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s Dashboard" sheetId="1" state="visible" r:id="rId3"/>
    <sheet name="Reconciliation" sheetId="2" state="visible" r:id="rId4"/>
    <sheet name="Cohort Delinquency" sheetId="3" state="visible" r:id="rId5"/>
    <sheet name="PARTNERS" sheetId="4" state="visible" r:id="rId6"/>
    <sheet name="ORIGINATIONS" sheetId="5" state="visible" r:id="rId7"/>
    <sheet name="REPAYMENTS" sheetId="6" state="visible" r:id="rId8"/>
    <sheet name="REVENUE_RECOGNIZE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<sst xmlns="http://schemas.openxmlformats.org/spreadsheetml/2006/main" count="82027" uniqueCount="19630">
  <si>
    <t xml:space="preserve">Merchant Cash Advance — Metrics Dashboard</t>
  </si>
  <si>
    <t xml:space="preserve">Total Origination Principal by Partner &amp; Month</t>
  </si>
  <si>
    <t xml:space="preserve">Formula-driven cross-tab (SUMIFS) of ORIGINATIONS!advance_amount_usd, grouped by partner_id and funding_month.</t>
  </si>
  <si>
    <t xml:space="preserve">Month</t>
  </si>
  <si>
    <t xml:space="preserve">DoorDash</t>
  </si>
  <si>
    <t xml:space="preserve">Amazon</t>
  </si>
  <si>
    <t xml:space="preserve">Worldpay</t>
  </si>
  <si>
    <t xml:space="preserve">Mindbody</t>
  </si>
  <si>
    <t xml:space="preserve">Toast</t>
  </si>
  <si>
    <t xml:space="preserve">Squarespace</t>
  </si>
  <si>
    <t xml:space="preserve">Total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</si>
  <si>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</si>
  <si>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</si>
  <si>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</si>
  <si>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</si>
  <si>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</si>
  <si>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</si>
  <si>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</si>
  <si>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</si>
  <si>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</si>
  <si>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</si>
  <si>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</si>
  <si>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</si>
  <si>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</si>
  <si>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</si>
  <si>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</si>
  <si>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</si>
  <si>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</si>
  <si>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</si>
  <si>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</si>
  <si>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</si>
  <si>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</si>
  <si>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</si>
  <si>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</si>
  <si>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</si>
  <si>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</si>
  <si>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</si>
  <si>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</si>
  <si>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</si>
  <si>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</si>
  <si>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</si>
  <si>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</si>
  <si>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</si>
  <si>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</si>
  <si>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</si>
  <si>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</si>
  <si>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</si>
  <si>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</si>
  <si>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</si>
  <si>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</si>
  <si>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</si>
  <si>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</si>
  <si>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</si>
  <si>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</si>
  <si>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</si>
  <si>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</si>
  <si>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</si>
  <si>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</si>
  <si>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</si>
  <si>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</si>
  <si>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</si>
  <si>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</si>
  <si>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</si>
  <si>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</si>
  <si>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</si>
  <si>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</si>
  <si>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</si>
  <si>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Grand Total</t>
  </si>
  <si>
    <t xml:space="preserve">3-Month Trailing Average Revenue Run-Rate (Annualized)</t>
  </si>
  <si>
    <t xml:space="preserve">Monthly total = SUMIFS on REVENUE_RECOGNIZED!revenue_recognized_usd by recognition_period. Trailing avg = AVERAGE of current month + prior 2 months (blank until 3 months of history exist). Annualized run-rate = trailing 3-mo avg x 12.</t>
  </si>
  <si>
    <t xml:space="preserve">Total Revenue Recognized</t>
  </si>
  <si>
    <t xml:space="preserve">3-Mo Trailing Avg</t>
  </si>
  <si>
    <t xml:space="preserve">Annualized Run-Rate</t>
  </si>
  <si>
    <t xml:space="preserve">Current Annualized Revenue Run-Rate:</t>
  </si>
  <si>
    <t xml:space="preserve">Reconciliation — Originations With No Matching Repayments</t>
  </si>
  <si>
    <t xml:space="preserve">Anti-join of ORIGINATIONS against REPAYMENTS on origination_id. 'Repayment Count Check' formula should read 0 for every row (confirms the gap dynamically). 'Likely Reason' flags anything funded within the last 14 days as probably just too recent to have a remittance yet; anything older warrants a genuine data-gap review.</t>
  </si>
  <si>
    <t xml:space="preserve">origination_id</t>
  </si>
  <si>
    <t xml:space="preserve">partner_id</t>
  </si>
  <si>
    <t xml:space="preserve">funding_date</t>
  </si>
  <si>
    <t xml:space="preserve">advance_amount_usd</t>
  </si>
  <si>
    <t xml:space="preserve">status</t>
  </si>
  <si>
    <t xml:space="preserve">days_since_funding</t>
  </si>
  <si>
    <t xml:space="preserve">repayment_count_check</t>
  </si>
  <si>
    <t xml:space="preserve">likely_reason</t>
  </si>
  <si>
    <t xml:space="preserve">ORG-300001</t>
  </si>
  <si>
    <t xml:space="preserve">ORG-300002</t>
  </si>
  <si>
    <t xml:space="preserve">ORG-300003</t>
  </si>
  <si>
    <t xml:space="preserve">ORG-300004</t>
  </si>
  <si>
    <t xml:space="preserve">ORG-300005</t>
  </si>
  <si>
    <t xml:space="preserve">ORG-300006</t>
  </si>
  <si>
    <t xml:space="preserve">ORG-300007</t>
  </si>
  <si>
    <t xml:space="preserve">ORG-300008</t>
  </si>
  <si>
    <t xml:space="preserve">ORG-300009</t>
  </si>
  <si>
    <t xml:space="preserve">ORG-300010</t>
  </si>
  <si>
    <t xml:space="preserve">Summary</t>
  </si>
  <si>
    <t xml:space="preserve">Total originations with no repayments:</t>
  </si>
  <si>
    <t xml:space="preserve">...of which likely just too recent (&lt;14 days):</t>
  </si>
  <si>
    <t xml:space="preserve">...of which need genuine data-gap review:</t>
  </si>
  <si>
    <t xml:space="preserve">Cohort Delinquency — % of Cohort Dollar Volume Currently Delinquent or Defaulted</t>
  </si>
  <si>
    <t xml:space="preserve">Cohort = origination (funding) month. Delinquent/Default Volume = SUMIFS of advance_amount_usd where status is 'delinquent' or 'default', by cohort. % = Delinquent/Default Volume ÷ Total Cohort Volume.</t>
  </si>
  <si>
    <t xml:space="preserve">Cohort Month</t>
  </si>
  <si>
    <t xml:space="preserve">Total Origination Volume</t>
  </si>
  <si>
    <t xml:space="preserve">Delinquent + Default Volume</t>
  </si>
  <si>
    <t xml:space="preserve">% Delinquent/Default</t>
  </si>
  <si>
    <t xml:space="preserve">Originations Count</t>
  </si>
  <si>
    <t xml:space="preserve">All Cohorts</t>
  </si>
  <si>
    <t xml:space="preserve">partner_name</t>
  </si>
  <si>
    <t xml:space="preserve">partner_category</t>
  </si>
  <si>
    <t xml:space="preserve">integration_type</t>
  </si>
  <si>
    <t xml:space="preserve">partner_since_date</t>
  </si>
  <si>
    <t xml:space="preserve">platform_revenue_share_pct</t>
  </si>
  <si>
    <t xml:space="preserve">primary_verticals_served</t>
  </si>
  <si>
    <t xml:space="preserve">PTR-001</t>
  </si>
  <si>
    <t xml:space="preserve">Food &amp; Delivery</t>
  </si>
  <si>
    <t xml:space="preserve">API - Embedded Checkout</t>
  </si>
  <si>
    <t xml:space="preserve">Restaurant, Ghost Kitchen, Cafe, Bakery</t>
  </si>
  <si>
    <t xml:space="preserve">PTR-002</t>
  </si>
  <si>
    <t xml:space="preserve">E-commerce Marketplace</t>
  </si>
  <si>
    <t xml:space="preserve">API - Seller Central Widget</t>
  </si>
  <si>
    <t xml:space="preserve">E-commerce Retail, CPG Brand, Marketplace Reseller</t>
  </si>
  <si>
    <t xml:space="preserve">PTR-003</t>
  </si>
  <si>
    <t xml:space="preserve">Payments / Acquiring</t>
  </si>
  <si>
    <t xml:space="preserve">White-label Embedded</t>
  </si>
  <si>
    <t xml:space="preserve">Retail Store, Auto Repair, Salon, Convenience Store</t>
  </si>
  <si>
    <t xml:space="preserve">PTR-004</t>
  </si>
  <si>
    <t xml:space="preserve">Wellness SaaS</t>
  </si>
  <si>
    <t xml:space="preserve">API - Embedded Dashboard</t>
  </si>
  <si>
    <t xml:space="preserve">Fitness Studio, Spa, Yoga Studio, Wellness Clinic</t>
  </si>
  <si>
    <t xml:space="preserve">PTR-005</t>
  </si>
  <si>
    <t xml:space="preserve">Restaurant POS</t>
  </si>
  <si>
    <t xml:space="preserve">Restaurant, Bar, Food Truck</t>
  </si>
  <si>
    <t xml:space="preserve">PTR-006</t>
  </si>
  <si>
    <t xml:space="preserve">E-commerce / Website Builder</t>
  </si>
  <si>
    <t xml:space="preserve">E-commerce Retail, Creative Services, Photography Studio</t>
  </si>
  <si>
    <t xml:space="preserve">merchant_id</t>
  </si>
  <si>
    <t xml:space="preserve">business_vertical</t>
  </si>
  <si>
    <t xml:space="preserve">state</t>
  </si>
  <si>
    <t xml:space="preserve">estimated_maturity_date</t>
  </si>
  <si>
    <t xml:space="preserve">avg_monthly_gmv_usd</t>
  </si>
  <si>
    <t xml:space="preserve">prior_advances_count</t>
  </si>
  <si>
    <t xml:space="preserve">risk_score</t>
  </si>
  <si>
    <t xml:space="preserve">industry_risk_tier</t>
  </si>
  <si>
    <t xml:space="preserve">factor_rate</t>
  </si>
  <si>
    <t xml:space="preserve">total_repayment_usd</t>
  </si>
  <si>
    <t xml:space="preserve">total_fee_usd</t>
  </si>
  <si>
    <t xml:space="preserve">remittance_rate</t>
  </si>
  <si>
    <t xml:space="preserve">term_estimate_days</t>
  </si>
  <si>
    <t xml:space="preserve">pct_repaid</t>
  </si>
  <si>
    <t xml:space="preserve">amount_repaid_usd</t>
  </si>
  <si>
    <t xml:space="preserve">funding_month</t>
  </si>
  <si>
    <t xml:space="preserve">ORG-200001</t>
  </si>
  <si>
    <t xml:space="preserve">MCH-100001</t>
  </si>
  <si>
    <t xml:space="preserve">E-commerce Retail</t>
  </si>
  <si>
    <t xml:space="preserve">CA</t>
  </si>
  <si>
    <t xml:space="preserve">low</t>
  </si>
  <si>
    <t xml:space="preserve">active</t>
  </si>
  <si>
    <t xml:space="preserve">ORG-200002</t>
  </si>
  <si>
    <t xml:space="preserve">MCH-100002</t>
  </si>
  <si>
    <t xml:space="preserve">Retail Store</t>
  </si>
  <si>
    <t xml:space="preserve">NC</t>
  </si>
  <si>
    <t xml:space="preserve">medium</t>
  </si>
  <si>
    <t xml:space="preserve">completed</t>
  </si>
  <si>
    <t xml:space="preserve">ORG-200003</t>
  </si>
  <si>
    <t xml:space="preserve">MCH-100003</t>
  </si>
  <si>
    <t xml:space="preserve">Cafe</t>
  </si>
  <si>
    <t xml:space="preserve">MA</t>
  </si>
  <si>
    <t xml:space="preserve">ORG-200004</t>
  </si>
  <si>
    <t xml:space="preserve">MCH-100004</t>
  </si>
  <si>
    <t xml:space="preserve">Wellness Clinic</t>
  </si>
  <si>
    <t xml:space="preserve">OR</t>
  </si>
  <si>
    <t xml:space="preserve">ORG-200005</t>
  </si>
  <si>
    <t xml:space="preserve">MCH-100005</t>
  </si>
  <si>
    <t xml:space="preserve">Restaurant</t>
  </si>
  <si>
    <t xml:space="preserve">MN</t>
  </si>
  <si>
    <t xml:space="preserve">ORG-200006</t>
  </si>
  <si>
    <t xml:space="preserve">MCH-100006</t>
  </si>
  <si>
    <t xml:space="preserve">Photography Studio</t>
  </si>
  <si>
    <t xml:space="preserve">CO</t>
  </si>
  <si>
    <t xml:space="preserve">ORG-200007</t>
  </si>
  <si>
    <t xml:space="preserve">MCH-100007</t>
  </si>
  <si>
    <t xml:space="preserve">Yoga Studio</t>
  </si>
  <si>
    <t xml:space="preserve">NJ</t>
  </si>
  <si>
    <t xml:space="preserve">ORG-200008</t>
  </si>
  <si>
    <t xml:space="preserve">MCH-100008</t>
  </si>
  <si>
    <t xml:space="preserve">TN</t>
  </si>
  <si>
    <t xml:space="preserve">high</t>
  </si>
  <si>
    <t xml:space="preserve">ORG-200009</t>
  </si>
  <si>
    <t xml:space="preserve">MCH-100009</t>
  </si>
  <si>
    <t xml:space="preserve">Bakery</t>
  </si>
  <si>
    <t xml:space="preserve">MD</t>
  </si>
  <si>
    <t xml:space="preserve">ORG-200010</t>
  </si>
  <si>
    <t xml:space="preserve">MCH-100010</t>
  </si>
  <si>
    <t xml:space="preserve">PA</t>
  </si>
  <si>
    <t xml:space="preserve">ORG-200011</t>
  </si>
  <si>
    <t xml:space="preserve">MCH-100011</t>
  </si>
  <si>
    <t xml:space="preserve">FL</t>
  </si>
  <si>
    <t xml:space="preserve">ORG-200012</t>
  </si>
  <si>
    <t xml:space="preserve">MCH-100012</t>
  </si>
  <si>
    <t xml:space="preserve">ORG-200013</t>
  </si>
  <si>
    <t xml:space="preserve">MCH-100013</t>
  </si>
  <si>
    <t xml:space="preserve">Creative Services</t>
  </si>
  <si>
    <t xml:space="preserve">AZ</t>
  </si>
  <si>
    <t xml:space="preserve">ORG-200014</t>
  </si>
  <si>
    <t xml:space="preserve">MCH-100014</t>
  </si>
  <si>
    <t xml:space="preserve">ORG-200015</t>
  </si>
  <si>
    <t xml:space="preserve">MCH-100015</t>
  </si>
  <si>
    <t xml:space="preserve">Marketplace Reseller</t>
  </si>
  <si>
    <t xml:space="preserve">OH</t>
  </si>
  <si>
    <t xml:space="preserve">ORG-200016</t>
  </si>
  <si>
    <t xml:space="preserve">MCH-100016</t>
  </si>
  <si>
    <t xml:space="preserve">Convenience Store</t>
  </si>
  <si>
    <t xml:space="preserve">MI</t>
  </si>
  <si>
    <t xml:space="preserve">ORG-200017</t>
  </si>
  <si>
    <t xml:space="preserve">MCH-100017</t>
  </si>
  <si>
    <t xml:space="preserve">ORG-200018</t>
  </si>
  <si>
    <t xml:space="preserve">MCH-100018</t>
  </si>
  <si>
    <t xml:space="preserve">ORG-200019</t>
  </si>
  <si>
    <t xml:space="preserve">MCH-100019</t>
  </si>
  <si>
    <t xml:space="preserve">Auto Repair</t>
  </si>
  <si>
    <t xml:space="preserve">NY</t>
  </si>
  <si>
    <t xml:space="preserve">ORG-200020</t>
  </si>
  <si>
    <t xml:space="preserve">MCH-100020</t>
  </si>
  <si>
    <t xml:space="preserve">CPG Brand</t>
  </si>
  <si>
    <t xml:space="preserve">ORG-200021</t>
  </si>
  <si>
    <t xml:space="preserve">MCH-100021</t>
  </si>
  <si>
    <t xml:space="preserve">Ghost Kitchen</t>
  </si>
  <si>
    <t xml:space="preserve">ORG-200022</t>
  </si>
  <si>
    <t xml:space="preserve">MCH-100022</t>
  </si>
  <si>
    <t xml:space="preserve">ORG-200023</t>
  </si>
  <si>
    <t xml:space="preserve">MCH-100023</t>
  </si>
  <si>
    <t xml:space="preserve">ORG-200024</t>
  </si>
  <si>
    <t xml:space="preserve">MCH-100024</t>
  </si>
  <si>
    <t xml:space="preserve">paid_off_early</t>
  </si>
  <si>
    <t xml:space="preserve">ORG-200025</t>
  </si>
  <si>
    <t xml:space="preserve">MCH-100025</t>
  </si>
  <si>
    <t xml:space="preserve">Bar</t>
  </si>
  <si>
    <t xml:space="preserve">ORG-200026</t>
  </si>
  <si>
    <t xml:space="preserve">MCH-100026</t>
  </si>
  <si>
    <t xml:space="preserve">Spa</t>
  </si>
  <si>
    <t xml:space="preserve">ORG-200027</t>
  </si>
  <si>
    <t xml:space="preserve">MCH-100027</t>
  </si>
  <si>
    <t xml:space="preserve">ORG-200028</t>
  </si>
  <si>
    <t xml:space="preserve">MCH-100028</t>
  </si>
  <si>
    <t xml:space="preserve">Fitness Studio</t>
  </si>
  <si>
    <t xml:space="preserve">ORG-200029</t>
  </si>
  <si>
    <t xml:space="preserve">MCH-100029</t>
  </si>
  <si>
    <t xml:space="preserve">ORG-200030</t>
  </si>
  <si>
    <t xml:space="preserve">MCH-100030</t>
  </si>
  <si>
    <t xml:space="preserve">ORG-200031</t>
  </si>
  <si>
    <t xml:space="preserve">MCH-100031</t>
  </si>
  <si>
    <t xml:space="preserve">ORG-200032</t>
  </si>
  <si>
    <t xml:space="preserve">MCH-100032</t>
  </si>
  <si>
    <t xml:space="preserve">ORG-200033</t>
  </si>
  <si>
    <t xml:space="preserve">MCH-100033</t>
  </si>
  <si>
    <t xml:space="preserve">IL</t>
  </si>
  <si>
    <t xml:space="preserve">ORG-200034</t>
  </si>
  <si>
    <t xml:space="preserve">MCH-100034</t>
  </si>
  <si>
    <t xml:space="preserve">ORG-200035</t>
  </si>
  <si>
    <t xml:space="preserve">MCH-100035</t>
  </si>
  <si>
    <t xml:space="preserve">ORG-200036</t>
  </si>
  <si>
    <t xml:space="preserve">MCH-100036</t>
  </si>
  <si>
    <t xml:space="preserve">ORG-200037</t>
  </si>
  <si>
    <t xml:space="preserve">MCH-100037</t>
  </si>
  <si>
    <t xml:space="preserve">Salon</t>
  </si>
  <si>
    <t xml:space="preserve">ORG-200038</t>
  </si>
  <si>
    <t xml:space="preserve">MCH-100038</t>
  </si>
  <si>
    <t xml:space="preserve">ORG-200039</t>
  </si>
  <si>
    <t xml:space="preserve">MCH-100039</t>
  </si>
  <si>
    <t xml:space="preserve">ORG-200040</t>
  </si>
  <si>
    <t xml:space="preserve">MCH-100040</t>
  </si>
  <si>
    <t xml:space="preserve">ORG-200041</t>
  </si>
  <si>
    <t xml:space="preserve">MCH-100041</t>
  </si>
  <si>
    <t xml:space="preserve">ORG-200042</t>
  </si>
  <si>
    <t xml:space="preserve">MCH-100042</t>
  </si>
  <si>
    <t xml:space="preserve">ORG-200043</t>
  </si>
  <si>
    <t xml:space="preserve">MCH-100043</t>
  </si>
  <si>
    <t xml:space="preserve">ORG-200044</t>
  </si>
  <si>
    <t xml:space="preserve">MCH-100044</t>
  </si>
  <si>
    <t xml:space="preserve">ORG-200045</t>
  </si>
  <si>
    <t xml:space="preserve">MCH-100045</t>
  </si>
  <si>
    <t xml:space="preserve">ORG-200046</t>
  </si>
  <si>
    <t xml:space="preserve">MCH-100046</t>
  </si>
  <si>
    <t xml:space="preserve">ORG-200047</t>
  </si>
  <si>
    <t xml:space="preserve">MCH-100047</t>
  </si>
  <si>
    <t xml:space="preserve">ORG-200048</t>
  </si>
  <si>
    <t xml:space="preserve">MCH-100048</t>
  </si>
  <si>
    <t xml:space="preserve">ORG-200049</t>
  </si>
  <si>
    <t xml:space="preserve">MCH-100049</t>
  </si>
  <si>
    <t xml:space="preserve">WA</t>
  </si>
  <si>
    <t xml:space="preserve">ORG-200050</t>
  </si>
  <si>
    <t xml:space="preserve">MCH-100050</t>
  </si>
  <si>
    <t xml:space="preserve">ORG-200051</t>
  </si>
  <si>
    <t xml:space="preserve">MCH-100051</t>
  </si>
  <si>
    <t xml:space="preserve">ORG-200052</t>
  </si>
  <si>
    <t xml:space="preserve">MCH-100052</t>
  </si>
  <si>
    <t xml:space="preserve">ORG-200053</t>
  </si>
  <si>
    <t xml:space="preserve">MCH-100053</t>
  </si>
  <si>
    <t xml:space="preserve">ORG-200054</t>
  </si>
  <si>
    <t xml:space="preserve">MCH-100054</t>
  </si>
  <si>
    <t xml:space="preserve">GA</t>
  </si>
  <si>
    <t xml:space="preserve">ORG-200055</t>
  </si>
  <si>
    <t xml:space="preserve">MCH-100055</t>
  </si>
  <si>
    <t xml:space="preserve">ORG-200056</t>
  </si>
  <si>
    <t xml:space="preserve">MCH-100056</t>
  </si>
  <si>
    <t xml:space="preserve">TX</t>
  </si>
  <si>
    <t xml:space="preserve">ORG-200057</t>
  </si>
  <si>
    <t xml:space="preserve">MCH-100057</t>
  </si>
  <si>
    <t xml:space="preserve">ORG-200058</t>
  </si>
  <si>
    <t xml:space="preserve">MCH-100058</t>
  </si>
  <si>
    <t xml:space="preserve">default</t>
  </si>
  <si>
    <t xml:space="preserve">ORG-200059</t>
  </si>
  <si>
    <t xml:space="preserve">MCH-100059</t>
  </si>
  <si>
    <t xml:space="preserve">ORG-200060</t>
  </si>
  <si>
    <t xml:space="preserve">MCH-100060</t>
  </si>
  <si>
    <t xml:space="preserve">ORG-200061</t>
  </si>
  <si>
    <t xml:space="preserve">MCH-100061</t>
  </si>
  <si>
    <t xml:space="preserve">ORG-200062</t>
  </si>
  <si>
    <t xml:space="preserve">MCH-100062</t>
  </si>
  <si>
    <t xml:space="preserve">ORG-200063</t>
  </si>
  <si>
    <t xml:space="preserve">MCH-100063</t>
  </si>
  <si>
    <t xml:space="preserve">ORG-200064</t>
  </si>
  <si>
    <t xml:space="preserve">MCH-100064</t>
  </si>
  <si>
    <t xml:space="preserve">ORG-200065</t>
  </si>
  <si>
    <t xml:space="preserve">MCH-100065</t>
  </si>
  <si>
    <t xml:space="preserve">ORG-200066</t>
  </si>
  <si>
    <t xml:space="preserve">MCH-100066</t>
  </si>
  <si>
    <t xml:space="preserve">VA</t>
  </si>
  <si>
    <t xml:space="preserve">ORG-200067</t>
  </si>
  <si>
    <t xml:space="preserve">MCH-100067</t>
  </si>
  <si>
    <t xml:space="preserve">ORG-200068</t>
  </si>
  <si>
    <t xml:space="preserve">MCH-100068</t>
  </si>
  <si>
    <t xml:space="preserve">ORG-200069</t>
  </si>
  <si>
    <t xml:space="preserve">MCH-100069</t>
  </si>
  <si>
    <t xml:space="preserve">ORG-200070</t>
  </si>
  <si>
    <t xml:space="preserve">MCH-100070</t>
  </si>
  <si>
    <t xml:space="preserve">ORG-200071</t>
  </si>
  <si>
    <t xml:space="preserve">MCH-100071</t>
  </si>
  <si>
    <t xml:space="preserve">ORG-200072</t>
  </si>
  <si>
    <t xml:space="preserve">MCH-100072</t>
  </si>
  <si>
    <t xml:space="preserve">ORG-200073</t>
  </si>
  <si>
    <t xml:space="preserve">MCH-100073</t>
  </si>
  <si>
    <t xml:space="preserve">ORG-200074</t>
  </si>
  <si>
    <t xml:space="preserve">MCH-100074</t>
  </si>
  <si>
    <t xml:space="preserve">ORG-200075</t>
  </si>
  <si>
    <t xml:space="preserve">MCH-100075</t>
  </si>
  <si>
    <t xml:space="preserve">ORG-200076</t>
  </si>
  <si>
    <t xml:space="preserve">MCH-100076</t>
  </si>
  <si>
    <t xml:space="preserve">ORG-200077</t>
  </si>
  <si>
    <t xml:space="preserve">MCH-100077</t>
  </si>
  <si>
    <t xml:space="preserve">ORG-200078</t>
  </si>
  <si>
    <t xml:space="preserve">MCH-100078</t>
  </si>
  <si>
    <t xml:space="preserve">ORG-200079</t>
  </si>
  <si>
    <t xml:space="preserve">MCH-100079</t>
  </si>
  <si>
    <t xml:space="preserve">ORG-200080</t>
  </si>
  <si>
    <t xml:space="preserve">MCH-100080</t>
  </si>
  <si>
    <t xml:space="preserve">ORG-200081</t>
  </si>
  <si>
    <t xml:space="preserve">MCH-100081</t>
  </si>
  <si>
    <t xml:space="preserve">ORG-200082</t>
  </si>
  <si>
    <t xml:space="preserve">MCH-100082</t>
  </si>
  <si>
    <t xml:space="preserve">ORG-200083</t>
  </si>
  <si>
    <t xml:space="preserve">MCH-100083</t>
  </si>
  <si>
    <t xml:space="preserve">ORG-200084</t>
  </si>
  <si>
    <t xml:space="preserve">MCH-100084</t>
  </si>
  <si>
    <t xml:space="preserve">ORG-200085</t>
  </si>
  <si>
    <t xml:space="preserve">MCH-100085</t>
  </si>
  <si>
    <t xml:space="preserve">ORG-200086</t>
  </si>
  <si>
    <t xml:space="preserve">MCH-100086</t>
  </si>
  <si>
    <t xml:space="preserve">ORG-200087</t>
  </si>
  <si>
    <t xml:space="preserve">MCH-100087</t>
  </si>
  <si>
    <t xml:space="preserve">ORG-200088</t>
  </si>
  <si>
    <t xml:space="preserve">MCH-100088</t>
  </si>
  <si>
    <t xml:space="preserve">ORG-200089</t>
  </si>
  <si>
    <t xml:space="preserve">MCH-100089</t>
  </si>
  <si>
    <t xml:space="preserve">ORG-200090</t>
  </si>
  <si>
    <t xml:space="preserve">MCH-100090</t>
  </si>
  <si>
    <t xml:space="preserve">ORG-200091</t>
  </si>
  <si>
    <t xml:space="preserve">MCH-100091</t>
  </si>
  <si>
    <t xml:space="preserve">ORG-200092</t>
  </si>
  <si>
    <t xml:space="preserve">MCH-100092</t>
  </si>
  <si>
    <t xml:space="preserve">ORG-200093</t>
  </si>
  <si>
    <t xml:space="preserve">MCH-100093</t>
  </si>
  <si>
    <t xml:space="preserve">ORG-200094</t>
  </si>
  <si>
    <t xml:space="preserve">MCH-100094</t>
  </si>
  <si>
    <t xml:space="preserve">ORG-200095</t>
  </si>
  <si>
    <t xml:space="preserve">MCH-100095</t>
  </si>
  <si>
    <t xml:space="preserve">ORG-200096</t>
  </si>
  <si>
    <t xml:space="preserve">MCH-100096</t>
  </si>
  <si>
    <t xml:space="preserve">ORG-200097</t>
  </si>
  <si>
    <t xml:space="preserve">MCH-100097</t>
  </si>
  <si>
    <t xml:space="preserve">ORG-200098</t>
  </si>
  <si>
    <t xml:space="preserve">MCH-100098</t>
  </si>
  <si>
    <t xml:space="preserve">ORG-200099</t>
  </si>
  <si>
    <t xml:space="preserve">MCH-100099</t>
  </si>
  <si>
    <t xml:space="preserve">ORG-200100</t>
  </si>
  <si>
    <t xml:space="preserve">MCH-100100</t>
  </si>
  <si>
    <t xml:space="preserve">ORG-200101</t>
  </si>
  <si>
    <t xml:space="preserve">MCH-100101</t>
  </si>
  <si>
    <t xml:space="preserve">ORG-200102</t>
  </si>
  <si>
    <t xml:space="preserve">MCH-100102</t>
  </si>
  <si>
    <t xml:space="preserve">ORG-200103</t>
  </si>
  <si>
    <t xml:space="preserve">MCH-100103</t>
  </si>
  <si>
    <t xml:space="preserve">Food Truck</t>
  </si>
  <si>
    <t xml:space="preserve">ORG-200104</t>
  </si>
  <si>
    <t xml:space="preserve">MCH-100104</t>
  </si>
  <si>
    <t xml:space="preserve">ORG-200105</t>
  </si>
  <si>
    <t xml:space="preserve">MCH-100105</t>
  </si>
  <si>
    <t xml:space="preserve">ORG-200106</t>
  </si>
  <si>
    <t xml:space="preserve">MCH-100106</t>
  </si>
  <si>
    <t xml:space="preserve">ORG-200107</t>
  </si>
  <si>
    <t xml:space="preserve">MCH-100107</t>
  </si>
  <si>
    <t xml:space="preserve">ORG-200108</t>
  </si>
  <si>
    <t xml:space="preserve">MCH-100108</t>
  </si>
  <si>
    <t xml:space="preserve">ORG-200109</t>
  </si>
  <si>
    <t xml:space="preserve">MCH-100109</t>
  </si>
  <si>
    <t xml:space="preserve">ORG-200110</t>
  </si>
  <si>
    <t xml:space="preserve">MCH-100110</t>
  </si>
  <si>
    <t xml:space="preserve">ORG-200111</t>
  </si>
  <si>
    <t xml:space="preserve">MCH-100111</t>
  </si>
  <si>
    <t xml:space="preserve">ORG-200112</t>
  </si>
  <si>
    <t xml:space="preserve">MCH-100112</t>
  </si>
  <si>
    <t xml:space="preserve">ORG-200113</t>
  </si>
  <si>
    <t xml:space="preserve">MCH-100113</t>
  </si>
  <si>
    <t xml:space="preserve">ORG-200114</t>
  </si>
  <si>
    <t xml:space="preserve">MCH-100114</t>
  </si>
  <si>
    <t xml:space="preserve">ORG-200115</t>
  </si>
  <si>
    <t xml:space="preserve">MCH-100115</t>
  </si>
  <si>
    <t xml:space="preserve">ORG-200116</t>
  </si>
  <si>
    <t xml:space="preserve">MCH-100116</t>
  </si>
  <si>
    <t xml:space="preserve">ORG-200117</t>
  </si>
  <si>
    <t xml:space="preserve">MCH-100117</t>
  </si>
  <si>
    <t xml:space="preserve">ORG-200118</t>
  </si>
  <si>
    <t xml:space="preserve">MCH-100118</t>
  </si>
  <si>
    <t xml:space="preserve">ORG-200119</t>
  </si>
  <si>
    <t xml:space="preserve">MCH-100119</t>
  </si>
  <si>
    <t xml:space="preserve">ORG-200120</t>
  </si>
  <si>
    <t xml:space="preserve">MCH-100120</t>
  </si>
  <si>
    <t xml:space="preserve">ORG-200121</t>
  </si>
  <si>
    <t xml:space="preserve">MCH-100121</t>
  </si>
  <si>
    <t xml:space="preserve">ORG-200122</t>
  </si>
  <si>
    <t xml:space="preserve">MCH-100122</t>
  </si>
  <si>
    <t xml:space="preserve">ORG-200123</t>
  </si>
  <si>
    <t xml:space="preserve">MCH-100123</t>
  </si>
  <si>
    <t xml:space="preserve">ORG-200124</t>
  </si>
  <si>
    <t xml:space="preserve">MCH-100124</t>
  </si>
  <si>
    <t xml:space="preserve">ORG-200125</t>
  </si>
  <si>
    <t xml:space="preserve">MCH-100125</t>
  </si>
  <si>
    <t xml:space="preserve">ORG-200126</t>
  </si>
  <si>
    <t xml:space="preserve">MCH-100126</t>
  </si>
  <si>
    <t xml:space="preserve">ORG-200127</t>
  </si>
  <si>
    <t xml:space="preserve">MCH-100127</t>
  </si>
  <si>
    <t xml:space="preserve">ORG-200128</t>
  </si>
  <si>
    <t xml:space="preserve">MCH-100128</t>
  </si>
  <si>
    <t xml:space="preserve">ORG-200129</t>
  </si>
  <si>
    <t xml:space="preserve">MCH-100129</t>
  </si>
  <si>
    <t xml:space="preserve">ORG-200130</t>
  </si>
  <si>
    <t xml:space="preserve">MCH-100130</t>
  </si>
  <si>
    <t xml:space="preserve">ORG-200131</t>
  </si>
  <si>
    <t xml:space="preserve">MCH-100131</t>
  </si>
  <si>
    <t xml:space="preserve">ORG-200132</t>
  </si>
  <si>
    <t xml:space="preserve">MCH-100132</t>
  </si>
  <si>
    <t xml:space="preserve">ORG-200133</t>
  </si>
  <si>
    <t xml:space="preserve">MCH-100133</t>
  </si>
  <si>
    <t xml:space="preserve">ORG-200134</t>
  </si>
  <si>
    <t xml:space="preserve">MCH-100134</t>
  </si>
  <si>
    <t xml:space="preserve">ORG-200135</t>
  </si>
  <si>
    <t xml:space="preserve">MCH-100135</t>
  </si>
  <si>
    <t xml:space="preserve">ORG-200136</t>
  </si>
  <si>
    <t xml:space="preserve">MCH-100136</t>
  </si>
  <si>
    <t xml:space="preserve">ORG-200137</t>
  </si>
  <si>
    <t xml:space="preserve">MCH-100137</t>
  </si>
  <si>
    <t xml:space="preserve">ORG-200138</t>
  </si>
  <si>
    <t xml:space="preserve">MCH-100138</t>
  </si>
  <si>
    <t xml:space="preserve">ORG-200139</t>
  </si>
  <si>
    <t xml:space="preserve">MCH-100139</t>
  </si>
  <si>
    <t xml:space="preserve">ORG-200140</t>
  </si>
  <si>
    <t xml:space="preserve">MCH-100140</t>
  </si>
  <si>
    <t xml:space="preserve">ORG-200141</t>
  </si>
  <si>
    <t xml:space="preserve">MCH-100141</t>
  </si>
  <si>
    <t xml:space="preserve">ORG-200142</t>
  </si>
  <si>
    <t xml:space="preserve">MCH-100142</t>
  </si>
  <si>
    <t xml:space="preserve">ORG-200143</t>
  </si>
  <si>
    <t xml:space="preserve">MCH-100143</t>
  </si>
  <si>
    <t xml:space="preserve">ORG-200144</t>
  </si>
  <si>
    <t xml:space="preserve">MCH-100144</t>
  </si>
  <si>
    <t xml:space="preserve">ORG-200145</t>
  </si>
  <si>
    <t xml:space="preserve">MCH-100145</t>
  </si>
  <si>
    <t xml:space="preserve">ORG-200146</t>
  </si>
  <si>
    <t xml:space="preserve">MCH-100146</t>
  </si>
  <si>
    <t xml:space="preserve">ORG-200147</t>
  </si>
  <si>
    <t xml:space="preserve">MCH-100147</t>
  </si>
  <si>
    <t xml:space="preserve">delinquent</t>
  </si>
  <si>
    <t xml:space="preserve">ORG-200148</t>
  </si>
  <si>
    <t xml:space="preserve">MCH-100148</t>
  </si>
  <si>
    <t xml:space="preserve">ORG-200149</t>
  </si>
  <si>
    <t xml:space="preserve">MCH-100149</t>
  </si>
  <si>
    <t xml:space="preserve">ORG-200150</t>
  </si>
  <si>
    <t xml:space="preserve">MCH-100150</t>
  </si>
  <si>
    <t xml:space="preserve">ORG-200151</t>
  </si>
  <si>
    <t xml:space="preserve">MCH-100151</t>
  </si>
  <si>
    <t xml:space="preserve">ORG-200152</t>
  </si>
  <si>
    <t xml:space="preserve">MCH-100152</t>
  </si>
  <si>
    <t xml:space="preserve">ORG-200153</t>
  </si>
  <si>
    <t xml:space="preserve">MCH-100153</t>
  </si>
  <si>
    <t xml:space="preserve">ORG-200154</t>
  </si>
  <si>
    <t xml:space="preserve">MCH-100154</t>
  </si>
  <si>
    <t xml:space="preserve">ORG-200155</t>
  </si>
  <si>
    <t xml:space="preserve">MCH-100155</t>
  </si>
  <si>
    <t xml:space="preserve">ORG-200156</t>
  </si>
  <si>
    <t xml:space="preserve">MCH-100156</t>
  </si>
  <si>
    <t xml:space="preserve">ORG-200157</t>
  </si>
  <si>
    <t xml:space="preserve">MCH-100157</t>
  </si>
  <si>
    <t xml:space="preserve">ORG-200158</t>
  </si>
  <si>
    <t xml:space="preserve">MCH-100158</t>
  </si>
  <si>
    <t xml:space="preserve">ORG-200159</t>
  </si>
  <si>
    <t xml:space="preserve">MCH-100159</t>
  </si>
  <si>
    <t xml:space="preserve">ORG-200160</t>
  </si>
  <si>
    <t xml:space="preserve">MCH-100160</t>
  </si>
  <si>
    <t xml:space="preserve">ORG-200161</t>
  </si>
  <si>
    <t xml:space="preserve">MCH-100161</t>
  </si>
  <si>
    <t xml:space="preserve">ORG-200162</t>
  </si>
  <si>
    <t xml:space="preserve">MCH-100162</t>
  </si>
  <si>
    <t xml:space="preserve">ORG-200163</t>
  </si>
  <si>
    <t xml:space="preserve">MCH-100163</t>
  </si>
  <si>
    <t xml:space="preserve">ORG-200164</t>
  </si>
  <si>
    <t xml:space="preserve">MCH-100164</t>
  </si>
  <si>
    <t xml:space="preserve">ORG-200165</t>
  </si>
  <si>
    <t xml:space="preserve">MCH-100165</t>
  </si>
  <si>
    <t xml:space="preserve">ORG-200166</t>
  </si>
  <si>
    <t xml:space="preserve">MCH-100166</t>
  </si>
  <si>
    <t xml:space="preserve">ORG-200167</t>
  </si>
  <si>
    <t xml:space="preserve">MCH-100167</t>
  </si>
  <si>
    <t xml:space="preserve">ORG-200168</t>
  </si>
  <si>
    <t xml:space="preserve">MCH-100168</t>
  </si>
  <si>
    <t xml:space="preserve">ORG-200169</t>
  </si>
  <si>
    <t xml:space="preserve">MCH-100169</t>
  </si>
  <si>
    <t xml:space="preserve">ORG-200170</t>
  </si>
  <si>
    <t xml:space="preserve">MCH-100170</t>
  </si>
  <si>
    <t xml:space="preserve">ORG-200171</t>
  </si>
  <si>
    <t xml:space="preserve">MCH-100171</t>
  </si>
  <si>
    <t xml:space="preserve">ORG-200172</t>
  </si>
  <si>
    <t xml:space="preserve">MCH-100172</t>
  </si>
  <si>
    <t xml:space="preserve">ORG-200173</t>
  </si>
  <si>
    <t xml:space="preserve">MCH-100173</t>
  </si>
  <si>
    <t xml:space="preserve">ORG-200174</t>
  </si>
  <si>
    <t xml:space="preserve">MCH-100174</t>
  </si>
  <si>
    <t xml:space="preserve">ORG-200175</t>
  </si>
  <si>
    <t xml:space="preserve">MCH-100175</t>
  </si>
  <si>
    <t xml:space="preserve">ORG-200176</t>
  </si>
  <si>
    <t xml:space="preserve">MCH-100176</t>
  </si>
  <si>
    <t xml:space="preserve">ORG-200177</t>
  </si>
  <si>
    <t xml:space="preserve">MCH-100177</t>
  </si>
  <si>
    <t xml:space="preserve">ORG-200178</t>
  </si>
  <si>
    <t xml:space="preserve">MCH-100178</t>
  </si>
  <si>
    <t xml:space="preserve">ORG-200179</t>
  </si>
  <si>
    <t xml:space="preserve">MCH-100179</t>
  </si>
  <si>
    <t xml:space="preserve">ORG-200180</t>
  </si>
  <si>
    <t xml:space="preserve">MCH-100180</t>
  </si>
  <si>
    <t xml:space="preserve">ORG-200181</t>
  </si>
  <si>
    <t xml:space="preserve">MCH-100181</t>
  </si>
  <si>
    <t xml:space="preserve">ORG-200182</t>
  </si>
  <si>
    <t xml:space="preserve">MCH-100182</t>
  </si>
  <si>
    <t xml:space="preserve">ORG-200183</t>
  </si>
  <si>
    <t xml:space="preserve">MCH-100183</t>
  </si>
  <si>
    <t xml:space="preserve">ORG-200184</t>
  </si>
  <si>
    <t xml:space="preserve">MCH-100184</t>
  </si>
  <si>
    <t xml:space="preserve">ORG-200185</t>
  </si>
  <si>
    <t xml:space="preserve">MCH-100185</t>
  </si>
  <si>
    <t xml:space="preserve">ORG-200186</t>
  </si>
  <si>
    <t xml:space="preserve">MCH-100186</t>
  </si>
  <si>
    <t xml:space="preserve">ORG-200187</t>
  </si>
  <si>
    <t xml:space="preserve">MCH-100187</t>
  </si>
  <si>
    <t xml:space="preserve">ORG-200188</t>
  </si>
  <si>
    <t xml:space="preserve">MCH-100188</t>
  </si>
  <si>
    <t xml:space="preserve">ORG-200189</t>
  </si>
  <si>
    <t xml:space="preserve">MCH-100189</t>
  </si>
  <si>
    <t xml:space="preserve">ORG-200190</t>
  </si>
  <si>
    <t xml:space="preserve">MCH-100190</t>
  </si>
  <si>
    <t xml:space="preserve">ORG-200191</t>
  </si>
  <si>
    <t xml:space="preserve">MCH-100191</t>
  </si>
  <si>
    <t xml:space="preserve">ORG-200192</t>
  </si>
  <si>
    <t xml:space="preserve">MCH-100192</t>
  </si>
  <si>
    <t xml:space="preserve">ORG-200193</t>
  </si>
  <si>
    <t xml:space="preserve">MCH-100193</t>
  </si>
  <si>
    <t xml:space="preserve">ORG-200194</t>
  </si>
  <si>
    <t xml:space="preserve">MCH-100194</t>
  </si>
  <si>
    <t xml:space="preserve">ORG-200195</t>
  </si>
  <si>
    <t xml:space="preserve">MCH-100195</t>
  </si>
  <si>
    <t xml:space="preserve">ORG-200196</t>
  </si>
  <si>
    <t xml:space="preserve">MCH-100196</t>
  </si>
  <si>
    <t xml:space="preserve">ORG-200197</t>
  </si>
  <si>
    <t xml:space="preserve">MCH-100197</t>
  </si>
  <si>
    <t xml:space="preserve">ORG-200198</t>
  </si>
  <si>
    <t xml:space="preserve">MCH-100198</t>
  </si>
  <si>
    <t xml:space="preserve">ORG-200199</t>
  </si>
  <si>
    <t xml:space="preserve">MCH-100199</t>
  </si>
  <si>
    <t xml:space="preserve">ORG-200200</t>
  </si>
  <si>
    <t xml:space="preserve">MCH-100200</t>
  </si>
  <si>
    <t xml:space="preserve">ORG-200201</t>
  </si>
  <si>
    <t xml:space="preserve">MCH-100201</t>
  </si>
  <si>
    <t xml:space="preserve">ORG-200202</t>
  </si>
  <si>
    <t xml:space="preserve">MCH-100202</t>
  </si>
  <si>
    <t xml:space="preserve">ORG-200203</t>
  </si>
  <si>
    <t xml:space="preserve">MCH-100203</t>
  </si>
  <si>
    <t xml:space="preserve">ORG-200204</t>
  </si>
  <si>
    <t xml:space="preserve">MCH-100204</t>
  </si>
  <si>
    <t xml:space="preserve">ORG-200205</t>
  </si>
  <si>
    <t xml:space="preserve">MCH-100205</t>
  </si>
  <si>
    <t xml:space="preserve">ORG-200206</t>
  </si>
  <si>
    <t xml:space="preserve">MCH-100206</t>
  </si>
  <si>
    <t xml:space="preserve">ORG-200207</t>
  </si>
  <si>
    <t xml:space="preserve">MCH-100207</t>
  </si>
  <si>
    <t xml:space="preserve">ORG-200208</t>
  </si>
  <si>
    <t xml:space="preserve">MCH-100208</t>
  </si>
  <si>
    <t xml:space="preserve">ORG-200209</t>
  </si>
  <si>
    <t xml:space="preserve">MCH-100209</t>
  </si>
  <si>
    <t xml:space="preserve">ORG-200210</t>
  </si>
  <si>
    <t xml:space="preserve">MCH-100210</t>
  </si>
  <si>
    <t xml:space="preserve">ORG-200211</t>
  </si>
  <si>
    <t xml:space="preserve">MCH-100211</t>
  </si>
  <si>
    <t xml:space="preserve">ORG-200212</t>
  </si>
  <si>
    <t xml:space="preserve">MCH-100212</t>
  </si>
  <si>
    <t xml:space="preserve">ORG-200213</t>
  </si>
  <si>
    <t xml:space="preserve">MCH-100213</t>
  </si>
  <si>
    <t xml:space="preserve">ORG-200214</t>
  </si>
  <si>
    <t xml:space="preserve">MCH-100214</t>
  </si>
  <si>
    <t xml:space="preserve">ORG-200215</t>
  </si>
  <si>
    <t xml:space="preserve">MCH-100215</t>
  </si>
  <si>
    <t xml:space="preserve">ORG-200216</t>
  </si>
  <si>
    <t xml:space="preserve">MCH-100216</t>
  </si>
  <si>
    <t xml:space="preserve">ORG-200217</t>
  </si>
  <si>
    <t xml:space="preserve">MCH-100217</t>
  </si>
  <si>
    <t xml:space="preserve">ORG-200218</t>
  </si>
  <si>
    <t xml:space="preserve">MCH-100218</t>
  </si>
  <si>
    <t xml:space="preserve">ORG-200219</t>
  </si>
  <si>
    <t xml:space="preserve">MCH-100219</t>
  </si>
  <si>
    <t xml:space="preserve">ORG-200220</t>
  </si>
  <si>
    <t xml:space="preserve">MCH-100220</t>
  </si>
  <si>
    <t xml:space="preserve">ORG-200221</t>
  </si>
  <si>
    <t xml:space="preserve">MCH-100221</t>
  </si>
  <si>
    <t xml:space="preserve">ORG-200222</t>
  </si>
  <si>
    <t xml:space="preserve">MCH-100222</t>
  </si>
  <si>
    <t xml:space="preserve">ORG-200223</t>
  </si>
  <si>
    <t xml:space="preserve">MCH-100223</t>
  </si>
  <si>
    <t xml:space="preserve">ORG-200224</t>
  </si>
  <si>
    <t xml:space="preserve">MCH-100224</t>
  </si>
  <si>
    <t xml:space="preserve">ORG-200225</t>
  </si>
  <si>
    <t xml:space="preserve">MCH-100225</t>
  </si>
  <si>
    <t xml:space="preserve">ORG-200226</t>
  </si>
  <si>
    <t xml:space="preserve">MCH-100226</t>
  </si>
  <si>
    <t xml:space="preserve">ORG-200227</t>
  </si>
  <si>
    <t xml:space="preserve">MCH-100227</t>
  </si>
  <si>
    <t xml:space="preserve">ORG-200228</t>
  </si>
  <si>
    <t xml:space="preserve">MCH-100228</t>
  </si>
  <si>
    <t xml:space="preserve">ORG-200229</t>
  </si>
  <si>
    <t xml:space="preserve">MCH-100229</t>
  </si>
  <si>
    <t xml:space="preserve">ORG-200230</t>
  </si>
  <si>
    <t xml:space="preserve">MCH-100230</t>
  </si>
  <si>
    <t xml:space="preserve">ORG-200231</t>
  </si>
  <si>
    <t xml:space="preserve">MCH-100231</t>
  </si>
  <si>
    <t xml:space="preserve">ORG-200232</t>
  </si>
  <si>
    <t xml:space="preserve">MCH-100232</t>
  </si>
  <si>
    <t xml:space="preserve">ORG-200233</t>
  </si>
  <si>
    <t xml:space="preserve">MCH-100233</t>
  </si>
  <si>
    <t xml:space="preserve">ORG-200234</t>
  </si>
  <si>
    <t xml:space="preserve">MCH-100234</t>
  </si>
  <si>
    <t xml:space="preserve">ORG-200235</t>
  </si>
  <si>
    <t xml:space="preserve">MCH-100235</t>
  </si>
  <si>
    <t xml:space="preserve">ORG-200236</t>
  </si>
  <si>
    <t xml:space="preserve">MCH-100236</t>
  </si>
  <si>
    <t xml:space="preserve">ORG-200237</t>
  </si>
  <si>
    <t xml:space="preserve">MCH-100237</t>
  </si>
  <si>
    <t xml:space="preserve">ORG-200238</t>
  </si>
  <si>
    <t xml:space="preserve">MCH-100238</t>
  </si>
  <si>
    <t xml:space="preserve">ORG-200239</t>
  </si>
  <si>
    <t xml:space="preserve">MCH-100239</t>
  </si>
  <si>
    <t xml:space="preserve">ORG-200240</t>
  </si>
  <si>
    <t xml:space="preserve">MCH-100240</t>
  </si>
  <si>
    <t xml:space="preserve">ORG-200241</t>
  </si>
  <si>
    <t xml:space="preserve">MCH-100241</t>
  </si>
  <si>
    <t xml:space="preserve">ORG-200242</t>
  </si>
  <si>
    <t xml:space="preserve">MCH-100242</t>
  </si>
  <si>
    <t xml:space="preserve">ORG-200243</t>
  </si>
  <si>
    <t xml:space="preserve">MCH-100243</t>
  </si>
  <si>
    <t xml:space="preserve">ORG-200244</t>
  </si>
  <si>
    <t xml:space="preserve">MCH-100244</t>
  </si>
  <si>
    <t xml:space="preserve">ORG-200245</t>
  </si>
  <si>
    <t xml:space="preserve">MCH-100245</t>
  </si>
  <si>
    <t xml:space="preserve">ORG-200246</t>
  </si>
  <si>
    <t xml:space="preserve">MCH-100246</t>
  </si>
  <si>
    <t xml:space="preserve">ORG-200247</t>
  </si>
  <si>
    <t xml:space="preserve">MCH-100247</t>
  </si>
  <si>
    <t xml:space="preserve">ORG-200248</t>
  </si>
  <si>
    <t xml:space="preserve">MCH-100248</t>
  </si>
  <si>
    <t xml:space="preserve">ORG-200249</t>
  </si>
  <si>
    <t xml:space="preserve">MCH-100249</t>
  </si>
  <si>
    <t xml:space="preserve">ORG-200250</t>
  </si>
  <si>
    <t xml:space="preserve">MCH-100250</t>
  </si>
  <si>
    <t xml:space="preserve">ORG-200251</t>
  </si>
  <si>
    <t xml:space="preserve">MCH-100251</t>
  </si>
  <si>
    <t xml:space="preserve">ORG-200252</t>
  </si>
  <si>
    <t xml:space="preserve">MCH-100252</t>
  </si>
  <si>
    <t xml:space="preserve">ORG-200253</t>
  </si>
  <si>
    <t xml:space="preserve">MCH-100253</t>
  </si>
  <si>
    <t xml:space="preserve">ORG-200254</t>
  </si>
  <si>
    <t xml:space="preserve">MCH-100254</t>
  </si>
  <si>
    <t xml:space="preserve">ORG-200255</t>
  </si>
  <si>
    <t xml:space="preserve">MCH-100255</t>
  </si>
  <si>
    <t xml:space="preserve">ORG-200256</t>
  </si>
  <si>
    <t xml:space="preserve">MCH-100256</t>
  </si>
  <si>
    <t xml:space="preserve">ORG-200257</t>
  </si>
  <si>
    <t xml:space="preserve">MCH-100257</t>
  </si>
  <si>
    <t xml:space="preserve">ORG-200258</t>
  </si>
  <si>
    <t xml:space="preserve">MCH-100258</t>
  </si>
  <si>
    <t xml:space="preserve">ORG-200259</t>
  </si>
  <si>
    <t xml:space="preserve">MCH-100259</t>
  </si>
  <si>
    <t xml:space="preserve">ORG-200260</t>
  </si>
  <si>
    <t xml:space="preserve">MCH-100260</t>
  </si>
  <si>
    <t xml:space="preserve">ORG-200261</t>
  </si>
  <si>
    <t xml:space="preserve">MCH-100261</t>
  </si>
  <si>
    <t xml:space="preserve">ORG-200262</t>
  </si>
  <si>
    <t xml:space="preserve">MCH-100262</t>
  </si>
  <si>
    <t xml:space="preserve">ORG-200263</t>
  </si>
  <si>
    <t xml:space="preserve">MCH-100263</t>
  </si>
  <si>
    <t xml:space="preserve">ORG-200264</t>
  </si>
  <si>
    <t xml:space="preserve">MCH-100264</t>
  </si>
  <si>
    <t xml:space="preserve">ORG-200265</t>
  </si>
  <si>
    <t xml:space="preserve">MCH-100265</t>
  </si>
  <si>
    <t xml:space="preserve">ORG-200266</t>
  </si>
  <si>
    <t xml:space="preserve">MCH-100266</t>
  </si>
  <si>
    <t xml:space="preserve">ORG-200267</t>
  </si>
  <si>
    <t xml:space="preserve">MCH-100267</t>
  </si>
  <si>
    <t xml:space="preserve">ORG-200268</t>
  </si>
  <si>
    <t xml:space="preserve">MCH-100268</t>
  </si>
  <si>
    <t xml:space="preserve">ORG-200269</t>
  </si>
  <si>
    <t xml:space="preserve">MCH-100269</t>
  </si>
  <si>
    <t xml:space="preserve">ORG-200270</t>
  </si>
  <si>
    <t xml:space="preserve">MCH-100270</t>
  </si>
  <si>
    <t xml:space="preserve">ORG-200271</t>
  </si>
  <si>
    <t xml:space="preserve">MCH-100271</t>
  </si>
  <si>
    <t xml:space="preserve">ORG-200272</t>
  </si>
  <si>
    <t xml:space="preserve">MCH-100272</t>
  </si>
  <si>
    <t xml:space="preserve">ORG-200273</t>
  </si>
  <si>
    <t xml:space="preserve">MCH-100273</t>
  </si>
  <si>
    <t xml:space="preserve">ORG-200274</t>
  </si>
  <si>
    <t xml:space="preserve">MCH-100274</t>
  </si>
  <si>
    <t xml:space="preserve">ORG-200275</t>
  </si>
  <si>
    <t xml:space="preserve">MCH-100275</t>
  </si>
  <si>
    <t xml:space="preserve">ORG-200276</t>
  </si>
  <si>
    <t xml:space="preserve">MCH-100276</t>
  </si>
  <si>
    <t xml:space="preserve">ORG-200277</t>
  </si>
  <si>
    <t xml:space="preserve">MCH-100277</t>
  </si>
  <si>
    <t xml:space="preserve">ORG-200278</t>
  </si>
  <si>
    <t xml:space="preserve">MCH-100278</t>
  </si>
  <si>
    <t xml:space="preserve">ORG-200279</t>
  </si>
  <si>
    <t xml:space="preserve">MCH-100279</t>
  </si>
  <si>
    <t xml:space="preserve">ORG-200280</t>
  </si>
  <si>
    <t xml:space="preserve">MCH-100280</t>
  </si>
  <si>
    <t xml:space="preserve">ORG-200281</t>
  </si>
  <si>
    <t xml:space="preserve">MCH-100281</t>
  </si>
  <si>
    <t xml:space="preserve">ORG-200282</t>
  </si>
  <si>
    <t xml:space="preserve">MCH-100282</t>
  </si>
  <si>
    <t xml:space="preserve">ORG-200283</t>
  </si>
  <si>
    <t xml:space="preserve">MCH-100283</t>
  </si>
  <si>
    <t xml:space="preserve">ORG-200284</t>
  </si>
  <si>
    <t xml:space="preserve">MCH-100284</t>
  </si>
  <si>
    <t xml:space="preserve">ORG-200285</t>
  </si>
  <si>
    <t xml:space="preserve">MCH-100285</t>
  </si>
  <si>
    <t xml:space="preserve">ORG-200286</t>
  </si>
  <si>
    <t xml:space="preserve">MCH-100286</t>
  </si>
  <si>
    <t xml:space="preserve">ORG-200287</t>
  </si>
  <si>
    <t xml:space="preserve">MCH-100287</t>
  </si>
  <si>
    <t xml:space="preserve">ORG-200288</t>
  </si>
  <si>
    <t xml:space="preserve">MCH-100288</t>
  </si>
  <si>
    <t xml:space="preserve">ORG-200289</t>
  </si>
  <si>
    <t xml:space="preserve">MCH-100289</t>
  </si>
  <si>
    <t xml:space="preserve">ORG-200290</t>
  </si>
  <si>
    <t xml:space="preserve">MCH-100290</t>
  </si>
  <si>
    <t xml:space="preserve">ORG-200291</t>
  </si>
  <si>
    <t xml:space="preserve">MCH-100291</t>
  </si>
  <si>
    <t xml:space="preserve">ORG-200292</t>
  </si>
  <si>
    <t xml:space="preserve">MCH-100292</t>
  </si>
  <si>
    <t xml:space="preserve">ORG-200293</t>
  </si>
  <si>
    <t xml:space="preserve">MCH-100293</t>
  </si>
  <si>
    <t xml:space="preserve">ORG-200294</t>
  </si>
  <si>
    <t xml:space="preserve">MCH-100294</t>
  </si>
  <si>
    <t xml:space="preserve">ORG-200295</t>
  </si>
  <si>
    <t xml:space="preserve">MCH-100295</t>
  </si>
  <si>
    <t xml:space="preserve">ORG-200296</t>
  </si>
  <si>
    <t xml:space="preserve">MCH-100296</t>
  </si>
  <si>
    <t xml:space="preserve">ORG-200297</t>
  </si>
  <si>
    <t xml:space="preserve">MCH-100297</t>
  </si>
  <si>
    <t xml:space="preserve">ORG-200298</t>
  </si>
  <si>
    <t xml:space="preserve">MCH-100298</t>
  </si>
  <si>
    <t xml:space="preserve">ORG-200299</t>
  </si>
  <si>
    <t xml:space="preserve">MCH-100299</t>
  </si>
  <si>
    <t xml:space="preserve">ORG-200300</t>
  </si>
  <si>
    <t xml:space="preserve">MCH-100300</t>
  </si>
  <si>
    <t xml:space="preserve">ORG-200301</t>
  </si>
  <si>
    <t xml:space="preserve">MCH-100301</t>
  </si>
  <si>
    <t xml:space="preserve">ORG-200302</t>
  </si>
  <si>
    <t xml:space="preserve">MCH-100302</t>
  </si>
  <si>
    <t xml:space="preserve">ORG-200303</t>
  </si>
  <si>
    <t xml:space="preserve">MCH-100303</t>
  </si>
  <si>
    <t xml:space="preserve">ORG-200304</t>
  </si>
  <si>
    <t xml:space="preserve">MCH-100304</t>
  </si>
  <si>
    <t xml:space="preserve">ORG-200305</t>
  </si>
  <si>
    <t xml:space="preserve">MCH-100305</t>
  </si>
  <si>
    <t xml:space="preserve">ORG-200306</t>
  </si>
  <si>
    <t xml:space="preserve">MCH-100306</t>
  </si>
  <si>
    <t xml:space="preserve">ORG-200307</t>
  </si>
  <si>
    <t xml:space="preserve">MCH-100307</t>
  </si>
  <si>
    <t xml:space="preserve">ORG-200308</t>
  </si>
  <si>
    <t xml:space="preserve">MCH-100308</t>
  </si>
  <si>
    <t xml:space="preserve">ORG-200309</t>
  </si>
  <si>
    <t xml:space="preserve">MCH-100309</t>
  </si>
  <si>
    <t xml:space="preserve">ORG-200310</t>
  </si>
  <si>
    <t xml:space="preserve">MCH-100310</t>
  </si>
  <si>
    <t xml:space="preserve">ORG-200311</t>
  </si>
  <si>
    <t xml:space="preserve">MCH-100311</t>
  </si>
  <si>
    <t xml:space="preserve">ORG-200312</t>
  </si>
  <si>
    <t xml:space="preserve">MCH-100312</t>
  </si>
  <si>
    <t xml:space="preserve">ORG-200313</t>
  </si>
  <si>
    <t xml:space="preserve">MCH-100313</t>
  </si>
  <si>
    <t xml:space="preserve">ORG-200314</t>
  </si>
  <si>
    <t xml:space="preserve">MCH-100314</t>
  </si>
  <si>
    <t xml:space="preserve">ORG-200315</t>
  </si>
  <si>
    <t xml:space="preserve">MCH-100315</t>
  </si>
  <si>
    <t xml:space="preserve">ORG-200316</t>
  </si>
  <si>
    <t xml:space="preserve">MCH-100316</t>
  </si>
  <si>
    <t xml:space="preserve">ORG-200317</t>
  </si>
  <si>
    <t xml:space="preserve">MCH-100317</t>
  </si>
  <si>
    <t xml:space="preserve">ORG-200318</t>
  </si>
  <si>
    <t xml:space="preserve">MCH-100318</t>
  </si>
  <si>
    <t xml:space="preserve">ORG-200319</t>
  </si>
  <si>
    <t xml:space="preserve">MCH-100319</t>
  </si>
  <si>
    <t xml:space="preserve">ORG-200320</t>
  </si>
  <si>
    <t xml:space="preserve">MCH-100320</t>
  </si>
  <si>
    <t xml:space="preserve">ORG-200321</t>
  </si>
  <si>
    <t xml:space="preserve">MCH-100321</t>
  </si>
  <si>
    <t xml:space="preserve">ORG-200322</t>
  </si>
  <si>
    <t xml:space="preserve">MCH-100322</t>
  </si>
  <si>
    <t xml:space="preserve">ORG-200323</t>
  </si>
  <si>
    <t xml:space="preserve">MCH-100323</t>
  </si>
  <si>
    <t xml:space="preserve">ORG-200324</t>
  </si>
  <si>
    <t xml:space="preserve">MCH-100324</t>
  </si>
  <si>
    <t xml:space="preserve">ORG-200325</t>
  </si>
  <si>
    <t xml:space="preserve">MCH-100325</t>
  </si>
  <si>
    <t xml:space="preserve">ORG-200326</t>
  </si>
  <si>
    <t xml:space="preserve">MCH-100326</t>
  </si>
  <si>
    <t xml:space="preserve">ORG-200327</t>
  </si>
  <si>
    <t xml:space="preserve">MCH-100327</t>
  </si>
  <si>
    <t xml:space="preserve">ORG-200328</t>
  </si>
  <si>
    <t xml:space="preserve">MCH-100328</t>
  </si>
  <si>
    <t xml:space="preserve">ORG-200329</t>
  </si>
  <si>
    <t xml:space="preserve">MCH-100329</t>
  </si>
  <si>
    <t xml:space="preserve">ORG-200330</t>
  </si>
  <si>
    <t xml:space="preserve">MCH-100330</t>
  </si>
  <si>
    <t xml:space="preserve">ORG-200331</t>
  </si>
  <si>
    <t xml:space="preserve">MCH-100331</t>
  </si>
  <si>
    <t xml:space="preserve">ORG-200332</t>
  </si>
  <si>
    <t xml:space="preserve">MCH-100332</t>
  </si>
  <si>
    <t xml:space="preserve">ORG-200333</t>
  </si>
  <si>
    <t xml:space="preserve">MCH-100333</t>
  </si>
  <si>
    <t xml:space="preserve">ORG-200334</t>
  </si>
  <si>
    <t xml:space="preserve">MCH-100334</t>
  </si>
  <si>
    <t xml:space="preserve">ORG-200335</t>
  </si>
  <si>
    <t xml:space="preserve">MCH-100335</t>
  </si>
  <si>
    <t xml:space="preserve">ORG-200336</t>
  </si>
  <si>
    <t xml:space="preserve">MCH-100336</t>
  </si>
  <si>
    <t xml:space="preserve">ORG-200337</t>
  </si>
  <si>
    <t xml:space="preserve">MCH-100337</t>
  </si>
  <si>
    <t xml:space="preserve">ORG-200338</t>
  </si>
  <si>
    <t xml:space="preserve">MCH-100338</t>
  </si>
  <si>
    <t xml:space="preserve">ORG-200339</t>
  </si>
  <si>
    <t xml:space="preserve">MCH-100339</t>
  </si>
  <si>
    <t xml:space="preserve">ORG-200340</t>
  </si>
  <si>
    <t xml:space="preserve">MCH-100340</t>
  </si>
  <si>
    <t xml:space="preserve">ORG-200341</t>
  </si>
  <si>
    <t xml:space="preserve">MCH-100341</t>
  </si>
  <si>
    <t xml:space="preserve">ORG-200342</t>
  </si>
  <si>
    <t xml:space="preserve">MCH-100342</t>
  </si>
  <si>
    <t xml:space="preserve">ORG-200343</t>
  </si>
  <si>
    <t xml:space="preserve">MCH-100343</t>
  </si>
  <si>
    <t xml:space="preserve">ORG-200344</t>
  </si>
  <si>
    <t xml:space="preserve">MCH-100344</t>
  </si>
  <si>
    <t xml:space="preserve">ORG-200345</t>
  </si>
  <si>
    <t xml:space="preserve">MCH-100345</t>
  </si>
  <si>
    <t xml:space="preserve">ORG-200346</t>
  </si>
  <si>
    <t xml:space="preserve">MCH-100346</t>
  </si>
  <si>
    <t xml:space="preserve">ORG-200347</t>
  </si>
  <si>
    <t xml:space="preserve">MCH-100347</t>
  </si>
  <si>
    <t xml:space="preserve">ORG-200348</t>
  </si>
  <si>
    <t xml:space="preserve">MCH-100348</t>
  </si>
  <si>
    <t xml:space="preserve">ORG-200349</t>
  </si>
  <si>
    <t xml:space="preserve">MCH-100349</t>
  </si>
  <si>
    <t xml:space="preserve">ORG-200350</t>
  </si>
  <si>
    <t xml:space="preserve">MCH-100350</t>
  </si>
  <si>
    <t xml:space="preserve">ORG-200351</t>
  </si>
  <si>
    <t xml:space="preserve">MCH-100351</t>
  </si>
  <si>
    <t xml:space="preserve">ORG-200352</t>
  </si>
  <si>
    <t xml:space="preserve">MCH-100352</t>
  </si>
  <si>
    <t xml:space="preserve">ORG-200353</t>
  </si>
  <si>
    <t xml:space="preserve">MCH-100353</t>
  </si>
  <si>
    <t xml:space="preserve">ORG-200354</t>
  </si>
  <si>
    <t xml:space="preserve">MCH-100354</t>
  </si>
  <si>
    <t xml:space="preserve">ORG-200355</t>
  </si>
  <si>
    <t xml:space="preserve">MCH-100355</t>
  </si>
  <si>
    <t xml:space="preserve">ORG-200356</t>
  </si>
  <si>
    <t xml:space="preserve">MCH-100356</t>
  </si>
  <si>
    <t xml:space="preserve">ORG-200357</t>
  </si>
  <si>
    <t xml:space="preserve">MCH-100357</t>
  </si>
  <si>
    <t xml:space="preserve">ORG-200358</t>
  </si>
  <si>
    <t xml:space="preserve">MCH-100358</t>
  </si>
  <si>
    <t xml:space="preserve">ORG-200359</t>
  </si>
  <si>
    <t xml:space="preserve">MCH-100359</t>
  </si>
  <si>
    <t xml:space="preserve">ORG-200360</t>
  </si>
  <si>
    <t xml:space="preserve">MCH-100360</t>
  </si>
  <si>
    <t xml:space="preserve">ORG-200361</t>
  </si>
  <si>
    <t xml:space="preserve">MCH-100361</t>
  </si>
  <si>
    <t xml:space="preserve">ORG-200362</t>
  </si>
  <si>
    <t xml:space="preserve">MCH-100362</t>
  </si>
  <si>
    <t xml:space="preserve">ORG-200363</t>
  </si>
  <si>
    <t xml:space="preserve">MCH-100363</t>
  </si>
  <si>
    <t xml:space="preserve">ORG-200364</t>
  </si>
  <si>
    <t xml:space="preserve">MCH-100364</t>
  </si>
  <si>
    <t xml:space="preserve">ORG-200365</t>
  </si>
  <si>
    <t xml:space="preserve">MCH-100365</t>
  </si>
  <si>
    <t xml:space="preserve">ORG-200366</t>
  </si>
  <si>
    <t xml:space="preserve">MCH-100366</t>
  </si>
  <si>
    <t xml:space="preserve">ORG-200367</t>
  </si>
  <si>
    <t xml:space="preserve">MCH-100367</t>
  </si>
  <si>
    <t xml:space="preserve">ORG-200368</t>
  </si>
  <si>
    <t xml:space="preserve">MCH-100368</t>
  </si>
  <si>
    <t xml:space="preserve">ORG-200369</t>
  </si>
  <si>
    <t xml:space="preserve">MCH-100369</t>
  </si>
  <si>
    <t xml:space="preserve">ORG-200370</t>
  </si>
  <si>
    <t xml:space="preserve">MCH-100370</t>
  </si>
  <si>
    <t xml:space="preserve">ORG-200371</t>
  </si>
  <si>
    <t xml:space="preserve">MCH-100371</t>
  </si>
  <si>
    <t xml:space="preserve">ORG-200372</t>
  </si>
  <si>
    <t xml:space="preserve">MCH-100372</t>
  </si>
  <si>
    <t xml:space="preserve">ORG-200373</t>
  </si>
  <si>
    <t xml:space="preserve">MCH-100373</t>
  </si>
  <si>
    <t xml:space="preserve">ORG-200374</t>
  </si>
  <si>
    <t xml:space="preserve">MCH-100374</t>
  </si>
  <si>
    <t xml:space="preserve">ORG-200375</t>
  </si>
  <si>
    <t xml:space="preserve">MCH-100375</t>
  </si>
  <si>
    <t xml:space="preserve">ORG-200376</t>
  </si>
  <si>
    <t xml:space="preserve">MCH-100376</t>
  </si>
  <si>
    <t xml:space="preserve">ORG-200377</t>
  </si>
  <si>
    <t xml:space="preserve">MCH-100377</t>
  </si>
  <si>
    <t xml:space="preserve">ORG-200378</t>
  </si>
  <si>
    <t xml:space="preserve">MCH-100378</t>
  </si>
  <si>
    <t xml:space="preserve">ORG-200379</t>
  </si>
  <si>
    <t xml:space="preserve">MCH-100379</t>
  </si>
  <si>
    <t xml:space="preserve">ORG-200380</t>
  </si>
  <si>
    <t xml:space="preserve">MCH-100380</t>
  </si>
  <si>
    <t xml:space="preserve">ORG-200381</t>
  </si>
  <si>
    <t xml:space="preserve">MCH-100381</t>
  </si>
  <si>
    <t xml:space="preserve">ORG-200382</t>
  </si>
  <si>
    <t xml:space="preserve">MCH-100382</t>
  </si>
  <si>
    <t xml:space="preserve">ORG-200383</t>
  </si>
  <si>
    <t xml:space="preserve">MCH-100383</t>
  </si>
  <si>
    <t xml:space="preserve">ORG-200384</t>
  </si>
  <si>
    <t xml:space="preserve">MCH-100384</t>
  </si>
  <si>
    <t xml:space="preserve">ORG-200385</t>
  </si>
  <si>
    <t xml:space="preserve">MCH-100385</t>
  </si>
  <si>
    <t xml:space="preserve">ORG-200386</t>
  </si>
  <si>
    <t xml:space="preserve">MCH-100386</t>
  </si>
  <si>
    <t xml:space="preserve">ORG-200387</t>
  </si>
  <si>
    <t xml:space="preserve">MCH-100387</t>
  </si>
  <si>
    <t xml:space="preserve">ORG-200388</t>
  </si>
  <si>
    <t xml:space="preserve">MCH-100388</t>
  </si>
  <si>
    <t xml:space="preserve">ORG-200389</t>
  </si>
  <si>
    <t xml:space="preserve">MCH-100389</t>
  </si>
  <si>
    <t xml:space="preserve">ORG-200390</t>
  </si>
  <si>
    <t xml:space="preserve">MCH-100390</t>
  </si>
  <si>
    <t xml:space="preserve">ORG-200391</t>
  </si>
  <si>
    <t xml:space="preserve">MCH-100391</t>
  </si>
  <si>
    <t xml:space="preserve">ORG-200392</t>
  </si>
  <si>
    <t xml:space="preserve">MCH-100392</t>
  </si>
  <si>
    <t xml:space="preserve">ORG-200393</t>
  </si>
  <si>
    <t xml:space="preserve">MCH-100393</t>
  </si>
  <si>
    <t xml:space="preserve">ORG-200394</t>
  </si>
  <si>
    <t xml:space="preserve">MCH-100394</t>
  </si>
  <si>
    <t xml:space="preserve">ORG-200395</t>
  </si>
  <si>
    <t xml:space="preserve">MCH-100395</t>
  </si>
  <si>
    <t xml:space="preserve">ORG-200396</t>
  </si>
  <si>
    <t xml:space="preserve">MCH-100396</t>
  </si>
  <si>
    <t xml:space="preserve">ORG-200397</t>
  </si>
  <si>
    <t xml:space="preserve">MCH-100397</t>
  </si>
  <si>
    <t xml:space="preserve">ORG-200398</t>
  </si>
  <si>
    <t xml:space="preserve">MCH-100398</t>
  </si>
  <si>
    <t xml:space="preserve">ORG-200399</t>
  </si>
  <si>
    <t xml:space="preserve">MCH-100399</t>
  </si>
  <si>
    <t xml:space="preserve">ORG-200400</t>
  </si>
  <si>
    <t xml:space="preserve">MCH-100400</t>
  </si>
  <si>
    <t xml:space="preserve">ORG-200401</t>
  </si>
  <si>
    <t xml:space="preserve">MCH-100401</t>
  </si>
  <si>
    <t xml:space="preserve">ORG-200402</t>
  </si>
  <si>
    <t xml:space="preserve">MCH-100402</t>
  </si>
  <si>
    <t xml:space="preserve">ORG-200403</t>
  </si>
  <si>
    <t xml:space="preserve">MCH-100403</t>
  </si>
  <si>
    <t xml:space="preserve">ORG-200404</t>
  </si>
  <si>
    <t xml:space="preserve">MCH-100404</t>
  </si>
  <si>
    <t xml:space="preserve">ORG-200405</t>
  </si>
  <si>
    <t xml:space="preserve">MCH-100405</t>
  </si>
  <si>
    <t xml:space="preserve">ORG-200406</t>
  </si>
  <si>
    <t xml:space="preserve">MCH-100406</t>
  </si>
  <si>
    <t xml:space="preserve">ORG-200407</t>
  </si>
  <si>
    <t xml:space="preserve">MCH-100407</t>
  </si>
  <si>
    <t xml:space="preserve">ORG-200408</t>
  </si>
  <si>
    <t xml:space="preserve">MCH-100408</t>
  </si>
  <si>
    <t xml:space="preserve">ORG-200409</t>
  </si>
  <si>
    <t xml:space="preserve">MCH-100409</t>
  </si>
  <si>
    <t xml:space="preserve">ORG-200410</t>
  </si>
  <si>
    <t xml:space="preserve">MCH-100410</t>
  </si>
  <si>
    <t xml:space="preserve">ORG-200411</t>
  </si>
  <si>
    <t xml:space="preserve">MCH-100411</t>
  </si>
  <si>
    <t xml:space="preserve">ORG-200412</t>
  </si>
  <si>
    <t xml:space="preserve">MCH-100412</t>
  </si>
  <si>
    <t xml:space="preserve">ORG-200413</t>
  </si>
  <si>
    <t xml:space="preserve">MCH-100413</t>
  </si>
  <si>
    <t xml:space="preserve">ORG-200414</t>
  </si>
  <si>
    <t xml:space="preserve">MCH-100414</t>
  </si>
  <si>
    <t xml:space="preserve">ORG-200415</t>
  </si>
  <si>
    <t xml:space="preserve">MCH-100415</t>
  </si>
  <si>
    <t xml:space="preserve">ORG-200416</t>
  </si>
  <si>
    <t xml:space="preserve">MCH-100416</t>
  </si>
  <si>
    <t xml:space="preserve">ORG-200417</t>
  </si>
  <si>
    <t xml:space="preserve">MCH-100417</t>
  </si>
  <si>
    <t xml:space="preserve">ORG-200418</t>
  </si>
  <si>
    <t xml:space="preserve">MCH-100418</t>
  </si>
  <si>
    <t xml:space="preserve">ORG-200419</t>
  </si>
  <si>
    <t xml:space="preserve">MCH-100419</t>
  </si>
  <si>
    <t xml:space="preserve">ORG-200420</t>
  </si>
  <si>
    <t xml:space="preserve">MCH-100420</t>
  </si>
  <si>
    <t xml:space="preserve">ORG-200421</t>
  </si>
  <si>
    <t xml:space="preserve">MCH-100421</t>
  </si>
  <si>
    <t xml:space="preserve">ORG-200422</t>
  </si>
  <si>
    <t xml:space="preserve">MCH-100422</t>
  </si>
  <si>
    <t xml:space="preserve">ORG-200423</t>
  </si>
  <si>
    <t xml:space="preserve">MCH-100423</t>
  </si>
  <si>
    <t xml:space="preserve">ORG-200424</t>
  </si>
  <si>
    <t xml:space="preserve">MCH-100424</t>
  </si>
  <si>
    <t xml:space="preserve">ORG-200425</t>
  </si>
  <si>
    <t xml:space="preserve">MCH-100425</t>
  </si>
  <si>
    <t xml:space="preserve">ORG-200426</t>
  </si>
  <si>
    <t xml:space="preserve">MCH-100426</t>
  </si>
  <si>
    <t xml:space="preserve">ORG-200427</t>
  </si>
  <si>
    <t xml:space="preserve">MCH-100427</t>
  </si>
  <si>
    <t xml:space="preserve">ORG-200428</t>
  </si>
  <si>
    <t xml:space="preserve">MCH-100428</t>
  </si>
  <si>
    <t xml:space="preserve">ORG-200429</t>
  </si>
  <si>
    <t xml:space="preserve">MCH-100429</t>
  </si>
  <si>
    <t xml:space="preserve">ORG-200430</t>
  </si>
  <si>
    <t xml:space="preserve">MCH-100430</t>
  </si>
  <si>
    <t xml:space="preserve">ORG-200431</t>
  </si>
  <si>
    <t xml:space="preserve">MCH-100431</t>
  </si>
  <si>
    <t xml:space="preserve">ORG-200432</t>
  </si>
  <si>
    <t xml:space="preserve">MCH-100432</t>
  </si>
  <si>
    <t xml:space="preserve">ORG-200433</t>
  </si>
  <si>
    <t xml:space="preserve">MCH-100433</t>
  </si>
  <si>
    <t xml:space="preserve">ORG-200434</t>
  </si>
  <si>
    <t xml:space="preserve">MCH-100434</t>
  </si>
  <si>
    <t xml:space="preserve">ORG-200435</t>
  </si>
  <si>
    <t xml:space="preserve">MCH-100435</t>
  </si>
  <si>
    <t xml:space="preserve">ORG-200436</t>
  </si>
  <si>
    <t xml:space="preserve">MCH-100436</t>
  </si>
  <si>
    <t xml:space="preserve">ORG-200437</t>
  </si>
  <si>
    <t xml:space="preserve">MCH-100437</t>
  </si>
  <si>
    <t xml:space="preserve">ORG-200438</t>
  </si>
  <si>
    <t xml:space="preserve">MCH-100438</t>
  </si>
  <si>
    <t xml:space="preserve">ORG-200439</t>
  </si>
  <si>
    <t xml:space="preserve">MCH-100439</t>
  </si>
  <si>
    <t xml:space="preserve">ORG-200440</t>
  </si>
  <si>
    <t xml:space="preserve">MCH-100440</t>
  </si>
  <si>
    <t xml:space="preserve">ORG-200441</t>
  </si>
  <si>
    <t xml:space="preserve">MCH-100441</t>
  </si>
  <si>
    <t xml:space="preserve">ORG-200442</t>
  </si>
  <si>
    <t xml:space="preserve">MCH-100442</t>
  </si>
  <si>
    <t xml:space="preserve">ORG-200443</t>
  </si>
  <si>
    <t xml:space="preserve">MCH-100443</t>
  </si>
  <si>
    <t xml:space="preserve">ORG-200444</t>
  </si>
  <si>
    <t xml:space="preserve">MCH-100444</t>
  </si>
  <si>
    <t xml:space="preserve">ORG-200445</t>
  </si>
  <si>
    <t xml:space="preserve">MCH-100445</t>
  </si>
  <si>
    <t xml:space="preserve">ORG-200446</t>
  </si>
  <si>
    <t xml:space="preserve">MCH-100446</t>
  </si>
  <si>
    <t xml:space="preserve">ORG-200447</t>
  </si>
  <si>
    <t xml:space="preserve">MCH-100447</t>
  </si>
  <si>
    <t xml:space="preserve">ORG-200448</t>
  </si>
  <si>
    <t xml:space="preserve">MCH-100448</t>
  </si>
  <si>
    <t xml:space="preserve">ORG-200449</t>
  </si>
  <si>
    <t xml:space="preserve">MCH-100449</t>
  </si>
  <si>
    <t xml:space="preserve">ORG-200450</t>
  </si>
  <si>
    <t xml:space="preserve">MCH-100450</t>
  </si>
  <si>
    <t xml:space="preserve">ORG-200451</t>
  </si>
  <si>
    <t xml:space="preserve">MCH-100451</t>
  </si>
  <si>
    <t xml:space="preserve">ORG-200452</t>
  </si>
  <si>
    <t xml:space="preserve">MCH-100452</t>
  </si>
  <si>
    <t xml:space="preserve">ORG-200453</t>
  </si>
  <si>
    <t xml:space="preserve">MCH-100453</t>
  </si>
  <si>
    <t xml:space="preserve">ORG-200454</t>
  </si>
  <si>
    <t xml:space="preserve">MCH-100454</t>
  </si>
  <si>
    <t xml:space="preserve">ORG-200455</t>
  </si>
  <si>
    <t xml:space="preserve">MCH-100455</t>
  </si>
  <si>
    <t xml:space="preserve">ORG-200456</t>
  </si>
  <si>
    <t xml:space="preserve">MCH-100456</t>
  </si>
  <si>
    <t xml:space="preserve">ORG-200457</t>
  </si>
  <si>
    <t xml:space="preserve">MCH-100457</t>
  </si>
  <si>
    <t xml:space="preserve">ORG-200458</t>
  </si>
  <si>
    <t xml:space="preserve">MCH-100458</t>
  </si>
  <si>
    <t xml:space="preserve">ORG-200459</t>
  </si>
  <si>
    <t xml:space="preserve">MCH-100459</t>
  </si>
  <si>
    <t xml:space="preserve">ORG-200460</t>
  </si>
  <si>
    <t xml:space="preserve">MCH-100460</t>
  </si>
  <si>
    <t xml:space="preserve">ORG-200461</t>
  </si>
  <si>
    <t xml:space="preserve">MCH-100461</t>
  </si>
  <si>
    <t xml:space="preserve">ORG-200462</t>
  </si>
  <si>
    <t xml:space="preserve">MCH-100462</t>
  </si>
  <si>
    <t xml:space="preserve">ORG-200463</t>
  </si>
  <si>
    <t xml:space="preserve">MCH-100463</t>
  </si>
  <si>
    <t xml:space="preserve">ORG-200464</t>
  </si>
  <si>
    <t xml:space="preserve">MCH-100464</t>
  </si>
  <si>
    <t xml:space="preserve">ORG-200465</t>
  </si>
  <si>
    <t xml:space="preserve">MCH-100465</t>
  </si>
  <si>
    <t xml:space="preserve">ORG-200466</t>
  </si>
  <si>
    <t xml:space="preserve">MCH-100466</t>
  </si>
  <si>
    <t xml:space="preserve">ORG-200467</t>
  </si>
  <si>
    <t xml:space="preserve">MCH-100467</t>
  </si>
  <si>
    <t xml:space="preserve">ORG-200468</t>
  </si>
  <si>
    <t xml:space="preserve">MCH-100468</t>
  </si>
  <si>
    <t xml:space="preserve">ORG-200469</t>
  </si>
  <si>
    <t xml:space="preserve">MCH-100469</t>
  </si>
  <si>
    <t xml:space="preserve">ORG-200470</t>
  </si>
  <si>
    <t xml:space="preserve">MCH-100470</t>
  </si>
  <si>
    <t xml:space="preserve">ORG-200471</t>
  </si>
  <si>
    <t xml:space="preserve">MCH-100471</t>
  </si>
  <si>
    <t xml:space="preserve">ORG-200472</t>
  </si>
  <si>
    <t xml:space="preserve">MCH-100472</t>
  </si>
  <si>
    <t xml:space="preserve">ORG-200473</t>
  </si>
  <si>
    <t xml:space="preserve">MCH-100473</t>
  </si>
  <si>
    <t xml:space="preserve">ORG-200474</t>
  </si>
  <si>
    <t xml:space="preserve">MCH-100474</t>
  </si>
  <si>
    <t xml:space="preserve">ORG-200475</t>
  </si>
  <si>
    <t xml:space="preserve">MCH-100475</t>
  </si>
  <si>
    <t xml:space="preserve">ORG-200476</t>
  </si>
  <si>
    <t xml:space="preserve">MCH-100476</t>
  </si>
  <si>
    <t xml:space="preserve">ORG-200477</t>
  </si>
  <si>
    <t xml:space="preserve">MCH-100477</t>
  </si>
  <si>
    <t xml:space="preserve">ORG-200478</t>
  </si>
  <si>
    <t xml:space="preserve">MCH-100478</t>
  </si>
  <si>
    <t xml:space="preserve">ORG-200479</t>
  </si>
  <si>
    <t xml:space="preserve">MCH-100479</t>
  </si>
  <si>
    <t xml:space="preserve">ORG-200480</t>
  </si>
  <si>
    <t xml:space="preserve">MCH-100480</t>
  </si>
  <si>
    <t xml:space="preserve">ORG-200481</t>
  </si>
  <si>
    <t xml:space="preserve">MCH-100481</t>
  </si>
  <si>
    <t xml:space="preserve">ORG-200482</t>
  </si>
  <si>
    <t xml:space="preserve">MCH-100482</t>
  </si>
  <si>
    <t xml:space="preserve">ORG-200483</t>
  </si>
  <si>
    <t xml:space="preserve">MCH-100483</t>
  </si>
  <si>
    <t xml:space="preserve">ORG-200484</t>
  </si>
  <si>
    <t xml:space="preserve">MCH-100484</t>
  </si>
  <si>
    <t xml:space="preserve">ORG-200485</t>
  </si>
  <si>
    <t xml:space="preserve">MCH-100485</t>
  </si>
  <si>
    <t xml:space="preserve">ORG-200486</t>
  </si>
  <si>
    <t xml:space="preserve">MCH-100486</t>
  </si>
  <si>
    <t xml:space="preserve">ORG-200487</t>
  </si>
  <si>
    <t xml:space="preserve">MCH-100487</t>
  </si>
  <si>
    <t xml:space="preserve">ORG-200488</t>
  </si>
  <si>
    <t xml:space="preserve">MCH-100488</t>
  </si>
  <si>
    <t xml:space="preserve">ORG-200489</t>
  </si>
  <si>
    <t xml:space="preserve">MCH-100489</t>
  </si>
  <si>
    <t xml:space="preserve">ORG-200490</t>
  </si>
  <si>
    <t xml:space="preserve">MCH-100490</t>
  </si>
  <si>
    <t xml:space="preserve">ORG-200491</t>
  </si>
  <si>
    <t xml:space="preserve">MCH-100491</t>
  </si>
  <si>
    <t xml:space="preserve">ORG-200492</t>
  </si>
  <si>
    <t xml:space="preserve">MCH-100492</t>
  </si>
  <si>
    <t xml:space="preserve">ORG-200493</t>
  </si>
  <si>
    <t xml:space="preserve">MCH-100493</t>
  </si>
  <si>
    <t xml:space="preserve">ORG-200494</t>
  </si>
  <si>
    <t xml:space="preserve">MCH-100494</t>
  </si>
  <si>
    <t xml:space="preserve">ORG-200495</t>
  </si>
  <si>
    <t xml:space="preserve">MCH-100495</t>
  </si>
  <si>
    <t xml:space="preserve">ORG-200496</t>
  </si>
  <si>
    <t xml:space="preserve">MCH-100496</t>
  </si>
  <si>
    <t xml:space="preserve">ORG-200497</t>
  </si>
  <si>
    <t xml:space="preserve">MCH-100497</t>
  </si>
  <si>
    <t xml:space="preserve">ORG-200498</t>
  </si>
  <si>
    <t xml:space="preserve">MCH-100498</t>
  </si>
  <si>
    <t xml:space="preserve">ORG-200499</t>
  </si>
  <si>
    <t xml:space="preserve">MCH-100499</t>
  </si>
  <si>
    <t xml:space="preserve">ORG-200500</t>
  </si>
  <si>
    <t xml:space="preserve">MCH-100500</t>
  </si>
  <si>
    <t xml:space="preserve">ORG-200501</t>
  </si>
  <si>
    <t xml:space="preserve">MCH-100501</t>
  </si>
  <si>
    <t xml:space="preserve">ORG-200502</t>
  </si>
  <si>
    <t xml:space="preserve">MCH-100502</t>
  </si>
  <si>
    <t xml:space="preserve">ORG-200503</t>
  </si>
  <si>
    <t xml:space="preserve">MCH-100503</t>
  </si>
  <si>
    <t xml:space="preserve">ORG-200504</t>
  </si>
  <si>
    <t xml:space="preserve">MCH-100504</t>
  </si>
  <si>
    <t xml:space="preserve">ORG-200505</t>
  </si>
  <si>
    <t xml:space="preserve">MCH-100505</t>
  </si>
  <si>
    <t xml:space="preserve">ORG-200506</t>
  </si>
  <si>
    <t xml:space="preserve">MCH-100506</t>
  </si>
  <si>
    <t xml:space="preserve">ORG-200507</t>
  </si>
  <si>
    <t xml:space="preserve">MCH-100507</t>
  </si>
  <si>
    <t xml:space="preserve">ORG-200508</t>
  </si>
  <si>
    <t xml:space="preserve">MCH-100508</t>
  </si>
  <si>
    <t xml:space="preserve">ORG-200509</t>
  </si>
  <si>
    <t xml:space="preserve">MCH-100509</t>
  </si>
  <si>
    <t xml:space="preserve">ORG-200510</t>
  </si>
  <si>
    <t xml:space="preserve">MCH-100510</t>
  </si>
  <si>
    <t xml:space="preserve">ORG-200511</t>
  </si>
  <si>
    <t xml:space="preserve">MCH-100511</t>
  </si>
  <si>
    <t xml:space="preserve">ORG-200512</t>
  </si>
  <si>
    <t xml:space="preserve">MCH-100512</t>
  </si>
  <si>
    <t xml:space="preserve">ORG-200513</t>
  </si>
  <si>
    <t xml:space="preserve">MCH-100513</t>
  </si>
  <si>
    <t xml:space="preserve">ORG-200514</t>
  </si>
  <si>
    <t xml:space="preserve">MCH-100514</t>
  </si>
  <si>
    <t xml:space="preserve">ORG-200515</t>
  </si>
  <si>
    <t xml:space="preserve">MCH-100515</t>
  </si>
  <si>
    <t xml:space="preserve">ORG-200516</t>
  </si>
  <si>
    <t xml:space="preserve">MCH-100516</t>
  </si>
  <si>
    <t xml:space="preserve">ORG-200517</t>
  </si>
  <si>
    <t xml:space="preserve">MCH-100517</t>
  </si>
  <si>
    <t xml:space="preserve">ORG-200518</t>
  </si>
  <si>
    <t xml:space="preserve">MCH-100518</t>
  </si>
  <si>
    <t xml:space="preserve">ORG-200519</t>
  </si>
  <si>
    <t xml:space="preserve">MCH-100519</t>
  </si>
  <si>
    <t xml:space="preserve">ORG-200520</t>
  </si>
  <si>
    <t xml:space="preserve">MCH-100520</t>
  </si>
  <si>
    <t xml:space="preserve">ORG-200521</t>
  </si>
  <si>
    <t xml:space="preserve">MCH-100521</t>
  </si>
  <si>
    <t xml:space="preserve">ORG-200522</t>
  </si>
  <si>
    <t xml:space="preserve">MCH-100522</t>
  </si>
  <si>
    <t xml:space="preserve">ORG-200523</t>
  </si>
  <si>
    <t xml:space="preserve">MCH-100523</t>
  </si>
  <si>
    <t xml:space="preserve">ORG-200524</t>
  </si>
  <si>
    <t xml:space="preserve">MCH-100524</t>
  </si>
  <si>
    <t xml:space="preserve">ORG-200525</t>
  </si>
  <si>
    <t xml:space="preserve">MCH-100525</t>
  </si>
  <si>
    <t xml:space="preserve">ORG-200526</t>
  </si>
  <si>
    <t xml:space="preserve">MCH-100526</t>
  </si>
  <si>
    <t xml:space="preserve">ORG-200527</t>
  </si>
  <si>
    <t xml:space="preserve">MCH-100527</t>
  </si>
  <si>
    <t xml:space="preserve">ORG-200528</t>
  </si>
  <si>
    <t xml:space="preserve">MCH-100528</t>
  </si>
  <si>
    <t xml:space="preserve">ORG-200529</t>
  </si>
  <si>
    <t xml:space="preserve">MCH-100529</t>
  </si>
  <si>
    <t xml:space="preserve">ORG-200530</t>
  </si>
  <si>
    <t xml:space="preserve">MCH-100530</t>
  </si>
  <si>
    <t xml:space="preserve">ORG-200531</t>
  </si>
  <si>
    <t xml:space="preserve">MCH-100531</t>
  </si>
  <si>
    <t xml:space="preserve">ORG-200532</t>
  </si>
  <si>
    <t xml:space="preserve">MCH-100532</t>
  </si>
  <si>
    <t xml:space="preserve">ORG-200533</t>
  </si>
  <si>
    <t xml:space="preserve">MCH-100533</t>
  </si>
  <si>
    <t xml:space="preserve">ORG-200534</t>
  </si>
  <si>
    <t xml:space="preserve">MCH-100534</t>
  </si>
  <si>
    <t xml:space="preserve">ORG-200535</t>
  </si>
  <si>
    <t xml:space="preserve">MCH-100535</t>
  </si>
  <si>
    <t xml:space="preserve">ORG-200536</t>
  </si>
  <si>
    <t xml:space="preserve">MCH-100536</t>
  </si>
  <si>
    <t xml:space="preserve">ORG-200537</t>
  </si>
  <si>
    <t xml:space="preserve">MCH-100537</t>
  </si>
  <si>
    <t xml:space="preserve">ORG-200538</t>
  </si>
  <si>
    <t xml:space="preserve">MCH-100538</t>
  </si>
  <si>
    <t xml:space="preserve">ORG-200539</t>
  </si>
  <si>
    <t xml:space="preserve">MCH-100539</t>
  </si>
  <si>
    <t xml:space="preserve">ORG-200540</t>
  </si>
  <si>
    <t xml:space="preserve">MCH-100540</t>
  </si>
  <si>
    <t xml:space="preserve">ORG-200541</t>
  </si>
  <si>
    <t xml:space="preserve">MCH-100541</t>
  </si>
  <si>
    <t xml:space="preserve">ORG-200542</t>
  </si>
  <si>
    <t xml:space="preserve">MCH-100542</t>
  </si>
  <si>
    <t xml:space="preserve">ORG-200543</t>
  </si>
  <si>
    <t xml:space="preserve">MCH-100543</t>
  </si>
  <si>
    <t xml:space="preserve">ORG-200544</t>
  </si>
  <si>
    <t xml:space="preserve">MCH-100544</t>
  </si>
  <si>
    <t xml:space="preserve">ORG-200545</t>
  </si>
  <si>
    <t xml:space="preserve">MCH-100545</t>
  </si>
  <si>
    <t xml:space="preserve">ORG-200546</t>
  </si>
  <si>
    <t xml:space="preserve">MCH-100546</t>
  </si>
  <si>
    <t xml:space="preserve">ORG-200547</t>
  </si>
  <si>
    <t xml:space="preserve">MCH-100547</t>
  </si>
  <si>
    <t xml:space="preserve">ORG-200548</t>
  </si>
  <si>
    <t xml:space="preserve">MCH-100548</t>
  </si>
  <si>
    <t xml:space="preserve">ORG-200549</t>
  </si>
  <si>
    <t xml:space="preserve">MCH-100549</t>
  </si>
  <si>
    <t xml:space="preserve">ORG-200550</t>
  </si>
  <si>
    <t xml:space="preserve">MCH-100550</t>
  </si>
  <si>
    <t xml:space="preserve">ORG-200551</t>
  </si>
  <si>
    <t xml:space="preserve">MCH-100551</t>
  </si>
  <si>
    <t xml:space="preserve">ORG-200552</t>
  </si>
  <si>
    <t xml:space="preserve">MCH-100552</t>
  </si>
  <si>
    <t xml:space="preserve">ORG-200553</t>
  </si>
  <si>
    <t xml:space="preserve">MCH-100553</t>
  </si>
  <si>
    <t xml:space="preserve">ORG-200554</t>
  </si>
  <si>
    <t xml:space="preserve">MCH-100554</t>
  </si>
  <si>
    <t xml:space="preserve">ORG-200555</t>
  </si>
  <si>
    <t xml:space="preserve">MCH-100555</t>
  </si>
  <si>
    <t xml:space="preserve">ORG-200556</t>
  </si>
  <si>
    <t xml:space="preserve">MCH-100556</t>
  </si>
  <si>
    <t xml:space="preserve">ORG-200557</t>
  </si>
  <si>
    <t xml:space="preserve">MCH-100557</t>
  </si>
  <si>
    <t xml:space="preserve">ORG-200558</t>
  </si>
  <si>
    <t xml:space="preserve">MCH-100558</t>
  </si>
  <si>
    <t xml:space="preserve">ORG-200559</t>
  </si>
  <si>
    <t xml:space="preserve">MCH-100559</t>
  </si>
  <si>
    <t xml:space="preserve">ORG-200560</t>
  </si>
  <si>
    <t xml:space="preserve">MCH-100560</t>
  </si>
  <si>
    <t xml:space="preserve">ORG-200561</t>
  </si>
  <si>
    <t xml:space="preserve">MCH-100561</t>
  </si>
  <si>
    <t xml:space="preserve">ORG-200562</t>
  </si>
  <si>
    <t xml:space="preserve">MCH-100562</t>
  </si>
  <si>
    <t xml:space="preserve">ORG-200563</t>
  </si>
  <si>
    <t xml:space="preserve">MCH-100563</t>
  </si>
  <si>
    <t xml:space="preserve">ORG-200564</t>
  </si>
  <si>
    <t xml:space="preserve">MCH-100564</t>
  </si>
  <si>
    <t xml:space="preserve">ORG-200565</t>
  </si>
  <si>
    <t xml:space="preserve">MCH-100565</t>
  </si>
  <si>
    <t xml:space="preserve">ORG-200566</t>
  </si>
  <si>
    <t xml:space="preserve">MCH-100566</t>
  </si>
  <si>
    <t xml:space="preserve">ORG-200567</t>
  </si>
  <si>
    <t xml:space="preserve">MCH-100567</t>
  </si>
  <si>
    <t xml:space="preserve">ORG-200568</t>
  </si>
  <si>
    <t xml:space="preserve">MCH-100568</t>
  </si>
  <si>
    <t xml:space="preserve">ORG-200569</t>
  </si>
  <si>
    <t xml:space="preserve">MCH-100569</t>
  </si>
  <si>
    <t xml:space="preserve">ORG-200570</t>
  </si>
  <si>
    <t xml:space="preserve">MCH-100570</t>
  </si>
  <si>
    <t xml:space="preserve">ORG-200571</t>
  </si>
  <si>
    <t xml:space="preserve">MCH-100571</t>
  </si>
  <si>
    <t xml:space="preserve">ORG-200572</t>
  </si>
  <si>
    <t xml:space="preserve">MCH-100572</t>
  </si>
  <si>
    <t xml:space="preserve">ORG-200573</t>
  </si>
  <si>
    <t xml:space="preserve">MCH-100573</t>
  </si>
  <si>
    <t xml:space="preserve">ORG-200574</t>
  </si>
  <si>
    <t xml:space="preserve">MCH-100574</t>
  </si>
  <si>
    <t xml:space="preserve">ORG-200575</t>
  </si>
  <si>
    <t xml:space="preserve">MCH-100575</t>
  </si>
  <si>
    <t xml:space="preserve">ORG-200576</t>
  </si>
  <si>
    <t xml:space="preserve">MCH-100576</t>
  </si>
  <si>
    <t xml:space="preserve">ORG-200577</t>
  </si>
  <si>
    <t xml:space="preserve">MCH-100577</t>
  </si>
  <si>
    <t xml:space="preserve">ORG-200578</t>
  </si>
  <si>
    <t xml:space="preserve">MCH-100578</t>
  </si>
  <si>
    <t xml:space="preserve">ORG-200579</t>
  </si>
  <si>
    <t xml:space="preserve">MCH-100579</t>
  </si>
  <si>
    <t xml:space="preserve">ORG-200580</t>
  </si>
  <si>
    <t xml:space="preserve">MCH-100580</t>
  </si>
  <si>
    <t xml:space="preserve">ORG-200581</t>
  </si>
  <si>
    <t xml:space="preserve">MCH-100581</t>
  </si>
  <si>
    <t xml:space="preserve">ORG-200582</t>
  </si>
  <si>
    <t xml:space="preserve">MCH-100582</t>
  </si>
  <si>
    <t xml:space="preserve">ORG-200583</t>
  </si>
  <si>
    <t xml:space="preserve">MCH-100583</t>
  </si>
  <si>
    <t xml:space="preserve">ORG-200584</t>
  </si>
  <si>
    <t xml:space="preserve">MCH-100584</t>
  </si>
  <si>
    <t xml:space="preserve">ORG-200585</t>
  </si>
  <si>
    <t xml:space="preserve">MCH-100585</t>
  </si>
  <si>
    <t xml:space="preserve">ORG-200586</t>
  </si>
  <si>
    <t xml:space="preserve">MCH-100586</t>
  </si>
  <si>
    <t xml:space="preserve">ORG-200587</t>
  </si>
  <si>
    <t xml:space="preserve">MCH-100587</t>
  </si>
  <si>
    <t xml:space="preserve">ORG-200588</t>
  </si>
  <si>
    <t xml:space="preserve">MCH-100588</t>
  </si>
  <si>
    <t xml:space="preserve">ORG-200589</t>
  </si>
  <si>
    <t xml:space="preserve">MCH-100589</t>
  </si>
  <si>
    <t xml:space="preserve">ORG-200590</t>
  </si>
  <si>
    <t xml:space="preserve">MCH-100590</t>
  </si>
  <si>
    <t xml:space="preserve">ORG-200591</t>
  </si>
  <si>
    <t xml:space="preserve">MCH-100591</t>
  </si>
  <si>
    <t xml:space="preserve">ORG-200592</t>
  </si>
  <si>
    <t xml:space="preserve">MCH-100592</t>
  </si>
  <si>
    <t xml:space="preserve">ORG-200593</t>
  </si>
  <si>
    <t xml:space="preserve">MCH-100593</t>
  </si>
  <si>
    <t xml:space="preserve">ORG-200594</t>
  </si>
  <si>
    <t xml:space="preserve">MCH-100594</t>
  </si>
  <si>
    <t xml:space="preserve">ORG-200595</t>
  </si>
  <si>
    <t xml:space="preserve">MCH-100595</t>
  </si>
  <si>
    <t xml:space="preserve">ORG-200596</t>
  </si>
  <si>
    <t xml:space="preserve">MCH-100596</t>
  </si>
  <si>
    <t xml:space="preserve">ORG-200597</t>
  </si>
  <si>
    <t xml:space="preserve">MCH-100597</t>
  </si>
  <si>
    <t xml:space="preserve">ORG-200598</t>
  </si>
  <si>
    <t xml:space="preserve">MCH-100598</t>
  </si>
  <si>
    <t xml:space="preserve">ORG-200599</t>
  </si>
  <si>
    <t xml:space="preserve">MCH-100599</t>
  </si>
  <si>
    <t xml:space="preserve">ORG-200600</t>
  </si>
  <si>
    <t xml:space="preserve">MCH-100600</t>
  </si>
  <si>
    <t xml:space="preserve">ORG-200601</t>
  </si>
  <si>
    <t xml:space="preserve">MCH-100601</t>
  </si>
  <si>
    <t xml:space="preserve">ORG-200602</t>
  </si>
  <si>
    <t xml:space="preserve">MCH-100602</t>
  </si>
  <si>
    <t xml:space="preserve">ORG-200603</t>
  </si>
  <si>
    <t xml:space="preserve">MCH-100603</t>
  </si>
  <si>
    <t xml:space="preserve">ORG-200604</t>
  </si>
  <si>
    <t xml:space="preserve">MCH-100604</t>
  </si>
  <si>
    <t xml:space="preserve">ORG-200605</t>
  </si>
  <si>
    <t xml:space="preserve">MCH-100605</t>
  </si>
  <si>
    <t xml:space="preserve">ORG-200606</t>
  </si>
  <si>
    <t xml:space="preserve">MCH-100606</t>
  </si>
  <si>
    <t xml:space="preserve">ORG-200607</t>
  </si>
  <si>
    <t xml:space="preserve">MCH-100607</t>
  </si>
  <si>
    <t xml:space="preserve">ORG-200608</t>
  </si>
  <si>
    <t xml:space="preserve">MCH-100608</t>
  </si>
  <si>
    <t xml:space="preserve">ORG-200609</t>
  </si>
  <si>
    <t xml:space="preserve">MCH-100609</t>
  </si>
  <si>
    <t xml:space="preserve">ORG-200610</t>
  </si>
  <si>
    <t xml:space="preserve">MCH-100610</t>
  </si>
  <si>
    <t xml:space="preserve">ORG-200611</t>
  </si>
  <si>
    <t xml:space="preserve">MCH-100611</t>
  </si>
  <si>
    <t xml:space="preserve">ORG-200612</t>
  </si>
  <si>
    <t xml:space="preserve">MCH-100612</t>
  </si>
  <si>
    <t xml:space="preserve">ORG-200613</t>
  </si>
  <si>
    <t xml:space="preserve">MCH-100613</t>
  </si>
  <si>
    <t xml:space="preserve">ORG-200614</t>
  </si>
  <si>
    <t xml:space="preserve">MCH-100614</t>
  </si>
  <si>
    <t xml:space="preserve">ORG-200615</t>
  </si>
  <si>
    <t xml:space="preserve">MCH-100615</t>
  </si>
  <si>
    <t xml:space="preserve">ORG-200616</t>
  </si>
  <si>
    <t xml:space="preserve">MCH-100616</t>
  </si>
  <si>
    <t xml:space="preserve">ORG-200617</t>
  </si>
  <si>
    <t xml:space="preserve">MCH-100617</t>
  </si>
  <si>
    <t xml:space="preserve">ORG-200618</t>
  </si>
  <si>
    <t xml:space="preserve">MCH-100618</t>
  </si>
  <si>
    <t xml:space="preserve">ORG-200619</t>
  </si>
  <si>
    <t xml:space="preserve">MCH-100619</t>
  </si>
  <si>
    <t xml:space="preserve">ORG-200620</t>
  </si>
  <si>
    <t xml:space="preserve">MCH-100620</t>
  </si>
  <si>
    <t xml:space="preserve">ORG-200621</t>
  </si>
  <si>
    <t xml:space="preserve">MCH-100621</t>
  </si>
  <si>
    <t xml:space="preserve">ORG-200622</t>
  </si>
  <si>
    <t xml:space="preserve">MCH-100622</t>
  </si>
  <si>
    <t xml:space="preserve">ORG-200623</t>
  </si>
  <si>
    <t xml:space="preserve">MCH-100623</t>
  </si>
  <si>
    <t xml:space="preserve">ORG-200624</t>
  </si>
  <si>
    <t xml:space="preserve">MCH-100624</t>
  </si>
  <si>
    <t xml:space="preserve">ORG-200625</t>
  </si>
  <si>
    <t xml:space="preserve">MCH-100625</t>
  </si>
  <si>
    <t xml:space="preserve">ORG-200626</t>
  </si>
  <si>
    <t xml:space="preserve">MCH-100626</t>
  </si>
  <si>
    <t xml:space="preserve">ORG-200627</t>
  </si>
  <si>
    <t xml:space="preserve">MCH-100627</t>
  </si>
  <si>
    <t xml:space="preserve">ORG-200628</t>
  </si>
  <si>
    <t xml:space="preserve">MCH-100628</t>
  </si>
  <si>
    <t xml:space="preserve">ORG-200629</t>
  </si>
  <si>
    <t xml:space="preserve">MCH-100629</t>
  </si>
  <si>
    <t xml:space="preserve">ORG-200630</t>
  </si>
  <si>
    <t xml:space="preserve">MCH-100630</t>
  </si>
  <si>
    <t xml:space="preserve">ORG-200631</t>
  </si>
  <si>
    <t xml:space="preserve">MCH-100631</t>
  </si>
  <si>
    <t xml:space="preserve">ORG-200632</t>
  </si>
  <si>
    <t xml:space="preserve">MCH-100632</t>
  </si>
  <si>
    <t xml:space="preserve">ORG-200633</t>
  </si>
  <si>
    <t xml:space="preserve">MCH-100633</t>
  </si>
  <si>
    <t xml:space="preserve">ORG-200634</t>
  </si>
  <si>
    <t xml:space="preserve">MCH-100634</t>
  </si>
  <si>
    <t xml:space="preserve">ORG-200635</t>
  </si>
  <si>
    <t xml:space="preserve">MCH-100635</t>
  </si>
  <si>
    <t xml:space="preserve">ORG-200636</t>
  </si>
  <si>
    <t xml:space="preserve">MCH-100636</t>
  </si>
  <si>
    <t xml:space="preserve">ORG-200637</t>
  </si>
  <si>
    <t xml:space="preserve">MCH-100637</t>
  </si>
  <si>
    <t xml:space="preserve">ORG-200638</t>
  </si>
  <si>
    <t xml:space="preserve">MCH-100638</t>
  </si>
  <si>
    <t xml:space="preserve">ORG-200639</t>
  </si>
  <si>
    <t xml:space="preserve">MCH-100639</t>
  </si>
  <si>
    <t xml:space="preserve">ORG-200640</t>
  </si>
  <si>
    <t xml:space="preserve">MCH-100640</t>
  </si>
  <si>
    <t xml:space="preserve">ORG-200641</t>
  </si>
  <si>
    <t xml:space="preserve">MCH-100641</t>
  </si>
  <si>
    <t xml:space="preserve">ORG-200642</t>
  </si>
  <si>
    <t xml:space="preserve">MCH-100642</t>
  </si>
  <si>
    <t xml:space="preserve">ORG-200643</t>
  </si>
  <si>
    <t xml:space="preserve">MCH-100643</t>
  </si>
  <si>
    <t xml:space="preserve">ORG-200644</t>
  </si>
  <si>
    <t xml:space="preserve">MCH-100644</t>
  </si>
  <si>
    <t xml:space="preserve">ORG-200645</t>
  </si>
  <si>
    <t xml:space="preserve">MCH-100645</t>
  </si>
  <si>
    <t xml:space="preserve">ORG-200646</t>
  </si>
  <si>
    <t xml:space="preserve">MCH-100646</t>
  </si>
  <si>
    <t xml:space="preserve">ORG-200647</t>
  </si>
  <si>
    <t xml:space="preserve">MCH-100647</t>
  </si>
  <si>
    <t xml:space="preserve">ORG-200648</t>
  </si>
  <si>
    <t xml:space="preserve">MCH-100648</t>
  </si>
  <si>
    <t xml:space="preserve">ORG-200649</t>
  </si>
  <si>
    <t xml:space="preserve">MCH-100649</t>
  </si>
  <si>
    <t xml:space="preserve">ORG-200650</t>
  </si>
  <si>
    <t xml:space="preserve">MCH-100650</t>
  </si>
  <si>
    <t xml:space="preserve">ORG-200651</t>
  </si>
  <si>
    <t xml:space="preserve">MCH-100651</t>
  </si>
  <si>
    <t xml:space="preserve">ORG-200652</t>
  </si>
  <si>
    <t xml:space="preserve">MCH-100652</t>
  </si>
  <si>
    <t xml:space="preserve">ORG-200653</t>
  </si>
  <si>
    <t xml:space="preserve">MCH-100653</t>
  </si>
  <si>
    <t xml:space="preserve">ORG-200654</t>
  </si>
  <si>
    <t xml:space="preserve">MCH-100654</t>
  </si>
  <si>
    <t xml:space="preserve">ORG-200655</t>
  </si>
  <si>
    <t xml:space="preserve">MCH-100655</t>
  </si>
  <si>
    <t xml:space="preserve">ORG-200656</t>
  </si>
  <si>
    <t xml:space="preserve">MCH-100656</t>
  </si>
  <si>
    <t xml:space="preserve">ORG-200657</t>
  </si>
  <si>
    <t xml:space="preserve">MCH-100657</t>
  </si>
  <si>
    <t xml:space="preserve">ORG-200658</t>
  </si>
  <si>
    <t xml:space="preserve">MCH-100658</t>
  </si>
  <si>
    <t xml:space="preserve">ORG-200659</t>
  </si>
  <si>
    <t xml:space="preserve">MCH-100659</t>
  </si>
  <si>
    <t xml:space="preserve">ORG-200660</t>
  </si>
  <si>
    <t xml:space="preserve">MCH-100660</t>
  </si>
  <si>
    <t xml:space="preserve">ORG-200661</t>
  </si>
  <si>
    <t xml:space="preserve">MCH-100661</t>
  </si>
  <si>
    <t xml:space="preserve">ORG-200662</t>
  </si>
  <si>
    <t xml:space="preserve">MCH-100662</t>
  </si>
  <si>
    <t xml:space="preserve">ORG-200663</t>
  </si>
  <si>
    <t xml:space="preserve">MCH-100663</t>
  </si>
  <si>
    <t xml:space="preserve">ORG-200664</t>
  </si>
  <si>
    <t xml:space="preserve">MCH-100664</t>
  </si>
  <si>
    <t xml:space="preserve">ORG-200665</t>
  </si>
  <si>
    <t xml:space="preserve">MCH-100665</t>
  </si>
  <si>
    <t xml:space="preserve">ORG-200666</t>
  </si>
  <si>
    <t xml:space="preserve">MCH-100666</t>
  </si>
  <si>
    <t xml:space="preserve">ORG-200667</t>
  </si>
  <si>
    <t xml:space="preserve">MCH-100667</t>
  </si>
  <si>
    <t xml:space="preserve">ORG-200668</t>
  </si>
  <si>
    <t xml:space="preserve">MCH-100668</t>
  </si>
  <si>
    <t xml:space="preserve">ORG-200669</t>
  </si>
  <si>
    <t xml:space="preserve">MCH-100669</t>
  </si>
  <si>
    <t xml:space="preserve">ORG-200670</t>
  </si>
  <si>
    <t xml:space="preserve">MCH-100670</t>
  </si>
  <si>
    <t xml:space="preserve">ORG-200671</t>
  </si>
  <si>
    <t xml:space="preserve">MCH-100671</t>
  </si>
  <si>
    <t xml:space="preserve">ORG-200672</t>
  </si>
  <si>
    <t xml:space="preserve">MCH-100672</t>
  </si>
  <si>
    <t xml:space="preserve">ORG-200673</t>
  </si>
  <si>
    <t xml:space="preserve">MCH-100673</t>
  </si>
  <si>
    <t xml:space="preserve">ORG-200674</t>
  </si>
  <si>
    <t xml:space="preserve">MCH-100674</t>
  </si>
  <si>
    <t xml:space="preserve">ORG-200675</t>
  </si>
  <si>
    <t xml:space="preserve">MCH-100675</t>
  </si>
  <si>
    <t xml:space="preserve">ORG-200676</t>
  </si>
  <si>
    <t xml:space="preserve">MCH-100676</t>
  </si>
  <si>
    <t xml:space="preserve">ORG-200677</t>
  </si>
  <si>
    <t xml:space="preserve">MCH-100677</t>
  </si>
  <si>
    <t xml:space="preserve">ORG-200678</t>
  </si>
  <si>
    <t xml:space="preserve">MCH-100678</t>
  </si>
  <si>
    <t xml:space="preserve">ORG-200679</t>
  </si>
  <si>
    <t xml:space="preserve">MCH-100679</t>
  </si>
  <si>
    <t xml:space="preserve">ORG-200680</t>
  </si>
  <si>
    <t xml:space="preserve">MCH-100680</t>
  </si>
  <si>
    <t xml:space="preserve">ORG-200681</t>
  </si>
  <si>
    <t xml:space="preserve">MCH-100681</t>
  </si>
  <si>
    <t xml:space="preserve">ORG-200682</t>
  </si>
  <si>
    <t xml:space="preserve">MCH-100682</t>
  </si>
  <si>
    <t xml:space="preserve">ORG-200683</t>
  </si>
  <si>
    <t xml:space="preserve">MCH-100683</t>
  </si>
  <si>
    <t xml:space="preserve">ORG-200684</t>
  </si>
  <si>
    <t xml:space="preserve">MCH-100684</t>
  </si>
  <si>
    <t xml:space="preserve">ORG-200685</t>
  </si>
  <si>
    <t xml:space="preserve">MCH-100685</t>
  </si>
  <si>
    <t xml:space="preserve">ORG-200686</t>
  </si>
  <si>
    <t xml:space="preserve">MCH-100686</t>
  </si>
  <si>
    <t xml:space="preserve">ORG-200687</t>
  </si>
  <si>
    <t xml:space="preserve">MCH-100687</t>
  </si>
  <si>
    <t xml:space="preserve">ORG-200688</t>
  </si>
  <si>
    <t xml:space="preserve">MCH-100688</t>
  </si>
  <si>
    <t xml:space="preserve">ORG-200689</t>
  </si>
  <si>
    <t xml:space="preserve">MCH-100689</t>
  </si>
  <si>
    <t xml:space="preserve">ORG-200690</t>
  </si>
  <si>
    <t xml:space="preserve">MCH-100690</t>
  </si>
  <si>
    <t xml:space="preserve">ORG-200691</t>
  </si>
  <si>
    <t xml:space="preserve">MCH-100691</t>
  </si>
  <si>
    <t xml:space="preserve">ORG-200692</t>
  </si>
  <si>
    <t xml:space="preserve">MCH-100692</t>
  </si>
  <si>
    <t xml:space="preserve">ORG-200693</t>
  </si>
  <si>
    <t xml:space="preserve">MCH-100693</t>
  </si>
  <si>
    <t xml:space="preserve">ORG-200694</t>
  </si>
  <si>
    <t xml:space="preserve">MCH-100694</t>
  </si>
  <si>
    <t xml:space="preserve">ORG-200695</t>
  </si>
  <si>
    <t xml:space="preserve">MCH-100695</t>
  </si>
  <si>
    <t xml:space="preserve">ORG-200696</t>
  </si>
  <si>
    <t xml:space="preserve">MCH-100696</t>
  </si>
  <si>
    <t xml:space="preserve">ORG-200697</t>
  </si>
  <si>
    <t xml:space="preserve">MCH-100697</t>
  </si>
  <si>
    <t xml:space="preserve">ORG-200698</t>
  </si>
  <si>
    <t xml:space="preserve">MCH-100698</t>
  </si>
  <si>
    <t xml:space="preserve">ORG-200699</t>
  </si>
  <si>
    <t xml:space="preserve">MCH-100699</t>
  </si>
  <si>
    <t xml:space="preserve">ORG-200700</t>
  </si>
  <si>
    <t xml:space="preserve">MCH-100700</t>
  </si>
  <si>
    <t xml:space="preserve">ORG-200701</t>
  </si>
  <si>
    <t xml:space="preserve">MCH-100701</t>
  </si>
  <si>
    <t xml:space="preserve">ORG-200702</t>
  </si>
  <si>
    <t xml:space="preserve">MCH-100702</t>
  </si>
  <si>
    <t xml:space="preserve">ORG-200703</t>
  </si>
  <si>
    <t xml:space="preserve">MCH-100703</t>
  </si>
  <si>
    <t xml:space="preserve">ORG-200704</t>
  </si>
  <si>
    <t xml:space="preserve">MCH-100704</t>
  </si>
  <si>
    <t xml:space="preserve">ORG-200705</t>
  </si>
  <si>
    <t xml:space="preserve">MCH-100705</t>
  </si>
  <si>
    <t xml:space="preserve">ORG-200706</t>
  </si>
  <si>
    <t xml:space="preserve">MCH-100706</t>
  </si>
  <si>
    <t xml:space="preserve">ORG-200707</t>
  </si>
  <si>
    <t xml:space="preserve">MCH-100707</t>
  </si>
  <si>
    <t xml:space="preserve">ORG-200708</t>
  </si>
  <si>
    <t xml:space="preserve">MCH-100708</t>
  </si>
  <si>
    <t xml:space="preserve">ORG-200709</t>
  </si>
  <si>
    <t xml:space="preserve">MCH-100709</t>
  </si>
  <si>
    <t xml:space="preserve">ORG-200710</t>
  </si>
  <si>
    <t xml:space="preserve">MCH-100710</t>
  </si>
  <si>
    <t xml:space="preserve">ORG-200711</t>
  </si>
  <si>
    <t xml:space="preserve">MCH-100711</t>
  </si>
  <si>
    <t xml:space="preserve">ORG-200712</t>
  </si>
  <si>
    <t xml:space="preserve">MCH-100712</t>
  </si>
  <si>
    <t xml:space="preserve">ORG-200713</t>
  </si>
  <si>
    <t xml:space="preserve">MCH-100713</t>
  </si>
  <si>
    <t xml:space="preserve">ORG-200714</t>
  </si>
  <si>
    <t xml:space="preserve">MCH-100714</t>
  </si>
  <si>
    <t xml:space="preserve">ORG-200715</t>
  </si>
  <si>
    <t xml:space="preserve">MCH-100715</t>
  </si>
  <si>
    <t xml:space="preserve">ORG-200716</t>
  </si>
  <si>
    <t xml:space="preserve">MCH-100716</t>
  </si>
  <si>
    <t xml:space="preserve">ORG-200717</t>
  </si>
  <si>
    <t xml:space="preserve">MCH-100717</t>
  </si>
  <si>
    <t xml:space="preserve">ORG-200718</t>
  </si>
  <si>
    <t xml:space="preserve">MCH-100718</t>
  </si>
  <si>
    <t xml:space="preserve">ORG-200719</t>
  </si>
  <si>
    <t xml:space="preserve">MCH-100719</t>
  </si>
  <si>
    <t xml:space="preserve">ORG-200720</t>
  </si>
  <si>
    <t xml:space="preserve">MCH-100720</t>
  </si>
  <si>
    <t xml:space="preserve">ORG-200721</t>
  </si>
  <si>
    <t xml:space="preserve">MCH-100721</t>
  </si>
  <si>
    <t xml:space="preserve">ORG-200722</t>
  </si>
  <si>
    <t xml:space="preserve">MCH-100722</t>
  </si>
  <si>
    <t xml:space="preserve">ORG-200723</t>
  </si>
  <si>
    <t xml:space="preserve">MCH-100723</t>
  </si>
  <si>
    <t xml:space="preserve">ORG-200724</t>
  </si>
  <si>
    <t xml:space="preserve">MCH-100724</t>
  </si>
  <si>
    <t xml:space="preserve">ORG-200725</t>
  </si>
  <si>
    <t xml:space="preserve">MCH-100725</t>
  </si>
  <si>
    <t xml:space="preserve">ORG-200726</t>
  </si>
  <si>
    <t xml:space="preserve">MCH-100726</t>
  </si>
  <si>
    <t xml:space="preserve">ORG-200727</t>
  </si>
  <si>
    <t xml:space="preserve">MCH-100727</t>
  </si>
  <si>
    <t xml:space="preserve">ORG-200728</t>
  </si>
  <si>
    <t xml:space="preserve">MCH-100728</t>
  </si>
  <si>
    <t xml:space="preserve">ORG-200729</t>
  </si>
  <si>
    <t xml:space="preserve">MCH-100729</t>
  </si>
  <si>
    <t xml:space="preserve">ORG-200730</t>
  </si>
  <si>
    <t xml:space="preserve">MCH-100730</t>
  </si>
  <si>
    <t xml:space="preserve">ORG-200731</t>
  </si>
  <si>
    <t xml:space="preserve">MCH-100731</t>
  </si>
  <si>
    <t xml:space="preserve">ORG-200732</t>
  </si>
  <si>
    <t xml:space="preserve">MCH-100732</t>
  </si>
  <si>
    <t xml:space="preserve">ORG-200733</t>
  </si>
  <si>
    <t xml:space="preserve">MCH-100733</t>
  </si>
  <si>
    <t xml:space="preserve">ORG-200734</t>
  </si>
  <si>
    <t xml:space="preserve">MCH-100734</t>
  </si>
  <si>
    <t xml:space="preserve">ORG-200735</t>
  </si>
  <si>
    <t xml:space="preserve">MCH-100735</t>
  </si>
  <si>
    <t xml:space="preserve">ORG-200736</t>
  </si>
  <si>
    <t xml:space="preserve">MCH-100736</t>
  </si>
  <si>
    <t xml:space="preserve">ORG-200737</t>
  </si>
  <si>
    <t xml:space="preserve">MCH-100737</t>
  </si>
  <si>
    <t xml:space="preserve">ORG-200738</t>
  </si>
  <si>
    <t xml:space="preserve">MCH-100738</t>
  </si>
  <si>
    <t xml:space="preserve">ORG-200739</t>
  </si>
  <si>
    <t xml:space="preserve">MCH-100739</t>
  </si>
  <si>
    <t xml:space="preserve">ORG-200740</t>
  </si>
  <si>
    <t xml:space="preserve">MCH-100740</t>
  </si>
  <si>
    <t xml:space="preserve">ORG-200741</t>
  </si>
  <si>
    <t xml:space="preserve">MCH-100741</t>
  </si>
  <si>
    <t xml:space="preserve">ORG-200742</t>
  </si>
  <si>
    <t xml:space="preserve">MCH-100742</t>
  </si>
  <si>
    <t xml:space="preserve">ORG-200743</t>
  </si>
  <si>
    <t xml:space="preserve">MCH-100743</t>
  </si>
  <si>
    <t xml:space="preserve">ORG-200744</t>
  </si>
  <si>
    <t xml:space="preserve">MCH-100744</t>
  </si>
  <si>
    <t xml:space="preserve">ORG-200745</t>
  </si>
  <si>
    <t xml:space="preserve">MCH-100745</t>
  </si>
  <si>
    <t xml:space="preserve">ORG-200746</t>
  </si>
  <si>
    <t xml:space="preserve">MCH-100746</t>
  </si>
  <si>
    <t xml:space="preserve">ORG-200747</t>
  </si>
  <si>
    <t xml:space="preserve">MCH-100747</t>
  </si>
  <si>
    <t xml:space="preserve">ORG-200748</t>
  </si>
  <si>
    <t xml:space="preserve">MCH-100748</t>
  </si>
  <si>
    <t xml:space="preserve">ORG-200749</t>
  </si>
  <si>
    <t xml:space="preserve">MCH-100749</t>
  </si>
  <si>
    <t xml:space="preserve">ORG-200750</t>
  </si>
  <si>
    <t xml:space="preserve">MCH-100750</t>
  </si>
  <si>
    <t xml:space="preserve">ORG-200751</t>
  </si>
  <si>
    <t xml:space="preserve">MCH-100751</t>
  </si>
  <si>
    <t xml:space="preserve">ORG-200752</t>
  </si>
  <si>
    <t xml:space="preserve">MCH-100752</t>
  </si>
  <si>
    <t xml:space="preserve">ORG-200753</t>
  </si>
  <si>
    <t xml:space="preserve">MCH-100753</t>
  </si>
  <si>
    <t xml:space="preserve">ORG-200754</t>
  </si>
  <si>
    <t xml:space="preserve">MCH-100754</t>
  </si>
  <si>
    <t xml:space="preserve">ORG-200755</t>
  </si>
  <si>
    <t xml:space="preserve">MCH-100755</t>
  </si>
  <si>
    <t xml:space="preserve">ORG-200756</t>
  </si>
  <si>
    <t xml:space="preserve">MCH-100756</t>
  </si>
  <si>
    <t xml:space="preserve">ORG-200757</t>
  </si>
  <si>
    <t xml:space="preserve">MCH-100757</t>
  </si>
  <si>
    <t xml:space="preserve">ORG-200758</t>
  </si>
  <si>
    <t xml:space="preserve">MCH-100758</t>
  </si>
  <si>
    <t xml:space="preserve">ORG-200759</t>
  </si>
  <si>
    <t xml:space="preserve">MCH-100759</t>
  </si>
  <si>
    <t xml:space="preserve">ORG-200760</t>
  </si>
  <si>
    <t xml:space="preserve">MCH-100760</t>
  </si>
  <si>
    <t xml:space="preserve">ORG-200761</t>
  </si>
  <si>
    <t xml:space="preserve">MCH-100761</t>
  </si>
  <si>
    <t xml:space="preserve">ORG-200762</t>
  </si>
  <si>
    <t xml:space="preserve">MCH-100762</t>
  </si>
  <si>
    <t xml:space="preserve">ORG-200763</t>
  </si>
  <si>
    <t xml:space="preserve">MCH-100763</t>
  </si>
  <si>
    <t xml:space="preserve">ORG-200764</t>
  </si>
  <si>
    <t xml:space="preserve">MCH-100764</t>
  </si>
  <si>
    <t xml:space="preserve">ORG-200765</t>
  </si>
  <si>
    <t xml:space="preserve">MCH-100765</t>
  </si>
  <si>
    <t xml:space="preserve">ORG-200766</t>
  </si>
  <si>
    <t xml:space="preserve">MCH-100766</t>
  </si>
  <si>
    <t xml:space="preserve">ORG-200767</t>
  </si>
  <si>
    <t xml:space="preserve">MCH-100767</t>
  </si>
  <si>
    <t xml:space="preserve">ORG-200768</t>
  </si>
  <si>
    <t xml:space="preserve">MCH-100768</t>
  </si>
  <si>
    <t xml:space="preserve">ORG-200769</t>
  </si>
  <si>
    <t xml:space="preserve">MCH-100769</t>
  </si>
  <si>
    <t xml:space="preserve">ORG-200770</t>
  </si>
  <si>
    <t xml:space="preserve">MCH-100770</t>
  </si>
  <si>
    <t xml:space="preserve">ORG-200771</t>
  </si>
  <si>
    <t xml:space="preserve">MCH-100771</t>
  </si>
  <si>
    <t xml:space="preserve">ORG-200772</t>
  </si>
  <si>
    <t xml:space="preserve">MCH-100772</t>
  </si>
  <si>
    <t xml:space="preserve">ORG-200773</t>
  </si>
  <si>
    <t xml:space="preserve">MCH-100773</t>
  </si>
  <si>
    <t xml:space="preserve">ORG-200774</t>
  </si>
  <si>
    <t xml:space="preserve">MCH-100774</t>
  </si>
  <si>
    <t xml:space="preserve">ORG-200775</t>
  </si>
  <si>
    <t xml:space="preserve">MCH-100775</t>
  </si>
  <si>
    <t xml:space="preserve">ORG-200776</t>
  </si>
  <si>
    <t xml:space="preserve">MCH-100776</t>
  </si>
  <si>
    <t xml:space="preserve">ORG-200777</t>
  </si>
  <si>
    <t xml:space="preserve">MCH-100777</t>
  </si>
  <si>
    <t xml:space="preserve">ORG-200778</t>
  </si>
  <si>
    <t xml:space="preserve">MCH-100778</t>
  </si>
  <si>
    <t xml:space="preserve">ORG-200779</t>
  </si>
  <si>
    <t xml:space="preserve">MCH-100779</t>
  </si>
  <si>
    <t xml:space="preserve">ORG-200780</t>
  </si>
  <si>
    <t xml:space="preserve">MCH-100780</t>
  </si>
  <si>
    <t xml:space="preserve">ORG-200781</t>
  </si>
  <si>
    <t xml:space="preserve">MCH-100781</t>
  </si>
  <si>
    <t xml:space="preserve">ORG-200782</t>
  </si>
  <si>
    <t xml:space="preserve">MCH-100782</t>
  </si>
  <si>
    <t xml:space="preserve">ORG-200783</t>
  </si>
  <si>
    <t xml:space="preserve">MCH-100783</t>
  </si>
  <si>
    <t xml:space="preserve">ORG-200784</t>
  </si>
  <si>
    <t xml:space="preserve">MCH-100784</t>
  </si>
  <si>
    <t xml:space="preserve">ORG-200785</t>
  </si>
  <si>
    <t xml:space="preserve">MCH-100785</t>
  </si>
  <si>
    <t xml:space="preserve">ORG-200786</t>
  </si>
  <si>
    <t xml:space="preserve">MCH-100786</t>
  </si>
  <si>
    <t xml:space="preserve">ORG-200787</t>
  </si>
  <si>
    <t xml:space="preserve">MCH-100787</t>
  </si>
  <si>
    <t xml:space="preserve">ORG-200788</t>
  </si>
  <si>
    <t xml:space="preserve">MCH-100788</t>
  </si>
  <si>
    <t xml:space="preserve">ORG-200789</t>
  </si>
  <si>
    <t xml:space="preserve">MCH-100789</t>
  </si>
  <si>
    <t xml:space="preserve">ORG-200790</t>
  </si>
  <si>
    <t xml:space="preserve">MCH-100790</t>
  </si>
  <si>
    <t xml:space="preserve">ORG-200791</t>
  </si>
  <si>
    <t xml:space="preserve">MCH-100791</t>
  </si>
  <si>
    <t xml:space="preserve">ORG-200792</t>
  </si>
  <si>
    <t xml:space="preserve">MCH-100792</t>
  </si>
  <si>
    <t xml:space="preserve">ORG-200793</t>
  </si>
  <si>
    <t xml:space="preserve">MCH-100793</t>
  </si>
  <si>
    <t xml:space="preserve">ORG-200794</t>
  </si>
  <si>
    <t xml:space="preserve">MCH-100794</t>
  </si>
  <si>
    <t xml:space="preserve">ORG-200795</t>
  </si>
  <si>
    <t xml:space="preserve">MCH-100795</t>
  </si>
  <si>
    <t xml:space="preserve">ORG-200796</t>
  </si>
  <si>
    <t xml:space="preserve">MCH-100796</t>
  </si>
  <si>
    <t xml:space="preserve">ORG-200797</t>
  </si>
  <si>
    <t xml:space="preserve">MCH-100797</t>
  </si>
  <si>
    <t xml:space="preserve">ORG-200798</t>
  </si>
  <si>
    <t xml:space="preserve">MCH-100798</t>
  </si>
  <si>
    <t xml:space="preserve">ORG-200799</t>
  </si>
  <si>
    <t xml:space="preserve">MCH-100799</t>
  </si>
  <si>
    <t xml:space="preserve">ORG-200800</t>
  </si>
  <si>
    <t xml:space="preserve">MCH-100800</t>
  </si>
  <si>
    <t xml:space="preserve">ORG-200801</t>
  </si>
  <si>
    <t xml:space="preserve">MCH-100801</t>
  </si>
  <si>
    <t xml:space="preserve">ORG-200802</t>
  </si>
  <si>
    <t xml:space="preserve">MCH-100802</t>
  </si>
  <si>
    <t xml:space="preserve">ORG-200803</t>
  </si>
  <si>
    <t xml:space="preserve">MCH-100803</t>
  </si>
  <si>
    <t xml:space="preserve">ORG-200804</t>
  </si>
  <si>
    <t xml:space="preserve">MCH-100804</t>
  </si>
  <si>
    <t xml:space="preserve">ORG-200805</t>
  </si>
  <si>
    <t xml:space="preserve">MCH-100805</t>
  </si>
  <si>
    <t xml:space="preserve">ORG-200806</t>
  </si>
  <si>
    <t xml:space="preserve">MCH-100806</t>
  </si>
  <si>
    <t xml:space="preserve">ORG-200807</t>
  </si>
  <si>
    <t xml:space="preserve">MCH-100807</t>
  </si>
  <si>
    <t xml:space="preserve">ORG-200808</t>
  </si>
  <si>
    <t xml:space="preserve">MCH-100808</t>
  </si>
  <si>
    <t xml:space="preserve">ORG-200809</t>
  </si>
  <si>
    <t xml:space="preserve">MCH-100809</t>
  </si>
  <si>
    <t xml:space="preserve">ORG-200810</t>
  </si>
  <si>
    <t xml:space="preserve">MCH-100810</t>
  </si>
  <si>
    <t xml:space="preserve">ORG-200811</t>
  </si>
  <si>
    <t xml:space="preserve">MCH-100811</t>
  </si>
  <si>
    <t xml:space="preserve">ORG-200812</t>
  </si>
  <si>
    <t xml:space="preserve">MCH-100812</t>
  </si>
  <si>
    <t xml:space="preserve">ORG-200813</t>
  </si>
  <si>
    <t xml:space="preserve">MCH-100813</t>
  </si>
  <si>
    <t xml:space="preserve">ORG-200814</t>
  </si>
  <si>
    <t xml:space="preserve">MCH-100814</t>
  </si>
  <si>
    <t xml:space="preserve">ORG-200815</t>
  </si>
  <si>
    <t xml:space="preserve">MCH-100815</t>
  </si>
  <si>
    <t xml:space="preserve">ORG-200816</t>
  </si>
  <si>
    <t xml:space="preserve">MCH-100816</t>
  </si>
  <si>
    <t xml:space="preserve">ORG-200817</t>
  </si>
  <si>
    <t xml:space="preserve">MCH-100817</t>
  </si>
  <si>
    <t xml:space="preserve">ORG-200818</t>
  </si>
  <si>
    <t xml:space="preserve">MCH-100818</t>
  </si>
  <si>
    <t xml:space="preserve">ORG-200819</t>
  </si>
  <si>
    <t xml:space="preserve">MCH-100819</t>
  </si>
  <si>
    <t xml:space="preserve">ORG-200820</t>
  </si>
  <si>
    <t xml:space="preserve">MCH-100820</t>
  </si>
  <si>
    <t xml:space="preserve">ORG-200821</t>
  </si>
  <si>
    <t xml:space="preserve">MCH-100821</t>
  </si>
  <si>
    <t xml:space="preserve">ORG-200822</t>
  </si>
  <si>
    <t xml:space="preserve">MCH-100822</t>
  </si>
  <si>
    <t xml:space="preserve">ORG-200823</t>
  </si>
  <si>
    <t xml:space="preserve">MCH-100823</t>
  </si>
  <si>
    <t xml:space="preserve">ORG-200824</t>
  </si>
  <si>
    <t xml:space="preserve">MCH-100824</t>
  </si>
  <si>
    <t xml:space="preserve">ORG-200825</t>
  </si>
  <si>
    <t xml:space="preserve">MCH-100825</t>
  </si>
  <si>
    <t xml:space="preserve">ORG-200826</t>
  </si>
  <si>
    <t xml:space="preserve">MCH-100826</t>
  </si>
  <si>
    <t xml:space="preserve">ORG-200827</t>
  </si>
  <si>
    <t xml:space="preserve">MCH-100827</t>
  </si>
  <si>
    <t xml:space="preserve">ORG-200828</t>
  </si>
  <si>
    <t xml:space="preserve">MCH-100828</t>
  </si>
  <si>
    <t xml:space="preserve">ORG-200829</t>
  </si>
  <si>
    <t xml:space="preserve">MCH-100829</t>
  </si>
  <si>
    <t xml:space="preserve">ORG-200830</t>
  </si>
  <si>
    <t xml:space="preserve">MCH-100830</t>
  </si>
  <si>
    <t xml:space="preserve">ORG-200831</t>
  </si>
  <si>
    <t xml:space="preserve">MCH-100831</t>
  </si>
  <si>
    <t xml:space="preserve">ORG-200832</t>
  </si>
  <si>
    <t xml:space="preserve">MCH-100832</t>
  </si>
  <si>
    <t xml:space="preserve">ORG-200833</t>
  </si>
  <si>
    <t xml:space="preserve">MCH-100833</t>
  </si>
  <si>
    <t xml:space="preserve">ORG-200834</t>
  </si>
  <si>
    <t xml:space="preserve">MCH-100834</t>
  </si>
  <si>
    <t xml:space="preserve">ORG-200835</t>
  </si>
  <si>
    <t xml:space="preserve">MCH-100835</t>
  </si>
  <si>
    <t xml:space="preserve">ORG-200836</t>
  </si>
  <si>
    <t xml:space="preserve">MCH-100836</t>
  </si>
  <si>
    <t xml:space="preserve">ORG-200837</t>
  </si>
  <si>
    <t xml:space="preserve">MCH-100837</t>
  </si>
  <si>
    <t xml:space="preserve">ORG-200838</t>
  </si>
  <si>
    <t xml:space="preserve">MCH-100838</t>
  </si>
  <si>
    <t xml:space="preserve">ORG-200839</t>
  </si>
  <si>
    <t xml:space="preserve">MCH-100839</t>
  </si>
  <si>
    <t xml:space="preserve">ORG-200840</t>
  </si>
  <si>
    <t xml:space="preserve">MCH-100840</t>
  </si>
  <si>
    <t xml:space="preserve">ORG-200841</t>
  </si>
  <si>
    <t xml:space="preserve">MCH-100841</t>
  </si>
  <si>
    <t xml:space="preserve">ORG-200842</t>
  </si>
  <si>
    <t xml:space="preserve">MCH-100842</t>
  </si>
  <si>
    <t xml:space="preserve">ORG-200843</t>
  </si>
  <si>
    <t xml:space="preserve">MCH-100843</t>
  </si>
  <si>
    <t xml:space="preserve">ORG-200844</t>
  </si>
  <si>
    <t xml:space="preserve">MCH-100844</t>
  </si>
  <si>
    <t xml:space="preserve">ORG-200845</t>
  </si>
  <si>
    <t xml:space="preserve">MCH-100845</t>
  </si>
  <si>
    <t xml:space="preserve">ORG-200846</t>
  </si>
  <si>
    <t xml:space="preserve">MCH-100846</t>
  </si>
  <si>
    <t xml:space="preserve">ORG-200847</t>
  </si>
  <si>
    <t xml:space="preserve">MCH-100847</t>
  </si>
  <si>
    <t xml:space="preserve">ORG-200848</t>
  </si>
  <si>
    <t xml:space="preserve">MCH-100848</t>
  </si>
  <si>
    <t xml:space="preserve">ORG-200849</t>
  </si>
  <si>
    <t xml:space="preserve">MCH-100849</t>
  </si>
  <si>
    <t xml:space="preserve">ORG-200850</t>
  </si>
  <si>
    <t xml:space="preserve">MCH-100850</t>
  </si>
  <si>
    <t xml:space="preserve">ORG-200851</t>
  </si>
  <si>
    <t xml:space="preserve">MCH-100851</t>
  </si>
  <si>
    <t xml:space="preserve">ORG-200852</t>
  </si>
  <si>
    <t xml:space="preserve">MCH-100852</t>
  </si>
  <si>
    <t xml:space="preserve">ORG-200853</t>
  </si>
  <si>
    <t xml:space="preserve">MCH-100853</t>
  </si>
  <si>
    <t xml:space="preserve">ORG-200854</t>
  </si>
  <si>
    <t xml:space="preserve">MCH-100854</t>
  </si>
  <si>
    <t xml:space="preserve">ORG-200855</t>
  </si>
  <si>
    <t xml:space="preserve">MCH-100855</t>
  </si>
  <si>
    <t xml:space="preserve">ORG-200856</t>
  </si>
  <si>
    <t xml:space="preserve">MCH-100856</t>
  </si>
  <si>
    <t xml:space="preserve">ORG-200857</t>
  </si>
  <si>
    <t xml:space="preserve">MCH-100857</t>
  </si>
  <si>
    <t xml:space="preserve">ORG-200858</t>
  </si>
  <si>
    <t xml:space="preserve">MCH-100858</t>
  </si>
  <si>
    <t xml:space="preserve">ORG-200859</t>
  </si>
  <si>
    <t xml:space="preserve">MCH-100859</t>
  </si>
  <si>
    <t xml:space="preserve">ORG-200860</t>
  </si>
  <si>
    <t xml:space="preserve">MCH-100860</t>
  </si>
  <si>
    <t xml:space="preserve">ORG-200861</t>
  </si>
  <si>
    <t xml:space="preserve">MCH-100861</t>
  </si>
  <si>
    <t xml:space="preserve">ORG-200862</t>
  </si>
  <si>
    <t xml:space="preserve">MCH-100862</t>
  </si>
  <si>
    <t xml:space="preserve">ORG-200863</t>
  </si>
  <si>
    <t xml:space="preserve">MCH-100863</t>
  </si>
  <si>
    <t xml:space="preserve">ORG-200864</t>
  </si>
  <si>
    <t xml:space="preserve">MCH-100864</t>
  </si>
  <si>
    <t xml:space="preserve">ORG-200865</t>
  </si>
  <si>
    <t xml:space="preserve">MCH-100865</t>
  </si>
  <si>
    <t xml:space="preserve">ORG-200866</t>
  </si>
  <si>
    <t xml:space="preserve">MCH-100866</t>
  </si>
  <si>
    <t xml:space="preserve">ORG-200867</t>
  </si>
  <si>
    <t xml:space="preserve">MCH-100867</t>
  </si>
  <si>
    <t xml:space="preserve">ORG-200868</t>
  </si>
  <si>
    <t xml:space="preserve">MCH-100868</t>
  </si>
  <si>
    <t xml:space="preserve">ORG-200869</t>
  </si>
  <si>
    <t xml:space="preserve">MCH-100869</t>
  </si>
  <si>
    <t xml:space="preserve">ORG-200870</t>
  </si>
  <si>
    <t xml:space="preserve">MCH-100870</t>
  </si>
  <si>
    <t xml:space="preserve">ORG-200871</t>
  </si>
  <si>
    <t xml:space="preserve">MCH-100871</t>
  </si>
  <si>
    <t xml:space="preserve">ORG-200872</t>
  </si>
  <si>
    <t xml:space="preserve">MCH-100872</t>
  </si>
  <si>
    <t xml:space="preserve">ORG-200873</t>
  </si>
  <si>
    <t xml:space="preserve">MCH-100873</t>
  </si>
  <si>
    <t xml:space="preserve">ORG-200874</t>
  </si>
  <si>
    <t xml:space="preserve">MCH-100874</t>
  </si>
  <si>
    <t xml:space="preserve">ORG-200875</t>
  </si>
  <si>
    <t xml:space="preserve">MCH-100875</t>
  </si>
  <si>
    <t xml:space="preserve">ORG-200876</t>
  </si>
  <si>
    <t xml:space="preserve">MCH-100876</t>
  </si>
  <si>
    <t xml:space="preserve">ORG-200877</t>
  </si>
  <si>
    <t xml:space="preserve">MCH-100877</t>
  </si>
  <si>
    <t xml:space="preserve">ORG-200878</t>
  </si>
  <si>
    <t xml:space="preserve">MCH-100878</t>
  </si>
  <si>
    <t xml:space="preserve">ORG-200879</t>
  </si>
  <si>
    <t xml:space="preserve">MCH-100879</t>
  </si>
  <si>
    <t xml:space="preserve">ORG-200880</t>
  </si>
  <si>
    <t xml:space="preserve">MCH-100880</t>
  </si>
  <si>
    <t xml:space="preserve">ORG-200881</t>
  </si>
  <si>
    <t xml:space="preserve">MCH-100881</t>
  </si>
  <si>
    <t xml:space="preserve">ORG-200882</t>
  </si>
  <si>
    <t xml:space="preserve">MCH-100882</t>
  </si>
  <si>
    <t xml:space="preserve">ORG-200883</t>
  </si>
  <si>
    <t xml:space="preserve">MCH-100883</t>
  </si>
  <si>
    <t xml:space="preserve">ORG-200884</t>
  </si>
  <si>
    <t xml:space="preserve">MCH-100884</t>
  </si>
  <si>
    <t xml:space="preserve">ORG-200885</t>
  </si>
  <si>
    <t xml:space="preserve">MCH-100885</t>
  </si>
  <si>
    <t xml:space="preserve">ORG-200886</t>
  </si>
  <si>
    <t xml:space="preserve">MCH-100886</t>
  </si>
  <si>
    <t xml:space="preserve">ORG-200887</t>
  </si>
  <si>
    <t xml:space="preserve">MCH-100887</t>
  </si>
  <si>
    <t xml:space="preserve">ORG-200888</t>
  </si>
  <si>
    <t xml:space="preserve">MCH-100888</t>
  </si>
  <si>
    <t xml:space="preserve">ORG-200889</t>
  </si>
  <si>
    <t xml:space="preserve">MCH-100889</t>
  </si>
  <si>
    <t xml:space="preserve">ORG-200890</t>
  </si>
  <si>
    <t xml:space="preserve">MCH-100890</t>
  </si>
  <si>
    <t xml:space="preserve">ORG-200891</t>
  </si>
  <si>
    <t xml:space="preserve">MCH-100891</t>
  </si>
  <si>
    <t xml:space="preserve">ORG-200892</t>
  </si>
  <si>
    <t xml:space="preserve">MCH-100892</t>
  </si>
  <si>
    <t xml:space="preserve">ORG-200893</t>
  </si>
  <si>
    <t xml:space="preserve">MCH-100893</t>
  </si>
  <si>
    <t xml:space="preserve">ORG-200894</t>
  </si>
  <si>
    <t xml:space="preserve">MCH-100894</t>
  </si>
  <si>
    <t xml:space="preserve">ORG-200895</t>
  </si>
  <si>
    <t xml:space="preserve">MCH-100895</t>
  </si>
  <si>
    <t xml:space="preserve">ORG-200896</t>
  </si>
  <si>
    <t xml:space="preserve">MCH-100896</t>
  </si>
  <si>
    <t xml:space="preserve">ORG-200897</t>
  </si>
  <si>
    <t xml:space="preserve">MCH-100897</t>
  </si>
  <si>
    <t xml:space="preserve">ORG-200898</t>
  </si>
  <si>
    <t xml:space="preserve">MCH-100898</t>
  </si>
  <si>
    <t xml:space="preserve">ORG-200899</t>
  </si>
  <si>
    <t xml:space="preserve">MCH-100899</t>
  </si>
  <si>
    <t xml:space="preserve">ORG-200900</t>
  </si>
  <si>
    <t xml:space="preserve">MCH-100900</t>
  </si>
  <si>
    <t xml:space="preserve">ORG-200901</t>
  </si>
  <si>
    <t xml:space="preserve">MCH-100901</t>
  </si>
  <si>
    <t xml:space="preserve">ORG-200902</t>
  </si>
  <si>
    <t xml:space="preserve">MCH-100902</t>
  </si>
  <si>
    <t xml:space="preserve">ORG-200903</t>
  </si>
  <si>
    <t xml:space="preserve">MCH-100903</t>
  </si>
  <si>
    <t xml:space="preserve">ORG-200904</t>
  </si>
  <si>
    <t xml:space="preserve">MCH-100904</t>
  </si>
  <si>
    <t xml:space="preserve">ORG-200905</t>
  </si>
  <si>
    <t xml:space="preserve">MCH-100905</t>
  </si>
  <si>
    <t xml:space="preserve">ORG-200906</t>
  </si>
  <si>
    <t xml:space="preserve">MCH-100906</t>
  </si>
  <si>
    <t xml:space="preserve">ORG-200907</t>
  </si>
  <si>
    <t xml:space="preserve">MCH-100907</t>
  </si>
  <si>
    <t xml:space="preserve">ORG-200908</t>
  </si>
  <si>
    <t xml:space="preserve">MCH-100908</t>
  </si>
  <si>
    <t xml:space="preserve">ORG-200909</t>
  </si>
  <si>
    <t xml:space="preserve">MCH-100909</t>
  </si>
  <si>
    <t xml:space="preserve">ORG-200910</t>
  </si>
  <si>
    <t xml:space="preserve">MCH-100910</t>
  </si>
  <si>
    <t xml:space="preserve">ORG-200911</t>
  </si>
  <si>
    <t xml:space="preserve">MCH-100911</t>
  </si>
  <si>
    <t xml:space="preserve">ORG-200912</t>
  </si>
  <si>
    <t xml:space="preserve">MCH-100912</t>
  </si>
  <si>
    <t xml:space="preserve">ORG-200913</t>
  </si>
  <si>
    <t xml:space="preserve">MCH-100913</t>
  </si>
  <si>
    <t xml:space="preserve">ORG-200914</t>
  </si>
  <si>
    <t xml:space="preserve">MCH-100914</t>
  </si>
  <si>
    <t xml:space="preserve">ORG-200915</t>
  </si>
  <si>
    <t xml:space="preserve">MCH-100915</t>
  </si>
  <si>
    <t xml:space="preserve">ORG-200916</t>
  </si>
  <si>
    <t xml:space="preserve">MCH-100916</t>
  </si>
  <si>
    <t xml:space="preserve">ORG-200917</t>
  </si>
  <si>
    <t xml:space="preserve">MCH-100917</t>
  </si>
  <si>
    <t xml:space="preserve">ORG-200918</t>
  </si>
  <si>
    <t xml:space="preserve">MCH-100918</t>
  </si>
  <si>
    <t xml:space="preserve">ORG-200919</t>
  </si>
  <si>
    <t xml:space="preserve">MCH-100919</t>
  </si>
  <si>
    <t xml:space="preserve">ORG-200920</t>
  </si>
  <si>
    <t xml:space="preserve">MCH-100920</t>
  </si>
  <si>
    <t xml:space="preserve">ORG-200921</t>
  </si>
  <si>
    <t xml:space="preserve">MCH-100921</t>
  </si>
  <si>
    <t xml:space="preserve">ORG-200922</t>
  </si>
  <si>
    <t xml:space="preserve">MCH-100922</t>
  </si>
  <si>
    <t xml:space="preserve">ORG-200923</t>
  </si>
  <si>
    <t xml:space="preserve">MCH-100923</t>
  </si>
  <si>
    <t xml:space="preserve">ORG-200924</t>
  </si>
  <si>
    <t xml:space="preserve">MCH-100924</t>
  </si>
  <si>
    <t xml:space="preserve">ORG-200925</t>
  </si>
  <si>
    <t xml:space="preserve">MCH-100925</t>
  </si>
  <si>
    <t xml:space="preserve">ORG-200926</t>
  </si>
  <si>
    <t xml:space="preserve">MCH-100926</t>
  </si>
  <si>
    <t xml:space="preserve">ORG-200927</t>
  </si>
  <si>
    <t xml:space="preserve">MCH-100927</t>
  </si>
  <si>
    <t xml:space="preserve">ORG-200928</t>
  </si>
  <si>
    <t xml:space="preserve">MCH-100928</t>
  </si>
  <si>
    <t xml:space="preserve">ORG-200929</t>
  </si>
  <si>
    <t xml:space="preserve">MCH-100929</t>
  </si>
  <si>
    <t xml:space="preserve">ORG-200930</t>
  </si>
  <si>
    <t xml:space="preserve">MCH-100930</t>
  </si>
  <si>
    <t xml:space="preserve">ORG-200931</t>
  </si>
  <si>
    <t xml:space="preserve">MCH-100931</t>
  </si>
  <si>
    <t xml:space="preserve">ORG-200932</t>
  </si>
  <si>
    <t xml:space="preserve">MCH-100932</t>
  </si>
  <si>
    <t xml:space="preserve">ORG-200933</t>
  </si>
  <si>
    <t xml:space="preserve">MCH-100933</t>
  </si>
  <si>
    <t xml:space="preserve">ORG-200934</t>
  </si>
  <si>
    <t xml:space="preserve">MCH-100934</t>
  </si>
  <si>
    <t xml:space="preserve">ORG-200935</t>
  </si>
  <si>
    <t xml:space="preserve">MCH-100935</t>
  </si>
  <si>
    <t xml:space="preserve">ORG-200936</t>
  </si>
  <si>
    <t xml:space="preserve">MCH-100936</t>
  </si>
  <si>
    <t xml:space="preserve">ORG-200937</t>
  </si>
  <si>
    <t xml:space="preserve">MCH-100937</t>
  </si>
  <si>
    <t xml:space="preserve">ORG-200938</t>
  </si>
  <si>
    <t xml:space="preserve">MCH-100938</t>
  </si>
  <si>
    <t xml:space="preserve">ORG-200939</t>
  </si>
  <si>
    <t xml:space="preserve">MCH-100939</t>
  </si>
  <si>
    <t xml:space="preserve">ORG-200940</t>
  </si>
  <si>
    <t xml:space="preserve">MCH-100940</t>
  </si>
  <si>
    <t xml:space="preserve">ORG-200941</t>
  </si>
  <si>
    <t xml:space="preserve">MCH-100941</t>
  </si>
  <si>
    <t xml:space="preserve">ORG-200942</t>
  </si>
  <si>
    <t xml:space="preserve">MCH-100942</t>
  </si>
  <si>
    <t xml:space="preserve">ORG-200943</t>
  </si>
  <si>
    <t xml:space="preserve">MCH-100943</t>
  </si>
  <si>
    <t xml:space="preserve">ORG-200944</t>
  </si>
  <si>
    <t xml:space="preserve">MCH-100944</t>
  </si>
  <si>
    <t xml:space="preserve">ORG-200945</t>
  </si>
  <si>
    <t xml:space="preserve">MCH-100945</t>
  </si>
  <si>
    <t xml:space="preserve">ORG-200946</t>
  </si>
  <si>
    <t xml:space="preserve">MCH-100946</t>
  </si>
  <si>
    <t xml:space="preserve">ORG-200947</t>
  </si>
  <si>
    <t xml:space="preserve">MCH-100947</t>
  </si>
  <si>
    <t xml:space="preserve">ORG-200948</t>
  </si>
  <si>
    <t xml:space="preserve">MCH-100948</t>
  </si>
  <si>
    <t xml:space="preserve">ORG-200949</t>
  </si>
  <si>
    <t xml:space="preserve">MCH-100949</t>
  </si>
  <si>
    <t xml:space="preserve">ORG-200950</t>
  </si>
  <si>
    <t xml:space="preserve">MCH-100950</t>
  </si>
  <si>
    <t xml:space="preserve">ORG-200951</t>
  </si>
  <si>
    <t xml:space="preserve">MCH-100951</t>
  </si>
  <si>
    <t xml:space="preserve">ORG-200952</t>
  </si>
  <si>
    <t xml:space="preserve">MCH-100952</t>
  </si>
  <si>
    <t xml:space="preserve">ORG-200953</t>
  </si>
  <si>
    <t xml:space="preserve">MCH-100953</t>
  </si>
  <si>
    <t xml:space="preserve">ORG-200954</t>
  </si>
  <si>
    <t xml:space="preserve">MCH-100954</t>
  </si>
  <si>
    <t xml:space="preserve">ORG-200955</t>
  </si>
  <si>
    <t xml:space="preserve">MCH-100955</t>
  </si>
  <si>
    <t xml:space="preserve">ORG-200956</t>
  </si>
  <si>
    <t xml:space="preserve">MCH-100956</t>
  </si>
  <si>
    <t xml:space="preserve">ORG-200957</t>
  </si>
  <si>
    <t xml:space="preserve">MCH-100957</t>
  </si>
  <si>
    <t xml:space="preserve">ORG-200958</t>
  </si>
  <si>
    <t xml:space="preserve">MCH-100958</t>
  </si>
  <si>
    <t xml:space="preserve">ORG-200959</t>
  </si>
  <si>
    <t xml:space="preserve">MCH-100959</t>
  </si>
  <si>
    <t xml:space="preserve">ORG-200960</t>
  </si>
  <si>
    <t xml:space="preserve">MCH-100960</t>
  </si>
  <si>
    <t xml:space="preserve">ORG-200961</t>
  </si>
  <si>
    <t xml:space="preserve">MCH-100961</t>
  </si>
  <si>
    <t xml:space="preserve">ORG-200962</t>
  </si>
  <si>
    <t xml:space="preserve">MCH-100962</t>
  </si>
  <si>
    <t xml:space="preserve">ORG-200963</t>
  </si>
  <si>
    <t xml:space="preserve">MCH-100963</t>
  </si>
  <si>
    <t xml:space="preserve">ORG-200964</t>
  </si>
  <si>
    <t xml:space="preserve">MCH-100964</t>
  </si>
  <si>
    <t xml:space="preserve">ORG-200965</t>
  </si>
  <si>
    <t xml:space="preserve">MCH-100965</t>
  </si>
  <si>
    <t xml:space="preserve">ORG-200966</t>
  </si>
  <si>
    <t xml:space="preserve">MCH-100966</t>
  </si>
  <si>
    <t xml:space="preserve">ORG-200967</t>
  </si>
  <si>
    <t xml:space="preserve">MCH-100967</t>
  </si>
  <si>
    <t xml:space="preserve">ORG-200968</t>
  </si>
  <si>
    <t xml:space="preserve">MCH-100968</t>
  </si>
  <si>
    <t xml:space="preserve">ORG-200969</t>
  </si>
  <si>
    <t xml:space="preserve">MCH-100969</t>
  </si>
  <si>
    <t xml:space="preserve">ORG-200970</t>
  </si>
  <si>
    <t xml:space="preserve">MCH-100970</t>
  </si>
  <si>
    <t xml:space="preserve">ORG-200971</t>
  </si>
  <si>
    <t xml:space="preserve">MCH-100971</t>
  </si>
  <si>
    <t xml:space="preserve">ORG-200972</t>
  </si>
  <si>
    <t xml:space="preserve">MCH-100972</t>
  </si>
  <si>
    <t xml:space="preserve">ORG-200973</t>
  </si>
  <si>
    <t xml:space="preserve">MCH-100973</t>
  </si>
  <si>
    <t xml:space="preserve">ORG-200974</t>
  </si>
  <si>
    <t xml:space="preserve">MCH-100974</t>
  </si>
  <si>
    <t xml:space="preserve">ORG-200975</t>
  </si>
  <si>
    <t xml:space="preserve">MCH-100975</t>
  </si>
  <si>
    <t xml:space="preserve">ORG-200976</t>
  </si>
  <si>
    <t xml:space="preserve">MCH-100976</t>
  </si>
  <si>
    <t xml:space="preserve">ORG-200977</t>
  </si>
  <si>
    <t xml:space="preserve">MCH-100977</t>
  </si>
  <si>
    <t xml:space="preserve">ORG-200978</t>
  </si>
  <si>
    <t xml:space="preserve">MCH-100978</t>
  </si>
  <si>
    <t xml:space="preserve">ORG-200979</t>
  </si>
  <si>
    <t xml:space="preserve">MCH-100979</t>
  </si>
  <si>
    <t xml:space="preserve">ORG-200980</t>
  </si>
  <si>
    <t xml:space="preserve">MCH-100980</t>
  </si>
  <si>
    <t xml:space="preserve">ORG-200981</t>
  </si>
  <si>
    <t xml:space="preserve">MCH-100981</t>
  </si>
  <si>
    <t xml:space="preserve">ORG-200982</t>
  </si>
  <si>
    <t xml:space="preserve">MCH-100982</t>
  </si>
  <si>
    <t xml:space="preserve">ORG-200983</t>
  </si>
  <si>
    <t xml:space="preserve">MCH-100983</t>
  </si>
  <si>
    <t xml:space="preserve">ORG-200984</t>
  </si>
  <si>
    <t xml:space="preserve">MCH-100984</t>
  </si>
  <si>
    <t xml:space="preserve">ORG-200985</t>
  </si>
  <si>
    <t xml:space="preserve">MCH-100985</t>
  </si>
  <si>
    <t xml:space="preserve">ORG-200986</t>
  </si>
  <si>
    <t xml:space="preserve">MCH-100986</t>
  </si>
  <si>
    <t xml:space="preserve">ORG-200987</t>
  </si>
  <si>
    <t xml:space="preserve">MCH-100987</t>
  </si>
  <si>
    <t xml:space="preserve">ORG-200988</t>
  </si>
  <si>
    <t xml:space="preserve">MCH-100988</t>
  </si>
  <si>
    <t xml:space="preserve">ORG-200989</t>
  </si>
  <si>
    <t xml:space="preserve">MCH-100989</t>
  </si>
  <si>
    <t xml:space="preserve">ORG-200990</t>
  </si>
  <si>
    <t xml:space="preserve">MCH-100990</t>
  </si>
  <si>
    <t xml:space="preserve">ORG-200991</t>
  </si>
  <si>
    <t xml:space="preserve">MCH-100991</t>
  </si>
  <si>
    <t xml:space="preserve">ORG-200992</t>
  </si>
  <si>
    <t xml:space="preserve">MCH-100992</t>
  </si>
  <si>
    <t xml:space="preserve">ORG-200993</t>
  </si>
  <si>
    <t xml:space="preserve">MCH-100993</t>
  </si>
  <si>
    <t xml:space="preserve">ORG-200994</t>
  </si>
  <si>
    <t xml:space="preserve">MCH-100994</t>
  </si>
  <si>
    <t xml:space="preserve">ORG-200995</t>
  </si>
  <si>
    <t xml:space="preserve">MCH-100995</t>
  </si>
  <si>
    <t xml:space="preserve">ORG-200996</t>
  </si>
  <si>
    <t xml:space="preserve">MCH-100996</t>
  </si>
  <si>
    <t xml:space="preserve">ORG-200997</t>
  </si>
  <si>
    <t xml:space="preserve">MCH-100997</t>
  </si>
  <si>
    <t xml:space="preserve">ORG-200998</t>
  </si>
  <si>
    <t xml:space="preserve">MCH-100998</t>
  </si>
  <si>
    <t xml:space="preserve">ORG-200999</t>
  </si>
  <si>
    <t xml:space="preserve">MCH-100999</t>
  </si>
  <si>
    <t xml:space="preserve">ORG-201000</t>
  </si>
  <si>
    <t xml:space="preserve">MCH-101000</t>
  </si>
  <si>
    <t xml:space="preserve">ORG-201001</t>
  </si>
  <si>
    <t xml:space="preserve">MCH-101001</t>
  </si>
  <si>
    <t xml:space="preserve">ORG-201002</t>
  </si>
  <si>
    <t xml:space="preserve">MCH-101002</t>
  </si>
  <si>
    <t xml:space="preserve">ORG-201003</t>
  </si>
  <si>
    <t xml:space="preserve">MCH-101003</t>
  </si>
  <si>
    <t xml:space="preserve">ORG-201004</t>
  </si>
  <si>
    <t xml:space="preserve">MCH-101004</t>
  </si>
  <si>
    <t xml:space="preserve">ORG-201005</t>
  </si>
  <si>
    <t xml:space="preserve">MCH-101005</t>
  </si>
  <si>
    <t xml:space="preserve">ORG-201006</t>
  </si>
  <si>
    <t xml:space="preserve">MCH-101006</t>
  </si>
  <si>
    <t xml:space="preserve">ORG-201007</t>
  </si>
  <si>
    <t xml:space="preserve">MCH-101007</t>
  </si>
  <si>
    <t xml:space="preserve">ORG-201008</t>
  </si>
  <si>
    <t xml:space="preserve">MCH-101008</t>
  </si>
  <si>
    <t xml:space="preserve">ORG-201009</t>
  </si>
  <si>
    <t xml:space="preserve">MCH-101009</t>
  </si>
  <si>
    <t xml:space="preserve">ORG-201010</t>
  </si>
  <si>
    <t xml:space="preserve">MCH-101010</t>
  </si>
  <si>
    <t xml:space="preserve">ORG-201011</t>
  </si>
  <si>
    <t xml:space="preserve">MCH-101011</t>
  </si>
  <si>
    <t xml:space="preserve">ORG-201012</t>
  </si>
  <si>
    <t xml:space="preserve">MCH-101012</t>
  </si>
  <si>
    <t xml:space="preserve">ORG-201013</t>
  </si>
  <si>
    <t xml:space="preserve">MCH-101013</t>
  </si>
  <si>
    <t xml:space="preserve">ORG-201014</t>
  </si>
  <si>
    <t xml:space="preserve">MCH-101014</t>
  </si>
  <si>
    <t xml:space="preserve">ORG-201015</t>
  </si>
  <si>
    <t xml:space="preserve">MCH-101015</t>
  </si>
  <si>
    <t xml:space="preserve">ORG-201016</t>
  </si>
  <si>
    <t xml:space="preserve">MCH-101016</t>
  </si>
  <si>
    <t xml:space="preserve">ORG-201017</t>
  </si>
  <si>
    <t xml:space="preserve">MCH-101017</t>
  </si>
  <si>
    <t xml:space="preserve">ORG-201018</t>
  </si>
  <si>
    <t xml:space="preserve">MCH-101018</t>
  </si>
  <si>
    <t xml:space="preserve">ORG-201019</t>
  </si>
  <si>
    <t xml:space="preserve">MCH-101019</t>
  </si>
  <si>
    <t xml:space="preserve">ORG-201020</t>
  </si>
  <si>
    <t xml:space="preserve">MCH-101020</t>
  </si>
  <si>
    <t xml:space="preserve">ORG-201021</t>
  </si>
  <si>
    <t xml:space="preserve">MCH-101021</t>
  </si>
  <si>
    <t xml:space="preserve">ORG-201022</t>
  </si>
  <si>
    <t xml:space="preserve">MCH-101022</t>
  </si>
  <si>
    <t xml:space="preserve">ORG-201023</t>
  </si>
  <si>
    <t xml:space="preserve">MCH-101023</t>
  </si>
  <si>
    <t xml:space="preserve">ORG-201024</t>
  </si>
  <si>
    <t xml:space="preserve">MCH-101024</t>
  </si>
  <si>
    <t xml:space="preserve">ORG-201025</t>
  </si>
  <si>
    <t xml:space="preserve">MCH-101025</t>
  </si>
  <si>
    <t xml:space="preserve">ORG-201026</t>
  </si>
  <si>
    <t xml:space="preserve">MCH-101026</t>
  </si>
  <si>
    <t xml:space="preserve">ORG-201027</t>
  </si>
  <si>
    <t xml:space="preserve">MCH-101027</t>
  </si>
  <si>
    <t xml:space="preserve">ORG-201028</t>
  </si>
  <si>
    <t xml:space="preserve">MCH-101028</t>
  </si>
  <si>
    <t xml:space="preserve">ORG-201029</t>
  </si>
  <si>
    <t xml:space="preserve">MCH-101029</t>
  </si>
  <si>
    <t xml:space="preserve">ORG-201030</t>
  </si>
  <si>
    <t xml:space="preserve">MCH-101030</t>
  </si>
  <si>
    <t xml:space="preserve">ORG-201031</t>
  </si>
  <si>
    <t xml:space="preserve">MCH-101031</t>
  </si>
  <si>
    <t xml:space="preserve">ORG-201032</t>
  </si>
  <si>
    <t xml:space="preserve">MCH-101032</t>
  </si>
  <si>
    <t xml:space="preserve">ORG-201033</t>
  </si>
  <si>
    <t xml:space="preserve">MCH-101033</t>
  </si>
  <si>
    <t xml:space="preserve">ORG-201034</t>
  </si>
  <si>
    <t xml:space="preserve">MCH-101034</t>
  </si>
  <si>
    <t xml:space="preserve">ORG-201035</t>
  </si>
  <si>
    <t xml:space="preserve">MCH-101035</t>
  </si>
  <si>
    <t xml:space="preserve">ORG-201036</t>
  </si>
  <si>
    <t xml:space="preserve">MCH-101036</t>
  </si>
  <si>
    <t xml:space="preserve">ORG-201037</t>
  </si>
  <si>
    <t xml:space="preserve">MCH-101037</t>
  </si>
  <si>
    <t xml:space="preserve">ORG-201038</t>
  </si>
  <si>
    <t xml:space="preserve">MCH-101038</t>
  </si>
  <si>
    <t xml:space="preserve">ORG-201039</t>
  </si>
  <si>
    <t xml:space="preserve">MCH-101039</t>
  </si>
  <si>
    <t xml:space="preserve">ORG-201040</t>
  </si>
  <si>
    <t xml:space="preserve">MCH-101040</t>
  </si>
  <si>
    <t xml:space="preserve">ORG-201041</t>
  </si>
  <si>
    <t xml:space="preserve">MCH-101041</t>
  </si>
  <si>
    <t xml:space="preserve">ORG-201042</t>
  </si>
  <si>
    <t xml:space="preserve">MCH-101042</t>
  </si>
  <si>
    <t xml:space="preserve">ORG-201043</t>
  </si>
  <si>
    <t xml:space="preserve">MCH-101043</t>
  </si>
  <si>
    <t xml:space="preserve">ORG-201044</t>
  </si>
  <si>
    <t xml:space="preserve">MCH-101044</t>
  </si>
  <si>
    <t xml:space="preserve">ORG-201045</t>
  </si>
  <si>
    <t xml:space="preserve">MCH-101045</t>
  </si>
  <si>
    <t xml:space="preserve">ORG-201046</t>
  </si>
  <si>
    <t xml:space="preserve">MCH-101046</t>
  </si>
  <si>
    <t xml:space="preserve">ORG-201047</t>
  </si>
  <si>
    <t xml:space="preserve">MCH-101047</t>
  </si>
  <si>
    <t xml:space="preserve">ORG-201048</t>
  </si>
  <si>
    <t xml:space="preserve">MCH-101048</t>
  </si>
  <si>
    <t xml:space="preserve">ORG-201049</t>
  </si>
  <si>
    <t xml:space="preserve">MCH-101049</t>
  </si>
  <si>
    <t xml:space="preserve">ORG-201050</t>
  </si>
  <si>
    <t xml:space="preserve">MCH-101050</t>
  </si>
  <si>
    <t xml:space="preserve">ORG-201051</t>
  </si>
  <si>
    <t xml:space="preserve">MCH-101051</t>
  </si>
  <si>
    <t xml:space="preserve">ORG-201052</t>
  </si>
  <si>
    <t xml:space="preserve">MCH-101052</t>
  </si>
  <si>
    <t xml:space="preserve">ORG-201053</t>
  </si>
  <si>
    <t xml:space="preserve">MCH-101053</t>
  </si>
  <si>
    <t xml:space="preserve">ORG-201054</t>
  </si>
  <si>
    <t xml:space="preserve">MCH-101054</t>
  </si>
  <si>
    <t xml:space="preserve">ORG-201055</t>
  </si>
  <si>
    <t xml:space="preserve">MCH-101055</t>
  </si>
  <si>
    <t xml:space="preserve">ORG-201056</t>
  </si>
  <si>
    <t xml:space="preserve">MCH-101056</t>
  </si>
  <si>
    <t xml:space="preserve">ORG-201057</t>
  </si>
  <si>
    <t xml:space="preserve">MCH-101057</t>
  </si>
  <si>
    <t xml:space="preserve">ORG-201058</t>
  </si>
  <si>
    <t xml:space="preserve">MCH-101058</t>
  </si>
  <si>
    <t xml:space="preserve">ORG-201059</t>
  </si>
  <si>
    <t xml:space="preserve">MCH-101059</t>
  </si>
  <si>
    <t xml:space="preserve">ORG-201060</t>
  </si>
  <si>
    <t xml:space="preserve">MCH-101060</t>
  </si>
  <si>
    <t xml:space="preserve">ORG-201061</t>
  </si>
  <si>
    <t xml:space="preserve">MCH-101061</t>
  </si>
  <si>
    <t xml:space="preserve">ORG-201062</t>
  </si>
  <si>
    <t xml:space="preserve">MCH-101062</t>
  </si>
  <si>
    <t xml:space="preserve">ORG-201063</t>
  </si>
  <si>
    <t xml:space="preserve">MCH-101063</t>
  </si>
  <si>
    <t xml:space="preserve">ORG-201064</t>
  </si>
  <si>
    <t xml:space="preserve">MCH-101064</t>
  </si>
  <si>
    <t xml:space="preserve">ORG-201065</t>
  </si>
  <si>
    <t xml:space="preserve">MCH-101065</t>
  </si>
  <si>
    <t xml:space="preserve">ORG-201066</t>
  </si>
  <si>
    <t xml:space="preserve">MCH-101066</t>
  </si>
  <si>
    <t xml:space="preserve">ORG-201067</t>
  </si>
  <si>
    <t xml:space="preserve">MCH-101067</t>
  </si>
  <si>
    <t xml:space="preserve">ORG-201068</t>
  </si>
  <si>
    <t xml:space="preserve">MCH-101068</t>
  </si>
  <si>
    <t xml:space="preserve">ORG-201069</t>
  </si>
  <si>
    <t xml:space="preserve">MCH-101069</t>
  </si>
  <si>
    <t xml:space="preserve">ORG-201070</t>
  </si>
  <si>
    <t xml:space="preserve">MCH-101070</t>
  </si>
  <si>
    <t xml:space="preserve">ORG-201071</t>
  </si>
  <si>
    <t xml:space="preserve">MCH-101071</t>
  </si>
  <si>
    <t xml:space="preserve">ORG-201072</t>
  </si>
  <si>
    <t xml:space="preserve">MCH-101072</t>
  </si>
  <si>
    <t xml:space="preserve">ORG-201073</t>
  </si>
  <si>
    <t xml:space="preserve">MCH-101073</t>
  </si>
  <si>
    <t xml:space="preserve">ORG-201074</t>
  </si>
  <si>
    <t xml:space="preserve">MCH-101074</t>
  </si>
  <si>
    <t xml:space="preserve">ORG-201075</t>
  </si>
  <si>
    <t xml:space="preserve">MCH-101075</t>
  </si>
  <si>
    <t xml:space="preserve">ORG-201076</t>
  </si>
  <si>
    <t xml:space="preserve">MCH-101076</t>
  </si>
  <si>
    <t xml:space="preserve">ORG-201077</t>
  </si>
  <si>
    <t xml:space="preserve">MCH-101077</t>
  </si>
  <si>
    <t xml:space="preserve">ORG-201078</t>
  </si>
  <si>
    <t xml:space="preserve">MCH-101078</t>
  </si>
  <si>
    <t xml:space="preserve">ORG-201079</t>
  </si>
  <si>
    <t xml:space="preserve">MCH-101079</t>
  </si>
  <si>
    <t xml:space="preserve">ORG-201080</t>
  </si>
  <si>
    <t xml:space="preserve">MCH-101080</t>
  </si>
  <si>
    <t xml:space="preserve">ORG-201081</t>
  </si>
  <si>
    <t xml:space="preserve">MCH-101081</t>
  </si>
  <si>
    <t xml:space="preserve">ORG-201082</t>
  </si>
  <si>
    <t xml:space="preserve">MCH-101082</t>
  </si>
  <si>
    <t xml:space="preserve">ORG-201083</t>
  </si>
  <si>
    <t xml:space="preserve">MCH-101083</t>
  </si>
  <si>
    <t xml:space="preserve">ORG-201084</t>
  </si>
  <si>
    <t xml:space="preserve">MCH-101084</t>
  </si>
  <si>
    <t xml:space="preserve">ORG-201085</t>
  </si>
  <si>
    <t xml:space="preserve">MCH-101085</t>
  </si>
  <si>
    <t xml:space="preserve">ORG-201086</t>
  </si>
  <si>
    <t xml:space="preserve">MCH-101086</t>
  </si>
  <si>
    <t xml:space="preserve">ORG-201087</t>
  </si>
  <si>
    <t xml:space="preserve">MCH-101087</t>
  </si>
  <si>
    <t xml:space="preserve">ORG-201088</t>
  </si>
  <si>
    <t xml:space="preserve">MCH-101088</t>
  </si>
  <si>
    <t xml:space="preserve">ORG-201089</t>
  </si>
  <si>
    <t xml:space="preserve">MCH-101089</t>
  </si>
  <si>
    <t xml:space="preserve">ORG-201090</t>
  </si>
  <si>
    <t xml:space="preserve">MCH-101090</t>
  </si>
  <si>
    <t xml:space="preserve">ORG-201091</t>
  </si>
  <si>
    <t xml:space="preserve">MCH-101091</t>
  </si>
  <si>
    <t xml:space="preserve">ORG-201092</t>
  </si>
  <si>
    <t xml:space="preserve">MCH-101092</t>
  </si>
  <si>
    <t xml:space="preserve">ORG-201093</t>
  </si>
  <si>
    <t xml:space="preserve">MCH-101093</t>
  </si>
  <si>
    <t xml:space="preserve">ORG-201094</t>
  </si>
  <si>
    <t xml:space="preserve">MCH-101094</t>
  </si>
  <si>
    <t xml:space="preserve">ORG-201095</t>
  </si>
  <si>
    <t xml:space="preserve">MCH-101095</t>
  </si>
  <si>
    <t xml:space="preserve">ORG-201096</t>
  </si>
  <si>
    <t xml:space="preserve">MCH-101096</t>
  </si>
  <si>
    <t xml:space="preserve">ORG-201097</t>
  </si>
  <si>
    <t xml:space="preserve">MCH-101097</t>
  </si>
  <si>
    <t xml:space="preserve">ORG-201098</t>
  </si>
  <si>
    <t xml:space="preserve">MCH-101098</t>
  </si>
  <si>
    <t xml:space="preserve">ORG-201099</t>
  </si>
  <si>
    <t xml:space="preserve">MCH-101099</t>
  </si>
  <si>
    <t xml:space="preserve">ORG-201100</t>
  </si>
  <si>
    <t xml:space="preserve">MCH-101100</t>
  </si>
  <si>
    <t xml:space="preserve">ORG-201101</t>
  </si>
  <si>
    <t xml:space="preserve">MCH-101101</t>
  </si>
  <si>
    <t xml:space="preserve">ORG-201102</t>
  </si>
  <si>
    <t xml:space="preserve">MCH-101102</t>
  </si>
  <si>
    <t xml:space="preserve">ORG-201103</t>
  </si>
  <si>
    <t xml:space="preserve">MCH-101103</t>
  </si>
  <si>
    <t xml:space="preserve">ORG-201104</t>
  </si>
  <si>
    <t xml:space="preserve">MCH-101104</t>
  </si>
  <si>
    <t xml:space="preserve">ORG-201105</t>
  </si>
  <si>
    <t xml:space="preserve">MCH-101105</t>
  </si>
  <si>
    <t xml:space="preserve">ORG-201106</t>
  </si>
  <si>
    <t xml:space="preserve">MCH-101106</t>
  </si>
  <si>
    <t xml:space="preserve">ORG-201107</t>
  </si>
  <si>
    <t xml:space="preserve">MCH-101107</t>
  </si>
  <si>
    <t xml:space="preserve">ORG-201108</t>
  </si>
  <si>
    <t xml:space="preserve">MCH-101108</t>
  </si>
  <si>
    <t xml:space="preserve">ORG-201109</t>
  </si>
  <si>
    <t xml:space="preserve">MCH-101109</t>
  </si>
  <si>
    <t xml:space="preserve">ORG-201110</t>
  </si>
  <si>
    <t xml:space="preserve">MCH-101110</t>
  </si>
  <si>
    <t xml:space="preserve">ORG-201111</t>
  </si>
  <si>
    <t xml:space="preserve">MCH-101111</t>
  </si>
  <si>
    <t xml:space="preserve">ORG-201112</t>
  </si>
  <si>
    <t xml:space="preserve">MCH-101112</t>
  </si>
  <si>
    <t xml:space="preserve">ORG-201113</t>
  </si>
  <si>
    <t xml:space="preserve">MCH-101113</t>
  </si>
  <si>
    <t xml:space="preserve">ORG-201114</t>
  </si>
  <si>
    <t xml:space="preserve">MCH-101114</t>
  </si>
  <si>
    <t xml:space="preserve">ORG-201115</t>
  </si>
  <si>
    <t xml:space="preserve">MCH-101115</t>
  </si>
  <si>
    <t xml:space="preserve">ORG-201116</t>
  </si>
  <si>
    <t xml:space="preserve">MCH-101116</t>
  </si>
  <si>
    <t xml:space="preserve">ORG-201117</t>
  </si>
  <si>
    <t xml:space="preserve">MCH-101117</t>
  </si>
  <si>
    <t xml:space="preserve">ORG-201118</t>
  </si>
  <si>
    <t xml:space="preserve">MCH-101118</t>
  </si>
  <si>
    <t xml:space="preserve">ORG-201119</t>
  </si>
  <si>
    <t xml:space="preserve">MCH-101119</t>
  </si>
  <si>
    <t xml:space="preserve">ORG-201120</t>
  </si>
  <si>
    <t xml:space="preserve">MCH-101120</t>
  </si>
  <si>
    <t xml:space="preserve">ORG-201121</t>
  </si>
  <si>
    <t xml:space="preserve">MCH-101121</t>
  </si>
  <si>
    <t xml:space="preserve">ORG-201122</t>
  </si>
  <si>
    <t xml:space="preserve">MCH-101122</t>
  </si>
  <si>
    <t xml:space="preserve">ORG-201123</t>
  </si>
  <si>
    <t xml:space="preserve">MCH-101123</t>
  </si>
  <si>
    <t xml:space="preserve">ORG-201124</t>
  </si>
  <si>
    <t xml:space="preserve">MCH-101124</t>
  </si>
  <si>
    <t xml:space="preserve">ORG-201125</t>
  </si>
  <si>
    <t xml:space="preserve">MCH-101125</t>
  </si>
  <si>
    <t xml:space="preserve">ORG-201126</t>
  </si>
  <si>
    <t xml:space="preserve">MCH-101126</t>
  </si>
  <si>
    <t xml:space="preserve">ORG-201127</t>
  </si>
  <si>
    <t xml:space="preserve">MCH-101127</t>
  </si>
  <si>
    <t xml:space="preserve">ORG-201128</t>
  </si>
  <si>
    <t xml:space="preserve">MCH-101128</t>
  </si>
  <si>
    <t xml:space="preserve">ORG-201129</t>
  </si>
  <si>
    <t xml:space="preserve">MCH-101129</t>
  </si>
  <si>
    <t xml:space="preserve">ORG-201130</t>
  </si>
  <si>
    <t xml:space="preserve">MCH-101130</t>
  </si>
  <si>
    <t xml:space="preserve">ORG-201131</t>
  </si>
  <si>
    <t xml:space="preserve">MCH-101131</t>
  </si>
  <si>
    <t xml:space="preserve">ORG-201132</t>
  </si>
  <si>
    <t xml:space="preserve">MCH-101132</t>
  </si>
  <si>
    <t xml:space="preserve">ORG-201133</t>
  </si>
  <si>
    <t xml:space="preserve">MCH-101133</t>
  </si>
  <si>
    <t xml:space="preserve">ORG-201134</t>
  </si>
  <si>
    <t xml:space="preserve">MCH-101134</t>
  </si>
  <si>
    <t xml:space="preserve">ORG-201135</t>
  </si>
  <si>
    <t xml:space="preserve">MCH-101135</t>
  </si>
  <si>
    <t xml:space="preserve">ORG-201136</t>
  </si>
  <si>
    <t xml:space="preserve">MCH-101136</t>
  </si>
  <si>
    <t xml:space="preserve">ORG-201137</t>
  </si>
  <si>
    <t xml:space="preserve">MCH-101137</t>
  </si>
  <si>
    <t xml:space="preserve">ORG-201138</t>
  </si>
  <si>
    <t xml:space="preserve">MCH-101138</t>
  </si>
  <si>
    <t xml:space="preserve">ORG-201139</t>
  </si>
  <si>
    <t xml:space="preserve">MCH-101139</t>
  </si>
  <si>
    <t xml:space="preserve">ORG-201140</t>
  </si>
  <si>
    <t xml:space="preserve">MCH-101140</t>
  </si>
  <si>
    <t xml:space="preserve">ORG-201141</t>
  </si>
  <si>
    <t xml:space="preserve">MCH-101141</t>
  </si>
  <si>
    <t xml:space="preserve">ORG-201142</t>
  </si>
  <si>
    <t xml:space="preserve">MCH-101142</t>
  </si>
  <si>
    <t xml:space="preserve">ORG-201143</t>
  </si>
  <si>
    <t xml:space="preserve">MCH-101143</t>
  </si>
  <si>
    <t xml:space="preserve">ORG-201144</t>
  </si>
  <si>
    <t xml:space="preserve">MCH-101144</t>
  </si>
  <si>
    <t xml:space="preserve">ORG-201145</t>
  </si>
  <si>
    <t xml:space="preserve">MCH-101145</t>
  </si>
  <si>
    <t xml:space="preserve">ORG-201146</t>
  </si>
  <si>
    <t xml:space="preserve">MCH-101146</t>
  </si>
  <si>
    <t xml:space="preserve">ORG-201147</t>
  </si>
  <si>
    <t xml:space="preserve">MCH-101147</t>
  </si>
  <si>
    <t xml:space="preserve">ORG-201148</t>
  </si>
  <si>
    <t xml:space="preserve">MCH-101148</t>
  </si>
  <si>
    <t xml:space="preserve">ORG-201149</t>
  </si>
  <si>
    <t xml:space="preserve">MCH-101149</t>
  </si>
  <si>
    <t xml:space="preserve">ORG-201150</t>
  </si>
  <si>
    <t xml:space="preserve">MCH-101150</t>
  </si>
  <si>
    <t xml:space="preserve">ORG-201151</t>
  </si>
  <si>
    <t xml:space="preserve">MCH-101151</t>
  </si>
  <si>
    <t xml:space="preserve">ORG-201152</t>
  </si>
  <si>
    <t xml:space="preserve">MCH-101152</t>
  </si>
  <si>
    <t xml:space="preserve">ORG-201153</t>
  </si>
  <si>
    <t xml:space="preserve">MCH-101153</t>
  </si>
  <si>
    <t xml:space="preserve">ORG-201154</t>
  </si>
  <si>
    <t xml:space="preserve">MCH-101154</t>
  </si>
  <si>
    <t xml:space="preserve">ORG-201155</t>
  </si>
  <si>
    <t xml:space="preserve">MCH-101155</t>
  </si>
  <si>
    <t xml:space="preserve">ORG-201156</t>
  </si>
  <si>
    <t xml:space="preserve">MCH-101156</t>
  </si>
  <si>
    <t xml:space="preserve">ORG-201157</t>
  </si>
  <si>
    <t xml:space="preserve">MCH-101157</t>
  </si>
  <si>
    <t xml:space="preserve">ORG-201158</t>
  </si>
  <si>
    <t xml:space="preserve">MCH-101158</t>
  </si>
  <si>
    <t xml:space="preserve">ORG-201159</t>
  </si>
  <si>
    <t xml:space="preserve">MCH-101159</t>
  </si>
  <si>
    <t xml:space="preserve">ORG-201160</t>
  </si>
  <si>
    <t xml:space="preserve">MCH-101160</t>
  </si>
  <si>
    <t xml:space="preserve">ORG-201161</t>
  </si>
  <si>
    <t xml:space="preserve">MCH-101161</t>
  </si>
  <si>
    <t xml:space="preserve">ORG-201162</t>
  </si>
  <si>
    <t xml:space="preserve">MCH-101162</t>
  </si>
  <si>
    <t xml:space="preserve">ORG-201163</t>
  </si>
  <si>
    <t xml:space="preserve">MCH-101163</t>
  </si>
  <si>
    <t xml:space="preserve">ORG-201164</t>
  </si>
  <si>
    <t xml:space="preserve">MCH-101164</t>
  </si>
  <si>
    <t xml:space="preserve">ORG-201165</t>
  </si>
  <si>
    <t xml:space="preserve">MCH-101165</t>
  </si>
  <si>
    <t xml:space="preserve">ORG-201166</t>
  </si>
  <si>
    <t xml:space="preserve">MCH-101166</t>
  </si>
  <si>
    <t xml:space="preserve">ORG-201167</t>
  </si>
  <si>
    <t xml:space="preserve">MCH-101167</t>
  </si>
  <si>
    <t xml:space="preserve">ORG-201168</t>
  </si>
  <si>
    <t xml:space="preserve">MCH-101168</t>
  </si>
  <si>
    <t xml:space="preserve">ORG-201169</t>
  </si>
  <si>
    <t xml:space="preserve">MCH-101169</t>
  </si>
  <si>
    <t xml:space="preserve">ORG-201170</t>
  </si>
  <si>
    <t xml:space="preserve">MCH-101170</t>
  </si>
  <si>
    <t xml:space="preserve">ORG-201171</t>
  </si>
  <si>
    <t xml:space="preserve">MCH-101171</t>
  </si>
  <si>
    <t xml:space="preserve">ORG-201172</t>
  </si>
  <si>
    <t xml:space="preserve">MCH-101172</t>
  </si>
  <si>
    <t xml:space="preserve">ORG-201173</t>
  </si>
  <si>
    <t xml:space="preserve">MCH-101173</t>
  </si>
  <si>
    <t xml:space="preserve">ORG-201174</t>
  </si>
  <si>
    <t xml:space="preserve">MCH-101174</t>
  </si>
  <si>
    <t xml:space="preserve">ORG-201175</t>
  </si>
  <si>
    <t xml:space="preserve">MCH-101175</t>
  </si>
  <si>
    <t xml:space="preserve">ORG-201176</t>
  </si>
  <si>
    <t xml:space="preserve">MCH-101176</t>
  </si>
  <si>
    <t xml:space="preserve">ORG-201177</t>
  </si>
  <si>
    <t xml:space="preserve">MCH-101177</t>
  </si>
  <si>
    <t xml:space="preserve">ORG-201178</t>
  </si>
  <si>
    <t xml:space="preserve">MCH-101178</t>
  </si>
  <si>
    <t xml:space="preserve">ORG-201179</t>
  </si>
  <si>
    <t xml:space="preserve">MCH-101179</t>
  </si>
  <si>
    <t xml:space="preserve">ORG-201180</t>
  </si>
  <si>
    <t xml:space="preserve">MCH-101180</t>
  </si>
  <si>
    <t xml:space="preserve">ORG-201181</t>
  </si>
  <si>
    <t xml:space="preserve">MCH-101181</t>
  </si>
  <si>
    <t xml:space="preserve">ORG-201182</t>
  </si>
  <si>
    <t xml:space="preserve">MCH-101182</t>
  </si>
  <si>
    <t xml:space="preserve">ORG-201183</t>
  </si>
  <si>
    <t xml:space="preserve">MCH-101183</t>
  </si>
  <si>
    <t xml:space="preserve">ORG-201184</t>
  </si>
  <si>
    <t xml:space="preserve">MCH-101184</t>
  </si>
  <si>
    <t xml:space="preserve">ORG-201185</t>
  </si>
  <si>
    <t xml:space="preserve">MCH-101185</t>
  </si>
  <si>
    <t xml:space="preserve">ORG-201186</t>
  </si>
  <si>
    <t xml:space="preserve">MCH-101186</t>
  </si>
  <si>
    <t xml:space="preserve">ORG-201187</t>
  </si>
  <si>
    <t xml:space="preserve">MCH-101187</t>
  </si>
  <si>
    <t xml:space="preserve">ORG-201188</t>
  </si>
  <si>
    <t xml:space="preserve">MCH-101188</t>
  </si>
  <si>
    <t xml:space="preserve">ORG-201189</t>
  </si>
  <si>
    <t xml:space="preserve">MCH-101189</t>
  </si>
  <si>
    <t xml:space="preserve">ORG-201190</t>
  </si>
  <si>
    <t xml:space="preserve">MCH-101190</t>
  </si>
  <si>
    <t xml:space="preserve">ORG-201191</t>
  </si>
  <si>
    <t xml:space="preserve">MCH-101191</t>
  </si>
  <si>
    <t xml:space="preserve">ORG-201192</t>
  </si>
  <si>
    <t xml:space="preserve">MCH-101192</t>
  </si>
  <si>
    <t xml:space="preserve">ORG-201193</t>
  </si>
  <si>
    <t xml:space="preserve">MCH-101193</t>
  </si>
  <si>
    <t xml:space="preserve">ORG-201194</t>
  </si>
  <si>
    <t xml:space="preserve">MCH-101194</t>
  </si>
  <si>
    <t xml:space="preserve">ORG-201195</t>
  </si>
  <si>
    <t xml:space="preserve">MCH-101195</t>
  </si>
  <si>
    <t xml:space="preserve">ORG-201196</t>
  </si>
  <si>
    <t xml:space="preserve">MCH-101196</t>
  </si>
  <si>
    <t xml:space="preserve">ORG-201197</t>
  </si>
  <si>
    <t xml:space="preserve">MCH-101197</t>
  </si>
  <si>
    <t xml:space="preserve">ORG-201198</t>
  </si>
  <si>
    <t xml:space="preserve">MCH-101198</t>
  </si>
  <si>
    <t xml:space="preserve">ORG-201199</t>
  </si>
  <si>
    <t xml:space="preserve">MCH-101199</t>
  </si>
  <si>
    <t xml:space="preserve">ORG-201200</t>
  </si>
  <si>
    <t xml:space="preserve">MCH-101200</t>
  </si>
  <si>
    <t xml:space="preserve">MCH-400001</t>
  </si>
  <si>
    <t xml:space="preserve">MCH-400002</t>
  </si>
  <si>
    <t xml:space="preserve">MCH-400003</t>
  </si>
  <si>
    <t xml:space="preserve">MCH-400004</t>
  </si>
  <si>
    <t xml:space="preserve">MCH-400005</t>
  </si>
  <si>
    <t xml:space="preserve">MCH-400006</t>
  </si>
  <si>
    <t xml:space="preserve">MCH-400007</t>
  </si>
  <si>
    <t xml:space="preserve">MCH-400008</t>
  </si>
  <si>
    <t xml:space="preserve">MCH-400009</t>
  </si>
  <si>
    <t xml:space="preserve">MCH-400010</t>
  </si>
  <si>
    <t xml:space="preserve">repayment_id</t>
  </si>
  <si>
    <t xml:space="preserve">payment_date</t>
  </si>
  <si>
    <t xml:space="preserve">remittance_amount_usd</t>
  </si>
  <si>
    <t xml:space="preserve">cumulative_repaid_usd</t>
  </si>
  <si>
    <t xml:space="preserve">payment_method</t>
  </si>
  <si>
    <t xml:space="preserve">RPY-0000001</t>
  </si>
  <si>
    <t xml:space="preserve">ach_remittance</t>
  </si>
  <si>
    <t xml:space="preserve">RPY-0000002</t>
  </si>
  <si>
    <t xml:space="preserve">RPY-0000003</t>
  </si>
  <si>
    <t xml:space="preserve">RPY-0000004</t>
  </si>
  <si>
    <t xml:space="preserve">RPY-0000005</t>
  </si>
  <si>
    <t xml:space="preserve">RPY-0000006</t>
  </si>
  <si>
    <t xml:space="preserve">RPY-0000007</t>
  </si>
  <si>
    <t xml:space="preserve">RPY-0000008</t>
  </si>
  <si>
    <t xml:space="preserve">RPY-0000009</t>
  </si>
  <si>
    <t xml:space="preserve">RPY-0000010</t>
  </si>
  <si>
    <t xml:space="preserve">manual_payment</t>
  </si>
  <si>
    <t xml:space="preserve">RPY-0000011</t>
  </si>
  <si>
    <t xml:space="preserve">RPY-0000012</t>
  </si>
  <si>
    <t xml:space="preserve">RPY-0000013</t>
  </si>
  <si>
    <t xml:space="preserve">RPY-0000014</t>
  </si>
  <si>
    <t xml:space="preserve">RPY-0000015</t>
  </si>
  <si>
    <t xml:space="preserve">RPY-0000016</t>
  </si>
  <si>
    <t xml:space="preserve">RPY-0000017</t>
  </si>
  <si>
    <t xml:space="preserve">RPY-0000018</t>
  </si>
  <si>
    <t xml:space="preserve">RPY-0000019</t>
  </si>
  <si>
    <t xml:space="preserve">RPY-0000020</t>
  </si>
  <si>
    <t xml:space="preserve">RPY-0000021</t>
  </si>
  <si>
    <t xml:space="preserve">RPY-0000022</t>
  </si>
  <si>
    <t xml:space="preserve">RPY-0000023</t>
  </si>
  <si>
    <t xml:space="preserve">RPY-0000024</t>
  </si>
  <si>
    <t xml:space="preserve">RPY-0000025</t>
  </si>
  <si>
    <t xml:space="preserve">RPY-0000026</t>
  </si>
  <si>
    <t xml:space="preserve">RPY-0000027</t>
  </si>
  <si>
    <t xml:space="preserve">RPY-0000028</t>
  </si>
  <si>
    <t xml:space="preserve">RPY-0000029</t>
  </si>
  <si>
    <t xml:space="preserve">RPY-0000030</t>
  </si>
  <si>
    <t xml:space="preserve">RPY-0000031</t>
  </si>
  <si>
    <t xml:space="preserve">RPY-0000032</t>
  </si>
  <si>
    <t xml:space="preserve">RPY-0000033</t>
  </si>
  <si>
    <t xml:space="preserve">RPY-0000034</t>
  </si>
  <si>
    <t xml:space="preserve">RPY-0000035</t>
  </si>
  <si>
    <t xml:space="preserve">RPY-0000036</t>
  </si>
  <si>
    <t xml:space="preserve">RPY-0000037</t>
  </si>
  <si>
    <t xml:space="preserve">RPY-0000038</t>
  </si>
  <si>
    <t xml:space="preserve">RPY-0000039</t>
  </si>
  <si>
    <t xml:space="preserve">RPY-0000040</t>
  </si>
  <si>
    <t xml:space="preserve">RPY-0000041</t>
  </si>
  <si>
    <t xml:space="preserve">RPY-0000042</t>
  </si>
  <si>
    <t xml:space="preserve">RPY-0000043</t>
  </si>
  <si>
    <t xml:space="preserve">RPY-0000044</t>
  </si>
  <si>
    <t xml:space="preserve">RPY-0000045</t>
  </si>
  <si>
    <t xml:space="preserve">RPY-0000046</t>
  </si>
  <si>
    <t xml:space="preserve">RPY-0000047</t>
  </si>
  <si>
    <t xml:space="preserve">RPY-0000048</t>
  </si>
  <si>
    <t xml:space="preserve">RPY-0000049</t>
  </si>
  <si>
    <t xml:space="preserve">RPY-0000050</t>
  </si>
  <si>
    <t xml:space="preserve">RPY-0000051</t>
  </si>
  <si>
    <t xml:space="preserve">RPY-0000052</t>
  </si>
  <si>
    <t xml:space="preserve">RPY-0000053</t>
  </si>
  <si>
    <t xml:space="preserve">RPY-0000054</t>
  </si>
  <si>
    <t xml:space="preserve">RPY-0000055</t>
  </si>
  <si>
    <t xml:space="preserve">RPY-0000056</t>
  </si>
  <si>
    <t xml:space="preserve">RPY-0000057</t>
  </si>
  <si>
    <t xml:space="preserve">RPY-0000058</t>
  </si>
  <si>
    <t xml:space="preserve">RPY-0000059</t>
  </si>
  <si>
    <t xml:space="preserve">RPY-0000060</t>
  </si>
  <si>
    <t xml:space="preserve">RPY-0000061</t>
  </si>
  <si>
    <t xml:space="preserve">RPY-0000062</t>
  </si>
  <si>
    <t xml:space="preserve">RPY-0000063</t>
  </si>
  <si>
    <t xml:space="preserve">RPY-0000064</t>
  </si>
  <si>
    <t xml:space="preserve">RPY-0000065</t>
  </si>
  <si>
    <t xml:space="preserve">RPY-0000066</t>
  </si>
  <si>
    <t xml:space="preserve">RPY-0000067</t>
  </si>
  <si>
    <t xml:space="preserve">RPY-0000068</t>
  </si>
  <si>
    <t xml:space="preserve">RPY-0000069</t>
  </si>
  <si>
    <t xml:space="preserve">RPY-0000070</t>
  </si>
  <si>
    <t xml:space="preserve">RPY-0000071</t>
  </si>
  <si>
    <t xml:space="preserve">RPY-0000072</t>
  </si>
  <si>
    <t xml:space="preserve">RPY-0000073</t>
  </si>
  <si>
    <t xml:space="preserve">RPY-0000074</t>
  </si>
  <si>
    <t xml:space="preserve">RPY-0000075</t>
  </si>
  <si>
    <t xml:space="preserve">RPY-0000076</t>
  </si>
  <si>
    <t xml:space="preserve">RPY-0000077</t>
  </si>
  <si>
    <t xml:space="preserve">RPY-0000078</t>
  </si>
  <si>
    <t xml:space="preserve">RPY-0000079</t>
  </si>
  <si>
    <t xml:space="preserve">RPY-0000080</t>
  </si>
  <si>
    <t xml:space="preserve">RPY-0000081</t>
  </si>
  <si>
    <t xml:space="preserve">RPY-0000082</t>
  </si>
  <si>
    <t xml:space="preserve">RPY-0000083</t>
  </si>
  <si>
    <t xml:space="preserve">RPY-0000084</t>
  </si>
  <si>
    <t xml:space="preserve">RPY-0000085</t>
  </si>
  <si>
    <t xml:space="preserve">RPY-0000086</t>
  </si>
  <si>
    <t xml:space="preserve">RPY-0000087</t>
  </si>
  <si>
    <t xml:space="preserve">RPY-0000088</t>
  </si>
  <si>
    <t xml:space="preserve">RPY-0000089</t>
  </si>
  <si>
    <t xml:space="preserve">RPY-0000090</t>
  </si>
  <si>
    <t xml:space="preserve">RPY-0000091</t>
  </si>
  <si>
    <t xml:space="preserve">RPY-0000092</t>
  </si>
  <si>
    <t xml:space="preserve">RPY-0000093</t>
  </si>
  <si>
    <t xml:space="preserve">RPY-0000094</t>
  </si>
  <si>
    <t xml:space="preserve">RPY-0000095</t>
  </si>
  <si>
    <t xml:space="preserve">RPY-0000096</t>
  </si>
  <si>
    <t xml:space="preserve">RPY-0000097</t>
  </si>
  <si>
    <t xml:space="preserve">RPY-0000098</t>
  </si>
  <si>
    <t xml:space="preserve">RPY-0000099</t>
  </si>
  <si>
    <t xml:space="preserve">RPY-0000100</t>
  </si>
  <si>
    <t xml:space="preserve">RPY-0000101</t>
  </si>
  <si>
    <t xml:space="preserve">RPY-0000102</t>
  </si>
  <si>
    <t xml:space="preserve">RPY-0000103</t>
  </si>
  <si>
    <t xml:space="preserve">RPY-0000104</t>
  </si>
  <si>
    <t xml:space="preserve">RPY-0000105</t>
  </si>
  <si>
    <t xml:space="preserve">RPY-0000106</t>
  </si>
  <si>
    <t xml:space="preserve">RPY-0000107</t>
  </si>
  <si>
    <t xml:space="preserve">RPY-0000108</t>
  </si>
  <si>
    <t xml:space="preserve">RPY-0000109</t>
  </si>
  <si>
    <t xml:space="preserve">RPY-0000110</t>
  </si>
  <si>
    <t xml:space="preserve">RPY-0000111</t>
  </si>
  <si>
    <t xml:space="preserve">RPY-0000112</t>
  </si>
  <si>
    <t xml:space="preserve">RPY-0000113</t>
  </si>
  <si>
    <t xml:space="preserve">RPY-0000114</t>
  </si>
  <si>
    <t xml:space="preserve">RPY-0000115</t>
  </si>
  <si>
    <t xml:space="preserve">RPY-0000116</t>
  </si>
  <si>
    <t xml:space="preserve">RPY-0000117</t>
  </si>
  <si>
    <t xml:space="preserve">RPY-0000118</t>
  </si>
  <si>
    <t xml:space="preserve">RPY-0000119</t>
  </si>
  <si>
    <t xml:space="preserve">RPY-0000120</t>
  </si>
  <si>
    <t xml:space="preserve">RPY-0000121</t>
  </si>
  <si>
    <t xml:space="preserve">RPY-0000122</t>
  </si>
  <si>
    <t xml:space="preserve">RPY-0000123</t>
  </si>
  <si>
    <t xml:space="preserve">RPY-0000124</t>
  </si>
  <si>
    <t xml:space="preserve">RPY-0000125</t>
  </si>
  <si>
    <t xml:space="preserve">RPY-0000126</t>
  </si>
  <si>
    <t xml:space="preserve">RPY-0000127</t>
  </si>
  <si>
    <t xml:space="preserve">RPY-0000128</t>
  </si>
  <si>
    <t xml:space="preserve">RPY-0000129</t>
  </si>
  <si>
    <t xml:space="preserve">RPY-0000130</t>
  </si>
  <si>
    <t xml:space="preserve">RPY-0000131</t>
  </si>
  <si>
    <t xml:space="preserve">RPY-0000132</t>
  </si>
  <si>
    <t xml:space="preserve">RPY-0000133</t>
  </si>
  <si>
    <t xml:space="preserve">RPY-0000134</t>
  </si>
  <si>
    <t xml:space="preserve">RPY-0000135</t>
  </si>
  <si>
    <t xml:space="preserve">RPY-0000136</t>
  </si>
  <si>
    <t xml:space="preserve">RPY-0000137</t>
  </si>
  <si>
    <t xml:space="preserve">RPY-0000138</t>
  </si>
  <si>
    <t xml:space="preserve">RPY-0000139</t>
  </si>
  <si>
    <t xml:space="preserve">RPY-0000140</t>
  </si>
  <si>
    <t xml:space="preserve">RPY-0000141</t>
  </si>
  <si>
    <t xml:space="preserve">RPY-0000142</t>
  </si>
  <si>
    <t xml:space="preserve">RPY-0000143</t>
  </si>
  <si>
    <t xml:space="preserve">RPY-0000144</t>
  </si>
  <si>
    <t xml:space="preserve">RPY-0000145</t>
  </si>
  <si>
    <t xml:space="preserve">RPY-0000146</t>
  </si>
  <si>
    <t xml:space="preserve">RPY-0000147</t>
  </si>
  <si>
    <t xml:space="preserve">RPY-0000148</t>
  </si>
  <si>
    <t xml:space="preserve">RPY-0000149</t>
  </si>
  <si>
    <t xml:space="preserve">RPY-0000150</t>
  </si>
  <si>
    <t xml:space="preserve">RPY-0000151</t>
  </si>
  <si>
    <t xml:space="preserve">RPY-0000152</t>
  </si>
  <si>
    <t xml:space="preserve">RPY-0000153</t>
  </si>
  <si>
    <t xml:space="preserve">RPY-0000154</t>
  </si>
  <si>
    <t xml:space="preserve">RPY-0000155</t>
  </si>
  <si>
    <t xml:space="preserve">RPY-0000156</t>
  </si>
  <si>
    <t xml:space="preserve">RPY-0000157</t>
  </si>
  <si>
    <t xml:space="preserve">RPY-0000158</t>
  </si>
  <si>
    <t xml:space="preserve">RPY-0000159</t>
  </si>
  <si>
    <t xml:space="preserve">RPY-0000160</t>
  </si>
  <si>
    <t xml:space="preserve">RPY-0000161</t>
  </si>
  <si>
    <t xml:space="preserve">RPY-0000162</t>
  </si>
  <si>
    <t xml:space="preserve">RPY-0000163</t>
  </si>
  <si>
    <t xml:space="preserve">RPY-0000164</t>
  </si>
  <si>
    <t xml:space="preserve">RPY-0000165</t>
  </si>
  <si>
    <t xml:space="preserve">RPY-0000166</t>
  </si>
  <si>
    <t xml:space="preserve">RPY-0000167</t>
  </si>
  <si>
    <t xml:space="preserve">RPY-0000168</t>
  </si>
  <si>
    <t xml:space="preserve">RPY-0000169</t>
  </si>
  <si>
    <t xml:space="preserve">RPY-0000170</t>
  </si>
  <si>
    <t xml:space="preserve">RPY-0000171</t>
  </si>
  <si>
    <t xml:space="preserve">RPY-0000172</t>
  </si>
  <si>
    <t xml:space="preserve">RPY-0000173</t>
  </si>
  <si>
    <t xml:space="preserve">RPY-0000174</t>
  </si>
  <si>
    <t xml:space="preserve">RPY-0000175</t>
  </si>
  <si>
    <t xml:space="preserve">RPY-0000176</t>
  </si>
  <si>
    <t xml:space="preserve">RPY-0000177</t>
  </si>
  <si>
    <t xml:space="preserve">RPY-0000178</t>
  </si>
  <si>
    <t xml:space="preserve">RPY-0000179</t>
  </si>
  <si>
    <t xml:space="preserve">RPY-0000180</t>
  </si>
  <si>
    <t xml:space="preserve">RPY-0000181</t>
  </si>
  <si>
    <t xml:space="preserve">RPY-0000182</t>
  </si>
  <si>
    <t xml:space="preserve">RPY-0000183</t>
  </si>
  <si>
    <t xml:space="preserve">RPY-0000184</t>
  </si>
  <si>
    <t xml:space="preserve">RPY-0000185</t>
  </si>
  <si>
    <t xml:space="preserve">RPY-0000186</t>
  </si>
  <si>
    <t xml:space="preserve">RPY-0000187</t>
  </si>
  <si>
    <t xml:space="preserve">RPY-0000188</t>
  </si>
  <si>
    <t xml:space="preserve">RPY-0000189</t>
  </si>
  <si>
    <t xml:space="preserve">RPY-0000190</t>
  </si>
  <si>
    <t xml:space="preserve">RPY-0000191</t>
  </si>
  <si>
    <t xml:space="preserve">RPY-0000192</t>
  </si>
  <si>
    <t xml:space="preserve">RPY-0000193</t>
  </si>
  <si>
    <t xml:space="preserve">RPY-0000194</t>
  </si>
  <si>
    <t xml:space="preserve">RPY-0000195</t>
  </si>
  <si>
    <t xml:space="preserve">RPY-0000196</t>
  </si>
  <si>
    <t xml:space="preserve">RPY-0000197</t>
  </si>
  <si>
    <t xml:space="preserve">RPY-0000198</t>
  </si>
  <si>
    <t xml:space="preserve">RPY-0000199</t>
  </si>
  <si>
    <t xml:space="preserve">RPY-0000200</t>
  </si>
  <si>
    <t xml:space="preserve">RPY-0000201</t>
  </si>
  <si>
    <t xml:space="preserve">RPY-0000202</t>
  </si>
  <si>
    <t xml:space="preserve">RPY-0000203</t>
  </si>
  <si>
    <t xml:space="preserve">RPY-0000204</t>
  </si>
  <si>
    <t xml:space="preserve">RPY-0000205</t>
  </si>
  <si>
    <t xml:space="preserve">RPY-0000206</t>
  </si>
  <si>
    <t xml:space="preserve">RPY-0000207</t>
  </si>
  <si>
    <t xml:space="preserve">RPY-0000208</t>
  </si>
  <si>
    <t xml:space="preserve">RPY-0000209</t>
  </si>
  <si>
    <t xml:space="preserve">RPY-0000210</t>
  </si>
  <si>
    <t xml:space="preserve">RPY-0000211</t>
  </si>
  <si>
    <t xml:space="preserve">RPY-0000212</t>
  </si>
  <si>
    <t xml:space="preserve">RPY-0000213</t>
  </si>
  <si>
    <t xml:space="preserve">RPY-0000214</t>
  </si>
  <si>
    <t xml:space="preserve">RPY-0000215</t>
  </si>
  <si>
    <t xml:space="preserve">RPY-0000216</t>
  </si>
  <si>
    <t xml:space="preserve">RPY-0000217</t>
  </si>
  <si>
    <t xml:space="preserve">RPY-0000218</t>
  </si>
  <si>
    <t xml:space="preserve">RPY-0000219</t>
  </si>
  <si>
    <t xml:space="preserve">RPY-0000220</t>
  </si>
  <si>
    <t xml:space="preserve">RPY-0000221</t>
  </si>
  <si>
    <t xml:space="preserve">RPY-0000222</t>
  </si>
  <si>
    <t xml:space="preserve">RPY-0000223</t>
  </si>
  <si>
    <t xml:space="preserve">RPY-0000224</t>
  </si>
  <si>
    <t xml:space="preserve">RPY-0000225</t>
  </si>
  <si>
    <t xml:space="preserve">RPY-0000226</t>
  </si>
  <si>
    <t xml:space="preserve">RPY-0000227</t>
  </si>
  <si>
    <t xml:space="preserve">RPY-0000228</t>
  </si>
  <si>
    <t xml:space="preserve">RPY-0000229</t>
  </si>
  <si>
    <t xml:space="preserve">RPY-0000230</t>
  </si>
  <si>
    <t xml:space="preserve">RPY-0000231</t>
  </si>
  <si>
    <t xml:space="preserve">RPY-0000232</t>
  </si>
  <si>
    <t xml:space="preserve">RPY-0000233</t>
  </si>
  <si>
    <t xml:space="preserve">RPY-0000234</t>
  </si>
  <si>
    <t xml:space="preserve">RPY-0000235</t>
  </si>
  <si>
    <t xml:space="preserve">RPY-0000236</t>
  </si>
  <si>
    <t xml:space="preserve">RPY-0000237</t>
  </si>
  <si>
    <t xml:space="preserve">RPY-0000238</t>
  </si>
  <si>
    <t xml:space="preserve">RPY-0000239</t>
  </si>
  <si>
    <t xml:space="preserve">RPY-0000240</t>
  </si>
  <si>
    <t xml:space="preserve">RPY-0000241</t>
  </si>
  <si>
    <t xml:space="preserve">RPY-0000242</t>
  </si>
  <si>
    <t xml:space="preserve">RPY-0000243</t>
  </si>
  <si>
    <t xml:space="preserve">RPY-0000244</t>
  </si>
  <si>
    <t xml:space="preserve">RPY-0000245</t>
  </si>
  <si>
    <t xml:space="preserve">RPY-0000246</t>
  </si>
  <si>
    <t xml:space="preserve">RPY-0000247</t>
  </si>
  <si>
    <t xml:space="preserve">RPY-0000248</t>
  </si>
  <si>
    <t xml:space="preserve">RPY-0000249</t>
  </si>
  <si>
    <t xml:space="preserve">RPY-0000250</t>
  </si>
  <si>
    <t xml:space="preserve">RPY-0000251</t>
  </si>
  <si>
    <t xml:space="preserve">RPY-0000252</t>
  </si>
  <si>
    <t xml:space="preserve">RPY-0000253</t>
  </si>
  <si>
    <t xml:space="preserve">RPY-0000254</t>
  </si>
  <si>
    <t xml:space="preserve">RPY-0000255</t>
  </si>
  <si>
    <t xml:space="preserve">RPY-0000256</t>
  </si>
  <si>
    <t xml:space="preserve">RPY-0000257</t>
  </si>
  <si>
    <t xml:space="preserve">RPY-0000258</t>
  </si>
  <si>
    <t xml:space="preserve">RPY-0000259</t>
  </si>
  <si>
    <t xml:space="preserve">RPY-0000260</t>
  </si>
  <si>
    <t xml:space="preserve">RPY-0000261</t>
  </si>
  <si>
    <t xml:space="preserve">RPY-0000262</t>
  </si>
  <si>
    <t xml:space="preserve">RPY-0000263</t>
  </si>
  <si>
    <t xml:space="preserve">RPY-0000264</t>
  </si>
  <si>
    <t xml:space="preserve">RPY-0000265</t>
  </si>
  <si>
    <t xml:space="preserve">RPY-0000266</t>
  </si>
  <si>
    <t xml:space="preserve">RPY-0000267</t>
  </si>
  <si>
    <t xml:space="preserve">RPY-0000268</t>
  </si>
  <si>
    <t xml:space="preserve">RPY-0000269</t>
  </si>
  <si>
    <t xml:space="preserve">RPY-0000270</t>
  </si>
  <si>
    <t xml:space="preserve">RPY-0000271</t>
  </si>
  <si>
    <t xml:space="preserve">RPY-0000272</t>
  </si>
  <si>
    <t xml:space="preserve">RPY-0000273</t>
  </si>
  <si>
    <t xml:space="preserve">RPY-0000274</t>
  </si>
  <si>
    <t xml:space="preserve">RPY-0000275</t>
  </si>
  <si>
    <t xml:space="preserve">RPY-0000276</t>
  </si>
  <si>
    <t xml:space="preserve">RPY-0000277</t>
  </si>
  <si>
    <t xml:space="preserve">RPY-0000278</t>
  </si>
  <si>
    <t xml:space="preserve">RPY-0000279</t>
  </si>
  <si>
    <t xml:space="preserve">RPY-0000280</t>
  </si>
  <si>
    <t xml:space="preserve">RPY-0000281</t>
  </si>
  <si>
    <t xml:space="preserve">RPY-0000282</t>
  </si>
  <si>
    <t xml:space="preserve">RPY-0000283</t>
  </si>
  <si>
    <t xml:space="preserve">RPY-0000284</t>
  </si>
  <si>
    <t xml:space="preserve">RPY-0000285</t>
  </si>
  <si>
    <t xml:space="preserve">RPY-0000286</t>
  </si>
  <si>
    <t xml:space="preserve">RPY-0000287</t>
  </si>
  <si>
    <t xml:space="preserve">RPY-0000288</t>
  </si>
  <si>
    <t xml:space="preserve">RPY-0000289</t>
  </si>
  <si>
    <t xml:space="preserve">RPY-0000290</t>
  </si>
  <si>
    <t xml:space="preserve">RPY-0000291</t>
  </si>
  <si>
    <t xml:space="preserve">RPY-0000292</t>
  </si>
  <si>
    <t xml:space="preserve">RPY-0000293</t>
  </si>
  <si>
    <t xml:space="preserve">RPY-0000294</t>
  </si>
  <si>
    <t xml:space="preserve">RPY-0000295</t>
  </si>
  <si>
    <t xml:space="preserve">RPY-0000296</t>
  </si>
  <si>
    <t xml:space="preserve">RPY-0000297</t>
  </si>
  <si>
    <t xml:space="preserve">RPY-0000298</t>
  </si>
  <si>
    <t xml:space="preserve">RPY-0000299</t>
  </si>
  <si>
    <t xml:space="preserve">RPY-0000300</t>
  </si>
  <si>
    <t xml:space="preserve">RPY-0000301</t>
  </si>
  <si>
    <t xml:space="preserve">RPY-0000302</t>
  </si>
  <si>
    <t xml:space="preserve">RPY-0000303</t>
  </si>
  <si>
    <t xml:space="preserve">RPY-0000304</t>
  </si>
  <si>
    <t xml:space="preserve">RPY-0000305</t>
  </si>
  <si>
    <t xml:space="preserve">RPY-0000306</t>
  </si>
  <si>
    <t xml:space="preserve">RPY-0000307</t>
  </si>
  <si>
    <t xml:space="preserve">RPY-0000308</t>
  </si>
  <si>
    <t xml:space="preserve">RPY-0000309</t>
  </si>
  <si>
    <t xml:space="preserve">RPY-0000310</t>
  </si>
  <si>
    <t xml:space="preserve">RPY-0000311</t>
  </si>
  <si>
    <t xml:space="preserve">RPY-0000312</t>
  </si>
  <si>
    <t xml:space="preserve">RPY-0000313</t>
  </si>
  <si>
    <t xml:space="preserve">RPY-0000314</t>
  </si>
  <si>
    <t xml:space="preserve">RPY-0000315</t>
  </si>
  <si>
    <t xml:space="preserve">RPY-0000316</t>
  </si>
  <si>
    <t xml:space="preserve">RPY-0000317</t>
  </si>
  <si>
    <t xml:space="preserve">RPY-0000318</t>
  </si>
  <si>
    <t xml:space="preserve">RPY-0000319</t>
  </si>
  <si>
    <t xml:space="preserve">RPY-0000320</t>
  </si>
  <si>
    <t xml:space="preserve">RPY-0000321</t>
  </si>
  <si>
    <t xml:space="preserve">RPY-0000322</t>
  </si>
  <si>
    <t xml:space="preserve">RPY-0000323</t>
  </si>
  <si>
    <t xml:space="preserve">RPY-0000324</t>
  </si>
  <si>
    <t xml:space="preserve">RPY-0000325</t>
  </si>
  <si>
    <t xml:space="preserve">RPY-0000326</t>
  </si>
  <si>
    <t xml:space="preserve">RPY-0000327</t>
  </si>
  <si>
    <t xml:space="preserve">RPY-0000328</t>
  </si>
  <si>
    <t xml:space="preserve">RPY-0000329</t>
  </si>
  <si>
    <t xml:space="preserve">RPY-0000330</t>
  </si>
  <si>
    <t xml:space="preserve">RPY-0000331</t>
  </si>
  <si>
    <t xml:space="preserve">RPY-0000332</t>
  </si>
  <si>
    <t xml:space="preserve">RPY-0000333</t>
  </si>
  <si>
    <t xml:space="preserve">RPY-0000334</t>
  </si>
  <si>
    <t xml:space="preserve">RPY-0000335</t>
  </si>
  <si>
    <t xml:space="preserve">RPY-0000336</t>
  </si>
  <si>
    <t xml:space="preserve">RPY-0000337</t>
  </si>
  <si>
    <t xml:space="preserve">RPY-0000338</t>
  </si>
  <si>
    <t xml:space="preserve">RPY-0000339</t>
  </si>
  <si>
    <t xml:space="preserve">RPY-0000340</t>
  </si>
  <si>
    <t xml:space="preserve">RPY-0000341</t>
  </si>
  <si>
    <t xml:space="preserve">RPY-0000342</t>
  </si>
  <si>
    <t xml:space="preserve">RPY-0000343</t>
  </si>
  <si>
    <t xml:space="preserve">RPY-0000344</t>
  </si>
  <si>
    <t xml:space="preserve">RPY-0000345</t>
  </si>
  <si>
    <t xml:space="preserve">RPY-0000346</t>
  </si>
  <si>
    <t xml:space="preserve">RPY-0000347</t>
  </si>
  <si>
    <t xml:space="preserve">RPY-0000348</t>
  </si>
  <si>
    <t xml:space="preserve">RPY-0000349</t>
  </si>
  <si>
    <t xml:space="preserve">RPY-0000350</t>
  </si>
  <si>
    <t xml:space="preserve">RPY-0000351</t>
  </si>
  <si>
    <t xml:space="preserve">RPY-0000352</t>
  </si>
  <si>
    <t xml:space="preserve">RPY-0000353</t>
  </si>
  <si>
    <t xml:space="preserve">RPY-0000354</t>
  </si>
  <si>
    <t xml:space="preserve">RPY-0000355</t>
  </si>
  <si>
    <t xml:space="preserve">RPY-0000356</t>
  </si>
  <si>
    <t xml:space="preserve">RPY-0000357</t>
  </si>
  <si>
    <t xml:space="preserve">RPY-0000358</t>
  </si>
  <si>
    <t xml:space="preserve">RPY-0000359</t>
  </si>
  <si>
    <t xml:space="preserve">RPY-0000360</t>
  </si>
  <si>
    <t xml:space="preserve">RPY-0000361</t>
  </si>
  <si>
    <t xml:space="preserve">RPY-0000362</t>
  </si>
  <si>
    <t xml:space="preserve">RPY-0000363</t>
  </si>
  <si>
    <t xml:space="preserve">RPY-0000364</t>
  </si>
  <si>
    <t xml:space="preserve">RPY-0000365</t>
  </si>
  <si>
    <t xml:space="preserve">RPY-0000366</t>
  </si>
  <si>
    <t xml:space="preserve">RPY-0000367</t>
  </si>
  <si>
    <t xml:space="preserve">RPY-0000368</t>
  </si>
  <si>
    <t xml:space="preserve">RPY-0000369</t>
  </si>
  <si>
    <t xml:space="preserve">RPY-0000370</t>
  </si>
  <si>
    <t xml:space="preserve">RPY-0000371</t>
  </si>
  <si>
    <t xml:space="preserve">RPY-0000372</t>
  </si>
  <si>
    <t xml:space="preserve">RPY-0000373</t>
  </si>
  <si>
    <t xml:space="preserve">RPY-0000374</t>
  </si>
  <si>
    <t xml:space="preserve">RPY-0000375</t>
  </si>
  <si>
    <t xml:space="preserve">RPY-0000376</t>
  </si>
  <si>
    <t xml:space="preserve">RPY-0000377</t>
  </si>
  <si>
    <t xml:space="preserve">RPY-0000378</t>
  </si>
  <si>
    <t xml:space="preserve">RPY-0000379</t>
  </si>
  <si>
    <t xml:space="preserve">RPY-0000380</t>
  </si>
  <si>
    <t xml:space="preserve">RPY-0000381</t>
  </si>
  <si>
    <t xml:space="preserve">RPY-0000382</t>
  </si>
  <si>
    <t xml:space="preserve">RPY-0000383</t>
  </si>
  <si>
    <t xml:space="preserve">RPY-0000384</t>
  </si>
  <si>
    <t xml:space="preserve">RPY-0000385</t>
  </si>
  <si>
    <t xml:space="preserve">RPY-0000386</t>
  </si>
  <si>
    <t xml:space="preserve">RPY-0000387</t>
  </si>
  <si>
    <t xml:space="preserve">RPY-0000388</t>
  </si>
  <si>
    <t xml:space="preserve">RPY-0000389</t>
  </si>
  <si>
    <t xml:space="preserve">RPY-0000390</t>
  </si>
  <si>
    <t xml:space="preserve">RPY-0000391</t>
  </si>
  <si>
    <t xml:space="preserve">RPY-0000392</t>
  </si>
  <si>
    <t xml:space="preserve">RPY-0000393</t>
  </si>
  <si>
    <t xml:space="preserve">RPY-0000394</t>
  </si>
  <si>
    <t xml:space="preserve">RPY-0000395</t>
  </si>
  <si>
    <t xml:space="preserve">RPY-0000396</t>
  </si>
  <si>
    <t xml:space="preserve">RPY-0000397</t>
  </si>
  <si>
    <t xml:space="preserve">RPY-0000398</t>
  </si>
  <si>
    <t xml:space="preserve">RPY-0000399</t>
  </si>
  <si>
    <t xml:space="preserve">RPY-0000400</t>
  </si>
  <si>
    <t xml:space="preserve">RPY-0000401</t>
  </si>
  <si>
    <t xml:space="preserve">RPY-0000402</t>
  </si>
  <si>
    <t xml:space="preserve">RPY-0000403</t>
  </si>
  <si>
    <t xml:space="preserve">RPY-0000404</t>
  </si>
  <si>
    <t xml:space="preserve">RPY-0000405</t>
  </si>
  <si>
    <t xml:space="preserve">RPY-0000406</t>
  </si>
  <si>
    <t xml:space="preserve">RPY-0000407</t>
  </si>
  <si>
    <t xml:space="preserve">RPY-0000408</t>
  </si>
  <si>
    <t xml:space="preserve">RPY-0000409</t>
  </si>
  <si>
    <t xml:space="preserve">RPY-0000410</t>
  </si>
  <si>
    <t xml:space="preserve">RPY-0000411</t>
  </si>
  <si>
    <t xml:space="preserve">RPY-0000412</t>
  </si>
  <si>
    <t xml:space="preserve">RPY-0000413</t>
  </si>
  <si>
    <t xml:space="preserve">RPY-0000414</t>
  </si>
  <si>
    <t xml:space="preserve">RPY-0000415</t>
  </si>
  <si>
    <t xml:space="preserve">RPY-0000416</t>
  </si>
  <si>
    <t xml:space="preserve">RPY-0000417</t>
  </si>
  <si>
    <t xml:space="preserve">RPY-0000418</t>
  </si>
  <si>
    <t xml:space="preserve">RPY-0000419</t>
  </si>
  <si>
    <t xml:space="preserve">RPY-0000420</t>
  </si>
  <si>
    <t xml:space="preserve">RPY-0000421</t>
  </si>
  <si>
    <t xml:space="preserve">RPY-0000422</t>
  </si>
  <si>
    <t xml:space="preserve">RPY-0000423</t>
  </si>
  <si>
    <t xml:space="preserve">RPY-0000424</t>
  </si>
  <si>
    <t xml:space="preserve">RPY-0000425</t>
  </si>
  <si>
    <t xml:space="preserve">RPY-0000426</t>
  </si>
  <si>
    <t xml:space="preserve">RPY-0000427</t>
  </si>
  <si>
    <t xml:space="preserve">RPY-0000428</t>
  </si>
  <si>
    <t xml:space="preserve">RPY-0000429</t>
  </si>
  <si>
    <t xml:space="preserve">RPY-0000430</t>
  </si>
  <si>
    <t xml:space="preserve">RPY-0000431</t>
  </si>
  <si>
    <t xml:space="preserve">RPY-0000432</t>
  </si>
  <si>
    <t xml:space="preserve">RPY-0000433</t>
  </si>
  <si>
    <t xml:space="preserve">RPY-0000434</t>
  </si>
  <si>
    <t xml:space="preserve">RPY-0000435</t>
  </si>
  <si>
    <t xml:space="preserve">RPY-0000436</t>
  </si>
  <si>
    <t xml:space="preserve">RPY-0000437</t>
  </si>
  <si>
    <t xml:space="preserve">RPY-0000438</t>
  </si>
  <si>
    <t xml:space="preserve">RPY-0000439</t>
  </si>
  <si>
    <t xml:space="preserve">RPY-0000440</t>
  </si>
  <si>
    <t xml:space="preserve">RPY-0000441</t>
  </si>
  <si>
    <t xml:space="preserve">RPY-0000442</t>
  </si>
  <si>
    <t xml:space="preserve">RPY-0000443</t>
  </si>
  <si>
    <t xml:space="preserve">RPY-0000444</t>
  </si>
  <si>
    <t xml:space="preserve">RPY-0000445</t>
  </si>
  <si>
    <t xml:space="preserve">RPY-0000446</t>
  </si>
  <si>
    <t xml:space="preserve">RPY-0000447</t>
  </si>
  <si>
    <t xml:space="preserve">RPY-0000448</t>
  </si>
  <si>
    <t xml:space="preserve">RPY-0000449</t>
  </si>
  <si>
    <t xml:space="preserve">RPY-0000450</t>
  </si>
  <si>
    <t xml:space="preserve">RPY-0000451</t>
  </si>
  <si>
    <t xml:space="preserve">RPY-0000452</t>
  </si>
  <si>
    <t xml:space="preserve">RPY-0000453</t>
  </si>
  <si>
    <t xml:space="preserve">RPY-0000454</t>
  </si>
  <si>
    <t xml:space="preserve">RPY-0000455</t>
  </si>
  <si>
    <t xml:space="preserve">RPY-0000456</t>
  </si>
  <si>
    <t xml:space="preserve">RPY-0000457</t>
  </si>
  <si>
    <t xml:space="preserve">RPY-0000458</t>
  </si>
  <si>
    <t xml:space="preserve">RPY-0000459</t>
  </si>
  <si>
    <t xml:space="preserve">RPY-0000460</t>
  </si>
  <si>
    <t xml:space="preserve">RPY-0000461</t>
  </si>
  <si>
    <t xml:space="preserve">RPY-0000462</t>
  </si>
  <si>
    <t xml:space="preserve">RPY-0000463</t>
  </si>
  <si>
    <t xml:space="preserve">RPY-0000464</t>
  </si>
  <si>
    <t xml:space="preserve">RPY-0000465</t>
  </si>
  <si>
    <t xml:space="preserve">RPY-0000466</t>
  </si>
  <si>
    <t xml:space="preserve">RPY-0000467</t>
  </si>
  <si>
    <t xml:space="preserve">RPY-0000468</t>
  </si>
  <si>
    <t xml:space="preserve">RPY-0000469</t>
  </si>
  <si>
    <t xml:space="preserve">RPY-0000470</t>
  </si>
  <si>
    <t xml:space="preserve">RPY-0000471</t>
  </si>
  <si>
    <t xml:space="preserve">RPY-0000472</t>
  </si>
  <si>
    <t xml:space="preserve">RPY-0000473</t>
  </si>
  <si>
    <t xml:space="preserve">RPY-0000474</t>
  </si>
  <si>
    <t xml:space="preserve">RPY-0000475</t>
  </si>
  <si>
    <t xml:space="preserve">RPY-0000476</t>
  </si>
  <si>
    <t xml:space="preserve">RPY-0000477</t>
  </si>
  <si>
    <t xml:space="preserve">RPY-0000478</t>
  </si>
  <si>
    <t xml:space="preserve">RPY-0000479</t>
  </si>
  <si>
    <t xml:space="preserve">RPY-0000480</t>
  </si>
  <si>
    <t xml:space="preserve">RPY-0000481</t>
  </si>
  <si>
    <t xml:space="preserve">RPY-0000482</t>
  </si>
  <si>
    <t xml:space="preserve">RPY-0000483</t>
  </si>
  <si>
    <t xml:space="preserve">RPY-0000484</t>
  </si>
  <si>
    <t xml:space="preserve">RPY-0000485</t>
  </si>
  <si>
    <t xml:space="preserve">RPY-0000486</t>
  </si>
  <si>
    <t xml:space="preserve">RPY-0000487</t>
  </si>
  <si>
    <t xml:space="preserve">RPY-0000488</t>
  </si>
  <si>
    <t xml:space="preserve">RPY-0000489</t>
  </si>
  <si>
    <t xml:space="preserve">RPY-0000490</t>
  </si>
  <si>
    <t xml:space="preserve">RPY-0000491</t>
  </si>
  <si>
    <t xml:space="preserve">RPY-0000492</t>
  </si>
  <si>
    <t xml:space="preserve">RPY-0000493</t>
  </si>
  <si>
    <t xml:space="preserve">RPY-0000494</t>
  </si>
  <si>
    <t xml:space="preserve">RPY-0000495</t>
  </si>
  <si>
    <t xml:space="preserve">RPY-0000496</t>
  </si>
  <si>
    <t xml:space="preserve">RPY-0000497</t>
  </si>
  <si>
    <t xml:space="preserve">RPY-0000498</t>
  </si>
  <si>
    <t xml:space="preserve">RPY-0000499</t>
  </si>
  <si>
    <t xml:space="preserve">RPY-0000500</t>
  </si>
  <si>
    <t xml:space="preserve">RPY-0000501</t>
  </si>
  <si>
    <t xml:space="preserve">RPY-0000502</t>
  </si>
  <si>
    <t xml:space="preserve">RPY-0000503</t>
  </si>
  <si>
    <t xml:space="preserve">RPY-0000504</t>
  </si>
  <si>
    <t xml:space="preserve">RPY-0000505</t>
  </si>
  <si>
    <t xml:space="preserve">RPY-0000506</t>
  </si>
  <si>
    <t xml:space="preserve">RPY-0000507</t>
  </si>
  <si>
    <t xml:space="preserve">RPY-0000508</t>
  </si>
  <si>
    <t xml:space="preserve">RPY-0000509</t>
  </si>
  <si>
    <t xml:space="preserve">RPY-0000510</t>
  </si>
  <si>
    <t xml:space="preserve">RPY-0000511</t>
  </si>
  <si>
    <t xml:space="preserve">RPY-0000512</t>
  </si>
  <si>
    <t xml:space="preserve">RPY-0000513</t>
  </si>
  <si>
    <t xml:space="preserve">RPY-0000514</t>
  </si>
  <si>
    <t xml:space="preserve">RPY-0000515</t>
  </si>
  <si>
    <t xml:space="preserve">RPY-0000516</t>
  </si>
  <si>
    <t xml:space="preserve">RPY-0000517</t>
  </si>
  <si>
    <t xml:space="preserve">RPY-0000518</t>
  </si>
  <si>
    <t xml:space="preserve">RPY-0000519</t>
  </si>
  <si>
    <t xml:space="preserve">RPY-0000520</t>
  </si>
  <si>
    <t xml:space="preserve">RPY-0000521</t>
  </si>
  <si>
    <t xml:space="preserve">RPY-0000522</t>
  </si>
  <si>
    <t xml:space="preserve">RPY-0000523</t>
  </si>
  <si>
    <t xml:space="preserve">RPY-0000524</t>
  </si>
  <si>
    <t xml:space="preserve">RPY-0000525</t>
  </si>
  <si>
    <t xml:space="preserve">RPY-0000526</t>
  </si>
  <si>
    <t xml:space="preserve">RPY-0000527</t>
  </si>
  <si>
    <t xml:space="preserve">RPY-0000528</t>
  </si>
  <si>
    <t xml:space="preserve">RPY-0000529</t>
  </si>
  <si>
    <t xml:space="preserve">RPY-0000530</t>
  </si>
  <si>
    <t xml:space="preserve">RPY-0000531</t>
  </si>
  <si>
    <t xml:space="preserve">RPY-0000532</t>
  </si>
  <si>
    <t xml:space="preserve">RPY-0000533</t>
  </si>
  <si>
    <t xml:space="preserve">RPY-0000534</t>
  </si>
  <si>
    <t xml:space="preserve">RPY-0000535</t>
  </si>
  <si>
    <t xml:space="preserve">RPY-0000536</t>
  </si>
  <si>
    <t xml:space="preserve">RPY-0000537</t>
  </si>
  <si>
    <t xml:space="preserve">RPY-0000538</t>
  </si>
  <si>
    <t xml:space="preserve">RPY-0000539</t>
  </si>
  <si>
    <t xml:space="preserve">RPY-0000540</t>
  </si>
  <si>
    <t xml:space="preserve">RPY-0000541</t>
  </si>
  <si>
    <t xml:space="preserve">RPY-0000542</t>
  </si>
  <si>
    <t xml:space="preserve">RPY-0000543</t>
  </si>
  <si>
    <t xml:space="preserve">RPY-0000544</t>
  </si>
  <si>
    <t xml:space="preserve">RPY-0000545</t>
  </si>
  <si>
    <t xml:space="preserve">RPY-0000546</t>
  </si>
  <si>
    <t xml:space="preserve">RPY-0000547</t>
  </si>
  <si>
    <t xml:space="preserve">RPY-0000548</t>
  </si>
  <si>
    <t xml:space="preserve">RPY-0000549</t>
  </si>
  <si>
    <t xml:space="preserve">RPY-0000550</t>
  </si>
  <si>
    <t xml:space="preserve">RPY-0000551</t>
  </si>
  <si>
    <t xml:space="preserve">RPY-0000552</t>
  </si>
  <si>
    <t xml:space="preserve">RPY-0000553</t>
  </si>
  <si>
    <t xml:space="preserve">RPY-0000554</t>
  </si>
  <si>
    <t xml:space="preserve">RPY-0000555</t>
  </si>
  <si>
    <t xml:space="preserve">RPY-0000556</t>
  </si>
  <si>
    <t xml:space="preserve">RPY-0000557</t>
  </si>
  <si>
    <t xml:space="preserve">RPY-0000558</t>
  </si>
  <si>
    <t xml:space="preserve">RPY-0000559</t>
  </si>
  <si>
    <t xml:space="preserve">RPY-0000560</t>
  </si>
  <si>
    <t xml:space="preserve">RPY-0000561</t>
  </si>
  <si>
    <t xml:space="preserve">RPY-0000562</t>
  </si>
  <si>
    <t xml:space="preserve">RPY-0000563</t>
  </si>
  <si>
    <t xml:space="preserve">RPY-0000564</t>
  </si>
  <si>
    <t xml:space="preserve">RPY-0000565</t>
  </si>
  <si>
    <t xml:space="preserve">RPY-0000566</t>
  </si>
  <si>
    <t xml:space="preserve">RPY-0000567</t>
  </si>
  <si>
    <t xml:space="preserve">RPY-0000568</t>
  </si>
  <si>
    <t xml:space="preserve">RPY-0000569</t>
  </si>
  <si>
    <t xml:space="preserve">RPY-0000570</t>
  </si>
  <si>
    <t xml:space="preserve">RPY-0000571</t>
  </si>
  <si>
    <t xml:space="preserve">RPY-0000572</t>
  </si>
  <si>
    <t xml:space="preserve">RPY-0000573</t>
  </si>
  <si>
    <t xml:space="preserve">RPY-0000574</t>
  </si>
  <si>
    <t xml:space="preserve">RPY-0000575</t>
  </si>
  <si>
    <t xml:space="preserve">RPY-0000576</t>
  </si>
  <si>
    <t xml:space="preserve">RPY-0000577</t>
  </si>
  <si>
    <t xml:space="preserve">RPY-0000578</t>
  </si>
  <si>
    <t xml:space="preserve">RPY-0000579</t>
  </si>
  <si>
    <t xml:space="preserve">RPY-0000580</t>
  </si>
  <si>
    <t xml:space="preserve">RPY-0000581</t>
  </si>
  <si>
    <t xml:space="preserve">RPY-0000582</t>
  </si>
  <si>
    <t xml:space="preserve">RPY-0000583</t>
  </si>
  <si>
    <t xml:space="preserve">RPY-0000584</t>
  </si>
  <si>
    <t xml:space="preserve">RPY-0000585</t>
  </si>
  <si>
    <t xml:space="preserve">RPY-0000586</t>
  </si>
  <si>
    <t xml:space="preserve">RPY-0000587</t>
  </si>
  <si>
    <t xml:space="preserve">RPY-0000588</t>
  </si>
  <si>
    <t xml:space="preserve">RPY-0000589</t>
  </si>
  <si>
    <t xml:space="preserve">RPY-0000590</t>
  </si>
  <si>
    <t xml:space="preserve">RPY-0000591</t>
  </si>
  <si>
    <t xml:space="preserve">RPY-0000592</t>
  </si>
  <si>
    <t xml:space="preserve">RPY-0000593</t>
  </si>
  <si>
    <t xml:space="preserve">RPY-0000594</t>
  </si>
  <si>
    <t xml:space="preserve">RPY-0000595</t>
  </si>
  <si>
    <t xml:space="preserve">RPY-0000596</t>
  </si>
  <si>
    <t xml:space="preserve">RPY-0000597</t>
  </si>
  <si>
    <t xml:space="preserve">RPY-0000598</t>
  </si>
  <si>
    <t xml:space="preserve">RPY-0000599</t>
  </si>
  <si>
    <t xml:space="preserve">RPY-0000600</t>
  </si>
  <si>
    <t xml:space="preserve">RPY-0000601</t>
  </si>
  <si>
    <t xml:space="preserve">RPY-0000602</t>
  </si>
  <si>
    <t xml:space="preserve">RPY-0000603</t>
  </si>
  <si>
    <t xml:space="preserve">RPY-0000604</t>
  </si>
  <si>
    <t xml:space="preserve">RPY-0000605</t>
  </si>
  <si>
    <t xml:space="preserve">RPY-0000606</t>
  </si>
  <si>
    <t xml:space="preserve">RPY-0000607</t>
  </si>
  <si>
    <t xml:space="preserve">RPY-0000608</t>
  </si>
  <si>
    <t xml:space="preserve">RPY-0000609</t>
  </si>
  <si>
    <t xml:space="preserve">RPY-0000610</t>
  </si>
  <si>
    <t xml:space="preserve">RPY-0000611</t>
  </si>
  <si>
    <t xml:space="preserve">RPY-0000612</t>
  </si>
  <si>
    <t xml:space="preserve">RPY-0000613</t>
  </si>
  <si>
    <t xml:space="preserve">RPY-0000614</t>
  </si>
  <si>
    <t xml:space="preserve">RPY-0000615</t>
  </si>
  <si>
    <t xml:space="preserve">RPY-0000616</t>
  </si>
  <si>
    <t xml:space="preserve">RPY-0000617</t>
  </si>
  <si>
    <t xml:space="preserve">RPY-0000618</t>
  </si>
  <si>
    <t xml:space="preserve">RPY-0000619</t>
  </si>
  <si>
    <t xml:space="preserve">RPY-0000620</t>
  </si>
  <si>
    <t xml:space="preserve">RPY-0000621</t>
  </si>
  <si>
    <t xml:space="preserve">RPY-0000622</t>
  </si>
  <si>
    <t xml:space="preserve">RPY-0000623</t>
  </si>
  <si>
    <t xml:space="preserve">RPY-0000624</t>
  </si>
  <si>
    <t xml:space="preserve">RPY-0000625</t>
  </si>
  <si>
    <t xml:space="preserve">RPY-0000626</t>
  </si>
  <si>
    <t xml:space="preserve">RPY-0000627</t>
  </si>
  <si>
    <t xml:space="preserve">RPY-0000628</t>
  </si>
  <si>
    <t xml:space="preserve">RPY-0000629</t>
  </si>
  <si>
    <t xml:space="preserve">RPY-0000630</t>
  </si>
  <si>
    <t xml:space="preserve">RPY-0000631</t>
  </si>
  <si>
    <t xml:space="preserve">RPY-0000632</t>
  </si>
  <si>
    <t xml:space="preserve">RPY-0000633</t>
  </si>
  <si>
    <t xml:space="preserve">RPY-0000634</t>
  </si>
  <si>
    <t xml:space="preserve">RPY-0000635</t>
  </si>
  <si>
    <t xml:space="preserve">RPY-0000636</t>
  </si>
  <si>
    <t xml:space="preserve">RPY-0000637</t>
  </si>
  <si>
    <t xml:space="preserve">RPY-0000638</t>
  </si>
  <si>
    <t xml:space="preserve">RPY-0000639</t>
  </si>
  <si>
    <t xml:space="preserve">RPY-0000640</t>
  </si>
  <si>
    <t xml:space="preserve">RPY-0000641</t>
  </si>
  <si>
    <t xml:space="preserve">RPY-0000642</t>
  </si>
  <si>
    <t xml:space="preserve">RPY-0000643</t>
  </si>
  <si>
    <t xml:space="preserve">RPY-0000644</t>
  </si>
  <si>
    <t xml:space="preserve">RPY-0000645</t>
  </si>
  <si>
    <t xml:space="preserve">RPY-0000646</t>
  </si>
  <si>
    <t xml:space="preserve">RPY-0000647</t>
  </si>
  <si>
    <t xml:space="preserve">RPY-0000648</t>
  </si>
  <si>
    <t xml:space="preserve">RPY-0000649</t>
  </si>
  <si>
    <t xml:space="preserve">RPY-0000650</t>
  </si>
  <si>
    <t xml:space="preserve">RPY-0000651</t>
  </si>
  <si>
    <t xml:space="preserve">RPY-0000652</t>
  </si>
  <si>
    <t xml:space="preserve">RPY-0000653</t>
  </si>
  <si>
    <t xml:space="preserve">RPY-0000654</t>
  </si>
  <si>
    <t xml:space="preserve">RPY-0000655</t>
  </si>
  <si>
    <t xml:space="preserve">RPY-0000656</t>
  </si>
  <si>
    <t xml:space="preserve">RPY-0000657</t>
  </si>
  <si>
    <t xml:space="preserve">RPY-0000658</t>
  </si>
  <si>
    <t xml:space="preserve">RPY-0000659</t>
  </si>
  <si>
    <t xml:space="preserve">RPY-0000660</t>
  </si>
  <si>
    <t xml:space="preserve">RPY-0000661</t>
  </si>
  <si>
    <t xml:space="preserve">RPY-0000662</t>
  </si>
  <si>
    <t xml:space="preserve">RPY-0000663</t>
  </si>
  <si>
    <t xml:space="preserve">RPY-0000664</t>
  </si>
  <si>
    <t xml:space="preserve">RPY-0000665</t>
  </si>
  <si>
    <t xml:space="preserve">RPY-0000666</t>
  </si>
  <si>
    <t xml:space="preserve">RPY-0000667</t>
  </si>
  <si>
    <t xml:space="preserve">RPY-0000668</t>
  </si>
  <si>
    <t xml:space="preserve">RPY-0000669</t>
  </si>
  <si>
    <t xml:space="preserve">RPY-0000670</t>
  </si>
  <si>
    <t xml:space="preserve">RPY-0000671</t>
  </si>
  <si>
    <t xml:space="preserve">RPY-0000672</t>
  </si>
  <si>
    <t xml:space="preserve">RPY-0000673</t>
  </si>
  <si>
    <t xml:space="preserve">RPY-0000674</t>
  </si>
  <si>
    <t xml:space="preserve">RPY-0000675</t>
  </si>
  <si>
    <t xml:space="preserve">RPY-0000676</t>
  </si>
  <si>
    <t xml:space="preserve">RPY-0000677</t>
  </si>
  <si>
    <t xml:space="preserve">RPY-0000678</t>
  </si>
  <si>
    <t xml:space="preserve">RPY-0000679</t>
  </si>
  <si>
    <t xml:space="preserve">RPY-0000680</t>
  </si>
  <si>
    <t xml:space="preserve">RPY-0000681</t>
  </si>
  <si>
    <t xml:space="preserve">RPY-0000682</t>
  </si>
  <si>
    <t xml:space="preserve">RPY-0000683</t>
  </si>
  <si>
    <t xml:space="preserve">RPY-0000684</t>
  </si>
  <si>
    <t xml:space="preserve">RPY-0000685</t>
  </si>
  <si>
    <t xml:space="preserve">RPY-0000686</t>
  </si>
  <si>
    <t xml:space="preserve">RPY-0000687</t>
  </si>
  <si>
    <t xml:space="preserve">RPY-0000688</t>
  </si>
  <si>
    <t xml:space="preserve">RPY-0000689</t>
  </si>
  <si>
    <t xml:space="preserve">RPY-0000690</t>
  </si>
  <si>
    <t xml:space="preserve">RPY-0000691</t>
  </si>
  <si>
    <t xml:space="preserve">RPY-0000692</t>
  </si>
  <si>
    <t xml:space="preserve">RPY-0000693</t>
  </si>
  <si>
    <t xml:space="preserve">RPY-0000694</t>
  </si>
  <si>
    <t xml:space="preserve">RPY-0000695</t>
  </si>
  <si>
    <t xml:space="preserve">RPY-0000696</t>
  </si>
  <si>
    <t xml:space="preserve">RPY-0000697</t>
  </si>
  <si>
    <t xml:space="preserve">RPY-0000698</t>
  </si>
  <si>
    <t xml:space="preserve">RPY-0000699</t>
  </si>
  <si>
    <t xml:space="preserve">RPY-0000700</t>
  </si>
  <si>
    <t xml:space="preserve">RPY-0000701</t>
  </si>
  <si>
    <t xml:space="preserve">RPY-0000702</t>
  </si>
  <si>
    <t xml:space="preserve">RPY-0000703</t>
  </si>
  <si>
    <t xml:space="preserve">RPY-0000704</t>
  </si>
  <si>
    <t xml:space="preserve">RPY-0000705</t>
  </si>
  <si>
    <t xml:space="preserve">RPY-0000706</t>
  </si>
  <si>
    <t xml:space="preserve">RPY-0000707</t>
  </si>
  <si>
    <t xml:space="preserve">RPY-0000708</t>
  </si>
  <si>
    <t xml:space="preserve">RPY-0000709</t>
  </si>
  <si>
    <t xml:space="preserve">RPY-0000710</t>
  </si>
  <si>
    <t xml:space="preserve">RPY-0000711</t>
  </si>
  <si>
    <t xml:space="preserve">RPY-0000712</t>
  </si>
  <si>
    <t xml:space="preserve">RPY-0000713</t>
  </si>
  <si>
    <t xml:space="preserve">RPY-0000714</t>
  </si>
  <si>
    <t xml:space="preserve">RPY-0000715</t>
  </si>
  <si>
    <t xml:space="preserve">RPY-0000716</t>
  </si>
  <si>
    <t xml:space="preserve">RPY-0000717</t>
  </si>
  <si>
    <t xml:space="preserve">RPY-0000718</t>
  </si>
  <si>
    <t xml:space="preserve">RPY-0000719</t>
  </si>
  <si>
    <t xml:space="preserve">RPY-0000720</t>
  </si>
  <si>
    <t xml:space="preserve">RPY-0000721</t>
  </si>
  <si>
    <t xml:space="preserve">RPY-0000722</t>
  </si>
  <si>
    <t xml:space="preserve">RPY-0000723</t>
  </si>
  <si>
    <t xml:space="preserve">RPY-0000724</t>
  </si>
  <si>
    <t xml:space="preserve">RPY-0000725</t>
  </si>
  <si>
    <t xml:space="preserve">RPY-0000726</t>
  </si>
  <si>
    <t xml:space="preserve">RPY-0000727</t>
  </si>
  <si>
    <t xml:space="preserve">RPY-0000728</t>
  </si>
  <si>
    <t xml:space="preserve">RPY-0000729</t>
  </si>
  <si>
    <t xml:space="preserve">RPY-0000730</t>
  </si>
  <si>
    <t xml:space="preserve">RPY-0000731</t>
  </si>
  <si>
    <t xml:space="preserve">RPY-0000732</t>
  </si>
  <si>
    <t xml:space="preserve">RPY-0000733</t>
  </si>
  <si>
    <t xml:space="preserve">RPY-0000734</t>
  </si>
  <si>
    <t xml:space="preserve">RPY-0000735</t>
  </si>
  <si>
    <t xml:space="preserve">RPY-0000736</t>
  </si>
  <si>
    <t xml:space="preserve">RPY-0000737</t>
  </si>
  <si>
    <t xml:space="preserve">RPY-0000738</t>
  </si>
  <si>
    <t xml:space="preserve">RPY-0000739</t>
  </si>
  <si>
    <t xml:space="preserve">RPY-0000740</t>
  </si>
  <si>
    <t xml:space="preserve">RPY-0000741</t>
  </si>
  <si>
    <t xml:space="preserve">RPY-0000742</t>
  </si>
  <si>
    <t xml:space="preserve">RPY-0000743</t>
  </si>
  <si>
    <t xml:space="preserve">RPY-0000744</t>
  </si>
  <si>
    <t xml:space="preserve">RPY-0000745</t>
  </si>
  <si>
    <t xml:space="preserve">RPY-0000746</t>
  </si>
  <si>
    <t xml:space="preserve">RPY-0000747</t>
  </si>
  <si>
    <t xml:space="preserve">RPY-0000748</t>
  </si>
  <si>
    <t xml:space="preserve">RPY-0000749</t>
  </si>
  <si>
    <t xml:space="preserve">RPY-0000750</t>
  </si>
  <si>
    <t xml:space="preserve">RPY-0000751</t>
  </si>
  <si>
    <t xml:space="preserve">RPY-0000752</t>
  </si>
  <si>
    <t xml:space="preserve">RPY-0000753</t>
  </si>
  <si>
    <t xml:space="preserve">RPY-0000754</t>
  </si>
  <si>
    <t xml:space="preserve">RPY-0000755</t>
  </si>
  <si>
    <t xml:space="preserve">RPY-0000756</t>
  </si>
  <si>
    <t xml:space="preserve">RPY-0000757</t>
  </si>
  <si>
    <t xml:space="preserve">RPY-0000758</t>
  </si>
  <si>
    <t xml:space="preserve">RPY-0000759</t>
  </si>
  <si>
    <t xml:space="preserve">RPY-0000760</t>
  </si>
  <si>
    <t xml:space="preserve">RPY-0000761</t>
  </si>
  <si>
    <t xml:space="preserve">RPY-0000762</t>
  </si>
  <si>
    <t xml:space="preserve">RPY-0000763</t>
  </si>
  <si>
    <t xml:space="preserve">RPY-0000764</t>
  </si>
  <si>
    <t xml:space="preserve">RPY-0000765</t>
  </si>
  <si>
    <t xml:space="preserve">RPY-0000766</t>
  </si>
  <si>
    <t xml:space="preserve">RPY-0000767</t>
  </si>
  <si>
    <t xml:space="preserve">RPY-0000768</t>
  </si>
  <si>
    <t xml:space="preserve">RPY-0000769</t>
  </si>
  <si>
    <t xml:space="preserve">RPY-0000770</t>
  </si>
  <si>
    <t xml:space="preserve">RPY-0000771</t>
  </si>
  <si>
    <t xml:space="preserve">RPY-0000772</t>
  </si>
  <si>
    <t xml:space="preserve">RPY-0000773</t>
  </si>
  <si>
    <t xml:space="preserve">RPY-0000774</t>
  </si>
  <si>
    <t xml:space="preserve">RPY-0000775</t>
  </si>
  <si>
    <t xml:space="preserve">RPY-0000776</t>
  </si>
  <si>
    <t xml:space="preserve">RPY-0000777</t>
  </si>
  <si>
    <t xml:space="preserve">RPY-0000778</t>
  </si>
  <si>
    <t xml:space="preserve">RPY-0000779</t>
  </si>
  <si>
    <t xml:space="preserve">RPY-0000780</t>
  </si>
  <si>
    <t xml:space="preserve">RPY-0000781</t>
  </si>
  <si>
    <t xml:space="preserve">RPY-0000782</t>
  </si>
  <si>
    <t xml:space="preserve">RPY-0000783</t>
  </si>
  <si>
    <t xml:space="preserve">RPY-0000784</t>
  </si>
  <si>
    <t xml:space="preserve">RPY-0000785</t>
  </si>
  <si>
    <t xml:space="preserve">RPY-0000786</t>
  </si>
  <si>
    <t xml:space="preserve">RPY-0000787</t>
  </si>
  <si>
    <t xml:space="preserve">RPY-0000788</t>
  </si>
  <si>
    <t xml:space="preserve">RPY-0000789</t>
  </si>
  <si>
    <t xml:space="preserve">RPY-0000790</t>
  </si>
  <si>
    <t xml:space="preserve">RPY-0000791</t>
  </si>
  <si>
    <t xml:space="preserve">RPY-0000792</t>
  </si>
  <si>
    <t xml:space="preserve">RPY-0000793</t>
  </si>
  <si>
    <t xml:space="preserve">RPY-0000794</t>
  </si>
  <si>
    <t xml:space="preserve">RPY-0000795</t>
  </si>
  <si>
    <t xml:space="preserve">RPY-0000796</t>
  </si>
  <si>
    <t xml:space="preserve">RPY-0000797</t>
  </si>
  <si>
    <t xml:space="preserve">RPY-0000798</t>
  </si>
  <si>
    <t xml:space="preserve">RPY-0000799</t>
  </si>
  <si>
    <t xml:space="preserve">RPY-0000800</t>
  </si>
  <si>
    <t xml:space="preserve">RPY-0000801</t>
  </si>
  <si>
    <t xml:space="preserve">RPY-0000802</t>
  </si>
  <si>
    <t xml:space="preserve">RPY-0000803</t>
  </si>
  <si>
    <t xml:space="preserve">RPY-0000804</t>
  </si>
  <si>
    <t xml:space="preserve">RPY-0000805</t>
  </si>
  <si>
    <t xml:space="preserve">RPY-0000806</t>
  </si>
  <si>
    <t xml:space="preserve">RPY-0000807</t>
  </si>
  <si>
    <t xml:space="preserve">RPY-0000808</t>
  </si>
  <si>
    <t xml:space="preserve">RPY-0000809</t>
  </si>
  <si>
    <t xml:space="preserve">RPY-0000810</t>
  </si>
  <si>
    <t xml:space="preserve">RPY-0000811</t>
  </si>
  <si>
    <t xml:space="preserve">RPY-0000812</t>
  </si>
  <si>
    <t xml:space="preserve">RPY-0000813</t>
  </si>
  <si>
    <t xml:space="preserve">RPY-0000814</t>
  </si>
  <si>
    <t xml:space="preserve">RPY-0000815</t>
  </si>
  <si>
    <t xml:space="preserve">RPY-0000816</t>
  </si>
  <si>
    <t xml:space="preserve">RPY-0000817</t>
  </si>
  <si>
    <t xml:space="preserve">RPY-0000818</t>
  </si>
  <si>
    <t xml:space="preserve">RPY-0000819</t>
  </si>
  <si>
    <t xml:space="preserve">RPY-0000820</t>
  </si>
  <si>
    <t xml:space="preserve">RPY-0000821</t>
  </si>
  <si>
    <t xml:space="preserve">RPY-0000822</t>
  </si>
  <si>
    <t xml:space="preserve">RPY-0000823</t>
  </si>
  <si>
    <t xml:space="preserve">RPY-0000824</t>
  </si>
  <si>
    <t xml:space="preserve">RPY-0000825</t>
  </si>
  <si>
    <t xml:space="preserve">RPY-0000826</t>
  </si>
  <si>
    <t xml:space="preserve">RPY-0000827</t>
  </si>
  <si>
    <t xml:space="preserve">RPY-0000828</t>
  </si>
  <si>
    <t xml:space="preserve">RPY-0000829</t>
  </si>
  <si>
    <t xml:space="preserve">RPY-0000830</t>
  </si>
  <si>
    <t xml:space="preserve">RPY-0000831</t>
  </si>
  <si>
    <t xml:space="preserve">RPY-0000832</t>
  </si>
  <si>
    <t xml:space="preserve">RPY-0000833</t>
  </si>
  <si>
    <t xml:space="preserve">RPY-0000834</t>
  </si>
  <si>
    <t xml:space="preserve">RPY-0000835</t>
  </si>
  <si>
    <t xml:space="preserve">RPY-0000836</t>
  </si>
  <si>
    <t xml:space="preserve">RPY-0000837</t>
  </si>
  <si>
    <t xml:space="preserve">RPY-0000838</t>
  </si>
  <si>
    <t xml:space="preserve">RPY-0000839</t>
  </si>
  <si>
    <t xml:space="preserve">RPY-0000840</t>
  </si>
  <si>
    <t xml:space="preserve">RPY-0000841</t>
  </si>
  <si>
    <t xml:space="preserve">RPY-0000842</t>
  </si>
  <si>
    <t xml:space="preserve">RPY-0000843</t>
  </si>
  <si>
    <t xml:space="preserve">RPY-0000844</t>
  </si>
  <si>
    <t xml:space="preserve">RPY-0000845</t>
  </si>
  <si>
    <t xml:space="preserve">RPY-0000846</t>
  </si>
  <si>
    <t xml:space="preserve">RPY-0000847</t>
  </si>
  <si>
    <t xml:space="preserve">RPY-0000848</t>
  </si>
  <si>
    <t xml:space="preserve">RPY-0000849</t>
  </si>
  <si>
    <t xml:space="preserve">RPY-0000850</t>
  </si>
  <si>
    <t xml:space="preserve">RPY-0000851</t>
  </si>
  <si>
    <t xml:space="preserve">RPY-0000852</t>
  </si>
  <si>
    <t xml:space="preserve">RPY-0000853</t>
  </si>
  <si>
    <t xml:space="preserve">RPY-0000854</t>
  </si>
  <si>
    <t xml:space="preserve">RPY-0000855</t>
  </si>
  <si>
    <t xml:space="preserve">RPY-0000856</t>
  </si>
  <si>
    <t xml:space="preserve">RPY-0000857</t>
  </si>
  <si>
    <t xml:space="preserve">RPY-0000858</t>
  </si>
  <si>
    <t xml:space="preserve">RPY-0000859</t>
  </si>
  <si>
    <t xml:space="preserve">RPY-0000860</t>
  </si>
  <si>
    <t xml:space="preserve">RPY-0000861</t>
  </si>
  <si>
    <t xml:space="preserve">RPY-0000862</t>
  </si>
  <si>
    <t xml:space="preserve">RPY-0000863</t>
  </si>
  <si>
    <t xml:space="preserve">RPY-0000864</t>
  </si>
  <si>
    <t xml:space="preserve">RPY-0000865</t>
  </si>
  <si>
    <t xml:space="preserve">RPY-0000866</t>
  </si>
  <si>
    <t xml:space="preserve">RPY-0000867</t>
  </si>
  <si>
    <t xml:space="preserve">RPY-0000868</t>
  </si>
  <si>
    <t xml:space="preserve">RPY-0000869</t>
  </si>
  <si>
    <t xml:space="preserve">RPY-0000870</t>
  </si>
  <si>
    <t xml:space="preserve">RPY-0000871</t>
  </si>
  <si>
    <t xml:space="preserve">RPY-0000872</t>
  </si>
  <si>
    <t xml:space="preserve">RPY-0000873</t>
  </si>
  <si>
    <t xml:space="preserve">RPY-0000874</t>
  </si>
  <si>
    <t xml:space="preserve">RPY-0000875</t>
  </si>
  <si>
    <t xml:space="preserve">RPY-0000876</t>
  </si>
  <si>
    <t xml:space="preserve">RPY-0000877</t>
  </si>
  <si>
    <t xml:space="preserve">RPY-0000878</t>
  </si>
  <si>
    <t xml:space="preserve">RPY-0000879</t>
  </si>
  <si>
    <t xml:space="preserve">RPY-0000880</t>
  </si>
  <si>
    <t xml:space="preserve">RPY-0000881</t>
  </si>
  <si>
    <t xml:space="preserve">RPY-0000882</t>
  </si>
  <si>
    <t xml:space="preserve">RPY-0000883</t>
  </si>
  <si>
    <t xml:space="preserve">RPY-0000884</t>
  </si>
  <si>
    <t xml:space="preserve">RPY-0000885</t>
  </si>
  <si>
    <t xml:space="preserve">RPY-0000886</t>
  </si>
  <si>
    <t xml:space="preserve">RPY-0000887</t>
  </si>
  <si>
    <t xml:space="preserve">RPY-0000888</t>
  </si>
  <si>
    <t xml:space="preserve">RPY-0000889</t>
  </si>
  <si>
    <t xml:space="preserve">RPY-0000890</t>
  </si>
  <si>
    <t xml:space="preserve">RPY-0000891</t>
  </si>
  <si>
    <t xml:space="preserve">RPY-0000892</t>
  </si>
  <si>
    <t xml:space="preserve">RPY-0000893</t>
  </si>
  <si>
    <t xml:space="preserve">RPY-0000894</t>
  </si>
  <si>
    <t xml:space="preserve">RPY-0000895</t>
  </si>
  <si>
    <t xml:space="preserve">RPY-0000896</t>
  </si>
  <si>
    <t xml:space="preserve">RPY-0000897</t>
  </si>
  <si>
    <t xml:space="preserve">RPY-0000898</t>
  </si>
  <si>
    <t xml:space="preserve">RPY-0000899</t>
  </si>
  <si>
    <t xml:space="preserve">RPY-0000900</t>
  </si>
  <si>
    <t xml:space="preserve">RPY-0000901</t>
  </si>
  <si>
    <t xml:space="preserve">RPY-0000902</t>
  </si>
  <si>
    <t xml:space="preserve">RPY-0000903</t>
  </si>
  <si>
    <t xml:space="preserve">RPY-0000904</t>
  </si>
  <si>
    <t xml:space="preserve">RPY-0000905</t>
  </si>
  <si>
    <t xml:space="preserve">RPY-0000906</t>
  </si>
  <si>
    <t xml:space="preserve">RPY-0000907</t>
  </si>
  <si>
    <t xml:space="preserve">RPY-0000908</t>
  </si>
  <si>
    <t xml:space="preserve">RPY-0000909</t>
  </si>
  <si>
    <t xml:space="preserve">RPY-0000910</t>
  </si>
  <si>
    <t xml:space="preserve">RPY-0000911</t>
  </si>
  <si>
    <t xml:space="preserve">RPY-0000912</t>
  </si>
  <si>
    <t xml:space="preserve">RPY-0000913</t>
  </si>
  <si>
    <t xml:space="preserve">RPY-0000914</t>
  </si>
  <si>
    <t xml:space="preserve">RPY-0000915</t>
  </si>
  <si>
    <t xml:space="preserve">RPY-0000916</t>
  </si>
  <si>
    <t xml:space="preserve">RPY-0000917</t>
  </si>
  <si>
    <t xml:space="preserve">RPY-0000918</t>
  </si>
  <si>
    <t xml:space="preserve">RPY-0000919</t>
  </si>
  <si>
    <t xml:space="preserve">RPY-0000920</t>
  </si>
  <si>
    <t xml:space="preserve">RPY-0000921</t>
  </si>
  <si>
    <t xml:space="preserve">RPY-0000922</t>
  </si>
  <si>
    <t xml:space="preserve">RPY-0000923</t>
  </si>
  <si>
    <t xml:space="preserve">RPY-0000924</t>
  </si>
  <si>
    <t xml:space="preserve">RPY-0000925</t>
  </si>
  <si>
    <t xml:space="preserve">RPY-0000926</t>
  </si>
  <si>
    <t xml:space="preserve">RPY-0000927</t>
  </si>
  <si>
    <t xml:space="preserve">RPY-0000928</t>
  </si>
  <si>
    <t xml:space="preserve">RPY-0000929</t>
  </si>
  <si>
    <t xml:space="preserve">RPY-0000930</t>
  </si>
  <si>
    <t xml:space="preserve">RPY-0000931</t>
  </si>
  <si>
    <t xml:space="preserve">RPY-0000932</t>
  </si>
  <si>
    <t xml:space="preserve">RPY-0000933</t>
  </si>
  <si>
    <t xml:space="preserve">RPY-0000934</t>
  </si>
  <si>
    <t xml:space="preserve">RPY-0000935</t>
  </si>
  <si>
    <t xml:space="preserve">RPY-0000936</t>
  </si>
  <si>
    <t xml:space="preserve">RPY-0000937</t>
  </si>
  <si>
    <t xml:space="preserve">RPY-0000938</t>
  </si>
  <si>
    <t xml:space="preserve">RPY-0000939</t>
  </si>
  <si>
    <t xml:space="preserve">RPY-0000940</t>
  </si>
  <si>
    <t xml:space="preserve">RPY-0000941</t>
  </si>
  <si>
    <t xml:space="preserve">RPY-0000942</t>
  </si>
  <si>
    <t xml:space="preserve">RPY-0000943</t>
  </si>
  <si>
    <t xml:space="preserve">RPY-0000944</t>
  </si>
  <si>
    <t xml:space="preserve">RPY-0000945</t>
  </si>
  <si>
    <t xml:space="preserve">RPY-0000946</t>
  </si>
  <si>
    <t xml:space="preserve">RPY-0000947</t>
  </si>
  <si>
    <t xml:space="preserve">RPY-0000948</t>
  </si>
  <si>
    <t xml:space="preserve">RPY-0000949</t>
  </si>
  <si>
    <t xml:space="preserve">RPY-0000950</t>
  </si>
  <si>
    <t xml:space="preserve">RPY-0000951</t>
  </si>
  <si>
    <t xml:space="preserve">RPY-0000952</t>
  </si>
  <si>
    <t xml:space="preserve">RPY-0000953</t>
  </si>
  <si>
    <t xml:space="preserve">RPY-0000954</t>
  </si>
  <si>
    <t xml:space="preserve">RPY-0000955</t>
  </si>
  <si>
    <t xml:space="preserve">RPY-0000956</t>
  </si>
  <si>
    <t xml:space="preserve">RPY-0000957</t>
  </si>
  <si>
    <t xml:space="preserve">RPY-0000958</t>
  </si>
  <si>
    <t xml:space="preserve">RPY-0000959</t>
  </si>
  <si>
    <t xml:space="preserve">RPY-0000960</t>
  </si>
  <si>
    <t xml:space="preserve">RPY-0000961</t>
  </si>
  <si>
    <t xml:space="preserve">RPY-0000962</t>
  </si>
  <si>
    <t xml:space="preserve">RPY-0000963</t>
  </si>
  <si>
    <t xml:space="preserve">RPY-0000964</t>
  </si>
  <si>
    <t xml:space="preserve">RPY-0000965</t>
  </si>
  <si>
    <t xml:space="preserve">RPY-0000966</t>
  </si>
  <si>
    <t xml:space="preserve">RPY-0000967</t>
  </si>
  <si>
    <t xml:space="preserve">RPY-0000968</t>
  </si>
  <si>
    <t xml:space="preserve">RPY-0000969</t>
  </si>
  <si>
    <t xml:space="preserve">RPY-0000970</t>
  </si>
  <si>
    <t xml:space="preserve">RPY-0000971</t>
  </si>
  <si>
    <t xml:space="preserve">RPY-0000972</t>
  </si>
  <si>
    <t xml:space="preserve">RPY-0000973</t>
  </si>
  <si>
    <t xml:space="preserve">RPY-0000974</t>
  </si>
  <si>
    <t xml:space="preserve">RPY-0000975</t>
  </si>
  <si>
    <t xml:space="preserve">RPY-0000976</t>
  </si>
  <si>
    <t xml:space="preserve">RPY-0000977</t>
  </si>
  <si>
    <t xml:space="preserve">RPY-0000978</t>
  </si>
  <si>
    <t xml:space="preserve">RPY-0000979</t>
  </si>
  <si>
    <t xml:space="preserve">RPY-0000980</t>
  </si>
  <si>
    <t xml:space="preserve">RPY-0000981</t>
  </si>
  <si>
    <t xml:space="preserve">RPY-0000982</t>
  </si>
  <si>
    <t xml:space="preserve">RPY-0000983</t>
  </si>
  <si>
    <t xml:space="preserve">RPY-0000984</t>
  </si>
  <si>
    <t xml:space="preserve">RPY-0000985</t>
  </si>
  <si>
    <t xml:space="preserve">RPY-0000986</t>
  </si>
  <si>
    <t xml:space="preserve">RPY-0000987</t>
  </si>
  <si>
    <t xml:space="preserve">RPY-0000988</t>
  </si>
  <si>
    <t xml:space="preserve">RPY-0000989</t>
  </si>
  <si>
    <t xml:space="preserve">RPY-0000990</t>
  </si>
  <si>
    <t xml:space="preserve">RPY-0000991</t>
  </si>
  <si>
    <t xml:space="preserve">RPY-0000992</t>
  </si>
  <si>
    <t xml:space="preserve">RPY-0000993</t>
  </si>
  <si>
    <t xml:space="preserve">RPY-0000994</t>
  </si>
  <si>
    <t xml:space="preserve">RPY-0000995</t>
  </si>
  <si>
    <t xml:space="preserve">RPY-0000996</t>
  </si>
  <si>
    <t xml:space="preserve">RPY-0000997</t>
  </si>
  <si>
    <t xml:space="preserve">RPY-0000998</t>
  </si>
  <si>
    <t xml:space="preserve">RPY-0000999</t>
  </si>
  <si>
    <t xml:space="preserve">RPY-0001000</t>
  </si>
  <si>
    <t xml:space="preserve">RPY-0001001</t>
  </si>
  <si>
    <t xml:space="preserve">RPY-0001002</t>
  </si>
  <si>
    <t xml:space="preserve">RPY-0001003</t>
  </si>
  <si>
    <t xml:space="preserve">RPY-0001004</t>
  </si>
  <si>
    <t xml:space="preserve">RPY-0001005</t>
  </si>
  <si>
    <t xml:space="preserve">RPY-0001006</t>
  </si>
  <si>
    <t xml:space="preserve">RPY-0001007</t>
  </si>
  <si>
    <t xml:space="preserve">RPY-0001008</t>
  </si>
  <si>
    <t xml:space="preserve">RPY-0001009</t>
  </si>
  <si>
    <t xml:space="preserve">RPY-0001010</t>
  </si>
  <si>
    <t xml:space="preserve">RPY-0001011</t>
  </si>
  <si>
    <t xml:space="preserve">RPY-0001012</t>
  </si>
  <si>
    <t xml:space="preserve">RPY-0001013</t>
  </si>
  <si>
    <t xml:space="preserve">RPY-0001014</t>
  </si>
  <si>
    <t xml:space="preserve">RPY-0001015</t>
  </si>
  <si>
    <t xml:space="preserve">RPY-0001016</t>
  </si>
  <si>
    <t xml:space="preserve">RPY-0001017</t>
  </si>
  <si>
    <t xml:space="preserve">RPY-0001018</t>
  </si>
  <si>
    <t xml:space="preserve">RPY-0001019</t>
  </si>
  <si>
    <t xml:space="preserve">RPY-0001020</t>
  </si>
  <si>
    <t xml:space="preserve">RPY-0001021</t>
  </si>
  <si>
    <t xml:space="preserve">RPY-0001022</t>
  </si>
  <si>
    <t xml:space="preserve">RPY-0001023</t>
  </si>
  <si>
    <t xml:space="preserve">RPY-0001024</t>
  </si>
  <si>
    <t xml:space="preserve">RPY-0001025</t>
  </si>
  <si>
    <t xml:space="preserve">RPY-0001026</t>
  </si>
  <si>
    <t xml:space="preserve">RPY-0001027</t>
  </si>
  <si>
    <t xml:space="preserve">RPY-0001028</t>
  </si>
  <si>
    <t xml:space="preserve">RPY-0001029</t>
  </si>
  <si>
    <t xml:space="preserve">RPY-0001030</t>
  </si>
  <si>
    <t xml:space="preserve">RPY-0001031</t>
  </si>
  <si>
    <t xml:space="preserve">RPY-0001032</t>
  </si>
  <si>
    <t xml:space="preserve">RPY-0001033</t>
  </si>
  <si>
    <t xml:space="preserve">RPY-0001034</t>
  </si>
  <si>
    <t xml:space="preserve">RPY-0001035</t>
  </si>
  <si>
    <t xml:space="preserve">RPY-0001036</t>
  </si>
  <si>
    <t xml:space="preserve">RPY-0001037</t>
  </si>
  <si>
    <t xml:space="preserve">RPY-0001038</t>
  </si>
  <si>
    <t xml:space="preserve">RPY-0001039</t>
  </si>
  <si>
    <t xml:space="preserve">RPY-0001040</t>
  </si>
  <si>
    <t xml:space="preserve">RPY-0001041</t>
  </si>
  <si>
    <t xml:space="preserve">RPY-0001042</t>
  </si>
  <si>
    <t xml:space="preserve">RPY-0001043</t>
  </si>
  <si>
    <t xml:space="preserve">RPY-0001044</t>
  </si>
  <si>
    <t xml:space="preserve">RPY-0001045</t>
  </si>
  <si>
    <t xml:space="preserve">RPY-0001046</t>
  </si>
  <si>
    <t xml:space="preserve">RPY-0001047</t>
  </si>
  <si>
    <t xml:space="preserve">RPY-0001048</t>
  </si>
  <si>
    <t xml:space="preserve">RPY-0001049</t>
  </si>
  <si>
    <t xml:space="preserve">RPY-0001050</t>
  </si>
  <si>
    <t xml:space="preserve">RPY-0001051</t>
  </si>
  <si>
    <t xml:space="preserve">RPY-0001052</t>
  </si>
  <si>
    <t xml:space="preserve">RPY-0001053</t>
  </si>
  <si>
    <t xml:space="preserve">RPY-0001054</t>
  </si>
  <si>
    <t xml:space="preserve">RPY-0001055</t>
  </si>
  <si>
    <t xml:space="preserve">RPY-0001056</t>
  </si>
  <si>
    <t xml:space="preserve">RPY-0001057</t>
  </si>
  <si>
    <t xml:space="preserve">RPY-0001058</t>
  </si>
  <si>
    <t xml:space="preserve">RPY-0001059</t>
  </si>
  <si>
    <t xml:space="preserve">RPY-0001060</t>
  </si>
  <si>
    <t xml:space="preserve">RPY-0001061</t>
  </si>
  <si>
    <t xml:space="preserve">RPY-0001062</t>
  </si>
  <si>
    <t xml:space="preserve">RPY-0001063</t>
  </si>
  <si>
    <t xml:space="preserve">RPY-0001064</t>
  </si>
  <si>
    <t xml:space="preserve">RPY-0001065</t>
  </si>
  <si>
    <t xml:space="preserve">RPY-0001066</t>
  </si>
  <si>
    <t xml:space="preserve">RPY-0001067</t>
  </si>
  <si>
    <t xml:space="preserve">RPY-0001068</t>
  </si>
  <si>
    <t xml:space="preserve">RPY-0001069</t>
  </si>
  <si>
    <t xml:space="preserve">RPY-0001070</t>
  </si>
  <si>
    <t xml:space="preserve">RPY-0001071</t>
  </si>
  <si>
    <t xml:space="preserve">RPY-0001072</t>
  </si>
  <si>
    <t xml:space="preserve">RPY-0001073</t>
  </si>
  <si>
    <t xml:space="preserve">RPY-0001074</t>
  </si>
  <si>
    <t xml:space="preserve">RPY-0001075</t>
  </si>
  <si>
    <t xml:space="preserve">RPY-0001076</t>
  </si>
  <si>
    <t xml:space="preserve">RPY-0001077</t>
  </si>
  <si>
    <t xml:space="preserve">RPY-0001078</t>
  </si>
  <si>
    <t xml:space="preserve">RPY-0001079</t>
  </si>
  <si>
    <t xml:space="preserve">RPY-0001080</t>
  </si>
  <si>
    <t xml:space="preserve">RPY-0001081</t>
  </si>
  <si>
    <t xml:space="preserve">RPY-0001082</t>
  </si>
  <si>
    <t xml:space="preserve">RPY-0001083</t>
  </si>
  <si>
    <t xml:space="preserve">RPY-0001084</t>
  </si>
  <si>
    <t xml:space="preserve">RPY-0001085</t>
  </si>
  <si>
    <t xml:space="preserve">RPY-0001086</t>
  </si>
  <si>
    <t xml:space="preserve">RPY-0001087</t>
  </si>
  <si>
    <t xml:space="preserve">RPY-0001088</t>
  </si>
  <si>
    <t xml:space="preserve">RPY-0001089</t>
  </si>
  <si>
    <t xml:space="preserve">RPY-0001090</t>
  </si>
  <si>
    <t xml:space="preserve">RPY-0001091</t>
  </si>
  <si>
    <t xml:space="preserve">RPY-0001092</t>
  </si>
  <si>
    <t xml:space="preserve">RPY-0001093</t>
  </si>
  <si>
    <t xml:space="preserve">RPY-0001094</t>
  </si>
  <si>
    <t xml:space="preserve">RPY-0001095</t>
  </si>
  <si>
    <t xml:space="preserve">RPY-0001096</t>
  </si>
  <si>
    <t xml:space="preserve">RPY-0001097</t>
  </si>
  <si>
    <t xml:space="preserve">RPY-0001098</t>
  </si>
  <si>
    <t xml:space="preserve">RPY-0001099</t>
  </si>
  <si>
    <t xml:space="preserve">RPY-0001100</t>
  </si>
  <si>
    <t xml:space="preserve">RPY-0001101</t>
  </si>
  <si>
    <t xml:space="preserve">RPY-0001102</t>
  </si>
  <si>
    <t xml:space="preserve">RPY-0001103</t>
  </si>
  <si>
    <t xml:space="preserve">RPY-0001104</t>
  </si>
  <si>
    <t xml:space="preserve">RPY-0001105</t>
  </si>
  <si>
    <t xml:space="preserve">RPY-0001106</t>
  </si>
  <si>
    <t xml:space="preserve">RPY-0001107</t>
  </si>
  <si>
    <t xml:space="preserve">RPY-0001108</t>
  </si>
  <si>
    <t xml:space="preserve">RPY-0001109</t>
  </si>
  <si>
    <t xml:space="preserve">RPY-0001110</t>
  </si>
  <si>
    <t xml:space="preserve">RPY-0001111</t>
  </si>
  <si>
    <t xml:space="preserve">RPY-0001112</t>
  </si>
  <si>
    <t xml:space="preserve">RPY-0001113</t>
  </si>
  <si>
    <t xml:space="preserve">RPY-0001114</t>
  </si>
  <si>
    <t xml:space="preserve">RPY-0001115</t>
  </si>
  <si>
    <t xml:space="preserve">RPY-0001116</t>
  </si>
  <si>
    <t xml:space="preserve">RPY-0001117</t>
  </si>
  <si>
    <t xml:space="preserve">RPY-0001118</t>
  </si>
  <si>
    <t xml:space="preserve">RPY-0001119</t>
  </si>
  <si>
    <t xml:space="preserve">RPY-0001120</t>
  </si>
  <si>
    <t xml:space="preserve">RPY-0001121</t>
  </si>
  <si>
    <t xml:space="preserve">RPY-0001122</t>
  </si>
  <si>
    <t xml:space="preserve">RPY-0001123</t>
  </si>
  <si>
    <t xml:space="preserve">RPY-0001124</t>
  </si>
  <si>
    <t xml:space="preserve">RPY-0001125</t>
  </si>
  <si>
    <t xml:space="preserve">RPY-0001126</t>
  </si>
  <si>
    <t xml:space="preserve">RPY-0001127</t>
  </si>
  <si>
    <t xml:space="preserve">RPY-0001128</t>
  </si>
  <si>
    <t xml:space="preserve">RPY-0001129</t>
  </si>
  <si>
    <t xml:space="preserve">RPY-0001130</t>
  </si>
  <si>
    <t xml:space="preserve">RPY-0001131</t>
  </si>
  <si>
    <t xml:space="preserve">RPY-0001132</t>
  </si>
  <si>
    <t xml:space="preserve">RPY-0001133</t>
  </si>
  <si>
    <t xml:space="preserve">RPY-0001134</t>
  </si>
  <si>
    <t xml:space="preserve">RPY-0001135</t>
  </si>
  <si>
    <t xml:space="preserve">RPY-0001136</t>
  </si>
  <si>
    <t xml:space="preserve">RPY-0001137</t>
  </si>
  <si>
    <t xml:space="preserve">RPY-0001138</t>
  </si>
  <si>
    <t xml:space="preserve">RPY-0001139</t>
  </si>
  <si>
    <t xml:space="preserve">RPY-0001140</t>
  </si>
  <si>
    <t xml:space="preserve">RPY-0001141</t>
  </si>
  <si>
    <t xml:space="preserve">RPY-0001142</t>
  </si>
  <si>
    <t xml:space="preserve">RPY-0001143</t>
  </si>
  <si>
    <t xml:space="preserve">RPY-0001144</t>
  </si>
  <si>
    <t xml:space="preserve">RPY-0001145</t>
  </si>
  <si>
    <t xml:space="preserve">RPY-0001146</t>
  </si>
  <si>
    <t xml:space="preserve">RPY-0001147</t>
  </si>
  <si>
    <t xml:space="preserve">RPY-0001148</t>
  </si>
  <si>
    <t xml:space="preserve">RPY-0001149</t>
  </si>
  <si>
    <t xml:space="preserve">RPY-0001150</t>
  </si>
  <si>
    <t xml:space="preserve">RPY-0001151</t>
  </si>
  <si>
    <t xml:space="preserve">RPY-0001152</t>
  </si>
  <si>
    <t xml:space="preserve">RPY-0001153</t>
  </si>
  <si>
    <t xml:space="preserve">RPY-0001154</t>
  </si>
  <si>
    <t xml:space="preserve">RPY-0001155</t>
  </si>
  <si>
    <t xml:space="preserve">RPY-0001156</t>
  </si>
  <si>
    <t xml:space="preserve">RPY-0001157</t>
  </si>
  <si>
    <t xml:space="preserve">RPY-0001158</t>
  </si>
  <si>
    <t xml:space="preserve">RPY-0001159</t>
  </si>
  <si>
    <t xml:space="preserve">RPY-0001160</t>
  </si>
  <si>
    <t xml:space="preserve">RPY-0001161</t>
  </si>
  <si>
    <t xml:space="preserve">RPY-0001162</t>
  </si>
  <si>
    <t xml:space="preserve">RPY-0001163</t>
  </si>
  <si>
    <t xml:space="preserve">RPY-0001164</t>
  </si>
  <si>
    <t xml:space="preserve">RPY-0001165</t>
  </si>
  <si>
    <t xml:space="preserve">RPY-0001166</t>
  </si>
  <si>
    <t xml:space="preserve">RPY-0001167</t>
  </si>
  <si>
    <t xml:space="preserve">RPY-0001168</t>
  </si>
  <si>
    <t xml:space="preserve">RPY-0001169</t>
  </si>
  <si>
    <t xml:space="preserve">RPY-0001170</t>
  </si>
  <si>
    <t xml:space="preserve">RPY-0001171</t>
  </si>
  <si>
    <t xml:space="preserve">RPY-0001172</t>
  </si>
  <si>
    <t xml:space="preserve">RPY-0001173</t>
  </si>
  <si>
    <t xml:space="preserve">RPY-0001174</t>
  </si>
  <si>
    <t xml:space="preserve">RPY-0001175</t>
  </si>
  <si>
    <t xml:space="preserve">RPY-0001176</t>
  </si>
  <si>
    <t xml:space="preserve">RPY-0001177</t>
  </si>
  <si>
    <t xml:space="preserve">RPY-0001178</t>
  </si>
  <si>
    <t xml:space="preserve">RPY-0001179</t>
  </si>
  <si>
    <t xml:space="preserve">RPY-0001180</t>
  </si>
  <si>
    <t xml:space="preserve">RPY-0001181</t>
  </si>
  <si>
    <t xml:space="preserve">RPY-0001182</t>
  </si>
  <si>
    <t xml:space="preserve">RPY-0001183</t>
  </si>
  <si>
    <t xml:space="preserve">RPY-0001184</t>
  </si>
  <si>
    <t xml:space="preserve">RPY-0001185</t>
  </si>
  <si>
    <t xml:space="preserve">RPY-0001186</t>
  </si>
  <si>
    <t xml:space="preserve">RPY-0001187</t>
  </si>
  <si>
    <t xml:space="preserve">RPY-0001188</t>
  </si>
  <si>
    <t xml:space="preserve">RPY-0001189</t>
  </si>
  <si>
    <t xml:space="preserve">RPY-0001190</t>
  </si>
  <si>
    <t xml:space="preserve">RPY-0001191</t>
  </si>
  <si>
    <t xml:space="preserve">RPY-0001192</t>
  </si>
  <si>
    <t xml:space="preserve">RPY-0001193</t>
  </si>
  <si>
    <t xml:space="preserve">RPY-0001194</t>
  </si>
  <si>
    <t xml:space="preserve">RPY-0001195</t>
  </si>
  <si>
    <t xml:space="preserve">RPY-0001196</t>
  </si>
  <si>
    <t xml:space="preserve">RPY-0001197</t>
  </si>
  <si>
    <t xml:space="preserve">RPY-0001198</t>
  </si>
  <si>
    <t xml:space="preserve">RPY-0001199</t>
  </si>
  <si>
    <t xml:space="preserve">RPY-0001200</t>
  </si>
  <si>
    <t xml:space="preserve">RPY-0001201</t>
  </si>
  <si>
    <t xml:space="preserve">RPY-0001202</t>
  </si>
  <si>
    <t xml:space="preserve">RPY-0001203</t>
  </si>
  <si>
    <t xml:space="preserve">RPY-0001204</t>
  </si>
  <si>
    <t xml:space="preserve">RPY-0001205</t>
  </si>
  <si>
    <t xml:space="preserve">RPY-0001206</t>
  </si>
  <si>
    <t xml:space="preserve">RPY-0001207</t>
  </si>
  <si>
    <t xml:space="preserve">RPY-0001208</t>
  </si>
  <si>
    <t xml:space="preserve">RPY-0001209</t>
  </si>
  <si>
    <t xml:space="preserve">RPY-0001210</t>
  </si>
  <si>
    <t xml:space="preserve">RPY-0001211</t>
  </si>
  <si>
    <t xml:space="preserve">RPY-0001212</t>
  </si>
  <si>
    <t xml:space="preserve">RPY-0001213</t>
  </si>
  <si>
    <t xml:space="preserve">RPY-0001214</t>
  </si>
  <si>
    <t xml:space="preserve">RPY-0001215</t>
  </si>
  <si>
    <t xml:space="preserve">RPY-0001216</t>
  </si>
  <si>
    <t xml:space="preserve">RPY-0001217</t>
  </si>
  <si>
    <t xml:space="preserve">RPY-0001218</t>
  </si>
  <si>
    <t xml:space="preserve">RPY-0001219</t>
  </si>
  <si>
    <t xml:space="preserve">RPY-0001220</t>
  </si>
  <si>
    <t xml:space="preserve">RPY-0001221</t>
  </si>
  <si>
    <t xml:space="preserve">RPY-0001222</t>
  </si>
  <si>
    <t xml:space="preserve">RPY-0001223</t>
  </si>
  <si>
    <t xml:space="preserve">RPY-0001224</t>
  </si>
  <si>
    <t xml:space="preserve">RPY-0001225</t>
  </si>
  <si>
    <t xml:space="preserve">RPY-0001226</t>
  </si>
  <si>
    <t xml:space="preserve">RPY-0001227</t>
  </si>
  <si>
    <t xml:space="preserve">RPY-0001228</t>
  </si>
  <si>
    <t xml:space="preserve">RPY-0001229</t>
  </si>
  <si>
    <t xml:space="preserve">RPY-0001230</t>
  </si>
  <si>
    <t xml:space="preserve">RPY-0001231</t>
  </si>
  <si>
    <t xml:space="preserve">RPY-0001232</t>
  </si>
  <si>
    <t xml:space="preserve">RPY-0001233</t>
  </si>
  <si>
    <t xml:space="preserve">RPY-0001234</t>
  </si>
  <si>
    <t xml:space="preserve">RPY-0001235</t>
  </si>
  <si>
    <t xml:space="preserve">RPY-0001236</t>
  </si>
  <si>
    <t xml:space="preserve">RPY-0001237</t>
  </si>
  <si>
    <t xml:space="preserve">RPY-0001238</t>
  </si>
  <si>
    <t xml:space="preserve">RPY-0001239</t>
  </si>
  <si>
    <t xml:space="preserve">RPY-0001240</t>
  </si>
  <si>
    <t xml:space="preserve">RPY-0001241</t>
  </si>
  <si>
    <t xml:space="preserve">RPY-0001242</t>
  </si>
  <si>
    <t xml:space="preserve">RPY-0001243</t>
  </si>
  <si>
    <t xml:space="preserve">RPY-0001244</t>
  </si>
  <si>
    <t xml:space="preserve">RPY-0001245</t>
  </si>
  <si>
    <t xml:space="preserve">RPY-0001246</t>
  </si>
  <si>
    <t xml:space="preserve">RPY-0001247</t>
  </si>
  <si>
    <t xml:space="preserve">RPY-0001248</t>
  </si>
  <si>
    <t xml:space="preserve">RPY-0001249</t>
  </si>
  <si>
    <t xml:space="preserve">RPY-0001250</t>
  </si>
  <si>
    <t xml:space="preserve">RPY-0001251</t>
  </si>
  <si>
    <t xml:space="preserve">RPY-0001252</t>
  </si>
  <si>
    <t xml:space="preserve">RPY-0001253</t>
  </si>
  <si>
    <t xml:space="preserve">RPY-0001254</t>
  </si>
  <si>
    <t xml:space="preserve">RPY-0001255</t>
  </si>
  <si>
    <t xml:space="preserve">RPY-0001256</t>
  </si>
  <si>
    <t xml:space="preserve">RPY-0001257</t>
  </si>
  <si>
    <t xml:space="preserve">RPY-0001258</t>
  </si>
  <si>
    <t xml:space="preserve">RPY-0001259</t>
  </si>
  <si>
    <t xml:space="preserve">RPY-0001260</t>
  </si>
  <si>
    <t xml:space="preserve">RPY-0001261</t>
  </si>
  <si>
    <t xml:space="preserve">RPY-0001262</t>
  </si>
  <si>
    <t xml:space="preserve">RPY-0001263</t>
  </si>
  <si>
    <t xml:space="preserve">RPY-0001264</t>
  </si>
  <si>
    <t xml:space="preserve">RPY-0001265</t>
  </si>
  <si>
    <t xml:space="preserve">RPY-0001266</t>
  </si>
  <si>
    <t xml:space="preserve">RPY-0001267</t>
  </si>
  <si>
    <t xml:space="preserve">RPY-0001268</t>
  </si>
  <si>
    <t xml:space="preserve">RPY-0001269</t>
  </si>
  <si>
    <t xml:space="preserve">RPY-0001270</t>
  </si>
  <si>
    <t xml:space="preserve">RPY-0001271</t>
  </si>
  <si>
    <t xml:space="preserve">RPY-0001272</t>
  </si>
  <si>
    <t xml:space="preserve">RPY-0001273</t>
  </si>
  <si>
    <t xml:space="preserve">RPY-0001274</t>
  </si>
  <si>
    <t xml:space="preserve">RPY-0001275</t>
  </si>
  <si>
    <t xml:space="preserve">RPY-0001276</t>
  </si>
  <si>
    <t xml:space="preserve">RPY-0001277</t>
  </si>
  <si>
    <t xml:space="preserve">RPY-0001278</t>
  </si>
  <si>
    <t xml:space="preserve">RPY-0001279</t>
  </si>
  <si>
    <t xml:space="preserve">RPY-0001280</t>
  </si>
  <si>
    <t xml:space="preserve">RPY-0001281</t>
  </si>
  <si>
    <t xml:space="preserve">RPY-0001282</t>
  </si>
  <si>
    <t xml:space="preserve">RPY-0001283</t>
  </si>
  <si>
    <t xml:space="preserve">RPY-0001284</t>
  </si>
  <si>
    <t xml:space="preserve">RPY-0001285</t>
  </si>
  <si>
    <t xml:space="preserve">RPY-0001286</t>
  </si>
  <si>
    <t xml:space="preserve">RPY-0001287</t>
  </si>
  <si>
    <t xml:space="preserve">RPY-0001288</t>
  </si>
  <si>
    <t xml:space="preserve">RPY-0001289</t>
  </si>
  <si>
    <t xml:space="preserve">RPY-0001290</t>
  </si>
  <si>
    <t xml:space="preserve">RPY-0001291</t>
  </si>
  <si>
    <t xml:space="preserve">RPY-0001292</t>
  </si>
  <si>
    <t xml:space="preserve">RPY-0001293</t>
  </si>
  <si>
    <t xml:space="preserve">RPY-0001294</t>
  </si>
  <si>
    <t xml:space="preserve">RPY-0001295</t>
  </si>
  <si>
    <t xml:space="preserve">RPY-0001296</t>
  </si>
  <si>
    <t xml:space="preserve">RPY-0001297</t>
  </si>
  <si>
    <t xml:space="preserve">RPY-0001298</t>
  </si>
  <si>
    <t xml:space="preserve">RPY-0001299</t>
  </si>
  <si>
    <t xml:space="preserve">RPY-0001300</t>
  </si>
  <si>
    <t xml:space="preserve">RPY-0001301</t>
  </si>
  <si>
    <t xml:space="preserve">RPY-0001302</t>
  </si>
  <si>
    <t xml:space="preserve">RPY-0001303</t>
  </si>
  <si>
    <t xml:space="preserve">RPY-0001304</t>
  </si>
  <si>
    <t xml:space="preserve">RPY-0001305</t>
  </si>
  <si>
    <t xml:space="preserve">RPY-0001306</t>
  </si>
  <si>
    <t xml:space="preserve">RPY-0001307</t>
  </si>
  <si>
    <t xml:space="preserve">RPY-0001308</t>
  </si>
  <si>
    <t xml:space="preserve">RPY-0001309</t>
  </si>
  <si>
    <t xml:space="preserve">RPY-0001310</t>
  </si>
  <si>
    <t xml:space="preserve">RPY-0001311</t>
  </si>
  <si>
    <t xml:space="preserve">RPY-0001312</t>
  </si>
  <si>
    <t xml:space="preserve">RPY-0001313</t>
  </si>
  <si>
    <t xml:space="preserve">RPY-0001314</t>
  </si>
  <si>
    <t xml:space="preserve">RPY-0001315</t>
  </si>
  <si>
    <t xml:space="preserve">RPY-0001316</t>
  </si>
  <si>
    <t xml:space="preserve">RPY-0001317</t>
  </si>
  <si>
    <t xml:space="preserve">RPY-0001318</t>
  </si>
  <si>
    <t xml:space="preserve">RPY-0001319</t>
  </si>
  <si>
    <t xml:space="preserve">RPY-0001320</t>
  </si>
  <si>
    <t xml:space="preserve">RPY-0001321</t>
  </si>
  <si>
    <t xml:space="preserve">RPY-0001322</t>
  </si>
  <si>
    <t xml:space="preserve">RPY-0001323</t>
  </si>
  <si>
    <t xml:space="preserve">RPY-0001324</t>
  </si>
  <si>
    <t xml:space="preserve">RPY-0001325</t>
  </si>
  <si>
    <t xml:space="preserve">RPY-0001326</t>
  </si>
  <si>
    <t xml:space="preserve">RPY-0001327</t>
  </si>
  <si>
    <t xml:space="preserve">RPY-0001328</t>
  </si>
  <si>
    <t xml:space="preserve">RPY-0001329</t>
  </si>
  <si>
    <t xml:space="preserve">RPY-0001330</t>
  </si>
  <si>
    <t xml:space="preserve">RPY-0001331</t>
  </si>
  <si>
    <t xml:space="preserve">RPY-0001332</t>
  </si>
  <si>
    <t xml:space="preserve">RPY-0001333</t>
  </si>
  <si>
    <t xml:space="preserve">RPY-0001334</t>
  </si>
  <si>
    <t xml:space="preserve">RPY-0001335</t>
  </si>
  <si>
    <t xml:space="preserve">RPY-0001336</t>
  </si>
  <si>
    <t xml:space="preserve">RPY-0001337</t>
  </si>
  <si>
    <t xml:space="preserve">RPY-0001338</t>
  </si>
  <si>
    <t xml:space="preserve">RPY-0001339</t>
  </si>
  <si>
    <t xml:space="preserve">RPY-0001340</t>
  </si>
  <si>
    <t xml:space="preserve">RPY-0001341</t>
  </si>
  <si>
    <t xml:space="preserve">RPY-0001342</t>
  </si>
  <si>
    <t xml:space="preserve">RPY-0001343</t>
  </si>
  <si>
    <t xml:space="preserve">RPY-0001344</t>
  </si>
  <si>
    <t xml:space="preserve">RPY-0001345</t>
  </si>
  <si>
    <t xml:space="preserve">RPY-0001346</t>
  </si>
  <si>
    <t xml:space="preserve">RPY-0001347</t>
  </si>
  <si>
    <t xml:space="preserve">RPY-0001348</t>
  </si>
  <si>
    <t xml:space="preserve">RPY-0001349</t>
  </si>
  <si>
    <t xml:space="preserve">RPY-0001350</t>
  </si>
  <si>
    <t xml:space="preserve">RPY-0001351</t>
  </si>
  <si>
    <t xml:space="preserve">RPY-0001352</t>
  </si>
  <si>
    <t xml:space="preserve">RPY-0001353</t>
  </si>
  <si>
    <t xml:space="preserve">RPY-0001354</t>
  </si>
  <si>
    <t xml:space="preserve">RPY-0001355</t>
  </si>
  <si>
    <t xml:space="preserve">RPY-0001356</t>
  </si>
  <si>
    <t xml:space="preserve">RPY-0001357</t>
  </si>
  <si>
    <t xml:space="preserve">RPY-0001358</t>
  </si>
  <si>
    <t xml:space="preserve">RPY-0001359</t>
  </si>
  <si>
    <t xml:space="preserve">RPY-0001360</t>
  </si>
  <si>
    <t xml:space="preserve">RPY-0001361</t>
  </si>
  <si>
    <t xml:space="preserve">RPY-0001362</t>
  </si>
  <si>
    <t xml:space="preserve">RPY-0001363</t>
  </si>
  <si>
    <t xml:space="preserve">RPY-0001364</t>
  </si>
  <si>
    <t xml:space="preserve">RPY-0001365</t>
  </si>
  <si>
    <t xml:space="preserve">RPY-0001366</t>
  </si>
  <si>
    <t xml:space="preserve">RPY-0001367</t>
  </si>
  <si>
    <t xml:space="preserve">RPY-0001368</t>
  </si>
  <si>
    <t xml:space="preserve">RPY-0001369</t>
  </si>
  <si>
    <t xml:space="preserve">RPY-0001370</t>
  </si>
  <si>
    <t xml:space="preserve">RPY-0001371</t>
  </si>
  <si>
    <t xml:space="preserve">RPY-0001372</t>
  </si>
  <si>
    <t xml:space="preserve">RPY-0001373</t>
  </si>
  <si>
    <t xml:space="preserve">RPY-0001374</t>
  </si>
  <si>
    <t xml:space="preserve">RPY-0001375</t>
  </si>
  <si>
    <t xml:space="preserve">RPY-0001376</t>
  </si>
  <si>
    <t xml:space="preserve">RPY-0001377</t>
  </si>
  <si>
    <t xml:space="preserve">RPY-0001378</t>
  </si>
  <si>
    <t xml:space="preserve">RPY-0001379</t>
  </si>
  <si>
    <t xml:space="preserve">RPY-0001380</t>
  </si>
  <si>
    <t xml:space="preserve">RPY-0001381</t>
  </si>
  <si>
    <t xml:space="preserve">RPY-0001382</t>
  </si>
  <si>
    <t xml:space="preserve">RPY-0001383</t>
  </si>
  <si>
    <t xml:space="preserve">RPY-0001384</t>
  </si>
  <si>
    <t xml:space="preserve">RPY-0001385</t>
  </si>
  <si>
    <t xml:space="preserve">RPY-0001386</t>
  </si>
  <si>
    <t xml:space="preserve">RPY-0001387</t>
  </si>
  <si>
    <t xml:space="preserve">RPY-0001388</t>
  </si>
  <si>
    <t xml:space="preserve">RPY-0001389</t>
  </si>
  <si>
    <t xml:space="preserve">RPY-0001390</t>
  </si>
  <si>
    <t xml:space="preserve">RPY-0001391</t>
  </si>
  <si>
    <t xml:space="preserve">RPY-0001392</t>
  </si>
  <si>
    <t xml:space="preserve">RPY-0001393</t>
  </si>
  <si>
    <t xml:space="preserve">RPY-0001394</t>
  </si>
  <si>
    <t xml:space="preserve">RPY-0001395</t>
  </si>
  <si>
    <t xml:space="preserve">RPY-0001396</t>
  </si>
  <si>
    <t xml:space="preserve">RPY-0001397</t>
  </si>
  <si>
    <t xml:space="preserve">RPY-0001398</t>
  </si>
  <si>
    <t xml:space="preserve">RPY-0001399</t>
  </si>
  <si>
    <t xml:space="preserve">RPY-0001400</t>
  </si>
  <si>
    <t xml:space="preserve">RPY-0001401</t>
  </si>
  <si>
    <t xml:space="preserve">RPY-0001402</t>
  </si>
  <si>
    <t xml:space="preserve">RPY-0001403</t>
  </si>
  <si>
    <t xml:space="preserve">RPY-0001404</t>
  </si>
  <si>
    <t xml:space="preserve">RPY-0001405</t>
  </si>
  <si>
    <t xml:space="preserve">RPY-0001406</t>
  </si>
  <si>
    <t xml:space="preserve">RPY-0001407</t>
  </si>
  <si>
    <t xml:space="preserve">RPY-0001408</t>
  </si>
  <si>
    <t xml:space="preserve">RPY-0001409</t>
  </si>
  <si>
    <t xml:space="preserve">RPY-0001410</t>
  </si>
  <si>
    <t xml:space="preserve">RPY-0001411</t>
  </si>
  <si>
    <t xml:space="preserve">RPY-0001412</t>
  </si>
  <si>
    <t xml:space="preserve">RPY-0001413</t>
  </si>
  <si>
    <t xml:space="preserve">RPY-0001414</t>
  </si>
  <si>
    <t xml:space="preserve">RPY-0001415</t>
  </si>
  <si>
    <t xml:space="preserve">RPY-0001416</t>
  </si>
  <si>
    <t xml:space="preserve">RPY-0001417</t>
  </si>
  <si>
    <t xml:space="preserve">RPY-0001418</t>
  </si>
  <si>
    <t xml:space="preserve">RPY-0001419</t>
  </si>
  <si>
    <t xml:space="preserve">RPY-0001420</t>
  </si>
  <si>
    <t xml:space="preserve">RPY-0001421</t>
  </si>
  <si>
    <t xml:space="preserve">RPY-0001422</t>
  </si>
  <si>
    <t xml:space="preserve">RPY-0001423</t>
  </si>
  <si>
    <t xml:space="preserve">RPY-0001424</t>
  </si>
  <si>
    <t xml:space="preserve">RPY-0001425</t>
  </si>
  <si>
    <t xml:space="preserve">RPY-0001426</t>
  </si>
  <si>
    <t xml:space="preserve">RPY-0001427</t>
  </si>
  <si>
    <t xml:space="preserve">RPY-0001428</t>
  </si>
  <si>
    <t xml:space="preserve">RPY-0001429</t>
  </si>
  <si>
    <t xml:space="preserve">RPY-0001430</t>
  </si>
  <si>
    <t xml:space="preserve">RPY-0001431</t>
  </si>
  <si>
    <t xml:space="preserve">RPY-0001432</t>
  </si>
  <si>
    <t xml:space="preserve">RPY-0001433</t>
  </si>
  <si>
    <t xml:space="preserve">RPY-0001434</t>
  </si>
  <si>
    <t xml:space="preserve">RPY-0001435</t>
  </si>
  <si>
    <t xml:space="preserve">RPY-0001436</t>
  </si>
  <si>
    <t xml:space="preserve">RPY-0001437</t>
  </si>
  <si>
    <t xml:space="preserve">RPY-0001438</t>
  </si>
  <si>
    <t xml:space="preserve">RPY-0001439</t>
  </si>
  <si>
    <t xml:space="preserve">RPY-0001440</t>
  </si>
  <si>
    <t xml:space="preserve">RPY-0001441</t>
  </si>
  <si>
    <t xml:space="preserve">RPY-0001442</t>
  </si>
  <si>
    <t xml:space="preserve">RPY-0001443</t>
  </si>
  <si>
    <t xml:space="preserve">RPY-0001444</t>
  </si>
  <si>
    <t xml:space="preserve">RPY-0001445</t>
  </si>
  <si>
    <t xml:space="preserve">RPY-0001446</t>
  </si>
  <si>
    <t xml:space="preserve">RPY-0001447</t>
  </si>
  <si>
    <t xml:space="preserve">RPY-0001448</t>
  </si>
  <si>
    <t xml:space="preserve">RPY-0001449</t>
  </si>
  <si>
    <t xml:space="preserve">RPY-0001450</t>
  </si>
  <si>
    <t xml:space="preserve">RPY-0001451</t>
  </si>
  <si>
    <t xml:space="preserve">RPY-0001452</t>
  </si>
  <si>
    <t xml:space="preserve">RPY-0001453</t>
  </si>
  <si>
    <t xml:space="preserve">RPY-0001454</t>
  </si>
  <si>
    <t xml:space="preserve">RPY-0001455</t>
  </si>
  <si>
    <t xml:space="preserve">RPY-0001456</t>
  </si>
  <si>
    <t xml:space="preserve">RPY-0001457</t>
  </si>
  <si>
    <t xml:space="preserve">RPY-0001458</t>
  </si>
  <si>
    <t xml:space="preserve">RPY-0001459</t>
  </si>
  <si>
    <t xml:space="preserve">RPY-0001460</t>
  </si>
  <si>
    <t xml:space="preserve">RPY-0001461</t>
  </si>
  <si>
    <t xml:space="preserve">RPY-0001462</t>
  </si>
  <si>
    <t xml:space="preserve">RPY-0001463</t>
  </si>
  <si>
    <t xml:space="preserve">RPY-0001464</t>
  </si>
  <si>
    <t xml:space="preserve">RPY-0001465</t>
  </si>
  <si>
    <t xml:space="preserve">RPY-0001466</t>
  </si>
  <si>
    <t xml:space="preserve">RPY-0001467</t>
  </si>
  <si>
    <t xml:space="preserve">RPY-0001468</t>
  </si>
  <si>
    <t xml:space="preserve">RPY-0001469</t>
  </si>
  <si>
    <t xml:space="preserve">RPY-0001470</t>
  </si>
  <si>
    <t xml:space="preserve">RPY-0001471</t>
  </si>
  <si>
    <t xml:space="preserve">RPY-0001472</t>
  </si>
  <si>
    <t xml:space="preserve">RPY-0001473</t>
  </si>
  <si>
    <t xml:space="preserve">RPY-0001474</t>
  </si>
  <si>
    <t xml:space="preserve">RPY-0001475</t>
  </si>
  <si>
    <t xml:space="preserve">RPY-0001476</t>
  </si>
  <si>
    <t xml:space="preserve">RPY-0001477</t>
  </si>
  <si>
    <t xml:space="preserve">RPY-0001478</t>
  </si>
  <si>
    <t xml:space="preserve">RPY-0001479</t>
  </si>
  <si>
    <t xml:space="preserve">RPY-0001480</t>
  </si>
  <si>
    <t xml:space="preserve">RPY-0001481</t>
  </si>
  <si>
    <t xml:space="preserve">RPY-0001482</t>
  </si>
  <si>
    <t xml:space="preserve">RPY-0001483</t>
  </si>
  <si>
    <t xml:space="preserve">RPY-0001484</t>
  </si>
  <si>
    <t xml:space="preserve">RPY-0001485</t>
  </si>
  <si>
    <t xml:space="preserve">RPY-0001486</t>
  </si>
  <si>
    <t xml:space="preserve">RPY-0001487</t>
  </si>
  <si>
    <t xml:space="preserve">RPY-0001488</t>
  </si>
  <si>
    <t xml:space="preserve">RPY-0001489</t>
  </si>
  <si>
    <t xml:space="preserve">RPY-0001490</t>
  </si>
  <si>
    <t xml:space="preserve">RPY-0001491</t>
  </si>
  <si>
    <t xml:space="preserve">RPY-0001492</t>
  </si>
  <si>
    <t xml:space="preserve">RPY-0001493</t>
  </si>
  <si>
    <t xml:space="preserve">RPY-0001494</t>
  </si>
  <si>
    <t xml:space="preserve">RPY-0001495</t>
  </si>
  <si>
    <t xml:space="preserve">RPY-0001496</t>
  </si>
  <si>
    <t xml:space="preserve">RPY-0001497</t>
  </si>
  <si>
    <t xml:space="preserve">RPY-0001498</t>
  </si>
  <si>
    <t xml:space="preserve">RPY-0001499</t>
  </si>
  <si>
    <t xml:space="preserve">RPY-0001500</t>
  </si>
  <si>
    <t xml:space="preserve">RPY-0001501</t>
  </si>
  <si>
    <t xml:space="preserve">RPY-0001502</t>
  </si>
  <si>
    <t xml:space="preserve">RPY-0001503</t>
  </si>
  <si>
    <t xml:space="preserve">RPY-0001504</t>
  </si>
  <si>
    <t xml:space="preserve">RPY-0001505</t>
  </si>
  <si>
    <t xml:space="preserve">RPY-0001506</t>
  </si>
  <si>
    <t xml:space="preserve">RPY-0001507</t>
  </si>
  <si>
    <t xml:space="preserve">RPY-0001508</t>
  </si>
  <si>
    <t xml:space="preserve">RPY-0001509</t>
  </si>
  <si>
    <t xml:space="preserve">RPY-0001510</t>
  </si>
  <si>
    <t xml:space="preserve">RPY-0001511</t>
  </si>
  <si>
    <t xml:space="preserve">RPY-0001512</t>
  </si>
  <si>
    <t xml:space="preserve">RPY-0001513</t>
  </si>
  <si>
    <t xml:space="preserve">RPY-0001514</t>
  </si>
  <si>
    <t xml:space="preserve">RPY-0001515</t>
  </si>
  <si>
    <t xml:space="preserve">RPY-0001516</t>
  </si>
  <si>
    <t xml:space="preserve">RPY-0001517</t>
  </si>
  <si>
    <t xml:space="preserve">RPY-0001518</t>
  </si>
  <si>
    <t xml:space="preserve">RPY-0001519</t>
  </si>
  <si>
    <t xml:space="preserve">RPY-0001520</t>
  </si>
  <si>
    <t xml:space="preserve">RPY-0001521</t>
  </si>
  <si>
    <t xml:space="preserve">RPY-0001522</t>
  </si>
  <si>
    <t xml:space="preserve">RPY-0001523</t>
  </si>
  <si>
    <t xml:space="preserve">RPY-0001524</t>
  </si>
  <si>
    <t xml:space="preserve">RPY-0001525</t>
  </si>
  <si>
    <t xml:space="preserve">RPY-0001526</t>
  </si>
  <si>
    <t xml:space="preserve">RPY-0001527</t>
  </si>
  <si>
    <t xml:space="preserve">RPY-0001528</t>
  </si>
  <si>
    <t xml:space="preserve">RPY-0001529</t>
  </si>
  <si>
    <t xml:space="preserve">RPY-0001530</t>
  </si>
  <si>
    <t xml:space="preserve">RPY-0001531</t>
  </si>
  <si>
    <t xml:space="preserve">RPY-0001532</t>
  </si>
  <si>
    <t xml:space="preserve">RPY-0001533</t>
  </si>
  <si>
    <t xml:space="preserve">RPY-0001534</t>
  </si>
  <si>
    <t xml:space="preserve">RPY-0001535</t>
  </si>
  <si>
    <t xml:space="preserve">RPY-0001536</t>
  </si>
  <si>
    <t xml:space="preserve">RPY-0001537</t>
  </si>
  <si>
    <t xml:space="preserve">RPY-0001538</t>
  </si>
  <si>
    <t xml:space="preserve">RPY-0001539</t>
  </si>
  <si>
    <t xml:space="preserve">RPY-0001540</t>
  </si>
  <si>
    <t xml:space="preserve">RPY-0001541</t>
  </si>
  <si>
    <t xml:space="preserve">RPY-0001542</t>
  </si>
  <si>
    <t xml:space="preserve">RPY-0001543</t>
  </si>
  <si>
    <t xml:space="preserve">RPY-0001544</t>
  </si>
  <si>
    <t xml:space="preserve">RPY-0001545</t>
  </si>
  <si>
    <t xml:space="preserve">RPY-0001546</t>
  </si>
  <si>
    <t xml:space="preserve">RPY-0001547</t>
  </si>
  <si>
    <t xml:space="preserve">RPY-0001548</t>
  </si>
  <si>
    <t xml:space="preserve">RPY-0001549</t>
  </si>
  <si>
    <t xml:space="preserve">RPY-0001550</t>
  </si>
  <si>
    <t xml:space="preserve">RPY-0001551</t>
  </si>
  <si>
    <t xml:space="preserve">RPY-0001552</t>
  </si>
  <si>
    <t xml:space="preserve">RPY-0001553</t>
  </si>
  <si>
    <t xml:space="preserve">RPY-0001554</t>
  </si>
  <si>
    <t xml:space="preserve">RPY-0001555</t>
  </si>
  <si>
    <t xml:space="preserve">RPY-0001556</t>
  </si>
  <si>
    <t xml:space="preserve">RPY-0001557</t>
  </si>
  <si>
    <t xml:space="preserve">RPY-0001558</t>
  </si>
  <si>
    <t xml:space="preserve">RPY-0001559</t>
  </si>
  <si>
    <t xml:space="preserve">RPY-0001560</t>
  </si>
  <si>
    <t xml:space="preserve">RPY-0001561</t>
  </si>
  <si>
    <t xml:space="preserve">RPY-0001562</t>
  </si>
  <si>
    <t xml:space="preserve">RPY-0001563</t>
  </si>
  <si>
    <t xml:space="preserve">RPY-0001564</t>
  </si>
  <si>
    <t xml:space="preserve">RPY-0001565</t>
  </si>
  <si>
    <t xml:space="preserve">RPY-0001566</t>
  </si>
  <si>
    <t xml:space="preserve">RPY-0001567</t>
  </si>
  <si>
    <t xml:space="preserve">RPY-0001568</t>
  </si>
  <si>
    <t xml:space="preserve">RPY-0001569</t>
  </si>
  <si>
    <t xml:space="preserve">RPY-0001570</t>
  </si>
  <si>
    <t xml:space="preserve">RPY-0001571</t>
  </si>
  <si>
    <t xml:space="preserve">RPY-0001572</t>
  </si>
  <si>
    <t xml:space="preserve">RPY-0001573</t>
  </si>
  <si>
    <t xml:space="preserve">RPY-0001574</t>
  </si>
  <si>
    <t xml:space="preserve">RPY-0001575</t>
  </si>
  <si>
    <t xml:space="preserve">RPY-0001576</t>
  </si>
  <si>
    <t xml:space="preserve">RPY-0001577</t>
  </si>
  <si>
    <t xml:space="preserve">RPY-0001578</t>
  </si>
  <si>
    <t xml:space="preserve">RPY-0001579</t>
  </si>
  <si>
    <t xml:space="preserve">RPY-0001580</t>
  </si>
  <si>
    <t xml:space="preserve">RPY-0001581</t>
  </si>
  <si>
    <t xml:space="preserve">RPY-0001582</t>
  </si>
  <si>
    <t xml:space="preserve">RPY-0001583</t>
  </si>
  <si>
    <t xml:space="preserve">RPY-0001584</t>
  </si>
  <si>
    <t xml:space="preserve">RPY-0001585</t>
  </si>
  <si>
    <t xml:space="preserve">RPY-0001586</t>
  </si>
  <si>
    <t xml:space="preserve">RPY-0001587</t>
  </si>
  <si>
    <t xml:space="preserve">RPY-0001588</t>
  </si>
  <si>
    <t xml:space="preserve">RPY-0001589</t>
  </si>
  <si>
    <t xml:space="preserve">RPY-0001590</t>
  </si>
  <si>
    <t xml:space="preserve">RPY-0001591</t>
  </si>
  <si>
    <t xml:space="preserve">RPY-0001592</t>
  </si>
  <si>
    <t xml:space="preserve">RPY-0001593</t>
  </si>
  <si>
    <t xml:space="preserve">RPY-0001594</t>
  </si>
  <si>
    <t xml:space="preserve">RPY-0001595</t>
  </si>
  <si>
    <t xml:space="preserve">RPY-0001596</t>
  </si>
  <si>
    <t xml:space="preserve">RPY-0001597</t>
  </si>
  <si>
    <t xml:space="preserve">RPY-0001598</t>
  </si>
  <si>
    <t xml:space="preserve">RPY-0001599</t>
  </si>
  <si>
    <t xml:space="preserve">RPY-0001600</t>
  </si>
  <si>
    <t xml:space="preserve">RPY-0001601</t>
  </si>
  <si>
    <t xml:space="preserve">RPY-0001602</t>
  </si>
  <si>
    <t xml:space="preserve">RPY-0001603</t>
  </si>
  <si>
    <t xml:space="preserve">RPY-0001604</t>
  </si>
  <si>
    <t xml:space="preserve">RPY-0001605</t>
  </si>
  <si>
    <t xml:space="preserve">RPY-0001606</t>
  </si>
  <si>
    <t xml:space="preserve">RPY-0001607</t>
  </si>
  <si>
    <t xml:space="preserve">RPY-0001608</t>
  </si>
  <si>
    <t xml:space="preserve">RPY-0001609</t>
  </si>
  <si>
    <t xml:space="preserve">RPY-0001610</t>
  </si>
  <si>
    <t xml:space="preserve">RPY-0001611</t>
  </si>
  <si>
    <t xml:space="preserve">RPY-0001612</t>
  </si>
  <si>
    <t xml:space="preserve">RPY-0001613</t>
  </si>
  <si>
    <t xml:space="preserve">RPY-0001614</t>
  </si>
  <si>
    <t xml:space="preserve">RPY-0001615</t>
  </si>
  <si>
    <t xml:space="preserve">RPY-0001616</t>
  </si>
  <si>
    <t xml:space="preserve">RPY-0001617</t>
  </si>
  <si>
    <t xml:space="preserve">RPY-0001618</t>
  </si>
  <si>
    <t xml:space="preserve">RPY-0001619</t>
  </si>
  <si>
    <t xml:space="preserve">RPY-0001620</t>
  </si>
  <si>
    <t xml:space="preserve">RPY-0001621</t>
  </si>
  <si>
    <t xml:space="preserve">RPY-0001622</t>
  </si>
  <si>
    <t xml:space="preserve">RPY-0001623</t>
  </si>
  <si>
    <t xml:space="preserve">RPY-0001624</t>
  </si>
  <si>
    <t xml:space="preserve">RPY-0001625</t>
  </si>
  <si>
    <t xml:space="preserve">RPY-0001626</t>
  </si>
  <si>
    <t xml:space="preserve">RPY-0001627</t>
  </si>
  <si>
    <t xml:space="preserve">RPY-0001628</t>
  </si>
  <si>
    <t xml:space="preserve">RPY-0001629</t>
  </si>
  <si>
    <t xml:space="preserve">RPY-0001630</t>
  </si>
  <si>
    <t xml:space="preserve">RPY-0001631</t>
  </si>
  <si>
    <t xml:space="preserve">RPY-0001632</t>
  </si>
  <si>
    <t xml:space="preserve">RPY-0001633</t>
  </si>
  <si>
    <t xml:space="preserve">RPY-0001634</t>
  </si>
  <si>
    <t xml:space="preserve">RPY-0001635</t>
  </si>
  <si>
    <t xml:space="preserve">RPY-0001636</t>
  </si>
  <si>
    <t xml:space="preserve">RPY-0001637</t>
  </si>
  <si>
    <t xml:space="preserve">RPY-0001638</t>
  </si>
  <si>
    <t xml:space="preserve">RPY-0001639</t>
  </si>
  <si>
    <t xml:space="preserve">RPY-0001640</t>
  </si>
  <si>
    <t xml:space="preserve">RPY-0001641</t>
  </si>
  <si>
    <t xml:space="preserve">RPY-0001642</t>
  </si>
  <si>
    <t xml:space="preserve">RPY-0001643</t>
  </si>
  <si>
    <t xml:space="preserve">RPY-0001644</t>
  </si>
  <si>
    <t xml:space="preserve">RPY-0001645</t>
  </si>
  <si>
    <t xml:space="preserve">RPY-0001646</t>
  </si>
  <si>
    <t xml:space="preserve">RPY-0001647</t>
  </si>
  <si>
    <t xml:space="preserve">RPY-0001648</t>
  </si>
  <si>
    <t xml:space="preserve">RPY-0001649</t>
  </si>
  <si>
    <t xml:space="preserve">RPY-0001650</t>
  </si>
  <si>
    <t xml:space="preserve">RPY-0001651</t>
  </si>
  <si>
    <t xml:space="preserve">RPY-0001652</t>
  </si>
  <si>
    <t xml:space="preserve">RPY-0001653</t>
  </si>
  <si>
    <t xml:space="preserve">RPY-0001654</t>
  </si>
  <si>
    <t xml:space="preserve">RPY-0001655</t>
  </si>
  <si>
    <t xml:space="preserve">RPY-0001656</t>
  </si>
  <si>
    <t xml:space="preserve">RPY-0001657</t>
  </si>
  <si>
    <t xml:space="preserve">RPY-0001658</t>
  </si>
  <si>
    <t xml:space="preserve">RPY-0001659</t>
  </si>
  <si>
    <t xml:space="preserve">RPY-0001660</t>
  </si>
  <si>
    <t xml:space="preserve">RPY-0001661</t>
  </si>
  <si>
    <t xml:space="preserve">RPY-0001662</t>
  </si>
  <si>
    <t xml:space="preserve">RPY-0001663</t>
  </si>
  <si>
    <t xml:space="preserve">RPY-0001664</t>
  </si>
  <si>
    <t xml:space="preserve">RPY-0001665</t>
  </si>
  <si>
    <t xml:space="preserve">RPY-0001666</t>
  </si>
  <si>
    <t xml:space="preserve">RPY-0001667</t>
  </si>
  <si>
    <t xml:space="preserve">RPY-0001668</t>
  </si>
  <si>
    <t xml:space="preserve">RPY-0001669</t>
  </si>
  <si>
    <t xml:space="preserve">RPY-0001670</t>
  </si>
  <si>
    <t xml:space="preserve">RPY-0001671</t>
  </si>
  <si>
    <t xml:space="preserve">RPY-0001672</t>
  </si>
  <si>
    <t xml:space="preserve">RPY-0001673</t>
  </si>
  <si>
    <t xml:space="preserve">RPY-0001674</t>
  </si>
  <si>
    <t xml:space="preserve">RPY-0001675</t>
  </si>
  <si>
    <t xml:space="preserve">RPY-0001676</t>
  </si>
  <si>
    <t xml:space="preserve">RPY-0001677</t>
  </si>
  <si>
    <t xml:space="preserve">RPY-0001678</t>
  </si>
  <si>
    <t xml:space="preserve">RPY-0001679</t>
  </si>
  <si>
    <t xml:space="preserve">RPY-0001680</t>
  </si>
  <si>
    <t xml:space="preserve">RPY-0001681</t>
  </si>
  <si>
    <t xml:space="preserve">RPY-0001682</t>
  </si>
  <si>
    <t xml:space="preserve">RPY-0001683</t>
  </si>
  <si>
    <t xml:space="preserve">RPY-0001684</t>
  </si>
  <si>
    <t xml:space="preserve">RPY-0001685</t>
  </si>
  <si>
    <t xml:space="preserve">RPY-0001686</t>
  </si>
  <si>
    <t xml:space="preserve">RPY-0001687</t>
  </si>
  <si>
    <t xml:space="preserve">RPY-0001688</t>
  </si>
  <si>
    <t xml:space="preserve">RPY-0001689</t>
  </si>
  <si>
    <t xml:space="preserve">RPY-0001690</t>
  </si>
  <si>
    <t xml:space="preserve">RPY-0001691</t>
  </si>
  <si>
    <t xml:space="preserve">RPY-0001692</t>
  </si>
  <si>
    <t xml:space="preserve">RPY-0001693</t>
  </si>
  <si>
    <t xml:space="preserve">RPY-0001694</t>
  </si>
  <si>
    <t xml:space="preserve">RPY-0001695</t>
  </si>
  <si>
    <t xml:space="preserve">RPY-0001696</t>
  </si>
  <si>
    <t xml:space="preserve">RPY-0001697</t>
  </si>
  <si>
    <t xml:space="preserve">RPY-0001698</t>
  </si>
  <si>
    <t xml:space="preserve">RPY-0001699</t>
  </si>
  <si>
    <t xml:space="preserve">RPY-0001700</t>
  </si>
  <si>
    <t xml:space="preserve">RPY-0001701</t>
  </si>
  <si>
    <t xml:space="preserve">RPY-0001702</t>
  </si>
  <si>
    <t xml:space="preserve">RPY-0001703</t>
  </si>
  <si>
    <t xml:space="preserve">RPY-0001704</t>
  </si>
  <si>
    <t xml:space="preserve">RPY-0001705</t>
  </si>
  <si>
    <t xml:space="preserve">RPY-0001706</t>
  </si>
  <si>
    <t xml:space="preserve">RPY-0001707</t>
  </si>
  <si>
    <t xml:space="preserve">RPY-0001708</t>
  </si>
  <si>
    <t xml:space="preserve">RPY-0001709</t>
  </si>
  <si>
    <t xml:space="preserve">RPY-0001710</t>
  </si>
  <si>
    <t xml:space="preserve">RPY-0001711</t>
  </si>
  <si>
    <t xml:space="preserve">RPY-0001712</t>
  </si>
  <si>
    <t xml:space="preserve">RPY-0001713</t>
  </si>
  <si>
    <t xml:space="preserve">RPY-0001714</t>
  </si>
  <si>
    <t xml:space="preserve">RPY-0001715</t>
  </si>
  <si>
    <t xml:space="preserve">RPY-0001716</t>
  </si>
  <si>
    <t xml:space="preserve">RPY-0001717</t>
  </si>
  <si>
    <t xml:space="preserve">RPY-0001718</t>
  </si>
  <si>
    <t xml:space="preserve">RPY-0001719</t>
  </si>
  <si>
    <t xml:space="preserve">RPY-0001720</t>
  </si>
  <si>
    <t xml:space="preserve">RPY-0001721</t>
  </si>
  <si>
    <t xml:space="preserve">RPY-0001722</t>
  </si>
  <si>
    <t xml:space="preserve">RPY-0001723</t>
  </si>
  <si>
    <t xml:space="preserve">RPY-0001724</t>
  </si>
  <si>
    <t xml:space="preserve">RPY-0001725</t>
  </si>
  <si>
    <t xml:space="preserve">RPY-0001726</t>
  </si>
  <si>
    <t xml:space="preserve">RPY-0001727</t>
  </si>
  <si>
    <t xml:space="preserve">RPY-0001728</t>
  </si>
  <si>
    <t xml:space="preserve">RPY-0001729</t>
  </si>
  <si>
    <t xml:space="preserve">RPY-0001730</t>
  </si>
  <si>
    <t xml:space="preserve">RPY-0001731</t>
  </si>
  <si>
    <t xml:space="preserve">RPY-0001732</t>
  </si>
  <si>
    <t xml:space="preserve">RPY-0001733</t>
  </si>
  <si>
    <t xml:space="preserve">RPY-0001734</t>
  </si>
  <si>
    <t xml:space="preserve">RPY-0001735</t>
  </si>
  <si>
    <t xml:space="preserve">RPY-0001736</t>
  </si>
  <si>
    <t xml:space="preserve">RPY-0001737</t>
  </si>
  <si>
    <t xml:space="preserve">RPY-0001738</t>
  </si>
  <si>
    <t xml:space="preserve">RPY-0001739</t>
  </si>
  <si>
    <t xml:space="preserve">RPY-0001740</t>
  </si>
  <si>
    <t xml:space="preserve">RPY-0001741</t>
  </si>
  <si>
    <t xml:space="preserve">RPY-0001742</t>
  </si>
  <si>
    <t xml:space="preserve">RPY-0001743</t>
  </si>
  <si>
    <t xml:space="preserve">RPY-0001744</t>
  </si>
  <si>
    <t xml:space="preserve">RPY-0001745</t>
  </si>
  <si>
    <t xml:space="preserve">RPY-0001746</t>
  </si>
  <si>
    <t xml:space="preserve">RPY-0001747</t>
  </si>
  <si>
    <t xml:space="preserve">RPY-0001748</t>
  </si>
  <si>
    <t xml:space="preserve">RPY-0001749</t>
  </si>
  <si>
    <t xml:space="preserve">RPY-0001750</t>
  </si>
  <si>
    <t xml:space="preserve">RPY-0001751</t>
  </si>
  <si>
    <t xml:space="preserve">RPY-0001752</t>
  </si>
  <si>
    <t xml:space="preserve">RPY-0001753</t>
  </si>
  <si>
    <t xml:space="preserve">RPY-0001754</t>
  </si>
  <si>
    <t xml:space="preserve">RPY-0001755</t>
  </si>
  <si>
    <t xml:space="preserve">RPY-0001756</t>
  </si>
  <si>
    <t xml:space="preserve">RPY-0001757</t>
  </si>
  <si>
    <t xml:space="preserve">RPY-0001758</t>
  </si>
  <si>
    <t xml:space="preserve">RPY-0001759</t>
  </si>
  <si>
    <t xml:space="preserve">RPY-0001760</t>
  </si>
  <si>
    <t xml:space="preserve">RPY-0001761</t>
  </si>
  <si>
    <t xml:space="preserve">RPY-0001762</t>
  </si>
  <si>
    <t xml:space="preserve">RPY-0001763</t>
  </si>
  <si>
    <t xml:space="preserve">RPY-0001764</t>
  </si>
  <si>
    <t xml:space="preserve">RPY-0001765</t>
  </si>
  <si>
    <t xml:space="preserve">RPY-0001766</t>
  </si>
  <si>
    <t xml:space="preserve">RPY-0001767</t>
  </si>
  <si>
    <t xml:space="preserve">RPY-0001768</t>
  </si>
  <si>
    <t xml:space="preserve">RPY-0001769</t>
  </si>
  <si>
    <t xml:space="preserve">RPY-0001770</t>
  </si>
  <si>
    <t xml:space="preserve">RPY-0001771</t>
  </si>
  <si>
    <t xml:space="preserve">RPY-0001772</t>
  </si>
  <si>
    <t xml:space="preserve">RPY-0001773</t>
  </si>
  <si>
    <t xml:space="preserve">RPY-0001774</t>
  </si>
  <si>
    <t xml:space="preserve">RPY-0001775</t>
  </si>
  <si>
    <t xml:space="preserve">RPY-0001776</t>
  </si>
  <si>
    <t xml:space="preserve">RPY-0001777</t>
  </si>
  <si>
    <t xml:space="preserve">RPY-0001778</t>
  </si>
  <si>
    <t xml:space="preserve">RPY-0001779</t>
  </si>
  <si>
    <t xml:space="preserve">RPY-0001780</t>
  </si>
  <si>
    <t xml:space="preserve">RPY-0001781</t>
  </si>
  <si>
    <t xml:space="preserve">RPY-0001782</t>
  </si>
  <si>
    <t xml:space="preserve">RPY-0001783</t>
  </si>
  <si>
    <t xml:space="preserve">RPY-0001784</t>
  </si>
  <si>
    <t xml:space="preserve">RPY-0001785</t>
  </si>
  <si>
    <t xml:space="preserve">RPY-0001786</t>
  </si>
  <si>
    <t xml:space="preserve">RPY-0001787</t>
  </si>
  <si>
    <t xml:space="preserve">RPY-0001788</t>
  </si>
  <si>
    <t xml:space="preserve">RPY-0001789</t>
  </si>
  <si>
    <t xml:space="preserve">RPY-0001790</t>
  </si>
  <si>
    <t xml:space="preserve">RPY-0001791</t>
  </si>
  <si>
    <t xml:space="preserve">RPY-0001792</t>
  </si>
  <si>
    <t xml:space="preserve">RPY-0001793</t>
  </si>
  <si>
    <t xml:space="preserve">RPY-0001794</t>
  </si>
  <si>
    <t xml:space="preserve">RPY-0001795</t>
  </si>
  <si>
    <t xml:space="preserve">RPY-0001796</t>
  </si>
  <si>
    <t xml:space="preserve">RPY-0001797</t>
  </si>
  <si>
    <t xml:space="preserve">RPY-0001798</t>
  </si>
  <si>
    <t xml:space="preserve">RPY-0001799</t>
  </si>
  <si>
    <t xml:space="preserve">RPY-0001800</t>
  </si>
  <si>
    <t xml:space="preserve">RPY-0001801</t>
  </si>
  <si>
    <t xml:space="preserve">RPY-0001802</t>
  </si>
  <si>
    <t xml:space="preserve">RPY-0001803</t>
  </si>
  <si>
    <t xml:space="preserve">RPY-0001804</t>
  </si>
  <si>
    <t xml:space="preserve">RPY-0001805</t>
  </si>
  <si>
    <t xml:space="preserve">RPY-0001806</t>
  </si>
  <si>
    <t xml:space="preserve">RPY-0001807</t>
  </si>
  <si>
    <t xml:space="preserve">RPY-0001808</t>
  </si>
  <si>
    <t xml:space="preserve">RPY-0001809</t>
  </si>
  <si>
    <t xml:space="preserve">RPY-0001810</t>
  </si>
  <si>
    <t xml:space="preserve">RPY-0001811</t>
  </si>
  <si>
    <t xml:space="preserve">RPY-0001812</t>
  </si>
  <si>
    <t xml:space="preserve">RPY-0001813</t>
  </si>
  <si>
    <t xml:space="preserve">RPY-0001814</t>
  </si>
  <si>
    <t xml:space="preserve">RPY-0001815</t>
  </si>
  <si>
    <t xml:space="preserve">RPY-0001816</t>
  </si>
  <si>
    <t xml:space="preserve">RPY-0001817</t>
  </si>
  <si>
    <t xml:space="preserve">RPY-0001818</t>
  </si>
  <si>
    <t xml:space="preserve">RPY-0001819</t>
  </si>
  <si>
    <t xml:space="preserve">RPY-0001820</t>
  </si>
  <si>
    <t xml:space="preserve">RPY-0001821</t>
  </si>
  <si>
    <t xml:space="preserve">RPY-0001822</t>
  </si>
  <si>
    <t xml:space="preserve">RPY-0001823</t>
  </si>
  <si>
    <t xml:space="preserve">RPY-0001824</t>
  </si>
  <si>
    <t xml:space="preserve">RPY-0001825</t>
  </si>
  <si>
    <t xml:space="preserve">RPY-0001826</t>
  </si>
  <si>
    <t xml:space="preserve">RPY-0001827</t>
  </si>
  <si>
    <t xml:space="preserve">RPY-0001828</t>
  </si>
  <si>
    <t xml:space="preserve">RPY-0001829</t>
  </si>
  <si>
    <t xml:space="preserve">RPY-0001830</t>
  </si>
  <si>
    <t xml:space="preserve">RPY-0001831</t>
  </si>
  <si>
    <t xml:space="preserve">RPY-0001832</t>
  </si>
  <si>
    <t xml:space="preserve">RPY-0001833</t>
  </si>
  <si>
    <t xml:space="preserve">RPY-0001834</t>
  </si>
  <si>
    <t xml:space="preserve">RPY-0001835</t>
  </si>
  <si>
    <t xml:space="preserve">RPY-0001836</t>
  </si>
  <si>
    <t xml:space="preserve">RPY-0001837</t>
  </si>
  <si>
    <t xml:space="preserve">RPY-0001838</t>
  </si>
  <si>
    <t xml:space="preserve">RPY-0001839</t>
  </si>
  <si>
    <t xml:space="preserve">RPY-0001840</t>
  </si>
  <si>
    <t xml:space="preserve">RPY-0001841</t>
  </si>
  <si>
    <t xml:space="preserve">RPY-0001842</t>
  </si>
  <si>
    <t xml:space="preserve">RPY-0001843</t>
  </si>
  <si>
    <t xml:space="preserve">RPY-0001844</t>
  </si>
  <si>
    <t xml:space="preserve">RPY-0001845</t>
  </si>
  <si>
    <t xml:space="preserve">RPY-0001846</t>
  </si>
  <si>
    <t xml:space="preserve">RPY-0001847</t>
  </si>
  <si>
    <t xml:space="preserve">RPY-0001848</t>
  </si>
  <si>
    <t xml:space="preserve">RPY-0001849</t>
  </si>
  <si>
    <t xml:space="preserve">RPY-0001850</t>
  </si>
  <si>
    <t xml:space="preserve">RPY-0001851</t>
  </si>
  <si>
    <t xml:space="preserve">RPY-0001852</t>
  </si>
  <si>
    <t xml:space="preserve">RPY-0001853</t>
  </si>
  <si>
    <t xml:space="preserve">RPY-0001854</t>
  </si>
  <si>
    <t xml:space="preserve">RPY-0001855</t>
  </si>
  <si>
    <t xml:space="preserve">RPY-0001856</t>
  </si>
  <si>
    <t xml:space="preserve">RPY-0001857</t>
  </si>
  <si>
    <t xml:space="preserve">RPY-0001858</t>
  </si>
  <si>
    <t xml:space="preserve">RPY-0001859</t>
  </si>
  <si>
    <t xml:space="preserve">RPY-0001860</t>
  </si>
  <si>
    <t xml:space="preserve">RPY-0001861</t>
  </si>
  <si>
    <t xml:space="preserve">RPY-0001862</t>
  </si>
  <si>
    <t xml:space="preserve">RPY-0001863</t>
  </si>
  <si>
    <t xml:space="preserve">RPY-0001864</t>
  </si>
  <si>
    <t xml:space="preserve">RPY-0001865</t>
  </si>
  <si>
    <t xml:space="preserve">RPY-0001866</t>
  </si>
  <si>
    <t xml:space="preserve">RPY-0001867</t>
  </si>
  <si>
    <t xml:space="preserve">RPY-0001868</t>
  </si>
  <si>
    <t xml:space="preserve">RPY-0001869</t>
  </si>
  <si>
    <t xml:space="preserve">RPY-0001870</t>
  </si>
  <si>
    <t xml:space="preserve">RPY-0001871</t>
  </si>
  <si>
    <t xml:space="preserve">RPY-0001872</t>
  </si>
  <si>
    <t xml:space="preserve">RPY-0001873</t>
  </si>
  <si>
    <t xml:space="preserve">RPY-0001874</t>
  </si>
  <si>
    <t xml:space="preserve">RPY-0001875</t>
  </si>
  <si>
    <t xml:space="preserve">RPY-0001876</t>
  </si>
  <si>
    <t xml:space="preserve">RPY-0001877</t>
  </si>
  <si>
    <t xml:space="preserve">RPY-0001878</t>
  </si>
  <si>
    <t xml:space="preserve">RPY-0001879</t>
  </si>
  <si>
    <t xml:space="preserve">RPY-0001880</t>
  </si>
  <si>
    <t xml:space="preserve">RPY-0001881</t>
  </si>
  <si>
    <t xml:space="preserve">RPY-0001882</t>
  </si>
  <si>
    <t xml:space="preserve">RPY-0001883</t>
  </si>
  <si>
    <t xml:space="preserve">RPY-0001884</t>
  </si>
  <si>
    <t xml:space="preserve">RPY-0001885</t>
  </si>
  <si>
    <t xml:space="preserve">RPY-0001886</t>
  </si>
  <si>
    <t xml:space="preserve">RPY-0001887</t>
  </si>
  <si>
    <t xml:space="preserve">RPY-0001888</t>
  </si>
  <si>
    <t xml:space="preserve">RPY-0001889</t>
  </si>
  <si>
    <t xml:space="preserve">RPY-0001890</t>
  </si>
  <si>
    <t xml:space="preserve">RPY-0001891</t>
  </si>
  <si>
    <t xml:space="preserve">RPY-0001892</t>
  </si>
  <si>
    <t xml:space="preserve">RPY-0001893</t>
  </si>
  <si>
    <t xml:space="preserve">RPY-0001894</t>
  </si>
  <si>
    <t xml:space="preserve">RPY-0001895</t>
  </si>
  <si>
    <t xml:space="preserve">RPY-0001896</t>
  </si>
  <si>
    <t xml:space="preserve">RPY-0001897</t>
  </si>
  <si>
    <t xml:space="preserve">RPY-0001898</t>
  </si>
  <si>
    <t xml:space="preserve">RPY-0001899</t>
  </si>
  <si>
    <t xml:space="preserve">RPY-0001900</t>
  </si>
  <si>
    <t xml:space="preserve">RPY-0001901</t>
  </si>
  <si>
    <t xml:space="preserve">RPY-0001902</t>
  </si>
  <si>
    <t xml:space="preserve">RPY-0001903</t>
  </si>
  <si>
    <t xml:space="preserve">RPY-0001904</t>
  </si>
  <si>
    <t xml:space="preserve">RPY-0001905</t>
  </si>
  <si>
    <t xml:space="preserve">RPY-0001906</t>
  </si>
  <si>
    <t xml:space="preserve">RPY-0001907</t>
  </si>
  <si>
    <t xml:space="preserve">RPY-0001908</t>
  </si>
  <si>
    <t xml:space="preserve">RPY-0001909</t>
  </si>
  <si>
    <t xml:space="preserve">RPY-0001910</t>
  </si>
  <si>
    <t xml:space="preserve">RPY-0001911</t>
  </si>
  <si>
    <t xml:space="preserve">RPY-0001912</t>
  </si>
  <si>
    <t xml:space="preserve">RPY-0001913</t>
  </si>
  <si>
    <t xml:space="preserve">RPY-0001914</t>
  </si>
  <si>
    <t xml:space="preserve">RPY-0001915</t>
  </si>
  <si>
    <t xml:space="preserve">RPY-0001916</t>
  </si>
  <si>
    <t xml:space="preserve">RPY-0001917</t>
  </si>
  <si>
    <t xml:space="preserve">RPY-0001918</t>
  </si>
  <si>
    <t xml:space="preserve">RPY-0001919</t>
  </si>
  <si>
    <t xml:space="preserve">RPY-0001920</t>
  </si>
  <si>
    <t xml:space="preserve">RPY-0001921</t>
  </si>
  <si>
    <t xml:space="preserve">RPY-0001922</t>
  </si>
  <si>
    <t xml:space="preserve">RPY-0001923</t>
  </si>
  <si>
    <t xml:space="preserve">RPY-0001924</t>
  </si>
  <si>
    <t xml:space="preserve">RPY-0001925</t>
  </si>
  <si>
    <t xml:space="preserve">RPY-0001926</t>
  </si>
  <si>
    <t xml:space="preserve">RPY-0001927</t>
  </si>
  <si>
    <t xml:space="preserve">RPY-0001928</t>
  </si>
  <si>
    <t xml:space="preserve">RPY-0001929</t>
  </si>
  <si>
    <t xml:space="preserve">RPY-0001930</t>
  </si>
  <si>
    <t xml:space="preserve">RPY-0001931</t>
  </si>
  <si>
    <t xml:space="preserve">RPY-0001932</t>
  </si>
  <si>
    <t xml:space="preserve">RPY-0001933</t>
  </si>
  <si>
    <t xml:space="preserve">RPY-0001934</t>
  </si>
  <si>
    <t xml:space="preserve">RPY-0001935</t>
  </si>
  <si>
    <t xml:space="preserve">RPY-0001936</t>
  </si>
  <si>
    <t xml:space="preserve">RPY-0001937</t>
  </si>
  <si>
    <t xml:space="preserve">RPY-0001938</t>
  </si>
  <si>
    <t xml:space="preserve">RPY-0001939</t>
  </si>
  <si>
    <t xml:space="preserve">RPY-0001940</t>
  </si>
  <si>
    <t xml:space="preserve">RPY-0001941</t>
  </si>
  <si>
    <t xml:space="preserve">RPY-0001942</t>
  </si>
  <si>
    <t xml:space="preserve">RPY-0001943</t>
  </si>
  <si>
    <t xml:space="preserve">RPY-0001944</t>
  </si>
  <si>
    <t xml:space="preserve">RPY-0001945</t>
  </si>
  <si>
    <t xml:space="preserve">RPY-0001946</t>
  </si>
  <si>
    <t xml:space="preserve">RPY-0001947</t>
  </si>
  <si>
    <t xml:space="preserve">RPY-0001948</t>
  </si>
  <si>
    <t xml:space="preserve">RPY-0001949</t>
  </si>
  <si>
    <t xml:space="preserve">RPY-0001950</t>
  </si>
  <si>
    <t xml:space="preserve">RPY-0001951</t>
  </si>
  <si>
    <t xml:space="preserve">RPY-0001952</t>
  </si>
  <si>
    <t xml:space="preserve">RPY-0001953</t>
  </si>
  <si>
    <t xml:space="preserve">RPY-0001954</t>
  </si>
  <si>
    <t xml:space="preserve">RPY-0001955</t>
  </si>
  <si>
    <t xml:space="preserve">RPY-0001956</t>
  </si>
  <si>
    <t xml:space="preserve">RPY-0001957</t>
  </si>
  <si>
    <t xml:space="preserve">RPY-0001958</t>
  </si>
  <si>
    <t xml:space="preserve">RPY-0001959</t>
  </si>
  <si>
    <t xml:space="preserve">RPY-0001960</t>
  </si>
  <si>
    <t xml:space="preserve">RPY-0001961</t>
  </si>
  <si>
    <t xml:space="preserve">RPY-0001962</t>
  </si>
  <si>
    <t xml:space="preserve">RPY-0001963</t>
  </si>
  <si>
    <t xml:space="preserve">RPY-0001964</t>
  </si>
  <si>
    <t xml:space="preserve">RPY-0001965</t>
  </si>
  <si>
    <t xml:space="preserve">RPY-0001966</t>
  </si>
  <si>
    <t xml:space="preserve">RPY-0001967</t>
  </si>
  <si>
    <t xml:space="preserve">RPY-0001968</t>
  </si>
  <si>
    <t xml:space="preserve">RPY-0001969</t>
  </si>
  <si>
    <t xml:space="preserve">RPY-0001970</t>
  </si>
  <si>
    <t xml:space="preserve">RPY-0001971</t>
  </si>
  <si>
    <t xml:space="preserve">RPY-0001972</t>
  </si>
  <si>
    <t xml:space="preserve">RPY-0001973</t>
  </si>
  <si>
    <t xml:space="preserve">RPY-0001974</t>
  </si>
  <si>
    <t xml:space="preserve">RPY-0001975</t>
  </si>
  <si>
    <t xml:space="preserve">RPY-0001976</t>
  </si>
  <si>
    <t xml:space="preserve">RPY-0001977</t>
  </si>
  <si>
    <t xml:space="preserve">RPY-0001978</t>
  </si>
  <si>
    <t xml:space="preserve">RPY-0001979</t>
  </si>
  <si>
    <t xml:space="preserve">RPY-0001980</t>
  </si>
  <si>
    <t xml:space="preserve">RPY-0001981</t>
  </si>
  <si>
    <t xml:space="preserve">RPY-0001982</t>
  </si>
  <si>
    <t xml:space="preserve">RPY-0001983</t>
  </si>
  <si>
    <t xml:space="preserve">RPY-0001984</t>
  </si>
  <si>
    <t xml:space="preserve">RPY-0001985</t>
  </si>
  <si>
    <t xml:space="preserve">RPY-0001986</t>
  </si>
  <si>
    <t xml:space="preserve">RPY-0001987</t>
  </si>
  <si>
    <t xml:space="preserve">RPY-0001988</t>
  </si>
  <si>
    <t xml:space="preserve">RPY-0001989</t>
  </si>
  <si>
    <t xml:space="preserve">RPY-0001990</t>
  </si>
  <si>
    <t xml:space="preserve">RPY-0001991</t>
  </si>
  <si>
    <t xml:space="preserve">RPY-0001992</t>
  </si>
  <si>
    <t xml:space="preserve">RPY-0001993</t>
  </si>
  <si>
    <t xml:space="preserve">RPY-0001994</t>
  </si>
  <si>
    <t xml:space="preserve">RPY-0001995</t>
  </si>
  <si>
    <t xml:space="preserve">RPY-0001996</t>
  </si>
  <si>
    <t xml:space="preserve">RPY-0001997</t>
  </si>
  <si>
    <t xml:space="preserve">RPY-0001998</t>
  </si>
  <si>
    <t xml:space="preserve">RPY-0001999</t>
  </si>
  <si>
    <t xml:space="preserve">RPY-0002000</t>
  </si>
  <si>
    <t xml:space="preserve">RPY-0002001</t>
  </si>
  <si>
    <t xml:space="preserve">RPY-0002002</t>
  </si>
  <si>
    <t xml:space="preserve">RPY-0002003</t>
  </si>
  <si>
    <t xml:space="preserve">RPY-0002004</t>
  </si>
  <si>
    <t xml:space="preserve">RPY-0002005</t>
  </si>
  <si>
    <t xml:space="preserve">RPY-0002006</t>
  </si>
  <si>
    <t xml:space="preserve">RPY-0002007</t>
  </si>
  <si>
    <t xml:space="preserve">RPY-0002008</t>
  </si>
  <si>
    <t xml:space="preserve">RPY-0002009</t>
  </si>
  <si>
    <t xml:space="preserve">RPY-0002010</t>
  </si>
  <si>
    <t xml:space="preserve">RPY-0002011</t>
  </si>
  <si>
    <t xml:space="preserve">RPY-0002012</t>
  </si>
  <si>
    <t xml:space="preserve">RPY-0002013</t>
  </si>
  <si>
    <t xml:space="preserve">RPY-0002014</t>
  </si>
  <si>
    <t xml:space="preserve">RPY-0002015</t>
  </si>
  <si>
    <t xml:space="preserve">RPY-0002016</t>
  </si>
  <si>
    <t xml:space="preserve">RPY-0002017</t>
  </si>
  <si>
    <t xml:space="preserve">RPY-0002018</t>
  </si>
  <si>
    <t xml:space="preserve">RPY-0002019</t>
  </si>
  <si>
    <t xml:space="preserve">RPY-0002020</t>
  </si>
  <si>
    <t xml:space="preserve">RPY-0002021</t>
  </si>
  <si>
    <t xml:space="preserve">RPY-0002022</t>
  </si>
  <si>
    <t xml:space="preserve">RPY-0002023</t>
  </si>
  <si>
    <t xml:space="preserve">RPY-0002024</t>
  </si>
  <si>
    <t xml:space="preserve">RPY-0002025</t>
  </si>
  <si>
    <t xml:space="preserve">RPY-0002026</t>
  </si>
  <si>
    <t xml:space="preserve">RPY-0002027</t>
  </si>
  <si>
    <t xml:space="preserve">RPY-0002028</t>
  </si>
  <si>
    <t xml:space="preserve">RPY-0002029</t>
  </si>
  <si>
    <t xml:space="preserve">RPY-0002030</t>
  </si>
  <si>
    <t xml:space="preserve">RPY-0002031</t>
  </si>
  <si>
    <t xml:space="preserve">RPY-0002032</t>
  </si>
  <si>
    <t xml:space="preserve">RPY-0002033</t>
  </si>
  <si>
    <t xml:space="preserve">RPY-0002034</t>
  </si>
  <si>
    <t xml:space="preserve">RPY-0002035</t>
  </si>
  <si>
    <t xml:space="preserve">RPY-0002036</t>
  </si>
  <si>
    <t xml:space="preserve">RPY-0002037</t>
  </si>
  <si>
    <t xml:space="preserve">RPY-0002038</t>
  </si>
  <si>
    <t xml:space="preserve">RPY-0002039</t>
  </si>
  <si>
    <t xml:space="preserve">RPY-0002040</t>
  </si>
  <si>
    <t xml:space="preserve">RPY-0002041</t>
  </si>
  <si>
    <t xml:space="preserve">RPY-0002042</t>
  </si>
  <si>
    <t xml:space="preserve">RPY-0002043</t>
  </si>
  <si>
    <t xml:space="preserve">RPY-0002044</t>
  </si>
  <si>
    <t xml:space="preserve">RPY-0002045</t>
  </si>
  <si>
    <t xml:space="preserve">RPY-0002046</t>
  </si>
  <si>
    <t xml:space="preserve">RPY-0002047</t>
  </si>
  <si>
    <t xml:space="preserve">RPY-0002048</t>
  </si>
  <si>
    <t xml:space="preserve">RPY-0002049</t>
  </si>
  <si>
    <t xml:space="preserve">RPY-0002050</t>
  </si>
  <si>
    <t xml:space="preserve">RPY-0002051</t>
  </si>
  <si>
    <t xml:space="preserve">RPY-0002052</t>
  </si>
  <si>
    <t xml:space="preserve">RPY-0002053</t>
  </si>
  <si>
    <t xml:space="preserve">RPY-0002054</t>
  </si>
  <si>
    <t xml:space="preserve">RPY-0002055</t>
  </si>
  <si>
    <t xml:space="preserve">RPY-0002056</t>
  </si>
  <si>
    <t xml:space="preserve">RPY-0002057</t>
  </si>
  <si>
    <t xml:space="preserve">RPY-0002058</t>
  </si>
  <si>
    <t xml:space="preserve">RPY-0002059</t>
  </si>
  <si>
    <t xml:space="preserve">RPY-0002060</t>
  </si>
  <si>
    <t xml:space="preserve">RPY-0002061</t>
  </si>
  <si>
    <t xml:space="preserve">RPY-0002062</t>
  </si>
  <si>
    <t xml:space="preserve">RPY-0002063</t>
  </si>
  <si>
    <t xml:space="preserve">RPY-0002064</t>
  </si>
  <si>
    <t xml:space="preserve">RPY-0002065</t>
  </si>
  <si>
    <t xml:space="preserve">RPY-0002066</t>
  </si>
  <si>
    <t xml:space="preserve">RPY-0002067</t>
  </si>
  <si>
    <t xml:space="preserve">RPY-0002068</t>
  </si>
  <si>
    <t xml:space="preserve">RPY-0002069</t>
  </si>
  <si>
    <t xml:space="preserve">RPY-0002070</t>
  </si>
  <si>
    <t xml:space="preserve">RPY-0002071</t>
  </si>
  <si>
    <t xml:space="preserve">RPY-0002072</t>
  </si>
  <si>
    <t xml:space="preserve">RPY-0002073</t>
  </si>
  <si>
    <t xml:space="preserve">RPY-0002074</t>
  </si>
  <si>
    <t xml:space="preserve">RPY-0002075</t>
  </si>
  <si>
    <t xml:space="preserve">RPY-0002076</t>
  </si>
  <si>
    <t xml:space="preserve">RPY-0002077</t>
  </si>
  <si>
    <t xml:space="preserve">RPY-0002078</t>
  </si>
  <si>
    <t xml:space="preserve">RPY-0002079</t>
  </si>
  <si>
    <t xml:space="preserve">RPY-0002080</t>
  </si>
  <si>
    <t xml:space="preserve">RPY-0002081</t>
  </si>
  <si>
    <t xml:space="preserve">RPY-0002082</t>
  </si>
  <si>
    <t xml:space="preserve">RPY-0002083</t>
  </si>
  <si>
    <t xml:space="preserve">RPY-0002084</t>
  </si>
  <si>
    <t xml:space="preserve">RPY-0002085</t>
  </si>
  <si>
    <t xml:space="preserve">RPY-0002086</t>
  </si>
  <si>
    <t xml:space="preserve">RPY-0002087</t>
  </si>
  <si>
    <t xml:space="preserve">RPY-0002088</t>
  </si>
  <si>
    <t xml:space="preserve">RPY-0002089</t>
  </si>
  <si>
    <t xml:space="preserve">RPY-0002090</t>
  </si>
  <si>
    <t xml:space="preserve">RPY-0002091</t>
  </si>
  <si>
    <t xml:space="preserve">RPY-0002092</t>
  </si>
  <si>
    <t xml:space="preserve">RPY-0002093</t>
  </si>
  <si>
    <t xml:space="preserve">RPY-0002094</t>
  </si>
  <si>
    <t xml:space="preserve">RPY-0002095</t>
  </si>
  <si>
    <t xml:space="preserve">RPY-0002096</t>
  </si>
  <si>
    <t xml:space="preserve">RPY-0002097</t>
  </si>
  <si>
    <t xml:space="preserve">RPY-0002098</t>
  </si>
  <si>
    <t xml:space="preserve">RPY-0002099</t>
  </si>
  <si>
    <t xml:space="preserve">RPY-0002100</t>
  </si>
  <si>
    <t xml:space="preserve">RPY-0002101</t>
  </si>
  <si>
    <t xml:space="preserve">RPY-0002102</t>
  </si>
  <si>
    <t xml:space="preserve">RPY-0002103</t>
  </si>
  <si>
    <t xml:space="preserve">RPY-0002104</t>
  </si>
  <si>
    <t xml:space="preserve">RPY-0002105</t>
  </si>
  <si>
    <t xml:space="preserve">RPY-0002106</t>
  </si>
  <si>
    <t xml:space="preserve">RPY-0002107</t>
  </si>
  <si>
    <t xml:space="preserve">RPY-0002108</t>
  </si>
  <si>
    <t xml:space="preserve">RPY-0002109</t>
  </si>
  <si>
    <t xml:space="preserve">RPY-0002110</t>
  </si>
  <si>
    <t xml:space="preserve">RPY-0002111</t>
  </si>
  <si>
    <t xml:space="preserve">RPY-0002112</t>
  </si>
  <si>
    <t xml:space="preserve">RPY-0002113</t>
  </si>
  <si>
    <t xml:space="preserve">RPY-0002114</t>
  </si>
  <si>
    <t xml:space="preserve">RPY-0002115</t>
  </si>
  <si>
    <t xml:space="preserve">RPY-0002116</t>
  </si>
  <si>
    <t xml:space="preserve">RPY-0002117</t>
  </si>
  <si>
    <t xml:space="preserve">RPY-0002118</t>
  </si>
  <si>
    <t xml:space="preserve">RPY-0002119</t>
  </si>
  <si>
    <t xml:space="preserve">RPY-0002120</t>
  </si>
  <si>
    <t xml:space="preserve">RPY-0002121</t>
  </si>
  <si>
    <t xml:space="preserve">RPY-0002122</t>
  </si>
  <si>
    <t xml:space="preserve">RPY-0002123</t>
  </si>
  <si>
    <t xml:space="preserve">RPY-0002124</t>
  </si>
  <si>
    <t xml:space="preserve">RPY-0002125</t>
  </si>
  <si>
    <t xml:space="preserve">RPY-0002126</t>
  </si>
  <si>
    <t xml:space="preserve">RPY-0002127</t>
  </si>
  <si>
    <t xml:space="preserve">RPY-0002128</t>
  </si>
  <si>
    <t xml:space="preserve">RPY-0002129</t>
  </si>
  <si>
    <t xml:space="preserve">RPY-0002130</t>
  </si>
  <si>
    <t xml:space="preserve">RPY-0002131</t>
  </si>
  <si>
    <t xml:space="preserve">RPY-0002132</t>
  </si>
  <si>
    <t xml:space="preserve">RPY-0002133</t>
  </si>
  <si>
    <t xml:space="preserve">RPY-0002134</t>
  </si>
  <si>
    <t xml:space="preserve">RPY-0002135</t>
  </si>
  <si>
    <t xml:space="preserve">RPY-0002136</t>
  </si>
  <si>
    <t xml:space="preserve">RPY-0002137</t>
  </si>
  <si>
    <t xml:space="preserve">RPY-0002138</t>
  </si>
  <si>
    <t xml:space="preserve">RPY-0002139</t>
  </si>
  <si>
    <t xml:space="preserve">RPY-0002140</t>
  </si>
  <si>
    <t xml:space="preserve">RPY-0002141</t>
  </si>
  <si>
    <t xml:space="preserve">RPY-0002142</t>
  </si>
  <si>
    <t xml:space="preserve">RPY-0002143</t>
  </si>
  <si>
    <t xml:space="preserve">RPY-0002144</t>
  </si>
  <si>
    <t xml:space="preserve">RPY-0002145</t>
  </si>
  <si>
    <t xml:space="preserve">RPY-0002146</t>
  </si>
  <si>
    <t xml:space="preserve">RPY-0002147</t>
  </si>
  <si>
    <t xml:space="preserve">RPY-0002148</t>
  </si>
  <si>
    <t xml:space="preserve">RPY-0002149</t>
  </si>
  <si>
    <t xml:space="preserve">RPY-0002150</t>
  </si>
  <si>
    <t xml:space="preserve">RPY-0002151</t>
  </si>
  <si>
    <t xml:space="preserve">RPY-0002152</t>
  </si>
  <si>
    <t xml:space="preserve">RPY-0002153</t>
  </si>
  <si>
    <t xml:space="preserve">RPY-0002154</t>
  </si>
  <si>
    <t xml:space="preserve">RPY-0002155</t>
  </si>
  <si>
    <t xml:space="preserve">RPY-0002156</t>
  </si>
  <si>
    <t xml:space="preserve">RPY-0002157</t>
  </si>
  <si>
    <t xml:space="preserve">RPY-0002158</t>
  </si>
  <si>
    <t xml:space="preserve">RPY-0002159</t>
  </si>
  <si>
    <t xml:space="preserve">RPY-0002160</t>
  </si>
  <si>
    <t xml:space="preserve">RPY-0002161</t>
  </si>
  <si>
    <t xml:space="preserve">RPY-0002162</t>
  </si>
  <si>
    <t xml:space="preserve">RPY-0002163</t>
  </si>
  <si>
    <t xml:space="preserve">RPY-0002164</t>
  </si>
  <si>
    <t xml:space="preserve">RPY-0002165</t>
  </si>
  <si>
    <t xml:space="preserve">RPY-0002166</t>
  </si>
  <si>
    <t xml:space="preserve">RPY-0002167</t>
  </si>
  <si>
    <t xml:space="preserve">RPY-0002168</t>
  </si>
  <si>
    <t xml:space="preserve">RPY-0002169</t>
  </si>
  <si>
    <t xml:space="preserve">RPY-0002170</t>
  </si>
  <si>
    <t xml:space="preserve">RPY-0002171</t>
  </si>
  <si>
    <t xml:space="preserve">RPY-0002172</t>
  </si>
  <si>
    <t xml:space="preserve">RPY-0002173</t>
  </si>
  <si>
    <t xml:space="preserve">RPY-0002174</t>
  </si>
  <si>
    <t xml:space="preserve">RPY-0002175</t>
  </si>
  <si>
    <t xml:space="preserve">RPY-0002176</t>
  </si>
  <si>
    <t xml:space="preserve">RPY-0002177</t>
  </si>
  <si>
    <t xml:space="preserve">RPY-0002178</t>
  </si>
  <si>
    <t xml:space="preserve">RPY-0002179</t>
  </si>
  <si>
    <t xml:space="preserve">RPY-0002180</t>
  </si>
  <si>
    <t xml:space="preserve">RPY-0002181</t>
  </si>
  <si>
    <t xml:space="preserve">RPY-0002182</t>
  </si>
  <si>
    <t xml:space="preserve">RPY-0002183</t>
  </si>
  <si>
    <t xml:space="preserve">RPY-0002184</t>
  </si>
  <si>
    <t xml:space="preserve">RPY-0002185</t>
  </si>
  <si>
    <t xml:space="preserve">RPY-0002186</t>
  </si>
  <si>
    <t xml:space="preserve">RPY-0002187</t>
  </si>
  <si>
    <t xml:space="preserve">RPY-0002188</t>
  </si>
  <si>
    <t xml:space="preserve">RPY-0002189</t>
  </si>
  <si>
    <t xml:space="preserve">RPY-0002190</t>
  </si>
  <si>
    <t xml:space="preserve">RPY-0002191</t>
  </si>
  <si>
    <t xml:space="preserve">RPY-0002192</t>
  </si>
  <si>
    <t xml:space="preserve">RPY-0002193</t>
  </si>
  <si>
    <t xml:space="preserve">RPY-0002194</t>
  </si>
  <si>
    <t xml:space="preserve">RPY-0002195</t>
  </si>
  <si>
    <t xml:space="preserve">RPY-0002196</t>
  </si>
  <si>
    <t xml:space="preserve">RPY-0002197</t>
  </si>
  <si>
    <t xml:space="preserve">RPY-0002198</t>
  </si>
  <si>
    <t xml:space="preserve">RPY-0002199</t>
  </si>
  <si>
    <t xml:space="preserve">RPY-0002200</t>
  </si>
  <si>
    <t xml:space="preserve">RPY-0002201</t>
  </si>
  <si>
    <t xml:space="preserve">RPY-0002202</t>
  </si>
  <si>
    <t xml:space="preserve">RPY-0002203</t>
  </si>
  <si>
    <t xml:space="preserve">RPY-0002204</t>
  </si>
  <si>
    <t xml:space="preserve">RPY-0002205</t>
  </si>
  <si>
    <t xml:space="preserve">RPY-0002206</t>
  </si>
  <si>
    <t xml:space="preserve">RPY-0002207</t>
  </si>
  <si>
    <t xml:space="preserve">RPY-0002208</t>
  </si>
  <si>
    <t xml:space="preserve">RPY-0002209</t>
  </si>
  <si>
    <t xml:space="preserve">RPY-0002210</t>
  </si>
  <si>
    <t xml:space="preserve">RPY-0002211</t>
  </si>
  <si>
    <t xml:space="preserve">RPY-0002212</t>
  </si>
  <si>
    <t xml:space="preserve">RPY-0002213</t>
  </si>
  <si>
    <t xml:space="preserve">RPY-0002214</t>
  </si>
  <si>
    <t xml:space="preserve">RPY-0002215</t>
  </si>
  <si>
    <t xml:space="preserve">RPY-0002216</t>
  </si>
  <si>
    <t xml:space="preserve">RPY-0002217</t>
  </si>
  <si>
    <t xml:space="preserve">RPY-0002218</t>
  </si>
  <si>
    <t xml:space="preserve">RPY-0002219</t>
  </si>
  <si>
    <t xml:space="preserve">RPY-0002220</t>
  </si>
  <si>
    <t xml:space="preserve">RPY-0002221</t>
  </si>
  <si>
    <t xml:space="preserve">RPY-0002222</t>
  </si>
  <si>
    <t xml:space="preserve">RPY-0002223</t>
  </si>
  <si>
    <t xml:space="preserve">RPY-0002224</t>
  </si>
  <si>
    <t xml:space="preserve">RPY-0002225</t>
  </si>
  <si>
    <t xml:space="preserve">RPY-0002226</t>
  </si>
  <si>
    <t xml:space="preserve">RPY-0002227</t>
  </si>
  <si>
    <t xml:space="preserve">RPY-0002228</t>
  </si>
  <si>
    <t xml:space="preserve">RPY-0002229</t>
  </si>
  <si>
    <t xml:space="preserve">RPY-0002230</t>
  </si>
  <si>
    <t xml:space="preserve">RPY-0002231</t>
  </si>
  <si>
    <t xml:space="preserve">RPY-0002232</t>
  </si>
  <si>
    <t xml:space="preserve">RPY-0002233</t>
  </si>
  <si>
    <t xml:space="preserve">RPY-0002234</t>
  </si>
  <si>
    <t xml:space="preserve">RPY-0002235</t>
  </si>
  <si>
    <t xml:space="preserve">RPY-0002236</t>
  </si>
  <si>
    <t xml:space="preserve">RPY-0002237</t>
  </si>
  <si>
    <t xml:space="preserve">RPY-0002238</t>
  </si>
  <si>
    <t xml:space="preserve">RPY-0002239</t>
  </si>
  <si>
    <t xml:space="preserve">RPY-0002240</t>
  </si>
  <si>
    <t xml:space="preserve">RPY-0002241</t>
  </si>
  <si>
    <t xml:space="preserve">RPY-0002242</t>
  </si>
  <si>
    <t xml:space="preserve">RPY-0002243</t>
  </si>
  <si>
    <t xml:space="preserve">RPY-0002244</t>
  </si>
  <si>
    <t xml:space="preserve">RPY-0002245</t>
  </si>
  <si>
    <t xml:space="preserve">RPY-0002246</t>
  </si>
  <si>
    <t xml:space="preserve">RPY-0002247</t>
  </si>
  <si>
    <t xml:space="preserve">RPY-0002248</t>
  </si>
  <si>
    <t xml:space="preserve">RPY-0002249</t>
  </si>
  <si>
    <t xml:space="preserve">RPY-0002250</t>
  </si>
  <si>
    <t xml:space="preserve">RPY-0002251</t>
  </si>
  <si>
    <t xml:space="preserve">RPY-0002252</t>
  </si>
  <si>
    <t xml:space="preserve">RPY-0002253</t>
  </si>
  <si>
    <t xml:space="preserve">RPY-0002254</t>
  </si>
  <si>
    <t xml:space="preserve">RPY-0002255</t>
  </si>
  <si>
    <t xml:space="preserve">RPY-0002256</t>
  </si>
  <si>
    <t xml:space="preserve">RPY-0002257</t>
  </si>
  <si>
    <t xml:space="preserve">RPY-0002258</t>
  </si>
  <si>
    <t xml:space="preserve">RPY-0002259</t>
  </si>
  <si>
    <t xml:space="preserve">RPY-0002260</t>
  </si>
  <si>
    <t xml:space="preserve">RPY-0002261</t>
  </si>
  <si>
    <t xml:space="preserve">RPY-0002262</t>
  </si>
  <si>
    <t xml:space="preserve">RPY-0002263</t>
  </si>
  <si>
    <t xml:space="preserve">RPY-0002264</t>
  </si>
  <si>
    <t xml:space="preserve">RPY-0002265</t>
  </si>
  <si>
    <t xml:space="preserve">RPY-0002266</t>
  </si>
  <si>
    <t xml:space="preserve">RPY-0002267</t>
  </si>
  <si>
    <t xml:space="preserve">RPY-0002268</t>
  </si>
  <si>
    <t xml:space="preserve">RPY-0002269</t>
  </si>
  <si>
    <t xml:space="preserve">RPY-0002270</t>
  </si>
  <si>
    <t xml:space="preserve">RPY-0002271</t>
  </si>
  <si>
    <t xml:space="preserve">RPY-0002272</t>
  </si>
  <si>
    <t xml:space="preserve">RPY-0002273</t>
  </si>
  <si>
    <t xml:space="preserve">RPY-0002274</t>
  </si>
  <si>
    <t xml:space="preserve">RPY-0002275</t>
  </si>
  <si>
    <t xml:space="preserve">RPY-0002276</t>
  </si>
  <si>
    <t xml:space="preserve">RPY-0002277</t>
  </si>
  <si>
    <t xml:space="preserve">RPY-0002278</t>
  </si>
  <si>
    <t xml:space="preserve">RPY-0002279</t>
  </si>
  <si>
    <t xml:space="preserve">RPY-0002280</t>
  </si>
  <si>
    <t xml:space="preserve">RPY-0002281</t>
  </si>
  <si>
    <t xml:space="preserve">RPY-0002282</t>
  </si>
  <si>
    <t xml:space="preserve">RPY-0002283</t>
  </si>
  <si>
    <t xml:space="preserve">RPY-0002284</t>
  </si>
  <si>
    <t xml:space="preserve">RPY-0002285</t>
  </si>
  <si>
    <t xml:space="preserve">RPY-0002286</t>
  </si>
  <si>
    <t xml:space="preserve">RPY-0002287</t>
  </si>
  <si>
    <t xml:space="preserve">RPY-0002288</t>
  </si>
  <si>
    <t xml:space="preserve">RPY-0002289</t>
  </si>
  <si>
    <t xml:space="preserve">RPY-0002290</t>
  </si>
  <si>
    <t xml:space="preserve">RPY-0002291</t>
  </si>
  <si>
    <t xml:space="preserve">RPY-0002292</t>
  </si>
  <si>
    <t xml:space="preserve">RPY-0002293</t>
  </si>
  <si>
    <t xml:space="preserve">RPY-0002294</t>
  </si>
  <si>
    <t xml:space="preserve">RPY-0002295</t>
  </si>
  <si>
    <t xml:space="preserve">RPY-0002296</t>
  </si>
  <si>
    <t xml:space="preserve">RPY-0002297</t>
  </si>
  <si>
    <t xml:space="preserve">RPY-0002298</t>
  </si>
  <si>
    <t xml:space="preserve">RPY-0002299</t>
  </si>
  <si>
    <t xml:space="preserve">RPY-0002300</t>
  </si>
  <si>
    <t xml:space="preserve">RPY-0002301</t>
  </si>
  <si>
    <t xml:space="preserve">RPY-0002302</t>
  </si>
  <si>
    <t xml:space="preserve">RPY-0002303</t>
  </si>
  <si>
    <t xml:space="preserve">RPY-0002304</t>
  </si>
  <si>
    <t xml:space="preserve">RPY-0002305</t>
  </si>
  <si>
    <t xml:space="preserve">RPY-0002306</t>
  </si>
  <si>
    <t xml:space="preserve">RPY-0002307</t>
  </si>
  <si>
    <t xml:space="preserve">RPY-0002308</t>
  </si>
  <si>
    <t xml:space="preserve">RPY-0002309</t>
  </si>
  <si>
    <t xml:space="preserve">RPY-0002310</t>
  </si>
  <si>
    <t xml:space="preserve">RPY-0002311</t>
  </si>
  <si>
    <t xml:space="preserve">RPY-0002312</t>
  </si>
  <si>
    <t xml:space="preserve">RPY-0002313</t>
  </si>
  <si>
    <t xml:space="preserve">RPY-0002314</t>
  </si>
  <si>
    <t xml:space="preserve">RPY-0002315</t>
  </si>
  <si>
    <t xml:space="preserve">RPY-0002316</t>
  </si>
  <si>
    <t xml:space="preserve">RPY-0002317</t>
  </si>
  <si>
    <t xml:space="preserve">RPY-0002318</t>
  </si>
  <si>
    <t xml:space="preserve">RPY-0002319</t>
  </si>
  <si>
    <t xml:space="preserve">RPY-0002320</t>
  </si>
  <si>
    <t xml:space="preserve">RPY-0002321</t>
  </si>
  <si>
    <t xml:space="preserve">RPY-0002322</t>
  </si>
  <si>
    <t xml:space="preserve">RPY-0002323</t>
  </si>
  <si>
    <t xml:space="preserve">RPY-0002324</t>
  </si>
  <si>
    <t xml:space="preserve">RPY-0002325</t>
  </si>
  <si>
    <t xml:space="preserve">RPY-0002326</t>
  </si>
  <si>
    <t xml:space="preserve">RPY-0002327</t>
  </si>
  <si>
    <t xml:space="preserve">RPY-0002328</t>
  </si>
  <si>
    <t xml:space="preserve">RPY-0002329</t>
  </si>
  <si>
    <t xml:space="preserve">RPY-0002330</t>
  </si>
  <si>
    <t xml:space="preserve">RPY-0002331</t>
  </si>
  <si>
    <t xml:space="preserve">RPY-0002332</t>
  </si>
  <si>
    <t xml:space="preserve">RPY-0002333</t>
  </si>
  <si>
    <t xml:space="preserve">RPY-0002334</t>
  </si>
  <si>
    <t xml:space="preserve">RPY-0002335</t>
  </si>
  <si>
    <t xml:space="preserve">RPY-0002336</t>
  </si>
  <si>
    <t xml:space="preserve">RPY-0002337</t>
  </si>
  <si>
    <t xml:space="preserve">RPY-0002338</t>
  </si>
  <si>
    <t xml:space="preserve">RPY-0002339</t>
  </si>
  <si>
    <t xml:space="preserve">RPY-0002340</t>
  </si>
  <si>
    <t xml:space="preserve">RPY-0002341</t>
  </si>
  <si>
    <t xml:space="preserve">RPY-0002342</t>
  </si>
  <si>
    <t xml:space="preserve">RPY-0002343</t>
  </si>
  <si>
    <t xml:space="preserve">RPY-0002344</t>
  </si>
  <si>
    <t xml:space="preserve">RPY-0002345</t>
  </si>
  <si>
    <t xml:space="preserve">RPY-0002346</t>
  </si>
  <si>
    <t xml:space="preserve">RPY-0002347</t>
  </si>
  <si>
    <t xml:space="preserve">RPY-0002348</t>
  </si>
  <si>
    <t xml:space="preserve">RPY-0002349</t>
  </si>
  <si>
    <t xml:space="preserve">RPY-0002350</t>
  </si>
  <si>
    <t xml:space="preserve">RPY-0002351</t>
  </si>
  <si>
    <t xml:space="preserve">RPY-0002352</t>
  </si>
  <si>
    <t xml:space="preserve">RPY-0002353</t>
  </si>
  <si>
    <t xml:space="preserve">RPY-0002354</t>
  </si>
  <si>
    <t xml:space="preserve">RPY-0002355</t>
  </si>
  <si>
    <t xml:space="preserve">RPY-0002356</t>
  </si>
  <si>
    <t xml:space="preserve">RPY-0002357</t>
  </si>
  <si>
    <t xml:space="preserve">RPY-0002358</t>
  </si>
  <si>
    <t xml:space="preserve">RPY-0002359</t>
  </si>
  <si>
    <t xml:space="preserve">RPY-0002360</t>
  </si>
  <si>
    <t xml:space="preserve">RPY-0002361</t>
  </si>
  <si>
    <t xml:space="preserve">RPY-0002362</t>
  </si>
  <si>
    <t xml:space="preserve">RPY-0002363</t>
  </si>
  <si>
    <t xml:space="preserve">RPY-0002364</t>
  </si>
  <si>
    <t xml:space="preserve">RPY-0002365</t>
  </si>
  <si>
    <t xml:space="preserve">RPY-0002366</t>
  </si>
  <si>
    <t xml:space="preserve">RPY-0002367</t>
  </si>
  <si>
    <t xml:space="preserve">RPY-0002368</t>
  </si>
  <si>
    <t xml:space="preserve">RPY-0002369</t>
  </si>
  <si>
    <t xml:space="preserve">RPY-0002370</t>
  </si>
  <si>
    <t xml:space="preserve">RPY-0002371</t>
  </si>
  <si>
    <t xml:space="preserve">RPY-0002372</t>
  </si>
  <si>
    <t xml:space="preserve">RPY-0002373</t>
  </si>
  <si>
    <t xml:space="preserve">RPY-0002374</t>
  </si>
  <si>
    <t xml:space="preserve">RPY-0002375</t>
  </si>
  <si>
    <t xml:space="preserve">RPY-0002376</t>
  </si>
  <si>
    <t xml:space="preserve">RPY-0002377</t>
  </si>
  <si>
    <t xml:space="preserve">RPY-0002378</t>
  </si>
  <si>
    <t xml:space="preserve">RPY-0002379</t>
  </si>
  <si>
    <t xml:space="preserve">RPY-0002380</t>
  </si>
  <si>
    <t xml:space="preserve">RPY-0002381</t>
  </si>
  <si>
    <t xml:space="preserve">RPY-0002382</t>
  </si>
  <si>
    <t xml:space="preserve">RPY-0002383</t>
  </si>
  <si>
    <t xml:space="preserve">RPY-0002384</t>
  </si>
  <si>
    <t xml:space="preserve">RPY-0002385</t>
  </si>
  <si>
    <t xml:space="preserve">RPY-0002386</t>
  </si>
  <si>
    <t xml:space="preserve">RPY-0002387</t>
  </si>
  <si>
    <t xml:space="preserve">RPY-0002388</t>
  </si>
  <si>
    <t xml:space="preserve">RPY-0002389</t>
  </si>
  <si>
    <t xml:space="preserve">RPY-0002390</t>
  </si>
  <si>
    <t xml:space="preserve">RPY-0002391</t>
  </si>
  <si>
    <t xml:space="preserve">RPY-0002392</t>
  </si>
  <si>
    <t xml:space="preserve">RPY-0002393</t>
  </si>
  <si>
    <t xml:space="preserve">RPY-0002394</t>
  </si>
  <si>
    <t xml:space="preserve">RPY-0002395</t>
  </si>
  <si>
    <t xml:space="preserve">RPY-0002396</t>
  </si>
  <si>
    <t xml:space="preserve">RPY-0002397</t>
  </si>
  <si>
    <t xml:space="preserve">RPY-0002398</t>
  </si>
  <si>
    <t xml:space="preserve">RPY-0002399</t>
  </si>
  <si>
    <t xml:space="preserve">RPY-0002400</t>
  </si>
  <si>
    <t xml:space="preserve">RPY-0002401</t>
  </si>
  <si>
    <t xml:space="preserve">RPY-0002402</t>
  </si>
  <si>
    <t xml:space="preserve">RPY-0002403</t>
  </si>
  <si>
    <t xml:space="preserve">RPY-0002404</t>
  </si>
  <si>
    <t xml:space="preserve">RPY-0002405</t>
  </si>
  <si>
    <t xml:space="preserve">RPY-0002406</t>
  </si>
  <si>
    <t xml:space="preserve">RPY-0002407</t>
  </si>
  <si>
    <t xml:space="preserve">RPY-0002408</t>
  </si>
  <si>
    <t xml:space="preserve">RPY-0002409</t>
  </si>
  <si>
    <t xml:space="preserve">RPY-0002410</t>
  </si>
  <si>
    <t xml:space="preserve">RPY-0002411</t>
  </si>
  <si>
    <t xml:space="preserve">RPY-0002412</t>
  </si>
  <si>
    <t xml:space="preserve">RPY-0002413</t>
  </si>
  <si>
    <t xml:space="preserve">RPY-0002414</t>
  </si>
  <si>
    <t xml:space="preserve">RPY-0002415</t>
  </si>
  <si>
    <t xml:space="preserve">RPY-0002416</t>
  </si>
  <si>
    <t xml:space="preserve">RPY-0002417</t>
  </si>
  <si>
    <t xml:space="preserve">RPY-0002418</t>
  </si>
  <si>
    <t xml:space="preserve">RPY-0002419</t>
  </si>
  <si>
    <t xml:space="preserve">RPY-0002420</t>
  </si>
  <si>
    <t xml:space="preserve">RPY-0002421</t>
  </si>
  <si>
    <t xml:space="preserve">RPY-0002422</t>
  </si>
  <si>
    <t xml:space="preserve">RPY-0002423</t>
  </si>
  <si>
    <t xml:space="preserve">RPY-0002424</t>
  </si>
  <si>
    <t xml:space="preserve">RPY-0002425</t>
  </si>
  <si>
    <t xml:space="preserve">RPY-0002426</t>
  </si>
  <si>
    <t xml:space="preserve">RPY-0002427</t>
  </si>
  <si>
    <t xml:space="preserve">RPY-0002428</t>
  </si>
  <si>
    <t xml:space="preserve">RPY-0002429</t>
  </si>
  <si>
    <t xml:space="preserve">RPY-0002430</t>
  </si>
  <si>
    <t xml:space="preserve">RPY-0002431</t>
  </si>
  <si>
    <t xml:space="preserve">RPY-0002432</t>
  </si>
  <si>
    <t xml:space="preserve">RPY-0002433</t>
  </si>
  <si>
    <t xml:space="preserve">RPY-0002434</t>
  </si>
  <si>
    <t xml:space="preserve">RPY-0002435</t>
  </si>
  <si>
    <t xml:space="preserve">RPY-0002436</t>
  </si>
  <si>
    <t xml:space="preserve">RPY-0002437</t>
  </si>
  <si>
    <t xml:space="preserve">RPY-0002438</t>
  </si>
  <si>
    <t xml:space="preserve">RPY-0002439</t>
  </si>
  <si>
    <t xml:space="preserve">RPY-0002440</t>
  </si>
  <si>
    <t xml:space="preserve">RPY-0002441</t>
  </si>
  <si>
    <t xml:space="preserve">RPY-0002442</t>
  </si>
  <si>
    <t xml:space="preserve">RPY-0002443</t>
  </si>
  <si>
    <t xml:space="preserve">RPY-0002444</t>
  </si>
  <si>
    <t xml:space="preserve">RPY-0002445</t>
  </si>
  <si>
    <t xml:space="preserve">RPY-0002446</t>
  </si>
  <si>
    <t xml:space="preserve">RPY-0002447</t>
  </si>
  <si>
    <t xml:space="preserve">RPY-0002448</t>
  </si>
  <si>
    <t xml:space="preserve">RPY-0002449</t>
  </si>
  <si>
    <t xml:space="preserve">RPY-0002450</t>
  </si>
  <si>
    <t xml:space="preserve">RPY-0002451</t>
  </si>
  <si>
    <t xml:space="preserve">RPY-0002452</t>
  </si>
  <si>
    <t xml:space="preserve">RPY-0002453</t>
  </si>
  <si>
    <t xml:space="preserve">RPY-0002454</t>
  </si>
  <si>
    <t xml:space="preserve">RPY-0002455</t>
  </si>
  <si>
    <t xml:space="preserve">RPY-0002456</t>
  </si>
  <si>
    <t xml:space="preserve">RPY-0002457</t>
  </si>
  <si>
    <t xml:space="preserve">RPY-0002458</t>
  </si>
  <si>
    <t xml:space="preserve">RPY-0002459</t>
  </si>
  <si>
    <t xml:space="preserve">RPY-0002460</t>
  </si>
  <si>
    <t xml:space="preserve">RPY-0002461</t>
  </si>
  <si>
    <t xml:space="preserve">RPY-0002462</t>
  </si>
  <si>
    <t xml:space="preserve">RPY-0002463</t>
  </si>
  <si>
    <t xml:space="preserve">RPY-0002464</t>
  </si>
  <si>
    <t xml:space="preserve">RPY-0002465</t>
  </si>
  <si>
    <t xml:space="preserve">RPY-0002466</t>
  </si>
  <si>
    <t xml:space="preserve">RPY-0002467</t>
  </si>
  <si>
    <t xml:space="preserve">RPY-0002468</t>
  </si>
  <si>
    <t xml:space="preserve">RPY-0002469</t>
  </si>
  <si>
    <t xml:space="preserve">RPY-0002470</t>
  </si>
  <si>
    <t xml:space="preserve">RPY-0002471</t>
  </si>
  <si>
    <t xml:space="preserve">RPY-0002472</t>
  </si>
  <si>
    <t xml:space="preserve">RPY-0002473</t>
  </si>
  <si>
    <t xml:space="preserve">RPY-0002474</t>
  </si>
  <si>
    <t xml:space="preserve">RPY-0002475</t>
  </si>
  <si>
    <t xml:space="preserve">RPY-0002476</t>
  </si>
  <si>
    <t xml:space="preserve">RPY-0002477</t>
  </si>
  <si>
    <t xml:space="preserve">RPY-0002478</t>
  </si>
  <si>
    <t xml:space="preserve">RPY-0002479</t>
  </si>
  <si>
    <t xml:space="preserve">RPY-0002480</t>
  </si>
  <si>
    <t xml:space="preserve">RPY-0002481</t>
  </si>
  <si>
    <t xml:space="preserve">RPY-0002482</t>
  </si>
  <si>
    <t xml:space="preserve">RPY-0002483</t>
  </si>
  <si>
    <t xml:space="preserve">RPY-0002484</t>
  </si>
  <si>
    <t xml:space="preserve">RPY-0002485</t>
  </si>
  <si>
    <t xml:space="preserve">RPY-0002486</t>
  </si>
  <si>
    <t xml:space="preserve">RPY-0002487</t>
  </si>
  <si>
    <t xml:space="preserve">RPY-0002488</t>
  </si>
  <si>
    <t xml:space="preserve">RPY-0002489</t>
  </si>
  <si>
    <t xml:space="preserve">RPY-0002490</t>
  </si>
  <si>
    <t xml:space="preserve">RPY-0002491</t>
  </si>
  <si>
    <t xml:space="preserve">RPY-0002492</t>
  </si>
  <si>
    <t xml:space="preserve">RPY-0002493</t>
  </si>
  <si>
    <t xml:space="preserve">RPY-0002494</t>
  </si>
  <si>
    <t xml:space="preserve">RPY-0002495</t>
  </si>
  <si>
    <t xml:space="preserve">RPY-0002496</t>
  </si>
  <si>
    <t xml:space="preserve">RPY-0002497</t>
  </si>
  <si>
    <t xml:space="preserve">RPY-0002498</t>
  </si>
  <si>
    <t xml:space="preserve">RPY-0002499</t>
  </si>
  <si>
    <t xml:space="preserve">RPY-0002500</t>
  </si>
  <si>
    <t xml:space="preserve">RPY-0002501</t>
  </si>
  <si>
    <t xml:space="preserve">RPY-0002502</t>
  </si>
  <si>
    <t xml:space="preserve">RPY-0002503</t>
  </si>
  <si>
    <t xml:space="preserve">RPY-0002504</t>
  </si>
  <si>
    <t xml:space="preserve">RPY-0002505</t>
  </si>
  <si>
    <t xml:space="preserve">RPY-0002506</t>
  </si>
  <si>
    <t xml:space="preserve">RPY-0002507</t>
  </si>
  <si>
    <t xml:space="preserve">RPY-0002508</t>
  </si>
  <si>
    <t xml:space="preserve">RPY-0002509</t>
  </si>
  <si>
    <t xml:space="preserve">RPY-0002510</t>
  </si>
  <si>
    <t xml:space="preserve">RPY-0002511</t>
  </si>
  <si>
    <t xml:space="preserve">RPY-0002512</t>
  </si>
  <si>
    <t xml:space="preserve">RPY-0002513</t>
  </si>
  <si>
    <t xml:space="preserve">RPY-0002514</t>
  </si>
  <si>
    <t xml:space="preserve">RPY-0002515</t>
  </si>
  <si>
    <t xml:space="preserve">RPY-0002516</t>
  </si>
  <si>
    <t xml:space="preserve">RPY-0002517</t>
  </si>
  <si>
    <t xml:space="preserve">RPY-0002518</t>
  </si>
  <si>
    <t xml:space="preserve">RPY-0002519</t>
  </si>
  <si>
    <t xml:space="preserve">RPY-0002520</t>
  </si>
  <si>
    <t xml:space="preserve">RPY-0002521</t>
  </si>
  <si>
    <t xml:space="preserve">RPY-0002522</t>
  </si>
  <si>
    <t xml:space="preserve">RPY-0002523</t>
  </si>
  <si>
    <t xml:space="preserve">RPY-0002524</t>
  </si>
  <si>
    <t xml:space="preserve">RPY-0002525</t>
  </si>
  <si>
    <t xml:space="preserve">RPY-0002526</t>
  </si>
  <si>
    <t xml:space="preserve">RPY-0002527</t>
  </si>
  <si>
    <t xml:space="preserve">RPY-0002528</t>
  </si>
  <si>
    <t xml:space="preserve">RPY-0002529</t>
  </si>
  <si>
    <t xml:space="preserve">RPY-0002530</t>
  </si>
  <si>
    <t xml:space="preserve">RPY-0002531</t>
  </si>
  <si>
    <t xml:space="preserve">RPY-0002532</t>
  </si>
  <si>
    <t xml:space="preserve">RPY-0002533</t>
  </si>
  <si>
    <t xml:space="preserve">RPY-0002534</t>
  </si>
  <si>
    <t xml:space="preserve">RPY-0002535</t>
  </si>
  <si>
    <t xml:space="preserve">RPY-0002536</t>
  </si>
  <si>
    <t xml:space="preserve">RPY-0002537</t>
  </si>
  <si>
    <t xml:space="preserve">RPY-0002538</t>
  </si>
  <si>
    <t xml:space="preserve">RPY-0002539</t>
  </si>
  <si>
    <t xml:space="preserve">RPY-0002540</t>
  </si>
  <si>
    <t xml:space="preserve">RPY-0002541</t>
  </si>
  <si>
    <t xml:space="preserve">RPY-0002542</t>
  </si>
  <si>
    <t xml:space="preserve">RPY-0002543</t>
  </si>
  <si>
    <t xml:space="preserve">RPY-0002544</t>
  </si>
  <si>
    <t xml:space="preserve">RPY-0002545</t>
  </si>
  <si>
    <t xml:space="preserve">RPY-0002546</t>
  </si>
  <si>
    <t xml:space="preserve">RPY-0002547</t>
  </si>
  <si>
    <t xml:space="preserve">RPY-0002548</t>
  </si>
  <si>
    <t xml:space="preserve">RPY-0002549</t>
  </si>
  <si>
    <t xml:space="preserve">RPY-0002550</t>
  </si>
  <si>
    <t xml:space="preserve">RPY-0002551</t>
  </si>
  <si>
    <t xml:space="preserve">RPY-0002552</t>
  </si>
  <si>
    <t xml:space="preserve">RPY-0002553</t>
  </si>
  <si>
    <t xml:space="preserve">RPY-0002554</t>
  </si>
  <si>
    <t xml:space="preserve">RPY-0002555</t>
  </si>
  <si>
    <t xml:space="preserve">RPY-0002556</t>
  </si>
  <si>
    <t xml:space="preserve">RPY-0002557</t>
  </si>
  <si>
    <t xml:space="preserve">RPY-0002558</t>
  </si>
  <si>
    <t xml:space="preserve">RPY-0002559</t>
  </si>
  <si>
    <t xml:space="preserve">RPY-0002560</t>
  </si>
  <si>
    <t xml:space="preserve">RPY-0002561</t>
  </si>
  <si>
    <t xml:space="preserve">RPY-0002562</t>
  </si>
  <si>
    <t xml:space="preserve">RPY-0002563</t>
  </si>
  <si>
    <t xml:space="preserve">RPY-0002564</t>
  </si>
  <si>
    <t xml:space="preserve">RPY-0002565</t>
  </si>
  <si>
    <t xml:space="preserve">RPY-0002566</t>
  </si>
  <si>
    <t xml:space="preserve">RPY-0002567</t>
  </si>
  <si>
    <t xml:space="preserve">RPY-0002568</t>
  </si>
  <si>
    <t xml:space="preserve">RPY-0002569</t>
  </si>
  <si>
    <t xml:space="preserve">RPY-0002570</t>
  </si>
  <si>
    <t xml:space="preserve">RPY-0002571</t>
  </si>
  <si>
    <t xml:space="preserve">RPY-0002572</t>
  </si>
  <si>
    <t xml:space="preserve">RPY-0002573</t>
  </si>
  <si>
    <t xml:space="preserve">RPY-0002574</t>
  </si>
  <si>
    <t xml:space="preserve">RPY-0002575</t>
  </si>
  <si>
    <t xml:space="preserve">RPY-0002576</t>
  </si>
  <si>
    <t xml:space="preserve">RPY-0002577</t>
  </si>
  <si>
    <t xml:space="preserve">RPY-0002578</t>
  </si>
  <si>
    <t xml:space="preserve">RPY-0002579</t>
  </si>
  <si>
    <t xml:space="preserve">RPY-0002580</t>
  </si>
  <si>
    <t xml:space="preserve">RPY-0002581</t>
  </si>
  <si>
    <t xml:space="preserve">RPY-0002582</t>
  </si>
  <si>
    <t xml:space="preserve">RPY-0002583</t>
  </si>
  <si>
    <t xml:space="preserve">RPY-0002584</t>
  </si>
  <si>
    <t xml:space="preserve">RPY-0002585</t>
  </si>
  <si>
    <t xml:space="preserve">RPY-0002586</t>
  </si>
  <si>
    <t xml:space="preserve">RPY-0002587</t>
  </si>
  <si>
    <t xml:space="preserve">RPY-0002588</t>
  </si>
  <si>
    <t xml:space="preserve">RPY-0002589</t>
  </si>
  <si>
    <t xml:space="preserve">RPY-0002590</t>
  </si>
  <si>
    <t xml:space="preserve">RPY-0002591</t>
  </si>
  <si>
    <t xml:space="preserve">RPY-0002592</t>
  </si>
  <si>
    <t xml:space="preserve">RPY-0002593</t>
  </si>
  <si>
    <t xml:space="preserve">RPY-0002594</t>
  </si>
  <si>
    <t xml:space="preserve">RPY-0002595</t>
  </si>
  <si>
    <t xml:space="preserve">RPY-0002596</t>
  </si>
  <si>
    <t xml:space="preserve">RPY-0002597</t>
  </si>
  <si>
    <t xml:space="preserve">RPY-0002598</t>
  </si>
  <si>
    <t xml:space="preserve">RPY-0002599</t>
  </si>
  <si>
    <t xml:space="preserve">RPY-0002600</t>
  </si>
  <si>
    <t xml:space="preserve">RPY-0002601</t>
  </si>
  <si>
    <t xml:space="preserve">RPY-0002602</t>
  </si>
  <si>
    <t xml:space="preserve">RPY-0002603</t>
  </si>
  <si>
    <t xml:space="preserve">RPY-0002604</t>
  </si>
  <si>
    <t xml:space="preserve">RPY-0002605</t>
  </si>
  <si>
    <t xml:space="preserve">RPY-0002606</t>
  </si>
  <si>
    <t xml:space="preserve">RPY-0002607</t>
  </si>
  <si>
    <t xml:space="preserve">RPY-0002608</t>
  </si>
  <si>
    <t xml:space="preserve">RPY-0002609</t>
  </si>
  <si>
    <t xml:space="preserve">RPY-0002610</t>
  </si>
  <si>
    <t xml:space="preserve">RPY-0002611</t>
  </si>
  <si>
    <t xml:space="preserve">RPY-0002612</t>
  </si>
  <si>
    <t xml:space="preserve">RPY-0002613</t>
  </si>
  <si>
    <t xml:space="preserve">RPY-0002614</t>
  </si>
  <si>
    <t xml:space="preserve">RPY-0002615</t>
  </si>
  <si>
    <t xml:space="preserve">RPY-0002616</t>
  </si>
  <si>
    <t xml:space="preserve">RPY-0002617</t>
  </si>
  <si>
    <t xml:space="preserve">RPY-0002618</t>
  </si>
  <si>
    <t xml:space="preserve">RPY-0002619</t>
  </si>
  <si>
    <t xml:space="preserve">RPY-0002620</t>
  </si>
  <si>
    <t xml:space="preserve">RPY-0002621</t>
  </si>
  <si>
    <t xml:space="preserve">RPY-0002622</t>
  </si>
  <si>
    <t xml:space="preserve">RPY-0002623</t>
  </si>
  <si>
    <t xml:space="preserve">RPY-0002624</t>
  </si>
  <si>
    <t xml:space="preserve">RPY-0002625</t>
  </si>
  <si>
    <t xml:space="preserve">RPY-0002626</t>
  </si>
  <si>
    <t xml:space="preserve">RPY-0002627</t>
  </si>
  <si>
    <t xml:space="preserve">RPY-0002628</t>
  </si>
  <si>
    <t xml:space="preserve">RPY-0002629</t>
  </si>
  <si>
    <t xml:space="preserve">RPY-0002630</t>
  </si>
  <si>
    <t xml:space="preserve">RPY-0002631</t>
  </si>
  <si>
    <t xml:space="preserve">RPY-0002632</t>
  </si>
  <si>
    <t xml:space="preserve">RPY-0002633</t>
  </si>
  <si>
    <t xml:space="preserve">RPY-0002634</t>
  </si>
  <si>
    <t xml:space="preserve">RPY-0002635</t>
  </si>
  <si>
    <t xml:space="preserve">RPY-0002636</t>
  </si>
  <si>
    <t xml:space="preserve">RPY-0002637</t>
  </si>
  <si>
    <t xml:space="preserve">RPY-0002638</t>
  </si>
  <si>
    <t xml:space="preserve">RPY-0002639</t>
  </si>
  <si>
    <t xml:space="preserve">RPY-0002640</t>
  </si>
  <si>
    <t xml:space="preserve">RPY-0002641</t>
  </si>
  <si>
    <t xml:space="preserve">RPY-0002642</t>
  </si>
  <si>
    <t xml:space="preserve">RPY-0002643</t>
  </si>
  <si>
    <t xml:space="preserve">RPY-0002644</t>
  </si>
  <si>
    <t xml:space="preserve">RPY-0002645</t>
  </si>
  <si>
    <t xml:space="preserve">RPY-0002646</t>
  </si>
  <si>
    <t xml:space="preserve">RPY-0002647</t>
  </si>
  <si>
    <t xml:space="preserve">RPY-0002648</t>
  </si>
  <si>
    <t xml:space="preserve">RPY-0002649</t>
  </si>
  <si>
    <t xml:space="preserve">RPY-0002650</t>
  </si>
  <si>
    <t xml:space="preserve">RPY-0002651</t>
  </si>
  <si>
    <t xml:space="preserve">RPY-0002652</t>
  </si>
  <si>
    <t xml:space="preserve">RPY-0002653</t>
  </si>
  <si>
    <t xml:space="preserve">RPY-0002654</t>
  </si>
  <si>
    <t xml:space="preserve">RPY-0002655</t>
  </si>
  <si>
    <t xml:space="preserve">RPY-0002656</t>
  </si>
  <si>
    <t xml:space="preserve">RPY-0002657</t>
  </si>
  <si>
    <t xml:space="preserve">RPY-0002658</t>
  </si>
  <si>
    <t xml:space="preserve">RPY-0002659</t>
  </si>
  <si>
    <t xml:space="preserve">RPY-0002660</t>
  </si>
  <si>
    <t xml:space="preserve">RPY-0002661</t>
  </si>
  <si>
    <t xml:space="preserve">RPY-0002662</t>
  </si>
  <si>
    <t xml:space="preserve">RPY-0002663</t>
  </si>
  <si>
    <t xml:space="preserve">RPY-0002664</t>
  </si>
  <si>
    <t xml:space="preserve">RPY-0002665</t>
  </si>
  <si>
    <t xml:space="preserve">RPY-0002666</t>
  </si>
  <si>
    <t xml:space="preserve">RPY-0002667</t>
  </si>
  <si>
    <t xml:space="preserve">RPY-0002668</t>
  </si>
  <si>
    <t xml:space="preserve">RPY-0002669</t>
  </si>
  <si>
    <t xml:space="preserve">RPY-0002670</t>
  </si>
  <si>
    <t xml:space="preserve">RPY-0002671</t>
  </si>
  <si>
    <t xml:space="preserve">RPY-0002672</t>
  </si>
  <si>
    <t xml:space="preserve">RPY-0002673</t>
  </si>
  <si>
    <t xml:space="preserve">RPY-0002674</t>
  </si>
  <si>
    <t xml:space="preserve">RPY-0002675</t>
  </si>
  <si>
    <t xml:space="preserve">RPY-0002676</t>
  </si>
  <si>
    <t xml:space="preserve">RPY-0002677</t>
  </si>
  <si>
    <t xml:space="preserve">RPY-0002678</t>
  </si>
  <si>
    <t xml:space="preserve">RPY-0002679</t>
  </si>
  <si>
    <t xml:space="preserve">RPY-0002680</t>
  </si>
  <si>
    <t xml:space="preserve">RPY-0002681</t>
  </si>
  <si>
    <t xml:space="preserve">RPY-0002682</t>
  </si>
  <si>
    <t xml:space="preserve">RPY-0002683</t>
  </si>
  <si>
    <t xml:space="preserve">RPY-0002684</t>
  </si>
  <si>
    <t xml:space="preserve">RPY-0002685</t>
  </si>
  <si>
    <t xml:space="preserve">RPY-0002686</t>
  </si>
  <si>
    <t xml:space="preserve">RPY-0002687</t>
  </si>
  <si>
    <t xml:space="preserve">RPY-0002688</t>
  </si>
  <si>
    <t xml:space="preserve">RPY-0002689</t>
  </si>
  <si>
    <t xml:space="preserve">RPY-0002690</t>
  </si>
  <si>
    <t xml:space="preserve">RPY-0002691</t>
  </si>
  <si>
    <t xml:space="preserve">RPY-0002692</t>
  </si>
  <si>
    <t xml:space="preserve">RPY-0002693</t>
  </si>
  <si>
    <t xml:space="preserve">RPY-0002694</t>
  </si>
  <si>
    <t xml:space="preserve">RPY-0002695</t>
  </si>
  <si>
    <t xml:space="preserve">RPY-0002696</t>
  </si>
  <si>
    <t xml:space="preserve">RPY-0002697</t>
  </si>
  <si>
    <t xml:space="preserve">RPY-0002698</t>
  </si>
  <si>
    <t xml:space="preserve">RPY-0002699</t>
  </si>
  <si>
    <t xml:space="preserve">RPY-0002700</t>
  </si>
  <si>
    <t xml:space="preserve">RPY-0002701</t>
  </si>
  <si>
    <t xml:space="preserve">RPY-0002702</t>
  </si>
  <si>
    <t xml:space="preserve">RPY-0002703</t>
  </si>
  <si>
    <t xml:space="preserve">RPY-0002704</t>
  </si>
  <si>
    <t xml:space="preserve">RPY-0002705</t>
  </si>
  <si>
    <t xml:space="preserve">RPY-0002706</t>
  </si>
  <si>
    <t xml:space="preserve">RPY-0002707</t>
  </si>
  <si>
    <t xml:space="preserve">RPY-0002708</t>
  </si>
  <si>
    <t xml:space="preserve">RPY-0002709</t>
  </si>
  <si>
    <t xml:space="preserve">RPY-0002710</t>
  </si>
  <si>
    <t xml:space="preserve">RPY-0002711</t>
  </si>
  <si>
    <t xml:space="preserve">RPY-0002712</t>
  </si>
  <si>
    <t xml:space="preserve">RPY-0002713</t>
  </si>
  <si>
    <t xml:space="preserve">RPY-0002714</t>
  </si>
  <si>
    <t xml:space="preserve">RPY-0002715</t>
  </si>
  <si>
    <t xml:space="preserve">RPY-0002716</t>
  </si>
  <si>
    <t xml:space="preserve">RPY-0002717</t>
  </si>
  <si>
    <t xml:space="preserve">RPY-0002718</t>
  </si>
  <si>
    <t xml:space="preserve">RPY-0002719</t>
  </si>
  <si>
    <t xml:space="preserve">RPY-0002720</t>
  </si>
  <si>
    <t xml:space="preserve">RPY-0002721</t>
  </si>
  <si>
    <t xml:space="preserve">RPY-0002722</t>
  </si>
  <si>
    <t xml:space="preserve">RPY-0002723</t>
  </si>
  <si>
    <t xml:space="preserve">RPY-0002724</t>
  </si>
  <si>
    <t xml:space="preserve">RPY-0002725</t>
  </si>
  <si>
    <t xml:space="preserve">RPY-0002726</t>
  </si>
  <si>
    <t xml:space="preserve">RPY-0002727</t>
  </si>
  <si>
    <t xml:space="preserve">RPY-0002728</t>
  </si>
  <si>
    <t xml:space="preserve">RPY-0002729</t>
  </si>
  <si>
    <t xml:space="preserve">RPY-0002730</t>
  </si>
  <si>
    <t xml:space="preserve">RPY-0002731</t>
  </si>
  <si>
    <t xml:space="preserve">RPY-0002732</t>
  </si>
  <si>
    <t xml:space="preserve">RPY-0002733</t>
  </si>
  <si>
    <t xml:space="preserve">RPY-0002734</t>
  </si>
  <si>
    <t xml:space="preserve">RPY-0002735</t>
  </si>
  <si>
    <t xml:space="preserve">RPY-0002736</t>
  </si>
  <si>
    <t xml:space="preserve">RPY-0002737</t>
  </si>
  <si>
    <t xml:space="preserve">RPY-0002738</t>
  </si>
  <si>
    <t xml:space="preserve">RPY-0002739</t>
  </si>
  <si>
    <t xml:space="preserve">RPY-0002740</t>
  </si>
  <si>
    <t xml:space="preserve">RPY-0002741</t>
  </si>
  <si>
    <t xml:space="preserve">RPY-0002742</t>
  </si>
  <si>
    <t xml:space="preserve">RPY-0002743</t>
  </si>
  <si>
    <t xml:space="preserve">RPY-0002744</t>
  </si>
  <si>
    <t xml:space="preserve">RPY-0002745</t>
  </si>
  <si>
    <t xml:space="preserve">RPY-0002746</t>
  </si>
  <si>
    <t xml:space="preserve">RPY-0002747</t>
  </si>
  <si>
    <t xml:space="preserve">RPY-0002748</t>
  </si>
  <si>
    <t xml:space="preserve">RPY-0002749</t>
  </si>
  <si>
    <t xml:space="preserve">RPY-0002750</t>
  </si>
  <si>
    <t xml:space="preserve">RPY-0002751</t>
  </si>
  <si>
    <t xml:space="preserve">RPY-0002752</t>
  </si>
  <si>
    <t xml:space="preserve">RPY-0002753</t>
  </si>
  <si>
    <t xml:space="preserve">RPY-0002754</t>
  </si>
  <si>
    <t xml:space="preserve">RPY-0002755</t>
  </si>
  <si>
    <t xml:space="preserve">RPY-0002756</t>
  </si>
  <si>
    <t xml:space="preserve">RPY-0002757</t>
  </si>
  <si>
    <t xml:space="preserve">RPY-0002758</t>
  </si>
  <si>
    <t xml:space="preserve">RPY-0002759</t>
  </si>
  <si>
    <t xml:space="preserve">RPY-0002760</t>
  </si>
  <si>
    <t xml:space="preserve">RPY-0002761</t>
  </si>
  <si>
    <t xml:space="preserve">RPY-0002762</t>
  </si>
  <si>
    <t xml:space="preserve">RPY-0002763</t>
  </si>
  <si>
    <t xml:space="preserve">RPY-0002764</t>
  </si>
  <si>
    <t xml:space="preserve">RPY-0002765</t>
  </si>
  <si>
    <t xml:space="preserve">RPY-0002766</t>
  </si>
  <si>
    <t xml:space="preserve">RPY-0002767</t>
  </si>
  <si>
    <t xml:space="preserve">RPY-0002768</t>
  </si>
  <si>
    <t xml:space="preserve">RPY-0002769</t>
  </si>
  <si>
    <t xml:space="preserve">RPY-0002770</t>
  </si>
  <si>
    <t xml:space="preserve">RPY-0002771</t>
  </si>
  <si>
    <t xml:space="preserve">RPY-0002772</t>
  </si>
  <si>
    <t xml:space="preserve">RPY-0002773</t>
  </si>
  <si>
    <t xml:space="preserve">RPY-0002774</t>
  </si>
  <si>
    <t xml:space="preserve">RPY-0002775</t>
  </si>
  <si>
    <t xml:space="preserve">RPY-0002776</t>
  </si>
  <si>
    <t xml:space="preserve">RPY-0002777</t>
  </si>
  <si>
    <t xml:space="preserve">RPY-0002778</t>
  </si>
  <si>
    <t xml:space="preserve">RPY-0002779</t>
  </si>
  <si>
    <t xml:space="preserve">RPY-0002780</t>
  </si>
  <si>
    <t xml:space="preserve">RPY-0002781</t>
  </si>
  <si>
    <t xml:space="preserve">RPY-0002782</t>
  </si>
  <si>
    <t xml:space="preserve">RPY-0002783</t>
  </si>
  <si>
    <t xml:space="preserve">RPY-0002784</t>
  </si>
  <si>
    <t xml:space="preserve">RPY-0002785</t>
  </si>
  <si>
    <t xml:space="preserve">RPY-0002786</t>
  </si>
  <si>
    <t xml:space="preserve">RPY-0002787</t>
  </si>
  <si>
    <t xml:space="preserve">RPY-0002788</t>
  </si>
  <si>
    <t xml:space="preserve">RPY-0002789</t>
  </si>
  <si>
    <t xml:space="preserve">RPY-0002790</t>
  </si>
  <si>
    <t xml:space="preserve">RPY-0002791</t>
  </si>
  <si>
    <t xml:space="preserve">RPY-0002792</t>
  </si>
  <si>
    <t xml:space="preserve">RPY-0002793</t>
  </si>
  <si>
    <t xml:space="preserve">RPY-0002794</t>
  </si>
  <si>
    <t xml:space="preserve">RPY-0002795</t>
  </si>
  <si>
    <t xml:space="preserve">RPY-0002796</t>
  </si>
  <si>
    <t xml:space="preserve">RPY-0002797</t>
  </si>
  <si>
    <t xml:space="preserve">RPY-0002798</t>
  </si>
  <si>
    <t xml:space="preserve">RPY-0002799</t>
  </si>
  <si>
    <t xml:space="preserve">RPY-0002800</t>
  </si>
  <si>
    <t xml:space="preserve">RPY-0002801</t>
  </si>
  <si>
    <t xml:space="preserve">RPY-0002802</t>
  </si>
  <si>
    <t xml:space="preserve">RPY-0002803</t>
  </si>
  <si>
    <t xml:space="preserve">RPY-0002804</t>
  </si>
  <si>
    <t xml:space="preserve">RPY-0002805</t>
  </si>
  <si>
    <t xml:space="preserve">RPY-0002806</t>
  </si>
  <si>
    <t xml:space="preserve">RPY-0002807</t>
  </si>
  <si>
    <t xml:space="preserve">RPY-0002808</t>
  </si>
  <si>
    <t xml:space="preserve">RPY-0002809</t>
  </si>
  <si>
    <t xml:space="preserve">RPY-0002810</t>
  </si>
  <si>
    <t xml:space="preserve">RPY-0002811</t>
  </si>
  <si>
    <t xml:space="preserve">RPY-0002812</t>
  </si>
  <si>
    <t xml:space="preserve">RPY-0002813</t>
  </si>
  <si>
    <t xml:space="preserve">RPY-0002814</t>
  </si>
  <si>
    <t xml:space="preserve">RPY-0002815</t>
  </si>
  <si>
    <t xml:space="preserve">RPY-0002816</t>
  </si>
  <si>
    <t xml:space="preserve">RPY-0002817</t>
  </si>
  <si>
    <t xml:space="preserve">RPY-0002818</t>
  </si>
  <si>
    <t xml:space="preserve">RPY-0002819</t>
  </si>
  <si>
    <t xml:space="preserve">RPY-0002820</t>
  </si>
  <si>
    <t xml:space="preserve">RPY-0002821</t>
  </si>
  <si>
    <t xml:space="preserve">RPY-0002822</t>
  </si>
  <si>
    <t xml:space="preserve">RPY-0002823</t>
  </si>
  <si>
    <t xml:space="preserve">RPY-0002824</t>
  </si>
  <si>
    <t xml:space="preserve">RPY-0002825</t>
  </si>
  <si>
    <t xml:space="preserve">RPY-0002826</t>
  </si>
  <si>
    <t xml:space="preserve">RPY-0002827</t>
  </si>
  <si>
    <t xml:space="preserve">RPY-0002828</t>
  </si>
  <si>
    <t xml:space="preserve">RPY-0002829</t>
  </si>
  <si>
    <t xml:space="preserve">RPY-0002830</t>
  </si>
  <si>
    <t xml:space="preserve">RPY-0002831</t>
  </si>
  <si>
    <t xml:space="preserve">RPY-0002832</t>
  </si>
  <si>
    <t xml:space="preserve">RPY-0002833</t>
  </si>
  <si>
    <t xml:space="preserve">RPY-0002834</t>
  </si>
  <si>
    <t xml:space="preserve">RPY-0002835</t>
  </si>
  <si>
    <t xml:space="preserve">RPY-0002836</t>
  </si>
  <si>
    <t xml:space="preserve">RPY-0002837</t>
  </si>
  <si>
    <t xml:space="preserve">RPY-0002838</t>
  </si>
  <si>
    <t xml:space="preserve">RPY-0002839</t>
  </si>
  <si>
    <t xml:space="preserve">RPY-0002840</t>
  </si>
  <si>
    <t xml:space="preserve">RPY-0002841</t>
  </si>
  <si>
    <t xml:space="preserve">RPY-0002842</t>
  </si>
  <si>
    <t xml:space="preserve">RPY-0002843</t>
  </si>
  <si>
    <t xml:space="preserve">RPY-0002844</t>
  </si>
  <si>
    <t xml:space="preserve">RPY-0002845</t>
  </si>
  <si>
    <t xml:space="preserve">RPY-0002846</t>
  </si>
  <si>
    <t xml:space="preserve">RPY-0002847</t>
  </si>
  <si>
    <t xml:space="preserve">RPY-0002848</t>
  </si>
  <si>
    <t xml:space="preserve">RPY-0002849</t>
  </si>
  <si>
    <t xml:space="preserve">RPY-0002850</t>
  </si>
  <si>
    <t xml:space="preserve">RPY-0002851</t>
  </si>
  <si>
    <t xml:space="preserve">RPY-0002852</t>
  </si>
  <si>
    <t xml:space="preserve">RPY-0002853</t>
  </si>
  <si>
    <t xml:space="preserve">RPY-0002854</t>
  </si>
  <si>
    <t xml:space="preserve">RPY-0002855</t>
  </si>
  <si>
    <t xml:space="preserve">RPY-0002856</t>
  </si>
  <si>
    <t xml:space="preserve">RPY-0002857</t>
  </si>
  <si>
    <t xml:space="preserve">RPY-0002858</t>
  </si>
  <si>
    <t xml:space="preserve">RPY-0002859</t>
  </si>
  <si>
    <t xml:space="preserve">RPY-0002860</t>
  </si>
  <si>
    <t xml:space="preserve">RPY-0002861</t>
  </si>
  <si>
    <t xml:space="preserve">RPY-0002862</t>
  </si>
  <si>
    <t xml:space="preserve">RPY-0002863</t>
  </si>
  <si>
    <t xml:space="preserve">RPY-0002864</t>
  </si>
  <si>
    <t xml:space="preserve">RPY-0002865</t>
  </si>
  <si>
    <t xml:space="preserve">RPY-0002866</t>
  </si>
  <si>
    <t xml:space="preserve">RPY-0002867</t>
  </si>
  <si>
    <t xml:space="preserve">RPY-0002868</t>
  </si>
  <si>
    <t xml:space="preserve">RPY-0002869</t>
  </si>
  <si>
    <t xml:space="preserve">RPY-0002870</t>
  </si>
  <si>
    <t xml:space="preserve">RPY-0002871</t>
  </si>
  <si>
    <t xml:space="preserve">RPY-0002872</t>
  </si>
  <si>
    <t xml:space="preserve">RPY-0002873</t>
  </si>
  <si>
    <t xml:space="preserve">RPY-0002874</t>
  </si>
  <si>
    <t xml:space="preserve">RPY-0002875</t>
  </si>
  <si>
    <t xml:space="preserve">RPY-0002876</t>
  </si>
  <si>
    <t xml:space="preserve">RPY-0002877</t>
  </si>
  <si>
    <t xml:space="preserve">RPY-0002878</t>
  </si>
  <si>
    <t xml:space="preserve">RPY-0002879</t>
  </si>
  <si>
    <t xml:space="preserve">RPY-0002880</t>
  </si>
  <si>
    <t xml:space="preserve">RPY-0002881</t>
  </si>
  <si>
    <t xml:space="preserve">RPY-0002882</t>
  </si>
  <si>
    <t xml:space="preserve">RPY-0002883</t>
  </si>
  <si>
    <t xml:space="preserve">RPY-0002884</t>
  </si>
  <si>
    <t xml:space="preserve">RPY-0002885</t>
  </si>
  <si>
    <t xml:space="preserve">RPY-0002886</t>
  </si>
  <si>
    <t xml:space="preserve">RPY-0002887</t>
  </si>
  <si>
    <t xml:space="preserve">RPY-0002888</t>
  </si>
  <si>
    <t xml:space="preserve">RPY-0002889</t>
  </si>
  <si>
    <t xml:space="preserve">RPY-0002890</t>
  </si>
  <si>
    <t xml:space="preserve">RPY-0002891</t>
  </si>
  <si>
    <t xml:space="preserve">RPY-0002892</t>
  </si>
  <si>
    <t xml:space="preserve">RPY-0002893</t>
  </si>
  <si>
    <t xml:space="preserve">RPY-0002894</t>
  </si>
  <si>
    <t xml:space="preserve">RPY-0002895</t>
  </si>
  <si>
    <t xml:space="preserve">RPY-0002896</t>
  </si>
  <si>
    <t xml:space="preserve">RPY-0002897</t>
  </si>
  <si>
    <t xml:space="preserve">RPY-0002898</t>
  </si>
  <si>
    <t xml:space="preserve">RPY-0002899</t>
  </si>
  <si>
    <t xml:space="preserve">RPY-0002900</t>
  </si>
  <si>
    <t xml:space="preserve">RPY-0002901</t>
  </si>
  <si>
    <t xml:space="preserve">RPY-0002902</t>
  </si>
  <si>
    <t xml:space="preserve">RPY-0002903</t>
  </si>
  <si>
    <t xml:space="preserve">RPY-0002904</t>
  </si>
  <si>
    <t xml:space="preserve">RPY-0002905</t>
  </si>
  <si>
    <t xml:space="preserve">RPY-0002906</t>
  </si>
  <si>
    <t xml:space="preserve">RPY-0002907</t>
  </si>
  <si>
    <t xml:space="preserve">RPY-0002908</t>
  </si>
  <si>
    <t xml:space="preserve">RPY-0002909</t>
  </si>
  <si>
    <t xml:space="preserve">RPY-0002910</t>
  </si>
  <si>
    <t xml:space="preserve">RPY-0002911</t>
  </si>
  <si>
    <t xml:space="preserve">RPY-0002912</t>
  </si>
  <si>
    <t xml:space="preserve">RPY-0002913</t>
  </si>
  <si>
    <t xml:space="preserve">RPY-0002914</t>
  </si>
  <si>
    <t xml:space="preserve">RPY-0002915</t>
  </si>
  <si>
    <t xml:space="preserve">RPY-0002916</t>
  </si>
  <si>
    <t xml:space="preserve">RPY-0002917</t>
  </si>
  <si>
    <t xml:space="preserve">RPY-0002918</t>
  </si>
  <si>
    <t xml:space="preserve">RPY-0002919</t>
  </si>
  <si>
    <t xml:space="preserve">RPY-0002920</t>
  </si>
  <si>
    <t xml:space="preserve">RPY-0002921</t>
  </si>
  <si>
    <t xml:space="preserve">RPY-0002922</t>
  </si>
  <si>
    <t xml:space="preserve">RPY-0002923</t>
  </si>
  <si>
    <t xml:space="preserve">RPY-0002924</t>
  </si>
  <si>
    <t xml:space="preserve">RPY-0002925</t>
  </si>
  <si>
    <t xml:space="preserve">RPY-0002926</t>
  </si>
  <si>
    <t xml:space="preserve">RPY-0002927</t>
  </si>
  <si>
    <t xml:space="preserve">RPY-0002928</t>
  </si>
  <si>
    <t xml:space="preserve">RPY-0002929</t>
  </si>
  <si>
    <t xml:space="preserve">RPY-0002930</t>
  </si>
  <si>
    <t xml:space="preserve">RPY-0002931</t>
  </si>
  <si>
    <t xml:space="preserve">RPY-0002932</t>
  </si>
  <si>
    <t xml:space="preserve">RPY-0002933</t>
  </si>
  <si>
    <t xml:space="preserve">RPY-0002934</t>
  </si>
  <si>
    <t xml:space="preserve">RPY-0002935</t>
  </si>
  <si>
    <t xml:space="preserve">RPY-0002936</t>
  </si>
  <si>
    <t xml:space="preserve">RPY-0002937</t>
  </si>
  <si>
    <t xml:space="preserve">RPY-0002938</t>
  </si>
  <si>
    <t xml:space="preserve">RPY-0002939</t>
  </si>
  <si>
    <t xml:space="preserve">RPY-0002940</t>
  </si>
  <si>
    <t xml:space="preserve">RPY-0002941</t>
  </si>
  <si>
    <t xml:space="preserve">RPY-0002942</t>
  </si>
  <si>
    <t xml:space="preserve">RPY-0002943</t>
  </si>
  <si>
    <t xml:space="preserve">RPY-0002944</t>
  </si>
  <si>
    <t xml:space="preserve">RPY-0002945</t>
  </si>
  <si>
    <t xml:space="preserve">RPY-0002946</t>
  </si>
  <si>
    <t xml:space="preserve">RPY-0002947</t>
  </si>
  <si>
    <t xml:space="preserve">RPY-0002948</t>
  </si>
  <si>
    <t xml:space="preserve">RPY-0002949</t>
  </si>
  <si>
    <t xml:space="preserve">RPY-0002950</t>
  </si>
  <si>
    <t xml:space="preserve">RPY-0002951</t>
  </si>
  <si>
    <t xml:space="preserve">RPY-0002952</t>
  </si>
  <si>
    <t xml:space="preserve">RPY-0002953</t>
  </si>
  <si>
    <t xml:space="preserve">RPY-0002954</t>
  </si>
  <si>
    <t xml:space="preserve">RPY-0002955</t>
  </si>
  <si>
    <t xml:space="preserve">RPY-0002956</t>
  </si>
  <si>
    <t xml:space="preserve">RPY-0002957</t>
  </si>
  <si>
    <t xml:space="preserve">RPY-0002958</t>
  </si>
  <si>
    <t xml:space="preserve">RPY-0002959</t>
  </si>
  <si>
    <t xml:space="preserve">RPY-0002960</t>
  </si>
  <si>
    <t xml:space="preserve">RPY-0002961</t>
  </si>
  <si>
    <t xml:space="preserve">RPY-0002962</t>
  </si>
  <si>
    <t xml:space="preserve">RPY-0002963</t>
  </si>
  <si>
    <t xml:space="preserve">RPY-0002964</t>
  </si>
  <si>
    <t xml:space="preserve">RPY-0002965</t>
  </si>
  <si>
    <t xml:space="preserve">RPY-0002966</t>
  </si>
  <si>
    <t xml:space="preserve">RPY-0002967</t>
  </si>
  <si>
    <t xml:space="preserve">RPY-0002968</t>
  </si>
  <si>
    <t xml:space="preserve">RPY-0002969</t>
  </si>
  <si>
    <t xml:space="preserve">RPY-0002970</t>
  </si>
  <si>
    <t xml:space="preserve">RPY-0002971</t>
  </si>
  <si>
    <t xml:space="preserve">RPY-0002972</t>
  </si>
  <si>
    <t xml:space="preserve">RPY-0002973</t>
  </si>
  <si>
    <t xml:space="preserve">RPY-0002974</t>
  </si>
  <si>
    <t xml:space="preserve">RPY-0002975</t>
  </si>
  <si>
    <t xml:space="preserve">RPY-0002976</t>
  </si>
  <si>
    <t xml:space="preserve">RPY-0002977</t>
  </si>
  <si>
    <t xml:space="preserve">RPY-0002978</t>
  </si>
  <si>
    <t xml:space="preserve">RPY-0002979</t>
  </si>
  <si>
    <t xml:space="preserve">RPY-0002980</t>
  </si>
  <si>
    <t xml:space="preserve">RPY-0002981</t>
  </si>
  <si>
    <t xml:space="preserve">RPY-0002982</t>
  </si>
  <si>
    <t xml:space="preserve">RPY-0002983</t>
  </si>
  <si>
    <t xml:space="preserve">RPY-0002984</t>
  </si>
  <si>
    <t xml:space="preserve">RPY-0002985</t>
  </si>
  <si>
    <t xml:space="preserve">RPY-0002986</t>
  </si>
  <si>
    <t xml:space="preserve">RPY-0002987</t>
  </si>
  <si>
    <t xml:space="preserve">RPY-0002988</t>
  </si>
  <si>
    <t xml:space="preserve">RPY-0002989</t>
  </si>
  <si>
    <t xml:space="preserve">RPY-0002990</t>
  </si>
  <si>
    <t xml:space="preserve">RPY-0002991</t>
  </si>
  <si>
    <t xml:space="preserve">RPY-0002992</t>
  </si>
  <si>
    <t xml:space="preserve">RPY-0002993</t>
  </si>
  <si>
    <t xml:space="preserve">RPY-0002994</t>
  </si>
  <si>
    <t xml:space="preserve">RPY-0002995</t>
  </si>
  <si>
    <t xml:space="preserve">RPY-0002996</t>
  </si>
  <si>
    <t xml:space="preserve">RPY-0002997</t>
  </si>
  <si>
    <t xml:space="preserve">RPY-0002998</t>
  </si>
  <si>
    <t xml:space="preserve">RPY-0002999</t>
  </si>
  <si>
    <t xml:space="preserve">RPY-0003000</t>
  </si>
  <si>
    <t xml:space="preserve">RPY-0003001</t>
  </si>
  <si>
    <t xml:space="preserve">RPY-0003002</t>
  </si>
  <si>
    <t xml:space="preserve">RPY-0003003</t>
  </si>
  <si>
    <t xml:space="preserve">RPY-0003004</t>
  </si>
  <si>
    <t xml:space="preserve">RPY-0003005</t>
  </si>
  <si>
    <t xml:space="preserve">RPY-0003006</t>
  </si>
  <si>
    <t xml:space="preserve">RPY-0003007</t>
  </si>
  <si>
    <t xml:space="preserve">RPY-0003008</t>
  </si>
  <si>
    <t xml:space="preserve">RPY-0003009</t>
  </si>
  <si>
    <t xml:space="preserve">RPY-0003010</t>
  </si>
  <si>
    <t xml:space="preserve">RPY-0003011</t>
  </si>
  <si>
    <t xml:space="preserve">RPY-0003012</t>
  </si>
  <si>
    <t xml:space="preserve">RPY-0003013</t>
  </si>
  <si>
    <t xml:space="preserve">RPY-0003014</t>
  </si>
  <si>
    <t xml:space="preserve">RPY-0003015</t>
  </si>
  <si>
    <t xml:space="preserve">RPY-0003016</t>
  </si>
  <si>
    <t xml:space="preserve">RPY-0003017</t>
  </si>
  <si>
    <t xml:space="preserve">RPY-0003018</t>
  </si>
  <si>
    <t xml:space="preserve">RPY-0003019</t>
  </si>
  <si>
    <t xml:space="preserve">RPY-0003020</t>
  </si>
  <si>
    <t xml:space="preserve">RPY-0003021</t>
  </si>
  <si>
    <t xml:space="preserve">RPY-0003022</t>
  </si>
  <si>
    <t xml:space="preserve">RPY-0003023</t>
  </si>
  <si>
    <t xml:space="preserve">RPY-0003024</t>
  </si>
  <si>
    <t xml:space="preserve">RPY-0003025</t>
  </si>
  <si>
    <t xml:space="preserve">RPY-0003026</t>
  </si>
  <si>
    <t xml:space="preserve">RPY-0003027</t>
  </si>
  <si>
    <t xml:space="preserve">RPY-0003028</t>
  </si>
  <si>
    <t xml:space="preserve">RPY-0003029</t>
  </si>
  <si>
    <t xml:space="preserve">RPY-0003030</t>
  </si>
  <si>
    <t xml:space="preserve">RPY-0003031</t>
  </si>
  <si>
    <t xml:space="preserve">RPY-0003032</t>
  </si>
  <si>
    <t xml:space="preserve">RPY-0003033</t>
  </si>
  <si>
    <t xml:space="preserve">RPY-0003034</t>
  </si>
  <si>
    <t xml:space="preserve">RPY-0003035</t>
  </si>
  <si>
    <t xml:space="preserve">RPY-0003036</t>
  </si>
  <si>
    <t xml:space="preserve">RPY-0003037</t>
  </si>
  <si>
    <t xml:space="preserve">RPY-0003038</t>
  </si>
  <si>
    <t xml:space="preserve">RPY-0003039</t>
  </si>
  <si>
    <t xml:space="preserve">RPY-0003040</t>
  </si>
  <si>
    <t xml:space="preserve">RPY-0003041</t>
  </si>
  <si>
    <t xml:space="preserve">RPY-0003042</t>
  </si>
  <si>
    <t xml:space="preserve">RPY-0003043</t>
  </si>
  <si>
    <t xml:space="preserve">RPY-0003044</t>
  </si>
  <si>
    <t xml:space="preserve">RPY-0003045</t>
  </si>
  <si>
    <t xml:space="preserve">RPY-0003046</t>
  </si>
  <si>
    <t xml:space="preserve">RPY-0003047</t>
  </si>
  <si>
    <t xml:space="preserve">RPY-0003048</t>
  </si>
  <si>
    <t xml:space="preserve">RPY-0003049</t>
  </si>
  <si>
    <t xml:space="preserve">RPY-0003050</t>
  </si>
  <si>
    <t xml:space="preserve">RPY-0003051</t>
  </si>
  <si>
    <t xml:space="preserve">RPY-0003052</t>
  </si>
  <si>
    <t xml:space="preserve">RPY-0003053</t>
  </si>
  <si>
    <t xml:space="preserve">RPY-0003054</t>
  </si>
  <si>
    <t xml:space="preserve">RPY-0003055</t>
  </si>
  <si>
    <t xml:space="preserve">RPY-0003056</t>
  </si>
  <si>
    <t xml:space="preserve">RPY-0003057</t>
  </si>
  <si>
    <t xml:space="preserve">RPY-0003058</t>
  </si>
  <si>
    <t xml:space="preserve">RPY-0003059</t>
  </si>
  <si>
    <t xml:space="preserve">RPY-0003060</t>
  </si>
  <si>
    <t xml:space="preserve">RPY-0003061</t>
  </si>
  <si>
    <t xml:space="preserve">RPY-0003062</t>
  </si>
  <si>
    <t xml:space="preserve">RPY-0003063</t>
  </si>
  <si>
    <t xml:space="preserve">RPY-0003064</t>
  </si>
  <si>
    <t xml:space="preserve">RPY-0003065</t>
  </si>
  <si>
    <t xml:space="preserve">RPY-0003066</t>
  </si>
  <si>
    <t xml:space="preserve">RPY-0003067</t>
  </si>
  <si>
    <t xml:space="preserve">RPY-0003068</t>
  </si>
  <si>
    <t xml:space="preserve">RPY-0003069</t>
  </si>
  <si>
    <t xml:space="preserve">RPY-0003070</t>
  </si>
  <si>
    <t xml:space="preserve">RPY-0003071</t>
  </si>
  <si>
    <t xml:space="preserve">RPY-0003072</t>
  </si>
  <si>
    <t xml:space="preserve">RPY-0003073</t>
  </si>
  <si>
    <t xml:space="preserve">RPY-0003074</t>
  </si>
  <si>
    <t xml:space="preserve">RPY-0003075</t>
  </si>
  <si>
    <t xml:space="preserve">RPY-0003076</t>
  </si>
  <si>
    <t xml:space="preserve">RPY-0003077</t>
  </si>
  <si>
    <t xml:space="preserve">RPY-0003078</t>
  </si>
  <si>
    <t xml:space="preserve">RPY-0003079</t>
  </si>
  <si>
    <t xml:space="preserve">RPY-0003080</t>
  </si>
  <si>
    <t xml:space="preserve">RPY-0003081</t>
  </si>
  <si>
    <t xml:space="preserve">RPY-0003082</t>
  </si>
  <si>
    <t xml:space="preserve">RPY-0003083</t>
  </si>
  <si>
    <t xml:space="preserve">RPY-0003084</t>
  </si>
  <si>
    <t xml:space="preserve">RPY-0003085</t>
  </si>
  <si>
    <t xml:space="preserve">RPY-0003086</t>
  </si>
  <si>
    <t xml:space="preserve">RPY-0003087</t>
  </si>
  <si>
    <t xml:space="preserve">RPY-0003088</t>
  </si>
  <si>
    <t xml:space="preserve">RPY-0003089</t>
  </si>
  <si>
    <t xml:space="preserve">RPY-0003090</t>
  </si>
  <si>
    <t xml:space="preserve">RPY-0003091</t>
  </si>
  <si>
    <t xml:space="preserve">RPY-0003092</t>
  </si>
  <si>
    <t xml:space="preserve">RPY-0003093</t>
  </si>
  <si>
    <t xml:space="preserve">RPY-0003094</t>
  </si>
  <si>
    <t xml:space="preserve">RPY-0003095</t>
  </si>
  <si>
    <t xml:space="preserve">RPY-0003096</t>
  </si>
  <si>
    <t xml:space="preserve">RPY-0003097</t>
  </si>
  <si>
    <t xml:space="preserve">RPY-0003098</t>
  </si>
  <si>
    <t xml:space="preserve">RPY-0003099</t>
  </si>
  <si>
    <t xml:space="preserve">RPY-0003100</t>
  </si>
  <si>
    <t xml:space="preserve">RPY-0003101</t>
  </si>
  <si>
    <t xml:space="preserve">RPY-0003102</t>
  </si>
  <si>
    <t xml:space="preserve">RPY-0003103</t>
  </si>
  <si>
    <t xml:space="preserve">RPY-0003104</t>
  </si>
  <si>
    <t xml:space="preserve">RPY-0003105</t>
  </si>
  <si>
    <t xml:space="preserve">RPY-0003106</t>
  </si>
  <si>
    <t xml:space="preserve">RPY-0003107</t>
  </si>
  <si>
    <t xml:space="preserve">RPY-0003108</t>
  </si>
  <si>
    <t xml:space="preserve">RPY-0003109</t>
  </si>
  <si>
    <t xml:space="preserve">RPY-0003110</t>
  </si>
  <si>
    <t xml:space="preserve">RPY-0003111</t>
  </si>
  <si>
    <t xml:space="preserve">RPY-0003112</t>
  </si>
  <si>
    <t xml:space="preserve">RPY-0003113</t>
  </si>
  <si>
    <t xml:space="preserve">RPY-0003114</t>
  </si>
  <si>
    <t xml:space="preserve">RPY-0003115</t>
  </si>
  <si>
    <t xml:space="preserve">RPY-0003116</t>
  </si>
  <si>
    <t xml:space="preserve">RPY-0003117</t>
  </si>
  <si>
    <t xml:space="preserve">RPY-0003118</t>
  </si>
  <si>
    <t xml:space="preserve">RPY-0003119</t>
  </si>
  <si>
    <t xml:space="preserve">RPY-0003120</t>
  </si>
  <si>
    <t xml:space="preserve">RPY-0003121</t>
  </si>
  <si>
    <t xml:space="preserve">RPY-0003122</t>
  </si>
  <si>
    <t xml:space="preserve">RPY-0003123</t>
  </si>
  <si>
    <t xml:space="preserve">RPY-0003124</t>
  </si>
  <si>
    <t xml:space="preserve">RPY-0003125</t>
  </si>
  <si>
    <t xml:space="preserve">RPY-0003126</t>
  </si>
  <si>
    <t xml:space="preserve">RPY-0003127</t>
  </si>
  <si>
    <t xml:space="preserve">RPY-0003128</t>
  </si>
  <si>
    <t xml:space="preserve">RPY-0003129</t>
  </si>
  <si>
    <t xml:space="preserve">RPY-0003130</t>
  </si>
  <si>
    <t xml:space="preserve">RPY-0003131</t>
  </si>
  <si>
    <t xml:space="preserve">RPY-0003132</t>
  </si>
  <si>
    <t xml:space="preserve">RPY-0003133</t>
  </si>
  <si>
    <t xml:space="preserve">RPY-0003134</t>
  </si>
  <si>
    <t xml:space="preserve">RPY-0003135</t>
  </si>
  <si>
    <t xml:space="preserve">RPY-0003136</t>
  </si>
  <si>
    <t xml:space="preserve">RPY-0003137</t>
  </si>
  <si>
    <t xml:space="preserve">RPY-0003138</t>
  </si>
  <si>
    <t xml:space="preserve">RPY-0003139</t>
  </si>
  <si>
    <t xml:space="preserve">RPY-0003140</t>
  </si>
  <si>
    <t xml:space="preserve">RPY-0003141</t>
  </si>
  <si>
    <t xml:space="preserve">RPY-0003142</t>
  </si>
  <si>
    <t xml:space="preserve">RPY-0003143</t>
  </si>
  <si>
    <t xml:space="preserve">RPY-0003144</t>
  </si>
  <si>
    <t xml:space="preserve">RPY-0003145</t>
  </si>
  <si>
    <t xml:space="preserve">RPY-0003146</t>
  </si>
  <si>
    <t xml:space="preserve">RPY-0003147</t>
  </si>
  <si>
    <t xml:space="preserve">RPY-0003148</t>
  </si>
  <si>
    <t xml:space="preserve">RPY-0003149</t>
  </si>
  <si>
    <t xml:space="preserve">RPY-0003150</t>
  </si>
  <si>
    <t xml:space="preserve">RPY-0003151</t>
  </si>
  <si>
    <t xml:space="preserve">RPY-0003152</t>
  </si>
  <si>
    <t xml:space="preserve">RPY-0003153</t>
  </si>
  <si>
    <t xml:space="preserve">RPY-0003154</t>
  </si>
  <si>
    <t xml:space="preserve">RPY-0003155</t>
  </si>
  <si>
    <t xml:space="preserve">RPY-0003156</t>
  </si>
  <si>
    <t xml:space="preserve">RPY-0003157</t>
  </si>
  <si>
    <t xml:space="preserve">RPY-0003158</t>
  </si>
  <si>
    <t xml:space="preserve">RPY-0003159</t>
  </si>
  <si>
    <t xml:space="preserve">RPY-0003160</t>
  </si>
  <si>
    <t xml:space="preserve">RPY-0003161</t>
  </si>
  <si>
    <t xml:space="preserve">RPY-0003162</t>
  </si>
  <si>
    <t xml:space="preserve">RPY-0003163</t>
  </si>
  <si>
    <t xml:space="preserve">RPY-0003164</t>
  </si>
  <si>
    <t xml:space="preserve">RPY-0003165</t>
  </si>
  <si>
    <t xml:space="preserve">RPY-0003166</t>
  </si>
  <si>
    <t xml:space="preserve">RPY-0003167</t>
  </si>
  <si>
    <t xml:space="preserve">RPY-0003168</t>
  </si>
  <si>
    <t xml:space="preserve">RPY-0003169</t>
  </si>
  <si>
    <t xml:space="preserve">RPY-0003170</t>
  </si>
  <si>
    <t xml:space="preserve">RPY-0003171</t>
  </si>
  <si>
    <t xml:space="preserve">RPY-0003172</t>
  </si>
  <si>
    <t xml:space="preserve">RPY-0003173</t>
  </si>
  <si>
    <t xml:space="preserve">RPY-0003174</t>
  </si>
  <si>
    <t xml:space="preserve">RPY-0003175</t>
  </si>
  <si>
    <t xml:space="preserve">RPY-0003176</t>
  </si>
  <si>
    <t xml:space="preserve">RPY-0003177</t>
  </si>
  <si>
    <t xml:space="preserve">RPY-0003178</t>
  </si>
  <si>
    <t xml:space="preserve">RPY-0003179</t>
  </si>
  <si>
    <t xml:space="preserve">RPY-0003180</t>
  </si>
  <si>
    <t xml:space="preserve">RPY-0003181</t>
  </si>
  <si>
    <t xml:space="preserve">RPY-0003182</t>
  </si>
  <si>
    <t xml:space="preserve">RPY-0003183</t>
  </si>
  <si>
    <t xml:space="preserve">RPY-0003184</t>
  </si>
  <si>
    <t xml:space="preserve">RPY-0003185</t>
  </si>
  <si>
    <t xml:space="preserve">RPY-0003186</t>
  </si>
  <si>
    <t xml:space="preserve">RPY-0003187</t>
  </si>
  <si>
    <t xml:space="preserve">RPY-0003188</t>
  </si>
  <si>
    <t xml:space="preserve">RPY-0003189</t>
  </si>
  <si>
    <t xml:space="preserve">RPY-0003190</t>
  </si>
  <si>
    <t xml:space="preserve">RPY-0003191</t>
  </si>
  <si>
    <t xml:space="preserve">RPY-0003192</t>
  </si>
  <si>
    <t xml:space="preserve">RPY-0003193</t>
  </si>
  <si>
    <t xml:space="preserve">RPY-0003194</t>
  </si>
  <si>
    <t xml:space="preserve">RPY-0003195</t>
  </si>
  <si>
    <t xml:space="preserve">RPY-0003196</t>
  </si>
  <si>
    <t xml:space="preserve">RPY-0003197</t>
  </si>
  <si>
    <t xml:space="preserve">RPY-0003198</t>
  </si>
  <si>
    <t xml:space="preserve">RPY-0003199</t>
  </si>
  <si>
    <t xml:space="preserve">RPY-0003200</t>
  </si>
  <si>
    <t xml:space="preserve">RPY-0003201</t>
  </si>
  <si>
    <t xml:space="preserve">RPY-0003202</t>
  </si>
  <si>
    <t xml:space="preserve">RPY-0003203</t>
  </si>
  <si>
    <t xml:space="preserve">RPY-0003204</t>
  </si>
  <si>
    <t xml:space="preserve">RPY-0003205</t>
  </si>
  <si>
    <t xml:space="preserve">RPY-0003206</t>
  </si>
  <si>
    <t xml:space="preserve">RPY-0003207</t>
  </si>
  <si>
    <t xml:space="preserve">RPY-0003208</t>
  </si>
  <si>
    <t xml:space="preserve">RPY-0003209</t>
  </si>
  <si>
    <t xml:space="preserve">RPY-0003210</t>
  </si>
  <si>
    <t xml:space="preserve">RPY-0003211</t>
  </si>
  <si>
    <t xml:space="preserve">RPY-0003212</t>
  </si>
  <si>
    <t xml:space="preserve">RPY-0003213</t>
  </si>
  <si>
    <t xml:space="preserve">RPY-0003214</t>
  </si>
  <si>
    <t xml:space="preserve">RPY-0003215</t>
  </si>
  <si>
    <t xml:space="preserve">RPY-0003216</t>
  </si>
  <si>
    <t xml:space="preserve">RPY-0003217</t>
  </si>
  <si>
    <t xml:space="preserve">RPY-0003218</t>
  </si>
  <si>
    <t xml:space="preserve">RPY-0003219</t>
  </si>
  <si>
    <t xml:space="preserve">RPY-0003220</t>
  </si>
  <si>
    <t xml:space="preserve">RPY-0003221</t>
  </si>
  <si>
    <t xml:space="preserve">RPY-0003222</t>
  </si>
  <si>
    <t xml:space="preserve">RPY-0003223</t>
  </si>
  <si>
    <t xml:space="preserve">RPY-0003224</t>
  </si>
  <si>
    <t xml:space="preserve">RPY-0003225</t>
  </si>
  <si>
    <t xml:space="preserve">RPY-0003226</t>
  </si>
  <si>
    <t xml:space="preserve">RPY-0003227</t>
  </si>
  <si>
    <t xml:space="preserve">RPY-0003228</t>
  </si>
  <si>
    <t xml:space="preserve">RPY-0003229</t>
  </si>
  <si>
    <t xml:space="preserve">RPY-0003230</t>
  </si>
  <si>
    <t xml:space="preserve">RPY-0003231</t>
  </si>
  <si>
    <t xml:space="preserve">RPY-0003232</t>
  </si>
  <si>
    <t xml:space="preserve">RPY-0003233</t>
  </si>
  <si>
    <t xml:space="preserve">RPY-0003234</t>
  </si>
  <si>
    <t xml:space="preserve">RPY-0003235</t>
  </si>
  <si>
    <t xml:space="preserve">RPY-0003236</t>
  </si>
  <si>
    <t xml:space="preserve">RPY-0003237</t>
  </si>
  <si>
    <t xml:space="preserve">RPY-0003238</t>
  </si>
  <si>
    <t xml:space="preserve">RPY-0003239</t>
  </si>
  <si>
    <t xml:space="preserve">RPY-0003240</t>
  </si>
  <si>
    <t xml:space="preserve">RPY-0003241</t>
  </si>
  <si>
    <t xml:space="preserve">RPY-0003242</t>
  </si>
  <si>
    <t xml:space="preserve">RPY-0003243</t>
  </si>
  <si>
    <t xml:space="preserve">RPY-0003244</t>
  </si>
  <si>
    <t xml:space="preserve">RPY-0003245</t>
  </si>
  <si>
    <t xml:space="preserve">RPY-0003246</t>
  </si>
  <si>
    <t xml:space="preserve">RPY-0003247</t>
  </si>
  <si>
    <t xml:space="preserve">RPY-0003248</t>
  </si>
  <si>
    <t xml:space="preserve">RPY-0003249</t>
  </si>
  <si>
    <t xml:space="preserve">RPY-0003250</t>
  </si>
  <si>
    <t xml:space="preserve">RPY-0003251</t>
  </si>
  <si>
    <t xml:space="preserve">RPY-0003252</t>
  </si>
  <si>
    <t xml:space="preserve">RPY-0003253</t>
  </si>
  <si>
    <t xml:space="preserve">RPY-0003254</t>
  </si>
  <si>
    <t xml:space="preserve">RPY-0003255</t>
  </si>
  <si>
    <t xml:space="preserve">RPY-0003256</t>
  </si>
  <si>
    <t xml:space="preserve">RPY-0003257</t>
  </si>
  <si>
    <t xml:space="preserve">RPY-0003258</t>
  </si>
  <si>
    <t xml:space="preserve">RPY-0003259</t>
  </si>
  <si>
    <t xml:space="preserve">RPY-0003260</t>
  </si>
  <si>
    <t xml:space="preserve">RPY-0003261</t>
  </si>
  <si>
    <t xml:space="preserve">RPY-0003262</t>
  </si>
  <si>
    <t xml:space="preserve">RPY-0003263</t>
  </si>
  <si>
    <t xml:space="preserve">RPY-0003264</t>
  </si>
  <si>
    <t xml:space="preserve">RPY-0003265</t>
  </si>
  <si>
    <t xml:space="preserve">RPY-0003266</t>
  </si>
  <si>
    <t xml:space="preserve">RPY-0003267</t>
  </si>
  <si>
    <t xml:space="preserve">RPY-0003268</t>
  </si>
  <si>
    <t xml:space="preserve">RPY-0003269</t>
  </si>
  <si>
    <t xml:space="preserve">RPY-0003270</t>
  </si>
  <si>
    <t xml:space="preserve">RPY-0003271</t>
  </si>
  <si>
    <t xml:space="preserve">RPY-0003272</t>
  </si>
  <si>
    <t xml:space="preserve">RPY-0003273</t>
  </si>
  <si>
    <t xml:space="preserve">RPY-0003274</t>
  </si>
  <si>
    <t xml:space="preserve">RPY-0003275</t>
  </si>
  <si>
    <t xml:space="preserve">RPY-0003276</t>
  </si>
  <si>
    <t xml:space="preserve">RPY-0003277</t>
  </si>
  <si>
    <t xml:space="preserve">RPY-0003278</t>
  </si>
  <si>
    <t xml:space="preserve">RPY-0003279</t>
  </si>
  <si>
    <t xml:space="preserve">RPY-0003280</t>
  </si>
  <si>
    <t xml:space="preserve">RPY-0003281</t>
  </si>
  <si>
    <t xml:space="preserve">RPY-0003282</t>
  </si>
  <si>
    <t xml:space="preserve">RPY-0003283</t>
  </si>
  <si>
    <t xml:space="preserve">RPY-0003284</t>
  </si>
  <si>
    <t xml:space="preserve">RPY-0003285</t>
  </si>
  <si>
    <t xml:space="preserve">RPY-0003286</t>
  </si>
  <si>
    <t xml:space="preserve">RPY-0003287</t>
  </si>
  <si>
    <t xml:space="preserve">RPY-0003288</t>
  </si>
  <si>
    <t xml:space="preserve">RPY-0003289</t>
  </si>
  <si>
    <t xml:space="preserve">RPY-0003290</t>
  </si>
  <si>
    <t xml:space="preserve">RPY-0003291</t>
  </si>
  <si>
    <t xml:space="preserve">RPY-0003292</t>
  </si>
  <si>
    <t xml:space="preserve">RPY-0003293</t>
  </si>
  <si>
    <t xml:space="preserve">RPY-0003294</t>
  </si>
  <si>
    <t xml:space="preserve">RPY-0003295</t>
  </si>
  <si>
    <t xml:space="preserve">RPY-0003296</t>
  </si>
  <si>
    <t xml:space="preserve">RPY-0003297</t>
  </si>
  <si>
    <t xml:space="preserve">RPY-0003298</t>
  </si>
  <si>
    <t xml:space="preserve">RPY-0003299</t>
  </si>
  <si>
    <t xml:space="preserve">RPY-0003300</t>
  </si>
  <si>
    <t xml:space="preserve">RPY-0003301</t>
  </si>
  <si>
    <t xml:space="preserve">RPY-0003302</t>
  </si>
  <si>
    <t xml:space="preserve">RPY-0003303</t>
  </si>
  <si>
    <t xml:space="preserve">RPY-0003304</t>
  </si>
  <si>
    <t xml:space="preserve">RPY-0003305</t>
  </si>
  <si>
    <t xml:space="preserve">RPY-0003306</t>
  </si>
  <si>
    <t xml:space="preserve">RPY-0003307</t>
  </si>
  <si>
    <t xml:space="preserve">RPY-0003308</t>
  </si>
  <si>
    <t xml:space="preserve">RPY-0003309</t>
  </si>
  <si>
    <t xml:space="preserve">RPY-0003310</t>
  </si>
  <si>
    <t xml:space="preserve">RPY-0003311</t>
  </si>
  <si>
    <t xml:space="preserve">RPY-0003312</t>
  </si>
  <si>
    <t xml:space="preserve">RPY-0003313</t>
  </si>
  <si>
    <t xml:space="preserve">RPY-0003314</t>
  </si>
  <si>
    <t xml:space="preserve">RPY-0003315</t>
  </si>
  <si>
    <t xml:space="preserve">RPY-0003316</t>
  </si>
  <si>
    <t xml:space="preserve">RPY-0003317</t>
  </si>
  <si>
    <t xml:space="preserve">RPY-0003318</t>
  </si>
  <si>
    <t xml:space="preserve">RPY-0003319</t>
  </si>
  <si>
    <t xml:space="preserve">RPY-0003320</t>
  </si>
  <si>
    <t xml:space="preserve">RPY-0003321</t>
  </si>
  <si>
    <t xml:space="preserve">RPY-0003322</t>
  </si>
  <si>
    <t xml:space="preserve">RPY-0003323</t>
  </si>
  <si>
    <t xml:space="preserve">RPY-0003324</t>
  </si>
  <si>
    <t xml:space="preserve">RPY-0003325</t>
  </si>
  <si>
    <t xml:space="preserve">RPY-0003326</t>
  </si>
  <si>
    <t xml:space="preserve">RPY-0003327</t>
  </si>
  <si>
    <t xml:space="preserve">RPY-0003328</t>
  </si>
  <si>
    <t xml:space="preserve">RPY-0003329</t>
  </si>
  <si>
    <t xml:space="preserve">RPY-0003330</t>
  </si>
  <si>
    <t xml:space="preserve">RPY-0003331</t>
  </si>
  <si>
    <t xml:space="preserve">RPY-0003332</t>
  </si>
  <si>
    <t xml:space="preserve">RPY-0003333</t>
  </si>
  <si>
    <t xml:space="preserve">RPY-0003334</t>
  </si>
  <si>
    <t xml:space="preserve">RPY-0003335</t>
  </si>
  <si>
    <t xml:space="preserve">RPY-0003336</t>
  </si>
  <si>
    <t xml:space="preserve">RPY-0003337</t>
  </si>
  <si>
    <t xml:space="preserve">RPY-0003338</t>
  </si>
  <si>
    <t xml:space="preserve">RPY-0003339</t>
  </si>
  <si>
    <t xml:space="preserve">RPY-0003340</t>
  </si>
  <si>
    <t xml:space="preserve">RPY-0003341</t>
  </si>
  <si>
    <t xml:space="preserve">RPY-0003342</t>
  </si>
  <si>
    <t xml:space="preserve">RPY-0003343</t>
  </si>
  <si>
    <t xml:space="preserve">RPY-0003344</t>
  </si>
  <si>
    <t xml:space="preserve">RPY-0003345</t>
  </si>
  <si>
    <t xml:space="preserve">RPY-0003346</t>
  </si>
  <si>
    <t xml:space="preserve">RPY-0003347</t>
  </si>
  <si>
    <t xml:space="preserve">RPY-0003348</t>
  </si>
  <si>
    <t xml:space="preserve">RPY-0003349</t>
  </si>
  <si>
    <t xml:space="preserve">RPY-0003350</t>
  </si>
  <si>
    <t xml:space="preserve">RPY-0003351</t>
  </si>
  <si>
    <t xml:space="preserve">RPY-0003352</t>
  </si>
  <si>
    <t xml:space="preserve">RPY-0003353</t>
  </si>
  <si>
    <t xml:space="preserve">RPY-0003354</t>
  </si>
  <si>
    <t xml:space="preserve">RPY-0003355</t>
  </si>
  <si>
    <t xml:space="preserve">RPY-0003356</t>
  </si>
  <si>
    <t xml:space="preserve">RPY-0003357</t>
  </si>
  <si>
    <t xml:space="preserve">RPY-0003358</t>
  </si>
  <si>
    <t xml:space="preserve">RPY-0003359</t>
  </si>
  <si>
    <t xml:space="preserve">RPY-0003360</t>
  </si>
  <si>
    <t xml:space="preserve">RPY-0003361</t>
  </si>
  <si>
    <t xml:space="preserve">RPY-0003362</t>
  </si>
  <si>
    <t xml:space="preserve">RPY-0003363</t>
  </si>
  <si>
    <t xml:space="preserve">RPY-0003364</t>
  </si>
  <si>
    <t xml:space="preserve">RPY-0003365</t>
  </si>
  <si>
    <t xml:space="preserve">RPY-0003366</t>
  </si>
  <si>
    <t xml:space="preserve">RPY-0003367</t>
  </si>
  <si>
    <t xml:space="preserve">RPY-0003368</t>
  </si>
  <si>
    <t xml:space="preserve">RPY-0003369</t>
  </si>
  <si>
    <t xml:space="preserve">RPY-0003370</t>
  </si>
  <si>
    <t xml:space="preserve">RPY-0003371</t>
  </si>
  <si>
    <t xml:space="preserve">RPY-0003372</t>
  </si>
  <si>
    <t xml:space="preserve">RPY-0003373</t>
  </si>
  <si>
    <t xml:space="preserve">RPY-0003374</t>
  </si>
  <si>
    <t xml:space="preserve">RPY-0003375</t>
  </si>
  <si>
    <t xml:space="preserve">RPY-0003376</t>
  </si>
  <si>
    <t xml:space="preserve">RPY-0003377</t>
  </si>
  <si>
    <t xml:space="preserve">RPY-0003378</t>
  </si>
  <si>
    <t xml:space="preserve">RPY-0003379</t>
  </si>
  <si>
    <t xml:space="preserve">RPY-0003380</t>
  </si>
  <si>
    <t xml:space="preserve">RPY-0003381</t>
  </si>
  <si>
    <t xml:space="preserve">RPY-0003382</t>
  </si>
  <si>
    <t xml:space="preserve">RPY-0003383</t>
  </si>
  <si>
    <t xml:space="preserve">RPY-0003384</t>
  </si>
  <si>
    <t xml:space="preserve">RPY-0003385</t>
  </si>
  <si>
    <t xml:space="preserve">RPY-0003386</t>
  </si>
  <si>
    <t xml:space="preserve">RPY-0003387</t>
  </si>
  <si>
    <t xml:space="preserve">RPY-0003388</t>
  </si>
  <si>
    <t xml:space="preserve">RPY-0003389</t>
  </si>
  <si>
    <t xml:space="preserve">RPY-0003390</t>
  </si>
  <si>
    <t xml:space="preserve">RPY-0003391</t>
  </si>
  <si>
    <t xml:space="preserve">RPY-0003392</t>
  </si>
  <si>
    <t xml:space="preserve">RPY-0003393</t>
  </si>
  <si>
    <t xml:space="preserve">RPY-0003394</t>
  </si>
  <si>
    <t xml:space="preserve">RPY-0003395</t>
  </si>
  <si>
    <t xml:space="preserve">RPY-0003396</t>
  </si>
  <si>
    <t xml:space="preserve">RPY-0003397</t>
  </si>
  <si>
    <t xml:space="preserve">RPY-0003398</t>
  </si>
  <si>
    <t xml:space="preserve">RPY-0003399</t>
  </si>
  <si>
    <t xml:space="preserve">RPY-0003400</t>
  </si>
  <si>
    <t xml:space="preserve">RPY-0003401</t>
  </si>
  <si>
    <t xml:space="preserve">RPY-0003402</t>
  </si>
  <si>
    <t xml:space="preserve">RPY-0003403</t>
  </si>
  <si>
    <t xml:space="preserve">RPY-0003404</t>
  </si>
  <si>
    <t xml:space="preserve">RPY-0003405</t>
  </si>
  <si>
    <t xml:space="preserve">RPY-0003406</t>
  </si>
  <si>
    <t xml:space="preserve">RPY-0003407</t>
  </si>
  <si>
    <t xml:space="preserve">RPY-0003408</t>
  </si>
  <si>
    <t xml:space="preserve">RPY-0003409</t>
  </si>
  <si>
    <t xml:space="preserve">RPY-0003410</t>
  </si>
  <si>
    <t xml:space="preserve">RPY-0003411</t>
  </si>
  <si>
    <t xml:space="preserve">RPY-0003412</t>
  </si>
  <si>
    <t xml:space="preserve">RPY-0003413</t>
  </si>
  <si>
    <t xml:space="preserve">RPY-0003414</t>
  </si>
  <si>
    <t xml:space="preserve">RPY-0003415</t>
  </si>
  <si>
    <t xml:space="preserve">RPY-0003416</t>
  </si>
  <si>
    <t xml:space="preserve">RPY-0003417</t>
  </si>
  <si>
    <t xml:space="preserve">RPY-0003418</t>
  </si>
  <si>
    <t xml:space="preserve">RPY-0003419</t>
  </si>
  <si>
    <t xml:space="preserve">RPY-0003420</t>
  </si>
  <si>
    <t xml:space="preserve">RPY-0003421</t>
  </si>
  <si>
    <t xml:space="preserve">RPY-0003422</t>
  </si>
  <si>
    <t xml:space="preserve">RPY-0003423</t>
  </si>
  <si>
    <t xml:space="preserve">RPY-0003424</t>
  </si>
  <si>
    <t xml:space="preserve">RPY-0003425</t>
  </si>
  <si>
    <t xml:space="preserve">RPY-0003426</t>
  </si>
  <si>
    <t xml:space="preserve">RPY-0003427</t>
  </si>
  <si>
    <t xml:space="preserve">RPY-0003428</t>
  </si>
  <si>
    <t xml:space="preserve">RPY-0003429</t>
  </si>
  <si>
    <t xml:space="preserve">RPY-0003430</t>
  </si>
  <si>
    <t xml:space="preserve">RPY-0003431</t>
  </si>
  <si>
    <t xml:space="preserve">RPY-0003432</t>
  </si>
  <si>
    <t xml:space="preserve">RPY-0003433</t>
  </si>
  <si>
    <t xml:space="preserve">RPY-0003434</t>
  </si>
  <si>
    <t xml:space="preserve">RPY-0003435</t>
  </si>
  <si>
    <t xml:space="preserve">RPY-0003436</t>
  </si>
  <si>
    <t xml:space="preserve">RPY-0003437</t>
  </si>
  <si>
    <t xml:space="preserve">RPY-0003438</t>
  </si>
  <si>
    <t xml:space="preserve">RPY-0003439</t>
  </si>
  <si>
    <t xml:space="preserve">RPY-0003440</t>
  </si>
  <si>
    <t xml:space="preserve">RPY-0003441</t>
  </si>
  <si>
    <t xml:space="preserve">RPY-0003442</t>
  </si>
  <si>
    <t xml:space="preserve">RPY-0003443</t>
  </si>
  <si>
    <t xml:space="preserve">RPY-0003444</t>
  </si>
  <si>
    <t xml:space="preserve">RPY-0003445</t>
  </si>
  <si>
    <t xml:space="preserve">RPY-0003446</t>
  </si>
  <si>
    <t xml:space="preserve">RPY-0003447</t>
  </si>
  <si>
    <t xml:space="preserve">RPY-0003448</t>
  </si>
  <si>
    <t xml:space="preserve">RPY-0003449</t>
  </si>
  <si>
    <t xml:space="preserve">RPY-0003450</t>
  </si>
  <si>
    <t xml:space="preserve">RPY-0003451</t>
  </si>
  <si>
    <t xml:space="preserve">RPY-0003452</t>
  </si>
  <si>
    <t xml:space="preserve">RPY-0003453</t>
  </si>
  <si>
    <t xml:space="preserve">RPY-0003454</t>
  </si>
  <si>
    <t xml:space="preserve">RPY-0003455</t>
  </si>
  <si>
    <t xml:space="preserve">RPY-0003456</t>
  </si>
  <si>
    <t xml:space="preserve">RPY-0003457</t>
  </si>
  <si>
    <t xml:space="preserve">RPY-0003458</t>
  </si>
  <si>
    <t xml:space="preserve">RPY-0003459</t>
  </si>
  <si>
    <t xml:space="preserve">RPY-0003460</t>
  </si>
  <si>
    <t xml:space="preserve">RPY-0003461</t>
  </si>
  <si>
    <t xml:space="preserve">RPY-0003462</t>
  </si>
  <si>
    <t xml:space="preserve">RPY-0003463</t>
  </si>
  <si>
    <t xml:space="preserve">RPY-0003464</t>
  </si>
  <si>
    <t xml:space="preserve">RPY-0003465</t>
  </si>
  <si>
    <t xml:space="preserve">RPY-0003466</t>
  </si>
  <si>
    <t xml:space="preserve">RPY-0003467</t>
  </si>
  <si>
    <t xml:space="preserve">RPY-0003468</t>
  </si>
  <si>
    <t xml:space="preserve">RPY-0003469</t>
  </si>
  <si>
    <t xml:space="preserve">RPY-0003470</t>
  </si>
  <si>
    <t xml:space="preserve">RPY-0003471</t>
  </si>
  <si>
    <t xml:space="preserve">RPY-0003472</t>
  </si>
  <si>
    <t xml:space="preserve">RPY-0003473</t>
  </si>
  <si>
    <t xml:space="preserve">RPY-0003474</t>
  </si>
  <si>
    <t xml:space="preserve">RPY-0003475</t>
  </si>
  <si>
    <t xml:space="preserve">RPY-0003476</t>
  </si>
  <si>
    <t xml:space="preserve">RPY-0003477</t>
  </si>
  <si>
    <t xml:space="preserve">RPY-0003478</t>
  </si>
  <si>
    <t xml:space="preserve">RPY-0003479</t>
  </si>
  <si>
    <t xml:space="preserve">RPY-0003480</t>
  </si>
  <si>
    <t xml:space="preserve">RPY-0003481</t>
  </si>
  <si>
    <t xml:space="preserve">RPY-0003482</t>
  </si>
  <si>
    <t xml:space="preserve">RPY-0003483</t>
  </si>
  <si>
    <t xml:space="preserve">RPY-0003484</t>
  </si>
  <si>
    <t xml:space="preserve">RPY-0003485</t>
  </si>
  <si>
    <t xml:space="preserve">RPY-0003486</t>
  </si>
  <si>
    <t xml:space="preserve">RPY-0003487</t>
  </si>
  <si>
    <t xml:space="preserve">RPY-0003488</t>
  </si>
  <si>
    <t xml:space="preserve">RPY-0003489</t>
  </si>
  <si>
    <t xml:space="preserve">RPY-0003490</t>
  </si>
  <si>
    <t xml:space="preserve">RPY-0003491</t>
  </si>
  <si>
    <t xml:space="preserve">RPY-0003492</t>
  </si>
  <si>
    <t xml:space="preserve">RPY-0003493</t>
  </si>
  <si>
    <t xml:space="preserve">RPY-0003494</t>
  </si>
  <si>
    <t xml:space="preserve">RPY-0003495</t>
  </si>
  <si>
    <t xml:space="preserve">RPY-0003496</t>
  </si>
  <si>
    <t xml:space="preserve">RPY-0003497</t>
  </si>
  <si>
    <t xml:space="preserve">RPY-0003498</t>
  </si>
  <si>
    <t xml:space="preserve">RPY-0003499</t>
  </si>
  <si>
    <t xml:space="preserve">RPY-0003500</t>
  </si>
  <si>
    <t xml:space="preserve">RPY-0003501</t>
  </si>
  <si>
    <t xml:space="preserve">RPY-0003502</t>
  </si>
  <si>
    <t xml:space="preserve">RPY-0003503</t>
  </si>
  <si>
    <t xml:space="preserve">RPY-0003504</t>
  </si>
  <si>
    <t xml:space="preserve">RPY-0003505</t>
  </si>
  <si>
    <t xml:space="preserve">RPY-0003506</t>
  </si>
  <si>
    <t xml:space="preserve">RPY-0003507</t>
  </si>
  <si>
    <t xml:space="preserve">RPY-0003508</t>
  </si>
  <si>
    <t xml:space="preserve">RPY-0003509</t>
  </si>
  <si>
    <t xml:space="preserve">RPY-0003510</t>
  </si>
  <si>
    <t xml:space="preserve">RPY-0003511</t>
  </si>
  <si>
    <t xml:space="preserve">RPY-0003512</t>
  </si>
  <si>
    <t xml:space="preserve">RPY-0003513</t>
  </si>
  <si>
    <t xml:space="preserve">RPY-0003514</t>
  </si>
  <si>
    <t xml:space="preserve">RPY-0003515</t>
  </si>
  <si>
    <t xml:space="preserve">RPY-0003516</t>
  </si>
  <si>
    <t xml:space="preserve">RPY-0003517</t>
  </si>
  <si>
    <t xml:space="preserve">RPY-0003518</t>
  </si>
  <si>
    <t xml:space="preserve">RPY-0003519</t>
  </si>
  <si>
    <t xml:space="preserve">RPY-0003520</t>
  </si>
  <si>
    <t xml:space="preserve">RPY-0003521</t>
  </si>
  <si>
    <t xml:space="preserve">RPY-0003522</t>
  </si>
  <si>
    <t xml:space="preserve">RPY-0003523</t>
  </si>
  <si>
    <t xml:space="preserve">RPY-0003524</t>
  </si>
  <si>
    <t xml:space="preserve">RPY-0003525</t>
  </si>
  <si>
    <t xml:space="preserve">RPY-0003526</t>
  </si>
  <si>
    <t xml:space="preserve">RPY-0003527</t>
  </si>
  <si>
    <t xml:space="preserve">RPY-0003528</t>
  </si>
  <si>
    <t xml:space="preserve">RPY-0003529</t>
  </si>
  <si>
    <t xml:space="preserve">RPY-0003530</t>
  </si>
  <si>
    <t xml:space="preserve">RPY-0003531</t>
  </si>
  <si>
    <t xml:space="preserve">RPY-0003532</t>
  </si>
  <si>
    <t xml:space="preserve">RPY-0003533</t>
  </si>
  <si>
    <t xml:space="preserve">RPY-0003534</t>
  </si>
  <si>
    <t xml:space="preserve">RPY-0003535</t>
  </si>
  <si>
    <t xml:space="preserve">RPY-0003536</t>
  </si>
  <si>
    <t xml:space="preserve">RPY-0003537</t>
  </si>
  <si>
    <t xml:space="preserve">RPY-0003538</t>
  </si>
  <si>
    <t xml:space="preserve">RPY-0003539</t>
  </si>
  <si>
    <t xml:space="preserve">RPY-0003540</t>
  </si>
  <si>
    <t xml:space="preserve">RPY-0003541</t>
  </si>
  <si>
    <t xml:space="preserve">RPY-0003542</t>
  </si>
  <si>
    <t xml:space="preserve">RPY-0003543</t>
  </si>
  <si>
    <t xml:space="preserve">RPY-0003544</t>
  </si>
  <si>
    <t xml:space="preserve">RPY-0003545</t>
  </si>
  <si>
    <t xml:space="preserve">RPY-0003546</t>
  </si>
  <si>
    <t xml:space="preserve">RPY-0003547</t>
  </si>
  <si>
    <t xml:space="preserve">RPY-0003548</t>
  </si>
  <si>
    <t xml:space="preserve">RPY-0003549</t>
  </si>
  <si>
    <t xml:space="preserve">RPY-0003550</t>
  </si>
  <si>
    <t xml:space="preserve">RPY-0003551</t>
  </si>
  <si>
    <t xml:space="preserve">RPY-0003552</t>
  </si>
  <si>
    <t xml:space="preserve">RPY-0003553</t>
  </si>
  <si>
    <t xml:space="preserve">RPY-0003554</t>
  </si>
  <si>
    <t xml:space="preserve">RPY-0003555</t>
  </si>
  <si>
    <t xml:space="preserve">RPY-0003556</t>
  </si>
  <si>
    <t xml:space="preserve">RPY-0003557</t>
  </si>
  <si>
    <t xml:space="preserve">RPY-0003558</t>
  </si>
  <si>
    <t xml:space="preserve">RPY-0003559</t>
  </si>
  <si>
    <t xml:space="preserve">RPY-0003560</t>
  </si>
  <si>
    <t xml:space="preserve">RPY-0003561</t>
  </si>
  <si>
    <t xml:space="preserve">RPY-0003562</t>
  </si>
  <si>
    <t xml:space="preserve">RPY-0003563</t>
  </si>
  <si>
    <t xml:space="preserve">RPY-0003564</t>
  </si>
  <si>
    <t xml:space="preserve">RPY-0003565</t>
  </si>
  <si>
    <t xml:space="preserve">RPY-0003566</t>
  </si>
  <si>
    <t xml:space="preserve">RPY-0003567</t>
  </si>
  <si>
    <t xml:space="preserve">RPY-0003568</t>
  </si>
  <si>
    <t xml:space="preserve">RPY-0003569</t>
  </si>
  <si>
    <t xml:space="preserve">RPY-0003570</t>
  </si>
  <si>
    <t xml:space="preserve">RPY-0003571</t>
  </si>
  <si>
    <t xml:space="preserve">RPY-0003572</t>
  </si>
  <si>
    <t xml:space="preserve">RPY-0003573</t>
  </si>
  <si>
    <t xml:space="preserve">RPY-0003574</t>
  </si>
  <si>
    <t xml:space="preserve">RPY-0003575</t>
  </si>
  <si>
    <t xml:space="preserve">RPY-0003576</t>
  </si>
  <si>
    <t xml:space="preserve">RPY-0003577</t>
  </si>
  <si>
    <t xml:space="preserve">RPY-0003578</t>
  </si>
  <si>
    <t xml:space="preserve">RPY-0003579</t>
  </si>
  <si>
    <t xml:space="preserve">RPY-0003580</t>
  </si>
  <si>
    <t xml:space="preserve">RPY-0003581</t>
  </si>
  <si>
    <t xml:space="preserve">RPY-0003582</t>
  </si>
  <si>
    <t xml:space="preserve">RPY-0003583</t>
  </si>
  <si>
    <t xml:space="preserve">RPY-0003584</t>
  </si>
  <si>
    <t xml:space="preserve">RPY-0003585</t>
  </si>
  <si>
    <t xml:space="preserve">RPY-0003586</t>
  </si>
  <si>
    <t xml:space="preserve">RPY-0003587</t>
  </si>
  <si>
    <t xml:space="preserve">RPY-0003588</t>
  </si>
  <si>
    <t xml:space="preserve">RPY-0003589</t>
  </si>
  <si>
    <t xml:space="preserve">RPY-0003590</t>
  </si>
  <si>
    <t xml:space="preserve">RPY-0003591</t>
  </si>
  <si>
    <t xml:space="preserve">RPY-0003592</t>
  </si>
  <si>
    <t xml:space="preserve">RPY-0003593</t>
  </si>
  <si>
    <t xml:space="preserve">RPY-0003594</t>
  </si>
  <si>
    <t xml:space="preserve">RPY-0003595</t>
  </si>
  <si>
    <t xml:space="preserve">RPY-0003596</t>
  </si>
  <si>
    <t xml:space="preserve">RPY-0003597</t>
  </si>
  <si>
    <t xml:space="preserve">RPY-0003598</t>
  </si>
  <si>
    <t xml:space="preserve">RPY-0003599</t>
  </si>
  <si>
    <t xml:space="preserve">RPY-0003600</t>
  </si>
  <si>
    <t xml:space="preserve">RPY-0003601</t>
  </si>
  <si>
    <t xml:space="preserve">RPY-0003602</t>
  </si>
  <si>
    <t xml:space="preserve">RPY-0003603</t>
  </si>
  <si>
    <t xml:space="preserve">RPY-0003604</t>
  </si>
  <si>
    <t xml:space="preserve">RPY-0003605</t>
  </si>
  <si>
    <t xml:space="preserve">RPY-0003606</t>
  </si>
  <si>
    <t xml:space="preserve">RPY-0003607</t>
  </si>
  <si>
    <t xml:space="preserve">RPY-0003608</t>
  </si>
  <si>
    <t xml:space="preserve">RPY-0003609</t>
  </si>
  <si>
    <t xml:space="preserve">RPY-0003610</t>
  </si>
  <si>
    <t xml:space="preserve">RPY-0003611</t>
  </si>
  <si>
    <t xml:space="preserve">RPY-0003612</t>
  </si>
  <si>
    <t xml:space="preserve">RPY-0003613</t>
  </si>
  <si>
    <t xml:space="preserve">RPY-0003614</t>
  </si>
  <si>
    <t xml:space="preserve">RPY-0003615</t>
  </si>
  <si>
    <t xml:space="preserve">RPY-0003616</t>
  </si>
  <si>
    <t xml:space="preserve">RPY-0003617</t>
  </si>
  <si>
    <t xml:space="preserve">RPY-0003618</t>
  </si>
  <si>
    <t xml:space="preserve">RPY-0003619</t>
  </si>
  <si>
    <t xml:space="preserve">RPY-0003620</t>
  </si>
  <si>
    <t xml:space="preserve">RPY-0003621</t>
  </si>
  <si>
    <t xml:space="preserve">RPY-0003622</t>
  </si>
  <si>
    <t xml:space="preserve">RPY-0003623</t>
  </si>
  <si>
    <t xml:space="preserve">RPY-0003624</t>
  </si>
  <si>
    <t xml:space="preserve">RPY-0003625</t>
  </si>
  <si>
    <t xml:space="preserve">RPY-0003626</t>
  </si>
  <si>
    <t xml:space="preserve">RPY-0003627</t>
  </si>
  <si>
    <t xml:space="preserve">RPY-0003628</t>
  </si>
  <si>
    <t xml:space="preserve">RPY-0003629</t>
  </si>
  <si>
    <t xml:space="preserve">RPY-0003630</t>
  </si>
  <si>
    <t xml:space="preserve">RPY-0003631</t>
  </si>
  <si>
    <t xml:space="preserve">RPY-0003632</t>
  </si>
  <si>
    <t xml:space="preserve">RPY-0003633</t>
  </si>
  <si>
    <t xml:space="preserve">RPY-0003634</t>
  </si>
  <si>
    <t xml:space="preserve">RPY-0003635</t>
  </si>
  <si>
    <t xml:space="preserve">RPY-0003636</t>
  </si>
  <si>
    <t xml:space="preserve">RPY-0003637</t>
  </si>
  <si>
    <t xml:space="preserve">RPY-0003638</t>
  </si>
  <si>
    <t xml:space="preserve">RPY-0003639</t>
  </si>
  <si>
    <t xml:space="preserve">RPY-0003640</t>
  </si>
  <si>
    <t xml:space="preserve">RPY-0003641</t>
  </si>
  <si>
    <t xml:space="preserve">RPY-0003642</t>
  </si>
  <si>
    <t xml:space="preserve">RPY-0003643</t>
  </si>
  <si>
    <t xml:space="preserve">RPY-0003644</t>
  </si>
  <si>
    <t xml:space="preserve">RPY-0003645</t>
  </si>
  <si>
    <t xml:space="preserve">RPY-0003646</t>
  </si>
  <si>
    <t xml:space="preserve">RPY-0003647</t>
  </si>
  <si>
    <t xml:space="preserve">RPY-0003648</t>
  </si>
  <si>
    <t xml:space="preserve">RPY-0003649</t>
  </si>
  <si>
    <t xml:space="preserve">RPY-0003650</t>
  </si>
  <si>
    <t xml:space="preserve">RPY-0003651</t>
  </si>
  <si>
    <t xml:space="preserve">RPY-0003652</t>
  </si>
  <si>
    <t xml:space="preserve">RPY-0003653</t>
  </si>
  <si>
    <t xml:space="preserve">RPY-0003654</t>
  </si>
  <si>
    <t xml:space="preserve">RPY-0003655</t>
  </si>
  <si>
    <t xml:space="preserve">RPY-0003656</t>
  </si>
  <si>
    <t xml:space="preserve">RPY-0003657</t>
  </si>
  <si>
    <t xml:space="preserve">RPY-0003658</t>
  </si>
  <si>
    <t xml:space="preserve">RPY-0003659</t>
  </si>
  <si>
    <t xml:space="preserve">RPY-0003660</t>
  </si>
  <si>
    <t xml:space="preserve">RPY-0003661</t>
  </si>
  <si>
    <t xml:space="preserve">RPY-0003662</t>
  </si>
  <si>
    <t xml:space="preserve">RPY-0003663</t>
  </si>
  <si>
    <t xml:space="preserve">RPY-0003664</t>
  </si>
  <si>
    <t xml:space="preserve">RPY-0003665</t>
  </si>
  <si>
    <t xml:space="preserve">RPY-0003666</t>
  </si>
  <si>
    <t xml:space="preserve">RPY-0003667</t>
  </si>
  <si>
    <t xml:space="preserve">RPY-0003668</t>
  </si>
  <si>
    <t xml:space="preserve">RPY-0003669</t>
  </si>
  <si>
    <t xml:space="preserve">RPY-0003670</t>
  </si>
  <si>
    <t xml:space="preserve">RPY-0003671</t>
  </si>
  <si>
    <t xml:space="preserve">RPY-0003672</t>
  </si>
  <si>
    <t xml:space="preserve">RPY-0003673</t>
  </si>
  <si>
    <t xml:space="preserve">RPY-0003674</t>
  </si>
  <si>
    <t xml:space="preserve">RPY-0003675</t>
  </si>
  <si>
    <t xml:space="preserve">RPY-0003676</t>
  </si>
  <si>
    <t xml:space="preserve">RPY-0003677</t>
  </si>
  <si>
    <t xml:space="preserve">RPY-0003678</t>
  </si>
  <si>
    <t xml:space="preserve">RPY-0003679</t>
  </si>
  <si>
    <t xml:space="preserve">RPY-0003680</t>
  </si>
  <si>
    <t xml:space="preserve">RPY-0003681</t>
  </si>
  <si>
    <t xml:space="preserve">RPY-0003682</t>
  </si>
  <si>
    <t xml:space="preserve">RPY-0003683</t>
  </si>
  <si>
    <t xml:space="preserve">RPY-0003684</t>
  </si>
  <si>
    <t xml:space="preserve">RPY-0003685</t>
  </si>
  <si>
    <t xml:space="preserve">RPY-0003686</t>
  </si>
  <si>
    <t xml:space="preserve">RPY-0003687</t>
  </si>
  <si>
    <t xml:space="preserve">RPY-0003688</t>
  </si>
  <si>
    <t xml:space="preserve">RPY-0003689</t>
  </si>
  <si>
    <t xml:space="preserve">RPY-0003690</t>
  </si>
  <si>
    <t xml:space="preserve">RPY-0003691</t>
  </si>
  <si>
    <t xml:space="preserve">RPY-0003692</t>
  </si>
  <si>
    <t xml:space="preserve">RPY-0003693</t>
  </si>
  <si>
    <t xml:space="preserve">RPY-0003694</t>
  </si>
  <si>
    <t xml:space="preserve">RPY-0003695</t>
  </si>
  <si>
    <t xml:space="preserve">RPY-0003696</t>
  </si>
  <si>
    <t xml:space="preserve">RPY-0003697</t>
  </si>
  <si>
    <t xml:space="preserve">RPY-0003698</t>
  </si>
  <si>
    <t xml:space="preserve">RPY-0003699</t>
  </si>
  <si>
    <t xml:space="preserve">RPY-0003700</t>
  </si>
  <si>
    <t xml:space="preserve">RPY-0003701</t>
  </si>
  <si>
    <t xml:space="preserve">RPY-0003702</t>
  </si>
  <si>
    <t xml:space="preserve">RPY-0003703</t>
  </si>
  <si>
    <t xml:space="preserve">RPY-0003704</t>
  </si>
  <si>
    <t xml:space="preserve">RPY-0003705</t>
  </si>
  <si>
    <t xml:space="preserve">RPY-0003706</t>
  </si>
  <si>
    <t xml:space="preserve">RPY-0003707</t>
  </si>
  <si>
    <t xml:space="preserve">RPY-0003708</t>
  </si>
  <si>
    <t xml:space="preserve">RPY-0003709</t>
  </si>
  <si>
    <t xml:space="preserve">RPY-0003710</t>
  </si>
  <si>
    <t xml:space="preserve">RPY-0003711</t>
  </si>
  <si>
    <t xml:space="preserve">RPY-0003712</t>
  </si>
  <si>
    <t xml:space="preserve">RPY-0003713</t>
  </si>
  <si>
    <t xml:space="preserve">RPY-0003714</t>
  </si>
  <si>
    <t xml:space="preserve">RPY-0003715</t>
  </si>
  <si>
    <t xml:space="preserve">RPY-0003716</t>
  </si>
  <si>
    <t xml:space="preserve">RPY-0003717</t>
  </si>
  <si>
    <t xml:space="preserve">RPY-0003718</t>
  </si>
  <si>
    <t xml:space="preserve">RPY-0003719</t>
  </si>
  <si>
    <t xml:space="preserve">RPY-0003720</t>
  </si>
  <si>
    <t xml:space="preserve">RPY-0003721</t>
  </si>
  <si>
    <t xml:space="preserve">RPY-0003722</t>
  </si>
  <si>
    <t xml:space="preserve">RPY-0003723</t>
  </si>
  <si>
    <t xml:space="preserve">RPY-0003724</t>
  </si>
  <si>
    <t xml:space="preserve">RPY-0003725</t>
  </si>
  <si>
    <t xml:space="preserve">RPY-0003726</t>
  </si>
  <si>
    <t xml:space="preserve">RPY-0003727</t>
  </si>
  <si>
    <t xml:space="preserve">RPY-0003728</t>
  </si>
  <si>
    <t xml:space="preserve">RPY-0003729</t>
  </si>
  <si>
    <t xml:space="preserve">RPY-0003730</t>
  </si>
  <si>
    <t xml:space="preserve">RPY-0003731</t>
  </si>
  <si>
    <t xml:space="preserve">RPY-0003732</t>
  </si>
  <si>
    <t xml:space="preserve">RPY-0003733</t>
  </si>
  <si>
    <t xml:space="preserve">RPY-0003734</t>
  </si>
  <si>
    <t xml:space="preserve">RPY-0003735</t>
  </si>
  <si>
    <t xml:space="preserve">RPY-0003736</t>
  </si>
  <si>
    <t xml:space="preserve">RPY-0003737</t>
  </si>
  <si>
    <t xml:space="preserve">RPY-0003738</t>
  </si>
  <si>
    <t xml:space="preserve">RPY-0003739</t>
  </si>
  <si>
    <t xml:space="preserve">RPY-0003740</t>
  </si>
  <si>
    <t xml:space="preserve">RPY-0003741</t>
  </si>
  <si>
    <t xml:space="preserve">RPY-0003742</t>
  </si>
  <si>
    <t xml:space="preserve">RPY-0003743</t>
  </si>
  <si>
    <t xml:space="preserve">RPY-0003744</t>
  </si>
  <si>
    <t xml:space="preserve">RPY-0003745</t>
  </si>
  <si>
    <t xml:space="preserve">RPY-0003746</t>
  </si>
  <si>
    <t xml:space="preserve">RPY-0003747</t>
  </si>
  <si>
    <t xml:space="preserve">RPY-0003748</t>
  </si>
  <si>
    <t xml:space="preserve">RPY-0003749</t>
  </si>
  <si>
    <t xml:space="preserve">RPY-0003750</t>
  </si>
  <si>
    <t xml:space="preserve">RPY-0003751</t>
  </si>
  <si>
    <t xml:space="preserve">RPY-0003752</t>
  </si>
  <si>
    <t xml:space="preserve">RPY-0003753</t>
  </si>
  <si>
    <t xml:space="preserve">RPY-0003754</t>
  </si>
  <si>
    <t xml:space="preserve">RPY-0003755</t>
  </si>
  <si>
    <t xml:space="preserve">RPY-0003756</t>
  </si>
  <si>
    <t xml:space="preserve">RPY-0003757</t>
  </si>
  <si>
    <t xml:space="preserve">RPY-0003758</t>
  </si>
  <si>
    <t xml:space="preserve">RPY-0003759</t>
  </si>
  <si>
    <t xml:space="preserve">RPY-0003760</t>
  </si>
  <si>
    <t xml:space="preserve">RPY-0003761</t>
  </si>
  <si>
    <t xml:space="preserve">RPY-0003762</t>
  </si>
  <si>
    <t xml:space="preserve">RPY-0003763</t>
  </si>
  <si>
    <t xml:space="preserve">RPY-0003764</t>
  </si>
  <si>
    <t xml:space="preserve">RPY-0003765</t>
  </si>
  <si>
    <t xml:space="preserve">RPY-0003766</t>
  </si>
  <si>
    <t xml:space="preserve">RPY-0003767</t>
  </si>
  <si>
    <t xml:space="preserve">RPY-0003768</t>
  </si>
  <si>
    <t xml:space="preserve">RPY-0003769</t>
  </si>
  <si>
    <t xml:space="preserve">RPY-0003770</t>
  </si>
  <si>
    <t xml:space="preserve">RPY-0003771</t>
  </si>
  <si>
    <t xml:space="preserve">RPY-0003772</t>
  </si>
  <si>
    <t xml:space="preserve">RPY-0003773</t>
  </si>
  <si>
    <t xml:space="preserve">RPY-0003774</t>
  </si>
  <si>
    <t xml:space="preserve">RPY-0003775</t>
  </si>
  <si>
    <t xml:space="preserve">RPY-0003776</t>
  </si>
  <si>
    <t xml:space="preserve">RPY-0003777</t>
  </si>
  <si>
    <t xml:space="preserve">RPY-0003778</t>
  </si>
  <si>
    <t xml:space="preserve">RPY-0003779</t>
  </si>
  <si>
    <t xml:space="preserve">RPY-0003780</t>
  </si>
  <si>
    <t xml:space="preserve">RPY-0003781</t>
  </si>
  <si>
    <t xml:space="preserve">RPY-0003782</t>
  </si>
  <si>
    <t xml:space="preserve">RPY-0003783</t>
  </si>
  <si>
    <t xml:space="preserve">RPY-0003784</t>
  </si>
  <si>
    <t xml:space="preserve">RPY-0003785</t>
  </si>
  <si>
    <t xml:space="preserve">RPY-0003786</t>
  </si>
  <si>
    <t xml:space="preserve">RPY-0003787</t>
  </si>
  <si>
    <t xml:space="preserve">RPY-0003788</t>
  </si>
  <si>
    <t xml:space="preserve">RPY-0003789</t>
  </si>
  <si>
    <t xml:space="preserve">RPY-0003790</t>
  </si>
  <si>
    <t xml:space="preserve">RPY-0003791</t>
  </si>
  <si>
    <t xml:space="preserve">RPY-0003792</t>
  </si>
  <si>
    <t xml:space="preserve">RPY-0003793</t>
  </si>
  <si>
    <t xml:space="preserve">RPY-0003794</t>
  </si>
  <si>
    <t xml:space="preserve">RPY-0003795</t>
  </si>
  <si>
    <t xml:space="preserve">RPY-0003796</t>
  </si>
  <si>
    <t xml:space="preserve">RPY-0003797</t>
  </si>
  <si>
    <t xml:space="preserve">RPY-0003798</t>
  </si>
  <si>
    <t xml:space="preserve">RPY-0003799</t>
  </si>
  <si>
    <t xml:space="preserve">RPY-0003800</t>
  </si>
  <si>
    <t xml:space="preserve">RPY-0003801</t>
  </si>
  <si>
    <t xml:space="preserve">RPY-0003802</t>
  </si>
  <si>
    <t xml:space="preserve">RPY-0003803</t>
  </si>
  <si>
    <t xml:space="preserve">RPY-0003804</t>
  </si>
  <si>
    <t xml:space="preserve">RPY-0003805</t>
  </si>
  <si>
    <t xml:space="preserve">RPY-0003806</t>
  </si>
  <si>
    <t xml:space="preserve">RPY-0003807</t>
  </si>
  <si>
    <t xml:space="preserve">RPY-0003808</t>
  </si>
  <si>
    <t xml:space="preserve">RPY-0003809</t>
  </si>
  <si>
    <t xml:space="preserve">RPY-0003810</t>
  </si>
  <si>
    <t xml:space="preserve">RPY-0003811</t>
  </si>
  <si>
    <t xml:space="preserve">RPY-0003812</t>
  </si>
  <si>
    <t xml:space="preserve">RPY-0003813</t>
  </si>
  <si>
    <t xml:space="preserve">RPY-0003814</t>
  </si>
  <si>
    <t xml:space="preserve">RPY-0003815</t>
  </si>
  <si>
    <t xml:space="preserve">RPY-0003816</t>
  </si>
  <si>
    <t xml:space="preserve">RPY-0003817</t>
  </si>
  <si>
    <t xml:space="preserve">RPY-0003818</t>
  </si>
  <si>
    <t xml:space="preserve">RPY-0003819</t>
  </si>
  <si>
    <t xml:space="preserve">RPY-0003820</t>
  </si>
  <si>
    <t xml:space="preserve">RPY-0003821</t>
  </si>
  <si>
    <t xml:space="preserve">RPY-0003822</t>
  </si>
  <si>
    <t xml:space="preserve">RPY-0003823</t>
  </si>
  <si>
    <t xml:space="preserve">RPY-0003824</t>
  </si>
  <si>
    <t xml:space="preserve">RPY-0003825</t>
  </si>
  <si>
    <t xml:space="preserve">RPY-0003826</t>
  </si>
  <si>
    <t xml:space="preserve">RPY-0003827</t>
  </si>
  <si>
    <t xml:space="preserve">RPY-0003828</t>
  </si>
  <si>
    <t xml:space="preserve">RPY-0003829</t>
  </si>
  <si>
    <t xml:space="preserve">RPY-0003830</t>
  </si>
  <si>
    <t xml:space="preserve">RPY-0003831</t>
  </si>
  <si>
    <t xml:space="preserve">RPY-0003832</t>
  </si>
  <si>
    <t xml:space="preserve">RPY-0003833</t>
  </si>
  <si>
    <t xml:space="preserve">RPY-0003834</t>
  </si>
  <si>
    <t xml:space="preserve">RPY-0003835</t>
  </si>
  <si>
    <t xml:space="preserve">RPY-0003836</t>
  </si>
  <si>
    <t xml:space="preserve">RPY-0003837</t>
  </si>
  <si>
    <t xml:space="preserve">RPY-0003838</t>
  </si>
  <si>
    <t xml:space="preserve">RPY-0003839</t>
  </si>
  <si>
    <t xml:space="preserve">RPY-0003840</t>
  </si>
  <si>
    <t xml:space="preserve">RPY-0003841</t>
  </si>
  <si>
    <t xml:space="preserve">RPY-0003842</t>
  </si>
  <si>
    <t xml:space="preserve">RPY-0003843</t>
  </si>
  <si>
    <t xml:space="preserve">RPY-0003844</t>
  </si>
  <si>
    <t xml:space="preserve">RPY-0003845</t>
  </si>
  <si>
    <t xml:space="preserve">RPY-0003846</t>
  </si>
  <si>
    <t xml:space="preserve">RPY-0003847</t>
  </si>
  <si>
    <t xml:space="preserve">RPY-0003848</t>
  </si>
  <si>
    <t xml:space="preserve">RPY-0003849</t>
  </si>
  <si>
    <t xml:space="preserve">RPY-0003850</t>
  </si>
  <si>
    <t xml:space="preserve">RPY-0003851</t>
  </si>
  <si>
    <t xml:space="preserve">RPY-0003852</t>
  </si>
  <si>
    <t xml:space="preserve">RPY-0003853</t>
  </si>
  <si>
    <t xml:space="preserve">RPY-0003854</t>
  </si>
  <si>
    <t xml:space="preserve">RPY-0003855</t>
  </si>
  <si>
    <t xml:space="preserve">RPY-0003856</t>
  </si>
  <si>
    <t xml:space="preserve">RPY-0003857</t>
  </si>
  <si>
    <t xml:space="preserve">RPY-0003858</t>
  </si>
  <si>
    <t xml:space="preserve">RPY-0003859</t>
  </si>
  <si>
    <t xml:space="preserve">RPY-0003860</t>
  </si>
  <si>
    <t xml:space="preserve">RPY-0003861</t>
  </si>
  <si>
    <t xml:space="preserve">RPY-0003862</t>
  </si>
  <si>
    <t xml:space="preserve">RPY-0003863</t>
  </si>
  <si>
    <t xml:space="preserve">RPY-0003864</t>
  </si>
  <si>
    <t xml:space="preserve">RPY-0003865</t>
  </si>
  <si>
    <t xml:space="preserve">RPY-0003866</t>
  </si>
  <si>
    <t xml:space="preserve">RPY-0003867</t>
  </si>
  <si>
    <t xml:space="preserve">RPY-0003868</t>
  </si>
  <si>
    <t xml:space="preserve">RPY-0003869</t>
  </si>
  <si>
    <t xml:space="preserve">RPY-0003870</t>
  </si>
  <si>
    <t xml:space="preserve">RPY-0003871</t>
  </si>
  <si>
    <t xml:space="preserve">RPY-0003872</t>
  </si>
  <si>
    <t xml:space="preserve">RPY-0003873</t>
  </si>
  <si>
    <t xml:space="preserve">RPY-0003874</t>
  </si>
  <si>
    <t xml:space="preserve">RPY-0003875</t>
  </si>
  <si>
    <t xml:space="preserve">RPY-0003876</t>
  </si>
  <si>
    <t xml:space="preserve">RPY-0003877</t>
  </si>
  <si>
    <t xml:space="preserve">RPY-0003878</t>
  </si>
  <si>
    <t xml:space="preserve">RPY-0003879</t>
  </si>
  <si>
    <t xml:space="preserve">RPY-0003880</t>
  </si>
  <si>
    <t xml:space="preserve">RPY-0003881</t>
  </si>
  <si>
    <t xml:space="preserve">RPY-0003882</t>
  </si>
  <si>
    <t xml:space="preserve">RPY-0003883</t>
  </si>
  <si>
    <t xml:space="preserve">RPY-0003884</t>
  </si>
  <si>
    <t xml:space="preserve">RPY-0003885</t>
  </si>
  <si>
    <t xml:space="preserve">RPY-0003886</t>
  </si>
  <si>
    <t xml:space="preserve">RPY-0003887</t>
  </si>
  <si>
    <t xml:space="preserve">RPY-0003888</t>
  </si>
  <si>
    <t xml:space="preserve">RPY-0003889</t>
  </si>
  <si>
    <t xml:space="preserve">RPY-0003890</t>
  </si>
  <si>
    <t xml:space="preserve">RPY-0003891</t>
  </si>
  <si>
    <t xml:space="preserve">RPY-0003892</t>
  </si>
  <si>
    <t xml:space="preserve">RPY-0003893</t>
  </si>
  <si>
    <t xml:space="preserve">RPY-0003894</t>
  </si>
  <si>
    <t xml:space="preserve">RPY-0003895</t>
  </si>
  <si>
    <t xml:space="preserve">RPY-0003896</t>
  </si>
  <si>
    <t xml:space="preserve">RPY-0003897</t>
  </si>
  <si>
    <t xml:space="preserve">RPY-0003898</t>
  </si>
  <si>
    <t xml:space="preserve">RPY-0003899</t>
  </si>
  <si>
    <t xml:space="preserve">RPY-0003900</t>
  </si>
  <si>
    <t xml:space="preserve">RPY-0003901</t>
  </si>
  <si>
    <t xml:space="preserve">RPY-0003902</t>
  </si>
  <si>
    <t xml:space="preserve">RPY-0003903</t>
  </si>
  <si>
    <t xml:space="preserve">RPY-0003904</t>
  </si>
  <si>
    <t xml:space="preserve">RPY-0003905</t>
  </si>
  <si>
    <t xml:space="preserve">RPY-0003906</t>
  </si>
  <si>
    <t xml:space="preserve">RPY-0003907</t>
  </si>
  <si>
    <t xml:space="preserve">RPY-0003908</t>
  </si>
  <si>
    <t xml:space="preserve">RPY-0003909</t>
  </si>
  <si>
    <t xml:space="preserve">RPY-0003910</t>
  </si>
  <si>
    <t xml:space="preserve">RPY-0003911</t>
  </si>
  <si>
    <t xml:space="preserve">RPY-0003912</t>
  </si>
  <si>
    <t xml:space="preserve">RPY-0003913</t>
  </si>
  <si>
    <t xml:space="preserve">RPY-0003914</t>
  </si>
  <si>
    <t xml:space="preserve">RPY-0003915</t>
  </si>
  <si>
    <t xml:space="preserve">RPY-0003916</t>
  </si>
  <si>
    <t xml:space="preserve">RPY-0003917</t>
  </si>
  <si>
    <t xml:space="preserve">RPY-0003918</t>
  </si>
  <si>
    <t xml:space="preserve">RPY-0003919</t>
  </si>
  <si>
    <t xml:space="preserve">RPY-0003920</t>
  </si>
  <si>
    <t xml:space="preserve">RPY-0003921</t>
  </si>
  <si>
    <t xml:space="preserve">RPY-0003922</t>
  </si>
  <si>
    <t xml:space="preserve">RPY-0003923</t>
  </si>
  <si>
    <t xml:space="preserve">RPY-0003924</t>
  </si>
  <si>
    <t xml:space="preserve">RPY-0003925</t>
  </si>
  <si>
    <t xml:space="preserve">RPY-0003926</t>
  </si>
  <si>
    <t xml:space="preserve">RPY-0003927</t>
  </si>
  <si>
    <t xml:space="preserve">RPY-0003928</t>
  </si>
  <si>
    <t xml:space="preserve">RPY-0003929</t>
  </si>
  <si>
    <t xml:space="preserve">RPY-0003930</t>
  </si>
  <si>
    <t xml:space="preserve">RPY-0003931</t>
  </si>
  <si>
    <t xml:space="preserve">RPY-0003932</t>
  </si>
  <si>
    <t xml:space="preserve">RPY-0003933</t>
  </si>
  <si>
    <t xml:space="preserve">RPY-0003934</t>
  </si>
  <si>
    <t xml:space="preserve">RPY-0003935</t>
  </si>
  <si>
    <t xml:space="preserve">RPY-0003936</t>
  </si>
  <si>
    <t xml:space="preserve">RPY-0003937</t>
  </si>
  <si>
    <t xml:space="preserve">RPY-0003938</t>
  </si>
  <si>
    <t xml:space="preserve">RPY-0003939</t>
  </si>
  <si>
    <t xml:space="preserve">RPY-0003940</t>
  </si>
  <si>
    <t xml:space="preserve">RPY-0003941</t>
  </si>
  <si>
    <t xml:space="preserve">RPY-0003942</t>
  </si>
  <si>
    <t xml:space="preserve">RPY-0003943</t>
  </si>
  <si>
    <t xml:space="preserve">RPY-0003944</t>
  </si>
  <si>
    <t xml:space="preserve">RPY-0003945</t>
  </si>
  <si>
    <t xml:space="preserve">RPY-0003946</t>
  </si>
  <si>
    <t xml:space="preserve">RPY-0003947</t>
  </si>
  <si>
    <t xml:space="preserve">RPY-0003948</t>
  </si>
  <si>
    <t xml:space="preserve">RPY-0003949</t>
  </si>
  <si>
    <t xml:space="preserve">RPY-0003950</t>
  </si>
  <si>
    <t xml:space="preserve">RPY-0003951</t>
  </si>
  <si>
    <t xml:space="preserve">RPY-0003952</t>
  </si>
  <si>
    <t xml:space="preserve">RPY-0003953</t>
  </si>
  <si>
    <t xml:space="preserve">RPY-0003954</t>
  </si>
  <si>
    <t xml:space="preserve">RPY-0003955</t>
  </si>
  <si>
    <t xml:space="preserve">RPY-0003956</t>
  </si>
  <si>
    <t xml:space="preserve">RPY-0003957</t>
  </si>
  <si>
    <t xml:space="preserve">RPY-0003958</t>
  </si>
  <si>
    <t xml:space="preserve">RPY-0003959</t>
  </si>
  <si>
    <t xml:space="preserve">RPY-0003960</t>
  </si>
  <si>
    <t xml:space="preserve">RPY-0003961</t>
  </si>
  <si>
    <t xml:space="preserve">RPY-0003962</t>
  </si>
  <si>
    <t xml:space="preserve">RPY-0003963</t>
  </si>
  <si>
    <t xml:space="preserve">RPY-0003964</t>
  </si>
  <si>
    <t xml:space="preserve">RPY-0003965</t>
  </si>
  <si>
    <t xml:space="preserve">RPY-0003966</t>
  </si>
  <si>
    <t xml:space="preserve">RPY-0003967</t>
  </si>
  <si>
    <t xml:space="preserve">RPY-0003968</t>
  </si>
  <si>
    <t xml:space="preserve">RPY-0003969</t>
  </si>
  <si>
    <t xml:space="preserve">RPY-0003970</t>
  </si>
  <si>
    <t xml:space="preserve">RPY-0003971</t>
  </si>
  <si>
    <t xml:space="preserve">RPY-0003972</t>
  </si>
  <si>
    <t xml:space="preserve">RPY-0003973</t>
  </si>
  <si>
    <t xml:space="preserve">RPY-0003974</t>
  </si>
  <si>
    <t xml:space="preserve">RPY-0003975</t>
  </si>
  <si>
    <t xml:space="preserve">RPY-0003976</t>
  </si>
  <si>
    <t xml:space="preserve">RPY-0003977</t>
  </si>
  <si>
    <t xml:space="preserve">RPY-0003978</t>
  </si>
  <si>
    <t xml:space="preserve">RPY-0003979</t>
  </si>
  <si>
    <t xml:space="preserve">RPY-0003980</t>
  </si>
  <si>
    <t xml:space="preserve">RPY-0003981</t>
  </si>
  <si>
    <t xml:space="preserve">RPY-0003982</t>
  </si>
  <si>
    <t xml:space="preserve">RPY-0003983</t>
  </si>
  <si>
    <t xml:space="preserve">RPY-0003984</t>
  </si>
  <si>
    <t xml:space="preserve">RPY-0003985</t>
  </si>
  <si>
    <t xml:space="preserve">RPY-0003986</t>
  </si>
  <si>
    <t xml:space="preserve">RPY-0003987</t>
  </si>
  <si>
    <t xml:space="preserve">RPY-0003988</t>
  </si>
  <si>
    <t xml:space="preserve">RPY-0003989</t>
  </si>
  <si>
    <t xml:space="preserve">RPY-0003990</t>
  </si>
  <si>
    <t xml:space="preserve">RPY-0003991</t>
  </si>
  <si>
    <t xml:space="preserve">RPY-0003992</t>
  </si>
  <si>
    <t xml:space="preserve">RPY-0003993</t>
  </si>
  <si>
    <t xml:space="preserve">RPY-0003994</t>
  </si>
  <si>
    <t xml:space="preserve">RPY-0003995</t>
  </si>
  <si>
    <t xml:space="preserve">RPY-0003996</t>
  </si>
  <si>
    <t xml:space="preserve">RPY-0003997</t>
  </si>
  <si>
    <t xml:space="preserve">RPY-0003998</t>
  </si>
  <si>
    <t xml:space="preserve">RPY-0003999</t>
  </si>
  <si>
    <t xml:space="preserve">RPY-0004000</t>
  </si>
  <si>
    <t xml:space="preserve">RPY-0004001</t>
  </si>
  <si>
    <t xml:space="preserve">RPY-0004002</t>
  </si>
  <si>
    <t xml:space="preserve">RPY-0004003</t>
  </si>
  <si>
    <t xml:space="preserve">RPY-0004004</t>
  </si>
  <si>
    <t xml:space="preserve">RPY-0004005</t>
  </si>
  <si>
    <t xml:space="preserve">RPY-0004006</t>
  </si>
  <si>
    <t xml:space="preserve">RPY-0004007</t>
  </si>
  <si>
    <t xml:space="preserve">RPY-0004008</t>
  </si>
  <si>
    <t xml:space="preserve">RPY-0004009</t>
  </si>
  <si>
    <t xml:space="preserve">RPY-0004010</t>
  </si>
  <si>
    <t xml:space="preserve">RPY-0004011</t>
  </si>
  <si>
    <t xml:space="preserve">RPY-0004012</t>
  </si>
  <si>
    <t xml:space="preserve">RPY-0004013</t>
  </si>
  <si>
    <t xml:space="preserve">RPY-0004014</t>
  </si>
  <si>
    <t xml:space="preserve">RPY-0004015</t>
  </si>
  <si>
    <t xml:space="preserve">RPY-0004016</t>
  </si>
  <si>
    <t xml:space="preserve">RPY-0004017</t>
  </si>
  <si>
    <t xml:space="preserve">RPY-0004018</t>
  </si>
  <si>
    <t xml:space="preserve">RPY-0004019</t>
  </si>
  <si>
    <t xml:space="preserve">RPY-0004020</t>
  </si>
  <si>
    <t xml:space="preserve">RPY-0004021</t>
  </si>
  <si>
    <t xml:space="preserve">RPY-0004022</t>
  </si>
  <si>
    <t xml:space="preserve">RPY-0004023</t>
  </si>
  <si>
    <t xml:space="preserve">RPY-0004024</t>
  </si>
  <si>
    <t xml:space="preserve">RPY-0004025</t>
  </si>
  <si>
    <t xml:space="preserve">RPY-0004026</t>
  </si>
  <si>
    <t xml:space="preserve">RPY-0004027</t>
  </si>
  <si>
    <t xml:space="preserve">RPY-0004028</t>
  </si>
  <si>
    <t xml:space="preserve">RPY-0004029</t>
  </si>
  <si>
    <t xml:space="preserve">RPY-0004030</t>
  </si>
  <si>
    <t xml:space="preserve">RPY-0004031</t>
  </si>
  <si>
    <t xml:space="preserve">RPY-0004032</t>
  </si>
  <si>
    <t xml:space="preserve">RPY-0004033</t>
  </si>
  <si>
    <t xml:space="preserve">RPY-0004034</t>
  </si>
  <si>
    <t xml:space="preserve">RPY-0004035</t>
  </si>
  <si>
    <t xml:space="preserve">RPY-0004036</t>
  </si>
  <si>
    <t xml:space="preserve">RPY-0004037</t>
  </si>
  <si>
    <t xml:space="preserve">RPY-0004038</t>
  </si>
  <si>
    <t xml:space="preserve">RPY-0004039</t>
  </si>
  <si>
    <t xml:space="preserve">RPY-0004040</t>
  </si>
  <si>
    <t xml:space="preserve">RPY-0004041</t>
  </si>
  <si>
    <t xml:space="preserve">RPY-0004042</t>
  </si>
  <si>
    <t xml:space="preserve">RPY-0004043</t>
  </si>
  <si>
    <t xml:space="preserve">RPY-0004044</t>
  </si>
  <si>
    <t xml:space="preserve">RPY-0004045</t>
  </si>
  <si>
    <t xml:space="preserve">RPY-0004046</t>
  </si>
  <si>
    <t xml:space="preserve">RPY-0004047</t>
  </si>
  <si>
    <t xml:space="preserve">RPY-0004048</t>
  </si>
  <si>
    <t xml:space="preserve">RPY-0004049</t>
  </si>
  <si>
    <t xml:space="preserve">RPY-0004050</t>
  </si>
  <si>
    <t xml:space="preserve">RPY-0004051</t>
  </si>
  <si>
    <t xml:space="preserve">RPY-0004052</t>
  </si>
  <si>
    <t xml:space="preserve">RPY-0004053</t>
  </si>
  <si>
    <t xml:space="preserve">RPY-0004054</t>
  </si>
  <si>
    <t xml:space="preserve">RPY-0004055</t>
  </si>
  <si>
    <t xml:space="preserve">RPY-0004056</t>
  </si>
  <si>
    <t xml:space="preserve">RPY-0004057</t>
  </si>
  <si>
    <t xml:space="preserve">RPY-0004058</t>
  </si>
  <si>
    <t xml:space="preserve">RPY-0004059</t>
  </si>
  <si>
    <t xml:space="preserve">RPY-0004060</t>
  </si>
  <si>
    <t xml:space="preserve">RPY-0004061</t>
  </si>
  <si>
    <t xml:space="preserve">RPY-0004062</t>
  </si>
  <si>
    <t xml:space="preserve">RPY-0004063</t>
  </si>
  <si>
    <t xml:space="preserve">RPY-0004064</t>
  </si>
  <si>
    <t xml:space="preserve">RPY-0004065</t>
  </si>
  <si>
    <t xml:space="preserve">RPY-0004066</t>
  </si>
  <si>
    <t xml:space="preserve">RPY-0004067</t>
  </si>
  <si>
    <t xml:space="preserve">RPY-0004068</t>
  </si>
  <si>
    <t xml:space="preserve">RPY-0004069</t>
  </si>
  <si>
    <t xml:space="preserve">RPY-0004070</t>
  </si>
  <si>
    <t xml:space="preserve">RPY-0004071</t>
  </si>
  <si>
    <t xml:space="preserve">RPY-0004072</t>
  </si>
  <si>
    <t xml:space="preserve">RPY-0004073</t>
  </si>
  <si>
    <t xml:space="preserve">RPY-0004074</t>
  </si>
  <si>
    <t xml:space="preserve">RPY-0004075</t>
  </si>
  <si>
    <t xml:space="preserve">RPY-0004076</t>
  </si>
  <si>
    <t xml:space="preserve">RPY-0004077</t>
  </si>
  <si>
    <t xml:space="preserve">RPY-0004078</t>
  </si>
  <si>
    <t xml:space="preserve">RPY-0004079</t>
  </si>
  <si>
    <t xml:space="preserve">RPY-0004080</t>
  </si>
  <si>
    <t xml:space="preserve">RPY-0004081</t>
  </si>
  <si>
    <t xml:space="preserve">RPY-0004082</t>
  </si>
  <si>
    <t xml:space="preserve">RPY-0004083</t>
  </si>
  <si>
    <t xml:space="preserve">RPY-0004084</t>
  </si>
  <si>
    <t xml:space="preserve">RPY-0004085</t>
  </si>
  <si>
    <t xml:space="preserve">RPY-0004086</t>
  </si>
  <si>
    <t xml:space="preserve">RPY-0004087</t>
  </si>
  <si>
    <t xml:space="preserve">RPY-0004088</t>
  </si>
  <si>
    <t xml:space="preserve">RPY-0004089</t>
  </si>
  <si>
    <t xml:space="preserve">RPY-0004090</t>
  </si>
  <si>
    <t xml:space="preserve">RPY-0004091</t>
  </si>
  <si>
    <t xml:space="preserve">RPY-0004092</t>
  </si>
  <si>
    <t xml:space="preserve">RPY-0004093</t>
  </si>
  <si>
    <t xml:space="preserve">RPY-0004094</t>
  </si>
  <si>
    <t xml:space="preserve">RPY-0004095</t>
  </si>
  <si>
    <t xml:space="preserve">RPY-0004096</t>
  </si>
  <si>
    <t xml:space="preserve">RPY-0004097</t>
  </si>
  <si>
    <t xml:space="preserve">RPY-0004098</t>
  </si>
  <si>
    <t xml:space="preserve">RPY-0004099</t>
  </si>
  <si>
    <t xml:space="preserve">RPY-0004100</t>
  </si>
  <si>
    <t xml:space="preserve">RPY-0004101</t>
  </si>
  <si>
    <t xml:space="preserve">RPY-0004102</t>
  </si>
  <si>
    <t xml:space="preserve">RPY-0004103</t>
  </si>
  <si>
    <t xml:space="preserve">RPY-0004104</t>
  </si>
  <si>
    <t xml:space="preserve">RPY-0004105</t>
  </si>
  <si>
    <t xml:space="preserve">RPY-0004106</t>
  </si>
  <si>
    <t xml:space="preserve">RPY-0004107</t>
  </si>
  <si>
    <t xml:space="preserve">RPY-0004108</t>
  </si>
  <si>
    <t xml:space="preserve">RPY-0004109</t>
  </si>
  <si>
    <t xml:space="preserve">RPY-0004110</t>
  </si>
  <si>
    <t xml:space="preserve">RPY-0004111</t>
  </si>
  <si>
    <t xml:space="preserve">RPY-0004112</t>
  </si>
  <si>
    <t xml:space="preserve">RPY-0004113</t>
  </si>
  <si>
    <t xml:space="preserve">RPY-0004114</t>
  </si>
  <si>
    <t xml:space="preserve">RPY-0004115</t>
  </si>
  <si>
    <t xml:space="preserve">RPY-0004116</t>
  </si>
  <si>
    <t xml:space="preserve">RPY-0004117</t>
  </si>
  <si>
    <t xml:space="preserve">RPY-0004118</t>
  </si>
  <si>
    <t xml:space="preserve">RPY-0004119</t>
  </si>
  <si>
    <t xml:space="preserve">RPY-0004120</t>
  </si>
  <si>
    <t xml:space="preserve">RPY-0004121</t>
  </si>
  <si>
    <t xml:space="preserve">RPY-0004122</t>
  </si>
  <si>
    <t xml:space="preserve">RPY-0004123</t>
  </si>
  <si>
    <t xml:space="preserve">RPY-0004124</t>
  </si>
  <si>
    <t xml:space="preserve">RPY-0004125</t>
  </si>
  <si>
    <t xml:space="preserve">RPY-0004126</t>
  </si>
  <si>
    <t xml:space="preserve">RPY-0004127</t>
  </si>
  <si>
    <t xml:space="preserve">RPY-0004128</t>
  </si>
  <si>
    <t xml:space="preserve">RPY-0004129</t>
  </si>
  <si>
    <t xml:space="preserve">RPY-0004130</t>
  </si>
  <si>
    <t xml:space="preserve">RPY-0004131</t>
  </si>
  <si>
    <t xml:space="preserve">RPY-0004132</t>
  </si>
  <si>
    <t xml:space="preserve">RPY-0004133</t>
  </si>
  <si>
    <t xml:space="preserve">RPY-0004134</t>
  </si>
  <si>
    <t xml:space="preserve">RPY-0004135</t>
  </si>
  <si>
    <t xml:space="preserve">RPY-0004136</t>
  </si>
  <si>
    <t xml:space="preserve">RPY-0004137</t>
  </si>
  <si>
    <t xml:space="preserve">RPY-0004138</t>
  </si>
  <si>
    <t xml:space="preserve">RPY-0004139</t>
  </si>
  <si>
    <t xml:space="preserve">RPY-0004140</t>
  </si>
  <si>
    <t xml:space="preserve">RPY-0004141</t>
  </si>
  <si>
    <t xml:space="preserve">RPY-0004142</t>
  </si>
  <si>
    <t xml:space="preserve">RPY-0004143</t>
  </si>
  <si>
    <t xml:space="preserve">RPY-0004144</t>
  </si>
  <si>
    <t xml:space="preserve">RPY-0004145</t>
  </si>
  <si>
    <t xml:space="preserve">RPY-0004146</t>
  </si>
  <si>
    <t xml:space="preserve">RPY-0004147</t>
  </si>
  <si>
    <t xml:space="preserve">RPY-0004148</t>
  </si>
  <si>
    <t xml:space="preserve">RPY-0004149</t>
  </si>
  <si>
    <t xml:space="preserve">RPY-0004150</t>
  </si>
  <si>
    <t xml:space="preserve">RPY-0004151</t>
  </si>
  <si>
    <t xml:space="preserve">RPY-0004152</t>
  </si>
  <si>
    <t xml:space="preserve">RPY-0004153</t>
  </si>
  <si>
    <t xml:space="preserve">RPY-0004154</t>
  </si>
  <si>
    <t xml:space="preserve">RPY-0004155</t>
  </si>
  <si>
    <t xml:space="preserve">RPY-0004156</t>
  </si>
  <si>
    <t xml:space="preserve">RPY-0004157</t>
  </si>
  <si>
    <t xml:space="preserve">RPY-0004158</t>
  </si>
  <si>
    <t xml:space="preserve">RPY-0004159</t>
  </si>
  <si>
    <t xml:space="preserve">RPY-0004160</t>
  </si>
  <si>
    <t xml:space="preserve">RPY-0004161</t>
  </si>
  <si>
    <t xml:space="preserve">RPY-0004162</t>
  </si>
  <si>
    <t xml:space="preserve">RPY-0004163</t>
  </si>
  <si>
    <t xml:space="preserve">RPY-0004164</t>
  </si>
  <si>
    <t xml:space="preserve">RPY-0004165</t>
  </si>
  <si>
    <t xml:space="preserve">RPY-0004166</t>
  </si>
  <si>
    <t xml:space="preserve">RPY-0004167</t>
  </si>
  <si>
    <t xml:space="preserve">RPY-0004168</t>
  </si>
  <si>
    <t xml:space="preserve">RPY-0004169</t>
  </si>
  <si>
    <t xml:space="preserve">RPY-0004170</t>
  </si>
  <si>
    <t xml:space="preserve">RPY-0004171</t>
  </si>
  <si>
    <t xml:space="preserve">RPY-0004172</t>
  </si>
  <si>
    <t xml:space="preserve">RPY-0004173</t>
  </si>
  <si>
    <t xml:space="preserve">RPY-0004174</t>
  </si>
  <si>
    <t xml:space="preserve">RPY-0004175</t>
  </si>
  <si>
    <t xml:space="preserve">RPY-0004176</t>
  </si>
  <si>
    <t xml:space="preserve">RPY-0004177</t>
  </si>
  <si>
    <t xml:space="preserve">RPY-0004178</t>
  </si>
  <si>
    <t xml:space="preserve">RPY-0004179</t>
  </si>
  <si>
    <t xml:space="preserve">RPY-0004180</t>
  </si>
  <si>
    <t xml:space="preserve">RPY-0004181</t>
  </si>
  <si>
    <t xml:space="preserve">RPY-0004182</t>
  </si>
  <si>
    <t xml:space="preserve">RPY-0004183</t>
  </si>
  <si>
    <t xml:space="preserve">RPY-0004184</t>
  </si>
  <si>
    <t xml:space="preserve">RPY-0004185</t>
  </si>
  <si>
    <t xml:space="preserve">RPY-0004186</t>
  </si>
  <si>
    <t xml:space="preserve">RPY-0004187</t>
  </si>
  <si>
    <t xml:space="preserve">RPY-0004188</t>
  </si>
  <si>
    <t xml:space="preserve">RPY-0004189</t>
  </si>
  <si>
    <t xml:space="preserve">RPY-0004190</t>
  </si>
  <si>
    <t xml:space="preserve">RPY-0004191</t>
  </si>
  <si>
    <t xml:space="preserve">RPY-0004192</t>
  </si>
  <si>
    <t xml:space="preserve">RPY-0004193</t>
  </si>
  <si>
    <t xml:space="preserve">RPY-0004194</t>
  </si>
  <si>
    <t xml:space="preserve">RPY-0004195</t>
  </si>
  <si>
    <t xml:space="preserve">RPY-0004196</t>
  </si>
  <si>
    <t xml:space="preserve">RPY-0004197</t>
  </si>
  <si>
    <t xml:space="preserve">RPY-0004198</t>
  </si>
  <si>
    <t xml:space="preserve">RPY-0004199</t>
  </si>
  <si>
    <t xml:space="preserve">RPY-0004200</t>
  </si>
  <si>
    <t xml:space="preserve">RPY-0004201</t>
  </si>
  <si>
    <t xml:space="preserve">RPY-0004202</t>
  </si>
  <si>
    <t xml:space="preserve">RPY-0004203</t>
  </si>
  <si>
    <t xml:space="preserve">RPY-0004204</t>
  </si>
  <si>
    <t xml:space="preserve">RPY-0004205</t>
  </si>
  <si>
    <t xml:space="preserve">RPY-0004206</t>
  </si>
  <si>
    <t xml:space="preserve">RPY-0004207</t>
  </si>
  <si>
    <t xml:space="preserve">RPY-0004208</t>
  </si>
  <si>
    <t xml:space="preserve">RPY-0004209</t>
  </si>
  <si>
    <t xml:space="preserve">RPY-0004210</t>
  </si>
  <si>
    <t xml:space="preserve">RPY-0004211</t>
  </si>
  <si>
    <t xml:space="preserve">RPY-0004212</t>
  </si>
  <si>
    <t xml:space="preserve">RPY-0004213</t>
  </si>
  <si>
    <t xml:space="preserve">RPY-0004214</t>
  </si>
  <si>
    <t xml:space="preserve">RPY-0004215</t>
  </si>
  <si>
    <t xml:space="preserve">RPY-0004216</t>
  </si>
  <si>
    <t xml:space="preserve">RPY-0004217</t>
  </si>
  <si>
    <t xml:space="preserve">RPY-0004218</t>
  </si>
  <si>
    <t xml:space="preserve">RPY-0004219</t>
  </si>
  <si>
    <t xml:space="preserve">RPY-0004220</t>
  </si>
  <si>
    <t xml:space="preserve">RPY-0004221</t>
  </si>
  <si>
    <t xml:space="preserve">RPY-0004222</t>
  </si>
  <si>
    <t xml:space="preserve">RPY-0004223</t>
  </si>
  <si>
    <t xml:space="preserve">RPY-0004224</t>
  </si>
  <si>
    <t xml:space="preserve">RPY-0004225</t>
  </si>
  <si>
    <t xml:space="preserve">RPY-0004226</t>
  </si>
  <si>
    <t xml:space="preserve">RPY-0004227</t>
  </si>
  <si>
    <t xml:space="preserve">RPY-0004228</t>
  </si>
  <si>
    <t xml:space="preserve">RPY-0004229</t>
  </si>
  <si>
    <t xml:space="preserve">RPY-0004230</t>
  </si>
  <si>
    <t xml:space="preserve">RPY-0004231</t>
  </si>
  <si>
    <t xml:space="preserve">RPY-0004232</t>
  </si>
  <si>
    <t xml:space="preserve">RPY-0004233</t>
  </si>
  <si>
    <t xml:space="preserve">RPY-0004234</t>
  </si>
  <si>
    <t xml:space="preserve">RPY-0004235</t>
  </si>
  <si>
    <t xml:space="preserve">RPY-0004236</t>
  </si>
  <si>
    <t xml:space="preserve">RPY-0004237</t>
  </si>
  <si>
    <t xml:space="preserve">RPY-0004238</t>
  </si>
  <si>
    <t xml:space="preserve">RPY-0004239</t>
  </si>
  <si>
    <t xml:space="preserve">RPY-0004240</t>
  </si>
  <si>
    <t xml:space="preserve">RPY-0004241</t>
  </si>
  <si>
    <t xml:space="preserve">RPY-0004242</t>
  </si>
  <si>
    <t xml:space="preserve">RPY-0004243</t>
  </si>
  <si>
    <t xml:space="preserve">RPY-0004244</t>
  </si>
  <si>
    <t xml:space="preserve">RPY-0004245</t>
  </si>
  <si>
    <t xml:space="preserve">RPY-0004246</t>
  </si>
  <si>
    <t xml:space="preserve">RPY-0004247</t>
  </si>
  <si>
    <t xml:space="preserve">RPY-0004248</t>
  </si>
  <si>
    <t xml:space="preserve">RPY-0004249</t>
  </si>
  <si>
    <t xml:space="preserve">RPY-0004250</t>
  </si>
  <si>
    <t xml:space="preserve">RPY-0004251</t>
  </si>
  <si>
    <t xml:space="preserve">RPY-0004252</t>
  </si>
  <si>
    <t xml:space="preserve">RPY-0004253</t>
  </si>
  <si>
    <t xml:space="preserve">RPY-0004254</t>
  </si>
  <si>
    <t xml:space="preserve">RPY-0004255</t>
  </si>
  <si>
    <t xml:space="preserve">RPY-0004256</t>
  </si>
  <si>
    <t xml:space="preserve">RPY-0004257</t>
  </si>
  <si>
    <t xml:space="preserve">RPY-0004258</t>
  </si>
  <si>
    <t xml:space="preserve">RPY-0004259</t>
  </si>
  <si>
    <t xml:space="preserve">RPY-0004260</t>
  </si>
  <si>
    <t xml:space="preserve">RPY-0004261</t>
  </si>
  <si>
    <t xml:space="preserve">RPY-0004262</t>
  </si>
  <si>
    <t xml:space="preserve">RPY-0004263</t>
  </si>
  <si>
    <t xml:space="preserve">RPY-0004264</t>
  </si>
  <si>
    <t xml:space="preserve">RPY-0004265</t>
  </si>
  <si>
    <t xml:space="preserve">RPY-0004266</t>
  </si>
  <si>
    <t xml:space="preserve">RPY-0004267</t>
  </si>
  <si>
    <t xml:space="preserve">RPY-0004268</t>
  </si>
  <si>
    <t xml:space="preserve">RPY-0004269</t>
  </si>
  <si>
    <t xml:space="preserve">RPY-0004270</t>
  </si>
  <si>
    <t xml:space="preserve">RPY-0004271</t>
  </si>
  <si>
    <t xml:space="preserve">RPY-0004272</t>
  </si>
  <si>
    <t xml:space="preserve">RPY-0004273</t>
  </si>
  <si>
    <t xml:space="preserve">RPY-0004274</t>
  </si>
  <si>
    <t xml:space="preserve">RPY-0004275</t>
  </si>
  <si>
    <t xml:space="preserve">RPY-0004276</t>
  </si>
  <si>
    <t xml:space="preserve">RPY-0004277</t>
  </si>
  <si>
    <t xml:space="preserve">RPY-0004278</t>
  </si>
  <si>
    <t xml:space="preserve">RPY-0004279</t>
  </si>
  <si>
    <t xml:space="preserve">RPY-0004280</t>
  </si>
  <si>
    <t xml:space="preserve">RPY-0004281</t>
  </si>
  <si>
    <t xml:space="preserve">RPY-0004282</t>
  </si>
  <si>
    <t xml:space="preserve">RPY-0004283</t>
  </si>
  <si>
    <t xml:space="preserve">RPY-0004284</t>
  </si>
  <si>
    <t xml:space="preserve">RPY-0004285</t>
  </si>
  <si>
    <t xml:space="preserve">RPY-0004286</t>
  </si>
  <si>
    <t xml:space="preserve">RPY-0004287</t>
  </si>
  <si>
    <t xml:space="preserve">RPY-0004288</t>
  </si>
  <si>
    <t xml:space="preserve">RPY-0004289</t>
  </si>
  <si>
    <t xml:space="preserve">RPY-0004290</t>
  </si>
  <si>
    <t xml:space="preserve">RPY-0004291</t>
  </si>
  <si>
    <t xml:space="preserve">RPY-0004292</t>
  </si>
  <si>
    <t xml:space="preserve">RPY-0004293</t>
  </si>
  <si>
    <t xml:space="preserve">RPY-0004294</t>
  </si>
  <si>
    <t xml:space="preserve">RPY-0004295</t>
  </si>
  <si>
    <t xml:space="preserve">RPY-0004296</t>
  </si>
  <si>
    <t xml:space="preserve">RPY-0004297</t>
  </si>
  <si>
    <t xml:space="preserve">RPY-0004298</t>
  </si>
  <si>
    <t xml:space="preserve">RPY-0004299</t>
  </si>
  <si>
    <t xml:space="preserve">RPY-0004300</t>
  </si>
  <si>
    <t xml:space="preserve">RPY-0004301</t>
  </si>
  <si>
    <t xml:space="preserve">RPY-0004302</t>
  </si>
  <si>
    <t xml:space="preserve">RPY-0004303</t>
  </si>
  <si>
    <t xml:space="preserve">RPY-0004304</t>
  </si>
  <si>
    <t xml:space="preserve">RPY-0004305</t>
  </si>
  <si>
    <t xml:space="preserve">RPY-0004306</t>
  </si>
  <si>
    <t xml:space="preserve">RPY-0004307</t>
  </si>
  <si>
    <t xml:space="preserve">RPY-0004308</t>
  </si>
  <si>
    <t xml:space="preserve">RPY-0004309</t>
  </si>
  <si>
    <t xml:space="preserve">RPY-0004310</t>
  </si>
  <si>
    <t xml:space="preserve">RPY-0004311</t>
  </si>
  <si>
    <t xml:space="preserve">RPY-0004312</t>
  </si>
  <si>
    <t xml:space="preserve">RPY-0004313</t>
  </si>
  <si>
    <t xml:space="preserve">RPY-0004314</t>
  </si>
  <si>
    <t xml:space="preserve">RPY-0004315</t>
  </si>
  <si>
    <t xml:space="preserve">RPY-0004316</t>
  </si>
  <si>
    <t xml:space="preserve">RPY-0004317</t>
  </si>
  <si>
    <t xml:space="preserve">RPY-0004318</t>
  </si>
  <si>
    <t xml:space="preserve">RPY-0004319</t>
  </si>
  <si>
    <t xml:space="preserve">RPY-0004320</t>
  </si>
  <si>
    <t xml:space="preserve">RPY-0004321</t>
  </si>
  <si>
    <t xml:space="preserve">RPY-0004322</t>
  </si>
  <si>
    <t xml:space="preserve">RPY-0004323</t>
  </si>
  <si>
    <t xml:space="preserve">RPY-0004324</t>
  </si>
  <si>
    <t xml:space="preserve">RPY-0004325</t>
  </si>
  <si>
    <t xml:space="preserve">RPY-0004326</t>
  </si>
  <si>
    <t xml:space="preserve">RPY-0004327</t>
  </si>
  <si>
    <t xml:space="preserve">RPY-0004328</t>
  </si>
  <si>
    <t xml:space="preserve">RPY-0004329</t>
  </si>
  <si>
    <t xml:space="preserve">RPY-0004330</t>
  </si>
  <si>
    <t xml:space="preserve">RPY-0004331</t>
  </si>
  <si>
    <t xml:space="preserve">RPY-0004332</t>
  </si>
  <si>
    <t xml:space="preserve">RPY-0004333</t>
  </si>
  <si>
    <t xml:space="preserve">RPY-0004334</t>
  </si>
  <si>
    <t xml:space="preserve">RPY-0004335</t>
  </si>
  <si>
    <t xml:space="preserve">RPY-0004336</t>
  </si>
  <si>
    <t xml:space="preserve">RPY-0004337</t>
  </si>
  <si>
    <t xml:space="preserve">RPY-0004338</t>
  </si>
  <si>
    <t xml:space="preserve">RPY-0004339</t>
  </si>
  <si>
    <t xml:space="preserve">RPY-0004340</t>
  </si>
  <si>
    <t xml:space="preserve">RPY-0004341</t>
  </si>
  <si>
    <t xml:space="preserve">RPY-0004342</t>
  </si>
  <si>
    <t xml:space="preserve">RPY-0004343</t>
  </si>
  <si>
    <t xml:space="preserve">RPY-0004344</t>
  </si>
  <si>
    <t xml:space="preserve">RPY-0004345</t>
  </si>
  <si>
    <t xml:space="preserve">RPY-0004346</t>
  </si>
  <si>
    <t xml:space="preserve">RPY-0004347</t>
  </si>
  <si>
    <t xml:space="preserve">RPY-0004348</t>
  </si>
  <si>
    <t xml:space="preserve">RPY-0004349</t>
  </si>
  <si>
    <t xml:space="preserve">RPY-0004350</t>
  </si>
  <si>
    <t xml:space="preserve">RPY-0004351</t>
  </si>
  <si>
    <t xml:space="preserve">RPY-0004352</t>
  </si>
  <si>
    <t xml:space="preserve">RPY-0004353</t>
  </si>
  <si>
    <t xml:space="preserve">RPY-0004354</t>
  </si>
  <si>
    <t xml:space="preserve">RPY-0004355</t>
  </si>
  <si>
    <t xml:space="preserve">RPY-0004356</t>
  </si>
  <si>
    <t xml:space="preserve">RPY-0004357</t>
  </si>
  <si>
    <t xml:space="preserve">RPY-0004358</t>
  </si>
  <si>
    <t xml:space="preserve">RPY-0004359</t>
  </si>
  <si>
    <t xml:space="preserve">RPY-0004360</t>
  </si>
  <si>
    <t xml:space="preserve">RPY-0004361</t>
  </si>
  <si>
    <t xml:space="preserve">RPY-0004362</t>
  </si>
  <si>
    <t xml:space="preserve">RPY-0004363</t>
  </si>
  <si>
    <t xml:space="preserve">RPY-0004364</t>
  </si>
  <si>
    <t xml:space="preserve">RPY-0004365</t>
  </si>
  <si>
    <t xml:space="preserve">RPY-0004366</t>
  </si>
  <si>
    <t xml:space="preserve">RPY-0004367</t>
  </si>
  <si>
    <t xml:space="preserve">RPY-0004368</t>
  </si>
  <si>
    <t xml:space="preserve">RPY-0004369</t>
  </si>
  <si>
    <t xml:space="preserve">RPY-0004370</t>
  </si>
  <si>
    <t xml:space="preserve">RPY-0004371</t>
  </si>
  <si>
    <t xml:space="preserve">RPY-0004372</t>
  </si>
  <si>
    <t xml:space="preserve">RPY-0004373</t>
  </si>
  <si>
    <t xml:space="preserve">RPY-0004374</t>
  </si>
  <si>
    <t xml:space="preserve">RPY-0004375</t>
  </si>
  <si>
    <t xml:space="preserve">RPY-0004376</t>
  </si>
  <si>
    <t xml:space="preserve">RPY-0004377</t>
  </si>
  <si>
    <t xml:space="preserve">RPY-0004378</t>
  </si>
  <si>
    <t xml:space="preserve">RPY-0004379</t>
  </si>
  <si>
    <t xml:space="preserve">RPY-0004380</t>
  </si>
  <si>
    <t xml:space="preserve">RPY-0004381</t>
  </si>
  <si>
    <t xml:space="preserve">RPY-0004382</t>
  </si>
  <si>
    <t xml:space="preserve">RPY-0004383</t>
  </si>
  <si>
    <t xml:space="preserve">RPY-0004384</t>
  </si>
  <si>
    <t xml:space="preserve">RPY-0004385</t>
  </si>
  <si>
    <t xml:space="preserve">RPY-0004386</t>
  </si>
  <si>
    <t xml:space="preserve">RPY-0004387</t>
  </si>
  <si>
    <t xml:space="preserve">RPY-0004388</t>
  </si>
  <si>
    <t xml:space="preserve">RPY-0004389</t>
  </si>
  <si>
    <t xml:space="preserve">RPY-0004390</t>
  </si>
  <si>
    <t xml:space="preserve">RPY-0004391</t>
  </si>
  <si>
    <t xml:space="preserve">RPY-0004392</t>
  </si>
  <si>
    <t xml:space="preserve">RPY-0004393</t>
  </si>
  <si>
    <t xml:space="preserve">RPY-0004394</t>
  </si>
  <si>
    <t xml:space="preserve">RPY-0004395</t>
  </si>
  <si>
    <t xml:space="preserve">RPY-0004396</t>
  </si>
  <si>
    <t xml:space="preserve">RPY-0004397</t>
  </si>
  <si>
    <t xml:space="preserve">RPY-0004398</t>
  </si>
  <si>
    <t xml:space="preserve">RPY-0004399</t>
  </si>
  <si>
    <t xml:space="preserve">RPY-0004400</t>
  </si>
  <si>
    <t xml:space="preserve">RPY-0004401</t>
  </si>
  <si>
    <t xml:space="preserve">RPY-0004402</t>
  </si>
  <si>
    <t xml:space="preserve">RPY-0004403</t>
  </si>
  <si>
    <t xml:space="preserve">RPY-0004404</t>
  </si>
  <si>
    <t xml:space="preserve">RPY-0004405</t>
  </si>
  <si>
    <t xml:space="preserve">RPY-0004406</t>
  </si>
  <si>
    <t xml:space="preserve">RPY-0004407</t>
  </si>
  <si>
    <t xml:space="preserve">RPY-0004408</t>
  </si>
  <si>
    <t xml:space="preserve">RPY-0004409</t>
  </si>
  <si>
    <t xml:space="preserve">RPY-0004410</t>
  </si>
  <si>
    <t xml:space="preserve">RPY-0004411</t>
  </si>
  <si>
    <t xml:space="preserve">RPY-0004412</t>
  </si>
  <si>
    <t xml:space="preserve">RPY-0004413</t>
  </si>
  <si>
    <t xml:space="preserve">RPY-0004414</t>
  </si>
  <si>
    <t xml:space="preserve">RPY-0004415</t>
  </si>
  <si>
    <t xml:space="preserve">RPY-0004416</t>
  </si>
  <si>
    <t xml:space="preserve">RPY-0004417</t>
  </si>
  <si>
    <t xml:space="preserve">RPY-0004418</t>
  </si>
  <si>
    <t xml:space="preserve">RPY-0004419</t>
  </si>
  <si>
    <t xml:space="preserve">RPY-0004420</t>
  </si>
  <si>
    <t xml:space="preserve">RPY-0004421</t>
  </si>
  <si>
    <t xml:space="preserve">RPY-0004422</t>
  </si>
  <si>
    <t xml:space="preserve">RPY-0004423</t>
  </si>
  <si>
    <t xml:space="preserve">RPY-0004424</t>
  </si>
  <si>
    <t xml:space="preserve">RPY-0004425</t>
  </si>
  <si>
    <t xml:space="preserve">RPY-0004426</t>
  </si>
  <si>
    <t xml:space="preserve">RPY-0004427</t>
  </si>
  <si>
    <t xml:space="preserve">RPY-0004428</t>
  </si>
  <si>
    <t xml:space="preserve">RPY-0004429</t>
  </si>
  <si>
    <t xml:space="preserve">RPY-0004430</t>
  </si>
  <si>
    <t xml:space="preserve">RPY-0004431</t>
  </si>
  <si>
    <t xml:space="preserve">RPY-0004432</t>
  </si>
  <si>
    <t xml:space="preserve">RPY-0004433</t>
  </si>
  <si>
    <t xml:space="preserve">RPY-0004434</t>
  </si>
  <si>
    <t xml:space="preserve">RPY-0004435</t>
  </si>
  <si>
    <t xml:space="preserve">RPY-0004436</t>
  </si>
  <si>
    <t xml:space="preserve">RPY-0004437</t>
  </si>
  <si>
    <t xml:space="preserve">RPY-0004438</t>
  </si>
  <si>
    <t xml:space="preserve">RPY-0004439</t>
  </si>
  <si>
    <t xml:space="preserve">RPY-0004440</t>
  </si>
  <si>
    <t xml:space="preserve">RPY-0004441</t>
  </si>
  <si>
    <t xml:space="preserve">RPY-0004442</t>
  </si>
  <si>
    <t xml:space="preserve">RPY-0004443</t>
  </si>
  <si>
    <t xml:space="preserve">RPY-0004444</t>
  </si>
  <si>
    <t xml:space="preserve">RPY-0004445</t>
  </si>
  <si>
    <t xml:space="preserve">RPY-0004446</t>
  </si>
  <si>
    <t xml:space="preserve">RPY-0004447</t>
  </si>
  <si>
    <t xml:space="preserve">RPY-0004448</t>
  </si>
  <si>
    <t xml:space="preserve">RPY-0004449</t>
  </si>
  <si>
    <t xml:space="preserve">RPY-0004450</t>
  </si>
  <si>
    <t xml:space="preserve">RPY-0004451</t>
  </si>
  <si>
    <t xml:space="preserve">RPY-0004452</t>
  </si>
  <si>
    <t xml:space="preserve">RPY-0004453</t>
  </si>
  <si>
    <t xml:space="preserve">RPY-0004454</t>
  </si>
  <si>
    <t xml:space="preserve">RPY-0004455</t>
  </si>
  <si>
    <t xml:space="preserve">RPY-0004456</t>
  </si>
  <si>
    <t xml:space="preserve">RPY-0004457</t>
  </si>
  <si>
    <t xml:space="preserve">RPY-0004458</t>
  </si>
  <si>
    <t xml:space="preserve">RPY-0004459</t>
  </si>
  <si>
    <t xml:space="preserve">RPY-0004460</t>
  </si>
  <si>
    <t xml:space="preserve">RPY-0004461</t>
  </si>
  <si>
    <t xml:space="preserve">RPY-0004462</t>
  </si>
  <si>
    <t xml:space="preserve">RPY-0004463</t>
  </si>
  <si>
    <t xml:space="preserve">RPY-0004464</t>
  </si>
  <si>
    <t xml:space="preserve">RPY-0004465</t>
  </si>
  <si>
    <t xml:space="preserve">RPY-0004466</t>
  </si>
  <si>
    <t xml:space="preserve">RPY-0004467</t>
  </si>
  <si>
    <t xml:space="preserve">RPY-0004468</t>
  </si>
  <si>
    <t xml:space="preserve">RPY-0004469</t>
  </si>
  <si>
    <t xml:space="preserve">RPY-0004470</t>
  </si>
  <si>
    <t xml:space="preserve">RPY-0004471</t>
  </si>
  <si>
    <t xml:space="preserve">RPY-0004472</t>
  </si>
  <si>
    <t xml:space="preserve">RPY-0004473</t>
  </si>
  <si>
    <t xml:space="preserve">RPY-0004474</t>
  </si>
  <si>
    <t xml:space="preserve">RPY-0004475</t>
  </si>
  <si>
    <t xml:space="preserve">RPY-0004476</t>
  </si>
  <si>
    <t xml:space="preserve">RPY-0004477</t>
  </si>
  <si>
    <t xml:space="preserve">RPY-0004478</t>
  </si>
  <si>
    <t xml:space="preserve">RPY-0004479</t>
  </si>
  <si>
    <t xml:space="preserve">RPY-0004480</t>
  </si>
  <si>
    <t xml:space="preserve">RPY-0004481</t>
  </si>
  <si>
    <t xml:space="preserve">RPY-0004482</t>
  </si>
  <si>
    <t xml:space="preserve">RPY-0004483</t>
  </si>
  <si>
    <t xml:space="preserve">RPY-0004484</t>
  </si>
  <si>
    <t xml:space="preserve">RPY-0004485</t>
  </si>
  <si>
    <t xml:space="preserve">RPY-0004486</t>
  </si>
  <si>
    <t xml:space="preserve">RPY-0004487</t>
  </si>
  <si>
    <t xml:space="preserve">RPY-0004488</t>
  </si>
  <si>
    <t xml:space="preserve">RPY-0004489</t>
  </si>
  <si>
    <t xml:space="preserve">RPY-0004490</t>
  </si>
  <si>
    <t xml:space="preserve">RPY-0004491</t>
  </si>
  <si>
    <t xml:space="preserve">RPY-0004492</t>
  </si>
  <si>
    <t xml:space="preserve">RPY-0004493</t>
  </si>
  <si>
    <t xml:space="preserve">RPY-0004494</t>
  </si>
  <si>
    <t xml:space="preserve">RPY-0004495</t>
  </si>
  <si>
    <t xml:space="preserve">RPY-0004496</t>
  </si>
  <si>
    <t xml:space="preserve">RPY-0004497</t>
  </si>
  <si>
    <t xml:space="preserve">RPY-0004498</t>
  </si>
  <si>
    <t xml:space="preserve">RPY-0004499</t>
  </si>
  <si>
    <t xml:space="preserve">RPY-0004500</t>
  </si>
  <si>
    <t xml:space="preserve">RPY-0004501</t>
  </si>
  <si>
    <t xml:space="preserve">RPY-0004502</t>
  </si>
  <si>
    <t xml:space="preserve">RPY-0004503</t>
  </si>
  <si>
    <t xml:space="preserve">RPY-0004504</t>
  </si>
  <si>
    <t xml:space="preserve">RPY-0004505</t>
  </si>
  <si>
    <t xml:space="preserve">RPY-0004506</t>
  </si>
  <si>
    <t xml:space="preserve">RPY-0004507</t>
  </si>
  <si>
    <t xml:space="preserve">RPY-0004508</t>
  </si>
  <si>
    <t xml:space="preserve">RPY-0004509</t>
  </si>
  <si>
    <t xml:space="preserve">RPY-0004510</t>
  </si>
  <si>
    <t xml:space="preserve">RPY-0004511</t>
  </si>
  <si>
    <t xml:space="preserve">RPY-0004512</t>
  </si>
  <si>
    <t xml:space="preserve">RPY-0004513</t>
  </si>
  <si>
    <t xml:space="preserve">RPY-0004514</t>
  </si>
  <si>
    <t xml:space="preserve">RPY-0004515</t>
  </si>
  <si>
    <t xml:space="preserve">RPY-0004516</t>
  </si>
  <si>
    <t xml:space="preserve">RPY-0004517</t>
  </si>
  <si>
    <t xml:space="preserve">RPY-0004518</t>
  </si>
  <si>
    <t xml:space="preserve">RPY-0004519</t>
  </si>
  <si>
    <t xml:space="preserve">RPY-0004520</t>
  </si>
  <si>
    <t xml:space="preserve">RPY-0004521</t>
  </si>
  <si>
    <t xml:space="preserve">RPY-0004522</t>
  </si>
  <si>
    <t xml:space="preserve">RPY-0004523</t>
  </si>
  <si>
    <t xml:space="preserve">RPY-0004524</t>
  </si>
  <si>
    <t xml:space="preserve">RPY-0004525</t>
  </si>
  <si>
    <t xml:space="preserve">RPY-0004526</t>
  </si>
  <si>
    <t xml:space="preserve">RPY-0004527</t>
  </si>
  <si>
    <t xml:space="preserve">RPY-0004528</t>
  </si>
  <si>
    <t xml:space="preserve">RPY-0004529</t>
  </si>
  <si>
    <t xml:space="preserve">RPY-0004530</t>
  </si>
  <si>
    <t xml:space="preserve">RPY-0004531</t>
  </si>
  <si>
    <t xml:space="preserve">RPY-0004532</t>
  </si>
  <si>
    <t xml:space="preserve">RPY-0004533</t>
  </si>
  <si>
    <t xml:space="preserve">RPY-0004534</t>
  </si>
  <si>
    <t xml:space="preserve">RPY-0004535</t>
  </si>
  <si>
    <t xml:space="preserve">RPY-0004536</t>
  </si>
  <si>
    <t xml:space="preserve">RPY-0004537</t>
  </si>
  <si>
    <t xml:space="preserve">RPY-0004538</t>
  </si>
  <si>
    <t xml:space="preserve">RPY-0004539</t>
  </si>
  <si>
    <t xml:space="preserve">RPY-0004540</t>
  </si>
  <si>
    <t xml:space="preserve">RPY-0004541</t>
  </si>
  <si>
    <t xml:space="preserve">RPY-0004542</t>
  </si>
  <si>
    <t xml:space="preserve">RPY-0004543</t>
  </si>
  <si>
    <t xml:space="preserve">RPY-0004544</t>
  </si>
  <si>
    <t xml:space="preserve">RPY-0004545</t>
  </si>
  <si>
    <t xml:space="preserve">RPY-0004546</t>
  </si>
  <si>
    <t xml:space="preserve">RPY-0004547</t>
  </si>
  <si>
    <t xml:space="preserve">RPY-0004548</t>
  </si>
  <si>
    <t xml:space="preserve">RPY-0004549</t>
  </si>
  <si>
    <t xml:space="preserve">RPY-0004550</t>
  </si>
  <si>
    <t xml:space="preserve">RPY-0004551</t>
  </si>
  <si>
    <t xml:space="preserve">RPY-0004552</t>
  </si>
  <si>
    <t xml:space="preserve">RPY-0004553</t>
  </si>
  <si>
    <t xml:space="preserve">RPY-0004554</t>
  </si>
  <si>
    <t xml:space="preserve">RPY-0004555</t>
  </si>
  <si>
    <t xml:space="preserve">RPY-0004556</t>
  </si>
  <si>
    <t xml:space="preserve">RPY-0004557</t>
  </si>
  <si>
    <t xml:space="preserve">RPY-0004558</t>
  </si>
  <si>
    <t xml:space="preserve">RPY-0004559</t>
  </si>
  <si>
    <t xml:space="preserve">RPY-0004560</t>
  </si>
  <si>
    <t xml:space="preserve">RPY-0004561</t>
  </si>
  <si>
    <t xml:space="preserve">RPY-0004562</t>
  </si>
  <si>
    <t xml:space="preserve">RPY-0004563</t>
  </si>
  <si>
    <t xml:space="preserve">RPY-0004564</t>
  </si>
  <si>
    <t xml:space="preserve">RPY-0004565</t>
  </si>
  <si>
    <t xml:space="preserve">RPY-0004566</t>
  </si>
  <si>
    <t xml:space="preserve">RPY-0004567</t>
  </si>
  <si>
    <t xml:space="preserve">RPY-0004568</t>
  </si>
  <si>
    <t xml:space="preserve">RPY-0004569</t>
  </si>
  <si>
    <t xml:space="preserve">RPY-0004570</t>
  </si>
  <si>
    <t xml:space="preserve">RPY-0004571</t>
  </si>
  <si>
    <t xml:space="preserve">RPY-0004572</t>
  </si>
  <si>
    <t xml:space="preserve">RPY-0004573</t>
  </si>
  <si>
    <t xml:space="preserve">RPY-0004574</t>
  </si>
  <si>
    <t xml:space="preserve">RPY-0004575</t>
  </si>
  <si>
    <t xml:space="preserve">RPY-0004576</t>
  </si>
  <si>
    <t xml:space="preserve">RPY-0004577</t>
  </si>
  <si>
    <t xml:space="preserve">RPY-0004578</t>
  </si>
  <si>
    <t xml:space="preserve">RPY-0004579</t>
  </si>
  <si>
    <t xml:space="preserve">RPY-0004580</t>
  </si>
  <si>
    <t xml:space="preserve">RPY-0004581</t>
  </si>
  <si>
    <t xml:space="preserve">RPY-0004582</t>
  </si>
  <si>
    <t xml:space="preserve">RPY-0004583</t>
  </si>
  <si>
    <t xml:space="preserve">RPY-0004584</t>
  </si>
  <si>
    <t xml:space="preserve">RPY-0004585</t>
  </si>
  <si>
    <t xml:space="preserve">RPY-0004586</t>
  </si>
  <si>
    <t xml:space="preserve">RPY-0004587</t>
  </si>
  <si>
    <t xml:space="preserve">RPY-0004588</t>
  </si>
  <si>
    <t xml:space="preserve">RPY-0004589</t>
  </si>
  <si>
    <t xml:space="preserve">RPY-0004590</t>
  </si>
  <si>
    <t xml:space="preserve">RPY-0004591</t>
  </si>
  <si>
    <t xml:space="preserve">RPY-0004592</t>
  </si>
  <si>
    <t xml:space="preserve">RPY-0004593</t>
  </si>
  <si>
    <t xml:space="preserve">RPY-0004594</t>
  </si>
  <si>
    <t xml:space="preserve">RPY-0004595</t>
  </si>
  <si>
    <t xml:space="preserve">RPY-0004596</t>
  </si>
  <si>
    <t xml:space="preserve">RPY-0004597</t>
  </si>
  <si>
    <t xml:space="preserve">RPY-0004598</t>
  </si>
  <si>
    <t xml:space="preserve">RPY-0004599</t>
  </si>
  <si>
    <t xml:space="preserve">RPY-0004600</t>
  </si>
  <si>
    <t xml:space="preserve">RPY-0004601</t>
  </si>
  <si>
    <t xml:space="preserve">RPY-0004602</t>
  </si>
  <si>
    <t xml:space="preserve">RPY-0004603</t>
  </si>
  <si>
    <t xml:space="preserve">RPY-0004604</t>
  </si>
  <si>
    <t xml:space="preserve">RPY-0004605</t>
  </si>
  <si>
    <t xml:space="preserve">RPY-0004606</t>
  </si>
  <si>
    <t xml:space="preserve">RPY-0004607</t>
  </si>
  <si>
    <t xml:space="preserve">RPY-0004608</t>
  </si>
  <si>
    <t xml:space="preserve">RPY-0004609</t>
  </si>
  <si>
    <t xml:space="preserve">RPY-0004610</t>
  </si>
  <si>
    <t xml:space="preserve">RPY-0004611</t>
  </si>
  <si>
    <t xml:space="preserve">RPY-0004612</t>
  </si>
  <si>
    <t xml:space="preserve">RPY-0004613</t>
  </si>
  <si>
    <t xml:space="preserve">RPY-0004614</t>
  </si>
  <si>
    <t xml:space="preserve">RPY-0004615</t>
  </si>
  <si>
    <t xml:space="preserve">RPY-0004616</t>
  </si>
  <si>
    <t xml:space="preserve">RPY-0004617</t>
  </si>
  <si>
    <t xml:space="preserve">RPY-0004618</t>
  </si>
  <si>
    <t xml:space="preserve">RPY-0004619</t>
  </si>
  <si>
    <t xml:space="preserve">RPY-0004620</t>
  </si>
  <si>
    <t xml:space="preserve">RPY-0004621</t>
  </si>
  <si>
    <t xml:space="preserve">RPY-0004622</t>
  </si>
  <si>
    <t xml:space="preserve">RPY-0004623</t>
  </si>
  <si>
    <t xml:space="preserve">RPY-0004624</t>
  </si>
  <si>
    <t xml:space="preserve">RPY-0004625</t>
  </si>
  <si>
    <t xml:space="preserve">RPY-0004626</t>
  </si>
  <si>
    <t xml:space="preserve">RPY-0004627</t>
  </si>
  <si>
    <t xml:space="preserve">RPY-0004628</t>
  </si>
  <si>
    <t xml:space="preserve">RPY-0004629</t>
  </si>
  <si>
    <t xml:space="preserve">RPY-0004630</t>
  </si>
  <si>
    <t xml:space="preserve">RPY-0004631</t>
  </si>
  <si>
    <t xml:space="preserve">RPY-0004632</t>
  </si>
  <si>
    <t xml:space="preserve">RPY-0004633</t>
  </si>
  <si>
    <t xml:space="preserve">RPY-0004634</t>
  </si>
  <si>
    <t xml:space="preserve">RPY-0004635</t>
  </si>
  <si>
    <t xml:space="preserve">RPY-0004636</t>
  </si>
  <si>
    <t xml:space="preserve">RPY-0004637</t>
  </si>
  <si>
    <t xml:space="preserve">RPY-0004638</t>
  </si>
  <si>
    <t xml:space="preserve">RPY-0004639</t>
  </si>
  <si>
    <t xml:space="preserve">RPY-0004640</t>
  </si>
  <si>
    <t xml:space="preserve">RPY-0004641</t>
  </si>
  <si>
    <t xml:space="preserve">RPY-0004642</t>
  </si>
  <si>
    <t xml:space="preserve">RPY-0004643</t>
  </si>
  <si>
    <t xml:space="preserve">RPY-0004644</t>
  </si>
  <si>
    <t xml:space="preserve">RPY-0004645</t>
  </si>
  <si>
    <t xml:space="preserve">RPY-0004646</t>
  </si>
  <si>
    <t xml:space="preserve">RPY-0004647</t>
  </si>
  <si>
    <t xml:space="preserve">RPY-0004648</t>
  </si>
  <si>
    <t xml:space="preserve">RPY-0004649</t>
  </si>
  <si>
    <t xml:space="preserve">RPY-0004650</t>
  </si>
  <si>
    <t xml:space="preserve">RPY-0004651</t>
  </si>
  <si>
    <t xml:space="preserve">RPY-0004652</t>
  </si>
  <si>
    <t xml:space="preserve">RPY-0004653</t>
  </si>
  <si>
    <t xml:space="preserve">RPY-0004654</t>
  </si>
  <si>
    <t xml:space="preserve">RPY-0004655</t>
  </si>
  <si>
    <t xml:space="preserve">RPY-0004656</t>
  </si>
  <si>
    <t xml:space="preserve">RPY-0004657</t>
  </si>
  <si>
    <t xml:space="preserve">RPY-0004658</t>
  </si>
  <si>
    <t xml:space="preserve">RPY-0004659</t>
  </si>
  <si>
    <t xml:space="preserve">RPY-0004660</t>
  </si>
  <si>
    <t xml:space="preserve">RPY-0004661</t>
  </si>
  <si>
    <t xml:space="preserve">RPY-0004662</t>
  </si>
  <si>
    <t xml:space="preserve">RPY-0004663</t>
  </si>
  <si>
    <t xml:space="preserve">RPY-0004664</t>
  </si>
  <si>
    <t xml:space="preserve">RPY-0004665</t>
  </si>
  <si>
    <t xml:space="preserve">RPY-0004666</t>
  </si>
  <si>
    <t xml:space="preserve">RPY-0004667</t>
  </si>
  <si>
    <t xml:space="preserve">RPY-0004668</t>
  </si>
  <si>
    <t xml:space="preserve">RPY-0004669</t>
  </si>
  <si>
    <t xml:space="preserve">RPY-0004670</t>
  </si>
  <si>
    <t xml:space="preserve">RPY-0004671</t>
  </si>
  <si>
    <t xml:space="preserve">RPY-0004672</t>
  </si>
  <si>
    <t xml:space="preserve">RPY-0004673</t>
  </si>
  <si>
    <t xml:space="preserve">RPY-0004674</t>
  </si>
  <si>
    <t xml:space="preserve">RPY-0004675</t>
  </si>
  <si>
    <t xml:space="preserve">RPY-0004676</t>
  </si>
  <si>
    <t xml:space="preserve">RPY-0004677</t>
  </si>
  <si>
    <t xml:space="preserve">RPY-0004678</t>
  </si>
  <si>
    <t xml:space="preserve">RPY-0004679</t>
  </si>
  <si>
    <t xml:space="preserve">RPY-0004680</t>
  </si>
  <si>
    <t xml:space="preserve">RPY-0004681</t>
  </si>
  <si>
    <t xml:space="preserve">RPY-0004682</t>
  </si>
  <si>
    <t xml:space="preserve">RPY-0004683</t>
  </si>
  <si>
    <t xml:space="preserve">RPY-0004684</t>
  </si>
  <si>
    <t xml:space="preserve">RPY-0004685</t>
  </si>
  <si>
    <t xml:space="preserve">RPY-0004686</t>
  </si>
  <si>
    <t xml:space="preserve">RPY-0004687</t>
  </si>
  <si>
    <t xml:space="preserve">RPY-0004688</t>
  </si>
  <si>
    <t xml:space="preserve">RPY-0004689</t>
  </si>
  <si>
    <t xml:space="preserve">RPY-0004690</t>
  </si>
  <si>
    <t xml:space="preserve">RPY-0004691</t>
  </si>
  <si>
    <t xml:space="preserve">RPY-0004692</t>
  </si>
  <si>
    <t xml:space="preserve">RPY-0004693</t>
  </si>
  <si>
    <t xml:space="preserve">RPY-0004694</t>
  </si>
  <si>
    <t xml:space="preserve">RPY-0004695</t>
  </si>
  <si>
    <t xml:space="preserve">RPY-0004696</t>
  </si>
  <si>
    <t xml:space="preserve">RPY-0004697</t>
  </si>
  <si>
    <t xml:space="preserve">RPY-0004698</t>
  </si>
  <si>
    <t xml:space="preserve">RPY-0004699</t>
  </si>
  <si>
    <t xml:space="preserve">RPY-0004700</t>
  </si>
  <si>
    <t xml:space="preserve">RPY-0004701</t>
  </si>
  <si>
    <t xml:space="preserve">RPY-0004702</t>
  </si>
  <si>
    <t xml:space="preserve">RPY-0004703</t>
  </si>
  <si>
    <t xml:space="preserve">RPY-0004704</t>
  </si>
  <si>
    <t xml:space="preserve">RPY-0004705</t>
  </si>
  <si>
    <t xml:space="preserve">RPY-0004706</t>
  </si>
  <si>
    <t xml:space="preserve">RPY-0004707</t>
  </si>
  <si>
    <t xml:space="preserve">RPY-0004708</t>
  </si>
  <si>
    <t xml:space="preserve">RPY-0004709</t>
  </si>
  <si>
    <t xml:space="preserve">RPY-0004710</t>
  </si>
  <si>
    <t xml:space="preserve">RPY-0004711</t>
  </si>
  <si>
    <t xml:space="preserve">RPY-0004712</t>
  </si>
  <si>
    <t xml:space="preserve">RPY-0004713</t>
  </si>
  <si>
    <t xml:space="preserve">RPY-0004714</t>
  </si>
  <si>
    <t xml:space="preserve">RPY-0004715</t>
  </si>
  <si>
    <t xml:space="preserve">RPY-0004716</t>
  </si>
  <si>
    <t xml:space="preserve">RPY-0004717</t>
  </si>
  <si>
    <t xml:space="preserve">RPY-0004718</t>
  </si>
  <si>
    <t xml:space="preserve">RPY-0004719</t>
  </si>
  <si>
    <t xml:space="preserve">RPY-0004720</t>
  </si>
  <si>
    <t xml:space="preserve">RPY-0004721</t>
  </si>
  <si>
    <t xml:space="preserve">RPY-0004722</t>
  </si>
  <si>
    <t xml:space="preserve">RPY-0004723</t>
  </si>
  <si>
    <t xml:space="preserve">RPY-0004724</t>
  </si>
  <si>
    <t xml:space="preserve">RPY-0004725</t>
  </si>
  <si>
    <t xml:space="preserve">RPY-0004726</t>
  </si>
  <si>
    <t xml:space="preserve">RPY-0004727</t>
  </si>
  <si>
    <t xml:space="preserve">RPY-0004728</t>
  </si>
  <si>
    <t xml:space="preserve">RPY-0004729</t>
  </si>
  <si>
    <t xml:space="preserve">RPY-0004730</t>
  </si>
  <si>
    <t xml:space="preserve">RPY-0004731</t>
  </si>
  <si>
    <t xml:space="preserve">RPY-0004732</t>
  </si>
  <si>
    <t xml:space="preserve">RPY-0004733</t>
  </si>
  <si>
    <t xml:space="preserve">RPY-0004734</t>
  </si>
  <si>
    <t xml:space="preserve">RPY-0004735</t>
  </si>
  <si>
    <t xml:space="preserve">RPY-0004736</t>
  </si>
  <si>
    <t xml:space="preserve">RPY-0004737</t>
  </si>
  <si>
    <t xml:space="preserve">RPY-0004738</t>
  </si>
  <si>
    <t xml:space="preserve">RPY-0004739</t>
  </si>
  <si>
    <t xml:space="preserve">RPY-0004740</t>
  </si>
  <si>
    <t xml:space="preserve">RPY-0004741</t>
  </si>
  <si>
    <t xml:space="preserve">RPY-0004742</t>
  </si>
  <si>
    <t xml:space="preserve">RPY-0004743</t>
  </si>
  <si>
    <t xml:space="preserve">RPY-0004744</t>
  </si>
  <si>
    <t xml:space="preserve">RPY-0004745</t>
  </si>
  <si>
    <t xml:space="preserve">RPY-0004746</t>
  </si>
  <si>
    <t xml:space="preserve">RPY-0004747</t>
  </si>
  <si>
    <t xml:space="preserve">RPY-0004748</t>
  </si>
  <si>
    <t xml:space="preserve">RPY-0004749</t>
  </si>
  <si>
    <t xml:space="preserve">RPY-0004750</t>
  </si>
  <si>
    <t xml:space="preserve">RPY-0004751</t>
  </si>
  <si>
    <t xml:space="preserve">RPY-0004752</t>
  </si>
  <si>
    <t xml:space="preserve">RPY-0004753</t>
  </si>
  <si>
    <t xml:space="preserve">RPY-0004754</t>
  </si>
  <si>
    <t xml:space="preserve">RPY-0004755</t>
  </si>
  <si>
    <t xml:space="preserve">RPY-0004756</t>
  </si>
  <si>
    <t xml:space="preserve">RPY-0004757</t>
  </si>
  <si>
    <t xml:space="preserve">RPY-0004758</t>
  </si>
  <si>
    <t xml:space="preserve">RPY-0004759</t>
  </si>
  <si>
    <t xml:space="preserve">RPY-0004760</t>
  </si>
  <si>
    <t xml:space="preserve">RPY-0004761</t>
  </si>
  <si>
    <t xml:space="preserve">RPY-0004762</t>
  </si>
  <si>
    <t xml:space="preserve">RPY-0004763</t>
  </si>
  <si>
    <t xml:space="preserve">RPY-0004764</t>
  </si>
  <si>
    <t xml:space="preserve">RPY-0004765</t>
  </si>
  <si>
    <t xml:space="preserve">RPY-0004766</t>
  </si>
  <si>
    <t xml:space="preserve">RPY-0004767</t>
  </si>
  <si>
    <t xml:space="preserve">RPY-0004768</t>
  </si>
  <si>
    <t xml:space="preserve">RPY-0004769</t>
  </si>
  <si>
    <t xml:space="preserve">RPY-0004770</t>
  </si>
  <si>
    <t xml:space="preserve">RPY-0004771</t>
  </si>
  <si>
    <t xml:space="preserve">RPY-0004772</t>
  </si>
  <si>
    <t xml:space="preserve">RPY-0004773</t>
  </si>
  <si>
    <t xml:space="preserve">RPY-0004774</t>
  </si>
  <si>
    <t xml:space="preserve">RPY-0004775</t>
  </si>
  <si>
    <t xml:space="preserve">RPY-0004776</t>
  </si>
  <si>
    <t xml:space="preserve">RPY-0004777</t>
  </si>
  <si>
    <t xml:space="preserve">RPY-0004778</t>
  </si>
  <si>
    <t xml:space="preserve">RPY-0004779</t>
  </si>
  <si>
    <t xml:space="preserve">RPY-0004780</t>
  </si>
  <si>
    <t xml:space="preserve">RPY-0004781</t>
  </si>
  <si>
    <t xml:space="preserve">RPY-0004782</t>
  </si>
  <si>
    <t xml:space="preserve">RPY-0004783</t>
  </si>
  <si>
    <t xml:space="preserve">RPY-0004784</t>
  </si>
  <si>
    <t xml:space="preserve">RPY-0004785</t>
  </si>
  <si>
    <t xml:space="preserve">RPY-0004786</t>
  </si>
  <si>
    <t xml:space="preserve">RPY-0004787</t>
  </si>
  <si>
    <t xml:space="preserve">RPY-0004788</t>
  </si>
  <si>
    <t xml:space="preserve">RPY-0004789</t>
  </si>
  <si>
    <t xml:space="preserve">RPY-0004790</t>
  </si>
  <si>
    <t xml:space="preserve">RPY-0004791</t>
  </si>
  <si>
    <t xml:space="preserve">RPY-0004792</t>
  </si>
  <si>
    <t xml:space="preserve">RPY-0004793</t>
  </si>
  <si>
    <t xml:space="preserve">RPY-0004794</t>
  </si>
  <si>
    <t xml:space="preserve">RPY-0004795</t>
  </si>
  <si>
    <t xml:space="preserve">RPY-0004796</t>
  </si>
  <si>
    <t xml:space="preserve">RPY-0004797</t>
  </si>
  <si>
    <t xml:space="preserve">RPY-0004798</t>
  </si>
  <si>
    <t xml:space="preserve">RPY-0004799</t>
  </si>
  <si>
    <t xml:space="preserve">RPY-0004800</t>
  </si>
  <si>
    <t xml:space="preserve">RPY-0004801</t>
  </si>
  <si>
    <t xml:space="preserve">RPY-0004802</t>
  </si>
  <si>
    <t xml:space="preserve">RPY-0004803</t>
  </si>
  <si>
    <t xml:space="preserve">RPY-0004804</t>
  </si>
  <si>
    <t xml:space="preserve">RPY-0004805</t>
  </si>
  <si>
    <t xml:space="preserve">RPY-0004806</t>
  </si>
  <si>
    <t xml:space="preserve">RPY-0004807</t>
  </si>
  <si>
    <t xml:space="preserve">RPY-0004808</t>
  </si>
  <si>
    <t xml:space="preserve">RPY-0004809</t>
  </si>
  <si>
    <t xml:space="preserve">RPY-0004810</t>
  </si>
  <si>
    <t xml:space="preserve">RPY-0004811</t>
  </si>
  <si>
    <t xml:space="preserve">RPY-0004812</t>
  </si>
  <si>
    <t xml:space="preserve">RPY-0004813</t>
  </si>
  <si>
    <t xml:space="preserve">RPY-0004814</t>
  </si>
  <si>
    <t xml:space="preserve">RPY-0004815</t>
  </si>
  <si>
    <t xml:space="preserve">RPY-0004816</t>
  </si>
  <si>
    <t xml:space="preserve">RPY-0004817</t>
  </si>
  <si>
    <t xml:space="preserve">RPY-0004818</t>
  </si>
  <si>
    <t xml:space="preserve">RPY-0004819</t>
  </si>
  <si>
    <t xml:space="preserve">RPY-0004820</t>
  </si>
  <si>
    <t xml:space="preserve">RPY-0004821</t>
  </si>
  <si>
    <t xml:space="preserve">RPY-0004822</t>
  </si>
  <si>
    <t xml:space="preserve">RPY-0004823</t>
  </si>
  <si>
    <t xml:space="preserve">RPY-0004824</t>
  </si>
  <si>
    <t xml:space="preserve">RPY-0004825</t>
  </si>
  <si>
    <t xml:space="preserve">RPY-0004826</t>
  </si>
  <si>
    <t xml:space="preserve">RPY-0004827</t>
  </si>
  <si>
    <t xml:space="preserve">RPY-0004828</t>
  </si>
  <si>
    <t xml:space="preserve">RPY-0004829</t>
  </si>
  <si>
    <t xml:space="preserve">RPY-0004830</t>
  </si>
  <si>
    <t xml:space="preserve">RPY-0004831</t>
  </si>
  <si>
    <t xml:space="preserve">RPY-0004832</t>
  </si>
  <si>
    <t xml:space="preserve">RPY-0004833</t>
  </si>
  <si>
    <t xml:space="preserve">RPY-0004834</t>
  </si>
  <si>
    <t xml:space="preserve">RPY-0004835</t>
  </si>
  <si>
    <t xml:space="preserve">RPY-0004836</t>
  </si>
  <si>
    <t xml:space="preserve">RPY-0004837</t>
  </si>
  <si>
    <t xml:space="preserve">RPY-0004838</t>
  </si>
  <si>
    <t xml:space="preserve">RPY-0004839</t>
  </si>
  <si>
    <t xml:space="preserve">RPY-0004840</t>
  </si>
  <si>
    <t xml:space="preserve">RPY-0004841</t>
  </si>
  <si>
    <t xml:space="preserve">RPY-0004842</t>
  </si>
  <si>
    <t xml:space="preserve">RPY-0004843</t>
  </si>
  <si>
    <t xml:space="preserve">RPY-0004844</t>
  </si>
  <si>
    <t xml:space="preserve">RPY-0004845</t>
  </si>
  <si>
    <t xml:space="preserve">RPY-0004846</t>
  </si>
  <si>
    <t xml:space="preserve">RPY-0004847</t>
  </si>
  <si>
    <t xml:space="preserve">RPY-0004848</t>
  </si>
  <si>
    <t xml:space="preserve">RPY-0004849</t>
  </si>
  <si>
    <t xml:space="preserve">RPY-0004850</t>
  </si>
  <si>
    <t xml:space="preserve">RPY-0004851</t>
  </si>
  <si>
    <t xml:space="preserve">RPY-0004852</t>
  </si>
  <si>
    <t xml:space="preserve">RPY-0004853</t>
  </si>
  <si>
    <t xml:space="preserve">RPY-0004854</t>
  </si>
  <si>
    <t xml:space="preserve">RPY-0004855</t>
  </si>
  <si>
    <t xml:space="preserve">RPY-0004856</t>
  </si>
  <si>
    <t xml:space="preserve">RPY-0004857</t>
  </si>
  <si>
    <t xml:space="preserve">RPY-0004858</t>
  </si>
  <si>
    <t xml:space="preserve">RPY-0004859</t>
  </si>
  <si>
    <t xml:space="preserve">RPY-0004860</t>
  </si>
  <si>
    <t xml:space="preserve">RPY-0004861</t>
  </si>
  <si>
    <t xml:space="preserve">RPY-0004862</t>
  </si>
  <si>
    <t xml:space="preserve">RPY-0004863</t>
  </si>
  <si>
    <t xml:space="preserve">RPY-0004864</t>
  </si>
  <si>
    <t xml:space="preserve">RPY-0004865</t>
  </si>
  <si>
    <t xml:space="preserve">RPY-0004866</t>
  </si>
  <si>
    <t xml:space="preserve">RPY-0004867</t>
  </si>
  <si>
    <t xml:space="preserve">RPY-0004868</t>
  </si>
  <si>
    <t xml:space="preserve">RPY-0004869</t>
  </si>
  <si>
    <t xml:space="preserve">RPY-0004870</t>
  </si>
  <si>
    <t xml:space="preserve">RPY-0004871</t>
  </si>
  <si>
    <t xml:space="preserve">RPY-0004872</t>
  </si>
  <si>
    <t xml:space="preserve">RPY-0004873</t>
  </si>
  <si>
    <t xml:space="preserve">RPY-0004874</t>
  </si>
  <si>
    <t xml:space="preserve">RPY-0004875</t>
  </si>
  <si>
    <t xml:space="preserve">RPY-0004876</t>
  </si>
  <si>
    <t xml:space="preserve">RPY-0004877</t>
  </si>
  <si>
    <t xml:space="preserve">RPY-0004878</t>
  </si>
  <si>
    <t xml:space="preserve">RPY-0004879</t>
  </si>
  <si>
    <t xml:space="preserve">RPY-0004880</t>
  </si>
  <si>
    <t xml:space="preserve">RPY-0004881</t>
  </si>
  <si>
    <t xml:space="preserve">RPY-0004882</t>
  </si>
  <si>
    <t xml:space="preserve">RPY-0004883</t>
  </si>
  <si>
    <t xml:space="preserve">RPY-0004884</t>
  </si>
  <si>
    <t xml:space="preserve">RPY-0004885</t>
  </si>
  <si>
    <t xml:space="preserve">RPY-0004886</t>
  </si>
  <si>
    <t xml:space="preserve">RPY-0004887</t>
  </si>
  <si>
    <t xml:space="preserve">RPY-0004888</t>
  </si>
  <si>
    <t xml:space="preserve">RPY-0004889</t>
  </si>
  <si>
    <t xml:space="preserve">RPY-0004890</t>
  </si>
  <si>
    <t xml:space="preserve">RPY-0004891</t>
  </si>
  <si>
    <t xml:space="preserve">RPY-0004892</t>
  </si>
  <si>
    <t xml:space="preserve">RPY-0004893</t>
  </si>
  <si>
    <t xml:space="preserve">RPY-0004894</t>
  </si>
  <si>
    <t xml:space="preserve">RPY-0004895</t>
  </si>
  <si>
    <t xml:space="preserve">RPY-0004896</t>
  </si>
  <si>
    <t xml:space="preserve">RPY-0004897</t>
  </si>
  <si>
    <t xml:space="preserve">RPY-0004898</t>
  </si>
  <si>
    <t xml:space="preserve">RPY-0004899</t>
  </si>
  <si>
    <t xml:space="preserve">RPY-0004900</t>
  </si>
  <si>
    <t xml:space="preserve">RPY-0004901</t>
  </si>
  <si>
    <t xml:space="preserve">RPY-0004902</t>
  </si>
  <si>
    <t xml:space="preserve">RPY-0004903</t>
  </si>
  <si>
    <t xml:space="preserve">RPY-0004904</t>
  </si>
  <si>
    <t xml:space="preserve">RPY-0004905</t>
  </si>
  <si>
    <t xml:space="preserve">RPY-0004906</t>
  </si>
  <si>
    <t xml:space="preserve">RPY-0004907</t>
  </si>
  <si>
    <t xml:space="preserve">RPY-0004908</t>
  </si>
  <si>
    <t xml:space="preserve">RPY-0004909</t>
  </si>
  <si>
    <t xml:space="preserve">RPY-0004910</t>
  </si>
  <si>
    <t xml:space="preserve">RPY-0004911</t>
  </si>
  <si>
    <t xml:space="preserve">RPY-0004912</t>
  </si>
  <si>
    <t xml:space="preserve">RPY-0004913</t>
  </si>
  <si>
    <t xml:space="preserve">RPY-0004914</t>
  </si>
  <si>
    <t xml:space="preserve">RPY-0004915</t>
  </si>
  <si>
    <t xml:space="preserve">RPY-0004916</t>
  </si>
  <si>
    <t xml:space="preserve">RPY-0004917</t>
  </si>
  <si>
    <t xml:space="preserve">RPY-0004918</t>
  </si>
  <si>
    <t xml:space="preserve">RPY-0004919</t>
  </si>
  <si>
    <t xml:space="preserve">RPY-0004920</t>
  </si>
  <si>
    <t xml:space="preserve">RPY-0004921</t>
  </si>
  <si>
    <t xml:space="preserve">RPY-0004922</t>
  </si>
  <si>
    <t xml:space="preserve">RPY-0004923</t>
  </si>
  <si>
    <t xml:space="preserve">RPY-0004924</t>
  </si>
  <si>
    <t xml:space="preserve">RPY-0004925</t>
  </si>
  <si>
    <t xml:space="preserve">RPY-0004926</t>
  </si>
  <si>
    <t xml:space="preserve">RPY-0004927</t>
  </si>
  <si>
    <t xml:space="preserve">RPY-0004928</t>
  </si>
  <si>
    <t xml:space="preserve">RPY-0004929</t>
  </si>
  <si>
    <t xml:space="preserve">RPY-0004930</t>
  </si>
  <si>
    <t xml:space="preserve">RPY-0004931</t>
  </si>
  <si>
    <t xml:space="preserve">RPY-0004932</t>
  </si>
  <si>
    <t xml:space="preserve">RPY-0004933</t>
  </si>
  <si>
    <t xml:space="preserve">RPY-0004934</t>
  </si>
  <si>
    <t xml:space="preserve">RPY-0004935</t>
  </si>
  <si>
    <t xml:space="preserve">RPY-0004936</t>
  </si>
  <si>
    <t xml:space="preserve">RPY-0004937</t>
  </si>
  <si>
    <t xml:space="preserve">RPY-0004938</t>
  </si>
  <si>
    <t xml:space="preserve">RPY-0004939</t>
  </si>
  <si>
    <t xml:space="preserve">RPY-0004940</t>
  </si>
  <si>
    <t xml:space="preserve">RPY-0004941</t>
  </si>
  <si>
    <t xml:space="preserve">RPY-0004942</t>
  </si>
  <si>
    <t xml:space="preserve">RPY-0004943</t>
  </si>
  <si>
    <t xml:space="preserve">RPY-0004944</t>
  </si>
  <si>
    <t xml:space="preserve">RPY-0004945</t>
  </si>
  <si>
    <t xml:space="preserve">RPY-0004946</t>
  </si>
  <si>
    <t xml:space="preserve">RPY-0004947</t>
  </si>
  <si>
    <t xml:space="preserve">RPY-0004948</t>
  </si>
  <si>
    <t xml:space="preserve">RPY-0004949</t>
  </si>
  <si>
    <t xml:space="preserve">RPY-0004950</t>
  </si>
  <si>
    <t xml:space="preserve">RPY-0004951</t>
  </si>
  <si>
    <t xml:space="preserve">RPY-0004952</t>
  </si>
  <si>
    <t xml:space="preserve">RPY-0004953</t>
  </si>
  <si>
    <t xml:space="preserve">RPY-0004954</t>
  </si>
  <si>
    <t xml:space="preserve">RPY-0004955</t>
  </si>
  <si>
    <t xml:space="preserve">RPY-0004956</t>
  </si>
  <si>
    <t xml:space="preserve">RPY-0004957</t>
  </si>
  <si>
    <t xml:space="preserve">RPY-0004958</t>
  </si>
  <si>
    <t xml:space="preserve">RPY-0004959</t>
  </si>
  <si>
    <t xml:space="preserve">RPY-0004960</t>
  </si>
  <si>
    <t xml:space="preserve">RPY-0004961</t>
  </si>
  <si>
    <t xml:space="preserve">RPY-0004962</t>
  </si>
  <si>
    <t xml:space="preserve">RPY-0004963</t>
  </si>
  <si>
    <t xml:space="preserve">RPY-0004964</t>
  </si>
  <si>
    <t xml:space="preserve">RPY-0004965</t>
  </si>
  <si>
    <t xml:space="preserve">RPY-0004966</t>
  </si>
  <si>
    <t xml:space="preserve">RPY-0004967</t>
  </si>
  <si>
    <t xml:space="preserve">RPY-0004968</t>
  </si>
  <si>
    <t xml:space="preserve">RPY-0004969</t>
  </si>
  <si>
    <t xml:space="preserve">RPY-0004970</t>
  </si>
  <si>
    <t xml:space="preserve">RPY-0004971</t>
  </si>
  <si>
    <t xml:space="preserve">RPY-0004972</t>
  </si>
  <si>
    <t xml:space="preserve">RPY-0004973</t>
  </si>
  <si>
    <t xml:space="preserve">RPY-0004974</t>
  </si>
  <si>
    <t xml:space="preserve">RPY-0004975</t>
  </si>
  <si>
    <t xml:space="preserve">RPY-0004976</t>
  </si>
  <si>
    <t xml:space="preserve">RPY-0004977</t>
  </si>
  <si>
    <t xml:space="preserve">RPY-0004978</t>
  </si>
  <si>
    <t xml:space="preserve">RPY-0004979</t>
  </si>
  <si>
    <t xml:space="preserve">RPY-0004980</t>
  </si>
  <si>
    <t xml:space="preserve">RPY-0004981</t>
  </si>
  <si>
    <t xml:space="preserve">RPY-0004982</t>
  </si>
  <si>
    <t xml:space="preserve">RPY-0004983</t>
  </si>
  <si>
    <t xml:space="preserve">RPY-0004984</t>
  </si>
  <si>
    <t xml:space="preserve">RPY-0004985</t>
  </si>
  <si>
    <t xml:space="preserve">RPY-0004986</t>
  </si>
  <si>
    <t xml:space="preserve">RPY-0004987</t>
  </si>
  <si>
    <t xml:space="preserve">RPY-0004988</t>
  </si>
  <si>
    <t xml:space="preserve">RPY-0004989</t>
  </si>
  <si>
    <t xml:space="preserve">RPY-0004990</t>
  </si>
  <si>
    <t xml:space="preserve">RPY-0004991</t>
  </si>
  <si>
    <t xml:space="preserve">RPY-0004992</t>
  </si>
  <si>
    <t xml:space="preserve">RPY-0004993</t>
  </si>
  <si>
    <t xml:space="preserve">RPY-0004994</t>
  </si>
  <si>
    <t xml:space="preserve">RPY-0004995</t>
  </si>
  <si>
    <t xml:space="preserve">RPY-0004996</t>
  </si>
  <si>
    <t xml:space="preserve">RPY-0004997</t>
  </si>
  <si>
    <t xml:space="preserve">RPY-0004998</t>
  </si>
  <si>
    <t xml:space="preserve">RPY-0004999</t>
  </si>
  <si>
    <t xml:space="preserve">RPY-0005000</t>
  </si>
  <si>
    <t xml:space="preserve">RPY-0005001</t>
  </si>
  <si>
    <t xml:space="preserve">RPY-0005002</t>
  </si>
  <si>
    <t xml:space="preserve">RPY-0005003</t>
  </si>
  <si>
    <t xml:space="preserve">RPY-0005004</t>
  </si>
  <si>
    <t xml:space="preserve">RPY-0005005</t>
  </si>
  <si>
    <t xml:space="preserve">RPY-0005006</t>
  </si>
  <si>
    <t xml:space="preserve">RPY-0005007</t>
  </si>
  <si>
    <t xml:space="preserve">RPY-0005008</t>
  </si>
  <si>
    <t xml:space="preserve">RPY-0005009</t>
  </si>
  <si>
    <t xml:space="preserve">RPY-0005010</t>
  </si>
  <si>
    <t xml:space="preserve">RPY-0005011</t>
  </si>
  <si>
    <t xml:space="preserve">RPY-0005012</t>
  </si>
  <si>
    <t xml:space="preserve">RPY-0005013</t>
  </si>
  <si>
    <t xml:space="preserve">RPY-0005014</t>
  </si>
  <si>
    <t xml:space="preserve">RPY-0005015</t>
  </si>
  <si>
    <t xml:space="preserve">RPY-0005016</t>
  </si>
  <si>
    <t xml:space="preserve">RPY-0005017</t>
  </si>
  <si>
    <t xml:space="preserve">RPY-0005018</t>
  </si>
  <si>
    <t xml:space="preserve">RPY-0005019</t>
  </si>
  <si>
    <t xml:space="preserve">RPY-0005020</t>
  </si>
  <si>
    <t xml:space="preserve">RPY-0005021</t>
  </si>
  <si>
    <t xml:space="preserve">RPY-0005022</t>
  </si>
  <si>
    <t xml:space="preserve">RPY-0005023</t>
  </si>
  <si>
    <t xml:space="preserve">RPY-0005024</t>
  </si>
  <si>
    <t xml:space="preserve">RPY-0005025</t>
  </si>
  <si>
    <t xml:space="preserve">RPY-0005026</t>
  </si>
  <si>
    <t xml:space="preserve">RPY-0005027</t>
  </si>
  <si>
    <t xml:space="preserve">RPY-0005028</t>
  </si>
  <si>
    <t xml:space="preserve">RPY-0005029</t>
  </si>
  <si>
    <t xml:space="preserve">RPY-0005030</t>
  </si>
  <si>
    <t xml:space="preserve">RPY-0005031</t>
  </si>
  <si>
    <t xml:space="preserve">RPY-0005032</t>
  </si>
  <si>
    <t xml:space="preserve">RPY-0005033</t>
  </si>
  <si>
    <t xml:space="preserve">RPY-0005034</t>
  </si>
  <si>
    <t xml:space="preserve">RPY-0005035</t>
  </si>
  <si>
    <t xml:space="preserve">RPY-0005036</t>
  </si>
  <si>
    <t xml:space="preserve">RPY-0005037</t>
  </si>
  <si>
    <t xml:space="preserve">RPY-0005038</t>
  </si>
  <si>
    <t xml:space="preserve">RPY-0005039</t>
  </si>
  <si>
    <t xml:space="preserve">RPY-0005040</t>
  </si>
  <si>
    <t xml:space="preserve">RPY-0005041</t>
  </si>
  <si>
    <t xml:space="preserve">RPY-0005042</t>
  </si>
  <si>
    <t xml:space="preserve">RPY-0005043</t>
  </si>
  <si>
    <t xml:space="preserve">RPY-0005044</t>
  </si>
  <si>
    <t xml:space="preserve">RPY-0005045</t>
  </si>
  <si>
    <t xml:space="preserve">RPY-0005046</t>
  </si>
  <si>
    <t xml:space="preserve">RPY-0005047</t>
  </si>
  <si>
    <t xml:space="preserve">RPY-0005048</t>
  </si>
  <si>
    <t xml:space="preserve">RPY-0005049</t>
  </si>
  <si>
    <t xml:space="preserve">RPY-0005050</t>
  </si>
  <si>
    <t xml:space="preserve">RPY-0005051</t>
  </si>
  <si>
    <t xml:space="preserve">RPY-0005052</t>
  </si>
  <si>
    <t xml:space="preserve">RPY-0005053</t>
  </si>
  <si>
    <t xml:space="preserve">RPY-0005054</t>
  </si>
  <si>
    <t xml:space="preserve">RPY-0005055</t>
  </si>
  <si>
    <t xml:space="preserve">RPY-0005056</t>
  </si>
  <si>
    <t xml:space="preserve">RPY-0005057</t>
  </si>
  <si>
    <t xml:space="preserve">RPY-0005058</t>
  </si>
  <si>
    <t xml:space="preserve">RPY-0005059</t>
  </si>
  <si>
    <t xml:space="preserve">RPY-0005060</t>
  </si>
  <si>
    <t xml:space="preserve">RPY-0005061</t>
  </si>
  <si>
    <t xml:space="preserve">RPY-0005062</t>
  </si>
  <si>
    <t xml:space="preserve">RPY-0005063</t>
  </si>
  <si>
    <t xml:space="preserve">RPY-0005064</t>
  </si>
  <si>
    <t xml:space="preserve">RPY-0005065</t>
  </si>
  <si>
    <t xml:space="preserve">RPY-0005066</t>
  </si>
  <si>
    <t xml:space="preserve">RPY-0005067</t>
  </si>
  <si>
    <t xml:space="preserve">RPY-0005068</t>
  </si>
  <si>
    <t xml:space="preserve">RPY-0005069</t>
  </si>
  <si>
    <t xml:space="preserve">RPY-0005070</t>
  </si>
  <si>
    <t xml:space="preserve">RPY-0005071</t>
  </si>
  <si>
    <t xml:space="preserve">RPY-0005072</t>
  </si>
  <si>
    <t xml:space="preserve">RPY-0005073</t>
  </si>
  <si>
    <t xml:space="preserve">RPY-0005074</t>
  </si>
  <si>
    <t xml:space="preserve">RPY-0005075</t>
  </si>
  <si>
    <t xml:space="preserve">RPY-0005076</t>
  </si>
  <si>
    <t xml:space="preserve">RPY-0005077</t>
  </si>
  <si>
    <t xml:space="preserve">RPY-0005078</t>
  </si>
  <si>
    <t xml:space="preserve">RPY-0005079</t>
  </si>
  <si>
    <t xml:space="preserve">RPY-0005080</t>
  </si>
  <si>
    <t xml:space="preserve">RPY-0005081</t>
  </si>
  <si>
    <t xml:space="preserve">RPY-0005082</t>
  </si>
  <si>
    <t xml:space="preserve">RPY-0005083</t>
  </si>
  <si>
    <t xml:space="preserve">RPY-0005084</t>
  </si>
  <si>
    <t xml:space="preserve">RPY-0005085</t>
  </si>
  <si>
    <t xml:space="preserve">RPY-0005086</t>
  </si>
  <si>
    <t xml:space="preserve">RPY-0005087</t>
  </si>
  <si>
    <t xml:space="preserve">RPY-0005088</t>
  </si>
  <si>
    <t xml:space="preserve">RPY-0005089</t>
  </si>
  <si>
    <t xml:space="preserve">RPY-0005090</t>
  </si>
  <si>
    <t xml:space="preserve">RPY-0005091</t>
  </si>
  <si>
    <t xml:space="preserve">RPY-0005092</t>
  </si>
  <si>
    <t xml:space="preserve">RPY-0005093</t>
  </si>
  <si>
    <t xml:space="preserve">RPY-0005094</t>
  </si>
  <si>
    <t xml:space="preserve">RPY-0005095</t>
  </si>
  <si>
    <t xml:space="preserve">RPY-0005096</t>
  </si>
  <si>
    <t xml:space="preserve">RPY-0005097</t>
  </si>
  <si>
    <t xml:space="preserve">RPY-0005098</t>
  </si>
  <si>
    <t xml:space="preserve">RPY-0005099</t>
  </si>
  <si>
    <t xml:space="preserve">RPY-0005100</t>
  </si>
  <si>
    <t xml:space="preserve">RPY-0005101</t>
  </si>
  <si>
    <t xml:space="preserve">RPY-0005102</t>
  </si>
  <si>
    <t xml:space="preserve">RPY-0005103</t>
  </si>
  <si>
    <t xml:space="preserve">RPY-0005104</t>
  </si>
  <si>
    <t xml:space="preserve">RPY-0005105</t>
  </si>
  <si>
    <t xml:space="preserve">RPY-0005106</t>
  </si>
  <si>
    <t xml:space="preserve">RPY-0005107</t>
  </si>
  <si>
    <t xml:space="preserve">RPY-0005108</t>
  </si>
  <si>
    <t xml:space="preserve">RPY-0005109</t>
  </si>
  <si>
    <t xml:space="preserve">RPY-0005110</t>
  </si>
  <si>
    <t xml:space="preserve">RPY-0005111</t>
  </si>
  <si>
    <t xml:space="preserve">RPY-0005112</t>
  </si>
  <si>
    <t xml:space="preserve">RPY-0005113</t>
  </si>
  <si>
    <t xml:space="preserve">RPY-0005114</t>
  </si>
  <si>
    <t xml:space="preserve">RPY-0005115</t>
  </si>
  <si>
    <t xml:space="preserve">RPY-0005116</t>
  </si>
  <si>
    <t xml:space="preserve">RPY-0005117</t>
  </si>
  <si>
    <t xml:space="preserve">RPY-0005118</t>
  </si>
  <si>
    <t xml:space="preserve">RPY-0005119</t>
  </si>
  <si>
    <t xml:space="preserve">RPY-0005120</t>
  </si>
  <si>
    <t xml:space="preserve">RPY-0005121</t>
  </si>
  <si>
    <t xml:space="preserve">RPY-0005122</t>
  </si>
  <si>
    <t xml:space="preserve">RPY-0005123</t>
  </si>
  <si>
    <t xml:space="preserve">RPY-0005124</t>
  </si>
  <si>
    <t xml:space="preserve">RPY-0005125</t>
  </si>
  <si>
    <t xml:space="preserve">RPY-0005126</t>
  </si>
  <si>
    <t xml:space="preserve">RPY-0005127</t>
  </si>
  <si>
    <t xml:space="preserve">RPY-0005128</t>
  </si>
  <si>
    <t xml:space="preserve">RPY-0005129</t>
  </si>
  <si>
    <t xml:space="preserve">RPY-0005130</t>
  </si>
  <si>
    <t xml:space="preserve">RPY-0005131</t>
  </si>
  <si>
    <t xml:space="preserve">RPY-0005132</t>
  </si>
  <si>
    <t xml:space="preserve">RPY-0005133</t>
  </si>
  <si>
    <t xml:space="preserve">RPY-0005134</t>
  </si>
  <si>
    <t xml:space="preserve">RPY-0005135</t>
  </si>
  <si>
    <t xml:space="preserve">RPY-0005136</t>
  </si>
  <si>
    <t xml:space="preserve">RPY-0005137</t>
  </si>
  <si>
    <t xml:space="preserve">RPY-0005138</t>
  </si>
  <si>
    <t xml:space="preserve">RPY-0005139</t>
  </si>
  <si>
    <t xml:space="preserve">RPY-0005140</t>
  </si>
  <si>
    <t xml:space="preserve">RPY-0005141</t>
  </si>
  <si>
    <t xml:space="preserve">RPY-0005142</t>
  </si>
  <si>
    <t xml:space="preserve">RPY-0005143</t>
  </si>
  <si>
    <t xml:space="preserve">RPY-0005144</t>
  </si>
  <si>
    <t xml:space="preserve">RPY-0005145</t>
  </si>
  <si>
    <t xml:space="preserve">RPY-0005146</t>
  </si>
  <si>
    <t xml:space="preserve">RPY-0005147</t>
  </si>
  <si>
    <t xml:space="preserve">RPY-0005148</t>
  </si>
  <si>
    <t xml:space="preserve">RPY-0005149</t>
  </si>
  <si>
    <t xml:space="preserve">RPY-0005150</t>
  </si>
  <si>
    <t xml:space="preserve">RPY-0005151</t>
  </si>
  <si>
    <t xml:space="preserve">RPY-0005152</t>
  </si>
  <si>
    <t xml:space="preserve">RPY-0005153</t>
  </si>
  <si>
    <t xml:space="preserve">RPY-0005154</t>
  </si>
  <si>
    <t xml:space="preserve">RPY-0005155</t>
  </si>
  <si>
    <t xml:space="preserve">RPY-0005156</t>
  </si>
  <si>
    <t xml:space="preserve">RPY-0005157</t>
  </si>
  <si>
    <t xml:space="preserve">RPY-0005158</t>
  </si>
  <si>
    <t xml:space="preserve">RPY-0005159</t>
  </si>
  <si>
    <t xml:space="preserve">RPY-0005160</t>
  </si>
  <si>
    <t xml:space="preserve">RPY-0005161</t>
  </si>
  <si>
    <t xml:space="preserve">RPY-0005162</t>
  </si>
  <si>
    <t xml:space="preserve">RPY-0005163</t>
  </si>
  <si>
    <t xml:space="preserve">RPY-0005164</t>
  </si>
  <si>
    <t xml:space="preserve">RPY-0005165</t>
  </si>
  <si>
    <t xml:space="preserve">RPY-0005166</t>
  </si>
  <si>
    <t xml:space="preserve">RPY-0005167</t>
  </si>
  <si>
    <t xml:space="preserve">RPY-0005168</t>
  </si>
  <si>
    <t xml:space="preserve">RPY-0005169</t>
  </si>
  <si>
    <t xml:space="preserve">RPY-0005170</t>
  </si>
  <si>
    <t xml:space="preserve">RPY-0005171</t>
  </si>
  <si>
    <t xml:space="preserve">RPY-0005172</t>
  </si>
  <si>
    <t xml:space="preserve">RPY-0005173</t>
  </si>
  <si>
    <t xml:space="preserve">RPY-0005174</t>
  </si>
  <si>
    <t xml:space="preserve">RPY-0005175</t>
  </si>
  <si>
    <t xml:space="preserve">RPY-0005176</t>
  </si>
  <si>
    <t xml:space="preserve">RPY-0005177</t>
  </si>
  <si>
    <t xml:space="preserve">RPY-0005178</t>
  </si>
  <si>
    <t xml:space="preserve">RPY-0005179</t>
  </si>
  <si>
    <t xml:space="preserve">RPY-0005180</t>
  </si>
  <si>
    <t xml:space="preserve">RPY-0005181</t>
  </si>
  <si>
    <t xml:space="preserve">RPY-0005182</t>
  </si>
  <si>
    <t xml:space="preserve">RPY-0005183</t>
  </si>
  <si>
    <t xml:space="preserve">RPY-0005184</t>
  </si>
  <si>
    <t xml:space="preserve">RPY-0005185</t>
  </si>
  <si>
    <t xml:space="preserve">RPY-0005186</t>
  </si>
  <si>
    <t xml:space="preserve">RPY-0005187</t>
  </si>
  <si>
    <t xml:space="preserve">RPY-0005188</t>
  </si>
  <si>
    <t xml:space="preserve">RPY-0005189</t>
  </si>
  <si>
    <t xml:space="preserve">RPY-0005190</t>
  </si>
  <si>
    <t xml:space="preserve">RPY-0005191</t>
  </si>
  <si>
    <t xml:space="preserve">RPY-0005192</t>
  </si>
  <si>
    <t xml:space="preserve">RPY-0005193</t>
  </si>
  <si>
    <t xml:space="preserve">RPY-0005194</t>
  </si>
  <si>
    <t xml:space="preserve">RPY-0005195</t>
  </si>
  <si>
    <t xml:space="preserve">RPY-0005196</t>
  </si>
  <si>
    <t xml:space="preserve">RPY-0005197</t>
  </si>
  <si>
    <t xml:space="preserve">RPY-0005198</t>
  </si>
  <si>
    <t xml:space="preserve">RPY-0005199</t>
  </si>
  <si>
    <t xml:space="preserve">RPY-0005200</t>
  </si>
  <si>
    <t xml:space="preserve">RPY-0005201</t>
  </si>
  <si>
    <t xml:space="preserve">RPY-0005202</t>
  </si>
  <si>
    <t xml:space="preserve">RPY-0005203</t>
  </si>
  <si>
    <t xml:space="preserve">RPY-0005204</t>
  </si>
  <si>
    <t xml:space="preserve">RPY-0005205</t>
  </si>
  <si>
    <t xml:space="preserve">RPY-0005206</t>
  </si>
  <si>
    <t xml:space="preserve">RPY-0005207</t>
  </si>
  <si>
    <t xml:space="preserve">RPY-0005208</t>
  </si>
  <si>
    <t xml:space="preserve">RPY-0005209</t>
  </si>
  <si>
    <t xml:space="preserve">RPY-0005210</t>
  </si>
  <si>
    <t xml:space="preserve">RPY-0005211</t>
  </si>
  <si>
    <t xml:space="preserve">RPY-0005212</t>
  </si>
  <si>
    <t xml:space="preserve">RPY-0005213</t>
  </si>
  <si>
    <t xml:space="preserve">RPY-0005214</t>
  </si>
  <si>
    <t xml:space="preserve">RPY-0005215</t>
  </si>
  <si>
    <t xml:space="preserve">RPY-0005216</t>
  </si>
  <si>
    <t xml:space="preserve">RPY-0005217</t>
  </si>
  <si>
    <t xml:space="preserve">RPY-0005218</t>
  </si>
  <si>
    <t xml:space="preserve">RPY-0005219</t>
  </si>
  <si>
    <t xml:space="preserve">RPY-0005220</t>
  </si>
  <si>
    <t xml:space="preserve">RPY-0005221</t>
  </si>
  <si>
    <t xml:space="preserve">RPY-0005222</t>
  </si>
  <si>
    <t xml:space="preserve">RPY-0005223</t>
  </si>
  <si>
    <t xml:space="preserve">RPY-0005224</t>
  </si>
  <si>
    <t xml:space="preserve">RPY-0005225</t>
  </si>
  <si>
    <t xml:space="preserve">RPY-0005226</t>
  </si>
  <si>
    <t xml:space="preserve">RPY-0005227</t>
  </si>
  <si>
    <t xml:space="preserve">RPY-0005228</t>
  </si>
  <si>
    <t xml:space="preserve">RPY-0005229</t>
  </si>
  <si>
    <t xml:space="preserve">RPY-0005230</t>
  </si>
  <si>
    <t xml:space="preserve">RPY-0005231</t>
  </si>
  <si>
    <t xml:space="preserve">RPY-0005232</t>
  </si>
  <si>
    <t xml:space="preserve">RPY-0005233</t>
  </si>
  <si>
    <t xml:space="preserve">RPY-0005234</t>
  </si>
  <si>
    <t xml:space="preserve">RPY-0005235</t>
  </si>
  <si>
    <t xml:space="preserve">RPY-0005236</t>
  </si>
  <si>
    <t xml:space="preserve">RPY-0005237</t>
  </si>
  <si>
    <t xml:space="preserve">RPY-0005238</t>
  </si>
  <si>
    <t xml:space="preserve">RPY-0005239</t>
  </si>
  <si>
    <t xml:space="preserve">RPY-0005240</t>
  </si>
  <si>
    <t xml:space="preserve">RPY-0005241</t>
  </si>
  <si>
    <t xml:space="preserve">RPY-0005242</t>
  </si>
  <si>
    <t xml:space="preserve">RPY-0005243</t>
  </si>
  <si>
    <t xml:space="preserve">RPY-0005244</t>
  </si>
  <si>
    <t xml:space="preserve">RPY-0005245</t>
  </si>
  <si>
    <t xml:space="preserve">RPY-0005246</t>
  </si>
  <si>
    <t xml:space="preserve">RPY-0005247</t>
  </si>
  <si>
    <t xml:space="preserve">RPY-0005248</t>
  </si>
  <si>
    <t xml:space="preserve">RPY-0005249</t>
  </si>
  <si>
    <t xml:space="preserve">RPY-0005250</t>
  </si>
  <si>
    <t xml:space="preserve">RPY-0005251</t>
  </si>
  <si>
    <t xml:space="preserve">RPY-0005252</t>
  </si>
  <si>
    <t xml:space="preserve">RPY-0005253</t>
  </si>
  <si>
    <t xml:space="preserve">RPY-0005254</t>
  </si>
  <si>
    <t xml:space="preserve">RPY-0005255</t>
  </si>
  <si>
    <t xml:space="preserve">RPY-0005256</t>
  </si>
  <si>
    <t xml:space="preserve">RPY-0005257</t>
  </si>
  <si>
    <t xml:space="preserve">RPY-0005258</t>
  </si>
  <si>
    <t xml:space="preserve">RPY-0005259</t>
  </si>
  <si>
    <t xml:space="preserve">RPY-0005260</t>
  </si>
  <si>
    <t xml:space="preserve">RPY-0005261</t>
  </si>
  <si>
    <t xml:space="preserve">RPY-0005262</t>
  </si>
  <si>
    <t xml:space="preserve">RPY-0005263</t>
  </si>
  <si>
    <t xml:space="preserve">RPY-0005264</t>
  </si>
  <si>
    <t xml:space="preserve">RPY-0005265</t>
  </si>
  <si>
    <t xml:space="preserve">RPY-0005266</t>
  </si>
  <si>
    <t xml:space="preserve">RPY-0005267</t>
  </si>
  <si>
    <t xml:space="preserve">RPY-0005268</t>
  </si>
  <si>
    <t xml:space="preserve">RPY-0005269</t>
  </si>
  <si>
    <t xml:space="preserve">RPY-0005270</t>
  </si>
  <si>
    <t xml:space="preserve">RPY-0005271</t>
  </si>
  <si>
    <t xml:space="preserve">RPY-0005272</t>
  </si>
  <si>
    <t xml:space="preserve">RPY-0005273</t>
  </si>
  <si>
    <t xml:space="preserve">RPY-0005274</t>
  </si>
  <si>
    <t xml:space="preserve">RPY-0005275</t>
  </si>
  <si>
    <t xml:space="preserve">RPY-0005276</t>
  </si>
  <si>
    <t xml:space="preserve">RPY-0005277</t>
  </si>
  <si>
    <t xml:space="preserve">RPY-0005278</t>
  </si>
  <si>
    <t xml:space="preserve">RPY-0005279</t>
  </si>
  <si>
    <t xml:space="preserve">RPY-0005280</t>
  </si>
  <si>
    <t xml:space="preserve">RPY-0005281</t>
  </si>
  <si>
    <t xml:space="preserve">RPY-0005282</t>
  </si>
  <si>
    <t xml:space="preserve">RPY-0005283</t>
  </si>
  <si>
    <t xml:space="preserve">RPY-0005284</t>
  </si>
  <si>
    <t xml:space="preserve">RPY-0005285</t>
  </si>
  <si>
    <t xml:space="preserve">RPY-0005286</t>
  </si>
  <si>
    <t xml:space="preserve">RPY-0005287</t>
  </si>
  <si>
    <t xml:space="preserve">RPY-0005288</t>
  </si>
  <si>
    <t xml:space="preserve">RPY-0005289</t>
  </si>
  <si>
    <t xml:space="preserve">RPY-0005290</t>
  </si>
  <si>
    <t xml:space="preserve">RPY-0005291</t>
  </si>
  <si>
    <t xml:space="preserve">RPY-0005292</t>
  </si>
  <si>
    <t xml:space="preserve">RPY-0005293</t>
  </si>
  <si>
    <t xml:space="preserve">RPY-0005294</t>
  </si>
  <si>
    <t xml:space="preserve">RPY-0005295</t>
  </si>
  <si>
    <t xml:space="preserve">RPY-0005296</t>
  </si>
  <si>
    <t xml:space="preserve">RPY-0005297</t>
  </si>
  <si>
    <t xml:space="preserve">RPY-0005298</t>
  </si>
  <si>
    <t xml:space="preserve">RPY-0005299</t>
  </si>
  <si>
    <t xml:space="preserve">RPY-0005300</t>
  </si>
  <si>
    <t xml:space="preserve">RPY-0005301</t>
  </si>
  <si>
    <t xml:space="preserve">RPY-0005302</t>
  </si>
  <si>
    <t xml:space="preserve">RPY-0005303</t>
  </si>
  <si>
    <t xml:space="preserve">RPY-0005304</t>
  </si>
  <si>
    <t xml:space="preserve">RPY-0005305</t>
  </si>
  <si>
    <t xml:space="preserve">RPY-0005306</t>
  </si>
  <si>
    <t xml:space="preserve">RPY-0005307</t>
  </si>
  <si>
    <t xml:space="preserve">RPY-0005308</t>
  </si>
  <si>
    <t xml:space="preserve">RPY-0005309</t>
  </si>
  <si>
    <t xml:space="preserve">RPY-0005310</t>
  </si>
  <si>
    <t xml:space="preserve">RPY-0005311</t>
  </si>
  <si>
    <t xml:space="preserve">RPY-0005312</t>
  </si>
  <si>
    <t xml:space="preserve">RPY-0005313</t>
  </si>
  <si>
    <t xml:space="preserve">RPY-0005314</t>
  </si>
  <si>
    <t xml:space="preserve">RPY-0005315</t>
  </si>
  <si>
    <t xml:space="preserve">RPY-0005316</t>
  </si>
  <si>
    <t xml:space="preserve">RPY-0005317</t>
  </si>
  <si>
    <t xml:space="preserve">RPY-0005318</t>
  </si>
  <si>
    <t xml:space="preserve">RPY-0005319</t>
  </si>
  <si>
    <t xml:space="preserve">RPY-0005320</t>
  </si>
  <si>
    <t xml:space="preserve">RPY-0005321</t>
  </si>
  <si>
    <t xml:space="preserve">RPY-0005322</t>
  </si>
  <si>
    <t xml:space="preserve">RPY-0005323</t>
  </si>
  <si>
    <t xml:space="preserve">RPY-0005324</t>
  </si>
  <si>
    <t xml:space="preserve">RPY-0005325</t>
  </si>
  <si>
    <t xml:space="preserve">RPY-0005326</t>
  </si>
  <si>
    <t xml:space="preserve">RPY-0005327</t>
  </si>
  <si>
    <t xml:space="preserve">RPY-0005328</t>
  </si>
  <si>
    <t xml:space="preserve">RPY-0005329</t>
  </si>
  <si>
    <t xml:space="preserve">RPY-0005330</t>
  </si>
  <si>
    <t xml:space="preserve">RPY-0005331</t>
  </si>
  <si>
    <t xml:space="preserve">RPY-0005332</t>
  </si>
  <si>
    <t xml:space="preserve">RPY-0005333</t>
  </si>
  <si>
    <t xml:space="preserve">RPY-0005334</t>
  </si>
  <si>
    <t xml:space="preserve">RPY-0005335</t>
  </si>
  <si>
    <t xml:space="preserve">RPY-0005336</t>
  </si>
  <si>
    <t xml:space="preserve">RPY-0005337</t>
  </si>
  <si>
    <t xml:space="preserve">RPY-0005338</t>
  </si>
  <si>
    <t xml:space="preserve">RPY-0005339</t>
  </si>
  <si>
    <t xml:space="preserve">RPY-0005340</t>
  </si>
  <si>
    <t xml:space="preserve">RPY-0005341</t>
  </si>
  <si>
    <t xml:space="preserve">RPY-0005342</t>
  </si>
  <si>
    <t xml:space="preserve">RPY-0005343</t>
  </si>
  <si>
    <t xml:space="preserve">RPY-0005344</t>
  </si>
  <si>
    <t xml:space="preserve">RPY-0005345</t>
  </si>
  <si>
    <t xml:space="preserve">RPY-0005346</t>
  </si>
  <si>
    <t xml:space="preserve">RPY-0005347</t>
  </si>
  <si>
    <t xml:space="preserve">RPY-0005348</t>
  </si>
  <si>
    <t xml:space="preserve">RPY-0005349</t>
  </si>
  <si>
    <t xml:space="preserve">RPY-0005350</t>
  </si>
  <si>
    <t xml:space="preserve">RPY-0005351</t>
  </si>
  <si>
    <t xml:space="preserve">RPY-0005352</t>
  </si>
  <si>
    <t xml:space="preserve">RPY-0005353</t>
  </si>
  <si>
    <t xml:space="preserve">RPY-0005354</t>
  </si>
  <si>
    <t xml:space="preserve">RPY-0005355</t>
  </si>
  <si>
    <t xml:space="preserve">RPY-0005356</t>
  </si>
  <si>
    <t xml:space="preserve">RPY-0005357</t>
  </si>
  <si>
    <t xml:space="preserve">RPY-0005358</t>
  </si>
  <si>
    <t xml:space="preserve">RPY-0005359</t>
  </si>
  <si>
    <t xml:space="preserve">RPY-0005360</t>
  </si>
  <si>
    <t xml:space="preserve">RPY-0005361</t>
  </si>
  <si>
    <t xml:space="preserve">RPY-0005362</t>
  </si>
  <si>
    <t xml:space="preserve">RPY-0005363</t>
  </si>
  <si>
    <t xml:space="preserve">RPY-0005364</t>
  </si>
  <si>
    <t xml:space="preserve">RPY-0005365</t>
  </si>
  <si>
    <t xml:space="preserve">RPY-0005366</t>
  </si>
  <si>
    <t xml:space="preserve">RPY-0005367</t>
  </si>
  <si>
    <t xml:space="preserve">RPY-0005368</t>
  </si>
  <si>
    <t xml:space="preserve">RPY-0005369</t>
  </si>
  <si>
    <t xml:space="preserve">RPY-0005370</t>
  </si>
  <si>
    <t xml:space="preserve">RPY-0005371</t>
  </si>
  <si>
    <t xml:space="preserve">RPY-0005372</t>
  </si>
  <si>
    <t xml:space="preserve">RPY-0005373</t>
  </si>
  <si>
    <t xml:space="preserve">RPY-0005374</t>
  </si>
  <si>
    <t xml:space="preserve">RPY-0005375</t>
  </si>
  <si>
    <t xml:space="preserve">RPY-0005376</t>
  </si>
  <si>
    <t xml:space="preserve">RPY-0005377</t>
  </si>
  <si>
    <t xml:space="preserve">RPY-0005378</t>
  </si>
  <si>
    <t xml:space="preserve">RPY-0005379</t>
  </si>
  <si>
    <t xml:space="preserve">RPY-0005380</t>
  </si>
  <si>
    <t xml:space="preserve">RPY-0005381</t>
  </si>
  <si>
    <t xml:space="preserve">RPY-0005382</t>
  </si>
  <si>
    <t xml:space="preserve">RPY-0005383</t>
  </si>
  <si>
    <t xml:space="preserve">RPY-0005384</t>
  </si>
  <si>
    <t xml:space="preserve">RPY-0005385</t>
  </si>
  <si>
    <t xml:space="preserve">RPY-0005386</t>
  </si>
  <si>
    <t xml:space="preserve">RPY-0005387</t>
  </si>
  <si>
    <t xml:space="preserve">RPY-0005388</t>
  </si>
  <si>
    <t xml:space="preserve">RPY-0005389</t>
  </si>
  <si>
    <t xml:space="preserve">RPY-0005390</t>
  </si>
  <si>
    <t xml:space="preserve">RPY-0005391</t>
  </si>
  <si>
    <t xml:space="preserve">RPY-0005392</t>
  </si>
  <si>
    <t xml:space="preserve">RPY-0005393</t>
  </si>
  <si>
    <t xml:space="preserve">RPY-0005394</t>
  </si>
  <si>
    <t xml:space="preserve">RPY-0005395</t>
  </si>
  <si>
    <t xml:space="preserve">RPY-0005396</t>
  </si>
  <si>
    <t xml:space="preserve">RPY-0005397</t>
  </si>
  <si>
    <t xml:space="preserve">RPY-0005398</t>
  </si>
  <si>
    <t xml:space="preserve">RPY-0005399</t>
  </si>
  <si>
    <t xml:space="preserve">RPY-0005400</t>
  </si>
  <si>
    <t xml:space="preserve">RPY-0005401</t>
  </si>
  <si>
    <t xml:space="preserve">RPY-0005402</t>
  </si>
  <si>
    <t xml:space="preserve">RPY-0005403</t>
  </si>
  <si>
    <t xml:space="preserve">RPY-0005404</t>
  </si>
  <si>
    <t xml:space="preserve">RPY-0005405</t>
  </si>
  <si>
    <t xml:space="preserve">RPY-0005406</t>
  </si>
  <si>
    <t xml:space="preserve">RPY-0005407</t>
  </si>
  <si>
    <t xml:space="preserve">RPY-0005408</t>
  </si>
  <si>
    <t xml:space="preserve">RPY-0005409</t>
  </si>
  <si>
    <t xml:space="preserve">RPY-0005410</t>
  </si>
  <si>
    <t xml:space="preserve">RPY-0005411</t>
  </si>
  <si>
    <t xml:space="preserve">RPY-0005412</t>
  </si>
  <si>
    <t xml:space="preserve">RPY-0005413</t>
  </si>
  <si>
    <t xml:space="preserve">RPY-0005414</t>
  </si>
  <si>
    <t xml:space="preserve">RPY-0005415</t>
  </si>
  <si>
    <t xml:space="preserve">RPY-0005416</t>
  </si>
  <si>
    <t xml:space="preserve">RPY-0005417</t>
  </si>
  <si>
    <t xml:space="preserve">RPY-0005418</t>
  </si>
  <si>
    <t xml:space="preserve">RPY-0005419</t>
  </si>
  <si>
    <t xml:space="preserve">RPY-0005420</t>
  </si>
  <si>
    <t xml:space="preserve">RPY-0005421</t>
  </si>
  <si>
    <t xml:space="preserve">RPY-0005422</t>
  </si>
  <si>
    <t xml:space="preserve">RPY-0005423</t>
  </si>
  <si>
    <t xml:space="preserve">RPY-0005424</t>
  </si>
  <si>
    <t xml:space="preserve">RPY-0005425</t>
  </si>
  <si>
    <t xml:space="preserve">RPY-0005426</t>
  </si>
  <si>
    <t xml:space="preserve">RPY-0005427</t>
  </si>
  <si>
    <t xml:space="preserve">RPY-0005428</t>
  </si>
  <si>
    <t xml:space="preserve">RPY-0005429</t>
  </si>
  <si>
    <t xml:space="preserve">RPY-0005430</t>
  </si>
  <si>
    <t xml:space="preserve">RPY-0005431</t>
  </si>
  <si>
    <t xml:space="preserve">RPY-0005432</t>
  </si>
  <si>
    <t xml:space="preserve">RPY-0005433</t>
  </si>
  <si>
    <t xml:space="preserve">RPY-0005434</t>
  </si>
  <si>
    <t xml:space="preserve">RPY-0005435</t>
  </si>
  <si>
    <t xml:space="preserve">RPY-0005436</t>
  </si>
  <si>
    <t xml:space="preserve">RPY-0005437</t>
  </si>
  <si>
    <t xml:space="preserve">RPY-0005438</t>
  </si>
  <si>
    <t xml:space="preserve">RPY-0005439</t>
  </si>
  <si>
    <t xml:space="preserve">RPY-0005440</t>
  </si>
  <si>
    <t xml:space="preserve">RPY-0005441</t>
  </si>
  <si>
    <t xml:space="preserve">RPY-0005442</t>
  </si>
  <si>
    <t xml:space="preserve">RPY-0005443</t>
  </si>
  <si>
    <t xml:space="preserve">RPY-0005444</t>
  </si>
  <si>
    <t xml:space="preserve">RPY-0005445</t>
  </si>
  <si>
    <t xml:space="preserve">RPY-0005446</t>
  </si>
  <si>
    <t xml:space="preserve">RPY-0005447</t>
  </si>
  <si>
    <t xml:space="preserve">RPY-0005448</t>
  </si>
  <si>
    <t xml:space="preserve">RPY-0005449</t>
  </si>
  <si>
    <t xml:space="preserve">RPY-0005450</t>
  </si>
  <si>
    <t xml:space="preserve">RPY-0005451</t>
  </si>
  <si>
    <t xml:space="preserve">RPY-0005452</t>
  </si>
  <si>
    <t xml:space="preserve">RPY-0005453</t>
  </si>
  <si>
    <t xml:space="preserve">RPY-0005454</t>
  </si>
  <si>
    <t xml:space="preserve">RPY-0005455</t>
  </si>
  <si>
    <t xml:space="preserve">RPY-0005456</t>
  </si>
  <si>
    <t xml:space="preserve">RPY-0005457</t>
  </si>
  <si>
    <t xml:space="preserve">RPY-0005458</t>
  </si>
  <si>
    <t xml:space="preserve">RPY-0005459</t>
  </si>
  <si>
    <t xml:space="preserve">RPY-0005460</t>
  </si>
  <si>
    <t xml:space="preserve">RPY-0005461</t>
  </si>
  <si>
    <t xml:space="preserve">RPY-0005462</t>
  </si>
  <si>
    <t xml:space="preserve">RPY-0005463</t>
  </si>
  <si>
    <t xml:space="preserve">RPY-0005464</t>
  </si>
  <si>
    <t xml:space="preserve">RPY-0005465</t>
  </si>
  <si>
    <t xml:space="preserve">RPY-0005466</t>
  </si>
  <si>
    <t xml:space="preserve">RPY-0005467</t>
  </si>
  <si>
    <t xml:space="preserve">RPY-0005468</t>
  </si>
  <si>
    <t xml:space="preserve">RPY-0005469</t>
  </si>
  <si>
    <t xml:space="preserve">RPY-0005470</t>
  </si>
  <si>
    <t xml:space="preserve">RPY-0005471</t>
  </si>
  <si>
    <t xml:space="preserve">RPY-0005472</t>
  </si>
  <si>
    <t xml:space="preserve">RPY-0005473</t>
  </si>
  <si>
    <t xml:space="preserve">RPY-0005474</t>
  </si>
  <si>
    <t xml:space="preserve">RPY-0005475</t>
  </si>
  <si>
    <t xml:space="preserve">RPY-0005476</t>
  </si>
  <si>
    <t xml:space="preserve">RPY-0005477</t>
  </si>
  <si>
    <t xml:space="preserve">RPY-0005478</t>
  </si>
  <si>
    <t xml:space="preserve">RPY-0005479</t>
  </si>
  <si>
    <t xml:space="preserve">RPY-0005480</t>
  </si>
  <si>
    <t xml:space="preserve">RPY-0005481</t>
  </si>
  <si>
    <t xml:space="preserve">RPY-0005482</t>
  </si>
  <si>
    <t xml:space="preserve">RPY-0005483</t>
  </si>
  <si>
    <t xml:space="preserve">RPY-0005484</t>
  </si>
  <si>
    <t xml:space="preserve">RPY-0005485</t>
  </si>
  <si>
    <t xml:space="preserve">RPY-0005486</t>
  </si>
  <si>
    <t xml:space="preserve">RPY-0005487</t>
  </si>
  <si>
    <t xml:space="preserve">RPY-0005488</t>
  </si>
  <si>
    <t xml:space="preserve">RPY-0005489</t>
  </si>
  <si>
    <t xml:space="preserve">RPY-0005490</t>
  </si>
  <si>
    <t xml:space="preserve">RPY-0005491</t>
  </si>
  <si>
    <t xml:space="preserve">RPY-0005492</t>
  </si>
  <si>
    <t xml:space="preserve">RPY-0005493</t>
  </si>
  <si>
    <t xml:space="preserve">RPY-0005494</t>
  </si>
  <si>
    <t xml:space="preserve">RPY-0005495</t>
  </si>
  <si>
    <t xml:space="preserve">RPY-0005496</t>
  </si>
  <si>
    <t xml:space="preserve">RPY-0005497</t>
  </si>
  <si>
    <t xml:space="preserve">RPY-0005498</t>
  </si>
  <si>
    <t xml:space="preserve">RPY-0005499</t>
  </si>
  <si>
    <t xml:space="preserve">RPY-0005500</t>
  </si>
  <si>
    <t xml:space="preserve">RPY-0005501</t>
  </si>
  <si>
    <t xml:space="preserve">RPY-0005502</t>
  </si>
  <si>
    <t xml:space="preserve">RPY-0005503</t>
  </si>
  <si>
    <t xml:space="preserve">RPY-0005504</t>
  </si>
  <si>
    <t xml:space="preserve">RPY-0005505</t>
  </si>
  <si>
    <t xml:space="preserve">RPY-0005506</t>
  </si>
  <si>
    <t xml:space="preserve">RPY-0005507</t>
  </si>
  <si>
    <t xml:space="preserve">RPY-0005508</t>
  </si>
  <si>
    <t xml:space="preserve">RPY-0005509</t>
  </si>
  <si>
    <t xml:space="preserve">RPY-0005510</t>
  </si>
  <si>
    <t xml:space="preserve">RPY-0005511</t>
  </si>
  <si>
    <t xml:space="preserve">RPY-0005512</t>
  </si>
  <si>
    <t xml:space="preserve">RPY-0005513</t>
  </si>
  <si>
    <t xml:space="preserve">RPY-0005514</t>
  </si>
  <si>
    <t xml:space="preserve">RPY-0005515</t>
  </si>
  <si>
    <t xml:space="preserve">RPY-0005516</t>
  </si>
  <si>
    <t xml:space="preserve">RPY-0005517</t>
  </si>
  <si>
    <t xml:space="preserve">RPY-0005518</t>
  </si>
  <si>
    <t xml:space="preserve">RPY-0005519</t>
  </si>
  <si>
    <t xml:space="preserve">RPY-0005520</t>
  </si>
  <si>
    <t xml:space="preserve">RPY-0005521</t>
  </si>
  <si>
    <t xml:space="preserve">RPY-0005522</t>
  </si>
  <si>
    <t xml:space="preserve">RPY-0005523</t>
  </si>
  <si>
    <t xml:space="preserve">RPY-0005524</t>
  </si>
  <si>
    <t xml:space="preserve">RPY-0005525</t>
  </si>
  <si>
    <t xml:space="preserve">RPY-0005526</t>
  </si>
  <si>
    <t xml:space="preserve">RPY-0005527</t>
  </si>
  <si>
    <t xml:space="preserve">RPY-0005528</t>
  </si>
  <si>
    <t xml:space="preserve">RPY-0005529</t>
  </si>
  <si>
    <t xml:space="preserve">RPY-0005530</t>
  </si>
  <si>
    <t xml:space="preserve">RPY-0005531</t>
  </si>
  <si>
    <t xml:space="preserve">RPY-0005532</t>
  </si>
  <si>
    <t xml:space="preserve">RPY-0005533</t>
  </si>
  <si>
    <t xml:space="preserve">RPY-0005534</t>
  </si>
  <si>
    <t xml:space="preserve">RPY-0005535</t>
  </si>
  <si>
    <t xml:space="preserve">RPY-0005536</t>
  </si>
  <si>
    <t xml:space="preserve">RPY-0005537</t>
  </si>
  <si>
    <t xml:space="preserve">RPY-0005538</t>
  </si>
  <si>
    <t xml:space="preserve">RPY-0005539</t>
  </si>
  <si>
    <t xml:space="preserve">RPY-0005540</t>
  </si>
  <si>
    <t xml:space="preserve">RPY-0005541</t>
  </si>
  <si>
    <t xml:space="preserve">RPY-0005542</t>
  </si>
  <si>
    <t xml:space="preserve">RPY-0005543</t>
  </si>
  <si>
    <t xml:space="preserve">RPY-0005544</t>
  </si>
  <si>
    <t xml:space="preserve">RPY-0005545</t>
  </si>
  <si>
    <t xml:space="preserve">RPY-0005546</t>
  </si>
  <si>
    <t xml:space="preserve">RPY-0005547</t>
  </si>
  <si>
    <t xml:space="preserve">RPY-0005548</t>
  </si>
  <si>
    <t xml:space="preserve">RPY-0005549</t>
  </si>
  <si>
    <t xml:space="preserve">RPY-0005550</t>
  </si>
  <si>
    <t xml:space="preserve">RPY-0005551</t>
  </si>
  <si>
    <t xml:space="preserve">RPY-0005552</t>
  </si>
  <si>
    <t xml:space="preserve">RPY-0005553</t>
  </si>
  <si>
    <t xml:space="preserve">RPY-0005554</t>
  </si>
  <si>
    <t xml:space="preserve">RPY-0005555</t>
  </si>
  <si>
    <t xml:space="preserve">RPY-0005556</t>
  </si>
  <si>
    <t xml:space="preserve">RPY-0005557</t>
  </si>
  <si>
    <t xml:space="preserve">RPY-0005558</t>
  </si>
  <si>
    <t xml:space="preserve">RPY-0005559</t>
  </si>
  <si>
    <t xml:space="preserve">RPY-0005560</t>
  </si>
  <si>
    <t xml:space="preserve">RPY-0005561</t>
  </si>
  <si>
    <t xml:space="preserve">RPY-0005562</t>
  </si>
  <si>
    <t xml:space="preserve">RPY-0005563</t>
  </si>
  <si>
    <t xml:space="preserve">RPY-0005564</t>
  </si>
  <si>
    <t xml:space="preserve">RPY-0005565</t>
  </si>
  <si>
    <t xml:space="preserve">RPY-0005566</t>
  </si>
  <si>
    <t xml:space="preserve">RPY-0005567</t>
  </si>
  <si>
    <t xml:space="preserve">RPY-0005568</t>
  </si>
  <si>
    <t xml:space="preserve">RPY-0005569</t>
  </si>
  <si>
    <t xml:space="preserve">RPY-0005570</t>
  </si>
  <si>
    <t xml:space="preserve">RPY-0005571</t>
  </si>
  <si>
    <t xml:space="preserve">RPY-0005572</t>
  </si>
  <si>
    <t xml:space="preserve">RPY-0005573</t>
  </si>
  <si>
    <t xml:space="preserve">RPY-0005574</t>
  </si>
  <si>
    <t xml:space="preserve">RPY-0005575</t>
  </si>
  <si>
    <t xml:space="preserve">RPY-0005576</t>
  </si>
  <si>
    <t xml:space="preserve">RPY-0005577</t>
  </si>
  <si>
    <t xml:space="preserve">RPY-0005578</t>
  </si>
  <si>
    <t xml:space="preserve">RPY-0005579</t>
  </si>
  <si>
    <t xml:space="preserve">RPY-0005580</t>
  </si>
  <si>
    <t xml:space="preserve">RPY-0005581</t>
  </si>
  <si>
    <t xml:space="preserve">RPY-0005582</t>
  </si>
  <si>
    <t xml:space="preserve">RPY-0005583</t>
  </si>
  <si>
    <t xml:space="preserve">RPY-0005584</t>
  </si>
  <si>
    <t xml:space="preserve">RPY-0005585</t>
  </si>
  <si>
    <t xml:space="preserve">RPY-0005586</t>
  </si>
  <si>
    <t xml:space="preserve">RPY-0005587</t>
  </si>
  <si>
    <t xml:space="preserve">RPY-0005588</t>
  </si>
  <si>
    <t xml:space="preserve">RPY-0005589</t>
  </si>
  <si>
    <t xml:space="preserve">RPY-0005590</t>
  </si>
  <si>
    <t xml:space="preserve">RPY-0005591</t>
  </si>
  <si>
    <t xml:space="preserve">RPY-0005592</t>
  </si>
  <si>
    <t xml:space="preserve">RPY-0005593</t>
  </si>
  <si>
    <t xml:space="preserve">RPY-0005594</t>
  </si>
  <si>
    <t xml:space="preserve">RPY-0005595</t>
  </si>
  <si>
    <t xml:space="preserve">RPY-0005596</t>
  </si>
  <si>
    <t xml:space="preserve">RPY-0005597</t>
  </si>
  <si>
    <t xml:space="preserve">RPY-0005598</t>
  </si>
  <si>
    <t xml:space="preserve">RPY-0005599</t>
  </si>
  <si>
    <t xml:space="preserve">RPY-0005600</t>
  </si>
  <si>
    <t xml:space="preserve">RPY-0005601</t>
  </si>
  <si>
    <t xml:space="preserve">RPY-0005602</t>
  </si>
  <si>
    <t xml:space="preserve">RPY-0005603</t>
  </si>
  <si>
    <t xml:space="preserve">RPY-0005604</t>
  </si>
  <si>
    <t xml:space="preserve">RPY-0005605</t>
  </si>
  <si>
    <t xml:space="preserve">RPY-0005606</t>
  </si>
  <si>
    <t xml:space="preserve">RPY-0005607</t>
  </si>
  <si>
    <t xml:space="preserve">RPY-0005608</t>
  </si>
  <si>
    <t xml:space="preserve">RPY-0005609</t>
  </si>
  <si>
    <t xml:space="preserve">RPY-0005610</t>
  </si>
  <si>
    <t xml:space="preserve">RPY-0005611</t>
  </si>
  <si>
    <t xml:space="preserve">RPY-0005612</t>
  </si>
  <si>
    <t xml:space="preserve">RPY-0005613</t>
  </si>
  <si>
    <t xml:space="preserve">RPY-0005614</t>
  </si>
  <si>
    <t xml:space="preserve">RPY-0005615</t>
  </si>
  <si>
    <t xml:space="preserve">RPY-0005616</t>
  </si>
  <si>
    <t xml:space="preserve">RPY-0005617</t>
  </si>
  <si>
    <t xml:space="preserve">RPY-0005618</t>
  </si>
  <si>
    <t xml:space="preserve">RPY-0005619</t>
  </si>
  <si>
    <t xml:space="preserve">RPY-0005620</t>
  </si>
  <si>
    <t xml:space="preserve">RPY-0005621</t>
  </si>
  <si>
    <t xml:space="preserve">RPY-0005622</t>
  </si>
  <si>
    <t xml:space="preserve">RPY-0005623</t>
  </si>
  <si>
    <t xml:space="preserve">RPY-0005624</t>
  </si>
  <si>
    <t xml:space="preserve">RPY-0005625</t>
  </si>
  <si>
    <t xml:space="preserve">RPY-0005626</t>
  </si>
  <si>
    <t xml:space="preserve">RPY-0005627</t>
  </si>
  <si>
    <t xml:space="preserve">RPY-0005628</t>
  </si>
  <si>
    <t xml:space="preserve">RPY-0005629</t>
  </si>
  <si>
    <t xml:space="preserve">RPY-0005630</t>
  </si>
  <si>
    <t xml:space="preserve">RPY-0005631</t>
  </si>
  <si>
    <t xml:space="preserve">RPY-0005632</t>
  </si>
  <si>
    <t xml:space="preserve">RPY-0005633</t>
  </si>
  <si>
    <t xml:space="preserve">RPY-0005634</t>
  </si>
  <si>
    <t xml:space="preserve">RPY-0005635</t>
  </si>
  <si>
    <t xml:space="preserve">RPY-0005636</t>
  </si>
  <si>
    <t xml:space="preserve">RPY-0005637</t>
  </si>
  <si>
    <t xml:space="preserve">RPY-0005638</t>
  </si>
  <si>
    <t xml:space="preserve">RPY-0005639</t>
  </si>
  <si>
    <t xml:space="preserve">RPY-0005640</t>
  </si>
  <si>
    <t xml:space="preserve">RPY-0005641</t>
  </si>
  <si>
    <t xml:space="preserve">RPY-0005642</t>
  </si>
  <si>
    <t xml:space="preserve">RPY-0005643</t>
  </si>
  <si>
    <t xml:space="preserve">RPY-0005644</t>
  </si>
  <si>
    <t xml:space="preserve">RPY-0005645</t>
  </si>
  <si>
    <t xml:space="preserve">RPY-0005646</t>
  </si>
  <si>
    <t xml:space="preserve">RPY-0005647</t>
  </si>
  <si>
    <t xml:space="preserve">RPY-0005648</t>
  </si>
  <si>
    <t xml:space="preserve">RPY-0005649</t>
  </si>
  <si>
    <t xml:space="preserve">RPY-0005650</t>
  </si>
  <si>
    <t xml:space="preserve">RPY-0005651</t>
  </si>
  <si>
    <t xml:space="preserve">RPY-0005652</t>
  </si>
  <si>
    <t xml:space="preserve">RPY-0005653</t>
  </si>
  <si>
    <t xml:space="preserve">RPY-0005654</t>
  </si>
  <si>
    <t xml:space="preserve">RPY-0005655</t>
  </si>
  <si>
    <t xml:space="preserve">RPY-0005656</t>
  </si>
  <si>
    <t xml:space="preserve">RPY-0005657</t>
  </si>
  <si>
    <t xml:space="preserve">RPY-0005658</t>
  </si>
  <si>
    <t xml:space="preserve">RPY-0005659</t>
  </si>
  <si>
    <t xml:space="preserve">RPY-0005660</t>
  </si>
  <si>
    <t xml:space="preserve">RPY-0005661</t>
  </si>
  <si>
    <t xml:space="preserve">RPY-0005662</t>
  </si>
  <si>
    <t xml:space="preserve">RPY-0005663</t>
  </si>
  <si>
    <t xml:space="preserve">RPY-0005664</t>
  </si>
  <si>
    <t xml:space="preserve">RPY-0005665</t>
  </si>
  <si>
    <t xml:space="preserve">RPY-0005666</t>
  </si>
  <si>
    <t xml:space="preserve">RPY-0005667</t>
  </si>
  <si>
    <t xml:space="preserve">RPY-0005668</t>
  </si>
  <si>
    <t xml:space="preserve">RPY-0005669</t>
  </si>
  <si>
    <t xml:space="preserve">RPY-0005670</t>
  </si>
  <si>
    <t xml:space="preserve">RPY-0005671</t>
  </si>
  <si>
    <t xml:space="preserve">RPY-0005672</t>
  </si>
  <si>
    <t xml:space="preserve">RPY-0005673</t>
  </si>
  <si>
    <t xml:space="preserve">RPY-0005674</t>
  </si>
  <si>
    <t xml:space="preserve">RPY-0005675</t>
  </si>
  <si>
    <t xml:space="preserve">RPY-0005676</t>
  </si>
  <si>
    <t xml:space="preserve">RPY-0005677</t>
  </si>
  <si>
    <t xml:space="preserve">RPY-0005678</t>
  </si>
  <si>
    <t xml:space="preserve">RPY-0005679</t>
  </si>
  <si>
    <t xml:space="preserve">RPY-0005680</t>
  </si>
  <si>
    <t xml:space="preserve">RPY-0005681</t>
  </si>
  <si>
    <t xml:space="preserve">RPY-0005682</t>
  </si>
  <si>
    <t xml:space="preserve">RPY-0005683</t>
  </si>
  <si>
    <t xml:space="preserve">RPY-0005684</t>
  </si>
  <si>
    <t xml:space="preserve">RPY-0005685</t>
  </si>
  <si>
    <t xml:space="preserve">RPY-0005686</t>
  </si>
  <si>
    <t xml:space="preserve">RPY-0005687</t>
  </si>
  <si>
    <t xml:space="preserve">RPY-0005688</t>
  </si>
  <si>
    <t xml:space="preserve">RPY-0005689</t>
  </si>
  <si>
    <t xml:space="preserve">RPY-0005690</t>
  </si>
  <si>
    <t xml:space="preserve">RPY-0005691</t>
  </si>
  <si>
    <t xml:space="preserve">RPY-0005692</t>
  </si>
  <si>
    <t xml:space="preserve">RPY-0005693</t>
  </si>
  <si>
    <t xml:space="preserve">RPY-0005694</t>
  </si>
  <si>
    <t xml:space="preserve">RPY-0005695</t>
  </si>
  <si>
    <t xml:space="preserve">RPY-0005696</t>
  </si>
  <si>
    <t xml:space="preserve">RPY-0005697</t>
  </si>
  <si>
    <t xml:space="preserve">RPY-0005698</t>
  </si>
  <si>
    <t xml:space="preserve">RPY-0005699</t>
  </si>
  <si>
    <t xml:space="preserve">RPY-0005700</t>
  </si>
  <si>
    <t xml:space="preserve">RPY-0005701</t>
  </si>
  <si>
    <t xml:space="preserve">RPY-0005702</t>
  </si>
  <si>
    <t xml:space="preserve">RPY-0005703</t>
  </si>
  <si>
    <t xml:space="preserve">RPY-0005704</t>
  </si>
  <si>
    <t xml:space="preserve">RPY-0005705</t>
  </si>
  <si>
    <t xml:space="preserve">RPY-0005706</t>
  </si>
  <si>
    <t xml:space="preserve">RPY-0005707</t>
  </si>
  <si>
    <t xml:space="preserve">RPY-0005708</t>
  </si>
  <si>
    <t xml:space="preserve">RPY-0005709</t>
  </si>
  <si>
    <t xml:space="preserve">RPY-0005710</t>
  </si>
  <si>
    <t xml:space="preserve">RPY-0005711</t>
  </si>
  <si>
    <t xml:space="preserve">RPY-0005712</t>
  </si>
  <si>
    <t xml:space="preserve">RPY-0005713</t>
  </si>
  <si>
    <t xml:space="preserve">RPY-0005714</t>
  </si>
  <si>
    <t xml:space="preserve">RPY-0005715</t>
  </si>
  <si>
    <t xml:space="preserve">RPY-0005716</t>
  </si>
  <si>
    <t xml:space="preserve">RPY-0005717</t>
  </si>
  <si>
    <t xml:space="preserve">RPY-0005718</t>
  </si>
  <si>
    <t xml:space="preserve">RPY-0005719</t>
  </si>
  <si>
    <t xml:space="preserve">RPY-0005720</t>
  </si>
  <si>
    <t xml:space="preserve">RPY-0005721</t>
  </si>
  <si>
    <t xml:space="preserve">RPY-0005722</t>
  </si>
  <si>
    <t xml:space="preserve">RPY-0005723</t>
  </si>
  <si>
    <t xml:space="preserve">RPY-0005724</t>
  </si>
  <si>
    <t xml:space="preserve">RPY-0005725</t>
  </si>
  <si>
    <t xml:space="preserve">RPY-0005726</t>
  </si>
  <si>
    <t xml:space="preserve">RPY-0005727</t>
  </si>
  <si>
    <t xml:space="preserve">RPY-0005728</t>
  </si>
  <si>
    <t xml:space="preserve">RPY-0005729</t>
  </si>
  <si>
    <t xml:space="preserve">RPY-0005730</t>
  </si>
  <si>
    <t xml:space="preserve">RPY-0005731</t>
  </si>
  <si>
    <t xml:space="preserve">RPY-0005732</t>
  </si>
  <si>
    <t xml:space="preserve">RPY-0005733</t>
  </si>
  <si>
    <t xml:space="preserve">RPY-0005734</t>
  </si>
  <si>
    <t xml:space="preserve">RPY-0005735</t>
  </si>
  <si>
    <t xml:space="preserve">RPY-0005736</t>
  </si>
  <si>
    <t xml:space="preserve">RPY-0005737</t>
  </si>
  <si>
    <t xml:space="preserve">RPY-0005738</t>
  </si>
  <si>
    <t xml:space="preserve">RPY-0005739</t>
  </si>
  <si>
    <t xml:space="preserve">RPY-0005740</t>
  </si>
  <si>
    <t xml:space="preserve">RPY-0005741</t>
  </si>
  <si>
    <t xml:space="preserve">RPY-0005742</t>
  </si>
  <si>
    <t xml:space="preserve">RPY-0005743</t>
  </si>
  <si>
    <t xml:space="preserve">RPY-0005744</t>
  </si>
  <si>
    <t xml:space="preserve">RPY-0005745</t>
  </si>
  <si>
    <t xml:space="preserve">RPY-0005746</t>
  </si>
  <si>
    <t xml:space="preserve">RPY-0005747</t>
  </si>
  <si>
    <t xml:space="preserve">RPY-0005748</t>
  </si>
  <si>
    <t xml:space="preserve">RPY-0005749</t>
  </si>
  <si>
    <t xml:space="preserve">RPY-0005750</t>
  </si>
  <si>
    <t xml:space="preserve">RPY-0005751</t>
  </si>
  <si>
    <t xml:space="preserve">RPY-0005752</t>
  </si>
  <si>
    <t xml:space="preserve">RPY-0005753</t>
  </si>
  <si>
    <t xml:space="preserve">RPY-0005754</t>
  </si>
  <si>
    <t xml:space="preserve">RPY-0005755</t>
  </si>
  <si>
    <t xml:space="preserve">RPY-0005756</t>
  </si>
  <si>
    <t xml:space="preserve">RPY-0005757</t>
  </si>
  <si>
    <t xml:space="preserve">RPY-0005758</t>
  </si>
  <si>
    <t xml:space="preserve">RPY-0005759</t>
  </si>
  <si>
    <t xml:space="preserve">RPY-0005760</t>
  </si>
  <si>
    <t xml:space="preserve">RPY-0005761</t>
  </si>
  <si>
    <t xml:space="preserve">RPY-0005762</t>
  </si>
  <si>
    <t xml:space="preserve">RPY-0005763</t>
  </si>
  <si>
    <t xml:space="preserve">RPY-0005764</t>
  </si>
  <si>
    <t xml:space="preserve">RPY-0005765</t>
  </si>
  <si>
    <t xml:space="preserve">RPY-0005766</t>
  </si>
  <si>
    <t xml:space="preserve">RPY-0005767</t>
  </si>
  <si>
    <t xml:space="preserve">RPY-0005768</t>
  </si>
  <si>
    <t xml:space="preserve">RPY-0005769</t>
  </si>
  <si>
    <t xml:space="preserve">RPY-0005770</t>
  </si>
  <si>
    <t xml:space="preserve">RPY-0005771</t>
  </si>
  <si>
    <t xml:space="preserve">RPY-0005772</t>
  </si>
  <si>
    <t xml:space="preserve">RPY-0005773</t>
  </si>
  <si>
    <t xml:space="preserve">RPY-0005774</t>
  </si>
  <si>
    <t xml:space="preserve">RPY-0005775</t>
  </si>
  <si>
    <t xml:space="preserve">RPY-0005776</t>
  </si>
  <si>
    <t xml:space="preserve">RPY-0005777</t>
  </si>
  <si>
    <t xml:space="preserve">RPY-0005778</t>
  </si>
  <si>
    <t xml:space="preserve">RPY-0005779</t>
  </si>
  <si>
    <t xml:space="preserve">RPY-0005780</t>
  </si>
  <si>
    <t xml:space="preserve">RPY-0005781</t>
  </si>
  <si>
    <t xml:space="preserve">RPY-0005782</t>
  </si>
  <si>
    <t xml:space="preserve">RPY-0005783</t>
  </si>
  <si>
    <t xml:space="preserve">RPY-0005784</t>
  </si>
  <si>
    <t xml:space="preserve">RPY-0005785</t>
  </si>
  <si>
    <t xml:space="preserve">RPY-0005786</t>
  </si>
  <si>
    <t xml:space="preserve">RPY-0005787</t>
  </si>
  <si>
    <t xml:space="preserve">RPY-0005788</t>
  </si>
  <si>
    <t xml:space="preserve">RPY-0005789</t>
  </si>
  <si>
    <t xml:space="preserve">RPY-0005790</t>
  </si>
  <si>
    <t xml:space="preserve">RPY-0005791</t>
  </si>
  <si>
    <t xml:space="preserve">RPY-0005792</t>
  </si>
  <si>
    <t xml:space="preserve">RPY-0005793</t>
  </si>
  <si>
    <t xml:space="preserve">RPY-0005794</t>
  </si>
  <si>
    <t xml:space="preserve">RPY-0005795</t>
  </si>
  <si>
    <t xml:space="preserve">RPY-0005796</t>
  </si>
  <si>
    <t xml:space="preserve">RPY-0005797</t>
  </si>
  <si>
    <t xml:space="preserve">RPY-0005798</t>
  </si>
  <si>
    <t xml:space="preserve">RPY-0005799</t>
  </si>
  <si>
    <t xml:space="preserve">RPY-0005800</t>
  </si>
  <si>
    <t xml:space="preserve">RPY-0005801</t>
  </si>
  <si>
    <t xml:space="preserve">RPY-0005802</t>
  </si>
  <si>
    <t xml:space="preserve">RPY-0005803</t>
  </si>
  <si>
    <t xml:space="preserve">RPY-0005804</t>
  </si>
  <si>
    <t xml:space="preserve">RPY-0005805</t>
  </si>
  <si>
    <t xml:space="preserve">RPY-0005806</t>
  </si>
  <si>
    <t xml:space="preserve">RPY-0005807</t>
  </si>
  <si>
    <t xml:space="preserve">RPY-0005808</t>
  </si>
  <si>
    <t xml:space="preserve">RPY-0005809</t>
  </si>
  <si>
    <t xml:space="preserve">RPY-0005810</t>
  </si>
  <si>
    <t xml:space="preserve">RPY-0005811</t>
  </si>
  <si>
    <t xml:space="preserve">RPY-0005812</t>
  </si>
  <si>
    <t xml:space="preserve">RPY-0005813</t>
  </si>
  <si>
    <t xml:space="preserve">RPY-0005814</t>
  </si>
  <si>
    <t xml:space="preserve">RPY-0005815</t>
  </si>
  <si>
    <t xml:space="preserve">RPY-0005816</t>
  </si>
  <si>
    <t xml:space="preserve">RPY-0005817</t>
  </si>
  <si>
    <t xml:space="preserve">RPY-0005818</t>
  </si>
  <si>
    <t xml:space="preserve">RPY-0005819</t>
  </si>
  <si>
    <t xml:space="preserve">RPY-0005820</t>
  </si>
  <si>
    <t xml:space="preserve">RPY-0005821</t>
  </si>
  <si>
    <t xml:space="preserve">RPY-0005822</t>
  </si>
  <si>
    <t xml:space="preserve">RPY-0005823</t>
  </si>
  <si>
    <t xml:space="preserve">RPY-0005824</t>
  </si>
  <si>
    <t xml:space="preserve">RPY-0005825</t>
  </si>
  <si>
    <t xml:space="preserve">RPY-0005826</t>
  </si>
  <si>
    <t xml:space="preserve">RPY-0005827</t>
  </si>
  <si>
    <t xml:space="preserve">RPY-0005828</t>
  </si>
  <si>
    <t xml:space="preserve">RPY-0005829</t>
  </si>
  <si>
    <t xml:space="preserve">RPY-0005830</t>
  </si>
  <si>
    <t xml:space="preserve">RPY-0005831</t>
  </si>
  <si>
    <t xml:space="preserve">RPY-0005832</t>
  </si>
  <si>
    <t xml:space="preserve">RPY-0005833</t>
  </si>
  <si>
    <t xml:space="preserve">RPY-0005834</t>
  </si>
  <si>
    <t xml:space="preserve">RPY-0005835</t>
  </si>
  <si>
    <t xml:space="preserve">RPY-0005836</t>
  </si>
  <si>
    <t xml:space="preserve">RPY-0005837</t>
  </si>
  <si>
    <t xml:space="preserve">RPY-0005838</t>
  </si>
  <si>
    <t xml:space="preserve">RPY-0005839</t>
  </si>
  <si>
    <t xml:space="preserve">RPY-0005840</t>
  </si>
  <si>
    <t xml:space="preserve">RPY-0005841</t>
  </si>
  <si>
    <t xml:space="preserve">RPY-0005842</t>
  </si>
  <si>
    <t xml:space="preserve">RPY-0005843</t>
  </si>
  <si>
    <t xml:space="preserve">RPY-0005844</t>
  </si>
  <si>
    <t xml:space="preserve">RPY-0005845</t>
  </si>
  <si>
    <t xml:space="preserve">RPY-0005846</t>
  </si>
  <si>
    <t xml:space="preserve">RPY-0005847</t>
  </si>
  <si>
    <t xml:space="preserve">RPY-0005848</t>
  </si>
  <si>
    <t xml:space="preserve">RPY-0005849</t>
  </si>
  <si>
    <t xml:space="preserve">RPY-0005850</t>
  </si>
  <si>
    <t xml:space="preserve">RPY-0005851</t>
  </si>
  <si>
    <t xml:space="preserve">RPY-0005852</t>
  </si>
  <si>
    <t xml:space="preserve">RPY-0005853</t>
  </si>
  <si>
    <t xml:space="preserve">RPY-0005854</t>
  </si>
  <si>
    <t xml:space="preserve">RPY-0005855</t>
  </si>
  <si>
    <t xml:space="preserve">RPY-0005856</t>
  </si>
  <si>
    <t xml:space="preserve">RPY-0005857</t>
  </si>
  <si>
    <t xml:space="preserve">RPY-0005858</t>
  </si>
  <si>
    <t xml:space="preserve">RPY-0005859</t>
  </si>
  <si>
    <t xml:space="preserve">RPY-0005860</t>
  </si>
  <si>
    <t xml:space="preserve">RPY-0005861</t>
  </si>
  <si>
    <t xml:space="preserve">RPY-0005862</t>
  </si>
  <si>
    <t xml:space="preserve">RPY-0005863</t>
  </si>
  <si>
    <t xml:space="preserve">RPY-0005864</t>
  </si>
  <si>
    <t xml:space="preserve">RPY-0005865</t>
  </si>
  <si>
    <t xml:space="preserve">RPY-0005866</t>
  </si>
  <si>
    <t xml:space="preserve">RPY-0005867</t>
  </si>
  <si>
    <t xml:space="preserve">RPY-0005868</t>
  </si>
  <si>
    <t xml:space="preserve">RPY-0005869</t>
  </si>
  <si>
    <t xml:space="preserve">RPY-0005870</t>
  </si>
  <si>
    <t xml:space="preserve">RPY-0005871</t>
  </si>
  <si>
    <t xml:space="preserve">RPY-0005872</t>
  </si>
  <si>
    <t xml:space="preserve">RPY-0005873</t>
  </si>
  <si>
    <t xml:space="preserve">RPY-0005874</t>
  </si>
  <si>
    <t xml:space="preserve">RPY-0005875</t>
  </si>
  <si>
    <t xml:space="preserve">RPY-0005876</t>
  </si>
  <si>
    <t xml:space="preserve">RPY-0005877</t>
  </si>
  <si>
    <t xml:space="preserve">RPY-0005878</t>
  </si>
  <si>
    <t xml:space="preserve">RPY-0005879</t>
  </si>
  <si>
    <t xml:space="preserve">RPY-0005880</t>
  </si>
  <si>
    <t xml:space="preserve">RPY-0005881</t>
  </si>
  <si>
    <t xml:space="preserve">RPY-0005882</t>
  </si>
  <si>
    <t xml:space="preserve">RPY-0005883</t>
  </si>
  <si>
    <t xml:space="preserve">RPY-0005884</t>
  </si>
  <si>
    <t xml:space="preserve">RPY-0005885</t>
  </si>
  <si>
    <t xml:space="preserve">RPY-0005886</t>
  </si>
  <si>
    <t xml:space="preserve">RPY-0005887</t>
  </si>
  <si>
    <t xml:space="preserve">RPY-0005888</t>
  </si>
  <si>
    <t xml:space="preserve">RPY-0005889</t>
  </si>
  <si>
    <t xml:space="preserve">RPY-0005890</t>
  </si>
  <si>
    <t xml:space="preserve">RPY-0005891</t>
  </si>
  <si>
    <t xml:space="preserve">RPY-0005892</t>
  </si>
  <si>
    <t xml:space="preserve">RPY-0005893</t>
  </si>
  <si>
    <t xml:space="preserve">RPY-0005894</t>
  </si>
  <si>
    <t xml:space="preserve">RPY-0005895</t>
  </si>
  <si>
    <t xml:space="preserve">RPY-0005896</t>
  </si>
  <si>
    <t xml:space="preserve">RPY-0005897</t>
  </si>
  <si>
    <t xml:space="preserve">RPY-0005898</t>
  </si>
  <si>
    <t xml:space="preserve">RPY-0005899</t>
  </si>
  <si>
    <t xml:space="preserve">RPY-0005900</t>
  </si>
  <si>
    <t xml:space="preserve">RPY-0005901</t>
  </si>
  <si>
    <t xml:space="preserve">RPY-0005902</t>
  </si>
  <si>
    <t xml:space="preserve">RPY-0005903</t>
  </si>
  <si>
    <t xml:space="preserve">RPY-0005904</t>
  </si>
  <si>
    <t xml:space="preserve">RPY-0005905</t>
  </si>
  <si>
    <t xml:space="preserve">RPY-0005906</t>
  </si>
  <si>
    <t xml:space="preserve">RPY-0005907</t>
  </si>
  <si>
    <t xml:space="preserve">RPY-0005908</t>
  </si>
  <si>
    <t xml:space="preserve">RPY-0005909</t>
  </si>
  <si>
    <t xml:space="preserve">RPY-0005910</t>
  </si>
  <si>
    <t xml:space="preserve">RPY-0005911</t>
  </si>
  <si>
    <t xml:space="preserve">RPY-0005912</t>
  </si>
  <si>
    <t xml:space="preserve">RPY-0005913</t>
  </si>
  <si>
    <t xml:space="preserve">RPY-0005914</t>
  </si>
  <si>
    <t xml:space="preserve">RPY-0005915</t>
  </si>
  <si>
    <t xml:space="preserve">RPY-0005916</t>
  </si>
  <si>
    <t xml:space="preserve">RPY-0005917</t>
  </si>
  <si>
    <t xml:space="preserve">RPY-0005918</t>
  </si>
  <si>
    <t xml:space="preserve">RPY-0005919</t>
  </si>
  <si>
    <t xml:space="preserve">RPY-0005920</t>
  </si>
  <si>
    <t xml:space="preserve">RPY-0005921</t>
  </si>
  <si>
    <t xml:space="preserve">RPY-0005922</t>
  </si>
  <si>
    <t xml:space="preserve">RPY-0005923</t>
  </si>
  <si>
    <t xml:space="preserve">RPY-0005924</t>
  </si>
  <si>
    <t xml:space="preserve">RPY-0005925</t>
  </si>
  <si>
    <t xml:space="preserve">RPY-0005926</t>
  </si>
  <si>
    <t xml:space="preserve">RPY-0005927</t>
  </si>
  <si>
    <t xml:space="preserve">RPY-0005928</t>
  </si>
  <si>
    <t xml:space="preserve">RPY-0005929</t>
  </si>
  <si>
    <t xml:space="preserve">RPY-0005930</t>
  </si>
  <si>
    <t xml:space="preserve">RPY-0005931</t>
  </si>
  <si>
    <t xml:space="preserve">RPY-0005932</t>
  </si>
  <si>
    <t xml:space="preserve">RPY-0005933</t>
  </si>
  <si>
    <t xml:space="preserve">RPY-0005934</t>
  </si>
  <si>
    <t xml:space="preserve">RPY-0005935</t>
  </si>
  <si>
    <t xml:space="preserve">RPY-0005936</t>
  </si>
  <si>
    <t xml:space="preserve">RPY-0005937</t>
  </si>
  <si>
    <t xml:space="preserve">RPY-0005938</t>
  </si>
  <si>
    <t xml:space="preserve">RPY-0005939</t>
  </si>
  <si>
    <t xml:space="preserve">RPY-0005940</t>
  </si>
  <si>
    <t xml:space="preserve">RPY-0005941</t>
  </si>
  <si>
    <t xml:space="preserve">RPY-0005942</t>
  </si>
  <si>
    <t xml:space="preserve">RPY-0005943</t>
  </si>
  <si>
    <t xml:space="preserve">RPY-0005944</t>
  </si>
  <si>
    <t xml:space="preserve">RPY-0005945</t>
  </si>
  <si>
    <t xml:space="preserve">RPY-0005946</t>
  </si>
  <si>
    <t xml:space="preserve">RPY-0005947</t>
  </si>
  <si>
    <t xml:space="preserve">RPY-0005948</t>
  </si>
  <si>
    <t xml:space="preserve">RPY-0005949</t>
  </si>
  <si>
    <t xml:space="preserve">RPY-0005950</t>
  </si>
  <si>
    <t xml:space="preserve">RPY-0005951</t>
  </si>
  <si>
    <t xml:space="preserve">RPY-0005952</t>
  </si>
  <si>
    <t xml:space="preserve">RPY-0005953</t>
  </si>
  <si>
    <t xml:space="preserve">RPY-0005954</t>
  </si>
  <si>
    <t xml:space="preserve">RPY-0005955</t>
  </si>
  <si>
    <t xml:space="preserve">RPY-0005956</t>
  </si>
  <si>
    <t xml:space="preserve">RPY-0005957</t>
  </si>
  <si>
    <t xml:space="preserve">RPY-0005958</t>
  </si>
  <si>
    <t xml:space="preserve">RPY-0005959</t>
  </si>
  <si>
    <t xml:space="preserve">RPY-0005960</t>
  </si>
  <si>
    <t xml:space="preserve">RPY-0005961</t>
  </si>
  <si>
    <t xml:space="preserve">RPY-0005962</t>
  </si>
  <si>
    <t xml:space="preserve">RPY-0005963</t>
  </si>
  <si>
    <t xml:space="preserve">RPY-0005964</t>
  </si>
  <si>
    <t xml:space="preserve">RPY-0005965</t>
  </si>
  <si>
    <t xml:space="preserve">RPY-0005966</t>
  </si>
  <si>
    <t xml:space="preserve">RPY-0005967</t>
  </si>
  <si>
    <t xml:space="preserve">RPY-0005968</t>
  </si>
  <si>
    <t xml:space="preserve">RPY-0005969</t>
  </si>
  <si>
    <t xml:space="preserve">RPY-0005970</t>
  </si>
  <si>
    <t xml:space="preserve">RPY-0005971</t>
  </si>
  <si>
    <t xml:space="preserve">RPY-0005972</t>
  </si>
  <si>
    <t xml:space="preserve">RPY-0005973</t>
  </si>
  <si>
    <t xml:space="preserve">RPY-0005974</t>
  </si>
  <si>
    <t xml:space="preserve">RPY-0005975</t>
  </si>
  <si>
    <t xml:space="preserve">RPY-0005976</t>
  </si>
  <si>
    <t xml:space="preserve">RPY-0005977</t>
  </si>
  <si>
    <t xml:space="preserve">RPY-0005978</t>
  </si>
  <si>
    <t xml:space="preserve">RPY-0005979</t>
  </si>
  <si>
    <t xml:space="preserve">RPY-0005980</t>
  </si>
  <si>
    <t xml:space="preserve">RPY-0005981</t>
  </si>
  <si>
    <t xml:space="preserve">RPY-0005982</t>
  </si>
  <si>
    <t xml:space="preserve">RPY-0005983</t>
  </si>
  <si>
    <t xml:space="preserve">RPY-0005984</t>
  </si>
  <si>
    <t xml:space="preserve">RPY-0005985</t>
  </si>
  <si>
    <t xml:space="preserve">RPY-0005986</t>
  </si>
  <si>
    <t xml:space="preserve">RPY-0005987</t>
  </si>
  <si>
    <t xml:space="preserve">RPY-0005988</t>
  </si>
  <si>
    <t xml:space="preserve">RPY-0005989</t>
  </si>
  <si>
    <t xml:space="preserve">RPY-0005990</t>
  </si>
  <si>
    <t xml:space="preserve">RPY-0005991</t>
  </si>
  <si>
    <t xml:space="preserve">RPY-0005992</t>
  </si>
  <si>
    <t xml:space="preserve">RPY-0005993</t>
  </si>
  <si>
    <t xml:space="preserve">RPY-0005994</t>
  </si>
  <si>
    <t xml:space="preserve">RPY-0005995</t>
  </si>
  <si>
    <t xml:space="preserve">RPY-0005996</t>
  </si>
  <si>
    <t xml:space="preserve">RPY-0005997</t>
  </si>
  <si>
    <t xml:space="preserve">RPY-0005998</t>
  </si>
  <si>
    <t xml:space="preserve">RPY-0005999</t>
  </si>
  <si>
    <t xml:space="preserve">RPY-0006000</t>
  </si>
  <si>
    <t xml:space="preserve">RPY-0006001</t>
  </si>
  <si>
    <t xml:space="preserve">RPY-0006002</t>
  </si>
  <si>
    <t xml:space="preserve">RPY-0006003</t>
  </si>
  <si>
    <t xml:space="preserve">RPY-0006004</t>
  </si>
  <si>
    <t xml:space="preserve">RPY-0006005</t>
  </si>
  <si>
    <t xml:space="preserve">RPY-0006006</t>
  </si>
  <si>
    <t xml:space="preserve">RPY-0006007</t>
  </si>
  <si>
    <t xml:space="preserve">RPY-0006008</t>
  </si>
  <si>
    <t xml:space="preserve">RPY-0006009</t>
  </si>
  <si>
    <t xml:space="preserve">RPY-0006010</t>
  </si>
  <si>
    <t xml:space="preserve">RPY-0006011</t>
  </si>
  <si>
    <t xml:space="preserve">RPY-0006012</t>
  </si>
  <si>
    <t xml:space="preserve">RPY-0006013</t>
  </si>
  <si>
    <t xml:space="preserve">RPY-0006014</t>
  </si>
  <si>
    <t xml:space="preserve">RPY-0006015</t>
  </si>
  <si>
    <t xml:space="preserve">RPY-0006016</t>
  </si>
  <si>
    <t xml:space="preserve">RPY-0006017</t>
  </si>
  <si>
    <t xml:space="preserve">RPY-0006018</t>
  </si>
  <si>
    <t xml:space="preserve">RPY-0006019</t>
  </si>
  <si>
    <t xml:space="preserve">RPY-0006020</t>
  </si>
  <si>
    <t xml:space="preserve">RPY-0006021</t>
  </si>
  <si>
    <t xml:space="preserve">RPY-0006022</t>
  </si>
  <si>
    <t xml:space="preserve">RPY-0006023</t>
  </si>
  <si>
    <t xml:space="preserve">RPY-0006024</t>
  </si>
  <si>
    <t xml:space="preserve">RPY-0006025</t>
  </si>
  <si>
    <t xml:space="preserve">RPY-0006026</t>
  </si>
  <si>
    <t xml:space="preserve">RPY-0006027</t>
  </si>
  <si>
    <t xml:space="preserve">RPY-0006028</t>
  </si>
  <si>
    <t xml:space="preserve">RPY-0006029</t>
  </si>
  <si>
    <t xml:space="preserve">RPY-0006030</t>
  </si>
  <si>
    <t xml:space="preserve">RPY-0006031</t>
  </si>
  <si>
    <t xml:space="preserve">RPY-0006032</t>
  </si>
  <si>
    <t xml:space="preserve">RPY-0006033</t>
  </si>
  <si>
    <t xml:space="preserve">RPY-0006034</t>
  </si>
  <si>
    <t xml:space="preserve">RPY-0006035</t>
  </si>
  <si>
    <t xml:space="preserve">RPY-0006036</t>
  </si>
  <si>
    <t xml:space="preserve">RPY-0006037</t>
  </si>
  <si>
    <t xml:space="preserve">RPY-0006038</t>
  </si>
  <si>
    <t xml:space="preserve">RPY-0006039</t>
  </si>
  <si>
    <t xml:space="preserve">RPY-0006040</t>
  </si>
  <si>
    <t xml:space="preserve">RPY-0006041</t>
  </si>
  <si>
    <t xml:space="preserve">RPY-0006042</t>
  </si>
  <si>
    <t xml:space="preserve">RPY-0006043</t>
  </si>
  <si>
    <t xml:space="preserve">RPY-0006044</t>
  </si>
  <si>
    <t xml:space="preserve">RPY-0006045</t>
  </si>
  <si>
    <t xml:space="preserve">RPY-0006046</t>
  </si>
  <si>
    <t xml:space="preserve">RPY-0006047</t>
  </si>
  <si>
    <t xml:space="preserve">RPY-0006048</t>
  </si>
  <si>
    <t xml:space="preserve">RPY-0006049</t>
  </si>
  <si>
    <t xml:space="preserve">RPY-0006050</t>
  </si>
  <si>
    <t xml:space="preserve">RPY-0006051</t>
  </si>
  <si>
    <t xml:space="preserve">RPY-0006052</t>
  </si>
  <si>
    <t xml:space="preserve">RPY-0006053</t>
  </si>
  <si>
    <t xml:space="preserve">RPY-0006054</t>
  </si>
  <si>
    <t xml:space="preserve">RPY-0006055</t>
  </si>
  <si>
    <t xml:space="preserve">RPY-0006056</t>
  </si>
  <si>
    <t xml:space="preserve">RPY-0006057</t>
  </si>
  <si>
    <t xml:space="preserve">RPY-0006058</t>
  </si>
  <si>
    <t xml:space="preserve">RPY-0006059</t>
  </si>
  <si>
    <t xml:space="preserve">RPY-0006060</t>
  </si>
  <si>
    <t xml:space="preserve">RPY-0006061</t>
  </si>
  <si>
    <t xml:space="preserve">RPY-0006062</t>
  </si>
  <si>
    <t xml:space="preserve">RPY-0006063</t>
  </si>
  <si>
    <t xml:space="preserve">RPY-0006064</t>
  </si>
  <si>
    <t xml:space="preserve">RPY-0006065</t>
  </si>
  <si>
    <t xml:space="preserve">RPY-0006066</t>
  </si>
  <si>
    <t xml:space="preserve">RPY-0006067</t>
  </si>
  <si>
    <t xml:space="preserve">RPY-0006068</t>
  </si>
  <si>
    <t xml:space="preserve">RPY-0006069</t>
  </si>
  <si>
    <t xml:space="preserve">RPY-0006070</t>
  </si>
  <si>
    <t xml:space="preserve">RPY-0006071</t>
  </si>
  <si>
    <t xml:space="preserve">RPY-0006072</t>
  </si>
  <si>
    <t xml:space="preserve">RPY-0006073</t>
  </si>
  <si>
    <t xml:space="preserve">RPY-0006074</t>
  </si>
  <si>
    <t xml:space="preserve">RPY-0006075</t>
  </si>
  <si>
    <t xml:space="preserve">RPY-0006076</t>
  </si>
  <si>
    <t xml:space="preserve">RPY-0006077</t>
  </si>
  <si>
    <t xml:space="preserve">RPY-0006078</t>
  </si>
  <si>
    <t xml:space="preserve">RPY-0006079</t>
  </si>
  <si>
    <t xml:space="preserve">RPY-0006080</t>
  </si>
  <si>
    <t xml:space="preserve">RPY-0006081</t>
  </si>
  <si>
    <t xml:space="preserve">RPY-0006082</t>
  </si>
  <si>
    <t xml:space="preserve">RPY-0006083</t>
  </si>
  <si>
    <t xml:space="preserve">RPY-0006084</t>
  </si>
  <si>
    <t xml:space="preserve">RPY-0006085</t>
  </si>
  <si>
    <t xml:space="preserve">RPY-0006086</t>
  </si>
  <si>
    <t xml:space="preserve">RPY-0006087</t>
  </si>
  <si>
    <t xml:space="preserve">RPY-0006088</t>
  </si>
  <si>
    <t xml:space="preserve">RPY-0006089</t>
  </si>
  <si>
    <t xml:space="preserve">RPY-0006090</t>
  </si>
  <si>
    <t xml:space="preserve">RPY-0006091</t>
  </si>
  <si>
    <t xml:space="preserve">RPY-0006092</t>
  </si>
  <si>
    <t xml:space="preserve">RPY-0006093</t>
  </si>
  <si>
    <t xml:space="preserve">RPY-0006094</t>
  </si>
  <si>
    <t xml:space="preserve">RPY-0006095</t>
  </si>
  <si>
    <t xml:space="preserve">RPY-0006096</t>
  </si>
  <si>
    <t xml:space="preserve">RPY-0006097</t>
  </si>
  <si>
    <t xml:space="preserve">RPY-0006098</t>
  </si>
  <si>
    <t xml:space="preserve">RPY-0006099</t>
  </si>
  <si>
    <t xml:space="preserve">RPY-0006100</t>
  </si>
  <si>
    <t xml:space="preserve">RPY-0006101</t>
  </si>
  <si>
    <t xml:space="preserve">RPY-0006102</t>
  </si>
  <si>
    <t xml:space="preserve">RPY-0006103</t>
  </si>
  <si>
    <t xml:space="preserve">RPY-0006104</t>
  </si>
  <si>
    <t xml:space="preserve">RPY-0006105</t>
  </si>
  <si>
    <t xml:space="preserve">RPY-0006106</t>
  </si>
  <si>
    <t xml:space="preserve">RPY-0006107</t>
  </si>
  <si>
    <t xml:space="preserve">RPY-0006108</t>
  </si>
  <si>
    <t xml:space="preserve">RPY-0006109</t>
  </si>
  <si>
    <t xml:space="preserve">RPY-0006110</t>
  </si>
  <si>
    <t xml:space="preserve">RPY-0006111</t>
  </si>
  <si>
    <t xml:space="preserve">RPY-0006112</t>
  </si>
  <si>
    <t xml:space="preserve">RPY-0006113</t>
  </si>
  <si>
    <t xml:space="preserve">RPY-0006114</t>
  </si>
  <si>
    <t xml:space="preserve">RPY-0006115</t>
  </si>
  <si>
    <t xml:space="preserve">RPY-0006116</t>
  </si>
  <si>
    <t xml:space="preserve">RPY-0006117</t>
  </si>
  <si>
    <t xml:space="preserve">RPY-0006118</t>
  </si>
  <si>
    <t xml:space="preserve">RPY-0006119</t>
  </si>
  <si>
    <t xml:space="preserve">RPY-0006120</t>
  </si>
  <si>
    <t xml:space="preserve">RPY-0006121</t>
  </si>
  <si>
    <t xml:space="preserve">RPY-0006122</t>
  </si>
  <si>
    <t xml:space="preserve">RPY-0006123</t>
  </si>
  <si>
    <t xml:space="preserve">RPY-0006124</t>
  </si>
  <si>
    <t xml:space="preserve">RPY-0006125</t>
  </si>
  <si>
    <t xml:space="preserve">RPY-0006126</t>
  </si>
  <si>
    <t xml:space="preserve">RPY-0006127</t>
  </si>
  <si>
    <t xml:space="preserve">RPY-0006128</t>
  </si>
  <si>
    <t xml:space="preserve">RPY-0006129</t>
  </si>
  <si>
    <t xml:space="preserve">RPY-0006130</t>
  </si>
  <si>
    <t xml:space="preserve">RPY-0006131</t>
  </si>
  <si>
    <t xml:space="preserve">RPY-0006132</t>
  </si>
  <si>
    <t xml:space="preserve">RPY-0006133</t>
  </si>
  <si>
    <t xml:space="preserve">RPY-0006134</t>
  </si>
  <si>
    <t xml:space="preserve">RPY-0006135</t>
  </si>
  <si>
    <t xml:space="preserve">RPY-0006136</t>
  </si>
  <si>
    <t xml:space="preserve">RPY-0006137</t>
  </si>
  <si>
    <t xml:space="preserve">RPY-0006138</t>
  </si>
  <si>
    <t xml:space="preserve">RPY-0006139</t>
  </si>
  <si>
    <t xml:space="preserve">RPY-0006140</t>
  </si>
  <si>
    <t xml:space="preserve">RPY-0006141</t>
  </si>
  <si>
    <t xml:space="preserve">RPY-0006142</t>
  </si>
  <si>
    <t xml:space="preserve">RPY-0006143</t>
  </si>
  <si>
    <t xml:space="preserve">RPY-0006144</t>
  </si>
  <si>
    <t xml:space="preserve">RPY-0006145</t>
  </si>
  <si>
    <t xml:space="preserve">RPY-0006146</t>
  </si>
  <si>
    <t xml:space="preserve">RPY-0006147</t>
  </si>
  <si>
    <t xml:space="preserve">RPY-0006148</t>
  </si>
  <si>
    <t xml:space="preserve">RPY-0006149</t>
  </si>
  <si>
    <t xml:space="preserve">RPY-0006150</t>
  </si>
  <si>
    <t xml:space="preserve">RPY-0006151</t>
  </si>
  <si>
    <t xml:space="preserve">RPY-0006152</t>
  </si>
  <si>
    <t xml:space="preserve">RPY-0006153</t>
  </si>
  <si>
    <t xml:space="preserve">RPY-0006154</t>
  </si>
  <si>
    <t xml:space="preserve">RPY-0006155</t>
  </si>
  <si>
    <t xml:space="preserve">RPY-0006156</t>
  </si>
  <si>
    <t xml:space="preserve">RPY-0006157</t>
  </si>
  <si>
    <t xml:space="preserve">RPY-0006158</t>
  </si>
  <si>
    <t xml:space="preserve">RPY-0006159</t>
  </si>
  <si>
    <t xml:space="preserve">RPY-0006160</t>
  </si>
  <si>
    <t xml:space="preserve">RPY-0006161</t>
  </si>
  <si>
    <t xml:space="preserve">RPY-0006162</t>
  </si>
  <si>
    <t xml:space="preserve">RPY-0006163</t>
  </si>
  <si>
    <t xml:space="preserve">RPY-0006164</t>
  </si>
  <si>
    <t xml:space="preserve">RPY-0006165</t>
  </si>
  <si>
    <t xml:space="preserve">RPY-0006166</t>
  </si>
  <si>
    <t xml:space="preserve">RPY-0006167</t>
  </si>
  <si>
    <t xml:space="preserve">RPY-0006168</t>
  </si>
  <si>
    <t xml:space="preserve">RPY-0006169</t>
  </si>
  <si>
    <t xml:space="preserve">RPY-0006170</t>
  </si>
  <si>
    <t xml:space="preserve">RPY-0006171</t>
  </si>
  <si>
    <t xml:space="preserve">RPY-0006172</t>
  </si>
  <si>
    <t xml:space="preserve">RPY-0006173</t>
  </si>
  <si>
    <t xml:space="preserve">RPY-0006174</t>
  </si>
  <si>
    <t xml:space="preserve">RPY-0006175</t>
  </si>
  <si>
    <t xml:space="preserve">RPY-0006176</t>
  </si>
  <si>
    <t xml:space="preserve">RPY-0006177</t>
  </si>
  <si>
    <t xml:space="preserve">RPY-0006178</t>
  </si>
  <si>
    <t xml:space="preserve">RPY-0006179</t>
  </si>
  <si>
    <t xml:space="preserve">RPY-0006180</t>
  </si>
  <si>
    <t xml:space="preserve">RPY-0006181</t>
  </si>
  <si>
    <t xml:space="preserve">RPY-0006182</t>
  </si>
  <si>
    <t xml:space="preserve">RPY-0006183</t>
  </si>
  <si>
    <t xml:space="preserve">RPY-0006184</t>
  </si>
  <si>
    <t xml:space="preserve">RPY-0006185</t>
  </si>
  <si>
    <t xml:space="preserve">RPY-0006186</t>
  </si>
  <si>
    <t xml:space="preserve">RPY-0006187</t>
  </si>
  <si>
    <t xml:space="preserve">RPY-0006188</t>
  </si>
  <si>
    <t xml:space="preserve">RPY-0006189</t>
  </si>
  <si>
    <t xml:space="preserve">RPY-0006190</t>
  </si>
  <si>
    <t xml:space="preserve">RPY-0006191</t>
  </si>
  <si>
    <t xml:space="preserve">RPY-0006192</t>
  </si>
  <si>
    <t xml:space="preserve">RPY-0006193</t>
  </si>
  <si>
    <t xml:space="preserve">RPY-0006194</t>
  </si>
  <si>
    <t xml:space="preserve">RPY-0006195</t>
  </si>
  <si>
    <t xml:space="preserve">RPY-0006196</t>
  </si>
  <si>
    <t xml:space="preserve">RPY-0006197</t>
  </si>
  <si>
    <t xml:space="preserve">RPY-0006198</t>
  </si>
  <si>
    <t xml:space="preserve">RPY-0006199</t>
  </si>
  <si>
    <t xml:space="preserve">RPY-0006200</t>
  </si>
  <si>
    <t xml:space="preserve">RPY-0006201</t>
  </si>
  <si>
    <t xml:space="preserve">RPY-0006202</t>
  </si>
  <si>
    <t xml:space="preserve">RPY-0006203</t>
  </si>
  <si>
    <t xml:space="preserve">RPY-0006204</t>
  </si>
  <si>
    <t xml:space="preserve">RPY-0006205</t>
  </si>
  <si>
    <t xml:space="preserve">RPY-0006206</t>
  </si>
  <si>
    <t xml:space="preserve">RPY-0006207</t>
  </si>
  <si>
    <t xml:space="preserve">RPY-0006208</t>
  </si>
  <si>
    <t xml:space="preserve">RPY-0006209</t>
  </si>
  <si>
    <t xml:space="preserve">RPY-0006210</t>
  </si>
  <si>
    <t xml:space="preserve">RPY-0006211</t>
  </si>
  <si>
    <t xml:space="preserve">RPY-0006212</t>
  </si>
  <si>
    <t xml:space="preserve">RPY-0006213</t>
  </si>
  <si>
    <t xml:space="preserve">RPY-0006214</t>
  </si>
  <si>
    <t xml:space="preserve">RPY-0006215</t>
  </si>
  <si>
    <t xml:space="preserve">RPY-0006216</t>
  </si>
  <si>
    <t xml:space="preserve">RPY-0006217</t>
  </si>
  <si>
    <t xml:space="preserve">RPY-0006218</t>
  </si>
  <si>
    <t xml:space="preserve">RPY-0006219</t>
  </si>
  <si>
    <t xml:space="preserve">RPY-0006220</t>
  </si>
  <si>
    <t xml:space="preserve">RPY-0006221</t>
  </si>
  <si>
    <t xml:space="preserve">RPY-0006222</t>
  </si>
  <si>
    <t xml:space="preserve">RPY-0006223</t>
  </si>
  <si>
    <t xml:space="preserve">RPY-0006224</t>
  </si>
  <si>
    <t xml:space="preserve">RPY-0006225</t>
  </si>
  <si>
    <t xml:space="preserve">RPY-0006226</t>
  </si>
  <si>
    <t xml:space="preserve">RPY-0006227</t>
  </si>
  <si>
    <t xml:space="preserve">RPY-0006228</t>
  </si>
  <si>
    <t xml:space="preserve">RPY-0006229</t>
  </si>
  <si>
    <t xml:space="preserve">RPY-0006230</t>
  </si>
  <si>
    <t xml:space="preserve">RPY-0006231</t>
  </si>
  <si>
    <t xml:space="preserve">RPY-0006232</t>
  </si>
  <si>
    <t xml:space="preserve">RPY-0006233</t>
  </si>
  <si>
    <t xml:space="preserve">RPY-0006234</t>
  </si>
  <si>
    <t xml:space="preserve">RPY-0006235</t>
  </si>
  <si>
    <t xml:space="preserve">RPY-0006236</t>
  </si>
  <si>
    <t xml:space="preserve">RPY-0006237</t>
  </si>
  <si>
    <t xml:space="preserve">RPY-0006238</t>
  </si>
  <si>
    <t xml:space="preserve">RPY-0006239</t>
  </si>
  <si>
    <t xml:space="preserve">RPY-0006240</t>
  </si>
  <si>
    <t xml:space="preserve">RPY-0006241</t>
  </si>
  <si>
    <t xml:space="preserve">RPY-0006242</t>
  </si>
  <si>
    <t xml:space="preserve">RPY-0006243</t>
  </si>
  <si>
    <t xml:space="preserve">RPY-0006244</t>
  </si>
  <si>
    <t xml:space="preserve">RPY-0006245</t>
  </si>
  <si>
    <t xml:space="preserve">RPY-0006246</t>
  </si>
  <si>
    <t xml:space="preserve">RPY-0006247</t>
  </si>
  <si>
    <t xml:space="preserve">RPY-0006248</t>
  </si>
  <si>
    <t xml:space="preserve">RPY-0006249</t>
  </si>
  <si>
    <t xml:space="preserve">RPY-0006250</t>
  </si>
  <si>
    <t xml:space="preserve">RPY-0006251</t>
  </si>
  <si>
    <t xml:space="preserve">RPY-0006252</t>
  </si>
  <si>
    <t xml:space="preserve">RPY-0006253</t>
  </si>
  <si>
    <t xml:space="preserve">RPY-0006254</t>
  </si>
  <si>
    <t xml:space="preserve">RPY-0006255</t>
  </si>
  <si>
    <t xml:space="preserve">RPY-0006256</t>
  </si>
  <si>
    <t xml:space="preserve">RPY-0006257</t>
  </si>
  <si>
    <t xml:space="preserve">RPY-0006258</t>
  </si>
  <si>
    <t xml:space="preserve">RPY-0006259</t>
  </si>
  <si>
    <t xml:space="preserve">RPY-0006260</t>
  </si>
  <si>
    <t xml:space="preserve">RPY-0006261</t>
  </si>
  <si>
    <t xml:space="preserve">RPY-0006262</t>
  </si>
  <si>
    <t xml:space="preserve">RPY-0006263</t>
  </si>
  <si>
    <t xml:space="preserve">RPY-0006264</t>
  </si>
  <si>
    <t xml:space="preserve">RPY-0006265</t>
  </si>
  <si>
    <t xml:space="preserve">RPY-0006266</t>
  </si>
  <si>
    <t xml:space="preserve">RPY-0006267</t>
  </si>
  <si>
    <t xml:space="preserve">RPY-0006268</t>
  </si>
  <si>
    <t xml:space="preserve">RPY-0006269</t>
  </si>
  <si>
    <t xml:space="preserve">RPY-0006270</t>
  </si>
  <si>
    <t xml:space="preserve">RPY-0006271</t>
  </si>
  <si>
    <t xml:space="preserve">RPY-0006272</t>
  </si>
  <si>
    <t xml:space="preserve">RPY-0006273</t>
  </si>
  <si>
    <t xml:space="preserve">RPY-0006274</t>
  </si>
  <si>
    <t xml:space="preserve">RPY-0006275</t>
  </si>
  <si>
    <t xml:space="preserve">RPY-0006276</t>
  </si>
  <si>
    <t xml:space="preserve">RPY-0006277</t>
  </si>
  <si>
    <t xml:space="preserve">RPY-0006278</t>
  </si>
  <si>
    <t xml:space="preserve">RPY-0006279</t>
  </si>
  <si>
    <t xml:space="preserve">RPY-0006280</t>
  </si>
  <si>
    <t xml:space="preserve">RPY-0006281</t>
  </si>
  <si>
    <t xml:space="preserve">RPY-0006282</t>
  </si>
  <si>
    <t xml:space="preserve">RPY-0006283</t>
  </si>
  <si>
    <t xml:space="preserve">RPY-0006284</t>
  </si>
  <si>
    <t xml:space="preserve">RPY-0006285</t>
  </si>
  <si>
    <t xml:space="preserve">RPY-0006286</t>
  </si>
  <si>
    <t xml:space="preserve">RPY-0006287</t>
  </si>
  <si>
    <t xml:space="preserve">RPY-0006288</t>
  </si>
  <si>
    <t xml:space="preserve">RPY-0006289</t>
  </si>
  <si>
    <t xml:space="preserve">RPY-0006290</t>
  </si>
  <si>
    <t xml:space="preserve">RPY-0006291</t>
  </si>
  <si>
    <t xml:space="preserve">RPY-0006292</t>
  </si>
  <si>
    <t xml:space="preserve">RPY-0006293</t>
  </si>
  <si>
    <t xml:space="preserve">RPY-0006294</t>
  </si>
  <si>
    <t xml:space="preserve">RPY-0006295</t>
  </si>
  <si>
    <t xml:space="preserve">RPY-0006296</t>
  </si>
  <si>
    <t xml:space="preserve">RPY-0006297</t>
  </si>
  <si>
    <t xml:space="preserve">RPY-0006298</t>
  </si>
  <si>
    <t xml:space="preserve">RPY-0006299</t>
  </si>
  <si>
    <t xml:space="preserve">RPY-0006300</t>
  </si>
  <si>
    <t xml:space="preserve">RPY-0006301</t>
  </si>
  <si>
    <t xml:space="preserve">RPY-0006302</t>
  </si>
  <si>
    <t xml:space="preserve">RPY-0006303</t>
  </si>
  <si>
    <t xml:space="preserve">RPY-0006304</t>
  </si>
  <si>
    <t xml:space="preserve">RPY-0006305</t>
  </si>
  <si>
    <t xml:space="preserve">RPY-0006306</t>
  </si>
  <si>
    <t xml:space="preserve">RPY-0006307</t>
  </si>
  <si>
    <t xml:space="preserve">RPY-0006308</t>
  </si>
  <si>
    <t xml:space="preserve">RPY-0006309</t>
  </si>
  <si>
    <t xml:space="preserve">RPY-0006310</t>
  </si>
  <si>
    <t xml:space="preserve">RPY-0006311</t>
  </si>
  <si>
    <t xml:space="preserve">RPY-0006312</t>
  </si>
  <si>
    <t xml:space="preserve">RPY-0006313</t>
  </si>
  <si>
    <t xml:space="preserve">RPY-0006314</t>
  </si>
  <si>
    <t xml:space="preserve">RPY-0006315</t>
  </si>
  <si>
    <t xml:space="preserve">RPY-0006316</t>
  </si>
  <si>
    <t xml:space="preserve">RPY-0006317</t>
  </si>
  <si>
    <t xml:space="preserve">RPY-0006318</t>
  </si>
  <si>
    <t xml:space="preserve">RPY-0006319</t>
  </si>
  <si>
    <t xml:space="preserve">RPY-0006320</t>
  </si>
  <si>
    <t xml:space="preserve">RPY-0006321</t>
  </si>
  <si>
    <t xml:space="preserve">RPY-0006322</t>
  </si>
  <si>
    <t xml:space="preserve">RPY-0006323</t>
  </si>
  <si>
    <t xml:space="preserve">RPY-0006324</t>
  </si>
  <si>
    <t xml:space="preserve">RPY-0006325</t>
  </si>
  <si>
    <t xml:space="preserve">RPY-0006326</t>
  </si>
  <si>
    <t xml:space="preserve">RPY-0006327</t>
  </si>
  <si>
    <t xml:space="preserve">RPY-0006328</t>
  </si>
  <si>
    <t xml:space="preserve">RPY-0006329</t>
  </si>
  <si>
    <t xml:space="preserve">RPY-0006330</t>
  </si>
  <si>
    <t xml:space="preserve">RPY-0006331</t>
  </si>
  <si>
    <t xml:space="preserve">RPY-0006332</t>
  </si>
  <si>
    <t xml:space="preserve">RPY-0006333</t>
  </si>
  <si>
    <t xml:space="preserve">RPY-0006334</t>
  </si>
  <si>
    <t xml:space="preserve">RPY-0006335</t>
  </si>
  <si>
    <t xml:space="preserve">RPY-0006336</t>
  </si>
  <si>
    <t xml:space="preserve">RPY-0006337</t>
  </si>
  <si>
    <t xml:space="preserve">RPY-0006338</t>
  </si>
  <si>
    <t xml:space="preserve">RPY-0006339</t>
  </si>
  <si>
    <t xml:space="preserve">RPY-0006340</t>
  </si>
  <si>
    <t xml:space="preserve">RPY-0006341</t>
  </si>
  <si>
    <t xml:space="preserve">RPY-0006342</t>
  </si>
  <si>
    <t xml:space="preserve">RPY-0006343</t>
  </si>
  <si>
    <t xml:space="preserve">RPY-0006344</t>
  </si>
  <si>
    <t xml:space="preserve">RPY-0006345</t>
  </si>
  <si>
    <t xml:space="preserve">RPY-0006346</t>
  </si>
  <si>
    <t xml:space="preserve">RPY-0006347</t>
  </si>
  <si>
    <t xml:space="preserve">RPY-0006348</t>
  </si>
  <si>
    <t xml:space="preserve">RPY-0006349</t>
  </si>
  <si>
    <t xml:space="preserve">RPY-0006350</t>
  </si>
  <si>
    <t xml:space="preserve">RPY-0006351</t>
  </si>
  <si>
    <t xml:space="preserve">RPY-0006352</t>
  </si>
  <si>
    <t xml:space="preserve">RPY-0006353</t>
  </si>
  <si>
    <t xml:space="preserve">RPY-0006354</t>
  </si>
  <si>
    <t xml:space="preserve">RPY-0006355</t>
  </si>
  <si>
    <t xml:space="preserve">RPY-0006356</t>
  </si>
  <si>
    <t xml:space="preserve">RPY-0006357</t>
  </si>
  <si>
    <t xml:space="preserve">RPY-0006358</t>
  </si>
  <si>
    <t xml:space="preserve">RPY-0006359</t>
  </si>
  <si>
    <t xml:space="preserve">RPY-0006360</t>
  </si>
  <si>
    <t xml:space="preserve">RPY-0006361</t>
  </si>
  <si>
    <t xml:space="preserve">RPY-0006362</t>
  </si>
  <si>
    <t xml:space="preserve">RPY-0006363</t>
  </si>
  <si>
    <t xml:space="preserve">RPY-0006364</t>
  </si>
  <si>
    <t xml:space="preserve">RPY-0006365</t>
  </si>
  <si>
    <t xml:space="preserve">RPY-0006366</t>
  </si>
  <si>
    <t xml:space="preserve">RPY-0006367</t>
  </si>
  <si>
    <t xml:space="preserve">RPY-0006368</t>
  </si>
  <si>
    <t xml:space="preserve">RPY-0006369</t>
  </si>
  <si>
    <t xml:space="preserve">RPY-0006370</t>
  </si>
  <si>
    <t xml:space="preserve">RPY-0006371</t>
  </si>
  <si>
    <t xml:space="preserve">RPY-0006372</t>
  </si>
  <si>
    <t xml:space="preserve">RPY-0006373</t>
  </si>
  <si>
    <t xml:space="preserve">RPY-0006374</t>
  </si>
  <si>
    <t xml:space="preserve">RPY-0006375</t>
  </si>
  <si>
    <t xml:space="preserve">RPY-0006376</t>
  </si>
  <si>
    <t xml:space="preserve">RPY-0006377</t>
  </si>
  <si>
    <t xml:space="preserve">RPY-0006378</t>
  </si>
  <si>
    <t xml:space="preserve">RPY-0006379</t>
  </si>
  <si>
    <t xml:space="preserve">RPY-0006380</t>
  </si>
  <si>
    <t xml:space="preserve">RPY-0006381</t>
  </si>
  <si>
    <t xml:space="preserve">RPY-0006382</t>
  </si>
  <si>
    <t xml:space="preserve">RPY-0006383</t>
  </si>
  <si>
    <t xml:space="preserve">RPY-0006384</t>
  </si>
  <si>
    <t xml:space="preserve">RPY-0006385</t>
  </si>
  <si>
    <t xml:space="preserve">RPY-0006386</t>
  </si>
  <si>
    <t xml:space="preserve">RPY-0006387</t>
  </si>
  <si>
    <t xml:space="preserve">RPY-0006388</t>
  </si>
  <si>
    <t xml:space="preserve">RPY-0006389</t>
  </si>
  <si>
    <t xml:space="preserve">RPY-0006390</t>
  </si>
  <si>
    <t xml:space="preserve">RPY-0006391</t>
  </si>
  <si>
    <t xml:space="preserve">RPY-0006392</t>
  </si>
  <si>
    <t xml:space="preserve">RPY-0006393</t>
  </si>
  <si>
    <t xml:space="preserve">RPY-0006394</t>
  </si>
  <si>
    <t xml:space="preserve">RPY-0006395</t>
  </si>
  <si>
    <t xml:space="preserve">RPY-0006396</t>
  </si>
  <si>
    <t xml:space="preserve">RPY-0006397</t>
  </si>
  <si>
    <t xml:space="preserve">RPY-0006398</t>
  </si>
  <si>
    <t xml:space="preserve">RPY-0006399</t>
  </si>
  <si>
    <t xml:space="preserve">RPY-0006400</t>
  </si>
  <si>
    <t xml:space="preserve">RPY-0006401</t>
  </si>
  <si>
    <t xml:space="preserve">RPY-0006402</t>
  </si>
  <si>
    <t xml:space="preserve">RPY-0006403</t>
  </si>
  <si>
    <t xml:space="preserve">RPY-0006404</t>
  </si>
  <si>
    <t xml:space="preserve">RPY-0006405</t>
  </si>
  <si>
    <t xml:space="preserve">RPY-0006406</t>
  </si>
  <si>
    <t xml:space="preserve">RPY-0006407</t>
  </si>
  <si>
    <t xml:space="preserve">RPY-0006408</t>
  </si>
  <si>
    <t xml:space="preserve">RPY-0006409</t>
  </si>
  <si>
    <t xml:space="preserve">RPY-0006410</t>
  </si>
  <si>
    <t xml:space="preserve">RPY-0006411</t>
  </si>
  <si>
    <t xml:space="preserve">RPY-0006412</t>
  </si>
  <si>
    <t xml:space="preserve">RPY-0006413</t>
  </si>
  <si>
    <t xml:space="preserve">RPY-0006414</t>
  </si>
  <si>
    <t xml:space="preserve">RPY-0006415</t>
  </si>
  <si>
    <t xml:space="preserve">RPY-0006416</t>
  </si>
  <si>
    <t xml:space="preserve">RPY-0006417</t>
  </si>
  <si>
    <t xml:space="preserve">RPY-0006418</t>
  </si>
  <si>
    <t xml:space="preserve">RPY-0006419</t>
  </si>
  <si>
    <t xml:space="preserve">RPY-0006420</t>
  </si>
  <si>
    <t xml:space="preserve">RPY-0006421</t>
  </si>
  <si>
    <t xml:space="preserve">RPY-0006422</t>
  </si>
  <si>
    <t xml:space="preserve">RPY-0006423</t>
  </si>
  <si>
    <t xml:space="preserve">RPY-0006424</t>
  </si>
  <si>
    <t xml:space="preserve">RPY-0006425</t>
  </si>
  <si>
    <t xml:space="preserve">RPY-0006426</t>
  </si>
  <si>
    <t xml:space="preserve">RPY-0006427</t>
  </si>
  <si>
    <t xml:space="preserve">RPY-0006428</t>
  </si>
  <si>
    <t xml:space="preserve">RPY-0006429</t>
  </si>
  <si>
    <t xml:space="preserve">RPY-0006430</t>
  </si>
  <si>
    <t xml:space="preserve">RPY-0006431</t>
  </si>
  <si>
    <t xml:space="preserve">RPY-0006432</t>
  </si>
  <si>
    <t xml:space="preserve">RPY-0006433</t>
  </si>
  <si>
    <t xml:space="preserve">RPY-0006434</t>
  </si>
  <si>
    <t xml:space="preserve">RPY-0006435</t>
  </si>
  <si>
    <t xml:space="preserve">RPY-0006436</t>
  </si>
  <si>
    <t xml:space="preserve">RPY-0006437</t>
  </si>
  <si>
    <t xml:space="preserve">RPY-0006438</t>
  </si>
  <si>
    <t xml:space="preserve">RPY-0006439</t>
  </si>
  <si>
    <t xml:space="preserve">RPY-0006440</t>
  </si>
  <si>
    <t xml:space="preserve">RPY-0006441</t>
  </si>
  <si>
    <t xml:space="preserve">RPY-0006442</t>
  </si>
  <si>
    <t xml:space="preserve">RPY-0006443</t>
  </si>
  <si>
    <t xml:space="preserve">RPY-0006444</t>
  </si>
  <si>
    <t xml:space="preserve">RPY-0006445</t>
  </si>
  <si>
    <t xml:space="preserve">RPY-0006446</t>
  </si>
  <si>
    <t xml:space="preserve">RPY-0006447</t>
  </si>
  <si>
    <t xml:space="preserve">RPY-0006448</t>
  </si>
  <si>
    <t xml:space="preserve">RPY-0006449</t>
  </si>
  <si>
    <t xml:space="preserve">RPY-0006450</t>
  </si>
  <si>
    <t xml:space="preserve">RPY-0006451</t>
  </si>
  <si>
    <t xml:space="preserve">RPY-0006452</t>
  </si>
  <si>
    <t xml:space="preserve">RPY-0006453</t>
  </si>
  <si>
    <t xml:space="preserve">RPY-0006454</t>
  </si>
  <si>
    <t xml:space="preserve">RPY-0006455</t>
  </si>
  <si>
    <t xml:space="preserve">RPY-0006456</t>
  </si>
  <si>
    <t xml:space="preserve">RPY-0006457</t>
  </si>
  <si>
    <t xml:space="preserve">RPY-0006458</t>
  </si>
  <si>
    <t xml:space="preserve">RPY-0006459</t>
  </si>
  <si>
    <t xml:space="preserve">RPY-0006460</t>
  </si>
  <si>
    <t xml:space="preserve">RPY-0006461</t>
  </si>
  <si>
    <t xml:space="preserve">RPY-0006462</t>
  </si>
  <si>
    <t xml:space="preserve">RPY-0006463</t>
  </si>
  <si>
    <t xml:space="preserve">RPY-0006464</t>
  </si>
  <si>
    <t xml:space="preserve">RPY-0006465</t>
  </si>
  <si>
    <t xml:space="preserve">RPY-0006466</t>
  </si>
  <si>
    <t xml:space="preserve">RPY-0006467</t>
  </si>
  <si>
    <t xml:space="preserve">RPY-0006468</t>
  </si>
  <si>
    <t xml:space="preserve">RPY-0006469</t>
  </si>
  <si>
    <t xml:space="preserve">RPY-0006470</t>
  </si>
  <si>
    <t xml:space="preserve">RPY-0006471</t>
  </si>
  <si>
    <t xml:space="preserve">RPY-0006472</t>
  </si>
  <si>
    <t xml:space="preserve">RPY-0006473</t>
  </si>
  <si>
    <t xml:space="preserve">RPY-0006474</t>
  </si>
  <si>
    <t xml:space="preserve">RPY-0006475</t>
  </si>
  <si>
    <t xml:space="preserve">RPY-0006476</t>
  </si>
  <si>
    <t xml:space="preserve">RPY-0006477</t>
  </si>
  <si>
    <t xml:space="preserve">RPY-0006478</t>
  </si>
  <si>
    <t xml:space="preserve">RPY-0006479</t>
  </si>
  <si>
    <t xml:space="preserve">RPY-0006480</t>
  </si>
  <si>
    <t xml:space="preserve">RPY-0006481</t>
  </si>
  <si>
    <t xml:space="preserve">RPY-0006482</t>
  </si>
  <si>
    <t xml:space="preserve">RPY-0006483</t>
  </si>
  <si>
    <t xml:space="preserve">RPY-0006484</t>
  </si>
  <si>
    <t xml:space="preserve">RPY-0006485</t>
  </si>
  <si>
    <t xml:space="preserve">RPY-0006486</t>
  </si>
  <si>
    <t xml:space="preserve">RPY-0006487</t>
  </si>
  <si>
    <t xml:space="preserve">RPY-0006488</t>
  </si>
  <si>
    <t xml:space="preserve">RPY-0006489</t>
  </si>
  <si>
    <t xml:space="preserve">RPY-0006490</t>
  </si>
  <si>
    <t xml:space="preserve">RPY-0006491</t>
  </si>
  <si>
    <t xml:space="preserve">RPY-0006492</t>
  </si>
  <si>
    <t xml:space="preserve">RPY-0006493</t>
  </si>
  <si>
    <t xml:space="preserve">RPY-0006494</t>
  </si>
  <si>
    <t xml:space="preserve">RPY-0006495</t>
  </si>
  <si>
    <t xml:space="preserve">RPY-0006496</t>
  </si>
  <si>
    <t xml:space="preserve">RPY-0006497</t>
  </si>
  <si>
    <t xml:space="preserve">RPY-0006498</t>
  </si>
  <si>
    <t xml:space="preserve">RPY-0006499</t>
  </si>
  <si>
    <t xml:space="preserve">RPY-0006500</t>
  </si>
  <si>
    <t xml:space="preserve">RPY-0006501</t>
  </si>
  <si>
    <t xml:space="preserve">RPY-0006502</t>
  </si>
  <si>
    <t xml:space="preserve">RPY-0006503</t>
  </si>
  <si>
    <t xml:space="preserve">RPY-0006504</t>
  </si>
  <si>
    <t xml:space="preserve">RPY-0006505</t>
  </si>
  <si>
    <t xml:space="preserve">RPY-0006506</t>
  </si>
  <si>
    <t xml:space="preserve">RPY-0006507</t>
  </si>
  <si>
    <t xml:space="preserve">RPY-0006508</t>
  </si>
  <si>
    <t xml:space="preserve">RPY-0006509</t>
  </si>
  <si>
    <t xml:space="preserve">RPY-0006510</t>
  </si>
  <si>
    <t xml:space="preserve">RPY-0006511</t>
  </si>
  <si>
    <t xml:space="preserve">RPY-0006512</t>
  </si>
  <si>
    <t xml:space="preserve">RPY-0006513</t>
  </si>
  <si>
    <t xml:space="preserve">RPY-0006514</t>
  </si>
  <si>
    <t xml:space="preserve">RPY-0006515</t>
  </si>
  <si>
    <t xml:space="preserve">RPY-0006516</t>
  </si>
  <si>
    <t xml:space="preserve">RPY-0006517</t>
  </si>
  <si>
    <t xml:space="preserve">RPY-0006518</t>
  </si>
  <si>
    <t xml:space="preserve">RPY-0006519</t>
  </si>
  <si>
    <t xml:space="preserve">RPY-0006520</t>
  </si>
  <si>
    <t xml:space="preserve">RPY-0006521</t>
  </si>
  <si>
    <t xml:space="preserve">RPY-0006522</t>
  </si>
  <si>
    <t xml:space="preserve">RPY-0006523</t>
  </si>
  <si>
    <t xml:space="preserve">RPY-0006524</t>
  </si>
  <si>
    <t xml:space="preserve">RPY-0006525</t>
  </si>
  <si>
    <t xml:space="preserve">RPY-0006526</t>
  </si>
  <si>
    <t xml:space="preserve">RPY-0006527</t>
  </si>
  <si>
    <t xml:space="preserve">RPY-0006528</t>
  </si>
  <si>
    <t xml:space="preserve">RPY-0006529</t>
  </si>
  <si>
    <t xml:space="preserve">RPY-0006530</t>
  </si>
  <si>
    <t xml:space="preserve">RPY-0006531</t>
  </si>
  <si>
    <t xml:space="preserve">RPY-0006532</t>
  </si>
  <si>
    <t xml:space="preserve">RPY-0006533</t>
  </si>
  <si>
    <t xml:space="preserve">RPY-0006534</t>
  </si>
  <si>
    <t xml:space="preserve">RPY-0006535</t>
  </si>
  <si>
    <t xml:space="preserve">RPY-0006536</t>
  </si>
  <si>
    <t xml:space="preserve">RPY-0006537</t>
  </si>
  <si>
    <t xml:space="preserve">RPY-0006538</t>
  </si>
  <si>
    <t xml:space="preserve">RPY-0006539</t>
  </si>
  <si>
    <t xml:space="preserve">RPY-0006540</t>
  </si>
  <si>
    <t xml:space="preserve">RPY-0006541</t>
  </si>
  <si>
    <t xml:space="preserve">RPY-0006542</t>
  </si>
  <si>
    <t xml:space="preserve">RPY-0006543</t>
  </si>
  <si>
    <t xml:space="preserve">RPY-0006544</t>
  </si>
  <si>
    <t xml:space="preserve">RPY-0006545</t>
  </si>
  <si>
    <t xml:space="preserve">RPY-0006546</t>
  </si>
  <si>
    <t xml:space="preserve">RPY-0006547</t>
  </si>
  <si>
    <t xml:space="preserve">RPY-0006548</t>
  </si>
  <si>
    <t xml:space="preserve">RPY-0006549</t>
  </si>
  <si>
    <t xml:space="preserve">RPY-0006550</t>
  </si>
  <si>
    <t xml:space="preserve">RPY-0006551</t>
  </si>
  <si>
    <t xml:space="preserve">RPY-0006552</t>
  </si>
  <si>
    <t xml:space="preserve">RPY-0006553</t>
  </si>
  <si>
    <t xml:space="preserve">RPY-0006554</t>
  </si>
  <si>
    <t xml:space="preserve">RPY-0006555</t>
  </si>
  <si>
    <t xml:space="preserve">RPY-0006556</t>
  </si>
  <si>
    <t xml:space="preserve">RPY-0006557</t>
  </si>
  <si>
    <t xml:space="preserve">RPY-0006558</t>
  </si>
  <si>
    <t xml:space="preserve">RPY-0006559</t>
  </si>
  <si>
    <t xml:space="preserve">RPY-0006560</t>
  </si>
  <si>
    <t xml:space="preserve">RPY-0006561</t>
  </si>
  <si>
    <t xml:space="preserve">RPY-0006562</t>
  </si>
  <si>
    <t xml:space="preserve">RPY-0006563</t>
  </si>
  <si>
    <t xml:space="preserve">RPY-0006564</t>
  </si>
  <si>
    <t xml:space="preserve">RPY-0006565</t>
  </si>
  <si>
    <t xml:space="preserve">RPY-0006566</t>
  </si>
  <si>
    <t xml:space="preserve">RPY-0006567</t>
  </si>
  <si>
    <t xml:space="preserve">RPY-0006568</t>
  </si>
  <si>
    <t xml:space="preserve">RPY-0006569</t>
  </si>
  <si>
    <t xml:space="preserve">RPY-0006570</t>
  </si>
  <si>
    <t xml:space="preserve">RPY-0006571</t>
  </si>
  <si>
    <t xml:space="preserve">RPY-0006572</t>
  </si>
  <si>
    <t xml:space="preserve">RPY-0006573</t>
  </si>
  <si>
    <t xml:space="preserve">RPY-0006574</t>
  </si>
  <si>
    <t xml:space="preserve">RPY-0006575</t>
  </si>
  <si>
    <t xml:space="preserve">RPY-0006576</t>
  </si>
  <si>
    <t xml:space="preserve">RPY-0006577</t>
  </si>
  <si>
    <t xml:space="preserve">RPY-0006578</t>
  </si>
  <si>
    <t xml:space="preserve">RPY-0006579</t>
  </si>
  <si>
    <t xml:space="preserve">RPY-0006580</t>
  </si>
  <si>
    <t xml:space="preserve">RPY-0006581</t>
  </si>
  <si>
    <t xml:space="preserve">RPY-0006582</t>
  </si>
  <si>
    <t xml:space="preserve">RPY-0006583</t>
  </si>
  <si>
    <t xml:space="preserve">RPY-0006584</t>
  </si>
  <si>
    <t xml:space="preserve">RPY-0006585</t>
  </si>
  <si>
    <t xml:space="preserve">RPY-0006586</t>
  </si>
  <si>
    <t xml:space="preserve">RPY-0006587</t>
  </si>
  <si>
    <t xml:space="preserve">RPY-0006588</t>
  </si>
  <si>
    <t xml:space="preserve">RPY-0006589</t>
  </si>
  <si>
    <t xml:space="preserve">RPY-0006590</t>
  </si>
  <si>
    <t xml:space="preserve">RPY-0006591</t>
  </si>
  <si>
    <t xml:space="preserve">RPY-0006592</t>
  </si>
  <si>
    <t xml:space="preserve">RPY-0006593</t>
  </si>
  <si>
    <t xml:space="preserve">RPY-0006594</t>
  </si>
  <si>
    <t xml:space="preserve">RPY-0006595</t>
  </si>
  <si>
    <t xml:space="preserve">RPY-0006596</t>
  </si>
  <si>
    <t xml:space="preserve">RPY-0006597</t>
  </si>
  <si>
    <t xml:space="preserve">RPY-0006598</t>
  </si>
  <si>
    <t xml:space="preserve">RPY-0006599</t>
  </si>
  <si>
    <t xml:space="preserve">RPY-0006600</t>
  </si>
  <si>
    <t xml:space="preserve">RPY-0006601</t>
  </si>
  <si>
    <t xml:space="preserve">RPY-0006602</t>
  </si>
  <si>
    <t xml:space="preserve">RPY-0006603</t>
  </si>
  <si>
    <t xml:space="preserve">RPY-0006604</t>
  </si>
  <si>
    <t xml:space="preserve">RPY-0006605</t>
  </si>
  <si>
    <t xml:space="preserve">RPY-0006606</t>
  </si>
  <si>
    <t xml:space="preserve">RPY-0006607</t>
  </si>
  <si>
    <t xml:space="preserve">RPY-0006608</t>
  </si>
  <si>
    <t xml:space="preserve">RPY-0006609</t>
  </si>
  <si>
    <t xml:space="preserve">RPY-0006610</t>
  </si>
  <si>
    <t xml:space="preserve">RPY-0006611</t>
  </si>
  <si>
    <t xml:space="preserve">RPY-0006612</t>
  </si>
  <si>
    <t xml:space="preserve">RPY-0006613</t>
  </si>
  <si>
    <t xml:space="preserve">RPY-0006614</t>
  </si>
  <si>
    <t xml:space="preserve">RPY-0006615</t>
  </si>
  <si>
    <t xml:space="preserve">RPY-0006616</t>
  </si>
  <si>
    <t xml:space="preserve">RPY-0006617</t>
  </si>
  <si>
    <t xml:space="preserve">RPY-0006618</t>
  </si>
  <si>
    <t xml:space="preserve">RPY-0006619</t>
  </si>
  <si>
    <t xml:space="preserve">RPY-0006620</t>
  </si>
  <si>
    <t xml:space="preserve">RPY-0006621</t>
  </si>
  <si>
    <t xml:space="preserve">RPY-0006622</t>
  </si>
  <si>
    <t xml:space="preserve">RPY-0006623</t>
  </si>
  <si>
    <t xml:space="preserve">RPY-0006624</t>
  </si>
  <si>
    <t xml:space="preserve">RPY-0006625</t>
  </si>
  <si>
    <t xml:space="preserve">RPY-0006626</t>
  </si>
  <si>
    <t xml:space="preserve">RPY-0006627</t>
  </si>
  <si>
    <t xml:space="preserve">RPY-0006628</t>
  </si>
  <si>
    <t xml:space="preserve">RPY-0006629</t>
  </si>
  <si>
    <t xml:space="preserve">RPY-0006630</t>
  </si>
  <si>
    <t xml:space="preserve">RPY-0006631</t>
  </si>
  <si>
    <t xml:space="preserve">RPY-0006632</t>
  </si>
  <si>
    <t xml:space="preserve">RPY-0006633</t>
  </si>
  <si>
    <t xml:space="preserve">RPY-0006634</t>
  </si>
  <si>
    <t xml:space="preserve">RPY-0006635</t>
  </si>
  <si>
    <t xml:space="preserve">RPY-0006636</t>
  </si>
  <si>
    <t xml:space="preserve">RPY-0006637</t>
  </si>
  <si>
    <t xml:space="preserve">RPY-0006638</t>
  </si>
  <si>
    <t xml:space="preserve">RPY-0006639</t>
  </si>
  <si>
    <t xml:space="preserve">RPY-0006640</t>
  </si>
  <si>
    <t xml:space="preserve">RPY-0006641</t>
  </si>
  <si>
    <t xml:space="preserve">RPY-0006642</t>
  </si>
  <si>
    <t xml:space="preserve">RPY-0006643</t>
  </si>
  <si>
    <t xml:space="preserve">RPY-0006644</t>
  </si>
  <si>
    <t xml:space="preserve">RPY-0006645</t>
  </si>
  <si>
    <t xml:space="preserve">RPY-0006646</t>
  </si>
  <si>
    <t xml:space="preserve">RPY-0006647</t>
  </si>
  <si>
    <t xml:space="preserve">RPY-0006648</t>
  </si>
  <si>
    <t xml:space="preserve">RPY-0006649</t>
  </si>
  <si>
    <t xml:space="preserve">RPY-0006650</t>
  </si>
  <si>
    <t xml:space="preserve">RPY-0006651</t>
  </si>
  <si>
    <t xml:space="preserve">RPY-0006652</t>
  </si>
  <si>
    <t xml:space="preserve">RPY-0006653</t>
  </si>
  <si>
    <t xml:space="preserve">RPY-0006654</t>
  </si>
  <si>
    <t xml:space="preserve">RPY-0006655</t>
  </si>
  <si>
    <t xml:space="preserve">RPY-0006656</t>
  </si>
  <si>
    <t xml:space="preserve">RPY-0006657</t>
  </si>
  <si>
    <t xml:space="preserve">RPY-0006658</t>
  </si>
  <si>
    <t xml:space="preserve">RPY-0006659</t>
  </si>
  <si>
    <t xml:space="preserve">RPY-0006660</t>
  </si>
  <si>
    <t xml:space="preserve">RPY-0006661</t>
  </si>
  <si>
    <t xml:space="preserve">RPY-0006662</t>
  </si>
  <si>
    <t xml:space="preserve">RPY-0006663</t>
  </si>
  <si>
    <t xml:space="preserve">RPY-0006664</t>
  </si>
  <si>
    <t xml:space="preserve">RPY-0006665</t>
  </si>
  <si>
    <t xml:space="preserve">RPY-0006666</t>
  </si>
  <si>
    <t xml:space="preserve">RPY-0006667</t>
  </si>
  <si>
    <t xml:space="preserve">RPY-0006668</t>
  </si>
  <si>
    <t xml:space="preserve">RPY-0006669</t>
  </si>
  <si>
    <t xml:space="preserve">RPY-0006670</t>
  </si>
  <si>
    <t xml:space="preserve">RPY-0006671</t>
  </si>
  <si>
    <t xml:space="preserve">RPY-0006672</t>
  </si>
  <si>
    <t xml:space="preserve">RPY-0006673</t>
  </si>
  <si>
    <t xml:space="preserve">RPY-0006674</t>
  </si>
  <si>
    <t xml:space="preserve">RPY-0006675</t>
  </si>
  <si>
    <t xml:space="preserve">RPY-0006676</t>
  </si>
  <si>
    <t xml:space="preserve">RPY-0006677</t>
  </si>
  <si>
    <t xml:space="preserve">RPY-0006678</t>
  </si>
  <si>
    <t xml:space="preserve">RPY-0006679</t>
  </si>
  <si>
    <t xml:space="preserve">RPY-0006680</t>
  </si>
  <si>
    <t xml:space="preserve">RPY-0006681</t>
  </si>
  <si>
    <t xml:space="preserve">RPY-0006682</t>
  </si>
  <si>
    <t xml:space="preserve">RPY-0006683</t>
  </si>
  <si>
    <t xml:space="preserve">RPY-0006684</t>
  </si>
  <si>
    <t xml:space="preserve">RPY-0006685</t>
  </si>
  <si>
    <t xml:space="preserve">RPY-0006686</t>
  </si>
  <si>
    <t xml:space="preserve">RPY-0006687</t>
  </si>
  <si>
    <t xml:space="preserve">RPY-0006688</t>
  </si>
  <si>
    <t xml:space="preserve">RPY-0006689</t>
  </si>
  <si>
    <t xml:space="preserve">RPY-0006690</t>
  </si>
  <si>
    <t xml:space="preserve">RPY-0006691</t>
  </si>
  <si>
    <t xml:space="preserve">RPY-0006692</t>
  </si>
  <si>
    <t xml:space="preserve">RPY-0006693</t>
  </si>
  <si>
    <t xml:space="preserve">RPY-0006694</t>
  </si>
  <si>
    <t xml:space="preserve">RPY-0006695</t>
  </si>
  <si>
    <t xml:space="preserve">RPY-0006696</t>
  </si>
  <si>
    <t xml:space="preserve">RPY-0006697</t>
  </si>
  <si>
    <t xml:space="preserve">RPY-0006698</t>
  </si>
  <si>
    <t xml:space="preserve">RPY-0006699</t>
  </si>
  <si>
    <t xml:space="preserve">RPY-0006700</t>
  </si>
  <si>
    <t xml:space="preserve">RPY-0006701</t>
  </si>
  <si>
    <t xml:space="preserve">RPY-0006702</t>
  </si>
  <si>
    <t xml:space="preserve">RPY-0006703</t>
  </si>
  <si>
    <t xml:space="preserve">RPY-0006704</t>
  </si>
  <si>
    <t xml:space="preserve">RPY-0006705</t>
  </si>
  <si>
    <t xml:space="preserve">RPY-0006706</t>
  </si>
  <si>
    <t xml:space="preserve">RPY-0006707</t>
  </si>
  <si>
    <t xml:space="preserve">RPY-0006708</t>
  </si>
  <si>
    <t xml:space="preserve">RPY-0006709</t>
  </si>
  <si>
    <t xml:space="preserve">RPY-0006710</t>
  </si>
  <si>
    <t xml:space="preserve">RPY-0006711</t>
  </si>
  <si>
    <t xml:space="preserve">RPY-0006712</t>
  </si>
  <si>
    <t xml:space="preserve">RPY-0006713</t>
  </si>
  <si>
    <t xml:space="preserve">RPY-0006714</t>
  </si>
  <si>
    <t xml:space="preserve">RPY-0006715</t>
  </si>
  <si>
    <t xml:space="preserve">RPY-0006716</t>
  </si>
  <si>
    <t xml:space="preserve">RPY-0006717</t>
  </si>
  <si>
    <t xml:space="preserve">RPY-0006718</t>
  </si>
  <si>
    <t xml:space="preserve">RPY-0006719</t>
  </si>
  <si>
    <t xml:space="preserve">RPY-0006720</t>
  </si>
  <si>
    <t xml:space="preserve">RPY-0006721</t>
  </si>
  <si>
    <t xml:space="preserve">RPY-0006722</t>
  </si>
  <si>
    <t xml:space="preserve">RPY-0006723</t>
  </si>
  <si>
    <t xml:space="preserve">RPY-0006724</t>
  </si>
  <si>
    <t xml:space="preserve">RPY-0006725</t>
  </si>
  <si>
    <t xml:space="preserve">RPY-0006726</t>
  </si>
  <si>
    <t xml:space="preserve">RPY-0006727</t>
  </si>
  <si>
    <t xml:space="preserve">RPY-0006728</t>
  </si>
  <si>
    <t xml:space="preserve">RPY-0006729</t>
  </si>
  <si>
    <t xml:space="preserve">RPY-0006730</t>
  </si>
  <si>
    <t xml:space="preserve">RPY-0006731</t>
  </si>
  <si>
    <t xml:space="preserve">RPY-0006732</t>
  </si>
  <si>
    <t xml:space="preserve">RPY-0006733</t>
  </si>
  <si>
    <t xml:space="preserve">RPY-0006734</t>
  </si>
  <si>
    <t xml:space="preserve">RPY-0006735</t>
  </si>
  <si>
    <t xml:space="preserve">RPY-0006736</t>
  </si>
  <si>
    <t xml:space="preserve">RPY-0006737</t>
  </si>
  <si>
    <t xml:space="preserve">RPY-0006738</t>
  </si>
  <si>
    <t xml:space="preserve">RPY-0006739</t>
  </si>
  <si>
    <t xml:space="preserve">RPY-0006740</t>
  </si>
  <si>
    <t xml:space="preserve">RPY-0006741</t>
  </si>
  <si>
    <t xml:space="preserve">RPY-0006742</t>
  </si>
  <si>
    <t xml:space="preserve">RPY-0006743</t>
  </si>
  <si>
    <t xml:space="preserve">RPY-0006744</t>
  </si>
  <si>
    <t xml:space="preserve">RPY-0006745</t>
  </si>
  <si>
    <t xml:space="preserve">RPY-0006746</t>
  </si>
  <si>
    <t xml:space="preserve">RPY-0006747</t>
  </si>
  <si>
    <t xml:space="preserve">RPY-0006748</t>
  </si>
  <si>
    <t xml:space="preserve">RPY-0006749</t>
  </si>
  <si>
    <t xml:space="preserve">RPY-0006750</t>
  </si>
  <si>
    <t xml:space="preserve">RPY-0006751</t>
  </si>
  <si>
    <t xml:space="preserve">RPY-0006752</t>
  </si>
  <si>
    <t xml:space="preserve">RPY-0006753</t>
  </si>
  <si>
    <t xml:space="preserve">RPY-0006754</t>
  </si>
  <si>
    <t xml:space="preserve">RPY-0006755</t>
  </si>
  <si>
    <t xml:space="preserve">RPY-0006756</t>
  </si>
  <si>
    <t xml:space="preserve">RPY-0006757</t>
  </si>
  <si>
    <t xml:space="preserve">RPY-0006758</t>
  </si>
  <si>
    <t xml:space="preserve">RPY-0006759</t>
  </si>
  <si>
    <t xml:space="preserve">RPY-0006760</t>
  </si>
  <si>
    <t xml:space="preserve">RPY-0006761</t>
  </si>
  <si>
    <t xml:space="preserve">RPY-0006762</t>
  </si>
  <si>
    <t xml:space="preserve">RPY-0006763</t>
  </si>
  <si>
    <t xml:space="preserve">RPY-0006764</t>
  </si>
  <si>
    <t xml:space="preserve">RPY-0006765</t>
  </si>
  <si>
    <t xml:space="preserve">RPY-0006766</t>
  </si>
  <si>
    <t xml:space="preserve">RPY-0006767</t>
  </si>
  <si>
    <t xml:space="preserve">RPY-0006768</t>
  </si>
  <si>
    <t xml:space="preserve">RPY-0006769</t>
  </si>
  <si>
    <t xml:space="preserve">RPY-0006770</t>
  </si>
  <si>
    <t xml:space="preserve">RPY-0006771</t>
  </si>
  <si>
    <t xml:space="preserve">RPY-0006772</t>
  </si>
  <si>
    <t xml:space="preserve">RPY-0006773</t>
  </si>
  <si>
    <t xml:space="preserve">RPY-0006774</t>
  </si>
  <si>
    <t xml:space="preserve">RPY-0006775</t>
  </si>
  <si>
    <t xml:space="preserve">RPY-0006776</t>
  </si>
  <si>
    <t xml:space="preserve">RPY-0006777</t>
  </si>
  <si>
    <t xml:space="preserve">RPY-0006778</t>
  </si>
  <si>
    <t xml:space="preserve">RPY-0006779</t>
  </si>
  <si>
    <t xml:space="preserve">RPY-0006780</t>
  </si>
  <si>
    <t xml:space="preserve">RPY-0006781</t>
  </si>
  <si>
    <t xml:space="preserve">RPY-0006782</t>
  </si>
  <si>
    <t xml:space="preserve">RPY-0006783</t>
  </si>
  <si>
    <t xml:space="preserve">RPY-0006784</t>
  </si>
  <si>
    <t xml:space="preserve">RPY-0006785</t>
  </si>
  <si>
    <t xml:space="preserve">RPY-0006786</t>
  </si>
  <si>
    <t xml:space="preserve">RPY-0006787</t>
  </si>
  <si>
    <t xml:space="preserve">RPY-0006788</t>
  </si>
  <si>
    <t xml:space="preserve">RPY-0006789</t>
  </si>
  <si>
    <t xml:space="preserve">RPY-0006790</t>
  </si>
  <si>
    <t xml:space="preserve">RPY-0006791</t>
  </si>
  <si>
    <t xml:space="preserve">RPY-0006792</t>
  </si>
  <si>
    <t xml:space="preserve">RPY-0006793</t>
  </si>
  <si>
    <t xml:space="preserve">RPY-0006794</t>
  </si>
  <si>
    <t xml:space="preserve">RPY-0006795</t>
  </si>
  <si>
    <t xml:space="preserve">RPY-0006796</t>
  </si>
  <si>
    <t xml:space="preserve">RPY-0006797</t>
  </si>
  <si>
    <t xml:space="preserve">RPY-0006798</t>
  </si>
  <si>
    <t xml:space="preserve">RPY-0006799</t>
  </si>
  <si>
    <t xml:space="preserve">RPY-0006800</t>
  </si>
  <si>
    <t xml:space="preserve">RPY-0006801</t>
  </si>
  <si>
    <t xml:space="preserve">RPY-0006802</t>
  </si>
  <si>
    <t xml:space="preserve">RPY-0006803</t>
  </si>
  <si>
    <t xml:space="preserve">RPY-0006804</t>
  </si>
  <si>
    <t xml:space="preserve">RPY-0006805</t>
  </si>
  <si>
    <t xml:space="preserve">RPY-0006806</t>
  </si>
  <si>
    <t xml:space="preserve">RPY-0006807</t>
  </si>
  <si>
    <t xml:space="preserve">RPY-0006808</t>
  </si>
  <si>
    <t xml:space="preserve">RPY-0006809</t>
  </si>
  <si>
    <t xml:space="preserve">RPY-0006810</t>
  </si>
  <si>
    <t xml:space="preserve">RPY-0006811</t>
  </si>
  <si>
    <t xml:space="preserve">RPY-0006812</t>
  </si>
  <si>
    <t xml:space="preserve">RPY-0006813</t>
  </si>
  <si>
    <t xml:space="preserve">RPY-0006814</t>
  </si>
  <si>
    <t xml:space="preserve">RPY-0006815</t>
  </si>
  <si>
    <t xml:space="preserve">RPY-0006816</t>
  </si>
  <si>
    <t xml:space="preserve">RPY-0006817</t>
  </si>
  <si>
    <t xml:space="preserve">RPY-0006818</t>
  </si>
  <si>
    <t xml:space="preserve">RPY-0006819</t>
  </si>
  <si>
    <t xml:space="preserve">RPY-0006820</t>
  </si>
  <si>
    <t xml:space="preserve">RPY-0006821</t>
  </si>
  <si>
    <t xml:space="preserve">RPY-0006822</t>
  </si>
  <si>
    <t xml:space="preserve">RPY-0006823</t>
  </si>
  <si>
    <t xml:space="preserve">RPY-0006824</t>
  </si>
  <si>
    <t xml:space="preserve">RPY-0006825</t>
  </si>
  <si>
    <t xml:space="preserve">RPY-0006826</t>
  </si>
  <si>
    <t xml:space="preserve">RPY-0006827</t>
  </si>
  <si>
    <t xml:space="preserve">RPY-0006828</t>
  </si>
  <si>
    <t xml:space="preserve">RPY-0006829</t>
  </si>
  <si>
    <t xml:space="preserve">RPY-0006830</t>
  </si>
  <si>
    <t xml:space="preserve">RPY-0006831</t>
  </si>
  <si>
    <t xml:space="preserve">RPY-0006832</t>
  </si>
  <si>
    <t xml:space="preserve">RPY-0006833</t>
  </si>
  <si>
    <t xml:space="preserve">RPY-0006834</t>
  </si>
  <si>
    <t xml:space="preserve">RPY-0006835</t>
  </si>
  <si>
    <t xml:space="preserve">RPY-0006836</t>
  </si>
  <si>
    <t xml:space="preserve">RPY-0006837</t>
  </si>
  <si>
    <t xml:space="preserve">RPY-0006838</t>
  </si>
  <si>
    <t xml:space="preserve">RPY-0006839</t>
  </si>
  <si>
    <t xml:space="preserve">RPY-0006840</t>
  </si>
  <si>
    <t xml:space="preserve">RPY-0006841</t>
  </si>
  <si>
    <t xml:space="preserve">RPY-0006842</t>
  </si>
  <si>
    <t xml:space="preserve">RPY-0006843</t>
  </si>
  <si>
    <t xml:space="preserve">RPY-0006844</t>
  </si>
  <si>
    <t xml:space="preserve">RPY-0006845</t>
  </si>
  <si>
    <t xml:space="preserve">RPY-0006846</t>
  </si>
  <si>
    <t xml:space="preserve">RPY-0006847</t>
  </si>
  <si>
    <t xml:space="preserve">RPY-0006848</t>
  </si>
  <si>
    <t xml:space="preserve">RPY-0006849</t>
  </si>
  <si>
    <t xml:space="preserve">RPY-0006850</t>
  </si>
  <si>
    <t xml:space="preserve">RPY-0006851</t>
  </si>
  <si>
    <t xml:space="preserve">RPY-0006852</t>
  </si>
  <si>
    <t xml:space="preserve">RPY-0006853</t>
  </si>
  <si>
    <t xml:space="preserve">RPY-0006854</t>
  </si>
  <si>
    <t xml:space="preserve">RPY-0006855</t>
  </si>
  <si>
    <t xml:space="preserve">RPY-0006856</t>
  </si>
  <si>
    <t xml:space="preserve">RPY-0006857</t>
  </si>
  <si>
    <t xml:space="preserve">RPY-0006858</t>
  </si>
  <si>
    <t xml:space="preserve">RPY-0006859</t>
  </si>
  <si>
    <t xml:space="preserve">RPY-0006860</t>
  </si>
  <si>
    <t xml:space="preserve">RPY-0006861</t>
  </si>
  <si>
    <t xml:space="preserve">RPY-0006862</t>
  </si>
  <si>
    <t xml:space="preserve">RPY-0006863</t>
  </si>
  <si>
    <t xml:space="preserve">RPY-0006864</t>
  </si>
  <si>
    <t xml:space="preserve">RPY-0006865</t>
  </si>
  <si>
    <t xml:space="preserve">RPY-0006866</t>
  </si>
  <si>
    <t xml:space="preserve">RPY-0006867</t>
  </si>
  <si>
    <t xml:space="preserve">RPY-0006868</t>
  </si>
  <si>
    <t xml:space="preserve">RPY-0006869</t>
  </si>
  <si>
    <t xml:space="preserve">RPY-0006870</t>
  </si>
  <si>
    <t xml:space="preserve">RPY-0006871</t>
  </si>
  <si>
    <t xml:space="preserve">RPY-0006872</t>
  </si>
  <si>
    <t xml:space="preserve">RPY-0006873</t>
  </si>
  <si>
    <t xml:space="preserve">RPY-0006874</t>
  </si>
  <si>
    <t xml:space="preserve">RPY-0006875</t>
  </si>
  <si>
    <t xml:space="preserve">RPY-0006876</t>
  </si>
  <si>
    <t xml:space="preserve">RPY-0006877</t>
  </si>
  <si>
    <t xml:space="preserve">RPY-0006878</t>
  </si>
  <si>
    <t xml:space="preserve">RPY-0006879</t>
  </si>
  <si>
    <t xml:space="preserve">RPY-0006880</t>
  </si>
  <si>
    <t xml:space="preserve">RPY-0006881</t>
  </si>
  <si>
    <t xml:space="preserve">RPY-0006882</t>
  </si>
  <si>
    <t xml:space="preserve">RPY-0006883</t>
  </si>
  <si>
    <t xml:space="preserve">RPY-0006884</t>
  </si>
  <si>
    <t xml:space="preserve">RPY-0006885</t>
  </si>
  <si>
    <t xml:space="preserve">RPY-0006886</t>
  </si>
  <si>
    <t xml:space="preserve">RPY-0006887</t>
  </si>
  <si>
    <t xml:space="preserve">RPY-0006888</t>
  </si>
  <si>
    <t xml:space="preserve">RPY-0006889</t>
  </si>
  <si>
    <t xml:space="preserve">RPY-0006890</t>
  </si>
  <si>
    <t xml:space="preserve">RPY-0006891</t>
  </si>
  <si>
    <t xml:space="preserve">RPY-0006892</t>
  </si>
  <si>
    <t xml:space="preserve">RPY-0006893</t>
  </si>
  <si>
    <t xml:space="preserve">RPY-0006894</t>
  </si>
  <si>
    <t xml:space="preserve">RPY-0006895</t>
  </si>
  <si>
    <t xml:space="preserve">RPY-0006896</t>
  </si>
  <si>
    <t xml:space="preserve">RPY-0006897</t>
  </si>
  <si>
    <t xml:space="preserve">RPY-0006898</t>
  </si>
  <si>
    <t xml:space="preserve">RPY-0006899</t>
  </si>
  <si>
    <t xml:space="preserve">RPY-0006900</t>
  </si>
  <si>
    <t xml:space="preserve">RPY-0006901</t>
  </si>
  <si>
    <t xml:space="preserve">RPY-0006902</t>
  </si>
  <si>
    <t xml:space="preserve">RPY-0006903</t>
  </si>
  <si>
    <t xml:space="preserve">RPY-0006904</t>
  </si>
  <si>
    <t xml:space="preserve">RPY-0006905</t>
  </si>
  <si>
    <t xml:space="preserve">RPY-0006906</t>
  </si>
  <si>
    <t xml:space="preserve">RPY-0006907</t>
  </si>
  <si>
    <t xml:space="preserve">RPY-0006908</t>
  </si>
  <si>
    <t xml:space="preserve">RPY-0006909</t>
  </si>
  <si>
    <t xml:space="preserve">RPY-0006910</t>
  </si>
  <si>
    <t xml:space="preserve">RPY-0006911</t>
  </si>
  <si>
    <t xml:space="preserve">RPY-0006912</t>
  </si>
  <si>
    <t xml:space="preserve">RPY-0006913</t>
  </si>
  <si>
    <t xml:space="preserve">RPY-0006914</t>
  </si>
  <si>
    <t xml:space="preserve">RPY-0006915</t>
  </si>
  <si>
    <t xml:space="preserve">RPY-0006916</t>
  </si>
  <si>
    <t xml:space="preserve">RPY-0006917</t>
  </si>
  <si>
    <t xml:space="preserve">RPY-0006918</t>
  </si>
  <si>
    <t xml:space="preserve">RPY-0006919</t>
  </si>
  <si>
    <t xml:space="preserve">RPY-0006920</t>
  </si>
  <si>
    <t xml:space="preserve">RPY-0006921</t>
  </si>
  <si>
    <t xml:space="preserve">RPY-0006922</t>
  </si>
  <si>
    <t xml:space="preserve">RPY-0006923</t>
  </si>
  <si>
    <t xml:space="preserve">RPY-0006924</t>
  </si>
  <si>
    <t xml:space="preserve">RPY-0006925</t>
  </si>
  <si>
    <t xml:space="preserve">RPY-0006926</t>
  </si>
  <si>
    <t xml:space="preserve">RPY-0006927</t>
  </si>
  <si>
    <t xml:space="preserve">RPY-0006928</t>
  </si>
  <si>
    <t xml:space="preserve">RPY-0006929</t>
  </si>
  <si>
    <t xml:space="preserve">RPY-0006930</t>
  </si>
  <si>
    <t xml:space="preserve">RPY-0006931</t>
  </si>
  <si>
    <t xml:space="preserve">RPY-0006932</t>
  </si>
  <si>
    <t xml:space="preserve">RPY-0006933</t>
  </si>
  <si>
    <t xml:space="preserve">RPY-0006934</t>
  </si>
  <si>
    <t xml:space="preserve">RPY-0006935</t>
  </si>
  <si>
    <t xml:space="preserve">RPY-0006936</t>
  </si>
  <si>
    <t xml:space="preserve">RPY-0006937</t>
  </si>
  <si>
    <t xml:space="preserve">RPY-0006938</t>
  </si>
  <si>
    <t xml:space="preserve">RPY-0006939</t>
  </si>
  <si>
    <t xml:space="preserve">RPY-0006940</t>
  </si>
  <si>
    <t xml:space="preserve">RPY-0006941</t>
  </si>
  <si>
    <t xml:space="preserve">RPY-0006942</t>
  </si>
  <si>
    <t xml:space="preserve">RPY-0006943</t>
  </si>
  <si>
    <t xml:space="preserve">RPY-0006944</t>
  </si>
  <si>
    <t xml:space="preserve">RPY-0006945</t>
  </si>
  <si>
    <t xml:space="preserve">RPY-0006946</t>
  </si>
  <si>
    <t xml:space="preserve">RPY-0006947</t>
  </si>
  <si>
    <t xml:space="preserve">RPY-0006948</t>
  </si>
  <si>
    <t xml:space="preserve">RPY-0006949</t>
  </si>
  <si>
    <t xml:space="preserve">RPY-0006950</t>
  </si>
  <si>
    <t xml:space="preserve">RPY-0006951</t>
  </si>
  <si>
    <t xml:space="preserve">RPY-0006952</t>
  </si>
  <si>
    <t xml:space="preserve">RPY-0006953</t>
  </si>
  <si>
    <t xml:space="preserve">RPY-0006954</t>
  </si>
  <si>
    <t xml:space="preserve">RPY-0006955</t>
  </si>
  <si>
    <t xml:space="preserve">RPY-0006956</t>
  </si>
  <si>
    <t xml:space="preserve">RPY-0006957</t>
  </si>
  <si>
    <t xml:space="preserve">RPY-0006958</t>
  </si>
  <si>
    <t xml:space="preserve">RPY-0006959</t>
  </si>
  <si>
    <t xml:space="preserve">RPY-0006960</t>
  </si>
  <si>
    <t xml:space="preserve">RPY-0006961</t>
  </si>
  <si>
    <t xml:space="preserve">RPY-0006962</t>
  </si>
  <si>
    <t xml:space="preserve">RPY-0006963</t>
  </si>
  <si>
    <t xml:space="preserve">RPY-0006964</t>
  </si>
  <si>
    <t xml:space="preserve">RPY-0006965</t>
  </si>
  <si>
    <t xml:space="preserve">RPY-0006966</t>
  </si>
  <si>
    <t xml:space="preserve">RPY-0006967</t>
  </si>
  <si>
    <t xml:space="preserve">RPY-0006968</t>
  </si>
  <si>
    <t xml:space="preserve">RPY-0006969</t>
  </si>
  <si>
    <t xml:space="preserve">RPY-0006970</t>
  </si>
  <si>
    <t xml:space="preserve">RPY-0006971</t>
  </si>
  <si>
    <t xml:space="preserve">RPY-0006972</t>
  </si>
  <si>
    <t xml:space="preserve">RPY-0006973</t>
  </si>
  <si>
    <t xml:space="preserve">RPY-0006974</t>
  </si>
  <si>
    <t xml:space="preserve">RPY-0006975</t>
  </si>
  <si>
    <t xml:space="preserve">RPY-0006976</t>
  </si>
  <si>
    <t xml:space="preserve">RPY-0006977</t>
  </si>
  <si>
    <t xml:space="preserve">RPY-0006978</t>
  </si>
  <si>
    <t xml:space="preserve">RPY-0006979</t>
  </si>
  <si>
    <t xml:space="preserve">RPY-0006980</t>
  </si>
  <si>
    <t xml:space="preserve">RPY-0006981</t>
  </si>
  <si>
    <t xml:space="preserve">RPY-0006982</t>
  </si>
  <si>
    <t xml:space="preserve">RPY-0006983</t>
  </si>
  <si>
    <t xml:space="preserve">RPY-0006984</t>
  </si>
  <si>
    <t xml:space="preserve">RPY-0006985</t>
  </si>
  <si>
    <t xml:space="preserve">RPY-0006986</t>
  </si>
  <si>
    <t xml:space="preserve">RPY-0006987</t>
  </si>
  <si>
    <t xml:space="preserve">RPY-0006988</t>
  </si>
  <si>
    <t xml:space="preserve">RPY-0006989</t>
  </si>
  <si>
    <t xml:space="preserve">RPY-0006990</t>
  </si>
  <si>
    <t xml:space="preserve">RPY-0006991</t>
  </si>
  <si>
    <t xml:space="preserve">RPY-0006992</t>
  </si>
  <si>
    <t xml:space="preserve">RPY-0006993</t>
  </si>
  <si>
    <t xml:space="preserve">RPY-0006994</t>
  </si>
  <si>
    <t xml:space="preserve">RPY-0006995</t>
  </si>
  <si>
    <t xml:space="preserve">RPY-0006996</t>
  </si>
  <si>
    <t xml:space="preserve">RPY-0006997</t>
  </si>
  <si>
    <t xml:space="preserve">RPY-0006998</t>
  </si>
  <si>
    <t xml:space="preserve">RPY-0006999</t>
  </si>
  <si>
    <t xml:space="preserve">RPY-0007000</t>
  </si>
  <si>
    <t xml:space="preserve">RPY-0007001</t>
  </si>
  <si>
    <t xml:space="preserve">RPY-0007002</t>
  </si>
  <si>
    <t xml:space="preserve">RPY-0007003</t>
  </si>
  <si>
    <t xml:space="preserve">RPY-0007004</t>
  </si>
  <si>
    <t xml:space="preserve">RPY-0007005</t>
  </si>
  <si>
    <t xml:space="preserve">RPY-0007006</t>
  </si>
  <si>
    <t xml:space="preserve">RPY-0007007</t>
  </si>
  <si>
    <t xml:space="preserve">RPY-0007008</t>
  </si>
  <si>
    <t xml:space="preserve">RPY-0007009</t>
  </si>
  <si>
    <t xml:space="preserve">RPY-0007010</t>
  </si>
  <si>
    <t xml:space="preserve">RPY-0007011</t>
  </si>
  <si>
    <t xml:space="preserve">RPY-0007012</t>
  </si>
  <si>
    <t xml:space="preserve">RPY-0007013</t>
  </si>
  <si>
    <t xml:space="preserve">RPY-0007014</t>
  </si>
  <si>
    <t xml:space="preserve">RPY-0007015</t>
  </si>
  <si>
    <t xml:space="preserve">RPY-0007016</t>
  </si>
  <si>
    <t xml:space="preserve">RPY-0007017</t>
  </si>
  <si>
    <t xml:space="preserve">RPY-0007018</t>
  </si>
  <si>
    <t xml:space="preserve">RPY-0007019</t>
  </si>
  <si>
    <t xml:space="preserve">RPY-0007020</t>
  </si>
  <si>
    <t xml:space="preserve">RPY-0007021</t>
  </si>
  <si>
    <t xml:space="preserve">RPY-0007022</t>
  </si>
  <si>
    <t xml:space="preserve">RPY-0007023</t>
  </si>
  <si>
    <t xml:space="preserve">RPY-0007024</t>
  </si>
  <si>
    <t xml:space="preserve">RPY-0007025</t>
  </si>
  <si>
    <t xml:space="preserve">RPY-0007026</t>
  </si>
  <si>
    <t xml:space="preserve">RPY-0007027</t>
  </si>
  <si>
    <t xml:space="preserve">RPY-0007028</t>
  </si>
  <si>
    <t xml:space="preserve">RPY-0007029</t>
  </si>
  <si>
    <t xml:space="preserve">RPY-0007030</t>
  </si>
  <si>
    <t xml:space="preserve">RPY-0007031</t>
  </si>
  <si>
    <t xml:space="preserve">RPY-0007032</t>
  </si>
  <si>
    <t xml:space="preserve">RPY-0007033</t>
  </si>
  <si>
    <t xml:space="preserve">RPY-0007034</t>
  </si>
  <si>
    <t xml:space="preserve">RPY-0007035</t>
  </si>
  <si>
    <t xml:space="preserve">RPY-0007036</t>
  </si>
  <si>
    <t xml:space="preserve">RPY-0007037</t>
  </si>
  <si>
    <t xml:space="preserve">RPY-0007038</t>
  </si>
  <si>
    <t xml:space="preserve">RPY-0007039</t>
  </si>
  <si>
    <t xml:space="preserve">RPY-0007040</t>
  </si>
  <si>
    <t xml:space="preserve">RPY-0007041</t>
  </si>
  <si>
    <t xml:space="preserve">RPY-0007042</t>
  </si>
  <si>
    <t xml:space="preserve">RPY-0007043</t>
  </si>
  <si>
    <t xml:space="preserve">RPY-0007044</t>
  </si>
  <si>
    <t xml:space="preserve">RPY-0007045</t>
  </si>
  <si>
    <t xml:space="preserve">RPY-0007046</t>
  </si>
  <si>
    <t xml:space="preserve">RPY-0007047</t>
  </si>
  <si>
    <t xml:space="preserve">RPY-0007048</t>
  </si>
  <si>
    <t xml:space="preserve">RPY-0007049</t>
  </si>
  <si>
    <t xml:space="preserve">RPY-0007050</t>
  </si>
  <si>
    <t xml:space="preserve">RPY-0007051</t>
  </si>
  <si>
    <t xml:space="preserve">RPY-0007052</t>
  </si>
  <si>
    <t xml:space="preserve">RPY-0007053</t>
  </si>
  <si>
    <t xml:space="preserve">RPY-0007054</t>
  </si>
  <si>
    <t xml:space="preserve">RPY-0007055</t>
  </si>
  <si>
    <t xml:space="preserve">RPY-0007056</t>
  </si>
  <si>
    <t xml:space="preserve">RPY-0007057</t>
  </si>
  <si>
    <t xml:space="preserve">RPY-0007058</t>
  </si>
  <si>
    <t xml:space="preserve">RPY-0007059</t>
  </si>
  <si>
    <t xml:space="preserve">RPY-0007060</t>
  </si>
  <si>
    <t xml:space="preserve">RPY-0007061</t>
  </si>
  <si>
    <t xml:space="preserve">RPY-0007062</t>
  </si>
  <si>
    <t xml:space="preserve">RPY-0007063</t>
  </si>
  <si>
    <t xml:space="preserve">RPY-0007064</t>
  </si>
  <si>
    <t xml:space="preserve">RPY-0007065</t>
  </si>
  <si>
    <t xml:space="preserve">RPY-0007066</t>
  </si>
  <si>
    <t xml:space="preserve">RPY-0007067</t>
  </si>
  <si>
    <t xml:space="preserve">RPY-0007068</t>
  </si>
  <si>
    <t xml:space="preserve">RPY-0007069</t>
  </si>
  <si>
    <t xml:space="preserve">RPY-0007070</t>
  </si>
  <si>
    <t xml:space="preserve">RPY-0007071</t>
  </si>
  <si>
    <t xml:space="preserve">RPY-0007072</t>
  </si>
  <si>
    <t xml:space="preserve">RPY-0007073</t>
  </si>
  <si>
    <t xml:space="preserve">RPY-0007074</t>
  </si>
  <si>
    <t xml:space="preserve">RPY-0007075</t>
  </si>
  <si>
    <t xml:space="preserve">RPY-0007076</t>
  </si>
  <si>
    <t xml:space="preserve">RPY-0007077</t>
  </si>
  <si>
    <t xml:space="preserve">RPY-0007078</t>
  </si>
  <si>
    <t xml:space="preserve">RPY-0007079</t>
  </si>
  <si>
    <t xml:space="preserve">RPY-0007080</t>
  </si>
  <si>
    <t xml:space="preserve">RPY-0007081</t>
  </si>
  <si>
    <t xml:space="preserve">RPY-0007082</t>
  </si>
  <si>
    <t xml:space="preserve">RPY-0007083</t>
  </si>
  <si>
    <t xml:space="preserve">RPY-0007084</t>
  </si>
  <si>
    <t xml:space="preserve">RPY-0007085</t>
  </si>
  <si>
    <t xml:space="preserve">RPY-0007086</t>
  </si>
  <si>
    <t xml:space="preserve">RPY-0007087</t>
  </si>
  <si>
    <t xml:space="preserve">RPY-0007088</t>
  </si>
  <si>
    <t xml:space="preserve">RPY-0007089</t>
  </si>
  <si>
    <t xml:space="preserve">RPY-0007090</t>
  </si>
  <si>
    <t xml:space="preserve">RPY-0007091</t>
  </si>
  <si>
    <t xml:space="preserve">RPY-0007092</t>
  </si>
  <si>
    <t xml:space="preserve">RPY-0007093</t>
  </si>
  <si>
    <t xml:space="preserve">RPY-0007094</t>
  </si>
  <si>
    <t xml:space="preserve">RPY-0007095</t>
  </si>
  <si>
    <t xml:space="preserve">RPY-0007096</t>
  </si>
  <si>
    <t xml:space="preserve">RPY-0007097</t>
  </si>
  <si>
    <t xml:space="preserve">RPY-0007098</t>
  </si>
  <si>
    <t xml:space="preserve">RPY-0007099</t>
  </si>
  <si>
    <t xml:space="preserve">RPY-0007100</t>
  </si>
  <si>
    <t xml:space="preserve">RPY-0007101</t>
  </si>
  <si>
    <t xml:space="preserve">RPY-0007102</t>
  </si>
  <si>
    <t xml:space="preserve">RPY-0007103</t>
  </si>
  <si>
    <t xml:space="preserve">RPY-0007104</t>
  </si>
  <si>
    <t xml:space="preserve">RPY-0007105</t>
  </si>
  <si>
    <t xml:space="preserve">RPY-0007106</t>
  </si>
  <si>
    <t xml:space="preserve">RPY-0007107</t>
  </si>
  <si>
    <t xml:space="preserve">RPY-0007108</t>
  </si>
  <si>
    <t xml:space="preserve">RPY-0007109</t>
  </si>
  <si>
    <t xml:space="preserve">RPY-0007110</t>
  </si>
  <si>
    <t xml:space="preserve">RPY-0007111</t>
  </si>
  <si>
    <t xml:space="preserve">RPY-0007112</t>
  </si>
  <si>
    <t xml:space="preserve">RPY-0007113</t>
  </si>
  <si>
    <t xml:space="preserve">RPY-0007114</t>
  </si>
  <si>
    <t xml:space="preserve">RPY-0007115</t>
  </si>
  <si>
    <t xml:space="preserve">RPY-0007116</t>
  </si>
  <si>
    <t xml:space="preserve">RPY-0007117</t>
  </si>
  <si>
    <t xml:space="preserve">RPY-0007118</t>
  </si>
  <si>
    <t xml:space="preserve">RPY-0007119</t>
  </si>
  <si>
    <t xml:space="preserve">RPY-0007120</t>
  </si>
  <si>
    <t xml:space="preserve">RPY-0007121</t>
  </si>
  <si>
    <t xml:space="preserve">RPY-0007122</t>
  </si>
  <si>
    <t xml:space="preserve">RPY-0007123</t>
  </si>
  <si>
    <t xml:space="preserve">RPY-0007124</t>
  </si>
  <si>
    <t xml:space="preserve">RPY-0007125</t>
  </si>
  <si>
    <t xml:space="preserve">RPY-0007126</t>
  </si>
  <si>
    <t xml:space="preserve">RPY-0007127</t>
  </si>
  <si>
    <t xml:space="preserve">RPY-0007128</t>
  </si>
  <si>
    <t xml:space="preserve">RPY-0007129</t>
  </si>
  <si>
    <t xml:space="preserve">RPY-0007130</t>
  </si>
  <si>
    <t xml:space="preserve">RPY-0007131</t>
  </si>
  <si>
    <t xml:space="preserve">RPY-0007132</t>
  </si>
  <si>
    <t xml:space="preserve">RPY-0007133</t>
  </si>
  <si>
    <t xml:space="preserve">RPY-0007134</t>
  </si>
  <si>
    <t xml:space="preserve">RPY-0007135</t>
  </si>
  <si>
    <t xml:space="preserve">RPY-0007136</t>
  </si>
  <si>
    <t xml:space="preserve">RPY-0007137</t>
  </si>
  <si>
    <t xml:space="preserve">RPY-0007138</t>
  </si>
  <si>
    <t xml:space="preserve">RPY-0007139</t>
  </si>
  <si>
    <t xml:space="preserve">RPY-0007140</t>
  </si>
  <si>
    <t xml:space="preserve">RPY-0007141</t>
  </si>
  <si>
    <t xml:space="preserve">RPY-0007142</t>
  </si>
  <si>
    <t xml:space="preserve">RPY-0007143</t>
  </si>
  <si>
    <t xml:space="preserve">RPY-0007144</t>
  </si>
  <si>
    <t xml:space="preserve">RPY-0007145</t>
  </si>
  <si>
    <t xml:space="preserve">RPY-0007146</t>
  </si>
  <si>
    <t xml:space="preserve">RPY-0007147</t>
  </si>
  <si>
    <t xml:space="preserve">RPY-0007148</t>
  </si>
  <si>
    <t xml:space="preserve">RPY-0007149</t>
  </si>
  <si>
    <t xml:space="preserve">RPY-0007150</t>
  </si>
  <si>
    <t xml:space="preserve">RPY-0007151</t>
  </si>
  <si>
    <t xml:space="preserve">RPY-0007152</t>
  </si>
  <si>
    <t xml:space="preserve">RPY-0007153</t>
  </si>
  <si>
    <t xml:space="preserve">RPY-0007154</t>
  </si>
  <si>
    <t xml:space="preserve">RPY-0007155</t>
  </si>
  <si>
    <t xml:space="preserve">RPY-0007156</t>
  </si>
  <si>
    <t xml:space="preserve">RPY-0007157</t>
  </si>
  <si>
    <t xml:space="preserve">RPY-0007158</t>
  </si>
  <si>
    <t xml:space="preserve">RPY-0007159</t>
  </si>
  <si>
    <t xml:space="preserve">RPY-0007160</t>
  </si>
  <si>
    <t xml:space="preserve">RPY-0007161</t>
  </si>
  <si>
    <t xml:space="preserve">RPY-0007162</t>
  </si>
  <si>
    <t xml:space="preserve">RPY-0007163</t>
  </si>
  <si>
    <t xml:space="preserve">RPY-0007164</t>
  </si>
  <si>
    <t xml:space="preserve">RPY-0007165</t>
  </si>
  <si>
    <t xml:space="preserve">RPY-0007166</t>
  </si>
  <si>
    <t xml:space="preserve">RPY-0007167</t>
  </si>
  <si>
    <t xml:space="preserve">RPY-0007168</t>
  </si>
  <si>
    <t xml:space="preserve">RPY-0007169</t>
  </si>
  <si>
    <t xml:space="preserve">RPY-0007170</t>
  </si>
  <si>
    <t xml:space="preserve">RPY-0007171</t>
  </si>
  <si>
    <t xml:space="preserve">RPY-0007172</t>
  </si>
  <si>
    <t xml:space="preserve">RPY-0007173</t>
  </si>
  <si>
    <t xml:space="preserve">RPY-0007174</t>
  </si>
  <si>
    <t xml:space="preserve">RPY-0007175</t>
  </si>
  <si>
    <t xml:space="preserve">RPY-0007176</t>
  </si>
  <si>
    <t xml:space="preserve">RPY-0007177</t>
  </si>
  <si>
    <t xml:space="preserve">RPY-0007178</t>
  </si>
  <si>
    <t xml:space="preserve">RPY-0007179</t>
  </si>
  <si>
    <t xml:space="preserve">RPY-0007180</t>
  </si>
  <si>
    <t xml:space="preserve">RPY-0007181</t>
  </si>
  <si>
    <t xml:space="preserve">RPY-0007182</t>
  </si>
  <si>
    <t xml:space="preserve">RPY-0007183</t>
  </si>
  <si>
    <t xml:space="preserve">RPY-0007184</t>
  </si>
  <si>
    <t xml:space="preserve">RPY-0007185</t>
  </si>
  <si>
    <t xml:space="preserve">RPY-0007186</t>
  </si>
  <si>
    <t xml:space="preserve">RPY-0007187</t>
  </si>
  <si>
    <t xml:space="preserve">RPY-0007188</t>
  </si>
  <si>
    <t xml:space="preserve">RPY-0007189</t>
  </si>
  <si>
    <t xml:space="preserve">RPY-0007190</t>
  </si>
  <si>
    <t xml:space="preserve">RPY-0007191</t>
  </si>
  <si>
    <t xml:space="preserve">RPY-0007192</t>
  </si>
  <si>
    <t xml:space="preserve">RPY-0007193</t>
  </si>
  <si>
    <t xml:space="preserve">RPY-0007194</t>
  </si>
  <si>
    <t xml:space="preserve">RPY-0007195</t>
  </si>
  <si>
    <t xml:space="preserve">RPY-0007196</t>
  </si>
  <si>
    <t xml:space="preserve">RPY-0007197</t>
  </si>
  <si>
    <t xml:space="preserve">RPY-0007198</t>
  </si>
  <si>
    <t xml:space="preserve">RPY-0007199</t>
  </si>
  <si>
    <t xml:space="preserve">RPY-0007200</t>
  </si>
  <si>
    <t xml:space="preserve">RPY-0007201</t>
  </si>
  <si>
    <t xml:space="preserve">RPY-0007202</t>
  </si>
  <si>
    <t xml:space="preserve">RPY-0007203</t>
  </si>
  <si>
    <t xml:space="preserve">RPY-0007204</t>
  </si>
  <si>
    <t xml:space="preserve">RPY-0007205</t>
  </si>
  <si>
    <t xml:space="preserve">RPY-0007206</t>
  </si>
  <si>
    <t xml:space="preserve">RPY-0007207</t>
  </si>
  <si>
    <t xml:space="preserve">RPY-0007208</t>
  </si>
  <si>
    <t xml:space="preserve">RPY-0007209</t>
  </si>
  <si>
    <t xml:space="preserve">RPY-0007210</t>
  </si>
  <si>
    <t xml:space="preserve">RPY-0007211</t>
  </si>
  <si>
    <t xml:space="preserve">RPY-0007212</t>
  </si>
  <si>
    <t xml:space="preserve">RPY-0007213</t>
  </si>
  <si>
    <t xml:space="preserve">RPY-0007214</t>
  </si>
  <si>
    <t xml:space="preserve">RPY-0007215</t>
  </si>
  <si>
    <t xml:space="preserve">RPY-0007216</t>
  </si>
  <si>
    <t xml:space="preserve">RPY-0007217</t>
  </si>
  <si>
    <t xml:space="preserve">RPY-0007218</t>
  </si>
  <si>
    <t xml:space="preserve">RPY-0007219</t>
  </si>
  <si>
    <t xml:space="preserve">RPY-0007220</t>
  </si>
  <si>
    <t xml:space="preserve">RPY-0007221</t>
  </si>
  <si>
    <t xml:space="preserve">RPY-0007222</t>
  </si>
  <si>
    <t xml:space="preserve">RPY-0007223</t>
  </si>
  <si>
    <t xml:space="preserve">RPY-0007224</t>
  </si>
  <si>
    <t xml:space="preserve">RPY-0007225</t>
  </si>
  <si>
    <t xml:space="preserve">RPY-0007226</t>
  </si>
  <si>
    <t xml:space="preserve">RPY-0007227</t>
  </si>
  <si>
    <t xml:space="preserve">RPY-0007228</t>
  </si>
  <si>
    <t xml:space="preserve">RPY-0007229</t>
  </si>
  <si>
    <t xml:space="preserve">RPY-0007230</t>
  </si>
  <si>
    <t xml:space="preserve">RPY-0007231</t>
  </si>
  <si>
    <t xml:space="preserve">RPY-0007232</t>
  </si>
  <si>
    <t xml:space="preserve">RPY-0007233</t>
  </si>
  <si>
    <t xml:space="preserve">RPY-0007234</t>
  </si>
  <si>
    <t xml:space="preserve">RPY-0007235</t>
  </si>
  <si>
    <t xml:space="preserve">RPY-0007236</t>
  </si>
  <si>
    <t xml:space="preserve">RPY-0007237</t>
  </si>
  <si>
    <t xml:space="preserve">RPY-0007238</t>
  </si>
  <si>
    <t xml:space="preserve">RPY-0007239</t>
  </si>
  <si>
    <t xml:space="preserve">RPY-0007240</t>
  </si>
  <si>
    <t xml:space="preserve">RPY-0007241</t>
  </si>
  <si>
    <t xml:space="preserve">RPY-0007242</t>
  </si>
  <si>
    <t xml:space="preserve">RPY-0007243</t>
  </si>
  <si>
    <t xml:space="preserve">RPY-0007244</t>
  </si>
  <si>
    <t xml:space="preserve">RPY-0007245</t>
  </si>
  <si>
    <t xml:space="preserve">RPY-0007246</t>
  </si>
  <si>
    <t xml:space="preserve">RPY-0007247</t>
  </si>
  <si>
    <t xml:space="preserve">RPY-0007248</t>
  </si>
  <si>
    <t xml:space="preserve">RPY-0007249</t>
  </si>
  <si>
    <t xml:space="preserve">RPY-0007250</t>
  </si>
  <si>
    <t xml:space="preserve">RPY-0007251</t>
  </si>
  <si>
    <t xml:space="preserve">RPY-0007252</t>
  </si>
  <si>
    <t xml:space="preserve">RPY-0007253</t>
  </si>
  <si>
    <t xml:space="preserve">RPY-0007254</t>
  </si>
  <si>
    <t xml:space="preserve">RPY-0007255</t>
  </si>
  <si>
    <t xml:space="preserve">RPY-0007256</t>
  </si>
  <si>
    <t xml:space="preserve">RPY-0007257</t>
  </si>
  <si>
    <t xml:space="preserve">RPY-0007258</t>
  </si>
  <si>
    <t xml:space="preserve">RPY-0007259</t>
  </si>
  <si>
    <t xml:space="preserve">RPY-0007260</t>
  </si>
  <si>
    <t xml:space="preserve">RPY-0007261</t>
  </si>
  <si>
    <t xml:space="preserve">RPY-0007262</t>
  </si>
  <si>
    <t xml:space="preserve">RPY-0007263</t>
  </si>
  <si>
    <t xml:space="preserve">RPY-0007264</t>
  </si>
  <si>
    <t xml:space="preserve">RPY-0007265</t>
  </si>
  <si>
    <t xml:space="preserve">RPY-0007266</t>
  </si>
  <si>
    <t xml:space="preserve">RPY-0007267</t>
  </si>
  <si>
    <t xml:space="preserve">RPY-0007268</t>
  </si>
  <si>
    <t xml:space="preserve">RPY-0007269</t>
  </si>
  <si>
    <t xml:space="preserve">RPY-0007270</t>
  </si>
  <si>
    <t xml:space="preserve">RPY-0007271</t>
  </si>
  <si>
    <t xml:space="preserve">RPY-0007272</t>
  </si>
  <si>
    <t xml:space="preserve">RPY-0007273</t>
  </si>
  <si>
    <t xml:space="preserve">RPY-0007274</t>
  </si>
  <si>
    <t xml:space="preserve">RPY-0007275</t>
  </si>
  <si>
    <t xml:space="preserve">RPY-0007276</t>
  </si>
  <si>
    <t xml:space="preserve">RPY-0007277</t>
  </si>
  <si>
    <t xml:space="preserve">RPY-0007278</t>
  </si>
  <si>
    <t xml:space="preserve">RPY-0007279</t>
  </si>
  <si>
    <t xml:space="preserve">RPY-0007280</t>
  </si>
  <si>
    <t xml:space="preserve">RPY-0007281</t>
  </si>
  <si>
    <t xml:space="preserve">RPY-0007282</t>
  </si>
  <si>
    <t xml:space="preserve">RPY-0007283</t>
  </si>
  <si>
    <t xml:space="preserve">RPY-0007284</t>
  </si>
  <si>
    <t xml:space="preserve">RPY-0007285</t>
  </si>
  <si>
    <t xml:space="preserve">RPY-0007286</t>
  </si>
  <si>
    <t xml:space="preserve">RPY-0007287</t>
  </si>
  <si>
    <t xml:space="preserve">RPY-0007288</t>
  </si>
  <si>
    <t xml:space="preserve">RPY-0007289</t>
  </si>
  <si>
    <t xml:space="preserve">RPY-0007290</t>
  </si>
  <si>
    <t xml:space="preserve">RPY-0007291</t>
  </si>
  <si>
    <t xml:space="preserve">RPY-0007292</t>
  </si>
  <si>
    <t xml:space="preserve">RPY-0007293</t>
  </si>
  <si>
    <t xml:space="preserve">RPY-0007294</t>
  </si>
  <si>
    <t xml:space="preserve">RPY-0007295</t>
  </si>
  <si>
    <t xml:space="preserve">RPY-0007296</t>
  </si>
  <si>
    <t xml:space="preserve">RPY-0007297</t>
  </si>
  <si>
    <t xml:space="preserve">RPY-0007298</t>
  </si>
  <si>
    <t xml:space="preserve">RPY-0007299</t>
  </si>
  <si>
    <t xml:space="preserve">RPY-0007300</t>
  </si>
  <si>
    <t xml:space="preserve">RPY-0007301</t>
  </si>
  <si>
    <t xml:space="preserve">RPY-0007302</t>
  </si>
  <si>
    <t xml:space="preserve">RPY-0007303</t>
  </si>
  <si>
    <t xml:space="preserve">RPY-0007304</t>
  </si>
  <si>
    <t xml:space="preserve">RPY-0007305</t>
  </si>
  <si>
    <t xml:space="preserve">RPY-0007306</t>
  </si>
  <si>
    <t xml:space="preserve">RPY-0007307</t>
  </si>
  <si>
    <t xml:space="preserve">RPY-0007308</t>
  </si>
  <si>
    <t xml:space="preserve">RPY-0007309</t>
  </si>
  <si>
    <t xml:space="preserve">RPY-0007310</t>
  </si>
  <si>
    <t xml:space="preserve">RPY-0007311</t>
  </si>
  <si>
    <t xml:space="preserve">RPY-0007312</t>
  </si>
  <si>
    <t xml:space="preserve">RPY-0007313</t>
  </si>
  <si>
    <t xml:space="preserve">RPY-0007314</t>
  </si>
  <si>
    <t xml:space="preserve">RPY-0007315</t>
  </si>
  <si>
    <t xml:space="preserve">RPY-0007316</t>
  </si>
  <si>
    <t xml:space="preserve">RPY-0007317</t>
  </si>
  <si>
    <t xml:space="preserve">RPY-0007318</t>
  </si>
  <si>
    <t xml:space="preserve">RPY-0007319</t>
  </si>
  <si>
    <t xml:space="preserve">RPY-0007320</t>
  </si>
  <si>
    <t xml:space="preserve">RPY-0007321</t>
  </si>
  <si>
    <t xml:space="preserve">RPY-0007322</t>
  </si>
  <si>
    <t xml:space="preserve">RPY-0007323</t>
  </si>
  <si>
    <t xml:space="preserve">RPY-0007324</t>
  </si>
  <si>
    <t xml:space="preserve">RPY-0007325</t>
  </si>
  <si>
    <t xml:space="preserve">RPY-0007326</t>
  </si>
  <si>
    <t xml:space="preserve">RPY-0007327</t>
  </si>
  <si>
    <t xml:space="preserve">RPY-0007328</t>
  </si>
  <si>
    <t xml:space="preserve">RPY-0007329</t>
  </si>
  <si>
    <t xml:space="preserve">RPY-0007330</t>
  </si>
  <si>
    <t xml:space="preserve">RPY-0007331</t>
  </si>
  <si>
    <t xml:space="preserve">RPY-0007332</t>
  </si>
  <si>
    <t xml:space="preserve">RPY-0007333</t>
  </si>
  <si>
    <t xml:space="preserve">RPY-0007334</t>
  </si>
  <si>
    <t xml:space="preserve">RPY-0007335</t>
  </si>
  <si>
    <t xml:space="preserve">RPY-0007336</t>
  </si>
  <si>
    <t xml:space="preserve">RPY-0007337</t>
  </si>
  <si>
    <t xml:space="preserve">RPY-0007338</t>
  </si>
  <si>
    <t xml:space="preserve">RPY-0007339</t>
  </si>
  <si>
    <t xml:space="preserve">RPY-0007340</t>
  </si>
  <si>
    <t xml:space="preserve">RPY-0007341</t>
  </si>
  <si>
    <t xml:space="preserve">RPY-0007342</t>
  </si>
  <si>
    <t xml:space="preserve">RPY-0007343</t>
  </si>
  <si>
    <t xml:space="preserve">RPY-0007344</t>
  </si>
  <si>
    <t xml:space="preserve">RPY-0007345</t>
  </si>
  <si>
    <t xml:space="preserve">RPY-0007346</t>
  </si>
  <si>
    <t xml:space="preserve">RPY-0007347</t>
  </si>
  <si>
    <t xml:space="preserve">RPY-0007348</t>
  </si>
  <si>
    <t xml:space="preserve">RPY-0007349</t>
  </si>
  <si>
    <t xml:space="preserve">RPY-0007350</t>
  </si>
  <si>
    <t xml:space="preserve">RPY-0007351</t>
  </si>
  <si>
    <t xml:space="preserve">RPY-0007352</t>
  </si>
  <si>
    <t xml:space="preserve">RPY-0007353</t>
  </si>
  <si>
    <t xml:space="preserve">RPY-0007354</t>
  </si>
  <si>
    <t xml:space="preserve">RPY-0007355</t>
  </si>
  <si>
    <t xml:space="preserve">RPY-0007356</t>
  </si>
  <si>
    <t xml:space="preserve">RPY-0007357</t>
  </si>
  <si>
    <t xml:space="preserve">RPY-0007358</t>
  </si>
  <si>
    <t xml:space="preserve">RPY-0007359</t>
  </si>
  <si>
    <t xml:space="preserve">RPY-0007360</t>
  </si>
  <si>
    <t xml:space="preserve">RPY-0007361</t>
  </si>
  <si>
    <t xml:space="preserve">RPY-0007362</t>
  </si>
  <si>
    <t xml:space="preserve">RPY-0007363</t>
  </si>
  <si>
    <t xml:space="preserve">RPY-0007364</t>
  </si>
  <si>
    <t xml:space="preserve">RPY-0007365</t>
  </si>
  <si>
    <t xml:space="preserve">RPY-0007366</t>
  </si>
  <si>
    <t xml:space="preserve">RPY-0007367</t>
  </si>
  <si>
    <t xml:space="preserve">RPY-0007368</t>
  </si>
  <si>
    <t xml:space="preserve">RPY-0007369</t>
  </si>
  <si>
    <t xml:space="preserve">RPY-0007370</t>
  </si>
  <si>
    <t xml:space="preserve">RPY-0007371</t>
  </si>
  <si>
    <t xml:space="preserve">RPY-0007372</t>
  </si>
  <si>
    <t xml:space="preserve">RPY-0007373</t>
  </si>
  <si>
    <t xml:space="preserve">RPY-0007374</t>
  </si>
  <si>
    <t xml:space="preserve">RPY-0007375</t>
  </si>
  <si>
    <t xml:space="preserve">RPY-0007376</t>
  </si>
  <si>
    <t xml:space="preserve">RPY-0007377</t>
  </si>
  <si>
    <t xml:space="preserve">RPY-0007378</t>
  </si>
  <si>
    <t xml:space="preserve">RPY-0007379</t>
  </si>
  <si>
    <t xml:space="preserve">RPY-0007380</t>
  </si>
  <si>
    <t xml:space="preserve">RPY-0007381</t>
  </si>
  <si>
    <t xml:space="preserve">RPY-0007382</t>
  </si>
  <si>
    <t xml:space="preserve">RPY-0007383</t>
  </si>
  <si>
    <t xml:space="preserve">RPY-0007384</t>
  </si>
  <si>
    <t xml:space="preserve">RPY-0007385</t>
  </si>
  <si>
    <t xml:space="preserve">RPY-0007386</t>
  </si>
  <si>
    <t xml:space="preserve">RPY-0007387</t>
  </si>
  <si>
    <t xml:space="preserve">RPY-0007388</t>
  </si>
  <si>
    <t xml:space="preserve">RPY-0007389</t>
  </si>
  <si>
    <t xml:space="preserve">RPY-0007390</t>
  </si>
  <si>
    <t xml:space="preserve">RPY-0007391</t>
  </si>
  <si>
    <t xml:space="preserve">RPY-0007392</t>
  </si>
  <si>
    <t xml:space="preserve">RPY-0007393</t>
  </si>
  <si>
    <t xml:space="preserve">RPY-0007394</t>
  </si>
  <si>
    <t xml:space="preserve">RPY-0007395</t>
  </si>
  <si>
    <t xml:space="preserve">RPY-0007396</t>
  </si>
  <si>
    <t xml:space="preserve">RPY-0007397</t>
  </si>
  <si>
    <t xml:space="preserve">RPY-0007398</t>
  </si>
  <si>
    <t xml:space="preserve">RPY-0007399</t>
  </si>
  <si>
    <t xml:space="preserve">RPY-0007400</t>
  </si>
  <si>
    <t xml:space="preserve">RPY-0007401</t>
  </si>
  <si>
    <t xml:space="preserve">RPY-0007402</t>
  </si>
  <si>
    <t xml:space="preserve">RPY-0007403</t>
  </si>
  <si>
    <t xml:space="preserve">RPY-0007404</t>
  </si>
  <si>
    <t xml:space="preserve">RPY-0007405</t>
  </si>
  <si>
    <t xml:space="preserve">RPY-0007406</t>
  </si>
  <si>
    <t xml:space="preserve">RPY-0007407</t>
  </si>
  <si>
    <t xml:space="preserve">RPY-0007408</t>
  </si>
  <si>
    <t xml:space="preserve">RPY-0007409</t>
  </si>
  <si>
    <t xml:space="preserve">RPY-0007410</t>
  </si>
  <si>
    <t xml:space="preserve">RPY-0007411</t>
  </si>
  <si>
    <t xml:space="preserve">RPY-0007412</t>
  </si>
  <si>
    <t xml:space="preserve">RPY-0007413</t>
  </si>
  <si>
    <t xml:space="preserve">RPY-0007414</t>
  </si>
  <si>
    <t xml:space="preserve">RPY-0007415</t>
  </si>
  <si>
    <t xml:space="preserve">RPY-0007416</t>
  </si>
  <si>
    <t xml:space="preserve">RPY-0007417</t>
  </si>
  <si>
    <t xml:space="preserve">RPY-0007418</t>
  </si>
  <si>
    <t xml:space="preserve">RPY-0007419</t>
  </si>
  <si>
    <t xml:space="preserve">RPY-0007420</t>
  </si>
  <si>
    <t xml:space="preserve">RPY-0007421</t>
  </si>
  <si>
    <t xml:space="preserve">RPY-0007422</t>
  </si>
  <si>
    <t xml:space="preserve">RPY-0007423</t>
  </si>
  <si>
    <t xml:space="preserve">RPY-0007424</t>
  </si>
  <si>
    <t xml:space="preserve">RPY-0007425</t>
  </si>
  <si>
    <t xml:space="preserve">RPY-0007426</t>
  </si>
  <si>
    <t xml:space="preserve">RPY-0007427</t>
  </si>
  <si>
    <t xml:space="preserve">RPY-0007428</t>
  </si>
  <si>
    <t xml:space="preserve">RPY-0007429</t>
  </si>
  <si>
    <t xml:space="preserve">RPY-0007430</t>
  </si>
  <si>
    <t xml:space="preserve">RPY-0007431</t>
  </si>
  <si>
    <t xml:space="preserve">RPY-0007432</t>
  </si>
  <si>
    <t xml:space="preserve">RPY-0007433</t>
  </si>
  <si>
    <t xml:space="preserve">RPY-0007434</t>
  </si>
  <si>
    <t xml:space="preserve">RPY-0007435</t>
  </si>
  <si>
    <t xml:space="preserve">RPY-0007436</t>
  </si>
  <si>
    <t xml:space="preserve">RPY-0007437</t>
  </si>
  <si>
    <t xml:space="preserve">RPY-0007438</t>
  </si>
  <si>
    <t xml:space="preserve">RPY-0007439</t>
  </si>
  <si>
    <t xml:space="preserve">RPY-0007440</t>
  </si>
  <si>
    <t xml:space="preserve">RPY-0007441</t>
  </si>
  <si>
    <t xml:space="preserve">RPY-0007442</t>
  </si>
  <si>
    <t xml:space="preserve">RPY-0007443</t>
  </si>
  <si>
    <t xml:space="preserve">RPY-0007444</t>
  </si>
  <si>
    <t xml:space="preserve">RPY-0007445</t>
  </si>
  <si>
    <t xml:space="preserve">RPY-0007446</t>
  </si>
  <si>
    <t xml:space="preserve">RPY-0007447</t>
  </si>
  <si>
    <t xml:space="preserve">RPY-0007448</t>
  </si>
  <si>
    <t xml:space="preserve">RPY-0007449</t>
  </si>
  <si>
    <t xml:space="preserve">RPY-0007450</t>
  </si>
  <si>
    <t xml:space="preserve">RPY-0007451</t>
  </si>
  <si>
    <t xml:space="preserve">RPY-0007452</t>
  </si>
  <si>
    <t xml:space="preserve">RPY-0007453</t>
  </si>
  <si>
    <t xml:space="preserve">RPY-0007454</t>
  </si>
  <si>
    <t xml:space="preserve">RPY-0007455</t>
  </si>
  <si>
    <t xml:space="preserve">RPY-0007456</t>
  </si>
  <si>
    <t xml:space="preserve">RPY-0007457</t>
  </si>
  <si>
    <t xml:space="preserve">RPY-0007458</t>
  </si>
  <si>
    <t xml:space="preserve">RPY-0007459</t>
  </si>
  <si>
    <t xml:space="preserve">RPY-0007460</t>
  </si>
  <si>
    <t xml:space="preserve">RPY-0007461</t>
  </si>
  <si>
    <t xml:space="preserve">RPY-0007462</t>
  </si>
  <si>
    <t xml:space="preserve">RPY-0007463</t>
  </si>
  <si>
    <t xml:space="preserve">RPY-0007464</t>
  </si>
  <si>
    <t xml:space="preserve">RPY-0007465</t>
  </si>
  <si>
    <t xml:space="preserve">RPY-0007466</t>
  </si>
  <si>
    <t xml:space="preserve">RPY-0007467</t>
  </si>
  <si>
    <t xml:space="preserve">RPY-0007468</t>
  </si>
  <si>
    <t xml:space="preserve">RPY-0007469</t>
  </si>
  <si>
    <t xml:space="preserve">RPY-0007470</t>
  </si>
  <si>
    <t xml:space="preserve">RPY-0007471</t>
  </si>
  <si>
    <t xml:space="preserve">RPY-0007472</t>
  </si>
  <si>
    <t xml:space="preserve">RPY-0007473</t>
  </si>
  <si>
    <t xml:space="preserve">RPY-0007474</t>
  </si>
  <si>
    <t xml:space="preserve">RPY-0007475</t>
  </si>
  <si>
    <t xml:space="preserve">RPY-0007476</t>
  </si>
  <si>
    <t xml:space="preserve">RPY-0007477</t>
  </si>
  <si>
    <t xml:space="preserve">RPY-0007478</t>
  </si>
  <si>
    <t xml:space="preserve">RPY-0007479</t>
  </si>
  <si>
    <t xml:space="preserve">RPY-0007480</t>
  </si>
  <si>
    <t xml:space="preserve">RPY-0007481</t>
  </si>
  <si>
    <t xml:space="preserve">RPY-0007482</t>
  </si>
  <si>
    <t xml:space="preserve">RPY-0007483</t>
  </si>
  <si>
    <t xml:space="preserve">RPY-0007484</t>
  </si>
  <si>
    <t xml:space="preserve">RPY-0007485</t>
  </si>
  <si>
    <t xml:space="preserve">RPY-0007486</t>
  </si>
  <si>
    <t xml:space="preserve">RPY-0007487</t>
  </si>
  <si>
    <t xml:space="preserve">RPY-0007488</t>
  </si>
  <si>
    <t xml:space="preserve">RPY-0007489</t>
  </si>
  <si>
    <t xml:space="preserve">RPY-0007490</t>
  </si>
  <si>
    <t xml:space="preserve">RPY-0007491</t>
  </si>
  <si>
    <t xml:space="preserve">RPY-0007492</t>
  </si>
  <si>
    <t xml:space="preserve">RPY-0007493</t>
  </si>
  <si>
    <t xml:space="preserve">RPY-0007494</t>
  </si>
  <si>
    <t xml:space="preserve">RPY-0007495</t>
  </si>
  <si>
    <t xml:space="preserve">RPY-0007496</t>
  </si>
  <si>
    <t xml:space="preserve">RPY-0007497</t>
  </si>
  <si>
    <t xml:space="preserve">RPY-0007498</t>
  </si>
  <si>
    <t xml:space="preserve">RPY-0007499</t>
  </si>
  <si>
    <t xml:space="preserve">RPY-0007500</t>
  </si>
  <si>
    <t xml:space="preserve">RPY-0007501</t>
  </si>
  <si>
    <t xml:space="preserve">RPY-0007502</t>
  </si>
  <si>
    <t xml:space="preserve">RPY-0007503</t>
  </si>
  <si>
    <t xml:space="preserve">RPY-0007504</t>
  </si>
  <si>
    <t xml:space="preserve">RPY-0007505</t>
  </si>
  <si>
    <t xml:space="preserve">RPY-0007506</t>
  </si>
  <si>
    <t xml:space="preserve">RPY-0007507</t>
  </si>
  <si>
    <t xml:space="preserve">RPY-0007508</t>
  </si>
  <si>
    <t xml:space="preserve">RPY-0007509</t>
  </si>
  <si>
    <t xml:space="preserve">RPY-0007510</t>
  </si>
  <si>
    <t xml:space="preserve">RPY-0007511</t>
  </si>
  <si>
    <t xml:space="preserve">RPY-0007512</t>
  </si>
  <si>
    <t xml:space="preserve">RPY-0007513</t>
  </si>
  <si>
    <t xml:space="preserve">RPY-0007514</t>
  </si>
  <si>
    <t xml:space="preserve">RPY-0007515</t>
  </si>
  <si>
    <t xml:space="preserve">RPY-0007516</t>
  </si>
  <si>
    <t xml:space="preserve">RPY-0007517</t>
  </si>
  <si>
    <t xml:space="preserve">RPY-0007518</t>
  </si>
  <si>
    <t xml:space="preserve">RPY-0007519</t>
  </si>
  <si>
    <t xml:space="preserve">RPY-0007520</t>
  </si>
  <si>
    <t xml:space="preserve">RPY-0007521</t>
  </si>
  <si>
    <t xml:space="preserve">RPY-0007522</t>
  </si>
  <si>
    <t xml:space="preserve">RPY-0007523</t>
  </si>
  <si>
    <t xml:space="preserve">RPY-0007524</t>
  </si>
  <si>
    <t xml:space="preserve">RPY-0007525</t>
  </si>
  <si>
    <t xml:space="preserve">RPY-0007526</t>
  </si>
  <si>
    <t xml:space="preserve">RPY-0007527</t>
  </si>
  <si>
    <t xml:space="preserve">RPY-0007528</t>
  </si>
  <si>
    <t xml:space="preserve">RPY-0007529</t>
  </si>
  <si>
    <t xml:space="preserve">RPY-0007530</t>
  </si>
  <si>
    <t xml:space="preserve">RPY-0007531</t>
  </si>
  <si>
    <t xml:space="preserve">RPY-0007532</t>
  </si>
  <si>
    <t xml:space="preserve">RPY-0007533</t>
  </si>
  <si>
    <t xml:space="preserve">RPY-0007534</t>
  </si>
  <si>
    <t xml:space="preserve">RPY-0007535</t>
  </si>
  <si>
    <t xml:space="preserve">RPY-0007536</t>
  </si>
  <si>
    <t xml:space="preserve">RPY-0007537</t>
  </si>
  <si>
    <t xml:space="preserve">RPY-0007538</t>
  </si>
  <si>
    <t xml:space="preserve">RPY-0007539</t>
  </si>
  <si>
    <t xml:space="preserve">RPY-0007540</t>
  </si>
  <si>
    <t xml:space="preserve">RPY-0007541</t>
  </si>
  <si>
    <t xml:space="preserve">RPY-0007542</t>
  </si>
  <si>
    <t xml:space="preserve">RPY-0007543</t>
  </si>
  <si>
    <t xml:space="preserve">RPY-0007544</t>
  </si>
  <si>
    <t xml:space="preserve">RPY-0007545</t>
  </si>
  <si>
    <t xml:space="preserve">RPY-0007546</t>
  </si>
  <si>
    <t xml:space="preserve">RPY-0007547</t>
  </si>
  <si>
    <t xml:space="preserve">RPY-0007548</t>
  </si>
  <si>
    <t xml:space="preserve">RPY-0007549</t>
  </si>
  <si>
    <t xml:space="preserve">RPY-0007550</t>
  </si>
  <si>
    <t xml:space="preserve">RPY-0007551</t>
  </si>
  <si>
    <t xml:space="preserve">RPY-0007552</t>
  </si>
  <si>
    <t xml:space="preserve">RPY-0007553</t>
  </si>
  <si>
    <t xml:space="preserve">RPY-0007554</t>
  </si>
  <si>
    <t xml:space="preserve">RPY-0007555</t>
  </si>
  <si>
    <t xml:space="preserve">RPY-0007556</t>
  </si>
  <si>
    <t xml:space="preserve">RPY-0007557</t>
  </si>
  <si>
    <t xml:space="preserve">RPY-0007558</t>
  </si>
  <si>
    <t xml:space="preserve">RPY-0007559</t>
  </si>
  <si>
    <t xml:space="preserve">RPY-0007560</t>
  </si>
  <si>
    <t xml:space="preserve">RPY-0007561</t>
  </si>
  <si>
    <t xml:space="preserve">RPY-0007562</t>
  </si>
  <si>
    <t xml:space="preserve">RPY-0007563</t>
  </si>
  <si>
    <t xml:space="preserve">RPY-0007564</t>
  </si>
  <si>
    <t xml:space="preserve">RPY-0007565</t>
  </si>
  <si>
    <t xml:space="preserve">RPY-0007566</t>
  </si>
  <si>
    <t xml:space="preserve">RPY-0007567</t>
  </si>
  <si>
    <t xml:space="preserve">RPY-0007568</t>
  </si>
  <si>
    <t xml:space="preserve">RPY-0007569</t>
  </si>
  <si>
    <t xml:space="preserve">RPY-0007570</t>
  </si>
  <si>
    <t xml:space="preserve">RPY-0007571</t>
  </si>
  <si>
    <t xml:space="preserve">RPY-0007572</t>
  </si>
  <si>
    <t xml:space="preserve">RPY-0007573</t>
  </si>
  <si>
    <t xml:space="preserve">RPY-0007574</t>
  </si>
  <si>
    <t xml:space="preserve">RPY-0007575</t>
  </si>
  <si>
    <t xml:space="preserve">RPY-0007576</t>
  </si>
  <si>
    <t xml:space="preserve">RPY-0007577</t>
  </si>
  <si>
    <t xml:space="preserve">RPY-0007578</t>
  </si>
  <si>
    <t xml:space="preserve">RPY-0007579</t>
  </si>
  <si>
    <t xml:space="preserve">RPY-0007580</t>
  </si>
  <si>
    <t xml:space="preserve">RPY-0007581</t>
  </si>
  <si>
    <t xml:space="preserve">RPY-0007582</t>
  </si>
  <si>
    <t xml:space="preserve">RPY-0007583</t>
  </si>
  <si>
    <t xml:space="preserve">RPY-0007584</t>
  </si>
  <si>
    <t xml:space="preserve">RPY-0007585</t>
  </si>
  <si>
    <t xml:space="preserve">RPY-0007586</t>
  </si>
  <si>
    <t xml:space="preserve">RPY-0007587</t>
  </si>
  <si>
    <t xml:space="preserve">RPY-0007588</t>
  </si>
  <si>
    <t xml:space="preserve">RPY-0007589</t>
  </si>
  <si>
    <t xml:space="preserve">RPY-0007590</t>
  </si>
  <si>
    <t xml:space="preserve">RPY-0007591</t>
  </si>
  <si>
    <t xml:space="preserve">RPY-0007592</t>
  </si>
  <si>
    <t xml:space="preserve">RPY-0007593</t>
  </si>
  <si>
    <t xml:space="preserve">RPY-0007594</t>
  </si>
  <si>
    <t xml:space="preserve">RPY-0007595</t>
  </si>
  <si>
    <t xml:space="preserve">RPY-0007596</t>
  </si>
  <si>
    <t xml:space="preserve">RPY-0007597</t>
  </si>
  <si>
    <t xml:space="preserve">RPY-0007598</t>
  </si>
  <si>
    <t xml:space="preserve">RPY-0007599</t>
  </si>
  <si>
    <t xml:space="preserve">RPY-0007600</t>
  </si>
  <si>
    <t xml:space="preserve">RPY-0007601</t>
  </si>
  <si>
    <t xml:space="preserve">RPY-0007602</t>
  </si>
  <si>
    <t xml:space="preserve">RPY-0007603</t>
  </si>
  <si>
    <t xml:space="preserve">RPY-0007604</t>
  </si>
  <si>
    <t xml:space="preserve">RPY-0007605</t>
  </si>
  <si>
    <t xml:space="preserve">RPY-0007606</t>
  </si>
  <si>
    <t xml:space="preserve">RPY-0007607</t>
  </si>
  <si>
    <t xml:space="preserve">RPY-0007608</t>
  </si>
  <si>
    <t xml:space="preserve">RPY-0007609</t>
  </si>
  <si>
    <t xml:space="preserve">RPY-0007610</t>
  </si>
  <si>
    <t xml:space="preserve">RPY-0007611</t>
  </si>
  <si>
    <t xml:space="preserve">RPY-0007612</t>
  </si>
  <si>
    <t xml:space="preserve">RPY-0007613</t>
  </si>
  <si>
    <t xml:space="preserve">RPY-0007614</t>
  </si>
  <si>
    <t xml:space="preserve">RPY-0007615</t>
  </si>
  <si>
    <t xml:space="preserve">RPY-0007616</t>
  </si>
  <si>
    <t xml:space="preserve">RPY-0007617</t>
  </si>
  <si>
    <t xml:space="preserve">RPY-0007618</t>
  </si>
  <si>
    <t xml:space="preserve">RPY-0007619</t>
  </si>
  <si>
    <t xml:space="preserve">RPY-0007620</t>
  </si>
  <si>
    <t xml:space="preserve">RPY-0007621</t>
  </si>
  <si>
    <t xml:space="preserve">RPY-0007622</t>
  </si>
  <si>
    <t xml:space="preserve">RPY-0007623</t>
  </si>
  <si>
    <t xml:space="preserve">RPY-0007624</t>
  </si>
  <si>
    <t xml:space="preserve">RPY-0007625</t>
  </si>
  <si>
    <t xml:space="preserve">RPY-0007626</t>
  </si>
  <si>
    <t xml:space="preserve">RPY-0007627</t>
  </si>
  <si>
    <t xml:space="preserve">RPY-0007628</t>
  </si>
  <si>
    <t xml:space="preserve">RPY-0007629</t>
  </si>
  <si>
    <t xml:space="preserve">RPY-0007630</t>
  </si>
  <si>
    <t xml:space="preserve">RPY-0007631</t>
  </si>
  <si>
    <t xml:space="preserve">RPY-0007632</t>
  </si>
  <si>
    <t xml:space="preserve">RPY-0007633</t>
  </si>
  <si>
    <t xml:space="preserve">RPY-0007634</t>
  </si>
  <si>
    <t xml:space="preserve">RPY-0007635</t>
  </si>
  <si>
    <t xml:space="preserve">RPY-0007636</t>
  </si>
  <si>
    <t xml:space="preserve">RPY-0007637</t>
  </si>
  <si>
    <t xml:space="preserve">RPY-0007638</t>
  </si>
  <si>
    <t xml:space="preserve">RPY-0007639</t>
  </si>
  <si>
    <t xml:space="preserve">RPY-0007640</t>
  </si>
  <si>
    <t xml:space="preserve">RPY-0007641</t>
  </si>
  <si>
    <t xml:space="preserve">RPY-0007642</t>
  </si>
  <si>
    <t xml:space="preserve">RPY-0007643</t>
  </si>
  <si>
    <t xml:space="preserve">RPY-0007644</t>
  </si>
  <si>
    <t xml:space="preserve">RPY-0007645</t>
  </si>
  <si>
    <t xml:space="preserve">RPY-0007646</t>
  </si>
  <si>
    <t xml:space="preserve">RPY-0007647</t>
  </si>
  <si>
    <t xml:space="preserve">RPY-0007648</t>
  </si>
  <si>
    <t xml:space="preserve">RPY-0007649</t>
  </si>
  <si>
    <t xml:space="preserve">RPY-0007650</t>
  </si>
  <si>
    <t xml:space="preserve">RPY-0007651</t>
  </si>
  <si>
    <t xml:space="preserve">RPY-0007652</t>
  </si>
  <si>
    <t xml:space="preserve">RPY-0007653</t>
  </si>
  <si>
    <t xml:space="preserve">RPY-0007654</t>
  </si>
  <si>
    <t xml:space="preserve">RPY-0007655</t>
  </si>
  <si>
    <t xml:space="preserve">RPY-0007656</t>
  </si>
  <si>
    <t xml:space="preserve">RPY-0007657</t>
  </si>
  <si>
    <t xml:space="preserve">RPY-0007658</t>
  </si>
  <si>
    <t xml:space="preserve">RPY-0007659</t>
  </si>
  <si>
    <t xml:space="preserve">RPY-0007660</t>
  </si>
  <si>
    <t xml:space="preserve">RPY-0007661</t>
  </si>
  <si>
    <t xml:space="preserve">RPY-0007662</t>
  </si>
  <si>
    <t xml:space="preserve">RPY-0007663</t>
  </si>
  <si>
    <t xml:space="preserve">RPY-0007664</t>
  </si>
  <si>
    <t xml:space="preserve">RPY-0007665</t>
  </si>
  <si>
    <t xml:space="preserve">RPY-0007666</t>
  </si>
  <si>
    <t xml:space="preserve">RPY-0007667</t>
  </si>
  <si>
    <t xml:space="preserve">RPY-0007668</t>
  </si>
  <si>
    <t xml:space="preserve">RPY-0007669</t>
  </si>
  <si>
    <t xml:space="preserve">RPY-0007670</t>
  </si>
  <si>
    <t xml:space="preserve">RPY-0007671</t>
  </si>
  <si>
    <t xml:space="preserve">RPY-0007672</t>
  </si>
  <si>
    <t xml:space="preserve">RPY-0007673</t>
  </si>
  <si>
    <t xml:space="preserve">RPY-0007674</t>
  </si>
  <si>
    <t xml:space="preserve">RPY-0007675</t>
  </si>
  <si>
    <t xml:space="preserve">RPY-0007676</t>
  </si>
  <si>
    <t xml:space="preserve">RPY-0007677</t>
  </si>
  <si>
    <t xml:space="preserve">RPY-0007678</t>
  </si>
  <si>
    <t xml:space="preserve">RPY-0007679</t>
  </si>
  <si>
    <t xml:space="preserve">RPY-0007680</t>
  </si>
  <si>
    <t xml:space="preserve">RPY-0007681</t>
  </si>
  <si>
    <t xml:space="preserve">RPY-0007682</t>
  </si>
  <si>
    <t xml:space="preserve">RPY-0007683</t>
  </si>
  <si>
    <t xml:space="preserve">RPY-0007684</t>
  </si>
  <si>
    <t xml:space="preserve">RPY-0007685</t>
  </si>
  <si>
    <t xml:space="preserve">RPY-0007686</t>
  </si>
  <si>
    <t xml:space="preserve">RPY-0007687</t>
  </si>
  <si>
    <t xml:space="preserve">RPY-0007688</t>
  </si>
  <si>
    <t xml:space="preserve">RPY-0007689</t>
  </si>
  <si>
    <t xml:space="preserve">RPY-0007690</t>
  </si>
  <si>
    <t xml:space="preserve">RPY-0007691</t>
  </si>
  <si>
    <t xml:space="preserve">RPY-0007692</t>
  </si>
  <si>
    <t xml:space="preserve">RPY-0007693</t>
  </si>
  <si>
    <t xml:space="preserve">RPY-0007694</t>
  </si>
  <si>
    <t xml:space="preserve">RPY-0007695</t>
  </si>
  <si>
    <t xml:space="preserve">RPY-0007696</t>
  </si>
  <si>
    <t xml:space="preserve">RPY-0007697</t>
  </si>
  <si>
    <t xml:space="preserve">RPY-0007698</t>
  </si>
  <si>
    <t xml:space="preserve">RPY-0007699</t>
  </si>
  <si>
    <t xml:space="preserve">RPY-0007700</t>
  </si>
  <si>
    <t xml:space="preserve">RPY-0007701</t>
  </si>
  <si>
    <t xml:space="preserve">RPY-0007702</t>
  </si>
  <si>
    <t xml:space="preserve">RPY-0007703</t>
  </si>
  <si>
    <t xml:space="preserve">RPY-0007704</t>
  </si>
  <si>
    <t xml:space="preserve">RPY-0007705</t>
  </si>
  <si>
    <t xml:space="preserve">RPY-0007706</t>
  </si>
  <si>
    <t xml:space="preserve">RPY-0007707</t>
  </si>
  <si>
    <t xml:space="preserve">RPY-0007708</t>
  </si>
  <si>
    <t xml:space="preserve">RPY-0007709</t>
  </si>
  <si>
    <t xml:space="preserve">RPY-0007710</t>
  </si>
  <si>
    <t xml:space="preserve">RPY-0007711</t>
  </si>
  <si>
    <t xml:space="preserve">RPY-0007712</t>
  </si>
  <si>
    <t xml:space="preserve">RPY-0007713</t>
  </si>
  <si>
    <t xml:space="preserve">RPY-0007714</t>
  </si>
  <si>
    <t xml:space="preserve">RPY-0007715</t>
  </si>
  <si>
    <t xml:space="preserve">RPY-0007716</t>
  </si>
  <si>
    <t xml:space="preserve">RPY-0007717</t>
  </si>
  <si>
    <t xml:space="preserve">RPY-0007718</t>
  </si>
  <si>
    <t xml:space="preserve">RPY-0007719</t>
  </si>
  <si>
    <t xml:space="preserve">RPY-0007720</t>
  </si>
  <si>
    <t xml:space="preserve">RPY-0007721</t>
  </si>
  <si>
    <t xml:space="preserve">RPY-0007722</t>
  </si>
  <si>
    <t xml:space="preserve">RPY-0007723</t>
  </si>
  <si>
    <t xml:space="preserve">RPY-0007724</t>
  </si>
  <si>
    <t xml:space="preserve">RPY-0007725</t>
  </si>
  <si>
    <t xml:space="preserve">RPY-0007726</t>
  </si>
  <si>
    <t xml:space="preserve">RPY-0007727</t>
  </si>
  <si>
    <t xml:space="preserve">RPY-0007728</t>
  </si>
  <si>
    <t xml:space="preserve">RPY-0007729</t>
  </si>
  <si>
    <t xml:space="preserve">RPY-0007730</t>
  </si>
  <si>
    <t xml:space="preserve">RPY-0007731</t>
  </si>
  <si>
    <t xml:space="preserve">RPY-0007732</t>
  </si>
  <si>
    <t xml:space="preserve">RPY-0007733</t>
  </si>
  <si>
    <t xml:space="preserve">RPY-0007734</t>
  </si>
  <si>
    <t xml:space="preserve">RPY-0007735</t>
  </si>
  <si>
    <t xml:space="preserve">RPY-0007736</t>
  </si>
  <si>
    <t xml:space="preserve">RPY-0007737</t>
  </si>
  <si>
    <t xml:space="preserve">RPY-0007738</t>
  </si>
  <si>
    <t xml:space="preserve">RPY-0007739</t>
  </si>
  <si>
    <t xml:space="preserve">RPY-0007740</t>
  </si>
  <si>
    <t xml:space="preserve">RPY-0007741</t>
  </si>
  <si>
    <t xml:space="preserve">RPY-0007742</t>
  </si>
  <si>
    <t xml:space="preserve">RPY-0007743</t>
  </si>
  <si>
    <t xml:space="preserve">RPY-0007744</t>
  </si>
  <si>
    <t xml:space="preserve">RPY-0007745</t>
  </si>
  <si>
    <t xml:space="preserve">RPY-0007746</t>
  </si>
  <si>
    <t xml:space="preserve">RPY-0007747</t>
  </si>
  <si>
    <t xml:space="preserve">RPY-0007748</t>
  </si>
  <si>
    <t xml:space="preserve">RPY-0007749</t>
  </si>
  <si>
    <t xml:space="preserve">RPY-0007750</t>
  </si>
  <si>
    <t xml:space="preserve">RPY-0007751</t>
  </si>
  <si>
    <t xml:space="preserve">RPY-0007752</t>
  </si>
  <si>
    <t xml:space="preserve">RPY-0007753</t>
  </si>
  <si>
    <t xml:space="preserve">RPY-0007754</t>
  </si>
  <si>
    <t xml:space="preserve">RPY-0007755</t>
  </si>
  <si>
    <t xml:space="preserve">RPY-0007756</t>
  </si>
  <si>
    <t xml:space="preserve">RPY-0007757</t>
  </si>
  <si>
    <t xml:space="preserve">RPY-0007758</t>
  </si>
  <si>
    <t xml:space="preserve">RPY-0007759</t>
  </si>
  <si>
    <t xml:space="preserve">RPY-0007760</t>
  </si>
  <si>
    <t xml:space="preserve">RPY-0007761</t>
  </si>
  <si>
    <t xml:space="preserve">RPY-0007762</t>
  </si>
  <si>
    <t xml:space="preserve">RPY-0007763</t>
  </si>
  <si>
    <t xml:space="preserve">RPY-0007764</t>
  </si>
  <si>
    <t xml:space="preserve">RPY-0007765</t>
  </si>
  <si>
    <t xml:space="preserve">RPY-0007766</t>
  </si>
  <si>
    <t xml:space="preserve">RPY-0007767</t>
  </si>
  <si>
    <t xml:space="preserve">RPY-0007768</t>
  </si>
  <si>
    <t xml:space="preserve">RPY-0007769</t>
  </si>
  <si>
    <t xml:space="preserve">RPY-0007770</t>
  </si>
  <si>
    <t xml:space="preserve">RPY-0007771</t>
  </si>
  <si>
    <t xml:space="preserve">RPY-0007772</t>
  </si>
  <si>
    <t xml:space="preserve">RPY-0007773</t>
  </si>
  <si>
    <t xml:space="preserve">RPY-0007774</t>
  </si>
  <si>
    <t xml:space="preserve">RPY-0007775</t>
  </si>
  <si>
    <t xml:space="preserve">RPY-0007776</t>
  </si>
  <si>
    <t xml:space="preserve">RPY-0007777</t>
  </si>
  <si>
    <t xml:space="preserve">RPY-0007778</t>
  </si>
  <si>
    <t xml:space="preserve">RPY-0007779</t>
  </si>
  <si>
    <t xml:space="preserve">RPY-0007780</t>
  </si>
  <si>
    <t xml:space="preserve">RPY-0007781</t>
  </si>
  <si>
    <t xml:space="preserve">RPY-0007782</t>
  </si>
  <si>
    <t xml:space="preserve">RPY-0007783</t>
  </si>
  <si>
    <t xml:space="preserve">RPY-0007784</t>
  </si>
  <si>
    <t xml:space="preserve">RPY-0007785</t>
  </si>
  <si>
    <t xml:space="preserve">RPY-0007786</t>
  </si>
  <si>
    <t xml:space="preserve">RPY-0007787</t>
  </si>
  <si>
    <t xml:space="preserve">RPY-0007788</t>
  </si>
  <si>
    <t xml:space="preserve">RPY-0007789</t>
  </si>
  <si>
    <t xml:space="preserve">RPY-0007790</t>
  </si>
  <si>
    <t xml:space="preserve">RPY-0007791</t>
  </si>
  <si>
    <t xml:space="preserve">RPY-0007792</t>
  </si>
  <si>
    <t xml:space="preserve">RPY-0007793</t>
  </si>
  <si>
    <t xml:space="preserve">RPY-0007794</t>
  </si>
  <si>
    <t xml:space="preserve">RPY-0007795</t>
  </si>
  <si>
    <t xml:space="preserve">RPY-0007796</t>
  </si>
  <si>
    <t xml:space="preserve">RPY-0007797</t>
  </si>
  <si>
    <t xml:space="preserve">RPY-0007798</t>
  </si>
  <si>
    <t xml:space="preserve">RPY-0007799</t>
  </si>
  <si>
    <t xml:space="preserve">RPY-0007800</t>
  </si>
  <si>
    <t xml:space="preserve">RPY-0007801</t>
  </si>
  <si>
    <t xml:space="preserve">RPY-0007802</t>
  </si>
  <si>
    <t xml:space="preserve">RPY-0007803</t>
  </si>
  <si>
    <t xml:space="preserve">RPY-0007804</t>
  </si>
  <si>
    <t xml:space="preserve">RPY-0007805</t>
  </si>
  <si>
    <t xml:space="preserve">RPY-0007806</t>
  </si>
  <si>
    <t xml:space="preserve">RPY-0007807</t>
  </si>
  <si>
    <t xml:space="preserve">RPY-0007808</t>
  </si>
  <si>
    <t xml:space="preserve">RPY-0007809</t>
  </si>
  <si>
    <t xml:space="preserve">RPY-0007810</t>
  </si>
  <si>
    <t xml:space="preserve">RPY-0007811</t>
  </si>
  <si>
    <t xml:space="preserve">RPY-0007812</t>
  </si>
  <si>
    <t xml:space="preserve">RPY-0007813</t>
  </si>
  <si>
    <t xml:space="preserve">RPY-0007814</t>
  </si>
  <si>
    <t xml:space="preserve">RPY-0007815</t>
  </si>
  <si>
    <t xml:space="preserve">RPY-0007816</t>
  </si>
  <si>
    <t xml:space="preserve">RPY-0007817</t>
  </si>
  <si>
    <t xml:space="preserve">RPY-0007818</t>
  </si>
  <si>
    <t xml:space="preserve">RPY-0007819</t>
  </si>
  <si>
    <t xml:space="preserve">RPY-0007820</t>
  </si>
  <si>
    <t xml:space="preserve">RPY-0007821</t>
  </si>
  <si>
    <t xml:space="preserve">RPY-0007822</t>
  </si>
  <si>
    <t xml:space="preserve">RPY-0007823</t>
  </si>
  <si>
    <t xml:space="preserve">RPY-0007824</t>
  </si>
  <si>
    <t xml:space="preserve">RPY-0007825</t>
  </si>
  <si>
    <t xml:space="preserve">RPY-0007826</t>
  </si>
  <si>
    <t xml:space="preserve">RPY-0007827</t>
  </si>
  <si>
    <t xml:space="preserve">RPY-0007828</t>
  </si>
  <si>
    <t xml:space="preserve">RPY-0007829</t>
  </si>
  <si>
    <t xml:space="preserve">RPY-0007830</t>
  </si>
  <si>
    <t xml:space="preserve">RPY-0007831</t>
  </si>
  <si>
    <t xml:space="preserve">RPY-0007832</t>
  </si>
  <si>
    <t xml:space="preserve">RPY-0007833</t>
  </si>
  <si>
    <t xml:space="preserve">RPY-0007834</t>
  </si>
  <si>
    <t xml:space="preserve">RPY-0007835</t>
  </si>
  <si>
    <t xml:space="preserve">RPY-0007836</t>
  </si>
  <si>
    <t xml:space="preserve">RPY-0007837</t>
  </si>
  <si>
    <t xml:space="preserve">RPY-0007838</t>
  </si>
  <si>
    <t xml:space="preserve">RPY-0007839</t>
  </si>
  <si>
    <t xml:space="preserve">RPY-0007840</t>
  </si>
  <si>
    <t xml:space="preserve">RPY-0007841</t>
  </si>
  <si>
    <t xml:space="preserve">RPY-0007842</t>
  </si>
  <si>
    <t xml:space="preserve">RPY-0007843</t>
  </si>
  <si>
    <t xml:space="preserve">RPY-0007844</t>
  </si>
  <si>
    <t xml:space="preserve">RPY-0007845</t>
  </si>
  <si>
    <t xml:space="preserve">RPY-0007846</t>
  </si>
  <si>
    <t xml:space="preserve">RPY-0007847</t>
  </si>
  <si>
    <t xml:space="preserve">RPY-0007848</t>
  </si>
  <si>
    <t xml:space="preserve">RPY-0007849</t>
  </si>
  <si>
    <t xml:space="preserve">RPY-0007850</t>
  </si>
  <si>
    <t xml:space="preserve">RPY-0007851</t>
  </si>
  <si>
    <t xml:space="preserve">RPY-0007852</t>
  </si>
  <si>
    <t xml:space="preserve">RPY-0007853</t>
  </si>
  <si>
    <t xml:space="preserve">RPY-0007854</t>
  </si>
  <si>
    <t xml:space="preserve">RPY-0007855</t>
  </si>
  <si>
    <t xml:space="preserve">RPY-0007856</t>
  </si>
  <si>
    <t xml:space="preserve">RPY-0007857</t>
  </si>
  <si>
    <t xml:space="preserve">RPY-0007858</t>
  </si>
  <si>
    <t xml:space="preserve">RPY-0007859</t>
  </si>
  <si>
    <t xml:space="preserve">RPY-0007860</t>
  </si>
  <si>
    <t xml:space="preserve">RPY-0007861</t>
  </si>
  <si>
    <t xml:space="preserve">RPY-0007862</t>
  </si>
  <si>
    <t xml:space="preserve">RPY-0007863</t>
  </si>
  <si>
    <t xml:space="preserve">RPY-0007864</t>
  </si>
  <si>
    <t xml:space="preserve">RPY-0007865</t>
  </si>
  <si>
    <t xml:space="preserve">RPY-0007866</t>
  </si>
  <si>
    <t xml:space="preserve">RPY-0007867</t>
  </si>
  <si>
    <t xml:space="preserve">RPY-0007868</t>
  </si>
  <si>
    <t xml:space="preserve">RPY-0007869</t>
  </si>
  <si>
    <t xml:space="preserve">RPY-0007870</t>
  </si>
  <si>
    <t xml:space="preserve">RPY-0007871</t>
  </si>
  <si>
    <t xml:space="preserve">RPY-0007872</t>
  </si>
  <si>
    <t xml:space="preserve">RPY-0007873</t>
  </si>
  <si>
    <t xml:space="preserve">RPY-0007874</t>
  </si>
  <si>
    <t xml:space="preserve">RPY-0007875</t>
  </si>
  <si>
    <t xml:space="preserve">RPY-0007876</t>
  </si>
  <si>
    <t xml:space="preserve">RPY-0007877</t>
  </si>
  <si>
    <t xml:space="preserve">RPY-0007878</t>
  </si>
  <si>
    <t xml:space="preserve">RPY-0007879</t>
  </si>
  <si>
    <t xml:space="preserve">RPY-0007880</t>
  </si>
  <si>
    <t xml:space="preserve">RPY-0007881</t>
  </si>
  <si>
    <t xml:space="preserve">RPY-0007882</t>
  </si>
  <si>
    <t xml:space="preserve">RPY-0007883</t>
  </si>
  <si>
    <t xml:space="preserve">RPY-0007884</t>
  </si>
  <si>
    <t xml:space="preserve">RPY-0007885</t>
  </si>
  <si>
    <t xml:space="preserve">RPY-0007886</t>
  </si>
  <si>
    <t xml:space="preserve">RPY-0007887</t>
  </si>
  <si>
    <t xml:space="preserve">RPY-0007888</t>
  </si>
  <si>
    <t xml:space="preserve">RPY-0007889</t>
  </si>
  <si>
    <t xml:space="preserve">RPY-0007890</t>
  </si>
  <si>
    <t xml:space="preserve">RPY-0007891</t>
  </si>
  <si>
    <t xml:space="preserve">RPY-0007892</t>
  </si>
  <si>
    <t xml:space="preserve">RPY-0007893</t>
  </si>
  <si>
    <t xml:space="preserve">RPY-0007894</t>
  </si>
  <si>
    <t xml:space="preserve">RPY-0007895</t>
  </si>
  <si>
    <t xml:space="preserve">RPY-0007896</t>
  </si>
  <si>
    <t xml:space="preserve">RPY-0007897</t>
  </si>
  <si>
    <t xml:space="preserve">RPY-0007898</t>
  </si>
  <si>
    <t xml:space="preserve">RPY-0007899</t>
  </si>
  <si>
    <t xml:space="preserve">RPY-0007900</t>
  </si>
  <si>
    <t xml:space="preserve">RPY-0007901</t>
  </si>
  <si>
    <t xml:space="preserve">RPY-0007902</t>
  </si>
  <si>
    <t xml:space="preserve">RPY-0007903</t>
  </si>
  <si>
    <t xml:space="preserve">RPY-0007904</t>
  </si>
  <si>
    <t xml:space="preserve">RPY-0007905</t>
  </si>
  <si>
    <t xml:space="preserve">RPY-0007906</t>
  </si>
  <si>
    <t xml:space="preserve">RPY-0007907</t>
  </si>
  <si>
    <t xml:space="preserve">RPY-0007908</t>
  </si>
  <si>
    <t xml:space="preserve">RPY-0007909</t>
  </si>
  <si>
    <t xml:space="preserve">RPY-0007910</t>
  </si>
  <si>
    <t xml:space="preserve">RPY-0007911</t>
  </si>
  <si>
    <t xml:space="preserve">RPY-0007912</t>
  </si>
  <si>
    <t xml:space="preserve">RPY-0007913</t>
  </si>
  <si>
    <t xml:space="preserve">RPY-0007914</t>
  </si>
  <si>
    <t xml:space="preserve">RPY-0007915</t>
  </si>
  <si>
    <t xml:space="preserve">RPY-0007916</t>
  </si>
  <si>
    <t xml:space="preserve">RPY-0007917</t>
  </si>
  <si>
    <t xml:space="preserve">RPY-0007918</t>
  </si>
  <si>
    <t xml:space="preserve">RPY-0007919</t>
  </si>
  <si>
    <t xml:space="preserve">RPY-0007920</t>
  </si>
  <si>
    <t xml:space="preserve">RPY-0007921</t>
  </si>
  <si>
    <t xml:space="preserve">RPY-0007922</t>
  </si>
  <si>
    <t xml:space="preserve">RPY-0007923</t>
  </si>
  <si>
    <t xml:space="preserve">RPY-0007924</t>
  </si>
  <si>
    <t xml:space="preserve">RPY-0007925</t>
  </si>
  <si>
    <t xml:space="preserve">RPY-0007926</t>
  </si>
  <si>
    <t xml:space="preserve">RPY-0007927</t>
  </si>
  <si>
    <t xml:space="preserve">RPY-0007928</t>
  </si>
  <si>
    <t xml:space="preserve">RPY-0007929</t>
  </si>
  <si>
    <t xml:space="preserve">RPY-0007930</t>
  </si>
  <si>
    <t xml:space="preserve">RPY-0007931</t>
  </si>
  <si>
    <t xml:space="preserve">RPY-0007932</t>
  </si>
  <si>
    <t xml:space="preserve">RPY-0007933</t>
  </si>
  <si>
    <t xml:space="preserve">RPY-0007934</t>
  </si>
  <si>
    <t xml:space="preserve">RPY-0007935</t>
  </si>
  <si>
    <t xml:space="preserve">RPY-0007936</t>
  </si>
  <si>
    <t xml:space="preserve">RPY-0007937</t>
  </si>
  <si>
    <t xml:space="preserve">RPY-0007938</t>
  </si>
  <si>
    <t xml:space="preserve">RPY-0007939</t>
  </si>
  <si>
    <t xml:space="preserve">RPY-0007940</t>
  </si>
  <si>
    <t xml:space="preserve">RPY-0007941</t>
  </si>
  <si>
    <t xml:space="preserve">RPY-0007942</t>
  </si>
  <si>
    <t xml:space="preserve">RPY-0007943</t>
  </si>
  <si>
    <t xml:space="preserve">RPY-0007944</t>
  </si>
  <si>
    <t xml:space="preserve">RPY-0007945</t>
  </si>
  <si>
    <t xml:space="preserve">RPY-0007946</t>
  </si>
  <si>
    <t xml:space="preserve">RPY-0007947</t>
  </si>
  <si>
    <t xml:space="preserve">RPY-0007948</t>
  </si>
  <si>
    <t xml:space="preserve">RPY-0007949</t>
  </si>
  <si>
    <t xml:space="preserve">RPY-0007950</t>
  </si>
  <si>
    <t xml:space="preserve">RPY-0007951</t>
  </si>
  <si>
    <t xml:space="preserve">RPY-0007952</t>
  </si>
  <si>
    <t xml:space="preserve">RPY-0007953</t>
  </si>
  <si>
    <t xml:space="preserve">RPY-0007954</t>
  </si>
  <si>
    <t xml:space="preserve">RPY-0007955</t>
  </si>
  <si>
    <t xml:space="preserve">RPY-0007956</t>
  </si>
  <si>
    <t xml:space="preserve">RPY-0007957</t>
  </si>
  <si>
    <t xml:space="preserve">RPY-0007958</t>
  </si>
  <si>
    <t xml:space="preserve">RPY-0007959</t>
  </si>
  <si>
    <t xml:space="preserve">RPY-0007960</t>
  </si>
  <si>
    <t xml:space="preserve">RPY-0007961</t>
  </si>
  <si>
    <t xml:space="preserve">RPY-0007962</t>
  </si>
  <si>
    <t xml:space="preserve">RPY-0007963</t>
  </si>
  <si>
    <t xml:space="preserve">RPY-0007964</t>
  </si>
  <si>
    <t xml:space="preserve">RPY-0007965</t>
  </si>
  <si>
    <t xml:space="preserve">RPY-0007966</t>
  </si>
  <si>
    <t xml:space="preserve">RPY-0007967</t>
  </si>
  <si>
    <t xml:space="preserve">RPY-0007968</t>
  </si>
  <si>
    <t xml:space="preserve">RPY-0007969</t>
  </si>
  <si>
    <t xml:space="preserve">RPY-0007970</t>
  </si>
  <si>
    <t xml:space="preserve">RPY-0007971</t>
  </si>
  <si>
    <t xml:space="preserve">RPY-0007972</t>
  </si>
  <si>
    <t xml:space="preserve">RPY-0007973</t>
  </si>
  <si>
    <t xml:space="preserve">RPY-0007974</t>
  </si>
  <si>
    <t xml:space="preserve">RPY-0007975</t>
  </si>
  <si>
    <t xml:space="preserve">RPY-0007976</t>
  </si>
  <si>
    <t xml:space="preserve">RPY-0007977</t>
  </si>
  <si>
    <t xml:space="preserve">RPY-0007978</t>
  </si>
  <si>
    <t xml:space="preserve">RPY-0007979</t>
  </si>
  <si>
    <t xml:space="preserve">RPY-0007980</t>
  </si>
  <si>
    <t xml:space="preserve">RPY-0007981</t>
  </si>
  <si>
    <t xml:space="preserve">RPY-0007982</t>
  </si>
  <si>
    <t xml:space="preserve">RPY-0007983</t>
  </si>
  <si>
    <t xml:space="preserve">RPY-0007984</t>
  </si>
  <si>
    <t xml:space="preserve">RPY-0007985</t>
  </si>
  <si>
    <t xml:space="preserve">RPY-0007986</t>
  </si>
  <si>
    <t xml:space="preserve">RPY-0007987</t>
  </si>
  <si>
    <t xml:space="preserve">RPY-0007988</t>
  </si>
  <si>
    <t xml:space="preserve">RPY-0007989</t>
  </si>
  <si>
    <t xml:space="preserve">RPY-0007990</t>
  </si>
  <si>
    <t xml:space="preserve">RPY-0007991</t>
  </si>
  <si>
    <t xml:space="preserve">RPY-0007992</t>
  </si>
  <si>
    <t xml:space="preserve">RPY-0007993</t>
  </si>
  <si>
    <t xml:space="preserve">RPY-0007994</t>
  </si>
  <si>
    <t xml:space="preserve">RPY-0007995</t>
  </si>
  <si>
    <t xml:space="preserve">RPY-0007996</t>
  </si>
  <si>
    <t xml:space="preserve">RPY-0007997</t>
  </si>
  <si>
    <t xml:space="preserve">RPY-0007998</t>
  </si>
  <si>
    <t xml:space="preserve">RPY-0007999</t>
  </si>
  <si>
    <t xml:space="preserve">RPY-0008000</t>
  </si>
  <si>
    <t xml:space="preserve">RPY-0008001</t>
  </si>
  <si>
    <t xml:space="preserve">RPY-0008002</t>
  </si>
  <si>
    <t xml:space="preserve">RPY-0008003</t>
  </si>
  <si>
    <t xml:space="preserve">RPY-0008004</t>
  </si>
  <si>
    <t xml:space="preserve">RPY-0008005</t>
  </si>
  <si>
    <t xml:space="preserve">RPY-0008006</t>
  </si>
  <si>
    <t xml:space="preserve">RPY-0008007</t>
  </si>
  <si>
    <t xml:space="preserve">RPY-0008008</t>
  </si>
  <si>
    <t xml:space="preserve">RPY-0008009</t>
  </si>
  <si>
    <t xml:space="preserve">RPY-0008010</t>
  </si>
  <si>
    <t xml:space="preserve">RPY-0008011</t>
  </si>
  <si>
    <t xml:space="preserve">RPY-0008012</t>
  </si>
  <si>
    <t xml:space="preserve">RPY-0008013</t>
  </si>
  <si>
    <t xml:space="preserve">RPY-0008014</t>
  </si>
  <si>
    <t xml:space="preserve">RPY-0008015</t>
  </si>
  <si>
    <t xml:space="preserve">RPY-0008016</t>
  </si>
  <si>
    <t xml:space="preserve">RPY-0008017</t>
  </si>
  <si>
    <t xml:space="preserve">RPY-0008018</t>
  </si>
  <si>
    <t xml:space="preserve">RPY-0008019</t>
  </si>
  <si>
    <t xml:space="preserve">RPY-0008020</t>
  </si>
  <si>
    <t xml:space="preserve">RPY-0008021</t>
  </si>
  <si>
    <t xml:space="preserve">RPY-0008022</t>
  </si>
  <si>
    <t xml:space="preserve">RPY-0008023</t>
  </si>
  <si>
    <t xml:space="preserve">RPY-0008024</t>
  </si>
  <si>
    <t xml:space="preserve">RPY-0008025</t>
  </si>
  <si>
    <t xml:space="preserve">RPY-0008026</t>
  </si>
  <si>
    <t xml:space="preserve">RPY-0008027</t>
  </si>
  <si>
    <t xml:space="preserve">RPY-0008028</t>
  </si>
  <si>
    <t xml:space="preserve">RPY-0008029</t>
  </si>
  <si>
    <t xml:space="preserve">RPY-0008030</t>
  </si>
  <si>
    <t xml:space="preserve">RPY-0008031</t>
  </si>
  <si>
    <t xml:space="preserve">RPY-0008032</t>
  </si>
  <si>
    <t xml:space="preserve">RPY-0008033</t>
  </si>
  <si>
    <t xml:space="preserve">RPY-0008034</t>
  </si>
  <si>
    <t xml:space="preserve">RPY-0008035</t>
  </si>
  <si>
    <t xml:space="preserve">RPY-0008036</t>
  </si>
  <si>
    <t xml:space="preserve">RPY-0008037</t>
  </si>
  <si>
    <t xml:space="preserve">RPY-0008038</t>
  </si>
  <si>
    <t xml:space="preserve">RPY-0008039</t>
  </si>
  <si>
    <t xml:space="preserve">RPY-0008040</t>
  </si>
  <si>
    <t xml:space="preserve">RPY-0008041</t>
  </si>
  <si>
    <t xml:space="preserve">RPY-0008042</t>
  </si>
  <si>
    <t xml:space="preserve">RPY-0008043</t>
  </si>
  <si>
    <t xml:space="preserve">RPY-0008044</t>
  </si>
  <si>
    <t xml:space="preserve">RPY-0008045</t>
  </si>
  <si>
    <t xml:space="preserve">RPY-0008046</t>
  </si>
  <si>
    <t xml:space="preserve">RPY-0008047</t>
  </si>
  <si>
    <t xml:space="preserve">RPY-0008048</t>
  </si>
  <si>
    <t xml:space="preserve">RPY-0008049</t>
  </si>
  <si>
    <t xml:space="preserve">RPY-0008050</t>
  </si>
  <si>
    <t xml:space="preserve">RPY-0008051</t>
  </si>
  <si>
    <t xml:space="preserve">RPY-0008052</t>
  </si>
  <si>
    <t xml:space="preserve">RPY-0008053</t>
  </si>
  <si>
    <t xml:space="preserve">RPY-0008054</t>
  </si>
  <si>
    <t xml:space="preserve">RPY-0008055</t>
  </si>
  <si>
    <t xml:space="preserve">RPY-0008056</t>
  </si>
  <si>
    <t xml:space="preserve">RPY-0008057</t>
  </si>
  <si>
    <t xml:space="preserve">RPY-0008058</t>
  </si>
  <si>
    <t xml:space="preserve">RPY-0008059</t>
  </si>
  <si>
    <t xml:space="preserve">RPY-0008060</t>
  </si>
  <si>
    <t xml:space="preserve">RPY-0008061</t>
  </si>
  <si>
    <t xml:space="preserve">RPY-0008062</t>
  </si>
  <si>
    <t xml:space="preserve">RPY-0008063</t>
  </si>
  <si>
    <t xml:space="preserve">RPY-0008064</t>
  </si>
  <si>
    <t xml:space="preserve">RPY-0008065</t>
  </si>
  <si>
    <t xml:space="preserve">RPY-0008066</t>
  </si>
  <si>
    <t xml:space="preserve">RPY-0008067</t>
  </si>
  <si>
    <t xml:space="preserve">RPY-0008068</t>
  </si>
  <si>
    <t xml:space="preserve">RPY-0008069</t>
  </si>
  <si>
    <t xml:space="preserve">RPY-0008070</t>
  </si>
  <si>
    <t xml:space="preserve">RPY-0008071</t>
  </si>
  <si>
    <t xml:space="preserve">RPY-0008072</t>
  </si>
  <si>
    <t xml:space="preserve">RPY-0008073</t>
  </si>
  <si>
    <t xml:space="preserve">RPY-0008074</t>
  </si>
  <si>
    <t xml:space="preserve">RPY-0008075</t>
  </si>
  <si>
    <t xml:space="preserve">RPY-0008076</t>
  </si>
  <si>
    <t xml:space="preserve">RPY-0008077</t>
  </si>
  <si>
    <t xml:space="preserve">RPY-0008078</t>
  </si>
  <si>
    <t xml:space="preserve">RPY-0008079</t>
  </si>
  <si>
    <t xml:space="preserve">RPY-0008080</t>
  </si>
  <si>
    <t xml:space="preserve">RPY-0008081</t>
  </si>
  <si>
    <t xml:space="preserve">RPY-0008082</t>
  </si>
  <si>
    <t xml:space="preserve">RPY-0008083</t>
  </si>
  <si>
    <t xml:space="preserve">RPY-0008084</t>
  </si>
  <si>
    <t xml:space="preserve">RPY-0008085</t>
  </si>
  <si>
    <t xml:space="preserve">RPY-0008086</t>
  </si>
  <si>
    <t xml:space="preserve">RPY-0008087</t>
  </si>
  <si>
    <t xml:space="preserve">RPY-0008088</t>
  </si>
  <si>
    <t xml:space="preserve">RPY-0008089</t>
  </si>
  <si>
    <t xml:space="preserve">RPY-0008090</t>
  </si>
  <si>
    <t xml:space="preserve">RPY-0008091</t>
  </si>
  <si>
    <t xml:space="preserve">RPY-0008092</t>
  </si>
  <si>
    <t xml:space="preserve">RPY-0008093</t>
  </si>
  <si>
    <t xml:space="preserve">RPY-0008094</t>
  </si>
  <si>
    <t xml:space="preserve">RPY-0008095</t>
  </si>
  <si>
    <t xml:space="preserve">RPY-0008096</t>
  </si>
  <si>
    <t xml:space="preserve">RPY-0008097</t>
  </si>
  <si>
    <t xml:space="preserve">RPY-0008098</t>
  </si>
  <si>
    <t xml:space="preserve">RPY-0008099</t>
  </si>
  <si>
    <t xml:space="preserve">RPY-0008100</t>
  </si>
  <si>
    <t xml:space="preserve">RPY-0008101</t>
  </si>
  <si>
    <t xml:space="preserve">RPY-0008102</t>
  </si>
  <si>
    <t xml:space="preserve">RPY-0008103</t>
  </si>
  <si>
    <t xml:space="preserve">RPY-0008104</t>
  </si>
  <si>
    <t xml:space="preserve">RPY-0008105</t>
  </si>
  <si>
    <t xml:space="preserve">RPY-0008106</t>
  </si>
  <si>
    <t xml:space="preserve">RPY-0008107</t>
  </si>
  <si>
    <t xml:space="preserve">RPY-0008108</t>
  </si>
  <si>
    <t xml:space="preserve">RPY-0008109</t>
  </si>
  <si>
    <t xml:space="preserve">RPY-0008110</t>
  </si>
  <si>
    <t xml:space="preserve">RPY-0008111</t>
  </si>
  <si>
    <t xml:space="preserve">RPY-0008112</t>
  </si>
  <si>
    <t xml:space="preserve">RPY-0008113</t>
  </si>
  <si>
    <t xml:space="preserve">RPY-0008114</t>
  </si>
  <si>
    <t xml:space="preserve">RPY-0008115</t>
  </si>
  <si>
    <t xml:space="preserve">RPY-0008116</t>
  </si>
  <si>
    <t xml:space="preserve">RPY-0008117</t>
  </si>
  <si>
    <t xml:space="preserve">RPY-0008118</t>
  </si>
  <si>
    <t xml:space="preserve">RPY-0008119</t>
  </si>
  <si>
    <t xml:space="preserve">RPY-0008120</t>
  </si>
  <si>
    <t xml:space="preserve">RPY-0008121</t>
  </si>
  <si>
    <t xml:space="preserve">RPY-0008122</t>
  </si>
  <si>
    <t xml:space="preserve">RPY-0008123</t>
  </si>
  <si>
    <t xml:space="preserve">RPY-0008124</t>
  </si>
  <si>
    <t xml:space="preserve">RPY-0008125</t>
  </si>
  <si>
    <t xml:space="preserve">RPY-0008126</t>
  </si>
  <si>
    <t xml:space="preserve">RPY-0008127</t>
  </si>
  <si>
    <t xml:space="preserve">RPY-0008128</t>
  </si>
  <si>
    <t xml:space="preserve">RPY-0008129</t>
  </si>
  <si>
    <t xml:space="preserve">RPY-0008130</t>
  </si>
  <si>
    <t xml:space="preserve">RPY-0008131</t>
  </si>
  <si>
    <t xml:space="preserve">RPY-0008132</t>
  </si>
  <si>
    <t xml:space="preserve">RPY-0008133</t>
  </si>
  <si>
    <t xml:space="preserve">RPY-0008134</t>
  </si>
  <si>
    <t xml:space="preserve">RPY-0008135</t>
  </si>
  <si>
    <t xml:space="preserve">RPY-0008136</t>
  </si>
  <si>
    <t xml:space="preserve">RPY-0008137</t>
  </si>
  <si>
    <t xml:space="preserve">RPY-0008138</t>
  </si>
  <si>
    <t xml:space="preserve">RPY-0008139</t>
  </si>
  <si>
    <t xml:space="preserve">RPY-0008140</t>
  </si>
  <si>
    <t xml:space="preserve">RPY-0008141</t>
  </si>
  <si>
    <t xml:space="preserve">RPY-0008142</t>
  </si>
  <si>
    <t xml:space="preserve">RPY-0008143</t>
  </si>
  <si>
    <t xml:space="preserve">RPY-0008144</t>
  </si>
  <si>
    <t xml:space="preserve">RPY-0008145</t>
  </si>
  <si>
    <t xml:space="preserve">RPY-0008146</t>
  </si>
  <si>
    <t xml:space="preserve">RPY-0008147</t>
  </si>
  <si>
    <t xml:space="preserve">RPY-0008148</t>
  </si>
  <si>
    <t xml:space="preserve">RPY-0008149</t>
  </si>
  <si>
    <t xml:space="preserve">RPY-0008150</t>
  </si>
  <si>
    <t xml:space="preserve">RPY-0008151</t>
  </si>
  <si>
    <t xml:space="preserve">RPY-0008152</t>
  </si>
  <si>
    <t xml:space="preserve">RPY-0008153</t>
  </si>
  <si>
    <t xml:space="preserve">RPY-0008154</t>
  </si>
  <si>
    <t xml:space="preserve">RPY-0008155</t>
  </si>
  <si>
    <t xml:space="preserve">RPY-0008156</t>
  </si>
  <si>
    <t xml:space="preserve">RPY-0008157</t>
  </si>
  <si>
    <t xml:space="preserve">RPY-0008158</t>
  </si>
  <si>
    <t xml:space="preserve">RPY-0008159</t>
  </si>
  <si>
    <t xml:space="preserve">RPY-0008160</t>
  </si>
  <si>
    <t xml:space="preserve">RPY-0008161</t>
  </si>
  <si>
    <t xml:space="preserve">RPY-0008162</t>
  </si>
  <si>
    <t xml:space="preserve">RPY-0008163</t>
  </si>
  <si>
    <t xml:space="preserve">RPY-0008164</t>
  </si>
  <si>
    <t xml:space="preserve">RPY-0008165</t>
  </si>
  <si>
    <t xml:space="preserve">RPY-0008166</t>
  </si>
  <si>
    <t xml:space="preserve">RPY-0008167</t>
  </si>
  <si>
    <t xml:space="preserve">RPY-0008168</t>
  </si>
  <si>
    <t xml:space="preserve">RPY-0008169</t>
  </si>
  <si>
    <t xml:space="preserve">RPY-0008170</t>
  </si>
  <si>
    <t xml:space="preserve">RPY-0008171</t>
  </si>
  <si>
    <t xml:space="preserve">RPY-0008172</t>
  </si>
  <si>
    <t xml:space="preserve">RPY-0008173</t>
  </si>
  <si>
    <t xml:space="preserve">RPY-0008174</t>
  </si>
  <si>
    <t xml:space="preserve">RPY-0008175</t>
  </si>
  <si>
    <t xml:space="preserve">RPY-0008176</t>
  </si>
  <si>
    <t xml:space="preserve">RPY-0008177</t>
  </si>
  <si>
    <t xml:space="preserve">RPY-0008178</t>
  </si>
  <si>
    <t xml:space="preserve">RPY-0008179</t>
  </si>
  <si>
    <t xml:space="preserve">RPY-0008180</t>
  </si>
  <si>
    <t xml:space="preserve">RPY-0008181</t>
  </si>
  <si>
    <t xml:space="preserve">RPY-0008182</t>
  </si>
  <si>
    <t xml:space="preserve">RPY-0008183</t>
  </si>
  <si>
    <t xml:space="preserve">RPY-0008184</t>
  </si>
  <si>
    <t xml:space="preserve">RPY-0008185</t>
  </si>
  <si>
    <t xml:space="preserve">RPY-0008186</t>
  </si>
  <si>
    <t xml:space="preserve">RPY-0008187</t>
  </si>
  <si>
    <t xml:space="preserve">RPY-0008188</t>
  </si>
  <si>
    <t xml:space="preserve">RPY-0008189</t>
  </si>
  <si>
    <t xml:space="preserve">RPY-0008190</t>
  </si>
  <si>
    <t xml:space="preserve">RPY-0008191</t>
  </si>
  <si>
    <t xml:space="preserve">RPY-0008192</t>
  </si>
  <si>
    <t xml:space="preserve">RPY-0008193</t>
  </si>
  <si>
    <t xml:space="preserve">RPY-0008194</t>
  </si>
  <si>
    <t xml:space="preserve">RPY-0008195</t>
  </si>
  <si>
    <t xml:space="preserve">RPY-0008196</t>
  </si>
  <si>
    <t xml:space="preserve">RPY-0008197</t>
  </si>
  <si>
    <t xml:space="preserve">RPY-0008198</t>
  </si>
  <si>
    <t xml:space="preserve">RPY-0008199</t>
  </si>
  <si>
    <t xml:space="preserve">RPY-0008200</t>
  </si>
  <si>
    <t xml:space="preserve">RPY-0008201</t>
  </si>
  <si>
    <t xml:space="preserve">RPY-0008202</t>
  </si>
  <si>
    <t xml:space="preserve">RPY-0008203</t>
  </si>
  <si>
    <t xml:space="preserve">RPY-0008204</t>
  </si>
  <si>
    <t xml:space="preserve">RPY-0008205</t>
  </si>
  <si>
    <t xml:space="preserve">RPY-0008206</t>
  </si>
  <si>
    <t xml:space="preserve">RPY-0008207</t>
  </si>
  <si>
    <t xml:space="preserve">RPY-0008208</t>
  </si>
  <si>
    <t xml:space="preserve">RPY-0008209</t>
  </si>
  <si>
    <t xml:space="preserve">RPY-0008210</t>
  </si>
  <si>
    <t xml:space="preserve">RPY-0008211</t>
  </si>
  <si>
    <t xml:space="preserve">RPY-0008212</t>
  </si>
  <si>
    <t xml:space="preserve">RPY-0008213</t>
  </si>
  <si>
    <t xml:space="preserve">RPY-0008214</t>
  </si>
  <si>
    <t xml:space="preserve">RPY-0008215</t>
  </si>
  <si>
    <t xml:space="preserve">RPY-0008216</t>
  </si>
  <si>
    <t xml:space="preserve">RPY-0008217</t>
  </si>
  <si>
    <t xml:space="preserve">RPY-0008218</t>
  </si>
  <si>
    <t xml:space="preserve">RPY-0008219</t>
  </si>
  <si>
    <t xml:space="preserve">RPY-0008220</t>
  </si>
  <si>
    <t xml:space="preserve">RPY-0008221</t>
  </si>
  <si>
    <t xml:space="preserve">RPY-0008222</t>
  </si>
  <si>
    <t xml:space="preserve">RPY-0008223</t>
  </si>
  <si>
    <t xml:space="preserve">RPY-0008224</t>
  </si>
  <si>
    <t xml:space="preserve">RPY-0008225</t>
  </si>
  <si>
    <t xml:space="preserve">RPY-0008226</t>
  </si>
  <si>
    <t xml:space="preserve">RPY-0008227</t>
  </si>
  <si>
    <t xml:space="preserve">RPY-0008228</t>
  </si>
  <si>
    <t xml:space="preserve">RPY-0008229</t>
  </si>
  <si>
    <t xml:space="preserve">RPY-0008230</t>
  </si>
  <si>
    <t xml:space="preserve">RPY-0008231</t>
  </si>
  <si>
    <t xml:space="preserve">RPY-0008232</t>
  </si>
  <si>
    <t xml:space="preserve">RPY-0008233</t>
  </si>
  <si>
    <t xml:space="preserve">RPY-0008234</t>
  </si>
  <si>
    <t xml:space="preserve">RPY-0008235</t>
  </si>
  <si>
    <t xml:space="preserve">RPY-0008236</t>
  </si>
  <si>
    <t xml:space="preserve">RPY-0008237</t>
  </si>
  <si>
    <t xml:space="preserve">RPY-0008238</t>
  </si>
  <si>
    <t xml:space="preserve">RPY-0008239</t>
  </si>
  <si>
    <t xml:space="preserve">RPY-0008240</t>
  </si>
  <si>
    <t xml:space="preserve">RPY-0008241</t>
  </si>
  <si>
    <t xml:space="preserve">RPY-0008242</t>
  </si>
  <si>
    <t xml:space="preserve">RPY-0008243</t>
  </si>
  <si>
    <t xml:space="preserve">RPY-0008244</t>
  </si>
  <si>
    <t xml:space="preserve">RPY-0008245</t>
  </si>
  <si>
    <t xml:space="preserve">RPY-0008246</t>
  </si>
  <si>
    <t xml:space="preserve">RPY-0008247</t>
  </si>
  <si>
    <t xml:space="preserve">RPY-0008248</t>
  </si>
  <si>
    <t xml:space="preserve">RPY-0008249</t>
  </si>
  <si>
    <t xml:space="preserve">RPY-0008250</t>
  </si>
  <si>
    <t xml:space="preserve">RPY-0008251</t>
  </si>
  <si>
    <t xml:space="preserve">RPY-0008252</t>
  </si>
  <si>
    <t xml:space="preserve">RPY-0008253</t>
  </si>
  <si>
    <t xml:space="preserve">RPY-0008254</t>
  </si>
  <si>
    <t xml:space="preserve">RPY-0008255</t>
  </si>
  <si>
    <t xml:space="preserve">RPY-0008256</t>
  </si>
  <si>
    <t xml:space="preserve">RPY-0008257</t>
  </si>
  <si>
    <t xml:space="preserve">RPY-0008258</t>
  </si>
  <si>
    <t xml:space="preserve">RPY-0008259</t>
  </si>
  <si>
    <t xml:space="preserve">RPY-0008260</t>
  </si>
  <si>
    <t xml:space="preserve">RPY-0008261</t>
  </si>
  <si>
    <t xml:space="preserve">RPY-0008262</t>
  </si>
  <si>
    <t xml:space="preserve">RPY-0008263</t>
  </si>
  <si>
    <t xml:space="preserve">RPY-0008264</t>
  </si>
  <si>
    <t xml:space="preserve">RPY-0008265</t>
  </si>
  <si>
    <t xml:space="preserve">RPY-0008266</t>
  </si>
  <si>
    <t xml:space="preserve">RPY-0008267</t>
  </si>
  <si>
    <t xml:space="preserve">RPY-0008268</t>
  </si>
  <si>
    <t xml:space="preserve">RPY-0008269</t>
  </si>
  <si>
    <t xml:space="preserve">RPY-0008270</t>
  </si>
  <si>
    <t xml:space="preserve">RPY-0008271</t>
  </si>
  <si>
    <t xml:space="preserve">RPY-0008272</t>
  </si>
  <si>
    <t xml:space="preserve">RPY-0008273</t>
  </si>
  <si>
    <t xml:space="preserve">RPY-0008274</t>
  </si>
  <si>
    <t xml:space="preserve">RPY-0008275</t>
  </si>
  <si>
    <t xml:space="preserve">RPY-0008276</t>
  </si>
  <si>
    <t xml:space="preserve">RPY-0008277</t>
  </si>
  <si>
    <t xml:space="preserve">RPY-0008278</t>
  </si>
  <si>
    <t xml:space="preserve">RPY-0008279</t>
  </si>
  <si>
    <t xml:space="preserve">RPY-0008280</t>
  </si>
  <si>
    <t xml:space="preserve">RPY-0008281</t>
  </si>
  <si>
    <t xml:space="preserve">RPY-0008282</t>
  </si>
  <si>
    <t xml:space="preserve">RPY-0008283</t>
  </si>
  <si>
    <t xml:space="preserve">RPY-0008284</t>
  </si>
  <si>
    <t xml:space="preserve">RPY-0008285</t>
  </si>
  <si>
    <t xml:space="preserve">RPY-0008286</t>
  </si>
  <si>
    <t xml:space="preserve">RPY-0008287</t>
  </si>
  <si>
    <t xml:space="preserve">RPY-0008288</t>
  </si>
  <si>
    <t xml:space="preserve">RPY-0008289</t>
  </si>
  <si>
    <t xml:space="preserve">RPY-0008290</t>
  </si>
  <si>
    <t xml:space="preserve">RPY-0008291</t>
  </si>
  <si>
    <t xml:space="preserve">RPY-0008292</t>
  </si>
  <si>
    <t xml:space="preserve">RPY-0008293</t>
  </si>
  <si>
    <t xml:space="preserve">RPY-0008294</t>
  </si>
  <si>
    <t xml:space="preserve">RPY-0008295</t>
  </si>
  <si>
    <t xml:space="preserve">RPY-0008296</t>
  </si>
  <si>
    <t xml:space="preserve">RPY-0008297</t>
  </si>
  <si>
    <t xml:space="preserve">RPY-0008298</t>
  </si>
  <si>
    <t xml:space="preserve">RPY-0008299</t>
  </si>
  <si>
    <t xml:space="preserve">RPY-0008300</t>
  </si>
  <si>
    <t xml:space="preserve">RPY-0008301</t>
  </si>
  <si>
    <t xml:space="preserve">RPY-0008302</t>
  </si>
  <si>
    <t xml:space="preserve">RPY-0008303</t>
  </si>
  <si>
    <t xml:space="preserve">RPY-0008304</t>
  </si>
  <si>
    <t xml:space="preserve">RPY-0008305</t>
  </si>
  <si>
    <t xml:space="preserve">RPY-0008306</t>
  </si>
  <si>
    <t xml:space="preserve">RPY-0008307</t>
  </si>
  <si>
    <t xml:space="preserve">RPY-0008308</t>
  </si>
  <si>
    <t xml:space="preserve">RPY-0008309</t>
  </si>
  <si>
    <t xml:space="preserve">RPY-0008310</t>
  </si>
  <si>
    <t xml:space="preserve">RPY-0008311</t>
  </si>
  <si>
    <t xml:space="preserve">RPY-0008312</t>
  </si>
  <si>
    <t xml:space="preserve">RPY-0008313</t>
  </si>
  <si>
    <t xml:space="preserve">RPY-0008314</t>
  </si>
  <si>
    <t xml:space="preserve">RPY-0008315</t>
  </si>
  <si>
    <t xml:space="preserve">RPY-0008316</t>
  </si>
  <si>
    <t xml:space="preserve">RPY-0008317</t>
  </si>
  <si>
    <t xml:space="preserve">RPY-0008318</t>
  </si>
  <si>
    <t xml:space="preserve">RPY-0008319</t>
  </si>
  <si>
    <t xml:space="preserve">RPY-0008320</t>
  </si>
  <si>
    <t xml:space="preserve">RPY-0008321</t>
  </si>
  <si>
    <t xml:space="preserve">RPY-0008322</t>
  </si>
  <si>
    <t xml:space="preserve">RPY-0008323</t>
  </si>
  <si>
    <t xml:space="preserve">RPY-0008324</t>
  </si>
  <si>
    <t xml:space="preserve">RPY-0008325</t>
  </si>
  <si>
    <t xml:space="preserve">RPY-0008326</t>
  </si>
  <si>
    <t xml:space="preserve">RPY-0008327</t>
  </si>
  <si>
    <t xml:space="preserve">RPY-0008328</t>
  </si>
  <si>
    <t xml:space="preserve">RPY-0008329</t>
  </si>
  <si>
    <t xml:space="preserve">RPY-0008330</t>
  </si>
  <si>
    <t xml:space="preserve">RPY-0008331</t>
  </si>
  <si>
    <t xml:space="preserve">RPY-0008332</t>
  </si>
  <si>
    <t xml:space="preserve">RPY-0008333</t>
  </si>
  <si>
    <t xml:space="preserve">RPY-0008334</t>
  </si>
  <si>
    <t xml:space="preserve">RPY-0008335</t>
  </si>
  <si>
    <t xml:space="preserve">RPY-0008336</t>
  </si>
  <si>
    <t xml:space="preserve">RPY-0008337</t>
  </si>
  <si>
    <t xml:space="preserve">RPY-0008338</t>
  </si>
  <si>
    <t xml:space="preserve">RPY-0008339</t>
  </si>
  <si>
    <t xml:space="preserve">RPY-0008340</t>
  </si>
  <si>
    <t xml:space="preserve">RPY-0008341</t>
  </si>
  <si>
    <t xml:space="preserve">RPY-0008342</t>
  </si>
  <si>
    <t xml:space="preserve">RPY-0008343</t>
  </si>
  <si>
    <t xml:space="preserve">RPY-0008344</t>
  </si>
  <si>
    <t xml:space="preserve">RPY-0008345</t>
  </si>
  <si>
    <t xml:space="preserve">RPY-0008346</t>
  </si>
  <si>
    <t xml:space="preserve">RPY-0008347</t>
  </si>
  <si>
    <t xml:space="preserve">RPY-0008348</t>
  </si>
  <si>
    <t xml:space="preserve">RPY-0008349</t>
  </si>
  <si>
    <t xml:space="preserve">RPY-0008350</t>
  </si>
  <si>
    <t xml:space="preserve">RPY-0008351</t>
  </si>
  <si>
    <t xml:space="preserve">RPY-0008352</t>
  </si>
  <si>
    <t xml:space="preserve">RPY-0008353</t>
  </si>
  <si>
    <t xml:space="preserve">RPY-0008354</t>
  </si>
  <si>
    <t xml:space="preserve">RPY-0008355</t>
  </si>
  <si>
    <t xml:space="preserve">RPY-0008356</t>
  </si>
  <si>
    <t xml:space="preserve">RPY-0008357</t>
  </si>
  <si>
    <t xml:space="preserve">RPY-0008358</t>
  </si>
  <si>
    <t xml:space="preserve">RPY-0008359</t>
  </si>
  <si>
    <t xml:space="preserve">RPY-0008360</t>
  </si>
  <si>
    <t xml:space="preserve">RPY-0008361</t>
  </si>
  <si>
    <t xml:space="preserve">RPY-0008362</t>
  </si>
  <si>
    <t xml:space="preserve">RPY-0008363</t>
  </si>
  <si>
    <t xml:space="preserve">RPY-0008364</t>
  </si>
  <si>
    <t xml:space="preserve">RPY-0008365</t>
  </si>
  <si>
    <t xml:space="preserve">RPY-0008366</t>
  </si>
  <si>
    <t xml:space="preserve">RPY-0008367</t>
  </si>
  <si>
    <t xml:space="preserve">RPY-0008368</t>
  </si>
  <si>
    <t xml:space="preserve">RPY-0008369</t>
  </si>
  <si>
    <t xml:space="preserve">RPY-0008370</t>
  </si>
  <si>
    <t xml:space="preserve">RPY-0008371</t>
  </si>
  <si>
    <t xml:space="preserve">RPY-0008372</t>
  </si>
  <si>
    <t xml:space="preserve">RPY-0008373</t>
  </si>
  <si>
    <t xml:space="preserve">RPY-0008374</t>
  </si>
  <si>
    <t xml:space="preserve">RPY-0008375</t>
  </si>
  <si>
    <t xml:space="preserve">RPY-0008376</t>
  </si>
  <si>
    <t xml:space="preserve">RPY-0008377</t>
  </si>
  <si>
    <t xml:space="preserve">RPY-0008378</t>
  </si>
  <si>
    <t xml:space="preserve">RPY-0008379</t>
  </si>
  <si>
    <t xml:space="preserve">RPY-0008380</t>
  </si>
  <si>
    <t xml:space="preserve">RPY-0008381</t>
  </si>
  <si>
    <t xml:space="preserve">RPY-0008382</t>
  </si>
  <si>
    <t xml:space="preserve">RPY-0008383</t>
  </si>
  <si>
    <t xml:space="preserve">RPY-0008384</t>
  </si>
  <si>
    <t xml:space="preserve">RPY-0008385</t>
  </si>
  <si>
    <t xml:space="preserve">RPY-0008386</t>
  </si>
  <si>
    <t xml:space="preserve">RPY-0008387</t>
  </si>
  <si>
    <t xml:space="preserve">RPY-0008388</t>
  </si>
  <si>
    <t xml:space="preserve">RPY-0008389</t>
  </si>
  <si>
    <t xml:space="preserve">RPY-0008390</t>
  </si>
  <si>
    <t xml:space="preserve">RPY-0008391</t>
  </si>
  <si>
    <t xml:space="preserve">RPY-0008392</t>
  </si>
  <si>
    <t xml:space="preserve">RPY-0008393</t>
  </si>
  <si>
    <t xml:space="preserve">RPY-0008394</t>
  </si>
  <si>
    <t xml:space="preserve">RPY-0008395</t>
  </si>
  <si>
    <t xml:space="preserve">RPY-0008396</t>
  </si>
  <si>
    <t xml:space="preserve">RPY-0008397</t>
  </si>
  <si>
    <t xml:space="preserve">RPY-0008398</t>
  </si>
  <si>
    <t xml:space="preserve">RPY-0008399</t>
  </si>
  <si>
    <t xml:space="preserve">RPY-0008400</t>
  </si>
  <si>
    <t xml:space="preserve">RPY-0008401</t>
  </si>
  <si>
    <t xml:space="preserve">RPY-0008402</t>
  </si>
  <si>
    <t xml:space="preserve">RPY-0008403</t>
  </si>
  <si>
    <t xml:space="preserve">RPY-0008404</t>
  </si>
  <si>
    <t xml:space="preserve">RPY-0008405</t>
  </si>
  <si>
    <t xml:space="preserve">RPY-0008406</t>
  </si>
  <si>
    <t xml:space="preserve">RPY-0008407</t>
  </si>
  <si>
    <t xml:space="preserve">RPY-0008408</t>
  </si>
  <si>
    <t xml:space="preserve">RPY-0008409</t>
  </si>
  <si>
    <t xml:space="preserve">RPY-0008410</t>
  </si>
  <si>
    <t xml:space="preserve">RPY-0008411</t>
  </si>
  <si>
    <t xml:space="preserve">RPY-0008412</t>
  </si>
  <si>
    <t xml:space="preserve">RPY-0008413</t>
  </si>
  <si>
    <t xml:space="preserve">RPY-0008414</t>
  </si>
  <si>
    <t xml:space="preserve">RPY-0008415</t>
  </si>
  <si>
    <t xml:space="preserve">RPY-0008416</t>
  </si>
  <si>
    <t xml:space="preserve">RPY-0008417</t>
  </si>
  <si>
    <t xml:space="preserve">RPY-0008418</t>
  </si>
  <si>
    <t xml:space="preserve">RPY-0008419</t>
  </si>
  <si>
    <t xml:space="preserve">RPY-0008420</t>
  </si>
  <si>
    <t xml:space="preserve">RPY-0008421</t>
  </si>
  <si>
    <t xml:space="preserve">RPY-0008422</t>
  </si>
  <si>
    <t xml:space="preserve">RPY-0008423</t>
  </si>
  <si>
    <t xml:space="preserve">RPY-0008424</t>
  </si>
  <si>
    <t xml:space="preserve">RPY-0008425</t>
  </si>
  <si>
    <t xml:space="preserve">RPY-0008426</t>
  </si>
  <si>
    <t xml:space="preserve">RPY-0008427</t>
  </si>
  <si>
    <t xml:space="preserve">RPY-0008428</t>
  </si>
  <si>
    <t xml:space="preserve">RPY-0008429</t>
  </si>
  <si>
    <t xml:space="preserve">RPY-0008430</t>
  </si>
  <si>
    <t xml:space="preserve">RPY-0008431</t>
  </si>
  <si>
    <t xml:space="preserve">RPY-0008432</t>
  </si>
  <si>
    <t xml:space="preserve">RPY-0008433</t>
  </si>
  <si>
    <t xml:space="preserve">RPY-0008434</t>
  </si>
  <si>
    <t xml:space="preserve">RPY-0008435</t>
  </si>
  <si>
    <t xml:space="preserve">RPY-0008436</t>
  </si>
  <si>
    <t xml:space="preserve">RPY-0008437</t>
  </si>
  <si>
    <t xml:space="preserve">RPY-0008438</t>
  </si>
  <si>
    <t xml:space="preserve">RPY-0008439</t>
  </si>
  <si>
    <t xml:space="preserve">RPY-0008440</t>
  </si>
  <si>
    <t xml:space="preserve">RPY-0008441</t>
  </si>
  <si>
    <t xml:space="preserve">RPY-0008442</t>
  </si>
  <si>
    <t xml:space="preserve">RPY-0008443</t>
  </si>
  <si>
    <t xml:space="preserve">RPY-0008444</t>
  </si>
  <si>
    <t xml:space="preserve">RPY-0008445</t>
  </si>
  <si>
    <t xml:space="preserve">RPY-0008446</t>
  </si>
  <si>
    <t xml:space="preserve">RPY-0008447</t>
  </si>
  <si>
    <t xml:space="preserve">RPY-0008448</t>
  </si>
  <si>
    <t xml:space="preserve">RPY-0008449</t>
  </si>
  <si>
    <t xml:space="preserve">RPY-0008450</t>
  </si>
  <si>
    <t xml:space="preserve">RPY-0008451</t>
  </si>
  <si>
    <t xml:space="preserve">RPY-0008452</t>
  </si>
  <si>
    <t xml:space="preserve">RPY-0008453</t>
  </si>
  <si>
    <t xml:space="preserve">RPY-0008454</t>
  </si>
  <si>
    <t xml:space="preserve">RPY-0008455</t>
  </si>
  <si>
    <t xml:space="preserve">RPY-0008456</t>
  </si>
  <si>
    <t xml:space="preserve">RPY-0008457</t>
  </si>
  <si>
    <t xml:space="preserve">RPY-0008458</t>
  </si>
  <si>
    <t xml:space="preserve">RPY-0008459</t>
  </si>
  <si>
    <t xml:space="preserve">RPY-0008460</t>
  </si>
  <si>
    <t xml:space="preserve">RPY-0008461</t>
  </si>
  <si>
    <t xml:space="preserve">RPY-0008462</t>
  </si>
  <si>
    <t xml:space="preserve">RPY-0008463</t>
  </si>
  <si>
    <t xml:space="preserve">RPY-0008464</t>
  </si>
  <si>
    <t xml:space="preserve">RPY-0008465</t>
  </si>
  <si>
    <t xml:space="preserve">RPY-0008466</t>
  </si>
  <si>
    <t xml:space="preserve">RPY-0008467</t>
  </si>
  <si>
    <t xml:space="preserve">RPY-0008468</t>
  </si>
  <si>
    <t xml:space="preserve">RPY-0008469</t>
  </si>
  <si>
    <t xml:space="preserve">RPY-0008470</t>
  </si>
  <si>
    <t xml:space="preserve">RPY-0008471</t>
  </si>
  <si>
    <t xml:space="preserve">RPY-0008472</t>
  </si>
  <si>
    <t xml:space="preserve">RPY-0008473</t>
  </si>
  <si>
    <t xml:space="preserve">RPY-0008474</t>
  </si>
  <si>
    <t xml:space="preserve">RPY-0008475</t>
  </si>
  <si>
    <t xml:space="preserve">RPY-0008476</t>
  </si>
  <si>
    <t xml:space="preserve">RPY-0008477</t>
  </si>
  <si>
    <t xml:space="preserve">RPY-0008478</t>
  </si>
  <si>
    <t xml:space="preserve">RPY-0008479</t>
  </si>
  <si>
    <t xml:space="preserve">RPY-0008480</t>
  </si>
  <si>
    <t xml:space="preserve">RPY-0008481</t>
  </si>
  <si>
    <t xml:space="preserve">RPY-0008482</t>
  </si>
  <si>
    <t xml:space="preserve">RPY-0008483</t>
  </si>
  <si>
    <t xml:space="preserve">RPY-0008484</t>
  </si>
  <si>
    <t xml:space="preserve">RPY-0008485</t>
  </si>
  <si>
    <t xml:space="preserve">RPY-0008486</t>
  </si>
  <si>
    <t xml:space="preserve">RPY-0008487</t>
  </si>
  <si>
    <t xml:space="preserve">RPY-0008488</t>
  </si>
  <si>
    <t xml:space="preserve">RPY-0008489</t>
  </si>
  <si>
    <t xml:space="preserve">RPY-0008490</t>
  </si>
  <si>
    <t xml:space="preserve">RPY-0008491</t>
  </si>
  <si>
    <t xml:space="preserve">RPY-0008492</t>
  </si>
  <si>
    <t xml:space="preserve">RPY-0008493</t>
  </si>
  <si>
    <t xml:space="preserve">RPY-0008494</t>
  </si>
  <si>
    <t xml:space="preserve">RPY-0008495</t>
  </si>
  <si>
    <t xml:space="preserve">RPY-0008496</t>
  </si>
  <si>
    <t xml:space="preserve">RPY-0008497</t>
  </si>
  <si>
    <t xml:space="preserve">RPY-0008498</t>
  </si>
  <si>
    <t xml:space="preserve">RPY-0008499</t>
  </si>
  <si>
    <t xml:space="preserve">RPY-0008500</t>
  </si>
  <si>
    <t xml:space="preserve">RPY-0008501</t>
  </si>
  <si>
    <t xml:space="preserve">RPY-0008502</t>
  </si>
  <si>
    <t xml:space="preserve">RPY-0008503</t>
  </si>
  <si>
    <t xml:space="preserve">RPY-0008504</t>
  </si>
  <si>
    <t xml:space="preserve">RPY-0008505</t>
  </si>
  <si>
    <t xml:space="preserve">RPY-0008506</t>
  </si>
  <si>
    <t xml:space="preserve">RPY-0008507</t>
  </si>
  <si>
    <t xml:space="preserve">RPY-0008508</t>
  </si>
  <si>
    <t xml:space="preserve">RPY-0008509</t>
  </si>
  <si>
    <t xml:space="preserve">RPY-0008510</t>
  </si>
  <si>
    <t xml:space="preserve">RPY-0008511</t>
  </si>
  <si>
    <t xml:space="preserve">RPY-0008512</t>
  </si>
  <si>
    <t xml:space="preserve">RPY-0008513</t>
  </si>
  <si>
    <t xml:space="preserve">RPY-0008514</t>
  </si>
  <si>
    <t xml:space="preserve">RPY-0008515</t>
  </si>
  <si>
    <t xml:space="preserve">RPY-0008516</t>
  </si>
  <si>
    <t xml:space="preserve">RPY-0008517</t>
  </si>
  <si>
    <t xml:space="preserve">RPY-0008518</t>
  </si>
  <si>
    <t xml:space="preserve">RPY-0008519</t>
  </si>
  <si>
    <t xml:space="preserve">RPY-0008520</t>
  </si>
  <si>
    <t xml:space="preserve">RPY-0008521</t>
  </si>
  <si>
    <t xml:space="preserve">RPY-0008522</t>
  </si>
  <si>
    <t xml:space="preserve">RPY-0008523</t>
  </si>
  <si>
    <t xml:space="preserve">RPY-0008524</t>
  </si>
  <si>
    <t xml:space="preserve">RPY-0008525</t>
  </si>
  <si>
    <t xml:space="preserve">RPY-0008526</t>
  </si>
  <si>
    <t xml:space="preserve">RPY-0008527</t>
  </si>
  <si>
    <t xml:space="preserve">RPY-0008528</t>
  </si>
  <si>
    <t xml:space="preserve">RPY-0008529</t>
  </si>
  <si>
    <t xml:space="preserve">RPY-0008530</t>
  </si>
  <si>
    <t xml:space="preserve">RPY-0008531</t>
  </si>
  <si>
    <t xml:space="preserve">RPY-0008532</t>
  </si>
  <si>
    <t xml:space="preserve">RPY-0008533</t>
  </si>
  <si>
    <t xml:space="preserve">RPY-0008534</t>
  </si>
  <si>
    <t xml:space="preserve">RPY-0008535</t>
  </si>
  <si>
    <t xml:space="preserve">RPY-0008536</t>
  </si>
  <si>
    <t xml:space="preserve">RPY-0008537</t>
  </si>
  <si>
    <t xml:space="preserve">RPY-0008538</t>
  </si>
  <si>
    <t xml:space="preserve">RPY-0008539</t>
  </si>
  <si>
    <t xml:space="preserve">RPY-0008540</t>
  </si>
  <si>
    <t xml:space="preserve">RPY-0008541</t>
  </si>
  <si>
    <t xml:space="preserve">RPY-0008542</t>
  </si>
  <si>
    <t xml:space="preserve">RPY-0008543</t>
  </si>
  <si>
    <t xml:space="preserve">RPY-0008544</t>
  </si>
  <si>
    <t xml:space="preserve">RPY-0008545</t>
  </si>
  <si>
    <t xml:space="preserve">RPY-0008546</t>
  </si>
  <si>
    <t xml:space="preserve">RPY-0008547</t>
  </si>
  <si>
    <t xml:space="preserve">RPY-0008548</t>
  </si>
  <si>
    <t xml:space="preserve">RPY-0008549</t>
  </si>
  <si>
    <t xml:space="preserve">RPY-0008550</t>
  </si>
  <si>
    <t xml:space="preserve">RPY-0008551</t>
  </si>
  <si>
    <t xml:space="preserve">RPY-0008552</t>
  </si>
  <si>
    <t xml:space="preserve">RPY-0008553</t>
  </si>
  <si>
    <t xml:space="preserve">RPY-0008554</t>
  </si>
  <si>
    <t xml:space="preserve">RPY-0008555</t>
  </si>
  <si>
    <t xml:space="preserve">RPY-0008556</t>
  </si>
  <si>
    <t xml:space="preserve">RPY-0008557</t>
  </si>
  <si>
    <t xml:space="preserve">RPY-0008558</t>
  </si>
  <si>
    <t xml:space="preserve">RPY-0008559</t>
  </si>
  <si>
    <t xml:space="preserve">RPY-0008560</t>
  </si>
  <si>
    <t xml:space="preserve">RPY-0008561</t>
  </si>
  <si>
    <t xml:space="preserve">RPY-0008562</t>
  </si>
  <si>
    <t xml:space="preserve">RPY-0008563</t>
  </si>
  <si>
    <t xml:space="preserve">RPY-0008564</t>
  </si>
  <si>
    <t xml:space="preserve">RPY-0008565</t>
  </si>
  <si>
    <t xml:space="preserve">RPY-0008566</t>
  </si>
  <si>
    <t xml:space="preserve">RPY-0008567</t>
  </si>
  <si>
    <t xml:space="preserve">RPY-0008568</t>
  </si>
  <si>
    <t xml:space="preserve">RPY-0008569</t>
  </si>
  <si>
    <t xml:space="preserve">RPY-0008570</t>
  </si>
  <si>
    <t xml:space="preserve">RPY-0008571</t>
  </si>
  <si>
    <t xml:space="preserve">RPY-0008572</t>
  </si>
  <si>
    <t xml:space="preserve">RPY-0008573</t>
  </si>
  <si>
    <t xml:space="preserve">RPY-0008574</t>
  </si>
  <si>
    <t xml:space="preserve">RPY-0008575</t>
  </si>
  <si>
    <t xml:space="preserve">RPY-0008576</t>
  </si>
  <si>
    <t xml:space="preserve">RPY-0008577</t>
  </si>
  <si>
    <t xml:space="preserve">RPY-0008578</t>
  </si>
  <si>
    <t xml:space="preserve">RPY-0008579</t>
  </si>
  <si>
    <t xml:space="preserve">RPY-0008580</t>
  </si>
  <si>
    <t xml:space="preserve">RPY-0008581</t>
  </si>
  <si>
    <t xml:space="preserve">RPY-0008582</t>
  </si>
  <si>
    <t xml:space="preserve">RPY-0008583</t>
  </si>
  <si>
    <t xml:space="preserve">RPY-0008584</t>
  </si>
  <si>
    <t xml:space="preserve">RPY-0008585</t>
  </si>
  <si>
    <t xml:space="preserve">RPY-0008586</t>
  </si>
  <si>
    <t xml:space="preserve">RPY-0008587</t>
  </si>
  <si>
    <t xml:space="preserve">RPY-0008588</t>
  </si>
  <si>
    <t xml:space="preserve">RPY-0008589</t>
  </si>
  <si>
    <t xml:space="preserve">RPY-0008590</t>
  </si>
  <si>
    <t xml:space="preserve">RPY-0008591</t>
  </si>
  <si>
    <t xml:space="preserve">RPY-0008592</t>
  </si>
  <si>
    <t xml:space="preserve">RPY-0008593</t>
  </si>
  <si>
    <t xml:space="preserve">RPY-0008594</t>
  </si>
  <si>
    <t xml:space="preserve">RPY-0008595</t>
  </si>
  <si>
    <t xml:space="preserve">RPY-0008596</t>
  </si>
  <si>
    <t xml:space="preserve">RPY-0008597</t>
  </si>
  <si>
    <t xml:space="preserve">RPY-0008598</t>
  </si>
  <si>
    <t xml:space="preserve">RPY-0008599</t>
  </si>
  <si>
    <t xml:space="preserve">RPY-0008600</t>
  </si>
  <si>
    <t xml:space="preserve">RPY-0008601</t>
  </si>
  <si>
    <t xml:space="preserve">RPY-0008602</t>
  </si>
  <si>
    <t xml:space="preserve">RPY-0008603</t>
  </si>
  <si>
    <t xml:space="preserve">RPY-0008604</t>
  </si>
  <si>
    <t xml:space="preserve">RPY-0008605</t>
  </si>
  <si>
    <t xml:space="preserve">RPY-0008606</t>
  </si>
  <si>
    <t xml:space="preserve">RPY-0008607</t>
  </si>
  <si>
    <t xml:space="preserve">RPY-0008608</t>
  </si>
  <si>
    <t xml:space="preserve">RPY-0008609</t>
  </si>
  <si>
    <t xml:space="preserve">RPY-0008610</t>
  </si>
  <si>
    <t xml:space="preserve">RPY-0008611</t>
  </si>
  <si>
    <t xml:space="preserve">RPY-0008612</t>
  </si>
  <si>
    <t xml:space="preserve">RPY-0008613</t>
  </si>
  <si>
    <t xml:space="preserve">RPY-0008614</t>
  </si>
  <si>
    <t xml:space="preserve">RPY-0008615</t>
  </si>
  <si>
    <t xml:space="preserve">RPY-0008616</t>
  </si>
  <si>
    <t xml:space="preserve">RPY-0008617</t>
  </si>
  <si>
    <t xml:space="preserve">RPY-0008618</t>
  </si>
  <si>
    <t xml:space="preserve">RPY-0008619</t>
  </si>
  <si>
    <t xml:space="preserve">RPY-0008620</t>
  </si>
  <si>
    <t xml:space="preserve">RPY-0008621</t>
  </si>
  <si>
    <t xml:space="preserve">RPY-0008622</t>
  </si>
  <si>
    <t xml:space="preserve">RPY-0008623</t>
  </si>
  <si>
    <t xml:space="preserve">RPY-0008624</t>
  </si>
  <si>
    <t xml:space="preserve">RPY-0008625</t>
  </si>
  <si>
    <t xml:space="preserve">RPY-0008626</t>
  </si>
  <si>
    <t xml:space="preserve">RPY-0008627</t>
  </si>
  <si>
    <t xml:space="preserve">RPY-0008628</t>
  </si>
  <si>
    <t xml:space="preserve">RPY-0008629</t>
  </si>
  <si>
    <t xml:space="preserve">RPY-0008630</t>
  </si>
  <si>
    <t xml:space="preserve">RPY-0008631</t>
  </si>
  <si>
    <t xml:space="preserve">RPY-0008632</t>
  </si>
  <si>
    <t xml:space="preserve">RPY-0008633</t>
  </si>
  <si>
    <t xml:space="preserve">RPY-0008634</t>
  </si>
  <si>
    <t xml:space="preserve">RPY-0008635</t>
  </si>
  <si>
    <t xml:space="preserve">RPY-0008636</t>
  </si>
  <si>
    <t xml:space="preserve">RPY-0008637</t>
  </si>
  <si>
    <t xml:space="preserve">RPY-0008638</t>
  </si>
  <si>
    <t xml:space="preserve">RPY-0008639</t>
  </si>
  <si>
    <t xml:space="preserve">RPY-0008640</t>
  </si>
  <si>
    <t xml:space="preserve">RPY-0008641</t>
  </si>
  <si>
    <t xml:space="preserve">RPY-0008642</t>
  </si>
  <si>
    <t xml:space="preserve">RPY-0008643</t>
  </si>
  <si>
    <t xml:space="preserve">RPY-0008644</t>
  </si>
  <si>
    <t xml:space="preserve">RPY-0008645</t>
  </si>
  <si>
    <t xml:space="preserve">RPY-0008646</t>
  </si>
  <si>
    <t xml:space="preserve">RPY-0008647</t>
  </si>
  <si>
    <t xml:space="preserve">RPY-0008648</t>
  </si>
  <si>
    <t xml:space="preserve">RPY-0008649</t>
  </si>
  <si>
    <t xml:space="preserve">RPY-0008650</t>
  </si>
  <si>
    <t xml:space="preserve">RPY-0008651</t>
  </si>
  <si>
    <t xml:space="preserve">RPY-0008652</t>
  </si>
  <si>
    <t xml:space="preserve">RPY-0008653</t>
  </si>
  <si>
    <t xml:space="preserve">RPY-0008654</t>
  </si>
  <si>
    <t xml:space="preserve">RPY-0008655</t>
  </si>
  <si>
    <t xml:space="preserve">RPY-0008656</t>
  </si>
  <si>
    <t xml:space="preserve">RPY-0008657</t>
  </si>
  <si>
    <t xml:space="preserve">RPY-0008658</t>
  </si>
  <si>
    <t xml:space="preserve">RPY-0008659</t>
  </si>
  <si>
    <t xml:space="preserve">RPY-0008660</t>
  </si>
  <si>
    <t xml:space="preserve">RPY-0008661</t>
  </si>
  <si>
    <t xml:space="preserve">RPY-0008662</t>
  </si>
  <si>
    <t xml:space="preserve">RPY-0008663</t>
  </si>
  <si>
    <t xml:space="preserve">RPY-0008664</t>
  </si>
  <si>
    <t xml:space="preserve">RPY-0008665</t>
  </si>
  <si>
    <t xml:space="preserve">RPY-0008666</t>
  </si>
  <si>
    <t xml:space="preserve">RPY-0008667</t>
  </si>
  <si>
    <t xml:space="preserve">RPY-0008668</t>
  </si>
  <si>
    <t xml:space="preserve">RPY-0008669</t>
  </si>
  <si>
    <t xml:space="preserve">RPY-0008670</t>
  </si>
  <si>
    <t xml:space="preserve">RPY-0008671</t>
  </si>
  <si>
    <t xml:space="preserve">RPY-0008672</t>
  </si>
  <si>
    <t xml:space="preserve">RPY-0008673</t>
  </si>
  <si>
    <t xml:space="preserve">RPY-0008674</t>
  </si>
  <si>
    <t xml:space="preserve">RPY-0008675</t>
  </si>
  <si>
    <t xml:space="preserve">RPY-0008676</t>
  </si>
  <si>
    <t xml:space="preserve">RPY-0008677</t>
  </si>
  <si>
    <t xml:space="preserve">RPY-0008678</t>
  </si>
  <si>
    <t xml:space="preserve">RPY-0008679</t>
  </si>
  <si>
    <t xml:space="preserve">RPY-0008680</t>
  </si>
  <si>
    <t xml:space="preserve">RPY-0008681</t>
  </si>
  <si>
    <t xml:space="preserve">RPY-0008682</t>
  </si>
  <si>
    <t xml:space="preserve">RPY-0008683</t>
  </si>
  <si>
    <t xml:space="preserve">RPY-0008684</t>
  </si>
  <si>
    <t xml:space="preserve">RPY-0008685</t>
  </si>
  <si>
    <t xml:space="preserve">RPY-0008686</t>
  </si>
  <si>
    <t xml:space="preserve">RPY-0008687</t>
  </si>
  <si>
    <t xml:space="preserve">RPY-0008688</t>
  </si>
  <si>
    <t xml:space="preserve">RPY-0008689</t>
  </si>
  <si>
    <t xml:space="preserve">RPY-0008690</t>
  </si>
  <si>
    <t xml:space="preserve">RPY-0008691</t>
  </si>
  <si>
    <t xml:space="preserve">RPY-0008692</t>
  </si>
  <si>
    <t xml:space="preserve">RPY-0008693</t>
  </si>
  <si>
    <t xml:space="preserve">RPY-0008694</t>
  </si>
  <si>
    <t xml:space="preserve">RPY-0008695</t>
  </si>
  <si>
    <t xml:space="preserve">RPY-0008696</t>
  </si>
  <si>
    <t xml:space="preserve">RPY-0008697</t>
  </si>
  <si>
    <t xml:space="preserve">RPY-0008698</t>
  </si>
  <si>
    <t xml:space="preserve">RPY-0008699</t>
  </si>
  <si>
    <t xml:space="preserve">RPY-0008700</t>
  </si>
  <si>
    <t xml:space="preserve">RPY-0008701</t>
  </si>
  <si>
    <t xml:space="preserve">RPY-0008702</t>
  </si>
  <si>
    <t xml:space="preserve">RPY-0008703</t>
  </si>
  <si>
    <t xml:space="preserve">RPY-0008704</t>
  </si>
  <si>
    <t xml:space="preserve">RPY-0008705</t>
  </si>
  <si>
    <t xml:space="preserve">RPY-0008706</t>
  </si>
  <si>
    <t xml:space="preserve">RPY-0008707</t>
  </si>
  <si>
    <t xml:space="preserve">RPY-0008708</t>
  </si>
  <si>
    <t xml:space="preserve">RPY-0008709</t>
  </si>
  <si>
    <t xml:space="preserve">RPY-0008710</t>
  </si>
  <si>
    <t xml:space="preserve">RPY-0008711</t>
  </si>
  <si>
    <t xml:space="preserve">RPY-0008712</t>
  </si>
  <si>
    <t xml:space="preserve">RPY-0008713</t>
  </si>
  <si>
    <t xml:space="preserve">RPY-0008714</t>
  </si>
  <si>
    <t xml:space="preserve">RPY-0008715</t>
  </si>
  <si>
    <t xml:space="preserve">RPY-0008716</t>
  </si>
  <si>
    <t xml:space="preserve">RPY-0008717</t>
  </si>
  <si>
    <t xml:space="preserve">RPY-0008718</t>
  </si>
  <si>
    <t xml:space="preserve">RPY-0008719</t>
  </si>
  <si>
    <t xml:space="preserve">RPY-0008720</t>
  </si>
  <si>
    <t xml:space="preserve">RPY-0008721</t>
  </si>
  <si>
    <t xml:space="preserve">RPY-0008722</t>
  </si>
  <si>
    <t xml:space="preserve">RPY-0008723</t>
  </si>
  <si>
    <t xml:space="preserve">RPY-0008724</t>
  </si>
  <si>
    <t xml:space="preserve">RPY-0008725</t>
  </si>
  <si>
    <t xml:space="preserve">RPY-0008726</t>
  </si>
  <si>
    <t xml:space="preserve">RPY-0008727</t>
  </si>
  <si>
    <t xml:space="preserve">RPY-0008728</t>
  </si>
  <si>
    <t xml:space="preserve">RPY-0008729</t>
  </si>
  <si>
    <t xml:space="preserve">RPY-0008730</t>
  </si>
  <si>
    <t xml:space="preserve">RPY-0008731</t>
  </si>
  <si>
    <t xml:space="preserve">RPY-0008732</t>
  </si>
  <si>
    <t xml:space="preserve">RPY-0008733</t>
  </si>
  <si>
    <t xml:space="preserve">RPY-0008734</t>
  </si>
  <si>
    <t xml:space="preserve">RPY-0008735</t>
  </si>
  <si>
    <t xml:space="preserve">RPY-0008736</t>
  </si>
  <si>
    <t xml:space="preserve">RPY-0008737</t>
  </si>
  <si>
    <t xml:space="preserve">RPY-0008738</t>
  </si>
  <si>
    <t xml:space="preserve">RPY-0008739</t>
  </si>
  <si>
    <t xml:space="preserve">RPY-0008740</t>
  </si>
  <si>
    <t xml:space="preserve">RPY-0008741</t>
  </si>
  <si>
    <t xml:space="preserve">RPY-0008742</t>
  </si>
  <si>
    <t xml:space="preserve">RPY-0008743</t>
  </si>
  <si>
    <t xml:space="preserve">RPY-0008744</t>
  </si>
  <si>
    <t xml:space="preserve">RPY-0008745</t>
  </si>
  <si>
    <t xml:space="preserve">RPY-0008746</t>
  </si>
  <si>
    <t xml:space="preserve">RPY-0008747</t>
  </si>
  <si>
    <t xml:space="preserve">RPY-0008748</t>
  </si>
  <si>
    <t xml:space="preserve">RPY-0008749</t>
  </si>
  <si>
    <t xml:space="preserve">RPY-0008750</t>
  </si>
  <si>
    <t xml:space="preserve">RPY-0008751</t>
  </si>
  <si>
    <t xml:space="preserve">RPY-0008752</t>
  </si>
  <si>
    <t xml:space="preserve">RPY-0008753</t>
  </si>
  <si>
    <t xml:space="preserve">RPY-0008754</t>
  </si>
  <si>
    <t xml:space="preserve">RPY-0008755</t>
  </si>
  <si>
    <t xml:space="preserve">RPY-0008756</t>
  </si>
  <si>
    <t xml:space="preserve">RPY-0008757</t>
  </si>
  <si>
    <t xml:space="preserve">RPY-0008758</t>
  </si>
  <si>
    <t xml:space="preserve">RPY-0008759</t>
  </si>
  <si>
    <t xml:space="preserve">RPY-0008760</t>
  </si>
  <si>
    <t xml:space="preserve">RPY-0008761</t>
  </si>
  <si>
    <t xml:space="preserve">RPY-0008762</t>
  </si>
  <si>
    <t xml:space="preserve">RPY-0008763</t>
  </si>
  <si>
    <t xml:space="preserve">RPY-0008764</t>
  </si>
  <si>
    <t xml:space="preserve">RPY-0008765</t>
  </si>
  <si>
    <t xml:space="preserve">RPY-0008766</t>
  </si>
  <si>
    <t xml:space="preserve">RPY-0008767</t>
  </si>
  <si>
    <t xml:space="preserve">RPY-0008768</t>
  </si>
  <si>
    <t xml:space="preserve">RPY-0008769</t>
  </si>
  <si>
    <t xml:space="preserve">RPY-0008770</t>
  </si>
  <si>
    <t xml:space="preserve">RPY-0008771</t>
  </si>
  <si>
    <t xml:space="preserve">RPY-0008772</t>
  </si>
  <si>
    <t xml:space="preserve">RPY-0008773</t>
  </si>
  <si>
    <t xml:space="preserve">RPY-0008774</t>
  </si>
  <si>
    <t xml:space="preserve">RPY-0008775</t>
  </si>
  <si>
    <t xml:space="preserve">RPY-0008776</t>
  </si>
  <si>
    <t xml:space="preserve">RPY-0008777</t>
  </si>
  <si>
    <t xml:space="preserve">RPY-0008778</t>
  </si>
  <si>
    <t xml:space="preserve">RPY-0008779</t>
  </si>
  <si>
    <t xml:space="preserve">RPY-0008780</t>
  </si>
  <si>
    <t xml:space="preserve">RPY-0008781</t>
  </si>
  <si>
    <t xml:space="preserve">RPY-0008782</t>
  </si>
  <si>
    <t xml:space="preserve">RPY-0008783</t>
  </si>
  <si>
    <t xml:space="preserve">RPY-0008784</t>
  </si>
  <si>
    <t xml:space="preserve">RPY-0008785</t>
  </si>
  <si>
    <t xml:space="preserve">RPY-0008786</t>
  </si>
  <si>
    <t xml:space="preserve">RPY-0008787</t>
  </si>
  <si>
    <t xml:space="preserve">RPY-0008788</t>
  </si>
  <si>
    <t xml:space="preserve">RPY-0008789</t>
  </si>
  <si>
    <t xml:space="preserve">RPY-0008790</t>
  </si>
  <si>
    <t xml:space="preserve">RPY-0008791</t>
  </si>
  <si>
    <t xml:space="preserve">RPY-0008792</t>
  </si>
  <si>
    <t xml:space="preserve">RPY-0008793</t>
  </si>
  <si>
    <t xml:space="preserve">RPY-0008794</t>
  </si>
  <si>
    <t xml:space="preserve">RPY-0008795</t>
  </si>
  <si>
    <t xml:space="preserve">RPY-0008796</t>
  </si>
  <si>
    <t xml:space="preserve">RPY-0008797</t>
  </si>
  <si>
    <t xml:space="preserve">RPY-0008798</t>
  </si>
  <si>
    <t xml:space="preserve">RPY-0008799</t>
  </si>
  <si>
    <t xml:space="preserve">RPY-0008800</t>
  </si>
  <si>
    <t xml:space="preserve">RPY-0008801</t>
  </si>
  <si>
    <t xml:space="preserve">RPY-0008802</t>
  </si>
  <si>
    <t xml:space="preserve">RPY-0008803</t>
  </si>
  <si>
    <t xml:space="preserve">RPY-0008804</t>
  </si>
  <si>
    <t xml:space="preserve">RPY-0008805</t>
  </si>
  <si>
    <t xml:space="preserve">RPY-0008806</t>
  </si>
  <si>
    <t xml:space="preserve">RPY-0008807</t>
  </si>
  <si>
    <t xml:space="preserve">RPY-0008808</t>
  </si>
  <si>
    <t xml:space="preserve">RPY-0008809</t>
  </si>
  <si>
    <t xml:space="preserve">RPY-0008810</t>
  </si>
  <si>
    <t xml:space="preserve">RPY-0008811</t>
  </si>
  <si>
    <t xml:space="preserve">RPY-0008812</t>
  </si>
  <si>
    <t xml:space="preserve">RPY-0008813</t>
  </si>
  <si>
    <t xml:space="preserve">RPY-0008814</t>
  </si>
  <si>
    <t xml:space="preserve">RPY-0008815</t>
  </si>
  <si>
    <t xml:space="preserve">RPY-0008816</t>
  </si>
  <si>
    <t xml:space="preserve">RPY-0008817</t>
  </si>
  <si>
    <t xml:space="preserve">RPY-0008818</t>
  </si>
  <si>
    <t xml:space="preserve">RPY-0008819</t>
  </si>
  <si>
    <t xml:space="preserve">RPY-0008820</t>
  </si>
  <si>
    <t xml:space="preserve">RPY-0008821</t>
  </si>
  <si>
    <t xml:space="preserve">RPY-0008822</t>
  </si>
  <si>
    <t xml:space="preserve">RPY-0008823</t>
  </si>
  <si>
    <t xml:space="preserve">RPY-0008824</t>
  </si>
  <si>
    <t xml:space="preserve">RPY-0008825</t>
  </si>
  <si>
    <t xml:space="preserve">RPY-0008826</t>
  </si>
  <si>
    <t xml:space="preserve">RPY-0008827</t>
  </si>
  <si>
    <t xml:space="preserve">RPY-0008828</t>
  </si>
  <si>
    <t xml:space="preserve">RPY-0008829</t>
  </si>
  <si>
    <t xml:space="preserve">RPY-0008830</t>
  </si>
  <si>
    <t xml:space="preserve">RPY-0008831</t>
  </si>
  <si>
    <t xml:space="preserve">RPY-0008832</t>
  </si>
  <si>
    <t xml:space="preserve">RPY-0008833</t>
  </si>
  <si>
    <t xml:space="preserve">RPY-0008834</t>
  </si>
  <si>
    <t xml:space="preserve">RPY-0008835</t>
  </si>
  <si>
    <t xml:space="preserve">RPY-0008836</t>
  </si>
  <si>
    <t xml:space="preserve">RPY-0008837</t>
  </si>
  <si>
    <t xml:space="preserve">RPY-0008838</t>
  </si>
  <si>
    <t xml:space="preserve">RPY-0008839</t>
  </si>
  <si>
    <t xml:space="preserve">RPY-0008840</t>
  </si>
  <si>
    <t xml:space="preserve">RPY-0008841</t>
  </si>
  <si>
    <t xml:space="preserve">RPY-0008842</t>
  </si>
  <si>
    <t xml:space="preserve">RPY-0008843</t>
  </si>
  <si>
    <t xml:space="preserve">RPY-0008844</t>
  </si>
  <si>
    <t xml:space="preserve">RPY-0008845</t>
  </si>
  <si>
    <t xml:space="preserve">RPY-0008846</t>
  </si>
  <si>
    <t xml:space="preserve">RPY-0008847</t>
  </si>
  <si>
    <t xml:space="preserve">RPY-0008848</t>
  </si>
  <si>
    <t xml:space="preserve">RPY-0008849</t>
  </si>
  <si>
    <t xml:space="preserve">RPY-0008850</t>
  </si>
  <si>
    <t xml:space="preserve">RPY-0008851</t>
  </si>
  <si>
    <t xml:space="preserve">RPY-0008852</t>
  </si>
  <si>
    <t xml:space="preserve">RPY-0008853</t>
  </si>
  <si>
    <t xml:space="preserve">RPY-0008854</t>
  </si>
  <si>
    <t xml:space="preserve">RPY-0008855</t>
  </si>
  <si>
    <t xml:space="preserve">RPY-0008856</t>
  </si>
  <si>
    <t xml:space="preserve">RPY-0008857</t>
  </si>
  <si>
    <t xml:space="preserve">RPY-0008858</t>
  </si>
  <si>
    <t xml:space="preserve">RPY-0008859</t>
  </si>
  <si>
    <t xml:space="preserve">RPY-0008860</t>
  </si>
  <si>
    <t xml:space="preserve">RPY-0008861</t>
  </si>
  <si>
    <t xml:space="preserve">RPY-0008862</t>
  </si>
  <si>
    <t xml:space="preserve">RPY-0008863</t>
  </si>
  <si>
    <t xml:space="preserve">RPY-0008864</t>
  </si>
  <si>
    <t xml:space="preserve">RPY-0008865</t>
  </si>
  <si>
    <t xml:space="preserve">RPY-0008866</t>
  </si>
  <si>
    <t xml:space="preserve">RPY-0008867</t>
  </si>
  <si>
    <t xml:space="preserve">RPY-0008868</t>
  </si>
  <si>
    <t xml:space="preserve">RPY-0008869</t>
  </si>
  <si>
    <t xml:space="preserve">RPY-0008870</t>
  </si>
  <si>
    <t xml:space="preserve">RPY-0008871</t>
  </si>
  <si>
    <t xml:space="preserve">RPY-0008872</t>
  </si>
  <si>
    <t xml:space="preserve">RPY-0008873</t>
  </si>
  <si>
    <t xml:space="preserve">RPY-0008874</t>
  </si>
  <si>
    <t xml:space="preserve">RPY-0008875</t>
  </si>
  <si>
    <t xml:space="preserve">RPY-0008876</t>
  </si>
  <si>
    <t xml:space="preserve">RPY-0008877</t>
  </si>
  <si>
    <t xml:space="preserve">RPY-0008878</t>
  </si>
  <si>
    <t xml:space="preserve">RPY-0008879</t>
  </si>
  <si>
    <t xml:space="preserve">RPY-0008880</t>
  </si>
  <si>
    <t xml:space="preserve">RPY-0008881</t>
  </si>
  <si>
    <t xml:space="preserve">RPY-0008882</t>
  </si>
  <si>
    <t xml:space="preserve">RPY-0008883</t>
  </si>
  <si>
    <t xml:space="preserve">RPY-0008884</t>
  </si>
  <si>
    <t xml:space="preserve">RPY-0008885</t>
  </si>
  <si>
    <t xml:space="preserve">RPY-0008886</t>
  </si>
  <si>
    <t xml:space="preserve">RPY-0008887</t>
  </si>
  <si>
    <t xml:space="preserve">RPY-0008888</t>
  </si>
  <si>
    <t xml:space="preserve">RPY-0008889</t>
  </si>
  <si>
    <t xml:space="preserve">RPY-0008890</t>
  </si>
  <si>
    <t xml:space="preserve">RPY-0008891</t>
  </si>
  <si>
    <t xml:space="preserve">RPY-0008892</t>
  </si>
  <si>
    <t xml:space="preserve">RPY-0008893</t>
  </si>
  <si>
    <t xml:space="preserve">RPY-0008894</t>
  </si>
  <si>
    <t xml:space="preserve">RPY-0008895</t>
  </si>
  <si>
    <t xml:space="preserve">RPY-0008896</t>
  </si>
  <si>
    <t xml:space="preserve">RPY-0008897</t>
  </si>
  <si>
    <t xml:space="preserve">RPY-0008898</t>
  </si>
  <si>
    <t xml:space="preserve">RPY-0008899</t>
  </si>
  <si>
    <t xml:space="preserve">RPY-0008900</t>
  </si>
  <si>
    <t xml:space="preserve">RPY-0008901</t>
  </si>
  <si>
    <t xml:space="preserve">RPY-0008902</t>
  </si>
  <si>
    <t xml:space="preserve">RPY-0008903</t>
  </si>
  <si>
    <t xml:space="preserve">RPY-0008904</t>
  </si>
  <si>
    <t xml:space="preserve">RPY-0008905</t>
  </si>
  <si>
    <t xml:space="preserve">RPY-0008906</t>
  </si>
  <si>
    <t xml:space="preserve">RPY-0008907</t>
  </si>
  <si>
    <t xml:space="preserve">RPY-0008908</t>
  </si>
  <si>
    <t xml:space="preserve">RPY-0008909</t>
  </si>
  <si>
    <t xml:space="preserve">RPY-0008910</t>
  </si>
  <si>
    <t xml:space="preserve">RPY-0008911</t>
  </si>
  <si>
    <t xml:space="preserve">RPY-0008912</t>
  </si>
  <si>
    <t xml:space="preserve">RPY-0008913</t>
  </si>
  <si>
    <t xml:space="preserve">RPY-0008914</t>
  </si>
  <si>
    <t xml:space="preserve">RPY-0008915</t>
  </si>
  <si>
    <t xml:space="preserve">RPY-0008916</t>
  </si>
  <si>
    <t xml:space="preserve">RPY-0008917</t>
  </si>
  <si>
    <t xml:space="preserve">RPY-0008918</t>
  </si>
  <si>
    <t xml:space="preserve">RPY-0008919</t>
  </si>
  <si>
    <t xml:space="preserve">RPY-0008920</t>
  </si>
  <si>
    <t xml:space="preserve">RPY-0008921</t>
  </si>
  <si>
    <t xml:space="preserve">RPY-0008922</t>
  </si>
  <si>
    <t xml:space="preserve">RPY-0008923</t>
  </si>
  <si>
    <t xml:space="preserve">RPY-0008924</t>
  </si>
  <si>
    <t xml:space="preserve">RPY-0008925</t>
  </si>
  <si>
    <t xml:space="preserve">RPY-0008926</t>
  </si>
  <si>
    <t xml:space="preserve">RPY-0008927</t>
  </si>
  <si>
    <t xml:space="preserve">RPY-0008928</t>
  </si>
  <si>
    <t xml:space="preserve">RPY-0008929</t>
  </si>
  <si>
    <t xml:space="preserve">RPY-0008930</t>
  </si>
  <si>
    <t xml:space="preserve">RPY-0008931</t>
  </si>
  <si>
    <t xml:space="preserve">RPY-0008932</t>
  </si>
  <si>
    <t xml:space="preserve">RPY-0008933</t>
  </si>
  <si>
    <t xml:space="preserve">RPY-0008934</t>
  </si>
  <si>
    <t xml:space="preserve">RPY-0008935</t>
  </si>
  <si>
    <t xml:space="preserve">RPY-0008936</t>
  </si>
  <si>
    <t xml:space="preserve">RPY-0008937</t>
  </si>
  <si>
    <t xml:space="preserve">RPY-0008938</t>
  </si>
  <si>
    <t xml:space="preserve">RPY-0008939</t>
  </si>
  <si>
    <t xml:space="preserve">RPY-0008940</t>
  </si>
  <si>
    <t xml:space="preserve">RPY-0008941</t>
  </si>
  <si>
    <t xml:space="preserve">RPY-0008942</t>
  </si>
  <si>
    <t xml:space="preserve">RPY-0008943</t>
  </si>
  <si>
    <t xml:space="preserve">RPY-0008944</t>
  </si>
  <si>
    <t xml:space="preserve">RPY-0008945</t>
  </si>
  <si>
    <t xml:space="preserve">RPY-0008946</t>
  </si>
  <si>
    <t xml:space="preserve">RPY-0008947</t>
  </si>
  <si>
    <t xml:space="preserve">RPY-0008948</t>
  </si>
  <si>
    <t xml:space="preserve">RPY-0008949</t>
  </si>
  <si>
    <t xml:space="preserve">RPY-0008950</t>
  </si>
  <si>
    <t xml:space="preserve">RPY-0008951</t>
  </si>
  <si>
    <t xml:space="preserve">RPY-0008952</t>
  </si>
  <si>
    <t xml:space="preserve">RPY-0008953</t>
  </si>
  <si>
    <t xml:space="preserve">RPY-0008954</t>
  </si>
  <si>
    <t xml:space="preserve">RPY-0008955</t>
  </si>
  <si>
    <t xml:space="preserve">RPY-0008956</t>
  </si>
  <si>
    <t xml:space="preserve">RPY-0008957</t>
  </si>
  <si>
    <t xml:space="preserve">RPY-0008958</t>
  </si>
  <si>
    <t xml:space="preserve">RPY-0008959</t>
  </si>
  <si>
    <t xml:space="preserve">RPY-0008960</t>
  </si>
  <si>
    <t xml:space="preserve">RPY-0008961</t>
  </si>
  <si>
    <t xml:space="preserve">RPY-0008962</t>
  </si>
  <si>
    <t xml:space="preserve">RPY-0008963</t>
  </si>
  <si>
    <t xml:space="preserve">RPY-0008964</t>
  </si>
  <si>
    <t xml:space="preserve">RPY-0008965</t>
  </si>
  <si>
    <t xml:space="preserve">RPY-0008966</t>
  </si>
  <si>
    <t xml:space="preserve">RPY-0008967</t>
  </si>
  <si>
    <t xml:space="preserve">RPY-0008968</t>
  </si>
  <si>
    <t xml:space="preserve">RPY-0008969</t>
  </si>
  <si>
    <t xml:space="preserve">RPY-0008970</t>
  </si>
  <si>
    <t xml:space="preserve">RPY-0008971</t>
  </si>
  <si>
    <t xml:space="preserve">RPY-0008972</t>
  </si>
  <si>
    <t xml:space="preserve">RPY-0008973</t>
  </si>
  <si>
    <t xml:space="preserve">RPY-0008974</t>
  </si>
  <si>
    <t xml:space="preserve">RPY-0008975</t>
  </si>
  <si>
    <t xml:space="preserve">RPY-0008976</t>
  </si>
  <si>
    <t xml:space="preserve">RPY-0008977</t>
  </si>
  <si>
    <t xml:space="preserve">RPY-0008978</t>
  </si>
  <si>
    <t xml:space="preserve">RPY-0008979</t>
  </si>
  <si>
    <t xml:space="preserve">RPY-0008980</t>
  </si>
  <si>
    <t xml:space="preserve">RPY-0008981</t>
  </si>
  <si>
    <t xml:space="preserve">RPY-0008982</t>
  </si>
  <si>
    <t xml:space="preserve">RPY-0008983</t>
  </si>
  <si>
    <t xml:space="preserve">RPY-0008984</t>
  </si>
  <si>
    <t xml:space="preserve">RPY-0008985</t>
  </si>
  <si>
    <t xml:space="preserve">RPY-0008986</t>
  </si>
  <si>
    <t xml:space="preserve">RPY-0008987</t>
  </si>
  <si>
    <t xml:space="preserve">RPY-0008988</t>
  </si>
  <si>
    <t xml:space="preserve">RPY-0008989</t>
  </si>
  <si>
    <t xml:space="preserve">RPY-0008990</t>
  </si>
  <si>
    <t xml:space="preserve">RPY-0008991</t>
  </si>
  <si>
    <t xml:space="preserve">RPY-0008992</t>
  </si>
  <si>
    <t xml:space="preserve">RPY-0008993</t>
  </si>
  <si>
    <t xml:space="preserve">RPY-0008994</t>
  </si>
  <si>
    <t xml:space="preserve">RPY-0008995</t>
  </si>
  <si>
    <t xml:space="preserve">RPY-0008996</t>
  </si>
  <si>
    <t xml:space="preserve">RPY-0008997</t>
  </si>
  <si>
    <t xml:space="preserve">RPY-0008998</t>
  </si>
  <si>
    <t xml:space="preserve">RPY-0008999</t>
  </si>
  <si>
    <t xml:space="preserve">RPY-0009000</t>
  </si>
  <si>
    <t xml:space="preserve">RPY-0009001</t>
  </si>
  <si>
    <t xml:space="preserve">RPY-0009002</t>
  </si>
  <si>
    <t xml:space="preserve">RPY-0009003</t>
  </si>
  <si>
    <t xml:space="preserve">RPY-0009004</t>
  </si>
  <si>
    <t xml:space="preserve">RPY-0009005</t>
  </si>
  <si>
    <t xml:space="preserve">RPY-0009006</t>
  </si>
  <si>
    <t xml:space="preserve">RPY-0009007</t>
  </si>
  <si>
    <t xml:space="preserve">RPY-0009008</t>
  </si>
  <si>
    <t xml:space="preserve">RPY-0009009</t>
  </si>
  <si>
    <t xml:space="preserve">RPY-0009010</t>
  </si>
  <si>
    <t xml:space="preserve">RPY-0009011</t>
  </si>
  <si>
    <t xml:space="preserve">RPY-0009012</t>
  </si>
  <si>
    <t xml:space="preserve">RPY-0009013</t>
  </si>
  <si>
    <t xml:space="preserve">RPY-0009014</t>
  </si>
  <si>
    <t xml:space="preserve">RPY-0009015</t>
  </si>
  <si>
    <t xml:space="preserve">RPY-0009016</t>
  </si>
  <si>
    <t xml:space="preserve">RPY-0009017</t>
  </si>
  <si>
    <t xml:space="preserve">RPY-0009018</t>
  </si>
  <si>
    <t xml:space="preserve">RPY-0009019</t>
  </si>
  <si>
    <t xml:space="preserve">RPY-0009020</t>
  </si>
  <si>
    <t xml:space="preserve">RPY-0009021</t>
  </si>
  <si>
    <t xml:space="preserve">RPY-0009022</t>
  </si>
  <si>
    <t xml:space="preserve">RPY-0009023</t>
  </si>
  <si>
    <t xml:space="preserve">RPY-0009024</t>
  </si>
  <si>
    <t xml:space="preserve">RPY-0009025</t>
  </si>
  <si>
    <t xml:space="preserve">RPY-0009026</t>
  </si>
  <si>
    <t xml:space="preserve">RPY-0009027</t>
  </si>
  <si>
    <t xml:space="preserve">RPY-0009028</t>
  </si>
  <si>
    <t xml:space="preserve">RPY-0009029</t>
  </si>
  <si>
    <t xml:space="preserve">RPY-0009030</t>
  </si>
  <si>
    <t xml:space="preserve">RPY-0009031</t>
  </si>
  <si>
    <t xml:space="preserve">RPY-0009032</t>
  </si>
  <si>
    <t xml:space="preserve">RPY-0009033</t>
  </si>
  <si>
    <t xml:space="preserve">RPY-0009034</t>
  </si>
  <si>
    <t xml:space="preserve">RPY-0009035</t>
  </si>
  <si>
    <t xml:space="preserve">RPY-0009036</t>
  </si>
  <si>
    <t xml:space="preserve">RPY-0009037</t>
  </si>
  <si>
    <t xml:space="preserve">RPY-0009038</t>
  </si>
  <si>
    <t xml:space="preserve">RPY-0009039</t>
  </si>
  <si>
    <t xml:space="preserve">RPY-0009040</t>
  </si>
  <si>
    <t xml:space="preserve">RPY-0009041</t>
  </si>
  <si>
    <t xml:space="preserve">RPY-0009042</t>
  </si>
  <si>
    <t xml:space="preserve">RPY-0009043</t>
  </si>
  <si>
    <t xml:space="preserve">RPY-0009044</t>
  </si>
  <si>
    <t xml:space="preserve">RPY-0009045</t>
  </si>
  <si>
    <t xml:space="preserve">RPY-0009046</t>
  </si>
  <si>
    <t xml:space="preserve">RPY-0009047</t>
  </si>
  <si>
    <t xml:space="preserve">RPY-0009048</t>
  </si>
  <si>
    <t xml:space="preserve">RPY-0009049</t>
  </si>
  <si>
    <t xml:space="preserve">RPY-0009050</t>
  </si>
  <si>
    <t xml:space="preserve">RPY-0009051</t>
  </si>
  <si>
    <t xml:space="preserve">RPY-0009052</t>
  </si>
  <si>
    <t xml:space="preserve">RPY-0009053</t>
  </si>
  <si>
    <t xml:space="preserve">RPY-0009054</t>
  </si>
  <si>
    <t xml:space="preserve">RPY-0009055</t>
  </si>
  <si>
    <t xml:space="preserve">RPY-0009056</t>
  </si>
  <si>
    <t xml:space="preserve">RPY-0009057</t>
  </si>
  <si>
    <t xml:space="preserve">RPY-0009058</t>
  </si>
  <si>
    <t xml:space="preserve">RPY-0009059</t>
  </si>
  <si>
    <t xml:space="preserve">RPY-0009060</t>
  </si>
  <si>
    <t xml:space="preserve">RPY-0009061</t>
  </si>
  <si>
    <t xml:space="preserve">RPY-0009062</t>
  </si>
  <si>
    <t xml:space="preserve">RPY-0009063</t>
  </si>
  <si>
    <t xml:space="preserve">RPY-0009064</t>
  </si>
  <si>
    <t xml:space="preserve">RPY-0009065</t>
  </si>
  <si>
    <t xml:space="preserve">RPY-0009066</t>
  </si>
  <si>
    <t xml:space="preserve">RPY-0009067</t>
  </si>
  <si>
    <t xml:space="preserve">RPY-0009068</t>
  </si>
  <si>
    <t xml:space="preserve">RPY-0009069</t>
  </si>
  <si>
    <t xml:space="preserve">RPY-0009070</t>
  </si>
  <si>
    <t xml:space="preserve">RPY-0009071</t>
  </si>
  <si>
    <t xml:space="preserve">RPY-0009072</t>
  </si>
  <si>
    <t xml:space="preserve">RPY-0009073</t>
  </si>
  <si>
    <t xml:space="preserve">RPY-0009074</t>
  </si>
  <si>
    <t xml:space="preserve">RPY-0009075</t>
  </si>
  <si>
    <t xml:space="preserve">RPY-0009076</t>
  </si>
  <si>
    <t xml:space="preserve">RPY-0009077</t>
  </si>
  <si>
    <t xml:space="preserve">RPY-0009078</t>
  </si>
  <si>
    <t xml:space="preserve">RPY-0009079</t>
  </si>
  <si>
    <t xml:space="preserve">RPY-0009080</t>
  </si>
  <si>
    <t xml:space="preserve">RPY-0009081</t>
  </si>
  <si>
    <t xml:space="preserve">RPY-0009082</t>
  </si>
  <si>
    <t xml:space="preserve">RPY-0009083</t>
  </si>
  <si>
    <t xml:space="preserve">RPY-0009084</t>
  </si>
  <si>
    <t xml:space="preserve">RPY-0009085</t>
  </si>
  <si>
    <t xml:space="preserve">RPY-0009086</t>
  </si>
  <si>
    <t xml:space="preserve">RPY-0009087</t>
  </si>
  <si>
    <t xml:space="preserve">RPY-0009088</t>
  </si>
  <si>
    <t xml:space="preserve">RPY-0009089</t>
  </si>
  <si>
    <t xml:space="preserve">RPY-0009090</t>
  </si>
  <si>
    <t xml:space="preserve">RPY-0009091</t>
  </si>
  <si>
    <t xml:space="preserve">RPY-0009092</t>
  </si>
  <si>
    <t xml:space="preserve">RPY-0009093</t>
  </si>
  <si>
    <t xml:space="preserve">RPY-0009094</t>
  </si>
  <si>
    <t xml:space="preserve">RPY-0009095</t>
  </si>
  <si>
    <t xml:space="preserve">RPY-0009096</t>
  </si>
  <si>
    <t xml:space="preserve">RPY-0009097</t>
  </si>
  <si>
    <t xml:space="preserve">RPY-0009098</t>
  </si>
  <si>
    <t xml:space="preserve">RPY-0009099</t>
  </si>
  <si>
    <t xml:space="preserve">RPY-0009100</t>
  </si>
  <si>
    <t xml:space="preserve">RPY-0009101</t>
  </si>
  <si>
    <t xml:space="preserve">RPY-0009102</t>
  </si>
  <si>
    <t xml:space="preserve">RPY-0009103</t>
  </si>
  <si>
    <t xml:space="preserve">RPY-0009104</t>
  </si>
  <si>
    <t xml:space="preserve">RPY-0009105</t>
  </si>
  <si>
    <t xml:space="preserve">RPY-0009106</t>
  </si>
  <si>
    <t xml:space="preserve">RPY-0009107</t>
  </si>
  <si>
    <t xml:space="preserve">RPY-0009108</t>
  </si>
  <si>
    <t xml:space="preserve">RPY-0009109</t>
  </si>
  <si>
    <t xml:space="preserve">RPY-0009110</t>
  </si>
  <si>
    <t xml:space="preserve">RPY-0009111</t>
  </si>
  <si>
    <t xml:space="preserve">RPY-0009112</t>
  </si>
  <si>
    <t xml:space="preserve">RPY-0009113</t>
  </si>
  <si>
    <t xml:space="preserve">RPY-0009114</t>
  </si>
  <si>
    <t xml:space="preserve">RPY-0009115</t>
  </si>
  <si>
    <t xml:space="preserve">RPY-0009116</t>
  </si>
  <si>
    <t xml:space="preserve">RPY-0009117</t>
  </si>
  <si>
    <t xml:space="preserve">RPY-0009118</t>
  </si>
  <si>
    <t xml:space="preserve">RPY-0009119</t>
  </si>
  <si>
    <t xml:space="preserve">RPY-0009120</t>
  </si>
  <si>
    <t xml:space="preserve">RPY-0009121</t>
  </si>
  <si>
    <t xml:space="preserve">RPY-0009122</t>
  </si>
  <si>
    <t xml:space="preserve">RPY-0009123</t>
  </si>
  <si>
    <t xml:space="preserve">RPY-0009124</t>
  </si>
  <si>
    <t xml:space="preserve">RPY-0009125</t>
  </si>
  <si>
    <t xml:space="preserve">RPY-0009126</t>
  </si>
  <si>
    <t xml:space="preserve">RPY-0009127</t>
  </si>
  <si>
    <t xml:space="preserve">RPY-0009128</t>
  </si>
  <si>
    <t xml:space="preserve">RPY-0009129</t>
  </si>
  <si>
    <t xml:space="preserve">RPY-0009130</t>
  </si>
  <si>
    <t xml:space="preserve">RPY-0009131</t>
  </si>
  <si>
    <t xml:space="preserve">RPY-0009132</t>
  </si>
  <si>
    <t xml:space="preserve">RPY-0009133</t>
  </si>
  <si>
    <t xml:space="preserve">RPY-0009134</t>
  </si>
  <si>
    <t xml:space="preserve">RPY-0009135</t>
  </si>
  <si>
    <t xml:space="preserve">RPY-0009136</t>
  </si>
  <si>
    <t xml:space="preserve">RPY-0009137</t>
  </si>
  <si>
    <t xml:space="preserve">RPY-0009138</t>
  </si>
  <si>
    <t xml:space="preserve">RPY-0009139</t>
  </si>
  <si>
    <t xml:space="preserve">RPY-0009140</t>
  </si>
  <si>
    <t xml:space="preserve">RPY-0009141</t>
  </si>
  <si>
    <t xml:space="preserve">RPY-0009142</t>
  </si>
  <si>
    <t xml:space="preserve">RPY-0009143</t>
  </si>
  <si>
    <t xml:space="preserve">RPY-0009144</t>
  </si>
  <si>
    <t xml:space="preserve">RPY-0009145</t>
  </si>
  <si>
    <t xml:space="preserve">RPY-0009146</t>
  </si>
  <si>
    <t xml:space="preserve">RPY-0009147</t>
  </si>
  <si>
    <t xml:space="preserve">RPY-0009148</t>
  </si>
  <si>
    <t xml:space="preserve">RPY-0009149</t>
  </si>
  <si>
    <t xml:space="preserve">RPY-0009150</t>
  </si>
  <si>
    <t xml:space="preserve">RPY-0009151</t>
  </si>
  <si>
    <t xml:space="preserve">RPY-0009152</t>
  </si>
  <si>
    <t xml:space="preserve">RPY-0009153</t>
  </si>
  <si>
    <t xml:space="preserve">RPY-0009154</t>
  </si>
  <si>
    <t xml:space="preserve">RPY-0009155</t>
  </si>
  <si>
    <t xml:space="preserve">RPY-0009156</t>
  </si>
  <si>
    <t xml:space="preserve">RPY-0009157</t>
  </si>
  <si>
    <t xml:space="preserve">RPY-0009158</t>
  </si>
  <si>
    <t xml:space="preserve">RPY-0009159</t>
  </si>
  <si>
    <t xml:space="preserve">RPY-0009160</t>
  </si>
  <si>
    <t xml:space="preserve">RPY-0009161</t>
  </si>
  <si>
    <t xml:space="preserve">RPY-0009162</t>
  </si>
  <si>
    <t xml:space="preserve">RPY-0009163</t>
  </si>
  <si>
    <t xml:space="preserve">RPY-0009164</t>
  </si>
  <si>
    <t xml:space="preserve">RPY-0009165</t>
  </si>
  <si>
    <t xml:space="preserve">RPY-0009166</t>
  </si>
  <si>
    <t xml:space="preserve">RPY-0009167</t>
  </si>
  <si>
    <t xml:space="preserve">RPY-0009168</t>
  </si>
  <si>
    <t xml:space="preserve">RPY-0009169</t>
  </si>
  <si>
    <t xml:space="preserve">RPY-0009170</t>
  </si>
  <si>
    <t xml:space="preserve">RPY-0009171</t>
  </si>
  <si>
    <t xml:space="preserve">RPY-0009172</t>
  </si>
  <si>
    <t xml:space="preserve">RPY-0009173</t>
  </si>
  <si>
    <t xml:space="preserve">RPY-0009174</t>
  </si>
  <si>
    <t xml:space="preserve">RPY-0009175</t>
  </si>
  <si>
    <t xml:space="preserve">RPY-0009176</t>
  </si>
  <si>
    <t xml:space="preserve">RPY-0009177</t>
  </si>
  <si>
    <t xml:space="preserve">RPY-0009178</t>
  </si>
  <si>
    <t xml:space="preserve">RPY-0009179</t>
  </si>
  <si>
    <t xml:space="preserve">RPY-0009180</t>
  </si>
  <si>
    <t xml:space="preserve">RPY-0009181</t>
  </si>
  <si>
    <t xml:space="preserve">RPY-0009182</t>
  </si>
  <si>
    <t xml:space="preserve">RPY-0009183</t>
  </si>
  <si>
    <t xml:space="preserve">RPY-0009184</t>
  </si>
  <si>
    <t xml:space="preserve">RPY-0009185</t>
  </si>
  <si>
    <t xml:space="preserve">RPY-0009186</t>
  </si>
  <si>
    <t xml:space="preserve">RPY-0009187</t>
  </si>
  <si>
    <t xml:space="preserve">RPY-0009188</t>
  </si>
  <si>
    <t xml:space="preserve">RPY-0009189</t>
  </si>
  <si>
    <t xml:space="preserve">RPY-0009190</t>
  </si>
  <si>
    <t xml:space="preserve">RPY-0009191</t>
  </si>
  <si>
    <t xml:space="preserve">RPY-0009192</t>
  </si>
  <si>
    <t xml:space="preserve">RPY-0009193</t>
  </si>
  <si>
    <t xml:space="preserve">RPY-0009194</t>
  </si>
  <si>
    <t xml:space="preserve">RPY-0009195</t>
  </si>
  <si>
    <t xml:space="preserve">RPY-0009196</t>
  </si>
  <si>
    <t xml:space="preserve">RPY-0009197</t>
  </si>
  <si>
    <t xml:space="preserve">RPY-0009198</t>
  </si>
  <si>
    <t xml:space="preserve">RPY-0009199</t>
  </si>
  <si>
    <t xml:space="preserve">RPY-0009200</t>
  </si>
  <si>
    <t xml:space="preserve">RPY-0009201</t>
  </si>
  <si>
    <t xml:space="preserve">RPY-0009202</t>
  </si>
  <si>
    <t xml:space="preserve">RPY-0009203</t>
  </si>
  <si>
    <t xml:space="preserve">RPY-0009204</t>
  </si>
  <si>
    <t xml:space="preserve">RPY-0009205</t>
  </si>
  <si>
    <t xml:space="preserve">RPY-0009206</t>
  </si>
  <si>
    <t xml:space="preserve">RPY-0009207</t>
  </si>
  <si>
    <t xml:space="preserve">RPY-0009208</t>
  </si>
  <si>
    <t xml:space="preserve">RPY-0009209</t>
  </si>
  <si>
    <t xml:space="preserve">RPY-0009210</t>
  </si>
  <si>
    <t xml:space="preserve">RPY-0009211</t>
  </si>
  <si>
    <t xml:space="preserve">RPY-0009212</t>
  </si>
  <si>
    <t xml:space="preserve">RPY-0009213</t>
  </si>
  <si>
    <t xml:space="preserve">RPY-0009214</t>
  </si>
  <si>
    <t xml:space="preserve">RPY-0009215</t>
  </si>
  <si>
    <t xml:space="preserve">RPY-0009216</t>
  </si>
  <si>
    <t xml:space="preserve">RPY-0009217</t>
  </si>
  <si>
    <t xml:space="preserve">RPY-0009218</t>
  </si>
  <si>
    <t xml:space="preserve">RPY-0009219</t>
  </si>
  <si>
    <t xml:space="preserve">RPY-0009220</t>
  </si>
  <si>
    <t xml:space="preserve">RPY-0009221</t>
  </si>
  <si>
    <t xml:space="preserve">RPY-0009222</t>
  </si>
  <si>
    <t xml:space="preserve">RPY-0009223</t>
  </si>
  <si>
    <t xml:space="preserve">RPY-0009224</t>
  </si>
  <si>
    <t xml:space="preserve">RPY-0009225</t>
  </si>
  <si>
    <t xml:space="preserve">RPY-0009226</t>
  </si>
  <si>
    <t xml:space="preserve">RPY-0009227</t>
  </si>
  <si>
    <t xml:space="preserve">RPY-0009228</t>
  </si>
  <si>
    <t xml:space="preserve">RPY-0009229</t>
  </si>
  <si>
    <t xml:space="preserve">RPY-0009230</t>
  </si>
  <si>
    <t xml:space="preserve">RPY-0009231</t>
  </si>
  <si>
    <t xml:space="preserve">RPY-0009232</t>
  </si>
  <si>
    <t xml:space="preserve">RPY-0009233</t>
  </si>
  <si>
    <t xml:space="preserve">RPY-0009234</t>
  </si>
  <si>
    <t xml:space="preserve">RPY-0009235</t>
  </si>
  <si>
    <t xml:space="preserve">RPY-0009236</t>
  </si>
  <si>
    <t xml:space="preserve">RPY-0009237</t>
  </si>
  <si>
    <t xml:space="preserve">RPY-0009238</t>
  </si>
  <si>
    <t xml:space="preserve">RPY-0009239</t>
  </si>
  <si>
    <t xml:space="preserve">RPY-0009240</t>
  </si>
  <si>
    <t xml:space="preserve">RPY-0009241</t>
  </si>
  <si>
    <t xml:space="preserve">RPY-0009242</t>
  </si>
  <si>
    <t xml:space="preserve">RPY-0009243</t>
  </si>
  <si>
    <t xml:space="preserve">RPY-0009244</t>
  </si>
  <si>
    <t xml:space="preserve">RPY-0009245</t>
  </si>
  <si>
    <t xml:space="preserve">RPY-0009246</t>
  </si>
  <si>
    <t xml:space="preserve">RPY-0009247</t>
  </si>
  <si>
    <t xml:space="preserve">RPY-0009248</t>
  </si>
  <si>
    <t xml:space="preserve">RPY-0009249</t>
  </si>
  <si>
    <t xml:space="preserve">RPY-0009250</t>
  </si>
  <si>
    <t xml:space="preserve">RPY-0009251</t>
  </si>
  <si>
    <t xml:space="preserve">RPY-0009252</t>
  </si>
  <si>
    <t xml:space="preserve">RPY-0009253</t>
  </si>
  <si>
    <t xml:space="preserve">RPY-0009254</t>
  </si>
  <si>
    <t xml:space="preserve">RPY-0009255</t>
  </si>
  <si>
    <t xml:space="preserve">RPY-0009256</t>
  </si>
  <si>
    <t xml:space="preserve">RPY-0009257</t>
  </si>
  <si>
    <t xml:space="preserve">RPY-0009258</t>
  </si>
  <si>
    <t xml:space="preserve">RPY-0009259</t>
  </si>
  <si>
    <t xml:space="preserve">RPY-0009260</t>
  </si>
  <si>
    <t xml:space="preserve">RPY-0009261</t>
  </si>
  <si>
    <t xml:space="preserve">RPY-0009262</t>
  </si>
  <si>
    <t xml:space="preserve">RPY-0009263</t>
  </si>
  <si>
    <t xml:space="preserve">RPY-0009264</t>
  </si>
  <si>
    <t xml:space="preserve">RPY-0009265</t>
  </si>
  <si>
    <t xml:space="preserve">RPY-0009266</t>
  </si>
  <si>
    <t xml:space="preserve">RPY-0009267</t>
  </si>
  <si>
    <t xml:space="preserve">RPY-0009268</t>
  </si>
  <si>
    <t xml:space="preserve">RPY-0009269</t>
  </si>
  <si>
    <t xml:space="preserve">RPY-0009270</t>
  </si>
  <si>
    <t xml:space="preserve">RPY-0009271</t>
  </si>
  <si>
    <t xml:space="preserve">RPY-0009272</t>
  </si>
  <si>
    <t xml:space="preserve">RPY-0009273</t>
  </si>
  <si>
    <t xml:space="preserve">RPY-0009274</t>
  </si>
  <si>
    <t xml:space="preserve">RPY-0009275</t>
  </si>
  <si>
    <t xml:space="preserve">RPY-0009276</t>
  </si>
  <si>
    <t xml:space="preserve">RPY-0009277</t>
  </si>
  <si>
    <t xml:space="preserve">RPY-0009278</t>
  </si>
  <si>
    <t xml:space="preserve">RPY-0009279</t>
  </si>
  <si>
    <t xml:space="preserve">RPY-0009280</t>
  </si>
  <si>
    <t xml:space="preserve">RPY-0009281</t>
  </si>
  <si>
    <t xml:space="preserve">RPY-0009282</t>
  </si>
  <si>
    <t xml:space="preserve">RPY-0009283</t>
  </si>
  <si>
    <t xml:space="preserve">RPY-0009284</t>
  </si>
  <si>
    <t xml:space="preserve">RPY-0009285</t>
  </si>
  <si>
    <t xml:space="preserve">RPY-0009286</t>
  </si>
  <si>
    <t xml:space="preserve">RPY-0009287</t>
  </si>
  <si>
    <t xml:space="preserve">RPY-0009288</t>
  </si>
  <si>
    <t xml:space="preserve">RPY-0009289</t>
  </si>
  <si>
    <t xml:space="preserve">RPY-0009290</t>
  </si>
  <si>
    <t xml:space="preserve">RPY-0009291</t>
  </si>
  <si>
    <t xml:space="preserve">RPY-0009292</t>
  </si>
  <si>
    <t xml:space="preserve">RPY-0009293</t>
  </si>
  <si>
    <t xml:space="preserve">RPY-0009294</t>
  </si>
  <si>
    <t xml:space="preserve">RPY-0009295</t>
  </si>
  <si>
    <t xml:space="preserve">RPY-0009296</t>
  </si>
  <si>
    <t xml:space="preserve">RPY-0009297</t>
  </si>
  <si>
    <t xml:space="preserve">RPY-0009298</t>
  </si>
  <si>
    <t xml:space="preserve">RPY-0009299</t>
  </si>
  <si>
    <t xml:space="preserve">RPY-0009300</t>
  </si>
  <si>
    <t xml:space="preserve">RPY-0009301</t>
  </si>
  <si>
    <t xml:space="preserve">RPY-0009302</t>
  </si>
  <si>
    <t xml:space="preserve">RPY-0009303</t>
  </si>
  <si>
    <t xml:space="preserve">RPY-0009304</t>
  </si>
  <si>
    <t xml:space="preserve">RPY-0009305</t>
  </si>
  <si>
    <t xml:space="preserve">RPY-0009306</t>
  </si>
  <si>
    <t xml:space="preserve">RPY-0009307</t>
  </si>
  <si>
    <t xml:space="preserve">RPY-0009308</t>
  </si>
  <si>
    <t xml:space="preserve">RPY-0009309</t>
  </si>
  <si>
    <t xml:space="preserve">RPY-0009310</t>
  </si>
  <si>
    <t xml:space="preserve">RPY-0009311</t>
  </si>
  <si>
    <t xml:space="preserve">RPY-0009312</t>
  </si>
  <si>
    <t xml:space="preserve">RPY-0009313</t>
  </si>
  <si>
    <t xml:space="preserve">RPY-0009314</t>
  </si>
  <si>
    <t xml:space="preserve">RPY-0009315</t>
  </si>
  <si>
    <t xml:space="preserve">RPY-0009316</t>
  </si>
  <si>
    <t xml:space="preserve">RPY-0009317</t>
  </si>
  <si>
    <t xml:space="preserve">RPY-0009318</t>
  </si>
  <si>
    <t xml:space="preserve">RPY-0009319</t>
  </si>
  <si>
    <t xml:space="preserve">RPY-0009320</t>
  </si>
  <si>
    <t xml:space="preserve">RPY-0009321</t>
  </si>
  <si>
    <t xml:space="preserve">RPY-0009322</t>
  </si>
  <si>
    <t xml:space="preserve">RPY-0009323</t>
  </si>
  <si>
    <t xml:space="preserve">RPY-0009324</t>
  </si>
  <si>
    <t xml:space="preserve">RPY-0009325</t>
  </si>
  <si>
    <t xml:space="preserve">RPY-0009326</t>
  </si>
  <si>
    <t xml:space="preserve">RPY-0009327</t>
  </si>
  <si>
    <t xml:space="preserve">RPY-0009328</t>
  </si>
  <si>
    <t xml:space="preserve">RPY-0009329</t>
  </si>
  <si>
    <t xml:space="preserve">RPY-0009330</t>
  </si>
  <si>
    <t xml:space="preserve">RPY-0009331</t>
  </si>
  <si>
    <t xml:space="preserve">RPY-0009332</t>
  </si>
  <si>
    <t xml:space="preserve">RPY-0009333</t>
  </si>
  <si>
    <t xml:space="preserve">RPY-0009334</t>
  </si>
  <si>
    <t xml:space="preserve">RPY-0009335</t>
  </si>
  <si>
    <t xml:space="preserve">RPY-0009336</t>
  </si>
  <si>
    <t xml:space="preserve">RPY-0009337</t>
  </si>
  <si>
    <t xml:space="preserve">RPY-0009338</t>
  </si>
  <si>
    <t xml:space="preserve">RPY-0009339</t>
  </si>
  <si>
    <t xml:space="preserve">RPY-0009340</t>
  </si>
  <si>
    <t xml:space="preserve">RPY-0009341</t>
  </si>
  <si>
    <t xml:space="preserve">RPY-0009342</t>
  </si>
  <si>
    <t xml:space="preserve">RPY-0009343</t>
  </si>
  <si>
    <t xml:space="preserve">RPY-0009344</t>
  </si>
  <si>
    <t xml:space="preserve">RPY-0009345</t>
  </si>
  <si>
    <t xml:space="preserve">RPY-0009346</t>
  </si>
  <si>
    <t xml:space="preserve">RPY-0009347</t>
  </si>
  <si>
    <t xml:space="preserve">RPY-0009348</t>
  </si>
  <si>
    <t xml:space="preserve">RPY-0009349</t>
  </si>
  <si>
    <t xml:space="preserve">RPY-0009350</t>
  </si>
  <si>
    <t xml:space="preserve">RPY-0009351</t>
  </si>
  <si>
    <t xml:space="preserve">RPY-0009352</t>
  </si>
  <si>
    <t xml:space="preserve">RPY-0009353</t>
  </si>
  <si>
    <t xml:space="preserve">RPY-0009354</t>
  </si>
  <si>
    <t xml:space="preserve">RPY-0009355</t>
  </si>
  <si>
    <t xml:space="preserve">RPY-0009356</t>
  </si>
  <si>
    <t xml:space="preserve">RPY-0009357</t>
  </si>
  <si>
    <t xml:space="preserve">RPY-0009358</t>
  </si>
  <si>
    <t xml:space="preserve">RPY-0009359</t>
  </si>
  <si>
    <t xml:space="preserve">RPY-0009360</t>
  </si>
  <si>
    <t xml:space="preserve">RPY-0009361</t>
  </si>
  <si>
    <t xml:space="preserve">RPY-0009362</t>
  </si>
  <si>
    <t xml:space="preserve">RPY-0009363</t>
  </si>
  <si>
    <t xml:space="preserve">RPY-0009364</t>
  </si>
  <si>
    <t xml:space="preserve">RPY-0009365</t>
  </si>
  <si>
    <t xml:space="preserve">RPY-0009366</t>
  </si>
  <si>
    <t xml:space="preserve">RPY-0009367</t>
  </si>
  <si>
    <t xml:space="preserve">RPY-0009368</t>
  </si>
  <si>
    <t xml:space="preserve">RPY-0009369</t>
  </si>
  <si>
    <t xml:space="preserve">RPY-0009370</t>
  </si>
  <si>
    <t xml:space="preserve">RPY-0009371</t>
  </si>
  <si>
    <t xml:space="preserve">RPY-0009372</t>
  </si>
  <si>
    <t xml:space="preserve">RPY-0009373</t>
  </si>
  <si>
    <t xml:space="preserve">RPY-0009374</t>
  </si>
  <si>
    <t xml:space="preserve">RPY-0009375</t>
  </si>
  <si>
    <t xml:space="preserve">RPY-0009376</t>
  </si>
  <si>
    <t xml:space="preserve">RPY-0009377</t>
  </si>
  <si>
    <t xml:space="preserve">RPY-0009378</t>
  </si>
  <si>
    <t xml:space="preserve">RPY-0009379</t>
  </si>
  <si>
    <t xml:space="preserve">RPY-0009380</t>
  </si>
  <si>
    <t xml:space="preserve">RPY-0009381</t>
  </si>
  <si>
    <t xml:space="preserve">RPY-0009382</t>
  </si>
  <si>
    <t xml:space="preserve">RPY-0009383</t>
  </si>
  <si>
    <t xml:space="preserve">RPY-0009384</t>
  </si>
  <si>
    <t xml:space="preserve">RPY-0009385</t>
  </si>
  <si>
    <t xml:space="preserve">RPY-0009386</t>
  </si>
  <si>
    <t xml:space="preserve">RPY-0009387</t>
  </si>
  <si>
    <t xml:space="preserve">RPY-0009388</t>
  </si>
  <si>
    <t xml:space="preserve">RPY-0009389</t>
  </si>
  <si>
    <t xml:space="preserve">RPY-0009390</t>
  </si>
  <si>
    <t xml:space="preserve">RPY-0009391</t>
  </si>
  <si>
    <t xml:space="preserve">RPY-0009392</t>
  </si>
  <si>
    <t xml:space="preserve">RPY-0009393</t>
  </si>
  <si>
    <t xml:space="preserve">RPY-0009394</t>
  </si>
  <si>
    <t xml:space="preserve">RPY-0009395</t>
  </si>
  <si>
    <t xml:space="preserve">RPY-0009396</t>
  </si>
  <si>
    <t xml:space="preserve">RPY-0009397</t>
  </si>
  <si>
    <t xml:space="preserve">RPY-0009398</t>
  </si>
  <si>
    <t xml:space="preserve">RPY-0009399</t>
  </si>
  <si>
    <t xml:space="preserve">RPY-0009400</t>
  </si>
  <si>
    <t xml:space="preserve">RPY-0009401</t>
  </si>
  <si>
    <t xml:space="preserve">RPY-0009402</t>
  </si>
  <si>
    <t xml:space="preserve">RPY-0009403</t>
  </si>
  <si>
    <t xml:space="preserve">RPY-0009404</t>
  </si>
  <si>
    <t xml:space="preserve">RPY-0009405</t>
  </si>
  <si>
    <t xml:space="preserve">RPY-0009406</t>
  </si>
  <si>
    <t xml:space="preserve">RPY-0009407</t>
  </si>
  <si>
    <t xml:space="preserve">RPY-0009408</t>
  </si>
  <si>
    <t xml:space="preserve">RPY-0009409</t>
  </si>
  <si>
    <t xml:space="preserve">RPY-0009410</t>
  </si>
  <si>
    <t xml:space="preserve">RPY-0009411</t>
  </si>
  <si>
    <t xml:space="preserve">RPY-0009412</t>
  </si>
  <si>
    <t xml:space="preserve">RPY-0009413</t>
  </si>
  <si>
    <t xml:space="preserve">RPY-0009414</t>
  </si>
  <si>
    <t xml:space="preserve">RPY-0009415</t>
  </si>
  <si>
    <t xml:space="preserve">RPY-0009416</t>
  </si>
  <si>
    <t xml:space="preserve">RPY-0009417</t>
  </si>
  <si>
    <t xml:space="preserve">RPY-0009418</t>
  </si>
  <si>
    <t xml:space="preserve">RPY-0009419</t>
  </si>
  <si>
    <t xml:space="preserve">RPY-0009420</t>
  </si>
  <si>
    <t xml:space="preserve">RPY-0009421</t>
  </si>
  <si>
    <t xml:space="preserve">RPY-0009422</t>
  </si>
  <si>
    <t xml:space="preserve">RPY-0009423</t>
  </si>
  <si>
    <t xml:space="preserve">RPY-0009424</t>
  </si>
  <si>
    <t xml:space="preserve">RPY-0009425</t>
  </si>
  <si>
    <t xml:space="preserve">RPY-0009426</t>
  </si>
  <si>
    <t xml:space="preserve">RPY-0009427</t>
  </si>
  <si>
    <t xml:space="preserve">RPY-0009428</t>
  </si>
  <si>
    <t xml:space="preserve">RPY-0009429</t>
  </si>
  <si>
    <t xml:space="preserve">RPY-0009430</t>
  </si>
  <si>
    <t xml:space="preserve">RPY-0009431</t>
  </si>
  <si>
    <t xml:space="preserve">RPY-0009432</t>
  </si>
  <si>
    <t xml:space="preserve">RPY-0009433</t>
  </si>
  <si>
    <t xml:space="preserve">RPY-0009434</t>
  </si>
  <si>
    <t xml:space="preserve">RPY-0009435</t>
  </si>
  <si>
    <t xml:space="preserve">RPY-0009436</t>
  </si>
  <si>
    <t xml:space="preserve">RPY-0009437</t>
  </si>
  <si>
    <t xml:space="preserve">RPY-0009438</t>
  </si>
  <si>
    <t xml:space="preserve">RPY-0009439</t>
  </si>
  <si>
    <t xml:space="preserve">RPY-0009440</t>
  </si>
  <si>
    <t xml:space="preserve">RPY-0009441</t>
  </si>
  <si>
    <t xml:space="preserve">RPY-0009442</t>
  </si>
  <si>
    <t xml:space="preserve">RPY-0009443</t>
  </si>
  <si>
    <t xml:space="preserve">RPY-0009444</t>
  </si>
  <si>
    <t xml:space="preserve">RPY-0009445</t>
  </si>
  <si>
    <t xml:space="preserve">RPY-0009446</t>
  </si>
  <si>
    <t xml:space="preserve">RPY-0009447</t>
  </si>
  <si>
    <t xml:space="preserve">RPY-0009448</t>
  </si>
  <si>
    <t xml:space="preserve">RPY-0009449</t>
  </si>
  <si>
    <t xml:space="preserve">RPY-0009450</t>
  </si>
  <si>
    <t xml:space="preserve">RPY-0009451</t>
  </si>
  <si>
    <t xml:space="preserve">RPY-0009452</t>
  </si>
  <si>
    <t xml:space="preserve">RPY-0009453</t>
  </si>
  <si>
    <t xml:space="preserve">RPY-0009454</t>
  </si>
  <si>
    <t xml:space="preserve">RPY-0009455</t>
  </si>
  <si>
    <t xml:space="preserve">RPY-0009456</t>
  </si>
  <si>
    <t xml:space="preserve">RPY-0009457</t>
  </si>
  <si>
    <t xml:space="preserve">RPY-0009458</t>
  </si>
  <si>
    <t xml:space="preserve">RPY-0009459</t>
  </si>
  <si>
    <t xml:space="preserve">RPY-0009460</t>
  </si>
  <si>
    <t xml:space="preserve">RPY-0009461</t>
  </si>
  <si>
    <t xml:space="preserve">RPY-0009462</t>
  </si>
  <si>
    <t xml:space="preserve">RPY-0009463</t>
  </si>
  <si>
    <t xml:space="preserve">RPY-0009464</t>
  </si>
  <si>
    <t xml:space="preserve">RPY-0009465</t>
  </si>
  <si>
    <t xml:space="preserve">RPY-0009466</t>
  </si>
  <si>
    <t xml:space="preserve">RPY-0009467</t>
  </si>
  <si>
    <t xml:space="preserve">RPY-0009468</t>
  </si>
  <si>
    <t xml:space="preserve">RPY-0009469</t>
  </si>
  <si>
    <t xml:space="preserve">RPY-0009470</t>
  </si>
  <si>
    <t xml:space="preserve">RPY-0009471</t>
  </si>
  <si>
    <t xml:space="preserve">RPY-0009472</t>
  </si>
  <si>
    <t xml:space="preserve">RPY-0009473</t>
  </si>
  <si>
    <t xml:space="preserve">RPY-0009474</t>
  </si>
  <si>
    <t xml:space="preserve">RPY-0009475</t>
  </si>
  <si>
    <t xml:space="preserve">RPY-0009476</t>
  </si>
  <si>
    <t xml:space="preserve">RPY-0009477</t>
  </si>
  <si>
    <t xml:space="preserve">RPY-0009478</t>
  </si>
  <si>
    <t xml:space="preserve">RPY-0009479</t>
  </si>
  <si>
    <t xml:space="preserve">RPY-0009480</t>
  </si>
  <si>
    <t xml:space="preserve">RPY-0009481</t>
  </si>
  <si>
    <t xml:space="preserve">RPY-0009482</t>
  </si>
  <si>
    <t xml:space="preserve">RPY-0009483</t>
  </si>
  <si>
    <t xml:space="preserve">RPY-0009484</t>
  </si>
  <si>
    <t xml:space="preserve">RPY-0009485</t>
  </si>
  <si>
    <t xml:space="preserve">RPY-0009486</t>
  </si>
  <si>
    <t xml:space="preserve">RPY-0009487</t>
  </si>
  <si>
    <t xml:space="preserve">RPY-0009488</t>
  </si>
  <si>
    <t xml:space="preserve">RPY-0009489</t>
  </si>
  <si>
    <t xml:space="preserve">RPY-0009490</t>
  </si>
  <si>
    <t xml:space="preserve">RPY-0009491</t>
  </si>
  <si>
    <t xml:space="preserve">RPY-0009492</t>
  </si>
  <si>
    <t xml:space="preserve">RPY-0009493</t>
  </si>
  <si>
    <t xml:space="preserve">RPY-0009494</t>
  </si>
  <si>
    <t xml:space="preserve">RPY-0009495</t>
  </si>
  <si>
    <t xml:space="preserve">RPY-0009496</t>
  </si>
  <si>
    <t xml:space="preserve">RPY-0009497</t>
  </si>
  <si>
    <t xml:space="preserve">RPY-0009498</t>
  </si>
  <si>
    <t xml:space="preserve">RPY-0009499</t>
  </si>
  <si>
    <t xml:space="preserve">RPY-0009500</t>
  </si>
  <si>
    <t xml:space="preserve">RPY-0009501</t>
  </si>
  <si>
    <t xml:space="preserve">RPY-0009502</t>
  </si>
  <si>
    <t xml:space="preserve">RPY-0009503</t>
  </si>
  <si>
    <t xml:space="preserve">RPY-0009504</t>
  </si>
  <si>
    <t xml:space="preserve">RPY-0009505</t>
  </si>
  <si>
    <t xml:space="preserve">RPY-0009506</t>
  </si>
  <si>
    <t xml:space="preserve">RPY-0009507</t>
  </si>
  <si>
    <t xml:space="preserve">RPY-0009508</t>
  </si>
  <si>
    <t xml:space="preserve">RPY-0009509</t>
  </si>
  <si>
    <t xml:space="preserve">RPY-0009510</t>
  </si>
  <si>
    <t xml:space="preserve">RPY-0009511</t>
  </si>
  <si>
    <t xml:space="preserve">RPY-0009512</t>
  </si>
  <si>
    <t xml:space="preserve">RPY-0009513</t>
  </si>
  <si>
    <t xml:space="preserve">RPY-0009514</t>
  </si>
  <si>
    <t xml:space="preserve">RPY-0009515</t>
  </si>
  <si>
    <t xml:space="preserve">RPY-0009516</t>
  </si>
  <si>
    <t xml:space="preserve">RPY-0009517</t>
  </si>
  <si>
    <t xml:space="preserve">RPY-0009518</t>
  </si>
  <si>
    <t xml:space="preserve">RPY-0009519</t>
  </si>
  <si>
    <t xml:space="preserve">RPY-0009520</t>
  </si>
  <si>
    <t xml:space="preserve">RPY-0009521</t>
  </si>
  <si>
    <t xml:space="preserve">RPY-0009522</t>
  </si>
  <si>
    <t xml:space="preserve">RPY-0009523</t>
  </si>
  <si>
    <t xml:space="preserve">RPY-0009524</t>
  </si>
  <si>
    <t xml:space="preserve">RPY-0009525</t>
  </si>
  <si>
    <t xml:space="preserve">RPY-0009526</t>
  </si>
  <si>
    <t xml:space="preserve">RPY-0009527</t>
  </si>
  <si>
    <t xml:space="preserve">RPY-0009528</t>
  </si>
  <si>
    <t xml:space="preserve">RPY-0009529</t>
  </si>
  <si>
    <t xml:space="preserve">RPY-0009530</t>
  </si>
  <si>
    <t xml:space="preserve">RPY-0009531</t>
  </si>
  <si>
    <t xml:space="preserve">RPY-0009532</t>
  </si>
  <si>
    <t xml:space="preserve">RPY-0009533</t>
  </si>
  <si>
    <t xml:space="preserve">RPY-0009534</t>
  </si>
  <si>
    <t xml:space="preserve">RPY-0009535</t>
  </si>
  <si>
    <t xml:space="preserve">RPY-0009536</t>
  </si>
  <si>
    <t xml:space="preserve">RPY-0009537</t>
  </si>
  <si>
    <t xml:space="preserve">RPY-0009538</t>
  </si>
  <si>
    <t xml:space="preserve">RPY-0009539</t>
  </si>
  <si>
    <t xml:space="preserve">RPY-0009540</t>
  </si>
  <si>
    <t xml:space="preserve">RPY-0009541</t>
  </si>
  <si>
    <t xml:space="preserve">RPY-0009542</t>
  </si>
  <si>
    <t xml:space="preserve">RPY-0009543</t>
  </si>
  <si>
    <t xml:space="preserve">RPY-0009544</t>
  </si>
  <si>
    <t xml:space="preserve">RPY-0009545</t>
  </si>
  <si>
    <t xml:space="preserve">RPY-0009546</t>
  </si>
  <si>
    <t xml:space="preserve">RPY-0009547</t>
  </si>
  <si>
    <t xml:space="preserve">RPY-0009548</t>
  </si>
  <si>
    <t xml:space="preserve">RPY-0009549</t>
  </si>
  <si>
    <t xml:space="preserve">RPY-0009550</t>
  </si>
  <si>
    <t xml:space="preserve">RPY-0009551</t>
  </si>
  <si>
    <t xml:space="preserve">RPY-0009552</t>
  </si>
  <si>
    <t xml:space="preserve">RPY-0009553</t>
  </si>
  <si>
    <t xml:space="preserve">RPY-0009554</t>
  </si>
  <si>
    <t xml:space="preserve">RPY-0009555</t>
  </si>
  <si>
    <t xml:space="preserve">RPY-0009556</t>
  </si>
  <si>
    <t xml:space="preserve">RPY-0009557</t>
  </si>
  <si>
    <t xml:space="preserve">RPY-0009558</t>
  </si>
  <si>
    <t xml:space="preserve">RPY-0009559</t>
  </si>
  <si>
    <t xml:space="preserve">RPY-0009560</t>
  </si>
  <si>
    <t xml:space="preserve">RPY-0009561</t>
  </si>
  <si>
    <t xml:space="preserve">RPY-0009562</t>
  </si>
  <si>
    <t xml:space="preserve">RPY-0009563</t>
  </si>
  <si>
    <t xml:space="preserve">RPY-0009564</t>
  </si>
  <si>
    <t xml:space="preserve">RPY-0009565</t>
  </si>
  <si>
    <t xml:space="preserve">RPY-0009566</t>
  </si>
  <si>
    <t xml:space="preserve">RPY-0009567</t>
  </si>
  <si>
    <t xml:space="preserve">RPY-0009568</t>
  </si>
  <si>
    <t xml:space="preserve">RPY-0009569</t>
  </si>
  <si>
    <t xml:space="preserve">RPY-0009570</t>
  </si>
  <si>
    <t xml:space="preserve">RPY-0009571</t>
  </si>
  <si>
    <t xml:space="preserve">RPY-0009572</t>
  </si>
  <si>
    <t xml:space="preserve">RPY-0009573</t>
  </si>
  <si>
    <t xml:space="preserve">RPY-0009574</t>
  </si>
  <si>
    <t xml:space="preserve">RPY-0009575</t>
  </si>
  <si>
    <t xml:space="preserve">RPY-0009576</t>
  </si>
  <si>
    <t xml:space="preserve">RPY-0009577</t>
  </si>
  <si>
    <t xml:space="preserve">RPY-0009578</t>
  </si>
  <si>
    <t xml:space="preserve">RPY-0009579</t>
  </si>
  <si>
    <t xml:space="preserve">RPY-0009580</t>
  </si>
  <si>
    <t xml:space="preserve">RPY-0009581</t>
  </si>
  <si>
    <t xml:space="preserve">RPY-0009582</t>
  </si>
  <si>
    <t xml:space="preserve">RPY-0009583</t>
  </si>
  <si>
    <t xml:space="preserve">RPY-0009584</t>
  </si>
  <si>
    <t xml:space="preserve">RPY-0009585</t>
  </si>
  <si>
    <t xml:space="preserve">RPY-0009586</t>
  </si>
  <si>
    <t xml:space="preserve">RPY-0009587</t>
  </si>
  <si>
    <t xml:space="preserve">RPY-0009588</t>
  </si>
  <si>
    <t xml:space="preserve">RPY-0009589</t>
  </si>
  <si>
    <t xml:space="preserve">RPY-0009590</t>
  </si>
  <si>
    <t xml:space="preserve">RPY-0009591</t>
  </si>
  <si>
    <t xml:space="preserve">RPY-0009592</t>
  </si>
  <si>
    <t xml:space="preserve">RPY-0009593</t>
  </si>
  <si>
    <t xml:space="preserve">RPY-0009594</t>
  </si>
  <si>
    <t xml:space="preserve">RPY-0009595</t>
  </si>
  <si>
    <t xml:space="preserve">RPY-0009596</t>
  </si>
  <si>
    <t xml:space="preserve">RPY-0009597</t>
  </si>
  <si>
    <t xml:space="preserve">RPY-0009598</t>
  </si>
  <si>
    <t xml:space="preserve">RPY-0009599</t>
  </si>
  <si>
    <t xml:space="preserve">RPY-0009600</t>
  </si>
  <si>
    <t xml:space="preserve">RPY-0009601</t>
  </si>
  <si>
    <t xml:space="preserve">RPY-0009602</t>
  </si>
  <si>
    <t xml:space="preserve">RPY-0009603</t>
  </si>
  <si>
    <t xml:space="preserve">RPY-0009604</t>
  </si>
  <si>
    <t xml:space="preserve">RPY-0009605</t>
  </si>
  <si>
    <t xml:space="preserve">RPY-0009606</t>
  </si>
  <si>
    <t xml:space="preserve">RPY-0009607</t>
  </si>
  <si>
    <t xml:space="preserve">RPY-0009608</t>
  </si>
  <si>
    <t xml:space="preserve">RPY-0009609</t>
  </si>
  <si>
    <t xml:space="preserve">RPY-0009610</t>
  </si>
  <si>
    <t xml:space="preserve">RPY-0009611</t>
  </si>
  <si>
    <t xml:space="preserve">RPY-0009612</t>
  </si>
  <si>
    <t xml:space="preserve">RPY-0009613</t>
  </si>
  <si>
    <t xml:space="preserve">RPY-0009614</t>
  </si>
  <si>
    <t xml:space="preserve">RPY-0009615</t>
  </si>
  <si>
    <t xml:space="preserve">RPY-0009616</t>
  </si>
  <si>
    <t xml:space="preserve">RPY-0009617</t>
  </si>
  <si>
    <t xml:space="preserve">RPY-0009618</t>
  </si>
  <si>
    <t xml:space="preserve">RPY-0009619</t>
  </si>
  <si>
    <t xml:space="preserve">RPY-0009620</t>
  </si>
  <si>
    <t xml:space="preserve">RPY-0009621</t>
  </si>
  <si>
    <t xml:space="preserve">RPY-0009622</t>
  </si>
  <si>
    <t xml:space="preserve">RPY-0009623</t>
  </si>
  <si>
    <t xml:space="preserve">RPY-0009624</t>
  </si>
  <si>
    <t xml:space="preserve">RPY-0009625</t>
  </si>
  <si>
    <t xml:space="preserve">RPY-0009626</t>
  </si>
  <si>
    <t xml:space="preserve">RPY-0009627</t>
  </si>
  <si>
    <t xml:space="preserve">RPY-0009628</t>
  </si>
  <si>
    <t xml:space="preserve">RPY-0009629</t>
  </si>
  <si>
    <t xml:space="preserve">RPY-0009630</t>
  </si>
  <si>
    <t xml:space="preserve">RPY-0009631</t>
  </si>
  <si>
    <t xml:space="preserve">RPY-0009632</t>
  </si>
  <si>
    <t xml:space="preserve">RPY-0009633</t>
  </si>
  <si>
    <t xml:space="preserve">RPY-0009634</t>
  </si>
  <si>
    <t xml:space="preserve">RPY-0009635</t>
  </si>
  <si>
    <t xml:space="preserve">RPY-0009636</t>
  </si>
  <si>
    <t xml:space="preserve">RPY-0009637</t>
  </si>
  <si>
    <t xml:space="preserve">RPY-0009638</t>
  </si>
  <si>
    <t xml:space="preserve">RPY-0009639</t>
  </si>
  <si>
    <t xml:space="preserve">RPY-0009640</t>
  </si>
  <si>
    <t xml:space="preserve">RPY-0009641</t>
  </si>
  <si>
    <t xml:space="preserve">RPY-0009642</t>
  </si>
  <si>
    <t xml:space="preserve">RPY-0009643</t>
  </si>
  <si>
    <t xml:space="preserve">RPY-0009644</t>
  </si>
  <si>
    <t xml:space="preserve">RPY-0009645</t>
  </si>
  <si>
    <t xml:space="preserve">RPY-0009646</t>
  </si>
  <si>
    <t xml:space="preserve">RPY-0009647</t>
  </si>
  <si>
    <t xml:space="preserve">RPY-0009648</t>
  </si>
  <si>
    <t xml:space="preserve">RPY-0009649</t>
  </si>
  <si>
    <t xml:space="preserve">RPY-0009650</t>
  </si>
  <si>
    <t xml:space="preserve">RPY-0009651</t>
  </si>
  <si>
    <t xml:space="preserve">RPY-0009652</t>
  </si>
  <si>
    <t xml:space="preserve">RPY-0009653</t>
  </si>
  <si>
    <t xml:space="preserve">RPY-0009654</t>
  </si>
  <si>
    <t xml:space="preserve">RPY-0009655</t>
  </si>
  <si>
    <t xml:space="preserve">RPY-0009656</t>
  </si>
  <si>
    <t xml:space="preserve">RPY-0009657</t>
  </si>
  <si>
    <t xml:space="preserve">RPY-0009658</t>
  </si>
  <si>
    <t xml:space="preserve">RPY-0009659</t>
  </si>
  <si>
    <t xml:space="preserve">RPY-0009660</t>
  </si>
  <si>
    <t xml:space="preserve">RPY-0009661</t>
  </si>
  <si>
    <t xml:space="preserve">RPY-0009662</t>
  </si>
  <si>
    <t xml:space="preserve">RPY-0009663</t>
  </si>
  <si>
    <t xml:space="preserve">RPY-0009664</t>
  </si>
  <si>
    <t xml:space="preserve">RPY-0009665</t>
  </si>
  <si>
    <t xml:space="preserve">RPY-0009666</t>
  </si>
  <si>
    <t xml:space="preserve">RPY-0009667</t>
  </si>
  <si>
    <t xml:space="preserve">RPY-0009668</t>
  </si>
  <si>
    <t xml:space="preserve">RPY-0009669</t>
  </si>
  <si>
    <t xml:space="preserve">RPY-0009670</t>
  </si>
  <si>
    <t xml:space="preserve">RPY-0009671</t>
  </si>
  <si>
    <t xml:space="preserve">RPY-0009672</t>
  </si>
  <si>
    <t xml:space="preserve">RPY-0009673</t>
  </si>
  <si>
    <t xml:space="preserve">RPY-0009674</t>
  </si>
  <si>
    <t xml:space="preserve">RPY-0009675</t>
  </si>
  <si>
    <t xml:space="preserve">RPY-0009676</t>
  </si>
  <si>
    <t xml:space="preserve">RPY-0009677</t>
  </si>
  <si>
    <t xml:space="preserve">RPY-0009678</t>
  </si>
  <si>
    <t xml:space="preserve">RPY-0009679</t>
  </si>
  <si>
    <t xml:space="preserve">RPY-0009680</t>
  </si>
  <si>
    <t xml:space="preserve">RPY-0009681</t>
  </si>
  <si>
    <t xml:space="preserve">RPY-0009682</t>
  </si>
  <si>
    <t xml:space="preserve">RPY-0009683</t>
  </si>
  <si>
    <t xml:space="preserve">RPY-0009684</t>
  </si>
  <si>
    <t xml:space="preserve">RPY-0009685</t>
  </si>
  <si>
    <t xml:space="preserve">RPY-0009686</t>
  </si>
  <si>
    <t xml:space="preserve">RPY-0009687</t>
  </si>
  <si>
    <t xml:space="preserve">RPY-0009688</t>
  </si>
  <si>
    <t xml:space="preserve">RPY-0009689</t>
  </si>
  <si>
    <t xml:space="preserve">RPY-0009690</t>
  </si>
  <si>
    <t xml:space="preserve">RPY-0009691</t>
  </si>
  <si>
    <t xml:space="preserve">RPY-0009692</t>
  </si>
  <si>
    <t xml:space="preserve">RPY-0009693</t>
  </si>
  <si>
    <t xml:space="preserve">RPY-0009694</t>
  </si>
  <si>
    <t xml:space="preserve">RPY-0009695</t>
  </si>
  <si>
    <t xml:space="preserve">RPY-0009696</t>
  </si>
  <si>
    <t xml:space="preserve">RPY-0009697</t>
  </si>
  <si>
    <t xml:space="preserve">RPY-0009698</t>
  </si>
  <si>
    <t xml:space="preserve">RPY-0009699</t>
  </si>
  <si>
    <t xml:space="preserve">RPY-0009700</t>
  </si>
  <si>
    <t xml:space="preserve">RPY-0009701</t>
  </si>
  <si>
    <t xml:space="preserve">RPY-0009702</t>
  </si>
  <si>
    <t xml:space="preserve">RPY-0009703</t>
  </si>
  <si>
    <t xml:space="preserve">RPY-0009704</t>
  </si>
  <si>
    <t xml:space="preserve">RPY-0009705</t>
  </si>
  <si>
    <t xml:space="preserve">RPY-0009706</t>
  </si>
  <si>
    <t xml:space="preserve">RPY-0009707</t>
  </si>
  <si>
    <t xml:space="preserve">RPY-0009708</t>
  </si>
  <si>
    <t xml:space="preserve">RPY-0009709</t>
  </si>
  <si>
    <t xml:space="preserve">RPY-0009710</t>
  </si>
  <si>
    <t xml:space="preserve">RPY-0009711</t>
  </si>
  <si>
    <t xml:space="preserve">RPY-0009712</t>
  </si>
  <si>
    <t xml:space="preserve">RPY-0009713</t>
  </si>
  <si>
    <t xml:space="preserve">RPY-0009714</t>
  </si>
  <si>
    <t xml:space="preserve">RPY-0009715</t>
  </si>
  <si>
    <t xml:space="preserve">RPY-0009716</t>
  </si>
  <si>
    <t xml:space="preserve">RPY-0009717</t>
  </si>
  <si>
    <t xml:space="preserve">RPY-0009718</t>
  </si>
  <si>
    <t xml:space="preserve">RPY-0009719</t>
  </si>
  <si>
    <t xml:space="preserve">RPY-0009720</t>
  </si>
  <si>
    <t xml:space="preserve">RPY-0009721</t>
  </si>
  <si>
    <t xml:space="preserve">RPY-0009722</t>
  </si>
  <si>
    <t xml:space="preserve">RPY-0009723</t>
  </si>
  <si>
    <t xml:space="preserve">RPY-0009724</t>
  </si>
  <si>
    <t xml:space="preserve">RPY-0009725</t>
  </si>
  <si>
    <t xml:space="preserve">RPY-0009726</t>
  </si>
  <si>
    <t xml:space="preserve">RPY-0009727</t>
  </si>
  <si>
    <t xml:space="preserve">RPY-0009728</t>
  </si>
  <si>
    <t xml:space="preserve">RPY-0009729</t>
  </si>
  <si>
    <t xml:space="preserve">RPY-0009730</t>
  </si>
  <si>
    <t xml:space="preserve">RPY-0009731</t>
  </si>
  <si>
    <t xml:space="preserve">RPY-0009732</t>
  </si>
  <si>
    <t xml:space="preserve">RPY-0009733</t>
  </si>
  <si>
    <t xml:space="preserve">RPY-0009734</t>
  </si>
  <si>
    <t xml:space="preserve">RPY-0009735</t>
  </si>
  <si>
    <t xml:space="preserve">RPY-0009736</t>
  </si>
  <si>
    <t xml:space="preserve">RPY-0009737</t>
  </si>
  <si>
    <t xml:space="preserve">RPY-0009738</t>
  </si>
  <si>
    <t xml:space="preserve">RPY-0009739</t>
  </si>
  <si>
    <t xml:space="preserve">RPY-0009740</t>
  </si>
  <si>
    <t xml:space="preserve">RPY-0009741</t>
  </si>
  <si>
    <t xml:space="preserve">RPY-0009742</t>
  </si>
  <si>
    <t xml:space="preserve">RPY-0009743</t>
  </si>
  <si>
    <t xml:space="preserve">RPY-0009744</t>
  </si>
  <si>
    <t xml:space="preserve">RPY-0009745</t>
  </si>
  <si>
    <t xml:space="preserve">RPY-0009746</t>
  </si>
  <si>
    <t xml:space="preserve">RPY-0009747</t>
  </si>
  <si>
    <t xml:space="preserve">RPY-0009748</t>
  </si>
  <si>
    <t xml:space="preserve">RPY-0009749</t>
  </si>
  <si>
    <t xml:space="preserve">RPY-0009750</t>
  </si>
  <si>
    <t xml:space="preserve">RPY-0009751</t>
  </si>
  <si>
    <t xml:space="preserve">RPY-0009752</t>
  </si>
  <si>
    <t xml:space="preserve">RPY-0009753</t>
  </si>
  <si>
    <t xml:space="preserve">RPY-0009754</t>
  </si>
  <si>
    <t xml:space="preserve">RPY-0009755</t>
  </si>
  <si>
    <t xml:space="preserve">RPY-0009756</t>
  </si>
  <si>
    <t xml:space="preserve">RPY-0009757</t>
  </si>
  <si>
    <t xml:space="preserve">RPY-0009758</t>
  </si>
  <si>
    <t xml:space="preserve">RPY-0009759</t>
  </si>
  <si>
    <t xml:space="preserve">RPY-0009760</t>
  </si>
  <si>
    <t xml:space="preserve">RPY-0009761</t>
  </si>
  <si>
    <t xml:space="preserve">RPY-0009762</t>
  </si>
  <si>
    <t xml:space="preserve">RPY-0009763</t>
  </si>
  <si>
    <t xml:space="preserve">RPY-0009764</t>
  </si>
  <si>
    <t xml:space="preserve">RPY-0009765</t>
  </si>
  <si>
    <t xml:space="preserve">RPY-0009766</t>
  </si>
  <si>
    <t xml:space="preserve">RPY-0009767</t>
  </si>
  <si>
    <t xml:space="preserve">RPY-0009768</t>
  </si>
  <si>
    <t xml:space="preserve">RPY-0009769</t>
  </si>
  <si>
    <t xml:space="preserve">RPY-0009770</t>
  </si>
  <si>
    <t xml:space="preserve">RPY-0009771</t>
  </si>
  <si>
    <t xml:space="preserve">RPY-0009772</t>
  </si>
  <si>
    <t xml:space="preserve">RPY-0009773</t>
  </si>
  <si>
    <t xml:space="preserve">RPY-0009774</t>
  </si>
  <si>
    <t xml:space="preserve">RPY-0009775</t>
  </si>
  <si>
    <t xml:space="preserve">RPY-0009776</t>
  </si>
  <si>
    <t xml:space="preserve">RPY-0009777</t>
  </si>
  <si>
    <t xml:space="preserve">RPY-0009778</t>
  </si>
  <si>
    <t xml:space="preserve">RPY-0009779</t>
  </si>
  <si>
    <t xml:space="preserve">RPY-0009780</t>
  </si>
  <si>
    <t xml:space="preserve">RPY-0009781</t>
  </si>
  <si>
    <t xml:space="preserve">RPY-0009782</t>
  </si>
  <si>
    <t xml:space="preserve">RPY-0009783</t>
  </si>
  <si>
    <t xml:space="preserve">RPY-0009784</t>
  </si>
  <si>
    <t xml:space="preserve">RPY-0009785</t>
  </si>
  <si>
    <t xml:space="preserve">RPY-0009786</t>
  </si>
  <si>
    <t xml:space="preserve">RPY-0009787</t>
  </si>
  <si>
    <t xml:space="preserve">RPY-0009788</t>
  </si>
  <si>
    <t xml:space="preserve">RPY-0009789</t>
  </si>
  <si>
    <t xml:space="preserve">RPY-0009790</t>
  </si>
  <si>
    <t xml:space="preserve">RPY-0009791</t>
  </si>
  <si>
    <t xml:space="preserve">RPY-0009792</t>
  </si>
  <si>
    <t xml:space="preserve">RPY-0009793</t>
  </si>
  <si>
    <t xml:space="preserve">RPY-0009794</t>
  </si>
  <si>
    <t xml:space="preserve">RPY-0009795</t>
  </si>
  <si>
    <t xml:space="preserve">RPY-0009796</t>
  </si>
  <si>
    <t xml:space="preserve">RPY-0009797</t>
  </si>
  <si>
    <t xml:space="preserve">RPY-0009798</t>
  </si>
  <si>
    <t xml:space="preserve">RPY-0009799</t>
  </si>
  <si>
    <t xml:space="preserve">RPY-0009800</t>
  </si>
  <si>
    <t xml:space="preserve">RPY-0009801</t>
  </si>
  <si>
    <t xml:space="preserve">RPY-0009802</t>
  </si>
  <si>
    <t xml:space="preserve">RPY-0009803</t>
  </si>
  <si>
    <t xml:space="preserve">RPY-0009804</t>
  </si>
  <si>
    <t xml:space="preserve">RPY-0009805</t>
  </si>
  <si>
    <t xml:space="preserve">RPY-0009806</t>
  </si>
  <si>
    <t xml:space="preserve">RPY-0009807</t>
  </si>
  <si>
    <t xml:space="preserve">RPY-0009808</t>
  </si>
  <si>
    <t xml:space="preserve">RPY-0009809</t>
  </si>
  <si>
    <t xml:space="preserve">RPY-0009810</t>
  </si>
  <si>
    <t xml:space="preserve">RPY-0009811</t>
  </si>
  <si>
    <t xml:space="preserve">RPY-0009812</t>
  </si>
  <si>
    <t xml:space="preserve">RPY-0009813</t>
  </si>
  <si>
    <t xml:space="preserve">RPY-0009814</t>
  </si>
  <si>
    <t xml:space="preserve">RPY-0009815</t>
  </si>
  <si>
    <t xml:space="preserve">RPY-0009816</t>
  </si>
  <si>
    <t xml:space="preserve">RPY-0009817</t>
  </si>
  <si>
    <t xml:space="preserve">RPY-0009818</t>
  </si>
  <si>
    <t xml:space="preserve">RPY-0009819</t>
  </si>
  <si>
    <t xml:space="preserve">RPY-0009820</t>
  </si>
  <si>
    <t xml:space="preserve">RPY-0009821</t>
  </si>
  <si>
    <t xml:space="preserve">RPY-0009822</t>
  </si>
  <si>
    <t xml:space="preserve">RPY-0009823</t>
  </si>
  <si>
    <t xml:space="preserve">RPY-0009824</t>
  </si>
  <si>
    <t xml:space="preserve">RPY-0009825</t>
  </si>
  <si>
    <t xml:space="preserve">RPY-0009826</t>
  </si>
  <si>
    <t xml:space="preserve">RPY-0009827</t>
  </si>
  <si>
    <t xml:space="preserve">RPY-0009828</t>
  </si>
  <si>
    <t xml:space="preserve">RPY-0009829</t>
  </si>
  <si>
    <t xml:space="preserve">RPY-0009830</t>
  </si>
  <si>
    <t xml:space="preserve">RPY-0009831</t>
  </si>
  <si>
    <t xml:space="preserve">RPY-0009832</t>
  </si>
  <si>
    <t xml:space="preserve">RPY-0009833</t>
  </si>
  <si>
    <t xml:space="preserve">RPY-0009834</t>
  </si>
  <si>
    <t xml:space="preserve">RPY-0009835</t>
  </si>
  <si>
    <t xml:space="preserve">RPY-0009836</t>
  </si>
  <si>
    <t xml:space="preserve">RPY-0009837</t>
  </si>
  <si>
    <t xml:space="preserve">RPY-0009838</t>
  </si>
  <si>
    <t xml:space="preserve">RPY-0009839</t>
  </si>
  <si>
    <t xml:space="preserve">RPY-0009840</t>
  </si>
  <si>
    <t xml:space="preserve">RPY-0009841</t>
  </si>
  <si>
    <t xml:space="preserve">RPY-0009842</t>
  </si>
  <si>
    <t xml:space="preserve">RPY-0009843</t>
  </si>
  <si>
    <t xml:space="preserve">RPY-0009844</t>
  </si>
  <si>
    <t xml:space="preserve">RPY-0009845</t>
  </si>
  <si>
    <t xml:space="preserve">RPY-0009846</t>
  </si>
  <si>
    <t xml:space="preserve">RPY-0009847</t>
  </si>
  <si>
    <t xml:space="preserve">RPY-0009848</t>
  </si>
  <si>
    <t xml:space="preserve">RPY-0009849</t>
  </si>
  <si>
    <t xml:space="preserve">RPY-0009850</t>
  </si>
  <si>
    <t xml:space="preserve">RPY-0009851</t>
  </si>
  <si>
    <t xml:space="preserve">RPY-0009852</t>
  </si>
  <si>
    <t xml:space="preserve">RPY-0009853</t>
  </si>
  <si>
    <t xml:space="preserve">RPY-0009854</t>
  </si>
  <si>
    <t xml:space="preserve">RPY-0009855</t>
  </si>
  <si>
    <t xml:space="preserve">RPY-0009856</t>
  </si>
  <si>
    <t xml:space="preserve">RPY-0009857</t>
  </si>
  <si>
    <t xml:space="preserve">RPY-0009858</t>
  </si>
  <si>
    <t xml:space="preserve">RPY-0009859</t>
  </si>
  <si>
    <t xml:space="preserve">RPY-0009860</t>
  </si>
  <si>
    <t xml:space="preserve">RPY-0009861</t>
  </si>
  <si>
    <t xml:space="preserve">RPY-0009862</t>
  </si>
  <si>
    <t xml:space="preserve">RPY-0009863</t>
  </si>
  <si>
    <t xml:space="preserve">RPY-0009864</t>
  </si>
  <si>
    <t xml:space="preserve">RPY-0009865</t>
  </si>
  <si>
    <t xml:space="preserve">RPY-0009866</t>
  </si>
  <si>
    <t xml:space="preserve">RPY-0009867</t>
  </si>
  <si>
    <t xml:space="preserve">RPY-0009868</t>
  </si>
  <si>
    <t xml:space="preserve">RPY-0009869</t>
  </si>
  <si>
    <t xml:space="preserve">RPY-0009870</t>
  </si>
  <si>
    <t xml:space="preserve">RPY-0009871</t>
  </si>
  <si>
    <t xml:space="preserve">RPY-0009872</t>
  </si>
  <si>
    <t xml:space="preserve">RPY-0009873</t>
  </si>
  <si>
    <t xml:space="preserve">RPY-0009874</t>
  </si>
  <si>
    <t xml:space="preserve">RPY-0009875</t>
  </si>
  <si>
    <t xml:space="preserve">RPY-0009876</t>
  </si>
  <si>
    <t xml:space="preserve">RPY-0009877</t>
  </si>
  <si>
    <t xml:space="preserve">RPY-0009878</t>
  </si>
  <si>
    <t xml:space="preserve">RPY-0009879</t>
  </si>
  <si>
    <t xml:space="preserve">RPY-0009880</t>
  </si>
  <si>
    <t xml:space="preserve">RPY-0009881</t>
  </si>
  <si>
    <t xml:space="preserve">RPY-0009882</t>
  </si>
  <si>
    <t xml:space="preserve">RPY-0009883</t>
  </si>
  <si>
    <t xml:space="preserve">RPY-0009884</t>
  </si>
  <si>
    <t xml:space="preserve">RPY-0009885</t>
  </si>
  <si>
    <t xml:space="preserve">RPY-0009886</t>
  </si>
  <si>
    <t xml:space="preserve">RPY-0009887</t>
  </si>
  <si>
    <t xml:space="preserve">RPY-0009888</t>
  </si>
  <si>
    <t xml:space="preserve">RPY-0009889</t>
  </si>
  <si>
    <t xml:space="preserve">RPY-0009890</t>
  </si>
  <si>
    <t xml:space="preserve">RPY-0009891</t>
  </si>
  <si>
    <t xml:space="preserve">RPY-0009892</t>
  </si>
  <si>
    <t xml:space="preserve">RPY-0009893</t>
  </si>
  <si>
    <t xml:space="preserve">RPY-0009894</t>
  </si>
  <si>
    <t xml:space="preserve">RPY-0009895</t>
  </si>
  <si>
    <t xml:space="preserve">RPY-0009896</t>
  </si>
  <si>
    <t xml:space="preserve">RPY-0009897</t>
  </si>
  <si>
    <t xml:space="preserve">RPY-0009898</t>
  </si>
  <si>
    <t xml:space="preserve">RPY-0009899</t>
  </si>
  <si>
    <t xml:space="preserve">RPY-0009900</t>
  </si>
  <si>
    <t xml:space="preserve">RPY-0009901</t>
  </si>
  <si>
    <t xml:space="preserve">RPY-0009902</t>
  </si>
  <si>
    <t xml:space="preserve">RPY-0009903</t>
  </si>
  <si>
    <t xml:space="preserve">RPY-0009904</t>
  </si>
  <si>
    <t xml:space="preserve">RPY-0009905</t>
  </si>
  <si>
    <t xml:space="preserve">RPY-0009906</t>
  </si>
  <si>
    <t xml:space="preserve">RPY-0009907</t>
  </si>
  <si>
    <t xml:space="preserve">RPY-0009908</t>
  </si>
  <si>
    <t xml:space="preserve">RPY-0009909</t>
  </si>
  <si>
    <t xml:space="preserve">RPY-0009910</t>
  </si>
  <si>
    <t xml:space="preserve">RPY-0009911</t>
  </si>
  <si>
    <t xml:space="preserve">RPY-0009912</t>
  </si>
  <si>
    <t xml:space="preserve">RPY-0009913</t>
  </si>
  <si>
    <t xml:space="preserve">RPY-0009914</t>
  </si>
  <si>
    <t xml:space="preserve">RPY-0009915</t>
  </si>
  <si>
    <t xml:space="preserve">RPY-0009916</t>
  </si>
  <si>
    <t xml:space="preserve">RPY-0009917</t>
  </si>
  <si>
    <t xml:space="preserve">RPY-0009918</t>
  </si>
  <si>
    <t xml:space="preserve">RPY-0009919</t>
  </si>
  <si>
    <t xml:space="preserve">RPY-0009920</t>
  </si>
  <si>
    <t xml:space="preserve">RPY-0009921</t>
  </si>
  <si>
    <t xml:space="preserve">RPY-0009922</t>
  </si>
  <si>
    <t xml:space="preserve">RPY-0009923</t>
  </si>
  <si>
    <t xml:space="preserve">RPY-0009924</t>
  </si>
  <si>
    <t xml:space="preserve">RPY-0009925</t>
  </si>
  <si>
    <t xml:space="preserve">RPY-0009926</t>
  </si>
  <si>
    <t xml:space="preserve">RPY-0009927</t>
  </si>
  <si>
    <t xml:space="preserve">RPY-0009928</t>
  </si>
  <si>
    <t xml:space="preserve">RPY-0009929</t>
  </si>
  <si>
    <t xml:space="preserve">RPY-0009930</t>
  </si>
  <si>
    <t xml:space="preserve">RPY-0009931</t>
  </si>
  <si>
    <t xml:space="preserve">RPY-0009932</t>
  </si>
  <si>
    <t xml:space="preserve">RPY-0009933</t>
  </si>
  <si>
    <t xml:space="preserve">RPY-0009934</t>
  </si>
  <si>
    <t xml:space="preserve">RPY-0009935</t>
  </si>
  <si>
    <t xml:space="preserve">RPY-0009936</t>
  </si>
  <si>
    <t xml:space="preserve">RPY-0009937</t>
  </si>
  <si>
    <t xml:space="preserve">RPY-0009938</t>
  </si>
  <si>
    <t xml:space="preserve">RPY-0009939</t>
  </si>
  <si>
    <t xml:space="preserve">RPY-0009940</t>
  </si>
  <si>
    <t xml:space="preserve">RPY-0009941</t>
  </si>
  <si>
    <t xml:space="preserve">RPY-0009942</t>
  </si>
  <si>
    <t xml:space="preserve">RPY-0009943</t>
  </si>
  <si>
    <t xml:space="preserve">RPY-0009944</t>
  </si>
  <si>
    <t xml:space="preserve">RPY-0009945</t>
  </si>
  <si>
    <t xml:space="preserve">RPY-0009946</t>
  </si>
  <si>
    <t xml:space="preserve">RPY-0009947</t>
  </si>
  <si>
    <t xml:space="preserve">RPY-0009948</t>
  </si>
  <si>
    <t xml:space="preserve">RPY-0009949</t>
  </si>
  <si>
    <t xml:space="preserve">RPY-0009950</t>
  </si>
  <si>
    <t xml:space="preserve">RPY-0009951</t>
  </si>
  <si>
    <t xml:space="preserve">RPY-0009952</t>
  </si>
  <si>
    <t xml:space="preserve">RPY-0009953</t>
  </si>
  <si>
    <t xml:space="preserve">RPY-0009954</t>
  </si>
  <si>
    <t xml:space="preserve">RPY-0009955</t>
  </si>
  <si>
    <t xml:space="preserve">RPY-0009956</t>
  </si>
  <si>
    <t xml:space="preserve">RPY-0009957</t>
  </si>
  <si>
    <t xml:space="preserve">RPY-0009958</t>
  </si>
  <si>
    <t xml:space="preserve">RPY-0009959</t>
  </si>
  <si>
    <t xml:space="preserve">RPY-0009960</t>
  </si>
  <si>
    <t xml:space="preserve">RPY-0009961</t>
  </si>
  <si>
    <t xml:space="preserve">RPY-0009962</t>
  </si>
  <si>
    <t xml:space="preserve">RPY-0009963</t>
  </si>
  <si>
    <t xml:space="preserve">RPY-0009964</t>
  </si>
  <si>
    <t xml:space="preserve">RPY-0009965</t>
  </si>
  <si>
    <t xml:space="preserve">RPY-0009966</t>
  </si>
  <si>
    <t xml:space="preserve">RPY-0009967</t>
  </si>
  <si>
    <t xml:space="preserve">RPY-0009968</t>
  </si>
  <si>
    <t xml:space="preserve">RPY-0009969</t>
  </si>
  <si>
    <t xml:space="preserve">RPY-0009970</t>
  </si>
  <si>
    <t xml:space="preserve">RPY-0009971</t>
  </si>
  <si>
    <t xml:space="preserve">RPY-0009972</t>
  </si>
  <si>
    <t xml:space="preserve">RPY-0009973</t>
  </si>
  <si>
    <t xml:space="preserve">RPY-0009974</t>
  </si>
  <si>
    <t xml:space="preserve">RPY-0009975</t>
  </si>
  <si>
    <t xml:space="preserve">RPY-0009976</t>
  </si>
  <si>
    <t xml:space="preserve">RPY-0009977</t>
  </si>
  <si>
    <t xml:space="preserve">RPY-0009978</t>
  </si>
  <si>
    <t xml:space="preserve">RPY-0009979</t>
  </si>
  <si>
    <t xml:space="preserve">RPY-0009980</t>
  </si>
  <si>
    <t xml:space="preserve">RPY-0009981</t>
  </si>
  <si>
    <t xml:space="preserve">RPY-0009982</t>
  </si>
  <si>
    <t xml:space="preserve">RPY-0009983</t>
  </si>
  <si>
    <t xml:space="preserve">RPY-0009984</t>
  </si>
  <si>
    <t xml:space="preserve">RPY-0009985</t>
  </si>
  <si>
    <t xml:space="preserve">RPY-0009986</t>
  </si>
  <si>
    <t xml:space="preserve">RPY-0009987</t>
  </si>
  <si>
    <t xml:space="preserve">RPY-0009988</t>
  </si>
  <si>
    <t xml:space="preserve">RPY-0009989</t>
  </si>
  <si>
    <t xml:space="preserve">RPY-0009990</t>
  </si>
  <si>
    <t xml:space="preserve">RPY-0009991</t>
  </si>
  <si>
    <t xml:space="preserve">RPY-0009992</t>
  </si>
  <si>
    <t xml:space="preserve">RPY-0009993</t>
  </si>
  <si>
    <t xml:space="preserve">RPY-0009994</t>
  </si>
  <si>
    <t xml:space="preserve">RPY-0009995</t>
  </si>
  <si>
    <t xml:space="preserve">RPY-0009996</t>
  </si>
  <si>
    <t xml:space="preserve">RPY-0009997</t>
  </si>
  <si>
    <t xml:space="preserve">RPY-0009998</t>
  </si>
  <si>
    <t xml:space="preserve">RPY-0009999</t>
  </si>
  <si>
    <t xml:space="preserve">RPY-0010000</t>
  </si>
  <si>
    <t xml:space="preserve">RPY-0010001</t>
  </si>
  <si>
    <t xml:space="preserve">RPY-0010002</t>
  </si>
  <si>
    <t xml:space="preserve">RPY-0010003</t>
  </si>
  <si>
    <t xml:space="preserve">RPY-0010004</t>
  </si>
  <si>
    <t xml:space="preserve">RPY-0010005</t>
  </si>
  <si>
    <t xml:space="preserve">RPY-0010006</t>
  </si>
  <si>
    <t xml:space="preserve">RPY-0010007</t>
  </si>
  <si>
    <t xml:space="preserve">RPY-0010008</t>
  </si>
  <si>
    <t xml:space="preserve">RPY-0010009</t>
  </si>
  <si>
    <t xml:space="preserve">RPY-0010010</t>
  </si>
  <si>
    <t xml:space="preserve">RPY-0010011</t>
  </si>
  <si>
    <t xml:space="preserve">RPY-0010012</t>
  </si>
  <si>
    <t xml:space="preserve">RPY-0010013</t>
  </si>
  <si>
    <t xml:space="preserve">RPY-0010014</t>
  </si>
  <si>
    <t xml:space="preserve">RPY-0010015</t>
  </si>
  <si>
    <t xml:space="preserve">RPY-0010016</t>
  </si>
  <si>
    <t xml:space="preserve">RPY-0010017</t>
  </si>
  <si>
    <t xml:space="preserve">RPY-0010018</t>
  </si>
  <si>
    <t xml:space="preserve">RPY-0010019</t>
  </si>
  <si>
    <t xml:space="preserve">RPY-0010020</t>
  </si>
  <si>
    <t xml:space="preserve">RPY-0010021</t>
  </si>
  <si>
    <t xml:space="preserve">RPY-0010022</t>
  </si>
  <si>
    <t xml:space="preserve">RPY-0010023</t>
  </si>
  <si>
    <t xml:space="preserve">RPY-0010024</t>
  </si>
  <si>
    <t xml:space="preserve">RPY-0010025</t>
  </si>
  <si>
    <t xml:space="preserve">RPY-0010026</t>
  </si>
  <si>
    <t xml:space="preserve">RPY-0010027</t>
  </si>
  <si>
    <t xml:space="preserve">RPY-0010028</t>
  </si>
  <si>
    <t xml:space="preserve">RPY-0010029</t>
  </si>
  <si>
    <t xml:space="preserve">RPY-0010030</t>
  </si>
  <si>
    <t xml:space="preserve">RPY-0010031</t>
  </si>
  <si>
    <t xml:space="preserve">RPY-0010032</t>
  </si>
  <si>
    <t xml:space="preserve">RPY-0010033</t>
  </si>
  <si>
    <t xml:space="preserve">RPY-0010034</t>
  </si>
  <si>
    <t xml:space="preserve">RPY-0010035</t>
  </si>
  <si>
    <t xml:space="preserve">RPY-0010036</t>
  </si>
  <si>
    <t xml:space="preserve">RPY-0010037</t>
  </si>
  <si>
    <t xml:space="preserve">RPY-0010038</t>
  </si>
  <si>
    <t xml:space="preserve">RPY-0010039</t>
  </si>
  <si>
    <t xml:space="preserve">RPY-0010040</t>
  </si>
  <si>
    <t xml:space="preserve">RPY-0010041</t>
  </si>
  <si>
    <t xml:space="preserve">RPY-0010042</t>
  </si>
  <si>
    <t xml:space="preserve">RPY-0010043</t>
  </si>
  <si>
    <t xml:space="preserve">RPY-0010044</t>
  </si>
  <si>
    <t xml:space="preserve">RPY-0010045</t>
  </si>
  <si>
    <t xml:space="preserve">RPY-0010046</t>
  </si>
  <si>
    <t xml:space="preserve">RPY-0010047</t>
  </si>
  <si>
    <t xml:space="preserve">RPY-0010048</t>
  </si>
  <si>
    <t xml:space="preserve">RPY-0010049</t>
  </si>
  <si>
    <t xml:space="preserve">RPY-0010050</t>
  </si>
  <si>
    <t xml:space="preserve">RPY-0010051</t>
  </si>
  <si>
    <t xml:space="preserve">RPY-0010052</t>
  </si>
  <si>
    <t xml:space="preserve">RPY-0010053</t>
  </si>
  <si>
    <t xml:space="preserve">RPY-0010054</t>
  </si>
  <si>
    <t xml:space="preserve">RPY-0010055</t>
  </si>
  <si>
    <t xml:space="preserve">RPY-0010056</t>
  </si>
  <si>
    <t xml:space="preserve">RPY-0010057</t>
  </si>
  <si>
    <t xml:space="preserve">RPY-0010058</t>
  </si>
  <si>
    <t xml:space="preserve">RPY-0010059</t>
  </si>
  <si>
    <t xml:space="preserve">RPY-0010060</t>
  </si>
  <si>
    <t xml:space="preserve">RPY-0010061</t>
  </si>
  <si>
    <t xml:space="preserve">RPY-0010062</t>
  </si>
  <si>
    <t xml:space="preserve">RPY-0010063</t>
  </si>
  <si>
    <t xml:space="preserve">RPY-0010064</t>
  </si>
  <si>
    <t xml:space="preserve">RPY-0010065</t>
  </si>
  <si>
    <t xml:space="preserve">RPY-0010066</t>
  </si>
  <si>
    <t xml:space="preserve">RPY-0010067</t>
  </si>
  <si>
    <t xml:space="preserve">RPY-0010068</t>
  </si>
  <si>
    <t xml:space="preserve">RPY-0010069</t>
  </si>
  <si>
    <t xml:space="preserve">RPY-0010070</t>
  </si>
  <si>
    <t xml:space="preserve">RPY-0010071</t>
  </si>
  <si>
    <t xml:space="preserve">RPY-0010072</t>
  </si>
  <si>
    <t xml:space="preserve">RPY-0010073</t>
  </si>
  <si>
    <t xml:space="preserve">RPY-0010074</t>
  </si>
  <si>
    <t xml:space="preserve">RPY-0010075</t>
  </si>
  <si>
    <t xml:space="preserve">RPY-0010076</t>
  </si>
  <si>
    <t xml:space="preserve">RPY-0010077</t>
  </si>
  <si>
    <t xml:space="preserve">RPY-0010078</t>
  </si>
  <si>
    <t xml:space="preserve">RPY-0010079</t>
  </si>
  <si>
    <t xml:space="preserve">RPY-0010080</t>
  </si>
  <si>
    <t xml:space="preserve">RPY-0010081</t>
  </si>
  <si>
    <t xml:space="preserve">RPY-0010082</t>
  </si>
  <si>
    <t xml:space="preserve">RPY-0010083</t>
  </si>
  <si>
    <t xml:space="preserve">RPY-0010084</t>
  </si>
  <si>
    <t xml:space="preserve">RPY-0010085</t>
  </si>
  <si>
    <t xml:space="preserve">RPY-0010086</t>
  </si>
  <si>
    <t xml:space="preserve">RPY-0010087</t>
  </si>
  <si>
    <t xml:space="preserve">RPY-0010088</t>
  </si>
  <si>
    <t xml:space="preserve">RPY-0010089</t>
  </si>
  <si>
    <t xml:space="preserve">RPY-0010090</t>
  </si>
  <si>
    <t xml:space="preserve">RPY-0010091</t>
  </si>
  <si>
    <t xml:space="preserve">RPY-0010092</t>
  </si>
  <si>
    <t xml:space="preserve">RPY-0010093</t>
  </si>
  <si>
    <t xml:space="preserve">RPY-0010094</t>
  </si>
  <si>
    <t xml:space="preserve">RPY-0010095</t>
  </si>
  <si>
    <t xml:space="preserve">RPY-0010096</t>
  </si>
  <si>
    <t xml:space="preserve">RPY-0010097</t>
  </si>
  <si>
    <t xml:space="preserve">RPY-0010098</t>
  </si>
  <si>
    <t xml:space="preserve">RPY-0010099</t>
  </si>
  <si>
    <t xml:space="preserve">RPY-0010100</t>
  </si>
  <si>
    <t xml:space="preserve">RPY-0010101</t>
  </si>
  <si>
    <t xml:space="preserve">RPY-0010102</t>
  </si>
  <si>
    <t xml:space="preserve">RPY-0010103</t>
  </si>
  <si>
    <t xml:space="preserve">RPY-0010104</t>
  </si>
  <si>
    <t xml:space="preserve">RPY-0010105</t>
  </si>
  <si>
    <t xml:space="preserve">RPY-0010106</t>
  </si>
  <si>
    <t xml:space="preserve">RPY-0010107</t>
  </si>
  <si>
    <t xml:space="preserve">RPY-0010108</t>
  </si>
  <si>
    <t xml:space="preserve">RPY-0010109</t>
  </si>
  <si>
    <t xml:space="preserve">RPY-0010110</t>
  </si>
  <si>
    <t xml:space="preserve">RPY-0010111</t>
  </si>
  <si>
    <t xml:space="preserve">RPY-0010112</t>
  </si>
  <si>
    <t xml:space="preserve">RPY-0010113</t>
  </si>
  <si>
    <t xml:space="preserve">RPY-0010114</t>
  </si>
  <si>
    <t xml:space="preserve">RPY-0010115</t>
  </si>
  <si>
    <t xml:space="preserve">RPY-0010116</t>
  </si>
  <si>
    <t xml:space="preserve">RPY-0010117</t>
  </si>
  <si>
    <t xml:space="preserve">RPY-0010118</t>
  </si>
  <si>
    <t xml:space="preserve">RPY-0010119</t>
  </si>
  <si>
    <t xml:space="preserve">RPY-0010120</t>
  </si>
  <si>
    <t xml:space="preserve">RPY-0010121</t>
  </si>
  <si>
    <t xml:space="preserve">RPY-0010122</t>
  </si>
  <si>
    <t xml:space="preserve">RPY-0010123</t>
  </si>
  <si>
    <t xml:space="preserve">RPY-0010124</t>
  </si>
  <si>
    <t xml:space="preserve">RPY-0010125</t>
  </si>
  <si>
    <t xml:space="preserve">RPY-0010126</t>
  </si>
  <si>
    <t xml:space="preserve">RPY-0010127</t>
  </si>
  <si>
    <t xml:space="preserve">RPY-0010128</t>
  </si>
  <si>
    <t xml:space="preserve">RPY-0010129</t>
  </si>
  <si>
    <t xml:space="preserve">RPY-0010130</t>
  </si>
  <si>
    <t xml:space="preserve">RPY-0010131</t>
  </si>
  <si>
    <t xml:space="preserve">RPY-0010132</t>
  </si>
  <si>
    <t xml:space="preserve">RPY-0010133</t>
  </si>
  <si>
    <t xml:space="preserve">RPY-0010134</t>
  </si>
  <si>
    <t xml:space="preserve">RPY-0010135</t>
  </si>
  <si>
    <t xml:space="preserve">RPY-0010136</t>
  </si>
  <si>
    <t xml:space="preserve">RPY-0010137</t>
  </si>
  <si>
    <t xml:space="preserve">RPY-0010138</t>
  </si>
  <si>
    <t xml:space="preserve">RPY-0010139</t>
  </si>
  <si>
    <t xml:space="preserve">RPY-0010140</t>
  </si>
  <si>
    <t xml:space="preserve">RPY-0010141</t>
  </si>
  <si>
    <t xml:space="preserve">RPY-0010142</t>
  </si>
  <si>
    <t xml:space="preserve">RPY-0010143</t>
  </si>
  <si>
    <t xml:space="preserve">RPY-0010144</t>
  </si>
  <si>
    <t xml:space="preserve">RPY-0010145</t>
  </si>
  <si>
    <t xml:space="preserve">RPY-0010146</t>
  </si>
  <si>
    <t xml:space="preserve">RPY-0010147</t>
  </si>
  <si>
    <t xml:space="preserve">RPY-0010148</t>
  </si>
  <si>
    <t xml:space="preserve">RPY-0010149</t>
  </si>
  <si>
    <t xml:space="preserve">RPY-0010150</t>
  </si>
  <si>
    <t xml:space="preserve">RPY-0010151</t>
  </si>
  <si>
    <t xml:space="preserve">RPY-0010152</t>
  </si>
  <si>
    <t xml:space="preserve">RPY-0010153</t>
  </si>
  <si>
    <t xml:space="preserve">RPY-0010154</t>
  </si>
  <si>
    <t xml:space="preserve">RPY-0010155</t>
  </si>
  <si>
    <t xml:space="preserve">RPY-0010156</t>
  </si>
  <si>
    <t xml:space="preserve">RPY-0010157</t>
  </si>
  <si>
    <t xml:space="preserve">RPY-0010158</t>
  </si>
  <si>
    <t xml:space="preserve">RPY-0010159</t>
  </si>
  <si>
    <t xml:space="preserve">RPY-0010160</t>
  </si>
  <si>
    <t xml:space="preserve">RPY-0010161</t>
  </si>
  <si>
    <t xml:space="preserve">RPY-0010162</t>
  </si>
  <si>
    <t xml:space="preserve">RPY-0010163</t>
  </si>
  <si>
    <t xml:space="preserve">RPY-0010164</t>
  </si>
  <si>
    <t xml:space="preserve">RPY-0010165</t>
  </si>
  <si>
    <t xml:space="preserve">RPY-0010166</t>
  </si>
  <si>
    <t xml:space="preserve">RPY-0010167</t>
  </si>
  <si>
    <t xml:space="preserve">RPY-0010168</t>
  </si>
  <si>
    <t xml:space="preserve">RPY-0010169</t>
  </si>
  <si>
    <t xml:space="preserve">RPY-0010170</t>
  </si>
  <si>
    <t xml:space="preserve">RPY-0010171</t>
  </si>
  <si>
    <t xml:space="preserve">RPY-0010172</t>
  </si>
  <si>
    <t xml:space="preserve">RPY-0010173</t>
  </si>
  <si>
    <t xml:space="preserve">RPY-0010174</t>
  </si>
  <si>
    <t xml:space="preserve">RPY-0010175</t>
  </si>
  <si>
    <t xml:space="preserve">RPY-0010176</t>
  </si>
  <si>
    <t xml:space="preserve">RPY-0010177</t>
  </si>
  <si>
    <t xml:space="preserve">RPY-0010178</t>
  </si>
  <si>
    <t xml:space="preserve">RPY-0010179</t>
  </si>
  <si>
    <t xml:space="preserve">RPY-0010180</t>
  </si>
  <si>
    <t xml:space="preserve">RPY-0010181</t>
  </si>
  <si>
    <t xml:space="preserve">RPY-0010182</t>
  </si>
  <si>
    <t xml:space="preserve">RPY-0010183</t>
  </si>
  <si>
    <t xml:space="preserve">RPY-0010184</t>
  </si>
  <si>
    <t xml:space="preserve">RPY-0010185</t>
  </si>
  <si>
    <t xml:space="preserve">RPY-0010186</t>
  </si>
  <si>
    <t xml:space="preserve">RPY-0010187</t>
  </si>
  <si>
    <t xml:space="preserve">RPY-0010188</t>
  </si>
  <si>
    <t xml:space="preserve">RPY-0010189</t>
  </si>
  <si>
    <t xml:space="preserve">RPY-0010190</t>
  </si>
  <si>
    <t xml:space="preserve">RPY-0010191</t>
  </si>
  <si>
    <t xml:space="preserve">RPY-0010192</t>
  </si>
  <si>
    <t xml:space="preserve">RPY-0010193</t>
  </si>
  <si>
    <t xml:space="preserve">RPY-0010194</t>
  </si>
  <si>
    <t xml:space="preserve">RPY-0010195</t>
  </si>
  <si>
    <t xml:space="preserve">RPY-0010196</t>
  </si>
  <si>
    <t xml:space="preserve">RPY-0010197</t>
  </si>
  <si>
    <t xml:space="preserve">RPY-0010198</t>
  </si>
  <si>
    <t xml:space="preserve">RPY-0010199</t>
  </si>
  <si>
    <t xml:space="preserve">RPY-0010200</t>
  </si>
  <si>
    <t xml:space="preserve">RPY-0010201</t>
  </si>
  <si>
    <t xml:space="preserve">RPY-0010202</t>
  </si>
  <si>
    <t xml:space="preserve">RPY-0010203</t>
  </si>
  <si>
    <t xml:space="preserve">RPY-0010204</t>
  </si>
  <si>
    <t xml:space="preserve">RPY-0010205</t>
  </si>
  <si>
    <t xml:space="preserve">RPY-0010206</t>
  </si>
  <si>
    <t xml:space="preserve">RPY-0010207</t>
  </si>
  <si>
    <t xml:space="preserve">RPY-0010208</t>
  </si>
  <si>
    <t xml:space="preserve">RPY-0010209</t>
  </si>
  <si>
    <t xml:space="preserve">RPY-0010210</t>
  </si>
  <si>
    <t xml:space="preserve">RPY-0010211</t>
  </si>
  <si>
    <t xml:space="preserve">RPY-0010212</t>
  </si>
  <si>
    <t xml:space="preserve">RPY-0010213</t>
  </si>
  <si>
    <t xml:space="preserve">RPY-0010214</t>
  </si>
  <si>
    <t xml:space="preserve">RPY-0010215</t>
  </si>
  <si>
    <t xml:space="preserve">RPY-0010216</t>
  </si>
  <si>
    <t xml:space="preserve">RPY-0010217</t>
  </si>
  <si>
    <t xml:space="preserve">RPY-0010218</t>
  </si>
  <si>
    <t xml:space="preserve">RPY-0010219</t>
  </si>
  <si>
    <t xml:space="preserve">RPY-0010220</t>
  </si>
  <si>
    <t xml:space="preserve">RPY-0010221</t>
  </si>
  <si>
    <t xml:space="preserve">RPY-0010222</t>
  </si>
  <si>
    <t xml:space="preserve">RPY-0010223</t>
  </si>
  <si>
    <t xml:space="preserve">RPY-0010224</t>
  </si>
  <si>
    <t xml:space="preserve">RPY-0010225</t>
  </si>
  <si>
    <t xml:space="preserve">RPY-0010226</t>
  </si>
  <si>
    <t xml:space="preserve">RPY-0010227</t>
  </si>
  <si>
    <t xml:space="preserve">RPY-0010228</t>
  </si>
  <si>
    <t xml:space="preserve">RPY-0010229</t>
  </si>
  <si>
    <t xml:space="preserve">RPY-0010230</t>
  </si>
  <si>
    <t xml:space="preserve">RPY-0010231</t>
  </si>
  <si>
    <t xml:space="preserve">RPY-0010232</t>
  </si>
  <si>
    <t xml:space="preserve">RPY-0010233</t>
  </si>
  <si>
    <t xml:space="preserve">RPY-0010234</t>
  </si>
  <si>
    <t xml:space="preserve">RPY-0010235</t>
  </si>
  <si>
    <t xml:space="preserve">RPY-0010236</t>
  </si>
  <si>
    <t xml:space="preserve">RPY-0010237</t>
  </si>
  <si>
    <t xml:space="preserve">RPY-0010238</t>
  </si>
  <si>
    <t xml:space="preserve">RPY-0010239</t>
  </si>
  <si>
    <t xml:space="preserve">RPY-0010240</t>
  </si>
  <si>
    <t xml:space="preserve">RPY-0010241</t>
  </si>
  <si>
    <t xml:space="preserve">RPY-0010242</t>
  </si>
  <si>
    <t xml:space="preserve">RPY-0010243</t>
  </si>
  <si>
    <t xml:space="preserve">RPY-0010244</t>
  </si>
  <si>
    <t xml:space="preserve">RPY-0010245</t>
  </si>
  <si>
    <t xml:space="preserve">RPY-0010246</t>
  </si>
  <si>
    <t xml:space="preserve">RPY-0010247</t>
  </si>
  <si>
    <t xml:space="preserve">RPY-0010248</t>
  </si>
  <si>
    <t xml:space="preserve">RPY-0010249</t>
  </si>
  <si>
    <t xml:space="preserve">RPY-0010250</t>
  </si>
  <si>
    <t xml:space="preserve">RPY-0010251</t>
  </si>
  <si>
    <t xml:space="preserve">RPY-0010252</t>
  </si>
  <si>
    <t xml:space="preserve">RPY-0010253</t>
  </si>
  <si>
    <t xml:space="preserve">RPY-0010254</t>
  </si>
  <si>
    <t xml:space="preserve">RPY-0010255</t>
  </si>
  <si>
    <t xml:space="preserve">RPY-0010256</t>
  </si>
  <si>
    <t xml:space="preserve">RPY-0010257</t>
  </si>
  <si>
    <t xml:space="preserve">RPY-0010258</t>
  </si>
  <si>
    <t xml:space="preserve">RPY-0010259</t>
  </si>
  <si>
    <t xml:space="preserve">RPY-0010260</t>
  </si>
  <si>
    <t xml:space="preserve">RPY-0010261</t>
  </si>
  <si>
    <t xml:space="preserve">RPY-0010262</t>
  </si>
  <si>
    <t xml:space="preserve">RPY-0010263</t>
  </si>
  <si>
    <t xml:space="preserve">RPY-0010264</t>
  </si>
  <si>
    <t xml:space="preserve">RPY-0010265</t>
  </si>
  <si>
    <t xml:space="preserve">RPY-0010266</t>
  </si>
  <si>
    <t xml:space="preserve">RPY-0010267</t>
  </si>
  <si>
    <t xml:space="preserve">RPY-0010268</t>
  </si>
  <si>
    <t xml:space="preserve">RPY-0010269</t>
  </si>
  <si>
    <t xml:space="preserve">RPY-0010270</t>
  </si>
  <si>
    <t xml:space="preserve">RPY-0010271</t>
  </si>
  <si>
    <t xml:space="preserve">RPY-0010272</t>
  </si>
  <si>
    <t xml:space="preserve">RPY-0010273</t>
  </si>
  <si>
    <t xml:space="preserve">RPY-0010274</t>
  </si>
  <si>
    <t xml:space="preserve">RPY-0010275</t>
  </si>
  <si>
    <t xml:space="preserve">RPY-0010276</t>
  </si>
  <si>
    <t xml:space="preserve">RPY-0010277</t>
  </si>
  <si>
    <t xml:space="preserve">RPY-0010278</t>
  </si>
  <si>
    <t xml:space="preserve">RPY-0010279</t>
  </si>
  <si>
    <t xml:space="preserve">RPY-0010280</t>
  </si>
  <si>
    <t xml:space="preserve">RPY-0010281</t>
  </si>
  <si>
    <t xml:space="preserve">RPY-0010282</t>
  </si>
  <si>
    <t xml:space="preserve">RPY-0010283</t>
  </si>
  <si>
    <t xml:space="preserve">RPY-0010284</t>
  </si>
  <si>
    <t xml:space="preserve">RPY-0010285</t>
  </si>
  <si>
    <t xml:space="preserve">RPY-0010286</t>
  </si>
  <si>
    <t xml:space="preserve">RPY-0010287</t>
  </si>
  <si>
    <t xml:space="preserve">RPY-0010288</t>
  </si>
  <si>
    <t xml:space="preserve">RPY-0010289</t>
  </si>
  <si>
    <t xml:space="preserve">RPY-0010290</t>
  </si>
  <si>
    <t xml:space="preserve">RPY-0010291</t>
  </si>
  <si>
    <t xml:space="preserve">RPY-0010292</t>
  </si>
  <si>
    <t xml:space="preserve">RPY-0010293</t>
  </si>
  <si>
    <t xml:space="preserve">RPY-0010294</t>
  </si>
  <si>
    <t xml:space="preserve">RPY-0010295</t>
  </si>
  <si>
    <t xml:space="preserve">RPY-0010296</t>
  </si>
  <si>
    <t xml:space="preserve">RPY-0010297</t>
  </si>
  <si>
    <t xml:space="preserve">RPY-0010298</t>
  </si>
  <si>
    <t xml:space="preserve">RPY-0010299</t>
  </si>
  <si>
    <t xml:space="preserve">RPY-0010300</t>
  </si>
  <si>
    <t xml:space="preserve">RPY-0010301</t>
  </si>
  <si>
    <t xml:space="preserve">RPY-0010302</t>
  </si>
  <si>
    <t xml:space="preserve">RPY-0010303</t>
  </si>
  <si>
    <t xml:space="preserve">RPY-0010304</t>
  </si>
  <si>
    <t xml:space="preserve">RPY-0010305</t>
  </si>
  <si>
    <t xml:space="preserve">RPY-0010306</t>
  </si>
  <si>
    <t xml:space="preserve">RPY-0010307</t>
  </si>
  <si>
    <t xml:space="preserve">RPY-0010308</t>
  </si>
  <si>
    <t xml:space="preserve">RPY-0010309</t>
  </si>
  <si>
    <t xml:space="preserve">RPY-0010310</t>
  </si>
  <si>
    <t xml:space="preserve">RPY-0010311</t>
  </si>
  <si>
    <t xml:space="preserve">RPY-0010312</t>
  </si>
  <si>
    <t xml:space="preserve">RPY-0010313</t>
  </si>
  <si>
    <t xml:space="preserve">RPY-0010314</t>
  </si>
  <si>
    <t xml:space="preserve">RPY-0010315</t>
  </si>
  <si>
    <t xml:space="preserve">RPY-0010316</t>
  </si>
  <si>
    <t xml:space="preserve">RPY-0010317</t>
  </si>
  <si>
    <t xml:space="preserve">RPY-0010318</t>
  </si>
  <si>
    <t xml:space="preserve">RPY-0010319</t>
  </si>
  <si>
    <t xml:space="preserve">RPY-0010320</t>
  </si>
  <si>
    <t xml:space="preserve">RPY-0010321</t>
  </si>
  <si>
    <t xml:space="preserve">RPY-0010322</t>
  </si>
  <si>
    <t xml:space="preserve">RPY-0010323</t>
  </si>
  <si>
    <t xml:space="preserve">RPY-0010324</t>
  </si>
  <si>
    <t xml:space="preserve">RPY-0010325</t>
  </si>
  <si>
    <t xml:space="preserve">RPY-0010326</t>
  </si>
  <si>
    <t xml:space="preserve">RPY-0010327</t>
  </si>
  <si>
    <t xml:space="preserve">RPY-0010328</t>
  </si>
  <si>
    <t xml:space="preserve">RPY-0010329</t>
  </si>
  <si>
    <t xml:space="preserve">RPY-0010330</t>
  </si>
  <si>
    <t xml:space="preserve">RPY-0010331</t>
  </si>
  <si>
    <t xml:space="preserve">RPY-0010332</t>
  </si>
  <si>
    <t xml:space="preserve">RPY-0010333</t>
  </si>
  <si>
    <t xml:space="preserve">RPY-0010334</t>
  </si>
  <si>
    <t xml:space="preserve">RPY-0010335</t>
  </si>
  <si>
    <t xml:space="preserve">RPY-0010336</t>
  </si>
  <si>
    <t xml:space="preserve">RPY-0010337</t>
  </si>
  <si>
    <t xml:space="preserve">RPY-0010338</t>
  </si>
  <si>
    <t xml:space="preserve">RPY-0010339</t>
  </si>
  <si>
    <t xml:space="preserve">RPY-0010340</t>
  </si>
  <si>
    <t xml:space="preserve">RPY-0010341</t>
  </si>
  <si>
    <t xml:space="preserve">RPY-0010342</t>
  </si>
  <si>
    <t xml:space="preserve">RPY-0010343</t>
  </si>
  <si>
    <t xml:space="preserve">RPY-0010344</t>
  </si>
  <si>
    <t xml:space="preserve">RPY-0010345</t>
  </si>
  <si>
    <t xml:space="preserve">RPY-0010346</t>
  </si>
  <si>
    <t xml:space="preserve">RPY-0010347</t>
  </si>
  <si>
    <t xml:space="preserve">RPY-0010348</t>
  </si>
  <si>
    <t xml:space="preserve">RPY-0010349</t>
  </si>
  <si>
    <t xml:space="preserve">RPY-0010350</t>
  </si>
  <si>
    <t xml:space="preserve">RPY-0010351</t>
  </si>
  <si>
    <t xml:space="preserve">RPY-0010352</t>
  </si>
  <si>
    <t xml:space="preserve">RPY-0010353</t>
  </si>
  <si>
    <t xml:space="preserve">RPY-0010354</t>
  </si>
  <si>
    <t xml:space="preserve">RPY-0010355</t>
  </si>
  <si>
    <t xml:space="preserve">RPY-0010356</t>
  </si>
  <si>
    <t xml:space="preserve">RPY-0010357</t>
  </si>
  <si>
    <t xml:space="preserve">RPY-0010358</t>
  </si>
  <si>
    <t xml:space="preserve">RPY-0010359</t>
  </si>
  <si>
    <t xml:space="preserve">RPY-0010360</t>
  </si>
  <si>
    <t xml:space="preserve">RPY-0010361</t>
  </si>
  <si>
    <t xml:space="preserve">RPY-0010362</t>
  </si>
  <si>
    <t xml:space="preserve">RPY-0010363</t>
  </si>
  <si>
    <t xml:space="preserve">RPY-0010364</t>
  </si>
  <si>
    <t xml:space="preserve">RPY-0010365</t>
  </si>
  <si>
    <t xml:space="preserve">RPY-0010366</t>
  </si>
  <si>
    <t xml:space="preserve">RPY-0010367</t>
  </si>
  <si>
    <t xml:space="preserve">RPY-0010368</t>
  </si>
  <si>
    <t xml:space="preserve">RPY-0010369</t>
  </si>
  <si>
    <t xml:space="preserve">RPY-0010370</t>
  </si>
  <si>
    <t xml:space="preserve">RPY-0010371</t>
  </si>
  <si>
    <t xml:space="preserve">RPY-0010372</t>
  </si>
  <si>
    <t xml:space="preserve">RPY-0010373</t>
  </si>
  <si>
    <t xml:space="preserve">RPY-0010374</t>
  </si>
  <si>
    <t xml:space="preserve">RPY-0010375</t>
  </si>
  <si>
    <t xml:space="preserve">RPY-0010376</t>
  </si>
  <si>
    <t xml:space="preserve">RPY-0010377</t>
  </si>
  <si>
    <t xml:space="preserve">RPY-0010378</t>
  </si>
  <si>
    <t xml:space="preserve">RPY-0010379</t>
  </si>
  <si>
    <t xml:space="preserve">RPY-0010380</t>
  </si>
  <si>
    <t xml:space="preserve">RPY-0010381</t>
  </si>
  <si>
    <t xml:space="preserve">RPY-0010382</t>
  </si>
  <si>
    <t xml:space="preserve">RPY-0010383</t>
  </si>
  <si>
    <t xml:space="preserve">RPY-0010384</t>
  </si>
  <si>
    <t xml:space="preserve">RPY-0010385</t>
  </si>
  <si>
    <t xml:space="preserve">RPY-0010386</t>
  </si>
  <si>
    <t xml:space="preserve">RPY-0010387</t>
  </si>
  <si>
    <t xml:space="preserve">RPY-0010388</t>
  </si>
  <si>
    <t xml:space="preserve">RPY-0010389</t>
  </si>
  <si>
    <t xml:space="preserve">RPY-0010390</t>
  </si>
  <si>
    <t xml:space="preserve">RPY-0010391</t>
  </si>
  <si>
    <t xml:space="preserve">RPY-0010392</t>
  </si>
  <si>
    <t xml:space="preserve">RPY-0010393</t>
  </si>
  <si>
    <t xml:space="preserve">RPY-0010394</t>
  </si>
  <si>
    <t xml:space="preserve">RPY-0010395</t>
  </si>
  <si>
    <t xml:space="preserve">RPY-0010396</t>
  </si>
  <si>
    <t xml:space="preserve">RPY-0010397</t>
  </si>
  <si>
    <t xml:space="preserve">RPY-0010398</t>
  </si>
  <si>
    <t xml:space="preserve">RPY-0010399</t>
  </si>
  <si>
    <t xml:space="preserve">RPY-0010400</t>
  </si>
  <si>
    <t xml:space="preserve">RPY-0010401</t>
  </si>
  <si>
    <t xml:space="preserve">RPY-0010402</t>
  </si>
  <si>
    <t xml:space="preserve">RPY-0010403</t>
  </si>
  <si>
    <t xml:space="preserve">RPY-0010404</t>
  </si>
  <si>
    <t xml:space="preserve">RPY-0010405</t>
  </si>
  <si>
    <t xml:space="preserve">RPY-0010406</t>
  </si>
  <si>
    <t xml:space="preserve">RPY-0010407</t>
  </si>
  <si>
    <t xml:space="preserve">RPY-0010408</t>
  </si>
  <si>
    <t xml:space="preserve">RPY-0010409</t>
  </si>
  <si>
    <t xml:space="preserve">RPY-0010410</t>
  </si>
  <si>
    <t xml:space="preserve">RPY-0010411</t>
  </si>
  <si>
    <t xml:space="preserve">RPY-0010412</t>
  </si>
  <si>
    <t xml:space="preserve">RPY-0010413</t>
  </si>
  <si>
    <t xml:space="preserve">RPY-0010414</t>
  </si>
  <si>
    <t xml:space="preserve">RPY-0010415</t>
  </si>
  <si>
    <t xml:space="preserve">RPY-0010416</t>
  </si>
  <si>
    <t xml:space="preserve">RPY-0010417</t>
  </si>
  <si>
    <t xml:space="preserve">RPY-0010418</t>
  </si>
  <si>
    <t xml:space="preserve">RPY-0010419</t>
  </si>
  <si>
    <t xml:space="preserve">RPY-0010420</t>
  </si>
  <si>
    <t xml:space="preserve">RPY-0010421</t>
  </si>
  <si>
    <t xml:space="preserve">RPY-0010422</t>
  </si>
  <si>
    <t xml:space="preserve">RPY-0010423</t>
  </si>
  <si>
    <t xml:space="preserve">RPY-0010424</t>
  </si>
  <si>
    <t xml:space="preserve">RPY-0010425</t>
  </si>
  <si>
    <t xml:space="preserve">RPY-0010426</t>
  </si>
  <si>
    <t xml:space="preserve">RPY-0010427</t>
  </si>
  <si>
    <t xml:space="preserve">RPY-0010428</t>
  </si>
  <si>
    <t xml:space="preserve">RPY-0010429</t>
  </si>
  <si>
    <t xml:space="preserve">RPY-0010430</t>
  </si>
  <si>
    <t xml:space="preserve">RPY-0010431</t>
  </si>
  <si>
    <t xml:space="preserve">RPY-0010432</t>
  </si>
  <si>
    <t xml:space="preserve">RPY-0010433</t>
  </si>
  <si>
    <t xml:space="preserve">RPY-0010434</t>
  </si>
  <si>
    <t xml:space="preserve">RPY-0010435</t>
  </si>
  <si>
    <t xml:space="preserve">RPY-0010436</t>
  </si>
  <si>
    <t xml:space="preserve">RPY-0010437</t>
  </si>
  <si>
    <t xml:space="preserve">RPY-0010438</t>
  </si>
  <si>
    <t xml:space="preserve">RPY-0010439</t>
  </si>
  <si>
    <t xml:space="preserve">RPY-0010440</t>
  </si>
  <si>
    <t xml:space="preserve">RPY-0010441</t>
  </si>
  <si>
    <t xml:space="preserve">RPY-0010442</t>
  </si>
  <si>
    <t xml:space="preserve">RPY-0010443</t>
  </si>
  <si>
    <t xml:space="preserve">RPY-0010444</t>
  </si>
  <si>
    <t xml:space="preserve">RPY-0010445</t>
  </si>
  <si>
    <t xml:space="preserve">RPY-0010446</t>
  </si>
  <si>
    <t xml:space="preserve">RPY-0010447</t>
  </si>
  <si>
    <t xml:space="preserve">RPY-0010448</t>
  </si>
  <si>
    <t xml:space="preserve">RPY-0010449</t>
  </si>
  <si>
    <t xml:space="preserve">RPY-0010450</t>
  </si>
  <si>
    <t xml:space="preserve">RPY-0010451</t>
  </si>
  <si>
    <t xml:space="preserve">RPY-0010452</t>
  </si>
  <si>
    <t xml:space="preserve">RPY-0010453</t>
  </si>
  <si>
    <t xml:space="preserve">RPY-0010454</t>
  </si>
  <si>
    <t xml:space="preserve">RPY-0010455</t>
  </si>
  <si>
    <t xml:space="preserve">RPY-0010456</t>
  </si>
  <si>
    <t xml:space="preserve">RPY-0010457</t>
  </si>
  <si>
    <t xml:space="preserve">RPY-0010458</t>
  </si>
  <si>
    <t xml:space="preserve">RPY-0010459</t>
  </si>
  <si>
    <t xml:space="preserve">RPY-0010460</t>
  </si>
  <si>
    <t xml:space="preserve">RPY-0010461</t>
  </si>
  <si>
    <t xml:space="preserve">RPY-0010462</t>
  </si>
  <si>
    <t xml:space="preserve">RPY-0010463</t>
  </si>
  <si>
    <t xml:space="preserve">RPY-0010464</t>
  </si>
  <si>
    <t xml:space="preserve">RPY-0010465</t>
  </si>
  <si>
    <t xml:space="preserve">RPY-0010466</t>
  </si>
  <si>
    <t xml:space="preserve">RPY-0010467</t>
  </si>
  <si>
    <t xml:space="preserve">RPY-0010468</t>
  </si>
  <si>
    <t xml:space="preserve">RPY-0010469</t>
  </si>
  <si>
    <t xml:space="preserve">RPY-0010470</t>
  </si>
  <si>
    <t xml:space="preserve">RPY-0010471</t>
  </si>
  <si>
    <t xml:space="preserve">RPY-0010472</t>
  </si>
  <si>
    <t xml:space="preserve">RPY-0010473</t>
  </si>
  <si>
    <t xml:space="preserve">RPY-0010474</t>
  </si>
  <si>
    <t xml:space="preserve">RPY-0010475</t>
  </si>
  <si>
    <t xml:space="preserve">RPY-0010476</t>
  </si>
  <si>
    <t xml:space="preserve">RPY-0010477</t>
  </si>
  <si>
    <t xml:space="preserve">RPY-0010478</t>
  </si>
  <si>
    <t xml:space="preserve">RPY-0010479</t>
  </si>
  <si>
    <t xml:space="preserve">RPY-0010480</t>
  </si>
  <si>
    <t xml:space="preserve">RPY-0010481</t>
  </si>
  <si>
    <t xml:space="preserve">RPY-0010482</t>
  </si>
  <si>
    <t xml:space="preserve">RPY-0010483</t>
  </si>
  <si>
    <t xml:space="preserve">RPY-0010484</t>
  </si>
  <si>
    <t xml:space="preserve">RPY-0010485</t>
  </si>
  <si>
    <t xml:space="preserve">RPY-0010486</t>
  </si>
  <si>
    <t xml:space="preserve">RPY-0010487</t>
  </si>
  <si>
    <t xml:space="preserve">RPY-0010488</t>
  </si>
  <si>
    <t xml:space="preserve">RPY-0010489</t>
  </si>
  <si>
    <t xml:space="preserve">RPY-0010490</t>
  </si>
  <si>
    <t xml:space="preserve">RPY-0010491</t>
  </si>
  <si>
    <t xml:space="preserve">RPY-0010492</t>
  </si>
  <si>
    <t xml:space="preserve">RPY-0010493</t>
  </si>
  <si>
    <t xml:space="preserve">RPY-0010494</t>
  </si>
  <si>
    <t xml:space="preserve">RPY-0010495</t>
  </si>
  <si>
    <t xml:space="preserve">RPY-0010496</t>
  </si>
  <si>
    <t xml:space="preserve">RPY-0010497</t>
  </si>
  <si>
    <t xml:space="preserve">RPY-0010498</t>
  </si>
  <si>
    <t xml:space="preserve">RPY-0010499</t>
  </si>
  <si>
    <t xml:space="preserve">RPY-0010500</t>
  </si>
  <si>
    <t xml:space="preserve">RPY-0010501</t>
  </si>
  <si>
    <t xml:space="preserve">RPY-0010502</t>
  </si>
  <si>
    <t xml:space="preserve">RPY-0010503</t>
  </si>
  <si>
    <t xml:space="preserve">RPY-0010504</t>
  </si>
  <si>
    <t xml:space="preserve">RPY-0010505</t>
  </si>
  <si>
    <t xml:space="preserve">RPY-0010506</t>
  </si>
  <si>
    <t xml:space="preserve">RPY-0010507</t>
  </si>
  <si>
    <t xml:space="preserve">RPY-0010508</t>
  </si>
  <si>
    <t xml:space="preserve">RPY-0010509</t>
  </si>
  <si>
    <t xml:space="preserve">RPY-0010510</t>
  </si>
  <si>
    <t xml:space="preserve">RPY-0010511</t>
  </si>
  <si>
    <t xml:space="preserve">RPY-0010512</t>
  </si>
  <si>
    <t xml:space="preserve">RPY-0010513</t>
  </si>
  <si>
    <t xml:space="preserve">RPY-0010514</t>
  </si>
  <si>
    <t xml:space="preserve">RPY-0010515</t>
  </si>
  <si>
    <t xml:space="preserve">RPY-0010516</t>
  </si>
  <si>
    <t xml:space="preserve">RPY-0010517</t>
  </si>
  <si>
    <t xml:space="preserve">RPY-0010518</t>
  </si>
  <si>
    <t xml:space="preserve">RPY-0010519</t>
  </si>
  <si>
    <t xml:space="preserve">RPY-0010520</t>
  </si>
  <si>
    <t xml:space="preserve">RPY-0010521</t>
  </si>
  <si>
    <t xml:space="preserve">RPY-0010522</t>
  </si>
  <si>
    <t xml:space="preserve">RPY-0010523</t>
  </si>
  <si>
    <t xml:space="preserve">RPY-0010524</t>
  </si>
  <si>
    <t xml:space="preserve">RPY-0010525</t>
  </si>
  <si>
    <t xml:space="preserve">RPY-0010526</t>
  </si>
  <si>
    <t xml:space="preserve">RPY-0010527</t>
  </si>
  <si>
    <t xml:space="preserve">RPY-0010528</t>
  </si>
  <si>
    <t xml:space="preserve">RPY-0010529</t>
  </si>
  <si>
    <t xml:space="preserve">RPY-0010530</t>
  </si>
  <si>
    <t xml:space="preserve">RPY-0010531</t>
  </si>
  <si>
    <t xml:space="preserve">RPY-0010532</t>
  </si>
  <si>
    <t xml:space="preserve">RPY-0010533</t>
  </si>
  <si>
    <t xml:space="preserve">RPY-0010534</t>
  </si>
  <si>
    <t xml:space="preserve">RPY-0010535</t>
  </si>
  <si>
    <t xml:space="preserve">RPY-0010536</t>
  </si>
  <si>
    <t xml:space="preserve">RPY-0010537</t>
  </si>
  <si>
    <t xml:space="preserve">RPY-0010538</t>
  </si>
  <si>
    <t xml:space="preserve">RPY-0010539</t>
  </si>
  <si>
    <t xml:space="preserve">RPY-0010540</t>
  </si>
  <si>
    <t xml:space="preserve">RPY-0010541</t>
  </si>
  <si>
    <t xml:space="preserve">RPY-0010542</t>
  </si>
  <si>
    <t xml:space="preserve">RPY-0010543</t>
  </si>
  <si>
    <t xml:space="preserve">RPY-0010544</t>
  </si>
  <si>
    <t xml:space="preserve">RPY-0010545</t>
  </si>
  <si>
    <t xml:space="preserve">RPY-0010546</t>
  </si>
  <si>
    <t xml:space="preserve">RPY-0010547</t>
  </si>
  <si>
    <t xml:space="preserve">RPY-0010548</t>
  </si>
  <si>
    <t xml:space="preserve">RPY-0010549</t>
  </si>
  <si>
    <t xml:space="preserve">RPY-0010550</t>
  </si>
  <si>
    <t xml:space="preserve">RPY-0010551</t>
  </si>
  <si>
    <t xml:space="preserve">RPY-0010552</t>
  </si>
  <si>
    <t xml:space="preserve">RPY-0010553</t>
  </si>
  <si>
    <t xml:space="preserve">RPY-0010554</t>
  </si>
  <si>
    <t xml:space="preserve">RPY-0010555</t>
  </si>
  <si>
    <t xml:space="preserve">RPY-0010556</t>
  </si>
  <si>
    <t xml:space="preserve">RPY-0010557</t>
  </si>
  <si>
    <t xml:space="preserve">RPY-0010558</t>
  </si>
  <si>
    <t xml:space="preserve">RPY-0010559</t>
  </si>
  <si>
    <t xml:space="preserve">RPY-0010560</t>
  </si>
  <si>
    <t xml:space="preserve">RPY-0010561</t>
  </si>
  <si>
    <t xml:space="preserve">RPY-0010562</t>
  </si>
  <si>
    <t xml:space="preserve">RPY-0010563</t>
  </si>
  <si>
    <t xml:space="preserve">RPY-0010564</t>
  </si>
  <si>
    <t xml:space="preserve">RPY-0010565</t>
  </si>
  <si>
    <t xml:space="preserve">RPY-0010566</t>
  </si>
  <si>
    <t xml:space="preserve">RPY-0010567</t>
  </si>
  <si>
    <t xml:space="preserve">RPY-0010568</t>
  </si>
  <si>
    <t xml:space="preserve">RPY-0010569</t>
  </si>
  <si>
    <t xml:space="preserve">RPY-0010570</t>
  </si>
  <si>
    <t xml:space="preserve">RPY-0010571</t>
  </si>
  <si>
    <t xml:space="preserve">RPY-0010572</t>
  </si>
  <si>
    <t xml:space="preserve">RPY-0010573</t>
  </si>
  <si>
    <t xml:space="preserve">RPY-0010574</t>
  </si>
  <si>
    <t xml:space="preserve">RPY-0010575</t>
  </si>
  <si>
    <t xml:space="preserve">RPY-0010576</t>
  </si>
  <si>
    <t xml:space="preserve">RPY-0010577</t>
  </si>
  <si>
    <t xml:space="preserve">RPY-0010578</t>
  </si>
  <si>
    <t xml:space="preserve">RPY-0010579</t>
  </si>
  <si>
    <t xml:space="preserve">RPY-0010580</t>
  </si>
  <si>
    <t xml:space="preserve">RPY-0010581</t>
  </si>
  <si>
    <t xml:space="preserve">RPY-0010582</t>
  </si>
  <si>
    <t xml:space="preserve">RPY-0010583</t>
  </si>
  <si>
    <t xml:space="preserve">RPY-0010584</t>
  </si>
  <si>
    <t xml:space="preserve">RPY-0010585</t>
  </si>
  <si>
    <t xml:space="preserve">RPY-0010586</t>
  </si>
  <si>
    <t xml:space="preserve">RPY-0010587</t>
  </si>
  <si>
    <t xml:space="preserve">RPY-0010588</t>
  </si>
  <si>
    <t xml:space="preserve">RPY-0010589</t>
  </si>
  <si>
    <t xml:space="preserve">RPY-0010590</t>
  </si>
  <si>
    <t xml:space="preserve">RPY-0010591</t>
  </si>
  <si>
    <t xml:space="preserve">RPY-0010592</t>
  </si>
  <si>
    <t xml:space="preserve">RPY-0010593</t>
  </si>
  <si>
    <t xml:space="preserve">RPY-0010594</t>
  </si>
  <si>
    <t xml:space="preserve">RPY-0010595</t>
  </si>
  <si>
    <t xml:space="preserve">RPY-0010596</t>
  </si>
  <si>
    <t xml:space="preserve">RPY-0010597</t>
  </si>
  <si>
    <t xml:space="preserve">RPY-0010598</t>
  </si>
  <si>
    <t xml:space="preserve">RPY-0010599</t>
  </si>
  <si>
    <t xml:space="preserve">RPY-0010600</t>
  </si>
  <si>
    <t xml:space="preserve">RPY-0010601</t>
  </si>
  <si>
    <t xml:space="preserve">RPY-0010602</t>
  </si>
  <si>
    <t xml:space="preserve">RPY-0010603</t>
  </si>
  <si>
    <t xml:space="preserve">RPY-0010604</t>
  </si>
  <si>
    <t xml:space="preserve">RPY-0010605</t>
  </si>
  <si>
    <t xml:space="preserve">RPY-0010606</t>
  </si>
  <si>
    <t xml:space="preserve">RPY-0010607</t>
  </si>
  <si>
    <t xml:space="preserve">RPY-0010608</t>
  </si>
  <si>
    <t xml:space="preserve">RPY-0010609</t>
  </si>
  <si>
    <t xml:space="preserve">RPY-0010610</t>
  </si>
  <si>
    <t xml:space="preserve">RPY-0010611</t>
  </si>
  <si>
    <t xml:space="preserve">RPY-0010612</t>
  </si>
  <si>
    <t xml:space="preserve">RPY-0010613</t>
  </si>
  <si>
    <t xml:space="preserve">RPY-0010614</t>
  </si>
  <si>
    <t xml:space="preserve">RPY-0010615</t>
  </si>
  <si>
    <t xml:space="preserve">RPY-0010616</t>
  </si>
  <si>
    <t xml:space="preserve">RPY-0010617</t>
  </si>
  <si>
    <t xml:space="preserve">RPY-0010618</t>
  </si>
  <si>
    <t xml:space="preserve">RPY-0010619</t>
  </si>
  <si>
    <t xml:space="preserve">RPY-0010620</t>
  </si>
  <si>
    <t xml:space="preserve">RPY-0010621</t>
  </si>
  <si>
    <t xml:space="preserve">RPY-0010622</t>
  </si>
  <si>
    <t xml:space="preserve">RPY-0010623</t>
  </si>
  <si>
    <t xml:space="preserve">RPY-0010624</t>
  </si>
  <si>
    <t xml:space="preserve">RPY-0010625</t>
  </si>
  <si>
    <t xml:space="preserve">RPY-0010626</t>
  </si>
  <si>
    <t xml:space="preserve">RPY-0010627</t>
  </si>
  <si>
    <t xml:space="preserve">RPY-0010628</t>
  </si>
  <si>
    <t xml:space="preserve">RPY-0010629</t>
  </si>
  <si>
    <t xml:space="preserve">RPY-0010630</t>
  </si>
  <si>
    <t xml:space="preserve">RPY-0010631</t>
  </si>
  <si>
    <t xml:space="preserve">RPY-0010632</t>
  </si>
  <si>
    <t xml:space="preserve">RPY-0010633</t>
  </si>
  <si>
    <t xml:space="preserve">RPY-0010634</t>
  </si>
  <si>
    <t xml:space="preserve">RPY-0010635</t>
  </si>
  <si>
    <t xml:space="preserve">RPY-0010636</t>
  </si>
  <si>
    <t xml:space="preserve">RPY-0010637</t>
  </si>
  <si>
    <t xml:space="preserve">RPY-0010638</t>
  </si>
  <si>
    <t xml:space="preserve">RPY-0010639</t>
  </si>
  <si>
    <t xml:space="preserve">RPY-0010640</t>
  </si>
  <si>
    <t xml:space="preserve">RPY-0010641</t>
  </si>
  <si>
    <t xml:space="preserve">RPY-0010642</t>
  </si>
  <si>
    <t xml:space="preserve">RPY-0010643</t>
  </si>
  <si>
    <t xml:space="preserve">RPY-0010644</t>
  </si>
  <si>
    <t xml:space="preserve">RPY-0010645</t>
  </si>
  <si>
    <t xml:space="preserve">RPY-0010646</t>
  </si>
  <si>
    <t xml:space="preserve">RPY-0010647</t>
  </si>
  <si>
    <t xml:space="preserve">RPY-0010648</t>
  </si>
  <si>
    <t xml:space="preserve">RPY-0010649</t>
  </si>
  <si>
    <t xml:space="preserve">RPY-0010650</t>
  </si>
  <si>
    <t xml:space="preserve">RPY-0010651</t>
  </si>
  <si>
    <t xml:space="preserve">RPY-0010652</t>
  </si>
  <si>
    <t xml:space="preserve">RPY-0010653</t>
  </si>
  <si>
    <t xml:space="preserve">RPY-0010654</t>
  </si>
  <si>
    <t xml:space="preserve">RPY-0010655</t>
  </si>
  <si>
    <t xml:space="preserve">RPY-0010656</t>
  </si>
  <si>
    <t xml:space="preserve">RPY-0010657</t>
  </si>
  <si>
    <t xml:space="preserve">RPY-0010658</t>
  </si>
  <si>
    <t xml:space="preserve">RPY-0010659</t>
  </si>
  <si>
    <t xml:space="preserve">RPY-0010660</t>
  </si>
  <si>
    <t xml:space="preserve">RPY-0010661</t>
  </si>
  <si>
    <t xml:space="preserve">RPY-0010662</t>
  </si>
  <si>
    <t xml:space="preserve">RPY-0010663</t>
  </si>
  <si>
    <t xml:space="preserve">RPY-0010664</t>
  </si>
  <si>
    <t xml:space="preserve">RPY-0010665</t>
  </si>
  <si>
    <t xml:space="preserve">RPY-0010666</t>
  </si>
  <si>
    <t xml:space="preserve">RPY-0010667</t>
  </si>
  <si>
    <t xml:space="preserve">RPY-0010668</t>
  </si>
  <si>
    <t xml:space="preserve">RPY-0010669</t>
  </si>
  <si>
    <t xml:space="preserve">RPY-0010670</t>
  </si>
  <si>
    <t xml:space="preserve">RPY-0010671</t>
  </si>
  <si>
    <t xml:space="preserve">RPY-0010672</t>
  </si>
  <si>
    <t xml:space="preserve">RPY-0010673</t>
  </si>
  <si>
    <t xml:space="preserve">RPY-0010674</t>
  </si>
  <si>
    <t xml:space="preserve">RPY-0010675</t>
  </si>
  <si>
    <t xml:space="preserve">RPY-0010676</t>
  </si>
  <si>
    <t xml:space="preserve">RPY-0010677</t>
  </si>
  <si>
    <t xml:space="preserve">RPY-0010678</t>
  </si>
  <si>
    <t xml:space="preserve">RPY-0010679</t>
  </si>
  <si>
    <t xml:space="preserve">RPY-0010680</t>
  </si>
  <si>
    <t xml:space="preserve">RPY-0010681</t>
  </si>
  <si>
    <t xml:space="preserve">RPY-0010682</t>
  </si>
  <si>
    <t xml:space="preserve">RPY-0010683</t>
  </si>
  <si>
    <t xml:space="preserve">RPY-0010684</t>
  </si>
  <si>
    <t xml:space="preserve">RPY-0010685</t>
  </si>
  <si>
    <t xml:space="preserve">RPY-0010686</t>
  </si>
  <si>
    <t xml:space="preserve">RPY-0010687</t>
  </si>
  <si>
    <t xml:space="preserve">RPY-0010688</t>
  </si>
  <si>
    <t xml:space="preserve">RPY-0010689</t>
  </si>
  <si>
    <t xml:space="preserve">RPY-0010690</t>
  </si>
  <si>
    <t xml:space="preserve">RPY-0010691</t>
  </si>
  <si>
    <t xml:space="preserve">RPY-0010692</t>
  </si>
  <si>
    <t xml:space="preserve">RPY-0010693</t>
  </si>
  <si>
    <t xml:space="preserve">RPY-0010694</t>
  </si>
  <si>
    <t xml:space="preserve">RPY-0010695</t>
  </si>
  <si>
    <t xml:space="preserve">RPY-0010696</t>
  </si>
  <si>
    <t xml:space="preserve">RPY-0010697</t>
  </si>
  <si>
    <t xml:space="preserve">RPY-0010698</t>
  </si>
  <si>
    <t xml:space="preserve">RPY-0010699</t>
  </si>
  <si>
    <t xml:space="preserve">RPY-0010700</t>
  </si>
  <si>
    <t xml:space="preserve">RPY-0010701</t>
  </si>
  <si>
    <t xml:space="preserve">RPY-0010702</t>
  </si>
  <si>
    <t xml:space="preserve">RPY-0010703</t>
  </si>
  <si>
    <t xml:space="preserve">RPY-0010704</t>
  </si>
  <si>
    <t xml:space="preserve">RPY-0010705</t>
  </si>
  <si>
    <t xml:space="preserve">RPY-0010706</t>
  </si>
  <si>
    <t xml:space="preserve">RPY-0010707</t>
  </si>
  <si>
    <t xml:space="preserve">RPY-0010708</t>
  </si>
  <si>
    <t xml:space="preserve">RPY-0010709</t>
  </si>
  <si>
    <t xml:space="preserve">RPY-0010710</t>
  </si>
  <si>
    <t xml:space="preserve">RPY-0010711</t>
  </si>
  <si>
    <t xml:space="preserve">RPY-0010712</t>
  </si>
  <si>
    <t xml:space="preserve">RPY-0010713</t>
  </si>
  <si>
    <t xml:space="preserve">RPY-0010714</t>
  </si>
  <si>
    <t xml:space="preserve">RPY-0010715</t>
  </si>
  <si>
    <t xml:space="preserve">RPY-0010716</t>
  </si>
  <si>
    <t xml:space="preserve">RPY-0010717</t>
  </si>
  <si>
    <t xml:space="preserve">RPY-0010718</t>
  </si>
  <si>
    <t xml:space="preserve">RPY-0010719</t>
  </si>
  <si>
    <t xml:space="preserve">RPY-0010720</t>
  </si>
  <si>
    <t xml:space="preserve">RPY-0010721</t>
  </si>
  <si>
    <t xml:space="preserve">RPY-0010722</t>
  </si>
  <si>
    <t xml:space="preserve">RPY-0010723</t>
  </si>
  <si>
    <t xml:space="preserve">RPY-0010724</t>
  </si>
  <si>
    <t xml:space="preserve">RPY-0010725</t>
  </si>
  <si>
    <t xml:space="preserve">RPY-0010726</t>
  </si>
  <si>
    <t xml:space="preserve">RPY-0010727</t>
  </si>
  <si>
    <t xml:space="preserve">RPY-0010728</t>
  </si>
  <si>
    <t xml:space="preserve">RPY-0010729</t>
  </si>
  <si>
    <t xml:space="preserve">RPY-0010730</t>
  </si>
  <si>
    <t xml:space="preserve">RPY-0010731</t>
  </si>
  <si>
    <t xml:space="preserve">RPY-0010732</t>
  </si>
  <si>
    <t xml:space="preserve">RPY-0010733</t>
  </si>
  <si>
    <t xml:space="preserve">RPY-0010734</t>
  </si>
  <si>
    <t xml:space="preserve">RPY-0010735</t>
  </si>
  <si>
    <t xml:space="preserve">RPY-0010736</t>
  </si>
  <si>
    <t xml:space="preserve">RPY-0010737</t>
  </si>
  <si>
    <t xml:space="preserve">RPY-0010738</t>
  </si>
  <si>
    <t xml:space="preserve">RPY-0010739</t>
  </si>
  <si>
    <t xml:space="preserve">RPY-0010740</t>
  </si>
  <si>
    <t xml:space="preserve">RPY-0010741</t>
  </si>
  <si>
    <t xml:space="preserve">RPY-0010742</t>
  </si>
  <si>
    <t xml:space="preserve">RPY-0010743</t>
  </si>
  <si>
    <t xml:space="preserve">RPY-0010744</t>
  </si>
  <si>
    <t xml:space="preserve">RPY-0010745</t>
  </si>
  <si>
    <t xml:space="preserve">RPY-0010746</t>
  </si>
  <si>
    <t xml:space="preserve">RPY-0010747</t>
  </si>
  <si>
    <t xml:space="preserve">RPY-0010748</t>
  </si>
  <si>
    <t xml:space="preserve">RPY-0010749</t>
  </si>
  <si>
    <t xml:space="preserve">RPY-0010750</t>
  </si>
  <si>
    <t xml:space="preserve">RPY-0010751</t>
  </si>
  <si>
    <t xml:space="preserve">RPY-0010752</t>
  </si>
  <si>
    <t xml:space="preserve">RPY-0010753</t>
  </si>
  <si>
    <t xml:space="preserve">RPY-0010754</t>
  </si>
  <si>
    <t xml:space="preserve">RPY-0010755</t>
  </si>
  <si>
    <t xml:space="preserve">RPY-0010756</t>
  </si>
  <si>
    <t xml:space="preserve">RPY-0010757</t>
  </si>
  <si>
    <t xml:space="preserve">RPY-0010758</t>
  </si>
  <si>
    <t xml:space="preserve">RPY-0010759</t>
  </si>
  <si>
    <t xml:space="preserve">RPY-0010760</t>
  </si>
  <si>
    <t xml:space="preserve">RPY-0010761</t>
  </si>
  <si>
    <t xml:space="preserve">RPY-0010762</t>
  </si>
  <si>
    <t xml:space="preserve">RPY-0010763</t>
  </si>
  <si>
    <t xml:space="preserve">RPY-0010764</t>
  </si>
  <si>
    <t xml:space="preserve">RPY-0010765</t>
  </si>
  <si>
    <t xml:space="preserve">RPY-0010766</t>
  </si>
  <si>
    <t xml:space="preserve">RPY-0010767</t>
  </si>
  <si>
    <t xml:space="preserve">RPY-0010768</t>
  </si>
  <si>
    <t xml:space="preserve">RPY-0010769</t>
  </si>
  <si>
    <t xml:space="preserve">RPY-0010770</t>
  </si>
  <si>
    <t xml:space="preserve">RPY-0010771</t>
  </si>
  <si>
    <t xml:space="preserve">RPY-0010772</t>
  </si>
  <si>
    <t xml:space="preserve">RPY-0010773</t>
  </si>
  <si>
    <t xml:space="preserve">RPY-0010774</t>
  </si>
  <si>
    <t xml:space="preserve">RPY-0010775</t>
  </si>
  <si>
    <t xml:space="preserve">RPY-0010776</t>
  </si>
  <si>
    <t xml:space="preserve">RPY-0010777</t>
  </si>
  <si>
    <t xml:space="preserve">RPY-0010778</t>
  </si>
  <si>
    <t xml:space="preserve">RPY-0010779</t>
  </si>
  <si>
    <t xml:space="preserve">RPY-0010780</t>
  </si>
  <si>
    <t xml:space="preserve">RPY-0010781</t>
  </si>
  <si>
    <t xml:space="preserve">RPY-0010782</t>
  </si>
  <si>
    <t xml:space="preserve">RPY-0010783</t>
  </si>
  <si>
    <t xml:space="preserve">RPY-0010784</t>
  </si>
  <si>
    <t xml:space="preserve">RPY-0010785</t>
  </si>
  <si>
    <t xml:space="preserve">RPY-0010786</t>
  </si>
  <si>
    <t xml:space="preserve">RPY-0010787</t>
  </si>
  <si>
    <t xml:space="preserve">RPY-0010788</t>
  </si>
  <si>
    <t xml:space="preserve">RPY-0010789</t>
  </si>
  <si>
    <t xml:space="preserve">RPY-0010790</t>
  </si>
  <si>
    <t xml:space="preserve">RPY-0010791</t>
  </si>
  <si>
    <t xml:space="preserve">RPY-0010792</t>
  </si>
  <si>
    <t xml:space="preserve">RPY-0010793</t>
  </si>
  <si>
    <t xml:space="preserve">RPY-0010794</t>
  </si>
  <si>
    <t xml:space="preserve">RPY-0010795</t>
  </si>
  <si>
    <t xml:space="preserve">RPY-0010796</t>
  </si>
  <si>
    <t xml:space="preserve">RPY-0010797</t>
  </si>
  <si>
    <t xml:space="preserve">RPY-0010798</t>
  </si>
  <si>
    <t xml:space="preserve">RPY-0010799</t>
  </si>
  <si>
    <t xml:space="preserve">RPY-0010800</t>
  </si>
  <si>
    <t xml:space="preserve">RPY-0010801</t>
  </si>
  <si>
    <t xml:space="preserve">RPY-0010802</t>
  </si>
  <si>
    <t xml:space="preserve">RPY-0010803</t>
  </si>
  <si>
    <t xml:space="preserve">RPY-0010804</t>
  </si>
  <si>
    <t xml:space="preserve">RPY-0010805</t>
  </si>
  <si>
    <t xml:space="preserve">RPY-0010806</t>
  </si>
  <si>
    <t xml:space="preserve">RPY-0010807</t>
  </si>
  <si>
    <t xml:space="preserve">RPY-0010808</t>
  </si>
  <si>
    <t xml:space="preserve">RPY-0010809</t>
  </si>
  <si>
    <t xml:space="preserve">RPY-0010810</t>
  </si>
  <si>
    <t xml:space="preserve">RPY-0010811</t>
  </si>
  <si>
    <t xml:space="preserve">RPY-0010812</t>
  </si>
  <si>
    <t xml:space="preserve">RPY-0010813</t>
  </si>
  <si>
    <t xml:space="preserve">RPY-0010814</t>
  </si>
  <si>
    <t xml:space="preserve">RPY-0010815</t>
  </si>
  <si>
    <t xml:space="preserve">RPY-0010816</t>
  </si>
  <si>
    <t xml:space="preserve">RPY-0010817</t>
  </si>
  <si>
    <t xml:space="preserve">RPY-0010818</t>
  </si>
  <si>
    <t xml:space="preserve">RPY-0010819</t>
  </si>
  <si>
    <t xml:space="preserve">RPY-0010820</t>
  </si>
  <si>
    <t xml:space="preserve">RPY-0010821</t>
  </si>
  <si>
    <t xml:space="preserve">RPY-0010822</t>
  </si>
  <si>
    <t xml:space="preserve">RPY-0010823</t>
  </si>
  <si>
    <t xml:space="preserve">RPY-0010824</t>
  </si>
  <si>
    <t xml:space="preserve">RPY-0010825</t>
  </si>
  <si>
    <t xml:space="preserve">RPY-0010826</t>
  </si>
  <si>
    <t xml:space="preserve">RPY-0010827</t>
  </si>
  <si>
    <t xml:space="preserve">RPY-0010828</t>
  </si>
  <si>
    <t xml:space="preserve">RPY-0010829</t>
  </si>
  <si>
    <t xml:space="preserve">RPY-0010830</t>
  </si>
  <si>
    <t xml:space="preserve">RPY-0010831</t>
  </si>
  <si>
    <t xml:space="preserve">RPY-0010832</t>
  </si>
  <si>
    <t xml:space="preserve">RPY-0010833</t>
  </si>
  <si>
    <t xml:space="preserve">RPY-0010834</t>
  </si>
  <si>
    <t xml:space="preserve">RPY-0010835</t>
  </si>
  <si>
    <t xml:space="preserve">RPY-0010836</t>
  </si>
  <si>
    <t xml:space="preserve">RPY-0010837</t>
  </si>
  <si>
    <t xml:space="preserve">RPY-0010838</t>
  </si>
  <si>
    <t xml:space="preserve">RPY-0010839</t>
  </si>
  <si>
    <t xml:space="preserve">RPY-0010840</t>
  </si>
  <si>
    <t xml:space="preserve">RPY-0010841</t>
  </si>
  <si>
    <t xml:space="preserve">RPY-0010842</t>
  </si>
  <si>
    <t xml:space="preserve">RPY-0010843</t>
  </si>
  <si>
    <t xml:space="preserve">RPY-0010844</t>
  </si>
  <si>
    <t xml:space="preserve">RPY-0010845</t>
  </si>
  <si>
    <t xml:space="preserve">RPY-0010846</t>
  </si>
  <si>
    <t xml:space="preserve">RPY-0010847</t>
  </si>
  <si>
    <t xml:space="preserve">RPY-0010848</t>
  </si>
  <si>
    <t xml:space="preserve">RPY-0010849</t>
  </si>
  <si>
    <t xml:space="preserve">RPY-0010850</t>
  </si>
  <si>
    <t xml:space="preserve">RPY-0010851</t>
  </si>
  <si>
    <t xml:space="preserve">RPY-0010852</t>
  </si>
  <si>
    <t xml:space="preserve">RPY-0010853</t>
  </si>
  <si>
    <t xml:space="preserve">RPY-0010854</t>
  </si>
  <si>
    <t xml:space="preserve">RPY-0010855</t>
  </si>
  <si>
    <t xml:space="preserve">RPY-0010856</t>
  </si>
  <si>
    <t xml:space="preserve">RPY-0010857</t>
  </si>
  <si>
    <t xml:space="preserve">RPY-0010858</t>
  </si>
  <si>
    <t xml:space="preserve">RPY-0010859</t>
  </si>
  <si>
    <t xml:space="preserve">RPY-0010860</t>
  </si>
  <si>
    <t xml:space="preserve">RPY-0010861</t>
  </si>
  <si>
    <t xml:space="preserve">RPY-0010862</t>
  </si>
  <si>
    <t xml:space="preserve">RPY-0010863</t>
  </si>
  <si>
    <t xml:space="preserve">RPY-0010864</t>
  </si>
  <si>
    <t xml:space="preserve">RPY-0010865</t>
  </si>
  <si>
    <t xml:space="preserve">RPY-0010866</t>
  </si>
  <si>
    <t xml:space="preserve">RPY-0010867</t>
  </si>
  <si>
    <t xml:space="preserve">RPY-0010868</t>
  </si>
  <si>
    <t xml:space="preserve">RPY-0010869</t>
  </si>
  <si>
    <t xml:space="preserve">RPY-0010870</t>
  </si>
  <si>
    <t xml:space="preserve">RPY-0010871</t>
  </si>
  <si>
    <t xml:space="preserve">RPY-0010872</t>
  </si>
  <si>
    <t xml:space="preserve">RPY-0010873</t>
  </si>
  <si>
    <t xml:space="preserve">RPY-0010874</t>
  </si>
  <si>
    <t xml:space="preserve">RPY-0010875</t>
  </si>
  <si>
    <t xml:space="preserve">RPY-0010876</t>
  </si>
  <si>
    <t xml:space="preserve">RPY-0010877</t>
  </si>
  <si>
    <t xml:space="preserve">RPY-0010878</t>
  </si>
  <si>
    <t xml:space="preserve">RPY-0010879</t>
  </si>
  <si>
    <t xml:space="preserve">RPY-0010880</t>
  </si>
  <si>
    <t xml:space="preserve">RPY-0010881</t>
  </si>
  <si>
    <t xml:space="preserve">RPY-0010882</t>
  </si>
  <si>
    <t xml:space="preserve">RPY-0010883</t>
  </si>
  <si>
    <t xml:space="preserve">RPY-0010884</t>
  </si>
  <si>
    <t xml:space="preserve">RPY-0010885</t>
  </si>
  <si>
    <t xml:space="preserve">RPY-0010886</t>
  </si>
  <si>
    <t xml:space="preserve">RPY-0010887</t>
  </si>
  <si>
    <t xml:space="preserve">RPY-0010888</t>
  </si>
  <si>
    <t xml:space="preserve">RPY-0010889</t>
  </si>
  <si>
    <t xml:space="preserve">RPY-0010890</t>
  </si>
  <si>
    <t xml:space="preserve">RPY-0010891</t>
  </si>
  <si>
    <t xml:space="preserve">RPY-0010892</t>
  </si>
  <si>
    <t xml:space="preserve">RPY-0010893</t>
  </si>
  <si>
    <t xml:space="preserve">RPY-0010894</t>
  </si>
  <si>
    <t xml:space="preserve">RPY-0010895</t>
  </si>
  <si>
    <t xml:space="preserve">RPY-0010896</t>
  </si>
  <si>
    <t xml:space="preserve">RPY-0010897</t>
  </si>
  <si>
    <t xml:space="preserve">RPY-0010898</t>
  </si>
  <si>
    <t xml:space="preserve">RPY-0010899</t>
  </si>
  <si>
    <t xml:space="preserve">RPY-0010900</t>
  </si>
  <si>
    <t xml:space="preserve">RPY-0010901</t>
  </si>
  <si>
    <t xml:space="preserve">RPY-0010902</t>
  </si>
  <si>
    <t xml:space="preserve">RPY-0010903</t>
  </si>
  <si>
    <t xml:space="preserve">RPY-0010904</t>
  </si>
  <si>
    <t xml:space="preserve">RPY-0010905</t>
  </si>
  <si>
    <t xml:space="preserve">RPY-0010906</t>
  </si>
  <si>
    <t xml:space="preserve">RPY-0010907</t>
  </si>
  <si>
    <t xml:space="preserve">RPY-0010908</t>
  </si>
  <si>
    <t xml:space="preserve">RPY-0010909</t>
  </si>
  <si>
    <t xml:space="preserve">RPY-0010910</t>
  </si>
  <si>
    <t xml:space="preserve">RPY-0010911</t>
  </si>
  <si>
    <t xml:space="preserve">RPY-0010912</t>
  </si>
  <si>
    <t xml:space="preserve">RPY-0010913</t>
  </si>
  <si>
    <t xml:space="preserve">RPY-0010914</t>
  </si>
  <si>
    <t xml:space="preserve">RPY-0010915</t>
  </si>
  <si>
    <t xml:space="preserve">RPY-0010916</t>
  </si>
  <si>
    <t xml:space="preserve">RPY-0010917</t>
  </si>
  <si>
    <t xml:space="preserve">RPY-0010918</t>
  </si>
  <si>
    <t xml:space="preserve">RPY-0010919</t>
  </si>
  <si>
    <t xml:space="preserve">RPY-0010920</t>
  </si>
  <si>
    <t xml:space="preserve">RPY-0010921</t>
  </si>
  <si>
    <t xml:space="preserve">RPY-0010922</t>
  </si>
  <si>
    <t xml:space="preserve">RPY-0010923</t>
  </si>
  <si>
    <t xml:space="preserve">RPY-0010924</t>
  </si>
  <si>
    <t xml:space="preserve">RPY-0010925</t>
  </si>
  <si>
    <t xml:space="preserve">RPY-0010926</t>
  </si>
  <si>
    <t xml:space="preserve">RPY-0010927</t>
  </si>
  <si>
    <t xml:space="preserve">RPY-0010928</t>
  </si>
  <si>
    <t xml:space="preserve">RPY-0010929</t>
  </si>
  <si>
    <t xml:space="preserve">RPY-0010930</t>
  </si>
  <si>
    <t xml:space="preserve">RPY-0010931</t>
  </si>
  <si>
    <t xml:space="preserve">RPY-0010932</t>
  </si>
  <si>
    <t xml:space="preserve">RPY-0010933</t>
  </si>
  <si>
    <t xml:space="preserve">RPY-0010934</t>
  </si>
  <si>
    <t xml:space="preserve">RPY-0010935</t>
  </si>
  <si>
    <t xml:space="preserve">RPY-0010936</t>
  </si>
  <si>
    <t xml:space="preserve">RPY-0010937</t>
  </si>
  <si>
    <t xml:space="preserve">RPY-0010938</t>
  </si>
  <si>
    <t xml:space="preserve">RPY-0010939</t>
  </si>
  <si>
    <t xml:space="preserve">RPY-0010940</t>
  </si>
  <si>
    <t xml:space="preserve">RPY-0010941</t>
  </si>
  <si>
    <t xml:space="preserve">RPY-0010942</t>
  </si>
  <si>
    <t xml:space="preserve">RPY-0010943</t>
  </si>
  <si>
    <t xml:space="preserve">RPY-0010944</t>
  </si>
  <si>
    <t xml:space="preserve">RPY-0010945</t>
  </si>
  <si>
    <t xml:space="preserve">RPY-0010946</t>
  </si>
  <si>
    <t xml:space="preserve">RPY-0010947</t>
  </si>
  <si>
    <t xml:space="preserve">RPY-0010948</t>
  </si>
  <si>
    <t xml:space="preserve">RPY-0010949</t>
  </si>
  <si>
    <t xml:space="preserve">RPY-0010950</t>
  </si>
  <si>
    <t xml:space="preserve">RPY-0010951</t>
  </si>
  <si>
    <t xml:space="preserve">RPY-0010952</t>
  </si>
  <si>
    <t xml:space="preserve">RPY-0010953</t>
  </si>
  <si>
    <t xml:space="preserve">RPY-0010954</t>
  </si>
  <si>
    <t xml:space="preserve">RPY-0010955</t>
  </si>
  <si>
    <t xml:space="preserve">RPY-0010956</t>
  </si>
  <si>
    <t xml:space="preserve">RPY-0010957</t>
  </si>
  <si>
    <t xml:space="preserve">RPY-0010958</t>
  </si>
  <si>
    <t xml:space="preserve">RPY-0010959</t>
  </si>
  <si>
    <t xml:space="preserve">RPY-0010960</t>
  </si>
  <si>
    <t xml:space="preserve">RPY-0010961</t>
  </si>
  <si>
    <t xml:space="preserve">RPY-0010962</t>
  </si>
  <si>
    <t xml:space="preserve">RPY-0010963</t>
  </si>
  <si>
    <t xml:space="preserve">RPY-0010964</t>
  </si>
  <si>
    <t xml:space="preserve">RPY-0010965</t>
  </si>
  <si>
    <t xml:space="preserve">RPY-0010966</t>
  </si>
  <si>
    <t xml:space="preserve">RPY-0010967</t>
  </si>
  <si>
    <t xml:space="preserve">RPY-0010968</t>
  </si>
  <si>
    <t xml:space="preserve">RPY-0010969</t>
  </si>
  <si>
    <t xml:space="preserve">RPY-0010970</t>
  </si>
  <si>
    <t xml:space="preserve">RPY-0010971</t>
  </si>
  <si>
    <t xml:space="preserve">RPY-0010972</t>
  </si>
  <si>
    <t xml:space="preserve">RPY-0010973</t>
  </si>
  <si>
    <t xml:space="preserve">RPY-0010974</t>
  </si>
  <si>
    <t xml:space="preserve">RPY-0010975</t>
  </si>
  <si>
    <t xml:space="preserve">RPY-0010976</t>
  </si>
  <si>
    <t xml:space="preserve">RPY-0010977</t>
  </si>
  <si>
    <t xml:space="preserve">RPY-0010978</t>
  </si>
  <si>
    <t xml:space="preserve">RPY-0010979</t>
  </si>
  <si>
    <t xml:space="preserve">RPY-0010980</t>
  </si>
  <si>
    <t xml:space="preserve">RPY-0010981</t>
  </si>
  <si>
    <t xml:space="preserve">RPY-0010982</t>
  </si>
  <si>
    <t xml:space="preserve">RPY-0010983</t>
  </si>
  <si>
    <t xml:space="preserve">RPY-0010984</t>
  </si>
  <si>
    <t xml:space="preserve">RPY-0010985</t>
  </si>
  <si>
    <t xml:space="preserve">RPY-0010986</t>
  </si>
  <si>
    <t xml:space="preserve">RPY-0010987</t>
  </si>
  <si>
    <t xml:space="preserve">RPY-0010988</t>
  </si>
  <si>
    <t xml:space="preserve">RPY-0010989</t>
  </si>
  <si>
    <t xml:space="preserve">RPY-0010990</t>
  </si>
  <si>
    <t xml:space="preserve">RPY-0010991</t>
  </si>
  <si>
    <t xml:space="preserve">RPY-0010992</t>
  </si>
  <si>
    <t xml:space="preserve">RPY-0010993</t>
  </si>
  <si>
    <t xml:space="preserve">RPY-0010994</t>
  </si>
  <si>
    <t xml:space="preserve">RPY-0010995</t>
  </si>
  <si>
    <t xml:space="preserve">RPY-0010996</t>
  </si>
  <si>
    <t xml:space="preserve">RPY-0010997</t>
  </si>
  <si>
    <t xml:space="preserve">RPY-0010998</t>
  </si>
  <si>
    <t xml:space="preserve">RPY-0010999</t>
  </si>
  <si>
    <t xml:space="preserve">RPY-0011000</t>
  </si>
  <si>
    <t xml:space="preserve">RPY-0011001</t>
  </si>
  <si>
    <t xml:space="preserve">RPY-0011002</t>
  </si>
  <si>
    <t xml:space="preserve">RPY-0011003</t>
  </si>
  <si>
    <t xml:space="preserve">RPY-0011004</t>
  </si>
  <si>
    <t xml:space="preserve">RPY-0011005</t>
  </si>
  <si>
    <t xml:space="preserve">RPY-0011006</t>
  </si>
  <si>
    <t xml:space="preserve">RPY-0011007</t>
  </si>
  <si>
    <t xml:space="preserve">RPY-0011008</t>
  </si>
  <si>
    <t xml:space="preserve">RPY-0011009</t>
  </si>
  <si>
    <t xml:space="preserve">RPY-0011010</t>
  </si>
  <si>
    <t xml:space="preserve">RPY-0011011</t>
  </si>
  <si>
    <t xml:space="preserve">RPY-0011012</t>
  </si>
  <si>
    <t xml:space="preserve">RPY-0011013</t>
  </si>
  <si>
    <t xml:space="preserve">RPY-0011014</t>
  </si>
  <si>
    <t xml:space="preserve">RPY-0011015</t>
  </si>
  <si>
    <t xml:space="preserve">RPY-0011016</t>
  </si>
  <si>
    <t xml:space="preserve">RPY-0011017</t>
  </si>
  <si>
    <t xml:space="preserve">RPY-0011018</t>
  </si>
  <si>
    <t xml:space="preserve">RPY-0011019</t>
  </si>
  <si>
    <t xml:space="preserve">RPY-0011020</t>
  </si>
  <si>
    <t xml:space="preserve">RPY-0011021</t>
  </si>
  <si>
    <t xml:space="preserve">RPY-0011022</t>
  </si>
  <si>
    <t xml:space="preserve">RPY-0011023</t>
  </si>
  <si>
    <t xml:space="preserve">RPY-0011024</t>
  </si>
  <si>
    <t xml:space="preserve">RPY-0011025</t>
  </si>
  <si>
    <t xml:space="preserve">RPY-0011026</t>
  </si>
  <si>
    <t xml:space="preserve">RPY-0011027</t>
  </si>
  <si>
    <t xml:space="preserve">RPY-0011028</t>
  </si>
  <si>
    <t xml:space="preserve">RPY-0011029</t>
  </si>
  <si>
    <t xml:space="preserve">RPY-0011030</t>
  </si>
  <si>
    <t xml:space="preserve">RPY-0011031</t>
  </si>
  <si>
    <t xml:space="preserve">RPY-0011032</t>
  </si>
  <si>
    <t xml:space="preserve">RPY-0011033</t>
  </si>
  <si>
    <t xml:space="preserve">RPY-0011034</t>
  </si>
  <si>
    <t xml:space="preserve">RPY-0011035</t>
  </si>
  <si>
    <t xml:space="preserve">RPY-0011036</t>
  </si>
  <si>
    <t xml:space="preserve">RPY-0011037</t>
  </si>
  <si>
    <t xml:space="preserve">RPY-0011038</t>
  </si>
  <si>
    <t xml:space="preserve">RPY-0011039</t>
  </si>
  <si>
    <t xml:space="preserve">RPY-0011040</t>
  </si>
  <si>
    <t xml:space="preserve">RPY-0011041</t>
  </si>
  <si>
    <t xml:space="preserve">RPY-0011042</t>
  </si>
  <si>
    <t xml:space="preserve">RPY-0011043</t>
  </si>
  <si>
    <t xml:space="preserve">RPY-0011044</t>
  </si>
  <si>
    <t xml:space="preserve">RPY-0011045</t>
  </si>
  <si>
    <t xml:space="preserve">RPY-0011046</t>
  </si>
  <si>
    <t xml:space="preserve">RPY-0011047</t>
  </si>
  <si>
    <t xml:space="preserve">RPY-0011048</t>
  </si>
  <si>
    <t xml:space="preserve">RPY-0011049</t>
  </si>
  <si>
    <t xml:space="preserve">RPY-0011050</t>
  </si>
  <si>
    <t xml:space="preserve">RPY-0011051</t>
  </si>
  <si>
    <t xml:space="preserve">RPY-0011052</t>
  </si>
  <si>
    <t xml:space="preserve">RPY-0011053</t>
  </si>
  <si>
    <t xml:space="preserve">RPY-0011054</t>
  </si>
  <si>
    <t xml:space="preserve">RPY-0011055</t>
  </si>
  <si>
    <t xml:space="preserve">RPY-0011056</t>
  </si>
  <si>
    <t xml:space="preserve">RPY-0011057</t>
  </si>
  <si>
    <t xml:space="preserve">RPY-0011058</t>
  </si>
  <si>
    <t xml:space="preserve">RPY-0011059</t>
  </si>
  <si>
    <t xml:space="preserve">RPY-0011060</t>
  </si>
  <si>
    <t xml:space="preserve">RPY-0011061</t>
  </si>
  <si>
    <t xml:space="preserve">RPY-0011062</t>
  </si>
  <si>
    <t xml:space="preserve">RPY-0011063</t>
  </si>
  <si>
    <t xml:space="preserve">RPY-0011064</t>
  </si>
  <si>
    <t xml:space="preserve">RPY-0011065</t>
  </si>
  <si>
    <t xml:space="preserve">RPY-0011066</t>
  </si>
  <si>
    <t xml:space="preserve">RPY-0011067</t>
  </si>
  <si>
    <t xml:space="preserve">RPY-0011068</t>
  </si>
  <si>
    <t xml:space="preserve">RPY-0011069</t>
  </si>
  <si>
    <t xml:space="preserve">RPY-0011070</t>
  </si>
  <si>
    <t xml:space="preserve">RPY-0011071</t>
  </si>
  <si>
    <t xml:space="preserve">RPY-0011072</t>
  </si>
  <si>
    <t xml:space="preserve">RPY-0011073</t>
  </si>
  <si>
    <t xml:space="preserve">RPY-0011074</t>
  </si>
  <si>
    <t xml:space="preserve">RPY-0011075</t>
  </si>
  <si>
    <t xml:space="preserve">RPY-0011076</t>
  </si>
  <si>
    <t xml:space="preserve">RPY-0011077</t>
  </si>
  <si>
    <t xml:space="preserve">RPY-0011078</t>
  </si>
  <si>
    <t xml:space="preserve">RPY-0011079</t>
  </si>
  <si>
    <t xml:space="preserve">RPY-0011080</t>
  </si>
  <si>
    <t xml:space="preserve">RPY-0011081</t>
  </si>
  <si>
    <t xml:space="preserve">RPY-0011082</t>
  </si>
  <si>
    <t xml:space="preserve">RPY-0011083</t>
  </si>
  <si>
    <t xml:space="preserve">RPY-0011084</t>
  </si>
  <si>
    <t xml:space="preserve">RPY-0011085</t>
  </si>
  <si>
    <t xml:space="preserve">RPY-0011086</t>
  </si>
  <si>
    <t xml:space="preserve">RPY-0011087</t>
  </si>
  <si>
    <t xml:space="preserve">RPY-0011088</t>
  </si>
  <si>
    <t xml:space="preserve">RPY-0011089</t>
  </si>
  <si>
    <t xml:space="preserve">RPY-0011090</t>
  </si>
  <si>
    <t xml:space="preserve">RPY-0011091</t>
  </si>
  <si>
    <t xml:space="preserve">RPY-0011092</t>
  </si>
  <si>
    <t xml:space="preserve">RPY-0011093</t>
  </si>
  <si>
    <t xml:space="preserve">RPY-0011094</t>
  </si>
  <si>
    <t xml:space="preserve">RPY-0011095</t>
  </si>
  <si>
    <t xml:space="preserve">RPY-0011096</t>
  </si>
  <si>
    <t xml:space="preserve">RPY-0011097</t>
  </si>
  <si>
    <t xml:space="preserve">RPY-0011098</t>
  </si>
  <si>
    <t xml:space="preserve">RPY-0011099</t>
  </si>
  <si>
    <t xml:space="preserve">RPY-0011100</t>
  </si>
  <si>
    <t xml:space="preserve">RPY-0011101</t>
  </si>
  <si>
    <t xml:space="preserve">RPY-0011102</t>
  </si>
  <si>
    <t xml:space="preserve">RPY-0011103</t>
  </si>
  <si>
    <t xml:space="preserve">RPY-0011104</t>
  </si>
  <si>
    <t xml:space="preserve">RPY-0011105</t>
  </si>
  <si>
    <t xml:space="preserve">RPY-0011106</t>
  </si>
  <si>
    <t xml:space="preserve">RPY-0011107</t>
  </si>
  <si>
    <t xml:space="preserve">RPY-0011108</t>
  </si>
  <si>
    <t xml:space="preserve">RPY-0011109</t>
  </si>
  <si>
    <t xml:space="preserve">RPY-0011110</t>
  </si>
  <si>
    <t xml:space="preserve">RPY-0011111</t>
  </si>
  <si>
    <t xml:space="preserve">RPY-0011112</t>
  </si>
  <si>
    <t xml:space="preserve">RPY-0011113</t>
  </si>
  <si>
    <t xml:space="preserve">RPY-0011114</t>
  </si>
  <si>
    <t xml:space="preserve">RPY-0011115</t>
  </si>
  <si>
    <t xml:space="preserve">RPY-0011116</t>
  </si>
  <si>
    <t xml:space="preserve">RPY-0011117</t>
  </si>
  <si>
    <t xml:space="preserve">RPY-0011118</t>
  </si>
  <si>
    <t xml:space="preserve">RPY-0011119</t>
  </si>
  <si>
    <t xml:space="preserve">RPY-0011120</t>
  </si>
  <si>
    <t xml:space="preserve">RPY-0011121</t>
  </si>
  <si>
    <t xml:space="preserve">RPY-0011122</t>
  </si>
  <si>
    <t xml:space="preserve">RPY-0011123</t>
  </si>
  <si>
    <t xml:space="preserve">RPY-0011124</t>
  </si>
  <si>
    <t xml:space="preserve">RPY-0011125</t>
  </si>
  <si>
    <t xml:space="preserve">RPY-0011126</t>
  </si>
  <si>
    <t xml:space="preserve">RPY-0011127</t>
  </si>
  <si>
    <t xml:space="preserve">RPY-0011128</t>
  </si>
  <si>
    <t xml:space="preserve">RPY-0011129</t>
  </si>
  <si>
    <t xml:space="preserve">RPY-0011130</t>
  </si>
  <si>
    <t xml:space="preserve">RPY-0011131</t>
  </si>
  <si>
    <t xml:space="preserve">RPY-0011132</t>
  </si>
  <si>
    <t xml:space="preserve">RPY-0011133</t>
  </si>
  <si>
    <t xml:space="preserve">RPY-0011134</t>
  </si>
  <si>
    <t xml:space="preserve">RPY-0011135</t>
  </si>
  <si>
    <t xml:space="preserve">RPY-0011136</t>
  </si>
  <si>
    <t xml:space="preserve">RPY-0011137</t>
  </si>
  <si>
    <t xml:space="preserve">RPY-0011138</t>
  </si>
  <si>
    <t xml:space="preserve">RPY-0011139</t>
  </si>
  <si>
    <t xml:space="preserve">RPY-0011140</t>
  </si>
  <si>
    <t xml:space="preserve">RPY-0011141</t>
  </si>
  <si>
    <t xml:space="preserve">RPY-0011142</t>
  </si>
  <si>
    <t xml:space="preserve">RPY-0011143</t>
  </si>
  <si>
    <t xml:space="preserve">RPY-0011144</t>
  </si>
  <si>
    <t xml:space="preserve">RPY-0011145</t>
  </si>
  <si>
    <t xml:space="preserve">RPY-0011146</t>
  </si>
  <si>
    <t xml:space="preserve">RPY-0011147</t>
  </si>
  <si>
    <t xml:space="preserve">RPY-0011148</t>
  </si>
  <si>
    <t xml:space="preserve">RPY-0011149</t>
  </si>
  <si>
    <t xml:space="preserve">RPY-0011150</t>
  </si>
  <si>
    <t xml:space="preserve">RPY-0011151</t>
  </si>
  <si>
    <t xml:space="preserve">RPY-0011152</t>
  </si>
  <si>
    <t xml:space="preserve">RPY-0011153</t>
  </si>
  <si>
    <t xml:space="preserve">RPY-0011154</t>
  </si>
  <si>
    <t xml:space="preserve">RPY-0011155</t>
  </si>
  <si>
    <t xml:space="preserve">RPY-0011156</t>
  </si>
  <si>
    <t xml:space="preserve">RPY-0011157</t>
  </si>
  <si>
    <t xml:space="preserve">RPY-0011158</t>
  </si>
  <si>
    <t xml:space="preserve">RPY-0011159</t>
  </si>
  <si>
    <t xml:space="preserve">RPY-0011160</t>
  </si>
  <si>
    <t xml:space="preserve">RPY-0011161</t>
  </si>
  <si>
    <t xml:space="preserve">RPY-0011162</t>
  </si>
  <si>
    <t xml:space="preserve">RPY-0011163</t>
  </si>
  <si>
    <t xml:space="preserve">RPY-0011164</t>
  </si>
  <si>
    <t xml:space="preserve">RPY-0011165</t>
  </si>
  <si>
    <t xml:space="preserve">RPY-0011166</t>
  </si>
  <si>
    <t xml:space="preserve">RPY-0011167</t>
  </si>
  <si>
    <t xml:space="preserve">RPY-0011168</t>
  </si>
  <si>
    <t xml:space="preserve">RPY-0011169</t>
  </si>
  <si>
    <t xml:space="preserve">RPY-0011170</t>
  </si>
  <si>
    <t xml:space="preserve">RPY-0011171</t>
  </si>
  <si>
    <t xml:space="preserve">RPY-0011172</t>
  </si>
  <si>
    <t xml:space="preserve">RPY-0011173</t>
  </si>
  <si>
    <t xml:space="preserve">RPY-0011174</t>
  </si>
  <si>
    <t xml:space="preserve">RPY-0011175</t>
  </si>
  <si>
    <t xml:space="preserve">RPY-0011176</t>
  </si>
  <si>
    <t xml:space="preserve">RPY-0011177</t>
  </si>
  <si>
    <t xml:space="preserve">RPY-0011178</t>
  </si>
  <si>
    <t xml:space="preserve">RPY-0011179</t>
  </si>
  <si>
    <t xml:space="preserve">RPY-0011180</t>
  </si>
  <si>
    <t xml:space="preserve">RPY-0011181</t>
  </si>
  <si>
    <t xml:space="preserve">RPY-0011182</t>
  </si>
  <si>
    <t xml:space="preserve">RPY-0011183</t>
  </si>
  <si>
    <t xml:space="preserve">RPY-0011184</t>
  </si>
  <si>
    <t xml:space="preserve">RPY-0011185</t>
  </si>
  <si>
    <t xml:space="preserve">RPY-0011186</t>
  </si>
  <si>
    <t xml:space="preserve">RPY-0011187</t>
  </si>
  <si>
    <t xml:space="preserve">RPY-0011188</t>
  </si>
  <si>
    <t xml:space="preserve">RPY-0011189</t>
  </si>
  <si>
    <t xml:space="preserve">RPY-0011190</t>
  </si>
  <si>
    <t xml:space="preserve">RPY-0011191</t>
  </si>
  <si>
    <t xml:space="preserve">RPY-0011192</t>
  </si>
  <si>
    <t xml:space="preserve">RPY-0011193</t>
  </si>
  <si>
    <t xml:space="preserve">RPY-0011194</t>
  </si>
  <si>
    <t xml:space="preserve">RPY-0011195</t>
  </si>
  <si>
    <t xml:space="preserve">RPY-0011196</t>
  </si>
  <si>
    <t xml:space="preserve">RPY-0011197</t>
  </si>
  <si>
    <t xml:space="preserve">RPY-0011198</t>
  </si>
  <si>
    <t xml:space="preserve">RPY-0011199</t>
  </si>
  <si>
    <t xml:space="preserve">RPY-0011200</t>
  </si>
  <si>
    <t xml:space="preserve">RPY-0011201</t>
  </si>
  <si>
    <t xml:space="preserve">RPY-0011202</t>
  </si>
  <si>
    <t xml:space="preserve">RPY-0011203</t>
  </si>
  <si>
    <t xml:space="preserve">RPY-0011204</t>
  </si>
  <si>
    <t xml:space="preserve">RPY-0011205</t>
  </si>
  <si>
    <t xml:space="preserve">RPY-0011206</t>
  </si>
  <si>
    <t xml:space="preserve">RPY-0011207</t>
  </si>
  <si>
    <t xml:space="preserve">RPY-0011208</t>
  </si>
  <si>
    <t xml:space="preserve">RPY-0011209</t>
  </si>
  <si>
    <t xml:space="preserve">RPY-0011210</t>
  </si>
  <si>
    <t xml:space="preserve">RPY-0011211</t>
  </si>
  <si>
    <t xml:space="preserve">RPY-0011212</t>
  </si>
  <si>
    <t xml:space="preserve">RPY-0011213</t>
  </si>
  <si>
    <t xml:space="preserve">RPY-0011214</t>
  </si>
  <si>
    <t xml:space="preserve">RPY-0011215</t>
  </si>
  <si>
    <t xml:space="preserve">RPY-0011216</t>
  </si>
  <si>
    <t xml:space="preserve">RPY-0011217</t>
  </si>
  <si>
    <t xml:space="preserve">RPY-0011218</t>
  </si>
  <si>
    <t xml:space="preserve">RPY-0011219</t>
  </si>
  <si>
    <t xml:space="preserve">RPY-0011220</t>
  </si>
  <si>
    <t xml:space="preserve">RPY-0011221</t>
  </si>
  <si>
    <t xml:space="preserve">RPY-0011222</t>
  </si>
  <si>
    <t xml:space="preserve">RPY-0011223</t>
  </si>
  <si>
    <t xml:space="preserve">RPY-0011224</t>
  </si>
  <si>
    <t xml:space="preserve">RPY-0011225</t>
  </si>
  <si>
    <t xml:space="preserve">RPY-0011226</t>
  </si>
  <si>
    <t xml:space="preserve">RPY-0011227</t>
  </si>
  <si>
    <t xml:space="preserve">RPY-0011228</t>
  </si>
  <si>
    <t xml:space="preserve">RPY-0011229</t>
  </si>
  <si>
    <t xml:space="preserve">RPY-0011230</t>
  </si>
  <si>
    <t xml:space="preserve">RPY-0011231</t>
  </si>
  <si>
    <t xml:space="preserve">RPY-0011232</t>
  </si>
  <si>
    <t xml:space="preserve">RPY-0011233</t>
  </si>
  <si>
    <t xml:space="preserve">RPY-0011234</t>
  </si>
  <si>
    <t xml:space="preserve">RPY-0011235</t>
  </si>
  <si>
    <t xml:space="preserve">RPY-0011236</t>
  </si>
  <si>
    <t xml:space="preserve">RPY-0011237</t>
  </si>
  <si>
    <t xml:space="preserve">RPY-0011238</t>
  </si>
  <si>
    <t xml:space="preserve">RPY-0011239</t>
  </si>
  <si>
    <t xml:space="preserve">RPY-0011240</t>
  </si>
  <si>
    <t xml:space="preserve">RPY-0011241</t>
  </si>
  <si>
    <t xml:space="preserve">RPY-0011242</t>
  </si>
  <si>
    <t xml:space="preserve">RPY-0011243</t>
  </si>
  <si>
    <t xml:space="preserve">RPY-0011244</t>
  </si>
  <si>
    <t xml:space="preserve">RPY-0011245</t>
  </si>
  <si>
    <t xml:space="preserve">RPY-0011246</t>
  </si>
  <si>
    <t xml:space="preserve">RPY-0011247</t>
  </si>
  <si>
    <t xml:space="preserve">RPY-0011248</t>
  </si>
  <si>
    <t xml:space="preserve">RPY-0011249</t>
  </si>
  <si>
    <t xml:space="preserve">RPY-0011250</t>
  </si>
  <si>
    <t xml:space="preserve">RPY-0011251</t>
  </si>
  <si>
    <t xml:space="preserve">RPY-0011252</t>
  </si>
  <si>
    <t xml:space="preserve">RPY-0011253</t>
  </si>
  <si>
    <t xml:space="preserve">RPY-0011254</t>
  </si>
  <si>
    <t xml:space="preserve">RPY-0011255</t>
  </si>
  <si>
    <t xml:space="preserve">RPY-0011256</t>
  </si>
  <si>
    <t xml:space="preserve">RPY-0011257</t>
  </si>
  <si>
    <t xml:space="preserve">RPY-0011258</t>
  </si>
  <si>
    <t xml:space="preserve">RPY-0011259</t>
  </si>
  <si>
    <t xml:space="preserve">RPY-0011260</t>
  </si>
  <si>
    <t xml:space="preserve">RPY-0011261</t>
  </si>
  <si>
    <t xml:space="preserve">RPY-0011262</t>
  </si>
  <si>
    <t xml:space="preserve">RPY-0011263</t>
  </si>
  <si>
    <t xml:space="preserve">RPY-0011264</t>
  </si>
  <si>
    <t xml:space="preserve">RPY-0011265</t>
  </si>
  <si>
    <t xml:space="preserve">RPY-0011266</t>
  </si>
  <si>
    <t xml:space="preserve">RPY-0011267</t>
  </si>
  <si>
    <t xml:space="preserve">RPY-0011268</t>
  </si>
  <si>
    <t xml:space="preserve">RPY-0011269</t>
  </si>
  <si>
    <t xml:space="preserve">RPY-0011270</t>
  </si>
  <si>
    <t xml:space="preserve">RPY-0011271</t>
  </si>
  <si>
    <t xml:space="preserve">RPY-0011272</t>
  </si>
  <si>
    <t xml:space="preserve">RPY-0011273</t>
  </si>
  <si>
    <t xml:space="preserve">RPY-0011274</t>
  </si>
  <si>
    <t xml:space="preserve">RPY-0011275</t>
  </si>
  <si>
    <t xml:space="preserve">RPY-0011276</t>
  </si>
  <si>
    <t xml:space="preserve">RPY-0011277</t>
  </si>
  <si>
    <t xml:space="preserve">RPY-0011278</t>
  </si>
  <si>
    <t xml:space="preserve">RPY-0011279</t>
  </si>
  <si>
    <t xml:space="preserve">RPY-0011280</t>
  </si>
  <si>
    <t xml:space="preserve">RPY-0011281</t>
  </si>
  <si>
    <t xml:space="preserve">RPY-0011282</t>
  </si>
  <si>
    <t xml:space="preserve">RPY-0011283</t>
  </si>
  <si>
    <t xml:space="preserve">RPY-0011284</t>
  </si>
  <si>
    <t xml:space="preserve">RPY-0011285</t>
  </si>
  <si>
    <t xml:space="preserve">RPY-0011286</t>
  </si>
  <si>
    <t xml:space="preserve">RPY-0011287</t>
  </si>
  <si>
    <t xml:space="preserve">RPY-0011288</t>
  </si>
  <si>
    <t xml:space="preserve">RPY-0011289</t>
  </si>
  <si>
    <t xml:space="preserve">RPY-0011290</t>
  </si>
  <si>
    <t xml:space="preserve">RPY-0011291</t>
  </si>
  <si>
    <t xml:space="preserve">RPY-0011292</t>
  </si>
  <si>
    <t xml:space="preserve">RPY-0011293</t>
  </si>
  <si>
    <t xml:space="preserve">RPY-0011294</t>
  </si>
  <si>
    <t xml:space="preserve">RPY-0011295</t>
  </si>
  <si>
    <t xml:space="preserve">RPY-0011296</t>
  </si>
  <si>
    <t xml:space="preserve">RPY-0011297</t>
  </si>
  <si>
    <t xml:space="preserve">RPY-0011298</t>
  </si>
  <si>
    <t xml:space="preserve">RPY-0011299</t>
  </si>
  <si>
    <t xml:space="preserve">RPY-0011300</t>
  </si>
  <si>
    <t xml:space="preserve">RPY-0011301</t>
  </si>
  <si>
    <t xml:space="preserve">RPY-0011302</t>
  </si>
  <si>
    <t xml:space="preserve">RPY-0011303</t>
  </si>
  <si>
    <t xml:space="preserve">RPY-0011304</t>
  </si>
  <si>
    <t xml:space="preserve">RPY-0011305</t>
  </si>
  <si>
    <t xml:space="preserve">RPY-0011306</t>
  </si>
  <si>
    <t xml:space="preserve">RPY-0011307</t>
  </si>
  <si>
    <t xml:space="preserve">RPY-0011308</t>
  </si>
  <si>
    <t xml:space="preserve">RPY-0011309</t>
  </si>
  <si>
    <t xml:space="preserve">RPY-0011310</t>
  </si>
  <si>
    <t xml:space="preserve">RPY-0011311</t>
  </si>
  <si>
    <t xml:space="preserve">RPY-0011312</t>
  </si>
  <si>
    <t xml:space="preserve">RPY-0011313</t>
  </si>
  <si>
    <t xml:space="preserve">RPY-0011314</t>
  </si>
  <si>
    <t xml:space="preserve">RPY-0011315</t>
  </si>
  <si>
    <t xml:space="preserve">RPY-0011316</t>
  </si>
  <si>
    <t xml:space="preserve">RPY-0011317</t>
  </si>
  <si>
    <t xml:space="preserve">RPY-0011318</t>
  </si>
  <si>
    <t xml:space="preserve">RPY-0011319</t>
  </si>
  <si>
    <t xml:space="preserve">RPY-0011320</t>
  </si>
  <si>
    <t xml:space="preserve">RPY-0011321</t>
  </si>
  <si>
    <t xml:space="preserve">RPY-0011322</t>
  </si>
  <si>
    <t xml:space="preserve">RPY-0011323</t>
  </si>
  <si>
    <t xml:space="preserve">RPY-0011324</t>
  </si>
  <si>
    <t xml:space="preserve">RPY-0011325</t>
  </si>
  <si>
    <t xml:space="preserve">RPY-0011326</t>
  </si>
  <si>
    <t xml:space="preserve">RPY-0011327</t>
  </si>
  <si>
    <t xml:space="preserve">RPY-0011328</t>
  </si>
  <si>
    <t xml:space="preserve">RPY-0011329</t>
  </si>
  <si>
    <t xml:space="preserve">RPY-0011330</t>
  </si>
  <si>
    <t xml:space="preserve">RPY-0011331</t>
  </si>
  <si>
    <t xml:space="preserve">RPY-0011332</t>
  </si>
  <si>
    <t xml:space="preserve">RPY-0011333</t>
  </si>
  <si>
    <t xml:space="preserve">RPY-0011334</t>
  </si>
  <si>
    <t xml:space="preserve">RPY-0011335</t>
  </si>
  <si>
    <t xml:space="preserve">RPY-0011336</t>
  </si>
  <si>
    <t xml:space="preserve">RPY-0011337</t>
  </si>
  <si>
    <t xml:space="preserve">RPY-0011338</t>
  </si>
  <si>
    <t xml:space="preserve">RPY-0011339</t>
  </si>
  <si>
    <t xml:space="preserve">RPY-0011340</t>
  </si>
  <si>
    <t xml:space="preserve">RPY-0011341</t>
  </si>
  <si>
    <t xml:space="preserve">RPY-0011342</t>
  </si>
  <si>
    <t xml:space="preserve">RPY-0011343</t>
  </si>
  <si>
    <t xml:space="preserve">RPY-0011344</t>
  </si>
  <si>
    <t xml:space="preserve">RPY-0011345</t>
  </si>
  <si>
    <t xml:space="preserve">RPY-0011346</t>
  </si>
  <si>
    <t xml:space="preserve">RPY-0011347</t>
  </si>
  <si>
    <t xml:space="preserve">RPY-0011348</t>
  </si>
  <si>
    <t xml:space="preserve">RPY-0011349</t>
  </si>
  <si>
    <t xml:space="preserve">RPY-0011350</t>
  </si>
  <si>
    <t xml:space="preserve">RPY-0011351</t>
  </si>
  <si>
    <t xml:space="preserve">RPY-0011352</t>
  </si>
  <si>
    <t xml:space="preserve">RPY-0011353</t>
  </si>
  <si>
    <t xml:space="preserve">RPY-0011354</t>
  </si>
  <si>
    <t xml:space="preserve">RPY-0011355</t>
  </si>
  <si>
    <t xml:space="preserve">RPY-0011356</t>
  </si>
  <si>
    <t xml:space="preserve">RPY-0011357</t>
  </si>
  <si>
    <t xml:space="preserve">RPY-0011358</t>
  </si>
  <si>
    <t xml:space="preserve">RPY-0011359</t>
  </si>
  <si>
    <t xml:space="preserve">RPY-0011360</t>
  </si>
  <si>
    <t xml:space="preserve">RPY-0011361</t>
  </si>
  <si>
    <t xml:space="preserve">RPY-0011362</t>
  </si>
  <si>
    <t xml:space="preserve">RPY-0011363</t>
  </si>
  <si>
    <t xml:space="preserve">RPY-0011364</t>
  </si>
  <si>
    <t xml:space="preserve">RPY-0011365</t>
  </si>
  <si>
    <t xml:space="preserve">RPY-0011366</t>
  </si>
  <si>
    <t xml:space="preserve">RPY-0011367</t>
  </si>
  <si>
    <t xml:space="preserve">RPY-0011368</t>
  </si>
  <si>
    <t xml:space="preserve">RPY-0011369</t>
  </si>
  <si>
    <t xml:space="preserve">RPY-0011370</t>
  </si>
  <si>
    <t xml:space="preserve">RPY-0011371</t>
  </si>
  <si>
    <t xml:space="preserve">RPY-0011372</t>
  </si>
  <si>
    <t xml:space="preserve">RPY-0011373</t>
  </si>
  <si>
    <t xml:space="preserve">RPY-0011374</t>
  </si>
  <si>
    <t xml:space="preserve">RPY-0011375</t>
  </si>
  <si>
    <t xml:space="preserve">RPY-0011376</t>
  </si>
  <si>
    <t xml:space="preserve">RPY-0011377</t>
  </si>
  <si>
    <t xml:space="preserve">RPY-0011378</t>
  </si>
  <si>
    <t xml:space="preserve">RPY-0011379</t>
  </si>
  <si>
    <t xml:space="preserve">RPY-0011380</t>
  </si>
  <si>
    <t xml:space="preserve">RPY-0011381</t>
  </si>
  <si>
    <t xml:space="preserve">RPY-0011382</t>
  </si>
  <si>
    <t xml:space="preserve">RPY-0011383</t>
  </si>
  <si>
    <t xml:space="preserve">RPY-0011384</t>
  </si>
  <si>
    <t xml:space="preserve">RPY-0011385</t>
  </si>
  <si>
    <t xml:space="preserve">RPY-0011386</t>
  </si>
  <si>
    <t xml:space="preserve">RPY-0011387</t>
  </si>
  <si>
    <t xml:space="preserve">RPY-0011388</t>
  </si>
  <si>
    <t xml:space="preserve">RPY-0011389</t>
  </si>
  <si>
    <t xml:space="preserve">RPY-0011390</t>
  </si>
  <si>
    <t xml:space="preserve">RPY-0011391</t>
  </si>
  <si>
    <t xml:space="preserve">RPY-0011392</t>
  </si>
  <si>
    <t xml:space="preserve">RPY-0011393</t>
  </si>
  <si>
    <t xml:space="preserve">RPY-0011394</t>
  </si>
  <si>
    <t xml:space="preserve">RPY-0011395</t>
  </si>
  <si>
    <t xml:space="preserve">RPY-0011396</t>
  </si>
  <si>
    <t xml:space="preserve">RPY-0011397</t>
  </si>
  <si>
    <t xml:space="preserve">RPY-0011398</t>
  </si>
  <si>
    <t xml:space="preserve">RPY-0011399</t>
  </si>
  <si>
    <t xml:space="preserve">RPY-0011400</t>
  </si>
  <si>
    <t xml:space="preserve">RPY-0011401</t>
  </si>
  <si>
    <t xml:space="preserve">RPY-0011402</t>
  </si>
  <si>
    <t xml:space="preserve">RPY-0011403</t>
  </si>
  <si>
    <t xml:space="preserve">RPY-0011404</t>
  </si>
  <si>
    <t xml:space="preserve">RPY-0011405</t>
  </si>
  <si>
    <t xml:space="preserve">RPY-0011406</t>
  </si>
  <si>
    <t xml:space="preserve">RPY-0011407</t>
  </si>
  <si>
    <t xml:space="preserve">RPY-0011408</t>
  </si>
  <si>
    <t xml:space="preserve">RPY-0011409</t>
  </si>
  <si>
    <t xml:space="preserve">RPY-0011410</t>
  </si>
  <si>
    <t xml:space="preserve">RPY-0011411</t>
  </si>
  <si>
    <t xml:space="preserve">RPY-0011412</t>
  </si>
  <si>
    <t xml:space="preserve">RPY-0011413</t>
  </si>
  <si>
    <t xml:space="preserve">RPY-0011414</t>
  </si>
  <si>
    <t xml:space="preserve">RPY-0011415</t>
  </si>
  <si>
    <t xml:space="preserve">RPY-0011416</t>
  </si>
  <si>
    <t xml:space="preserve">RPY-0011417</t>
  </si>
  <si>
    <t xml:space="preserve">RPY-0011418</t>
  </si>
  <si>
    <t xml:space="preserve">RPY-0011419</t>
  </si>
  <si>
    <t xml:space="preserve">RPY-0011420</t>
  </si>
  <si>
    <t xml:space="preserve">RPY-0011421</t>
  </si>
  <si>
    <t xml:space="preserve">RPY-0011422</t>
  </si>
  <si>
    <t xml:space="preserve">RPY-0011423</t>
  </si>
  <si>
    <t xml:space="preserve">RPY-0011424</t>
  </si>
  <si>
    <t xml:space="preserve">RPY-0011425</t>
  </si>
  <si>
    <t xml:space="preserve">RPY-0011426</t>
  </si>
  <si>
    <t xml:space="preserve">RPY-0011427</t>
  </si>
  <si>
    <t xml:space="preserve">RPY-0011428</t>
  </si>
  <si>
    <t xml:space="preserve">RPY-0011429</t>
  </si>
  <si>
    <t xml:space="preserve">RPY-0011430</t>
  </si>
  <si>
    <t xml:space="preserve">RPY-0011431</t>
  </si>
  <si>
    <t xml:space="preserve">RPY-0011432</t>
  </si>
  <si>
    <t xml:space="preserve">RPY-0011433</t>
  </si>
  <si>
    <t xml:space="preserve">RPY-0011434</t>
  </si>
  <si>
    <t xml:space="preserve">RPY-0011435</t>
  </si>
  <si>
    <t xml:space="preserve">RPY-0011436</t>
  </si>
  <si>
    <t xml:space="preserve">RPY-0011437</t>
  </si>
  <si>
    <t xml:space="preserve">RPY-0011438</t>
  </si>
  <si>
    <t xml:space="preserve">RPY-0011439</t>
  </si>
  <si>
    <t xml:space="preserve">RPY-0011440</t>
  </si>
  <si>
    <t xml:space="preserve">RPY-0011441</t>
  </si>
  <si>
    <t xml:space="preserve">RPY-0011442</t>
  </si>
  <si>
    <t xml:space="preserve">RPY-0011443</t>
  </si>
  <si>
    <t xml:space="preserve">RPY-0011444</t>
  </si>
  <si>
    <t xml:space="preserve">RPY-0011445</t>
  </si>
  <si>
    <t xml:space="preserve">RPY-0011446</t>
  </si>
  <si>
    <t xml:space="preserve">RPY-0011447</t>
  </si>
  <si>
    <t xml:space="preserve">RPY-0011448</t>
  </si>
  <si>
    <t xml:space="preserve">RPY-0011449</t>
  </si>
  <si>
    <t xml:space="preserve">RPY-0011450</t>
  </si>
  <si>
    <t xml:space="preserve">RPY-0011451</t>
  </si>
  <si>
    <t xml:space="preserve">RPY-0011452</t>
  </si>
  <si>
    <t xml:space="preserve">RPY-0011453</t>
  </si>
  <si>
    <t xml:space="preserve">RPY-0011454</t>
  </si>
  <si>
    <t xml:space="preserve">RPY-0011455</t>
  </si>
  <si>
    <t xml:space="preserve">RPY-0011456</t>
  </si>
  <si>
    <t xml:space="preserve">RPY-0011457</t>
  </si>
  <si>
    <t xml:space="preserve">RPY-0011458</t>
  </si>
  <si>
    <t xml:space="preserve">RPY-0011459</t>
  </si>
  <si>
    <t xml:space="preserve">RPY-0011460</t>
  </si>
  <si>
    <t xml:space="preserve">RPY-0011461</t>
  </si>
  <si>
    <t xml:space="preserve">RPY-0011462</t>
  </si>
  <si>
    <t xml:space="preserve">RPY-0011463</t>
  </si>
  <si>
    <t xml:space="preserve">RPY-0011464</t>
  </si>
  <si>
    <t xml:space="preserve">RPY-0011465</t>
  </si>
  <si>
    <t xml:space="preserve">RPY-0011466</t>
  </si>
  <si>
    <t xml:space="preserve">RPY-0011467</t>
  </si>
  <si>
    <t xml:space="preserve">RPY-0011468</t>
  </si>
  <si>
    <t xml:space="preserve">RPY-0011469</t>
  </si>
  <si>
    <t xml:space="preserve">RPY-0011470</t>
  </si>
  <si>
    <t xml:space="preserve">RPY-0011471</t>
  </si>
  <si>
    <t xml:space="preserve">RPY-0011472</t>
  </si>
  <si>
    <t xml:space="preserve">RPY-0011473</t>
  </si>
  <si>
    <t xml:space="preserve">RPY-0011474</t>
  </si>
  <si>
    <t xml:space="preserve">RPY-0011475</t>
  </si>
  <si>
    <t xml:space="preserve">RPY-0011476</t>
  </si>
  <si>
    <t xml:space="preserve">RPY-0011477</t>
  </si>
  <si>
    <t xml:space="preserve">RPY-0011478</t>
  </si>
  <si>
    <t xml:space="preserve">RPY-0011479</t>
  </si>
  <si>
    <t xml:space="preserve">RPY-0011480</t>
  </si>
  <si>
    <t xml:space="preserve">RPY-0011481</t>
  </si>
  <si>
    <t xml:space="preserve">RPY-0011482</t>
  </si>
  <si>
    <t xml:space="preserve">RPY-0011483</t>
  </si>
  <si>
    <t xml:space="preserve">RPY-0011484</t>
  </si>
  <si>
    <t xml:space="preserve">RPY-0011485</t>
  </si>
  <si>
    <t xml:space="preserve">RPY-0011486</t>
  </si>
  <si>
    <t xml:space="preserve">RPY-0011487</t>
  </si>
  <si>
    <t xml:space="preserve">RPY-0011488</t>
  </si>
  <si>
    <t xml:space="preserve">RPY-0011489</t>
  </si>
  <si>
    <t xml:space="preserve">RPY-0011490</t>
  </si>
  <si>
    <t xml:space="preserve">RPY-0011491</t>
  </si>
  <si>
    <t xml:space="preserve">RPY-0011492</t>
  </si>
  <si>
    <t xml:space="preserve">RPY-0011493</t>
  </si>
  <si>
    <t xml:space="preserve">RPY-0011494</t>
  </si>
  <si>
    <t xml:space="preserve">RPY-0011495</t>
  </si>
  <si>
    <t xml:space="preserve">RPY-0011496</t>
  </si>
  <si>
    <t xml:space="preserve">RPY-0011497</t>
  </si>
  <si>
    <t xml:space="preserve">RPY-0011498</t>
  </si>
  <si>
    <t xml:space="preserve">RPY-0011499</t>
  </si>
  <si>
    <t xml:space="preserve">RPY-0011500</t>
  </si>
  <si>
    <t xml:space="preserve">RPY-0011501</t>
  </si>
  <si>
    <t xml:space="preserve">RPY-0011502</t>
  </si>
  <si>
    <t xml:space="preserve">RPY-0011503</t>
  </si>
  <si>
    <t xml:space="preserve">RPY-0011504</t>
  </si>
  <si>
    <t xml:space="preserve">RPY-0011505</t>
  </si>
  <si>
    <t xml:space="preserve">RPY-0011506</t>
  </si>
  <si>
    <t xml:space="preserve">RPY-0011507</t>
  </si>
  <si>
    <t xml:space="preserve">RPY-0011508</t>
  </si>
  <si>
    <t xml:space="preserve">RPY-0011509</t>
  </si>
  <si>
    <t xml:space="preserve">RPY-0011510</t>
  </si>
  <si>
    <t xml:space="preserve">RPY-0011511</t>
  </si>
  <si>
    <t xml:space="preserve">RPY-0011512</t>
  </si>
  <si>
    <t xml:space="preserve">RPY-0011513</t>
  </si>
  <si>
    <t xml:space="preserve">RPY-0011514</t>
  </si>
  <si>
    <t xml:space="preserve">RPY-0011515</t>
  </si>
  <si>
    <t xml:space="preserve">RPY-0011516</t>
  </si>
  <si>
    <t xml:space="preserve">RPY-0011517</t>
  </si>
  <si>
    <t xml:space="preserve">RPY-0011518</t>
  </si>
  <si>
    <t xml:space="preserve">RPY-0011519</t>
  </si>
  <si>
    <t xml:space="preserve">RPY-0011520</t>
  </si>
  <si>
    <t xml:space="preserve">RPY-0011521</t>
  </si>
  <si>
    <t xml:space="preserve">RPY-0011522</t>
  </si>
  <si>
    <t xml:space="preserve">RPY-0011523</t>
  </si>
  <si>
    <t xml:space="preserve">RPY-0011524</t>
  </si>
  <si>
    <t xml:space="preserve">RPY-0011525</t>
  </si>
  <si>
    <t xml:space="preserve">RPY-0011526</t>
  </si>
  <si>
    <t xml:space="preserve">RPY-0011527</t>
  </si>
  <si>
    <t xml:space="preserve">RPY-0011528</t>
  </si>
  <si>
    <t xml:space="preserve">RPY-0011529</t>
  </si>
  <si>
    <t xml:space="preserve">RPY-0011530</t>
  </si>
  <si>
    <t xml:space="preserve">RPY-0011531</t>
  </si>
  <si>
    <t xml:space="preserve">RPY-0011532</t>
  </si>
  <si>
    <t xml:space="preserve">RPY-0011533</t>
  </si>
  <si>
    <t xml:space="preserve">RPY-0011534</t>
  </si>
  <si>
    <t xml:space="preserve">RPY-0011535</t>
  </si>
  <si>
    <t xml:space="preserve">RPY-0011536</t>
  </si>
  <si>
    <t xml:space="preserve">RPY-0011537</t>
  </si>
  <si>
    <t xml:space="preserve">RPY-0011538</t>
  </si>
  <si>
    <t xml:space="preserve">RPY-0011539</t>
  </si>
  <si>
    <t xml:space="preserve">RPY-0011540</t>
  </si>
  <si>
    <t xml:space="preserve">RPY-0011541</t>
  </si>
  <si>
    <t xml:space="preserve">RPY-0011542</t>
  </si>
  <si>
    <t xml:space="preserve">RPY-0011543</t>
  </si>
  <si>
    <t xml:space="preserve">RPY-0011544</t>
  </si>
  <si>
    <t xml:space="preserve">RPY-0011545</t>
  </si>
  <si>
    <t xml:space="preserve">RPY-0011546</t>
  </si>
  <si>
    <t xml:space="preserve">RPY-0011547</t>
  </si>
  <si>
    <t xml:space="preserve">RPY-0011548</t>
  </si>
  <si>
    <t xml:space="preserve">RPY-0011549</t>
  </si>
  <si>
    <t xml:space="preserve">RPY-0011550</t>
  </si>
  <si>
    <t xml:space="preserve">RPY-0011551</t>
  </si>
  <si>
    <t xml:space="preserve">RPY-0011552</t>
  </si>
  <si>
    <t xml:space="preserve">RPY-0011553</t>
  </si>
  <si>
    <t xml:space="preserve">RPY-0011554</t>
  </si>
  <si>
    <t xml:space="preserve">RPY-0011555</t>
  </si>
  <si>
    <t xml:space="preserve">RPY-0011556</t>
  </si>
  <si>
    <t xml:space="preserve">RPY-0011557</t>
  </si>
  <si>
    <t xml:space="preserve">RPY-0011558</t>
  </si>
  <si>
    <t xml:space="preserve">RPY-0011559</t>
  </si>
  <si>
    <t xml:space="preserve">RPY-0011560</t>
  </si>
  <si>
    <t xml:space="preserve">RPY-0011561</t>
  </si>
  <si>
    <t xml:space="preserve">RPY-0011562</t>
  </si>
  <si>
    <t xml:space="preserve">RPY-0011563</t>
  </si>
  <si>
    <t xml:space="preserve">RPY-0011564</t>
  </si>
  <si>
    <t xml:space="preserve">RPY-0011565</t>
  </si>
  <si>
    <t xml:space="preserve">RPY-0011566</t>
  </si>
  <si>
    <t xml:space="preserve">RPY-0011567</t>
  </si>
  <si>
    <t xml:space="preserve">RPY-0011568</t>
  </si>
  <si>
    <t xml:space="preserve">RPY-0011569</t>
  </si>
  <si>
    <t xml:space="preserve">RPY-0011570</t>
  </si>
  <si>
    <t xml:space="preserve">RPY-0011571</t>
  </si>
  <si>
    <t xml:space="preserve">RPY-0011572</t>
  </si>
  <si>
    <t xml:space="preserve">RPY-0011573</t>
  </si>
  <si>
    <t xml:space="preserve">RPY-0011574</t>
  </si>
  <si>
    <t xml:space="preserve">RPY-0011575</t>
  </si>
  <si>
    <t xml:space="preserve">RPY-0011576</t>
  </si>
  <si>
    <t xml:space="preserve">RPY-0011577</t>
  </si>
  <si>
    <t xml:space="preserve">RPY-0011578</t>
  </si>
  <si>
    <t xml:space="preserve">RPY-0011579</t>
  </si>
  <si>
    <t xml:space="preserve">RPY-0011580</t>
  </si>
  <si>
    <t xml:space="preserve">RPY-0011581</t>
  </si>
  <si>
    <t xml:space="preserve">RPY-0011582</t>
  </si>
  <si>
    <t xml:space="preserve">RPY-0011583</t>
  </si>
  <si>
    <t xml:space="preserve">RPY-0011584</t>
  </si>
  <si>
    <t xml:space="preserve">RPY-0011585</t>
  </si>
  <si>
    <t xml:space="preserve">RPY-0011586</t>
  </si>
  <si>
    <t xml:space="preserve">RPY-0011587</t>
  </si>
  <si>
    <t xml:space="preserve">RPY-0011588</t>
  </si>
  <si>
    <t xml:space="preserve">RPY-0011589</t>
  </si>
  <si>
    <t xml:space="preserve">RPY-0011590</t>
  </si>
  <si>
    <t xml:space="preserve">RPY-0011591</t>
  </si>
  <si>
    <t xml:space="preserve">RPY-0011592</t>
  </si>
  <si>
    <t xml:space="preserve">RPY-0011593</t>
  </si>
  <si>
    <t xml:space="preserve">RPY-0011594</t>
  </si>
  <si>
    <t xml:space="preserve">RPY-0011595</t>
  </si>
  <si>
    <t xml:space="preserve">RPY-0011596</t>
  </si>
  <si>
    <t xml:space="preserve">RPY-0011597</t>
  </si>
  <si>
    <t xml:space="preserve">RPY-0011598</t>
  </si>
  <si>
    <t xml:space="preserve">RPY-0011599</t>
  </si>
  <si>
    <t xml:space="preserve">RPY-0011600</t>
  </si>
  <si>
    <t xml:space="preserve">RPY-0011601</t>
  </si>
  <si>
    <t xml:space="preserve">RPY-0011602</t>
  </si>
  <si>
    <t xml:space="preserve">RPY-0011603</t>
  </si>
  <si>
    <t xml:space="preserve">RPY-0011604</t>
  </si>
  <si>
    <t xml:space="preserve">RPY-0011605</t>
  </si>
  <si>
    <t xml:space="preserve">RPY-0011606</t>
  </si>
  <si>
    <t xml:space="preserve">RPY-0011607</t>
  </si>
  <si>
    <t xml:space="preserve">RPY-0011608</t>
  </si>
  <si>
    <t xml:space="preserve">RPY-0011609</t>
  </si>
  <si>
    <t xml:space="preserve">RPY-0011610</t>
  </si>
  <si>
    <t xml:space="preserve">RPY-0011611</t>
  </si>
  <si>
    <t xml:space="preserve">RPY-0011612</t>
  </si>
  <si>
    <t xml:space="preserve">RPY-0011613</t>
  </si>
  <si>
    <t xml:space="preserve">RPY-0011614</t>
  </si>
  <si>
    <t xml:space="preserve">RPY-0011615</t>
  </si>
  <si>
    <t xml:space="preserve">RPY-0011616</t>
  </si>
  <si>
    <t xml:space="preserve">RPY-0011617</t>
  </si>
  <si>
    <t xml:space="preserve">RPY-0011618</t>
  </si>
  <si>
    <t xml:space="preserve">RPY-0011619</t>
  </si>
  <si>
    <t xml:space="preserve">RPY-0011620</t>
  </si>
  <si>
    <t xml:space="preserve">RPY-0011621</t>
  </si>
  <si>
    <t xml:space="preserve">RPY-0011622</t>
  </si>
  <si>
    <t xml:space="preserve">RPY-0011623</t>
  </si>
  <si>
    <t xml:space="preserve">RPY-0011624</t>
  </si>
  <si>
    <t xml:space="preserve">RPY-0011625</t>
  </si>
  <si>
    <t xml:space="preserve">RPY-0011626</t>
  </si>
  <si>
    <t xml:space="preserve">RPY-0011627</t>
  </si>
  <si>
    <t xml:space="preserve">RPY-0011628</t>
  </si>
  <si>
    <t xml:space="preserve">RPY-0011629</t>
  </si>
  <si>
    <t xml:space="preserve">RPY-0011630</t>
  </si>
  <si>
    <t xml:space="preserve">RPY-0011631</t>
  </si>
  <si>
    <t xml:space="preserve">RPY-0011632</t>
  </si>
  <si>
    <t xml:space="preserve">RPY-0011633</t>
  </si>
  <si>
    <t xml:space="preserve">RPY-0011634</t>
  </si>
  <si>
    <t xml:space="preserve">RPY-0011635</t>
  </si>
  <si>
    <t xml:space="preserve">RPY-0011636</t>
  </si>
  <si>
    <t xml:space="preserve">RPY-0011637</t>
  </si>
  <si>
    <t xml:space="preserve">RPY-0011638</t>
  </si>
  <si>
    <t xml:space="preserve">RPY-0011639</t>
  </si>
  <si>
    <t xml:space="preserve">RPY-0011640</t>
  </si>
  <si>
    <t xml:space="preserve">RPY-0011641</t>
  </si>
  <si>
    <t xml:space="preserve">RPY-0011642</t>
  </si>
  <si>
    <t xml:space="preserve">RPY-0011643</t>
  </si>
  <si>
    <t xml:space="preserve">RPY-0011644</t>
  </si>
  <si>
    <t xml:space="preserve">RPY-0011645</t>
  </si>
  <si>
    <t xml:space="preserve">RPY-0011646</t>
  </si>
  <si>
    <t xml:space="preserve">RPY-0011647</t>
  </si>
  <si>
    <t xml:space="preserve">RPY-0011648</t>
  </si>
  <si>
    <t xml:space="preserve">RPY-0011649</t>
  </si>
  <si>
    <t xml:space="preserve">RPY-0011650</t>
  </si>
  <si>
    <t xml:space="preserve">RPY-0011651</t>
  </si>
  <si>
    <t xml:space="preserve">RPY-0011652</t>
  </si>
  <si>
    <t xml:space="preserve">RPY-0011653</t>
  </si>
  <si>
    <t xml:space="preserve">RPY-0011654</t>
  </si>
  <si>
    <t xml:space="preserve">RPY-0011655</t>
  </si>
  <si>
    <t xml:space="preserve">RPY-0011656</t>
  </si>
  <si>
    <t xml:space="preserve">RPY-0011657</t>
  </si>
  <si>
    <t xml:space="preserve">RPY-0011658</t>
  </si>
  <si>
    <t xml:space="preserve">RPY-0011659</t>
  </si>
  <si>
    <t xml:space="preserve">RPY-0011660</t>
  </si>
  <si>
    <t xml:space="preserve">RPY-0011661</t>
  </si>
  <si>
    <t xml:space="preserve">RPY-0011662</t>
  </si>
  <si>
    <t xml:space="preserve">RPY-0011663</t>
  </si>
  <si>
    <t xml:space="preserve">RPY-0011664</t>
  </si>
  <si>
    <t xml:space="preserve">RPY-0011665</t>
  </si>
  <si>
    <t xml:space="preserve">RPY-0011666</t>
  </si>
  <si>
    <t xml:space="preserve">RPY-0011667</t>
  </si>
  <si>
    <t xml:space="preserve">RPY-0011668</t>
  </si>
  <si>
    <t xml:space="preserve">RPY-0011669</t>
  </si>
  <si>
    <t xml:space="preserve">RPY-0011670</t>
  </si>
  <si>
    <t xml:space="preserve">RPY-0011671</t>
  </si>
  <si>
    <t xml:space="preserve">RPY-0011672</t>
  </si>
  <si>
    <t xml:space="preserve">RPY-0011673</t>
  </si>
  <si>
    <t xml:space="preserve">RPY-0011674</t>
  </si>
  <si>
    <t xml:space="preserve">RPY-0011675</t>
  </si>
  <si>
    <t xml:space="preserve">RPY-0011676</t>
  </si>
  <si>
    <t xml:space="preserve">RPY-0011677</t>
  </si>
  <si>
    <t xml:space="preserve">RPY-0011678</t>
  </si>
  <si>
    <t xml:space="preserve">RPY-0011679</t>
  </si>
  <si>
    <t xml:space="preserve">RPY-0011680</t>
  </si>
  <si>
    <t xml:space="preserve">RPY-0011681</t>
  </si>
  <si>
    <t xml:space="preserve">RPY-0011682</t>
  </si>
  <si>
    <t xml:space="preserve">RPY-0011683</t>
  </si>
  <si>
    <t xml:space="preserve">RPY-0011684</t>
  </si>
  <si>
    <t xml:space="preserve">RPY-0011685</t>
  </si>
  <si>
    <t xml:space="preserve">RPY-0011686</t>
  </si>
  <si>
    <t xml:space="preserve">RPY-0011687</t>
  </si>
  <si>
    <t xml:space="preserve">RPY-0011688</t>
  </si>
  <si>
    <t xml:space="preserve">RPY-0011689</t>
  </si>
  <si>
    <t xml:space="preserve">RPY-0011690</t>
  </si>
  <si>
    <t xml:space="preserve">RPY-0011691</t>
  </si>
  <si>
    <t xml:space="preserve">RPY-0011692</t>
  </si>
  <si>
    <t xml:space="preserve">RPY-0011693</t>
  </si>
  <si>
    <t xml:space="preserve">RPY-0011694</t>
  </si>
  <si>
    <t xml:space="preserve">RPY-0011695</t>
  </si>
  <si>
    <t xml:space="preserve">RPY-0011696</t>
  </si>
  <si>
    <t xml:space="preserve">RPY-0011697</t>
  </si>
  <si>
    <t xml:space="preserve">RPY-0011698</t>
  </si>
  <si>
    <t xml:space="preserve">RPY-0011699</t>
  </si>
  <si>
    <t xml:space="preserve">RPY-0011700</t>
  </si>
  <si>
    <t xml:space="preserve">RPY-0011701</t>
  </si>
  <si>
    <t xml:space="preserve">RPY-0011702</t>
  </si>
  <si>
    <t xml:space="preserve">RPY-0011703</t>
  </si>
  <si>
    <t xml:space="preserve">RPY-0011704</t>
  </si>
  <si>
    <t xml:space="preserve">RPY-0011705</t>
  </si>
  <si>
    <t xml:space="preserve">RPY-0011706</t>
  </si>
  <si>
    <t xml:space="preserve">RPY-0011707</t>
  </si>
  <si>
    <t xml:space="preserve">RPY-0011708</t>
  </si>
  <si>
    <t xml:space="preserve">RPY-0011709</t>
  </si>
  <si>
    <t xml:space="preserve">RPY-0011710</t>
  </si>
  <si>
    <t xml:space="preserve">RPY-0011711</t>
  </si>
  <si>
    <t xml:space="preserve">RPY-0011712</t>
  </si>
  <si>
    <t xml:space="preserve">RPY-0011713</t>
  </si>
  <si>
    <t xml:space="preserve">RPY-0011714</t>
  </si>
  <si>
    <t xml:space="preserve">RPY-0011715</t>
  </si>
  <si>
    <t xml:space="preserve">RPY-0011716</t>
  </si>
  <si>
    <t xml:space="preserve">RPY-0011717</t>
  </si>
  <si>
    <t xml:space="preserve">RPY-0011718</t>
  </si>
  <si>
    <t xml:space="preserve">RPY-0011719</t>
  </si>
  <si>
    <t xml:space="preserve">RPY-0011720</t>
  </si>
  <si>
    <t xml:space="preserve">RPY-0011721</t>
  </si>
  <si>
    <t xml:space="preserve">RPY-0011722</t>
  </si>
  <si>
    <t xml:space="preserve">RPY-0011723</t>
  </si>
  <si>
    <t xml:space="preserve">RPY-0011724</t>
  </si>
  <si>
    <t xml:space="preserve">RPY-0011725</t>
  </si>
  <si>
    <t xml:space="preserve">RPY-0011726</t>
  </si>
  <si>
    <t xml:space="preserve">RPY-0011727</t>
  </si>
  <si>
    <t xml:space="preserve">RPY-0011728</t>
  </si>
  <si>
    <t xml:space="preserve">RPY-0011729</t>
  </si>
  <si>
    <t xml:space="preserve">RPY-0011730</t>
  </si>
  <si>
    <t xml:space="preserve">RPY-0011731</t>
  </si>
  <si>
    <t xml:space="preserve">RPY-0011732</t>
  </si>
  <si>
    <t xml:space="preserve">RPY-0011733</t>
  </si>
  <si>
    <t xml:space="preserve">RPY-0011734</t>
  </si>
  <si>
    <t xml:space="preserve">RPY-0011735</t>
  </si>
  <si>
    <t xml:space="preserve">RPY-0011736</t>
  </si>
  <si>
    <t xml:space="preserve">RPY-0011737</t>
  </si>
  <si>
    <t xml:space="preserve">RPY-0011738</t>
  </si>
  <si>
    <t xml:space="preserve">RPY-0011739</t>
  </si>
  <si>
    <t xml:space="preserve">RPY-0011740</t>
  </si>
  <si>
    <t xml:space="preserve">RPY-0011741</t>
  </si>
  <si>
    <t xml:space="preserve">RPY-0011742</t>
  </si>
  <si>
    <t xml:space="preserve">RPY-0011743</t>
  </si>
  <si>
    <t xml:space="preserve">RPY-0011744</t>
  </si>
  <si>
    <t xml:space="preserve">RPY-0011745</t>
  </si>
  <si>
    <t xml:space="preserve">RPY-0011746</t>
  </si>
  <si>
    <t xml:space="preserve">RPY-0011747</t>
  </si>
  <si>
    <t xml:space="preserve">RPY-0011748</t>
  </si>
  <si>
    <t xml:space="preserve">RPY-0011749</t>
  </si>
  <si>
    <t xml:space="preserve">RPY-0011750</t>
  </si>
  <si>
    <t xml:space="preserve">RPY-0011751</t>
  </si>
  <si>
    <t xml:space="preserve">RPY-0011752</t>
  </si>
  <si>
    <t xml:space="preserve">RPY-0011753</t>
  </si>
  <si>
    <t xml:space="preserve">RPY-0011754</t>
  </si>
  <si>
    <t xml:space="preserve">RPY-0011755</t>
  </si>
  <si>
    <t xml:space="preserve">RPY-0011756</t>
  </si>
  <si>
    <t xml:space="preserve">RPY-0011757</t>
  </si>
  <si>
    <t xml:space="preserve">RPY-0011758</t>
  </si>
  <si>
    <t xml:space="preserve">RPY-0011759</t>
  </si>
  <si>
    <t xml:space="preserve">RPY-0011760</t>
  </si>
  <si>
    <t xml:space="preserve">RPY-0011761</t>
  </si>
  <si>
    <t xml:space="preserve">RPY-0011762</t>
  </si>
  <si>
    <t xml:space="preserve">RPY-0011763</t>
  </si>
  <si>
    <t xml:space="preserve">RPY-0011764</t>
  </si>
  <si>
    <t xml:space="preserve">RPY-0011765</t>
  </si>
  <si>
    <t xml:space="preserve">RPY-0011766</t>
  </si>
  <si>
    <t xml:space="preserve">RPY-0011767</t>
  </si>
  <si>
    <t xml:space="preserve">RPY-0011768</t>
  </si>
  <si>
    <t xml:space="preserve">RPY-0011769</t>
  </si>
  <si>
    <t xml:space="preserve">RPY-0011770</t>
  </si>
  <si>
    <t xml:space="preserve">RPY-0011771</t>
  </si>
  <si>
    <t xml:space="preserve">RPY-0011772</t>
  </si>
  <si>
    <t xml:space="preserve">RPY-0011773</t>
  </si>
  <si>
    <t xml:space="preserve">RPY-0011774</t>
  </si>
  <si>
    <t xml:space="preserve">RPY-0011775</t>
  </si>
  <si>
    <t xml:space="preserve">RPY-0011776</t>
  </si>
  <si>
    <t xml:space="preserve">RPY-0011777</t>
  </si>
  <si>
    <t xml:space="preserve">RPY-0011778</t>
  </si>
  <si>
    <t xml:space="preserve">RPY-0011779</t>
  </si>
  <si>
    <t xml:space="preserve">RPY-0011780</t>
  </si>
  <si>
    <t xml:space="preserve">RPY-0011781</t>
  </si>
  <si>
    <t xml:space="preserve">RPY-0011782</t>
  </si>
  <si>
    <t xml:space="preserve">RPY-0011783</t>
  </si>
  <si>
    <t xml:space="preserve">RPY-0011784</t>
  </si>
  <si>
    <t xml:space="preserve">RPY-0011785</t>
  </si>
  <si>
    <t xml:space="preserve">RPY-0011786</t>
  </si>
  <si>
    <t xml:space="preserve">RPY-0011787</t>
  </si>
  <si>
    <t xml:space="preserve">RPY-0011788</t>
  </si>
  <si>
    <t xml:space="preserve">RPY-0011789</t>
  </si>
  <si>
    <t xml:space="preserve">RPY-0011790</t>
  </si>
  <si>
    <t xml:space="preserve">RPY-0011791</t>
  </si>
  <si>
    <t xml:space="preserve">RPY-0011792</t>
  </si>
  <si>
    <t xml:space="preserve">RPY-0011793</t>
  </si>
  <si>
    <t xml:space="preserve">RPY-0011794</t>
  </si>
  <si>
    <t xml:space="preserve">RPY-0011795</t>
  </si>
  <si>
    <t xml:space="preserve">RPY-0011796</t>
  </si>
  <si>
    <t xml:space="preserve">RPY-0011797</t>
  </si>
  <si>
    <t xml:space="preserve">RPY-0011798</t>
  </si>
  <si>
    <t xml:space="preserve">RPY-0011799</t>
  </si>
  <si>
    <t xml:space="preserve">RPY-0011800</t>
  </si>
  <si>
    <t xml:space="preserve">RPY-0011801</t>
  </si>
  <si>
    <t xml:space="preserve">RPY-0011802</t>
  </si>
  <si>
    <t xml:space="preserve">RPY-0011803</t>
  </si>
  <si>
    <t xml:space="preserve">RPY-0011804</t>
  </si>
  <si>
    <t xml:space="preserve">RPY-0011805</t>
  </si>
  <si>
    <t xml:space="preserve">RPY-0011806</t>
  </si>
  <si>
    <t xml:space="preserve">RPY-0011807</t>
  </si>
  <si>
    <t xml:space="preserve">RPY-0011808</t>
  </si>
  <si>
    <t xml:space="preserve">RPY-0011809</t>
  </si>
  <si>
    <t xml:space="preserve">RPY-0011810</t>
  </si>
  <si>
    <t xml:space="preserve">RPY-0011811</t>
  </si>
  <si>
    <t xml:space="preserve">RPY-0011812</t>
  </si>
  <si>
    <t xml:space="preserve">RPY-0011813</t>
  </si>
  <si>
    <t xml:space="preserve">RPY-0011814</t>
  </si>
  <si>
    <t xml:space="preserve">RPY-0011815</t>
  </si>
  <si>
    <t xml:space="preserve">RPY-0011816</t>
  </si>
  <si>
    <t xml:space="preserve">RPY-0011817</t>
  </si>
  <si>
    <t xml:space="preserve">RPY-0011818</t>
  </si>
  <si>
    <t xml:space="preserve">RPY-0011819</t>
  </si>
  <si>
    <t xml:space="preserve">RPY-0011820</t>
  </si>
  <si>
    <t xml:space="preserve">RPY-0011821</t>
  </si>
  <si>
    <t xml:space="preserve">RPY-0011822</t>
  </si>
  <si>
    <t xml:space="preserve">RPY-0011823</t>
  </si>
  <si>
    <t xml:space="preserve">RPY-0011824</t>
  </si>
  <si>
    <t xml:space="preserve">RPY-0011825</t>
  </si>
  <si>
    <t xml:space="preserve">RPY-0011826</t>
  </si>
  <si>
    <t xml:space="preserve">RPY-0011827</t>
  </si>
  <si>
    <t xml:space="preserve">RPY-0011828</t>
  </si>
  <si>
    <t xml:space="preserve">RPY-0011829</t>
  </si>
  <si>
    <t xml:space="preserve">RPY-0011830</t>
  </si>
  <si>
    <t xml:space="preserve">RPY-0011831</t>
  </si>
  <si>
    <t xml:space="preserve">RPY-0011832</t>
  </si>
  <si>
    <t xml:space="preserve">RPY-0011833</t>
  </si>
  <si>
    <t xml:space="preserve">RPY-0011834</t>
  </si>
  <si>
    <t xml:space="preserve">RPY-0011835</t>
  </si>
  <si>
    <t xml:space="preserve">RPY-0011836</t>
  </si>
  <si>
    <t xml:space="preserve">RPY-0011837</t>
  </si>
  <si>
    <t xml:space="preserve">RPY-0011838</t>
  </si>
  <si>
    <t xml:space="preserve">RPY-0011839</t>
  </si>
  <si>
    <t xml:space="preserve">RPY-0011840</t>
  </si>
  <si>
    <t xml:space="preserve">RPY-0011841</t>
  </si>
  <si>
    <t xml:space="preserve">RPY-0011842</t>
  </si>
  <si>
    <t xml:space="preserve">RPY-0011843</t>
  </si>
  <si>
    <t xml:space="preserve">RPY-0011844</t>
  </si>
  <si>
    <t xml:space="preserve">RPY-0011845</t>
  </si>
  <si>
    <t xml:space="preserve">RPY-0011846</t>
  </si>
  <si>
    <t xml:space="preserve">RPY-0011847</t>
  </si>
  <si>
    <t xml:space="preserve">RPY-0011848</t>
  </si>
  <si>
    <t xml:space="preserve">RPY-0011849</t>
  </si>
  <si>
    <t xml:space="preserve">RPY-0011850</t>
  </si>
  <si>
    <t xml:space="preserve">RPY-0011851</t>
  </si>
  <si>
    <t xml:space="preserve">RPY-0011852</t>
  </si>
  <si>
    <t xml:space="preserve">RPY-0011853</t>
  </si>
  <si>
    <t xml:space="preserve">RPY-0011854</t>
  </si>
  <si>
    <t xml:space="preserve">RPY-0011855</t>
  </si>
  <si>
    <t xml:space="preserve">RPY-0011856</t>
  </si>
  <si>
    <t xml:space="preserve">RPY-0011857</t>
  </si>
  <si>
    <t xml:space="preserve">RPY-0011858</t>
  </si>
  <si>
    <t xml:space="preserve">RPY-0011859</t>
  </si>
  <si>
    <t xml:space="preserve">RPY-0011860</t>
  </si>
  <si>
    <t xml:space="preserve">RPY-0011861</t>
  </si>
  <si>
    <t xml:space="preserve">RPY-0011862</t>
  </si>
  <si>
    <t xml:space="preserve">RPY-0011863</t>
  </si>
  <si>
    <t xml:space="preserve">RPY-0011864</t>
  </si>
  <si>
    <t xml:space="preserve">RPY-0011865</t>
  </si>
  <si>
    <t xml:space="preserve">RPY-0011866</t>
  </si>
  <si>
    <t xml:space="preserve">RPY-0011867</t>
  </si>
  <si>
    <t xml:space="preserve">RPY-0011868</t>
  </si>
  <si>
    <t xml:space="preserve">RPY-0011869</t>
  </si>
  <si>
    <t xml:space="preserve">RPY-0011870</t>
  </si>
  <si>
    <t xml:space="preserve">RPY-0011871</t>
  </si>
  <si>
    <t xml:space="preserve">RPY-0011872</t>
  </si>
  <si>
    <t xml:space="preserve">RPY-0011873</t>
  </si>
  <si>
    <t xml:space="preserve">RPY-0011874</t>
  </si>
  <si>
    <t xml:space="preserve">RPY-0011875</t>
  </si>
  <si>
    <t xml:space="preserve">RPY-0011876</t>
  </si>
  <si>
    <t xml:space="preserve">RPY-0011877</t>
  </si>
  <si>
    <t xml:space="preserve">RPY-0011878</t>
  </si>
  <si>
    <t xml:space="preserve">RPY-0011879</t>
  </si>
  <si>
    <t xml:space="preserve">RPY-0011880</t>
  </si>
  <si>
    <t xml:space="preserve">RPY-0011881</t>
  </si>
  <si>
    <t xml:space="preserve">RPY-0011882</t>
  </si>
  <si>
    <t xml:space="preserve">RPY-0011883</t>
  </si>
  <si>
    <t xml:space="preserve">RPY-0011884</t>
  </si>
  <si>
    <t xml:space="preserve">RPY-0011885</t>
  </si>
  <si>
    <t xml:space="preserve">RPY-0011886</t>
  </si>
  <si>
    <t xml:space="preserve">RPY-0011887</t>
  </si>
  <si>
    <t xml:space="preserve">RPY-0011888</t>
  </si>
  <si>
    <t xml:space="preserve">RPY-0011889</t>
  </si>
  <si>
    <t xml:space="preserve">RPY-0011890</t>
  </si>
  <si>
    <t xml:space="preserve">RPY-0011891</t>
  </si>
  <si>
    <t xml:space="preserve">RPY-0011892</t>
  </si>
  <si>
    <t xml:space="preserve">RPY-0011893</t>
  </si>
  <si>
    <t xml:space="preserve">RPY-0011894</t>
  </si>
  <si>
    <t xml:space="preserve">RPY-0011895</t>
  </si>
  <si>
    <t xml:space="preserve">RPY-0011896</t>
  </si>
  <si>
    <t xml:space="preserve">RPY-0011897</t>
  </si>
  <si>
    <t xml:space="preserve">RPY-0011898</t>
  </si>
  <si>
    <t xml:space="preserve">RPY-0011899</t>
  </si>
  <si>
    <t xml:space="preserve">RPY-0011900</t>
  </si>
  <si>
    <t xml:space="preserve">RPY-0011901</t>
  </si>
  <si>
    <t xml:space="preserve">RPY-0011902</t>
  </si>
  <si>
    <t xml:space="preserve">RPY-0011903</t>
  </si>
  <si>
    <t xml:space="preserve">RPY-0011904</t>
  </si>
  <si>
    <t xml:space="preserve">RPY-0011905</t>
  </si>
  <si>
    <t xml:space="preserve">RPY-0011906</t>
  </si>
  <si>
    <t xml:space="preserve">RPY-0011907</t>
  </si>
  <si>
    <t xml:space="preserve">RPY-0011908</t>
  </si>
  <si>
    <t xml:space="preserve">RPY-0011909</t>
  </si>
  <si>
    <t xml:space="preserve">RPY-0011910</t>
  </si>
  <si>
    <t xml:space="preserve">RPY-0011911</t>
  </si>
  <si>
    <t xml:space="preserve">RPY-0011912</t>
  </si>
  <si>
    <t xml:space="preserve">RPY-0011913</t>
  </si>
  <si>
    <t xml:space="preserve">RPY-0011914</t>
  </si>
  <si>
    <t xml:space="preserve">RPY-0011915</t>
  </si>
  <si>
    <t xml:space="preserve">RPY-0011916</t>
  </si>
  <si>
    <t xml:space="preserve">RPY-0011917</t>
  </si>
  <si>
    <t xml:space="preserve">RPY-0011918</t>
  </si>
  <si>
    <t xml:space="preserve">RPY-0011919</t>
  </si>
  <si>
    <t xml:space="preserve">RPY-0011920</t>
  </si>
  <si>
    <t xml:space="preserve">RPY-0011921</t>
  </si>
  <si>
    <t xml:space="preserve">RPY-0011922</t>
  </si>
  <si>
    <t xml:space="preserve">RPY-0011923</t>
  </si>
  <si>
    <t xml:space="preserve">RPY-0011924</t>
  </si>
  <si>
    <t xml:space="preserve">RPY-0011925</t>
  </si>
  <si>
    <t xml:space="preserve">RPY-0011926</t>
  </si>
  <si>
    <t xml:space="preserve">RPY-0011927</t>
  </si>
  <si>
    <t xml:space="preserve">RPY-0011928</t>
  </si>
  <si>
    <t xml:space="preserve">RPY-0011929</t>
  </si>
  <si>
    <t xml:space="preserve">RPY-0011930</t>
  </si>
  <si>
    <t xml:space="preserve">RPY-0011931</t>
  </si>
  <si>
    <t xml:space="preserve">RPY-0011932</t>
  </si>
  <si>
    <t xml:space="preserve">RPY-0011933</t>
  </si>
  <si>
    <t xml:space="preserve">RPY-0011934</t>
  </si>
  <si>
    <t xml:space="preserve">RPY-0011935</t>
  </si>
  <si>
    <t xml:space="preserve">RPY-0011936</t>
  </si>
  <si>
    <t xml:space="preserve">RPY-0011937</t>
  </si>
  <si>
    <t xml:space="preserve">RPY-0011938</t>
  </si>
  <si>
    <t xml:space="preserve">RPY-0011939</t>
  </si>
  <si>
    <t xml:space="preserve">RPY-0011940</t>
  </si>
  <si>
    <t xml:space="preserve">RPY-0011941</t>
  </si>
  <si>
    <t xml:space="preserve">RPY-0011942</t>
  </si>
  <si>
    <t xml:space="preserve">RPY-0011943</t>
  </si>
  <si>
    <t xml:space="preserve">RPY-0011944</t>
  </si>
  <si>
    <t xml:space="preserve">RPY-0011945</t>
  </si>
  <si>
    <t xml:space="preserve">RPY-0011946</t>
  </si>
  <si>
    <t xml:space="preserve">RPY-0011947</t>
  </si>
  <si>
    <t xml:space="preserve">RPY-0011948</t>
  </si>
  <si>
    <t xml:space="preserve">RPY-0011949</t>
  </si>
  <si>
    <t xml:space="preserve">RPY-0011950</t>
  </si>
  <si>
    <t xml:space="preserve">RPY-0011951</t>
  </si>
  <si>
    <t xml:space="preserve">RPY-0011952</t>
  </si>
  <si>
    <t xml:space="preserve">RPY-0011953</t>
  </si>
  <si>
    <t xml:space="preserve">RPY-0011954</t>
  </si>
  <si>
    <t xml:space="preserve">RPY-0011955</t>
  </si>
  <si>
    <t xml:space="preserve">RPY-0011956</t>
  </si>
  <si>
    <t xml:space="preserve">RPY-0011957</t>
  </si>
  <si>
    <t xml:space="preserve">RPY-0011958</t>
  </si>
  <si>
    <t xml:space="preserve">RPY-0011959</t>
  </si>
  <si>
    <t xml:space="preserve">RPY-0011960</t>
  </si>
  <si>
    <t xml:space="preserve">RPY-0011961</t>
  </si>
  <si>
    <t xml:space="preserve">RPY-0011962</t>
  </si>
  <si>
    <t xml:space="preserve">RPY-0011963</t>
  </si>
  <si>
    <t xml:space="preserve">RPY-0011964</t>
  </si>
  <si>
    <t xml:space="preserve">RPY-0011965</t>
  </si>
  <si>
    <t xml:space="preserve">RPY-0011966</t>
  </si>
  <si>
    <t xml:space="preserve">RPY-0011967</t>
  </si>
  <si>
    <t xml:space="preserve">RPY-0011968</t>
  </si>
  <si>
    <t xml:space="preserve">RPY-0011969</t>
  </si>
  <si>
    <t xml:space="preserve">RPY-0011970</t>
  </si>
  <si>
    <t xml:space="preserve">RPY-0011971</t>
  </si>
  <si>
    <t xml:space="preserve">RPY-0011972</t>
  </si>
  <si>
    <t xml:space="preserve">RPY-0011973</t>
  </si>
  <si>
    <t xml:space="preserve">RPY-0011974</t>
  </si>
  <si>
    <t xml:space="preserve">RPY-0011975</t>
  </si>
  <si>
    <t xml:space="preserve">RPY-0011976</t>
  </si>
  <si>
    <t xml:space="preserve">RPY-0011977</t>
  </si>
  <si>
    <t xml:space="preserve">RPY-0011978</t>
  </si>
  <si>
    <t xml:space="preserve">RPY-0011979</t>
  </si>
  <si>
    <t xml:space="preserve">RPY-0011980</t>
  </si>
  <si>
    <t xml:space="preserve">RPY-0011981</t>
  </si>
  <si>
    <t xml:space="preserve">RPY-0011982</t>
  </si>
  <si>
    <t xml:space="preserve">RPY-0011983</t>
  </si>
  <si>
    <t xml:space="preserve">RPY-0011984</t>
  </si>
  <si>
    <t xml:space="preserve">RPY-0011985</t>
  </si>
  <si>
    <t xml:space="preserve">RPY-0011986</t>
  </si>
  <si>
    <t xml:space="preserve">RPY-0011987</t>
  </si>
  <si>
    <t xml:space="preserve">RPY-0011988</t>
  </si>
  <si>
    <t xml:space="preserve">RPY-0011989</t>
  </si>
  <si>
    <t xml:space="preserve">RPY-0011990</t>
  </si>
  <si>
    <t xml:space="preserve">RPY-0011991</t>
  </si>
  <si>
    <t xml:space="preserve">RPY-0011992</t>
  </si>
  <si>
    <t xml:space="preserve">RPY-0011993</t>
  </si>
  <si>
    <t xml:space="preserve">RPY-0011994</t>
  </si>
  <si>
    <t xml:space="preserve">RPY-0011995</t>
  </si>
  <si>
    <t xml:space="preserve">RPY-0011996</t>
  </si>
  <si>
    <t xml:space="preserve">RPY-0011997</t>
  </si>
  <si>
    <t xml:space="preserve">RPY-0011998</t>
  </si>
  <si>
    <t xml:space="preserve">RPY-0011999</t>
  </si>
  <si>
    <t xml:space="preserve">RPY-0012000</t>
  </si>
  <si>
    <t xml:space="preserve">RPY-0012001</t>
  </si>
  <si>
    <t xml:space="preserve">RPY-0012002</t>
  </si>
  <si>
    <t xml:space="preserve">RPY-0012003</t>
  </si>
  <si>
    <t xml:space="preserve">RPY-0012004</t>
  </si>
  <si>
    <t xml:space="preserve">RPY-0012005</t>
  </si>
  <si>
    <t xml:space="preserve">RPY-0012006</t>
  </si>
  <si>
    <t xml:space="preserve">RPY-0012007</t>
  </si>
  <si>
    <t xml:space="preserve">RPY-0012008</t>
  </si>
  <si>
    <t xml:space="preserve">RPY-0012009</t>
  </si>
  <si>
    <t xml:space="preserve">RPY-0012010</t>
  </si>
  <si>
    <t xml:space="preserve">RPY-0012011</t>
  </si>
  <si>
    <t xml:space="preserve">RPY-0012012</t>
  </si>
  <si>
    <t xml:space="preserve">RPY-0012013</t>
  </si>
  <si>
    <t xml:space="preserve">RPY-0012014</t>
  </si>
  <si>
    <t xml:space="preserve">RPY-0012015</t>
  </si>
  <si>
    <t xml:space="preserve">RPY-0012016</t>
  </si>
  <si>
    <t xml:space="preserve">RPY-0012017</t>
  </si>
  <si>
    <t xml:space="preserve">RPY-0012018</t>
  </si>
  <si>
    <t xml:space="preserve">RPY-0012019</t>
  </si>
  <si>
    <t xml:space="preserve">RPY-0012020</t>
  </si>
  <si>
    <t xml:space="preserve">RPY-0012021</t>
  </si>
  <si>
    <t xml:space="preserve">RPY-0012022</t>
  </si>
  <si>
    <t xml:space="preserve">RPY-0012023</t>
  </si>
  <si>
    <t xml:space="preserve">RPY-0012024</t>
  </si>
  <si>
    <t xml:space="preserve">RPY-0012025</t>
  </si>
  <si>
    <t xml:space="preserve">RPY-0012026</t>
  </si>
  <si>
    <t xml:space="preserve">RPY-0012027</t>
  </si>
  <si>
    <t xml:space="preserve">RPY-0012028</t>
  </si>
  <si>
    <t xml:space="preserve">RPY-0012029</t>
  </si>
  <si>
    <t xml:space="preserve">RPY-0012030</t>
  </si>
  <si>
    <t xml:space="preserve">RPY-0012031</t>
  </si>
  <si>
    <t xml:space="preserve">RPY-0012032</t>
  </si>
  <si>
    <t xml:space="preserve">RPY-0012033</t>
  </si>
  <si>
    <t xml:space="preserve">RPY-0012034</t>
  </si>
  <si>
    <t xml:space="preserve">RPY-0012035</t>
  </si>
  <si>
    <t xml:space="preserve">RPY-0012036</t>
  </si>
  <si>
    <t xml:space="preserve">RPY-0012037</t>
  </si>
  <si>
    <t xml:space="preserve">RPY-0012038</t>
  </si>
  <si>
    <t xml:space="preserve">RPY-0012039</t>
  </si>
  <si>
    <t xml:space="preserve">RPY-0012040</t>
  </si>
  <si>
    <t xml:space="preserve">RPY-0012041</t>
  </si>
  <si>
    <t xml:space="preserve">RPY-0012042</t>
  </si>
  <si>
    <t xml:space="preserve">RPY-0012043</t>
  </si>
  <si>
    <t xml:space="preserve">RPY-0012044</t>
  </si>
  <si>
    <t xml:space="preserve">RPY-0012045</t>
  </si>
  <si>
    <t xml:space="preserve">RPY-0012046</t>
  </si>
  <si>
    <t xml:space="preserve">RPY-0012047</t>
  </si>
  <si>
    <t xml:space="preserve">RPY-0012048</t>
  </si>
  <si>
    <t xml:space="preserve">RPY-0012049</t>
  </si>
  <si>
    <t xml:space="preserve">RPY-0012050</t>
  </si>
  <si>
    <t xml:space="preserve">RPY-0012051</t>
  </si>
  <si>
    <t xml:space="preserve">RPY-0012052</t>
  </si>
  <si>
    <t xml:space="preserve">RPY-0012053</t>
  </si>
  <si>
    <t xml:space="preserve">RPY-0012054</t>
  </si>
  <si>
    <t xml:space="preserve">RPY-0012055</t>
  </si>
  <si>
    <t xml:space="preserve">RPY-0012056</t>
  </si>
  <si>
    <t xml:space="preserve">RPY-0012057</t>
  </si>
  <si>
    <t xml:space="preserve">RPY-0012058</t>
  </si>
  <si>
    <t xml:space="preserve">RPY-0012059</t>
  </si>
  <si>
    <t xml:space="preserve">RPY-0012060</t>
  </si>
  <si>
    <t xml:space="preserve">RPY-0012061</t>
  </si>
  <si>
    <t xml:space="preserve">RPY-0012062</t>
  </si>
  <si>
    <t xml:space="preserve">RPY-0012063</t>
  </si>
  <si>
    <t xml:space="preserve">RPY-0012064</t>
  </si>
  <si>
    <t xml:space="preserve">RPY-0012065</t>
  </si>
  <si>
    <t xml:space="preserve">RPY-0012066</t>
  </si>
  <si>
    <t xml:space="preserve">RPY-0012067</t>
  </si>
  <si>
    <t xml:space="preserve">RPY-0012068</t>
  </si>
  <si>
    <t xml:space="preserve">RPY-0012069</t>
  </si>
  <si>
    <t xml:space="preserve">RPY-0012070</t>
  </si>
  <si>
    <t xml:space="preserve">RPY-0012071</t>
  </si>
  <si>
    <t xml:space="preserve">RPY-0012072</t>
  </si>
  <si>
    <t xml:space="preserve">RPY-0012073</t>
  </si>
  <si>
    <t xml:space="preserve">RPY-0012074</t>
  </si>
  <si>
    <t xml:space="preserve">RPY-0012075</t>
  </si>
  <si>
    <t xml:space="preserve">RPY-0012076</t>
  </si>
  <si>
    <t xml:space="preserve">RPY-0012077</t>
  </si>
  <si>
    <t xml:space="preserve">RPY-0012078</t>
  </si>
  <si>
    <t xml:space="preserve">RPY-0012079</t>
  </si>
  <si>
    <t xml:space="preserve">RPY-0012080</t>
  </si>
  <si>
    <t xml:space="preserve">RPY-0012081</t>
  </si>
  <si>
    <t xml:space="preserve">RPY-0012082</t>
  </si>
  <si>
    <t xml:space="preserve">RPY-0012083</t>
  </si>
  <si>
    <t xml:space="preserve">RPY-0012084</t>
  </si>
  <si>
    <t xml:space="preserve">RPY-0012085</t>
  </si>
  <si>
    <t xml:space="preserve">RPY-0012086</t>
  </si>
  <si>
    <t xml:space="preserve">RPY-0012087</t>
  </si>
  <si>
    <t xml:space="preserve">RPY-0012088</t>
  </si>
  <si>
    <t xml:space="preserve">RPY-0012089</t>
  </si>
  <si>
    <t xml:space="preserve">RPY-0012090</t>
  </si>
  <si>
    <t xml:space="preserve">RPY-0012091</t>
  </si>
  <si>
    <t xml:space="preserve">RPY-0012092</t>
  </si>
  <si>
    <t xml:space="preserve">RPY-0012093</t>
  </si>
  <si>
    <t xml:space="preserve">RPY-0012094</t>
  </si>
  <si>
    <t xml:space="preserve">RPY-0012095</t>
  </si>
  <si>
    <t xml:space="preserve">RPY-0012096</t>
  </si>
  <si>
    <t xml:space="preserve">RPY-0012097</t>
  </si>
  <si>
    <t xml:space="preserve">RPY-0012098</t>
  </si>
  <si>
    <t xml:space="preserve">RPY-0012099</t>
  </si>
  <si>
    <t xml:space="preserve">RPY-0012100</t>
  </si>
  <si>
    <t xml:space="preserve">RPY-0012101</t>
  </si>
  <si>
    <t xml:space="preserve">RPY-0012102</t>
  </si>
  <si>
    <t xml:space="preserve">RPY-0012103</t>
  </si>
  <si>
    <t xml:space="preserve">RPY-0012104</t>
  </si>
  <si>
    <t xml:space="preserve">RPY-0012105</t>
  </si>
  <si>
    <t xml:space="preserve">RPY-0012106</t>
  </si>
  <si>
    <t xml:space="preserve">RPY-0012107</t>
  </si>
  <si>
    <t xml:space="preserve">RPY-0012108</t>
  </si>
  <si>
    <t xml:space="preserve">RPY-0012109</t>
  </si>
  <si>
    <t xml:space="preserve">RPY-0012110</t>
  </si>
  <si>
    <t xml:space="preserve">RPY-0012111</t>
  </si>
  <si>
    <t xml:space="preserve">RPY-0012112</t>
  </si>
  <si>
    <t xml:space="preserve">RPY-0012113</t>
  </si>
  <si>
    <t xml:space="preserve">RPY-0012114</t>
  </si>
  <si>
    <t xml:space="preserve">RPY-0012115</t>
  </si>
  <si>
    <t xml:space="preserve">RPY-0012116</t>
  </si>
  <si>
    <t xml:space="preserve">RPY-0012117</t>
  </si>
  <si>
    <t xml:space="preserve">RPY-0012118</t>
  </si>
  <si>
    <t xml:space="preserve">RPY-0012119</t>
  </si>
  <si>
    <t xml:space="preserve">RPY-0012120</t>
  </si>
  <si>
    <t xml:space="preserve">RPY-0012121</t>
  </si>
  <si>
    <t xml:space="preserve">RPY-0012122</t>
  </si>
  <si>
    <t xml:space="preserve">RPY-0012123</t>
  </si>
  <si>
    <t xml:space="preserve">RPY-0012124</t>
  </si>
  <si>
    <t xml:space="preserve">RPY-0012125</t>
  </si>
  <si>
    <t xml:space="preserve">RPY-0012126</t>
  </si>
  <si>
    <t xml:space="preserve">RPY-0012127</t>
  </si>
  <si>
    <t xml:space="preserve">RPY-0012128</t>
  </si>
  <si>
    <t xml:space="preserve">RPY-0012129</t>
  </si>
  <si>
    <t xml:space="preserve">RPY-0012130</t>
  </si>
  <si>
    <t xml:space="preserve">RPY-0012131</t>
  </si>
  <si>
    <t xml:space="preserve">RPY-0012132</t>
  </si>
  <si>
    <t xml:space="preserve">RPY-0012133</t>
  </si>
  <si>
    <t xml:space="preserve">RPY-0012134</t>
  </si>
  <si>
    <t xml:space="preserve">RPY-0012135</t>
  </si>
  <si>
    <t xml:space="preserve">RPY-0012136</t>
  </si>
  <si>
    <t xml:space="preserve">RPY-0012137</t>
  </si>
  <si>
    <t xml:space="preserve">RPY-0012138</t>
  </si>
  <si>
    <t xml:space="preserve">RPY-0012139</t>
  </si>
  <si>
    <t xml:space="preserve">RPY-0012140</t>
  </si>
  <si>
    <t xml:space="preserve">RPY-0012141</t>
  </si>
  <si>
    <t xml:space="preserve">RPY-0012142</t>
  </si>
  <si>
    <t xml:space="preserve">RPY-0012143</t>
  </si>
  <si>
    <t xml:space="preserve">RPY-0012144</t>
  </si>
  <si>
    <t xml:space="preserve">RPY-0012145</t>
  </si>
  <si>
    <t xml:space="preserve">RPY-0012146</t>
  </si>
  <si>
    <t xml:space="preserve">RPY-0012147</t>
  </si>
  <si>
    <t xml:space="preserve">RPY-0012148</t>
  </si>
  <si>
    <t xml:space="preserve">RPY-0012149</t>
  </si>
  <si>
    <t xml:space="preserve">RPY-0012150</t>
  </si>
  <si>
    <t xml:space="preserve">RPY-0012151</t>
  </si>
  <si>
    <t xml:space="preserve">RPY-0012152</t>
  </si>
  <si>
    <t xml:space="preserve">RPY-0012153</t>
  </si>
  <si>
    <t xml:space="preserve">RPY-0012154</t>
  </si>
  <si>
    <t xml:space="preserve">RPY-0012155</t>
  </si>
  <si>
    <t xml:space="preserve">RPY-0012156</t>
  </si>
  <si>
    <t xml:space="preserve">RPY-0012157</t>
  </si>
  <si>
    <t xml:space="preserve">RPY-0012158</t>
  </si>
  <si>
    <t xml:space="preserve">RPY-0012159</t>
  </si>
  <si>
    <t xml:space="preserve">RPY-0012160</t>
  </si>
  <si>
    <t xml:space="preserve">RPY-0012161</t>
  </si>
  <si>
    <t xml:space="preserve">RPY-0012162</t>
  </si>
  <si>
    <t xml:space="preserve">RPY-0012163</t>
  </si>
  <si>
    <t xml:space="preserve">RPY-0012164</t>
  </si>
  <si>
    <t xml:space="preserve">RPY-0012165</t>
  </si>
  <si>
    <t xml:space="preserve">RPY-0012166</t>
  </si>
  <si>
    <t xml:space="preserve">RPY-0012167</t>
  </si>
  <si>
    <t xml:space="preserve">RPY-0012168</t>
  </si>
  <si>
    <t xml:space="preserve">RPY-0012169</t>
  </si>
  <si>
    <t xml:space="preserve">RPY-0012170</t>
  </si>
  <si>
    <t xml:space="preserve">RPY-0012171</t>
  </si>
  <si>
    <t xml:space="preserve">RPY-0012172</t>
  </si>
  <si>
    <t xml:space="preserve">RPY-0012173</t>
  </si>
  <si>
    <t xml:space="preserve">RPY-0012174</t>
  </si>
  <si>
    <t xml:space="preserve">RPY-0012175</t>
  </si>
  <si>
    <t xml:space="preserve">RPY-0012176</t>
  </si>
  <si>
    <t xml:space="preserve">RPY-0012177</t>
  </si>
  <si>
    <t xml:space="preserve">RPY-0012178</t>
  </si>
  <si>
    <t xml:space="preserve">RPY-0012179</t>
  </si>
  <si>
    <t xml:space="preserve">RPY-0012180</t>
  </si>
  <si>
    <t xml:space="preserve">RPY-0012181</t>
  </si>
  <si>
    <t xml:space="preserve">RPY-0012182</t>
  </si>
  <si>
    <t xml:space="preserve">RPY-0012183</t>
  </si>
  <si>
    <t xml:space="preserve">RPY-0012184</t>
  </si>
  <si>
    <t xml:space="preserve">RPY-0012185</t>
  </si>
  <si>
    <t xml:space="preserve">RPY-0012186</t>
  </si>
  <si>
    <t xml:space="preserve">RPY-0012187</t>
  </si>
  <si>
    <t xml:space="preserve">RPY-0012188</t>
  </si>
  <si>
    <t xml:space="preserve">RPY-0012189</t>
  </si>
  <si>
    <t xml:space="preserve">RPY-0012190</t>
  </si>
  <si>
    <t xml:space="preserve">RPY-0012191</t>
  </si>
  <si>
    <t xml:space="preserve">RPY-0012192</t>
  </si>
  <si>
    <t xml:space="preserve">RPY-0012193</t>
  </si>
  <si>
    <t xml:space="preserve">RPY-0012194</t>
  </si>
  <si>
    <t xml:space="preserve">RPY-0012195</t>
  </si>
  <si>
    <t xml:space="preserve">RPY-0012196</t>
  </si>
  <si>
    <t xml:space="preserve">RPY-0012197</t>
  </si>
  <si>
    <t xml:space="preserve">RPY-0012198</t>
  </si>
  <si>
    <t xml:space="preserve">RPY-0012199</t>
  </si>
  <si>
    <t xml:space="preserve">RPY-0012200</t>
  </si>
  <si>
    <t xml:space="preserve">RPY-0012201</t>
  </si>
  <si>
    <t xml:space="preserve">RPY-0012202</t>
  </si>
  <si>
    <t xml:space="preserve">RPY-0012203</t>
  </si>
  <si>
    <t xml:space="preserve">RPY-0012204</t>
  </si>
  <si>
    <t xml:space="preserve">RPY-0012205</t>
  </si>
  <si>
    <t xml:space="preserve">RPY-0012206</t>
  </si>
  <si>
    <t xml:space="preserve">RPY-0012207</t>
  </si>
  <si>
    <t xml:space="preserve">RPY-0012208</t>
  </si>
  <si>
    <t xml:space="preserve">RPY-0012209</t>
  </si>
  <si>
    <t xml:space="preserve">RPY-0012210</t>
  </si>
  <si>
    <t xml:space="preserve">RPY-0012211</t>
  </si>
  <si>
    <t xml:space="preserve">RPY-0012212</t>
  </si>
  <si>
    <t xml:space="preserve">RPY-0012213</t>
  </si>
  <si>
    <t xml:space="preserve">RPY-0012214</t>
  </si>
  <si>
    <t xml:space="preserve">RPY-0012215</t>
  </si>
  <si>
    <t xml:space="preserve">RPY-0012216</t>
  </si>
  <si>
    <t xml:space="preserve">RPY-0012217</t>
  </si>
  <si>
    <t xml:space="preserve">RPY-0012218</t>
  </si>
  <si>
    <t xml:space="preserve">RPY-0012219</t>
  </si>
  <si>
    <t xml:space="preserve">RPY-0012220</t>
  </si>
  <si>
    <t xml:space="preserve">RPY-0012221</t>
  </si>
  <si>
    <t xml:space="preserve">RPY-0012222</t>
  </si>
  <si>
    <t xml:space="preserve">RPY-0012223</t>
  </si>
  <si>
    <t xml:space="preserve">RPY-0012224</t>
  </si>
  <si>
    <t xml:space="preserve">RPY-0012225</t>
  </si>
  <si>
    <t xml:space="preserve">RPY-0012226</t>
  </si>
  <si>
    <t xml:space="preserve">RPY-0012227</t>
  </si>
  <si>
    <t xml:space="preserve">RPY-0012228</t>
  </si>
  <si>
    <t xml:space="preserve">RPY-0012229</t>
  </si>
  <si>
    <t xml:space="preserve">RPY-0012230</t>
  </si>
  <si>
    <t xml:space="preserve">RPY-0012231</t>
  </si>
  <si>
    <t xml:space="preserve">RPY-0012232</t>
  </si>
  <si>
    <t xml:space="preserve">RPY-0012233</t>
  </si>
  <si>
    <t xml:space="preserve">RPY-0012234</t>
  </si>
  <si>
    <t xml:space="preserve">RPY-0012235</t>
  </si>
  <si>
    <t xml:space="preserve">RPY-0012236</t>
  </si>
  <si>
    <t xml:space="preserve">RPY-0012237</t>
  </si>
  <si>
    <t xml:space="preserve">RPY-0012238</t>
  </si>
  <si>
    <t xml:space="preserve">RPY-0012239</t>
  </si>
  <si>
    <t xml:space="preserve">RPY-0012240</t>
  </si>
  <si>
    <t xml:space="preserve">RPY-0012241</t>
  </si>
  <si>
    <t xml:space="preserve">RPY-0012242</t>
  </si>
  <si>
    <t xml:space="preserve">RPY-0012243</t>
  </si>
  <si>
    <t xml:space="preserve">RPY-0012244</t>
  </si>
  <si>
    <t xml:space="preserve">RPY-0012245</t>
  </si>
  <si>
    <t xml:space="preserve">RPY-0012246</t>
  </si>
  <si>
    <t xml:space="preserve">RPY-0012247</t>
  </si>
  <si>
    <t xml:space="preserve">RPY-0012248</t>
  </si>
  <si>
    <t xml:space="preserve">RPY-0012249</t>
  </si>
  <si>
    <t xml:space="preserve">RPY-0012250</t>
  </si>
  <si>
    <t xml:space="preserve">RPY-0012251</t>
  </si>
  <si>
    <t xml:space="preserve">RPY-0012252</t>
  </si>
  <si>
    <t xml:space="preserve">RPY-0012253</t>
  </si>
  <si>
    <t xml:space="preserve">RPY-0012254</t>
  </si>
  <si>
    <t xml:space="preserve">RPY-0012255</t>
  </si>
  <si>
    <t xml:space="preserve">RPY-0012256</t>
  </si>
  <si>
    <t xml:space="preserve">RPY-0012257</t>
  </si>
  <si>
    <t xml:space="preserve">RPY-0012258</t>
  </si>
  <si>
    <t xml:space="preserve">RPY-0012259</t>
  </si>
  <si>
    <t xml:space="preserve">RPY-0012260</t>
  </si>
  <si>
    <t xml:space="preserve">RPY-0012261</t>
  </si>
  <si>
    <t xml:space="preserve">RPY-0012262</t>
  </si>
  <si>
    <t xml:space="preserve">RPY-0012263</t>
  </si>
  <si>
    <t xml:space="preserve">RPY-0012264</t>
  </si>
  <si>
    <t xml:space="preserve">RPY-0012265</t>
  </si>
  <si>
    <t xml:space="preserve">RPY-0012266</t>
  </si>
  <si>
    <t xml:space="preserve">RPY-0012267</t>
  </si>
  <si>
    <t xml:space="preserve">RPY-0012268</t>
  </si>
  <si>
    <t xml:space="preserve">RPY-0012269</t>
  </si>
  <si>
    <t xml:space="preserve">RPY-0012270</t>
  </si>
  <si>
    <t xml:space="preserve">RPY-0012271</t>
  </si>
  <si>
    <t xml:space="preserve">RPY-0012272</t>
  </si>
  <si>
    <t xml:space="preserve">RPY-0012273</t>
  </si>
  <si>
    <t xml:space="preserve">RPY-0012274</t>
  </si>
  <si>
    <t xml:space="preserve">RPY-0012275</t>
  </si>
  <si>
    <t xml:space="preserve">RPY-0012276</t>
  </si>
  <si>
    <t xml:space="preserve">RPY-0012277</t>
  </si>
  <si>
    <t xml:space="preserve">RPY-0012278</t>
  </si>
  <si>
    <t xml:space="preserve">RPY-0012279</t>
  </si>
  <si>
    <t xml:space="preserve">RPY-0012280</t>
  </si>
  <si>
    <t xml:space="preserve">RPY-0012281</t>
  </si>
  <si>
    <t xml:space="preserve">RPY-0012282</t>
  </si>
  <si>
    <t xml:space="preserve">RPY-0012283</t>
  </si>
  <si>
    <t xml:space="preserve">RPY-0012284</t>
  </si>
  <si>
    <t xml:space="preserve">RPY-0012285</t>
  </si>
  <si>
    <t xml:space="preserve">RPY-0012286</t>
  </si>
  <si>
    <t xml:space="preserve">RPY-0012287</t>
  </si>
  <si>
    <t xml:space="preserve">RPY-0012288</t>
  </si>
  <si>
    <t xml:space="preserve">RPY-0012289</t>
  </si>
  <si>
    <t xml:space="preserve">RPY-0012290</t>
  </si>
  <si>
    <t xml:space="preserve">RPY-0012291</t>
  </si>
  <si>
    <t xml:space="preserve">RPY-0012292</t>
  </si>
  <si>
    <t xml:space="preserve">RPY-0012293</t>
  </si>
  <si>
    <t xml:space="preserve">RPY-0012294</t>
  </si>
  <si>
    <t xml:space="preserve">RPY-0012295</t>
  </si>
  <si>
    <t xml:space="preserve">RPY-0012296</t>
  </si>
  <si>
    <t xml:space="preserve">RPY-0012297</t>
  </si>
  <si>
    <t xml:space="preserve">RPY-0012298</t>
  </si>
  <si>
    <t xml:space="preserve">RPY-0012299</t>
  </si>
  <si>
    <t xml:space="preserve">RPY-0012300</t>
  </si>
  <si>
    <t xml:space="preserve">RPY-0012301</t>
  </si>
  <si>
    <t xml:space="preserve">RPY-0012302</t>
  </si>
  <si>
    <t xml:space="preserve">RPY-0012303</t>
  </si>
  <si>
    <t xml:space="preserve">RPY-0012304</t>
  </si>
  <si>
    <t xml:space="preserve">RPY-0012305</t>
  </si>
  <si>
    <t xml:space="preserve">RPY-0012306</t>
  </si>
  <si>
    <t xml:space="preserve">RPY-0012307</t>
  </si>
  <si>
    <t xml:space="preserve">RPY-0012308</t>
  </si>
  <si>
    <t xml:space="preserve">RPY-0012309</t>
  </si>
  <si>
    <t xml:space="preserve">RPY-0012310</t>
  </si>
  <si>
    <t xml:space="preserve">RPY-0012311</t>
  </si>
  <si>
    <t xml:space="preserve">RPY-0012312</t>
  </si>
  <si>
    <t xml:space="preserve">RPY-0012313</t>
  </si>
  <si>
    <t xml:space="preserve">RPY-0012314</t>
  </si>
  <si>
    <t xml:space="preserve">RPY-0012315</t>
  </si>
  <si>
    <t xml:space="preserve">RPY-0012316</t>
  </si>
  <si>
    <t xml:space="preserve">RPY-0012317</t>
  </si>
  <si>
    <t xml:space="preserve">RPY-0012318</t>
  </si>
  <si>
    <t xml:space="preserve">RPY-0012319</t>
  </si>
  <si>
    <t xml:space="preserve">RPY-0012320</t>
  </si>
  <si>
    <t xml:space="preserve">RPY-0012321</t>
  </si>
  <si>
    <t xml:space="preserve">RPY-0012322</t>
  </si>
  <si>
    <t xml:space="preserve">RPY-0012323</t>
  </si>
  <si>
    <t xml:space="preserve">RPY-0012324</t>
  </si>
  <si>
    <t xml:space="preserve">RPY-0012325</t>
  </si>
  <si>
    <t xml:space="preserve">RPY-0012326</t>
  </si>
  <si>
    <t xml:space="preserve">RPY-0012327</t>
  </si>
  <si>
    <t xml:space="preserve">RPY-0012328</t>
  </si>
  <si>
    <t xml:space="preserve">RPY-0012329</t>
  </si>
  <si>
    <t xml:space="preserve">RPY-0012330</t>
  </si>
  <si>
    <t xml:space="preserve">RPY-0012331</t>
  </si>
  <si>
    <t xml:space="preserve">RPY-0012332</t>
  </si>
  <si>
    <t xml:space="preserve">RPY-0012333</t>
  </si>
  <si>
    <t xml:space="preserve">RPY-0012334</t>
  </si>
  <si>
    <t xml:space="preserve">RPY-0012335</t>
  </si>
  <si>
    <t xml:space="preserve">RPY-0012336</t>
  </si>
  <si>
    <t xml:space="preserve">RPY-0012337</t>
  </si>
  <si>
    <t xml:space="preserve">RPY-0012338</t>
  </si>
  <si>
    <t xml:space="preserve">RPY-0012339</t>
  </si>
  <si>
    <t xml:space="preserve">RPY-0012340</t>
  </si>
  <si>
    <t xml:space="preserve">RPY-0012341</t>
  </si>
  <si>
    <t xml:space="preserve">RPY-0012342</t>
  </si>
  <si>
    <t xml:space="preserve">RPY-0012343</t>
  </si>
  <si>
    <t xml:space="preserve">RPY-0012344</t>
  </si>
  <si>
    <t xml:space="preserve">RPY-0012345</t>
  </si>
  <si>
    <t xml:space="preserve">RPY-0012346</t>
  </si>
  <si>
    <t xml:space="preserve">RPY-0012347</t>
  </si>
  <si>
    <t xml:space="preserve">RPY-0012348</t>
  </si>
  <si>
    <t xml:space="preserve">RPY-0012349</t>
  </si>
  <si>
    <t xml:space="preserve">RPY-0012350</t>
  </si>
  <si>
    <t xml:space="preserve">RPY-0012351</t>
  </si>
  <si>
    <t xml:space="preserve">RPY-0012352</t>
  </si>
  <si>
    <t xml:space="preserve">RPY-0012353</t>
  </si>
  <si>
    <t xml:space="preserve">RPY-0012354</t>
  </si>
  <si>
    <t xml:space="preserve">RPY-0012355</t>
  </si>
  <si>
    <t xml:space="preserve">RPY-0012356</t>
  </si>
  <si>
    <t xml:space="preserve">RPY-0012357</t>
  </si>
  <si>
    <t xml:space="preserve">RPY-0012358</t>
  </si>
  <si>
    <t xml:space="preserve">RPY-0012359</t>
  </si>
  <si>
    <t xml:space="preserve">RPY-0012360</t>
  </si>
  <si>
    <t xml:space="preserve">RPY-0012361</t>
  </si>
  <si>
    <t xml:space="preserve">RPY-0012362</t>
  </si>
  <si>
    <t xml:space="preserve">RPY-0012363</t>
  </si>
  <si>
    <t xml:space="preserve">RPY-0012364</t>
  </si>
  <si>
    <t xml:space="preserve">RPY-0012365</t>
  </si>
  <si>
    <t xml:space="preserve">RPY-0012366</t>
  </si>
  <si>
    <t xml:space="preserve">RPY-0012367</t>
  </si>
  <si>
    <t xml:space="preserve">RPY-0012368</t>
  </si>
  <si>
    <t xml:space="preserve">RPY-0012369</t>
  </si>
  <si>
    <t xml:space="preserve">RPY-0012370</t>
  </si>
  <si>
    <t xml:space="preserve">RPY-0012371</t>
  </si>
  <si>
    <t xml:space="preserve">RPY-0012372</t>
  </si>
  <si>
    <t xml:space="preserve">RPY-0012373</t>
  </si>
  <si>
    <t xml:space="preserve">RPY-0012374</t>
  </si>
  <si>
    <t xml:space="preserve">RPY-0012375</t>
  </si>
  <si>
    <t xml:space="preserve">RPY-0012376</t>
  </si>
  <si>
    <t xml:space="preserve">RPY-0012377</t>
  </si>
  <si>
    <t xml:space="preserve">RPY-0012378</t>
  </si>
  <si>
    <t xml:space="preserve">RPY-0012379</t>
  </si>
  <si>
    <t xml:space="preserve">RPY-0012380</t>
  </si>
  <si>
    <t xml:space="preserve">RPY-0012381</t>
  </si>
  <si>
    <t xml:space="preserve">RPY-0012382</t>
  </si>
  <si>
    <t xml:space="preserve">RPY-0012383</t>
  </si>
  <si>
    <t xml:space="preserve">RPY-0012384</t>
  </si>
  <si>
    <t xml:space="preserve">RPY-0012385</t>
  </si>
  <si>
    <t xml:space="preserve">RPY-0012386</t>
  </si>
  <si>
    <t xml:space="preserve">RPY-0012387</t>
  </si>
  <si>
    <t xml:space="preserve">RPY-0012388</t>
  </si>
  <si>
    <t xml:space="preserve">RPY-0012389</t>
  </si>
  <si>
    <t xml:space="preserve">RPY-0012390</t>
  </si>
  <si>
    <t xml:space="preserve">RPY-0012391</t>
  </si>
  <si>
    <t xml:space="preserve">RPY-0012392</t>
  </si>
  <si>
    <t xml:space="preserve">RPY-0012393</t>
  </si>
  <si>
    <t xml:space="preserve">RPY-0012394</t>
  </si>
  <si>
    <t xml:space="preserve">RPY-0012395</t>
  </si>
  <si>
    <t xml:space="preserve">RPY-0012396</t>
  </si>
  <si>
    <t xml:space="preserve">RPY-0012397</t>
  </si>
  <si>
    <t xml:space="preserve">RPY-0012398</t>
  </si>
  <si>
    <t xml:space="preserve">RPY-0012399</t>
  </si>
  <si>
    <t xml:space="preserve">RPY-0012400</t>
  </si>
  <si>
    <t xml:space="preserve">RPY-0012401</t>
  </si>
  <si>
    <t xml:space="preserve">RPY-0012402</t>
  </si>
  <si>
    <t xml:space="preserve">RPY-0012403</t>
  </si>
  <si>
    <t xml:space="preserve">RPY-0012404</t>
  </si>
  <si>
    <t xml:space="preserve">RPY-0012405</t>
  </si>
  <si>
    <t xml:space="preserve">RPY-0012406</t>
  </si>
  <si>
    <t xml:space="preserve">RPY-0012407</t>
  </si>
  <si>
    <t xml:space="preserve">RPY-0012408</t>
  </si>
  <si>
    <t xml:space="preserve">RPY-0012409</t>
  </si>
  <si>
    <t xml:space="preserve">RPY-0012410</t>
  </si>
  <si>
    <t xml:space="preserve">RPY-0012411</t>
  </si>
  <si>
    <t xml:space="preserve">RPY-0012412</t>
  </si>
  <si>
    <t xml:space="preserve">RPY-0012413</t>
  </si>
  <si>
    <t xml:space="preserve">RPY-0012414</t>
  </si>
  <si>
    <t xml:space="preserve">RPY-0012415</t>
  </si>
  <si>
    <t xml:space="preserve">RPY-0012416</t>
  </si>
  <si>
    <t xml:space="preserve">RPY-0012417</t>
  </si>
  <si>
    <t xml:space="preserve">RPY-0012418</t>
  </si>
  <si>
    <t xml:space="preserve">RPY-0012419</t>
  </si>
  <si>
    <t xml:space="preserve">RPY-0012420</t>
  </si>
  <si>
    <t xml:space="preserve">RPY-0012421</t>
  </si>
  <si>
    <t xml:space="preserve">RPY-0012422</t>
  </si>
  <si>
    <t xml:space="preserve">RPY-0012423</t>
  </si>
  <si>
    <t xml:space="preserve">RPY-0012424</t>
  </si>
  <si>
    <t xml:space="preserve">RPY-0012425</t>
  </si>
  <si>
    <t xml:space="preserve">RPY-0012426</t>
  </si>
  <si>
    <t xml:space="preserve">RPY-0012427</t>
  </si>
  <si>
    <t xml:space="preserve">RPY-0012428</t>
  </si>
  <si>
    <t xml:space="preserve">RPY-0012429</t>
  </si>
  <si>
    <t xml:space="preserve">RPY-0012430</t>
  </si>
  <si>
    <t xml:space="preserve">RPY-0012431</t>
  </si>
  <si>
    <t xml:space="preserve">RPY-0012432</t>
  </si>
  <si>
    <t xml:space="preserve">RPY-0012433</t>
  </si>
  <si>
    <t xml:space="preserve">RPY-0012434</t>
  </si>
  <si>
    <t xml:space="preserve">RPY-0012435</t>
  </si>
  <si>
    <t xml:space="preserve">RPY-0012436</t>
  </si>
  <si>
    <t xml:space="preserve">RPY-0012437</t>
  </si>
  <si>
    <t xml:space="preserve">RPY-0012438</t>
  </si>
  <si>
    <t xml:space="preserve">RPY-0012439</t>
  </si>
  <si>
    <t xml:space="preserve">RPY-0012440</t>
  </si>
  <si>
    <t xml:space="preserve">RPY-0012441</t>
  </si>
  <si>
    <t xml:space="preserve">RPY-0012442</t>
  </si>
  <si>
    <t xml:space="preserve">RPY-0012443</t>
  </si>
  <si>
    <t xml:space="preserve">RPY-0012444</t>
  </si>
  <si>
    <t xml:space="preserve">RPY-0012445</t>
  </si>
  <si>
    <t xml:space="preserve">RPY-0012446</t>
  </si>
  <si>
    <t xml:space="preserve">RPY-0012447</t>
  </si>
  <si>
    <t xml:space="preserve">RPY-0012448</t>
  </si>
  <si>
    <t xml:space="preserve">RPY-0012449</t>
  </si>
  <si>
    <t xml:space="preserve">RPY-0012450</t>
  </si>
  <si>
    <t xml:space="preserve">RPY-0012451</t>
  </si>
  <si>
    <t xml:space="preserve">RPY-0012452</t>
  </si>
  <si>
    <t xml:space="preserve">RPY-0012453</t>
  </si>
  <si>
    <t xml:space="preserve">RPY-0012454</t>
  </si>
  <si>
    <t xml:space="preserve">RPY-0012455</t>
  </si>
  <si>
    <t xml:space="preserve">RPY-0012456</t>
  </si>
  <si>
    <t xml:space="preserve">RPY-0012457</t>
  </si>
  <si>
    <t xml:space="preserve">RPY-0012458</t>
  </si>
  <si>
    <t xml:space="preserve">RPY-0012459</t>
  </si>
  <si>
    <t xml:space="preserve">RPY-0012460</t>
  </si>
  <si>
    <t xml:space="preserve">RPY-0012461</t>
  </si>
  <si>
    <t xml:space="preserve">RPY-0012462</t>
  </si>
  <si>
    <t xml:space="preserve">RPY-0012463</t>
  </si>
  <si>
    <t xml:space="preserve">RPY-0012464</t>
  </si>
  <si>
    <t xml:space="preserve">RPY-0012465</t>
  </si>
  <si>
    <t xml:space="preserve">RPY-0012466</t>
  </si>
  <si>
    <t xml:space="preserve">RPY-0012467</t>
  </si>
  <si>
    <t xml:space="preserve">RPY-0012468</t>
  </si>
  <si>
    <t xml:space="preserve">RPY-0012469</t>
  </si>
  <si>
    <t xml:space="preserve">RPY-0012470</t>
  </si>
  <si>
    <t xml:space="preserve">RPY-0012471</t>
  </si>
  <si>
    <t xml:space="preserve">RPY-0012472</t>
  </si>
  <si>
    <t xml:space="preserve">RPY-0012473</t>
  </si>
  <si>
    <t xml:space="preserve">RPY-0012474</t>
  </si>
  <si>
    <t xml:space="preserve">RPY-0012475</t>
  </si>
  <si>
    <t xml:space="preserve">RPY-0012476</t>
  </si>
  <si>
    <t xml:space="preserve">RPY-0012477</t>
  </si>
  <si>
    <t xml:space="preserve">RPY-0012478</t>
  </si>
  <si>
    <t xml:space="preserve">RPY-0012479</t>
  </si>
  <si>
    <t xml:space="preserve">RPY-0012480</t>
  </si>
  <si>
    <t xml:space="preserve">RPY-0012481</t>
  </si>
  <si>
    <t xml:space="preserve">RPY-0012482</t>
  </si>
  <si>
    <t xml:space="preserve">RPY-0012483</t>
  </si>
  <si>
    <t xml:space="preserve">RPY-0012484</t>
  </si>
  <si>
    <t xml:space="preserve">RPY-0012485</t>
  </si>
  <si>
    <t xml:space="preserve">RPY-0012486</t>
  </si>
  <si>
    <t xml:space="preserve">RPY-0012487</t>
  </si>
  <si>
    <t xml:space="preserve">RPY-0012488</t>
  </si>
  <si>
    <t xml:space="preserve">RPY-0012489</t>
  </si>
  <si>
    <t xml:space="preserve">RPY-0012490</t>
  </si>
  <si>
    <t xml:space="preserve">RPY-0012491</t>
  </si>
  <si>
    <t xml:space="preserve">RPY-0012492</t>
  </si>
  <si>
    <t xml:space="preserve">RPY-0012493</t>
  </si>
  <si>
    <t xml:space="preserve">RPY-0012494</t>
  </si>
  <si>
    <t xml:space="preserve">RPY-0012495</t>
  </si>
  <si>
    <t xml:space="preserve">RPY-0012496</t>
  </si>
  <si>
    <t xml:space="preserve">RPY-0012497</t>
  </si>
  <si>
    <t xml:space="preserve">RPY-0012498</t>
  </si>
  <si>
    <t xml:space="preserve">RPY-0012499</t>
  </si>
  <si>
    <t xml:space="preserve">RPY-0012500</t>
  </si>
  <si>
    <t xml:space="preserve">RPY-0012501</t>
  </si>
  <si>
    <t xml:space="preserve">RPY-0012502</t>
  </si>
  <si>
    <t xml:space="preserve">RPY-0012503</t>
  </si>
  <si>
    <t xml:space="preserve">RPY-0012504</t>
  </si>
  <si>
    <t xml:space="preserve">RPY-0012505</t>
  </si>
  <si>
    <t xml:space="preserve">RPY-0012506</t>
  </si>
  <si>
    <t xml:space="preserve">RPY-0012507</t>
  </si>
  <si>
    <t xml:space="preserve">RPY-0012508</t>
  </si>
  <si>
    <t xml:space="preserve">RPY-0012509</t>
  </si>
  <si>
    <t xml:space="preserve">RPY-0012510</t>
  </si>
  <si>
    <t xml:space="preserve">RPY-0012511</t>
  </si>
  <si>
    <t xml:space="preserve">RPY-0012512</t>
  </si>
  <si>
    <t xml:space="preserve">RPY-0012513</t>
  </si>
  <si>
    <t xml:space="preserve">RPY-0012514</t>
  </si>
  <si>
    <t xml:space="preserve">RPY-0012515</t>
  </si>
  <si>
    <t xml:space="preserve">RPY-0012516</t>
  </si>
  <si>
    <t xml:space="preserve">RPY-0012517</t>
  </si>
  <si>
    <t xml:space="preserve">RPY-0012518</t>
  </si>
  <si>
    <t xml:space="preserve">RPY-0012519</t>
  </si>
  <si>
    <t xml:space="preserve">RPY-0012520</t>
  </si>
  <si>
    <t xml:space="preserve">RPY-0012521</t>
  </si>
  <si>
    <t xml:space="preserve">RPY-0012522</t>
  </si>
  <si>
    <t xml:space="preserve">RPY-0012523</t>
  </si>
  <si>
    <t xml:space="preserve">RPY-0012524</t>
  </si>
  <si>
    <t xml:space="preserve">RPY-0012525</t>
  </si>
  <si>
    <t xml:space="preserve">RPY-0012526</t>
  </si>
  <si>
    <t xml:space="preserve">RPY-0012527</t>
  </si>
  <si>
    <t xml:space="preserve">RPY-0012528</t>
  </si>
  <si>
    <t xml:space="preserve">RPY-0012529</t>
  </si>
  <si>
    <t xml:space="preserve">RPY-0012530</t>
  </si>
  <si>
    <t xml:space="preserve">RPY-0012531</t>
  </si>
  <si>
    <t xml:space="preserve">RPY-0012532</t>
  </si>
  <si>
    <t xml:space="preserve">RPY-0012533</t>
  </si>
  <si>
    <t xml:space="preserve">RPY-0012534</t>
  </si>
  <si>
    <t xml:space="preserve">RPY-0012535</t>
  </si>
  <si>
    <t xml:space="preserve">RPY-0012536</t>
  </si>
  <si>
    <t xml:space="preserve">RPY-0012537</t>
  </si>
  <si>
    <t xml:space="preserve">RPY-0012538</t>
  </si>
  <si>
    <t xml:space="preserve">RPY-0012539</t>
  </si>
  <si>
    <t xml:space="preserve">RPY-0012540</t>
  </si>
  <si>
    <t xml:space="preserve">RPY-0012541</t>
  </si>
  <si>
    <t xml:space="preserve">RPY-0012542</t>
  </si>
  <si>
    <t xml:space="preserve">RPY-0012543</t>
  </si>
  <si>
    <t xml:space="preserve">RPY-0012544</t>
  </si>
  <si>
    <t xml:space="preserve">RPY-0012545</t>
  </si>
  <si>
    <t xml:space="preserve">RPY-0012546</t>
  </si>
  <si>
    <t xml:space="preserve">RPY-0012547</t>
  </si>
  <si>
    <t xml:space="preserve">RPY-0012548</t>
  </si>
  <si>
    <t xml:space="preserve">RPY-0012549</t>
  </si>
  <si>
    <t xml:space="preserve">RPY-0012550</t>
  </si>
  <si>
    <t xml:space="preserve">RPY-0012551</t>
  </si>
  <si>
    <t xml:space="preserve">RPY-0012552</t>
  </si>
  <si>
    <t xml:space="preserve">RPY-0012553</t>
  </si>
  <si>
    <t xml:space="preserve">RPY-0012554</t>
  </si>
  <si>
    <t xml:space="preserve">RPY-0012555</t>
  </si>
  <si>
    <t xml:space="preserve">RPY-0012556</t>
  </si>
  <si>
    <t xml:space="preserve">RPY-0012557</t>
  </si>
  <si>
    <t xml:space="preserve">RPY-0012558</t>
  </si>
  <si>
    <t xml:space="preserve">RPY-0012559</t>
  </si>
  <si>
    <t xml:space="preserve">RPY-0012560</t>
  </si>
  <si>
    <t xml:space="preserve">RPY-0012561</t>
  </si>
  <si>
    <t xml:space="preserve">RPY-0012562</t>
  </si>
  <si>
    <t xml:space="preserve">RPY-0012563</t>
  </si>
  <si>
    <t xml:space="preserve">RPY-0012564</t>
  </si>
  <si>
    <t xml:space="preserve">RPY-0012565</t>
  </si>
  <si>
    <t xml:space="preserve">RPY-0012566</t>
  </si>
  <si>
    <t xml:space="preserve">RPY-0012567</t>
  </si>
  <si>
    <t xml:space="preserve">RPY-0012568</t>
  </si>
  <si>
    <t xml:space="preserve">RPY-0012569</t>
  </si>
  <si>
    <t xml:space="preserve">RPY-0012570</t>
  </si>
  <si>
    <t xml:space="preserve">RPY-0012571</t>
  </si>
  <si>
    <t xml:space="preserve">RPY-0012572</t>
  </si>
  <si>
    <t xml:space="preserve">RPY-0012573</t>
  </si>
  <si>
    <t xml:space="preserve">RPY-0012574</t>
  </si>
  <si>
    <t xml:space="preserve">RPY-0012575</t>
  </si>
  <si>
    <t xml:space="preserve">RPY-0012576</t>
  </si>
  <si>
    <t xml:space="preserve">RPY-0012577</t>
  </si>
  <si>
    <t xml:space="preserve">RPY-0012578</t>
  </si>
  <si>
    <t xml:space="preserve">RPY-0012579</t>
  </si>
  <si>
    <t xml:space="preserve">RPY-0012580</t>
  </si>
  <si>
    <t xml:space="preserve">RPY-0012581</t>
  </si>
  <si>
    <t xml:space="preserve">RPY-0012582</t>
  </si>
  <si>
    <t xml:space="preserve">RPY-0012583</t>
  </si>
  <si>
    <t xml:space="preserve">RPY-0012584</t>
  </si>
  <si>
    <t xml:space="preserve">RPY-0012585</t>
  </si>
  <si>
    <t xml:space="preserve">RPY-0012586</t>
  </si>
  <si>
    <t xml:space="preserve">RPY-0012587</t>
  </si>
  <si>
    <t xml:space="preserve">RPY-0012588</t>
  </si>
  <si>
    <t xml:space="preserve">RPY-0012589</t>
  </si>
  <si>
    <t xml:space="preserve">RPY-0012590</t>
  </si>
  <si>
    <t xml:space="preserve">RPY-0012591</t>
  </si>
  <si>
    <t xml:space="preserve">RPY-0012592</t>
  </si>
  <si>
    <t xml:space="preserve">RPY-0012593</t>
  </si>
  <si>
    <t xml:space="preserve">RPY-0012594</t>
  </si>
  <si>
    <t xml:space="preserve">RPY-0012595</t>
  </si>
  <si>
    <t xml:space="preserve">RPY-0012596</t>
  </si>
  <si>
    <t xml:space="preserve">RPY-0012597</t>
  </si>
  <si>
    <t xml:space="preserve">RPY-0012598</t>
  </si>
  <si>
    <t xml:space="preserve">RPY-0012599</t>
  </si>
  <si>
    <t xml:space="preserve">RPY-0012600</t>
  </si>
  <si>
    <t xml:space="preserve">RPY-0012601</t>
  </si>
  <si>
    <t xml:space="preserve">RPY-0012602</t>
  </si>
  <si>
    <t xml:space="preserve">RPY-0012603</t>
  </si>
  <si>
    <t xml:space="preserve">RPY-0012604</t>
  </si>
  <si>
    <t xml:space="preserve">RPY-0012605</t>
  </si>
  <si>
    <t xml:space="preserve">RPY-0012606</t>
  </si>
  <si>
    <t xml:space="preserve">RPY-0012607</t>
  </si>
  <si>
    <t xml:space="preserve">RPY-0012608</t>
  </si>
  <si>
    <t xml:space="preserve">RPY-0012609</t>
  </si>
  <si>
    <t xml:space="preserve">RPY-0012610</t>
  </si>
  <si>
    <t xml:space="preserve">RPY-0012611</t>
  </si>
  <si>
    <t xml:space="preserve">RPY-0012612</t>
  </si>
  <si>
    <t xml:space="preserve">RPY-0012613</t>
  </si>
  <si>
    <t xml:space="preserve">RPY-0012614</t>
  </si>
  <si>
    <t xml:space="preserve">RPY-0012615</t>
  </si>
  <si>
    <t xml:space="preserve">RPY-0012616</t>
  </si>
  <si>
    <t xml:space="preserve">RPY-0012617</t>
  </si>
  <si>
    <t xml:space="preserve">RPY-0012618</t>
  </si>
  <si>
    <t xml:space="preserve">RPY-0012619</t>
  </si>
  <si>
    <t xml:space="preserve">RPY-0012620</t>
  </si>
  <si>
    <t xml:space="preserve">RPY-0012621</t>
  </si>
  <si>
    <t xml:space="preserve">RPY-0012622</t>
  </si>
  <si>
    <t xml:space="preserve">RPY-0012623</t>
  </si>
  <si>
    <t xml:space="preserve">RPY-0012624</t>
  </si>
  <si>
    <t xml:space="preserve">RPY-0012625</t>
  </si>
  <si>
    <t xml:space="preserve">RPY-0012626</t>
  </si>
  <si>
    <t xml:space="preserve">RPY-0012627</t>
  </si>
  <si>
    <t xml:space="preserve">RPY-0012628</t>
  </si>
  <si>
    <t xml:space="preserve">RPY-0012629</t>
  </si>
  <si>
    <t xml:space="preserve">RPY-0012630</t>
  </si>
  <si>
    <t xml:space="preserve">RPY-0012631</t>
  </si>
  <si>
    <t xml:space="preserve">RPY-0012632</t>
  </si>
  <si>
    <t xml:space="preserve">RPY-0012633</t>
  </si>
  <si>
    <t xml:space="preserve">RPY-0012634</t>
  </si>
  <si>
    <t xml:space="preserve">RPY-0012635</t>
  </si>
  <si>
    <t xml:space="preserve">RPY-0012636</t>
  </si>
  <si>
    <t xml:space="preserve">RPY-0012637</t>
  </si>
  <si>
    <t xml:space="preserve">RPY-0012638</t>
  </si>
  <si>
    <t xml:space="preserve">RPY-0012639</t>
  </si>
  <si>
    <t xml:space="preserve">RPY-0012640</t>
  </si>
  <si>
    <t xml:space="preserve">RPY-0012641</t>
  </si>
  <si>
    <t xml:space="preserve">RPY-0012642</t>
  </si>
  <si>
    <t xml:space="preserve">RPY-0012643</t>
  </si>
  <si>
    <t xml:space="preserve">RPY-0012644</t>
  </si>
  <si>
    <t xml:space="preserve">RPY-0012645</t>
  </si>
  <si>
    <t xml:space="preserve">RPY-0012646</t>
  </si>
  <si>
    <t xml:space="preserve">RPY-0012647</t>
  </si>
  <si>
    <t xml:space="preserve">RPY-0012648</t>
  </si>
  <si>
    <t xml:space="preserve">RPY-0012649</t>
  </si>
  <si>
    <t xml:space="preserve">RPY-0012650</t>
  </si>
  <si>
    <t xml:space="preserve">RPY-0012651</t>
  </si>
  <si>
    <t xml:space="preserve">RPY-0012652</t>
  </si>
  <si>
    <t xml:space="preserve">RPY-0012653</t>
  </si>
  <si>
    <t xml:space="preserve">RPY-0012654</t>
  </si>
  <si>
    <t xml:space="preserve">RPY-0012655</t>
  </si>
  <si>
    <t xml:space="preserve">RPY-0012656</t>
  </si>
  <si>
    <t xml:space="preserve">RPY-0012657</t>
  </si>
  <si>
    <t xml:space="preserve">RPY-0012658</t>
  </si>
  <si>
    <t xml:space="preserve">RPY-0012659</t>
  </si>
  <si>
    <t xml:space="preserve">RPY-0012660</t>
  </si>
  <si>
    <t xml:space="preserve">RPY-0012661</t>
  </si>
  <si>
    <t xml:space="preserve">RPY-0012662</t>
  </si>
  <si>
    <t xml:space="preserve">RPY-0012663</t>
  </si>
  <si>
    <t xml:space="preserve">RPY-0012664</t>
  </si>
  <si>
    <t xml:space="preserve">RPY-0012665</t>
  </si>
  <si>
    <t xml:space="preserve">RPY-0012666</t>
  </si>
  <si>
    <t xml:space="preserve">RPY-0012667</t>
  </si>
  <si>
    <t xml:space="preserve">RPY-0012668</t>
  </si>
  <si>
    <t xml:space="preserve">RPY-0012669</t>
  </si>
  <si>
    <t xml:space="preserve">RPY-0012670</t>
  </si>
  <si>
    <t xml:space="preserve">RPY-0012671</t>
  </si>
  <si>
    <t xml:space="preserve">RPY-0012672</t>
  </si>
  <si>
    <t xml:space="preserve">RPY-0012673</t>
  </si>
  <si>
    <t xml:space="preserve">RPY-0012674</t>
  </si>
  <si>
    <t xml:space="preserve">RPY-0012675</t>
  </si>
  <si>
    <t xml:space="preserve">RPY-0012676</t>
  </si>
  <si>
    <t xml:space="preserve">RPY-0012677</t>
  </si>
  <si>
    <t xml:space="preserve">RPY-0012678</t>
  </si>
  <si>
    <t xml:space="preserve">RPY-0012679</t>
  </si>
  <si>
    <t xml:space="preserve">RPY-0012680</t>
  </si>
  <si>
    <t xml:space="preserve">RPY-0012681</t>
  </si>
  <si>
    <t xml:space="preserve">RPY-0012682</t>
  </si>
  <si>
    <t xml:space="preserve">RPY-0012683</t>
  </si>
  <si>
    <t xml:space="preserve">RPY-0012684</t>
  </si>
  <si>
    <t xml:space="preserve">RPY-0012685</t>
  </si>
  <si>
    <t xml:space="preserve">RPY-0012686</t>
  </si>
  <si>
    <t xml:space="preserve">RPY-0012687</t>
  </si>
  <si>
    <t xml:space="preserve">RPY-0012688</t>
  </si>
  <si>
    <t xml:space="preserve">RPY-0012689</t>
  </si>
  <si>
    <t xml:space="preserve">RPY-0012690</t>
  </si>
  <si>
    <t xml:space="preserve">RPY-0012691</t>
  </si>
  <si>
    <t xml:space="preserve">RPY-0012692</t>
  </si>
  <si>
    <t xml:space="preserve">RPY-0012693</t>
  </si>
  <si>
    <t xml:space="preserve">RPY-0012694</t>
  </si>
  <si>
    <t xml:space="preserve">RPY-0012695</t>
  </si>
  <si>
    <t xml:space="preserve">RPY-0012696</t>
  </si>
  <si>
    <t xml:space="preserve">RPY-0012697</t>
  </si>
  <si>
    <t xml:space="preserve">RPY-0012698</t>
  </si>
  <si>
    <t xml:space="preserve">RPY-0012699</t>
  </si>
  <si>
    <t xml:space="preserve">RPY-0012700</t>
  </si>
  <si>
    <t xml:space="preserve">RPY-0012701</t>
  </si>
  <si>
    <t xml:space="preserve">RPY-0012702</t>
  </si>
  <si>
    <t xml:space="preserve">RPY-0012703</t>
  </si>
  <si>
    <t xml:space="preserve">RPY-0012704</t>
  </si>
  <si>
    <t xml:space="preserve">RPY-0012705</t>
  </si>
  <si>
    <t xml:space="preserve">RPY-0012706</t>
  </si>
  <si>
    <t xml:space="preserve">RPY-0012707</t>
  </si>
  <si>
    <t xml:space="preserve">RPY-0012708</t>
  </si>
  <si>
    <t xml:space="preserve">RPY-0012709</t>
  </si>
  <si>
    <t xml:space="preserve">RPY-0012710</t>
  </si>
  <si>
    <t xml:space="preserve">RPY-0012711</t>
  </si>
  <si>
    <t xml:space="preserve">RPY-0012712</t>
  </si>
  <si>
    <t xml:space="preserve">RPY-0012713</t>
  </si>
  <si>
    <t xml:space="preserve">RPY-0012714</t>
  </si>
  <si>
    <t xml:space="preserve">RPY-0012715</t>
  </si>
  <si>
    <t xml:space="preserve">RPY-0012716</t>
  </si>
  <si>
    <t xml:space="preserve">RPY-0012717</t>
  </si>
  <si>
    <t xml:space="preserve">RPY-0012718</t>
  </si>
  <si>
    <t xml:space="preserve">RPY-0012719</t>
  </si>
  <si>
    <t xml:space="preserve">RPY-0012720</t>
  </si>
  <si>
    <t xml:space="preserve">RPY-0012721</t>
  </si>
  <si>
    <t xml:space="preserve">RPY-0012722</t>
  </si>
  <si>
    <t xml:space="preserve">RPY-0012723</t>
  </si>
  <si>
    <t xml:space="preserve">RPY-0012724</t>
  </si>
  <si>
    <t xml:space="preserve">RPY-0012725</t>
  </si>
  <si>
    <t xml:space="preserve">RPY-0012726</t>
  </si>
  <si>
    <t xml:space="preserve">RPY-0012727</t>
  </si>
  <si>
    <t xml:space="preserve">RPY-0012728</t>
  </si>
  <si>
    <t xml:space="preserve">RPY-0012729</t>
  </si>
  <si>
    <t xml:space="preserve">RPY-0012730</t>
  </si>
  <si>
    <t xml:space="preserve">RPY-0012731</t>
  </si>
  <si>
    <t xml:space="preserve">RPY-0012732</t>
  </si>
  <si>
    <t xml:space="preserve">RPY-0012733</t>
  </si>
  <si>
    <t xml:space="preserve">RPY-0012734</t>
  </si>
  <si>
    <t xml:space="preserve">RPY-0012735</t>
  </si>
  <si>
    <t xml:space="preserve">RPY-0012736</t>
  </si>
  <si>
    <t xml:space="preserve">RPY-0012737</t>
  </si>
  <si>
    <t xml:space="preserve">RPY-0012738</t>
  </si>
  <si>
    <t xml:space="preserve">RPY-0012739</t>
  </si>
  <si>
    <t xml:space="preserve">RPY-0012740</t>
  </si>
  <si>
    <t xml:space="preserve">RPY-0012741</t>
  </si>
  <si>
    <t xml:space="preserve">RPY-0012742</t>
  </si>
  <si>
    <t xml:space="preserve">RPY-0012743</t>
  </si>
  <si>
    <t xml:space="preserve">RPY-0012744</t>
  </si>
  <si>
    <t xml:space="preserve">RPY-0012745</t>
  </si>
  <si>
    <t xml:space="preserve">RPY-0012746</t>
  </si>
  <si>
    <t xml:space="preserve">RPY-0012747</t>
  </si>
  <si>
    <t xml:space="preserve">RPY-0012748</t>
  </si>
  <si>
    <t xml:space="preserve">RPY-0012749</t>
  </si>
  <si>
    <t xml:space="preserve">RPY-0012750</t>
  </si>
  <si>
    <t xml:space="preserve">RPY-0012751</t>
  </si>
  <si>
    <t xml:space="preserve">RPY-0012752</t>
  </si>
  <si>
    <t xml:space="preserve">RPY-0012753</t>
  </si>
  <si>
    <t xml:space="preserve">RPY-0012754</t>
  </si>
  <si>
    <t xml:space="preserve">RPY-0012755</t>
  </si>
  <si>
    <t xml:space="preserve">RPY-0012756</t>
  </si>
  <si>
    <t xml:space="preserve">RPY-0012757</t>
  </si>
  <si>
    <t xml:space="preserve">RPY-0012758</t>
  </si>
  <si>
    <t xml:space="preserve">RPY-0012759</t>
  </si>
  <si>
    <t xml:space="preserve">RPY-0012760</t>
  </si>
  <si>
    <t xml:space="preserve">RPY-0012761</t>
  </si>
  <si>
    <t xml:space="preserve">RPY-0012762</t>
  </si>
  <si>
    <t xml:space="preserve">RPY-0012763</t>
  </si>
  <si>
    <t xml:space="preserve">RPY-0012764</t>
  </si>
  <si>
    <t xml:space="preserve">RPY-0012765</t>
  </si>
  <si>
    <t xml:space="preserve">RPY-0012766</t>
  </si>
  <si>
    <t xml:space="preserve">RPY-0012767</t>
  </si>
  <si>
    <t xml:space="preserve">RPY-0012768</t>
  </si>
  <si>
    <t xml:space="preserve">RPY-0012769</t>
  </si>
  <si>
    <t xml:space="preserve">RPY-0012770</t>
  </si>
  <si>
    <t xml:space="preserve">RPY-0012771</t>
  </si>
  <si>
    <t xml:space="preserve">RPY-0012772</t>
  </si>
  <si>
    <t xml:space="preserve">RPY-0012773</t>
  </si>
  <si>
    <t xml:space="preserve">RPY-0012774</t>
  </si>
  <si>
    <t xml:space="preserve">RPY-0012775</t>
  </si>
  <si>
    <t xml:space="preserve">RPY-0012776</t>
  </si>
  <si>
    <t xml:space="preserve">RPY-0012777</t>
  </si>
  <si>
    <t xml:space="preserve">RPY-0012778</t>
  </si>
  <si>
    <t xml:space="preserve">RPY-0012779</t>
  </si>
  <si>
    <t xml:space="preserve">RPY-0012780</t>
  </si>
  <si>
    <t xml:space="preserve">RPY-0012781</t>
  </si>
  <si>
    <t xml:space="preserve">RPY-0012782</t>
  </si>
  <si>
    <t xml:space="preserve">RPY-0012783</t>
  </si>
  <si>
    <t xml:space="preserve">RPY-0012784</t>
  </si>
  <si>
    <t xml:space="preserve">RPY-0012785</t>
  </si>
  <si>
    <t xml:space="preserve">RPY-0012786</t>
  </si>
  <si>
    <t xml:space="preserve">RPY-0012787</t>
  </si>
  <si>
    <t xml:space="preserve">RPY-0012788</t>
  </si>
  <si>
    <t xml:space="preserve">RPY-0012789</t>
  </si>
  <si>
    <t xml:space="preserve">RPY-0012790</t>
  </si>
  <si>
    <t xml:space="preserve">RPY-0012791</t>
  </si>
  <si>
    <t xml:space="preserve">RPY-0012792</t>
  </si>
  <si>
    <t xml:space="preserve">RPY-0012793</t>
  </si>
  <si>
    <t xml:space="preserve">RPY-0012794</t>
  </si>
  <si>
    <t xml:space="preserve">RPY-0012795</t>
  </si>
  <si>
    <t xml:space="preserve">RPY-0012796</t>
  </si>
  <si>
    <t xml:space="preserve">RPY-0012797</t>
  </si>
  <si>
    <t xml:space="preserve">RPY-0012798</t>
  </si>
  <si>
    <t xml:space="preserve">RPY-0012799</t>
  </si>
  <si>
    <t xml:space="preserve">RPY-0012800</t>
  </si>
  <si>
    <t xml:space="preserve">RPY-0012801</t>
  </si>
  <si>
    <t xml:space="preserve">RPY-0012802</t>
  </si>
  <si>
    <t xml:space="preserve">RPY-0012803</t>
  </si>
  <si>
    <t xml:space="preserve">RPY-0012804</t>
  </si>
  <si>
    <t xml:space="preserve">RPY-0012805</t>
  </si>
  <si>
    <t xml:space="preserve">RPY-0012806</t>
  </si>
  <si>
    <t xml:space="preserve">RPY-0012807</t>
  </si>
  <si>
    <t xml:space="preserve">RPY-0012808</t>
  </si>
  <si>
    <t xml:space="preserve">RPY-0012809</t>
  </si>
  <si>
    <t xml:space="preserve">RPY-0012810</t>
  </si>
  <si>
    <t xml:space="preserve">RPY-0012811</t>
  </si>
  <si>
    <t xml:space="preserve">RPY-0012812</t>
  </si>
  <si>
    <t xml:space="preserve">RPY-0012813</t>
  </si>
  <si>
    <t xml:space="preserve">RPY-0012814</t>
  </si>
  <si>
    <t xml:space="preserve">RPY-0012815</t>
  </si>
  <si>
    <t xml:space="preserve">RPY-0012816</t>
  </si>
  <si>
    <t xml:space="preserve">RPY-0012817</t>
  </si>
  <si>
    <t xml:space="preserve">RPY-0012818</t>
  </si>
  <si>
    <t xml:space="preserve">RPY-0012819</t>
  </si>
  <si>
    <t xml:space="preserve">RPY-0012820</t>
  </si>
  <si>
    <t xml:space="preserve">RPY-0012821</t>
  </si>
  <si>
    <t xml:space="preserve">RPY-0012822</t>
  </si>
  <si>
    <t xml:space="preserve">RPY-0012823</t>
  </si>
  <si>
    <t xml:space="preserve">RPY-0012824</t>
  </si>
  <si>
    <t xml:space="preserve">RPY-0012825</t>
  </si>
  <si>
    <t xml:space="preserve">RPY-0012826</t>
  </si>
  <si>
    <t xml:space="preserve">RPY-0012827</t>
  </si>
  <si>
    <t xml:space="preserve">RPY-0012828</t>
  </si>
  <si>
    <t xml:space="preserve">RPY-0012829</t>
  </si>
  <si>
    <t xml:space="preserve">RPY-0012830</t>
  </si>
  <si>
    <t xml:space="preserve">RPY-0012831</t>
  </si>
  <si>
    <t xml:space="preserve">RPY-0012832</t>
  </si>
  <si>
    <t xml:space="preserve">RPY-0012833</t>
  </si>
  <si>
    <t xml:space="preserve">RPY-0012834</t>
  </si>
  <si>
    <t xml:space="preserve">RPY-0012835</t>
  </si>
  <si>
    <t xml:space="preserve">RPY-0012836</t>
  </si>
  <si>
    <t xml:space="preserve">RPY-0012837</t>
  </si>
  <si>
    <t xml:space="preserve">RPY-0012838</t>
  </si>
  <si>
    <t xml:space="preserve">RPY-0012839</t>
  </si>
  <si>
    <t xml:space="preserve">RPY-0012840</t>
  </si>
  <si>
    <t xml:space="preserve">RPY-0012841</t>
  </si>
  <si>
    <t xml:space="preserve">RPY-0012842</t>
  </si>
  <si>
    <t xml:space="preserve">RPY-0012843</t>
  </si>
  <si>
    <t xml:space="preserve">RPY-0012844</t>
  </si>
  <si>
    <t xml:space="preserve">RPY-0012845</t>
  </si>
  <si>
    <t xml:space="preserve">RPY-0012846</t>
  </si>
  <si>
    <t xml:space="preserve">RPY-0012847</t>
  </si>
  <si>
    <t xml:space="preserve">RPY-0012848</t>
  </si>
  <si>
    <t xml:space="preserve">RPY-0012849</t>
  </si>
  <si>
    <t xml:space="preserve">RPY-0012850</t>
  </si>
  <si>
    <t xml:space="preserve">RPY-0012851</t>
  </si>
  <si>
    <t xml:space="preserve">RPY-0012852</t>
  </si>
  <si>
    <t xml:space="preserve">RPY-0012853</t>
  </si>
  <si>
    <t xml:space="preserve">RPY-0012854</t>
  </si>
  <si>
    <t xml:space="preserve">RPY-0012855</t>
  </si>
  <si>
    <t xml:space="preserve">RPY-0012856</t>
  </si>
  <si>
    <t xml:space="preserve">RPY-0012857</t>
  </si>
  <si>
    <t xml:space="preserve">RPY-0012858</t>
  </si>
  <si>
    <t xml:space="preserve">RPY-0012859</t>
  </si>
  <si>
    <t xml:space="preserve">RPY-0012860</t>
  </si>
  <si>
    <t xml:space="preserve">RPY-0012861</t>
  </si>
  <si>
    <t xml:space="preserve">RPY-0012862</t>
  </si>
  <si>
    <t xml:space="preserve">RPY-0012863</t>
  </si>
  <si>
    <t xml:space="preserve">RPY-0012864</t>
  </si>
  <si>
    <t xml:space="preserve">RPY-0012865</t>
  </si>
  <si>
    <t xml:space="preserve">RPY-0012866</t>
  </si>
  <si>
    <t xml:space="preserve">RPY-0012867</t>
  </si>
  <si>
    <t xml:space="preserve">RPY-0012868</t>
  </si>
  <si>
    <t xml:space="preserve">RPY-0012869</t>
  </si>
  <si>
    <t xml:space="preserve">RPY-0012870</t>
  </si>
  <si>
    <t xml:space="preserve">RPY-0012871</t>
  </si>
  <si>
    <t xml:space="preserve">RPY-0012872</t>
  </si>
  <si>
    <t xml:space="preserve">RPY-0012873</t>
  </si>
  <si>
    <t xml:space="preserve">RPY-0012874</t>
  </si>
  <si>
    <t xml:space="preserve">RPY-0012875</t>
  </si>
  <si>
    <t xml:space="preserve">RPY-0012876</t>
  </si>
  <si>
    <t xml:space="preserve">RPY-0012877</t>
  </si>
  <si>
    <t xml:space="preserve">RPY-0012878</t>
  </si>
  <si>
    <t xml:space="preserve">RPY-0012879</t>
  </si>
  <si>
    <t xml:space="preserve">RPY-0012880</t>
  </si>
  <si>
    <t xml:space="preserve">RPY-0012881</t>
  </si>
  <si>
    <t xml:space="preserve">RPY-0012882</t>
  </si>
  <si>
    <t xml:space="preserve">RPY-0012883</t>
  </si>
  <si>
    <t xml:space="preserve">RPY-0012884</t>
  </si>
  <si>
    <t xml:space="preserve">RPY-0012885</t>
  </si>
  <si>
    <t xml:space="preserve">RPY-0012886</t>
  </si>
  <si>
    <t xml:space="preserve">RPY-0012887</t>
  </si>
  <si>
    <t xml:space="preserve">RPY-0012888</t>
  </si>
  <si>
    <t xml:space="preserve">RPY-0012889</t>
  </si>
  <si>
    <t xml:space="preserve">RPY-0012890</t>
  </si>
  <si>
    <t xml:space="preserve">RPY-0012891</t>
  </si>
  <si>
    <t xml:space="preserve">RPY-0012892</t>
  </si>
  <si>
    <t xml:space="preserve">RPY-0012893</t>
  </si>
  <si>
    <t xml:space="preserve">RPY-0012894</t>
  </si>
  <si>
    <t xml:space="preserve">RPY-0012895</t>
  </si>
  <si>
    <t xml:space="preserve">RPY-0012896</t>
  </si>
  <si>
    <t xml:space="preserve">RPY-0012897</t>
  </si>
  <si>
    <t xml:space="preserve">RPY-0012898</t>
  </si>
  <si>
    <t xml:space="preserve">RPY-0012899</t>
  </si>
  <si>
    <t xml:space="preserve">RPY-0012900</t>
  </si>
  <si>
    <t xml:space="preserve">RPY-0012901</t>
  </si>
  <si>
    <t xml:space="preserve">RPY-0012902</t>
  </si>
  <si>
    <t xml:space="preserve">RPY-0012903</t>
  </si>
  <si>
    <t xml:space="preserve">RPY-0012904</t>
  </si>
  <si>
    <t xml:space="preserve">RPY-0012905</t>
  </si>
  <si>
    <t xml:space="preserve">RPY-0012906</t>
  </si>
  <si>
    <t xml:space="preserve">RPY-0012907</t>
  </si>
  <si>
    <t xml:space="preserve">RPY-0012908</t>
  </si>
  <si>
    <t xml:space="preserve">RPY-0012909</t>
  </si>
  <si>
    <t xml:space="preserve">RPY-0012910</t>
  </si>
  <si>
    <t xml:space="preserve">RPY-0012911</t>
  </si>
  <si>
    <t xml:space="preserve">RPY-0012912</t>
  </si>
  <si>
    <t xml:space="preserve">RPY-0012913</t>
  </si>
  <si>
    <t xml:space="preserve">RPY-0012914</t>
  </si>
  <si>
    <t xml:space="preserve">RPY-0012915</t>
  </si>
  <si>
    <t xml:space="preserve">RPY-0012916</t>
  </si>
  <si>
    <t xml:space="preserve">RPY-0012917</t>
  </si>
  <si>
    <t xml:space="preserve">RPY-0012918</t>
  </si>
  <si>
    <t xml:space="preserve">RPY-0012919</t>
  </si>
  <si>
    <t xml:space="preserve">RPY-0012920</t>
  </si>
  <si>
    <t xml:space="preserve">RPY-0012921</t>
  </si>
  <si>
    <t xml:space="preserve">RPY-0012922</t>
  </si>
  <si>
    <t xml:space="preserve">RPY-0012923</t>
  </si>
  <si>
    <t xml:space="preserve">RPY-0012924</t>
  </si>
  <si>
    <t xml:space="preserve">RPY-0012925</t>
  </si>
  <si>
    <t xml:space="preserve">RPY-0012926</t>
  </si>
  <si>
    <t xml:space="preserve">RPY-0012927</t>
  </si>
  <si>
    <t xml:space="preserve">RPY-0012928</t>
  </si>
  <si>
    <t xml:space="preserve">RPY-0012929</t>
  </si>
  <si>
    <t xml:space="preserve">RPY-0012930</t>
  </si>
  <si>
    <t xml:space="preserve">RPY-0012931</t>
  </si>
  <si>
    <t xml:space="preserve">RPY-0012932</t>
  </si>
  <si>
    <t xml:space="preserve">RPY-0012933</t>
  </si>
  <si>
    <t xml:space="preserve">RPY-0012934</t>
  </si>
  <si>
    <t xml:space="preserve">RPY-0012935</t>
  </si>
  <si>
    <t xml:space="preserve">RPY-0012936</t>
  </si>
  <si>
    <t xml:space="preserve">RPY-0012937</t>
  </si>
  <si>
    <t xml:space="preserve">RPY-0012938</t>
  </si>
  <si>
    <t xml:space="preserve">RPY-0012939</t>
  </si>
  <si>
    <t xml:space="preserve">RPY-0012940</t>
  </si>
  <si>
    <t xml:space="preserve">RPY-0012941</t>
  </si>
  <si>
    <t xml:space="preserve">RPY-0012942</t>
  </si>
  <si>
    <t xml:space="preserve">RPY-0012943</t>
  </si>
  <si>
    <t xml:space="preserve">RPY-0012944</t>
  </si>
  <si>
    <t xml:space="preserve">RPY-0012945</t>
  </si>
  <si>
    <t xml:space="preserve">RPY-0012946</t>
  </si>
  <si>
    <t xml:space="preserve">RPY-0012947</t>
  </si>
  <si>
    <t xml:space="preserve">RPY-0012948</t>
  </si>
  <si>
    <t xml:space="preserve">RPY-0012949</t>
  </si>
  <si>
    <t xml:space="preserve">RPY-0012950</t>
  </si>
  <si>
    <t xml:space="preserve">RPY-0012951</t>
  </si>
  <si>
    <t xml:space="preserve">RPY-0012952</t>
  </si>
  <si>
    <t xml:space="preserve">RPY-0012953</t>
  </si>
  <si>
    <t xml:space="preserve">RPY-0012954</t>
  </si>
  <si>
    <t xml:space="preserve">RPY-0012955</t>
  </si>
  <si>
    <t xml:space="preserve">RPY-0012956</t>
  </si>
  <si>
    <t xml:space="preserve">RPY-0012957</t>
  </si>
  <si>
    <t xml:space="preserve">RPY-0012958</t>
  </si>
  <si>
    <t xml:space="preserve">RPY-0012959</t>
  </si>
  <si>
    <t xml:space="preserve">RPY-0012960</t>
  </si>
  <si>
    <t xml:space="preserve">RPY-0012961</t>
  </si>
  <si>
    <t xml:space="preserve">RPY-0012962</t>
  </si>
  <si>
    <t xml:space="preserve">RPY-0012963</t>
  </si>
  <si>
    <t xml:space="preserve">RPY-0012964</t>
  </si>
  <si>
    <t xml:space="preserve">RPY-0012965</t>
  </si>
  <si>
    <t xml:space="preserve">RPY-0012966</t>
  </si>
  <si>
    <t xml:space="preserve">RPY-0012967</t>
  </si>
  <si>
    <t xml:space="preserve">RPY-0012968</t>
  </si>
  <si>
    <t xml:space="preserve">RPY-0012969</t>
  </si>
  <si>
    <t xml:space="preserve">RPY-0012970</t>
  </si>
  <si>
    <t xml:space="preserve">RPY-0012971</t>
  </si>
  <si>
    <t xml:space="preserve">RPY-0012972</t>
  </si>
  <si>
    <t xml:space="preserve">RPY-0012973</t>
  </si>
  <si>
    <t xml:space="preserve">RPY-0012974</t>
  </si>
  <si>
    <t xml:space="preserve">RPY-0012975</t>
  </si>
  <si>
    <t xml:space="preserve">RPY-0012976</t>
  </si>
  <si>
    <t xml:space="preserve">RPY-0012977</t>
  </si>
  <si>
    <t xml:space="preserve">RPY-0012978</t>
  </si>
  <si>
    <t xml:space="preserve">RPY-0012979</t>
  </si>
  <si>
    <t xml:space="preserve">RPY-0012980</t>
  </si>
  <si>
    <t xml:space="preserve">RPY-0012981</t>
  </si>
  <si>
    <t xml:space="preserve">RPY-0012982</t>
  </si>
  <si>
    <t xml:space="preserve">RPY-0012983</t>
  </si>
  <si>
    <t xml:space="preserve">RPY-0012984</t>
  </si>
  <si>
    <t xml:space="preserve">RPY-0012985</t>
  </si>
  <si>
    <t xml:space="preserve">RPY-0012986</t>
  </si>
  <si>
    <t xml:space="preserve">RPY-0012987</t>
  </si>
  <si>
    <t xml:space="preserve">RPY-0012988</t>
  </si>
  <si>
    <t xml:space="preserve">RPY-0012989</t>
  </si>
  <si>
    <t xml:space="preserve">RPY-0012990</t>
  </si>
  <si>
    <t xml:space="preserve">RPY-0012991</t>
  </si>
  <si>
    <t xml:space="preserve">RPY-0012992</t>
  </si>
  <si>
    <t xml:space="preserve">RPY-0012993</t>
  </si>
  <si>
    <t xml:space="preserve">RPY-0012994</t>
  </si>
  <si>
    <t xml:space="preserve">revenue_id</t>
  </si>
  <si>
    <t xml:space="preserve">recognition_period</t>
  </si>
  <si>
    <t xml:space="preserve">revenue_recognized_usd</t>
  </si>
  <si>
    <t xml:space="preserve">cumulative_revenue_recognized_usd</t>
  </si>
  <si>
    <t xml:space="preserve">recognition_method</t>
  </si>
  <si>
    <t xml:space="preserve">REV-0000001</t>
  </si>
  <si>
    <t xml:space="preserve">straight_line_fee_recognition</t>
  </si>
  <si>
    <t xml:space="preserve">REV-0000002</t>
  </si>
  <si>
    <t xml:space="preserve">REV-0000003</t>
  </si>
  <si>
    <t xml:space="preserve">REV-0000004</t>
  </si>
  <si>
    <t xml:space="preserve">REV-0000005</t>
  </si>
  <si>
    <t xml:space="preserve">REV-0000006</t>
  </si>
  <si>
    <t xml:space="preserve">REV-0000007</t>
  </si>
  <si>
    <t xml:space="preserve">REV-0000008</t>
  </si>
  <si>
    <t xml:space="preserve">REV-0000009</t>
  </si>
  <si>
    <t xml:space="preserve">REV-0000010</t>
  </si>
  <si>
    <t xml:space="preserve">REV-0000011</t>
  </si>
  <si>
    <t xml:space="preserve">REV-0000012</t>
  </si>
  <si>
    <t xml:space="preserve">REV-0000013</t>
  </si>
  <si>
    <t xml:space="preserve">REV-0000014</t>
  </si>
  <si>
    <t xml:space="preserve">REV-0000015</t>
  </si>
  <si>
    <t xml:space="preserve">REV-0000016</t>
  </si>
  <si>
    <t xml:space="preserve">REV-0000017</t>
  </si>
  <si>
    <t xml:space="preserve">REV-0000018</t>
  </si>
  <si>
    <t xml:space="preserve">REV-0000019</t>
  </si>
  <si>
    <t xml:space="preserve">REV-0000020</t>
  </si>
  <si>
    <t xml:space="preserve">REV-0000021</t>
  </si>
  <si>
    <t xml:space="preserve">REV-0000022</t>
  </si>
  <si>
    <t xml:space="preserve">REV-0000023</t>
  </si>
  <si>
    <t xml:space="preserve">REV-0000024</t>
  </si>
  <si>
    <t xml:space="preserve">REV-0000025</t>
  </si>
  <si>
    <t xml:space="preserve">REV-0000026</t>
  </si>
  <si>
    <t xml:space="preserve">REV-0000027</t>
  </si>
  <si>
    <t xml:space="preserve">REV-0000028</t>
  </si>
  <si>
    <t xml:space="preserve">REV-0000029</t>
  </si>
  <si>
    <t xml:space="preserve">REV-0000030</t>
  </si>
  <si>
    <t xml:space="preserve">REV-0000031</t>
  </si>
  <si>
    <t xml:space="preserve">REV-0000032</t>
  </si>
  <si>
    <t xml:space="preserve">REV-0000033</t>
  </si>
  <si>
    <t xml:space="preserve">REV-0000034</t>
  </si>
  <si>
    <t xml:space="preserve">REV-0000035</t>
  </si>
  <si>
    <t xml:space="preserve">REV-0000036</t>
  </si>
  <si>
    <t xml:space="preserve">REV-0000037</t>
  </si>
  <si>
    <t xml:space="preserve">REV-0000038</t>
  </si>
  <si>
    <t xml:space="preserve">REV-0000039</t>
  </si>
  <si>
    <t xml:space="preserve">REV-0000040</t>
  </si>
  <si>
    <t xml:space="preserve">REV-0000041</t>
  </si>
  <si>
    <t xml:space="preserve">REV-0000042</t>
  </si>
  <si>
    <t xml:space="preserve">REV-0000043</t>
  </si>
  <si>
    <t xml:space="preserve">REV-0000044</t>
  </si>
  <si>
    <t xml:space="preserve">REV-0000045</t>
  </si>
  <si>
    <t xml:space="preserve">REV-0000046</t>
  </si>
  <si>
    <t xml:space="preserve">REV-0000047</t>
  </si>
  <si>
    <t xml:space="preserve">REV-0000048</t>
  </si>
  <si>
    <t xml:space="preserve">REV-0000049</t>
  </si>
  <si>
    <t xml:space="preserve">REV-0000050</t>
  </si>
  <si>
    <t xml:space="preserve">REV-0000051</t>
  </si>
  <si>
    <t xml:space="preserve">REV-0000052</t>
  </si>
  <si>
    <t xml:space="preserve">REV-0000053</t>
  </si>
  <si>
    <t xml:space="preserve">REV-0000054</t>
  </si>
  <si>
    <t xml:space="preserve">REV-0000055</t>
  </si>
  <si>
    <t xml:space="preserve">REV-0000056</t>
  </si>
  <si>
    <t xml:space="preserve">REV-0000057</t>
  </si>
  <si>
    <t xml:space="preserve">REV-0000058</t>
  </si>
  <si>
    <t xml:space="preserve">REV-0000059</t>
  </si>
  <si>
    <t xml:space="preserve">REV-0000060</t>
  </si>
  <si>
    <t xml:space="preserve">REV-0000061</t>
  </si>
  <si>
    <t xml:space="preserve">REV-0000062</t>
  </si>
  <si>
    <t xml:space="preserve">REV-0000063</t>
  </si>
  <si>
    <t xml:space="preserve">REV-0000064</t>
  </si>
  <si>
    <t xml:space="preserve">REV-0000065</t>
  </si>
  <si>
    <t xml:space="preserve">REV-0000066</t>
  </si>
  <si>
    <t xml:space="preserve">REV-0000067</t>
  </si>
  <si>
    <t xml:space="preserve">REV-0000068</t>
  </si>
  <si>
    <t xml:space="preserve">REV-0000069</t>
  </si>
  <si>
    <t xml:space="preserve">REV-0000070</t>
  </si>
  <si>
    <t xml:space="preserve">REV-0000071</t>
  </si>
  <si>
    <t xml:space="preserve">REV-0000072</t>
  </si>
  <si>
    <t xml:space="preserve">REV-0000073</t>
  </si>
  <si>
    <t xml:space="preserve">REV-0000074</t>
  </si>
  <si>
    <t xml:space="preserve">REV-0000075</t>
  </si>
  <si>
    <t xml:space="preserve">REV-0000076</t>
  </si>
  <si>
    <t xml:space="preserve">REV-0000077</t>
  </si>
  <si>
    <t xml:space="preserve">REV-0000078</t>
  </si>
  <si>
    <t xml:space="preserve">REV-0000079</t>
  </si>
  <si>
    <t xml:space="preserve">REV-0000080</t>
  </si>
  <si>
    <t xml:space="preserve">REV-0000081</t>
  </si>
  <si>
    <t xml:space="preserve">REV-0000082</t>
  </si>
  <si>
    <t xml:space="preserve">REV-0000083</t>
  </si>
  <si>
    <t xml:space="preserve">REV-0000084</t>
  </si>
  <si>
    <t xml:space="preserve">REV-0000085</t>
  </si>
  <si>
    <t xml:space="preserve">REV-0000086</t>
  </si>
  <si>
    <t xml:space="preserve">REV-0000087</t>
  </si>
  <si>
    <t xml:space="preserve">REV-0000088</t>
  </si>
  <si>
    <t xml:space="preserve">REV-0000089</t>
  </si>
  <si>
    <t xml:space="preserve">REV-0000090</t>
  </si>
  <si>
    <t xml:space="preserve">REV-0000091</t>
  </si>
  <si>
    <t xml:space="preserve">REV-0000092</t>
  </si>
  <si>
    <t xml:space="preserve">REV-0000093</t>
  </si>
  <si>
    <t xml:space="preserve">REV-0000094</t>
  </si>
  <si>
    <t xml:space="preserve">REV-0000095</t>
  </si>
  <si>
    <t xml:space="preserve">REV-0000096</t>
  </si>
  <si>
    <t xml:space="preserve">REV-0000097</t>
  </si>
  <si>
    <t xml:space="preserve">REV-0000098</t>
  </si>
  <si>
    <t xml:space="preserve">REV-0000099</t>
  </si>
  <si>
    <t xml:space="preserve">REV-0000100</t>
  </si>
  <si>
    <t xml:space="preserve">REV-0000101</t>
  </si>
  <si>
    <t xml:space="preserve">REV-0000102</t>
  </si>
  <si>
    <t xml:space="preserve">REV-0000103</t>
  </si>
  <si>
    <t xml:space="preserve">REV-0000104</t>
  </si>
  <si>
    <t xml:space="preserve">REV-0000105</t>
  </si>
  <si>
    <t xml:space="preserve">REV-0000106</t>
  </si>
  <si>
    <t xml:space="preserve">REV-0000107</t>
  </si>
  <si>
    <t xml:space="preserve">REV-0000108</t>
  </si>
  <si>
    <t xml:space="preserve">REV-0000109</t>
  </si>
  <si>
    <t xml:space="preserve">REV-0000110</t>
  </si>
  <si>
    <t xml:space="preserve">REV-0000111</t>
  </si>
  <si>
    <t xml:space="preserve">REV-0000112</t>
  </si>
  <si>
    <t xml:space="preserve">REV-0000113</t>
  </si>
  <si>
    <t xml:space="preserve">REV-0000114</t>
  </si>
  <si>
    <t xml:space="preserve">REV-0000115</t>
  </si>
  <si>
    <t xml:space="preserve">REV-0000116</t>
  </si>
  <si>
    <t xml:space="preserve">REV-0000117</t>
  </si>
  <si>
    <t xml:space="preserve">REV-0000118</t>
  </si>
  <si>
    <t xml:space="preserve">REV-0000119</t>
  </si>
  <si>
    <t xml:space="preserve">REV-0000120</t>
  </si>
  <si>
    <t xml:space="preserve">REV-0000121</t>
  </si>
  <si>
    <t xml:space="preserve">REV-0000122</t>
  </si>
  <si>
    <t xml:space="preserve">REV-0000123</t>
  </si>
  <si>
    <t xml:space="preserve">REV-0000124</t>
  </si>
  <si>
    <t xml:space="preserve">REV-0000125</t>
  </si>
  <si>
    <t xml:space="preserve">REV-0000126</t>
  </si>
  <si>
    <t xml:space="preserve">REV-0000127</t>
  </si>
  <si>
    <t xml:space="preserve">REV-0000128</t>
  </si>
  <si>
    <t xml:space="preserve">REV-0000129</t>
  </si>
  <si>
    <t xml:space="preserve">REV-0000130</t>
  </si>
  <si>
    <t xml:space="preserve">REV-0000131</t>
  </si>
  <si>
    <t xml:space="preserve">REV-0000132</t>
  </si>
  <si>
    <t xml:space="preserve">REV-0000133</t>
  </si>
  <si>
    <t xml:space="preserve">REV-0000134</t>
  </si>
  <si>
    <t xml:space="preserve">REV-0000135</t>
  </si>
  <si>
    <t xml:space="preserve">REV-0000136</t>
  </si>
  <si>
    <t xml:space="preserve">REV-0000137</t>
  </si>
  <si>
    <t xml:space="preserve">REV-0000138</t>
  </si>
  <si>
    <t xml:space="preserve">REV-0000139</t>
  </si>
  <si>
    <t xml:space="preserve">REV-0000140</t>
  </si>
  <si>
    <t xml:space="preserve">REV-0000141</t>
  </si>
  <si>
    <t xml:space="preserve">REV-0000142</t>
  </si>
  <si>
    <t xml:space="preserve">REV-0000143</t>
  </si>
  <si>
    <t xml:space="preserve">REV-0000144</t>
  </si>
  <si>
    <t xml:space="preserve">REV-0000145</t>
  </si>
  <si>
    <t xml:space="preserve">REV-0000146</t>
  </si>
  <si>
    <t xml:space="preserve">REV-0000147</t>
  </si>
  <si>
    <t xml:space="preserve">REV-0000148</t>
  </si>
  <si>
    <t xml:space="preserve">REV-0000149</t>
  </si>
  <si>
    <t xml:space="preserve">REV-0000150</t>
  </si>
  <si>
    <t xml:space="preserve">REV-0000151</t>
  </si>
  <si>
    <t xml:space="preserve">REV-0000152</t>
  </si>
  <si>
    <t xml:space="preserve">REV-0000153</t>
  </si>
  <si>
    <t xml:space="preserve">REV-0000154</t>
  </si>
  <si>
    <t xml:space="preserve">REV-0000155</t>
  </si>
  <si>
    <t xml:space="preserve">REV-0000156</t>
  </si>
  <si>
    <t xml:space="preserve">REV-0000157</t>
  </si>
  <si>
    <t xml:space="preserve">REV-0000158</t>
  </si>
  <si>
    <t xml:space="preserve">REV-0000159</t>
  </si>
  <si>
    <t xml:space="preserve">REV-0000160</t>
  </si>
  <si>
    <t xml:space="preserve">REV-0000161</t>
  </si>
  <si>
    <t xml:space="preserve">REV-0000162</t>
  </si>
  <si>
    <t xml:space="preserve">REV-0000163</t>
  </si>
  <si>
    <t xml:space="preserve">REV-0000164</t>
  </si>
  <si>
    <t xml:space="preserve">REV-0000165</t>
  </si>
  <si>
    <t xml:space="preserve">REV-0000166</t>
  </si>
  <si>
    <t xml:space="preserve">REV-0000167</t>
  </si>
  <si>
    <t xml:space="preserve">REV-0000168</t>
  </si>
  <si>
    <t xml:space="preserve">REV-0000169</t>
  </si>
  <si>
    <t xml:space="preserve">REV-0000170</t>
  </si>
  <si>
    <t xml:space="preserve">REV-0000171</t>
  </si>
  <si>
    <t xml:space="preserve">REV-0000172</t>
  </si>
  <si>
    <t xml:space="preserve">REV-0000173</t>
  </si>
  <si>
    <t xml:space="preserve">REV-0000174</t>
  </si>
  <si>
    <t xml:space="preserve">REV-0000175</t>
  </si>
  <si>
    <t xml:space="preserve">REV-0000176</t>
  </si>
  <si>
    <t xml:space="preserve">REV-0000177</t>
  </si>
  <si>
    <t xml:space="preserve">REV-0000178</t>
  </si>
  <si>
    <t xml:space="preserve">REV-0000179</t>
  </si>
  <si>
    <t xml:space="preserve">REV-0000180</t>
  </si>
  <si>
    <t xml:space="preserve">REV-0000181</t>
  </si>
  <si>
    <t xml:space="preserve">REV-0000182</t>
  </si>
  <si>
    <t xml:space="preserve">REV-0000183</t>
  </si>
  <si>
    <t xml:space="preserve">REV-0000184</t>
  </si>
  <si>
    <t xml:space="preserve">REV-0000185</t>
  </si>
  <si>
    <t xml:space="preserve">REV-0000186</t>
  </si>
  <si>
    <t xml:space="preserve">REV-0000187</t>
  </si>
  <si>
    <t xml:space="preserve">REV-0000188</t>
  </si>
  <si>
    <t xml:space="preserve">REV-0000189</t>
  </si>
  <si>
    <t xml:space="preserve">REV-0000190</t>
  </si>
  <si>
    <t xml:space="preserve">REV-0000191</t>
  </si>
  <si>
    <t xml:space="preserve">REV-0000192</t>
  </si>
  <si>
    <t xml:space="preserve">REV-0000193</t>
  </si>
  <si>
    <t xml:space="preserve">REV-0000194</t>
  </si>
  <si>
    <t xml:space="preserve">REV-0000195</t>
  </si>
  <si>
    <t xml:space="preserve">REV-0000196</t>
  </si>
  <si>
    <t xml:space="preserve">REV-0000197</t>
  </si>
  <si>
    <t xml:space="preserve">REV-0000198</t>
  </si>
  <si>
    <t xml:space="preserve">REV-0000199</t>
  </si>
  <si>
    <t xml:space="preserve">REV-0000200</t>
  </si>
  <si>
    <t xml:space="preserve">REV-0000201</t>
  </si>
  <si>
    <t xml:space="preserve">REV-0000202</t>
  </si>
  <si>
    <t xml:space="preserve">REV-0000203</t>
  </si>
  <si>
    <t xml:space="preserve">REV-0000204</t>
  </si>
  <si>
    <t xml:space="preserve">REV-0000205</t>
  </si>
  <si>
    <t xml:space="preserve">REV-0000206</t>
  </si>
  <si>
    <t xml:space="preserve">REV-0000207</t>
  </si>
  <si>
    <t xml:space="preserve">REV-0000208</t>
  </si>
  <si>
    <t xml:space="preserve">REV-0000209</t>
  </si>
  <si>
    <t xml:space="preserve">REV-0000210</t>
  </si>
  <si>
    <t xml:space="preserve">REV-0000211</t>
  </si>
  <si>
    <t xml:space="preserve">REV-0000212</t>
  </si>
  <si>
    <t xml:space="preserve">REV-0000213</t>
  </si>
  <si>
    <t xml:space="preserve">REV-0000214</t>
  </si>
  <si>
    <t xml:space="preserve">REV-0000215</t>
  </si>
  <si>
    <t xml:space="preserve">REV-0000216</t>
  </si>
  <si>
    <t xml:space="preserve">REV-0000217</t>
  </si>
  <si>
    <t xml:space="preserve">REV-0000218</t>
  </si>
  <si>
    <t xml:space="preserve">REV-0000219</t>
  </si>
  <si>
    <t xml:space="preserve">REV-0000220</t>
  </si>
  <si>
    <t xml:space="preserve">REV-0000221</t>
  </si>
  <si>
    <t xml:space="preserve">REV-0000222</t>
  </si>
  <si>
    <t xml:space="preserve">REV-0000223</t>
  </si>
  <si>
    <t xml:space="preserve">REV-0000224</t>
  </si>
  <si>
    <t xml:space="preserve">REV-0000225</t>
  </si>
  <si>
    <t xml:space="preserve">REV-0000226</t>
  </si>
  <si>
    <t xml:space="preserve">REV-0000227</t>
  </si>
  <si>
    <t xml:space="preserve">REV-0000228</t>
  </si>
  <si>
    <t xml:space="preserve">REV-0000229</t>
  </si>
  <si>
    <t xml:space="preserve">REV-0000230</t>
  </si>
  <si>
    <t xml:space="preserve">REV-0000231</t>
  </si>
  <si>
    <t xml:space="preserve">REV-0000232</t>
  </si>
  <si>
    <t xml:space="preserve">REV-0000233</t>
  </si>
  <si>
    <t xml:space="preserve">REV-0000234</t>
  </si>
  <si>
    <t xml:space="preserve">REV-0000235</t>
  </si>
  <si>
    <t xml:space="preserve">REV-0000236</t>
  </si>
  <si>
    <t xml:space="preserve">REV-0000237</t>
  </si>
  <si>
    <t xml:space="preserve">REV-0000238</t>
  </si>
  <si>
    <t xml:space="preserve">REV-0000239</t>
  </si>
  <si>
    <t xml:space="preserve">REV-0000240</t>
  </si>
  <si>
    <t xml:space="preserve">REV-0000241</t>
  </si>
  <si>
    <t xml:space="preserve">REV-0000242</t>
  </si>
  <si>
    <t xml:space="preserve">REV-0000243</t>
  </si>
  <si>
    <t xml:space="preserve">REV-0000244</t>
  </si>
  <si>
    <t xml:space="preserve">REV-0000245</t>
  </si>
  <si>
    <t xml:space="preserve">REV-0000246</t>
  </si>
  <si>
    <t xml:space="preserve">REV-0000247</t>
  </si>
  <si>
    <t xml:space="preserve">REV-0000248</t>
  </si>
  <si>
    <t xml:space="preserve">REV-0000249</t>
  </si>
  <si>
    <t xml:space="preserve">REV-0000250</t>
  </si>
  <si>
    <t xml:space="preserve">REV-0000251</t>
  </si>
  <si>
    <t xml:space="preserve">REV-0000252</t>
  </si>
  <si>
    <t xml:space="preserve">REV-0000253</t>
  </si>
  <si>
    <t xml:space="preserve">REV-0000254</t>
  </si>
  <si>
    <t xml:space="preserve">REV-0000255</t>
  </si>
  <si>
    <t xml:space="preserve">REV-0000256</t>
  </si>
  <si>
    <t xml:space="preserve">REV-0000257</t>
  </si>
  <si>
    <t xml:space="preserve">REV-0000258</t>
  </si>
  <si>
    <t xml:space="preserve">REV-0000259</t>
  </si>
  <si>
    <t xml:space="preserve">REV-0000260</t>
  </si>
  <si>
    <t xml:space="preserve">REV-0000261</t>
  </si>
  <si>
    <t xml:space="preserve">REV-0000262</t>
  </si>
  <si>
    <t xml:space="preserve">REV-0000263</t>
  </si>
  <si>
    <t xml:space="preserve">REV-0000264</t>
  </si>
  <si>
    <t xml:space="preserve">REV-0000265</t>
  </si>
  <si>
    <t xml:space="preserve">REV-0000266</t>
  </si>
  <si>
    <t xml:space="preserve">REV-0000267</t>
  </si>
  <si>
    <t xml:space="preserve">REV-0000268</t>
  </si>
  <si>
    <t xml:space="preserve">REV-0000269</t>
  </si>
  <si>
    <t xml:space="preserve">REV-0000270</t>
  </si>
  <si>
    <t xml:space="preserve">REV-0000271</t>
  </si>
  <si>
    <t xml:space="preserve">REV-0000272</t>
  </si>
  <si>
    <t xml:space="preserve">REV-0000273</t>
  </si>
  <si>
    <t xml:space="preserve">REV-0000274</t>
  </si>
  <si>
    <t xml:space="preserve">REV-0000275</t>
  </si>
  <si>
    <t xml:space="preserve">REV-0000276</t>
  </si>
  <si>
    <t xml:space="preserve">REV-0000277</t>
  </si>
  <si>
    <t xml:space="preserve">REV-0000278</t>
  </si>
  <si>
    <t xml:space="preserve">REV-0000279</t>
  </si>
  <si>
    <t xml:space="preserve">REV-0000280</t>
  </si>
  <si>
    <t xml:space="preserve">REV-0000281</t>
  </si>
  <si>
    <t xml:space="preserve">REV-0000282</t>
  </si>
  <si>
    <t xml:space="preserve">REV-0000283</t>
  </si>
  <si>
    <t xml:space="preserve">REV-0000284</t>
  </si>
  <si>
    <t xml:space="preserve">REV-0000285</t>
  </si>
  <si>
    <t xml:space="preserve">REV-0000286</t>
  </si>
  <si>
    <t xml:space="preserve">REV-0000287</t>
  </si>
  <si>
    <t xml:space="preserve">REV-0000288</t>
  </si>
  <si>
    <t xml:space="preserve">REV-0000289</t>
  </si>
  <si>
    <t xml:space="preserve">REV-0000290</t>
  </si>
  <si>
    <t xml:space="preserve">REV-0000291</t>
  </si>
  <si>
    <t xml:space="preserve">REV-0000292</t>
  </si>
  <si>
    <t xml:space="preserve">REV-0000293</t>
  </si>
  <si>
    <t xml:space="preserve">REV-0000294</t>
  </si>
  <si>
    <t xml:space="preserve">REV-0000295</t>
  </si>
  <si>
    <t xml:space="preserve">REV-0000296</t>
  </si>
  <si>
    <t xml:space="preserve">REV-0000297</t>
  </si>
  <si>
    <t xml:space="preserve">REV-0000298</t>
  </si>
  <si>
    <t xml:space="preserve">REV-0000299</t>
  </si>
  <si>
    <t xml:space="preserve">REV-0000300</t>
  </si>
  <si>
    <t xml:space="preserve">REV-0000301</t>
  </si>
  <si>
    <t xml:space="preserve">REV-0000302</t>
  </si>
  <si>
    <t xml:space="preserve">REV-0000303</t>
  </si>
  <si>
    <t xml:space="preserve">REV-0000304</t>
  </si>
  <si>
    <t xml:space="preserve">REV-0000305</t>
  </si>
  <si>
    <t xml:space="preserve">REV-0000306</t>
  </si>
  <si>
    <t xml:space="preserve">REV-0000307</t>
  </si>
  <si>
    <t xml:space="preserve">REV-0000308</t>
  </si>
  <si>
    <t xml:space="preserve">REV-0000309</t>
  </si>
  <si>
    <t xml:space="preserve">REV-0000310</t>
  </si>
  <si>
    <t xml:space="preserve">REV-0000311</t>
  </si>
  <si>
    <t xml:space="preserve">REV-0000312</t>
  </si>
  <si>
    <t xml:space="preserve">REV-0000313</t>
  </si>
  <si>
    <t xml:space="preserve">REV-0000314</t>
  </si>
  <si>
    <t xml:space="preserve">REV-0000315</t>
  </si>
  <si>
    <t xml:space="preserve">REV-0000316</t>
  </si>
  <si>
    <t xml:space="preserve">REV-0000317</t>
  </si>
  <si>
    <t xml:space="preserve">REV-0000318</t>
  </si>
  <si>
    <t xml:space="preserve">REV-0000319</t>
  </si>
  <si>
    <t xml:space="preserve">REV-0000320</t>
  </si>
  <si>
    <t xml:space="preserve">REV-0000321</t>
  </si>
  <si>
    <t xml:space="preserve">REV-0000322</t>
  </si>
  <si>
    <t xml:space="preserve">REV-0000323</t>
  </si>
  <si>
    <t xml:space="preserve">REV-0000324</t>
  </si>
  <si>
    <t xml:space="preserve">REV-0000325</t>
  </si>
  <si>
    <t xml:space="preserve">REV-0000326</t>
  </si>
  <si>
    <t xml:space="preserve">REV-0000327</t>
  </si>
  <si>
    <t xml:space="preserve">REV-0000328</t>
  </si>
  <si>
    <t xml:space="preserve">REV-0000329</t>
  </si>
  <si>
    <t xml:space="preserve">REV-0000330</t>
  </si>
  <si>
    <t xml:space="preserve">REV-0000331</t>
  </si>
  <si>
    <t xml:space="preserve">REV-0000332</t>
  </si>
  <si>
    <t xml:space="preserve">REV-0000333</t>
  </si>
  <si>
    <t xml:space="preserve">REV-0000334</t>
  </si>
  <si>
    <t xml:space="preserve">REV-0000335</t>
  </si>
  <si>
    <t xml:space="preserve">REV-0000336</t>
  </si>
  <si>
    <t xml:space="preserve">REV-0000337</t>
  </si>
  <si>
    <t xml:space="preserve">REV-0000338</t>
  </si>
  <si>
    <t xml:space="preserve">REV-0000339</t>
  </si>
  <si>
    <t xml:space="preserve">REV-0000340</t>
  </si>
  <si>
    <t xml:space="preserve">REV-0000341</t>
  </si>
  <si>
    <t xml:space="preserve">REV-0000342</t>
  </si>
  <si>
    <t xml:space="preserve">REV-0000343</t>
  </si>
  <si>
    <t xml:space="preserve">REV-0000344</t>
  </si>
  <si>
    <t xml:space="preserve">REV-0000345</t>
  </si>
  <si>
    <t xml:space="preserve">REV-0000346</t>
  </si>
  <si>
    <t xml:space="preserve">REV-0000347</t>
  </si>
  <si>
    <t xml:space="preserve">REV-0000348</t>
  </si>
  <si>
    <t xml:space="preserve">REV-0000349</t>
  </si>
  <si>
    <t xml:space="preserve">REV-0000350</t>
  </si>
  <si>
    <t xml:space="preserve">REV-0000351</t>
  </si>
  <si>
    <t xml:space="preserve">REV-0000352</t>
  </si>
  <si>
    <t xml:space="preserve">REV-0000353</t>
  </si>
  <si>
    <t xml:space="preserve">REV-0000354</t>
  </si>
  <si>
    <t xml:space="preserve">REV-0000355</t>
  </si>
  <si>
    <t xml:space="preserve">REV-0000356</t>
  </si>
  <si>
    <t xml:space="preserve">REV-0000357</t>
  </si>
  <si>
    <t xml:space="preserve">REV-0000358</t>
  </si>
  <si>
    <t xml:space="preserve">REV-0000359</t>
  </si>
  <si>
    <t xml:space="preserve">REV-0000360</t>
  </si>
  <si>
    <t xml:space="preserve">REV-0000361</t>
  </si>
  <si>
    <t xml:space="preserve">REV-0000362</t>
  </si>
  <si>
    <t xml:space="preserve">REV-0000363</t>
  </si>
  <si>
    <t xml:space="preserve">REV-0000364</t>
  </si>
  <si>
    <t xml:space="preserve">REV-0000365</t>
  </si>
  <si>
    <t xml:space="preserve">REV-0000366</t>
  </si>
  <si>
    <t xml:space="preserve">REV-0000367</t>
  </si>
  <si>
    <t xml:space="preserve">REV-0000368</t>
  </si>
  <si>
    <t xml:space="preserve">REV-0000369</t>
  </si>
  <si>
    <t xml:space="preserve">REV-0000370</t>
  </si>
  <si>
    <t xml:space="preserve">REV-0000371</t>
  </si>
  <si>
    <t xml:space="preserve">REV-0000372</t>
  </si>
  <si>
    <t xml:space="preserve">REV-0000373</t>
  </si>
  <si>
    <t xml:space="preserve">REV-0000374</t>
  </si>
  <si>
    <t xml:space="preserve">REV-0000375</t>
  </si>
  <si>
    <t xml:space="preserve">REV-0000376</t>
  </si>
  <si>
    <t xml:space="preserve">REV-0000377</t>
  </si>
  <si>
    <t xml:space="preserve">REV-0000378</t>
  </si>
  <si>
    <t xml:space="preserve">REV-0000379</t>
  </si>
  <si>
    <t xml:space="preserve">REV-0000380</t>
  </si>
  <si>
    <t xml:space="preserve">REV-0000381</t>
  </si>
  <si>
    <t xml:space="preserve">REV-0000382</t>
  </si>
  <si>
    <t xml:space="preserve">REV-0000383</t>
  </si>
  <si>
    <t xml:space="preserve">REV-0000384</t>
  </si>
  <si>
    <t xml:space="preserve">REV-0000385</t>
  </si>
  <si>
    <t xml:space="preserve">REV-0000386</t>
  </si>
  <si>
    <t xml:space="preserve">REV-0000387</t>
  </si>
  <si>
    <t xml:space="preserve">REV-0000388</t>
  </si>
  <si>
    <t xml:space="preserve">REV-0000389</t>
  </si>
  <si>
    <t xml:space="preserve">REV-0000390</t>
  </si>
  <si>
    <t xml:space="preserve">REV-0000391</t>
  </si>
  <si>
    <t xml:space="preserve">REV-0000392</t>
  </si>
  <si>
    <t xml:space="preserve">REV-0000393</t>
  </si>
  <si>
    <t xml:space="preserve">REV-0000394</t>
  </si>
  <si>
    <t xml:space="preserve">REV-0000395</t>
  </si>
  <si>
    <t xml:space="preserve">REV-0000396</t>
  </si>
  <si>
    <t xml:space="preserve">REV-0000397</t>
  </si>
  <si>
    <t xml:space="preserve">REV-0000398</t>
  </si>
  <si>
    <t xml:space="preserve">REV-0000399</t>
  </si>
  <si>
    <t xml:space="preserve">REV-0000400</t>
  </si>
  <si>
    <t xml:space="preserve">REV-0000401</t>
  </si>
  <si>
    <t xml:space="preserve">REV-0000402</t>
  </si>
  <si>
    <t xml:space="preserve">REV-0000403</t>
  </si>
  <si>
    <t xml:space="preserve">REV-0000404</t>
  </si>
  <si>
    <t xml:space="preserve">REV-0000405</t>
  </si>
  <si>
    <t xml:space="preserve">REV-0000406</t>
  </si>
  <si>
    <t xml:space="preserve">REV-0000407</t>
  </si>
  <si>
    <t xml:space="preserve">REV-0000408</t>
  </si>
  <si>
    <t xml:space="preserve">REV-0000409</t>
  </si>
  <si>
    <t xml:space="preserve">REV-0000410</t>
  </si>
  <si>
    <t xml:space="preserve">REV-0000411</t>
  </si>
  <si>
    <t xml:space="preserve">REV-0000412</t>
  </si>
  <si>
    <t xml:space="preserve">REV-0000413</t>
  </si>
  <si>
    <t xml:space="preserve">REV-0000414</t>
  </si>
  <si>
    <t xml:space="preserve">REV-0000415</t>
  </si>
  <si>
    <t xml:space="preserve">REV-0000416</t>
  </si>
  <si>
    <t xml:space="preserve">REV-0000417</t>
  </si>
  <si>
    <t xml:space="preserve">REV-0000418</t>
  </si>
  <si>
    <t xml:space="preserve">REV-0000419</t>
  </si>
  <si>
    <t xml:space="preserve">REV-0000420</t>
  </si>
  <si>
    <t xml:space="preserve">REV-0000421</t>
  </si>
  <si>
    <t xml:space="preserve">REV-0000422</t>
  </si>
  <si>
    <t xml:space="preserve">REV-0000423</t>
  </si>
  <si>
    <t xml:space="preserve">REV-0000424</t>
  </si>
  <si>
    <t xml:space="preserve">REV-0000425</t>
  </si>
  <si>
    <t xml:space="preserve">REV-0000426</t>
  </si>
  <si>
    <t xml:space="preserve">REV-0000427</t>
  </si>
  <si>
    <t xml:space="preserve">REV-0000428</t>
  </si>
  <si>
    <t xml:space="preserve">REV-0000429</t>
  </si>
  <si>
    <t xml:space="preserve">REV-0000430</t>
  </si>
  <si>
    <t xml:space="preserve">REV-0000431</t>
  </si>
  <si>
    <t xml:space="preserve">REV-0000432</t>
  </si>
  <si>
    <t xml:space="preserve">REV-0000433</t>
  </si>
  <si>
    <t xml:space="preserve">REV-0000434</t>
  </si>
  <si>
    <t xml:space="preserve">REV-0000435</t>
  </si>
  <si>
    <t xml:space="preserve">REV-0000436</t>
  </si>
  <si>
    <t xml:space="preserve">REV-0000437</t>
  </si>
  <si>
    <t xml:space="preserve">REV-0000438</t>
  </si>
  <si>
    <t xml:space="preserve">REV-0000439</t>
  </si>
  <si>
    <t xml:space="preserve">REV-0000440</t>
  </si>
  <si>
    <t xml:space="preserve">REV-0000441</t>
  </si>
  <si>
    <t xml:space="preserve">REV-0000442</t>
  </si>
  <si>
    <t xml:space="preserve">REV-0000443</t>
  </si>
  <si>
    <t xml:space="preserve">REV-0000444</t>
  </si>
  <si>
    <t xml:space="preserve">REV-0000445</t>
  </si>
  <si>
    <t xml:space="preserve">REV-0000446</t>
  </si>
  <si>
    <t xml:space="preserve">REV-0000447</t>
  </si>
  <si>
    <t xml:space="preserve">REV-0000448</t>
  </si>
  <si>
    <t xml:space="preserve">REV-0000449</t>
  </si>
  <si>
    <t xml:space="preserve">REV-0000450</t>
  </si>
  <si>
    <t xml:space="preserve">REV-0000451</t>
  </si>
  <si>
    <t xml:space="preserve">REV-0000452</t>
  </si>
  <si>
    <t xml:space="preserve">REV-0000453</t>
  </si>
  <si>
    <t xml:space="preserve">REV-0000454</t>
  </si>
  <si>
    <t xml:space="preserve">REV-0000455</t>
  </si>
  <si>
    <t xml:space="preserve">REV-0000456</t>
  </si>
  <si>
    <t xml:space="preserve">REV-0000457</t>
  </si>
  <si>
    <t xml:space="preserve">REV-0000458</t>
  </si>
  <si>
    <t xml:space="preserve">REV-0000459</t>
  </si>
  <si>
    <t xml:space="preserve">REV-0000460</t>
  </si>
  <si>
    <t xml:space="preserve">REV-0000461</t>
  </si>
  <si>
    <t xml:space="preserve">REV-0000462</t>
  </si>
  <si>
    <t xml:space="preserve">REV-0000463</t>
  </si>
  <si>
    <t xml:space="preserve">REV-0000464</t>
  </si>
  <si>
    <t xml:space="preserve">REV-0000465</t>
  </si>
  <si>
    <t xml:space="preserve">REV-0000466</t>
  </si>
  <si>
    <t xml:space="preserve">REV-0000467</t>
  </si>
  <si>
    <t xml:space="preserve">REV-0000468</t>
  </si>
  <si>
    <t xml:space="preserve">REV-0000469</t>
  </si>
  <si>
    <t xml:space="preserve">REV-0000470</t>
  </si>
  <si>
    <t xml:space="preserve">REV-0000471</t>
  </si>
  <si>
    <t xml:space="preserve">REV-0000472</t>
  </si>
  <si>
    <t xml:space="preserve">REV-0000473</t>
  </si>
  <si>
    <t xml:space="preserve">REV-0000474</t>
  </si>
  <si>
    <t xml:space="preserve">REV-0000475</t>
  </si>
  <si>
    <t xml:space="preserve">REV-0000476</t>
  </si>
  <si>
    <t xml:space="preserve">REV-0000477</t>
  </si>
  <si>
    <t xml:space="preserve">REV-0000478</t>
  </si>
  <si>
    <t xml:space="preserve">REV-0000479</t>
  </si>
  <si>
    <t xml:space="preserve">REV-0000480</t>
  </si>
  <si>
    <t xml:space="preserve">REV-0000481</t>
  </si>
  <si>
    <t xml:space="preserve">REV-0000482</t>
  </si>
  <si>
    <t xml:space="preserve">REV-0000483</t>
  </si>
  <si>
    <t xml:space="preserve">REV-0000484</t>
  </si>
  <si>
    <t xml:space="preserve">REV-0000485</t>
  </si>
  <si>
    <t xml:space="preserve">REV-0000486</t>
  </si>
  <si>
    <t xml:space="preserve">REV-0000487</t>
  </si>
  <si>
    <t xml:space="preserve">REV-0000488</t>
  </si>
  <si>
    <t xml:space="preserve">REV-0000489</t>
  </si>
  <si>
    <t xml:space="preserve">REV-0000490</t>
  </si>
  <si>
    <t xml:space="preserve">REV-0000491</t>
  </si>
  <si>
    <t xml:space="preserve">REV-0000492</t>
  </si>
  <si>
    <t xml:space="preserve">REV-0000493</t>
  </si>
  <si>
    <t xml:space="preserve">REV-0000494</t>
  </si>
  <si>
    <t xml:space="preserve">REV-0000495</t>
  </si>
  <si>
    <t xml:space="preserve">REV-0000496</t>
  </si>
  <si>
    <t xml:space="preserve">REV-0000497</t>
  </si>
  <si>
    <t xml:space="preserve">REV-0000498</t>
  </si>
  <si>
    <t xml:space="preserve">REV-0000499</t>
  </si>
  <si>
    <t xml:space="preserve">REV-0000500</t>
  </si>
  <si>
    <t xml:space="preserve">REV-0000501</t>
  </si>
  <si>
    <t xml:space="preserve">REV-0000502</t>
  </si>
  <si>
    <t xml:space="preserve">REV-0000503</t>
  </si>
  <si>
    <t xml:space="preserve">REV-0000504</t>
  </si>
  <si>
    <t xml:space="preserve">REV-0000505</t>
  </si>
  <si>
    <t xml:space="preserve">REV-0000506</t>
  </si>
  <si>
    <t xml:space="preserve">REV-0000507</t>
  </si>
  <si>
    <t xml:space="preserve">REV-0000508</t>
  </si>
  <si>
    <t xml:space="preserve">REV-0000509</t>
  </si>
  <si>
    <t xml:space="preserve">REV-0000510</t>
  </si>
  <si>
    <t xml:space="preserve">REV-0000511</t>
  </si>
  <si>
    <t xml:space="preserve">REV-0000512</t>
  </si>
  <si>
    <t xml:space="preserve">REV-0000513</t>
  </si>
  <si>
    <t xml:space="preserve">REV-0000514</t>
  </si>
  <si>
    <t xml:space="preserve">REV-0000515</t>
  </si>
  <si>
    <t xml:space="preserve">REV-0000516</t>
  </si>
  <si>
    <t xml:space="preserve">REV-0000517</t>
  </si>
  <si>
    <t xml:space="preserve">REV-0000518</t>
  </si>
  <si>
    <t xml:space="preserve">REV-0000519</t>
  </si>
  <si>
    <t xml:space="preserve">REV-0000520</t>
  </si>
  <si>
    <t xml:space="preserve">REV-0000521</t>
  </si>
  <si>
    <t xml:space="preserve">REV-0000522</t>
  </si>
  <si>
    <t xml:space="preserve">REV-0000523</t>
  </si>
  <si>
    <t xml:space="preserve">REV-0000524</t>
  </si>
  <si>
    <t xml:space="preserve">REV-0000525</t>
  </si>
  <si>
    <t xml:space="preserve">REV-0000526</t>
  </si>
  <si>
    <t xml:space="preserve">REV-0000527</t>
  </si>
  <si>
    <t xml:space="preserve">REV-0000528</t>
  </si>
  <si>
    <t xml:space="preserve">REV-0000529</t>
  </si>
  <si>
    <t xml:space="preserve">REV-0000530</t>
  </si>
  <si>
    <t xml:space="preserve">REV-0000531</t>
  </si>
  <si>
    <t xml:space="preserve">REV-0000532</t>
  </si>
  <si>
    <t xml:space="preserve">REV-0000533</t>
  </si>
  <si>
    <t xml:space="preserve">REV-0000534</t>
  </si>
  <si>
    <t xml:space="preserve">REV-0000535</t>
  </si>
  <si>
    <t xml:space="preserve">REV-0000536</t>
  </si>
  <si>
    <t xml:space="preserve">REV-0000537</t>
  </si>
  <si>
    <t xml:space="preserve">REV-0000538</t>
  </si>
  <si>
    <t xml:space="preserve">REV-0000539</t>
  </si>
  <si>
    <t xml:space="preserve">REV-0000540</t>
  </si>
  <si>
    <t xml:space="preserve">REV-0000541</t>
  </si>
  <si>
    <t xml:space="preserve">REV-0000542</t>
  </si>
  <si>
    <t xml:space="preserve">REV-0000543</t>
  </si>
  <si>
    <t xml:space="preserve">REV-0000544</t>
  </si>
  <si>
    <t xml:space="preserve">REV-0000545</t>
  </si>
  <si>
    <t xml:space="preserve">REV-0000546</t>
  </si>
  <si>
    <t xml:space="preserve">REV-0000547</t>
  </si>
  <si>
    <t xml:space="preserve">REV-0000548</t>
  </si>
  <si>
    <t xml:space="preserve">REV-0000549</t>
  </si>
  <si>
    <t xml:space="preserve">REV-0000550</t>
  </si>
  <si>
    <t xml:space="preserve">REV-0000551</t>
  </si>
  <si>
    <t xml:space="preserve">REV-0000552</t>
  </si>
  <si>
    <t xml:space="preserve">REV-0000553</t>
  </si>
  <si>
    <t xml:space="preserve">REV-0000554</t>
  </si>
  <si>
    <t xml:space="preserve">REV-0000555</t>
  </si>
  <si>
    <t xml:space="preserve">REV-0000556</t>
  </si>
  <si>
    <t xml:space="preserve">REV-0000557</t>
  </si>
  <si>
    <t xml:space="preserve">REV-0000558</t>
  </si>
  <si>
    <t xml:space="preserve">REV-0000559</t>
  </si>
  <si>
    <t xml:space="preserve">REV-0000560</t>
  </si>
  <si>
    <t xml:space="preserve">REV-0000561</t>
  </si>
  <si>
    <t xml:space="preserve">REV-0000562</t>
  </si>
  <si>
    <t xml:space="preserve">REV-0000563</t>
  </si>
  <si>
    <t xml:space="preserve">REV-0000564</t>
  </si>
  <si>
    <t xml:space="preserve">REV-0000565</t>
  </si>
  <si>
    <t xml:space="preserve">REV-0000566</t>
  </si>
  <si>
    <t xml:space="preserve">REV-0000567</t>
  </si>
  <si>
    <t xml:space="preserve">REV-0000568</t>
  </si>
  <si>
    <t xml:space="preserve">REV-0000569</t>
  </si>
  <si>
    <t xml:space="preserve">REV-0000570</t>
  </si>
  <si>
    <t xml:space="preserve">REV-0000571</t>
  </si>
  <si>
    <t xml:space="preserve">REV-0000572</t>
  </si>
  <si>
    <t xml:space="preserve">REV-0000573</t>
  </si>
  <si>
    <t xml:space="preserve">REV-0000574</t>
  </si>
  <si>
    <t xml:space="preserve">REV-0000575</t>
  </si>
  <si>
    <t xml:space="preserve">REV-0000576</t>
  </si>
  <si>
    <t xml:space="preserve">REV-0000577</t>
  </si>
  <si>
    <t xml:space="preserve">REV-0000578</t>
  </si>
  <si>
    <t xml:space="preserve">REV-0000579</t>
  </si>
  <si>
    <t xml:space="preserve">REV-0000580</t>
  </si>
  <si>
    <t xml:space="preserve">REV-0000581</t>
  </si>
  <si>
    <t xml:space="preserve">REV-0000582</t>
  </si>
  <si>
    <t xml:space="preserve">REV-0000583</t>
  </si>
  <si>
    <t xml:space="preserve">REV-0000584</t>
  </si>
  <si>
    <t xml:space="preserve">REV-0000585</t>
  </si>
  <si>
    <t xml:space="preserve">REV-0000586</t>
  </si>
  <si>
    <t xml:space="preserve">REV-0000587</t>
  </si>
  <si>
    <t xml:space="preserve">REV-0000588</t>
  </si>
  <si>
    <t xml:space="preserve">REV-0000589</t>
  </si>
  <si>
    <t xml:space="preserve">REV-0000590</t>
  </si>
  <si>
    <t xml:space="preserve">REV-0000591</t>
  </si>
  <si>
    <t xml:space="preserve">REV-0000592</t>
  </si>
  <si>
    <t xml:space="preserve">REV-0000593</t>
  </si>
  <si>
    <t xml:space="preserve">REV-0000594</t>
  </si>
  <si>
    <t xml:space="preserve">REV-0000595</t>
  </si>
  <si>
    <t xml:space="preserve">REV-0000596</t>
  </si>
  <si>
    <t xml:space="preserve">REV-0000597</t>
  </si>
  <si>
    <t xml:space="preserve">REV-0000598</t>
  </si>
  <si>
    <t xml:space="preserve">REV-0000599</t>
  </si>
  <si>
    <t xml:space="preserve">REV-0000600</t>
  </si>
  <si>
    <t xml:space="preserve">REV-0000601</t>
  </si>
  <si>
    <t xml:space="preserve">REV-0000602</t>
  </si>
  <si>
    <t xml:space="preserve">REV-0000603</t>
  </si>
  <si>
    <t xml:space="preserve">REV-0000604</t>
  </si>
  <si>
    <t xml:space="preserve">REV-0000605</t>
  </si>
  <si>
    <t xml:space="preserve">REV-0000606</t>
  </si>
  <si>
    <t xml:space="preserve">REV-0000607</t>
  </si>
  <si>
    <t xml:space="preserve">REV-0000608</t>
  </si>
  <si>
    <t xml:space="preserve">REV-0000609</t>
  </si>
  <si>
    <t xml:space="preserve">REV-0000610</t>
  </si>
  <si>
    <t xml:space="preserve">REV-0000611</t>
  </si>
  <si>
    <t xml:space="preserve">REV-0000612</t>
  </si>
  <si>
    <t xml:space="preserve">REV-0000613</t>
  </si>
  <si>
    <t xml:space="preserve">REV-0000614</t>
  </si>
  <si>
    <t xml:space="preserve">REV-0000615</t>
  </si>
  <si>
    <t xml:space="preserve">REV-0000616</t>
  </si>
  <si>
    <t xml:space="preserve">REV-0000617</t>
  </si>
  <si>
    <t xml:space="preserve">REV-0000618</t>
  </si>
  <si>
    <t xml:space="preserve">REV-0000619</t>
  </si>
  <si>
    <t xml:space="preserve">REV-0000620</t>
  </si>
  <si>
    <t xml:space="preserve">REV-0000621</t>
  </si>
  <si>
    <t xml:space="preserve">REV-0000622</t>
  </si>
  <si>
    <t xml:space="preserve">REV-0000623</t>
  </si>
  <si>
    <t xml:space="preserve">REV-0000624</t>
  </si>
  <si>
    <t xml:space="preserve">REV-0000625</t>
  </si>
  <si>
    <t xml:space="preserve">REV-0000626</t>
  </si>
  <si>
    <t xml:space="preserve">REV-0000627</t>
  </si>
  <si>
    <t xml:space="preserve">REV-0000628</t>
  </si>
  <si>
    <t xml:space="preserve">REV-0000629</t>
  </si>
  <si>
    <t xml:space="preserve">REV-0000630</t>
  </si>
  <si>
    <t xml:space="preserve">REV-0000631</t>
  </si>
  <si>
    <t xml:space="preserve">REV-0000632</t>
  </si>
  <si>
    <t xml:space="preserve">REV-0000633</t>
  </si>
  <si>
    <t xml:space="preserve">REV-0000634</t>
  </si>
  <si>
    <t xml:space="preserve">REV-0000635</t>
  </si>
  <si>
    <t xml:space="preserve">REV-0000636</t>
  </si>
  <si>
    <t xml:space="preserve">REV-0000637</t>
  </si>
  <si>
    <t xml:space="preserve">REV-0000638</t>
  </si>
  <si>
    <t xml:space="preserve">REV-0000639</t>
  </si>
  <si>
    <t xml:space="preserve">REV-0000640</t>
  </si>
  <si>
    <t xml:space="preserve">REV-0000641</t>
  </si>
  <si>
    <t xml:space="preserve">REV-0000642</t>
  </si>
  <si>
    <t xml:space="preserve">REV-0000643</t>
  </si>
  <si>
    <t xml:space="preserve">REV-0000644</t>
  </si>
  <si>
    <t xml:space="preserve">REV-0000645</t>
  </si>
  <si>
    <t xml:space="preserve">REV-0000646</t>
  </si>
  <si>
    <t xml:space="preserve">REV-0000647</t>
  </si>
  <si>
    <t xml:space="preserve">REV-0000648</t>
  </si>
  <si>
    <t xml:space="preserve">REV-0000649</t>
  </si>
  <si>
    <t xml:space="preserve">REV-0000650</t>
  </si>
  <si>
    <t xml:space="preserve">REV-0000651</t>
  </si>
  <si>
    <t xml:space="preserve">REV-0000652</t>
  </si>
  <si>
    <t xml:space="preserve">REV-0000653</t>
  </si>
  <si>
    <t xml:space="preserve">REV-0000654</t>
  </si>
  <si>
    <t xml:space="preserve">REV-0000655</t>
  </si>
  <si>
    <t xml:space="preserve">REV-0000656</t>
  </si>
  <si>
    <t xml:space="preserve">REV-0000657</t>
  </si>
  <si>
    <t xml:space="preserve">REV-0000658</t>
  </si>
  <si>
    <t xml:space="preserve">REV-0000659</t>
  </si>
  <si>
    <t xml:space="preserve">REV-0000660</t>
  </si>
  <si>
    <t xml:space="preserve">REV-0000661</t>
  </si>
  <si>
    <t xml:space="preserve">REV-0000662</t>
  </si>
  <si>
    <t xml:space="preserve">REV-0000663</t>
  </si>
  <si>
    <t xml:space="preserve">REV-0000664</t>
  </si>
  <si>
    <t xml:space="preserve">REV-0000665</t>
  </si>
  <si>
    <t xml:space="preserve">REV-0000666</t>
  </si>
  <si>
    <t xml:space="preserve">REV-0000667</t>
  </si>
  <si>
    <t xml:space="preserve">REV-0000668</t>
  </si>
  <si>
    <t xml:space="preserve">REV-0000669</t>
  </si>
  <si>
    <t xml:space="preserve">REV-0000670</t>
  </si>
  <si>
    <t xml:space="preserve">REV-0000671</t>
  </si>
  <si>
    <t xml:space="preserve">REV-0000672</t>
  </si>
  <si>
    <t xml:space="preserve">REV-0000673</t>
  </si>
  <si>
    <t xml:space="preserve">REV-0000674</t>
  </si>
  <si>
    <t xml:space="preserve">REV-0000675</t>
  </si>
  <si>
    <t xml:space="preserve">REV-0000676</t>
  </si>
  <si>
    <t xml:space="preserve">REV-0000677</t>
  </si>
  <si>
    <t xml:space="preserve">REV-0000678</t>
  </si>
  <si>
    <t xml:space="preserve">REV-0000679</t>
  </si>
  <si>
    <t xml:space="preserve">REV-0000680</t>
  </si>
  <si>
    <t xml:space="preserve">REV-0000681</t>
  </si>
  <si>
    <t xml:space="preserve">REV-0000682</t>
  </si>
  <si>
    <t xml:space="preserve">REV-0000683</t>
  </si>
  <si>
    <t xml:space="preserve">REV-0000684</t>
  </si>
  <si>
    <t xml:space="preserve">REV-0000685</t>
  </si>
  <si>
    <t xml:space="preserve">REV-0000686</t>
  </si>
  <si>
    <t xml:space="preserve">REV-0000687</t>
  </si>
  <si>
    <t xml:space="preserve">REV-0000688</t>
  </si>
  <si>
    <t xml:space="preserve">REV-0000689</t>
  </si>
  <si>
    <t xml:space="preserve">REV-0000690</t>
  </si>
  <si>
    <t xml:space="preserve">REV-0000691</t>
  </si>
  <si>
    <t xml:space="preserve">REV-0000692</t>
  </si>
  <si>
    <t xml:space="preserve">REV-0000693</t>
  </si>
  <si>
    <t xml:space="preserve">REV-0000694</t>
  </si>
  <si>
    <t xml:space="preserve">REV-0000695</t>
  </si>
  <si>
    <t xml:space="preserve">REV-0000696</t>
  </si>
  <si>
    <t xml:space="preserve">REV-0000697</t>
  </si>
  <si>
    <t xml:space="preserve">REV-0000698</t>
  </si>
  <si>
    <t xml:space="preserve">REV-0000699</t>
  </si>
  <si>
    <t xml:space="preserve">REV-0000700</t>
  </si>
  <si>
    <t xml:space="preserve">REV-0000701</t>
  </si>
  <si>
    <t xml:space="preserve">REV-0000702</t>
  </si>
  <si>
    <t xml:space="preserve">REV-0000703</t>
  </si>
  <si>
    <t xml:space="preserve">REV-0000704</t>
  </si>
  <si>
    <t xml:space="preserve">REV-0000705</t>
  </si>
  <si>
    <t xml:space="preserve">REV-0000706</t>
  </si>
  <si>
    <t xml:space="preserve">REV-0000707</t>
  </si>
  <si>
    <t xml:space="preserve">REV-0000708</t>
  </si>
  <si>
    <t xml:space="preserve">REV-0000709</t>
  </si>
  <si>
    <t xml:space="preserve">REV-0000710</t>
  </si>
  <si>
    <t xml:space="preserve">REV-0000711</t>
  </si>
  <si>
    <t xml:space="preserve">REV-0000712</t>
  </si>
  <si>
    <t xml:space="preserve">REV-0000713</t>
  </si>
  <si>
    <t xml:space="preserve">REV-0000714</t>
  </si>
  <si>
    <t xml:space="preserve">REV-0000715</t>
  </si>
  <si>
    <t xml:space="preserve">REV-0000716</t>
  </si>
  <si>
    <t xml:space="preserve">REV-0000717</t>
  </si>
  <si>
    <t xml:space="preserve">REV-0000718</t>
  </si>
  <si>
    <t xml:space="preserve">REV-0000719</t>
  </si>
  <si>
    <t xml:space="preserve">REV-0000720</t>
  </si>
  <si>
    <t xml:space="preserve">REV-0000721</t>
  </si>
  <si>
    <t xml:space="preserve">REV-0000722</t>
  </si>
  <si>
    <t xml:space="preserve">REV-0000723</t>
  </si>
  <si>
    <t xml:space="preserve">REV-0000724</t>
  </si>
  <si>
    <t xml:space="preserve">REV-0000725</t>
  </si>
  <si>
    <t xml:space="preserve">REV-0000726</t>
  </si>
  <si>
    <t xml:space="preserve">REV-0000727</t>
  </si>
  <si>
    <t xml:space="preserve">REV-0000728</t>
  </si>
  <si>
    <t xml:space="preserve">REV-0000729</t>
  </si>
  <si>
    <t xml:space="preserve">REV-0000730</t>
  </si>
  <si>
    <t xml:space="preserve">REV-0000731</t>
  </si>
  <si>
    <t xml:space="preserve">REV-0000732</t>
  </si>
  <si>
    <t xml:space="preserve">REV-0000733</t>
  </si>
  <si>
    <t xml:space="preserve">REV-0000734</t>
  </si>
  <si>
    <t xml:space="preserve">REV-0000735</t>
  </si>
  <si>
    <t xml:space="preserve">REV-0000736</t>
  </si>
  <si>
    <t xml:space="preserve">REV-0000737</t>
  </si>
  <si>
    <t xml:space="preserve">REV-0000738</t>
  </si>
  <si>
    <t xml:space="preserve">REV-0000739</t>
  </si>
  <si>
    <t xml:space="preserve">REV-0000740</t>
  </si>
  <si>
    <t xml:space="preserve">REV-0000741</t>
  </si>
  <si>
    <t xml:space="preserve">REV-0000742</t>
  </si>
  <si>
    <t xml:space="preserve">REV-0000743</t>
  </si>
  <si>
    <t xml:space="preserve">REV-0000744</t>
  </si>
  <si>
    <t xml:space="preserve">REV-0000745</t>
  </si>
  <si>
    <t xml:space="preserve">REV-0000746</t>
  </si>
  <si>
    <t xml:space="preserve">REV-0000747</t>
  </si>
  <si>
    <t xml:space="preserve">REV-0000748</t>
  </si>
  <si>
    <t xml:space="preserve">REV-0000749</t>
  </si>
  <si>
    <t xml:space="preserve">REV-0000750</t>
  </si>
  <si>
    <t xml:space="preserve">REV-0000751</t>
  </si>
  <si>
    <t xml:space="preserve">REV-0000752</t>
  </si>
  <si>
    <t xml:space="preserve">REV-0000753</t>
  </si>
  <si>
    <t xml:space="preserve">REV-0000754</t>
  </si>
  <si>
    <t xml:space="preserve">REV-0000755</t>
  </si>
  <si>
    <t xml:space="preserve">REV-0000756</t>
  </si>
  <si>
    <t xml:space="preserve">REV-0000757</t>
  </si>
  <si>
    <t xml:space="preserve">REV-0000758</t>
  </si>
  <si>
    <t xml:space="preserve">REV-0000759</t>
  </si>
  <si>
    <t xml:space="preserve">REV-0000760</t>
  </si>
  <si>
    <t xml:space="preserve">REV-0000761</t>
  </si>
  <si>
    <t xml:space="preserve">REV-0000762</t>
  </si>
  <si>
    <t xml:space="preserve">REV-0000763</t>
  </si>
  <si>
    <t xml:space="preserve">REV-0000764</t>
  </si>
  <si>
    <t xml:space="preserve">REV-0000765</t>
  </si>
  <si>
    <t xml:space="preserve">REV-0000766</t>
  </si>
  <si>
    <t xml:space="preserve">REV-0000767</t>
  </si>
  <si>
    <t xml:space="preserve">REV-0000768</t>
  </si>
  <si>
    <t xml:space="preserve">REV-0000769</t>
  </si>
  <si>
    <t xml:space="preserve">REV-0000770</t>
  </si>
  <si>
    <t xml:space="preserve">REV-0000771</t>
  </si>
  <si>
    <t xml:space="preserve">REV-0000772</t>
  </si>
  <si>
    <t xml:space="preserve">REV-0000773</t>
  </si>
  <si>
    <t xml:space="preserve">REV-0000774</t>
  </si>
  <si>
    <t xml:space="preserve">REV-0000775</t>
  </si>
  <si>
    <t xml:space="preserve">REV-0000776</t>
  </si>
  <si>
    <t xml:space="preserve">REV-0000777</t>
  </si>
  <si>
    <t xml:space="preserve">REV-0000778</t>
  </si>
  <si>
    <t xml:space="preserve">REV-0000779</t>
  </si>
  <si>
    <t xml:space="preserve">REV-0000780</t>
  </si>
  <si>
    <t xml:space="preserve">REV-0000781</t>
  </si>
  <si>
    <t xml:space="preserve">REV-0000782</t>
  </si>
  <si>
    <t xml:space="preserve">REV-0000783</t>
  </si>
  <si>
    <t xml:space="preserve">REV-0000784</t>
  </si>
  <si>
    <t xml:space="preserve">REV-0000785</t>
  </si>
  <si>
    <t xml:space="preserve">REV-0000786</t>
  </si>
  <si>
    <t xml:space="preserve">REV-0000787</t>
  </si>
  <si>
    <t xml:space="preserve">REV-0000788</t>
  </si>
  <si>
    <t xml:space="preserve">REV-0000789</t>
  </si>
  <si>
    <t xml:space="preserve">REV-0000790</t>
  </si>
  <si>
    <t xml:space="preserve">REV-0000791</t>
  </si>
  <si>
    <t xml:space="preserve">REV-0000792</t>
  </si>
  <si>
    <t xml:space="preserve">REV-0000793</t>
  </si>
  <si>
    <t xml:space="preserve">REV-0000794</t>
  </si>
  <si>
    <t xml:space="preserve">REV-0000795</t>
  </si>
  <si>
    <t xml:space="preserve">REV-0000796</t>
  </si>
  <si>
    <t xml:space="preserve">REV-0000797</t>
  </si>
  <si>
    <t xml:space="preserve">REV-0000798</t>
  </si>
  <si>
    <t xml:space="preserve">REV-0000799</t>
  </si>
  <si>
    <t xml:space="preserve">REV-0000800</t>
  </si>
  <si>
    <t xml:space="preserve">REV-0000801</t>
  </si>
  <si>
    <t xml:space="preserve">REV-0000802</t>
  </si>
  <si>
    <t xml:space="preserve">REV-0000803</t>
  </si>
  <si>
    <t xml:space="preserve">REV-0000804</t>
  </si>
  <si>
    <t xml:space="preserve">REV-0000805</t>
  </si>
  <si>
    <t xml:space="preserve">REV-0000806</t>
  </si>
  <si>
    <t xml:space="preserve">REV-0000807</t>
  </si>
  <si>
    <t xml:space="preserve">REV-0000808</t>
  </si>
  <si>
    <t xml:space="preserve">REV-0000809</t>
  </si>
  <si>
    <t xml:space="preserve">REV-0000810</t>
  </si>
  <si>
    <t xml:space="preserve">REV-0000811</t>
  </si>
  <si>
    <t xml:space="preserve">REV-0000812</t>
  </si>
  <si>
    <t xml:space="preserve">REV-0000813</t>
  </si>
  <si>
    <t xml:space="preserve">REV-0000814</t>
  </si>
  <si>
    <t xml:space="preserve">REV-0000815</t>
  </si>
  <si>
    <t xml:space="preserve">REV-0000816</t>
  </si>
  <si>
    <t xml:space="preserve">REV-0000817</t>
  </si>
  <si>
    <t xml:space="preserve">REV-0000818</t>
  </si>
  <si>
    <t xml:space="preserve">REV-0000819</t>
  </si>
  <si>
    <t xml:space="preserve">REV-0000820</t>
  </si>
  <si>
    <t xml:space="preserve">REV-0000821</t>
  </si>
  <si>
    <t xml:space="preserve">REV-0000822</t>
  </si>
  <si>
    <t xml:space="preserve">REV-0000823</t>
  </si>
  <si>
    <t xml:space="preserve">REV-0000824</t>
  </si>
  <si>
    <t xml:space="preserve">REV-0000825</t>
  </si>
  <si>
    <t xml:space="preserve">REV-0000826</t>
  </si>
  <si>
    <t xml:space="preserve">REV-0000827</t>
  </si>
  <si>
    <t xml:space="preserve">REV-0000828</t>
  </si>
  <si>
    <t xml:space="preserve">REV-0000829</t>
  </si>
  <si>
    <t xml:space="preserve">REV-0000830</t>
  </si>
  <si>
    <t xml:space="preserve">REV-0000831</t>
  </si>
  <si>
    <t xml:space="preserve">REV-0000832</t>
  </si>
  <si>
    <t xml:space="preserve">REV-0000833</t>
  </si>
  <si>
    <t xml:space="preserve">REV-0000834</t>
  </si>
  <si>
    <t xml:space="preserve">REV-0000835</t>
  </si>
  <si>
    <t xml:space="preserve">REV-0000836</t>
  </si>
  <si>
    <t xml:space="preserve">REV-0000837</t>
  </si>
  <si>
    <t xml:space="preserve">REV-0000838</t>
  </si>
  <si>
    <t xml:space="preserve">REV-0000839</t>
  </si>
  <si>
    <t xml:space="preserve">REV-0000840</t>
  </si>
  <si>
    <t xml:space="preserve">REV-0000841</t>
  </si>
  <si>
    <t xml:space="preserve">REV-0000842</t>
  </si>
  <si>
    <t xml:space="preserve">REV-0000843</t>
  </si>
  <si>
    <t xml:space="preserve">REV-0000844</t>
  </si>
  <si>
    <t xml:space="preserve">REV-0000845</t>
  </si>
  <si>
    <t xml:space="preserve">REV-0000846</t>
  </si>
  <si>
    <t xml:space="preserve">REV-0000847</t>
  </si>
  <si>
    <t xml:space="preserve">REV-0000848</t>
  </si>
  <si>
    <t xml:space="preserve">REV-0000849</t>
  </si>
  <si>
    <t xml:space="preserve">REV-0000850</t>
  </si>
  <si>
    <t xml:space="preserve">REV-0000851</t>
  </si>
  <si>
    <t xml:space="preserve">REV-0000852</t>
  </si>
  <si>
    <t xml:space="preserve">REV-0000853</t>
  </si>
  <si>
    <t xml:space="preserve">REV-0000854</t>
  </si>
  <si>
    <t xml:space="preserve">REV-0000855</t>
  </si>
  <si>
    <t xml:space="preserve">REV-0000856</t>
  </si>
  <si>
    <t xml:space="preserve">REV-0000857</t>
  </si>
  <si>
    <t xml:space="preserve">REV-0000858</t>
  </si>
  <si>
    <t xml:space="preserve">REV-0000859</t>
  </si>
  <si>
    <t xml:space="preserve">REV-0000860</t>
  </si>
  <si>
    <t xml:space="preserve">REV-0000861</t>
  </si>
  <si>
    <t xml:space="preserve">REV-0000862</t>
  </si>
  <si>
    <t xml:space="preserve">REV-0000863</t>
  </si>
  <si>
    <t xml:space="preserve">REV-0000864</t>
  </si>
  <si>
    <t xml:space="preserve">REV-0000865</t>
  </si>
  <si>
    <t xml:space="preserve">REV-0000866</t>
  </si>
  <si>
    <t xml:space="preserve">REV-0000867</t>
  </si>
  <si>
    <t xml:space="preserve">REV-0000868</t>
  </si>
  <si>
    <t xml:space="preserve">REV-0000869</t>
  </si>
  <si>
    <t xml:space="preserve">REV-0000870</t>
  </si>
  <si>
    <t xml:space="preserve">REV-0000871</t>
  </si>
  <si>
    <t xml:space="preserve">REV-0000872</t>
  </si>
  <si>
    <t xml:space="preserve">REV-0000873</t>
  </si>
  <si>
    <t xml:space="preserve">REV-0000874</t>
  </si>
  <si>
    <t xml:space="preserve">REV-0000875</t>
  </si>
  <si>
    <t xml:space="preserve">REV-0000876</t>
  </si>
  <si>
    <t xml:space="preserve">REV-0000877</t>
  </si>
  <si>
    <t xml:space="preserve">REV-0000878</t>
  </si>
  <si>
    <t xml:space="preserve">REV-0000879</t>
  </si>
  <si>
    <t xml:space="preserve">REV-0000880</t>
  </si>
  <si>
    <t xml:space="preserve">REV-0000881</t>
  </si>
  <si>
    <t xml:space="preserve">REV-0000882</t>
  </si>
  <si>
    <t xml:space="preserve">REV-0000883</t>
  </si>
  <si>
    <t xml:space="preserve">REV-0000884</t>
  </si>
  <si>
    <t xml:space="preserve">REV-0000885</t>
  </si>
  <si>
    <t xml:space="preserve">REV-0000886</t>
  </si>
  <si>
    <t xml:space="preserve">REV-0000887</t>
  </si>
  <si>
    <t xml:space="preserve">REV-0000888</t>
  </si>
  <si>
    <t xml:space="preserve">REV-0000889</t>
  </si>
  <si>
    <t xml:space="preserve">REV-0000890</t>
  </si>
  <si>
    <t xml:space="preserve">REV-0000891</t>
  </si>
  <si>
    <t xml:space="preserve">REV-0000892</t>
  </si>
  <si>
    <t xml:space="preserve">REV-0000893</t>
  </si>
  <si>
    <t xml:space="preserve">REV-0000894</t>
  </si>
  <si>
    <t xml:space="preserve">REV-0000895</t>
  </si>
  <si>
    <t xml:space="preserve">REV-0000896</t>
  </si>
  <si>
    <t xml:space="preserve">REV-0000897</t>
  </si>
  <si>
    <t xml:space="preserve">REV-0000898</t>
  </si>
  <si>
    <t xml:space="preserve">REV-0000899</t>
  </si>
  <si>
    <t xml:space="preserve">REV-0000900</t>
  </si>
  <si>
    <t xml:space="preserve">REV-0000901</t>
  </si>
  <si>
    <t xml:space="preserve">REV-0000902</t>
  </si>
  <si>
    <t xml:space="preserve">REV-0000903</t>
  </si>
  <si>
    <t xml:space="preserve">REV-0000904</t>
  </si>
  <si>
    <t xml:space="preserve">REV-0000905</t>
  </si>
  <si>
    <t xml:space="preserve">REV-0000906</t>
  </si>
  <si>
    <t xml:space="preserve">REV-0000907</t>
  </si>
  <si>
    <t xml:space="preserve">REV-0000908</t>
  </si>
  <si>
    <t xml:space="preserve">REV-0000909</t>
  </si>
  <si>
    <t xml:space="preserve">REV-0000910</t>
  </si>
  <si>
    <t xml:space="preserve">REV-0000911</t>
  </si>
  <si>
    <t xml:space="preserve">REV-0000912</t>
  </si>
  <si>
    <t xml:space="preserve">REV-0000913</t>
  </si>
  <si>
    <t xml:space="preserve">REV-0000914</t>
  </si>
  <si>
    <t xml:space="preserve">REV-0000915</t>
  </si>
  <si>
    <t xml:space="preserve">REV-0000916</t>
  </si>
  <si>
    <t xml:space="preserve">REV-0000917</t>
  </si>
  <si>
    <t xml:space="preserve">REV-0000918</t>
  </si>
  <si>
    <t xml:space="preserve">REV-0000919</t>
  </si>
  <si>
    <t xml:space="preserve">REV-0000920</t>
  </si>
  <si>
    <t xml:space="preserve">REV-0000921</t>
  </si>
  <si>
    <t xml:space="preserve">REV-0000922</t>
  </si>
  <si>
    <t xml:space="preserve">REV-0000923</t>
  </si>
  <si>
    <t xml:space="preserve">REV-0000924</t>
  </si>
  <si>
    <t xml:space="preserve">REV-0000925</t>
  </si>
  <si>
    <t xml:space="preserve">REV-0000926</t>
  </si>
  <si>
    <t xml:space="preserve">REV-0000927</t>
  </si>
  <si>
    <t xml:space="preserve">REV-0000928</t>
  </si>
  <si>
    <t xml:space="preserve">REV-0000929</t>
  </si>
  <si>
    <t xml:space="preserve">REV-0000930</t>
  </si>
  <si>
    <t xml:space="preserve">REV-0000931</t>
  </si>
  <si>
    <t xml:space="preserve">REV-0000932</t>
  </si>
  <si>
    <t xml:space="preserve">REV-0000933</t>
  </si>
  <si>
    <t xml:space="preserve">REV-0000934</t>
  </si>
  <si>
    <t xml:space="preserve">REV-0000935</t>
  </si>
  <si>
    <t xml:space="preserve">REV-0000936</t>
  </si>
  <si>
    <t xml:space="preserve">REV-0000937</t>
  </si>
  <si>
    <t xml:space="preserve">REV-0000938</t>
  </si>
  <si>
    <t xml:space="preserve">REV-0000939</t>
  </si>
  <si>
    <t xml:space="preserve">REV-0000940</t>
  </si>
  <si>
    <t xml:space="preserve">REV-0000941</t>
  </si>
  <si>
    <t xml:space="preserve">REV-0000942</t>
  </si>
  <si>
    <t xml:space="preserve">REV-0000943</t>
  </si>
  <si>
    <t xml:space="preserve">REV-0000944</t>
  </si>
  <si>
    <t xml:space="preserve">REV-0000945</t>
  </si>
  <si>
    <t xml:space="preserve">REV-0000946</t>
  </si>
  <si>
    <t xml:space="preserve">REV-0000947</t>
  </si>
  <si>
    <t xml:space="preserve">REV-0000948</t>
  </si>
  <si>
    <t xml:space="preserve">REV-0000949</t>
  </si>
  <si>
    <t xml:space="preserve">REV-0000950</t>
  </si>
  <si>
    <t xml:space="preserve">REV-0000951</t>
  </si>
  <si>
    <t xml:space="preserve">REV-0000952</t>
  </si>
  <si>
    <t xml:space="preserve">REV-0000953</t>
  </si>
  <si>
    <t xml:space="preserve">REV-0000954</t>
  </si>
  <si>
    <t xml:space="preserve">REV-0000955</t>
  </si>
  <si>
    <t xml:space="preserve">REV-0000956</t>
  </si>
  <si>
    <t xml:space="preserve">REV-0000957</t>
  </si>
  <si>
    <t xml:space="preserve">REV-0000958</t>
  </si>
  <si>
    <t xml:space="preserve">REV-0000959</t>
  </si>
  <si>
    <t xml:space="preserve">REV-0000960</t>
  </si>
  <si>
    <t xml:space="preserve">REV-0000961</t>
  </si>
  <si>
    <t xml:space="preserve">REV-0000962</t>
  </si>
  <si>
    <t xml:space="preserve">REV-0000963</t>
  </si>
  <si>
    <t xml:space="preserve">REV-0000964</t>
  </si>
  <si>
    <t xml:space="preserve">REV-0000965</t>
  </si>
  <si>
    <t xml:space="preserve">REV-0000966</t>
  </si>
  <si>
    <t xml:space="preserve">REV-0000967</t>
  </si>
  <si>
    <t xml:space="preserve">REV-0000968</t>
  </si>
  <si>
    <t xml:space="preserve">REV-0000969</t>
  </si>
  <si>
    <t xml:space="preserve">REV-0000970</t>
  </si>
  <si>
    <t xml:space="preserve">REV-0000971</t>
  </si>
  <si>
    <t xml:space="preserve">REV-0000972</t>
  </si>
  <si>
    <t xml:space="preserve">REV-0000973</t>
  </si>
  <si>
    <t xml:space="preserve">REV-0000974</t>
  </si>
  <si>
    <t xml:space="preserve">REV-0000975</t>
  </si>
  <si>
    <t xml:space="preserve">REV-0000976</t>
  </si>
  <si>
    <t xml:space="preserve">REV-0000977</t>
  </si>
  <si>
    <t xml:space="preserve">REV-0000978</t>
  </si>
  <si>
    <t xml:space="preserve">REV-0000979</t>
  </si>
  <si>
    <t xml:space="preserve">REV-0000980</t>
  </si>
  <si>
    <t xml:space="preserve">REV-0000981</t>
  </si>
  <si>
    <t xml:space="preserve">REV-0000982</t>
  </si>
  <si>
    <t xml:space="preserve">REV-0000983</t>
  </si>
  <si>
    <t xml:space="preserve">REV-0000984</t>
  </si>
  <si>
    <t xml:space="preserve">REV-0000985</t>
  </si>
  <si>
    <t xml:space="preserve">REV-0000986</t>
  </si>
  <si>
    <t xml:space="preserve">REV-0000987</t>
  </si>
  <si>
    <t xml:space="preserve">REV-0000988</t>
  </si>
  <si>
    <t xml:space="preserve">REV-0000989</t>
  </si>
  <si>
    <t xml:space="preserve">REV-0000990</t>
  </si>
  <si>
    <t xml:space="preserve">REV-0000991</t>
  </si>
  <si>
    <t xml:space="preserve">REV-0000992</t>
  </si>
  <si>
    <t xml:space="preserve">REV-0000993</t>
  </si>
  <si>
    <t xml:space="preserve">REV-0000994</t>
  </si>
  <si>
    <t xml:space="preserve">REV-0000995</t>
  </si>
  <si>
    <t xml:space="preserve">REV-0000996</t>
  </si>
  <si>
    <t xml:space="preserve">REV-0000997</t>
  </si>
  <si>
    <t xml:space="preserve">REV-0000998</t>
  </si>
  <si>
    <t xml:space="preserve">REV-0000999</t>
  </si>
  <si>
    <t xml:space="preserve">REV-0001000</t>
  </si>
  <si>
    <t xml:space="preserve">REV-0001001</t>
  </si>
  <si>
    <t xml:space="preserve">REV-0001002</t>
  </si>
  <si>
    <t xml:space="preserve">REV-0001003</t>
  </si>
  <si>
    <t xml:space="preserve">REV-0001004</t>
  </si>
  <si>
    <t xml:space="preserve">REV-0001005</t>
  </si>
  <si>
    <t xml:space="preserve">REV-0001006</t>
  </si>
  <si>
    <t xml:space="preserve">REV-0001007</t>
  </si>
  <si>
    <t xml:space="preserve">REV-0001008</t>
  </si>
  <si>
    <t xml:space="preserve">REV-0001009</t>
  </si>
  <si>
    <t xml:space="preserve">REV-0001010</t>
  </si>
  <si>
    <t xml:space="preserve">REV-0001011</t>
  </si>
  <si>
    <t xml:space="preserve">REV-0001012</t>
  </si>
  <si>
    <t xml:space="preserve">REV-0001013</t>
  </si>
  <si>
    <t xml:space="preserve">REV-0001014</t>
  </si>
  <si>
    <t xml:space="preserve">REV-0001015</t>
  </si>
  <si>
    <t xml:space="preserve">REV-0001016</t>
  </si>
  <si>
    <t xml:space="preserve">REV-0001017</t>
  </si>
  <si>
    <t xml:space="preserve">REV-0001018</t>
  </si>
  <si>
    <t xml:space="preserve">REV-0001019</t>
  </si>
  <si>
    <t xml:space="preserve">REV-0001020</t>
  </si>
  <si>
    <t xml:space="preserve">REV-0001021</t>
  </si>
  <si>
    <t xml:space="preserve">REV-0001022</t>
  </si>
  <si>
    <t xml:space="preserve">REV-0001023</t>
  </si>
  <si>
    <t xml:space="preserve">REV-0001024</t>
  </si>
  <si>
    <t xml:space="preserve">REV-0001025</t>
  </si>
  <si>
    <t xml:space="preserve">REV-0001026</t>
  </si>
  <si>
    <t xml:space="preserve">REV-0001027</t>
  </si>
  <si>
    <t xml:space="preserve">REV-0001028</t>
  </si>
  <si>
    <t xml:space="preserve">REV-0001029</t>
  </si>
  <si>
    <t xml:space="preserve">REV-0001030</t>
  </si>
  <si>
    <t xml:space="preserve">REV-0001031</t>
  </si>
  <si>
    <t xml:space="preserve">REV-0001032</t>
  </si>
  <si>
    <t xml:space="preserve">REV-0001033</t>
  </si>
  <si>
    <t xml:space="preserve">REV-0001034</t>
  </si>
  <si>
    <t xml:space="preserve">REV-0001035</t>
  </si>
  <si>
    <t xml:space="preserve">REV-0001036</t>
  </si>
  <si>
    <t xml:space="preserve">REV-0001037</t>
  </si>
  <si>
    <t xml:space="preserve">REV-0001038</t>
  </si>
  <si>
    <t xml:space="preserve">REV-0001039</t>
  </si>
  <si>
    <t xml:space="preserve">REV-0001040</t>
  </si>
  <si>
    <t xml:space="preserve">REV-0001041</t>
  </si>
  <si>
    <t xml:space="preserve">REV-0001042</t>
  </si>
  <si>
    <t xml:space="preserve">REV-0001043</t>
  </si>
  <si>
    <t xml:space="preserve">REV-0001044</t>
  </si>
  <si>
    <t xml:space="preserve">REV-0001045</t>
  </si>
  <si>
    <t xml:space="preserve">REV-0001046</t>
  </si>
  <si>
    <t xml:space="preserve">REV-0001047</t>
  </si>
  <si>
    <t xml:space="preserve">REV-0001048</t>
  </si>
  <si>
    <t xml:space="preserve">REV-0001049</t>
  </si>
  <si>
    <t xml:space="preserve">REV-0001050</t>
  </si>
  <si>
    <t xml:space="preserve">REV-0001051</t>
  </si>
  <si>
    <t xml:space="preserve">REV-0001052</t>
  </si>
  <si>
    <t xml:space="preserve">REV-0001053</t>
  </si>
  <si>
    <t xml:space="preserve">REV-0001054</t>
  </si>
  <si>
    <t xml:space="preserve">REV-0001055</t>
  </si>
  <si>
    <t xml:space="preserve">REV-0001056</t>
  </si>
  <si>
    <t xml:space="preserve">REV-0001057</t>
  </si>
  <si>
    <t xml:space="preserve">REV-0001058</t>
  </si>
  <si>
    <t xml:space="preserve">REV-0001059</t>
  </si>
  <si>
    <t xml:space="preserve">REV-0001060</t>
  </si>
  <si>
    <t xml:space="preserve">REV-0001061</t>
  </si>
  <si>
    <t xml:space="preserve">REV-0001062</t>
  </si>
  <si>
    <t xml:space="preserve">REV-0001063</t>
  </si>
  <si>
    <t xml:space="preserve">REV-0001064</t>
  </si>
  <si>
    <t xml:space="preserve">REV-0001065</t>
  </si>
  <si>
    <t xml:space="preserve">REV-0001066</t>
  </si>
  <si>
    <t xml:space="preserve">REV-0001067</t>
  </si>
  <si>
    <t xml:space="preserve">REV-0001068</t>
  </si>
  <si>
    <t xml:space="preserve">REV-0001069</t>
  </si>
  <si>
    <t xml:space="preserve">REV-0001070</t>
  </si>
  <si>
    <t xml:space="preserve">REV-0001071</t>
  </si>
  <si>
    <t xml:space="preserve">REV-0001072</t>
  </si>
  <si>
    <t xml:space="preserve">REV-0001073</t>
  </si>
  <si>
    <t xml:space="preserve">REV-0001074</t>
  </si>
  <si>
    <t xml:space="preserve">REV-0001075</t>
  </si>
  <si>
    <t xml:space="preserve">REV-0001076</t>
  </si>
  <si>
    <t xml:space="preserve">REV-0001077</t>
  </si>
  <si>
    <t xml:space="preserve">REV-0001078</t>
  </si>
  <si>
    <t xml:space="preserve">REV-0001079</t>
  </si>
  <si>
    <t xml:space="preserve">REV-0001080</t>
  </si>
  <si>
    <t xml:space="preserve">REV-0001081</t>
  </si>
  <si>
    <t xml:space="preserve">REV-0001082</t>
  </si>
  <si>
    <t xml:space="preserve">REV-0001083</t>
  </si>
  <si>
    <t xml:space="preserve">REV-0001084</t>
  </si>
  <si>
    <t xml:space="preserve">REV-0001085</t>
  </si>
  <si>
    <t xml:space="preserve">REV-0001086</t>
  </si>
  <si>
    <t xml:space="preserve">REV-0001087</t>
  </si>
  <si>
    <t xml:space="preserve">REV-0001088</t>
  </si>
  <si>
    <t xml:space="preserve">REV-0001089</t>
  </si>
  <si>
    <t xml:space="preserve">REV-0001090</t>
  </si>
  <si>
    <t xml:space="preserve">REV-0001091</t>
  </si>
  <si>
    <t xml:space="preserve">REV-0001092</t>
  </si>
  <si>
    <t xml:space="preserve">REV-0001093</t>
  </si>
  <si>
    <t xml:space="preserve">REV-0001094</t>
  </si>
  <si>
    <t xml:space="preserve">REV-0001095</t>
  </si>
  <si>
    <t xml:space="preserve">REV-0001096</t>
  </si>
  <si>
    <t xml:space="preserve">REV-0001097</t>
  </si>
  <si>
    <t xml:space="preserve">REV-0001098</t>
  </si>
  <si>
    <t xml:space="preserve">REV-0001099</t>
  </si>
  <si>
    <t xml:space="preserve">REV-0001100</t>
  </si>
  <si>
    <t xml:space="preserve">REV-0001101</t>
  </si>
  <si>
    <t xml:space="preserve">REV-0001102</t>
  </si>
  <si>
    <t xml:space="preserve">REV-0001103</t>
  </si>
  <si>
    <t xml:space="preserve">REV-0001104</t>
  </si>
  <si>
    <t xml:space="preserve">REV-0001105</t>
  </si>
  <si>
    <t xml:space="preserve">REV-0001106</t>
  </si>
  <si>
    <t xml:space="preserve">REV-0001107</t>
  </si>
  <si>
    <t xml:space="preserve">REV-0001108</t>
  </si>
  <si>
    <t xml:space="preserve">REV-0001109</t>
  </si>
  <si>
    <t xml:space="preserve">REV-0001110</t>
  </si>
  <si>
    <t xml:space="preserve">REV-0001111</t>
  </si>
  <si>
    <t xml:space="preserve">REV-0001112</t>
  </si>
  <si>
    <t xml:space="preserve">REV-0001113</t>
  </si>
  <si>
    <t xml:space="preserve">REV-0001114</t>
  </si>
  <si>
    <t xml:space="preserve">REV-0001115</t>
  </si>
  <si>
    <t xml:space="preserve">REV-0001116</t>
  </si>
  <si>
    <t xml:space="preserve">REV-0001117</t>
  </si>
  <si>
    <t xml:space="preserve">REV-0001118</t>
  </si>
  <si>
    <t xml:space="preserve">REV-0001119</t>
  </si>
  <si>
    <t xml:space="preserve">REV-0001120</t>
  </si>
  <si>
    <t xml:space="preserve">REV-0001121</t>
  </si>
  <si>
    <t xml:space="preserve">REV-0001122</t>
  </si>
  <si>
    <t xml:space="preserve">REV-0001123</t>
  </si>
  <si>
    <t xml:space="preserve">REV-0001124</t>
  </si>
  <si>
    <t xml:space="preserve">REV-0001125</t>
  </si>
  <si>
    <t xml:space="preserve">REV-0001126</t>
  </si>
  <si>
    <t xml:space="preserve">REV-0001127</t>
  </si>
  <si>
    <t xml:space="preserve">REV-0001128</t>
  </si>
  <si>
    <t xml:space="preserve">REV-0001129</t>
  </si>
  <si>
    <t xml:space="preserve">REV-0001130</t>
  </si>
  <si>
    <t xml:space="preserve">REV-0001131</t>
  </si>
  <si>
    <t xml:space="preserve">REV-0001132</t>
  </si>
  <si>
    <t xml:space="preserve">REV-0001133</t>
  </si>
  <si>
    <t xml:space="preserve">REV-0001134</t>
  </si>
  <si>
    <t xml:space="preserve">REV-0001135</t>
  </si>
  <si>
    <t xml:space="preserve">REV-0001136</t>
  </si>
  <si>
    <t xml:space="preserve">REV-0001137</t>
  </si>
  <si>
    <t xml:space="preserve">REV-0001138</t>
  </si>
  <si>
    <t xml:space="preserve">REV-0001139</t>
  </si>
  <si>
    <t xml:space="preserve">REV-0001140</t>
  </si>
  <si>
    <t xml:space="preserve">REV-0001141</t>
  </si>
  <si>
    <t xml:space="preserve">REV-0001142</t>
  </si>
  <si>
    <t xml:space="preserve">REV-0001143</t>
  </si>
  <si>
    <t xml:space="preserve">REV-0001144</t>
  </si>
  <si>
    <t xml:space="preserve">REV-0001145</t>
  </si>
  <si>
    <t xml:space="preserve">REV-0001146</t>
  </si>
  <si>
    <t xml:space="preserve">REV-0001147</t>
  </si>
  <si>
    <t xml:space="preserve">REV-0001148</t>
  </si>
  <si>
    <t xml:space="preserve">REV-0001149</t>
  </si>
  <si>
    <t xml:space="preserve">REV-0001150</t>
  </si>
  <si>
    <t xml:space="preserve">REV-0001151</t>
  </si>
  <si>
    <t xml:space="preserve">REV-0001152</t>
  </si>
  <si>
    <t xml:space="preserve">REV-0001153</t>
  </si>
  <si>
    <t xml:space="preserve">REV-0001154</t>
  </si>
  <si>
    <t xml:space="preserve">REV-0001155</t>
  </si>
  <si>
    <t xml:space="preserve">REV-0001156</t>
  </si>
  <si>
    <t xml:space="preserve">REV-0001157</t>
  </si>
  <si>
    <t xml:space="preserve">REV-0001158</t>
  </si>
  <si>
    <t xml:space="preserve">REV-0001159</t>
  </si>
  <si>
    <t xml:space="preserve">REV-0001160</t>
  </si>
  <si>
    <t xml:space="preserve">REV-0001161</t>
  </si>
  <si>
    <t xml:space="preserve">REV-0001162</t>
  </si>
  <si>
    <t xml:space="preserve">REV-0001163</t>
  </si>
  <si>
    <t xml:space="preserve">REV-0001164</t>
  </si>
  <si>
    <t xml:space="preserve">REV-0001165</t>
  </si>
  <si>
    <t xml:space="preserve">REV-0001166</t>
  </si>
  <si>
    <t xml:space="preserve">REV-0001167</t>
  </si>
  <si>
    <t xml:space="preserve">REV-0001168</t>
  </si>
  <si>
    <t xml:space="preserve">REV-0001169</t>
  </si>
  <si>
    <t xml:space="preserve">REV-0001170</t>
  </si>
  <si>
    <t xml:space="preserve">REV-0001171</t>
  </si>
  <si>
    <t xml:space="preserve">REV-0001172</t>
  </si>
  <si>
    <t xml:space="preserve">REV-0001173</t>
  </si>
  <si>
    <t xml:space="preserve">REV-0001174</t>
  </si>
  <si>
    <t xml:space="preserve">REV-0001175</t>
  </si>
  <si>
    <t xml:space="preserve">REV-0001176</t>
  </si>
  <si>
    <t xml:space="preserve">REV-0001177</t>
  </si>
  <si>
    <t xml:space="preserve">REV-0001178</t>
  </si>
  <si>
    <t xml:space="preserve">REV-0001179</t>
  </si>
  <si>
    <t xml:space="preserve">REV-0001180</t>
  </si>
  <si>
    <t xml:space="preserve">REV-0001181</t>
  </si>
  <si>
    <t xml:space="preserve">REV-0001182</t>
  </si>
  <si>
    <t xml:space="preserve">REV-0001183</t>
  </si>
  <si>
    <t xml:space="preserve">REV-0001184</t>
  </si>
  <si>
    <t xml:space="preserve">REV-0001185</t>
  </si>
  <si>
    <t xml:space="preserve">REV-0001186</t>
  </si>
  <si>
    <t xml:space="preserve">REV-0001187</t>
  </si>
  <si>
    <t xml:space="preserve">REV-0001188</t>
  </si>
  <si>
    <t xml:space="preserve">REV-0001189</t>
  </si>
  <si>
    <t xml:space="preserve">REV-0001190</t>
  </si>
  <si>
    <t xml:space="preserve">REV-0001191</t>
  </si>
  <si>
    <t xml:space="preserve">REV-0001192</t>
  </si>
  <si>
    <t xml:space="preserve">REV-0001193</t>
  </si>
  <si>
    <t xml:space="preserve">REV-0001194</t>
  </si>
  <si>
    <t xml:space="preserve">REV-0001195</t>
  </si>
  <si>
    <t xml:space="preserve">REV-0001196</t>
  </si>
  <si>
    <t xml:space="preserve">REV-0001197</t>
  </si>
  <si>
    <t xml:space="preserve">REV-0001198</t>
  </si>
  <si>
    <t xml:space="preserve">REV-0001199</t>
  </si>
  <si>
    <t xml:space="preserve">REV-0001200</t>
  </si>
  <si>
    <t xml:space="preserve">REV-0001201</t>
  </si>
  <si>
    <t xml:space="preserve">REV-0001202</t>
  </si>
  <si>
    <t xml:space="preserve">REV-0001203</t>
  </si>
  <si>
    <t xml:space="preserve">REV-0001204</t>
  </si>
  <si>
    <t xml:space="preserve">REV-0001205</t>
  </si>
  <si>
    <t xml:space="preserve">REV-0001206</t>
  </si>
  <si>
    <t xml:space="preserve">REV-0001207</t>
  </si>
  <si>
    <t xml:space="preserve">REV-0001208</t>
  </si>
  <si>
    <t xml:space="preserve">REV-0001209</t>
  </si>
  <si>
    <t xml:space="preserve">REV-0001210</t>
  </si>
  <si>
    <t xml:space="preserve">REV-0001211</t>
  </si>
  <si>
    <t xml:space="preserve">REV-0001212</t>
  </si>
  <si>
    <t xml:space="preserve">REV-0001213</t>
  </si>
  <si>
    <t xml:space="preserve">REV-0001214</t>
  </si>
  <si>
    <t xml:space="preserve">REV-0001215</t>
  </si>
  <si>
    <t xml:space="preserve">REV-0001216</t>
  </si>
  <si>
    <t xml:space="preserve">REV-0001217</t>
  </si>
  <si>
    <t xml:space="preserve">REV-0001218</t>
  </si>
  <si>
    <t xml:space="preserve">REV-0001219</t>
  </si>
  <si>
    <t xml:space="preserve">REV-0001220</t>
  </si>
  <si>
    <t xml:space="preserve">REV-0001221</t>
  </si>
  <si>
    <t xml:space="preserve">REV-0001222</t>
  </si>
  <si>
    <t xml:space="preserve">REV-0001223</t>
  </si>
  <si>
    <t xml:space="preserve">REV-0001224</t>
  </si>
  <si>
    <t xml:space="preserve">REV-0001225</t>
  </si>
  <si>
    <t xml:space="preserve">REV-0001226</t>
  </si>
  <si>
    <t xml:space="preserve">REV-0001227</t>
  </si>
  <si>
    <t xml:space="preserve">REV-0001228</t>
  </si>
  <si>
    <t xml:space="preserve">REV-0001229</t>
  </si>
  <si>
    <t xml:space="preserve">REV-0001230</t>
  </si>
  <si>
    <t xml:space="preserve">REV-0001231</t>
  </si>
  <si>
    <t xml:space="preserve">REV-0001232</t>
  </si>
  <si>
    <t xml:space="preserve">REV-0001233</t>
  </si>
  <si>
    <t xml:space="preserve">REV-0001234</t>
  </si>
  <si>
    <t xml:space="preserve">REV-0001235</t>
  </si>
  <si>
    <t xml:space="preserve">REV-0001236</t>
  </si>
  <si>
    <t xml:space="preserve">REV-0001237</t>
  </si>
  <si>
    <t xml:space="preserve">REV-0001238</t>
  </si>
  <si>
    <t xml:space="preserve">REV-0001239</t>
  </si>
  <si>
    <t xml:space="preserve">REV-0001240</t>
  </si>
  <si>
    <t xml:space="preserve">REV-0001241</t>
  </si>
  <si>
    <t xml:space="preserve">REV-0001242</t>
  </si>
  <si>
    <t xml:space="preserve">REV-0001243</t>
  </si>
  <si>
    <t xml:space="preserve">REV-0001244</t>
  </si>
  <si>
    <t xml:space="preserve">REV-0001245</t>
  </si>
  <si>
    <t xml:space="preserve">REV-0001246</t>
  </si>
  <si>
    <t xml:space="preserve">REV-0001247</t>
  </si>
  <si>
    <t xml:space="preserve">REV-0001248</t>
  </si>
  <si>
    <t xml:space="preserve">REV-0001249</t>
  </si>
  <si>
    <t xml:space="preserve">REV-0001250</t>
  </si>
  <si>
    <t xml:space="preserve">REV-0001251</t>
  </si>
  <si>
    <t xml:space="preserve">REV-0001252</t>
  </si>
  <si>
    <t xml:space="preserve">REV-0001253</t>
  </si>
  <si>
    <t xml:space="preserve">REV-0001254</t>
  </si>
  <si>
    <t xml:space="preserve">REV-0001255</t>
  </si>
  <si>
    <t xml:space="preserve">REV-0001256</t>
  </si>
  <si>
    <t xml:space="preserve">REV-0001257</t>
  </si>
  <si>
    <t xml:space="preserve">REV-0001258</t>
  </si>
  <si>
    <t xml:space="preserve">REV-0001259</t>
  </si>
  <si>
    <t xml:space="preserve">REV-0001260</t>
  </si>
  <si>
    <t xml:space="preserve">REV-0001261</t>
  </si>
  <si>
    <t xml:space="preserve">REV-0001262</t>
  </si>
  <si>
    <t xml:space="preserve">REV-0001263</t>
  </si>
  <si>
    <t xml:space="preserve">REV-0001264</t>
  </si>
  <si>
    <t xml:space="preserve">REV-0001265</t>
  </si>
  <si>
    <t xml:space="preserve">REV-0001266</t>
  </si>
  <si>
    <t xml:space="preserve">REV-0001267</t>
  </si>
  <si>
    <t xml:space="preserve">REV-0001268</t>
  </si>
  <si>
    <t xml:space="preserve">REV-0001269</t>
  </si>
  <si>
    <t xml:space="preserve">REV-0001270</t>
  </si>
  <si>
    <t xml:space="preserve">REV-0001271</t>
  </si>
  <si>
    <t xml:space="preserve">REV-0001272</t>
  </si>
  <si>
    <t xml:space="preserve">REV-0001273</t>
  </si>
  <si>
    <t xml:space="preserve">REV-0001274</t>
  </si>
  <si>
    <t xml:space="preserve">REV-0001275</t>
  </si>
  <si>
    <t xml:space="preserve">REV-0001276</t>
  </si>
  <si>
    <t xml:space="preserve">REV-0001277</t>
  </si>
  <si>
    <t xml:space="preserve">REV-0001278</t>
  </si>
  <si>
    <t xml:space="preserve">REV-0001279</t>
  </si>
  <si>
    <t xml:space="preserve">REV-0001280</t>
  </si>
  <si>
    <t xml:space="preserve">REV-0001281</t>
  </si>
  <si>
    <t xml:space="preserve">REV-0001282</t>
  </si>
  <si>
    <t xml:space="preserve">REV-0001283</t>
  </si>
  <si>
    <t xml:space="preserve">REV-0001284</t>
  </si>
  <si>
    <t xml:space="preserve">REV-0001285</t>
  </si>
  <si>
    <t xml:space="preserve">REV-0001286</t>
  </si>
  <si>
    <t xml:space="preserve">REV-0001287</t>
  </si>
  <si>
    <t xml:space="preserve">REV-0001288</t>
  </si>
  <si>
    <t xml:space="preserve">REV-0001289</t>
  </si>
  <si>
    <t xml:space="preserve">REV-0001290</t>
  </si>
  <si>
    <t xml:space="preserve">REV-0001291</t>
  </si>
  <si>
    <t xml:space="preserve">REV-0001292</t>
  </si>
  <si>
    <t xml:space="preserve">REV-0001293</t>
  </si>
  <si>
    <t xml:space="preserve">REV-0001294</t>
  </si>
  <si>
    <t xml:space="preserve">REV-0001295</t>
  </si>
  <si>
    <t xml:space="preserve">REV-0001296</t>
  </si>
  <si>
    <t xml:space="preserve">REV-0001297</t>
  </si>
  <si>
    <t xml:space="preserve">REV-0001298</t>
  </si>
  <si>
    <t xml:space="preserve">REV-0001299</t>
  </si>
  <si>
    <t xml:space="preserve">REV-0001300</t>
  </si>
  <si>
    <t xml:space="preserve">REV-0001301</t>
  </si>
  <si>
    <t xml:space="preserve">REV-0001302</t>
  </si>
  <si>
    <t xml:space="preserve">REV-0001303</t>
  </si>
  <si>
    <t xml:space="preserve">REV-0001304</t>
  </si>
  <si>
    <t xml:space="preserve">REV-0001305</t>
  </si>
  <si>
    <t xml:space="preserve">REV-0001306</t>
  </si>
  <si>
    <t xml:space="preserve">REV-0001307</t>
  </si>
  <si>
    <t xml:space="preserve">REV-0001308</t>
  </si>
  <si>
    <t xml:space="preserve">REV-0001309</t>
  </si>
  <si>
    <t xml:space="preserve">REV-0001310</t>
  </si>
  <si>
    <t xml:space="preserve">REV-0001311</t>
  </si>
  <si>
    <t xml:space="preserve">REV-0001312</t>
  </si>
  <si>
    <t xml:space="preserve">REV-0001313</t>
  </si>
  <si>
    <t xml:space="preserve">REV-0001314</t>
  </si>
  <si>
    <t xml:space="preserve">REV-0001315</t>
  </si>
  <si>
    <t xml:space="preserve">REV-0001316</t>
  </si>
  <si>
    <t xml:space="preserve">REV-0001317</t>
  </si>
  <si>
    <t xml:space="preserve">REV-0001318</t>
  </si>
  <si>
    <t xml:space="preserve">REV-0001319</t>
  </si>
  <si>
    <t xml:space="preserve">REV-0001320</t>
  </si>
  <si>
    <t xml:space="preserve">REV-0001321</t>
  </si>
  <si>
    <t xml:space="preserve">REV-0001322</t>
  </si>
  <si>
    <t xml:space="preserve">REV-0001323</t>
  </si>
  <si>
    <t xml:space="preserve">REV-0001324</t>
  </si>
  <si>
    <t xml:space="preserve">REV-0001325</t>
  </si>
  <si>
    <t xml:space="preserve">REV-0001326</t>
  </si>
  <si>
    <t xml:space="preserve">REV-0001327</t>
  </si>
  <si>
    <t xml:space="preserve">REV-0001328</t>
  </si>
  <si>
    <t xml:space="preserve">REV-0001329</t>
  </si>
  <si>
    <t xml:space="preserve">REV-0001330</t>
  </si>
  <si>
    <t xml:space="preserve">REV-0001331</t>
  </si>
  <si>
    <t xml:space="preserve">REV-0001332</t>
  </si>
  <si>
    <t xml:space="preserve">REV-0001333</t>
  </si>
  <si>
    <t xml:space="preserve">REV-0001334</t>
  </si>
  <si>
    <t xml:space="preserve">REV-0001335</t>
  </si>
  <si>
    <t xml:space="preserve">REV-0001336</t>
  </si>
  <si>
    <t xml:space="preserve">REV-0001337</t>
  </si>
  <si>
    <t xml:space="preserve">REV-0001338</t>
  </si>
  <si>
    <t xml:space="preserve">REV-0001339</t>
  </si>
  <si>
    <t xml:space="preserve">REV-0001340</t>
  </si>
  <si>
    <t xml:space="preserve">REV-0001341</t>
  </si>
  <si>
    <t xml:space="preserve">REV-0001342</t>
  </si>
  <si>
    <t xml:space="preserve">REV-0001343</t>
  </si>
  <si>
    <t xml:space="preserve">REV-0001344</t>
  </si>
  <si>
    <t xml:space="preserve">REV-0001345</t>
  </si>
  <si>
    <t xml:space="preserve">REV-0001346</t>
  </si>
  <si>
    <t xml:space="preserve">REV-0001347</t>
  </si>
  <si>
    <t xml:space="preserve">REV-0001348</t>
  </si>
  <si>
    <t xml:space="preserve">REV-0001349</t>
  </si>
  <si>
    <t xml:space="preserve">REV-0001350</t>
  </si>
  <si>
    <t xml:space="preserve">REV-0001351</t>
  </si>
  <si>
    <t xml:space="preserve">REV-0001352</t>
  </si>
  <si>
    <t xml:space="preserve">REV-0001353</t>
  </si>
  <si>
    <t xml:space="preserve">REV-0001354</t>
  </si>
  <si>
    <t xml:space="preserve">REV-0001355</t>
  </si>
  <si>
    <t xml:space="preserve">REV-0001356</t>
  </si>
  <si>
    <t xml:space="preserve">REV-0001357</t>
  </si>
  <si>
    <t xml:space="preserve">REV-0001358</t>
  </si>
  <si>
    <t xml:space="preserve">REV-0001359</t>
  </si>
  <si>
    <t xml:space="preserve">REV-0001360</t>
  </si>
  <si>
    <t xml:space="preserve">REV-0001361</t>
  </si>
  <si>
    <t xml:space="preserve">REV-0001362</t>
  </si>
  <si>
    <t xml:space="preserve">REV-0001363</t>
  </si>
  <si>
    <t xml:space="preserve">REV-0001364</t>
  </si>
  <si>
    <t xml:space="preserve">REV-0001365</t>
  </si>
  <si>
    <t xml:space="preserve">REV-0001366</t>
  </si>
  <si>
    <t xml:space="preserve">REV-0001367</t>
  </si>
  <si>
    <t xml:space="preserve">REV-0001368</t>
  </si>
  <si>
    <t xml:space="preserve">REV-0001369</t>
  </si>
  <si>
    <t xml:space="preserve">REV-0001370</t>
  </si>
  <si>
    <t xml:space="preserve">REV-0001371</t>
  </si>
  <si>
    <t xml:space="preserve">REV-0001372</t>
  </si>
  <si>
    <t xml:space="preserve">REV-0001373</t>
  </si>
  <si>
    <t xml:space="preserve">REV-0001374</t>
  </si>
  <si>
    <t xml:space="preserve">REV-0001375</t>
  </si>
  <si>
    <t xml:space="preserve">REV-0001376</t>
  </si>
  <si>
    <t xml:space="preserve">REV-0001377</t>
  </si>
  <si>
    <t xml:space="preserve">REV-0001378</t>
  </si>
  <si>
    <t xml:space="preserve">REV-0001379</t>
  </si>
  <si>
    <t xml:space="preserve">REV-0001380</t>
  </si>
  <si>
    <t xml:space="preserve">REV-0001381</t>
  </si>
  <si>
    <t xml:space="preserve">REV-0001382</t>
  </si>
  <si>
    <t xml:space="preserve">REV-0001383</t>
  </si>
  <si>
    <t xml:space="preserve">REV-0001384</t>
  </si>
  <si>
    <t xml:space="preserve">REV-0001385</t>
  </si>
  <si>
    <t xml:space="preserve">REV-0001386</t>
  </si>
  <si>
    <t xml:space="preserve">REV-0001387</t>
  </si>
  <si>
    <t xml:space="preserve">REV-0001388</t>
  </si>
  <si>
    <t xml:space="preserve">REV-0001389</t>
  </si>
  <si>
    <t xml:space="preserve">REV-0001390</t>
  </si>
  <si>
    <t xml:space="preserve">REV-0001391</t>
  </si>
  <si>
    <t xml:space="preserve">REV-0001392</t>
  </si>
  <si>
    <t xml:space="preserve">REV-0001393</t>
  </si>
  <si>
    <t xml:space="preserve">REV-0001394</t>
  </si>
  <si>
    <t xml:space="preserve">REV-0001395</t>
  </si>
  <si>
    <t xml:space="preserve">REV-0001396</t>
  </si>
  <si>
    <t xml:space="preserve">REV-0001397</t>
  </si>
  <si>
    <t xml:space="preserve">REV-0001398</t>
  </si>
  <si>
    <t xml:space="preserve">REV-0001399</t>
  </si>
  <si>
    <t xml:space="preserve">REV-0001400</t>
  </si>
  <si>
    <t xml:space="preserve">REV-0001401</t>
  </si>
  <si>
    <t xml:space="preserve">REV-0001402</t>
  </si>
  <si>
    <t xml:space="preserve">REV-0001403</t>
  </si>
  <si>
    <t xml:space="preserve">REV-0001404</t>
  </si>
  <si>
    <t xml:space="preserve">REV-0001405</t>
  </si>
  <si>
    <t xml:space="preserve">REV-0001406</t>
  </si>
  <si>
    <t xml:space="preserve">REV-0001407</t>
  </si>
  <si>
    <t xml:space="preserve">REV-0001408</t>
  </si>
  <si>
    <t xml:space="preserve">REV-0001409</t>
  </si>
  <si>
    <t xml:space="preserve">REV-0001410</t>
  </si>
  <si>
    <t xml:space="preserve">REV-0001411</t>
  </si>
  <si>
    <t xml:space="preserve">REV-0001412</t>
  </si>
  <si>
    <t xml:space="preserve">REV-0001413</t>
  </si>
  <si>
    <t xml:space="preserve">REV-0001414</t>
  </si>
  <si>
    <t xml:space="preserve">REV-0001415</t>
  </si>
  <si>
    <t xml:space="preserve">REV-0001416</t>
  </si>
  <si>
    <t xml:space="preserve">REV-0001417</t>
  </si>
  <si>
    <t xml:space="preserve">REV-0001418</t>
  </si>
  <si>
    <t xml:space="preserve">REV-0001419</t>
  </si>
  <si>
    <t xml:space="preserve">REV-0001420</t>
  </si>
  <si>
    <t xml:space="preserve">REV-0001421</t>
  </si>
  <si>
    <t xml:space="preserve">REV-0001422</t>
  </si>
  <si>
    <t xml:space="preserve">REV-0001423</t>
  </si>
  <si>
    <t xml:space="preserve">REV-0001424</t>
  </si>
  <si>
    <t xml:space="preserve">REV-0001425</t>
  </si>
  <si>
    <t xml:space="preserve">REV-0001426</t>
  </si>
  <si>
    <t xml:space="preserve">REV-0001427</t>
  </si>
  <si>
    <t xml:space="preserve">REV-0001428</t>
  </si>
  <si>
    <t xml:space="preserve">REV-0001429</t>
  </si>
  <si>
    <t xml:space="preserve">REV-0001430</t>
  </si>
  <si>
    <t xml:space="preserve">REV-0001431</t>
  </si>
  <si>
    <t xml:space="preserve">REV-0001432</t>
  </si>
  <si>
    <t xml:space="preserve">REV-0001433</t>
  </si>
  <si>
    <t xml:space="preserve">REV-0001434</t>
  </si>
  <si>
    <t xml:space="preserve">REV-0001435</t>
  </si>
  <si>
    <t xml:space="preserve">REV-0001436</t>
  </si>
  <si>
    <t xml:space="preserve">REV-0001437</t>
  </si>
  <si>
    <t xml:space="preserve">REV-0001438</t>
  </si>
  <si>
    <t xml:space="preserve">REV-0001439</t>
  </si>
  <si>
    <t xml:space="preserve">REV-0001440</t>
  </si>
  <si>
    <t xml:space="preserve">REV-0001441</t>
  </si>
  <si>
    <t xml:space="preserve">REV-0001442</t>
  </si>
  <si>
    <t xml:space="preserve">REV-0001443</t>
  </si>
  <si>
    <t xml:space="preserve">REV-0001444</t>
  </si>
  <si>
    <t xml:space="preserve">REV-0001445</t>
  </si>
  <si>
    <t xml:space="preserve">REV-0001446</t>
  </si>
  <si>
    <t xml:space="preserve">REV-0001447</t>
  </si>
  <si>
    <t xml:space="preserve">REV-0001448</t>
  </si>
  <si>
    <t xml:space="preserve">REV-0001449</t>
  </si>
  <si>
    <t xml:space="preserve">REV-0001450</t>
  </si>
  <si>
    <t xml:space="preserve">REV-0001451</t>
  </si>
  <si>
    <t xml:space="preserve">REV-0001452</t>
  </si>
  <si>
    <t xml:space="preserve">REV-0001453</t>
  </si>
  <si>
    <t xml:space="preserve">REV-0001454</t>
  </si>
  <si>
    <t xml:space="preserve">REV-0001455</t>
  </si>
  <si>
    <t xml:space="preserve">REV-0001456</t>
  </si>
  <si>
    <t xml:space="preserve">REV-0001457</t>
  </si>
  <si>
    <t xml:space="preserve">REV-0001458</t>
  </si>
  <si>
    <t xml:space="preserve">REV-0001459</t>
  </si>
  <si>
    <t xml:space="preserve">REV-0001460</t>
  </si>
  <si>
    <t xml:space="preserve">REV-0001461</t>
  </si>
  <si>
    <t xml:space="preserve">REV-0001462</t>
  </si>
  <si>
    <t xml:space="preserve">REV-0001463</t>
  </si>
  <si>
    <t xml:space="preserve">REV-0001464</t>
  </si>
  <si>
    <t xml:space="preserve">REV-0001465</t>
  </si>
  <si>
    <t xml:space="preserve">REV-0001466</t>
  </si>
  <si>
    <t xml:space="preserve">REV-0001467</t>
  </si>
  <si>
    <t xml:space="preserve">REV-0001468</t>
  </si>
  <si>
    <t xml:space="preserve">REV-0001469</t>
  </si>
  <si>
    <t xml:space="preserve">REV-0001470</t>
  </si>
  <si>
    <t xml:space="preserve">REV-0001471</t>
  </si>
  <si>
    <t xml:space="preserve">REV-0001472</t>
  </si>
  <si>
    <t xml:space="preserve">REV-0001473</t>
  </si>
  <si>
    <t xml:space="preserve">REV-0001474</t>
  </si>
  <si>
    <t xml:space="preserve">REV-0001475</t>
  </si>
  <si>
    <t xml:space="preserve">REV-0001476</t>
  </si>
  <si>
    <t xml:space="preserve">REV-0001477</t>
  </si>
  <si>
    <t xml:space="preserve">REV-0001478</t>
  </si>
  <si>
    <t xml:space="preserve">REV-0001479</t>
  </si>
  <si>
    <t xml:space="preserve">REV-0001480</t>
  </si>
  <si>
    <t xml:space="preserve">REV-0001481</t>
  </si>
  <si>
    <t xml:space="preserve">REV-0001482</t>
  </si>
  <si>
    <t xml:space="preserve">REV-0001483</t>
  </si>
  <si>
    <t xml:space="preserve">REV-0001484</t>
  </si>
  <si>
    <t xml:space="preserve">REV-0001485</t>
  </si>
  <si>
    <t xml:space="preserve">REV-0001486</t>
  </si>
  <si>
    <t xml:space="preserve">REV-0001487</t>
  </si>
  <si>
    <t xml:space="preserve">REV-0001488</t>
  </si>
  <si>
    <t xml:space="preserve">REV-0001489</t>
  </si>
  <si>
    <t xml:space="preserve">REV-0001490</t>
  </si>
  <si>
    <t xml:space="preserve">REV-0001491</t>
  </si>
  <si>
    <t xml:space="preserve">REV-0001492</t>
  </si>
  <si>
    <t xml:space="preserve">REV-0001493</t>
  </si>
  <si>
    <t xml:space="preserve">REV-0001494</t>
  </si>
  <si>
    <t xml:space="preserve">REV-0001495</t>
  </si>
  <si>
    <t xml:space="preserve">REV-0001496</t>
  </si>
  <si>
    <t xml:space="preserve">REV-0001497</t>
  </si>
  <si>
    <t xml:space="preserve">REV-0001498</t>
  </si>
  <si>
    <t xml:space="preserve">REV-0001499</t>
  </si>
  <si>
    <t xml:space="preserve">REV-0001500</t>
  </si>
  <si>
    <t xml:space="preserve">REV-0001501</t>
  </si>
  <si>
    <t xml:space="preserve">REV-0001502</t>
  </si>
  <si>
    <t xml:space="preserve">REV-0001503</t>
  </si>
  <si>
    <t xml:space="preserve">REV-0001504</t>
  </si>
  <si>
    <t xml:space="preserve">REV-0001505</t>
  </si>
  <si>
    <t xml:space="preserve">REV-0001506</t>
  </si>
  <si>
    <t xml:space="preserve">REV-0001507</t>
  </si>
  <si>
    <t xml:space="preserve">REV-0001508</t>
  </si>
  <si>
    <t xml:space="preserve">REV-0001509</t>
  </si>
  <si>
    <t xml:space="preserve">REV-0001510</t>
  </si>
  <si>
    <t xml:space="preserve">REV-0001511</t>
  </si>
  <si>
    <t xml:space="preserve">REV-0001512</t>
  </si>
  <si>
    <t xml:space="preserve">REV-0001513</t>
  </si>
  <si>
    <t xml:space="preserve">REV-0001514</t>
  </si>
  <si>
    <t xml:space="preserve">REV-0001515</t>
  </si>
  <si>
    <t xml:space="preserve">REV-0001516</t>
  </si>
  <si>
    <t xml:space="preserve">REV-0001517</t>
  </si>
  <si>
    <t xml:space="preserve">REV-0001518</t>
  </si>
  <si>
    <t xml:space="preserve">REV-0001519</t>
  </si>
  <si>
    <t xml:space="preserve">REV-0001520</t>
  </si>
  <si>
    <t xml:space="preserve">REV-0001521</t>
  </si>
  <si>
    <t xml:space="preserve">REV-0001522</t>
  </si>
  <si>
    <t xml:space="preserve">REV-0001523</t>
  </si>
  <si>
    <t xml:space="preserve">REV-0001524</t>
  </si>
  <si>
    <t xml:space="preserve">REV-0001525</t>
  </si>
  <si>
    <t xml:space="preserve">REV-0001526</t>
  </si>
  <si>
    <t xml:space="preserve">REV-0001527</t>
  </si>
  <si>
    <t xml:space="preserve">REV-0001528</t>
  </si>
  <si>
    <t xml:space="preserve">REV-0001529</t>
  </si>
  <si>
    <t xml:space="preserve">REV-0001530</t>
  </si>
  <si>
    <t xml:space="preserve">REV-0001531</t>
  </si>
  <si>
    <t xml:space="preserve">REV-0001532</t>
  </si>
  <si>
    <t xml:space="preserve">REV-0001533</t>
  </si>
  <si>
    <t xml:space="preserve">REV-0001534</t>
  </si>
  <si>
    <t xml:space="preserve">REV-0001535</t>
  </si>
  <si>
    <t xml:space="preserve">REV-0001536</t>
  </si>
  <si>
    <t xml:space="preserve">REV-0001537</t>
  </si>
  <si>
    <t xml:space="preserve">REV-0001538</t>
  </si>
  <si>
    <t xml:space="preserve">REV-0001539</t>
  </si>
  <si>
    <t xml:space="preserve">REV-0001540</t>
  </si>
  <si>
    <t xml:space="preserve">REV-0001541</t>
  </si>
  <si>
    <t xml:space="preserve">REV-0001542</t>
  </si>
  <si>
    <t xml:space="preserve">REV-0001543</t>
  </si>
  <si>
    <t xml:space="preserve">REV-0001544</t>
  </si>
  <si>
    <t xml:space="preserve">REV-0001545</t>
  </si>
  <si>
    <t xml:space="preserve">REV-0001546</t>
  </si>
  <si>
    <t xml:space="preserve">REV-0001547</t>
  </si>
  <si>
    <t xml:space="preserve">REV-0001548</t>
  </si>
  <si>
    <t xml:space="preserve">REV-0001549</t>
  </si>
  <si>
    <t xml:space="preserve">REV-0001550</t>
  </si>
  <si>
    <t xml:space="preserve">REV-0001551</t>
  </si>
  <si>
    <t xml:space="preserve">REV-0001552</t>
  </si>
  <si>
    <t xml:space="preserve">REV-0001553</t>
  </si>
  <si>
    <t xml:space="preserve">REV-0001554</t>
  </si>
  <si>
    <t xml:space="preserve">REV-0001555</t>
  </si>
  <si>
    <t xml:space="preserve">REV-0001556</t>
  </si>
  <si>
    <t xml:space="preserve">REV-0001557</t>
  </si>
  <si>
    <t xml:space="preserve">REV-0001558</t>
  </si>
  <si>
    <t xml:space="preserve">REV-0001559</t>
  </si>
  <si>
    <t xml:space="preserve">REV-0001560</t>
  </si>
  <si>
    <t xml:space="preserve">REV-0001561</t>
  </si>
  <si>
    <t xml:space="preserve">REV-0001562</t>
  </si>
  <si>
    <t xml:space="preserve">REV-0001563</t>
  </si>
  <si>
    <t xml:space="preserve">REV-0001564</t>
  </si>
  <si>
    <t xml:space="preserve">REV-0001565</t>
  </si>
  <si>
    <t xml:space="preserve">REV-0001566</t>
  </si>
  <si>
    <t xml:space="preserve">REV-0001567</t>
  </si>
  <si>
    <t xml:space="preserve">REV-0001568</t>
  </si>
  <si>
    <t xml:space="preserve">REV-0001569</t>
  </si>
  <si>
    <t xml:space="preserve">REV-0001570</t>
  </si>
  <si>
    <t xml:space="preserve">REV-0001571</t>
  </si>
  <si>
    <t xml:space="preserve">REV-0001572</t>
  </si>
  <si>
    <t xml:space="preserve">REV-0001573</t>
  </si>
  <si>
    <t xml:space="preserve">REV-0001574</t>
  </si>
  <si>
    <t xml:space="preserve">REV-0001575</t>
  </si>
  <si>
    <t xml:space="preserve">REV-0001576</t>
  </si>
  <si>
    <t xml:space="preserve">REV-0001577</t>
  </si>
  <si>
    <t xml:space="preserve">REV-0001578</t>
  </si>
  <si>
    <t xml:space="preserve">REV-0001579</t>
  </si>
  <si>
    <t xml:space="preserve">REV-0001580</t>
  </si>
  <si>
    <t xml:space="preserve">REV-0001581</t>
  </si>
  <si>
    <t xml:space="preserve">REV-0001582</t>
  </si>
  <si>
    <t xml:space="preserve">REV-0001583</t>
  </si>
  <si>
    <t xml:space="preserve">REV-0001584</t>
  </si>
  <si>
    <t xml:space="preserve">REV-0001585</t>
  </si>
  <si>
    <t xml:space="preserve">REV-0001586</t>
  </si>
  <si>
    <t xml:space="preserve">REV-0001587</t>
  </si>
  <si>
    <t xml:space="preserve">REV-0001588</t>
  </si>
  <si>
    <t xml:space="preserve">REV-0001589</t>
  </si>
  <si>
    <t xml:space="preserve">REV-0001590</t>
  </si>
  <si>
    <t xml:space="preserve">REV-0001591</t>
  </si>
  <si>
    <t xml:space="preserve">REV-0001592</t>
  </si>
  <si>
    <t xml:space="preserve">REV-0001593</t>
  </si>
  <si>
    <t xml:space="preserve">REV-0001594</t>
  </si>
  <si>
    <t xml:space="preserve">REV-0001595</t>
  </si>
  <si>
    <t xml:space="preserve">REV-0001596</t>
  </si>
  <si>
    <t xml:space="preserve">REV-0001597</t>
  </si>
  <si>
    <t xml:space="preserve">REV-0001598</t>
  </si>
  <si>
    <t xml:space="preserve">REV-0001599</t>
  </si>
  <si>
    <t xml:space="preserve">REV-0001600</t>
  </si>
  <si>
    <t xml:space="preserve">REV-0001601</t>
  </si>
  <si>
    <t xml:space="preserve">REV-0001602</t>
  </si>
  <si>
    <t xml:space="preserve">REV-0001603</t>
  </si>
  <si>
    <t xml:space="preserve">REV-0001604</t>
  </si>
  <si>
    <t xml:space="preserve">REV-0001605</t>
  </si>
  <si>
    <t xml:space="preserve">REV-0001606</t>
  </si>
  <si>
    <t xml:space="preserve">REV-0001607</t>
  </si>
  <si>
    <t xml:space="preserve">REV-0001608</t>
  </si>
  <si>
    <t xml:space="preserve">REV-0001609</t>
  </si>
  <si>
    <t xml:space="preserve">REV-0001610</t>
  </si>
  <si>
    <t xml:space="preserve">REV-0001611</t>
  </si>
  <si>
    <t xml:space="preserve">REV-0001612</t>
  </si>
  <si>
    <t xml:space="preserve">REV-0001613</t>
  </si>
  <si>
    <t xml:space="preserve">REV-0001614</t>
  </si>
  <si>
    <t xml:space="preserve">REV-0001615</t>
  </si>
  <si>
    <t xml:space="preserve">REV-0001616</t>
  </si>
  <si>
    <t xml:space="preserve">REV-0001617</t>
  </si>
  <si>
    <t xml:space="preserve">REV-0001618</t>
  </si>
  <si>
    <t xml:space="preserve">REV-0001619</t>
  </si>
  <si>
    <t xml:space="preserve">REV-0001620</t>
  </si>
  <si>
    <t xml:space="preserve">REV-0001621</t>
  </si>
  <si>
    <t xml:space="preserve">REV-0001622</t>
  </si>
  <si>
    <t xml:space="preserve">REV-0001623</t>
  </si>
  <si>
    <t xml:space="preserve">REV-0001624</t>
  </si>
  <si>
    <t xml:space="preserve">REV-0001625</t>
  </si>
  <si>
    <t xml:space="preserve">REV-0001626</t>
  </si>
  <si>
    <t xml:space="preserve">REV-0001627</t>
  </si>
  <si>
    <t xml:space="preserve">REV-0001628</t>
  </si>
  <si>
    <t xml:space="preserve">REV-0001629</t>
  </si>
  <si>
    <t xml:space="preserve">REV-0001630</t>
  </si>
  <si>
    <t xml:space="preserve">REV-0001631</t>
  </si>
  <si>
    <t xml:space="preserve">REV-0001632</t>
  </si>
  <si>
    <t xml:space="preserve">REV-0001633</t>
  </si>
  <si>
    <t xml:space="preserve">REV-0001634</t>
  </si>
  <si>
    <t xml:space="preserve">REV-0001635</t>
  </si>
  <si>
    <t xml:space="preserve">REV-0001636</t>
  </si>
  <si>
    <t xml:space="preserve">REV-0001637</t>
  </si>
  <si>
    <t xml:space="preserve">REV-0001638</t>
  </si>
  <si>
    <t xml:space="preserve">REV-0001639</t>
  </si>
  <si>
    <t xml:space="preserve">REV-0001640</t>
  </si>
  <si>
    <t xml:space="preserve">REV-0001641</t>
  </si>
  <si>
    <t xml:space="preserve">REV-0001642</t>
  </si>
  <si>
    <t xml:space="preserve">REV-0001643</t>
  </si>
  <si>
    <t xml:space="preserve">REV-0001644</t>
  </si>
  <si>
    <t xml:space="preserve">REV-0001645</t>
  </si>
  <si>
    <t xml:space="preserve">REV-0001646</t>
  </si>
  <si>
    <t xml:space="preserve">REV-0001647</t>
  </si>
  <si>
    <t xml:space="preserve">REV-0001648</t>
  </si>
  <si>
    <t xml:space="preserve">REV-0001649</t>
  </si>
  <si>
    <t xml:space="preserve">REV-0001650</t>
  </si>
  <si>
    <t xml:space="preserve">REV-0001651</t>
  </si>
  <si>
    <t xml:space="preserve">REV-0001652</t>
  </si>
  <si>
    <t xml:space="preserve">REV-0001653</t>
  </si>
  <si>
    <t xml:space="preserve">REV-0001654</t>
  </si>
  <si>
    <t xml:space="preserve">REV-0001655</t>
  </si>
  <si>
    <t xml:space="preserve">REV-0001656</t>
  </si>
  <si>
    <t xml:space="preserve">REV-0001657</t>
  </si>
  <si>
    <t xml:space="preserve">REV-0001658</t>
  </si>
  <si>
    <t xml:space="preserve">REV-0001659</t>
  </si>
  <si>
    <t xml:space="preserve">REV-0001660</t>
  </si>
  <si>
    <t xml:space="preserve">REV-0001661</t>
  </si>
  <si>
    <t xml:space="preserve">REV-0001662</t>
  </si>
  <si>
    <t xml:space="preserve">REV-0001663</t>
  </si>
  <si>
    <t xml:space="preserve">REV-0001664</t>
  </si>
  <si>
    <t xml:space="preserve">REV-0001665</t>
  </si>
  <si>
    <t xml:space="preserve">REV-0001666</t>
  </si>
  <si>
    <t xml:space="preserve">REV-0001667</t>
  </si>
  <si>
    <t xml:space="preserve">REV-0001668</t>
  </si>
  <si>
    <t xml:space="preserve">REV-0001669</t>
  </si>
  <si>
    <t xml:space="preserve">REV-0001670</t>
  </si>
  <si>
    <t xml:space="preserve">REV-0001671</t>
  </si>
  <si>
    <t xml:space="preserve">REV-0001672</t>
  </si>
  <si>
    <t xml:space="preserve">REV-0001673</t>
  </si>
  <si>
    <t xml:space="preserve">REV-0001674</t>
  </si>
  <si>
    <t xml:space="preserve">REV-0001675</t>
  </si>
  <si>
    <t xml:space="preserve">REV-0001676</t>
  </si>
  <si>
    <t xml:space="preserve">REV-0001677</t>
  </si>
  <si>
    <t xml:space="preserve">REV-0001678</t>
  </si>
  <si>
    <t xml:space="preserve">REV-0001679</t>
  </si>
  <si>
    <t xml:space="preserve">REV-0001680</t>
  </si>
  <si>
    <t xml:space="preserve">REV-0001681</t>
  </si>
  <si>
    <t xml:space="preserve">REV-0001682</t>
  </si>
  <si>
    <t xml:space="preserve">REV-0001683</t>
  </si>
  <si>
    <t xml:space="preserve">REV-0001684</t>
  </si>
  <si>
    <t xml:space="preserve">REV-0001685</t>
  </si>
  <si>
    <t xml:space="preserve">REV-0001686</t>
  </si>
  <si>
    <t xml:space="preserve">REV-0001687</t>
  </si>
  <si>
    <t xml:space="preserve">REV-0001688</t>
  </si>
  <si>
    <t xml:space="preserve">REV-0001689</t>
  </si>
  <si>
    <t xml:space="preserve">REV-0001690</t>
  </si>
  <si>
    <t xml:space="preserve">REV-0001691</t>
  </si>
  <si>
    <t xml:space="preserve">REV-0001692</t>
  </si>
  <si>
    <t xml:space="preserve">REV-0001693</t>
  </si>
  <si>
    <t xml:space="preserve">REV-0001694</t>
  </si>
  <si>
    <t xml:space="preserve">REV-0001695</t>
  </si>
  <si>
    <t xml:space="preserve">REV-0001696</t>
  </si>
  <si>
    <t xml:space="preserve">REV-0001697</t>
  </si>
  <si>
    <t xml:space="preserve">REV-0001698</t>
  </si>
  <si>
    <t xml:space="preserve">REV-0001699</t>
  </si>
  <si>
    <t xml:space="preserve">REV-0001700</t>
  </si>
  <si>
    <t xml:space="preserve">REV-0001701</t>
  </si>
  <si>
    <t xml:space="preserve">REV-0001702</t>
  </si>
  <si>
    <t xml:space="preserve">REV-0001703</t>
  </si>
  <si>
    <t xml:space="preserve">REV-0001704</t>
  </si>
  <si>
    <t xml:space="preserve">REV-0001705</t>
  </si>
  <si>
    <t xml:space="preserve">REV-0001706</t>
  </si>
  <si>
    <t xml:space="preserve">REV-0001707</t>
  </si>
  <si>
    <t xml:space="preserve">REV-0001708</t>
  </si>
  <si>
    <t xml:space="preserve">REV-0001709</t>
  </si>
  <si>
    <t xml:space="preserve">REV-0001710</t>
  </si>
  <si>
    <t xml:space="preserve">REV-0001711</t>
  </si>
  <si>
    <t xml:space="preserve">REV-0001712</t>
  </si>
  <si>
    <t xml:space="preserve">REV-0001713</t>
  </si>
  <si>
    <t xml:space="preserve">REV-0001714</t>
  </si>
  <si>
    <t xml:space="preserve">REV-0001715</t>
  </si>
  <si>
    <t xml:space="preserve">REV-0001716</t>
  </si>
  <si>
    <t xml:space="preserve">REV-0001717</t>
  </si>
  <si>
    <t xml:space="preserve">REV-0001718</t>
  </si>
  <si>
    <t xml:space="preserve">REV-0001719</t>
  </si>
  <si>
    <t xml:space="preserve">REV-0001720</t>
  </si>
  <si>
    <t xml:space="preserve">REV-0001721</t>
  </si>
  <si>
    <t xml:space="preserve">REV-0001722</t>
  </si>
  <si>
    <t xml:space="preserve">REV-0001723</t>
  </si>
  <si>
    <t xml:space="preserve">REV-0001724</t>
  </si>
  <si>
    <t xml:space="preserve">REV-0001725</t>
  </si>
  <si>
    <t xml:space="preserve">REV-0001726</t>
  </si>
  <si>
    <t xml:space="preserve">REV-0001727</t>
  </si>
  <si>
    <t xml:space="preserve">REV-0001728</t>
  </si>
  <si>
    <t xml:space="preserve">REV-0001729</t>
  </si>
  <si>
    <t xml:space="preserve">REV-0001730</t>
  </si>
  <si>
    <t xml:space="preserve">REV-0001731</t>
  </si>
  <si>
    <t xml:space="preserve">REV-0001732</t>
  </si>
  <si>
    <t xml:space="preserve">REV-0001733</t>
  </si>
  <si>
    <t xml:space="preserve">REV-0001734</t>
  </si>
  <si>
    <t xml:space="preserve">REV-0001735</t>
  </si>
  <si>
    <t xml:space="preserve">REV-0001736</t>
  </si>
  <si>
    <t xml:space="preserve">REV-0001737</t>
  </si>
  <si>
    <t xml:space="preserve">REV-0001738</t>
  </si>
  <si>
    <t xml:space="preserve">REV-0001739</t>
  </si>
  <si>
    <t xml:space="preserve">REV-0001740</t>
  </si>
  <si>
    <t xml:space="preserve">REV-0001741</t>
  </si>
  <si>
    <t xml:space="preserve">REV-0001742</t>
  </si>
  <si>
    <t xml:space="preserve">REV-0001743</t>
  </si>
  <si>
    <t xml:space="preserve">REV-0001744</t>
  </si>
  <si>
    <t xml:space="preserve">REV-0001745</t>
  </si>
  <si>
    <t xml:space="preserve">REV-0001746</t>
  </si>
  <si>
    <t xml:space="preserve">REV-0001747</t>
  </si>
  <si>
    <t xml:space="preserve">REV-0001748</t>
  </si>
  <si>
    <t xml:space="preserve">REV-0001749</t>
  </si>
  <si>
    <t xml:space="preserve">REV-0001750</t>
  </si>
  <si>
    <t xml:space="preserve">REV-0001751</t>
  </si>
  <si>
    <t xml:space="preserve">REV-0001752</t>
  </si>
  <si>
    <t xml:space="preserve">REV-0001753</t>
  </si>
  <si>
    <t xml:space="preserve">REV-0001754</t>
  </si>
  <si>
    <t xml:space="preserve">REV-0001755</t>
  </si>
  <si>
    <t xml:space="preserve">REV-0001756</t>
  </si>
  <si>
    <t xml:space="preserve">REV-0001757</t>
  </si>
  <si>
    <t xml:space="preserve">REV-0001758</t>
  </si>
  <si>
    <t xml:space="preserve">REV-0001759</t>
  </si>
  <si>
    <t xml:space="preserve">REV-0001760</t>
  </si>
  <si>
    <t xml:space="preserve">REV-0001761</t>
  </si>
  <si>
    <t xml:space="preserve">REV-0001762</t>
  </si>
  <si>
    <t xml:space="preserve">REV-0001763</t>
  </si>
  <si>
    <t xml:space="preserve">REV-0001764</t>
  </si>
  <si>
    <t xml:space="preserve">REV-0001765</t>
  </si>
  <si>
    <t xml:space="preserve">REV-0001766</t>
  </si>
  <si>
    <t xml:space="preserve">REV-0001767</t>
  </si>
  <si>
    <t xml:space="preserve">REV-0001768</t>
  </si>
  <si>
    <t xml:space="preserve">REV-0001769</t>
  </si>
  <si>
    <t xml:space="preserve">REV-0001770</t>
  </si>
  <si>
    <t xml:space="preserve">REV-0001771</t>
  </si>
  <si>
    <t xml:space="preserve">REV-0001772</t>
  </si>
  <si>
    <t xml:space="preserve">REV-0001773</t>
  </si>
  <si>
    <t xml:space="preserve">REV-0001774</t>
  </si>
  <si>
    <t xml:space="preserve">REV-0001775</t>
  </si>
  <si>
    <t xml:space="preserve">REV-0001776</t>
  </si>
  <si>
    <t xml:space="preserve">REV-0001777</t>
  </si>
  <si>
    <t xml:space="preserve">REV-0001778</t>
  </si>
  <si>
    <t xml:space="preserve">REV-0001779</t>
  </si>
  <si>
    <t xml:space="preserve">REV-0001780</t>
  </si>
  <si>
    <t xml:space="preserve">REV-0001781</t>
  </si>
  <si>
    <t xml:space="preserve">REV-0001782</t>
  </si>
  <si>
    <t xml:space="preserve">REV-0001783</t>
  </si>
  <si>
    <t xml:space="preserve">REV-0001784</t>
  </si>
  <si>
    <t xml:space="preserve">REV-0001785</t>
  </si>
  <si>
    <t xml:space="preserve">REV-0001786</t>
  </si>
  <si>
    <t xml:space="preserve">REV-0001787</t>
  </si>
  <si>
    <t xml:space="preserve">REV-0001788</t>
  </si>
  <si>
    <t xml:space="preserve">REV-0001789</t>
  </si>
  <si>
    <t xml:space="preserve">REV-0001790</t>
  </si>
  <si>
    <t xml:space="preserve">REV-0001791</t>
  </si>
  <si>
    <t xml:space="preserve">REV-0001792</t>
  </si>
  <si>
    <t xml:space="preserve">REV-0001793</t>
  </si>
  <si>
    <t xml:space="preserve">REV-0001794</t>
  </si>
  <si>
    <t xml:space="preserve">REV-0001795</t>
  </si>
  <si>
    <t xml:space="preserve">REV-0001796</t>
  </si>
  <si>
    <t xml:space="preserve">REV-0001797</t>
  </si>
  <si>
    <t xml:space="preserve">REV-0001798</t>
  </si>
  <si>
    <t xml:space="preserve">REV-0001799</t>
  </si>
  <si>
    <t xml:space="preserve">REV-0001800</t>
  </si>
  <si>
    <t xml:space="preserve">REV-0001801</t>
  </si>
  <si>
    <t xml:space="preserve">REV-0001802</t>
  </si>
  <si>
    <t xml:space="preserve">REV-0001803</t>
  </si>
  <si>
    <t xml:space="preserve">REV-0001804</t>
  </si>
  <si>
    <t xml:space="preserve">REV-0001805</t>
  </si>
  <si>
    <t xml:space="preserve">REV-0001806</t>
  </si>
  <si>
    <t xml:space="preserve">REV-0001807</t>
  </si>
  <si>
    <t xml:space="preserve">REV-0001808</t>
  </si>
  <si>
    <t xml:space="preserve">REV-0001809</t>
  </si>
  <si>
    <t xml:space="preserve">REV-0001810</t>
  </si>
  <si>
    <t xml:space="preserve">REV-0001811</t>
  </si>
  <si>
    <t xml:space="preserve">REV-0001812</t>
  </si>
  <si>
    <t xml:space="preserve">REV-0001813</t>
  </si>
  <si>
    <t xml:space="preserve">REV-0001814</t>
  </si>
  <si>
    <t xml:space="preserve">REV-0001815</t>
  </si>
  <si>
    <t xml:space="preserve">REV-0001816</t>
  </si>
  <si>
    <t xml:space="preserve">REV-0001817</t>
  </si>
  <si>
    <t xml:space="preserve">REV-0001818</t>
  </si>
  <si>
    <t xml:space="preserve">REV-0001819</t>
  </si>
  <si>
    <t xml:space="preserve">REV-0001820</t>
  </si>
  <si>
    <t xml:space="preserve">REV-0001821</t>
  </si>
  <si>
    <t xml:space="preserve">REV-0001822</t>
  </si>
  <si>
    <t xml:space="preserve">REV-0001823</t>
  </si>
  <si>
    <t xml:space="preserve">REV-0001824</t>
  </si>
  <si>
    <t xml:space="preserve">REV-0001825</t>
  </si>
  <si>
    <t xml:space="preserve">REV-0001826</t>
  </si>
  <si>
    <t xml:space="preserve">REV-0001827</t>
  </si>
  <si>
    <t xml:space="preserve">REV-0001828</t>
  </si>
  <si>
    <t xml:space="preserve">REV-0001829</t>
  </si>
  <si>
    <t xml:space="preserve">REV-0001830</t>
  </si>
  <si>
    <t xml:space="preserve">REV-0001831</t>
  </si>
  <si>
    <t xml:space="preserve">REV-0001832</t>
  </si>
  <si>
    <t xml:space="preserve">REV-0001833</t>
  </si>
  <si>
    <t xml:space="preserve">REV-0001834</t>
  </si>
  <si>
    <t xml:space="preserve">REV-0001835</t>
  </si>
  <si>
    <t xml:space="preserve">REV-0001836</t>
  </si>
  <si>
    <t xml:space="preserve">REV-0001837</t>
  </si>
  <si>
    <t xml:space="preserve">REV-0001838</t>
  </si>
  <si>
    <t xml:space="preserve">REV-0001839</t>
  </si>
  <si>
    <t xml:space="preserve">REV-0001840</t>
  </si>
  <si>
    <t xml:space="preserve">REV-0001841</t>
  </si>
  <si>
    <t xml:space="preserve">REV-0001842</t>
  </si>
  <si>
    <t xml:space="preserve">REV-0001843</t>
  </si>
  <si>
    <t xml:space="preserve">REV-0001844</t>
  </si>
  <si>
    <t xml:space="preserve">REV-0001845</t>
  </si>
  <si>
    <t xml:space="preserve">REV-0001846</t>
  </si>
  <si>
    <t xml:space="preserve">REV-0001847</t>
  </si>
  <si>
    <t xml:space="preserve">REV-0001848</t>
  </si>
  <si>
    <t xml:space="preserve">REV-0001849</t>
  </si>
  <si>
    <t xml:space="preserve">REV-0001850</t>
  </si>
  <si>
    <t xml:space="preserve">REV-0001851</t>
  </si>
  <si>
    <t xml:space="preserve">REV-0001852</t>
  </si>
  <si>
    <t xml:space="preserve">REV-0001853</t>
  </si>
  <si>
    <t xml:space="preserve">REV-0001854</t>
  </si>
  <si>
    <t xml:space="preserve">REV-0001855</t>
  </si>
  <si>
    <t xml:space="preserve">REV-0001856</t>
  </si>
  <si>
    <t xml:space="preserve">REV-0001857</t>
  </si>
  <si>
    <t xml:space="preserve">REV-0001858</t>
  </si>
  <si>
    <t xml:space="preserve">REV-0001859</t>
  </si>
  <si>
    <t xml:space="preserve">REV-0001860</t>
  </si>
  <si>
    <t xml:space="preserve">REV-0001861</t>
  </si>
  <si>
    <t xml:space="preserve">REV-0001862</t>
  </si>
  <si>
    <t xml:space="preserve">REV-0001863</t>
  </si>
  <si>
    <t xml:space="preserve">REV-0001864</t>
  </si>
  <si>
    <t xml:space="preserve">REV-0001865</t>
  </si>
  <si>
    <t xml:space="preserve">REV-0001866</t>
  </si>
  <si>
    <t xml:space="preserve">REV-0001867</t>
  </si>
  <si>
    <t xml:space="preserve">REV-0001868</t>
  </si>
  <si>
    <t xml:space="preserve">REV-0001869</t>
  </si>
  <si>
    <t xml:space="preserve">REV-0001870</t>
  </si>
  <si>
    <t xml:space="preserve">REV-0001871</t>
  </si>
  <si>
    <t xml:space="preserve">REV-0001872</t>
  </si>
  <si>
    <t xml:space="preserve">REV-0001873</t>
  </si>
  <si>
    <t xml:space="preserve">REV-0001874</t>
  </si>
  <si>
    <t xml:space="preserve">REV-0001875</t>
  </si>
  <si>
    <t xml:space="preserve">REV-0001876</t>
  </si>
  <si>
    <t xml:space="preserve">REV-0001877</t>
  </si>
  <si>
    <t xml:space="preserve">REV-0001878</t>
  </si>
  <si>
    <t xml:space="preserve">REV-0001879</t>
  </si>
  <si>
    <t xml:space="preserve">REV-0001880</t>
  </si>
  <si>
    <t xml:space="preserve">REV-0001881</t>
  </si>
  <si>
    <t xml:space="preserve">REV-0001882</t>
  </si>
  <si>
    <t xml:space="preserve">REV-0001883</t>
  </si>
  <si>
    <t xml:space="preserve">REV-0001884</t>
  </si>
  <si>
    <t xml:space="preserve">REV-0001885</t>
  </si>
  <si>
    <t xml:space="preserve">REV-0001886</t>
  </si>
  <si>
    <t xml:space="preserve">REV-0001887</t>
  </si>
  <si>
    <t xml:space="preserve">REV-0001888</t>
  </si>
  <si>
    <t xml:space="preserve">REV-0001889</t>
  </si>
  <si>
    <t xml:space="preserve">REV-0001890</t>
  </si>
  <si>
    <t xml:space="preserve">REV-0001891</t>
  </si>
  <si>
    <t xml:space="preserve">REV-0001892</t>
  </si>
  <si>
    <t xml:space="preserve">REV-0001893</t>
  </si>
  <si>
    <t xml:space="preserve">REV-0001894</t>
  </si>
  <si>
    <t xml:space="preserve">REV-0001895</t>
  </si>
  <si>
    <t xml:space="preserve">REV-0001896</t>
  </si>
  <si>
    <t xml:space="preserve">REV-0001897</t>
  </si>
  <si>
    <t xml:space="preserve">REV-0001898</t>
  </si>
  <si>
    <t xml:space="preserve">REV-0001899</t>
  </si>
  <si>
    <t xml:space="preserve">REV-0001900</t>
  </si>
  <si>
    <t xml:space="preserve">REV-0001901</t>
  </si>
  <si>
    <t xml:space="preserve">REV-0001902</t>
  </si>
  <si>
    <t xml:space="preserve">REV-0001903</t>
  </si>
  <si>
    <t xml:space="preserve">REV-0001904</t>
  </si>
  <si>
    <t xml:space="preserve">REV-0001905</t>
  </si>
  <si>
    <t xml:space="preserve">REV-0001906</t>
  </si>
  <si>
    <t xml:space="preserve">REV-0001907</t>
  </si>
  <si>
    <t xml:space="preserve">REV-0001908</t>
  </si>
  <si>
    <t xml:space="preserve">REV-0001909</t>
  </si>
  <si>
    <t xml:space="preserve">REV-0001910</t>
  </si>
  <si>
    <t xml:space="preserve">REV-0001911</t>
  </si>
  <si>
    <t xml:space="preserve">REV-0001912</t>
  </si>
  <si>
    <t xml:space="preserve">REV-0001913</t>
  </si>
  <si>
    <t xml:space="preserve">REV-0001914</t>
  </si>
  <si>
    <t xml:space="preserve">REV-0001915</t>
  </si>
  <si>
    <t xml:space="preserve">REV-0001916</t>
  </si>
  <si>
    <t xml:space="preserve">REV-0001917</t>
  </si>
  <si>
    <t xml:space="preserve">REV-0001918</t>
  </si>
  <si>
    <t xml:space="preserve">REV-0001919</t>
  </si>
  <si>
    <t xml:space="preserve">REV-0001920</t>
  </si>
  <si>
    <t xml:space="preserve">REV-0001921</t>
  </si>
  <si>
    <t xml:space="preserve">REV-0001922</t>
  </si>
  <si>
    <t xml:space="preserve">REV-0001923</t>
  </si>
  <si>
    <t xml:space="preserve">REV-0001924</t>
  </si>
  <si>
    <t xml:space="preserve">REV-0001925</t>
  </si>
  <si>
    <t xml:space="preserve">REV-0001926</t>
  </si>
  <si>
    <t xml:space="preserve">REV-0001927</t>
  </si>
  <si>
    <t xml:space="preserve">REV-0001928</t>
  </si>
  <si>
    <t xml:space="preserve">REV-0001929</t>
  </si>
  <si>
    <t xml:space="preserve">REV-0001930</t>
  </si>
  <si>
    <t xml:space="preserve">REV-0001931</t>
  </si>
  <si>
    <t xml:space="preserve">REV-0001932</t>
  </si>
  <si>
    <t xml:space="preserve">REV-0001933</t>
  </si>
  <si>
    <t xml:space="preserve">REV-0001934</t>
  </si>
  <si>
    <t xml:space="preserve">REV-0001935</t>
  </si>
  <si>
    <t xml:space="preserve">REV-0001936</t>
  </si>
  <si>
    <t xml:space="preserve">REV-0001937</t>
  </si>
  <si>
    <t xml:space="preserve">REV-0001938</t>
  </si>
  <si>
    <t xml:space="preserve">REV-0001939</t>
  </si>
  <si>
    <t xml:space="preserve">REV-0001940</t>
  </si>
  <si>
    <t xml:space="preserve">REV-0001941</t>
  </si>
  <si>
    <t xml:space="preserve">REV-0001942</t>
  </si>
  <si>
    <t xml:space="preserve">REV-0001943</t>
  </si>
  <si>
    <t xml:space="preserve">REV-0001944</t>
  </si>
  <si>
    <t xml:space="preserve">REV-0001945</t>
  </si>
  <si>
    <t xml:space="preserve">REV-0001946</t>
  </si>
  <si>
    <t xml:space="preserve">REV-0001947</t>
  </si>
  <si>
    <t xml:space="preserve">REV-0001948</t>
  </si>
  <si>
    <t xml:space="preserve">REV-0001949</t>
  </si>
  <si>
    <t xml:space="preserve">REV-0001950</t>
  </si>
  <si>
    <t xml:space="preserve">REV-0001951</t>
  </si>
  <si>
    <t xml:space="preserve">REV-0001952</t>
  </si>
  <si>
    <t xml:space="preserve">REV-0001953</t>
  </si>
  <si>
    <t xml:space="preserve">REV-0001954</t>
  </si>
  <si>
    <t xml:space="preserve">REV-0001955</t>
  </si>
  <si>
    <t xml:space="preserve">REV-0001956</t>
  </si>
  <si>
    <t xml:space="preserve">REV-0001957</t>
  </si>
  <si>
    <t xml:space="preserve">REV-0001958</t>
  </si>
  <si>
    <t xml:space="preserve">REV-0001959</t>
  </si>
  <si>
    <t xml:space="preserve">REV-0001960</t>
  </si>
  <si>
    <t xml:space="preserve">REV-0001961</t>
  </si>
  <si>
    <t xml:space="preserve">REV-0001962</t>
  </si>
  <si>
    <t xml:space="preserve">REV-0001963</t>
  </si>
  <si>
    <t xml:space="preserve">REV-0001964</t>
  </si>
  <si>
    <t xml:space="preserve">REV-0001965</t>
  </si>
  <si>
    <t xml:space="preserve">REV-0001966</t>
  </si>
  <si>
    <t xml:space="preserve">REV-0001967</t>
  </si>
  <si>
    <t xml:space="preserve">REV-0001968</t>
  </si>
  <si>
    <t xml:space="preserve">REV-0001969</t>
  </si>
  <si>
    <t xml:space="preserve">REV-0001970</t>
  </si>
  <si>
    <t xml:space="preserve">REV-0001971</t>
  </si>
  <si>
    <t xml:space="preserve">REV-0001972</t>
  </si>
  <si>
    <t xml:space="preserve">REV-0001973</t>
  </si>
  <si>
    <t xml:space="preserve">REV-0001974</t>
  </si>
  <si>
    <t xml:space="preserve">REV-0001975</t>
  </si>
  <si>
    <t xml:space="preserve">REV-0001976</t>
  </si>
  <si>
    <t xml:space="preserve">REV-0001977</t>
  </si>
  <si>
    <t xml:space="preserve">REV-0001978</t>
  </si>
  <si>
    <t xml:space="preserve">REV-0001979</t>
  </si>
  <si>
    <t xml:space="preserve">REV-0001980</t>
  </si>
  <si>
    <t xml:space="preserve">REV-0001981</t>
  </si>
  <si>
    <t xml:space="preserve">REV-0001982</t>
  </si>
  <si>
    <t xml:space="preserve">REV-0001983</t>
  </si>
  <si>
    <t xml:space="preserve">REV-0001984</t>
  </si>
  <si>
    <t xml:space="preserve">REV-0001985</t>
  </si>
  <si>
    <t xml:space="preserve">REV-0001986</t>
  </si>
  <si>
    <t xml:space="preserve">REV-0001987</t>
  </si>
  <si>
    <t xml:space="preserve">REV-0001988</t>
  </si>
  <si>
    <t xml:space="preserve">REV-0001989</t>
  </si>
  <si>
    <t xml:space="preserve">REV-0001990</t>
  </si>
  <si>
    <t xml:space="preserve">REV-0001991</t>
  </si>
  <si>
    <t xml:space="preserve">REV-0001992</t>
  </si>
  <si>
    <t xml:space="preserve">REV-0001993</t>
  </si>
  <si>
    <t xml:space="preserve">REV-0001994</t>
  </si>
  <si>
    <t xml:space="preserve">REV-0001995</t>
  </si>
  <si>
    <t xml:space="preserve">REV-0001996</t>
  </si>
  <si>
    <t xml:space="preserve">REV-0001997</t>
  </si>
  <si>
    <t xml:space="preserve">REV-0001998</t>
  </si>
  <si>
    <t xml:space="preserve">REV-0001999</t>
  </si>
  <si>
    <t xml:space="preserve">REV-0002000</t>
  </si>
  <si>
    <t xml:space="preserve">REV-0002001</t>
  </si>
  <si>
    <t xml:space="preserve">REV-0002002</t>
  </si>
  <si>
    <t xml:space="preserve">REV-0002003</t>
  </si>
  <si>
    <t xml:space="preserve">REV-0002004</t>
  </si>
  <si>
    <t xml:space="preserve">REV-0002005</t>
  </si>
  <si>
    <t xml:space="preserve">REV-0002006</t>
  </si>
  <si>
    <t xml:space="preserve">REV-0002007</t>
  </si>
  <si>
    <t xml:space="preserve">REV-0002008</t>
  </si>
  <si>
    <t xml:space="preserve">REV-0002009</t>
  </si>
  <si>
    <t xml:space="preserve">REV-0002010</t>
  </si>
  <si>
    <t xml:space="preserve">REV-0002011</t>
  </si>
  <si>
    <t xml:space="preserve">REV-0002012</t>
  </si>
  <si>
    <t xml:space="preserve">REV-0002013</t>
  </si>
  <si>
    <t xml:space="preserve">REV-0002014</t>
  </si>
  <si>
    <t xml:space="preserve">REV-0002015</t>
  </si>
  <si>
    <t xml:space="preserve">REV-0002016</t>
  </si>
  <si>
    <t xml:space="preserve">REV-0002017</t>
  </si>
  <si>
    <t xml:space="preserve">REV-0002018</t>
  </si>
  <si>
    <t xml:space="preserve">REV-0002019</t>
  </si>
  <si>
    <t xml:space="preserve">REV-0002020</t>
  </si>
  <si>
    <t xml:space="preserve">REV-0002021</t>
  </si>
  <si>
    <t xml:space="preserve">REV-0002022</t>
  </si>
  <si>
    <t xml:space="preserve">REV-0002023</t>
  </si>
  <si>
    <t xml:space="preserve">REV-0002024</t>
  </si>
  <si>
    <t xml:space="preserve">REV-0002025</t>
  </si>
  <si>
    <t xml:space="preserve">REV-0002026</t>
  </si>
  <si>
    <t xml:space="preserve">REV-0002027</t>
  </si>
  <si>
    <t xml:space="preserve">REV-0002028</t>
  </si>
  <si>
    <t xml:space="preserve">REV-0002029</t>
  </si>
  <si>
    <t xml:space="preserve">REV-0002030</t>
  </si>
  <si>
    <t xml:space="preserve">REV-0002031</t>
  </si>
  <si>
    <t xml:space="preserve">REV-0002032</t>
  </si>
  <si>
    <t xml:space="preserve">REV-0002033</t>
  </si>
  <si>
    <t xml:space="preserve">REV-0002034</t>
  </si>
  <si>
    <t xml:space="preserve">REV-0002035</t>
  </si>
  <si>
    <t xml:space="preserve">REV-0002036</t>
  </si>
  <si>
    <t xml:space="preserve">REV-0002037</t>
  </si>
  <si>
    <t xml:space="preserve">REV-0002038</t>
  </si>
  <si>
    <t xml:space="preserve">REV-0002039</t>
  </si>
  <si>
    <t xml:space="preserve">REV-0002040</t>
  </si>
  <si>
    <t xml:space="preserve">REV-0002041</t>
  </si>
  <si>
    <t xml:space="preserve">REV-0002042</t>
  </si>
  <si>
    <t xml:space="preserve">REV-0002043</t>
  </si>
  <si>
    <t xml:space="preserve">REV-0002044</t>
  </si>
  <si>
    <t xml:space="preserve">REV-0002045</t>
  </si>
  <si>
    <t xml:space="preserve">REV-0002046</t>
  </si>
  <si>
    <t xml:space="preserve">REV-0002047</t>
  </si>
  <si>
    <t xml:space="preserve">REV-0002048</t>
  </si>
  <si>
    <t xml:space="preserve">REV-0002049</t>
  </si>
  <si>
    <t xml:space="preserve">REV-0002050</t>
  </si>
  <si>
    <t xml:space="preserve">REV-0002051</t>
  </si>
  <si>
    <t xml:space="preserve">REV-0002052</t>
  </si>
  <si>
    <t xml:space="preserve">REV-0002053</t>
  </si>
  <si>
    <t xml:space="preserve">REV-0002054</t>
  </si>
  <si>
    <t xml:space="preserve">REV-0002055</t>
  </si>
  <si>
    <t xml:space="preserve">REV-0002056</t>
  </si>
  <si>
    <t xml:space="preserve">REV-0002057</t>
  </si>
  <si>
    <t xml:space="preserve">REV-0002058</t>
  </si>
  <si>
    <t xml:space="preserve">REV-0002059</t>
  </si>
  <si>
    <t xml:space="preserve">REV-0002060</t>
  </si>
  <si>
    <t xml:space="preserve">REV-0002061</t>
  </si>
  <si>
    <t xml:space="preserve">REV-0002062</t>
  </si>
  <si>
    <t xml:space="preserve">REV-0002063</t>
  </si>
  <si>
    <t xml:space="preserve">REV-0002064</t>
  </si>
  <si>
    <t xml:space="preserve">REV-0002065</t>
  </si>
  <si>
    <t xml:space="preserve">REV-0002066</t>
  </si>
  <si>
    <t xml:space="preserve">REV-0002067</t>
  </si>
  <si>
    <t xml:space="preserve">REV-0002068</t>
  </si>
  <si>
    <t xml:space="preserve">REV-0002069</t>
  </si>
  <si>
    <t xml:space="preserve">REV-0002070</t>
  </si>
  <si>
    <t xml:space="preserve">REV-0002071</t>
  </si>
  <si>
    <t xml:space="preserve">REV-0002072</t>
  </si>
  <si>
    <t xml:space="preserve">REV-0002073</t>
  </si>
  <si>
    <t xml:space="preserve">REV-0002074</t>
  </si>
  <si>
    <t xml:space="preserve">REV-0002075</t>
  </si>
  <si>
    <t xml:space="preserve">REV-0002076</t>
  </si>
  <si>
    <t xml:space="preserve">REV-0002077</t>
  </si>
  <si>
    <t xml:space="preserve">REV-0002078</t>
  </si>
  <si>
    <t xml:space="preserve">REV-0002079</t>
  </si>
  <si>
    <t xml:space="preserve">REV-0002080</t>
  </si>
  <si>
    <t xml:space="preserve">REV-0002081</t>
  </si>
  <si>
    <t xml:space="preserve">REV-0002082</t>
  </si>
  <si>
    <t xml:space="preserve">REV-0002083</t>
  </si>
  <si>
    <t xml:space="preserve">REV-0002084</t>
  </si>
  <si>
    <t xml:space="preserve">REV-0002085</t>
  </si>
  <si>
    <t xml:space="preserve">REV-0002086</t>
  </si>
  <si>
    <t xml:space="preserve">REV-0002087</t>
  </si>
  <si>
    <t xml:space="preserve">REV-0002088</t>
  </si>
  <si>
    <t xml:space="preserve">REV-0002089</t>
  </si>
  <si>
    <t xml:space="preserve">REV-0002090</t>
  </si>
  <si>
    <t xml:space="preserve">REV-0002091</t>
  </si>
  <si>
    <t xml:space="preserve">REV-0002092</t>
  </si>
  <si>
    <t xml:space="preserve">REV-0002093</t>
  </si>
  <si>
    <t xml:space="preserve">REV-0002094</t>
  </si>
  <si>
    <t xml:space="preserve">REV-0002095</t>
  </si>
  <si>
    <t xml:space="preserve">REV-0002096</t>
  </si>
  <si>
    <t xml:space="preserve">REV-0002097</t>
  </si>
  <si>
    <t xml:space="preserve">REV-0002098</t>
  </si>
  <si>
    <t xml:space="preserve">REV-0002099</t>
  </si>
  <si>
    <t xml:space="preserve">REV-0002100</t>
  </si>
  <si>
    <t xml:space="preserve">REV-0002101</t>
  </si>
  <si>
    <t xml:space="preserve">REV-0002102</t>
  </si>
  <si>
    <t xml:space="preserve">REV-0002103</t>
  </si>
  <si>
    <t xml:space="preserve">REV-0002104</t>
  </si>
  <si>
    <t xml:space="preserve">REV-0002105</t>
  </si>
  <si>
    <t xml:space="preserve">REV-0002106</t>
  </si>
  <si>
    <t xml:space="preserve">REV-0002107</t>
  </si>
  <si>
    <t xml:space="preserve">REV-0002108</t>
  </si>
  <si>
    <t xml:space="preserve">REV-0002109</t>
  </si>
  <si>
    <t xml:space="preserve">REV-0002110</t>
  </si>
  <si>
    <t xml:space="preserve">REV-0002111</t>
  </si>
  <si>
    <t xml:space="preserve">REV-0002112</t>
  </si>
  <si>
    <t xml:space="preserve">REV-0002113</t>
  </si>
  <si>
    <t xml:space="preserve">REV-0002114</t>
  </si>
  <si>
    <t xml:space="preserve">REV-0002115</t>
  </si>
  <si>
    <t xml:space="preserve">REV-0002116</t>
  </si>
  <si>
    <t xml:space="preserve">REV-0002117</t>
  </si>
  <si>
    <t xml:space="preserve">REV-0002118</t>
  </si>
  <si>
    <t xml:space="preserve">REV-0002119</t>
  </si>
  <si>
    <t xml:space="preserve">REV-0002120</t>
  </si>
  <si>
    <t xml:space="preserve">REV-0002121</t>
  </si>
  <si>
    <t xml:space="preserve">REV-0002122</t>
  </si>
  <si>
    <t xml:space="preserve">REV-0002123</t>
  </si>
  <si>
    <t xml:space="preserve">REV-0002124</t>
  </si>
  <si>
    <t xml:space="preserve">REV-0002125</t>
  </si>
  <si>
    <t xml:space="preserve">REV-0002126</t>
  </si>
  <si>
    <t xml:space="preserve">REV-0002127</t>
  </si>
  <si>
    <t xml:space="preserve">REV-0002128</t>
  </si>
  <si>
    <t xml:space="preserve">REV-0002129</t>
  </si>
  <si>
    <t xml:space="preserve">REV-0002130</t>
  </si>
  <si>
    <t xml:space="preserve">REV-0002131</t>
  </si>
  <si>
    <t xml:space="preserve">REV-0002132</t>
  </si>
  <si>
    <t xml:space="preserve">REV-0002133</t>
  </si>
  <si>
    <t xml:space="preserve">REV-0002134</t>
  </si>
  <si>
    <t xml:space="preserve">REV-0002135</t>
  </si>
  <si>
    <t xml:space="preserve">REV-0002136</t>
  </si>
  <si>
    <t xml:space="preserve">REV-0002137</t>
  </si>
  <si>
    <t xml:space="preserve">REV-0002138</t>
  </si>
  <si>
    <t xml:space="preserve">REV-0002139</t>
  </si>
  <si>
    <t xml:space="preserve">REV-0002140</t>
  </si>
  <si>
    <t xml:space="preserve">REV-0002141</t>
  </si>
  <si>
    <t xml:space="preserve">REV-0002142</t>
  </si>
  <si>
    <t xml:space="preserve">REV-0002143</t>
  </si>
  <si>
    <t xml:space="preserve">REV-0002144</t>
  </si>
  <si>
    <t xml:space="preserve">REV-0002145</t>
  </si>
  <si>
    <t xml:space="preserve">REV-0002146</t>
  </si>
  <si>
    <t xml:space="preserve">REV-0002147</t>
  </si>
  <si>
    <t xml:space="preserve">REV-0002148</t>
  </si>
  <si>
    <t xml:space="preserve">REV-0002149</t>
  </si>
  <si>
    <t xml:space="preserve">REV-0002150</t>
  </si>
  <si>
    <t xml:space="preserve">REV-0002151</t>
  </si>
  <si>
    <t xml:space="preserve">REV-0002152</t>
  </si>
  <si>
    <t xml:space="preserve">REV-0002153</t>
  </si>
  <si>
    <t xml:space="preserve">REV-0002154</t>
  </si>
  <si>
    <t xml:space="preserve">REV-0002155</t>
  </si>
  <si>
    <t xml:space="preserve">REV-0002156</t>
  </si>
  <si>
    <t xml:space="preserve">REV-0002157</t>
  </si>
  <si>
    <t xml:space="preserve">REV-0002158</t>
  </si>
  <si>
    <t xml:space="preserve">REV-0002159</t>
  </si>
  <si>
    <t xml:space="preserve">REV-0002160</t>
  </si>
  <si>
    <t xml:space="preserve">REV-0002161</t>
  </si>
  <si>
    <t xml:space="preserve">REV-0002162</t>
  </si>
  <si>
    <t xml:space="preserve">REV-0002163</t>
  </si>
  <si>
    <t xml:space="preserve">REV-0002164</t>
  </si>
  <si>
    <t xml:space="preserve">REV-0002165</t>
  </si>
  <si>
    <t xml:space="preserve">REV-0002166</t>
  </si>
  <si>
    <t xml:space="preserve">REV-0002167</t>
  </si>
  <si>
    <t xml:space="preserve">REV-0002168</t>
  </si>
  <si>
    <t xml:space="preserve">REV-0002169</t>
  </si>
  <si>
    <t xml:space="preserve">REV-0002170</t>
  </si>
  <si>
    <t xml:space="preserve">REV-0002171</t>
  </si>
  <si>
    <t xml:space="preserve">REV-0002172</t>
  </si>
  <si>
    <t xml:space="preserve">REV-0002173</t>
  </si>
  <si>
    <t xml:space="preserve">REV-0002174</t>
  </si>
  <si>
    <t xml:space="preserve">REV-0002175</t>
  </si>
  <si>
    <t xml:space="preserve">REV-0002176</t>
  </si>
  <si>
    <t xml:space="preserve">REV-0002177</t>
  </si>
  <si>
    <t xml:space="preserve">REV-0002178</t>
  </si>
  <si>
    <t xml:space="preserve">REV-0002179</t>
  </si>
  <si>
    <t xml:space="preserve">REV-0002180</t>
  </si>
  <si>
    <t xml:space="preserve">REV-0002181</t>
  </si>
  <si>
    <t xml:space="preserve">REV-0002182</t>
  </si>
  <si>
    <t xml:space="preserve">REV-0002183</t>
  </si>
  <si>
    <t xml:space="preserve">REV-0002184</t>
  </si>
  <si>
    <t xml:space="preserve">REV-0002185</t>
  </si>
  <si>
    <t xml:space="preserve">REV-0002186</t>
  </si>
  <si>
    <t xml:space="preserve">REV-0002187</t>
  </si>
  <si>
    <t xml:space="preserve">REV-0002188</t>
  </si>
  <si>
    <t xml:space="preserve">REV-0002189</t>
  </si>
  <si>
    <t xml:space="preserve">REV-0002190</t>
  </si>
  <si>
    <t xml:space="preserve">REV-0002191</t>
  </si>
  <si>
    <t xml:space="preserve">REV-0002192</t>
  </si>
  <si>
    <t xml:space="preserve">REV-0002193</t>
  </si>
  <si>
    <t xml:space="preserve">REV-0002194</t>
  </si>
  <si>
    <t xml:space="preserve">REV-0002195</t>
  </si>
  <si>
    <t xml:space="preserve">REV-0002196</t>
  </si>
  <si>
    <t xml:space="preserve">REV-0002197</t>
  </si>
  <si>
    <t xml:space="preserve">REV-0002198</t>
  </si>
  <si>
    <t xml:space="preserve">REV-0002199</t>
  </si>
  <si>
    <t xml:space="preserve">REV-0002200</t>
  </si>
  <si>
    <t xml:space="preserve">REV-0002201</t>
  </si>
  <si>
    <t xml:space="preserve">REV-0002202</t>
  </si>
  <si>
    <t xml:space="preserve">REV-0002203</t>
  </si>
  <si>
    <t xml:space="preserve">REV-0002204</t>
  </si>
  <si>
    <t xml:space="preserve">REV-0002205</t>
  </si>
  <si>
    <t xml:space="preserve">REV-0002206</t>
  </si>
  <si>
    <t xml:space="preserve">REV-0002207</t>
  </si>
  <si>
    <t xml:space="preserve">REV-0002208</t>
  </si>
  <si>
    <t xml:space="preserve">REV-0002209</t>
  </si>
  <si>
    <t xml:space="preserve">REV-0002210</t>
  </si>
  <si>
    <t xml:space="preserve">REV-0002211</t>
  </si>
  <si>
    <t xml:space="preserve">REV-0002212</t>
  </si>
  <si>
    <t xml:space="preserve">REV-0002213</t>
  </si>
  <si>
    <t xml:space="preserve">REV-0002214</t>
  </si>
  <si>
    <t xml:space="preserve">REV-0002215</t>
  </si>
  <si>
    <t xml:space="preserve">REV-0002216</t>
  </si>
  <si>
    <t xml:space="preserve">REV-0002217</t>
  </si>
  <si>
    <t xml:space="preserve">REV-0002218</t>
  </si>
  <si>
    <t xml:space="preserve">REV-0002219</t>
  </si>
  <si>
    <t xml:space="preserve">REV-0002220</t>
  </si>
  <si>
    <t xml:space="preserve">REV-0002221</t>
  </si>
  <si>
    <t xml:space="preserve">REV-0002222</t>
  </si>
  <si>
    <t xml:space="preserve">REV-0002223</t>
  </si>
  <si>
    <t xml:space="preserve">REV-0002224</t>
  </si>
  <si>
    <t xml:space="preserve">REV-0002225</t>
  </si>
  <si>
    <t xml:space="preserve">REV-0002226</t>
  </si>
  <si>
    <t xml:space="preserve">REV-0002227</t>
  </si>
  <si>
    <t xml:space="preserve">REV-0002228</t>
  </si>
  <si>
    <t xml:space="preserve">REV-0002229</t>
  </si>
  <si>
    <t xml:space="preserve">REV-0002230</t>
  </si>
  <si>
    <t xml:space="preserve">REV-0002231</t>
  </si>
  <si>
    <t xml:space="preserve">REV-0002232</t>
  </si>
  <si>
    <t xml:space="preserve">REV-0002233</t>
  </si>
  <si>
    <t xml:space="preserve">REV-0002234</t>
  </si>
  <si>
    <t xml:space="preserve">REV-0002235</t>
  </si>
  <si>
    <t xml:space="preserve">REV-0002236</t>
  </si>
  <si>
    <t xml:space="preserve">REV-0002237</t>
  </si>
  <si>
    <t xml:space="preserve">REV-0002238</t>
  </si>
  <si>
    <t xml:space="preserve">REV-0002239</t>
  </si>
  <si>
    <t xml:space="preserve">REV-0002240</t>
  </si>
  <si>
    <t xml:space="preserve">REV-0002241</t>
  </si>
  <si>
    <t xml:space="preserve">REV-0002242</t>
  </si>
  <si>
    <t xml:space="preserve">REV-0002243</t>
  </si>
  <si>
    <t xml:space="preserve">REV-0002244</t>
  </si>
  <si>
    <t xml:space="preserve">REV-0002245</t>
  </si>
  <si>
    <t xml:space="preserve">REV-0002246</t>
  </si>
  <si>
    <t xml:space="preserve">REV-0002247</t>
  </si>
  <si>
    <t xml:space="preserve">REV-0002248</t>
  </si>
  <si>
    <t xml:space="preserve">REV-0002249</t>
  </si>
  <si>
    <t xml:space="preserve">REV-0002250</t>
  </si>
  <si>
    <t xml:space="preserve">REV-0002251</t>
  </si>
  <si>
    <t xml:space="preserve">REV-0002252</t>
  </si>
  <si>
    <t xml:space="preserve">REV-0002253</t>
  </si>
  <si>
    <t xml:space="preserve">REV-0002254</t>
  </si>
  <si>
    <t xml:space="preserve">REV-0002255</t>
  </si>
  <si>
    <t xml:space="preserve">REV-0002256</t>
  </si>
  <si>
    <t xml:space="preserve">REV-0002257</t>
  </si>
  <si>
    <t xml:space="preserve">REV-0002258</t>
  </si>
  <si>
    <t xml:space="preserve">REV-0002259</t>
  </si>
  <si>
    <t xml:space="preserve">REV-0002260</t>
  </si>
  <si>
    <t xml:space="preserve">REV-0002261</t>
  </si>
  <si>
    <t xml:space="preserve">REV-0002262</t>
  </si>
  <si>
    <t xml:space="preserve">REV-0002263</t>
  </si>
  <si>
    <t xml:space="preserve">REV-0002264</t>
  </si>
  <si>
    <t xml:space="preserve">REV-0002265</t>
  </si>
  <si>
    <t xml:space="preserve">REV-0002266</t>
  </si>
  <si>
    <t xml:space="preserve">REV-0002267</t>
  </si>
  <si>
    <t xml:space="preserve">REV-0002268</t>
  </si>
  <si>
    <t xml:space="preserve">REV-0002269</t>
  </si>
  <si>
    <t xml:space="preserve">REV-0002270</t>
  </si>
  <si>
    <t xml:space="preserve">REV-0002271</t>
  </si>
  <si>
    <t xml:space="preserve">REV-0002272</t>
  </si>
  <si>
    <t xml:space="preserve">REV-0002273</t>
  </si>
  <si>
    <t xml:space="preserve">REV-0002274</t>
  </si>
  <si>
    <t xml:space="preserve">REV-0002275</t>
  </si>
  <si>
    <t xml:space="preserve">REV-0002276</t>
  </si>
  <si>
    <t xml:space="preserve">REV-0002277</t>
  </si>
  <si>
    <t xml:space="preserve">REV-0002278</t>
  </si>
  <si>
    <t xml:space="preserve">REV-0002279</t>
  </si>
  <si>
    <t xml:space="preserve">REV-0002280</t>
  </si>
  <si>
    <t xml:space="preserve">REV-0002281</t>
  </si>
  <si>
    <t xml:space="preserve">REV-0002282</t>
  </si>
  <si>
    <t xml:space="preserve">REV-0002283</t>
  </si>
  <si>
    <t xml:space="preserve">REV-0002284</t>
  </si>
  <si>
    <t xml:space="preserve">REV-0002285</t>
  </si>
  <si>
    <t xml:space="preserve">REV-0002286</t>
  </si>
  <si>
    <t xml:space="preserve">REV-0002287</t>
  </si>
  <si>
    <t xml:space="preserve">REV-0002288</t>
  </si>
  <si>
    <t xml:space="preserve">REV-0002289</t>
  </si>
  <si>
    <t xml:space="preserve">REV-0002290</t>
  </si>
  <si>
    <t xml:space="preserve">REV-0002291</t>
  </si>
  <si>
    <t xml:space="preserve">REV-0002292</t>
  </si>
  <si>
    <t xml:space="preserve">REV-0002293</t>
  </si>
  <si>
    <t xml:space="preserve">REV-0002294</t>
  </si>
  <si>
    <t xml:space="preserve">REV-0002295</t>
  </si>
  <si>
    <t xml:space="preserve">REV-0002296</t>
  </si>
  <si>
    <t xml:space="preserve">REV-0002297</t>
  </si>
  <si>
    <t xml:space="preserve">REV-0002298</t>
  </si>
  <si>
    <t xml:space="preserve">REV-0002299</t>
  </si>
  <si>
    <t xml:space="preserve">REV-0002300</t>
  </si>
  <si>
    <t xml:space="preserve">REV-0002301</t>
  </si>
  <si>
    <t xml:space="preserve">REV-0002302</t>
  </si>
  <si>
    <t xml:space="preserve">REV-0002303</t>
  </si>
  <si>
    <t xml:space="preserve">REV-0002304</t>
  </si>
  <si>
    <t xml:space="preserve">REV-0002305</t>
  </si>
  <si>
    <t xml:space="preserve">REV-0002306</t>
  </si>
  <si>
    <t xml:space="preserve">REV-0002307</t>
  </si>
  <si>
    <t xml:space="preserve">REV-0002308</t>
  </si>
  <si>
    <t xml:space="preserve">REV-0002309</t>
  </si>
  <si>
    <t xml:space="preserve">REV-0002310</t>
  </si>
  <si>
    <t xml:space="preserve">REV-0002311</t>
  </si>
  <si>
    <t xml:space="preserve">REV-0002312</t>
  </si>
  <si>
    <t xml:space="preserve">REV-0002313</t>
  </si>
  <si>
    <t xml:space="preserve">REV-0002314</t>
  </si>
  <si>
    <t xml:space="preserve">REV-0002315</t>
  </si>
  <si>
    <t xml:space="preserve">REV-0002316</t>
  </si>
  <si>
    <t xml:space="preserve">REV-0002317</t>
  </si>
  <si>
    <t xml:space="preserve">REV-0002318</t>
  </si>
  <si>
    <t xml:space="preserve">REV-0002319</t>
  </si>
  <si>
    <t xml:space="preserve">REV-0002320</t>
  </si>
  <si>
    <t xml:space="preserve">REV-0002321</t>
  </si>
  <si>
    <t xml:space="preserve">REV-0002322</t>
  </si>
  <si>
    <t xml:space="preserve">REV-0002323</t>
  </si>
  <si>
    <t xml:space="preserve">REV-0002324</t>
  </si>
  <si>
    <t xml:space="preserve">REV-0002325</t>
  </si>
  <si>
    <t xml:space="preserve">REV-0002326</t>
  </si>
  <si>
    <t xml:space="preserve">REV-0002327</t>
  </si>
  <si>
    <t xml:space="preserve">REV-0002328</t>
  </si>
  <si>
    <t xml:space="preserve">REV-0002329</t>
  </si>
  <si>
    <t xml:space="preserve">REV-0002330</t>
  </si>
  <si>
    <t xml:space="preserve">REV-0002331</t>
  </si>
  <si>
    <t xml:space="preserve">REV-0002332</t>
  </si>
  <si>
    <t xml:space="preserve">REV-0002333</t>
  </si>
  <si>
    <t xml:space="preserve">REV-0002334</t>
  </si>
  <si>
    <t xml:space="preserve">REV-0002335</t>
  </si>
  <si>
    <t xml:space="preserve">REV-0002336</t>
  </si>
  <si>
    <t xml:space="preserve">REV-0002337</t>
  </si>
  <si>
    <t xml:space="preserve">REV-0002338</t>
  </si>
  <si>
    <t xml:space="preserve">REV-0002339</t>
  </si>
  <si>
    <t xml:space="preserve">REV-0002340</t>
  </si>
  <si>
    <t xml:space="preserve">REV-0002341</t>
  </si>
  <si>
    <t xml:space="preserve">REV-0002342</t>
  </si>
  <si>
    <t xml:space="preserve">REV-0002343</t>
  </si>
  <si>
    <t xml:space="preserve">REV-0002344</t>
  </si>
  <si>
    <t xml:space="preserve">REV-0002345</t>
  </si>
  <si>
    <t xml:space="preserve">REV-0002346</t>
  </si>
  <si>
    <t xml:space="preserve">REV-0002347</t>
  </si>
  <si>
    <t xml:space="preserve">REV-0002348</t>
  </si>
  <si>
    <t xml:space="preserve">REV-0002349</t>
  </si>
  <si>
    <t xml:space="preserve">REV-0002350</t>
  </si>
  <si>
    <t xml:space="preserve">REV-0002351</t>
  </si>
  <si>
    <t xml:space="preserve">REV-0002352</t>
  </si>
  <si>
    <t xml:space="preserve">REV-0002353</t>
  </si>
  <si>
    <t xml:space="preserve">REV-0002354</t>
  </si>
  <si>
    <t xml:space="preserve">REV-0002355</t>
  </si>
  <si>
    <t xml:space="preserve">REV-0002356</t>
  </si>
  <si>
    <t xml:space="preserve">REV-0002357</t>
  </si>
  <si>
    <t xml:space="preserve">REV-0002358</t>
  </si>
  <si>
    <t xml:space="preserve">REV-0002359</t>
  </si>
  <si>
    <t xml:space="preserve">REV-0002360</t>
  </si>
  <si>
    <t xml:space="preserve">REV-0002361</t>
  </si>
  <si>
    <t xml:space="preserve">REV-0002362</t>
  </si>
  <si>
    <t xml:space="preserve">REV-0002363</t>
  </si>
  <si>
    <t xml:space="preserve">REV-0002364</t>
  </si>
  <si>
    <t xml:space="preserve">REV-0002365</t>
  </si>
  <si>
    <t xml:space="preserve">REV-0002366</t>
  </si>
  <si>
    <t xml:space="preserve">REV-0002367</t>
  </si>
  <si>
    <t xml:space="preserve">REV-0002368</t>
  </si>
  <si>
    <t xml:space="preserve">REV-0002369</t>
  </si>
  <si>
    <t xml:space="preserve">REV-0002370</t>
  </si>
  <si>
    <t xml:space="preserve">REV-0002371</t>
  </si>
  <si>
    <t xml:space="preserve">REV-0002372</t>
  </si>
  <si>
    <t xml:space="preserve">REV-0002373</t>
  </si>
  <si>
    <t xml:space="preserve">REV-0002374</t>
  </si>
  <si>
    <t xml:space="preserve">REV-0002375</t>
  </si>
  <si>
    <t xml:space="preserve">REV-0002376</t>
  </si>
  <si>
    <t xml:space="preserve">REV-0002377</t>
  </si>
  <si>
    <t xml:space="preserve">REV-0002378</t>
  </si>
  <si>
    <t xml:space="preserve">REV-0002379</t>
  </si>
  <si>
    <t xml:space="preserve">REV-0002380</t>
  </si>
  <si>
    <t xml:space="preserve">REV-0002381</t>
  </si>
  <si>
    <t xml:space="preserve">REV-0002382</t>
  </si>
  <si>
    <t xml:space="preserve">REV-0002383</t>
  </si>
  <si>
    <t xml:space="preserve">REV-0002384</t>
  </si>
  <si>
    <t xml:space="preserve">REV-0002385</t>
  </si>
  <si>
    <t xml:space="preserve">REV-0002386</t>
  </si>
  <si>
    <t xml:space="preserve">REV-0002387</t>
  </si>
  <si>
    <t xml:space="preserve">REV-0002388</t>
  </si>
  <si>
    <t xml:space="preserve">REV-0002389</t>
  </si>
  <si>
    <t xml:space="preserve">REV-0002390</t>
  </si>
  <si>
    <t xml:space="preserve">REV-0002391</t>
  </si>
  <si>
    <t xml:space="preserve">REV-0002392</t>
  </si>
  <si>
    <t xml:space="preserve">REV-0002393</t>
  </si>
  <si>
    <t xml:space="preserve">REV-0002394</t>
  </si>
  <si>
    <t xml:space="preserve">REV-0002395</t>
  </si>
  <si>
    <t xml:space="preserve">REV-0002396</t>
  </si>
  <si>
    <t xml:space="preserve">REV-0002397</t>
  </si>
  <si>
    <t xml:space="preserve">REV-0002398</t>
  </si>
  <si>
    <t xml:space="preserve">REV-0002399</t>
  </si>
  <si>
    <t xml:space="preserve">REV-0002400</t>
  </si>
  <si>
    <t xml:space="preserve">REV-0002401</t>
  </si>
  <si>
    <t xml:space="preserve">REV-0002402</t>
  </si>
  <si>
    <t xml:space="preserve">REV-0002403</t>
  </si>
  <si>
    <t xml:space="preserve">REV-0002404</t>
  </si>
  <si>
    <t xml:space="preserve">REV-0002405</t>
  </si>
  <si>
    <t xml:space="preserve">REV-0002406</t>
  </si>
  <si>
    <t xml:space="preserve">REV-0002407</t>
  </si>
  <si>
    <t xml:space="preserve">REV-0002408</t>
  </si>
  <si>
    <t xml:space="preserve">REV-0002409</t>
  </si>
  <si>
    <t xml:space="preserve">REV-0002410</t>
  </si>
  <si>
    <t xml:space="preserve">REV-0002411</t>
  </si>
  <si>
    <t xml:space="preserve">REV-0002412</t>
  </si>
  <si>
    <t xml:space="preserve">REV-0002413</t>
  </si>
  <si>
    <t xml:space="preserve">REV-0002414</t>
  </si>
  <si>
    <t xml:space="preserve">REV-0002415</t>
  </si>
  <si>
    <t xml:space="preserve">REV-0002416</t>
  </si>
  <si>
    <t xml:space="preserve">REV-0002417</t>
  </si>
  <si>
    <t xml:space="preserve">REV-0002418</t>
  </si>
  <si>
    <t xml:space="preserve">REV-0002419</t>
  </si>
  <si>
    <t xml:space="preserve">REV-0002420</t>
  </si>
  <si>
    <t xml:space="preserve">REV-0002421</t>
  </si>
  <si>
    <t xml:space="preserve">REV-0002422</t>
  </si>
  <si>
    <t xml:space="preserve">REV-0002423</t>
  </si>
  <si>
    <t xml:space="preserve">REV-0002424</t>
  </si>
  <si>
    <t xml:space="preserve">REV-0002425</t>
  </si>
  <si>
    <t xml:space="preserve">REV-0002426</t>
  </si>
  <si>
    <t xml:space="preserve">REV-0002427</t>
  </si>
  <si>
    <t xml:space="preserve">REV-0002428</t>
  </si>
  <si>
    <t xml:space="preserve">REV-0002429</t>
  </si>
  <si>
    <t xml:space="preserve">REV-0002430</t>
  </si>
  <si>
    <t xml:space="preserve">REV-0002431</t>
  </si>
  <si>
    <t xml:space="preserve">REV-0002432</t>
  </si>
  <si>
    <t xml:space="preserve">REV-0002433</t>
  </si>
  <si>
    <t xml:space="preserve">REV-0002434</t>
  </si>
  <si>
    <t xml:space="preserve">REV-0002435</t>
  </si>
  <si>
    <t xml:space="preserve">REV-0002436</t>
  </si>
  <si>
    <t xml:space="preserve">REV-0002437</t>
  </si>
  <si>
    <t xml:space="preserve">REV-0002438</t>
  </si>
  <si>
    <t xml:space="preserve">REV-0002439</t>
  </si>
  <si>
    <t xml:space="preserve">REV-0002440</t>
  </si>
  <si>
    <t xml:space="preserve">REV-0002441</t>
  </si>
  <si>
    <t xml:space="preserve">REV-0002442</t>
  </si>
  <si>
    <t xml:space="preserve">REV-0002443</t>
  </si>
  <si>
    <t xml:space="preserve">REV-0002444</t>
  </si>
  <si>
    <t xml:space="preserve">REV-0002445</t>
  </si>
  <si>
    <t xml:space="preserve">REV-0002446</t>
  </si>
  <si>
    <t xml:space="preserve">REV-0002447</t>
  </si>
  <si>
    <t xml:space="preserve">REV-0002448</t>
  </si>
  <si>
    <t xml:space="preserve">REV-0002449</t>
  </si>
  <si>
    <t xml:space="preserve">REV-0002450</t>
  </si>
  <si>
    <t xml:space="preserve">REV-0002451</t>
  </si>
  <si>
    <t xml:space="preserve">REV-0002452</t>
  </si>
  <si>
    <t xml:space="preserve">REV-0002453</t>
  </si>
  <si>
    <t xml:space="preserve">REV-0002454</t>
  </si>
  <si>
    <t xml:space="preserve">REV-0002455</t>
  </si>
  <si>
    <t xml:space="preserve">REV-0002456</t>
  </si>
  <si>
    <t xml:space="preserve">REV-0002457</t>
  </si>
  <si>
    <t xml:space="preserve">REV-0002458</t>
  </si>
  <si>
    <t xml:space="preserve">REV-0002459</t>
  </si>
  <si>
    <t xml:space="preserve">REV-0002460</t>
  </si>
  <si>
    <t xml:space="preserve">REV-0002461</t>
  </si>
  <si>
    <t xml:space="preserve">REV-0002462</t>
  </si>
  <si>
    <t xml:space="preserve">REV-0002463</t>
  </si>
  <si>
    <t xml:space="preserve">REV-0002464</t>
  </si>
  <si>
    <t xml:space="preserve">REV-0002465</t>
  </si>
  <si>
    <t xml:space="preserve">REV-0002466</t>
  </si>
  <si>
    <t xml:space="preserve">REV-0002467</t>
  </si>
  <si>
    <t xml:space="preserve">REV-0002468</t>
  </si>
  <si>
    <t xml:space="preserve">REV-0002469</t>
  </si>
  <si>
    <t xml:space="preserve">REV-0002470</t>
  </si>
  <si>
    <t xml:space="preserve">REV-0002471</t>
  </si>
  <si>
    <t xml:space="preserve">REV-0002472</t>
  </si>
  <si>
    <t xml:space="preserve">REV-0002473</t>
  </si>
  <si>
    <t xml:space="preserve">REV-0002474</t>
  </si>
  <si>
    <t xml:space="preserve">REV-0002475</t>
  </si>
  <si>
    <t xml:space="preserve">REV-0002476</t>
  </si>
  <si>
    <t xml:space="preserve">REV-0002477</t>
  </si>
  <si>
    <t xml:space="preserve">REV-0002478</t>
  </si>
  <si>
    <t xml:space="preserve">REV-0002479</t>
  </si>
  <si>
    <t xml:space="preserve">REV-0002480</t>
  </si>
  <si>
    <t xml:space="preserve">REV-0002481</t>
  </si>
  <si>
    <t xml:space="preserve">REV-0002482</t>
  </si>
  <si>
    <t xml:space="preserve">REV-0002483</t>
  </si>
  <si>
    <t xml:space="preserve">REV-0002484</t>
  </si>
  <si>
    <t xml:space="preserve">REV-0002485</t>
  </si>
  <si>
    <t xml:space="preserve">REV-0002486</t>
  </si>
  <si>
    <t xml:space="preserve">REV-0002487</t>
  </si>
  <si>
    <t xml:space="preserve">REV-0002488</t>
  </si>
  <si>
    <t xml:space="preserve">REV-0002489</t>
  </si>
  <si>
    <t xml:space="preserve">REV-0002490</t>
  </si>
  <si>
    <t xml:space="preserve">REV-0002491</t>
  </si>
  <si>
    <t xml:space="preserve">REV-0002492</t>
  </si>
  <si>
    <t xml:space="preserve">REV-0002493</t>
  </si>
  <si>
    <t xml:space="preserve">REV-0002494</t>
  </si>
  <si>
    <t xml:space="preserve">REV-0002495</t>
  </si>
  <si>
    <t xml:space="preserve">REV-0002496</t>
  </si>
  <si>
    <t xml:space="preserve">REV-0002497</t>
  </si>
  <si>
    <t xml:space="preserve">REV-0002498</t>
  </si>
  <si>
    <t xml:space="preserve">REV-0002499</t>
  </si>
  <si>
    <t xml:space="preserve">REV-0002500</t>
  </si>
  <si>
    <t xml:space="preserve">REV-0002501</t>
  </si>
  <si>
    <t xml:space="preserve">REV-0002502</t>
  </si>
  <si>
    <t xml:space="preserve">REV-0002503</t>
  </si>
  <si>
    <t xml:space="preserve">REV-0002504</t>
  </si>
  <si>
    <t xml:space="preserve">REV-0002505</t>
  </si>
  <si>
    <t xml:space="preserve">REV-0002506</t>
  </si>
  <si>
    <t xml:space="preserve">REV-0002507</t>
  </si>
  <si>
    <t xml:space="preserve">REV-0002508</t>
  </si>
  <si>
    <t xml:space="preserve">REV-0002509</t>
  </si>
  <si>
    <t xml:space="preserve">REV-0002510</t>
  </si>
  <si>
    <t xml:space="preserve">REV-0002511</t>
  </si>
  <si>
    <t xml:space="preserve">REV-0002512</t>
  </si>
  <si>
    <t xml:space="preserve">REV-0002513</t>
  </si>
  <si>
    <t xml:space="preserve">REV-0002514</t>
  </si>
  <si>
    <t xml:space="preserve">REV-0002515</t>
  </si>
  <si>
    <t xml:space="preserve">REV-0002516</t>
  </si>
  <si>
    <t xml:space="preserve">REV-0002517</t>
  </si>
  <si>
    <t xml:space="preserve">REV-0002518</t>
  </si>
  <si>
    <t xml:space="preserve">REV-0002519</t>
  </si>
  <si>
    <t xml:space="preserve">REV-0002520</t>
  </si>
  <si>
    <t xml:space="preserve">REV-0002521</t>
  </si>
  <si>
    <t xml:space="preserve">REV-0002522</t>
  </si>
  <si>
    <t xml:space="preserve">REV-0002523</t>
  </si>
  <si>
    <t xml:space="preserve">REV-0002524</t>
  </si>
  <si>
    <t xml:space="preserve">REV-0002525</t>
  </si>
  <si>
    <t xml:space="preserve">REV-0002526</t>
  </si>
  <si>
    <t xml:space="preserve">REV-0002527</t>
  </si>
  <si>
    <t xml:space="preserve">REV-0002528</t>
  </si>
  <si>
    <t xml:space="preserve">REV-0002529</t>
  </si>
  <si>
    <t xml:space="preserve">REV-0002530</t>
  </si>
  <si>
    <t xml:space="preserve">REV-0002531</t>
  </si>
  <si>
    <t xml:space="preserve">REV-0002532</t>
  </si>
  <si>
    <t xml:space="preserve">REV-0002533</t>
  </si>
  <si>
    <t xml:space="preserve">REV-0002534</t>
  </si>
  <si>
    <t xml:space="preserve">REV-0002535</t>
  </si>
  <si>
    <t xml:space="preserve">REV-0002536</t>
  </si>
  <si>
    <t xml:space="preserve">REV-0002537</t>
  </si>
  <si>
    <t xml:space="preserve">REV-0002538</t>
  </si>
  <si>
    <t xml:space="preserve">REV-0002539</t>
  </si>
  <si>
    <t xml:space="preserve">REV-0002540</t>
  </si>
  <si>
    <t xml:space="preserve">REV-0002541</t>
  </si>
  <si>
    <t xml:space="preserve">REV-0002542</t>
  </si>
  <si>
    <t xml:space="preserve">REV-0002543</t>
  </si>
  <si>
    <t xml:space="preserve">REV-0002544</t>
  </si>
  <si>
    <t xml:space="preserve">REV-0002545</t>
  </si>
  <si>
    <t xml:space="preserve">REV-0002546</t>
  </si>
  <si>
    <t xml:space="preserve">REV-0002547</t>
  </si>
  <si>
    <t xml:space="preserve">REV-0002548</t>
  </si>
  <si>
    <t xml:space="preserve">REV-0002549</t>
  </si>
  <si>
    <t xml:space="preserve">REV-0002550</t>
  </si>
  <si>
    <t xml:space="preserve">REV-0002551</t>
  </si>
  <si>
    <t xml:space="preserve">REV-0002552</t>
  </si>
  <si>
    <t xml:space="preserve">REV-0002553</t>
  </si>
  <si>
    <t xml:space="preserve">REV-0002554</t>
  </si>
  <si>
    <t xml:space="preserve">REV-0002555</t>
  </si>
  <si>
    <t xml:space="preserve">REV-0002556</t>
  </si>
  <si>
    <t xml:space="preserve">REV-0002557</t>
  </si>
  <si>
    <t xml:space="preserve">REV-0002558</t>
  </si>
  <si>
    <t xml:space="preserve">REV-0002559</t>
  </si>
  <si>
    <t xml:space="preserve">REV-0002560</t>
  </si>
  <si>
    <t xml:space="preserve">REV-0002561</t>
  </si>
  <si>
    <t xml:space="preserve">REV-0002562</t>
  </si>
  <si>
    <t xml:space="preserve">REV-0002563</t>
  </si>
  <si>
    <t xml:space="preserve">REV-0002564</t>
  </si>
  <si>
    <t xml:space="preserve">REV-0002565</t>
  </si>
  <si>
    <t xml:space="preserve">REV-0002566</t>
  </si>
  <si>
    <t xml:space="preserve">REV-0002567</t>
  </si>
  <si>
    <t xml:space="preserve">REV-0002568</t>
  </si>
  <si>
    <t xml:space="preserve">REV-0002569</t>
  </si>
  <si>
    <t xml:space="preserve">REV-0002570</t>
  </si>
  <si>
    <t xml:space="preserve">REV-0002571</t>
  </si>
  <si>
    <t xml:space="preserve">REV-0002572</t>
  </si>
  <si>
    <t xml:space="preserve">REV-0002573</t>
  </si>
  <si>
    <t xml:space="preserve">REV-0002574</t>
  </si>
  <si>
    <t xml:space="preserve">REV-0002575</t>
  </si>
  <si>
    <t xml:space="preserve">REV-0002576</t>
  </si>
  <si>
    <t xml:space="preserve">REV-0002577</t>
  </si>
  <si>
    <t xml:space="preserve">REV-0002578</t>
  </si>
  <si>
    <t xml:space="preserve">REV-0002579</t>
  </si>
  <si>
    <t xml:space="preserve">REV-0002580</t>
  </si>
  <si>
    <t xml:space="preserve">REV-0002581</t>
  </si>
  <si>
    <t xml:space="preserve">REV-0002582</t>
  </si>
  <si>
    <t xml:space="preserve">REV-0002583</t>
  </si>
  <si>
    <t xml:space="preserve">REV-0002584</t>
  </si>
  <si>
    <t xml:space="preserve">REV-0002585</t>
  </si>
  <si>
    <t xml:space="preserve">REV-0002586</t>
  </si>
  <si>
    <t xml:space="preserve">REV-0002587</t>
  </si>
  <si>
    <t xml:space="preserve">REV-0002588</t>
  </si>
  <si>
    <t xml:space="preserve">REV-0002589</t>
  </si>
  <si>
    <t xml:space="preserve">REV-0002590</t>
  </si>
  <si>
    <t xml:space="preserve">REV-0002591</t>
  </si>
  <si>
    <t xml:space="preserve">REV-0002592</t>
  </si>
  <si>
    <t xml:space="preserve">REV-0002593</t>
  </si>
  <si>
    <t xml:space="preserve">REV-0002594</t>
  </si>
  <si>
    <t xml:space="preserve">REV-0002595</t>
  </si>
  <si>
    <t xml:space="preserve">REV-0002596</t>
  </si>
  <si>
    <t xml:space="preserve">REV-0002597</t>
  </si>
  <si>
    <t xml:space="preserve">REV-0002598</t>
  </si>
  <si>
    <t xml:space="preserve">REV-0002599</t>
  </si>
  <si>
    <t xml:space="preserve">REV-0002600</t>
  </si>
  <si>
    <t xml:space="preserve">REV-0002601</t>
  </si>
  <si>
    <t xml:space="preserve">REV-0002602</t>
  </si>
  <si>
    <t xml:space="preserve">REV-0002603</t>
  </si>
  <si>
    <t xml:space="preserve">REV-0002604</t>
  </si>
  <si>
    <t xml:space="preserve">REV-0002605</t>
  </si>
  <si>
    <t xml:space="preserve">REV-0002606</t>
  </si>
  <si>
    <t xml:space="preserve">REV-0002607</t>
  </si>
  <si>
    <t xml:space="preserve">REV-0002608</t>
  </si>
  <si>
    <t xml:space="preserve">REV-0002609</t>
  </si>
  <si>
    <t xml:space="preserve">REV-0002610</t>
  </si>
  <si>
    <t xml:space="preserve">REV-0002611</t>
  </si>
  <si>
    <t xml:space="preserve">REV-0002612</t>
  </si>
  <si>
    <t xml:space="preserve">REV-0002613</t>
  </si>
  <si>
    <t xml:space="preserve">REV-0002614</t>
  </si>
  <si>
    <t xml:space="preserve">REV-0002615</t>
  </si>
  <si>
    <t xml:space="preserve">REV-0002616</t>
  </si>
  <si>
    <t xml:space="preserve">REV-0002617</t>
  </si>
  <si>
    <t xml:space="preserve">REV-0002618</t>
  </si>
  <si>
    <t xml:space="preserve">REV-0002619</t>
  </si>
  <si>
    <t xml:space="preserve">REV-0002620</t>
  </si>
  <si>
    <t xml:space="preserve">REV-0002621</t>
  </si>
  <si>
    <t xml:space="preserve">REV-0002622</t>
  </si>
  <si>
    <t xml:space="preserve">REV-0002623</t>
  </si>
  <si>
    <t xml:space="preserve">REV-0002624</t>
  </si>
  <si>
    <t xml:space="preserve">REV-0002625</t>
  </si>
  <si>
    <t xml:space="preserve">REV-0002626</t>
  </si>
  <si>
    <t xml:space="preserve">REV-0002627</t>
  </si>
  <si>
    <t xml:space="preserve">REV-0002628</t>
  </si>
  <si>
    <t xml:space="preserve">REV-0002629</t>
  </si>
  <si>
    <t xml:space="preserve">REV-0002630</t>
  </si>
  <si>
    <t xml:space="preserve">REV-0002631</t>
  </si>
  <si>
    <t xml:space="preserve">REV-0002632</t>
  </si>
  <si>
    <t xml:space="preserve">REV-0002633</t>
  </si>
  <si>
    <t xml:space="preserve">REV-0002634</t>
  </si>
  <si>
    <t xml:space="preserve">REV-0002635</t>
  </si>
  <si>
    <t xml:space="preserve">REV-0002636</t>
  </si>
  <si>
    <t xml:space="preserve">REV-0002637</t>
  </si>
  <si>
    <t xml:space="preserve">REV-0002638</t>
  </si>
  <si>
    <t xml:space="preserve">REV-0002639</t>
  </si>
  <si>
    <t xml:space="preserve">REV-0002640</t>
  </si>
  <si>
    <t xml:space="preserve">REV-0002641</t>
  </si>
  <si>
    <t xml:space="preserve">REV-0002642</t>
  </si>
  <si>
    <t xml:space="preserve">REV-0002643</t>
  </si>
  <si>
    <t xml:space="preserve">REV-0002644</t>
  </si>
  <si>
    <t xml:space="preserve">REV-0002645</t>
  </si>
  <si>
    <t xml:space="preserve">REV-0002646</t>
  </si>
  <si>
    <t xml:space="preserve">REV-0002647</t>
  </si>
  <si>
    <t xml:space="preserve">REV-0002648</t>
  </si>
  <si>
    <t xml:space="preserve">REV-0002649</t>
  </si>
  <si>
    <t xml:space="preserve">REV-0002650</t>
  </si>
  <si>
    <t xml:space="preserve">REV-0002651</t>
  </si>
  <si>
    <t xml:space="preserve">REV-0002652</t>
  </si>
  <si>
    <t xml:space="preserve">REV-0002653</t>
  </si>
  <si>
    <t xml:space="preserve">REV-0002654</t>
  </si>
  <si>
    <t xml:space="preserve">REV-0002655</t>
  </si>
  <si>
    <t xml:space="preserve">REV-0002656</t>
  </si>
  <si>
    <t xml:space="preserve">REV-0002657</t>
  </si>
  <si>
    <t xml:space="preserve">REV-0002658</t>
  </si>
  <si>
    <t xml:space="preserve">REV-0002659</t>
  </si>
  <si>
    <t xml:space="preserve">REV-0002660</t>
  </si>
  <si>
    <t xml:space="preserve">REV-0002661</t>
  </si>
  <si>
    <t xml:space="preserve">REV-0002662</t>
  </si>
  <si>
    <t xml:space="preserve">REV-0002663</t>
  </si>
  <si>
    <t xml:space="preserve">REV-0002664</t>
  </si>
  <si>
    <t xml:space="preserve">REV-0002665</t>
  </si>
  <si>
    <t xml:space="preserve">REV-0002666</t>
  </si>
  <si>
    <t xml:space="preserve">REV-0002667</t>
  </si>
  <si>
    <t xml:space="preserve">REV-0002668</t>
  </si>
  <si>
    <t xml:space="preserve">REV-0002669</t>
  </si>
  <si>
    <t xml:space="preserve">REV-0002670</t>
  </si>
  <si>
    <t xml:space="preserve">REV-0002671</t>
  </si>
  <si>
    <t xml:space="preserve">REV-0002672</t>
  </si>
  <si>
    <t xml:space="preserve">REV-0002673</t>
  </si>
  <si>
    <t xml:space="preserve">REV-0002674</t>
  </si>
  <si>
    <t xml:space="preserve">REV-0002675</t>
  </si>
  <si>
    <t xml:space="preserve">REV-0002676</t>
  </si>
  <si>
    <t xml:space="preserve">REV-0002677</t>
  </si>
  <si>
    <t xml:space="preserve">REV-0002678</t>
  </si>
  <si>
    <t xml:space="preserve">REV-0002679</t>
  </si>
  <si>
    <t xml:space="preserve">REV-0002680</t>
  </si>
  <si>
    <t xml:space="preserve">REV-0002681</t>
  </si>
  <si>
    <t xml:space="preserve">REV-0002682</t>
  </si>
  <si>
    <t xml:space="preserve">REV-0002683</t>
  </si>
  <si>
    <t xml:space="preserve">REV-0002684</t>
  </si>
  <si>
    <t xml:space="preserve">REV-0002685</t>
  </si>
  <si>
    <t xml:space="preserve">REV-0002686</t>
  </si>
  <si>
    <t xml:space="preserve">REV-0002687</t>
  </si>
  <si>
    <t xml:space="preserve">REV-0002688</t>
  </si>
  <si>
    <t xml:space="preserve">REV-0002689</t>
  </si>
  <si>
    <t xml:space="preserve">REV-0002690</t>
  </si>
  <si>
    <t xml:space="preserve">REV-0002691</t>
  </si>
  <si>
    <t xml:space="preserve">REV-0002692</t>
  </si>
  <si>
    <t xml:space="preserve">REV-0002693</t>
  </si>
  <si>
    <t xml:space="preserve">REV-0002694</t>
  </si>
  <si>
    <t xml:space="preserve">REV-0002695</t>
  </si>
  <si>
    <t xml:space="preserve">REV-0002696</t>
  </si>
  <si>
    <t xml:space="preserve">REV-0002697</t>
  </si>
  <si>
    <t xml:space="preserve">REV-0002698</t>
  </si>
  <si>
    <t xml:space="preserve">REV-0002699</t>
  </si>
  <si>
    <t xml:space="preserve">REV-0002700</t>
  </si>
  <si>
    <t xml:space="preserve">REV-0002701</t>
  </si>
  <si>
    <t xml:space="preserve">REV-0002702</t>
  </si>
  <si>
    <t xml:space="preserve">REV-0002703</t>
  </si>
  <si>
    <t xml:space="preserve">REV-0002704</t>
  </si>
  <si>
    <t xml:space="preserve">REV-0002705</t>
  </si>
  <si>
    <t xml:space="preserve">REV-0002706</t>
  </si>
  <si>
    <t xml:space="preserve">REV-0002707</t>
  </si>
  <si>
    <t xml:space="preserve">REV-0002708</t>
  </si>
  <si>
    <t xml:space="preserve">REV-0002709</t>
  </si>
  <si>
    <t xml:space="preserve">REV-0002710</t>
  </si>
  <si>
    <t xml:space="preserve">REV-0002711</t>
  </si>
  <si>
    <t xml:space="preserve">REV-0002712</t>
  </si>
  <si>
    <t xml:space="preserve">REV-0002713</t>
  </si>
  <si>
    <t xml:space="preserve">REV-0002714</t>
  </si>
  <si>
    <t xml:space="preserve">REV-0002715</t>
  </si>
  <si>
    <t xml:space="preserve">REV-0002716</t>
  </si>
  <si>
    <t xml:space="preserve">REV-0002717</t>
  </si>
  <si>
    <t xml:space="preserve">REV-0002718</t>
  </si>
  <si>
    <t xml:space="preserve">REV-0002719</t>
  </si>
  <si>
    <t xml:space="preserve">REV-0002720</t>
  </si>
  <si>
    <t xml:space="preserve">REV-0002721</t>
  </si>
  <si>
    <t xml:space="preserve">REV-0002722</t>
  </si>
  <si>
    <t xml:space="preserve">REV-0002723</t>
  </si>
  <si>
    <t xml:space="preserve">REV-0002724</t>
  </si>
  <si>
    <t xml:space="preserve">REV-0002725</t>
  </si>
  <si>
    <t xml:space="preserve">REV-0002726</t>
  </si>
  <si>
    <t xml:space="preserve">REV-0002727</t>
  </si>
  <si>
    <t xml:space="preserve">REV-0002728</t>
  </si>
  <si>
    <t xml:space="preserve">REV-0002729</t>
  </si>
  <si>
    <t xml:space="preserve">REV-0002730</t>
  </si>
  <si>
    <t xml:space="preserve">REV-0002731</t>
  </si>
  <si>
    <t xml:space="preserve">REV-0002732</t>
  </si>
  <si>
    <t xml:space="preserve">REV-0002733</t>
  </si>
  <si>
    <t xml:space="preserve">REV-0002734</t>
  </si>
  <si>
    <t xml:space="preserve">REV-0002735</t>
  </si>
  <si>
    <t xml:space="preserve">REV-0002736</t>
  </si>
  <si>
    <t xml:space="preserve">REV-0002737</t>
  </si>
  <si>
    <t xml:space="preserve">REV-0002738</t>
  </si>
  <si>
    <t xml:space="preserve">REV-0002739</t>
  </si>
  <si>
    <t xml:space="preserve">REV-0002740</t>
  </si>
  <si>
    <t xml:space="preserve">REV-0002741</t>
  </si>
  <si>
    <t xml:space="preserve">REV-0002742</t>
  </si>
  <si>
    <t xml:space="preserve">REV-0002743</t>
  </si>
  <si>
    <t xml:space="preserve">REV-0002744</t>
  </si>
  <si>
    <t xml:space="preserve">REV-0002745</t>
  </si>
  <si>
    <t xml:space="preserve">REV-0002746</t>
  </si>
  <si>
    <t xml:space="preserve">REV-0002747</t>
  </si>
  <si>
    <t xml:space="preserve">REV-0002748</t>
  </si>
  <si>
    <t xml:space="preserve">REV-0002749</t>
  </si>
  <si>
    <t xml:space="preserve">REV-0002750</t>
  </si>
  <si>
    <t xml:space="preserve">REV-0002751</t>
  </si>
  <si>
    <t xml:space="preserve">REV-0002752</t>
  </si>
  <si>
    <t xml:space="preserve">REV-0002753</t>
  </si>
  <si>
    <t xml:space="preserve">REV-0002754</t>
  </si>
  <si>
    <t xml:space="preserve">REV-0002755</t>
  </si>
  <si>
    <t xml:space="preserve">REV-0002756</t>
  </si>
  <si>
    <t xml:space="preserve">REV-0002757</t>
  </si>
  <si>
    <t xml:space="preserve">REV-0002758</t>
  </si>
  <si>
    <t xml:space="preserve">REV-0002759</t>
  </si>
  <si>
    <t xml:space="preserve">REV-0002760</t>
  </si>
  <si>
    <t xml:space="preserve">REV-0002761</t>
  </si>
  <si>
    <t xml:space="preserve">REV-0002762</t>
  </si>
  <si>
    <t xml:space="preserve">REV-0002763</t>
  </si>
  <si>
    <t xml:space="preserve">REV-0002764</t>
  </si>
  <si>
    <t xml:space="preserve">REV-0002765</t>
  </si>
  <si>
    <t xml:space="preserve">REV-0002766</t>
  </si>
  <si>
    <t xml:space="preserve">REV-0002767</t>
  </si>
  <si>
    <t xml:space="preserve">REV-0002768</t>
  </si>
  <si>
    <t xml:space="preserve">REV-0002769</t>
  </si>
  <si>
    <t xml:space="preserve">REV-0002770</t>
  </si>
  <si>
    <t xml:space="preserve">REV-0002771</t>
  </si>
  <si>
    <t xml:space="preserve">REV-0002772</t>
  </si>
  <si>
    <t xml:space="preserve">REV-0002773</t>
  </si>
  <si>
    <t xml:space="preserve">REV-0002774</t>
  </si>
  <si>
    <t xml:space="preserve">REV-0002775</t>
  </si>
  <si>
    <t xml:space="preserve">REV-0002776</t>
  </si>
  <si>
    <t xml:space="preserve">REV-0002777</t>
  </si>
  <si>
    <t xml:space="preserve">REV-0002778</t>
  </si>
  <si>
    <t xml:space="preserve">REV-0002779</t>
  </si>
  <si>
    <t xml:space="preserve">REV-0002780</t>
  </si>
  <si>
    <t xml:space="preserve">REV-0002781</t>
  </si>
  <si>
    <t xml:space="preserve">REV-0002782</t>
  </si>
  <si>
    <t xml:space="preserve">REV-0002783</t>
  </si>
  <si>
    <t xml:space="preserve">REV-0002784</t>
  </si>
  <si>
    <t xml:space="preserve">REV-0002785</t>
  </si>
  <si>
    <t xml:space="preserve">REV-0002786</t>
  </si>
  <si>
    <t xml:space="preserve">REV-0002787</t>
  </si>
  <si>
    <t xml:space="preserve">REV-0002788</t>
  </si>
  <si>
    <t xml:space="preserve">REV-0002789</t>
  </si>
  <si>
    <t xml:space="preserve">REV-0002790</t>
  </si>
  <si>
    <t xml:space="preserve">REV-0002791</t>
  </si>
  <si>
    <t xml:space="preserve">REV-0002792</t>
  </si>
  <si>
    <t xml:space="preserve">REV-0002793</t>
  </si>
  <si>
    <t xml:space="preserve">REV-0002794</t>
  </si>
  <si>
    <t xml:space="preserve">REV-0002795</t>
  </si>
  <si>
    <t xml:space="preserve">REV-0002796</t>
  </si>
  <si>
    <t xml:space="preserve">REV-0002797</t>
  </si>
  <si>
    <t xml:space="preserve">REV-0002798</t>
  </si>
  <si>
    <t xml:space="preserve">REV-0002799</t>
  </si>
  <si>
    <t xml:space="preserve">REV-0002800</t>
  </si>
  <si>
    <t xml:space="preserve">REV-0002801</t>
  </si>
  <si>
    <t xml:space="preserve">REV-0002802</t>
  </si>
  <si>
    <t xml:space="preserve">REV-0002803</t>
  </si>
  <si>
    <t xml:space="preserve">REV-0002804</t>
  </si>
  <si>
    <t xml:space="preserve">REV-0002805</t>
  </si>
  <si>
    <t xml:space="preserve">REV-0002806</t>
  </si>
  <si>
    <t xml:space="preserve">REV-0002807</t>
  </si>
  <si>
    <t xml:space="preserve">REV-0002808</t>
  </si>
  <si>
    <t xml:space="preserve">REV-0002809</t>
  </si>
  <si>
    <t xml:space="preserve">REV-0002810</t>
  </si>
  <si>
    <t xml:space="preserve">REV-0002811</t>
  </si>
  <si>
    <t xml:space="preserve">REV-0002812</t>
  </si>
  <si>
    <t xml:space="preserve">REV-0002813</t>
  </si>
  <si>
    <t xml:space="preserve">REV-0002814</t>
  </si>
  <si>
    <t xml:space="preserve">REV-0002815</t>
  </si>
  <si>
    <t xml:space="preserve">REV-0002816</t>
  </si>
  <si>
    <t xml:space="preserve">REV-0002817</t>
  </si>
  <si>
    <t xml:space="preserve">REV-0002818</t>
  </si>
  <si>
    <t xml:space="preserve">REV-0002819</t>
  </si>
  <si>
    <t xml:space="preserve">REV-0002820</t>
  </si>
  <si>
    <t xml:space="preserve">REV-0002821</t>
  </si>
  <si>
    <t xml:space="preserve">REV-0002822</t>
  </si>
  <si>
    <t xml:space="preserve">REV-0002823</t>
  </si>
  <si>
    <t xml:space="preserve">REV-0002824</t>
  </si>
  <si>
    <t xml:space="preserve">REV-0002825</t>
  </si>
  <si>
    <t xml:space="preserve">REV-0002826</t>
  </si>
  <si>
    <t xml:space="preserve">REV-0002827</t>
  </si>
  <si>
    <t xml:space="preserve">REV-0002828</t>
  </si>
  <si>
    <t xml:space="preserve">REV-0002829</t>
  </si>
  <si>
    <t xml:space="preserve">REV-0002830</t>
  </si>
  <si>
    <t xml:space="preserve">REV-0002831</t>
  </si>
  <si>
    <t xml:space="preserve">REV-0002832</t>
  </si>
  <si>
    <t xml:space="preserve">REV-0002833</t>
  </si>
  <si>
    <t xml:space="preserve">REV-0002834</t>
  </si>
  <si>
    <t xml:space="preserve">REV-0002835</t>
  </si>
  <si>
    <t xml:space="preserve">REV-0002836</t>
  </si>
  <si>
    <t xml:space="preserve">REV-0002837</t>
  </si>
  <si>
    <t xml:space="preserve">REV-0002838</t>
  </si>
  <si>
    <t xml:space="preserve">REV-0002839</t>
  </si>
  <si>
    <t xml:space="preserve">REV-0002840</t>
  </si>
  <si>
    <t xml:space="preserve">REV-0002841</t>
  </si>
  <si>
    <t xml:space="preserve">REV-0002842</t>
  </si>
  <si>
    <t xml:space="preserve">REV-0002843</t>
  </si>
  <si>
    <t xml:space="preserve">REV-0002844</t>
  </si>
  <si>
    <t xml:space="preserve">REV-0002845</t>
  </si>
  <si>
    <t xml:space="preserve">REV-0002846</t>
  </si>
  <si>
    <t xml:space="preserve">REV-0002847</t>
  </si>
  <si>
    <t xml:space="preserve">REV-0002848</t>
  </si>
  <si>
    <t xml:space="preserve">REV-0002849</t>
  </si>
  <si>
    <t xml:space="preserve">REV-0002850</t>
  </si>
  <si>
    <t xml:space="preserve">REV-0002851</t>
  </si>
  <si>
    <t xml:space="preserve">REV-0002852</t>
  </si>
  <si>
    <t xml:space="preserve">REV-0002853</t>
  </si>
  <si>
    <t xml:space="preserve">REV-0002854</t>
  </si>
  <si>
    <t xml:space="preserve">REV-0002855</t>
  </si>
  <si>
    <t xml:space="preserve">REV-0002856</t>
  </si>
  <si>
    <t xml:space="preserve">REV-0002857</t>
  </si>
  <si>
    <t xml:space="preserve">REV-0002858</t>
  </si>
  <si>
    <t xml:space="preserve">REV-0002859</t>
  </si>
  <si>
    <t xml:space="preserve">REV-0002860</t>
  </si>
  <si>
    <t xml:space="preserve">REV-0002861</t>
  </si>
  <si>
    <t xml:space="preserve">REV-0002862</t>
  </si>
  <si>
    <t xml:space="preserve">REV-0002863</t>
  </si>
  <si>
    <t xml:space="preserve">REV-0002864</t>
  </si>
  <si>
    <t xml:space="preserve">REV-0002865</t>
  </si>
  <si>
    <t xml:space="preserve">REV-0002866</t>
  </si>
  <si>
    <t xml:space="preserve">REV-0002867</t>
  </si>
  <si>
    <t xml:space="preserve">REV-0002868</t>
  </si>
  <si>
    <t xml:space="preserve">REV-0002869</t>
  </si>
  <si>
    <t xml:space="preserve">REV-0002870</t>
  </si>
  <si>
    <t xml:space="preserve">REV-0002871</t>
  </si>
  <si>
    <t xml:space="preserve">REV-0002872</t>
  </si>
  <si>
    <t xml:space="preserve">REV-0002873</t>
  </si>
  <si>
    <t xml:space="preserve">REV-0002874</t>
  </si>
  <si>
    <t xml:space="preserve">REV-0002875</t>
  </si>
  <si>
    <t xml:space="preserve">REV-0002876</t>
  </si>
  <si>
    <t xml:space="preserve">REV-0002877</t>
  </si>
  <si>
    <t xml:space="preserve">REV-0002878</t>
  </si>
  <si>
    <t xml:space="preserve">REV-0002879</t>
  </si>
  <si>
    <t xml:space="preserve">REV-0002880</t>
  </si>
  <si>
    <t xml:space="preserve">REV-0002881</t>
  </si>
  <si>
    <t xml:space="preserve">REV-0002882</t>
  </si>
  <si>
    <t xml:space="preserve">REV-0002883</t>
  </si>
  <si>
    <t xml:space="preserve">REV-0002884</t>
  </si>
  <si>
    <t xml:space="preserve">REV-0002885</t>
  </si>
  <si>
    <t xml:space="preserve">REV-0002886</t>
  </si>
  <si>
    <t xml:space="preserve">REV-0002887</t>
  </si>
  <si>
    <t xml:space="preserve">REV-0002888</t>
  </si>
  <si>
    <t xml:space="preserve">REV-0002889</t>
  </si>
  <si>
    <t xml:space="preserve">REV-0002890</t>
  </si>
  <si>
    <t xml:space="preserve">REV-0002891</t>
  </si>
  <si>
    <t xml:space="preserve">REV-0002892</t>
  </si>
  <si>
    <t xml:space="preserve">REV-0002893</t>
  </si>
  <si>
    <t xml:space="preserve">REV-0002894</t>
  </si>
  <si>
    <t xml:space="preserve">REV-0002895</t>
  </si>
  <si>
    <t xml:space="preserve">REV-0002896</t>
  </si>
  <si>
    <t xml:space="preserve">REV-0002897</t>
  </si>
  <si>
    <t xml:space="preserve">REV-0002898</t>
  </si>
  <si>
    <t xml:space="preserve">REV-0002899</t>
  </si>
  <si>
    <t xml:space="preserve">REV-0002900</t>
  </si>
  <si>
    <t xml:space="preserve">REV-0002901</t>
  </si>
  <si>
    <t xml:space="preserve">REV-0002902</t>
  </si>
  <si>
    <t xml:space="preserve">REV-0002903</t>
  </si>
  <si>
    <t xml:space="preserve">REV-0002904</t>
  </si>
  <si>
    <t xml:space="preserve">REV-0002905</t>
  </si>
  <si>
    <t xml:space="preserve">REV-0002906</t>
  </si>
  <si>
    <t xml:space="preserve">REV-0002907</t>
  </si>
  <si>
    <t xml:space="preserve">REV-0002908</t>
  </si>
  <si>
    <t xml:space="preserve">REV-0002909</t>
  </si>
  <si>
    <t xml:space="preserve">REV-0002910</t>
  </si>
  <si>
    <t xml:space="preserve">REV-0002911</t>
  </si>
  <si>
    <t xml:space="preserve">REV-0002912</t>
  </si>
  <si>
    <t xml:space="preserve">REV-0002913</t>
  </si>
  <si>
    <t xml:space="preserve">REV-0002914</t>
  </si>
  <si>
    <t xml:space="preserve">REV-0002915</t>
  </si>
  <si>
    <t xml:space="preserve">REV-0002916</t>
  </si>
  <si>
    <t xml:space="preserve">REV-0002917</t>
  </si>
  <si>
    <t xml:space="preserve">REV-0002918</t>
  </si>
  <si>
    <t xml:space="preserve">REV-0002919</t>
  </si>
  <si>
    <t xml:space="preserve">REV-0002920</t>
  </si>
  <si>
    <t xml:space="preserve">REV-0002921</t>
  </si>
  <si>
    <t xml:space="preserve">REV-0002922</t>
  </si>
  <si>
    <t xml:space="preserve">REV-0002923</t>
  </si>
  <si>
    <t xml:space="preserve">REV-0002924</t>
  </si>
  <si>
    <t xml:space="preserve">REV-0002925</t>
  </si>
  <si>
    <t xml:space="preserve">REV-0002926</t>
  </si>
  <si>
    <t xml:space="preserve">REV-0002927</t>
  </si>
  <si>
    <t xml:space="preserve">REV-0002928</t>
  </si>
  <si>
    <t xml:space="preserve">REV-0002929</t>
  </si>
  <si>
    <t xml:space="preserve">REV-0002930</t>
  </si>
  <si>
    <t xml:space="preserve">REV-0002931</t>
  </si>
  <si>
    <t xml:space="preserve">REV-0002932</t>
  </si>
  <si>
    <t xml:space="preserve">REV-0002933</t>
  </si>
  <si>
    <t xml:space="preserve">REV-0002934</t>
  </si>
  <si>
    <t xml:space="preserve">REV-0002935</t>
  </si>
  <si>
    <t xml:space="preserve">REV-0002936</t>
  </si>
  <si>
    <t xml:space="preserve">REV-0002937</t>
  </si>
  <si>
    <t xml:space="preserve">REV-0002938</t>
  </si>
  <si>
    <t xml:space="preserve">REV-0002939</t>
  </si>
  <si>
    <t xml:space="preserve">REV-0002940</t>
  </si>
  <si>
    <t xml:space="preserve">REV-0002941</t>
  </si>
  <si>
    <t xml:space="preserve">REV-0002942</t>
  </si>
  <si>
    <t xml:space="preserve">REV-0002943</t>
  </si>
  <si>
    <t xml:space="preserve">REV-0002944</t>
  </si>
  <si>
    <t xml:space="preserve">REV-0002945</t>
  </si>
  <si>
    <t xml:space="preserve">REV-0002946</t>
  </si>
  <si>
    <t xml:space="preserve">REV-0002947</t>
  </si>
  <si>
    <t xml:space="preserve">REV-0002948</t>
  </si>
  <si>
    <t xml:space="preserve">REV-0002949</t>
  </si>
  <si>
    <t xml:space="preserve">REV-0002950</t>
  </si>
  <si>
    <t xml:space="preserve">REV-0002951</t>
  </si>
  <si>
    <t xml:space="preserve">REV-0002952</t>
  </si>
  <si>
    <t xml:space="preserve">REV-0002953</t>
  </si>
  <si>
    <t xml:space="preserve">REV-0002954</t>
  </si>
  <si>
    <t xml:space="preserve">REV-0002955</t>
  </si>
  <si>
    <t xml:space="preserve">REV-0002956</t>
  </si>
  <si>
    <t xml:space="preserve">REV-0002957</t>
  </si>
  <si>
    <t xml:space="preserve">REV-0002958</t>
  </si>
  <si>
    <t xml:space="preserve">REV-0002959</t>
  </si>
  <si>
    <t xml:space="preserve">REV-0002960</t>
  </si>
  <si>
    <t xml:space="preserve">REV-0002961</t>
  </si>
  <si>
    <t xml:space="preserve">REV-0002962</t>
  </si>
  <si>
    <t xml:space="preserve">REV-0002963</t>
  </si>
  <si>
    <t xml:space="preserve">REV-0002964</t>
  </si>
  <si>
    <t xml:space="preserve">REV-0002965</t>
  </si>
  <si>
    <t xml:space="preserve">REV-0002966</t>
  </si>
  <si>
    <t xml:space="preserve">REV-0002967</t>
  </si>
  <si>
    <t xml:space="preserve">REV-0002968</t>
  </si>
  <si>
    <t xml:space="preserve">REV-0002969</t>
  </si>
  <si>
    <t xml:space="preserve">REV-0002970</t>
  </si>
  <si>
    <t xml:space="preserve">REV-0002971</t>
  </si>
  <si>
    <t xml:space="preserve">REV-0002972</t>
  </si>
  <si>
    <t xml:space="preserve">REV-0002973</t>
  </si>
  <si>
    <t xml:space="preserve">REV-0002974</t>
  </si>
  <si>
    <t xml:space="preserve">REV-0002975</t>
  </si>
  <si>
    <t xml:space="preserve">REV-0002976</t>
  </si>
  <si>
    <t xml:space="preserve">REV-0002977</t>
  </si>
  <si>
    <t xml:space="preserve">REV-0002978</t>
  </si>
  <si>
    <t xml:space="preserve">REV-0002979</t>
  </si>
  <si>
    <t xml:space="preserve">REV-0002980</t>
  </si>
  <si>
    <t xml:space="preserve">REV-0002981</t>
  </si>
  <si>
    <t xml:space="preserve">REV-0002982</t>
  </si>
  <si>
    <t xml:space="preserve">REV-0002983</t>
  </si>
  <si>
    <t xml:space="preserve">REV-0002984</t>
  </si>
  <si>
    <t xml:space="preserve">REV-0002985</t>
  </si>
  <si>
    <t xml:space="preserve">REV-0002986</t>
  </si>
  <si>
    <t xml:space="preserve">REV-0002987</t>
  </si>
  <si>
    <t xml:space="preserve">REV-0002988</t>
  </si>
  <si>
    <t xml:space="preserve">REV-0002989</t>
  </si>
  <si>
    <t xml:space="preserve">REV-0002990</t>
  </si>
  <si>
    <t xml:space="preserve">REV-0002991</t>
  </si>
  <si>
    <t xml:space="preserve">REV-0002992</t>
  </si>
  <si>
    <t xml:space="preserve">REV-0002993</t>
  </si>
  <si>
    <t xml:space="preserve">REV-0002994</t>
  </si>
  <si>
    <t xml:space="preserve">REV-0002995</t>
  </si>
  <si>
    <t xml:space="preserve">REV-0002996</t>
  </si>
  <si>
    <t xml:space="preserve">REV-0002997</t>
  </si>
  <si>
    <t xml:space="preserve">REV-0002998</t>
  </si>
  <si>
    <t xml:space="preserve">REV-0002999</t>
  </si>
  <si>
    <t xml:space="preserve">REV-0003000</t>
  </si>
  <si>
    <t xml:space="preserve">REV-0003001</t>
  </si>
  <si>
    <t xml:space="preserve">REV-0003002</t>
  </si>
  <si>
    <t xml:space="preserve">REV-0003003</t>
  </si>
  <si>
    <t xml:space="preserve">REV-0003004</t>
  </si>
  <si>
    <t xml:space="preserve">REV-0003005</t>
  </si>
  <si>
    <t xml:space="preserve">REV-0003006</t>
  </si>
  <si>
    <t xml:space="preserve">REV-0003007</t>
  </si>
  <si>
    <t xml:space="preserve">REV-0003008</t>
  </si>
  <si>
    <t xml:space="preserve">REV-0003009</t>
  </si>
  <si>
    <t xml:space="preserve">REV-0003010</t>
  </si>
  <si>
    <t xml:space="preserve">REV-0003011</t>
  </si>
  <si>
    <t xml:space="preserve">REV-0003012</t>
  </si>
  <si>
    <t xml:space="preserve">REV-0003013</t>
  </si>
  <si>
    <t xml:space="preserve">REV-0003014</t>
  </si>
  <si>
    <t xml:space="preserve">REV-0003015</t>
  </si>
  <si>
    <t xml:space="preserve">REV-0003016</t>
  </si>
  <si>
    <t xml:space="preserve">REV-0003017</t>
  </si>
  <si>
    <t xml:space="preserve">REV-0003018</t>
  </si>
  <si>
    <t xml:space="preserve">REV-0003019</t>
  </si>
  <si>
    <t xml:space="preserve">REV-0003020</t>
  </si>
  <si>
    <t xml:space="preserve">REV-0003021</t>
  </si>
  <si>
    <t xml:space="preserve">REV-0003022</t>
  </si>
  <si>
    <t xml:space="preserve">REV-0003023</t>
  </si>
  <si>
    <t xml:space="preserve">REV-0003024</t>
  </si>
  <si>
    <t xml:space="preserve">REV-0003025</t>
  </si>
  <si>
    <t xml:space="preserve">REV-0003026</t>
  </si>
  <si>
    <t xml:space="preserve">REV-0003027</t>
  </si>
  <si>
    <t xml:space="preserve">REV-0003028</t>
  </si>
  <si>
    <t xml:space="preserve">REV-0003029</t>
  </si>
  <si>
    <t xml:space="preserve">REV-0003030</t>
  </si>
  <si>
    <t xml:space="preserve">REV-0003031</t>
  </si>
  <si>
    <t xml:space="preserve">REV-0003032</t>
  </si>
  <si>
    <t xml:space="preserve">REV-0003033</t>
  </si>
  <si>
    <t xml:space="preserve">REV-0003034</t>
  </si>
  <si>
    <t xml:space="preserve">REV-0003035</t>
  </si>
  <si>
    <t xml:space="preserve">REV-0003036</t>
  </si>
  <si>
    <t xml:space="preserve">REV-0003037</t>
  </si>
  <si>
    <t xml:space="preserve">REV-0003038</t>
  </si>
  <si>
    <t xml:space="preserve">REV-0003039</t>
  </si>
  <si>
    <t xml:space="preserve">REV-0003040</t>
  </si>
  <si>
    <t xml:space="preserve">REV-0003041</t>
  </si>
  <si>
    <t xml:space="preserve">REV-0003042</t>
  </si>
  <si>
    <t xml:space="preserve">REV-0003043</t>
  </si>
  <si>
    <t xml:space="preserve">REV-0003044</t>
  </si>
  <si>
    <t xml:space="preserve">REV-0003045</t>
  </si>
  <si>
    <t xml:space="preserve">REV-0003046</t>
  </si>
  <si>
    <t xml:space="preserve">REV-0003047</t>
  </si>
  <si>
    <t xml:space="preserve">REV-0003048</t>
  </si>
  <si>
    <t xml:space="preserve">REV-0003049</t>
  </si>
  <si>
    <t xml:space="preserve">REV-0003050</t>
  </si>
  <si>
    <t xml:space="preserve">REV-0003051</t>
  </si>
  <si>
    <t xml:space="preserve">REV-0003052</t>
  </si>
  <si>
    <t xml:space="preserve">REV-0003053</t>
  </si>
  <si>
    <t xml:space="preserve">REV-0003054</t>
  </si>
  <si>
    <t xml:space="preserve">REV-0003055</t>
  </si>
  <si>
    <t xml:space="preserve">REV-0003056</t>
  </si>
  <si>
    <t xml:space="preserve">REV-0003057</t>
  </si>
  <si>
    <t xml:space="preserve">REV-0003058</t>
  </si>
  <si>
    <t xml:space="preserve">REV-0003059</t>
  </si>
  <si>
    <t xml:space="preserve">REV-0003060</t>
  </si>
  <si>
    <t xml:space="preserve">REV-0003061</t>
  </si>
  <si>
    <t xml:space="preserve">REV-0003062</t>
  </si>
  <si>
    <t xml:space="preserve">REV-0003063</t>
  </si>
  <si>
    <t xml:space="preserve">REV-0003064</t>
  </si>
  <si>
    <t xml:space="preserve">REV-0003065</t>
  </si>
  <si>
    <t xml:space="preserve">REV-0003066</t>
  </si>
  <si>
    <t xml:space="preserve">REV-0003067</t>
  </si>
  <si>
    <t xml:space="preserve">REV-0003068</t>
  </si>
  <si>
    <t xml:space="preserve">REV-0003069</t>
  </si>
  <si>
    <t xml:space="preserve">REV-0003070</t>
  </si>
  <si>
    <t xml:space="preserve">REV-0003071</t>
  </si>
  <si>
    <t xml:space="preserve">REV-0003072</t>
  </si>
  <si>
    <t xml:space="preserve">REV-0003073</t>
  </si>
  <si>
    <t xml:space="preserve">REV-0003074</t>
  </si>
  <si>
    <t xml:space="preserve">REV-0003075</t>
  </si>
  <si>
    <t xml:space="preserve">REV-0003076</t>
  </si>
  <si>
    <t xml:space="preserve">REV-0003077</t>
  </si>
  <si>
    <t xml:space="preserve">REV-0003078</t>
  </si>
  <si>
    <t xml:space="preserve">REV-0003079</t>
  </si>
  <si>
    <t xml:space="preserve">REV-0003080</t>
  </si>
  <si>
    <t xml:space="preserve">REV-0003081</t>
  </si>
  <si>
    <t xml:space="preserve">REV-0003082</t>
  </si>
  <si>
    <t xml:space="preserve">REV-0003083</t>
  </si>
  <si>
    <t xml:space="preserve">REV-0003084</t>
  </si>
  <si>
    <t xml:space="preserve">REV-0003085</t>
  </si>
  <si>
    <t xml:space="preserve">REV-0003086</t>
  </si>
  <si>
    <t xml:space="preserve">REV-0003087</t>
  </si>
  <si>
    <t xml:space="preserve">REV-0003088</t>
  </si>
  <si>
    <t xml:space="preserve">REV-0003089</t>
  </si>
  <si>
    <t xml:space="preserve">REV-0003090</t>
  </si>
  <si>
    <t xml:space="preserve">REV-0003091</t>
  </si>
  <si>
    <t xml:space="preserve">REV-0003092</t>
  </si>
  <si>
    <t xml:space="preserve">REV-0003093</t>
  </si>
  <si>
    <t xml:space="preserve">REV-0003094</t>
  </si>
  <si>
    <t xml:space="preserve">REV-0003095</t>
  </si>
  <si>
    <t xml:space="preserve">REV-0003096</t>
  </si>
  <si>
    <t xml:space="preserve">REV-0003097</t>
  </si>
  <si>
    <t xml:space="preserve">REV-0003098</t>
  </si>
  <si>
    <t xml:space="preserve">REV-0003099</t>
  </si>
  <si>
    <t xml:space="preserve">REV-0003100</t>
  </si>
  <si>
    <t xml:space="preserve">REV-0003101</t>
  </si>
  <si>
    <t xml:space="preserve">REV-0003102</t>
  </si>
  <si>
    <t xml:space="preserve">REV-0003103</t>
  </si>
  <si>
    <t xml:space="preserve">REV-0003104</t>
  </si>
  <si>
    <t xml:space="preserve">REV-0003105</t>
  </si>
  <si>
    <t xml:space="preserve">REV-0003106</t>
  </si>
  <si>
    <t xml:space="preserve">REV-0003107</t>
  </si>
  <si>
    <t xml:space="preserve">REV-0003108</t>
  </si>
  <si>
    <t xml:space="preserve">REV-0003109</t>
  </si>
  <si>
    <t xml:space="preserve">REV-0003110</t>
  </si>
  <si>
    <t xml:space="preserve">REV-0003111</t>
  </si>
  <si>
    <t xml:space="preserve">REV-0003112</t>
  </si>
  <si>
    <t xml:space="preserve">REV-0003113</t>
  </si>
  <si>
    <t xml:space="preserve">REV-0003114</t>
  </si>
  <si>
    <t xml:space="preserve">REV-0003115</t>
  </si>
  <si>
    <t xml:space="preserve">REV-0003116</t>
  </si>
  <si>
    <t xml:space="preserve">REV-0003117</t>
  </si>
  <si>
    <t xml:space="preserve">REV-0003118</t>
  </si>
  <si>
    <t xml:space="preserve">REV-0003119</t>
  </si>
  <si>
    <t xml:space="preserve">REV-0003120</t>
  </si>
  <si>
    <t xml:space="preserve">REV-0003121</t>
  </si>
  <si>
    <t xml:space="preserve">REV-0003122</t>
  </si>
  <si>
    <t xml:space="preserve">REV-0003123</t>
  </si>
  <si>
    <t xml:space="preserve">REV-0003124</t>
  </si>
  <si>
    <t xml:space="preserve">REV-0003125</t>
  </si>
  <si>
    <t xml:space="preserve">REV-0003126</t>
  </si>
  <si>
    <t xml:space="preserve">REV-0003127</t>
  </si>
  <si>
    <t xml:space="preserve">REV-0003128</t>
  </si>
  <si>
    <t xml:space="preserve">REV-0003129</t>
  </si>
  <si>
    <t xml:space="preserve">REV-0003130</t>
  </si>
  <si>
    <t xml:space="preserve">REV-0003131</t>
  </si>
  <si>
    <t xml:space="preserve">REV-0003132</t>
  </si>
  <si>
    <t xml:space="preserve">REV-0003133</t>
  </si>
  <si>
    <t xml:space="preserve">REV-0003134</t>
  </si>
  <si>
    <t xml:space="preserve">REV-0003135</t>
  </si>
  <si>
    <t xml:space="preserve">REV-0003136</t>
  </si>
  <si>
    <t xml:space="preserve">REV-0003137</t>
  </si>
  <si>
    <t xml:space="preserve">REV-0003138</t>
  </si>
  <si>
    <t xml:space="preserve">REV-0003139</t>
  </si>
  <si>
    <t xml:space="preserve">REV-0003140</t>
  </si>
  <si>
    <t xml:space="preserve">REV-0003141</t>
  </si>
  <si>
    <t xml:space="preserve">REV-0003142</t>
  </si>
  <si>
    <t xml:space="preserve">REV-0003143</t>
  </si>
  <si>
    <t xml:space="preserve">REV-0003144</t>
  </si>
  <si>
    <t xml:space="preserve">REV-0003145</t>
  </si>
  <si>
    <t xml:space="preserve">REV-0003146</t>
  </si>
  <si>
    <t xml:space="preserve">REV-0003147</t>
  </si>
  <si>
    <t xml:space="preserve">REV-0003148</t>
  </si>
  <si>
    <t xml:space="preserve">REV-0003149</t>
  </si>
  <si>
    <t xml:space="preserve">REV-0003150</t>
  </si>
  <si>
    <t xml:space="preserve">REV-0003151</t>
  </si>
  <si>
    <t xml:space="preserve">REV-0003152</t>
  </si>
  <si>
    <t xml:space="preserve">REV-0003153</t>
  </si>
  <si>
    <t xml:space="preserve">REV-0003154</t>
  </si>
  <si>
    <t xml:space="preserve">REV-0003155</t>
  </si>
  <si>
    <t xml:space="preserve">REV-0003156</t>
  </si>
  <si>
    <t xml:space="preserve">REV-0003157</t>
  </si>
  <si>
    <t xml:space="preserve">REV-0003158</t>
  </si>
  <si>
    <t xml:space="preserve">REV-0003159</t>
  </si>
  <si>
    <t xml:space="preserve">REV-0003160</t>
  </si>
  <si>
    <t xml:space="preserve">REV-0003161</t>
  </si>
  <si>
    <t xml:space="preserve">REV-0003162</t>
  </si>
  <si>
    <t xml:space="preserve">REV-0003163</t>
  </si>
  <si>
    <t xml:space="preserve">REV-0003164</t>
  </si>
  <si>
    <t xml:space="preserve">REV-0003165</t>
  </si>
  <si>
    <t xml:space="preserve">REV-0003166</t>
  </si>
  <si>
    <t xml:space="preserve">REV-0003167</t>
  </si>
  <si>
    <t xml:space="preserve">REV-0003168</t>
  </si>
  <si>
    <t xml:space="preserve">REV-0003169</t>
  </si>
  <si>
    <t xml:space="preserve">REV-0003170</t>
  </si>
  <si>
    <t xml:space="preserve">REV-0003171</t>
  </si>
  <si>
    <t xml:space="preserve">REV-0003172</t>
  </si>
  <si>
    <t xml:space="preserve">REV-0003173</t>
  </si>
  <si>
    <t xml:space="preserve">REV-0003174</t>
  </si>
  <si>
    <t xml:space="preserve">REV-0003175</t>
  </si>
  <si>
    <t xml:space="preserve">REV-0003176</t>
  </si>
  <si>
    <t xml:space="preserve">REV-0003177</t>
  </si>
  <si>
    <t xml:space="preserve">REV-0003178</t>
  </si>
  <si>
    <t xml:space="preserve">REV-0003179</t>
  </si>
  <si>
    <t xml:space="preserve">REV-0003180</t>
  </si>
  <si>
    <t xml:space="preserve">REV-0003181</t>
  </si>
  <si>
    <t xml:space="preserve">REV-0003182</t>
  </si>
  <si>
    <t xml:space="preserve">REV-0003183</t>
  </si>
  <si>
    <t xml:space="preserve">REV-0003184</t>
  </si>
  <si>
    <t xml:space="preserve">REV-0003185</t>
  </si>
  <si>
    <t xml:space="preserve">REV-0003186</t>
  </si>
  <si>
    <t xml:space="preserve">REV-0003187</t>
  </si>
  <si>
    <t xml:space="preserve">REV-0003188</t>
  </si>
  <si>
    <t xml:space="preserve">REV-0003189</t>
  </si>
  <si>
    <t xml:space="preserve">REV-0003190</t>
  </si>
  <si>
    <t xml:space="preserve">REV-0003191</t>
  </si>
  <si>
    <t xml:space="preserve">REV-0003192</t>
  </si>
  <si>
    <t xml:space="preserve">REV-0003193</t>
  </si>
  <si>
    <t xml:space="preserve">REV-0003194</t>
  </si>
  <si>
    <t xml:space="preserve">REV-0003195</t>
  </si>
  <si>
    <t xml:space="preserve">REV-0003196</t>
  </si>
  <si>
    <t xml:space="preserve">REV-0003197</t>
  </si>
  <si>
    <t xml:space="preserve">REV-0003198</t>
  </si>
  <si>
    <t xml:space="preserve">REV-0003199</t>
  </si>
  <si>
    <t xml:space="preserve">REV-0003200</t>
  </si>
  <si>
    <t xml:space="preserve">REV-0003201</t>
  </si>
  <si>
    <t xml:space="preserve">REV-0003202</t>
  </si>
  <si>
    <t xml:space="preserve">REV-0003203</t>
  </si>
  <si>
    <t xml:space="preserve">REV-0003204</t>
  </si>
  <si>
    <t xml:space="preserve">REV-0003205</t>
  </si>
  <si>
    <t xml:space="preserve">REV-0003206</t>
  </si>
  <si>
    <t xml:space="preserve">REV-0003207</t>
  </si>
  <si>
    <t xml:space="preserve">REV-0003208</t>
  </si>
  <si>
    <t xml:space="preserve">REV-0003209</t>
  </si>
  <si>
    <t xml:space="preserve">REV-0003210</t>
  </si>
  <si>
    <t xml:space="preserve">REV-0003211</t>
  </si>
  <si>
    <t xml:space="preserve">REV-0003212</t>
  </si>
  <si>
    <t xml:space="preserve">REV-0003213</t>
  </si>
  <si>
    <t xml:space="preserve">REV-0003214</t>
  </si>
  <si>
    <t xml:space="preserve">REV-0003215</t>
  </si>
  <si>
    <t xml:space="preserve">REV-0003216</t>
  </si>
  <si>
    <t xml:space="preserve">REV-0003217</t>
  </si>
  <si>
    <t xml:space="preserve">REV-0003218</t>
  </si>
  <si>
    <t xml:space="preserve">REV-0003219</t>
  </si>
  <si>
    <t xml:space="preserve">REV-0003220</t>
  </si>
  <si>
    <t xml:space="preserve">REV-0003221</t>
  </si>
  <si>
    <t xml:space="preserve">REV-0003222</t>
  </si>
  <si>
    <t xml:space="preserve">REV-0003223</t>
  </si>
  <si>
    <t xml:space="preserve">REV-0003224</t>
  </si>
  <si>
    <t xml:space="preserve">REV-0003225</t>
  </si>
  <si>
    <t xml:space="preserve">REV-0003226</t>
  </si>
  <si>
    <t xml:space="preserve">REV-0003227</t>
  </si>
  <si>
    <t xml:space="preserve">REV-0003228</t>
  </si>
  <si>
    <t xml:space="preserve">REV-0003229</t>
  </si>
  <si>
    <t xml:space="preserve">REV-0003230</t>
  </si>
  <si>
    <t xml:space="preserve">REV-0003231</t>
  </si>
  <si>
    <t xml:space="preserve">REV-0003232</t>
  </si>
  <si>
    <t xml:space="preserve">REV-0003233</t>
  </si>
  <si>
    <t xml:space="preserve">REV-0003234</t>
  </si>
  <si>
    <t xml:space="preserve">REV-0003235</t>
  </si>
  <si>
    <t xml:space="preserve">REV-0003236</t>
  </si>
  <si>
    <t xml:space="preserve">REV-0003237</t>
  </si>
  <si>
    <t xml:space="preserve">REV-0003238</t>
  </si>
  <si>
    <t xml:space="preserve">REV-0003239</t>
  </si>
  <si>
    <t xml:space="preserve">REV-0003240</t>
  </si>
  <si>
    <t xml:space="preserve">REV-0003241</t>
  </si>
  <si>
    <t xml:space="preserve">REV-0003242</t>
  </si>
  <si>
    <t xml:space="preserve">REV-0003243</t>
  </si>
  <si>
    <t xml:space="preserve">REV-0003244</t>
  </si>
  <si>
    <t xml:space="preserve">REV-0003245</t>
  </si>
  <si>
    <t xml:space="preserve">REV-0003246</t>
  </si>
  <si>
    <t xml:space="preserve">REV-0003247</t>
  </si>
  <si>
    <t xml:space="preserve">REV-0003248</t>
  </si>
  <si>
    <t xml:space="preserve">REV-0003249</t>
  </si>
  <si>
    <t xml:space="preserve">REV-0003250</t>
  </si>
  <si>
    <t xml:space="preserve">REV-0003251</t>
  </si>
  <si>
    <t xml:space="preserve">REV-0003252</t>
  </si>
  <si>
    <t xml:space="preserve">REV-0003253</t>
  </si>
  <si>
    <t xml:space="preserve">REV-0003254</t>
  </si>
  <si>
    <t xml:space="preserve">REV-0003255</t>
  </si>
  <si>
    <t xml:space="preserve">REV-0003256</t>
  </si>
  <si>
    <t xml:space="preserve">REV-0003257</t>
  </si>
  <si>
    <t xml:space="preserve">REV-0003258</t>
  </si>
  <si>
    <t xml:space="preserve">REV-0003259</t>
  </si>
  <si>
    <t xml:space="preserve">REV-0003260</t>
  </si>
  <si>
    <t xml:space="preserve">REV-0003261</t>
  </si>
  <si>
    <t xml:space="preserve">REV-0003262</t>
  </si>
  <si>
    <t xml:space="preserve">REV-0003263</t>
  </si>
  <si>
    <t xml:space="preserve">REV-0003264</t>
  </si>
  <si>
    <t xml:space="preserve">REV-0003265</t>
  </si>
  <si>
    <t xml:space="preserve">REV-0003266</t>
  </si>
  <si>
    <t xml:space="preserve">REV-0003267</t>
  </si>
  <si>
    <t xml:space="preserve">REV-0003268</t>
  </si>
  <si>
    <t xml:space="preserve">REV-0003269</t>
  </si>
  <si>
    <t xml:space="preserve">REV-0003270</t>
  </si>
  <si>
    <t xml:space="preserve">REV-0003271</t>
  </si>
  <si>
    <t xml:space="preserve">REV-0003272</t>
  </si>
  <si>
    <t xml:space="preserve">REV-0003273</t>
  </si>
  <si>
    <t xml:space="preserve">REV-0003274</t>
  </si>
  <si>
    <t xml:space="preserve">REV-0003275</t>
  </si>
  <si>
    <t xml:space="preserve">REV-0003276</t>
  </si>
  <si>
    <t xml:space="preserve">REV-0003277</t>
  </si>
  <si>
    <t xml:space="preserve">REV-0003278</t>
  </si>
  <si>
    <t xml:space="preserve">REV-0003279</t>
  </si>
  <si>
    <t xml:space="preserve">REV-0003280</t>
  </si>
  <si>
    <t xml:space="preserve">REV-0003281</t>
  </si>
  <si>
    <t xml:space="preserve">REV-0003282</t>
  </si>
  <si>
    <t xml:space="preserve">REV-0003283</t>
  </si>
  <si>
    <t xml:space="preserve">REV-0003284</t>
  </si>
  <si>
    <t xml:space="preserve">REV-0003285</t>
  </si>
  <si>
    <t xml:space="preserve">REV-0003286</t>
  </si>
  <si>
    <t xml:space="preserve">REV-0003287</t>
  </si>
  <si>
    <t xml:space="preserve">REV-0003288</t>
  </si>
  <si>
    <t xml:space="preserve">REV-0003289</t>
  </si>
  <si>
    <t xml:space="preserve">REV-0003290</t>
  </si>
  <si>
    <t xml:space="preserve">REV-0003291</t>
  </si>
  <si>
    <t xml:space="preserve">REV-0003292</t>
  </si>
  <si>
    <t xml:space="preserve">REV-0003293</t>
  </si>
  <si>
    <t xml:space="preserve">REV-0003294</t>
  </si>
  <si>
    <t xml:space="preserve">REV-0003295</t>
  </si>
  <si>
    <t xml:space="preserve">REV-0003296</t>
  </si>
  <si>
    <t xml:space="preserve">REV-0003297</t>
  </si>
  <si>
    <t xml:space="preserve">REV-0003298</t>
  </si>
  <si>
    <t xml:space="preserve">REV-0003299</t>
  </si>
  <si>
    <t xml:space="preserve">REV-0003300</t>
  </si>
  <si>
    <t xml:space="preserve">REV-0003301</t>
  </si>
  <si>
    <t xml:space="preserve">REV-0003302</t>
  </si>
  <si>
    <t xml:space="preserve">REV-0003303</t>
  </si>
  <si>
    <t xml:space="preserve">REV-0003304</t>
  </si>
  <si>
    <t xml:space="preserve">REV-0003305</t>
  </si>
  <si>
    <t xml:space="preserve">REV-0003306</t>
  </si>
  <si>
    <t xml:space="preserve">REV-0003307</t>
  </si>
  <si>
    <t xml:space="preserve">REV-0003308</t>
  </si>
  <si>
    <t xml:space="preserve">REV-0003309</t>
  </si>
  <si>
    <t xml:space="preserve">REV-0003310</t>
  </si>
  <si>
    <t xml:space="preserve">REV-0003311</t>
  </si>
  <si>
    <t xml:space="preserve">REV-0003312</t>
  </si>
  <si>
    <t xml:space="preserve">REV-0003313</t>
  </si>
  <si>
    <t xml:space="preserve">REV-0003314</t>
  </si>
  <si>
    <t xml:space="preserve">REV-0003315</t>
  </si>
  <si>
    <t xml:space="preserve">REV-0003316</t>
  </si>
  <si>
    <t xml:space="preserve">REV-0003317</t>
  </si>
  <si>
    <t xml:space="preserve">REV-0003318</t>
  </si>
  <si>
    <t xml:space="preserve">REV-0003319</t>
  </si>
  <si>
    <t xml:space="preserve">REV-0003320</t>
  </si>
  <si>
    <t xml:space="preserve">REV-0003321</t>
  </si>
  <si>
    <t xml:space="preserve">REV-0003322</t>
  </si>
  <si>
    <t xml:space="preserve">REV-0003323</t>
  </si>
  <si>
    <t xml:space="preserve">REV-0003324</t>
  </si>
  <si>
    <t xml:space="preserve">REV-0003325</t>
  </si>
  <si>
    <t xml:space="preserve">REV-0003326</t>
  </si>
  <si>
    <t xml:space="preserve">REV-0003327</t>
  </si>
  <si>
    <t xml:space="preserve">REV-0003328</t>
  </si>
  <si>
    <t xml:space="preserve">REV-0003329</t>
  </si>
  <si>
    <t xml:space="preserve">REV-0003330</t>
  </si>
  <si>
    <t xml:space="preserve">REV-0003331</t>
  </si>
  <si>
    <t xml:space="preserve">REV-0003332</t>
  </si>
  <si>
    <t xml:space="preserve">REV-0003333</t>
  </si>
  <si>
    <t xml:space="preserve">REV-0003334</t>
  </si>
  <si>
    <t xml:space="preserve">REV-0003335</t>
  </si>
  <si>
    <t xml:space="preserve">REV-0003336</t>
  </si>
  <si>
    <t xml:space="preserve">REV-0003337</t>
  </si>
  <si>
    <t xml:space="preserve">REV-0003338</t>
  </si>
  <si>
    <t xml:space="preserve">REV-0003339</t>
  </si>
  <si>
    <t xml:space="preserve">REV-0003340</t>
  </si>
  <si>
    <t xml:space="preserve">REV-0003341</t>
  </si>
  <si>
    <t xml:space="preserve">REV-0003342</t>
  </si>
  <si>
    <t xml:space="preserve">REV-0003343</t>
  </si>
  <si>
    <t xml:space="preserve">REV-0003344</t>
  </si>
  <si>
    <t xml:space="preserve">REV-0003345</t>
  </si>
  <si>
    <t xml:space="preserve">REV-0003346</t>
  </si>
  <si>
    <t xml:space="preserve">REV-0003347</t>
  </si>
  <si>
    <t xml:space="preserve">REV-0003348</t>
  </si>
  <si>
    <t xml:space="preserve">REV-0003349</t>
  </si>
  <si>
    <t xml:space="preserve">REV-0003350</t>
  </si>
  <si>
    <t xml:space="preserve">REV-0003351</t>
  </si>
  <si>
    <t xml:space="preserve">REV-0003352</t>
  </si>
  <si>
    <t xml:space="preserve">REV-0003353</t>
  </si>
  <si>
    <t xml:space="preserve">REV-0003354</t>
  </si>
  <si>
    <t xml:space="preserve">REV-0003355</t>
  </si>
  <si>
    <t xml:space="preserve">REV-0003356</t>
  </si>
  <si>
    <t xml:space="preserve">REV-0003357</t>
  </si>
  <si>
    <t xml:space="preserve">REV-0003358</t>
  </si>
  <si>
    <t xml:space="preserve">REV-0003359</t>
  </si>
  <si>
    <t xml:space="preserve">REV-0003360</t>
  </si>
  <si>
    <t xml:space="preserve">REV-0003361</t>
  </si>
  <si>
    <t xml:space="preserve">REV-0003362</t>
  </si>
  <si>
    <t xml:space="preserve">REV-0003363</t>
  </si>
  <si>
    <t xml:space="preserve">REV-0003364</t>
  </si>
  <si>
    <t xml:space="preserve">REV-0003365</t>
  </si>
  <si>
    <t xml:space="preserve">REV-0003366</t>
  </si>
  <si>
    <t xml:space="preserve">REV-0003367</t>
  </si>
  <si>
    <t xml:space="preserve">REV-0003368</t>
  </si>
  <si>
    <t xml:space="preserve">REV-0003369</t>
  </si>
  <si>
    <t xml:space="preserve">REV-0003370</t>
  </si>
  <si>
    <t xml:space="preserve">REV-0003371</t>
  </si>
  <si>
    <t xml:space="preserve">REV-0003372</t>
  </si>
  <si>
    <t xml:space="preserve">REV-0003373</t>
  </si>
  <si>
    <t xml:space="preserve">REV-0003374</t>
  </si>
  <si>
    <t xml:space="preserve">REV-0003375</t>
  </si>
  <si>
    <t xml:space="preserve">REV-0003376</t>
  </si>
  <si>
    <t xml:space="preserve">REV-0003377</t>
  </si>
  <si>
    <t xml:space="preserve">REV-0003378</t>
  </si>
  <si>
    <t xml:space="preserve">REV-0003379</t>
  </si>
  <si>
    <t xml:space="preserve">REV-0003380</t>
  </si>
  <si>
    <t xml:space="preserve">REV-0003381</t>
  </si>
  <si>
    <t xml:space="preserve">REV-0003382</t>
  </si>
  <si>
    <t xml:space="preserve">REV-0003383</t>
  </si>
  <si>
    <t xml:space="preserve">REV-0003384</t>
  </si>
  <si>
    <t xml:space="preserve">REV-0003385</t>
  </si>
  <si>
    <t xml:space="preserve">REV-0003386</t>
  </si>
  <si>
    <t xml:space="preserve">REV-0003387</t>
  </si>
  <si>
    <t xml:space="preserve">REV-0003388</t>
  </si>
  <si>
    <t xml:space="preserve">REV-0003389</t>
  </si>
  <si>
    <t xml:space="preserve">REV-0003390</t>
  </si>
  <si>
    <t xml:space="preserve">REV-0003391</t>
  </si>
  <si>
    <t xml:space="preserve">REV-0003392</t>
  </si>
  <si>
    <t xml:space="preserve">REV-0003393</t>
  </si>
  <si>
    <t xml:space="preserve">REV-0003394</t>
  </si>
  <si>
    <t xml:space="preserve">REV-0003395</t>
  </si>
  <si>
    <t xml:space="preserve">REV-0003396</t>
  </si>
  <si>
    <t xml:space="preserve">REV-0003397</t>
  </si>
  <si>
    <t xml:space="preserve">REV-0003398</t>
  </si>
  <si>
    <t xml:space="preserve">REV-0003399</t>
  </si>
  <si>
    <t xml:space="preserve">REV-0003400</t>
  </si>
  <si>
    <t xml:space="preserve">REV-0003401</t>
  </si>
  <si>
    <t xml:space="preserve">REV-0003402</t>
  </si>
  <si>
    <t xml:space="preserve">REV-0003403</t>
  </si>
  <si>
    <t xml:space="preserve">REV-0003404</t>
  </si>
  <si>
    <t xml:space="preserve">REV-0003405</t>
  </si>
  <si>
    <t xml:space="preserve">REV-0003406</t>
  </si>
  <si>
    <t xml:space="preserve">REV-0003407</t>
  </si>
  <si>
    <t xml:space="preserve">REV-0003408</t>
  </si>
  <si>
    <t xml:space="preserve">REV-0003409</t>
  </si>
  <si>
    <t xml:space="preserve">REV-0003410</t>
  </si>
  <si>
    <t xml:space="preserve">REV-0003411</t>
  </si>
  <si>
    <t xml:space="preserve">REV-0003412</t>
  </si>
  <si>
    <t xml:space="preserve">REV-0003413</t>
  </si>
  <si>
    <t xml:space="preserve">REV-0003414</t>
  </si>
  <si>
    <t xml:space="preserve">REV-0003415</t>
  </si>
  <si>
    <t xml:space="preserve">REV-0003416</t>
  </si>
  <si>
    <t xml:space="preserve">REV-0003417</t>
  </si>
  <si>
    <t xml:space="preserve">REV-0003418</t>
  </si>
  <si>
    <t xml:space="preserve">REV-0003419</t>
  </si>
  <si>
    <t xml:space="preserve">REV-0003420</t>
  </si>
  <si>
    <t xml:space="preserve">REV-0003421</t>
  </si>
  <si>
    <t xml:space="preserve">REV-0003422</t>
  </si>
  <si>
    <t xml:space="preserve">REV-0003423</t>
  </si>
  <si>
    <t xml:space="preserve">REV-0003424</t>
  </si>
  <si>
    <t xml:space="preserve">REV-0003425</t>
  </si>
  <si>
    <t xml:space="preserve">REV-0003426</t>
  </si>
  <si>
    <t xml:space="preserve">REV-0003427</t>
  </si>
  <si>
    <t xml:space="preserve">REV-0003428</t>
  </si>
  <si>
    <t xml:space="preserve">REV-0003429</t>
  </si>
  <si>
    <t xml:space="preserve">REV-0003430</t>
  </si>
  <si>
    <t xml:space="preserve">REV-0003431</t>
  </si>
  <si>
    <t xml:space="preserve">REV-0003432</t>
  </si>
  <si>
    <t xml:space="preserve">REV-0003433</t>
  </si>
  <si>
    <t xml:space="preserve">REV-0003434</t>
  </si>
  <si>
    <t xml:space="preserve">REV-0003435</t>
  </si>
  <si>
    <t xml:space="preserve">REV-0003436</t>
  </si>
  <si>
    <t xml:space="preserve">REV-0003437</t>
  </si>
  <si>
    <t xml:space="preserve">REV-0003438</t>
  </si>
  <si>
    <t xml:space="preserve">REV-0003439</t>
  </si>
  <si>
    <t xml:space="preserve">REV-0003440</t>
  </si>
  <si>
    <t xml:space="preserve">REV-0003441</t>
  </si>
  <si>
    <t xml:space="preserve">REV-0003442</t>
  </si>
  <si>
    <t xml:space="preserve">REV-0003443</t>
  </si>
  <si>
    <t xml:space="preserve">REV-0003444</t>
  </si>
  <si>
    <t xml:space="preserve">REV-0003445</t>
  </si>
  <si>
    <t xml:space="preserve">REV-0003446</t>
  </si>
  <si>
    <t xml:space="preserve">REV-0003447</t>
  </si>
  <si>
    <t xml:space="preserve">REV-0003448</t>
  </si>
  <si>
    <t xml:space="preserve">REV-0003449</t>
  </si>
  <si>
    <t xml:space="preserve">REV-0003450</t>
  </si>
  <si>
    <t xml:space="preserve">REV-0003451</t>
  </si>
  <si>
    <t xml:space="preserve">REV-0003452</t>
  </si>
  <si>
    <t xml:space="preserve">REV-0003453</t>
  </si>
  <si>
    <t xml:space="preserve">REV-0003454</t>
  </si>
  <si>
    <t xml:space="preserve">REV-0003455</t>
  </si>
  <si>
    <t xml:space="preserve">REV-0003456</t>
  </si>
  <si>
    <t xml:space="preserve">REV-0003457</t>
  </si>
  <si>
    <t xml:space="preserve">REV-0003458</t>
  </si>
  <si>
    <t xml:space="preserve">REV-0003459</t>
  </si>
  <si>
    <t xml:space="preserve">REV-0003460</t>
  </si>
  <si>
    <t xml:space="preserve">REV-0003461</t>
  </si>
  <si>
    <t xml:space="preserve">REV-0003462</t>
  </si>
  <si>
    <t xml:space="preserve">REV-0003463</t>
  </si>
  <si>
    <t xml:space="preserve">REV-0003464</t>
  </si>
  <si>
    <t xml:space="preserve">REV-0003465</t>
  </si>
  <si>
    <t xml:space="preserve">REV-0003466</t>
  </si>
  <si>
    <t xml:space="preserve">REV-0003467</t>
  </si>
  <si>
    <t xml:space="preserve">REV-0003468</t>
  </si>
  <si>
    <t xml:space="preserve">REV-0003469</t>
  </si>
  <si>
    <t xml:space="preserve">REV-0003470</t>
  </si>
  <si>
    <t xml:space="preserve">REV-0003471</t>
  </si>
  <si>
    <t xml:space="preserve">REV-0003472</t>
  </si>
  <si>
    <t xml:space="preserve">REV-0003473</t>
  </si>
  <si>
    <t xml:space="preserve">REV-0003474</t>
  </si>
  <si>
    <t xml:space="preserve">REV-0003475</t>
  </si>
  <si>
    <t xml:space="preserve">REV-0003476</t>
  </si>
  <si>
    <t xml:space="preserve">REV-0003477</t>
  </si>
  <si>
    <t xml:space="preserve">REV-0003478</t>
  </si>
  <si>
    <t xml:space="preserve">REV-0003479</t>
  </si>
  <si>
    <t xml:space="preserve">REV-0003480</t>
  </si>
  <si>
    <t xml:space="preserve">REV-0003481</t>
  </si>
  <si>
    <t xml:space="preserve">REV-0003482</t>
  </si>
  <si>
    <t xml:space="preserve">REV-0003483</t>
  </si>
  <si>
    <t xml:space="preserve">REV-0003484</t>
  </si>
  <si>
    <t xml:space="preserve">REV-0003485</t>
  </si>
  <si>
    <t xml:space="preserve">REV-0003486</t>
  </si>
  <si>
    <t xml:space="preserve">REV-0003487</t>
  </si>
  <si>
    <t xml:space="preserve">REV-0003488</t>
  </si>
  <si>
    <t xml:space="preserve">REV-0003489</t>
  </si>
  <si>
    <t xml:space="preserve">REV-0003490</t>
  </si>
  <si>
    <t xml:space="preserve">REV-0003491</t>
  </si>
  <si>
    <t xml:space="preserve">REV-0003492</t>
  </si>
  <si>
    <t xml:space="preserve">REV-0003493</t>
  </si>
  <si>
    <t xml:space="preserve">REV-0003494</t>
  </si>
  <si>
    <t xml:space="preserve">REV-0003495</t>
  </si>
  <si>
    <t xml:space="preserve">REV-0003496</t>
  </si>
  <si>
    <t xml:space="preserve">REV-0003497</t>
  </si>
  <si>
    <t xml:space="preserve">REV-0003498</t>
  </si>
  <si>
    <t xml:space="preserve">REV-0003499</t>
  </si>
  <si>
    <t xml:space="preserve">REV-0003500</t>
  </si>
  <si>
    <t xml:space="preserve">REV-0003501</t>
  </si>
  <si>
    <t xml:space="preserve">REV-0003502</t>
  </si>
  <si>
    <t xml:space="preserve">REV-0003503</t>
  </si>
  <si>
    <t xml:space="preserve">REV-0003504</t>
  </si>
  <si>
    <t xml:space="preserve">REV-0003505</t>
  </si>
  <si>
    <t xml:space="preserve">REV-0003506</t>
  </si>
  <si>
    <t xml:space="preserve">REV-0003507</t>
  </si>
  <si>
    <t xml:space="preserve">REV-0003508</t>
  </si>
  <si>
    <t xml:space="preserve">REV-0003509</t>
  </si>
  <si>
    <t xml:space="preserve">REV-0003510</t>
  </si>
  <si>
    <t xml:space="preserve">REV-0003511</t>
  </si>
  <si>
    <t xml:space="preserve">REV-0003512</t>
  </si>
  <si>
    <t xml:space="preserve">REV-0003513</t>
  </si>
  <si>
    <t xml:space="preserve">REV-0003514</t>
  </si>
  <si>
    <t xml:space="preserve">REV-0003515</t>
  </si>
  <si>
    <t xml:space="preserve">REV-0003516</t>
  </si>
  <si>
    <t xml:space="preserve">REV-0003517</t>
  </si>
  <si>
    <t xml:space="preserve">REV-0003518</t>
  </si>
  <si>
    <t xml:space="preserve">REV-0003519</t>
  </si>
  <si>
    <t xml:space="preserve">REV-0003520</t>
  </si>
  <si>
    <t xml:space="preserve">REV-0003521</t>
  </si>
  <si>
    <t xml:space="preserve">REV-0003522</t>
  </si>
  <si>
    <t xml:space="preserve">REV-0003523</t>
  </si>
  <si>
    <t xml:space="preserve">REV-0003524</t>
  </si>
  <si>
    <t xml:space="preserve">REV-0003525</t>
  </si>
  <si>
    <t xml:space="preserve">REV-0003526</t>
  </si>
  <si>
    <t xml:space="preserve">REV-0003527</t>
  </si>
  <si>
    <t xml:space="preserve">REV-0003528</t>
  </si>
  <si>
    <t xml:space="preserve">REV-0003529</t>
  </si>
  <si>
    <t xml:space="preserve">REV-0003530</t>
  </si>
  <si>
    <t xml:space="preserve">REV-0003531</t>
  </si>
  <si>
    <t xml:space="preserve">REV-0003532</t>
  </si>
  <si>
    <t xml:space="preserve">REV-0003533</t>
  </si>
  <si>
    <t xml:space="preserve">REV-0003534</t>
  </si>
  <si>
    <t xml:space="preserve">REV-0003535</t>
  </si>
  <si>
    <t xml:space="preserve">REV-0003536</t>
  </si>
  <si>
    <t xml:space="preserve">REV-0003537</t>
  </si>
  <si>
    <t xml:space="preserve">REV-0003538</t>
  </si>
  <si>
    <t xml:space="preserve">REV-0003539</t>
  </si>
  <si>
    <t xml:space="preserve">REV-0003540</t>
  </si>
  <si>
    <t xml:space="preserve">REV-0003541</t>
  </si>
  <si>
    <t xml:space="preserve">REV-0003542</t>
  </si>
  <si>
    <t xml:space="preserve">REV-0003543</t>
  </si>
  <si>
    <t xml:space="preserve">REV-0003544</t>
  </si>
  <si>
    <t xml:space="preserve">REV-0003545</t>
  </si>
  <si>
    <t xml:space="preserve">REV-0003546</t>
  </si>
  <si>
    <t xml:space="preserve">REV-0003547</t>
  </si>
  <si>
    <t xml:space="preserve">REV-0003548</t>
  </si>
  <si>
    <t xml:space="preserve">REV-0003549</t>
  </si>
  <si>
    <t xml:space="preserve">REV-0003550</t>
  </si>
  <si>
    <t xml:space="preserve">REV-0003551</t>
  </si>
  <si>
    <t xml:space="preserve">REV-0003552</t>
  </si>
  <si>
    <t xml:space="preserve">REV-0003553</t>
  </si>
  <si>
    <t xml:space="preserve">REV-0003554</t>
  </si>
  <si>
    <t xml:space="preserve">REV-0003555</t>
  </si>
  <si>
    <t xml:space="preserve">REV-0003556</t>
  </si>
  <si>
    <t xml:space="preserve">REV-0003557</t>
  </si>
  <si>
    <t xml:space="preserve">REV-0003558</t>
  </si>
  <si>
    <t xml:space="preserve">REV-0003559</t>
  </si>
  <si>
    <t xml:space="preserve">REV-0003560</t>
  </si>
  <si>
    <t xml:space="preserve">REV-0003561</t>
  </si>
  <si>
    <t xml:space="preserve">REV-0003562</t>
  </si>
  <si>
    <t xml:space="preserve">REV-0003563</t>
  </si>
  <si>
    <t xml:space="preserve">REV-0003564</t>
  </si>
  <si>
    <t xml:space="preserve">REV-0003565</t>
  </si>
  <si>
    <t xml:space="preserve">REV-0003566</t>
  </si>
  <si>
    <t xml:space="preserve">REV-0003567</t>
  </si>
  <si>
    <t xml:space="preserve">REV-0003568</t>
  </si>
  <si>
    <t xml:space="preserve">REV-0003569</t>
  </si>
  <si>
    <t xml:space="preserve">REV-0003570</t>
  </si>
  <si>
    <t xml:space="preserve">REV-0003571</t>
  </si>
  <si>
    <t xml:space="preserve">REV-0003572</t>
  </si>
  <si>
    <t xml:space="preserve">REV-0003573</t>
  </si>
  <si>
    <t xml:space="preserve">REV-0003574</t>
  </si>
  <si>
    <t xml:space="preserve">REV-0003575</t>
  </si>
  <si>
    <t xml:space="preserve">REV-0003576</t>
  </si>
  <si>
    <t xml:space="preserve">REV-0003577</t>
  </si>
  <si>
    <t xml:space="preserve">REV-0003578</t>
  </si>
  <si>
    <t xml:space="preserve">REV-0003579</t>
  </si>
  <si>
    <t xml:space="preserve">REV-0003580</t>
  </si>
  <si>
    <t xml:space="preserve">REV-0003581</t>
  </si>
  <si>
    <t xml:space="preserve">REV-0003582</t>
  </si>
  <si>
    <t xml:space="preserve">REV-0003583</t>
  </si>
  <si>
    <t xml:space="preserve">REV-0003584</t>
  </si>
  <si>
    <t xml:space="preserve">REV-0003585</t>
  </si>
  <si>
    <t xml:space="preserve">REV-0003586</t>
  </si>
  <si>
    <t xml:space="preserve">REV-0003587</t>
  </si>
  <si>
    <t xml:space="preserve">REV-0003588</t>
  </si>
  <si>
    <t xml:space="preserve">REV-0003589</t>
  </si>
  <si>
    <t xml:space="preserve">REV-0003590</t>
  </si>
  <si>
    <t xml:space="preserve">REV-0003591</t>
  </si>
  <si>
    <t xml:space="preserve">REV-0003592</t>
  </si>
  <si>
    <t xml:space="preserve">REV-0003593</t>
  </si>
  <si>
    <t xml:space="preserve">REV-0003594</t>
  </si>
  <si>
    <t xml:space="preserve">REV-0003595</t>
  </si>
  <si>
    <t xml:space="preserve">REV-0003596</t>
  </si>
  <si>
    <t xml:space="preserve">REV-0003597</t>
  </si>
  <si>
    <t xml:space="preserve">REV-0003598</t>
  </si>
  <si>
    <t xml:space="preserve">REV-0003599</t>
  </si>
  <si>
    <t xml:space="preserve">REV-0003600</t>
  </si>
  <si>
    <t xml:space="preserve">REV-0003601</t>
  </si>
  <si>
    <t xml:space="preserve">REV-0003602</t>
  </si>
  <si>
    <t xml:space="preserve">REV-0003603</t>
  </si>
  <si>
    <t xml:space="preserve">REV-0003604</t>
  </si>
  <si>
    <t xml:space="preserve">REV-0003605</t>
  </si>
  <si>
    <t xml:space="preserve">REV-0003606</t>
  </si>
  <si>
    <t xml:space="preserve">REV-0003607</t>
  </si>
  <si>
    <t xml:space="preserve">REV-0003608</t>
  </si>
  <si>
    <t xml:space="preserve">REV-0003609</t>
  </si>
  <si>
    <t xml:space="preserve">REV-0003610</t>
  </si>
  <si>
    <t xml:space="preserve">REV-0003611</t>
  </si>
  <si>
    <t xml:space="preserve">REV-0003612</t>
  </si>
  <si>
    <t xml:space="preserve">REV-0003613</t>
  </si>
  <si>
    <t xml:space="preserve">REV-0003614</t>
  </si>
  <si>
    <t xml:space="preserve">REV-0003615</t>
  </si>
  <si>
    <t xml:space="preserve">REV-0003616</t>
  </si>
  <si>
    <t xml:space="preserve">REV-0003617</t>
  </si>
  <si>
    <t xml:space="preserve">REV-0003618</t>
  </si>
  <si>
    <t xml:space="preserve">REV-0003619</t>
  </si>
  <si>
    <t xml:space="preserve">REV-0003620</t>
  </si>
  <si>
    <t xml:space="preserve">REV-0003621</t>
  </si>
  <si>
    <t xml:space="preserve">REV-0003622</t>
  </si>
  <si>
    <t xml:space="preserve">REV-0003623</t>
  </si>
  <si>
    <t xml:space="preserve">REV-0003624</t>
  </si>
  <si>
    <t xml:space="preserve">REV-0003625</t>
  </si>
  <si>
    <t xml:space="preserve">REV-0003626</t>
  </si>
  <si>
    <t xml:space="preserve">REV-0003627</t>
  </si>
  <si>
    <t xml:space="preserve">REV-0003628</t>
  </si>
  <si>
    <t xml:space="preserve">REV-0003629</t>
  </si>
  <si>
    <t xml:space="preserve">REV-0003630</t>
  </si>
  <si>
    <t xml:space="preserve">REV-0003631</t>
  </si>
  <si>
    <t xml:space="preserve">REV-0003632</t>
  </si>
  <si>
    <t xml:space="preserve">REV-0003633</t>
  </si>
  <si>
    <t xml:space="preserve">REV-0003634</t>
  </si>
  <si>
    <t xml:space="preserve">REV-0003635</t>
  </si>
  <si>
    <t xml:space="preserve">REV-0003636</t>
  </si>
  <si>
    <t xml:space="preserve">REV-0003637</t>
  </si>
  <si>
    <t xml:space="preserve">REV-0003638</t>
  </si>
  <si>
    <t xml:space="preserve">REV-0003639</t>
  </si>
  <si>
    <t xml:space="preserve">REV-0003640</t>
  </si>
  <si>
    <t xml:space="preserve">REV-0003641</t>
  </si>
  <si>
    <t xml:space="preserve">REV-0003642</t>
  </si>
  <si>
    <t xml:space="preserve">REV-0003643</t>
  </si>
  <si>
    <t xml:space="preserve">REV-0003644</t>
  </si>
  <si>
    <t xml:space="preserve">REV-0003645</t>
  </si>
  <si>
    <t xml:space="preserve">REV-0003646</t>
  </si>
  <si>
    <t xml:space="preserve">REV-0003647</t>
  </si>
  <si>
    <t xml:space="preserve">REV-0003648</t>
  </si>
  <si>
    <t xml:space="preserve">REV-0003649</t>
  </si>
  <si>
    <t xml:space="preserve">REV-0003650</t>
  </si>
  <si>
    <t xml:space="preserve">REV-0003651</t>
  </si>
  <si>
    <t xml:space="preserve">REV-0003652</t>
  </si>
  <si>
    <t xml:space="preserve">REV-0003653</t>
  </si>
  <si>
    <t xml:space="preserve">REV-0003654</t>
  </si>
  <si>
    <t xml:space="preserve">REV-0003655</t>
  </si>
  <si>
    <t xml:space="preserve">REV-0003656</t>
  </si>
  <si>
    <t xml:space="preserve">REV-0003657</t>
  </si>
  <si>
    <t xml:space="preserve">REV-0003658</t>
  </si>
  <si>
    <t xml:space="preserve">REV-0003659</t>
  </si>
  <si>
    <t xml:space="preserve">REV-0003660</t>
  </si>
  <si>
    <t xml:space="preserve">REV-0003661</t>
  </si>
  <si>
    <t xml:space="preserve">REV-0003662</t>
  </si>
  <si>
    <t xml:space="preserve">REV-0003663</t>
  </si>
  <si>
    <t xml:space="preserve">REV-0003664</t>
  </si>
  <si>
    <t xml:space="preserve">REV-0003665</t>
  </si>
  <si>
    <t xml:space="preserve">REV-0003666</t>
  </si>
  <si>
    <t xml:space="preserve">REV-0003667</t>
  </si>
  <si>
    <t xml:space="preserve">REV-0003668</t>
  </si>
  <si>
    <t xml:space="preserve">REV-0003669</t>
  </si>
  <si>
    <t xml:space="preserve">REV-0003670</t>
  </si>
  <si>
    <t xml:space="preserve">REV-0003671</t>
  </si>
  <si>
    <t xml:space="preserve">REV-0003672</t>
  </si>
  <si>
    <t xml:space="preserve">REV-0003673</t>
  </si>
  <si>
    <t xml:space="preserve">REV-0003674</t>
  </si>
  <si>
    <t xml:space="preserve">REV-0003675</t>
  </si>
  <si>
    <t xml:space="preserve">REV-0003676</t>
  </si>
  <si>
    <t xml:space="preserve">REV-0003677</t>
  </si>
  <si>
    <t xml:space="preserve">REV-0003678</t>
  </si>
  <si>
    <t xml:space="preserve">REV-0003679</t>
  </si>
  <si>
    <t xml:space="preserve">REV-0003680</t>
  </si>
  <si>
    <t xml:space="preserve">REV-0003681</t>
  </si>
  <si>
    <t xml:space="preserve">REV-0003682</t>
  </si>
  <si>
    <t xml:space="preserve">REV-0003683</t>
  </si>
  <si>
    <t xml:space="preserve">REV-0003684</t>
  </si>
  <si>
    <t xml:space="preserve">REV-0003685</t>
  </si>
  <si>
    <t xml:space="preserve">REV-0003686</t>
  </si>
  <si>
    <t xml:space="preserve">REV-0003687</t>
  </si>
  <si>
    <t xml:space="preserve">REV-0003688</t>
  </si>
  <si>
    <t xml:space="preserve">REV-0003689</t>
  </si>
  <si>
    <t xml:space="preserve">REV-0003690</t>
  </si>
  <si>
    <t xml:space="preserve">REV-0003691</t>
  </si>
  <si>
    <t xml:space="preserve">REV-0003692</t>
  </si>
  <si>
    <t xml:space="preserve">REV-0003693</t>
  </si>
  <si>
    <t xml:space="preserve">REV-0003694</t>
  </si>
  <si>
    <t xml:space="preserve">REV-0003695</t>
  </si>
  <si>
    <t xml:space="preserve">REV-0003696</t>
  </si>
  <si>
    <t xml:space="preserve">REV-0003697</t>
  </si>
  <si>
    <t xml:space="preserve">REV-0003698</t>
  </si>
  <si>
    <t xml:space="preserve">REV-0003699</t>
  </si>
  <si>
    <t xml:space="preserve">REV-0003700</t>
  </si>
  <si>
    <t xml:space="preserve">REV-0003701</t>
  </si>
  <si>
    <t xml:space="preserve">REV-0003702</t>
  </si>
  <si>
    <t xml:space="preserve">REV-0003703</t>
  </si>
  <si>
    <t xml:space="preserve">REV-0003704</t>
  </si>
  <si>
    <t xml:space="preserve">REV-0003705</t>
  </si>
  <si>
    <t xml:space="preserve">REV-0003706</t>
  </si>
  <si>
    <t xml:space="preserve">REV-0003707</t>
  </si>
  <si>
    <t xml:space="preserve">REV-0003708</t>
  </si>
  <si>
    <t xml:space="preserve">REV-0003709</t>
  </si>
  <si>
    <t xml:space="preserve">REV-0003710</t>
  </si>
  <si>
    <t xml:space="preserve">REV-0003711</t>
  </si>
  <si>
    <t xml:space="preserve">REV-0003712</t>
  </si>
  <si>
    <t xml:space="preserve">REV-0003713</t>
  </si>
  <si>
    <t xml:space="preserve">REV-0003714</t>
  </si>
  <si>
    <t xml:space="preserve">REV-0003715</t>
  </si>
  <si>
    <t xml:space="preserve">REV-0003716</t>
  </si>
  <si>
    <t xml:space="preserve">REV-0003717</t>
  </si>
  <si>
    <t xml:space="preserve">REV-0003718</t>
  </si>
  <si>
    <t xml:space="preserve">REV-0003719</t>
  </si>
  <si>
    <t xml:space="preserve">REV-0003720</t>
  </si>
  <si>
    <t xml:space="preserve">REV-0003721</t>
  </si>
  <si>
    <t xml:space="preserve">REV-0003722</t>
  </si>
  <si>
    <t xml:space="preserve">REV-0003723</t>
  </si>
  <si>
    <t xml:space="preserve">REV-0003724</t>
  </si>
  <si>
    <t xml:space="preserve">REV-0003725</t>
  </si>
  <si>
    <t xml:space="preserve">REV-0003726</t>
  </si>
  <si>
    <t xml:space="preserve">REV-0003727</t>
  </si>
  <si>
    <t xml:space="preserve">REV-0003728</t>
  </si>
  <si>
    <t xml:space="preserve">REV-0003729</t>
  </si>
  <si>
    <t xml:space="preserve">REV-0003730</t>
  </si>
  <si>
    <t xml:space="preserve">REV-0003731</t>
  </si>
  <si>
    <t xml:space="preserve">REV-0003732</t>
  </si>
  <si>
    <t xml:space="preserve">REV-0003733</t>
  </si>
  <si>
    <t xml:space="preserve">REV-0003734</t>
  </si>
  <si>
    <t xml:space="preserve">REV-0003735</t>
  </si>
  <si>
    <t xml:space="preserve">REV-0003736</t>
  </si>
  <si>
    <t xml:space="preserve">REV-0003737</t>
  </si>
  <si>
    <t xml:space="preserve">REV-0003738</t>
  </si>
  <si>
    <t xml:space="preserve">REV-0003739</t>
  </si>
  <si>
    <t xml:space="preserve">REV-0003740</t>
  </si>
  <si>
    <t xml:space="preserve">REV-0003741</t>
  </si>
  <si>
    <t xml:space="preserve">REV-0003742</t>
  </si>
  <si>
    <t xml:space="preserve">REV-0003743</t>
  </si>
  <si>
    <t xml:space="preserve">REV-0003744</t>
  </si>
  <si>
    <t xml:space="preserve">REV-0003745</t>
  </si>
  <si>
    <t xml:space="preserve">REV-0003746</t>
  </si>
  <si>
    <t xml:space="preserve">REV-0003747</t>
  </si>
  <si>
    <t xml:space="preserve">REV-0003748</t>
  </si>
  <si>
    <t xml:space="preserve">REV-0003749</t>
  </si>
  <si>
    <t xml:space="preserve">REV-0003750</t>
  </si>
  <si>
    <t xml:space="preserve">REV-0003751</t>
  </si>
  <si>
    <t xml:space="preserve">REV-0003752</t>
  </si>
  <si>
    <t xml:space="preserve">REV-0003753</t>
  </si>
  <si>
    <t xml:space="preserve">REV-0003754</t>
  </si>
  <si>
    <t xml:space="preserve">REV-0003755</t>
  </si>
  <si>
    <t xml:space="preserve">REV-0003756</t>
  </si>
  <si>
    <t xml:space="preserve">REV-0003757</t>
  </si>
  <si>
    <t xml:space="preserve">REV-0003758</t>
  </si>
  <si>
    <t xml:space="preserve">REV-0003759</t>
  </si>
  <si>
    <t xml:space="preserve">REV-0003760</t>
  </si>
  <si>
    <t xml:space="preserve">REV-0003761</t>
  </si>
  <si>
    <t xml:space="preserve">REV-0003762</t>
  </si>
  <si>
    <t xml:space="preserve">REV-0003763</t>
  </si>
  <si>
    <t xml:space="preserve">REV-0003764</t>
  </si>
  <si>
    <t xml:space="preserve">REV-0003765</t>
  </si>
  <si>
    <t xml:space="preserve">REV-0003766</t>
  </si>
  <si>
    <t xml:space="preserve">REV-0003767</t>
  </si>
  <si>
    <t xml:space="preserve">REV-0003768</t>
  </si>
  <si>
    <t xml:space="preserve">REV-0003769</t>
  </si>
  <si>
    <t xml:space="preserve">REV-0003770</t>
  </si>
  <si>
    <t xml:space="preserve">REV-0003771</t>
  </si>
  <si>
    <t xml:space="preserve">REV-0003772</t>
  </si>
  <si>
    <t xml:space="preserve">REV-0003773</t>
  </si>
  <si>
    <t xml:space="preserve">REV-0003774</t>
  </si>
  <si>
    <t xml:space="preserve">REV-0003775</t>
  </si>
  <si>
    <t xml:space="preserve">REV-0003776</t>
  </si>
  <si>
    <t xml:space="preserve">REV-0003777</t>
  </si>
  <si>
    <t xml:space="preserve">REV-0003778</t>
  </si>
  <si>
    <t xml:space="preserve">REV-0003779</t>
  </si>
  <si>
    <t xml:space="preserve">REV-0003780</t>
  </si>
  <si>
    <t xml:space="preserve">REV-0003781</t>
  </si>
  <si>
    <t xml:space="preserve">REV-0003782</t>
  </si>
  <si>
    <t xml:space="preserve">REV-0003783</t>
  </si>
  <si>
    <t xml:space="preserve">REV-0003784</t>
  </si>
  <si>
    <t xml:space="preserve">REV-0003785</t>
  </si>
  <si>
    <t xml:space="preserve">REV-0003786</t>
  </si>
  <si>
    <t xml:space="preserve">REV-0003787</t>
  </si>
  <si>
    <t xml:space="preserve">REV-0003788</t>
  </si>
  <si>
    <t xml:space="preserve">REV-0003789</t>
  </si>
  <si>
    <t xml:space="preserve">REV-0003790</t>
  </si>
  <si>
    <t xml:space="preserve">REV-0003791</t>
  </si>
  <si>
    <t xml:space="preserve">REV-0003792</t>
  </si>
  <si>
    <t xml:space="preserve">REV-0003793</t>
  </si>
  <si>
    <t xml:space="preserve">REV-0003794</t>
  </si>
  <si>
    <t xml:space="preserve">REV-0003795</t>
  </si>
  <si>
    <t xml:space="preserve">REV-0003796</t>
  </si>
  <si>
    <t xml:space="preserve">REV-0003797</t>
  </si>
  <si>
    <t xml:space="preserve">REV-0003798</t>
  </si>
  <si>
    <t xml:space="preserve">REV-0003799</t>
  </si>
  <si>
    <t xml:space="preserve">REV-0003800</t>
  </si>
  <si>
    <t xml:space="preserve">REV-0003801</t>
  </si>
  <si>
    <t xml:space="preserve">REV-0003802</t>
  </si>
  <si>
    <t xml:space="preserve">REV-0003803</t>
  </si>
  <si>
    <t xml:space="preserve">REV-0003804</t>
  </si>
  <si>
    <t xml:space="preserve">REV-0003805</t>
  </si>
  <si>
    <t xml:space="preserve">REV-0003806</t>
  </si>
  <si>
    <t xml:space="preserve">REV-0003807</t>
  </si>
  <si>
    <t xml:space="preserve">REV-0003808</t>
  </si>
  <si>
    <t xml:space="preserve">REV-0003809</t>
  </si>
  <si>
    <t xml:space="preserve">REV-0003810</t>
  </si>
  <si>
    <t xml:space="preserve">REV-0003811</t>
  </si>
  <si>
    <t xml:space="preserve">REV-0003812</t>
  </si>
  <si>
    <t xml:space="preserve">REV-0003813</t>
  </si>
  <si>
    <t xml:space="preserve">REV-0003814</t>
  </si>
  <si>
    <t xml:space="preserve">REV-0003815</t>
  </si>
  <si>
    <t xml:space="preserve">REV-0003816</t>
  </si>
  <si>
    <t xml:space="preserve">REV-0003817</t>
  </si>
  <si>
    <t xml:space="preserve">REV-0003818</t>
  </si>
  <si>
    <t xml:space="preserve">REV-0003819</t>
  </si>
  <si>
    <t xml:space="preserve">REV-0003820</t>
  </si>
  <si>
    <t xml:space="preserve">REV-0003821</t>
  </si>
  <si>
    <t xml:space="preserve">REV-0003822</t>
  </si>
  <si>
    <t xml:space="preserve">REV-0003823</t>
  </si>
  <si>
    <t xml:space="preserve">REV-0003824</t>
  </si>
  <si>
    <t xml:space="preserve">REV-0003825</t>
  </si>
  <si>
    <t xml:space="preserve">REV-0003826</t>
  </si>
  <si>
    <t xml:space="preserve">REV-0003827</t>
  </si>
  <si>
    <t xml:space="preserve">REV-0003828</t>
  </si>
  <si>
    <t xml:space="preserve">REV-0003829</t>
  </si>
  <si>
    <t xml:space="preserve">REV-0003830</t>
  </si>
  <si>
    <t xml:space="preserve">REV-0003831</t>
  </si>
  <si>
    <t xml:space="preserve">REV-0003832</t>
  </si>
  <si>
    <t xml:space="preserve">REV-0003833</t>
  </si>
  <si>
    <t xml:space="preserve">REV-0003834</t>
  </si>
  <si>
    <t xml:space="preserve">REV-0003835</t>
  </si>
  <si>
    <t xml:space="preserve">REV-0003836</t>
  </si>
  <si>
    <t xml:space="preserve">REV-0003837</t>
  </si>
  <si>
    <t xml:space="preserve">REV-0003838</t>
  </si>
  <si>
    <t xml:space="preserve">REV-0003839</t>
  </si>
  <si>
    <t xml:space="preserve">REV-0003840</t>
  </si>
  <si>
    <t xml:space="preserve">REV-0003841</t>
  </si>
  <si>
    <t xml:space="preserve">REV-0003842</t>
  </si>
  <si>
    <t xml:space="preserve">REV-0003843</t>
  </si>
  <si>
    <t xml:space="preserve">REV-0003844</t>
  </si>
  <si>
    <t xml:space="preserve">REV-0003845</t>
  </si>
  <si>
    <t xml:space="preserve">REV-0003846</t>
  </si>
  <si>
    <t xml:space="preserve">REV-0003847</t>
  </si>
  <si>
    <t xml:space="preserve">REV-0003848</t>
  </si>
  <si>
    <t xml:space="preserve">REV-0003849</t>
  </si>
  <si>
    <t xml:space="preserve">REV-0003850</t>
  </si>
  <si>
    <t xml:space="preserve">REV-0003851</t>
  </si>
  <si>
    <t xml:space="preserve">REV-0003852</t>
  </si>
  <si>
    <t xml:space="preserve">REV-0003853</t>
  </si>
  <si>
    <t xml:space="preserve">REV-0003854</t>
  </si>
  <si>
    <t xml:space="preserve">REV-0003855</t>
  </si>
  <si>
    <t xml:space="preserve">REV-0003856</t>
  </si>
  <si>
    <t xml:space="preserve">REV-0003857</t>
  </si>
  <si>
    <t xml:space="preserve">REV-0003858</t>
  </si>
  <si>
    <t xml:space="preserve">REV-0003859</t>
  </si>
  <si>
    <t xml:space="preserve">REV-0003860</t>
  </si>
  <si>
    <t xml:space="preserve">REV-0003861</t>
  </si>
  <si>
    <t xml:space="preserve">REV-0003862</t>
  </si>
  <si>
    <t xml:space="preserve">REV-0003863</t>
  </si>
  <si>
    <t xml:space="preserve">REV-0003864</t>
  </si>
  <si>
    <t xml:space="preserve">REV-0003865</t>
  </si>
  <si>
    <t xml:space="preserve">REV-0003866</t>
  </si>
  <si>
    <t xml:space="preserve">REV-0003867</t>
  </si>
  <si>
    <t xml:space="preserve">REV-0003868</t>
  </si>
  <si>
    <t xml:space="preserve">REV-0003869</t>
  </si>
  <si>
    <t xml:space="preserve">REV-0003870</t>
  </si>
  <si>
    <t xml:space="preserve">REV-0003871</t>
  </si>
  <si>
    <t xml:space="preserve">REV-0003872</t>
  </si>
  <si>
    <t xml:space="preserve">REV-0003873</t>
  </si>
  <si>
    <t xml:space="preserve">REV-0003874</t>
  </si>
  <si>
    <t xml:space="preserve">REV-0003875</t>
  </si>
  <si>
    <t xml:space="preserve">REV-0003876</t>
  </si>
  <si>
    <t xml:space="preserve">REV-0003877</t>
  </si>
  <si>
    <t xml:space="preserve">REV-0003878</t>
  </si>
  <si>
    <t xml:space="preserve">REV-0003879</t>
  </si>
  <si>
    <t xml:space="preserve">REV-0003880</t>
  </si>
  <si>
    <t xml:space="preserve">REV-0003881</t>
  </si>
  <si>
    <t xml:space="preserve">REV-0003882</t>
  </si>
  <si>
    <t xml:space="preserve">REV-0003883</t>
  </si>
  <si>
    <t xml:space="preserve">REV-0003884</t>
  </si>
  <si>
    <t xml:space="preserve">REV-0003885</t>
  </si>
  <si>
    <t xml:space="preserve">REV-0003886</t>
  </si>
  <si>
    <t xml:space="preserve">REV-0003887</t>
  </si>
  <si>
    <t xml:space="preserve">REV-0003888</t>
  </si>
  <si>
    <t xml:space="preserve">REV-0003889</t>
  </si>
  <si>
    <t xml:space="preserve">REV-0003890</t>
  </si>
  <si>
    <t xml:space="preserve">REV-0003891</t>
  </si>
  <si>
    <t xml:space="preserve">REV-0003892</t>
  </si>
  <si>
    <t xml:space="preserve">REV-0003893</t>
  </si>
  <si>
    <t xml:space="preserve">REV-0003894</t>
  </si>
  <si>
    <t xml:space="preserve">REV-0003895</t>
  </si>
  <si>
    <t xml:space="preserve">REV-0003896</t>
  </si>
  <si>
    <t xml:space="preserve">REV-0003897</t>
  </si>
  <si>
    <t xml:space="preserve">REV-0003898</t>
  </si>
  <si>
    <t xml:space="preserve">REV-0003899</t>
  </si>
  <si>
    <t xml:space="preserve">REV-0003900</t>
  </si>
  <si>
    <t xml:space="preserve">REV-0003901</t>
  </si>
  <si>
    <t xml:space="preserve">REV-0003902</t>
  </si>
  <si>
    <t xml:space="preserve">REV-0003903</t>
  </si>
  <si>
    <t xml:space="preserve">REV-0003904</t>
  </si>
  <si>
    <t xml:space="preserve">REV-0003905</t>
  </si>
  <si>
    <t xml:space="preserve">REV-0003906</t>
  </si>
  <si>
    <t xml:space="preserve">REV-0003907</t>
  </si>
  <si>
    <t xml:space="preserve">REV-0003908</t>
  </si>
  <si>
    <t xml:space="preserve">REV-0003909</t>
  </si>
  <si>
    <t xml:space="preserve">REV-0003910</t>
  </si>
  <si>
    <t xml:space="preserve">REV-0003911</t>
  </si>
  <si>
    <t xml:space="preserve">REV-0003912</t>
  </si>
  <si>
    <t xml:space="preserve">REV-0003913</t>
  </si>
  <si>
    <t xml:space="preserve">REV-0003914</t>
  </si>
  <si>
    <t xml:space="preserve">REV-0003915</t>
  </si>
  <si>
    <t xml:space="preserve">REV-0003916</t>
  </si>
  <si>
    <t xml:space="preserve">REV-0003917</t>
  </si>
  <si>
    <t xml:space="preserve">REV-0003918</t>
  </si>
  <si>
    <t xml:space="preserve">REV-0003919</t>
  </si>
  <si>
    <t xml:space="preserve">REV-0003920</t>
  </si>
  <si>
    <t xml:space="preserve">REV-0003921</t>
  </si>
  <si>
    <t xml:space="preserve">REV-0003922</t>
  </si>
  <si>
    <t xml:space="preserve">REV-0003923</t>
  </si>
  <si>
    <t xml:space="preserve">REV-0003924</t>
  </si>
  <si>
    <t xml:space="preserve">REV-0003925</t>
  </si>
  <si>
    <t xml:space="preserve">REV-0003926</t>
  </si>
  <si>
    <t xml:space="preserve">REV-0003927</t>
  </si>
  <si>
    <t xml:space="preserve">REV-0003928</t>
  </si>
  <si>
    <t xml:space="preserve">REV-0003929</t>
  </si>
  <si>
    <t xml:space="preserve">REV-0003930</t>
  </si>
  <si>
    <t xml:space="preserve">REV-0003931</t>
  </si>
  <si>
    <t xml:space="preserve">REV-0003932</t>
  </si>
  <si>
    <t xml:space="preserve">REV-0003933</t>
  </si>
  <si>
    <t xml:space="preserve">REV-0003934</t>
  </si>
  <si>
    <t xml:space="preserve">REV-0003935</t>
  </si>
  <si>
    <t xml:space="preserve">REV-0003936</t>
  </si>
  <si>
    <t xml:space="preserve">REV-0003937</t>
  </si>
  <si>
    <t xml:space="preserve">REV-0003938</t>
  </si>
  <si>
    <t xml:space="preserve">REV-0003939</t>
  </si>
  <si>
    <t xml:space="preserve">REV-0003940</t>
  </si>
  <si>
    <t xml:space="preserve">REV-0003941</t>
  </si>
  <si>
    <t xml:space="preserve">REV-0003942</t>
  </si>
  <si>
    <t xml:space="preserve">REV-0003943</t>
  </si>
  <si>
    <t xml:space="preserve">REV-0003944</t>
  </si>
  <si>
    <t xml:space="preserve">REV-0003945</t>
  </si>
  <si>
    <t xml:space="preserve">REV-0003946</t>
  </si>
  <si>
    <t xml:space="preserve">REV-0003947</t>
  </si>
  <si>
    <t xml:space="preserve">REV-0003948</t>
  </si>
  <si>
    <t xml:space="preserve">REV-0003949</t>
  </si>
  <si>
    <t xml:space="preserve">REV-0003950</t>
  </si>
  <si>
    <t xml:space="preserve">REV-0003951</t>
  </si>
  <si>
    <t xml:space="preserve">REV-0003952</t>
  </si>
  <si>
    <t xml:space="preserve">REV-0003953</t>
  </si>
  <si>
    <t xml:space="preserve">REV-0003954</t>
  </si>
  <si>
    <t xml:space="preserve">REV-0003955</t>
  </si>
  <si>
    <t xml:space="preserve">REV-0003956</t>
  </si>
  <si>
    <t xml:space="preserve">REV-0003957</t>
  </si>
  <si>
    <t xml:space="preserve">REV-0003958</t>
  </si>
  <si>
    <t xml:space="preserve">REV-0003959</t>
  </si>
  <si>
    <t xml:space="preserve">REV-0003960</t>
  </si>
  <si>
    <t xml:space="preserve">REV-0003961</t>
  </si>
  <si>
    <t xml:space="preserve">REV-0003962</t>
  </si>
  <si>
    <t xml:space="preserve">REV-0003963</t>
  </si>
  <si>
    <t xml:space="preserve">REV-0003964</t>
  </si>
  <si>
    <t xml:space="preserve">REV-0003965</t>
  </si>
  <si>
    <t xml:space="preserve">REV-0003966</t>
  </si>
  <si>
    <t xml:space="preserve">REV-0003967</t>
  </si>
  <si>
    <t xml:space="preserve">REV-0003968</t>
  </si>
  <si>
    <t xml:space="preserve">REV-0003969</t>
  </si>
  <si>
    <t xml:space="preserve">REV-0003970</t>
  </si>
  <si>
    <t xml:space="preserve">REV-0003971</t>
  </si>
  <si>
    <t xml:space="preserve">REV-0003972</t>
  </si>
  <si>
    <t xml:space="preserve">REV-0003973</t>
  </si>
  <si>
    <t xml:space="preserve">REV-0003974</t>
  </si>
  <si>
    <t xml:space="preserve">REV-0003975</t>
  </si>
  <si>
    <t xml:space="preserve">REV-0003976</t>
  </si>
  <si>
    <t xml:space="preserve">REV-0003977</t>
  </si>
  <si>
    <t xml:space="preserve">REV-0003978</t>
  </si>
  <si>
    <t xml:space="preserve">REV-0003979</t>
  </si>
  <si>
    <t xml:space="preserve">REV-0003980</t>
  </si>
  <si>
    <t xml:space="preserve">REV-0003981</t>
  </si>
  <si>
    <t xml:space="preserve">REV-0003982</t>
  </si>
  <si>
    <t xml:space="preserve">REV-0003983</t>
  </si>
  <si>
    <t xml:space="preserve">REV-0003984</t>
  </si>
  <si>
    <t xml:space="preserve">REV-0003985</t>
  </si>
  <si>
    <t xml:space="preserve">REV-0003986</t>
  </si>
  <si>
    <t xml:space="preserve">REV-0003987</t>
  </si>
  <si>
    <t xml:space="preserve">REV-0003988</t>
  </si>
  <si>
    <t xml:space="preserve">REV-0003989</t>
  </si>
  <si>
    <t xml:space="preserve">REV-0003990</t>
  </si>
  <si>
    <t xml:space="preserve">REV-0003991</t>
  </si>
  <si>
    <t xml:space="preserve">REV-0003992</t>
  </si>
  <si>
    <t xml:space="preserve">REV-0003993</t>
  </si>
  <si>
    <t xml:space="preserve">REV-0003994</t>
  </si>
  <si>
    <t xml:space="preserve">REV-0003995</t>
  </si>
  <si>
    <t xml:space="preserve">REV-0003996</t>
  </si>
  <si>
    <t xml:space="preserve">REV-0003997</t>
  </si>
  <si>
    <t xml:space="preserve">REV-0003998</t>
  </si>
  <si>
    <t xml:space="preserve">REV-0003999</t>
  </si>
  <si>
    <t xml:space="preserve">REV-0004000</t>
  </si>
  <si>
    <t xml:space="preserve">REV-0004001</t>
  </si>
  <si>
    <t xml:space="preserve">REV-0004002</t>
  </si>
  <si>
    <t xml:space="preserve">REV-0004003</t>
  </si>
  <si>
    <t xml:space="preserve">REV-0004004</t>
  </si>
  <si>
    <t xml:space="preserve">REV-0004005</t>
  </si>
  <si>
    <t xml:space="preserve">REV-0004006</t>
  </si>
  <si>
    <t xml:space="preserve">REV-0004007</t>
  </si>
  <si>
    <t xml:space="preserve">REV-0004008</t>
  </si>
  <si>
    <t xml:space="preserve">REV-0004009</t>
  </si>
  <si>
    <t xml:space="preserve">REV-0004010</t>
  </si>
  <si>
    <t xml:space="preserve">REV-0004011</t>
  </si>
  <si>
    <t xml:space="preserve">REV-0004012</t>
  </si>
  <si>
    <t xml:space="preserve">REV-0004013</t>
  </si>
  <si>
    <t xml:space="preserve">REV-0004014</t>
  </si>
  <si>
    <t xml:space="preserve">REV-0004015</t>
  </si>
  <si>
    <t xml:space="preserve">REV-0004016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</si>
</sst>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yyyy\-mm\-dd"/>
    <numFmt numFmtId="167" formatCode="\$#,##0.00"/>
    <numFmt numFmtId="168" formatCode="General"/>
    <numFmt numFmtId="169" formatCode="0.0%"/>
    <numFmt numFmtId="170" formatCode="0.00%"/>
    <numFmt numFmtId="171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Origination Principal by Partner &amp;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'Metrics Dashboard'!C7</c:f>
              <c:strCache>
                <c:ptCount val="1"/>
                <c:pt idx="0">
                  <c:v>DoorDash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'Metrics Dashboard'!$B$8:$B$63</c:f>
              <c:strCache>
                <c:ptCount val="5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  <c:pt idx="55">
                  <c:v>2026-08</c:v>
                </c:pt>
              </c:strCache>
            </c:strRef>
          </c:cat>
          <c:val>
            <c:numRef>
              <c:f>'Metrics Dashboard'!$C$8:$C$63</c:f>
              <c:numCache>
                <c:formatCode>\$#,##0</c:formatCode>
                <c:ptCount val="56"/>
                <c:pt idx="0">
                  <c:v>182124.15</c:v>
                </c:pt>
                <c:pt idx="1">
                  <c:v>105545.23</c:v>
                </c:pt>
                <c:pt idx="2">
                  <c:v>82822.11</c:v>
                </c:pt>
                <c:pt idx="3">
                  <c:v>264578.4</c:v>
                </c:pt>
                <c:pt idx="4">
                  <c:v>229755.63</c:v>
                </c:pt>
                <c:pt idx="5">
                  <c:v>403052.75</c:v>
                </c:pt>
                <c:pt idx="6">
                  <c:v>61803.03</c:v>
                </c:pt>
                <c:pt idx="7">
                  <c:v>38712.76</c:v>
                </c:pt>
                <c:pt idx="8">
                  <c:v>221066.31</c:v>
                </c:pt>
                <c:pt idx="9">
                  <c:v>61737.04</c:v>
                </c:pt>
                <c:pt idx="10">
                  <c:v>4616.25</c:v>
                </c:pt>
                <c:pt idx="11">
                  <c:v>74693</c:v>
                </c:pt>
                <c:pt idx="12">
                  <c:v>204844.02</c:v>
                </c:pt>
                <c:pt idx="13">
                  <c:v>41950.9</c:v>
                </c:pt>
                <c:pt idx="14">
                  <c:v>107375.4</c:v>
                </c:pt>
                <c:pt idx="15">
                  <c:v>119232.23</c:v>
                </c:pt>
                <c:pt idx="16">
                  <c:v>70416.91</c:v>
                </c:pt>
                <c:pt idx="17">
                  <c:v>89084.14</c:v>
                </c:pt>
                <c:pt idx="18">
                  <c:v>171263.06</c:v>
                </c:pt>
                <c:pt idx="19">
                  <c:v>361811.39</c:v>
                </c:pt>
                <c:pt idx="20">
                  <c:v>81785.24</c:v>
                </c:pt>
                <c:pt idx="21">
                  <c:v>208113.81</c:v>
                </c:pt>
                <c:pt idx="22">
                  <c:v>59500.37</c:v>
                </c:pt>
                <c:pt idx="23">
                  <c:v>16041.73</c:v>
                </c:pt>
                <c:pt idx="24">
                  <c:v>115033.06</c:v>
                </c:pt>
                <c:pt idx="25">
                  <c:v>38411.23</c:v>
                </c:pt>
                <c:pt idx="26">
                  <c:v>31551.48</c:v>
                </c:pt>
                <c:pt idx="27">
                  <c:v>3551.62</c:v>
                </c:pt>
                <c:pt idx="28">
                  <c:v>178854.51</c:v>
                </c:pt>
                <c:pt idx="29">
                  <c:v>54870.29</c:v>
                </c:pt>
                <c:pt idx="30">
                  <c:v>73352.4</c:v>
                </c:pt>
                <c:pt idx="31">
                  <c:v>131841.45</c:v>
                </c:pt>
                <c:pt idx="32">
                  <c:v>136668.64</c:v>
                </c:pt>
                <c:pt idx="33">
                  <c:v>93102.8</c:v>
                </c:pt>
                <c:pt idx="34">
                  <c:v>25735.88</c:v>
                </c:pt>
                <c:pt idx="35">
                  <c:v>195292.28</c:v>
                </c:pt>
                <c:pt idx="36">
                  <c:v>117125.79</c:v>
                </c:pt>
                <c:pt idx="37">
                  <c:v>70730.37</c:v>
                </c:pt>
                <c:pt idx="38">
                  <c:v>126409.32</c:v>
                </c:pt>
                <c:pt idx="39">
                  <c:v>218871.79</c:v>
                </c:pt>
                <c:pt idx="40">
                  <c:v>51808.19</c:v>
                </c:pt>
                <c:pt idx="41">
                  <c:v>18489.96</c:v>
                </c:pt>
                <c:pt idx="42">
                  <c:v>19623.44</c:v>
                </c:pt>
                <c:pt idx="43">
                  <c:v>195252.32</c:v>
                </c:pt>
                <c:pt idx="44">
                  <c:v>85289.9</c:v>
                </c:pt>
                <c:pt idx="45">
                  <c:v>272572.93</c:v>
                </c:pt>
                <c:pt idx="46">
                  <c:v>28147.28</c:v>
                </c:pt>
                <c:pt idx="47">
                  <c:v>118883.36</c:v>
                </c:pt>
                <c:pt idx="48">
                  <c:v>153528.33</c:v>
                </c:pt>
                <c:pt idx="49">
                  <c:v>112582.07</c:v>
                </c:pt>
                <c:pt idx="50">
                  <c:v>123283.08</c:v>
                </c:pt>
                <c:pt idx="51">
                  <c:v>75648.03</c:v>
                </c:pt>
                <c:pt idx="52">
                  <c:v>280405.01</c:v>
                </c:pt>
                <c:pt idx="53">
                  <c:v>0</c:v>
                </c:pt>
                <c:pt idx="54">
                  <c:v>0</c:v>
                </c:pt>
                <c:pt idx="55">
                  <c:v>86329.06</c:v>
                </c:pt>
              </c:numCache>
            </c:numRef>
          </c:val>
        </c:ser>
        <c:ser>
          <c:idx val="1"/>
          <c:order val="1"/>
          <c:tx>
            <c:strRef>
              <c:f>'Metrics Dashboard'!D7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'Metrics Dashboard'!$B$8:$B$63</c:f>
              <c:strCache>
                <c:ptCount val="5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  <c:pt idx="55">
                  <c:v>2026-08</c:v>
                </c:pt>
              </c:strCache>
            </c:strRef>
          </c:cat>
          <c:val>
            <c:numRef>
              <c:f>'Metrics Dashboard'!$D$8:$D$63</c:f>
              <c:numCache>
                <c:formatCode>\$#,##0</c:formatCode>
                <c:ptCount val="56"/>
                <c:pt idx="0">
                  <c:v>161103.56</c:v>
                </c:pt>
                <c:pt idx="1">
                  <c:v>20450.72</c:v>
                </c:pt>
                <c:pt idx="2">
                  <c:v>177558.93</c:v>
                </c:pt>
                <c:pt idx="3">
                  <c:v>190174.42</c:v>
                </c:pt>
                <c:pt idx="4">
                  <c:v>0</c:v>
                </c:pt>
                <c:pt idx="5">
                  <c:v>163801.83</c:v>
                </c:pt>
                <c:pt idx="6">
                  <c:v>183044.9</c:v>
                </c:pt>
                <c:pt idx="7">
                  <c:v>128859.73</c:v>
                </c:pt>
                <c:pt idx="8">
                  <c:v>205361.36</c:v>
                </c:pt>
                <c:pt idx="9">
                  <c:v>103681.08</c:v>
                </c:pt>
                <c:pt idx="10">
                  <c:v>332894.73</c:v>
                </c:pt>
                <c:pt idx="11">
                  <c:v>37038.87</c:v>
                </c:pt>
                <c:pt idx="12">
                  <c:v>38019.98</c:v>
                </c:pt>
                <c:pt idx="13">
                  <c:v>52749.25</c:v>
                </c:pt>
                <c:pt idx="14">
                  <c:v>338132.39</c:v>
                </c:pt>
                <c:pt idx="15">
                  <c:v>153866.7</c:v>
                </c:pt>
                <c:pt idx="16">
                  <c:v>115483.77</c:v>
                </c:pt>
                <c:pt idx="17">
                  <c:v>0</c:v>
                </c:pt>
                <c:pt idx="18">
                  <c:v>104222.46</c:v>
                </c:pt>
                <c:pt idx="19">
                  <c:v>126577.06</c:v>
                </c:pt>
                <c:pt idx="20">
                  <c:v>159331.78</c:v>
                </c:pt>
                <c:pt idx="21">
                  <c:v>17773.76</c:v>
                </c:pt>
                <c:pt idx="22">
                  <c:v>190013.54</c:v>
                </c:pt>
                <c:pt idx="23">
                  <c:v>63078.82</c:v>
                </c:pt>
                <c:pt idx="24">
                  <c:v>115897.17</c:v>
                </c:pt>
                <c:pt idx="25">
                  <c:v>153363.39</c:v>
                </c:pt>
                <c:pt idx="26">
                  <c:v>145317.63</c:v>
                </c:pt>
                <c:pt idx="27">
                  <c:v>12092.51</c:v>
                </c:pt>
                <c:pt idx="28">
                  <c:v>324936.72</c:v>
                </c:pt>
                <c:pt idx="29">
                  <c:v>197444.77</c:v>
                </c:pt>
                <c:pt idx="30">
                  <c:v>198910.21</c:v>
                </c:pt>
                <c:pt idx="31">
                  <c:v>158810.74</c:v>
                </c:pt>
                <c:pt idx="32">
                  <c:v>57399.41</c:v>
                </c:pt>
                <c:pt idx="33">
                  <c:v>37959.55</c:v>
                </c:pt>
                <c:pt idx="34">
                  <c:v>136814.12</c:v>
                </c:pt>
                <c:pt idx="35">
                  <c:v>126351.29</c:v>
                </c:pt>
                <c:pt idx="36">
                  <c:v>212266.48</c:v>
                </c:pt>
                <c:pt idx="37">
                  <c:v>186800.99</c:v>
                </c:pt>
                <c:pt idx="38">
                  <c:v>321023.12</c:v>
                </c:pt>
                <c:pt idx="39">
                  <c:v>93427.85</c:v>
                </c:pt>
                <c:pt idx="40">
                  <c:v>154176.2</c:v>
                </c:pt>
                <c:pt idx="41">
                  <c:v>28962.31</c:v>
                </c:pt>
                <c:pt idx="42">
                  <c:v>115750.85</c:v>
                </c:pt>
                <c:pt idx="43">
                  <c:v>140073.65</c:v>
                </c:pt>
                <c:pt idx="44">
                  <c:v>108624.11</c:v>
                </c:pt>
                <c:pt idx="45">
                  <c:v>86332.7</c:v>
                </c:pt>
                <c:pt idx="46">
                  <c:v>232301.91</c:v>
                </c:pt>
                <c:pt idx="47">
                  <c:v>10055.67</c:v>
                </c:pt>
                <c:pt idx="48">
                  <c:v>52201.13</c:v>
                </c:pt>
                <c:pt idx="49">
                  <c:v>7427.69</c:v>
                </c:pt>
                <c:pt idx="50">
                  <c:v>216397.15</c:v>
                </c:pt>
                <c:pt idx="51">
                  <c:v>90017.82</c:v>
                </c:pt>
                <c:pt idx="52">
                  <c:v>40368.33</c:v>
                </c:pt>
                <c:pt idx="53">
                  <c:v>0</c:v>
                </c:pt>
                <c:pt idx="54">
                  <c:v>0</c:v>
                </c:pt>
                <c:pt idx="55">
                  <c:v>66515.47</c:v>
                </c:pt>
              </c:numCache>
            </c:numRef>
          </c:val>
        </c:ser>
        <c:ser>
          <c:idx val="2"/>
          <c:order val="2"/>
          <c:tx>
            <c:strRef>
              <c:f>'Metrics Dashboard'!E7</c:f>
              <c:strCache>
                <c:ptCount val="1"/>
                <c:pt idx="0">
                  <c:v>Worldpay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'Metrics Dashboard'!$B$8:$B$63</c:f>
              <c:strCache>
                <c:ptCount val="5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  <c:pt idx="55">
                  <c:v>2026-08</c:v>
                </c:pt>
              </c:strCache>
            </c:strRef>
          </c:cat>
          <c:val>
            <c:numRef>
              <c:f>'Metrics Dashboard'!$E$8:$E$63</c:f>
              <c:numCache>
                <c:formatCode>\$#,##0</c:formatCode>
                <c:ptCount val="56"/>
                <c:pt idx="0">
                  <c:v>122796.57</c:v>
                </c:pt>
                <c:pt idx="1">
                  <c:v>111538.65</c:v>
                </c:pt>
                <c:pt idx="2">
                  <c:v>115737.94</c:v>
                </c:pt>
                <c:pt idx="3">
                  <c:v>216047.69</c:v>
                </c:pt>
                <c:pt idx="4">
                  <c:v>2372.66</c:v>
                </c:pt>
                <c:pt idx="5">
                  <c:v>99277.09</c:v>
                </c:pt>
                <c:pt idx="6">
                  <c:v>156118.66</c:v>
                </c:pt>
                <c:pt idx="7">
                  <c:v>139232.17</c:v>
                </c:pt>
                <c:pt idx="8">
                  <c:v>25144.12</c:v>
                </c:pt>
                <c:pt idx="9">
                  <c:v>36498.48</c:v>
                </c:pt>
                <c:pt idx="10">
                  <c:v>0</c:v>
                </c:pt>
                <c:pt idx="11">
                  <c:v>47253.39</c:v>
                </c:pt>
                <c:pt idx="12">
                  <c:v>145966.32</c:v>
                </c:pt>
                <c:pt idx="13">
                  <c:v>13574.74</c:v>
                </c:pt>
                <c:pt idx="14">
                  <c:v>392951.44</c:v>
                </c:pt>
                <c:pt idx="15">
                  <c:v>45705.27</c:v>
                </c:pt>
                <c:pt idx="16">
                  <c:v>31963.82</c:v>
                </c:pt>
                <c:pt idx="17">
                  <c:v>16598.22</c:v>
                </c:pt>
                <c:pt idx="18">
                  <c:v>176129.91</c:v>
                </c:pt>
                <c:pt idx="19">
                  <c:v>54138.12</c:v>
                </c:pt>
                <c:pt idx="20">
                  <c:v>68241.26</c:v>
                </c:pt>
                <c:pt idx="21">
                  <c:v>55619.34</c:v>
                </c:pt>
                <c:pt idx="22">
                  <c:v>129862.4</c:v>
                </c:pt>
                <c:pt idx="23">
                  <c:v>126837.44</c:v>
                </c:pt>
                <c:pt idx="24">
                  <c:v>11576.02</c:v>
                </c:pt>
                <c:pt idx="25">
                  <c:v>185240.29</c:v>
                </c:pt>
                <c:pt idx="26">
                  <c:v>178634.39</c:v>
                </c:pt>
                <c:pt idx="27">
                  <c:v>186576.47</c:v>
                </c:pt>
                <c:pt idx="28">
                  <c:v>197623.2</c:v>
                </c:pt>
                <c:pt idx="29">
                  <c:v>142114.12</c:v>
                </c:pt>
                <c:pt idx="30">
                  <c:v>41142.96</c:v>
                </c:pt>
                <c:pt idx="31">
                  <c:v>247011.34</c:v>
                </c:pt>
                <c:pt idx="32">
                  <c:v>47323.64</c:v>
                </c:pt>
                <c:pt idx="33">
                  <c:v>58486.47</c:v>
                </c:pt>
                <c:pt idx="34">
                  <c:v>159873.27</c:v>
                </c:pt>
                <c:pt idx="35">
                  <c:v>50610.13</c:v>
                </c:pt>
                <c:pt idx="36">
                  <c:v>43693.37</c:v>
                </c:pt>
                <c:pt idx="37">
                  <c:v>148685.53</c:v>
                </c:pt>
                <c:pt idx="38">
                  <c:v>145041.96</c:v>
                </c:pt>
                <c:pt idx="39">
                  <c:v>144178.38</c:v>
                </c:pt>
                <c:pt idx="40">
                  <c:v>122722.28</c:v>
                </c:pt>
                <c:pt idx="41">
                  <c:v>60233.62</c:v>
                </c:pt>
                <c:pt idx="42">
                  <c:v>14261.99</c:v>
                </c:pt>
                <c:pt idx="43">
                  <c:v>109026.81</c:v>
                </c:pt>
                <c:pt idx="44">
                  <c:v>100710.25</c:v>
                </c:pt>
                <c:pt idx="45">
                  <c:v>45918.81</c:v>
                </c:pt>
                <c:pt idx="46">
                  <c:v>162997.76</c:v>
                </c:pt>
                <c:pt idx="47">
                  <c:v>54198.55</c:v>
                </c:pt>
                <c:pt idx="48">
                  <c:v>91299.08</c:v>
                </c:pt>
                <c:pt idx="49">
                  <c:v>64489.17</c:v>
                </c:pt>
                <c:pt idx="50">
                  <c:v>157797.4</c:v>
                </c:pt>
                <c:pt idx="51">
                  <c:v>189230.01</c:v>
                </c:pt>
                <c:pt idx="52">
                  <c:v>44248.96</c:v>
                </c:pt>
                <c:pt idx="53">
                  <c:v>0</c:v>
                </c:pt>
                <c:pt idx="54">
                  <c:v>0</c:v>
                </c:pt>
                <c:pt idx="55">
                  <c:v>47976.95</c:v>
                </c:pt>
              </c:numCache>
            </c:numRef>
          </c:val>
        </c:ser>
        <c:ser>
          <c:idx val="3"/>
          <c:order val="3"/>
          <c:tx>
            <c:strRef>
              <c:f>'Metrics Dashboard'!F7</c:f>
              <c:strCache>
                <c:ptCount val="1"/>
                <c:pt idx="0">
                  <c:v>Mindbody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'Metrics Dashboard'!$B$8:$B$63</c:f>
              <c:strCache>
                <c:ptCount val="5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  <c:pt idx="55">
                  <c:v>2026-08</c:v>
                </c:pt>
              </c:strCache>
            </c:strRef>
          </c:cat>
          <c:val>
            <c:numRef>
              <c:f>'Metrics Dashboard'!$F$8:$F$63</c:f>
              <c:numCache>
                <c:formatCode>\$#,##0</c:formatCode>
                <c:ptCount val="56"/>
                <c:pt idx="0">
                  <c:v>89897.78</c:v>
                </c:pt>
                <c:pt idx="1">
                  <c:v>37121.91</c:v>
                </c:pt>
                <c:pt idx="2">
                  <c:v>117260.18</c:v>
                </c:pt>
                <c:pt idx="3">
                  <c:v>68693.98</c:v>
                </c:pt>
                <c:pt idx="4">
                  <c:v>94742.77</c:v>
                </c:pt>
                <c:pt idx="5">
                  <c:v>18389.99</c:v>
                </c:pt>
                <c:pt idx="6">
                  <c:v>98706.8</c:v>
                </c:pt>
                <c:pt idx="7">
                  <c:v>145079.88</c:v>
                </c:pt>
                <c:pt idx="8">
                  <c:v>233785.94</c:v>
                </c:pt>
                <c:pt idx="9">
                  <c:v>153167.22</c:v>
                </c:pt>
                <c:pt idx="10">
                  <c:v>237845.33</c:v>
                </c:pt>
                <c:pt idx="11">
                  <c:v>221972.71</c:v>
                </c:pt>
                <c:pt idx="12">
                  <c:v>76913.05</c:v>
                </c:pt>
                <c:pt idx="13">
                  <c:v>55045.13</c:v>
                </c:pt>
                <c:pt idx="14">
                  <c:v>208275.8</c:v>
                </c:pt>
                <c:pt idx="15">
                  <c:v>177777.7</c:v>
                </c:pt>
                <c:pt idx="16">
                  <c:v>216327.45</c:v>
                </c:pt>
                <c:pt idx="17">
                  <c:v>223318.17</c:v>
                </c:pt>
                <c:pt idx="18">
                  <c:v>178380.16</c:v>
                </c:pt>
                <c:pt idx="19">
                  <c:v>120627.16</c:v>
                </c:pt>
                <c:pt idx="20">
                  <c:v>109259.8</c:v>
                </c:pt>
                <c:pt idx="21">
                  <c:v>222212.4</c:v>
                </c:pt>
                <c:pt idx="22">
                  <c:v>54344.29</c:v>
                </c:pt>
                <c:pt idx="23">
                  <c:v>150827.04</c:v>
                </c:pt>
                <c:pt idx="24">
                  <c:v>107330.57</c:v>
                </c:pt>
                <c:pt idx="25">
                  <c:v>135092.16</c:v>
                </c:pt>
                <c:pt idx="26">
                  <c:v>273710.52</c:v>
                </c:pt>
                <c:pt idx="27">
                  <c:v>204558.78</c:v>
                </c:pt>
                <c:pt idx="28">
                  <c:v>253992.25</c:v>
                </c:pt>
                <c:pt idx="29">
                  <c:v>159633.01</c:v>
                </c:pt>
                <c:pt idx="30">
                  <c:v>179781.18</c:v>
                </c:pt>
                <c:pt idx="31">
                  <c:v>48166.32</c:v>
                </c:pt>
                <c:pt idx="32">
                  <c:v>63804.02</c:v>
                </c:pt>
                <c:pt idx="33">
                  <c:v>241455.05</c:v>
                </c:pt>
                <c:pt idx="34">
                  <c:v>85589.44</c:v>
                </c:pt>
                <c:pt idx="35">
                  <c:v>151789.97</c:v>
                </c:pt>
                <c:pt idx="36">
                  <c:v>98738.31</c:v>
                </c:pt>
                <c:pt idx="37">
                  <c:v>161487.6</c:v>
                </c:pt>
                <c:pt idx="38">
                  <c:v>119907.86</c:v>
                </c:pt>
                <c:pt idx="39">
                  <c:v>70094.64</c:v>
                </c:pt>
                <c:pt idx="40">
                  <c:v>59022.78</c:v>
                </c:pt>
                <c:pt idx="41">
                  <c:v>172394.03</c:v>
                </c:pt>
                <c:pt idx="42">
                  <c:v>98676.62</c:v>
                </c:pt>
                <c:pt idx="43">
                  <c:v>238877.89</c:v>
                </c:pt>
                <c:pt idx="44">
                  <c:v>44818.09</c:v>
                </c:pt>
                <c:pt idx="45">
                  <c:v>223668.28</c:v>
                </c:pt>
                <c:pt idx="46">
                  <c:v>118630.9</c:v>
                </c:pt>
                <c:pt idx="47">
                  <c:v>188223.91</c:v>
                </c:pt>
                <c:pt idx="48">
                  <c:v>68543.45</c:v>
                </c:pt>
                <c:pt idx="49">
                  <c:v>63440.47</c:v>
                </c:pt>
                <c:pt idx="50">
                  <c:v>144749.87</c:v>
                </c:pt>
                <c:pt idx="51">
                  <c:v>38507.83</c:v>
                </c:pt>
                <c:pt idx="52">
                  <c:v>208651.81</c:v>
                </c:pt>
                <c:pt idx="53">
                  <c:v>0</c:v>
                </c:pt>
                <c:pt idx="54">
                  <c:v>0</c:v>
                </c:pt>
                <c:pt idx="55">
                  <c:v>78219.13</c:v>
                </c:pt>
              </c:numCache>
            </c:numRef>
          </c:val>
        </c:ser>
        <c:ser>
          <c:idx val="4"/>
          <c:order val="4"/>
          <c:tx>
            <c:strRef>
              <c:f>'Metrics Dashboard'!G7</c:f>
              <c:strCache>
                <c:ptCount val="1"/>
                <c:pt idx="0">
                  <c:v>Toast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'Metrics Dashboard'!$B$8:$B$63</c:f>
              <c:strCache>
                <c:ptCount val="5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  <c:pt idx="55">
                  <c:v>2026-08</c:v>
                </c:pt>
              </c:strCache>
            </c:strRef>
          </c:cat>
          <c:val>
            <c:numRef>
              <c:f>'Metrics Dashboard'!$G$8:$G$63</c:f>
              <c:numCache>
                <c:formatCode>\$#,##0</c:formatCode>
                <c:ptCount val="56"/>
                <c:pt idx="0">
                  <c:v>275724.6</c:v>
                </c:pt>
                <c:pt idx="1">
                  <c:v>29767.2</c:v>
                </c:pt>
                <c:pt idx="2">
                  <c:v>104008.23</c:v>
                </c:pt>
                <c:pt idx="3">
                  <c:v>66031.42</c:v>
                </c:pt>
                <c:pt idx="4">
                  <c:v>53486.51</c:v>
                </c:pt>
                <c:pt idx="5">
                  <c:v>48977.53</c:v>
                </c:pt>
                <c:pt idx="6">
                  <c:v>226219.95</c:v>
                </c:pt>
                <c:pt idx="7">
                  <c:v>104060.76</c:v>
                </c:pt>
                <c:pt idx="8">
                  <c:v>111217.5</c:v>
                </c:pt>
                <c:pt idx="9">
                  <c:v>170992.38</c:v>
                </c:pt>
                <c:pt idx="10">
                  <c:v>170303.91</c:v>
                </c:pt>
                <c:pt idx="11">
                  <c:v>30447.41</c:v>
                </c:pt>
                <c:pt idx="12">
                  <c:v>185310.54</c:v>
                </c:pt>
                <c:pt idx="13">
                  <c:v>0</c:v>
                </c:pt>
                <c:pt idx="14">
                  <c:v>59314.76</c:v>
                </c:pt>
                <c:pt idx="15">
                  <c:v>25658.24</c:v>
                </c:pt>
                <c:pt idx="16">
                  <c:v>65735.85</c:v>
                </c:pt>
                <c:pt idx="17">
                  <c:v>123634.45</c:v>
                </c:pt>
                <c:pt idx="18">
                  <c:v>77692.41</c:v>
                </c:pt>
                <c:pt idx="19">
                  <c:v>309465.97</c:v>
                </c:pt>
                <c:pt idx="20">
                  <c:v>64689.52</c:v>
                </c:pt>
                <c:pt idx="21">
                  <c:v>118460.27</c:v>
                </c:pt>
                <c:pt idx="22">
                  <c:v>31145.44</c:v>
                </c:pt>
                <c:pt idx="23">
                  <c:v>170601.7</c:v>
                </c:pt>
                <c:pt idx="24">
                  <c:v>9888.35</c:v>
                </c:pt>
                <c:pt idx="25">
                  <c:v>2479.26</c:v>
                </c:pt>
                <c:pt idx="26">
                  <c:v>155193.74</c:v>
                </c:pt>
                <c:pt idx="27">
                  <c:v>115440.05</c:v>
                </c:pt>
                <c:pt idx="28">
                  <c:v>309201.49</c:v>
                </c:pt>
                <c:pt idx="29">
                  <c:v>41004.41</c:v>
                </c:pt>
                <c:pt idx="30">
                  <c:v>233769.82</c:v>
                </c:pt>
                <c:pt idx="31">
                  <c:v>156310.39</c:v>
                </c:pt>
                <c:pt idx="32">
                  <c:v>84035.03</c:v>
                </c:pt>
                <c:pt idx="33">
                  <c:v>195187.41</c:v>
                </c:pt>
                <c:pt idx="34">
                  <c:v>131615.31</c:v>
                </c:pt>
                <c:pt idx="35">
                  <c:v>110827.33</c:v>
                </c:pt>
                <c:pt idx="36">
                  <c:v>142500.66</c:v>
                </c:pt>
                <c:pt idx="37">
                  <c:v>58660.12</c:v>
                </c:pt>
                <c:pt idx="38">
                  <c:v>242767.41</c:v>
                </c:pt>
                <c:pt idx="39">
                  <c:v>51218.52</c:v>
                </c:pt>
                <c:pt idx="40">
                  <c:v>307404.84</c:v>
                </c:pt>
                <c:pt idx="41">
                  <c:v>201227.07</c:v>
                </c:pt>
                <c:pt idx="42">
                  <c:v>182289.42</c:v>
                </c:pt>
                <c:pt idx="43">
                  <c:v>15772.9</c:v>
                </c:pt>
                <c:pt idx="44">
                  <c:v>170843.63</c:v>
                </c:pt>
                <c:pt idx="45">
                  <c:v>117150.27</c:v>
                </c:pt>
                <c:pt idx="46">
                  <c:v>10714.66</c:v>
                </c:pt>
                <c:pt idx="47">
                  <c:v>133517.03</c:v>
                </c:pt>
                <c:pt idx="48">
                  <c:v>194017.65</c:v>
                </c:pt>
                <c:pt idx="49">
                  <c:v>85257.07</c:v>
                </c:pt>
                <c:pt idx="50">
                  <c:v>139424.97</c:v>
                </c:pt>
                <c:pt idx="51">
                  <c:v>176017.17</c:v>
                </c:pt>
                <c:pt idx="52">
                  <c:v>123154.76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</c:ser>
        <c:ser>
          <c:idx val="5"/>
          <c:order val="5"/>
          <c:tx>
            <c:strRef>
              <c:f>'Metrics Dashboard'!H7</c:f>
              <c:strCache>
                <c:ptCount val="1"/>
                <c:pt idx="0">
                  <c:v>Squarespace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'Metrics Dashboard'!$B$8:$B$63</c:f>
              <c:strCache>
                <c:ptCount val="5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  <c:pt idx="55">
                  <c:v>2026-08</c:v>
                </c:pt>
              </c:strCache>
            </c:strRef>
          </c:cat>
          <c:val>
            <c:numRef>
              <c:f>'Metrics Dashboard'!$H$8:$H$63</c:f>
              <c:numCache>
                <c:formatCode>\$#,##0</c:formatCode>
                <c:ptCount val="56"/>
                <c:pt idx="0">
                  <c:v>185785.99</c:v>
                </c:pt>
                <c:pt idx="1">
                  <c:v>227436.64</c:v>
                </c:pt>
                <c:pt idx="2">
                  <c:v>146810.89</c:v>
                </c:pt>
                <c:pt idx="3">
                  <c:v>208159.5</c:v>
                </c:pt>
                <c:pt idx="4">
                  <c:v>268698.36</c:v>
                </c:pt>
                <c:pt idx="5">
                  <c:v>176834.21</c:v>
                </c:pt>
                <c:pt idx="6">
                  <c:v>44092.45</c:v>
                </c:pt>
                <c:pt idx="7">
                  <c:v>85149.51</c:v>
                </c:pt>
                <c:pt idx="8">
                  <c:v>75485.25</c:v>
                </c:pt>
                <c:pt idx="9">
                  <c:v>75202.15</c:v>
                </c:pt>
                <c:pt idx="10">
                  <c:v>16547.38</c:v>
                </c:pt>
                <c:pt idx="11">
                  <c:v>240006.21</c:v>
                </c:pt>
                <c:pt idx="12">
                  <c:v>115221.56</c:v>
                </c:pt>
                <c:pt idx="13">
                  <c:v>246342</c:v>
                </c:pt>
                <c:pt idx="14">
                  <c:v>69361.25</c:v>
                </c:pt>
                <c:pt idx="15">
                  <c:v>26943.36</c:v>
                </c:pt>
                <c:pt idx="16">
                  <c:v>38145.46</c:v>
                </c:pt>
                <c:pt idx="17">
                  <c:v>19663.96</c:v>
                </c:pt>
                <c:pt idx="18">
                  <c:v>92507.83</c:v>
                </c:pt>
                <c:pt idx="19">
                  <c:v>95199.8</c:v>
                </c:pt>
                <c:pt idx="20">
                  <c:v>110394.54</c:v>
                </c:pt>
                <c:pt idx="21">
                  <c:v>84462.49</c:v>
                </c:pt>
                <c:pt idx="22">
                  <c:v>192138.76</c:v>
                </c:pt>
                <c:pt idx="23">
                  <c:v>158601.38</c:v>
                </c:pt>
                <c:pt idx="24">
                  <c:v>10372.34</c:v>
                </c:pt>
                <c:pt idx="25">
                  <c:v>104207.13</c:v>
                </c:pt>
                <c:pt idx="26">
                  <c:v>123810.66</c:v>
                </c:pt>
                <c:pt idx="27">
                  <c:v>272937.14</c:v>
                </c:pt>
                <c:pt idx="28">
                  <c:v>109427.56</c:v>
                </c:pt>
                <c:pt idx="29">
                  <c:v>97034.48</c:v>
                </c:pt>
                <c:pt idx="30">
                  <c:v>87912.11</c:v>
                </c:pt>
                <c:pt idx="31">
                  <c:v>64744.02</c:v>
                </c:pt>
                <c:pt idx="32">
                  <c:v>205143.15</c:v>
                </c:pt>
                <c:pt idx="33">
                  <c:v>77507.69</c:v>
                </c:pt>
                <c:pt idx="34">
                  <c:v>113563.78</c:v>
                </c:pt>
                <c:pt idx="35">
                  <c:v>104738.47</c:v>
                </c:pt>
                <c:pt idx="36">
                  <c:v>208144.15</c:v>
                </c:pt>
                <c:pt idx="37">
                  <c:v>74217.5</c:v>
                </c:pt>
                <c:pt idx="38">
                  <c:v>240207.89</c:v>
                </c:pt>
                <c:pt idx="39">
                  <c:v>0</c:v>
                </c:pt>
                <c:pt idx="40">
                  <c:v>38441.7</c:v>
                </c:pt>
                <c:pt idx="41">
                  <c:v>86368.75</c:v>
                </c:pt>
                <c:pt idx="42">
                  <c:v>294555.02</c:v>
                </c:pt>
                <c:pt idx="43">
                  <c:v>52902.17</c:v>
                </c:pt>
                <c:pt idx="44">
                  <c:v>45645.74</c:v>
                </c:pt>
                <c:pt idx="45">
                  <c:v>148333.74</c:v>
                </c:pt>
                <c:pt idx="46">
                  <c:v>98615.59</c:v>
                </c:pt>
                <c:pt idx="47">
                  <c:v>140772.09</c:v>
                </c:pt>
                <c:pt idx="48">
                  <c:v>248883</c:v>
                </c:pt>
                <c:pt idx="49">
                  <c:v>217273.46</c:v>
                </c:pt>
                <c:pt idx="50">
                  <c:v>143086.75</c:v>
                </c:pt>
                <c:pt idx="51">
                  <c:v>96712.39</c:v>
                </c:pt>
                <c:pt idx="52">
                  <c:v>223298.27</c:v>
                </c:pt>
                <c:pt idx="53">
                  <c:v>0</c:v>
                </c:pt>
                <c:pt idx="54">
                  <c:v>0</c:v>
                </c:pt>
                <c:pt idx="55">
                  <c:v>48620.01</c:v>
                </c:pt>
              </c:numCache>
            </c:numRef>
          </c:val>
        </c:ser>
        <c:gapWidth val="150"/>
        <c:overlap val="100"/>
        <c:axId val="45402389"/>
        <c:axId val="9085045"/>
      </c:barChart>
      <c:catAx>
        <c:axId val="454023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5045"/>
        <c:crosses val="autoZero"/>
        <c:auto val="1"/>
        <c:lblAlgn val="ctr"/>
        <c:lblOffset val="100"/>
        <c:noMultiLvlLbl val="0"/>
      </c:catAx>
      <c:valAx>
        <c:axId val="9085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Principal Advanced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023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Annualized Revenue Run-Rate (3-Mo Trailing)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'Metrics Dashboard'!E90</c:f>
              <c:strCache>
                <c:ptCount val="1"/>
                <c:pt idx="0">
                  <c:v>Annualized Run-Rate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'Metrics Dashboard'!$B$91:$B$146</c:f>
              <c:strCache>
                <c:ptCount val="5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  <c:pt idx="55">
                  <c:v>2026-08</c:v>
                </c:pt>
              </c:strCache>
            </c:strRef>
          </c:cat>
          <c:val>
            <c:numRef>
              <c:f>'Metrics Dashboard'!$E$91:$E$146</c:f>
              <c:numCache>
                <c:formatCode>\$#,##0</c:formatCode>
                <c:ptCount val="56"/>
                <c:pt idx="2">
                  <c:v>1137284.68</c:v>
                </c:pt>
                <c:pt idx="3">
                  <c:v>1463578.24</c:v>
                </c:pt>
                <c:pt idx="4">
                  <c:v>1649695.72</c:v>
                </c:pt>
                <c:pt idx="5">
                  <c:v>1703740.2</c:v>
                </c:pt>
                <c:pt idx="6">
                  <c:v>1709253.24</c:v>
                </c:pt>
                <c:pt idx="7">
                  <c:v>1786581.92</c:v>
                </c:pt>
                <c:pt idx="8">
                  <c:v>1797684.88</c:v>
                </c:pt>
                <c:pt idx="9">
                  <c:v>1850960.72</c:v>
                </c:pt>
                <c:pt idx="10">
                  <c:v>1876863.56</c:v>
                </c:pt>
                <c:pt idx="11">
                  <c:v>1884925.2</c:v>
                </c:pt>
                <c:pt idx="12">
                  <c:v>1816472.48</c:v>
                </c:pt>
                <c:pt idx="13">
                  <c:v>1689502.48</c:v>
                </c:pt>
                <c:pt idx="14">
                  <c:v>1738816.08</c:v>
                </c:pt>
                <c:pt idx="15">
                  <c:v>1823766.72</c:v>
                </c:pt>
                <c:pt idx="16">
                  <c:v>1898602.92</c:v>
                </c:pt>
                <c:pt idx="17">
                  <c:v>1802750.64</c:v>
                </c:pt>
                <c:pt idx="18">
                  <c:v>1715867.52</c:v>
                </c:pt>
                <c:pt idx="19">
                  <c:v>1872638.84</c:v>
                </c:pt>
                <c:pt idx="20">
                  <c:v>2031750.24</c:v>
                </c:pt>
                <c:pt idx="21">
                  <c:v>2123758.72</c:v>
                </c:pt>
                <c:pt idx="22">
                  <c:v>1901383.72</c:v>
                </c:pt>
                <c:pt idx="23">
                  <c:v>1786386.84</c:v>
                </c:pt>
                <c:pt idx="24">
                  <c:v>1646365.2</c:v>
                </c:pt>
                <c:pt idx="25">
                  <c:v>1626056.44</c:v>
                </c:pt>
                <c:pt idx="26">
                  <c:v>1596139.84</c:v>
                </c:pt>
                <c:pt idx="27">
                  <c:v>1610250.84</c:v>
                </c:pt>
                <c:pt idx="28">
                  <c:v>1847369.16</c:v>
                </c:pt>
                <c:pt idx="29">
                  <c:v>1996053.52</c:v>
                </c:pt>
                <c:pt idx="30">
                  <c:v>2172605.2</c:v>
                </c:pt>
                <c:pt idx="31">
                  <c:v>2142609.44</c:v>
                </c:pt>
                <c:pt idx="32">
                  <c:v>2032185</c:v>
                </c:pt>
                <c:pt idx="33">
                  <c:v>1967906.24</c:v>
                </c:pt>
                <c:pt idx="34">
                  <c:v>1849022.6</c:v>
                </c:pt>
                <c:pt idx="35">
                  <c:v>1840755.28</c:v>
                </c:pt>
                <c:pt idx="36">
                  <c:v>1907303.6</c:v>
                </c:pt>
                <c:pt idx="37">
                  <c:v>1892710.72</c:v>
                </c:pt>
                <c:pt idx="38">
                  <c:v>1979676.92</c:v>
                </c:pt>
                <c:pt idx="39">
                  <c:v>1951609.8</c:v>
                </c:pt>
                <c:pt idx="40">
                  <c:v>2036659.2</c:v>
                </c:pt>
                <c:pt idx="41">
                  <c:v>1954223.04</c:v>
                </c:pt>
                <c:pt idx="42">
                  <c:v>1871552.28</c:v>
                </c:pt>
                <c:pt idx="43">
                  <c:v>1784439.68</c:v>
                </c:pt>
                <c:pt idx="44">
                  <c:v>1670572.76</c:v>
                </c:pt>
                <c:pt idx="45">
                  <c:v>1647847.48</c:v>
                </c:pt>
                <c:pt idx="46">
                  <c:v>1610903.4</c:v>
                </c:pt>
                <c:pt idx="47">
                  <c:v>1663643.12</c:v>
                </c:pt>
                <c:pt idx="48">
                  <c:v>1675051.36</c:v>
                </c:pt>
                <c:pt idx="49">
                  <c:v>1635522</c:v>
                </c:pt>
                <c:pt idx="50">
                  <c:v>1705157.92</c:v>
                </c:pt>
                <c:pt idx="51">
                  <c:v>1697739.88</c:v>
                </c:pt>
                <c:pt idx="52">
                  <c:v>1919358.92</c:v>
                </c:pt>
                <c:pt idx="53">
                  <c:v>1835197.64</c:v>
                </c:pt>
                <c:pt idx="54">
                  <c:v>1581000.04</c:v>
                </c:pt>
                <c:pt idx="55">
                  <c:v>916351.88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127693"/>
        <c:axId val="49038246"/>
      </c:lineChart>
      <c:catAx>
        <c:axId val="301276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38246"/>
        <c:crosses val="autoZero"/>
        <c:auto val="1"/>
        <c:lblAlgn val="ctr"/>
        <c:lblOffset val="100"/>
        <c:noMultiLvlLbl val="0"/>
      </c:catAx>
      <c:valAx>
        <c:axId val="49038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Annualized Revenue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276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of Cohort Volume Delinquent or Defaulted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'Cohort Delinquency'!E6</c:f>
              <c:strCache>
                <c:ptCount val="1"/>
                <c:pt idx="0">
                  <c:v>% Delinquent/Default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'Cohort Delinquency'!$B$7:$B$62</c:f>
              <c:strCache>
                <c:ptCount val="5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  <c:pt idx="48">
                  <c:v>2026-01</c:v>
                </c:pt>
                <c:pt idx="49">
                  <c:v>2026-02</c:v>
                </c:pt>
                <c:pt idx="50">
                  <c:v>2026-03</c:v>
                </c:pt>
                <c:pt idx="51">
                  <c:v>2026-04</c:v>
                </c:pt>
                <c:pt idx="52">
                  <c:v>2026-05</c:v>
                </c:pt>
                <c:pt idx="53">
                  <c:v>2026-06</c:v>
                </c:pt>
                <c:pt idx="54">
                  <c:v>2026-07</c:v>
                </c:pt>
                <c:pt idx="55">
                  <c:v>2026-08</c:v>
                </c:pt>
              </c:strCache>
            </c:strRef>
          </c:cat>
          <c:val>
            <c:numRef>
              <c:f>'Cohort Delinquency'!$E$7:$E$62</c:f>
              <c:numCache>
                <c:formatCode>0.0%</c:formatCode>
                <c:ptCount val="56"/>
                <c:pt idx="0">
                  <c:v>0.101089885409123</c:v>
                </c:pt>
                <c:pt idx="1">
                  <c:v>0.248589634478299</c:v>
                </c:pt>
                <c:pt idx="2">
                  <c:v>0.0850495247046258</c:v>
                </c:pt>
                <c:pt idx="3">
                  <c:v>0.132063151624132</c:v>
                </c:pt>
                <c:pt idx="4">
                  <c:v>0.0119321920377494</c:v>
                </c:pt>
                <c:pt idx="5">
                  <c:v>0</c:v>
                </c:pt>
                <c:pt idx="6">
                  <c:v>0.0918223568775211</c:v>
                </c:pt>
                <c:pt idx="7">
                  <c:v>0</c:v>
                </c:pt>
                <c:pt idx="8">
                  <c:v>0.0874926128976743</c:v>
                </c:pt>
                <c:pt idx="9">
                  <c:v>0</c:v>
                </c:pt>
                <c:pt idx="10">
                  <c:v>0.072580764085795</c:v>
                </c:pt>
                <c:pt idx="11">
                  <c:v>0.0211332438834869</c:v>
                </c:pt>
                <c:pt idx="12">
                  <c:v>0.0659864656766319</c:v>
                </c:pt>
                <c:pt idx="13">
                  <c:v>0.00789865753237266</c:v>
                </c:pt>
                <c:pt idx="14">
                  <c:v>0.130431248969722</c:v>
                </c:pt>
                <c:pt idx="15">
                  <c:v>0.0746846727915169</c:v>
                </c:pt>
                <c:pt idx="16">
                  <c:v>0.122171151935705</c:v>
                </c:pt>
                <c:pt idx="17">
                  <c:v>0.239778327683734</c:v>
                </c:pt>
                <c:pt idx="18">
                  <c:v>0</c:v>
                </c:pt>
                <c:pt idx="19">
                  <c:v>0.105324289357892</c:v>
                </c:pt>
                <c:pt idx="20">
                  <c:v>0.0393368465877519</c:v>
                </c:pt>
                <c:pt idx="21">
                  <c:v>0.0237419207152498</c:v>
                </c:pt>
                <c:pt idx="22">
                  <c:v>0.0718228999240188</c:v>
                </c:pt>
                <c:pt idx="23">
                  <c:v>0</c:v>
                </c:pt>
                <c:pt idx="24">
                  <c:v>0.0267182289337748</c:v>
                </c:pt>
                <c:pt idx="25">
                  <c:v>0.183568181215102</c:v>
                </c:pt>
                <c:pt idx="26">
                  <c:v>0.144817983321677</c:v>
                </c:pt>
                <c:pt idx="27">
                  <c:v>0.0069671310142102</c:v>
                </c:pt>
                <c:pt idx="28">
                  <c:v>0.0416872783941361</c:v>
                </c:pt>
                <c:pt idx="29">
                  <c:v>0.115831375382336</c:v>
                </c:pt>
                <c:pt idx="30">
                  <c:v>0.111888457904653</c:v>
                </c:pt>
                <c:pt idx="31">
                  <c:v>0.0465881934541641</c:v>
                </c:pt>
                <c:pt idx="32">
                  <c:v>0</c:v>
                </c:pt>
                <c:pt idx="33">
                  <c:v>0.046747446567955</c:v>
                </c:pt>
                <c:pt idx="34">
                  <c:v>0.207657827302792</c:v>
                </c:pt>
                <c:pt idx="35">
                  <c:v>0.0403710758327635</c:v>
                </c:pt>
                <c:pt idx="36">
                  <c:v>0.114898795669759</c:v>
                </c:pt>
                <c:pt idx="37">
                  <c:v>0.0578489650556449</c:v>
                </c:pt>
                <c:pt idx="38">
                  <c:v>0.0751112077293425</c:v>
                </c:pt>
                <c:pt idx="39">
                  <c:v>0.0288197372621714</c:v>
                </c:pt>
                <c:pt idx="40">
                  <c:v>0</c:v>
                </c:pt>
                <c:pt idx="41">
                  <c:v>0.0473084335081855</c:v>
                </c:pt>
                <c:pt idx="42">
                  <c:v>0.0868887295548853</c:v>
                </c:pt>
                <c:pt idx="43">
                  <c:v>0.0709403947361806</c:v>
                </c:pt>
                <c:pt idx="44">
                  <c:v>0</c:v>
                </c:pt>
                <c:pt idx="45">
                  <c:v>0.0606114658040372</c:v>
                </c:pt>
                <c:pt idx="46">
                  <c:v>0.0979723770705338</c:v>
                </c:pt>
                <c:pt idx="47">
                  <c:v>0.176047134842791</c:v>
                </c:pt>
                <c:pt idx="48">
                  <c:v>0.0133190530727175</c:v>
                </c:pt>
                <c:pt idx="49">
                  <c:v>0.0340106316070707</c:v>
                </c:pt>
                <c:pt idx="50">
                  <c:v>0.0755185661964245</c:v>
                </c:pt>
                <c:pt idx="51">
                  <c:v>0.0721082906460532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496761"/>
        <c:axId val="52588223"/>
      </c:lineChart>
      <c:catAx>
        <c:axId val="704967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Cohort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88223"/>
        <c:crosses val="autoZero"/>
        <c:auto val="1"/>
        <c:lblAlgn val="ctr"/>
        <c:lblOffset val="100"/>
        <c:noMultiLvlLbl val="0"/>
      </c:catAx>
      <c:valAx>
        <c:axId val="52588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Origination Volume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967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65</xdr:row>
      <xdr:rowOff>160560</xdr:rowOff>
    </xdr:from>
    <xdr:to>
      <xdr:col>12</xdr:col>
      <xdr:colOff>491400</xdr:colOff>
      <xdr:row>82</xdr:row>
      <xdr:rowOff>161280</xdr:rowOff>
    </xdr:to>
    <xdr:graphicFrame>
      <xdr:nvGraphicFramePr>
        <xdr:cNvPr id="0" name="Chart 1"/>
        <xdr:cNvGraphicFramePr/>
      </xdr:nvGraphicFramePr>
      <xdr:xfrm>
        <a:off x="141120" y="12571560"/>
        <a:ext cx="100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149</xdr:row>
      <xdr:rowOff>48240</xdr:rowOff>
    </xdr:from>
    <xdr:to>
      <xdr:col>12</xdr:col>
      <xdr:colOff>491400</xdr:colOff>
      <xdr:row>166</xdr:row>
      <xdr:rowOff>48960</xdr:rowOff>
    </xdr:to>
    <xdr:graphicFrame>
      <xdr:nvGraphicFramePr>
        <xdr:cNvPr id="1" name="Chart 2"/>
        <xdr:cNvGraphicFramePr/>
      </xdr:nvGraphicFramePr>
      <xdr:xfrm>
        <a:off x="141120" y="28566000"/>
        <a:ext cx="100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63</xdr:row>
      <xdr:rowOff>145440</xdr:rowOff>
    </xdr:from>
    <xdr:to>
      <xdr:col>10</xdr:col>
      <xdr:colOff>585000</xdr:colOff>
      <xdr:row>80</xdr:row>
      <xdr:rowOff>146160</xdr:rowOff>
    </xdr:to>
    <xdr:graphicFrame>
      <xdr:nvGraphicFramePr>
        <xdr:cNvPr id="2" name="Chart 1"/>
        <xdr:cNvGraphicFramePr/>
      </xdr:nvGraphicFramePr>
      <xdr:xfrm>
        <a:off x="141120" y="12366000"/>
        <a:ext cx="100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9" min="3" style="1" width="14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</row>
    <row r="5" customFormat="false" ht="15" hidden="false" customHeight="true" outlineLevel="0" collapsed="false">
      <c r="B5" s="4" t="s">
        <v>2</v>
      </c>
    </row>
    <row r="7" customFormat="false" ht="15" hidden="false" customHeight="true" outlineLevel="0" collapsed="false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5" t="s">
        <v>10</v>
      </c>
    </row>
    <row r="8" customFormat="false" ht="15" hidden="false" customHeight="true" outlineLevel="0" collapsed="false">
      <c r="B8" s="6" t="s">
        <v>11</v>
      </c>
      <c r="C8" s="7" t="n">
        <f aca="false">SUMIFS(ORIGINATIONS!$L:$L,ORIGINATIONS!$C:$C,"PTR-001",ORIGINATIONS!$U:$U,$B8)</f>
        <v>182124.15</v>
      </c>
      <c r="D8" s="7" t="n">
        <f aca="false">SUMIFS(ORIGINATIONS!$L:$L,ORIGINATIONS!$C:$C,"PTR-002",ORIGINATIONS!$U:$U,$B8)</f>
        <v>161103.56</v>
      </c>
      <c r="E8" s="7" t="n">
        <f aca="false">SUMIFS(ORIGINATIONS!$L:$L,ORIGINATIONS!$C:$C,"PTR-003",ORIGINATIONS!$U:$U,$B8)</f>
        <v>122796.57</v>
      </c>
      <c r="F8" s="7" t="n">
        <f aca="false">SUMIFS(ORIGINATIONS!$L:$L,ORIGINATIONS!$C:$C,"PTR-004",ORIGINATIONS!$U:$U,$B8)</f>
        <v>89897.78</v>
      </c>
      <c r="G8" s="7" t="n">
        <f aca="false">SUMIFS(ORIGINATIONS!$L:$L,ORIGINATIONS!$C:$C,"PTR-005",ORIGINATIONS!$U:$U,$B8)</f>
        <v>275724.6</v>
      </c>
      <c r="H8" s="7" t="n">
        <f aca="false">SUMIFS(ORIGINATIONS!$L:$L,ORIGINATIONS!$C:$C,"PTR-006",ORIGINATIONS!$U:$U,$B8)</f>
        <v>185785.99</v>
      </c>
      <c r="I8" s="8" t="n">
        <f aca="false">SUM(C8:H8)</f>
        <v>1017432.65</v>
      </c>
    </row>
    <row r="9" customFormat="false" ht="15" hidden="false" customHeight="true" outlineLevel="0" collapsed="false">
      <c r="B9" s="6" t="s">
        <v>12</v>
      </c>
      <c r="C9" s="7" t="n">
        <f aca="false">SUMIFS(ORIGINATIONS!$L:$L,ORIGINATIONS!$C:$C,"PTR-001",ORIGINATIONS!$U:$U,$B9)</f>
        <v>105545.23</v>
      </c>
      <c r="D9" s="7" t="n">
        <f aca="false">SUMIFS(ORIGINATIONS!$L:$L,ORIGINATIONS!$C:$C,"PTR-002",ORIGINATIONS!$U:$U,$B9)</f>
        <v>20450.72</v>
      </c>
      <c r="E9" s="7" t="n">
        <f aca="false">SUMIFS(ORIGINATIONS!$L:$L,ORIGINATIONS!$C:$C,"PTR-003",ORIGINATIONS!$U:$U,$B9)</f>
        <v>111538.65</v>
      </c>
      <c r="F9" s="7" t="n">
        <f aca="false">SUMIFS(ORIGINATIONS!$L:$L,ORIGINATIONS!$C:$C,"PTR-004",ORIGINATIONS!$U:$U,$B9)</f>
        <v>37121.91</v>
      </c>
      <c r="G9" s="7" t="n">
        <f aca="false">SUMIFS(ORIGINATIONS!$L:$L,ORIGINATIONS!$C:$C,"PTR-005",ORIGINATIONS!$U:$U,$B9)</f>
        <v>29767.2</v>
      </c>
      <c r="H9" s="7" t="n">
        <f aca="false">SUMIFS(ORIGINATIONS!$L:$L,ORIGINATIONS!$C:$C,"PTR-006",ORIGINATIONS!$U:$U,$B9)</f>
        <v>227436.64</v>
      </c>
      <c r="I9" s="8" t="n">
        <f aca="false">SUM(C9:H9)</f>
        <v>531860.35</v>
      </c>
    </row>
    <row r="10" customFormat="false" ht="15" hidden="false" customHeight="true" outlineLevel="0" collapsed="false">
      <c r="B10" s="6" t="s">
        <v>13</v>
      </c>
      <c r="C10" s="7" t="n">
        <f aca="false">SUMIFS(ORIGINATIONS!$L:$L,ORIGINATIONS!$C:$C,"PTR-001",ORIGINATIONS!$U:$U,$B10)</f>
        <v>82822.11</v>
      </c>
      <c r="D10" s="7" t="n">
        <f aca="false">SUMIFS(ORIGINATIONS!$L:$L,ORIGINATIONS!$C:$C,"PTR-002",ORIGINATIONS!$U:$U,$B10)</f>
        <v>177558.93</v>
      </c>
      <c r="E10" s="7" t="n">
        <f aca="false">SUMIFS(ORIGINATIONS!$L:$L,ORIGINATIONS!$C:$C,"PTR-003",ORIGINATIONS!$U:$U,$B10)</f>
        <v>115737.94</v>
      </c>
      <c r="F10" s="7" t="n">
        <f aca="false">SUMIFS(ORIGINATIONS!$L:$L,ORIGINATIONS!$C:$C,"PTR-004",ORIGINATIONS!$U:$U,$B10)</f>
        <v>117260.18</v>
      </c>
      <c r="G10" s="7" t="n">
        <f aca="false">SUMIFS(ORIGINATIONS!$L:$L,ORIGINATIONS!$C:$C,"PTR-005",ORIGINATIONS!$U:$U,$B10)</f>
        <v>104008.23</v>
      </c>
      <c r="H10" s="7" t="n">
        <f aca="false">SUMIFS(ORIGINATIONS!$L:$L,ORIGINATIONS!$C:$C,"PTR-006",ORIGINATIONS!$U:$U,$B10)</f>
        <v>146810.89</v>
      </c>
      <c r="I10" s="8" t="n">
        <f aca="false">SUM(C10:H10)</f>
        <v>744198.28</v>
      </c>
    </row>
    <row r="11" customFormat="false" ht="15" hidden="false" customHeight="true" outlineLevel="0" collapsed="false">
      <c r="B11" s="6" t="s">
        <v>14</v>
      </c>
      <c r="C11" s="7" t="n">
        <f aca="false">SUMIFS(ORIGINATIONS!$L:$L,ORIGINATIONS!$C:$C,"PTR-001",ORIGINATIONS!$U:$U,$B11)</f>
        <v>264578.4</v>
      </c>
      <c r="D11" s="7" t="n">
        <f aca="false">SUMIFS(ORIGINATIONS!$L:$L,ORIGINATIONS!$C:$C,"PTR-002",ORIGINATIONS!$U:$U,$B11)</f>
        <v>190174.42</v>
      </c>
      <c r="E11" s="7" t="n">
        <f aca="false">SUMIFS(ORIGINATIONS!$L:$L,ORIGINATIONS!$C:$C,"PTR-003",ORIGINATIONS!$U:$U,$B11)</f>
        <v>216047.69</v>
      </c>
      <c r="F11" s="7" t="n">
        <f aca="false">SUMIFS(ORIGINATIONS!$L:$L,ORIGINATIONS!$C:$C,"PTR-004",ORIGINATIONS!$U:$U,$B11)</f>
        <v>68693.98</v>
      </c>
      <c r="G11" s="7" t="n">
        <f aca="false">SUMIFS(ORIGINATIONS!$L:$L,ORIGINATIONS!$C:$C,"PTR-005",ORIGINATIONS!$U:$U,$B11)</f>
        <v>66031.42</v>
      </c>
      <c r="H11" s="7" t="n">
        <f aca="false">SUMIFS(ORIGINATIONS!$L:$L,ORIGINATIONS!$C:$C,"PTR-006",ORIGINATIONS!$U:$U,$B11)</f>
        <v>208159.5</v>
      </c>
      <c r="I11" s="8" t="n">
        <f aca="false">SUM(C11:H11)</f>
        <v>1013685.41</v>
      </c>
    </row>
    <row r="12" customFormat="false" ht="15" hidden="false" customHeight="true" outlineLevel="0" collapsed="false">
      <c r="B12" s="6" t="s">
        <v>15</v>
      </c>
      <c r="C12" s="7" t="n">
        <f aca="false">SUMIFS(ORIGINATIONS!$L:$L,ORIGINATIONS!$C:$C,"PTR-001",ORIGINATIONS!$U:$U,$B12)</f>
        <v>229755.63</v>
      </c>
      <c r="D12" s="7" t="n">
        <f aca="false">SUMIFS(ORIGINATIONS!$L:$L,ORIGINATIONS!$C:$C,"PTR-002",ORIGINATIONS!$U:$U,$B12)</f>
        <v>0</v>
      </c>
      <c r="E12" s="7" t="n">
        <f aca="false">SUMIFS(ORIGINATIONS!$L:$L,ORIGINATIONS!$C:$C,"PTR-003",ORIGINATIONS!$U:$U,$B12)</f>
        <v>2372.66</v>
      </c>
      <c r="F12" s="7" t="n">
        <f aca="false">SUMIFS(ORIGINATIONS!$L:$L,ORIGINATIONS!$C:$C,"PTR-004",ORIGINATIONS!$U:$U,$B12)</f>
        <v>94742.77</v>
      </c>
      <c r="G12" s="7" t="n">
        <f aca="false">SUMIFS(ORIGINATIONS!$L:$L,ORIGINATIONS!$C:$C,"PTR-005",ORIGINATIONS!$U:$U,$B12)</f>
        <v>53486.51</v>
      </c>
      <c r="H12" s="7" t="n">
        <f aca="false">SUMIFS(ORIGINATIONS!$L:$L,ORIGINATIONS!$C:$C,"PTR-006",ORIGINATIONS!$U:$U,$B12)</f>
        <v>268698.36</v>
      </c>
      <c r="I12" s="8" t="n">
        <f aca="false">SUM(C12:H12)</f>
        <v>649055.93</v>
      </c>
    </row>
    <row r="13" customFormat="false" ht="15" hidden="false" customHeight="true" outlineLevel="0" collapsed="false">
      <c r="B13" s="6" t="s">
        <v>16</v>
      </c>
      <c r="C13" s="7" t="n">
        <f aca="false">SUMIFS(ORIGINATIONS!$L:$L,ORIGINATIONS!$C:$C,"PTR-001",ORIGINATIONS!$U:$U,$B13)</f>
        <v>403052.75</v>
      </c>
      <c r="D13" s="7" t="n">
        <f aca="false">SUMIFS(ORIGINATIONS!$L:$L,ORIGINATIONS!$C:$C,"PTR-002",ORIGINATIONS!$U:$U,$B13)</f>
        <v>163801.83</v>
      </c>
      <c r="E13" s="7" t="n">
        <f aca="false">SUMIFS(ORIGINATIONS!$L:$L,ORIGINATIONS!$C:$C,"PTR-003",ORIGINATIONS!$U:$U,$B13)</f>
        <v>99277.09</v>
      </c>
      <c r="F13" s="7" t="n">
        <f aca="false">SUMIFS(ORIGINATIONS!$L:$L,ORIGINATIONS!$C:$C,"PTR-004",ORIGINATIONS!$U:$U,$B13)</f>
        <v>18389.99</v>
      </c>
      <c r="G13" s="7" t="n">
        <f aca="false">SUMIFS(ORIGINATIONS!$L:$L,ORIGINATIONS!$C:$C,"PTR-005",ORIGINATIONS!$U:$U,$B13)</f>
        <v>48977.53</v>
      </c>
      <c r="H13" s="7" t="n">
        <f aca="false">SUMIFS(ORIGINATIONS!$L:$L,ORIGINATIONS!$C:$C,"PTR-006",ORIGINATIONS!$U:$U,$B13)</f>
        <v>176834.21</v>
      </c>
      <c r="I13" s="8" t="n">
        <f aca="false">SUM(C13:H13)</f>
        <v>910333.4</v>
      </c>
    </row>
    <row r="14" customFormat="false" ht="15" hidden="false" customHeight="true" outlineLevel="0" collapsed="false">
      <c r="B14" s="6" t="s">
        <v>17</v>
      </c>
      <c r="C14" s="7" t="n">
        <f aca="false">SUMIFS(ORIGINATIONS!$L:$L,ORIGINATIONS!$C:$C,"PTR-001",ORIGINATIONS!$U:$U,$B14)</f>
        <v>61803.03</v>
      </c>
      <c r="D14" s="7" t="n">
        <f aca="false">SUMIFS(ORIGINATIONS!$L:$L,ORIGINATIONS!$C:$C,"PTR-002",ORIGINATIONS!$U:$U,$B14)</f>
        <v>183044.9</v>
      </c>
      <c r="E14" s="7" t="n">
        <f aca="false">SUMIFS(ORIGINATIONS!$L:$L,ORIGINATIONS!$C:$C,"PTR-003",ORIGINATIONS!$U:$U,$B14)</f>
        <v>156118.66</v>
      </c>
      <c r="F14" s="7" t="n">
        <f aca="false">SUMIFS(ORIGINATIONS!$L:$L,ORIGINATIONS!$C:$C,"PTR-004",ORIGINATIONS!$U:$U,$B14)</f>
        <v>98706.8</v>
      </c>
      <c r="G14" s="7" t="n">
        <f aca="false">SUMIFS(ORIGINATIONS!$L:$L,ORIGINATIONS!$C:$C,"PTR-005",ORIGINATIONS!$U:$U,$B14)</f>
        <v>226219.95</v>
      </c>
      <c r="H14" s="7" t="n">
        <f aca="false">SUMIFS(ORIGINATIONS!$L:$L,ORIGINATIONS!$C:$C,"PTR-006",ORIGINATIONS!$U:$U,$B14)</f>
        <v>44092.45</v>
      </c>
      <c r="I14" s="8" t="n">
        <f aca="false">SUM(C14:H14)</f>
        <v>769985.79</v>
      </c>
    </row>
    <row r="15" customFormat="false" ht="15" hidden="false" customHeight="true" outlineLevel="0" collapsed="false">
      <c r="B15" s="6" t="s">
        <v>18</v>
      </c>
      <c r="C15" s="7" t="n">
        <f aca="false">SUMIFS(ORIGINATIONS!$L:$L,ORIGINATIONS!$C:$C,"PTR-001",ORIGINATIONS!$U:$U,$B15)</f>
        <v>38712.76</v>
      </c>
      <c r="D15" s="7" t="n">
        <f aca="false">SUMIFS(ORIGINATIONS!$L:$L,ORIGINATIONS!$C:$C,"PTR-002",ORIGINATIONS!$U:$U,$B15)</f>
        <v>128859.73</v>
      </c>
      <c r="E15" s="7" t="n">
        <f aca="false">SUMIFS(ORIGINATIONS!$L:$L,ORIGINATIONS!$C:$C,"PTR-003",ORIGINATIONS!$U:$U,$B15)</f>
        <v>139232.17</v>
      </c>
      <c r="F15" s="7" t="n">
        <f aca="false">SUMIFS(ORIGINATIONS!$L:$L,ORIGINATIONS!$C:$C,"PTR-004",ORIGINATIONS!$U:$U,$B15)</f>
        <v>145079.88</v>
      </c>
      <c r="G15" s="7" t="n">
        <f aca="false">SUMIFS(ORIGINATIONS!$L:$L,ORIGINATIONS!$C:$C,"PTR-005",ORIGINATIONS!$U:$U,$B15)</f>
        <v>104060.76</v>
      </c>
      <c r="H15" s="7" t="n">
        <f aca="false">SUMIFS(ORIGINATIONS!$L:$L,ORIGINATIONS!$C:$C,"PTR-006",ORIGINATIONS!$U:$U,$B15)</f>
        <v>85149.51</v>
      </c>
      <c r="I15" s="8" t="n">
        <f aca="false">SUM(C15:H15)</f>
        <v>641094.81</v>
      </c>
    </row>
    <row r="16" customFormat="false" ht="15" hidden="false" customHeight="true" outlineLevel="0" collapsed="false">
      <c r="B16" s="6" t="s">
        <v>19</v>
      </c>
      <c r="C16" s="7" t="n">
        <f aca="false">SUMIFS(ORIGINATIONS!$L:$L,ORIGINATIONS!$C:$C,"PTR-001",ORIGINATIONS!$U:$U,$B16)</f>
        <v>221066.31</v>
      </c>
      <c r="D16" s="7" t="n">
        <f aca="false">SUMIFS(ORIGINATIONS!$L:$L,ORIGINATIONS!$C:$C,"PTR-002",ORIGINATIONS!$U:$U,$B16)</f>
        <v>205361.36</v>
      </c>
      <c r="E16" s="7" t="n">
        <f aca="false">SUMIFS(ORIGINATIONS!$L:$L,ORIGINATIONS!$C:$C,"PTR-003",ORIGINATIONS!$U:$U,$B16)</f>
        <v>25144.12</v>
      </c>
      <c r="F16" s="7" t="n">
        <f aca="false">SUMIFS(ORIGINATIONS!$L:$L,ORIGINATIONS!$C:$C,"PTR-004",ORIGINATIONS!$U:$U,$B16)</f>
        <v>233785.94</v>
      </c>
      <c r="G16" s="7" t="n">
        <f aca="false">SUMIFS(ORIGINATIONS!$L:$L,ORIGINATIONS!$C:$C,"PTR-005",ORIGINATIONS!$U:$U,$B16)</f>
        <v>111217.5</v>
      </c>
      <c r="H16" s="7" t="n">
        <f aca="false">SUMIFS(ORIGINATIONS!$L:$L,ORIGINATIONS!$C:$C,"PTR-006",ORIGINATIONS!$U:$U,$B16)</f>
        <v>75485.25</v>
      </c>
      <c r="I16" s="8" t="n">
        <f aca="false">SUM(C16:H16)</f>
        <v>872060.48</v>
      </c>
    </row>
    <row r="17" customFormat="false" ht="15" hidden="false" customHeight="true" outlineLevel="0" collapsed="false">
      <c r="B17" s="6" t="s">
        <v>20</v>
      </c>
      <c r="C17" s="7" t="n">
        <f aca="false">SUMIFS(ORIGINATIONS!$L:$L,ORIGINATIONS!$C:$C,"PTR-001",ORIGINATIONS!$U:$U,$B17)</f>
        <v>61737.04</v>
      </c>
      <c r="D17" s="7" t="n">
        <f aca="false">SUMIFS(ORIGINATIONS!$L:$L,ORIGINATIONS!$C:$C,"PTR-002",ORIGINATIONS!$U:$U,$B17)</f>
        <v>103681.08</v>
      </c>
      <c r="E17" s="7" t="n">
        <f aca="false">SUMIFS(ORIGINATIONS!$L:$L,ORIGINATIONS!$C:$C,"PTR-003",ORIGINATIONS!$U:$U,$B17)</f>
        <v>36498.48</v>
      </c>
      <c r="F17" s="7" t="n">
        <f aca="false">SUMIFS(ORIGINATIONS!$L:$L,ORIGINATIONS!$C:$C,"PTR-004",ORIGINATIONS!$U:$U,$B17)</f>
        <v>153167.22</v>
      </c>
      <c r="G17" s="7" t="n">
        <f aca="false">SUMIFS(ORIGINATIONS!$L:$L,ORIGINATIONS!$C:$C,"PTR-005",ORIGINATIONS!$U:$U,$B17)</f>
        <v>170992.38</v>
      </c>
      <c r="H17" s="7" t="n">
        <f aca="false">SUMIFS(ORIGINATIONS!$L:$L,ORIGINATIONS!$C:$C,"PTR-006",ORIGINATIONS!$U:$U,$B17)</f>
        <v>75202.15</v>
      </c>
      <c r="I17" s="8" t="n">
        <f aca="false">SUM(C17:H17)</f>
        <v>601278.35</v>
      </c>
    </row>
    <row r="18" customFormat="false" ht="15" hidden="false" customHeight="true" outlineLevel="0" collapsed="false">
      <c r="B18" s="6" t="s">
        <v>21</v>
      </c>
      <c r="C18" s="7" t="n">
        <f aca="false">SUMIFS(ORIGINATIONS!$L:$L,ORIGINATIONS!$C:$C,"PTR-001",ORIGINATIONS!$U:$U,$B18)</f>
        <v>4616.25</v>
      </c>
      <c r="D18" s="7" t="n">
        <f aca="false">SUMIFS(ORIGINATIONS!$L:$L,ORIGINATIONS!$C:$C,"PTR-002",ORIGINATIONS!$U:$U,$B18)</f>
        <v>332894.73</v>
      </c>
      <c r="E18" s="7" t="n">
        <f aca="false">SUMIFS(ORIGINATIONS!$L:$L,ORIGINATIONS!$C:$C,"PTR-003",ORIGINATIONS!$U:$U,$B18)</f>
        <v>0</v>
      </c>
      <c r="F18" s="7" t="n">
        <f aca="false">SUMIFS(ORIGINATIONS!$L:$L,ORIGINATIONS!$C:$C,"PTR-004",ORIGINATIONS!$U:$U,$B18)</f>
        <v>237845.33</v>
      </c>
      <c r="G18" s="7" t="n">
        <f aca="false">SUMIFS(ORIGINATIONS!$L:$L,ORIGINATIONS!$C:$C,"PTR-005",ORIGINATIONS!$U:$U,$B18)</f>
        <v>170303.91</v>
      </c>
      <c r="H18" s="7" t="n">
        <f aca="false">SUMIFS(ORIGINATIONS!$L:$L,ORIGINATIONS!$C:$C,"PTR-006",ORIGINATIONS!$U:$U,$B18)</f>
        <v>16547.38</v>
      </c>
      <c r="I18" s="8" t="n">
        <f aca="false">SUM(C18:H18)</f>
        <v>762207.6</v>
      </c>
    </row>
    <row r="19" customFormat="false" ht="15" hidden="false" customHeight="true" outlineLevel="0" collapsed="false">
      <c r="B19" s="6" t="s">
        <v>22</v>
      </c>
      <c r="C19" s="7" t="n">
        <f aca="false">SUMIFS(ORIGINATIONS!$L:$L,ORIGINATIONS!$C:$C,"PTR-001",ORIGINATIONS!$U:$U,$B19)</f>
        <v>74693</v>
      </c>
      <c r="D19" s="7" t="n">
        <f aca="false">SUMIFS(ORIGINATIONS!$L:$L,ORIGINATIONS!$C:$C,"PTR-002",ORIGINATIONS!$U:$U,$B19)</f>
        <v>37038.87</v>
      </c>
      <c r="E19" s="7" t="n">
        <f aca="false">SUMIFS(ORIGINATIONS!$L:$L,ORIGINATIONS!$C:$C,"PTR-003",ORIGINATIONS!$U:$U,$B19)</f>
        <v>47253.39</v>
      </c>
      <c r="F19" s="7" t="n">
        <f aca="false">SUMIFS(ORIGINATIONS!$L:$L,ORIGINATIONS!$C:$C,"PTR-004",ORIGINATIONS!$U:$U,$B19)</f>
        <v>221972.71</v>
      </c>
      <c r="G19" s="7" t="n">
        <f aca="false">SUMIFS(ORIGINATIONS!$L:$L,ORIGINATIONS!$C:$C,"PTR-005",ORIGINATIONS!$U:$U,$B19)</f>
        <v>30447.41</v>
      </c>
      <c r="H19" s="7" t="n">
        <f aca="false">SUMIFS(ORIGINATIONS!$L:$L,ORIGINATIONS!$C:$C,"PTR-006",ORIGINATIONS!$U:$U,$B19)</f>
        <v>240006.21</v>
      </c>
      <c r="I19" s="8" t="n">
        <f aca="false">SUM(C19:H19)</f>
        <v>651411.59</v>
      </c>
    </row>
    <row r="20" customFormat="false" ht="15" hidden="false" customHeight="true" outlineLevel="0" collapsed="false">
      <c r="B20" s="6" t="s">
        <v>23</v>
      </c>
      <c r="C20" s="7" t="n">
        <f aca="false">SUMIFS(ORIGINATIONS!$L:$L,ORIGINATIONS!$C:$C,"PTR-001",ORIGINATIONS!$U:$U,$B20)</f>
        <v>204844.02</v>
      </c>
      <c r="D20" s="7" t="n">
        <f aca="false">SUMIFS(ORIGINATIONS!$L:$L,ORIGINATIONS!$C:$C,"PTR-002",ORIGINATIONS!$U:$U,$B20)</f>
        <v>38019.98</v>
      </c>
      <c r="E20" s="7" t="n">
        <f aca="false">SUMIFS(ORIGINATIONS!$L:$L,ORIGINATIONS!$C:$C,"PTR-003",ORIGINATIONS!$U:$U,$B20)</f>
        <v>145966.32</v>
      </c>
      <c r="F20" s="7" t="n">
        <f aca="false">SUMIFS(ORIGINATIONS!$L:$L,ORIGINATIONS!$C:$C,"PTR-004",ORIGINATIONS!$U:$U,$B20)</f>
        <v>76913.05</v>
      </c>
      <c r="G20" s="7" t="n">
        <f aca="false">SUMIFS(ORIGINATIONS!$L:$L,ORIGINATIONS!$C:$C,"PTR-005",ORIGINATIONS!$U:$U,$B20)</f>
        <v>185310.54</v>
      </c>
      <c r="H20" s="7" t="n">
        <f aca="false">SUMIFS(ORIGINATIONS!$L:$L,ORIGINATIONS!$C:$C,"PTR-006",ORIGINATIONS!$U:$U,$B20)</f>
        <v>115221.56</v>
      </c>
      <c r="I20" s="8" t="n">
        <f aca="false">SUM(C20:H20)</f>
        <v>766275.47</v>
      </c>
    </row>
    <row r="21" customFormat="false" ht="15" hidden="false" customHeight="true" outlineLevel="0" collapsed="false">
      <c r="B21" s="6" t="s">
        <v>24</v>
      </c>
      <c r="C21" s="7" t="n">
        <f aca="false">SUMIFS(ORIGINATIONS!$L:$L,ORIGINATIONS!$C:$C,"PTR-001",ORIGINATIONS!$U:$U,$B21)</f>
        <v>41950.9</v>
      </c>
      <c r="D21" s="7" t="n">
        <f aca="false">SUMIFS(ORIGINATIONS!$L:$L,ORIGINATIONS!$C:$C,"PTR-002",ORIGINATIONS!$U:$U,$B21)</f>
        <v>52749.25</v>
      </c>
      <c r="E21" s="7" t="n">
        <f aca="false">SUMIFS(ORIGINATIONS!$L:$L,ORIGINATIONS!$C:$C,"PTR-003",ORIGINATIONS!$U:$U,$B21)</f>
        <v>13574.74</v>
      </c>
      <c r="F21" s="7" t="n">
        <f aca="false">SUMIFS(ORIGINATIONS!$L:$L,ORIGINATIONS!$C:$C,"PTR-004",ORIGINATIONS!$U:$U,$B21)</f>
        <v>55045.13</v>
      </c>
      <c r="G21" s="7" t="n">
        <f aca="false">SUMIFS(ORIGINATIONS!$L:$L,ORIGINATIONS!$C:$C,"PTR-005",ORIGINATIONS!$U:$U,$B21)</f>
        <v>0</v>
      </c>
      <c r="H21" s="7" t="n">
        <f aca="false">SUMIFS(ORIGINATIONS!$L:$L,ORIGINATIONS!$C:$C,"PTR-006",ORIGINATIONS!$U:$U,$B21)</f>
        <v>246342</v>
      </c>
      <c r="I21" s="8" t="n">
        <f aca="false">SUM(C21:H21)</f>
        <v>409662.02</v>
      </c>
    </row>
    <row r="22" customFormat="false" ht="15" hidden="false" customHeight="true" outlineLevel="0" collapsed="false">
      <c r="B22" s="6" t="s">
        <v>25</v>
      </c>
      <c r="C22" s="7" t="n">
        <f aca="false">SUMIFS(ORIGINATIONS!$L:$L,ORIGINATIONS!$C:$C,"PTR-001",ORIGINATIONS!$U:$U,$B22)</f>
        <v>107375.4</v>
      </c>
      <c r="D22" s="7" t="n">
        <f aca="false">SUMIFS(ORIGINATIONS!$L:$L,ORIGINATIONS!$C:$C,"PTR-002",ORIGINATIONS!$U:$U,$B22)</f>
        <v>338132.39</v>
      </c>
      <c r="E22" s="7" t="n">
        <f aca="false">SUMIFS(ORIGINATIONS!$L:$L,ORIGINATIONS!$C:$C,"PTR-003",ORIGINATIONS!$U:$U,$B22)</f>
        <v>392951.44</v>
      </c>
      <c r="F22" s="7" t="n">
        <f aca="false">SUMIFS(ORIGINATIONS!$L:$L,ORIGINATIONS!$C:$C,"PTR-004",ORIGINATIONS!$U:$U,$B22)</f>
        <v>208275.8</v>
      </c>
      <c r="G22" s="7" t="n">
        <f aca="false">SUMIFS(ORIGINATIONS!$L:$L,ORIGINATIONS!$C:$C,"PTR-005",ORIGINATIONS!$U:$U,$B22)</f>
        <v>59314.76</v>
      </c>
      <c r="H22" s="7" t="n">
        <f aca="false">SUMIFS(ORIGINATIONS!$L:$L,ORIGINATIONS!$C:$C,"PTR-006",ORIGINATIONS!$U:$U,$B22)</f>
        <v>69361.25</v>
      </c>
      <c r="I22" s="8" t="n">
        <f aca="false">SUM(C22:H22)</f>
        <v>1175411.04</v>
      </c>
    </row>
    <row r="23" customFormat="false" ht="15" hidden="false" customHeight="true" outlineLevel="0" collapsed="false">
      <c r="B23" s="6" t="s">
        <v>26</v>
      </c>
      <c r="C23" s="7" t="n">
        <f aca="false">SUMIFS(ORIGINATIONS!$L:$L,ORIGINATIONS!$C:$C,"PTR-001",ORIGINATIONS!$U:$U,$B23)</f>
        <v>119232.23</v>
      </c>
      <c r="D23" s="7" t="n">
        <f aca="false">SUMIFS(ORIGINATIONS!$L:$L,ORIGINATIONS!$C:$C,"PTR-002",ORIGINATIONS!$U:$U,$B23)</f>
        <v>153866.7</v>
      </c>
      <c r="E23" s="7" t="n">
        <f aca="false">SUMIFS(ORIGINATIONS!$L:$L,ORIGINATIONS!$C:$C,"PTR-003",ORIGINATIONS!$U:$U,$B23)</f>
        <v>45705.27</v>
      </c>
      <c r="F23" s="7" t="n">
        <f aca="false">SUMIFS(ORIGINATIONS!$L:$L,ORIGINATIONS!$C:$C,"PTR-004",ORIGINATIONS!$U:$U,$B23)</f>
        <v>177777.7</v>
      </c>
      <c r="G23" s="7" t="n">
        <f aca="false">SUMIFS(ORIGINATIONS!$L:$L,ORIGINATIONS!$C:$C,"PTR-005",ORIGINATIONS!$U:$U,$B23)</f>
        <v>25658.24</v>
      </c>
      <c r="H23" s="7" t="n">
        <f aca="false">SUMIFS(ORIGINATIONS!$L:$L,ORIGINATIONS!$C:$C,"PTR-006",ORIGINATIONS!$U:$U,$B23)</f>
        <v>26943.36</v>
      </c>
      <c r="I23" s="8" t="n">
        <f aca="false">SUM(C23:H23)</f>
        <v>549183.5</v>
      </c>
    </row>
    <row r="24" customFormat="false" ht="15" hidden="false" customHeight="true" outlineLevel="0" collapsed="false">
      <c r="B24" s="6" t="s">
        <v>27</v>
      </c>
      <c r="C24" s="7" t="n">
        <f aca="false">SUMIFS(ORIGINATIONS!$L:$L,ORIGINATIONS!$C:$C,"PTR-001",ORIGINATIONS!$U:$U,$B24)</f>
        <v>70416.91</v>
      </c>
      <c r="D24" s="7" t="n">
        <f aca="false">SUMIFS(ORIGINATIONS!$L:$L,ORIGINATIONS!$C:$C,"PTR-002",ORIGINATIONS!$U:$U,$B24)</f>
        <v>115483.77</v>
      </c>
      <c r="E24" s="7" t="n">
        <f aca="false">SUMIFS(ORIGINATIONS!$L:$L,ORIGINATIONS!$C:$C,"PTR-003",ORIGINATIONS!$U:$U,$B24)</f>
        <v>31963.82</v>
      </c>
      <c r="F24" s="7" t="n">
        <f aca="false">SUMIFS(ORIGINATIONS!$L:$L,ORIGINATIONS!$C:$C,"PTR-004",ORIGINATIONS!$U:$U,$B24)</f>
        <v>216327.45</v>
      </c>
      <c r="G24" s="7" t="n">
        <f aca="false">SUMIFS(ORIGINATIONS!$L:$L,ORIGINATIONS!$C:$C,"PTR-005",ORIGINATIONS!$U:$U,$B24)</f>
        <v>65735.85</v>
      </c>
      <c r="H24" s="7" t="n">
        <f aca="false">SUMIFS(ORIGINATIONS!$L:$L,ORIGINATIONS!$C:$C,"PTR-006",ORIGINATIONS!$U:$U,$B24)</f>
        <v>38145.46</v>
      </c>
      <c r="I24" s="8" t="n">
        <f aca="false">SUM(C24:H24)</f>
        <v>538073.26</v>
      </c>
    </row>
    <row r="25" customFormat="false" ht="15" hidden="false" customHeight="true" outlineLevel="0" collapsed="false">
      <c r="B25" s="6" t="s">
        <v>28</v>
      </c>
      <c r="C25" s="7" t="n">
        <f aca="false">SUMIFS(ORIGINATIONS!$L:$L,ORIGINATIONS!$C:$C,"PTR-001",ORIGINATIONS!$U:$U,$B25)</f>
        <v>89084.14</v>
      </c>
      <c r="D25" s="7" t="n">
        <f aca="false">SUMIFS(ORIGINATIONS!$L:$L,ORIGINATIONS!$C:$C,"PTR-002",ORIGINATIONS!$U:$U,$B25)</f>
        <v>0</v>
      </c>
      <c r="E25" s="7" t="n">
        <f aca="false">SUMIFS(ORIGINATIONS!$L:$L,ORIGINATIONS!$C:$C,"PTR-003",ORIGINATIONS!$U:$U,$B25)</f>
        <v>16598.22</v>
      </c>
      <c r="F25" s="7" t="n">
        <f aca="false">SUMIFS(ORIGINATIONS!$L:$L,ORIGINATIONS!$C:$C,"PTR-004",ORIGINATIONS!$U:$U,$B25)</f>
        <v>223318.17</v>
      </c>
      <c r="G25" s="7" t="n">
        <f aca="false">SUMIFS(ORIGINATIONS!$L:$L,ORIGINATIONS!$C:$C,"PTR-005",ORIGINATIONS!$U:$U,$B25)</f>
        <v>123634.45</v>
      </c>
      <c r="H25" s="7" t="n">
        <f aca="false">SUMIFS(ORIGINATIONS!$L:$L,ORIGINATIONS!$C:$C,"PTR-006",ORIGINATIONS!$U:$U,$B25)</f>
        <v>19663.96</v>
      </c>
      <c r="I25" s="8" t="n">
        <f aca="false">SUM(C25:H25)</f>
        <v>472298.94</v>
      </c>
    </row>
    <row r="26" customFormat="false" ht="15" hidden="false" customHeight="true" outlineLevel="0" collapsed="false">
      <c r="B26" s="6" t="s">
        <v>29</v>
      </c>
      <c r="C26" s="7" t="n">
        <f aca="false">SUMIFS(ORIGINATIONS!$L:$L,ORIGINATIONS!$C:$C,"PTR-001",ORIGINATIONS!$U:$U,$B26)</f>
        <v>171263.06</v>
      </c>
      <c r="D26" s="7" t="n">
        <f aca="false">SUMIFS(ORIGINATIONS!$L:$L,ORIGINATIONS!$C:$C,"PTR-002",ORIGINATIONS!$U:$U,$B26)</f>
        <v>104222.46</v>
      </c>
      <c r="E26" s="7" t="n">
        <f aca="false">SUMIFS(ORIGINATIONS!$L:$L,ORIGINATIONS!$C:$C,"PTR-003",ORIGINATIONS!$U:$U,$B26)</f>
        <v>176129.91</v>
      </c>
      <c r="F26" s="7" t="n">
        <f aca="false">SUMIFS(ORIGINATIONS!$L:$L,ORIGINATIONS!$C:$C,"PTR-004",ORIGINATIONS!$U:$U,$B26)</f>
        <v>178380.16</v>
      </c>
      <c r="G26" s="7" t="n">
        <f aca="false">SUMIFS(ORIGINATIONS!$L:$L,ORIGINATIONS!$C:$C,"PTR-005",ORIGINATIONS!$U:$U,$B26)</f>
        <v>77692.41</v>
      </c>
      <c r="H26" s="7" t="n">
        <f aca="false">SUMIFS(ORIGINATIONS!$L:$L,ORIGINATIONS!$C:$C,"PTR-006",ORIGINATIONS!$U:$U,$B26)</f>
        <v>92507.83</v>
      </c>
      <c r="I26" s="8" t="n">
        <f aca="false">SUM(C26:H26)</f>
        <v>800195.83</v>
      </c>
    </row>
    <row r="27" customFormat="false" ht="15" hidden="false" customHeight="true" outlineLevel="0" collapsed="false">
      <c r="B27" s="6" t="s">
        <v>30</v>
      </c>
      <c r="C27" s="7" t="n">
        <f aca="false">SUMIFS(ORIGINATIONS!$L:$L,ORIGINATIONS!$C:$C,"PTR-001",ORIGINATIONS!$U:$U,$B27)</f>
        <v>361811.39</v>
      </c>
      <c r="D27" s="7" t="n">
        <f aca="false">SUMIFS(ORIGINATIONS!$L:$L,ORIGINATIONS!$C:$C,"PTR-002",ORIGINATIONS!$U:$U,$B27)</f>
        <v>126577.06</v>
      </c>
      <c r="E27" s="7" t="n">
        <f aca="false">SUMIFS(ORIGINATIONS!$L:$L,ORIGINATIONS!$C:$C,"PTR-003",ORIGINATIONS!$U:$U,$B27)</f>
        <v>54138.12</v>
      </c>
      <c r="F27" s="7" t="n">
        <f aca="false">SUMIFS(ORIGINATIONS!$L:$L,ORIGINATIONS!$C:$C,"PTR-004",ORIGINATIONS!$U:$U,$B27)</f>
        <v>120627.16</v>
      </c>
      <c r="G27" s="7" t="n">
        <f aca="false">SUMIFS(ORIGINATIONS!$L:$L,ORIGINATIONS!$C:$C,"PTR-005",ORIGINATIONS!$U:$U,$B27)</f>
        <v>309465.97</v>
      </c>
      <c r="H27" s="7" t="n">
        <f aca="false">SUMIFS(ORIGINATIONS!$L:$L,ORIGINATIONS!$C:$C,"PTR-006",ORIGINATIONS!$U:$U,$B27)</f>
        <v>95199.8</v>
      </c>
      <c r="I27" s="8" t="n">
        <f aca="false">SUM(C27:H27)</f>
        <v>1067819.5</v>
      </c>
    </row>
    <row r="28" customFormat="false" ht="15" hidden="false" customHeight="true" outlineLevel="0" collapsed="false">
      <c r="B28" s="6" t="s">
        <v>31</v>
      </c>
      <c r="C28" s="7" t="n">
        <f aca="false">SUMIFS(ORIGINATIONS!$L:$L,ORIGINATIONS!$C:$C,"PTR-001",ORIGINATIONS!$U:$U,$B28)</f>
        <v>81785.24</v>
      </c>
      <c r="D28" s="7" t="n">
        <f aca="false">SUMIFS(ORIGINATIONS!$L:$L,ORIGINATIONS!$C:$C,"PTR-002",ORIGINATIONS!$U:$U,$B28)</f>
        <v>159331.78</v>
      </c>
      <c r="E28" s="7" t="n">
        <f aca="false">SUMIFS(ORIGINATIONS!$L:$L,ORIGINATIONS!$C:$C,"PTR-003",ORIGINATIONS!$U:$U,$B28)</f>
        <v>68241.26</v>
      </c>
      <c r="F28" s="7" t="n">
        <f aca="false">SUMIFS(ORIGINATIONS!$L:$L,ORIGINATIONS!$C:$C,"PTR-004",ORIGINATIONS!$U:$U,$B28)</f>
        <v>109259.8</v>
      </c>
      <c r="G28" s="7" t="n">
        <f aca="false">SUMIFS(ORIGINATIONS!$L:$L,ORIGINATIONS!$C:$C,"PTR-005",ORIGINATIONS!$U:$U,$B28)</f>
        <v>64689.52</v>
      </c>
      <c r="H28" s="7" t="n">
        <f aca="false">SUMIFS(ORIGINATIONS!$L:$L,ORIGINATIONS!$C:$C,"PTR-006",ORIGINATIONS!$U:$U,$B28)</f>
        <v>110394.54</v>
      </c>
      <c r="I28" s="8" t="n">
        <f aca="false">SUM(C28:H28)</f>
        <v>593702.14</v>
      </c>
    </row>
    <row r="29" customFormat="false" ht="15" hidden="false" customHeight="true" outlineLevel="0" collapsed="false">
      <c r="B29" s="6" t="s">
        <v>32</v>
      </c>
      <c r="C29" s="7" t="n">
        <f aca="false">SUMIFS(ORIGINATIONS!$L:$L,ORIGINATIONS!$C:$C,"PTR-001",ORIGINATIONS!$U:$U,$B29)</f>
        <v>208113.81</v>
      </c>
      <c r="D29" s="7" t="n">
        <f aca="false">SUMIFS(ORIGINATIONS!$L:$L,ORIGINATIONS!$C:$C,"PTR-002",ORIGINATIONS!$U:$U,$B29)</f>
        <v>17773.76</v>
      </c>
      <c r="E29" s="7" t="n">
        <f aca="false">SUMIFS(ORIGINATIONS!$L:$L,ORIGINATIONS!$C:$C,"PTR-003",ORIGINATIONS!$U:$U,$B29)</f>
        <v>55619.34</v>
      </c>
      <c r="F29" s="7" t="n">
        <f aca="false">SUMIFS(ORIGINATIONS!$L:$L,ORIGINATIONS!$C:$C,"PTR-004",ORIGINATIONS!$U:$U,$B29)</f>
        <v>222212.4</v>
      </c>
      <c r="G29" s="7" t="n">
        <f aca="false">SUMIFS(ORIGINATIONS!$L:$L,ORIGINATIONS!$C:$C,"PTR-005",ORIGINATIONS!$U:$U,$B29)</f>
        <v>118460.27</v>
      </c>
      <c r="H29" s="7" t="n">
        <f aca="false">SUMIFS(ORIGINATIONS!$L:$L,ORIGINATIONS!$C:$C,"PTR-006",ORIGINATIONS!$U:$U,$B29)</f>
        <v>84462.49</v>
      </c>
      <c r="I29" s="8" t="n">
        <f aca="false">SUM(C29:H29)</f>
        <v>706642.07</v>
      </c>
    </row>
    <row r="30" customFormat="false" ht="15" hidden="false" customHeight="true" outlineLevel="0" collapsed="false">
      <c r="B30" s="6" t="s">
        <v>33</v>
      </c>
      <c r="C30" s="7" t="n">
        <f aca="false">SUMIFS(ORIGINATIONS!$L:$L,ORIGINATIONS!$C:$C,"PTR-001",ORIGINATIONS!$U:$U,$B30)</f>
        <v>59500.37</v>
      </c>
      <c r="D30" s="7" t="n">
        <f aca="false">SUMIFS(ORIGINATIONS!$L:$L,ORIGINATIONS!$C:$C,"PTR-002",ORIGINATIONS!$U:$U,$B30)</f>
        <v>190013.54</v>
      </c>
      <c r="E30" s="7" t="n">
        <f aca="false">SUMIFS(ORIGINATIONS!$L:$L,ORIGINATIONS!$C:$C,"PTR-003",ORIGINATIONS!$U:$U,$B30)</f>
        <v>129862.4</v>
      </c>
      <c r="F30" s="7" t="n">
        <f aca="false">SUMIFS(ORIGINATIONS!$L:$L,ORIGINATIONS!$C:$C,"PTR-004",ORIGINATIONS!$U:$U,$B30)</f>
        <v>54344.29</v>
      </c>
      <c r="G30" s="7" t="n">
        <f aca="false">SUMIFS(ORIGINATIONS!$L:$L,ORIGINATIONS!$C:$C,"PTR-005",ORIGINATIONS!$U:$U,$B30)</f>
        <v>31145.44</v>
      </c>
      <c r="H30" s="7" t="n">
        <f aca="false">SUMIFS(ORIGINATIONS!$L:$L,ORIGINATIONS!$C:$C,"PTR-006",ORIGINATIONS!$U:$U,$B30)</f>
        <v>192138.76</v>
      </c>
      <c r="I30" s="8" t="n">
        <f aca="false">SUM(C30:H30)</f>
        <v>657004.8</v>
      </c>
    </row>
    <row r="31" customFormat="false" ht="15" hidden="false" customHeight="true" outlineLevel="0" collapsed="false">
      <c r="B31" s="6" t="s">
        <v>34</v>
      </c>
      <c r="C31" s="7" t="n">
        <f aca="false">SUMIFS(ORIGINATIONS!$L:$L,ORIGINATIONS!$C:$C,"PTR-001",ORIGINATIONS!$U:$U,$B31)</f>
        <v>16041.73</v>
      </c>
      <c r="D31" s="7" t="n">
        <f aca="false">SUMIFS(ORIGINATIONS!$L:$L,ORIGINATIONS!$C:$C,"PTR-002",ORIGINATIONS!$U:$U,$B31)</f>
        <v>63078.82</v>
      </c>
      <c r="E31" s="7" t="n">
        <f aca="false">SUMIFS(ORIGINATIONS!$L:$L,ORIGINATIONS!$C:$C,"PTR-003",ORIGINATIONS!$U:$U,$B31)</f>
        <v>126837.44</v>
      </c>
      <c r="F31" s="7" t="n">
        <f aca="false">SUMIFS(ORIGINATIONS!$L:$L,ORIGINATIONS!$C:$C,"PTR-004",ORIGINATIONS!$U:$U,$B31)</f>
        <v>150827.04</v>
      </c>
      <c r="G31" s="7" t="n">
        <f aca="false">SUMIFS(ORIGINATIONS!$L:$L,ORIGINATIONS!$C:$C,"PTR-005",ORIGINATIONS!$U:$U,$B31)</f>
        <v>170601.7</v>
      </c>
      <c r="H31" s="7" t="n">
        <f aca="false">SUMIFS(ORIGINATIONS!$L:$L,ORIGINATIONS!$C:$C,"PTR-006",ORIGINATIONS!$U:$U,$B31)</f>
        <v>158601.38</v>
      </c>
      <c r="I31" s="8" t="n">
        <f aca="false">SUM(C31:H31)</f>
        <v>685988.11</v>
      </c>
    </row>
    <row r="32" customFormat="false" ht="15" hidden="false" customHeight="true" outlineLevel="0" collapsed="false">
      <c r="B32" s="6" t="s">
        <v>35</v>
      </c>
      <c r="C32" s="7" t="n">
        <f aca="false">SUMIFS(ORIGINATIONS!$L:$L,ORIGINATIONS!$C:$C,"PTR-001",ORIGINATIONS!$U:$U,$B32)</f>
        <v>115033.06</v>
      </c>
      <c r="D32" s="7" t="n">
        <f aca="false">SUMIFS(ORIGINATIONS!$L:$L,ORIGINATIONS!$C:$C,"PTR-002",ORIGINATIONS!$U:$U,$B32)</f>
        <v>115897.17</v>
      </c>
      <c r="E32" s="7" t="n">
        <f aca="false">SUMIFS(ORIGINATIONS!$L:$L,ORIGINATIONS!$C:$C,"PTR-003",ORIGINATIONS!$U:$U,$B32)</f>
        <v>11576.02</v>
      </c>
      <c r="F32" s="7" t="n">
        <f aca="false">SUMIFS(ORIGINATIONS!$L:$L,ORIGINATIONS!$C:$C,"PTR-004",ORIGINATIONS!$U:$U,$B32)</f>
        <v>107330.57</v>
      </c>
      <c r="G32" s="7" t="n">
        <f aca="false">SUMIFS(ORIGINATIONS!$L:$L,ORIGINATIONS!$C:$C,"PTR-005",ORIGINATIONS!$U:$U,$B32)</f>
        <v>9888.35</v>
      </c>
      <c r="H32" s="7" t="n">
        <f aca="false">SUMIFS(ORIGINATIONS!$L:$L,ORIGINATIONS!$C:$C,"PTR-006",ORIGINATIONS!$U:$U,$B32)</f>
        <v>10372.34</v>
      </c>
      <c r="I32" s="8" t="n">
        <f aca="false">SUM(C32:H32)</f>
        <v>370097.51</v>
      </c>
    </row>
    <row r="33" customFormat="false" ht="15" hidden="false" customHeight="true" outlineLevel="0" collapsed="false">
      <c r="B33" s="6" t="s">
        <v>36</v>
      </c>
      <c r="C33" s="7" t="n">
        <f aca="false">SUMIFS(ORIGINATIONS!$L:$L,ORIGINATIONS!$C:$C,"PTR-001",ORIGINATIONS!$U:$U,$B33)</f>
        <v>38411.23</v>
      </c>
      <c r="D33" s="7" t="n">
        <f aca="false">SUMIFS(ORIGINATIONS!$L:$L,ORIGINATIONS!$C:$C,"PTR-002",ORIGINATIONS!$U:$U,$B33)</f>
        <v>153363.39</v>
      </c>
      <c r="E33" s="7" t="n">
        <f aca="false">SUMIFS(ORIGINATIONS!$L:$L,ORIGINATIONS!$C:$C,"PTR-003",ORIGINATIONS!$U:$U,$B33)</f>
        <v>185240.29</v>
      </c>
      <c r="F33" s="7" t="n">
        <f aca="false">SUMIFS(ORIGINATIONS!$L:$L,ORIGINATIONS!$C:$C,"PTR-004",ORIGINATIONS!$U:$U,$B33)</f>
        <v>135092.16</v>
      </c>
      <c r="G33" s="7" t="n">
        <f aca="false">SUMIFS(ORIGINATIONS!$L:$L,ORIGINATIONS!$C:$C,"PTR-005",ORIGINATIONS!$U:$U,$B33)</f>
        <v>2479.26</v>
      </c>
      <c r="H33" s="7" t="n">
        <f aca="false">SUMIFS(ORIGINATIONS!$L:$L,ORIGINATIONS!$C:$C,"PTR-006",ORIGINATIONS!$U:$U,$B33)</f>
        <v>104207.13</v>
      </c>
      <c r="I33" s="8" t="n">
        <f aca="false">SUM(C33:H33)</f>
        <v>618793.46</v>
      </c>
    </row>
    <row r="34" customFormat="false" ht="15" hidden="false" customHeight="true" outlineLevel="0" collapsed="false">
      <c r="B34" s="6" t="s">
        <v>37</v>
      </c>
      <c r="C34" s="7" t="n">
        <f aca="false">SUMIFS(ORIGINATIONS!$L:$L,ORIGINATIONS!$C:$C,"PTR-001",ORIGINATIONS!$U:$U,$B34)</f>
        <v>31551.48</v>
      </c>
      <c r="D34" s="7" t="n">
        <f aca="false">SUMIFS(ORIGINATIONS!$L:$L,ORIGINATIONS!$C:$C,"PTR-002",ORIGINATIONS!$U:$U,$B34)</f>
        <v>145317.63</v>
      </c>
      <c r="E34" s="7" t="n">
        <f aca="false">SUMIFS(ORIGINATIONS!$L:$L,ORIGINATIONS!$C:$C,"PTR-003",ORIGINATIONS!$U:$U,$B34)</f>
        <v>178634.39</v>
      </c>
      <c r="F34" s="7" t="n">
        <f aca="false">SUMIFS(ORIGINATIONS!$L:$L,ORIGINATIONS!$C:$C,"PTR-004",ORIGINATIONS!$U:$U,$B34)</f>
        <v>273710.52</v>
      </c>
      <c r="G34" s="7" t="n">
        <f aca="false">SUMIFS(ORIGINATIONS!$L:$L,ORIGINATIONS!$C:$C,"PTR-005",ORIGINATIONS!$U:$U,$B34)</f>
        <v>155193.74</v>
      </c>
      <c r="H34" s="7" t="n">
        <f aca="false">SUMIFS(ORIGINATIONS!$L:$L,ORIGINATIONS!$C:$C,"PTR-006",ORIGINATIONS!$U:$U,$B34)</f>
        <v>123810.66</v>
      </c>
      <c r="I34" s="8" t="n">
        <f aca="false">SUM(C34:H34)</f>
        <v>908218.42</v>
      </c>
    </row>
    <row r="35" customFormat="false" ht="15" hidden="false" customHeight="true" outlineLevel="0" collapsed="false">
      <c r="B35" s="6" t="s">
        <v>38</v>
      </c>
      <c r="C35" s="7" t="n">
        <f aca="false">SUMIFS(ORIGINATIONS!$L:$L,ORIGINATIONS!$C:$C,"PTR-001",ORIGINATIONS!$U:$U,$B35)</f>
        <v>3551.62</v>
      </c>
      <c r="D35" s="7" t="n">
        <f aca="false">SUMIFS(ORIGINATIONS!$L:$L,ORIGINATIONS!$C:$C,"PTR-002",ORIGINATIONS!$U:$U,$B35)</f>
        <v>12092.51</v>
      </c>
      <c r="E35" s="7" t="n">
        <f aca="false">SUMIFS(ORIGINATIONS!$L:$L,ORIGINATIONS!$C:$C,"PTR-003",ORIGINATIONS!$U:$U,$B35)</f>
        <v>186576.47</v>
      </c>
      <c r="F35" s="7" t="n">
        <f aca="false">SUMIFS(ORIGINATIONS!$L:$L,ORIGINATIONS!$C:$C,"PTR-004",ORIGINATIONS!$U:$U,$B35)</f>
        <v>204558.78</v>
      </c>
      <c r="G35" s="7" t="n">
        <f aca="false">SUMIFS(ORIGINATIONS!$L:$L,ORIGINATIONS!$C:$C,"PTR-005",ORIGINATIONS!$U:$U,$B35)</f>
        <v>115440.05</v>
      </c>
      <c r="H35" s="7" t="n">
        <f aca="false">SUMIFS(ORIGINATIONS!$L:$L,ORIGINATIONS!$C:$C,"PTR-006",ORIGINATIONS!$U:$U,$B35)</f>
        <v>272937.14</v>
      </c>
      <c r="I35" s="8" t="n">
        <f aca="false">SUM(C35:H35)</f>
        <v>795156.57</v>
      </c>
    </row>
    <row r="36" customFormat="false" ht="15" hidden="false" customHeight="true" outlineLevel="0" collapsed="false">
      <c r="B36" s="6" t="s">
        <v>39</v>
      </c>
      <c r="C36" s="7" t="n">
        <f aca="false">SUMIFS(ORIGINATIONS!$L:$L,ORIGINATIONS!$C:$C,"PTR-001",ORIGINATIONS!$U:$U,$B36)</f>
        <v>178854.51</v>
      </c>
      <c r="D36" s="7" t="n">
        <f aca="false">SUMIFS(ORIGINATIONS!$L:$L,ORIGINATIONS!$C:$C,"PTR-002",ORIGINATIONS!$U:$U,$B36)</f>
        <v>324936.72</v>
      </c>
      <c r="E36" s="7" t="n">
        <f aca="false">SUMIFS(ORIGINATIONS!$L:$L,ORIGINATIONS!$C:$C,"PTR-003",ORIGINATIONS!$U:$U,$B36)</f>
        <v>197623.2</v>
      </c>
      <c r="F36" s="7" t="n">
        <f aca="false">SUMIFS(ORIGINATIONS!$L:$L,ORIGINATIONS!$C:$C,"PTR-004",ORIGINATIONS!$U:$U,$B36)</f>
        <v>253992.25</v>
      </c>
      <c r="G36" s="7" t="n">
        <f aca="false">SUMIFS(ORIGINATIONS!$L:$L,ORIGINATIONS!$C:$C,"PTR-005",ORIGINATIONS!$U:$U,$B36)</f>
        <v>309201.49</v>
      </c>
      <c r="H36" s="7" t="n">
        <f aca="false">SUMIFS(ORIGINATIONS!$L:$L,ORIGINATIONS!$C:$C,"PTR-006",ORIGINATIONS!$U:$U,$B36)</f>
        <v>109427.56</v>
      </c>
      <c r="I36" s="8" t="n">
        <f aca="false">SUM(C36:H36)</f>
        <v>1374035.73</v>
      </c>
    </row>
    <row r="37" customFormat="false" ht="15" hidden="false" customHeight="true" outlineLevel="0" collapsed="false">
      <c r="B37" s="6" t="s">
        <v>40</v>
      </c>
      <c r="C37" s="7" t="n">
        <f aca="false">SUMIFS(ORIGINATIONS!$L:$L,ORIGINATIONS!$C:$C,"PTR-001",ORIGINATIONS!$U:$U,$B37)</f>
        <v>54870.29</v>
      </c>
      <c r="D37" s="7" t="n">
        <f aca="false">SUMIFS(ORIGINATIONS!$L:$L,ORIGINATIONS!$C:$C,"PTR-002",ORIGINATIONS!$U:$U,$B37)</f>
        <v>197444.77</v>
      </c>
      <c r="E37" s="7" t="n">
        <f aca="false">SUMIFS(ORIGINATIONS!$L:$L,ORIGINATIONS!$C:$C,"PTR-003",ORIGINATIONS!$U:$U,$B37)</f>
        <v>142114.12</v>
      </c>
      <c r="F37" s="7" t="n">
        <f aca="false">SUMIFS(ORIGINATIONS!$L:$L,ORIGINATIONS!$C:$C,"PTR-004",ORIGINATIONS!$U:$U,$B37)</f>
        <v>159633.01</v>
      </c>
      <c r="G37" s="7" t="n">
        <f aca="false">SUMIFS(ORIGINATIONS!$L:$L,ORIGINATIONS!$C:$C,"PTR-005",ORIGINATIONS!$U:$U,$B37)</f>
        <v>41004.41</v>
      </c>
      <c r="H37" s="7" t="n">
        <f aca="false">SUMIFS(ORIGINATIONS!$L:$L,ORIGINATIONS!$C:$C,"PTR-006",ORIGINATIONS!$U:$U,$B37)</f>
        <v>97034.48</v>
      </c>
      <c r="I37" s="8" t="n">
        <f aca="false">SUM(C37:H37)</f>
        <v>692101.08</v>
      </c>
    </row>
    <row r="38" customFormat="false" ht="15" hidden="false" customHeight="true" outlineLevel="0" collapsed="false">
      <c r="B38" s="6" t="s">
        <v>41</v>
      </c>
      <c r="C38" s="7" t="n">
        <f aca="false">SUMIFS(ORIGINATIONS!$L:$L,ORIGINATIONS!$C:$C,"PTR-001",ORIGINATIONS!$U:$U,$B38)</f>
        <v>73352.4</v>
      </c>
      <c r="D38" s="7" t="n">
        <f aca="false">SUMIFS(ORIGINATIONS!$L:$L,ORIGINATIONS!$C:$C,"PTR-002",ORIGINATIONS!$U:$U,$B38)</f>
        <v>198910.21</v>
      </c>
      <c r="E38" s="7" t="n">
        <f aca="false">SUMIFS(ORIGINATIONS!$L:$L,ORIGINATIONS!$C:$C,"PTR-003",ORIGINATIONS!$U:$U,$B38)</f>
        <v>41142.96</v>
      </c>
      <c r="F38" s="7" t="n">
        <f aca="false">SUMIFS(ORIGINATIONS!$L:$L,ORIGINATIONS!$C:$C,"PTR-004",ORIGINATIONS!$U:$U,$B38)</f>
        <v>179781.18</v>
      </c>
      <c r="G38" s="7" t="n">
        <f aca="false">SUMIFS(ORIGINATIONS!$L:$L,ORIGINATIONS!$C:$C,"PTR-005",ORIGINATIONS!$U:$U,$B38)</f>
        <v>233769.82</v>
      </c>
      <c r="H38" s="7" t="n">
        <f aca="false">SUMIFS(ORIGINATIONS!$L:$L,ORIGINATIONS!$C:$C,"PTR-006",ORIGINATIONS!$U:$U,$B38)</f>
        <v>87912.11</v>
      </c>
      <c r="I38" s="8" t="n">
        <f aca="false">SUM(C38:H38)</f>
        <v>814868.68</v>
      </c>
    </row>
    <row r="39" customFormat="false" ht="15" hidden="false" customHeight="true" outlineLevel="0" collapsed="false">
      <c r="B39" s="6" t="s">
        <v>42</v>
      </c>
      <c r="C39" s="7" t="n">
        <f aca="false">SUMIFS(ORIGINATIONS!$L:$L,ORIGINATIONS!$C:$C,"PTR-001",ORIGINATIONS!$U:$U,$B39)</f>
        <v>131841.45</v>
      </c>
      <c r="D39" s="7" t="n">
        <f aca="false">SUMIFS(ORIGINATIONS!$L:$L,ORIGINATIONS!$C:$C,"PTR-002",ORIGINATIONS!$U:$U,$B39)</f>
        <v>158810.74</v>
      </c>
      <c r="E39" s="7" t="n">
        <f aca="false">SUMIFS(ORIGINATIONS!$L:$L,ORIGINATIONS!$C:$C,"PTR-003",ORIGINATIONS!$U:$U,$B39)</f>
        <v>247011.34</v>
      </c>
      <c r="F39" s="7" t="n">
        <f aca="false">SUMIFS(ORIGINATIONS!$L:$L,ORIGINATIONS!$C:$C,"PTR-004",ORIGINATIONS!$U:$U,$B39)</f>
        <v>48166.32</v>
      </c>
      <c r="G39" s="7" t="n">
        <f aca="false">SUMIFS(ORIGINATIONS!$L:$L,ORIGINATIONS!$C:$C,"PTR-005",ORIGINATIONS!$U:$U,$B39)</f>
        <v>156310.39</v>
      </c>
      <c r="H39" s="7" t="n">
        <f aca="false">SUMIFS(ORIGINATIONS!$L:$L,ORIGINATIONS!$C:$C,"PTR-006",ORIGINATIONS!$U:$U,$B39)</f>
        <v>64744.02</v>
      </c>
      <c r="I39" s="8" t="n">
        <f aca="false">SUM(C39:H39)</f>
        <v>806884.26</v>
      </c>
    </row>
    <row r="40" customFormat="false" ht="15" hidden="false" customHeight="true" outlineLevel="0" collapsed="false">
      <c r="B40" s="6" t="s">
        <v>43</v>
      </c>
      <c r="C40" s="7" t="n">
        <f aca="false">SUMIFS(ORIGINATIONS!$L:$L,ORIGINATIONS!$C:$C,"PTR-001",ORIGINATIONS!$U:$U,$B40)</f>
        <v>136668.64</v>
      </c>
      <c r="D40" s="7" t="n">
        <f aca="false">SUMIFS(ORIGINATIONS!$L:$L,ORIGINATIONS!$C:$C,"PTR-002",ORIGINATIONS!$U:$U,$B40)</f>
        <v>57399.41</v>
      </c>
      <c r="E40" s="7" t="n">
        <f aca="false">SUMIFS(ORIGINATIONS!$L:$L,ORIGINATIONS!$C:$C,"PTR-003",ORIGINATIONS!$U:$U,$B40)</f>
        <v>47323.64</v>
      </c>
      <c r="F40" s="7" t="n">
        <f aca="false">SUMIFS(ORIGINATIONS!$L:$L,ORIGINATIONS!$C:$C,"PTR-004",ORIGINATIONS!$U:$U,$B40)</f>
        <v>63804.02</v>
      </c>
      <c r="G40" s="7" t="n">
        <f aca="false">SUMIFS(ORIGINATIONS!$L:$L,ORIGINATIONS!$C:$C,"PTR-005",ORIGINATIONS!$U:$U,$B40)</f>
        <v>84035.03</v>
      </c>
      <c r="H40" s="7" t="n">
        <f aca="false">SUMIFS(ORIGINATIONS!$L:$L,ORIGINATIONS!$C:$C,"PTR-006",ORIGINATIONS!$U:$U,$B40)</f>
        <v>205143.15</v>
      </c>
      <c r="I40" s="8" t="n">
        <f aca="false">SUM(C40:H40)</f>
        <v>594373.89</v>
      </c>
    </row>
    <row r="41" customFormat="false" ht="15" hidden="false" customHeight="true" outlineLevel="0" collapsed="false">
      <c r="B41" s="6" t="s">
        <v>44</v>
      </c>
      <c r="C41" s="7" t="n">
        <f aca="false">SUMIFS(ORIGINATIONS!$L:$L,ORIGINATIONS!$C:$C,"PTR-001",ORIGINATIONS!$U:$U,$B41)</f>
        <v>93102.8</v>
      </c>
      <c r="D41" s="7" t="n">
        <f aca="false">SUMIFS(ORIGINATIONS!$L:$L,ORIGINATIONS!$C:$C,"PTR-002",ORIGINATIONS!$U:$U,$B41)</f>
        <v>37959.55</v>
      </c>
      <c r="E41" s="7" t="n">
        <f aca="false">SUMIFS(ORIGINATIONS!$L:$L,ORIGINATIONS!$C:$C,"PTR-003",ORIGINATIONS!$U:$U,$B41)</f>
        <v>58486.47</v>
      </c>
      <c r="F41" s="7" t="n">
        <f aca="false">SUMIFS(ORIGINATIONS!$L:$L,ORIGINATIONS!$C:$C,"PTR-004",ORIGINATIONS!$U:$U,$B41)</f>
        <v>241455.05</v>
      </c>
      <c r="G41" s="7" t="n">
        <f aca="false">SUMIFS(ORIGINATIONS!$L:$L,ORIGINATIONS!$C:$C,"PTR-005",ORIGINATIONS!$U:$U,$B41)</f>
        <v>195187.41</v>
      </c>
      <c r="H41" s="7" t="n">
        <f aca="false">SUMIFS(ORIGINATIONS!$L:$L,ORIGINATIONS!$C:$C,"PTR-006",ORIGINATIONS!$U:$U,$B41)</f>
        <v>77507.69</v>
      </c>
      <c r="I41" s="8" t="n">
        <f aca="false">SUM(C41:H41)</f>
        <v>703698.97</v>
      </c>
    </row>
    <row r="42" customFormat="false" ht="15" hidden="false" customHeight="true" outlineLevel="0" collapsed="false">
      <c r="B42" s="6" t="s">
        <v>45</v>
      </c>
      <c r="C42" s="7" t="n">
        <f aca="false">SUMIFS(ORIGINATIONS!$L:$L,ORIGINATIONS!$C:$C,"PTR-001",ORIGINATIONS!$U:$U,$B42)</f>
        <v>25735.88</v>
      </c>
      <c r="D42" s="7" t="n">
        <f aca="false">SUMIFS(ORIGINATIONS!$L:$L,ORIGINATIONS!$C:$C,"PTR-002",ORIGINATIONS!$U:$U,$B42)</f>
        <v>136814.12</v>
      </c>
      <c r="E42" s="7" t="n">
        <f aca="false">SUMIFS(ORIGINATIONS!$L:$L,ORIGINATIONS!$C:$C,"PTR-003",ORIGINATIONS!$U:$U,$B42)</f>
        <v>159873.27</v>
      </c>
      <c r="F42" s="7" t="n">
        <f aca="false">SUMIFS(ORIGINATIONS!$L:$L,ORIGINATIONS!$C:$C,"PTR-004",ORIGINATIONS!$U:$U,$B42)</f>
        <v>85589.44</v>
      </c>
      <c r="G42" s="7" t="n">
        <f aca="false">SUMIFS(ORIGINATIONS!$L:$L,ORIGINATIONS!$C:$C,"PTR-005",ORIGINATIONS!$U:$U,$B42)</f>
        <v>131615.31</v>
      </c>
      <c r="H42" s="7" t="n">
        <f aca="false">SUMIFS(ORIGINATIONS!$L:$L,ORIGINATIONS!$C:$C,"PTR-006",ORIGINATIONS!$U:$U,$B42)</f>
        <v>113563.78</v>
      </c>
      <c r="I42" s="8" t="n">
        <f aca="false">SUM(C42:H42)</f>
        <v>653191.8</v>
      </c>
    </row>
    <row r="43" customFormat="false" ht="15" hidden="false" customHeight="true" outlineLevel="0" collapsed="false">
      <c r="B43" s="6" t="s">
        <v>46</v>
      </c>
      <c r="C43" s="7" t="n">
        <f aca="false">SUMIFS(ORIGINATIONS!$L:$L,ORIGINATIONS!$C:$C,"PTR-001",ORIGINATIONS!$U:$U,$B43)</f>
        <v>195292.28</v>
      </c>
      <c r="D43" s="7" t="n">
        <f aca="false">SUMIFS(ORIGINATIONS!$L:$L,ORIGINATIONS!$C:$C,"PTR-002",ORIGINATIONS!$U:$U,$B43)</f>
        <v>126351.29</v>
      </c>
      <c r="E43" s="7" t="n">
        <f aca="false">SUMIFS(ORIGINATIONS!$L:$L,ORIGINATIONS!$C:$C,"PTR-003",ORIGINATIONS!$U:$U,$B43)</f>
        <v>50610.13</v>
      </c>
      <c r="F43" s="7" t="n">
        <f aca="false">SUMIFS(ORIGINATIONS!$L:$L,ORIGINATIONS!$C:$C,"PTR-004",ORIGINATIONS!$U:$U,$B43)</f>
        <v>151789.97</v>
      </c>
      <c r="G43" s="7" t="n">
        <f aca="false">SUMIFS(ORIGINATIONS!$L:$L,ORIGINATIONS!$C:$C,"PTR-005",ORIGINATIONS!$U:$U,$B43)</f>
        <v>110827.33</v>
      </c>
      <c r="H43" s="7" t="n">
        <f aca="false">SUMIFS(ORIGINATIONS!$L:$L,ORIGINATIONS!$C:$C,"PTR-006",ORIGINATIONS!$U:$U,$B43)</f>
        <v>104738.47</v>
      </c>
      <c r="I43" s="8" t="n">
        <f aca="false">SUM(C43:H43)</f>
        <v>739609.47</v>
      </c>
    </row>
    <row r="44" customFormat="false" ht="15" hidden="false" customHeight="true" outlineLevel="0" collapsed="false">
      <c r="B44" s="6" t="s">
        <v>47</v>
      </c>
      <c r="C44" s="7" t="n">
        <f aca="false">SUMIFS(ORIGINATIONS!$L:$L,ORIGINATIONS!$C:$C,"PTR-001",ORIGINATIONS!$U:$U,$B44)</f>
        <v>117125.79</v>
      </c>
      <c r="D44" s="7" t="n">
        <f aca="false">SUMIFS(ORIGINATIONS!$L:$L,ORIGINATIONS!$C:$C,"PTR-002",ORIGINATIONS!$U:$U,$B44)</f>
        <v>212266.48</v>
      </c>
      <c r="E44" s="7" t="n">
        <f aca="false">SUMIFS(ORIGINATIONS!$L:$L,ORIGINATIONS!$C:$C,"PTR-003",ORIGINATIONS!$U:$U,$B44)</f>
        <v>43693.37</v>
      </c>
      <c r="F44" s="7" t="n">
        <f aca="false">SUMIFS(ORIGINATIONS!$L:$L,ORIGINATIONS!$C:$C,"PTR-004",ORIGINATIONS!$U:$U,$B44)</f>
        <v>98738.31</v>
      </c>
      <c r="G44" s="7" t="n">
        <f aca="false">SUMIFS(ORIGINATIONS!$L:$L,ORIGINATIONS!$C:$C,"PTR-005",ORIGINATIONS!$U:$U,$B44)</f>
        <v>142500.66</v>
      </c>
      <c r="H44" s="7" t="n">
        <f aca="false">SUMIFS(ORIGINATIONS!$L:$L,ORIGINATIONS!$C:$C,"PTR-006",ORIGINATIONS!$U:$U,$B44)</f>
        <v>208144.15</v>
      </c>
      <c r="I44" s="8" t="n">
        <f aca="false">SUM(C44:H44)</f>
        <v>822468.76</v>
      </c>
    </row>
    <row r="45" customFormat="false" ht="15" hidden="false" customHeight="true" outlineLevel="0" collapsed="false">
      <c r="B45" s="6" t="s">
        <v>48</v>
      </c>
      <c r="C45" s="7" t="n">
        <f aca="false">SUMIFS(ORIGINATIONS!$L:$L,ORIGINATIONS!$C:$C,"PTR-001",ORIGINATIONS!$U:$U,$B45)</f>
        <v>70730.37</v>
      </c>
      <c r="D45" s="7" t="n">
        <f aca="false">SUMIFS(ORIGINATIONS!$L:$L,ORIGINATIONS!$C:$C,"PTR-002",ORIGINATIONS!$U:$U,$B45)</f>
        <v>186800.99</v>
      </c>
      <c r="E45" s="7" t="n">
        <f aca="false">SUMIFS(ORIGINATIONS!$L:$L,ORIGINATIONS!$C:$C,"PTR-003",ORIGINATIONS!$U:$U,$B45)</f>
        <v>148685.53</v>
      </c>
      <c r="F45" s="7" t="n">
        <f aca="false">SUMIFS(ORIGINATIONS!$L:$L,ORIGINATIONS!$C:$C,"PTR-004",ORIGINATIONS!$U:$U,$B45)</f>
        <v>161487.6</v>
      </c>
      <c r="G45" s="7" t="n">
        <f aca="false">SUMIFS(ORIGINATIONS!$L:$L,ORIGINATIONS!$C:$C,"PTR-005",ORIGINATIONS!$U:$U,$B45)</f>
        <v>58660.12</v>
      </c>
      <c r="H45" s="7" t="n">
        <f aca="false">SUMIFS(ORIGINATIONS!$L:$L,ORIGINATIONS!$C:$C,"PTR-006",ORIGINATIONS!$U:$U,$B45)</f>
        <v>74217.5</v>
      </c>
      <c r="I45" s="8" t="n">
        <f aca="false">SUM(C45:H45)</f>
        <v>700582.11</v>
      </c>
    </row>
    <row r="46" customFormat="false" ht="15" hidden="false" customHeight="true" outlineLevel="0" collapsed="false">
      <c r="B46" s="6" t="s">
        <v>49</v>
      </c>
      <c r="C46" s="7" t="n">
        <f aca="false">SUMIFS(ORIGINATIONS!$L:$L,ORIGINATIONS!$C:$C,"PTR-001",ORIGINATIONS!$U:$U,$B46)</f>
        <v>126409.32</v>
      </c>
      <c r="D46" s="7" t="n">
        <f aca="false">SUMIFS(ORIGINATIONS!$L:$L,ORIGINATIONS!$C:$C,"PTR-002",ORIGINATIONS!$U:$U,$B46)</f>
        <v>321023.12</v>
      </c>
      <c r="E46" s="7" t="n">
        <f aca="false">SUMIFS(ORIGINATIONS!$L:$L,ORIGINATIONS!$C:$C,"PTR-003",ORIGINATIONS!$U:$U,$B46)</f>
        <v>145041.96</v>
      </c>
      <c r="F46" s="7" t="n">
        <f aca="false">SUMIFS(ORIGINATIONS!$L:$L,ORIGINATIONS!$C:$C,"PTR-004",ORIGINATIONS!$U:$U,$B46)</f>
        <v>119907.86</v>
      </c>
      <c r="G46" s="7" t="n">
        <f aca="false">SUMIFS(ORIGINATIONS!$L:$L,ORIGINATIONS!$C:$C,"PTR-005",ORIGINATIONS!$U:$U,$B46)</f>
        <v>242767.41</v>
      </c>
      <c r="H46" s="7" t="n">
        <f aca="false">SUMIFS(ORIGINATIONS!$L:$L,ORIGINATIONS!$C:$C,"PTR-006",ORIGINATIONS!$U:$U,$B46)</f>
        <v>240207.89</v>
      </c>
      <c r="I46" s="8" t="n">
        <f aca="false">SUM(C46:H46)</f>
        <v>1195357.56</v>
      </c>
    </row>
    <row r="47" customFormat="false" ht="15" hidden="false" customHeight="true" outlineLevel="0" collapsed="false">
      <c r="B47" s="6" t="s">
        <v>50</v>
      </c>
      <c r="C47" s="7" t="n">
        <f aca="false">SUMIFS(ORIGINATIONS!$L:$L,ORIGINATIONS!$C:$C,"PTR-001",ORIGINATIONS!$U:$U,$B47)</f>
        <v>218871.79</v>
      </c>
      <c r="D47" s="7" t="n">
        <f aca="false">SUMIFS(ORIGINATIONS!$L:$L,ORIGINATIONS!$C:$C,"PTR-002",ORIGINATIONS!$U:$U,$B47)</f>
        <v>93427.85</v>
      </c>
      <c r="E47" s="7" t="n">
        <f aca="false">SUMIFS(ORIGINATIONS!$L:$L,ORIGINATIONS!$C:$C,"PTR-003",ORIGINATIONS!$U:$U,$B47)</f>
        <v>144178.38</v>
      </c>
      <c r="F47" s="7" t="n">
        <f aca="false">SUMIFS(ORIGINATIONS!$L:$L,ORIGINATIONS!$C:$C,"PTR-004",ORIGINATIONS!$U:$U,$B47)</f>
        <v>70094.64</v>
      </c>
      <c r="G47" s="7" t="n">
        <f aca="false">SUMIFS(ORIGINATIONS!$L:$L,ORIGINATIONS!$C:$C,"PTR-005",ORIGINATIONS!$U:$U,$B47)</f>
        <v>51218.52</v>
      </c>
      <c r="H47" s="7" t="n">
        <f aca="false">SUMIFS(ORIGINATIONS!$L:$L,ORIGINATIONS!$C:$C,"PTR-006",ORIGINATIONS!$U:$U,$B47)</f>
        <v>0</v>
      </c>
      <c r="I47" s="8" t="n">
        <f aca="false">SUM(C47:H47)</f>
        <v>577791.18</v>
      </c>
    </row>
    <row r="48" customFormat="false" ht="15" hidden="false" customHeight="true" outlineLevel="0" collapsed="false">
      <c r="B48" s="6" t="s">
        <v>51</v>
      </c>
      <c r="C48" s="7" t="n">
        <f aca="false">SUMIFS(ORIGINATIONS!$L:$L,ORIGINATIONS!$C:$C,"PTR-001",ORIGINATIONS!$U:$U,$B48)</f>
        <v>51808.19</v>
      </c>
      <c r="D48" s="7" t="n">
        <f aca="false">SUMIFS(ORIGINATIONS!$L:$L,ORIGINATIONS!$C:$C,"PTR-002",ORIGINATIONS!$U:$U,$B48)</f>
        <v>154176.2</v>
      </c>
      <c r="E48" s="7" t="n">
        <f aca="false">SUMIFS(ORIGINATIONS!$L:$L,ORIGINATIONS!$C:$C,"PTR-003",ORIGINATIONS!$U:$U,$B48)</f>
        <v>122722.28</v>
      </c>
      <c r="F48" s="7" t="n">
        <f aca="false">SUMIFS(ORIGINATIONS!$L:$L,ORIGINATIONS!$C:$C,"PTR-004",ORIGINATIONS!$U:$U,$B48)</f>
        <v>59022.78</v>
      </c>
      <c r="G48" s="7" t="n">
        <f aca="false">SUMIFS(ORIGINATIONS!$L:$L,ORIGINATIONS!$C:$C,"PTR-005",ORIGINATIONS!$U:$U,$B48)</f>
        <v>307404.84</v>
      </c>
      <c r="H48" s="7" t="n">
        <f aca="false">SUMIFS(ORIGINATIONS!$L:$L,ORIGINATIONS!$C:$C,"PTR-006",ORIGINATIONS!$U:$U,$B48)</f>
        <v>38441.7</v>
      </c>
      <c r="I48" s="8" t="n">
        <f aca="false">SUM(C48:H48)</f>
        <v>733575.99</v>
      </c>
    </row>
    <row r="49" customFormat="false" ht="15" hidden="false" customHeight="true" outlineLevel="0" collapsed="false">
      <c r="B49" s="6" t="s">
        <v>52</v>
      </c>
      <c r="C49" s="7" t="n">
        <f aca="false">SUMIFS(ORIGINATIONS!$L:$L,ORIGINATIONS!$C:$C,"PTR-001",ORIGINATIONS!$U:$U,$B49)</f>
        <v>18489.96</v>
      </c>
      <c r="D49" s="7" t="n">
        <f aca="false">SUMIFS(ORIGINATIONS!$L:$L,ORIGINATIONS!$C:$C,"PTR-002",ORIGINATIONS!$U:$U,$B49)</f>
        <v>28962.31</v>
      </c>
      <c r="E49" s="7" t="n">
        <f aca="false">SUMIFS(ORIGINATIONS!$L:$L,ORIGINATIONS!$C:$C,"PTR-003",ORIGINATIONS!$U:$U,$B49)</f>
        <v>60233.62</v>
      </c>
      <c r="F49" s="7" t="n">
        <f aca="false">SUMIFS(ORIGINATIONS!$L:$L,ORIGINATIONS!$C:$C,"PTR-004",ORIGINATIONS!$U:$U,$B49)</f>
        <v>172394.03</v>
      </c>
      <c r="G49" s="7" t="n">
        <f aca="false">SUMIFS(ORIGINATIONS!$L:$L,ORIGINATIONS!$C:$C,"PTR-005",ORIGINATIONS!$U:$U,$B49)</f>
        <v>201227.07</v>
      </c>
      <c r="H49" s="7" t="n">
        <f aca="false">SUMIFS(ORIGINATIONS!$L:$L,ORIGINATIONS!$C:$C,"PTR-006",ORIGINATIONS!$U:$U,$B49)</f>
        <v>86368.75</v>
      </c>
      <c r="I49" s="8" t="n">
        <f aca="false">SUM(C49:H49)</f>
        <v>567675.74</v>
      </c>
    </row>
    <row r="50" customFormat="false" ht="15" hidden="false" customHeight="true" outlineLevel="0" collapsed="false">
      <c r="B50" s="6" t="s">
        <v>53</v>
      </c>
      <c r="C50" s="7" t="n">
        <f aca="false">SUMIFS(ORIGINATIONS!$L:$L,ORIGINATIONS!$C:$C,"PTR-001",ORIGINATIONS!$U:$U,$B50)</f>
        <v>19623.44</v>
      </c>
      <c r="D50" s="7" t="n">
        <f aca="false">SUMIFS(ORIGINATIONS!$L:$L,ORIGINATIONS!$C:$C,"PTR-002",ORIGINATIONS!$U:$U,$B50)</f>
        <v>115750.85</v>
      </c>
      <c r="E50" s="7" t="n">
        <f aca="false">SUMIFS(ORIGINATIONS!$L:$L,ORIGINATIONS!$C:$C,"PTR-003",ORIGINATIONS!$U:$U,$B50)</f>
        <v>14261.99</v>
      </c>
      <c r="F50" s="7" t="n">
        <f aca="false">SUMIFS(ORIGINATIONS!$L:$L,ORIGINATIONS!$C:$C,"PTR-004",ORIGINATIONS!$U:$U,$B50)</f>
        <v>98676.62</v>
      </c>
      <c r="G50" s="7" t="n">
        <f aca="false">SUMIFS(ORIGINATIONS!$L:$L,ORIGINATIONS!$C:$C,"PTR-005",ORIGINATIONS!$U:$U,$B50)</f>
        <v>182289.42</v>
      </c>
      <c r="H50" s="7" t="n">
        <f aca="false">SUMIFS(ORIGINATIONS!$L:$L,ORIGINATIONS!$C:$C,"PTR-006",ORIGINATIONS!$U:$U,$B50)</f>
        <v>294555.02</v>
      </c>
      <c r="I50" s="8" t="n">
        <f aca="false">SUM(C50:H50)</f>
        <v>725157.34</v>
      </c>
    </row>
    <row r="51" customFormat="false" ht="15" hidden="false" customHeight="true" outlineLevel="0" collapsed="false">
      <c r="B51" s="6" t="s">
        <v>54</v>
      </c>
      <c r="C51" s="7" t="n">
        <f aca="false">SUMIFS(ORIGINATIONS!$L:$L,ORIGINATIONS!$C:$C,"PTR-001",ORIGINATIONS!$U:$U,$B51)</f>
        <v>195252.32</v>
      </c>
      <c r="D51" s="7" t="n">
        <f aca="false">SUMIFS(ORIGINATIONS!$L:$L,ORIGINATIONS!$C:$C,"PTR-002",ORIGINATIONS!$U:$U,$B51)</f>
        <v>140073.65</v>
      </c>
      <c r="E51" s="7" t="n">
        <f aca="false">SUMIFS(ORIGINATIONS!$L:$L,ORIGINATIONS!$C:$C,"PTR-003",ORIGINATIONS!$U:$U,$B51)</f>
        <v>109026.81</v>
      </c>
      <c r="F51" s="7" t="n">
        <f aca="false">SUMIFS(ORIGINATIONS!$L:$L,ORIGINATIONS!$C:$C,"PTR-004",ORIGINATIONS!$U:$U,$B51)</f>
        <v>238877.89</v>
      </c>
      <c r="G51" s="7" t="n">
        <f aca="false">SUMIFS(ORIGINATIONS!$L:$L,ORIGINATIONS!$C:$C,"PTR-005",ORIGINATIONS!$U:$U,$B51)</f>
        <v>15772.9</v>
      </c>
      <c r="H51" s="7" t="n">
        <f aca="false">SUMIFS(ORIGINATIONS!$L:$L,ORIGINATIONS!$C:$C,"PTR-006",ORIGINATIONS!$U:$U,$B51)</f>
        <v>52902.17</v>
      </c>
      <c r="I51" s="8" t="n">
        <f aca="false">SUM(C51:H51)</f>
        <v>751905.74</v>
      </c>
    </row>
    <row r="52" customFormat="false" ht="15" hidden="false" customHeight="true" outlineLevel="0" collapsed="false">
      <c r="B52" s="6" t="s">
        <v>55</v>
      </c>
      <c r="C52" s="7" t="n">
        <f aca="false">SUMIFS(ORIGINATIONS!$L:$L,ORIGINATIONS!$C:$C,"PTR-001",ORIGINATIONS!$U:$U,$B52)</f>
        <v>85289.9</v>
      </c>
      <c r="D52" s="7" t="n">
        <f aca="false">SUMIFS(ORIGINATIONS!$L:$L,ORIGINATIONS!$C:$C,"PTR-002",ORIGINATIONS!$U:$U,$B52)</f>
        <v>108624.11</v>
      </c>
      <c r="E52" s="7" t="n">
        <f aca="false">SUMIFS(ORIGINATIONS!$L:$L,ORIGINATIONS!$C:$C,"PTR-003",ORIGINATIONS!$U:$U,$B52)</f>
        <v>100710.25</v>
      </c>
      <c r="F52" s="7" t="n">
        <f aca="false">SUMIFS(ORIGINATIONS!$L:$L,ORIGINATIONS!$C:$C,"PTR-004",ORIGINATIONS!$U:$U,$B52)</f>
        <v>44818.09</v>
      </c>
      <c r="G52" s="7" t="n">
        <f aca="false">SUMIFS(ORIGINATIONS!$L:$L,ORIGINATIONS!$C:$C,"PTR-005",ORIGINATIONS!$U:$U,$B52)</f>
        <v>170843.63</v>
      </c>
      <c r="H52" s="7" t="n">
        <f aca="false">SUMIFS(ORIGINATIONS!$L:$L,ORIGINATIONS!$C:$C,"PTR-006",ORIGINATIONS!$U:$U,$B52)</f>
        <v>45645.74</v>
      </c>
      <c r="I52" s="8" t="n">
        <f aca="false">SUM(C52:H52)</f>
        <v>555931.72</v>
      </c>
    </row>
    <row r="53" customFormat="false" ht="15" hidden="false" customHeight="true" outlineLevel="0" collapsed="false">
      <c r="B53" s="6" t="s">
        <v>56</v>
      </c>
      <c r="C53" s="7" t="n">
        <f aca="false">SUMIFS(ORIGINATIONS!$L:$L,ORIGINATIONS!$C:$C,"PTR-001",ORIGINATIONS!$U:$U,$B53)</f>
        <v>272572.93</v>
      </c>
      <c r="D53" s="7" t="n">
        <f aca="false">SUMIFS(ORIGINATIONS!$L:$L,ORIGINATIONS!$C:$C,"PTR-002",ORIGINATIONS!$U:$U,$B53)</f>
        <v>86332.7</v>
      </c>
      <c r="E53" s="7" t="n">
        <f aca="false">SUMIFS(ORIGINATIONS!$L:$L,ORIGINATIONS!$C:$C,"PTR-003",ORIGINATIONS!$U:$U,$B53)</f>
        <v>45918.81</v>
      </c>
      <c r="F53" s="7" t="n">
        <f aca="false">SUMIFS(ORIGINATIONS!$L:$L,ORIGINATIONS!$C:$C,"PTR-004",ORIGINATIONS!$U:$U,$B53)</f>
        <v>223668.28</v>
      </c>
      <c r="G53" s="7" t="n">
        <f aca="false">SUMIFS(ORIGINATIONS!$L:$L,ORIGINATIONS!$C:$C,"PTR-005",ORIGINATIONS!$U:$U,$B53)</f>
        <v>117150.27</v>
      </c>
      <c r="H53" s="7" t="n">
        <f aca="false">SUMIFS(ORIGINATIONS!$L:$L,ORIGINATIONS!$C:$C,"PTR-006",ORIGINATIONS!$U:$U,$B53)</f>
        <v>148333.74</v>
      </c>
      <c r="I53" s="8" t="n">
        <f aca="false">SUM(C53:H53)</f>
        <v>893976.73</v>
      </c>
    </row>
    <row r="54" customFormat="false" ht="15" hidden="false" customHeight="true" outlineLevel="0" collapsed="false">
      <c r="B54" s="6" t="s">
        <v>57</v>
      </c>
      <c r="C54" s="7" t="n">
        <f aca="false">SUMIFS(ORIGINATIONS!$L:$L,ORIGINATIONS!$C:$C,"PTR-001",ORIGINATIONS!$U:$U,$B54)</f>
        <v>28147.28</v>
      </c>
      <c r="D54" s="7" t="n">
        <f aca="false">SUMIFS(ORIGINATIONS!$L:$L,ORIGINATIONS!$C:$C,"PTR-002",ORIGINATIONS!$U:$U,$B54)</f>
        <v>232301.91</v>
      </c>
      <c r="E54" s="7" t="n">
        <f aca="false">SUMIFS(ORIGINATIONS!$L:$L,ORIGINATIONS!$C:$C,"PTR-003",ORIGINATIONS!$U:$U,$B54)</f>
        <v>162997.76</v>
      </c>
      <c r="F54" s="7" t="n">
        <f aca="false">SUMIFS(ORIGINATIONS!$L:$L,ORIGINATIONS!$C:$C,"PTR-004",ORIGINATIONS!$U:$U,$B54)</f>
        <v>118630.9</v>
      </c>
      <c r="G54" s="7" t="n">
        <f aca="false">SUMIFS(ORIGINATIONS!$L:$L,ORIGINATIONS!$C:$C,"PTR-005",ORIGINATIONS!$U:$U,$B54)</f>
        <v>10714.66</v>
      </c>
      <c r="H54" s="7" t="n">
        <f aca="false">SUMIFS(ORIGINATIONS!$L:$L,ORIGINATIONS!$C:$C,"PTR-006",ORIGINATIONS!$U:$U,$B54)</f>
        <v>98615.59</v>
      </c>
      <c r="I54" s="8" t="n">
        <f aca="false">SUM(C54:H54)</f>
        <v>651408.1</v>
      </c>
    </row>
    <row r="55" customFormat="false" ht="15" hidden="false" customHeight="true" outlineLevel="0" collapsed="false">
      <c r="B55" s="6" t="s">
        <v>58</v>
      </c>
      <c r="C55" s="7" t="n">
        <f aca="false">SUMIFS(ORIGINATIONS!$L:$L,ORIGINATIONS!$C:$C,"PTR-001",ORIGINATIONS!$U:$U,$B55)</f>
        <v>118883.36</v>
      </c>
      <c r="D55" s="7" t="n">
        <f aca="false">SUMIFS(ORIGINATIONS!$L:$L,ORIGINATIONS!$C:$C,"PTR-002",ORIGINATIONS!$U:$U,$B55)</f>
        <v>10055.67</v>
      </c>
      <c r="E55" s="7" t="n">
        <f aca="false">SUMIFS(ORIGINATIONS!$L:$L,ORIGINATIONS!$C:$C,"PTR-003",ORIGINATIONS!$U:$U,$B55)</f>
        <v>54198.55</v>
      </c>
      <c r="F55" s="7" t="n">
        <f aca="false">SUMIFS(ORIGINATIONS!$L:$L,ORIGINATIONS!$C:$C,"PTR-004",ORIGINATIONS!$U:$U,$B55)</f>
        <v>188223.91</v>
      </c>
      <c r="G55" s="7" t="n">
        <f aca="false">SUMIFS(ORIGINATIONS!$L:$L,ORIGINATIONS!$C:$C,"PTR-005",ORIGINATIONS!$U:$U,$B55)</f>
        <v>133517.03</v>
      </c>
      <c r="H55" s="7" t="n">
        <f aca="false">SUMIFS(ORIGINATIONS!$L:$L,ORIGINATIONS!$C:$C,"PTR-006",ORIGINATIONS!$U:$U,$B55)</f>
        <v>140772.09</v>
      </c>
      <c r="I55" s="8" t="n">
        <f aca="false">SUM(C55:H55)</f>
        <v>645650.61</v>
      </c>
    </row>
    <row r="56" customFormat="false" ht="15" hidden="false" customHeight="true" outlineLevel="0" collapsed="false">
      <c r="B56" s="6" t="s">
        <v>59</v>
      </c>
      <c r="C56" s="7" t="n">
        <f aca="false">SUMIFS(ORIGINATIONS!$L:$L,ORIGINATIONS!$C:$C,"PTR-001",ORIGINATIONS!$U:$U,$B56)</f>
        <v>153528.33</v>
      </c>
      <c r="D56" s="7" t="n">
        <f aca="false">SUMIFS(ORIGINATIONS!$L:$L,ORIGINATIONS!$C:$C,"PTR-002",ORIGINATIONS!$U:$U,$B56)</f>
        <v>52201.13</v>
      </c>
      <c r="E56" s="7" t="n">
        <f aca="false">SUMIFS(ORIGINATIONS!$L:$L,ORIGINATIONS!$C:$C,"PTR-003",ORIGINATIONS!$U:$U,$B56)</f>
        <v>91299.08</v>
      </c>
      <c r="F56" s="7" t="n">
        <f aca="false">SUMIFS(ORIGINATIONS!$L:$L,ORIGINATIONS!$C:$C,"PTR-004",ORIGINATIONS!$U:$U,$B56)</f>
        <v>68543.45</v>
      </c>
      <c r="G56" s="7" t="n">
        <f aca="false">SUMIFS(ORIGINATIONS!$L:$L,ORIGINATIONS!$C:$C,"PTR-005",ORIGINATIONS!$U:$U,$B56)</f>
        <v>194017.65</v>
      </c>
      <c r="H56" s="7" t="n">
        <f aca="false">SUMIFS(ORIGINATIONS!$L:$L,ORIGINATIONS!$C:$C,"PTR-006",ORIGINATIONS!$U:$U,$B56)</f>
        <v>248883</v>
      </c>
      <c r="I56" s="8" t="n">
        <f aca="false">SUM(C56:H56)</f>
        <v>808472.64</v>
      </c>
    </row>
    <row r="57" customFormat="false" ht="15" hidden="false" customHeight="true" outlineLevel="0" collapsed="false">
      <c r="B57" s="6" t="s">
        <v>60</v>
      </c>
      <c r="C57" s="7" t="n">
        <f aca="false">SUMIFS(ORIGINATIONS!$L:$L,ORIGINATIONS!$C:$C,"PTR-001",ORIGINATIONS!$U:$U,$B57)</f>
        <v>112582.07</v>
      </c>
      <c r="D57" s="7" t="n">
        <f aca="false">SUMIFS(ORIGINATIONS!$L:$L,ORIGINATIONS!$C:$C,"PTR-002",ORIGINATIONS!$U:$U,$B57)</f>
        <v>7427.69</v>
      </c>
      <c r="E57" s="7" t="n">
        <f aca="false">SUMIFS(ORIGINATIONS!$L:$L,ORIGINATIONS!$C:$C,"PTR-003",ORIGINATIONS!$U:$U,$B57)</f>
        <v>64489.17</v>
      </c>
      <c r="F57" s="7" t="n">
        <f aca="false">SUMIFS(ORIGINATIONS!$L:$L,ORIGINATIONS!$C:$C,"PTR-004",ORIGINATIONS!$U:$U,$B57)</f>
        <v>63440.47</v>
      </c>
      <c r="G57" s="7" t="n">
        <f aca="false">SUMIFS(ORIGINATIONS!$L:$L,ORIGINATIONS!$C:$C,"PTR-005",ORIGINATIONS!$U:$U,$B57)</f>
        <v>85257.07</v>
      </c>
      <c r="H57" s="7" t="n">
        <f aca="false">SUMIFS(ORIGINATIONS!$L:$L,ORIGINATIONS!$C:$C,"PTR-006",ORIGINATIONS!$U:$U,$B57)</f>
        <v>217273.46</v>
      </c>
      <c r="I57" s="8" t="n">
        <f aca="false">SUM(C57:H57)</f>
        <v>550469.93</v>
      </c>
    </row>
    <row r="58" customFormat="false" ht="15" hidden="false" customHeight="true" outlineLevel="0" collapsed="false">
      <c r="B58" s="6" t="s">
        <v>61</v>
      </c>
      <c r="C58" s="7" t="n">
        <f aca="false">SUMIFS(ORIGINATIONS!$L:$L,ORIGINATIONS!$C:$C,"PTR-001",ORIGINATIONS!$U:$U,$B58)</f>
        <v>123283.08</v>
      </c>
      <c r="D58" s="7" t="n">
        <f aca="false">SUMIFS(ORIGINATIONS!$L:$L,ORIGINATIONS!$C:$C,"PTR-002",ORIGINATIONS!$U:$U,$B58)</f>
        <v>216397.15</v>
      </c>
      <c r="E58" s="7" t="n">
        <f aca="false">SUMIFS(ORIGINATIONS!$L:$L,ORIGINATIONS!$C:$C,"PTR-003",ORIGINATIONS!$U:$U,$B58)</f>
        <v>157797.4</v>
      </c>
      <c r="F58" s="7" t="n">
        <f aca="false">SUMIFS(ORIGINATIONS!$L:$L,ORIGINATIONS!$C:$C,"PTR-004",ORIGINATIONS!$U:$U,$B58)</f>
        <v>144749.87</v>
      </c>
      <c r="G58" s="7" t="n">
        <f aca="false">SUMIFS(ORIGINATIONS!$L:$L,ORIGINATIONS!$C:$C,"PTR-005",ORIGINATIONS!$U:$U,$B58)</f>
        <v>139424.97</v>
      </c>
      <c r="H58" s="7" t="n">
        <f aca="false">SUMIFS(ORIGINATIONS!$L:$L,ORIGINATIONS!$C:$C,"PTR-006",ORIGINATIONS!$U:$U,$B58)</f>
        <v>143086.75</v>
      </c>
      <c r="I58" s="8" t="n">
        <f aca="false">SUM(C58:H58)</f>
        <v>924739.22</v>
      </c>
    </row>
    <row r="59" customFormat="false" ht="15" hidden="false" customHeight="true" outlineLevel="0" collapsed="false">
      <c r="B59" s="6" t="s">
        <v>62</v>
      </c>
      <c r="C59" s="7" t="n">
        <f aca="false">SUMIFS(ORIGINATIONS!$L:$L,ORIGINATIONS!$C:$C,"PTR-001",ORIGINATIONS!$U:$U,$B59)</f>
        <v>75648.03</v>
      </c>
      <c r="D59" s="7" t="n">
        <f aca="false">SUMIFS(ORIGINATIONS!$L:$L,ORIGINATIONS!$C:$C,"PTR-002",ORIGINATIONS!$U:$U,$B59)</f>
        <v>90017.82</v>
      </c>
      <c r="E59" s="7" t="n">
        <f aca="false">SUMIFS(ORIGINATIONS!$L:$L,ORIGINATIONS!$C:$C,"PTR-003",ORIGINATIONS!$U:$U,$B59)</f>
        <v>189230.01</v>
      </c>
      <c r="F59" s="7" t="n">
        <f aca="false">SUMIFS(ORIGINATIONS!$L:$L,ORIGINATIONS!$C:$C,"PTR-004",ORIGINATIONS!$U:$U,$B59)</f>
        <v>38507.83</v>
      </c>
      <c r="G59" s="7" t="n">
        <f aca="false">SUMIFS(ORIGINATIONS!$L:$L,ORIGINATIONS!$C:$C,"PTR-005",ORIGINATIONS!$U:$U,$B59)</f>
        <v>176017.17</v>
      </c>
      <c r="H59" s="7" t="n">
        <f aca="false">SUMIFS(ORIGINATIONS!$L:$L,ORIGINATIONS!$C:$C,"PTR-006",ORIGINATIONS!$U:$U,$B59)</f>
        <v>96712.39</v>
      </c>
      <c r="I59" s="8" t="n">
        <f aca="false">SUM(C59:H59)</f>
        <v>666133.25</v>
      </c>
    </row>
    <row r="60" customFormat="false" ht="15" hidden="false" customHeight="true" outlineLevel="0" collapsed="false">
      <c r="B60" s="6" t="s">
        <v>63</v>
      </c>
      <c r="C60" s="7" t="n">
        <f aca="false">SUMIFS(ORIGINATIONS!$L:$L,ORIGINATIONS!$C:$C,"PTR-001",ORIGINATIONS!$U:$U,$B60)</f>
        <v>280405.01</v>
      </c>
      <c r="D60" s="7" t="n">
        <f aca="false">SUMIFS(ORIGINATIONS!$L:$L,ORIGINATIONS!$C:$C,"PTR-002",ORIGINATIONS!$U:$U,$B60)</f>
        <v>40368.33</v>
      </c>
      <c r="E60" s="7" t="n">
        <f aca="false">SUMIFS(ORIGINATIONS!$L:$L,ORIGINATIONS!$C:$C,"PTR-003",ORIGINATIONS!$U:$U,$B60)</f>
        <v>44248.96</v>
      </c>
      <c r="F60" s="7" t="n">
        <f aca="false">SUMIFS(ORIGINATIONS!$L:$L,ORIGINATIONS!$C:$C,"PTR-004",ORIGINATIONS!$U:$U,$B60)</f>
        <v>208651.81</v>
      </c>
      <c r="G60" s="7" t="n">
        <f aca="false">SUMIFS(ORIGINATIONS!$L:$L,ORIGINATIONS!$C:$C,"PTR-005",ORIGINATIONS!$U:$U,$B60)</f>
        <v>123154.76</v>
      </c>
      <c r="H60" s="7" t="n">
        <f aca="false">SUMIFS(ORIGINATIONS!$L:$L,ORIGINATIONS!$C:$C,"PTR-006",ORIGINATIONS!$U:$U,$B60)</f>
        <v>223298.27</v>
      </c>
      <c r="I60" s="8" t="n">
        <f aca="false">SUM(C60:H60)</f>
        <v>920127.14</v>
      </c>
    </row>
    <row r="61" customFormat="false" ht="15" hidden="false" customHeight="true" outlineLevel="0" collapsed="false">
      <c r="B61" s="6" t="s">
        <v>64</v>
      </c>
      <c r="C61" s="7" t="n">
        <f aca="false">SUMIFS(ORIGINATIONS!$L:$L,ORIGINATIONS!$C:$C,"PTR-001",ORIGINATIONS!$U:$U,$B61)</f>
        <v>0</v>
      </c>
      <c r="D61" s="7" t="n">
        <f aca="false">SUMIFS(ORIGINATIONS!$L:$L,ORIGINATIONS!$C:$C,"PTR-002",ORIGINATIONS!$U:$U,$B61)</f>
        <v>0</v>
      </c>
      <c r="E61" s="7" t="n">
        <f aca="false">SUMIFS(ORIGINATIONS!$L:$L,ORIGINATIONS!$C:$C,"PTR-003",ORIGINATIONS!$U:$U,$B61)</f>
        <v>0</v>
      </c>
      <c r="F61" s="7" t="n">
        <f aca="false">SUMIFS(ORIGINATIONS!$L:$L,ORIGINATIONS!$C:$C,"PTR-004",ORIGINATIONS!$U:$U,$B61)</f>
        <v>0</v>
      </c>
      <c r="G61" s="7" t="n">
        <f aca="false">SUMIFS(ORIGINATIONS!$L:$L,ORIGINATIONS!$C:$C,"PTR-005",ORIGINATIONS!$U:$U,$B61)</f>
        <v>0</v>
      </c>
      <c r="H61" s="7" t="n">
        <f aca="false">SUMIFS(ORIGINATIONS!$L:$L,ORIGINATIONS!$C:$C,"PTR-006",ORIGINATIONS!$U:$U,$B61)</f>
        <v>0</v>
      </c>
      <c r="I61" s="8" t="n">
        <f aca="false">SUM(C61:H61)</f>
        <v>0</v>
      </c>
    </row>
    <row r="62" customFormat="false" ht="15" hidden="false" customHeight="true" outlineLevel="0" collapsed="false">
      <c r="B62" s="6" t="s">
        <v>65</v>
      </c>
      <c r="C62" s="7" t="n">
        <f aca="false">SUMIFS(ORIGINATIONS!$L:$L,ORIGINATIONS!$C:$C,"PTR-001",ORIGINATIONS!$U:$U,$B62)</f>
        <v>0</v>
      </c>
      <c r="D62" s="7" t="n">
        <f aca="false">SUMIFS(ORIGINATIONS!$L:$L,ORIGINATIONS!$C:$C,"PTR-002",ORIGINATIONS!$U:$U,$B62)</f>
        <v>0</v>
      </c>
      <c r="E62" s="7" t="n">
        <f aca="false">SUMIFS(ORIGINATIONS!$L:$L,ORIGINATIONS!$C:$C,"PTR-003",ORIGINATIONS!$U:$U,$B62)</f>
        <v>0</v>
      </c>
      <c r="F62" s="7" t="n">
        <f aca="false">SUMIFS(ORIGINATIONS!$L:$L,ORIGINATIONS!$C:$C,"PTR-004",ORIGINATIONS!$U:$U,$B62)</f>
        <v>0</v>
      </c>
      <c r="G62" s="7" t="n">
        <f aca="false">SUMIFS(ORIGINATIONS!$L:$L,ORIGINATIONS!$C:$C,"PTR-005",ORIGINATIONS!$U:$U,$B62)</f>
        <v>0</v>
      </c>
      <c r="H62" s="7" t="n">
        <f aca="false">SUMIFS(ORIGINATIONS!$L:$L,ORIGINATIONS!$C:$C,"PTR-006",ORIGINATIONS!$U:$U,$B62)</f>
        <v>0</v>
      </c>
      <c r="I62" s="8" t="n">
        <f aca="false">SUM(C62:H62)</f>
        <v>0</v>
      </c>
    </row>
    <row r="63" customFormat="false" ht="15" hidden="false" customHeight="true" outlineLevel="0" collapsed="false">
      <c r="B63" s="6" t="s">
        <v>66</v>
      </c>
      <c r="C63" s="7" t="n">
        <f aca="false">SUMIFS(ORIGINATIONS!$L:$L,ORIGINATIONS!$C:$C,"PTR-001",ORIGINATIONS!$U:$U,$B63)</f>
        <v>86329.06</v>
      </c>
      <c r="D63" s="7" t="n">
        <f aca="false">SUMIFS(ORIGINATIONS!$L:$L,ORIGINATIONS!$C:$C,"PTR-002",ORIGINATIONS!$U:$U,$B63)</f>
        <v>66515.47</v>
      </c>
      <c r="E63" s="7" t="n">
        <f aca="false">SUMIFS(ORIGINATIONS!$L:$L,ORIGINATIONS!$C:$C,"PTR-003",ORIGINATIONS!$U:$U,$B63)</f>
        <v>47976.95</v>
      </c>
      <c r="F63" s="7" t="n">
        <f aca="false">SUMIFS(ORIGINATIONS!$L:$L,ORIGINATIONS!$C:$C,"PTR-004",ORIGINATIONS!$U:$U,$B63)</f>
        <v>78219.13</v>
      </c>
      <c r="G63" s="7" t="n">
        <f aca="false">SUMIFS(ORIGINATIONS!$L:$L,ORIGINATIONS!$C:$C,"PTR-005",ORIGINATIONS!$U:$U,$B63)</f>
        <v>0</v>
      </c>
      <c r="H63" s="7" t="n">
        <f aca="false">SUMIFS(ORIGINATIONS!$L:$L,ORIGINATIONS!$C:$C,"PTR-006",ORIGINATIONS!$U:$U,$B63)</f>
        <v>48620.01</v>
      </c>
      <c r="I63" s="8" t="n">
        <f aca="false">SUM(C63:H63)</f>
        <v>327660.62</v>
      </c>
    </row>
    <row r="64" customFormat="false" ht="15" hidden="false" customHeight="true" outlineLevel="0" collapsed="false">
      <c r="B64" s="9" t="s">
        <v>67</v>
      </c>
      <c r="C64" s="10" t="n">
        <f aca="false">SUM(C8:C63)</f>
        <v>6495171.73</v>
      </c>
      <c r="D64" s="10" t="n">
        <f aca="false">SUM(D8:D63)</f>
        <v>6891240.58</v>
      </c>
      <c r="E64" s="10" t="n">
        <f aca="false">SUM(E8:E63)</f>
        <v>5582528.88</v>
      </c>
      <c r="F64" s="10" t="n">
        <f aca="false">SUM(F8:F63)</f>
        <v>7411529.38</v>
      </c>
      <c r="G64" s="10" t="n">
        <f aca="false">SUM(G8:G63)</f>
        <v>6519837.29</v>
      </c>
      <c r="H64" s="10" t="n">
        <f aca="false">SUM(H8:H63)</f>
        <v>6776667.68</v>
      </c>
      <c r="I64" s="10" t="n">
        <f aca="false">SUM(I8:I63)</f>
        <v>39676975.54</v>
      </c>
    </row>
    <row r="87" customFormat="false" ht="15" hidden="false" customHeight="true" outlineLevel="0" collapsed="false">
      <c r="B87" s="3" t="s">
        <v>68</v>
      </c>
    </row>
    <row r="88" customFormat="false" ht="15" hidden="false" customHeight="true" outlineLevel="0" collapsed="false">
      <c r="B88" s="4" t="s">
        <v>69</v>
      </c>
    </row>
    <row r="90" customFormat="false" ht="23.25" hidden="false" customHeight="true" outlineLevel="0" collapsed="false">
      <c r="B90" s="5" t="s">
        <v>3</v>
      </c>
      <c r="C90" s="5" t="s">
        <v>70</v>
      </c>
      <c r="D90" s="5" t="s">
        <v>71</v>
      </c>
      <c r="E90" s="5" t="s">
        <v>72</v>
      </c>
    </row>
    <row r="91" customFormat="false" ht="15" hidden="false" customHeight="true" outlineLevel="0" collapsed="false">
      <c r="B91" s="6" t="s">
        <v>11</v>
      </c>
      <c r="C91" s="7" t="n">
        <f aca="false">SUMIFS(REVENUE_RECOGNIZED!$E:$E,REVENUE_RECOGNIZED!$D:$D,$B91)</f>
        <v>63348.05</v>
      </c>
      <c r="D91" s="6"/>
      <c r="E91" s="9"/>
    </row>
    <row r="92" customFormat="false" ht="15" hidden="false" customHeight="true" outlineLevel="0" collapsed="false">
      <c r="B92" s="6" t="s">
        <v>12</v>
      </c>
      <c r="C92" s="7" t="n">
        <f aca="false">SUMIFS(REVENUE_RECOGNIZED!$E:$E,REVENUE_RECOGNIZED!$D:$D,$B92)</f>
        <v>87343</v>
      </c>
      <c r="D92" s="6"/>
      <c r="E92" s="9"/>
    </row>
    <row r="93" customFormat="false" ht="15" hidden="false" customHeight="true" outlineLevel="0" collapsed="false">
      <c r="B93" s="6" t="s">
        <v>13</v>
      </c>
      <c r="C93" s="7" t="n">
        <f aca="false">SUMIFS(REVENUE_RECOGNIZED!$E:$E,REVENUE_RECOGNIZED!$D:$D,$B93)</f>
        <v>133630.12</v>
      </c>
      <c r="D93" s="7" t="n">
        <f aca="false">AVERAGE(C91:C93)</f>
        <v>94773.7233333333</v>
      </c>
      <c r="E93" s="8" t="n">
        <f aca="false">D93*12</f>
        <v>1137284.68</v>
      </c>
    </row>
    <row r="94" customFormat="false" ht="15" hidden="false" customHeight="true" outlineLevel="0" collapsed="false">
      <c r="B94" s="6" t="s">
        <v>14</v>
      </c>
      <c r="C94" s="7" t="n">
        <f aca="false">SUMIFS(REVENUE_RECOGNIZED!$E:$E,REVENUE_RECOGNIZED!$D:$D,$B94)</f>
        <v>144921.44</v>
      </c>
      <c r="D94" s="7" t="n">
        <f aca="false">AVERAGE(C92:C94)</f>
        <v>121964.853333333</v>
      </c>
      <c r="E94" s="8" t="n">
        <f aca="false">D94*12</f>
        <v>1463578.24</v>
      </c>
    </row>
    <row r="95" customFormat="false" ht="15" hidden="false" customHeight="true" outlineLevel="0" collapsed="false">
      <c r="B95" s="6" t="s">
        <v>15</v>
      </c>
      <c r="C95" s="7" t="n">
        <f aca="false">SUMIFS(REVENUE_RECOGNIZED!$E:$E,REVENUE_RECOGNIZED!$D:$D,$B95)</f>
        <v>133872.37</v>
      </c>
      <c r="D95" s="7" t="n">
        <f aca="false">AVERAGE(C93:C95)</f>
        <v>137474.643333333</v>
      </c>
      <c r="E95" s="8" t="n">
        <f aca="false">D95*12</f>
        <v>1649695.72</v>
      </c>
    </row>
    <row r="96" customFormat="false" ht="15" hidden="false" customHeight="true" outlineLevel="0" collapsed="false">
      <c r="B96" s="6" t="s">
        <v>16</v>
      </c>
      <c r="C96" s="7" t="n">
        <f aca="false">SUMIFS(REVENUE_RECOGNIZED!$E:$E,REVENUE_RECOGNIZED!$D:$D,$B96)</f>
        <v>147141.24</v>
      </c>
      <c r="D96" s="7" t="n">
        <f aca="false">AVERAGE(C94:C96)</f>
        <v>141978.35</v>
      </c>
      <c r="E96" s="8" t="n">
        <f aca="false">D96*12</f>
        <v>1703740.2</v>
      </c>
    </row>
    <row r="97" customFormat="false" ht="15" hidden="false" customHeight="true" outlineLevel="0" collapsed="false">
      <c r="B97" s="6" t="s">
        <v>17</v>
      </c>
      <c r="C97" s="7" t="n">
        <f aca="false">SUMIFS(REVENUE_RECOGNIZED!$E:$E,REVENUE_RECOGNIZED!$D:$D,$B97)</f>
        <v>146299.7</v>
      </c>
      <c r="D97" s="7" t="n">
        <f aca="false">AVERAGE(C95:C97)</f>
        <v>142437.77</v>
      </c>
      <c r="E97" s="8" t="n">
        <f aca="false">D97*12</f>
        <v>1709253.24</v>
      </c>
    </row>
    <row r="98" customFormat="false" ht="15" hidden="false" customHeight="true" outlineLevel="0" collapsed="false">
      <c r="B98" s="6" t="s">
        <v>18</v>
      </c>
      <c r="C98" s="7" t="n">
        <f aca="false">SUMIFS(REVENUE_RECOGNIZED!$E:$E,REVENUE_RECOGNIZED!$D:$D,$B98)</f>
        <v>153204.54</v>
      </c>
      <c r="D98" s="7" t="n">
        <f aca="false">AVERAGE(C96:C98)</f>
        <v>148881.826666667</v>
      </c>
      <c r="E98" s="8" t="n">
        <f aca="false">D98*12</f>
        <v>1786581.92</v>
      </c>
    </row>
    <row r="99" customFormat="false" ht="15" hidden="false" customHeight="true" outlineLevel="0" collapsed="false">
      <c r="B99" s="6" t="s">
        <v>19</v>
      </c>
      <c r="C99" s="7" t="n">
        <f aca="false">SUMIFS(REVENUE_RECOGNIZED!$E:$E,REVENUE_RECOGNIZED!$D:$D,$B99)</f>
        <v>149916.98</v>
      </c>
      <c r="D99" s="7" t="n">
        <f aca="false">AVERAGE(C97:C99)</f>
        <v>149807.073333333</v>
      </c>
      <c r="E99" s="8" t="n">
        <f aca="false">D99*12</f>
        <v>1797684.88</v>
      </c>
    </row>
    <row r="100" customFormat="false" ht="15" hidden="false" customHeight="true" outlineLevel="0" collapsed="false">
      <c r="B100" s="6" t="s">
        <v>20</v>
      </c>
      <c r="C100" s="7" t="n">
        <f aca="false">SUMIFS(REVENUE_RECOGNIZED!$E:$E,REVENUE_RECOGNIZED!$D:$D,$B100)</f>
        <v>159618.66</v>
      </c>
      <c r="D100" s="7" t="n">
        <f aca="false">AVERAGE(C98:C100)</f>
        <v>154246.726666667</v>
      </c>
      <c r="E100" s="8" t="n">
        <f aca="false">D100*12</f>
        <v>1850960.72</v>
      </c>
    </row>
    <row r="101" customFormat="false" ht="15" hidden="false" customHeight="true" outlineLevel="0" collapsed="false">
      <c r="B101" s="6" t="s">
        <v>21</v>
      </c>
      <c r="C101" s="7" t="n">
        <f aca="false">SUMIFS(REVENUE_RECOGNIZED!$E:$E,REVENUE_RECOGNIZED!$D:$D,$B101)</f>
        <v>159680.25</v>
      </c>
      <c r="D101" s="7" t="n">
        <f aca="false">AVERAGE(C99:C101)</f>
        <v>156405.296666667</v>
      </c>
      <c r="E101" s="8" t="n">
        <f aca="false">D101*12</f>
        <v>1876863.56</v>
      </c>
    </row>
    <row r="102" customFormat="false" ht="15" hidden="false" customHeight="true" outlineLevel="0" collapsed="false">
      <c r="B102" s="6" t="s">
        <v>22</v>
      </c>
      <c r="C102" s="7" t="n">
        <f aca="false">SUMIFS(REVENUE_RECOGNIZED!$E:$E,REVENUE_RECOGNIZED!$D:$D,$B102)</f>
        <v>151932.39</v>
      </c>
      <c r="D102" s="7" t="n">
        <f aca="false">AVERAGE(C100:C102)</f>
        <v>157077.1</v>
      </c>
      <c r="E102" s="8" t="n">
        <f aca="false">D102*12</f>
        <v>1884925.2</v>
      </c>
    </row>
    <row r="103" customFormat="false" ht="15" hidden="false" customHeight="true" outlineLevel="0" collapsed="false">
      <c r="B103" s="6" t="s">
        <v>23</v>
      </c>
      <c r="C103" s="7" t="n">
        <f aca="false">SUMIFS(REVENUE_RECOGNIZED!$E:$E,REVENUE_RECOGNIZED!$D:$D,$B103)</f>
        <v>142505.48</v>
      </c>
      <c r="D103" s="7" t="n">
        <f aca="false">AVERAGE(C101:C103)</f>
        <v>151372.706666667</v>
      </c>
      <c r="E103" s="8" t="n">
        <f aca="false">D103*12</f>
        <v>1816472.48</v>
      </c>
    </row>
    <row r="104" customFormat="false" ht="15" hidden="false" customHeight="true" outlineLevel="0" collapsed="false">
      <c r="B104" s="6" t="s">
        <v>24</v>
      </c>
      <c r="C104" s="7" t="n">
        <f aca="false">SUMIFS(REVENUE_RECOGNIZED!$E:$E,REVENUE_RECOGNIZED!$D:$D,$B104)</f>
        <v>127937.75</v>
      </c>
      <c r="D104" s="7" t="n">
        <f aca="false">AVERAGE(C102:C104)</f>
        <v>140791.873333333</v>
      </c>
      <c r="E104" s="8" t="n">
        <f aca="false">D104*12</f>
        <v>1689502.48</v>
      </c>
    </row>
    <row r="105" customFormat="false" ht="15" hidden="false" customHeight="true" outlineLevel="0" collapsed="false">
      <c r="B105" s="6" t="s">
        <v>25</v>
      </c>
      <c r="C105" s="7" t="n">
        <f aca="false">SUMIFS(REVENUE_RECOGNIZED!$E:$E,REVENUE_RECOGNIZED!$D:$D,$B105)</f>
        <v>164260.79</v>
      </c>
      <c r="D105" s="7" t="n">
        <f aca="false">AVERAGE(C103:C105)</f>
        <v>144901.34</v>
      </c>
      <c r="E105" s="8" t="n">
        <f aca="false">D105*12</f>
        <v>1738816.08</v>
      </c>
    </row>
    <row r="106" customFormat="false" ht="15" hidden="false" customHeight="true" outlineLevel="0" collapsed="false">
      <c r="B106" s="6" t="s">
        <v>26</v>
      </c>
      <c r="C106" s="7" t="n">
        <f aca="false">SUMIFS(REVENUE_RECOGNIZED!$E:$E,REVENUE_RECOGNIZED!$D:$D,$B106)</f>
        <v>163743.14</v>
      </c>
      <c r="D106" s="7" t="n">
        <f aca="false">AVERAGE(C104:C106)</f>
        <v>151980.56</v>
      </c>
      <c r="E106" s="8" t="n">
        <f aca="false">D106*12</f>
        <v>1823766.72</v>
      </c>
    </row>
    <row r="107" customFormat="false" ht="15" hidden="false" customHeight="true" outlineLevel="0" collapsed="false">
      <c r="B107" s="6" t="s">
        <v>27</v>
      </c>
      <c r="C107" s="7" t="n">
        <f aca="false">SUMIFS(REVENUE_RECOGNIZED!$E:$E,REVENUE_RECOGNIZED!$D:$D,$B107)</f>
        <v>146646.8</v>
      </c>
      <c r="D107" s="7" t="n">
        <f aca="false">AVERAGE(C105:C107)</f>
        <v>158216.91</v>
      </c>
      <c r="E107" s="8" t="n">
        <f aca="false">D107*12</f>
        <v>1898602.92</v>
      </c>
    </row>
    <row r="108" customFormat="false" ht="15" hidden="false" customHeight="true" outlineLevel="0" collapsed="false">
      <c r="B108" s="6" t="s">
        <v>28</v>
      </c>
      <c r="C108" s="7" t="n">
        <f aca="false">SUMIFS(REVENUE_RECOGNIZED!$E:$E,REVENUE_RECOGNIZED!$D:$D,$B108)</f>
        <v>140297.72</v>
      </c>
      <c r="D108" s="7" t="n">
        <f aca="false">AVERAGE(C106:C108)</f>
        <v>150229.22</v>
      </c>
      <c r="E108" s="8" t="n">
        <f aca="false">D108*12</f>
        <v>1802750.64</v>
      </c>
    </row>
    <row r="109" customFormat="false" ht="15" hidden="false" customHeight="true" outlineLevel="0" collapsed="false">
      <c r="B109" s="6" t="s">
        <v>29</v>
      </c>
      <c r="C109" s="7" t="n">
        <f aca="false">SUMIFS(REVENUE_RECOGNIZED!$E:$E,REVENUE_RECOGNIZED!$D:$D,$B109)</f>
        <v>142022.36</v>
      </c>
      <c r="D109" s="7" t="n">
        <f aca="false">AVERAGE(C107:C109)</f>
        <v>142988.96</v>
      </c>
      <c r="E109" s="8" t="n">
        <f aca="false">D109*12</f>
        <v>1715867.52</v>
      </c>
    </row>
    <row r="110" customFormat="false" ht="15" hidden="false" customHeight="true" outlineLevel="0" collapsed="false">
      <c r="B110" s="6" t="s">
        <v>30</v>
      </c>
      <c r="C110" s="7" t="n">
        <f aca="false">SUMIFS(REVENUE_RECOGNIZED!$E:$E,REVENUE_RECOGNIZED!$D:$D,$B110)</f>
        <v>185839.63</v>
      </c>
      <c r="D110" s="7" t="n">
        <f aca="false">AVERAGE(C108:C110)</f>
        <v>156053.236666667</v>
      </c>
      <c r="E110" s="8" t="n">
        <f aca="false">D110*12</f>
        <v>1872638.84</v>
      </c>
    </row>
    <row r="111" customFormat="false" ht="15" hidden="false" customHeight="true" outlineLevel="0" collapsed="false">
      <c r="B111" s="6" t="s">
        <v>31</v>
      </c>
      <c r="C111" s="7" t="n">
        <f aca="false">SUMIFS(REVENUE_RECOGNIZED!$E:$E,REVENUE_RECOGNIZED!$D:$D,$B111)</f>
        <v>180075.57</v>
      </c>
      <c r="D111" s="7" t="n">
        <f aca="false">AVERAGE(C109:C111)</f>
        <v>169312.52</v>
      </c>
      <c r="E111" s="8" t="n">
        <f aca="false">D111*12</f>
        <v>2031750.24</v>
      </c>
    </row>
    <row r="112" customFormat="false" ht="15" hidden="false" customHeight="true" outlineLevel="0" collapsed="false">
      <c r="B112" s="6" t="s">
        <v>32</v>
      </c>
      <c r="C112" s="7" t="n">
        <f aca="false">SUMIFS(REVENUE_RECOGNIZED!$E:$E,REVENUE_RECOGNIZED!$D:$D,$B112)</f>
        <v>165024.48</v>
      </c>
      <c r="D112" s="7" t="n">
        <f aca="false">AVERAGE(C110:C112)</f>
        <v>176979.893333333</v>
      </c>
      <c r="E112" s="8" t="n">
        <f aca="false">D112*12</f>
        <v>2123758.72</v>
      </c>
    </row>
    <row r="113" customFormat="false" ht="15" hidden="false" customHeight="true" outlineLevel="0" collapsed="false">
      <c r="B113" s="6" t="s">
        <v>33</v>
      </c>
      <c r="C113" s="7" t="n">
        <f aca="false">SUMIFS(REVENUE_RECOGNIZED!$E:$E,REVENUE_RECOGNIZED!$D:$D,$B113)</f>
        <v>130245.88</v>
      </c>
      <c r="D113" s="7" t="n">
        <f aca="false">AVERAGE(C111:C113)</f>
        <v>158448.643333333</v>
      </c>
      <c r="E113" s="8" t="n">
        <f aca="false">D113*12</f>
        <v>1901383.72</v>
      </c>
    </row>
    <row r="114" customFormat="false" ht="15" hidden="false" customHeight="true" outlineLevel="0" collapsed="false">
      <c r="B114" s="6" t="s">
        <v>34</v>
      </c>
      <c r="C114" s="7" t="n">
        <f aca="false">SUMIFS(REVENUE_RECOGNIZED!$E:$E,REVENUE_RECOGNIZED!$D:$D,$B114)</f>
        <v>151326.35</v>
      </c>
      <c r="D114" s="7" t="n">
        <f aca="false">AVERAGE(C112:C114)</f>
        <v>148865.57</v>
      </c>
      <c r="E114" s="8" t="n">
        <f aca="false">D114*12</f>
        <v>1786386.84</v>
      </c>
    </row>
    <row r="115" customFormat="false" ht="15" hidden="false" customHeight="true" outlineLevel="0" collapsed="false">
      <c r="B115" s="6" t="s">
        <v>35</v>
      </c>
      <c r="C115" s="7" t="n">
        <f aca="false">SUMIFS(REVENUE_RECOGNIZED!$E:$E,REVENUE_RECOGNIZED!$D:$D,$B115)</f>
        <v>130019.07</v>
      </c>
      <c r="D115" s="7" t="n">
        <f aca="false">AVERAGE(C113:C115)</f>
        <v>137197.1</v>
      </c>
      <c r="E115" s="8" t="n">
        <f aca="false">D115*12</f>
        <v>1646365.2</v>
      </c>
    </row>
    <row r="116" customFormat="false" ht="15" hidden="false" customHeight="true" outlineLevel="0" collapsed="false">
      <c r="B116" s="6" t="s">
        <v>36</v>
      </c>
      <c r="C116" s="7" t="n">
        <f aca="false">SUMIFS(REVENUE_RECOGNIZED!$E:$E,REVENUE_RECOGNIZED!$D:$D,$B116)</f>
        <v>125168.69</v>
      </c>
      <c r="D116" s="7" t="n">
        <f aca="false">AVERAGE(C114:C116)</f>
        <v>135504.703333333</v>
      </c>
      <c r="E116" s="8" t="n">
        <f aca="false">D116*12</f>
        <v>1626056.44</v>
      </c>
    </row>
    <row r="117" customFormat="false" ht="15" hidden="false" customHeight="true" outlineLevel="0" collapsed="false">
      <c r="B117" s="6" t="s">
        <v>37</v>
      </c>
      <c r="C117" s="7" t="n">
        <f aca="false">SUMIFS(REVENUE_RECOGNIZED!$E:$E,REVENUE_RECOGNIZED!$D:$D,$B117)</f>
        <v>143847.2</v>
      </c>
      <c r="D117" s="7" t="n">
        <f aca="false">AVERAGE(C115:C117)</f>
        <v>133011.653333333</v>
      </c>
      <c r="E117" s="8" t="n">
        <f aca="false">D117*12</f>
        <v>1596139.84</v>
      </c>
    </row>
    <row r="118" customFormat="false" ht="15" hidden="false" customHeight="true" outlineLevel="0" collapsed="false">
      <c r="B118" s="6" t="s">
        <v>38</v>
      </c>
      <c r="C118" s="7" t="n">
        <f aca="false">SUMIFS(REVENUE_RECOGNIZED!$E:$E,REVENUE_RECOGNIZED!$D:$D,$B118)</f>
        <v>133546.82</v>
      </c>
      <c r="D118" s="7" t="n">
        <f aca="false">AVERAGE(C116:C118)</f>
        <v>134187.57</v>
      </c>
      <c r="E118" s="8" t="n">
        <f aca="false">D118*12</f>
        <v>1610250.84</v>
      </c>
    </row>
    <row r="119" customFormat="false" ht="15" hidden="false" customHeight="true" outlineLevel="0" collapsed="false">
      <c r="B119" s="6" t="s">
        <v>39</v>
      </c>
      <c r="C119" s="7" t="n">
        <f aca="false">SUMIFS(REVENUE_RECOGNIZED!$E:$E,REVENUE_RECOGNIZED!$D:$D,$B119)</f>
        <v>184448.27</v>
      </c>
      <c r="D119" s="7" t="n">
        <f aca="false">AVERAGE(C117:C119)</f>
        <v>153947.43</v>
      </c>
      <c r="E119" s="8" t="n">
        <f aca="false">D119*12</f>
        <v>1847369.16</v>
      </c>
    </row>
    <row r="120" customFormat="false" ht="15" hidden="false" customHeight="true" outlineLevel="0" collapsed="false">
      <c r="B120" s="6" t="s">
        <v>40</v>
      </c>
      <c r="C120" s="7" t="n">
        <f aca="false">SUMIFS(REVENUE_RECOGNIZED!$E:$E,REVENUE_RECOGNIZED!$D:$D,$B120)</f>
        <v>181018.29</v>
      </c>
      <c r="D120" s="7" t="n">
        <f aca="false">AVERAGE(C118:C120)</f>
        <v>166337.793333333</v>
      </c>
      <c r="E120" s="8" t="n">
        <f aca="false">D120*12</f>
        <v>1996053.52</v>
      </c>
    </row>
    <row r="121" customFormat="false" ht="15" hidden="false" customHeight="true" outlineLevel="0" collapsed="false">
      <c r="B121" s="6" t="s">
        <v>41</v>
      </c>
      <c r="C121" s="7" t="n">
        <f aca="false">SUMIFS(REVENUE_RECOGNIZED!$E:$E,REVENUE_RECOGNIZED!$D:$D,$B121)</f>
        <v>177684.74</v>
      </c>
      <c r="D121" s="7" t="n">
        <f aca="false">AVERAGE(C119:C121)</f>
        <v>181050.433333333</v>
      </c>
      <c r="E121" s="8" t="n">
        <f aca="false">D121*12</f>
        <v>2172605.2</v>
      </c>
    </row>
    <row r="122" customFormat="false" ht="15" hidden="false" customHeight="true" outlineLevel="0" collapsed="false">
      <c r="B122" s="6" t="s">
        <v>42</v>
      </c>
      <c r="C122" s="7" t="n">
        <f aca="false">SUMIFS(REVENUE_RECOGNIZED!$E:$E,REVENUE_RECOGNIZED!$D:$D,$B122)</f>
        <v>176949.33</v>
      </c>
      <c r="D122" s="7" t="n">
        <f aca="false">AVERAGE(C120:C122)</f>
        <v>178550.786666667</v>
      </c>
      <c r="E122" s="8" t="n">
        <f aca="false">D122*12</f>
        <v>2142609.44</v>
      </c>
    </row>
    <row r="123" customFormat="false" ht="15" hidden="false" customHeight="true" outlineLevel="0" collapsed="false">
      <c r="B123" s="6" t="s">
        <v>43</v>
      </c>
      <c r="C123" s="7" t="n">
        <f aca="false">SUMIFS(REVENUE_RECOGNIZED!$E:$E,REVENUE_RECOGNIZED!$D:$D,$B123)</f>
        <v>153412.18</v>
      </c>
      <c r="D123" s="7" t="n">
        <f aca="false">AVERAGE(C121:C123)</f>
        <v>169348.75</v>
      </c>
      <c r="E123" s="8" t="n">
        <f aca="false">D123*12</f>
        <v>2032185</v>
      </c>
    </row>
    <row r="124" customFormat="false" ht="15" hidden="false" customHeight="true" outlineLevel="0" collapsed="false">
      <c r="B124" s="6" t="s">
        <v>44</v>
      </c>
      <c r="C124" s="7" t="n">
        <f aca="false">SUMIFS(REVENUE_RECOGNIZED!$E:$E,REVENUE_RECOGNIZED!$D:$D,$B124)</f>
        <v>161615.05</v>
      </c>
      <c r="D124" s="7" t="n">
        <f aca="false">AVERAGE(C122:C124)</f>
        <v>163992.186666667</v>
      </c>
      <c r="E124" s="8" t="n">
        <f aca="false">D124*12</f>
        <v>1967906.24</v>
      </c>
    </row>
    <row r="125" customFormat="false" ht="15" hidden="false" customHeight="true" outlineLevel="0" collapsed="false">
      <c r="B125" s="6" t="s">
        <v>45</v>
      </c>
      <c r="C125" s="7" t="n">
        <f aca="false">SUMIFS(REVENUE_RECOGNIZED!$E:$E,REVENUE_RECOGNIZED!$D:$D,$B125)</f>
        <v>147228.42</v>
      </c>
      <c r="D125" s="7" t="n">
        <f aca="false">AVERAGE(C123:C125)</f>
        <v>154085.216666667</v>
      </c>
      <c r="E125" s="8" t="n">
        <f aca="false">D125*12</f>
        <v>1849022.6</v>
      </c>
    </row>
    <row r="126" customFormat="false" ht="15" hidden="false" customHeight="true" outlineLevel="0" collapsed="false">
      <c r="B126" s="6" t="s">
        <v>46</v>
      </c>
      <c r="C126" s="7" t="n">
        <f aca="false">SUMIFS(REVENUE_RECOGNIZED!$E:$E,REVENUE_RECOGNIZED!$D:$D,$B126)</f>
        <v>151345.35</v>
      </c>
      <c r="D126" s="7" t="n">
        <f aca="false">AVERAGE(C124:C126)</f>
        <v>153396.273333333</v>
      </c>
      <c r="E126" s="8" t="n">
        <f aca="false">D126*12</f>
        <v>1840755.28</v>
      </c>
    </row>
    <row r="127" customFormat="false" ht="15" hidden="false" customHeight="true" outlineLevel="0" collapsed="false">
      <c r="B127" s="6" t="s">
        <v>47</v>
      </c>
      <c r="C127" s="7" t="n">
        <f aca="false">SUMIFS(REVENUE_RECOGNIZED!$E:$E,REVENUE_RECOGNIZED!$D:$D,$B127)</f>
        <v>178252.13</v>
      </c>
      <c r="D127" s="7" t="n">
        <f aca="false">AVERAGE(C125:C127)</f>
        <v>158941.966666667</v>
      </c>
      <c r="E127" s="8" t="n">
        <f aca="false">D127*12</f>
        <v>1907303.6</v>
      </c>
    </row>
    <row r="128" customFormat="false" ht="15" hidden="false" customHeight="true" outlineLevel="0" collapsed="false">
      <c r="B128" s="6" t="s">
        <v>48</v>
      </c>
      <c r="C128" s="7" t="n">
        <f aca="false">SUMIFS(REVENUE_RECOGNIZED!$E:$E,REVENUE_RECOGNIZED!$D:$D,$B128)</f>
        <v>143580.2</v>
      </c>
      <c r="D128" s="7" t="n">
        <f aca="false">AVERAGE(C126:C128)</f>
        <v>157725.893333333</v>
      </c>
      <c r="E128" s="8" t="n">
        <f aca="false">D128*12</f>
        <v>1892710.72</v>
      </c>
    </row>
    <row r="129" customFormat="false" ht="15" hidden="false" customHeight="true" outlineLevel="0" collapsed="false">
      <c r="B129" s="6" t="s">
        <v>49</v>
      </c>
      <c r="C129" s="7" t="n">
        <f aca="false">SUMIFS(REVENUE_RECOGNIZED!$E:$E,REVENUE_RECOGNIZED!$D:$D,$B129)</f>
        <v>173086.9</v>
      </c>
      <c r="D129" s="7" t="n">
        <f aca="false">AVERAGE(C127:C129)</f>
        <v>164973.076666667</v>
      </c>
      <c r="E129" s="8" t="n">
        <f aca="false">D129*12</f>
        <v>1979676.92</v>
      </c>
    </row>
    <row r="130" customFormat="false" ht="15" hidden="false" customHeight="true" outlineLevel="0" collapsed="false">
      <c r="B130" s="6" t="s">
        <v>50</v>
      </c>
      <c r="C130" s="7" t="n">
        <f aca="false">SUMIFS(REVENUE_RECOGNIZED!$E:$E,REVENUE_RECOGNIZED!$D:$D,$B130)</f>
        <v>171235.35</v>
      </c>
      <c r="D130" s="7" t="n">
        <f aca="false">AVERAGE(C128:C130)</f>
        <v>162634.15</v>
      </c>
      <c r="E130" s="8" t="n">
        <f aca="false">D130*12</f>
        <v>1951609.8</v>
      </c>
    </row>
    <row r="131" customFormat="false" ht="15" hidden="false" customHeight="true" outlineLevel="0" collapsed="false">
      <c r="B131" s="6" t="s">
        <v>51</v>
      </c>
      <c r="C131" s="7" t="n">
        <f aca="false">SUMIFS(REVENUE_RECOGNIZED!$E:$E,REVENUE_RECOGNIZED!$D:$D,$B131)</f>
        <v>164842.55</v>
      </c>
      <c r="D131" s="7" t="n">
        <f aca="false">AVERAGE(C129:C131)</f>
        <v>169721.6</v>
      </c>
      <c r="E131" s="8" t="n">
        <f aca="false">D131*12</f>
        <v>2036659.2</v>
      </c>
    </row>
    <row r="132" customFormat="false" ht="15" hidden="false" customHeight="true" outlineLevel="0" collapsed="false">
      <c r="B132" s="6" t="s">
        <v>52</v>
      </c>
      <c r="C132" s="7" t="n">
        <f aca="false">SUMIFS(REVENUE_RECOGNIZED!$E:$E,REVENUE_RECOGNIZED!$D:$D,$B132)</f>
        <v>152477.86</v>
      </c>
      <c r="D132" s="7" t="n">
        <f aca="false">AVERAGE(C130:C132)</f>
        <v>162851.92</v>
      </c>
      <c r="E132" s="8" t="n">
        <f aca="false">D132*12</f>
        <v>1954223.04</v>
      </c>
    </row>
    <row r="133" customFormat="false" ht="15" hidden="false" customHeight="true" outlineLevel="0" collapsed="false">
      <c r="B133" s="6" t="s">
        <v>53</v>
      </c>
      <c r="C133" s="7" t="n">
        <f aca="false">SUMIFS(REVENUE_RECOGNIZED!$E:$E,REVENUE_RECOGNIZED!$D:$D,$B133)</f>
        <v>150567.66</v>
      </c>
      <c r="D133" s="7" t="n">
        <f aca="false">AVERAGE(C131:C133)</f>
        <v>155962.69</v>
      </c>
      <c r="E133" s="8" t="n">
        <f aca="false">D133*12</f>
        <v>1871552.28</v>
      </c>
    </row>
    <row r="134" customFormat="false" ht="15" hidden="false" customHeight="true" outlineLevel="0" collapsed="false">
      <c r="B134" s="6" t="s">
        <v>54</v>
      </c>
      <c r="C134" s="7" t="n">
        <f aca="false">SUMIFS(REVENUE_RECOGNIZED!$E:$E,REVENUE_RECOGNIZED!$D:$D,$B134)</f>
        <v>143064.4</v>
      </c>
      <c r="D134" s="7" t="n">
        <f aca="false">AVERAGE(C132:C134)</f>
        <v>148703.306666667</v>
      </c>
      <c r="E134" s="8" t="n">
        <f aca="false">D134*12</f>
        <v>1784439.68</v>
      </c>
    </row>
    <row r="135" customFormat="false" ht="15" hidden="false" customHeight="true" outlineLevel="0" collapsed="false">
      <c r="B135" s="6" t="s">
        <v>55</v>
      </c>
      <c r="C135" s="7" t="n">
        <f aca="false">SUMIFS(REVENUE_RECOGNIZED!$E:$E,REVENUE_RECOGNIZED!$D:$D,$B135)</f>
        <v>124011.13</v>
      </c>
      <c r="D135" s="7" t="n">
        <f aca="false">AVERAGE(C133:C135)</f>
        <v>139214.396666667</v>
      </c>
      <c r="E135" s="8" t="n">
        <f aca="false">D135*12</f>
        <v>1670572.76</v>
      </c>
    </row>
    <row r="136" customFormat="false" ht="15" hidden="false" customHeight="true" outlineLevel="0" collapsed="false">
      <c r="B136" s="6" t="s">
        <v>56</v>
      </c>
      <c r="C136" s="7" t="n">
        <f aca="false">SUMIFS(REVENUE_RECOGNIZED!$E:$E,REVENUE_RECOGNIZED!$D:$D,$B136)</f>
        <v>144886.34</v>
      </c>
      <c r="D136" s="7" t="n">
        <f aca="false">AVERAGE(C134:C136)</f>
        <v>137320.623333333</v>
      </c>
      <c r="E136" s="8" t="n">
        <f aca="false">D136*12</f>
        <v>1647847.48</v>
      </c>
    </row>
    <row r="137" customFormat="false" ht="15" hidden="false" customHeight="true" outlineLevel="0" collapsed="false">
      <c r="B137" s="6" t="s">
        <v>57</v>
      </c>
      <c r="C137" s="7" t="n">
        <f aca="false">SUMIFS(REVENUE_RECOGNIZED!$E:$E,REVENUE_RECOGNIZED!$D:$D,$B137)</f>
        <v>133828.38</v>
      </c>
      <c r="D137" s="7" t="n">
        <f aca="false">AVERAGE(C135:C137)</f>
        <v>134241.95</v>
      </c>
      <c r="E137" s="8" t="n">
        <f aca="false">D137*12</f>
        <v>1610903.4</v>
      </c>
    </row>
    <row r="138" customFormat="false" ht="15" hidden="false" customHeight="true" outlineLevel="0" collapsed="false">
      <c r="B138" s="6" t="s">
        <v>58</v>
      </c>
      <c r="C138" s="7" t="n">
        <f aca="false">SUMIFS(REVENUE_RECOGNIZED!$E:$E,REVENUE_RECOGNIZED!$D:$D,$B138)</f>
        <v>137196.06</v>
      </c>
      <c r="D138" s="7" t="n">
        <f aca="false">AVERAGE(C136:C138)</f>
        <v>138636.926666667</v>
      </c>
      <c r="E138" s="8" t="n">
        <f aca="false">D138*12</f>
        <v>1663643.12</v>
      </c>
    </row>
    <row r="139" customFormat="false" ht="15" hidden="false" customHeight="true" outlineLevel="0" collapsed="false">
      <c r="B139" s="6" t="s">
        <v>59</v>
      </c>
      <c r="C139" s="7" t="n">
        <f aca="false">SUMIFS(REVENUE_RECOGNIZED!$E:$E,REVENUE_RECOGNIZED!$D:$D,$B139)</f>
        <v>147738.4</v>
      </c>
      <c r="D139" s="7" t="n">
        <f aca="false">AVERAGE(C137:C139)</f>
        <v>139587.613333333</v>
      </c>
      <c r="E139" s="8" t="n">
        <f aca="false">D139*12</f>
        <v>1675051.36</v>
      </c>
    </row>
    <row r="140" customFormat="false" ht="15" hidden="false" customHeight="true" outlineLevel="0" collapsed="false">
      <c r="B140" s="6" t="s">
        <v>60</v>
      </c>
      <c r="C140" s="7" t="n">
        <f aca="false">SUMIFS(REVENUE_RECOGNIZED!$E:$E,REVENUE_RECOGNIZED!$D:$D,$B140)</f>
        <v>123946.04</v>
      </c>
      <c r="D140" s="7" t="n">
        <f aca="false">AVERAGE(C138:C140)</f>
        <v>136293.5</v>
      </c>
      <c r="E140" s="8" t="n">
        <f aca="false">D140*12</f>
        <v>1635522</v>
      </c>
    </row>
    <row r="141" customFormat="false" ht="15" hidden="false" customHeight="true" outlineLevel="0" collapsed="false">
      <c r="B141" s="6" t="s">
        <v>61</v>
      </c>
      <c r="C141" s="7" t="n">
        <f aca="false">SUMIFS(REVENUE_RECOGNIZED!$E:$E,REVENUE_RECOGNIZED!$D:$D,$B141)</f>
        <v>154605.04</v>
      </c>
      <c r="D141" s="7" t="n">
        <f aca="false">AVERAGE(C139:C141)</f>
        <v>142096.493333333</v>
      </c>
      <c r="E141" s="8" t="n">
        <f aca="false">D141*12</f>
        <v>1705157.92</v>
      </c>
    </row>
    <row r="142" customFormat="false" ht="15" hidden="false" customHeight="true" outlineLevel="0" collapsed="false">
      <c r="B142" s="6" t="s">
        <v>62</v>
      </c>
      <c r="C142" s="7" t="n">
        <f aca="false">SUMIFS(REVENUE_RECOGNIZED!$E:$E,REVENUE_RECOGNIZED!$D:$D,$B142)</f>
        <v>145883.89</v>
      </c>
      <c r="D142" s="7" t="n">
        <f aca="false">AVERAGE(C140:C142)</f>
        <v>141478.323333333</v>
      </c>
      <c r="E142" s="8" t="n">
        <f aca="false">D142*12</f>
        <v>1697739.88</v>
      </c>
    </row>
    <row r="143" customFormat="false" ht="15" hidden="false" customHeight="true" outlineLevel="0" collapsed="false">
      <c r="B143" s="6" t="s">
        <v>63</v>
      </c>
      <c r="C143" s="7" t="n">
        <f aca="false">SUMIFS(REVENUE_RECOGNIZED!$E:$E,REVENUE_RECOGNIZED!$D:$D,$B143)</f>
        <v>179350.8</v>
      </c>
      <c r="D143" s="7" t="n">
        <f aca="false">AVERAGE(C141:C143)</f>
        <v>159946.576666667</v>
      </c>
      <c r="E143" s="8" t="n">
        <f aca="false">D143*12</f>
        <v>1919358.92</v>
      </c>
    </row>
    <row r="144" customFormat="false" ht="15" hidden="false" customHeight="true" outlineLevel="0" collapsed="false">
      <c r="B144" s="6" t="s">
        <v>64</v>
      </c>
      <c r="C144" s="7" t="n">
        <f aca="false">SUMIFS(REVENUE_RECOGNIZED!$E:$E,REVENUE_RECOGNIZED!$D:$D,$B144)</f>
        <v>133564.72</v>
      </c>
      <c r="D144" s="7" t="n">
        <f aca="false">AVERAGE(C142:C144)</f>
        <v>152933.136666667</v>
      </c>
      <c r="E144" s="8" t="n">
        <f aca="false">D144*12</f>
        <v>1835197.64</v>
      </c>
    </row>
    <row r="145" customFormat="false" ht="15" hidden="false" customHeight="true" outlineLevel="0" collapsed="false">
      <c r="B145" s="6" t="s">
        <v>65</v>
      </c>
      <c r="C145" s="7" t="n">
        <f aca="false">SUMIFS(REVENUE_RECOGNIZED!$E:$E,REVENUE_RECOGNIZED!$D:$D,$B145)</f>
        <v>82334.49</v>
      </c>
      <c r="D145" s="7" t="n">
        <f aca="false">AVERAGE(C143:C145)</f>
        <v>131750.003333333</v>
      </c>
      <c r="E145" s="8" t="n">
        <f aca="false">D145*12</f>
        <v>1581000.04</v>
      </c>
    </row>
    <row r="146" customFormat="false" ht="15" hidden="false" customHeight="true" outlineLevel="0" collapsed="false">
      <c r="B146" s="6" t="s">
        <v>66</v>
      </c>
      <c r="C146" s="7" t="n">
        <f aca="false">SUMIFS(REVENUE_RECOGNIZED!$E:$E,REVENUE_RECOGNIZED!$D:$D,$B146)</f>
        <v>13188.76</v>
      </c>
      <c r="D146" s="7" t="n">
        <f aca="false">AVERAGE(C144:C146)</f>
        <v>76362.6566666667</v>
      </c>
      <c r="E146" s="8" t="n">
        <f aca="false">D146*12</f>
        <v>916351.88</v>
      </c>
    </row>
    <row r="148" customFormat="false" ht="15" hidden="false" customHeight="true" outlineLevel="0" collapsed="false">
      <c r="B148" s="9" t="s">
        <v>73</v>
      </c>
      <c r="C148" s="11" t="n">
        <f aca="false">E146</f>
        <v>916351.88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32"/>
  </cols>
  <sheetData>
    <row r="2" customFormat="false" ht="17.25" hidden="false" customHeight="true" outlineLevel="0" collapsed="false">
      <c r="B2" s="2" t="s">
        <v>74</v>
      </c>
    </row>
    <row r="3" customFormat="false" ht="21.75" hidden="false" customHeight="true" outlineLevel="0" collapsed="false">
      <c r="B3" s="12" t="s">
        <v>75</v>
      </c>
      <c r="C3" s="12"/>
      <c r="D3" s="12"/>
      <c r="E3" s="12"/>
      <c r="F3" s="12"/>
      <c r="G3" s="12"/>
      <c r="H3" s="12"/>
      <c r="I3" s="12"/>
    </row>
    <row r="6" customFormat="false" ht="23.25" hidden="false" customHeight="true" outlineLevel="0" collapsed="false">
      <c r="B6" s="5" t="s">
        <v>76</v>
      </c>
      <c r="C6" s="5" t="s">
        <v>77</v>
      </c>
      <c r="D6" s="5" t="s">
        <v>78</v>
      </c>
      <c r="E6" s="5" t="s">
        <v>79</v>
      </c>
      <c r="F6" s="5" t="s">
        <v>80</v>
      </c>
      <c r="G6" s="5" t="s">
        <v>81</v>
      </c>
      <c r="H6" s="5" t="s">
        <v>82</v>
      </c>
      <c r="I6" s="5" t="s">
        <v>83</v>
      </c>
    </row>
    <row r="7" customFormat="false" ht="15" hidden="false" customHeight="true" outlineLevel="0" collapsed="false">
      <c r="B7" s="6" t="s">
        <v>84</v>
      </c>
      <c r="C7" s="6" t="str">
        <f aca="false">INDEX(ORIGINATIONS!$C:$C,MATCH($B7,ORIGINATIONS!$A:$A,0))</f>
        <v>PTR-001</v>
      </c>
      <c r="D7" s="13" t="n">
        <f aca="false">INDEX(ORIGINATIONS!$F:$F,MATCH($B7,ORIGINATIONS!$A:$A,0))</f>
        <v>46241</v>
      </c>
      <c r="E7" s="14" t="n">
        <f aca="false">INDEX(ORIGINATIONS!$L:$L,MATCH($B7,ORIGINATIONS!$A:$A,0))</f>
        <v>76089.9</v>
      </c>
      <c r="F7" s="6" t="str">
        <f aca="false">INDEX(ORIGINATIONS!$R:$R,MATCH($B7,ORIGINATIONS!$A:$A,0))</f>
        <v>active</v>
      </c>
      <c r="G7" s="6" t="n">
        <f aca="true">TODAY()-$D7</f>
        <v>7</v>
      </c>
      <c r="H7" s="15" t="n">
        <f aca="false">COUNTIFS(REPAYMENTS!$B:$B,$B7)</f>
        <v>0</v>
      </c>
      <c r="I7" s="6" t="str">
        <f aca="false">IF($G7&lt;14,"Likely too recent (&lt;14 days) - not a gap","Review - potential data gap")</f>
        <v>Likely too recent (&lt;14 days) - not a gap</v>
      </c>
    </row>
    <row r="8" customFormat="false" ht="15" hidden="false" customHeight="true" outlineLevel="0" collapsed="false">
      <c r="B8" s="6" t="s">
        <v>85</v>
      </c>
      <c r="C8" s="6" t="str">
        <f aca="false">INDEX(ORIGINATIONS!$C:$C,MATCH($B8,ORIGINATIONS!$A:$A,0))</f>
        <v>PTR-001</v>
      </c>
      <c r="D8" s="13" t="n">
        <f aca="false">INDEX(ORIGINATIONS!$F:$F,MATCH($B8,ORIGINATIONS!$A:$A,0))</f>
        <v>46240</v>
      </c>
      <c r="E8" s="14" t="n">
        <f aca="false">INDEX(ORIGINATIONS!$L:$L,MATCH($B8,ORIGINATIONS!$A:$A,0))</f>
        <v>10239.16</v>
      </c>
      <c r="F8" s="6" t="str">
        <f aca="false">INDEX(ORIGINATIONS!$R:$R,MATCH($B8,ORIGINATIONS!$A:$A,0))</f>
        <v>active</v>
      </c>
      <c r="G8" s="6" t="n">
        <f aca="true">TODAY()-$D8</f>
        <v>8</v>
      </c>
      <c r="H8" s="15" t="n">
        <f aca="false">COUNTIFS(REPAYMENTS!$B:$B,$B8)</f>
        <v>0</v>
      </c>
      <c r="I8" s="6" t="str">
        <f aca="false">IF($G8&lt;14,"Likely too recent (&lt;14 days) - not a gap","Review - potential data gap")</f>
        <v>Likely too recent (&lt;14 days) - not a gap</v>
      </c>
    </row>
    <row r="9" customFormat="false" ht="15" hidden="false" customHeight="true" outlineLevel="0" collapsed="false">
      <c r="B9" s="6" t="s">
        <v>86</v>
      </c>
      <c r="C9" s="6" t="str">
        <f aca="false">INDEX(ORIGINATIONS!$C:$C,MATCH($B9,ORIGINATIONS!$A:$A,0))</f>
        <v>PTR-004</v>
      </c>
      <c r="D9" s="13" t="n">
        <f aca="false">INDEX(ORIGINATIONS!$F:$F,MATCH($B9,ORIGINATIONS!$A:$A,0))</f>
        <v>46246</v>
      </c>
      <c r="E9" s="14" t="n">
        <f aca="false">INDEX(ORIGINATIONS!$L:$L,MATCH($B9,ORIGINATIONS!$A:$A,0))</f>
        <v>78219.13</v>
      </c>
      <c r="F9" s="6" t="str">
        <f aca="false">INDEX(ORIGINATIONS!$R:$R,MATCH($B9,ORIGINATIONS!$A:$A,0))</f>
        <v>active</v>
      </c>
      <c r="G9" s="6" t="n">
        <f aca="true">TODAY()-$D9</f>
        <v>2</v>
      </c>
      <c r="H9" s="15" t="n">
        <f aca="false">COUNTIFS(REPAYMENTS!$B:$B,$B9)</f>
        <v>0</v>
      </c>
      <c r="I9" s="6" t="str">
        <f aca="false">IF($G9&lt;14,"Likely too recent (&lt;14 days) - not a gap","Review - potential data gap")</f>
        <v>Likely too recent (&lt;14 days) - not a gap</v>
      </c>
    </row>
    <row r="10" customFormat="false" ht="15" hidden="false" customHeight="true" outlineLevel="0" collapsed="false">
      <c r="B10" s="6" t="s">
        <v>87</v>
      </c>
      <c r="C10" s="6" t="str">
        <f aca="false">INDEX(ORIGINATIONS!$C:$C,MATCH($B10,ORIGINATIONS!$A:$A,0))</f>
        <v>PTR-006</v>
      </c>
      <c r="D10" s="13" t="n">
        <f aca="false">INDEX(ORIGINATIONS!$F:$F,MATCH($B10,ORIGINATIONS!$A:$A,0))</f>
        <v>46245</v>
      </c>
      <c r="E10" s="14" t="n">
        <f aca="false">INDEX(ORIGINATIONS!$L:$L,MATCH($B10,ORIGINATIONS!$A:$A,0))</f>
        <v>48620.01</v>
      </c>
      <c r="F10" s="6" t="str">
        <f aca="false">INDEX(ORIGINATIONS!$R:$R,MATCH($B10,ORIGINATIONS!$A:$A,0))</f>
        <v>active</v>
      </c>
      <c r="G10" s="6" t="n">
        <f aca="true">TODAY()-$D10</f>
        <v>3</v>
      </c>
      <c r="H10" s="15" t="n">
        <f aca="false">COUNTIFS(REPAYMENTS!$B:$B,$B10)</f>
        <v>0</v>
      </c>
      <c r="I10" s="6" t="str">
        <f aca="false">IF($G10&lt;14,"Likely too recent (&lt;14 days) - not a gap","Review - potential data gap")</f>
        <v>Likely too recent (&lt;14 days) - not a gap</v>
      </c>
    </row>
    <row r="11" customFormat="false" ht="15" hidden="false" customHeight="true" outlineLevel="0" collapsed="false">
      <c r="B11" s="6" t="s">
        <v>88</v>
      </c>
      <c r="C11" s="6" t="str">
        <f aca="false">INDEX(ORIGINATIONS!$C:$C,MATCH($B11,ORIGINATIONS!$A:$A,0))</f>
        <v>PTR-002</v>
      </c>
      <c r="D11" s="13" t="n">
        <f aca="false">INDEX(ORIGINATIONS!$F:$F,MATCH($B11,ORIGINATIONS!$A:$A,0))</f>
        <v>46241</v>
      </c>
      <c r="E11" s="14" t="n">
        <f aca="false">INDEX(ORIGINATIONS!$L:$L,MATCH($B11,ORIGINATIONS!$A:$A,0))</f>
        <v>39920.14</v>
      </c>
      <c r="F11" s="6" t="str">
        <f aca="false">INDEX(ORIGINATIONS!$R:$R,MATCH($B11,ORIGINATIONS!$A:$A,0))</f>
        <v>active</v>
      </c>
      <c r="G11" s="6" t="n">
        <f aca="true">TODAY()-$D11</f>
        <v>7</v>
      </c>
      <c r="H11" s="15" t="n">
        <f aca="false">COUNTIFS(REPAYMENTS!$B:$B,$B11)</f>
        <v>0</v>
      </c>
      <c r="I11" s="6" t="str">
        <f aca="false">IF($G11&lt;14,"Likely too recent (&lt;14 days) - not a gap","Review - potential data gap")</f>
        <v>Likely too recent (&lt;14 days) - not a gap</v>
      </c>
    </row>
    <row r="12" customFormat="false" ht="15" hidden="false" customHeight="true" outlineLevel="0" collapsed="false">
      <c r="B12" s="6" t="s">
        <v>89</v>
      </c>
      <c r="C12" s="6" t="str">
        <f aca="false">INDEX(ORIGINATIONS!$C:$C,MATCH($B12,ORIGINATIONS!$A:$A,0))</f>
        <v>PTR-002</v>
      </c>
      <c r="D12" s="13" t="n">
        <f aca="false">INDEX(ORIGINATIONS!$F:$F,MATCH($B12,ORIGINATIONS!$A:$A,0))</f>
        <v>46239</v>
      </c>
      <c r="E12" s="14" t="n">
        <f aca="false">INDEX(ORIGINATIONS!$L:$L,MATCH($B12,ORIGINATIONS!$A:$A,0))</f>
        <v>26595.33</v>
      </c>
      <c r="F12" s="6" t="str">
        <f aca="false">INDEX(ORIGINATIONS!$R:$R,MATCH($B12,ORIGINATIONS!$A:$A,0))</f>
        <v>active</v>
      </c>
      <c r="G12" s="6" t="n">
        <f aca="true">TODAY()-$D12</f>
        <v>9</v>
      </c>
      <c r="H12" s="15" t="n">
        <f aca="false">COUNTIFS(REPAYMENTS!$B:$B,$B12)</f>
        <v>0</v>
      </c>
      <c r="I12" s="6" t="str">
        <f aca="false">IF($G12&lt;14,"Likely too recent (&lt;14 days) - not a gap","Review - potential data gap")</f>
        <v>Likely too recent (&lt;14 days) - not a gap</v>
      </c>
    </row>
    <row r="13" customFormat="false" ht="15" hidden="false" customHeight="true" outlineLevel="0" collapsed="false">
      <c r="B13" s="6" t="s">
        <v>90</v>
      </c>
      <c r="C13" s="6" t="str">
        <f aca="false">INDEX(ORIGINATIONS!$C:$C,MATCH($B13,ORIGINATIONS!$A:$A,0))</f>
        <v>PTR-003</v>
      </c>
      <c r="D13" s="13" t="n">
        <f aca="false">INDEX(ORIGINATIONS!$F:$F,MATCH($B13,ORIGINATIONS!$A:$A,0))</f>
        <v>46238</v>
      </c>
      <c r="E13" s="14" t="n">
        <f aca="false">INDEX(ORIGINATIONS!$L:$L,MATCH($B13,ORIGINATIONS!$A:$A,0))</f>
        <v>47976.95</v>
      </c>
      <c r="F13" s="6" t="str">
        <f aca="false">INDEX(ORIGINATIONS!$R:$R,MATCH($B13,ORIGINATIONS!$A:$A,0))</f>
        <v>active</v>
      </c>
      <c r="G13" s="6" t="n">
        <f aca="true">TODAY()-$D13</f>
        <v>10</v>
      </c>
      <c r="H13" s="15" t="n">
        <f aca="false">COUNTIFS(REPAYMENTS!$B:$B,$B13)</f>
        <v>0</v>
      </c>
      <c r="I13" s="6" t="str">
        <f aca="false">IF($G13&lt;14,"Likely too recent (&lt;14 days) - not a gap","Review - potential data gap")</f>
        <v>Likely too recent (&lt;14 days) - not a gap</v>
      </c>
    </row>
    <row r="14" customFormat="false" ht="15" hidden="false" customHeight="true" outlineLevel="0" collapsed="false">
      <c r="B14" s="6" t="s">
        <v>91</v>
      </c>
      <c r="C14" s="6" t="str">
        <f aca="false">INDEX(ORIGINATIONS!$C:$C,MATCH($B14,ORIGINATIONS!$A:$A,0))</f>
        <v>PTR-003</v>
      </c>
      <c r="D14" s="13" t="n">
        <f aca="false">INDEX(ORIGINATIONS!$F:$F,MATCH($B14,ORIGINATIONS!$A:$A,0))</f>
        <v>45978</v>
      </c>
      <c r="E14" s="14" t="n">
        <f aca="false">INDEX(ORIGINATIONS!$L:$L,MATCH($B14,ORIGINATIONS!$A:$A,0))</f>
        <v>33704.92</v>
      </c>
      <c r="F14" s="6" t="str">
        <f aca="false">INDEX(ORIGINATIONS!$R:$R,MATCH($B14,ORIGINATIONS!$A:$A,0))</f>
        <v>active</v>
      </c>
      <c r="G14" s="6" t="n">
        <f aca="true">TODAY()-$D14</f>
        <v>270</v>
      </c>
      <c r="H14" s="15" t="n">
        <f aca="false">COUNTIFS(REPAYMENTS!$B:$B,$B14)</f>
        <v>0</v>
      </c>
      <c r="I14" s="6" t="str">
        <f aca="false">IF($G14&lt;14,"Likely too recent (&lt;14 days) - not a gap","Review - potential data gap")</f>
        <v>Review - potential data gap</v>
      </c>
    </row>
    <row r="15" customFormat="false" ht="15" hidden="false" customHeight="true" outlineLevel="0" collapsed="false">
      <c r="B15" s="6" t="s">
        <v>92</v>
      </c>
      <c r="C15" s="6" t="str">
        <f aca="false">INDEX(ORIGINATIONS!$C:$C,MATCH($B15,ORIGINATIONS!$A:$A,0))</f>
        <v>PTR-001</v>
      </c>
      <c r="D15" s="13" t="n">
        <f aca="false">INDEX(ORIGINATIONS!$F:$F,MATCH($B15,ORIGINATIONS!$A:$A,0))</f>
        <v>45876</v>
      </c>
      <c r="E15" s="14" t="n">
        <f aca="false">INDEX(ORIGINATIONS!$L:$L,MATCH($B15,ORIGINATIONS!$A:$A,0))</f>
        <v>27350.26</v>
      </c>
      <c r="F15" s="6" t="str">
        <f aca="false">INDEX(ORIGINATIONS!$R:$R,MATCH($B15,ORIGINATIONS!$A:$A,0))</f>
        <v>active</v>
      </c>
      <c r="G15" s="6" t="n">
        <f aca="true">TODAY()-$D15</f>
        <v>372</v>
      </c>
      <c r="H15" s="15" t="n">
        <f aca="false">COUNTIFS(REPAYMENTS!$B:$B,$B15)</f>
        <v>0</v>
      </c>
      <c r="I15" s="6" t="str">
        <f aca="false">IF($G15&lt;14,"Likely too recent (&lt;14 days) - not a gap","Review - potential data gap")</f>
        <v>Review - potential data gap</v>
      </c>
    </row>
    <row r="16" customFormat="false" ht="15" hidden="false" customHeight="true" outlineLevel="0" collapsed="false">
      <c r="B16" s="6" t="s">
        <v>93</v>
      </c>
      <c r="C16" s="6" t="str">
        <f aca="false">INDEX(ORIGINATIONS!$C:$C,MATCH($B16,ORIGINATIONS!$A:$A,0))</f>
        <v>PTR-004</v>
      </c>
      <c r="D16" s="13" t="n">
        <f aca="false">INDEX(ORIGINATIONS!$F:$F,MATCH($B16,ORIGINATIONS!$A:$A,0))</f>
        <v>45946</v>
      </c>
      <c r="E16" s="14" t="n">
        <f aca="false">INDEX(ORIGINATIONS!$L:$L,MATCH($B16,ORIGINATIONS!$A:$A,0))</f>
        <v>29547.49</v>
      </c>
      <c r="F16" s="6" t="str">
        <f aca="false">INDEX(ORIGINATIONS!$R:$R,MATCH($B16,ORIGINATIONS!$A:$A,0))</f>
        <v>active</v>
      </c>
      <c r="G16" s="6" t="n">
        <f aca="true">TODAY()-$D16</f>
        <v>302</v>
      </c>
      <c r="H16" s="15" t="n">
        <f aca="false">COUNTIFS(REPAYMENTS!$B:$B,$B16)</f>
        <v>0</v>
      </c>
      <c r="I16" s="6" t="str">
        <f aca="false">IF($G16&lt;14,"Likely too recent (&lt;14 days) - not a gap","Review - potential data gap")</f>
        <v>Review - potential data gap</v>
      </c>
    </row>
    <row r="20" customFormat="false" ht="15" hidden="false" customHeight="true" outlineLevel="0" collapsed="false">
      <c r="B20" s="3" t="s">
        <v>94</v>
      </c>
    </row>
    <row r="21" customFormat="false" ht="15" hidden="false" customHeight="true" outlineLevel="0" collapsed="false">
      <c r="B21" s="6" t="s">
        <v>95</v>
      </c>
      <c r="D21" s="9" t="n">
        <v>10</v>
      </c>
    </row>
    <row r="22" customFormat="false" ht="15" hidden="false" customHeight="true" outlineLevel="0" collapsed="false">
      <c r="B22" s="6" t="s">
        <v>96</v>
      </c>
      <c r="D22" s="9" t="n">
        <f aca="false">COUNTIF(I7:I16,"Likely too recent (&lt;14 days) - not a gap")</f>
        <v>7</v>
      </c>
    </row>
    <row r="23" customFormat="false" ht="15" hidden="false" customHeight="true" outlineLevel="0" collapsed="false">
      <c r="B23" s="6" t="s">
        <v>97</v>
      </c>
      <c r="D23" s="9" t="n">
        <f aca="false">COUNTIF(I7:I16,"Review - potential data gap")</f>
        <v>3</v>
      </c>
    </row>
  </sheetData>
  <mergeCells count="1">
    <mergeCell ref="B3:I3"/>
  </mergeCells>
  <conditionalFormatting sqref="B7:I16">
    <cfRule type="expression" priority="2" aboveAverage="0" equalAverage="0" bottom="0" percent="0" rank="0" text="" dxfId="0">
      <formula>$I7="Review - potential data gap"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6" min="6" style="1" width="18"/>
  </cols>
  <sheetData>
    <row r="2" customFormat="false" ht="17.25" hidden="false" customHeight="true" outlineLevel="0" collapsed="false">
      <c r="B2" s="2" t="s">
        <v>98</v>
      </c>
    </row>
    <row r="3" customFormat="false" ht="21.75" hidden="false" customHeight="true" outlineLevel="0" collapsed="false">
      <c r="B3" s="16" t="s">
        <v>99</v>
      </c>
      <c r="C3" s="16"/>
      <c r="D3" s="16"/>
      <c r="E3" s="16"/>
      <c r="F3" s="16"/>
    </row>
    <row r="6" customFormat="false" ht="23.25" hidden="false" customHeight="true" outlineLevel="0" collapsed="false">
      <c r="B6" s="5" t="s">
        <v>100</v>
      </c>
      <c r="C6" s="5" t="s">
        <v>101</v>
      </c>
      <c r="D6" s="5" t="s">
        <v>102</v>
      </c>
      <c r="E6" s="5" t="s">
        <v>103</v>
      </c>
      <c r="F6" s="5" t="s">
        <v>104</v>
      </c>
    </row>
    <row r="7" customFormat="false" ht="15" hidden="false" customHeight="true" outlineLevel="0" collapsed="false">
      <c r="B7" s="6" t="s">
        <v>11</v>
      </c>
      <c r="C7" s="7" t="n">
        <f aca="false">SUMIFS(ORIGINATIONS!$L:$L,ORIGINATIONS!$U:$U,$B7)</f>
        <v>1017432.65</v>
      </c>
      <c r="D7" s="7" t="n">
        <f aca="false">SUMIFS(ORIGINATIONS!$L:$L,ORIGINATIONS!$U:$U,$B7,ORIGINATIONS!$R:$R,"delinquent")+SUMIFS(ORIGINATIONS!$L:$L,ORIGINATIONS!$U:$U,$B7,ORIGINATIONS!$R:$R,"default")</f>
        <v>102852.15</v>
      </c>
      <c r="E7" s="17" t="n">
        <f aca="false">IFERROR(D7/C7,0)</f>
        <v>0.101089885409123</v>
      </c>
      <c r="F7" s="15" t="n">
        <f aca="false">COUNTIFS(ORIGINATIONS!$U:$U,$B7)</f>
        <v>31</v>
      </c>
    </row>
    <row r="8" customFormat="false" ht="15" hidden="false" customHeight="true" outlineLevel="0" collapsed="false">
      <c r="B8" s="6" t="s">
        <v>12</v>
      </c>
      <c r="C8" s="7" t="n">
        <f aca="false">SUMIFS(ORIGINATIONS!$L:$L,ORIGINATIONS!$U:$U,$B8)</f>
        <v>531860.35</v>
      </c>
      <c r="D8" s="7" t="n">
        <f aca="false">SUMIFS(ORIGINATIONS!$L:$L,ORIGINATIONS!$U:$U,$B8,ORIGINATIONS!$R:$R,"delinquent")+SUMIFS(ORIGINATIONS!$L:$L,ORIGINATIONS!$U:$U,$B8,ORIGINATIONS!$R:$R,"default")</f>
        <v>132214.97</v>
      </c>
      <c r="E8" s="17" t="n">
        <f aca="false">IFERROR(D8/C8,0)</f>
        <v>0.248589634478299</v>
      </c>
      <c r="F8" s="15" t="n">
        <f aca="false">COUNTIFS(ORIGINATIONS!$U:$U,$B8)</f>
        <v>20</v>
      </c>
    </row>
    <row r="9" customFormat="false" ht="15" hidden="false" customHeight="true" outlineLevel="0" collapsed="false">
      <c r="B9" s="6" t="s">
        <v>13</v>
      </c>
      <c r="C9" s="7" t="n">
        <f aca="false">SUMIFS(ORIGINATIONS!$L:$L,ORIGINATIONS!$U:$U,$B9)</f>
        <v>744198.28</v>
      </c>
      <c r="D9" s="7" t="n">
        <f aca="false">SUMIFS(ORIGINATIONS!$L:$L,ORIGINATIONS!$U:$U,$B9,ORIGINATIONS!$R:$R,"delinquent")+SUMIFS(ORIGINATIONS!$L:$L,ORIGINATIONS!$U:$U,$B9,ORIGINATIONS!$R:$R,"default")</f>
        <v>63293.71</v>
      </c>
      <c r="E9" s="17" t="n">
        <f aca="false">IFERROR(D9/C9,0)</f>
        <v>0.0850495247046258</v>
      </c>
      <c r="F9" s="15" t="n">
        <f aca="false">COUNTIFS(ORIGINATIONS!$U:$U,$B9)</f>
        <v>24</v>
      </c>
    </row>
    <row r="10" customFormat="false" ht="15" hidden="false" customHeight="true" outlineLevel="0" collapsed="false">
      <c r="B10" s="6" t="s">
        <v>14</v>
      </c>
      <c r="C10" s="7" t="n">
        <f aca="false">SUMIFS(ORIGINATIONS!$L:$L,ORIGINATIONS!$U:$U,$B10)</f>
        <v>1013685.41</v>
      </c>
      <c r="D10" s="7" t="n">
        <f aca="false">SUMIFS(ORIGINATIONS!$L:$L,ORIGINATIONS!$U:$U,$B10,ORIGINATIONS!$R:$R,"delinquent")+SUMIFS(ORIGINATIONS!$L:$L,ORIGINATIONS!$U:$U,$B10,ORIGINATIONS!$R:$R,"default")</f>
        <v>133870.49</v>
      </c>
      <c r="E10" s="17" t="n">
        <f aca="false">IFERROR(D10/C10,0)</f>
        <v>0.132063151624132</v>
      </c>
      <c r="F10" s="15" t="n">
        <f aca="false">COUNTIFS(ORIGINATIONS!$U:$U,$B10)</f>
        <v>27</v>
      </c>
    </row>
    <row r="11" customFormat="false" ht="15" hidden="false" customHeight="true" outlineLevel="0" collapsed="false">
      <c r="B11" s="6" t="s">
        <v>15</v>
      </c>
      <c r="C11" s="7" t="n">
        <f aca="false">SUMIFS(ORIGINATIONS!$L:$L,ORIGINATIONS!$U:$U,$B11)</f>
        <v>649055.93</v>
      </c>
      <c r="D11" s="7" t="n">
        <f aca="false">SUMIFS(ORIGINATIONS!$L:$L,ORIGINATIONS!$U:$U,$B11,ORIGINATIONS!$R:$R,"delinquent")+SUMIFS(ORIGINATIONS!$L:$L,ORIGINATIONS!$U:$U,$B11,ORIGINATIONS!$R:$R,"default")</f>
        <v>7744.66</v>
      </c>
      <c r="E11" s="17" t="n">
        <f aca="false">IFERROR(D11/C11,0)</f>
        <v>0.0119321920377494</v>
      </c>
      <c r="F11" s="15" t="n">
        <f aca="false">COUNTIFS(ORIGINATIONS!$U:$U,$B11)</f>
        <v>17</v>
      </c>
    </row>
    <row r="12" customFormat="false" ht="15" hidden="false" customHeight="true" outlineLevel="0" collapsed="false">
      <c r="B12" s="6" t="s">
        <v>16</v>
      </c>
      <c r="C12" s="7" t="n">
        <f aca="false">SUMIFS(ORIGINATIONS!$L:$L,ORIGINATIONS!$U:$U,$B12)</f>
        <v>910333.4</v>
      </c>
      <c r="D12" s="7" t="n">
        <f aca="false">SUMIFS(ORIGINATIONS!$L:$L,ORIGINATIONS!$U:$U,$B12,ORIGINATIONS!$R:$R,"delinquent")+SUMIFS(ORIGINATIONS!$L:$L,ORIGINATIONS!$U:$U,$B12,ORIGINATIONS!$R:$R,"default")</f>
        <v>0</v>
      </c>
      <c r="E12" s="17" t="n">
        <f aca="false">IFERROR(D12/C12,0)</f>
        <v>0</v>
      </c>
      <c r="F12" s="15" t="n">
        <f aca="false">COUNTIFS(ORIGINATIONS!$U:$U,$B12)</f>
        <v>23</v>
      </c>
    </row>
    <row r="13" customFormat="false" ht="15" hidden="false" customHeight="true" outlineLevel="0" collapsed="false">
      <c r="B13" s="6" t="s">
        <v>17</v>
      </c>
      <c r="C13" s="7" t="n">
        <f aca="false">SUMIFS(ORIGINATIONS!$L:$L,ORIGINATIONS!$U:$U,$B13)</f>
        <v>769985.79</v>
      </c>
      <c r="D13" s="7" t="n">
        <f aca="false">SUMIFS(ORIGINATIONS!$L:$L,ORIGINATIONS!$U:$U,$B13,ORIGINATIONS!$R:$R,"delinquent")+SUMIFS(ORIGINATIONS!$L:$L,ORIGINATIONS!$U:$U,$B13,ORIGINATIONS!$R:$R,"default")</f>
        <v>70701.91</v>
      </c>
      <c r="E13" s="17" t="n">
        <f aca="false">IFERROR(D13/C13,0)</f>
        <v>0.0918223568775211</v>
      </c>
      <c r="F13" s="15" t="n">
        <f aca="false">COUNTIFS(ORIGINATIONS!$U:$U,$B13)</f>
        <v>23</v>
      </c>
    </row>
    <row r="14" customFormat="false" ht="15" hidden="false" customHeight="true" outlineLevel="0" collapsed="false">
      <c r="B14" s="6" t="s">
        <v>18</v>
      </c>
      <c r="C14" s="7" t="n">
        <f aca="false">SUMIFS(ORIGINATIONS!$L:$L,ORIGINATIONS!$U:$U,$B14)</f>
        <v>641094.81</v>
      </c>
      <c r="D14" s="7" t="n">
        <f aca="false">SUMIFS(ORIGINATIONS!$L:$L,ORIGINATIONS!$U:$U,$B14,ORIGINATIONS!$R:$R,"delinquent")+SUMIFS(ORIGINATIONS!$L:$L,ORIGINATIONS!$U:$U,$B14,ORIGINATIONS!$R:$R,"default")</f>
        <v>0</v>
      </c>
      <c r="E14" s="17" t="n">
        <f aca="false">IFERROR(D14/C14,0)</f>
        <v>0</v>
      </c>
      <c r="F14" s="15" t="n">
        <f aca="false">COUNTIFS(ORIGINATIONS!$U:$U,$B14)</f>
        <v>22</v>
      </c>
    </row>
    <row r="15" customFormat="false" ht="15" hidden="false" customHeight="true" outlineLevel="0" collapsed="false">
      <c r="B15" s="6" t="s">
        <v>19</v>
      </c>
      <c r="C15" s="7" t="n">
        <f aca="false">SUMIFS(ORIGINATIONS!$L:$L,ORIGINATIONS!$U:$U,$B15)</f>
        <v>872060.48</v>
      </c>
      <c r="D15" s="7" t="n">
        <f aca="false">SUMIFS(ORIGINATIONS!$L:$L,ORIGINATIONS!$U:$U,$B15,ORIGINATIONS!$R:$R,"delinquent")+SUMIFS(ORIGINATIONS!$L:$L,ORIGINATIONS!$U:$U,$B15,ORIGINATIONS!$R:$R,"default")</f>
        <v>76298.85</v>
      </c>
      <c r="E15" s="17" t="n">
        <f aca="false">IFERROR(D15/C15,0)</f>
        <v>0.0874926128976743</v>
      </c>
      <c r="F15" s="15" t="n">
        <f aca="false">COUNTIFS(ORIGINATIONS!$U:$U,$B15)</f>
        <v>30</v>
      </c>
    </row>
    <row r="16" customFormat="false" ht="15" hidden="false" customHeight="true" outlineLevel="0" collapsed="false">
      <c r="B16" s="6" t="s">
        <v>20</v>
      </c>
      <c r="C16" s="7" t="n">
        <f aca="false">SUMIFS(ORIGINATIONS!$L:$L,ORIGINATIONS!$U:$U,$B16)</f>
        <v>601278.35</v>
      </c>
      <c r="D16" s="7" t="n">
        <f aca="false">SUMIFS(ORIGINATIONS!$L:$L,ORIGINATIONS!$U:$U,$B16,ORIGINATIONS!$R:$R,"delinquent")+SUMIFS(ORIGINATIONS!$L:$L,ORIGINATIONS!$U:$U,$B16,ORIGINATIONS!$R:$R,"default")</f>
        <v>0</v>
      </c>
      <c r="E16" s="17" t="n">
        <f aca="false">IFERROR(D16/C16,0)</f>
        <v>0</v>
      </c>
      <c r="F16" s="15" t="n">
        <f aca="false">COUNTIFS(ORIGINATIONS!$U:$U,$B16)</f>
        <v>21</v>
      </c>
    </row>
    <row r="17" customFormat="false" ht="15" hidden="false" customHeight="true" outlineLevel="0" collapsed="false">
      <c r="B17" s="6" t="s">
        <v>21</v>
      </c>
      <c r="C17" s="7" t="n">
        <f aca="false">SUMIFS(ORIGINATIONS!$L:$L,ORIGINATIONS!$U:$U,$B17)</f>
        <v>762207.6</v>
      </c>
      <c r="D17" s="7" t="n">
        <f aca="false">SUMIFS(ORIGINATIONS!$L:$L,ORIGINATIONS!$U:$U,$B17,ORIGINATIONS!$R:$R,"delinquent")+SUMIFS(ORIGINATIONS!$L:$L,ORIGINATIONS!$U:$U,$B17,ORIGINATIONS!$R:$R,"default")</f>
        <v>55321.61</v>
      </c>
      <c r="E17" s="17" t="n">
        <f aca="false">IFERROR(D17/C17,0)</f>
        <v>0.072580764085795</v>
      </c>
      <c r="F17" s="15" t="n">
        <f aca="false">COUNTIFS(ORIGINATIONS!$U:$U,$B17)</f>
        <v>23</v>
      </c>
    </row>
    <row r="18" customFormat="false" ht="15" hidden="false" customHeight="true" outlineLevel="0" collapsed="false">
      <c r="B18" s="6" t="s">
        <v>22</v>
      </c>
      <c r="C18" s="7" t="n">
        <f aca="false">SUMIFS(ORIGINATIONS!$L:$L,ORIGINATIONS!$U:$U,$B18)</f>
        <v>651411.59</v>
      </c>
      <c r="D18" s="7" t="n">
        <f aca="false">SUMIFS(ORIGINATIONS!$L:$L,ORIGINATIONS!$U:$U,$B18,ORIGINATIONS!$R:$R,"delinquent")+SUMIFS(ORIGINATIONS!$L:$L,ORIGINATIONS!$U:$U,$B18,ORIGINATIONS!$R:$R,"default")</f>
        <v>13766.44</v>
      </c>
      <c r="E18" s="17" t="n">
        <f aca="false">IFERROR(D18/C18,0)</f>
        <v>0.0211332438834869</v>
      </c>
      <c r="F18" s="15" t="n">
        <f aca="false">COUNTIFS(ORIGINATIONS!$U:$U,$B18)</f>
        <v>18</v>
      </c>
    </row>
    <row r="19" customFormat="false" ht="15" hidden="false" customHeight="true" outlineLevel="0" collapsed="false">
      <c r="B19" s="6" t="s">
        <v>23</v>
      </c>
      <c r="C19" s="7" t="n">
        <f aca="false">SUMIFS(ORIGINATIONS!$L:$L,ORIGINATIONS!$U:$U,$B19)</f>
        <v>766275.47</v>
      </c>
      <c r="D19" s="7" t="n">
        <f aca="false">SUMIFS(ORIGINATIONS!$L:$L,ORIGINATIONS!$U:$U,$B19,ORIGINATIONS!$R:$R,"delinquent")+SUMIFS(ORIGINATIONS!$L:$L,ORIGINATIONS!$U:$U,$B19,ORIGINATIONS!$R:$R,"default")</f>
        <v>50563.81</v>
      </c>
      <c r="E19" s="17" t="n">
        <f aca="false">IFERROR(D19/C19,0)</f>
        <v>0.0659864656766319</v>
      </c>
      <c r="F19" s="15" t="n">
        <f aca="false">COUNTIFS(ORIGINATIONS!$U:$U,$B19)</f>
        <v>29</v>
      </c>
    </row>
    <row r="20" customFormat="false" ht="15" hidden="false" customHeight="true" outlineLevel="0" collapsed="false">
      <c r="B20" s="6" t="s">
        <v>24</v>
      </c>
      <c r="C20" s="7" t="n">
        <f aca="false">SUMIFS(ORIGINATIONS!$L:$L,ORIGINATIONS!$U:$U,$B20)</f>
        <v>409662.02</v>
      </c>
      <c r="D20" s="7" t="n">
        <f aca="false">SUMIFS(ORIGINATIONS!$L:$L,ORIGINATIONS!$U:$U,$B20,ORIGINATIONS!$R:$R,"delinquent")+SUMIFS(ORIGINATIONS!$L:$L,ORIGINATIONS!$U:$U,$B20,ORIGINATIONS!$R:$R,"default")</f>
        <v>3235.78</v>
      </c>
      <c r="E20" s="17" t="n">
        <f aca="false">IFERROR(D20/C20,0)</f>
        <v>0.00789865753237266</v>
      </c>
      <c r="F20" s="15" t="n">
        <f aca="false">COUNTIFS(ORIGINATIONS!$U:$U,$B20)</f>
        <v>17</v>
      </c>
    </row>
    <row r="21" customFormat="false" ht="15" hidden="false" customHeight="true" outlineLevel="0" collapsed="false">
      <c r="B21" s="6" t="s">
        <v>25</v>
      </c>
      <c r="C21" s="7" t="n">
        <f aca="false">SUMIFS(ORIGINATIONS!$L:$L,ORIGINATIONS!$U:$U,$B21)</f>
        <v>1175411.04</v>
      </c>
      <c r="D21" s="7" t="n">
        <f aca="false">SUMIFS(ORIGINATIONS!$L:$L,ORIGINATIONS!$U:$U,$B21,ORIGINATIONS!$R:$R,"delinquent")+SUMIFS(ORIGINATIONS!$L:$L,ORIGINATIONS!$U:$U,$B21,ORIGINATIONS!$R:$R,"default")</f>
        <v>153310.33</v>
      </c>
      <c r="E21" s="17" t="n">
        <f aca="false">IFERROR(D21/C21,0)</f>
        <v>0.130431248969722</v>
      </c>
      <c r="F21" s="15" t="n">
        <f aca="false">COUNTIFS(ORIGINATIONS!$U:$U,$B21)</f>
        <v>28</v>
      </c>
    </row>
    <row r="22" customFormat="false" ht="15" hidden="false" customHeight="true" outlineLevel="0" collapsed="false">
      <c r="B22" s="6" t="s">
        <v>26</v>
      </c>
      <c r="C22" s="7" t="n">
        <f aca="false">SUMIFS(ORIGINATIONS!$L:$L,ORIGINATIONS!$U:$U,$B22)</f>
        <v>549183.5</v>
      </c>
      <c r="D22" s="7" t="n">
        <f aca="false">SUMIFS(ORIGINATIONS!$L:$L,ORIGINATIONS!$U:$U,$B22,ORIGINATIONS!$R:$R,"delinquent")+SUMIFS(ORIGINATIONS!$L:$L,ORIGINATIONS!$U:$U,$B22,ORIGINATIONS!$R:$R,"default")</f>
        <v>41015.59</v>
      </c>
      <c r="E22" s="17" t="n">
        <f aca="false">IFERROR(D22/C22,0)</f>
        <v>0.0746846727915169</v>
      </c>
      <c r="F22" s="15" t="n">
        <f aca="false">COUNTIFS(ORIGINATIONS!$U:$U,$B22)</f>
        <v>17</v>
      </c>
    </row>
    <row r="23" customFormat="false" ht="15" hidden="false" customHeight="true" outlineLevel="0" collapsed="false">
      <c r="B23" s="6" t="s">
        <v>27</v>
      </c>
      <c r="C23" s="7" t="n">
        <f aca="false">SUMIFS(ORIGINATIONS!$L:$L,ORIGINATIONS!$U:$U,$B23)</f>
        <v>538073.26</v>
      </c>
      <c r="D23" s="7" t="n">
        <f aca="false">SUMIFS(ORIGINATIONS!$L:$L,ORIGINATIONS!$U:$U,$B23,ORIGINATIONS!$R:$R,"delinquent")+SUMIFS(ORIGINATIONS!$L:$L,ORIGINATIONS!$U:$U,$B23,ORIGINATIONS!$R:$R,"default")</f>
        <v>65737.03</v>
      </c>
      <c r="E23" s="17" t="n">
        <f aca="false">IFERROR(D23/C23,0)</f>
        <v>0.122171151935705</v>
      </c>
      <c r="F23" s="15" t="n">
        <f aca="false">COUNTIFS(ORIGINATIONS!$U:$U,$B23)</f>
        <v>15</v>
      </c>
    </row>
    <row r="24" customFormat="false" ht="15" hidden="false" customHeight="true" outlineLevel="0" collapsed="false">
      <c r="B24" s="6" t="s">
        <v>28</v>
      </c>
      <c r="C24" s="7" t="n">
        <f aca="false">SUMIFS(ORIGINATIONS!$L:$L,ORIGINATIONS!$U:$U,$B24)</f>
        <v>472298.94</v>
      </c>
      <c r="D24" s="7" t="n">
        <f aca="false">SUMIFS(ORIGINATIONS!$L:$L,ORIGINATIONS!$U:$U,$B24,ORIGINATIONS!$R:$R,"delinquent")+SUMIFS(ORIGINATIONS!$L:$L,ORIGINATIONS!$U:$U,$B24,ORIGINATIONS!$R:$R,"default")</f>
        <v>113247.05</v>
      </c>
      <c r="E24" s="17" t="n">
        <f aca="false">IFERROR(D24/C24,0)</f>
        <v>0.239778327683734</v>
      </c>
      <c r="F24" s="15" t="n">
        <f aca="false">COUNTIFS(ORIGINATIONS!$U:$U,$B24)</f>
        <v>17</v>
      </c>
    </row>
    <row r="25" customFormat="false" ht="15" hidden="false" customHeight="true" outlineLevel="0" collapsed="false">
      <c r="B25" s="6" t="s">
        <v>29</v>
      </c>
      <c r="C25" s="7" t="n">
        <f aca="false">SUMIFS(ORIGINATIONS!$L:$L,ORIGINATIONS!$U:$U,$B25)</f>
        <v>800195.83</v>
      </c>
      <c r="D25" s="7" t="n">
        <f aca="false">SUMIFS(ORIGINATIONS!$L:$L,ORIGINATIONS!$U:$U,$B25,ORIGINATIONS!$R:$R,"delinquent")+SUMIFS(ORIGINATIONS!$L:$L,ORIGINATIONS!$U:$U,$B25,ORIGINATIONS!$R:$R,"default")</f>
        <v>0</v>
      </c>
      <c r="E25" s="17" t="n">
        <f aca="false">IFERROR(D25/C25,0)</f>
        <v>0</v>
      </c>
      <c r="F25" s="15" t="n">
        <f aca="false">COUNTIFS(ORIGINATIONS!$U:$U,$B25)</f>
        <v>22</v>
      </c>
    </row>
    <row r="26" customFormat="false" ht="15" hidden="false" customHeight="true" outlineLevel="0" collapsed="false">
      <c r="B26" s="6" t="s">
        <v>30</v>
      </c>
      <c r="C26" s="7" t="n">
        <f aca="false">SUMIFS(ORIGINATIONS!$L:$L,ORIGINATIONS!$U:$U,$B26)</f>
        <v>1067819.5</v>
      </c>
      <c r="D26" s="7" t="n">
        <f aca="false">SUMIFS(ORIGINATIONS!$L:$L,ORIGINATIONS!$U:$U,$B26,ORIGINATIONS!$R:$R,"delinquent")+SUMIFS(ORIGINATIONS!$L:$L,ORIGINATIONS!$U:$U,$B26,ORIGINATIONS!$R:$R,"default")</f>
        <v>112467.33</v>
      </c>
      <c r="E26" s="17" t="n">
        <f aca="false">IFERROR(D26/C26,0)</f>
        <v>0.105324289357892</v>
      </c>
      <c r="F26" s="15" t="n">
        <f aca="false">COUNTIFS(ORIGINATIONS!$U:$U,$B26)</f>
        <v>26</v>
      </c>
    </row>
    <row r="27" customFormat="false" ht="15" hidden="false" customHeight="true" outlineLevel="0" collapsed="false">
      <c r="B27" s="6" t="s">
        <v>31</v>
      </c>
      <c r="C27" s="7" t="n">
        <f aca="false">SUMIFS(ORIGINATIONS!$L:$L,ORIGINATIONS!$U:$U,$B27)</f>
        <v>593702.14</v>
      </c>
      <c r="D27" s="7" t="n">
        <f aca="false">SUMIFS(ORIGINATIONS!$L:$L,ORIGINATIONS!$U:$U,$B27,ORIGINATIONS!$R:$R,"delinquent")+SUMIFS(ORIGINATIONS!$L:$L,ORIGINATIONS!$U:$U,$B27,ORIGINATIONS!$R:$R,"default")</f>
        <v>23354.37</v>
      </c>
      <c r="E27" s="17" t="n">
        <f aca="false">IFERROR(D27/C27,0)</f>
        <v>0.0393368465877519</v>
      </c>
      <c r="F27" s="15" t="n">
        <f aca="false">COUNTIFS(ORIGINATIONS!$U:$U,$B27)</f>
        <v>20</v>
      </c>
    </row>
    <row r="28" customFormat="false" ht="15" hidden="false" customHeight="true" outlineLevel="0" collapsed="false">
      <c r="B28" s="6" t="s">
        <v>32</v>
      </c>
      <c r="C28" s="7" t="n">
        <f aca="false">SUMIFS(ORIGINATIONS!$L:$L,ORIGINATIONS!$U:$U,$B28)</f>
        <v>706642.07</v>
      </c>
      <c r="D28" s="7" t="n">
        <f aca="false">SUMIFS(ORIGINATIONS!$L:$L,ORIGINATIONS!$U:$U,$B28,ORIGINATIONS!$R:$R,"delinquent")+SUMIFS(ORIGINATIONS!$L:$L,ORIGINATIONS!$U:$U,$B28,ORIGINATIONS!$R:$R,"default")</f>
        <v>16777.04</v>
      </c>
      <c r="E28" s="17" t="n">
        <f aca="false">IFERROR(D28/C28,0)</f>
        <v>0.0237419207152498</v>
      </c>
      <c r="F28" s="15" t="n">
        <f aca="false">COUNTIFS(ORIGINATIONS!$U:$U,$B28)</f>
        <v>20</v>
      </c>
    </row>
    <row r="29" customFormat="false" ht="15" hidden="false" customHeight="true" outlineLevel="0" collapsed="false">
      <c r="B29" s="6" t="s">
        <v>33</v>
      </c>
      <c r="C29" s="7" t="n">
        <f aca="false">SUMIFS(ORIGINATIONS!$L:$L,ORIGINATIONS!$U:$U,$B29)</f>
        <v>657004.8</v>
      </c>
      <c r="D29" s="7" t="n">
        <f aca="false">SUMIFS(ORIGINATIONS!$L:$L,ORIGINATIONS!$U:$U,$B29,ORIGINATIONS!$R:$R,"delinquent")+SUMIFS(ORIGINATIONS!$L:$L,ORIGINATIONS!$U:$U,$B29,ORIGINATIONS!$R:$R,"default")</f>
        <v>47187.99</v>
      </c>
      <c r="E29" s="17" t="n">
        <f aca="false">IFERROR(D29/C29,0)</f>
        <v>0.0718228999240188</v>
      </c>
      <c r="F29" s="15" t="n">
        <f aca="false">COUNTIFS(ORIGINATIONS!$U:$U,$B29)</f>
        <v>20</v>
      </c>
    </row>
    <row r="30" customFormat="false" ht="15" hidden="false" customHeight="true" outlineLevel="0" collapsed="false">
      <c r="B30" s="6" t="s">
        <v>34</v>
      </c>
      <c r="C30" s="7" t="n">
        <f aca="false">SUMIFS(ORIGINATIONS!$L:$L,ORIGINATIONS!$U:$U,$B30)</f>
        <v>685988.11</v>
      </c>
      <c r="D30" s="7" t="n">
        <f aca="false">SUMIFS(ORIGINATIONS!$L:$L,ORIGINATIONS!$U:$U,$B30,ORIGINATIONS!$R:$R,"delinquent")+SUMIFS(ORIGINATIONS!$L:$L,ORIGINATIONS!$U:$U,$B30,ORIGINATIONS!$R:$R,"default")</f>
        <v>0</v>
      </c>
      <c r="E30" s="17" t="n">
        <f aca="false">IFERROR(D30/C30,0)</f>
        <v>0</v>
      </c>
      <c r="F30" s="15" t="n">
        <f aca="false">COUNTIFS(ORIGINATIONS!$U:$U,$B30)</f>
        <v>17</v>
      </c>
    </row>
    <row r="31" customFormat="false" ht="15" hidden="false" customHeight="true" outlineLevel="0" collapsed="false">
      <c r="B31" s="6" t="s">
        <v>35</v>
      </c>
      <c r="C31" s="7" t="n">
        <f aca="false">SUMIFS(ORIGINATIONS!$L:$L,ORIGINATIONS!$U:$U,$B31)</f>
        <v>370097.51</v>
      </c>
      <c r="D31" s="7" t="n">
        <f aca="false">SUMIFS(ORIGINATIONS!$L:$L,ORIGINATIONS!$U:$U,$B31,ORIGINATIONS!$R:$R,"delinquent")+SUMIFS(ORIGINATIONS!$L:$L,ORIGINATIONS!$U:$U,$B31,ORIGINATIONS!$R:$R,"default")</f>
        <v>9888.35</v>
      </c>
      <c r="E31" s="17" t="n">
        <f aca="false">IFERROR(D31/C31,0)</f>
        <v>0.0267182289337748</v>
      </c>
      <c r="F31" s="15" t="n">
        <f aca="false">COUNTIFS(ORIGINATIONS!$U:$U,$B31)</f>
        <v>18</v>
      </c>
    </row>
    <row r="32" customFormat="false" ht="15" hidden="false" customHeight="true" outlineLevel="0" collapsed="false">
      <c r="B32" s="6" t="s">
        <v>36</v>
      </c>
      <c r="C32" s="7" t="n">
        <f aca="false">SUMIFS(ORIGINATIONS!$L:$L,ORIGINATIONS!$U:$U,$B32)</f>
        <v>618793.46</v>
      </c>
      <c r="D32" s="7" t="n">
        <f aca="false">SUMIFS(ORIGINATIONS!$L:$L,ORIGINATIONS!$U:$U,$B32,ORIGINATIONS!$R:$R,"delinquent")+SUMIFS(ORIGINATIONS!$L:$L,ORIGINATIONS!$U:$U,$B32,ORIGINATIONS!$R:$R,"default")</f>
        <v>113590.79</v>
      </c>
      <c r="E32" s="17" t="n">
        <f aca="false">IFERROR(D32/C32,0)</f>
        <v>0.183568181215102</v>
      </c>
      <c r="F32" s="15" t="n">
        <f aca="false">COUNTIFS(ORIGINATIONS!$U:$U,$B32)</f>
        <v>19</v>
      </c>
    </row>
    <row r="33" customFormat="false" ht="15" hidden="false" customHeight="true" outlineLevel="0" collapsed="false">
      <c r="B33" s="6" t="s">
        <v>37</v>
      </c>
      <c r="C33" s="7" t="n">
        <f aca="false">SUMIFS(ORIGINATIONS!$L:$L,ORIGINATIONS!$U:$U,$B33)</f>
        <v>908218.42</v>
      </c>
      <c r="D33" s="7" t="n">
        <f aca="false">SUMIFS(ORIGINATIONS!$L:$L,ORIGINATIONS!$U:$U,$B33,ORIGINATIONS!$R:$R,"delinquent")+SUMIFS(ORIGINATIONS!$L:$L,ORIGINATIONS!$U:$U,$B33,ORIGINATIONS!$R:$R,"default")</f>
        <v>131526.36</v>
      </c>
      <c r="E33" s="17" t="n">
        <f aca="false">IFERROR(D33/C33,0)</f>
        <v>0.144817983321677</v>
      </c>
      <c r="F33" s="15" t="n">
        <f aca="false">COUNTIFS(ORIGINATIONS!$U:$U,$B33)</f>
        <v>25</v>
      </c>
    </row>
    <row r="34" customFormat="false" ht="15" hidden="false" customHeight="true" outlineLevel="0" collapsed="false">
      <c r="B34" s="6" t="s">
        <v>38</v>
      </c>
      <c r="C34" s="7" t="n">
        <f aca="false">SUMIFS(ORIGINATIONS!$L:$L,ORIGINATIONS!$U:$U,$B34)</f>
        <v>795156.57</v>
      </c>
      <c r="D34" s="7" t="n">
        <f aca="false">SUMIFS(ORIGINATIONS!$L:$L,ORIGINATIONS!$U:$U,$B34,ORIGINATIONS!$R:$R,"delinquent")+SUMIFS(ORIGINATIONS!$L:$L,ORIGINATIONS!$U:$U,$B34,ORIGINATIONS!$R:$R,"default")</f>
        <v>5539.96</v>
      </c>
      <c r="E34" s="17" t="n">
        <f aca="false">IFERROR(D34/C34,0)</f>
        <v>0.0069671310142102</v>
      </c>
      <c r="F34" s="15" t="n">
        <f aca="false">COUNTIFS(ORIGINATIONS!$U:$U,$B34)</f>
        <v>27</v>
      </c>
    </row>
    <row r="35" customFormat="false" ht="15" hidden="false" customHeight="true" outlineLevel="0" collapsed="false">
      <c r="B35" s="6" t="s">
        <v>39</v>
      </c>
      <c r="C35" s="7" t="n">
        <f aca="false">SUMIFS(ORIGINATIONS!$L:$L,ORIGINATIONS!$U:$U,$B35)</f>
        <v>1374035.73</v>
      </c>
      <c r="D35" s="7" t="n">
        <f aca="false">SUMIFS(ORIGINATIONS!$L:$L,ORIGINATIONS!$U:$U,$B35,ORIGINATIONS!$R:$R,"delinquent")+SUMIFS(ORIGINATIONS!$L:$L,ORIGINATIONS!$U:$U,$B35,ORIGINATIONS!$R:$R,"default")</f>
        <v>57279.81</v>
      </c>
      <c r="E35" s="17" t="n">
        <f aca="false">IFERROR(D35/C35,0)</f>
        <v>0.0416872783941361</v>
      </c>
      <c r="F35" s="15" t="n">
        <f aca="false">COUNTIFS(ORIGINATIONS!$U:$U,$B35)</f>
        <v>35</v>
      </c>
    </row>
    <row r="36" customFormat="false" ht="15" hidden="false" customHeight="true" outlineLevel="0" collapsed="false">
      <c r="B36" s="6" t="s">
        <v>40</v>
      </c>
      <c r="C36" s="7" t="n">
        <f aca="false">SUMIFS(ORIGINATIONS!$L:$L,ORIGINATIONS!$U:$U,$B36)</f>
        <v>692101.08</v>
      </c>
      <c r="D36" s="7" t="n">
        <f aca="false">SUMIFS(ORIGINATIONS!$L:$L,ORIGINATIONS!$U:$U,$B36,ORIGINATIONS!$R:$R,"delinquent")+SUMIFS(ORIGINATIONS!$L:$L,ORIGINATIONS!$U:$U,$B36,ORIGINATIONS!$R:$R,"default")</f>
        <v>80167.02</v>
      </c>
      <c r="E36" s="17" t="n">
        <f aca="false">IFERROR(D36/C36,0)</f>
        <v>0.115831375382336</v>
      </c>
      <c r="F36" s="15" t="n">
        <f aca="false">COUNTIFS(ORIGINATIONS!$U:$U,$B36)</f>
        <v>23</v>
      </c>
    </row>
    <row r="37" customFormat="false" ht="15" hidden="false" customHeight="true" outlineLevel="0" collapsed="false">
      <c r="B37" s="6" t="s">
        <v>41</v>
      </c>
      <c r="C37" s="7" t="n">
        <f aca="false">SUMIFS(ORIGINATIONS!$L:$L,ORIGINATIONS!$U:$U,$B37)</f>
        <v>814868.68</v>
      </c>
      <c r="D37" s="7" t="n">
        <f aca="false">SUMIFS(ORIGINATIONS!$L:$L,ORIGINATIONS!$U:$U,$B37,ORIGINATIONS!$R:$R,"delinquent")+SUMIFS(ORIGINATIONS!$L:$L,ORIGINATIONS!$U:$U,$B37,ORIGINATIONS!$R:$R,"default")</f>
        <v>91174.4</v>
      </c>
      <c r="E37" s="17" t="n">
        <f aca="false">IFERROR(D37/C37,0)</f>
        <v>0.111888457904653</v>
      </c>
      <c r="F37" s="15" t="n">
        <f aca="false">COUNTIFS(ORIGINATIONS!$U:$U,$B37)</f>
        <v>27</v>
      </c>
    </row>
    <row r="38" customFormat="false" ht="15" hidden="false" customHeight="true" outlineLevel="0" collapsed="false">
      <c r="B38" s="6" t="s">
        <v>42</v>
      </c>
      <c r="C38" s="7" t="n">
        <f aca="false">SUMIFS(ORIGINATIONS!$L:$L,ORIGINATIONS!$U:$U,$B38)</f>
        <v>806884.26</v>
      </c>
      <c r="D38" s="7" t="n">
        <f aca="false">SUMIFS(ORIGINATIONS!$L:$L,ORIGINATIONS!$U:$U,$B38,ORIGINATIONS!$R:$R,"delinquent")+SUMIFS(ORIGINATIONS!$L:$L,ORIGINATIONS!$U:$U,$B38,ORIGINATIONS!$R:$R,"default")</f>
        <v>37591.28</v>
      </c>
      <c r="E38" s="17" t="n">
        <f aca="false">IFERROR(D38/C38,0)</f>
        <v>0.0465881934541641</v>
      </c>
      <c r="F38" s="15" t="n">
        <f aca="false">COUNTIFS(ORIGINATIONS!$U:$U,$B38)</f>
        <v>26</v>
      </c>
    </row>
    <row r="39" customFormat="false" ht="15" hidden="false" customHeight="true" outlineLevel="0" collapsed="false">
      <c r="B39" s="6" t="s">
        <v>43</v>
      </c>
      <c r="C39" s="7" t="n">
        <f aca="false">SUMIFS(ORIGINATIONS!$L:$L,ORIGINATIONS!$U:$U,$B39)</f>
        <v>594373.89</v>
      </c>
      <c r="D39" s="7" t="n">
        <f aca="false">SUMIFS(ORIGINATIONS!$L:$L,ORIGINATIONS!$U:$U,$B39,ORIGINATIONS!$R:$R,"delinquent")+SUMIFS(ORIGINATIONS!$L:$L,ORIGINATIONS!$U:$U,$B39,ORIGINATIONS!$R:$R,"default")</f>
        <v>0</v>
      </c>
      <c r="E39" s="17" t="n">
        <f aca="false">IFERROR(D39/C39,0)</f>
        <v>0</v>
      </c>
      <c r="F39" s="15" t="n">
        <f aca="false">COUNTIFS(ORIGINATIONS!$U:$U,$B39)</f>
        <v>21</v>
      </c>
    </row>
    <row r="40" customFormat="false" ht="15" hidden="false" customHeight="true" outlineLevel="0" collapsed="false">
      <c r="B40" s="6" t="s">
        <v>44</v>
      </c>
      <c r="C40" s="7" t="n">
        <f aca="false">SUMIFS(ORIGINATIONS!$L:$L,ORIGINATIONS!$U:$U,$B40)</f>
        <v>703698.97</v>
      </c>
      <c r="D40" s="7" t="n">
        <f aca="false">SUMIFS(ORIGINATIONS!$L:$L,ORIGINATIONS!$U:$U,$B40,ORIGINATIONS!$R:$R,"delinquent")+SUMIFS(ORIGINATIONS!$L:$L,ORIGINATIONS!$U:$U,$B40,ORIGINATIONS!$R:$R,"default")</f>
        <v>32896.13</v>
      </c>
      <c r="E40" s="17" t="n">
        <f aca="false">IFERROR(D40/C40,0)</f>
        <v>0.046747446567955</v>
      </c>
      <c r="F40" s="15" t="n">
        <f aca="false">COUNTIFS(ORIGINATIONS!$U:$U,$B40)</f>
        <v>23</v>
      </c>
    </row>
    <row r="41" customFormat="false" ht="15" hidden="false" customHeight="true" outlineLevel="0" collapsed="false">
      <c r="B41" s="6" t="s">
        <v>45</v>
      </c>
      <c r="C41" s="7" t="n">
        <f aca="false">SUMIFS(ORIGINATIONS!$L:$L,ORIGINATIONS!$U:$U,$B41)</f>
        <v>653191.8</v>
      </c>
      <c r="D41" s="7" t="n">
        <f aca="false">SUMIFS(ORIGINATIONS!$L:$L,ORIGINATIONS!$U:$U,$B41,ORIGINATIONS!$R:$R,"delinquent")+SUMIFS(ORIGINATIONS!$L:$L,ORIGINATIONS!$U:$U,$B41,ORIGINATIONS!$R:$R,"default")</f>
        <v>135640.39</v>
      </c>
      <c r="E41" s="17" t="n">
        <f aca="false">IFERROR(D41/C41,0)</f>
        <v>0.207657827302792</v>
      </c>
      <c r="F41" s="15" t="n">
        <f aca="false">COUNTIFS(ORIGINATIONS!$U:$U,$B41)</f>
        <v>19</v>
      </c>
    </row>
    <row r="42" customFormat="false" ht="15" hidden="false" customHeight="true" outlineLevel="0" collapsed="false">
      <c r="B42" s="6" t="s">
        <v>46</v>
      </c>
      <c r="C42" s="7" t="n">
        <f aca="false">SUMIFS(ORIGINATIONS!$L:$L,ORIGINATIONS!$U:$U,$B42)</f>
        <v>739609.47</v>
      </c>
      <c r="D42" s="7" t="n">
        <f aca="false">SUMIFS(ORIGINATIONS!$L:$L,ORIGINATIONS!$U:$U,$B42,ORIGINATIONS!$R:$R,"delinquent")+SUMIFS(ORIGINATIONS!$L:$L,ORIGINATIONS!$U:$U,$B42,ORIGINATIONS!$R:$R,"default")</f>
        <v>29858.83</v>
      </c>
      <c r="E42" s="17" t="n">
        <f aca="false">IFERROR(D42/C42,0)</f>
        <v>0.0403710758327635</v>
      </c>
      <c r="F42" s="15" t="n">
        <f aca="false">COUNTIFS(ORIGINATIONS!$U:$U,$B42)</f>
        <v>22</v>
      </c>
    </row>
    <row r="43" customFormat="false" ht="15" hidden="false" customHeight="true" outlineLevel="0" collapsed="false">
      <c r="B43" s="6" t="s">
        <v>47</v>
      </c>
      <c r="C43" s="7" t="n">
        <f aca="false">SUMIFS(ORIGINATIONS!$L:$L,ORIGINATIONS!$U:$U,$B43)</f>
        <v>822468.76</v>
      </c>
      <c r="D43" s="7" t="n">
        <f aca="false">SUMIFS(ORIGINATIONS!$L:$L,ORIGINATIONS!$U:$U,$B43,ORIGINATIONS!$R:$R,"delinquent")+SUMIFS(ORIGINATIONS!$L:$L,ORIGINATIONS!$U:$U,$B43,ORIGINATIONS!$R:$R,"default")</f>
        <v>94500.67</v>
      </c>
      <c r="E43" s="17" t="n">
        <f aca="false">IFERROR(D43/C43,0)</f>
        <v>0.114898795669759</v>
      </c>
      <c r="F43" s="15" t="n">
        <f aca="false">COUNTIFS(ORIGINATIONS!$U:$U,$B43)</f>
        <v>27</v>
      </c>
    </row>
    <row r="44" customFormat="false" ht="15" hidden="false" customHeight="true" outlineLevel="0" collapsed="false">
      <c r="B44" s="6" t="s">
        <v>48</v>
      </c>
      <c r="C44" s="7" t="n">
        <f aca="false">SUMIFS(ORIGINATIONS!$L:$L,ORIGINATIONS!$U:$U,$B44)</f>
        <v>700582.11</v>
      </c>
      <c r="D44" s="7" t="n">
        <f aca="false">SUMIFS(ORIGINATIONS!$L:$L,ORIGINATIONS!$U:$U,$B44,ORIGINATIONS!$R:$R,"delinquent")+SUMIFS(ORIGINATIONS!$L:$L,ORIGINATIONS!$U:$U,$B44,ORIGINATIONS!$R:$R,"default")</f>
        <v>40527.95</v>
      </c>
      <c r="E44" s="17" t="n">
        <f aca="false">IFERROR(D44/C44,0)</f>
        <v>0.0578489650556449</v>
      </c>
      <c r="F44" s="15" t="n">
        <f aca="false">COUNTIFS(ORIGINATIONS!$U:$U,$B44)</f>
        <v>22</v>
      </c>
    </row>
    <row r="45" customFormat="false" ht="15" hidden="false" customHeight="true" outlineLevel="0" collapsed="false">
      <c r="B45" s="6" t="s">
        <v>49</v>
      </c>
      <c r="C45" s="7" t="n">
        <f aca="false">SUMIFS(ORIGINATIONS!$L:$L,ORIGINATIONS!$U:$U,$B45)</f>
        <v>1195357.56</v>
      </c>
      <c r="D45" s="7" t="n">
        <f aca="false">SUMIFS(ORIGINATIONS!$L:$L,ORIGINATIONS!$U:$U,$B45,ORIGINATIONS!$R:$R,"delinquent")+SUMIFS(ORIGINATIONS!$L:$L,ORIGINATIONS!$U:$U,$B45,ORIGINATIONS!$R:$R,"default")</f>
        <v>89784.75</v>
      </c>
      <c r="E45" s="17" t="n">
        <f aca="false">IFERROR(D45/C45,0)</f>
        <v>0.0751112077293425</v>
      </c>
      <c r="F45" s="15" t="n">
        <f aca="false">COUNTIFS(ORIGINATIONS!$U:$U,$B45)</f>
        <v>35</v>
      </c>
    </row>
    <row r="46" customFormat="false" ht="15" hidden="false" customHeight="true" outlineLevel="0" collapsed="false">
      <c r="B46" s="6" t="s">
        <v>50</v>
      </c>
      <c r="C46" s="7" t="n">
        <f aca="false">SUMIFS(ORIGINATIONS!$L:$L,ORIGINATIONS!$U:$U,$B46)</f>
        <v>577791.18</v>
      </c>
      <c r="D46" s="7" t="n">
        <f aca="false">SUMIFS(ORIGINATIONS!$L:$L,ORIGINATIONS!$U:$U,$B46,ORIGINATIONS!$R:$R,"delinquent")+SUMIFS(ORIGINATIONS!$L:$L,ORIGINATIONS!$U:$U,$B46,ORIGINATIONS!$R:$R,"default")</f>
        <v>16651.79</v>
      </c>
      <c r="E46" s="17" t="n">
        <f aca="false">IFERROR(D46/C46,0)</f>
        <v>0.0288197372621714</v>
      </c>
      <c r="F46" s="15" t="n">
        <f aca="false">COUNTIFS(ORIGINATIONS!$U:$U,$B46)</f>
        <v>22</v>
      </c>
    </row>
    <row r="47" customFormat="false" ht="15" hidden="false" customHeight="true" outlineLevel="0" collapsed="false">
      <c r="B47" s="6" t="s">
        <v>51</v>
      </c>
      <c r="C47" s="7" t="n">
        <f aca="false">SUMIFS(ORIGINATIONS!$L:$L,ORIGINATIONS!$U:$U,$B47)</f>
        <v>733575.99</v>
      </c>
      <c r="D47" s="7" t="n">
        <f aca="false">SUMIFS(ORIGINATIONS!$L:$L,ORIGINATIONS!$U:$U,$B47,ORIGINATIONS!$R:$R,"delinquent")+SUMIFS(ORIGINATIONS!$L:$L,ORIGINATIONS!$U:$U,$B47,ORIGINATIONS!$R:$R,"default")</f>
        <v>0</v>
      </c>
      <c r="E47" s="17" t="n">
        <f aca="false">IFERROR(D47/C47,0)</f>
        <v>0</v>
      </c>
      <c r="F47" s="15" t="n">
        <f aca="false">COUNTIFS(ORIGINATIONS!$U:$U,$B47)</f>
        <v>22</v>
      </c>
    </row>
    <row r="48" customFormat="false" ht="15" hidden="false" customHeight="true" outlineLevel="0" collapsed="false">
      <c r="B48" s="6" t="s">
        <v>52</v>
      </c>
      <c r="C48" s="7" t="n">
        <f aca="false">SUMIFS(ORIGINATIONS!$L:$L,ORIGINATIONS!$U:$U,$B48)</f>
        <v>567675.74</v>
      </c>
      <c r="D48" s="7" t="n">
        <f aca="false">SUMIFS(ORIGINATIONS!$L:$L,ORIGINATIONS!$U:$U,$B48,ORIGINATIONS!$R:$R,"delinquent")+SUMIFS(ORIGINATIONS!$L:$L,ORIGINATIONS!$U:$U,$B48,ORIGINATIONS!$R:$R,"default")</f>
        <v>26855.85</v>
      </c>
      <c r="E48" s="17" t="n">
        <f aca="false">IFERROR(D48/C48,0)</f>
        <v>0.0473084335081855</v>
      </c>
      <c r="F48" s="15" t="n">
        <f aca="false">COUNTIFS(ORIGINATIONS!$U:$U,$B48)</f>
        <v>19</v>
      </c>
    </row>
    <row r="49" customFormat="false" ht="15" hidden="false" customHeight="true" outlineLevel="0" collapsed="false">
      <c r="B49" s="6" t="s">
        <v>53</v>
      </c>
      <c r="C49" s="7" t="n">
        <f aca="false">SUMIFS(ORIGINATIONS!$L:$L,ORIGINATIONS!$U:$U,$B49)</f>
        <v>725157.34</v>
      </c>
      <c r="D49" s="7" t="n">
        <f aca="false">SUMIFS(ORIGINATIONS!$L:$L,ORIGINATIONS!$U:$U,$B49,ORIGINATIONS!$R:$R,"delinquent")+SUMIFS(ORIGINATIONS!$L:$L,ORIGINATIONS!$U:$U,$B49,ORIGINATIONS!$R:$R,"default")</f>
        <v>63008</v>
      </c>
      <c r="E49" s="17" t="n">
        <f aca="false">IFERROR(D49/C49,0)</f>
        <v>0.0868887295548853</v>
      </c>
      <c r="F49" s="15" t="n">
        <f aca="false">COUNTIFS(ORIGINATIONS!$U:$U,$B49)</f>
        <v>20</v>
      </c>
    </row>
    <row r="50" customFormat="false" ht="15" hidden="false" customHeight="true" outlineLevel="0" collapsed="false">
      <c r="B50" s="6" t="s">
        <v>54</v>
      </c>
      <c r="C50" s="7" t="n">
        <f aca="false">SUMIFS(ORIGINATIONS!$L:$L,ORIGINATIONS!$U:$U,$B50)</f>
        <v>751905.74</v>
      </c>
      <c r="D50" s="7" t="n">
        <f aca="false">SUMIFS(ORIGINATIONS!$L:$L,ORIGINATIONS!$U:$U,$B50,ORIGINATIONS!$R:$R,"delinquent")+SUMIFS(ORIGINATIONS!$L:$L,ORIGINATIONS!$U:$U,$B50,ORIGINATIONS!$R:$R,"default")</f>
        <v>53340.49</v>
      </c>
      <c r="E50" s="17" t="n">
        <f aca="false">IFERROR(D50/C50,0)</f>
        <v>0.0709403947361806</v>
      </c>
      <c r="F50" s="15" t="n">
        <f aca="false">COUNTIFS(ORIGINATIONS!$U:$U,$B50)</f>
        <v>28</v>
      </c>
    </row>
    <row r="51" customFormat="false" ht="15" hidden="false" customHeight="true" outlineLevel="0" collapsed="false">
      <c r="B51" s="6" t="s">
        <v>55</v>
      </c>
      <c r="C51" s="7" t="n">
        <f aca="false">SUMIFS(ORIGINATIONS!$L:$L,ORIGINATIONS!$U:$U,$B51)</f>
        <v>555931.72</v>
      </c>
      <c r="D51" s="7" t="n">
        <f aca="false">SUMIFS(ORIGINATIONS!$L:$L,ORIGINATIONS!$U:$U,$B51,ORIGINATIONS!$R:$R,"delinquent")+SUMIFS(ORIGINATIONS!$L:$L,ORIGINATIONS!$U:$U,$B51,ORIGINATIONS!$R:$R,"default")</f>
        <v>0</v>
      </c>
      <c r="E51" s="17" t="n">
        <f aca="false">IFERROR(D51/C51,0)</f>
        <v>0</v>
      </c>
      <c r="F51" s="15" t="n">
        <f aca="false">COUNTIFS(ORIGINATIONS!$U:$U,$B51)</f>
        <v>21</v>
      </c>
    </row>
    <row r="52" customFormat="false" ht="15" hidden="false" customHeight="true" outlineLevel="0" collapsed="false">
      <c r="B52" s="6" t="s">
        <v>56</v>
      </c>
      <c r="C52" s="7" t="n">
        <f aca="false">SUMIFS(ORIGINATIONS!$L:$L,ORIGINATIONS!$U:$U,$B52)</f>
        <v>893976.73</v>
      </c>
      <c r="D52" s="7" t="n">
        <f aca="false">SUMIFS(ORIGINATIONS!$L:$L,ORIGINATIONS!$U:$U,$B52,ORIGINATIONS!$R:$R,"delinquent")+SUMIFS(ORIGINATIONS!$L:$L,ORIGINATIONS!$U:$U,$B52,ORIGINATIONS!$R:$R,"default")</f>
        <v>54185.24</v>
      </c>
      <c r="E52" s="17" t="n">
        <f aca="false">IFERROR(D52/C52,0)</f>
        <v>0.0606114658040372</v>
      </c>
      <c r="F52" s="15" t="n">
        <f aca="false">COUNTIFS(ORIGINATIONS!$U:$U,$B52)</f>
        <v>27</v>
      </c>
    </row>
    <row r="53" customFormat="false" ht="15" hidden="false" customHeight="true" outlineLevel="0" collapsed="false">
      <c r="B53" s="6" t="s">
        <v>57</v>
      </c>
      <c r="C53" s="7" t="n">
        <f aca="false">SUMIFS(ORIGINATIONS!$L:$L,ORIGINATIONS!$U:$U,$B53)</f>
        <v>651408.1</v>
      </c>
      <c r="D53" s="7" t="n">
        <f aca="false">SUMIFS(ORIGINATIONS!$L:$L,ORIGINATIONS!$U:$U,$B53,ORIGINATIONS!$R:$R,"delinquent")+SUMIFS(ORIGINATIONS!$L:$L,ORIGINATIONS!$U:$U,$B53,ORIGINATIONS!$R:$R,"default")</f>
        <v>63820</v>
      </c>
      <c r="E53" s="17" t="n">
        <f aca="false">IFERROR(D53/C53,0)</f>
        <v>0.0979723770705338</v>
      </c>
      <c r="F53" s="15" t="n">
        <f aca="false">COUNTIFS(ORIGINATIONS!$U:$U,$B53)</f>
        <v>17</v>
      </c>
    </row>
    <row r="54" customFormat="false" ht="15" hidden="false" customHeight="true" outlineLevel="0" collapsed="false">
      <c r="B54" s="6" t="s">
        <v>58</v>
      </c>
      <c r="C54" s="7" t="n">
        <f aca="false">SUMIFS(ORIGINATIONS!$L:$L,ORIGINATIONS!$U:$U,$B54)</f>
        <v>645650.61</v>
      </c>
      <c r="D54" s="7" t="n">
        <f aca="false">SUMIFS(ORIGINATIONS!$L:$L,ORIGINATIONS!$U:$U,$B54,ORIGINATIONS!$R:$R,"delinquent")+SUMIFS(ORIGINATIONS!$L:$L,ORIGINATIONS!$U:$U,$B54,ORIGINATIONS!$R:$R,"default")</f>
        <v>113664.94</v>
      </c>
      <c r="E54" s="17" t="n">
        <f aca="false">IFERROR(D54/C54,0)</f>
        <v>0.176047134842791</v>
      </c>
      <c r="F54" s="15" t="n">
        <f aca="false">COUNTIFS(ORIGINATIONS!$U:$U,$B54)</f>
        <v>23</v>
      </c>
    </row>
    <row r="55" customFormat="false" ht="15" hidden="false" customHeight="true" outlineLevel="0" collapsed="false">
      <c r="B55" s="6" t="s">
        <v>59</v>
      </c>
      <c r="C55" s="7" t="n">
        <f aca="false">SUMIFS(ORIGINATIONS!$L:$L,ORIGINATIONS!$U:$U,$B55)</f>
        <v>808472.64</v>
      </c>
      <c r="D55" s="7" t="n">
        <f aca="false">SUMIFS(ORIGINATIONS!$L:$L,ORIGINATIONS!$U:$U,$B55,ORIGINATIONS!$R:$R,"delinquent")+SUMIFS(ORIGINATIONS!$L:$L,ORIGINATIONS!$U:$U,$B55,ORIGINATIONS!$R:$R,"default")</f>
        <v>10768.09</v>
      </c>
      <c r="E55" s="17" t="n">
        <f aca="false">IFERROR(D55/C55,0)</f>
        <v>0.0133190530727175</v>
      </c>
      <c r="F55" s="15" t="n">
        <f aca="false">COUNTIFS(ORIGINATIONS!$U:$U,$B55)</f>
        <v>22</v>
      </c>
    </row>
    <row r="56" customFormat="false" ht="15" hidden="false" customHeight="true" outlineLevel="0" collapsed="false">
      <c r="B56" s="6" t="s">
        <v>60</v>
      </c>
      <c r="C56" s="7" t="n">
        <f aca="false">SUMIFS(ORIGINATIONS!$L:$L,ORIGINATIONS!$U:$U,$B56)</f>
        <v>550469.93</v>
      </c>
      <c r="D56" s="7" t="n">
        <f aca="false">SUMIFS(ORIGINATIONS!$L:$L,ORIGINATIONS!$U:$U,$B56,ORIGINATIONS!$R:$R,"delinquent")+SUMIFS(ORIGINATIONS!$L:$L,ORIGINATIONS!$U:$U,$B56,ORIGINATIONS!$R:$R,"default")</f>
        <v>18721.83</v>
      </c>
      <c r="E56" s="17" t="n">
        <f aca="false">IFERROR(D56/C56,0)</f>
        <v>0.0340106316070707</v>
      </c>
      <c r="F56" s="15" t="n">
        <f aca="false">COUNTIFS(ORIGINATIONS!$U:$U,$B56)</f>
        <v>17</v>
      </c>
    </row>
    <row r="57" customFormat="false" ht="15" hidden="false" customHeight="true" outlineLevel="0" collapsed="false">
      <c r="B57" s="6" t="s">
        <v>61</v>
      </c>
      <c r="C57" s="7" t="n">
        <f aca="false">SUMIFS(ORIGINATIONS!$L:$L,ORIGINATIONS!$U:$U,$B57)</f>
        <v>924739.22</v>
      </c>
      <c r="D57" s="7" t="n">
        <f aca="false">SUMIFS(ORIGINATIONS!$L:$L,ORIGINATIONS!$U:$U,$B57,ORIGINATIONS!$R:$R,"delinquent")+SUMIFS(ORIGINATIONS!$L:$L,ORIGINATIONS!$U:$U,$B57,ORIGINATIONS!$R:$R,"default")</f>
        <v>69834.98</v>
      </c>
      <c r="E57" s="17" t="n">
        <f aca="false">IFERROR(D57/C57,0)</f>
        <v>0.0755185661964245</v>
      </c>
      <c r="F57" s="15" t="n">
        <f aca="false">COUNTIFS(ORIGINATIONS!$U:$U,$B57)</f>
        <v>23</v>
      </c>
    </row>
    <row r="58" customFormat="false" ht="15" hidden="false" customHeight="true" outlineLevel="0" collapsed="false">
      <c r="B58" s="6" t="s">
        <v>62</v>
      </c>
      <c r="C58" s="7" t="n">
        <f aca="false">SUMIFS(ORIGINATIONS!$L:$L,ORIGINATIONS!$U:$U,$B58)</f>
        <v>666133.25</v>
      </c>
      <c r="D58" s="7" t="n">
        <f aca="false">SUMIFS(ORIGINATIONS!$L:$L,ORIGINATIONS!$U:$U,$B58,ORIGINATIONS!$R:$R,"delinquent")+SUMIFS(ORIGINATIONS!$L:$L,ORIGINATIONS!$U:$U,$B58,ORIGINATIONS!$R:$R,"default")</f>
        <v>48033.73</v>
      </c>
      <c r="E58" s="17" t="n">
        <f aca="false">IFERROR(D58/C58,0)</f>
        <v>0.0721082906460532</v>
      </c>
      <c r="F58" s="15" t="n">
        <f aca="false">COUNTIFS(ORIGINATIONS!$U:$U,$B58)</f>
        <v>21</v>
      </c>
    </row>
    <row r="59" customFormat="false" ht="15" hidden="false" customHeight="true" outlineLevel="0" collapsed="false">
      <c r="B59" s="6" t="s">
        <v>63</v>
      </c>
      <c r="C59" s="7" t="n">
        <f aca="false">SUMIFS(ORIGINATIONS!$L:$L,ORIGINATIONS!$U:$U,$B59)</f>
        <v>920127.14</v>
      </c>
      <c r="D59" s="7" t="n">
        <f aca="false">SUMIFS(ORIGINATIONS!$L:$L,ORIGINATIONS!$U:$U,$B59,ORIGINATIONS!$R:$R,"delinquent")+SUMIFS(ORIGINATIONS!$L:$L,ORIGINATIONS!$U:$U,$B59,ORIGINATIONS!$R:$R,"default")</f>
        <v>0</v>
      </c>
      <c r="E59" s="17" t="n">
        <f aca="false">IFERROR(D59/C59,0)</f>
        <v>0</v>
      </c>
      <c r="F59" s="15" t="n">
        <f aca="false">COUNTIFS(ORIGINATIONS!$U:$U,$B59)</f>
        <v>25</v>
      </c>
    </row>
    <row r="60" customFormat="false" ht="15" hidden="false" customHeight="true" outlineLevel="0" collapsed="false">
      <c r="B60" s="6" t="s">
        <v>64</v>
      </c>
      <c r="C60" s="7" t="n">
        <f aca="false">SUMIFS(ORIGINATIONS!$L:$L,ORIGINATIONS!$U:$U,$B60)</f>
        <v>0</v>
      </c>
      <c r="D60" s="7" t="n">
        <f aca="false">SUMIFS(ORIGINATIONS!$L:$L,ORIGINATIONS!$U:$U,$B60,ORIGINATIONS!$R:$R,"delinquent")+SUMIFS(ORIGINATIONS!$L:$L,ORIGINATIONS!$U:$U,$B60,ORIGINATIONS!$R:$R,"default")</f>
        <v>0</v>
      </c>
      <c r="E60" s="17" t="n">
        <f aca="false">IFERROR(D60/C60,0)</f>
        <v>0</v>
      </c>
      <c r="F60" s="15" t="n">
        <f aca="false">COUNTIFS(ORIGINATIONS!$U:$U,$B60)</f>
        <v>0</v>
      </c>
    </row>
    <row r="61" customFormat="false" ht="15" hidden="false" customHeight="true" outlineLevel="0" collapsed="false">
      <c r="B61" s="6" t="s">
        <v>65</v>
      </c>
      <c r="C61" s="7" t="n">
        <f aca="false">SUMIFS(ORIGINATIONS!$L:$L,ORIGINATIONS!$U:$U,$B61)</f>
        <v>0</v>
      </c>
      <c r="D61" s="7" t="n">
        <f aca="false">SUMIFS(ORIGINATIONS!$L:$L,ORIGINATIONS!$U:$U,$B61,ORIGINATIONS!$R:$R,"delinquent")+SUMIFS(ORIGINATIONS!$L:$L,ORIGINATIONS!$U:$U,$B61,ORIGINATIONS!$R:$R,"default")</f>
        <v>0</v>
      </c>
      <c r="E61" s="17" t="n">
        <f aca="false">IFERROR(D61/C61,0)</f>
        <v>0</v>
      </c>
      <c r="F61" s="15" t="n">
        <f aca="false">COUNTIFS(ORIGINATIONS!$U:$U,$B61)</f>
        <v>0</v>
      </c>
    </row>
    <row r="62" customFormat="false" ht="15" hidden="false" customHeight="true" outlineLevel="0" collapsed="false">
      <c r="B62" s="6" t="s">
        <v>66</v>
      </c>
      <c r="C62" s="7" t="n">
        <f aca="false">SUMIFS(ORIGINATIONS!$L:$L,ORIGINATIONS!$U:$U,$B62)</f>
        <v>327660.62</v>
      </c>
      <c r="D62" s="7" t="n">
        <f aca="false">SUMIFS(ORIGINATIONS!$L:$L,ORIGINATIONS!$U:$U,$B62,ORIGINATIONS!$R:$R,"delinquent")+SUMIFS(ORIGINATIONS!$L:$L,ORIGINATIONS!$U:$U,$B62,ORIGINATIONS!$R:$R,"default")</f>
        <v>0</v>
      </c>
      <c r="E62" s="17" t="n">
        <f aca="false">IFERROR(D62/C62,0)</f>
        <v>0</v>
      </c>
      <c r="F62" s="15" t="n">
        <f aca="false">COUNTIFS(ORIGINATIONS!$U:$U,$B62)</f>
        <v>7</v>
      </c>
    </row>
    <row r="63" customFormat="false" ht="15" hidden="false" customHeight="true" outlineLevel="0" collapsed="false">
      <c r="B63" s="18" t="s">
        <v>105</v>
      </c>
      <c r="C63" s="10" t="n">
        <f aca="false">SUM(C7:C62)</f>
        <v>39676975.54</v>
      </c>
      <c r="D63" s="10" t="n">
        <f aca="false">SUM(D7:D62)</f>
        <v>2771812.74</v>
      </c>
      <c r="E63" s="19" t="n">
        <f aca="false">IFERROR(D63/C63,0)</f>
        <v>0.0698594764917407</v>
      </c>
      <c r="F63" s="20" t="n">
        <f aca="false">SUM(F7:F62)</f>
        <v>1210</v>
      </c>
    </row>
  </sheetData>
  <mergeCells count="1">
    <mergeCell ref="B3:F3"/>
  </mergeCells>
  <conditionalFormatting sqref="E7:E62">
    <cfRule type="colorScale" priority="2">
      <colorScale>
        <cfvo type="min" val="0"/>
        <cfvo type="percentile" val="50"/>
        <cfvo type="max" val="0"/>
        <color rgb="FFC6EFCE"/>
        <color rgb="FFFFEB9C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4" min="3" style="1" width="18"/>
    <col collapsed="false" customWidth="true" hidden="false" outlineLevel="0" max="5" min="5" style="1" width="20"/>
    <col collapsed="false" customWidth="true" hidden="false" outlineLevel="0" max="6" min="6" style="1" width="28"/>
    <col collapsed="false" customWidth="true" hidden="false" outlineLevel="0" max="7" min="7" style="1" width="26"/>
  </cols>
  <sheetData>
    <row r="1" customFormat="false" ht="15" hidden="false" customHeight="true" outlineLevel="0" collapsed="false">
      <c r="A1" s="5" t="s">
        <v>77</v>
      </c>
      <c r="B1" s="5" t="s">
        <v>106</v>
      </c>
      <c r="C1" s="5" t="s">
        <v>107</v>
      </c>
      <c r="D1" s="5" t="s">
        <v>108</v>
      </c>
      <c r="E1" s="5" t="s">
        <v>109</v>
      </c>
      <c r="F1" s="5" t="s">
        <v>110</v>
      </c>
      <c r="G1" s="5" t="s">
        <v>111</v>
      </c>
    </row>
    <row r="2" customFormat="false" ht="15" hidden="false" customHeight="true" outlineLevel="0" collapsed="false">
      <c r="A2" s="6" t="s">
        <v>112</v>
      </c>
      <c r="B2" s="6" t="s">
        <v>4</v>
      </c>
      <c r="C2" s="6" t="s">
        <v>113</v>
      </c>
      <c r="D2" s="6" t="s">
        <v>114</v>
      </c>
      <c r="E2" s="13" t="n">
        <v>44270</v>
      </c>
      <c r="F2" s="21" t="n">
        <v>0.015</v>
      </c>
      <c r="G2" s="6" t="s">
        <v>115</v>
      </c>
    </row>
    <row r="3" customFormat="false" ht="15" hidden="false" customHeight="true" outlineLevel="0" collapsed="false">
      <c r="A3" s="6" t="s">
        <v>116</v>
      </c>
      <c r="B3" s="6" t="s">
        <v>5</v>
      </c>
      <c r="C3" s="6" t="s">
        <v>117</v>
      </c>
      <c r="D3" s="6" t="s">
        <v>118</v>
      </c>
      <c r="E3" s="13" t="n">
        <v>44136</v>
      </c>
      <c r="F3" s="21" t="n">
        <v>0.012</v>
      </c>
      <c r="G3" s="6" t="s">
        <v>119</v>
      </c>
    </row>
    <row r="4" customFormat="false" ht="15" hidden="false" customHeight="true" outlineLevel="0" collapsed="false">
      <c r="A4" s="6" t="s">
        <v>120</v>
      </c>
      <c r="B4" s="6" t="s">
        <v>6</v>
      </c>
      <c r="C4" s="6" t="s">
        <v>121</v>
      </c>
      <c r="D4" s="6" t="s">
        <v>122</v>
      </c>
      <c r="E4" s="13" t="n">
        <v>44571</v>
      </c>
      <c r="F4" s="21" t="n">
        <v>0.018</v>
      </c>
      <c r="G4" s="6" t="s">
        <v>123</v>
      </c>
    </row>
    <row r="5" customFormat="false" ht="15" hidden="false" customHeight="true" outlineLevel="0" collapsed="false">
      <c r="A5" s="6" t="s">
        <v>124</v>
      </c>
      <c r="B5" s="6" t="s">
        <v>7</v>
      </c>
      <c r="C5" s="6" t="s">
        <v>125</v>
      </c>
      <c r="D5" s="6" t="s">
        <v>126</v>
      </c>
      <c r="E5" s="13" t="n">
        <v>44430</v>
      </c>
      <c r="F5" s="21" t="n">
        <v>0.02</v>
      </c>
      <c r="G5" s="6" t="s">
        <v>127</v>
      </c>
    </row>
    <row r="6" customFormat="false" ht="15" hidden="false" customHeight="true" outlineLevel="0" collapsed="false">
      <c r="A6" s="6" t="s">
        <v>128</v>
      </c>
      <c r="B6" s="6" t="s">
        <v>8</v>
      </c>
      <c r="C6" s="6" t="s">
        <v>129</v>
      </c>
      <c r="D6" s="6" t="s">
        <v>114</v>
      </c>
      <c r="E6" s="13" t="n">
        <v>44717</v>
      </c>
      <c r="F6" s="21" t="n">
        <v>0.016</v>
      </c>
      <c r="G6" s="6" t="s">
        <v>130</v>
      </c>
    </row>
    <row r="7" customFormat="false" ht="15" hidden="false" customHeight="true" outlineLevel="0" collapsed="false">
      <c r="A7" s="6" t="s">
        <v>131</v>
      </c>
      <c r="B7" s="6" t="s">
        <v>9</v>
      </c>
      <c r="C7" s="6" t="s">
        <v>132</v>
      </c>
      <c r="D7" s="6" t="s">
        <v>122</v>
      </c>
      <c r="E7" s="13" t="n">
        <v>44971</v>
      </c>
      <c r="F7" s="21" t="n">
        <v>0.014</v>
      </c>
      <c r="G7" s="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4"/>
    <col collapsed="false" customWidth="true" hidden="false" outlineLevel="0" max="4" min="4" style="1" width="19"/>
    <col collapsed="false" customWidth="true" hidden="false" outlineLevel="0" max="6" min="5" style="1" width="14"/>
    <col collapsed="false" customWidth="true" hidden="false" outlineLevel="0" max="7" min="7" style="1" width="25"/>
    <col collapsed="false" customWidth="true" hidden="false" outlineLevel="0" max="8" min="8" style="1" width="21"/>
    <col collapsed="false" customWidth="true" hidden="false" outlineLevel="0" max="9" min="9" style="1" width="22"/>
    <col collapsed="false" customWidth="true" hidden="false" outlineLevel="0" max="10" min="10" style="1" width="14"/>
    <col collapsed="false" customWidth="true" hidden="false" outlineLevel="0" max="12" min="11" style="1" width="20"/>
    <col collapsed="false" customWidth="true" hidden="false" outlineLevel="0" max="13" min="13" style="1" width="14"/>
    <col collapsed="false" customWidth="true" hidden="false" outlineLevel="0" max="14" min="14" style="1" width="21"/>
    <col collapsed="false" customWidth="true" hidden="false" outlineLevel="0" max="15" min="15" style="1" width="15"/>
    <col collapsed="false" customWidth="true" hidden="false" outlineLevel="0" max="16" min="16" style="1" width="17"/>
    <col collapsed="false" customWidth="true" hidden="false" outlineLevel="0" max="17" min="17" style="1" width="20"/>
    <col collapsed="false" customWidth="true" hidden="false" outlineLevel="0" max="19" min="18" style="1" width="14"/>
    <col collapsed="false" customWidth="true" hidden="false" outlineLevel="0" max="20" min="20" style="1" width="19"/>
    <col collapsed="false" customWidth="true" hidden="false" outlineLevel="0" max="21" min="21" style="1" width="15"/>
  </cols>
  <sheetData>
    <row r="1" customFormat="false" ht="15" hidden="false" customHeight="true" outlineLevel="0" collapsed="false">
      <c r="A1" s="5" t="s">
        <v>76</v>
      </c>
      <c r="B1" s="5" t="s">
        <v>134</v>
      </c>
      <c r="C1" s="5" t="s">
        <v>77</v>
      </c>
      <c r="D1" s="5" t="s">
        <v>135</v>
      </c>
      <c r="E1" s="5" t="s">
        <v>136</v>
      </c>
      <c r="F1" s="5" t="s">
        <v>78</v>
      </c>
      <c r="G1" s="5" t="s">
        <v>137</v>
      </c>
      <c r="H1" s="5" t="s">
        <v>138</v>
      </c>
      <c r="I1" s="5" t="s">
        <v>139</v>
      </c>
      <c r="J1" s="5" t="s">
        <v>140</v>
      </c>
      <c r="K1" s="5" t="s">
        <v>141</v>
      </c>
      <c r="L1" s="5" t="s">
        <v>79</v>
      </c>
      <c r="M1" s="5" t="s">
        <v>142</v>
      </c>
      <c r="N1" s="5" t="s">
        <v>143</v>
      </c>
      <c r="O1" s="5" t="s">
        <v>144</v>
      </c>
      <c r="P1" s="5" t="s">
        <v>145</v>
      </c>
      <c r="Q1" s="5" t="s">
        <v>146</v>
      </c>
      <c r="R1" s="5" t="s">
        <v>80</v>
      </c>
      <c r="S1" s="5" t="s">
        <v>147</v>
      </c>
      <c r="T1" s="5" t="s">
        <v>148</v>
      </c>
      <c r="U1" s="5" t="s">
        <v>149</v>
      </c>
    </row>
    <row r="2" customFormat="false" ht="15" hidden="false" customHeight="true" outlineLevel="0" collapsed="false">
      <c r="A2" s="6" t="s">
        <v>150</v>
      </c>
      <c r="B2" s="6" t="s">
        <v>151</v>
      </c>
      <c r="C2" s="6" t="s">
        <v>131</v>
      </c>
      <c r="D2" s="6" t="s">
        <v>152</v>
      </c>
      <c r="E2" s="6" t="s">
        <v>153</v>
      </c>
      <c r="F2" s="13" t="n">
        <v>44623</v>
      </c>
      <c r="G2" s="13" t="n">
        <v>44740</v>
      </c>
      <c r="H2" s="14" t="n">
        <v>187455.22</v>
      </c>
      <c r="I2" s="6" t="n">
        <v>0</v>
      </c>
      <c r="J2" s="6" t="n">
        <v>545</v>
      </c>
      <c r="K2" s="6" t="s">
        <v>154</v>
      </c>
      <c r="L2" s="14" t="n">
        <v>70152.4</v>
      </c>
      <c r="M2" s="22" t="n">
        <v>1.103</v>
      </c>
      <c r="N2" s="14" t="n">
        <v>77378.1</v>
      </c>
      <c r="O2" s="14" t="n">
        <v>7225.7</v>
      </c>
      <c r="P2" s="21" t="n">
        <v>0.105</v>
      </c>
      <c r="Q2" s="6" t="n">
        <v>117</v>
      </c>
      <c r="R2" s="6" t="s">
        <v>155</v>
      </c>
      <c r="S2" s="21" t="n">
        <v>0.781</v>
      </c>
      <c r="T2" s="14" t="n">
        <v>60432.3</v>
      </c>
      <c r="U2" s="6" t="s">
        <v>13</v>
      </c>
    </row>
    <row r="3" customFormat="false" ht="15" hidden="false" customHeight="true" outlineLevel="0" collapsed="false">
      <c r="A3" s="6" t="s">
        <v>156</v>
      </c>
      <c r="B3" s="6" t="s">
        <v>157</v>
      </c>
      <c r="C3" s="6" t="s">
        <v>120</v>
      </c>
      <c r="D3" s="6" t="s">
        <v>158</v>
      </c>
      <c r="E3" s="6" t="s">
        <v>159</v>
      </c>
      <c r="F3" s="13" t="n">
        <v>45961</v>
      </c>
      <c r="G3" s="13" t="n">
        <v>46021</v>
      </c>
      <c r="H3" s="14" t="n">
        <v>217689.05</v>
      </c>
      <c r="I3" s="6" t="n">
        <v>1</v>
      </c>
      <c r="J3" s="6" t="n">
        <v>645</v>
      </c>
      <c r="K3" s="6" t="s">
        <v>160</v>
      </c>
      <c r="L3" s="14" t="n">
        <v>28288.7</v>
      </c>
      <c r="M3" s="22" t="n">
        <v>1.261</v>
      </c>
      <c r="N3" s="14" t="n">
        <v>35672.05</v>
      </c>
      <c r="O3" s="14" t="n">
        <v>7383.35</v>
      </c>
      <c r="P3" s="21" t="n">
        <v>0.141</v>
      </c>
      <c r="Q3" s="6" t="n">
        <v>60</v>
      </c>
      <c r="R3" s="6" t="s">
        <v>161</v>
      </c>
      <c r="S3" s="21" t="n">
        <v>1</v>
      </c>
      <c r="T3" s="14" t="n">
        <v>35672.05</v>
      </c>
      <c r="U3" s="6" t="s">
        <v>56</v>
      </c>
    </row>
    <row r="4" customFormat="false" ht="15" hidden="false" customHeight="true" outlineLevel="0" collapsed="false">
      <c r="A4" s="6" t="s">
        <v>162</v>
      </c>
      <c r="B4" s="6" t="s">
        <v>163</v>
      </c>
      <c r="C4" s="6" t="s">
        <v>112</v>
      </c>
      <c r="D4" s="6" t="s">
        <v>164</v>
      </c>
      <c r="E4" s="6" t="s">
        <v>165</v>
      </c>
      <c r="F4" s="13" t="n">
        <v>44854</v>
      </c>
      <c r="G4" s="13" t="n">
        <v>44914</v>
      </c>
      <c r="H4" s="14" t="n">
        <v>72793.29</v>
      </c>
      <c r="I4" s="6" t="n">
        <v>0</v>
      </c>
      <c r="J4" s="6" t="n">
        <v>802</v>
      </c>
      <c r="K4" s="6" t="s">
        <v>160</v>
      </c>
      <c r="L4" s="14" t="n">
        <v>11497.45</v>
      </c>
      <c r="M4" s="22" t="n">
        <v>1.319</v>
      </c>
      <c r="N4" s="14" t="n">
        <v>15165.14</v>
      </c>
      <c r="O4" s="14" t="n">
        <v>3667.69</v>
      </c>
      <c r="P4" s="21" t="n">
        <v>0.134</v>
      </c>
      <c r="Q4" s="6" t="n">
        <v>60</v>
      </c>
      <c r="R4" s="6" t="s">
        <v>155</v>
      </c>
      <c r="S4" s="21" t="n">
        <v>0.786</v>
      </c>
      <c r="T4" s="14" t="n">
        <v>11919.8</v>
      </c>
      <c r="U4" s="6" t="s">
        <v>20</v>
      </c>
    </row>
    <row r="5" customFormat="false" ht="15" hidden="false" customHeight="true" outlineLevel="0" collapsed="false">
      <c r="A5" s="6" t="s">
        <v>166</v>
      </c>
      <c r="B5" s="6" t="s">
        <v>167</v>
      </c>
      <c r="C5" s="6" t="s">
        <v>124</v>
      </c>
      <c r="D5" s="6" t="s">
        <v>168</v>
      </c>
      <c r="E5" s="6" t="s">
        <v>169</v>
      </c>
      <c r="F5" s="13" t="n">
        <v>44790</v>
      </c>
      <c r="G5" s="13" t="n">
        <v>44870</v>
      </c>
      <c r="H5" s="14" t="n">
        <v>68842.22</v>
      </c>
      <c r="I5" s="6" t="n">
        <v>1</v>
      </c>
      <c r="J5" s="6" t="n">
        <v>802</v>
      </c>
      <c r="K5" s="6" t="s">
        <v>154</v>
      </c>
      <c r="L5" s="14" t="n">
        <v>21375.84</v>
      </c>
      <c r="M5" s="22" t="n">
        <v>1.152</v>
      </c>
      <c r="N5" s="14" t="n">
        <v>24624.97</v>
      </c>
      <c r="O5" s="14" t="n">
        <v>3249.13</v>
      </c>
      <c r="P5" s="21" t="n">
        <v>0.133</v>
      </c>
      <c r="Q5" s="6" t="n">
        <v>80</v>
      </c>
      <c r="R5" s="6" t="s">
        <v>161</v>
      </c>
      <c r="S5" s="21" t="n">
        <v>1</v>
      </c>
      <c r="T5" s="14" t="n">
        <v>24624.97</v>
      </c>
      <c r="U5" s="6" t="s">
        <v>18</v>
      </c>
    </row>
    <row r="6" customFormat="false" ht="15" hidden="false" customHeight="true" outlineLevel="0" collapsed="false">
      <c r="A6" s="6" t="s">
        <v>170</v>
      </c>
      <c r="B6" s="6" t="s">
        <v>171</v>
      </c>
      <c r="C6" s="6" t="s">
        <v>128</v>
      </c>
      <c r="D6" s="6" t="s">
        <v>172</v>
      </c>
      <c r="E6" s="6" t="s">
        <v>173</v>
      </c>
      <c r="F6" s="13" t="n">
        <v>46060</v>
      </c>
      <c r="G6" s="13" t="n">
        <v>46146</v>
      </c>
      <c r="H6" s="14" t="n">
        <v>86445.77</v>
      </c>
      <c r="I6" s="6" t="n">
        <v>0</v>
      </c>
      <c r="J6" s="6" t="n">
        <v>797</v>
      </c>
      <c r="K6" s="6" t="s">
        <v>160</v>
      </c>
      <c r="L6" s="14" t="n">
        <v>12112.05</v>
      </c>
      <c r="M6" s="22" t="n">
        <v>1.233</v>
      </c>
      <c r="N6" s="14" t="n">
        <v>14934.16</v>
      </c>
      <c r="O6" s="14" t="n">
        <v>2822.11</v>
      </c>
      <c r="P6" s="21" t="n">
        <v>0.06</v>
      </c>
      <c r="Q6" s="6" t="n">
        <v>86</v>
      </c>
      <c r="R6" s="6" t="s">
        <v>161</v>
      </c>
      <c r="S6" s="21" t="n">
        <v>1</v>
      </c>
      <c r="T6" s="14" t="n">
        <v>14934.16</v>
      </c>
      <c r="U6" s="6" t="s">
        <v>60</v>
      </c>
    </row>
    <row r="7" customFormat="false" ht="15" hidden="false" customHeight="true" outlineLevel="0" collapsed="false">
      <c r="A7" s="6" t="s">
        <v>174</v>
      </c>
      <c r="B7" s="6" t="s">
        <v>175</v>
      </c>
      <c r="C7" s="6" t="s">
        <v>131</v>
      </c>
      <c r="D7" s="6" t="s">
        <v>176</v>
      </c>
      <c r="E7" s="6" t="s">
        <v>177</v>
      </c>
      <c r="F7" s="13" t="n">
        <v>44576</v>
      </c>
      <c r="G7" s="13" t="n">
        <v>44636</v>
      </c>
      <c r="H7" s="14" t="n">
        <v>114020.22</v>
      </c>
      <c r="I7" s="6" t="n">
        <v>1</v>
      </c>
      <c r="J7" s="6" t="n">
        <v>539</v>
      </c>
      <c r="K7" s="6" t="s">
        <v>160</v>
      </c>
      <c r="L7" s="14" t="n">
        <v>9037.48</v>
      </c>
      <c r="M7" s="22" t="n">
        <v>1.23</v>
      </c>
      <c r="N7" s="14" t="n">
        <v>11116.1</v>
      </c>
      <c r="O7" s="14" t="n">
        <v>2078.62</v>
      </c>
      <c r="P7" s="21" t="n">
        <v>0.126</v>
      </c>
      <c r="Q7" s="6" t="n">
        <v>60</v>
      </c>
      <c r="R7" s="6" t="s">
        <v>155</v>
      </c>
      <c r="S7" s="21" t="n">
        <v>0.921</v>
      </c>
      <c r="T7" s="14" t="n">
        <v>10237.93</v>
      </c>
      <c r="U7" s="6" t="s">
        <v>11</v>
      </c>
    </row>
    <row r="8" customFormat="false" ht="15" hidden="false" customHeight="true" outlineLevel="0" collapsed="false">
      <c r="A8" s="6" t="s">
        <v>178</v>
      </c>
      <c r="B8" s="6" t="s">
        <v>179</v>
      </c>
      <c r="C8" s="6" t="s">
        <v>124</v>
      </c>
      <c r="D8" s="6" t="s">
        <v>180</v>
      </c>
      <c r="E8" s="6" t="s">
        <v>181</v>
      </c>
      <c r="F8" s="13" t="n">
        <v>44954</v>
      </c>
      <c r="G8" s="13" t="n">
        <v>45030</v>
      </c>
      <c r="H8" s="14" t="n">
        <v>107486.75</v>
      </c>
      <c r="I8" s="6" t="n">
        <v>3</v>
      </c>
      <c r="J8" s="6" t="n">
        <v>517</v>
      </c>
      <c r="K8" s="6" t="s">
        <v>154</v>
      </c>
      <c r="L8" s="14" t="n">
        <v>13566.39</v>
      </c>
      <c r="M8" s="22" t="n">
        <v>1.296</v>
      </c>
      <c r="N8" s="14" t="n">
        <v>17582.04</v>
      </c>
      <c r="O8" s="14" t="n">
        <v>4015.65</v>
      </c>
      <c r="P8" s="21" t="n">
        <v>0.064</v>
      </c>
      <c r="Q8" s="6" t="n">
        <v>76</v>
      </c>
      <c r="R8" s="6" t="s">
        <v>155</v>
      </c>
      <c r="S8" s="21" t="n">
        <v>0.857</v>
      </c>
      <c r="T8" s="14" t="n">
        <v>15067.81</v>
      </c>
      <c r="U8" s="6" t="s">
        <v>23</v>
      </c>
    </row>
    <row r="9" customFormat="false" ht="15" hidden="false" customHeight="true" outlineLevel="0" collapsed="false">
      <c r="A9" s="6" t="s">
        <v>182</v>
      </c>
      <c r="B9" s="6" t="s">
        <v>183</v>
      </c>
      <c r="C9" s="6" t="s">
        <v>124</v>
      </c>
      <c r="D9" s="6" t="s">
        <v>180</v>
      </c>
      <c r="E9" s="6" t="s">
        <v>184</v>
      </c>
      <c r="F9" s="13" t="n">
        <v>45672</v>
      </c>
      <c r="G9" s="13" t="n">
        <v>45732</v>
      </c>
      <c r="H9" s="14" t="n">
        <v>77030.31</v>
      </c>
      <c r="I9" s="6" t="n">
        <v>2</v>
      </c>
      <c r="J9" s="6" t="n">
        <v>734</v>
      </c>
      <c r="K9" s="6" t="s">
        <v>185</v>
      </c>
      <c r="L9" s="14" t="n">
        <v>9454.12</v>
      </c>
      <c r="M9" s="22" t="n">
        <v>1.342</v>
      </c>
      <c r="N9" s="14" t="n">
        <v>12687.43</v>
      </c>
      <c r="O9" s="14" t="n">
        <v>3233.31</v>
      </c>
      <c r="P9" s="21" t="n">
        <v>0.125</v>
      </c>
      <c r="Q9" s="6" t="n">
        <v>60</v>
      </c>
      <c r="R9" s="6" t="s">
        <v>155</v>
      </c>
      <c r="S9" s="21" t="n">
        <v>0.81</v>
      </c>
      <c r="T9" s="14" t="n">
        <v>10276.82</v>
      </c>
      <c r="U9" s="6" t="s">
        <v>47</v>
      </c>
    </row>
    <row r="10" customFormat="false" ht="15" hidden="false" customHeight="true" outlineLevel="0" collapsed="false">
      <c r="A10" s="6" t="s">
        <v>186</v>
      </c>
      <c r="B10" s="6" t="s">
        <v>187</v>
      </c>
      <c r="C10" s="6" t="s">
        <v>112</v>
      </c>
      <c r="D10" s="6" t="s">
        <v>188</v>
      </c>
      <c r="E10" s="6" t="s">
        <v>189</v>
      </c>
      <c r="F10" s="13" t="n">
        <v>45209</v>
      </c>
      <c r="G10" s="13" t="n">
        <v>45275</v>
      </c>
      <c r="H10" s="14" t="n">
        <v>144784.92</v>
      </c>
      <c r="I10" s="6" t="n">
        <v>0</v>
      </c>
      <c r="J10" s="6" t="n">
        <v>583</v>
      </c>
      <c r="K10" s="6" t="s">
        <v>160</v>
      </c>
      <c r="L10" s="14" t="n">
        <v>22524.87</v>
      </c>
      <c r="M10" s="22" t="n">
        <v>1.261</v>
      </c>
      <c r="N10" s="14" t="n">
        <v>28403.86</v>
      </c>
      <c r="O10" s="14" t="n">
        <v>5878.99</v>
      </c>
      <c r="P10" s="21" t="n">
        <v>0.089</v>
      </c>
      <c r="Q10" s="6" t="n">
        <v>66</v>
      </c>
      <c r="R10" s="6" t="s">
        <v>155</v>
      </c>
      <c r="S10" s="21" t="n">
        <v>0.98</v>
      </c>
      <c r="T10" s="14" t="n">
        <v>27835.78</v>
      </c>
      <c r="U10" s="6" t="s">
        <v>32</v>
      </c>
    </row>
    <row r="11" customFormat="false" ht="15" hidden="false" customHeight="true" outlineLevel="0" collapsed="false">
      <c r="A11" s="6" t="s">
        <v>190</v>
      </c>
      <c r="B11" s="6" t="s">
        <v>191</v>
      </c>
      <c r="C11" s="6" t="s">
        <v>131</v>
      </c>
      <c r="D11" s="6" t="s">
        <v>176</v>
      </c>
      <c r="E11" s="6" t="s">
        <v>192</v>
      </c>
      <c r="F11" s="13" t="n">
        <v>45800</v>
      </c>
      <c r="G11" s="13" t="n">
        <v>45860</v>
      </c>
      <c r="H11" s="14" t="n">
        <v>233484.96</v>
      </c>
      <c r="I11" s="6" t="n">
        <v>0</v>
      </c>
      <c r="J11" s="6" t="n">
        <v>781</v>
      </c>
      <c r="K11" s="6" t="s">
        <v>160</v>
      </c>
      <c r="L11" s="14" t="n">
        <v>22709.15</v>
      </c>
      <c r="M11" s="22" t="n">
        <v>1.229</v>
      </c>
      <c r="N11" s="14" t="n">
        <v>27909.55</v>
      </c>
      <c r="O11" s="14" t="n">
        <v>5200.4</v>
      </c>
      <c r="P11" s="21" t="n">
        <v>0.085</v>
      </c>
      <c r="Q11" s="6" t="n">
        <v>60</v>
      </c>
      <c r="R11" s="6" t="s">
        <v>155</v>
      </c>
      <c r="S11" s="21" t="n">
        <v>0.82</v>
      </c>
      <c r="T11" s="14" t="n">
        <v>22885.83</v>
      </c>
      <c r="U11" s="6" t="s">
        <v>51</v>
      </c>
    </row>
    <row r="12" customFormat="false" ht="15" hidden="false" customHeight="true" outlineLevel="0" collapsed="false">
      <c r="A12" s="6" t="s">
        <v>193</v>
      </c>
      <c r="B12" s="6" t="s">
        <v>194</v>
      </c>
      <c r="C12" s="6" t="s">
        <v>128</v>
      </c>
      <c r="D12" s="6" t="s">
        <v>172</v>
      </c>
      <c r="E12" s="6" t="s">
        <v>195</v>
      </c>
      <c r="F12" s="13" t="n">
        <v>45193</v>
      </c>
      <c r="G12" s="13" t="n">
        <v>45377</v>
      </c>
      <c r="H12" s="14" t="n">
        <v>26209.01</v>
      </c>
      <c r="I12" s="6" t="n">
        <v>3</v>
      </c>
      <c r="J12" s="6" t="n">
        <v>789</v>
      </c>
      <c r="K12" s="6" t="s">
        <v>154</v>
      </c>
      <c r="L12" s="14" t="n">
        <v>9665.29</v>
      </c>
      <c r="M12" s="22" t="n">
        <v>1.12</v>
      </c>
      <c r="N12" s="14" t="n">
        <v>10825.12</v>
      </c>
      <c r="O12" s="14" t="n">
        <v>1159.83</v>
      </c>
      <c r="P12" s="21" t="n">
        <v>0.067</v>
      </c>
      <c r="Q12" s="6" t="n">
        <v>184</v>
      </c>
      <c r="R12" s="6" t="s">
        <v>161</v>
      </c>
      <c r="S12" s="21" t="n">
        <v>1</v>
      </c>
      <c r="T12" s="14" t="n">
        <v>10825.12</v>
      </c>
      <c r="U12" s="6" t="s">
        <v>31</v>
      </c>
    </row>
    <row r="13" customFormat="false" ht="15" hidden="false" customHeight="true" outlineLevel="0" collapsed="false">
      <c r="A13" s="6" t="s">
        <v>196</v>
      </c>
      <c r="B13" s="6" t="s">
        <v>197</v>
      </c>
      <c r="C13" s="6" t="s">
        <v>112</v>
      </c>
      <c r="D13" s="6" t="s">
        <v>172</v>
      </c>
      <c r="E13" s="6" t="s">
        <v>173</v>
      </c>
      <c r="F13" s="13" t="n">
        <v>44565</v>
      </c>
      <c r="G13" s="13" t="n">
        <v>44625</v>
      </c>
      <c r="H13" s="14" t="n">
        <v>113164.43</v>
      </c>
      <c r="I13" s="6" t="n">
        <v>2</v>
      </c>
      <c r="J13" s="6" t="n">
        <v>600</v>
      </c>
      <c r="K13" s="6" t="s">
        <v>154</v>
      </c>
      <c r="L13" s="14" t="n">
        <v>25062.29</v>
      </c>
      <c r="M13" s="22" t="n">
        <v>1.149</v>
      </c>
      <c r="N13" s="14" t="n">
        <v>28796.57</v>
      </c>
      <c r="O13" s="14" t="n">
        <v>3734.28</v>
      </c>
      <c r="P13" s="21" t="n">
        <v>0.142</v>
      </c>
      <c r="Q13" s="6" t="n">
        <v>60</v>
      </c>
      <c r="R13" s="6" t="s">
        <v>161</v>
      </c>
      <c r="S13" s="21" t="n">
        <v>1</v>
      </c>
      <c r="T13" s="14" t="n">
        <v>28796.57</v>
      </c>
      <c r="U13" s="6" t="s">
        <v>11</v>
      </c>
    </row>
    <row r="14" customFormat="false" ht="15" hidden="false" customHeight="true" outlineLevel="0" collapsed="false">
      <c r="A14" s="6" t="s">
        <v>198</v>
      </c>
      <c r="B14" s="6" t="s">
        <v>199</v>
      </c>
      <c r="C14" s="6" t="s">
        <v>131</v>
      </c>
      <c r="D14" s="6" t="s">
        <v>200</v>
      </c>
      <c r="E14" s="6" t="s">
        <v>201</v>
      </c>
      <c r="F14" s="13" t="n">
        <v>45727</v>
      </c>
      <c r="G14" s="13" t="n">
        <v>45872</v>
      </c>
      <c r="H14" s="14" t="n">
        <v>105380.89</v>
      </c>
      <c r="I14" s="6" t="n">
        <v>0</v>
      </c>
      <c r="J14" s="6" t="n">
        <v>541</v>
      </c>
      <c r="K14" s="6" t="s">
        <v>185</v>
      </c>
      <c r="L14" s="14" t="n">
        <v>29138.31</v>
      </c>
      <c r="M14" s="22" t="n">
        <v>1.282</v>
      </c>
      <c r="N14" s="14" t="n">
        <v>37355.31</v>
      </c>
      <c r="O14" s="14" t="n">
        <v>8217</v>
      </c>
      <c r="P14" s="21" t="n">
        <v>0.073</v>
      </c>
      <c r="Q14" s="6" t="n">
        <v>145</v>
      </c>
      <c r="R14" s="6" t="s">
        <v>161</v>
      </c>
      <c r="S14" s="21" t="n">
        <v>1</v>
      </c>
      <c r="T14" s="14" t="n">
        <v>37355.31</v>
      </c>
      <c r="U14" s="6" t="s">
        <v>49</v>
      </c>
    </row>
    <row r="15" customFormat="false" ht="15" hidden="false" customHeight="true" outlineLevel="0" collapsed="false">
      <c r="A15" s="6" t="s">
        <v>202</v>
      </c>
      <c r="B15" s="6" t="s">
        <v>203</v>
      </c>
      <c r="C15" s="6" t="s">
        <v>116</v>
      </c>
      <c r="D15" s="6" t="s">
        <v>152</v>
      </c>
      <c r="E15" s="6" t="s">
        <v>153</v>
      </c>
      <c r="F15" s="13" t="n">
        <v>45703</v>
      </c>
      <c r="G15" s="13" t="n">
        <v>45768</v>
      </c>
      <c r="H15" s="14" t="n">
        <v>224023.68</v>
      </c>
      <c r="I15" s="6" t="n">
        <v>3</v>
      </c>
      <c r="J15" s="6" t="n">
        <v>783</v>
      </c>
      <c r="K15" s="6" t="s">
        <v>185</v>
      </c>
      <c r="L15" s="14" t="n">
        <v>42465.62</v>
      </c>
      <c r="M15" s="22" t="n">
        <v>1.268</v>
      </c>
      <c r="N15" s="14" t="n">
        <v>53846.41</v>
      </c>
      <c r="O15" s="14" t="n">
        <v>11380.79</v>
      </c>
      <c r="P15" s="21" t="n">
        <v>0.11</v>
      </c>
      <c r="Q15" s="6" t="n">
        <v>65</v>
      </c>
      <c r="R15" s="6" t="s">
        <v>155</v>
      </c>
      <c r="S15" s="21" t="n">
        <v>0.98</v>
      </c>
      <c r="T15" s="14" t="n">
        <v>52769.48</v>
      </c>
      <c r="U15" s="6" t="s">
        <v>48</v>
      </c>
    </row>
    <row r="16" customFormat="false" ht="15" hidden="false" customHeight="true" outlineLevel="0" collapsed="false">
      <c r="A16" s="6" t="s">
        <v>204</v>
      </c>
      <c r="B16" s="6" t="s">
        <v>205</v>
      </c>
      <c r="C16" s="6" t="s">
        <v>116</v>
      </c>
      <c r="D16" s="6" t="s">
        <v>206</v>
      </c>
      <c r="E16" s="6" t="s">
        <v>207</v>
      </c>
      <c r="F16" s="13" t="n">
        <v>45668</v>
      </c>
      <c r="G16" s="13" t="n">
        <v>45762</v>
      </c>
      <c r="H16" s="14" t="n">
        <v>193326.91</v>
      </c>
      <c r="I16" s="6" t="n">
        <v>1</v>
      </c>
      <c r="J16" s="6" t="n">
        <v>701</v>
      </c>
      <c r="K16" s="6" t="s">
        <v>160</v>
      </c>
      <c r="L16" s="14" t="n">
        <v>49934.83</v>
      </c>
      <c r="M16" s="22" t="n">
        <v>1.143</v>
      </c>
      <c r="N16" s="14" t="n">
        <v>57075.51</v>
      </c>
      <c r="O16" s="14" t="n">
        <v>7140.68</v>
      </c>
      <c r="P16" s="21" t="n">
        <v>0.094</v>
      </c>
      <c r="Q16" s="6" t="n">
        <v>94</v>
      </c>
      <c r="R16" s="6" t="s">
        <v>155</v>
      </c>
      <c r="S16" s="21" t="n">
        <v>0.753</v>
      </c>
      <c r="T16" s="14" t="n">
        <v>42977.86</v>
      </c>
      <c r="U16" s="6" t="s">
        <v>47</v>
      </c>
    </row>
    <row r="17" customFormat="false" ht="15" hidden="false" customHeight="true" outlineLevel="0" collapsed="false">
      <c r="A17" s="6" t="s">
        <v>208</v>
      </c>
      <c r="B17" s="6" t="s">
        <v>209</v>
      </c>
      <c r="C17" s="6" t="s">
        <v>120</v>
      </c>
      <c r="D17" s="6" t="s">
        <v>210</v>
      </c>
      <c r="E17" s="6" t="s">
        <v>211</v>
      </c>
      <c r="F17" s="13" t="n">
        <v>45655</v>
      </c>
      <c r="G17" s="13" t="n">
        <v>45741</v>
      </c>
      <c r="H17" s="14" t="n">
        <v>15024.01</v>
      </c>
      <c r="I17" s="6" t="n">
        <v>0</v>
      </c>
      <c r="J17" s="6" t="n">
        <v>717</v>
      </c>
      <c r="K17" s="6" t="s">
        <v>185</v>
      </c>
      <c r="L17" s="14" t="n">
        <v>5747.16</v>
      </c>
      <c r="M17" s="22" t="n">
        <v>1.328</v>
      </c>
      <c r="N17" s="14" t="n">
        <v>7632.23</v>
      </c>
      <c r="O17" s="14" t="n">
        <v>1885.07</v>
      </c>
      <c r="P17" s="21" t="n">
        <v>0.177</v>
      </c>
      <c r="Q17" s="6" t="n">
        <v>86</v>
      </c>
      <c r="R17" s="6" t="s">
        <v>155</v>
      </c>
      <c r="S17" s="21" t="n">
        <v>0.838</v>
      </c>
      <c r="T17" s="14" t="n">
        <v>6395.81</v>
      </c>
      <c r="U17" s="6" t="s">
        <v>46</v>
      </c>
    </row>
    <row r="18" customFormat="false" ht="15" hidden="false" customHeight="true" outlineLevel="0" collapsed="false">
      <c r="A18" s="6" t="s">
        <v>212</v>
      </c>
      <c r="B18" s="6" t="s">
        <v>213</v>
      </c>
      <c r="C18" s="6" t="s">
        <v>116</v>
      </c>
      <c r="D18" s="6" t="s">
        <v>152</v>
      </c>
      <c r="E18" s="6" t="s">
        <v>153</v>
      </c>
      <c r="F18" s="13" t="n">
        <v>44905</v>
      </c>
      <c r="G18" s="13" t="n">
        <v>44965</v>
      </c>
      <c r="H18" s="14" t="n">
        <v>158363.23</v>
      </c>
      <c r="I18" s="6" t="n">
        <v>0</v>
      </c>
      <c r="J18" s="6" t="n">
        <v>652</v>
      </c>
      <c r="K18" s="6" t="s">
        <v>154</v>
      </c>
      <c r="L18" s="14" t="n">
        <v>35038.87</v>
      </c>
      <c r="M18" s="22" t="n">
        <v>1.269</v>
      </c>
      <c r="N18" s="14" t="n">
        <v>44464.33</v>
      </c>
      <c r="O18" s="14" t="n">
        <v>9425.46</v>
      </c>
      <c r="P18" s="21" t="n">
        <v>0.15</v>
      </c>
      <c r="Q18" s="6" t="n">
        <v>60</v>
      </c>
      <c r="R18" s="6" t="s">
        <v>161</v>
      </c>
      <c r="S18" s="21" t="n">
        <v>1</v>
      </c>
      <c r="T18" s="14" t="n">
        <v>44464.33</v>
      </c>
      <c r="U18" s="6" t="s">
        <v>22</v>
      </c>
    </row>
    <row r="19" customFormat="false" ht="15" hidden="false" customHeight="true" outlineLevel="0" collapsed="false">
      <c r="A19" s="6" t="s">
        <v>214</v>
      </c>
      <c r="B19" s="6" t="s">
        <v>215</v>
      </c>
      <c r="C19" s="6" t="s">
        <v>116</v>
      </c>
      <c r="D19" s="6" t="s">
        <v>152</v>
      </c>
      <c r="E19" s="6" t="s">
        <v>192</v>
      </c>
      <c r="F19" s="13" t="n">
        <v>45260</v>
      </c>
      <c r="G19" s="13" t="n">
        <v>45320</v>
      </c>
      <c r="H19" s="14" t="n">
        <v>213770.96</v>
      </c>
      <c r="I19" s="6" t="n">
        <v>1</v>
      </c>
      <c r="J19" s="6" t="n">
        <v>539</v>
      </c>
      <c r="K19" s="6" t="s">
        <v>154</v>
      </c>
      <c r="L19" s="14" t="n">
        <v>40850.77</v>
      </c>
      <c r="M19" s="22" t="n">
        <v>1.18</v>
      </c>
      <c r="N19" s="14" t="n">
        <v>48203.91</v>
      </c>
      <c r="O19" s="14" t="n">
        <v>7353.14</v>
      </c>
      <c r="P19" s="21" t="n">
        <v>0.116</v>
      </c>
      <c r="Q19" s="6" t="n">
        <v>60</v>
      </c>
      <c r="R19" s="6" t="s">
        <v>155</v>
      </c>
      <c r="S19" s="21" t="n">
        <v>0.847</v>
      </c>
      <c r="T19" s="14" t="n">
        <v>40828.71</v>
      </c>
      <c r="U19" s="6" t="s">
        <v>33</v>
      </c>
    </row>
    <row r="20" customFormat="false" ht="15" hidden="false" customHeight="true" outlineLevel="0" collapsed="false">
      <c r="A20" s="6" t="s">
        <v>216</v>
      </c>
      <c r="B20" s="6" t="s">
        <v>217</v>
      </c>
      <c r="C20" s="6" t="s">
        <v>120</v>
      </c>
      <c r="D20" s="6" t="s">
        <v>218</v>
      </c>
      <c r="E20" s="6" t="s">
        <v>219</v>
      </c>
      <c r="F20" s="13" t="n">
        <v>45288</v>
      </c>
      <c r="G20" s="13" t="n">
        <v>45348</v>
      </c>
      <c r="H20" s="14" t="n">
        <v>75500.64</v>
      </c>
      <c r="I20" s="6" t="n">
        <v>1</v>
      </c>
      <c r="J20" s="6" t="n">
        <v>740</v>
      </c>
      <c r="K20" s="6" t="s">
        <v>185</v>
      </c>
      <c r="L20" s="14" t="n">
        <v>14780.79</v>
      </c>
      <c r="M20" s="22" t="n">
        <v>1.168</v>
      </c>
      <c r="N20" s="14" t="n">
        <v>17263.96</v>
      </c>
      <c r="O20" s="14" t="n">
        <v>2483.17</v>
      </c>
      <c r="P20" s="21" t="n">
        <v>0.113</v>
      </c>
      <c r="Q20" s="6" t="n">
        <v>60</v>
      </c>
      <c r="R20" s="6" t="s">
        <v>155</v>
      </c>
      <c r="S20" s="21" t="n">
        <v>0.819</v>
      </c>
      <c r="T20" s="14" t="n">
        <v>14139.18</v>
      </c>
      <c r="U20" s="6" t="s">
        <v>34</v>
      </c>
    </row>
    <row r="21" customFormat="false" ht="15" hidden="false" customHeight="true" outlineLevel="0" collapsed="false">
      <c r="A21" s="6" t="s">
        <v>220</v>
      </c>
      <c r="B21" s="6" t="s">
        <v>221</v>
      </c>
      <c r="C21" s="6" t="s">
        <v>116</v>
      </c>
      <c r="D21" s="6" t="s">
        <v>222</v>
      </c>
      <c r="E21" s="6" t="s">
        <v>159</v>
      </c>
      <c r="F21" s="13" t="n">
        <v>45116</v>
      </c>
      <c r="G21" s="13" t="n">
        <v>45180</v>
      </c>
      <c r="H21" s="14" t="n">
        <v>82101.86</v>
      </c>
      <c r="I21" s="6" t="n">
        <v>1</v>
      </c>
      <c r="J21" s="6" t="n">
        <v>651</v>
      </c>
      <c r="K21" s="6" t="s">
        <v>160</v>
      </c>
      <c r="L21" s="14" t="n">
        <v>21155.15</v>
      </c>
      <c r="M21" s="22" t="n">
        <v>1.169</v>
      </c>
      <c r="N21" s="14" t="n">
        <v>24730.37</v>
      </c>
      <c r="O21" s="14" t="n">
        <v>3575.22</v>
      </c>
      <c r="P21" s="21" t="n">
        <v>0.141</v>
      </c>
      <c r="Q21" s="6" t="n">
        <v>64</v>
      </c>
      <c r="R21" s="6" t="s">
        <v>161</v>
      </c>
      <c r="S21" s="21" t="n">
        <v>1</v>
      </c>
      <c r="T21" s="14" t="n">
        <v>24730.37</v>
      </c>
      <c r="U21" s="6" t="s">
        <v>29</v>
      </c>
    </row>
    <row r="22" customFormat="false" ht="15" hidden="false" customHeight="true" outlineLevel="0" collapsed="false">
      <c r="A22" s="6" t="s">
        <v>223</v>
      </c>
      <c r="B22" s="6" t="s">
        <v>224</v>
      </c>
      <c r="C22" s="6" t="s">
        <v>112</v>
      </c>
      <c r="D22" s="6" t="s">
        <v>225</v>
      </c>
      <c r="E22" s="6" t="s">
        <v>192</v>
      </c>
      <c r="F22" s="13" t="n">
        <v>44820</v>
      </c>
      <c r="G22" s="13" t="n">
        <v>44880</v>
      </c>
      <c r="H22" s="14" t="n">
        <v>63050.93</v>
      </c>
      <c r="I22" s="6" t="n">
        <v>0</v>
      </c>
      <c r="J22" s="6" t="n">
        <v>505</v>
      </c>
      <c r="K22" s="6" t="s">
        <v>160</v>
      </c>
      <c r="L22" s="14" t="n">
        <v>14396.04</v>
      </c>
      <c r="M22" s="22" t="n">
        <v>1.229</v>
      </c>
      <c r="N22" s="14" t="n">
        <v>17692.73</v>
      </c>
      <c r="O22" s="14" t="n">
        <v>3296.69</v>
      </c>
      <c r="P22" s="21" t="n">
        <v>0.141</v>
      </c>
      <c r="Q22" s="6" t="n">
        <v>60</v>
      </c>
      <c r="R22" s="6" t="s">
        <v>161</v>
      </c>
      <c r="S22" s="21" t="n">
        <v>1</v>
      </c>
      <c r="T22" s="14" t="n">
        <v>17692.73</v>
      </c>
      <c r="U22" s="6" t="s">
        <v>19</v>
      </c>
    </row>
    <row r="23" customFormat="false" ht="15" hidden="false" customHeight="true" outlineLevel="0" collapsed="false">
      <c r="A23" s="6" t="s">
        <v>226</v>
      </c>
      <c r="B23" s="6" t="s">
        <v>227</v>
      </c>
      <c r="C23" s="6" t="s">
        <v>116</v>
      </c>
      <c r="D23" s="6" t="s">
        <v>152</v>
      </c>
      <c r="E23" s="6" t="s">
        <v>189</v>
      </c>
      <c r="F23" s="13" t="n">
        <v>45484</v>
      </c>
      <c r="G23" s="13" t="n">
        <v>45579</v>
      </c>
      <c r="H23" s="14" t="n">
        <v>237688.41</v>
      </c>
      <c r="I23" s="6" t="n">
        <v>0</v>
      </c>
      <c r="J23" s="6" t="n">
        <v>579</v>
      </c>
      <c r="K23" s="6" t="s">
        <v>185</v>
      </c>
      <c r="L23" s="14" t="n">
        <v>78403.97</v>
      </c>
      <c r="M23" s="22" t="n">
        <v>1.141</v>
      </c>
      <c r="N23" s="14" t="n">
        <v>89458.93</v>
      </c>
      <c r="O23" s="14" t="n">
        <v>11054.96</v>
      </c>
      <c r="P23" s="21" t="n">
        <v>0.118</v>
      </c>
      <c r="Q23" s="6" t="n">
        <v>95</v>
      </c>
      <c r="R23" s="6" t="s">
        <v>155</v>
      </c>
      <c r="S23" s="21" t="n">
        <v>0.804</v>
      </c>
      <c r="T23" s="14" t="n">
        <v>71924.98</v>
      </c>
      <c r="U23" s="6" t="s">
        <v>41</v>
      </c>
    </row>
    <row r="24" customFormat="false" ht="15" hidden="false" customHeight="true" outlineLevel="0" collapsed="false">
      <c r="A24" s="6" t="s">
        <v>228</v>
      </c>
      <c r="B24" s="6" t="s">
        <v>229</v>
      </c>
      <c r="C24" s="6" t="s">
        <v>116</v>
      </c>
      <c r="D24" s="6" t="s">
        <v>222</v>
      </c>
      <c r="E24" s="6" t="s">
        <v>195</v>
      </c>
      <c r="F24" s="13" t="n">
        <v>45727</v>
      </c>
      <c r="G24" s="13" t="n">
        <v>45787</v>
      </c>
      <c r="H24" s="14" t="n">
        <v>139784.1</v>
      </c>
      <c r="I24" s="6" t="n">
        <v>1</v>
      </c>
      <c r="J24" s="6" t="n">
        <v>791</v>
      </c>
      <c r="K24" s="6" t="s">
        <v>160</v>
      </c>
      <c r="L24" s="14" t="n">
        <v>12714.14</v>
      </c>
      <c r="M24" s="22" t="n">
        <v>1.163</v>
      </c>
      <c r="N24" s="14" t="n">
        <v>14786.54</v>
      </c>
      <c r="O24" s="14" t="n">
        <v>2072.4</v>
      </c>
      <c r="P24" s="21" t="n">
        <v>0.147</v>
      </c>
      <c r="Q24" s="6" t="n">
        <v>60</v>
      </c>
      <c r="R24" s="6" t="s">
        <v>155</v>
      </c>
      <c r="S24" s="21" t="n">
        <v>0.854</v>
      </c>
      <c r="T24" s="14" t="n">
        <v>12627.71</v>
      </c>
      <c r="U24" s="6" t="s">
        <v>49</v>
      </c>
    </row>
    <row r="25" customFormat="false" ht="15" hidden="false" customHeight="true" outlineLevel="0" collapsed="false">
      <c r="A25" s="6" t="s">
        <v>230</v>
      </c>
      <c r="B25" s="6" t="s">
        <v>231</v>
      </c>
      <c r="C25" s="6" t="s">
        <v>112</v>
      </c>
      <c r="D25" s="6" t="s">
        <v>164</v>
      </c>
      <c r="E25" s="6" t="s">
        <v>189</v>
      </c>
      <c r="F25" s="13" t="n">
        <v>45569</v>
      </c>
      <c r="G25" s="13" t="n">
        <v>45653</v>
      </c>
      <c r="H25" s="14" t="n">
        <v>17736.06</v>
      </c>
      <c r="I25" s="6" t="n">
        <v>2</v>
      </c>
      <c r="J25" s="6" t="n">
        <v>651</v>
      </c>
      <c r="K25" s="6" t="s">
        <v>185</v>
      </c>
      <c r="L25" s="14" t="n">
        <v>5382.14</v>
      </c>
      <c r="M25" s="22" t="n">
        <v>1.238</v>
      </c>
      <c r="N25" s="14" t="n">
        <v>6663.09</v>
      </c>
      <c r="O25" s="14" t="n">
        <v>1280.95</v>
      </c>
      <c r="P25" s="21" t="n">
        <v>0.133</v>
      </c>
      <c r="Q25" s="6" t="n">
        <v>84</v>
      </c>
      <c r="R25" s="6" t="s">
        <v>232</v>
      </c>
      <c r="S25" s="21" t="n">
        <v>1</v>
      </c>
      <c r="T25" s="14" t="n">
        <v>6663.09</v>
      </c>
      <c r="U25" s="6" t="s">
        <v>44</v>
      </c>
    </row>
    <row r="26" customFormat="false" ht="15" hidden="false" customHeight="true" outlineLevel="0" collapsed="false">
      <c r="A26" s="6" t="s">
        <v>233</v>
      </c>
      <c r="B26" s="6" t="s">
        <v>234</v>
      </c>
      <c r="C26" s="6" t="s">
        <v>128</v>
      </c>
      <c r="D26" s="6" t="s">
        <v>235</v>
      </c>
      <c r="E26" s="6" t="s">
        <v>181</v>
      </c>
      <c r="F26" s="13" t="n">
        <v>45151</v>
      </c>
      <c r="G26" s="13" t="n">
        <v>45244</v>
      </c>
      <c r="H26" s="14" t="n">
        <v>21117.39</v>
      </c>
      <c r="I26" s="6" t="n">
        <v>1</v>
      </c>
      <c r="J26" s="6" t="n">
        <v>699</v>
      </c>
      <c r="K26" s="6" t="s">
        <v>185</v>
      </c>
      <c r="L26" s="14" t="n">
        <v>7000</v>
      </c>
      <c r="M26" s="22" t="n">
        <v>1.135</v>
      </c>
      <c r="N26" s="14" t="n">
        <v>7945</v>
      </c>
      <c r="O26" s="14" t="n">
        <v>945</v>
      </c>
      <c r="P26" s="21" t="n">
        <v>0.121</v>
      </c>
      <c r="Q26" s="6" t="n">
        <v>93</v>
      </c>
      <c r="R26" s="6" t="s">
        <v>161</v>
      </c>
      <c r="S26" s="21" t="n">
        <v>1</v>
      </c>
      <c r="T26" s="14" t="n">
        <v>7945</v>
      </c>
      <c r="U26" s="6" t="s">
        <v>30</v>
      </c>
    </row>
    <row r="27" customFormat="false" ht="15" hidden="false" customHeight="true" outlineLevel="0" collapsed="false">
      <c r="A27" s="6" t="s">
        <v>236</v>
      </c>
      <c r="B27" s="6" t="s">
        <v>237</v>
      </c>
      <c r="C27" s="6" t="s">
        <v>124</v>
      </c>
      <c r="D27" s="6" t="s">
        <v>238</v>
      </c>
      <c r="E27" s="6" t="s">
        <v>173</v>
      </c>
      <c r="F27" s="13" t="n">
        <v>45109</v>
      </c>
      <c r="G27" s="13" t="n">
        <v>45202</v>
      </c>
      <c r="H27" s="14" t="n">
        <v>130994.3</v>
      </c>
      <c r="I27" s="6" t="n">
        <v>3</v>
      </c>
      <c r="J27" s="6" t="n">
        <v>776</v>
      </c>
      <c r="K27" s="6" t="s">
        <v>160</v>
      </c>
      <c r="L27" s="14" t="n">
        <v>52858.76</v>
      </c>
      <c r="M27" s="22" t="n">
        <v>1.172</v>
      </c>
      <c r="N27" s="14" t="n">
        <v>61950.47</v>
      </c>
      <c r="O27" s="14" t="n">
        <v>9091.71</v>
      </c>
      <c r="P27" s="21" t="n">
        <v>0.152</v>
      </c>
      <c r="Q27" s="6" t="n">
        <v>93</v>
      </c>
      <c r="R27" s="6" t="s">
        <v>155</v>
      </c>
      <c r="S27" s="21" t="n">
        <v>0.799</v>
      </c>
      <c r="T27" s="14" t="n">
        <v>49498.43</v>
      </c>
      <c r="U27" s="6" t="s">
        <v>29</v>
      </c>
    </row>
    <row r="28" customFormat="false" ht="15" hidden="false" customHeight="true" outlineLevel="0" collapsed="false">
      <c r="A28" s="6" t="s">
        <v>239</v>
      </c>
      <c r="B28" s="6" t="s">
        <v>240</v>
      </c>
      <c r="C28" s="6" t="s">
        <v>112</v>
      </c>
      <c r="D28" s="6" t="s">
        <v>225</v>
      </c>
      <c r="E28" s="6" t="s">
        <v>169</v>
      </c>
      <c r="F28" s="13" t="n">
        <v>45902</v>
      </c>
      <c r="G28" s="13" t="n">
        <v>45974</v>
      </c>
      <c r="H28" s="14" t="n">
        <v>241615.57</v>
      </c>
      <c r="I28" s="6" t="n">
        <v>0</v>
      </c>
      <c r="J28" s="6" t="n">
        <v>532</v>
      </c>
      <c r="K28" s="6" t="s">
        <v>185</v>
      </c>
      <c r="L28" s="14" t="n">
        <v>37131.53</v>
      </c>
      <c r="M28" s="22" t="n">
        <v>1.084</v>
      </c>
      <c r="N28" s="14" t="n">
        <v>40250.58</v>
      </c>
      <c r="O28" s="14" t="n">
        <v>3119.05</v>
      </c>
      <c r="P28" s="21" t="n">
        <v>0.069</v>
      </c>
      <c r="Q28" s="6" t="n">
        <v>72</v>
      </c>
      <c r="R28" s="6" t="s">
        <v>232</v>
      </c>
      <c r="S28" s="21" t="n">
        <v>1</v>
      </c>
      <c r="T28" s="14" t="n">
        <v>40250.58</v>
      </c>
      <c r="U28" s="6" t="s">
        <v>55</v>
      </c>
    </row>
    <row r="29" customFormat="false" ht="15" hidden="false" customHeight="true" outlineLevel="0" collapsed="false">
      <c r="A29" s="6" t="s">
        <v>241</v>
      </c>
      <c r="B29" s="6" t="s">
        <v>242</v>
      </c>
      <c r="C29" s="6" t="s">
        <v>124</v>
      </c>
      <c r="D29" s="6" t="s">
        <v>243</v>
      </c>
      <c r="E29" s="6" t="s">
        <v>173</v>
      </c>
      <c r="F29" s="13" t="n">
        <v>44767</v>
      </c>
      <c r="G29" s="13" t="n">
        <v>44845</v>
      </c>
      <c r="H29" s="14" t="n">
        <v>24557.82</v>
      </c>
      <c r="I29" s="6" t="n">
        <v>1</v>
      </c>
      <c r="J29" s="6" t="n">
        <v>795</v>
      </c>
      <c r="K29" s="6" t="s">
        <v>160</v>
      </c>
      <c r="L29" s="14" t="n">
        <v>7633.9</v>
      </c>
      <c r="M29" s="22" t="n">
        <v>1.107</v>
      </c>
      <c r="N29" s="14" t="n">
        <v>8450.73</v>
      </c>
      <c r="O29" s="14" t="n">
        <v>816.83</v>
      </c>
      <c r="P29" s="21" t="n">
        <v>0.132</v>
      </c>
      <c r="Q29" s="6" t="n">
        <v>78</v>
      </c>
      <c r="R29" s="6" t="s">
        <v>161</v>
      </c>
      <c r="S29" s="21" t="n">
        <v>1</v>
      </c>
      <c r="T29" s="14" t="n">
        <v>8450.73</v>
      </c>
      <c r="U29" s="6" t="s">
        <v>17</v>
      </c>
    </row>
    <row r="30" customFormat="false" ht="15" hidden="false" customHeight="true" outlineLevel="0" collapsed="false">
      <c r="A30" s="6" t="s">
        <v>244</v>
      </c>
      <c r="B30" s="6" t="s">
        <v>245</v>
      </c>
      <c r="C30" s="6" t="s">
        <v>120</v>
      </c>
      <c r="D30" s="6" t="s">
        <v>210</v>
      </c>
      <c r="E30" s="6" t="s">
        <v>207</v>
      </c>
      <c r="F30" s="13" t="n">
        <v>45765</v>
      </c>
      <c r="G30" s="13" t="n">
        <v>45855</v>
      </c>
      <c r="H30" s="14" t="n">
        <v>169375.45</v>
      </c>
      <c r="I30" s="6" t="n">
        <v>3</v>
      </c>
      <c r="J30" s="6" t="n">
        <v>649</v>
      </c>
      <c r="K30" s="6" t="s">
        <v>160</v>
      </c>
      <c r="L30" s="14" t="n">
        <v>40555.64</v>
      </c>
      <c r="M30" s="22" t="n">
        <v>1.199</v>
      </c>
      <c r="N30" s="14" t="n">
        <v>48626.21</v>
      </c>
      <c r="O30" s="14" t="n">
        <v>8070.57</v>
      </c>
      <c r="P30" s="21" t="n">
        <v>0.095</v>
      </c>
      <c r="Q30" s="6" t="n">
        <v>90</v>
      </c>
      <c r="R30" s="6" t="s">
        <v>161</v>
      </c>
      <c r="S30" s="21" t="n">
        <v>1</v>
      </c>
      <c r="T30" s="14" t="n">
        <v>48626.21</v>
      </c>
      <c r="U30" s="6" t="s">
        <v>50</v>
      </c>
    </row>
    <row r="31" customFormat="false" ht="15" hidden="false" customHeight="true" outlineLevel="0" collapsed="false">
      <c r="A31" s="6" t="s">
        <v>246</v>
      </c>
      <c r="B31" s="6" t="s">
        <v>247</v>
      </c>
      <c r="C31" s="6" t="s">
        <v>116</v>
      </c>
      <c r="D31" s="6" t="s">
        <v>206</v>
      </c>
      <c r="E31" s="6" t="s">
        <v>177</v>
      </c>
      <c r="F31" s="13" t="n">
        <v>45464</v>
      </c>
      <c r="G31" s="13" t="n">
        <v>45613</v>
      </c>
      <c r="H31" s="14" t="n">
        <v>60999.1</v>
      </c>
      <c r="I31" s="6" t="n">
        <v>0</v>
      </c>
      <c r="J31" s="6" t="n">
        <v>580</v>
      </c>
      <c r="K31" s="6" t="s">
        <v>160</v>
      </c>
      <c r="L31" s="14" t="n">
        <v>21810.92</v>
      </c>
      <c r="M31" s="22" t="n">
        <v>1.255</v>
      </c>
      <c r="N31" s="14" t="n">
        <v>27372.7</v>
      </c>
      <c r="O31" s="14" t="n">
        <v>5561.78</v>
      </c>
      <c r="P31" s="21" t="n">
        <v>0.09</v>
      </c>
      <c r="Q31" s="6" t="n">
        <v>149</v>
      </c>
      <c r="R31" s="6" t="s">
        <v>155</v>
      </c>
      <c r="S31" s="21" t="n">
        <v>0.828</v>
      </c>
      <c r="T31" s="14" t="n">
        <v>22664.6</v>
      </c>
      <c r="U31" s="6" t="s">
        <v>40</v>
      </c>
    </row>
    <row r="32" customFormat="false" ht="15" hidden="false" customHeight="true" outlineLevel="0" collapsed="false">
      <c r="A32" s="6" t="s">
        <v>248</v>
      </c>
      <c r="B32" s="6" t="s">
        <v>249</v>
      </c>
      <c r="C32" s="6" t="s">
        <v>128</v>
      </c>
      <c r="D32" s="6" t="s">
        <v>172</v>
      </c>
      <c r="E32" s="6" t="s">
        <v>219</v>
      </c>
      <c r="F32" s="13" t="n">
        <v>44799</v>
      </c>
      <c r="G32" s="13" t="n">
        <v>44859</v>
      </c>
      <c r="H32" s="14" t="n">
        <v>161767.75</v>
      </c>
      <c r="I32" s="6" t="n">
        <v>1</v>
      </c>
      <c r="J32" s="6" t="n">
        <v>724</v>
      </c>
      <c r="K32" s="6" t="s">
        <v>185</v>
      </c>
      <c r="L32" s="14" t="n">
        <v>15002.57</v>
      </c>
      <c r="M32" s="22" t="n">
        <v>1.09</v>
      </c>
      <c r="N32" s="14" t="n">
        <v>16352.8</v>
      </c>
      <c r="O32" s="14" t="n">
        <v>1350.23</v>
      </c>
      <c r="P32" s="21" t="n">
        <v>0.179</v>
      </c>
      <c r="Q32" s="6" t="n">
        <v>60</v>
      </c>
      <c r="R32" s="6" t="s">
        <v>155</v>
      </c>
      <c r="S32" s="21" t="n">
        <v>0.98</v>
      </c>
      <c r="T32" s="14" t="n">
        <v>16025.74</v>
      </c>
      <c r="U32" s="6" t="s">
        <v>18</v>
      </c>
    </row>
    <row r="33" customFormat="false" ht="15" hidden="false" customHeight="true" outlineLevel="0" collapsed="false">
      <c r="A33" s="6" t="s">
        <v>250</v>
      </c>
      <c r="B33" s="6" t="s">
        <v>251</v>
      </c>
      <c r="C33" s="6" t="s">
        <v>124</v>
      </c>
      <c r="D33" s="6" t="s">
        <v>168</v>
      </c>
      <c r="E33" s="6" t="s">
        <v>159</v>
      </c>
      <c r="F33" s="13" t="n">
        <v>45493</v>
      </c>
      <c r="G33" s="13" t="n">
        <v>45553</v>
      </c>
      <c r="H33" s="14" t="n">
        <v>215018.95</v>
      </c>
      <c r="I33" s="6" t="n">
        <v>0</v>
      </c>
      <c r="J33" s="6" t="n">
        <v>719</v>
      </c>
      <c r="K33" s="6" t="s">
        <v>160</v>
      </c>
      <c r="L33" s="14" t="n">
        <v>20574.17</v>
      </c>
      <c r="M33" s="22" t="n">
        <v>1.341</v>
      </c>
      <c r="N33" s="14" t="n">
        <v>27589.96</v>
      </c>
      <c r="O33" s="14" t="n">
        <v>7015.79</v>
      </c>
      <c r="P33" s="21" t="n">
        <v>0.173</v>
      </c>
      <c r="Q33" s="6" t="n">
        <v>60</v>
      </c>
      <c r="R33" s="6" t="s">
        <v>155</v>
      </c>
      <c r="S33" s="21" t="n">
        <v>0.774</v>
      </c>
      <c r="T33" s="14" t="n">
        <v>21354.63</v>
      </c>
      <c r="U33" s="6" t="s">
        <v>41</v>
      </c>
    </row>
    <row r="34" customFormat="false" ht="15" hidden="false" customHeight="true" outlineLevel="0" collapsed="false">
      <c r="A34" s="6" t="s">
        <v>252</v>
      </c>
      <c r="B34" s="6" t="s">
        <v>253</v>
      </c>
      <c r="C34" s="6" t="s">
        <v>120</v>
      </c>
      <c r="D34" s="6" t="s">
        <v>218</v>
      </c>
      <c r="E34" s="6" t="s">
        <v>254</v>
      </c>
      <c r="F34" s="13" t="n">
        <v>44594</v>
      </c>
      <c r="G34" s="13" t="n">
        <v>44654</v>
      </c>
      <c r="H34" s="14" t="n">
        <v>138732.14</v>
      </c>
      <c r="I34" s="6" t="n">
        <v>2</v>
      </c>
      <c r="J34" s="6" t="n">
        <v>535</v>
      </c>
      <c r="K34" s="6" t="s">
        <v>154</v>
      </c>
      <c r="L34" s="14" t="n">
        <v>16849.74</v>
      </c>
      <c r="M34" s="22" t="n">
        <v>1.293</v>
      </c>
      <c r="N34" s="14" t="n">
        <v>21786.71</v>
      </c>
      <c r="O34" s="14" t="n">
        <v>4936.97</v>
      </c>
      <c r="P34" s="21" t="n">
        <v>0.127</v>
      </c>
      <c r="Q34" s="6" t="n">
        <v>60</v>
      </c>
      <c r="R34" s="6" t="s">
        <v>155</v>
      </c>
      <c r="S34" s="21" t="n">
        <v>0.718</v>
      </c>
      <c r="T34" s="14" t="n">
        <v>15642.86</v>
      </c>
      <c r="U34" s="6" t="s">
        <v>12</v>
      </c>
    </row>
    <row r="35" customFormat="false" ht="15" hidden="false" customHeight="true" outlineLevel="0" collapsed="false">
      <c r="A35" s="6" t="s">
        <v>255</v>
      </c>
      <c r="B35" s="6" t="s">
        <v>256</v>
      </c>
      <c r="C35" s="6" t="s">
        <v>112</v>
      </c>
      <c r="D35" s="6" t="s">
        <v>188</v>
      </c>
      <c r="E35" s="6" t="s">
        <v>165</v>
      </c>
      <c r="F35" s="13" t="n">
        <v>45125</v>
      </c>
      <c r="G35" s="13" t="n">
        <v>45185</v>
      </c>
      <c r="H35" s="14" t="n">
        <v>111158.22</v>
      </c>
      <c r="I35" s="6" t="n">
        <v>0</v>
      </c>
      <c r="J35" s="6" t="n">
        <v>728</v>
      </c>
      <c r="K35" s="6" t="s">
        <v>185</v>
      </c>
      <c r="L35" s="14" t="n">
        <v>9506.3</v>
      </c>
      <c r="M35" s="22" t="n">
        <v>1.244</v>
      </c>
      <c r="N35" s="14" t="n">
        <v>11825.84</v>
      </c>
      <c r="O35" s="14" t="n">
        <v>2319.54</v>
      </c>
      <c r="P35" s="21" t="n">
        <v>0.059</v>
      </c>
      <c r="Q35" s="6" t="n">
        <v>60</v>
      </c>
      <c r="R35" s="6" t="s">
        <v>161</v>
      </c>
      <c r="S35" s="21" t="n">
        <v>1</v>
      </c>
      <c r="T35" s="14" t="n">
        <v>11825.84</v>
      </c>
      <c r="U35" s="6" t="s">
        <v>29</v>
      </c>
    </row>
    <row r="36" customFormat="false" ht="15" hidden="false" customHeight="true" outlineLevel="0" collapsed="false">
      <c r="A36" s="6" t="s">
        <v>257</v>
      </c>
      <c r="B36" s="6" t="s">
        <v>258</v>
      </c>
      <c r="C36" s="6" t="s">
        <v>116</v>
      </c>
      <c r="D36" s="6" t="s">
        <v>222</v>
      </c>
      <c r="E36" s="6" t="s">
        <v>184</v>
      </c>
      <c r="F36" s="13" t="n">
        <v>45328</v>
      </c>
      <c r="G36" s="13" t="n">
        <v>45388</v>
      </c>
      <c r="H36" s="14" t="n">
        <v>222918.03</v>
      </c>
      <c r="I36" s="6" t="n">
        <v>1</v>
      </c>
      <c r="J36" s="6" t="n">
        <v>765</v>
      </c>
      <c r="K36" s="6" t="s">
        <v>185</v>
      </c>
      <c r="L36" s="14" t="n">
        <v>37150.27</v>
      </c>
      <c r="M36" s="22" t="n">
        <v>1.195</v>
      </c>
      <c r="N36" s="14" t="n">
        <v>44394.57</v>
      </c>
      <c r="O36" s="14" t="n">
        <v>7244.3</v>
      </c>
      <c r="P36" s="21" t="n">
        <v>0.136</v>
      </c>
      <c r="Q36" s="6" t="n">
        <v>60</v>
      </c>
      <c r="R36" s="6" t="s">
        <v>232</v>
      </c>
      <c r="S36" s="21" t="n">
        <v>1</v>
      </c>
      <c r="T36" s="14" t="n">
        <v>44394.57</v>
      </c>
      <c r="U36" s="6" t="s">
        <v>36</v>
      </c>
    </row>
    <row r="37" customFormat="false" ht="15" hidden="false" customHeight="true" outlineLevel="0" collapsed="false">
      <c r="A37" s="6" t="s">
        <v>259</v>
      </c>
      <c r="B37" s="6" t="s">
        <v>260</v>
      </c>
      <c r="C37" s="6" t="s">
        <v>124</v>
      </c>
      <c r="D37" s="6" t="s">
        <v>180</v>
      </c>
      <c r="E37" s="6" t="s">
        <v>181</v>
      </c>
      <c r="F37" s="13" t="n">
        <v>45021</v>
      </c>
      <c r="G37" s="13" t="n">
        <v>45081</v>
      </c>
      <c r="H37" s="14" t="n">
        <v>218078.3</v>
      </c>
      <c r="I37" s="6" t="n">
        <v>2</v>
      </c>
      <c r="J37" s="6" t="n">
        <v>810</v>
      </c>
      <c r="K37" s="6" t="s">
        <v>160</v>
      </c>
      <c r="L37" s="14" t="n">
        <v>45955.23</v>
      </c>
      <c r="M37" s="22" t="n">
        <v>1.137</v>
      </c>
      <c r="N37" s="14" t="n">
        <v>52251.1</v>
      </c>
      <c r="O37" s="14" t="n">
        <v>6295.87</v>
      </c>
      <c r="P37" s="21" t="n">
        <v>0.135</v>
      </c>
      <c r="Q37" s="6" t="n">
        <v>60</v>
      </c>
      <c r="R37" s="6" t="s">
        <v>155</v>
      </c>
      <c r="S37" s="21" t="n">
        <v>0.823</v>
      </c>
      <c r="T37" s="14" t="n">
        <v>43002.66</v>
      </c>
      <c r="U37" s="6" t="s">
        <v>26</v>
      </c>
    </row>
    <row r="38" customFormat="false" ht="15" hidden="false" customHeight="true" outlineLevel="0" collapsed="false">
      <c r="A38" s="6" t="s">
        <v>261</v>
      </c>
      <c r="B38" s="6" t="s">
        <v>262</v>
      </c>
      <c r="C38" s="6" t="s">
        <v>120</v>
      </c>
      <c r="D38" s="6" t="s">
        <v>263</v>
      </c>
      <c r="E38" s="6" t="s">
        <v>177</v>
      </c>
      <c r="F38" s="13" t="n">
        <v>45648</v>
      </c>
      <c r="G38" s="13" t="n">
        <v>45785</v>
      </c>
      <c r="H38" s="14" t="n">
        <v>9477.6</v>
      </c>
      <c r="I38" s="6" t="n">
        <v>3</v>
      </c>
      <c r="J38" s="6" t="n">
        <v>681</v>
      </c>
      <c r="K38" s="6" t="s">
        <v>185</v>
      </c>
      <c r="L38" s="14" t="n">
        <v>2000</v>
      </c>
      <c r="M38" s="22" t="n">
        <v>1.342</v>
      </c>
      <c r="N38" s="14" t="n">
        <v>2684</v>
      </c>
      <c r="O38" s="14" t="n">
        <v>684</v>
      </c>
      <c r="P38" s="21" t="n">
        <v>0.062</v>
      </c>
      <c r="Q38" s="6" t="n">
        <v>137</v>
      </c>
      <c r="R38" s="6" t="s">
        <v>155</v>
      </c>
      <c r="S38" s="21" t="n">
        <v>0.847</v>
      </c>
      <c r="T38" s="14" t="n">
        <v>2273.35</v>
      </c>
      <c r="U38" s="6" t="s">
        <v>46</v>
      </c>
    </row>
    <row r="39" customFormat="false" ht="15" hidden="false" customHeight="true" outlineLevel="0" collapsed="false">
      <c r="A39" s="6" t="s">
        <v>264</v>
      </c>
      <c r="B39" s="6" t="s">
        <v>265</v>
      </c>
      <c r="C39" s="6" t="s">
        <v>131</v>
      </c>
      <c r="D39" s="6" t="s">
        <v>200</v>
      </c>
      <c r="E39" s="6" t="s">
        <v>219</v>
      </c>
      <c r="F39" s="13" t="n">
        <v>46015</v>
      </c>
      <c r="G39" s="13" t="n">
        <v>46151</v>
      </c>
      <c r="H39" s="14" t="n">
        <v>104091.22</v>
      </c>
      <c r="I39" s="6" t="n">
        <v>2</v>
      </c>
      <c r="J39" s="6" t="n">
        <v>640</v>
      </c>
      <c r="K39" s="6" t="s">
        <v>185</v>
      </c>
      <c r="L39" s="14" t="n">
        <v>48021.69</v>
      </c>
      <c r="M39" s="22" t="n">
        <v>1.235</v>
      </c>
      <c r="N39" s="14" t="n">
        <v>59306.79</v>
      </c>
      <c r="O39" s="14" t="n">
        <v>11285.1</v>
      </c>
      <c r="P39" s="21" t="n">
        <v>0.125</v>
      </c>
      <c r="Q39" s="6" t="n">
        <v>136</v>
      </c>
      <c r="R39" s="6" t="s">
        <v>161</v>
      </c>
      <c r="S39" s="21" t="n">
        <v>1</v>
      </c>
      <c r="T39" s="14" t="n">
        <v>59306.79</v>
      </c>
      <c r="U39" s="6" t="s">
        <v>58</v>
      </c>
    </row>
    <row r="40" customFormat="false" ht="15" hidden="false" customHeight="true" outlineLevel="0" collapsed="false">
      <c r="A40" s="6" t="s">
        <v>266</v>
      </c>
      <c r="B40" s="6" t="s">
        <v>267</v>
      </c>
      <c r="C40" s="6" t="s">
        <v>112</v>
      </c>
      <c r="D40" s="6" t="s">
        <v>225</v>
      </c>
      <c r="E40" s="6" t="s">
        <v>207</v>
      </c>
      <c r="F40" s="13" t="n">
        <v>46118</v>
      </c>
      <c r="G40" s="13" t="n">
        <v>46178</v>
      </c>
      <c r="H40" s="14" t="n">
        <v>55739.78</v>
      </c>
      <c r="I40" s="6" t="n">
        <v>1</v>
      </c>
      <c r="J40" s="6" t="n">
        <v>743</v>
      </c>
      <c r="K40" s="6" t="s">
        <v>154</v>
      </c>
      <c r="L40" s="14" t="n">
        <v>9554.83</v>
      </c>
      <c r="M40" s="22" t="n">
        <v>1.213</v>
      </c>
      <c r="N40" s="14" t="n">
        <v>11590.01</v>
      </c>
      <c r="O40" s="14" t="n">
        <v>2035.18</v>
      </c>
      <c r="P40" s="21" t="n">
        <v>0.148</v>
      </c>
      <c r="Q40" s="6" t="n">
        <v>60</v>
      </c>
      <c r="R40" s="6" t="s">
        <v>161</v>
      </c>
      <c r="S40" s="21" t="n">
        <v>1</v>
      </c>
      <c r="T40" s="14" t="n">
        <v>11590.01</v>
      </c>
      <c r="U40" s="6" t="s">
        <v>62</v>
      </c>
    </row>
    <row r="41" customFormat="false" ht="15" hidden="false" customHeight="true" outlineLevel="0" collapsed="false">
      <c r="A41" s="6" t="s">
        <v>268</v>
      </c>
      <c r="B41" s="6" t="s">
        <v>269</v>
      </c>
      <c r="C41" s="6" t="s">
        <v>128</v>
      </c>
      <c r="D41" s="6" t="s">
        <v>172</v>
      </c>
      <c r="E41" s="6" t="s">
        <v>177</v>
      </c>
      <c r="F41" s="13" t="n">
        <v>44746</v>
      </c>
      <c r="G41" s="13" t="n">
        <v>44806</v>
      </c>
      <c r="H41" s="14" t="n">
        <v>130775.53</v>
      </c>
      <c r="I41" s="6" t="n">
        <v>0</v>
      </c>
      <c r="J41" s="6" t="n">
        <v>645</v>
      </c>
      <c r="K41" s="6" t="s">
        <v>154</v>
      </c>
      <c r="L41" s="14" t="n">
        <v>23504.34</v>
      </c>
      <c r="M41" s="22" t="n">
        <v>1.254</v>
      </c>
      <c r="N41" s="14" t="n">
        <v>29474.44</v>
      </c>
      <c r="O41" s="14" t="n">
        <v>5970.1</v>
      </c>
      <c r="P41" s="21" t="n">
        <v>0.177</v>
      </c>
      <c r="Q41" s="6" t="n">
        <v>60</v>
      </c>
      <c r="R41" s="6" t="s">
        <v>161</v>
      </c>
      <c r="S41" s="21" t="n">
        <v>1</v>
      </c>
      <c r="T41" s="14" t="n">
        <v>29474.44</v>
      </c>
      <c r="U41" s="6" t="s">
        <v>17</v>
      </c>
    </row>
    <row r="42" customFormat="false" ht="15" hidden="false" customHeight="true" outlineLevel="0" collapsed="false">
      <c r="A42" s="6" t="s">
        <v>270</v>
      </c>
      <c r="B42" s="6" t="s">
        <v>271</v>
      </c>
      <c r="C42" s="6" t="s">
        <v>112</v>
      </c>
      <c r="D42" s="6" t="s">
        <v>164</v>
      </c>
      <c r="E42" s="6" t="s">
        <v>219</v>
      </c>
      <c r="F42" s="13" t="n">
        <v>45141</v>
      </c>
      <c r="G42" s="13" t="n">
        <v>45297</v>
      </c>
      <c r="H42" s="14" t="n">
        <v>130100.86</v>
      </c>
      <c r="I42" s="6" t="n">
        <v>0</v>
      </c>
      <c r="J42" s="6" t="n">
        <v>579</v>
      </c>
      <c r="K42" s="6" t="s">
        <v>185</v>
      </c>
      <c r="L42" s="14" t="n">
        <v>52763.31</v>
      </c>
      <c r="M42" s="22" t="n">
        <v>1.245</v>
      </c>
      <c r="N42" s="14" t="n">
        <v>65690.32</v>
      </c>
      <c r="O42" s="14" t="n">
        <v>12927.01</v>
      </c>
      <c r="P42" s="21" t="n">
        <v>0.097</v>
      </c>
      <c r="Q42" s="6" t="n">
        <v>156</v>
      </c>
      <c r="R42" s="6" t="s">
        <v>161</v>
      </c>
      <c r="S42" s="21" t="n">
        <v>1</v>
      </c>
      <c r="T42" s="14" t="n">
        <v>65690.32</v>
      </c>
      <c r="U42" s="6" t="s">
        <v>30</v>
      </c>
    </row>
    <row r="43" customFormat="false" ht="15" hidden="false" customHeight="true" outlineLevel="0" collapsed="false">
      <c r="A43" s="6" t="s">
        <v>272</v>
      </c>
      <c r="B43" s="6" t="s">
        <v>273</v>
      </c>
      <c r="C43" s="6" t="s">
        <v>116</v>
      </c>
      <c r="D43" s="6" t="s">
        <v>152</v>
      </c>
      <c r="E43" s="6" t="s">
        <v>192</v>
      </c>
      <c r="F43" s="13" t="n">
        <v>44877</v>
      </c>
      <c r="G43" s="13" t="n">
        <v>44983</v>
      </c>
      <c r="H43" s="14" t="n">
        <v>212351.67</v>
      </c>
      <c r="I43" s="6" t="n">
        <v>0</v>
      </c>
      <c r="J43" s="6" t="n">
        <v>747</v>
      </c>
      <c r="K43" s="6" t="s">
        <v>154</v>
      </c>
      <c r="L43" s="14" t="n">
        <v>77656.05</v>
      </c>
      <c r="M43" s="22" t="n">
        <v>1.247</v>
      </c>
      <c r="N43" s="14" t="n">
        <v>96837.09</v>
      </c>
      <c r="O43" s="14" t="n">
        <v>19181.04</v>
      </c>
      <c r="P43" s="21" t="n">
        <v>0.128</v>
      </c>
      <c r="Q43" s="6" t="n">
        <v>106</v>
      </c>
      <c r="R43" s="6" t="s">
        <v>155</v>
      </c>
      <c r="S43" s="21" t="n">
        <v>0.98</v>
      </c>
      <c r="T43" s="14" t="n">
        <v>94900.35</v>
      </c>
      <c r="U43" s="6" t="s">
        <v>21</v>
      </c>
    </row>
    <row r="44" customFormat="false" ht="15" hidden="false" customHeight="true" outlineLevel="0" collapsed="false">
      <c r="A44" s="6" t="s">
        <v>274</v>
      </c>
      <c r="B44" s="6" t="s">
        <v>275</v>
      </c>
      <c r="C44" s="6" t="s">
        <v>120</v>
      </c>
      <c r="D44" s="6" t="s">
        <v>158</v>
      </c>
      <c r="E44" s="6" t="s">
        <v>169</v>
      </c>
      <c r="F44" s="13" t="n">
        <v>45016</v>
      </c>
      <c r="G44" s="13" t="n">
        <v>45163</v>
      </c>
      <c r="H44" s="14" t="n">
        <v>213982.18</v>
      </c>
      <c r="I44" s="6" t="n">
        <v>0</v>
      </c>
      <c r="J44" s="6" t="n">
        <v>744</v>
      </c>
      <c r="K44" s="6" t="s">
        <v>160</v>
      </c>
      <c r="L44" s="14" t="n">
        <v>49942.44</v>
      </c>
      <c r="M44" s="22" t="n">
        <v>1.304</v>
      </c>
      <c r="N44" s="14" t="n">
        <v>65124.94</v>
      </c>
      <c r="O44" s="14" t="n">
        <v>15182.5</v>
      </c>
      <c r="P44" s="21" t="n">
        <v>0.062</v>
      </c>
      <c r="Q44" s="6" t="n">
        <v>147</v>
      </c>
      <c r="R44" s="6" t="s">
        <v>155</v>
      </c>
      <c r="S44" s="21" t="n">
        <v>0.98</v>
      </c>
      <c r="T44" s="14" t="n">
        <v>63822.44</v>
      </c>
      <c r="U44" s="6" t="s">
        <v>25</v>
      </c>
    </row>
    <row r="45" customFormat="false" ht="15" hidden="false" customHeight="true" outlineLevel="0" collapsed="false">
      <c r="A45" s="6" t="s">
        <v>276</v>
      </c>
      <c r="B45" s="6" t="s">
        <v>277</v>
      </c>
      <c r="C45" s="6" t="s">
        <v>120</v>
      </c>
      <c r="D45" s="6" t="s">
        <v>218</v>
      </c>
      <c r="E45" s="6" t="s">
        <v>189</v>
      </c>
      <c r="F45" s="13" t="n">
        <v>45696</v>
      </c>
      <c r="G45" s="13" t="n">
        <v>45756</v>
      </c>
      <c r="H45" s="14" t="n">
        <v>108809.36</v>
      </c>
      <c r="I45" s="6" t="n">
        <v>2</v>
      </c>
      <c r="J45" s="6" t="n">
        <v>527</v>
      </c>
      <c r="K45" s="6" t="s">
        <v>160</v>
      </c>
      <c r="L45" s="14" t="n">
        <v>12492.09</v>
      </c>
      <c r="M45" s="22" t="n">
        <v>1.217</v>
      </c>
      <c r="N45" s="14" t="n">
        <v>15202.87</v>
      </c>
      <c r="O45" s="14" t="n">
        <v>2710.78</v>
      </c>
      <c r="P45" s="21" t="n">
        <v>0.178</v>
      </c>
      <c r="Q45" s="6" t="n">
        <v>60</v>
      </c>
      <c r="R45" s="6" t="s">
        <v>155</v>
      </c>
      <c r="S45" s="21" t="n">
        <v>0.98</v>
      </c>
      <c r="T45" s="14" t="n">
        <v>14898.81</v>
      </c>
      <c r="U45" s="6" t="s">
        <v>48</v>
      </c>
    </row>
    <row r="46" customFormat="false" ht="15" hidden="false" customHeight="true" outlineLevel="0" collapsed="false">
      <c r="A46" s="6" t="s">
        <v>278</v>
      </c>
      <c r="B46" s="6" t="s">
        <v>279</v>
      </c>
      <c r="C46" s="6" t="s">
        <v>131</v>
      </c>
      <c r="D46" s="6" t="s">
        <v>200</v>
      </c>
      <c r="E46" s="6" t="s">
        <v>211</v>
      </c>
      <c r="F46" s="13" t="n">
        <v>45208</v>
      </c>
      <c r="G46" s="13" t="n">
        <v>45268</v>
      </c>
      <c r="H46" s="14" t="n">
        <v>160880.08</v>
      </c>
      <c r="I46" s="6" t="n">
        <v>3</v>
      </c>
      <c r="J46" s="6" t="n">
        <v>520</v>
      </c>
      <c r="K46" s="6" t="s">
        <v>185</v>
      </c>
      <c r="L46" s="14" t="n">
        <v>13624.4</v>
      </c>
      <c r="M46" s="22" t="n">
        <v>1.294</v>
      </c>
      <c r="N46" s="14" t="n">
        <v>17629.97</v>
      </c>
      <c r="O46" s="14" t="n">
        <v>4005.57</v>
      </c>
      <c r="P46" s="21" t="n">
        <v>0.165</v>
      </c>
      <c r="Q46" s="6" t="n">
        <v>60</v>
      </c>
      <c r="R46" s="6" t="s">
        <v>155</v>
      </c>
      <c r="S46" s="21" t="n">
        <v>0.88</v>
      </c>
      <c r="T46" s="14" t="n">
        <v>15514.37</v>
      </c>
      <c r="U46" s="6" t="s">
        <v>32</v>
      </c>
    </row>
    <row r="47" customFormat="false" ht="15" hidden="false" customHeight="true" outlineLevel="0" collapsed="false">
      <c r="A47" s="6" t="s">
        <v>280</v>
      </c>
      <c r="B47" s="6" t="s">
        <v>281</v>
      </c>
      <c r="C47" s="6" t="s">
        <v>116</v>
      </c>
      <c r="D47" s="6" t="s">
        <v>222</v>
      </c>
      <c r="E47" s="6" t="s">
        <v>211</v>
      </c>
      <c r="F47" s="13" t="n">
        <v>45679</v>
      </c>
      <c r="G47" s="13" t="n">
        <v>45739</v>
      </c>
      <c r="H47" s="14" t="n">
        <v>96897.96</v>
      </c>
      <c r="I47" s="6" t="n">
        <v>2</v>
      </c>
      <c r="J47" s="6" t="n">
        <v>585</v>
      </c>
      <c r="K47" s="6" t="s">
        <v>154</v>
      </c>
      <c r="L47" s="14" t="n">
        <v>22898.49</v>
      </c>
      <c r="M47" s="22" t="n">
        <v>1.243</v>
      </c>
      <c r="N47" s="14" t="n">
        <v>28462.82</v>
      </c>
      <c r="O47" s="14" t="n">
        <v>5564.33</v>
      </c>
      <c r="P47" s="21" t="n">
        <v>0.157</v>
      </c>
      <c r="Q47" s="6" t="n">
        <v>60</v>
      </c>
      <c r="R47" s="6" t="s">
        <v>161</v>
      </c>
      <c r="S47" s="21" t="n">
        <v>1</v>
      </c>
      <c r="T47" s="14" t="n">
        <v>28462.82</v>
      </c>
      <c r="U47" s="6" t="s">
        <v>47</v>
      </c>
    </row>
    <row r="48" customFormat="false" ht="15" hidden="false" customHeight="true" outlineLevel="0" collapsed="false">
      <c r="A48" s="6" t="s">
        <v>282</v>
      </c>
      <c r="B48" s="6" t="s">
        <v>283</v>
      </c>
      <c r="C48" s="6" t="s">
        <v>128</v>
      </c>
      <c r="D48" s="6" t="s">
        <v>235</v>
      </c>
      <c r="E48" s="6" t="s">
        <v>207</v>
      </c>
      <c r="F48" s="13" t="n">
        <v>44854</v>
      </c>
      <c r="G48" s="13" t="n">
        <v>44914</v>
      </c>
      <c r="H48" s="14" t="n">
        <v>162751.57</v>
      </c>
      <c r="I48" s="6" t="n">
        <v>2</v>
      </c>
      <c r="J48" s="6" t="n">
        <v>518</v>
      </c>
      <c r="K48" s="6" t="s">
        <v>185</v>
      </c>
      <c r="L48" s="14" t="n">
        <v>39441.94</v>
      </c>
      <c r="M48" s="22" t="n">
        <v>1.263</v>
      </c>
      <c r="N48" s="14" t="n">
        <v>49815.17</v>
      </c>
      <c r="O48" s="14" t="n">
        <v>10373.23</v>
      </c>
      <c r="P48" s="21" t="n">
        <v>0.174</v>
      </c>
      <c r="Q48" s="6" t="n">
        <v>60</v>
      </c>
      <c r="R48" s="6" t="s">
        <v>155</v>
      </c>
      <c r="S48" s="21" t="n">
        <v>0.937</v>
      </c>
      <c r="T48" s="14" t="n">
        <v>46676.81</v>
      </c>
      <c r="U48" s="6" t="s">
        <v>20</v>
      </c>
    </row>
    <row r="49" customFormat="false" ht="15" hidden="false" customHeight="true" outlineLevel="0" collapsed="false">
      <c r="A49" s="6" t="s">
        <v>284</v>
      </c>
      <c r="B49" s="6" t="s">
        <v>285</v>
      </c>
      <c r="C49" s="6" t="s">
        <v>120</v>
      </c>
      <c r="D49" s="6" t="s">
        <v>218</v>
      </c>
      <c r="E49" s="6" t="s">
        <v>195</v>
      </c>
      <c r="F49" s="13" t="n">
        <v>45146</v>
      </c>
      <c r="G49" s="13" t="n">
        <v>45206</v>
      </c>
      <c r="H49" s="14" t="n">
        <v>14271.03</v>
      </c>
      <c r="I49" s="6" t="n">
        <v>0</v>
      </c>
      <c r="J49" s="6" t="n">
        <v>666</v>
      </c>
      <c r="K49" s="6" t="s">
        <v>154</v>
      </c>
      <c r="L49" s="14" t="n">
        <v>2112.08</v>
      </c>
      <c r="M49" s="22" t="n">
        <v>1.2</v>
      </c>
      <c r="N49" s="14" t="n">
        <v>2534.5</v>
      </c>
      <c r="O49" s="14" t="n">
        <v>422.42</v>
      </c>
      <c r="P49" s="21" t="n">
        <v>0.18</v>
      </c>
      <c r="Q49" s="6" t="n">
        <v>60</v>
      </c>
      <c r="R49" s="6" t="s">
        <v>161</v>
      </c>
      <c r="S49" s="21" t="n">
        <v>1</v>
      </c>
      <c r="T49" s="14" t="n">
        <v>2534.5</v>
      </c>
      <c r="U49" s="6" t="s">
        <v>30</v>
      </c>
    </row>
    <row r="50" customFormat="false" ht="15" hidden="false" customHeight="true" outlineLevel="0" collapsed="false">
      <c r="A50" s="6" t="s">
        <v>286</v>
      </c>
      <c r="B50" s="6" t="s">
        <v>287</v>
      </c>
      <c r="C50" s="6" t="s">
        <v>120</v>
      </c>
      <c r="D50" s="6" t="s">
        <v>218</v>
      </c>
      <c r="E50" s="6" t="s">
        <v>288</v>
      </c>
      <c r="F50" s="13" t="n">
        <v>45734</v>
      </c>
      <c r="G50" s="13" t="n">
        <v>45840</v>
      </c>
      <c r="H50" s="14" t="n">
        <v>200074.52</v>
      </c>
      <c r="I50" s="6" t="n">
        <v>1</v>
      </c>
      <c r="J50" s="6" t="n">
        <v>539</v>
      </c>
      <c r="K50" s="6" t="s">
        <v>160</v>
      </c>
      <c r="L50" s="14" t="n">
        <v>56777.73</v>
      </c>
      <c r="M50" s="22" t="n">
        <v>1.213</v>
      </c>
      <c r="N50" s="14" t="n">
        <v>68871.39</v>
      </c>
      <c r="O50" s="14" t="n">
        <v>12093.66</v>
      </c>
      <c r="P50" s="21" t="n">
        <v>0.097</v>
      </c>
      <c r="Q50" s="6" t="n">
        <v>106</v>
      </c>
      <c r="R50" s="6" t="s">
        <v>161</v>
      </c>
      <c r="S50" s="21" t="n">
        <v>1</v>
      </c>
      <c r="T50" s="14" t="n">
        <v>68871.39</v>
      </c>
      <c r="U50" s="6" t="s">
        <v>49</v>
      </c>
    </row>
    <row r="51" customFormat="false" ht="15" hidden="false" customHeight="true" outlineLevel="0" collapsed="false">
      <c r="A51" s="6" t="s">
        <v>289</v>
      </c>
      <c r="B51" s="6" t="s">
        <v>290</v>
      </c>
      <c r="C51" s="6" t="s">
        <v>116</v>
      </c>
      <c r="D51" s="6" t="s">
        <v>152</v>
      </c>
      <c r="E51" s="6" t="s">
        <v>201</v>
      </c>
      <c r="F51" s="13" t="n">
        <v>44818</v>
      </c>
      <c r="G51" s="13" t="n">
        <v>44910</v>
      </c>
      <c r="H51" s="14" t="n">
        <v>234206.56</v>
      </c>
      <c r="I51" s="6" t="n">
        <v>0</v>
      </c>
      <c r="J51" s="6" t="n">
        <v>803</v>
      </c>
      <c r="K51" s="6" t="s">
        <v>160</v>
      </c>
      <c r="L51" s="14" t="n">
        <v>70454.66</v>
      </c>
      <c r="M51" s="22" t="n">
        <v>1.251</v>
      </c>
      <c r="N51" s="14" t="n">
        <v>88138.78</v>
      </c>
      <c r="O51" s="14" t="n">
        <v>17684.12</v>
      </c>
      <c r="P51" s="21" t="n">
        <v>0.122</v>
      </c>
      <c r="Q51" s="6" t="n">
        <v>92</v>
      </c>
      <c r="R51" s="6" t="s">
        <v>161</v>
      </c>
      <c r="S51" s="21" t="n">
        <v>1</v>
      </c>
      <c r="T51" s="14" t="n">
        <v>88138.78</v>
      </c>
      <c r="U51" s="6" t="s">
        <v>19</v>
      </c>
    </row>
    <row r="52" customFormat="false" ht="15" hidden="false" customHeight="true" outlineLevel="0" collapsed="false">
      <c r="A52" s="6" t="s">
        <v>291</v>
      </c>
      <c r="B52" s="6" t="s">
        <v>292</v>
      </c>
      <c r="C52" s="6" t="s">
        <v>131</v>
      </c>
      <c r="D52" s="6" t="s">
        <v>176</v>
      </c>
      <c r="E52" s="6" t="s">
        <v>192</v>
      </c>
      <c r="F52" s="13" t="n">
        <v>45553</v>
      </c>
      <c r="G52" s="13" t="n">
        <v>45613</v>
      </c>
      <c r="H52" s="14" t="n">
        <v>163341.56</v>
      </c>
      <c r="I52" s="6" t="n">
        <v>0</v>
      </c>
      <c r="J52" s="6" t="n">
        <v>578</v>
      </c>
      <c r="K52" s="6" t="s">
        <v>185</v>
      </c>
      <c r="L52" s="14" t="n">
        <v>22285.41</v>
      </c>
      <c r="M52" s="22" t="n">
        <v>1.096</v>
      </c>
      <c r="N52" s="14" t="n">
        <v>24424.81</v>
      </c>
      <c r="O52" s="14" t="n">
        <v>2139.4</v>
      </c>
      <c r="P52" s="21" t="n">
        <v>0.107</v>
      </c>
      <c r="Q52" s="6" t="n">
        <v>60</v>
      </c>
      <c r="R52" s="6" t="s">
        <v>161</v>
      </c>
      <c r="S52" s="21" t="n">
        <v>1</v>
      </c>
      <c r="T52" s="14" t="n">
        <v>24424.81</v>
      </c>
      <c r="U52" s="6" t="s">
        <v>43</v>
      </c>
    </row>
    <row r="53" customFormat="false" ht="15" hidden="false" customHeight="true" outlineLevel="0" collapsed="false">
      <c r="A53" s="6" t="s">
        <v>293</v>
      </c>
      <c r="B53" s="6" t="s">
        <v>294</v>
      </c>
      <c r="C53" s="6" t="s">
        <v>116</v>
      </c>
      <c r="D53" s="6" t="s">
        <v>222</v>
      </c>
      <c r="E53" s="6" t="s">
        <v>195</v>
      </c>
      <c r="F53" s="13" t="n">
        <v>44889</v>
      </c>
      <c r="G53" s="13" t="n">
        <v>44985</v>
      </c>
      <c r="H53" s="14" t="n">
        <v>72728.15</v>
      </c>
      <c r="I53" s="6" t="n">
        <v>0</v>
      </c>
      <c r="J53" s="6" t="n">
        <v>531</v>
      </c>
      <c r="K53" s="6" t="s">
        <v>160</v>
      </c>
      <c r="L53" s="14" t="n">
        <v>34255.19</v>
      </c>
      <c r="M53" s="22" t="n">
        <v>1.193</v>
      </c>
      <c r="N53" s="14" t="n">
        <v>40866.44</v>
      </c>
      <c r="O53" s="14" t="n">
        <v>6611.25</v>
      </c>
      <c r="P53" s="21" t="n">
        <v>0.175</v>
      </c>
      <c r="Q53" s="6" t="n">
        <v>96</v>
      </c>
      <c r="R53" s="6" t="s">
        <v>155</v>
      </c>
      <c r="S53" s="21" t="n">
        <v>0.98</v>
      </c>
      <c r="T53" s="14" t="n">
        <v>40049.11</v>
      </c>
      <c r="U53" s="6" t="s">
        <v>21</v>
      </c>
    </row>
    <row r="54" customFormat="false" ht="15" hidden="false" customHeight="true" outlineLevel="0" collapsed="false">
      <c r="A54" s="6" t="s">
        <v>295</v>
      </c>
      <c r="B54" s="6" t="s">
        <v>296</v>
      </c>
      <c r="C54" s="6" t="s">
        <v>112</v>
      </c>
      <c r="D54" s="6" t="s">
        <v>225</v>
      </c>
      <c r="E54" s="6" t="s">
        <v>177</v>
      </c>
      <c r="F54" s="13" t="n">
        <v>44760</v>
      </c>
      <c r="G54" s="13" t="n">
        <v>44968</v>
      </c>
      <c r="H54" s="14" t="n">
        <v>141879.95</v>
      </c>
      <c r="I54" s="6" t="n">
        <v>0</v>
      </c>
      <c r="J54" s="6" t="n">
        <v>661</v>
      </c>
      <c r="K54" s="6" t="s">
        <v>160</v>
      </c>
      <c r="L54" s="14" t="n">
        <v>53117.64</v>
      </c>
      <c r="M54" s="22" t="n">
        <v>1.245</v>
      </c>
      <c r="N54" s="14" t="n">
        <v>66131.46</v>
      </c>
      <c r="O54" s="14" t="n">
        <v>13013.82</v>
      </c>
      <c r="P54" s="21" t="n">
        <v>0.067</v>
      </c>
      <c r="Q54" s="6" t="n">
        <v>208</v>
      </c>
      <c r="R54" s="6" t="s">
        <v>161</v>
      </c>
      <c r="S54" s="21" t="n">
        <v>1</v>
      </c>
      <c r="T54" s="14" t="n">
        <v>66131.46</v>
      </c>
      <c r="U54" s="6" t="s">
        <v>17</v>
      </c>
    </row>
    <row r="55" customFormat="false" ht="15" hidden="false" customHeight="true" outlineLevel="0" collapsed="false">
      <c r="A55" s="6" t="s">
        <v>297</v>
      </c>
      <c r="B55" s="6" t="s">
        <v>298</v>
      </c>
      <c r="C55" s="6" t="s">
        <v>116</v>
      </c>
      <c r="D55" s="6" t="s">
        <v>222</v>
      </c>
      <c r="E55" s="6" t="s">
        <v>299</v>
      </c>
      <c r="F55" s="13" t="n">
        <v>45541</v>
      </c>
      <c r="G55" s="13" t="n">
        <v>45605</v>
      </c>
      <c r="H55" s="14" t="n">
        <v>107311.33</v>
      </c>
      <c r="I55" s="6" t="n">
        <v>2</v>
      </c>
      <c r="J55" s="6" t="n">
        <v>795</v>
      </c>
      <c r="K55" s="6" t="s">
        <v>154</v>
      </c>
      <c r="L55" s="14" t="n">
        <v>33768.91</v>
      </c>
      <c r="M55" s="22" t="n">
        <v>1.231</v>
      </c>
      <c r="N55" s="14" t="n">
        <v>41569.53</v>
      </c>
      <c r="O55" s="14" t="n">
        <v>7800.62</v>
      </c>
      <c r="P55" s="21" t="n">
        <v>0.18</v>
      </c>
      <c r="Q55" s="6" t="n">
        <v>64</v>
      </c>
      <c r="R55" s="6" t="s">
        <v>161</v>
      </c>
      <c r="S55" s="21" t="n">
        <v>1</v>
      </c>
      <c r="T55" s="14" t="n">
        <v>41569.53</v>
      </c>
      <c r="U55" s="6" t="s">
        <v>43</v>
      </c>
    </row>
    <row r="56" customFormat="false" ht="15" hidden="false" customHeight="true" outlineLevel="0" collapsed="false">
      <c r="A56" s="6" t="s">
        <v>300</v>
      </c>
      <c r="B56" s="6" t="s">
        <v>301</v>
      </c>
      <c r="C56" s="6" t="s">
        <v>128</v>
      </c>
      <c r="D56" s="6" t="s">
        <v>235</v>
      </c>
      <c r="E56" s="6" t="s">
        <v>159</v>
      </c>
      <c r="F56" s="13" t="n">
        <v>46039</v>
      </c>
      <c r="G56" s="13" t="n">
        <v>46128</v>
      </c>
      <c r="H56" s="14" t="n">
        <v>235839.5</v>
      </c>
      <c r="I56" s="6" t="n">
        <v>5</v>
      </c>
      <c r="J56" s="6" t="n">
        <v>747</v>
      </c>
      <c r="K56" s="6" t="s">
        <v>160</v>
      </c>
      <c r="L56" s="14" t="n">
        <v>71758.66</v>
      </c>
      <c r="M56" s="22" t="n">
        <v>1.21</v>
      </c>
      <c r="N56" s="14" t="n">
        <v>86827.98</v>
      </c>
      <c r="O56" s="14" t="n">
        <v>15069.32</v>
      </c>
      <c r="P56" s="21" t="n">
        <v>0.123</v>
      </c>
      <c r="Q56" s="6" t="n">
        <v>89</v>
      </c>
      <c r="R56" s="6" t="s">
        <v>155</v>
      </c>
      <c r="S56" s="21" t="n">
        <v>0.743</v>
      </c>
      <c r="T56" s="14" t="n">
        <v>64513.19</v>
      </c>
      <c r="U56" s="6" t="s">
        <v>59</v>
      </c>
    </row>
    <row r="57" customFormat="false" ht="15" hidden="false" customHeight="true" outlineLevel="0" collapsed="false">
      <c r="A57" s="6" t="s">
        <v>302</v>
      </c>
      <c r="B57" s="6" t="s">
        <v>303</v>
      </c>
      <c r="C57" s="6" t="s">
        <v>131</v>
      </c>
      <c r="D57" s="6" t="s">
        <v>152</v>
      </c>
      <c r="E57" s="6" t="s">
        <v>304</v>
      </c>
      <c r="F57" s="13" t="n">
        <v>45536</v>
      </c>
      <c r="G57" s="13" t="n">
        <v>45596</v>
      </c>
      <c r="H57" s="14" t="n">
        <v>32247.91</v>
      </c>
      <c r="I57" s="6" t="n">
        <v>0</v>
      </c>
      <c r="J57" s="6" t="n">
        <v>651</v>
      </c>
      <c r="K57" s="6" t="s">
        <v>160</v>
      </c>
      <c r="L57" s="14" t="n">
        <v>3111.21</v>
      </c>
      <c r="M57" s="22" t="n">
        <v>1.331</v>
      </c>
      <c r="N57" s="14" t="n">
        <v>4141.02</v>
      </c>
      <c r="O57" s="14" t="n">
        <v>1029.81</v>
      </c>
      <c r="P57" s="21" t="n">
        <v>0.103</v>
      </c>
      <c r="Q57" s="6" t="n">
        <v>60</v>
      </c>
      <c r="R57" s="6" t="s">
        <v>161</v>
      </c>
      <c r="S57" s="21" t="n">
        <v>1</v>
      </c>
      <c r="T57" s="14" t="n">
        <v>4141.02</v>
      </c>
      <c r="U57" s="6" t="s">
        <v>43</v>
      </c>
    </row>
    <row r="58" customFormat="false" ht="15" hidden="false" customHeight="true" outlineLevel="0" collapsed="false">
      <c r="A58" s="6" t="s">
        <v>305</v>
      </c>
      <c r="B58" s="6" t="s">
        <v>306</v>
      </c>
      <c r="C58" s="6" t="s">
        <v>116</v>
      </c>
      <c r="D58" s="6" t="s">
        <v>222</v>
      </c>
      <c r="E58" s="6" t="s">
        <v>288</v>
      </c>
      <c r="F58" s="13" t="n">
        <v>44638</v>
      </c>
      <c r="G58" s="13" t="n">
        <v>44715</v>
      </c>
      <c r="H58" s="14" t="n">
        <v>234009.27</v>
      </c>
      <c r="I58" s="6" t="n">
        <v>0</v>
      </c>
      <c r="J58" s="6" t="n">
        <v>768</v>
      </c>
      <c r="K58" s="6" t="s">
        <v>185</v>
      </c>
      <c r="L58" s="14" t="n">
        <v>40381.12</v>
      </c>
      <c r="M58" s="22" t="n">
        <v>1.316</v>
      </c>
      <c r="N58" s="14" t="n">
        <v>53141.55</v>
      </c>
      <c r="O58" s="14" t="n">
        <v>12760.43</v>
      </c>
      <c r="P58" s="21" t="n">
        <v>0.088</v>
      </c>
      <c r="Q58" s="6" t="n">
        <v>77</v>
      </c>
      <c r="R58" s="6" t="s">
        <v>155</v>
      </c>
      <c r="S58" s="21" t="n">
        <v>0.899</v>
      </c>
      <c r="T58" s="14" t="n">
        <v>47774.25</v>
      </c>
      <c r="U58" s="6" t="s">
        <v>13</v>
      </c>
    </row>
    <row r="59" customFormat="false" ht="15" hidden="false" customHeight="true" outlineLevel="0" collapsed="false">
      <c r="A59" s="6" t="s">
        <v>307</v>
      </c>
      <c r="B59" s="6" t="s">
        <v>308</v>
      </c>
      <c r="C59" s="6" t="s">
        <v>124</v>
      </c>
      <c r="D59" s="6" t="s">
        <v>168</v>
      </c>
      <c r="E59" s="6" t="s">
        <v>169</v>
      </c>
      <c r="F59" s="13" t="n">
        <v>45476</v>
      </c>
      <c r="G59" s="13" t="n">
        <v>45574</v>
      </c>
      <c r="H59" s="14" t="n">
        <v>87358.25</v>
      </c>
      <c r="I59" s="6" t="n">
        <v>1</v>
      </c>
      <c r="J59" s="6" t="n">
        <v>531</v>
      </c>
      <c r="K59" s="6" t="s">
        <v>160</v>
      </c>
      <c r="L59" s="14" t="n">
        <v>26555.52</v>
      </c>
      <c r="M59" s="22" t="n">
        <v>1.082</v>
      </c>
      <c r="N59" s="14" t="n">
        <v>28733.07</v>
      </c>
      <c r="O59" s="14" t="n">
        <v>2177.55</v>
      </c>
      <c r="P59" s="21" t="n">
        <v>0.1</v>
      </c>
      <c r="Q59" s="6" t="n">
        <v>98</v>
      </c>
      <c r="R59" s="6" t="s">
        <v>309</v>
      </c>
      <c r="S59" s="21" t="n">
        <v>0.575</v>
      </c>
      <c r="T59" s="14" t="n">
        <v>16521.52</v>
      </c>
      <c r="U59" s="6" t="s">
        <v>41</v>
      </c>
    </row>
    <row r="60" customFormat="false" ht="15" hidden="false" customHeight="true" outlineLevel="0" collapsed="false">
      <c r="A60" s="6" t="s">
        <v>310</v>
      </c>
      <c r="B60" s="6" t="s">
        <v>311</v>
      </c>
      <c r="C60" s="6" t="s">
        <v>120</v>
      </c>
      <c r="D60" s="6" t="s">
        <v>263</v>
      </c>
      <c r="E60" s="6" t="s">
        <v>173</v>
      </c>
      <c r="F60" s="13" t="n">
        <v>45526</v>
      </c>
      <c r="G60" s="13" t="n">
        <v>45627</v>
      </c>
      <c r="H60" s="14" t="n">
        <v>61445.52</v>
      </c>
      <c r="I60" s="6" t="n">
        <v>4</v>
      </c>
      <c r="J60" s="6" t="n">
        <v>653</v>
      </c>
      <c r="K60" s="6" t="s">
        <v>185</v>
      </c>
      <c r="L60" s="14" t="n">
        <v>21200.93</v>
      </c>
      <c r="M60" s="22" t="n">
        <v>1.192</v>
      </c>
      <c r="N60" s="14" t="n">
        <v>25271.51</v>
      </c>
      <c r="O60" s="14" t="n">
        <v>4070.58</v>
      </c>
      <c r="P60" s="21" t="n">
        <v>0.121</v>
      </c>
      <c r="Q60" s="6" t="n">
        <v>101</v>
      </c>
      <c r="R60" s="6" t="s">
        <v>309</v>
      </c>
      <c r="S60" s="21" t="n">
        <v>0.491</v>
      </c>
      <c r="T60" s="14" t="n">
        <v>12408.31</v>
      </c>
      <c r="U60" s="6" t="s">
        <v>42</v>
      </c>
    </row>
    <row r="61" customFormat="false" ht="15" hidden="false" customHeight="true" outlineLevel="0" collapsed="false">
      <c r="A61" s="6" t="s">
        <v>312</v>
      </c>
      <c r="B61" s="6" t="s">
        <v>313</v>
      </c>
      <c r="C61" s="6" t="s">
        <v>128</v>
      </c>
      <c r="D61" s="6" t="s">
        <v>172</v>
      </c>
      <c r="E61" s="6" t="s">
        <v>189</v>
      </c>
      <c r="F61" s="13" t="n">
        <v>45607</v>
      </c>
      <c r="G61" s="13" t="n">
        <v>45669</v>
      </c>
      <c r="H61" s="14" t="n">
        <v>137871.76</v>
      </c>
      <c r="I61" s="6" t="n">
        <v>0</v>
      </c>
      <c r="J61" s="6" t="n">
        <v>773</v>
      </c>
      <c r="K61" s="6" t="s">
        <v>185</v>
      </c>
      <c r="L61" s="14" t="n">
        <v>14493.47</v>
      </c>
      <c r="M61" s="22" t="n">
        <v>1.237</v>
      </c>
      <c r="N61" s="14" t="n">
        <v>17928.42</v>
      </c>
      <c r="O61" s="14" t="n">
        <v>3434.95</v>
      </c>
      <c r="P61" s="21" t="n">
        <v>0.062</v>
      </c>
      <c r="Q61" s="6" t="n">
        <v>62</v>
      </c>
      <c r="R61" s="6" t="s">
        <v>161</v>
      </c>
      <c r="S61" s="21" t="n">
        <v>1</v>
      </c>
      <c r="T61" s="14" t="n">
        <v>17928.42</v>
      </c>
      <c r="U61" s="6" t="s">
        <v>45</v>
      </c>
    </row>
    <row r="62" customFormat="false" ht="15" hidden="false" customHeight="true" outlineLevel="0" collapsed="false">
      <c r="A62" s="6" t="s">
        <v>314</v>
      </c>
      <c r="B62" s="6" t="s">
        <v>315</v>
      </c>
      <c r="C62" s="6" t="s">
        <v>120</v>
      </c>
      <c r="D62" s="6" t="s">
        <v>158</v>
      </c>
      <c r="E62" s="6" t="s">
        <v>299</v>
      </c>
      <c r="F62" s="13" t="n">
        <v>45528</v>
      </c>
      <c r="G62" s="13" t="n">
        <v>45588</v>
      </c>
      <c r="H62" s="14" t="n">
        <v>147951.33</v>
      </c>
      <c r="I62" s="6" t="n">
        <v>0</v>
      </c>
      <c r="J62" s="6" t="n">
        <v>610</v>
      </c>
      <c r="K62" s="6" t="s">
        <v>154</v>
      </c>
      <c r="L62" s="14" t="n">
        <v>28174.16</v>
      </c>
      <c r="M62" s="22" t="n">
        <v>1.321</v>
      </c>
      <c r="N62" s="14" t="n">
        <v>37218.07</v>
      </c>
      <c r="O62" s="14" t="n">
        <v>9043.91</v>
      </c>
      <c r="P62" s="21" t="n">
        <v>0.178</v>
      </c>
      <c r="Q62" s="6" t="n">
        <v>60</v>
      </c>
      <c r="R62" s="6" t="s">
        <v>155</v>
      </c>
      <c r="S62" s="21" t="n">
        <v>0.843</v>
      </c>
      <c r="T62" s="14" t="n">
        <v>31374.83</v>
      </c>
      <c r="U62" s="6" t="s">
        <v>42</v>
      </c>
    </row>
    <row r="63" customFormat="false" ht="15" hidden="false" customHeight="true" outlineLevel="0" collapsed="false">
      <c r="A63" s="6" t="s">
        <v>316</v>
      </c>
      <c r="B63" s="6" t="s">
        <v>317</v>
      </c>
      <c r="C63" s="6" t="s">
        <v>116</v>
      </c>
      <c r="D63" s="6" t="s">
        <v>206</v>
      </c>
      <c r="E63" s="6" t="s">
        <v>165</v>
      </c>
      <c r="F63" s="13" t="n">
        <v>45430</v>
      </c>
      <c r="G63" s="13" t="n">
        <v>45536</v>
      </c>
      <c r="H63" s="14" t="n">
        <v>135979.89</v>
      </c>
      <c r="I63" s="6" t="n">
        <v>2</v>
      </c>
      <c r="J63" s="6" t="n">
        <v>571</v>
      </c>
      <c r="K63" s="6" t="s">
        <v>154</v>
      </c>
      <c r="L63" s="14" t="n">
        <v>57379.99</v>
      </c>
      <c r="M63" s="22" t="n">
        <v>1.205</v>
      </c>
      <c r="N63" s="14" t="n">
        <v>69142.89</v>
      </c>
      <c r="O63" s="14" t="n">
        <v>11762.9</v>
      </c>
      <c r="P63" s="21" t="n">
        <v>0.143</v>
      </c>
      <c r="Q63" s="6" t="n">
        <v>106</v>
      </c>
      <c r="R63" s="6" t="s">
        <v>161</v>
      </c>
      <c r="S63" s="21" t="n">
        <v>1</v>
      </c>
      <c r="T63" s="14" t="n">
        <v>69142.89</v>
      </c>
      <c r="U63" s="6" t="s">
        <v>39</v>
      </c>
    </row>
    <row r="64" customFormat="false" ht="15" hidden="false" customHeight="true" outlineLevel="0" collapsed="false">
      <c r="A64" s="6" t="s">
        <v>318</v>
      </c>
      <c r="B64" s="6" t="s">
        <v>319</v>
      </c>
      <c r="C64" s="6" t="s">
        <v>131</v>
      </c>
      <c r="D64" s="6" t="s">
        <v>176</v>
      </c>
      <c r="E64" s="6" t="s">
        <v>201</v>
      </c>
      <c r="F64" s="13" t="n">
        <v>45177</v>
      </c>
      <c r="G64" s="13" t="n">
        <v>45246</v>
      </c>
      <c r="H64" s="14" t="n">
        <v>147748.91</v>
      </c>
      <c r="I64" s="6" t="n">
        <v>2</v>
      </c>
      <c r="J64" s="6" t="n">
        <v>762</v>
      </c>
      <c r="K64" s="6" t="s">
        <v>160</v>
      </c>
      <c r="L64" s="14" t="n">
        <v>21478.9</v>
      </c>
      <c r="M64" s="22" t="n">
        <v>1.258</v>
      </c>
      <c r="N64" s="14" t="n">
        <v>27020.46</v>
      </c>
      <c r="O64" s="14" t="n">
        <v>5541.56</v>
      </c>
      <c r="P64" s="21" t="n">
        <v>0.079</v>
      </c>
      <c r="Q64" s="6" t="n">
        <v>69</v>
      </c>
      <c r="R64" s="6" t="s">
        <v>155</v>
      </c>
      <c r="S64" s="21" t="n">
        <v>0.895</v>
      </c>
      <c r="T64" s="14" t="n">
        <v>24183.31</v>
      </c>
      <c r="U64" s="6" t="s">
        <v>31</v>
      </c>
    </row>
    <row r="65" customFormat="false" ht="15" hidden="false" customHeight="true" outlineLevel="0" collapsed="false">
      <c r="A65" s="6" t="s">
        <v>320</v>
      </c>
      <c r="B65" s="6" t="s">
        <v>321</v>
      </c>
      <c r="C65" s="6" t="s">
        <v>131</v>
      </c>
      <c r="D65" s="6" t="s">
        <v>152</v>
      </c>
      <c r="E65" s="6" t="s">
        <v>184</v>
      </c>
      <c r="F65" s="13" t="n">
        <v>45483</v>
      </c>
      <c r="G65" s="13" t="n">
        <v>45588</v>
      </c>
      <c r="H65" s="14" t="n">
        <v>229367.36</v>
      </c>
      <c r="I65" s="6" t="n">
        <v>1</v>
      </c>
      <c r="J65" s="6" t="n">
        <v>810</v>
      </c>
      <c r="K65" s="6" t="s">
        <v>160</v>
      </c>
      <c r="L65" s="14" t="n">
        <v>41492.05</v>
      </c>
      <c r="M65" s="22" t="n">
        <v>1.169</v>
      </c>
      <c r="N65" s="14" t="n">
        <v>48504.21</v>
      </c>
      <c r="O65" s="14" t="n">
        <v>7012.16</v>
      </c>
      <c r="P65" s="21" t="n">
        <v>0.06</v>
      </c>
      <c r="Q65" s="6" t="n">
        <v>105</v>
      </c>
      <c r="R65" s="6" t="s">
        <v>155</v>
      </c>
      <c r="S65" s="21" t="n">
        <v>0.732</v>
      </c>
      <c r="T65" s="14" t="n">
        <v>35505.08</v>
      </c>
      <c r="U65" s="6" t="s">
        <v>41</v>
      </c>
    </row>
    <row r="66" customFormat="false" ht="15" hidden="false" customHeight="true" outlineLevel="0" collapsed="false">
      <c r="A66" s="6" t="s">
        <v>322</v>
      </c>
      <c r="B66" s="6" t="s">
        <v>323</v>
      </c>
      <c r="C66" s="6" t="s">
        <v>120</v>
      </c>
      <c r="D66" s="6" t="s">
        <v>263</v>
      </c>
      <c r="E66" s="6" t="s">
        <v>169</v>
      </c>
      <c r="F66" s="13" t="n">
        <v>44655</v>
      </c>
      <c r="G66" s="13" t="n">
        <v>44764</v>
      </c>
      <c r="H66" s="14" t="n">
        <v>221640.49</v>
      </c>
      <c r="I66" s="6" t="n">
        <v>1</v>
      </c>
      <c r="J66" s="6" t="n">
        <v>757</v>
      </c>
      <c r="K66" s="6" t="s">
        <v>185</v>
      </c>
      <c r="L66" s="14" t="n">
        <v>64839.11</v>
      </c>
      <c r="M66" s="22" t="n">
        <v>1.135</v>
      </c>
      <c r="N66" s="14" t="n">
        <v>73592.39</v>
      </c>
      <c r="O66" s="14" t="n">
        <v>8753.28</v>
      </c>
      <c r="P66" s="21" t="n">
        <v>0.091</v>
      </c>
      <c r="Q66" s="6" t="n">
        <v>109</v>
      </c>
      <c r="R66" s="6" t="s">
        <v>161</v>
      </c>
      <c r="S66" s="21" t="n">
        <v>1</v>
      </c>
      <c r="T66" s="14" t="n">
        <v>73592.39</v>
      </c>
      <c r="U66" s="6" t="s">
        <v>14</v>
      </c>
    </row>
    <row r="67" customFormat="false" ht="15" hidden="false" customHeight="true" outlineLevel="0" collapsed="false">
      <c r="A67" s="6" t="s">
        <v>324</v>
      </c>
      <c r="B67" s="6" t="s">
        <v>325</v>
      </c>
      <c r="C67" s="6" t="s">
        <v>116</v>
      </c>
      <c r="D67" s="6" t="s">
        <v>152</v>
      </c>
      <c r="E67" s="6" t="s">
        <v>326</v>
      </c>
      <c r="F67" s="13" t="n">
        <v>44661</v>
      </c>
      <c r="G67" s="13" t="n">
        <v>44725</v>
      </c>
      <c r="H67" s="14" t="n">
        <v>126172.55</v>
      </c>
      <c r="I67" s="6" t="n">
        <v>4</v>
      </c>
      <c r="J67" s="6" t="n">
        <v>673</v>
      </c>
      <c r="K67" s="6" t="s">
        <v>154</v>
      </c>
      <c r="L67" s="14" t="n">
        <v>38766.39</v>
      </c>
      <c r="M67" s="22" t="n">
        <v>1.1</v>
      </c>
      <c r="N67" s="14" t="n">
        <v>42643.03</v>
      </c>
      <c r="O67" s="14" t="n">
        <v>3876.64</v>
      </c>
      <c r="P67" s="21" t="n">
        <v>0.156</v>
      </c>
      <c r="Q67" s="6" t="n">
        <v>64</v>
      </c>
      <c r="R67" s="6" t="s">
        <v>309</v>
      </c>
      <c r="S67" s="21" t="n">
        <v>0.277</v>
      </c>
      <c r="T67" s="14" t="n">
        <v>11812.12</v>
      </c>
      <c r="U67" s="6" t="s">
        <v>14</v>
      </c>
    </row>
    <row r="68" customFormat="false" ht="15" hidden="false" customHeight="true" outlineLevel="0" collapsed="false">
      <c r="A68" s="6" t="s">
        <v>327</v>
      </c>
      <c r="B68" s="6" t="s">
        <v>328</v>
      </c>
      <c r="C68" s="6" t="s">
        <v>112</v>
      </c>
      <c r="D68" s="6" t="s">
        <v>225</v>
      </c>
      <c r="E68" s="6" t="s">
        <v>169</v>
      </c>
      <c r="F68" s="13" t="n">
        <v>44596</v>
      </c>
      <c r="G68" s="13" t="n">
        <v>44670</v>
      </c>
      <c r="H68" s="14" t="n">
        <v>118354.34</v>
      </c>
      <c r="I68" s="6" t="n">
        <v>0</v>
      </c>
      <c r="J68" s="6" t="n">
        <v>704</v>
      </c>
      <c r="K68" s="6" t="s">
        <v>185</v>
      </c>
      <c r="L68" s="14" t="n">
        <v>24765.25</v>
      </c>
      <c r="M68" s="22" t="n">
        <v>1.224</v>
      </c>
      <c r="N68" s="14" t="n">
        <v>30312.67</v>
      </c>
      <c r="O68" s="14" t="n">
        <v>5547.42</v>
      </c>
      <c r="P68" s="21" t="n">
        <v>0.103</v>
      </c>
      <c r="Q68" s="6" t="n">
        <v>74</v>
      </c>
      <c r="R68" s="6" t="s">
        <v>161</v>
      </c>
      <c r="S68" s="21" t="n">
        <v>1</v>
      </c>
      <c r="T68" s="14" t="n">
        <v>30312.67</v>
      </c>
      <c r="U68" s="6" t="s">
        <v>12</v>
      </c>
    </row>
    <row r="69" customFormat="false" ht="15" hidden="false" customHeight="true" outlineLevel="0" collapsed="false">
      <c r="A69" s="6" t="s">
        <v>329</v>
      </c>
      <c r="B69" s="6" t="s">
        <v>330</v>
      </c>
      <c r="C69" s="6" t="s">
        <v>124</v>
      </c>
      <c r="D69" s="6" t="s">
        <v>243</v>
      </c>
      <c r="E69" s="6" t="s">
        <v>177</v>
      </c>
      <c r="F69" s="13" t="n">
        <v>45892</v>
      </c>
      <c r="G69" s="13" t="n">
        <v>45952</v>
      </c>
      <c r="H69" s="14" t="n">
        <v>240150.07</v>
      </c>
      <c r="I69" s="6" t="n">
        <v>1</v>
      </c>
      <c r="J69" s="6" t="n">
        <v>578</v>
      </c>
      <c r="K69" s="6" t="s">
        <v>160</v>
      </c>
      <c r="L69" s="14" t="n">
        <v>53340.49</v>
      </c>
      <c r="M69" s="22" t="n">
        <v>1.102</v>
      </c>
      <c r="N69" s="14" t="n">
        <v>58781.22</v>
      </c>
      <c r="O69" s="14" t="n">
        <v>5440.73</v>
      </c>
      <c r="P69" s="21" t="n">
        <v>0.179</v>
      </c>
      <c r="Q69" s="6" t="n">
        <v>60</v>
      </c>
      <c r="R69" s="6" t="s">
        <v>309</v>
      </c>
      <c r="S69" s="21" t="n">
        <v>0.101</v>
      </c>
      <c r="T69" s="14" t="n">
        <v>5936.9</v>
      </c>
      <c r="U69" s="6" t="s">
        <v>54</v>
      </c>
    </row>
    <row r="70" customFormat="false" ht="15" hidden="false" customHeight="true" outlineLevel="0" collapsed="false">
      <c r="A70" s="6" t="s">
        <v>331</v>
      </c>
      <c r="B70" s="6" t="s">
        <v>332</v>
      </c>
      <c r="C70" s="6" t="s">
        <v>128</v>
      </c>
      <c r="D70" s="6" t="s">
        <v>235</v>
      </c>
      <c r="E70" s="6" t="s">
        <v>304</v>
      </c>
      <c r="F70" s="13" t="n">
        <v>45643</v>
      </c>
      <c r="G70" s="13" t="n">
        <v>45703</v>
      </c>
      <c r="H70" s="14" t="n">
        <v>162093.03</v>
      </c>
      <c r="I70" s="6" t="n">
        <v>2</v>
      </c>
      <c r="J70" s="6" t="n">
        <v>526</v>
      </c>
      <c r="K70" s="6" t="s">
        <v>185</v>
      </c>
      <c r="L70" s="14" t="n">
        <v>42505.47</v>
      </c>
      <c r="M70" s="22" t="n">
        <v>1.344</v>
      </c>
      <c r="N70" s="14" t="n">
        <v>57127.35</v>
      </c>
      <c r="O70" s="14" t="n">
        <v>14621.88</v>
      </c>
      <c r="P70" s="21" t="n">
        <v>0.177</v>
      </c>
      <c r="Q70" s="6" t="n">
        <v>60</v>
      </c>
      <c r="R70" s="6" t="s">
        <v>155</v>
      </c>
      <c r="S70" s="21" t="n">
        <v>0.78</v>
      </c>
      <c r="T70" s="14" t="n">
        <v>44559.33</v>
      </c>
      <c r="U70" s="6" t="s">
        <v>46</v>
      </c>
    </row>
    <row r="71" customFormat="false" ht="15" hidden="false" customHeight="true" outlineLevel="0" collapsed="false">
      <c r="A71" s="6" t="s">
        <v>333</v>
      </c>
      <c r="B71" s="6" t="s">
        <v>334</v>
      </c>
      <c r="C71" s="6" t="s">
        <v>124</v>
      </c>
      <c r="D71" s="6" t="s">
        <v>243</v>
      </c>
      <c r="E71" s="6" t="s">
        <v>192</v>
      </c>
      <c r="F71" s="13" t="n">
        <v>45973</v>
      </c>
      <c r="G71" s="13" t="n">
        <v>46048</v>
      </c>
      <c r="H71" s="14" t="n">
        <v>47312.96</v>
      </c>
      <c r="I71" s="6" t="n">
        <v>0</v>
      </c>
      <c r="J71" s="6" t="n">
        <v>767</v>
      </c>
      <c r="K71" s="6" t="s">
        <v>185</v>
      </c>
      <c r="L71" s="14" t="n">
        <v>14651.93</v>
      </c>
      <c r="M71" s="22" t="n">
        <v>1.184</v>
      </c>
      <c r="N71" s="14" t="n">
        <v>17347.89</v>
      </c>
      <c r="O71" s="14" t="n">
        <v>2695.96</v>
      </c>
      <c r="P71" s="21" t="n">
        <v>0.146</v>
      </c>
      <c r="Q71" s="6" t="n">
        <v>75</v>
      </c>
      <c r="R71" s="6" t="s">
        <v>161</v>
      </c>
      <c r="S71" s="21" t="n">
        <v>1</v>
      </c>
      <c r="T71" s="14" t="n">
        <v>17347.89</v>
      </c>
      <c r="U71" s="6" t="s">
        <v>57</v>
      </c>
    </row>
    <row r="72" customFormat="false" ht="15" hidden="false" customHeight="true" outlineLevel="0" collapsed="false">
      <c r="A72" s="6" t="s">
        <v>335</v>
      </c>
      <c r="B72" s="6" t="s">
        <v>336</v>
      </c>
      <c r="C72" s="6" t="s">
        <v>124</v>
      </c>
      <c r="D72" s="6" t="s">
        <v>238</v>
      </c>
      <c r="E72" s="6" t="s">
        <v>189</v>
      </c>
      <c r="F72" s="13" t="n">
        <v>45860</v>
      </c>
      <c r="G72" s="13" t="n">
        <v>45920</v>
      </c>
      <c r="H72" s="14" t="n">
        <v>167882.6</v>
      </c>
      <c r="I72" s="6" t="n">
        <v>0</v>
      </c>
      <c r="J72" s="6" t="n">
        <v>698</v>
      </c>
      <c r="K72" s="6" t="s">
        <v>160</v>
      </c>
      <c r="L72" s="14" t="n">
        <v>39231.22</v>
      </c>
      <c r="M72" s="22" t="n">
        <v>1.122</v>
      </c>
      <c r="N72" s="14" t="n">
        <v>44017.43</v>
      </c>
      <c r="O72" s="14" t="n">
        <v>4786.21</v>
      </c>
      <c r="P72" s="21" t="n">
        <v>0.143</v>
      </c>
      <c r="Q72" s="6" t="n">
        <v>60</v>
      </c>
      <c r="R72" s="6" t="s">
        <v>155</v>
      </c>
      <c r="S72" s="21" t="n">
        <v>0.836</v>
      </c>
      <c r="T72" s="14" t="n">
        <v>36798.57</v>
      </c>
      <c r="U72" s="6" t="s">
        <v>53</v>
      </c>
    </row>
    <row r="73" customFormat="false" ht="15" hidden="false" customHeight="true" outlineLevel="0" collapsed="false">
      <c r="A73" s="6" t="s">
        <v>337</v>
      </c>
      <c r="B73" s="6" t="s">
        <v>338</v>
      </c>
      <c r="C73" s="6" t="s">
        <v>124</v>
      </c>
      <c r="D73" s="6" t="s">
        <v>243</v>
      </c>
      <c r="E73" s="6" t="s">
        <v>192</v>
      </c>
      <c r="F73" s="13" t="n">
        <v>45178</v>
      </c>
      <c r="G73" s="13" t="n">
        <v>45290</v>
      </c>
      <c r="H73" s="14" t="n">
        <v>108142.04</v>
      </c>
      <c r="I73" s="6" t="n">
        <v>2</v>
      </c>
      <c r="J73" s="6" t="n">
        <v>732</v>
      </c>
      <c r="K73" s="6" t="s">
        <v>160</v>
      </c>
      <c r="L73" s="14" t="n">
        <v>23290.78</v>
      </c>
      <c r="M73" s="22" t="n">
        <v>1.183</v>
      </c>
      <c r="N73" s="14" t="n">
        <v>27552.99</v>
      </c>
      <c r="O73" s="14" t="n">
        <v>4262.21</v>
      </c>
      <c r="P73" s="21" t="n">
        <v>0.068</v>
      </c>
      <c r="Q73" s="6" t="n">
        <v>112</v>
      </c>
      <c r="R73" s="6" t="s">
        <v>155</v>
      </c>
      <c r="S73" s="21" t="n">
        <v>0.751</v>
      </c>
      <c r="T73" s="14" t="n">
        <v>20692.3</v>
      </c>
      <c r="U73" s="6" t="s">
        <v>31</v>
      </c>
    </row>
    <row r="74" customFormat="false" ht="15" hidden="false" customHeight="true" outlineLevel="0" collapsed="false">
      <c r="A74" s="6" t="s">
        <v>339</v>
      </c>
      <c r="B74" s="6" t="s">
        <v>340</v>
      </c>
      <c r="C74" s="6" t="s">
        <v>116</v>
      </c>
      <c r="D74" s="6" t="s">
        <v>222</v>
      </c>
      <c r="E74" s="6" t="s">
        <v>165</v>
      </c>
      <c r="F74" s="13" t="n">
        <v>46051</v>
      </c>
      <c r="G74" s="13" t="n">
        <v>46139</v>
      </c>
      <c r="H74" s="14" t="n">
        <v>75832.64</v>
      </c>
      <c r="I74" s="6" t="n">
        <v>2</v>
      </c>
      <c r="J74" s="6" t="n">
        <v>617</v>
      </c>
      <c r="K74" s="6" t="s">
        <v>160</v>
      </c>
      <c r="L74" s="14" t="n">
        <v>21502.27</v>
      </c>
      <c r="M74" s="22" t="n">
        <v>1.264</v>
      </c>
      <c r="N74" s="14" t="n">
        <v>27178.87</v>
      </c>
      <c r="O74" s="14" t="n">
        <v>5676.6</v>
      </c>
      <c r="P74" s="21" t="n">
        <v>0.122</v>
      </c>
      <c r="Q74" s="6" t="n">
        <v>88</v>
      </c>
      <c r="R74" s="6" t="s">
        <v>161</v>
      </c>
      <c r="S74" s="21" t="n">
        <v>1</v>
      </c>
      <c r="T74" s="14" t="n">
        <v>27178.87</v>
      </c>
      <c r="U74" s="6" t="s">
        <v>59</v>
      </c>
    </row>
    <row r="75" customFormat="false" ht="15" hidden="false" customHeight="true" outlineLevel="0" collapsed="false">
      <c r="A75" s="6" t="s">
        <v>341</v>
      </c>
      <c r="B75" s="6" t="s">
        <v>342</v>
      </c>
      <c r="C75" s="6" t="s">
        <v>128</v>
      </c>
      <c r="D75" s="6" t="s">
        <v>172</v>
      </c>
      <c r="E75" s="6" t="s">
        <v>177</v>
      </c>
      <c r="F75" s="13" t="n">
        <v>45816</v>
      </c>
      <c r="G75" s="13" t="n">
        <v>45876</v>
      </c>
      <c r="H75" s="14" t="n">
        <v>177795.5</v>
      </c>
      <c r="I75" s="6" t="n">
        <v>3</v>
      </c>
      <c r="J75" s="6" t="n">
        <v>690</v>
      </c>
      <c r="K75" s="6" t="s">
        <v>154</v>
      </c>
      <c r="L75" s="14" t="n">
        <v>18962.93</v>
      </c>
      <c r="M75" s="22" t="n">
        <v>1.259</v>
      </c>
      <c r="N75" s="14" t="n">
        <v>23874.33</v>
      </c>
      <c r="O75" s="14" t="n">
        <v>4911.4</v>
      </c>
      <c r="P75" s="21" t="n">
        <v>0.072</v>
      </c>
      <c r="Q75" s="6" t="n">
        <v>60</v>
      </c>
      <c r="R75" s="6" t="s">
        <v>155</v>
      </c>
      <c r="S75" s="21" t="n">
        <v>0.98</v>
      </c>
      <c r="T75" s="14" t="n">
        <v>23396.84</v>
      </c>
      <c r="U75" s="6" t="s">
        <v>52</v>
      </c>
    </row>
    <row r="76" customFormat="false" ht="15" hidden="false" customHeight="true" outlineLevel="0" collapsed="false">
      <c r="A76" s="6" t="s">
        <v>343</v>
      </c>
      <c r="B76" s="6" t="s">
        <v>344</v>
      </c>
      <c r="C76" s="6" t="s">
        <v>128</v>
      </c>
      <c r="D76" s="6" t="s">
        <v>172</v>
      </c>
      <c r="E76" s="6" t="s">
        <v>177</v>
      </c>
      <c r="F76" s="13" t="n">
        <v>45494</v>
      </c>
      <c r="G76" s="13" t="n">
        <v>45554</v>
      </c>
      <c r="H76" s="14" t="n">
        <v>249444.06</v>
      </c>
      <c r="I76" s="6" t="n">
        <v>1</v>
      </c>
      <c r="J76" s="6" t="n">
        <v>595</v>
      </c>
      <c r="K76" s="6" t="s">
        <v>154</v>
      </c>
      <c r="L76" s="14" t="n">
        <v>40505.86</v>
      </c>
      <c r="M76" s="22" t="n">
        <v>1.118</v>
      </c>
      <c r="N76" s="14" t="n">
        <v>45285.55</v>
      </c>
      <c r="O76" s="14" t="n">
        <v>4779.69</v>
      </c>
      <c r="P76" s="21" t="n">
        <v>0.091</v>
      </c>
      <c r="Q76" s="6" t="n">
        <v>60</v>
      </c>
      <c r="R76" s="6" t="s">
        <v>155</v>
      </c>
      <c r="S76" s="21" t="n">
        <v>0.882</v>
      </c>
      <c r="T76" s="14" t="n">
        <v>39941.86</v>
      </c>
      <c r="U76" s="6" t="s">
        <v>41</v>
      </c>
    </row>
    <row r="77" customFormat="false" ht="15" hidden="false" customHeight="true" outlineLevel="0" collapsed="false">
      <c r="A77" s="6" t="s">
        <v>345</v>
      </c>
      <c r="B77" s="6" t="s">
        <v>346</v>
      </c>
      <c r="C77" s="6" t="s">
        <v>120</v>
      </c>
      <c r="D77" s="6" t="s">
        <v>210</v>
      </c>
      <c r="E77" s="6" t="s">
        <v>184</v>
      </c>
      <c r="F77" s="13" t="n">
        <v>45441</v>
      </c>
      <c r="G77" s="13" t="n">
        <v>45531</v>
      </c>
      <c r="H77" s="14" t="n">
        <v>64109.04</v>
      </c>
      <c r="I77" s="6" t="n">
        <v>1</v>
      </c>
      <c r="J77" s="6" t="n">
        <v>559</v>
      </c>
      <c r="K77" s="6" t="s">
        <v>185</v>
      </c>
      <c r="L77" s="14" t="n">
        <v>15762.52</v>
      </c>
      <c r="M77" s="22" t="n">
        <v>1.318</v>
      </c>
      <c r="N77" s="14" t="n">
        <v>20775</v>
      </c>
      <c r="O77" s="14" t="n">
        <v>5012.48</v>
      </c>
      <c r="P77" s="21" t="n">
        <v>0.108</v>
      </c>
      <c r="Q77" s="6" t="n">
        <v>90</v>
      </c>
      <c r="R77" s="6" t="s">
        <v>161</v>
      </c>
      <c r="S77" s="21" t="n">
        <v>1</v>
      </c>
      <c r="T77" s="14" t="n">
        <v>20775</v>
      </c>
      <c r="U77" s="6" t="s">
        <v>39</v>
      </c>
    </row>
    <row r="78" customFormat="false" ht="15" hidden="false" customHeight="true" outlineLevel="0" collapsed="false">
      <c r="A78" s="6" t="s">
        <v>347</v>
      </c>
      <c r="B78" s="6" t="s">
        <v>348</v>
      </c>
      <c r="C78" s="6" t="s">
        <v>131</v>
      </c>
      <c r="D78" s="6" t="s">
        <v>176</v>
      </c>
      <c r="E78" s="6" t="s">
        <v>192</v>
      </c>
      <c r="F78" s="13" t="n">
        <v>45608</v>
      </c>
      <c r="G78" s="13" t="n">
        <v>45668</v>
      </c>
      <c r="H78" s="14" t="n">
        <v>230321.18</v>
      </c>
      <c r="I78" s="6" t="n">
        <v>1</v>
      </c>
      <c r="J78" s="6" t="n">
        <v>715</v>
      </c>
      <c r="K78" s="6" t="s">
        <v>160</v>
      </c>
      <c r="L78" s="14" t="n">
        <v>26109.67</v>
      </c>
      <c r="M78" s="22" t="n">
        <v>1.129</v>
      </c>
      <c r="N78" s="14" t="n">
        <v>29477.82</v>
      </c>
      <c r="O78" s="14" t="n">
        <v>3368.15</v>
      </c>
      <c r="P78" s="21" t="n">
        <v>0.14</v>
      </c>
      <c r="Q78" s="6" t="n">
        <v>60</v>
      </c>
      <c r="R78" s="6" t="s">
        <v>161</v>
      </c>
      <c r="S78" s="21" t="n">
        <v>1</v>
      </c>
      <c r="T78" s="14" t="n">
        <v>29477.82</v>
      </c>
      <c r="U78" s="6" t="s">
        <v>45</v>
      </c>
    </row>
    <row r="79" customFormat="false" ht="15" hidden="false" customHeight="true" outlineLevel="0" collapsed="false">
      <c r="A79" s="6" t="s">
        <v>349</v>
      </c>
      <c r="B79" s="6" t="s">
        <v>350</v>
      </c>
      <c r="C79" s="6" t="s">
        <v>128</v>
      </c>
      <c r="D79" s="6" t="s">
        <v>172</v>
      </c>
      <c r="E79" s="6" t="s">
        <v>177</v>
      </c>
      <c r="F79" s="13" t="n">
        <v>45413</v>
      </c>
      <c r="G79" s="13" t="n">
        <v>45515</v>
      </c>
      <c r="H79" s="14" t="n">
        <v>238345.75</v>
      </c>
      <c r="I79" s="6" t="n">
        <v>1</v>
      </c>
      <c r="J79" s="6" t="n">
        <v>562</v>
      </c>
      <c r="K79" s="6" t="s">
        <v>185</v>
      </c>
      <c r="L79" s="14" t="n">
        <v>93565.98</v>
      </c>
      <c r="M79" s="22" t="n">
        <v>1.214</v>
      </c>
      <c r="N79" s="14" t="n">
        <v>113589.1</v>
      </c>
      <c r="O79" s="14" t="n">
        <v>20023.12</v>
      </c>
      <c r="P79" s="21" t="n">
        <v>0.139</v>
      </c>
      <c r="Q79" s="6" t="n">
        <v>102</v>
      </c>
      <c r="R79" s="6" t="s">
        <v>161</v>
      </c>
      <c r="S79" s="21" t="n">
        <v>1</v>
      </c>
      <c r="T79" s="14" t="n">
        <v>113589.1</v>
      </c>
      <c r="U79" s="6" t="s">
        <v>39</v>
      </c>
    </row>
    <row r="80" customFormat="false" ht="15" hidden="false" customHeight="true" outlineLevel="0" collapsed="false">
      <c r="A80" s="6" t="s">
        <v>351</v>
      </c>
      <c r="B80" s="6" t="s">
        <v>352</v>
      </c>
      <c r="C80" s="6" t="s">
        <v>124</v>
      </c>
      <c r="D80" s="6" t="s">
        <v>238</v>
      </c>
      <c r="E80" s="6" t="s">
        <v>181</v>
      </c>
      <c r="F80" s="13" t="n">
        <v>44740</v>
      </c>
      <c r="G80" s="13" t="n">
        <v>44800</v>
      </c>
      <c r="H80" s="14" t="n">
        <v>32784.78</v>
      </c>
      <c r="I80" s="6" t="n">
        <v>3</v>
      </c>
      <c r="J80" s="6" t="n">
        <v>740</v>
      </c>
      <c r="K80" s="6" t="s">
        <v>160</v>
      </c>
      <c r="L80" s="14" t="n">
        <v>8527.08</v>
      </c>
      <c r="M80" s="22" t="n">
        <v>1.151</v>
      </c>
      <c r="N80" s="14" t="n">
        <v>9814.67</v>
      </c>
      <c r="O80" s="14" t="n">
        <v>1287.59</v>
      </c>
      <c r="P80" s="21" t="n">
        <v>0.162</v>
      </c>
      <c r="Q80" s="6" t="n">
        <v>60</v>
      </c>
      <c r="R80" s="6" t="s">
        <v>161</v>
      </c>
      <c r="S80" s="21" t="n">
        <v>1</v>
      </c>
      <c r="T80" s="14" t="n">
        <v>9814.67</v>
      </c>
      <c r="U80" s="6" t="s">
        <v>16</v>
      </c>
    </row>
    <row r="81" customFormat="false" ht="15" hidden="false" customHeight="true" outlineLevel="0" collapsed="false">
      <c r="A81" s="6" t="s">
        <v>353</v>
      </c>
      <c r="B81" s="6" t="s">
        <v>354</v>
      </c>
      <c r="C81" s="6" t="s">
        <v>120</v>
      </c>
      <c r="D81" s="6" t="s">
        <v>218</v>
      </c>
      <c r="E81" s="6" t="s">
        <v>201</v>
      </c>
      <c r="F81" s="13" t="n">
        <v>45129</v>
      </c>
      <c r="G81" s="13" t="n">
        <v>45224</v>
      </c>
      <c r="H81" s="14" t="n">
        <v>244918.04</v>
      </c>
      <c r="I81" s="6" t="n">
        <v>0</v>
      </c>
      <c r="J81" s="6" t="n">
        <v>683</v>
      </c>
      <c r="K81" s="6" t="s">
        <v>154</v>
      </c>
      <c r="L81" s="14" t="n">
        <v>37843.42</v>
      </c>
      <c r="M81" s="22" t="n">
        <v>1.191</v>
      </c>
      <c r="N81" s="14" t="n">
        <v>45071.51</v>
      </c>
      <c r="O81" s="14" t="n">
        <v>7228.09</v>
      </c>
      <c r="P81" s="21" t="n">
        <v>0.058</v>
      </c>
      <c r="Q81" s="6" t="n">
        <v>95</v>
      </c>
      <c r="R81" s="6" t="s">
        <v>155</v>
      </c>
      <c r="S81" s="21" t="n">
        <v>0.744</v>
      </c>
      <c r="T81" s="14" t="n">
        <v>33533.2</v>
      </c>
      <c r="U81" s="6" t="s">
        <v>29</v>
      </c>
    </row>
    <row r="82" customFormat="false" ht="15" hidden="false" customHeight="true" outlineLevel="0" collapsed="false">
      <c r="A82" s="6" t="s">
        <v>355</v>
      </c>
      <c r="B82" s="6" t="s">
        <v>356</v>
      </c>
      <c r="C82" s="6" t="s">
        <v>124</v>
      </c>
      <c r="D82" s="6" t="s">
        <v>180</v>
      </c>
      <c r="E82" s="6" t="s">
        <v>219</v>
      </c>
      <c r="F82" s="13" t="n">
        <v>44829</v>
      </c>
      <c r="G82" s="13" t="n">
        <v>44891</v>
      </c>
      <c r="H82" s="14" t="n">
        <v>200554.06</v>
      </c>
      <c r="I82" s="6" t="n">
        <v>1</v>
      </c>
      <c r="J82" s="6" t="n">
        <v>810</v>
      </c>
      <c r="K82" s="6" t="s">
        <v>160</v>
      </c>
      <c r="L82" s="14" t="n">
        <v>43946.84</v>
      </c>
      <c r="M82" s="22" t="n">
        <v>1.157</v>
      </c>
      <c r="N82" s="14" t="n">
        <v>50846.49</v>
      </c>
      <c r="O82" s="14" t="n">
        <v>6899.65</v>
      </c>
      <c r="P82" s="21" t="n">
        <v>0.121</v>
      </c>
      <c r="Q82" s="6" t="n">
        <v>62</v>
      </c>
      <c r="R82" s="6" t="s">
        <v>161</v>
      </c>
      <c r="S82" s="21" t="n">
        <v>1</v>
      </c>
      <c r="T82" s="14" t="n">
        <v>50846.49</v>
      </c>
      <c r="U82" s="6" t="s">
        <v>19</v>
      </c>
    </row>
    <row r="83" customFormat="false" ht="15" hidden="false" customHeight="true" outlineLevel="0" collapsed="false">
      <c r="A83" s="6" t="s">
        <v>357</v>
      </c>
      <c r="B83" s="6" t="s">
        <v>358</v>
      </c>
      <c r="C83" s="6" t="s">
        <v>116</v>
      </c>
      <c r="D83" s="6" t="s">
        <v>206</v>
      </c>
      <c r="E83" s="6" t="s">
        <v>254</v>
      </c>
      <c r="F83" s="13" t="n">
        <v>45890</v>
      </c>
      <c r="G83" s="13" t="n">
        <v>45950</v>
      </c>
      <c r="H83" s="14" t="n">
        <v>221479.76</v>
      </c>
      <c r="I83" s="6" t="n">
        <v>0</v>
      </c>
      <c r="J83" s="6" t="n">
        <v>780</v>
      </c>
      <c r="K83" s="6" t="s">
        <v>160</v>
      </c>
      <c r="L83" s="14" t="n">
        <v>24518.77</v>
      </c>
      <c r="M83" s="22" t="n">
        <v>1.102</v>
      </c>
      <c r="N83" s="14" t="n">
        <v>27019.68</v>
      </c>
      <c r="O83" s="14" t="n">
        <v>2500.91</v>
      </c>
      <c r="P83" s="21" t="n">
        <v>0.136</v>
      </c>
      <c r="Q83" s="6" t="n">
        <v>60</v>
      </c>
      <c r="R83" s="6" t="s">
        <v>155</v>
      </c>
      <c r="S83" s="21" t="n">
        <v>0.839</v>
      </c>
      <c r="T83" s="14" t="n">
        <v>22669.51</v>
      </c>
      <c r="U83" s="6" t="s">
        <v>54</v>
      </c>
    </row>
    <row r="84" customFormat="false" ht="15" hidden="false" customHeight="true" outlineLevel="0" collapsed="false">
      <c r="A84" s="6" t="s">
        <v>359</v>
      </c>
      <c r="B84" s="6" t="s">
        <v>360</v>
      </c>
      <c r="C84" s="6" t="s">
        <v>116</v>
      </c>
      <c r="D84" s="6" t="s">
        <v>222</v>
      </c>
      <c r="E84" s="6" t="s">
        <v>219</v>
      </c>
      <c r="F84" s="13" t="n">
        <v>46104</v>
      </c>
      <c r="G84" s="13" t="n">
        <v>46164</v>
      </c>
      <c r="H84" s="14" t="n">
        <v>63405.14</v>
      </c>
      <c r="I84" s="6" t="n">
        <v>0</v>
      </c>
      <c r="J84" s="6" t="n">
        <v>758</v>
      </c>
      <c r="K84" s="6" t="s">
        <v>154</v>
      </c>
      <c r="L84" s="14" t="n">
        <v>14785.73</v>
      </c>
      <c r="M84" s="22" t="n">
        <v>1.117</v>
      </c>
      <c r="N84" s="14" t="n">
        <v>16515.66</v>
      </c>
      <c r="O84" s="14" t="n">
        <v>1729.93</v>
      </c>
      <c r="P84" s="21" t="n">
        <v>0.151</v>
      </c>
      <c r="Q84" s="6" t="n">
        <v>60</v>
      </c>
      <c r="R84" s="6" t="s">
        <v>155</v>
      </c>
      <c r="S84" s="21" t="n">
        <v>0.925</v>
      </c>
      <c r="T84" s="14" t="n">
        <v>15276.99</v>
      </c>
      <c r="U84" s="6" t="s">
        <v>61</v>
      </c>
    </row>
    <row r="85" customFormat="false" ht="15" hidden="false" customHeight="true" outlineLevel="0" collapsed="false">
      <c r="A85" s="6" t="s">
        <v>361</v>
      </c>
      <c r="B85" s="6" t="s">
        <v>362</v>
      </c>
      <c r="C85" s="6" t="s">
        <v>131</v>
      </c>
      <c r="D85" s="6" t="s">
        <v>200</v>
      </c>
      <c r="E85" s="6" t="s">
        <v>177</v>
      </c>
      <c r="F85" s="13" t="n">
        <v>45145</v>
      </c>
      <c r="G85" s="13" t="n">
        <v>45209</v>
      </c>
      <c r="H85" s="14" t="n">
        <v>241106.19</v>
      </c>
      <c r="I85" s="6" t="n">
        <v>0</v>
      </c>
      <c r="J85" s="6" t="n">
        <v>545</v>
      </c>
      <c r="K85" s="6" t="s">
        <v>160</v>
      </c>
      <c r="L85" s="14" t="n">
        <v>59642.53</v>
      </c>
      <c r="M85" s="22" t="n">
        <v>1.242</v>
      </c>
      <c r="N85" s="14" t="n">
        <v>74076.02</v>
      </c>
      <c r="O85" s="14" t="n">
        <v>14433.49</v>
      </c>
      <c r="P85" s="21" t="n">
        <v>0.144</v>
      </c>
      <c r="Q85" s="6" t="n">
        <v>64</v>
      </c>
      <c r="R85" s="6" t="s">
        <v>309</v>
      </c>
      <c r="S85" s="21" t="n">
        <v>0.43</v>
      </c>
      <c r="T85" s="14" t="n">
        <v>31852.69</v>
      </c>
      <c r="U85" s="6" t="s">
        <v>30</v>
      </c>
    </row>
    <row r="86" customFormat="false" ht="15" hidden="false" customHeight="true" outlineLevel="0" collapsed="false">
      <c r="A86" s="6" t="s">
        <v>363</v>
      </c>
      <c r="B86" s="6" t="s">
        <v>364</v>
      </c>
      <c r="C86" s="6" t="s">
        <v>131</v>
      </c>
      <c r="D86" s="6" t="s">
        <v>200</v>
      </c>
      <c r="E86" s="6" t="s">
        <v>192</v>
      </c>
      <c r="F86" s="13" t="n">
        <v>45643</v>
      </c>
      <c r="G86" s="13" t="n">
        <v>45703</v>
      </c>
      <c r="H86" s="14" t="n">
        <v>164373.09</v>
      </c>
      <c r="I86" s="6" t="n">
        <v>2</v>
      </c>
      <c r="J86" s="6" t="n">
        <v>754</v>
      </c>
      <c r="K86" s="6" t="s">
        <v>160</v>
      </c>
      <c r="L86" s="14" t="n">
        <v>30861.83</v>
      </c>
      <c r="M86" s="22" t="n">
        <v>1.215</v>
      </c>
      <c r="N86" s="14" t="n">
        <v>37497.12</v>
      </c>
      <c r="O86" s="14" t="n">
        <v>6635.29</v>
      </c>
      <c r="P86" s="21" t="n">
        <v>0.127</v>
      </c>
      <c r="Q86" s="6" t="n">
        <v>60</v>
      </c>
      <c r="R86" s="6" t="s">
        <v>155</v>
      </c>
      <c r="S86" s="21" t="n">
        <v>0.704</v>
      </c>
      <c r="T86" s="14" t="n">
        <v>26397.97</v>
      </c>
      <c r="U86" s="6" t="s">
        <v>46</v>
      </c>
    </row>
    <row r="87" customFormat="false" ht="15" hidden="false" customHeight="true" outlineLevel="0" collapsed="false">
      <c r="A87" s="6" t="s">
        <v>365</v>
      </c>
      <c r="B87" s="6" t="s">
        <v>366</v>
      </c>
      <c r="C87" s="6" t="s">
        <v>124</v>
      </c>
      <c r="D87" s="6" t="s">
        <v>180</v>
      </c>
      <c r="E87" s="6" t="s">
        <v>169</v>
      </c>
      <c r="F87" s="13" t="n">
        <v>44880</v>
      </c>
      <c r="G87" s="13" t="n">
        <v>44955</v>
      </c>
      <c r="H87" s="14" t="n">
        <v>193640.62</v>
      </c>
      <c r="I87" s="6" t="n">
        <v>1</v>
      </c>
      <c r="J87" s="6" t="n">
        <v>629</v>
      </c>
      <c r="K87" s="6" t="s">
        <v>160</v>
      </c>
      <c r="L87" s="14" t="n">
        <v>30506.1</v>
      </c>
      <c r="M87" s="22" t="n">
        <v>1.218</v>
      </c>
      <c r="N87" s="14" t="n">
        <v>37156.43</v>
      </c>
      <c r="O87" s="14" t="n">
        <v>6650.33</v>
      </c>
      <c r="P87" s="21" t="n">
        <v>0.076</v>
      </c>
      <c r="Q87" s="6" t="n">
        <v>75</v>
      </c>
      <c r="R87" s="6" t="s">
        <v>161</v>
      </c>
      <c r="S87" s="21" t="n">
        <v>1</v>
      </c>
      <c r="T87" s="14" t="n">
        <v>37156.43</v>
      </c>
      <c r="U87" s="6" t="s">
        <v>21</v>
      </c>
    </row>
    <row r="88" customFormat="false" ht="15" hidden="false" customHeight="true" outlineLevel="0" collapsed="false">
      <c r="A88" s="6" t="s">
        <v>367</v>
      </c>
      <c r="B88" s="6" t="s">
        <v>368</v>
      </c>
      <c r="C88" s="6" t="s">
        <v>131</v>
      </c>
      <c r="D88" s="6" t="s">
        <v>176</v>
      </c>
      <c r="E88" s="6" t="s">
        <v>288</v>
      </c>
      <c r="F88" s="13" t="n">
        <v>45092</v>
      </c>
      <c r="G88" s="13" t="n">
        <v>45152</v>
      </c>
      <c r="H88" s="14" t="n">
        <v>36905.21</v>
      </c>
      <c r="I88" s="6" t="n">
        <v>2</v>
      </c>
      <c r="J88" s="6" t="n">
        <v>724</v>
      </c>
      <c r="K88" s="6" t="s">
        <v>160</v>
      </c>
      <c r="L88" s="14" t="n">
        <v>8236.11</v>
      </c>
      <c r="M88" s="22" t="n">
        <v>1.22</v>
      </c>
      <c r="N88" s="14" t="n">
        <v>10048.05</v>
      </c>
      <c r="O88" s="14" t="n">
        <v>1811.94</v>
      </c>
      <c r="P88" s="21" t="n">
        <v>0.157</v>
      </c>
      <c r="Q88" s="6" t="n">
        <v>60</v>
      </c>
      <c r="R88" s="6" t="s">
        <v>155</v>
      </c>
      <c r="S88" s="21" t="n">
        <v>0.744</v>
      </c>
      <c r="T88" s="14" t="n">
        <v>7475.75</v>
      </c>
      <c r="U88" s="6" t="s">
        <v>28</v>
      </c>
    </row>
    <row r="89" customFormat="false" ht="15" hidden="false" customHeight="true" outlineLevel="0" collapsed="false">
      <c r="A89" s="6" t="s">
        <v>369</v>
      </c>
      <c r="B89" s="6" t="s">
        <v>370</v>
      </c>
      <c r="C89" s="6" t="s">
        <v>120</v>
      </c>
      <c r="D89" s="6" t="s">
        <v>218</v>
      </c>
      <c r="E89" s="6" t="s">
        <v>207</v>
      </c>
      <c r="F89" s="13" t="n">
        <v>45062</v>
      </c>
      <c r="G89" s="13" t="n">
        <v>45122</v>
      </c>
      <c r="H89" s="14" t="n">
        <v>195145.61</v>
      </c>
      <c r="I89" s="6" t="n">
        <v>3</v>
      </c>
      <c r="J89" s="6" t="n">
        <v>716</v>
      </c>
      <c r="K89" s="6" t="s">
        <v>154</v>
      </c>
      <c r="L89" s="14" t="n">
        <v>31963.82</v>
      </c>
      <c r="M89" s="22" t="n">
        <v>1.092</v>
      </c>
      <c r="N89" s="14" t="n">
        <v>34904.49</v>
      </c>
      <c r="O89" s="14" t="n">
        <v>2940.67</v>
      </c>
      <c r="P89" s="21" t="n">
        <v>0.162</v>
      </c>
      <c r="Q89" s="6" t="n">
        <v>60</v>
      </c>
      <c r="R89" s="6" t="s">
        <v>155</v>
      </c>
      <c r="S89" s="21" t="n">
        <v>0.827</v>
      </c>
      <c r="T89" s="14" t="n">
        <v>28866.01</v>
      </c>
      <c r="U89" s="6" t="s">
        <v>27</v>
      </c>
    </row>
    <row r="90" customFormat="false" ht="15" hidden="false" customHeight="true" outlineLevel="0" collapsed="false">
      <c r="A90" s="6" t="s">
        <v>371</v>
      </c>
      <c r="B90" s="6" t="s">
        <v>372</v>
      </c>
      <c r="C90" s="6" t="s">
        <v>112</v>
      </c>
      <c r="D90" s="6" t="s">
        <v>225</v>
      </c>
      <c r="E90" s="6" t="s">
        <v>159</v>
      </c>
      <c r="F90" s="13" t="n">
        <v>44738</v>
      </c>
      <c r="G90" s="13" t="n">
        <v>44929</v>
      </c>
      <c r="H90" s="14" t="n">
        <v>202649.8</v>
      </c>
      <c r="I90" s="6" t="n">
        <v>5</v>
      </c>
      <c r="J90" s="6" t="n">
        <v>805</v>
      </c>
      <c r="K90" s="6" t="s">
        <v>154</v>
      </c>
      <c r="L90" s="14" t="n">
        <v>90275.2</v>
      </c>
      <c r="M90" s="22" t="n">
        <v>1.289</v>
      </c>
      <c r="N90" s="14" t="n">
        <v>116364.73</v>
      </c>
      <c r="O90" s="14" t="n">
        <v>26089.53</v>
      </c>
      <c r="P90" s="21" t="n">
        <v>0.09</v>
      </c>
      <c r="Q90" s="6" t="n">
        <v>191</v>
      </c>
      <c r="R90" s="6" t="s">
        <v>161</v>
      </c>
      <c r="S90" s="21" t="n">
        <v>1</v>
      </c>
      <c r="T90" s="14" t="n">
        <v>116364.73</v>
      </c>
      <c r="U90" s="6" t="s">
        <v>16</v>
      </c>
    </row>
    <row r="91" customFormat="false" ht="15" hidden="false" customHeight="true" outlineLevel="0" collapsed="false">
      <c r="A91" s="6" t="s">
        <v>373</v>
      </c>
      <c r="B91" s="6" t="s">
        <v>374</v>
      </c>
      <c r="C91" s="6" t="s">
        <v>116</v>
      </c>
      <c r="D91" s="6" t="s">
        <v>206</v>
      </c>
      <c r="E91" s="6" t="s">
        <v>181</v>
      </c>
      <c r="F91" s="13" t="n">
        <v>45774</v>
      </c>
      <c r="G91" s="13" t="n">
        <v>45875</v>
      </c>
      <c r="H91" s="14" t="n">
        <v>177604.95</v>
      </c>
      <c r="I91" s="6" t="n">
        <v>1</v>
      </c>
      <c r="J91" s="6" t="n">
        <v>812</v>
      </c>
      <c r="K91" s="6" t="s">
        <v>154</v>
      </c>
      <c r="L91" s="14" t="n">
        <v>48526.83</v>
      </c>
      <c r="M91" s="22" t="n">
        <v>1.252</v>
      </c>
      <c r="N91" s="14" t="n">
        <v>60755.59</v>
      </c>
      <c r="O91" s="14" t="n">
        <v>12228.76</v>
      </c>
      <c r="P91" s="21" t="n">
        <v>0.101</v>
      </c>
      <c r="Q91" s="6" t="n">
        <v>101</v>
      </c>
      <c r="R91" s="6" t="s">
        <v>161</v>
      </c>
      <c r="S91" s="21" t="n">
        <v>1</v>
      </c>
      <c r="T91" s="14" t="n">
        <v>60755.59</v>
      </c>
      <c r="U91" s="6" t="s">
        <v>50</v>
      </c>
    </row>
    <row r="92" customFormat="false" ht="15" hidden="false" customHeight="true" outlineLevel="0" collapsed="false">
      <c r="A92" s="6" t="s">
        <v>375</v>
      </c>
      <c r="B92" s="6" t="s">
        <v>376</v>
      </c>
      <c r="C92" s="6" t="s">
        <v>116</v>
      </c>
      <c r="D92" s="6" t="s">
        <v>222</v>
      </c>
      <c r="E92" s="6" t="s">
        <v>192</v>
      </c>
      <c r="F92" s="13" t="n">
        <v>45233</v>
      </c>
      <c r="G92" s="13" t="n">
        <v>45313</v>
      </c>
      <c r="H92" s="14" t="n">
        <v>120129.88</v>
      </c>
      <c r="I92" s="6" t="n">
        <v>3</v>
      </c>
      <c r="J92" s="6" t="n">
        <v>529</v>
      </c>
      <c r="K92" s="6" t="s">
        <v>160</v>
      </c>
      <c r="L92" s="14" t="n">
        <v>46894.86</v>
      </c>
      <c r="M92" s="22" t="n">
        <v>1.091</v>
      </c>
      <c r="N92" s="14" t="n">
        <v>51162.29</v>
      </c>
      <c r="O92" s="14" t="n">
        <v>4267.43</v>
      </c>
      <c r="P92" s="21" t="n">
        <v>0.159</v>
      </c>
      <c r="Q92" s="6" t="n">
        <v>80</v>
      </c>
      <c r="R92" s="6" t="s">
        <v>155</v>
      </c>
      <c r="S92" s="21" t="n">
        <v>0.949</v>
      </c>
      <c r="T92" s="14" t="n">
        <v>48553.01</v>
      </c>
      <c r="U92" s="6" t="s">
        <v>33</v>
      </c>
    </row>
    <row r="93" customFormat="false" ht="15" hidden="false" customHeight="true" outlineLevel="0" collapsed="false">
      <c r="A93" s="6" t="s">
        <v>377</v>
      </c>
      <c r="B93" s="6" t="s">
        <v>378</v>
      </c>
      <c r="C93" s="6" t="s">
        <v>112</v>
      </c>
      <c r="D93" s="6" t="s">
        <v>164</v>
      </c>
      <c r="E93" s="6" t="s">
        <v>219</v>
      </c>
      <c r="F93" s="13" t="n">
        <v>44812</v>
      </c>
      <c r="G93" s="13" t="n">
        <v>44877</v>
      </c>
      <c r="H93" s="14" t="n">
        <v>13275.64</v>
      </c>
      <c r="I93" s="6" t="n">
        <v>0</v>
      </c>
      <c r="J93" s="6" t="n">
        <v>789</v>
      </c>
      <c r="K93" s="6" t="s">
        <v>185</v>
      </c>
      <c r="L93" s="14" t="n">
        <v>3425.49</v>
      </c>
      <c r="M93" s="22" t="n">
        <v>1.309</v>
      </c>
      <c r="N93" s="14" t="n">
        <v>4483.97</v>
      </c>
      <c r="O93" s="14" t="n">
        <v>1058.48</v>
      </c>
      <c r="P93" s="21" t="n">
        <v>0.155</v>
      </c>
      <c r="Q93" s="6" t="n">
        <v>65</v>
      </c>
      <c r="R93" s="6" t="s">
        <v>155</v>
      </c>
      <c r="S93" s="21" t="n">
        <v>0.861</v>
      </c>
      <c r="T93" s="14" t="n">
        <v>3860.7</v>
      </c>
      <c r="U93" s="6" t="s">
        <v>19</v>
      </c>
    </row>
    <row r="94" customFormat="false" ht="15" hidden="false" customHeight="true" outlineLevel="0" collapsed="false">
      <c r="A94" s="6" t="s">
        <v>379</v>
      </c>
      <c r="B94" s="6" t="s">
        <v>380</v>
      </c>
      <c r="C94" s="6" t="s">
        <v>112</v>
      </c>
      <c r="D94" s="6" t="s">
        <v>172</v>
      </c>
      <c r="E94" s="6" t="s">
        <v>207</v>
      </c>
      <c r="F94" s="13" t="n">
        <v>46163</v>
      </c>
      <c r="G94" s="13" t="n">
        <v>46236</v>
      </c>
      <c r="H94" s="14" t="n">
        <v>100689.7</v>
      </c>
      <c r="I94" s="6" t="n">
        <v>1</v>
      </c>
      <c r="J94" s="6" t="n">
        <v>706</v>
      </c>
      <c r="K94" s="6" t="s">
        <v>160</v>
      </c>
      <c r="L94" s="14" t="n">
        <v>34314.33</v>
      </c>
      <c r="M94" s="22" t="n">
        <v>1.295</v>
      </c>
      <c r="N94" s="14" t="n">
        <v>44437.06</v>
      </c>
      <c r="O94" s="14" t="n">
        <v>10122.73</v>
      </c>
      <c r="P94" s="21" t="n">
        <v>0.179</v>
      </c>
      <c r="Q94" s="6" t="n">
        <v>73</v>
      </c>
      <c r="R94" s="6" t="s">
        <v>161</v>
      </c>
      <c r="S94" s="21" t="n">
        <v>1</v>
      </c>
      <c r="T94" s="14" t="n">
        <v>44437.06</v>
      </c>
      <c r="U94" s="6" t="s">
        <v>63</v>
      </c>
    </row>
    <row r="95" customFormat="false" ht="15" hidden="false" customHeight="true" outlineLevel="0" collapsed="false">
      <c r="A95" s="6" t="s">
        <v>381</v>
      </c>
      <c r="B95" s="6" t="s">
        <v>382</v>
      </c>
      <c r="C95" s="6" t="s">
        <v>128</v>
      </c>
      <c r="D95" s="6" t="s">
        <v>172</v>
      </c>
      <c r="E95" s="6" t="s">
        <v>288</v>
      </c>
      <c r="F95" s="13" t="n">
        <v>45357</v>
      </c>
      <c r="G95" s="13" t="n">
        <v>45444</v>
      </c>
      <c r="H95" s="14" t="n">
        <v>32232.51</v>
      </c>
      <c r="I95" s="6" t="n">
        <v>2</v>
      </c>
      <c r="J95" s="6" t="n">
        <v>585</v>
      </c>
      <c r="K95" s="6" t="s">
        <v>154</v>
      </c>
      <c r="L95" s="14" t="n">
        <v>13504.76</v>
      </c>
      <c r="M95" s="22" t="n">
        <v>1.235</v>
      </c>
      <c r="N95" s="14" t="n">
        <v>16678.38</v>
      </c>
      <c r="O95" s="14" t="n">
        <v>3173.62</v>
      </c>
      <c r="P95" s="21" t="n">
        <v>0.178</v>
      </c>
      <c r="Q95" s="6" t="n">
        <v>87</v>
      </c>
      <c r="R95" s="6" t="s">
        <v>161</v>
      </c>
      <c r="S95" s="21" t="n">
        <v>1</v>
      </c>
      <c r="T95" s="14" t="n">
        <v>16678.38</v>
      </c>
      <c r="U95" s="6" t="s">
        <v>37</v>
      </c>
    </row>
    <row r="96" customFormat="false" ht="15" hidden="false" customHeight="true" outlineLevel="0" collapsed="false">
      <c r="A96" s="6" t="s">
        <v>383</v>
      </c>
      <c r="B96" s="6" t="s">
        <v>384</v>
      </c>
      <c r="C96" s="6" t="s">
        <v>112</v>
      </c>
      <c r="D96" s="6" t="s">
        <v>164</v>
      </c>
      <c r="E96" s="6" t="s">
        <v>173</v>
      </c>
      <c r="F96" s="13" t="n">
        <v>44789</v>
      </c>
      <c r="G96" s="13" t="n">
        <v>44849</v>
      </c>
      <c r="H96" s="14" t="n">
        <v>56754.38</v>
      </c>
      <c r="I96" s="6" t="n">
        <v>0</v>
      </c>
      <c r="J96" s="6" t="n">
        <v>729</v>
      </c>
      <c r="K96" s="6" t="s">
        <v>160</v>
      </c>
      <c r="L96" s="14" t="n">
        <v>4926.2</v>
      </c>
      <c r="M96" s="22" t="n">
        <v>1.27</v>
      </c>
      <c r="N96" s="14" t="n">
        <v>6256.27</v>
      </c>
      <c r="O96" s="14" t="n">
        <v>1330.07</v>
      </c>
      <c r="P96" s="21" t="n">
        <v>0.068</v>
      </c>
      <c r="Q96" s="6" t="n">
        <v>60</v>
      </c>
      <c r="R96" s="6" t="s">
        <v>155</v>
      </c>
      <c r="S96" s="21" t="n">
        <v>0.98</v>
      </c>
      <c r="T96" s="14" t="n">
        <v>6131.14</v>
      </c>
      <c r="U96" s="6" t="s">
        <v>18</v>
      </c>
    </row>
    <row r="97" customFormat="false" ht="15" hidden="false" customHeight="true" outlineLevel="0" collapsed="false">
      <c r="A97" s="6" t="s">
        <v>385</v>
      </c>
      <c r="B97" s="6" t="s">
        <v>386</v>
      </c>
      <c r="C97" s="6" t="s">
        <v>128</v>
      </c>
      <c r="D97" s="6" t="s">
        <v>235</v>
      </c>
      <c r="E97" s="6" t="s">
        <v>159</v>
      </c>
      <c r="F97" s="13" t="n">
        <v>45363</v>
      </c>
      <c r="G97" s="13" t="n">
        <v>45423</v>
      </c>
      <c r="H97" s="14" t="n">
        <v>169058.66</v>
      </c>
      <c r="I97" s="6" t="n">
        <v>3</v>
      </c>
      <c r="J97" s="6" t="n">
        <v>621</v>
      </c>
      <c r="K97" s="6" t="s">
        <v>160</v>
      </c>
      <c r="L97" s="14" t="n">
        <v>25335.79</v>
      </c>
      <c r="M97" s="22" t="n">
        <v>1.336</v>
      </c>
      <c r="N97" s="14" t="n">
        <v>33848.62</v>
      </c>
      <c r="O97" s="14" t="n">
        <v>8512.83</v>
      </c>
      <c r="P97" s="21" t="n">
        <v>0.173</v>
      </c>
      <c r="Q97" s="6" t="n">
        <v>60</v>
      </c>
      <c r="R97" s="6" t="s">
        <v>155</v>
      </c>
      <c r="S97" s="21" t="n">
        <v>0.97</v>
      </c>
      <c r="T97" s="14" t="n">
        <v>32833.16</v>
      </c>
      <c r="U97" s="6" t="s">
        <v>37</v>
      </c>
    </row>
    <row r="98" customFormat="false" ht="15" hidden="false" customHeight="true" outlineLevel="0" collapsed="false">
      <c r="A98" s="6" t="s">
        <v>387</v>
      </c>
      <c r="B98" s="6" t="s">
        <v>388</v>
      </c>
      <c r="C98" s="6" t="s">
        <v>131</v>
      </c>
      <c r="D98" s="6" t="s">
        <v>176</v>
      </c>
      <c r="E98" s="6" t="s">
        <v>201</v>
      </c>
      <c r="F98" s="13" t="n">
        <v>45459</v>
      </c>
      <c r="G98" s="13" t="n">
        <v>45620</v>
      </c>
      <c r="H98" s="14" t="n">
        <v>116084.44</v>
      </c>
      <c r="I98" s="6" t="n">
        <v>0</v>
      </c>
      <c r="J98" s="6" t="n">
        <v>580</v>
      </c>
      <c r="K98" s="6" t="s">
        <v>154</v>
      </c>
      <c r="L98" s="14" t="n">
        <v>27385.48</v>
      </c>
      <c r="M98" s="22" t="n">
        <v>1.275</v>
      </c>
      <c r="N98" s="14" t="n">
        <v>34916.49</v>
      </c>
      <c r="O98" s="14" t="n">
        <v>7531.01</v>
      </c>
      <c r="P98" s="21" t="n">
        <v>0.056</v>
      </c>
      <c r="Q98" s="6" t="n">
        <v>161</v>
      </c>
      <c r="R98" s="6" t="s">
        <v>309</v>
      </c>
      <c r="S98" s="21" t="n">
        <v>0.583</v>
      </c>
      <c r="T98" s="14" t="n">
        <v>20356.31</v>
      </c>
      <c r="U98" s="6" t="s">
        <v>40</v>
      </c>
    </row>
    <row r="99" customFormat="false" ht="15" hidden="false" customHeight="true" outlineLevel="0" collapsed="false">
      <c r="A99" s="6" t="s">
        <v>389</v>
      </c>
      <c r="B99" s="6" t="s">
        <v>390</v>
      </c>
      <c r="C99" s="6" t="s">
        <v>112</v>
      </c>
      <c r="D99" s="6" t="s">
        <v>188</v>
      </c>
      <c r="E99" s="6" t="s">
        <v>288</v>
      </c>
      <c r="F99" s="13" t="n">
        <v>46056</v>
      </c>
      <c r="G99" s="13" t="n">
        <v>46116</v>
      </c>
      <c r="H99" s="14" t="n">
        <v>154970.87</v>
      </c>
      <c r="I99" s="6" t="n">
        <v>1</v>
      </c>
      <c r="J99" s="6" t="n">
        <v>517</v>
      </c>
      <c r="K99" s="6" t="s">
        <v>160</v>
      </c>
      <c r="L99" s="14" t="n">
        <v>19591.22</v>
      </c>
      <c r="M99" s="22" t="n">
        <v>1.268</v>
      </c>
      <c r="N99" s="14" t="n">
        <v>24841.67</v>
      </c>
      <c r="O99" s="14" t="n">
        <v>5250.45</v>
      </c>
      <c r="P99" s="21" t="n">
        <v>0.144</v>
      </c>
      <c r="Q99" s="6" t="n">
        <v>60</v>
      </c>
      <c r="R99" s="6" t="s">
        <v>161</v>
      </c>
      <c r="S99" s="21" t="n">
        <v>1</v>
      </c>
      <c r="T99" s="14" t="n">
        <v>24841.67</v>
      </c>
      <c r="U99" s="6" t="s">
        <v>60</v>
      </c>
    </row>
    <row r="100" customFormat="false" ht="15" hidden="false" customHeight="true" outlineLevel="0" collapsed="false">
      <c r="A100" s="6" t="s">
        <v>391</v>
      </c>
      <c r="B100" s="6" t="s">
        <v>392</v>
      </c>
      <c r="C100" s="6" t="s">
        <v>112</v>
      </c>
      <c r="D100" s="6" t="s">
        <v>172</v>
      </c>
      <c r="E100" s="6" t="s">
        <v>299</v>
      </c>
      <c r="F100" s="13" t="n">
        <v>44748</v>
      </c>
      <c r="G100" s="13" t="n">
        <v>44808</v>
      </c>
      <c r="H100" s="14" t="n">
        <v>49341.39</v>
      </c>
      <c r="I100" s="6" t="n">
        <v>0</v>
      </c>
      <c r="J100" s="6" t="n">
        <v>526</v>
      </c>
      <c r="K100" s="6" t="s">
        <v>154</v>
      </c>
      <c r="L100" s="14" t="n">
        <v>8685.39</v>
      </c>
      <c r="M100" s="22" t="n">
        <v>1.212</v>
      </c>
      <c r="N100" s="14" t="n">
        <v>10526.69</v>
      </c>
      <c r="O100" s="14" t="n">
        <v>1841.3</v>
      </c>
      <c r="P100" s="21" t="n">
        <v>0.136</v>
      </c>
      <c r="Q100" s="6" t="n">
        <v>60</v>
      </c>
      <c r="R100" s="6" t="s">
        <v>161</v>
      </c>
      <c r="S100" s="21" t="n">
        <v>1</v>
      </c>
      <c r="T100" s="14" t="n">
        <v>10526.69</v>
      </c>
      <c r="U100" s="6" t="s">
        <v>17</v>
      </c>
    </row>
    <row r="101" customFormat="false" ht="15" hidden="false" customHeight="true" outlineLevel="0" collapsed="false">
      <c r="A101" s="6" t="s">
        <v>393</v>
      </c>
      <c r="B101" s="6" t="s">
        <v>394</v>
      </c>
      <c r="C101" s="6" t="s">
        <v>131</v>
      </c>
      <c r="D101" s="6" t="s">
        <v>200</v>
      </c>
      <c r="E101" s="6" t="s">
        <v>326</v>
      </c>
      <c r="F101" s="13" t="n">
        <v>45534</v>
      </c>
      <c r="G101" s="13" t="n">
        <v>45659</v>
      </c>
      <c r="H101" s="14" t="n">
        <v>108184.77</v>
      </c>
      <c r="I101" s="6" t="n">
        <v>2</v>
      </c>
      <c r="J101" s="6" t="n">
        <v>573</v>
      </c>
      <c r="K101" s="6" t="s">
        <v>154</v>
      </c>
      <c r="L101" s="14" t="n">
        <v>45599.47</v>
      </c>
      <c r="M101" s="22" t="n">
        <v>1.193</v>
      </c>
      <c r="N101" s="14" t="n">
        <v>54400.17</v>
      </c>
      <c r="O101" s="14" t="n">
        <v>8800.7</v>
      </c>
      <c r="P101" s="21" t="n">
        <v>0.12</v>
      </c>
      <c r="Q101" s="6" t="n">
        <v>125</v>
      </c>
      <c r="R101" s="6" t="s">
        <v>161</v>
      </c>
      <c r="S101" s="21" t="n">
        <v>1</v>
      </c>
      <c r="T101" s="14" t="n">
        <v>54400.17</v>
      </c>
      <c r="U101" s="6" t="s">
        <v>42</v>
      </c>
    </row>
    <row r="102" customFormat="false" ht="15" hidden="false" customHeight="true" outlineLevel="0" collapsed="false">
      <c r="A102" s="6" t="s">
        <v>395</v>
      </c>
      <c r="B102" s="6" t="s">
        <v>396</v>
      </c>
      <c r="C102" s="6" t="s">
        <v>128</v>
      </c>
      <c r="D102" s="6" t="s">
        <v>235</v>
      </c>
      <c r="E102" s="6" t="s">
        <v>201</v>
      </c>
      <c r="F102" s="13" t="n">
        <v>44587</v>
      </c>
      <c r="G102" s="13" t="n">
        <v>44678</v>
      </c>
      <c r="H102" s="14" t="n">
        <v>228414.69</v>
      </c>
      <c r="I102" s="6" t="n">
        <v>4</v>
      </c>
      <c r="J102" s="6" t="n">
        <v>521</v>
      </c>
      <c r="K102" s="6" t="s">
        <v>185</v>
      </c>
      <c r="L102" s="14" t="n">
        <v>62389.13</v>
      </c>
      <c r="M102" s="22" t="n">
        <v>1.311</v>
      </c>
      <c r="N102" s="14" t="n">
        <v>81792.15</v>
      </c>
      <c r="O102" s="14" t="n">
        <v>19403.02</v>
      </c>
      <c r="P102" s="21" t="n">
        <v>0.118</v>
      </c>
      <c r="Q102" s="6" t="n">
        <v>91</v>
      </c>
      <c r="R102" s="6" t="s">
        <v>155</v>
      </c>
      <c r="S102" s="21" t="n">
        <v>0.918</v>
      </c>
      <c r="T102" s="14" t="n">
        <v>75085.19</v>
      </c>
      <c r="U102" s="6" t="s">
        <v>11</v>
      </c>
    </row>
    <row r="103" customFormat="false" ht="15" hidden="false" customHeight="true" outlineLevel="0" collapsed="false">
      <c r="A103" s="6" t="s">
        <v>397</v>
      </c>
      <c r="B103" s="6" t="s">
        <v>398</v>
      </c>
      <c r="C103" s="6" t="s">
        <v>116</v>
      </c>
      <c r="D103" s="6" t="s">
        <v>152</v>
      </c>
      <c r="E103" s="6" t="s">
        <v>211</v>
      </c>
      <c r="F103" s="13" t="n">
        <v>45028</v>
      </c>
      <c r="G103" s="13" t="n">
        <v>45092</v>
      </c>
      <c r="H103" s="14" t="n">
        <v>230842.07</v>
      </c>
      <c r="I103" s="6" t="n">
        <v>3</v>
      </c>
      <c r="J103" s="6" t="n">
        <v>506</v>
      </c>
      <c r="K103" s="6" t="s">
        <v>160</v>
      </c>
      <c r="L103" s="14" t="n">
        <v>52608.46</v>
      </c>
      <c r="M103" s="22" t="n">
        <v>1.312</v>
      </c>
      <c r="N103" s="14" t="n">
        <v>69022.3</v>
      </c>
      <c r="O103" s="14" t="n">
        <v>16413.84</v>
      </c>
      <c r="P103" s="21" t="n">
        <v>0.139</v>
      </c>
      <c r="Q103" s="6" t="n">
        <v>64</v>
      </c>
      <c r="R103" s="6" t="s">
        <v>155</v>
      </c>
      <c r="S103" s="21" t="n">
        <v>0.98</v>
      </c>
      <c r="T103" s="14" t="n">
        <v>67641.85</v>
      </c>
      <c r="U103" s="6" t="s">
        <v>26</v>
      </c>
    </row>
    <row r="104" customFormat="false" ht="15" hidden="false" customHeight="true" outlineLevel="0" collapsed="false">
      <c r="A104" s="6" t="s">
        <v>399</v>
      </c>
      <c r="B104" s="6" t="s">
        <v>400</v>
      </c>
      <c r="C104" s="6" t="s">
        <v>128</v>
      </c>
      <c r="D104" s="6" t="s">
        <v>401</v>
      </c>
      <c r="E104" s="6" t="s">
        <v>153</v>
      </c>
      <c r="F104" s="13" t="n">
        <v>45123</v>
      </c>
      <c r="G104" s="13" t="n">
        <v>45183</v>
      </c>
      <c r="H104" s="14" t="n">
        <v>50044.44</v>
      </c>
      <c r="I104" s="6" t="n">
        <v>3</v>
      </c>
      <c r="J104" s="6" t="n">
        <v>564</v>
      </c>
      <c r="K104" s="6" t="s">
        <v>154</v>
      </c>
      <c r="L104" s="14" t="n">
        <v>8256.04</v>
      </c>
      <c r="M104" s="22" t="n">
        <v>1.328</v>
      </c>
      <c r="N104" s="14" t="n">
        <v>10964.02</v>
      </c>
      <c r="O104" s="14" t="n">
        <v>2707.98</v>
      </c>
      <c r="P104" s="21" t="n">
        <v>0.142</v>
      </c>
      <c r="Q104" s="6" t="n">
        <v>60</v>
      </c>
      <c r="R104" s="6" t="s">
        <v>161</v>
      </c>
      <c r="S104" s="21" t="n">
        <v>1</v>
      </c>
      <c r="T104" s="14" t="n">
        <v>10964.02</v>
      </c>
      <c r="U104" s="6" t="s">
        <v>29</v>
      </c>
    </row>
    <row r="105" customFormat="false" ht="15" hidden="false" customHeight="true" outlineLevel="0" collapsed="false">
      <c r="A105" s="6" t="s">
        <v>402</v>
      </c>
      <c r="B105" s="6" t="s">
        <v>403</v>
      </c>
      <c r="C105" s="6" t="s">
        <v>120</v>
      </c>
      <c r="D105" s="6" t="s">
        <v>158</v>
      </c>
      <c r="E105" s="6" t="s">
        <v>192</v>
      </c>
      <c r="F105" s="13" t="n">
        <v>45400</v>
      </c>
      <c r="G105" s="13" t="n">
        <v>45573</v>
      </c>
      <c r="H105" s="14" t="n">
        <v>14643.02</v>
      </c>
      <c r="I105" s="6" t="n">
        <v>0</v>
      </c>
      <c r="J105" s="6" t="n">
        <v>773</v>
      </c>
      <c r="K105" s="6" t="s">
        <v>160</v>
      </c>
      <c r="L105" s="14" t="n">
        <v>5714.6</v>
      </c>
      <c r="M105" s="22" t="n">
        <v>1.263</v>
      </c>
      <c r="N105" s="14" t="n">
        <v>7217.54</v>
      </c>
      <c r="O105" s="14" t="n">
        <v>1502.94</v>
      </c>
      <c r="P105" s="21" t="n">
        <v>0.085</v>
      </c>
      <c r="Q105" s="6" t="n">
        <v>173</v>
      </c>
      <c r="R105" s="6" t="s">
        <v>161</v>
      </c>
      <c r="S105" s="21" t="n">
        <v>1</v>
      </c>
      <c r="T105" s="14" t="n">
        <v>7217.54</v>
      </c>
      <c r="U105" s="6" t="s">
        <v>38</v>
      </c>
    </row>
    <row r="106" customFormat="false" ht="15" hidden="false" customHeight="true" outlineLevel="0" collapsed="false">
      <c r="A106" s="6" t="s">
        <v>404</v>
      </c>
      <c r="B106" s="6" t="s">
        <v>405</v>
      </c>
      <c r="C106" s="6" t="s">
        <v>120</v>
      </c>
      <c r="D106" s="6" t="s">
        <v>218</v>
      </c>
      <c r="E106" s="6" t="s">
        <v>153</v>
      </c>
      <c r="F106" s="13" t="n">
        <v>44950</v>
      </c>
      <c r="G106" s="13" t="n">
        <v>45010</v>
      </c>
      <c r="H106" s="14" t="n">
        <v>166606.94</v>
      </c>
      <c r="I106" s="6" t="n">
        <v>5</v>
      </c>
      <c r="J106" s="6" t="n">
        <v>583</v>
      </c>
      <c r="K106" s="6" t="s">
        <v>185</v>
      </c>
      <c r="L106" s="14" t="n">
        <v>41483.07</v>
      </c>
      <c r="M106" s="22" t="n">
        <v>1.237</v>
      </c>
      <c r="N106" s="14" t="n">
        <v>51314.56</v>
      </c>
      <c r="O106" s="14" t="n">
        <v>9831.49</v>
      </c>
      <c r="P106" s="21" t="n">
        <v>0.179</v>
      </c>
      <c r="Q106" s="6" t="n">
        <v>60</v>
      </c>
      <c r="R106" s="6" t="s">
        <v>161</v>
      </c>
      <c r="S106" s="21" t="n">
        <v>1</v>
      </c>
      <c r="T106" s="14" t="n">
        <v>51314.56</v>
      </c>
      <c r="U106" s="6" t="s">
        <v>23</v>
      </c>
    </row>
    <row r="107" customFormat="false" ht="15" hidden="false" customHeight="true" outlineLevel="0" collapsed="false">
      <c r="A107" s="6" t="s">
        <v>406</v>
      </c>
      <c r="B107" s="6" t="s">
        <v>407</v>
      </c>
      <c r="C107" s="6" t="s">
        <v>128</v>
      </c>
      <c r="D107" s="6" t="s">
        <v>172</v>
      </c>
      <c r="E107" s="6" t="s">
        <v>201</v>
      </c>
      <c r="F107" s="13" t="n">
        <v>45511</v>
      </c>
      <c r="G107" s="13" t="n">
        <v>45588</v>
      </c>
      <c r="H107" s="14" t="n">
        <v>166373.18</v>
      </c>
      <c r="I107" s="6" t="n">
        <v>0</v>
      </c>
      <c r="J107" s="6" t="n">
        <v>571</v>
      </c>
      <c r="K107" s="6" t="s">
        <v>160</v>
      </c>
      <c r="L107" s="14" t="n">
        <v>45746.33</v>
      </c>
      <c r="M107" s="22" t="n">
        <v>1.18</v>
      </c>
      <c r="N107" s="14" t="n">
        <v>53980.67</v>
      </c>
      <c r="O107" s="14" t="n">
        <v>8234.34</v>
      </c>
      <c r="P107" s="21" t="n">
        <v>0.126</v>
      </c>
      <c r="Q107" s="6" t="n">
        <v>77</v>
      </c>
      <c r="R107" s="6" t="s">
        <v>155</v>
      </c>
      <c r="S107" s="21" t="n">
        <v>0.865</v>
      </c>
      <c r="T107" s="14" t="n">
        <v>46693.28</v>
      </c>
      <c r="U107" s="6" t="s">
        <v>42</v>
      </c>
    </row>
    <row r="108" customFormat="false" ht="15" hidden="false" customHeight="true" outlineLevel="0" collapsed="false">
      <c r="A108" s="6" t="s">
        <v>408</v>
      </c>
      <c r="B108" s="6" t="s">
        <v>409</v>
      </c>
      <c r="C108" s="6" t="s">
        <v>124</v>
      </c>
      <c r="D108" s="6" t="s">
        <v>180</v>
      </c>
      <c r="E108" s="6" t="s">
        <v>288</v>
      </c>
      <c r="F108" s="13" t="n">
        <v>46125</v>
      </c>
      <c r="G108" s="13" t="n">
        <v>46213</v>
      </c>
      <c r="H108" s="14" t="n">
        <v>83846.21</v>
      </c>
      <c r="I108" s="6" t="n">
        <v>0</v>
      </c>
      <c r="J108" s="6" t="n">
        <v>645</v>
      </c>
      <c r="K108" s="6" t="s">
        <v>160</v>
      </c>
      <c r="L108" s="14" t="n">
        <v>21977.45</v>
      </c>
      <c r="M108" s="22" t="n">
        <v>1.286</v>
      </c>
      <c r="N108" s="14" t="n">
        <v>28263</v>
      </c>
      <c r="O108" s="14" t="n">
        <v>6285.55</v>
      </c>
      <c r="P108" s="21" t="n">
        <v>0.114</v>
      </c>
      <c r="Q108" s="6" t="n">
        <v>88</v>
      </c>
      <c r="R108" s="6" t="s">
        <v>309</v>
      </c>
      <c r="S108" s="21" t="n">
        <v>0.121</v>
      </c>
      <c r="T108" s="14" t="n">
        <v>3419.82</v>
      </c>
      <c r="U108" s="6" t="s">
        <v>62</v>
      </c>
    </row>
    <row r="109" customFormat="false" ht="15" hidden="false" customHeight="true" outlineLevel="0" collapsed="false">
      <c r="A109" s="6" t="s">
        <v>410</v>
      </c>
      <c r="B109" s="6" t="s">
        <v>411</v>
      </c>
      <c r="C109" s="6" t="s">
        <v>124</v>
      </c>
      <c r="D109" s="6" t="s">
        <v>168</v>
      </c>
      <c r="E109" s="6" t="s">
        <v>181</v>
      </c>
      <c r="F109" s="13" t="n">
        <v>45649</v>
      </c>
      <c r="G109" s="13" t="n">
        <v>45757</v>
      </c>
      <c r="H109" s="14" t="n">
        <v>241609.34</v>
      </c>
      <c r="I109" s="6" t="n">
        <v>1</v>
      </c>
      <c r="J109" s="6" t="n">
        <v>512</v>
      </c>
      <c r="K109" s="6" t="s">
        <v>160</v>
      </c>
      <c r="L109" s="14" t="n">
        <v>98147.88</v>
      </c>
      <c r="M109" s="22" t="n">
        <v>1.321</v>
      </c>
      <c r="N109" s="14" t="n">
        <v>129653.35</v>
      </c>
      <c r="O109" s="14" t="n">
        <v>31505.47</v>
      </c>
      <c r="P109" s="21" t="n">
        <v>0.148</v>
      </c>
      <c r="Q109" s="6" t="n">
        <v>108</v>
      </c>
      <c r="R109" s="6" t="s">
        <v>155</v>
      </c>
      <c r="S109" s="21" t="n">
        <v>0.937</v>
      </c>
      <c r="T109" s="14" t="n">
        <v>121485.19</v>
      </c>
      <c r="U109" s="6" t="s">
        <v>46</v>
      </c>
    </row>
    <row r="110" customFormat="false" ht="15" hidden="false" customHeight="true" outlineLevel="0" collapsed="false">
      <c r="A110" s="6" t="s">
        <v>412</v>
      </c>
      <c r="B110" s="6" t="s">
        <v>413</v>
      </c>
      <c r="C110" s="6" t="s">
        <v>120</v>
      </c>
      <c r="D110" s="6" t="s">
        <v>158</v>
      </c>
      <c r="E110" s="6" t="s">
        <v>165</v>
      </c>
      <c r="F110" s="13" t="n">
        <v>44660</v>
      </c>
      <c r="G110" s="13" t="n">
        <v>44720</v>
      </c>
      <c r="H110" s="14" t="n">
        <v>220123.68</v>
      </c>
      <c r="I110" s="6" t="n">
        <v>0</v>
      </c>
      <c r="J110" s="6" t="n">
        <v>671</v>
      </c>
      <c r="K110" s="6" t="s">
        <v>154</v>
      </c>
      <c r="L110" s="14" t="n">
        <v>44103.32</v>
      </c>
      <c r="M110" s="22" t="n">
        <v>1.109</v>
      </c>
      <c r="N110" s="14" t="n">
        <v>48910.58</v>
      </c>
      <c r="O110" s="14" t="n">
        <v>4807.26</v>
      </c>
      <c r="P110" s="21" t="n">
        <v>0.159</v>
      </c>
      <c r="Q110" s="6" t="n">
        <v>60</v>
      </c>
      <c r="R110" s="6" t="s">
        <v>161</v>
      </c>
      <c r="S110" s="21" t="n">
        <v>1</v>
      </c>
      <c r="T110" s="14" t="n">
        <v>48910.58</v>
      </c>
      <c r="U110" s="6" t="s">
        <v>14</v>
      </c>
    </row>
    <row r="111" customFormat="false" ht="15" hidden="false" customHeight="true" outlineLevel="0" collapsed="false">
      <c r="A111" s="6" t="s">
        <v>414</v>
      </c>
      <c r="B111" s="6" t="s">
        <v>415</v>
      </c>
      <c r="C111" s="6" t="s">
        <v>116</v>
      </c>
      <c r="D111" s="6" t="s">
        <v>222</v>
      </c>
      <c r="E111" s="6" t="s">
        <v>195</v>
      </c>
      <c r="F111" s="13" t="n">
        <v>44975</v>
      </c>
      <c r="G111" s="13" t="n">
        <v>45039</v>
      </c>
      <c r="H111" s="14" t="n">
        <v>131803.52</v>
      </c>
      <c r="I111" s="6" t="n">
        <v>1</v>
      </c>
      <c r="J111" s="6" t="n">
        <v>590</v>
      </c>
      <c r="K111" s="6" t="s">
        <v>154</v>
      </c>
      <c r="L111" s="14" t="n">
        <v>34651.96</v>
      </c>
      <c r="M111" s="22" t="n">
        <v>1.29</v>
      </c>
      <c r="N111" s="14" t="n">
        <v>44701.03</v>
      </c>
      <c r="O111" s="14" t="n">
        <v>10049.07</v>
      </c>
      <c r="P111" s="21" t="n">
        <v>0.158</v>
      </c>
      <c r="Q111" s="6" t="n">
        <v>64</v>
      </c>
      <c r="R111" s="6" t="s">
        <v>161</v>
      </c>
      <c r="S111" s="21" t="n">
        <v>1</v>
      </c>
      <c r="T111" s="14" t="n">
        <v>44701.03</v>
      </c>
      <c r="U111" s="6" t="s">
        <v>24</v>
      </c>
    </row>
    <row r="112" customFormat="false" ht="15" hidden="false" customHeight="true" outlineLevel="0" collapsed="false">
      <c r="A112" s="6" t="s">
        <v>416</v>
      </c>
      <c r="B112" s="6" t="s">
        <v>417</v>
      </c>
      <c r="C112" s="6" t="s">
        <v>112</v>
      </c>
      <c r="D112" s="6" t="s">
        <v>172</v>
      </c>
      <c r="E112" s="6" t="s">
        <v>195</v>
      </c>
      <c r="F112" s="13" t="n">
        <v>45157</v>
      </c>
      <c r="G112" s="13" t="n">
        <v>45217</v>
      </c>
      <c r="H112" s="14" t="n">
        <v>226956.61</v>
      </c>
      <c r="I112" s="6" t="n">
        <v>1</v>
      </c>
      <c r="J112" s="6" t="n">
        <v>646</v>
      </c>
      <c r="K112" s="6" t="s">
        <v>160</v>
      </c>
      <c r="L112" s="14" t="n">
        <v>28677.21</v>
      </c>
      <c r="M112" s="22" t="n">
        <v>1.3</v>
      </c>
      <c r="N112" s="14" t="n">
        <v>37280.37</v>
      </c>
      <c r="O112" s="14" t="n">
        <v>8603.16</v>
      </c>
      <c r="P112" s="21" t="n">
        <v>0.164</v>
      </c>
      <c r="Q112" s="6" t="n">
        <v>60</v>
      </c>
      <c r="R112" s="6" t="s">
        <v>161</v>
      </c>
      <c r="S112" s="21" t="n">
        <v>1</v>
      </c>
      <c r="T112" s="14" t="n">
        <v>37280.37</v>
      </c>
      <c r="U112" s="6" t="s">
        <v>30</v>
      </c>
    </row>
    <row r="113" customFormat="false" ht="15" hidden="false" customHeight="true" outlineLevel="0" collapsed="false">
      <c r="A113" s="6" t="s">
        <v>418</v>
      </c>
      <c r="B113" s="6" t="s">
        <v>419</v>
      </c>
      <c r="C113" s="6" t="s">
        <v>131</v>
      </c>
      <c r="D113" s="6" t="s">
        <v>152</v>
      </c>
      <c r="E113" s="6" t="s">
        <v>177</v>
      </c>
      <c r="F113" s="13" t="n">
        <v>45890</v>
      </c>
      <c r="G113" s="13" t="n">
        <v>45950</v>
      </c>
      <c r="H113" s="14" t="n">
        <v>205221.36</v>
      </c>
      <c r="I113" s="6" t="n">
        <v>0</v>
      </c>
      <c r="J113" s="6" t="n">
        <v>628</v>
      </c>
      <c r="K113" s="6" t="s">
        <v>185</v>
      </c>
      <c r="L113" s="14" t="n">
        <v>33683.54</v>
      </c>
      <c r="M113" s="22" t="n">
        <v>1.31</v>
      </c>
      <c r="N113" s="14" t="n">
        <v>44125.44</v>
      </c>
      <c r="O113" s="14" t="n">
        <v>10441.9</v>
      </c>
      <c r="P113" s="21" t="n">
        <v>0.154</v>
      </c>
      <c r="Q113" s="6" t="n">
        <v>60</v>
      </c>
      <c r="R113" s="6" t="s">
        <v>155</v>
      </c>
      <c r="S113" s="21" t="n">
        <v>0.758</v>
      </c>
      <c r="T113" s="14" t="n">
        <v>33447.08</v>
      </c>
      <c r="U113" s="6" t="s">
        <v>54</v>
      </c>
    </row>
    <row r="114" customFormat="false" ht="15" hidden="false" customHeight="true" outlineLevel="0" collapsed="false">
      <c r="A114" s="6" t="s">
        <v>420</v>
      </c>
      <c r="B114" s="6" t="s">
        <v>421</v>
      </c>
      <c r="C114" s="6" t="s">
        <v>116</v>
      </c>
      <c r="D114" s="6" t="s">
        <v>222</v>
      </c>
      <c r="E114" s="6" t="s">
        <v>211</v>
      </c>
      <c r="F114" s="13" t="n">
        <v>46084</v>
      </c>
      <c r="G114" s="13" t="n">
        <v>46153</v>
      </c>
      <c r="H114" s="14" t="n">
        <v>35330.87</v>
      </c>
      <c r="I114" s="6" t="n">
        <v>1</v>
      </c>
      <c r="J114" s="6" t="n">
        <v>515</v>
      </c>
      <c r="K114" s="6" t="s">
        <v>160</v>
      </c>
      <c r="L114" s="14" t="n">
        <v>7338.1</v>
      </c>
      <c r="M114" s="22" t="n">
        <v>1.314</v>
      </c>
      <c r="N114" s="14" t="n">
        <v>9642.26</v>
      </c>
      <c r="O114" s="14" t="n">
        <v>2304.16</v>
      </c>
      <c r="P114" s="21" t="n">
        <v>0.118</v>
      </c>
      <c r="Q114" s="6" t="n">
        <v>69</v>
      </c>
      <c r="R114" s="6" t="s">
        <v>161</v>
      </c>
      <c r="S114" s="21" t="n">
        <v>1</v>
      </c>
      <c r="T114" s="14" t="n">
        <v>9642.26</v>
      </c>
      <c r="U114" s="6" t="s">
        <v>61</v>
      </c>
    </row>
    <row r="115" customFormat="false" ht="15" hidden="false" customHeight="true" outlineLevel="0" collapsed="false">
      <c r="A115" s="6" t="s">
        <v>422</v>
      </c>
      <c r="B115" s="6" t="s">
        <v>423</v>
      </c>
      <c r="C115" s="6" t="s">
        <v>128</v>
      </c>
      <c r="D115" s="6" t="s">
        <v>172</v>
      </c>
      <c r="E115" s="6" t="s">
        <v>153</v>
      </c>
      <c r="F115" s="13" t="n">
        <v>45131</v>
      </c>
      <c r="G115" s="13" t="n">
        <v>45251</v>
      </c>
      <c r="H115" s="14" t="n">
        <v>163702.49</v>
      </c>
      <c r="I115" s="6" t="n">
        <v>0</v>
      </c>
      <c r="J115" s="6" t="n">
        <v>772</v>
      </c>
      <c r="K115" s="6" t="s">
        <v>185</v>
      </c>
      <c r="L115" s="14" t="n">
        <v>43919.42</v>
      </c>
      <c r="M115" s="22" t="n">
        <v>1.213</v>
      </c>
      <c r="N115" s="14" t="n">
        <v>53274.26</v>
      </c>
      <c r="O115" s="14" t="n">
        <v>9354.84</v>
      </c>
      <c r="P115" s="21" t="n">
        <v>0.081</v>
      </c>
      <c r="Q115" s="6" t="n">
        <v>120</v>
      </c>
      <c r="R115" s="6" t="s">
        <v>155</v>
      </c>
      <c r="S115" s="21" t="n">
        <v>0.778</v>
      </c>
      <c r="T115" s="14" t="n">
        <v>41447.37</v>
      </c>
      <c r="U115" s="6" t="s">
        <v>29</v>
      </c>
    </row>
    <row r="116" customFormat="false" ht="15" hidden="false" customHeight="true" outlineLevel="0" collapsed="false">
      <c r="A116" s="6" t="s">
        <v>424</v>
      </c>
      <c r="B116" s="6" t="s">
        <v>425</v>
      </c>
      <c r="C116" s="6" t="s">
        <v>131</v>
      </c>
      <c r="D116" s="6" t="s">
        <v>152</v>
      </c>
      <c r="E116" s="6" t="s">
        <v>153</v>
      </c>
      <c r="F116" s="13" t="n">
        <v>45570</v>
      </c>
      <c r="G116" s="13" t="n">
        <v>45630</v>
      </c>
      <c r="H116" s="14" t="n">
        <v>90608.42</v>
      </c>
      <c r="I116" s="6" t="n">
        <v>3</v>
      </c>
      <c r="J116" s="6" t="n">
        <v>809</v>
      </c>
      <c r="K116" s="6" t="s">
        <v>160</v>
      </c>
      <c r="L116" s="14" t="n">
        <v>21921.96</v>
      </c>
      <c r="M116" s="22" t="n">
        <v>1.109</v>
      </c>
      <c r="N116" s="14" t="n">
        <v>24311.45</v>
      </c>
      <c r="O116" s="14" t="n">
        <v>2389.49</v>
      </c>
      <c r="P116" s="21" t="n">
        <v>0.167</v>
      </c>
      <c r="Q116" s="6" t="n">
        <v>60</v>
      </c>
      <c r="R116" s="6" t="s">
        <v>155</v>
      </c>
      <c r="S116" s="21" t="n">
        <v>0.951</v>
      </c>
      <c r="T116" s="14" t="n">
        <v>23120.19</v>
      </c>
      <c r="U116" s="6" t="s">
        <v>44</v>
      </c>
    </row>
    <row r="117" customFormat="false" ht="15" hidden="false" customHeight="true" outlineLevel="0" collapsed="false">
      <c r="A117" s="6" t="s">
        <v>426</v>
      </c>
      <c r="B117" s="6" t="s">
        <v>427</v>
      </c>
      <c r="C117" s="6" t="s">
        <v>124</v>
      </c>
      <c r="D117" s="6" t="s">
        <v>168</v>
      </c>
      <c r="E117" s="6" t="s">
        <v>189</v>
      </c>
      <c r="F117" s="13" t="n">
        <v>46161</v>
      </c>
      <c r="G117" s="13" t="n">
        <v>46221</v>
      </c>
      <c r="H117" s="14" t="n">
        <v>239398.06</v>
      </c>
      <c r="I117" s="6" t="n">
        <v>0</v>
      </c>
      <c r="J117" s="6" t="n">
        <v>660</v>
      </c>
      <c r="K117" s="6" t="s">
        <v>154</v>
      </c>
      <c r="L117" s="14" t="n">
        <v>60565.03</v>
      </c>
      <c r="M117" s="22" t="n">
        <v>1.238</v>
      </c>
      <c r="N117" s="14" t="n">
        <v>74979.51</v>
      </c>
      <c r="O117" s="14" t="n">
        <v>14414.48</v>
      </c>
      <c r="P117" s="21" t="n">
        <v>0.17</v>
      </c>
      <c r="Q117" s="6" t="n">
        <v>60</v>
      </c>
      <c r="R117" s="6" t="s">
        <v>155</v>
      </c>
      <c r="S117" s="21" t="n">
        <v>0.762</v>
      </c>
      <c r="T117" s="14" t="n">
        <v>57134.39</v>
      </c>
      <c r="U117" s="6" t="s">
        <v>63</v>
      </c>
    </row>
    <row r="118" customFormat="false" ht="15" hidden="false" customHeight="true" outlineLevel="0" collapsed="false">
      <c r="A118" s="6" t="s">
        <v>428</v>
      </c>
      <c r="B118" s="6" t="s">
        <v>429</v>
      </c>
      <c r="C118" s="6" t="s">
        <v>116</v>
      </c>
      <c r="D118" s="6" t="s">
        <v>152</v>
      </c>
      <c r="E118" s="6" t="s">
        <v>181</v>
      </c>
      <c r="F118" s="13" t="n">
        <v>45840</v>
      </c>
      <c r="G118" s="13" t="n">
        <v>46035</v>
      </c>
      <c r="H118" s="14" t="n">
        <v>153810.92</v>
      </c>
      <c r="I118" s="6" t="n">
        <v>3</v>
      </c>
      <c r="J118" s="6" t="n">
        <v>664</v>
      </c>
      <c r="K118" s="6" t="s">
        <v>160</v>
      </c>
      <c r="L118" s="14" t="n">
        <v>60912.4</v>
      </c>
      <c r="M118" s="22" t="n">
        <v>1.251</v>
      </c>
      <c r="N118" s="14" t="n">
        <v>76201.41</v>
      </c>
      <c r="O118" s="14" t="n">
        <v>15289.01</v>
      </c>
      <c r="P118" s="21" t="n">
        <v>0.076</v>
      </c>
      <c r="Q118" s="6" t="n">
        <v>195</v>
      </c>
      <c r="R118" s="6" t="s">
        <v>161</v>
      </c>
      <c r="S118" s="21" t="n">
        <v>1</v>
      </c>
      <c r="T118" s="14" t="n">
        <v>76201.41</v>
      </c>
      <c r="U118" s="6" t="s">
        <v>53</v>
      </c>
    </row>
    <row r="119" customFormat="false" ht="15" hidden="false" customHeight="true" outlineLevel="0" collapsed="false">
      <c r="A119" s="6" t="s">
        <v>430</v>
      </c>
      <c r="B119" s="6" t="s">
        <v>431</v>
      </c>
      <c r="C119" s="6" t="s">
        <v>124</v>
      </c>
      <c r="D119" s="6" t="s">
        <v>168</v>
      </c>
      <c r="E119" s="6" t="s">
        <v>181</v>
      </c>
      <c r="F119" s="13" t="n">
        <v>45469</v>
      </c>
      <c r="G119" s="13" t="n">
        <v>45529</v>
      </c>
      <c r="H119" s="14" t="n">
        <v>239521.88</v>
      </c>
      <c r="I119" s="6" t="n">
        <v>5</v>
      </c>
      <c r="J119" s="6" t="n">
        <v>600</v>
      </c>
      <c r="K119" s="6" t="s">
        <v>154</v>
      </c>
      <c r="L119" s="14" t="n">
        <v>19518.99</v>
      </c>
      <c r="M119" s="22" t="n">
        <v>1.248</v>
      </c>
      <c r="N119" s="14" t="n">
        <v>24359.7</v>
      </c>
      <c r="O119" s="14" t="n">
        <v>4840.71</v>
      </c>
      <c r="P119" s="21" t="n">
        <v>0.152</v>
      </c>
      <c r="Q119" s="6" t="n">
        <v>60</v>
      </c>
      <c r="R119" s="6" t="s">
        <v>155</v>
      </c>
      <c r="S119" s="21" t="n">
        <v>0.98</v>
      </c>
      <c r="T119" s="14" t="n">
        <v>23872.51</v>
      </c>
      <c r="U119" s="6" t="s">
        <v>40</v>
      </c>
    </row>
    <row r="120" customFormat="false" ht="15" hidden="false" customHeight="true" outlineLevel="0" collapsed="false">
      <c r="A120" s="6" t="s">
        <v>432</v>
      </c>
      <c r="B120" s="6" t="s">
        <v>433</v>
      </c>
      <c r="C120" s="6" t="s">
        <v>128</v>
      </c>
      <c r="D120" s="6" t="s">
        <v>235</v>
      </c>
      <c r="E120" s="6" t="s">
        <v>254</v>
      </c>
      <c r="F120" s="13" t="n">
        <v>44666</v>
      </c>
      <c r="G120" s="13" t="n">
        <v>44756</v>
      </c>
      <c r="H120" s="14" t="n">
        <v>46944.78</v>
      </c>
      <c r="I120" s="6" t="n">
        <v>3</v>
      </c>
      <c r="J120" s="6" t="n">
        <v>502</v>
      </c>
      <c r="K120" s="6" t="s">
        <v>185</v>
      </c>
      <c r="L120" s="14" t="n">
        <v>11582.51</v>
      </c>
      <c r="M120" s="22" t="n">
        <v>1.121</v>
      </c>
      <c r="N120" s="14" t="n">
        <v>12983.99</v>
      </c>
      <c r="O120" s="14" t="n">
        <v>1401.48</v>
      </c>
      <c r="P120" s="21" t="n">
        <v>0.092</v>
      </c>
      <c r="Q120" s="6" t="n">
        <v>90</v>
      </c>
      <c r="R120" s="6" t="s">
        <v>309</v>
      </c>
      <c r="S120" s="21" t="n">
        <v>0.394</v>
      </c>
      <c r="T120" s="14" t="n">
        <v>5115.69</v>
      </c>
      <c r="U120" s="6" t="s">
        <v>14</v>
      </c>
    </row>
    <row r="121" customFormat="false" ht="15" hidden="false" customHeight="true" outlineLevel="0" collapsed="false">
      <c r="A121" s="6" t="s">
        <v>434</v>
      </c>
      <c r="B121" s="6" t="s">
        <v>435</v>
      </c>
      <c r="C121" s="6" t="s">
        <v>116</v>
      </c>
      <c r="D121" s="6" t="s">
        <v>206</v>
      </c>
      <c r="E121" s="6" t="s">
        <v>219</v>
      </c>
      <c r="F121" s="13" t="n">
        <v>45300</v>
      </c>
      <c r="G121" s="13" t="n">
        <v>45360</v>
      </c>
      <c r="H121" s="14" t="n">
        <v>198274.49</v>
      </c>
      <c r="I121" s="6" t="n">
        <v>0</v>
      </c>
      <c r="J121" s="6" t="n">
        <v>674</v>
      </c>
      <c r="K121" s="6" t="s">
        <v>185</v>
      </c>
      <c r="L121" s="14" t="n">
        <v>19845.54</v>
      </c>
      <c r="M121" s="22" t="n">
        <v>1.138</v>
      </c>
      <c r="N121" s="14" t="n">
        <v>22584.22</v>
      </c>
      <c r="O121" s="14" t="n">
        <v>2738.68</v>
      </c>
      <c r="P121" s="21" t="n">
        <v>0.093</v>
      </c>
      <c r="Q121" s="6" t="n">
        <v>60</v>
      </c>
      <c r="R121" s="6" t="s">
        <v>161</v>
      </c>
      <c r="S121" s="21" t="n">
        <v>1</v>
      </c>
      <c r="T121" s="14" t="n">
        <v>22584.22</v>
      </c>
      <c r="U121" s="6" t="s">
        <v>35</v>
      </c>
    </row>
    <row r="122" customFormat="false" ht="15" hidden="false" customHeight="true" outlineLevel="0" collapsed="false">
      <c r="A122" s="6" t="s">
        <v>436</v>
      </c>
      <c r="B122" s="6" t="s">
        <v>437</v>
      </c>
      <c r="C122" s="6" t="s">
        <v>124</v>
      </c>
      <c r="D122" s="6" t="s">
        <v>243</v>
      </c>
      <c r="E122" s="6" t="s">
        <v>165</v>
      </c>
      <c r="F122" s="13" t="n">
        <v>45896</v>
      </c>
      <c r="G122" s="13" t="n">
        <v>45999</v>
      </c>
      <c r="H122" s="14" t="n">
        <v>70094.91</v>
      </c>
      <c r="I122" s="6" t="n">
        <v>2</v>
      </c>
      <c r="J122" s="6" t="n">
        <v>508</v>
      </c>
      <c r="K122" s="6" t="s">
        <v>160</v>
      </c>
      <c r="L122" s="14" t="n">
        <v>17736.21</v>
      </c>
      <c r="M122" s="22" t="n">
        <v>1.211</v>
      </c>
      <c r="N122" s="14" t="n">
        <v>21478.55</v>
      </c>
      <c r="O122" s="14" t="n">
        <v>3742.34</v>
      </c>
      <c r="P122" s="21" t="n">
        <v>0.089</v>
      </c>
      <c r="Q122" s="6" t="n">
        <v>103</v>
      </c>
      <c r="R122" s="6" t="s">
        <v>155</v>
      </c>
      <c r="S122" s="21" t="n">
        <v>0.88</v>
      </c>
      <c r="T122" s="14" t="n">
        <v>18901.12</v>
      </c>
      <c r="U122" s="6" t="s">
        <v>54</v>
      </c>
    </row>
    <row r="123" customFormat="false" ht="15" hidden="false" customHeight="true" outlineLevel="0" collapsed="false">
      <c r="A123" s="6" t="s">
        <v>438</v>
      </c>
      <c r="B123" s="6" t="s">
        <v>439</v>
      </c>
      <c r="C123" s="6" t="s">
        <v>120</v>
      </c>
      <c r="D123" s="6" t="s">
        <v>210</v>
      </c>
      <c r="E123" s="6" t="s">
        <v>165</v>
      </c>
      <c r="F123" s="13" t="n">
        <v>46110</v>
      </c>
      <c r="G123" s="13" t="n">
        <v>46198</v>
      </c>
      <c r="H123" s="14" t="n">
        <v>117172.41</v>
      </c>
      <c r="I123" s="6" t="n">
        <v>1</v>
      </c>
      <c r="J123" s="6" t="n">
        <v>601</v>
      </c>
      <c r="K123" s="6" t="s">
        <v>185</v>
      </c>
      <c r="L123" s="14" t="n">
        <v>36023.81</v>
      </c>
      <c r="M123" s="22" t="n">
        <v>1.253</v>
      </c>
      <c r="N123" s="14" t="n">
        <v>45137.83</v>
      </c>
      <c r="O123" s="14" t="n">
        <v>9114.02</v>
      </c>
      <c r="P123" s="21" t="n">
        <v>0.13</v>
      </c>
      <c r="Q123" s="6" t="n">
        <v>88</v>
      </c>
      <c r="R123" s="6" t="s">
        <v>309</v>
      </c>
      <c r="S123" s="21" t="n">
        <v>0.075</v>
      </c>
      <c r="T123" s="14" t="n">
        <v>3385.34</v>
      </c>
      <c r="U123" s="6" t="s">
        <v>61</v>
      </c>
    </row>
    <row r="124" customFormat="false" ht="15" hidden="false" customHeight="true" outlineLevel="0" collapsed="false">
      <c r="A124" s="6" t="s">
        <v>440</v>
      </c>
      <c r="B124" s="6" t="s">
        <v>441</v>
      </c>
      <c r="C124" s="6" t="s">
        <v>120</v>
      </c>
      <c r="D124" s="6" t="s">
        <v>158</v>
      </c>
      <c r="E124" s="6" t="s">
        <v>192</v>
      </c>
      <c r="F124" s="13" t="n">
        <v>45012</v>
      </c>
      <c r="G124" s="13" t="n">
        <v>45129</v>
      </c>
      <c r="H124" s="14" t="n">
        <v>198427.84</v>
      </c>
      <c r="I124" s="6" t="n">
        <v>0</v>
      </c>
      <c r="J124" s="6" t="n">
        <v>528</v>
      </c>
      <c r="K124" s="6" t="s">
        <v>185</v>
      </c>
      <c r="L124" s="14" t="n">
        <v>49942.04</v>
      </c>
      <c r="M124" s="22" t="n">
        <v>1.088</v>
      </c>
      <c r="N124" s="14" t="n">
        <v>54336.94</v>
      </c>
      <c r="O124" s="14" t="n">
        <v>4394.9</v>
      </c>
      <c r="P124" s="21" t="n">
        <v>0.07</v>
      </c>
      <c r="Q124" s="6" t="n">
        <v>117</v>
      </c>
      <c r="R124" s="6" t="s">
        <v>155</v>
      </c>
      <c r="S124" s="21" t="n">
        <v>0.837</v>
      </c>
      <c r="T124" s="14" t="n">
        <v>45480.02</v>
      </c>
      <c r="U124" s="6" t="s">
        <v>25</v>
      </c>
    </row>
    <row r="125" customFormat="false" ht="15" hidden="false" customHeight="true" outlineLevel="0" collapsed="false">
      <c r="A125" s="6" t="s">
        <v>442</v>
      </c>
      <c r="B125" s="6" t="s">
        <v>443</v>
      </c>
      <c r="C125" s="6" t="s">
        <v>128</v>
      </c>
      <c r="D125" s="6" t="s">
        <v>235</v>
      </c>
      <c r="E125" s="6" t="s">
        <v>326</v>
      </c>
      <c r="F125" s="13" t="n">
        <v>45904</v>
      </c>
      <c r="G125" s="13" t="n">
        <v>46068</v>
      </c>
      <c r="H125" s="14" t="n">
        <v>25700.99</v>
      </c>
      <c r="I125" s="6" t="n">
        <v>2</v>
      </c>
      <c r="J125" s="6" t="n">
        <v>580</v>
      </c>
      <c r="K125" s="6" t="s">
        <v>160</v>
      </c>
      <c r="L125" s="14" t="n">
        <v>8091.22</v>
      </c>
      <c r="M125" s="22" t="n">
        <v>1.169</v>
      </c>
      <c r="N125" s="14" t="n">
        <v>9458.64</v>
      </c>
      <c r="O125" s="14" t="n">
        <v>1367.42</v>
      </c>
      <c r="P125" s="21" t="n">
        <v>0.067</v>
      </c>
      <c r="Q125" s="6" t="n">
        <v>164</v>
      </c>
      <c r="R125" s="6" t="s">
        <v>155</v>
      </c>
      <c r="S125" s="21" t="n">
        <v>0.8</v>
      </c>
      <c r="T125" s="14" t="n">
        <v>7566.91</v>
      </c>
      <c r="U125" s="6" t="s">
        <v>55</v>
      </c>
    </row>
    <row r="126" customFormat="false" ht="15" hidden="false" customHeight="true" outlineLevel="0" collapsed="false">
      <c r="A126" s="6" t="s">
        <v>444</v>
      </c>
      <c r="B126" s="6" t="s">
        <v>445</v>
      </c>
      <c r="C126" s="6" t="s">
        <v>116</v>
      </c>
      <c r="D126" s="6" t="s">
        <v>222</v>
      </c>
      <c r="E126" s="6" t="s">
        <v>165</v>
      </c>
      <c r="F126" s="13" t="n">
        <v>44583</v>
      </c>
      <c r="G126" s="13" t="n">
        <v>44643</v>
      </c>
      <c r="H126" s="14" t="n">
        <v>62040.21</v>
      </c>
      <c r="I126" s="6" t="n">
        <v>2</v>
      </c>
      <c r="J126" s="6" t="n">
        <v>735</v>
      </c>
      <c r="K126" s="6" t="s">
        <v>160</v>
      </c>
      <c r="L126" s="14" t="n">
        <v>8292.38</v>
      </c>
      <c r="M126" s="22" t="n">
        <v>1.104</v>
      </c>
      <c r="N126" s="14" t="n">
        <v>9154.79</v>
      </c>
      <c r="O126" s="14" t="n">
        <v>862.41</v>
      </c>
      <c r="P126" s="21" t="n">
        <v>0.097</v>
      </c>
      <c r="Q126" s="6" t="n">
        <v>60</v>
      </c>
      <c r="R126" s="6" t="s">
        <v>161</v>
      </c>
      <c r="S126" s="21" t="n">
        <v>1</v>
      </c>
      <c r="T126" s="14" t="n">
        <v>9154.79</v>
      </c>
      <c r="U126" s="6" t="s">
        <v>11</v>
      </c>
    </row>
    <row r="127" customFormat="false" ht="15" hidden="false" customHeight="true" outlineLevel="0" collapsed="false">
      <c r="A127" s="6" t="s">
        <v>446</v>
      </c>
      <c r="B127" s="6" t="s">
        <v>447</v>
      </c>
      <c r="C127" s="6" t="s">
        <v>124</v>
      </c>
      <c r="D127" s="6" t="s">
        <v>238</v>
      </c>
      <c r="E127" s="6" t="s">
        <v>219</v>
      </c>
      <c r="F127" s="13" t="n">
        <v>45890</v>
      </c>
      <c r="G127" s="13" t="n">
        <v>46081</v>
      </c>
      <c r="H127" s="14" t="n">
        <v>71974.42</v>
      </c>
      <c r="I127" s="6" t="n">
        <v>0</v>
      </c>
      <c r="J127" s="6" t="n">
        <v>714</v>
      </c>
      <c r="K127" s="6" t="s">
        <v>160</v>
      </c>
      <c r="L127" s="14" t="n">
        <v>19185.38</v>
      </c>
      <c r="M127" s="22" t="n">
        <v>1.318</v>
      </c>
      <c r="N127" s="14" t="n">
        <v>25286.33</v>
      </c>
      <c r="O127" s="14" t="n">
        <v>6100.95</v>
      </c>
      <c r="P127" s="21" t="n">
        <v>0.055</v>
      </c>
      <c r="Q127" s="6" t="n">
        <v>191</v>
      </c>
      <c r="R127" s="6" t="s">
        <v>161</v>
      </c>
      <c r="S127" s="21" t="n">
        <v>1</v>
      </c>
      <c r="T127" s="14" t="n">
        <v>25286.33</v>
      </c>
      <c r="U127" s="6" t="s">
        <v>54</v>
      </c>
    </row>
    <row r="128" customFormat="false" ht="15" hidden="false" customHeight="true" outlineLevel="0" collapsed="false">
      <c r="A128" s="6" t="s">
        <v>448</v>
      </c>
      <c r="B128" s="6" t="s">
        <v>449</v>
      </c>
      <c r="C128" s="6" t="s">
        <v>120</v>
      </c>
      <c r="D128" s="6" t="s">
        <v>218</v>
      </c>
      <c r="E128" s="6" t="s">
        <v>169</v>
      </c>
      <c r="F128" s="13" t="n">
        <v>45005</v>
      </c>
      <c r="G128" s="13" t="n">
        <v>45098</v>
      </c>
      <c r="H128" s="14" t="n">
        <v>239893.68</v>
      </c>
      <c r="I128" s="6" t="n">
        <v>1</v>
      </c>
      <c r="J128" s="6" t="n">
        <v>680</v>
      </c>
      <c r="K128" s="6" t="s">
        <v>154</v>
      </c>
      <c r="L128" s="14" t="n">
        <v>99650.89</v>
      </c>
      <c r="M128" s="22" t="n">
        <v>1.302</v>
      </c>
      <c r="N128" s="14" t="n">
        <v>129745.46</v>
      </c>
      <c r="O128" s="14" t="n">
        <v>30094.57</v>
      </c>
      <c r="P128" s="21" t="n">
        <v>0.173</v>
      </c>
      <c r="Q128" s="6" t="n">
        <v>93</v>
      </c>
      <c r="R128" s="6" t="s">
        <v>161</v>
      </c>
      <c r="S128" s="21" t="n">
        <v>1</v>
      </c>
      <c r="T128" s="14" t="n">
        <v>129745.46</v>
      </c>
      <c r="U128" s="6" t="s">
        <v>25</v>
      </c>
    </row>
    <row r="129" customFormat="false" ht="15" hidden="false" customHeight="true" outlineLevel="0" collapsed="false">
      <c r="A129" s="6" t="s">
        <v>450</v>
      </c>
      <c r="B129" s="6" t="s">
        <v>451</v>
      </c>
      <c r="C129" s="6" t="s">
        <v>128</v>
      </c>
      <c r="D129" s="6" t="s">
        <v>401</v>
      </c>
      <c r="E129" s="6" t="s">
        <v>304</v>
      </c>
      <c r="F129" s="13" t="n">
        <v>46148</v>
      </c>
      <c r="G129" s="13" t="n">
        <v>46208</v>
      </c>
      <c r="H129" s="14" t="n">
        <v>220416.14</v>
      </c>
      <c r="I129" s="6" t="n">
        <v>1</v>
      </c>
      <c r="J129" s="6" t="n">
        <v>741</v>
      </c>
      <c r="K129" s="6" t="s">
        <v>154</v>
      </c>
      <c r="L129" s="14" t="n">
        <v>41293</v>
      </c>
      <c r="M129" s="22" t="n">
        <v>1.243</v>
      </c>
      <c r="N129" s="14" t="n">
        <v>51327.2</v>
      </c>
      <c r="O129" s="14" t="n">
        <v>10034.2</v>
      </c>
      <c r="P129" s="21" t="n">
        <v>0.158</v>
      </c>
      <c r="Q129" s="6" t="n">
        <v>60</v>
      </c>
      <c r="R129" s="6" t="s">
        <v>161</v>
      </c>
      <c r="S129" s="21" t="n">
        <v>1</v>
      </c>
      <c r="T129" s="14" t="n">
        <v>51327.2</v>
      </c>
      <c r="U129" s="6" t="s">
        <v>63</v>
      </c>
    </row>
    <row r="130" customFormat="false" ht="15" hidden="false" customHeight="true" outlineLevel="0" collapsed="false">
      <c r="A130" s="6" t="s">
        <v>452</v>
      </c>
      <c r="B130" s="6" t="s">
        <v>453</v>
      </c>
      <c r="C130" s="6" t="s">
        <v>128</v>
      </c>
      <c r="D130" s="6" t="s">
        <v>172</v>
      </c>
      <c r="E130" s="6" t="s">
        <v>181</v>
      </c>
      <c r="F130" s="13" t="n">
        <v>46014</v>
      </c>
      <c r="G130" s="13" t="n">
        <v>46119</v>
      </c>
      <c r="H130" s="14" t="n">
        <v>40399.71</v>
      </c>
      <c r="I130" s="6" t="n">
        <v>1</v>
      </c>
      <c r="J130" s="6" t="n">
        <v>574</v>
      </c>
      <c r="K130" s="6" t="s">
        <v>154</v>
      </c>
      <c r="L130" s="14" t="n">
        <v>8937.4</v>
      </c>
      <c r="M130" s="22" t="n">
        <v>1.19</v>
      </c>
      <c r="N130" s="14" t="n">
        <v>10635.51</v>
      </c>
      <c r="O130" s="14" t="n">
        <v>1698.11</v>
      </c>
      <c r="P130" s="21" t="n">
        <v>0.075</v>
      </c>
      <c r="Q130" s="6" t="n">
        <v>105</v>
      </c>
      <c r="R130" s="6" t="s">
        <v>309</v>
      </c>
      <c r="S130" s="21" t="n">
        <v>0.054</v>
      </c>
      <c r="T130" s="14" t="n">
        <v>574.32</v>
      </c>
      <c r="U130" s="6" t="s">
        <v>58</v>
      </c>
    </row>
    <row r="131" customFormat="false" ht="15" hidden="false" customHeight="true" outlineLevel="0" collapsed="false">
      <c r="A131" s="6" t="s">
        <v>454</v>
      </c>
      <c r="B131" s="6" t="s">
        <v>455</v>
      </c>
      <c r="C131" s="6" t="s">
        <v>128</v>
      </c>
      <c r="D131" s="6" t="s">
        <v>172</v>
      </c>
      <c r="E131" s="6" t="s">
        <v>165</v>
      </c>
      <c r="F131" s="13" t="n">
        <v>45659</v>
      </c>
      <c r="G131" s="13" t="n">
        <v>45719</v>
      </c>
      <c r="H131" s="14" t="n">
        <v>166400.16</v>
      </c>
      <c r="I131" s="6" t="n">
        <v>2</v>
      </c>
      <c r="J131" s="6" t="n">
        <v>601</v>
      </c>
      <c r="K131" s="6" t="s">
        <v>160</v>
      </c>
      <c r="L131" s="14" t="n">
        <v>19878.97</v>
      </c>
      <c r="M131" s="22" t="n">
        <v>1.238</v>
      </c>
      <c r="N131" s="14" t="n">
        <v>24610.16</v>
      </c>
      <c r="O131" s="14" t="n">
        <v>4731.19</v>
      </c>
      <c r="P131" s="21" t="n">
        <v>0.084</v>
      </c>
      <c r="Q131" s="6" t="n">
        <v>60</v>
      </c>
      <c r="R131" s="6" t="s">
        <v>161</v>
      </c>
      <c r="S131" s="21" t="n">
        <v>1</v>
      </c>
      <c r="T131" s="14" t="n">
        <v>24610.16</v>
      </c>
      <c r="U131" s="6" t="s">
        <v>47</v>
      </c>
    </row>
    <row r="132" customFormat="false" ht="15" hidden="false" customHeight="true" outlineLevel="0" collapsed="false">
      <c r="A132" s="6" t="s">
        <v>456</v>
      </c>
      <c r="B132" s="6" t="s">
        <v>457</v>
      </c>
      <c r="C132" s="6" t="s">
        <v>120</v>
      </c>
      <c r="D132" s="6" t="s">
        <v>263</v>
      </c>
      <c r="E132" s="6" t="s">
        <v>165</v>
      </c>
      <c r="F132" s="13" t="n">
        <v>45382</v>
      </c>
      <c r="G132" s="13" t="n">
        <v>45493</v>
      </c>
      <c r="H132" s="14" t="n">
        <v>186059.35</v>
      </c>
      <c r="I132" s="6" t="n">
        <v>3</v>
      </c>
      <c r="J132" s="6" t="n">
        <v>711</v>
      </c>
      <c r="K132" s="6" t="s">
        <v>160</v>
      </c>
      <c r="L132" s="14" t="n">
        <v>48124.68</v>
      </c>
      <c r="M132" s="22" t="n">
        <v>1.124</v>
      </c>
      <c r="N132" s="14" t="n">
        <v>54092.14</v>
      </c>
      <c r="O132" s="14" t="n">
        <v>5967.46</v>
      </c>
      <c r="P132" s="21" t="n">
        <v>0.078</v>
      </c>
      <c r="Q132" s="6" t="n">
        <v>111</v>
      </c>
      <c r="R132" s="6" t="s">
        <v>155</v>
      </c>
      <c r="S132" s="21" t="n">
        <v>0.98</v>
      </c>
      <c r="T132" s="14" t="n">
        <v>53010.3</v>
      </c>
      <c r="U132" s="6" t="s">
        <v>37</v>
      </c>
    </row>
    <row r="133" customFormat="false" ht="15" hidden="false" customHeight="true" outlineLevel="0" collapsed="false">
      <c r="A133" s="6" t="s">
        <v>458</v>
      </c>
      <c r="B133" s="6" t="s">
        <v>459</v>
      </c>
      <c r="C133" s="6" t="s">
        <v>128</v>
      </c>
      <c r="D133" s="6" t="s">
        <v>401</v>
      </c>
      <c r="E133" s="6" t="s">
        <v>169</v>
      </c>
      <c r="F133" s="13" t="n">
        <v>46158</v>
      </c>
      <c r="G133" s="13" t="n">
        <v>46218</v>
      </c>
      <c r="H133" s="14" t="n">
        <v>177024.84</v>
      </c>
      <c r="I133" s="6" t="n">
        <v>1</v>
      </c>
      <c r="J133" s="6" t="n">
        <v>716</v>
      </c>
      <c r="K133" s="6" t="s">
        <v>160</v>
      </c>
      <c r="L133" s="14" t="n">
        <v>20483.28</v>
      </c>
      <c r="M133" s="22" t="n">
        <v>1.123</v>
      </c>
      <c r="N133" s="14" t="n">
        <v>23002.72</v>
      </c>
      <c r="O133" s="14" t="n">
        <v>2519.44</v>
      </c>
      <c r="P133" s="21" t="n">
        <v>0.18</v>
      </c>
      <c r="Q133" s="6" t="n">
        <v>60</v>
      </c>
      <c r="R133" s="6" t="s">
        <v>161</v>
      </c>
      <c r="S133" s="21" t="n">
        <v>1</v>
      </c>
      <c r="T133" s="14" t="n">
        <v>23002.72</v>
      </c>
      <c r="U133" s="6" t="s">
        <v>63</v>
      </c>
    </row>
    <row r="134" customFormat="false" ht="15" hidden="false" customHeight="true" outlineLevel="0" collapsed="false">
      <c r="A134" s="6" t="s">
        <v>460</v>
      </c>
      <c r="B134" s="6" t="s">
        <v>461</v>
      </c>
      <c r="C134" s="6" t="s">
        <v>116</v>
      </c>
      <c r="D134" s="6" t="s">
        <v>206</v>
      </c>
      <c r="E134" s="6" t="s">
        <v>299</v>
      </c>
      <c r="F134" s="13" t="n">
        <v>44801</v>
      </c>
      <c r="G134" s="13" t="n">
        <v>44863</v>
      </c>
      <c r="H134" s="14" t="n">
        <v>118051.68</v>
      </c>
      <c r="I134" s="6" t="n">
        <v>1</v>
      </c>
      <c r="J134" s="6" t="n">
        <v>501</v>
      </c>
      <c r="K134" s="6" t="s">
        <v>160</v>
      </c>
      <c r="L134" s="14" t="n">
        <v>19607.84</v>
      </c>
      <c r="M134" s="22" t="n">
        <v>1.1</v>
      </c>
      <c r="N134" s="14" t="n">
        <v>21568.62</v>
      </c>
      <c r="O134" s="14" t="n">
        <v>1960.78</v>
      </c>
      <c r="P134" s="21" t="n">
        <v>0.088</v>
      </c>
      <c r="Q134" s="6" t="n">
        <v>62</v>
      </c>
      <c r="R134" s="6" t="s">
        <v>155</v>
      </c>
      <c r="S134" s="21" t="n">
        <v>0.98</v>
      </c>
      <c r="T134" s="14" t="n">
        <v>21137.25</v>
      </c>
      <c r="U134" s="6" t="s">
        <v>18</v>
      </c>
    </row>
    <row r="135" customFormat="false" ht="15" hidden="false" customHeight="true" outlineLevel="0" collapsed="false">
      <c r="A135" s="6" t="s">
        <v>462</v>
      </c>
      <c r="B135" s="6" t="s">
        <v>463</v>
      </c>
      <c r="C135" s="6" t="s">
        <v>131</v>
      </c>
      <c r="D135" s="6" t="s">
        <v>152</v>
      </c>
      <c r="E135" s="6" t="s">
        <v>159</v>
      </c>
      <c r="F135" s="13" t="n">
        <v>46095</v>
      </c>
      <c r="G135" s="13" t="n">
        <v>46185</v>
      </c>
      <c r="H135" s="14" t="n">
        <v>201639.06</v>
      </c>
      <c r="I135" s="6" t="n">
        <v>1</v>
      </c>
      <c r="J135" s="6" t="n">
        <v>613</v>
      </c>
      <c r="K135" s="6" t="s">
        <v>154</v>
      </c>
      <c r="L135" s="14" t="n">
        <v>53435.62</v>
      </c>
      <c r="M135" s="22" t="n">
        <v>1.158</v>
      </c>
      <c r="N135" s="14" t="n">
        <v>61878.45</v>
      </c>
      <c r="O135" s="14" t="n">
        <v>8442.83</v>
      </c>
      <c r="P135" s="21" t="n">
        <v>0.102</v>
      </c>
      <c r="Q135" s="6" t="n">
        <v>90</v>
      </c>
      <c r="R135" s="6" t="s">
        <v>155</v>
      </c>
      <c r="S135" s="21" t="n">
        <v>0.727</v>
      </c>
      <c r="T135" s="14" t="n">
        <v>44985.63</v>
      </c>
      <c r="U135" s="6" t="s">
        <v>61</v>
      </c>
    </row>
    <row r="136" customFormat="false" ht="15" hidden="false" customHeight="true" outlineLevel="0" collapsed="false">
      <c r="A136" s="6" t="s">
        <v>464</v>
      </c>
      <c r="B136" s="6" t="s">
        <v>465</v>
      </c>
      <c r="C136" s="6" t="s">
        <v>128</v>
      </c>
      <c r="D136" s="6" t="s">
        <v>172</v>
      </c>
      <c r="E136" s="6" t="s">
        <v>211</v>
      </c>
      <c r="F136" s="13" t="n">
        <v>45016</v>
      </c>
      <c r="G136" s="13" t="n">
        <v>45162</v>
      </c>
      <c r="H136" s="14" t="n">
        <v>97829.56</v>
      </c>
      <c r="I136" s="6" t="n">
        <v>0</v>
      </c>
      <c r="J136" s="6" t="n">
        <v>787</v>
      </c>
      <c r="K136" s="6" t="s">
        <v>160</v>
      </c>
      <c r="L136" s="14" t="n">
        <v>30958.62</v>
      </c>
      <c r="M136" s="22" t="n">
        <v>1.327</v>
      </c>
      <c r="N136" s="14" t="n">
        <v>41082.09</v>
      </c>
      <c r="O136" s="14" t="n">
        <v>10123.47</v>
      </c>
      <c r="P136" s="21" t="n">
        <v>0.086</v>
      </c>
      <c r="Q136" s="6" t="n">
        <v>146</v>
      </c>
      <c r="R136" s="6" t="s">
        <v>309</v>
      </c>
      <c r="S136" s="21" t="n">
        <v>0.121</v>
      </c>
      <c r="T136" s="14" t="n">
        <v>4970.93</v>
      </c>
      <c r="U136" s="6" t="s">
        <v>25</v>
      </c>
    </row>
    <row r="137" customFormat="false" ht="15" hidden="false" customHeight="true" outlineLevel="0" collapsed="false">
      <c r="A137" s="6" t="s">
        <v>466</v>
      </c>
      <c r="B137" s="6" t="s">
        <v>467</v>
      </c>
      <c r="C137" s="6" t="s">
        <v>112</v>
      </c>
      <c r="D137" s="6" t="s">
        <v>164</v>
      </c>
      <c r="E137" s="6" t="s">
        <v>165</v>
      </c>
      <c r="F137" s="13" t="n">
        <v>44993</v>
      </c>
      <c r="G137" s="13" t="n">
        <v>45213</v>
      </c>
      <c r="H137" s="14" t="n">
        <v>216216.83</v>
      </c>
      <c r="I137" s="6" t="n">
        <v>2</v>
      </c>
      <c r="J137" s="6" t="n">
        <v>646</v>
      </c>
      <c r="K137" s="6" t="s">
        <v>154</v>
      </c>
      <c r="L137" s="14" t="n">
        <v>65146.02</v>
      </c>
      <c r="M137" s="22" t="n">
        <v>1.266</v>
      </c>
      <c r="N137" s="14" t="n">
        <v>82474.86</v>
      </c>
      <c r="O137" s="14" t="n">
        <v>17328.84</v>
      </c>
      <c r="P137" s="21" t="n">
        <v>0.052</v>
      </c>
      <c r="Q137" s="6" t="n">
        <v>220</v>
      </c>
      <c r="R137" s="6" t="s">
        <v>161</v>
      </c>
      <c r="S137" s="21" t="n">
        <v>1</v>
      </c>
      <c r="T137" s="14" t="n">
        <v>82474.86</v>
      </c>
      <c r="U137" s="6" t="s">
        <v>25</v>
      </c>
    </row>
    <row r="138" customFormat="false" ht="15" hidden="false" customHeight="true" outlineLevel="0" collapsed="false">
      <c r="A138" s="6" t="s">
        <v>468</v>
      </c>
      <c r="B138" s="6" t="s">
        <v>469</v>
      </c>
      <c r="C138" s="6" t="s">
        <v>112</v>
      </c>
      <c r="D138" s="6" t="s">
        <v>225</v>
      </c>
      <c r="E138" s="6" t="s">
        <v>304</v>
      </c>
      <c r="F138" s="13" t="n">
        <v>45089</v>
      </c>
      <c r="G138" s="13" t="n">
        <v>45149</v>
      </c>
      <c r="H138" s="14" t="n">
        <v>60143.09</v>
      </c>
      <c r="I138" s="6" t="n">
        <v>0</v>
      </c>
      <c r="J138" s="6" t="n">
        <v>768</v>
      </c>
      <c r="K138" s="6" t="s">
        <v>154</v>
      </c>
      <c r="L138" s="14" t="n">
        <v>12531.58</v>
      </c>
      <c r="M138" s="22" t="n">
        <v>1.177</v>
      </c>
      <c r="N138" s="14" t="n">
        <v>14749.67</v>
      </c>
      <c r="O138" s="14" t="n">
        <v>2218.09</v>
      </c>
      <c r="P138" s="21" t="n">
        <v>0.123</v>
      </c>
      <c r="Q138" s="6" t="n">
        <v>60</v>
      </c>
      <c r="R138" s="6" t="s">
        <v>161</v>
      </c>
      <c r="S138" s="21" t="n">
        <v>1</v>
      </c>
      <c r="T138" s="14" t="n">
        <v>14749.67</v>
      </c>
      <c r="U138" s="6" t="s">
        <v>28</v>
      </c>
    </row>
    <row r="139" customFormat="false" ht="15" hidden="false" customHeight="true" outlineLevel="0" collapsed="false">
      <c r="A139" s="6" t="s">
        <v>470</v>
      </c>
      <c r="B139" s="6" t="s">
        <v>471</v>
      </c>
      <c r="C139" s="6" t="s">
        <v>124</v>
      </c>
      <c r="D139" s="6" t="s">
        <v>243</v>
      </c>
      <c r="E139" s="6" t="s">
        <v>165</v>
      </c>
      <c r="F139" s="13" t="n">
        <v>45390</v>
      </c>
      <c r="G139" s="13" t="n">
        <v>45491</v>
      </c>
      <c r="H139" s="14" t="n">
        <v>156506.63</v>
      </c>
      <c r="I139" s="6" t="n">
        <v>1</v>
      </c>
      <c r="J139" s="6" t="n">
        <v>806</v>
      </c>
      <c r="K139" s="6" t="s">
        <v>160</v>
      </c>
      <c r="L139" s="14" t="n">
        <v>57404.52</v>
      </c>
      <c r="M139" s="22" t="n">
        <v>1.194</v>
      </c>
      <c r="N139" s="14" t="n">
        <v>68541</v>
      </c>
      <c r="O139" s="14" t="n">
        <v>11136.48</v>
      </c>
      <c r="P139" s="21" t="n">
        <v>0.13</v>
      </c>
      <c r="Q139" s="6" t="n">
        <v>101</v>
      </c>
      <c r="R139" s="6" t="s">
        <v>155</v>
      </c>
      <c r="S139" s="21" t="n">
        <v>0.725</v>
      </c>
      <c r="T139" s="14" t="n">
        <v>49692.22</v>
      </c>
      <c r="U139" s="6" t="s">
        <v>38</v>
      </c>
    </row>
    <row r="140" customFormat="false" ht="15" hidden="false" customHeight="true" outlineLevel="0" collapsed="false">
      <c r="A140" s="6" t="s">
        <v>472</v>
      </c>
      <c r="B140" s="6" t="s">
        <v>473</v>
      </c>
      <c r="C140" s="6" t="s">
        <v>112</v>
      </c>
      <c r="D140" s="6" t="s">
        <v>172</v>
      </c>
      <c r="E140" s="6" t="s">
        <v>207</v>
      </c>
      <c r="F140" s="13" t="n">
        <v>44830</v>
      </c>
      <c r="G140" s="13" t="n">
        <v>44890</v>
      </c>
      <c r="H140" s="14" t="n">
        <v>157580.73</v>
      </c>
      <c r="I140" s="6" t="n">
        <v>0</v>
      </c>
      <c r="J140" s="6" t="n">
        <v>798</v>
      </c>
      <c r="K140" s="6" t="s">
        <v>185</v>
      </c>
      <c r="L140" s="14" t="n">
        <v>25078</v>
      </c>
      <c r="M140" s="22" t="n">
        <v>1.157</v>
      </c>
      <c r="N140" s="14" t="n">
        <v>29015.25</v>
      </c>
      <c r="O140" s="14" t="n">
        <v>3937.25</v>
      </c>
      <c r="P140" s="21" t="n">
        <v>0.131</v>
      </c>
      <c r="Q140" s="6" t="n">
        <v>60</v>
      </c>
      <c r="R140" s="6" t="s">
        <v>161</v>
      </c>
      <c r="S140" s="21" t="n">
        <v>1</v>
      </c>
      <c r="T140" s="14" t="n">
        <v>29015.25</v>
      </c>
      <c r="U140" s="6" t="s">
        <v>19</v>
      </c>
    </row>
    <row r="141" customFormat="false" ht="15" hidden="false" customHeight="true" outlineLevel="0" collapsed="false">
      <c r="A141" s="6" t="s">
        <v>474</v>
      </c>
      <c r="B141" s="6" t="s">
        <v>475</v>
      </c>
      <c r="C141" s="6" t="s">
        <v>131</v>
      </c>
      <c r="D141" s="6" t="s">
        <v>176</v>
      </c>
      <c r="E141" s="6" t="s">
        <v>288</v>
      </c>
      <c r="F141" s="13" t="n">
        <v>45667</v>
      </c>
      <c r="G141" s="13" t="n">
        <v>45768</v>
      </c>
      <c r="H141" s="14" t="n">
        <v>150981.08</v>
      </c>
      <c r="I141" s="6" t="n">
        <v>1</v>
      </c>
      <c r="J141" s="6" t="n">
        <v>740</v>
      </c>
      <c r="K141" s="6" t="s">
        <v>185</v>
      </c>
      <c r="L141" s="14" t="n">
        <v>41693.72</v>
      </c>
      <c r="M141" s="22" t="n">
        <v>1.164</v>
      </c>
      <c r="N141" s="14" t="n">
        <v>48531.49</v>
      </c>
      <c r="O141" s="14" t="n">
        <v>6837.77</v>
      </c>
      <c r="P141" s="21" t="n">
        <v>0.095</v>
      </c>
      <c r="Q141" s="6" t="n">
        <v>101</v>
      </c>
      <c r="R141" s="6" t="s">
        <v>155</v>
      </c>
      <c r="S141" s="21" t="n">
        <v>0.731</v>
      </c>
      <c r="T141" s="14" t="n">
        <v>35476.52</v>
      </c>
      <c r="U141" s="6" t="s">
        <v>47</v>
      </c>
    </row>
    <row r="142" customFormat="false" ht="15" hidden="false" customHeight="true" outlineLevel="0" collapsed="false">
      <c r="A142" s="6" t="s">
        <v>476</v>
      </c>
      <c r="B142" s="6" t="s">
        <v>477</v>
      </c>
      <c r="C142" s="6" t="s">
        <v>131</v>
      </c>
      <c r="D142" s="6" t="s">
        <v>152</v>
      </c>
      <c r="E142" s="6" t="s">
        <v>169</v>
      </c>
      <c r="F142" s="13" t="n">
        <v>44702</v>
      </c>
      <c r="G142" s="13" t="n">
        <v>44779</v>
      </c>
      <c r="H142" s="14" t="n">
        <v>193018.27</v>
      </c>
      <c r="I142" s="6" t="n">
        <v>4</v>
      </c>
      <c r="J142" s="6" t="n">
        <v>758</v>
      </c>
      <c r="K142" s="6" t="s">
        <v>160</v>
      </c>
      <c r="L142" s="14" t="n">
        <v>39967.62</v>
      </c>
      <c r="M142" s="22" t="n">
        <v>1.298</v>
      </c>
      <c r="N142" s="14" t="n">
        <v>51877.97</v>
      </c>
      <c r="O142" s="14" t="n">
        <v>11910.35</v>
      </c>
      <c r="P142" s="21" t="n">
        <v>0.104</v>
      </c>
      <c r="Q142" s="6" t="n">
        <v>77</v>
      </c>
      <c r="R142" s="6" t="s">
        <v>155</v>
      </c>
      <c r="S142" s="21" t="n">
        <v>0.801</v>
      </c>
      <c r="T142" s="14" t="n">
        <v>41554.25</v>
      </c>
      <c r="U142" s="6" t="s">
        <v>15</v>
      </c>
    </row>
    <row r="143" customFormat="false" ht="15" hidden="false" customHeight="true" outlineLevel="0" collapsed="false">
      <c r="A143" s="6" t="s">
        <v>478</v>
      </c>
      <c r="B143" s="6" t="s">
        <v>479</v>
      </c>
      <c r="C143" s="6" t="s">
        <v>112</v>
      </c>
      <c r="D143" s="6" t="s">
        <v>164</v>
      </c>
      <c r="E143" s="6" t="s">
        <v>219</v>
      </c>
      <c r="F143" s="13" t="n">
        <v>45343</v>
      </c>
      <c r="G143" s="13" t="n">
        <v>45403</v>
      </c>
      <c r="H143" s="14" t="n">
        <v>212138.2</v>
      </c>
      <c r="I143" s="6" t="n">
        <v>4</v>
      </c>
      <c r="J143" s="6" t="n">
        <v>518</v>
      </c>
      <c r="K143" s="6" t="s">
        <v>185</v>
      </c>
      <c r="L143" s="14" t="n">
        <v>23778.65</v>
      </c>
      <c r="M143" s="22" t="n">
        <v>1.132</v>
      </c>
      <c r="N143" s="14" t="n">
        <v>26917.43</v>
      </c>
      <c r="O143" s="14" t="n">
        <v>3138.78</v>
      </c>
      <c r="P143" s="21" t="n">
        <v>0.159</v>
      </c>
      <c r="Q143" s="6" t="n">
        <v>60</v>
      </c>
      <c r="R143" s="6" t="s">
        <v>155</v>
      </c>
      <c r="S143" s="21" t="n">
        <v>0.743</v>
      </c>
      <c r="T143" s="14" t="n">
        <v>19999.65</v>
      </c>
      <c r="U143" s="6" t="s">
        <v>36</v>
      </c>
    </row>
    <row r="144" customFormat="false" ht="15" hidden="false" customHeight="true" outlineLevel="0" collapsed="false">
      <c r="A144" s="6" t="s">
        <v>480</v>
      </c>
      <c r="B144" s="6" t="s">
        <v>481</v>
      </c>
      <c r="C144" s="6" t="s">
        <v>112</v>
      </c>
      <c r="D144" s="6" t="s">
        <v>172</v>
      </c>
      <c r="E144" s="6" t="s">
        <v>207</v>
      </c>
      <c r="F144" s="13" t="n">
        <v>45226</v>
      </c>
      <c r="G144" s="13" t="n">
        <v>45301</v>
      </c>
      <c r="H144" s="14" t="n">
        <v>124457.56</v>
      </c>
      <c r="I144" s="6" t="n">
        <v>0</v>
      </c>
      <c r="J144" s="6" t="n">
        <v>615</v>
      </c>
      <c r="K144" s="6" t="s">
        <v>154</v>
      </c>
      <c r="L144" s="14" t="n">
        <v>37125.2</v>
      </c>
      <c r="M144" s="22" t="n">
        <v>1.11</v>
      </c>
      <c r="N144" s="14" t="n">
        <v>41208.97</v>
      </c>
      <c r="O144" s="14" t="n">
        <v>4083.77</v>
      </c>
      <c r="P144" s="21" t="n">
        <v>0.132</v>
      </c>
      <c r="Q144" s="6" t="n">
        <v>75</v>
      </c>
      <c r="R144" s="6" t="s">
        <v>155</v>
      </c>
      <c r="S144" s="21" t="n">
        <v>0.978</v>
      </c>
      <c r="T144" s="14" t="n">
        <v>40302.37</v>
      </c>
      <c r="U144" s="6" t="s">
        <v>32</v>
      </c>
    </row>
    <row r="145" customFormat="false" ht="15" hidden="false" customHeight="true" outlineLevel="0" collapsed="false">
      <c r="A145" s="6" t="s">
        <v>482</v>
      </c>
      <c r="B145" s="6" t="s">
        <v>483</v>
      </c>
      <c r="C145" s="6" t="s">
        <v>112</v>
      </c>
      <c r="D145" s="6" t="s">
        <v>225</v>
      </c>
      <c r="E145" s="6" t="s">
        <v>211</v>
      </c>
      <c r="F145" s="13" t="n">
        <v>45295</v>
      </c>
      <c r="G145" s="13" t="n">
        <v>45374</v>
      </c>
      <c r="H145" s="14" t="n">
        <v>64307.26</v>
      </c>
      <c r="I145" s="6" t="n">
        <v>5</v>
      </c>
      <c r="J145" s="6" t="n">
        <v>752</v>
      </c>
      <c r="K145" s="6" t="s">
        <v>160</v>
      </c>
      <c r="L145" s="14" t="n">
        <v>21179.87</v>
      </c>
      <c r="M145" s="22" t="n">
        <v>1.132</v>
      </c>
      <c r="N145" s="14" t="n">
        <v>23975.61</v>
      </c>
      <c r="O145" s="14" t="n">
        <v>2795.74</v>
      </c>
      <c r="P145" s="21" t="n">
        <v>0.14</v>
      </c>
      <c r="Q145" s="6" t="n">
        <v>79</v>
      </c>
      <c r="R145" s="6" t="s">
        <v>161</v>
      </c>
      <c r="S145" s="21" t="n">
        <v>1</v>
      </c>
      <c r="T145" s="14" t="n">
        <v>23975.61</v>
      </c>
      <c r="U145" s="6" t="s">
        <v>35</v>
      </c>
    </row>
    <row r="146" customFormat="false" ht="15" hidden="false" customHeight="true" outlineLevel="0" collapsed="false">
      <c r="A146" s="6" t="s">
        <v>484</v>
      </c>
      <c r="B146" s="6" t="s">
        <v>485</v>
      </c>
      <c r="C146" s="6" t="s">
        <v>128</v>
      </c>
      <c r="D146" s="6" t="s">
        <v>172</v>
      </c>
      <c r="E146" s="6" t="s">
        <v>184</v>
      </c>
      <c r="F146" s="13" t="n">
        <v>45831</v>
      </c>
      <c r="G146" s="13" t="n">
        <v>45908</v>
      </c>
      <c r="H146" s="14" t="n">
        <v>79552.78</v>
      </c>
      <c r="I146" s="6" t="n">
        <v>0</v>
      </c>
      <c r="J146" s="6" t="n">
        <v>617</v>
      </c>
      <c r="K146" s="6" t="s">
        <v>154</v>
      </c>
      <c r="L146" s="14" t="n">
        <v>26580.96</v>
      </c>
      <c r="M146" s="22" t="n">
        <v>1.278</v>
      </c>
      <c r="N146" s="14" t="n">
        <v>33970.47</v>
      </c>
      <c r="O146" s="14" t="n">
        <v>7389.51</v>
      </c>
      <c r="P146" s="21" t="n">
        <v>0.165</v>
      </c>
      <c r="Q146" s="6" t="n">
        <v>77</v>
      </c>
      <c r="R146" s="6" t="s">
        <v>155</v>
      </c>
      <c r="S146" s="21" t="n">
        <v>0.972</v>
      </c>
      <c r="T146" s="14" t="n">
        <v>33019.3</v>
      </c>
      <c r="U146" s="6" t="s">
        <v>52</v>
      </c>
    </row>
    <row r="147" customFormat="false" ht="15" hidden="false" customHeight="true" outlineLevel="0" collapsed="false">
      <c r="A147" s="6" t="s">
        <v>486</v>
      </c>
      <c r="B147" s="6" t="s">
        <v>487</v>
      </c>
      <c r="C147" s="6" t="s">
        <v>124</v>
      </c>
      <c r="D147" s="6" t="s">
        <v>168</v>
      </c>
      <c r="E147" s="6" t="s">
        <v>169</v>
      </c>
      <c r="F147" s="13" t="n">
        <v>45568</v>
      </c>
      <c r="G147" s="13" t="n">
        <v>45675</v>
      </c>
      <c r="H147" s="14" t="n">
        <v>159000.86</v>
      </c>
      <c r="I147" s="6" t="n">
        <v>1</v>
      </c>
      <c r="J147" s="6" t="n">
        <v>516</v>
      </c>
      <c r="K147" s="6" t="s">
        <v>160</v>
      </c>
      <c r="L147" s="14" t="n">
        <v>32908.69</v>
      </c>
      <c r="M147" s="22" t="n">
        <v>1.331</v>
      </c>
      <c r="N147" s="14" t="n">
        <v>43801.47</v>
      </c>
      <c r="O147" s="14" t="n">
        <v>10892.78</v>
      </c>
      <c r="P147" s="21" t="n">
        <v>0.077</v>
      </c>
      <c r="Q147" s="6" t="n">
        <v>107</v>
      </c>
      <c r="R147" s="6" t="s">
        <v>155</v>
      </c>
      <c r="S147" s="21" t="n">
        <v>0.98</v>
      </c>
      <c r="T147" s="14" t="n">
        <v>42925.44</v>
      </c>
      <c r="U147" s="6" t="s">
        <v>44</v>
      </c>
    </row>
    <row r="148" customFormat="false" ht="15" hidden="false" customHeight="true" outlineLevel="0" collapsed="false">
      <c r="A148" s="6" t="s">
        <v>488</v>
      </c>
      <c r="B148" s="6" t="s">
        <v>489</v>
      </c>
      <c r="C148" s="6" t="s">
        <v>124</v>
      </c>
      <c r="D148" s="6" t="s">
        <v>243</v>
      </c>
      <c r="E148" s="6" t="s">
        <v>288</v>
      </c>
      <c r="F148" s="13" t="n">
        <v>45688</v>
      </c>
      <c r="G148" s="13" t="n">
        <v>45753</v>
      </c>
      <c r="H148" s="14" t="n">
        <v>199775.71</v>
      </c>
      <c r="I148" s="6" t="n">
        <v>1</v>
      </c>
      <c r="J148" s="6" t="n">
        <v>662</v>
      </c>
      <c r="K148" s="6" t="s">
        <v>160</v>
      </c>
      <c r="L148" s="14" t="n">
        <v>54629.39</v>
      </c>
      <c r="M148" s="22" t="n">
        <v>1.332</v>
      </c>
      <c r="N148" s="14" t="n">
        <v>72766.35</v>
      </c>
      <c r="O148" s="14" t="n">
        <v>18136.96</v>
      </c>
      <c r="P148" s="21" t="n">
        <v>0.167</v>
      </c>
      <c r="Q148" s="6" t="n">
        <v>65</v>
      </c>
      <c r="R148" s="6" t="s">
        <v>490</v>
      </c>
      <c r="S148" s="21" t="n">
        <v>0.379</v>
      </c>
      <c r="T148" s="14" t="n">
        <v>27578.45</v>
      </c>
      <c r="U148" s="6" t="s">
        <v>47</v>
      </c>
    </row>
    <row r="149" customFormat="false" ht="15" hidden="false" customHeight="true" outlineLevel="0" collapsed="false">
      <c r="A149" s="6" t="s">
        <v>491</v>
      </c>
      <c r="B149" s="6" t="s">
        <v>492</v>
      </c>
      <c r="C149" s="6" t="s">
        <v>120</v>
      </c>
      <c r="D149" s="6" t="s">
        <v>158</v>
      </c>
      <c r="E149" s="6" t="s">
        <v>192</v>
      </c>
      <c r="F149" s="13" t="n">
        <v>44755</v>
      </c>
      <c r="G149" s="13" t="n">
        <v>44868</v>
      </c>
      <c r="H149" s="14" t="n">
        <v>246223.45</v>
      </c>
      <c r="I149" s="6" t="n">
        <v>0</v>
      </c>
      <c r="J149" s="6" t="n">
        <v>601</v>
      </c>
      <c r="K149" s="6" t="s">
        <v>160</v>
      </c>
      <c r="L149" s="14" t="n">
        <v>93558.39</v>
      </c>
      <c r="M149" s="22" t="n">
        <v>1.234</v>
      </c>
      <c r="N149" s="14" t="n">
        <v>115451.05</v>
      </c>
      <c r="O149" s="14" t="n">
        <v>21892.66</v>
      </c>
      <c r="P149" s="21" t="n">
        <v>0.124</v>
      </c>
      <c r="Q149" s="6" t="n">
        <v>113</v>
      </c>
      <c r="R149" s="6" t="s">
        <v>155</v>
      </c>
      <c r="S149" s="21" t="n">
        <v>0.824</v>
      </c>
      <c r="T149" s="14" t="n">
        <v>95131.67</v>
      </c>
      <c r="U149" s="6" t="s">
        <v>17</v>
      </c>
    </row>
    <row r="150" customFormat="false" ht="15" hidden="false" customHeight="true" outlineLevel="0" collapsed="false">
      <c r="A150" s="6" t="s">
        <v>493</v>
      </c>
      <c r="B150" s="6" t="s">
        <v>494</v>
      </c>
      <c r="C150" s="6" t="s">
        <v>128</v>
      </c>
      <c r="D150" s="6" t="s">
        <v>172</v>
      </c>
      <c r="E150" s="6" t="s">
        <v>165</v>
      </c>
      <c r="F150" s="13" t="n">
        <v>45366</v>
      </c>
      <c r="G150" s="13" t="n">
        <v>45426</v>
      </c>
      <c r="H150" s="14" t="n">
        <v>21098.96</v>
      </c>
      <c r="I150" s="6" t="n">
        <v>1</v>
      </c>
      <c r="J150" s="6" t="n">
        <v>602</v>
      </c>
      <c r="K150" s="6" t="s">
        <v>160</v>
      </c>
      <c r="L150" s="14" t="n">
        <v>4573.68</v>
      </c>
      <c r="M150" s="22" t="n">
        <v>1.121</v>
      </c>
      <c r="N150" s="14" t="n">
        <v>5127.1</v>
      </c>
      <c r="O150" s="14" t="n">
        <v>553.42</v>
      </c>
      <c r="P150" s="21" t="n">
        <v>0.138</v>
      </c>
      <c r="Q150" s="6" t="n">
        <v>60</v>
      </c>
      <c r="R150" s="6" t="s">
        <v>232</v>
      </c>
      <c r="S150" s="21" t="n">
        <v>1</v>
      </c>
      <c r="T150" s="14" t="n">
        <v>5127.1</v>
      </c>
      <c r="U150" s="6" t="s">
        <v>37</v>
      </c>
    </row>
    <row r="151" customFormat="false" ht="15" hidden="false" customHeight="true" outlineLevel="0" collapsed="false">
      <c r="A151" s="6" t="s">
        <v>495</v>
      </c>
      <c r="B151" s="6" t="s">
        <v>496</v>
      </c>
      <c r="C151" s="6" t="s">
        <v>116</v>
      </c>
      <c r="D151" s="6" t="s">
        <v>222</v>
      </c>
      <c r="E151" s="6" t="s">
        <v>326</v>
      </c>
      <c r="F151" s="13" t="n">
        <v>45741</v>
      </c>
      <c r="G151" s="13" t="n">
        <v>45801</v>
      </c>
      <c r="H151" s="14" t="n">
        <v>55942.26</v>
      </c>
      <c r="I151" s="6" t="n">
        <v>1</v>
      </c>
      <c r="J151" s="6" t="n">
        <v>683</v>
      </c>
      <c r="K151" s="6" t="s">
        <v>160</v>
      </c>
      <c r="L151" s="14" t="n">
        <v>8024.6</v>
      </c>
      <c r="M151" s="22" t="n">
        <v>1.196</v>
      </c>
      <c r="N151" s="14" t="n">
        <v>9597.42</v>
      </c>
      <c r="O151" s="14" t="n">
        <v>1572.82</v>
      </c>
      <c r="P151" s="21" t="n">
        <v>0.139</v>
      </c>
      <c r="Q151" s="6" t="n">
        <v>60</v>
      </c>
      <c r="R151" s="6" t="s">
        <v>155</v>
      </c>
      <c r="S151" s="21" t="n">
        <v>0.935</v>
      </c>
      <c r="T151" s="14" t="n">
        <v>8973.59</v>
      </c>
      <c r="U151" s="6" t="s">
        <v>49</v>
      </c>
    </row>
    <row r="152" customFormat="false" ht="15" hidden="false" customHeight="true" outlineLevel="0" collapsed="false">
      <c r="A152" s="6" t="s">
        <v>497</v>
      </c>
      <c r="B152" s="6" t="s">
        <v>498</v>
      </c>
      <c r="C152" s="6" t="s">
        <v>131</v>
      </c>
      <c r="D152" s="6" t="s">
        <v>152</v>
      </c>
      <c r="E152" s="6" t="s">
        <v>195</v>
      </c>
      <c r="F152" s="13" t="n">
        <v>44789</v>
      </c>
      <c r="G152" s="13" t="n">
        <v>44889</v>
      </c>
      <c r="H152" s="14" t="n">
        <v>186978.75</v>
      </c>
      <c r="I152" s="6" t="n">
        <v>0</v>
      </c>
      <c r="J152" s="6" t="n">
        <v>699</v>
      </c>
      <c r="K152" s="6" t="s">
        <v>160</v>
      </c>
      <c r="L152" s="14" t="n">
        <v>80819.55</v>
      </c>
      <c r="M152" s="22" t="n">
        <v>1.084</v>
      </c>
      <c r="N152" s="14" t="n">
        <v>87608.39</v>
      </c>
      <c r="O152" s="14" t="n">
        <v>6788.84</v>
      </c>
      <c r="P152" s="21" t="n">
        <v>0.14</v>
      </c>
      <c r="Q152" s="6" t="n">
        <v>100</v>
      </c>
      <c r="R152" s="6" t="s">
        <v>161</v>
      </c>
      <c r="S152" s="21" t="n">
        <v>1</v>
      </c>
      <c r="T152" s="14" t="n">
        <v>87608.39</v>
      </c>
      <c r="U152" s="6" t="s">
        <v>18</v>
      </c>
    </row>
    <row r="153" customFormat="false" ht="15" hidden="false" customHeight="true" outlineLevel="0" collapsed="false">
      <c r="A153" s="6" t="s">
        <v>499</v>
      </c>
      <c r="B153" s="6" t="s">
        <v>500</v>
      </c>
      <c r="C153" s="6" t="s">
        <v>131</v>
      </c>
      <c r="D153" s="6" t="s">
        <v>200</v>
      </c>
      <c r="E153" s="6" t="s">
        <v>177</v>
      </c>
      <c r="F153" s="13" t="n">
        <v>45208</v>
      </c>
      <c r="G153" s="13" t="n">
        <v>45305</v>
      </c>
      <c r="H153" s="14" t="n">
        <v>217156.31</v>
      </c>
      <c r="I153" s="6" t="n">
        <v>0</v>
      </c>
      <c r="J153" s="6" t="n">
        <v>778</v>
      </c>
      <c r="K153" s="6" t="s">
        <v>185</v>
      </c>
      <c r="L153" s="14" t="n">
        <v>32982.75</v>
      </c>
      <c r="M153" s="22" t="n">
        <v>1.344</v>
      </c>
      <c r="N153" s="14" t="n">
        <v>44328.82</v>
      </c>
      <c r="O153" s="14" t="n">
        <v>11346.07</v>
      </c>
      <c r="P153" s="21" t="n">
        <v>0.063</v>
      </c>
      <c r="Q153" s="6" t="n">
        <v>97</v>
      </c>
      <c r="R153" s="6" t="s">
        <v>161</v>
      </c>
      <c r="S153" s="21" t="n">
        <v>1</v>
      </c>
      <c r="T153" s="14" t="n">
        <v>44328.82</v>
      </c>
      <c r="U153" s="6" t="s">
        <v>32</v>
      </c>
    </row>
    <row r="154" customFormat="false" ht="15" hidden="false" customHeight="true" outlineLevel="0" collapsed="false">
      <c r="A154" s="6" t="s">
        <v>501</v>
      </c>
      <c r="B154" s="6" t="s">
        <v>502</v>
      </c>
      <c r="C154" s="6" t="s">
        <v>124</v>
      </c>
      <c r="D154" s="6" t="s">
        <v>243</v>
      </c>
      <c r="E154" s="6" t="s">
        <v>326</v>
      </c>
      <c r="F154" s="13" t="n">
        <v>45816</v>
      </c>
      <c r="G154" s="13" t="n">
        <v>45876</v>
      </c>
      <c r="H154" s="14" t="n">
        <v>237686.17</v>
      </c>
      <c r="I154" s="6" t="n">
        <v>0</v>
      </c>
      <c r="J154" s="6" t="n">
        <v>609</v>
      </c>
      <c r="K154" s="6" t="s">
        <v>185</v>
      </c>
      <c r="L154" s="14" t="n">
        <v>52698.45</v>
      </c>
      <c r="M154" s="22" t="n">
        <v>1.183</v>
      </c>
      <c r="N154" s="14" t="n">
        <v>62342.27</v>
      </c>
      <c r="O154" s="14" t="n">
        <v>9643.82</v>
      </c>
      <c r="P154" s="21" t="n">
        <v>0.175</v>
      </c>
      <c r="Q154" s="6" t="n">
        <v>60</v>
      </c>
      <c r="R154" s="6" t="s">
        <v>155</v>
      </c>
      <c r="S154" s="21" t="n">
        <v>0.94</v>
      </c>
      <c r="T154" s="14" t="n">
        <v>58601.73</v>
      </c>
      <c r="U154" s="6" t="s">
        <v>52</v>
      </c>
    </row>
    <row r="155" customFormat="false" ht="15" hidden="false" customHeight="true" outlineLevel="0" collapsed="false">
      <c r="A155" s="6" t="s">
        <v>503</v>
      </c>
      <c r="B155" s="6" t="s">
        <v>504</v>
      </c>
      <c r="C155" s="6" t="s">
        <v>124</v>
      </c>
      <c r="D155" s="6" t="s">
        <v>238</v>
      </c>
      <c r="E155" s="6" t="s">
        <v>189</v>
      </c>
      <c r="F155" s="13" t="n">
        <v>45214</v>
      </c>
      <c r="G155" s="13" t="n">
        <v>45325</v>
      </c>
      <c r="H155" s="14" t="n">
        <v>229941.13</v>
      </c>
      <c r="I155" s="6" t="n">
        <v>0</v>
      </c>
      <c r="J155" s="6" t="n">
        <v>678</v>
      </c>
      <c r="K155" s="6" t="s">
        <v>154</v>
      </c>
      <c r="L155" s="14" t="n">
        <v>41390.13</v>
      </c>
      <c r="M155" s="22" t="n">
        <v>1.119</v>
      </c>
      <c r="N155" s="14" t="n">
        <v>46315.56</v>
      </c>
      <c r="O155" s="14" t="n">
        <v>4925.43</v>
      </c>
      <c r="P155" s="21" t="n">
        <v>0.054</v>
      </c>
      <c r="Q155" s="6" t="n">
        <v>111</v>
      </c>
      <c r="R155" s="6" t="s">
        <v>155</v>
      </c>
      <c r="S155" s="21" t="n">
        <v>0.845</v>
      </c>
      <c r="T155" s="14" t="n">
        <v>39136.65</v>
      </c>
      <c r="U155" s="6" t="s">
        <v>32</v>
      </c>
    </row>
    <row r="156" customFormat="false" ht="15" hidden="false" customHeight="true" outlineLevel="0" collapsed="false">
      <c r="A156" s="6" t="s">
        <v>505</v>
      </c>
      <c r="B156" s="6" t="s">
        <v>506</v>
      </c>
      <c r="C156" s="6" t="s">
        <v>112</v>
      </c>
      <c r="D156" s="6" t="s">
        <v>164</v>
      </c>
      <c r="E156" s="6" t="s">
        <v>181</v>
      </c>
      <c r="F156" s="13" t="n">
        <v>45565</v>
      </c>
      <c r="G156" s="13" t="n">
        <v>45625</v>
      </c>
      <c r="H156" s="14" t="n">
        <v>61858.12</v>
      </c>
      <c r="I156" s="6" t="n">
        <v>2</v>
      </c>
      <c r="J156" s="6" t="n">
        <v>565</v>
      </c>
      <c r="K156" s="6" t="s">
        <v>160</v>
      </c>
      <c r="L156" s="14" t="n">
        <v>8770.97</v>
      </c>
      <c r="M156" s="22" t="n">
        <v>1.346</v>
      </c>
      <c r="N156" s="14" t="n">
        <v>11805.73</v>
      </c>
      <c r="O156" s="14" t="n">
        <v>3034.76</v>
      </c>
      <c r="P156" s="21" t="n">
        <v>0.163</v>
      </c>
      <c r="Q156" s="6" t="n">
        <v>60</v>
      </c>
      <c r="R156" s="6" t="s">
        <v>161</v>
      </c>
      <c r="S156" s="21" t="n">
        <v>1</v>
      </c>
      <c r="T156" s="14" t="n">
        <v>11805.73</v>
      </c>
      <c r="U156" s="6" t="s">
        <v>43</v>
      </c>
    </row>
    <row r="157" customFormat="false" ht="15" hidden="false" customHeight="true" outlineLevel="0" collapsed="false">
      <c r="A157" s="6" t="s">
        <v>507</v>
      </c>
      <c r="B157" s="6" t="s">
        <v>508</v>
      </c>
      <c r="C157" s="6" t="s">
        <v>112</v>
      </c>
      <c r="D157" s="6" t="s">
        <v>188</v>
      </c>
      <c r="E157" s="6" t="s">
        <v>184</v>
      </c>
      <c r="F157" s="13" t="n">
        <v>44662</v>
      </c>
      <c r="G157" s="13" t="n">
        <v>44730</v>
      </c>
      <c r="H157" s="14" t="n">
        <v>208136.44</v>
      </c>
      <c r="I157" s="6" t="n">
        <v>0</v>
      </c>
      <c r="J157" s="6" t="n">
        <v>819</v>
      </c>
      <c r="K157" s="6" t="s">
        <v>185</v>
      </c>
      <c r="L157" s="14" t="n">
        <v>59527.88</v>
      </c>
      <c r="M157" s="22" t="n">
        <v>1.185</v>
      </c>
      <c r="N157" s="14" t="n">
        <v>70540.54</v>
      </c>
      <c r="O157" s="14" t="n">
        <v>11012.66</v>
      </c>
      <c r="P157" s="21" t="n">
        <v>0.149</v>
      </c>
      <c r="Q157" s="6" t="n">
        <v>68</v>
      </c>
      <c r="R157" s="6" t="s">
        <v>155</v>
      </c>
      <c r="S157" s="21" t="n">
        <v>0.854</v>
      </c>
      <c r="T157" s="14" t="n">
        <v>60241.62</v>
      </c>
      <c r="U157" s="6" t="s">
        <v>14</v>
      </c>
    </row>
    <row r="158" customFormat="false" ht="15" hidden="false" customHeight="true" outlineLevel="0" collapsed="false">
      <c r="A158" s="6" t="s">
        <v>509</v>
      </c>
      <c r="B158" s="6" t="s">
        <v>510</v>
      </c>
      <c r="C158" s="6" t="s">
        <v>120</v>
      </c>
      <c r="D158" s="6" t="s">
        <v>210</v>
      </c>
      <c r="E158" s="6" t="s">
        <v>153</v>
      </c>
      <c r="F158" s="13" t="n">
        <v>46019</v>
      </c>
      <c r="G158" s="13" t="n">
        <v>46090</v>
      </c>
      <c r="H158" s="14" t="n">
        <v>51288.62</v>
      </c>
      <c r="I158" s="6" t="n">
        <v>1</v>
      </c>
      <c r="J158" s="6" t="n">
        <v>728</v>
      </c>
      <c r="K158" s="6" t="s">
        <v>160</v>
      </c>
      <c r="L158" s="14" t="n">
        <v>14090.15</v>
      </c>
      <c r="M158" s="22" t="n">
        <v>1.168</v>
      </c>
      <c r="N158" s="14" t="n">
        <v>16457.3</v>
      </c>
      <c r="O158" s="14" t="n">
        <v>2367.15</v>
      </c>
      <c r="P158" s="21" t="n">
        <v>0.134</v>
      </c>
      <c r="Q158" s="6" t="n">
        <v>71</v>
      </c>
      <c r="R158" s="6" t="s">
        <v>155</v>
      </c>
      <c r="S158" s="21" t="n">
        <v>0.951</v>
      </c>
      <c r="T158" s="14" t="n">
        <v>15650.89</v>
      </c>
      <c r="U158" s="6" t="s">
        <v>58</v>
      </c>
    </row>
    <row r="159" customFormat="false" ht="15" hidden="false" customHeight="true" outlineLevel="0" collapsed="false">
      <c r="A159" s="6" t="s">
        <v>511</v>
      </c>
      <c r="B159" s="6" t="s">
        <v>512</v>
      </c>
      <c r="C159" s="6" t="s">
        <v>124</v>
      </c>
      <c r="D159" s="6" t="s">
        <v>180</v>
      </c>
      <c r="E159" s="6" t="s">
        <v>192</v>
      </c>
      <c r="F159" s="13" t="n">
        <v>45080</v>
      </c>
      <c r="G159" s="13" t="n">
        <v>45140</v>
      </c>
      <c r="H159" s="14" t="n">
        <v>184699.14</v>
      </c>
      <c r="I159" s="6" t="n">
        <v>5</v>
      </c>
      <c r="J159" s="6" t="n">
        <v>592</v>
      </c>
      <c r="K159" s="6" t="s">
        <v>160</v>
      </c>
      <c r="L159" s="14" t="n">
        <v>18411.34</v>
      </c>
      <c r="M159" s="22" t="n">
        <v>1.135</v>
      </c>
      <c r="N159" s="14" t="n">
        <v>20896.87</v>
      </c>
      <c r="O159" s="14" t="n">
        <v>2485.53</v>
      </c>
      <c r="P159" s="21" t="n">
        <v>0.131</v>
      </c>
      <c r="Q159" s="6" t="n">
        <v>60</v>
      </c>
      <c r="R159" s="6" t="s">
        <v>155</v>
      </c>
      <c r="S159" s="21" t="n">
        <v>0.874</v>
      </c>
      <c r="T159" s="14" t="n">
        <v>18263.86</v>
      </c>
      <c r="U159" s="6" t="s">
        <v>28</v>
      </c>
    </row>
    <row r="160" customFormat="false" ht="15" hidden="false" customHeight="true" outlineLevel="0" collapsed="false">
      <c r="A160" s="6" t="s">
        <v>513</v>
      </c>
      <c r="B160" s="6" t="s">
        <v>514</v>
      </c>
      <c r="C160" s="6" t="s">
        <v>116</v>
      </c>
      <c r="D160" s="6" t="s">
        <v>152</v>
      </c>
      <c r="E160" s="6" t="s">
        <v>304</v>
      </c>
      <c r="F160" s="13" t="n">
        <v>44892</v>
      </c>
      <c r="G160" s="13" t="n">
        <v>44952</v>
      </c>
      <c r="H160" s="14" t="n">
        <v>166093</v>
      </c>
      <c r="I160" s="6" t="n">
        <v>0</v>
      </c>
      <c r="J160" s="6" t="n">
        <v>773</v>
      </c>
      <c r="K160" s="6" t="s">
        <v>160</v>
      </c>
      <c r="L160" s="14" t="n">
        <v>24236.25</v>
      </c>
      <c r="M160" s="22" t="n">
        <v>1.109</v>
      </c>
      <c r="N160" s="14" t="n">
        <v>26878</v>
      </c>
      <c r="O160" s="14" t="n">
        <v>2641.75</v>
      </c>
      <c r="P160" s="21" t="n">
        <v>0.179</v>
      </c>
      <c r="Q160" s="6" t="n">
        <v>60</v>
      </c>
      <c r="R160" s="6" t="s">
        <v>161</v>
      </c>
      <c r="S160" s="21" t="n">
        <v>1</v>
      </c>
      <c r="T160" s="14" t="n">
        <v>26878</v>
      </c>
      <c r="U160" s="6" t="s">
        <v>21</v>
      </c>
    </row>
    <row r="161" customFormat="false" ht="15" hidden="false" customHeight="true" outlineLevel="0" collapsed="false">
      <c r="A161" s="6" t="s">
        <v>515</v>
      </c>
      <c r="B161" s="6" t="s">
        <v>516</v>
      </c>
      <c r="C161" s="6" t="s">
        <v>112</v>
      </c>
      <c r="D161" s="6" t="s">
        <v>188</v>
      </c>
      <c r="E161" s="6" t="s">
        <v>326</v>
      </c>
      <c r="F161" s="13" t="n">
        <v>44681</v>
      </c>
      <c r="G161" s="13" t="n">
        <v>44762</v>
      </c>
      <c r="H161" s="14" t="n">
        <v>23712.06</v>
      </c>
      <c r="I161" s="6" t="n">
        <v>1</v>
      </c>
      <c r="J161" s="6" t="n">
        <v>539</v>
      </c>
      <c r="K161" s="6" t="s">
        <v>160</v>
      </c>
      <c r="L161" s="14" t="n">
        <v>4363.58</v>
      </c>
      <c r="M161" s="22" t="n">
        <v>1.137</v>
      </c>
      <c r="N161" s="14" t="n">
        <v>4961.39</v>
      </c>
      <c r="O161" s="14" t="n">
        <v>597.81</v>
      </c>
      <c r="P161" s="21" t="n">
        <v>0.077</v>
      </c>
      <c r="Q161" s="6" t="n">
        <v>81</v>
      </c>
      <c r="R161" s="6" t="s">
        <v>155</v>
      </c>
      <c r="S161" s="21" t="n">
        <v>0.955</v>
      </c>
      <c r="T161" s="14" t="n">
        <v>4738.13</v>
      </c>
      <c r="U161" s="6" t="s">
        <v>14</v>
      </c>
    </row>
    <row r="162" customFormat="false" ht="15" hidden="false" customHeight="true" outlineLevel="0" collapsed="false">
      <c r="A162" s="6" t="s">
        <v>517</v>
      </c>
      <c r="B162" s="6" t="s">
        <v>518</v>
      </c>
      <c r="C162" s="6" t="s">
        <v>112</v>
      </c>
      <c r="D162" s="6" t="s">
        <v>172</v>
      </c>
      <c r="E162" s="6" t="s">
        <v>153</v>
      </c>
      <c r="F162" s="13" t="n">
        <v>45709</v>
      </c>
      <c r="G162" s="13" t="n">
        <v>45879</v>
      </c>
      <c r="H162" s="14" t="n">
        <v>120502.32</v>
      </c>
      <c r="I162" s="6" t="n">
        <v>2</v>
      </c>
      <c r="J162" s="6" t="n">
        <v>736</v>
      </c>
      <c r="K162" s="6" t="s">
        <v>160</v>
      </c>
      <c r="L162" s="14" t="n">
        <v>53456.49</v>
      </c>
      <c r="M162" s="22" t="n">
        <v>1.192</v>
      </c>
      <c r="N162" s="14" t="n">
        <v>63720.14</v>
      </c>
      <c r="O162" s="14" t="n">
        <v>10263.65</v>
      </c>
      <c r="P162" s="21" t="n">
        <v>0.093</v>
      </c>
      <c r="Q162" s="6" t="n">
        <v>170</v>
      </c>
      <c r="R162" s="6" t="s">
        <v>155</v>
      </c>
      <c r="S162" s="21" t="n">
        <v>0.774</v>
      </c>
      <c r="T162" s="14" t="n">
        <v>49319.39</v>
      </c>
      <c r="U162" s="6" t="s">
        <v>48</v>
      </c>
    </row>
    <row r="163" customFormat="false" ht="15" hidden="false" customHeight="true" outlineLevel="0" collapsed="false">
      <c r="A163" s="6" t="s">
        <v>519</v>
      </c>
      <c r="B163" s="6" t="s">
        <v>520</v>
      </c>
      <c r="C163" s="6" t="s">
        <v>120</v>
      </c>
      <c r="D163" s="6" t="s">
        <v>263</v>
      </c>
      <c r="E163" s="6" t="s">
        <v>304</v>
      </c>
      <c r="F163" s="13" t="n">
        <v>44791</v>
      </c>
      <c r="G163" s="13" t="n">
        <v>44904</v>
      </c>
      <c r="H163" s="14" t="n">
        <v>73702.37</v>
      </c>
      <c r="I163" s="6" t="n">
        <v>0</v>
      </c>
      <c r="J163" s="6" t="n">
        <v>781</v>
      </c>
      <c r="K163" s="6" t="s">
        <v>160</v>
      </c>
      <c r="L163" s="14" t="n">
        <v>21819.9</v>
      </c>
      <c r="M163" s="22" t="n">
        <v>1.138</v>
      </c>
      <c r="N163" s="14" t="n">
        <v>24831.05</v>
      </c>
      <c r="O163" s="14" t="n">
        <v>3011.15</v>
      </c>
      <c r="P163" s="21" t="n">
        <v>0.089</v>
      </c>
      <c r="Q163" s="6" t="n">
        <v>113</v>
      </c>
      <c r="R163" s="6" t="s">
        <v>161</v>
      </c>
      <c r="S163" s="21" t="n">
        <v>1</v>
      </c>
      <c r="T163" s="14" t="n">
        <v>24831.05</v>
      </c>
      <c r="U163" s="6" t="s">
        <v>18</v>
      </c>
    </row>
    <row r="164" customFormat="false" ht="15" hidden="false" customHeight="true" outlineLevel="0" collapsed="false">
      <c r="A164" s="6" t="s">
        <v>521</v>
      </c>
      <c r="B164" s="6" t="s">
        <v>522</v>
      </c>
      <c r="C164" s="6" t="s">
        <v>112</v>
      </c>
      <c r="D164" s="6" t="s">
        <v>188</v>
      </c>
      <c r="E164" s="6" t="s">
        <v>165</v>
      </c>
      <c r="F164" s="13" t="n">
        <v>44656</v>
      </c>
      <c r="G164" s="13" t="n">
        <v>44752</v>
      </c>
      <c r="H164" s="14" t="n">
        <v>180709.93</v>
      </c>
      <c r="I164" s="6" t="n">
        <v>1</v>
      </c>
      <c r="J164" s="6" t="n">
        <v>501</v>
      </c>
      <c r="K164" s="6" t="s">
        <v>154</v>
      </c>
      <c r="L164" s="14" t="n">
        <v>58342.81</v>
      </c>
      <c r="M164" s="22" t="n">
        <v>1.104</v>
      </c>
      <c r="N164" s="14" t="n">
        <v>64410.46</v>
      </c>
      <c r="O164" s="14" t="n">
        <v>6067.65</v>
      </c>
      <c r="P164" s="21" t="n">
        <v>0.111</v>
      </c>
      <c r="Q164" s="6" t="n">
        <v>96</v>
      </c>
      <c r="R164" s="6" t="s">
        <v>155</v>
      </c>
      <c r="S164" s="21" t="n">
        <v>0.968</v>
      </c>
      <c r="T164" s="14" t="n">
        <v>62349.33</v>
      </c>
      <c r="U164" s="6" t="s">
        <v>14</v>
      </c>
    </row>
    <row r="165" customFormat="false" ht="15" hidden="false" customHeight="true" outlineLevel="0" collapsed="false">
      <c r="A165" s="6" t="s">
        <v>523</v>
      </c>
      <c r="B165" s="6" t="s">
        <v>524</v>
      </c>
      <c r="C165" s="6" t="s">
        <v>128</v>
      </c>
      <c r="D165" s="6" t="s">
        <v>235</v>
      </c>
      <c r="E165" s="6" t="s">
        <v>304</v>
      </c>
      <c r="F165" s="13" t="n">
        <v>45775</v>
      </c>
      <c r="G165" s="13" t="n">
        <v>45835</v>
      </c>
      <c r="H165" s="14" t="n">
        <v>39477.91</v>
      </c>
      <c r="I165" s="6" t="n">
        <v>1</v>
      </c>
      <c r="J165" s="6" t="n">
        <v>716</v>
      </c>
      <c r="K165" s="6" t="s">
        <v>154</v>
      </c>
      <c r="L165" s="14" t="n">
        <v>6234.51</v>
      </c>
      <c r="M165" s="22" t="n">
        <v>1.186</v>
      </c>
      <c r="N165" s="14" t="n">
        <v>7394.13</v>
      </c>
      <c r="O165" s="14" t="n">
        <v>1159.62</v>
      </c>
      <c r="P165" s="21" t="n">
        <v>0.142</v>
      </c>
      <c r="Q165" s="6" t="n">
        <v>60</v>
      </c>
      <c r="R165" s="6" t="s">
        <v>161</v>
      </c>
      <c r="S165" s="21" t="n">
        <v>1</v>
      </c>
      <c r="T165" s="14" t="n">
        <v>7394.13</v>
      </c>
      <c r="U165" s="6" t="s">
        <v>50</v>
      </c>
    </row>
    <row r="166" customFormat="false" ht="15" hidden="false" customHeight="true" outlineLevel="0" collapsed="false">
      <c r="A166" s="6" t="s">
        <v>525</v>
      </c>
      <c r="B166" s="6" t="s">
        <v>526</v>
      </c>
      <c r="C166" s="6" t="s">
        <v>112</v>
      </c>
      <c r="D166" s="6" t="s">
        <v>188</v>
      </c>
      <c r="E166" s="6" t="s">
        <v>192</v>
      </c>
      <c r="F166" s="13" t="n">
        <v>45306</v>
      </c>
      <c r="G166" s="13" t="n">
        <v>45448</v>
      </c>
      <c r="H166" s="14" t="n">
        <v>173643.67</v>
      </c>
      <c r="I166" s="6" t="n">
        <v>2</v>
      </c>
      <c r="J166" s="6" t="n">
        <v>649</v>
      </c>
      <c r="K166" s="6" t="s">
        <v>160</v>
      </c>
      <c r="L166" s="14" t="n">
        <v>52515.6</v>
      </c>
      <c r="M166" s="22" t="n">
        <v>1.322</v>
      </c>
      <c r="N166" s="14" t="n">
        <v>69425.62</v>
      </c>
      <c r="O166" s="14" t="n">
        <v>16910.02</v>
      </c>
      <c r="P166" s="21" t="n">
        <v>0.084</v>
      </c>
      <c r="Q166" s="6" t="n">
        <v>142</v>
      </c>
      <c r="R166" s="6" t="s">
        <v>161</v>
      </c>
      <c r="S166" s="21" t="n">
        <v>1</v>
      </c>
      <c r="T166" s="14" t="n">
        <v>69425.62</v>
      </c>
      <c r="U166" s="6" t="s">
        <v>35</v>
      </c>
    </row>
    <row r="167" customFormat="false" ht="15" hidden="false" customHeight="true" outlineLevel="0" collapsed="false">
      <c r="A167" s="6" t="s">
        <v>527</v>
      </c>
      <c r="B167" s="6" t="s">
        <v>528</v>
      </c>
      <c r="C167" s="6" t="s">
        <v>131</v>
      </c>
      <c r="D167" s="6" t="s">
        <v>176</v>
      </c>
      <c r="E167" s="6" t="s">
        <v>219</v>
      </c>
      <c r="F167" s="13" t="n">
        <v>44922</v>
      </c>
      <c r="G167" s="13" t="n">
        <v>44985</v>
      </c>
      <c r="H167" s="14" t="n">
        <v>186926.82</v>
      </c>
      <c r="I167" s="6" t="n">
        <v>2</v>
      </c>
      <c r="J167" s="6" t="n">
        <v>768</v>
      </c>
      <c r="K167" s="6" t="s">
        <v>154</v>
      </c>
      <c r="L167" s="14" t="n">
        <v>50402.63</v>
      </c>
      <c r="M167" s="22" t="n">
        <v>1.23</v>
      </c>
      <c r="N167" s="14" t="n">
        <v>61995.23</v>
      </c>
      <c r="O167" s="14" t="n">
        <v>11592.6</v>
      </c>
      <c r="P167" s="21" t="n">
        <v>0.157</v>
      </c>
      <c r="Q167" s="6" t="n">
        <v>63</v>
      </c>
      <c r="R167" s="6" t="s">
        <v>161</v>
      </c>
      <c r="S167" s="21" t="n">
        <v>1</v>
      </c>
      <c r="T167" s="14" t="n">
        <v>61995.23</v>
      </c>
      <c r="U167" s="6" t="s">
        <v>22</v>
      </c>
    </row>
    <row r="168" customFormat="false" ht="15" hidden="false" customHeight="true" outlineLevel="0" collapsed="false">
      <c r="A168" s="6" t="s">
        <v>529</v>
      </c>
      <c r="B168" s="6" t="s">
        <v>530</v>
      </c>
      <c r="C168" s="6" t="s">
        <v>112</v>
      </c>
      <c r="D168" s="6" t="s">
        <v>225</v>
      </c>
      <c r="E168" s="6" t="s">
        <v>254</v>
      </c>
      <c r="F168" s="13" t="n">
        <v>45953</v>
      </c>
      <c r="G168" s="13" t="n">
        <v>46013</v>
      </c>
      <c r="H168" s="14" t="n">
        <v>117619.81</v>
      </c>
      <c r="I168" s="6" t="n">
        <v>0</v>
      </c>
      <c r="J168" s="6" t="n">
        <v>697</v>
      </c>
      <c r="K168" s="6" t="s">
        <v>185</v>
      </c>
      <c r="L168" s="14" t="n">
        <v>19952.09</v>
      </c>
      <c r="M168" s="22" t="n">
        <v>1.165</v>
      </c>
      <c r="N168" s="14" t="n">
        <v>23244.18</v>
      </c>
      <c r="O168" s="14" t="n">
        <v>3292.09</v>
      </c>
      <c r="P168" s="21" t="n">
        <v>0.124</v>
      </c>
      <c r="Q168" s="6" t="n">
        <v>60</v>
      </c>
      <c r="R168" s="6" t="s">
        <v>161</v>
      </c>
      <c r="S168" s="21" t="n">
        <v>1</v>
      </c>
      <c r="T168" s="14" t="n">
        <v>23244.18</v>
      </c>
      <c r="U168" s="6" t="s">
        <v>56</v>
      </c>
    </row>
    <row r="169" customFormat="false" ht="15" hidden="false" customHeight="true" outlineLevel="0" collapsed="false">
      <c r="A169" s="6" t="s">
        <v>531</v>
      </c>
      <c r="B169" s="6" t="s">
        <v>532</v>
      </c>
      <c r="C169" s="6" t="s">
        <v>120</v>
      </c>
      <c r="D169" s="6" t="s">
        <v>158</v>
      </c>
      <c r="E169" s="6" t="s">
        <v>192</v>
      </c>
      <c r="F169" s="13" t="n">
        <v>44994</v>
      </c>
      <c r="G169" s="13" t="n">
        <v>45101</v>
      </c>
      <c r="H169" s="14" t="n">
        <v>217494.47</v>
      </c>
      <c r="I169" s="6" t="n">
        <v>0</v>
      </c>
      <c r="J169" s="6" t="n">
        <v>725</v>
      </c>
      <c r="K169" s="6" t="s">
        <v>185</v>
      </c>
      <c r="L169" s="14" t="n">
        <v>70253.48</v>
      </c>
      <c r="M169" s="22" t="n">
        <v>1.19</v>
      </c>
      <c r="N169" s="14" t="n">
        <v>83601.64</v>
      </c>
      <c r="O169" s="14" t="n">
        <v>13348.16</v>
      </c>
      <c r="P169" s="21" t="n">
        <v>0.107</v>
      </c>
      <c r="Q169" s="6" t="n">
        <v>107</v>
      </c>
      <c r="R169" s="6" t="s">
        <v>161</v>
      </c>
      <c r="S169" s="21" t="n">
        <v>1</v>
      </c>
      <c r="T169" s="14" t="n">
        <v>83601.64</v>
      </c>
      <c r="U169" s="6" t="s">
        <v>25</v>
      </c>
    </row>
    <row r="170" customFormat="false" ht="15" hidden="false" customHeight="true" outlineLevel="0" collapsed="false">
      <c r="A170" s="6" t="s">
        <v>533</v>
      </c>
      <c r="B170" s="6" t="s">
        <v>534</v>
      </c>
      <c r="C170" s="6" t="s">
        <v>116</v>
      </c>
      <c r="D170" s="6" t="s">
        <v>222</v>
      </c>
      <c r="E170" s="6" t="s">
        <v>169</v>
      </c>
      <c r="F170" s="13" t="n">
        <v>45046</v>
      </c>
      <c r="G170" s="13" t="n">
        <v>45106</v>
      </c>
      <c r="H170" s="14" t="n">
        <v>110638.17</v>
      </c>
      <c r="I170" s="6" t="n">
        <v>3</v>
      </c>
      <c r="J170" s="6" t="n">
        <v>623</v>
      </c>
      <c r="K170" s="6" t="s">
        <v>160</v>
      </c>
      <c r="L170" s="14" t="n">
        <v>17615.4</v>
      </c>
      <c r="M170" s="22" t="n">
        <v>1.236</v>
      </c>
      <c r="N170" s="14" t="n">
        <v>21772.63</v>
      </c>
      <c r="O170" s="14" t="n">
        <v>4157.23</v>
      </c>
      <c r="P170" s="21" t="n">
        <v>0.16</v>
      </c>
      <c r="Q170" s="6" t="n">
        <v>60</v>
      </c>
      <c r="R170" s="6" t="s">
        <v>161</v>
      </c>
      <c r="S170" s="21" t="n">
        <v>1</v>
      </c>
      <c r="T170" s="14" t="n">
        <v>21772.63</v>
      </c>
      <c r="U170" s="6" t="s">
        <v>26</v>
      </c>
    </row>
    <row r="171" customFormat="false" ht="15" hidden="false" customHeight="true" outlineLevel="0" collapsed="false">
      <c r="A171" s="6" t="s">
        <v>535</v>
      </c>
      <c r="B171" s="6" t="s">
        <v>536</v>
      </c>
      <c r="C171" s="6" t="s">
        <v>131</v>
      </c>
      <c r="D171" s="6" t="s">
        <v>176</v>
      </c>
      <c r="E171" s="6" t="s">
        <v>169</v>
      </c>
      <c r="F171" s="13" t="n">
        <v>45853</v>
      </c>
      <c r="G171" s="13" t="n">
        <v>45969</v>
      </c>
      <c r="H171" s="14" t="n">
        <v>246026.14</v>
      </c>
      <c r="I171" s="6" t="n">
        <v>5</v>
      </c>
      <c r="J171" s="6" t="n">
        <v>749</v>
      </c>
      <c r="K171" s="6" t="s">
        <v>185</v>
      </c>
      <c r="L171" s="14" t="n">
        <v>63008</v>
      </c>
      <c r="M171" s="22" t="n">
        <v>1.245</v>
      </c>
      <c r="N171" s="14" t="n">
        <v>78444.96</v>
      </c>
      <c r="O171" s="14" t="n">
        <v>15436.96</v>
      </c>
      <c r="P171" s="21" t="n">
        <v>0.082</v>
      </c>
      <c r="Q171" s="6" t="n">
        <v>116</v>
      </c>
      <c r="R171" s="6" t="s">
        <v>309</v>
      </c>
      <c r="S171" s="21" t="n">
        <v>0.578</v>
      </c>
      <c r="T171" s="14" t="n">
        <v>45341.19</v>
      </c>
      <c r="U171" s="6" t="s">
        <v>53</v>
      </c>
    </row>
    <row r="172" customFormat="false" ht="15" hidden="false" customHeight="true" outlineLevel="0" collapsed="false">
      <c r="A172" s="6" t="s">
        <v>537</v>
      </c>
      <c r="B172" s="6" t="s">
        <v>538</v>
      </c>
      <c r="C172" s="6" t="s">
        <v>131</v>
      </c>
      <c r="D172" s="6" t="s">
        <v>200</v>
      </c>
      <c r="E172" s="6" t="s">
        <v>189</v>
      </c>
      <c r="F172" s="13" t="n">
        <v>45554</v>
      </c>
      <c r="G172" s="13" t="n">
        <v>45737</v>
      </c>
      <c r="H172" s="14" t="n">
        <v>71027.24</v>
      </c>
      <c r="I172" s="6" t="n">
        <v>1</v>
      </c>
      <c r="J172" s="6" t="n">
        <v>685</v>
      </c>
      <c r="K172" s="6" t="s">
        <v>154</v>
      </c>
      <c r="L172" s="14" t="n">
        <v>18345.88</v>
      </c>
      <c r="M172" s="22" t="n">
        <v>1.279</v>
      </c>
      <c r="N172" s="14" t="n">
        <v>23464.38</v>
      </c>
      <c r="O172" s="14" t="n">
        <v>5118.5</v>
      </c>
      <c r="P172" s="21" t="n">
        <v>0.054</v>
      </c>
      <c r="Q172" s="6" t="n">
        <v>183</v>
      </c>
      <c r="R172" s="6" t="s">
        <v>155</v>
      </c>
      <c r="S172" s="21" t="n">
        <v>0.877</v>
      </c>
      <c r="T172" s="14" t="n">
        <v>20578.26</v>
      </c>
      <c r="U172" s="6" t="s">
        <v>43</v>
      </c>
    </row>
    <row r="173" customFormat="false" ht="15" hidden="false" customHeight="true" outlineLevel="0" collapsed="false">
      <c r="A173" s="6" t="s">
        <v>539</v>
      </c>
      <c r="B173" s="6" t="s">
        <v>540</v>
      </c>
      <c r="C173" s="6" t="s">
        <v>112</v>
      </c>
      <c r="D173" s="6" t="s">
        <v>172</v>
      </c>
      <c r="E173" s="6" t="s">
        <v>326</v>
      </c>
      <c r="F173" s="13" t="n">
        <v>45363</v>
      </c>
      <c r="G173" s="13" t="n">
        <v>45423</v>
      </c>
      <c r="H173" s="14" t="n">
        <v>162256.64</v>
      </c>
      <c r="I173" s="6" t="n">
        <v>4</v>
      </c>
      <c r="J173" s="6" t="n">
        <v>638</v>
      </c>
      <c r="K173" s="6" t="s">
        <v>160</v>
      </c>
      <c r="L173" s="14" t="n">
        <v>27294.63</v>
      </c>
      <c r="M173" s="22" t="n">
        <v>1.107</v>
      </c>
      <c r="N173" s="14" t="n">
        <v>30215.16</v>
      </c>
      <c r="O173" s="14" t="n">
        <v>2920.53</v>
      </c>
      <c r="P173" s="21" t="n">
        <v>0.135</v>
      </c>
      <c r="Q173" s="6" t="n">
        <v>60</v>
      </c>
      <c r="R173" s="6" t="s">
        <v>161</v>
      </c>
      <c r="S173" s="21" t="n">
        <v>1</v>
      </c>
      <c r="T173" s="14" t="n">
        <v>30215.16</v>
      </c>
      <c r="U173" s="6" t="s">
        <v>37</v>
      </c>
    </row>
    <row r="174" customFormat="false" ht="15" hidden="false" customHeight="true" outlineLevel="0" collapsed="false">
      <c r="A174" s="6" t="s">
        <v>541</v>
      </c>
      <c r="B174" s="6" t="s">
        <v>542</v>
      </c>
      <c r="C174" s="6" t="s">
        <v>128</v>
      </c>
      <c r="D174" s="6" t="s">
        <v>172</v>
      </c>
      <c r="E174" s="6" t="s">
        <v>184</v>
      </c>
      <c r="F174" s="13" t="n">
        <v>45006</v>
      </c>
      <c r="G174" s="13" t="n">
        <v>45066</v>
      </c>
      <c r="H174" s="14" t="n">
        <v>93066.97</v>
      </c>
      <c r="I174" s="6" t="n">
        <v>2</v>
      </c>
      <c r="J174" s="6" t="n">
        <v>581</v>
      </c>
      <c r="K174" s="6" t="s">
        <v>154</v>
      </c>
      <c r="L174" s="14" t="n">
        <v>6950.23</v>
      </c>
      <c r="M174" s="22" t="n">
        <v>1.333</v>
      </c>
      <c r="N174" s="14" t="n">
        <v>9264.66</v>
      </c>
      <c r="O174" s="14" t="n">
        <v>2314.43</v>
      </c>
      <c r="P174" s="21" t="n">
        <v>0.135</v>
      </c>
      <c r="Q174" s="6" t="n">
        <v>60</v>
      </c>
      <c r="R174" s="6" t="s">
        <v>232</v>
      </c>
      <c r="S174" s="21" t="n">
        <v>1</v>
      </c>
      <c r="T174" s="14" t="n">
        <v>9264.66</v>
      </c>
      <c r="U174" s="6" t="s">
        <v>25</v>
      </c>
    </row>
    <row r="175" customFormat="false" ht="15" hidden="false" customHeight="true" outlineLevel="0" collapsed="false">
      <c r="A175" s="6" t="s">
        <v>543</v>
      </c>
      <c r="B175" s="6" t="s">
        <v>544</v>
      </c>
      <c r="C175" s="6" t="s">
        <v>124</v>
      </c>
      <c r="D175" s="6" t="s">
        <v>243</v>
      </c>
      <c r="E175" s="6" t="s">
        <v>184</v>
      </c>
      <c r="F175" s="13" t="n">
        <v>45357</v>
      </c>
      <c r="G175" s="13" t="n">
        <v>45477</v>
      </c>
      <c r="H175" s="14" t="n">
        <v>231292.28</v>
      </c>
      <c r="I175" s="6" t="n">
        <v>0</v>
      </c>
      <c r="J175" s="6" t="n">
        <v>637</v>
      </c>
      <c r="K175" s="6" t="s">
        <v>160</v>
      </c>
      <c r="L175" s="14" t="n">
        <v>46554</v>
      </c>
      <c r="M175" s="22" t="n">
        <v>1.155</v>
      </c>
      <c r="N175" s="14" t="n">
        <v>53769.87</v>
      </c>
      <c r="O175" s="14" t="n">
        <v>7215.87</v>
      </c>
      <c r="P175" s="21" t="n">
        <v>0.058</v>
      </c>
      <c r="Q175" s="6" t="n">
        <v>120</v>
      </c>
      <c r="R175" s="6" t="s">
        <v>161</v>
      </c>
      <c r="S175" s="21" t="n">
        <v>1</v>
      </c>
      <c r="T175" s="14" t="n">
        <v>53769.87</v>
      </c>
      <c r="U175" s="6" t="s">
        <v>37</v>
      </c>
    </row>
    <row r="176" customFormat="false" ht="15" hidden="false" customHeight="true" outlineLevel="0" collapsed="false">
      <c r="A176" s="6" t="s">
        <v>545</v>
      </c>
      <c r="B176" s="6" t="s">
        <v>546</v>
      </c>
      <c r="C176" s="6" t="s">
        <v>124</v>
      </c>
      <c r="D176" s="6" t="s">
        <v>238</v>
      </c>
      <c r="E176" s="6" t="s">
        <v>153</v>
      </c>
      <c r="F176" s="13" t="n">
        <v>45566</v>
      </c>
      <c r="G176" s="13" t="n">
        <v>45648</v>
      </c>
      <c r="H176" s="14" t="n">
        <v>233760.28</v>
      </c>
      <c r="I176" s="6" t="n">
        <v>2</v>
      </c>
      <c r="J176" s="6" t="n">
        <v>585</v>
      </c>
      <c r="K176" s="6" t="s">
        <v>160</v>
      </c>
      <c r="L176" s="14" t="n">
        <v>91125.61</v>
      </c>
      <c r="M176" s="22" t="n">
        <v>1.219</v>
      </c>
      <c r="N176" s="14" t="n">
        <v>111082.12</v>
      </c>
      <c r="O176" s="14" t="n">
        <v>19956.51</v>
      </c>
      <c r="P176" s="21" t="n">
        <v>0.172</v>
      </c>
      <c r="Q176" s="6" t="n">
        <v>82</v>
      </c>
      <c r="R176" s="6" t="s">
        <v>161</v>
      </c>
      <c r="S176" s="21" t="n">
        <v>1</v>
      </c>
      <c r="T176" s="14" t="n">
        <v>111082.12</v>
      </c>
      <c r="U176" s="6" t="s">
        <v>44</v>
      </c>
    </row>
    <row r="177" customFormat="false" ht="15" hidden="false" customHeight="true" outlineLevel="0" collapsed="false">
      <c r="A177" s="6" t="s">
        <v>547</v>
      </c>
      <c r="B177" s="6" t="s">
        <v>548</v>
      </c>
      <c r="C177" s="6" t="s">
        <v>120</v>
      </c>
      <c r="D177" s="6" t="s">
        <v>263</v>
      </c>
      <c r="E177" s="6" t="s">
        <v>219</v>
      </c>
      <c r="F177" s="13" t="n">
        <v>45987</v>
      </c>
      <c r="G177" s="13" t="n">
        <v>46047</v>
      </c>
      <c r="H177" s="14" t="n">
        <v>211565.94</v>
      </c>
      <c r="I177" s="6" t="n">
        <v>2</v>
      </c>
      <c r="J177" s="6" t="n">
        <v>593</v>
      </c>
      <c r="K177" s="6" t="s">
        <v>160</v>
      </c>
      <c r="L177" s="14" t="n">
        <v>22355.12</v>
      </c>
      <c r="M177" s="22" t="n">
        <v>1.184</v>
      </c>
      <c r="N177" s="14" t="n">
        <v>26468.46</v>
      </c>
      <c r="O177" s="14" t="n">
        <v>4113.34</v>
      </c>
      <c r="P177" s="21" t="n">
        <v>0.075</v>
      </c>
      <c r="Q177" s="6" t="n">
        <v>60</v>
      </c>
      <c r="R177" s="6" t="s">
        <v>161</v>
      </c>
      <c r="S177" s="21" t="n">
        <v>1</v>
      </c>
      <c r="T177" s="14" t="n">
        <v>26468.46</v>
      </c>
      <c r="U177" s="6" t="s">
        <v>57</v>
      </c>
    </row>
    <row r="178" customFormat="false" ht="15" hidden="false" customHeight="true" outlineLevel="0" collapsed="false">
      <c r="A178" s="6" t="s">
        <v>549</v>
      </c>
      <c r="B178" s="6" t="s">
        <v>550</v>
      </c>
      <c r="C178" s="6" t="s">
        <v>124</v>
      </c>
      <c r="D178" s="6" t="s">
        <v>243</v>
      </c>
      <c r="E178" s="6" t="s">
        <v>326</v>
      </c>
      <c r="F178" s="13" t="n">
        <v>46038</v>
      </c>
      <c r="G178" s="13" t="n">
        <v>46141</v>
      </c>
      <c r="H178" s="14" t="n">
        <v>163704.65</v>
      </c>
      <c r="I178" s="6" t="n">
        <v>1</v>
      </c>
      <c r="J178" s="6" t="n">
        <v>809</v>
      </c>
      <c r="K178" s="6" t="s">
        <v>185</v>
      </c>
      <c r="L178" s="14" t="n">
        <v>45296.88</v>
      </c>
      <c r="M178" s="22" t="n">
        <v>1.172</v>
      </c>
      <c r="N178" s="14" t="n">
        <v>53087.94</v>
      </c>
      <c r="O178" s="14" t="n">
        <v>7791.06</v>
      </c>
      <c r="P178" s="21" t="n">
        <v>0.094</v>
      </c>
      <c r="Q178" s="6" t="n">
        <v>103</v>
      </c>
      <c r="R178" s="6" t="s">
        <v>155</v>
      </c>
      <c r="S178" s="21" t="n">
        <v>0.741</v>
      </c>
      <c r="T178" s="14" t="n">
        <v>39338.16</v>
      </c>
      <c r="U178" s="6" t="s">
        <v>59</v>
      </c>
    </row>
    <row r="179" customFormat="false" ht="15" hidden="false" customHeight="true" outlineLevel="0" collapsed="false">
      <c r="A179" s="6" t="s">
        <v>551</v>
      </c>
      <c r="B179" s="6" t="s">
        <v>552</v>
      </c>
      <c r="C179" s="6" t="s">
        <v>116</v>
      </c>
      <c r="D179" s="6" t="s">
        <v>152</v>
      </c>
      <c r="E179" s="6" t="s">
        <v>299</v>
      </c>
      <c r="F179" s="13" t="n">
        <v>44998</v>
      </c>
      <c r="G179" s="13" t="n">
        <v>45133</v>
      </c>
      <c r="H179" s="14" t="n">
        <v>111143.17</v>
      </c>
      <c r="I179" s="6" t="n">
        <v>3</v>
      </c>
      <c r="J179" s="6" t="n">
        <v>814</v>
      </c>
      <c r="K179" s="6" t="s">
        <v>185</v>
      </c>
      <c r="L179" s="14" t="n">
        <v>27617.21</v>
      </c>
      <c r="M179" s="22" t="n">
        <v>1.236</v>
      </c>
      <c r="N179" s="14" t="n">
        <v>34134.87</v>
      </c>
      <c r="O179" s="14" t="n">
        <v>6517.66</v>
      </c>
      <c r="P179" s="21" t="n">
        <v>0.068</v>
      </c>
      <c r="Q179" s="6" t="n">
        <v>135</v>
      </c>
      <c r="R179" s="6" t="s">
        <v>309</v>
      </c>
      <c r="S179" s="21" t="n">
        <v>0.376</v>
      </c>
      <c r="T179" s="14" t="n">
        <v>12834.71</v>
      </c>
      <c r="U179" s="6" t="s">
        <v>25</v>
      </c>
    </row>
    <row r="180" customFormat="false" ht="15" hidden="false" customHeight="true" outlineLevel="0" collapsed="false">
      <c r="A180" s="6" t="s">
        <v>553</v>
      </c>
      <c r="B180" s="6" t="s">
        <v>554</v>
      </c>
      <c r="C180" s="6" t="s">
        <v>112</v>
      </c>
      <c r="D180" s="6" t="s">
        <v>188</v>
      </c>
      <c r="E180" s="6" t="s">
        <v>219</v>
      </c>
      <c r="F180" s="13" t="n">
        <v>44984</v>
      </c>
      <c r="G180" s="13" t="n">
        <v>45056</v>
      </c>
      <c r="H180" s="14" t="n">
        <v>9536.6</v>
      </c>
      <c r="I180" s="6" t="n">
        <v>0</v>
      </c>
      <c r="J180" s="6" t="n">
        <v>529</v>
      </c>
      <c r="K180" s="6" t="s">
        <v>160</v>
      </c>
      <c r="L180" s="14" t="n">
        <v>2504.64</v>
      </c>
      <c r="M180" s="22" t="n">
        <v>1.289</v>
      </c>
      <c r="N180" s="14" t="n">
        <v>3228.48</v>
      </c>
      <c r="O180" s="14" t="n">
        <v>723.84</v>
      </c>
      <c r="P180" s="21" t="n">
        <v>0.14</v>
      </c>
      <c r="Q180" s="6" t="n">
        <v>72</v>
      </c>
      <c r="R180" s="6" t="s">
        <v>155</v>
      </c>
      <c r="S180" s="21" t="n">
        <v>0.795</v>
      </c>
      <c r="T180" s="14" t="n">
        <v>2566.64</v>
      </c>
      <c r="U180" s="6" t="s">
        <v>24</v>
      </c>
    </row>
    <row r="181" customFormat="false" ht="15" hidden="false" customHeight="true" outlineLevel="0" collapsed="false">
      <c r="A181" s="6" t="s">
        <v>555</v>
      </c>
      <c r="B181" s="6" t="s">
        <v>556</v>
      </c>
      <c r="C181" s="6" t="s">
        <v>124</v>
      </c>
      <c r="D181" s="6" t="s">
        <v>238</v>
      </c>
      <c r="E181" s="6" t="s">
        <v>207</v>
      </c>
      <c r="F181" s="13" t="n">
        <v>45307</v>
      </c>
      <c r="G181" s="13" t="n">
        <v>45443</v>
      </c>
      <c r="H181" s="14" t="n">
        <v>20842.7</v>
      </c>
      <c r="I181" s="6" t="n">
        <v>0</v>
      </c>
      <c r="J181" s="6" t="n">
        <v>548</v>
      </c>
      <c r="K181" s="6" t="s">
        <v>185</v>
      </c>
      <c r="L181" s="14" t="n">
        <v>4073.33</v>
      </c>
      <c r="M181" s="22" t="n">
        <v>1.329</v>
      </c>
      <c r="N181" s="14" t="n">
        <v>5413.46</v>
      </c>
      <c r="O181" s="14" t="n">
        <v>1340.13</v>
      </c>
      <c r="P181" s="21" t="n">
        <v>0.057</v>
      </c>
      <c r="Q181" s="6" t="n">
        <v>136</v>
      </c>
      <c r="R181" s="6" t="s">
        <v>161</v>
      </c>
      <c r="S181" s="21" t="n">
        <v>1</v>
      </c>
      <c r="T181" s="14" t="n">
        <v>5413.46</v>
      </c>
      <c r="U181" s="6" t="s">
        <v>35</v>
      </c>
    </row>
    <row r="182" customFormat="false" ht="15" hidden="false" customHeight="true" outlineLevel="0" collapsed="false">
      <c r="A182" s="6" t="s">
        <v>557</v>
      </c>
      <c r="B182" s="6" t="s">
        <v>558</v>
      </c>
      <c r="C182" s="6" t="s">
        <v>116</v>
      </c>
      <c r="D182" s="6" t="s">
        <v>152</v>
      </c>
      <c r="E182" s="6" t="s">
        <v>173</v>
      </c>
      <c r="F182" s="13" t="n">
        <v>45979</v>
      </c>
      <c r="G182" s="13" t="n">
        <v>46167</v>
      </c>
      <c r="H182" s="14" t="n">
        <v>118107.79</v>
      </c>
      <c r="I182" s="6" t="n">
        <v>1</v>
      </c>
      <c r="J182" s="6" t="n">
        <v>544</v>
      </c>
      <c r="K182" s="6" t="s">
        <v>160</v>
      </c>
      <c r="L182" s="14" t="n">
        <v>43898.28</v>
      </c>
      <c r="M182" s="22" t="n">
        <v>1.135</v>
      </c>
      <c r="N182" s="14" t="n">
        <v>49824.55</v>
      </c>
      <c r="O182" s="14" t="n">
        <v>5926.27</v>
      </c>
      <c r="P182" s="21" t="n">
        <v>0.067</v>
      </c>
      <c r="Q182" s="6" t="n">
        <v>188</v>
      </c>
      <c r="R182" s="6" t="s">
        <v>161</v>
      </c>
      <c r="S182" s="21" t="n">
        <v>1</v>
      </c>
      <c r="T182" s="14" t="n">
        <v>49824.55</v>
      </c>
      <c r="U182" s="6" t="s">
        <v>57</v>
      </c>
    </row>
    <row r="183" customFormat="false" ht="15" hidden="false" customHeight="true" outlineLevel="0" collapsed="false">
      <c r="A183" s="6" t="s">
        <v>559</v>
      </c>
      <c r="B183" s="6" t="s">
        <v>560</v>
      </c>
      <c r="C183" s="6" t="s">
        <v>124</v>
      </c>
      <c r="D183" s="6" t="s">
        <v>168</v>
      </c>
      <c r="E183" s="6" t="s">
        <v>195</v>
      </c>
      <c r="F183" s="13" t="n">
        <v>45051</v>
      </c>
      <c r="G183" s="13" t="n">
        <v>45153</v>
      </c>
      <c r="H183" s="14" t="n">
        <v>117490.81</v>
      </c>
      <c r="I183" s="6" t="n">
        <v>0</v>
      </c>
      <c r="J183" s="6" t="n">
        <v>679</v>
      </c>
      <c r="K183" s="6" t="s">
        <v>154</v>
      </c>
      <c r="L183" s="14" t="n">
        <v>34044.49</v>
      </c>
      <c r="M183" s="22" t="n">
        <v>1.139</v>
      </c>
      <c r="N183" s="14" t="n">
        <v>38776.67</v>
      </c>
      <c r="O183" s="14" t="n">
        <v>4732.18</v>
      </c>
      <c r="P183" s="21" t="n">
        <v>0.097</v>
      </c>
      <c r="Q183" s="6" t="n">
        <v>102</v>
      </c>
      <c r="R183" s="6" t="s">
        <v>161</v>
      </c>
      <c r="S183" s="21" t="n">
        <v>1</v>
      </c>
      <c r="T183" s="14" t="n">
        <v>38776.67</v>
      </c>
      <c r="U183" s="6" t="s">
        <v>27</v>
      </c>
    </row>
    <row r="184" customFormat="false" ht="15" hidden="false" customHeight="true" outlineLevel="0" collapsed="false">
      <c r="A184" s="6" t="s">
        <v>561</v>
      </c>
      <c r="B184" s="6" t="s">
        <v>562</v>
      </c>
      <c r="C184" s="6" t="s">
        <v>112</v>
      </c>
      <c r="D184" s="6" t="s">
        <v>188</v>
      </c>
      <c r="E184" s="6" t="s">
        <v>201</v>
      </c>
      <c r="F184" s="13" t="n">
        <v>44674</v>
      </c>
      <c r="G184" s="13" t="n">
        <v>44741</v>
      </c>
      <c r="H184" s="14" t="n">
        <v>136482.72</v>
      </c>
      <c r="I184" s="6" t="n">
        <v>0</v>
      </c>
      <c r="J184" s="6" t="n">
        <v>741</v>
      </c>
      <c r="K184" s="6" t="s">
        <v>160</v>
      </c>
      <c r="L184" s="14" t="n">
        <v>34220.02</v>
      </c>
      <c r="M184" s="22" t="n">
        <v>1.318</v>
      </c>
      <c r="N184" s="14" t="n">
        <v>45101.99</v>
      </c>
      <c r="O184" s="14" t="n">
        <v>10881.97</v>
      </c>
      <c r="P184" s="21" t="n">
        <v>0.146</v>
      </c>
      <c r="Q184" s="6" t="n">
        <v>67</v>
      </c>
      <c r="R184" s="6" t="s">
        <v>161</v>
      </c>
      <c r="S184" s="21" t="n">
        <v>1</v>
      </c>
      <c r="T184" s="14" t="n">
        <v>45101.99</v>
      </c>
      <c r="U184" s="6" t="s">
        <v>14</v>
      </c>
    </row>
    <row r="185" customFormat="false" ht="15" hidden="false" customHeight="true" outlineLevel="0" collapsed="false">
      <c r="A185" s="6" t="s">
        <v>563</v>
      </c>
      <c r="B185" s="6" t="s">
        <v>564</v>
      </c>
      <c r="C185" s="6" t="s">
        <v>128</v>
      </c>
      <c r="D185" s="6" t="s">
        <v>401</v>
      </c>
      <c r="E185" s="6" t="s">
        <v>299</v>
      </c>
      <c r="F185" s="13" t="n">
        <v>45488</v>
      </c>
      <c r="G185" s="13" t="n">
        <v>45567</v>
      </c>
      <c r="H185" s="14" t="n">
        <v>190267.99</v>
      </c>
      <c r="I185" s="6" t="n">
        <v>2</v>
      </c>
      <c r="J185" s="6" t="n">
        <v>603</v>
      </c>
      <c r="K185" s="6" t="s">
        <v>160</v>
      </c>
      <c r="L185" s="14" t="n">
        <v>45037.6</v>
      </c>
      <c r="M185" s="22" t="n">
        <v>1.095</v>
      </c>
      <c r="N185" s="14" t="n">
        <v>49316.17</v>
      </c>
      <c r="O185" s="14" t="n">
        <v>4278.57</v>
      </c>
      <c r="P185" s="21" t="n">
        <v>0.098</v>
      </c>
      <c r="Q185" s="6" t="n">
        <v>79</v>
      </c>
      <c r="R185" s="6" t="s">
        <v>161</v>
      </c>
      <c r="S185" s="21" t="n">
        <v>1</v>
      </c>
      <c r="T185" s="14" t="n">
        <v>49316.17</v>
      </c>
      <c r="U185" s="6" t="s">
        <v>41</v>
      </c>
    </row>
    <row r="186" customFormat="false" ht="15" hidden="false" customHeight="true" outlineLevel="0" collapsed="false">
      <c r="A186" s="6" t="s">
        <v>565</v>
      </c>
      <c r="B186" s="6" t="s">
        <v>566</v>
      </c>
      <c r="C186" s="6" t="s">
        <v>120</v>
      </c>
      <c r="D186" s="6" t="s">
        <v>158</v>
      </c>
      <c r="E186" s="6" t="s">
        <v>195</v>
      </c>
      <c r="F186" s="13" t="n">
        <v>45959</v>
      </c>
      <c r="G186" s="13" t="n">
        <v>46115</v>
      </c>
      <c r="H186" s="14" t="n">
        <v>47873.42</v>
      </c>
      <c r="I186" s="6" t="n">
        <v>0</v>
      </c>
      <c r="J186" s="6" t="n">
        <v>547</v>
      </c>
      <c r="K186" s="6" t="s">
        <v>160</v>
      </c>
      <c r="L186" s="14" t="n">
        <v>17630.11</v>
      </c>
      <c r="M186" s="22" t="n">
        <v>1.249</v>
      </c>
      <c r="N186" s="14" t="n">
        <v>22020.01</v>
      </c>
      <c r="O186" s="14" t="n">
        <v>4389.9</v>
      </c>
      <c r="P186" s="21" t="n">
        <v>0.088</v>
      </c>
      <c r="Q186" s="6" t="n">
        <v>156</v>
      </c>
      <c r="R186" s="6" t="s">
        <v>161</v>
      </c>
      <c r="S186" s="21" t="n">
        <v>1</v>
      </c>
      <c r="T186" s="14" t="n">
        <v>22020.01</v>
      </c>
      <c r="U186" s="6" t="s">
        <v>56</v>
      </c>
    </row>
    <row r="187" customFormat="false" ht="15" hidden="false" customHeight="true" outlineLevel="0" collapsed="false">
      <c r="A187" s="6" t="s">
        <v>567</v>
      </c>
      <c r="B187" s="6" t="s">
        <v>568</v>
      </c>
      <c r="C187" s="6" t="s">
        <v>124</v>
      </c>
      <c r="D187" s="6" t="s">
        <v>238</v>
      </c>
      <c r="E187" s="6" t="s">
        <v>173</v>
      </c>
      <c r="F187" s="13" t="n">
        <v>45049</v>
      </c>
      <c r="G187" s="13" t="n">
        <v>45261</v>
      </c>
      <c r="H187" s="14" t="n">
        <v>231639.86</v>
      </c>
      <c r="I187" s="6" t="n">
        <v>2</v>
      </c>
      <c r="J187" s="6" t="n">
        <v>591</v>
      </c>
      <c r="K187" s="6" t="s">
        <v>160</v>
      </c>
      <c r="L187" s="14" t="n">
        <v>91267.63</v>
      </c>
      <c r="M187" s="22" t="n">
        <v>1.26</v>
      </c>
      <c r="N187" s="14" t="n">
        <v>114997.21</v>
      </c>
      <c r="O187" s="14" t="n">
        <v>23729.58</v>
      </c>
      <c r="P187" s="21" t="n">
        <v>0.07</v>
      </c>
      <c r="Q187" s="6" t="n">
        <v>212</v>
      </c>
      <c r="R187" s="6" t="s">
        <v>155</v>
      </c>
      <c r="S187" s="21" t="n">
        <v>0.98</v>
      </c>
      <c r="T187" s="14" t="n">
        <v>112697.27</v>
      </c>
      <c r="U187" s="6" t="s">
        <v>27</v>
      </c>
    </row>
    <row r="188" customFormat="false" ht="15" hidden="false" customHeight="true" outlineLevel="0" collapsed="false">
      <c r="A188" s="6" t="s">
        <v>569</v>
      </c>
      <c r="B188" s="6" t="s">
        <v>570</v>
      </c>
      <c r="C188" s="6" t="s">
        <v>131</v>
      </c>
      <c r="D188" s="6" t="s">
        <v>200</v>
      </c>
      <c r="E188" s="6" t="s">
        <v>165</v>
      </c>
      <c r="F188" s="13" t="n">
        <v>45710</v>
      </c>
      <c r="G188" s="13" t="n">
        <v>45770</v>
      </c>
      <c r="H188" s="14" t="n">
        <v>43802.92</v>
      </c>
      <c r="I188" s="6" t="n">
        <v>3</v>
      </c>
      <c r="J188" s="6" t="n">
        <v>618</v>
      </c>
      <c r="K188" s="6" t="s">
        <v>160</v>
      </c>
      <c r="L188" s="14" t="n">
        <v>3799.62</v>
      </c>
      <c r="M188" s="22" t="n">
        <v>1.163</v>
      </c>
      <c r="N188" s="14" t="n">
        <v>4418.96</v>
      </c>
      <c r="O188" s="14" t="n">
        <v>619.34</v>
      </c>
      <c r="P188" s="21" t="n">
        <v>0.108</v>
      </c>
      <c r="Q188" s="6" t="n">
        <v>60</v>
      </c>
      <c r="R188" s="6" t="s">
        <v>155</v>
      </c>
      <c r="S188" s="21" t="n">
        <v>0.955</v>
      </c>
      <c r="T188" s="14" t="n">
        <v>4220.11</v>
      </c>
      <c r="U188" s="6" t="s">
        <v>48</v>
      </c>
    </row>
    <row r="189" customFormat="false" ht="15" hidden="false" customHeight="true" outlineLevel="0" collapsed="false">
      <c r="A189" s="6" t="s">
        <v>571</v>
      </c>
      <c r="B189" s="6" t="s">
        <v>572</v>
      </c>
      <c r="C189" s="6" t="s">
        <v>112</v>
      </c>
      <c r="D189" s="6" t="s">
        <v>188</v>
      </c>
      <c r="E189" s="6" t="s">
        <v>219</v>
      </c>
      <c r="F189" s="13" t="n">
        <v>44942</v>
      </c>
      <c r="G189" s="13" t="n">
        <v>45111</v>
      </c>
      <c r="H189" s="14" t="n">
        <v>9601.77</v>
      </c>
      <c r="I189" s="6" t="n">
        <v>1</v>
      </c>
      <c r="J189" s="6" t="n">
        <v>587</v>
      </c>
      <c r="K189" s="6" t="s">
        <v>160</v>
      </c>
      <c r="L189" s="14" t="n">
        <v>2865.55</v>
      </c>
      <c r="M189" s="22" t="n">
        <v>1.284</v>
      </c>
      <c r="N189" s="14" t="n">
        <v>3679.37</v>
      </c>
      <c r="O189" s="14" t="n">
        <v>813.82</v>
      </c>
      <c r="P189" s="21" t="n">
        <v>0.068</v>
      </c>
      <c r="Q189" s="6" t="n">
        <v>169</v>
      </c>
      <c r="R189" s="6" t="s">
        <v>155</v>
      </c>
      <c r="S189" s="21" t="n">
        <v>0.801</v>
      </c>
      <c r="T189" s="14" t="n">
        <v>2947.18</v>
      </c>
      <c r="U189" s="6" t="s">
        <v>23</v>
      </c>
    </row>
    <row r="190" customFormat="false" ht="15" hidden="false" customHeight="true" outlineLevel="0" collapsed="false">
      <c r="A190" s="6" t="s">
        <v>573</v>
      </c>
      <c r="B190" s="6" t="s">
        <v>574</v>
      </c>
      <c r="C190" s="6" t="s">
        <v>116</v>
      </c>
      <c r="D190" s="6" t="s">
        <v>206</v>
      </c>
      <c r="E190" s="6" t="s">
        <v>288</v>
      </c>
      <c r="F190" s="13" t="n">
        <v>45965</v>
      </c>
      <c r="G190" s="13" t="n">
        <v>46150</v>
      </c>
      <c r="H190" s="14" t="n">
        <v>193054.83</v>
      </c>
      <c r="I190" s="6" t="n">
        <v>1</v>
      </c>
      <c r="J190" s="6" t="n">
        <v>553</v>
      </c>
      <c r="K190" s="6" t="s">
        <v>160</v>
      </c>
      <c r="L190" s="14" t="n">
        <v>83995.43</v>
      </c>
      <c r="M190" s="22" t="n">
        <v>1.265</v>
      </c>
      <c r="N190" s="14" t="n">
        <v>106254.22</v>
      </c>
      <c r="O190" s="14" t="n">
        <v>22258.79</v>
      </c>
      <c r="P190" s="21" t="n">
        <v>0.089</v>
      </c>
      <c r="Q190" s="6" t="n">
        <v>185</v>
      </c>
      <c r="R190" s="6" t="s">
        <v>161</v>
      </c>
      <c r="S190" s="21" t="n">
        <v>1</v>
      </c>
      <c r="T190" s="14" t="n">
        <v>106254.22</v>
      </c>
      <c r="U190" s="6" t="s">
        <v>57</v>
      </c>
    </row>
    <row r="191" customFormat="false" ht="15" hidden="false" customHeight="true" outlineLevel="0" collapsed="false">
      <c r="A191" s="6" t="s">
        <v>575</v>
      </c>
      <c r="B191" s="6" t="s">
        <v>576</v>
      </c>
      <c r="C191" s="6" t="s">
        <v>131</v>
      </c>
      <c r="D191" s="6" t="s">
        <v>152</v>
      </c>
      <c r="E191" s="6" t="s">
        <v>159</v>
      </c>
      <c r="F191" s="13" t="n">
        <v>46113</v>
      </c>
      <c r="G191" s="13" t="n">
        <v>46191</v>
      </c>
      <c r="H191" s="14" t="n">
        <v>82397.65</v>
      </c>
      <c r="I191" s="6" t="n">
        <v>0</v>
      </c>
      <c r="J191" s="6" t="n">
        <v>814</v>
      </c>
      <c r="K191" s="6" t="s">
        <v>185</v>
      </c>
      <c r="L191" s="14" t="n">
        <v>29621.04</v>
      </c>
      <c r="M191" s="22" t="n">
        <v>1.101</v>
      </c>
      <c r="N191" s="14" t="n">
        <v>32612.77</v>
      </c>
      <c r="O191" s="14" t="n">
        <v>2991.73</v>
      </c>
      <c r="P191" s="21" t="n">
        <v>0.151</v>
      </c>
      <c r="Q191" s="6" t="n">
        <v>78</v>
      </c>
      <c r="R191" s="6" t="s">
        <v>161</v>
      </c>
      <c r="S191" s="21" t="n">
        <v>1</v>
      </c>
      <c r="T191" s="14" t="n">
        <v>32612.77</v>
      </c>
      <c r="U191" s="6" t="s">
        <v>62</v>
      </c>
    </row>
    <row r="192" customFormat="false" ht="15" hidden="false" customHeight="true" outlineLevel="0" collapsed="false">
      <c r="A192" s="6" t="s">
        <v>577</v>
      </c>
      <c r="B192" s="6" t="s">
        <v>578</v>
      </c>
      <c r="C192" s="6" t="s">
        <v>131</v>
      </c>
      <c r="D192" s="6" t="s">
        <v>200</v>
      </c>
      <c r="E192" s="6" t="s">
        <v>153</v>
      </c>
      <c r="F192" s="13" t="n">
        <v>45596</v>
      </c>
      <c r="G192" s="13" t="n">
        <v>45668</v>
      </c>
      <c r="H192" s="14" t="n">
        <v>29968.59</v>
      </c>
      <c r="I192" s="6" t="n">
        <v>3</v>
      </c>
      <c r="J192" s="6" t="n">
        <v>801</v>
      </c>
      <c r="K192" s="6" t="s">
        <v>160</v>
      </c>
      <c r="L192" s="14" t="n">
        <v>7338.92</v>
      </c>
      <c r="M192" s="22" t="n">
        <v>1.291</v>
      </c>
      <c r="N192" s="14" t="n">
        <v>9474.55</v>
      </c>
      <c r="O192" s="14" t="n">
        <v>2135.63</v>
      </c>
      <c r="P192" s="21" t="n">
        <v>0.13</v>
      </c>
      <c r="Q192" s="6" t="n">
        <v>72</v>
      </c>
      <c r="R192" s="6" t="s">
        <v>161</v>
      </c>
      <c r="S192" s="21" t="n">
        <v>1</v>
      </c>
      <c r="T192" s="14" t="n">
        <v>9474.55</v>
      </c>
      <c r="U192" s="6" t="s">
        <v>44</v>
      </c>
    </row>
    <row r="193" customFormat="false" ht="15" hidden="false" customHeight="true" outlineLevel="0" collapsed="false">
      <c r="A193" s="6" t="s">
        <v>579</v>
      </c>
      <c r="B193" s="6" t="s">
        <v>580</v>
      </c>
      <c r="C193" s="6" t="s">
        <v>131</v>
      </c>
      <c r="D193" s="6" t="s">
        <v>200</v>
      </c>
      <c r="E193" s="6" t="s">
        <v>177</v>
      </c>
      <c r="F193" s="13" t="n">
        <v>45028</v>
      </c>
      <c r="G193" s="13" t="n">
        <v>45089</v>
      </c>
      <c r="H193" s="14" t="n">
        <v>176948.16</v>
      </c>
      <c r="I193" s="6" t="n">
        <v>0</v>
      </c>
      <c r="J193" s="6" t="n">
        <v>716</v>
      </c>
      <c r="K193" s="6" t="s">
        <v>154</v>
      </c>
      <c r="L193" s="14" t="n">
        <v>23898.85</v>
      </c>
      <c r="M193" s="22" t="n">
        <v>1.182</v>
      </c>
      <c r="N193" s="14" t="n">
        <v>28248.44</v>
      </c>
      <c r="O193" s="14" t="n">
        <v>4349.59</v>
      </c>
      <c r="P193" s="21" t="n">
        <v>0.078</v>
      </c>
      <c r="Q193" s="6" t="n">
        <v>61</v>
      </c>
      <c r="R193" s="6" t="s">
        <v>161</v>
      </c>
      <c r="S193" s="21" t="n">
        <v>1</v>
      </c>
      <c r="T193" s="14" t="n">
        <v>28248.44</v>
      </c>
      <c r="U193" s="6" t="s">
        <v>26</v>
      </c>
    </row>
    <row r="194" customFormat="false" ht="15" hidden="false" customHeight="true" outlineLevel="0" collapsed="false">
      <c r="A194" s="6" t="s">
        <v>581</v>
      </c>
      <c r="B194" s="6" t="s">
        <v>582</v>
      </c>
      <c r="C194" s="6" t="s">
        <v>124</v>
      </c>
      <c r="D194" s="6" t="s">
        <v>238</v>
      </c>
      <c r="E194" s="6" t="s">
        <v>326</v>
      </c>
      <c r="F194" s="13" t="n">
        <v>44588</v>
      </c>
      <c r="G194" s="13" t="n">
        <v>44766</v>
      </c>
      <c r="H194" s="14" t="n">
        <v>106562.3</v>
      </c>
      <c r="I194" s="6" t="n">
        <v>5</v>
      </c>
      <c r="J194" s="6" t="n">
        <v>637</v>
      </c>
      <c r="K194" s="6" t="s">
        <v>154</v>
      </c>
      <c r="L194" s="14" t="n">
        <v>46663.88</v>
      </c>
      <c r="M194" s="22" t="n">
        <v>1.334</v>
      </c>
      <c r="N194" s="14" t="n">
        <v>62249.62</v>
      </c>
      <c r="O194" s="14" t="n">
        <v>15585.74</v>
      </c>
      <c r="P194" s="21" t="n">
        <v>0.098</v>
      </c>
      <c r="Q194" s="6" t="n">
        <v>178</v>
      </c>
      <c r="R194" s="6" t="s">
        <v>490</v>
      </c>
      <c r="S194" s="21" t="n">
        <v>0.47</v>
      </c>
      <c r="T194" s="14" t="n">
        <v>29257.32</v>
      </c>
      <c r="U194" s="6" t="s">
        <v>11</v>
      </c>
    </row>
    <row r="195" customFormat="false" ht="15" hidden="false" customHeight="true" outlineLevel="0" collapsed="false">
      <c r="A195" s="6" t="s">
        <v>583</v>
      </c>
      <c r="B195" s="6" t="s">
        <v>584</v>
      </c>
      <c r="C195" s="6" t="s">
        <v>124</v>
      </c>
      <c r="D195" s="6" t="s">
        <v>238</v>
      </c>
      <c r="E195" s="6" t="s">
        <v>192</v>
      </c>
      <c r="F195" s="13" t="n">
        <v>45443</v>
      </c>
      <c r="G195" s="13" t="n">
        <v>45519</v>
      </c>
      <c r="H195" s="14" t="n">
        <v>168226.56</v>
      </c>
      <c r="I195" s="6" t="n">
        <v>1</v>
      </c>
      <c r="J195" s="6" t="n">
        <v>584</v>
      </c>
      <c r="K195" s="6" t="s">
        <v>160</v>
      </c>
      <c r="L195" s="14" t="n">
        <v>59184.5</v>
      </c>
      <c r="M195" s="22" t="n">
        <v>1.085</v>
      </c>
      <c r="N195" s="14" t="n">
        <v>64215.18</v>
      </c>
      <c r="O195" s="14" t="n">
        <v>5030.68</v>
      </c>
      <c r="P195" s="21" t="n">
        <v>0.149</v>
      </c>
      <c r="Q195" s="6" t="n">
        <v>76</v>
      </c>
      <c r="R195" s="6" t="s">
        <v>155</v>
      </c>
      <c r="S195" s="21" t="n">
        <v>0.742</v>
      </c>
      <c r="T195" s="14" t="n">
        <v>47647.66</v>
      </c>
      <c r="U195" s="6" t="s">
        <v>39</v>
      </c>
    </row>
    <row r="196" customFormat="false" ht="15" hidden="false" customHeight="true" outlineLevel="0" collapsed="false">
      <c r="A196" s="6" t="s">
        <v>585</v>
      </c>
      <c r="B196" s="6" t="s">
        <v>586</v>
      </c>
      <c r="C196" s="6" t="s">
        <v>116</v>
      </c>
      <c r="D196" s="6" t="s">
        <v>206</v>
      </c>
      <c r="E196" s="6" t="s">
        <v>304</v>
      </c>
      <c r="F196" s="13" t="n">
        <v>44824</v>
      </c>
      <c r="G196" s="13" t="n">
        <v>44898</v>
      </c>
      <c r="H196" s="14" t="n">
        <v>102715.13</v>
      </c>
      <c r="I196" s="6" t="n">
        <v>1</v>
      </c>
      <c r="J196" s="6" t="n">
        <v>811</v>
      </c>
      <c r="K196" s="6" t="s">
        <v>160</v>
      </c>
      <c r="L196" s="14" t="n">
        <v>29447.47</v>
      </c>
      <c r="M196" s="22" t="n">
        <v>1.097</v>
      </c>
      <c r="N196" s="14" t="n">
        <v>32303.87</v>
      </c>
      <c r="O196" s="14" t="n">
        <v>2856.4</v>
      </c>
      <c r="P196" s="21" t="n">
        <v>0.127</v>
      </c>
      <c r="Q196" s="6" t="n">
        <v>74</v>
      </c>
      <c r="R196" s="6" t="s">
        <v>155</v>
      </c>
      <c r="S196" s="21" t="n">
        <v>0.822</v>
      </c>
      <c r="T196" s="14" t="n">
        <v>26553.78</v>
      </c>
      <c r="U196" s="6" t="s">
        <v>19</v>
      </c>
    </row>
    <row r="197" customFormat="false" ht="15" hidden="false" customHeight="true" outlineLevel="0" collapsed="false">
      <c r="A197" s="6" t="s">
        <v>587</v>
      </c>
      <c r="B197" s="6" t="s">
        <v>588</v>
      </c>
      <c r="C197" s="6" t="s">
        <v>124</v>
      </c>
      <c r="D197" s="6" t="s">
        <v>168</v>
      </c>
      <c r="E197" s="6" t="s">
        <v>207</v>
      </c>
      <c r="F197" s="13" t="n">
        <v>44766</v>
      </c>
      <c r="G197" s="13" t="n">
        <v>44826</v>
      </c>
      <c r="H197" s="14" t="n">
        <v>12937.35</v>
      </c>
      <c r="I197" s="6" t="n">
        <v>1</v>
      </c>
      <c r="J197" s="6" t="n">
        <v>507</v>
      </c>
      <c r="K197" s="6" t="s">
        <v>160</v>
      </c>
      <c r="L197" s="14" t="n">
        <v>2526.83</v>
      </c>
      <c r="M197" s="22" t="n">
        <v>1.235</v>
      </c>
      <c r="N197" s="14" t="n">
        <v>3120.64</v>
      </c>
      <c r="O197" s="14" t="n">
        <v>593.81</v>
      </c>
      <c r="P197" s="21" t="n">
        <v>0.155</v>
      </c>
      <c r="Q197" s="6" t="n">
        <v>60</v>
      </c>
      <c r="R197" s="6" t="s">
        <v>161</v>
      </c>
      <c r="S197" s="21" t="n">
        <v>1</v>
      </c>
      <c r="T197" s="14" t="n">
        <v>3120.64</v>
      </c>
      <c r="U197" s="6" t="s">
        <v>17</v>
      </c>
    </row>
    <row r="198" customFormat="false" ht="15" hidden="false" customHeight="true" outlineLevel="0" collapsed="false">
      <c r="A198" s="6" t="s">
        <v>589</v>
      </c>
      <c r="B198" s="6" t="s">
        <v>590</v>
      </c>
      <c r="C198" s="6" t="s">
        <v>112</v>
      </c>
      <c r="D198" s="6" t="s">
        <v>225</v>
      </c>
      <c r="E198" s="6" t="s">
        <v>192</v>
      </c>
      <c r="F198" s="13" t="n">
        <v>45774</v>
      </c>
      <c r="G198" s="13" t="n">
        <v>45885</v>
      </c>
      <c r="H198" s="14" t="n">
        <v>72167.53</v>
      </c>
      <c r="I198" s="6" t="n">
        <v>0</v>
      </c>
      <c r="J198" s="6" t="n">
        <v>684</v>
      </c>
      <c r="K198" s="6" t="s">
        <v>160</v>
      </c>
      <c r="L198" s="14" t="n">
        <v>26386.73</v>
      </c>
      <c r="M198" s="22" t="n">
        <v>1.274</v>
      </c>
      <c r="N198" s="14" t="n">
        <v>33616.69</v>
      </c>
      <c r="O198" s="14" t="n">
        <v>7229.96</v>
      </c>
      <c r="P198" s="21" t="n">
        <v>0.125</v>
      </c>
      <c r="Q198" s="6" t="n">
        <v>111</v>
      </c>
      <c r="R198" s="6" t="s">
        <v>161</v>
      </c>
      <c r="S198" s="21" t="n">
        <v>1</v>
      </c>
      <c r="T198" s="14" t="n">
        <v>33616.69</v>
      </c>
      <c r="U198" s="6" t="s">
        <v>50</v>
      </c>
    </row>
    <row r="199" customFormat="false" ht="15" hidden="false" customHeight="true" outlineLevel="0" collapsed="false">
      <c r="A199" s="6" t="s">
        <v>591</v>
      </c>
      <c r="B199" s="6" t="s">
        <v>592</v>
      </c>
      <c r="C199" s="6" t="s">
        <v>116</v>
      </c>
      <c r="D199" s="6" t="s">
        <v>206</v>
      </c>
      <c r="E199" s="6" t="s">
        <v>211</v>
      </c>
      <c r="F199" s="13" t="n">
        <v>45450</v>
      </c>
      <c r="G199" s="13" t="n">
        <v>45510</v>
      </c>
      <c r="H199" s="14" t="n">
        <v>59534.58</v>
      </c>
      <c r="I199" s="6" t="n">
        <v>5</v>
      </c>
      <c r="J199" s="6" t="n">
        <v>738</v>
      </c>
      <c r="K199" s="6" t="s">
        <v>185</v>
      </c>
      <c r="L199" s="14" t="n">
        <v>11305.77</v>
      </c>
      <c r="M199" s="22" t="n">
        <v>1.298</v>
      </c>
      <c r="N199" s="14" t="n">
        <v>14674.89</v>
      </c>
      <c r="O199" s="14" t="n">
        <v>3369.12</v>
      </c>
      <c r="P199" s="21" t="n">
        <v>0.161</v>
      </c>
      <c r="Q199" s="6" t="n">
        <v>60</v>
      </c>
      <c r="R199" s="6" t="s">
        <v>155</v>
      </c>
      <c r="S199" s="21" t="n">
        <v>0.954</v>
      </c>
      <c r="T199" s="14" t="n">
        <v>13999.85</v>
      </c>
      <c r="U199" s="6" t="s">
        <v>40</v>
      </c>
    </row>
    <row r="200" customFormat="false" ht="15" hidden="false" customHeight="true" outlineLevel="0" collapsed="false">
      <c r="A200" s="6" t="s">
        <v>593</v>
      </c>
      <c r="B200" s="6" t="s">
        <v>594</v>
      </c>
      <c r="C200" s="6" t="s">
        <v>131</v>
      </c>
      <c r="D200" s="6" t="s">
        <v>176</v>
      </c>
      <c r="E200" s="6" t="s">
        <v>159</v>
      </c>
      <c r="F200" s="13" t="n">
        <v>45426</v>
      </c>
      <c r="G200" s="13" t="n">
        <v>45486</v>
      </c>
      <c r="H200" s="14" t="n">
        <v>106219.56</v>
      </c>
      <c r="I200" s="6" t="n">
        <v>0</v>
      </c>
      <c r="J200" s="6" t="n">
        <v>561</v>
      </c>
      <c r="K200" s="6" t="s">
        <v>160</v>
      </c>
      <c r="L200" s="14" t="n">
        <v>31901.16</v>
      </c>
      <c r="M200" s="22" t="n">
        <v>1.211</v>
      </c>
      <c r="N200" s="14" t="n">
        <v>38632.3</v>
      </c>
      <c r="O200" s="14" t="n">
        <v>6731.14</v>
      </c>
      <c r="P200" s="21" t="n">
        <v>0.179</v>
      </c>
      <c r="Q200" s="6" t="n">
        <v>60</v>
      </c>
      <c r="R200" s="6" t="s">
        <v>161</v>
      </c>
      <c r="S200" s="21" t="n">
        <v>1</v>
      </c>
      <c r="T200" s="14" t="n">
        <v>38632.3</v>
      </c>
      <c r="U200" s="6" t="s">
        <v>39</v>
      </c>
    </row>
    <row r="201" customFormat="false" ht="15" hidden="false" customHeight="true" outlineLevel="0" collapsed="false">
      <c r="A201" s="6" t="s">
        <v>595</v>
      </c>
      <c r="B201" s="6" t="s">
        <v>596</v>
      </c>
      <c r="C201" s="6" t="s">
        <v>131</v>
      </c>
      <c r="D201" s="6" t="s">
        <v>200</v>
      </c>
      <c r="E201" s="6" t="s">
        <v>153</v>
      </c>
      <c r="F201" s="13" t="n">
        <v>45908</v>
      </c>
      <c r="G201" s="13" t="n">
        <v>46073</v>
      </c>
      <c r="H201" s="14" t="n">
        <v>21389.2</v>
      </c>
      <c r="I201" s="6" t="n">
        <v>3</v>
      </c>
      <c r="J201" s="6" t="n">
        <v>600</v>
      </c>
      <c r="K201" s="6" t="s">
        <v>160</v>
      </c>
      <c r="L201" s="14" t="n">
        <v>9611.05</v>
      </c>
      <c r="M201" s="22" t="n">
        <v>1.19</v>
      </c>
      <c r="N201" s="14" t="n">
        <v>11437.15</v>
      </c>
      <c r="O201" s="14" t="n">
        <v>1826.1</v>
      </c>
      <c r="P201" s="21" t="n">
        <v>0.097</v>
      </c>
      <c r="Q201" s="6" t="n">
        <v>165</v>
      </c>
      <c r="R201" s="6" t="s">
        <v>155</v>
      </c>
      <c r="S201" s="21" t="n">
        <v>0.839</v>
      </c>
      <c r="T201" s="14" t="n">
        <v>9595.77</v>
      </c>
      <c r="U201" s="6" t="s">
        <v>55</v>
      </c>
    </row>
    <row r="202" customFormat="false" ht="15" hidden="false" customHeight="true" outlineLevel="0" collapsed="false">
      <c r="A202" s="6" t="s">
        <v>597</v>
      </c>
      <c r="B202" s="6" t="s">
        <v>598</v>
      </c>
      <c r="C202" s="6" t="s">
        <v>131</v>
      </c>
      <c r="D202" s="6" t="s">
        <v>152</v>
      </c>
      <c r="E202" s="6" t="s">
        <v>207</v>
      </c>
      <c r="F202" s="13" t="n">
        <v>45468</v>
      </c>
      <c r="G202" s="13" t="n">
        <v>45655</v>
      </c>
      <c r="H202" s="14" t="n">
        <v>141760.15</v>
      </c>
      <c r="I202" s="6" t="n">
        <v>0</v>
      </c>
      <c r="J202" s="6" t="n">
        <v>807</v>
      </c>
      <c r="K202" s="6" t="s">
        <v>160</v>
      </c>
      <c r="L202" s="14" t="n">
        <v>58749.02</v>
      </c>
      <c r="M202" s="22" t="n">
        <v>1.224</v>
      </c>
      <c r="N202" s="14" t="n">
        <v>71908.8</v>
      </c>
      <c r="O202" s="14" t="n">
        <v>13159.78</v>
      </c>
      <c r="P202" s="21" t="n">
        <v>0.081</v>
      </c>
      <c r="Q202" s="6" t="n">
        <v>187</v>
      </c>
      <c r="R202" s="6" t="s">
        <v>161</v>
      </c>
      <c r="S202" s="21" t="n">
        <v>1</v>
      </c>
      <c r="T202" s="14" t="n">
        <v>71908.8</v>
      </c>
      <c r="U202" s="6" t="s">
        <v>40</v>
      </c>
    </row>
    <row r="203" customFormat="false" ht="15" hidden="false" customHeight="true" outlineLevel="0" collapsed="false">
      <c r="A203" s="6" t="s">
        <v>599</v>
      </c>
      <c r="B203" s="6" t="s">
        <v>600</v>
      </c>
      <c r="C203" s="6" t="s">
        <v>120</v>
      </c>
      <c r="D203" s="6" t="s">
        <v>210</v>
      </c>
      <c r="E203" s="6" t="s">
        <v>211</v>
      </c>
      <c r="F203" s="13" t="n">
        <v>45334</v>
      </c>
      <c r="G203" s="13" t="n">
        <v>45468</v>
      </c>
      <c r="H203" s="14" t="n">
        <v>219388.41</v>
      </c>
      <c r="I203" s="6" t="n">
        <v>0</v>
      </c>
      <c r="J203" s="6" t="n">
        <v>556</v>
      </c>
      <c r="K203" s="6" t="s">
        <v>160</v>
      </c>
      <c r="L203" s="14" t="n">
        <v>60955.67</v>
      </c>
      <c r="M203" s="22" t="n">
        <v>1.192</v>
      </c>
      <c r="N203" s="14" t="n">
        <v>72659.16</v>
      </c>
      <c r="O203" s="14" t="n">
        <v>11703.49</v>
      </c>
      <c r="P203" s="21" t="n">
        <v>0.074</v>
      </c>
      <c r="Q203" s="6" t="n">
        <v>134</v>
      </c>
      <c r="R203" s="6" t="s">
        <v>155</v>
      </c>
      <c r="S203" s="21" t="n">
        <v>0.98</v>
      </c>
      <c r="T203" s="14" t="n">
        <v>71205.98</v>
      </c>
      <c r="U203" s="6" t="s">
        <v>36</v>
      </c>
    </row>
    <row r="204" customFormat="false" ht="15" hidden="false" customHeight="true" outlineLevel="0" collapsed="false">
      <c r="A204" s="6" t="s">
        <v>601</v>
      </c>
      <c r="B204" s="6" t="s">
        <v>602</v>
      </c>
      <c r="C204" s="6" t="s">
        <v>116</v>
      </c>
      <c r="D204" s="6" t="s">
        <v>152</v>
      </c>
      <c r="E204" s="6" t="s">
        <v>192</v>
      </c>
      <c r="F204" s="13" t="n">
        <v>44834</v>
      </c>
      <c r="G204" s="13" t="n">
        <v>44996</v>
      </c>
      <c r="H204" s="14" t="n">
        <v>244223.02</v>
      </c>
      <c r="I204" s="6" t="n">
        <v>0</v>
      </c>
      <c r="J204" s="6" t="n">
        <v>644</v>
      </c>
      <c r="K204" s="6" t="s">
        <v>160</v>
      </c>
      <c r="L204" s="14" t="n">
        <v>56162.66</v>
      </c>
      <c r="M204" s="22" t="n">
        <v>1.204</v>
      </c>
      <c r="N204" s="14" t="n">
        <v>67619.84</v>
      </c>
      <c r="O204" s="14" t="n">
        <v>11457.18</v>
      </c>
      <c r="P204" s="21" t="n">
        <v>0.051</v>
      </c>
      <c r="Q204" s="6" t="n">
        <v>162</v>
      </c>
      <c r="R204" s="6" t="s">
        <v>155</v>
      </c>
      <c r="S204" s="21" t="n">
        <v>0.98</v>
      </c>
      <c r="T204" s="14" t="n">
        <v>66267.44</v>
      </c>
      <c r="U204" s="6" t="s">
        <v>19</v>
      </c>
    </row>
    <row r="205" customFormat="false" ht="15" hidden="false" customHeight="true" outlineLevel="0" collapsed="false">
      <c r="A205" s="6" t="s">
        <v>603</v>
      </c>
      <c r="B205" s="6" t="s">
        <v>604</v>
      </c>
      <c r="C205" s="6" t="s">
        <v>128</v>
      </c>
      <c r="D205" s="6" t="s">
        <v>235</v>
      </c>
      <c r="E205" s="6" t="s">
        <v>181</v>
      </c>
      <c r="F205" s="13" t="n">
        <v>44948</v>
      </c>
      <c r="G205" s="13" t="n">
        <v>45064</v>
      </c>
      <c r="H205" s="14" t="n">
        <v>224026.58</v>
      </c>
      <c r="I205" s="6" t="n">
        <v>0</v>
      </c>
      <c r="J205" s="6" t="n">
        <v>818</v>
      </c>
      <c r="K205" s="6" t="s">
        <v>160</v>
      </c>
      <c r="L205" s="14" t="n">
        <v>74517.03</v>
      </c>
      <c r="M205" s="22" t="n">
        <v>1.252</v>
      </c>
      <c r="N205" s="14" t="n">
        <v>93295.32</v>
      </c>
      <c r="O205" s="14" t="n">
        <v>18778.29</v>
      </c>
      <c r="P205" s="21" t="n">
        <v>0.107</v>
      </c>
      <c r="Q205" s="6" t="n">
        <v>116</v>
      </c>
      <c r="R205" s="6" t="s">
        <v>155</v>
      </c>
      <c r="S205" s="21" t="n">
        <v>0.78</v>
      </c>
      <c r="T205" s="14" t="n">
        <v>72770.35</v>
      </c>
      <c r="U205" s="6" t="s">
        <v>23</v>
      </c>
    </row>
    <row r="206" customFormat="false" ht="15" hidden="false" customHeight="true" outlineLevel="0" collapsed="false">
      <c r="A206" s="6" t="s">
        <v>605</v>
      </c>
      <c r="B206" s="6" t="s">
        <v>606</v>
      </c>
      <c r="C206" s="6" t="s">
        <v>112</v>
      </c>
      <c r="D206" s="6" t="s">
        <v>164</v>
      </c>
      <c r="E206" s="6" t="s">
        <v>195</v>
      </c>
      <c r="F206" s="13" t="n">
        <v>45491</v>
      </c>
      <c r="G206" s="13" t="n">
        <v>45551</v>
      </c>
      <c r="H206" s="14" t="n">
        <v>103389.09</v>
      </c>
      <c r="I206" s="6" t="n">
        <v>1</v>
      </c>
      <c r="J206" s="6" t="n">
        <v>804</v>
      </c>
      <c r="K206" s="6" t="s">
        <v>160</v>
      </c>
      <c r="L206" s="14" t="n">
        <v>10763.94</v>
      </c>
      <c r="M206" s="22" t="n">
        <v>1.304</v>
      </c>
      <c r="N206" s="14" t="n">
        <v>14036.18</v>
      </c>
      <c r="O206" s="14" t="n">
        <v>3272.24</v>
      </c>
      <c r="P206" s="21" t="n">
        <v>0.136</v>
      </c>
      <c r="Q206" s="6" t="n">
        <v>60</v>
      </c>
      <c r="R206" s="6" t="s">
        <v>161</v>
      </c>
      <c r="S206" s="21" t="n">
        <v>1</v>
      </c>
      <c r="T206" s="14" t="n">
        <v>14036.18</v>
      </c>
      <c r="U206" s="6" t="s">
        <v>41</v>
      </c>
    </row>
    <row r="207" customFormat="false" ht="15" hidden="false" customHeight="true" outlineLevel="0" collapsed="false">
      <c r="A207" s="6" t="s">
        <v>607</v>
      </c>
      <c r="B207" s="6" t="s">
        <v>608</v>
      </c>
      <c r="C207" s="6" t="s">
        <v>116</v>
      </c>
      <c r="D207" s="6" t="s">
        <v>152</v>
      </c>
      <c r="E207" s="6" t="s">
        <v>304</v>
      </c>
      <c r="F207" s="13" t="n">
        <v>45053</v>
      </c>
      <c r="G207" s="13" t="n">
        <v>45164</v>
      </c>
      <c r="H207" s="14" t="n">
        <v>201977.03</v>
      </c>
      <c r="I207" s="6" t="n">
        <v>0</v>
      </c>
      <c r="J207" s="6" t="n">
        <v>755</v>
      </c>
      <c r="K207" s="6" t="s">
        <v>154</v>
      </c>
      <c r="L207" s="14" t="n">
        <v>56189.72</v>
      </c>
      <c r="M207" s="22" t="n">
        <v>1.105</v>
      </c>
      <c r="N207" s="14" t="n">
        <v>62089.64</v>
      </c>
      <c r="O207" s="14" t="n">
        <v>5899.92</v>
      </c>
      <c r="P207" s="21" t="n">
        <v>0.083</v>
      </c>
      <c r="Q207" s="6" t="n">
        <v>111</v>
      </c>
      <c r="R207" s="6" t="s">
        <v>232</v>
      </c>
      <c r="S207" s="21" t="n">
        <v>1</v>
      </c>
      <c r="T207" s="14" t="n">
        <v>62089.64</v>
      </c>
      <c r="U207" s="6" t="s">
        <v>27</v>
      </c>
    </row>
    <row r="208" customFormat="false" ht="15" hidden="false" customHeight="true" outlineLevel="0" collapsed="false">
      <c r="A208" s="6" t="s">
        <v>609</v>
      </c>
      <c r="B208" s="6" t="s">
        <v>610</v>
      </c>
      <c r="C208" s="6" t="s">
        <v>112</v>
      </c>
      <c r="D208" s="6" t="s">
        <v>164</v>
      </c>
      <c r="E208" s="6" t="s">
        <v>184</v>
      </c>
      <c r="F208" s="13" t="n">
        <v>44724</v>
      </c>
      <c r="G208" s="13" t="n">
        <v>44807</v>
      </c>
      <c r="H208" s="14" t="n">
        <v>171698.49</v>
      </c>
      <c r="I208" s="6" t="n">
        <v>1</v>
      </c>
      <c r="J208" s="6" t="n">
        <v>728</v>
      </c>
      <c r="K208" s="6" t="s">
        <v>185</v>
      </c>
      <c r="L208" s="14" t="n">
        <v>47841.47</v>
      </c>
      <c r="M208" s="22" t="n">
        <v>1.103</v>
      </c>
      <c r="N208" s="14" t="n">
        <v>52769.14</v>
      </c>
      <c r="O208" s="14" t="n">
        <v>4927.67</v>
      </c>
      <c r="P208" s="21" t="n">
        <v>0.111</v>
      </c>
      <c r="Q208" s="6" t="n">
        <v>83</v>
      </c>
      <c r="R208" s="6" t="s">
        <v>155</v>
      </c>
      <c r="S208" s="21" t="n">
        <v>0.867</v>
      </c>
      <c r="T208" s="14" t="n">
        <v>45750.84</v>
      </c>
      <c r="U208" s="6" t="s">
        <v>16</v>
      </c>
    </row>
    <row r="209" customFormat="false" ht="15" hidden="false" customHeight="true" outlineLevel="0" collapsed="false">
      <c r="A209" s="6" t="s">
        <v>611</v>
      </c>
      <c r="B209" s="6" t="s">
        <v>612</v>
      </c>
      <c r="C209" s="6" t="s">
        <v>116</v>
      </c>
      <c r="D209" s="6" t="s">
        <v>222</v>
      </c>
      <c r="E209" s="6" t="s">
        <v>304</v>
      </c>
      <c r="F209" s="13" t="n">
        <v>44945</v>
      </c>
      <c r="G209" s="13" t="n">
        <v>45076</v>
      </c>
      <c r="H209" s="14" t="n">
        <v>28156.32</v>
      </c>
      <c r="I209" s="6" t="n">
        <v>3</v>
      </c>
      <c r="J209" s="6" t="n">
        <v>595</v>
      </c>
      <c r="K209" s="6" t="s">
        <v>185</v>
      </c>
      <c r="L209" s="14" t="n">
        <v>8930.93</v>
      </c>
      <c r="M209" s="22" t="n">
        <v>1.298</v>
      </c>
      <c r="N209" s="14" t="n">
        <v>11592.35</v>
      </c>
      <c r="O209" s="14" t="n">
        <v>2661.42</v>
      </c>
      <c r="P209" s="21" t="n">
        <v>0.094</v>
      </c>
      <c r="Q209" s="6" t="n">
        <v>131</v>
      </c>
      <c r="R209" s="6" t="s">
        <v>155</v>
      </c>
      <c r="S209" s="21" t="n">
        <v>0.727</v>
      </c>
      <c r="T209" s="14" t="n">
        <v>8427.64</v>
      </c>
      <c r="U209" s="6" t="s">
        <v>23</v>
      </c>
    </row>
    <row r="210" customFormat="false" ht="15" hidden="false" customHeight="true" outlineLevel="0" collapsed="false">
      <c r="A210" s="6" t="s">
        <v>613</v>
      </c>
      <c r="B210" s="6" t="s">
        <v>614</v>
      </c>
      <c r="C210" s="6" t="s">
        <v>116</v>
      </c>
      <c r="D210" s="6" t="s">
        <v>222</v>
      </c>
      <c r="E210" s="6" t="s">
        <v>181</v>
      </c>
      <c r="F210" s="13" t="n">
        <v>44974</v>
      </c>
      <c r="G210" s="13" t="n">
        <v>45094</v>
      </c>
      <c r="H210" s="14" t="n">
        <v>13279.67</v>
      </c>
      <c r="I210" s="6" t="n">
        <v>0</v>
      </c>
      <c r="J210" s="6" t="n">
        <v>549</v>
      </c>
      <c r="K210" s="6" t="s">
        <v>185</v>
      </c>
      <c r="L210" s="14" t="n">
        <v>5105.9</v>
      </c>
      <c r="M210" s="22" t="n">
        <v>1.312</v>
      </c>
      <c r="N210" s="14" t="n">
        <v>6698.94</v>
      </c>
      <c r="O210" s="14" t="n">
        <v>1593.04</v>
      </c>
      <c r="P210" s="21" t="n">
        <v>0.126</v>
      </c>
      <c r="Q210" s="6" t="n">
        <v>120</v>
      </c>
      <c r="R210" s="6" t="s">
        <v>161</v>
      </c>
      <c r="S210" s="21" t="n">
        <v>1</v>
      </c>
      <c r="T210" s="14" t="n">
        <v>6698.94</v>
      </c>
      <c r="U210" s="6" t="s">
        <v>24</v>
      </c>
    </row>
    <row r="211" customFormat="false" ht="15" hidden="false" customHeight="true" outlineLevel="0" collapsed="false">
      <c r="A211" s="6" t="s">
        <v>615</v>
      </c>
      <c r="B211" s="6" t="s">
        <v>616</v>
      </c>
      <c r="C211" s="6" t="s">
        <v>124</v>
      </c>
      <c r="D211" s="6" t="s">
        <v>243</v>
      </c>
      <c r="E211" s="6" t="s">
        <v>288</v>
      </c>
      <c r="F211" s="13" t="n">
        <v>46026</v>
      </c>
      <c r="G211" s="13" t="n">
        <v>46086</v>
      </c>
      <c r="H211" s="14" t="n">
        <v>77698.61</v>
      </c>
      <c r="I211" s="6" t="n">
        <v>0</v>
      </c>
      <c r="J211" s="6" t="n">
        <v>610</v>
      </c>
      <c r="K211" s="6" t="s">
        <v>160</v>
      </c>
      <c r="L211" s="14" t="n">
        <v>20430.08</v>
      </c>
      <c r="M211" s="22" t="n">
        <v>1.265</v>
      </c>
      <c r="N211" s="14" t="n">
        <v>25844.05</v>
      </c>
      <c r="O211" s="14" t="n">
        <v>5413.97</v>
      </c>
      <c r="P211" s="21" t="n">
        <v>0.17</v>
      </c>
      <c r="Q211" s="6" t="n">
        <v>60</v>
      </c>
      <c r="R211" s="6" t="s">
        <v>161</v>
      </c>
      <c r="S211" s="21" t="n">
        <v>1</v>
      </c>
      <c r="T211" s="14" t="n">
        <v>25844.05</v>
      </c>
      <c r="U211" s="6" t="s">
        <v>59</v>
      </c>
    </row>
    <row r="212" customFormat="false" ht="15" hidden="false" customHeight="true" outlineLevel="0" collapsed="false">
      <c r="A212" s="6" t="s">
        <v>617</v>
      </c>
      <c r="B212" s="6" t="s">
        <v>618</v>
      </c>
      <c r="C212" s="6" t="s">
        <v>128</v>
      </c>
      <c r="D212" s="6" t="s">
        <v>172</v>
      </c>
      <c r="E212" s="6" t="s">
        <v>192</v>
      </c>
      <c r="F212" s="13" t="n">
        <v>45573</v>
      </c>
      <c r="G212" s="13" t="n">
        <v>45633</v>
      </c>
      <c r="H212" s="14" t="n">
        <v>175148.81</v>
      </c>
      <c r="I212" s="6" t="n">
        <v>0</v>
      </c>
      <c r="J212" s="6" t="n">
        <v>655</v>
      </c>
      <c r="K212" s="6" t="s">
        <v>160</v>
      </c>
      <c r="L212" s="14" t="n">
        <v>28697.92</v>
      </c>
      <c r="M212" s="22" t="n">
        <v>1.107</v>
      </c>
      <c r="N212" s="14" t="n">
        <v>31768.6</v>
      </c>
      <c r="O212" s="14" t="n">
        <v>3070.68</v>
      </c>
      <c r="P212" s="21" t="n">
        <v>0.104</v>
      </c>
      <c r="Q212" s="6" t="n">
        <v>60</v>
      </c>
      <c r="R212" s="6" t="s">
        <v>161</v>
      </c>
      <c r="S212" s="21" t="n">
        <v>1</v>
      </c>
      <c r="T212" s="14" t="n">
        <v>31768.6</v>
      </c>
      <c r="U212" s="6" t="s">
        <v>44</v>
      </c>
    </row>
    <row r="213" customFormat="false" ht="15" hidden="false" customHeight="true" outlineLevel="0" collapsed="false">
      <c r="A213" s="6" t="s">
        <v>619</v>
      </c>
      <c r="B213" s="6" t="s">
        <v>620</v>
      </c>
      <c r="C213" s="6" t="s">
        <v>124</v>
      </c>
      <c r="D213" s="6" t="s">
        <v>243</v>
      </c>
      <c r="E213" s="6" t="s">
        <v>173</v>
      </c>
      <c r="F213" s="13" t="n">
        <v>44871</v>
      </c>
      <c r="G213" s="13" t="n">
        <v>44994</v>
      </c>
      <c r="H213" s="14" t="n">
        <v>62859.04</v>
      </c>
      <c r="I213" s="6" t="n">
        <v>1</v>
      </c>
      <c r="J213" s="6" t="n">
        <v>656</v>
      </c>
      <c r="K213" s="6" t="s">
        <v>160</v>
      </c>
      <c r="L213" s="14" t="n">
        <v>24562.28</v>
      </c>
      <c r="M213" s="22" t="n">
        <v>1.288</v>
      </c>
      <c r="N213" s="14" t="n">
        <v>31636.22</v>
      </c>
      <c r="O213" s="14" t="n">
        <v>7073.94</v>
      </c>
      <c r="P213" s="21" t="n">
        <v>0.122</v>
      </c>
      <c r="Q213" s="6" t="n">
        <v>123</v>
      </c>
      <c r="R213" s="6" t="s">
        <v>155</v>
      </c>
      <c r="S213" s="21" t="n">
        <v>0.98</v>
      </c>
      <c r="T213" s="14" t="n">
        <v>31003.5</v>
      </c>
      <c r="U213" s="6" t="s">
        <v>21</v>
      </c>
    </row>
    <row r="214" customFormat="false" ht="15" hidden="false" customHeight="true" outlineLevel="0" collapsed="false">
      <c r="A214" s="6" t="s">
        <v>621</v>
      </c>
      <c r="B214" s="6" t="s">
        <v>622</v>
      </c>
      <c r="C214" s="6" t="s">
        <v>120</v>
      </c>
      <c r="D214" s="6" t="s">
        <v>218</v>
      </c>
      <c r="E214" s="6" t="s">
        <v>219</v>
      </c>
      <c r="F214" s="13" t="n">
        <v>45440</v>
      </c>
      <c r="G214" s="13" t="n">
        <v>45511</v>
      </c>
      <c r="H214" s="14" t="n">
        <v>72375.78</v>
      </c>
      <c r="I214" s="6" t="n">
        <v>2</v>
      </c>
      <c r="J214" s="6" t="n">
        <v>633</v>
      </c>
      <c r="K214" s="6" t="s">
        <v>160</v>
      </c>
      <c r="L214" s="14" t="n">
        <v>11618.9</v>
      </c>
      <c r="M214" s="22" t="n">
        <v>1.194</v>
      </c>
      <c r="N214" s="14" t="n">
        <v>13872.97</v>
      </c>
      <c r="O214" s="14" t="n">
        <v>2254.07</v>
      </c>
      <c r="P214" s="21" t="n">
        <v>0.08</v>
      </c>
      <c r="Q214" s="6" t="n">
        <v>71</v>
      </c>
      <c r="R214" s="6" t="s">
        <v>161</v>
      </c>
      <c r="S214" s="21" t="n">
        <v>1</v>
      </c>
      <c r="T214" s="14" t="n">
        <v>13872.97</v>
      </c>
      <c r="U214" s="6" t="s">
        <v>39</v>
      </c>
    </row>
    <row r="215" customFormat="false" ht="15" hidden="false" customHeight="true" outlineLevel="0" collapsed="false">
      <c r="A215" s="6" t="s">
        <v>623</v>
      </c>
      <c r="B215" s="6" t="s">
        <v>624</v>
      </c>
      <c r="C215" s="6" t="s">
        <v>112</v>
      </c>
      <c r="D215" s="6" t="s">
        <v>188</v>
      </c>
      <c r="E215" s="6" t="s">
        <v>304</v>
      </c>
      <c r="F215" s="13" t="n">
        <v>45167</v>
      </c>
      <c r="G215" s="13" t="n">
        <v>45288</v>
      </c>
      <c r="H215" s="14" t="n">
        <v>167762.63</v>
      </c>
      <c r="I215" s="6" t="n">
        <v>1</v>
      </c>
      <c r="J215" s="6" t="n">
        <v>789</v>
      </c>
      <c r="K215" s="6" t="s">
        <v>154</v>
      </c>
      <c r="L215" s="14" t="n">
        <v>85756.46</v>
      </c>
      <c r="M215" s="22" t="n">
        <v>1.296</v>
      </c>
      <c r="N215" s="14" t="n">
        <v>111140.37</v>
      </c>
      <c r="O215" s="14" t="n">
        <v>25383.91</v>
      </c>
      <c r="P215" s="21" t="n">
        <v>0.164</v>
      </c>
      <c r="Q215" s="6" t="n">
        <v>121</v>
      </c>
      <c r="R215" s="6" t="s">
        <v>161</v>
      </c>
      <c r="S215" s="21" t="n">
        <v>1</v>
      </c>
      <c r="T215" s="14" t="n">
        <v>111140.37</v>
      </c>
      <c r="U215" s="6" t="s">
        <v>30</v>
      </c>
    </row>
    <row r="216" customFormat="false" ht="15" hidden="false" customHeight="true" outlineLevel="0" collapsed="false">
      <c r="A216" s="6" t="s">
        <v>625</v>
      </c>
      <c r="B216" s="6" t="s">
        <v>626</v>
      </c>
      <c r="C216" s="6" t="s">
        <v>131</v>
      </c>
      <c r="D216" s="6" t="s">
        <v>152</v>
      </c>
      <c r="E216" s="6" t="s">
        <v>153</v>
      </c>
      <c r="F216" s="13" t="n">
        <v>46061</v>
      </c>
      <c r="G216" s="13" t="n">
        <v>46156</v>
      </c>
      <c r="H216" s="14" t="n">
        <v>14749.68</v>
      </c>
      <c r="I216" s="6" t="n">
        <v>2</v>
      </c>
      <c r="J216" s="6" t="n">
        <v>690</v>
      </c>
      <c r="K216" s="6" t="s">
        <v>160</v>
      </c>
      <c r="L216" s="14" t="n">
        <v>4551.6</v>
      </c>
      <c r="M216" s="22" t="n">
        <v>1.194</v>
      </c>
      <c r="N216" s="14" t="n">
        <v>5434.61</v>
      </c>
      <c r="O216" s="14" t="n">
        <v>883.01</v>
      </c>
      <c r="P216" s="21" t="n">
        <v>0.116</v>
      </c>
      <c r="Q216" s="6" t="n">
        <v>95</v>
      </c>
      <c r="R216" s="6" t="s">
        <v>155</v>
      </c>
      <c r="S216" s="21" t="n">
        <v>0.831</v>
      </c>
      <c r="T216" s="14" t="n">
        <v>4516.16</v>
      </c>
      <c r="U216" s="6" t="s">
        <v>60</v>
      </c>
    </row>
    <row r="217" customFormat="false" ht="15" hidden="false" customHeight="true" outlineLevel="0" collapsed="false">
      <c r="A217" s="6" t="s">
        <v>627</v>
      </c>
      <c r="B217" s="6" t="s">
        <v>628</v>
      </c>
      <c r="C217" s="6" t="s">
        <v>120</v>
      </c>
      <c r="D217" s="6" t="s">
        <v>218</v>
      </c>
      <c r="E217" s="6" t="s">
        <v>177</v>
      </c>
      <c r="F217" s="13" t="n">
        <v>45475</v>
      </c>
      <c r="G217" s="13" t="n">
        <v>45535</v>
      </c>
      <c r="H217" s="14" t="n">
        <v>117942.92</v>
      </c>
      <c r="I217" s="6" t="n">
        <v>0</v>
      </c>
      <c r="J217" s="6" t="n">
        <v>636</v>
      </c>
      <c r="K217" s="6" t="s">
        <v>185</v>
      </c>
      <c r="L217" s="14" t="n">
        <v>10160.39</v>
      </c>
      <c r="M217" s="22" t="n">
        <v>1.32</v>
      </c>
      <c r="N217" s="14" t="n">
        <v>13411.71</v>
      </c>
      <c r="O217" s="14" t="n">
        <v>3251.32</v>
      </c>
      <c r="P217" s="21" t="n">
        <v>0.112</v>
      </c>
      <c r="Q217" s="6" t="n">
        <v>60</v>
      </c>
      <c r="R217" s="6" t="s">
        <v>155</v>
      </c>
      <c r="S217" s="21" t="n">
        <v>0.937</v>
      </c>
      <c r="T217" s="14" t="n">
        <v>12566.77</v>
      </c>
      <c r="U217" s="6" t="s">
        <v>41</v>
      </c>
    </row>
    <row r="218" customFormat="false" ht="15" hidden="false" customHeight="true" outlineLevel="0" collapsed="false">
      <c r="A218" s="6" t="s">
        <v>629</v>
      </c>
      <c r="B218" s="6" t="s">
        <v>630</v>
      </c>
      <c r="C218" s="6" t="s">
        <v>131</v>
      </c>
      <c r="D218" s="6" t="s">
        <v>176</v>
      </c>
      <c r="E218" s="6" t="s">
        <v>169</v>
      </c>
      <c r="F218" s="13" t="n">
        <v>45398</v>
      </c>
      <c r="G218" s="13" t="n">
        <v>45509</v>
      </c>
      <c r="H218" s="14" t="n">
        <v>36570.07</v>
      </c>
      <c r="I218" s="6" t="n">
        <v>0</v>
      </c>
      <c r="J218" s="6" t="n">
        <v>651</v>
      </c>
      <c r="K218" s="6" t="s">
        <v>160</v>
      </c>
      <c r="L218" s="14" t="n">
        <v>12964.13</v>
      </c>
      <c r="M218" s="22" t="n">
        <v>1.337</v>
      </c>
      <c r="N218" s="14" t="n">
        <v>17333.04</v>
      </c>
      <c r="O218" s="14" t="n">
        <v>4368.91</v>
      </c>
      <c r="P218" s="21" t="n">
        <v>0.128</v>
      </c>
      <c r="Q218" s="6" t="n">
        <v>111</v>
      </c>
      <c r="R218" s="6" t="s">
        <v>155</v>
      </c>
      <c r="S218" s="21" t="n">
        <v>0.829</v>
      </c>
      <c r="T218" s="14" t="n">
        <v>14369.09</v>
      </c>
      <c r="U218" s="6" t="s">
        <v>38</v>
      </c>
    </row>
    <row r="219" customFormat="false" ht="15" hidden="false" customHeight="true" outlineLevel="0" collapsed="false">
      <c r="A219" s="6" t="s">
        <v>631</v>
      </c>
      <c r="B219" s="6" t="s">
        <v>632</v>
      </c>
      <c r="C219" s="6" t="s">
        <v>124</v>
      </c>
      <c r="D219" s="6" t="s">
        <v>168</v>
      </c>
      <c r="E219" s="6" t="s">
        <v>254</v>
      </c>
      <c r="F219" s="13" t="n">
        <v>45935</v>
      </c>
      <c r="G219" s="13" t="n">
        <v>46100</v>
      </c>
      <c r="H219" s="14" t="n">
        <v>217655.62</v>
      </c>
      <c r="I219" s="6" t="n">
        <v>0</v>
      </c>
      <c r="J219" s="6" t="n">
        <v>756</v>
      </c>
      <c r="K219" s="6" t="s">
        <v>185</v>
      </c>
      <c r="L219" s="14" t="n">
        <v>57448.69</v>
      </c>
      <c r="M219" s="22" t="n">
        <v>1.172</v>
      </c>
      <c r="N219" s="14" t="n">
        <v>67329.86</v>
      </c>
      <c r="O219" s="14" t="n">
        <v>9881.17</v>
      </c>
      <c r="P219" s="21" t="n">
        <v>0.056</v>
      </c>
      <c r="Q219" s="6" t="n">
        <v>165</v>
      </c>
      <c r="R219" s="6" t="s">
        <v>155</v>
      </c>
      <c r="S219" s="21" t="n">
        <v>0.958</v>
      </c>
      <c r="T219" s="14" t="n">
        <v>64502.01</v>
      </c>
      <c r="U219" s="6" t="s">
        <v>56</v>
      </c>
    </row>
    <row r="220" customFormat="false" ht="15" hidden="false" customHeight="true" outlineLevel="0" collapsed="false">
      <c r="A220" s="6" t="s">
        <v>633</v>
      </c>
      <c r="B220" s="6" t="s">
        <v>634</v>
      </c>
      <c r="C220" s="6" t="s">
        <v>116</v>
      </c>
      <c r="D220" s="6" t="s">
        <v>152</v>
      </c>
      <c r="E220" s="6" t="s">
        <v>173</v>
      </c>
      <c r="F220" s="13" t="n">
        <v>45331</v>
      </c>
      <c r="G220" s="13" t="n">
        <v>45404</v>
      </c>
      <c r="H220" s="14" t="n">
        <v>240591.85</v>
      </c>
      <c r="I220" s="6" t="n">
        <v>0</v>
      </c>
      <c r="J220" s="6" t="n">
        <v>728</v>
      </c>
      <c r="K220" s="6" t="s">
        <v>160</v>
      </c>
      <c r="L220" s="14" t="n">
        <v>45648.91</v>
      </c>
      <c r="M220" s="22" t="n">
        <v>1.191</v>
      </c>
      <c r="N220" s="14" t="n">
        <v>54367.85</v>
      </c>
      <c r="O220" s="14" t="n">
        <v>8718.94</v>
      </c>
      <c r="P220" s="21" t="n">
        <v>0.092</v>
      </c>
      <c r="Q220" s="6" t="n">
        <v>73</v>
      </c>
      <c r="R220" s="6" t="s">
        <v>155</v>
      </c>
      <c r="S220" s="21" t="n">
        <v>0.98</v>
      </c>
      <c r="T220" s="14" t="n">
        <v>53280.49</v>
      </c>
      <c r="U220" s="6" t="s">
        <v>36</v>
      </c>
    </row>
    <row r="221" customFormat="false" ht="15" hidden="false" customHeight="true" outlineLevel="0" collapsed="false">
      <c r="A221" s="6" t="s">
        <v>635</v>
      </c>
      <c r="B221" s="6" t="s">
        <v>636</v>
      </c>
      <c r="C221" s="6" t="s">
        <v>131</v>
      </c>
      <c r="D221" s="6" t="s">
        <v>152</v>
      </c>
      <c r="E221" s="6" t="s">
        <v>192</v>
      </c>
      <c r="F221" s="13" t="n">
        <v>45064</v>
      </c>
      <c r="G221" s="13" t="n">
        <v>45197</v>
      </c>
      <c r="H221" s="14" t="n">
        <v>145515.44</v>
      </c>
      <c r="I221" s="6" t="n">
        <v>1</v>
      </c>
      <c r="J221" s="6" t="n">
        <v>771</v>
      </c>
      <c r="K221" s="6" t="s">
        <v>160</v>
      </c>
      <c r="L221" s="14" t="n">
        <v>38145.46</v>
      </c>
      <c r="M221" s="22" t="n">
        <v>1.226</v>
      </c>
      <c r="N221" s="14" t="n">
        <v>46766.33</v>
      </c>
      <c r="O221" s="14" t="n">
        <v>8620.87</v>
      </c>
      <c r="P221" s="21" t="n">
        <v>0.072</v>
      </c>
      <c r="Q221" s="6" t="n">
        <v>133</v>
      </c>
      <c r="R221" s="6" t="s">
        <v>161</v>
      </c>
      <c r="S221" s="21" t="n">
        <v>1</v>
      </c>
      <c r="T221" s="14" t="n">
        <v>46766.33</v>
      </c>
      <c r="U221" s="6" t="s">
        <v>27</v>
      </c>
    </row>
    <row r="222" customFormat="false" ht="15" hidden="false" customHeight="true" outlineLevel="0" collapsed="false">
      <c r="A222" s="6" t="s">
        <v>637</v>
      </c>
      <c r="B222" s="6" t="s">
        <v>638</v>
      </c>
      <c r="C222" s="6" t="s">
        <v>128</v>
      </c>
      <c r="D222" s="6" t="s">
        <v>401</v>
      </c>
      <c r="E222" s="6" t="s">
        <v>201</v>
      </c>
      <c r="F222" s="13" t="n">
        <v>45789</v>
      </c>
      <c r="G222" s="13" t="n">
        <v>45877</v>
      </c>
      <c r="H222" s="14" t="n">
        <v>221911.45</v>
      </c>
      <c r="I222" s="6" t="n">
        <v>4</v>
      </c>
      <c r="J222" s="6" t="n">
        <v>703</v>
      </c>
      <c r="K222" s="6" t="s">
        <v>185</v>
      </c>
      <c r="L222" s="14" t="n">
        <v>43102.19</v>
      </c>
      <c r="M222" s="22" t="n">
        <v>1.167</v>
      </c>
      <c r="N222" s="14" t="n">
        <v>50300.26</v>
      </c>
      <c r="O222" s="14" t="n">
        <v>7198.07</v>
      </c>
      <c r="P222" s="21" t="n">
        <v>0.077</v>
      </c>
      <c r="Q222" s="6" t="n">
        <v>88</v>
      </c>
      <c r="R222" s="6" t="s">
        <v>161</v>
      </c>
      <c r="S222" s="21" t="n">
        <v>1</v>
      </c>
      <c r="T222" s="14" t="n">
        <v>50300.26</v>
      </c>
      <c r="U222" s="6" t="s">
        <v>51</v>
      </c>
    </row>
    <row r="223" customFormat="false" ht="15" hidden="false" customHeight="true" outlineLevel="0" collapsed="false">
      <c r="A223" s="6" t="s">
        <v>639</v>
      </c>
      <c r="B223" s="6" t="s">
        <v>640</v>
      </c>
      <c r="C223" s="6" t="s">
        <v>124</v>
      </c>
      <c r="D223" s="6" t="s">
        <v>238</v>
      </c>
      <c r="E223" s="6" t="s">
        <v>153</v>
      </c>
      <c r="F223" s="13" t="n">
        <v>45294</v>
      </c>
      <c r="G223" s="13" t="n">
        <v>45354</v>
      </c>
      <c r="H223" s="14" t="n">
        <v>38192.86</v>
      </c>
      <c r="I223" s="6" t="n">
        <v>1</v>
      </c>
      <c r="J223" s="6" t="n">
        <v>562</v>
      </c>
      <c r="K223" s="6" t="s">
        <v>154</v>
      </c>
      <c r="L223" s="14" t="n">
        <v>4345.75</v>
      </c>
      <c r="M223" s="22" t="n">
        <v>1.156</v>
      </c>
      <c r="N223" s="14" t="n">
        <v>5023.69</v>
      </c>
      <c r="O223" s="14" t="n">
        <v>677.94</v>
      </c>
      <c r="P223" s="21" t="n">
        <v>0.17</v>
      </c>
      <c r="Q223" s="6" t="n">
        <v>60</v>
      </c>
      <c r="R223" s="6" t="s">
        <v>155</v>
      </c>
      <c r="S223" s="21" t="n">
        <v>0.98</v>
      </c>
      <c r="T223" s="14" t="n">
        <v>4923.22</v>
      </c>
      <c r="U223" s="6" t="s">
        <v>35</v>
      </c>
    </row>
    <row r="224" customFormat="false" ht="15" hidden="false" customHeight="true" outlineLevel="0" collapsed="false">
      <c r="A224" s="6" t="s">
        <v>641</v>
      </c>
      <c r="B224" s="6" t="s">
        <v>642</v>
      </c>
      <c r="C224" s="6" t="s">
        <v>116</v>
      </c>
      <c r="D224" s="6" t="s">
        <v>206</v>
      </c>
      <c r="E224" s="6" t="s">
        <v>299</v>
      </c>
      <c r="F224" s="13" t="n">
        <v>45729</v>
      </c>
      <c r="G224" s="13" t="n">
        <v>45789</v>
      </c>
      <c r="H224" s="14" t="n">
        <v>167680.9</v>
      </c>
      <c r="I224" s="6" t="n">
        <v>1</v>
      </c>
      <c r="J224" s="6" t="n">
        <v>718</v>
      </c>
      <c r="K224" s="6" t="s">
        <v>160</v>
      </c>
      <c r="L224" s="14" t="n">
        <v>14568.78</v>
      </c>
      <c r="M224" s="22" t="n">
        <v>1.098</v>
      </c>
      <c r="N224" s="14" t="n">
        <v>15996.52</v>
      </c>
      <c r="O224" s="14" t="n">
        <v>1427.74</v>
      </c>
      <c r="P224" s="21" t="n">
        <v>0.084</v>
      </c>
      <c r="Q224" s="6" t="n">
        <v>60</v>
      </c>
      <c r="R224" s="6" t="s">
        <v>155</v>
      </c>
      <c r="S224" s="21" t="n">
        <v>0.98</v>
      </c>
      <c r="T224" s="14" t="n">
        <v>15676.59</v>
      </c>
      <c r="U224" s="6" t="s">
        <v>49</v>
      </c>
    </row>
    <row r="225" customFormat="false" ht="15" hidden="false" customHeight="true" outlineLevel="0" collapsed="false">
      <c r="A225" s="6" t="s">
        <v>643</v>
      </c>
      <c r="B225" s="6" t="s">
        <v>644</v>
      </c>
      <c r="C225" s="6" t="s">
        <v>120</v>
      </c>
      <c r="D225" s="6" t="s">
        <v>210</v>
      </c>
      <c r="E225" s="6" t="s">
        <v>181</v>
      </c>
      <c r="F225" s="13" t="n">
        <v>45422</v>
      </c>
      <c r="G225" s="13" t="n">
        <v>45546</v>
      </c>
      <c r="H225" s="14" t="n">
        <v>74316.61</v>
      </c>
      <c r="I225" s="6" t="n">
        <v>2</v>
      </c>
      <c r="J225" s="6" t="n">
        <v>649</v>
      </c>
      <c r="K225" s="6" t="s">
        <v>160</v>
      </c>
      <c r="L225" s="14" t="n">
        <v>13556.14</v>
      </c>
      <c r="M225" s="22" t="n">
        <v>1.275</v>
      </c>
      <c r="N225" s="14" t="n">
        <v>17284.08</v>
      </c>
      <c r="O225" s="14" t="n">
        <v>3727.94</v>
      </c>
      <c r="P225" s="21" t="n">
        <v>0.056</v>
      </c>
      <c r="Q225" s="6" t="n">
        <v>124</v>
      </c>
      <c r="R225" s="6" t="s">
        <v>161</v>
      </c>
      <c r="S225" s="21" t="n">
        <v>1</v>
      </c>
      <c r="T225" s="14" t="n">
        <v>17284.08</v>
      </c>
      <c r="U225" s="6" t="s">
        <v>39</v>
      </c>
    </row>
    <row r="226" customFormat="false" ht="15" hidden="false" customHeight="true" outlineLevel="0" collapsed="false">
      <c r="A226" s="6" t="s">
        <v>645</v>
      </c>
      <c r="B226" s="6" t="s">
        <v>646</v>
      </c>
      <c r="C226" s="6" t="s">
        <v>112</v>
      </c>
      <c r="D226" s="6" t="s">
        <v>164</v>
      </c>
      <c r="E226" s="6" t="s">
        <v>169</v>
      </c>
      <c r="F226" s="13" t="n">
        <v>44686</v>
      </c>
      <c r="G226" s="13" t="n">
        <v>44901</v>
      </c>
      <c r="H226" s="14" t="n">
        <v>200174.89</v>
      </c>
      <c r="I226" s="6" t="n">
        <v>4</v>
      </c>
      <c r="J226" s="6" t="n">
        <v>748</v>
      </c>
      <c r="K226" s="6" t="s">
        <v>185</v>
      </c>
      <c r="L226" s="14" t="n">
        <v>70936.84</v>
      </c>
      <c r="M226" s="22" t="n">
        <v>1.236</v>
      </c>
      <c r="N226" s="14" t="n">
        <v>87677.93</v>
      </c>
      <c r="O226" s="14" t="n">
        <v>16741.09</v>
      </c>
      <c r="P226" s="21" t="n">
        <v>0.061</v>
      </c>
      <c r="Q226" s="6" t="n">
        <v>215</v>
      </c>
      <c r="R226" s="6" t="s">
        <v>155</v>
      </c>
      <c r="S226" s="21" t="n">
        <v>0.832</v>
      </c>
      <c r="T226" s="14" t="n">
        <v>72948.04</v>
      </c>
      <c r="U226" s="6" t="s">
        <v>15</v>
      </c>
    </row>
    <row r="227" customFormat="false" ht="15" hidden="false" customHeight="true" outlineLevel="0" collapsed="false">
      <c r="A227" s="6" t="s">
        <v>647</v>
      </c>
      <c r="B227" s="6" t="s">
        <v>648</v>
      </c>
      <c r="C227" s="6" t="s">
        <v>128</v>
      </c>
      <c r="D227" s="6" t="s">
        <v>172</v>
      </c>
      <c r="E227" s="6" t="s">
        <v>181</v>
      </c>
      <c r="F227" s="13" t="n">
        <v>45519</v>
      </c>
      <c r="G227" s="13" t="n">
        <v>45600</v>
      </c>
      <c r="H227" s="14" t="n">
        <v>91203.5</v>
      </c>
      <c r="I227" s="6" t="n">
        <v>5</v>
      </c>
      <c r="J227" s="6" t="n">
        <v>705</v>
      </c>
      <c r="K227" s="6" t="s">
        <v>160</v>
      </c>
      <c r="L227" s="14" t="n">
        <v>27674.36</v>
      </c>
      <c r="M227" s="22" t="n">
        <v>1.26</v>
      </c>
      <c r="N227" s="14" t="n">
        <v>34869.69</v>
      </c>
      <c r="O227" s="14" t="n">
        <v>7195.33</v>
      </c>
      <c r="P227" s="21" t="n">
        <v>0.14</v>
      </c>
      <c r="Q227" s="6" t="n">
        <v>81</v>
      </c>
      <c r="R227" s="6" t="s">
        <v>161</v>
      </c>
      <c r="S227" s="21" t="n">
        <v>1</v>
      </c>
      <c r="T227" s="14" t="n">
        <v>34869.69</v>
      </c>
      <c r="U227" s="6" t="s">
        <v>42</v>
      </c>
    </row>
    <row r="228" customFormat="false" ht="15" hidden="false" customHeight="true" outlineLevel="0" collapsed="false">
      <c r="A228" s="6" t="s">
        <v>649</v>
      </c>
      <c r="B228" s="6" t="s">
        <v>650</v>
      </c>
      <c r="C228" s="6" t="s">
        <v>120</v>
      </c>
      <c r="D228" s="6" t="s">
        <v>210</v>
      </c>
      <c r="E228" s="6" t="s">
        <v>299</v>
      </c>
      <c r="F228" s="13" t="n">
        <v>44960</v>
      </c>
      <c r="G228" s="13" t="n">
        <v>45020</v>
      </c>
      <c r="H228" s="14" t="n">
        <v>104875.64</v>
      </c>
      <c r="I228" s="6" t="n">
        <v>3</v>
      </c>
      <c r="J228" s="6" t="n">
        <v>502</v>
      </c>
      <c r="K228" s="6" t="s">
        <v>154</v>
      </c>
      <c r="L228" s="14" t="n">
        <v>8602.45</v>
      </c>
      <c r="M228" s="22" t="n">
        <v>1.111</v>
      </c>
      <c r="N228" s="14" t="n">
        <v>9557.32</v>
      </c>
      <c r="O228" s="14" t="n">
        <v>954.87</v>
      </c>
      <c r="P228" s="21" t="n">
        <v>0.088</v>
      </c>
      <c r="Q228" s="6" t="n">
        <v>60</v>
      </c>
      <c r="R228" s="6" t="s">
        <v>161</v>
      </c>
      <c r="S228" s="21" t="n">
        <v>1</v>
      </c>
      <c r="T228" s="14" t="n">
        <v>9557.32</v>
      </c>
      <c r="U228" s="6" t="s">
        <v>24</v>
      </c>
    </row>
    <row r="229" customFormat="false" ht="15" hidden="false" customHeight="true" outlineLevel="0" collapsed="false">
      <c r="A229" s="6" t="s">
        <v>651</v>
      </c>
      <c r="B229" s="6" t="s">
        <v>652</v>
      </c>
      <c r="C229" s="6" t="s">
        <v>131</v>
      </c>
      <c r="D229" s="6" t="s">
        <v>152</v>
      </c>
      <c r="E229" s="6" t="s">
        <v>165</v>
      </c>
      <c r="F229" s="13" t="n">
        <v>45641</v>
      </c>
      <c r="G229" s="13" t="n">
        <v>45701</v>
      </c>
      <c r="H229" s="14" t="n">
        <v>166478.35</v>
      </c>
      <c r="I229" s="6" t="n">
        <v>3</v>
      </c>
      <c r="J229" s="6" t="n">
        <v>608</v>
      </c>
      <c r="K229" s="6" t="s">
        <v>160</v>
      </c>
      <c r="L229" s="14" t="n">
        <v>26168.86</v>
      </c>
      <c r="M229" s="22" t="n">
        <v>1.299</v>
      </c>
      <c r="N229" s="14" t="n">
        <v>33993.35</v>
      </c>
      <c r="O229" s="14" t="n">
        <v>7824.49</v>
      </c>
      <c r="P229" s="21" t="n">
        <v>0.136</v>
      </c>
      <c r="Q229" s="6" t="n">
        <v>60</v>
      </c>
      <c r="R229" s="6" t="s">
        <v>232</v>
      </c>
      <c r="S229" s="21" t="n">
        <v>1</v>
      </c>
      <c r="T229" s="14" t="n">
        <v>33993.35</v>
      </c>
      <c r="U229" s="6" t="s">
        <v>46</v>
      </c>
    </row>
    <row r="230" customFormat="false" ht="15" hidden="false" customHeight="true" outlineLevel="0" collapsed="false">
      <c r="A230" s="6" t="s">
        <v>653</v>
      </c>
      <c r="B230" s="6" t="s">
        <v>654</v>
      </c>
      <c r="C230" s="6" t="s">
        <v>128</v>
      </c>
      <c r="D230" s="6" t="s">
        <v>401</v>
      </c>
      <c r="E230" s="6" t="s">
        <v>299</v>
      </c>
      <c r="F230" s="13" t="n">
        <v>45758</v>
      </c>
      <c r="G230" s="13" t="n">
        <v>45818</v>
      </c>
      <c r="H230" s="14" t="n">
        <v>214773.37</v>
      </c>
      <c r="I230" s="6" t="n">
        <v>0</v>
      </c>
      <c r="J230" s="6" t="n">
        <v>548</v>
      </c>
      <c r="K230" s="6" t="s">
        <v>160</v>
      </c>
      <c r="L230" s="14" t="n">
        <v>27505.34</v>
      </c>
      <c r="M230" s="22" t="n">
        <v>1.316</v>
      </c>
      <c r="N230" s="14" t="n">
        <v>36197.03</v>
      </c>
      <c r="O230" s="14" t="n">
        <v>8691.69</v>
      </c>
      <c r="P230" s="21" t="n">
        <v>0.161</v>
      </c>
      <c r="Q230" s="6" t="n">
        <v>60</v>
      </c>
      <c r="R230" s="6" t="s">
        <v>155</v>
      </c>
      <c r="S230" s="21" t="n">
        <v>0.773</v>
      </c>
      <c r="T230" s="14" t="n">
        <v>27980.3</v>
      </c>
      <c r="U230" s="6" t="s">
        <v>50</v>
      </c>
    </row>
    <row r="231" customFormat="false" ht="15" hidden="false" customHeight="true" outlineLevel="0" collapsed="false">
      <c r="A231" s="6" t="s">
        <v>655</v>
      </c>
      <c r="B231" s="6" t="s">
        <v>656</v>
      </c>
      <c r="C231" s="6" t="s">
        <v>120</v>
      </c>
      <c r="D231" s="6" t="s">
        <v>210</v>
      </c>
      <c r="E231" s="6" t="s">
        <v>189</v>
      </c>
      <c r="F231" s="13" t="n">
        <v>45732</v>
      </c>
      <c r="G231" s="13" t="n">
        <v>45802</v>
      </c>
      <c r="H231" s="14" t="n">
        <v>165236.42</v>
      </c>
      <c r="I231" s="6" t="n">
        <v>0</v>
      </c>
      <c r="J231" s="6" t="n">
        <v>786</v>
      </c>
      <c r="K231" s="6" t="s">
        <v>185</v>
      </c>
      <c r="L231" s="14" t="n">
        <v>55717.95</v>
      </c>
      <c r="M231" s="22" t="n">
        <v>1.163</v>
      </c>
      <c r="N231" s="14" t="n">
        <v>64799.98</v>
      </c>
      <c r="O231" s="14" t="n">
        <v>9082.03</v>
      </c>
      <c r="P231" s="21" t="n">
        <v>0.166</v>
      </c>
      <c r="Q231" s="6" t="n">
        <v>70</v>
      </c>
      <c r="R231" s="6" t="s">
        <v>155</v>
      </c>
      <c r="S231" s="21" t="n">
        <v>0.98</v>
      </c>
      <c r="T231" s="14" t="n">
        <v>63503.98</v>
      </c>
      <c r="U231" s="6" t="s">
        <v>49</v>
      </c>
    </row>
    <row r="232" customFormat="false" ht="15" hidden="false" customHeight="true" outlineLevel="0" collapsed="false">
      <c r="A232" s="6" t="s">
        <v>657</v>
      </c>
      <c r="B232" s="6" t="s">
        <v>658</v>
      </c>
      <c r="C232" s="6" t="s">
        <v>120</v>
      </c>
      <c r="D232" s="6" t="s">
        <v>158</v>
      </c>
      <c r="E232" s="6" t="s">
        <v>207</v>
      </c>
      <c r="F232" s="13" t="n">
        <v>46088</v>
      </c>
      <c r="G232" s="13" t="n">
        <v>46195</v>
      </c>
      <c r="H232" s="14" t="n">
        <v>232238.63</v>
      </c>
      <c r="I232" s="6" t="n">
        <v>0</v>
      </c>
      <c r="J232" s="6" t="n">
        <v>523</v>
      </c>
      <c r="K232" s="6" t="s">
        <v>154</v>
      </c>
      <c r="L232" s="14" t="n">
        <v>54593.62</v>
      </c>
      <c r="M232" s="22" t="n">
        <v>1.262</v>
      </c>
      <c r="N232" s="14" t="n">
        <v>68897.15</v>
      </c>
      <c r="O232" s="14" t="n">
        <v>14303.53</v>
      </c>
      <c r="P232" s="21" t="n">
        <v>0.083</v>
      </c>
      <c r="Q232" s="6" t="n">
        <v>107</v>
      </c>
      <c r="R232" s="6" t="s">
        <v>155</v>
      </c>
      <c r="S232" s="21" t="n">
        <v>0.939</v>
      </c>
      <c r="T232" s="14" t="n">
        <v>64694.42</v>
      </c>
      <c r="U232" s="6" t="s">
        <v>61</v>
      </c>
    </row>
    <row r="233" customFormat="false" ht="15" hidden="false" customHeight="true" outlineLevel="0" collapsed="false">
      <c r="A233" s="6" t="s">
        <v>659</v>
      </c>
      <c r="B233" s="6" t="s">
        <v>660</v>
      </c>
      <c r="C233" s="6" t="s">
        <v>120</v>
      </c>
      <c r="D233" s="6" t="s">
        <v>218</v>
      </c>
      <c r="E233" s="6" t="s">
        <v>181</v>
      </c>
      <c r="F233" s="13" t="n">
        <v>45187</v>
      </c>
      <c r="G233" s="13" t="n">
        <v>45247</v>
      </c>
      <c r="H233" s="14" t="n">
        <v>194371.72</v>
      </c>
      <c r="I233" s="6" t="n">
        <v>2</v>
      </c>
      <c r="J233" s="6" t="n">
        <v>567</v>
      </c>
      <c r="K233" s="6" t="s">
        <v>185</v>
      </c>
      <c r="L233" s="14" t="n">
        <v>49521</v>
      </c>
      <c r="M233" s="22" t="n">
        <v>1.118</v>
      </c>
      <c r="N233" s="14" t="n">
        <v>55364.48</v>
      </c>
      <c r="O233" s="14" t="n">
        <v>5843.48</v>
      </c>
      <c r="P233" s="21" t="n">
        <v>0.164</v>
      </c>
      <c r="Q233" s="6" t="n">
        <v>60</v>
      </c>
      <c r="R233" s="6" t="s">
        <v>155</v>
      </c>
      <c r="S233" s="21" t="n">
        <v>0.703</v>
      </c>
      <c r="T233" s="14" t="n">
        <v>38921.23</v>
      </c>
      <c r="U233" s="6" t="s">
        <v>31</v>
      </c>
    </row>
    <row r="234" customFormat="false" ht="15" hidden="false" customHeight="true" outlineLevel="0" collapsed="false">
      <c r="A234" s="6" t="s">
        <v>661</v>
      </c>
      <c r="B234" s="6" t="s">
        <v>662</v>
      </c>
      <c r="C234" s="6" t="s">
        <v>131</v>
      </c>
      <c r="D234" s="6" t="s">
        <v>176</v>
      </c>
      <c r="E234" s="6" t="s">
        <v>173</v>
      </c>
      <c r="F234" s="13" t="n">
        <v>45486</v>
      </c>
      <c r="G234" s="13" t="n">
        <v>45546</v>
      </c>
      <c r="H234" s="14" t="n">
        <v>146878.65</v>
      </c>
      <c r="I234" s="6" t="n">
        <v>1</v>
      </c>
      <c r="J234" s="6" t="n">
        <v>622</v>
      </c>
      <c r="K234" s="6" t="s">
        <v>185</v>
      </c>
      <c r="L234" s="14" t="n">
        <v>15283.39</v>
      </c>
      <c r="M234" s="22" t="n">
        <v>1.208</v>
      </c>
      <c r="N234" s="14" t="n">
        <v>18462.34</v>
      </c>
      <c r="O234" s="14" t="n">
        <v>3178.95</v>
      </c>
      <c r="P234" s="21" t="n">
        <v>0.093</v>
      </c>
      <c r="Q234" s="6" t="n">
        <v>60</v>
      </c>
      <c r="R234" s="6" t="s">
        <v>161</v>
      </c>
      <c r="S234" s="21" t="n">
        <v>1</v>
      </c>
      <c r="T234" s="14" t="n">
        <v>18462.34</v>
      </c>
      <c r="U234" s="6" t="s">
        <v>41</v>
      </c>
    </row>
    <row r="235" customFormat="false" ht="15" hidden="false" customHeight="true" outlineLevel="0" collapsed="false">
      <c r="A235" s="6" t="s">
        <v>663</v>
      </c>
      <c r="B235" s="6" t="s">
        <v>664</v>
      </c>
      <c r="C235" s="6" t="s">
        <v>116</v>
      </c>
      <c r="D235" s="6" t="s">
        <v>152</v>
      </c>
      <c r="E235" s="6" t="s">
        <v>192</v>
      </c>
      <c r="F235" s="13" t="n">
        <v>44788</v>
      </c>
      <c r="G235" s="13" t="n">
        <v>44878</v>
      </c>
      <c r="H235" s="14" t="n">
        <v>167615.91</v>
      </c>
      <c r="I235" s="6" t="n">
        <v>0</v>
      </c>
      <c r="J235" s="6" t="n">
        <v>518</v>
      </c>
      <c r="K235" s="6" t="s">
        <v>154</v>
      </c>
      <c r="L235" s="14" t="n">
        <v>29697.69</v>
      </c>
      <c r="M235" s="22" t="n">
        <v>1.191</v>
      </c>
      <c r="N235" s="14" t="n">
        <v>35369.95</v>
      </c>
      <c r="O235" s="14" t="n">
        <v>5672.26</v>
      </c>
      <c r="P235" s="21" t="n">
        <v>0.07</v>
      </c>
      <c r="Q235" s="6" t="n">
        <v>90</v>
      </c>
      <c r="R235" s="6" t="s">
        <v>155</v>
      </c>
      <c r="S235" s="21" t="n">
        <v>0.846</v>
      </c>
      <c r="T235" s="14" t="n">
        <v>29922.98</v>
      </c>
      <c r="U235" s="6" t="s">
        <v>18</v>
      </c>
    </row>
    <row r="236" customFormat="false" ht="15" hidden="false" customHeight="true" outlineLevel="0" collapsed="false">
      <c r="A236" s="6" t="s">
        <v>665</v>
      </c>
      <c r="B236" s="6" t="s">
        <v>666</v>
      </c>
      <c r="C236" s="6" t="s">
        <v>124</v>
      </c>
      <c r="D236" s="6" t="s">
        <v>243</v>
      </c>
      <c r="E236" s="6" t="s">
        <v>219</v>
      </c>
      <c r="F236" s="13" t="n">
        <v>44929</v>
      </c>
      <c r="G236" s="13" t="n">
        <v>45025</v>
      </c>
      <c r="H236" s="14" t="n">
        <v>77674.65</v>
      </c>
      <c r="I236" s="6" t="n">
        <v>3</v>
      </c>
      <c r="J236" s="6" t="n">
        <v>646</v>
      </c>
      <c r="K236" s="6" t="s">
        <v>160</v>
      </c>
      <c r="L236" s="14" t="n">
        <v>19842.17</v>
      </c>
      <c r="M236" s="22" t="n">
        <v>1.309</v>
      </c>
      <c r="N236" s="14" t="n">
        <v>25973.4</v>
      </c>
      <c r="O236" s="14" t="n">
        <v>6131.23</v>
      </c>
      <c r="P236" s="21" t="n">
        <v>0.104</v>
      </c>
      <c r="Q236" s="6" t="n">
        <v>96</v>
      </c>
      <c r="R236" s="6" t="s">
        <v>155</v>
      </c>
      <c r="S236" s="21" t="n">
        <v>0.957</v>
      </c>
      <c r="T236" s="14" t="n">
        <v>24856.54</v>
      </c>
      <c r="U236" s="6" t="s">
        <v>23</v>
      </c>
    </row>
    <row r="237" customFormat="false" ht="15" hidden="false" customHeight="true" outlineLevel="0" collapsed="false">
      <c r="A237" s="6" t="s">
        <v>667</v>
      </c>
      <c r="B237" s="6" t="s">
        <v>668</v>
      </c>
      <c r="C237" s="6" t="s">
        <v>128</v>
      </c>
      <c r="D237" s="6" t="s">
        <v>172</v>
      </c>
      <c r="E237" s="6" t="s">
        <v>184</v>
      </c>
      <c r="F237" s="13" t="n">
        <v>44583</v>
      </c>
      <c r="G237" s="13" t="n">
        <v>44676</v>
      </c>
      <c r="H237" s="14" t="n">
        <v>14465.73</v>
      </c>
      <c r="I237" s="6" t="n">
        <v>1</v>
      </c>
      <c r="J237" s="6" t="n">
        <v>716</v>
      </c>
      <c r="K237" s="6" t="s">
        <v>185</v>
      </c>
      <c r="L237" s="14" t="n">
        <v>3498.4</v>
      </c>
      <c r="M237" s="22" t="n">
        <v>1.311</v>
      </c>
      <c r="N237" s="14" t="n">
        <v>4586.4</v>
      </c>
      <c r="O237" s="14" t="n">
        <v>1088</v>
      </c>
      <c r="P237" s="21" t="n">
        <v>0.102</v>
      </c>
      <c r="Q237" s="6" t="n">
        <v>93</v>
      </c>
      <c r="R237" s="6" t="s">
        <v>155</v>
      </c>
      <c r="S237" s="21" t="n">
        <v>0.948</v>
      </c>
      <c r="T237" s="14" t="n">
        <v>4347.91</v>
      </c>
      <c r="U237" s="6" t="s">
        <v>11</v>
      </c>
    </row>
    <row r="238" customFormat="false" ht="15" hidden="false" customHeight="true" outlineLevel="0" collapsed="false">
      <c r="A238" s="6" t="s">
        <v>669</v>
      </c>
      <c r="B238" s="6" t="s">
        <v>670</v>
      </c>
      <c r="C238" s="6" t="s">
        <v>124</v>
      </c>
      <c r="D238" s="6" t="s">
        <v>243</v>
      </c>
      <c r="E238" s="6" t="s">
        <v>169</v>
      </c>
      <c r="F238" s="13" t="n">
        <v>45334</v>
      </c>
      <c r="G238" s="13" t="n">
        <v>45530</v>
      </c>
      <c r="H238" s="14" t="n">
        <v>163124.95</v>
      </c>
      <c r="I238" s="6" t="n">
        <v>2</v>
      </c>
      <c r="J238" s="6" t="n">
        <v>787</v>
      </c>
      <c r="K238" s="6" t="s">
        <v>185</v>
      </c>
      <c r="L238" s="14" t="n">
        <v>48269.9</v>
      </c>
      <c r="M238" s="22" t="n">
        <v>1.242</v>
      </c>
      <c r="N238" s="14" t="n">
        <v>59951.22</v>
      </c>
      <c r="O238" s="14" t="n">
        <v>11681.32</v>
      </c>
      <c r="P238" s="21" t="n">
        <v>0.056</v>
      </c>
      <c r="Q238" s="6" t="n">
        <v>196</v>
      </c>
      <c r="R238" s="6" t="s">
        <v>309</v>
      </c>
      <c r="S238" s="21" t="n">
        <v>0.561</v>
      </c>
      <c r="T238" s="14" t="n">
        <v>33632.63</v>
      </c>
      <c r="U238" s="6" t="s">
        <v>36</v>
      </c>
    </row>
    <row r="239" customFormat="false" ht="15" hidden="false" customHeight="true" outlineLevel="0" collapsed="false">
      <c r="A239" s="6" t="s">
        <v>671</v>
      </c>
      <c r="B239" s="6" t="s">
        <v>672</v>
      </c>
      <c r="C239" s="6" t="s">
        <v>124</v>
      </c>
      <c r="D239" s="6" t="s">
        <v>238</v>
      </c>
      <c r="E239" s="6" t="s">
        <v>219</v>
      </c>
      <c r="F239" s="13" t="n">
        <v>44770</v>
      </c>
      <c r="G239" s="13" t="n">
        <v>44830</v>
      </c>
      <c r="H239" s="14" t="n">
        <v>167226.73</v>
      </c>
      <c r="I239" s="6" t="n">
        <v>0</v>
      </c>
      <c r="J239" s="6" t="n">
        <v>700</v>
      </c>
      <c r="K239" s="6" t="s">
        <v>154</v>
      </c>
      <c r="L239" s="14" t="n">
        <v>15646.45</v>
      </c>
      <c r="M239" s="22" t="n">
        <v>1.161</v>
      </c>
      <c r="N239" s="14" t="n">
        <v>18165.53</v>
      </c>
      <c r="O239" s="14" t="n">
        <v>2519.08</v>
      </c>
      <c r="P239" s="21" t="n">
        <v>0.128</v>
      </c>
      <c r="Q239" s="6" t="n">
        <v>60</v>
      </c>
      <c r="R239" s="6" t="s">
        <v>161</v>
      </c>
      <c r="S239" s="21" t="n">
        <v>1</v>
      </c>
      <c r="T239" s="14" t="n">
        <v>18165.53</v>
      </c>
      <c r="U239" s="6" t="s">
        <v>17</v>
      </c>
    </row>
    <row r="240" customFormat="false" ht="15" hidden="false" customHeight="true" outlineLevel="0" collapsed="false">
      <c r="A240" s="6" t="s">
        <v>673</v>
      </c>
      <c r="B240" s="6" t="s">
        <v>674</v>
      </c>
      <c r="C240" s="6" t="s">
        <v>131</v>
      </c>
      <c r="D240" s="6" t="s">
        <v>200</v>
      </c>
      <c r="E240" s="6" t="s">
        <v>219</v>
      </c>
      <c r="F240" s="13" t="n">
        <v>44589</v>
      </c>
      <c r="G240" s="13" t="n">
        <v>44662</v>
      </c>
      <c r="H240" s="14" t="n">
        <v>89095.46</v>
      </c>
      <c r="I240" s="6" t="n">
        <v>1</v>
      </c>
      <c r="J240" s="6" t="n">
        <v>687</v>
      </c>
      <c r="K240" s="6" t="s">
        <v>185</v>
      </c>
      <c r="L240" s="14" t="n">
        <v>25621.23</v>
      </c>
      <c r="M240" s="22" t="n">
        <v>1.216</v>
      </c>
      <c r="N240" s="14" t="n">
        <v>31155.42</v>
      </c>
      <c r="O240" s="14" t="n">
        <v>5534.19</v>
      </c>
      <c r="P240" s="21" t="n">
        <v>0.142</v>
      </c>
      <c r="Q240" s="6" t="n">
        <v>73</v>
      </c>
      <c r="R240" s="6" t="s">
        <v>155</v>
      </c>
      <c r="S240" s="21" t="n">
        <v>0.916</v>
      </c>
      <c r="T240" s="14" t="n">
        <v>28538.36</v>
      </c>
      <c r="U240" s="6" t="s">
        <v>11</v>
      </c>
    </row>
    <row r="241" customFormat="false" ht="15" hidden="false" customHeight="true" outlineLevel="0" collapsed="false">
      <c r="A241" s="6" t="s">
        <v>675</v>
      </c>
      <c r="B241" s="6" t="s">
        <v>676</v>
      </c>
      <c r="C241" s="6" t="s">
        <v>128</v>
      </c>
      <c r="D241" s="6" t="s">
        <v>235</v>
      </c>
      <c r="E241" s="6" t="s">
        <v>192</v>
      </c>
      <c r="F241" s="13" t="n">
        <v>45070</v>
      </c>
      <c r="G241" s="13" t="n">
        <v>45130</v>
      </c>
      <c r="H241" s="14" t="n">
        <v>189633.32</v>
      </c>
      <c r="I241" s="6" t="n">
        <v>0</v>
      </c>
      <c r="J241" s="6" t="n">
        <v>735</v>
      </c>
      <c r="K241" s="6" t="s">
        <v>160</v>
      </c>
      <c r="L241" s="14" t="n">
        <v>32468.95</v>
      </c>
      <c r="M241" s="22" t="n">
        <v>1.325</v>
      </c>
      <c r="N241" s="14" t="n">
        <v>43021.36</v>
      </c>
      <c r="O241" s="14" t="n">
        <v>10552.41</v>
      </c>
      <c r="P241" s="21" t="n">
        <v>0.136</v>
      </c>
      <c r="Q241" s="6" t="n">
        <v>60</v>
      </c>
      <c r="R241" s="6" t="s">
        <v>155</v>
      </c>
      <c r="S241" s="21" t="n">
        <v>0.944</v>
      </c>
      <c r="T241" s="14" t="n">
        <v>40612.16</v>
      </c>
      <c r="U241" s="6" t="s">
        <v>27</v>
      </c>
    </row>
    <row r="242" customFormat="false" ht="15" hidden="false" customHeight="true" outlineLevel="0" collapsed="false">
      <c r="A242" s="6" t="s">
        <v>677</v>
      </c>
      <c r="B242" s="6" t="s">
        <v>678</v>
      </c>
      <c r="C242" s="6" t="s">
        <v>116</v>
      </c>
      <c r="D242" s="6" t="s">
        <v>152</v>
      </c>
      <c r="E242" s="6" t="s">
        <v>169</v>
      </c>
      <c r="F242" s="13" t="n">
        <v>45480</v>
      </c>
      <c r="G242" s="13" t="n">
        <v>45540</v>
      </c>
      <c r="H242" s="14" t="n">
        <v>26915.81</v>
      </c>
      <c r="I242" s="6" t="n">
        <v>2</v>
      </c>
      <c r="J242" s="6" t="n">
        <v>600</v>
      </c>
      <c r="K242" s="6" t="s">
        <v>160</v>
      </c>
      <c r="L242" s="14" t="n">
        <v>3632.33</v>
      </c>
      <c r="M242" s="22" t="n">
        <v>1.147</v>
      </c>
      <c r="N242" s="14" t="n">
        <v>4166.28</v>
      </c>
      <c r="O242" s="14" t="n">
        <v>533.95</v>
      </c>
      <c r="P242" s="21" t="n">
        <v>0.087</v>
      </c>
      <c r="Q242" s="6" t="n">
        <v>60</v>
      </c>
      <c r="R242" s="6" t="s">
        <v>232</v>
      </c>
      <c r="S242" s="21" t="n">
        <v>1</v>
      </c>
      <c r="T242" s="14" t="n">
        <v>4166.28</v>
      </c>
      <c r="U242" s="6" t="s">
        <v>41</v>
      </c>
    </row>
    <row r="243" customFormat="false" ht="15" hidden="false" customHeight="true" outlineLevel="0" collapsed="false">
      <c r="A243" s="6" t="s">
        <v>679</v>
      </c>
      <c r="B243" s="6" t="s">
        <v>680</v>
      </c>
      <c r="C243" s="6" t="s">
        <v>116</v>
      </c>
      <c r="D243" s="6" t="s">
        <v>222</v>
      </c>
      <c r="E243" s="6" t="s">
        <v>153</v>
      </c>
      <c r="F243" s="13" t="n">
        <v>45511</v>
      </c>
      <c r="G243" s="13" t="n">
        <v>45611</v>
      </c>
      <c r="H243" s="14" t="n">
        <v>192386.89</v>
      </c>
      <c r="I243" s="6" t="n">
        <v>1</v>
      </c>
      <c r="J243" s="6" t="n">
        <v>527</v>
      </c>
      <c r="K243" s="6" t="s">
        <v>160</v>
      </c>
      <c r="L243" s="14" t="n">
        <v>41998.94</v>
      </c>
      <c r="M243" s="22" t="n">
        <v>1.276</v>
      </c>
      <c r="N243" s="14" t="n">
        <v>53590.65</v>
      </c>
      <c r="O243" s="14" t="n">
        <v>11591.71</v>
      </c>
      <c r="P243" s="21" t="n">
        <v>0.083</v>
      </c>
      <c r="Q243" s="6" t="n">
        <v>100</v>
      </c>
      <c r="R243" s="6" t="s">
        <v>161</v>
      </c>
      <c r="S243" s="21" t="n">
        <v>1</v>
      </c>
      <c r="T243" s="14" t="n">
        <v>53590.65</v>
      </c>
      <c r="U243" s="6" t="s">
        <v>42</v>
      </c>
    </row>
    <row r="244" customFormat="false" ht="15" hidden="false" customHeight="true" outlineLevel="0" collapsed="false">
      <c r="A244" s="6" t="s">
        <v>681</v>
      </c>
      <c r="B244" s="6" t="s">
        <v>682</v>
      </c>
      <c r="C244" s="6" t="s">
        <v>112</v>
      </c>
      <c r="D244" s="6" t="s">
        <v>188</v>
      </c>
      <c r="E244" s="6" t="s">
        <v>304</v>
      </c>
      <c r="F244" s="13" t="n">
        <v>46041</v>
      </c>
      <c r="G244" s="13" t="n">
        <v>46101</v>
      </c>
      <c r="H244" s="14" t="n">
        <v>248178.34</v>
      </c>
      <c r="I244" s="6" t="n">
        <v>0</v>
      </c>
      <c r="J244" s="6" t="n">
        <v>798</v>
      </c>
      <c r="K244" s="6" t="s">
        <v>160</v>
      </c>
      <c r="L244" s="14" t="n">
        <v>36333.83</v>
      </c>
      <c r="M244" s="22" t="n">
        <v>1.149</v>
      </c>
      <c r="N244" s="14" t="n">
        <v>41747.57</v>
      </c>
      <c r="O244" s="14" t="n">
        <v>5413.74</v>
      </c>
      <c r="P244" s="21" t="n">
        <v>0.169</v>
      </c>
      <c r="Q244" s="6" t="n">
        <v>60</v>
      </c>
      <c r="R244" s="6" t="s">
        <v>161</v>
      </c>
      <c r="S244" s="21" t="n">
        <v>1</v>
      </c>
      <c r="T244" s="14" t="n">
        <v>41747.57</v>
      </c>
      <c r="U244" s="6" t="s">
        <v>59</v>
      </c>
    </row>
    <row r="245" customFormat="false" ht="15" hidden="false" customHeight="true" outlineLevel="0" collapsed="false">
      <c r="A245" s="6" t="s">
        <v>683</v>
      </c>
      <c r="B245" s="6" t="s">
        <v>684</v>
      </c>
      <c r="C245" s="6" t="s">
        <v>128</v>
      </c>
      <c r="D245" s="6" t="s">
        <v>235</v>
      </c>
      <c r="E245" s="6" t="s">
        <v>254</v>
      </c>
      <c r="F245" s="13" t="n">
        <v>45376</v>
      </c>
      <c r="G245" s="13" t="n">
        <v>45436</v>
      </c>
      <c r="H245" s="14" t="n">
        <v>69537.7</v>
      </c>
      <c r="I245" s="6" t="n">
        <v>1</v>
      </c>
      <c r="J245" s="6" t="n">
        <v>805</v>
      </c>
      <c r="K245" s="6" t="s">
        <v>160</v>
      </c>
      <c r="L245" s="14" t="n">
        <v>7762.98</v>
      </c>
      <c r="M245" s="22" t="n">
        <v>1.254</v>
      </c>
      <c r="N245" s="14" t="n">
        <v>9734.78</v>
      </c>
      <c r="O245" s="14" t="n">
        <v>1971.8</v>
      </c>
      <c r="P245" s="21" t="n">
        <v>0.169</v>
      </c>
      <c r="Q245" s="6" t="n">
        <v>60</v>
      </c>
      <c r="R245" s="6" t="s">
        <v>161</v>
      </c>
      <c r="S245" s="21" t="n">
        <v>1</v>
      </c>
      <c r="T245" s="14" t="n">
        <v>9734.78</v>
      </c>
      <c r="U245" s="6" t="s">
        <v>37</v>
      </c>
    </row>
    <row r="246" customFormat="false" ht="15" hidden="false" customHeight="true" outlineLevel="0" collapsed="false">
      <c r="A246" s="6" t="s">
        <v>685</v>
      </c>
      <c r="B246" s="6" t="s">
        <v>686</v>
      </c>
      <c r="C246" s="6" t="s">
        <v>112</v>
      </c>
      <c r="D246" s="6" t="s">
        <v>172</v>
      </c>
      <c r="E246" s="6" t="s">
        <v>189</v>
      </c>
      <c r="F246" s="13" t="n">
        <v>45569</v>
      </c>
      <c r="G246" s="13" t="n">
        <v>45639</v>
      </c>
      <c r="H246" s="14" t="n">
        <v>195959.25</v>
      </c>
      <c r="I246" s="6" t="n">
        <v>0</v>
      </c>
      <c r="J246" s="6" t="n">
        <v>546</v>
      </c>
      <c r="K246" s="6" t="s">
        <v>160</v>
      </c>
      <c r="L246" s="14" t="n">
        <v>69981.45</v>
      </c>
      <c r="M246" s="22" t="n">
        <v>1.163</v>
      </c>
      <c r="N246" s="14" t="n">
        <v>81388.43</v>
      </c>
      <c r="O246" s="14" t="n">
        <v>11406.98</v>
      </c>
      <c r="P246" s="21" t="n">
        <v>0.178</v>
      </c>
      <c r="Q246" s="6" t="n">
        <v>70</v>
      </c>
      <c r="R246" s="6" t="s">
        <v>155</v>
      </c>
      <c r="S246" s="21" t="n">
        <v>0.724</v>
      </c>
      <c r="T246" s="14" t="n">
        <v>58925.22</v>
      </c>
      <c r="U246" s="6" t="s">
        <v>44</v>
      </c>
    </row>
    <row r="247" customFormat="false" ht="15" hidden="false" customHeight="true" outlineLevel="0" collapsed="false">
      <c r="A247" s="6" t="s">
        <v>687</v>
      </c>
      <c r="B247" s="6" t="s">
        <v>688</v>
      </c>
      <c r="C247" s="6" t="s">
        <v>131</v>
      </c>
      <c r="D247" s="6" t="s">
        <v>176</v>
      </c>
      <c r="E247" s="6" t="s">
        <v>195</v>
      </c>
      <c r="F247" s="13" t="n">
        <v>45555</v>
      </c>
      <c r="G247" s="13" t="n">
        <v>45615</v>
      </c>
      <c r="H247" s="14" t="n">
        <v>218143.6</v>
      </c>
      <c r="I247" s="6" t="n">
        <v>0</v>
      </c>
      <c r="J247" s="6" t="n">
        <v>594</v>
      </c>
      <c r="K247" s="6" t="s">
        <v>185</v>
      </c>
      <c r="L247" s="14" t="n">
        <v>20951.44</v>
      </c>
      <c r="M247" s="22" t="n">
        <v>1.088</v>
      </c>
      <c r="N247" s="14" t="n">
        <v>22795.17</v>
      </c>
      <c r="O247" s="14" t="n">
        <v>1843.73</v>
      </c>
      <c r="P247" s="21" t="n">
        <v>0.081</v>
      </c>
      <c r="Q247" s="6" t="n">
        <v>60</v>
      </c>
      <c r="R247" s="6" t="s">
        <v>161</v>
      </c>
      <c r="S247" s="21" t="n">
        <v>1</v>
      </c>
      <c r="T247" s="14" t="n">
        <v>22795.17</v>
      </c>
      <c r="U247" s="6" t="s">
        <v>43</v>
      </c>
    </row>
    <row r="248" customFormat="false" ht="15" hidden="false" customHeight="true" outlineLevel="0" collapsed="false">
      <c r="A248" s="6" t="s">
        <v>689</v>
      </c>
      <c r="B248" s="6" t="s">
        <v>690</v>
      </c>
      <c r="C248" s="6" t="s">
        <v>120</v>
      </c>
      <c r="D248" s="6" t="s">
        <v>210</v>
      </c>
      <c r="E248" s="6" t="s">
        <v>211</v>
      </c>
      <c r="F248" s="13" t="n">
        <v>45337</v>
      </c>
      <c r="G248" s="13" t="n">
        <v>45478</v>
      </c>
      <c r="H248" s="14" t="n">
        <v>191172.62</v>
      </c>
      <c r="I248" s="6" t="n">
        <v>1</v>
      </c>
      <c r="J248" s="6" t="n">
        <v>608</v>
      </c>
      <c r="K248" s="6" t="s">
        <v>160</v>
      </c>
      <c r="L248" s="14" t="n">
        <v>91747.96</v>
      </c>
      <c r="M248" s="22" t="n">
        <v>1.334</v>
      </c>
      <c r="N248" s="14" t="n">
        <v>122391.78</v>
      </c>
      <c r="O248" s="14" t="n">
        <v>30643.82</v>
      </c>
      <c r="P248" s="21" t="n">
        <v>0.136</v>
      </c>
      <c r="Q248" s="6" t="n">
        <v>141</v>
      </c>
      <c r="R248" s="6" t="s">
        <v>161</v>
      </c>
      <c r="S248" s="21" t="n">
        <v>1</v>
      </c>
      <c r="T248" s="14" t="n">
        <v>122391.78</v>
      </c>
      <c r="U248" s="6" t="s">
        <v>36</v>
      </c>
    </row>
    <row r="249" customFormat="false" ht="15" hidden="false" customHeight="true" outlineLevel="0" collapsed="false">
      <c r="A249" s="6" t="s">
        <v>691</v>
      </c>
      <c r="B249" s="6" t="s">
        <v>692</v>
      </c>
      <c r="C249" s="6" t="s">
        <v>131</v>
      </c>
      <c r="D249" s="6" t="s">
        <v>152</v>
      </c>
      <c r="E249" s="6" t="s">
        <v>165</v>
      </c>
      <c r="F249" s="13" t="n">
        <v>45685</v>
      </c>
      <c r="G249" s="13" t="n">
        <v>45745</v>
      </c>
      <c r="H249" s="14" t="n">
        <v>79114.84</v>
      </c>
      <c r="I249" s="6" t="n">
        <v>0</v>
      </c>
      <c r="J249" s="6" t="n">
        <v>546</v>
      </c>
      <c r="K249" s="6" t="s">
        <v>154</v>
      </c>
      <c r="L249" s="14" t="n">
        <v>12302.03</v>
      </c>
      <c r="M249" s="22" t="n">
        <v>1.161</v>
      </c>
      <c r="N249" s="14" t="n">
        <v>14282.66</v>
      </c>
      <c r="O249" s="14" t="n">
        <v>1980.63</v>
      </c>
      <c r="P249" s="21" t="n">
        <v>0.137</v>
      </c>
      <c r="Q249" s="6" t="n">
        <v>60</v>
      </c>
      <c r="R249" s="6" t="s">
        <v>490</v>
      </c>
      <c r="S249" s="21" t="n">
        <v>0.457</v>
      </c>
      <c r="T249" s="14" t="n">
        <v>6527.18</v>
      </c>
      <c r="U249" s="6" t="s">
        <v>47</v>
      </c>
    </row>
    <row r="250" customFormat="false" ht="15" hidden="false" customHeight="true" outlineLevel="0" collapsed="false">
      <c r="A250" s="6" t="s">
        <v>693</v>
      </c>
      <c r="B250" s="6" t="s">
        <v>694</v>
      </c>
      <c r="C250" s="6" t="s">
        <v>131</v>
      </c>
      <c r="D250" s="6" t="s">
        <v>200</v>
      </c>
      <c r="E250" s="6" t="s">
        <v>211</v>
      </c>
      <c r="F250" s="13" t="n">
        <v>46131</v>
      </c>
      <c r="G250" s="13" t="n">
        <v>46191</v>
      </c>
      <c r="H250" s="14" t="n">
        <v>238263.94</v>
      </c>
      <c r="I250" s="6" t="n">
        <v>2</v>
      </c>
      <c r="J250" s="6" t="n">
        <v>713</v>
      </c>
      <c r="K250" s="6" t="s">
        <v>185</v>
      </c>
      <c r="L250" s="14" t="n">
        <v>31951.28</v>
      </c>
      <c r="M250" s="22" t="n">
        <v>1.315</v>
      </c>
      <c r="N250" s="14" t="n">
        <v>42015.93</v>
      </c>
      <c r="O250" s="14" t="n">
        <v>10064.65</v>
      </c>
      <c r="P250" s="21" t="n">
        <v>0.171</v>
      </c>
      <c r="Q250" s="6" t="n">
        <v>60</v>
      </c>
      <c r="R250" s="6" t="s">
        <v>155</v>
      </c>
      <c r="S250" s="21" t="n">
        <v>0.723</v>
      </c>
      <c r="T250" s="14" t="n">
        <v>30377.52</v>
      </c>
      <c r="U250" s="6" t="s">
        <v>62</v>
      </c>
    </row>
    <row r="251" customFormat="false" ht="15" hidden="false" customHeight="true" outlineLevel="0" collapsed="false">
      <c r="A251" s="6" t="s">
        <v>695</v>
      </c>
      <c r="B251" s="6" t="s">
        <v>696</v>
      </c>
      <c r="C251" s="6" t="s">
        <v>112</v>
      </c>
      <c r="D251" s="6" t="s">
        <v>164</v>
      </c>
      <c r="E251" s="6" t="s">
        <v>254</v>
      </c>
      <c r="F251" s="13" t="n">
        <v>45429</v>
      </c>
      <c r="G251" s="13" t="n">
        <v>45496</v>
      </c>
      <c r="H251" s="14" t="n">
        <v>214505.93</v>
      </c>
      <c r="I251" s="6" t="n">
        <v>4</v>
      </c>
      <c r="J251" s="6" t="n">
        <v>685</v>
      </c>
      <c r="K251" s="6" t="s">
        <v>154</v>
      </c>
      <c r="L251" s="14" t="n">
        <v>42651.63</v>
      </c>
      <c r="M251" s="22" t="n">
        <v>1.131</v>
      </c>
      <c r="N251" s="14" t="n">
        <v>48238.99</v>
      </c>
      <c r="O251" s="14" t="n">
        <v>5587.36</v>
      </c>
      <c r="P251" s="21" t="n">
        <v>0.1</v>
      </c>
      <c r="Q251" s="6" t="n">
        <v>67</v>
      </c>
      <c r="R251" s="6" t="s">
        <v>161</v>
      </c>
      <c r="S251" s="21" t="n">
        <v>1</v>
      </c>
      <c r="T251" s="14" t="n">
        <v>48238.99</v>
      </c>
      <c r="U251" s="6" t="s">
        <v>39</v>
      </c>
    </row>
    <row r="252" customFormat="false" ht="15" hidden="false" customHeight="true" outlineLevel="0" collapsed="false">
      <c r="A252" s="6" t="s">
        <v>697</v>
      </c>
      <c r="B252" s="6" t="s">
        <v>698</v>
      </c>
      <c r="C252" s="6" t="s">
        <v>124</v>
      </c>
      <c r="D252" s="6" t="s">
        <v>168</v>
      </c>
      <c r="E252" s="6" t="s">
        <v>254</v>
      </c>
      <c r="F252" s="13" t="n">
        <v>46008</v>
      </c>
      <c r="G252" s="13" t="n">
        <v>46158</v>
      </c>
      <c r="H252" s="14" t="n">
        <v>153554.63</v>
      </c>
      <c r="I252" s="6" t="n">
        <v>0</v>
      </c>
      <c r="J252" s="6" t="n">
        <v>713</v>
      </c>
      <c r="K252" s="6" t="s">
        <v>154</v>
      </c>
      <c r="L252" s="14" t="n">
        <v>37715.93</v>
      </c>
      <c r="M252" s="22" t="n">
        <v>1.347</v>
      </c>
      <c r="N252" s="14" t="n">
        <v>50803.36</v>
      </c>
      <c r="O252" s="14" t="n">
        <v>13087.43</v>
      </c>
      <c r="P252" s="21" t="n">
        <v>0.066</v>
      </c>
      <c r="Q252" s="6" t="n">
        <v>150</v>
      </c>
      <c r="R252" s="6" t="s">
        <v>161</v>
      </c>
      <c r="S252" s="21" t="n">
        <v>1</v>
      </c>
      <c r="T252" s="14" t="n">
        <v>50803.36</v>
      </c>
      <c r="U252" s="6" t="s">
        <v>58</v>
      </c>
    </row>
    <row r="253" customFormat="false" ht="15" hidden="false" customHeight="true" outlineLevel="0" collapsed="false">
      <c r="A253" s="6" t="s">
        <v>699</v>
      </c>
      <c r="B253" s="6" t="s">
        <v>700</v>
      </c>
      <c r="C253" s="6" t="s">
        <v>120</v>
      </c>
      <c r="D253" s="6" t="s">
        <v>158</v>
      </c>
      <c r="E253" s="6" t="s">
        <v>192</v>
      </c>
      <c r="F253" s="13" t="n">
        <v>46067</v>
      </c>
      <c r="G253" s="13" t="n">
        <v>46127</v>
      </c>
      <c r="H253" s="14" t="n">
        <v>118722.87</v>
      </c>
      <c r="I253" s="6" t="n">
        <v>0</v>
      </c>
      <c r="J253" s="6" t="n">
        <v>544</v>
      </c>
      <c r="K253" s="6" t="s">
        <v>185</v>
      </c>
      <c r="L253" s="14" t="n">
        <v>16971.56</v>
      </c>
      <c r="M253" s="22" t="n">
        <v>1.139</v>
      </c>
      <c r="N253" s="14" t="n">
        <v>19330.61</v>
      </c>
      <c r="O253" s="14" t="n">
        <v>2359.05</v>
      </c>
      <c r="P253" s="21" t="n">
        <v>0.147</v>
      </c>
      <c r="Q253" s="6" t="n">
        <v>60</v>
      </c>
      <c r="R253" s="6" t="s">
        <v>161</v>
      </c>
      <c r="S253" s="21" t="n">
        <v>1</v>
      </c>
      <c r="T253" s="14" t="n">
        <v>19330.61</v>
      </c>
      <c r="U253" s="6" t="s">
        <v>60</v>
      </c>
    </row>
    <row r="254" customFormat="false" ht="15" hidden="false" customHeight="true" outlineLevel="0" collapsed="false">
      <c r="A254" s="6" t="s">
        <v>701</v>
      </c>
      <c r="B254" s="6" t="s">
        <v>702</v>
      </c>
      <c r="C254" s="6" t="s">
        <v>120</v>
      </c>
      <c r="D254" s="6" t="s">
        <v>210</v>
      </c>
      <c r="E254" s="6" t="s">
        <v>288</v>
      </c>
      <c r="F254" s="13" t="n">
        <v>44631</v>
      </c>
      <c r="G254" s="13" t="n">
        <v>44760</v>
      </c>
      <c r="H254" s="14" t="n">
        <v>236705.29</v>
      </c>
      <c r="I254" s="6" t="n">
        <v>0</v>
      </c>
      <c r="J254" s="6" t="n">
        <v>665</v>
      </c>
      <c r="K254" s="6" t="s">
        <v>160</v>
      </c>
      <c r="L254" s="14" t="n">
        <v>84085.64</v>
      </c>
      <c r="M254" s="22" t="n">
        <v>1.249</v>
      </c>
      <c r="N254" s="14" t="n">
        <v>105022.96</v>
      </c>
      <c r="O254" s="14" t="n">
        <v>20937.32</v>
      </c>
      <c r="P254" s="21" t="n">
        <v>0.103</v>
      </c>
      <c r="Q254" s="6" t="n">
        <v>129</v>
      </c>
      <c r="R254" s="6" t="s">
        <v>155</v>
      </c>
      <c r="S254" s="21" t="n">
        <v>0.839</v>
      </c>
      <c r="T254" s="14" t="n">
        <v>88114.26</v>
      </c>
      <c r="U254" s="6" t="s">
        <v>13</v>
      </c>
    </row>
    <row r="255" customFormat="false" ht="15" hidden="false" customHeight="true" outlineLevel="0" collapsed="false">
      <c r="A255" s="6" t="s">
        <v>703</v>
      </c>
      <c r="B255" s="6" t="s">
        <v>704</v>
      </c>
      <c r="C255" s="6" t="s">
        <v>131</v>
      </c>
      <c r="D255" s="6" t="s">
        <v>152</v>
      </c>
      <c r="E255" s="6" t="s">
        <v>165</v>
      </c>
      <c r="F255" s="13" t="n">
        <v>45896</v>
      </c>
      <c r="G255" s="13" t="n">
        <v>45956</v>
      </c>
      <c r="H255" s="14" t="n">
        <v>142566.56</v>
      </c>
      <c r="I255" s="6" t="n">
        <v>1</v>
      </c>
      <c r="J255" s="6" t="n">
        <v>760</v>
      </c>
      <c r="K255" s="6" t="s">
        <v>185</v>
      </c>
      <c r="L255" s="14" t="n">
        <v>19218.63</v>
      </c>
      <c r="M255" s="22" t="n">
        <v>1.226</v>
      </c>
      <c r="N255" s="14" t="n">
        <v>23562.04</v>
      </c>
      <c r="O255" s="14" t="n">
        <v>4343.41</v>
      </c>
      <c r="P255" s="21" t="n">
        <v>0.156</v>
      </c>
      <c r="Q255" s="6" t="n">
        <v>60</v>
      </c>
      <c r="R255" s="6" t="s">
        <v>155</v>
      </c>
      <c r="S255" s="21" t="n">
        <v>0.964</v>
      </c>
      <c r="T255" s="14" t="n">
        <v>22713.81</v>
      </c>
      <c r="U255" s="6" t="s">
        <v>54</v>
      </c>
    </row>
    <row r="256" customFormat="false" ht="15" hidden="false" customHeight="true" outlineLevel="0" collapsed="false">
      <c r="A256" s="6" t="s">
        <v>705</v>
      </c>
      <c r="B256" s="6" t="s">
        <v>706</v>
      </c>
      <c r="C256" s="6" t="s">
        <v>128</v>
      </c>
      <c r="D256" s="6" t="s">
        <v>235</v>
      </c>
      <c r="E256" s="6" t="s">
        <v>177</v>
      </c>
      <c r="F256" s="13" t="n">
        <v>45162</v>
      </c>
      <c r="G256" s="13" t="n">
        <v>45222</v>
      </c>
      <c r="H256" s="14" t="n">
        <v>241838.83</v>
      </c>
      <c r="I256" s="6" t="n">
        <v>0</v>
      </c>
      <c r="J256" s="6" t="n">
        <v>813</v>
      </c>
      <c r="K256" s="6" t="s">
        <v>154</v>
      </c>
      <c r="L256" s="14" t="n">
        <v>29599.37</v>
      </c>
      <c r="M256" s="22" t="n">
        <v>1.335</v>
      </c>
      <c r="N256" s="14" t="n">
        <v>39515.16</v>
      </c>
      <c r="O256" s="14" t="n">
        <v>9915.79</v>
      </c>
      <c r="P256" s="21" t="n">
        <v>0.168</v>
      </c>
      <c r="Q256" s="6" t="n">
        <v>60</v>
      </c>
      <c r="R256" s="6" t="s">
        <v>161</v>
      </c>
      <c r="S256" s="21" t="n">
        <v>1</v>
      </c>
      <c r="T256" s="14" t="n">
        <v>39515.16</v>
      </c>
      <c r="U256" s="6" t="s">
        <v>30</v>
      </c>
    </row>
    <row r="257" customFormat="false" ht="15" hidden="false" customHeight="true" outlineLevel="0" collapsed="false">
      <c r="A257" s="6" t="s">
        <v>707</v>
      </c>
      <c r="B257" s="6" t="s">
        <v>708</v>
      </c>
      <c r="C257" s="6" t="s">
        <v>120</v>
      </c>
      <c r="D257" s="6" t="s">
        <v>218</v>
      </c>
      <c r="E257" s="6" t="s">
        <v>254</v>
      </c>
      <c r="F257" s="13" t="n">
        <v>45892</v>
      </c>
      <c r="G257" s="13" t="n">
        <v>46025</v>
      </c>
      <c r="H257" s="14" t="n">
        <v>153718.94</v>
      </c>
      <c r="I257" s="6" t="n">
        <v>0</v>
      </c>
      <c r="J257" s="6" t="n">
        <v>615</v>
      </c>
      <c r="K257" s="6" t="s">
        <v>160</v>
      </c>
      <c r="L257" s="14" t="n">
        <v>46618.86</v>
      </c>
      <c r="M257" s="22" t="n">
        <v>1.228</v>
      </c>
      <c r="N257" s="14" t="n">
        <v>57247.96</v>
      </c>
      <c r="O257" s="14" t="n">
        <v>10629.1</v>
      </c>
      <c r="P257" s="21" t="n">
        <v>0.084</v>
      </c>
      <c r="Q257" s="6" t="n">
        <v>133</v>
      </c>
      <c r="R257" s="6" t="s">
        <v>155</v>
      </c>
      <c r="S257" s="21" t="n">
        <v>0.84</v>
      </c>
      <c r="T257" s="14" t="n">
        <v>48088.29</v>
      </c>
      <c r="U257" s="6" t="s">
        <v>54</v>
      </c>
    </row>
    <row r="258" customFormat="false" ht="15" hidden="false" customHeight="true" outlineLevel="0" collapsed="false">
      <c r="A258" s="6" t="s">
        <v>709</v>
      </c>
      <c r="B258" s="6" t="s">
        <v>710</v>
      </c>
      <c r="C258" s="6" t="s">
        <v>116</v>
      </c>
      <c r="D258" s="6" t="s">
        <v>206</v>
      </c>
      <c r="E258" s="6" t="s">
        <v>192</v>
      </c>
      <c r="F258" s="13" t="n">
        <v>44660</v>
      </c>
      <c r="G258" s="13" t="n">
        <v>44768</v>
      </c>
      <c r="H258" s="14" t="n">
        <v>150496.15</v>
      </c>
      <c r="I258" s="6" t="n">
        <v>3</v>
      </c>
      <c r="J258" s="6" t="n">
        <v>531</v>
      </c>
      <c r="K258" s="6" t="s">
        <v>160</v>
      </c>
      <c r="L258" s="14" t="n">
        <v>56936.82</v>
      </c>
      <c r="M258" s="22" t="n">
        <v>1.229</v>
      </c>
      <c r="N258" s="14" t="n">
        <v>69975.35</v>
      </c>
      <c r="O258" s="14" t="n">
        <v>13038.53</v>
      </c>
      <c r="P258" s="21" t="n">
        <v>0.129</v>
      </c>
      <c r="Q258" s="6" t="n">
        <v>108</v>
      </c>
      <c r="R258" s="6" t="s">
        <v>155</v>
      </c>
      <c r="S258" s="21" t="n">
        <v>0.98</v>
      </c>
      <c r="T258" s="14" t="n">
        <v>68575.84</v>
      </c>
      <c r="U258" s="6" t="s">
        <v>14</v>
      </c>
    </row>
    <row r="259" customFormat="false" ht="15" hidden="false" customHeight="true" outlineLevel="0" collapsed="false">
      <c r="A259" s="6" t="s">
        <v>711</v>
      </c>
      <c r="B259" s="6" t="s">
        <v>712</v>
      </c>
      <c r="C259" s="6" t="s">
        <v>116</v>
      </c>
      <c r="D259" s="6" t="s">
        <v>222</v>
      </c>
      <c r="E259" s="6" t="s">
        <v>219</v>
      </c>
      <c r="F259" s="13" t="n">
        <v>45740</v>
      </c>
      <c r="G259" s="13" t="n">
        <v>45858</v>
      </c>
      <c r="H259" s="14" t="n">
        <v>237284.02</v>
      </c>
      <c r="I259" s="6" t="n">
        <v>1</v>
      </c>
      <c r="J259" s="6" t="n">
        <v>600</v>
      </c>
      <c r="K259" s="6" t="s">
        <v>154</v>
      </c>
      <c r="L259" s="14" t="n">
        <v>50917.5</v>
      </c>
      <c r="M259" s="22" t="n">
        <v>1.145</v>
      </c>
      <c r="N259" s="14" t="n">
        <v>58300.54</v>
      </c>
      <c r="O259" s="14" t="n">
        <v>7383.04</v>
      </c>
      <c r="P259" s="21" t="n">
        <v>0.062</v>
      </c>
      <c r="Q259" s="6" t="n">
        <v>118</v>
      </c>
      <c r="R259" s="6" t="s">
        <v>155</v>
      </c>
      <c r="S259" s="21" t="n">
        <v>0.96</v>
      </c>
      <c r="T259" s="14" t="n">
        <v>55968.52</v>
      </c>
      <c r="U259" s="6" t="s">
        <v>49</v>
      </c>
    </row>
    <row r="260" customFormat="false" ht="15" hidden="false" customHeight="true" outlineLevel="0" collapsed="false">
      <c r="A260" s="6" t="s">
        <v>713</v>
      </c>
      <c r="B260" s="6" t="s">
        <v>714</v>
      </c>
      <c r="C260" s="6" t="s">
        <v>128</v>
      </c>
      <c r="D260" s="6" t="s">
        <v>172</v>
      </c>
      <c r="E260" s="6" t="s">
        <v>288</v>
      </c>
      <c r="F260" s="13" t="n">
        <v>45952</v>
      </c>
      <c r="G260" s="13" t="n">
        <v>46064</v>
      </c>
      <c r="H260" s="14" t="n">
        <v>26179.61</v>
      </c>
      <c r="I260" s="6" t="n">
        <v>3</v>
      </c>
      <c r="J260" s="6" t="n">
        <v>664</v>
      </c>
      <c r="K260" s="6" t="s">
        <v>154</v>
      </c>
      <c r="L260" s="14" t="n">
        <v>5414.6</v>
      </c>
      <c r="M260" s="22" t="n">
        <v>1.181</v>
      </c>
      <c r="N260" s="14" t="n">
        <v>6394.64</v>
      </c>
      <c r="O260" s="14" t="n">
        <v>980.04</v>
      </c>
      <c r="P260" s="21" t="n">
        <v>0.065</v>
      </c>
      <c r="Q260" s="6" t="n">
        <v>112</v>
      </c>
      <c r="R260" s="6" t="s">
        <v>155</v>
      </c>
      <c r="S260" s="21" t="n">
        <v>0.889</v>
      </c>
      <c r="T260" s="14" t="n">
        <v>5684.83</v>
      </c>
      <c r="U260" s="6" t="s">
        <v>56</v>
      </c>
    </row>
    <row r="261" customFormat="false" ht="15" hidden="false" customHeight="true" outlineLevel="0" collapsed="false">
      <c r="A261" s="6" t="s">
        <v>715</v>
      </c>
      <c r="B261" s="6" t="s">
        <v>716</v>
      </c>
      <c r="C261" s="6" t="s">
        <v>116</v>
      </c>
      <c r="D261" s="6" t="s">
        <v>206</v>
      </c>
      <c r="E261" s="6" t="s">
        <v>207</v>
      </c>
      <c r="F261" s="13" t="n">
        <v>45906</v>
      </c>
      <c r="G261" s="13" t="n">
        <v>45978</v>
      </c>
      <c r="H261" s="14" t="n">
        <v>62715.05</v>
      </c>
      <c r="I261" s="6" t="n">
        <v>1</v>
      </c>
      <c r="J261" s="6" t="n">
        <v>596</v>
      </c>
      <c r="K261" s="6" t="s">
        <v>185</v>
      </c>
      <c r="L261" s="14" t="n">
        <v>23656.65</v>
      </c>
      <c r="M261" s="22" t="n">
        <v>1.153</v>
      </c>
      <c r="N261" s="14" t="n">
        <v>27276.12</v>
      </c>
      <c r="O261" s="14" t="n">
        <v>3619.47</v>
      </c>
      <c r="P261" s="21" t="n">
        <v>0.179</v>
      </c>
      <c r="Q261" s="6" t="n">
        <v>72</v>
      </c>
      <c r="R261" s="6" t="s">
        <v>155</v>
      </c>
      <c r="S261" s="21" t="n">
        <v>0.757</v>
      </c>
      <c r="T261" s="14" t="n">
        <v>20648.02</v>
      </c>
      <c r="U261" s="6" t="s">
        <v>55</v>
      </c>
    </row>
    <row r="262" customFormat="false" ht="15" hidden="false" customHeight="true" outlineLevel="0" collapsed="false">
      <c r="A262" s="6" t="s">
        <v>717</v>
      </c>
      <c r="B262" s="6" t="s">
        <v>718</v>
      </c>
      <c r="C262" s="6" t="s">
        <v>120</v>
      </c>
      <c r="D262" s="6" t="s">
        <v>210</v>
      </c>
      <c r="E262" s="6" t="s">
        <v>169</v>
      </c>
      <c r="F262" s="13" t="n">
        <v>45586</v>
      </c>
      <c r="G262" s="13" t="n">
        <v>45646</v>
      </c>
      <c r="H262" s="14" t="n">
        <v>183690.68</v>
      </c>
      <c r="I262" s="6" t="n">
        <v>2</v>
      </c>
      <c r="J262" s="6" t="n">
        <v>764</v>
      </c>
      <c r="K262" s="6" t="s">
        <v>160</v>
      </c>
      <c r="L262" s="14" t="n">
        <v>17630.8</v>
      </c>
      <c r="M262" s="22" t="n">
        <v>1.086</v>
      </c>
      <c r="N262" s="14" t="n">
        <v>19147.05</v>
      </c>
      <c r="O262" s="14" t="n">
        <v>1516.25</v>
      </c>
      <c r="P262" s="21" t="n">
        <v>0.07</v>
      </c>
      <c r="Q262" s="6" t="n">
        <v>60</v>
      </c>
      <c r="R262" s="6" t="s">
        <v>155</v>
      </c>
      <c r="S262" s="21" t="n">
        <v>0.94</v>
      </c>
      <c r="T262" s="14" t="n">
        <v>17998.23</v>
      </c>
      <c r="U262" s="6" t="s">
        <v>44</v>
      </c>
    </row>
    <row r="263" customFormat="false" ht="15" hidden="false" customHeight="true" outlineLevel="0" collapsed="false">
      <c r="A263" s="6" t="s">
        <v>719</v>
      </c>
      <c r="B263" s="6" t="s">
        <v>720</v>
      </c>
      <c r="C263" s="6" t="s">
        <v>131</v>
      </c>
      <c r="D263" s="6" t="s">
        <v>152</v>
      </c>
      <c r="E263" s="6" t="s">
        <v>181</v>
      </c>
      <c r="F263" s="13" t="n">
        <v>44808</v>
      </c>
      <c r="G263" s="13" t="n">
        <v>44907</v>
      </c>
      <c r="H263" s="14" t="n">
        <v>56015.82</v>
      </c>
      <c r="I263" s="6" t="n">
        <v>2</v>
      </c>
      <c r="J263" s="6" t="n">
        <v>759</v>
      </c>
      <c r="K263" s="6" t="s">
        <v>160</v>
      </c>
      <c r="L263" s="14" t="n">
        <v>10256.99</v>
      </c>
      <c r="M263" s="22" t="n">
        <v>1.25</v>
      </c>
      <c r="N263" s="14" t="n">
        <v>12821.24</v>
      </c>
      <c r="O263" s="14" t="n">
        <v>2564.25</v>
      </c>
      <c r="P263" s="21" t="n">
        <v>0.069</v>
      </c>
      <c r="Q263" s="6" t="n">
        <v>99</v>
      </c>
      <c r="R263" s="6" t="s">
        <v>155</v>
      </c>
      <c r="S263" s="21" t="n">
        <v>0.713</v>
      </c>
      <c r="T263" s="14" t="n">
        <v>9141.54</v>
      </c>
      <c r="U263" s="6" t="s">
        <v>19</v>
      </c>
    </row>
    <row r="264" customFormat="false" ht="15" hidden="false" customHeight="true" outlineLevel="0" collapsed="false">
      <c r="A264" s="6" t="s">
        <v>721</v>
      </c>
      <c r="B264" s="6" t="s">
        <v>722</v>
      </c>
      <c r="C264" s="6" t="s">
        <v>112</v>
      </c>
      <c r="D264" s="6" t="s">
        <v>188</v>
      </c>
      <c r="E264" s="6" t="s">
        <v>288</v>
      </c>
      <c r="F264" s="13" t="n">
        <v>45240</v>
      </c>
      <c r="G264" s="13" t="n">
        <v>45300</v>
      </c>
      <c r="H264" s="14" t="n">
        <v>69047.66</v>
      </c>
      <c r="I264" s="6" t="n">
        <v>1</v>
      </c>
      <c r="J264" s="6" t="n">
        <v>607</v>
      </c>
      <c r="K264" s="6" t="s">
        <v>154</v>
      </c>
      <c r="L264" s="14" t="n">
        <v>5934.15</v>
      </c>
      <c r="M264" s="22" t="n">
        <v>1.229</v>
      </c>
      <c r="N264" s="14" t="n">
        <v>7293.07</v>
      </c>
      <c r="O264" s="14" t="n">
        <v>1358.92</v>
      </c>
      <c r="P264" s="21" t="n">
        <v>0.162</v>
      </c>
      <c r="Q264" s="6" t="n">
        <v>60</v>
      </c>
      <c r="R264" s="6" t="s">
        <v>161</v>
      </c>
      <c r="S264" s="21" t="n">
        <v>1</v>
      </c>
      <c r="T264" s="14" t="n">
        <v>7293.07</v>
      </c>
      <c r="U264" s="6" t="s">
        <v>33</v>
      </c>
    </row>
    <row r="265" customFormat="false" ht="15" hidden="false" customHeight="true" outlineLevel="0" collapsed="false">
      <c r="A265" s="6" t="s">
        <v>723</v>
      </c>
      <c r="B265" s="6" t="s">
        <v>724</v>
      </c>
      <c r="C265" s="6" t="s">
        <v>116</v>
      </c>
      <c r="D265" s="6" t="s">
        <v>152</v>
      </c>
      <c r="E265" s="6" t="s">
        <v>184</v>
      </c>
      <c r="F265" s="13" t="n">
        <v>44876</v>
      </c>
      <c r="G265" s="13" t="n">
        <v>44936</v>
      </c>
      <c r="H265" s="14" t="n">
        <v>231971.15</v>
      </c>
      <c r="I265" s="6" t="n">
        <v>0</v>
      </c>
      <c r="J265" s="6" t="n">
        <v>675</v>
      </c>
      <c r="K265" s="6" t="s">
        <v>160</v>
      </c>
      <c r="L265" s="14" t="n">
        <v>42379.6</v>
      </c>
      <c r="M265" s="22" t="n">
        <v>1.285</v>
      </c>
      <c r="N265" s="14" t="n">
        <v>54457.79</v>
      </c>
      <c r="O265" s="14" t="n">
        <v>12078.19</v>
      </c>
      <c r="P265" s="21" t="n">
        <v>0.119</v>
      </c>
      <c r="Q265" s="6" t="n">
        <v>60</v>
      </c>
      <c r="R265" s="6" t="s">
        <v>155</v>
      </c>
      <c r="S265" s="21" t="n">
        <v>0.767</v>
      </c>
      <c r="T265" s="14" t="n">
        <v>41769.12</v>
      </c>
      <c r="U265" s="6" t="s">
        <v>21</v>
      </c>
    </row>
    <row r="266" customFormat="false" ht="15" hidden="false" customHeight="true" outlineLevel="0" collapsed="false">
      <c r="A266" s="6" t="s">
        <v>725</v>
      </c>
      <c r="B266" s="6" t="s">
        <v>726</v>
      </c>
      <c r="C266" s="6" t="s">
        <v>112</v>
      </c>
      <c r="D266" s="6" t="s">
        <v>225</v>
      </c>
      <c r="E266" s="6" t="s">
        <v>173</v>
      </c>
      <c r="F266" s="13" t="n">
        <v>45964</v>
      </c>
      <c r="G266" s="13" t="n">
        <v>46106</v>
      </c>
      <c r="H266" s="14" t="n">
        <v>74343.97</v>
      </c>
      <c r="I266" s="6" t="n">
        <v>5</v>
      </c>
      <c r="J266" s="6" t="n">
        <v>593</v>
      </c>
      <c r="K266" s="6" t="s">
        <v>154</v>
      </c>
      <c r="L266" s="14" t="n">
        <v>28147.28</v>
      </c>
      <c r="M266" s="22" t="n">
        <v>1.28</v>
      </c>
      <c r="N266" s="14" t="n">
        <v>36028.52</v>
      </c>
      <c r="O266" s="14" t="n">
        <v>7881.24</v>
      </c>
      <c r="P266" s="21" t="n">
        <v>0.102</v>
      </c>
      <c r="Q266" s="6" t="n">
        <v>142</v>
      </c>
      <c r="R266" s="6" t="s">
        <v>161</v>
      </c>
      <c r="S266" s="21" t="n">
        <v>1</v>
      </c>
      <c r="T266" s="14" t="n">
        <v>36028.52</v>
      </c>
      <c r="U266" s="6" t="s">
        <v>57</v>
      </c>
    </row>
    <row r="267" customFormat="false" ht="15" hidden="false" customHeight="true" outlineLevel="0" collapsed="false">
      <c r="A267" s="6" t="s">
        <v>727</v>
      </c>
      <c r="B267" s="6" t="s">
        <v>728</v>
      </c>
      <c r="C267" s="6" t="s">
        <v>116</v>
      </c>
      <c r="D267" s="6" t="s">
        <v>206</v>
      </c>
      <c r="E267" s="6" t="s">
        <v>195</v>
      </c>
      <c r="F267" s="13" t="n">
        <v>44835</v>
      </c>
      <c r="G267" s="13" t="n">
        <v>44950</v>
      </c>
      <c r="H267" s="14" t="n">
        <v>8338.79</v>
      </c>
      <c r="I267" s="6" t="n">
        <v>0</v>
      </c>
      <c r="J267" s="6" t="n">
        <v>694</v>
      </c>
      <c r="K267" s="6" t="s">
        <v>160</v>
      </c>
      <c r="L267" s="14" t="n">
        <v>2044.35</v>
      </c>
      <c r="M267" s="22" t="n">
        <v>1.319</v>
      </c>
      <c r="N267" s="14" t="n">
        <v>2696.5</v>
      </c>
      <c r="O267" s="14" t="n">
        <v>652.15</v>
      </c>
      <c r="P267" s="21" t="n">
        <v>0.084</v>
      </c>
      <c r="Q267" s="6" t="n">
        <v>115</v>
      </c>
      <c r="R267" s="6" t="s">
        <v>161</v>
      </c>
      <c r="S267" s="21" t="n">
        <v>1</v>
      </c>
      <c r="T267" s="14" t="n">
        <v>2696.5</v>
      </c>
      <c r="U267" s="6" t="s">
        <v>20</v>
      </c>
    </row>
    <row r="268" customFormat="false" ht="15" hidden="false" customHeight="true" outlineLevel="0" collapsed="false">
      <c r="A268" s="6" t="s">
        <v>729</v>
      </c>
      <c r="B268" s="6" t="s">
        <v>730</v>
      </c>
      <c r="C268" s="6" t="s">
        <v>116</v>
      </c>
      <c r="D268" s="6" t="s">
        <v>222</v>
      </c>
      <c r="E268" s="6" t="s">
        <v>159</v>
      </c>
      <c r="F268" s="13" t="n">
        <v>44948</v>
      </c>
      <c r="G268" s="13" t="n">
        <v>45008</v>
      </c>
      <c r="H268" s="14" t="n">
        <v>184614.48</v>
      </c>
      <c r="I268" s="6" t="n">
        <v>1</v>
      </c>
      <c r="J268" s="6" t="n">
        <v>547</v>
      </c>
      <c r="K268" s="6" t="s">
        <v>185</v>
      </c>
      <c r="L268" s="14" t="n">
        <v>18021.36</v>
      </c>
      <c r="M268" s="22" t="n">
        <v>1.13</v>
      </c>
      <c r="N268" s="14" t="n">
        <v>20364.14</v>
      </c>
      <c r="O268" s="14" t="n">
        <v>2342.78</v>
      </c>
      <c r="P268" s="21" t="n">
        <v>0.162</v>
      </c>
      <c r="Q268" s="6" t="n">
        <v>60</v>
      </c>
      <c r="R268" s="6" t="s">
        <v>161</v>
      </c>
      <c r="S268" s="21" t="n">
        <v>1</v>
      </c>
      <c r="T268" s="14" t="n">
        <v>20364.14</v>
      </c>
      <c r="U268" s="6" t="s">
        <v>23</v>
      </c>
    </row>
    <row r="269" customFormat="false" ht="15" hidden="false" customHeight="true" outlineLevel="0" collapsed="false">
      <c r="A269" s="6" t="s">
        <v>731</v>
      </c>
      <c r="B269" s="6" t="s">
        <v>732</v>
      </c>
      <c r="C269" s="6" t="s">
        <v>116</v>
      </c>
      <c r="D269" s="6" t="s">
        <v>206</v>
      </c>
      <c r="E269" s="6" t="s">
        <v>153</v>
      </c>
      <c r="F269" s="13" t="n">
        <v>44733</v>
      </c>
      <c r="G269" s="13" t="n">
        <v>44876</v>
      </c>
      <c r="H269" s="14" t="n">
        <v>153997.03</v>
      </c>
      <c r="I269" s="6" t="n">
        <v>1</v>
      </c>
      <c r="J269" s="6" t="n">
        <v>507</v>
      </c>
      <c r="K269" s="6" t="s">
        <v>154</v>
      </c>
      <c r="L269" s="14" t="n">
        <v>55129.15</v>
      </c>
      <c r="M269" s="22" t="n">
        <v>1.092</v>
      </c>
      <c r="N269" s="14" t="n">
        <v>60201.03</v>
      </c>
      <c r="O269" s="14" t="n">
        <v>5071.88</v>
      </c>
      <c r="P269" s="21" t="n">
        <v>0.082</v>
      </c>
      <c r="Q269" s="6" t="n">
        <v>143</v>
      </c>
      <c r="R269" s="6" t="s">
        <v>155</v>
      </c>
      <c r="S269" s="21" t="n">
        <v>0.98</v>
      </c>
      <c r="T269" s="14" t="n">
        <v>58997.01</v>
      </c>
      <c r="U269" s="6" t="s">
        <v>16</v>
      </c>
    </row>
    <row r="270" customFormat="false" ht="15" hidden="false" customHeight="true" outlineLevel="0" collapsed="false">
      <c r="A270" s="6" t="s">
        <v>733</v>
      </c>
      <c r="B270" s="6" t="s">
        <v>734</v>
      </c>
      <c r="C270" s="6" t="s">
        <v>120</v>
      </c>
      <c r="D270" s="6" t="s">
        <v>263</v>
      </c>
      <c r="E270" s="6" t="s">
        <v>219</v>
      </c>
      <c r="F270" s="13" t="n">
        <v>45790</v>
      </c>
      <c r="G270" s="13" t="n">
        <v>45901</v>
      </c>
      <c r="H270" s="14" t="n">
        <v>156998.62</v>
      </c>
      <c r="I270" s="6" t="n">
        <v>0</v>
      </c>
      <c r="J270" s="6" t="n">
        <v>795</v>
      </c>
      <c r="K270" s="6" t="s">
        <v>154</v>
      </c>
      <c r="L270" s="14" t="n">
        <v>61798</v>
      </c>
      <c r="M270" s="22" t="n">
        <v>1.128</v>
      </c>
      <c r="N270" s="14" t="n">
        <v>69708.14</v>
      </c>
      <c r="O270" s="14" t="n">
        <v>7910.14</v>
      </c>
      <c r="P270" s="21" t="n">
        <v>0.119</v>
      </c>
      <c r="Q270" s="6" t="n">
        <v>111</v>
      </c>
      <c r="R270" s="6" t="s">
        <v>155</v>
      </c>
      <c r="S270" s="21" t="n">
        <v>0.849</v>
      </c>
      <c r="T270" s="14" t="n">
        <v>59182.21</v>
      </c>
      <c r="U270" s="6" t="s">
        <v>51</v>
      </c>
    </row>
    <row r="271" customFormat="false" ht="15" hidden="false" customHeight="true" outlineLevel="0" collapsed="false">
      <c r="A271" s="6" t="s">
        <v>735</v>
      </c>
      <c r="B271" s="6" t="s">
        <v>736</v>
      </c>
      <c r="C271" s="6" t="s">
        <v>124</v>
      </c>
      <c r="D271" s="6" t="s">
        <v>168</v>
      </c>
      <c r="E271" s="6" t="s">
        <v>211</v>
      </c>
      <c r="F271" s="13" t="n">
        <v>45687</v>
      </c>
      <c r="G271" s="13" t="n">
        <v>45755</v>
      </c>
      <c r="H271" s="14" t="n">
        <v>175807.84</v>
      </c>
      <c r="I271" s="6" t="n">
        <v>1</v>
      </c>
      <c r="J271" s="6" t="n">
        <v>754</v>
      </c>
      <c r="K271" s="6" t="s">
        <v>160</v>
      </c>
      <c r="L271" s="14" t="n">
        <v>30130.5</v>
      </c>
      <c r="M271" s="22" t="n">
        <v>1.329</v>
      </c>
      <c r="N271" s="14" t="n">
        <v>40043.43</v>
      </c>
      <c r="O271" s="14" t="n">
        <v>9912.93</v>
      </c>
      <c r="P271" s="21" t="n">
        <v>0.1</v>
      </c>
      <c r="Q271" s="6" t="n">
        <v>68</v>
      </c>
      <c r="R271" s="6" t="s">
        <v>161</v>
      </c>
      <c r="S271" s="21" t="n">
        <v>1</v>
      </c>
      <c r="T271" s="14" t="n">
        <v>40043.43</v>
      </c>
      <c r="U271" s="6" t="s">
        <v>47</v>
      </c>
    </row>
    <row r="272" customFormat="false" ht="15" hidden="false" customHeight="true" outlineLevel="0" collapsed="false">
      <c r="A272" s="6" t="s">
        <v>737</v>
      </c>
      <c r="B272" s="6" t="s">
        <v>738</v>
      </c>
      <c r="C272" s="6" t="s">
        <v>128</v>
      </c>
      <c r="D272" s="6" t="s">
        <v>235</v>
      </c>
      <c r="E272" s="6" t="s">
        <v>254</v>
      </c>
      <c r="F272" s="13" t="n">
        <v>45424</v>
      </c>
      <c r="G272" s="13" t="n">
        <v>45484</v>
      </c>
      <c r="H272" s="14" t="n">
        <v>230858.79</v>
      </c>
      <c r="I272" s="6" t="n">
        <v>0</v>
      </c>
      <c r="J272" s="6" t="n">
        <v>612</v>
      </c>
      <c r="K272" s="6" t="s">
        <v>160</v>
      </c>
      <c r="L272" s="14" t="n">
        <v>33187.05</v>
      </c>
      <c r="M272" s="22" t="n">
        <v>1.31</v>
      </c>
      <c r="N272" s="14" t="n">
        <v>43475.04</v>
      </c>
      <c r="O272" s="14" t="n">
        <v>10287.99</v>
      </c>
      <c r="P272" s="21" t="n">
        <v>0.176</v>
      </c>
      <c r="Q272" s="6" t="n">
        <v>60</v>
      </c>
      <c r="R272" s="6" t="s">
        <v>155</v>
      </c>
      <c r="S272" s="21" t="n">
        <v>0.98</v>
      </c>
      <c r="T272" s="14" t="n">
        <v>42605.54</v>
      </c>
      <c r="U272" s="6" t="s">
        <v>39</v>
      </c>
    </row>
    <row r="273" customFormat="false" ht="15" hidden="false" customHeight="true" outlineLevel="0" collapsed="false">
      <c r="A273" s="6" t="s">
        <v>739</v>
      </c>
      <c r="B273" s="6" t="s">
        <v>740</v>
      </c>
      <c r="C273" s="6" t="s">
        <v>112</v>
      </c>
      <c r="D273" s="6" t="s">
        <v>225</v>
      </c>
      <c r="E273" s="6" t="s">
        <v>219</v>
      </c>
      <c r="F273" s="13" t="n">
        <v>45524</v>
      </c>
      <c r="G273" s="13" t="n">
        <v>45584</v>
      </c>
      <c r="H273" s="14" t="n">
        <v>11019.6</v>
      </c>
      <c r="I273" s="6" t="n">
        <v>3</v>
      </c>
      <c r="J273" s="6" t="n">
        <v>633</v>
      </c>
      <c r="K273" s="6" t="s">
        <v>160</v>
      </c>
      <c r="L273" s="14" t="n">
        <v>2046.95</v>
      </c>
      <c r="M273" s="22" t="n">
        <v>1.222</v>
      </c>
      <c r="N273" s="14" t="n">
        <v>2501.37</v>
      </c>
      <c r="O273" s="14" t="n">
        <v>454.42</v>
      </c>
      <c r="P273" s="21" t="n">
        <v>0.173</v>
      </c>
      <c r="Q273" s="6" t="n">
        <v>60</v>
      </c>
      <c r="R273" s="6" t="s">
        <v>161</v>
      </c>
      <c r="S273" s="21" t="n">
        <v>1</v>
      </c>
      <c r="T273" s="14" t="n">
        <v>2501.37</v>
      </c>
      <c r="U273" s="6" t="s">
        <v>42</v>
      </c>
    </row>
    <row r="274" customFormat="false" ht="15" hidden="false" customHeight="true" outlineLevel="0" collapsed="false">
      <c r="A274" s="6" t="s">
        <v>741</v>
      </c>
      <c r="B274" s="6" t="s">
        <v>742</v>
      </c>
      <c r="C274" s="6" t="s">
        <v>124</v>
      </c>
      <c r="D274" s="6" t="s">
        <v>168</v>
      </c>
      <c r="E274" s="6" t="s">
        <v>326</v>
      </c>
      <c r="F274" s="13" t="n">
        <v>45630</v>
      </c>
      <c r="G274" s="13" t="n">
        <v>45690</v>
      </c>
      <c r="H274" s="14" t="n">
        <v>180160.44</v>
      </c>
      <c r="I274" s="6" t="n">
        <v>0</v>
      </c>
      <c r="J274" s="6" t="n">
        <v>683</v>
      </c>
      <c r="K274" s="6" t="s">
        <v>160</v>
      </c>
      <c r="L274" s="14" t="n">
        <v>53642.09</v>
      </c>
      <c r="M274" s="22" t="n">
        <v>1.122</v>
      </c>
      <c r="N274" s="14" t="n">
        <v>60186.42</v>
      </c>
      <c r="O274" s="14" t="n">
        <v>6544.33</v>
      </c>
      <c r="P274" s="21" t="n">
        <v>0.177</v>
      </c>
      <c r="Q274" s="6" t="n">
        <v>60</v>
      </c>
      <c r="R274" s="6" t="s">
        <v>161</v>
      </c>
      <c r="S274" s="21" t="n">
        <v>1</v>
      </c>
      <c r="T274" s="14" t="n">
        <v>60186.42</v>
      </c>
      <c r="U274" s="6" t="s">
        <v>46</v>
      </c>
    </row>
    <row r="275" customFormat="false" ht="15" hidden="false" customHeight="true" outlineLevel="0" collapsed="false">
      <c r="A275" s="6" t="s">
        <v>743</v>
      </c>
      <c r="B275" s="6" t="s">
        <v>744</v>
      </c>
      <c r="C275" s="6" t="s">
        <v>112</v>
      </c>
      <c r="D275" s="6" t="s">
        <v>164</v>
      </c>
      <c r="E275" s="6" t="s">
        <v>181</v>
      </c>
      <c r="F275" s="13" t="n">
        <v>45784</v>
      </c>
      <c r="G275" s="13" t="n">
        <v>45844</v>
      </c>
      <c r="H275" s="14" t="n">
        <v>55124.8</v>
      </c>
      <c r="I275" s="6" t="n">
        <v>0</v>
      </c>
      <c r="J275" s="6" t="n">
        <v>525</v>
      </c>
      <c r="K275" s="6" t="s">
        <v>160</v>
      </c>
      <c r="L275" s="14" t="n">
        <v>4815.6</v>
      </c>
      <c r="M275" s="22" t="n">
        <v>1.226</v>
      </c>
      <c r="N275" s="14" t="n">
        <v>5903.93</v>
      </c>
      <c r="O275" s="14" t="n">
        <v>1088.33</v>
      </c>
      <c r="P275" s="21" t="n">
        <v>0.058</v>
      </c>
      <c r="Q275" s="6" t="n">
        <v>60</v>
      </c>
      <c r="R275" s="6" t="s">
        <v>155</v>
      </c>
      <c r="S275" s="21" t="n">
        <v>0.98</v>
      </c>
      <c r="T275" s="14" t="n">
        <v>5785.85</v>
      </c>
      <c r="U275" s="6" t="s">
        <v>51</v>
      </c>
    </row>
    <row r="276" customFormat="false" ht="15" hidden="false" customHeight="true" outlineLevel="0" collapsed="false">
      <c r="A276" s="6" t="s">
        <v>745</v>
      </c>
      <c r="B276" s="6" t="s">
        <v>746</v>
      </c>
      <c r="C276" s="6" t="s">
        <v>128</v>
      </c>
      <c r="D276" s="6" t="s">
        <v>172</v>
      </c>
      <c r="E276" s="6" t="s">
        <v>201</v>
      </c>
      <c r="F276" s="13" t="n">
        <v>46149</v>
      </c>
      <c r="G276" s="13" t="n">
        <v>46225</v>
      </c>
      <c r="H276" s="14" t="n">
        <v>189945.83</v>
      </c>
      <c r="I276" s="6" t="n">
        <v>2</v>
      </c>
      <c r="J276" s="6" t="n">
        <v>812</v>
      </c>
      <c r="K276" s="6" t="s">
        <v>154</v>
      </c>
      <c r="L276" s="14" t="n">
        <v>45949.44</v>
      </c>
      <c r="M276" s="22" t="n">
        <v>1.216</v>
      </c>
      <c r="N276" s="14" t="n">
        <v>55874.52</v>
      </c>
      <c r="O276" s="14" t="n">
        <v>9925.08</v>
      </c>
      <c r="P276" s="21" t="n">
        <v>0.115</v>
      </c>
      <c r="Q276" s="6" t="n">
        <v>76</v>
      </c>
      <c r="R276" s="6" t="s">
        <v>155</v>
      </c>
      <c r="S276" s="21" t="n">
        <v>0.906</v>
      </c>
      <c r="T276" s="14" t="n">
        <v>50622.32</v>
      </c>
      <c r="U276" s="6" t="s">
        <v>63</v>
      </c>
    </row>
    <row r="277" customFormat="false" ht="15" hidden="false" customHeight="true" outlineLevel="0" collapsed="false">
      <c r="A277" s="6" t="s">
        <v>747</v>
      </c>
      <c r="B277" s="6" t="s">
        <v>748</v>
      </c>
      <c r="C277" s="6" t="s">
        <v>120</v>
      </c>
      <c r="D277" s="6" t="s">
        <v>210</v>
      </c>
      <c r="E277" s="6" t="s">
        <v>254</v>
      </c>
      <c r="F277" s="13" t="n">
        <v>45812</v>
      </c>
      <c r="G277" s="13" t="n">
        <v>45872</v>
      </c>
      <c r="H277" s="14" t="n">
        <v>90043.01</v>
      </c>
      <c r="I277" s="6" t="n">
        <v>1</v>
      </c>
      <c r="J277" s="6" t="n">
        <v>774</v>
      </c>
      <c r="K277" s="6" t="s">
        <v>185</v>
      </c>
      <c r="L277" s="14" t="n">
        <v>10620.37</v>
      </c>
      <c r="M277" s="22" t="n">
        <v>1.264</v>
      </c>
      <c r="N277" s="14" t="n">
        <v>13424.15</v>
      </c>
      <c r="O277" s="14" t="n">
        <v>2803.78</v>
      </c>
      <c r="P277" s="21" t="n">
        <v>0.081</v>
      </c>
      <c r="Q277" s="6" t="n">
        <v>60</v>
      </c>
      <c r="R277" s="6" t="s">
        <v>161</v>
      </c>
      <c r="S277" s="21" t="n">
        <v>1</v>
      </c>
      <c r="T277" s="14" t="n">
        <v>13424.15</v>
      </c>
      <c r="U277" s="6" t="s">
        <v>52</v>
      </c>
    </row>
    <row r="278" customFormat="false" ht="15" hidden="false" customHeight="true" outlineLevel="0" collapsed="false">
      <c r="A278" s="6" t="s">
        <v>749</v>
      </c>
      <c r="B278" s="6" t="s">
        <v>750</v>
      </c>
      <c r="C278" s="6" t="s">
        <v>112</v>
      </c>
      <c r="D278" s="6" t="s">
        <v>164</v>
      </c>
      <c r="E278" s="6" t="s">
        <v>189</v>
      </c>
      <c r="F278" s="13" t="n">
        <v>45893</v>
      </c>
      <c r="G278" s="13" t="n">
        <v>45953</v>
      </c>
      <c r="H278" s="14" t="n">
        <v>95925.44</v>
      </c>
      <c r="I278" s="6" t="n">
        <v>0</v>
      </c>
      <c r="J278" s="6" t="n">
        <v>557</v>
      </c>
      <c r="K278" s="6" t="s">
        <v>185</v>
      </c>
      <c r="L278" s="14" t="n">
        <v>16239.28</v>
      </c>
      <c r="M278" s="22" t="n">
        <v>1.149</v>
      </c>
      <c r="N278" s="14" t="n">
        <v>18658.93</v>
      </c>
      <c r="O278" s="14" t="n">
        <v>2419.65</v>
      </c>
      <c r="P278" s="21" t="n">
        <v>0.164</v>
      </c>
      <c r="Q278" s="6" t="n">
        <v>60</v>
      </c>
      <c r="R278" s="6" t="s">
        <v>155</v>
      </c>
      <c r="S278" s="21" t="n">
        <v>0.98</v>
      </c>
      <c r="T278" s="14" t="n">
        <v>18285.75</v>
      </c>
      <c r="U278" s="6" t="s">
        <v>54</v>
      </c>
    </row>
    <row r="279" customFormat="false" ht="15" hidden="false" customHeight="true" outlineLevel="0" collapsed="false">
      <c r="A279" s="6" t="s">
        <v>751</v>
      </c>
      <c r="B279" s="6" t="s">
        <v>752</v>
      </c>
      <c r="C279" s="6" t="s">
        <v>131</v>
      </c>
      <c r="D279" s="6" t="s">
        <v>152</v>
      </c>
      <c r="E279" s="6" t="s">
        <v>173</v>
      </c>
      <c r="F279" s="13" t="n">
        <v>44711</v>
      </c>
      <c r="G279" s="13" t="n">
        <v>44771</v>
      </c>
      <c r="H279" s="14" t="n">
        <v>244538.46</v>
      </c>
      <c r="I279" s="6" t="n">
        <v>0</v>
      </c>
      <c r="J279" s="6" t="n">
        <v>753</v>
      </c>
      <c r="K279" s="6" t="s">
        <v>154</v>
      </c>
      <c r="L279" s="14" t="n">
        <v>26008.65</v>
      </c>
      <c r="M279" s="22" t="n">
        <v>1.181</v>
      </c>
      <c r="N279" s="14" t="n">
        <v>30716.22</v>
      </c>
      <c r="O279" s="14" t="n">
        <v>4707.57</v>
      </c>
      <c r="P279" s="21" t="n">
        <v>0.124</v>
      </c>
      <c r="Q279" s="6" t="n">
        <v>60</v>
      </c>
      <c r="R279" s="6" t="s">
        <v>155</v>
      </c>
      <c r="S279" s="21" t="n">
        <v>0.98</v>
      </c>
      <c r="T279" s="14" t="n">
        <v>30101.9</v>
      </c>
      <c r="U279" s="6" t="s">
        <v>15</v>
      </c>
    </row>
    <row r="280" customFormat="false" ht="15" hidden="false" customHeight="true" outlineLevel="0" collapsed="false">
      <c r="A280" s="6" t="s">
        <v>753</v>
      </c>
      <c r="B280" s="6" t="s">
        <v>754</v>
      </c>
      <c r="C280" s="6" t="s">
        <v>116</v>
      </c>
      <c r="D280" s="6" t="s">
        <v>206</v>
      </c>
      <c r="E280" s="6" t="s">
        <v>211</v>
      </c>
      <c r="F280" s="13" t="n">
        <v>46147</v>
      </c>
      <c r="G280" s="13" t="n">
        <v>46207</v>
      </c>
      <c r="H280" s="14" t="n">
        <v>35667</v>
      </c>
      <c r="I280" s="6" t="n">
        <v>1</v>
      </c>
      <c r="J280" s="6" t="n">
        <v>674</v>
      </c>
      <c r="K280" s="6" t="s">
        <v>185</v>
      </c>
      <c r="L280" s="14" t="n">
        <v>4039.51</v>
      </c>
      <c r="M280" s="22" t="n">
        <v>1.233</v>
      </c>
      <c r="N280" s="14" t="n">
        <v>4980.72</v>
      </c>
      <c r="O280" s="14" t="n">
        <v>941.21</v>
      </c>
      <c r="P280" s="21" t="n">
        <v>0.178</v>
      </c>
      <c r="Q280" s="6" t="n">
        <v>60</v>
      </c>
      <c r="R280" s="6" t="s">
        <v>161</v>
      </c>
      <c r="S280" s="21" t="n">
        <v>1</v>
      </c>
      <c r="T280" s="14" t="n">
        <v>4980.72</v>
      </c>
      <c r="U280" s="6" t="s">
        <v>63</v>
      </c>
    </row>
    <row r="281" customFormat="false" ht="15" hidden="false" customHeight="true" outlineLevel="0" collapsed="false">
      <c r="A281" s="6" t="s">
        <v>755</v>
      </c>
      <c r="B281" s="6" t="s">
        <v>756</v>
      </c>
      <c r="C281" s="6" t="s">
        <v>131</v>
      </c>
      <c r="D281" s="6" t="s">
        <v>200</v>
      </c>
      <c r="E281" s="6" t="s">
        <v>181</v>
      </c>
      <c r="F281" s="13" t="n">
        <v>44898</v>
      </c>
      <c r="G281" s="13" t="n">
        <v>44958</v>
      </c>
      <c r="H281" s="14" t="n">
        <v>134996.26</v>
      </c>
      <c r="I281" s="6" t="n">
        <v>2</v>
      </c>
      <c r="J281" s="6" t="n">
        <v>583</v>
      </c>
      <c r="K281" s="6" t="s">
        <v>154</v>
      </c>
      <c r="L281" s="14" t="n">
        <v>20278.08</v>
      </c>
      <c r="M281" s="22" t="n">
        <v>1.172</v>
      </c>
      <c r="N281" s="14" t="n">
        <v>23765.91</v>
      </c>
      <c r="O281" s="14" t="n">
        <v>3487.83</v>
      </c>
      <c r="P281" s="21" t="n">
        <v>0.148</v>
      </c>
      <c r="Q281" s="6" t="n">
        <v>60</v>
      </c>
      <c r="R281" s="6" t="s">
        <v>155</v>
      </c>
      <c r="S281" s="21" t="n">
        <v>0.98</v>
      </c>
      <c r="T281" s="14" t="n">
        <v>23290.59</v>
      </c>
      <c r="U281" s="6" t="s">
        <v>22</v>
      </c>
    </row>
    <row r="282" customFormat="false" ht="15" hidden="false" customHeight="true" outlineLevel="0" collapsed="false">
      <c r="A282" s="6" t="s">
        <v>757</v>
      </c>
      <c r="B282" s="6" t="s">
        <v>758</v>
      </c>
      <c r="C282" s="6" t="s">
        <v>131</v>
      </c>
      <c r="D282" s="6" t="s">
        <v>176</v>
      </c>
      <c r="E282" s="6" t="s">
        <v>201</v>
      </c>
      <c r="F282" s="13" t="n">
        <v>45628</v>
      </c>
      <c r="G282" s="13" t="n">
        <v>45735</v>
      </c>
      <c r="H282" s="14" t="n">
        <v>11433.2</v>
      </c>
      <c r="I282" s="6" t="n">
        <v>3</v>
      </c>
      <c r="J282" s="6" t="n">
        <v>799</v>
      </c>
      <c r="K282" s="6" t="s">
        <v>185</v>
      </c>
      <c r="L282" s="14" t="n">
        <v>3151.09</v>
      </c>
      <c r="M282" s="22" t="n">
        <v>1.342</v>
      </c>
      <c r="N282" s="14" t="n">
        <v>4228.76</v>
      </c>
      <c r="O282" s="14" t="n">
        <v>1077.67</v>
      </c>
      <c r="P282" s="21" t="n">
        <v>0.103</v>
      </c>
      <c r="Q282" s="6" t="n">
        <v>107</v>
      </c>
      <c r="R282" s="6" t="s">
        <v>161</v>
      </c>
      <c r="S282" s="21" t="n">
        <v>1</v>
      </c>
      <c r="T282" s="14" t="n">
        <v>4228.76</v>
      </c>
      <c r="U282" s="6" t="s">
        <v>46</v>
      </c>
    </row>
    <row r="283" customFormat="false" ht="15" hidden="false" customHeight="true" outlineLevel="0" collapsed="false">
      <c r="A283" s="6" t="s">
        <v>759</v>
      </c>
      <c r="B283" s="6" t="s">
        <v>760</v>
      </c>
      <c r="C283" s="6" t="s">
        <v>124</v>
      </c>
      <c r="D283" s="6" t="s">
        <v>180</v>
      </c>
      <c r="E283" s="6" t="s">
        <v>195</v>
      </c>
      <c r="F283" s="13" t="n">
        <v>45457</v>
      </c>
      <c r="G283" s="13" t="n">
        <v>45524</v>
      </c>
      <c r="H283" s="14" t="n">
        <v>232176.42</v>
      </c>
      <c r="I283" s="6" t="n">
        <v>1</v>
      </c>
      <c r="J283" s="6" t="n">
        <v>619</v>
      </c>
      <c r="K283" s="6" t="s">
        <v>160</v>
      </c>
      <c r="L283" s="14" t="n">
        <v>56127.7</v>
      </c>
      <c r="M283" s="22" t="n">
        <v>1.308</v>
      </c>
      <c r="N283" s="14" t="n">
        <v>73415.03</v>
      </c>
      <c r="O283" s="14" t="n">
        <v>17287.33</v>
      </c>
      <c r="P283" s="21" t="n">
        <v>0.14</v>
      </c>
      <c r="Q283" s="6" t="n">
        <v>67</v>
      </c>
      <c r="R283" s="6" t="s">
        <v>161</v>
      </c>
      <c r="S283" s="21" t="n">
        <v>1</v>
      </c>
      <c r="T283" s="14" t="n">
        <v>73415.03</v>
      </c>
      <c r="U283" s="6" t="s">
        <v>40</v>
      </c>
    </row>
    <row r="284" customFormat="false" ht="15" hidden="false" customHeight="true" outlineLevel="0" collapsed="false">
      <c r="A284" s="6" t="s">
        <v>761</v>
      </c>
      <c r="B284" s="6" t="s">
        <v>762</v>
      </c>
      <c r="C284" s="6" t="s">
        <v>128</v>
      </c>
      <c r="D284" s="6" t="s">
        <v>401</v>
      </c>
      <c r="E284" s="6" t="s">
        <v>304</v>
      </c>
      <c r="F284" s="13" t="n">
        <v>45280</v>
      </c>
      <c r="G284" s="13" t="n">
        <v>45340</v>
      </c>
      <c r="H284" s="14" t="n">
        <v>169585.85</v>
      </c>
      <c r="I284" s="6" t="n">
        <v>3</v>
      </c>
      <c r="J284" s="6" t="n">
        <v>568</v>
      </c>
      <c r="K284" s="6" t="s">
        <v>185</v>
      </c>
      <c r="L284" s="14" t="n">
        <v>34170.16</v>
      </c>
      <c r="M284" s="22" t="n">
        <v>1.311</v>
      </c>
      <c r="N284" s="14" t="n">
        <v>44797.08</v>
      </c>
      <c r="O284" s="14" t="n">
        <v>10626.92</v>
      </c>
      <c r="P284" s="21" t="n">
        <v>0.174</v>
      </c>
      <c r="Q284" s="6" t="n">
        <v>60</v>
      </c>
      <c r="R284" s="6" t="s">
        <v>232</v>
      </c>
      <c r="S284" s="21" t="n">
        <v>1</v>
      </c>
      <c r="T284" s="14" t="n">
        <v>44797.08</v>
      </c>
      <c r="U284" s="6" t="s">
        <v>34</v>
      </c>
    </row>
    <row r="285" customFormat="false" ht="15" hidden="false" customHeight="true" outlineLevel="0" collapsed="false">
      <c r="A285" s="6" t="s">
        <v>763</v>
      </c>
      <c r="B285" s="6" t="s">
        <v>764</v>
      </c>
      <c r="C285" s="6" t="s">
        <v>116</v>
      </c>
      <c r="D285" s="6" t="s">
        <v>152</v>
      </c>
      <c r="E285" s="6" t="s">
        <v>181</v>
      </c>
      <c r="F285" s="13" t="n">
        <v>45363</v>
      </c>
      <c r="G285" s="13" t="n">
        <v>45488</v>
      </c>
      <c r="H285" s="14" t="n">
        <v>15907.26</v>
      </c>
      <c r="I285" s="6" t="n">
        <v>0</v>
      </c>
      <c r="J285" s="6" t="n">
        <v>753</v>
      </c>
      <c r="K285" s="6" t="s">
        <v>160</v>
      </c>
      <c r="L285" s="14" t="n">
        <v>3990.14</v>
      </c>
      <c r="M285" s="22" t="n">
        <v>1.348</v>
      </c>
      <c r="N285" s="14" t="n">
        <v>5378.71</v>
      </c>
      <c r="O285" s="14" t="n">
        <v>1388.57</v>
      </c>
      <c r="P285" s="21" t="n">
        <v>0.081</v>
      </c>
      <c r="Q285" s="6" t="n">
        <v>125</v>
      </c>
      <c r="R285" s="6" t="s">
        <v>155</v>
      </c>
      <c r="S285" s="21" t="n">
        <v>0.926</v>
      </c>
      <c r="T285" s="14" t="n">
        <v>4980.69</v>
      </c>
      <c r="U285" s="6" t="s">
        <v>37</v>
      </c>
    </row>
    <row r="286" customFormat="false" ht="15" hidden="false" customHeight="true" outlineLevel="0" collapsed="false">
      <c r="A286" s="6" t="s">
        <v>765</v>
      </c>
      <c r="B286" s="6" t="s">
        <v>766</v>
      </c>
      <c r="C286" s="6" t="s">
        <v>131</v>
      </c>
      <c r="D286" s="6" t="s">
        <v>200</v>
      </c>
      <c r="E286" s="6" t="s">
        <v>288</v>
      </c>
      <c r="F286" s="13" t="n">
        <v>44667</v>
      </c>
      <c r="G286" s="13" t="n">
        <v>44826</v>
      </c>
      <c r="H286" s="14" t="n">
        <v>66012.7</v>
      </c>
      <c r="I286" s="6" t="n">
        <v>3</v>
      </c>
      <c r="J286" s="6" t="n">
        <v>595</v>
      </c>
      <c r="K286" s="6" t="s">
        <v>160</v>
      </c>
      <c r="L286" s="14" t="n">
        <v>24878.45</v>
      </c>
      <c r="M286" s="22" t="n">
        <v>1.182</v>
      </c>
      <c r="N286" s="14" t="n">
        <v>29406.33</v>
      </c>
      <c r="O286" s="14" t="n">
        <v>4527.88</v>
      </c>
      <c r="P286" s="21" t="n">
        <v>0.084</v>
      </c>
      <c r="Q286" s="6" t="n">
        <v>159</v>
      </c>
      <c r="R286" s="6" t="s">
        <v>155</v>
      </c>
      <c r="S286" s="21" t="n">
        <v>0.98</v>
      </c>
      <c r="T286" s="14" t="n">
        <v>28818.2</v>
      </c>
      <c r="U286" s="6" t="s">
        <v>14</v>
      </c>
    </row>
    <row r="287" customFormat="false" ht="15" hidden="false" customHeight="true" outlineLevel="0" collapsed="false">
      <c r="A287" s="6" t="s">
        <v>767</v>
      </c>
      <c r="B287" s="6" t="s">
        <v>768</v>
      </c>
      <c r="C287" s="6" t="s">
        <v>120</v>
      </c>
      <c r="D287" s="6" t="s">
        <v>158</v>
      </c>
      <c r="E287" s="6" t="s">
        <v>299</v>
      </c>
      <c r="F287" s="13" t="n">
        <v>45691</v>
      </c>
      <c r="G287" s="13" t="n">
        <v>45764</v>
      </c>
      <c r="H287" s="14" t="n">
        <v>15138.42</v>
      </c>
      <c r="I287" s="6" t="n">
        <v>0</v>
      </c>
      <c r="J287" s="6" t="n">
        <v>527</v>
      </c>
      <c r="K287" s="6" t="s">
        <v>160</v>
      </c>
      <c r="L287" s="14" t="n">
        <v>2620.81</v>
      </c>
      <c r="M287" s="22" t="n">
        <v>1.337</v>
      </c>
      <c r="N287" s="14" t="n">
        <v>3504.02</v>
      </c>
      <c r="O287" s="14" t="n">
        <v>883.21</v>
      </c>
      <c r="P287" s="21" t="n">
        <v>0.095</v>
      </c>
      <c r="Q287" s="6" t="n">
        <v>73</v>
      </c>
      <c r="R287" s="6" t="s">
        <v>161</v>
      </c>
      <c r="S287" s="21" t="n">
        <v>1</v>
      </c>
      <c r="T287" s="14" t="n">
        <v>3504.02</v>
      </c>
      <c r="U287" s="6" t="s">
        <v>48</v>
      </c>
    </row>
    <row r="288" customFormat="false" ht="15" hidden="false" customHeight="true" outlineLevel="0" collapsed="false">
      <c r="A288" s="6" t="s">
        <v>769</v>
      </c>
      <c r="B288" s="6" t="s">
        <v>770</v>
      </c>
      <c r="C288" s="6" t="s">
        <v>116</v>
      </c>
      <c r="D288" s="6" t="s">
        <v>152</v>
      </c>
      <c r="E288" s="6" t="s">
        <v>211</v>
      </c>
      <c r="F288" s="13" t="n">
        <v>45723</v>
      </c>
      <c r="G288" s="13" t="n">
        <v>45853</v>
      </c>
      <c r="H288" s="14" t="n">
        <v>112900.14</v>
      </c>
      <c r="I288" s="6" t="n">
        <v>1</v>
      </c>
      <c r="J288" s="6" t="n">
        <v>691</v>
      </c>
      <c r="K288" s="6" t="s">
        <v>160</v>
      </c>
      <c r="L288" s="14" t="n">
        <v>41905.24</v>
      </c>
      <c r="M288" s="22" t="n">
        <v>1.244</v>
      </c>
      <c r="N288" s="14" t="n">
        <v>52130.12</v>
      </c>
      <c r="O288" s="14" t="n">
        <v>10224.88</v>
      </c>
      <c r="P288" s="21" t="n">
        <v>0.106</v>
      </c>
      <c r="Q288" s="6" t="n">
        <v>130</v>
      </c>
      <c r="R288" s="6" t="s">
        <v>161</v>
      </c>
      <c r="S288" s="21" t="n">
        <v>1</v>
      </c>
      <c r="T288" s="14" t="n">
        <v>52130.12</v>
      </c>
      <c r="U288" s="6" t="s">
        <v>49</v>
      </c>
    </row>
    <row r="289" customFormat="false" ht="15" hidden="false" customHeight="true" outlineLevel="0" collapsed="false">
      <c r="A289" s="6" t="s">
        <v>771</v>
      </c>
      <c r="B289" s="6" t="s">
        <v>772</v>
      </c>
      <c r="C289" s="6" t="s">
        <v>131</v>
      </c>
      <c r="D289" s="6" t="s">
        <v>152</v>
      </c>
      <c r="E289" s="6" t="s">
        <v>189</v>
      </c>
      <c r="F289" s="13" t="n">
        <v>44657</v>
      </c>
      <c r="G289" s="13" t="n">
        <v>44737</v>
      </c>
      <c r="H289" s="14" t="n">
        <v>224024.69</v>
      </c>
      <c r="I289" s="6" t="n">
        <v>1</v>
      </c>
      <c r="J289" s="6" t="n">
        <v>742</v>
      </c>
      <c r="K289" s="6" t="s">
        <v>160</v>
      </c>
      <c r="L289" s="14" t="n">
        <v>63007.3</v>
      </c>
      <c r="M289" s="22" t="n">
        <v>1.093</v>
      </c>
      <c r="N289" s="14" t="n">
        <v>68866.98</v>
      </c>
      <c r="O289" s="14" t="n">
        <v>5859.68</v>
      </c>
      <c r="P289" s="21" t="n">
        <v>0.114</v>
      </c>
      <c r="Q289" s="6" t="n">
        <v>80</v>
      </c>
      <c r="R289" s="6" t="s">
        <v>490</v>
      </c>
      <c r="S289" s="21" t="n">
        <v>0.432</v>
      </c>
      <c r="T289" s="14" t="n">
        <v>29750.54</v>
      </c>
      <c r="U289" s="6" t="s">
        <v>14</v>
      </c>
    </row>
    <row r="290" customFormat="false" ht="15" hidden="false" customHeight="true" outlineLevel="0" collapsed="false">
      <c r="A290" s="6" t="s">
        <v>773</v>
      </c>
      <c r="B290" s="6" t="s">
        <v>774</v>
      </c>
      <c r="C290" s="6" t="s">
        <v>120</v>
      </c>
      <c r="D290" s="6" t="s">
        <v>263</v>
      </c>
      <c r="E290" s="6" t="s">
        <v>177</v>
      </c>
      <c r="F290" s="13" t="n">
        <v>44810</v>
      </c>
      <c r="G290" s="13" t="n">
        <v>44870</v>
      </c>
      <c r="H290" s="14" t="n">
        <v>104883.33</v>
      </c>
      <c r="I290" s="6" t="n">
        <v>1</v>
      </c>
      <c r="J290" s="6" t="n">
        <v>600</v>
      </c>
      <c r="K290" s="6" t="s">
        <v>154</v>
      </c>
      <c r="L290" s="14" t="n">
        <v>25144.12</v>
      </c>
      <c r="M290" s="22" t="n">
        <v>1.203</v>
      </c>
      <c r="N290" s="14" t="n">
        <v>30248.38</v>
      </c>
      <c r="O290" s="14" t="n">
        <v>5104.26</v>
      </c>
      <c r="P290" s="21" t="n">
        <v>0.16</v>
      </c>
      <c r="Q290" s="6" t="n">
        <v>60</v>
      </c>
      <c r="R290" s="6" t="s">
        <v>155</v>
      </c>
      <c r="S290" s="21" t="n">
        <v>0.98</v>
      </c>
      <c r="T290" s="14" t="n">
        <v>29643.41</v>
      </c>
      <c r="U290" s="6" t="s">
        <v>19</v>
      </c>
    </row>
    <row r="291" customFormat="false" ht="15" hidden="false" customHeight="true" outlineLevel="0" collapsed="false">
      <c r="A291" s="6" t="s">
        <v>775</v>
      </c>
      <c r="B291" s="6" t="s">
        <v>776</v>
      </c>
      <c r="C291" s="6" t="s">
        <v>112</v>
      </c>
      <c r="D291" s="6" t="s">
        <v>164</v>
      </c>
      <c r="E291" s="6" t="s">
        <v>304</v>
      </c>
      <c r="F291" s="13" t="n">
        <v>44844</v>
      </c>
      <c r="G291" s="13" t="n">
        <v>44934</v>
      </c>
      <c r="H291" s="14" t="n">
        <v>34814.47</v>
      </c>
      <c r="I291" s="6" t="n">
        <v>4</v>
      </c>
      <c r="J291" s="6" t="n">
        <v>524</v>
      </c>
      <c r="K291" s="6" t="s">
        <v>160</v>
      </c>
      <c r="L291" s="14" t="n">
        <v>12527.9</v>
      </c>
      <c r="M291" s="22" t="n">
        <v>1.182</v>
      </c>
      <c r="N291" s="14" t="n">
        <v>14807.98</v>
      </c>
      <c r="O291" s="14" t="n">
        <v>2280.08</v>
      </c>
      <c r="P291" s="21" t="n">
        <v>0.141</v>
      </c>
      <c r="Q291" s="6" t="n">
        <v>90</v>
      </c>
      <c r="R291" s="6" t="s">
        <v>161</v>
      </c>
      <c r="S291" s="21" t="n">
        <v>1</v>
      </c>
      <c r="T291" s="14" t="n">
        <v>14807.98</v>
      </c>
      <c r="U291" s="6" t="s">
        <v>20</v>
      </c>
    </row>
    <row r="292" customFormat="false" ht="15" hidden="false" customHeight="true" outlineLevel="0" collapsed="false">
      <c r="A292" s="6" t="s">
        <v>777</v>
      </c>
      <c r="B292" s="6" t="s">
        <v>778</v>
      </c>
      <c r="C292" s="6" t="s">
        <v>124</v>
      </c>
      <c r="D292" s="6" t="s">
        <v>238</v>
      </c>
      <c r="E292" s="6" t="s">
        <v>219</v>
      </c>
      <c r="F292" s="13" t="n">
        <v>45574</v>
      </c>
      <c r="G292" s="13" t="n">
        <v>45766</v>
      </c>
      <c r="H292" s="14" t="n">
        <v>71842.51</v>
      </c>
      <c r="I292" s="6" t="n">
        <v>0</v>
      </c>
      <c r="J292" s="6" t="n">
        <v>526</v>
      </c>
      <c r="K292" s="6" t="s">
        <v>160</v>
      </c>
      <c r="L292" s="14" t="n">
        <v>24373.87</v>
      </c>
      <c r="M292" s="22" t="n">
        <v>1.136</v>
      </c>
      <c r="N292" s="14" t="n">
        <v>27688.72</v>
      </c>
      <c r="O292" s="14" t="n">
        <v>3314.85</v>
      </c>
      <c r="P292" s="21" t="n">
        <v>0.06</v>
      </c>
      <c r="Q292" s="6" t="n">
        <v>192</v>
      </c>
      <c r="R292" s="6" t="s">
        <v>155</v>
      </c>
      <c r="S292" s="21" t="n">
        <v>0.705</v>
      </c>
      <c r="T292" s="14" t="n">
        <v>19520.55</v>
      </c>
      <c r="U292" s="6" t="s">
        <v>44</v>
      </c>
    </row>
    <row r="293" customFormat="false" ht="15" hidden="false" customHeight="true" outlineLevel="0" collapsed="false">
      <c r="A293" s="6" t="s">
        <v>779</v>
      </c>
      <c r="B293" s="6" t="s">
        <v>780</v>
      </c>
      <c r="C293" s="6" t="s">
        <v>124</v>
      </c>
      <c r="D293" s="6" t="s">
        <v>243</v>
      </c>
      <c r="E293" s="6" t="s">
        <v>304</v>
      </c>
      <c r="F293" s="13" t="n">
        <v>45126</v>
      </c>
      <c r="G293" s="13" t="n">
        <v>45237</v>
      </c>
      <c r="H293" s="14" t="n">
        <v>164415.46</v>
      </c>
      <c r="I293" s="6" t="n">
        <v>4</v>
      </c>
      <c r="J293" s="6" t="n">
        <v>570</v>
      </c>
      <c r="K293" s="6" t="s">
        <v>154</v>
      </c>
      <c r="L293" s="14" t="n">
        <v>63604.94</v>
      </c>
      <c r="M293" s="22" t="n">
        <v>1.144</v>
      </c>
      <c r="N293" s="14" t="n">
        <v>72764.05</v>
      </c>
      <c r="O293" s="14" t="n">
        <v>9159.11</v>
      </c>
      <c r="P293" s="21" t="n">
        <v>0.119</v>
      </c>
      <c r="Q293" s="6" t="n">
        <v>111</v>
      </c>
      <c r="R293" s="6" t="s">
        <v>155</v>
      </c>
      <c r="S293" s="21" t="n">
        <v>0.917</v>
      </c>
      <c r="T293" s="14" t="n">
        <v>66724.63</v>
      </c>
      <c r="U293" s="6" t="s">
        <v>29</v>
      </c>
    </row>
    <row r="294" customFormat="false" ht="15" hidden="false" customHeight="true" outlineLevel="0" collapsed="false">
      <c r="A294" s="6" t="s">
        <v>781</v>
      </c>
      <c r="B294" s="6" t="s">
        <v>782</v>
      </c>
      <c r="C294" s="6" t="s">
        <v>112</v>
      </c>
      <c r="D294" s="6" t="s">
        <v>225</v>
      </c>
      <c r="E294" s="6" t="s">
        <v>153</v>
      </c>
      <c r="F294" s="13" t="n">
        <v>45954</v>
      </c>
      <c r="G294" s="13" t="n">
        <v>46178</v>
      </c>
      <c r="H294" s="14" t="n">
        <v>151749.25</v>
      </c>
      <c r="I294" s="6" t="n">
        <v>5</v>
      </c>
      <c r="J294" s="6" t="n">
        <v>687</v>
      </c>
      <c r="K294" s="6" t="s">
        <v>185</v>
      </c>
      <c r="L294" s="14" t="n">
        <v>54185.24</v>
      </c>
      <c r="M294" s="22" t="n">
        <v>1.092</v>
      </c>
      <c r="N294" s="14" t="n">
        <v>59170.28</v>
      </c>
      <c r="O294" s="14" t="n">
        <v>4985.04</v>
      </c>
      <c r="P294" s="21" t="n">
        <v>0.052</v>
      </c>
      <c r="Q294" s="6" t="n">
        <v>224</v>
      </c>
      <c r="R294" s="6" t="s">
        <v>490</v>
      </c>
      <c r="S294" s="21" t="n">
        <v>0.659</v>
      </c>
      <c r="T294" s="14" t="n">
        <v>38993.21</v>
      </c>
      <c r="U294" s="6" t="s">
        <v>56</v>
      </c>
    </row>
    <row r="295" customFormat="false" ht="15" hidden="false" customHeight="true" outlineLevel="0" collapsed="false">
      <c r="A295" s="6" t="s">
        <v>783</v>
      </c>
      <c r="B295" s="6" t="s">
        <v>784</v>
      </c>
      <c r="C295" s="6" t="s">
        <v>131</v>
      </c>
      <c r="D295" s="6" t="s">
        <v>152</v>
      </c>
      <c r="E295" s="6" t="s">
        <v>184</v>
      </c>
      <c r="F295" s="13" t="n">
        <v>44645</v>
      </c>
      <c r="G295" s="13" t="n">
        <v>44766</v>
      </c>
      <c r="H295" s="14" t="n">
        <v>172783.38</v>
      </c>
      <c r="I295" s="6" t="n">
        <v>1</v>
      </c>
      <c r="J295" s="6" t="n">
        <v>593</v>
      </c>
      <c r="K295" s="6" t="s">
        <v>160</v>
      </c>
      <c r="L295" s="14" t="n">
        <v>28038.07</v>
      </c>
      <c r="M295" s="22" t="n">
        <v>1.296</v>
      </c>
      <c r="N295" s="14" t="n">
        <v>36337.34</v>
      </c>
      <c r="O295" s="14" t="n">
        <v>8299.27</v>
      </c>
      <c r="P295" s="21" t="n">
        <v>0.052</v>
      </c>
      <c r="Q295" s="6" t="n">
        <v>121</v>
      </c>
      <c r="R295" s="6" t="s">
        <v>155</v>
      </c>
      <c r="S295" s="21" t="n">
        <v>0.98</v>
      </c>
      <c r="T295" s="14" t="n">
        <v>35610.59</v>
      </c>
      <c r="U295" s="6" t="s">
        <v>13</v>
      </c>
    </row>
    <row r="296" customFormat="false" ht="15" hidden="false" customHeight="true" outlineLevel="0" collapsed="false">
      <c r="A296" s="6" t="s">
        <v>785</v>
      </c>
      <c r="B296" s="6" t="s">
        <v>786</v>
      </c>
      <c r="C296" s="6" t="s">
        <v>116</v>
      </c>
      <c r="D296" s="6" t="s">
        <v>206</v>
      </c>
      <c r="E296" s="6" t="s">
        <v>299</v>
      </c>
      <c r="F296" s="13" t="n">
        <v>45331</v>
      </c>
      <c r="G296" s="13" t="n">
        <v>45391</v>
      </c>
      <c r="H296" s="14" t="n">
        <v>68504.95</v>
      </c>
      <c r="I296" s="6" t="n">
        <v>1</v>
      </c>
      <c r="J296" s="6" t="n">
        <v>564</v>
      </c>
      <c r="K296" s="6" t="s">
        <v>160</v>
      </c>
      <c r="L296" s="14" t="n">
        <v>8452.82</v>
      </c>
      <c r="M296" s="22" t="n">
        <v>1.25</v>
      </c>
      <c r="N296" s="14" t="n">
        <v>10566.02</v>
      </c>
      <c r="O296" s="14" t="n">
        <v>2113.2</v>
      </c>
      <c r="P296" s="21" t="n">
        <v>0.121</v>
      </c>
      <c r="Q296" s="6" t="n">
        <v>60</v>
      </c>
      <c r="R296" s="6" t="s">
        <v>155</v>
      </c>
      <c r="S296" s="21" t="n">
        <v>0.98</v>
      </c>
      <c r="T296" s="14" t="n">
        <v>10354.7</v>
      </c>
      <c r="U296" s="6" t="s">
        <v>36</v>
      </c>
    </row>
    <row r="297" customFormat="false" ht="15" hidden="false" customHeight="true" outlineLevel="0" collapsed="false">
      <c r="A297" s="6" t="s">
        <v>787</v>
      </c>
      <c r="B297" s="6" t="s">
        <v>788</v>
      </c>
      <c r="C297" s="6" t="s">
        <v>120</v>
      </c>
      <c r="D297" s="6" t="s">
        <v>218</v>
      </c>
      <c r="E297" s="6" t="s">
        <v>189</v>
      </c>
      <c r="F297" s="13" t="n">
        <v>45509</v>
      </c>
      <c r="G297" s="13" t="n">
        <v>45569</v>
      </c>
      <c r="H297" s="14" t="n">
        <v>131954.04</v>
      </c>
      <c r="I297" s="6" t="n">
        <v>0</v>
      </c>
      <c r="J297" s="6" t="n">
        <v>674</v>
      </c>
      <c r="K297" s="6" t="s">
        <v>160</v>
      </c>
      <c r="L297" s="14" t="n">
        <v>17344.15</v>
      </c>
      <c r="M297" s="22" t="n">
        <v>1.114</v>
      </c>
      <c r="N297" s="14" t="n">
        <v>19321.38</v>
      </c>
      <c r="O297" s="14" t="n">
        <v>1977.23</v>
      </c>
      <c r="P297" s="21" t="n">
        <v>0.137</v>
      </c>
      <c r="Q297" s="6" t="n">
        <v>60</v>
      </c>
      <c r="R297" s="6" t="s">
        <v>155</v>
      </c>
      <c r="S297" s="21" t="n">
        <v>0.98</v>
      </c>
      <c r="T297" s="14" t="n">
        <v>18934.95</v>
      </c>
      <c r="U297" s="6" t="s">
        <v>42</v>
      </c>
    </row>
    <row r="298" customFormat="false" ht="15" hidden="false" customHeight="true" outlineLevel="0" collapsed="false">
      <c r="A298" s="6" t="s">
        <v>789</v>
      </c>
      <c r="B298" s="6" t="s">
        <v>790</v>
      </c>
      <c r="C298" s="6" t="s">
        <v>116</v>
      </c>
      <c r="D298" s="6" t="s">
        <v>206</v>
      </c>
      <c r="E298" s="6" t="s">
        <v>254</v>
      </c>
      <c r="F298" s="13" t="n">
        <v>45555</v>
      </c>
      <c r="G298" s="13" t="n">
        <v>45685</v>
      </c>
      <c r="H298" s="14" t="n">
        <v>144015.92</v>
      </c>
      <c r="I298" s="6" t="n">
        <v>5</v>
      </c>
      <c r="J298" s="6" t="n">
        <v>544</v>
      </c>
      <c r="K298" s="6" t="s">
        <v>160</v>
      </c>
      <c r="L298" s="14" t="n">
        <v>23630.5</v>
      </c>
      <c r="M298" s="22" t="n">
        <v>1.347</v>
      </c>
      <c r="N298" s="14" t="n">
        <v>31830.28</v>
      </c>
      <c r="O298" s="14" t="n">
        <v>8199.78</v>
      </c>
      <c r="P298" s="21" t="n">
        <v>0.051</v>
      </c>
      <c r="Q298" s="6" t="n">
        <v>130</v>
      </c>
      <c r="R298" s="6" t="s">
        <v>161</v>
      </c>
      <c r="S298" s="21" t="n">
        <v>1</v>
      </c>
      <c r="T298" s="14" t="n">
        <v>31830.28</v>
      </c>
      <c r="U298" s="6" t="s">
        <v>43</v>
      </c>
    </row>
    <row r="299" customFormat="false" ht="15" hidden="false" customHeight="true" outlineLevel="0" collapsed="false">
      <c r="A299" s="6" t="s">
        <v>791</v>
      </c>
      <c r="B299" s="6" t="s">
        <v>792</v>
      </c>
      <c r="C299" s="6" t="s">
        <v>131</v>
      </c>
      <c r="D299" s="6" t="s">
        <v>176</v>
      </c>
      <c r="E299" s="6" t="s">
        <v>159</v>
      </c>
      <c r="F299" s="13" t="n">
        <v>45314</v>
      </c>
      <c r="G299" s="13" t="n">
        <v>45374</v>
      </c>
      <c r="H299" s="14" t="n">
        <v>49327.67</v>
      </c>
      <c r="I299" s="6" t="n">
        <v>2</v>
      </c>
      <c r="J299" s="6" t="n">
        <v>675</v>
      </c>
      <c r="K299" s="6" t="s">
        <v>185</v>
      </c>
      <c r="L299" s="14" t="n">
        <v>10372.34</v>
      </c>
      <c r="M299" s="22" t="n">
        <v>1.107</v>
      </c>
      <c r="N299" s="14" t="n">
        <v>11482.18</v>
      </c>
      <c r="O299" s="14" t="n">
        <v>1109.84</v>
      </c>
      <c r="P299" s="21" t="n">
        <v>0.127</v>
      </c>
      <c r="Q299" s="6" t="n">
        <v>60</v>
      </c>
      <c r="R299" s="6" t="s">
        <v>161</v>
      </c>
      <c r="S299" s="21" t="n">
        <v>1</v>
      </c>
      <c r="T299" s="14" t="n">
        <v>11482.18</v>
      </c>
      <c r="U299" s="6" t="s">
        <v>35</v>
      </c>
    </row>
    <row r="300" customFormat="false" ht="15" hidden="false" customHeight="true" outlineLevel="0" collapsed="false">
      <c r="A300" s="6" t="s">
        <v>793</v>
      </c>
      <c r="B300" s="6" t="s">
        <v>794</v>
      </c>
      <c r="C300" s="6" t="s">
        <v>128</v>
      </c>
      <c r="D300" s="6" t="s">
        <v>235</v>
      </c>
      <c r="E300" s="6" t="s">
        <v>304</v>
      </c>
      <c r="F300" s="13" t="n">
        <v>45592</v>
      </c>
      <c r="G300" s="13" t="n">
        <v>45652</v>
      </c>
      <c r="H300" s="14" t="n">
        <v>227762.22</v>
      </c>
      <c r="I300" s="6" t="n">
        <v>1</v>
      </c>
      <c r="J300" s="6" t="n">
        <v>545</v>
      </c>
      <c r="K300" s="6" t="s">
        <v>185</v>
      </c>
      <c r="L300" s="14" t="n">
        <v>52423.9</v>
      </c>
      <c r="M300" s="22" t="n">
        <v>1.177</v>
      </c>
      <c r="N300" s="14" t="n">
        <v>61702.93</v>
      </c>
      <c r="O300" s="14" t="n">
        <v>9279.03</v>
      </c>
      <c r="P300" s="21" t="n">
        <v>0.161</v>
      </c>
      <c r="Q300" s="6" t="n">
        <v>60</v>
      </c>
      <c r="R300" s="6" t="s">
        <v>155</v>
      </c>
      <c r="S300" s="21" t="n">
        <v>0.98</v>
      </c>
      <c r="T300" s="14" t="n">
        <v>60468.87</v>
      </c>
      <c r="U300" s="6" t="s">
        <v>44</v>
      </c>
    </row>
    <row r="301" customFormat="false" ht="15" hidden="false" customHeight="true" outlineLevel="0" collapsed="false">
      <c r="A301" s="6" t="s">
        <v>795</v>
      </c>
      <c r="B301" s="6" t="s">
        <v>796</v>
      </c>
      <c r="C301" s="6" t="s">
        <v>124</v>
      </c>
      <c r="D301" s="6" t="s">
        <v>238</v>
      </c>
      <c r="E301" s="6" t="s">
        <v>189</v>
      </c>
      <c r="F301" s="13" t="n">
        <v>45826</v>
      </c>
      <c r="G301" s="13" t="n">
        <v>45886</v>
      </c>
      <c r="H301" s="14" t="n">
        <v>179457.04</v>
      </c>
      <c r="I301" s="6" t="n">
        <v>1</v>
      </c>
      <c r="J301" s="6" t="n">
        <v>711</v>
      </c>
      <c r="K301" s="6" t="s">
        <v>160</v>
      </c>
      <c r="L301" s="14" t="n">
        <v>21181.42</v>
      </c>
      <c r="M301" s="22" t="n">
        <v>1.338</v>
      </c>
      <c r="N301" s="14" t="n">
        <v>28340.74</v>
      </c>
      <c r="O301" s="14" t="n">
        <v>7159.32</v>
      </c>
      <c r="P301" s="21" t="n">
        <v>0.095</v>
      </c>
      <c r="Q301" s="6" t="n">
        <v>60</v>
      </c>
      <c r="R301" s="6" t="s">
        <v>155</v>
      </c>
      <c r="S301" s="21" t="n">
        <v>0.724</v>
      </c>
      <c r="T301" s="14" t="n">
        <v>20518.7</v>
      </c>
      <c r="U301" s="6" t="s">
        <v>52</v>
      </c>
    </row>
    <row r="302" customFormat="false" ht="15" hidden="false" customHeight="true" outlineLevel="0" collapsed="false">
      <c r="A302" s="6" t="s">
        <v>797</v>
      </c>
      <c r="B302" s="6" t="s">
        <v>798</v>
      </c>
      <c r="C302" s="6" t="s">
        <v>124</v>
      </c>
      <c r="D302" s="6" t="s">
        <v>243</v>
      </c>
      <c r="E302" s="6" t="s">
        <v>304</v>
      </c>
      <c r="F302" s="13" t="n">
        <v>44918</v>
      </c>
      <c r="G302" s="13" t="n">
        <v>45064</v>
      </c>
      <c r="H302" s="14" t="n">
        <v>156080.68</v>
      </c>
      <c r="I302" s="6" t="n">
        <v>0</v>
      </c>
      <c r="J302" s="6" t="n">
        <v>771</v>
      </c>
      <c r="K302" s="6" t="s">
        <v>154</v>
      </c>
      <c r="L302" s="14" t="n">
        <v>33021.82</v>
      </c>
      <c r="M302" s="22" t="n">
        <v>1.25</v>
      </c>
      <c r="N302" s="14" t="n">
        <v>41277.28</v>
      </c>
      <c r="O302" s="14" t="n">
        <v>8255.46</v>
      </c>
      <c r="P302" s="21" t="n">
        <v>0.054</v>
      </c>
      <c r="Q302" s="6" t="n">
        <v>146</v>
      </c>
      <c r="R302" s="6" t="s">
        <v>161</v>
      </c>
      <c r="S302" s="21" t="n">
        <v>1</v>
      </c>
      <c r="T302" s="14" t="n">
        <v>41277.28</v>
      </c>
      <c r="U302" s="6" t="s">
        <v>22</v>
      </c>
    </row>
    <row r="303" customFormat="false" ht="15" hidden="false" customHeight="true" outlineLevel="0" collapsed="false">
      <c r="A303" s="6" t="s">
        <v>799</v>
      </c>
      <c r="B303" s="6" t="s">
        <v>800</v>
      </c>
      <c r="C303" s="6" t="s">
        <v>116</v>
      </c>
      <c r="D303" s="6" t="s">
        <v>152</v>
      </c>
      <c r="E303" s="6" t="s">
        <v>184</v>
      </c>
      <c r="F303" s="13" t="n">
        <v>44667</v>
      </c>
      <c r="G303" s="13" t="n">
        <v>44727</v>
      </c>
      <c r="H303" s="14" t="n">
        <v>111457.84</v>
      </c>
      <c r="I303" s="6" t="n">
        <v>1</v>
      </c>
      <c r="J303" s="6" t="n">
        <v>523</v>
      </c>
      <c r="K303" s="6" t="s">
        <v>154</v>
      </c>
      <c r="L303" s="14" t="n">
        <v>14809.81</v>
      </c>
      <c r="M303" s="22" t="n">
        <v>1.107</v>
      </c>
      <c r="N303" s="14" t="n">
        <v>16394.46</v>
      </c>
      <c r="O303" s="14" t="n">
        <v>1584.65</v>
      </c>
      <c r="P303" s="21" t="n">
        <v>0.115</v>
      </c>
      <c r="Q303" s="6" t="n">
        <v>60</v>
      </c>
      <c r="R303" s="6" t="s">
        <v>161</v>
      </c>
      <c r="S303" s="21" t="n">
        <v>1</v>
      </c>
      <c r="T303" s="14" t="n">
        <v>16394.46</v>
      </c>
      <c r="U303" s="6" t="s">
        <v>14</v>
      </c>
    </row>
    <row r="304" customFormat="false" ht="15" hidden="false" customHeight="true" outlineLevel="0" collapsed="false">
      <c r="A304" s="6" t="s">
        <v>801</v>
      </c>
      <c r="B304" s="6" t="s">
        <v>802</v>
      </c>
      <c r="C304" s="6" t="s">
        <v>128</v>
      </c>
      <c r="D304" s="6" t="s">
        <v>172</v>
      </c>
      <c r="E304" s="6" t="s">
        <v>169</v>
      </c>
      <c r="F304" s="13" t="n">
        <v>45100</v>
      </c>
      <c r="G304" s="13" t="n">
        <v>45169</v>
      </c>
      <c r="H304" s="14" t="n">
        <v>233497.79</v>
      </c>
      <c r="I304" s="6" t="n">
        <v>1</v>
      </c>
      <c r="J304" s="6" t="n">
        <v>628</v>
      </c>
      <c r="K304" s="6" t="s">
        <v>154</v>
      </c>
      <c r="L304" s="14" t="n">
        <v>75626.22</v>
      </c>
      <c r="M304" s="22" t="n">
        <v>1.237</v>
      </c>
      <c r="N304" s="14" t="n">
        <v>93549.63</v>
      </c>
      <c r="O304" s="14" t="n">
        <v>17923.41</v>
      </c>
      <c r="P304" s="21" t="n">
        <v>0.172</v>
      </c>
      <c r="Q304" s="6" t="n">
        <v>69</v>
      </c>
      <c r="R304" s="6" t="s">
        <v>161</v>
      </c>
      <c r="S304" s="21" t="n">
        <v>1</v>
      </c>
      <c r="T304" s="14" t="n">
        <v>93549.63</v>
      </c>
      <c r="U304" s="6" t="s">
        <v>28</v>
      </c>
    </row>
    <row r="305" customFormat="false" ht="15" hidden="false" customHeight="true" outlineLevel="0" collapsed="false">
      <c r="A305" s="6" t="s">
        <v>803</v>
      </c>
      <c r="B305" s="6" t="s">
        <v>804</v>
      </c>
      <c r="C305" s="6" t="s">
        <v>112</v>
      </c>
      <c r="D305" s="6" t="s">
        <v>225</v>
      </c>
      <c r="E305" s="6" t="s">
        <v>211</v>
      </c>
      <c r="F305" s="13" t="n">
        <v>44727</v>
      </c>
      <c r="G305" s="13" t="n">
        <v>44787</v>
      </c>
      <c r="H305" s="14" t="n">
        <v>25644.68</v>
      </c>
      <c r="I305" s="6" t="n">
        <v>4</v>
      </c>
      <c r="J305" s="6" t="n">
        <v>789</v>
      </c>
      <c r="K305" s="6" t="s">
        <v>154</v>
      </c>
      <c r="L305" s="14" t="n">
        <v>3777.23</v>
      </c>
      <c r="M305" s="22" t="n">
        <v>1.192</v>
      </c>
      <c r="N305" s="14" t="n">
        <v>4502.46</v>
      </c>
      <c r="O305" s="14" t="n">
        <v>725.23</v>
      </c>
      <c r="P305" s="21" t="n">
        <v>0.146</v>
      </c>
      <c r="Q305" s="6" t="n">
        <v>60</v>
      </c>
      <c r="R305" s="6" t="s">
        <v>155</v>
      </c>
      <c r="S305" s="21" t="n">
        <v>0.868</v>
      </c>
      <c r="T305" s="14" t="n">
        <v>3908.14</v>
      </c>
      <c r="U305" s="6" t="s">
        <v>16</v>
      </c>
    </row>
    <row r="306" customFormat="false" ht="15" hidden="false" customHeight="true" outlineLevel="0" collapsed="false">
      <c r="A306" s="6" t="s">
        <v>805</v>
      </c>
      <c r="B306" s="6" t="s">
        <v>806</v>
      </c>
      <c r="C306" s="6" t="s">
        <v>124</v>
      </c>
      <c r="D306" s="6" t="s">
        <v>243</v>
      </c>
      <c r="E306" s="6" t="s">
        <v>326</v>
      </c>
      <c r="F306" s="13" t="n">
        <v>45822</v>
      </c>
      <c r="G306" s="13" t="n">
        <v>45889</v>
      </c>
      <c r="H306" s="14" t="n">
        <v>124685.95</v>
      </c>
      <c r="I306" s="6" t="n">
        <v>1</v>
      </c>
      <c r="J306" s="6" t="n">
        <v>621</v>
      </c>
      <c r="K306" s="6" t="s">
        <v>160</v>
      </c>
      <c r="L306" s="14" t="n">
        <v>26855.85</v>
      </c>
      <c r="M306" s="22" t="n">
        <v>1.117</v>
      </c>
      <c r="N306" s="14" t="n">
        <v>29997.98</v>
      </c>
      <c r="O306" s="14" t="n">
        <v>3142.13</v>
      </c>
      <c r="P306" s="21" t="n">
        <v>0.107</v>
      </c>
      <c r="Q306" s="6" t="n">
        <v>67</v>
      </c>
      <c r="R306" s="6" t="s">
        <v>490</v>
      </c>
      <c r="S306" s="21" t="n">
        <v>0.402</v>
      </c>
      <c r="T306" s="14" t="n">
        <v>12059.19</v>
      </c>
      <c r="U306" s="6" t="s">
        <v>52</v>
      </c>
    </row>
    <row r="307" customFormat="false" ht="15" hidden="false" customHeight="true" outlineLevel="0" collapsed="false">
      <c r="A307" s="6" t="s">
        <v>807</v>
      </c>
      <c r="B307" s="6" t="s">
        <v>808</v>
      </c>
      <c r="C307" s="6" t="s">
        <v>112</v>
      </c>
      <c r="D307" s="6" t="s">
        <v>164</v>
      </c>
      <c r="E307" s="6" t="s">
        <v>177</v>
      </c>
      <c r="F307" s="13" t="n">
        <v>45074</v>
      </c>
      <c r="G307" s="13" t="n">
        <v>45227</v>
      </c>
      <c r="H307" s="14" t="n">
        <v>153784.68</v>
      </c>
      <c r="I307" s="6" t="n">
        <v>3</v>
      </c>
      <c r="J307" s="6" t="n">
        <v>819</v>
      </c>
      <c r="K307" s="6" t="s">
        <v>160</v>
      </c>
      <c r="L307" s="14" t="n">
        <v>42532.05</v>
      </c>
      <c r="M307" s="22" t="n">
        <v>1.113</v>
      </c>
      <c r="N307" s="14" t="n">
        <v>47338.17</v>
      </c>
      <c r="O307" s="14" t="n">
        <v>4806.12</v>
      </c>
      <c r="P307" s="21" t="n">
        <v>0.06</v>
      </c>
      <c r="Q307" s="6" t="n">
        <v>153</v>
      </c>
      <c r="R307" s="6" t="s">
        <v>155</v>
      </c>
      <c r="S307" s="21" t="n">
        <v>0.772</v>
      </c>
      <c r="T307" s="14" t="n">
        <v>36545.07</v>
      </c>
      <c r="U307" s="6" t="s">
        <v>27</v>
      </c>
    </row>
    <row r="308" customFormat="false" ht="15" hidden="false" customHeight="true" outlineLevel="0" collapsed="false">
      <c r="A308" s="6" t="s">
        <v>809</v>
      </c>
      <c r="B308" s="6" t="s">
        <v>810</v>
      </c>
      <c r="C308" s="6" t="s">
        <v>112</v>
      </c>
      <c r="D308" s="6" t="s">
        <v>188</v>
      </c>
      <c r="E308" s="6" t="s">
        <v>165</v>
      </c>
      <c r="F308" s="13" t="n">
        <v>44615</v>
      </c>
      <c r="G308" s="13" t="n">
        <v>44676</v>
      </c>
      <c r="H308" s="14" t="n">
        <v>115452.78</v>
      </c>
      <c r="I308" s="6" t="n">
        <v>0</v>
      </c>
      <c r="J308" s="6" t="n">
        <v>621</v>
      </c>
      <c r="K308" s="6" t="s">
        <v>185</v>
      </c>
      <c r="L308" s="14" t="n">
        <v>32611.29</v>
      </c>
      <c r="M308" s="22" t="n">
        <v>1.088</v>
      </c>
      <c r="N308" s="14" t="n">
        <v>35481.08</v>
      </c>
      <c r="O308" s="14" t="n">
        <v>2869.79</v>
      </c>
      <c r="P308" s="21" t="n">
        <v>0.149</v>
      </c>
      <c r="Q308" s="6" t="n">
        <v>61</v>
      </c>
      <c r="R308" s="6" t="s">
        <v>155</v>
      </c>
      <c r="S308" s="21" t="n">
        <v>0.964</v>
      </c>
      <c r="T308" s="14" t="n">
        <v>34203.76</v>
      </c>
      <c r="U308" s="6" t="s">
        <v>12</v>
      </c>
    </row>
    <row r="309" customFormat="false" ht="15" hidden="false" customHeight="true" outlineLevel="0" collapsed="false">
      <c r="A309" s="6" t="s">
        <v>811</v>
      </c>
      <c r="B309" s="6" t="s">
        <v>812</v>
      </c>
      <c r="C309" s="6" t="s">
        <v>131</v>
      </c>
      <c r="D309" s="6" t="s">
        <v>200</v>
      </c>
      <c r="E309" s="6" t="s">
        <v>326</v>
      </c>
      <c r="F309" s="13" t="n">
        <v>44832</v>
      </c>
      <c r="G309" s="13" t="n">
        <v>44892</v>
      </c>
      <c r="H309" s="14" t="n">
        <v>120167.61</v>
      </c>
      <c r="I309" s="6" t="n">
        <v>1</v>
      </c>
      <c r="J309" s="6" t="n">
        <v>682</v>
      </c>
      <c r="K309" s="6" t="s">
        <v>160</v>
      </c>
      <c r="L309" s="14" t="n">
        <v>15883.37</v>
      </c>
      <c r="M309" s="22" t="n">
        <v>1.281</v>
      </c>
      <c r="N309" s="14" t="n">
        <v>20346.6</v>
      </c>
      <c r="O309" s="14" t="n">
        <v>4463.23</v>
      </c>
      <c r="P309" s="21" t="n">
        <v>0.17</v>
      </c>
      <c r="Q309" s="6" t="n">
        <v>60</v>
      </c>
      <c r="R309" s="6" t="s">
        <v>155</v>
      </c>
      <c r="S309" s="21" t="n">
        <v>0.798</v>
      </c>
      <c r="T309" s="14" t="n">
        <v>16236.59</v>
      </c>
      <c r="U309" s="6" t="s">
        <v>19</v>
      </c>
    </row>
    <row r="310" customFormat="false" ht="15" hidden="false" customHeight="true" outlineLevel="0" collapsed="false">
      <c r="A310" s="6" t="s">
        <v>813</v>
      </c>
      <c r="B310" s="6" t="s">
        <v>814</v>
      </c>
      <c r="C310" s="6" t="s">
        <v>120</v>
      </c>
      <c r="D310" s="6" t="s">
        <v>218</v>
      </c>
      <c r="E310" s="6" t="s">
        <v>184</v>
      </c>
      <c r="F310" s="13" t="n">
        <v>44724</v>
      </c>
      <c r="G310" s="13" t="n">
        <v>44895</v>
      </c>
      <c r="H310" s="14" t="n">
        <v>119979.27</v>
      </c>
      <c r="I310" s="6" t="n">
        <v>1</v>
      </c>
      <c r="J310" s="6" t="n">
        <v>649</v>
      </c>
      <c r="K310" s="6" t="s">
        <v>160</v>
      </c>
      <c r="L310" s="14" t="n">
        <v>34990.45</v>
      </c>
      <c r="M310" s="22" t="n">
        <v>1.139</v>
      </c>
      <c r="N310" s="14" t="n">
        <v>39854.12</v>
      </c>
      <c r="O310" s="14" t="n">
        <v>4863.67</v>
      </c>
      <c r="P310" s="21" t="n">
        <v>0.058</v>
      </c>
      <c r="Q310" s="6" t="n">
        <v>171</v>
      </c>
      <c r="R310" s="6" t="s">
        <v>155</v>
      </c>
      <c r="S310" s="21" t="n">
        <v>0.914</v>
      </c>
      <c r="T310" s="14" t="n">
        <v>36426.67</v>
      </c>
      <c r="U310" s="6" t="s">
        <v>16</v>
      </c>
    </row>
    <row r="311" customFormat="false" ht="15" hidden="false" customHeight="true" outlineLevel="0" collapsed="false">
      <c r="A311" s="6" t="s">
        <v>815</v>
      </c>
      <c r="B311" s="6" t="s">
        <v>816</v>
      </c>
      <c r="C311" s="6" t="s">
        <v>116</v>
      </c>
      <c r="D311" s="6" t="s">
        <v>222</v>
      </c>
      <c r="E311" s="6" t="s">
        <v>304</v>
      </c>
      <c r="F311" s="13" t="n">
        <v>45602</v>
      </c>
      <c r="G311" s="13" t="n">
        <v>45682</v>
      </c>
      <c r="H311" s="14" t="n">
        <v>78391.18</v>
      </c>
      <c r="I311" s="6" t="n">
        <v>0</v>
      </c>
      <c r="J311" s="6" t="n">
        <v>689</v>
      </c>
      <c r="K311" s="6" t="s">
        <v>154</v>
      </c>
      <c r="L311" s="14" t="n">
        <v>26168.04</v>
      </c>
      <c r="M311" s="22" t="n">
        <v>1.218</v>
      </c>
      <c r="N311" s="14" t="n">
        <v>31872.67</v>
      </c>
      <c r="O311" s="14" t="n">
        <v>5704.63</v>
      </c>
      <c r="P311" s="21" t="n">
        <v>0.152</v>
      </c>
      <c r="Q311" s="6" t="n">
        <v>80</v>
      </c>
      <c r="R311" s="6" t="s">
        <v>155</v>
      </c>
      <c r="S311" s="21" t="n">
        <v>0.949</v>
      </c>
      <c r="T311" s="14" t="n">
        <v>30247.16</v>
      </c>
      <c r="U311" s="6" t="s">
        <v>45</v>
      </c>
    </row>
    <row r="312" customFormat="false" ht="15" hidden="false" customHeight="true" outlineLevel="0" collapsed="false">
      <c r="A312" s="6" t="s">
        <v>817</v>
      </c>
      <c r="B312" s="6" t="s">
        <v>818</v>
      </c>
      <c r="C312" s="6" t="s">
        <v>128</v>
      </c>
      <c r="D312" s="6" t="s">
        <v>235</v>
      </c>
      <c r="E312" s="6" t="s">
        <v>201</v>
      </c>
      <c r="F312" s="13" t="n">
        <v>45206</v>
      </c>
      <c r="G312" s="13" t="n">
        <v>45321</v>
      </c>
      <c r="H312" s="14" t="n">
        <v>73142.22</v>
      </c>
      <c r="I312" s="6" t="n">
        <v>3</v>
      </c>
      <c r="J312" s="6" t="n">
        <v>594</v>
      </c>
      <c r="K312" s="6" t="s">
        <v>160</v>
      </c>
      <c r="L312" s="14" t="n">
        <v>16777.04</v>
      </c>
      <c r="M312" s="22" t="n">
        <v>1.344</v>
      </c>
      <c r="N312" s="14" t="n">
        <v>22548.34</v>
      </c>
      <c r="O312" s="14" t="n">
        <v>5771.3</v>
      </c>
      <c r="P312" s="21" t="n">
        <v>0.08</v>
      </c>
      <c r="Q312" s="6" t="n">
        <v>115</v>
      </c>
      <c r="R312" s="6" t="s">
        <v>309</v>
      </c>
      <c r="S312" s="21" t="n">
        <v>0.113</v>
      </c>
      <c r="T312" s="14" t="n">
        <v>2547.96</v>
      </c>
      <c r="U312" s="6" t="s">
        <v>32</v>
      </c>
    </row>
    <row r="313" customFormat="false" ht="15" hidden="false" customHeight="true" outlineLevel="0" collapsed="false">
      <c r="A313" s="6" t="s">
        <v>819</v>
      </c>
      <c r="B313" s="6" t="s">
        <v>820</v>
      </c>
      <c r="C313" s="6" t="s">
        <v>131</v>
      </c>
      <c r="D313" s="6" t="s">
        <v>200</v>
      </c>
      <c r="E313" s="6" t="s">
        <v>177</v>
      </c>
      <c r="F313" s="13" t="n">
        <v>45728</v>
      </c>
      <c r="G313" s="13" t="n">
        <v>45836</v>
      </c>
      <c r="H313" s="14" t="n">
        <v>27285</v>
      </c>
      <c r="I313" s="6" t="n">
        <v>1</v>
      </c>
      <c r="J313" s="6" t="n">
        <v>524</v>
      </c>
      <c r="K313" s="6" t="s">
        <v>160</v>
      </c>
      <c r="L313" s="14" t="n">
        <v>8560.49</v>
      </c>
      <c r="M313" s="22" t="n">
        <v>1.201</v>
      </c>
      <c r="N313" s="14" t="n">
        <v>10281.15</v>
      </c>
      <c r="O313" s="14" t="n">
        <v>1720.66</v>
      </c>
      <c r="P313" s="21" t="n">
        <v>0.104</v>
      </c>
      <c r="Q313" s="6" t="n">
        <v>108</v>
      </c>
      <c r="R313" s="6" t="s">
        <v>155</v>
      </c>
      <c r="S313" s="21" t="n">
        <v>0.98</v>
      </c>
      <c r="T313" s="14" t="n">
        <v>10075.53</v>
      </c>
      <c r="U313" s="6" t="s">
        <v>49</v>
      </c>
    </row>
    <row r="314" customFormat="false" ht="15" hidden="false" customHeight="true" outlineLevel="0" collapsed="false">
      <c r="A314" s="6" t="s">
        <v>821</v>
      </c>
      <c r="B314" s="6" t="s">
        <v>822</v>
      </c>
      <c r="C314" s="6" t="s">
        <v>128</v>
      </c>
      <c r="D314" s="6" t="s">
        <v>235</v>
      </c>
      <c r="E314" s="6" t="s">
        <v>181</v>
      </c>
      <c r="F314" s="13" t="n">
        <v>45824</v>
      </c>
      <c r="G314" s="13" t="n">
        <v>45884</v>
      </c>
      <c r="H314" s="14" t="n">
        <v>93757</v>
      </c>
      <c r="I314" s="6" t="n">
        <v>1</v>
      </c>
      <c r="J314" s="6" t="n">
        <v>678</v>
      </c>
      <c r="K314" s="6" t="s">
        <v>160</v>
      </c>
      <c r="L314" s="14" t="n">
        <v>15015.68</v>
      </c>
      <c r="M314" s="22" t="n">
        <v>1.323</v>
      </c>
      <c r="N314" s="14" t="n">
        <v>19865.74</v>
      </c>
      <c r="O314" s="14" t="n">
        <v>4850.06</v>
      </c>
      <c r="P314" s="21" t="n">
        <v>0.127</v>
      </c>
      <c r="Q314" s="6" t="n">
        <v>60</v>
      </c>
      <c r="R314" s="6" t="s">
        <v>155</v>
      </c>
      <c r="S314" s="21" t="n">
        <v>0.953</v>
      </c>
      <c r="T314" s="14" t="n">
        <v>18932.05</v>
      </c>
      <c r="U314" s="6" t="s">
        <v>52</v>
      </c>
    </row>
    <row r="315" customFormat="false" ht="15" hidden="false" customHeight="true" outlineLevel="0" collapsed="false">
      <c r="A315" s="6" t="s">
        <v>823</v>
      </c>
      <c r="B315" s="6" t="s">
        <v>824</v>
      </c>
      <c r="C315" s="6" t="s">
        <v>112</v>
      </c>
      <c r="D315" s="6" t="s">
        <v>164</v>
      </c>
      <c r="E315" s="6" t="s">
        <v>184</v>
      </c>
      <c r="F315" s="13" t="n">
        <v>45717</v>
      </c>
      <c r="G315" s="13" t="n">
        <v>45824</v>
      </c>
      <c r="H315" s="14" t="n">
        <v>99808.65</v>
      </c>
      <c r="I315" s="6" t="n">
        <v>1</v>
      </c>
      <c r="J315" s="6" t="n">
        <v>663</v>
      </c>
      <c r="K315" s="6" t="s">
        <v>160</v>
      </c>
      <c r="L315" s="14" t="n">
        <v>29024.21</v>
      </c>
      <c r="M315" s="22" t="n">
        <v>1.16</v>
      </c>
      <c r="N315" s="14" t="n">
        <v>33668.08</v>
      </c>
      <c r="O315" s="14" t="n">
        <v>4643.87</v>
      </c>
      <c r="P315" s="21" t="n">
        <v>0.094</v>
      </c>
      <c r="Q315" s="6" t="n">
        <v>107</v>
      </c>
      <c r="R315" s="6" t="s">
        <v>161</v>
      </c>
      <c r="S315" s="21" t="n">
        <v>1</v>
      </c>
      <c r="T315" s="14" t="n">
        <v>33668.08</v>
      </c>
      <c r="U315" s="6" t="s">
        <v>49</v>
      </c>
    </row>
    <row r="316" customFormat="false" ht="15" hidden="false" customHeight="true" outlineLevel="0" collapsed="false">
      <c r="A316" s="6" t="s">
        <v>825</v>
      </c>
      <c r="B316" s="6" t="s">
        <v>826</v>
      </c>
      <c r="C316" s="6" t="s">
        <v>112</v>
      </c>
      <c r="D316" s="6" t="s">
        <v>225</v>
      </c>
      <c r="E316" s="6" t="s">
        <v>207</v>
      </c>
      <c r="F316" s="13" t="n">
        <v>44961</v>
      </c>
      <c r="G316" s="13" t="n">
        <v>45021</v>
      </c>
      <c r="H316" s="14" t="n">
        <v>42122.76</v>
      </c>
      <c r="I316" s="6" t="n">
        <v>0</v>
      </c>
      <c r="J316" s="6" t="n">
        <v>768</v>
      </c>
      <c r="K316" s="6" t="s">
        <v>160</v>
      </c>
      <c r="L316" s="14" t="n">
        <v>5270.2</v>
      </c>
      <c r="M316" s="22" t="n">
        <v>1.339</v>
      </c>
      <c r="N316" s="14" t="n">
        <v>7056.8</v>
      </c>
      <c r="O316" s="14" t="n">
        <v>1786.6</v>
      </c>
      <c r="P316" s="21" t="n">
        <v>0.12</v>
      </c>
      <c r="Q316" s="6" t="n">
        <v>60</v>
      </c>
      <c r="R316" s="6" t="s">
        <v>155</v>
      </c>
      <c r="S316" s="21" t="n">
        <v>0.98</v>
      </c>
      <c r="T316" s="14" t="n">
        <v>6915.66</v>
      </c>
      <c r="U316" s="6" t="s">
        <v>24</v>
      </c>
    </row>
    <row r="317" customFormat="false" ht="15" hidden="false" customHeight="true" outlineLevel="0" collapsed="false">
      <c r="A317" s="6" t="s">
        <v>827</v>
      </c>
      <c r="B317" s="6" t="s">
        <v>828</v>
      </c>
      <c r="C317" s="6" t="s">
        <v>120</v>
      </c>
      <c r="D317" s="6" t="s">
        <v>158</v>
      </c>
      <c r="E317" s="6" t="s">
        <v>177</v>
      </c>
      <c r="F317" s="13" t="n">
        <v>45612</v>
      </c>
      <c r="G317" s="13" t="n">
        <v>45672</v>
      </c>
      <c r="H317" s="14" t="n">
        <v>202481.14</v>
      </c>
      <c r="I317" s="6" t="n">
        <v>2</v>
      </c>
      <c r="J317" s="6" t="n">
        <v>571</v>
      </c>
      <c r="K317" s="6" t="s">
        <v>154</v>
      </c>
      <c r="L317" s="14" t="n">
        <v>39362.6</v>
      </c>
      <c r="M317" s="22" t="n">
        <v>1.155</v>
      </c>
      <c r="N317" s="14" t="n">
        <v>45463.8</v>
      </c>
      <c r="O317" s="14" t="n">
        <v>6101.2</v>
      </c>
      <c r="P317" s="21" t="n">
        <v>0.132</v>
      </c>
      <c r="Q317" s="6" t="n">
        <v>60</v>
      </c>
      <c r="R317" s="6" t="s">
        <v>161</v>
      </c>
      <c r="S317" s="21" t="n">
        <v>1</v>
      </c>
      <c r="T317" s="14" t="n">
        <v>45463.8</v>
      </c>
      <c r="U317" s="6" t="s">
        <v>45</v>
      </c>
    </row>
    <row r="318" customFormat="false" ht="15" hidden="false" customHeight="true" outlineLevel="0" collapsed="false">
      <c r="A318" s="6" t="s">
        <v>829</v>
      </c>
      <c r="B318" s="6" t="s">
        <v>830</v>
      </c>
      <c r="C318" s="6" t="s">
        <v>131</v>
      </c>
      <c r="D318" s="6" t="s">
        <v>152</v>
      </c>
      <c r="E318" s="6" t="s">
        <v>153</v>
      </c>
      <c r="F318" s="13" t="n">
        <v>46064</v>
      </c>
      <c r="G318" s="13" t="n">
        <v>46124</v>
      </c>
      <c r="H318" s="14" t="n">
        <v>67511.12</v>
      </c>
      <c r="I318" s="6" t="n">
        <v>1</v>
      </c>
      <c r="J318" s="6" t="n">
        <v>779</v>
      </c>
      <c r="K318" s="6" t="s">
        <v>160</v>
      </c>
      <c r="L318" s="14" t="n">
        <v>17421.93</v>
      </c>
      <c r="M318" s="22" t="n">
        <v>1.121</v>
      </c>
      <c r="N318" s="14" t="n">
        <v>19529.98</v>
      </c>
      <c r="O318" s="14" t="n">
        <v>2108.05</v>
      </c>
      <c r="P318" s="21" t="n">
        <v>0.156</v>
      </c>
      <c r="Q318" s="6" t="n">
        <v>60</v>
      </c>
      <c r="R318" s="6" t="s">
        <v>161</v>
      </c>
      <c r="S318" s="21" t="n">
        <v>1</v>
      </c>
      <c r="T318" s="14" t="n">
        <v>19529.98</v>
      </c>
      <c r="U318" s="6" t="s">
        <v>60</v>
      </c>
    </row>
    <row r="319" customFormat="false" ht="15" hidden="false" customHeight="true" outlineLevel="0" collapsed="false">
      <c r="A319" s="6" t="s">
        <v>831</v>
      </c>
      <c r="B319" s="6" t="s">
        <v>832</v>
      </c>
      <c r="C319" s="6" t="s">
        <v>112</v>
      </c>
      <c r="D319" s="6" t="s">
        <v>188</v>
      </c>
      <c r="E319" s="6" t="s">
        <v>207</v>
      </c>
      <c r="F319" s="13" t="n">
        <v>45036</v>
      </c>
      <c r="G319" s="13" t="n">
        <v>45137</v>
      </c>
      <c r="H319" s="14" t="n">
        <v>156437.53</v>
      </c>
      <c r="I319" s="6" t="n">
        <v>1</v>
      </c>
      <c r="J319" s="6" t="n">
        <v>575</v>
      </c>
      <c r="K319" s="6" t="s">
        <v>160</v>
      </c>
      <c r="L319" s="14" t="n">
        <v>41535.15</v>
      </c>
      <c r="M319" s="22" t="n">
        <v>1.129</v>
      </c>
      <c r="N319" s="14" t="n">
        <v>46893.18</v>
      </c>
      <c r="O319" s="14" t="n">
        <v>5358.03</v>
      </c>
      <c r="P319" s="21" t="n">
        <v>0.089</v>
      </c>
      <c r="Q319" s="6" t="n">
        <v>101</v>
      </c>
      <c r="R319" s="6" t="s">
        <v>155</v>
      </c>
      <c r="S319" s="21" t="n">
        <v>0.934</v>
      </c>
      <c r="T319" s="14" t="n">
        <v>43798.23</v>
      </c>
      <c r="U319" s="6" t="s">
        <v>26</v>
      </c>
    </row>
    <row r="320" customFormat="false" ht="15" hidden="false" customHeight="true" outlineLevel="0" collapsed="false">
      <c r="A320" s="6" t="s">
        <v>833</v>
      </c>
      <c r="B320" s="6" t="s">
        <v>834</v>
      </c>
      <c r="C320" s="6" t="s">
        <v>124</v>
      </c>
      <c r="D320" s="6" t="s">
        <v>243</v>
      </c>
      <c r="E320" s="6" t="s">
        <v>326</v>
      </c>
      <c r="F320" s="13" t="n">
        <v>45556</v>
      </c>
      <c r="G320" s="13" t="n">
        <v>45754</v>
      </c>
      <c r="H320" s="14" t="n">
        <v>194775.28</v>
      </c>
      <c r="I320" s="6" t="n">
        <v>0</v>
      </c>
      <c r="J320" s="6" t="n">
        <v>602</v>
      </c>
      <c r="K320" s="6" t="s">
        <v>185</v>
      </c>
      <c r="L320" s="14" t="n">
        <v>63804.02</v>
      </c>
      <c r="M320" s="22" t="n">
        <v>1.15</v>
      </c>
      <c r="N320" s="14" t="n">
        <v>73374.62</v>
      </c>
      <c r="O320" s="14" t="n">
        <v>9570.6</v>
      </c>
      <c r="P320" s="21" t="n">
        <v>0.057</v>
      </c>
      <c r="Q320" s="6" t="n">
        <v>198</v>
      </c>
      <c r="R320" s="6" t="s">
        <v>161</v>
      </c>
      <c r="S320" s="21" t="n">
        <v>1</v>
      </c>
      <c r="T320" s="14" t="n">
        <v>73374.62</v>
      </c>
      <c r="U320" s="6" t="s">
        <v>43</v>
      </c>
    </row>
    <row r="321" customFormat="false" ht="15" hidden="false" customHeight="true" outlineLevel="0" collapsed="false">
      <c r="A321" s="6" t="s">
        <v>835</v>
      </c>
      <c r="B321" s="6" t="s">
        <v>836</v>
      </c>
      <c r="C321" s="6" t="s">
        <v>116</v>
      </c>
      <c r="D321" s="6" t="s">
        <v>222</v>
      </c>
      <c r="E321" s="6" t="s">
        <v>192</v>
      </c>
      <c r="F321" s="13" t="n">
        <v>44830</v>
      </c>
      <c r="G321" s="13" t="n">
        <v>44890</v>
      </c>
      <c r="H321" s="14" t="n">
        <v>13867.14</v>
      </c>
      <c r="I321" s="6" t="n">
        <v>1</v>
      </c>
      <c r="J321" s="6" t="n">
        <v>720</v>
      </c>
      <c r="K321" s="6" t="s">
        <v>154</v>
      </c>
      <c r="L321" s="14" t="n">
        <v>2000</v>
      </c>
      <c r="M321" s="22" t="n">
        <v>1.292</v>
      </c>
      <c r="N321" s="14" t="n">
        <v>2584</v>
      </c>
      <c r="O321" s="14" t="n">
        <v>584</v>
      </c>
      <c r="P321" s="21" t="n">
        <v>0.135</v>
      </c>
      <c r="Q321" s="6" t="n">
        <v>60</v>
      </c>
      <c r="R321" s="6" t="s">
        <v>155</v>
      </c>
      <c r="S321" s="21" t="n">
        <v>0.98</v>
      </c>
      <c r="T321" s="14" t="n">
        <v>2532.32</v>
      </c>
      <c r="U321" s="6" t="s">
        <v>19</v>
      </c>
    </row>
    <row r="322" customFormat="false" ht="15" hidden="false" customHeight="true" outlineLevel="0" collapsed="false">
      <c r="A322" s="6" t="s">
        <v>837</v>
      </c>
      <c r="B322" s="6" t="s">
        <v>838</v>
      </c>
      <c r="C322" s="6" t="s">
        <v>120</v>
      </c>
      <c r="D322" s="6" t="s">
        <v>210</v>
      </c>
      <c r="E322" s="6" t="s">
        <v>169</v>
      </c>
      <c r="F322" s="13" t="n">
        <v>44752</v>
      </c>
      <c r="G322" s="13" t="n">
        <v>44830</v>
      </c>
      <c r="H322" s="14" t="n">
        <v>187922.97</v>
      </c>
      <c r="I322" s="6" t="n">
        <v>0</v>
      </c>
      <c r="J322" s="6" t="n">
        <v>647</v>
      </c>
      <c r="K322" s="6" t="s">
        <v>154</v>
      </c>
      <c r="L322" s="14" t="n">
        <v>35816.04</v>
      </c>
      <c r="M322" s="22" t="n">
        <v>1.207</v>
      </c>
      <c r="N322" s="14" t="n">
        <v>43229.96</v>
      </c>
      <c r="O322" s="14" t="n">
        <v>7413.92</v>
      </c>
      <c r="P322" s="21" t="n">
        <v>0.088</v>
      </c>
      <c r="Q322" s="6" t="n">
        <v>78</v>
      </c>
      <c r="R322" s="6" t="s">
        <v>155</v>
      </c>
      <c r="S322" s="21" t="n">
        <v>0.842</v>
      </c>
      <c r="T322" s="14" t="n">
        <v>36399.63</v>
      </c>
      <c r="U322" s="6" t="s">
        <v>17</v>
      </c>
    </row>
    <row r="323" customFormat="false" ht="15" hidden="false" customHeight="true" outlineLevel="0" collapsed="false">
      <c r="A323" s="6" t="s">
        <v>839</v>
      </c>
      <c r="B323" s="6" t="s">
        <v>840</v>
      </c>
      <c r="C323" s="6" t="s">
        <v>128</v>
      </c>
      <c r="D323" s="6" t="s">
        <v>172</v>
      </c>
      <c r="E323" s="6" t="s">
        <v>299</v>
      </c>
      <c r="F323" s="13" t="n">
        <v>46119</v>
      </c>
      <c r="G323" s="13" t="n">
        <v>46179</v>
      </c>
      <c r="H323" s="14" t="n">
        <v>217288.31</v>
      </c>
      <c r="I323" s="6" t="n">
        <v>1</v>
      </c>
      <c r="J323" s="6" t="n">
        <v>580</v>
      </c>
      <c r="K323" s="6" t="s">
        <v>160</v>
      </c>
      <c r="L323" s="14" t="n">
        <v>56904.83</v>
      </c>
      <c r="M323" s="22" t="n">
        <v>1.221</v>
      </c>
      <c r="N323" s="14" t="n">
        <v>69480.8</v>
      </c>
      <c r="O323" s="14" t="n">
        <v>12575.97</v>
      </c>
      <c r="P323" s="21" t="n">
        <v>0.159</v>
      </c>
      <c r="Q323" s="6" t="n">
        <v>60</v>
      </c>
      <c r="R323" s="6" t="s">
        <v>155</v>
      </c>
      <c r="S323" s="21" t="n">
        <v>0.969</v>
      </c>
      <c r="T323" s="14" t="n">
        <v>67326.9</v>
      </c>
      <c r="U323" s="6" t="s">
        <v>62</v>
      </c>
    </row>
    <row r="324" customFormat="false" ht="15" hidden="false" customHeight="true" outlineLevel="0" collapsed="false">
      <c r="A324" s="6" t="s">
        <v>841</v>
      </c>
      <c r="B324" s="6" t="s">
        <v>842</v>
      </c>
      <c r="C324" s="6" t="s">
        <v>131</v>
      </c>
      <c r="D324" s="6" t="s">
        <v>200</v>
      </c>
      <c r="E324" s="6" t="s">
        <v>169</v>
      </c>
      <c r="F324" s="13" t="n">
        <v>45626</v>
      </c>
      <c r="G324" s="13" t="n">
        <v>45733</v>
      </c>
      <c r="H324" s="14" t="n">
        <v>142263.35</v>
      </c>
      <c r="I324" s="6" t="n">
        <v>2</v>
      </c>
      <c r="J324" s="6" t="n">
        <v>735</v>
      </c>
      <c r="K324" s="6" t="s">
        <v>154</v>
      </c>
      <c r="L324" s="14" t="n">
        <v>23690.79</v>
      </c>
      <c r="M324" s="22" t="n">
        <v>1.114</v>
      </c>
      <c r="N324" s="14" t="n">
        <v>26391.54</v>
      </c>
      <c r="O324" s="14" t="n">
        <v>2700.75</v>
      </c>
      <c r="P324" s="21" t="n">
        <v>0.052</v>
      </c>
      <c r="Q324" s="6" t="n">
        <v>107</v>
      </c>
      <c r="R324" s="6" t="s">
        <v>309</v>
      </c>
      <c r="S324" s="21" t="n">
        <v>0.141</v>
      </c>
      <c r="T324" s="14" t="n">
        <v>3721.21</v>
      </c>
      <c r="U324" s="6" t="s">
        <v>45</v>
      </c>
    </row>
    <row r="325" customFormat="false" ht="15" hidden="false" customHeight="true" outlineLevel="0" collapsed="false">
      <c r="A325" s="6" t="s">
        <v>843</v>
      </c>
      <c r="B325" s="6" t="s">
        <v>844</v>
      </c>
      <c r="C325" s="6" t="s">
        <v>124</v>
      </c>
      <c r="D325" s="6" t="s">
        <v>168</v>
      </c>
      <c r="E325" s="6" t="s">
        <v>288</v>
      </c>
      <c r="F325" s="13" t="n">
        <v>45947</v>
      </c>
      <c r="G325" s="13" t="n">
        <v>46024</v>
      </c>
      <c r="H325" s="14" t="n">
        <v>159531.91</v>
      </c>
      <c r="I325" s="6" t="n">
        <v>1</v>
      </c>
      <c r="J325" s="6" t="n">
        <v>545</v>
      </c>
      <c r="K325" s="6" t="s">
        <v>185</v>
      </c>
      <c r="L325" s="14" t="n">
        <v>30197.91</v>
      </c>
      <c r="M325" s="22" t="n">
        <v>1.198</v>
      </c>
      <c r="N325" s="14" t="n">
        <v>36177.1</v>
      </c>
      <c r="O325" s="14" t="n">
        <v>5979.19</v>
      </c>
      <c r="P325" s="21" t="n">
        <v>0.088</v>
      </c>
      <c r="Q325" s="6" t="n">
        <v>77</v>
      </c>
      <c r="R325" s="6" t="s">
        <v>155</v>
      </c>
      <c r="S325" s="21" t="n">
        <v>0.813</v>
      </c>
      <c r="T325" s="14" t="n">
        <v>29411.98</v>
      </c>
      <c r="U325" s="6" t="s">
        <v>56</v>
      </c>
    </row>
    <row r="326" customFormat="false" ht="15" hidden="false" customHeight="true" outlineLevel="0" collapsed="false">
      <c r="A326" s="6" t="s">
        <v>845</v>
      </c>
      <c r="B326" s="6" t="s">
        <v>846</v>
      </c>
      <c r="C326" s="6" t="s">
        <v>112</v>
      </c>
      <c r="D326" s="6" t="s">
        <v>164</v>
      </c>
      <c r="E326" s="6" t="s">
        <v>299</v>
      </c>
      <c r="F326" s="13" t="n">
        <v>45707</v>
      </c>
      <c r="G326" s="13" t="n">
        <v>45767</v>
      </c>
      <c r="H326" s="14" t="n">
        <v>56222.77</v>
      </c>
      <c r="I326" s="6" t="n">
        <v>0</v>
      </c>
      <c r="J326" s="6" t="n">
        <v>647</v>
      </c>
      <c r="K326" s="6" t="s">
        <v>154</v>
      </c>
      <c r="L326" s="14" t="n">
        <v>6120.37</v>
      </c>
      <c r="M326" s="22" t="n">
        <v>1.122</v>
      </c>
      <c r="N326" s="14" t="n">
        <v>6867.06</v>
      </c>
      <c r="O326" s="14" t="n">
        <v>746.69</v>
      </c>
      <c r="P326" s="21" t="n">
        <v>0.096</v>
      </c>
      <c r="Q326" s="6" t="n">
        <v>60</v>
      </c>
      <c r="R326" s="6" t="s">
        <v>155</v>
      </c>
      <c r="S326" s="21" t="n">
        <v>0.821</v>
      </c>
      <c r="T326" s="14" t="n">
        <v>5637.86</v>
      </c>
      <c r="U326" s="6" t="s">
        <v>48</v>
      </c>
    </row>
    <row r="327" customFormat="false" ht="15" hidden="false" customHeight="true" outlineLevel="0" collapsed="false">
      <c r="A327" s="6" t="s">
        <v>847</v>
      </c>
      <c r="B327" s="6" t="s">
        <v>848</v>
      </c>
      <c r="C327" s="6" t="s">
        <v>116</v>
      </c>
      <c r="D327" s="6" t="s">
        <v>222</v>
      </c>
      <c r="E327" s="6" t="s">
        <v>189</v>
      </c>
      <c r="F327" s="13" t="n">
        <v>46071</v>
      </c>
      <c r="G327" s="13" t="n">
        <v>46169</v>
      </c>
      <c r="H327" s="14" t="n">
        <v>32761.95</v>
      </c>
      <c r="I327" s="6" t="n">
        <v>2</v>
      </c>
      <c r="J327" s="6" t="n">
        <v>688</v>
      </c>
      <c r="K327" s="6" t="s">
        <v>185</v>
      </c>
      <c r="L327" s="14" t="n">
        <v>7427.69</v>
      </c>
      <c r="M327" s="22" t="n">
        <v>1.24</v>
      </c>
      <c r="N327" s="14" t="n">
        <v>9210.34</v>
      </c>
      <c r="O327" s="14" t="n">
        <v>1782.65</v>
      </c>
      <c r="P327" s="21" t="n">
        <v>0.086</v>
      </c>
      <c r="Q327" s="6" t="n">
        <v>98</v>
      </c>
      <c r="R327" s="6" t="s">
        <v>155</v>
      </c>
      <c r="S327" s="21" t="n">
        <v>0.934</v>
      </c>
      <c r="T327" s="14" t="n">
        <v>8602.46</v>
      </c>
      <c r="U327" s="6" t="s">
        <v>60</v>
      </c>
    </row>
    <row r="328" customFormat="false" ht="15" hidden="false" customHeight="true" outlineLevel="0" collapsed="false">
      <c r="A328" s="6" t="s">
        <v>849</v>
      </c>
      <c r="B328" s="6" t="s">
        <v>850</v>
      </c>
      <c r="C328" s="6" t="s">
        <v>116</v>
      </c>
      <c r="D328" s="6" t="s">
        <v>206</v>
      </c>
      <c r="E328" s="6" t="s">
        <v>207</v>
      </c>
      <c r="F328" s="13" t="n">
        <v>45897</v>
      </c>
      <c r="G328" s="13" t="n">
        <v>45957</v>
      </c>
      <c r="H328" s="14" t="n">
        <v>180146.14</v>
      </c>
      <c r="I328" s="6" t="n">
        <v>3</v>
      </c>
      <c r="J328" s="6" t="n">
        <v>679</v>
      </c>
      <c r="K328" s="6" t="s">
        <v>185</v>
      </c>
      <c r="L328" s="14" t="n">
        <v>47033.64</v>
      </c>
      <c r="M328" s="22" t="n">
        <v>1.112</v>
      </c>
      <c r="N328" s="14" t="n">
        <v>52301.41</v>
      </c>
      <c r="O328" s="14" t="n">
        <v>5267.77</v>
      </c>
      <c r="P328" s="21" t="n">
        <v>0.167</v>
      </c>
      <c r="Q328" s="6" t="n">
        <v>60</v>
      </c>
      <c r="R328" s="6" t="s">
        <v>161</v>
      </c>
      <c r="S328" s="21" t="n">
        <v>1</v>
      </c>
      <c r="T328" s="14" t="n">
        <v>52301.41</v>
      </c>
      <c r="U328" s="6" t="s">
        <v>54</v>
      </c>
    </row>
    <row r="329" customFormat="false" ht="15" hidden="false" customHeight="true" outlineLevel="0" collapsed="false">
      <c r="A329" s="6" t="s">
        <v>851</v>
      </c>
      <c r="B329" s="6" t="s">
        <v>852</v>
      </c>
      <c r="C329" s="6" t="s">
        <v>116</v>
      </c>
      <c r="D329" s="6" t="s">
        <v>222</v>
      </c>
      <c r="E329" s="6" t="s">
        <v>177</v>
      </c>
      <c r="F329" s="13" t="n">
        <v>45317</v>
      </c>
      <c r="G329" s="13" t="n">
        <v>45383</v>
      </c>
      <c r="H329" s="14" t="n">
        <v>51319.36</v>
      </c>
      <c r="I329" s="6" t="n">
        <v>2</v>
      </c>
      <c r="J329" s="6" t="n">
        <v>503</v>
      </c>
      <c r="K329" s="6" t="s">
        <v>185</v>
      </c>
      <c r="L329" s="14" t="n">
        <v>8528.49</v>
      </c>
      <c r="M329" s="22" t="n">
        <v>1.238</v>
      </c>
      <c r="N329" s="14" t="n">
        <v>10558.27</v>
      </c>
      <c r="O329" s="14" t="n">
        <v>2029.78</v>
      </c>
      <c r="P329" s="21" t="n">
        <v>0.093</v>
      </c>
      <c r="Q329" s="6" t="n">
        <v>66</v>
      </c>
      <c r="R329" s="6" t="s">
        <v>155</v>
      </c>
      <c r="S329" s="21" t="n">
        <v>0.876</v>
      </c>
      <c r="T329" s="14" t="n">
        <v>9249.04</v>
      </c>
      <c r="U329" s="6" t="s">
        <v>35</v>
      </c>
    </row>
    <row r="330" customFormat="false" ht="15" hidden="false" customHeight="true" outlineLevel="0" collapsed="false">
      <c r="A330" s="6" t="s">
        <v>853</v>
      </c>
      <c r="B330" s="6" t="s">
        <v>854</v>
      </c>
      <c r="C330" s="6" t="s">
        <v>131</v>
      </c>
      <c r="D330" s="6" t="s">
        <v>176</v>
      </c>
      <c r="E330" s="6" t="s">
        <v>195</v>
      </c>
      <c r="F330" s="13" t="n">
        <v>44806</v>
      </c>
      <c r="G330" s="13" t="n">
        <v>44967</v>
      </c>
      <c r="H330" s="14" t="n">
        <v>17242.85</v>
      </c>
      <c r="I330" s="6" t="n">
        <v>0</v>
      </c>
      <c r="J330" s="6" t="n">
        <v>786</v>
      </c>
      <c r="K330" s="6" t="s">
        <v>160</v>
      </c>
      <c r="L330" s="14" t="n">
        <v>4309.31</v>
      </c>
      <c r="M330" s="22" t="n">
        <v>1.31</v>
      </c>
      <c r="N330" s="14" t="n">
        <v>5645.2</v>
      </c>
      <c r="O330" s="14" t="n">
        <v>1335.89</v>
      </c>
      <c r="P330" s="21" t="n">
        <v>0.061</v>
      </c>
      <c r="Q330" s="6" t="n">
        <v>161</v>
      </c>
      <c r="R330" s="6" t="s">
        <v>155</v>
      </c>
      <c r="S330" s="21" t="n">
        <v>0.923</v>
      </c>
      <c r="T330" s="14" t="n">
        <v>5210.52</v>
      </c>
      <c r="U330" s="6" t="s">
        <v>19</v>
      </c>
    </row>
    <row r="331" customFormat="false" ht="15" hidden="false" customHeight="true" outlineLevel="0" collapsed="false">
      <c r="A331" s="6" t="s">
        <v>855</v>
      </c>
      <c r="B331" s="6" t="s">
        <v>856</v>
      </c>
      <c r="C331" s="6" t="s">
        <v>116</v>
      </c>
      <c r="D331" s="6" t="s">
        <v>152</v>
      </c>
      <c r="E331" s="6" t="s">
        <v>299</v>
      </c>
      <c r="F331" s="13" t="n">
        <v>46092</v>
      </c>
      <c r="G331" s="13" t="n">
        <v>46152</v>
      </c>
      <c r="H331" s="14" t="n">
        <v>162382.84</v>
      </c>
      <c r="I331" s="6" t="n">
        <v>1</v>
      </c>
      <c r="J331" s="6" t="n">
        <v>781</v>
      </c>
      <c r="K331" s="6" t="s">
        <v>160</v>
      </c>
      <c r="L331" s="14" t="n">
        <v>33811.17</v>
      </c>
      <c r="M331" s="22" t="n">
        <v>1.335</v>
      </c>
      <c r="N331" s="14" t="n">
        <v>45137.91</v>
      </c>
      <c r="O331" s="14" t="n">
        <v>11326.74</v>
      </c>
      <c r="P331" s="21" t="n">
        <v>0.162</v>
      </c>
      <c r="Q331" s="6" t="n">
        <v>60</v>
      </c>
      <c r="R331" s="6" t="s">
        <v>309</v>
      </c>
      <c r="S331" s="21" t="n">
        <v>0.123</v>
      </c>
      <c r="T331" s="14" t="n">
        <v>5551.96</v>
      </c>
      <c r="U331" s="6" t="s">
        <v>61</v>
      </c>
    </row>
    <row r="332" customFormat="false" ht="15" hidden="false" customHeight="true" outlineLevel="0" collapsed="false">
      <c r="A332" s="6" t="s">
        <v>857</v>
      </c>
      <c r="B332" s="6" t="s">
        <v>858</v>
      </c>
      <c r="C332" s="6" t="s">
        <v>131</v>
      </c>
      <c r="D332" s="6" t="s">
        <v>200</v>
      </c>
      <c r="E332" s="6" t="s">
        <v>288</v>
      </c>
      <c r="F332" s="13" t="n">
        <v>45462</v>
      </c>
      <c r="G332" s="13" t="n">
        <v>45531</v>
      </c>
      <c r="H332" s="14" t="n">
        <v>75509.14</v>
      </c>
      <c r="I332" s="6" t="n">
        <v>1</v>
      </c>
      <c r="J332" s="6" t="n">
        <v>632</v>
      </c>
      <c r="K332" s="6" t="s">
        <v>160</v>
      </c>
      <c r="L332" s="14" t="n">
        <v>10899.98</v>
      </c>
      <c r="M332" s="22" t="n">
        <v>1.344</v>
      </c>
      <c r="N332" s="14" t="n">
        <v>14649.57</v>
      </c>
      <c r="O332" s="14" t="n">
        <v>3749.59</v>
      </c>
      <c r="P332" s="21" t="n">
        <v>0.084</v>
      </c>
      <c r="Q332" s="6" t="n">
        <v>69</v>
      </c>
      <c r="R332" s="6" t="s">
        <v>155</v>
      </c>
      <c r="S332" s="21" t="n">
        <v>0.871</v>
      </c>
      <c r="T332" s="14" t="n">
        <v>12759.78</v>
      </c>
      <c r="U332" s="6" t="s">
        <v>40</v>
      </c>
    </row>
    <row r="333" customFormat="false" ht="15" hidden="false" customHeight="true" outlineLevel="0" collapsed="false">
      <c r="A333" s="6" t="s">
        <v>859</v>
      </c>
      <c r="B333" s="6" t="s">
        <v>860</v>
      </c>
      <c r="C333" s="6" t="s">
        <v>128</v>
      </c>
      <c r="D333" s="6" t="s">
        <v>401</v>
      </c>
      <c r="E333" s="6" t="s">
        <v>207</v>
      </c>
      <c r="F333" s="13" t="n">
        <v>45535</v>
      </c>
      <c r="G333" s="13" t="n">
        <v>45595</v>
      </c>
      <c r="H333" s="14" t="n">
        <v>29963.32</v>
      </c>
      <c r="I333" s="6" t="n">
        <v>2</v>
      </c>
      <c r="J333" s="6" t="n">
        <v>583</v>
      </c>
      <c r="K333" s="6" t="s">
        <v>185</v>
      </c>
      <c r="L333" s="14" t="n">
        <v>6514.65</v>
      </c>
      <c r="M333" s="22" t="n">
        <v>1.22</v>
      </c>
      <c r="N333" s="14" t="n">
        <v>7947.87</v>
      </c>
      <c r="O333" s="14" t="n">
        <v>1433.22</v>
      </c>
      <c r="P333" s="21" t="n">
        <v>0.132</v>
      </c>
      <c r="Q333" s="6" t="n">
        <v>60</v>
      </c>
      <c r="R333" s="6" t="s">
        <v>155</v>
      </c>
      <c r="S333" s="21" t="n">
        <v>0.905</v>
      </c>
      <c r="T333" s="14" t="n">
        <v>7192.82</v>
      </c>
      <c r="U333" s="6" t="s">
        <v>42</v>
      </c>
    </row>
    <row r="334" customFormat="false" ht="15" hidden="false" customHeight="true" outlineLevel="0" collapsed="false">
      <c r="A334" s="6" t="s">
        <v>861</v>
      </c>
      <c r="B334" s="6" t="s">
        <v>862</v>
      </c>
      <c r="C334" s="6" t="s">
        <v>116</v>
      </c>
      <c r="D334" s="6" t="s">
        <v>152</v>
      </c>
      <c r="E334" s="6" t="s">
        <v>184</v>
      </c>
      <c r="F334" s="13" t="n">
        <v>45792</v>
      </c>
      <c r="G334" s="13" t="n">
        <v>45866</v>
      </c>
      <c r="H334" s="14" t="n">
        <v>203831.56</v>
      </c>
      <c r="I334" s="6" t="n">
        <v>1</v>
      </c>
      <c r="J334" s="6" t="n">
        <v>684</v>
      </c>
      <c r="K334" s="6" t="s">
        <v>185</v>
      </c>
      <c r="L334" s="14" t="n">
        <v>63968.56</v>
      </c>
      <c r="M334" s="22" t="n">
        <v>1.146</v>
      </c>
      <c r="N334" s="14" t="n">
        <v>73307.97</v>
      </c>
      <c r="O334" s="14" t="n">
        <v>9339.41</v>
      </c>
      <c r="P334" s="21" t="n">
        <v>0.144</v>
      </c>
      <c r="Q334" s="6" t="n">
        <v>74</v>
      </c>
      <c r="R334" s="6" t="s">
        <v>161</v>
      </c>
      <c r="S334" s="21" t="n">
        <v>1</v>
      </c>
      <c r="T334" s="14" t="n">
        <v>73307.97</v>
      </c>
      <c r="U334" s="6" t="s">
        <v>51</v>
      </c>
    </row>
    <row r="335" customFormat="false" ht="15" hidden="false" customHeight="true" outlineLevel="0" collapsed="false">
      <c r="A335" s="6" t="s">
        <v>863</v>
      </c>
      <c r="B335" s="6" t="s">
        <v>864</v>
      </c>
      <c r="C335" s="6" t="s">
        <v>128</v>
      </c>
      <c r="D335" s="6" t="s">
        <v>172</v>
      </c>
      <c r="E335" s="6" t="s">
        <v>189</v>
      </c>
      <c r="F335" s="13" t="n">
        <v>45501</v>
      </c>
      <c r="G335" s="13" t="n">
        <v>45588</v>
      </c>
      <c r="H335" s="14" t="n">
        <v>189947.72</v>
      </c>
      <c r="I335" s="6" t="n">
        <v>0</v>
      </c>
      <c r="J335" s="6" t="n">
        <v>607</v>
      </c>
      <c r="K335" s="6" t="s">
        <v>154</v>
      </c>
      <c r="L335" s="14" t="n">
        <v>66031.08</v>
      </c>
      <c r="M335" s="22" t="n">
        <v>1.287</v>
      </c>
      <c r="N335" s="14" t="n">
        <v>84982</v>
      </c>
      <c r="O335" s="14" t="n">
        <v>18950.92</v>
      </c>
      <c r="P335" s="21" t="n">
        <v>0.154</v>
      </c>
      <c r="Q335" s="6" t="n">
        <v>87</v>
      </c>
      <c r="R335" s="6" t="s">
        <v>161</v>
      </c>
      <c r="S335" s="21" t="n">
        <v>1</v>
      </c>
      <c r="T335" s="14" t="n">
        <v>84982</v>
      </c>
      <c r="U335" s="6" t="s">
        <v>41</v>
      </c>
    </row>
    <row r="336" customFormat="false" ht="15" hidden="false" customHeight="true" outlineLevel="0" collapsed="false">
      <c r="A336" s="6" t="s">
        <v>865</v>
      </c>
      <c r="B336" s="6" t="s">
        <v>866</v>
      </c>
      <c r="C336" s="6" t="s">
        <v>124</v>
      </c>
      <c r="D336" s="6" t="s">
        <v>168</v>
      </c>
      <c r="E336" s="6" t="s">
        <v>184</v>
      </c>
      <c r="F336" s="13" t="n">
        <v>45141</v>
      </c>
      <c r="G336" s="13" t="n">
        <v>45233</v>
      </c>
      <c r="H336" s="14" t="n">
        <v>178906.23</v>
      </c>
      <c r="I336" s="6" t="n">
        <v>2</v>
      </c>
      <c r="J336" s="6" t="n">
        <v>531</v>
      </c>
      <c r="K336" s="6" t="s">
        <v>160</v>
      </c>
      <c r="L336" s="14" t="n">
        <v>43190.46</v>
      </c>
      <c r="M336" s="22" t="n">
        <v>1.188</v>
      </c>
      <c r="N336" s="14" t="n">
        <v>51310.27</v>
      </c>
      <c r="O336" s="14" t="n">
        <v>8119.81</v>
      </c>
      <c r="P336" s="21" t="n">
        <v>0.093</v>
      </c>
      <c r="Q336" s="6" t="n">
        <v>92</v>
      </c>
      <c r="R336" s="6" t="s">
        <v>155</v>
      </c>
      <c r="S336" s="21" t="n">
        <v>0.956</v>
      </c>
      <c r="T336" s="14" t="n">
        <v>49052.62</v>
      </c>
      <c r="U336" s="6" t="s">
        <v>30</v>
      </c>
    </row>
    <row r="337" customFormat="false" ht="15" hidden="false" customHeight="true" outlineLevel="0" collapsed="false">
      <c r="A337" s="6" t="s">
        <v>867</v>
      </c>
      <c r="B337" s="6" t="s">
        <v>868</v>
      </c>
      <c r="C337" s="6" t="s">
        <v>124</v>
      </c>
      <c r="D337" s="6" t="s">
        <v>243</v>
      </c>
      <c r="E337" s="6" t="s">
        <v>207</v>
      </c>
      <c r="F337" s="13" t="n">
        <v>45390</v>
      </c>
      <c r="G337" s="13" t="n">
        <v>45496</v>
      </c>
      <c r="H337" s="14" t="n">
        <v>239960.08</v>
      </c>
      <c r="I337" s="6" t="n">
        <v>1</v>
      </c>
      <c r="J337" s="6" t="n">
        <v>552</v>
      </c>
      <c r="K337" s="6" t="s">
        <v>154</v>
      </c>
      <c r="L337" s="14" t="n">
        <v>42308.04</v>
      </c>
      <c r="M337" s="22" t="n">
        <v>1.265</v>
      </c>
      <c r="N337" s="14" t="n">
        <v>53519.67</v>
      </c>
      <c r="O337" s="14" t="n">
        <v>11211.63</v>
      </c>
      <c r="P337" s="21" t="n">
        <v>0.063</v>
      </c>
      <c r="Q337" s="6" t="n">
        <v>106</v>
      </c>
      <c r="R337" s="6" t="s">
        <v>155</v>
      </c>
      <c r="S337" s="21" t="n">
        <v>0.704</v>
      </c>
      <c r="T337" s="14" t="n">
        <v>37677.85</v>
      </c>
      <c r="U337" s="6" t="s">
        <v>38</v>
      </c>
    </row>
    <row r="338" customFormat="false" ht="15" hidden="false" customHeight="true" outlineLevel="0" collapsed="false">
      <c r="A338" s="6" t="s">
        <v>869</v>
      </c>
      <c r="B338" s="6" t="s">
        <v>870</v>
      </c>
      <c r="C338" s="6" t="s">
        <v>128</v>
      </c>
      <c r="D338" s="6" t="s">
        <v>401</v>
      </c>
      <c r="E338" s="6" t="s">
        <v>184</v>
      </c>
      <c r="F338" s="13" t="n">
        <v>45433</v>
      </c>
      <c r="G338" s="13" t="n">
        <v>45497</v>
      </c>
      <c r="H338" s="14" t="n">
        <v>113242.91</v>
      </c>
      <c r="I338" s="6" t="n">
        <v>1</v>
      </c>
      <c r="J338" s="6" t="n">
        <v>513</v>
      </c>
      <c r="K338" s="6" t="s">
        <v>185</v>
      </c>
      <c r="L338" s="14" t="n">
        <v>19316.3</v>
      </c>
      <c r="M338" s="22" t="n">
        <v>1.242</v>
      </c>
      <c r="N338" s="14" t="n">
        <v>23990.84</v>
      </c>
      <c r="O338" s="14" t="n">
        <v>4674.54</v>
      </c>
      <c r="P338" s="21" t="n">
        <v>0.098</v>
      </c>
      <c r="Q338" s="6" t="n">
        <v>64</v>
      </c>
      <c r="R338" s="6" t="s">
        <v>161</v>
      </c>
      <c r="S338" s="21" t="n">
        <v>1</v>
      </c>
      <c r="T338" s="14" t="n">
        <v>23990.84</v>
      </c>
      <c r="U338" s="6" t="s">
        <v>39</v>
      </c>
    </row>
    <row r="339" customFormat="false" ht="15" hidden="false" customHeight="true" outlineLevel="0" collapsed="false">
      <c r="A339" s="6" t="s">
        <v>871</v>
      </c>
      <c r="B339" s="6" t="s">
        <v>872</v>
      </c>
      <c r="C339" s="6" t="s">
        <v>116</v>
      </c>
      <c r="D339" s="6" t="s">
        <v>152</v>
      </c>
      <c r="E339" s="6" t="s">
        <v>219</v>
      </c>
      <c r="F339" s="13" t="n">
        <v>45061</v>
      </c>
      <c r="G339" s="13" t="n">
        <v>45121</v>
      </c>
      <c r="H339" s="14" t="n">
        <v>137466.42</v>
      </c>
      <c r="I339" s="6" t="n">
        <v>0</v>
      </c>
      <c r="J339" s="6" t="n">
        <v>546</v>
      </c>
      <c r="K339" s="6" t="s">
        <v>185</v>
      </c>
      <c r="L339" s="14" t="n">
        <v>26789.79</v>
      </c>
      <c r="M339" s="22" t="n">
        <v>1.342</v>
      </c>
      <c r="N339" s="14" t="n">
        <v>35951.9</v>
      </c>
      <c r="O339" s="14" t="n">
        <v>9162.11</v>
      </c>
      <c r="P339" s="21" t="n">
        <v>0.14</v>
      </c>
      <c r="Q339" s="6" t="n">
        <v>60</v>
      </c>
      <c r="R339" s="6" t="s">
        <v>155</v>
      </c>
      <c r="S339" s="21" t="n">
        <v>0.98</v>
      </c>
      <c r="T339" s="14" t="n">
        <v>35232.86</v>
      </c>
      <c r="U339" s="6" t="s">
        <v>27</v>
      </c>
    </row>
    <row r="340" customFormat="false" ht="15" hidden="false" customHeight="true" outlineLevel="0" collapsed="false">
      <c r="A340" s="6" t="s">
        <v>873</v>
      </c>
      <c r="B340" s="6" t="s">
        <v>874</v>
      </c>
      <c r="C340" s="6" t="s">
        <v>124</v>
      </c>
      <c r="D340" s="6" t="s">
        <v>243</v>
      </c>
      <c r="E340" s="6" t="s">
        <v>288</v>
      </c>
      <c r="F340" s="13" t="n">
        <v>45096</v>
      </c>
      <c r="G340" s="13" t="n">
        <v>45246</v>
      </c>
      <c r="H340" s="14" t="n">
        <v>237986.85</v>
      </c>
      <c r="I340" s="6" t="n">
        <v>0</v>
      </c>
      <c r="J340" s="6" t="n">
        <v>709</v>
      </c>
      <c r="K340" s="6" t="s">
        <v>154</v>
      </c>
      <c r="L340" s="14" t="n">
        <v>80341.29</v>
      </c>
      <c r="M340" s="22" t="n">
        <v>1.111</v>
      </c>
      <c r="N340" s="14" t="n">
        <v>89259.17</v>
      </c>
      <c r="O340" s="14" t="n">
        <v>8917.88</v>
      </c>
      <c r="P340" s="21" t="n">
        <v>0.075</v>
      </c>
      <c r="Q340" s="6" t="n">
        <v>150</v>
      </c>
      <c r="R340" s="6" t="s">
        <v>490</v>
      </c>
      <c r="S340" s="21" t="n">
        <v>0.539</v>
      </c>
      <c r="T340" s="14" t="n">
        <v>48110.69</v>
      </c>
      <c r="U340" s="6" t="s">
        <v>28</v>
      </c>
    </row>
    <row r="341" customFormat="false" ht="15" hidden="false" customHeight="true" outlineLevel="0" collapsed="false">
      <c r="A341" s="6" t="s">
        <v>875</v>
      </c>
      <c r="B341" s="6" t="s">
        <v>876</v>
      </c>
      <c r="C341" s="6" t="s">
        <v>124</v>
      </c>
      <c r="D341" s="6" t="s">
        <v>238</v>
      </c>
      <c r="E341" s="6" t="s">
        <v>326</v>
      </c>
      <c r="F341" s="13" t="n">
        <v>45269</v>
      </c>
      <c r="G341" s="13" t="n">
        <v>45359</v>
      </c>
      <c r="H341" s="14" t="n">
        <v>176849.54</v>
      </c>
      <c r="I341" s="6" t="n">
        <v>2</v>
      </c>
      <c r="J341" s="6" t="n">
        <v>582</v>
      </c>
      <c r="K341" s="6" t="s">
        <v>154</v>
      </c>
      <c r="L341" s="14" t="n">
        <v>54831.4</v>
      </c>
      <c r="M341" s="22" t="n">
        <v>1.101</v>
      </c>
      <c r="N341" s="14" t="n">
        <v>60369.37</v>
      </c>
      <c r="O341" s="14" t="n">
        <v>5537.97</v>
      </c>
      <c r="P341" s="21" t="n">
        <v>0.113</v>
      </c>
      <c r="Q341" s="6" t="n">
        <v>90</v>
      </c>
      <c r="R341" s="6" t="s">
        <v>155</v>
      </c>
      <c r="S341" s="21" t="n">
        <v>0.962</v>
      </c>
      <c r="T341" s="14" t="n">
        <v>58075.33</v>
      </c>
      <c r="U341" s="6" t="s">
        <v>34</v>
      </c>
    </row>
    <row r="342" customFormat="false" ht="15" hidden="false" customHeight="true" outlineLevel="0" collapsed="false">
      <c r="A342" s="6" t="s">
        <v>877</v>
      </c>
      <c r="B342" s="6" t="s">
        <v>878</v>
      </c>
      <c r="C342" s="6" t="s">
        <v>112</v>
      </c>
      <c r="D342" s="6" t="s">
        <v>164</v>
      </c>
      <c r="E342" s="6" t="s">
        <v>288</v>
      </c>
      <c r="F342" s="13" t="n">
        <v>45133</v>
      </c>
      <c r="G342" s="13" t="n">
        <v>45193</v>
      </c>
      <c r="H342" s="14" t="n">
        <v>217304.18</v>
      </c>
      <c r="I342" s="6" t="n">
        <v>2</v>
      </c>
      <c r="J342" s="6" t="n">
        <v>815</v>
      </c>
      <c r="K342" s="6" t="s">
        <v>185</v>
      </c>
      <c r="L342" s="14" t="n">
        <v>51963.13</v>
      </c>
      <c r="M342" s="22" t="n">
        <v>1.139</v>
      </c>
      <c r="N342" s="14" t="n">
        <v>59186.01</v>
      </c>
      <c r="O342" s="14" t="n">
        <v>7222.88</v>
      </c>
      <c r="P342" s="21" t="n">
        <v>0.167</v>
      </c>
      <c r="Q342" s="6" t="n">
        <v>60</v>
      </c>
      <c r="R342" s="6" t="s">
        <v>161</v>
      </c>
      <c r="S342" s="21" t="n">
        <v>1</v>
      </c>
      <c r="T342" s="14" t="n">
        <v>59186.01</v>
      </c>
      <c r="U342" s="6" t="s">
        <v>29</v>
      </c>
    </row>
    <row r="343" customFormat="false" ht="15" hidden="false" customHeight="true" outlineLevel="0" collapsed="false">
      <c r="A343" s="6" t="s">
        <v>879</v>
      </c>
      <c r="B343" s="6" t="s">
        <v>880</v>
      </c>
      <c r="C343" s="6" t="s">
        <v>124</v>
      </c>
      <c r="D343" s="6" t="s">
        <v>180</v>
      </c>
      <c r="E343" s="6" t="s">
        <v>184</v>
      </c>
      <c r="F343" s="13" t="n">
        <v>44763</v>
      </c>
      <c r="G343" s="13" t="n">
        <v>44879</v>
      </c>
      <c r="H343" s="14" t="n">
        <v>45986.21</v>
      </c>
      <c r="I343" s="6" t="n">
        <v>3</v>
      </c>
      <c r="J343" s="6" t="n">
        <v>628</v>
      </c>
      <c r="K343" s="6" t="s">
        <v>154</v>
      </c>
      <c r="L343" s="14" t="n">
        <v>10640.91</v>
      </c>
      <c r="M343" s="22" t="n">
        <v>1.205</v>
      </c>
      <c r="N343" s="14" t="n">
        <v>12822.3</v>
      </c>
      <c r="O343" s="14" t="n">
        <v>2181.39</v>
      </c>
      <c r="P343" s="21" t="n">
        <v>0.072</v>
      </c>
      <c r="Q343" s="6" t="n">
        <v>116</v>
      </c>
      <c r="R343" s="6" t="s">
        <v>161</v>
      </c>
      <c r="S343" s="21" t="n">
        <v>1</v>
      </c>
      <c r="T343" s="14" t="n">
        <v>12822.3</v>
      </c>
      <c r="U343" s="6" t="s">
        <v>17</v>
      </c>
    </row>
    <row r="344" customFormat="false" ht="15" hidden="false" customHeight="true" outlineLevel="0" collapsed="false">
      <c r="A344" s="6" t="s">
        <v>881</v>
      </c>
      <c r="B344" s="6" t="s">
        <v>882</v>
      </c>
      <c r="C344" s="6" t="s">
        <v>116</v>
      </c>
      <c r="D344" s="6" t="s">
        <v>222</v>
      </c>
      <c r="E344" s="6" t="s">
        <v>299</v>
      </c>
      <c r="F344" s="13" t="n">
        <v>45057</v>
      </c>
      <c r="G344" s="13" t="n">
        <v>45149</v>
      </c>
      <c r="H344" s="14" t="n">
        <v>86099.26</v>
      </c>
      <c r="I344" s="6" t="n">
        <v>0</v>
      </c>
      <c r="J344" s="6" t="n">
        <v>786</v>
      </c>
      <c r="K344" s="6" t="s">
        <v>160</v>
      </c>
      <c r="L344" s="14" t="n">
        <v>22782.34</v>
      </c>
      <c r="M344" s="22" t="n">
        <v>1.265</v>
      </c>
      <c r="N344" s="14" t="n">
        <v>28819.66</v>
      </c>
      <c r="O344" s="14" t="n">
        <v>6037.32</v>
      </c>
      <c r="P344" s="21" t="n">
        <v>0.108</v>
      </c>
      <c r="Q344" s="6" t="n">
        <v>92</v>
      </c>
      <c r="R344" s="6" t="s">
        <v>155</v>
      </c>
      <c r="S344" s="21" t="n">
        <v>0.98</v>
      </c>
      <c r="T344" s="14" t="n">
        <v>28243.27</v>
      </c>
      <c r="U344" s="6" t="s">
        <v>27</v>
      </c>
    </row>
    <row r="345" customFormat="false" ht="15" hidden="false" customHeight="true" outlineLevel="0" collapsed="false">
      <c r="A345" s="6" t="s">
        <v>883</v>
      </c>
      <c r="B345" s="6" t="s">
        <v>884</v>
      </c>
      <c r="C345" s="6" t="s">
        <v>120</v>
      </c>
      <c r="D345" s="6" t="s">
        <v>210</v>
      </c>
      <c r="E345" s="6" t="s">
        <v>304</v>
      </c>
      <c r="F345" s="13" t="n">
        <v>45749</v>
      </c>
      <c r="G345" s="13" t="n">
        <v>45818</v>
      </c>
      <c r="H345" s="14" t="n">
        <v>95936.33</v>
      </c>
      <c r="I345" s="6" t="n">
        <v>2</v>
      </c>
      <c r="J345" s="6" t="n">
        <v>664</v>
      </c>
      <c r="K345" s="6" t="s">
        <v>185</v>
      </c>
      <c r="L345" s="14" t="n">
        <v>16651.79</v>
      </c>
      <c r="M345" s="22" t="n">
        <v>1.119</v>
      </c>
      <c r="N345" s="14" t="n">
        <v>18633.35</v>
      </c>
      <c r="O345" s="14" t="n">
        <v>1981.56</v>
      </c>
      <c r="P345" s="21" t="n">
        <v>0.084</v>
      </c>
      <c r="Q345" s="6" t="n">
        <v>69</v>
      </c>
      <c r="R345" s="6" t="s">
        <v>309</v>
      </c>
      <c r="S345" s="21" t="n">
        <v>0.111</v>
      </c>
      <c r="T345" s="14" t="n">
        <v>2068.3</v>
      </c>
      <c r="U345" s="6" t="s">
        <v>50</v>
      </c>
    </row>
    <row r="346" customFormat="false" ht="15" hidden="false" customHeight="true" outlineLevel="0" collapsed="false">
      <c r="A346" s="6" t="s">
        <v>885</v>
      </c>
      <c r="B346" s="6" t="s">
        <v>886</v>
      </c>
      <c r="C346" s="6" t="s">
        <v>124</v>
      </c>
      <c r="D346" s="6" t="s">
        <v>180</v>
      </c>
      <c r="E346" s="6" t="s">
        <v>254</v>
      </c>
      <c r="F346" s="13" t="n">
        <v>46103</v>
      </c>
      <c r="G346" s="13" t="n">
        <v>46163</v>
      </c>
      <c r="H346" s="14" t="n">
        <v>228939.85</v>
      </c>
      <c r="I346" s="6" t="n">
        <v>2</v>
      </c>
      <c r="J346" s="6" t="n">
        <v>567</v>
      </c>
      <c r="K346" s="6" t="s">
        <v>154</v>
      </c>
      <c r="L346" s="14" t="n">
        <v>49772.46</v>
      </c>
      <c r="M346" s="22" t="n">
        <v>1.204</v>
      </c>
      <c r="N346" s="14" t="n">
        <v>59926.04</v>
      </c>
      <c r="O346" s="14" t="n">
        <v>10153.58</v>
      </c>
      <c r="P346" s="21" t="n">
        <v>0.142</v>
      </c>
      <c r="Q346" s="6" t="n">
        <v>60</v>
      </c>
      <c r="R346" s="6" t="s">
        <v>155</v>
      </c>
      <c r="S346" s="21" t="n">
        <v>0.791</v>
      </c>
      <c r="T346" s="14" t="n">
        <v>47401.5</v>
      </c>
      <c r="U346" s="6" t="s">
        <v>61</v>
      </c>
    </row>
    <row r="347" customFormat="false" ht="15" hidden="false" customHeight="true" outlineLevel="0" collapsed="false">
      <c r="A347" s="6" t="s">
        <v>887</v>
      </c>
      <c r="B347" s="6" t="s">
        <v>888</v>
      </c>
      <c r="C347" s="6" t="s">
        <v>131</v>
      </c>
      <c r="D347" s="6" t="s">
        <v>200</v>
      </c>
      <c r="E347" s="6" t="s">
        <v>211</v>
      </c>
      <c r="F347" s="13" t="n">
        <v>44619</v>
      </c>
      <c r="G347" s="13" t="n">
        <v>44679</v>
      </c>
      <c r="H347" s="14" t="n">
        <v>180565.08</v>
      </c>
      <c r="I347" s="6" t="n">
        <v>2</v>
      </c>
      <c r="J347" s="6" t="n">
        <v>549</v>
      </c>
      <c r="K347" s="6" t="s">
        <v>160</v>
      </c>
      <c r="L347" s="14" t="n">
        <v>21688.75</v>
      </c>
      <c r="M347" s="22" t="n">
        <v>1.184</v>
      </c>
      <c r="N347" s="14" t="n">
        <v>25679.48</v>
      </c>
      <c r="O347" s="14" t="n">
        <v>3990.73</v>
      </c>
      <c r="P347" s="21" t="n">
        <v>0.133</v>
      </c>
      <c r="Q347" s="6" t="n">
        <v>60</v>
      </c>
      <c r="R347" s="6" t="s">
        <v>155</v>
      </c>
      <c r="S347" s="21" t="n">
        <v>0.904</v>
      </c>
      <c r="T347" s="14" t="n">
        <v>23214.25</v>
      </c>
      <c r="U347" s="6" t="s">
        <v>12</v>
      </c>
    </row>
    <row r="348" customFormat="false" ht="15" hidden="false" customHeight="true" outlineLevel="0" collapsed="false">
      <c r="A348" s="6" t="s">
        <v>889</v>
      </c>
      <c r="B348" s="6" t="s">
        <v>890</v>
      </c>
      <c r="C348" s="6" t="s">
        <v>131</v>
      </c>
      <c r="D348" s="6" t="s">
        <v>152</v>
      </c>
      <c r="E348" s="6" t="s">
        <v>169</v>
      </c>
      <c r="F348" s="13" t="n">
        <v>46155</v>
      </c>
      <c r="G348" s="13" t="n">
        <v>46224</v>
      </c>
      <c r="H348" s="14" t="n">
        <v>124656.7</v>
      </c>
      <c r="I348" s="6" t="n">
        <v>1</v>
      </c>
      <c r="J348" s="6" t="n">
        <v>622</v>
      </c>
      <c r="K348" s="6" t="s">
        <v>154</v>
      </c>
      <c r="L348" s="14" t="n">
        <v>21850.71</v>
      </c>
      <c r="M348" s="22" t="n">
        <v>1.141</v>
      </c>
      <c r="N348" s="14" t="n">
        <v>24931.66</v>
      </c>
      <c r="O348" s="14" t="n">
        <v>3080.95</v>
      </c>
      <c r="P348" s="21" t="n">
        <v>0.086</v>
      </c>
      <c r="Q348" s="6" t="n">
        <v>69</v>
      </c>
      <c r="R348" s="6" t="s">
        <v>161</v>
      </c>
      <c r="S348" s="21" t="n">
        <v>1</v>
      </c>
      <c r="T348" s="14" t="n">
        <v>24931.66</v>
      </c>
      <c r="U348" s="6" t="s">
        <v>63</v>
      </c>
    </row>
    <row r="349" customFormat="false" ht="15" hidden="false" customHeight="true" outlineLevel="0" collapsed="false">
      <c r="A349" s="6" t="s">
        <v>891</v>
      </c>
      <c r="B349" s="6" t="s">
        <v>892</v>
      </c>
      <c r="C349" s="6" t="s">
        <v>131</v>
      </c>
      <c r="D349" s="6" t="s">
        <v>152</v>
      </c>
      <c r="E349" s="6" t="s">
        <v>177</v>
      </c>
      <c r="F349" s="13" t="n">
        <v>45663</v>
      </c>
      <c r="G349" s="13" t="n">
        <v>45723</v>
      </c>
      <c r="H349" s="14" t="n">
        <v>168747.07</v>
      </c>
      <c r="I349" s="6" t="n">
        <v>1</v>
      </c>
      <c r="J349" s="6" t="n">
        <v>532</v>
      </c>
      <c r="K349" s="6" t="s">
        <v>160</v>
      </c>
      <c r="L349" s="14" t="n">
        <v>36253.5</v>
      </c>
      <c r="M349" s="22" t="n">
        <v>1.34</v>
      </c>
      <c r="N349" s="14" t="n">
        <v>48579.69</v>
      </c>
      <c r="O349" s="14" t="n">
        <v>12326.19</v>
      </c>
      <c r="P349" s="21" t="n">
        <v>0.16</v>
      </c>
      <c r="Q349" s="6" t="n">
        <v>60</v>
      </c>
      <c r="R349" s="6" t="s">
        <v>155</v>
      </c>
      <c r="S349" s="21" t="n">
        <v>0.98</v>
      </c>
      <c r="T349" s="14" t="n">
        <v>47608.1</v>
      </c>
      <c r="U349" s="6" t="s">
        <v>47</v>
      </c>
    </row>
    <row r="350" customFormat="false" ht="15" hidden="false" customHeight="true" outlineLevel="0" collapsed="false">
      <c r="A350" s="6" t="s">
        <v>893</v>
      </c>
      <c r="B350" s="6" t="s">
        <v>894</v>
      </c>
      <c r="C350" s="6" t="s">
        <v>112</v>
      </c>
      <c r="D350" s="6" t="s">
        <v>225</v>
      </c>
      <c r="E350" s="6" t="s">
        <v>169</v>
      </c>
      <c r="F350" s="13" t="n">
        <v>45860</v>
      </c>
      <c r="G350" s="13" t="n">
        <v>45962</v>
      </c>
      <c r="H350" s="14" t="n">
        <v>81268.13</v>
      </c>
      <c r="I350" s="6" t="n">
        <v>0</v>
      </c>
      <c r="J350" s="6" t="n">
        <v>578</v>
      </c>
      <c r="K350" s="6" t="s">
        <v>185</v>
      </c>
      <c r="L350" s="14" t="n">
        <v>19623.44</v>
      </c>
      <c r="M350" s="22" t="n">
        <v>1.291</v>
      </c>
      <c r="N350" s="14" t="n">
        <v>25333.86</v>
      </c>
      <c r="O350" s="14" t="n">
        <v>5710.42</v>
      </c>
      <c r="P350" s="21" t="n">
        <v>0.091</v>
      </c>
      <c r="Q350" s="6" t="n">
        <v>102</v>
      </c>
      <c r="R350" s="6" t="s">
        <v>155</v>
      </c>
      <c r="S350" s="21" t="n">
        <v>0.867</v>
      </c>
      <c r="T350" s="14" t="n">
        <v>21964.46</v>
      </c>
      <c r="U350" s="6" t="s">
        <v>53</v>
      </c>
    </row>
    <row r="351" customFormat="false" ht="15" hidden="false" customHeight="true" outlineLevel="0" collapsed="false">
      <c r="A351" s="6" t="s">
        <v>895</v>
      </c>
      <c r="B351" s="6" t="s">
        <v>896</v>
      </c>
      <c r="C351" s="6" t="s">
        <v>131</v>
      </c>
      <c r="D351" s="6" t="s">
        <v>176</v>
      </c>
      <c r="E351" s="6" t="s">
        <v>169</v>
      </c>
      <c r="F351" s="13" t="n">
        <v>44896</v>
      </c>
      <c r="G351" s="13" t="n">
        <v>44974</v>
      </c>
      <c r="H351" s="14" t="n">
        <v>82730.57</v>
      </c>
      <c r="I351" s="6" t="n">
        <v>1</v>
      </c>
      <c r="J351" s="6" t="n">
        <v>813</v>
      </c>
      <c r="K351" s="6" t="s">
        <v>160</v>
      </c>
      <c r="L351" s="14" t="n">
        <v>17920.17</v>
      </c>
      <c r="M351" s="22" t="n">
        <v>1.343</v>
      </c>
      <c r="N351" s="14" t="n">
        <v>24066.79</v>
      </c>
      <c r="O351" s="14" t="n">
        <v>6146.62</v>
      </c>
      <c r="P351" s="21" t="n">
        <v>0.111</v>
      </c>
      <c r="Q351" s="6" t="n">
        <v>78</v>
      </c>
      <c r="R351" s="6" t="s">
        <v>155</v>
      </c>
      <c r="S351" s="21" t="n">
        <v>0.966</v>
      </c>
      <c r="T351" s="14" t="n">
        <v>23248.52</v>
      </c>
      <c r="U351" s="6" t="s">
        <v>22</v>
      </c>
    </row>
    <row r="352" customFormat="false" ht="15" hidden="false" customHeight="true" outlineLevel="0" collapsed="false">
      <c r="A352" s="6" t="s">
        <v>897</v>
      </c>
      <c r="B352" s="6" t="s">
        <v>898</v>
      </c>
      <c r="C352" s="6" t="s">
        <v>116</v>
      </c>
      <c r="D352" s="6" t="s">
        <v>206</v>
      </c>
      <c r="E352" s="6" t="s">
        <v>288</v>
      </c>
      <c r="F352" s="13" t="n">
        <v>45183</v>
      </c>
      <c r="G352" s="13" t="n">
        <v>45286</v>
      </c>
      <c r="H352" s="14" t="n">
        <v>86814.87</v>
      </c>
      <c r="I352" s="6" t="n">
        <v>1</v>
      </c>
      <c r="J352" s="6" t="n">
        <v>652</v>
      </c>
      <c r="K352" s="6" t="s">
        <v>185</v>
      </c>
      <c r="L352" s="14" t="n">
        <v>24934.32</v>
      </c>
      <c r="M352" s="22" t="n">
        <v>1.332</v>
      </c>
      <c r="N352" s="14" t="n">
        <v>33212.51</v>
      </c>
      <c r="O352" s="14" t="n">
        <v>8278.19</v>
      </c>
      <c r="P352" s="21" t="n">
        <v>0.111</v>
      </c>
      <c r="Q352" s="6" t="n">
        <v>103</v>
      </c>
      <c r="R352" s="6" t="s">
        <v>161</v>
      </c>
      <c r="S352" s="21" t="n">
        <v>1</v>
      </c>
      <c r="T352" s="14" t="n">
        <v>33212.51</v>
      </c>
      <c r="U352" s="6" t="s">
        <v>31</v>
      </c>
    </row>
    <row r="353" customFormat="false" ht="15" hidden="false" customHeight="true" outlineLevel="0" collapsed="false">
      <c r="A353" s="6" t="s">
        <v>899</v>
      </c>
      <c r="B353" s="6" t="s">
        <v>900</v>
      </c>
      <c r="C353" s="6" t="s">
        <v>112</v>
      </c>
      <c r="D353" s="6" t="s">
        <v>164</v>
      </c>
      <c r="E353" s="6" t="s">
        <v>181</v>
      </c>
      <c r="F353" s="13" t="n">
        <v>44714</v>
      </c>
      <c r="G353" s="13" t="n">
        <v>44866</v>
      </c>
      <c r="H353" s="14" t="n">
        <v>199402.63</v>
      </c>
      <c r="I353" s="6" t="n">
        <v>0</v>
      </c>
      <c r="J353" s="6" t="n">
        <v>679</v>
      </c>
      <c r="K353" s="6" t="s">
        <v>160</v>
      </c>
      <c r="L353" s="14" t="n">
        <v>72566.07</v>
      </c>
      <c r="M353" s="22" t="n">
        <v>1.199</v>
      </c>
      <c r="N353" s="14" t="n">
        <v>87006.72</v>
      </c>
      <c r="O353" s="14" t="n">
        <v>14440.65</v>
      </c>
      <c r="P353" s="21" t="n">
        <v>0.086</v>
      </c>
      <c r="Q353" s="6" t="n">
        <v>152</v>
      </c>
      <c r="R353" s="6" t="s">
        <v>155</v>
      </c>
      <c r="S353" s="21" t="n">
        <v>0.814</v>
      </c>
      <c r="T353" s="14" t="n">
        <v>70823.47</v>
      </c>
      <c r="U353" s="6" t="s">
        <v>16</v>
      </c>
    </row>
    <row r="354" customFormat="false" ht="15" hidden="false" customHeight="true" outlineLevel="0" collapsed="false">
      <c r="A354" s="6" t="s">
        <v>901</v>
      </c>
      <c r="B354" s="6" t="s">
        <v>902</v>
      </c>
      <c r="C354" s="6" t="s">
        <v>124</v>
      </c>
      <c r="D354" s="6" t="s">
        <v>238</v>
      </c>
      <c r="E354" s="6" t="s">
        <v>288</v>
      </c>
      <c r="F354" s="13" t="n">
        <v>44609</v>
      </c>
      <c r="G354" s="13" t="n">
        <v>44688</v>
      </c>
      <c r="H354" s="14" t="n">
        <v>85746.65</v>
      </c>
      <c r="I354" s="6" t="n">
        <v>0</v>
      </c>
      <c r="J354" s="6" t="n">
        <v>616</v>
      </c>
      <c r="K354" s="6" t="s">
        <v>160</v>
      </c>
      <c r="L354" s="14" t="n">
        <v>29152.1</v>
      </c>
      <c r="M354" s="22" t="n">
        <v>1.149</v>
      </c>
      <c r="N354" s="14" t="n">
        <v>33495.76</v>
      </c>
      <c r="O354" s="14" t="n">
        <v>4343.66</v>
      </c>
      <c r="P354" s="21" t="n">
        <v>0.147</v>
      </c>
      <c r="Q354" s="6" t="n">
        <v>79</v>
      </c>
      <c r="R354" s="6" t="s">
        <v>155</v>
      </c>
      <c r="S354" s="21" t="n">
        <v>0.925</v>
      </c>
      <c r="T354" s="14" t="n">
        <v>30983.58</v>
      </c>
      <c r="U354" s="6" t="s">
        <v>12</v>
      </c>
    </row>
    <row r="355" customFormat="false" ht="15" hidden="false" customHeight="true" outlineLevel="0" collapsed="false">
      <c r="A355" s="6" t="s">
        <v>903</v>
      </c>
      <c r="B355" s="6" t="s">
        <v>904</v>
      </c>
      <c r="C355" s="6" t="s">
        <v>128</v>
      </c>
      <c r="D355" s="6" t="s">
        <v>172</v>
      </c>
      <c r="E355" s="6" t="s">
        <v>189</v>
      </c>
      <c r="F355" s="13" t="n">
        <v>46075</v>
      </c>
      <c r="G355" s="13" t="n">
        <v>46175</v>
      </c>
      <c r="H355" s="14" t="n">
        <v>231244.25</v>
      </c>
      <c r="I355" s="6" t="n">
        <v>1</v>
      </c>
      <c r="J355" s="6" t="n">
        <v>818</v>
      </c>
      <c r="K355" s="6" t="s">
        <v>154</v>
      </c>
      <c r="L355" s="14" t="n">
        <v>73145.02</v>
      </c>
      <c r="M355" s="22" t="n">
        <v>1.155</v>
      </c>
      <c r="N355" s="14" t="n">
        <v>84482.5</v>
      </c>
      <c r="O355" s="14" t="n">
        <v>11337.48</v>
      </c>
      <c r="P355" s="21" t="n">
        <v>0.109</v>
      </c>
      <c r="Q355" s="6" t="n">
        <v>100</v>
      </c>
      <c r="R355" s="6" t="s">
        <v>155</v>
      </c>
      <c r="S355" s="21" t="n">
        <v>0.816</v>
      </c>
      <c r="T355" s="14" t="n">
        <v>68937.72</v>
      </c>
      <c r="U355" s="6" t="s">
        <v>60</v>
      </c>
    </row>
    <row r="356" customFormat="false" ht="15" hidden="false" customHeight="true" outlineLevel="0" collapsed="false">
      <c r="A356" s="6" t="s">
        <v>905</v>
      </c>
      <c r="B356" s="6" t="s">
        <v>906</v>
      </c>
      <c r="C356" s="6" t="s">
        <v>116</v>
      </c>
      <c r="D356" s="6" t="s">
        <v>152</v>
      </c>
      <c r="E356" s="6" t="s">
        <v>192</v>
      </c>
      <c r="F356" s="13" t="n">
        <v>45207</v>
      </c>
      <c r="G356" s="13" t="n">
        <v>45354</v>
      </c>
      <c r="H356" s="14" t="n">
        <v>51943.99</v>
      </c>
      <c r="I356" s="6" t="n">
        <v>0</v>
      </c>
      <c r="J356" s="6" t="n">
        <v>693</v>
      </c>
      <c r="K356" s="6" t="s">
        <v>154</v>
      </c>
      <c r="L356" s="14" t="n">
        <v>17773.76</v>
      </c>
      <c r="M356" s="22" t="n">
        <v>1.338</v>
      </c>
      <c r="N356" s="14" t="n">
        <v>23781.29</v>
      </c>
      <c r="O356" s="14" t="n">
        <v>6007.53</v>
      </c>
      <c r="P356" s="21" t="n">
        <v>0.093</v>
      </c>
      <c r="Q356" s="6" t="n">
        <v>147</v>
      </c>
      <c r="R356" s="6" t="s">
        <v>155</v>
      </c>
      <c r="S356" s="21" t="n">
        <v>0.93</v>
      </c>
      <c r="T356" s="14" t="n">
        <v>22116.6</v>
      </c>
      <c r="U356" s="6" t="s">
        <v>32</v>
      </c>
    </row>
    <row r="357" customFormat="false" ht="15" hidden="false" customHeight="true" outlineLevel="0" collapsed="false">
      <c r="A357" s="6" t="s">
        <v>907</v>
      </c>
      <c r="B357" s="6" t="s">
        <v>908</v>
      </c>
      <c r="C357" s="6" t="s">
        <v>112</v>
      </c>
      <c r="D357" s="6" t="s">
        <v>164</v>
      </c>
      <c r="E357" s="6" t="s">
        <v>177</v>
      </c>
      <c r="F357" s="13" t="n">
        <v>45527</v>
      </c>
      <c r="G357" s="13" t="n">
        <v>45587</v>
      </c>
      <c r="H357" s="14" t="n">
        <v>236867.09</v>
      </c>
      <c r="I357" s="6" t="n">
        <v>3</v>
      </c>
      <c r="J357" s="6" t="n">
        <v>639</v>
      </c>
      <c r="K357" s="6" t="s">
        <v>160</v>
      </c>
      <c r="L357" s="14" t="n">
        <v>43395.54</v>
      </c>
      <c r="M357" s="22" t="n">
        <v>1.256</v>
      </c>
      <c r="N357" s="14" t="n">
        <v>54504.8</v>
      </c>
      <c r="O357" s="14" t="n">
        <v>11109.26</v>
      </c>
      <c r="P357" s="21" t="n">
        <v>0.155</v>
      </c>
      <c r="Q357" s="6" t="n">
        <v>60</v>
      </c>
      <c r="R357" s="6" t="s">
        <v>155</v>
      </c>
      <c r="S357" s="21" t="n">
        <v>0.98</v>
      </c>
      <c r="T357" s="14" t="n">
        <v>53414.7</v>
      </c>
      <c r="U357" s="6" t="s">
        <v>42</v>
      </c>
    </row>
    <row r="358" customFormat="false" ht="15" hidden="false" customHeight="true" outlineLevel="0" collapsed="false">
      <c r="A358" s="6" t="s">
        <v>909</v>
      </c>
      <c r="B358" s="6" t="s">
        <v>910</v>
      </c>
      <c r="C358" s="6" t="s">
        <v>116</v>
      </c>
      <c r="D358" s="6" t="s">
        <v>222</v>
      </c>
      <c r="E358" s="6" t="s">
        <v>288</v>
      </c>
      <c r="F358" s="13" t="n">
        <v>44979</v>
      </c>
      <c r="G358" s="13" t="n">
        <v>45164</v>
      </c>
      <c r="H358" s="14" t="n">
        <v>50262.27</v>
      </c>
      <c r="I358" s="6" t="n">
        <v>1</v>
      </c>
      <c r="J358" s="6" t="n">
        <v>548</v>
      </c>
      <c r="K358" s="6" t="s">
        <v>160</v>
      </c>
      <c r="L358" s="14" t="n">
        <v>12991.39</v>
      </c>
      <c r="M358" s="22" t="n">
        <v>1.292</v>
      </c>
      <c r="N358" s="14" t="n">
        <v>16784.88</v>
      </c>
      <c r="O358" s="14" t="n">
        <v>3793.49</v>
      </c>
      <c r="P358" s="21" t="n">
        <v>0.054</v>
      </c>
      <c r="Q358" s="6" t="n">
        <v>185</v>
      </c>
      <c r="R358" s="6" t="s">
        <v>161</v>
      </c>
      <c r="S358" s="21" t="n">
        <v>1</v>
      </c>
      <c r="T358" s="14" t="n">
        <v>16784.88</v>
      </c>
      <c r="U358" s="6" t="s">
        <v>24</v>
      </c>
    </row>
    <row r="359" customFormat="false" ht="15" hidden="false" customHeight="true" outlineLevel="0" collapsed="false">
      <c r="A359" s="6" t="s">
        <v>911</v>
      </c>
      <c r="B359" s="6" t="s">
        <v>912</v>
      </c>
      <c r="C359" s="6" t="s">
        <v>112</v>
      </c>
      <c r="D359" s="6" t="s">
        <v>188</v>
      </c>
      <c r="E359" s="6" t="s">
        <v>192</v>
      </c>
      <c r="F359" s="13" t="n">
        <v>45771</v>
      </c>
      <c r="G359" s="13" t="n">
        <v>45868</v>
      </c>
      <c r="H359" s="14" t="n">
        <v>222634.14</v>
      </c>
      <c r="I359" s="6" t="n">
        <v>0</v>
      </c>
      <c r="J359" s="6" t="n">
        <v>572</v>
      </c>
      <c r="K359" s="6" t="s">
        <v>160</v>
      </c>
      <c r="L359" s="14" t="n">
        <v>62358.53</v>
      </c>
      <c r="M359" s="22" t="n">
        <v>1.272</v>
      </c>
      <c r="N359" s="14" t="n">
        <v>79320.05</v>
      </c>
      <c r="O359" s="14" t="n">
        <v>16961.52</v>
      </c>
      <c r="P359" s="21" t="n">
        <v>0.11</v>
      </c>
      <c r="Q359" s="6" t="n">
        <v>97</v>
      </c>
      <c r="R359" s="6" t="s">
        <v>161</v>
      </c>
      <c r="S359" s="21" t="n">
        <v>1</v>
      </c>
      <c r="T359" s="14" t="n">
        <v>79320.05</v>
      </c>
      <c r="U359" s="6" t="s">
        <v>50</v>
      </c>
    </row>
    <row r="360" customFormat="false" ht="15" hidden="false" customHeight="true" outlineLevel="0" collapsed="false">
      <c r="A360" s="6" t="s">
        <v>913</v>
      </c>
      <c r="B360" s="6" t="s">
        <v>914</v>
      </c>
      <c r="C360" s="6" t="s">
        <v>124</v>
      </c>
      <c r="D360" s="6" t="s">
        <v>180</v>
      </c>
      <c r="E360" s="6" t="s">
        <v>299</v>
      </c>
      <c r="F360" s="13" t="n">
        <v>46087</v>
      </c>
      <c r="G360" s="13" t="n">
        <v>46212</v>
      </c>
      <c r="H360" s="14" t="n">
        <v>160148.53</v>
      </c>
      <c r="I360" s="6" t="n">
        <v>3</v>
      </c>
      <c r="J360" s="6" t="n">
        <v>685</v>
      </c>
      <c r="K360" s="6" t="s">
        <v>185</v>
      </c>
      <c r="L360" s="14" t="n">
        <v>62270.55</v>
      </c>
      <c r="M360" s="22" t="n">
        <v>1.151</v>
      </c>
      <c r="N360" s="14" t="n">
        <v>71673.4</v>
      </c>
      <c r="O360" s="14" t="n">
        <v>9402.85</v>
      </c>
      <c r="P360" s="21" t="n">
        <v>0.107</v>
      </c>
      <c r="Q360" s="6" t="n">
        <v>125</v>
      </c>
      <c r="R360" s="6" t="s">
        <v>155</v>
      </c>
      <c r="S360" s="21" t="n">
        <v>0.969</v>
      </c>
      <c r="T360" s="14" t="n">
        <v>69451.52</v>
      </c>
      <c r="U360" s="6" t="s">
        <v>61</v>
      </c>
    </row>
    <row r="361" customFormat="false" ht="15" hidden="false" customHeight="true" outlineLevel="0" collapsed="false">
      <c r="A361" s="6" t="s">
        <v>915</v>
      </c>
      <c r="B361" s="6" t="s">
        <v>916</v>
      </c>
      <c r="C361" s="6" t="s">
        <v>131</v>
      </c>
      <c r="D361" s="6" t="s">
        <v>152</v>
      </c>
      <c r="E361" s="6" t="s">
        <v>153</v>
      </c>
      <c r="F361" s="13" t="n">
        <v>45666</v>
      </c>
      <c r="G361" s="13" t="n">
        <v>45740</v>
      </c>
      <c r="H361" s="14" t="n">
        <v>56079.86</v>
      </c>
      <c r="I361" s="6" t="n">
        <v>2</v>
      </c>
      <c r="J361" s="6" t="n">
        <v>668</v>
      </c>
      <c r="K361" s="6" t="s">
        <v>160</v>
      </c>
      <c r="L361" s="14" t="n">
        <v>15239.02</v>
      </c>
      <c r="M361" s="22" t="n">
        <v>1.093</v>
      </c>
      <c r="N361" s="14" t="n">
        <v>16656.25</v>
      </c>
      <c r="O361" s="14" t="n">
        <v>1417.23</v>
      </c>
      <c r="P361" s="21" t="n">
        <v>0.119</v>
      </c>
      <c r="Q361" s="6" t="n">
        <v>74</v>
      </c>
      <c r="R361" s="6" t="s">
        <v>155</v>
      </c>
      <c r="S361" s="21" t="n">
        <v>0.98</v>
      </c>
      <c r="T361" s="14" t="n">
        <v>16323.12</v>
      </c>
      <c r="U361" s="6" t="s">
        <v>47</v>
      </c>
    </row>
    <row r="362" customFormat="false" ht="15" hidden="false" customHeight="true" outlineLevel="0" collapsed="false">
      <c r="A362" s="6" t="s">
        <v>917</v>
      </c>
      <c r="B362" s="6" t="s">
        <v>918</v>
      </c>
      <c r="C362" s="6" t="s">
        <v>124</v>
      </c>
      <c r="D362" s="6" t="s">
        <v>180</v>
      </c>
      <c r="E362" s="6" t="s">
        <v>254</v>
      </c>
      <c r="F362" s="13" t="n">
        <v>46108</v>
      </c>
      <c r="G362" s="13" t="n">
        <v>46220</v>
      </c>
      <c r="H362" s="14" t="n">
        <v>182614.53</v>
      </c>
      <c r="I362" s="6" t="n">
        <v>0</v>
      </c>
      <c r="J362" s="6" t="n">
        <v>524</v>
      </c>
      <c r="K362" s="6" t="s">
        <v>160</v>
      </c>
      <c r="L362" s="14" t="n">
        <v>32706.86</v>
      </c>
      <c r="M362" s="22" t="n">
        <v>1.24</v>
      </c>
      <c r="N362" s="14" t="n">
        <v>40556.51</v>
      </c>
      <c r="O362" s="14" t="n">
        <v>7849.65</v>
      </c>
      <c r="P362" s="21" t="n">
        <v>0.059</v>
      </c>
      <c r="Q362" s="6" t="n">
        <v>112</v>
      </c>
      <c r="R362" s="6" t="s">
        <v>161</v>
      </c>
      <c r="S362" s="21" t="n">
        <v>1</v>
      </c>
      <c r="T362" s="14" t="n">
        <v>40556.51</v>
      </c>
      <c r="U362" s="6" t="s">
        <v>61</v>
      </c>
    </row>
    <row r="363" customFormat="false" ht="15" hidden="false" customHeight="true" outlineLevel="0" collapsed="false">
      <c r="A363" s="6" t="s">
        <v>919</v>
      </c>
      <c r="B363" s="6" t="s">
        <v>920</v>
      </c>
      <c r="C363" s="6" t="s">
        <v>131</v>
      </c>
      <c r="D363" s="6" t="s">
        <v>200</v>
      </c>
      <c r="E363" s="6" t="s">
        <v>201</v>
      </c>
      <c r="F363" s="13" t="n">
        <v>44817</v>
      </c>
      <c r="G363" s="13" t="n">
        <v>44929</v>
      </c>
      <c r="H363" s="14" t="n">
        <v>10606.11</v>
      </c>
      <c r="I363" s="6" t="n">
        <v>0</v>
      </c>
      <c r="J363" s="6" t="n">
        <v>600</v>
      </c>
      <c r="K363" s="6" t="s">
        <v>154</v>
      </c>
      <c r="L363" s="14" t="n">
        <v>3727.74</v>
      </c>
      <c r="M363" s="22" t="n">
        <v>1.143</v>
      </c>
      <c r="N363" s="14" t="n">
        <v>4260.81</v>
      </c>
      <c r="O363" s="14" t="n">
        <v>533.07</v>
      </c>
      <c r="P363" s="21" t="n">
        <v>0.107</v>
      </c>
      <c r="Q363" s="6" t="n">
        <v>112</v>
      </c>
      <c r="R363" s="6" t="s">
        <v>161</v>
      </c>
      <c r="S363" s="21" t="n">
        <v>1</v>
      </c>
      <c r="T363" s="14" t="n">
        <v>4260.81</v>
      </c>
      <c r="U363" s="6" t="s">
        <v>19</v>
      </c>
    </row>
    <row r="364" customFormat="false" ht="15" hidden="false" customHeight="true" outlineLevel="0" collapsed="false">
      <c r="A364" s="6" t="s">
        <v>921</v>
      </c>
      <c r="B364" s="6" t="s">
        <v>922</v>
      </c>
      <c r="C364" s="6" t="s">
        <v>124</v>
      </c>
      <c r="D364" s="6" t="s">
        <v>168</v>
      </c>
      <c r="E364" s="6" t="s">
        <v>304</v>
      </c>
      <c r="F364" s="13" t="n">
        <v>45076</v>
      </c>
      <c r="G364" s="13" t="n">
        <v>45179</v>
      </c>
      <c r="H364" s="14" t="n">
        <v>162410.5</v>
      </c>
      <c r="I364" s="6" t="n">
        <v>3</v>
      </c>
      <c r="J364" s="6" t="n">
        <v>590</v>
      </c>
      <c r="K364" s="6" t="s">
        <v>160</v>
      </c>
      <c r="L364" s="14" t="n">
        <v>65737.03</v>
      </c>
      <c r="M364" s="22" t="n">
        <v>1.169</v>
      </c>
      <c r="N364" s="14" t="n">
        <v>76846.59</v>
      </c>
      <c r="O364" s="14" t="n">
        <v>11109.56</v>
      </c>
      <c r="P364" s="21" t="n">
        <v>0.137</v>
      </c>
      <c r="Q364" s="6" t="n">
        <v>103</v>
      </c>
      <c r="R364" s="6" t="s">
        <v>490</v>
      </c>
      <c r="S364" s="21" t="n">
        <v>0.246</v>
      </c>
      <c r="T364" s="14" t="n">
        <v>18904.26</v>
      </c>
      <c r="U364" s="6" t="s">
        <v>27</v>
      </c>
    </row>
    <row r="365" customFormat="false" ht="15" hidden="false" customHeight="true" outlineLevel="0" collapsed="false">
      <c r="A365" s="6" t="s">
        <v>923</v>
      </c>
      <c r="B365" s="6" t="s">
        <v>924</v>
      </c>
      <c r="C365" s="6" t="s">
        <v>131</v>
      </c>
      <c r="D365" s="6" t="s">
        <v>152</v>
      </c>
      <c r="E365" s="6" t="s">
        <v>177</v>
      </c>
      <c r="F365" s="13" t="n">
        <v>45932</v>
      </c>
      <c r="G365" s="13" t="n">
        <v>46045</v>
      </c>
      <c r="H365" s="14" t="n">
        <v>164595.41</v>
      </c>
      <c r="I365" s="6" t="n">
        <v>1</v>
      </c>
      <c r="J365" s="6" t="n">
        <v>647</v>
      </c>
      <c r="K365" s="6" t="s">
        <v>154</v>
      </c>
      <c r="L365" s="14" t="n">
        <v>75239.19</v>
      </c>
      <c r="M365" s="22" t="n">
        <v>1.25</v>
      </c>
      <c r="N365" s="14" t="n">
        <v>94048.99</v>
      </c>
      <c r="O365" s="14" t="n">
        <v>18809.8</v>
      </c>
      <c r="P365" s="21" t="n">
        <v>0.151</v>
      </c>
      <c r="Q365" s="6" t="n">
        <v>113</v>
      </c>
      <c r="R365" s="6" t="s">
        <v>155</v>
      </c>
      <c r="S365" s="21" t="n">
        <v>0.776</v>
      </c>
      <c r="T365" s="14" t="n">
        <v>72982.02</v>
      </c>
      <c r="U365" s="6" t="s">
        <v>56</v>
      </c>
    </row>
    <row r="366" customFormat="false" ht="15" hidden="false" customHeight="true" outlineLevel="0" collapsed="false">
      <c r="A366" s="6" t="s">
        <v>925</v>
      </c>
      <c r="B366" s="6" t="s">
        <v>926</v>
      </c>
      <c r="C366" s="6" t="s">
        <v>116</v>
      </c>
      <c r="D366" s="6" t="s">
        <v>222</v>
      </c>
      <c r="E366" s="6" t="s">
        <v>192</v>
      </c>
      <c r="F366" s="13" t="n">
        <v>46010</v>
      </c>
      <c r="G366" s="13" t="n">
        <v>46166</v>
      </c>
      <c r="H366" s="14" t="n">
        <v>32514.16</v>
      </c>
      <c r="I366" s="6" t="n">
        <v>2</v>
      </c>
      <c r="J366" s="6" t="n">
        <v>705</v>
      </c>
      <c r="K366" s="6" t="s">
        <v>160</v>
      </c>
      <c r="L366" s="14" t="n">
        <v>10055.67</v>
      </c>
      <c r="M366" s="22" t="n">
        <v>1.284</v>
      </c>
      <c r="N366" s="14" t="n">
        <v>12911.48</v>
      </c>
      <c r="O366" s="14" t="n">
        <v>2855.81</v>
      </c>
      <c r="P366" s="21" t="n">
        <v>0.076</v>
      </c>
      <c r="Q366" s="6" t="n">
        <v>156</v>
      </c>
      <c r="R366" s="6" t="s">
        <v>161</v>
      </c>
      <c r="S366" s="21" t="n">
        <v>1</v>
      </c>
      <c r="T366" s="14" t="n">
        <v>12911.48</v>
      </c>
      <c r="U366" s="6" t="s">
        <v>58</v>
      </c>
    </row>
    <row r="367" customFormat="false" ht="15" hidden="false" customHeight="true" outlineLevel="0" collapsed="false">
      <c r="A367" s="6" t="s">
        <v>927</v>
      </c>
      <c r="B367" s="6" t="s">
        <v>928</v>
      </c>
      <c r="C367" s="6" t="s">
        <v>116</v>
      </c>
      <c r="D367" s="6" t="s">
        <v>222</v>
      </c>
      <c r="E367" s="6" t="s">
        <v>304</v>
      </c>
      <c r="F367" s="13" t="n">
        <v>45024</v>
      </c>
      <c r="G367" s="13" t="n">
        <v>45169</v>
      </c>
      <c r="H367" s="14" t="n">
        <v>67508.67</v>
      </c>
      <c r="I367" s="6" t="n">
        <v>0</v>
      </c>
      <c r="J367" s="6" t="n">
        <v>818</v>
      </c>
      <c r="K367" s="6" t="s">
        <v>154</v>
      </c>
      <c r="L367" s="14" t="n">
        <v>19938.48</v>
      </c>
      <c r="M367" s="22" t="n">
        <v>1.345</v>
      </c>
      <c r="N367" s="14" t="n">
        <v>26817.26</v>
      </c>
      <c r="O367" s="14" t="n">
        <v>6878.78</v>
      </c>
      <c r="P367" s="21" t="n">
        <v>0.082</v>
      </c>
      <c r="Q367" s="6" t="n">
        <v>145</v>
      </c>
      <c r="R367" s="6" t="s">
        <v>161</v>
      </c>
      <c r="S367" s="21" t="n">
        <v>1</v>
      </c>
      <c r="T367" s="14" t="n">
        <v>26817.26</v>
      </c>
      <c r="U367" s="6" t="s">
        <v>26</v>
      </c>
    </row>
    <row r="368" customFormat="false" ht="15" hidden="false" customHeight="true" outlineLevel="0" collapsed="false">
      <c r="A368" s="6" t="s">
        <v>929</v>
      </c>
      <c r="B368" s="6" t="s">
        <v>930</v>
      </c>
      <c r="C368" s="6" t="s">
        <v>128</v>
      </c>
      <c r="D368" s="6" t="s">
        <v>235</v>
      </c>
      <c r="E368" s="6" t="s">
        <v>195</v>
      </c>
      <c r="F368" s="13" t="n">
        <v>45580</v>
      </c>
      <c r="G368" s="13" t="n">
        <v>45642</v>
      </c>
      <c r="H368" s="14" t="n">
        <v>203355.36</v>
      </c>
      <c r="I368" s="6" t="n">
        <v>1</v>
      </c>
      <c r="J368" s="6" t="n">
        <v>730</v>
      </c>
      <c r="K368" s="6" t="s">
        <v>160</v>
      </c>
      <c r="L368" s="14" t="n">
        <v>50261.36</v>
      </c>
      <c r="M368" s="22" t="n">
        <v>1.094</v>
      </c>
      <c r="N368" s="14" t="n">
        <v>54985.93</v>
      </c>
      <c r="O368" s="14" t="n">
        <v>4724.57</v>
      </c>
      <c r="P368" s="21" t="n">
        <v>0.13</v>
      </c>
      <c r="Q368" s="6" t="n">
        <v>62</v>
      </c>
      <c r="R368" s="6" t="s">
        <v>161</v>
      </c>
      <c r="S368" s="21" t="n">
        <v>1</v>
      </c>
      <c r="T368" s="14" t="n">
        <v>54985.93</v>
      </c>
      <c r="U368" s="6" t="s">
        <v>44</v>
      </c>
    </row>
    <row r="369" customFormat="false" ht="15" hidden="false" customHeight="true" outlineLevel="0" collapsed="false">
      <c r="A369" s="6" t="s">
        <v>931</v>
      </c>
      <c r="B369" s="6" t="s">
        <v>932</v>
      </c>
      <c r="C369" s="6" t="s">
        <v>131</v>
      </c>
      <c r="D369" s="6" t="s">
        <v>200</v>
      </c>
      <c r="E369" s="6" t="s">
        <v>189</v>
      </c>
      <c r="F369" s="13" t="n">
        <v>45917</v>
      </c>
      <c r="G369" s="13" t="n">
        <v>46003</v>
      </c>
      <c r="H369" s="14" t="n">
        <v>68986.92</v>
      </c>
      <c r="I369" s="6" t="n">
        <v>3</v>
      </c>
      <c r="J369" s="6" t="n">
        <v>509</v>
      </c>
      <c r="K369" s="6" t="s">
        <v>185</v>
      </c>
      <c r="L369" s="14" t="n">
        <v>18081.72</v>
      </c>
      <c r="M369" s="22" t="n">
        <v>1.116</v>
      </c>
      <c r="N369" s="14" t="n">
        <v>20179.2</v>
      </c>
      <c r="O369" s="14" t="n">
        <v>2097.48</v>
      </c>
      <c r="P369" s="21" t="n">
        <v>0.102</v>
      </c>
      <c r="Q369" s="6" t="n">
        <v>86</v>
      </c>
      <c r="R369" s="6" t="s">
        <v>161</v>
      </c>
      <c r="S369" s="21" t="n">
        <v>1</v>
      </c>
      <c r="T369" s="14" t="n">
        <v>20179.2</v>
      </c>
      <c r="U369" s="6" t="s">
        <v>55</v>
      </c>
    </row>
    <row r="370" customFormat="false" ht="15" hidden="false" customHeight="true" outlineLevel="0" collapsed="false">
      <c r="A370" s="6" t="s">
        <v>933</v>
      </c>
      <c r="B370" s="6" t="s">
        <v>934</v>
      </c>
      <c r="C370" s="6" t="s">
        <v>131</v>
      </c>
      <c r="D370" s="6" t="s">
        <v>152</v>
      </c>
      <c r="E370" s="6" t="s">
        <v>299</v>
      </c>
      <c r="F370" s="13" t="n">
        <v>45241</v>
      </c>
      <c r="G370" s="13" t="n">
        <v>45310</v>
      </c>
      <c r="H370" s="14" t="n">
        <v>68209.49</v>
      </c>
      <c r="I370" s="6" t="n">
        <v>1</v>
      </c>
      <c r="J370" s="6" t="n">
        <v>743</v>
      </c>
      <c r="K370" s="6" t="s">
        <v>160</v>
      </c>
      <c r="L370" s="14" t="n">
        <v>17108.9</v>
      </c>
      <c r="M370" s="22" t="n">
        <v>1.331</v>
      </c>
      <c r="N370" s="14" t="n">
        <v>22771.95</v>
      </c>
      <c r="O370" s="14" t="n">
        <v>5663.05</v>
      </c>
      <c r="P370" s="21" t="n">
        <v>0.145</v>
      </c>
      <c r="Q370" s="6" t="n">
        <v>69</v>
      </c>
      <c r="R370" s="6" t="s">
        <v>155</v>
      </c>
      <c r="S370" s="21" t="n">
        <v>0.98</v>
      </c>
      <c r="T370" s="14" t="n">
        <v>22316.51</v>
      </c>
      <c r="U370" s="6" t="s">
        <v>33</v>
      </c>
    </row>
    <row r="371" customFormat="false" ht="15" hidden="false" customHeight="true" outlineLevel="0" collapsed="false">
      <c r="A371" s="6" t="s">
        <v>935</v>
      </c>
      <c r="B371" s="6" t="s">
        <v>936</v>
      </c>
      <c r="C371" s="6" t="s">
        <v>120</v>
      </c>
      <c r="D371" s="6" t="s">
        <v>210</v>
      </c>
      <c r="E371" s="6" t="s">
        <v>195</v>
      </c>
      <c r="F371" s="13" t="n">
        <v>44587</v>
      </c>
      <c r="G371" s="13" t="n">
        <v>44647</v>
      </c>
      <c r="H371" s="14" t="n">
        <v>134775.88</v>
      </c>
      <c r="I371" s="6" t="n">
        <v>0</v>
      </c>
      <c r="J371" s="6" t="n">
        <v>694</v>
      </c>
      <c r="K371" s="6" t="s">
        <v>154</v>
      </c>
      <c r="L371" s="14" t="n">
        <v>30881.76</v>
      </c>
      <c r="M371" s="22" t="n">
        <v>1.08</v>
      </c>
      <c r="N371" s="14" t="n">
        <v>33352.3</v>
      </c>
      <c r="O371" s="14" t="n">
        <v>2470.54</v>
      </c>
      <c r="P371" s="21" t="n">
        <v>0.178</v>
      </c>
      <c r="Q371" s="6" t="n">
        <v>60</v>
      </c>
      <c r="R371" s="6" t="s">
        <v>155</v>
      </c>
      <c r="S371" s="21" t="n">
        <v>0.835</v>
      </c>
      <c r="T371" s="14" t="n">
        <v>27849.17</v>
      </c>
      <c r="U371" s="6" t="s">
        <v>11</v>
      </c>
    </row>
    <row r="372" customFormat="false" ht="15" hidden="false" customHeight="true" outlineLevel="0" collapsed="false">
      <c r="A372" s="6" t="s">
        <v>937</v>
      </c>
      <c r="B372" s="6" t="s">
        <v>938</v>
      </c>
      <c r="C372" s="6" t="s">
        <v>131</v>
      </c>
      <c r="D372" s="6" t="s">
        <v>152</v>
      </c>
      <c r="E372" s="6" t="s">
        <v>169</v>
      </c>
      <c r="F372" s="13" t="n">
        <v>45200</v>
      </c>
      <c r="G372" s="13" t="n">
        <v>45478</v>
      </c>
      <c r="H372" s="14" t="n">
        <v>44021.64</v>
      </c>
      <c r="I372" s="6" t="n">
        <v>3</v>
      </c>
      <c r="J372" s="6" t="n">
        <v>510</v>
      </c>
      <c r="K372" s="6" t="s">
        <v>154</v>
      </c>
      <c r="L372" s="14" t="n">
        <v>20812.45</v>
      </c>
      <c r="M372" s="22" t="n">
        <v>1.294</v>
      </c>
      <c r="N372" s="14" t="n">
        <v>26931.31</v>
      </c>
      <c r="O372" s="14" t="n">
        <v>6118.86</v>
      </c>
      <c r="P372" s="21" t="n">
        <v>0.066</v>
      </c>
      <c r="Q372" s="6" t="n">
        <v>278</v>
      </c>
      <c r="R372" s="6" t="s">
        <v>155</v>
      </c>
      <c r="S372" s="21" t="n">
        <v>0.738</v>
      </c>
      <c r="T372" s="14" t="n">
        <v>19875.31</v>
      </c>
      <c r="U372" s="6" t="s">
        <v>32</v>
      </c>
    </row>
    <row r="373" customFormat="false" ht="15" hidden="false" customHeight="true" outlineLevel="0" collapsed="false">
      <c r="A373" s="6" t="s">
        <v>939</v>
      </c>
      <c r="B373" s="6" t="s">
        <v>940</v>
      </c>
      <c r="C373" s="6" t="s">
        <v>124</v>
      </c>
      <c r="D373" s="6" t="s">
        <v>238</v>
      </c>
      <c r="E373" s="6" t="s">
        <v>159</v>
      </c>
      <c r="F373" s="13" t="n">
        <v>45973</v>
      </c>
      <c r="G373" s="13" t="n">
        <v>46067</v>
      </c>
      <c r="H373" s="14" t="n">
        <v>180403.36</v>
      </c>
      <c r="I373" s="6" t="n">
        <v>0</v>
      </c>
      <c r="J373" s="6" t="n">
        <v>565</v>
      </c>
      <c r="K373" s="6" t="s">
        <v>160</v>
      </c>
      <c r="L373" s="14" t="n">
        <v>51932.6</v>
      </c>
      <c r="M373" s="22" t="n">
        <v>1.092</v>
      </c>
      <c r="N373" s="14" t="n">
        <v>56710.4</v>
      </c>
      <c r="O373" s="14" t="n">
        <v>4777.8</v>
      </c>
      <c r="P373" s="21" t="n">
        <v>0.1</v>
      </c>
      <c r="Q373" s="6" t="n">
        <v>94</v>
      </c>
      <c r="R373" s="6" t="s">
        <v>155</v>
      </c>
      <c r="S373" s="21" t="n">
        <v>0.802</v>
      </c>
      <c r="T373" s="14" t="n">
        <v>45481.74</v>
      </c>
      <c r="U373" s="6" t="s">
        <v>57</v>
      </c>
    </row>
    <row r="374" customFormat="false" ht="15" hidden="false" customHeight="true" outlineLevel="0" collapsed="false">
      <c r="A374" s="6" t="s">
        <v>941</v>
      </c>
      <c r="B374" s="6" t="s">
        <v>942</v>
      </c>
      <c r="C374" s="6" t="s">
        <v>116</v>
      </c>
      <c r="D374" s="6" t="s">
        <v>222</v>
      </c>
      <c r="E374" s="6" t="s">
        <v>207</v>
      </c>
      <c r="F374" s="13" t="n">
        <v>44887</v>
      </c>
      <c r="G374" s="13" t="n">
        <v>44961</v>
      </c>
      <c r="H374" s="14" t="n">
        <v>153231.37</v>
      </c>
      <c r="I374" s="6" t="n">
        <v>1</v>
      </c>
      <c r="J374" s="6" t="n">
        <v>627</v>
      </c>
      <c r="K374" s="6" t="s">
        <v>185</v>
      </c>
      <c r="L374" s="14" t="n">
        <v>22563</v>
      </c>
      <c r="M374" s="22" t="n">
        <v>1.099</v>
      </c>
      <c r="N374" s="14" t="n">
        <v>24796.74</v>
      </c>
      <c r="O374" s="14" t="n">
        <v>2233.74</v>
      </c>
      <c r="P374" s="21" t="n">
        <v>0.065</v>
      </c>
      <c r="Q374" s="6" t="n">
        <v>74</v>
      </c>
      <c r="R374" s="6" t="s">
        <v>155</v>
      </c>
      <c r="S374" s="21" t="n">
        <v>0.871</v>
      </c>
      <c r="T374" s="14" t="n">
        <v>21597.96</v>
      </c>
      <c r="U374" s="6" t="s">
        <v>21</v>
      </c>
    </row>
    <row r="375" customFormat="false" ht="15" hidden="false" customHeight="true" outlineLevel="0" collapsed="false">
      <c r="A375" s="6" t="s">
        <v>943</v>
      </c>
      <c r="B375" s="6" t="s">
        <v>944</v>
      </c>
      <c r="C375" s="6" t="s">
        <v>124</v>
      </c>
      <c r="D375" s="6" t="s">
        <v>168</v>
      </c>
      <c r="E375" s="6" t="s">
        <v>195</v>
      </c>
      <c r="F375" s="13" t="n">
        <v>45459</v>
      </c>
      <c r="G375" s="13" t="n">
        <v>45562</v>
      </c>
      <c r="H375" s="14" t="n">
        <v>34960.4</v>
      </c>
      <c r="I375" s="6" t="n">
        <v>0</v>
      </c>
      <c r="J375" s="6" t="n">
        <v>624</v>
      </c>
      <c r="K375" s="6" t="s">
        <v>154</v>
      </c>
      <c r="L375" s="14" t="n">
        <v>13637.63</v>
      </c>
      <c r="M375" s="22" t="n">
        <v>1.145</v>
      </c>
      <c r="N375" s="14" t="n">
        <v>15615.09</v>
      </c>
      <c r="O375" s="14" t="n">
        <v>1977.46</v>
      </c>
      <c r="P375" s="21" t="n">
        <v>0.13</v>
      </c>
      <c r="Q375" s="6" t="n">
        <v>103</v>
      </c>
      <c r="R375" s="6" t="s">
        <v>309</v>
      </c>
      <c r="S375" s="21" t="n">
        <v>0.293</v>
      </c>
      <c r="T375" s="14" t="n">
        <v>4575.22</v>
      </c>
      <c r="U375" s="6" t="s">
        <v>40</v>
      </c>
    </row>
    <row r="376" customFormat="false" ht="15" hidden="false" customHeight="true" outlineLevel="0" collapsed="false">
      <c r="A376" s="6" t="s">
        <v>945</v>
      </c>
      <c r="B376" s="6" t="s">
        <v>946</v>
      </c>
      <c r="C376" s="6" t="s">
        <v>112</v>
      </c>
      <c r="D376" s="6" t="s">
        <v>225</v>
      </c>
      <c r="E376" s="6" t="s">
        <v>201</v>
      </c>
      <c r="F376" s="13" t="n">
        <v>45159</v>
      </c>
      <c r="G376" s="13" t="n">
        <v>45244</v>
      </c>
      <c r="H376" s="14" t="n">
        <v>215995.99</v>
      </c>
      <c r="I376" s="6" t="n">
        <v>0</v>
      </c>
      <c r="J376" s="6" t="n">
        <v>556</v>
      </c>
      <c r="K376" s="6" t="s">
        <v>185</v>
      </c>
      <c r="L376" s="14" t="n">
        <v>36252.59</v>
      </c>
      <c r="M376" s="22" t="n">
        <v>1.186</v>
      </c>
      <c r="N376" s="14" t="n">
        <v>42995.57</v>
      </c>
      <c r="O376" s="14" t="n">
        <v>6742.98</v>
      </c>
      <c r="P376" s="21" t="n">
        <v>0.07</v>
      </c>
      <c r="Q376" s="6" t="n">
        <v>85</v>
      </c>
      <c r="R376" s="6" t="s">
        <v>161</v>
      </c>
      <c r="S376" s="21" t="n">
        <v>1</v>
      </c>
      <c r="T376" s="14" t="n">
        <v>42995.57</v>
      </c>
      <c r="U376" s="6" t="s">
        <v>30</v>
      </c>
    </row>
    <row r="377" customFormat="false" ht="15" hidden="false" customHeight="true" outlineLevel="0" collapsed="false">
      <c r="A377" s="6" t="s">
        <v>947</v>
      </c>
      <c r="B377" s="6" t="s">
        <v>948</v>
      </c>
      <c r="C377" s="6" t="s">
        <v>131</v>
      </c>
      <c r="D377" s="6" t="s">
        <v>152</v>
      </c>
      <c r="E377" s="6" t="s">
        <v>201</v>
      </c>
      <c r="F377" s="13" t="n">
        <v>45723</v>
      </c>
      <c r="G377" s="13" t="n">
        <v>45783</v>
      </c>
      <c r="H377" s="14" t="n">
        <v>97630.06</v>
      </c>
      <c r="I377" s="6" t="n">
        <v>0</v>
      </c>
      <c r="J377" s="6" t="n">
        <v>533</v>
      </c>
      <c r="K377" s="6" t="s">
        <v>160</v>
      </c>
      <c r="L377" s="14" t="n">
        <v>6391.85</v>
      </c>
      <c r="M377" s="22" t="n">
        <v>1.096</v>
      </c>
      <c r="N377" s="14" t="n">
        <v>7005.47</v>
      </c>
      <c r="O377" s="14" t="n">
        <v>613.62</v>
      </c>
      <c r="P377" s="21" t="n">
        <v>0.1</v>
      </c>
      <c r="Q377" s="6" t="n">
        <v>60</v>
      </c>
      <c r="R377" s="6" t="s">
        <v>155</v>
      </c>
      <c r="S377" s="21" t="n">
        <v>0.779</v>
      </c>
      <c r="T377" s="14" t="n">
        <v>5457.26</v>
      </c>
      <c r="U377" s="6" t="s">
        <v>49</v>
      </c>
    </row>
    <row r="378" customFormat="false" ht="15" hidden="false" customHeight="true" outlineLevel="0" collapsed="false">
      <c r="A378" s="6" t="s">
        <v>949</v>
      </c>
      <c r="B378" s="6" t="s">
        <v>950</v>
      </c>
      <c r="C378" s="6" t="s">
        <v>124</v>
      </c>
      <c r="D378" s="6" t="s">
        <v>168</v>
      </c>
      <c r="E378" s="6" t="s">
        <v>254</v>
      </c>
      <c r="F378" s="13" t="n">
        <v>44890</v>
      </c>
      <c r="G378" s="13" t="n">
        <v>44950</v>
      </c>
      <c r="H378" s="14" t="n">
        <v>117922.01</v>
      </c>
      <c r="I378" s="6" t="n">
        <v>3</v>
      </c>
      <c r="J378" s="6" t="n">
        <v>572</v>
      </c>
      <c r="K378" s="6" t="s">
        <v>160</v>
      </c>
      <c r="L378" s="14" t="n">
        <v>27401.52</v>
      </c>
      <c r="M378" s="22" t="n">
        <v>1.341</v>
      </c>
      <c r="N378" s="14" t="n">
        <v>36745.44</v>
      </c>
      <c r="O378" s="14" t="n">
        <v>9343.92</v>
      </c>
      <c r="P378" s="21" t="n">
        <v>0.18</v>
      </c>
      <c r="Q378" s="6" t="n">
        <v>60</v>
      </c>
      <c r="R378" s="6" t="s">
        <v>161</v>
      </c>
      <c r="S378" s="21" t="n">
        <v>1</v>
      </c>
      <c r="T378" s="14" t="n">
        <v>36745.44</v>
      </c>
      <c r="U378" s="6" t="s">
        <v>21</v>
      </c>
    </row>
    <row r="379" customFormat="false" ht="15" hidden="false" customHeight="true" outlineLevel="0" collapsed="false">
      <c r="A379" s="6" t="s">
        <v>951</v>
      </c>
      <c r="B379" s="6" t="s">
        <v>952</v>
      </c>
      <c r="C379" s="6" t="s">
        <v>131</v>
      </c>
      <c r="D379" s="6" t="s">
        <v>200</v>
      </c>
      <c r="E379" s="6" t="s">
        <v>299</v>
      </c>
      <c r="F379" s="13" t="n">
        <v>45378</v>
      </c>
      <c r="G379" s="13" t="n">
        <v>45460</v>
      </c>
      <c r="H379" s="14" t="n">
        <v>235935.22</v>
      </c>
      <c r="I379" s="6" t="n">
        <v>1</v>
      </c>
      <c r="J379" s="6" t="n">
        <v>634</v>
      </c>
      <c r="K379" s="6" t="s">
        <v>185</v>
      </c>
      <c r="L379" s="14" t="n">
        <v>50542.6</v>
      </c>
      <c r="M379" s="22" t="n">
        <v>1.178</v>
      </c>
      <c r="N379" s="14" t="n">
        <v>59539.18</v>
      </c>
      <c r="O379" s="14" t="n">
        <v>8996.58</v>
      </c>
      <c r="P379" s="21" t="n">
        <v>0.092</v>
      </c>
      <c r="Q379" s="6" t="n">
        <v>82</v>
      </c>
      <c r="R379" s="6" t="s">
        <v>155</v>
      </c>
      <c r="S379" s="21" t="n">
        <v>0.885</v>
      </c>
      <c r="T379" s="14" t="n">
        <v>52692.17</v>
      </c>
      <c r="U379" s="6" t="s">
        <v>37</v>
      </c>
    </row>
    <row r="380" customFormat="false" ht="15" hidden="false" customHeight="true" outlineLevel="0" collapsed="false">
      <c r="A380" s="6" t="s">
        <v>953</v>
      </c>
      <c r="B380" s="6" t="s">
        <v>954</v>
      </c>
      <c r="C380" s="6" t="s">
        <v>120</v>
      </c>
      <c r="D380" s="6" t="s">
        <v>218</v>
      </c>
      <c r="E380" s="6" t="s">
        <v>165</v>
      </c>
      <c r="F380" s="13" t="n">
        <v>46089</v>
      </c>
      <c r="G380" s="13" t="n">
        <v>46214</v>
      </c>
      <c r="H380" s="14" t="n">
        <v>234783.52</v>
      </c>
      <c r="I380" s="6" t="n">
        <v>1</v>
      </c>
      <c r="J380" s="6" t="n">
        <v>802</v>
      </c>
      <c r="K380" s="6" t="s">
        <v>154</v>
      </c>
      <c r="L380" s="14" t="n">
        <v>67179.97</v>
      </c>
      <c r="M380" s="22" t="n">
        <v>1.26</v>
      </c>
      <c r="N380" s="14" t="n">
        <v>84646.76</v>
      </c>
      <c r="O380" s="14" t="n">
        <v>17466.79</v>
      </c>
      <c r="P380" s="21" t="n">
        <v>0.086</v>
      </c>
      <c r="Q380" s="6" t="n">
        <v>125</v>
      </c>
      <c r="R380" s="6" t="s">
        <v>161</v>
      </c>
      <c r="S380" s="21" t="n">
        <v>1</v>
      </c>
      <c r="T380" s="14" t="n">
        <v>84646.76</v>
      </c>
      <c r="U380" s="6" t="s">
        <v>61</v>
      </c>
    </row>
    <row r="381" customFormat="false" ht="15" hidden="false" customHeight="true" outlineLevel="0" collapsed="false">
      <c r="A381" s="6" t="s">
        <v>955</v>
      </c>
      <c r="B381" s="6" t="s">
        <v>956</v>
      </c>
      <c r="C381" s="6" t="s">
        <v>124</v>
      </c>
      <c r="D381" s="6" t="s">
        <v>168</v>
      </c>
      <c r="E381" s="6" t="s">
        <v>201</v>
      </c>
      <c r="F381" s="13" t="n">
        <v>45828</v>
      </c>
      <c r="G381" s="13" t="n">
        <v>45916</v>
      </c>
      <c r="H381" s="14" t="n">
        <v>178271.98</v>
      </c>
      <c r="I381" s="6" t="n">
        <v>0</v>
      </c>
      <c r="J381" s="6" t="n">
        <v>532</v>
      </c>
      <c r="K381" s="6" t="s">
        <v>160</v>
      </c>
      <c r="L381" s="14" t="n">
        <v>52228.52</v>
      </c>
      <c r="M381" s="22" t="n">
        <v>1.192</v>
      </c>
      <c r="N381" s="14" t="n">
        <v>62256.4</v>
      </c>
      <c r="O381" s="14" t="n">
        <v>10027.88</v>
      </c>
      <c r="P381" s="21" t="n">
        <v>0.119</v>
      </c>
      <c r="Q381" s="6" t="n">
        <v>88</v>
      </c>
      <c r="R381" s="6" t="s">
        <v>161</v>
      </c>
      <c r="S381" s="21" t="n">
        <v>1</v>
      </c>
      <c r="T381" s="14" t="n">
        <v>62256.4</v>
      </c>
      <c r="U381" s="6" t="s">
        <v>52</v>
      </c>
    </row>
    <row r="382" customFormat="false" ht="15" hidden="false" customHeight="true" outlineLevel="0" collapsed="false">
      <c r="A382" s="6" t="s">
        <v>957</v>
      </c>
      <c r="B382" s="6" t="s">
        <v>958</v>
      </c>
      <c r="C382" s="6" t="s">
        <v>124</v>
      </c>
      <c r="D382" s="6" t="s">
        <v>238</v>
      </c>
      <c r="E382" s="6" t="s">
        <v>184</v>
      </c>
      <c r="F382" s="13" t="n">
        <v>44838</v>
      </c>
      <c r="G382" s="13" t="n">
        <v>45157</v>
      </c>
      <c r="H382" s="14" t="n">
        <v>224345.11</v>
      </c>
      <c r="I382" s="6" t="n">
        <v>5</v>
      </c>
      <c r="J382" s="6" t="n">
        <v>803</v>
      </c>
      <c r="K382" s="6" t="s">
        <v>160</v>
      </c>
      <c r="L382" s="14" t="n">
        <v>106776.55</v>
      </c>
      <c r="M382" s="22" t="n">
        <v>1.319</v>
      </c>
      <c r="N382" s="14" t="n">
        <v>140838.27</v>
      </c>
      <c r="O382" s="14" t="n">
        <v>34061.72</v>
      </c>
      <c r="P382" s="21" t="n">
        <v>0.059</v>
      </c>
      <c r="Q382" s="6" t="n">
        <v>319</v>
      </c>
      <c r="R382" s="6" t="s">
        <v>161</v>
      </c>
      <c r="S382" s="21" t="n">
        <v>1</v>
      </c>
      <c r="T382" s="14" t="n">
        <v>140838.27</v>
      </c>
      <c r="U382" s="6" t="s">
        <v>20</v>
      </c>
    </row>
    <row r="383" customFormat="false" ht="15" hidden="false" customHeight="true" outlineLevel="0" collapsed="false">
      <c r="A383" s="6" t="s">
        <v>959</v>
      </c>
      <c r="B383" s="6" t="s">
        <v>960</v>
      </c>
      <c r="C383" s="6" t="s">
        <v>128</v>
      </c>
      <c r="D383" s="6" t="s">
        <v>401</v>
      </c>
      <c r="E383" s="6" t="s">
        <v>184</v>
      </c>
      <c r="F383" s="13" t="n">
        <v>44942</v>
      </c>
      <c r="G383" s="13" t="n">
        <v>45002</v>
      </c>
      <c r="H383" s="14" t="n">
        <v>160702.71</v>
      </c>
      <c r="I383" s="6" t="n">
        <v>0</v>
      </c>
      <c r="J383" s="6" t="n">
        <v>713</v>
      </c>
      <c r="K383" s="6" t="s">
        <v>154</v>
      </c>
      <c r="L383" s="14" t="n">
        <v>13719.59</v>
      </c>
      <c r="M383" s="22" t="n">
        <v>1.328</v>
      </c>
      <c r="N383" s="14" t="n">
        <v>18219.62</v>
      </c>
      <c r="O383" s="14" t="n">
        <v>4500.03</v>
      </c>
      <c r="P383" s="21" t="n">
        <v>0.17</v>
      </c>
      <c r="Q383" s="6" t="n">
        <v>60</v>
      </c>
      <c r="R383" s="6" t="s">
        <v>155</v>
      </c>
      <c r="S383" s="21" t="n">
        <v>0.98</v>
      </c>
      <c r="T383" s="14" t="n">
        <v>17855.23</v>
      </c>
      <c r="U383" s="6" t="s">
        <v>23</v>
      </c>
    </row>
    <row r="384" customFormat="false" ht="15" hidden="false" customHeight="true" outlineLevel="0" collapsed="false">
      <c r="A384" s="6" t="s">
        <v>961</v>
      </c>
      <c r="B384" s="6" t="s">
        <v>962</v>
      </c>
      <c r="C384" s="6" t="s">
        <v>112</v>
      </c>
      <c r="D384" s="6" t="s">
        <v>188</v>
      </c>
      <c r="E384" s="6" t="s">
        <v>288</v>
      </c>
      <c r="F384" s="13" t="n">
        <v>46001</v>
      </c>
      <c r="G384" s="13" t="n">
        <v>46061</v>
      </c>
      <c r="H384" s="14" t="n">
        <v>130835.42</v>
      </c>
      <c r="I384" s="6" t="n">
        <v>0</v>
      </c>
      <c r="J384" s="6" t="n">
        <v>812</v>
      </c>
      <c r="K384" s="6" t="s">
        <v>160</v>
      </c>
      <c r="L384" s="14" t="n">
        <v>18339.57</v>
      </c>
      <c r="M384" s="22" t="n">
        <v>1.343</v>
      </c>
      <c r="N384" s="14" t="n">
        <v>24630.04</v>
      </c>
      <c r="O384" s="14" t="n">
        <v>6290.47</v>
      </c>
      <c r="P384" s="21" t="n">
        <v>0.141</v>
      </c>
      <c r="Q384" s="6" t="n">
        <v>60</v>
      </c>
      <c r="R384" s="6" t="s">
        <v>309</v>
      </c>
      <c r="S384" s="21" t="n">
        <v>0.154</v>
      </c>
      <c r="T384" s="14" t="n">
        <v>3793.03</v>
      </c>
      <c r="U384" s="6" t="s">
        <v>58</v>
      </c>
    </row>
    <row r="385" customFormat="false" ht="15" hidden="false" customHeight="true" outlineLevel="0" collapsed="false">
      <c r="A385" s="6" t="s">
        <v>963</v>
      </c>
      <c r="B385" s="6" t="s">
        <v>964</v>
      </c>
      <c r="C385" s="6" t="s">
        <v>116</v>
      </c>
      <c r="D385" s="6" t="s">
        <v>152</v>
      </c>
      <c r="E385" s="6" t="s">
        <v>165</v>
      </c>
      <c r="F385" s="13" t="n">
        <v>44576</v>
      </c>
      <c r="G385" s="13" t="n">
        <v>44636</v>
      </c>
      <c r="H385" s="14" t="n">
        <v>161741.86</v>
      </c>
      <c r="I385" s="6" t="n">
        <v>1</v>
      </c>
      <c r="J385" s="6" t="n">
        <v>692</v>
      </c>
      <c r="K385" s="6" t="s">
        <v>160</v>
      </c>
      <c r="L385" s="14" t="n">
        <v>21923.92</v>
      </c>
      <c r="M385" s="22" t="n">
        <v>1.173</v>
      </c>
      <c r="N385" s="14" t="n">
        <v>25716.76</v>
      </c>
      <c r="O385" s="14" t="n">
        <v>3792.84</v>
      </c>
      <c r="P385" s="21" t="n">
        <v>0.081</v>
      </c>
      <c r="Q385" s="6" t="n">
        <v>60</v>
      </c>
      <c r="R385" s="6" t="s">
        <v>161</v>
      </c>
      <c r="S385" s="21" t="n">
        <v>1</v>
      </c>
      <c r="T385" s="14" t="n">
        <v>25716.76</v>
      </c>
      <c r="U385" s="6" t="s">
        <v>11</v>
      </c>
    </row>
    <row r="386" customFormat="false" ht="15" hidden="false" customHeight="true" outlineLevel="0" collapsed="false">
      <c r="A386" s="6" t="s">
        <v>965</v>
      </c>
      <c r="B386" s="6" t="s">
        <v>966</v>
      </c>
      <c r="C386" s="6" t="s">
        <v>112</v>
      </c>
      <c r="D386" s="6" t="s">
        <v>164</v>
      </c>
      <c r="E386" s="6" t="s">
        <v>189</v>
      </c>
      <c r="F386" s="13" t="n">
        <v>45545</v>
      </c>
      <c r="G386" s="13" t="n">
        <v>45655</v>
      </c>
      <c r="H386" s="14" t="n">
        <v>194675.44</v>
      </c>
      <c r="I386" s="6" t="n">
        <v>4</v>
      </c>
      <c r="J386" s="6" t="n">
        <v>723</v>
      </c>
      <c r="K386" s="6" t="s">
        <v>154</v>
      </c>
      <c r="L386" s="14" t="n">
        <v>59550</v>
      </c>
      <c r="M386" s="22" t="n">
        <v>1.166</v>
      </c>
      <c r="N386" s="14" t="n">
        <v>69435.3</v>
      </c>
      <c r="O386" s="14" t="n">
        <v>9885.3</v>
      </c>
      <c r="P386" s="21" t="n">
        <v>0.097</v>
      </c>
      <c r="Q386" s="6" t="n">
        <v>110</v>
      </c>
      <c r="R386" s="6" t="s">
        <v>161</v>
      </c>
      <c r="S386" s="21" t="n">
        <v>1</v>
      </c>
      <c r="T386" s="14" t="n">
        <v>69435.3</v>
      </c>
      <c r="U386" s="6" t="s">
        <v>43</v>
      </c>
    </row>
    <row r="387" customFormat="false" ht="15" hidden="false" customHeight="true" outlineLevel="0" collapsed="false">
      <c r="A387" s="6" t="s">
        <v>967</v>
      </c>
      <c r="B387" s="6" t="s">
        <v>968</v>
      </c>
      <c r="C387" s="6" t="s">
        <v>120</v>
      </c>
      <c r="D387" s="6" t="s">
        <v>210</v>
      </c>
      <c r="E387" s="6" t="s">
        <v>254</v>
      </c>
      <c r="F387" s="13" t="n">
        <v>45529</v>
      </c>
      <c r="G387" s="13" t="n">
        <v>45645</v>
      </c>
      <c r="H387" s="14" t="n">
        <v>104659.22</v>
      </c>
      <c r="I387" s="6" t="n">
        <v>0</v>
      </c>
      <c r="J387" s="6" t="n">
        <v>753</v>
      </c>
      <c r="K387" s="6" t="s">
        <v>160</v>
      </c>
      <c r="L387" s="14" t="n">
        <v>18483.74</v>
      </c>
      <c r="M387" s="22" t="n">
        <v>1.139</v>
      </c>
      <c r="N387" s="14" t="n">
        <v>21052.98</v>
      </c>
      <c r="O387" s="14" t="n">
        <v>2569.24</v>
      </c>
      <c r="P387" s="21" t="n">
        <v>0.052</v>
      </c>
      <c r="Q387" s="6" t="n">
        <v>116</v>
      </c>
      <c r="R387" s="6" t="s">
        <v>155</v>
      </c>
      <c r="S387" s="21" t="n">
        <v>0.818</v>
      </c>
      <c r="T387" s="14" t="n">
        <v>17221.34</v>
      </c>
      <c r="U387" s="6" t="s">
        <v>42</v>
      </c>
    </row>
    <row r="388" customFormat="false" ht="15" hidden="false" customHeight="true" outlineLevel="0" collapsed="false">
      <c r="A388" s="6" t="s">
        <v>969</v>
      </c>
      <c r="B388" s="6" t="s">
        <v>970</v>
      </c>
      <c r="C388" s="6" t="s">
        <v>131</v>
      </c>
      <c r="D388" s="6" t="s">
        <v>200</v>
      </c>
      <c r="E388" s="6" t="s">
        <v>254</v>
      </c>
      <c r="F388" s="13" t="n">
        <v>45202</v>
      </c>
      <c r="G388" s="13" t="n">
        <v>45262</v>
      </c>
      <c r="H388" s="14" t="n">
        <v>97435.34</v>
      </c>
      <c r="I388" s="6" t="n">
        <v>5</v>
      </c>
      <c r="J388" s="6" t="n">
        <v>520</v>
      </c>
      <c r="K388" s="6" t="s">
        <v>185</v>
      </c>
      <c r="L388" s="14" t="n">
        <v>17042.89</v>
      </c>
      <c r="M388" s="22" t="n">
        <v>1.335</v>
      </c>
      <c r="N388" s="14" t="n">
        <v>22752.26</v>
      </c>
      <c r="O388" s="14" t="n">
        <v>5709.37</v>
      </c>
      <c r="P388" s="21" t="n">
        <v>0.139</v>
      </c>
      <c r="Q388" s="6" t="n">
        <v>60</v>
      </c>
      <c r="R388" s="6" t="s">
        <v>161</v>
      </c>
      <c r="S388" s="21" t="n">
        <v>1</v>
      </c>
      <c r="T388" s="14" t="n">
        <v>22752.26</v>
      </c>
      <c r="U388" s="6" t="s">
        <v>32</v>
      </c>
    </row>
    <row r="389" customFormat="false" ht="15" hidden="false" customHeight="true" outlineLevel="0" collapsed="false">
      <c r="A389" s="6" t="s">
        <v>971</v>
      </c>
      <c r="B389" s="6" t="s">
        <v>972</v>
      </c>
      <c r="C389" s="6" t="s">
        <v>116</v>
      </c>
      <c r="D389" s="6" t="s">
        <v>222</v>
      </c>
      <c r="E389" s="6" t="s">
        <v>189</v>
      </c>
      <c r="F389" s="13" t="n">
        <v>45509</v>
      </c>
      <c r="G389" s="13" t="n">
        <v>45569</v>
      </c>
      <c r="H389" s="14" t="n">
        <v>121680.12</v>
      </c>
      <c r="I389" s="6" t="n">
        <v>0</v>
      </c>
      <c r="J389" s="6" t="n">
        <v>664</v>
      </c>
      <c r="K389" s="6" t="s">
        <v>154</v>
      </c>
      <c r="L389" s="14" t="n">
        <v>20205.46</v>
      </c>
      <c r="M389" s="22" t="n">
        <v>1.167</v>
      </c>
      <c r="N389" s="14" t="n">
        <v>23579.77</v>
      </c>
      <c r="O389" s="14" t="n">
        <v>3374.31</v>
      </c>
      <c r="P389" s="21" t="n">
        <v>0.119</v>
      </c>
      <c r="Q389" s="6" t="n">
        <v>60</v>
      </c>
      <c r="R389" s="6" t="s">
        <v>161</v>
      </c>
      <c r="S389" s="21" t="n">
        <v>1</v>
      </c>
      <c r="T389" s="14" t="n">
        <v>23579.77</v>
      </c>
      <c r="U389" s="6" t="s">
        <v>42</v>
      </c>
    </row>
    <row r="390" customFormat="false" ht="15" hidden="false" customHeight="true" outlineLevel="0" collapsed="false">
      <c r="A390" s="6" t="s">
        <v>973</v>
      </c>
      <c r="B390" s="6" t="s">
        <v>974</v>
      </c>
      <c r="C390" s="6" t="s">
        <v>124</v>
      </c>
      <c r="D390" s="6" t="s">
        <v>238</v>
      </c>
      <c r="E390" s="6" t="s">
        <v>207</v>
      </c>
      <c r="F390" s="13" t="n">
        <v>44808</v>
      </c>
      <c r="G390" s="13" t="n">
        <v>44926</v>
      </c>
      <c r="H390" s="14" t="n">
        <v>239513.57</v>
      </c>
      <c r="I390" s="6" t="n">
        <v>1</v>
      </c>
      <c r="J390" s="6" t="n">
        <v>601</v>
      </c>
      <c r="K390" s="6" t="s">
        <v>160</v>
      </c>
      <c r="L390" s="14" t="n">
        <v>90722.48</v>
      </c>
      <c r="M390" s="22" t="n">
        <v>1.339</v>
      </c>
      <c r="N390" s="14" t="n">
        <v>121477.4</v>
      </c>
      <c r="O390" s="14" t="n">
        <v>30754.92</v>
      </c>
      <c r="P390" s="21" t="n">
        <v>0.128</v>
      </c>
      <c r="Q390" s="6" t="n">
        <v>118</v>
      </c>
      <c r="R390" s="6" t="s">
        <v>161</v>
      </c>
      <c r="S390" s="21" t="n">
        <v>1</v>
      </c>
      <c r="T390" s="14" t="n">
        <v>121477.4</v>
      </c>
      <c r="U390" s="6" t="s">
        <v>19</v>
      </c>
    </row>
    <row r="391" customFormat="false" ht="15" hidden="false" customHeight="true" outlineLevel="0" collapsed="false">
      <c r="A391" s="6" t="s">
        <v>975</v>
      </c>
      <c r="B391" s="6" t="s">
        <v>976</v>
      </c>
      <c r="C391" s="6" t="s">
        <v>124</v>
      </c>
      <c r="D391" s="6" t="s">
        <v>238</v>
      </c>
      <c r="E391" s="6" t="s">
        <v>173</v>
      </c>
      <c r="F391" s="13" t="n">
        <v>44825</v>
      </c>
      <c r="G391" s="13" t="n">
        <v>44926</v>
      </c>
      <c r="H391" s="14" t="n">
        <v>115481.71</v>
      </c>
      <c r="I391" s="6" t="n">
        <v>0</v>
      </c>
      <c r="J391" s="6" t="n">
        <v>800</v>
      </c>
      <c r="K391" s="6" t="s">
        <v>185</v>
      </c>
      <c r="L391" s="14" t="n">
        <v>23095.67</v>
      </c>
      <c r="M391" s="22" t="n">
        <v>1.202</v>
      </c>
      <c r="N391" s="14" t="n">
        <v>27761</v>
      </c>
      <c r="O391" s="14" t="n">
        <v>4665.33</v>
      </c>
      <c r="P391" s="21" t="n">
        <v>0.071</v>
      </c>
      <c r="Q391" s="6" t="n">
        <v>101</v>
      </c>
      <c r="R391" s="6" t="s">
        <v>161</v>
      </c>
      <c r="S391" s="21" t="n">
        <v>1</v>
      </c>
      <c r="T391" s="14" t="n">
        <v>27761</v>
      </c>
      <c r="U391" s="6" t="s">
        <v>19</v>
      </c>
    </row>
    <row r="392" customFormat="false" ht="15" hidden="false" customHeight="true" outlineLevel="0" collapsed="false">
      <c r="A392" s="6" t="s">
        <v>977</v>
      </c>
      <c r="B392" s="6" t="s">
        <v>978</v>
      </c>
      <c r="C392" s="6" t="s">
        <v>112</v>
      </c>
      <c r="D392" s="6" t="s">
        <v>172</v>
      </c>
      <c r="E392" s="6" t="s">
        <v>254</v>
      </c>
      <c r="F392" s="13" t="n">
        <v>45293</v>
      </c>
      <c r="G392" s="13" t="n">
        <v>45367</v>
      </c>
      <c r="H392" s="14" t="n">
        <v>128195.74</v>
      </c>
      <c r="I392" s="6" t="n">
        <v>4</v>
      </c>
      <c r="J392" s="6" t="n">
        <v>545</v>
      </c>
      <c r="K392" s="6" t="s">
        <v>154</v>
      </c>
      <c r="L392" s="14" t="n">
        <v>41337.59</v>
      </c>
      <c r="M392" s="22" t="n">
        <v>1.143</v>
      </c>
      <c r="N392" s="14" t="n">
        <v>47248.87</v>
      </c>
      <c r="O392" s="14" t="n">
        <v>5911.28</v>
      </c>
      <c r="P392" s="21" t="n">
        <v>0.148</v>
      </c>
      <c r="Q392" s="6" t="n">
        <v>74</v>
      </c>
      <c r="R392" s="6" t="s">
        <v>161</v>
      </c>
      <c r="S392" s="21" t="n">
        <v>1</v>
      </c>
      <c r="T392" s="14" t="n">
        <v>47248.87</v>
      </c>
      <c r="U392" s="6" t="s">
        <v>35</v>
      </c>
    </row>
    <row r="393" customFormat="false" ht="15" hidden="false" customHeight="true" outlineLevel="0" collapsed="false">
      <c r="A393" s="6" t="s">
        <v>979</v>
      </c>
      <c r="B393" s="6" t="s">
        <v>980</v>
      </c>
      <c r="C393" s="6" t="s">
        <v>116</v>
      </c>
      <c r="D393" s="6" t="s">
        <v>152</v>
      </c>
      <c r="E393" s="6" t="s">
        <v>326</v>
      </c>
      <c r="F393" s="13" t="n">
        <v>44843</v>
      </c>
      <c r="G393" s="13" t="n">
        <v>44913</v>
      </c>
      <c r="H393" s="14" t="n">
        <v>13862.5</v>
      </c>
      <c r="I393" s="6" t="n">
        <v>1</v>
      </c>
      <c r="J393" s="6" t="n">
        <v>723</v>
      </c>
      <c r="K393" s="6" t="s">
        <v>185</v>
      </c>
      <c r="L393" s="14" t="n">
        <v>2000</v>
      </c>
      <c r="M393" s="22" t="n">
        <v>1.143</v>
      </c>
      <c r="N393" s="14" t="n">
        <v>2286</v>
      </c>
      <c r="O393" s="14" t="n">
        <v>286</v>
      </c>
      <c r="P393" s="21" t="n">
        <v>0.07</v>
      </c>
      <c r="Q393" s="6" t="n">
        <v>70</v>
      </c>
      <c r="R393" s="6" t="s">
        <v>161</v>
      </c>
      <c r="S393" s="21" t="n">
        <v>1</v>
      </c>
      <c r="T393" s="14" t="n">
        <v>2286</v>
      </c>
      <c r="U393" s="6" t="s">
        <v>20</v>
      </c>
    </row>
    <row r="394" customFormat="false" ht="15" hidden="false" customHeight="true" outlineLevel="0" collapsed="false">
      <c r="A394" s="6" t="s">
        <v>981</v>
      </c>
      <c r="B394" s="6" t="s">
        <v>982</v>
      </c>
      <c r="C394" s="6" t="s">
        <v>131</v>
      </c>
      <c r="D394" s="6" t="s">
        <v>152</v>
      </c>
      <c r="E394" s="6" t="s">
        <v>189</v>
      </c>
      <c r="F394" s="13" t="n">
        <v>45138</v>
      </c>
      <c r="G394" s="13" t="n">
        <v>45198</v>
      </c>
      <c r="H394" s="14" t="n">
        <v>221358.56</v>
      </c>
      <c r="I394" s="6" t="n">
        <v>1</v>
      </c>
      <c r="J394" s="6" t="n">
        <v>765</v>
      </c>
      <c r="K394" s="6" t="s">
        <v>185</v>
      </c>
      <c r="L394" s="14" t="n">
        <v>35761.26</v>
      </c>
      <c r="M394" s="22" t="n">
        <v>1.327</v>
      </c>
      <c r="N394" s="14" t="n">
        <v>47455.19</v>
      </c>
      <c r="O394" s="14" t="n">
        <v>11693.93</v>
      </c>
      <c r="P394" s="21" t="n">
        <v>0.147</v>
      </c>
      <c r="Q394" s="6" t="n">
        <v>60</v>
      </c>
      <c r="R394" s="6" t="s">
        <v>155</v>
      </c>
      <c r="S394" s="21" t="n">
        <v>0.831</v>
      </c>
      <c r="T394" s="14" t="n">
        <v>39435.26</v>
      </c>
      <c r="U394" s="6" t="s">
        <v>29</v>
      </c>
    </row>
    <row r="395" customFormat="false" ht="15" hidden="false" customHeight="true" outlineLevel="0" collapsed="false">
      <c r="A395" s="6" t="s">
        <v>983</v>
      </c>
      <c r="B395" s="6" t="s">
        <v>984</v>
      </c>
      <c r="C395" s="6" t="s">
        <v>124</v>
      </c>
      <c r="D395" s="6" t="s">
        <v>243</v>
      </c>
      <c r="E395" s="6" t="s">
        <v>299</v>
      </c>
      <c r="F395" s="13" t="n">
        <v>45844</v>
      </c>
      <c r="G395" s="13" t="n">
        <v>46115</v>
      </c>
      <c r="H395" s="14" t="n">
        <v>56434.52</v>
      </c>
      <c r="I395" s="6" t="n">
        <v>1</v>
      </c>
      <c r="J395" s="6" t="n">
        <v>739</v>
      </c>
      <c r="K395" s="6" t="s">
        <v>160</v>
      </c>
      <c r="L395" s="14" t="n">
        <v>24739.3</v>
      </c>
      <c r="M395" s="22" t="n">
        <v>1.177</v>
      </c>
      <c r="N395" s="14" t="n">
        <v>29118.16</v>
      </c>
      <c r="O395" s="14" t="n">
        <v>4378.86</v>
      </c>
      <c r="P395" s="21" t="n">
        <v>0.057</v>
      </c>
      <c r="Q395" s="6" t="n">
        <v>271</v>
      </c>
      <c r="R395" s="6" t="s">
        <v>155</v>
      </c>
      <c r="S395" s="21" t="n">
        <v>0.98</v>
      </c>
      <c r="T395" s="14" t="n">
        <v>28535.8</v>
      </c>
      <c r="U395" s="6" t="s">
        <v>53</v>
      </c>
    </row>
    <row r="396" customFormat="false" ht="15" hidden="false" customHeight="true" outlineLevel="0" collapsed="false">
      <c r="A396" s="6" t="s">
        <v>985</v>
      </c>
      <c r="B396" s="6" t="s">
        <v>986</v>
      </c>
      <c r="C396" s="6" t="s">
        <v>120</v>
      </c>
      <c r="D396" s="6" t="s">
        <v>210</v>
      </c>
      <c r="E396" s="6" t="s">
        <v>299</v>
      </c>
      <c r="F396" s="13" t="n">
        <v>45715</v>
      </c>
      <c r="G396" s="13" t="n">
        <v>45775</v>
      </c>
      <c r="H396" s="14" t="n">
        <v>202069.73</v>
      </c>
      <c r="I396" s="6" t="n">
        <v>0</v>
      </c>
      <c r="J396" s="6" t="n">
        <v>587</v>
      </c>
      <c r="K396" s="6" t="s">
        <v>160</v>
      </c>
      <c r="L396" s="14" t="n">
        <v>32268.57</v>
      </c>
      <c r="M396" s="22" t="n">
        <v>1.081</v>
      </c>
      <c r="N396" s="14" t="n">
        <v>34882.32</v>
      </c>
      <c r="O396" s="14" t="n">
        <v>2613.75</v>
      </c>
      <c r="P396" s="21" t="n">
        <v>0.135</v>
      </c>
      <c r="Q396" s="6" t="n">
        <v>60</v>
      </c>
      <c r="R396" s="6" t="s">
        <v>155</v>
      </c>
      <c r="S396" s="21" t="n">
        <v>0.852</v>
      </c>
      <c r="T396" s="14" t="n">
        <v>29719.74</v>
      </c>
      <c r="U396" s="6" t="s">
        <v>48</v>
      </c>
    </row>
    <row r="397" customFormat="false" ht="15" hidden="false" customHeight="true" outlineLevel="0" collapsed="false">
      <c r="A397" s="6" t="s">
        <v>987</v>
      </c>
      <c r="B397" s="6" t="s">
        <v>988</v>
      </c>
      <c r="C397" s="6" t="s">
        <v>120</v>
      </c>
      <c r="D397" s="6" t="s">
        <v>210</v>
      </c>
      <c r="E397" s="6" t="s">
        <v>288</v>
      </c>
      <c r="F397" s="13" t="n">
        <v>45397</v>
      </c>
      <c r="G397" s="13" t="n">
        <v>45457</v>
      </c>
      <c r="H397" s="14" t="n">
        <v>148411.25</v>
      </c>
      <c r="I397" s="6" t="n">
        <v>1</v>
      </c>
      <c r="J397" s="6" t="n">
        <v>815</v>
      </c>
      <c r="K397" s="6" t="s">
        <v>160</v>
      </c>
      <c r="L397" s="14" t="n">
        <v>22606.98</v>
      </c>
      <c r="M397" s="22" t="n">
        <v>1.32</v>
      </c>
      <c r="N397" s="14" t="n">
        <v>29841.21</v>
      </c>
      <c r="O397" s="14" t="n">
        <v>7234.23</v>
      </c>
      <c r="P397" s="21" t="n">
        <v>0.138</v>
      </c>
      <c r="Q397" s="6" t="n">
        <v>60</v>
      </c>
      <c r="R397" s="6" t="s">
        <v>161</v>
      </c>
      <c r="S397" s="21" t="n">
        <v>1</v>
      </c>
      <c r="T397" s="14" t="n">
        <v>29841.21</v>
      </c>
      <c r="U397" s="6" t="s">
        <v>38</v>
      </c>
    </row>
    <row r="398" customFormat="false" ht="15" hidden="false" customHeight="true" outlineLevel="0" collapsed="false">
      <c r="A398" s="6" t="s">
        <v>989</v>
      </c>
      <c r="B398" s="6" t="s">
        <v>990</v>
      </c>
      <c r="C398" s="6" t="s">
        <v>131</v>
      </c>
      <c r="D398" s="6" t="s">
        <v>152</v>
      </c>
      <c r="E398" s="6" t="s">
        <v>173</v>
      </c>
      <c r="F398" s="13" t="n">
        <v>45420</v>
      </c>
      <c r="G398" s="13" t="n">
        <v>45598</v>
      </c>
      <c r="H398" s="14" t="n">
        <v>90679.27</v>
      </c>
      <c r="I398" s="6" t="n">
        <v>1</v>
      </c>
      <c r="J398" s="6" t="n">
        <v>738</v>
      </c>
      <c r="K398" s="6" t="s">
        <v>160</v>
      </c>
      <c r="L398" s="14" t="n">
        <v>42236.67</v>
      </c>
      <c r="M398" s="22" t="n">
        <v>1.303</v>
      </c>
      <c r="N398" s="14" t="n">
        <v>55034.38</v>
      </c>
      <c r="O398" s="14" t="n">
        <v>12797.71</v>
      </c>
      <c r="P398" s="21" t="n">
        <v>0.102</v>
      </c>
      <c r="Q398" s="6" t="n">
        <v>178</v>
      </c>
      <c r="R398" s="6" t="s">
        <v>155</v>
      </c>
      <c r="S398" s="21" t="n">
        <v>0.98</v>
      </c>
      <c r="T398" s="14" t="n">
        <v>53933.69</v>
      </c>
      <c r="U398" s="6" t="s">
        <v>39</v>
      </c>
    </row>
    <row r="399" customFormat="false" ht="15" hidden="false" customHeight="true" outlineLevel="0" collapsed="false">
      <c r="A399" s="6" t="s">
        <v>991</v>
      </c>
      <c r="B399" s="6" t="s">
        <v>992</v>
      </c>
      <c r="C399" s="6" t="s">
        <v>124</v>
      </c>
      <c r="D399" s="6" t="s">
        <v>243</v>
      </c>
      <c r="E399" s="6" t="s">
        <v>173</v>
      </c>
      <c r="F399" s="13" t="n">
        <v>45952</v>
      </c>
      <c r="G399" s="13" t="n">
        <v>46057</v>
      </c>
      <c r="H399" s="14" t="n">
        <v>80652.15</v>
      </c>
      <c r="I399" s="6" t="n">
        <v>1</v>
      </c>
      <c r="J399" s="6" t="n">
        <v>567</v>
      </c>
      <c r="K399" s="6" t="s">
        <v>185</v>
      </c>
      <c r="L399" s="14" t="n">
        <v>28783.09</v>
      </c>
      <c r="M399" s="22" t="n">
        <v>1.252</v>
      </c>
      <c r="N399" s="14" t="n">
        <v>36036.43</v>
      </c>
      <c r="O399" s="14" t="n">
        <v>7253.34</v>
      </c>
      <c r="P399" s="21" t="n">
        <v>0.127</v>
      </c>
      <c r="Q399" s="6" t="n">
        <v>105</v>
      </c>
      <c r="R399" s="6" t="s">
        <v>161</v>
      </c>
      <c r="S399" s="21" t="n">
        <v>1</v>
      </c>
      <c r="T399" s="14" t="n">
        <v>36036.43</v>
      </c>
      <c r="U399" s="6" t="s">
        <v>56</v>
      </c>
    </row>
    <row r="400" customFormat="false" ht="15" hidden="false" customHeight="true" outlineLevel="0" collapsed="false">
      <c r="A400" s="6" t="s">
        <v>993</v>
      </c>
      <c r="B400" s="6" t="s">
        <v>994</v>
      </c>
      <c r="C400" s="6" t="s">
        <v>128</v>
      </c>
      <c r="D400" s="6" t="s">
        <v>172</v>
      </c>
      <c r="E400" s="6" t="s">
        <v>219</v>
      </c>
      <c r="F400" s="13" t="n">
        <v>44632</v>
      </c>
      <c r="G400" s="13" t="n">
        <v>44692</v>
      </c>
      <c r="H400" s="14" t="n">
        <v>67384.26</v>
      </c>
      <c r="I400" s="6" t="n">
        <v>3</v>
      </c>
      <c r="J400" s="6" t="n">
        <v>702</v>
      </c>
      <c r="K400" s="6" t="s">
        <v>154</v>
      </c>
      <c r="L400" s="14" t="n">
        <v>18094.66</v>
      </c>
      <c r="M400" s="22" t="n">
        <v>1.145</v>
      </c>
      <c r="N400" s="14" t="n">
        <v>20718.39</v>
      </c>
      <c r="O400" s="14" t="n">
        <v>2623.73</v>
      </c>
      <c r="P400" s="21" t="n">
        <v>0.178</v>
      </c>
      <c r="Q400" s="6" t="n">
        <v>60</v>
      </c>
      <c r="R400" s="6" t="s">
        <v>161</v>
      </c>
      <c r="S400" s="21" t="n">
        <v>1</v>
      </c>
      <c r="T400" s="14" t="n">
        <v>20718.39</v>
      </c>
      <c r="U400" s="6" t="s">
        <v>13</v>
      </c>
    </row>
    <row r="401" customFormat="false" ht="15" hidden="false" customHeight="true" outlineLevel="0" collapsed="false">
      <c r="A401" s="6" t="s">
        <v>995</v>
      </c>
      <c r="B401" s="6" t="s">
        <v>996</v>
      </c>
      <c r="C401" s="6" t="s">
        <v>120</v>
      </c>
      <c r="D401" s="6" t="s">
        <v>210</v>
      </c>
      <c r="E401" s="6" t="s">
        <v>326</v>
      </c>
      <c r="F401" s="13" t="n">
        <v>45793</v>
      </c>
      <c r="G401" s="13" t="n">
        <v>45894</v>
      </c>
      <c r="H401" s="14" t="n">
        <v>166195.96</v>
      </c>
      <c r="I401" s="6" t="n">
        <v>0</v>
      </c>
      <c r="J401" s="6" t="n">
        <v>687</v>
      </c>
      <c r="K401" s="6" t="s">
        <v>185</v>
      </c>
      <c r="L401" s="14" t="n">
        <v>23551.9</v>
      </c>
      <c r="M401" s="22" t="n">
        <v>1.31</v>
      </c>
      <c r="N401" s="14" t="n">
        <v>30852.99</v>
      </c>
      <c r="O401" s="14" t="n">
        <v>7301.09</v>
      </c>
      <c r="P401" s="21" t="n">
        <v>0.055</v>
      </c>
      <c r="Q401" s="6" t="n">
        <v>101</v>
      </c>
      <c r="R401" s="6" t="s">
        <v>161</v>
      </c>
      <c r="S401" s="21" t="n">
        <v>1</v>
      </c>
      <c r="T401" s="14" t="n">
        <v>30852.99</v>
      </c>
      <c r="U401" s="6" t="s">
        <v>51</v>
      </c>
    </row>
    <row r="402" customFormat="false" ht="15" hidden="false" customHeight="true" outlineLevel="0" collapsed="false">
      <c r="A402" s="6" t="s">
        <v>997</v>
      </c>
      <c r="B402" s="6" t="s">
        <v>998</v>
      </c>
      <c r="C402" s="6" t="s">
        <v>112</v>
      </c>
      <c r="D402" s="6" t="s">
        <v>172</v>
      </c>
      <c r="E402" s="6" t="s">
        <v>288</v>
      </c>
      <c r="F402" s="13" t="n">
        <v>45637</v>
      </c>
      <c r="G402" s="13" t="n">
        <v>45787</v>
      </c>
      <c r="H402" s="14" t="n">
        <v>41687.68</v>
      </c>
      <c r="I402" s="6" t="n">
        <v>2</v>
      </c>
      <c r="J402" s="6" t="n">
        <v>803</v>
      </c>
      <c r="K402" s="6" t="s">
        <v>154</v>
      </c>
      <c r="L402" s="14" t="n">
        <v>8734.56</v>
      </c>
      <c r="M402" s="22" t="n">
        <v>1.269</v>
      </c>
      <c r="N402" s="14" t="n">
        <v>11084.16</v>
      </c>
      <c r="O402" s="14" t="n">
        <v>2349.6</v>
      </c>
      <c r="P402" s="21" t="n">
        <v>0.053</v>
      </c>
      <c r="Q402" s="6" t="n">
        <v>150</v>
      </c>
      <c r="R402" s="6" t="s">
        <v>155</v>
      </c>
      <c r="S402" s="21" t="n">
        <v>0.829</v>
      </c>
      <c r="T402" s="14" t="n">
        <v>9188.77</v>
      </c>
      <c r="U402" s="6" t="s">
        <v>46</v>
      </c>
    </row>
    <row r="403" customFormat="false" ht="15" hidden="false" customHeight="true" outlineLevel="0" collapsed="false">
      <c r="A403" s="6" t="s">
        <v>999</v>
      </c>
      <c r="B403" s="6" t="s">
        <v>1000</v>
      </c>
      <c r="C403" s="6" t="s">
        <v>124</v>
      </c>
      <c r="D403" s="6" t="s">
        <v>238</v>
      </c>
      <c r="E403" s="6" t="s">
        <v>299</v>
      </c>
      <c r="F403" s="13" t="n">
        <v>44861</v>
      </c>
      <c r="G403" s="13" t="n">
        <v>44921</v>
      </c>
      <c r="H403" s="14" t="n">
        <v>168696.8</v>
      </c>
      <c r="I403" s="6" t="n">
        <v>1</v>
      </c>
      <c r="J403" s="6" t="n">
        <v>569</v>
      </c>
      <c r="K403" s="6" t="s">
        <v>160</v>
      </c>
      <c r="L403" s="14" t="n">
        <v>38746.05</v>
      </c>
      <c r="M403" s="22" t="n">
        <v>1.226</v>
      </c>
      <c r="N403" s="14" t="n">
        <v>47502.66</v>
      </c>
      <c r="O403" s="14" t="n">
        <v>8756.61</v>
      </c>
      <c r="P403" s="21" t="n">
        <v>0.155</v>
      </c>
      <c r="Q403" s="6" t="n">
        <v>60</v>
      </c>
      <c r="R403" s="6" t="s">
        <v>161</v>
      </c>
      <c r="S403" s="21" t="n">
        <v>1</v>
      </c>
      <c r="T403" s="14" t="n">
        <v>47502.66</v>
      </c>
      <c r="U403" s="6" t="s">
        <v>20</v>
      </c>
    </row>
    <row r="404" customFormat="false" ht="15" hidden="false" customHeight="true" outlineLevel="0" collapsed="false">
      <c r="A404" s="6" t="s">
        <v>1001</v>
      </c>
      <c r="B404" s="6" t="s">
        <v>1002</v>
      </c>
      <c r="C404" s="6" t="s">
        <v>112</v>
      </c>
      <c r="D404" s="6" t="s">
        <v>164</v>
      </c>
      <c r="E404" s="6" t="s">
        <v>165</v>
      </c>
      <c r="F404" s="13" t="n">
        <v>45543</v>
      </c>
      <c r="G404" s="13" t="n">
        <v>45603</v>
      </c>
      <c r="H404" s="14" t="n">
        <v>14694.99</v>
      </c>
      <c r="I404" s="6" t="n">
        <v>2</v>
      </c>
      <c r="J404" s="6" t="n">
        <v>798</v>
      </c>
      <c r="K404" s="6" t="s">
        <v>185</v>
      </c>
      <c r="L404" s="14" t="n">
        <v>4101.46</v>
      </c>
      <c r="M404" s="22" t="n">
        <v>1.141</v>
      </c>
      <c r="N404" s="14" t="n">
        <v>4679.77</v>
      </c>
      <c r="O404" s="14" t="n">
        <v>578.31</v>
      </c>
      <c r="P404" s="21" t="n">
        <v>0.168</v>
      </c>
      <c r="Q404" s="6" t="n">
        <v>60</v>
      </c>
      <c r="R404" s="6" t="s">
        <v>161</v>
      </c>
      <c r="S404" s="21" t="n">
        <v>1</v>
      </c>
      <c r="T404" s="14" t="n">
        <v>4679.77</v>
      </c>
      <c r="U404" s="6" t="s">
        <v>43</v>
      </c>
    </row>
    <row r="405" customFormat="false" ht="15" hidden="false" customHeight="true" outlineLevel="0" collapsed="false">
      <c r="A405" s="6" t="s">
        <v>1003</v>
      </c>
      <c r="B405" s="6" t="s">
        <v>1004</v>
      </c>
      <c r="C405" s="6" t="s">
        <v>131</v>
      </c>
      <c r="D405" s="6" t="s">
        <v>152</v>
      </c>
      <c r="E405" s="6" t="s">
        <v>177</v>
      </c>
      <c r="F405" s="13" t="n">
        <v>45524</v>
      </c>
      <c r="G405" s="13" t="n">
        <v>45598</v>
      </c>
      <c r="H405" s="14" t="n">
        <v>75128.24</v>
      </c>
      <c r="I405" s="6" t="n">
        <v>0</v>
      </c>
      <c r="J405" s="6" t="n">
        <v>708</v>
      </c>
      <c r="K405" s="6" t="s">
        <v>160</v>
      </c>
      <c r="L405" s="14" t="n">
        <v>14292.13</v>
      </c>
      <c r="M405" s="22" t="n">
        <v>1.168</v>
      </c>
      <c r="N405" s="14" t="n">
        <v>16693.21</v>
      </c>
      <c r="O405" s="14" t="n">
        <v>2401.08</v>
      </c>
      <c r="P405" s="21" t="n">
        <v>0.09</v>
      </c>
      <c r="Q405" s="6" t="n">
        <v>74</v>
      </c>
      <c r="R405" s="6" t="s">
        <v>161</v>
      </c>
      <c r="S405" s="21" t="n">
        <v>1</v>
      </c>
      <c r="T405" s="14" t="n">
        <v>16693.21</v>
      </c>
      <c r="U405" s="6" t="s">
        <v>42</v>
      </c>
    </row>
    <row r="406" customFormat="false" ht="15" hidden="false" customHeight="true" outlineLevel="0" collapsed="false">
      <c r="A406" s="6" t="s">
        <v>1005</v>
      </c>
      <c r="B406" s="6" t="s">
        <v>1006</v>
      </c>
      <c r="C406" s="6" t="s">
        <v>120</v>
      </c>
      <c r="D406" s="6" t="s">
        <v>263</v>
      </c>
      <c r="E406" s="6" t="s">
        <v>207</v>
      </c>
      <c r="F406" s="13" t="n">
        <v>45248</v>
      </c>
      <c r="G406" s="13" t="n">
        <v>45400</v>
      </c>
      <c r="H406" s="14" t="n">
        <v>219689.87</v>
      </c>
      <c r="I406" s="6" t="n">
        <v>1</v>
      </c>
      <c r="J406" s="6" t="n">
        <v>573</v>
      </c>
      <c r="K406" s="6" t="s">
        <v>160</v>
      </c>
      <c r="L406" s="14" t="n">
        <v>85395.01</v>
      </c>
      <c r="M406" s="22" t="n">
        <v>1.174</v>
      </c>
      <c r="N406" s="14" t="n">
        <v>100253.74</v>
      </c>
      <c r="O406" s="14" t="n">
        <v>14858.73</v>
      </c>
      <c r="P406" s="21" t="n">
        <v>0.09</v>
      </c>
      <c r="Q406" s="6" t="n">
        <v>152</v>
      </c>
      <c r="R406" s="6" t="s">
        <v>161</v>
      </c>
      <c r="S406" s="21" t="n">
        <v>1</v>
      </c>
      <c r="T406" s="14" t="n">
        <v>100253.74</v>
      </c>
      <c r="U406" s="6" t="s">
        <v>33</v>
      </c>
    </row>
    <row r="407" customFormat="false" ht="15" hidden="false" customHeight="true" outlineLevel="0" collapsed="false">
      <c r="A407" s="6" t="s">
        <v>1007</v>
      </c>
      <c r="B407" s="6" t="s">
        <v>1008</v>
      </c>
      <c r="C407" s="6" t="s">
        <v>120</v>
      </c>
      <c r="D407" s="6" t="s">
        <v>158</v>
      </c>
      <c r="E407" s="6" t="s">
        <v>165</v>
      </c>
      <c r="F407" s="13" t="n">
        <v>45689</v>
      </c>
      <c r="G407" s="13" t="n">
        <v>45750</v>
      </c>
      <c r="H407" s="14" t="n">
        <v>204773.72</v>
      </c>
      <c r="I407" s="6" t="n">
        <v>5</v>
      </c>
      <c r="J407" s="6" t="n">
        <v>501</v>
      </c>
      <c r="K407" s="6" t="s">
        <v>160</v>
      </c>
      <c r="L407" s="14" t="n">
        <v>59950.45</v>
      </c>
      <c r="M407" s="22" t="n">
        <v>1.214</v>
      </c>
      <c r="N407" s="14" t="n">
        <v>72779.85</v>
      </c>
      <c r="O407" s="14" t="n">
        <v>12829.4</v>
      </c>
      <c r="P407" s="21" t="n">
        <v>0.172</v>
      </c>
      <c r="Q407" s="6" t="n">
        <v>61</v>
      </c>
      <c r="R407" s="6" t="s">
        <v>161</v>
      </c>
      <c r="S407" s="21" t="n">
        <v>1</v>
      </c>
      <c r="T407" s="14" t="n">
        <v>72779.85</v>
      </c>
      <c r="U407" s="6" t="s">
        <v>48</v>
      </c>
    </row>
    <row r="408" customFormat="false" ht="15" hidden="false" customHeight="true" outlineLevel="0" collapsed="false">
      <c r="A408" s="6" t="s">
        <v>1009</v>
      </c>
      <c r="B408" s="6" t="s">
        <v>1010</v>
      </c>
      <c r="C408" s="6" t="s">
        <v>116</v>
      </c>
      <c r="D408" s="6" t="s">
        <v>152</v>
      </c>
      <c r="E408" s="6" t="s">
        <v>177</v>
      </c>
      <c r="F408" s="13" t="n">
        <v>46083</v>
      </c>
      <c r="G408" s="13" t="n">
        <v>46143</v>
      </c>
      <c r="H408" s="14" t="n">
        <v>191950.11</v>
      </c>
      <c r="I408" s="6" t="n">
        <v>5</v>
      </c>
      <c r="J408" s="6" t="n">
        <v>513</v>
      </c>
      <c r="K408" s="6" t="s">
        <v>154</v>
      </c>
      <c r="L408" s="14" t="n">
        <v>35199.12</v>
      </c>
      <c r="M408" s="22" t="n">
        <v>1.152</v>
      </c>
      <c r="N408" s="14" t="n">
        <v>40549.39</v>
      </c>
      <c r="O408" s="14" t="n">
        <v>5350.27</v>
      </c>
      <c r="P408" s="21" t="n">
        <v>0.152</v>
      </c>
      <c r="Q408" s="6" t="n">
        <v>60</v>
      </c>
      <c r="R408" s="6" t="s">
        <v>161</v>
      </c>
      <c r="S408" s="21" t="n">
        <v>1</v>
      </c>
      <c r="T408" s="14" t="n">
        <v>40549.39</v>
      </c>
      <c r="U408" s="6" t="s">
        <v>61</v>
      </c>
    </row>
    <row r="409" customFormat="false" ht="15" hidden="false" customHeight="true" outlineLevel="0" collapsed="false">
      <c r="A409" s="6" t="s">
        <v>1011</v>
      </c>
      <c r="B409" s="6" t="s">
        <v>1012</v>
      </c>
      <c r="C409" s="6" t="s">
        <v>128</v>
      </c>
      <c r="D409" s="6" t="s">
        <v>235</v>
      </c>
      <c r="E409" s="6" t="s">
        <v>326</v>
      </c>
      <c r="F409" s="13" t="n">
        <v>45671</v>
      </c>
      <c r="G409" s="13" t="n">
        <v>45776</v>
      </c>
      <c r="H409" s="14" t="n">
        <v>93559.45</v>
      </c>
      <c r="I409" s="6" t="n">
        <v>0</v>
      </c>
      <c r="J409" s="6" t="n">
        <v>507</v>
      </c>
      <c r="K409" s="6" t="s">
        <v>160</v>
      </c>
      <c r="L409" s="14" t="n">
        <v>24610.89</v>
      </c>
      <c r="M409" s="22" t="n">
        <v>1.341</v>
      </c>
      <c r="N409" s="14" t="n">
        <v>33003.2</v>
      </c>
      <c r="O409" s="14" t="n">
        <v>8392.31</v>
      </c>
      <c r="P409" s="21" t="n">
        <v>0.1</v>
      </c>
      <c r="Q409" s="6" t="n">
        <v>105</v>
      </c>
      <c r="R409" s="6" t="s">
        <v>161</v>
      </c>
      <c r="S409" s="21" t="n">
        <v>1</v>
      </c>
      <c r="T409" s="14" t="n">
        <v>33003.2</v>
      </c>
      <c r="U409" s="6" t="s">
        <v>47</v>
      </c>
    </row>
    <row r="410" customFormat="false" ht="15" hidden="false" customHeight="true" outlineLevel="0" collapsed="false">
      <c r="A410" s="6" t="s">
        <v>1013</v>
      </c>
      <c r="B410" s="6" t="s">
        <v>1014</v>
      </c>
      <c r="C410" s="6" t="s">
        <v>128</v>
      </c>
      <c r="D410" s="6" t="s">
        <v>235</v>
      </c>
      <c r="E410" s="6" t="s">
        <v>299</v>
      </c>
      <c r="F410" s="13" t="n">
        <v>45804</v>
      </c>
      <c r="G410" s="13" t="n">
        <v>45864</v>
      </c>
      <c r="H410" s="14" t="n">
        <v>221397.13</v>
      </c>
      <c r="I410" s="6" t="n">
        <v>1</v>
      </c>
      <c r="J410" s="6" t="n">
        <v>753</v>
      </c>
      <c r="K410" s="6" t="s">
        <v>160</v>
      </c>
      <c r="L410" s="14" t="n">
        <v>42484.5</v>
      </c>
      <c r="M410" s="22" t="n">
        <v>1.246</v>
      </c>
      <c r="N410" s="14" t="n">
        <v>52935.69</v>
      </c>
      <c r="O410" s="14" t="n">
        <v>10451.19</v>
      </c>
      <c r="P410" s="21" t="n">
        <v>0.159</v>
      </c>
      <c r="Q410" s="6" t="n">
        <v>60</v>
      </c>
      <c r="R410" s="6" t="s">
        <v>155</v>
      </c>
      <c r="S410" s="21" t="n">
        <v>0.751</v>
      </c>
      <c r="T410" s="14" t="n">
        <v>39754.7</v>
      </c>
      <c r="U410" s="6" t="s">
        <v>51</v>
      </c>
    </row>
    <row r="411" customFormat="false" ht="15" hidden="false" customHeight="true" outlineLevel="0" collapsed="false">
      <c r="A411" s="6" t="s">
        <v>1015</v>
      </c>
      <c r="B411" s="6" t="s">
        <v>1016</v>
      </c>
      <c r="C411" s="6" t="s">
        <v>131</v>
      </c>
      <c r="D411" s="6" t="s">
        <v>176</v>
      </c>
      <c r="E411" s="6" t="s">
        <v>219</v>
      </c>
      <c r="F411" s="13" t="n">
        <v>45430</v>
      </c>
      <c r="G411" s="13" t="n">
        <v>45490</v>
      </c>
      <c r="H411" s="14" t="n">
        <v>117443.49</v>
      </c>
      <c r="I411" s="6" t="n">
        <v>3</v>
      </c>
      <c r="J411" s="6" t="n">
        <v>624</v>
      </c>
      <c r="K411" s="6" t="s">
        <v>160</v>
      </c>
      <c r="L411" s="14" t="n">
        <v>16934.96</v>
      </c>
      <c r="M411" s="22" t="n">
        <v>1.198</v>
      </c>
      <c r="N411" s="14" t="n">
        <v>20288.08</v>
      </c>
      <c r="O411" s="14" t="n">
        <v>3353.12</v>
      </c>
      <c r="P411" s="21" t="n">
        <v>0.108</v>
      </c>
      <c r="Q411" s="6" t="n">
        <v>60</v>
      </c>
      <c r="R411" s="6" t="s">
        <v>155</v>
      </c>
      <c r="S411" s="21" t="n">
        <v>0.789</v>
      </c>
      <c r="T411" s="14" t="n">
        <v>16007.3</v>
      </c>
      <c r="U411" s="6" t="s">
        <v>39</v>
      </c>
    </row>
    <row r="412" customFormat="false" ht="15" hidden="false" customHeight="true" outlineLevel="0" collapsed="false">
      <c r="A412" s="6" t="s">
        <v>1017</v>
      </c>
      <c r="B412" s="6" t="s">
        <v>1018</v>
      </c>
      <c r="C412" s="6" t="s">
        <v>112</v>
      </c>
      <c r="D412" s="6" t="s">
        <v>172</v>
      </c>
      <c r="E412" s="6" t="s">
        <v>207</v>
      </c>
      <c r="F412" s="13" t="n">
        <v>45400</v>
      </c>
      <c r="G412" s="13" t="n">
        <v>45469</v>
      </c>
      <c r="H412" s="14" t="n">
        <v>27179.8</v>
      </c>
      <c r="I412" s="6" t="n">
        <v>4</v>
      </c>
      <c r="J412" s="6" t="n">
        <v>645</v>
      </c>
      <c r="K412" s="6" t="s">
        <v>160</v>
      </c>
      <c r="L412" s="14" t="n">
        <v>3551.62</v>
      </c>
      <c r="M412" s="22" t="n">
        <v>1.315</v>
      </c>
      <c r="N412" s="14" t="n">
        <v>4670.38</v>
      </c>
      <c r="O412" s="14" t="n">
        <v>1118.76</v>
      </c>
      <c r="P412" s="21" t="n">
        <v>0.074</v>
      </c>
      <c r="Q412" s="6" t="n">
        <v>69</v>
      </c>
      <c r="R412" s="6" t="s">
        <v>161</v>
      </c>
      <c r="S412" s="21" t="n">
        <v>1</v>
      </c>
      <c r="T412" s="14" t="n">
        <v>4670.38</v>
      </c>
      <c r="U412" s="6" t="s">
        <v>38</v>
      </c>
    </row>
    <row r="413" customFormat="false" ht="15" hidden="false" customHeight="true" outlineLevel="0" collapsed="false">
      <c r="A413" s="6" t="s">
        <v>1019</v>
      </c>
      <c r="B413" s="6" t="s">
        <v>1020</v>
      </c>
      <c r="C413" s="6" t="s">
        <v>116</v>
      </c>
      <c r="D413" s="6" t="s">
        <v>206</v>
      </c>
      <c r="E413" s="6" t="s">
        <v>219</v>
      </c>
      <c r="F413" s="13" t="n">
        <v>44928</v>
      </c>
      <c r="G413" s="13" t="n">
        <v>45041</v>
      </c>
      <c r="H413" s="14" t="n">
        <v>24306.47</v>
      </c>
      <c r="I413" s="6" t="n">
        <v>0</v>
      </c>
      <c r="J413" s="6" t="n">
        <v>762</v>
      </c>
      <c r="K413" s="6" t="s">
        <v>160</v>
      </c>
      <c r="L413" s="14" t="n">
        <v>7330.39</v>
      </c>
      <c r="M413" s="22" t="n">
        <v>1.229</v>
      </c>
      <c r="N413" s="14" t="n">
        <v>9009.05</v>
      </c>
      <c r="O413" s="14" t="n">
        <v>1678.66</v>
      </c>
      <c r="P413" s="21" t="n">
        <v>0.098</v>
      </c>
      <c r="Q413" s="6" t="n">
        <v>113</v>
      </c>
      <c r="R413" s="6" t="s">
        <v>155</v>
      </c>
      <c r="S413" s="21" t="n">
        <v>0.98</v>
      </c>
      <c r="T413" s="14" t="n">
        <v>8828.87</v>
      </c>
      <c r="U413" s="6" t="s">
        <v>23</v>
      </c>
    </row>
    <row r="414" customFormat="false" ht="15" hidden="false" customHeight="true" outlineLevel="0" collapsed="false">
      <c r="A414" s="6" t="s">
        <v>1021</v>
      </c>
      <c r="B414" s="6" t="s">
        <v>1022</v>
      </c>
      <c r="C414" s="6" t="s">
        <v>128</v>
      </c>
      <c r="D414" s="6" t="s">
        <v>235</v>
      </c>
      <c r="E414" s="6" t="s">
        <v>169</v>
      </c>
      <c r="F414" s="13" t="n">
        <v>45585</v>
      </c>
      <c r="G414" s="13" t="n">
        <v>45687</v>
      </c>
      <c r="H414" s="14" t="n">
        <v>93652.39</v>
      </c>
      <c r="I414" s="6" t="n">
        <v>1</v>
      </c>
      <c r="J414" s="6" t="n">
        <v>730</v>
      </c>
      <c r="K414" s="6" t="s">
        <v>185</v>
      </c>
      <c r="L414" s="14" t="n">
        <v>30908.1</v>
      </c>
      <c r="M414" s="22" t="n">
        <v>1.19</v>
      </c>
      <c r="N414" s="14" t="n">
        <v>36780.64</v>
      </c>
      <c r="O414" s="14" t="n">
        <v>5872.54</v>
      </c>
      <c r="P414" s="21" t="n">
        <v>0.115</v>
      </c>
      <c r="Q414" s="6" t="n">
        <v>102</v>
      </c>
      <c r="R414" s="6" t="s">
        <v>155</v>
      </c>
      <c r="S414" s="21" t="n">
        <v>0.713</v>
      </c>
      <c r="T414" s="14" t="n">
        <v>26224.6</v>
      </c>
      <c r="U414" s="6" t="s">
        <v>44</v>
      </c>
    </row>
    <row r="415" customFormat="false" ht="15" hidden="false" customHeight="true" outlineLevel="0" collapsed="false">
      <c r="A415" s="6" t="s">
        <v>1023</v>
      </c>
      <c r="B415" s="6" t="s">
        <v>1024</v>
      </c>
      <c r="C415" s="6" t="s">
        <v>116</v>
      </c>
      <c r="D415" s="6" t="s">
        <v>222</v>
      </c>
      <c r="E415" s="6" t="s">
        <v>304</v>
      </c>
      <c r="F415" s="13" t="n">
        <v>45900</v>
      </c>
      <c r="G415" s="13" t="n">
        <v>45960</v>
      </c>
      <c r="H415" s="14" t="n">
        <v>67378.57</v>
      </c>
      <c r="I415" s="6" t="n">
        <v>0</v>
      </c>
      <c r="J415" s="6" t="n">
        <v>705</v>
      </c>
      <c r="K415" s="6" t="s">
        <v>154</v>
      </c>
      <c r="L415" s="14" t="n">
        <v>9011.94</v>
      </c>
      <c r="M415" s="22" t="n">
        <v>1.206</v>
      </c>
      <c r="N415" s="14" t="n">
        <v>10868.4</v>
      </c>
      <c r="O415" s="14" t="n">
        <v>1856.46</v>
      </c>
      <c r="P415" s="21" t="n">
        <v>0.1</v>
      </c>
      <c r="Q415" s="6" t="n">
        <v>60</v>
      </c>
      <c r="R415" s="6" t="s">
        <v>155</v>
      </c>
      <c r="S415" s="21" t="n">
        <v>0.727</v>
      </c>
      <c r="T415" s="14" t="n">
        <v>7901.33</v>
      </c>
      <c r="U415" s="6" t="s">
        <v>54</v>
      </c>
    </row>
    <row r="416" customFormat="false" ht="15" hidden="false" customHeight="true" outlineLevel="0" collapsed="false">
      <c r="A416" s="6" t="s">
        <v>1025</v>
      </c>
      <c r="B416" s="6" t="s">
        <v>1026</v>
      </c>
      <c r="C416" s="6" t="s">
        <v>128</v>
      </c>
      <c r="D416" s="6" t="s">
        <v>172</v>
      </c>
      <c r="E416" s="6" t="s">
        <v>169</v>
      </c>
      <c r="F416" s="13" t="n">
        <v>45761</v>
      </c>
      <c r="G416" s="13" t="n">
        <v>45821</v>
      </c>
      <c r="H416" s="14" t="n">
        <v>97846.48</v>
      </c>
      <c r="I416" s="6" t="n">
        <v>1</v>
      </c>
      <c r="J416" s="6" t="n">
        <v>607</v>
      </c>
      <c r="K416" s="6" t="s">
        <v>185</v>
      </c>
      <c r="L416" s="14" t="n">
        <v>17478.67</v>
      </c>
      <c r="M416" s="22" t="n">
        <v>1.179</v>
      </c>
      <c r="N416" s="14" t="n">
        <v>20607.35</v>
      </c>
      <c r="O416" s="14" t="n">
        <v>3128.68</v>
      </c>
      <c r="P416" s="21" t="n">
        <v>0.154</v>
      </c>
      <c r="Q416" s="6" t="n">
        <v>60</v>
      </c>
      <c r="R416" s="6" t="s">
        <v>155</v>
      </c>
      <c r="S416" s="21" t="n">
        <v>0.853</v>
      </c>
      <c r="T416" s="14" t="n">
        <v>17578.07</v>
      </c>
      <c r="U416" s="6" t="s">
        <v>50</v>
      </c>
    </row>
    <row r="417" customFormat="false" ht="15" hidden="false" customHeight="true" outlineLevel="0" collapsed="false">
      <c r="A417" s="6" t="s">
        <v>1027</v>
      </c>
      <c r="B417" s="6" t="s">
        <v>1028</v>
      </c>
      <c r="C417" s="6" t="s">
        <v>116</v>
      </c>
      <c r="D417" s="6" t="s">
        <v>152</v>
      </c>
      <c r="E417" s="6" t="s">
        <v>173</v>
      </c>
      <c r="F417" s="13" t="n">
        <v>44872</v>
      </c>
      <c r="G417" s="13" t="n">
        <v>44932</v>
      </c>
      <c r="H417" s="14" t="n">
        <v>100901.27</v>
      </c>
      <c r="I417" s="6" t="n">
        <v>1</v>
      </c>
      <c r="J417" s="6" t="n">
        <v>513</v>
      </c>
      <c r="K417" s="6" t="s">
        <v>160</v>
      </c>
      <c r="L417" s="14" t="n">
        <v>7503.62</v>
      </c>
      <c r="M417" s="22" t="n">
        <v>1.193</v>
      </c>
      <c r="N417" s="14" t="n">
        <v>8951.82</v>
      </c>
      <c r="O417" s="14" t="n">
        <v>1448.2</v>
      </c>
      <c r="P417" s="21" t="n">
        <v>0.075</v>
      </c>
      <c r="Q417" s="6" t="n">
        <v>60</v>
      </c>
      <c r="R417" s="6" t="s">
        <v>161</v>
      </c>
      <c r="S417" s="21" t="n">
        <v>1</v>
      </c>
      <c r="T417" s="14" t="n">
        <v>8951.82</v>
      </c>
      <c r="U417" s="6" t="s">
        <v>21</v>
      </c>
    </row>
    <row r="418" customFormat="false" ht="15" hidden="false" customHeight="true" outlineLevel="0" collapsed="false">
      <c r="A418" s="6" t="s">
        <v>1029</v>
      </c>
      <c r="B418" s="6" t="s">
        <v>1030</v>
      </c>
      <c r="C418" s="6" t="s">
        <v>112</v>
      </c>
      <c r="D418" s="6" t="s">
        <v>172</v>
      </c>
      <c r="E418" s="6" t="s">
        <v>184</v>
      </c>
      <c r="F418" s="13" t="n">
        <v>46081</v>
      </c>
      <c r="G418" s="13" t="n">
        <v>46208</v>
      </c>
      <c r="H418" s="14" t="n">
        <v>204428.93</v>
      </c>
      <c r="I418" s="6" t="n">
        <v>0</v>
      </c>
      <c r="J418" s="6" t="n">
        <v>733</v>
      </c>
      <c r="K418" s="6" t="s">
        <v>160</v>
      </c>
      <c r="L418" s="14" t="n">
        <v>92990.85</v>
      </c>
      <c r="M418" s="22" t="n">
        <v>1.15</v>
      </c>
      <c r="N418" s="14" t="n">
        <v>106939.48</v>
      </c>
      <c r="O418" s="14" t="n">
        <v>13948.63</v>
      </c>
      <c r="P418" s="21" t="n">
        <v>0.123</v>
      </c>
      <c r="Q418" s="6" t="n">
        <v>127</v>
      </c>
      <c r="R418" s="6" t="s">
        <v>161</v>
      </c>
      <c r="S418" s="21" t="n">
        <v>1</v>
      </c>
      <c r="T418" s="14" t="n">
        <v>106939.48</v>
      </c>
      <c r="U418" s="6" t="s">
        <v>60</v>
      </c>
    </row>
    <row r="419" customFormat="false" ht="15" hidden="false" customHeight="true" outlineLevel="0" collapsed="false">
      <c r="A419" s="6" t="s">
        <v>1031</v>
      </c>
      <c r="B419" s="6" t="s">
        <v>1032</v>
      </c>
      <c r="C419" s="6" t="s">
        <v>131</v>
      </c>
      <c r="D419" s="6" t="s">
        <v>200</v>
      </c>
      <c r="E419" s="6" t="s">
        <v>181</v>
      </c>
      <c r="F419" s="13" t="n">
        <v>44678</v>
      </c>
      <c r="G419" s="13" t="n">
        <v>44774</v>
      </c>
      <c r="H419" s="14" t="n">
        <v>145110.63</v>
      </c>
      <c r="I419" s="6" t="n">
        <v>0</v>
      </c>
      <c r="J419" s="6" t="n">
        <v>578</v>
      </c>
      <c r="K419" s="6" t="s">
        <v>185</v>
      </c>
      <c r="L419" s="14" t="n">
        <v>61646.94</v>
      </c>
      <c r="M419" s="22" t="n">
        <v>1.289</v>
      </c>
      <c r="N419" s="14" t="n">
        <v>79462.91</v>
      </c>
      <c r="O419" s="14" t="n">
        <v>17815.97</v>
      </c>
      <c r="P419" s="21" t="n">
        <v>0.17</v>
      </c>
      <c r="Q419" s="6" t="n">
        <v>96</v>
      </c>
      <c r="R419" s="6" t="s">
        <v>161</v>
      </c>
      <c r="S419" s="21" t="n">
        <v>1</v>
      </c>
      <c r="T419" s="14" t="n">
        <v>79462.91</v>
      </c>
      <c r="U419" s="6" t="s">
        <v>14</v>
      </c>
    </row>
    <row r="420" customFormat="false" ht="15" hidden="false" customHeight="true" outlineLevel="0" collapsed="false">
      <c r="A420" s="6" t="s">
        <v>1033</v>
      </c>
      <c r="B420" s="6" t="s">
        <v>1034</v>
      </c>
      <c r="C420" s="6" t="s">
        <v>124</v>
      </c>
      <c r="D420" s="6" t="s">
        <v>243</v>
      </c>
      <c r="E420" s="6" t="s">
        <v>254</v>
      </c>
      <c r="F420" s="13" t="n">
        <v>45995</v>
      </c>
      <c r="G420" s="13" t="n">
        <v>46055</v>
      </c>
      <c r="H420" s="14" t="n">
        <v>248024.62</v>
      </c>
      <c r="I420" s="6" t="n">
        <v>0</v>
      </c>
      <c r="J420" s="6" t="n">
        <v>557</v>
      </c>
      <c r="K420" s="6" t="s">
        <v>160</v>
      </c>
      <c r="L420" s="14" t="n">
        <v>54726.96</v>
      </c>
      <c r="M420" s="22" t="n">
        <v>1.263</v>
      </c>
      <c r="N420" s="14" t="n">
        <v>69120.15</v>
      </c>
      <c r="O420" s="14" t="n">
        <v>14393.19</v>
      </c>
      <c r="P420" s="21" t="n">
        <v>0.169</v>
      </c>
      <c r="Q420" s="6" t="n">
        <v>60</v>
      </c>
      <c r="R420" s="6" t="s">
        <v>161</v>
      </c>
      <c r="S420" s="21" t="n">
        <v>1</v>
      </c>
      <c r="T420" s="14" t="n">
        <v>69120.15</v>
      </c>
      <c r="U420" s="6" t="s">
        <v>58</v>
      </c>
    </row>
    <row r="421" customFormat="false" ht="15" hidden="false" customHeight="true" outlineLevel="0" collapsed="false">
      <c r="A421" s="6" t="s">
        <v>1035</v>
      </c>
      <c r="B421" s="6" t="s">
        <v>1036</v>
      </c>
      <c r="C421" s="6" t="s">
        <v>124</v>
      </c>
      <c r="D421" s="6" t="s">
        <v>243</v>
      </c>
      <c r="E421" s="6" t="s">
        <v>207</v>
      </c>
      <c r="F421" s="13" t="n">
        <v>46151</v>
      </c>
      <c r="G421" s="13" t="n">
        <v>46225</v>
      </c>
      <c r="H421" s="14" t="n">
        <v>151595.58</v>
      </c>
      <c r="I421" s="6" t="n">
        <v>1</v>
      </c>
      <c r="J421" s="6" t="n">
        <v>668</v>
      </c>
      <c r="K421" s="6" t="s">
        <v>160</v>
      </c>
      <c r="L421" s="14" t="n">
        <v>20002.19</v>
      </c>
      <c r="M421" s="22" t="n">
        <v>1.31</v>
      </c>
      <c r="N421" s="14" t="n">
        <v>26202.87</v>
      </c>
      <c r="O421" s="14" t="n">
        <v>6200.68</v>
      </c>
      <c r="P421" s="21" t="n">
        <v>0.07</v>
      </c>
      <c r="Q421" s="6" t="n">
        <v>74</v>
      </c>
      <c r="R421" s="6" t="s">
        <v>161</v>
      </c>
      <c r="S421" s="21" t="n">
        <v>1</v>
      </c>
      <c r="T421" s="14" t="n">
        <v>26202.87</v>
      </c>
      <c r="U421" s="6" t="s">
        <v>63</v>
      </c>
    </row>
    <row r="422" customFormat="false" ht="15" hidden="false" customHeight="true" outlineLevel="0" collapsed="false">
      <c r="A422" s="6" t="s">
        <v>1037</v>
      </c>
      <c r="B422" s="6" t="s">
        <v>1038</v>
      </c>
      <c r="C422" s="6" t="s">
        <v>124</v>
      </c>
      <c r="D422" s="6" t="s">
        <v>168</v>
      </c>
      <c r="E422" s="6" t="s">
        <v>159</v>
      </c>
      <c r="F422" s="13" t="n">
        <v>45765</v>
      </c>
      <c r="G422" s="13" t="n">
        <v>45838</v>
      </c>
      <c r="H422" s="14" t="n">
        <v>200210.32</v>
      </c>
      <c r="I422" s="6" t="n">
        <v>3</v>
      </c>
      <c r="J422" s="6" t="n">
        <v>713</v>
      </c>
      <c r="K422" s="6" t="s">
        <v>160</v>
      </c>
      <c r="L422" s="14" t="n">
        <v>26243.7</v>
      </c>
      <c r="M422" s="22" t="n">
        <v>1.122</v>
      </c>
      <c r="N422" s="14" t="n">
        <v>29445.43</v>
      </c>
      <c r="O422" s="14" t="n">
        <v>3201.73</v>
      </c>
      <c r="P422" s="21" t="n">
        <v>0.06</v>
      </c>
      <c r="Q422" s="6" t="n">
        <v>73</v>
      </c>
      <c r="R422" s="6" t="s">
        <v>155</v>
      </c>
      <c r="S422" s="21" t="n">
        <v>0.752</v>
      </c>
      <c r="T422" s="14" t="n">
        <v>22142.96</v>
      </c>
      <c r="U422" s="6" t="s">
        <v>50</v>
      </c>
    </row>
    <row r="423" customFormat="false" ht="15" hidden="false" customHeight="true" outlineLevel="0" collapsed="false">
      <c r="A423" s="6" t="s">
        <v>1039</v>
      </c>
      <c r="B423" s="6" t="s">
        <v>1040</v>
      </c>
      <c r="C423" s="6" t="s">
        <v>120</v>
      </c>
      <c r="D423" s="6" t="s">
        <v>158</v>
      </c>
      <c r="E423" s="6" t="s">
        <v>304</v>
      </c>
      <c r="F423" s="13" t="n">
        <v>45224</v>
      </c>
      <c r="G423" s="13" t="n">
        <v>45313</v>
      </c>
      <c r="H423" s="14" t="n">
        <v>15593.84</v>
      </c>
      <c r="I423" s="6" t="n">
        <v>3</v>
      </c>
      <c r="J423" s="6" t="n">
        <v>581</v>
      </c>
      <c r="K423" s="6" t="s">
        <v>160</v>
      </c>
      <c r="L423" s="14" t="n">
        <v>5249.49</v>
      </c>
      <c r="M423" s="22" t="n">
        <v>1.341</v>
      </c>
      <c r="N423" s="14" t="n">
        <v>7039.57</v>
      </c>
      <c r="O423" s="14" t="n">
        <v>1790.08</v>
      </c>
      <c r="P423" s="21" t="n">
        <v>0.152</v>
      </c>
      <c r="Q423" s="6" t="n">
        <v>89</v>
      </c>
      <c r="R423" s="6" t="s">
        <v>161</v>
      </c>
      <c r="S423" s="21" t="n">
        <v>1</v>
      </c>
      <c r="T423" s="14" t="n">
        <v>7039.57</v>
      </c>
      <c r="U423" s="6" t="s">
        <v>32</v>
      </c>
    </row>
    <row r="424" customFormat="false" ht="15" hidden="false" customHeight="true" outlineLevel="0" collapsed="false">
      <c r="A424" s="6" t="s">
        <v>1041</v>
      </c>
      <c r="B424" s="6" t="s">
        <v>1042</v>
      </c>
      <c r="C424" s="6" t="s">
        <v>112</v>
      </c>
      <c r="D424" s="6" t="s">
        <v>164</v>
      </c>
      <c r="E424" s="6" t="s">
        <v>201</v>
      </c>
      <c r="F424" s="13" t="n">
        <v>45955</v>
      </c>
      <c r="G424" s="13" t="n">
        <v>46165</v>
      </c>
      <c r="H424" s="14" t="n">
        <v>201650.49</v>
      </c>
      <c r="I424" s="6" t="n">
        <v>1</v>
      </c>
      <c r="J424" s="6" t="n">
        <v>501</v>
      </c>
      <c r="K424" s="6" t="s">
        <v>185</v>
      </c>
      <c r="L424" s="14" t="n">
        <v>85960.33</v>
      </c>
      <c r="M424" s="22" t="n">
        <v>1.134</v>
      </c>
      <c r="N424" s="14" t="n">
        <v>97479.01</v>
      </c>
      <c r="O424" s="14" t="n">
        <v>11518.68</v>
      </c>
      <c r="P424" s="21" t="n">
        <v>0.069</v>
      </c>
      <c r="Q424" s="6" t="n">
        <v>210</v>
      </c>
      <c r="R424" s="6" t="s">
        <v>161</v>
      </c>
      <c r="S424" s="21" t="n">
        <v>1</v>
      </c>
      <c r="T424" s="14" t="n">
        <v>97479.01</v>
      </c>
      <c r="U424" s="6" t="s">
        <v>56</v>
      </c>
    </row>
    <row r="425" customFormat="false" ht="15" hidden="false" customHeight="true" outlineLevel="0" collapsed="false">
      <c r="A425" s="6" t="s">
        <v>1043</v>
      </c>
      <c r="B425" s="6" t="s">
        <v>1044</v>
      </c>
      <c r="C425" s="6" t="s">
        <v>131</v>
      </c>
      <c r="D425" s="6" t="s">
        <v>200</v>
      </c>
      <c r="E425" s="6" t="s">
        <v>173</v>
      </c>
      <c r="F425" s="13" t="n">
        <v>46048</v>
      </c>
      <c r="G425" s="13" t="n">
        <v>46208</v>
      </c>
      <c r="H425" s="14" t="n">
        <v>168522.03</v>
      </c>
      <c r="I425" s="6" t="n">
        <v>1</v>
      </c>
      <c r="J425" s="6" t="n">
        <v>686</v>
      </c>
      <c r="K425" s="6" t="s">
        <v>160</v>
      </c>
      <c r="L425" s="14" t="n">
        <v>68475.37</v>
      </c>
      <c r="M425" s="22" t="n">
        <v>1.33</v>
      </c>
      <c r="N425" s="14" t="n">
        <v>91072.24</v>
      </c>
      <c r="O425" s="14" t="n">
        <v>22596.87</v>
      </c>
      <c r="P425" s="21" t="n">
        <v>0.101</v>
      </c>
      <c r="Q425" s="6" t="n">
        <v>160</v>
      </c>
      <c r="R425" s="6" t="s">
        <v>161</v>
      </c>
      <c r="S425" s="21" t="n">
        <v>1</v>
      </c>
      <c r="T425" s="14" t="n">
        <v>91072.24</v>
      </c>
      <c r="U425" s="6" t="s">
        <v>59</v>
      </c>
    </row>
    <row r="426" customFormat="false" ht="15" hidden="false" customHeight="true" outlineLevel="0" collapsed="false">
      <c r="A426" s="6" t="s">
        <v>1045</v>
      </c>
      <c r="B426" s="6" t="s">
        <v>1046</v>
      </c>
      <c r="C426" s="6" t="s">
        <v>128</v>
      </c>
      <c r="D426" s="6" t="s">
        <v>235</v>
      </c>
      <c r="E426" s="6" t="s">
        <v>169</v>
      </c>
      <c r="F426" s="13" t="n">
        <v>45678</v>
      </c>
      <c r="G426" s="13" t="n">
        <v>45738</v>
      </c>
      <c r="H426" s="14" t="n">
        <v>37547.6</v>
      </c>
      <c r="I426" s="6" t="n">
        <v>2</v>
      </c>
      <c r="J426" s="6" t="n">
        <v>589</v>
      </c>
      <c r="K426" s="6" t="s">
        <v>154</v>
      </c>
      <c r="L426" s="14" t="n">
        <v>5718.59</v>
      </c>
      <c r="M426" s="22" t="n">
        <v>1.128</v>
      </c>
      <c r="N426" s="14" t="n">
        <v>6450.57</v>
      </c>
      <c r="O426" s="14" t="n">
        <v>731.98</v>
      </c>
      <c r="P426" s="21" t="n">
        <v>0.155</v>
      </c>
      <c r="Q426" s="6" t="n">
        <v>60</v>
      </c>
      <c r="R426" s="6" t="s">
        <v>155</v>
      </c>
      <c r="S426" s="21" t="n">
        <v>0.954</v>
      </c>
      <c r="T426" s="14" t="n">
        <v>6153.84</v>
      </c>
      <c r="U426" s="6" t="s">
        <v>47</v>
      </c>
    </row>
    <row r="427" customFormat="false" ht="15" hidden="false" customHeight="true" outlineLevel="0" collapsed="false">
      <c r="A427" s="6" t="s">
        <v>1047</v>
      </c>
      <c r="B427" s="6" t="s">
        <v>1048</v>
      </c>
      <c r="C427" s="6" t="s">
        <v>124</v>
      </c>
      <c r="D427" s="6" t="s">
        <v>168</v>
      </c>
      <c r="E427" s="6" t="s">
        <v>195</v>
      </c>
      <c r="F427" s="13" t="n">
        <v>44699</v>
      </c>
      <c r="G427" s="13" t="n">
        <v>44759</v>
      </c>
      <c r="H427" s="14" t="n">
        <v>203360.56</v>
      </c>
      <c r="I427" s="6" t="n">
        <v>2</v>
      </c>
      <c r="J427" s="6" t="n">
        <v>629</v>
      </c>
      <c r="K427" s="6" t="s">
        <v>160</v>
      </c>
      <c r="L427" s="14" t="n">
        <v>33286.05</v>
      </c>
      <c r="M427" s="22" t="n">
        <v>1.289</v>
      </c>
      <c r="N427" s="14" t="n">
        <v>42905.72</v>
      </c>
      <c r="O427" s="14" t="n">
        <v>9619.67</v>
      </c>
      <c r="P427" s="21" t="n">
        <v>0.147</v>
      </c>
      <c r="Q427" s="6" t="n">
        <v>60</v>
      </c>
      <c r="R427" s="6" t="s">
        <v>232</v>
      </c>
      <c r="S427" s="21" t="n">
        <v>1</v>
      </c>
      <c r="T427" s="14" t="n">
        <v>42905.72</v>
      </c>
      <c r="U427" s="6" t="s">
        <v>15</v>
      </c>
    </row>
    <row r="428" customFormat="false" ht="15" hidden="false" customHeight="true" outlineLevel="0" collapsed="false">
      <c r="A428" s="6" t="s">
        <v>1049</v>
      </c>
      <c r="B428" s="6" t="s">
        <v>1050</v>
      </c>
      <c r="C428" s="6" t="s">
        <v>120</v>
      </c>
      <c r="D428" s="6" t="s">
        <v>263</v>
      </c>
      <c r="E428" s="6" t="s">
        <v>181</v>
      </c>
      <c r="F428" s="13" t="n">
        <v>44800</v>
      </c>
      <c r="G428" s="13" t="n">
        <v>44860</v>
      </c>
      <c r="H428" s="14" t="n">
        <v>189435.31</v>
      </c>
      <c r="I428" s="6" t="n">
        <v>0</v>
      </c>
      <c r="J428" s="6" t="n">
        <v>601</v>
      </c>
      <c r="K428" s="6" t="s">
        <v>185</v>
      </c>
      <c r="L428" s="14" t="n">
        <v>27126.56</v>
      </c>
      <c r="M428" s="22" t="n">
        <v>1.241</v>
      </c>
      <c r="N428" s="14" t="n">
        <v>33664.06</v>
      </c>
      <c r="O428" s="14" t="n">
        <v>6537.5</v>
      </c>
      <c r="P428" s="21" t="n">
        <v>0.123</v>
      </c>
      <c r="Q428" s="6" t="n">
        <v>60</v>
      </c>
      <c r="R428" s="6" t="s">
        <v>161</v>
      </c>
      <c r="S428" s="21" t="n">
        <v>1</v>
      </c>
      <c r="T428" s="14" t="n">
        <v>33664.06</v>
      </c>
      <c r="U428" s="6" t="s">
        <v>18</v>
      </c>
    </row>
    <row r="429" customFormat="false" ht="15" hidden="false" customHeight="true" outlineLevel="0" collapsed="false">
      <c r="A429" s="6" t="s">
        <v>1051</v>
      </c>
      <c r="B429" s="6" t="s">
        <v>1052</v>
      </c>
      <c r="C429" s="6" t="s">
        <v>112</v>
      </c>
      <c r="D429" s="6" t="s">
        <v>172</v>
      </c>
      <c r="E429" s="6" t="s">
        <v>192</v>
      </c>
      <c r="F429" s="13" t="n">
        <v>45649</v>
      </c>
      <c r="G429" s="13" t="n">
        <v>45725</v>
      </c>
      <c r="H429" s="14" t="n">
        <v>168887.33</v>
      </c>
      <c r="I429" s="6" t="n">
        <v>5</v>
      </c>
      <c r="J429" s="6" t="n">
        <v>723</v>
      </c>
      <c r="K429" s="6" t="s">
        <v>185</v>
      </c>
      <c r="L429" s="14" t="n">
        <v>58869.08</v>
      </c>
      <c r="M429" s="22" t="n">
        <v>1.309</v>
      </c>
      <c r="N429" s="14" t="n">
        <v>77059.63</v>
      </c>
      <c r="O429" s="14" t="n">
        <v>18190.55</v>
      </c>
      <c r="P429" s="21" t="n">
        <v>0.178</v>
      </c>
      <c r="Q429" s="6" t="n">
        <v>76</v>
      </c>
      <c r="R429" s="6" t="s">
        <v>161</v>
      </c>
      <c r="S429" s="21" t="n">
        <v>1</v>
      </c>
      <c r="T429" s="14" t="n">
        <v>77059.63</v>
      </c>
      <c r="U429" s="6" t="s">
        <v>46</v>
      </c>
    </row>
    <row r="430" customFormat="false" ht="15" hidden="false" customHeight="true" outlineLevel="0" collapsed="false">
      <c r="A430" s="6" t="s">
        <v>1053</v>
      </c>
      <c r="B430" s="6" t="s">
        <v>1054</v>
      </c>
      <c r="C430" s="6" t="s">
        <v>120</v>
      </c>
      <c r="D430" s="6" t="s">
        <v>158</v>
      </c>
      <c r="E430" s="6" t="s">
        <v>288</v>
      </c>
      <c r="F430" s="13" t="n">
        <v>44725</v>
      </c>
      <c r="G430" s="13" t="n">
        <v>44791</v>
      </c>
      <c r="H430" s="14" t="n">
        <v>147491.55</v>
      </c>
      <c r="I430" s="6" t="n">
        <v>1</v>
      </c>
      <c r="J430" s="6" t="n">
        <v>525</v>
      </c>
      <c r="K430" s="6" t="s">
        <v>154</v>
      </c>
      <c r="L430" s="14" t="n">
        <v>31684.96</v>
      </c>
      <c r="M430" s="22" t="n">
        <v>1.229</v>
      </c>
      <c r="N430" s="14" t="n">
        <v>38940.82</v>
      </c>
      <c r="O430" s="14" t="n">
        <v>7255.86</v>
      </c>
      <c r="P430" s="21" t="n">
        <v>0.12</v>
      </c>
      <c r="Q430" s="6" t="n">
        <v>66</v>
      </c>
      <c r="R430" s="6" t="s">
        <v>155</v>
      </c>
      <c r="S430" s="21" t="n">
        <v>0.892</v>
      </c>
      <c r="T430" s="14" t="n">
        <v>34735.21</v>
      </c>
      <c r="U430" s="6" t="s">
        <v>16</v>
      </c>
    </row>
    <row r="431" customFormat="false" ht="15" hidden="false" customHeight="true" outlineLevel="0" collapsed="false">
      <c r="A431" s="6" t="s">
        <v>1055</v>
      </c>
      <c r="B431" s="6" t="s">
        <v>1056</v>
      </c>
      <c r="C431" s="6" t="s">
        <v>124</v>
      </c>
      <c r="D431" s="6" t="s">
        <v>243</v>
      </c>
      <c r="E431" s="6" t="s">
        <v>211</v>
      </c>
      <c r="F431" s="13" t="n">
        <v>44906</v>
      </c>
      <c r="G431" s="13" t="n">
        <v>45087</v>
      </c>
      <c r="H431" s="14" t="n">
        <v>203899.14</v>
      </c>
      <c r="I431" s="6" t="n">
        <v>1</v>
      </c>
      <c r="J431" s="6" t="n">
        <v>534</v>
      </c>
      <c r="K431" s="6" t="s">
        <v>160</v>
      </c>
      <c r="L431" s="14" t="n">
        <v>58258.06</v>
      </c>
      <c r="M431" s="22" t="n">
        <v>1.294</v>
      </c>
      <c r="N431" s="14" t="n">
        <v>75385.93</v>
      </c>
      <c r="O431" s="14" t="n">
        <v>17127.87</v>
      </c>
      <c r="P431" s="21" t="n">
        <v>0.061</v>
      </c>
      <c r="Q431" s="6" t="n">
        <v>181</v>
      </c>
      <c r="R431" s="6" t="s">
        <v>155</v>
      </c>
      <c r="S431" s="21" t="n">
        <v>0.98</v>
      </c>
      <c r="T431" s="14" t="n">
        <v>73878.21</v>
      </c>
      <c r="U431" s="6" t="s">
        <v>22</v>
      </c>
    </row>
    <row r="432" customFormat="false" ht="15" hidden="false" customHeight="true" outlineLevel="0" collapsed="false">
      <c r="A432" s="6" t="s">
        <v>1057</v>
      </c>
      <c r="B432" s="6" t="s">
        <v>1058</v>
      </c>
      <c r="C432" s="6" t="s">
        <v>124</v>
      </c>
      <c r="D432" s="6" t="s">
        <v>238</v>
      </c>
      <c r="E432" s="6" t="s">
        <v>299</v>
      </c>
      <c r="F432" s="13" t="n">
        <v>44984</v>
      </c>
      <c r="G432" s="13" t="n">
        <v>45176</v>
      </c>
      <c r="H432" s="14" t="n">
        <v>74924.88</v>
      </c>
      <c r="I432" s="6" t="n">
        <v>0</v>
      </c>
      <c r="J432" s="6" t="n">
        <v>501</v>
      </c>
      <c r="K432" s="6" t="s">
        <v>160</v>
      </c>
      <c r="L432" s="14" t="n">
        <v>28314.89</v>
      </c>
      <c r="M432" s="22" t="n">
        <v>1.084</v>
      </c>
      <c r="N432" s="14" t="n">
        <v>30693.34</v>
      </c>
      <c r="O432" s="14" t="n">
        <v>2378.45</v>
      </c>
      <c r="P432" s="21" t="n">
        <v>0.064</v>
      </c>
      <c r="Q432" s="6" t="n">
        <v>192</v>
      </c>
      <c r="R432" s="6" t="s">
        <v>161</v>
      </c>
      <c r="S432" s="21" t="n">
        <v>1</v>
      </c>
      <c r="T432" s="14" t="n">
        <v>30693.34</v>
      </c>
      <c r="U432" s="6" t="s">
        <v>24</v>
      </c>
    </row>
    <row r="433" customFormat="false" ht="15" hidden="false" customHeight="true" outlineLevel="0" collapsed="false">
      <c r="A433" s="6" t="s">
        <v>1059</v>
      </c>
      <c r="B433" s="6" t="s">
        <v>1060</v>
      </c>
      <c r="C433" s="6" t="s">
        <v>128</v>
      </c>
      <c r="D433" s="6" t="s">
        <v>235</v>
      </c>
      <c r="E433" s="6" t="s">
        <v>177</v>
      </c>
      <c r="F433" s="13" t="n">
        <v>45459</v>
      </c>
      <c r="G433" s="13" t="n">
        <v>45598</v>
      </c>
      <c r="H433" s="14" t="n">
        <v>81373.36</v>
      </c>
      <c r="I433" s="6" t="n">
        <v>0</v>
      </c>
      <c r="J433" s="6" t="n">
        <v>564</v>
      </c>
      <c r="K433" s="6" t="s">
        <v>160</v>
      </c>
      <c r="L433" s="14" t="n">
        <v>36793.06</v>
      </c>
      <c r="M433" s="22" t="n">
        <v>1.153</v>
      </c>
      <c r="N433" s="14" t="n">
        <v>42422.4</v>
      </c>
      <c r="O433" s="14" t="n">
        <v>5629.34</v>
      </c>
      <c r="P433" s="21" t="n">
        <v>0.112</v>
      </c>
      <c r="Q433" s="6" t="n">
        <v>139</v>
      </c>
      <c r="R433" s="6" t="s">
        <v>155</v>
      </c>
      <c r="S433" s="21" t="n">
        <v>0.706</v>
      </c>
      <c r="T433" s="14" t="n">
        <v>29950.21</v>
      </c>
      <c r="U433" s="6" t="s">
        <v>40</v>
      </c>
    </row>
    <row r="434" customFormat="false" ht="15" hidden="false" customHeight="true" outlineLevel="0" collapsed="false">
      <c r="A434" s="6" t="s">
        <v>1061</v>
      </c>
      <c r="B434" s="6" t="s">
        <v>1062</v>
      </c>
      <c r="C434" s="6" t="s">
        <v>131</v>
      </c>
      <c r="D434" s="6" t="s">
        <v>200</v>
      </c>
      <c r="E434" s="6" t="s">
        <v>181</v>
      </c>
      <c r="F434" s="13" t="n">
        <v>45340</v>
      </c>
      <c r="G434" s="13" t="n">
        <v>45488</v>
      </c>
      <c r="H434" s="14" t="n">
        <v>68782.59</v>
      </c>
      <c r="I434" s="6" t="n">
        <v>3</v>
      </c>
      <c r="J434" s="6" t="n">
        <v>688</v>
      </c>
      <c r="K434" s="6" t="s">
        <v>185</v>
      </c>
      <c r="L434" s="14" t="n">
        <v>26419.33</v>
      </c>
      <c r="M434" s="22" t="n">
        <v>1.233</v>
      </c>
      <c r="N434" s="14" t="n">
        <v>32575.03</v>
      </c>
      <c r="O434" s="14" t="n">
        <v>6155.7</v>
      </c>
      <c r="P434" s="21" t="n">
        <v>0.096</v>
      </c>
      <c r="Q434" s="6" t="n">
        <v>148</v>
      </c>
      <c r="R434" s="6" t="s">
        <v>161</v>
      </c>
      <c r="S434" s="21" t="n">
        <v>1</v>
      </c>
      <c r="T434" s="14" t="n">
        <v>32575.03</v>
      </c>
      <c r="U434" s="6" t="s">
        <v>36</v>
      </c>
    </row>
    <row r="435" customFormat="false" ht="15" hidden="false" customHeight="true" outlineLevel="0" collapsed="false">
      <c r="A435" s="6" t="s">
        <v>1063</v>
      </c>
      <c r="B435" s="6" t="s">
        <v>1064</v>
      </c>
      <c r="C435" s="6" t="s">
        <v>112</v>
      </c>
      <c r="D435" s="6" t="s">
        <v>164</v>
      </c>
      <c r="E435" s="6" t="s">
        <v>189</v>
      </c>
      <c r="F435" s="13" t="n">
        <v>46090</v>
      </c>
      <c r="G435" s="13" t="n">
        <v>46150</v>
      </c>
      <c r="H435" s="14" t="n">
        <v>223331.98</v>
      </c>
      <c r="I435" s="6" t="n">
        <v>3</v>
      </c>
      <c r="J435" s="6" t="n">
        <v>530</v>
      </c>
      <c r="K435" s="6" t="s">
        <v>160</v>
      </c>
      <c r="L435" s="14" t="n">
        <v>47389.24</v>
      </c>
      <c r="M435" s="22" t="n">
        <v>1.148</v>
      </c>
      <c r="N435" s="14" t="n">
        <v>54402.85</v>
      </c>
      <c r="O435" s="14" t="n">
        <v>7013.61</v>
      </c>
      <c r="P435" s="21" t="n">
        <v>0.128</v>
      </c>
      <c r="Q435" s="6" t="n">
        <v>60</v>
      </c>
      <c r="R435" s="6" t="s">
        <v>161</v>
      </c>
      <c r="S435" s="21" t="n">
        <v>1</v>
      </c>
      <c r="T435" s="14" t="n">
        <v>54402.85</v>
      </c>
      <c r="U435" s="6" t="s">
        <v>61</v>
      </c>
    </row>
    <row r="436" customFormat="false" ht="15" hidden="false" customHeight="true" outlineLevel="0" collapsed="false">
      <c r="A436" s="6" t="s">
        <v>1065</v>
      </c>
      <c r="B436" s="6" t="s">
        <v>1066</v>
      </c>
      <c r="C436" s="6" t="s">
        <v>128</v>
      </c>
      <c r="D436" s="6" t="s">
        <v>235</v>
      </c>
      <c r="E436" s="6" t="s">
        <v>153</v>
      </c>
      <c r="F436" s="13" t="n">
        <v>45732</v>
      </c>
      <c r="G436" s="13" t="n">
        <v>45792</v>
      </c>
      <c r="H436" s="14" t="n">
        <v>111359.58</v>
      </c>
      <c r="I436" s="6" t="n">
        <v>0</v>
      </c>
      <c r="J436" s="6" t="n">
        <v>614</v>
      </c>
      <c r="K436" s="6" t="s">
        <v>185</v>
      </c>
      <c r="L436" s="14" t="n">
        <v>23455.9</v>
      </c>
      <c r="M436" s="22" t="n">
        <v>1.28</v>
      </c>
      <c r="N436" s="14" t="n">
        <v>30023.55</v>
      </c>
      <c r="O436" s="14" t="n">
        <v>6567.65</v>
      </c>
      <c r="P436" s="21" t="n">
        <v>0.177</v>
      </c>
      <c r="Q436" s="6" t="n">
        <v>60</v>
      </c>
      <c r="R436" s="6" t="s">
        <v>155</v>
      </c>
      <c r="S436" s="21" t="n">
        <v>0.796</v>
      </c>
      <c r="T436" s="14" t="n">
        <v>23898.75</v>
      </c>
      <c r="U436" s="6" t="s">
        <v>49</v>
      </c>
    </row>
    <row r="437" customFormat="false" ht="15" hidden="false" customHeight="true" outlineLevel="0" collapsed="false">
      <c r="A437" s="6" t="s">
        <v>1067</v>
      </c>
      <c r="B437" s="6" t="s">
        <v>1068</v>
      </c>
      <c r="C437" s="6" t="s">
        <v>120</v>
      </c>
      <c r="D437" s="6" t="s">
        <v>210</v>
      </c>
      <c r="E437" s="6" t="s">
        <v>254</v>
      </c>
      <c r="F437" s="13" t="n">
        <v>45422</v>
      </c>
      <c r="G437" s="13" t="n">
        <v>45482</v>
      </c>
      <c r="H437" s="14" t="n">
        <v>174475.95</v>
      </c>
      <c r="I437" s="6" t="n">
        <v>3</v>
      </c>
      <c r="J437" s="6" t="n">
        <v>551</v>
      </c>
      <c r="K437" s="6" t="s">
        <v>185</v>
      </c>
      <c r="L437" s="14" t="n">
        <v>15207.34</v>
      </c>
      <c r="M437" s="22" t="n">
        <v>1.224</v>
      </c>
      <c r="N437" s="14" t="n">
        <v>18613.78</v>
      </c>
      <c r="O437" s="14" t="n">
        <v>3406.44</v>
      </c>
      <c r="P437" s="21" t="n">
        <v>0.139</v>
      </c>
      <c r="Q437" s="6" t="n">
        <v>60</v>
      </c>
      <c r="R437" s="6" t="s">
        <v>155</v>
      </c>
      <c r="S437" s="21" t="n">
        <v>0.968</v>
      </c>
      <c r="T437" s="14" t="n">
        <v>18018.14</v>
      </c>
      <c r="U437" s="6" t="s">
        <v>39</v>
      </c>
    </row>
    <row r="438" customFormat="false" ht="15" hidden="false" customHeight="true" outlineLevel="0" collapsed="false">
      <c r="A438" s="6" t="s">
        <v>1069</v>
      </c>
      <c r="B438" s="6" t="s">
        <v>1070</v>
      </c>
      <c r="C438" s="6" t="s">
        <v>116</v>
      </c>
      <c r="D438" s="6" t="s">
        <v>206</v>
      </c>
      <c r="E438" s="6" t="s">
        <v>326</v>
      </c>
      <c r="F438" s="13" t="n">
        <v>45000</v>
      </c>
      <c r="G438" s="13" t="n">
        <v>45137</v>
      </c>
      <c r="H438" s="14" t="n">
        <v>167845.02</v>
      </c>
      <c r="I438" s="6" t="n">
        <v>0</v>
      </c>
      <c r="J438" s="6" t="n">
        <v>644</v>
      </c>
      <c r="K438" s="6" t="s">
        <v>160</v>
      </c>
      <c r="L438" s="14" t="n">
        <v>55763.89</v>
      </c>
      <c r="M438" s="22" t="n">
        <v>1.155</v>
      </c>
      <c r="N438" s="14" t="n">
        <v>64407.29</v>
      </c>
      <c r="O438" s="14" t="n">
        <v>8643.4</v>
      </c>
      <c r="P438" s="21" t="n">
        <v>0.084</v>
      </c>
      <c r="Q438" s="6" t="n">
        <v>137</v>
      </c>
      <c r="R438" s="6" t="s">
        <v>155</v>
      </c>
      <c r="S438" s="21" t="n">
        <v>0.979</v>
      </c>
      <c r="T438" s="14" t="n">
        <v>63054.74</v>
      </c>
      <c r="U438" s="6" t="s">
        <v>25</v>
      </c>
    </row>
    <row r="439" customFormat="false" ht="15" hidden="false" customHeight="true" outlineLevel="0" collapsed="false">
      <c r="A439" s="6" t="s">
        <v>1071</v>
      </c>
      <c r="B439" s="6" t="s">
        <v>1072</v>
      </c>
      <c r="C439" s="6" t="s">
        <v>116</v>
      </c>
      <c r="D439" s="6" t="s">
        <v>152</v>
      </c>
      <c r="E439" s="6" t="s">
        <v>219</v>
      </c>
      <c r="F439" s="13" t="n">
        <v>45253</v>
      </c>
      <c r="G439" s="13" t="n">
        <v>45365</v>
      </c>
      <c r="H439" s="14" t="n">
        <v>133345.13</v>
      </c>
      <c r="I439" s="6" t="n">
        <v>1</v>
      </c>
      <c r="J439" s="6" t="n">
        <v>523</v>
      </c>
      <c r="K439" s="6" t="s">
        <v>154</v>
      </c>
      <c r="L439" s="14" t="n">
        <v>38170.14</v>
      </c>
      <c r="M439" s="22" t="n">
        <v>1.124</v>
      </c>
      <c r="N439" s="14" t="n">
        <v>42903.24</v>
      </c>
      <c r="O439" s="14" t="n">
        <v>4733.1</v>
      </c>
      <c r="P439" s="21" t="n">
        <v>0.086</v>
      </c>
      <c r="Q439" s="6" t="n">
        <v>112</v>
      </c>
      <c r="R439" s="6" t="s">
        <v>155</v>
      </c>
      <c r="S439" s="21" t="n">
        <v>0.968</v>
      </c>
      <c r="T439" s="14" t="n">
        <v>41530.34</v>
      </c>
      <c r="U439" s="6" t="s">
        <v>33</v>
      </c>
    </row>
    <row r="440" customFormat="false" ht="15" hidden="false" customHeight="true" outlineLevel="0" collapsed="false">
      <c r="A440" s="6" t="s">
        <v>1073</v>
      </c>
      <c r="B440" s="6" t="s">
        <v>1074</v>
      </c>
      <c r="C440" s="6" t="s">
        <v>128</v>
      </c>
      <c r="D440" s="6" t="s">
        <v>401</v>
      </c>
      <c r="E440" s="6" t="s">
        <v>211</v>
      </c>
      <c r="F440" s="13" t="n">
        <v>45205</v>
      </c>
      <c r="G440" s="13" t="n">
        <v>45265</v>
      </c>
      <c r="H440" s="14" t="n">
        <v>77498.48</v>
      </c>
      <c r="I440" s="6" t="n">
        <v>1</v>
      </c>
      <c r="J440" s="6" t="n">
        <v>746</v>
      </c>
      <c r="K440" s="6" t="s">
        <v>160</v>
      </c>
      <c r="L440" s="14" t="n">
        <v>13178.29</v>
      </c>
      <c r="M440" s="22" t="n">
        <v>1.215</v>
      </c>
      <c r="N440" s="14" t="n">
        <v>16011.62</v>
      </c>
      <c r="O440" s="14" t="n">
        <v>2833.33</v>
      </c>
      <c r="P440" s="21" t="n">
        <v>0.152</v>
      </c>
      <c r="Q440" s="6" t="n">
        <v>60</v>
      </c>
      <c r="R440" s="6" t="s">
        <v>161</v>
      </c>
      <c r="S440" s="21" t="n">
        <v>1</v>
      </c>
      <c r="T440" s="14" t="n">
        <v>16011.62</v>
      </c>
      <c r="U440" s="6" t="s">
        <v>32</v>
      </c>
    </row>
    <row r="441" customFormat="false" ht="15" hidden="false" customHeight="true" outlineLevel="0" collapsed="false">
      <c r="A441" s="6" t="s">
        <v>1075</v>
      </c>
      <c r="B441" s="6" t="s">
        <v>1076</v>
      </c>
      <c r="C441" s="6" t="s">
        <v>120</v>
      </c>
      <c r="D441" s="6" t="s">
        <v>158</v>
      </c>
      <c r="E441" s="6" t="s">
        <v>177</v>
      </c>
      <c r="F441" s="13" t="n">
        <v>45028</v>
      </c>
      <c r="G441" s="13" t="n">
        <v>45116</v>
      </c>
      <c r="H441" s="14" t="n">
        <v>183183.61</v>
      </c>
      <c r="I441" s="6" t="n">
        <v>0</v>
      </c>
      <c r="J441" s="6" t="n">
        <v>548</v>
      </c>
      <c r="K441" s="6" t="s">
        <v>185</v>
      </c>
      <c r="L441" s="14" t="n">
        <v>41015.59</v>
      </c>
      <c r="M441" s="22" t="n">
        <v>1.12</v>
      </c>
      <c r="N441" s="14" t="n">
        <v>45937.46</v>
      </c>
      <c r="O441" s="14" t="n">
        <v>4921.87</v>
      </c>
      <c r="P441" s="21" t="n">
        <v>0.085</v>
      </c>
      <c r="Q441" s="6" t="n">
        <v>88</v>
      </c>
      <c r="R441" s="6" t="s">
        <v>490</v>
      </c>
      <c r="S441" s="21" t="n">
        <v>0.403</v>
      </c>
      <c r="T441" s="14" t="n">
        <v>18512.8</v>
      </c>
      <c r="U441" s="6" t="s">
        <v>26</v>
      </c>
    </row>
    <row r="442" customFormat="false" ht="15" hidden="false" customHeight="true" outlineLevel="0" collapsed="false">
      <c r="A442" s="6" t="s">
        <v>1077</v>
      </c>
      <c r="B442" s="6" t="s">
        <v>1078</v>
      </c>
      <c r="C442" s="6" t="s">
        <v>112</v>
      </c>
      <c r="D442" s="6" t="s">
        <v>188</v>
      </c>
      <c r="E442" s="6" t="s">
        <v>207</v>
      </c>
      <c r="F442" s="13" t="n">
        <v>45683</v>
      </c>
      <c r="G442" s="13" t="n">
        <v>45743</v>
      </c>
      <c r="H442" s="14" t="n">
        <v>210045.37</v>
      </c>
      <c r="I442" s="6" t="n">
        <v>0</v>
      </c>
      <c r="J442" s="6" t="n">
        <v>678</v>
      </c>
      <c r="K442" s="6" t="s">
        <v>154</v>
      </c>
      <c r="L442" s="14" t="n">
        <v>41552.79</v>
      </c>
      <c r="M442" s="22" t="n">
        <v>1.34</v>
      </c>
      <c r="N442" s="14" t="n">
        <v>55680.74</v>
      </c>
      <c r="O442" s="14" t="n">
        <v>14127.95</v>
      </c>
      <c r="P442" s="21" t="n">
        <v>0.134</v>
      </c>
      <c r="Q442" s="6" t="n">
        <v>60</v>
      </c>
      <c r="R442" s="6" t="s">
        <v>155</v>
      </c>
      <c r="S442" s="21" t="n">
        <v>0.874</v>
      </c>
      <c r="T442" s="14" t="n">
        <v>48664.97</v>
      </c>
      <c r="U442" s="6" t="s">
        <v>47</v>
      </c>
    </row>
    <row r="443" customFormat="false" ht="15" hidden="false" customHeight="true" outlineLevel="0" collapsed="false">
      <c r="A443" s="6" t="s">
        <v>1079</v>
      </c>
      <c r="B443" s="6" t="s">
        <v>1080</v>
      </c>
      <c r="C443" s="6" t="s">
        <v>131</v>
      </c>
      <c r="D443" s="6" t="s">
        <v>200</v>
      </c>
      <c r="E443" s="6" t="s">
        <v>181</v>
      </c>
      <c r="F443" s="13" t="n">
        <v>45196</v>
      </c>
      <c r="G443" s="13" t="n">
        <v>45306</v>
      </c>
      <c r="H443" s="14" t="n">
        <v>80015.99</v>
      </c>
      <c r="I443" s="6" t="n">
        <v>0</v>
      </c>
      <c r="J443" s="6" t="n">
        <v>781</v>
      </c>
      <c r="K443" s="6" t="s">
        <v>160</v>
      </c>
      <c r="L443" s="14" t="n">
        <v>18774.35</v>
      </c>
      <c r="M443" s="22" t="n">
        <v>1.223</v>
      </c>
      <c r="N443" s="14" t="n">
        <v>22961.03</v>
      </c>
      <c r="O443" s="14" t="n">
        <v>4186.68</v>
      </c>
      <c r="P443" s="21" t="n">
        <v>0.078</v>
      </c>
      <c r="Q443" s="6" t="n">
        <v>110</v>
      </c>
      <c r="R443" s="6" t="s">
        <v>232</v>
      </c>
      <c r="S443" s="21" t="n">
        <v>1</v>
      </c>
      <c r="T443" s="14" t="n">
        <v>22961.03</v>
      </c>
      <c r="U443" s="6" t="s">
        <v>31</v>
      </c>
    </row>
    <row r="444" customFormat="false" ht="15" hidden="false" customHeight="true" outlineLevel="0" collapsed="false">
      <c r="A444" s="6" t="s">
        <v>1081</v>
      </c>
      <c r="B444" s="6" t="s">
        <v>1082</v>
      </c>
      <c r="C444" s="6" t="s">
        <v>131</v>
      </c>
      <c r="D444" s="6" t="s">
        <v>152</v>
      </c>
      <c r="E444" s="6" t="s">
        <v>211</v>
      </c>
      <c r="F444" s="13" t="n">
        <v>44608</v>
      </c>
      <c r="G444" s="13" t="n">
        <v>44677</v>
      </c>
      <c r="H444" s="14" t="n">
        <v>99299.61</v>
      </c>
      <c r="I444" s="6" t="n">
        <v>1</v>
      </c>
      <c r="J444" s="6" t="n">
        <v>590</v>
      </c>
      <c r="K444" s="6" t="s">
        <v>160</v>
      </c>
      <c r="L444" s="14" t="n">
        <v>31938.18</v>
      </c>
      <c r="M444" s="22" t="n">
        <v>1.223</v>
      </c>
      <c r="N444" s="14" t="n">
        <v>39060.39</v>
      </c>
      <c r="O444" s="14" t="n">
        <v>7122.21</v>
      </c>
      <c r="P444" s="21" t="n">
        <v>0.169</v>
      </c>
      <c r="Q444" s="6" t="n">
        <v>69</v>
      </c>
      <c r="R444" s="6" t="s">
        <v>309</v>
      </c>
      <c r="S444" s="21" t="n">
        <v>0.452</v>
      </c>
      <c r="T444" s="14" t="n">
        <v>17655.3</v>
      </c>
      <c r="U444" s="6" t="s">
        <v>12</v>
      </c>
    </row>
    <row r="445" customFormat="false" ht="15" hidden="false" customHeight="true" outlineLevel="0" collapsed="false">
      <c r="A445" s="6" t="s">
        <v>1083</v>
      </c>
      <c r="B445" s="6" t="s">
        <v>1084</v>
      </c>
      <c r="C445" s="6" t="s">
        <v>124</v>
      </c>
      <c r="D445" s="6" t="s">
        <v>243</v>
      </c>
      <c r="E445" s="6" t="s">
        <v>201</v>
      </c>
      <c r="F445" s="13" t="n">
        <v>45289</v>
      </c>
      <c r="G445" s="13" t="n">
        <v>45349</v>
      </c>
      <c r="H445" s="14" t="n">
        <v>17084.92</v>
      </c>
      <c r="I445" s="6" t="n">
        <v>2</v>
      </c>
      <c r="J445" s="6" t="n">
        <v>518</v>
      </c>
      <c r="K445" s="6" t="s">
        <v>160</v>
      </c>
      <c r="L445" s="14" t="n">
        <v>3558.36</v>
      </c>
      <c r="M445" s="22" t="n">
        <v>1.136</v>
      </c>
      <c r="N445" s="14" t="n">
        <v>4042.3</v>
      </c>
      <c r="O445" s="14" t="n">
        <v>483.94</v>
      </c>
      <c r="P445" s="21" t="n">
        <v>0.149</v>
      </c>
      <c r="Q445" s="6" t="n">
        <v>60</v>
      </c>
      <c r="R445" s="6" t="s">
        <v>155</v>
      </c>
      <c r="S445" s="21" t="n">
        <v>0.884</v>
      </c>
      <c r="T445" s="14" t="n">
        <v>3573.39</v>
      </c>
      <c r="U445" s="6" t="s">
        <v>34</v>
      </c>
    </row>
    <row r="446" customFormat="false" ht="15" hidden="false" customHeight="true" outlineLevel="0" collapsed="false">
      <c r="A446" s="6" t="s">
        <v>1085</v>
      </c>
      <c r="B446" s="6" t="s">
        <v>1086</v>
      </c>
      <c r="C446" s="6" t="s">
        <v>112</v>
      </c>
      <c r="D446" s="6" t="s">
        <v>225</v>
      </c>
      <c r="E446" s="6" t="s">
        <v>211</v>
      </c>
      <c r="F446" s="13" t="n">
        <v>44733</v>
      </c>
      <c r="G446" s="13" t="n">
        <v>44793</v>
      </c>
      <c r="H446" s="14" t="n">
        <v>60461.31</v>
      </c>
      <c r="I446" s="6" t="n">
        <v>1</v>
      </c>
      <c r="J446" s="6" t="n">
        <v>603</v>
      </c>
      <c r="K446" s="6" t="s">
        <v>160</v>
      </c>
      <c r="L446" s="14" t="n">
        <v>5940.65</v>
      </c>
      <c r="M446" s="22" t="n">
        <v>1.089</v>
      </c>
      <c r="N446" s="14" t="n">
        <v>6469.37</v>
      </c>
      <c r="O446" s="14" t="n">
        <v>528.72</v>
      </c>
      <c r="P446" s="21" t="n">
        <v>0.06</v>
      </c>
      <c r="Q446" s="6" t="n">
        <v>60</v>
      </c>
      <c r="R446" s="6" t="s">
        <v>155</v>
      </c>
      <c r="S446" s="21" t="n">
        <v>0.914</v>
      </c>
      <c r="T446" s="14" t="n">
        <v>5913</v>
      </c>
      <c r="U446" s="6" t="s">
        <v>16</v>
      </c>
    </row>
    <row r="447" customFormat="false" ht="15" hidden="false" customHeight="true" outlineLevel="0" collapsed="false">
      <c r="A447" s="6" t="s">
        <v>1087</v>
      </c>
      <c r="B447" s="6" t="s">
        <v>1088</v>
      </c>
      <c r="C447" s="6" t="s">
        <v>112</v>
      </c>
      <c r="D447" s="6" t="s">
        <v>164</v>
      </c>
      <c r="E447" s="6" t="s">
        <v>181</v>
      </c>
      <c r="F447" s="13" t="n">
        <v>45102</v>
      </c>
      <c r="G447" s="13" t="n">
        <v>45162</v>
      </c>
      <c r="H447" s="14" t="n">
        <v>35107.54</v>
      </c>
      <c r="I447" s="6" t="n">
        <v>0</v>
      </c>
      <c r="J447" s="6" t="n">
        <v>691</v>
      </c>
      <c r="K447" s="6" t="s">
        <v>154</v>
      </c>
      <c r="L447" s="14" t="n">
        <v>5453.69</v>
      </c>
      <c r="M447" s="22" t="n">
        <v>1.208</v>
      </c>
      <c r="N447" s="14" t="n">
        <v>6588.06</v>
      </c>
      <c r="O447" s="14" t="n">
        <v>1134.37</v>
      </c>
      <c r="P447" s="21" t="n">
        <v>0.141</v>
      </c>
      <c r="Q447" s="6" t="n">
        <v>60</v>
      </c>
      <c r="R447" s="6" t="s">
        <v>161</v>
      </c>
      <c r="S447" s="21" t="n">
        <v>1</v>
      </c>
      <c r="T447" s="14" t="n">
        <v>6588.06</v>
      </c>
      <c r="U447" s="6" t="s">
        <v>28</v>
      </c>
    </row>
    <row r="448" customFormat="false" ht="15" hidden="false" customHeight="true" outlineLevel="0" collapsed="false">
      <c r="A448" s="6" t="s">
        <v>1089</v>
      </c>
      <c r="B448" s="6" t="s">
        <v>1090</v>
      </c>
      <c r="C448" s="6" t="s">
        <v>128</v>
      </c>
      <c r="D448" s="6" t="s">
        <v>401</v>
      </c>
      <c r="E448" s="6" t="s">
        <v>189</v>
      </c>
      <c r="F448" s="13" t="n">
        <v>45396</v>
      </c>
      <c r="G448" s="13" t="n">
        <v>45507</v>
      </c>
      <c r="H448" s="14" t="n">
        <v>77414.35</v>
      </c>
      <c r="I448" s="6" t="n">
        <v>1</v>
      </c>
      <c r="J448" s="6" t="n">
        <v>572</v>
      </c>
      <c r="K448" s="6" t="s">
        <v>185</v>
      </c>
      <c r="L448" s="14" t="n">
        <v>17960.69</v>
      </c>
      <c r="M448" s="22" t="n">
        <v>1.087</v>
      </c>
      <c r="N448" s="14" t="n">
        <v>19523.27</v>
      </c>
      <c r="O448" s="14" t="n">
        <v>1562.58</v>
      </c>
      <c r="P448" s="21" t="n">
        <v>0.068</v>
      </c>
      <c r="Q448" s="6" t="n">
        <v>111</v>
      </c>
      <c r="R448" s="6" t="s">
        <v>155</v>
      </c>
      <c r="S448" s="21" t="n">
        <v>0.98</v>
      </c>
      <c r="T448" s="14" t="n">
        <v>19132.8</v>
      </c>
      <c r="U448" s="6" t="s">
        <v>38</v>
      </c>
    </row>
    <row r="449" customFormat="false" ht="15" hidden="false" customHeight="true" outlineLevel="0" collapsed="false">
      <c r="A449" s="6" t="s">
        <v>1091</v>
      </c>
      <c r="B449" s="6" t="s">
        <v>1092</v>
      </c>
      <c r="C449" s="6" t="s">
        <v>112</v>
      </c>
      <c r="D449" s="6" t="s">
        <v>225</v>
      </c>
      <c r="E449" s="6" t="s">
        <v>304</v>
      </c>
      <c r="F449" s="13" t="n">
        <v>44710</v>
      </c>
      <c r="G449" s="13" t="n">
        <v>44812</v>
      </c>
      <c r="H449" s="14" t="n">
        <v>133902.09</v>
      </c>
      <c r="I449" s="6" t="n">
        <v>0</v>
      </c>
      <c r="J449" s="6" t="n">
        <v>625</v>
      </c>
      <c r="K449" s="6" t="s">
        <v>154</v>
      </c>
      <c r="L449" s="14" t="n">
        <v>53746.13</v>
      </c>
      <c r="M449" s="22" t="n">
        <v>1.184</v>
      </c>
      <c r="N449" s="14" t="n">
        <v>63635.42</v>
      </c>
      <c r="O449" s="14" t="n">
        <v>9889.29</v>
      </c>
      <c r="P449" s="21" t="n">
        <v>0.139</v>
      </c>
      <c r="Q449" s="6" t="n">
        <v>102</v>
      </c>
      <c r="R449" s="6" t="s">
        <v>161</v>
      </c>
      <c r="S449" s="21" t="n">
        <v>1</v>
      </c>
      <c r="T449" s="14" t="n">
        <v>63635.42</v>
      </c>
      <c r="U449" s="6" t="s">
        <v>15</v>
      </c>
    </row>
    <row r="450" customFormat="false" ht="15" hidden="false" customHeight="true" outlineLevel="0" collapsed="false">
      <c r="A450" s="6" t="s">
        <v>1093</v>
      </c>
      <c r="B450" s="6" t="s">
        <v>1094</v>
      </c>
      <c r="C450" s="6" t="s">
        <v>124</v>
      </c>
      <c r="D450" s="6" t="s">
        <v>238</v>
      </c>
      <c r="E450" s="6" t="s">
        <v>201</v>
      </c>
      <c r="F450" s="13" t="n">
        <v>44816</v>
      </c>
      <c r="G450" s="13" t="n">
        <v>44876</v>
      </c>
      <c r="H450" s="14" t="n">
        <v>80222.54</v>
      </c>
      <c r="I450" s="6" t="n">
        <v>1</v>
      </c>
      <c r="J450" s="6" t="n">
        <v>713</v>
      </c>
      <c r="K450" s="6" t="s">
        <v>160</v>
      </c>
      <c r="L450" s="14" t="n">
        <v>14456.39</v>
      </c>
      <c r="M450" s="22" t="n">
        <v>1.254</v>
      </c>
      <c r="N450" s="14" t="n">
        <v>18128.31</v>
      </c>
      <c r="O450" s="14" t="n">
        <v>3671.92</v>
      </c>
      <c r="P450" s="21" t="n">
        <v>0.13</v>
      </c>
      <c r="Q450" s="6" t="n">
        <v>60</v>
      </c>
      <c r="R450" s="6" t="s">
        <v>155</v>
      </c>
      <c r="S450" s="21" t="n">
        <v>0.933</v>
      </c>
      <c r="T450" s="14" t="n">
        <v>16913.71</v>
      </c>
      <c r="U450" s="6" t="s">
        <v>19</v>
      </c>
    </row>
    <row r="451" customFormat="false" ht="15" hidden="false" customHeight="true" outlineLevel="0" collapsed="false">
      <c r="A451" s="6" t="s">
        <v>1095</v>
      </c>
      <c r="B451" s="6" t="s">
        <v>1096</v>
      </c>
      <c r="C451" s="6" t="s">
        <v>128</v>
      </c>
      <c r="D451" s="6" t="s">
        <v>401</v>
      </c>
      <c r="E451" s="6" t="s">
        <v>189</v>
      </c>
      <c r="F451" s="13" t="n">
        <v>46117</v>
      </c>
      <c r="G451" s="13" t="n">
        <v>46233</v>
      </c>
      <c r="H451" s="14" t="n">
        <v>158953.69</v>
      </c>
      <c r="I451" s="6" t="n">
        <v>1</v>
      </c>
      <c r="J451" s="6" t="n">
        <v>745</v>
      </c>
      <c r="K451" s="6" t="s">
        <v>185</v>
      </c>
      <c r="L451" s="14" t="n">
        <v>63032.96</v>
      </c>
      <c r="M451" s="22" t="n">
        <v>1.304</v>
      </c>
      <c r="N451" s="14" t="n">
        <v>82194.98</v>
      </c>
      <c r="O451" s="14" t="n">
        <v>19162.02</v>
      </c>
      <c r="P451" s="21" t="n">
        <v>0.133</v>
      </c>
      <c r="Q451" s="6" t="n">
        <v>116</v>
      </c>
      <c r="R451" s="6" t="s">
        <v>161</v>
      </c>
      <c r="S451" s="21" t="n">
        <v>1</v>
      </c>
      <c r="T451" s="14" t="n">
        <v>82194.98</v>
      </c>
      <c r="U451" s="6" t="s">
        <v>62</v>
      </c>
    </row>
    <row r="452" customFormat="false" ht="15" hidden="false" customHeight="true" outlineLevel="0" collapsed="false">
      <c r="A452" s="6" t="s">
        <v>1097</v>
      </c>
      <c r="B452" s="6" t="s">
        <v>1098</v>
      </c>
      <c r="C452" s="6" t="s">
        <v>128</v>
      </c>
      <c r="D452" s="6" t="s">
        <v>172</v>
      </c>
      <c r="E452" s="6" t="s">
        <v>181</v>
      </c>
      <c r="F452" s="13" t="n">
        <v>44624</v>
      </c>
      <c r="G452" s="13" t="n">
        <v>44684</v>
      </c>
      <c r="H452" s="14" t="n">
        <v>158576.72</v>
      </c>
      <c r="I452" s="6" t="n">
        <v>0</v>
      </c>
      <c r="J452" s="6" t="n">
        <v>679</v>
      </c>
      <c r="K452" s="6" t="s">
        <v>160</v>
      </c>
      <c r="L452" s="14" t="n">
        <v>26230.74</v>
      </c>
      <c r="M452" s="22" t="n">
        <v>1.286</v>
      </c>
      <c r="N452" s="14" t="n">
        <v>33732.73</v>
      </c>
      <c r="O452" s="14" t="n">
        <v>7501.99</v>
      </c>
      <c r="P452" s="21" t="n">
        <v>0.176</v>
      </c>
      <c r="Q452" s="6" t="n">
        <v>60</v>
      </c>
      <c r="R452" s="6" t="s">
        <v>161</v>
      </c>
      <c r="S452" s="21" t="n">
        <v>1</v>
      </c>
      <c r="T452" s="14" t="n">
        <v>33732.73</v>
      </c>
      <c r="U452" s="6" t="s">
        <v>13</v>
      </c>
    </row>
    <row r="453" customFormat="false" ht="15" hidden="false" customHeight="true" outlineLevel="0" collapsed="false">
      <c r="A453" s="6" t="s">
        <v>1099</v>
      </c>
      <c r="B453" s="6" t="s">
        <v>1100</v>
      </c>
      <c r="C453" s="6" t="s">
        <v>128</v>
      </c>
      <c r="D453" s="6" t="s">
        <v>172</v>
      </c>
      <c r="E453" s="6" t="s">
        <v>326</v>
      </c>
      <c r="F453" s="13" t="n">
        <v>44853</v>
      </c>
      <c r="G453" s="13" t="n">
        <v>45141</v>
      </c>
      <c r="H453" s="14" t="n">
        <v>191196.96</v>
      </c>
      <c r="I453" s="6" t="n">
        <v>3</v>
      </c>
      <c r="J453" s="6" t="n">
        <v>814</v>
      </c>
      <c r="K453" s="6" t="s">
        <v>154</v>
      </c>
      <c r="L453" s="14" t="n">
        <v>90697.72</v>
      </c>
      <c r="M453" s="22" t="n">
        <v>1.32</v>
      </c>
      <c r="N453" s="14" t="n">
        <v>119720.99</v>
      </c>
      <c r="O453" s="14" t="n">
        <v>29023.27</v>
      </c>
      <c r="P453" s="21" t="n">
        <v>0.065</v>
      </c>
      <c r="Q453" s="6" t="n">
        <v>288</v>
      </c>
      <c r="R453" s="6" t="s">
        <v>155</v>
      </c>
      <c r="S453" s="21" t="n">
        <v>0.898</v>
      </c>
      <c r="T453" s="14" t="n">
        <v>107509.45</v>
      </c>
      <c r="U453" s="6" t="s">
        <v>20</v>
      </c>
    </row>
    <row r="454" customFormat="false" ht="15" hidden="false" customHeight="true" outlineLevel="0" collapsed="false">
      <c r="A454" s="6" t="s">
        <v>1101</v>
      </c>
      <c r="B454" s="6" t="s">
        <v>1102</v>
      </c>
      <c r="C454" s="6" t="s">
        <v>116</v>
      </c>
      <c r="D454" s="6" t="s">
        <v>152</v>
      </c>
      <c r="E454" s="6" t="s">
        <v>184</v>
      </c>
      <c r="F454" s="13" t="n">
        <v>44750</v>
      </c>
      <c r="G454" s="13" t="n">
        <v>44841</v>
      </c>
      <c r="H454" s="14" t="n">
        <v>222275.39</v>
      </c>
      <c r="I454" s="6" t="n">
        <v>2</v>
      </c>
      <c r="J454" s="6" t="n">
        <v>744</v>
      </c>
      <c r="K454" s="6" t="s">
        <v>185</v>
      </c>
      <c r="L454" s="14" t="n">
        <v>70701.91</v>
      </c>
      <c r="M454" s="22" t="n">
        <v>1.173</v>
      </c>
      <c r="N454" s="14" t="n">
        <v>82933.34</v>
      </c>
      <c r="O454" s="14" t="n">
        <v>12231.43</v>
      </c>
      <c r="P454" s="21" t="n">
        <v>0.122</v>
      </c>
      <c r="Q454" s="6" t="n">
        <v>91</v>
      </c>
      <c r="R454" s="6" t="s">
        <v>309</v>
      </c>
      <c r="S454" s="21" t="n">
        <v>0.321</v>
      </c>
      <c r="T454" s="14" t="n">
        <v>26621.6</v>
      </c>
      <c r="U454" s="6" t="s">
        <v>17</v>
      </c>
    </row>
    <row r="455" customFormat="false" ht="15" hidden="false" customHeight="true" outlineLevel="0" collapsed="false">
      <c r="A455" s="6" t="s">
        <v>1103</v>
      </c>
      <c r="B455" s="6" t="s">
        <v>1104</v>
      </c>
      <c r="C455" s="6" t="s">
        <v>120</v>
      </c>
      <c r="D455" s="6" t="s">
        <v>158</v>
      </c>
      <c r="E455" s="6" t="s">
        <v>165</v>
      </c>
      <c r="F455" s="13" t="n">
        <v>45205</v>
      </c>
      <c r="G455" s="13" t="n">
        <v>45278</v>
      </c>
      <c r="H455" s="14" t="n">
        <v>234651.02</v>
      </c>
      <c r="I455" s="6" t="n">
        <v>2</v>
      </c>
      <c r="J455" s="6" t="n">
        <v>584</v>
      </c>
      <c r="K455" s="6" t="s">
        <v>160</v>
      </c>
      <c r="L455" s="14" t="n">
        <v>35033.79</v>
      </c>
      <c r="M455" s="22" t="n">
        <v>1.104</v>
      </c>
      <c r="N455" s="14" t="n">
        <v>38677.3</v>
      </c>
      <c r="O455" s="14" t="n">
        <v>3643.51</v>
      </c>
      <c r="P455" s="21" t="n">
        <v>0.067</v>
      </c>
      <c r="Q455" s="6" t="n">
        <v>73</v>
      </c>
      <c r="R455" s="6" t="s">
        <v>161</v>
      </c>
      <c r="S455" s="21" t="n">
        <v>1</v>
      </c>
      <c r="T455" s="14" t="n">
        <v>38677.3</v>
      </c>
      <c r="U455" s="6" t="s">
        <v>32</v>
      </c>
    </row>
    <row r="456" customFormat="false" ht="15" hidden="false" customHeight="true" outlineLevel="0" collapsed="false">
      <c r="A456" s="6" t="s">
        <v>1105</v>
      </c>
      <c r="B456" s="6" t="s">
        <v>1106</v>
      </c>
      <c r="C456" s="6" t="s">
        <v>120</v>
      </c>
      <c r="D456" s="6" t="s">
        <v>218</v>
      </c>
      <c r="E456" s="6" t="s">
        <v>184</v>
      </c>
      <c r="F456" s="13" t="n">
        <v>45190</v>
      </c>
      <c r="G456" s="13" t="n">
        <v>45250</v>
      </c>
      <c r="H456" s="14" t="n">
        <v>127971.04</v>
      </c>
      <c r="I456" s="6" t="n">
        <v>1</v>
      </c>
      <c r="J456" s="6" t="n">
        <v>610</v>
      </c>
      <c r="K456" s="6" t="s">
        <v>154</v>
      </c>
      <c r="L456" s="14" t="n">
        <v>18720.26</v>
      </c>
      <c r="M456" s="22" t="n">
        <v>1.321</v>
      </c>
      <c r="N456" s="14" t="n">
        <v>24729.46</v>
      </c>
      <c r="O456" s="14" t="n">
        <v>6009.2</v>
      </c>
      <c r="P456" s="21" t="n">
        <v>0.121</v>
      </c>
      <c r="Q456" s="6" t="n">
        <v>60</v>
      </c>
      <c r="R456" s="6" t="s">
        <v>155</v>
      </c>
      <c r="S456" s="21" t="n">
        <v>0.717</v>
      </c>
      <c r="T456" s="14" t="n">
        <v>17731.02</v>
      </c>
      <c r="U456" s="6" t="s">
        <v>31</v>
      </c>
    </row>
    <row r="457" customFormat="false" ht="15" hidden="false" customHeight="true" outlineLevel="0" collapsed="false">
      <c r="A457" s="6" t="s">
        <v>1107</v>
      </c>
      <c r="B457" s="6" t="s">
        <v>1108</v>
      </c>
      <c r="C457" s="6" t="s">
        <v>112</v>
      </c>
      <c r="D457" s="6" t="s">
        <v>225</v>
      </c>
      <c r="E457" s="6" t="s">
        <v>184</v>
      </c>
      <c r="F457" s="13" t="n">
        <v>45768</v>
      </c>
      <c r="G457" s="13" t="n">
        <v>45828</v>
      </c>
      <c r="H457" s="14" t="n">
        <v>187301.78</v>
      </c>
      <c r="I457" s="6" t="n">
        <v>1</v>
      </c>
      <c r="J457" s="6" t="n">
        <v>664</v>
      </c>
      <c r="K457" s="6" t="s">
        <v>160</v>
      </c>
      <c r="L457" s="14" t="n">
        <v>25995.56</v>
      </c>
      <c r="M457" s="22" t="n">
        <v>1.253</v>
      </c>
      <c r="N457" s="14" t="n">
        <v>32572.44</v>
      </c>
      <c r="O457" s="14" t="n">
        <v>6576.88</v>
      </c>
      <c r="P457" s="21" t="n">
        <v>0.164</v>
      </c>
      <c r="Q457" s="6" t="n">
        <v>60</v>
      </c>
      <c r="R457" s="6" t="s">
        <v>161</v>
      </c>
      <c r="S457" s="21" t="n">
        <v>1</v>
      </c>
      <c r="T457" s="14" t="n">
        <v>32572.44</v>
      </c>
      <c r="U457" s="6" t="s">
        <v>50</v>
      </c>
    </row>
    <row r="458" customFormat="false" ht="15" hidden="false" customHeight="true" outlineLevel="0" collapsed="false">
      <c r="A458" s="6" t="s">
        <v>1109</v>
      </c>
      <c r="B458" s="6" t="s">
        <v>1110</v>
      </c>
      <c r="C458" s="6" t="s">
        <v>124</v>
      </c>
      <c r="D458" s="6" t="s">
        <v>238</v>
      </c>
      <c r="E458" s="6" t="s">
        <v>181</v>
      </c>
      <c r="F458" s="13" t="n">
        <v>45214</v>
      </c>
      <c r="G458" s="13" t="n">
        <v>45321</v>
      </c>
      <c r="H458" s="14" t="n">
        <v>217713.21</v>
      </c>
      <c r="I458" s="6" t="n">
        <v>0</v>
      </c>
      <c r="J458" s="6" t="n">
        <v>763</v>
      </c>
      <c r="K458" s="6" t="s">
        <v>160</v>
      </c>
      <c r="L458" s="14" t="n">
        <v>96090.14</v>
      </c>
      <c r="M458" s="22" t="n">
        <v>1.128</v>
      </c>
      <c r="N458" s="14" t="n">
        <v>108389.68</v>
      </c>
      <c r="O458" s="14" t="n">
        <v>12299.54</v>
      </c>
      <c r="P458" s="21" t="n">
        <v>0.139</v>
      </c>
      <c r="Q458" s="6" t="n">
        <v>107</v>
      </c>
      <c r="R458" s="6" t="s">
        <v>161</v>
      </c>
      <c r="S458" s="21" t="n">
        <v>1</v>
      </c>
      <c r="T458" s="14" t="n">
        <v>108389.68</v>
      </c>
      <c r="U458" s="6" t="s">
        <v>32</v>
      </c>
    </row>
    <row r="459" customFormat="false" ht="15" hidden="false" customHeight="true" outlineLevel="0" collapsed="false">
      <c r="A459" s="6" t="s">
        <v>1111</v>
      </c>
      <c r="B459" s="6" t="s">
        <v>1112</v>
      </c>
      <c r="C459" s="6" t="s">
        <v>124</v>
      </c>
      <c r="D459" s="6" t="s">
        <v>238</v>
      </c>
      <c r="E459" s="6" t="s">
        <v>219</v>
      </c>
      <c r="F459" s="13" t="n">
        <v>45912</v>
      </c>
      <c r="G459" s="13" t="n">
        <v>45972</v>
      </c>
      <c r="H459" s="14" t="n">
        <v>167456.35</v>
      </c>
      <c r="I459" s="6" t="n">
        <v>0</v>
      </c>
      <c r="J459" s="6" t="n">
        <v>572</v>
      </c>
      <c r="K459" s="6" t="s">
        <v>160</v>
      </c>
      <c r="L459" s="14" t="n">
        <v>25722.54</v>
      </c>
      <c r="M459" s="22" t="n">
        <v>1.348</v>
      </c>
      <c r="N459" s="14" t="n">
        <v>34673.98</v>
      </c>
      <c r="O459" s="14" t="n">
        <v>8951.44</v>
      </c>
      <c r="P459" s="21" t="n">
        <v>0.138</v>
      </c>
      <c r="Q459" s="6" t="n">
        <v>60</v>
      </c>
      <c r="R459" s="6" t="s">
        <v>161</v>
      </c>
      <c r="S459" s="21" t="n">
        <v>1</v>
      </c>
      <c r="T459" s="14" t="n">
        <v>34673.98</v>
      </c>
      <c r="U459" s="6" t="s">
        <v>55</v>
      </c>
    </row>
    <row r="460" customFormat="false" ht="15" hidden="false" customHeight="true" outlineLevel="0" collapsed="false">
      <c r="A460" s="6" t="s">
        <v>1113</v>
      </c>
      <c r="B460" s="6" t="s">
        <v>1114</v>
      </c>
      <c r="C460" s="6" t="s">
        <v>128</v>
      </c>
      <c r="D460" s="6" t="s">
        <v>172</v>
      </c>
      <c r="E460" s="6" t="s">
        <v>326</v>
      </c>
      <c r="F460" s="13" t="n">
        <v>44886</v>
      </c>
      <c r="G460" s="13" t="n">
        <v>44955</v>
      </c>
      <c r="H460" s="14" t="n">
        <v>150933.12</v>
      </c>
      <c r="I460" s="6" t="n">
        <v>2</v>
      </c>
      <c r="J460" s="6" t="n">
        <v>586</v>
      </c>
      <c r="K460" s="6" t="s">
        <v>185</v>
      </c>
      <c r="L460" s="14" t="n">
        <v>44201.26</v>
      </c>
      <c r="M460" s="22" t="n">
        <v>1.292</v>
      </c>
      <c r="N460" s="14" t="n">
        <v>57108.03</v>
      </c>
      <c r="O460" s="14" t="n">
        <v>12906.77</v>
      </c>
      <c r="P460" s="21" t="n">
        <v>0.163</v>
      </c>
      <c r="Q460" s="6" t="n">
        <v>69</v>
      </c>
      <c r="R460" s="6" t="s">
        <v>155</v>
      </c>
      <c r="S460" s="21" t="n">
        <v>0.98</v>
      </c>
      <c r="T460" s="14" t="n">
        <v>55965.87</v>
      </c>
      <c r="U460" s="6" t="s">
        <v>21</v>
      </c>
    </row>
    <row r="461" customFormat="false" ht="15" hidden="false" customHeight="true" outlineLevel="0" collapsed="false">
      <c r="A461" s="6" t="s">
        <v>1115</v>
      </c>
      <c r="B461" s="6" t="s">
        <v>1116</v>
      </c>
      <c r="C461" s="6" t="s">
        <v>128</v>
      </c>
      <c r="D461" s="6" t="s">
        <v>401</v>
      </c>
      <c r="E461" s="6" t="s">
        <v>219</v>
      </c>
      <c r="F461" s="13" t="n">
        <v>44749</v>
      </c>
      <c r="G461" s="13" t="n">
        <v>44858</v>
      </c>
      <c r="H461" s="14" t="n">
        <v>164639.52</v>
      </c>
      <c r="I461" s="6" t="n">
        <v>0</v>
      </c>
      <c r="J461" s="6" t="n">
        <v>645</v>
      </c>
      <c r="K461" s="6" t="s">
        <v>185</v>
      </c>
      <c r="L461" s="14" t="n">
        <v>74184.71</v>
      </c>
      <c r="M461" s="22" t="n">
        <v>1.09</v>
      </c>
      <c r="N461" s="14" t="n">
        <v>80861.33</v>
      </c>
      <c r="O461" s="14" t="n">
        <v>6676.62</v>
      </c>
      <c r="P461" s="21" t="n">
        <v>0.135</v>
      </c>
      <c r="Q461" s="6" t="n">
        <v>109</v>
      </c>
      <c r="R461" s="6" t="s">
        <v>161</v>
      </c>
      <c r="S461" s="21" t="n">
        <v>1</v>
      </c>
      <c r="T461" s="14" t="n">
        <v>80861.33</v>
      </c>
      <c r="U461" s="6" t="s">
        <v>17</v>
      </c>
    </row>
    <row r="462" customFormat="false" ht="15" hidden="false" customHeight="true" outlineLevel="0" collapsed="false">
      <c r="A462" s="6" t="s">
        <v>1117</v>
      </c>
      <c r="B462" s="6" t="s">
        <v>1118</v>
      </c>
      <c r="C462" s="6" t="s">
        <v>124</v>
      </c>
      <c r="D462" s="6" t="s">
        <v>168</v>
      </c>
      <c r="E462" s="6" t="s">
        <v>254</v>
      </c>
      <c r="F462" s="13" t="n">
        <v>45957</v>
      </c>
      <c r="G462" s="13" t="n">
        <v>46049</v>
      </c>
      <c r="H462" s="14" t="n">
        <v>210564.89</v>
      </c>
      <c r="I462" s="6" t="n">
        <v>0</v>
      </c>
      <c r="J462" s="6" t="n">
        <v>665</v>
      </c>
      <c r="K462" s="6" t="s">
        <v>160</v>
      </c>
      <c r="L462" s="14" t="n">
        <v>59518.3</v>
      </c>
      <c r="M462" s="22" t="n">
        <v>1.293</v>
      </c>
      <c r="N462" s="14" t="n">
        <v>76957.16</v>
      </c>
      <c r="O462" s="14" t="n">
        <v>17438.86</v>
      </c>
      <c r="P462" s="21" t="n">
        <v>0.119</v>
      </c>
      <c r="Q462" s="6" t="n">
        <v>92</v>
      </c>
      <c r="R462" s="6" t="s">
        <v>161</v>
      </c>
      <c r="S462" s="21" t="n">
        <v>1</v>
      </c>
      <c r="T462" s="14" t="n">
        <v>76957.16</v>
      </c>
      <c r="U462" s="6" t="s">
        <v>56</v>
      </c>
    </row>
    <row r="463" customFormat="false" ht="15" hidden="false" customHeight="true" outlineLevel="0" collapsed="false">
      <c r="A463" s="6" t="s">
        <v>1119</v>
      </c>
      <c r="B463" s="6" t="s">
        <v>1120</v>
      </c>
      <c r="C463" s="6" t="s">
        <v>131</v>
      </c>
      <c r="D463" s="6" t="s">
        <v>200</v>
      </c>
      <c r="E463" s="6" t="s">
        <v>177</v>
      </c>
      <c r="F463" s="13" t="n">
        <v>45164</v>
      </c>
      <c r="G463" s="13" t="n">
        <v>45224</v>
      </c>
      <c r="H463" s="14" t="n">
        <v>72934.03</v>
      </c>
      <c r="I463" s="6" t="n">
        <v>0</v>
      </c>
      <c r="J463" s="6" t="n">
        <v>668</v>
      </c>
      <c r="K463" s="6" t="s">
        <v>185</v>
      </c>
      <c r="L463" s="14" t="n">
        <v>16424.72</v>
      </c>
      <c r="M463" s="22" t="n">
        <v>1.175</v>
      </c>
      <c r="N463" s="14" t="n">
        <v>19299.05</v>
      </c>
      <c r="O463" s="14" t="n">
        <v>2874.33</v>
      </c>
      <c r="P463" s="21" t="n">
        <v>0.156</v>
      </c>
      <c r="Q463" s="6" t="n">
        <v>60</v>
      </c>
      <c r="R463" s="6" t="s">
        <v>155</v>
      </c>
      <c r="S463" s="21" t="n">
        <v>0.786</v>
      </c>
      <c r="T463" s="14" t="n">
        <v>15169.05</v>
      </c>
      <c r="U463" s="6" t="s">
        <v>30</v>
      </c>
    </row>
    <row r="464" customFormat="false" ht="15" hidden="false" customHeight="true" outlineLevel="0" collapsed="false">
      <c r="A464" s="6" t="s">
        <v>1121</v>
      </c>
      <c r="B464" s="6" t="s">
        <v>1122</v>
      </c>
      <c r="C464" s="6" t="s">
        <v>120</v>
      </c>
      <c r="D464" s="6" t="s">
        <v>218</v>
      </c>
      <c r="E464" s="6" t="s">
        <v>326</v>
      </c>
      <c r="F464" s="13" t="n">
        <v>45388</v>
      </c>
      <c r="G464" s="13" t="n">
        <v>45479</v>
      </c>
      <c r="H464" s="14" t="n">
        <v>192282.57</v>
      </c>
      <c r="I464" s="6" t="n">
        <v>2</v>
      </c>
      <c r="J464" s="6" t="n">
        <v>798</v>
      </c>
      <c r="K464" s="6" t="s">
        <v>160</v>
      </c>
      <c r="L464" s="14" t="n">
        <v>65366.68</v>
      </c>
      <c r="M464" s="22" t="n">
        <v>1.125</v>
      </c>
      <c r="N464" s="14" t="n">
        <v>73537.51</v>
      </c>
      <c r="O464" s="14" t="n">
        <v>8170.83</v>
      </c>
      <c r="P464" s="21" t="n">
        <v>0.125</v>
      </c>
      <c r="Q464" s="6" t="n">
        <v>91</v>
      </c>
      <c r="R464" s="6" t="s">
        <v>155</v>
      </c>
      <c r="S464" s="21" t="n">
        <v>0.778</v>
      </c>
      <c r="T464" s="14" t="n">
        <v>57212.18</v>
      </c>
      <c r="U464" s="6" t="s">
        <v>38</v>
      </c>
    </row>
    <row r="465" customFormat="false" ht="15" hidden="false" customHeight="true" outlineLevel="0" collapsed="false">
      <c r="A465" s="6" t="s">
        <v>1123</v>
      </c>
      <c r="B465" s="6" t="s">
        <v>1124</v>
      </c>
      <c r="C465" s="6" t="s">
        <v>131</v>
      </c>
      <c r="D465" s="6" t="s">
        <v>176</v>
      </c>
      <c r="E465" s="6" t="s">
        <v>189</v>
      </c>
      <c r="F465" s="13" t="n">
        <v>45045</v>
      </c>
      <c r="G465" s="13" t="n">
        <v>45105</v>
      </c>
      <c r="H465" s="14" t="n">
        <v>26031.33</v>
      </c>
      <c r="I465" s="6" t="n">
        <v>3</v>
      </c>
      <c r="J465" s="6" t="n">
        <v>792</v>
      </c>
      <c r="K465" s="6" t="s">
        <v>185</v>
      </c>
      <c r="L465" s="14" t="n">
        <v>3044.51</v>
      </c>
      <c r="M465" s="22" t="n">
        <v>1.305</v>
      </c>
      <c r="N465" s="14" t="n">
        <v>3973.09</v>
      </c>
      <c r="O465" s="14" t="n">
        <v>928.58</v>
      </c>
      <c r="P465" s="21" t="n">
        <v>0.093</v>
      </c>
      <c r="Q465" s="6" t="n">
        <v>60</v>
      </c>
      <c r="R465" s="6" t="s">
        <v>155</v>
      </c>
      <c r="S465" s="21" t="n">
        <v>0.713</v>
      </c>
      <c r="T465" s="14" t="n">
        <v>2832.81</v>
      </c>
      <c r="U465" s="6" t="s">
        <v>26</v>
      </c>
    </row>
    <row r="466" customFormat="false" ht="15" hidden="false" customHeight="true" outlineLevel="0" collapsed="false">
      <c r="A466" s="6" t="s">
        <v>1125</v>
      </c>
      <c r="B466" s="6" t="s">
        <v>1126</v>
      </c>
      <c r="C466" s="6" t="s">
        <v>116</v>
      </c>
      <c r="D466" s="6" t="s">
        <v>222</v>
      </c>
      <c r="E466" s="6" t="s">
        <v>184</v>
      </c>
      <c r="F466" s="13" t="n">
        <v>45142</v>
      </c>
      <c r="G466" s="13" t="n">
        <v>45220</v>
      </c>
      <c r="H466" s="14" t="n">
        <v>214077.36</v>
      </c>
      <c r="I466" s="6" t="n">
        <v>0</v>
      </c>
      <c r="J466" s="6" t="n">
        <v>807</v>
      </c>
      <c r="K466" s="6" t="s">
        <v>160</v>
      </c>
      <c r="L466" s="14" t="n">
        <v>65320.51</v>
      </c>
      <c r="M466" s="22" t="n">
        <v>1.313</v>
      </c>
      <c r="N466" s="14" t="n">
        <v>85765.83</v>
      </c>
      <c r="O466" s="14" t="n">
        <v>20445.32</v>
      </c>
      <c r="P466" s="21" t="n">
        <v>0.154</v>
      </c>
      <c r="Q466" s="6" t="n">
        <v>78</v>
      </c>
      <c r="R466" s="6" t="s">
        <v>232</v>
      </c>
      <c r="S466" s="21" t="n">
        <v>1</v>
      </c>
      <c r="T466" s="14" t="n">
        <v>85765.83</v>
      </c>
      <c r="U466" s="6" t="s">
        <v>30</v>
      </c>
    </row>
    <row r="467" customFormat="false" ht="15" hidden="false" customHeight="true" outlineLevel="0" collapsed="false">
      <c r="A467" s="6" t="s">
        <v>1127</v>
      </c>
      <c r="B467" s="6" t="s">
        <v>1128</v>
      </c>
      <c r="C467" s="6" t="s">
        <v>116</v>
      </c>
      <c r="D467" s="6" t="s">
        <v>222</v>
      </c>
      <c r="E467" s="6" t="s">
        <v>326</v>
      </c>
      <c r="F467" s="13" t="n">
        <v>46106</v>
      </c>
      <c r="G467" s="13" t="n">
        <v>46275</v>
      </c>
      <c r="H467" s="14" t="n">
        <v>203801.69</v>
      </c>
      <c r="I467" s="6" t="n">
        <v>3</v>
      </c>
      <c r="J467" s="6" t="n">
        <v>637</v>
      </c>
      <c r="K467" s="6" t="s">
        <v>154</v>
      </c>
      <c r="L467" s="14" t="n">
        <v>96770.53</v>
      </c>
      <c r="M467" s="22" t="n">
        <v>1.238</v>
      </c>
      <c r="N467" s="14" t="n">
        <v>119801.92</v>
      </c>
      <c r="O467" s="14" t="n">
        <v>23031.39</v>
      </c>
      <c r="P467" s="21" t="n">
        <v>0.104</v>
      </c>
      <c r="Q467" s="6" t="n">
        <v>169</v>
      </c>
      <c r="R467" s="6" t="s">
        <v>161</v>
      </c>
      <c r="S467" s="21" t="n">
        <v>1</v>
      </c>
      <c r="T467" s="14" t="n">
        <v>119801.92</v>
      </c>
      <c r="U467" s="6" t="s">
        <v>61</v>
      </c>
    </row>
    <row r="468" customFormat="false" ht="15" hidden="false" customHeight="true" outlineLevel="0" collapsed="false">
      <c r="A468" s="6" t="s">
        <v>1129</v>
      </c>
      <c r="B468" s="6" t="s">
        <v>1130</v>
      </c>
      <c r="C468" s="6" t="s">
        <v>112</v>
      </c>
      <c r="D468" s="6" t="s">
        <v>164</v>
      </c>
      <c r="E468" s="6" t="s">
        <v>201</v>
      </c>
      <c r="F468" s="13" t="n">
        <v>45958</v>
      </c>
      <c r="G468" s="13" t="n">
        <v>46025</v>
      </c>
      <c r="H468" s="14" t="n">
        <v>24756.7</v>
      </c>
      <c r="I468" s="6" t="n">
        <v>0</v>
      </c>
      <c r="J468" s="6" t="n">
        <v>609</v>
      </c>
      <c r="K468" s="6" t="s">
        <v>154</v>
      </c>
      <c r="L468" s="14" t="n">
        <v>6799.27</v>
      </c>
      <c r="M468" s="22" t="n">
        <v>1.195</v>
      </c>
      <c r="N468" s="14" t="n">
        <v>8125.13</v>
      </c>
      <c r="O468" s="14" t="n">
        <v>1325.86</v>
      </c>
      <c r="P468" s="21" t="n">
        <v>0.146</v>
      </c>
      <c r="Q468" s="6" t="n">
        <v>67</v>
      </c>
      <c r="R468" s="6" t="s">
        <v>155</v>
      </c>
      <c r="S468" s="21" t="n">
        <v>0.806</v>
      </c>
      <c r="T468" s="14" t="n">
        <v>6548.85</v>
      </c>
      <c r="U468" s="6" t="s">
        <v>56</v>
      </c>
    </row>
    <row r="469" customFormat="false" ht="15" hidden="false" customHeight="true" outlineLevel="0" collapsed="false">
      <c r="A469" s="6" t="s">
        <v>1131</v>
      </c>
      <c r="B469" s="6" t="s">
        <v>1132</v>
      </c>
      <c r="C469" s="6" t="s">
        <v>112</v>
      </c>
      <c r="D469" s="6" t="s">
        <v>225</v>
      </c>
      <c r="E469" s="6" t="s">
        <v>177</v>
      </c>
      <c r="F469" s="13" t="n">
        <v>44916</v>
      </c>
      <c r="G469" s="13" t="n">
        <v>45013</v>
      </c>
      <c r="H469" s="14" t="n">
        <v>212723.11</v>
      </c>
      <c r="I469" s="6" t="n">
        <v>5</v>
      </c>
      <c r="J469" s="6" t="n">
        <v>725</v>
      </c>
      <c r="K469" s="6" t="s">
        <v>160</v>
      </c>
      <c r="L469" s="14" t="n">
        <v>49149.95</v>
      </c>
      <c r="M469" s="22" t="n">
        <v>1.099</v>
      </c>
      <c r="N469" s="14" t="n">
        <v>54015.8</v>
      </c>
      <c r="O469" s="14" t="n">
        <v>4865.85</v>
      </c>
      <c r="P469" s="21" t="n">
        <v>0.078</v>
      </c>
      <c r="Q469" s="6" t="n">
        <v>97</v>
      </c>
      <c r="R469" s="6" t="s">
        <v>161</v>
      </c>
      <c r="S469" s="21" t="n">
        <v>1</v>
      </c>
      <c r="T469" s="14" t="n">
        <v>54015.8</v>
      </c>
      <c r="U469" s="6" t="s">
        <v>22</v>
      </c>
    </row>
    <row r="470" customFormat="false" ht="15" hidden="false" customHeight="true" outlineLevel="0" collapsed="false">
      <c r="A470" s="6" t="s">
        <v>1133</v>
      </c>
      <c r="B470" s="6" t="s">
        <v>1134</v>
      </c>
      <c r="C470" s="6" t="s">
        <v>116</v>
      </c>
      <c r="D470" s="6" t="s">
        <v>152</v>
      </c>
      <c r="E470" s="6" t="s">
        <v>177</v>
      </c>
      <c r="F470" s="13" t="n">
        <v>45731</v>
      </c>
      <c r="G470" s="13" t="n">
        <v>45840</v>
      </c>
      <c r="H470" s="14" t="n">
        <v>124179.26</v>
      </c>
      <c r="I470" s="6" t="n">
        <v>0</v>
      </c>
      <c r="J470" s="6" t="n">
        <v>739</v>
      </c>
      <c r="K470" s="6" t="s">
        <v>160</v>
      </c>
      <c r="L470" s="14" t="n">
        <v>28374.09</v>
      </c>
      <c r="M470" s="22" t="n">
        <v>1.117</v>
      </c>
      <c r="N470" s="14" t="n">
        <v>31693.86</v>
      </c>
      <c r="O470" s="14" t="n">
        <v>3319.77</v>
      </c>
      <c r="P470" s="21" t="n">
        <v>0.07</v>
      </c>
      <c r="Q470" s="6" t="n">
        <v>109</v>
      </c>
      <c r="R470" s="6" t="s">
        <v>155</v>
      </c>
      <c r="S470" s="21" t="n">
        <v>0.814</v>
      </c>
      <c r="T470" s="14" t="n">
        <v>25798.8</v>
      </c>
      <c r="U470" s="6" t="s">
        <v>49</v>
      </c>
    </row>
    <row r="471" customFormat="false" ht="15" hidden="false" customHeight="true" outlineLevel="0" collapsed="false">
      <c r="A471" s="6" t="s">
        <v>1135</v>
      </c>
      <c r="B471" s="6" t="s">
        <v>1136</v>
      </c>
      <c r="C471" s="6" t="s">
        <v>131</v>
      </c>
      <c r="D471" s="6" t="s">
        <v>200</v>
      </c>
      <c r="E471" s="6" t="s">
        <v>288</v>
      </c>
      <c r="F471" s="13" t="n">
        <v>44903</v>
      </c>
      <c r="G471" s="13" t="n">
        <v>45014</v>
      </c>
      <c r="H471" s="14" t="n">
        <v>239192.76</v>
      </c>
      <c r="I471" s="6" t="n">
        <v>2</v>
      </c>
      <c r="J471" s="6" t="n">
        <v>756</v>
      </c>
      <c r="K471" s="6" t="s">
        <v>154</v>
      </c>
      <c r="L471" s="14" t="n">
        <v>58397.45</v>
      </c>
      <c r="M471" s="22" t="n">
        <v>1.229</v>
      </c>
      <c r="N471" s="14" t="n">
        <v>71770.47</v>
      </c>
      <c r="O471" s="14" t="n">
        <v>13373.02</v>
      </c>
      <c r="P471" s="21" t="n">
        <v>0.081</v>
      </c>
      <c r="Q471" s="6" t="n">
        <v>111</v>
      </c>
      <c r="R471" s="6" t="s">
        <v>161</v>
      </c>
      <c r="S471" s="21" t="n">
        <v>1</v>
      </c>
      <c r="T471" s="14" t="n">
        <v>71770.47</v>
      </c>
      <c r="U471" s="6" t="s">
        <v>22</v>
      </c>
    </row>
    <row r="472" customFormat="false" ht="15" hidden="false" customHeight="true" outlineLevel="0" collapsed="false">
      <c r="A472" s="6" t="s">
        <v>1137</v>
      </c>
      <c r="B472" s="6" t="s">
        <v>1138</v>
      </c>
      <c r="C472" s="6" t="s">
        <v>131</v>
      </c>
      <c r="D472" s="6" t="s">
        <v>176</v>
      </c>
      <c r="E472" s="6" t="s">
        <v>195</v>
      </c>
      <c r="F472" s="13" t="n">
        <v>45240</v>
      </c>
      <c r="G472" s="13" t="n">
        <v>45300</v>
      </c>
      <c r="H472" s="14" t="n">
        <v>51671.43</v>
      </c>
      <c r="I472" s="6" t="n">
        <v>1</v>
      </c>
      <c r="J472" s="6" t="n">
        <v>764</v>
      </c>
      <c r="K472" s="6" t="s">
        <v>185</v>
      </c>
      <c r="L472" s="14" t="n">
        <v>5004.33</v>
      </c>
      <c r="M472" s="22" t="n">
        <v>1.199</v>
      </c>
      <c r="N472" s="14" t="n">
        <v>6000.19</v>
      </c>
      <c r="O472" s="14" t="n">
        <v>995.86</v>
      </c>
      <c r="P472" s="21" t="n">
        <v>0.071</v>
      </c>
      <c r="Q472" s="6" t="n">
        <v>60</v>
      </c>
      <c r="R472" s="6" t="s">
        <v>155</v>
      </c>
      <c r="S472" s="21" t="n">
        <v>0.98</v>
      </c>
      <c r="T472" s="14" t="n">
        <v>5880.19</v>
      </c>
      <c r="U472" s="6" t="s">
        <v>33</v>
      </c>
    </row>
    <row r="473" customFormat="false" ht="15" hidden="false" customHeight="true" outlineLevel="0" collapsed="false">
      <c r="A473" s="6" t="s">
        <v>1139</v>
      </c>
      <c r="B473" s="6" t="s">
        <v>1140</v>
      </c>
      <c r="C473" s="6" t="s">
        <v>120</v>
      </c>
      <c r="D473" s="6" t="s">
        <v>210</v>
      </c>
      <c r="E473" s="6" t="s">
        <v>304</v>
      </c>
      <c r="F473" s="13" t="n">
        <v>45515</v>
      </c>
      <c r="G473" s="13" t="n">
        <v>45606</v>
      </c>
      <c r="H473" s="14" t="n">
        <v>140611.03</v>
      </c>
      <c r="I473" s="6" t="n">
        <v>0</v>
      </c>
      <c r="J473" s="6" t="n">
        <v>783</v>
      </c>
      <c r="K473" s="6" t="s">
        <v>160</v>
      </c>
      <c r="L473" s="14" t="n">
        <v>45850.51</v>
      </c>
      <c r="M473" s="22" t="n">
        <v>1.299</v>
      </c>
      <c r="N473" s="14" t="n">
        <v>59559.81</v>
      </c>
      <c r="O473" s="14" t="n">
        <v>13709.3</v>
      </c>
      <c r="P473" s="21" t="n">
        <v>0.139</v>
      </c>
      <c r="Q473" s="6" t="n">
        <v>91</v>
      </c>
      <c r="R473" s="6" t="s">
        <v>161</v>
      </c>
      <c r="S473" s="21" t="n">
        <v>1</v>
      </c>
      <c r="T473" s="14" t="n">
        <v>59559.81</v>
      </c>
      <c r="U473" s="6" t="s">
        <v>42</v>
      </c>
    </row>
    <row r="474" customFormat="false" ht="15" hidden="false" customHeight="true" outlineLevel="0" collapsed="false">
      <c r="A474" s="6" t="s">
        <v>1141</v>
      </c>
      <c r="B474" s="6" t="s">
        <v>1142</v>
      </c>
      <c r="C474" s="6" t="s">
        <v>131</v>
      </c>
      <c r="D474" s="6" t="s">
        <v>152</v>
      </c>
      <c r="E474" s="6" t="s">
        <v>189</v>
      </c>
      <c r="F474" s="13" t="n">
        <v>45730</v>
      </c>
      <c r="G474" s="13" t="n">
        <v>45790</v>
      </c>
      <c r="H474" s="14" t="n">
        <v>214954.92</v>
      </c>
      <c r="I474" s="6" t="n">
        <v>1</v>
      </c>
      <c r="J474" s="6" t="n">
        <v>535</v>
      </c>
      <c r="K474" s="6" t="s">
        <v>154</v>
      </c>
      <c r="L474" s="14" t="n">
        <v>52644.24</v>
      </c>
      <c r="M474" s="22" t="n">
        <v>1.338</v>
      </c>
      <c r="N474" s="14" t="n">
        <v>70437.99</v>
      </c>
      <c r="O474" s="14" t="n">
        <v>17793.75</v>
      </c>
      <c r="P474" s="21" t="n">
        <v>0.163</v>
      </c>
      <c r="Q474" s="6" t="n">
        <v>60</v>
      </c>
      <c r="R474" s="6" t="s">
        <v>155</v>
      </c>
      <c r="S474" s="21" t="n">
        <v>0.98</v>
      </c>
      <c r="T474" s="14" t="n">
        <v>69029.23</v>
      </c>
      <c r="U474" s="6" t="s">
        <v>49</v>
      </c>
    </row>
    <row r="475" customFormat="false" ht="15" hidden="false" customHeight="true" outlineLevel="0" collapsed="false">
      <c r="A475" s="6" t="s">
        <v>1143</v>
      </c>
      <c r="B475" s="6" t="s">
        <v>1144</v>
      </c>
      <c r="C475" s="6" t="s">
        <v>112</v>
      </c>
      <c r="D475" s="6" t="s">
        <v>188</v>
      </c>
      <c r="E475" s="6" t="s">
        <v>211</v>
      </c>
      <c r="F475" s="13" t="n">
        <v>44986</v>
      </c>
      <c r="G475" s="13" t="n">
        <v>45046</v>
      </c>
      <c r="H475" s="14" t="n">
        <v>28000.77</v>
      </c>
      <c r="I475" s="6" t="n">
        <v>2</v>
      </c>
      <c r="J475" s="6" t="n">
        <v>660</v>
      </c>
      <c r="K475" s="6" t="s">
        <v>154</v>
      </c>
      <c r="L475" s="14" t="n">
        <v>2783.27</v>
      </c>
      <c r="M475" s="22" t="n">
        <v>1.121</v>
      </c>
      <c r="N475" s="14" t="n">
        <v>3120.05</v>
      </c>
      <c r="O475" s="14" t="n">
        <v>336.78</v>
      </c>
      <c r="P475" s="21" t="n">
        <v>0.07</v>
      </c>
      <c r="Q475" s="6" t="n">
        <v>60</v>
      </c>
      <c r="R475" s="6" t="s">
        <v>155</v>
      </c>
      <c r="S475" s="21" t="n">
        <v>0.98</v>
      </c>
      <c r="T475" s="14" t="n">
        <v>3057.65</v>
      </c>
      <c r="U475" s="6" t="s">
        <v>25</v>
      </c>
    </row>
    <row r="476" customFormat="false" ht="15" hidden="false" customHeight="true" outlineLevel="0" collapsed="false">
      <c r="A476" s="6" t="s">
        <v>1145</v>
      </c>
      <c r="B476" s="6" t="s">
        <v>1146</v>
      </c>
      <c r="C476" s="6" t="s">
        <v>116</v>
      </c>
      <c r="D476" s="6" t="s">
        <v>206</v>
      </c>
      <c r="E476" s="6" t="s">
        <v>201</v>
      </c>
      <c r="F476" s="13" t="n">
        <v>45733</v>
      </c>
      <c r="G476" s="13" t="n">
        <v>45847</v>
      </c>
      <c r="H476" s="14" t="n">
        <v>168135.68</v>
      </c>
      <c r="I476" s="6" t="n">
        <v>4</v>
      </c>
      <c r="J476" s="6" t="n">
        <v>743</v>
      </c>
      <c r="K476" s="6" t="s">
        <v>160</v>
      </c>
      <c r="L476" s="14" t="n">
        <v>27734.19</v>
      </c>
      <c r="M476" s="22" t="n">
        <v>1.277</v>
      </c>
      <c r="N476" s="14" t="n">
        <v>35416.56</v>
      </c>
      <c r="O476" s="14" t="n">
        <v>7682.37</v>
      </c>
      <c r="P476" s="21" t="n">
        <v>0.055</v>
      </c>
      <c r="Q476" s="6" t="n">
        <v>114</v>
      </c>
      <c r="R476" s="6" t="s">
        <v>155</v>
      </c>
      <c r="S476" s="21" t="n">
        <v>0.833</v>
      </c>
      <c r="T476" s="14" t="n">
        <v>29501.99</v>
      </c>
      <c r="U476" s="6" t="s">
        <v>49</v>
      </c>
    </row>
    <row r="477" customFormat="false" ht="15" hidden="false" customHeight="true" outlineLevel="0" collapsed="false">
      <c r="A477" s="6" t="s">
        <v>1147</v>
      </c>
      <c r="B477" s="6" t="s">
        <v>1148</v>
      </c>
      <c r="C477" s="6" t="s">
        <v>131</v>
      </c>
      <c r="D477" s="6" t="s">
        <v>176</v>
      </c>
      <c r="E477" s="6" t="s">
        <v>153</v>
      </c>
      <c r="F477" s="13" t="n">
        <v>44761</v>
      </c>
      <c r="G477" s="13" t="n">
        <v>44864</v>
      </c>
      <c r="H477" s="14" t="n">
        <v>202897.64</v>
      </c>
      <c r="I477" s="6" t="n">
        <v>0</v>
      </c>
      <c r="J477" s="6" t="n">
        <v>713</v>
      </c>
      <c r="K477" s="6" t="s">
        <v>160</v>
      </c>
      <c r="L477" s="14" t="n">
        <v>29910.52</v>
      </c>
      <c r="M477" s="22" t="n">
        <v>1.214</v>
      </c>
      <c r="N477" s="14" t="n">
        <v>36311.37</v>
      </c>
      <c r="O477" s="14" t="n">
        <v>6400.85</v>
      </c>
      <c r="P477" s="21" t="n">
        <v>0.052</v>
      </c>
      <c r="Q477" s="6" t="n">
        <v>103</v>
      </c>
      <c r="R477" s="6" t="s">
        <v>155</v>
      </c>
      <c r="S477" s="21" t="n">
        <v>0.859</v>
      </c>
      <c r="T477" s="14" t="n">
        <v>31191.47</v>
      </c>
      <c r="U477" s="6" t="s">
        <v>17</v>
      </c>
    </row>
    <row r="478" customFormat="false" ht="15" hidden="false" customHeight="true" outlineLevel="0" collapsed="false">
      <c r="A478" s="6" t="s">
        <v>1149</v>
      </c>
      <c r="B478" s="6" t="s">
        <v>1150</v>
      </c>
      <c r="C478" s="6" t="s">
        <v>128</v>
      </c>
      <c r="D478" s="6" t="s">
        <v>172</v>
      </c>
      <c r="E478" s="6" t="s">
        <v>181</v>
      </c>
      <c r="F478" s="13" t="n">
        <v>45963</v>
      </c>
      <c r="G478" s="13" t="n">
        <v>46023</v>
      </c>
      <c r="H478" s="14" t="n">
        <v>63224.7</v>
      </c>
      <c r="I478" s="6" t="n">
        <v>0</v>
      </c>
      <c r="J478" s="6" t="n">
        <v>590</v>
      </c>
      <c r="K478" s="6" t="s">
        <v>154</v>
      </c>
      <c r="L478" s="14" t="n">
        <v>10714.66</v>
      </c>
      <c r="M478" s="22" t="n">
        <v>1.313</v>
      </c>
      <c r="N478" s="14" t="n">
        <v>14068.35</v>
      </c>
      <c r="O478" s="14" t="n">
        <v>3353.69</v>
      </c>
      <c r="P478" s="21" t="n">
        <v>0.158</v>
      </c>
      <c r="Q478" s="6" t="n">
        <v>60</v>
      </c>
      <c r="R478" s="6" t="s">
        <v>161</v>
      </c>
      <c r="S478" s="21" t="n">
        <v>1</v>
      </c>
      <c r="T478" s="14" t="n">
        <v>14068.35</v>
      </c>
      <c r="U478" s="6" t="s">
        <v>57</v>
      </c>
    </row>
    <row r="479" customFormat="false" ht="15" hidden="false" customHeight="true" outlineLevel="0" collapsed="false">
      <c r="A479" s="6" t="s">
        <v>1151</v>
      </c>
      <c r="B479" s="6" t="s">
        <v>1152</v>
      </c>
      <c r="C479" s="6" t="s">
        <v>124</v>
      </c>
      <c r="D479" s="6" t="s">
        <v>168</v>
      </c>
      <c r="E479" s="6" t="s">
        <v>177</v>
      </c>
      <c r="F479" s="13" t="n">
        <v>45432</v>
      </c>
      <c r="G479" s="13" t="n">
        <v>45536</v>
      </c>
      <c r="H479" s="14" t="n">
        <v>110411.77</v>
      </c>
      <c r="I479" s="6" t="n">
        <v>2</v>
      </c>
      <c r="J479" s="6" t="n">
        <v>699</v>
      </c>
      <c r="K479" s="6" t="s">
        <v>160</v>
      </c>
      <c r="L479" s="14" t="n">
        <v>28069.78</v>
      </c>
      <c r="M479" s="22" t="n">
        <v>1.349</v>
      </c>
      <c r="N479" s="14" t="n">
        <v>37866.13</v>
      </c>
      <c r="O479" s="14" t="n">
        <v>9796.35</v>
      </c>
      <c r="P479" s="21" t="n">
        <v>0.098</v>
      </c>
      <c r="Q479" s="6" t="n">
        <v>104</v>
      </c>
      <c r="R479" s="6" t="s">
        <v>155</v>
      </c>
      <c r="S479" s="21" t="n">
        <v>0.98</v>
      </c>
      <c r="T479" s="14" t="n">
        <v>37108.81</v>
      </c>
      <c r="U479" s="6" t="s">
        <v>39</v>
      </c>
    </row>
    <row r="480" customFormat="false" ht="15" hidden="false" customHeight="true" outlineLevel="0" collapsed="false">
      <c r="A480" s="6" t="s">
        <v>1153</v>
      </c>
      <c r="B480" s="6" t="s">
        <v>1154</v>
      </c>
      <c r="C480" s="6" t="s">
        <v>128</v>
      </c>
      <c r="D480" s="6" t="s">
        <v>172</v>
      </c>
      <c r="E480" s="6" t="s">
        <v>195</v>
      </c>
      <c r="F480" s="13" t="n">
        <v>46021</v>
      </c>
      <c r="G480" s="13" t="n">
        <v>46158</v>
      </c>
      <c r="H480" s="14" t="n">
        <v>243756.68</v>
      </c>
      <c r="I480" s="6" t="n">
        <v>2</v>
      </c>
      <c r="J480" s="6" t="n">
        <v>648</v>
      </c>
      <c r="K480" s="6" t="s">
        <v>160</v>
      </c>
      <c r="L480" s="14" t="n">
        <v>57513.06</v>
      </c>
      <c r="M480" s="22" t="n">
        <v>1.107</v>
      </c>
      <c r="N480" s="14" t="n">
        <v>63666.96</v>
      </c>
      <c r="O480" s="14" t="n">
        <v>6153.9</v>
      </c>
      <c r="P480" s="21" t="n">
        <v>0.057</v>
      </c>
      <c r="Q480" s="6" t="n">
        <v>137</v>
      </c>
      <c r="R480" s="6" t="s">
        <v>155</v>
      </c>
      <c r="S480" s="21" t="n">
        <v>0.728</v>
      </c>
      <c r="T480" s="14" t="n">
        <v>46349.55</v>
      </c>
      <c r="U480" s="6" t="s">
        <v>58</v>
      </c>
    </row>
    <row r="481" customFormat="false" ht="15" hidden="false" customHeight="true" outlineLevel="0" collapsed="false">
      <c r="A481" s="6" t="s">
        <v>1155</v>
      </c>
      <c r="B481" s="6" t="s">
        <v>1156</v>
      </c>
      <c r="C481" s="6" t="s">
        <v>131</v>
      </c>
      <c r="D481" s="6" t="s">
        <v>200</v>
      </c>
      <c r="E481" s="6" t="s">
        <v>153</v>
      </c>
      <c r="F481" s="13" t="n">
        <v>44700</v>
      </c>
      <c r="G481" s="13" t="n">
        <v>44811</v>
      </c>
      <c r="H481" s="14" t="n">
        <v>15764.48</v>
      </c>
      <c r="I481" s="6" t="n">
        <v>5</v>
      </c>
      <c r="J481" s="6" t="n">
        <v>629</v>
      </c>
      <c r="K481" s="6" t="s">
        <v>185</v>
      </c>
      <c r="L481" s="14" t="n">
        <v>2490.02</v>
      </c>
      <c r="M481" s="22" t="n">
        <v>1.249</v>
      </c>
      <c r="N481" s="14" t="n">
        <v>3110.03</v>
      </c>
      <c r="O481" s="14" t="n">
        <v>620.01</v>
      </c>
      <c r="P481" s="21" t="n">
        <v>0.053</v>
      </c>
      <c r="Q481" s="6" t="n">
        <v>111</v>
      </c>
      <c r="R481" s="6" t="s">
        <v>155</v>
      </c>
      <c r="S481" s="21" t="n">
        <v>0.718</v>
      </c>
      <c r="T481" s="14" t="n">
        <v>2233</v>
      </c>
      <c r="U481" s="6" t="s">
        <v>15</v>
      </c>
    </row>
    <row r="482" customFormat="false" ht="15" hidden="false" customHeight="true" outlineLevel="0" collapsed="false">
      <c r="A482" s="6" t="s">
        <v>1157</v>
      </c>
      <c r="B482" s="6" t="s">
        <v>1158</v>
      </c>
      <c r="C482" s="6" t="s">
        <v>128</v>
      </c>
      <c r="D482" s="6" t="s">
        <v>401</v>
      </c>
      <c r="E482" s="6" t="s">
        <v>211</v>
      </c>
      <c r="F482" s="13" t="n">
        <v>45161</v>
      </c>
      <c r="G482" s="13" t="n">
        <v>45266</v>
      </c>
      <c r="H482" s="14" t="n">
        <v>162609.35</v>
      </c>
      <c r="I482" s="6" t="n">
        <v>1</v>
      </c>
      <c r="J482" s="6" t="n">
        <v>564</v>
      </c>
      <c r="K482" s="6" t="s">
        <v>185</v>
      </c>
      <c r="L482" s="14" t="n">
        <v>59014.84</v>
      </c>
      <c r="M482" s="22" t="n">
        <v>1.183</v>
      </c>
      <c r="N482" s="14" t="n">
        <v>69814.56</v>
      </c>
      <c r="O482" s="14" t="n">
        <v>10799.72</v>
      </c>
      <c r="P482" s="21" t="n">
        <v>0.122</v>
      </c>
      <c r="Q482" s="6" t="n">
        <v>105</v>
      </c>
      <c r="R482" s="6" t="s">
        <v>155</v>
      </c>
      <c r="S482" s="21" t="n">
        <v>0.98</v>
      </c>
      <c r="T482" s="14" t="n">
        <v>68418.27</v>
      </c>
      <c r="U482" s="6" t="s">
        <v>30</v>
      </c>
    </row>
    <row r="483" customFormat="false" ht="15" hidden="false" customHeight="true" outlineLevel="0" collapsed="false">
      <c r="A483" s="6" t="s">
        <v>1159</v>
      </c>
      <c r="B483" s="6" t="s">
        <v>1160</v>
      </c>
      <c r="C483" s="6" t="s">
        <v>128</v>
      </c>
      <c r="D483" s="6" t="s">
        <v>172</v>
      </c>
      <c r="E483" s="6" t="s">
        <v>195</v>
      </c>
      <c r="F483" s="13" t="n">
        <v>45679</v>
      </c>
      <c r="G483" s="13" t="n">
        <v>45747</v>
      </c>
      <c r="H483" s="14" t="n">
        <v>29543.52</v>
      </c>
      <c r="I483" s="6" t="n">
        <v>0</v>
      </c>
      <c r="J483" s="6" t="n">
        <v>551</v>
      </c>
      <c r="K483" s="6" t="s">
        <v>154</v>
      </c>
      <c r="L483" s="14" t="n">
        <v>9335.29</v>
      </c>
      <c r="M483" s="22" t="n">
        <v>1.15</v>
      </c>
      <c r="N483" s="14" t="n">
        <v>10735.58</v>
      </c>
      <c r="O483" s="14" t="n">
        <v>1400.29</v>
      </c>
      <c r="P483" s="21" t="n">
        <v>0.16</v>
      </c>
      <c r="Q483" s="6" t="n">
        <v>68</v>
      </c>
      <c r="R483" s="6" t="s">
        <v>155</v>
      </c>
      <c r="S483" s="21" t="n">
        <v>0.98</v>
      </c>
      <c r="T483" s="14" t="n">
        <v>10520.87</v>
      </c>
      <c r="U483" s="6" t="s">
        <v>47</v>
      </c>
    </row>
    <row r="484" customFormat="false" ht="15" hidden="false" customHeight="true" outlineLevel="0" collapsed="false">
      <c r="A484" s="6" t="s">
        <v>1161</v>
      </c>
      <c r="B484" s="6" t="s">
        <v>1162</v>
      </c>
      <c r="C484" s="6" t="s">
        <v>128</v>
      </c>
      <c r="D484" s="6" t="s">
        <v>172</v>
      </c>
      <c r="E484" s="6" t="s">
        <v>219</v>
      </c>
      <c r="F484" s="13" t="n">
        <v>45291</v>
      </c>
      <c r="G484" s="13" t="n">
        <v>45351</v>
      </c>
      <c r="H484" s="14" t="n">
        <v>242862.99</v>
      </c>
      <c r="I484" s="6" t="n">
        <v>4</v>
      </c>
      <c r="J484" s="6" t="n">
        <v>786</v>
      </c>
      <c r="K484" s="6" t="s">
        <v>160</v>
      </c>
      <c r="L484" s="14" t="n">
        <v>49747.22</v>
      </c>
      <c r="M484" s="22" t="n">
        <v>1.112</v>
      </c>
      <c r="N484" s="14" t="n">
        <v>55318.91</v>
      </c>
      <c r="O484" s="14" t="n">
        <v>5571.69</v>
      </c>
      <c r="P484" s="21" t="n">
        <v>0.173</v>
      </c>
      <c r="Q484" s="6" t="n">
        <v>60</v>
      </c>
      <c r="R484" s="6" t="s">
        <v>161</v>
      </c>
      <c r="S484" s="21" t="n">
        <v>1</v>
      </c>
      <c r="T484" s="14" t="n">
        <v>55318.91</v>
      </c>
      <c r="U484" s="6" t="s">
        <v>34</v>
      </c>
    </row>
    <row r="485" customFormat="false" ht="15" hidden="false" customHeight="true" outlineLevel="0" collapsed="false">
      <c r="A485" s="6" t="s">
        <v>1163</v>
      </c>
      <c r="B485" s="6" t="s">
        <v>1164</v>
      </c>
      <c r="C485" s="6" t="s">
        <v>116</v>
      </c>
      <c r="D485" s="6" t="s">
        <v>152</v>
      </c>
      <c r="E485" s="6" t="s">
        <v>165</v>
      </c>
      <c r="F485" s="13" t="n">
        <v>45115</v>
      </c>
      <c r="G485" s="13" t="n">
        <v>45204</v>
      </c>
      <c r="H485" s="14" t="n">
        <v>144349.84</v>
      </c>
      <c r="I485" s="6" t="n">
        <v>0</v>
      </c>
      <c r="J485" s="6" t="n">
        <v>629</v>
      </c>
      <c r="K485" s="6" t="s">
        <v>154</v>
      </c>
      <c r="L485" s="14" t="n">
        <v>55515.16</v>
      </c>
      <c r="M485" s="22" t="n">
        <v>1.215</v>
      </c>
      <c r="N485" s="14" t="n">
        <v>67450.92</v>
      </c>
      <c r="O485" s="14" t="n">
        <v>11935.76</v>
      </c>
      <c r="P485" s="21" t="n">
        <v>0.156</v>
      </c>
      <c r="Q485" s="6" t="n">
        <v>89</v>
      </c>
      <c r="R485" s="6" t="s">
        <v>155</v>
      </c>
      <c r="S485" s="21" t="n">
        <v>0.91</v>
      </c>
      <c r="T485" s="14" t="n">
        <v>61380.34</v>
      </c>
      <c r="U485" s="6" t="s">
        <v>29</v>
      </c>
    </row>
    <row r="486" customFormat="false" ht="15" hidden="false" customHeight="true" outlineLevel="0" collapsed="false">
      <c r="A486" s="6" t="s">
        <v>1165</v>
      </c>
      <c r="B486" s="6" t="s">
        <v>1166</v>
      </c>
      <c r="C486" s="6" t="s">
        <v>131</v>
      </c>
      <c r="D486" s="6" t="s">
        <v>176</v>
      </c>
      <c r="E486" s="6" t="s">
        <v>326</v>
      </c>
      <c r="F486" s="13" t="n">
        <v>44934</v>
      </c>
      <c r="G486" s="13" t="n">
        <v>45028</v>
      </c>
      <c r="H486" s="14" t="n">
        <v>62239.63</v>
      </c>
      <c r="I486" s="6" t="n">
        <v>2</v>
      </c>
      <c r="J486" s="6" t="n">
        <v>613</v>
      </c>
      <c r="K486" s="6" t="s">
        <v>185</v>
      </c>
      <c r="L486" s="14" t="n">
        <v>20659.67</v>
      </c>
      <c r="M486" s="22" t="n">
        <v>1.258</v>
      </c>
      <c r="N486" s="14" t="n">
        <v>25989.86</v>
      </c>
      <c r="O486" s="14" t="n">
        <v>5330.19</v>
      </c>
      <c r="P486" s="21" t="n">
        <v>0.133</v>
      </c>
      <c r="Q486" s="6" t="n">
        <v>94</v>
      </c>
      <c r="R486" s="6" t="s">
        <v>161</v>
      </c>
      <c r="S486" s="21" t="n">
        <v>1</v>
      </c>
      <c r="T486" s="14" t="n">
        <v>25989.86</v>
      </c>
      <c r="U486" s="6" t="s">
        <v>23</v>
      </c>
    </row>
    <row r="487" customFormat="false" ht="15" hidden="false" customHeight="true" outlineLevel="0" collapsed="false">
      <c r="A487" s="6" t="s">
        <v>1167</v>
      </c>
      <c r="B487" s="6" t="s">
        <v>1168</v>
      </c>
      <c r="C487" s="6" t="s">
        <v>124</v>
      </c>
      <c r="D487" s="6" t="s">
        <v>238</v>
      </c>
      <c r="E487" s="6" t="s">
        <v>288</v>
      </c>
      <c r="F487" s="13" t="n">
        <v>46156</v>
      </c>
      <c r="G487" s="13" t="n">
        <v>46216</v>
      </c>
      <c r="H487" s="14" t="n">
        <v>245456.76</v>
      </c>
      <c r="I487" s="6" t="n">
        <v>1</v>
      </c>
      <c r="J487" s="6" t="n">
        <v>743</v>
      </c>
      <c r="K487" s="6" t="s">
        <v>185</v>
      </c>
      <c r="L487" s="14" t="n">
        <v>44796</v>
      </c>
      <c r="M487" s="22" t="n">
        <v>1.08</v>
      </c>
      <c r="N487" s="14" t="n">
        <v>48379.68</v>
      </c>
      <c r="O487" s="14" t="n">
        <v>3583.68</v>
      </c>
      <c r="P487" s="21" t="n">
        <v>0.176</v>
      </c>
      <c r="Q487" s="6" t="n">
        <v>60</v>
      </c>
      <c r="R487" s="6" t="s">
        <v>155</v>
      </c>
      <c r="S487" s="21" t="n">
        <v>0.887</v>
      </c>
      <c r="T487" s="14" t="n">
        <v>42912.78</v>
      </c>
      <c r="U487" s="6" t="s">
        <v>63</v>
      </c>
    </row>
    <row r="488" customFormat="false" ht="15" hidden="false" customHeight="true" outlineLevel="0" collapsed="false">
      <c r="A488" s="6" t="s">
        <v>1169</v>
      </c>
      <c r="B488" s="6" t="s">
        <v>1170</v>
      </c>
      <c r="C488" s="6" t="s">
        <v>116</v>
      </c>
      <c r="D488" s="6" t="s">
        <v>152</v>
      </c>
      <c r="E488" s="6" t="s">
        <v>189</v>
      </c>
      <c r="F488" s="13" t="n">
        <v>44998</v>
      </c>
      <c r="G488" s="13" t="n">
        <v>45292</v>
      </c>
      <c r="H488" s="14" t="n">
        <v>224846.45</v>
      </c>
      <c r="I488" s="6" t="n">
        <v>5</v>
      </c>
      <c r="J488" s="6" t="n">
        <v>579</v>
      </c>
      <c r="K488" s="6" t="s">
        <v>160</v>
      </c>
      <c r="L488" s="14" t="n">
        <v>110933.86</v>
      </c>
      <c r="M488" s="22" t="n">
        <v>1.273</v>
      </c>
      <c r="N488" s="14" t="n">
        <v>141218.8</v>
      </c>
      <c r="O488" s="14" t="n">
        <v>30284.94</v>
      </c>
      <c r="P488" s="21" t="n">
        <v>0.064</v>
      </c>
      <c r="Q488" s="6" t="n">
        <v>294</v>
      </c>
      <c r="R488" s="6" t="s">
        <v>161</v>
      </c>
      <c r="S488" s="21" t="n">
        <v>1</v>
      </c>
      <c r="T488" s="14" t="n">
        <v>141218.8</v>
      </c>
      <c r="U488" s="6" t="s">
        <v>25</v>
      </c>
    </row>
    <row r="489" customFormat="false" ht="15" hidden="false" customHeight="true" outlineLevel="0" collapsed="false">
      <c r="A489" s="6" t="s">
        <v>1171</v>
      </c>
      <c r="B489" s="6" t="s">
        <v>1172</v>
      </c>
      <c r="C489" s="6" t="s">
        <v>131</v>
      </c>
      <c r="D489" s="6" t="s">
        <v>152</v>
      </c>
      <c r="E489" s="6" t="s">
        <v>201</v>
      </c>
      <c r="F489" s="13" t="n">
        <v>44681</v>
      </c>
      <c r="G489" s="13" t="n">
        <v>44741</v>
      </c>
      <c r="H489" s="14" t="n">
        <v>90348.97</v>
      </c>
      <c r="I489" s="6" t="n">
        <v>0</v>
      </c>
      <c r="J489" s="6" t="n">
        <v>600</v>
      </c>
      <c r="K489" s="6" t="s">
        <v>154</v>
      </c>
      <c r="L489" s="14" t="n">
        <v>12206.17</v>
      </c>
      <c r="M489" s="22" t="n">
        <v>1.275</v>
      </c>
      <c r="N489" s="14" t="n">
        <v>15562.87</v>
      </c>
      <c r="O489" s="14" t="n">
        <v>3356.7</v>
      </c>
      <c r="P489" s="21" t="n">
        <v>0.138</v>
      </c>
      <c r="Q489" s="6" t="n">
        <v>60</v>
      </c>
      <c r="R489" s="6" t="s">
        <v>155</v>
      </c>
      <c r="S489" s="21" t="n">
        <v>0.973</v>
      </c>
      <c r="T489" s="14" t="n">
        <v>15142.67</v>
      </c>
      <c r="U489" s="6" t="s">
        <v>14</v>
      </c>
    </row>
    <row r="490" customFormat="false" ht="15" hidden="false" customHeight="true" outlineLevel="0" collapsed="false">
      <c r="A490" s="6" t="s">
        <v>1173</v>
      </c>
      <c r="B490" s="6" t="s">
        <v>1174</v>
      </c>
      <c r="C490" s="6" t="s">
        <v>116</v>
      </c>
      <c r="D490" s="6" t="s">
        <v>222</v>
      </c>
      <c r="E490" s="6" t="s">
        <v>254</v>
      </c>
      <c r="F490" s="13" t="n">
        <v>45734</v>
      </c>
      <c r="G490" s="13" t="n">
        <v>45794</v>
      </c>
      <c r="H490" s="14" t="n">
        <v>32202.01</v>
      </c>
      <c r="I490" s="6" t="n">
        <v>1</v>
      </c>
      <c r="J490" s="6" t="n">
        <v>605</v>
      </c>
      <c r="K490" s="6" t="s">
        <v>154</v>
      </c>
      <c r="L490" s="14" t="n">
        <v>4728.55</v>
      </c>
      <c r="M490" s="22" t="n">
        <v>1.087</v>
      </c>
      <c r="N490" s="14" t="n">
        <v>5139.93</v>
      </c>
      <c r="O490" s="14" t="n">
        <v>411.38</v>
      </c>
      <c r="P490" s="21" t="n">
        <v>0.135</v>
      </c>
      <c r="Q490" s="6" t="n">
        <v>60</v>
      </c>
      <c r="R490" s="6" t="s">
        <v>161</v>
      </c>
      <c r="S490" s="21" t="n">
        <v>1</v>
      </c>
      <c r="T490" s="14" t="n">
        <v>5139.93</v>
      </c>
      <c r="U490" s="6" t="s">
        <v>49</v>
      </c>
    </row>
    <row r="491" customFormat="false" ht="15" hidden="false" customHeight="true" outlineLevel="0" collapsed="false">
      <c r="A491" s="6" t="s">
        <v>1175</v>
      </c>
      <c r="B491" s="6" t="s">
        <v>1176</v>
      </c>
      <c r="C491" s="6" t="s">
        <v>128</v>
      </c>
      <c r="D491" s="6" t="s">
        <v>401</v>
      </c>
      <c r="E491" s="6" t="s">
        <v>181</v>
      </c>
      <c r="F491" s="13" t="n">
        <v>45429</v>
      </c>
      <c r="G491" s="13" t="n">
        <v>45489</v>
      </c>
      <c r="H491" s="14" t="n">
        <v>112384.28</v>
      </c>
      <c r="I491" s="6" t="n">
        <v>1</v>
      </c>
      <c r="J491" s="6" t="n">
        <v>605</v>
      </c>
      <c r="K491" s="6" t="s">
        <v>185</v>
      </c>
      <c r="L491" s="14" t="n">
        <v>13726.09</v>
      </c>
      <c r="M491" s="22" t="n">
        <v>1.293</v>
      </c>
      <c r="N491" s="14" t="n">
        <v>17747.83</v>
      </c>
      <c r="O491" s="14" t="n">
        <v>4021.74</v>
      </c>
      <c r="P491" s="21" t="n">
        <v>0.09</v>
      </c>
      <c r="Q491" s="6" t="n">
        <v>60</v>
      </c>
      <c r="R491" s="6" t="s">
        <v>155</v>
      </c>
      <c r="S491" s="21" t="n">
        <v>0.872</v>
      </c>
      <c r="T491" s="14" t="n">
        <v>15476.11</v>
      </c>
      <c r="U491" s="6" t="s">
        <v>39</v>
      </c>
    </row>
    <row r="492" customFormat="false" ht="15" hidden="false" customHeight="true" outlineLevel="0" collapsed="false">
      <c r="A492" s="6" t="s">
        <v>1177</v>
      </c>
      <c r="B492" s="6" t="s">
        <v>1178</v>
      </c>
      <c r="C492" s="6" t="s">
        <v>124</v>
      </c>
      <c r="D492" s="6" t="s">
        <v>238</v>
      </c>
      <c r="E492" s="6" t="s">
        <v>288</v>
      </c>
      <c r="F492" s="13" t="n">
        <v>44671</v>
      </c>
      <c r="G492" s="13" t="n">
        <v>44761</v>
      </c>
      <c r="H492" s="14" t="n">
        <v>194442.78</v>
      </c>
      <c r="I492" s="6" t="n">
        <v>0</v>
      </c>
      <c r="J492" s="6" t="n">
        <v>593</v>
      </c>
      <c r="K492" s="6" t="s">
        <v>154</v>
      </c>
      <c r="L492" s="14" t="n">
        <v>37600.38</v>
      </c>
      <c r="M492" s="22" t="n">
        <v>1.244</v>
      </c>
      <c r="N492" s="14" t="n">
        <v>46774.87</v>
      </c>
      <c r="O492" s="14" t="n">
        <v>9174.49</v>
      </c>
      <c r="P492" s="21" t="n">
        <v>0.08</v>
      </c>
      <c r="Q492" s="6" t="n">
        <v>90</v>
      </c>
      <c r="R492" s="6" t="s">
        <v>155</v>
      </c>
      <c r="S492" s="21" t="n">
        <v>0.98</v>
      </c>
      <c r="T492" s="14" t="n">
        <v>45839.37</v>
      </c>
      <c r="U492" s="6" t="s">
        <v>14</v>
      </c>
    </row>
    <row r="493" customFormat="false" ht="15" hidden="false" customHeight="true" outlineLevel="0" collapsed="false">
      <c r="A493" s="6" t="s">
        <v>1179</v>
      </c>
      <c r="B493" s="6" t="s">
        <v>1180</v>
      </c>
      <c r="C493" s="6" t="s">
        <v>128</v>
      </c>
      <c r="D493" s="6" t="s">
        <v>401</v>
      </c>
      <c r="E493" s="6" t="s">
        <v>165</v>
      </c>
      <c r="F493" s="13" t="n">
        <v>45574</v>
      </c>
      <c r="G493" s="13" t="n">
        <v>45634</v>
      </c>
      <c r="H493" s="14" t="n">
        <v>248396.39</v>
      </c>
      <c r="I493" s="6" t="n">
        <v>0</v>
      </c>
      <c r="J493" s="6" t="n">
        <v>789</v>
      </c>
      <c r="K493" s="6" t="s">
        <v>154</v>
      </c>
      <c r="L493" s="14" t="n">
        <v>32896.13</v>
      </c>
      <c r="M493" s="22" t="n">
        <v>1.345</v>
      </c>
      <c r="N493" s="14" t="n">
        <v>44245.29</v>
      </c>
      <c r="O493" s="14" t="n">
        <v>11349.16</v>
      </c>
      <c r="P493" s="21" t="n">
        <v>0.113</v>
      </c>
      <c r="Q493" s="6" t="n">
        <v>60</v>
      </c>
      <c r="R493" s="6" t="s">
        <v>490</v>
      </c>
      <c r="S493" s="21" t="n">
        <v>0.27</v>
      </c>
      <c r="T493" s="14" t="n">
        <v>11946.23</v>
      </c>
      <c r="U493" s="6" t="s">
        <v>44</v>
      </c>
    </row>
    <row r="494" customFormat="false" ht="15" hidden="false" customHeight="true" outlineLevel="0" collapsed="false">
      <c r="A494" s="6" t="s">
        <v>1181</v>
      </c>
      <c r="B494" s="6" t="s">
        <v>1182</v>
      </c>
      <c r="C494" s="6" t="s">
        <v>131</v>
      </c>
      <c r="D494" s="6" t="s">
        <v>152</v>
      </c>
      <c r="E494" s="6" t="s">
        <v>288</v>
      </c>
      <c r="F494" s="13" t="n">
        <v>46103</v>
      </c>
      <c r="G494" s="13" t="n">
        <v>46163</v>
      </c>
      <c r="H494" s="14" t="n">
        <v>20940.03</v>
      </c>
      <c r="I494" s="6" t="n">
        <v>1</v>
      </c>
      <c r="J494" s="6" t="n">
        <v>573</v>
      </c>
      <c r="K494" s="6" t="s">
        <v>185</v>
      </c>
      <c r="L494" s="14" t="n">
        <v>3974.44</v>
      </c>
      <c r="M494" s="22" t="n">
        <v>1.268</v>
      </c>
      <c r="N494" s="14" t="n">
        <v>5039.59</v>
      </c>
      <c r="O494" s="14" t="n">
        <v>1065.15</v>
      </c>
      <c r="P494" s="21" t="n">
        <v>0.145</v>
      </c>
      <c r="Q494" s="6" t="n">
        <v>60</v>
      </c>
      <c r="R494" s="6" t="s">
        <v>161</v>
      </c>
      <c r="S494" s="21" t="n">
        <v>1</v>
      </c>
      <c r="T494" s="14" t="n">
        <v>5039.59</v>
      </c>
      <c r="U494" s="6" t="s">
        <v>61</v>
      </c>
    </row>
    <row r="495" customFormat="false" ht="15" hidden="false" customHeight="true" outlineLevel="0" collapsed="false">
      <c r="A495" s="6" t="s">
        <v>1183</v>
      </c>
      <c r="B495" s="6" t="s">
        <v>1184</v>
      </c>
      <c r="C495" s="6" t="s">
        <v>120</v>
      </c>
      <c r="D495" s="6" t="s">
        <v>263</v>
      </c>
      <c r="E495" s="6" t="s">
        <v>207</v>
      </c>
      <c r="F495" s="13" t="n">
        <v>44965</v>
      </c>
      <c r="G495" s="13" t="n">
        <v>45028</v>
      </c>
      <c r="H495" s="14" t="n">
        <v>19410.08</v>
      </c>
      <c r="I495" s="6" t="n">
        <v>2</v>
      </c>
      <c r="J495" s="6" t="n">
        <v>637</v>
      </c>
      <c r="K495" s="6" t="s">
        <v>160</v>
      </c>
      <c r="L495" s="14" t="n">
        <v>4972.29</v>
      </c>
      <c r="M495" s="22" t="n">
        <v>1.206</v>
      </c>
      <c r="N495" s="14" t="n">
        <v>5996.58</v>
      </c>
      <c r="O495" s="14" t="n">
        <v>1024.29</v>
      </c>
      <c r="P495" s="21" t="n">
        <v>0.146</v>
      </c>
      <c r="Q495" s="6" t="n">
        <v>63</v>
      </c>
      <c r="R495" s="6" t="s">
        <v>155</v>
      </c>
      <c r="S495" s="21" t="n">
        <v>0.727</v>
      </c>
      <c r="T495" s="14" t="n">
        <v>4359.51</v>
      </c>
      <c r="U495" s="6" t="s">
        <v>24</v>
      </c>
    </row>
    <row r="496" customFormat="false" ht="15" hidden="false" customHeight="true" outlineLevel="0" collapsed="false">
      <c r="A496" s="6" t="s">
        <v>1185</v>
      </c>
      <c r="B496" s="6" t="s">
        <v>1186</v>
      </c>
      <c r="C496" s="6" t="s">
        <v>131</v>
      </c>
      <c r="D496" s="6" t="s">
        <v>176</v>
      </c>
      <c r="E496" s="6" t="s">
        <v>288</v>
      </c>
      <c r="F496" s="13" t="n">
        <v>44587</v>
      </c>
      <c r="G496" s="13" t="n">
        <v>44737</v>
      </c>
      <c r="H496" s="14" t="n">
        <v>126407.02</v>
      </c>
      <c r="I496" s="6" t="n">
        <v>0</v>
      </c>
      <c r="J496" s="6" t="n">
        <v>778</v>
      </c>
      <c r="K496" s="6" t="s">
        <v>185</v>
      </c>
      <c r="L496" s="14" t="n">
        <v>46013.01</v>
      </c>
      <c r="M496" s="22" t="n">
        <v>1.322</v>
      </c>
      <c r="N496" s="14" t="n">
        <v>60829.2</v>
      </c>
      <c r="O496" s="14" t="n">
        <v>14816.19</v>
      </c>
      <c r="P496" s="21" t="n">
        <v>0.096</v>
      </c>
      <c r="Q496" s="6" t="n">
        <v>150</v>
      </c>
      <c r="R496" s="6" t="s">
        <v>161</v>
      </c>
      <c r="S496" s="21" t="n">
        <v>1</v>
      </c>
      <c r="T496" s="14" t="n">
        <v>60829.2</v>
      </c>
      <c r="U496" s="6" t="s">
        <v>11</v>
      </c>
    </row>
    <row r="497" customFormat="false" ht="15" hidden="false" customHeight="true" outlineLevel="0" collapsed="false">
      <c r="A497" s="6" t="s">
        <v>1187</v>
      </c>
      <c r="B497" s="6" t="s">
        <v>1188</v>
      </c>
      <c r="C497" s="6" t="s">
        <v>124</v>
      </c>
      <c r="D497" s="6" t="s">
        <v>168</v>
      </c>
      <c r="E497" s="6" t="s">
        <v>211</v>
      </c>
      <c r="F497" s="13" t="n">
        <v>45298</v>
      </c>
      <c r="G497" s="13" t="n">
        <v>45358</v>
      </c>
      <c r="H497" s="14" t="n">
        <v>130247.87</v>
      </c>
      <c r="I497" s="6" t="n">
        <v>1</v>
      </c>
      <c r="J497" s="6" t="n">
        <v>521</v>
      </c>
      <c r="K497" s="6" t="s">
        <v>185</v>
      </c>
      <c r="L497" s="14" t="n">
        <v>20772.21</v>
      </c>
      <c r="M497" s="22" t="n">
        <v>1.149</v>
      </c>
      <c r="N497" s="14" t="n">
        <v>23867.27</v>
      </c>
      <c r="O497" s="14" t="n">
        <v>3095.06</v>
      </c>
      <c r="P497" s="21" t="n">
        <v>0.169</v>
      </c>
      <c r="Q497" s="6" t="n">
        <v>60</v>
      </c>
      <c r="R497" s="6" t="s">
        <v>155</v>
      </c>
      <c r="S497" s="21" t="n">
        <v>0.85</v>
      </c>
      <c r="T497" s="14" t="n">
        <v>20287.18</v>
      </c>
      <c r="U497" s="6" t="s">
        <v>35</v>
      </c>
    </row>
    <row r="498" customFormat="false" ht="15" hidden="false" customHeight="true" outlineLevel="0" collapsed="false">
      <c r="A498" s="6" t="s">
        <v>1189</v>
      </c>
      <c r="B498" s="6" t="s">
        <v>1190</v>
      </c>
      <c r="C498" s="6" t="s">
        <v>128</v>
      </c>
      <c r="D498" s="6" t="s">
        <v>172</v>
      </c>
      <c r="E498" s="6" t="s">
        <v>254</v>
      </c>
      <c r="F498" s="13" t="n">
        <v>45433</v>
      </c>
      <c r="G498" s="13" t="n">
        <v>45563</v>
      </c>
      <c r="H498" s="14" t="n">
        <v>137864.67</v>
      </c>
      <c r="I498" s="6" t="n">
        <v>5</v>
      </c>
      <c r="J498" s="6" t="n">
        <v>664</v>
      </c>
      <c r="K498" s="6" t="s">
        <v>160</v>
      </c>
      <c r="L498" s="14" t="n">
        <v>57279.81</v>
      </c>
      <c r="M498" s="22" t="n">
        <v>1.297</v>
      </c>
      <c r="N498" s="14" t="n">
        <v>74291.91</v>
      </c>
      <c r="O498" s="14" t="n">
        <v>17012.1</v>
      </c>
      <c r="P498" s="21" t="n">
        <v>0.124</v>
      </c>
      <c r="Q498" s="6" t="n">
        <v>130</v>
      </c>
      <c r="R498" s="6" t="s">
        <v>490</v>
      </c>
      <c r="S498" s="21" t="n">
        <v>0.49</v>
      </c>
      <c r="T498" s="14" t="n">
        <v>36403.04</v>
      </c>
      <c r="U498" s="6" t="s">
        <v>39</v>
      </c>
    </row>
    <row r="499" customFormat="false" ht="15" hidden="false" customHeight="true" outlineLevel="0" collapsed="false">
      <c r="A499" s="6" t="s">
        <v>1191</v>
      </c>
      <c r="B499" s="6" t="s">
        <v>1192</v>
      </c>
      <c r="C499" s="6" t="s">
        <v>116</v>
      </c>
      <c r="D499" s="6" t="s">
        <v>206</v>
      </c>
      <c r="E499" s="6" t="s">
        <v>299</v>
      </c>
      <c r="F499" s="13" t="n">
        <v>44653</v>
      </c>
      <c r="G499" s="13" t="n">
        <v>44813</v>
      </c>
      <c r="H499" s="14" t="n">
        <v>245984.12</v>
      </c>
      <c r="I499" s="6" t="n">
        <v>1</v>
      </c>
      <c r="J499" s="6" t="n">
        <v>665</v>
      </c>
      <c r="K499" s="6" t="s">
        <v>154</v>
      </c>
      <c r="L499" s="14" t="n">
        <v>79661.4</v>
      </c>
      <c r="M499" s="22" t="n">
        <v>1.137</v>
      </c>
      <c r="N499" s="14" t="n">
        <v>90575.01</v>
      </c>
      <c r="O499" s="14" t="n">
        <v>10913.61</v>
      </c>
      <c r="P499" s="21" t="n">
        <v>0.069</v>
      </c>
      <c r="Q499" s="6" t="n">
        <v>160</v>
      </c>
      <c r="R499" s="6" t="s">
        <v>155</v>
      </c>
      <c r="S499" s="21" t="n">
        <v>0.705</v>
      </c>
      <c r="T499" s="14" t="n">
        <v>63855.38</v>
      </c>
      <c r="U499" s="6" t="s">
        <v>14</v>
      </c>
    </row>
    <row r="500" customFormat="false" ht="15" hidden="false" customHeight="true" outlineLevel="0" collapsed="false">
      <c r="A500" s="6" t="s">
        <v>1193</v>
      </c>
      <c r="B500" s="6" t="s">
        <v>1194</v>
      </c>
      <c r="C500" s="6" t="s">
        <v>112</v>
      </c>
      <c r="D500" s="6" t="s">
        <v>188</v>
      </c>
      <c r="E500" s="6" t="s">
        <v>165</v>
      </c>
      <c r="F500" s="13" t="n">
        <v>44714</v>
      </c>
      <c r="G500" s="13" t="n">
        <v>44884</v>
      </c>
      <c r="H500" s="14" t="n">
        <v>229671.83</v>
      </c>
      <c r="I500" s="6" t="n">
        <v>0</v>
      </c>
      <c r="J500" s="6" t="n">
        <v>762</v>
      </c>
      <c r="K500" s="6" t="s">
        <v>160</v>
      </c>
      <c r="L500" s="14" t="n">
        <v>112761.98</v>
      </c>
      <c r="M500" s="22" t="n">
        <v>1.239</v>
      </c>
      <c r="N500" s="14" t="n">
        <v>139712.09</v>
      </c>
      <c r="O500" s="14" t="n">
        <v>26950.11</v>
      </c>
      <c r="P500" s="21" t="n">
        <v>0.107</v>
      </c>
      <c r="Q500" s="6" t="n">
        <v>170</v>
      </c>
      <c r="R500" s="6" t="s">
        <v>161</v>
      </c>
      <c r="S500" s="21" t="n">
        <v>1</v>
      </c>
      <c r="T500" s="14" t="n">
        <v>139712.09</v>
      </c>
      <c r="U500" s="6" t="s">
        <v>16</v>
      </c>
    </row>
    <row r="501" customFormat="false" ht="15" hidden="false" customHeight="true" outlineLevel="0" collapsed="false">
      <c r="A501" s="6" t="s">
        <v>1195</v>
      </c>
      <c r="B501" s="6" t="s">
        <v>1196</v>
      </c>
      <c r="C501" s="6" t="s">
        <v>131</v>
      </c>
      <c r="D501" s="6" t="s">
        <v>176</v>
      </c>
      <c r="E501" s="6" t="s">
        <v>211</v>
      </c>
      <c r="F501" s="13" t="n">
        <v>45334</v>
      </c>
      <c r="G501" s="13" t="n">
        <v>45394</v>
      </c>
      <c r="H501" s="14" t="n">
        <v>197144.61</v>
      </c>
      <c r="I501" s="6" t="n">
        <v>0</v>
      </c>
      <c r="J501" s="6" t="n">
        <v>510</v>
      </c>
      <c r="K501" s="6" t="s">
        <v>185</v>
      </c>
      <c r="L501" s="14" t="n">
        <v>28367.38</v>
      </c>
      <c r="M501" s="22" t="n">
        <v>1.101</v>
      </c>
      <c r="N501" s="14" t="n">
        <v>31232.49</v>
      </c>
      <c r="O501" s="14" t="n">
        <v>2865.11</v>
      </c>
      <c r="P501" s="21" t="n">
        <v>0.109</v>
      </c>
      <c r="Q501" s="6" t="n">
        <v>60</v>
      </c>
      <c r="R501" s="6" t="s">
        <v>155</v>
      </c>
      <c r="S501" s="21" t="n">
        <v>0.908</v>
      </c>
      <c r="T501" s="14" t="n">
        <v>28359.1</v>
      </c>
      <c r="U501" s="6" t="s">
        <v>36</v>
      </c>
    </row>
    <row r="502" customFormat="false" ht="15" hidden="false" customHeight="true" outlineLevel="0" collapsed="false">
      <c r="A502" s="6" t="s">
        <v>1197</v>
      </c>
      <c r="B502" s="6" t="s">
        <v>1198</v>
      </c>
      <c r="C502" s="6" t="s">
        <v>128</v>
      </c>
      <c r="D502" s="6" t="s">
        <v>235</v>
      </c>
      <c r="E502" s="6" t="s">
        <v>254</v>
      </c>
      <c r="F502" s="13" t="n">
        <v>44746</v>
      </c>
      <c r="G502" s="13" t="n">
        <v>44870</v>
      </c>
      <c r="H502" s="14" t="n">
        <v>235660.33</v>
      </c>
      <c r="I502" s="6" t="n">
        <v>2</v>
      </c>
      <c r="J502" s="6" t="n">
        <v>616</v>
      </c>
      <c r="K502" s="6" t="s">
        <v>160</v>
      </c>
      <c r="L502" s="14" t="n">
        <v>71185.68</v>
      </c>
      <c r="M502" s="22" t="n">
        <v>1.211</v>
      </c>
      <c r="N502" s="14" t="n">
        <v>86205.86</v>
      </c>
      <c r="O502" s="14" t="n">
        <v>15020.18</v>
      </c>
      <c r="P502" s="21" t="n">
        <v>0.088</v>
      </c>
      <c r="Q502" s="6" t="n">
        <v>124</v>
      </c>
      <c r="R502" s="6" t="s">
        <v>161</v>
      </c>
      <c r="S502" s="21" t="n">
        <v>1</v>
      </c>
      <c r="T502" s="14" t="n">
        <v>86205.86</v>
      </c>
      <c r="U502" s="6" t="s">
        <v>17</v>
      </c>
    </row>
    <row r="503" customFormat="false" ht="15" hidden="false" customHeight="true" outlineLevel="0" collapsed="false">
      <c r="A503" s="6" t="s">
        <v>1199</v>
      </c>
      <c r="B503" s="6" t="s">
        <v>1200</v>
      </c>
      <c r="C503" s="6" t="s">
        <v>120</v>
      </c>
      <c r="D503" s="6" t="s">
        <v>263</v>
      </c>
      <c r="E503" s="6" t="s">
        <v>207</v>
      </c>
      <c r="F503" s="13" t="n">
        <v>45597</v>
      </c>
      <c r="G503" s="13" t="n">
        <v>45673</v>
      </c>
      <c r="H503" s="14" t="n">
        <v>229731.98</v>
      </c>
      <c r="I503" s="6" t="n">
        <v>0</v>
      </c>
      <c r="J503" s="6" t="n">
        <v>677</v>
      </c>
      <c r="K503" s="6" t="s">
        <v>160</v>
      </c>
      <c r="L503" s="14" t="n">
        <v>57418.96</v>
      </c>
      <c r="M503" s="22" t="n">
        <v>1.092</v>
      </c>
      <c r="N503" s="14" t="n">
        <v>62701.5</v>
      </c>
      <c r="O503" s="14" t="n">
        <v>5282.54</v>
      </c>
      <c r="P503" s="21" t="n">
        <v>0.107</v>
      </c>
      <c r="Q503" s="6" t="n">
        <v>76</v>
      </c>
      <c r="R503" s="6" t="s">
        <v>155</v>
      </c>
      <c r="S503" s="21" t="n">
        <v>0.98</v>
      </c>
      <c r="T503" s="14" t="n">
        <v>61447.47</v>
      </c>
      <c r="U503" s="6" t="s">
        <v>45</v>
      </c>
    </row>
    <row r="504" customFormat="false" ht="15" hidden="false" customHeight="true" outlineLevel="0" collapsed="false">
      <c r="A504" s="6" t="s">
        <v>1201</v>
      </c>
      <c r="B504" s="6" t="s">
        <v>1202</v>
      </c>
      <c r="C504" s="6" t="s">
        <v>116</v>
      </c>
      <c r="D504" s="6" t="s">
        <v>206</v>
      </c>
      <c r="E504" s="6" t="s">
        <v>173</v>
      </c>
      <c r="F504" s="13" t="n">
        <v>45620</v>
      </c>
      <c r="G504" s="13" t="n">
        <v>45680</v>
      </c>
      <c r="H504" s="14" t="n">
        <v>87399.8</v>
      </c>
      <c r="I504" s="6" t="n">
        <v>2</v>
      </c>
      <c r="J504" s="6" t="n">
        <v>752</v>
      </c>
      <c r="K504" s="6" t="s">
        <v>154</v>
      </c>
      <c r="L504" s="14" t="n">
        <v>9540.81</v>
      </c>
      <c r="M504" s="22" t="n">
        <v>1.256</v>
      </c>
      <c r="N504" s="14" t="n">
        <v>11983.26</v>
      </c>
      <c r="O504" s="14" t="n">
        <v>2442.45</v>
      </c>
      <c r="P504" s="21" t="n">
        <v>0.169</v>
      </c>
      <c r="Q504" s="6" t="n">
        <v>60</v>
      </c>
      <c r="R504" s="6" t="s">
        <v>155</v>
      </c>
      <c r="S504" s="21" t="n">
        <v>0.941</v>
      </c>
      <c r="T504" s="14" t="n">
        <v>11276.25</v>
      </c>
      <c r="U504" s="6" t="s">
        <v>45</v>
      </c>
    </row>
    <row r="505" customFormat="false" ht="15" hidden="false" customHeight="true" outlineLevel="0" collapsed="false">
      <c r="A505" s="6" t="s">
        <v>1203</v>
      </c>
      <c r="B505" s="6" t="s">
        <v>1204</v>
      </c>
      <c r="C505" s="6" t="s">
        <v>112</v>
      </c>
      <c r="D505" s="6" t="s">
        <v>172</v>
      </c>
      <c r="E505" s="6" t="s">
        <v>189</v>
      </c>
      <c r="F505" s="13" t="n">
        <v>44942</v>
      </c>
      <c r="G505" s="13" t="n">
        <v>45120</v>
      </c>
      <c r="H505" s="14" t="n">
        <v>97975.96</v>
      </c>
      <c r="I505" s="6" t="n">
        <v>0</v>
      </c>
      <c r="J505" s="6" t="n">
        <v>557</v>
      </c>
      <c r="K505" s="6" t="s">
        <v>185</v>
      </c>
      <c r="L505" s="14" t="n">
        <v>27409.48</v>
      </c>
      <c r="M505" s="22" t="n">
        <v>1.3</v>
      </c>
      <c r="N505" s="14" t="n">
        <v>35632.32</v>
      </c>
      <c r="O505" s="14" t="n">
        <v>8222.84</v>
      </c>
      <c r="P505" s="21" t="n">
        <v>0.061</v>
      </c>
      <c r="Q505" s="6" t="n">
        <v>178</v>
      </c>
      <c r="R505" s="6" t="s">
        <v>161</v>
      </c>
      <c r="S505" s="21" t="n">
        <v>1</v>
      </c>
      <c r="T505" s="14" t="n">
        <v>35632.32</v>
      </c>
      <c r="U505" s="6" t="s">
        <v>23</v>
      </c>
    </row>
    <row r="506" customFormat="false" ht="15" hidden="false" customHeight="true" outlineLevel="0" collapsed="false">
      <c r="A506" s="6" t="s">
        <v>1205</v>
      </c>
      <c r="B506" s="6" t="s">
        <v>1206</v>
      </c>
      <c r="C506" s="6" t="s">
        <v>128</v>
      </c>
      <c r="D506" s="6" t="s">
        <v>172</v>
      </c>
      <c r="E506" s="6" t="s">
        <v>299</v>
      </c>
      <c r="F506" s="13" t="n">
        <v>45387</v>
      </c>
      <c r="G506" s="13" t="n">
        <v>45447</v>
      </c>
      <c r="H506" s="14" t="n">
        <v>226210.56</v>
      </c>
      <c r="I506" s="6" t="n">
        <v>2</v>
      </c>
      <c r="J506" s="6" t="n">
        <v>523</v>
      </c>
      <c r="K506" s="6" t="s">
        <v>160</v>
      </c>
      <c r="L506" s="14" t="n">
        <v>34845.05</v>
      </c>
      <c r="M506" s="22" t="n">
        <v>1.289</v>
      </c>
      <c r="N506" s="14" t="n">
        <v>44915.27</v>
      </c>
      <c r="O506" s="14" t="n">
        <v>10070.22</v>
      </c>
      <c r="P506" s="21" t="n">
        <v>0.136</v>
      </c>
      <c r="Q506" s="6" t="n">
        <v>60</v>
      </c>
      <c r="R506" s="6" t="s">
        <v>155</v>
      </c>
      <c r="S506" s="21" t="n">
        <v>0.764</v>
      </c>
      <c r="T506" s="14" t="n">
        <v>34315.27</v>
      </c>
      <c r="U506" s="6" t="s">
        <v>38</v>
      </c>
    </row>
    <row r="507" customFormat="false" ht="15" hidden="false" customHeight="true" outlineLevel="0" collapsed="false">
      <c r="A507" s="6" t="s">
        <v>1207</v>
      </c>
      <c r="B507" s="6" t="s">
        <v>1208</v>
      </c>
      <c r="C507" s="6" t="s">
        <v>112</v>
      </c>
      <c r="D507" s="6" t="s">
        <v>188</v>
      </c>
      <c r="E507" s="6" t="s">
        <v>184</v>
      </c>
      <c r="F507" s="13" t="n">
        <v>44924</v>
      </c>
      <c r="G507" s="13" t="n">
        <v>45064</v>
      </c>
      <c r="H507" s="14" t="n">
        <v>54888.99</v>
      </c>
      <c r="I507" s="6" t="n">
        <v>1</v>
      </c>
      <c r="J507" s="6" t="n">
        <v>817</v>
      </c>
      <c r="K507" s="6" t="s">
        <v>160</v>
      </c>
      <c r="L507" s="14" t="n">
        <v>25543.05</v>
      </c>
      <c r="M507" s="22" t="n">
        <v>1.216</v>
      </c>
      <c r="N507" s="14" t="n">
        <v>31060.35</v>
      </c>
      <c r="O507" s="14" t="n">
        <v>5517.3</v>
      </c>
      <c r="P507" s="21" t="n">
        <v>0.121</v>
      </c>
      <c r="Q507" s="6" t="n">
        <v>140</v>
      </c>
      <c r="R507" s="6" t="s">
        <v>161</v>
      </c>
      <c r="S507" s="21" t="n">
        <v>1</v>
      </c>
      <c r="T507" s="14" t="n">
        <v>31060.35</v>
      </c>
      <c r="U507" s="6" t="s">
        <v>22</v>
      </c>
    </row>
    <row r="508" customFormat="false" ht="15" hidden="false" customHeight="true" outlineLevel="0" collapsed="false">
      <c r="A508" s="6" t="s">
        <v>1209</v>
      </c>
      <c r="B508" s="6" t="s">
        <v>1210</v>
      </c>
      <c r="C508" s="6" t="s">
        <v>124</v>
      </c>
      <c r="D508" s="6" t="s">
        <v>180</v>
      </c>
      <c r="E508" s="6" t="s">
        <v>153</v>
      </c>
      <c r="F508" s="13" t="n">
        <v>45356</v>
      </c>
      <c r="G508" s="13" t="n">
        <v>45513</v>
      </c>
      <c r="H508" s="14" t="n">
        <v>169191.94</v>
      </c>
      <c r="I508" s="6" t="n">
        <v>1</v>
      </c>
      <c r="J508" s="6" t="n">
        <v>785</v>
      </c>
      <c r="K508" s="6" t="s">
        <v>154</v>
      </c>
      <c r="L508" s="14" t="n">
        <v>85342.65</v>
      </c>
      <c r="M508" s="22" t="n">
        <v>1.205</v>
      </c>
      <c r="N508" s="14" t="n">
        <v>102837.89</v>
      </c>
      <c r="O508" s="14" t="n">
        <v>17495.24</v>
      </c>
      <c r="P508" s="21" t="n">
        <v>0.116</v>
      </c>
      <c r="Q508" s="6" t="n">
        <v>157</v>
      </c>
      <c r="R508" s="6" t="s">
        <v>155</v>
      </c>
      <c r="S508" s="21" t="n">
        <v>0.98</v>
      </c>
      <c r="T508" s="14" t="n">
        <v>100781.13</v>
      </c>
      <c r="U508" s="6" t="s">
        <v>37</v>
      </c>
    </row>
    <row r="509" customFormat="false" ht="15" hidden="false" customHeight="true" outlineLevel="0" collapsed="false">
      <c r="A509" s="6" t="s">
        <v>1211</v>
      </c>
      <c r="B509" s="6" t="s">
        <v>1212</v>
      </c>
      <c r="C509" s="6" t="s">
        <v>120</v>
      </c>
      <c r="D509" s="6" t="s">
        <v>158</v>
      </c>
      <c r="E509" s="6" t="s">
        <v>211</v>
      </c>
      <c r="F509" s="13" t="n">
        <v>45770</v>
      </c>
      <c r="G509" s="13" t="n">
        <v>45838</v>
      </c>
      <c r="H509" s="14" t="n">
        <v>32174.12</v>
      </c>
      <c r="I509" s="6" t="n">
        <v>1</v>
      </c>
      <c r="J509" s="6" t="n">
        <v>561</v>
      </c>
      <c r="K509" s="6" t="s">
        <v>160</v>
      </c>
      <c r="L509" s="14" t="n">
        <v>7826.88</v>
      </c>
      <c r="M509" s="22" t="n">
        <v>1.331</v>
      </c>
      <c r="N509" s="14" t="n">
        <v>10417.58</v>
      </c>
      <c r="O509" s="14" t="n">
        <v>2590.7</v>
      </c>
      <c r="P509" s="21" t="n">
        <v>0.142</v>
      </c>
      <c r="Q509" s="6" t="n">
        <v>68</v>
      </c>
      <c r="R509" s="6" t="s">
        <v>161</v>
      </c>
      <c r="S509" s="21" t="n">
        <v>1</v>
      </c>
      <c r="T509" s="14" t="n">
        <v>10417.58</v>
      </c>
      <c r="U509" s="6" t="s">
        <v>50</v>
      </c>
    </row>
    <row r="510" customFormat="false" ht="15" hidden="false" customHeight="true" outlineLevel="0" collapsed="false">
      <c r="A510" s="6" t="s">
        <v>1213</v>
      </c>
      <c r="B510" s="6" t="s">
        <v>1214</v>
      </c>
      <c r="C510" s="6" t="s">
        <v>120</v>
      </c>
      <c r="D510" s="6" t="s">
        <v>263</v>
      </c>
      <c r="E510" s="6" t="s">
        <v>254</v>
      </c>
      <c r="F510" s="13" t="n">
        <v>45015</v>
      </c>
      <c r="G510" s="13" t="n">
        <v>45075</v>
      </c>
      <c r="H510" s="14" t="n">
        <v>234920.42</v>
      </c>
      <c r="I510" s="6" t="n">
        <v>3</v>
      </c>
      <c r="J510" s="6" t="n">
        <v>637</v>
      </c>
      <c r="K510" s="6" t="s">
        <v>160</v>
      </c>
      <c r="L510" s="14" t="n">
        <v>26995.72</v>
      </c>
      <c r="M510" s="22" t="n">
        <v>1.249</v>
      </c>
      <c r="N510" s="14" t="n">
        <v>33717.65</v>
      </c>
      <c r="O510" s="14" t="n">
        <v>6721.93</v>
      </c>
      <c r="P510" s="21" t="n">
        <v>0.168</v>
      </c>
      <c r="Q510" s="6" t="n">
        <v>60</v>
      </c>
      <c r="R510" s="6" t="s">
        <v>490</v>
      </c>
      <c r="S510" s="21" t="n">
        <v>0.385</v>
      </c>
      <c r="T510" s="14" t="n">
        <v>12981.3</v>
      </c>
      <c r="U510" s="6" t="s">
        <v>25</v>
      </c>
    </row>
    <row r="511" customFormat="false" ht="15" hidden="false" customHeight="true" outlineLevel="0" collapsed="false">
      <c r="A511" s="6" t="s">
        <v>1215</v>
      </c>
      <c r="B511" s="6" t="s">
        <v>1216</v>
      </c>
      <c r="C511" s="6" t="s">
        <v>131</v>
      </c>
      <c r="D511" s="6" t="s">
        <v>152</v>
      </c>
      <c r="E511" s="6" t="s">
        <v>165</v>
      </c>
      <c r="F511" s="13" t="n">
        <v>46155</v>
      </c>
      <c r="G511" s="13" t="n">
        <v>46215</v>
      </c>
      <c r="H511" s="14" t="n">
        <v>146228.7</v>
      </c>
      <c r="I511" s="6" t="n">
        <v>4</v>
      </c>
      <c r="J511" s="6" t="n">
        <v>791</v>
      </c>
      <c r="K511" s="6" t="s">
        <v>154</v>
      </c>
      <c r="L511" s="14" t="n">
        <v>15641.84</v>
      </c>
      <c r="M511" s="22" t="n">
        <v>1.199</v>
      </c>
      <c r="N511" s="14" t="n">
        <v>18754.57</v>
      </c>
      <c r="O511" s="14" t="n">
        <v>3112.73</v>
      </c>
      <c r="P511" s="21" t="n">
        <v>0.084</v>
      </c>
      <c r="Q511" s="6" t="n">
        <v>60</v>
      </c>
      <c r="R511" s="6" t="s">
        <v>161</v>
      </c>
      <c r="S511" s="21" t="n">
        <v>1</v>
      </c>
      <c r="T511" s="14" t="n">
        <v>18754.57</v>
      </c>
      <c r="U511" s="6" t="s">
        <v>63</v>
      </c>
    </row>
    <row r="512" customFormat="false" ht="15" hidden="false" customHeight="true" outlineLevel="0" collapsed="false">
      <c r="A512" s="6" t="s">
        <v>1217</v>
      </c>
      <c r="B512" s="6" t="s">
        <v>1218</v>
      </c>
      <c r="C512" s="6" t="s">
        <v>120</v>
      </c>
      <c r="D512" s="6" t="s">
        <v>218</v>
      </c>
      <c r="E512" s="6" t="s">
        <v>153</v>
      </c>
      <c r="F512" s="13" t="n">
        <v>44584</v>
      </c>
      <c r="G512" s="13" t="n">
        <v>44665</v>
      </c>
      <c r="H512" s="14" t="n">
        <v>8672.54</v>
      </c>
      <c r="I512" s="6" t="n">
        <v>1</v>
      </c>
      <c r="J512" s="6" t="n">
        <v>621</v>
      </c>
      <c r="K512" s="6" t="s">
        <v>160</v>
      </c>
      <c r="L512" s="14" t="n">
        <v>2000</v>
      </c>
      <c r="M512" s="22" t="n">
        <v>1.123</v>
      </c>
      <c r="N512" s="14" t="n">
        <v>2246</v>
      </c>
      <c r="O512" s="14" t="n">
        <v>246</v>
      </c>
      <c r="P512" s="21" t="n">
        <v>0.095</v>
      </c>
      <c r="Q512" s="6" t="n">
        <v>81</v>
      </c>
      <c r="R512" s="6" t="s">
        <v>155</v>
      </c>
      <c r="S512" s="21" t="n">
        <v>0.774</v>
      </c>
      <c r="T512" s="14" t="n">
        <v>1738.4</v>
      </c>
      <c r="U512" s="6" t="s">
        <v>11</v>
      </c>
    </row>
    <row r="513" customFormat="false" ht="15" hidden="false" customHeight="true" outlineLevel="0" collapsed="false">
      <c r="A513" s="6" t="s">
        <v>1219</v>
      </c>
      <c r="B513" s="6" t="s">
        <v>1220</v>
      </c>
      <c r="C513" s="6" t="s">
        <v>131</v>
      </c>
      <c r="D513" s="6" t="s">
        <v>152</v>
      </c>
      <c r="E513" s="6" t="s">
        <v>177</v>
      </c>
      <c r="F513" s="13" t="n">
        <v>44743</v>
      </c>
      <c r="G513" s="13" t="n">
        <v>44803</v>
      </c>
      <c r="H513" s="14" t="n">
        <v>67117.04</v>
      </c>
      <c r="I513" s="6" t="n">
        <v>1</v>
      </c>
      <c r="J513" s="6" t="n">
        <v>807</v>
      </c>
      <c r="K513" s="6" t="s">
        <v>185</v>
      </c>
      <c r="L513" s="14" t="n">
        <v>14181.93</v>
      </c>
      <c r="M513" s="22" t="n">
        <v>1.121</v>
      </c>
      <c r="N513" s="14" t="n">
        <v>15897.94</v>
      </c>
      <c r="O513" s="14" t="n">
        <v>1716.01</v>
      </c>
      <c r="P513" s="21" t="n">
        <v>0.167</v>
      </c>
      <c r="Q513" s="6" t="n">
        <v>60</v>
      </c>
      <c r="R513" s="6" t="s">
        <v>161</v>
      </c>
      <c r="S513" s="21" t="n">
        <v>1</v>
      </c>
      <c r="T513" s="14" t="n">
        <v>15897.94</v>
      </c>
      <c r="U513" s="6" t="s">
        <v>17</v>
      </c>
    </row>
    <row r="514" customFormat="false" ht="15" hidden="false" customHeight="true" outlineLevel="0" collapsed="false">
      <c r="A514" s="6" t="s">
        <v>1221</v>
      </c>
      <c r="B514" s="6" t="s">
        <v>1222</v>
      </c>
      <c r="C514" s="6" t="s">
        <v>128</v>
      </c>
      <c r="D514" s="6" t="s">
        <v>235</v>
      </c>
      <c r="E514" s="6" t="s">
        <v>201</v>
      </c>
      <c r="F514" s="13" t="n">
        <v>45420</v>
      </c>
      <c r="G514" s="13" t="n">
        <v>45480</v>
      </c>
      <c r="H514" s="14" t="n">
        <v>215444.79</v>
      </c>
      <c r="I514" s="6" t="n">
        <v>3</v>
      </c>
      <c r="J514" s="6" t="n">
        <v>528</v>
      </c>
      <c r="K514" s="6" t="s">
        <v>185</v>
      </c>
      <c r="L514" s="14" t="n">
        <v>38077.82</v>
      </c>
      <c r="M514" s="22" t="n">
        <v>1.142</v>
      </c>
      <c r="N514" s="14" t="n">
        <v>43484.87</v>
      </c>
      <c r="O514" s="14" t="n">
        <v>5407.05</v>
      </c>
      <c r="P514" s="21" t="n">
        <v>0.16</v>
      </c>
      <c r="Q514" s="6" t="n">
        <v>60</v>
      </c>
      <c r="R514" s="6" t="s">
        <v>161</v>
      </c>
      <c r="S514" s="21" t="n">
        <v>1</v>
      </c>
      <c r="T514" s="14" t="n">
        <v>43484.87</v>
      </c>
      <c r="U514" s="6" t="s">
        <v>39</v>
      </c>
    </row>
    <row r="515" customFormat="false" ht="15" hidden="false" customHeight="true" outlineLevel="0" collapsed="false">
      <c r="A515" s="6" t="s">
        <v>1223</v>
      </c>
      <c r="B515" s="6" t="s">
        <v>1224</v>
      </c>
      <c r="C515" s="6" t="s">
        <v>120</v>
      </c>
      <c r="D515" s="6" t="s">
        <v>218</v>
      </c>
      <c r="E515" s="6" t="s">
        <v>159</v>
      </c>
      <c r="F515" s="13" t="n">
        <v>45914</v>
      </c>
      <c r="G515" s="13" t="n">
        <v>45986</v>
      </c>
      <c r="H515" s="14" t="n">
        <v>180714.01</v>
      </c>
      <c r="I515" s="6" t="n">
        <v>1</v>
      </c>
      <c r="J515" s="6" t="n">
        <v>558</v>
      </c>
      <c r="K515" s="6" t="s">
        <v>185</v>
      </c>
      <c r="L515" s="14" t="n">
        <v>44633.88</v>
      </c>
      <c r="M515" s="22" t="n">
        <v>1.255</v>
      </c>
      <c r="N515" s="14" t="n">
        <v>56015.52</v>
      </c>
      <c r="O515" s="14" t="n">
        <v>11381.64</v>
      </c>
      <c r="P515" s="21" t="n">
        <v>0.129</v>
      </c>
      <c r="Q515" s="6" t="n">
        <v>72</v>
      </c>
      <c r="R515" s="6" t="s">
        <v>155</v>
      </c>
      <c r="S515" s="21" t="n">
        <v>0.823</v>
      </c>
      <c r="T515" s="14" t="n">
        <v>46100.77</v>
      </c>
      <c r="U515" s="6" t="s">
        <v>55</v>
      </c>
    </row>
    <row r="516" customFormat="false" ht="15" hidden="false" customHeight="true" outlineLevel="0" collapsed="false">
      <c r="A516" s="6" t="s">
        <v>1225</v>
      </c>
      <c r="B516" s="6" t="s">
        <v>1226</v>
      </c>
      <c r="C516" s="6" t="s">
        <v>131</v>
      </c>
      <c r="D516" s="6" t="s">
        <v>176</v>
      </c>
      <c r="E516" s="6" t="s">
        <v>195</v>
      </c>
      <c r="F516" s="13" t="n">
        <v>45004</v>
      </c>
      <c r="G516" s="13" t="n">
        <v>45105</v>
      </c>
      <c r="H516" s="14" t="n">
        <v>100376.18</v>
      </c>
      <c r="I516" s="6" t="n">
        <v>1</v>
      </c>
      <c r="J516" s="6" t="n">
        <v>727</v>
      </c>
      <c r="K516" s="6" t="s">
        <v>160</v>
      </c>
      <c r="L516" s="14" t="n">
        <v>37330.61</v>
      </c>
      <c r="M516" s="22" t="n">
        <v>1.287</v>
      </c>
      <c r="N516" s="14" t="n">
        <v>48044.5</v>
      </c>
      <c r="O516" s="14" t="n">
        <v>10713.89</v>
      </c>
      <c r="P516" s="21" t="n">
        <v>0.141</v>
      </c>
      <c r="Q516" s="6" t="n">
        <v>101</v>
      </c>
      <c r="R516" s="6" t="s">
        <v>155</v>
      </c>
      <c r="S516" s="21" t="n">
        <v>0.98</v>
      </c>
      <c r="T516" s="14" t="n">
        <v>47083.61</v>
      </c>
      <c r="U516" s="6" t="s">
        <v>25</v>
      </c>
    </row>
    <row r="517" customFormat="false" ht="15" hidden="false" customHeight="true" outlineLevel="0" collapsed="false">
      <c r="A517" s="6" t="s">
        <v>1227</v>
      </c>
      <c r="B517" s="6" t="s">
        <v>1228</v>
      </c>
      <c r="C517" s="6" t="s">
        <v>131</v>
      </c>
      <c r="D517" s="6" t="s">
        <v>152</v>
      </c>
      <c r="E517" s="6" t="s">
        <v>254</v>
      </c>
      <c r="F517" s="13" t="n">
        <v>44963</v>
      </c>
      <c r="G517" s="13" t="n">
        <v>45041</v>
      </c>
      <c r="H517" s="14" t="n">
        <v>231742.25</v>
      </c>
      <c r="I517" s="6" t="n">
        <v>3</v>
      </c>
      <c r="J517" s="6" t="n">
        <v>739</v>
      </c>
      <c r="K517" s="6" t="s">
        <v>154</v>
      </c>
      <c r="L517" s="14" t="n">
        <v>65903.21</v>
      </c>
      <c r="M517" s="22" t="n">
        <v>1.177</v>
      </c>
      <c r="N517" s="14" t="n">
        <v>77568.08</v>
      </c>
      <c r="O517" s="14" t="n">
        <v>11664.87</v>
      </c>
      <c r="P517" s="21" t="n">
        <v>0.128</v>
      </c>
      <c r="Q517" s="6" t="n">
        <v>78</v>
      </c>
      <c r="R517" s="6" t="s">
        <v>161</v>
      </c>
      <c r="S517" s="21" t="n">
        <v>1</v>
      </c>
      <c r="T517" s="14" t="n">
        <v>77568.08</v>
      </c>
      <c r="U517" s="6" t="s">
        <v>24</v>
      </c>
    </row>
    <row r="518" customFormat="false" ht="15" hidden="false" customHeight="true" outlineLevel="0" collapsed="false">
      <c r="A518" s="6" t="s">
        <v>1229</v>
      </c>
      <c r="B518" s="6" t="s">
        <v>1230</v>
      </c>
      <c r="C518" s="6" t="s">
        <v>116</v>
      </c>
      <c r="D518" s="6" t="s">
        <v>206</v>
      </c>
      <c r="E518" s="6" t="s">
        <v>219</v>
      </c>
      <c r="F518" s="13" t="n">
        <v>45780</v>
      </c>
      <c r="G518" s="13" t="n">
        <v>45850</v>
      </c>
      <c r="H518" s="14" t="n">
        <v>109138.74</v>
      </c>
      <c r="I518" s="6" t="n">
        <v>3</v>
      </c>
      <c r="J518" s="6" t="n">
        <v>630</v>
      </c>
      <c r="K518" s="6" t="s">
        <v>185</v>
      </c>
      <c r="L518" s="14" t="n">
        <v>18571.94</v>
      </c>
      <c r="M518" s="22" t="n">
        <v>1.303</v>
      </c>
      <c r="N518" s="14" t="n">
        <v>24199.24</v>
      </c>
      <c r="O518" s="14" t="n">
        <v>5627.3</v>
      </c>
      <c r="P518" s="21" t="n">
        <v>0.095</v>
      </c>
      <c r="Q518" s="6" t="n">
        <v>70</v>
      </c>
      <c r="R518" s="6" t="s">
        <v>155</v>
      </c>
      <c r="S518" s="21" t="n">
        <v>0.98</v>
      </c>
      <c r="T518" s="14" t="n">
        <v>23715.26</v>
      </c>
      <c r="U518" s="6" t="s">
        <v>51</v>
      </c>
    </row>
    <row r="519" customFormat="false" ht="15" hidden="false" customHeight="true" outlineLevel="0" collapsed="false">
      <c r="A519" s="6" t="s">
        <v>1231</v>
      </c>
      <c r="B519" s="6" t="s">
        <v>1232</v>
      </c>
      <c r="C519" s="6" t="s">
        <v>131</v>
      </c>
      <c r="D519" s="6" t="s">
        <v>176</v>
      </c>
      <c r="E519" s="6" t="s">
        <v>299</v>
      </c>
      <c r="F519" s="13" t="n">
        <v>44977</v>
      </c>
      <c r="G519" s="13" t="n">
        <v>45037</v>
      </c>
      <c r="H519" s="14" t="n">
        <v>36878.26</v>
      </c>
      <c r="I519" s="6" t="n">
        <v>2</v>
      </c>
      <c r="J519" s="6" t="n">
        <v>584</v>
      </c>
      <c r="K519" s="6" t="s">
        <v>160</v>
      </c>
      <c r="L519" s="14" t="n">
        <v>3872.84</v>
      </c>
      <c r="M519" s="22" t="n">
        <v>1.124</v>
      </c>
      <c r="N519" s="14" t="n">
        <v>4353.07</v>
      </c>
      <c r="O519" s="14" t="n">
        <v>480.23</v>
      </c>
      <c r="P519" s="21" t="n">
        <v>0.124</v>
      </c>
      <c r="Q519" s="6" t="n">
        <v>60</v>
      </c>
      <c r="R519" s="6" t="s">
        <v>155</v>
      </c>
      <c r="S519" s="21" t="n">
        <v>0.847</v>
      </c>
      <c r="T519" s="14" t="n">
        <v>3687.05</v>
      </c>
      <c r="U519" s="6" t="s">
        <v>24</v>
      </c>
    </row>
    <row r="520" customFormat="false" ht="15" hidden="false" customHeight="true" outlineLevel="0" collapsed="false">
      <c r="A520" s="6" t="s">
        <v>1233</v>
      </c>
      <c r="B520" s="6" t="s">
        <v>1234</v>
      </c>
      <c r="C520" s="6" t="s">
        <v>124</v>
      </c>
      <c r="D520" s="6" t="s">
        <v>180</v>
      </c>
      <c r="E520" s="6" t="s">
        <v>177</v>
      </c>
      <c r="F520" s="13" t="n">
        <v>44964</v>
      </c>
      <c r="G520" s="13" t="n">
        <v>45024</v>
      </c>
      <c r="H520" s="14" t="n">
        <v>22627.58</v>
      </c>
      <c r="I520" s="6" t="n">
        <v>1</v>
      </c>
      <c r="J520" s="6" t="n">
        <v>749</v>
      </c>
      <c r="K520" s="6" t="s">
        <v>160</v>
      </c>
      <c r="L520" s="14" t="n">
        <v>3009.23</v>
      </c>
      <c r="M520" s="22" t="n">
        <v>1.341</v>
      </c>
      <c r="N520" s="14" t="n">
        <v>4035.38</v>
      </c>
      <c r="O520" s="14" t="n">
        <v>1026.15</v>
      </c>
      <c r="P520" s="21" t="n">
        <v>0.101</v>
      </c>
      <c r="Q520" s="6" t="n">
        <v>60</v>
      </c>
      <c r="R520" s="6" t="s">
        <v>161</v>
      </c>
      <c r="S520" s="21" t="n">
        <v>1</v>
      </c>
      <c r="T520" s="14" t="n">
        <v>4035.38</v>
      </c>
      <c r="U520" s="6" t="s">
        <v>24</v>
      </c>
    </row>
    <row r="521" customFormat="false" ht="15" hidden="false" customHeight="true" outlineLevel="0" collapsed="false">
      <c r="A521" s="6" t="s">
        <v>1235</v>
      </c>
      <c r="B521" s="6" t="s">
        <v>1236</v>
      </c>
      <c r="C521" s="6" t="s">
        <v>112</v>
      </c>
      <c r="D521" s="6" t="s">
        <v>172</v>
      </c>
      <c r="E521" s="6" t="s">
        <v>192</v>
      </c>
      <c r="F521" s="13" t="n">
        <v>45218</v>
      </c>
      <c r="G521" s="13" t="n">
        <v>45359</v>
      </c>
      <c r="H521" s="14" t="n">
        <v>242415.11</v>
      </c>
      <c r="I521" s="6" t="n">
        <v>0</v>
      </c>
      <c r="J521" s="6" t="n">
        <v>751</v>
      </c>
      <c r="K521" s="6" t="s">
        <v>160</v>
      </c>
      <c r="L521" s="14" t="n">
        <v>104828.95</v>
      </c>
      <c r="M521" s="22" t="n">
        <v>1.334</v>
      </c>
      <c r="N521" s="14" t="n">
        <v>139841.82</v>
      </c>
      <c r="O521" s="14" t="n">
        <v>35012.87</v>
      </c>
      <c r="P521" s="21" t="n">
        <v>0.122</v>
      </c>
      <c r="Q521" s="6" t="n">
        <v>141</v>
      </c>
      <c r="R521" s="6" t="s">
        <v>155</v>
      </c>
      <c r="S521" s="21" t="n">
        <v>0.753</v>
      </c>
      <c r="T521" s="14" t="n">
        <v>105300.89</v>
      </c>
      <c r="U521" s="6" t="s">
        <v>32</v>
      </c>
    </row>
    <row r="522" customFormat="false" ht="15" hidden="false" customHeight="true" outlineLevel="0" collapsed="false">
      <c r="A522" s="6" t="s">
        <v>1237</v>
      </c>
      <c r="B522" s="6" t="s">
        <v>1238</v>
      </c>
      <c r="C522" s="6" t="s">
        <v>120</v>
      </c>
      <c r="D522" s="6" t="s">
        <v>210</v>
      </c>
      <c r="E522" s="6" t="s">
        <v>165</v>
      </c>
      <c r="F522" s="13" t="n">
        <v>45584</v>
      </c>
      <c r="G522" s="13" t="n">
        <v>45669</v>
      </c>
      <c r="H522" s="14" t="n">
        <v>14773.44</v>
      </c>
      <c r="I522" s="6" t="n">
        <v>5</v>
      </c>
      <c r="J522" s="6" t="n">
        <v>585</v>
      </c>
      <c r="K522" s="6" t="s">
        <v>185</v>
      </c>
      <c r="L522" s="14" t="n">
        <v>4600.77</v>
      </c>
      <c r="M522" s="22" t="n">
        <v>1.266</v>
      </c>
      <c r="N522" s="14" t="n">
        <v>5824.57</v>
      </c>
      <c r="O522" s="14" t="n">
        <v>1223.8</v>
      </c>
      <c r="P522" s="21" t="n">
        <v>0.138</v>
      </c>
      <c r="Q522" s="6" t="n">
        <v>85</v>
      </c>
      <c r="R522" s="6" t="s">
        <v>161</v>
      </c>
      <c r="S522" s="21" t="n">
        <v>1</v>
      </c>
      <c r="T522" s="14" t="n">
        <v>5824.57</v>
      </c>
      <c r="U522" s="6" t="s">
        <v>44</v>
      </c>
    </row>
    <row r="523" customFormat="false" ht="15" hidden="false" customHeight="true" outlineLevel="0" collapsed="false">
      <c r="A523" s="6" t="s">
        <v>1239</v>
      </c>
      <c r="B523" s="6" t="s">
        <v>1240</v>
      </c>
      <c r="C523" s="6" t="s">
        <v>128</v>
      </c>
      <c r="D523" s="6" t="s">
        <v>235</v>
      </c>
      <c r="E523" s="6" t="s">
        <v>219</v>
      </c>
      <c r="F523" s="13" t="n">
        <v>45734</v>
      </c>
      <c r="G523" s="13" t="n">
        <v>45794</v>
      </c>
      <c r="H523" s="14" t="n">
        <v>112279.74</v>
      </c>
      <c r="I523" s="6" t="n">
        <v>4</v>
      </c>
      <c r="J523" s="6" t="n">
        <v>540</v>
      </c>
      <c r="K523" s="6" t="s">
        <v>160</v>
      </c>
      <c r="L523" s="14" t="n">
        <v>20531.5</v>
      </c>
      <c r="M523" s="22" t="n">
        <v>1.225</v>
      </c>
      <c r="N523" s="14" t="n">
        <v>25151.09</v>
      </c>
      <c r="O523" s="14" t="n">
        <v>4619.59</v>
      </c>
      <c r="P523" s="21" t="n">
        <v>0.168</v>
      </c>
      <c r="Q523" s="6" t="n">
        <v>60</v>
      </c>
      <c r="R523" s="6" t="s">
        <v>161</v>
      </c>
      <c r="S523" s="21" t="n">
        <v>1</v>
      </c>
      <c r="T523" s="14" t="n">
        <v>25151.09</v>
      </c>
      <c r="U523" s="6" t="s">
        <v>49</v>
      </c>
    </row>
    <row r="524" customFormat="false" ht="15" hidden="false" customHeight="true" outlineLevel="0" collapsed="false">
      <c r="A524" s="6" t="s">
        <v>1241</v>
      </c>
      <c r="B524" s="6" t="s">
        <v>1242</v>
      </c>
      <c r="C524" s="6" t="s">
        <v>116</v>
      </c>
      <c r="D524" s="6" t="s">
        <v>152</v>
      </c>
      <c r="E524" s="6" t="s">
        <v>184</v>
      </c>
      <c r="F524" s="13" t="n">
        <v>45929</v>
      </c>
      <c r="G524" s="13" t="n">
        <v>46003</v>
      </c>
      <c r="H524" s="14" t="n">
        <v>218568.01</v>
      </c>
      <c r="I524" s="6" t="n">
        <v>0</v>
      </c>
      <c r="J524" s="6" t="n">
        <v>577</v>
      </c>
      <c r="K524" s="6" t="s">
        <v>154</v>
      </c>
      <c r="L524" s="14" t="n">
        <v>35465.46</v>
      </c>
      <c r="M524" s="22" t="n">
        <v>1.332</v>
      </c>
      <c r="N524" s="14" t="n">
        <v>47239.99</v>
      </c>
      <c r="O524" s="14" t="n">
        <v>11774.53</v>
      </c>
      <c r="P524" s="21" t="n">
        <v>0.087</v>
      </c>
      <c r="Q524" s="6" t="n">
        <v>74</v>
      </c>
      <c r="R524" s="6" t="s">
        <v>232</v>
      </c>
      <c r="S524" s="21" t="n">
        <v>1</v>
      </c>
      <c r="T524" s="14" t="n">
        <v>47239.99</v>
      </c>
      <c r="U524" s="6" t="s">
        <v>55</v>
      </c>
    </row>
    <row r="525" customFormat="false" ht="15" hidden="false" customHeight="true" outlineLevel="0" collapsed="false">
      <c r="A525" s="6" t="s">
        <v>1243</v>
      </c>
      <c r="B525" s="6" t="s">
        <v>1244</v>
      </c>
      <c r="C525" s="6" t="s">
        <v>131</v>
      </c>
      <c r="D525" s="6" t="s">
        <v>152</v>
      </c>
      <c r="E525" s="6" t="s">
        <v>153</v>
      </c>
      <c r="F525" s="13" t="n">
        <v>45686</v>
      </c>
      <c r="G525" s="13" t="n">
        <v>45786</v>
      </c>
      <c r="H525" s="14" t="n">
        <v>137266.21</v>
      </c>
      <c r="I525" s="6" t="n">
        <v>2</v>
      </c>
      <c r="J525" s="6" t="n">
        <v>539</v>
      </c>
      <c r="K525" s="6" t="s">
        <v>160</v>
      </c>
      <c r="L525" s="14" t="n">
        <v>40537.91</v>
      </c>
      <c r="M525" s="22" t="n">
        <v>1.112</v>
      </c>
      <c r="N525" s="14" t="n">
        <v>45078.16</v>
      </c>
      <c r="O525" s="14" t="n">
        <v>4540.25</v>
      </c>
      <c r="P525" s="21" t="n">
        <v>0.098</v>
      </c>
      <c r="Q525" s="6" t="n">
        <v>100</v>
      </c>
      <c r="R525" s="6" t="s">
        <v>161</v>
      </c>
      <c r="S525" s="21" t="n">
        <v>1</v>
      </c>
      <c r="T525" s="14" t="n">
        <v>45078.16</v>
      </c>
      <c r="U525" s="6" t="s">
        <v>47</v>
      </c>
    </row>
    <row r="526" customFormat="false" ht="15" hidden="false" customHeight="true" outlineLevel="0" collapsed="false">
      <c r="A526" s="6" t="s">
        <v>1245</v>
      </c>
      <c r="B526" s="6" t="s">
        <v>1246</v>
      </c>
      <c r="C526" s="6" t="s">
        <v>124</v>
      </c>
      <c r="D526" s="6" t="s">
        <v>168</v>
      </c>
      <c r="E526" s="6" t="s">
        <v>184</v>
      </c>
      <c r="F526" s="13" t="n">
        <v>45884</v>
      </c>
      <c r="G526" s="13" t="n">
        <v>45944</v>
      </c>
      <c r="H526" s="14" t="n">
        <v>39957.77</v>
      </c>
      <c r="I526" s="6" t="n">
        <v>1</v>
      </c>
      <c r="J526" s="6" t="n">
        <v>718</v>
      </c>
      <c r="K526" s="6" t="s">
        <v>185</v>
      </c>
      <c r="L526" s="14" t="n">
        <v>5895.34</v>
      </c>
      <c r="M526" s="22" t="n">
        <v>1.11</v>
      </c>
      <c r="N526" s="14" t="n">
        <v>6543.83</v>
      </c>
      <c r="O526" s="14" t="n">
        <v>648.49</v>
      </c>
      <c r="P526" s="21" t="n">
        <v>0.168</v>
      </c>
      <c r="Q526" s="6" t="n">
        <v>60</v>
      </c>
      <c r="R526" s="6" t="s">
        <v>155</v>
      </c>
      <c r="S526" s="21" t="n">
        <v>0.98</v>
      </c>
      <c r="T526" s="14" t="n">
        <v>6412.95</v>
      </c>
      <c r="U526" s="6" t="s">
        <v>54</v>
      </c>
    </row>
    <row r="527" customFormat="false" ht="15" hidden="false" customHeight="true" outlineLevel="0" collapsed="false">
      <c r="A527" s="6" t="s">
        <v>1247</v>
      </c>
      <c r="B527" s="6" t="s">
        <v>1248</v>
      </c>
      <c r="C527" s="6" t="s">
        <v>112</v>
      </c>
      <c r="D527" s="6" t="s">
        <v>164</v>
      </c>
      <c r="E527" s="6" t="s">
        <v>288</v>
      </c>
      <c r="F527" s="13" t="n">
        <v>44814</v>
      </c>
      <c r="G527" s="13" t="n">
        <v>44879</v>
      </c>
      <c r="H527" s="14" t="n">
        <v>85388.84</v>
      </c>
      <c r="I527" s="6" t="n">
        <v>2</v>
      </c>
      <c r="J527" s="6" t="n">
        <v>803</v>
      </c>
      <c r="K527" s="6" t="s">
        <v>154</v>
      </c>
      <c r="L527" s="14" t="n">
        <v>20348.95</v>
      </c>
      <c r="M527" s="22" t="n">
        <v>1.141</v>
      </c>
      <c r="N527" s="14" t="n">
        <v>23218.15</v>
      </c>
      <c r="O527" s="14" t="n">
        <v>2869.2</v>
      </c>
      <c r="P527" s="21" t="n">
        <v>0.125</v>
      </c>
      <c r="Q527" s="6" t="n">
        <v>65</v>
      </c>
      <c r="R527" s="6" t="s">
        <v>309</v>
      </c>
      <c r="S527" s="21" t="n">
        <v>0.17</v>
      </c>
      <c r="T527" s="14" t="n">
        <v>3947.09</v>
      </c>
      <c r="U527" s="6" t="s">
        <v>19</v>
      </c>
    </row>
    <row r="528" customFormat="false" ht="15" hidden="false" customHeight="true" outlineLevel="0" collapsed="false">
      <c r="A528" s="6" t="s">
        <v>1249</v>
      </c>
      <c r="B528" s="6" t="s">
        <v>1250</v>
      </c>
      <c r="C528" s="6" t="s">
        <v>131</v>
      </c>
      <c r="D528" s="6" t="s">
        <v>176</v>
      </c>
      <c r="E528" s="6" t="s">
        <v>219</v>
      </c>
      <c r="F528" s="13" t="n">
        <v>46150</v>
      </c>
      <c r="G528" s="13" t="n">
        <v>46233</v>
      </c>
      <c r="H528" s="14" t="n">
        <v>127639.27</v>
      </c>
      <c r="I528" s="6" t="n">
        <v>0</v>
      </c>
      <c r="J528" s="6" t="n">
        <v>511</v>
      </c>
      <c r="K528" s="6" t="s">
        <v>154</v>
      </c>
      <c r="L528" s="14" t="n">
        <v>21054.82</v>
      </c>
      <c r="M528" s="22" t="n">
        <v>1.175</v>
      </c>
      <c r="N528" s="14" t="n">
        <v>24739.41</v>
      </c>
      <c r="O528" s="14" t="n">
        <v>3684.59</v>
      </c>
      <c r="P528" s="21" t="n">
        <v>0.07</v>
      </c>
      <c r="Q528" s="6" t="n">
        <v>83</v>
      </c>
      <c r="R528" s="6" t="s">
        <v>161</v>
      </c>
      <c r="S528" s="21" t="n">
        <v>1</v>
      </c>
      <c r="T528" s="14" t="n">
        <v>24739.41</v>
      </c>
      <c r="U528" s="6" t="s">
        <v>63</v>
      </c>
    </row>
    <row r="529" customFormat="false" ht="15" hidden="false" customHeight="true" outlineLevel="0" collapsed="false">
      <c r="A529" s="6" t="s">
        <v>1251</v>
      </c>
      <c r="B529" s="6" t="s">
        <v>1252</v>
      </c>
      <c r="C529" s="6" t="s">
        <v>128</v>
      </c>
      <c r="D529" s="6" t="s">
        <v>401</v>
      </c>
      <c r="E529" s="6" t="s">
        <v>173</v>
      </c>
      <c r="F529" s="13" t="n">
        <v>45600</v>
      </c>
      <c r="G529" s="13" t="n">
        <v>45690</v>
      </c>
      <c r="H529" s="14" t="n">
        <v>50182.13</v>
      </c>
      <c r="I529" s="6" t="n">
        <v>0</v>
      </c>
      <c r="J529" s="6" t="n">
        <v>773</v>
      </c>
      <c r="K529" s="6" t="s">
        <v>160</v>
      </c>
      <c r="L529" s="14" t="n">
        <v>13992.4</v>
      </c>
      <c r="M529" s="22" t="n">
        <v>1.141</v>
      </c>
      <c r="N529" s="14" t="n">
        <v>15965.33</v>
      </c>
      <c r="O529" s="14" t="n">
        <v>1972.93</v>
      </c>
      <c r="P529" s="21" t="n">
        <v>0.105</v>
      </c>
      <c r="Q529" s="6" t="n">
        <v>90</v>
      </c>
      <c r="R529" s="6" t="s">
        <v>161</v>
      </c>
      <c r="S529" s="21" t="n">
        <v>1</v>
      </c>
      <c r="T529" s="14" t="n">
        <v>15965.33</v>
      </c>
      <c r="U529" s="6" t="s">
        <v>45</v>
      </c>
    </row>
    <row r="530" customFormat="false" ht="15" hidden="false" customHeight="true" outlineLevel="0" collapsed="false">
      <c r="A530" s="6" t="s">
        <v>1253</v>
      </c>
      <c r="B530" s="6" t="s">
        <v>1254</v>
      </c>
      <c r="C530" s="6" t="s">
        <v>112</v>
      </c>
      <c r="D530" s="6" t="s">
        <v>188</v>
      </c>
      <c r="E530" s="6" t="s">
        <v>195</v>
      </c>
      <c r="F530" s="13" t="n">
        <v>46008</v>
      </c>
      <c r="G530" s="13" t="n">
        <v>46088</v>
      </c>
      <c r="H530" s="14" t="n">
        <v>45744.96</v>
      </c>
      <c r="I530" s="6" t="n">
        <v>0</v>
      </c>
      <c r="J530" s="6" t="n">
        <v>706</v>
      </c>
      <c r="K530" s="6" t="s">
        <v>160</v>
      </c>
      <c r="L530" s="14" t="n">
        <v>17491</v>
      </c>
      <c r="M530" s="22" t="n">
        <v>1.231</v>
      </c>
      <c r="N530" s="14" t="n">
        <v>21531.42</v>
      </c>
      <c r="O530" s="14" t="n">
        <v>4040.42</v>
      </c>
      <c r="P530" s="21" t="n">
        <v>0.175</v>
      </c>
      <c r="Q530" s="6" t="n">
        <v>80</v>
      </c>
      <c r="R530" s="6" t="s">
        <v>155</v>
      </c>
      <c r="S530" s="21" t="n">
        <v>0.98</v>
      </c>
      <c r="T530" s="14" t="n">
        <v>21100.79</v>
      </c>
      <c r="U530" s="6" t="s">
        <v>58</v>
      </c>
    </row>
    <row r="531" customFormat="false" ht="15" hidden="false" customHeight="true" outlineLevel="0" collapsed="false">
      <c r="A531" s="6" t="s">
        <v>1255</v>
      </c>
      <c r="B531" s="6" t="s">
        <v>1256</v>
      </c>
      <c r="C531" s="6" t="s">
        <v>120</v>
      </c>
      <c r="D531" s="6" t="s">
        <v>263</v>
      </c>
      <c r="E531" s="6" t="s">
        <v>254</v>
      </c>
      <c r="F531" s="13" t="n">
        <v>44927</v>
      </c>
      <c r="G531" s="13" t="n">
        <v>45008</v>
      </c>
      <c r="H531" s="14" t="n">
        <v>91757.68</v>
      </c>
      <c r="I531" s="6" t="n">
        <v>5</v>
      </c>
      <c r="J531" s="6" t="n">
        <v>775</v>
      </c>
      <c r="K531" s="6" t="s">
        <v>160</v>
      </c>
      <c r="L531" s="14" t="n">
        <v>31780.29</v>
      </c>
      <c r="M531" s="22" t="n">
        <v>1.265</v>
      </c>
      <c r="N531" s="14" t="n">
        <v>40202.07</v>
      </c>
      <c r="O531" s="14" t="n">
        <v>8421.78</v>
      </c>
      <c r="P531" s="21" t="n">
        <v>0.162</v>
      </c>
      <c r="Q531" s="6" t="n">
        <v>81</v>
      </c>
      <c r="R531" s="6" t="s">
        <v>309</v>
      </c>
      <c r="S531" s="21" t="n">
        <v>0.245</v>
      </c>
      <c r="T531" s="14" t="n">
        <v>9849.51</v>
      </c>
      <c r="U531" s="6" t="s">
        <v>23</v>
      </c>
    </row>
    <row r="532" customFormat="false" ht="15" hidden="false" customHeight="true" outlineLevel="0" collapsed="false">
      <c r="A532" s="6" t="s">
        <v>1257</v>
      </c>
      <c r="B532" s="6" t="s">
        <v>1258</v>
      </c>
      <c r="C532" s="6" t="s">
        <v>120</v>
      </c>
      <c r="D532" s="6" t="s">
        <v>218</v>
      </c>
      <c r="E532" s="6" t="s">
        <v>177</v>
      </c>
      <c r="F532" s="13" t="n">
        <v>44675</v>
      </c>
      <c r="G532" s="13" t="n">
        <v>44859</v>
      </c>
      <c r="H532" s="14" t="n">
        <v>166773.71</v>
      </c>
      <c r="I532" s="6" t="n">
        <v>4</v>
      </c>
      <c r="J532" s="6" t="n">
        <v>578</v>
      </c>
      <c r="K532" s="6" t="s">
        <v>185</v>
      </c>
      <c r="L532" s="14" t="n">
        <v>50766.31</v>
      </c>
      <c r="M532" s="22" t="n">
        <v>1.311</v>
      </c>
      <c r="N532" s="14" t="n">
        <v>66554.63</v>
      </c>
      <c r="O532" s="14" t="n">
        <v>15788.32</v>
      </c>
      <c r="P532" s="21" t="n">
        <v>0.065</v>
      </c>
      <c r="Q532" s="6" t="n">
        <v>184</v>
      </c>
      <c r="R532" s="6" t="s">
        <v>155</v>
      </c>
      <c r="S532" s="21" t="n">
        <v>0.939</v>
      </c>
      <c r="T532" s="14" t="n">
        <v>62494.8</v>
      </c>
      <c r="U532" s="6" t="s">
        <v>14</v>
      </c>
    </row>
    <row r="533" customFormat="false" ht="15" hidden="false" customHeight="true" outlineLevel="0" collapsed="false">
      <c r="A533" s="6" t="s">
        <v>1259</v>
      </c>
      <c r="B533" s="6" t="s">
        <v>1260</v>
      </c>
      <c r="C533" s="6" t="s">
        <v>116</v>
      </c>
      <c r="D533" s="6" t="s">
        <v>152</v>
      </c>
      <c r="E533" s="6" t="s">
        <v>207</v>
      </c>
      <c r="F533" s="13" t="n">
        <v>44745</v>
      </c>
      <c r="G533" s="13" t="n">
        <v>44816</v>
      </c>
      <c r="H533" s="14" t="n">
        <v>48832</v>
      </c>
      <c r="I533" s="6" t="n">
        <v>5</v>
      </c>
      <c r="J533" s="6" t="n">
        <v>713</v>
      </c>
      <c r="K533" s="6" t="s">
        <v>154</v>
      </c>
      <c r="L533" s="14" t="n">
        <v>15224.4</v>
      </c>
      <c r="M533" s="22" t="n">
        <v>1.106</v>
      </c>
      <c r="N533" s="14" t="n">
        <v>16838.19</v>
      </c>
      <c r="O533" s="14" t="n">
        <v>1613.79</v>
      </c>
      <c r="P533" s="21" t="n">
        <v>0.145</v>
      </c>
      <c r="Q533" s="6" t="n">
        <v>71</v>
      </c>
      <c r="R533" s="6" t="s">
        <v>155</v>
      </c>
      <c r="S533" s="21" t="n">
        <v>0.726</v>
      </c>
      <c r="T533" s="14" t="n">
        <v>12224.53</v>
      </c>
      <c r="U533" s="6" t="s">
        <v>17</v>
      </c>
    </row>
    <row r="534" customFormat="false" ht="15" hidden="false" customHeight="true" outlineLevel="0" collapsed="false">
      <c r="A534" s="6" t="s">
        <v>1261</v>
      </c>
      <c r="B534" s="6" t="s">
        <v>1262</v>
      </c>
      <c r="C534" s="6" t="s">
        <v>124</v>
      </c>
      <c r="D534" s="6" t="s">
        <v>243</v>
      </c>
      <c r="E534" s="6" t="s">
        <v>184</v>
      </c>
      <c r="F534" s="13" t="n">
        <v>44987</v>
      </c>
      <c r="G534" s="13" t="n">
        <v>45059</v>
      </c>
      <c r="H534" s="14" t="n">
        <v>240112.81</v>
      </c>
      <c r="I534" s="6" t="n">
        <v>2</v>
      </c>
      <c r="J534" s="6" t="n">
        <v>808</v>
      </c>
      <c r="K534" s="6" t="s">
        <v>185</v>
      </c>
      <c r="L534" s="14" t="n">
        <v>67042.13</v>
      </c>
      <c r="M534" s="22" t="n">
        <v>1.144</v>
      </c>
      <c r="N534" s="14" t="n">
        <v>76696.2</v>
      </c>
      <c r="O534" s="14" t="n">
        <v>9654.07</v>
      </c>
      <c r="P534" s="21" t="n">
        <v>0.133</v>
      </c>
      <c r="Q534" s="6" t="n">
        <v>72</v>
      </c>
      <c r="R534" s="6" t="s">
        <v>155</v>
      </c>
      <c r="S534" s="21" t="n">
        <v>0.94</v>
      </c>
      <c r="T534" s="14" t="n">
        <v>72094.43</v>
      </c>
      <c r="U534" s="6" t="s">
        <v>25</v>
      </c>
    </row>
    <row r="535" customFormat="false" ht="15" hidden="false" customHeight="true" outlineLevel="0" collapsed="false">
      <c r="A535" s="6" t="s">
        <v>1263</v>
      </c>
      <c r="B535" s="6" t="s">
        <v>1264</v>
      </c>
      <c r="C535" s="6" t="s">
        <v>124</v>
      </c>
      <c r="D535" s="6" t="s">
        <v>168</v>
      </c>
      <c r="E535" s="6" t="s">
        <v>207</v>
      </c>
      <c r="F535" s="13" t="n">
        <v>45711</v>
      </c>
      <c r="G535" s="13" t="n">
        <v>45794</v>
      </c>
      <c r="H535" s="14" t="n">
        <v>248351.33</v>
      </c>
      <c r="I535" s="6" t="n">
        <v>1</v>
      </c>
      <c r="J535" s="6" t="n">
        <v>646</v>
      </c>
      <c r="K535" s="6" t="s">
        <v>160</v>
      </c>
      <c r="L535" s="14" t="n">
        <v>67544.42</v>
      </c>
      <c r="M535" s="22" t="n">
        <v>1.08</v>
      </c>
      <c r="N535" s="14" t="n">
        <v>72947.97</v>
      </c>
      <c r="O535" s="14" t="n">
        <v>5403.55</v>
      </c>
      <c r="P535" s="21" t="n">
        <v>0.105</v>
      </c>
      <c r="Q535" s="6" t="n">
        <v>83</v>
      </c>
      <c r="R535" s="6" t="s">
        <v>161</v>
      </c>
      <c r="S535" s="21" t="n">
        <v>1</v>
      </c>
      <c r="T535" s="14" t="n">
        <v>72947.97</v>
      </c>
      <c r="U535" s="6" t="s">
        <v>48</v>
      </c>
    </row>
    <row r="536" customFormat="false" ht="15" hidden="false" customHeight="true" outlineLevel="0" collapsed="false">
      <c r="A536" s="6" t="s">
        <v>1265</v>
      </c>
      <c r="B536" s="6" t="s">
        <v>1266</v>
      </c>
      <c r="C536" s="6" t="s">
        <v>120</v>
      </c>
      <c r="D536" s="6" t="s">
        <v>263</v>
      </c>
      <c r="E536" s="6" t="s">
        <v>304</v>
      </c>
      <c r="F536" s="13" t="n">
        <v>45719</v>
      </c>
      <c r="G536" s="13" t="n">
        <v>45779</v>
      </c>
      <c r="H536" s="14" t="n">
        <v>13578.97</v>
      </c>
      <c r="I536" s="6" t="n">
        <v>0</v>
      </c>
      <c r="J536" s="6" t="n">
        <v>601</v>
      </c>
      <c r="K536" s="6" t="s">
        <v>160</v>
      </c>
      <c r="L536" s="14" t="n">
        <v>2322.39</v>
      </c>
      <c r="M536" s="22" t="n">
        <v>1.28</v>
      </c>
      <c r="N536" s="14" t="n">
        <v>2972.66</v>
      </c>
      <c r="O536" s="14" t="n">
        <v>650.27</v>
      </c>
      <c r="P536" s="21" t="n">
        <v>0.177</v>
      </c>
      <c r="Q536" s="6" t="n">
        <v>60</v>
      </c>
      <c r="R536" s="6" t="s">
        <v>161</v>
      </c>
      <c r="S536" s="21" t="n">
        <v>1</v>
      </c>
      <c r="T536" s="14" t="n">
        <v>2972.66</v>
      </c>
      <c r="U536" s="6" t="s">
        <v>49</v>
      </c>
    </row>
    <row r="537" customFormat="false" ht="15" hidden="false" customHeight="true" outlineLevel="0" collapsed="false">
      <c r="A537" s="6" t="s">
        <v>1267</v>
      </c>
      <c r="B537" s="6" t="s">
        <v>1268</v>
      </c>
      <c r="C537" s="6" t="s">
        <v>120</v>
      </c>
      <c r="D537" s="6" t="s">
        <v>210</v>
      </c>
      <c r="E537" s="6" t="s">
        <v>153</v>
      </c>
      <c r="F537" s="13" t="n">
        <v>44722</v>
      </c>
      <c r="G537" s="13" t="n">
        <v>44837</v>
      </c>
      <c r="H537" s="14" t="n">
        <v>51377.59</v>
      </c>
      <c r="I537" s="6" t="n">
        <v>0</v>
      </c>
      <c r="J537" s="6" t="n">
        <v>552</v>
      </c>
      <c r="K537" s="6" t="s">
        <v>160</v>
      </c>
      <c r="L537" s="14" t="n">
        <v>13393.09</v>
      </c>
      <c r="M537" s="22" t="n">
        <v>1.195</v>
      </c>
      <c r="N537" s="14" t="n">
        <v>16004.74</v>
      </c>
      <c r="O537" s="14" t="n">
        <v>2611.65</v>
      </c>
      <c r="P537" s="21" t="n">
        <v>0.081</v>
      </c>
      <c r="Q537" s="6" t="n">
        <v>115</v>
      </c>
      <c r="R537" s="6" t="s">
        <v>155</v>
      </c>
      <c r="S537" s="21" t="n">
        <v>0.915</v>
      </c>
      <c r="T537" s="14" t="n">
        <v>14644.34</v>
      </c>
      <c r="U537" s="6" t="s">
        <v>16</v>
      </c>
    </row>
    <row r="538" customFormat="false" ht="15" hidden="false" customHeight="true" outlineLevel="0" collapsed="false">
      <c r="A538" s="6" t="s">
        <v>1269</v>
      </c>
      <c r="B538" s="6" t="s">
        <v>1270</v>
      </c>
      <c r="C538" s="6" t="s">
        <v>120</v>
      </c>
      <c r="D538" s="6" t="s">
        <v>210</v>
      </c>
      <c r="E538" s="6" t="s">
        <v>207</v>
      </c>
      <c r="F538" s="13" t="n">
        <v>45801</v>
      </c>
      <c r="G538" s="13" t="n">
        <v>45861</v>
      </c>
      <c r="H538" s="14" t="n">
        <v>12156.64</v>
      </c>
      <c r="I538" s="6" t="n">
        <v>2</v>
      </c>
      <c r="J538" s="6" t="n">
        <v>768</v>
      </c>
      <c r="K538" s="6" t="s">
        <v>160</v>
      </c>
      <c r="L538" s="14" t="n">
        <v>2000</v>
      </c>
      <c r="M538" s="22" t="n">
        <v>1.169</v>
      </c>
      <c r="N538" s="14" t="n">
        <v>2338</v>
      </c>
      <c r="O538" s="14" t="n">
        <v>338</v>
      </c>
      <c r="P538" s="21" t="n">
        <v>0.105</v>
      </c>
      <c r="Q538" s="6" t="n">
        <v>60</v>
      </c>
      <c r="R538" s="6" t="s">
        <v>161</v>
      </c>
      <c r="S538" s="21" t="n">
        <v>1</v>
      </c>
      <c r="T538" s="14" t="n">
        <v>2338</v>
      </c>
      <c r="U538" s="6" t="s">
        <v>51</v>
      </c>
    </row>
    <row r="539" customFormat="false" ht="15" hidden="false" customHeight="true" outlineLevel="0" collapsed="false">
      <c r="A539" s="6" t="s">
        <v>1271</v>
      </c>
      <c r="B539" s="6" t="s">
        <v>1272</v>
      </c>
      <c r="C539" s="6" t="s">
        <v>112</v>
      </c>
      <c r="D539" s="6" t="s">
        <v>225</v>
      </c>
      <c r="E539" s="6" t="s">
        <v>195</v>
      </c>
      <c r="F539" s="13" t="n">
        <v>46168</v>
      </c>
      <c r="G539" s="13" t="n">
        <v>46264</v>
      </c>
      <c r="H539" s="14" t="n">
        <v>216221.95</v>
      </c>
      <c r="I539" s="6" t="n">
        <v>2</v>
      </c>
      <c r="J539" s="6" t="n">
        <v>653</v>
      </c>
      <c r="K539" s="6" t="s">
        <v>160</v>
      </c>
      <c r="L539" s="14" t="n">
        <v>81171.84</v>
      </c>
      <c r="M539" s="22" t="n">
        <v>1.132</v>
      </c>
      <c r="N539" s="14" t="n">
        <v>91886.52</v>
      </c>
      <c r="O539" s="14" t="n">
        <v>10714.68</v>
      </c>
      <c r="P539" s="21" t="n">
        <v>0.132</v>
      </c>
      <c r="Q539" s="6" t="n">
        <v>96</v>
      </c>
      <c r="R539" s="6" t="s">
        <v>161</v>
      </c>
      <c r="S539" s="21" t="n">
        <v>1</v>
      </c>
      <c r="T539" s="14" t="n">
        <v>91886.52</v>
      </c>
      <c r="U539" s="6" t="s">
        <v>63</v>
      </c>
    </row>
    <row r="540" customFormat="false" ht="15" hidden="false" customHeight="true" outlineLevel="0" collapsed="false">
      <c r="A540" s="6" t="s">
        <v>1273</v>
      </c>
      <c r="B540" s="6" t="s">
        <v>1274</v>
      </c>
      <c r="C540" s="6" t="s">
        <v>112</v>
      </c>
      <c r="D540" s="6" t="s">
        <v>225</v>
      </c>
      <c r="E540" s="6" t="s">
        <v>184</v>
      </c>
      <c r="F540" s="13" t="n">
        <v>44566</v>
      </c>
      <c r="G540" s="13" t="n">
        <v>44626</v>
      </c>
      <c r="H540" s="14" t="n">
        <v>88663.07</v>
      </c>
      <c r="I540" s="6" t="n">
        <v>1</v>
      </c>
      <c r="J540" s="6" t="n">
        <v>614</v>
      </c>
      <c r="K540" s="6" t="s">
        <v>185</v>
      </c>
      <c r="L540" s="14" t="n">
        <v>14067.85</v>
      </c>
      <c r="M540" s="22" t="n">
        <v>1.25</v>
      </c>
      <c r="N540" s="14" t="n">
        <v>17584.81</v>
      </c>
      <c r="O540" s="14" t="n">
        <v>3516.96</v>
      </c>
      <c r="P540" s="21" t="n">
        <v>0.159</v>
      </c>
      <c r="Q540" s="6" t="n">
        <v>60</v>
      </c>
      <c r="R540" s="6" t="s">
        <v>161</v>
      </c>
      <c r="S540" s="21" t="n">
        <v>1</v>
      </c>
      <c r="T540" s="14" t="n">
        <v>17584.81</v>
      </c>
      <c r="U540" s="6" t="s">
        <v>11</v>
      </c>
    </row>
    <row r="541" customFormat="false" ht="15" hidden="false" customHeight="true" outlineLevel="0" collapsed="false">
      <c r="A541" s="6" t="s">
        <v>1275</v>
      </c>
      <c r="B541" s="6" t="s">
        <v>1276</v>
      </c>
      <c r="C541" s="6" t="s">
        <v>116</v>
      </c>
      <c r="D541" s="6" t="s">
        <v>206</v>
      </c>
      <c r="E541" s="6" t="s">
        <v>326</v>
      </c>
      <c r="F541" s="13" t="n">
        <v>44630</v>
      </c>
      <c r="G541" s="13" t="n">
        <v>44690</v>
      </c>
      <c r="H541" s="14" t="n">
        <v>97778.76</v>
      </c>
      <c r="I541" s="6" t="n">
        <v>3</v>
      </c>
      <c r="J541" s="6" t="n">
        <v>595</v>
      </c>
      <c r="K541" s="6" t="s">
        <v>160</v>
      </c>
      <c r="L541" s="14" t="n">
        <v>13946.03</v>
      </c>
      <c r="M541" s="22" t="n">
        <v>1.332</v>
      </c>
      <c r="N541" s="14" t="n">
        <v>18576.11</v>
      </c>
      <c r="O541" s="14" t="n">
        <v>4630.08</v>
      </c>
      <c r="P541" s="21" t="n">
        <v>0.146</v>
      </c>
      <c r="Q541" s="6" t="n">
        <v>60</v>
      </c>
      <c r="R541" s="6" t="s">
        <v>155</v>
      </c>
      <c r="S541" s="21" t="n">
        <v>0.768</v>
      </c>
      <c r="T541" s="14" t="n">
        <v>14266.45</v>
      </c>
      <c r="U541" s="6" t="s">
        <v>13</v>
      </c>
    </row>
    <row r="542" customFormat="false" ht="15" hidden="false" customHeight="true" outlineLevel="0" collapsed="false">
      <c r="A542" s="6" t="s">
        <v>1277</v>
      </c>
      <c r="B542" s="6" t="s">
        <v>1278</v>
      </c>
      <c r="C542" s="6" t="s">
        <v>131</v>
      </c>
      <c r="D542" s="6" t="s">
        <v>200</v>
      </c>
      <c r="E542" s="6" t="s">
        <v>254</v>
      </c>
      <c r="F542" s="13" t="n">
        <v>45559</v>
      </c>
      <c r="G542" s="13" t="n">
        <v>45619</v>
      </c>
      <c r="H542" s="14" t="n">
        <v>145717.57</v>
      </c>
      <c r="I542" s="6" t="n">
        <v>0</v>
      </c>
      <c r="J542" s="6" t="n">
        <v>741</v>
      </c>
      <c r="K542" s="6" t="s">
        <v>154</v>
      </c>
      <c r="L542" s="14" t="n">
        <v>24098.59</v>
      </c>
      <c r="M542" s="22" t="n">
        <v>1.104</v>
      </c>
      <c r="N542" s="14" t="n">
        <v>26604.84</v>
      </c>
      <c r="O542" s="14" t="n">
        <v>2506.25</v>
      </c>
      <c r="P542" s="21" t="n">
        <v>0.136</v>
      </c>
      <c r="Q542" s="6" t="n">
        <v>60</v>
      </c>
      <c r="R542" s="6" t="s">
        <v>161</v>
      </c>
      <c r="S542" s="21" t="n">
        <v>1</v>
      </c>
      <c r="T542" s="14" t="n">
        <v>26604.84</v>
      </c>
      <c r="U542" s="6" t="s">
        <v>43</v>
      </c>
    </row>
    <row r="543" customFormat="false" ht="15" hidden="false" customHeight="true" outlineLevel="0" collapsed="false">
      <c r="A543" s="6" t="s">
        <v>1279</v>
      </c>
      <c r="B543" s="6" t="s">
        <v>1280</v>
      </c>
      <c r="C543" s="6" t="s">
        <v>112</v>
      </c>
      <c r="D543" s="6" t="s">
        <v>225</v>
      </c>
      <c r="E543" s="6" t="s">
        <v>288</v>
      </c>
      <c r="F543" s="13" t="n">
        <v>46115</v>
      </c>
      <c r="G543" s="13" t="n">
        <v>46175</v>
      </c>
      <c r="H543" s="14" t="n">
        <v>205246.15</v>
      </c>
      <c r="I543" s="6" t="n">
        <v>1</v>
      </c>
      <c r="J543" s="6" t="n">
        <v>590</v>
      </c>
      <c r="K543" s="6" t="s">
        <v>185</v>
      </c>
      <c r="L543" s="14" t="n">
        <v>39175.78</v>
      </c>
      <c r="M543" s="22" t="n">
        <v>1.171</v>
      </c>
      <c r="N543" s="14" t="n">
        <v>45874.84</v>
      </c>
      <c r="O543" s="14" t="n">
        <v>6699.06</v>
      </c>
      <c r="P543" s="21" t="n">
        <v>0.163</v>
      </c>
      <c r="Q543" s="6" t="n">
        <v>60</v>
      </c>
      <c r="R543" s="6" t="s">
        <v>155</v>
      </c>
      <c r="S543" s="21" t="n">
        <v>0.77</v>
      </c>
      <c r="T543" s="14" t="n">
        <v>35323.63</v>
      </c>
      <c r="U543" s="6" t="s">
        <v>62</v>
      </c>
    </row>
    <row r="544" customFormat="false" ht="15" hidden="false" customHeight="true" outlineLevel="0" collapsed="false">
      <c r="A544" s="6" t="s">
        <v>1281</v>
      </c>
      <c r="B544" s="6" t="s">
        <v>1282</v>
      </c>
      <c r="C544" s="6" t="s">
        <v>112</v>
      </c>
      <c r="D544" s="6" t="s">
        <v>188</v>
      </c>
      <c r="E544" s="6" t="s">
        <v>184</v>
      </c>
      <c r="F544" s="13" t="n">
        <v>45207</v>
      </c>
      <c r="G544" s="13" t="n">
        <v>45267</v>
      </c>
      <c r="H544" s="14" t="n">
        <v>96378.42</v>
      </c>
      <c r="I544" s="6" t="n">
        <v>3</v>
      </c>
      <c r="J544" s="6" t="n">
        <v>640</v>
      </c>
      <c r="K544" s="6" t="s">
        <v>185</v>
      </c>
      <c r="L544" s="14" t="n">
        <v>12943.53</v>
      </c>
      <c r="M544" s="22" t="n">
        <v>1.245</v>
      </c>
      <c r="N544" s="14" t="n">
        <v>16114.69</v>
      </c>
      <c r="O544" s="14" t="n">
        <v>3171.16</v>
      </c>
      <c r="P544" s="21" t="n">
        <v>0.148</v>
      </c>
      <c r="Q544" s="6" t="n">
        <v>60</v>
      </c>
      <c r="R544" s="6" t="s">
        <v>155</v>
      </c>
      <c r="S544" s="21" t="n">
        <v>0.962</v>
      </c>
      <c r="T544" s="14" t="n">
        <v>15502.33</v>
      </c>
      <c r="U544" s="6" t="s">
        <v>32</v>
      </c>
    </row>
    <row r="545" customFormat="false" ht="15" hidden="false" customHeight="true" outlineLevel="0" collapsed="false">
      <c r="A545" s="6" t="s">
        <v>1283</v>
      </c>
      <c r="B545" s="6" t="s">
        <v>1284</v>
      </c>
      <c r="C545" s="6" t="s">
        <v>116</v>
      </c>
      <c r="D545" s="6" t="s">
        <v>206</v>
      </c>
      <c r="E545" s="6" t="s">
        <v>192</v>
      </c>
      <c r="F545" s="13" t="n">
        <v>44833</v>
      </c>
      <c r="G545" s="13" t="n">
        <v>44893</v>
      </c>
      <c r="H545" s="14" t="n">
        <v>118945.54</v>
      </c>
      <c r="I545" s="6" t="n">
        <v>4</v>
      </c>
      <c r="J545" s="6" t="n">
        <v>756</v>
      </c>
      <c r="K545" s="6" t="s">
        <v>154</v>
      </c>
      <c r="L545" s="14" t="n">
        <v>16193.73</v>
      </c>
      <c r="M545" s="22" t="n">
        <v>1.339</v>
      </c>
      <c r="N545" s="14" t="n">
        <v>21683.4</v>
      </c>
      <c r="O545" s="14" t="n">
        <v>5489.67</v>
      </c>
      <c r="P545" s="21" t="n">
        <v>0.136</v>
      </c>
      <c r="Q545" s="6" t="n">
        <v>60</v>
      </c>
      <c r="R545" s="6" t="s">
        <v>161</v>
      </c>
      <c r="S545" s="21" t="n">
        <v>1</v>
      </c>
      <c r="T545" s="14" t="n">
        <v>21683.4</v>
      </c>
      <c r="U545" s="6" t="s">
        <v>19</v>
      </c>
    </row>
    <row r="546" customFormat="false" ht="15" hidden="false" customHeight="true" outlineLevel="0" collapsed="false">
      <c r="A546" s="6" t="s">
        <v>1285</v>
      </c>
      <c r="B546" s="6" t="s">
        <v>1286</v>
      </c>
      <c r="C546" s="6" t="s">
        <v>120</v>
      </c>
      <c r="D546" s="6" t="s">
        <v>210</v>
      </c>
      <c r="E546" s="6" t="s">
        <v>195</v>
      </c>
      <c r="F546" s="13" t="n">
        <v>45661</v>
      </c>
      <c r="G546" s="13" t="n">
        <v>45742</v>
      </c>
      <c r="H546" s="14" t="n">
        <v>158596.26</v>
      </c>
      <c r="I546" s="6" t="n">
        <v>3</v>
      </c>
      <c r="J546" s="6" t="n">
        <v>799</v>
      </c>
      <c r="K546" s="6" t="s">
        <v>160</v>
      </c>
      <c r="L546" s="14" t="n">
        <v>43693.37</v>
      </c>
      <c r="M546" s="22" t="n">
        <v>1.177</v>
      </c>
      <c r="N546" s="14" t="n">
        <v>51427.1</v>
      </c>
      <c r="O546" s="14" t="n">
        <v>7733.73</v>
      </c>
      <c r="P546" s="21" t="n">
        <v>0.12</v>
      </c>
      <c r="Q546" s="6" t="n">
        <v>81</v>
      </c>
      <c r="R546" s="6" t="s">
        <v>155</v>
      </c>
      <c r="S546" s="21" t="n">
        <v>0.854</v>
      </c>
      <c r="T546" s="14" t="n">
        <v>43918.74</v>
      </c>
      <c r="U546" s="6" t="s">
        <v>47</v>
      </c>
    </row>
    <row r="547" customFormat="false" ht="15" hidden="false" customHeight="true" outlineLevel="0" collapsed="false">
      <c r="A547" s="6" t="s">
        <v>1287</v>
      </c>
      <c r="B547" s="6" t="s">
        <v>1288</v>
      </c>
      <c r="C547" s="6" t="s">
        <v>112</v>
      </c>
      <c r="D547" s="6" t="s">
        <v>225</v>
      </c>
      <c r="E547" s="6" t="s">
        <v>195</v>
      </c>
      <c r="F547" s="13" t="n">
        <v>45694</v>
      </c>
      <c r="G547" s="13" t="n">
        <v>45754</v>
      </c>
      <c r="H547" s="14" t="n">
        <v>39457.76</v>
      </c>
      <c r="I547" s="6" t="n">
        <v>0</v>
      </c>
      <c r="J547" s="6" t="n">
        <v>515</v>
      </c>
      <c r="K547" s="6" t="s">
        <v>185</v>
      </c>
      <c r="L547" s="14" t="n">
        <v>11153.51</v>
      </c>
      <c r="M547" s="22" t="n">
        <v>1.268</v>
      </c>
      <c r="N547" s="14" t="n">
        <v>14142.65</v>
      </c>
      <c r="O547" s="14" t="n">
        <v>2989.14</v>
      </c>
      <c r="P547" s="21" t="n">
        <v>0.178</v>
      </c>
      <c r="Q547" s="6" t="n">
        <v>60</v>
      </c>
      <c r="R547" s="6" t="s">
        <v>161</v>
      </c>
      <c r="S547" s="21" t="n">
        <v>1</v>
      </c>
      <c r="T547" s="14" t="n">
        <v>14142.65</v>
      </c>
      <c r="U547" s="6" t="s">
        <v>48</v>
      </c>
    </row>
    <row r="548" customFormat="false" ht="15" hidden="false" customHeight="true" outlineLevel="0" collapsed="false">
      <c r="A548" s="6" t="s">
        <v>1289</v>
      </c>
      <c r="B548" s="6" t="s">
        <v>1290</v>
      </c>
      <c r="C548" s="6" t="s">
        <v>128</v>
      </c>
      <c r="D548" s="6" t="s">
        <v>401</v>
      </c>
      <c r="E548" s="6" t="s">
        <v>207</v>
      </c>
      <c r="F548" s="13" t="n">
        <v>45356</v>
      </c>
      <c r="G548" s="13" t="n">
        <v>45416</v>
      </c>
      <c r="H548" s="14" t="n">
        <v>176055.67</v>
      </c>
      <c r="I548" s="6" t="n">
        <v>0</v>
      </c>
      <c r="J548" s="6" t="n">
        <v>602</v>
      </c>
      <c r="K548" s="6" t="s">
        <v>154</v>
      </c>
      <c r="L548" s="14" t="n">
        <v>34593.53</v>
      </c>
      <c r="M548" s="22" t="n">
        <v>1.118</v>
      </c>
      <c r="N548" s="14" t="n">
        <v>38675.57</v>
      </c>
      <c r="O548" s="14" t="n">
        <v>4082.04</v>
      </c>
      <c r="P548" s="21" t="n">
        <v>0.114</v>
      </c>
      <c r="Q548" s="6" t="n">
        <v>60</v>
      </c>
      <c r="R548" s="6" t="s">
        <v>309</v>
      </c>
      <c r="S548" s="21" t="n">
        <v>0.187</v>
      </c>
      <c r="T548" s="14" t="n">
        <v>7232.33</v>
      </c>
      <c r="U548" s="6" t="s">
        <v>37</v>
      </c>
    </row>
    <row r="549" customFormat="false" ht="15" hidden="false" customHeight="true" outlineLevel="0" collapsed="false">
      <c r="A549" s="6" t="s">
        <v>1291</v>
      </c>
      <c r="B549" s="6" t="s">
        <v>1292</v>
      </c>
      <c r="C549" s="6" t="s">
        <v>116</v>
      </c>
      <c r="D549" s="6" t="s">
        <v>152</v>
      </c>
      <c r="E549" s="6" t="s">
        <v>153</v>
      </c>
      <c r="F549" s="13" t="n">
        <v>45885</v>
      </c>
      <c r="G549" s="13" t="n">
        <v>45958</v>
      </c>
      <c r="H549" s="14" t="n">
        <v>95293.41</v>
      </c>
      <c r="I549" s="6" t="n">
        <v>0</v>
      </c>
      <c r="J549" s="6" t="n">
        <v>546</v>
      </c>
      <c r="K549" s="6" t="s">
        <v>185</v>
      </c>
      <c r="L549" s="14" t="n">
        <v>15503.13</v>
      </c>
      <c r="M549" s="22" t="n">
        <v>1.265</v>
      </c>
      <c r="N549" s="14" t="n">
        <v>19611.46</v>
      </c>
      <c r="O549" s="14" t="n">
        <v>4108.33</v>
      </c>
      <c r="P549" s="21" t="n">
        <v>0.084</v>
      </c>
      <c r="Q549" s="6" t="n">
        <v>73</v>
      </c>
      <c r="R549" s="6" t="s">
        <v>161</v>
      </c>
      <c r="S549" s="21" t="n">
        <v>1</v>
      </c>
      <c r="T549" s="14" t="n">
        <v>19611.46</v>
      </c>
      <c r="U549" s="6" t="s">
        <v>54</v>
      </c>
    </row>
    <row r="550" customFormat="false" ht="15" hidden="false" customHeight="true" outlineLevel="0" collapsed="false">
      <c r="A550" s="6" t="s">
        <v>1293</v>
      </c>
      <c r="B550" s="6" t="s">
        <v>1294</v>
      </c>
      <c r="C550" s="6" t="s">
        <v>116</v>
      </c>
      <c r="D550" s="6" t="s">
        <v>152</v>
      </c>
      <c r="E550" s="6" t="s">
        <v>177</v>
      </c>
      <c r="F550" s="13" t="n">
        <v>45479</v>
      </c>
      <c r="G550" s="13" t="n">
        <v>45539</v>
      </c>
      <c r="H550" s="14" t="n">
        <v>156551.62</v>
      </c>
      <c r="I550" s="6" t="n">
        <v>1</v>
      </c>
      <c r="J550" s="6" t="n">
        <v>662</v>
      </c>
      <c r="K550" s="6" t="s">
        <v>160</v>
      </c>
      <c r="L550" s="14" t="n">
        <v>20766.75</v>
      </c>
      <c r="M550" s="22" t="n">
        <v>1.165</v>
      </c>
      <c r="N550" s="14" t="n">
        <v>24193.26</v>
      </c>
      <c r="O550" s="14" t="n">
        <v>3426.51</v>
      </c>
      <c r="P550" s="21" t="n">
        <v>0.152</v>
      </c>
      <c r="Q550" s="6" t="n">
        <v>60</v>
      </c>
      <c r="R550" s="6" t="s">
        <v>161</v>
      </c>
      <c r="S550" s="21" t="n">
        <v>1</v>
      </c>
      <c r="T550" s="14" t="n">
        <v>24193.26</v>
      </c>
      <c r="U550" s="6" t="s">
        <v>41</v>
      </c>
    </row>
    <row r="551" customFormat="false" ht="15" hidden="false" customHeight="true" outlineLevel="0" collapsed="false">
      <c r="A551" s="6" t="s">
        <v>1295</v>
      </c>
      <c r="B551" s="6" t="s">
        <v>1296</v>
      </c>
      <c r="C551" s="6" t="s">
        <v>116</v>
      </c>
      <c r="D551" s="6" t="s">
        <v>152</v>
      </c>
      <c r="E551" s="6" t="s">
        <v>177</v>
      </c>
      <c r="F551" s="13" t="n">
        <v>45901</v>
      </c>
      <c r="G551" s="13" t="n">
        <v>45988</v>
      </c>
      <c r="H551" s="14" t="n">
        <v>145271.77</v>
      </c>
      <c r="I551" s="6" t="n">
        <v>0</v>
      </c>
      <c r="J551" s="6" t="n">
        <v>526</v>
      </c>
      <c r="K551" s="6" t="s">
        <v>185</v>
      </c>
      <c r="L551" s="14" t="n">
        <v>21741.53</v>
      </c>
      <c r="M551" s="22" t="n">
        <v>1.299</v>
      </c>
      <c r="N551" s="14" t="n">
        <v>28242.25</v>
      </c>
      <c r="O551" s="14" t="n">
        <v>6500.72</v>
      </c>
      <c r="P551" s="21" t="n">
        <v>0.067</v>
      </c>
      <c r="Q551" s="6" t="n">
        <v>87</v>
      </c>
      <c r="R551" s="6" t="s">
        <v>161</v>
      </c>
      <c r="S551" s="21" t="n">
        <v>1</v>
      </c>
      <c r="T551" s="14" t="n">
        <v>28242.25</v>
      </c>
      <c r="U551" s="6" t="s">
        <v>55</v>
      </c>
    </row>
    <row r="552" customFormat="false" ht="15" hidden="false" customHeight="true" outlineLevel="0" collapsed="false">
      <c r="A552" s="6" t="s">
        <v>1297</v>
      </c>
      <c r="B552" s="6" t="s">
        <v>1298</v>
      </c>
      <c r="C552" s="6" t="s">
        <v>120</v>
      </c>
      <c r="D552" s="6" t="s">
        <v>218</v>
      </c>
      <c r="E552" s="6" t="s">
        <v>304</v>
      </c>
      <c r="F552" s="13" t="n">
        <v>44781</v>
      </c>
      <c r="G552" s="13" t="n">
        <v>44911</v>
      </c>
      <c r="H552" s="14" t="n">
        <v>112414.4</v>
      </c>
      <c r="I552" s="6" t="n">
        <v>0</v>
      </c>
      <c r="J552" s="6" t="n">
        <v>712</v>
      </c>
      <c r="K552" s="6" t="s">
        <v>154</v>
      </c>
      <c r="L552" s="14" t="n">
        <v>33927.14</v>
      </c>
      <c r="M552" s="22" t="n">
        <v>1.106</v>
      </c>
      <c r="N552" s="14" t="n">
        <v>37523.42</v>
      </c>
      <c r="O552" s="14" t="n">
        <v>3596.28</v>
      </c>
      <c r="P552" s="21" t="n">
        <v>0.077</v>
      </c>
      <c r="Q552" s="6" t="n">
        <v>130</v>
      </c>
      <c r="R552" s="6" t="s">
        <v>155</v>
      </c>
      <c r="S552" s="21" t="n">
        <v>0.888</v>
      </c>
      <c r="T552" s="14" t="n">
        <v>33320.8</v>
      </c>
      <c r="U552" s="6" t="s">
        <v>18</v>
      </c>
    </row>
    <row r="553" customFormat="false" ht="15" hidden="false" customHeight="true" outlineLevel="0" collapsed="false">
      <c r="A553" s="6" t="s">
        <v>1299</v>
      </c>
      <c r="B553" s="6" t="s">
        <v>1300</v>
      </c>
      <c r="C553" s="6" t="s">
        <v>124</v>
      </c>
      <c r="D553" s="6" t="s">
        <v>238</v>
      </c>
      <c r="E553" s="6" t="s">
        <v>189</v>
      </c>
      <c r="F553" s="13" t="n">
        <v>45356</v>
      </c>
      <c r="G553" s="13" t="n">
        <v>45416</v>
      </c>
      <c r="H553" s="14" t="n">
        <v>232592.61</v>
      </c>
      <c r="I553" s="6" t="n">
        <v>4</v>
      </c>
      <c r="J553" s="6" t="n">
        <v>659</v>
      </c>
      <c r="K553" s="6" t="s">
        <v>185</v>
      </c>
      <c r="L553" s="14" t="n">
        <v>34630.14</v>
      </c>
      <c r="M553" s="22" t="n">
        <v>1.168</v>
      </c>
      <c r="N553" s="14" t="n">
        <v>40448</v>
      </c>
      <c r="O553" s="14" t="n">
        <v>5817.86</v>
      </c>
      <c r="P553" s="21" t="n">
        <v>0.146</v>
      </c>
      <c r="Q553" s="6" t="n">
        <v>60</v>
      </c>
      <c r="R553" s="6" t="s">
        <v>161</v>
      </c>
      <c r="S553" s="21" t="n">
        <v>1</v>
      </c>
      <c r="T553" s="14" t="n">
        <v>40448</v>
      </c>
      <c r="U553" s="6" t="s">
        <v>37</v>
      </c>
    </row>
    <row r="554" customFormat="false" ht="15" hidden="false" customHeight="true" outlineLevel="0" collapsed="false">
      <c r="A554" s="6" t="s">
        <v>1301</v>
      </c>
      <c r="B554" s="6" t="s">
        <v>1302</v>
      </c>
      <c r="C554" s="6" t="s">
        <v>131</v>
      </c>
      <c r="D554" s="6" t="s">
        <v>200</v>
      </c>
      <c r="E554" s="6" t="s">
        <v>254</v>
      </c>
      <c r="F554" s="13" t="n">
        <v>44792</v>
      </c>
      <c r="G554" s="13" t="n">
        <v>44852</v>
      </c>
      <c r="H554" s="14" t="n">
        <v>51329.05</v>
      </c>
      <c r="I554" s="6" t="n">
        <v>0</v>
      </c>
      <c r="J554" s="6" t="n">
        <v>505</v>
      </c>
      <c r="K554" s="6" t="s">
        <v>154</v>
      </c>
      <c r="L554" s="14" t="n">
        <v>4329.96</v>
      </c>
      <c r="M554" s="22" t="n">
        <v>1.148</v>
      </c>
      <c r="N554" s="14" t="n">
        <v>4970.79</v>
      </c>
      <c r="O554" s="14" t="n">
        <v>640.83</v>
      </c>
      <c r="P554" s="21" t="n">
        <v>0.078</v>
      </c>
      <c r="Q554" s="6" t="n">
        <v>60</v>
      </c>
      <c r="R554" s="6" t="s">
        <v>161</v>
      </c>
      <c r="S554" s="21" t="n">
        <v>1</v>
      </c>
      <c r="T554" s="14" t="n">
        <v>4970.79</v>
      </c>
      <c r="U554" s="6" t="s">
        <v>18</v>
      </c>
    </row>
    <row r="555" customFormat="false" ht="15" hidden="false" customHeight="true" outlineLevel="0" collapsed="false">
      <c r="A555" s="6" t="s">
        <v>1303</v>
      </c>
      <c r="B555" s="6" t="s">
        <v>1304</v>
      </c>
      <c r="C555" s="6" t="s">
        <v>128</v>
      </c>
      <c r="D555" s="6" t="s">
        <v>235</v>
      </c>
      <c r="E555" s="6" t="s">
        <v>189</v>
      </c>
      <c r="F555" s="13" t="n">
        <v>45426</v>
      </c>
      <c r="G555" s="13" t="n">
        <v>45486</v>
      </c>
      <c r="H555" s="14" t="n">
        <v>175138.44</v>
      </c>
      <c r="I555" s="6" t="n">
        <v>0</v>
      </c>
      <c r="J555" s="6" t="n">
        <v>551</v>
      </c>
      <c r="K555" s="6" t="s">
        <v>160</v>
      </c>
      <c r="L555" s="14" t="n">
        <v>22811.08</v>
      </c>
      <c r="M555" s="22" t="n">
        <v>1.095</v>
      </c>
      <c r="N555" s="14" t="n">
        <v>24978.13</v>
      </c>
      <c r="O555" s="14" t="n">
        <v>2167.05</v>
      </c>
      <c r="P555" s="21" t="n">
        <v>0.164</v>
      </c>
      <c r="Q555" s="6" t="n">
        <v>60</v>
      </c>
      <c r="R555" s="6" t="s">
        <v>161</v>
      </c>
      <c r="S555" s="21" t="n">
        <v>1</v>
      </c>
      <c r="T555" s="14" t="n">
        <v>24978.13</v>
      </c>
      <c r="U555" s="6" t="s">
        <v>39</v>
      </c>
    </row>
    <row r="556" customFormat="false" ht="15" hidden="false" customHeight="true" outlineLevel="0" collapsed="false">
      <c r="A556" s="6" t="s">
        <v>1305</v>
      </c>
      <c r="B556" s="6" t="s">
        <v>1306</v>
      </c>
      <c r="C556" s="6" t="s">
        <v>120</v>
      </c>
      <c r="D556" s="6" t="s">
        <v>218</v>
      </c>
      <c r="E556" s="6" t="s">
        <v>169</v>
      </c>
      <c r="F556" s="13" t="n">
        <v>44912</v>
      </c>
      <c r="G556" s="13" t="n">
        <v>44972</v>
      </c>
      <c r="H556" s="14" t="n">
        <v>225592.96</v>
      </c>
      <c r="I556" s="6" t="n">
        <v>1</v>
      </c>
      <c r="J556" s="6" t="n">
        <v>501</v>
      </c>
      <c r="K556" s="6" t="s">
        <v>160</v>
      </c>
      <c r="L556" s="14" t="n">
        <v>47253.39</v>
      </c>
      <c r="M556" s="22" t="n">
        <v>1.193</v>
      </c>
      <c r="N556" s="14" t="n">
        <v>56373.29</v>
      </c>
      <c r="O556" s="14" t="n">
        <v>9119.9</v>
      </c>
      <c r="P556" s="21" t="n">
        <v>0.155</v>
      </c>
      <c r="Q556" s="6" t="n">
        <v>60</v>
      </c>
      <c r="R556" s="6" t="s">
        <v>161</v>
      </c>
      <c r="S556" s="21" t="n">
        <v>1</v>
      </c>
      <c r="T556" s="14" t="n">
        <v>56373.29</v>
      </c>
      <c r="U556" s="6" t="s">
        <v>22</v>
      </c>
    </row>
    <row r="557" customFormat="false" ht="15" hidden="false" customHeight="true" outlineLevel="0" collapsed="false">
      <c r="A557" s="6" t="s">
        <v>1307</v>
      </c>
      <c r="B557" s="6" t="s">
        <v>1308</v>
      </c>
      <c r="C557" s="6" t="s">
        <v>116</v>
      </c>
      <c r="D557" s="6" t="s">
        <v>206</v>
      </c>
      <c r="E557" s="6" t="s">
        <v>173</v>
      </c>
      <c r="F557" s="13" t="n">
        <v>45250</v>
      </c>
      <c r="G557" s="13" t="n">
        <v>45352</v>
      </c>
      <c r="H557" s="14" t="n">
        <v>224095.55</v>
      </c>
      <c r="I557" s="6" t="n">
        <v>2</v>
      </c>
      <c r="J557" s="6" t="n">
        <v>782</v>
      </c>
      <c r="K557" s="6" t="s">
        <v>160</v>
      </c>
      <c r="L557" s="14" t="n">
        <v>35187.71</v>
      </c>
      <c r="M557" s="22" t="n">
        <v>1.323</v>
      </c>
      <c r="N557" s="14" t="n">
        <v>46553.34</v>
      </c>
      <c r="O557" s="14" t="n">
        <v>11365.63</v>
      </c>
      <c r="P557" s="21" t="n">
        <v>0.061</v>
      </c>
      <c r="Q557" s="6" t="n">
        <v>102</v>
      </c>
      <c r="R557" s="6" t="s">
        <v>161</v>
      </c>
      <c r="S557" s="21" t="n">
        <v>1</v>
      </c>
      <c r="T557" s="14" t="n">
        <v>46553.34</v>
      </c>
      <c r="U557" s="6" t="s">
        <v>33</v>
      </c>
    </row>
    <row r="558" customFormat="false" ht="15" hidden="false" customHeight="true" outlineLevel="0" collapsed="false">
      <c r="A558" s="6" t="s">
        <v>1309</v>
      </c>
      <c r="B558" s="6" t="s">
        <v>1310</v>
      </c>
      <c r="C558" s="6" t="s">
        <v>112</v>
      </c>
      <c r="D558" s="6" t="s">
        <v>188</v>
      </c>
      <c r="E558" s="6" t="s">
        <v>201</v>
      </c>
      <c r="F558" s="13" t="n">
        <v>44650</v>
      </c>
      <c r="G558" s="13" t="n">
        <v>44808</v>
      </c>
      <c r="H558" s="14" t="n">
        <v>179395.79</v>
      </c>
      <c r="I558" s="6" t="n">
        <v>2</v>
      </c>
      <c r="J558" s="6" t="n">
        <v>801</v>
      </c>
      <c r="K558" s="6" t="s">
        <v>154</v>
      </c>
      <c r="L558" s="14" t="n">
        <v>48545.03</v>
      </c>
      <c r="M558" s="22" t="n">
        <v>1.213</v>
      </c>
      <c r="N558" s="14" t="n">
        <v>58885.12</v>
      </c>
      <c r="O558" s="14" t="n">
        <v>10340.09</v>
      </c>
      <c r="P558" s="21" t="n">
        <v>0.062</v>
      </c>
      <c r="Q558" s="6" t="n">
        <v>158</v>
      </c>
      <c r="R558" s="6" t="s">
        <v>161</v>
      </c>
      <c r="S558" s="21" t="n">
        <v>1</v>
      </c>
      <c r="T558" s="14" t="n">
        <v>58885.12</v>
      </c>
      <c r="U558" s="6" t="s">
        <v>13</v>
      </c>
    </row>
    <row r="559" customFormat="false" ht="15" hidden="false" customHeight="true" outlineLevel="0" collapsed="false">
      <c r="A559" s="6" t="s">
        <v>1311</v>
      </c>
      <c r="B559" s="6" t="s">
        <v>1312</v>
      </c>
      <c r="C559" s="6" t="s">
        <v>120</v>
      </c>
      <c r="D559" s="6" t="s">
        <v>158</v>
      </c>
      <c r="E559" s="6" t="s">
        <v>254</v>
      </c>
      <c r="F559" s="13" t="n">
        <v>45865</v>
      </c>
      <c r="G559" s="13" t="n">
        <v>45925</v>
      </c>
      <c r="H559" s="14" t="n">
        <v>86328.81</v>
      </c>
      <c r="I559" s="6" t="n">
        <v>0</v>
      </c>
      <c r="J559" s="6" t="n">
        <v>697</v>
      </c>
      <c r="K559" s="6" t="s">
        <v>160</v>
      </c>
      <c r="L559" s="14" t="n">
        <v>14261.99</v>
      </c>
      <c r="M559" s="22" t="n">
        <v>1.154</v>
      </c>
      <c r="N559" s="14" t="n">
        <v>16458.34</v>
      </c>
      <c r="O559" s="14" t="n">
        <v>2196.35</v>
      </c>
      <c r="P559" s="21" t="n">
        <v>0.107</v>
      </c>
      <c r="Q559" s="6" t="n">
        <v>60</v>
      </c>
      <c r="R559" s="6" t="s">
        <v>155</v>
      </c>
      <c r="S559" s="21" t="n">
        <v>0.856</v>
      </c>
      <c r="T559" s="14" t="n">
        <v>14088.34</v>
      </c>
      <c r="U559" s="6" t="s">
        <v>53</v>
      </c>
    </row>
    <row r="560" customFormat="false" ht="15" hidden="false" customHeight="true" outlineLevel="0" collapsed="false">
      <c r="A560" s="6" t="s">
        <v>1313</v>
      </c>
      <c r="B560" s="6" t="s">
        <v>1314</v>
      </c>
      <c r="C560" s="6" t="s">
        <v>128</v>
      </c>
      <c r="D560" s="6" t="s">
        <v>401</v>
      </c>
      <c r="E560" s="6" t="s">
        <v>184</v>
      </c>
      <c r="F560" s="13" t="n">
        <v>45604</v>
      </c>
      <c r="G560" s="13" t="n">
        <v>45753</v>
      </c>
      <c r="H560" s="14" t="n">
        <v>82292.43</v>
      </c>
      <c r="I560" s="6" t="n">
        <v>2</v>
      </c>
      <c r="J560" s="6" t="n">
        <v>582</v>
      </c>
      <c r="K560" s="6" t="s">
        <v>160</v>
      </c>
      <c r="L560" s="14" t="n">
        <v>30443.1</v>
      </c>
      <c r="M560" s="22" t="n">
        <v>1.157</v>
      </c>
      <c r="N560" s="14" t="n">
        <v>35222.67</v>
      </c>
      <c r="O560" s="14" t="n">
        <v>4779.57</v>
      </c>
      <c r="P560" s="21" t="n">
        <v>0.086</v>
      </c>
      <c r="Q560" s="6" t="n">
        <v>149</v>
      </c>
      <c r="R560" s="6" t="s">
        <v>155</v>
      </c>
      <c r="S560" s="21" t="n">
        <v>0.913</v>
      </c>
      <c r="T560" s="14" t="n">
        <v>32158.3</v>
      </c>
      <c r="U560" s="6" t="s">
        <v>45</v>
      </c>
    </row>
    <row r="561" customFormat="false" ht="15" hidden="false" customHeight="true" outlineLevel="0" collapsed="false">
      <c r="A561" s="6" t="s">
        <v>1315</v>
      </c>
      <c r="B561" s="6" t="s">
        <v>1316</v>
      </c>
      <c r="C561" s="6" t="s">
        <v>128</v>
      </c>
      <c r="D561" s="6" t="s">
        <v>172</v>
      </c>
      <c r="E561" s="6" t="s">
        <v>304</v>
      </c>
      <c r="F561" s="13" t="n">
        <v>44779</v>
      </c>
      <c r="G561" s="13" t="n">
        <v>44848</v>
      </c>
      <c r="H561" s="14" t="n">
        <v>87830.96</v>
      </c>
      <c r="I561" s="6" t="n">
        <v>0</v>
      </c>
      <c r="J561" s="6" t="n">
        <v>761</v>
      </c>
      <c r="K561" s="6" t="s">
        <v>160</v>
      </c>
      <c r="L561" s="14" t="n">
        <v>28556.32</v>
      </c>
      <c r="M561" s="22" t="n">
        <v>1.151</v>
      </c>
      <c r="N561" s="14" t="n">
        <v>32868.32</v>
      </c>
      <c r="O561" s="14" t="n">
        <v>4312</v>
      </c>
      <c r="P561" s="21" t="n">
        <v>0.161</v>
      </c>
      <c r="Q561" s="6" t="n">
        <v>69</v>
      </c>
      <c r="R561" s="6" t="s">
        <v>161</v>
      </c>
      <c r="S561" s="21" t="n">
        <v>1</v>
      </c>
      <c r="T561" s="14" t="n">
        <v>32868.32</v>
      </c>
      <c r="U561" s="6" t="s">
        <v>18</v>
      </c>
    </row>
    <row r="562" customFormat="false" ht="15" hidden="false" customHeight="true" outlineLevel="0" collapsed="false">
      <c r="A562" s="6" t="s">
        <v>1317</v>
      </c>
      <c r="B562" s="6" t="s">
        <v>1318</v>
      </c>
      <c r="C562" s="6" t="s">
        <v>112</v>
      </c>
      <c r="D562" s="6" t="s">
        <v>164</v>
      </c>
      <c r="E562" s="6" t="s">
        <v>299</v>
      </c>
      <c r="F562" s="13" t="n">
        <v>45670</v>
      </c>
      <c r="G562" s="13" t="n">
        <v>45730</v>
      </c>
      <c r="H562" s="14" t="n">
        <v>12183.55</v>
      </c>
      <c r="I562" s="6" t="n">
        <v>5</v>
      </c>
      <c r="J562" s="6" t="n">
        <v>614</v>
      </c>
      <c r="K562" s="6" t="s">
        <v>160</v>
      </c>
      <c r="L562" s="14" t="n">
        <v>2000</v>
      </c>
      <c r="M562" s="22" t="n">
        <v>1.233</v>
      </c>
      <c r="N562" s="14" t="n">
        <v>2466</v>
      </c>
      <c r="O562" s="14" t="n">
        <v>466</v>
      </c>
      <c r="P562" s="21" t="n">
        <v>0.157</v>
      </c>
      <c r="Q562" s="6" t="n">
        <v>60</v>
      </c>
      <c r="R562" s="6" t="s">
        <v>161</v>
      </c>
      <c r="S562" s="21" t="n">
        <v>1</v>
      </c>
      <c r="T562" s="14" t="n">
        <v>2466</v>
      </c>
      <c r="U562" s="6" t="s">
        <v>47</v>
      </c>
    </row>
    <row r="563" customFormat="false" ht="15" hidden="false" customHeight="true" outlineLevel="0" collapsed="false">
      <c r="A563" s="6" t="s">
        <v>1319</v>
      </c>
      <c r="B563" s="6" t="s">
        <v>1320</v>
      </c>
      <c r="C563" s="6" t="s">
        <v>116</v>
      </c>
      <c r="D563" s="6" t="s">
        <v>222</v>
      </c>
      <c r="E563" s="6" t="s">
        <v>177</v>
      </c>
      <c r="F563" s="13" t="n">
        <v>44650</v>
      </c>
      <c r="G563" s="13" t="n">
        <v>44713</v>
      </c>
      <c r="H563" s="14" t="n">
        <v>223030.45</v>
      </c>
      <c r="I563" s="6" t="n">
        <v>0</v>
      </c>
      <c r="J563" s="6" t="n">
        <v>574</v>
      </c>
      <c r="K563" s="6" t="s">
        <v>160</v>
      </c>
      <c r="L563" s="14" t="n">
        <v>53349.35</v>
      </c>
      <c r="M563" s="22" t="n">
        <v>1.116</v>
      </c>
      <c r="N563" s="14" t="n">
        <v>59537.87</v>
      </c>
      <c r="O563" s="14" t="n">
        <v>6188.52</v>
      </c>
      <c r="P563" s="21" t="n">
        <v>0.127</v>
      </c>
      <c r="Q563" s="6" t="n">
        <v>63</v>
      </c>
      <c r="R563" s="6" t="s">
        <v>161</v>
      </c>
      <c r="S563" s="21" t="n">
        <v>1</v>
      </c>
      <c r="T563" s="14" t="n">
        <v>59537.87</v>
      </c>
      <c r="U563" s="6" t="s">
        <v>13</v>
      </c>
    </row>
    <row r="564" customFormat="false" ht="15" hidden="false" customHeight="true" outlineLevel="0" collapsed="false">
      <c r="A564" s="6" t="s">
        <v>1321</v>
      </c>
      <c r="B564" s="6" t="s">
        <v>1322</v>
      </c>
      <c r="C564" s="6" t="s">
        <v>120</v>
      </c>
      <c r="D564" s="6" t="s">
        <v>263</v>
      </c>
      <c r="E564" s="6" t="s">
        <v>173</v>
      </c>
      <c r="F564" s="13" t="n">
        <v>44578</v>
      </c>
      <c r="G564" s="13" t="n">
        <v>44737</v>
      </c>
      <c r="H564" s="14" t="n">
        <v>152560.28</v>
      </c>
      <c r="I564" s="6" t="n">
        <v>3</v>
      </c>
      <c r="J564" s="6" t="n">
        <v>544</v>
      </c>
      <c r="K564" s="6" t="s">
        <v>185</v>
      </c>
      <c r="L564" s="14" t="n">
        <v>40730.13</v>
      </c>
      <c r="M564" s="22" t="n">
        <v>1.311</v>
      </c>
      <c r="N564" s="14" t="n">
        <v>53397.2</v>
      </c>
      <c r="O564" s="14" t="n">
        <v>12667.07</v>
      </c>
      <c r="P564" s="21" t="n">
        <v>0.066</v>
      </c>
      <c r="Q564" s="6" t="n">
        <v>159</v>
      </c>
      <c r="R564" s="6" t="s">
        <v>161</v>
      </c>
      <c r="S564" s="21" t="n">
        <v>1</v>
      </c>
      <c r="T564" s="14" t="n">
        <v>53397.2</v>
      </c>
      <c r="U564" s="6" t="s">
        <v>11</v>
      </c>
    </row>
    <row r="565" customFormat="false" ht="15" hidden="false" customHeight="true" outlineLevel="0" collapsed="false">
      <c r="A565" s="6" t="s">
        <v>1323</v>
      </c>
      <c r="B565" s="6" t="s">
        <v>1324</v>
      </c>
      <c r="C565" s="6" t="s">
        <v>131</v>
      </c>
      <c r="D565" s="6" t="s">
        <v>152</v>
      </c>
      <c r="E565" s="6" t="s">
        <v>219</v>
      </c>
      <c r="F565" s="13" t="n">
        <v>45575</v>
      </c>
      <c r="G565" s="13" t="n">
        <v>45635</v>
      </c>
      <c r="H565" s="14" t="n">
        <v>233185.42</v>
      </c>
      <c r="I565" s="6" t="n">
        <v>0</v>
      </c>
      <c r="J565" s="6" t="n">
        <v>729</v>
      </c>
      <c r="K565" s="6" t="s">
        <v>185</v>
      </c>
      <c r="L565" s="14" t="n">
        <v>45151.09</v>
      </c>
      <c r="M565" s="22" t="n">
        <v>1.119</v>
      </c>
      <c r="N565" s="14" t="n">
        <v>50524.07</v>
      </c>
      <c r="O565" s="14" t="n">
        <v>5372.98</v>
      </c>
      <c r="P565" s="21" t="n">
        <v>0.176</v>
      </c>
      <c r="Q565" s="6" t="n">
        <v>60</v>
      </c>
      <c r="R565" s="6" t="s">
        <v>155</v>
      </c>
      <c r="S565" s="21" t="n">
        <v>0.97</v>
      </c>
      <c r="T565" s="14" t="n">
        <v>49008.35</v>
      </c>
      <c r="U565" s="6" t="s">
        <v>44</v>
      </c>
    </row>
    <row r="566" customFormat="false" ht="15" hidden="false" customHeight="true" outlineLevel="0" collapsed="false">
      <c r="A566" s="6" t="s">
        <v>1325</v>
      </c>
      <c r="B566" s="6" t="s">
        <v>1326</v>
      </c>
      <c r="C566" s="6" t="s">
        <v>128</v>
      </c>
      <c r="D566" s="6" t="s">
        <v>235</v>
      </c>
      <c r="E566" s="6" t="s">
        <v>211</v>
      </c>
      <c r="F566" s="13" t="n">
        <v>45789</v>
      </c>
      <c r="G566" s="13" t="n">
        <v>45937</v>
      </c>
      <c r="H566" s="14" t="n">
        <v>97114.9</v>
      </c>
      <c r="I566" s="6" t="n">
        <v>0</v>
      </c>
      <c r="J566" s="6" t="n">
        <v>521</v>
      </c>
      <c r="K566" s="6" t="s">
        <v>160</v>
      </c>
      <c r="L566" s="14" t="n">
        <v>37210.43</v>
      </c>
      <c r="M566" s="22" t="n">
        <v>1.252</v>
      </c>
      <c r="N566" s="14" t="n">
        <v>46587.46</v>
      </c>
      <c r="O566" s="14" t="n">
        <v>9377.03</v>
      </c>
      <c r="P566" s="21" t="n">
        <v>0.097</v>
      </c>
      <c r="Q566" s="6" t="n">
        <v>148</v>
      </c>
      <c r="R566" s="6" t="s">
        <v>155</v>
      </c>
      <c r="S566" s="21" t="n">
        <v>0.857</v>
      </c>
      <c r="T566" s="14" t="n">
        <v>39925.45</v>
      </c>
      <c r="U566" s="6" t="s">
        <v>51</v>
      </c>
    </row>
    <row r="567" customFormat="false" ht="15" hidden="false" customHeight="true" outlineLevel="0" collapsed="false">
      <c r="A567" s="6" t="s">
        <v>1327</v>
      </c>
      <c r="B567" s="6" t="s">
        <v>1328</v>
      </c>
      <c r="C567" s="6" t="s">
        <v>116</v>
      </c>
      <c r="D567" s="6" t="s">
        <v>222</v>
      </c>
      <c r="E567" s="6" t="s">
        <v>326</v>
      </c>
      <c r="F567" s="13" t="n">
        <v>45978</v>
      </c>
      <c r="G567" s="13" t="n">
        <v>46065</v>
      </c>
      <c r="H567" s="14" t="n">
        <v>123002.72</v>
      </c>
      <c r="I567" s="6" t="n">
        <v>0</v>
      </c>
      <c r="J567" s="6" t="n">
        <v>765</v>
      </c>
      <c r="K567" s="6" t="s">
        <v>185</v>
      </c>
      <c r="L567" s="14" t="n">
        <v>20399.22</v>
      </c>
      <c r="M567" s="22" t="n">
        <v>1.165</v>
      </c>
      <c r="N567" s="14" t="n">
        <v>23765.09</v>
      </c>
      <c r="O567" s="14" t="n">
        <v>3365.87</v>
      </c>
      <c r="P567" s="21" t="n">
        <v>0.066</v>
      </c>
      <c r="Q567" s="6" t="n">
        <v>87</v>
      </c>
      <c r="R567" s="6" t="s">
        <v>161</v>
      </c>
      <c r="S567" s="21" t="n">
        <v>1</v>
      </c>
      <c r="T567" s="14" t="n">
        <v>23765.09</v>
      </c>
      <c r="U567" s="6" t="s">
        <v>57</v>
      </c>
    </row>
    <row r="568" customFormat="false" ht="15" hidden="false" customHeight="true" outlineLevel="0" collapsed="false">
      <c r="A568" s="6" t="s">
        <v>1329</v>
      </c>
      <c r="B568" s="6" t="s">
        <v>1330</v>
      </c>
      <c r="C568" s="6" t="s">
        <v>124</v>
      </c>
      <c r="D568" s="6" t="s">
        <v>168</v>
      </c>
      <c r="E568" s="6" t="s">
        <v>288</v>
      </c>
      <c r="F568" s="13" t="n">
        <v>45088</v>
      </c>
      <c r="G568" s="13" t="n">
        <v>45148</v>
      </c>
      <c r="H568" s="14" t="n">
        <v>151382.55</v>
      </c>
      <c r="I568" s="6" t="n">
        <v>1</v>
      </c>
      <c r="J568" s="6" t="n">
        <v>798</v>
      </c>
      <c r="K568" s="6" t="s">
        <v>160</v>
      </c>
      <c r="L568" s="14" t="n">
        <v>29152.09</v>
      </c>
      <c r="M568" s="22" t="n">
        <v>1.117</v>
      </c>
      <c r="N568" s="14" t="n">
        <v>32562.88</v>
      </c>
      <c r="O568" s="14" t="n">
        <v>3410.79</v>
      </c>
      <c r="P568" s="21" t="n">
        <v>0.129</v>
      </c>
      <c r="Q568" s="6" t="n">
        <v>60</v>
      </c>
      <c r="R568" s="6" t="s">
        <v>155</v>
      </c>
      <c r="S568" s="21" t="n">
        <v>0.92</v>
      </c>
      <c r="T568" s="14" t="n">
        <v>29957.85</v>
      </c>
      <c r="U568" s="6" t="s">
        <v>28</v>
      </c>
    </row>
    <row r="569" customFormat="false" ht="15" hidden="false" customHeight="true" outlineLevel="0" collapsed="false">
      <c r="A569" s="6" t="s">
        <v>1331</v>
      </c>
      <c r="B569" s="6" t="s">
        <v>1332</v>
      </c>
      <c r="C569" s="6" t="s">
        <v>131</v>
      </c>
      <c r="D569" s="6" t="s">
        <v>200</v>
      </c>
      <c r="E569" s="6" t="s">
        <v>288</v>
      </c>
      <c r="F569" s="13" t="n">
        <v>45615</v>
      </c>
      <c r="G569" s="13" t="n">
        <v>45735</v>
      </c>
      <c r="H569" s="14" t="n">
        <v>31038.32</v>
      </c>
      <c r="I569" s="6" t="n">
        <v>0</v>
      </c>
      <c r="J569" s="6" t="n">
        <v>690</v>
      </c>
      <c r="K569" s="6" t="s">
        <v>160</v>
      </c>
      <c r="L569" s="14" t="n">
        <v>9250.18</v>
      </c>
      <c r="M569" s="22" t="n">
        <v>1.16</v>
      </c>
      <c r="N569" s="14" t="n">
        <v>10730.21</v>
      </c>
      <c r="O569" s="14" t="n">
        <v>1480.03</v>
      </c>
      <c r="P569" s="21" t="n">
        <v>0.086</v>
      </c>
      <c r="Q569" s="6" t="n">
        <v>120</v>
      </c>
      <c r="R569" s="6" t="s">
        <v>309</v>
      </c>
      <c r="S569" s="21" t="n">
        <v>0.214</v>
      </c>
      <c r="T569" s="14" t="n">
        <v>2296.26</v>
      </c>
      <c r="U569" s="6" t="s">
        <v>45</v>
      </c>
    </row>
    <row r="570" customFormat="false" ht="15" hidden="false" customHeight="true" outlineLevel="0" collapsed="false">
      <c r="A570" s="6" t="s">
        <v>1333</v>
      </c>
      <c r="B570" s="6" t="s">
        <v>1334</v>
      </c>
      <c r="C570" s="6" t="s">
        <v>124</v>
      </c>
      <c r="D570" s="6" t="s">
        <v>238</v>
      </c>
      <c r="E570" s="6" t="s">
        <v>326</v>
      </c>
      <c r="F570" s="13" t="n">
        <v>45623</v>
      </c>
      <c r="G570" s="13" t="n">
        <v>45688</v>
      </c>
      <c r="H570" s="14" t="n">
        <v>228422.96</v>
      </c>
      <c r="I570" s="6" t="n">
        <v>1</v>
      </c>
      <c r="J570" s="6" t="n">
        <v>748</v>
      </c>
      <c r="K570" s="6" t="s">
        <v>185</v>
      </c>
      <c r="L570" s="14" t="n">
        <v>49985.25</v>
      </c>
      <c r="M570" s="22" t="n">
        <v>1.174</v>
      </c>
      <c r="N570" s="14" t="n">
        <v>58682.68</v>
      </c>
      <c r="O570" s="14" t="n">
        <v>8697.43</v>
      </c>
      <c r="P570" s="21" t="n">
        <v>0.118</v>
      </c>
      <c r="Q570" s="6" t="n">
        <v>65</v>
      </c>
      <c r="R570" s="6" t="s">
        <v>309</v>
      </c>
      <c r="S570" s="21" t="n">
        <v>0.513</v>
      </c>
      <c r="T570" s="14" t="n">
        <v>30104.21</v>
      </c>
      <c r="U570" s="6" t="s">
        <v>45</v>
      </c>
    </row>
    <row r="571" customFormat="false" ht="15" hidden="false" customHeight="true" outlineLevel="0" collapsed="false">
      <c r="A571" s="6" t="s">
        <v>1335</v>
      </c>
      <c r="B571" s="6" t="s">
        <v>1336</v>
      </c>
      <c r="C571" s="6" t="s">
        <v>131</v>
      </c>
      <c r="D571" s="6" t="s">
        <v>152</v>
      </c>
      <c r="E571" s="6" t="s">
        <v>254</v>
      </c>
      <c r="F571" s="13" t="n">
        <v>45645</v>
      </c>
      <c r="G571" s="13" t="n">
        <v>45742</v>
      </c>
      <c r="H571" s="14" t="n">
        <v>80416.01</v>
      </c>
      <c r="I571" s="6" t="n">
        <v>1</v>
      </c>
      <c r="J571" s="6" t="n">
        <v>705</v>
      </c>
      <c r="K571" s="6" t="s">
        <v>185</v>
      </c>
      <c r="L571" s="14" t="n">
        <v>29150.45</v>
      </c>
      <c r="M571" s="22" t="n">
        <v>1.33</v>
      </c>
      <c r="N571" s="14" t="n">
        <v>38770.1</v>
      </c>
      <c r="O571" s="14" t="n">
        <v>9619.65</v>
      </c>
      <c r="P571" s="21" t="n">
        <v>0.148</v>
      </c>
      <c r="Q571" s="6" t="n">
        <v>97</v>
      </c>
      <c r="R571" s="6" t="s">
        <v>161</v>
      </c>
      <c r="S571" s="21" t="n">
        <v>1</v>
      </c>
      <c r="T571" s="14" t="n">
        <v>38770.1</v>
      </c>
      <c r="U571" s="6" t="s">
        <v>46</v>
      </c>
    </row>
    <row r="572" customFormat="false" ht="15" hidden="false" customHeight="true" outlineLevel="0" collapsed="false">
      <c r="A572" s="6" t="s">
        <v>1337</v>
      </c>
      <c r="B572" s="6" t="s">
        <v>1338</v>
      </c>
      <c r="C572" s="6" t="s">
        <v>120</v>
      </c>
      <c r="D572" s="6" t="s">
        <v>263</v>
      </c>
      <c r="E572" s="6" t="s">
        <v>189</v>
      </c>
      <c r="F572" s="13" t="n">
        <v>44864</v>
      </c>
      <c r="G572" s="13" t="n">
        <v>44992</v>
      </c>
      <c r="H572" s="14" t="n">
        <v>10748.28</v>
      </c>
      <c r="I572" s="6" t="n">
        <v>3</v>
      </c>
      <c r="J572" s="6" t="n">
        <v>736</v>
      </c>
      <c r="K572" s="6" t="s">
        <v>160</v>
      </c>
      <c r="L572" s="14" t="n">
        <v>3644.62</v>
      </c>
      <c r="M572" s="22" t="n">
        <v>1.236</v>
      </c>
      <c r="N572" s="14" t="n">
        <v>4504.75</v>
      </c>
      <c r="O572" s="14" t="n">
        <v>860.13</v>
      </c>
      <c r="P572" s="21" t="n">
        <v>0.098</v>
      </c>
      <c r="Q572" s="6" t="n">
        <v>128</v>
      </c>
      <c r="R572" s="6" t="s">
        <v>161</v>
      </c>
      <c r="S572" s="21" t="n">
        <v>1</v>
      </c>
      <c r="T572" s="14" t="n">
        <v>4504.75</v>
      </c>
      <c r="U572" s="6" t="s">
        <v>20</v>
      </c>
    </row>
    <row r="573" customFormat="false" ht="15" hidden="false" customHeight="true" outlineLevel="0" collapsed="false">
      <c r="A573" s="6" t="s">
        <v>1339</v>
      </c>
      <c r="B573" s="6" t="s">
        <v>1340</v>
      </c>
      <c r="C573" s="6" t="s">
        <v>124</v>
      </c>
      <c r="D573" s="6" t="s">
        <v>180</v>
      </c>
      <c r="E573" s="6" t="s">
        <v>254</v>
      </c>
      <c r="F573" s="13" t="n">
        <v>44768</v>
      </c>
      <c r="G573" s="13" t="n">
        <v>44828</v>
      </c>
      <c r="H573" s="14" t="n">
        <v>164409.03</v>
      </c>
      <c r="I573" s="6" t="n">
        <v>0</v>
      </c>
      <c r="J573" s="6" t="n">
        <v>539</v>
      </c>
      <c r="K573" s="6" t="s">
        <v>185</v>
      </c>
      <c r="L573" s="14" t="n">
        <v>12644.45</v>
      </c>
      <c r="M573" s="22" t="n">
        <v>1.223</v>
      </c>
      <c r="N573" s="14" t="n">
        <v>15464.16</v>
      </c>
      <c r="O573" s="14" t="n">
        <v>2819.71</v>
      </c>
      <c r="P573" s="21" t="n">
        <v>0.157</v>
      </c>
      <c r="Q573" s="6" t="n">
        <v>60</v>
      </c>
      <c r="R573" s="6" t="s">
        <v>155</v>
      </c>
      <c r="S573" s="21" t="n">
        <v>0.951</v>
      </c>
      <c r="T573" s="14" t="n">
        <v>14706.42</v>
      </c>
      <c r="U573" s="6" t="s">
        <v>17</v>
      </c>
    </row>
    <row r="574" customFormat="false" ht="15" hidden="false" customHeight="true" outlineLevel="0" collapsed="false">
      <c r="A574" s="6" t="s">
        <v>1341</v>
      </c>
      <c r="B574" s="6" t="s">
        <v>1342</v>
      </c>
      <c r="C574" s="6" t="s">
        <v>131</v>
      </c>
      <c r="D574" s="6" t="s">
        <v>200</v>
      </c>
      <c r="E574" s="6" t="s">
        <v>169</v>
      </c>
      <c r="F574" s="13" t="n">
        <v>45677</v>
      </c>
      <c r="G574" s="13" t="n">
        <v>45737</v>
      </c>
      <c r="H574" s="14" t="n">
        <v>182391.12</v>
      </c>
      <c r="I574" s="6" t="n">
        <v>1</v>
      </c>
      <c r="J574" s="6" t="n">
        <v>579</v>
      </c>
      <c r="K574" s="6" t="s">
        <v>160</v>
      </c>
      <c r="L574" s="14" t="n">
        <v>32686.97</v>
      </c>
      <c r="M574" s="22" t="n">
        <v>1.27</v>
      </c>
      <c r="N574" s="14" t="n">
        <v>41512.45</v>
      </c>
      <c r="O574" s="14" t="n">
        <v>8825.48</v>
      </c>
      <c r="P574" s="21" t="n">
        <v>0.131</v>
      </c>
      <c r="Q574" s="6" t="n">
        <v>60</v>
      </c>
      <c r="R574" s="6" t="s">
        <v>161</v>
      </c>
      <c r="S574" s="21" t="n">
        <v>1</v>
      </c>
      <c r="T574" s="14" t="n">
        <v>41512.45</v>
      </c>
      <c r="U574" s="6" t="s">
        <v>47</v>
      </c>
    </row>
    <row r="575" customFormat="false" ht="15" hidden="false" customHeight="true" outlineLevel="0" collapsed="false">
      <c r="A575" s="6" t="s">
        <v>1343</v>
      </c>
      <c r="B575" s="6" t="s">
        <v>1344</v>
      </c>
      <c r="C575" s="6" t="s">
        <v>112</v>
      </c>
      <c r="D575" s="6" t="s">
        <v>172</v>
      </c>
      <c r="E575" s="6" t="s">
        <v>165</v>
      </c>
      <c r="F575" s="13" t="n">
        <v>44934</v>
      </c>
      <c r="G575" s="13" t="n">
        <v>45062</v>
      </c>
      <c r="H575" s="14" t="n">
        <v>78222.91</v>
      </c>
      <c r="I575" s="6" t="n">
        <v>1</v>
      </c>
      <c r="J575" s="6" t="n">
        <v>717</v>
      </c>
      <c r="K575" s="6" t="s">
        <v>154</v>
      </c>
      <c r="L575" s="14" t="n">
        <v>28010.61</v>
      </c>
      <c r="M575" s="22" t="n">
        <v>1.326</v>
      </c>
      <c r="N575" s="14" t="n">
        <v>37142.07</v>
      </c>
      <c r="O575" s="14" t="n">
        <v>9131.46</v>
      </c>
      <c r="P575" s="21" t="n">
        <v>0.111</v>
      </c>
      <c r="Q575" s="6" t="n">
        <v>128</v>
      </c>
      <c r="R575" s="6" t="s">
        <v>161</v>
      </c>
      <c r="S575" s="21" t="n">
        <v>1</v>
      </c>
      <c r="T575" s="14" t="n">
        <v>37142.07</v>
      </c>
      <c r="U575" s="6" t="s">
        <v>23</v>
      </c>
    </row>
    <row r="576" customFormat="false" ht="15" hidden="false" customHeight="true" outlineLevel="0" collapsed="false">
      <c r="A576" s="6" t="s">
        <v>1345</v>
      </c>
      <c r="B576" s="6" t="s">
        <v>1346</v>
      </c>
      <c r="C576" s="6" t="s">
        <v>116</v>
      </c>
      <c r="D576" s="6" t="s">
        <v>152</v>
      </c>
      <c r="E576" s="6" t="s">
        <v>207</v>
      </c>
      <c r="F576" s="13" t="n">
        <v>46108</v>
      </c>
      <c r="G576" s="13" t="n">
        <v>46186</v>
      </c>
      <c r="H576" s="14" t="n">
        <v>42535.8</v>
      </c>
      <c r="I576" s="6" t="n">
        <v>1</v>
      </c>
      <c r="J576" s="6" t="n">
        <v>635</v>
      </c>
      <c r="K576" s="6" t="s">
        <v>154</v>
      </c>
      <c r="L576" s="14" t="n">
        <v>6307.3</v>
      </c>
      <c r="M576" s="22" t="n">
        <v>1.153</v>
      </c>
      <c r="N576" s="14" t="n">
        <v>7272.32</v>
      </c>
      <c r="O576" s="14" t="n">
        <v>965.02</v>
      </c>
      <c r="P576" s="21" t="n">
        <v>0.065</v>
      </c>
      <c r="Q576" s="6" t="n">
        <v>78</v>
      </c>
      <c r="R576" s="6" t="s">
        <v>161</v>
      </c>
      <c r="S576" s="21" t="n">
        <v>1</v>
      </c>
      <c r="T576" s="14" t="n">
        <v>7272.32</v>
      </c>
      <c r="U576" s="6" t="s">
        <v>61</v>
      </c>
    </row>
    <row r="577" customFormat="false" ht="15" hidden="false" customHeight="true" outlineLevel="0" collapsed="false">
      <c r="A577" s="6" t="s">
        <v>1347</v>
      </c>
      <c r="B577" s="6" t="s">
        <v>1348</v>
      </c>
      <c r="C577" s="6" t="s">
        <v>128</v>
      </c>
      <c r="D577" s="6" t="s">
        <v>401</v>
      </c>
      <c r="E577" s="6" t="s">
        <v>184</v>
      </c>
      <c r="F577" s="13" t="n">
        <v>45663</v>
      </c>
      <c r="G577" s="13" t="n">
        <v>45723</v>
      </c>
      <c r="H577" s="14" t="n">
        <v>193193.11</v>
      </c>
      <c r="I577" s="6" t="n">
        <v>3</v>
      </c>
      <c r="J577" s="6" t="n">
        <v>741</v>
      </c>
      <c r="K577" s="6" t="s">
        <v>160</v>
      </c>
      <c r="L577" s="14" t="n">
        <v>27569.25</v>
      </c>
      <c r="M577" s="22" t="n">
        <v>1.304</v>
      </c>
      <c r="N577" s="14" t="n">
        <v>35950.3</v>
      </c>
      <c r="O577" s="14" t="n">
        <v>8381.05</v>
      </c>
      <c r="P577" s="21" t="n">
        <v>0.15</v>
      </c>
      <c r="Q577" s="6" t="n">
        <v>60</v>
      </c>
      <c r="R577" s="6" t="s">
        <v>309</v>
      </c>
      <c r="S577" s="21" t="n">
        <v>0.3</v>
      </c>
      <c r="T577" s="14" t="n">
        <v>10785.09</v>
      </c>
      <c r="U577" s="6" t="s">
        <v>47</v>
      </c>
    </row>
    <row r="578" customFormat="false" ht="15" hidden="false" customHeight="true" outlineLevel="0" collapsed="false">
      <c r="A578" s="6" t="s">
        <v>1349</v>
      </c>
      <c r="B578" s="6" t="s">
        <v>1350</v>
      </c>
      <c r="C578" s="6" t="s">
        <v>116</v>
      </c>
      <c r="D578" s="6" t="s">
        <v>152</v>
      </c>
      <c r="E578" s="6" t="s">
        <v>181</v>
      </c>
      <c r="F578" s="13" t="n">
        <v>46130</v>
      </c>
      <c r="G578" s="13" t="n">
        <v>46232</v>
      </c>
      <c r="H578" s="14" t="n">
        <v>203062.67</v>
      </c>
      <c r="I578" s="6" t="n">
        <v>4</v>
      </c>
      <c r="J578" s="6" t="n">
        <v>815</v>
      </c>
      <c r="K578" s="6" t="s">
        <v>154</v>
      </c>
      <c r="L578" s="14" t="n">
        <v>80163.51</v>
      </c>
      <c r="M578" s="22" t="n">
        <v>1.302</v>
      </c>
      <c r="N578" s="14" t="n">
        <v>104372.89</v>
      </c>
      <c r="O578" s="14" t="n">
        <v>24209.38</v>
      </c>
      <c r="P578" s="21" t="n">
        <v>0.151</v>
      </c>
      <c r="Q578" s="6" t="n">
        <v>102</v>
      </c>
      <c r="R578" s="6" t="s">
        <v>155</v>
      </c>
      <c r="S578" s="21" t="n">
        <v>0.771</v>
      </c>
      <c r="T578" s="14" t="n">
        <v>80471.5</v>
      </c>
      <c r="U578" s="6" t="s">
        <v>62</v>
      </c>
    </row>
    <row r="579" customFormat="false" ht="15" hidden="false" customHeight="true" outlineLevel="0" collapsed="false">
      <c r="A579" s="6" t="s">
        <v>1351</v>
      </c>
      <c r="B579" s="6" t="s">
        <v>1352</v>
      </c>
      <c r="C579" s="6" t="s">
        <v>124</v>
      </c>
      <c r="D579" s="6" t="s">
        <v>238</v>
      </c>
      <c r="E579" s="6" t="s">
        <v>177</v>
      </c>
      <c r="F579" s="13" t="n">
        <v>44736</v>
      </c>
      <c r="G579" s="13" t="n">
        <v>44803</v>
      </c>
      <c r="H579" s="14" t="n">
        <v>72010.78</v>
      </c>
      <c r="I579" s="6" t="n">
        <v>0</v>
      </c>
      <c r="J579" s="6" t="n">
        <v>513</v>
      </c>
      <c r="K579" s="6" t="s">
        <v>160</v>
      </c>
      <c r="L579" s="14" t="n">
        <v>9862.91</v>
      </c>
      <c r="M579" s="22" t="n">
        <v>1.313</v>
      </c>
      <c r="N579" s="14" t="n">
        <v>12950</v>
      </c>
      <c r="O579" s="14" t="n">
        <v>3087.09</v>
      </c>
      <c r="P579" s="21" t="n">
        <v>0.08</v>
      </c>
      <c r="Q579" s="6" t="n">
        <v>67</v>
      </c>
      <c r="R579" s="6" t="s">
        <v>161</v>
      </c>
      <c r="S579" s="21" t="n">
        <v>1</v>
      </c>
      <c r="T579" s="14" t="n">
        <v>12950</v>
      </c>
      <c r="U579" s="6" t="s">
        <v>16</v>
      </c>
    </row>
    <row r="580" customFormat="false" ht="15" hidden="false" customHeight="true" outlineLevel="0" collapsed="false">
      <c r="A580" s="6" t="s">
        <v>1353</v>
      </c>
      <c r="B580" s="6" t="s">
        <v>1354</v>
      </c>
      <c r="C580" s="6" t="s">
        <v>131</v>
      </c>
      <c r="D580" s="6" t="s">
        <v>152</v>
      </c>
      <c r="E580" s="6" t="s">
        <v>304</v>
      </c>
      <c r="F580" s="13" t="n">
        <v>46057</v>
      </c>
      <c r="G580" s="13" t="n">
        <v>46144</v>
      </c>
      <c r="H580" s="14" t="n">
        <v>158374.97</v>
      </c>
      <c r="I580" s="6" t="n">
        <v>2</v>
      </c>
      <c r="J580" s="6" t="n">
        <v>599</v>
      </c>
      <c r="K580" s="6" t="s">
        <v>160</v>
      </c>
      <c r="L580" s="14" t="n">
        <v>18721.83</v>
      </c>
      <c r="M580" s="22" t="n">
        <v>1.337</v>
      </c>
      <c r="N580" s="14" t="n">
        <v>25031.09</v>
      </c>
      <c r="O580" s="14" t="n">
        <v>6309.26</v>
      </c>
      <c r="P580" s="21" t="n">
        <v>0.054</v>
      </c>
      <c r="Q580" s="6" t="n">
        <v>87</v>
      </c>
      <c r="R580" s="6" t="s">
        <v>309</v>
      </c>
      <c r="S580" s="21" t="n">
        <v>0.311</v>
      </c>
      <c r="T580" s="14" t="n">
        <v>7784.67</v>
      </c>
      <c r="U580" s="6" t="s">
        <v>60</v>
      </c>
    </row>
    <row r="581" customFormat="false" ht="15" hidden="false" customHeight="true" outlineLevel="0" collapsed="false">
      <c r="A581" s="6" t="s">
        <v>1355</v>
      </c>
      <c r="B581" s="6" t="s">
        <v>1356</v>
      </c>
      <c r="C581" s="6" t="s">
        <v>116</v>
      </c>
      <c r="D581" s="6" t="s">
        <v>222</v>
      </c>
      <c r="E581" s="6" t="s">
        <v>219</v>
      </c>
      <c r="F581" s="13" t="n">
        <v>45000</v>
      </c>
      <c r="G581" s="13" t="n">
        <v>45060</v>
      </c>
      <c r="H581" s="14" t="n">
        <v>248029.1</v>
      </c>
      <c r="I581" s="6" t="n">
        <v>3</v>
      </c>
      <c r="J581" s="6" t="n">
        <v>754</v>
      </c>
      <c r="K581" s="6" t="s">
        <v>160</v>
      </c>
      <c r="L581" s="14" t="n">
        <v>38668.53</v>
      </c>
      <c r="M581" s="22" t="n">
        <v>1.32</v>
      </c>
      <c r="N581" s="14" t="n">
        <v>51042.46</v>
      </c>
      <c r="O581" s="14" t="n">
        <v>12373.93</v>
      </c>
      <c r="P581" s="21" t="n">
        <v>0.134</v>
      </c>
      <c r="Q581" s="6" t="n">
        <v>60</v>
      </c>
      <c r="R581" s="6" t="s">
        <v>155</v>
      </c>
      <c r="S581" s="21" t="n">
        <v>0.735</v>
      </c>
      <c r="T581" s="14" t="n">
        <v>37516.21</v>
      </c>
      <c r="U581" s="6" t="s">
        <v>25</v>
      </c>
    </row>
    <row r="582" customFormat="false" ht="15" hidden="false" customHeight="true" outlineLevel="0" collapsed="false">
      <c r="A582" s="6" t="s">
        <v>1357</v>
      </c>
      <c r="B582" s="6" t="s">
        <v>1358</v>
      </c>
      <c r="C582" s="6" t="s">
        <v>112</v>
      </c>
      <c r="D582" s="6" t="s">
        <v>164</v>
      </c>
      <c r="E582" s="6" t="s">
        <v>159</v>
      </c>
      <c r="F582" s="13" t="n">
        <v>44582</v>
      </c>
      <c r="G582" s="13" t="n">
        <v>44652</v>
      </c>
      <c r="H582" s="14" t="n">
        <v>102603.54</v>
      </c>
      <c r="I582" s="6" t="n">
        <v>3</v>
      </c>
      <c r="J582" s="6" t="n">
        <v>731</v>
      </c>
      <c r="K582" s="6" t="s">
        <v>154</v>
      </c>
      <c r="L582" s="14" t="n">
        <v>22534.05</v>
      </c>
      <c r="M582" s="22" t="n">
        <v>1.339</v>
      </c>
      <c r="N582" s="14" t="n">
        <v>30173.09</v>
      </c>
      <c r="O582" s="14" t="n">
        <v>7639.04</v>
      </c>
      <c r="P582" s="21" t="n">
        <v>0.126</v>
      </c>
      <c r="Q582" s="6" t="n">
        <v>70</v>
      </c>
      <c r="R582" s="6" t="s">
        <v>161</v>
      </c>
      <c r="S582" s="21" t="n">
        <v>1</v>
      </c>
      <c r="T582" s="14" t="n">
        <v>30173.09</v>
      </c>
      <c r="U582" s="6" t="s">
        <v>11</v>
      </c>
    </row>
    <row r="583" customFormat="false" ht="15" hidden="false" customHeight="true" outlineLevel="0" collapsed="false">
      <c r="A583" s="6" t="s">
        <v>1359</v>
      </c>
      <c r="B583" s="6" t="s">
        <v>1360</v>
      </c>
      <c r="C583" s="6" t="s">
        <v>116</v>
      </c>
      <c r="D583" s="6" t="s">
        <v>152</v>
      </c>
      <c r="E583" s="6" t="s">
        <v>219</v>
      </c>
      <c r="F583" s="13" t="n">
        <v>44853</v>
      </c>
      <c r="G583" s="13" t="n">
        <v>44956</v>
      </c>
      <c r="H583" s="14" t="n">
        <v>34416.01</v>
      </c>
      <c r="I583" s="6" t="n">
        <v>1</v>
      </c>
      <c r="J583" s="6" t="n">
        <v>622</v>
      </c>
      <c r="K583" s="6" t="s">
        <v>154</v>
      </c>
      <c r="L583" s="14" t="n">
        <v>10923.53</v>
      </c>
      <c r="M583" s="22" t="n">
        <v>1.1</v>
      </c>
      <c r="N583" s="14" t="n">
        <v>12015.88</v>
      </c>
      <c r="O583" s="14" t="n">
        <v>1092.35</v>
      </c>
      <c r="P583" s="21" t="n">
        <v>0.101</v>
      </c>
      <c r="Q583" s="6" t="n">
        <v>103</v>
      </c>
      <c r="R583" s="6" t="s">
        <v>155</v>
      </c>
      <c r="S583" s="21" t="n">
        <v>0.709</v>
      </c>
      <c r="T583" s="14" t="n">
        <v>8519.26</v>
      </c>
      <c r="U583" s="6" t="s">
        <v>20</v>
      </c>
    </row>
    <row r="584" customFormat="false" ht="15" hidden="false" customHeight="true" outlineLevel="0" collapsed="false">
      <c r="A584" s="6" t="s">
        <v>1361</v>
      </c>
      <c r="B584" s="6" t="s">
        <v>1362</v>
      </c>
      <c r="C584" s="6" t="s">
        <v>120</v>
      </c>
      <c r="D584" s="6" t="s">
        <v>218</v>
      </c>
      <c r="E584" s="6" t="s">
        <v>299</v>
      </c>
      <c r="F584" s="13" t="n">
        <v>45533</v>
      </c>
      <c r="G584" s="13" t="n">
        <v>45594</v>
      </c>
      <c r="H584" s="14" t="n">
        <v>228551.42</v>
      </c>
      <c r="I584" s="6" t="n">
        <v>0</v>
      </c>
      <c r="J584" s="6" t="n">
        <v>526</v>
      </c>
      <c r="K584" s="6" t="s">
        <v>154</v>
      </c>
      <c r="L584" s="14" t="n">
        <v>55017.69</v>
      </c>
      <c r="M584" s="22" t="n">
        <v>1.302</v>
      </c>
      <c r="N584" s="14" t="n">
        <v>71633.03</v>
      </c>
      <c r="O584" s="14" t="n">
        <v>16615.34</v>
      </c>
      <c r="P584" s="21" t="n">
        <v>0.154</v>
      </c>
      <c r="Q584" s="6" t="n">
        <v>61</v>
      </c>
      <c r="R584" s="6" t="s">
        <v>155</v>
      </c>
      <c r="S584" s="21" t="n">
        <v>0.832</v>
      </c>
      <c r="T584" s="14" t="n">
        <v>59598.68</v>
      </c>
      <c r="U584" s="6" t="s">
        <v>42</v>
      </c>
    </row>
    <row r="585" customFormat="false" ht="15" hidden="false" customHeight="true" outlineLevel="0" collapsed="false">
      <c r="A585" s="6" t="s">
        <v>1363</v>
      </c>
      <c r="B585" s="6" t="s">
        <v>1364</v>
      </c>
      <c r="C585" s="6" t="s">
        <v>120</v>
      </c>
      <c r="D585" s="6" t="s">
        <v>263</v>
      </c>
      <c r="E585" s="6" t="s">
        <v>189</v>
      </c>
      <c r="F585" s="13" t="n">
        <v>45752</v>
      </c>
      <c r="G585" s="13" t="n">
        <v>45812</v>
      </c>
      <c r="H585" s="14" t="n">
        <v>138692.08</v>
      </c>
      <c r="I585" s="6" t="n">
        <v>0</v>
      </c>
      <c r="J585" s="6" t="n">
        <v>512</v>
      </c>
      <c r="K585" s="6" t="s">
        <v>154</v>
      </c>
      <c r="L585" s="14" t="n">
        <v>19104.15</v>
      </c>
      <c r="M585" s="22" t="n">
        <v>1.166</v>
      </c>
      <c r="N585" s="14" t="n">
        <v>22275.44</v>
      </c>
      <c r="O585" s="14" t="n">
        <v>3171.29</v>
      </c>
      <c r="P585" s="21" t="n">
        <v>0.171</v>
      </c>
      <c r="Q585" s="6" t="n">
        <v>60</v>
      </c>
      <c r="R585" s="6" t="s">
        <v>155</v>
      </c>
      <c r="S585" s="21" t="n">
        <v>0.732</v>
      </c>
      <c r="T585" s="14" t="n">
        <v>16305.62</v>
      </c>
      <c r="U585" s="6" t="s">
        <v>50</v>
      </c>
    </row>
    <row r="586" customFormat="false" ht="15" hidden="false" customHeight="true" outlineLevel="0" collapsed="false">
      <c r="A586" s="6" t="s">
        <v>1365</v>
      </c>
      <c r="B586" s="6" t="s">
        <v>1366</v>
      </c>
      <c r="C586" s="6" t="s">
        <v>112</v>
      </c>
      <c r="D586" s="6" t="s">
        <v>172</v>
      </c>
      <c r="E586" s="6" t="s">
        <v>169</v>
      </c>
      <c r="F586" s="13" t="n">
        <v>44786</v>
      </c>
      <c r="G586" s="13" t="n">
        <v>44846</v>
      </c>
      <c r="H586" s="14" t="n">
        <v>135175.57</v>
      </c>
      <c r="I586" s="6" t="n">
        <v>0</v>
      </c>
      <c r="J586" s="6" t="n">
        <v>583</v>
      </c>
      <c r="K586" s="6" t="s">
        <v>160</v>
      </c>
      <c r="L586" s="14" t="n">
        <v>33786.56</v>
      </c>
      <c r="M586" s="22" t="n">
        <v>1.344</v>
      </c>
      <c r="N586" s="14" t="n">
        <v>45409.14</v>
      </c>
      <c r="O586" s="14" t="n">
        <v>11622.58</v>
      </c>
      <c r="P586" s="21" t="n">
        <v>0.177</v>
      </c>
      <c r="Q586" s="6" t="n">
        <v>60</v>
      </c>
      <c r="R586" s="6" t="s">
        <v>161</v>
      </c>
      <c r="S586" s="21" t="n">
        <v>1</v>
      </c>
      <c r="T586" s="14" t="n">
        <v>45409.14</v>
      </c>
      <c r="U586" s="6" t="s">
        <v>18</v>
      </c>
    </row>
    <row r="587" customFormat="false" ht="15" hidden="false" customHeight="true" outlineLevel="0" collapsed="false">
      <c r="A587" s="6" t="s">
        <v>1367</v>
      </c>
      <c r="B587" s="6" t="s">
        <v>1368</v>
      </c>
      <c r="C587" s="6" t="s">
        <v>124</v>
      </c>
      <c r="D587" s="6" t="s">
        <v>238</v>
      </c>
      <c r="E587" s="6" t="s">
        <v>299</v>
      </c>
      <c r="F587" s="13" t="n">
        <v>44885</v>
      </c>
      <c r="G587" s="13" t="n">
        <v>45041</v>
      </c>
      <c r="H587" s="14" t="n">
        <v>198072.38</v>
      </c>
      <c r="I587" s="6" t="n">
        <v>5</v>
      </c>
      <c r="J587" s="6" t="n">
        <v>589</v>
      </c>
      <c r="K587" s="6" t="s">
        <v>160</v>
      </c>
      <c r="L587" s="14" t="n">
        <v>42651.35</v>
      </c>
      <c r="M587" s="22" t="n">
        <v>1.335</v>
      </c>
      <c r="N587" s="14" t="n">
        <v>56939.55</v>
      </c>
      <c r="O587" s="14" t="n">
        <v>14288.2</v>
      </c>
      <c r="P587" s="21" t="n">
        <v>0.055</v>
      </c>
      <c r="Q587" s="6" t="n">
        <v>156</v>
      </c>
      <c r="R587" s="6" t="s">
        <v>155</v>
      </c>
      <c r="S587" s="21" t="n">
        <v>0.901</v>
      </c>
      <c r="T587" s="14" t="n">
        <v>51302.53</v>
      </c>
      <c r="U587" s="6" t="s">
        <v>21</v>
      </c>
    </row>
    <row r="588" customFormat="false" ht="15" hidden="false" customHeight="true" outlineLevel="0" collapsed="false">
      <c r="A588" s="6" t="s">
        <v>1369</v>
      </c>
      <c r="B588" s="6" t="s">
        <v>1370</v>
      </c>
      <c r="C588" s="6" t="s">
        <v>124</v>
      </c>
      <c r="D588" s="6" t="s">
        <v>168</v>
      </c>
      <c r="E588" s="6" t="s">
        <v>173</v>
      </c>
      <c r="F588" s="13" t="n">
        <v>45683</v>
      </c>
      <c r="G588" s="13" t="n">
        <v>45743</v>
      </c>
      <c r="H588" s="14" t="n">
        <v>18824.52</v>
      </c>
      <c r="I588" s="6" t="n">
        <v>0</v>
      </c>
      <c r="J588" s="6" t="n">
        <v>754</v>
      </c>
      <c r="K588" s="6" t="s">
        <v>160</v>
      </c>
      <c r="L588" s="14" t="n">
        <v>4524.3</v>
      </c>
      <c r="M588" s="22" t="n">
        <v>1.337</v>
      </c>
      <c r="N588" s="14" t="n">
        <v>6048.99</v>
      </c>
      <c r="O588" s="14" t="n">
        <v>1524.69</v>
      </c>
      <c r="P588" s="21" t="n">
        <v>0.173</v>
      </c>
      <c r="Q588" s="6" t="n">
        <v>60</v>
      </c>
      <c r="R588" s="6" t="s">
        <v>161</v>
      </c>
      <c r="S588" s="21" t="n">
        <v>1</v>
      </c>
      <c r="T588" s="14" t="n">
        <v>6048.99</v>
      </c>
      <c r="U588" s="6" t="s">
        <v>47</v>
      </c>
    </row>
    <row r="589" customFormat="false" ht="15" hidden="false" customHeight="true" outlineLevel="0" collapsed="false">
      <c r="A589" s="6" t="s">
        <v>1371</v>
      </c>
      <c r="B589" s="6" t="s">
        <v>1372</v>
      </c>
      <c r="C589" s="6" t="s">
        <v>112</v>
      </c>
      <c r="D589" s="6" t="s">
        <v>172</v>
      </c>
      <c r="E589" s="6" t="s">
        <v>201</v>
      </c>
      <c r="F589" s="13" t="n">
        <v>44869</v>
      </c>
      <c r="G589" s="13" t="n">
        <v>44929</v>
      </c>
      <c r="H589" s="14" t="n">
        <v>30376.99</v>
      </c>
      <c r="I589" s="6" t="n">
        <v>1</v>
      </c>
      <c r="J589" s="6" t="n">
        <v>707</v>
      </c>
      <c r="K589" s="6" t="s">
        <v>160</v>
      </c>
      <c r="L589" s="14" t="n">
        <v>4616.25</v>
      </c>
      <c r="M589" s="22" t="n">
        <v>1.235</v>
      </c>
      <c r="N589" s="14" t="n">
        <v>5701.07</v>
      </c>
      <c r="O589" s="14" t="n">
        <v>1084.82</v>
      </c>
      <c r="P589" s="21" t="n">
        <v>0.155</v>
      </c>
      <c r="Q589" s="6" t="n">
        <v>60</v>
      </c>
      <c r="R589" s="6" t="s">
        <v>232</v>
      </c>
      <c r="S589" s="21" t="n">
        <v>1</v>
      </c>
      <c r="T589" s="14" t="n">
        <v>5701.07</v>
      </c>
      <c r="U589" s="6" t="s">
        <v>21</v>
      </c>
    </row>
    <row r="590" customFormat="false" ht="15" hidden="false" customHeight="true" outlineLevel="0" collapsed="false">
      <c r="A590" s="6" t="s">
        <v>1373</v>
      </c>
      <c r="B590" s="6" t="s">
        <v>1374</v>
      </c>
      <c r="C590" s="6" t="s">
        <v>128</v>
      </c>
      <c r="D590" s="6" t="s">
        <v>401</v>
      </c>
      <c r="E590" s="6" t="s">
        <v>173</v>
      </c>
      <c r="F590" s="13" t="n">
        <v>44844</v>
      </c>
      <c r="G590" s="13" t="n">
        <v>44944</v>
      </c>
      <c r="H590" s="14" t="n">
        <v>68592.65</v>
      </c>
      <c r="I590" s="6" t="n">
        <v>1</v>
      </c>
      <c r="J590" s="6" t="n">
        <v>725</v>
      </c>
      <c r="K590" s="6" t="s">
        <v>185</v>
      </c>
      <c r="L590" s="14" t="n">
        <v>12189.39</v>
      </c>
      <c r="M590" s="22" t="n">
        <v>1.094</v>
      </c>
      <c r="N590" s="14" t="n">
        <v>13335.19</v>
      </c>
      <c r="O590" s="14" t="n">
        <v>1145.8</v>
      </c>
      <c r="P590" s="21" t="n">
        <v>0.058</v>
      </c>
      <c r="Q590" s="6" t="n">
        <v>100</v>
      </c>
      <c r="R590" s="6" t="s">
        <v>155</v>
      </c>
      <c r="S590" s="21" t="n">
        <v>0.925</v>
      </c>
      <c r="T590" s="14" t="n">
        <v>12335.05</v>
      </c>
      <c r="U590" s="6" t="s">
        <v>20</v>
      </c>
    </row>
    <row r="591" customFormat="false" ht="15" hidden="false" customHeight="true" outlineLevel="0" collapsed="false">
      <c r="A591" s="6" t="s">
        <v>1375</v>
      </c>
      <c r="B591" s="6" t="s">
        <v>1376</v>
      </c>
      <c r="C591" s="6" t="s">
        <v>120</v>
      </c>
      <c r="D591" s="6" t="s">
        <v>210</v>
      </c>
      <c r="E591" s="6" t="s">
        <v>153</v>
      </c>
      <c r="F591" s="13" t="n">
        <v>44704</v>
      </c>
      <c r="G591" s="13" t="n">
        <v>44766</v>
      </c>
      <c r="H591" s="14" t="n">
        <v>10037.95</v>
      </c>
      <c r="I591" s="6" t="n">
        <v>0</v>
      </c>
      <c r="J591" s="6" t="n">
        <v>698</v>
      </c>
      <c r="K591" s="6" t="s">
        <v>160</v>
      </c>
      <c r="L591" s="14" t="n">
        <v>2372.66</v>
      </c>
      <c r="M591" s="22" t="n">
        <v>1.228</v>
      </c>
      <c r="N591" s="14" t="n">
        <v>2913.63</v>
      </c>
      <c r="O591" s="14" t="n">
        <v>540.97</v>
      </c>
      <c r="P591" s="21" t="n">
        <v>0.139</v>
      </c>
      <c r="Q591" s="6" t="n">
        <v>62</v>
      </c>
      <c r="R591" s="6" t="s">
        <v>161</v>
      </c>
      <c r="S591" s="21" t="n">
        <v>1</v>
      </c>
      <c r="T591" s="14" t="n">
        <v>2913.63</v>
      </c>
      <c r="U591" s="6" t="s">
        <v>15</v>
      </c>
    </row>
    <row r="592" customFormat="false" ht="15" hidden="false" customHeight="true" outlineLevel="0" collapsed="false">
      <c r="A592" s="6" t="s">
        <v>1377</v>
      </c>
      <c r="B592" s="6" t="s">
        <v>1378</v>
      </c>
      <c r="C592" s="6" t="s">
        <v>128</v>
      </c>
      <c r="D592" s="6" t="s">
        <v>172</v>
      </c>
      <c r="E592" s="6" t="s">
        <v>169</v>
      </c>
      <c r="F592" s="13" t="n">
        <v>45846</v>
      </c>
      <c r="G592" s="13" t="n">
        <v>45906</v>
      </c>
      <c r="H592" s="14" t="n">
        <v>42684.47</v>
      </c>
      <c r="I592" s="6" t="n">
        <v>0</v>
      </c>
      <c r="J592" s="6" t="n">
        <v>529</v>
      </c>
      <c r="K592" s="6" t="s">
        <v>160</v>
      </c>
      <c r="L592" s="14" t="n">
        <v>8203.85</v>
      </c>
      <c r="M592" s="22" t="n">
        <v>1.233</v>
      </c>
      <c r="N592" s="14" t="n">
        <v>10115.35</v>
      </c>
      <c r="O592" s="14" t="n">
        <v>1911.5</v>
      </c>
      <c r="P592" s="21" t="n">
        <v>0.179</v>
      </c>
      <c r="Q592" s="6" t="n">
        <v>60</v>
      </c>
      <c r="R592" s="6" t="s">
        <v>161</v>
      </c>
      <c r="S592" s="21" t="n">
        <v>1</v>
      </c>
      <c r="T592" s="14" t="n">
        <v>10115.35</v>
      </c>
      <c r="U592" s="6" t="s">
        <v>53</v>
      </c>
    </row>
    <row r="593" customFormat="false" ht="15" hidden="false" customHeight="true" outlineLevel="0" collapsed="false">
      <c r="A593" s="6" t="s">
        <v>1379</v>
      </c>
      <c r="B593" s="6" t="s">
        <v>1380</v>
      </c>
      <c r="C593" s="6" t="s">
        <v>131</v>
      </c>
      <c r="D593" s="6" t="s">
        <v>200</v>
      </c>
      <c r="E593" s="6" t="s">
        <v>192</v>
      </c>
      <c r="F593" s="13" t="n">
        <v>45860</v>
      </c>
      <c r="G593" s="13" t="n">
        <v>46078</v>
      </c>
      <c r="H593" s="14" t="n">
        <v>100404.23</v>
      </c>
      <c r="I593" s="6" t="n">
        <v>0</v>
      </c>
      <c r="J593" s="6" t="n">
        <v>780</v>
      </c>
      <c r="K593" s="6" t="s">
        <v>160</v>
      </c>
      <c r="L593" s="14" t="n">
        <v>47908.85</v>
      </c>
      <c r="M593" s="22" t="n">
        <v>1.193</v>
      </c>
      <c r="N593" s="14" t="n">
        <v>57155.26</v>
      </c>
      <c r="O593" s="14" t="n">
        <v>9246.41</v>
      </c>
      <c r="P593" s="21" t="n">
        <v>0.078</v>
      </c>
      <c r="Q593" s="6" t="n">
        <v>218</v>
      </c>
      <c r="R593" s="6" t="s">
        <v>161</v>
      </c>
      <c r="S593" s="21" t="n">
        <v>1</v>
      </c>
      <c r="T593" s="14" t="n">
        <v>57155.26</v>
      </c>
      <c r="U593" s="6" t="s">
        <v>53</v>
      </c>
    </row>
    <row r="594" customFormat="false" ht="15" hidden="false" customHeight="true" outlineLevel="0" collapsed="false">
      <c r="A594" s="6" t="s">
        <v>1381</v>
      </c>
      <c r="B594" s="6" t="s">
        <v>1382</v>
      </c>
      <c r="C594" s="6" t="s">
        <v>124</v>
      </c>
      <c r="D594" s="6" t="s">
        <v>180</v>
      </c>
      <c r="E594" s="6" t="s">
        <v>254</v>
      </c>
      <c r="F594" s="13" t="n">
        <v>45336</v>
      </c>
      <c r="G594" s="13" t="n">
        <v>45396</v>
      </c>
      <c r="H594" s="14" t="n">
        <v>38384.09</v>
      </c>
      <c r="I594" s="6" t="n">
        <v>0</v>
      </c>
      <c r="J594" s="6" t="n">
        <v>587</v>
      </c>
      <c r="K594" s="6" t="s">
        <v>160</v>
      </c>
      <c r="L594" s="14" t="n">
        <v>6352.9</v>
      </c>
      <c r="M594" s="22" t="n">
        <v>1.193</v>
      </c>
      <c r="N594" s="14" t="n">
        <v>7579.01</v>
      </c>
      <c r="O594" s="14" t="n">
        <v>1226.11</v>
      </c>
      <c r="P594" s="21" t="n">
        <v>0.146</v>
      </c>
      <c r="Q594" s="6" t="n">
        <v>60</v>
      </c>
      <c r="R594" s="6" t="s">
        <v>161</v>
      </c>
      <c r="S594" s="21" t="n">
        <v>1</v>
      </c>
      <c r="T594" s="14" t="n">
        <v>7579.01</v>
      </c>
      <c r="U594" s="6" t="s">
        <v>36</v>
      </c>
    </row>
    <row r="595" customFormat="false" ht="15" hidden="false" customHeight="true" outlineLevel="0" collapsed="false">
      <c r="A595" s="6" t="s">
        <v>1383</v>
      </c>
      <c r="B595" s="6" t="s">
        <v>1384</v>
      </c>
      <c r="C595" s="6" t="s">
        <v>131</v>
      </c>
      <c r="D595" s="6" t="s">
        <v>152</v>
      </c>
      <c r="E595" s="6" t="s">
        <v>195</v>
      </c>
      <c r="F595" s="13" t="n">
        <v>45931</v>
      </c>
      <c r="G595" s="13" t="n">
        <v>46010</v>
      </c>
      <c r="H595" s="14" t="n">
        <v>32460.23</v>
      </c>
      <c r="I595" s="6" t="n">
        <v>2</v>
      </c>
      <c r="J595" s="6" t="n">
        <v>658</v>
      </c>
      <c r="K595" s="6" t="s">
        <v>160</v>
      </c>
      <c r="L595" s="14" t="n">
        <v>6325.94</v>
      </c>
      <c r="M595" s="22" t="n">
        <v>1.12</v>
      </c>
      <c r="N595" s="14" t="n">
        <v>7085.05</v>
      </c>
      <c r="O595" s="14" t="n">
        <v>759.11</v>
      </c>
      <c r="P595" s="21" t="n">
        <v>0.082</v>
      </c>
      <c r="Q595" s="6" t="n">
        <v>79</v>
      </c>
      <c r="R595" s="6" t="s">
        <v>161</v>
      </c>
      <c r="S595" s="21" t="n">
        <v>1</v>
      </c>
      <c r="T595" s="14" t="n">
        <v>7085.05</v>
      </c>
      <c r="U595" s="6" t="s">
        <v>56</v>
      </c>
    </row>
    <row r="596" customFormat="false" ht="15" hidden="false" customHeight="true" outlineLevel="0" collapsed="false">
      <c r="A596" s="6" t="s">
        <v>1385</v>
      </c>
      <c r="B596" s="6" t="s">
        <v>1386</v>
      </c>
      <c r="C596" s="6" t="s">
        <v>112</v>
      </c>
      <c r="D596" s="6" t="s">
        <v>164</v>
      </c>
      <c r="E596" s="6" t="s">
        <v>195</v>
      </c>
      <c r="F596" s="13" t="n">
        <v>44730</v>
      </c>
      <c r="G596" s="13" t="n">
        <v>44803</v>
      </c>
      <c r="H596" s="14" t="n">
        <v>205607.2</v>
      </c>
      <c r="I596" s="6" t="n">
        <v>5</v>
      </c>
      <c r="J596" s="6" t="n">
        <v>558</v>
      </c>
      <c r="K596" s="6" t="s">
        <v>160</v>
      </c>
      <c r="L596" s="14" t="n">
        <v>65388.94</v>
      </c>
      <c r="M596" s="22" t="n">
        <v>1.133</v>
      </c>
      <c r="N596" s="14" t="n">
        <v>74085.67</v>
      </c>
      <c r="O596" s="14" t="n">
        <v>8696.73</v>
      </c>
      <c r="P596" s="21" t="n">
        <v>0.147</v>
      </c>
      <c r="Q596" s="6" t="n">
        <v>73</v>
      </c>
      <c r="R596" s="6" t="s">
        <v>155</v>
      </c>
      <c r="S596" s="21" t="n">
        <v>0.765</v>
      </c>
      <c r="T596" s="14" t="n">
        <v>56675.54</v>
      </c>
      <c r="U596" s="6" t="s">
        <v>16</v>
      </c>
    </row>
    <row r="597" customFormat="false" ht="15" hidden="false" customHeight="true" outlineLevel="0" collapsed="false">
      <c r="A597" s="6" t="s">
        <v>1387</v>
      </c>
      <c r="B597" s="6" t="s">
        <v>1388</v>
      </c>
      <c r="C597" s="6" t="s">
        <v>128</v>
      </c>
      <c r="D597" s="6" t="s">
        <v>401</v>
      </c>
      <c r="E597" s="6" t="s">
        <v>173</v>
      </c>
      <c r="F597" s="13" t="n">
        <v>44801</v>
      </c>
      <c r="G597" s="13" t="n">
        <v>44861</v>
      </c>
      <c r="H597" s="14" t="n">
        <v>228805.43</v>
      </c>
      <c r="I597" s="6" t="n">
        <v>0</v>
      </c>
      <c r="J597" s="6" t="n">
        <v>529</v>
      </c>
      <c r="K597" s="6" t="s">
        <v>160</v>
      </c>
      <c r="L597" s="14" t="n">
        <v>16434.22</v>
      </c>
      <c r="M597" s="22" t="n">
        <v>1.16</v>
      </c>
      <c r="N597" s="14" t="n">
        <v>19063.7</v>
      </c>
      <c r="O597" s="14" t="n">
        <v>2629.48</v>
      </c>
      <c r="P597" s="21" t="n">
        <v>0.172</v>
      </c>
      <c r="Q597" s="6" t="n">
        <v>60</v>
      </c>
      <c r="R597" s="6" t="s">
        <v>155</v>
      </c>
      <c r="S597" s="21" t="n">
        <v>0.963</v>
      </c>
      <c r="T597" s="14" t="n">
        <v>18358.34</v>
      </c>
      <c r="U597" s="6" t="s">
        <v>18</v>
      </c>
    </row>
    <row r="598" customFormat="false" ht="15" hidden="false" customHeight="true" outlineLevel="0" collapsed="false">
      <c r="A598" s="6" t="s">
        <v>1389</v>
      </c>
      <c r="B598" s="6" t="s">
        <v>1390</v>
      </c>
      <c r="C598" s="6" t="s">
        <v>112</v>
      </c>
      <c r="D598" s="6" t="s">
        <v>164</v>
      </c>
      <c r="E598" s="6" t="s">
        <v>195</v>
      </c>
      <c r="F598" s="13" t="n">
        <v>44808</v>
      </c>
      <c r="G598" s="13" t="n">
        <v>45023</v>
      </c>
      <c r="H598" s="14" t="n">
        <v>148803.93</v>
      </c>
      <c r="I598" s="6" t="n">
        <v>0</v>
      </c>
      <c r="J598" s="6" t="n">
        <v>813</v>
      </c>
      <c r="K598" s="6" t="s">
        <v>185</v>
      </c>
      <c r="L598" s="14" t="n">
        <v>46258.74</v>
      </c>
      <c r="M598" s="22" t="n">
        <v>1.178</v>
      </c>
      <c r="N598" s="14" t="n">
        <v>54492.8</v>
      </c>
      <c r="O598" s="14" t="n">
        <v>8234.06</v>
      </c>
      <c r="P598" s="21" t="n">
        <v>0.051</v>
      </c>
      <c r="Q598" s="6" t="n">
        <v>215</v>
      </c>
      <c r="R598" s="6" t="s">
        <v>155</v>
      </c>
      <c r="S598" s="21" t="n">
        <v>0.98</v>
      </c>
      <c r="T598" s="14" t="n">
        <v>53402.94</v>
      </c>
      <c r="U598" s="6" t="s">
        <v>19</v>
      </c>
    </row>
    <row r="599" customFormat="false" ht="15" hidden="false" customHeight="true" outlineLevel="0" collapsed="false">
      <c r="A599" s="6" t="s">
        <v>1391</v>
      </c>
      <c r="B599" s="6" t="s">
        <v>1392</v>
      </c>
      <c r="C599" s="6" t="s">
        <v>128</v>
      </c>
      <c r="D599" s="6" t="s">
        <v>172</v>
      </c>
      <c r="E599" s="6" t="s">
        <v>165</v>
      </c>
      <c r="F599" s="13" t="n">
        <v>45959</v>
      </c>
      <c r="G599" s="13" t="n">
        <v>46019</v>
      </c>
      <c r="H599" s="14" t="n">
        <v>153796.49</v>
      </c>
      <c r="I599" s="6" t="n">
        <v>2</v>
      </c>
      <c r="J599" s="6" t="n">
        <v>676</v>
      </c>
      <c r="K599" s="6" t="s">
        <v>185</v>
      </c>
      <c r="L599" s="14" t="n">
        <v>29233.68</v>
      </c>
      <c r="M599" s="22" t="n">
        <v>1.085</v>
      </c>
      <c r="N599" s="14" t="n">
        <v>31718.54</v>
      </c>
      <c r="O599" s="14" t="n">
        <v>2484.86</v>
      </c>
      <c r="P599" s="21" t="n">
        <v>0.154</v>
      </c>
      <c r="Q599" s="6" t="n">
        <v>60</v>
      </c>
      <c r="R599" s="6" t="s">
        <v>161</v>
      </c>
      <c r="S599" s="21" t="n">
        <v>1</v>
      </c>
      <c r="T599" s="14" t="n">
        <v>31718.54</v>
      </c>
      <c r="U599" s="6" t="s">
        <v>56</v>
      </c>
    </row>
    <row r="600" customFormat="false" ht="15" hidden="false" customHeight="true" outlineLevel="0" collapsed="false">
      <c r="A600" s="6" t="s">
        <v>1393</v>
      </c>
      <c r="B600" s="6" t="s">
        <v>1394</v>
      </c>
      <c r="C600" s="6" t="s">
        <v>112</v>
      </c>
      <c r="D600" s="6" t="s">
        <v>172</v>
      </c>
      <c r="E600" s="6" t="s">
        <v>181</v>
      </c>
      <c r="F600" s="13" t="n">
        <v>45890</v>
      </c>
      <c r="G600" s="13" t="n">
        <v>45992</v>
      </c>
      <c r="H600" s="14" t="n">
        <v>224505.09</v>
      </c>
      <c r="I600" s="6" t="n">
        <v>3</v>
      </c>
      <c r="J600" s="6" t="n">
        <v>624</v>
      </c>
      <c r="K600" s="6" t="s">
        <v>154</v>
      </c>
      <c r="L600" s="14" t="n">
        <v>37979.51</v>
      </c>
      <c r="M600" s="22" t="n">
        <v>1.133</v>
      </c>
      <c r="N600" s="14" t="n">
        <v>43030.78</v>
      </c>
      <c r="O600" s="14" t="n">
        <v>5051.27</v>
      </c>
      <c r="P600" s="21" t="n">
        <v>0.056</v>
      </c>
      <c r="Q600" s="6" t="n">
        <v>102</v>
      </c>
      <c r="R600" s="6" t="s">
        <v>161</v>
      </c>
      <c r="S600" s="21" t="n">
        <v>1</v>
      </c>
      <c r="T600" s="14" t="n">
        <v>43030.78</v>
      </c>
      <c r="U600" s="6" t="s">
        <v>54</v>
      </c>
    </row>
    <row r="601" customFormat="false" ht="15" hidden="false" customHeight="true" outlineLevel="0" collapsed="false">
      <c r="A601" s="6" t="s">
        <v>1395</v>
      </c>
      <c r="B601" s="6" t="s">
        <v>1396</v>
      </c>
      <c r="C601" s="6" t="s">
        <v>112</v>
      </c>
      <c r="D601" s="6" t="s">
        <v>164</v>
      </c>
      <c r="E601" s="6" t="s">
        <v>159</v>
      </c>
      <c r="F601" s="13" t="n">
        <v>45356</v>
      </c>
      <c r="G601" s="13" t="n">
        <v>45426</v>
      </c>
      <c r="H601" s="14" t="n">
        <v>19337.87</v>
      </c>
      <c r="I601" s="6" t="n">
        <v>0</v>
      </c>
      <c r="J601" s="6" t="n">
        <v>792</v>
      </c>
      <c r="K601" s="6" t="s">
        <v>185</v>
      </c>
      <c r="L601" s="14" t="n">
        <v>4256.85</v>
      </c>
      <c r="M601" s="22" t="n">
        <v>1.298</v>
      </c>
      <c r="N601" s="14" t="n">
        <v>5525.39</v>
      </c>
      <c r="O601" s="14" t="n">
        <v>1268.54</v>
      </c>
      <c r="P601" s="21" t="n">
        <v>0.122</v>
      </c>
      <c r="Q601" s="6" t="n">
        <v>70</v>
      </c>
      <c r="R601" s="6" t="s">
        <v>161</v>
      </c>
      <c r="S601" s="21" t="n">
        <v>1</v>
      </c>
      <c r="T601" s="14" t="n">
        <v>5525.39</v>
      </c>
      <c r="U601" s="6" t="s">
        <v>37</v>
      </c>
    </row>
    <row r="602" customFormat="false" ht="15" hidden="false" customHeight="true" outlineLevel="0" collapsed="false">
      <c r="A602" s="6" t="s">
        <v>1397</v>
      </c>
      <c r="B602" s="6" t="s">
        <v>1398</v>
      </c>
      <c r="C602" s="6" t="s">
        <v>116</v>
      </c>
      <c r="D602" s="6" t="s">
        <v>222</v>
      </c>
      <c r="E602" s="6" t="s">
        <v>169</v>
      </c>
      <c r="F602" s="13" t="n">
        <v>44789</v>
      </c>
      <c r="G602" s="13" t="n">
        <v>44849</v>
      </c>
      <c r="H602" s="14" t="n">
        <v>206503.62</v>
      </c>
      <c r="I602" s="6" t="n">
        <v>1</v>
      </c>
      <c r="J602" s="6" t="n">
        <v>636</v>
      </c>
      <c r="K602" s="6" t="s">
        <v>154</v>
      </c>
      <c r="L602" s="14" t="n">
        <v>33428.85</v>
      </c>
      <c r="M602" s="22" t="n">
        <v>1.171</v>
      </c>
      <c r="N602" s="14" t="n">
        <v>39145.18</v>
      </c>
      <c r="O602" s="14" t="n">
        <v>5716.33</v>
      </c>
      <c r="P602" s="21" t="n">
        <v>0.147</v>
      </c>
      <c r="Q602" s="6" t="n">
        <v>60</v>
      </c>
      <c r="R602" s="6" t="s">
        <v>155</v>
      </c>
      <c r="S602" s="21" t="n">
        <v>0.97</v>
      </c>
      <c r="T602" s="14" t="n">
        <v>37970.82</v>
      </c>
      <c r="U602" s="6" t="s">
        <v>18</v>
      </c>
    </row>
    <row r="603" customFormat="false" ht="15" hidden="false" customHeight="true" outlineLevel="0" collapsed="false">
      <c r="A603" s="6" t="s">
        <v>1399</v>
      </c>
      <c r="B603" s="6" t="s">
        <v>1400</v>
      </c>
      <c r="C603" s="6" t="s">
        <v>116</v>
      </c>
      <c r="D603" s="6" t="s">
        <v>152</v>
      </c>
      <c r="E603" s="6" t="s">
        <v>165</v>
      </c>
      <c r="F603" s="13" t="n">
        <v>45295</v>
      </c>
      <c r="G603" s="13" t="n">
        <v>45463</v>
      </c>
      <c r="H603" s="14" t="n">
        <v>12564.31</v>
      </c>
      <c r="I603" s="6" t="n">
        <v>0</v>
      </c>
      <c r="J603" s="6" t="n">
        <v>594</v>
      </c>
      <c r="K603" s="6" t="s">
        <v>160</v>
      </c>
      <c r="L603" s="14" t="n">
        <v>3970.84</v>
      </c>
      <c r="M603" s="22" t="n">
        <v>1.205</v>
      </c>
      <c r="N603" s="14" t="n">
        <v>4784.86</v>
      </c>
      <c r="O603" s="14" t="n">
        <v>814.02</v>
      </c>
      <c r="P603" s="21" t="n">
        <v>0.068</v>
      </c>
      <c r="Q603" s="6" t="n">
        <v>168</v>
      </c>
      <c r="R603" s="6" t="s">
        <v>155</v>
      </c>
      <c r="S603" s="21" t="n">
        <v>0.736</v>
      </c>
      <c r="T603" s="14" t="n">
        <v>3521.66</v>
      </c>
      <c r="U603" s="6" t="s">
        <v>35</v>
      </c>
    </row>
    <row r="604" customFormat="false" ht="15" hidden="false" customHeight="true" outlineLevel="0" collapsed="false">
      <c r="A604" s="6" t="s">
        <v>1401</v>
      </c>
      <c r="B604" s="6" t="s">
        <v>1402</v>
      </c>
      <c r="C604" s="6" t="s">
        <v>116</v>
      </c>
      <c r="D604" s="6" t="s">
        <v>206</v>
      </c>
      <c r="E604" s="6" t="s">
        <v>326</v>
      </c>
      <c r="F604" s="13" t="n">
        <v>45594</v>
      </c>
      <c r="G604" s="13" t="n">
        <v>45654</v>
      </c>
      <c r="H604" s="14" t="n">
        <v>241988.62</v>
      </c>
      <c r="I604" s="6" t="n">
        <v>1</v>
      </c>
      <c r="J604" s="6" t="n">
        <v>634</v>
      </c>
      <c r="K604" s="6" t="s">
        <v>160</v>
      </c>
      <c r="L604" s="14" t="n">
        <v>37959.55</v>
      </c>
      <c r="M604" s="22" t="n">
        <v>1.321</v>
      </c>
      <c r="N604" s="14" t="n">
        <v>50144.57</v>
      </c>
      <c r="O604" s="14" t="n">
        <v>12185.02</v>
      </c>
      <c r="P604" s="21" t="n">
        <v>0.106</v>
      </c>
      <c r="Q604" s="6" t="n">
        <v>60</v>
      </c>
      <c r="R604" s="6" t="s">
        <v>155</v>
      </c>
      <c r="S604" s="21" t="n">
        <v>0.913</v>
      </c>
      <c r="T604" s="14" t="n">
        <v>45781.99</v>
      </c>
      <c r="U604" s="6" t="s">
        <v>44</v>
      </c>
    </row>
    <row r="605" customFormat="false" ht="15" hidden="false" customHeight="true" outlineLevel="0" collapsed="false">
      <c r="A605" s="6" t="s">
        <v>1403</v>
      </c>
      <c r="B605" s="6" t="s">
        <v>1404</v>
      </c>
      <c r="C605" s="6" t="s">
        <v>128</v>
      </c>
      <c r="D605" s="6" t="s">
        <v>401</v>
      </c>
      <c r="E605" s="6" t="s">
        <v>254</v>
      </c>
      <c r="F605" s="13" t="n">
        <v>45205</v>
      </c>
      <c r="G605" s="13" t="n">
        <v>45276</v>
      </c>
      <c r="H605" s="14" t="n">
        <v>122772.22</v>
      </c>
      <c r="I605" s="6" t="n">
        <v>1</v>
      </c>
      <c r="J605" s="6" t="n">
        <v>738</v>
      </c>
      <c r="K605" s="6" t="s">
        <v>160</v>
      </c>
      <c r="L605" s="14" t="n">
        <v>32973.48</v>
      </c>
      <c r="M605" s="22" t="n">
        <v>1.337</v>
      </c>
      <c r="N605" s="14" t="n">
        <v>44085.54</v>
      </c>
      <c r="O605" s="14" t="n">
        <v>11112.06</v>
      </c>
      <c r="P605" s="21" t="n">
        <v>0.151</v>
      </c>
      <c r="Q605" s="6" t="n">
        <v>71</v>
      </c>
      <c r="R605" s="6" t="s">
        <v>155</v>
      </c>
      <c r="S605" s="21" t="n">
        <v>0.93</v>
      </c>
      <c r="T605" s="14" t="n">
        <v>40999.55</v>
      </c>
      <c r="U605" s="6" t="s">
        <v>32</v>
      </c>
    </row>
    <row r="606" customFormat="false" ht="15" hidden="false" customHeight="true" outlineLevel="0" collapsed="false">
      <c r="A606" s="6" t="s">
        <v>1405</v>
      </c>
      <c r="B606" s="6" t="s">
        <v>1406</v>
      </c>
      <c r="C606" s="6" t="s">
        <v>124</v>
      </c>
      <c r="D606" s="6" t="s">
        <v>238</v>
      </c>
      <c r="E606" s="6" t="s">
        <v>288</v>
      </c>
      <c r="F606" s="13" t="n">
        <v>45321</v>
      </c>
      <c r="G606" s="13" t="n">
        <v>45381</v>
      </c>
      <c r="H606" s="14" t="n">
        <v>22431.98</v>
      </c>
      <c r="I606" s="6" t="n">
        <v>0</v>
      </c>
      <c r="J606" s="6" t="n">
        <v>802</v>
      </c>
      <c r="K606" s="6" t="s">
        <v>160</v>
      </c>
      <c r="L606" s="14" t="n">
        <v>4123</v>
      </c>
      <c r="M606" s="22" t="n">
        <v>1.1</v>
      </c>
      <c r="N606" s="14" t="n">
        <v>4535.3</v>
      </c>
      <c r="O606" s="14" t="n">
        <v>412.3</v>
      </c>
      <c r="P606" s="21" t="n">
        <v>0.11</v>
      </c>
      <c r="Q606" s="6" t="n">
        <v>60</v>
      </c>
      <c r="R606" s="6" t="s">
        <v>161</v>
      </c>
      <c r="S606" s="21" t="n">
        <v>1</v>
      </c>
      <c r="T606" s="14" t="n">
        <v>4535.3</v>
      </c>
      <c r="U606" s="6" t="s">
        <v>35</v>
      </c>
    </row>
    <row r="607" customFormat="false" ht="15" hidden="false" customHeight="true" outlineLevel="0" collapsed="false">
      <c r="A607" s="6" t="s">
        <v>1407</v>
      </c>
      <c r="B607" s="6" t="s">
        <v>1408</v>
      </c>
      <c r="C607" s="6" t="s">
        <v>128</v>
      </c>
      <c r="D607" s="6" t="s">
        <v>172</v>
      </c>
      <c r="E607" s="6" t="s">
        <v>304</v>
      </c>
      <c r="F607" s="13" t="n">
        <v>44931</v>
      </c>
      <c r="G607" s="13" t="n">
        <v>45050</v>
      </c>
      <c r="H607" s="14" t="n">
        <v>98700.85</v>
      </c>
      <c r="I607" s="6" t="n">
        <v>4</v>
      </c>
      <c r="J607" s="6" t="n">
        <v>767</v>
      </c>
      <c r="K607" s="6" t="s">
        <v>154</v>
      </c>
      <c r="L607" s="14" t="n">
        <v>18783.52</v>
      </c>
      <c r="M607" s="22" t="n">
        <v>1.128</v>
      </c>
      <c r="N607" s="14" t="n">
        <v>21187.81</v>
      </c>
      <c r="O607" s="14" t="n">
        <v>2404.29</v>
      </c>
      <c r="P607" s="21" t="n">
        <v>0.054</v>
      </c>
      <c r="Q607" s="6" t="n">
        <v>119</v>
      </c>
      <c r="R607" s="6" t="s">
        <v>309</v>
      </c>
      <c r="S607" s="21" t="n">
        <v>0.597</v>
      </c>
      <c r="T607" s="14" t="n">
        <v>12649.12</v>
      </c>
      <c r="U607" s="6" t="s">
        <v>23</v>
      </c>
    </row>
    <row r="608" customFormat="false" ht="15" hidden="false" customHeight="true" outlineLevel="0" collapsed="false">
      <c r="A608" s="6" t="s">
        <v>1409</v>
      </c>
      <c r="B608" s="6" t="s">
        <v>1410</v>
      </c>
      <c r="C608" s="6" t="s">
        <v>112</v>
      </c>
      <c r="D608" s="6" t="s">
        <v>164</v>
      </c>
      <c r="E608" s="6" t="s">
        <v>153</v>
      </c>
      <c r="F608" s="13" t="n">
        <v>45744</v>
      </c>
      <c r="G608" s="13" t="n">
        <v>45830</v>
      </c>
      <c r="H608" s="14" t="n">
        <v>235809.68</v>
      </c>
      <c r="I608" s="6" t="n">
        <v>0</v>
      </c>
      <c r="J608" s="6" t="n">
        <v>563</v>
      </c>
      <c r="K608" s="6" t="s">
        <v>160</v>
      </c>
      <c r="L608" s="14" t="n">
        <v>50651.88</v>
      </c>
      <c r="M608" s="22" t="n">
        <v>1.149</v>
      </c>
      <c r="N608" s="14" t="n">
        <v>58199.01</v>
      </c>
      <c r="O608" s="14" t="n">
        <v>7547.13</v>
      </c>
      <c r="P608" s="21" t="n">
        <v>0.086</v>
      </c>
      <c r="Q608" s="6" t="n">
        <v>86</v>
      </c>
      <c r="R608" s="6" t="s">
        <v>155</v>
      </c>
      <c r="S608" s="21" t="n">
        <v>0.74</v>
      </c>
      <c r="T608" s="14" t="n">
        <v>43067.27</v>
      </c>
      <c r="U608" s="6" t="s">
        <v>49</v>
      </c>
    </row>
    <row r="609" customFormat="false" ht="15" hidden="false" customHeight="true" outlineLevel="0" collapsed="false">
      <c r="A609" s="6" t="s">
        <v>1411</v>
      </c>
      <c r="B609" s="6" t="s">
        <v>1412</v>
      </c>
      <c r="C609" s="6" t="s">
        <v>124</v>
      </c>
      <c r="D609" s="6" t="s">
        <v>238</v>
      </c>
      <c r="E609" s="6" t="s">
        <v>326</v>
      </c>
      <c r="F609" s="13" t="n">
        <v>45441</v>
      </c>
      <c r="G609" s="13" t="n">
        <v>45501</v>
      </c>
      <c r="H609" s="14" t="n">
        <v>216405.31</v>
      </c>
      <c r="I609" s="6" t="n">
        <v>0</v>
      </c>
      <c r="J609" s="6" t="n">
        <v>683</v>
      </c>
      <c r="K609" s="6" t="s">
        <v>185</v>
      </c>
      <c r="L609" s="14" t="n">
        <v>38068.44</v>
      </c>
      <c r="M609" s="22" t="n">
        <v>1.161</v>
      </c>
      <c r="N609" s="14" t="n">
        <v>44197.46</v>
      </c>
      <c r="O609" s="14" t="n">
        <v>6129.02</v>
      </c>
      <c r="P609" s="21" t="n">
        <v>0.15</v>
      </c>
      <c r="Q609" s="6" t="n">
        <v>60</v>
      </c>
      <c r="R609" s="6" t="s">
        <v>155</v>
      </c>
      <c r="S609" s="21" t="n">
        <v>0.98</v>
      </c>
      <c r="T609" s="14" t="n">
        <v>43313.51</v>
      </c>
      <c r="U609" s="6" t="s">
        <v>39</v>
      </c>
    </row>
    <row r="610" customFormat="false" ht="15" hidden="false" customHeight="true" outlineLevel="0" collapsed="false">
      <c r="A610" s="6" t="s">
        <v>1413</v>
      </c>
      <c r="B610" s="6" t="s">
        <v>1414</v>
      </c>
      <c r="C610" s="6" t="s">
        <v>128</v>
      </c>
      <c r="D610" s="6" t="s">
        <v>235</v>
      </c>
      <c r="E610" s="6" t="s">
        <v>192</v>
      </c>
      <c r="F610" s="13" t="n">
        <v>44582</v>
      </c>
      <c r="G610" s="13" t="n">
        <v>44811</v>
      </c>
      <c r="H610" s="14" t="n">
        <v>205487.62</v>
      </c>
      <c r="I610" s="6" t="n">
        <v>1</v>
      </c>
      <c r="J610" s="6" t="n">
        <v>658</v>
      </c>
      <c r="K610" s="6" t="s">
        <v>160</v>
      </c>
      <c r="L610" s="14" t="n">
        <v>81110.67</v>
      </c>
      <c r="M610" s="22" t="n">
        <v>1.086</v>
      </c>
      <c r="N610" s="14" t="n">
        <v>88086.19</v>
      </c>
      <c r="O610" s="14" t="n">
        <v>6975.52</v>
      </c>
      <c r="P610" s="21" t="n">
        <v>0.056</v>
      </c>
      <c r="Q610" s="6" t="n">
        <v>229</v>
      </c>
      <c r="R610" s="6" t="s">
        <v>161</v>
      </c>
      <c r="S610" s="21" t="n">
        <v>1</v>
      </c>
      <c r="T610" s="14" t="n">
        <v>88086.19</v>
      </c>
      <c r="U610" s="6" t="s">
        <v>11</v>
      </c>
    </row>
    <row r="611" customFormat="false" ht="15" hidden="false" customHeight="true" outlineLevel="0" collapsed="false">
      <c r="A611" s="6" t="s">
        <v>1415</v>
      </c>
      <c r="B611" s="6" t="s">
        <v>1416</v>
      </c>
      <c r="C611" s="6" t="s">
        <v>116</v>
      </c>
      <c r="D611" s="6" t="s">
        <v>206</v>
      </c>
      <c r="E611" s="6" t="s">
        <v>304</v>
      </c>
      <c r="F611" s="13" t="n">
        <v>44803</v>
      </c>
      <c r="G611" s="13" t="n">
        <v>44888</v>
      </c>
      <c r="H611" s="14" t="n">
        <v>115528.11</v>
      </c>
      <c r="I611" s="6" t="n">
        <v>0</v>
      </c>
      <c r="J611" s="6" t="n">
        <v>692</v>
      </c>
      <c r="K611" s="6" t="s">
        <v>160</v>
      </c>
      <c r="L611" s="14" t="n">
        <v>46125.35</v>
      </c>
      <c r="M611" s="22" t="n">
        <v>1.246</v>
      </c>
      <c r="N611" s="14" t="n">
        <v>57472.19</v>
      </c>
      <c r="O611" s="14" t="n">
        <v>11346.84</v>
      </c>
      <c r="P611" s="21" t="n">
        <v>0.174</v>
      </c>
      <c r="Q611" s="6" t="n">
        <v>85</v>
      </c>
      <c r="R611" s="6" t="s">
        <v>155</v>
      </c>
      <c r="S611" s="21" t="n">
        <v>0.98</v>
      </c>
      <c r="T611" s="14" t="n">
        <v>56322.75</v>
      </c>
      <c r="U611" s="6" t="s">
        <v>18</v>
      </c>
    </row>
    <row r="612" customFormat="false" ht="15" hidden="false" customHeight="true" outlineLevel="0" collapsed="false">
      <c r="A612" s="6" t="s">
        <v>1417</v>
      </c>
      <c r="B612" s="6" t="s">
        <v>1418</v>
      </c>
      <c r="C612" s="6" t="s">
        <v>124</v>
      </c>
      <c r="D612" s="6" t="s">
        <v>180</v>
      </c>
      <c r="E612" s="6" t="s">
        <v>211</v>
      </c>
      <c r="F612" s="13" t="n">
        <v>45833</v>
      </c>
      <c r="G612" s="13" t="n">
        <v>45893</v>
      </c>
      <c r="H612" s="14" t="n">
        <v>85077.46</v>
      </c>
      <c r="I612" s="6" t="n">
        <v>2</v>
      </c>
      <c r="J612" s="6" t="n">
        <v>663</v>
      </c>
      <c r="K612" s="6" t="s">
        <v>185</v>
      </c>
      <c r="L612" s="14" t="n">
        <v>10980.46</v>
      </c>
      <c r="M612" s="22" t="n">
        <v>1.325</v>
      </c>
      <c r="N612" s="14" t="n">
        <v>14549.11</v>
      </c>
      <c r="O612" s="14" t="n">
        <v>3568.65</v>
      </c>
      <c r="P612" s="21" t="n">
        <v>0.141</v>
      </c>
      <c r="Q612" s="6" t="n">
        <v>60</v>
      </c>
      <c r="R612" s="6" t="s">
        <v>161</v>
      </c>
      <c r="S612" s="21" t="n">
        <v>1</v>
      </c>
      <c r="T612" s="14" t="n">
        <v>14549.11</v>
      </c>
      <c r="U612" s="6" t="s">
        <v>52</v>
      </c>
    </row>
    <row r="613" customFormat="false" ht="15" hidden="false" customHeight="true" outlineLevel="0" collapsed="false">
      <c r="A613" s="6" t="s">
        <v>1419</v>
      </c>
      <c r="B613" s="6" t="s">
        <v>1420</v>
      </c>
      <c r="C613" s="6" t="s">
        <v>112</v>
      </c>
      <c r="D613" s="6" t="s">
        <v>164</v>
      </c>
      <c r="E613" s="6" t="s">
        <v>159</v>
      </c>
      <c r="F613" s="13" t="n">
        <v>45175</v>
      </c>
      <c r="G613" s="13" t="n">
        <v>45235</v>
      </c>
      <c r="H613" s="14" t="n">
        <v>216134.48</v>
      </c>
      <c r="I613" s="6" t="n">
        <v>1</v>
      </c>
      <c r="J613" s="6" t="n">
        <v>602</v>
      </c>
      <c r="K613" s="6" t="s">
        <v>160</v>
      </c>
      <c r="L613" s="14" t="n">
        <v>39591.59</v>
      </c>
      <c r="M613" s="22" t="n">
        <v>1.107</v>
      </c>
      <c r="N613" s="14" t="n">
        <v>43827.89</v>
      </c>
      <c r="O613" s="14" t="n">
        <v>4236.3</v>
      </c>
      <c r="P613" s="21" t="n">
        <v>0.133</v>
      </c>
      <c r="Q613" s="6" t="n">
        <v>60</v>
      </c>
      <c r="R613" s="6" t="s">
        <v>155</v>
      </c>
      <c r="S613" s="21" t="n">
        <v>0.98</v>
      </c>
      <c r="T613" s="14" t="n">
        <v>42951.33</v>
      </c>
      <c r="U613" s="6" t="s">
        <v>31</v>
      </c>
    </row>
    <row r="614" customFormat="false" ht="15" hidden="false" customHeight="true" outlineLevel="0" collapsed="false">
      <c r="A614" s="6" t="s">
        <v>1421</v>
      </c>
      <c r="B614" s="6" t="s">
        <v>1422</v>
      </c>
      <c r="C614" s="6" t="s">
        <v>131</v>
      </c>
      <c r="D614" s="6" t="s">
        <v>200</v>
      </c>
      <c r="E614" s="6" t="s">
        <v>326</v>
      </c>
      <c r="F614" s="13" t="n">
        <v>45860</v>
      </c>
      <c r="G614" s="13" t="n">
        <v>45925</v>
      </c>
      <c r="H614" s="14" t="n">
        <v>199474.5</v>
      </c>
      <c r="I614" s="6" t="n">
        <v>1</v>
      </c>
      <c r="J614" s="6" t="n">
        <v>736</v>
      </c>
      <c r="K614" s="6" t="s">
        <v>154</v>
      </c>
      <c r="L614" s="14" t="n">
        <v>38052.92</v>
      </c>
      <c r="M614" s="22" t="n">
        <v>1.213</v>
      </c>
      <c r="N614" s="14" t="n">
        <v>46158.19</v>
      </c>
      <c r="O614" s="14" t="n">
        <v>8105.27</v>
      </c>
      <c r="P614" s="21" t="n">
        <v>0.106</v>
      </c>
      <c r="Q614" s="6" t="n">
        <v>65</v>
      </c>
      <c r="R614" s="6" t="s">
        <v>161</v>
      </c>
      <c r="S614" s="21" t="n">
        <v>1</v>
      </c>
      <c r="T614" s="14" t="n">
        <v>46158.19</v>
      </c>
      <c r="U614" s="6" t="s">
        <v>53</v>
      </c>
    </row>
    <row r="615" customFormat="false" ht="15" hidden="false" customHeight="true" outlineLevel="0" collapsed="false">
      <c r="A615" s="6" t="s">
        <v>1423</v>
      </c>
      <c r="B615" s="6" t="s">
        <v>1424</v>
      </c>
      <c r="C615" s="6" t="s">
        <v>124</v>
      </c>
      <c r="D615" s="6" t="s">
        <v>180</v>
      </c>
      <c r="E615" s="6" t="s">
        <v>304</v>
      </c>
      <c r="F615" s="13" t="n">
        <v>46148</v>
      </c>
      <c r="G615" s="13" t="n">
        <v>46254</v>
      </c>
      <c r="H615" s="14" t="n">
        <v>221787.74</v>
      </c>
      <c r="I615" s="6" t="n">
        <v>0</v>
      </c>
      <c r="J615" s="6" t="n">
        <v>661</v>
      </c>
      <c r="K615" s="6" t="s">
        <v>160</v>
      </c>
      <c r="L615" s="14" t="n">
        <v>72351.6</v>
      </c>
      <c r="M615" s="22" t="n">
        <v>1.304</v>
      </c>
      <c r="N615" s="14" t="n">
        <v>94346.49</v>
      </c>
      <c r="O615" s="14" t="n">
        <v>21994.89</v>
      </c>
      <c r="P615" s="21" t="n">
        <v>0.12</v>
      </c>
      <c r="Q615" s="6" t="n">
        <v>106</v>
      </c>
      <c r="R615" s="6" t="s">
        <v>161</v>
      </c>
      <c r="S615" s="21" t="n">
        <v>1</v>
      </c>
      <c r="T615" s="14" t="n">
        <v>94346.49</v>
      </c>
      <c r="U615" s="6" t="s">
        <v>63</v>
      </c>
    </row>
    <row r="616" customFormat="false" ht="15" hidden="false" customHeight="true" outlineLevel="0" collapsed="false">
      <c r="A616" s="6" t="s">
        <v>1425</v>
      </c>
      <c r="B616" s="6" t="s">
        <v>1426</v>
      </c>
      <c r="C616" s="6" t="s">
        <v>128</v>
      </c>
      <c r="D616" s="6" t="s">
        <v>172</v>
      </c>
      <c r="E616" s="6" t="s">
        <v>177</v>
      </c>
      <c r="F616" s="13" t="n">
        <v>44948</v>
      </c>
      <c r="G616" s="13" t="n">
        <v>45073</v>
      </c>
      <c r="H616" s="14" t="n">
        <v>184499.34</v>
      </c>
      <c r="I616" s="6" t="n">
        <v>2</v>
      </c>
      <c r="J616" s="6" t="n">
        <v>703</v>
      </c>
      <c r="K616" s="6" t="s">
        <v>160</v>
      </c>
      <c r="L616" s="14" t="n">
        <v>78290.4</v>
      </c>
      <c r="M616" s="22" t="n">
        <v>1.201</v>
      </c>
      <c r="N616" s="14" t="n">
        <v>94026.77</v>
      </c>
      <c r="O616" s="14" t="n">
        <v>15736.37</v>
      </c>
      <c r="P616" s="21" t="n">
        <v>0.122</v>
      </c>
      <c r="Q616" s="6" t="n">
        <v>125</v>
      </c>
      <c r="R616" s="6" t="s">
        <v>161</v>
      </c>
      <c r="S616" s="21" t="n">
        <v>1</v>
      </c>
      <c r="T616" s="14" t="n">
        <v>94026.77</v>
      </c>
      <c r="U616" s="6" t="s">
        <v>23</v>
      </c>
    </row>
    <row r="617" customFormat="false" ht="15" hidden="false" customHeight="true" outlineLevel="0" collapsed="false">
      <c r="A617" s="6" t="s">
        <v>1427</v>
      </c>
      <c r="B617" s="6" t="s">
        <v>1428</v>
      </c>
      <c r="C617" s="6" t="s">
        <v>112</v>
      </c>
      <c r="D617" s="6" t="s">
        <v>164</v>
      </c>
      <c r="E617" s="6" t="s">
        <v>181</v>
      </c>
      <c r="F617" s="13" t="n">
        <v>44734</v>
      </c>
      <c r="G617" s="13" t="n">
        <v>44794</v>
      </c>
      <c r="H617" s="14" t="n">
        <v>54997.68</v>
      </c>
      <c r="I617" s="6" t="n">
        <v>0</v>
      </c>
      <c r="J617" s="6" t="n">
        <v>768</v>
      </c>
      <c r="K617" s="6" t="s">
        <v>154</v>
      </c>
      <c r="L617" s="14" t="n">
        <v>4501.21</v>
      </c>
      <c r="M617" s="22" t="n">
        <v>1.1</v>
      </c>
      <c r="N617" s="14" t="n">
        <v>4951.33</v>
      </c>
      <c r="O617" s="14" t="n">
        <v>450.12</v>
      </c>
      <c r="P617" s="21" t="n">
        <v>0.146</v>
      </c>
      <c r="Q617" s="6" t="n">
        <v>60</v>
      </c>
      <c r="R617" s="6" t="s">
        <v>161</v>
      </c>
      <c r="S617" s="21" t="n">
        <v>1</v>
      </c>
      <c r="T617" s="14" t="n">
        <v>4951.33</v>
      </c>
      <c r="U617" s="6" t="s">
        <v>16</v>
      </c>
    </row>
    <row r="618" customFormat="false" ht="15" hidden="false" customHeight="true" outlineLevel="0" collapsed="false">
      <c r="A618" s="6" t="s">
        <v>1429</v>
      </c>
      <c r="B618" s="6" t="s">
        <v>1430</v>
      </c>
      <c r="C618" s="6" t="s">
        <v>131</v>
      </c>
      <c r="D618" s="6" t="s">
        <v>152</v>
      </c>
      <c r="E618" s="6" t="s">
        <v>181</v>
      </c>
      <c r="F618" s="13" t="n">
        <v>45965</v>
      </c>
      <c r="G618" s="13" t="n">
        <v>46108</v>
      </c>
      <c r="H618" s="14" t="n">
        <v>241551.91</v>
      </c>
      <c r="I618" s="6" t="n">
        <v>4</v>
      </c>
      <c r="J618" s="6" t="n">
        <v>546</v>
      </c>
      <c r="K618" s="6" t="s">
        <v>185</v>
      </c>
      <c r="L618" s="14" t="n">
        <v>63820</v>
      </c>
      <c r="M618" s="22" t="n">
        <v>1.156</v>
      </c>
      <c r="N618" s="14" t="n">
        <v>73775.92</v>
      </c>
      <c r="O618" s="14" t="n">
        <v>9955.92</v>
      </c>
      <c r="P618" s="21" t="n">
        <v>0.064</v>
      </c>
      <c r="Q618" s="6" t="n">
        <v>143</v>
      </c>
      <c r="R618" s="6" t="s">
        <v>309</v>
      </c>
      <c r="S618" s="21" t="n">
        <v>0.507</v>
      </c>
      <c r="T618" s="14" t="n">
        <v>37404.39</v>
      </c>
      <c r="U618" s="6" t="s">
        <v>57</v>
      </c>
    </row>
    <row r="619" customFormat="false" ht="15" hidden="false" customHeight="true" outlineLevel="0" collapsed="false">
      <c r="A619" s="6" t="s">
        <v>1431</v>
      </c>
      <c r="B619" s="6" t="s">
        <v>1432</v>
      </c>
      <c r="C619" s="6" t="s">
        <v>116</v>
      </c>
      <c r="D619" s="6" t="s">
        <v>222</v>
      </c>
      <c r="E619" s="6" t="s">
        <v>195</v>
      </c>
      <c r="F619" s="13" t="n">
        <v>46027</v>
      </c>
      <c r="G619" s="13" t="n">
        <v>46108</v>
      </c>
      <c r="H619" s="14" t="n">
        <v>11008.26</v>
      </c>
      <c r="I619" s="6" t="n">
        <v>4</v>
      </c>
      <c r="J619" s="6" t="n">
        <v>698</v>
      </c>
      <c r="K619" s="6" t="s">
        <v>160</v>
      </c>
      <c r="L619" s="14" t="n">
        <v>4424.32</v>
      </c>
      <c r="M619" s="22" t="n">
        <v>1.161</v>
      </c>
      <c r="N619" s="14" t="n">
        <v>5136.64</v>
      </c>
      <c r="O619" s="14" t="n">
        <v>712.32</v>
      </c>
      <c r="P619" s="21" t="n">
        <v>0.172</v>
      </c>
      <c r="Q619" s="6" t="n">
        <v>81</v>
      </c>
      <c r="R619" s="6" t="s">
        <v>155</v>
      </c>
      <c r="S619" s="21" t="n">
        <v>0.822</v>
      </c>
      <c r="T619" s="14" t="n">
        <v>4222.32</v>
      </c>
      <c r="U619" s="6" t="s">
        <v>59</v>
      </c>
    </row>
    <row r="620" customFormat="false" ht="15" hidden="false" customHeight="true" outlineLevel="0" collapsed="false">
      <c r="A620" s="6" t="s">
        <v>1433</v>
      </c>
      <c r="B620" s="6" t="s">
        <v>1434</v>
      </c>
      <c r="C620" s="6" t="s">
        <v>112</v>
      </c>
      <c r="D620" s="6" t="s">
        <v>188</v>
      </c>
      <c r="E620" s="6" t="s">
        <v>201</v>
      </c>
      <c r="F620" s="13" t="n">
        <v>44948</v>
      </c>
      <c r="G620" s="13" t="n">
        <v>45083</v>
      </c>
      <c r="H620" s="14" t="n">
        <v>215720.22</v>
      </c>
      <c r="I620" s="6" t="n">
        <v>0</v>
      </c>
      <c r="J620" s="6" t="n">
        <v>676</v>
      </c>
      <c r="K620" s="6" t="s">
        <v>154</v>
      </c>
      <c r="L620" s="14" t="n">
        <v>104418.93</v>
      </c>
      <c r="M620" s="22" t="n">
        <v>1.213</v>
      </c>
      <c r="N620" s="14" t="n">
        <v>126660.16</v>
      </c>
      <c r="O620" s="14" t="n">
        <v>22241.23</v>
      </c>
      <c r="P620" s="21" t="n">
        <v>0.13</v>
      </c>
      <c r="Q620" s="6" t="n">
        <v>135</v>
      </c>
      <c r="R620" s="6" t="s">
        <v>155</v>
      </c>
      <c r="S620" s="21" t="n">
        <v>0.944</v>
      </c>
      <c r="T620" s="14" t="n">
        <v>119567.19</v>
      </c>
      <c r="U620" s="6" t="s">
        <v>23</v>
      </c>
    </row>
    <row r="621" customFormat="false" ht="15" hidden="false" customHeight="true" outlineLevel="0" collapsed="false">
      <c r="A621" s="6" t="s">
        <v>1435</v>
      </c>
      <c r="B621" s="6" t="s">
        <v>1436</v>
      </c>
      <c r="C621" s="6" t="s">
        <v>120</v>
      </c>
      <c r="D621" s="6" t="s">
        <v>210</v>
      </c>
      <c r="E621" s="6" t="s">
        <v>207</v>
      </c>
      <c r="F621" s="13" t="n">
        <v>46161</v>
      </c>
      <c r="G621" s="13" t="n">
        <v>46418</v>
      </c>
      <c r="H621" s="14" t="n">
        <v>50200.22</v>
      </c>
      <c r="I621" s="6" t="n">
        <v>1</v>
      </c>
      <c r="J621" s="6" t="n">
        <v>589</v>
      </c>
      <c r="K621" s="6" t="s">
        <v>160</v>
      </c>
      <c r="L621" s="14" t="n">
        <v>17836.17</v>
      </c>
      <c r="M621" s="22" t="n">
        <v>1.306</v>
      </c>
      <c r="N621" s="14" t="n">
        <v>23294.04</v>
      </c>
      <c r="O621" s="14" t="n">
        <v>5457.87</v>
      </c>
      <c r="P621" s="21" t="n">
        <v>0.054</v>
      </c>
      <c r="Q621" s="6" t="n">
        <v>257</v>
      </c>
      <c r="R621" s="6" t="s">
        <v>155</v>
      </c>
      <c r="S621" s="21" t="n">
        <v>0.297</v>
      </c>
      <c r="T621" s="14" t="n">
        <v>6918.33</v>
      </c>
      <c r="U621" s="6" t="s">
        <v>63</v>
      </c>
    </row>
    <row r="622" customFormat="false" ht="15" hidden="false" customHeight="true" outlineLevel="0" collapsed="false">
      <c r="A622" s="6" t="s">
        <v>1437</v>
      </c>
      <c r="B622" s="6" t="s">
        <v>1438</v>
      </c>
      <c r="C622" s="6" t="s">
        <v>124</v>
      </c>
      <c r="D622" s="6" t="s">
        <v>238</v>
      </c>
      <c r="E622" s="6" t="s">
        <v>165</v>
      </c>
      <c r="F622" s="13" t="n">
        <v>45621</v>
      </c>
      <c r="G622" s="13" t="n">
        <v>45681</v>
      </c>
      <c r="H622" s="14" t="n">
        <v>141935.55</v>
      </c>
      <c r="I622" s="6" t="n">
        <v>3</v>
      </c>
      <c r="J622" s="6" t="n">
        <v>809</v>
      </c>
      <c r="K622" s="6" t="s">
        <v>154</v>
      </c>
      <c r="L622" s="14" t="n">
        <v>25647.58</v>
      </c>
      <c r="M622" s="22" t="n">
        <v>1.267</v>
      </c>
      <c r="N622" s="14" t="n">
        <v>32495.48</v>
      </c>
      <c r="O622" s="14" t="n">
        <v>6847.9</v>
      </c>
      <c r="P622" s="21" t="n">
        <v>0.118</v>
      </c>
      <c r="Q622" s="6" t="n">
        <v>60</v>
      </c>
      <c r="R622" s="6" t="s">
        <v>309</v>
      </c>
      <c r="S622" s="21" t="n">
        <v>0.364</v>
      </c>
      <c r="T622" s="14" t="n">
        <v>11828.35</v>
      </c>
      <c r="U622" s="6" t="s">
        <v>45</v>
      </c>
    </row>
    <row r="623" customFormat="false" ht="15" hidden="false" customHeight="true" outlineLevel="0" collapsed="false">
      <c r="A623" s="6" t="s">
        <v>1439</v>
      </c>
      <c r="B623" s="6" t="s">
        <v>1440</v>
      </c>
      <c r="C623" s="6" t="s">
        <v>131</v>
      </c>
      <c r="D623" s="6" t="s">
        <v>152</v>
      </c>
      <c r="E623" s="6" t="s">
        <v>189</v>
      </c>
      <c r="F623" s="13" t="n">
        <v>44603</v>
      </c>
      <c r="G623" s="13" t="n">
        <v>44663</v>
      </c>
      <c r="H623" s="14" t="n">
        <v>212035.84</v>
      </c>
      <c r="I623" s="6" t="n">
        <v>0</v>
      </c>
      <c r="J623" s="6" t="n">
        <v>665</v>
      </c>
      <c r="K623" s="6" t="s">
        <v>160</v>
      </c>
      <c r="L623" s="14" t="n">
        <v>21591.16</v>
      </c>
      <c r="M623" s="22" t="n">
        <v>1.307</v>
      </c>
      <c r="N623" s="14" t="n">
        <v>28219.65</v>
      </c>
      <c r="O623" s="14" t="n">
        <v>6628.49</v>
      </c>
      <c r="P623" s="21" t="n">
        <v>0.123</v>
      </c>
      <c r="Q623" s="6" t="n">
        <v>60</v>
      </c>
      <c r="R623" s="6" t="s">
        <v>161</v>
      </c>
      <c r="S623" s="21" t="n">
        <v>1</v>
      </c>
      <c r="T623" s="14" t="n">
        <v>28219.65</v>
      </c>
      <c r="U623" s="6" t="s">
        <v>12</v>
      </c>
    </row>
    <row r="624" customFormat="false" ht="15" hidden="false" customHeight="true" outlineLevel="0" collapsed="false">
      <c r="A624" s="6" t="s">
        <v>1441</v>
      </c>
      <c r="B624" s="6" t="s">
        <v>1442</v>
      </c>
      <c r="C624" s="6" t="s">
        <v>116</v>
      </c>
      <c r="D624" s="6" t="s">
        <v>152</v>
      </c>
      <c r="E624" s="6" t="s">
        <v>165</v>
      </c>
      <c r="F624" s="13" t="n">
        <v>44839</v>
      </c>
      <c r="G624" s="13" t="n">
        <v>44931</v>
      </c>
      <c r="H624" s="14" t="n">
        <v>124897.37</v>
      </c>
      <c r="I624" s="6" t="n">
        <v>1</v>
      </c>
      <c r="J624" s="6" t="n">
        <v>568</v>
      </c>
      <c r="K624" s="6" t="s">
        <v>185</v>
      </c>
      <c r="L624" s="14" t="n">
        <v>35035.42</v>
      </c>
      <c r="M624" s="22" t="n">
        <v>1.324</v>
      </c>
      <c r="N624" s="14" t="n">
        <v>46386.9</v>
      </c>
      <c r="O624" s="14" t="n">
        <v>11351.48</v>
      </c>
      <c r="P624" s="21" t="n">
        <v>0.121</v>
      </c>
      <c r="Q624" s="6" t="n">
        <v>92</v>
      </c>
      <c r="R624" s="6" t="s">
        <v>155</v>
      </c>
      <c r="S624" s="21" t="n">
        <v>0.764</v>
      </c>
      <c r="T624" s="14" t="n">
        <v>35439.59</v>
      </c>
      <c r="U624" s="6" t="s">
        <v>20</v>
      </c>
    </row>
    <row r="625" customFormat="false" ht="15" hidden="false" customHeight="true" outlineLevel="0" collapsed="false">
      <c r="A625" s="6" t="s">
        <v>1443</v>
      </c>
      <c r="B625" s="6" t="s">
        <v>1444</v>
      </c>
      <c r="C625" s="6" t="s">
        <v>124</v>
      </c>
      <c r="D625" s="6" t="s">
        <v>243</v>
      </c>
      <c r="E625" s="6" t="s">
        <v>201</v>
      </c>
      <c r="F625" s="13" t="n">
        <v>45099</v>
      </c>
      <c r="G625" s="13" t="n">
        <v>45163</v>
      </c>
      <c r="H625" s="14" t="n">
        <v>201314.43</v>
      </c>
      <c r="I625" s="6" t="n">
        <v>1</v>
      </c>
      <c r="J625" s="6" t="n">
        <v>771</v>
      </c>
      <c r="K625" s="6" t="s">
        <v>160</v>
      </c>
      <c r="L625" s="14" t="n">
        <v>42300.38</v>
      </c>
      <c r="M625" s="22" t="n">
        <v>1.112</v>
      </c>
      <c r="N625" s="14" t="n">
        <v>47038.02</v>
      </c>
      <c r="O625" s="14" t="n">
        <v>4737.64</v>
      </c>
      <c r="P625" s="21" t="n">
        <v>0.109</v>
      </c>
      <c r="Q625" s="6" t="n">
        <v>64</v>
      </c>
      <c r="R625" s="6" t="s">
        <v>161</v>
      </c>
      <c r="S625" s="21" t="n">
        <v>1</v>
      </c>
      <c r="T625" s="14" t="n">
        <v>47038.02</v>
      </c>
      <c r="U625" s="6" t="s">
        <v>28</v>
      </c>
    </row>
    <row r="626" customFormat="false" ht="15" hidden="false" customHeight="true" outlineLevel="0" collapsed="false">
      <c r="A626" s="6" t="s">
        <v>1445</v>
      </c>
      <c r="B626" s="6" t="s">
        <v>1446</v>
      </c>
      <c r="C626" s="6" t="s">
        <v>112</v>
      </c>
      <c r="D626" s="6" t="s">
        <v>188</v>
      </c>
      <c r="E626" s="6" t="s">
        <v>299</v>
      </c>
      <c r="F626" s="13" t="n">
        <v>44807</v>
      </c>
      <c r="G626" s="13" t="n">
        <v>44969</v>
      </c>
      <c r="H626" s="14" t="n">
        <v>236328.3</v>
      </c>
      <c r="I626" s="6" t="n">
        <v>1</v>
      </c>
      <c r="J626" s="6" t="n">
        <v>557</v>
      </c>
      <c r="K626" s="6" t="s">
        <v>154</v>
      </c>
      <c r="L626" s="14" t="n">
        <v>74005.17</v>
      </c>
      <c r="M626" s="22" t="n">
        <v>1.225</v>
      </c>
      <c r="N626" s="14" t="n">
        <v>90656.33</v>
      </c>
      <c r="O626" s="14" t="n">
        <v>16651.16</v>
      </c>
      <c r="P626" s="21" t="n">
        <v>0.071</v>
      </c>
      <c r="Q626" s="6" t="n">
        <v>162</v>
      </c>
      <c r="R626" s="6" t="s">
        <v>161</v>
      </c>
      <c r="S626" s="21" t="n">
        <v>1</v>
      </c>
      <c r="T626" s="14" t="n">
        <v>90656.33</v>
      </c>
      <c r="U626" s="6" t="s">
        <v>19</v>
      </c>
    </row>
    <row r="627" customFormat="false" ht="15" hidden="false" customHeight="true" outlineLevel="0" collapsed="false">
      <c r="A627" s="6" t="s">
        <v>1447</v>
      </c>
      <c r="B627" s="6" t="s">
        <v>1448</v>
      </c>
      <c r="C627" s="6" t="s">
        <v>112</v>
      </c>
      <c r="D627" s="6" t="s">
        <v>164</v>
      </c>
      <c r="E627" s="6" t="s">
        <v>326</v>
      </c>
      <c r="F627" s="13" t="n">
        <v>46150</v>
      </c>
      <c r="G627" s="13" t="n">
        <v>46255</v>
      </c>
      <c r="H627" s="14" t="n">
        <v>114283.79</v>
      </c>
      <c r="I627" s="6" t="n">
        <v>0</v>
      </c>
      <c r="J627" s="6" t="n">
        <v>583</v>
      </c>
      <c r="K627" s="6" t="s">
        <v>160</v>
      </c>
      <c r="L627" s="14" t="n">
        <v>38337.75</v>
      </c>
      <c r="M627" s="22" t="n">
        <v>1.232</v>
      </c>
      <c r="N627" s="14" t="n">
        <v>47232.11</v>
      </c>
      <c r="O627" s="14" t="n">
        <v>8894.36</v>
      </c>
      <c r="P627" s="21" t="n">
        <v>0.117</v>
      </c>
      <c r="Q627" s="6" t="n">
        <v>105</v>
      </c>
      <c r="R627" s="6" t="s">
        <v>155</v>
      </c>
      <c r="S627" s="21" t="n">
        <v>0.901</v>
      </c>
      <c r="T627" s="14" t="n">
        <v>42556.13</v>
      </c>
      <c r="U627" s="6" t="s">
        <v>63</v>
      </c>
    </row>
    <row r="628" customFormat="false" ht="15" hidden="false" customHeight="true" outlineLevel="0" collapsed="false">
      <c r="A628" s="6" t="s">
        <v>1449</v>
      </c>
      <c r="B628" s="6" t="s">
        <v>1450</v>
      </c>
      <c r="C628" s="6" t="s">
        <v>128</v>
      </c>
      <c r="D628" s="6" t="s">
        <v>401</v>
      </c>
      <c r="E628" s="6" t="s">
        <v>254</v>
      </c>
      <c r="F628" s="13" t="n">
        <v>45788</v>
      </c>
      <c r="G628" s="13" t="n">
        <v>45848</v>
      </c>
      <c r="H628" s="14" t="n">
        <v>226103.11</v>
      </c>
      <c r="I628" s="6" t="n">
        <v>2</v>
      </c>
      <c r="J628" s="6" t="n">
        <v>530</v>
      </c>
      <c r="K628" s="6" t="s">
        <v>154</v>
      </c>
      <c r="L628" s="14" t="n">
        <v>33736.43</v>
      </c>
      <c r="M628" s="22" t="n">
        <v>1.093</v>
      </c>
      <c r="N628" s="14" t="n">
        <v>36873.92</v>
      </c>
      <c r="O628" s="14" t="n">
        <v>3137.49</v>
      </c>
      <c r="P628" s="21" t="n">
        <v>0.112</v>
      </c>
      <c r="Q628" s="6" t="n">
        <v>60</v>
      </c>
      <c r="R628" s="6" t="s">
        <v>232</v>
      </c>
      <c r="S628" s="21" t="n">
        <v>1</v>
      </c>
      <c r="T628" s="14" t="n">
        <v>36873.92</v>
      </c>
      <c r="U628" s="6" t="s">
        <v>51</v>
      </c>
    </row>
    <row r="629" customFormat="false" ht="15" hidden="false" customHeight="true" outlineLevel="0" collapsed="false">
      <c r="A629" s="6" t="s">
        <v>1451</v>
      </c>
      <c r="B629" s="6" t="s">
        <v>1452</v>
      </c>
      <c r="C629" s="6" t="s">
        <v>128</v>
      </c>
      <c r="D629" s="6" t="s">
        <v>172</v>
      </c>
      <c r="E629" s="6" t="s">
        <v>173</v>
      </c>
      <c r="F629" s="13" t="n">
        <v>45914</v>
      </c>
      <c r="G629" s="13" t="n">
        <v>45999</v>
      </c>
      <c r="H629" s="14" t="n">
        <v>236900.34</v>
      </c>
      <c r="I629" s="6" t="n">
        <v>1</v>
      </c>
      <c r="J629" s="6" t="n">
        <v>708</v>
      </c>
      <c r="K629" s="6" t="s">
        <v>160</v>
      </c>
      <c r="L629" s="14" t="n">
        <v>100376.75</v>
      </c>
      <c r="M629" s="22" t="n">
        <v>1.168</v>
      </c>
      <c r="N629" s="14" t="n">
        <v>117240.04</v>
      </c>
      <c r="O629" s="14" t="n">
        <v>16863.29</v>
      </c>
      <c r="P629" s="21" t="n">
        <v>0.173</v>
      </c>
      <c r="Q629" s="6" t="n">
        <v>85</v>
      </c>
      <c r="R629" s="6" t="s">
        <v>155</v>
      </c>
      <c r="S629" s="21" t="n">
        <v>0.86</v>
      </c>
      <c r="T629" s="14" t="n">
        <v>100826.43</v>
      </c>
      <c r="U629" s="6" t="s">
        <v>55</v>
      </c>
    </row>
    <row r="630" customFormat="false" ht="15" hidden="false" customHeight="true" outlineLevel="0" collapsed="false">
      <c r="A630" s="6" t="s">
        <v>1453</v>
      </c>
      <c r="B630" s="6" t="s">
        <v>1454</v>
      </c>
      <c r="C630" s="6" t="s">
        <v>112</v>
      </c>
      <c r="D630" s="6" t="s">
        <v>188</v>
      </c>
      <c r="E630" s="6" t="s">
        <v>304</v>
      </c>
      <c r="F630" s="13" t="n">
        <v>45229</v>
      </c>
      <c r="G630" s="13" t="n">
        <v>45306</v>
      </c>
      <c r="H630" s="14" t="n">
        <v>161815.84</v>
      </c>
      <c r="I630" s="6" t="n">
        <v>3</v>
      </c>
      <c r="J630" s="6" t="n">
        <v>818</v>
      </c>
      <c r="K630" s="6" t="s">
        <v>185</v>
      </c>
      <c r="L630" s="14" t="n">
        <v>30691.26</v>
      </c>
      <c r="M630" s="22" t="n">
        <v>1.151</v>
      </c>
      <c r="N630" s="14" t="n">
        <v>35325.64</v>
      </c>
      <c r="O630" s="14" t="n">
        <v>4634.38</v>
      </c>
      <c r="P630" s="21" t="n">
        <v>0.085</v>
      </c>
      <c r="Q630" s="6" t="n">
        <v>77</v>
      </c>
      <c r="R630" s="6" t="s">
        <v>155</v>
      </c>
      <c r="S630" s="21" t="n">
        <v>0.834</v>
      </c>
      <c r="T630" s="14" t="n">
        <v>29461.58</v>
      </c>
      <c r="U630" s="6" t="s">
        <v>32</v>
      </c>
    </row>
    <row r="631" customFormat="false" ht="15" hidden="false" customHeight="true" outlineLevel="0" collapsed="false">
      <c r="A631" s="6" t="s">
        <v>1455</v>
      </c>
      <c r="B631" s="6" t="s">
        <v>1456</v>
      </c>
      <c r="C631" s="6" t="s">
        <v>116</v>
      </c>
      <c r="D631" s="6" t="s">
        <v>152</v>
      </c>
      <c r="E631" s="6" t="s">
        <v>288</v>
      </c>
      <c r="F631" s="13" t="n">
        <v>46106</v>
      </c>
      <c r="G631" s="13" t="n">
        <v>46226</v>
      </c>
      <c r="H631" s="14" t="n">
        <v>141419.37</v>
      </c>
      <c r="I631" s="6" t="n">
        <v>0</v>
      </c>
      <c r="J631" s="6" t="n">
        <v>644</v>
      </c>
      <c r="K631" s="6" t="s">
        <v>154</v>
      </c>
      <c r="L631" s="14" t="n">
        <v>22185.2</v>
      </c>
      <c r="M631" s="22" t="n">
        <v>1.285</v>
      </c>
      <c r="N631" s="14" t="n">
        <v>28507.98</v>
      </c>
      <c r="O631" s="14" t="n">
        <v>6322.78</v>
      </c>
      <c r="P631" s="21" t="n">
        <v>0.05</v>
      </c>
      <c r="Q631" s="6" t="n">
        <v>120</v>
      </c>
      <c r="R631" s="6" t="s">
        <v>161</v>
      </c>
      <c r="S631" s="21" t="n">
        <v>1</v>
      </c>
      <c r="T631" s="14" t="n">
        <v>28507.98</v>
      </c>
      <c r="U631" s="6" t="s">
        <v>61</v>
      </c>
    </row>
    <row r="632" customFormat="false" ht="15" hidden="false" customHeight="true" outlineLevel="0" collapsed="false">
      <c r="A632" s="6" t="s">
        <v>1457</v>
      </c>
      <c r="B632" s="6" t="s">
        <v>1458</v>
      </c>
      <c r="C632" s="6" t="s">
        <v>124</v>
      </c>
      <c r="D632" s="6" t="s">
        <v>168</v>
      </c>
      <c r="E632" s="6" t="s">
        <v>159</v>
      </c>
      <c r="F632" s="13" t="n">
        <v>45342</v>
      </c>
      <c r="G632" s="13" t="n">
        <v>45402</v>
      </c>
      <c r="H632" s="14" t="n">
        <v>133300.52</v>
      </c>
      <c r="I632" s="6" t="n">
        <v>0</v>
      </c>
      <c r="J632" s="6" t="n">
        <v>728</v>
      </c>
      <c r="K632" s="6" t="s">
        <v>185</v>
      </c>
      <c r="L632" s="14" t="n">
        <v>15148.47</v>
      </c>
      <c r="M632" s="22" t="n">
        <v>1.114</v>
      </c>
      <c r="N632" s="14" t="n">
        <v>16875.4</v>
      </c>
      <c r="O632" s="14" t="n">
        <v>1726.93</v>
      </c>
      <c r="P632" s="21" t="n">
        <v>0.106</v>
      </c>
      <c r="Q632" s="6" t="n">
        <v>60</v>
      </c>
      <c r="R632" s="6" t="s">
        <v>161</v>
      </c>
      <c r="S632" s="21" t="n">
        <v>1</v>
      </c>
      <c r="T632" s="14" t="n">
        <v>16875.4</v>
      </c>
      <c r="U632" s="6" t="s">
        <v>36</v>
      </c>
    </row>
    <row r="633" customFormat="false" ht="15" hidden="false" customHeight="true" outlineLevel="0" collapsed="false">
      <c r="A633" s="6" t="s">
        <v>1459</v>
      </c>
      <c r="B633" s="6" t="s">
        <v>1460</v>
      </c>
      <c r="C633" s="6" t="s">
        <v>116</v>
      </c>
      <c r="D633" s="6" t="s">
        <v>206</v>
      </c>
      <c r="E633" s="6" t="s">
        <v>304</v>
      </c>
      <c r="F633" s="13" t="n">
        <v>45415</v>
      </c>
      <c r="G633" s="13" t="n">
        <v>45514</v>
      </c>
      <c r="H633" s="14" t="n">
        <v>238218.44</v>
      </c>
      <c r="I633" s="6" t="n">
        <v>0</v>
      </c>
      <c r="J633" s="6" t="n">
        <v>668</v>
      </c>
      <c r="K633" s="6" t="s">
        <v>160</v>
      </c>
      <c r="L633" s="14" t="n">
        <v>32321.49</v>
      </c>
      <c r="M633" s="22" t="n">
        <v>1.247</v>
      </c>
      <c r="N633" s="14" t="n">
        <v>40304.9</v>
      </c>
      <c r="O633" s="14" t="n">
        <v>7983.41</v>
      </c>
      <c r="P633" s="21" t="n">
        <v>0.051</v>
      </c>
      <c r="Q633" s="6" t="n">
        <v>99</v>
      </c>
      <c r="R633" s="6" t="s">
        <v>161</v>
      </c>
      <c r="S633" s="21" t="n">
        <v>1</v>
      </c>
      <c r="T633" s="14" t="n">
        <v>40304.9</v>
      </c>
      <c r="U633" s="6" t="s">
        <v>39</v>
      </c>
    </row>
    <row r="634" customFormat="false" ht="15" hidden="false" customHeight="true" outlineLevel="0" collapsed="false">
      <c r="A634" s="6" t="s">
        <v>1461</v>
      </c>
      <c r="B634" s="6" t="s">
        <v>1462</v>
      </c>
      <c r="C634" s="6" t="s">
        <v>112</v>
      </c>
      <c r="D634" s="6" t="s">
        <v>164</v>
      </c>
      <c r="E634" s="6" t="s">
        <v>195</v>
      </c>
      <c r="F634" s="13" t="n">
        <v>45643</v>
      </c>
      <c r="G634" s="13" t="n">
        <v>45835</v>
      </c>
      <c r="H634" s="14" t="n">
        <v>67788.29</v>
      </c>
      <c r="I634" s="6" t="n">
        <v>1</v>
      </c>
      <c r="J634" s="6" t="n">
        <v>516</v>
      </c>
      <c r="K634" s="6" t="s">
        <v>160</v>
      </c>
      <c r="L634" s="14" t="n">
        <v>29858.83</v>
      </c>
      <c r="M634" s="22" t="n">
        <v>1.106</v>
      </c>
      <c r="N634" s="14" t="n">
        <v>33023.87</v>
      </c>
      <c r="O634" s="14" t="n">
        <v>3165.04</v>
      </c>
      <c r="P634" s="21" t="n">
        <v>0.076</v>
      </c>
      <c r="Q634" s="6" t="n">
        <v>192</v>
      </c>
      <c r="R634" s="6" t="s">
        <v>309</v>
      </c>
      <c r="S634" s="21" t="n">
        <v>0.587</v>
      </c>
      <c r="T634" s="14" t="n">
        <v>19385.01</v>
      </c>
      <c r="U634" s="6" t="s">
        <v>46</v>
      </c>
    </row>
    <row r="635" customFormat="false" ht="15" hidden="false" customHeight="true" outlineLevel="0" collapsed="false">
      <c r="A635" s="6" t="s">
        <v>1463</v>
      </c>
      <c r="B635" s="6" t="s">
        <v>1464</v>
      </c>
      <c r="C635" s="6" t="s">
        <v>124</v>
      </c>
      <c r="D635" s="6" t="s">
        <v>238</v>
      </c>
      <c r="E635" s="6" t="s">
        <v>304</v>
      </c>
      <c r="F635" s="13" t="n">
        <v>45169</v>
      </c>
      <c r="G635" s="13" t="n">
        <v>45229</v>
      </c>
      <c r="H635" s="14" t="n">
        <v>151127.69</v>
      </c>
      <c r="I635" s="6" t="n">
        <v>1</v>
      </c>
      <c r="J635" s="6" t="n">
        <v>706</v>
      </c>
      <c r="K635" s="6" t="s">
        <v>185</v>
      </c>
      <c r="L635" s="14" t="n">
        <v>31952.94</v>
      </c>
      <c r="M635" s="22" t="n">
        <v>1.26</v>
      </c>
      <c r="N635" s="14" t="n">
        <v>40260.7</v>
      </c>
      <c r="O635" s="14" t="n">
        <v>8307.76</v>
      </c>
      <c r="P635" s="21" t="n">
        <v>0.141</v>
      </c>
      <c r="Q635" s="6" t="n">
        <v>60</v>
      </c>
      <c r="R635" s="6" t="s">
        <v>155</v>
      </c>
      <c r="S635" s="21" t="n">
        <v>0.815</v>
      </c>
      <c r="T635" s="14" t="n">
        <v>32812.47</v>
      </c>
      <c r="U635" s="6" t="s">
        <v>30</v>
      </c>
    </row>
    <row r="636" customFormat="false" ht="15" hidden="false" customHeight="true" outlineLevel="0" collapsed="false">
      <c r="A636" s="6" t="s">
        <v>1465</v>
      </c>
      <c r="B636" s="6" t="s">
        <v>1466</v>
      </c>
      <c r="C636" s="6" t="s">
        <v>128</v>
      </c>
      <c r="D636" s="6" t="s">
        <v>401</v>
      </c>
      <c r="E636" s="6" t="s">
        <v>304</v>
      </c>
      <c r="F636" s="13" t="n">
        <v>44567</v>
      </c>
      <c r="G636" s="13" t="n">
        <v>44692</v>
      </c>
      <c r="H636" s="14" t="n">
        <v>165066.47</v>
      </c>
      <c r="I636" s="6" t="n">
        <v>3</v>
      </c>
      <c r="J636" s="6" t="n">
        <v>629</v>
      </c>
      <c r="K636" s="6" t="s">
        <v>160</v>
      </c>
      <c r="L636" s="14" t="n">
        <v>45040.78</v>
      </c>
      <c r="M636" s="22" t="n">
        <v>1.258</v>
      </c>
      <c r="N636" s="14" t="n">
        <v>56661.3</v>
      </c>
      <c r="O636" s="14" t="n">
        <v>11620.52</v>
      </c>
      <c r="P636" s="21" t="n">
        <v>0.082</v>
      </c>
      <c r="Q636" s="6" t="n">
        <v>125</v>
      </c>
      <c r="R636" s="6" t="s">
        <v>161</v>
      </c>
      <c r="S636" s="21" t="n">
        <v>1</v>
      </c>
      <c r="T636" s="14" t="n">
        <v>56661.3</v>
      </c>
      <c r="U636" s="6" t="s">
        <v>11</v>
      </c>
    </row>
    <row r="637" customFormat="false" ht="15" hidden="false" customHeight="true" outlineLevel="0" collapsed="false">
      <c r="A637" s="6" t="s">
        <v>1467</v>
      </c>
      <c r="B637" s="6" t="s">
        <v>1468</v>
      </c>
      <c r="C637" s="6" t="s">
        <v>124</v>
      </c>
      <c r="D637" s="6" t="s">
        <v>168</v>
      </c>
      <c r="E637" s="6" t="s">
        <v>211</v>
      </c>
      <c r="F637" s="13" t="n">
        <v>44929</v>
      </c>
      <c r="G637" s="13" t="n">
        <v>44989</v>
      </c>
      <c r="H637" s="14" t="n">
        <v>55540.73</v>
      </c>
      <c r="I637" s="6" t="n">
        <v>0</v>
      </c>
      <c r="J637" s="6" t="n">
        <v>659</v>
      </c>
      <c r="K637" s="6" t="s">
        <v>160</v>
      </c>
      <c r="L637" s="14" t="n">
        <v>5876.28</v>
      </c>
      <c r="M637" s="22" t="n">
        <v>1.285</v>
      </c>
      <c r="N637" s="14" t="n">
        <v>7551.02</v>
      </c>
      <c r="O637" s="14" t="n">
        <v>1674.74</v>
      </c>
      <c r="P637" s="21" t="n">
        <v>0.149</v>
      </c>
      <c r="Q637" s="6" t="n">
        <v>60</v>
      </c>
      <c r="R637" s="6" t="s">
        <v>232</v>
      </c>
      <c r="S637" s="21" t="n">
        <v>1</v>
      </c>
      <c r="T637" s="14" t="n">
        <v>7551.02</v>
      </c>
      <c r="U637" s="6" t="s">
        <v>23</v>
      </c>
    </row>
    <row r="638" customFormat="false" ht="15" hidden="false" customHeight="true" outlineLevel="0" collapsed="false">
      <c r="A638" s="6" t="s">
        <v>1469</v>
      </c>
      <c r="B638" s="6" t="s">
        <v>1470</v>
      </c>
      <c r="C638" s="6" t="s">
        <v>120</v>
      </c>
      <c r="D638" s="6" t="s">
        <v>218</v>
      </c>
      <c r="E638" s="6" t="s">
        <v>192</v>
      </c>
      <c r="F638" s="13" t="n">
        <v>45471</v>
      </c>
      <c r="G638" s="13" t="n">
        <v>45531</v>
      </c>
      <c r="H638" s="14" t="n">
        <v>214131.76</v>
      </c>
      <c r="I638" s="6" t="n">
        <v>0</v>
      </c>
      <c r="J638" s="6" t="n">
        <v>771</v>
      </c>
      <c r="K638" s="6" t="s">
        <v>160</v>
      </c>
      <c r="L638" s="14" t="n">
        <v>39143.91</v>
      </c>
      <c r="M638" s="22" t="n">
        <v>1.153</v>
      </c>
      <c r="N638" s="14" t="n">
        <v>45132.93</v>
      </c>
      <c r="O638" s="14" t="n">
        <v>5989.02</v>
      </c>
      <c r="P638" s="21" t="n">
        <v>0.106</v>
      </c>
      <c r="Q638" s="6" t="n">
        <v>60</v>
      </c>
      <c r="R638" s="6" t="s">
        <v>309</v>
      </c>
      <c r="S638" s="21" t="n">
        <v>0.344</v>
      </c>
      <c r="T638" s="14" t="n">
        <v>15525.73</v>
      </c>
      <c r="U638" s="6" t="s">
        <v>40</v>
      </c>
    </row>
    <row r="639" customFormat="false" ht="15" hidden="false" customHeight="true" outlineLevel="0" collapsed="false">
      <c r="A639" s="6" t="s">
        <v>1471</v>
      </c>
      <c r="B639" s="6" t="s">
        <v>1472</v>
      </c>
      <c r="C639" s="6" t="s">
        <v>112</v>
      </c>
      <c r="D639" s="6" t="s">
        <v>172</v>
      </c>
      <c r="E639" s="6" t="s">
        <v>211</v>
      </c>
      <c r="F639" s="13" t="n">
        <v>46161</v>
      </c>
      <c r="G639" s="13" t="n">
        <v>46266</v>
      </c>
      <c r="H639" s="14" t="n">
        <v>108076.4</v>
      </c>
      <c r="I639" s="6" t="n">
        <v>0</v>
      </c>
      <c r="J639" s="6" t="n">
        <v>742</v>
      </c>
      <c r="K639" s="6" t="s">
        <v>154</v>
      </c>
      <c r="L639" s="14" t="n">
        <v>39206.09</v>
      </c>
      <c r="M639" s="22" t="n">
        <v>1.344</v>
      </c>
      <c r="N639" s="14" t="n">
        <v>52692.98</v>
      </c>
      <c r="O639" s="14" t="n">
        <v>13486.89</v>
      </c>
      <c r="P639" s="21" t="n">
        <v>0.139</v>
      </c>
      <c r="Q639" s="6" t="n">
        <v>105</v>
      </c>
      <c r="R639" s="6" t="s">
        <v>232</v>
      </c>
      <c r="S639" s="21" t="n">
        <v>1</v>
      </c>
      <c r="T639" s="14" t="n">
        <v>52692.98</v>
      </c>
      <c r="U639" s="6" t="s">
        <v>63</v>
      </c>
    </row>
    <row r="640" customFormat="false" ht="15" hidden="false" customHeight="true" outlineLevel="0" collapsed="false">
      <c r="A640" s="6" t="s">
        <v>1473</v>
      </c>
      <c r="B640" s="6" t="s">
        <v>1474</v>
      </c>
      <c r="C640" s="6" t="s">
        <v>120</v>
      </c>
      <c r="D640" s="6" t="s">
        <v>210</v>
      </c>
      <c r="E640" s="6" t="s">
        <v>207</v>
      </c>
      <c r="F640" s="13" t="n">
        <v>45569</v>
      </c>
      <c r="G640" s="13" t="n">
        <v>45701</v>
      </c>
      <c r="H640" s="14" t="n">
        <v>73642.14</v>
      </c>
      <c r="I640" s="6" t="n">
        <v>3</v>
      </c>
      <c r="J640" s="6" t="n">
        <v>626</v>
      </c>
      <c r="K640" s="6" t="s">
        <v>160</v>
      </c>
      <c r="L640" s="14" t="n">
        <v>13728.52</v>
      </c>
      <c r="M640" s="22" t="n">
        <v>1.329</v>
      </c>
      <c r="N640" s="14" t="n">
        <v>18245.2</v>
      </c>
      <c r="O640" s="14" t="n">
        <v>4516.68</v>
      </c>
      <c r="P640" s="21" t="n">
        <v>0.056</v>
      </c>
      <c r="Q640" s="6" t="n">
        <v>132</v>
      </c>
      <c r="R640" s="6" t="s">
        <v>155</v>
      </c>
      <c r="S640" s="21" t="n">
        <v>0.701</v>
      </c>
      <c r="T640" s="14" t="n">
        <v>12789.89</v>
      </c>
      <c r="U640" s="6" t="s">
        <v>44</v>
      </c>
    </row>
    <row r="641" customFormat="false" ht="15" hidden="false" customHeight="true" outlineLevel="0" collapsed="false">
      <c r="A641" s="6" t="s">
        <v>1475</v>
      </c>
      <c r="B641" s="6" t="s">
        <v>1476</v>
      </c>
      <c r="C641" s="6" t="s">
        <v>131</v>
      </c>
      <c r="D641" s="6" t="s">
        <v>200</v>
      </c>
      <c r="E641" s="6" t="s">
        <v>219</v>
      </c>
      <c r="F641" s="13" t="n">
        <v>44971</v>
      </c>
      <c r="G641" s="13" t="n">
        <v>45109</v>
      </c>
      <c r="H641" s="14" t="n">
        <v>242939.93</v>
      </c>
      <c r="I641" s="6" t="n">
        <v>1</v>
      </c>
      <c r="J641" s="6" t="n">
        <v>721</v>
      </c>
      <c r="K641" s="6" t="s">
        <v>160</v>
      </c>
      <c r="L641" s="14" t="n">
        <v>99624.43</v>
      </c>
      <c r="M641" s="22" t="n">
        <v>1.172</v>
      </c>
      <c r="N641" s="14" t="n">
        <v>116759.83</v>
      </c>
      <c r="O641" s="14" t="n">
        <v>17135.4</v>
      </c>
      <c r="P641" s="21" t="n">
        <v>0.104</v>
      </c>
      <c r="Q641" s="6" t="n">
        <v>138</v>
      </c>
      <c r="R641" s="6" t="s">
        <v>155</v>
      </c>
      <c r="S641" s="21" t="n">
        <v>0.766</v>
      </c>
      <c r="T641" s="14" t="n">
        <v>89438.03</v>
      </c>
      <c r="U641" s="6" t="s">
        <v>24</v>
      </c>
    </row>
    <row r="642" customFormat="false" ht="15" hidden="false" customHeight="true" outlineLevel="0" collapsed="false">
      <c r="A642" s="6" t="s">
        <v>1477</v>
      </c>
      <c r="B642" s="6" t="s">
        <v>1478</v>
      </c>
      <c r="C642" s="6" t="s">
        <v>112</v>
      </c>
      <c r="D642" s="6" t="s">
        <v>172</v>
      </c>
      <c r="E642" s="6" t="s">
        <v>173</v>
      </c>
      <c r="F642" s="13" t="n">
        <v>44576</v>
      </c>
      <c r="G642" s="13" t="n">
        <v>44636</v>
      </c>
      <c r="H642" s="14" t="n">
        <v>166799.86</v>
      </c>
      <c r="I642" s="6" t="n">
        <v>0</v>
      </c>
      <c r="J642" s="6" t="n">
        <v>818</v>
      </c>
      <c r="K642" s="6" t="s">
        <v>160</v>
      </c>
      <c r="L642" s="14" t="n">
        <v>20341.2</v>
      </c>
      <c r="M642" s="22" t="n">
        <v>1.242</v>
      </c>
      <c r="N642" s="14" t="n">
        <v>25263.77</v>
      </c>
      <c r="O642" s="14" t="n">
        <v>4922.57</v>
      </c>
      <c r="P642" s="21" t="n">
        <v>0.111</v>
      </c>
      <c r="Q642" s="6" t="n">
        <v>60</v>
      </c>
      <c r="R642" s="6" t="s">
        <v>161</v>
      </c>
      <c r="S642" s="21" t="n">
        <v>1</v>
      </c>
      <c r="T642" s="14" t="n">
        <v>25263.77</v>
      </c>
      <c r="U642" s="6" t="s">
        <v>11</v>
      </c>
    </row>
    <row r="643" customFormat="false" ht="15" hidden="false" customHeight="true" outlineLevel="0" collapsed="false">
      <c r="A643" s="6" t="s">
        <v>1479</v>
      </c>
      <c r="B643" s="6" t="s">
        <v>1480</v>
      </c>
      <c r="C643" s="6" t="s">
        <v>124</v>
      </c>
      <c r="D643" s="6" t="s">
        <v>243</v>
      </c>
      <c r="E643" s="6" t="s">
        <v>173</v>
      </c>
      <c r="F643" s="13" t="n">
        <v>45396</v>
      </c>
      <c r="G643" s="13" t="n">
        <v>45520</v>
      </c>
      <c r="H643" s="14" t="n">
        <v>146495.38</v>
      </c>
      <c r="I643" s="6" t="n">
        <v>2</v>
      </c>
      <c r="J643" s="6" t="n">
        <v>685</v>
      </c>
      <c r="K643" s="6" t="s">
        <v>185</v>
      </c>
      <c r="L643" s="14" t="n">
        <v>52884.94</v>
      </c>
      <c r="M643" s="22" t="n">
        <v>1.185</v>
      </c>
      <c r="N643" s="14" t="n">
        <v>62668.65</v>
      </c>
      <c r="O643" s="14" t="n">
        <v>9783.71</v>
      </c>
      <c r="P643" s="21" t="n">
        <v>0.103</v>
      </c>
      <c r="Q643" s="6" t="n">
        <v>124</v>
      </c>
      <c r="R643" s="6" t="s">
        <v>155</v>
      </c>
      <c r="S643" s="21" t="n">
        <v>0.814</v>
      </c>
      <c r="T643" s="14" t="n">
        <v>51012.28</v>
      </c>
      <c r="U643" s="6" t="s">
        <v>38</v>
      </c>
    </row>
    <row r="644" customFormat="false" ht="15" hidden="false" customHeight="true" outlineLevel="0" collapsed="false">
      <c r="A644" s="6" t="s">
        <v>1481</v>
      </c>
      <c r="B644" s="6" t="s">
        <v>1482</v>
      </c>
      <c r="C644" s="6" t="s">
        <v>112</v>
      </c>
      <c r="D644" s="6" t="s">
        <v>172</v>
      </c>
      <c r="E644" s="6" t="s">
        <v>288</v>
      </c>
      <c r="F644" s="13" t="n">
        <v>44971</v>
      </c>
      <c r="G644" s="13" t="n">
        <v>45041</v>
      </c>
      <c r="H644" s="14" t="n">
        <v>22205.95</v>
      </c>
      <c r="I644" s="6" t="n">
        <v>2</v>
      </c>
      <c r="J644" s="6" t="n">
        <v>705</v>
      </c>
      <c r="K644" s="6" t="s">
        <v>160</v>
      </c>
      <c r="L644" s="14" t="n">
        <v>3235.78</v>
      </c>
      <c r="M644" s="22" t="n">
        <v>1.151</v>
      </c>
      <c r="N644" s="14" t="n">
        <v>3724.38</v>
      </c>
      <c r="O644" s="14" t="n">
        <v>488.6</v>
      </c>
      <c r="P644" s="21" t="n">
        <v>0.071</v>
      </c>
      <c r="Q644" s="6" t="n">
        <v>70</v>
      </c>
      <c r="R644" s="6" t="s">
        <v>309</v>
      </c>
      <c r="S644" s="21" t="n">
        <v>0.303</v>
      </c>
      <c r="T644" s="14" t="n">
        <v>1128.49</v>
      </c>
      <c r="U644" s="6" t="s">
        <v>24</v>
      </c>
    </row>
    <row r="645" customFormat="false" ht="15" hidden="false" customHeight="true" outlineLevel="0" collapsed="false">
      <c r="A645" s="6" t="s">
        <v>1483</v>
      </c>
      <c r="B645" s="6" t="s">
        <v>1484</v>
      </c>
      <c r="C645" s="6" t="s">
        <v>131</v>
      </c>
      <c r="D645" s="6" t="s">
        <v>152</v>
      </c>
      <c r="E645" s="6" t="s">
        <v>165</v>
      </c>
      <c r="F645" s="13" t="n">
        <v>45571</v>
      </c>
      <c r="G645" s="13" t="n">
        <v>45631</v>
      </c>
      <c r="H645" s="14" t="n">
        <v>18081.73</v>
      </c>
      <c r="I645" s="6" t="n">
        <v>1</v>
      </c>
      <c r="J645" s="6" t="n">
        <v>671</v>
      </c>
      <c r="K645" s="6" t="s">
        <v>154</v>
      </c>
      <c r="L645" s="14" t="n">
        <v>3095.72</v>
      </c>
      <c r="M645" s="22" t="n">
        <v>1.174</v>
      </c>
      <c r="N645" s="14" t="n">
        <v>3634.38</v>
      </c>
      <c r="O645" s="14" t="n">
        <v>538.66</v>
      </c>
      <c r="P645" s="21" t="n">
        <v>0.156</v>
      </c>
      <c r="Q645" s="6" t="n">
        <v>60</v>
      </c>
      <c r="R645" s="6" t="s">
        <v>155</v>
      </c>
      <c r="S645" s="21" t="n">
        <v>0.932</v>
      </c>
      <c r="T645" s="14" t="n">
        <v>3387.24</v>
      </c>
      <c r="U645" s="6" t="s">
        <v>44</v>
      </c>
    </row>
    <row r="646" customFormat="false" ht="15" hidden="false" customHeight="true" outlineLevel="0" collapsed="false">
      <c r="A646" s="6" t="s">
        <v>1485</v>
      </c>
      <c r="B646" s="6" t="s">
        <v>1486</v>
      </c>
      <c r="C646" s="6" t="s">
        <v>128</v>
      </c>
      <c r="D646" s="6" t="s">
        <v>401</v>
      </c>
      <c r="E646" s="6" t="s">
        <v>165</v>
      </c>
      <c r="F646" s="13" t="n">
        <v>45784</v>
      </c>
      <c r="G646" s="13" t="n">
        <v>45851</v>
      </c>
      <c r="H646" s="14" t="n">
        <v>92182.31</v>
      </c>
      <c r="I646" s="6" t="n">
        <v>1</v>
      </c>
      <c r="J646" s="6" t="n">
        <v>568</v>
      </c>
      <c r="K646" s="6" t="s">
        <v>160</v>
      </c>
      <c r="L646" s="14" t="n">
        <v>28415.43</v>
      </c>
      <c r="M646" s="22" t="n">
        <v>1.19</v>
      </c>
      <c r="N646" s="14" t="n">
        <v>33814.36</v>
      </c>
      <c r="O646" s="14" t="n">
        <v>5398.93</v>
      </c>
      <c r="P646" s="21" t="n">
        <v>0.163</v>
      </c>
      <c r="Q646" s="6" t="n">
        <v>67</v>
      </c>
      <c r="R646" s="6" t="s">
        <v>155</v>
      </c>
      <c r="S646" s="21" t="n">
        <v>0.83</v>
      </c>
      <c r="T646" s="14" t="n">
        <v>28065.92</v>
      </c>
      <c r="U646" s="6" t="s">
        <v>51</v>
      </c>
    </row>
    <row r="647" customFormat="false" ht="15" hidden="false" customHeight="true" outlineLevel="0" collapsed="false">
      <c r="A647" s="6" t="s">
        <v>1487</v>
      </c>
      <c r="B647" s="6" t="s">
        <v>1488</v>
      </c>
      <c r="C647" s="6" t="s">
        <v>124</v>
      </c>
      <c r="D647" s="6" t="s">
        <v>243</v>
      </c>
      <c r="E647" s="6" t="s">
        <v>254</v>
      </c>
      <c r="F647" s="13" t="n">
        <v>45465</v>
      </c>
      <c r="G647" s="13" t="n">
        <v>45526</v>
      </c>
      <c r="H647" s="14" t="n">
        <v>55611.16</v>
      </c>
      <c r="I647" s="6" t="n">
        <v>2</v>
      </c>
      <c r="J647" s="6" t="n">
        <v>520</v>
      </c>
      <c r="K647" s="6" t="s">
        <v>160</v>
      </c>
      <c r="L647" s="14" t="n">
        <v>5158.61</v>
      </c>
      <c r="M647" s="22" t="n">
        <v>1.134</v>
      </c>
      <c r="N647" s="14" t="n">
        <v>5849.86</v>
      </c>
      <c r="O647" s="14" t="n">
        <v>691.25</v>
      </c>
      <c r="P647" s="21" t="n">
        <v>0.051</v>
      </c>
      <c r="Q647" s="6" t="n">
        <v>61</v>
      </c>
      <c r="R647" s="6" t="s">
        <v>155</v>
      </c>
      <c r="S647" s="21" t="n">
        <v>0.954</v>
      </c>
      <c r="T647" s="14" t="n">
        <v>5580.77</v>
      </c>
      <c r="U647" s="6" t="s">
        <v>40</v>
      </c>
    </row>
    <row r="648" customFormat="false" ht="15" hidden="false" customHeight="true" outlineLevel="0" collapsed="false">
      <c r="A648" s="6" t="s">
        <v>1489</v>
      </c>
      <c r="B648" s="6" t="s">
        <v>1490</v>
      </c>
      <c r="C648" s="6" t="s">
        <v>124</v>
      </c>
      <c r="D648" s="6" t="s">
        <v>180</v>
      </c>
      <c r="E648" s="6" t="s">
        <v>177</v>
      </c>
      <c r="F648" s="13" t="n">
        <v>46067</v>
      </c>
      <c r="G648" s="13" t="n">
        <v>46137</v>
      </c>
      <c r="H648" s="14" t="n">
        <v>59738.19</v>
      </c>
      <c r="I648" s="6" t="n">
        <v>2</v>
      </c>
      <c r="J648" s="6" t="n">
        <v>602</v>
      </c>
      <c r="K648" s="6" t="s">
        <v>185</v>
      </c>
      <c r="L648" s="14" t="n">
        <v>14524.71</v>
      </c>
      <c r="M648" s="22" t="n">
        <v>1.204</v>
      </c>
      <c r="N648" s="14" t="n">
        <v>17487.75</v>
      </c>
      <c r="O648" s="14" t="n">
        <v>2963.04</v>
      </c>
      <c r="P648" s="21" t="n">
        <v>0.124</v>
      </c>
      <c r="Q648" s="6" t="n">
        <v>70</v>
      </c>
      <c r="R648" s="6" t="s">
        <v>155</v>
      </c>
      <c r="S648" s="21" t="n">
        <v>0.925</v>
      </c>
      <c r="T648" s="14" t="n">
        <v>16176.17</v>
      </c>
      <c r="U648" s="6" t="s">
        <v>60</v>
      </c>
    </row>
    <row r="649" customFormat="false" ht="15" hidden="false" customHeight="true" outlineLevel="0" collapsed="false">
      <c r="A649" s="6" t="s">
        <v>1491</v>
      </c>
      <c r="B649" s="6" t="s">
        <v>1492</v>
      </c>
      <c r="C649" s="6" t="s">
        <v>131</v>
      </c>
      <c r="D649" s="6" t="s">
        <v>200</v>
      </c>
      <c r="E649" s="6" t="s">
        <v>304</v>
      </c>
      <c r="F649" s="13" t="n">
        <v>44574</v>
      </c>
      <c r="G649" s="13" t="n">
        <v>44739</v>
      </c>
      <c r="H649" s="14" t="n">
        <v>194823.21</v>
      </c>
      <c r="I649" s="6" t="n">
        <v>5</v>
      </c>
      <c r="J649" s="6" t="n">
        <v>818</v>
      </c>
      <c r="K649" s="6" t="s">
        <v>185</v>
      </c>
      <c r="L649" s="14" t="n">
        <v>81885.07</v>
      </c>
      <c r="M649" s="22" t="n">
        <v>1.104</v>
      </c>
      <c r="N649" s="14" t="n">
        <v>90401.12</v>
      </c>
      <c r="O649" s="14" t="n">
        <v>8516.05</v>
      </c>
      <c r="P649" s="21" t="n">
        <v>0.084</v>
      </c>
      <c r="Q649" s="6" t="n">
        <v>165</v>
      </c>
      <c r="R649" s="6" t="s">
        <v>155</v>
      </c>
      <c r="S649" s="21" t="n">
        <v>0.735</v>
      </c>
      <c r="T649" s="14" t="n">
        <v>66444.82</v>
      </c>
      <c r="U649" s="6" t="s">
        <v>11</v>
      </c>
    </row>
    <row r="650" customFormat="false" ht="15" hidden="false" customHeight="true" outlineLevel="0" collapsed="false">
      <c r="A650" s="6" t="s">
        <v>1493</v>
      </c>
      <c r="B650" s="6" t="s">
        <v>1494</v>
      </c>
      <c r="C650" s="6" t="s">
        <v>120</v>
      </c>
      <c r="D650" s="6" t="s">
        <v>263</v>
      </c>
      <c r="E650" s="6" t="s">
        <v>254</v>
      </c>
      <c r="F650" s="13" t="n">
        <v>45219</v>
      </c>
      <c r="G650" s="13" t="n">
        <v>45324</v>
      </c>
      <c r="H650" s="14" t="n">
        <v>59405.11</v>
      </c>
      <c r="I650" s="6" t="n">
        <v>0</v>
      </c>
      <c r="J650" s="6" t="n">
        <v>711</v>
      </c>
      <c r="K650" s="6" t="s">
        <v>160</v>
      </c>
      <c r="L650" s="14" t="n">
        <v>15336.06</v>
      </c>
      <c r="M650" s="22" t="n">
        <v>1.262</v>
      </c>
      <c r="N650" s="14" t="n">
        <v>19354.11</v>
      </c>
      <c r="O650" s="14" t="n">
        <v>4018.05</v>
      </c>
      <c r="P650" s="21" t="n">
        <v>0.093</v>
      </c>
      <c r="Q650" s="6" t="n">
        <v>105</v>
      </c>
      <c r="R650" s="6" t="s">
        <v>155</v>
      </c>
      <c r="S650" s="21" t="n">
        <v>0.815</v>
      </c>
      <c r="T650" s="14" t="n">
        <v>15773.6</v>
      </c>
      <c r="U650" s="6" t="s">
        <v>32</v>
      </c>
    </row>
    <row r="651" customFormat="false" ht="15" hidden="false" customHeight="true" outlineLevel="0" collapsed="false">
      <c r="A651" s="6" t="s">
        <v>1495</v>
      </c>
      <c r="B651" s="6" t="s">
        <v>1496</v>
      </c>
      <c r="C651" s="6" t="s">
        <v>112</v>
      </c>
      <c r="D651" s="6" t="s">
        <v>188</v>
      </c>
      <c r="E651" s="6" t="s">
        <v>165</v>
      </c>
      <c r="F651" s="13" t="n">
        <v>44632</v>
      </c>
      <c r="G651" s="13" t="n">
        <v>44692</v>
      </c>
      <c r="H651" s="14" t="n">
        <v>232716.31</v>
      </c>
      <c r="I651" s="6" t="n">
        <v>2</v>
      </c>
      <c r="J651" s="6" t="n">
        <v>509</v>
      </c>
      <c r="K651" s="6" t="s">
        <v>185</v>
      </c>
      <c r="L651" s="14" t="n">
        <v>22430.53</v>
      </c>
      <c r="M651" s="22" t="n">
        <v>1.094</v>
      </c>
      <c r="N651" s="14" t="n">
        <v>24539</v>
      </c>
      <c r="O651" s="14" t="n">
        <v>2108.47</v>
      </c>
      <c r="P651" s="21" t="n">
        <v>0.099</v>
      </c>
      <c r="Q651" s="6" t="n">
        <v>60</v>
      </c>
      <c r="R651" s="6" t="s">
        <v>161</v>
      </c>
      <c r="S651" s="21" t="n">
        <v>1</v>
      </c>
      <c r="T651" s="14" t="n">
        <v>24539</v>
      </c>
      <c r="U651" s="6" t="s">
        <v>13</v>
      </c>
    </row>
    <row r="652" customFormat="false" ht="15" hidden="false" customHeight="true" outlineLevel="0" collapsed="false">
      <c r="A652" s="6" t="s">
        <v>1497</v>
      </c>
      <c r="B652" s="6" t="s">
        <v>1498</v>
      </c>
      <c r="C652" s="6" t="s">
        <v>116</v>
      </c>
      <c r="D652" s="6" t="s">
        <v>222</v>
      </c>
      <c r="E652" s="6" t="s">
        <v>207</v>
      </c>
      <c r="F652" s="13" t="n">
        <v>44566</v>
      </c>
      <c r="G652" s="13" t="n">
        <v>44653</v>
      </c>
      <c r="H652" s="14" t="n">
        <v>12477.64</v>
      </c>
      <c r="I652" s="6" t="n">
        <v>1</v>
      </c>
      <c r="J652" s="6" t="n">
        <v>639</v>
      </c>
      <c r="K652" s="6" t="s">
        <v>160</v>
      </c>
      <c r="L652" s="14" t="n">
        <v>2973.43</v>
      </c>
      <c r="M652" s="22" t="n">
        <v>1.193</v>
      </c>
      <c r="N652" s="14" t="n">
        <v>3547.3</v>
      </c>
      <c r="O652" s="14" t="n">
        <v>573.87</v>
      </c>
      <c r="P652" s="21" t="n">
        <v>0.098</v>
      </c>
      <c r="Q652" s="6" t="n">
        <v>87</v>
      </c>
      <c r="R652" s="6" t="s">
        <v>155</v>
      </c>
      <c r="S652" s="21" t="n">
        <v>0.85</v>
      </c>
      <c r="T652" s="14" t="n">
        <v>3015.2</v>
      </c>
      <c r="U652" s="6" t="s">
        <v>11</v>
      </c>
    </row>
    <row r="653" customFormat="false" ht="15" hidden="false" customHeight="true" outlineLevel="0" collapsed="false">
      <c r="A653" s="6" t="s">
        <v>1499</v>
      </c>
      <c r="B653" s="6" t="s">
        <v>1500</v>
      </c>
      <c r="C653" s="6" t="s">
        <v>131</v>
      </c>
      <c r="D653" s="6" t="s">
        <v>200</v>
      </c>
      <c r="E653" s="6" t="s">
        <v>189</v>
      </c>
      <c r="F653" s="13" t="n">
        <v>46077</v>
      </c>
      <c r="G653" s="13" t="n">
        <v>46222</v>
      </c>
      <c r="H653" s="14" t="n">
        <v>210951.57</v>
      </c>
      <c r="I653" s="6" t="n">
        <v>2</v>
      </c>
      <c r="J653" s="6" t="n">
        <v>769</v>
      </c>
      <c r="K653" s="6" t="s">
        <v>154</v>
      </c>
      <c r="L653" s="14" t="n">
        <v>45427.99</v>
      </c>
      <c r="M653" s="22" t="n">
        <v>1.217</v>
      </c>
      <c r="N653" s="14" t="n">
        <v>55285.86</v>
      </c>
      <c r="O653" s="14" t="n">
        <v>9857.87</v>
      </c>
      <c r="P653" s="21" t="n">
        <v>0.054</v>
      </c>
      <c r="Q653" s="6" t="n">
        <v>145</v>
      </c>
      <c r="R653" s="6" t="s">
        <v>161</v>
      </c>
      <c r="S653" s="21" t="n">
        <v>1</v>
      </c>
      <c r="T653" s="14" t="n">
        <v>55285.86</v>
      </c>
      <c r="U653" s="6" t="s">
        <v>60</v>
      </c>
    </row>
    <row r="654" customFormat="false" ht="15" hidden="false" customHeight="true" outlineLevel="0" collapsed="false">
      <c r="A654" s="6" t="s">
        <v>1501</v>
      </c>
      <c r="B654" s="6" t="s">
        <v>1502</v>
      </c>
      <c r="C654" s="6" t="s">
        <v>131</v>
      </c>
      <c r="D654" s="6" t="s">
        <v>152</v>
      </c>
      <c r="E654" s="6" t="s">
        <v>288</v>
      </c>
      <c r="F654" s="13" t="n">
        <v>45184</v>
      </c>
      <c r="G654" s="13" t="n">
        <v>45244</v>
      </c>
      <c r="H654" s="14" t="n">
        <v>173783.55</v>
      </c>
      <c r="I654" s="6" t="n">
        <v>1</v>
      </c>
      <c r="J654" s="6" t="n">
        <v>724</v>
      </c>
      <c r="K654" s="6" t="s">
        <v>160</v>
      </c>
      <c r="L654" s="14" t="n">
        <v>19033.66</v>
      </c>
      <c r="M654" s="22" t="n">
        <v>1.24</v>
      </c>
      <c r="N654" s="14" t="n">
        <v>23601.74</v>
      </c>
      <c r="O654" s="14" t="n">
        <v>4568.08</v>
      </c>
      <c r="P654" s="21" t="n">
        <v>0.119</v>
      </c>
      <c r="Q654" s="6" t="n">
        <v>60</v>
      </c>
      <c r="R654" s="6" t="s">
        <v>155</v>
      </c>
      <c r="S654" s="21" t="n">
        <v>0.805</v>
      </c>
      <c r="T654" s="14" t="n">
        <v>18999.4</v>
      </c>
      <c r="U654" s="6" t="s">
        <v>31</v>
      </c>
    </row>
    <row r="655" customFormat="false" ht="15" hidden="false" customHeight="true" outlineLevel="0" collapsed="false">
      <c r="A655" s="6" t="s">
        <v>1503</v>
      </c>
      <c r="B655" s="6" t="s">
        <v>1504</v>
      </c>
      <c r="C655" s="6" t="s">
        <v>112</v>
      </c>
      <c r="D655" s="6" t="s">
        <v>164</v>
      </c>
      <c r="E655" s="6" t="s">
        <v>326</v>
      </c>
      <c r="F655" s="13" t="n">
        <v>45085</v>
      </c>
      <c r="G655" s="13" t="n">
        <v>45145</v>
      </c>
      <c r="H655" s="14" t="n">
        <v>243352.53</v>
      </c>
      <c r="I655" s="6" t="n">
        <v>0</v>
      </c>
      <c r="J655" s="6" t="n">
        <v>624</v>
      </c>
      <c r="K655" s="6" t="s">
        <v>154</v>
      </c>
      <c r="L655" s="14" t="n">
        <v>38193.11</v>
      </c>
      <c r="M655" s="22" t="n">
        <v>1.277</v>
      </c>
      <c r="N655" s="14" t="n">
        <v>48772.6</v>
      </c>
      <c r="O655" s="14" t="n">
        <v>10579.49</v>
      </c>
      <c r="P655" s="21" t="n">
        <v>0.141</v>
      </c>
      <c r="Q655" s="6" t="n">
        <v>60</v>
      </c>
      <c r="R655" s="6" t="s">
        <v>161</v>
      </c>
      <c r="S655" s="21" t="n">
        <v>1</v>
      </c>
      <c r="T655" s="14" t="n">
        <v>48772.6</v>
      </c>
      <c r="U655" s="6" t="s">
        <v>28</v>
      </c>
    </row>
    <row r="656" customFormat="false" ht="15" hidden="false" customHeight="true" outlineLevel="0" collapsed="false">
      <c r="A656" s="6" t="s">
        <v>1505</v>
      </c>
      <c r="B656" s="6" t="s">
        <v>1506</v>
      </c>
      <c r="C656" s="6" t="s">
        <v>131</v>
      </c>
      <c r="D656" s="6" t="s">
        <v>200</v>
      </c>
      <c r="E656" s="6" t="s">
        <v>173</v>
      </c>
      <c r="F656" s="13" t="n">
        <v>44974</v>
      </c>
      <c r="G656" s="13" t="n">
        <v>45148</v>
      </c>
      <c r="H656" s="14" t="n">
        <v>73180.17</v>
      </c>
      <c r="I656" s="6" t="n">
        <v>2</v>
      </c>
      <c r="J656" s="6" t="n">
        <v>624</v>
      </c>
      <c r="K656" s="6" t="s">
        <v>160</v>
      </c>
      <c r="L656" s="14" t="n">
        <v>35043.39</v>
      </c>
      <c r="M656" s="22" t="n">
        <v>1.312</v>
      </c>
      <c r="N656" s="14" t="n">
        <v>45976.93</v>
      </c>
      <c r="O656" s="14" t="n">
        <v>10933.54</v>
      </c>
      <c r="P656" s="21" t="n">
        <v>0.108</v>
      </c>
      <c r="Q656" s="6" t="n">
        <v>174</v>
      </c>
      <c r="R656" s="6" t="s">
        <v>161</v>
      </c>
      <c r="S656" s="21" t="n">
        <v>1</v>
      </c>
      <c r="T656" s="14" t="n">
        <v>45976.93</v>
      </c>
      <c r="U656" s="6" t="s">
        <v>24</v>
      </c>
    </row>
    <row r="657" customFormat="false" ht="15" hidden="false" customHeight="true" outlineLevel="0" collapsed="false">
      <c r="A657" s="6" t="s">
        <v>1507</v>
      </c>
      <c r="B657" s="6" t="s">
        <v>1508</v>
      </c>
      <c r="C657" s="6" t="s">
        <v>124</v>
      </c>
      <c r="D657" s="6" t="s">
        <v>238</v>
      </c>
      <c r="E657" s="6" t="s">
        <v>192</v>
      </c>
      <c r="F657" s="13" t="n">
        <v>45181</v>
      </c>
      <c r="G657" s="13" t="n">
        <v>45241</v>
      </c>
      <c r="H657" s="14" t="n">
        <v>173356.99</v>
      </c>
      <c r="I657" s="6" t="n">
        <v>1</v>
      </c>
      <c r="J657" s="6" t="n">
        <v>633</v>
      </c>
      <c r="K657" s="6" t="s">
        <v>160</v>
      </c>
      <c r="L657" s="14" t="n">
        <v>22581.75</v>
      </c>
      <c r="M657" s="22" t="n">
        <v>1.127</v>
      </c>
      <c r="N657" s="14" t="n">
        <v>25449.63</v>
      </c>
      <c r="O657" s="14" t="n">
        <v>2867.88</v>
      </c>
      <c r="P657" s="21" t="n">
        <v>0.083</v>
      </c>
      <c r="Q657" s="6" t="n">
        <v>60</v>
      </c>
      <c r="R657" s="6" t="s">
        <v>155</v>
      </c>
      <c r="S657" s="21" t="n">
        <v>0.969</v>
      </c>
      <c r="T657" s="14" t="n">
        <v>24660.69</v>
      </c>
      <c r="U657" s="6" t="s">
        <v>31</v>
      </c>
    </row>
    <row r="658" customFormat="false" ht="15" hidden="false" customHeight="true" outlineLevel="0" collapsed="false">
      <c r="A658" s="6" t="s">
        <v>1509</v>
      </c>
      <c r="B658" s="6" t="s">
        <v>1510</v>
      </c>
      <c r="C658" s="6" t="s">
        <v>131</v>
      </c>
      <c r="D658" s="6" t="s">
        <v>152</v>
      </c>
      <c r="E658" s="6" t="s">
        <v>184</v>
      </c>
      <c r="F658" s="13" t="n">
        <v>45404</v>
      </c>
      <c r="G658" s="13" t="n">
        <v>45504</v>
      </c>
      <c r="H658" s="14" t="n">
        <v>12810.92</v>
      </c>
      <c r="I658" s="6" t="n">
        <v>0</v>
      </c>
      <c r="J658" s="6" t="n">
        <v>562</v>
      </c>
      <c r="K658" s="6" t="s">
        <v>160</v>
      </c>
      <c r="L658" s="14" t="n">
        <v>3778.21</v>
      </c>
      <c r="M658" s="22" t="n">
        <v>1.327</v>
      </c>
      <c r="N658" s="14" t="n">
        <v>5013.68</v>
      </c>
      <c r="O658" s="14" t="n">
        <v>1235.47</v>
      </c>
      <c r="P658" s="21" t="n">
        <v>0.117</v>
      </c>
      <c r="Q658" s="6" t="n">
        <v>100</v>
      </c>
      <c r="R658" s="6" t="s">
        <v>155</v>
      </c>
      <c r="S658" s="21" t="n">
        <v>0.716</v>
      </c>
      <c r="T658" s="14" t="n">
        <v>3589.79</v>
      </c>
      <c r="U658" s="6" t="s">
        <v>38</v>
      </c>
    </row>
    <row r="659" customFormat="false" ht="15" hidden="false" customHeight="true" outlineLevel="0" collapsed="false">
      <c r="A659" s="6" t="s">
        <v>1511</v>
      </c>
      <c r="B659" s="6" t="s">
        <v>1512</v>
      </c>
      <c r="C659" s="6" t="s">
        <v>128</v>
      </c>
      <c r="D659" s="6" t="s">
        <v>172</v>
      </c>
      <c r="E659" s="6" t="s">
        <v>192</v>
      </c>
      <c r="F659" s="13" t="n">
        <v>44591</v>
      </c>
      <c r="G659" s="13" t="n">
        <v>44664</v>
      </c>
      <c r="H659" s="14" t="n">
        <v>84901.11</v>
      </c>
      <c r="I659" s="6" t="n">
        <v>0</v>
      </c>
      <c r="J659" s="6" t="n">
        <v>565</v>
      </c>
      <c r="K659" s="6" t="s">
        <v>185</v>
      </c>
      <c r="L659" s="14" t="n">
        <v>27497.35</v>
      </c>
      <c r="M659" s="22" t="n">
        <v>1.347</v>
      </c>
      <c r="N659" s="14" t="n">
        <v>37038.93</v>
      </c>
      <c r="O659" s="14" t="n">
        <v>9541.58</v>
      </c>
      <c r="P659" s="21" t="n">
        <v>0.177</v>
      </c>
      <c r="Q659" s="6" t="n">
        <v>73</v>
      </c>
      <c r="R659" s="6" t="s">
        <v>161</v>
      </c>
      <c r="S659" s="21" t="n">
        <v>1</v>
      </c>
      <c r="T659" s="14" t="n">
        <v>37038.93</v>
      </c>
      <c r="U659" s="6" t="s">
        <v>11</v>
      </c>
    </row>
    <row r="660" customFormat="false" ht="15" hidden="false" customHeight="true" outlineLevel="0" collapsed="false">
      <c r="A660" s="6" t="s">
        <v>1513</v>
      </c>
      <c r="B660" s="6" t="s">
        <v>1514</v>
      </c>
      <c r="C660" s="6" t="s">
        <v>131</v>
      </c>
      <c r="D660" s="6" t="s">
        <v>152</v>
      </c>
      <c r="E660" s="6" t="s">
        <v>159</v>
      </c>
      <c r="F660" s="13" t="n">
        <v>44953</v>
      </c>
      <c r="G660" s="13" t="n">
        <v>45080</v>
      </c>
      <c r="H660" s="14" t="n">
        <v>242606.15</v>
      </c>
      <c r="I660" s="6" t="n">
        <v>1</v>
      </c>
      <c r="J660" s="6" t="n">
        <v>670</v>
      </c>
      <c r="K660" s="6" t="s">
        <v>160</v>
      </c>
      <c r="L660" s="14" t="n">
        <v>41009.71</v>
      </c>
      <c r="M660" s="22" t="n">
        <v>1.307</v>
      </c>
      <c r="N660" s="14" t="n">
        <v>53599.69</v>
      </c>
      <c r="O660" s="14" t="n">
        <v>12589.98</v>
      </c>
      <c r="P660" s="21" t="n">
        <v>0.052</v>
      </c>
      <c r="Q660" s="6" t="n">
        <v>127</v>
      </c>
      <c r="R660" s="6" t="s">
        <v>155</v>
      </c>
      <c r="S660" s="21" t="n">
        <v>0.754</v>
      </c>
      <c r="T660" s="14" t="n">
        <v>40414.17</v>
      </c>
      <c r="U660" s="6" t="s">
        <v>23</v>
      </c>
    </row>
    <row r="661" customFormat="false" ht="15" hidden="false" customHeight="true" outlineLevel="0" collapsed="false">
      <c r="A661" s="6" t="s">
        <v>1515</v>
      </c>
      <c r="B661" s="6" t="s">
        <v>1516</v>
      </c>
      <c r="C661" s="6" t="s">
        <v>124</v>
      </c>
      <c r="D661" s="6" t="s">
        <v>180</v>
      </c>
      <c r="E661" s="6" t="s">
        <v>288</v>
      </c>
      <c r="F661" s="13" t="n">
        <v>45387</v>
      </c>
      <c r="G661" s="13" t="n">
        <v>45494</v>
      </c>
      <c r="H661" s="14" t="n">
        <v>119137.68</v>
      </c>
      <c r="I661" s="6" t="n">
        <v>3</v>
      </c>
      <c r="J661" s="6" t="n">
        <v>594</v>
      </c>
      <c r="K661" s="6" t="s">
        <v>160</v>
      </c>
      <c r="L661" s="14" t="n">
        <v>18898.41</v>
      </c>
      <c r="M661" s="22" t="n">
        <v>1.132</v>
      </c>
      <c r="N661" s="14" t="n">
        <v>21393</v>
      </c>
      <c r="O661" s="14" t="n">
        <v>2494.59</v>
      </c>
      <c r="P661" s="21" t="n">
        <v>0.05</v>
      </c>
      <c r="Q661" s="6" t="n">
        <v>107</v>
      </c>
      <c r="R661" s="6" t="s">
        <v>155</v>
      </c>
      <c r="S661" s="21" t="n">
        <v>0.907</v>
      </c>
      <c r="T661" s="14" t="n">
        <v>19403.45</v>
      </c>
      <c r="U661" s="6" t="s">
        <v>38</v>
      </c>
    </row>
    <row r="662" customFormat="false" ht="15" hidden="false" customHeight="true" outlineLevel="0" collapsed="false">
      <c r="A662" s="6" t="s">
        <v>1517</v>
      </c>
      <c r="B662" s="6" t="s">
        <v>1518</v>
      </c>
      <c r="C662" s="6" t="s">
        <v>116</v>
      </c>
      <c r="D662" s="6" t="s">
        <v>152</v>
      </c>
      <c r="E662" s="6" t="s">
        <v>211</v>
      </c>
      <c r="F662" s="13" t="n">
        <v>45868</v>
      </c>
      <c r="G662" s="13" t="n">
        <v>45928</v>
      </c>
      <c r="H662" s="14" t="n">
        <v>172392.94</v>
      </c>
      <c r="I662" s="6" t="n">
        <v>1</v>
      </c>
      <c r="J662" s="6" t="n">
        <v>511</v>
      </c>
      <c r="K662" s="6" t="s">
        <v>185</v>
      </c>
      <c r="L662" s="14" t="n">
        <v>28257.55</v>
      </c>
      <c r="M662" s="22" t="n">
        <v>1.296</v>
      </c>
      <c r="N662" s="14" t="n">
        <v>36621.78</v>
      </c>
      <c r="O662" s="14" t="n">
        <v>8364.23</v>
      </c>
      <c r="P662" s="21" t="n">
        <v>0.12</v>
      </c>
      <c r="Q662" s="6" t="n">
        <v>60</v>
      </c>
      <c r="R662" s="6" t="s">
        <v>161</v>
      </c>
      <c r="S662" s="21" t="n">
        <v>1</v>
      </c>
      <c r="T662" s="14" t="n">
        <v>36621.78</v>
      </c>
      <c r="U662" s="6" t="s">
        <v>53</v>
      </c>
    </row>
    <row r="663" customFormat="false" ht="15" hidden="false" customHeight="true" outlineLevel="0" collapsed="false">
      <c r="A663" s="6" t="s">
        <v>1519</v>
      </c>
      <c r="B663" s="6" t="s">
        <v>1520</v>
      </c>
      <c r="C663" s="6" t="s">
        <v>128</v>
      </c>
      <c r="D663" s="6" t="s">
        <v>401</v>
      </c>
      <c r="E663" s="6" t="s">
        <v>173</v>
      </c>
      <c r="F663" s="13" t="n">
        <v>44680</v>
      </c>
      <c r="G663" s="13" t="n">
        <v>44746</v>
      </c>
      <c r="H663" s="14" t="n">
        <v>173888.75</v>
      </c>
      <c r="I663" s="6" t="n">
        <v>3</v>
      </c>
      <c r="J663" s="6" t="n">
        <v>740</v>
      </c>
      <c r="K663" s="6" t="s">
        <v>185</v>
      </c>
      <c r="L663" s="14" t="n">
        <v>39837.62</v>
      </c>
      <c r="M663" s="22" t="n">
        <v>1.097</v>
      </c>
      <c r="N663" s="14" t="n">
        <v>43701.87</v>
      </c>
      <c r="O663" s="14" t="n">
        <v>3864.25</v>
      </c>
      <c r="P663" s="21" t="n">
        <v>0.114</v>
      </c>
      <c r="Q663" s="6" t="n">
        <v>66</v>
      </c>
      <c r="R663" s="6" t="s">
        <v>161</v>
      </c>
      <c r="S663" s="21" t="n">
        <v>1</v>
      </c>
      <c r="T663" s="14" t="n">
        <v>43701.87</v>
      </c>
      <c r="U663" s="6" t="s">
        <v>14</v>
      </c>
    </row>
    <row r="664" customFormat="false" ht="15" hidden="false" customHeight="true" outlineLevel="0" collapsed="false">
      <c r="A664" s="6" t="s">
        <v>1521</v>
      </c>
      <c r="B664" s="6" t="s">
        <v>1522</v>
      </c>
      <c r="C664" s="6" t="s">
        <v>116</v>
      </c>
      <c r="D664" s="6" t="s">
        <v>152</v>
      </c>
      <c r="E664" s="6" t="s">
        <v>211</v>
      </c>
      <c r="F664" s="13" t="n">
        <v>45856</v>
      </c>
      <c r="G664" s="13" t="n">
        <v>45916</v>
      </c>
      <c r="H664" s="14" t="n">
        <v>104459.67</v>
      </c>
      <c r="I664" s="6" t="n">
        <v>0</v>
      </c>
      <c r="J664" s="6" t="n">
        <v>690</v>
      </c>
      <c r="K664" s="6" t="s">
        <v>154</v>
      </c>
      <c r="L664" s="14" t="n">
        <v>19561.89</v>
      </c>
      <c r="M664" s="22" t="n">
        <v>1.292</v>
      </c>
      <c r="N664" s="14" t="n">
        <v>25273.96</v>
      </c>
      <c r="O664" s="14" t="n">
        <v>5712.07</v>
      </c>
      <c r="P664" s="21" t="n">
        <v>0.128</v>
      </c>
      <c r="Q664" s="6" t="n">
        <v>60</v>
      </c>
      <c r="R664" s="6" t="s">
        <v>155</v>
      </c>
      <c r="S664" s="21" t="n">
        <v>0.958</v>
      </c>
      <c r="T664" s="14" t="n">
        <v>24212.45</v>
      </c>
      <c r="U664" s="6" t="s">
        <v>53</v>
      </c>
    </row>
    <row r="665" customFormat="false" ht="15" hidden="false" customHeight="true" outlineLevel="0" collapsed="false">
      <c r="A665" s="6" t="s">
        <v>1523</v>
      </c>
      <c r="B665" s="6" t="s">
        <v>1524</v>
      </c>
      <c r="C665" s="6" t="s">
        <v>124</v>
      </c>
      <c r="D665" s="6" t="s">
        <v>168</v>
      </c>
      <c r="E665" s="6" t="s">
        <v>173</v>
      </c>
      <c r="F665" s="13" t="n">
        <v>45695</v>
      </c>
      <c r="G665" s="13" t="n">
        <v>45795</v>
      </c>
      <c r="H665" s="14" t="n">
        <v>16868.8</v>
      </c>
      <c r="I665" s="6" t="n">
        <v>0</v>
      </c>
      <c r="J665" s="6" t="n">
        <v>645</v>
      </c>
      <c r="K665" s="6" t="s">
        <v>160</v>
      </c>
      <c r="L665" s="14" t="n">
        <v>3160.65</v>
      </c>
      <c r="M665" s="22" t="n">
        <v>1.239</v>
      </c>
      <c r="N665" s="14" t="n">
        <v>3916.05</v>
      </c>
      <c r="O665" s="14" t="n">
        <v>755.4</v>
      </c>
      <c r="P665" s="21" t="n">
        <v>0.069</v>
      </c>
      <c r="Q665" s="6" t="n">
        <v>100</v>
      </c>
      <c r="R665" s="6" t="s">
        <v>161</v>
      </c>
      <c r="S665" s="21" t="n">
        <v>1</v>
      </c>
      <c r="T665" s="14" t="n">
        <v>3916.05</v>
      </c>
      <c r="U665" s="6" t="s">
        <v>48</v>
      </c>
    </row>
    <row r="666" customFormat="false" ht="15" hidden="false" customHeight="true" outlineLevel="0" collapsed="false">
      <c r="A666" s="6" t="s">
        <v>1525</v>
      </c>
      <c r="B666" s="6" t="s">
        <v>1526</v>
      </c>
      <c r="C666" s="6" t="s">
        <v>116</v>
      </c>
      <c r="D666" s="6" t="s">
        <v>222</v>
      </c>
      <c r="E666" s="6" t="s">
        <v>177</v>
      </c>
      <c r="F666" s="13" t="n">
        <v>45008</v>
      </c>
      <c r="G666" s="13" t="n">
        <v>45115</v>
      </c>
      <c r="H666" s="14" t="n">
        <v>175105.12</v>
      </c>
      <c r="I666" s="6" t="n">
        <v>0</v>
      </c>
      <c r="J666" s="6" t="n">
        <v>656</v>
      </c>
      <c r="K666" s="6" t="s">
        <v>160</v>
      </c>
      <c r="L666" s="14" t="n">
        <v>65447.61</v>
      </c>
      <c r="M666" s="22" t="n">
        <v>1.307</v>
      </c>
      <c r="N666" s="14" t="n">
        <v>85540.03</v>
      </c>
      <c r="O666" s="14" t="n">
        <v>20092.42</v>
      </c>
      <c r="P666" s="21" t="n">
        <v>0.136</v>
      </c>
      <c r="Q666" s="6" t="n">
        <v>107</v>
      </c>
      <c r="R666" s="6" t="s">
        <v>155</v>
      </c>
      <c r="S666" s="21" t="n">
        <v>0.815</v>
      </c>
      <c r="T666" s="14" t="n">
        <v>69715.12</v>
      </c>
      <c r="U666" s="6" t="s">
        <v>25</v>
      </c>
    </row>
    <row r="667" customFormat="false" ht="15" hidden="false" customHeight="true" outlineLevel="0" collapsed="false">
      <c r="A667" s="6" t="s">
        <v>1527</v>
      </c>
      <c r="B667" s="6" t="s">
        <v>1528</v>
      </c>
      <c r="C667" s="6" t="s">
        <v>112</v>
      </c>
      <c r="D667" s="6" t="s">
        <v>225</v>
      </c>
      <c r="E667" s="6" t="s">
        <v>165</v>
      </c>
      <c r="F667" s="13" t="n">
        <v>45755</v>
      </c>
      <c r="G667" s="13" t="n">
        <v>45857</v>
      </c>
      <c r="H667" s="14" t="n">
        <v>137652.5</v>
      </c>
      <c r="I667" s="6" t="n">
        <v>1</v>
      </c>
      <c r="J667" s="6" t="n">
        <v>604</v>
      </c>
      <c r="K667" s="6" t="s">
        <v>185</v>
      </c>
      <c r="L667" s="14" t="n">
        <v>55697.04</v>
      </c>
      <c r="M667" s="22" t="n">
        <v>1.242</v>
      </c>
      <c r="N667" s="14" t="n">
        <v>69175.72</v>
      </c>
      <c r="O667" s="14" t="n">
        <v>13478.68</v>
      </c>
      <c r="P667" s="21" t="n">
        <v>0.147</v>
      </c>
      <c r="Q667" s="6" t="n">
        <v>102</v>
      </c>
      <c r="R667" s="6" t="s">
        <v>161</v>
      </c>
      <c r="S667" s="21" t="n">
        <v>1</v>
      </c>
      <c r="T667" s="14" t="n">
        <v>69175.72</v>
      </c>
      <c r="U667" s="6" t="s">
        <v>50</v>
      </c>
    </row>
    <row r="668" customFormat="false" ht="15" hidden="false" customHeight="true" outlineLevel="0" collapsed="false">
      <c r="A668" s="6" t="s">
        <v>1529</v>
      </c>
      <c r="B668" s="6" t="s">
        <v>1530</v>
      </c>
      <c r="C668" s="6" t="s">
        <v>116</v>
      </c>
      <c r="D668" s="6" t="s">
        <v>222</v>
      </c>
      <c r="E668" s="6" t="s">
        <v>169</v>
      </c>
      <c r="F668" s="13" t="n">
        <v>45932</v>
      </c>
      <c r="G668" s="13" t="n">
        <v>45992</v>
      </c>
      <c r="H668" s="14" t="n">
        <v>168181.05</v>
      </c>
      <c r="I668" s="6" t="n">
        <v>3</v>
      </c>
      <c r="J668" s="6" t="n">
        <v>614</v>
      </c>
      <c r="K668" s="6" t="s">
        <v>185</v>
      </c>
      <c r="L668" s="14" t="n">
        <v>38933.78</v>
      </c>
      <c r="M668" s="22" t="n">
        <v>1.123</v>
      </c>
      <c r="N668" s="14" t="n">
        <v>43722.63</v>
      </c>
      <c r="O668" s="14" t="n">
        <v>4788.85</v>
      </c>
      <c r="P668" s="21" t="n">
        <v>0.168</v>
      </c>
      <c r="Q668" s="6" t="n">
        <v>60</v>
      </c>
      <c r="R668" s="6" t="s">
        <v>155</v>
      </c>
      <c r="S668" s="21" t="n">
        <v>0.854</v>
      </c>
      <c r="T668" s="14" t="n">
        <v>37339.13</v>
      </c>
      <c r="U668" s="6" t="s">
        <v>56</v>
      </c>
    </row>
    <row r="669" customFormat="false" ht="15" hidden="false" customHeight="true" outlineLevel="0" collapsed="false">
      <c r="A669" s="6" t="s">
        <v>1531</v>
      </c>
      <c r="B669" s="6" t="s">
        <v>1532</v>
      </c>
      <c r="C669" s="6" t="s">
        <v>124</v>
      </c>
      <c r="D669" s="6" t="s">
        <v>180</v>
      </c>
      <c r="E669" s="6" t="s">
        <v>219</v>
      </c>
      <c r="F669" s="13" t="n">
        <v>44986</v>
      </c>
      <c r="G669" s="13" t="n">
        <v>45080</v>
      </c>
      <c r="H669" s="14" t="n">
        <v>141097.63</v>
      </c>
      <c r="I669" s="6" t="n">
        <v>1</v>
      </c>
      <c r="J669" s="6" t="n">
        <v>581</v>
      </c>
      <c r="K669" s="6" t="s">
        <v>160</v>
      </c>
      <c r="L669" s="14" t="n">
        <v>45493.22</v>
      </c>
      <c r="M669" s="22" t="n">
        <v>1.086</v>
      </c>
      <c r="N669" s="14" t="n">
        <v>49405.64</v>
      </c>
      <c r="O669" s="14" t="n">
        <v>3912.42</v>
      </c>
      <c r="P669" s="21" t="n">
        <v>0.111</v>
      </c>
      <c r="Q669" s="6" t="n">
        <v>94</v>
      </c>
      <c r="R669" s="6" t="s">
        <v>161</v>
      </c>
      <c r="S669" s="21" t="n">
        <v>1</v>
      </c>
      <c r="T669" s="14" t="n">
        <v>49405.64</v>
      </c>
      <c r="U669" s="6" t="s">
        <v>25</v>
      </c>
    </row>
    <row r="670" customFormat="false" ht="15" hidden="false" customHeight="true" outlineLevel="0" collapsed="false">
      <c r="A670" s="6" t="s">
        <v>1533</v>
      </c>
      <c r="B670" s="6" t="s">
        <v>1534</v>
      </c>
      <c r="C670" s="6" t="s">
        <v>128</v>
      </c>
      <c r="D670" s="6" t="s">
        <v>401</v>
      </c>
      <c r="E670" s="6" t="s">
        <v>219</v>
      </c>
      <c r="F670" s="13" t="n">
        <v>45353</v>
      </c>
      <c r="G670" s="13" t="n">
        <v>45413</v>
      </c>
      <c r="H670" s="14" t="n">
        <v>164218.36</v>
      </c>
      <c r="I670" s="6" t="n">
        <v>4</v>
      </c>
      <c r="J670" s="6" t="n">
        <v>785</v>
      </c>
      <c r="K670" s="6" t="s">
        <v>154</v>
      </c>
      <c r="L670" s="14" t="n">
        <v>31012.54</v>
      </c>
      <c r="M670" s="22" t="n">
        <v>1.306</v>
      </c>
      <c r="N670" s="14" t="n">
        <v>40502.38</v>
      </c>
      <c r="O670" s="14" t="n">
        <v>9489.84</v>
      </c>
      <c r="P670" s="21" t="n">
        <v>0.137</v>
      </c>
      <c r="Q670" s="6" t="n">
        <v>60</v>
      </c>
      <c r="R670" s="6" t="s">
        <v>161</v>
      </c>
      <c r="S670" s="21" t="n">
        <v>1</v>
      </c>
      <c r="T670" s="14" t="n">
        <v>40502.38</v>
      </c>
      <c r="U670" s="6" t="s">
        <v>37</v>
      </c>
    </row>
    <row r="671" customFormat="false" ht="15" hidden="false" customHeight="true" outlineLevel="0" collapsed="false">
      <c r="A671" s="6" t="s">
        <v>1535</v>
      </c>
      <c r="B671" s="6" t="s">
        <v>1536</v>
      </c>
      <c r="C671" s="6" t="s">
        <v>128</v>
      </c>
      <c r="D671" s="6" t="s">
        <v>401</v>
      </c>
      <c r="E671" s="6" t="s">
        <v>254</v>
      </c>
      <c r="F671" s="13" t="n">
        <v>45861</v>
      </c>
      <c r="G671" s="13" t="n">
        <v>46074</v>
      </c>
      <c r="H671" s="14" t="n">
        <v>137715.52</v>
      </c>
      <c r="I671" s="6" t="n">
        <v>0</v>
      </c>
      <c r="J671" s="6" t="n">
        <v>704</v>
      </c>
      <c r="K671" s="6" t="s">
        <v>160</v>
      </c>
      <c r="L671" s="14" t="n">
        <v>63122.63</v>
      </c>
      <c r="M671" s="22" t="n">
        <v>1.088</v>
      </c>
      <c r="N671" s="14" t="n">
        <v>68677.42</v>
      </c>
      <c r="O671" s="14" t="n">
        <v>5554.79</v>
      </c>
      <c r="P671" s="21" t="n">
        <v>0.07</v>
      </c>
      <c r="Q671" s="6" t="n">
        <v>213</v>
      </c>
      <c r="R671" s="6" t="s">
        <v>161</v>
      </c>
      <c r="S671" s="21" t="n">
        <v>1</v>
      </c>
      <c r="T671" s="14" t="n">
        <v>68677.42</v>
      </c>
      <c r="U671" s="6" t="s">
        <v>53</v>
      </c>
    </row>
    <row r="672" customFormat="false" ht="15" hidden="false" customHeight="true" outlineLevel="0" collapsed="false">
      <c r="A672" s="6" t="s">
        <v>1537</v>
      </c>
      <c r="B672" s="6" t="s">
        <v>1538</v>
      </c>
      <c r="C672" s="6" t="s">
        <v>128</v>
      </c>
      <c r="D672" s="6" t="s">
        <v>235</v>
      </c>
      <c r="E672" s="6" t="s">
        <v>159</v>
      </c>
      <c r="F672" s="13" t="n">
        <v>45291</v>
      </c>
      <c r="G672" s="13" t="n">
        <v>45395</v>
      </c>
      <c r="H672" s="14" t="n">
        <v>126487.13</v>
      </c>
      <c r="I672" s="6" t="n">
        <v>0</v>
      </c>
      <c r="J672" s="6" t="n">
        <v>570</v>
      </c>
      <c r="K672" s="6" t="s">
        <v>160</v>
      </c>
      <c r="L672" s="14" t="n">
        <v>44027.88</v>
      </c>
      <c r="M672" s="22" t="n">
        <v>1.321</v>
      </c>
      <c r="N672" s="14" t="n">
        <v>58160.83</v>
      </c>
      <c r="O672" s="14" t="n">
        <v>14132.95</v>
      </c>
      <c r="P672" s="21" t="n">
        <v>0.132</v>
      </c>
      <c r="Q672" s="6" t="n">
        <v>104</v>
      </c>
      <c r="R672" s="6" t="s">
        <v>161</v>
      </c>
      <c r="S672" s="21" t="n">
        <v>1</v>
      </c>
      <c r="T672" s="14" t="n">
        <v>58160.83</v>
      </c>
      <c r="U672" s="6" t="s">
        <v>34</v>
      </c>
    </row>
    <row r="673" customFormat="false" ht="15" hidden="false" customHeight="true" outlineLevel="0" collapsed="false">
      <c r="A673" s="6" t="s">
        <v>1539</v>
      </c>
      <c r="B673" s="6" t="s">
        <v>1540</v>
      </c>
      <c r="C673" s="6" t="s">
        <v>116</v>
      </c>
      <c r="D673" s="6" t="s">
        <v>222</v>
      </c>
      <c r="E673" s="6" t="s">
        <v>192</v>
      </c>
      <c r="F673" s="13" t="n">
        <v>45177</v>
      </c>
      <c r="G673" s="13" t="n">
        <v>45237</v>
      </c>
      <c r="H673" s="14" t="n">
        <v>231937.02</v>
      </c>
      <c r="I673" s="6" t="n">
        <v>0</v>
      </c>
      <c r="J673" s="6" t="n">
        <v>676</v>
      </c>
      <c r="K673" s="6" t="s">
        <v>185</v>
      </c>
      <c r="L673" s="14" t="n">
        <v>32110.27</v>
      </c>
      <c r="M673" s="22" t="n">
        <v>1.225</v>
      </c>
      <c r="N673" s="14" t="n">
        <v>39335.08</v>
      </c>
      <c r="O673" s="14" t="n">
        <v>7224.81</v>
      </c>
      <c r="P673" s="21" t="n">
        <v>0.124</v>
      </c>
      <c r="Q673" s="6" t="n">
        <v>60</v>
      </c>
      <c r="R673" s="6" t="s">
        <v>161</v>
      </c>
      <c r="S673" s="21" t="n">
        <v>1</v>
      </c>
      <c r="T673" s="14" t="n">
        <v>39335.08</v>
      </c>
      <c r="U673" s="6" t="s">
        <v>31</v>
      </c>
    </row>
    <row r="674" customFormat="false" ht="15" hidden="false" customHeight="true" outlineLevel="0" collapsed="false">
      <c r="A674" s="6" t="s">
        <v>1541</v>
      </c>
      <c r="B674" s="6" t="s">
        <v>1542</v>
      </c>
      <c r="C674" s="6" t="s">
        <v>116</v>
      </c>
      <c r="D674" s="6" t="s">
        <v>222</v>
      </c>
      <c r="E674" s="6" t="s">
        <v>219</v>
      </c>
      <c r="F674" s="13" t="n">
        <v>44578</v>
      </c>
      <c r="G674" s="13" t="n">
        <v>44638</v>
      </c>
      <c r="H674" s="14" t="n">
        <v>35698.52</v>
      </c>
      <c r="I674" s="6" t="n">
        <v>2</v>
      </c>
      <c r="J674" s="6" t="n">
        <v>688</v>
      </c>
      <c r="K674" s="6" t="s">
        <v>185</v>
      </c>
      <c r="L674" s="14" t="n">
        <v>8725.14</v>
      </c>
      <c r="M674" s="22" t="n">
        <v>1.097</v>
      </c>
      <c r="N674" s="14" t="n">
        <v>9571.48</v>
      </c>
      <c r="O674" s="14" t="n">
        <v>846.34</v>
      </c>
      <c r="P674" s="21" t="n">
        <v>0.164</v>
      </c>
      <c r="Q674" s="6" t="n">
        <v>60</v>
      </c>
      <c r="R674" s="6" t="s">
        <v>161</v>
      </c>
      <c r="S674" s="21" t="n">
        <v>1</v>
      </c>
      <c r="T674" s="14" t="n">
        <v>9571.48</v>
      </c>
      <c r="U674" s="6" t="s">
        <v>11</v>
      </c>
    </row>
    <row r="675" customFormat="false" ht="15" hidden="false" customHeight="true" outlineLevel="0" collapsed="false">
      <c r="A675" s="6" t="s">
        <v>1543</v>
      </c>
      <c r="B675" s="6" t="s">
        <v>1544</v>
      </c>
      <c r="C675" s="6" t="s">
        <v>124</v>
      </c>
      <c r="D675" s="6" t="s">
        <v>238</v>
      </c>
      <c r="E675" s="6" t="s">
        <v>219</v>
      </c>
      <c r="F675" s="13" t="n">
        <v>44774</v>
      </c>
      <c r="G675" s="13" t="n">
        <v>44857</v>
      </c>
      <c r="H675" s="14" t="n">
        <v>83508.8</v>
      </c>
      <c r="I675" s="6" t="n">
        <v>1</v>
      </c>
      <c r="J675" s="6" t="n">
        <v>604</v>
      </c>
      <c r="K675" s="6" t="s">
        <v>154</v>
      </c>
      <c r="L675" s="14" t="n">
        <v>13592.89</v>
      </c>
      <c r="M675" s="22" t="n">
        <v>1.224</v>
      </c>
      <c r="N675" s="14" t="n">
        <v>16637.7</v>
      </c>
      <c r="O675" s="14" t="n">
        <v>3044.81</v>
      </c>
      <c r="P675" s="21" t="n">
        <v>0.072</v>
      </c>
      <c r="Q675" s="6" t="n">
        <v>83</v>
      </c>
      <c r="R675" s="6" t="s">
        <v>155</v>
      </c>
      <c r="S675" s="21" t="n">
        <v>0.705</v>
      </c>
      <c r="T675" s="14" t="n">
        <v>11729.58</v>
      </c>
      <c r="U675" s="6" t="s">
        <v>18</v>
      </c>
    </row>
    <row r="676" customFormat="false" ht="15" hidden="false" customHeight="true" outlineLevel="0" collapsed="false">
      <c r="A676" s="6" t="s">
        <v>1545</v>
      </c>
      <c r="B676" s="6" t="s">
        <v>1546</v>
      </c>
      <c r="C676" s="6" t="s">
        <v>116</v>
      </c>
      <c r="D676" s="6" t="s">
        <v>206</v>
      </c>
      <c r="E676" s="6" t="s">
        <v>299</v>
      </c>
      <c r="F676" s="13" t="n">
        <v>45977</v>
      </c>
      <c r="G676" s="13" t="n">
        <v>46037</v>
      </c>
      <c r="H676" s="14" t="n">
        <v>10961.45</v>
      </c>
      <c r="I676" s="6" t="n">
        <v>0</v>
      </c>
      <c r="J676" s="6" t="n">
        <v>559</v>
      </c>
      <c r="K676" s="6" t="s">
        <v>154</v>
      </c>
      <c r="L676" s="14" t="n">
        <v>2000</v>
      </c>
      <c r="M676" s="22" t="n">
        <v>1.316</v>
      </c>
      <c r="N676" s="14" t="n">
        <v>2632</v>
      </c>
      <c r="O676" s="14" t="n">
        <v>632</v>
      </c>
      <c r="P676" s="21" t="n">
        <v>0.177</v>
      </c>
      <c r="Q676" s="6" t="n">
        <v>60</v>
      </c>
      <c r="R676" s="6" t="s">
        <v>155</v>
      </c>
      <c r="S676" s="21" t="n">
        <v>0.98</v>
      </c>
      <c r="T676" s="14" t="n">
        <v>2579.36</v>
      </c>
      <c r="U676" s="6" t="s">
        <v>57</v>
      </c>
    </row>
    <row r="677" customFormat="false" ht="15" hidden="false" customHeight="true" outlineLevel="0" collapsed="false">
      <c r="A677" s="6" t="s">
        <v>1547</v>
      </c>
      <c r="B677" s="6" t="s">
        <v>1548</v>
      </c>
      <c r="C677" s="6" t="s">
        <v>124</v>
      </c>
      <c r="D677" s="6" t="s">
        <v>168</v>
      </c>
      <c r="E677" s="6" t="s">
        <v>159</v>
      </c>
      <c r="F677" s="13" t="n">
        <v>45764</v>
      </c>
      <c r="G677" s="13" t="n">
        <v>45873</v>
      </c>
      <c r="H677" s="14" t="n">
        <v>57805.21</v>
      </c>
      <c r="I677" s="6" t="n">
        <v>2</v>
      </c>
      <c r="J677" s="6" t="n">
        <v>545</v>
      </c>
      <c r="K677" s="6" t="s">
        <v>160</v>
      </c>
      <c r="L677" s="14" t="n">
        <v>17837.25</v>
      </c>
      <c r="M677" s="22" t="n">
        <v>1.089</v>
      </c>
      <c r="N677" s="14" t="n">
        <v>19424.77</v>
      </c>
      <c r="O677" s="14" t="n">
        <v>1587.52</v>
      </c>
      <c r="P677" s="21" t="n">
        <v>0.092</v>
      </c>
      <c r="Q677" s="6" t="n">
        <v>109</v>
      </c>
      <c r="R677" s="6" t="s">
        <v>155</v>
      </c>
      <c r="S677" s="21" t="n">
        <v>0.933</v>
      </c>
      <c r="T677" s="14" t="n">
        <v>18123.31</v>
      </c>
      <c r="U677" s="6" t="s">
        <v>50</v>
      </c>
    </row>
    <row r="678" customFormat="false" ht="15" hidden="false" customHeight="true" outlineLevel="0" collapsed="false">
      <c r="A678" s="6" t="s">
        <v>1549</v>
      </c>
      <c r="B678" s="6" t="s">
        <v>1550</v>
      </c>
      <c r="C678" s="6" t="s">
        <v>120</v>
      </c>
      <c r="D678" s="6" t="s">
        <v>210</v>
      </c>
      <c r="E678" s="6" t="s">
        <v>181</v>
      </c>
      <c r="F678" s="13" t="n">
        <v>45756</v>
      </c>
      <c r="G678" s="13" t="n">
        <v>45816</v>
      </c>
      <c r="H678" s="14" t="n">
        <v>199918.41</v>
      </c>
      <c r="I678" s="6" t="n">
        <v>0</v>
      </c>
      <c r="J678" s="6" t="n">
        <v>687</v>
      </c>
      <c r="K678" s="6" t="s">
        <v>185</v>
      </c>
      <c r="L678" s="14" t="n">
        <v>38675.47</v>
      </c>
      <c r="M678" s="22" t="n">
        <v>1.281</v>
      </c>
      <c r="N678" s="14" t="n">
        <v>49543.28</v>
      </c>
      <c r="O678" s="14" t="n">
        <v>10867.81</v>
      </c>
      <c r="P678" s="21" t="n">
        <v>0.145</v>
      </c>
      <c r="Q678" s="6" t="n">
        <v>60</v>
      </c>
      <c r="R678" s="6" t="s">
        <v>232</v>
      </c>
      <c r="S678" s="21" t="n">
        <v>1</v>
      </c>
      <c r="T678" s="14" t="n">
        <v>49543.28</v>
      </c>
      <c r="U678" s="6" t="s">
        <v>50</v>
      </c>
    </row>
    <row r="679" customFormat="false" ht="15" hidden="false" customHeight="true" outlineLevel="0" collapsed="false">
      <c r="A679" s="6" t="s">
        <v>1551</v>
      </c>
      <c r="B679" s="6" t="s">
        <v>1552</v>
      </c>
      <c r="C679" s="6" t="s">
        <v>128</v>
      </c>
      <c r="D679" s="6" t="s">
        <v>235</v>
      </c>
      <c r="E679" s="6" t="s">
        <v>159</v>
      </c>
      <c r="F679" s="13" t="n">
        <v>45714</v>
      </c>
      <c r="G679" s="13" t="n">
        <v>45832</v>
      </c>
      <c r="H679" s="14" t="n">
        <v>94203.15</v>
      </c>
      <c r="I679" s="6" t="n">
        <v>3</v>
      </c>
      <c r="J679" s="6" t="n">
        <v>529</v>
      </c>
      <c r="K679" s="6" t="s">
        <v>160</v>
      </c>
      <c r="L679" s="14" t="n">
        <v>48934.5</v>
      </c>
      <c r="M679" s="22" t="n">
        <v>1.189</v>
      </c>
      <c r="N679" s="14" t="n">
        <v>58183.12</v>
      </c>
      <c r="O679" s="14" t="n">
        <v>9248.62</v>
      </c>
      <c r="P679" s="21" t="n">
        <v>0.156</v>
      </c>
      <c r="Q679" s="6" t="n">
        <v>118</v>
      </c>
      <c r="R679" s="6" t="s">
        <v>155</v>
      </c>
      <c r="S679" s="21" t="n">
        <v>0.794</v>
      </c>
      <c r="T679" s="14" t="n">
        <v>46197.4</v>
      </c>
      <c r="U679" s="6" t="s">
        <v>48</v>
      </c>
    </row>
    <row r="680" customFormat="false" ht="15" hidden="false" customHeight="true" outlineLevel="0" collapsed="false">
      <c r="A680" s="6" t="s">
        <v>1553</v>
      </c>
      <c r="B680" s="6" t="s">
        <v>1554</v>
      </c>
      <c r="C680" s="6" t="s">
        <v>128</v>
      </c>
      <c r="D680" s="6" t="s">
        <v>401</v>
      </c>
      <c r="E680" s="6" t="s">
        <v>201</v>
      </c>
      <c r="F680" s="13" t="n">
        <v>44729</v>
      </c>
      <c r="G680" s="13" t="n">
        <v>44824</v>
      </c>
      <c r="H680" s="14" t="n">
        <v>189000.92</v>
      </c>
      <c r="I680" s="6" t="n">
        <v>0</v>
      </c>
      <c r="J680" s="6" t="n">
        <v>565</v>
      </c>
      <c r="K680" s="6" t="s">
        <v>185</v>
      </c>
      <c r="L680" s="14" t="n">
        <v>48977.53</v>
      </c>
      <c r="M680" s="22" t="n">
        <v>1.16</v>
      </c>
      <c r="N680" s="14" t="n">
        <v>56813.93</v>
      </c>
      <c r="O680" s="14" t="n">
        <v>7836.4</v>
      </c>
      <c r="P680" s="21" t="n">
        <v>0.094</v>
      </c>
      <c r="Q680" s="6" t="n">
        <v>95</v>
      </c>
      <c r="R680" s="6" t="s">
        <v>155</v>
      </c>
      <c r="S680" s="21" t="n">
        <v>0.86</v>
      </c>
      <c r="T680" s="14" t="n">
        <v>48859.98</v>
      </c>
      <c r="U680" s="6" t="s">
        <v>16</v>
      </c>
    </row>
    <row r="681" customFormat="false" ht="15" hidden="false" customHeight="true" outlineLevel="0" collapsed="false">
      <c r="A681" s="6" t="s">
        <v>1555</v>
      </c>
      <c r="B681" s="6" t="s">
        <v>1556</v>
      </c>
      <c r="C681" s="6" t="s">
        <v>112</v>
      </c>
      <c r="D681" s="6" t="s">
        <v>164</v>
      </c>
      <c r="E681" s="6" t="s">
        <v>159</v>
      </c>
      <c r="F681" s="13" t="n">
        <v>44988</v>
      </c>
      <c r="G681" s="13" t="n">
        <v>45056</v>
      </c>
      <c r="H681" s="14" t="n">
        <v>171062.22</v>
      </c>
      <c r="I681" s="6" t="n">
        <v>1</v>
      </c>
      <c r="J681" s="6" t="n">
        <v>532</v>
      </c>
      <c r="K681" s="6" t="s">
        <v>160</v>
      </c>
      <c r="L681" s="14" t="n">
        <v>39446.11</v>
      </c>
      <c r="M681" s="22" t="n">
        <v>1.146</v>
      </c>
      <c r="N681" s="14" t="n">
        <v>45205.24</v>
      </c>
      <c r="O681" s="14" t="n">
        <v>5759.13</v>
      </c>
      <c r="P681" s="21" t="n">
        <v>0.115</v>
      </c>
      <c r="Q681" s="6" t="n">
        <v>68</v>
      </c>
      <c r="R681" s="6" t="s">
        <v>161</v>
      </c>
      <c r="S681" s="21" t="n">
        <v>1</v>
      </c>
      <c r="T681" s="14" t="n">
        <v>45205.24</v>
      </c>
      <c r="U681" s="6" t="s">
        <v>25</v>
      </c>
    </row>
    <row r="682" customFormat="false" ht="15" hidden="false" customHeight="true" outlineLevel="0" collapsed="false">
      <c r="A682" s="6" t="s">
        <v>1557</v>
      </c>
      <c r="B682" s="6" t="s">
        <v>1558</v>
      </c>
      <c r="C682" s="6" t="s">
        <v>116</v>
      </c>
      <c r="D682" s="6" t="s">
        <v>222</v>
      </c>
      <c r="E682" s="6" t="s">
        <v>207</v>
      </c>
      <c r="F682" s="13" t="n">
        <v>45467</v>
      </c>
      <c r="G682" s="13" t="n">
        <v>45527</v>
      </c>
      <c r="H682" s="14" t="n">
        <v>146869.48</v>
      </c>
      <c r="I682" s="6" t="n">
        <v>0</v>
      </c>
      <c r="J682" s="6" t="n">
        <v>813</v>
      </c>
      <c r="K682" s="6" t="s">
        <v>160</v>
      </c>
      <c r="L682" s="14" t="n">
        <v>25820.61</v>
      </c>
      <c r="M682" s="22" t="n">
        <v>1.287</v>
      </c>
      <c r="N682" s="14" t="n">
        <v>33231.13</v>
      </c>
      <c r="O682" s="14" t="n">
        <v>7410.52</v>
      </c>
      <c r="P682" s="21" t="n">
        <v>0.152</v>
      </c>
      <c r="Q682" s="6" t="n">
        <v>60</v>
      </c>
      <c r="R682" s="6" t="s">
        <v>161</v>
      </c>
      <c r="S682" s="21" t="n">
        <v>1</v>
      </c>
      <c r="T682" s="14" t="n">
        <v>33231.13</v>
      </c>
      <c r="U682" s="6" t="s">
        <v>40</v>
      </c>
    </row>
    <row r="683" customFormat="false" ht="15" hidden="false" customHeight="true" outlineLevel="0" collapsed="false">
      <c r="A683" s="6" t="s">
        <v>1559</v>
      </c>
      <c r="B683" s="6" t="s">
        <v>1560</v>
      </c>
      <c r="C683" s="6" t="s">
        <v>116</v>
      </c>
      <c r="D683" s="6" t="s">
        <v>206</v>
      </c>
      <c r="E683" s="6" t="s">
        <v>195</v>
      </c>
      <c r="F683" s="13" t="n">
        <v>45923</v>
      </c>
      <c r="G683" s="13" t="n">
        <v>45983</v>
      </c>
      <c r="H683" s="14" t="n">
        <v>119322.3</v>
      </c>
      <c r="I683" s="6" t="n">
        <v>2</v>
      </c>
      <c r="J683" s="6" t="n">
        <v>687</v>
      </c>
      <c r="K683" s="6" t="s">
        <v>160</v>
      </c>
      <c r="L683" s="14" t="n">
        <v>10672.46</v>
      </c>
      <c r="M683" s="22" t="n">
        <v>1.235</v>
      </c>
      <c r="N683" s="14" t="n">
        <v>13180.49</v>
      </c>
      <c r="O683" s="14" t="n">
        <v>2508.03</v>
      </c>
      <c r="P683" s="21" t="n">
        <v>0.116</v>
      </c>
      <c r="Q683" s="6" t="n">
        <v>60</v>
      </c>
      <c r="R683" s="6" t="s">
        <v>155</v>
      </c>
      <c r="S683" s="21" t="n">
        <v>0.934</v>
      </c>
      <c r="T683" s="14" t="n">
        <v>12310.58</v>
      </c>
      <c r="U683" s="6" t="s">
        <v>55</v>
      </c>
    </row>
    <row r="684" customFormat="false" ht="15" hidden="false" customHeight="true" outlineLevel="0" collapsed="false">
      <c r="A684" s="6" t="s">
        <v>1561</v>
      </c>
      <c r="B684" s="6" t="s">
        <v>1562</v>
      </c>
      <c r="C684" s="6" t="s">
        <v>124</v>
      </c>
      <c r="D684" s="6" t="s">
        <v>243</v>
      </c>
      <c r="E684" s="6" t="s">
        <v>288</v>
      </c>
      <c r="F684" s="13" t="n">
        <v>44631</v>
      </c>
      <c r="G684" s="13" t="n">
        <v>44703</v>
      </c>
      <c r="H684" s="14" t="n">
        <v>92676.85</v>
      </c>
      <c r="I684" s="6" t="n">
        <v>2</v>
      </c>
      <c r="J684" s="6" t="n">
        <v>509</v>
      </c>
      <c r="K684" s="6" t="s">
        <v>185</v>
      </c>
      <c r="L684" s="14" t="n">
        <v>26104.47</v>
      </c>
      <c r="M684" s="22" t="n">
        <v>1.242</v>
      </c>
      <c r="N684" s="14" t="n">
        <v>32421.75</v>
      </c>
      <c r="O684" s="14" t="n">
        <v>6317.28</v>
      </c>
      <c r="P684" s="21" t="n">
        <v>0.145</v>
      </c>
      <c r="Q684" s="6" t="n">
        <v>72</v>
      </c>
      <c r="R684" s="6" t="s">
        <v>309</v>
      </c>
      <c r="S684" s="21" t="n">
        <v>0.095</v>
      </c>
      <c r="T684" s="14" t="n">
        <v>3080.07</v>
      </c>
      <c r="U684" s="6" t="s">
        <v>13</v>
      </c>
    </row>
    <row r="685" customFormat="false" ht="15" hidden="false" customHeight="true" outlineLevel="0" collapsed="false">
      <c r="A685" s="6" t="s">
        <v>1563</v>
      </c>
      <c r="B685" s="6" t="s">
        <v>1564</v>
      </c>
      <c r="C685" s="6" t="s">
        <v>120</v>
      </c>
      <c r="D685" s="6" t="s">
        <v>263</v>
      </c>
      <c r="E685" s="6" t="s">
        <v>299</v>
      </c>
      <c r="F685" s="13" t="n">
        <v>45715</v>
      </c>
      <c r="G685" s="13" t="n">
        <v>45864</v>
      </c>
      <c r="H685" s="14" t="n">
        <v>123249.61</v>
      </c>
      <c r="I685" s="6" t="n">
        <v>2</v>
      </c>
      <c r="J685" s="6" t="n">
        <v>767</v>
      </c>
      <c r="K685" s="6" t="s">
        <v>160</v>
      </c>
      <c r="L685" s="14" t="n">
        <v>41353.61</v>
      </c>
      <c r="M685" s="22" t="n">
        <v>1.295</v>
      </c>
      <c r="N685" s="14" t="n">
        <v>53552.92</v>
      </c>
      <c r="O685" s="14" t="n">
        <v>12199.31</v>
      </c>
      <c r="P685" s="21" t="n">
        <v>0.087</v>
      </c>
      <c r="Q685" s="6" t="n">
        <v>149</v>
      </c>
      <c r="R685" s="6" t="s">
        <v>161</v>
      </c>
      <c r="S685" s="21" t="n">
        <v>1</v>
      </c>
      <c r="T685" s="14" t="n">
        <v>53552.92</v>
      </c>
      <c r="U685" s="6" t="s">
        <v>48</v>
      </c>
    </row>
    <row r="686" customFormat="false" ht="15" hidden="false" customHeight="true" outlineLevel="0" collapsed="false">
      <c r="A686" s="6" t="s">
        <v>1565</v>
      </c>
      <c r="B686" s="6" t="s">
        <v>1566</v>
      </c>
      <c r="C686" s="6" t="s">
        <v>116</v>
      </c>
      <c r="D686" s="6" t="s">
        <v>222</v>
      </c>
      <c r="E686" s="6" t="s">
        <v>169</v>
      </c>
      <c r="F686" s="13" t="n">
        <v>45433</v>
      </c>
      <c r="G686" s="13" t="n">
        <v>45647</v>
      </c>
      <c r="H686" s="14" t="n">
        <v>224667.13</v>
      </c>
      <c r="I686" s="6" t="n">
        <v>4</v>
      </c>
      <c r="J686" s="6" t="n">
        <v>597</v>
      </c>
      <c r="K686" s="6" t="s">
        <v>160</v>
      </c>
      <c r="L686" s="14" t="n">
        <v>107593.06</v>
      </c>
      <c r="M686" s="22" t="n">
        <v>1.137</v>
      </c>
      <c r="N686" s="14" t="n">
        <v>122333.31</v>
      </c>
      <c r="O686" s="14" t="n">
        <v>14740.25</v>
      </c>
      <c r="P686" s="21" t="n">
        <v>0.076</v>
      </c>
      <c r="Q686" s="6" t="n">
        <v>214</v>
      </c>
      <c r="R686" s="6" t="s">
        <v>155</v>
      </c>
      <c r="S686" s="21" t="n">
        <v>0.867</v>
      </c>
      <c r="T686" s="14" t="n">
        <v>106062.98</v>
      </c>
      <c r="U686" s="6" t="s">
        <v>39</v>
      </c>
    </row>
    <row r="687" customFormat="false" ht="15" hidden="false" customHeight="true" outlineLevel="0" collapsed="false">
      <c r="A687" s="6" t="s">
        <v>1567</v>
      </c>
      <c r="B687" s="6" t="s">
        <v>1568</v>
      </c>
      <c r="C687" s="6" t="s">
        <v>116</v>
      </c>
      <c r="D687" s="6" t="s">
        <v>152</v>
      </c>
      <c r="E687" s="6" t="s">
        <v>177</v>
      </c>
      <c r="F687" s="13" t="n">
        <v>45449</v>
      </c>
      <c r="G687" s="13" t="n">
        <v>45529</v>
      </c>
      <c r="H687" s="14" t="n">
        <v>76718.05</v>
      </c>
      <c r="I687" s="6" t="n">
        <v>0</v>
      </c>
      <c r="J687" s="6" t="n">
        <v>727</v>
      </c>
      <c r="K687" s="6" t="s">
        <v>154</v>
      </c>
      <c r="L687" s="14" t="n">
        <v>23997.99</v>
      </c>
      <c r="M687" s="22" t="n">
        <v>1.094</v>
      </c>
      <c r="N687" s="14" t="n">
        <v>26253.8</v>
      </c>
      <c r="O687" s="14" t="n">
        <v>2255.81</v>
      </c>
      <c r="P687" s="21" t="n">
        <v>0.128</v>
      </c>
      <c r="Q687" s="6" t="n">
        <v>80</v>
      </c>
      <c r="R687" s="6" t="s">
        <v>232</v>
      </c>
      <c r="S687" s="21" t="n">
        <v>1</v>
      </c>
      <c r="T687" s="14" t="n">
        <v>26253.8</v>
      </c>
      <c r="U687" s="6" t="s">
        <v>40</v>
      </c>
    </row>
    <row r="688" customFormat="false" ht="15" hidden="false" customHeight="true" outlineLevel="0" collapsed="false">
      <c r="A688" s="6" t="s">
        <v>1569</v>
      </c>
      <c r="B688" s="6" t="s">
        <v>1570</v>
      </c>
      <c r="C688" s="6" t="s">
        <v>112</v>
      </c>
      <c r="D688" s="6" t="s">
        <v>188</v>
      </c>
      <c r="E688" s="6" t="s">
        <v>189</v>
      </c>
      <c r="F688" s="13" t="n">
        <v>45786</v>
      </c>
      <c r="G688" s="13" t="n">
        <v>45846</v>
      </c>
      <c r="H688" s="14" t="n">
        <v>139358.44</v>
      </c>
      <c r="I688" s="6" t="n">
        <v>2</v>
      </c>
      <c r="J688" s="6" t="n">
        <v>588</v>
      </c>
      <c r="K688" s="6" t="s">
        <v>160</v>
      </c>
      <c r="L688" s="14" t="n">
        <v>33238.82</v>
      </c>
      <c r="M688" s="22" t="n">
        <v>1.217</v>
      </c>
      <c r="N688" s="14" t="n">
        <v>40451.64</v>
      </c>
      <c r="O688" s="14" t="n">
        <v>7212.82</v>
      </c>
      <c r="P688" s="21" t="n">
        <v>0.178</v>
      </c>
      <c r="Q688" s="6" t="n">
        <v>60</v>
      </c>
      <c r="R688" s="6" t="s">
        <v>155</v>
      </c>
      <c r="S688" s="21" t="n">
        <v>0.72</v>
      </c>
      <c r="T688" s="14" t="n">
        <v>29125.18</v>
      </c>
      <c r="U688" s="6" t="s">
        <v>51</v>
      </c>
    </row>
    <row r="689" customFormat="false" ht="15" hidden="false" customHeight="true" outlineLevel="0" collapsed="false">
      <c r="A689" s="6" t="s">
        <v>1571</v>
      </c>
      <c r="B689" s="6" t="s">
        <v>1572</v>
      </c>
      <c r="C689" s="6" t="s">
        <v>124</v>
      </c>
      <c r="D689" s="6" t="s">
        <v>238</v>
      </c>
      <c r="E689" s="6" t="s">
        <v>165</v>
      </c>
      <c r="F689" s="13" t="n">
        <v>44649</v>
      </c>
      <c r="G689" s="13" t="n">
        <v>44709</v>
      </c>
      <c r="H689" s="14" t="n">
        <v>105818.18</v>
      </c>
      <c r="I689" s="6" t="n">
        <v>2</v>
      </c>
      <c r="J689" s="6" t="n">
        <v>616</v>
      </c>
      <c r="K689" s="6" t="s">
        <v>160</v>
      </c>
      <c r="L689" s="14" t="n">
        <v>9830.63</v>
      </c>
      <c r="M689" s="22" t="n">
        <v>1.082</v>
      </c>
      <c r="N689" s="14" t="n">
        <v>10636.74</v>
      </c>
      <c r="O689" s="14" t="n">
        <v>806.11</v>
      </c>
      <c r="P689" s="21" t="n">
        <v>0.053</v>
      </c>
      <c r="Q689" s="6" t="n">
        <v>60</v>
      </c>
      <c r="R689" s="6" t="s">
        <v>155</v>
      </c>
      <c r="S689" s="21" t="n">
        <v>0.98</v>
      </c>
      <c r="T689" s="14" t="n">
        <v>10424.01</v>
      </c>
      <c r="U689" s="6" t="s">
        <v>13</v>
      </c>
    </row>
    <row r="690" customFormat="false" ht="15" hidden="false" customHeight="true" outlineLevel="0" collapsed="false">
      <c r="A690" s="6" t="s">
        <v>1573</v>
      </c>
      <c r="B690" s="6" t="s">
        <v>1574</v>
      </c>
      <c r="C690" s="6" t="s">
        <v>112</v>
      </c>
      <c r="D690" s="6" t="s">
        <v>188</v>
      </c>
      <c r="E690" s="6" t="s">
        <v>181</v>
      </c>
      <c r="F690" s="13" t="n">
        <v>44955</v>
      </c>
      <c r="G690" s="13" t="n">
        <v>45033</v>
      </c>
      <c r="H690" s="14" t="n">
        <v>139041.88</v>
      </c>
      <c r="I690" s="6" t="n">
        <v>0</v>
      </c>
      <c r="J690" s="6" t="n">
        <v>587</v>
      </c>
      <c r="K690" s="6" t="s">
        <v>154</v>
      </c>
      <c r="L690" s="14" t="n">
        <v>34513.8</v>
      </c>
      <c r="M690" s="22" t="n">
        <v>1.082</v>
      </c>
      <c r="N690" s="14" t="n">
        <v>37343.93</v>
      </c>
      <c r="O690" s="14" t="n">
        <v>2830.13</v>
      </c>
      <c r="P690" s="21" t="n">
        <v>0.103</v>
      </c>
      <c r="Q690" s="6" t="n">
        <v>78</v>
      </c>
      <c r="R690" s="6" t="s">
        <v>161</v>
      </c>
      <c r="S690" s="21" t="n">
        <v>1</v>
      </c>
      <c r="T690" s="14" t="n">
        <v>37343.93</v>
      </c>
      <c r="U690" s="6" t="s">
        <v>23</v>
      </c>
    </row>
    <row r="691" customFormat="false" ht="15" hidden="false" customHeight="true" outlineLevel="0" collapsed="false">
      <c r="A691" s="6" t="s">
        <v>1575</v>
      </c>
      <c r="B691" s="6" t="s">
        <v>1576</v>
      </c>
      <c r="C691" s="6" t="s">
        <v>128</v>
      </c>
      <c r="D691" s="6" t="s">
        <v>401</v>
      </c>
      <c r="E691" s="6" t="s">
        <v>173</v>
      </c>
      <c r="F691" s="13" t="n">
        <v>44770</v>
      </c>
      <c r="G691" s="13" t="n">
        <v>44830</v>
      </c>
      <c r="H691" s="14" t="n">
        <v>79912.78</v>
      </c>
      <c r="I691" s="6" t="n">
        <v>0</v>
      </c>
      <c r="J691" s="6" t="n">
        <v>530</v>
      </c>
      <c r="K691" s="6" t="s">
        <v>160</v>
      </c>
      <c r="L691" s="14" t="n">
        <v>21997.53</v>
      </c>
      <c r="M691" s="22" t="n">
        <v>1.142</v>
      </c>
      <c r="N691" s="14" t="n">
        <v>25121.18</v>
      </c>
      <c r="O691" s="14" t="n">
        <v>3123.65</v>
      </c>
      <c r="P691" s="21" t="n">
        <v>0.166</v>
      </c>
      <c r="Q691" s="6" t="n">
        <v>60</v>
      </c>
      <c r="R691" s="6" t="s">
        <v>161</v>
      </c>
      <c r="S691" s="21" t="n">
        <v>1</v>
      </c>
      <c r="T691" s="14" t="n">
        <v>25121.18</v>
      </c>
      <c r="U691" s="6" t="s">
        <v>17</v>
      </c>
    </row>
    <row r="692" customFormat="false" ht="15" hidden="false" customHeight="true" outlineLevel="0" collapsed="false">
      <c r="A692" s="6" t="s">
        <v>1577</v>
      </c>
      <c r="B692" s="6" t="s">
        <v>1578</v>
      </c>
      <c r="C692" s="6" t="s">
        <v>124</v>
      </c>
      <c r="D692" s="6" t="s">
        <v>180</v>
      </c>
      <c r="E692" s="6" t="s">
        <v>195</v>
      </c>
      <c r="F692" s="13" t="n">
        <v>44621</v>
      </c>
      <c r="G692" s="13" t="n">
        <v>44683</v>
      </c>
      <c r="H692" s="14" t="n">
        <v>162772.7</v>
      </c>
      <c r="I692" s="6" t="n">
        <v>4</v>
      </c>
      <c r="J692" s="6" t="n">
        <v>615</v>
      </c>
      <c r="K692" s="6" t="s">
        <v>185</v>
      </c>
      <c r="L692" s="14" t="n">
        <v>31058.22</v>
      </c>
      <c r="M692" s="22" t="n">
        <v>1.285</v>
      </c>
      <c r="N692" s="14" t="n">
        <v>39909.81</v>
      </c>
      <c r="O692" s="14" t="n">
        <v>8851.59</v>
      </c>
      <c r="P692" s="21" t="n">
        <v>0.118</v>
      </c>
      <c r="Q692" s="6" t="n">
        <v>62</v>
      </c>
      <c r="R692" s="6" t="s">
        <v>155</v>
      </c>
      <c r="S692" s="21" t="n">
        <v>0.889</v>
      </c>
      <c r="T692" s="14" t="n">
        <v>35479.82</v>
      </c>
      <c r="U692" s="6" t="s">
        <v>13</v>
      </c>
    </row>
    <row r="693" customFormat="false" ht="15" hidden="false" customHeight="true" outlineLevel="0" collapsed="false">
      <c r="A693" s="6" t="s">
        <v>1579</v>
      </c>
      <c r="B693" s="6" t="s">
        <v>1580</v>
      </c>
      <c r="C693" s="6" t="s">
        <v>120</v>
      </c>
      <c r="D693" s="6" t="s">
        <v>210</v>
      </c>
      <c r="E693" s="6" t="s">
        <v>326</v>
      </c>
      <c r="F693" s="13" t="n">
        <v>45811</v>
      </c>
      <c r="G693" s="13" t="n">
        <v>45871</v>
      </c>
      <c r="H693" s="14" t="n">
        <v>107217.68</v>
      </c>
      <c r="I693" s="6" t="n">
        <v>1</v>
      </c>
      <c r="J693" s="6" t="n">
        <v>734</v>
      </c>
      <c r="K693" s="6" t="s">
        <v>160</v>
      </c>
      <c r="L693" s="14" t="n">
        <v>22621.55</v>
      </c>
      <c r="M693" s="22" t="n">
        <v>1.253</v>
      </c>
      <c r="N693" s="14" t="n">
        <v>28344.8</v>
      </c>
      <c r="O693" s="14" t="n">
        <v>5723.25</v>
      </c>
      <c r="P693" s="21" t="n">
        <v>0.138</v>
      </c>
      <c r="Q693" s="6" t="n">
        <v>60</v>
      </c>
      <c r="R693" s="6" t="s">
        <v>155</v>
      </c>
      <c r="S693" s="21" t="n">
        <v>0.835</v>
      </c>
      <c r="T693" s="14" t="n">
        <v>23667.91</v>
      </c>
      <c r="U693" s="6" t="s">
        <v>52</v>
      </c>
    </row>
    <row r="694" customFormat="false" ht="15" hidden="false" customHeight="true" outlineLevel="0" collapsed="false">
      <c r="A694" s="6" t="s">
        <v>1581</v>
      </c>
      <c r="B694" s="6" t="s">
        <v>1582</v>
      </c>
      <c r="C694" s="6" t="s">
        <v>116</v>
      </c>
      <c r="D694" s="6" t="s">
        <v>206</v>
      </c>
      <c r="E694" s="6" t="s">
        <v>165</v>
      </c>
      <c r="F694" s="13" t="n">
        <v>45188</v>
      </c>
      <c r="G694" s="13" t="n">
        <v>45336</v>
      </c>
      <c r="H694" s="14" t="n">
        <v>152295.24</v>
      </c>
      <c r="I694" s="6" t="n">
        <v>0</v>
      </c>
      <c r="J694" s="6" t="n">
        <v>761</v>
      </c>
      <c r="K694" s="6" t="s">
        <v>160</v>
      </c>
      <c r="L694" s="14" t="n">
        <v>74283.9</v>
      </c>
      <c r="M694" s="22" t="n">
        <v>1.292</v>
      </c>
      <c r="N694" s="14" t="n">
        <v>95974.8</v>
      </c>
      <c r="O694" s="14" t="n">
        <v>21690.9</v>
      </c>
      <c r="P694" s="21" t="n">
        <v>0.127</v>
      </c>
      <c r="Q694" s="6" t="n">
        <v>148</v>
      </c>
      <c r="R694" s="6" t="s">
        <v>161</v>
      </c>
      <c r="S694" s="21" t="n">
        <v>1</v>
      </c>
      <c r="T694" s="14" t="n">
        <v>95974.8</v>
      </c>
      <c r="U694" s="6" t="s">
        <v>31</v>
      </c>
    </row>
    <row r="695" customFormat="false" ht="15" hidden="false" customHeight="true" outlineLevel="0" collapsed="false">
      <c r="A695" s="6" t="s">
        <v>1583</v>
      </c>
      <c r="B695" s="6" t="s">
        <v>1584</v>
      </c>
      <c r="C695" s="6" t="s">
        <v>116</v>
      </c>
      <c r="D695" s="6" t="s">
        <v>222</v>
      </c>
      <c r="E695" s="6" t="s">
        <v>181</v>
      </c>
      <c r="F695" s="13" t="n">
        <v>45862</v>
      </c>
      <c r="G695" s="13" t="n">
        <v>45939</v>
      </c>
      <c r="H695" s="14" t="n">
        <v>30562.49</v>
      </c>
      <c r="I695" s="6" t="n">
        <v>0</v>
      </c>
      <c r="J695" s="6" t="n">
        <v>712</v>
      </c>
      <c r="K695" s="6" t="s">
        <v>154</v>
      </c>
      <c r="L695" s="14" t="n">
        <v>7019.01</v>
      </c>
      <c r="M695" s="22" t="n">
        <v>1.096</v>
      </c>
      <c r="N695" s="14" t="n">
        <v>7692.83</v>
      </c>
      <c r="O695" s="14" t="n">
        <v>673.82</v>
      </c>
      <c r="P695" s="21" t="n">
        <v>0.097</v>
      </c>
      <c r="Q695" s="6" t="n">
        <v>77</v>
      </c>
      <c r="R695" s="6" t="s">
        <v>155</v>
      </c>
      <c r="S695" s="21" t="n">
        <v>0.798</v>
      </c>
      <c r="T695" s="14" t="n">
        <v>6138.88</v>
      </c>
      <c r="U695" s="6" t="s">
        <v>53</v>
      </c>
    </row>
    <row r="696" customFormat="false" ht="15" hidden="false" customHeight="true" outlineLevel="0" collapsed="false">
      <c r="A696" s="6" t="s">
        <v>1585</v>
      </c>
      <c r="B696" s="6" t="s">
        <v>1586</v>
      </c>
      <c r="C696" s="6" t="s">
        <v>112</v>
      </c>
      <c r="D696" s="6" t="s">
        <v>188</v>
      </c>
      <c r="E696" s="6" t="s">
        <v>254</v>
      </c>
      <c r="F696" s="13" t="n">
        <v>45759</v>
      </c>
      <c r="G696" s="13" t="n">
        <v>45838</v>
      </c>
      <c r="H696" s="14" t="n">
        <v>82491.04</v>
      </c>
      <c r="I696" s="6" t="n">
        <v>2</v>
      </c>
      <c r="J696" s="6" t="n">
        <v>609</v>
      </c>
      <c r="K696" s="6" t="s">
        <v>185</v>
      </c>
      <c r="L696" s="14" t="n">
        <v>20556.62</v>
      </c>
      <c r="M696" s="22" t="n">
        <v>1.171</v>
      </c>
      <c r="N696" s="14" t="n">
        <v>24071.8</v>
      </c>
      <c r="O696" s="14" t="n">
        <v>3515.18</v>
      </c>
      <c r="P696" s="21" t="n">
        <v>0.11</v>
      </c>
      <c r="Q696" s="6" t="n">
        <v>79</v>
      </c>
      <c r="R696" s="6" t="s">
        <v>155</v>
      </c>
      <c r="S696" s="21" t="n">
        <v>0.834</v>
      </c>
      <c r="T696" s="14" t="n">
        <v>20075.88</v>
      </c>
      <c r="U696" s="6" t="s">
        <v>50</v>
      </c>
    </row>
    <row r="697" customFormat="false" ht="15" hidden="false" customHeight="true" outlineLevel="0" collapsed="false">
      <c r="A697" s="6" t="s">
        <v>1587</v>
      </c>
      <c r="B697" s="6" t="s">
        <v>1588</v>
      </c>
      <c r="C697" s="6" t="s">
        <v>112</v>
      </c>
      <c r="D697" s="6" t="s">
        <v>225</v>
      </c>
      <c r="E697" s="6" t="s">
        <v>173</v>
      </c>
      <c r="F697" s="13" t="n">
        <v>44846</v>
      </c>
      <c r="G697" s="13" t="n">
        <v>44932</v>
      </c>
      <c r="H697" s="14" t="n">
        <v>113290.17</v>
      </c>
      <c r="I697" s="6" t="n">
        <v>0</v>
      </c>
      <c r="J697" s="6" t="n">
        <v>782</v>
      </c>
      <c r="K697" s="6" t="s">
        <v>154</v>
      </c>
      <c r="L697" s="14" t="n">
        <v>19651.47</v>
      </c>
      <c r="M697" s="22" t="n">
        <v>1.16</v>
      </c>
      <c r="N697" s="14" t="n">
        <v>22795.71</v>
      </c>
      <c r="O697" s="14" t="n">
        <v>3144.24</v>
      </c>
      <c r="P697" s="21" t="n">
        <v>0.07</v>
      </c>
      <c r="Q697" s="6" t="n">
        <v>86</v>
      </c>
      <c r="R697" s="6" t="s">
        <v>155</v>
      </c>
      <c r="S697" s="21" t="n">
        <v>0.709</v>
      </c>
      <c r="T697" s="14" t="n">
        <v>16162.16</v>
      </c>
      <c r="U697" s="6" t="s">
        <v>20</v>
      </c>
    </row>
    <row r="698" customFormat="false" ht="15" hidden="false" customHeight="true" outlineLevel="0" collapsed="false">
      <c r="A698" s="6" t="s">
        <v>1589</v>
      </c>
      <c r="B698" s="6" t="s">
        <v>1590</v>
      </c>
      <c r="C698" s="6" t="s">
        <v>120</v>
      </c>
      <c r="D698" s="6" t="s">
        <v>158</v>
      </c>
      <c r="E698" s="6" t="s">
        <v>288</v>
      </c>
      <c r="F698" s="13" t="n">
        <v>45024</v>
      </c>
      <c r="G698" s="13" t="n">
        <v>45084</v>
      </c>
      <c r="H698" s="14" t="n">
        <v>44596.15</v>
      </c>
      <c r="I698" s="6" t="n">
        <v>1</v>
      </c>
      <c r="J698" s="6" t="n">
        <v>715</v>
      </c>
      <c r="K698" s="6" t="s">
        <v>154</v>
      </c>
      <c r="L698" s="14" t="n">
        <v>4689.68</v>
      </c>
      <c r="M698" s="22" t="n">
        <v>1.146</v>
      </c>
      <c r="N698" s="14" t="n">
        <v>5374.37</v>
      </c>
      <c r="O698" s="14" t="n">
        <v>684.69</v>
      </c>
      <c r="P698" s="21" t="n">
        <v>0.099</v>
      </c>
      <c r="Q698" s="6" t="n">
        <v>60</v>
      </c>
      <c r="R698" s="6" t="s">
        <v>161</v>
      </c>
      <c r="S698" s="21" t="n">
        <v>1</v>
      </c>
      <c r="T698" s="14" t="n">
        <v>5374.37</v>
      </c>
      <c r="U698" s="6" t="s">
        <v>26</v>
      </c>
    </row>
    <row r="699" customFormat="false" ht="15" hidden="false" customHeight="true" outlineLevel="0" collapsed="false">
      <c r="A699" s="6" t="s">
        <v>1591</v>
      </c>
      <c r="B699" s="6" t="s">
        <v>1592</v>
      </c>
      <c r="C699" s="6" t="s">
        <v>120</v>
      </c>
      <c r="D699" s="6" t="s">
        <v>210</v>
      </c>
      <c r="E699" s="6" t="s">
        <v>219</v>
      </c>
      <c r="F699" s="13" t="n">
        <v>44854</v>
      </c>
      <c r="G699" s="13" t="n">
        <v>44914</v>
      </c>
      <c r="H699" s="14" t="n">
        <v>132417.71</v>
      </c>
      <c r="I699" s="6" t="n">
        <v>1</v>
      </c>
      <c r="J699" s="6" t="n">
        <v>810</v>
      </c>
      <c r="K699" s="6" t="s">
        <v>160</v>
      </c>
      <c r="L699" s="14" t="n">
        <v>11905.86</v>
      </c>
      <c r="M699" s="22" t="n">
        <v>1.349</v>
      </c>
      <c r="N699" s="14" t="n">
        <v>16061.01</v>
      </c>
      <c r="O699" s="14" t="n">
        <v>4155.15</v>
      </c>
      <c r="P699" s="21" t="n">
        <v>0.156</v>
      </c>
      <c r="Q699" s="6" t="n">
        <v>60</v>
      </c>
      <c r="R699" s="6" t="s">
        <v>155</v>
      </c>
      <c r="S699" s="21" t="n">
        <v>0.8</v>
      </c>
      <c r="T699" s="14" t="n">
        <v>12848.81</v>
      </c>
      <c r="U699" s="6" t="s">
        <v>20</v>
      </c>
    </row>
    <row r="700" customFormat="false" ht="15" hidden="false" customHeight="true" outlineLevel="0" collapsed="false">
      <c r="A700" s="6" t="s">
        <v>1593</v>
      </c>
      <c r="B700" s="6" t="s">
        <v>1594</v>
      </c>
      <c r="C700" s="6" t="s">
        <v>124</v>
      </c>
      <c r="D700" s="6" t="s">
        <v>243</v>
      </c>
      <c r="E700" s="6" t="s">
        <v>195</v>
      </c>
      <c r="F700" s="13" t="n">
        <v>45423</v>
      </c>
      <c r="G700" s="13" t="n">
        <v>45581</v>
      </c>
      <c r="H700" s="14" t="n">
        <v>156815.18</v>
      </c>
      <c r="I700" s="6" t="n">
        <v>4</v>
      </c>
      <c r="J700" s="6" t="n">
        <v>613</v>
      </c>
      <c r="K700" s="6" t="s">
        <v>154</v>
      </c>
      <c r="L700" s="14" t="n">
        <v>65353.8</v>
      </c>
      <c r="M700" s="22" t="n">
        <v>1.343</v>
      </c>
      <c r="N700" s="14" t="n">
        <v>87770.15</v>
      </c>
      <c r="O700" s="14" t="n">
        <v>22416.35</v>
      </c>
      <c r="P700" s="21" t="n">
        <v>0.106</v>
      </c>
      <c r="Q700" s="6" t="n">
        <v>158</v>
      </c>
      <c r="R700" s="6" t="s">
        <v>161</v>
      </c>
      <c r="S700" s="21" t="n">
        <v>1</v>
      </c>
      <c r="T700" s="14" t="n">
        <v>87770.15</v>
      </c>
      <c r="U700" s="6" t="s">
        <v>39</v>
      </c>
    </row>
    <row r="701" customFormat="false" ht="15" hidden="false" customHeight="true" outlineLevel="0" collapsed="false">
      <c r="A701" s="6" t="s">
        <v>1595</v>
      </c>
      <c r="B701" s="6" t="s">
        <v>1596</v>
      </c>
      <c r="C701" s="6" t="s">
        <v>116</v>
      </c>
      <c r="D701" s="6" t="s">
        <v>152</v>
      </c>
      <c r="E701" s="6" t="s">
        <v>254</v>
      </c>
      <c r="F701" s="13" t="n">
        <v>44873</v>
      </c>
      <c r="G701" s="13" t="n">
        <v>44977</v>
      </c>
      <c r="H701" s="14" t="n">
        <v>99609.29</v>
      </c>
      <c r="I701" s="6" t="n">
        <v>1</v>
      </c>
      <c r="J701" s="6" t="n">
        <v>731</v>
      </c>
      <c r="K701" s="6" t="s">
        <v>160</v>
      </c>
      <c r="L701" s="14" t="n">
        <v>27476</v>
      </c>
      <c r="M701" s="22" t="n">
        <v>1.103</v>
      </c>
      <c r="N701" s="14" t="n">
        <v>30306.03</v>
      </c>
      <c r="O701" s="14" t="n">
        <v>2830.03</v>
      </c>
      <c r="P701" s="21" t="n">
        <v>0.087</v>
      </c>
      <c r="Q701" s="6" t="n">
        <v>104</v>
      </c>
      <c r="R701" s="6" t="s">
        <v>161</v>
      </c>
      <c r="S701" s="21" t="n">
        <v>1</v>
      </c>
      <c r="T701" s="14" t="n">
        <v>30306.03</v>
      </c>
      <c r="U701" s="6" t="s">
        <v>21</v>
      </c>
    </row>
    <row r="702" customFormat="false" ht="15" hidden="false" customHeight="true" outlineLevel="0" collapsed="false">
      <c r="A702" s="6" t="s">
        <v>1597</v>
      </c>
      <c r="B702" s="6" t="s">
        <v>1598</v>
      </c>
      <c r="C702" s="6" t="s">
        <v>124</v>
      </c>
      <c r="D702" s="6" t="s">
        <v>238</v>
      </c>
      <c r="E702" s="6" t="s">
        <v>254</v>
      </c>
      <c r="F702" s="13" t="n">
        <v>45407</v>
      </c>
      <c r="G702" s="13" t="n">
        <v>45467</v>
      </c>
      <c r="H702" s="14" t="n">
        <v>242957.51</v>
      </c>
      <c r="I702" s="6" t="n">
        <v>2</v>
      </c>
      <c r="J702" s="6" t="n">
        <v>671</v>
      </c>
      <c r="K702" s="6" t="s">
        <v>160</v>
      </c>
      <c r="L702" s="14" t="n">
        <v>33062.87</v>
      </c>
      <c r="M702" s="22" t="n">
        <v>1.134</v>
      </c>
      <c r="N702" s="14" t="n">
        <v>37493.29</v>
      </c>
      <c r="O702" s="14" t="n">
        <v>4430.42</v>
      </c>
      <c r="P702" s="21" t="n">
        <v>0.139</v>
      </c>
      <c r="Q702" s="6" t="n">
        <v>60</v>
      </c>
      <c r="R702" s="6" t="s">
        <v>161</v>
      </c>
      <c r="S702" s="21" t="n">
        <v>1</v>
      </c>
      <c r="T702" s="14" t="n">
        <v>37493.29</v>
      </c>
      <c r="U702" s="6" t="s">
        <v>38</v>
      </c>
    </row>
    <row r="703" customFormat="false" ht="15" hidden="false" customHeight="true" outlineLevel="0" collapsed="false">
      <c r="A703" s="6" t="s">
        <v>1599</v>
      </c>
      <c r="B703" s="6" t="s">
        <v>1600</v>
      </c>
      <c r="C703" s="6" t="s">
        <v>120</v>
      </c>
      <c r="D703" s="6" t="s">
        <v>218</v>
      </c>
      <c r="E703" s="6" t="s">
        <v>181</v>
      </c>
      <c r="F703" s="13" t="n">
        <v>45134</v>
      </c>
      <c r="G703" s="13" t="n">
        <v>45248</v>
      </c>
      <c r="H703" s="14" t="n">
        <v>103086.48</v>
      </c>
      <c r="I703" s="6" t="n">
        <v>0</v>
      </c>
      <c r="J703" s="6" t="n">
        <v>642</v>
      </c>
      <c r="K703" s="6" t="s">
        <v>160</v>
      </c>
      <c r="L703" s="14" t="n">
        <v>34394.24</v>
      </c>
      <c r="M703" s="22" t="n">
        <v>1.297</v>
      </c>
      <c r="N703" s="14" t="n">
        <v>44609.33</v>
      </c>
      <c r="O703" s="14" t="n">
        <v>10215.09</v>
      </c>
      <c r="P703" s="21" t="n">
        <v>0.113</v>
      </c>
      <c r="Q703" s="6" t="n">
        <v>114</v>
      </c>
      <c r="R703" s="6" t="s">
        <v>161</v>
      </c>
      <c r="S703" s="21" t="n">
        <v>1</v>
      </c>
      <c r="T703" s="14" t="n">
        <v>44609.33</v>
      </c>
      <c r="U703" s="6" t="s">
        <v>29</v>
      </c>
    </row>
    <row r="704" customFormat="false" ht="15" hidden="false" customHeight="true" outlineLevel="0" collapsed="false">
      <c r="A704" s="6" t="s">
        <v>1601</v>
      </c>
      <c r="B704" s="6" t="s">
        <v>1602</v>
      </c>
      <c r="C704" s="6" t="s">
        <v>116</v>
      </c>
      <c r="D704" s="6" t="s">
        <v>222</v>
      </c>
      <c r="E704" s="6" t="s">
        <v>153</v>
      </c>
      <c r="F704" s="13" t="n">
        <v>45938</v>
      </c>
      <c r="G704" s="13" t="n">
        <v>46046</v>
      </c>
      <c r="H704" s="14" t="n">
        <v>239974.88</v>
      </c>
      <c r="I704" s="6" t="n">
        <v>1</v>
      </c>
      <c r="J704" s="6" t="n">
        <v>811</v>
      </c>
      <c r="K704" s="6" t="s">
        <v>185</v>
      </c>
      <c r="L704" s="14" t="n">
        <v>47398.92</v>
      </c>
      <c r="M704" s="22" t="n">
        <v>1.17</v>
      </c>
      <c r="N704" s="14" t="n">
        <v>55456.74</v>
      </c>
      <c r="O704" s="14" t="n">
        <v>8057.82</v>
      </c>
      <c r="P704" s="21" t="n">
        <v>0.064</v>
      </c>
      <c r="Q704" s="6" t="n">
        <v>108</v>
      </c>
      <c r="R704" s="6" t="s">
        <v>155</v>
      </c>
      <c r="S704" s="21" t="n">
        <v>0.848</v>
      </c>
      <c r="T704" s="14" t="n">
        <v>47027.32</v>
      </c>
      <c r="U704" s="6" t="s">
        <v>56</v>
      </c>
    </row>
    <row r="705" customFormat="false" ht="15" hidden="false" customHeight="true" outlineLevel="0" collapsed="false">
      <c r="A705" s="6" t="s">
        <v>1603</v>
      </c>
      <c r="B705" s="6" t="s">
        <v>1604</v>
      </c>
      <c r="C705" s="6" t="s">
        <v>120</v>
      </c>
      <c r="D705" s="6" t="s">
        <v>210</v>
      </c>
      <c r="E705" s="6" t="s">
        <v>189</v>
      </c>
      <c r="F705" s="13" t="n">
        <v>45813</v>
      </c>
      <c r="G705" s="13" t="n">
        <v>45904</v>
      </c>
      <c r="H705" s="14" t="n">
        <v>120201.14</v>
      </c>
      <c r="I705" s="6" t="n">
        <v>3</v>
      </c>
      <c r="J705" s="6" t="n">
        <v>620</v>
      </c>
      <c r="K705" s="6" t="s">
        <v>160</v>
      </c>
      <c r="L705" s="14" t="n">
        <v>26991.7</v>
      </c>
      <c r="M705" s="22" t="n">
        <v>1.087</v>
      </c>
      <c r="N705" s="14" t="n">
        <v>29339.98</v>
      </c>
      <c r="O705" s="14" t="n">
        <v>2348.28</v>
      </c>
      <c r="P705" s="21" t="n">
        <v>0.08</v>
      </c>
      <c r="Q705" s="6" t="n">
        <v>91</v>
      </c>
      <c r="R705" s="6" t="s">
        <v>161</v>
      </c>
      <c r="S705" s="21" t="n">
        <v>1</v>
      </c>
      <c r="T705" s="14" t="n">
        <v>29339.98</v>
      </c>
      <c r="U705" s="6" t="s">
        <v>52</v>
      </c>
    </row>
    <row r="706" customFormat="false" ht="15" hidden="false" customHeight="true" outlineLevel="0" collapsed="false">
      <c r="A706" s="6" t="s">
        <v>1605</v>
      </c>
      <c r="B706" s="6" t="s">
        <v>1606</v>
      </c>
      <c r="C706" s="6" t="s">
        <v>124</v>
      </c>
      <c r="D706" s="6" t="s">
        <v>168</v>
      </c>
      <c r="E706" s="6" t="s">
        <v>153</v>
      </c>
      <c r="F706" s="13" t="n">
        <v>44570</v>
      </c>
      <c r="G706" s="13" t="n">
        <v>44724</v>
      </c>
      <c r="H706" s="14" t="n">
        <v>103692.64</v>
      </c>
      <c r="I706" s="6" t="n">
        <v>1</v>
      </c>
      <c r="J706" s="6" t="n">
        <v>570</v>
      </c>
      <c r="K706" s="6" t="s">
        <v>160</v>
      </c>
      <c r="L706" s="14" t="n">
        <v>43233.9</v>
      </c>
      <c r="M706" s="22" t="n">
        <v>1.298</v>
      </c>
      <c r="N706" s="14" t="n">
        <v>56117.6</v>
      </c>
      <c r="O706" s="14" t="n">
        <v>12883.7</v>
      </c>
      <c r="P706" s="21" t="n">
        <v>0.105</v>
      </c>
      <c r="Q706" s="6" t="n">
        <v>154</v>
      </c>
      <c r="R706" s="6" t="s">
        <v>155</v>
      </c>
      <c r="S706" s="21" t="n">
        <v>0.98</v>
      </c>
      <c r="T706" s="14" t="n">
        <v>54995.25</v>
      </c>
      <c r="U706" s="6" t="s">
        <v>11</v>
      </c>
    </row>
    <row r="707" customFormat="false" ht="15" hidden="false" customHeight="true" outlineLevel="0" collapsed="false">
      <c r="A707" s="6" t="s">
        <v>1607</v>
      </c>
      <c r="B707" s="6" t="s">
        <v>1608</v>
      </c>
      <c r="C707" s="6" t="s">
        <v>116</v>
      </c>
      <c r="D707" s="6" t="s">
        <v>152</v>
      </c>
      <c r="E707" s="6" t="s">
        <v>207</v>
      </c>
      <c r="F707" s="13" t="n">
        <v>44720</v>
      </c>
      <c r="G707" s="13" t="n">
        <v>44781</v>
      </c>
      <c r="H707" s="14" t="n">
        <v>158434.86</v>
      </c>
      <c r="I707" s="6" t="n">
        <v>2</v>
      </c>
      <c r="J707" s="6" t="n">
        <v>530</v>
      </c>
      <c r="K707" s="6" t="s">
        <v>160</v>
      </c>
      <c r="L707" s="14" t="n">
        <v>39507.01</v>
      </c>
      <c r="M707" s="22" t="n">
        <v>1.342</v>
      </c>
      <c r="N707" s="14" t="n">
        <v>53018.41</v>
      </c>
      <c r="O707" s="14" t="n">
        <v>13511.4</v>
      </c>
      <c r="P707" s="21" t="n">
        <v>0.164</v>
      </c>
      <c r="Q707" s="6" t="n">
        <v>61</v>
      </c>
      <c r="R707" s="6" t="s">
        <v>155</v>
      </c>
      <c r="S707" s="21" t="n">
        <v>0.816</v>
      </c>
      <c r="T707" s="14" t="n">
        <v>43263.02</v>
      </c>
      <c r="U707" s="6" t="s">
        <v>16</v>
      </c>
    </row>
    <row r="708" customFormat="false" ht="15" hidden="false" customHeight="true" outlineLevel="0" collapsed="false">
      <c r="A708" s="6" t="s">
        <v>1609</v>
      </c>
      <c r="B708" s="6" t="s">
        <v>1610</v>
      </c>
      <c r="C708" s="6" t="s">
        <v>112</v>
      </c>
      <c r="D708" s="6" t="s">
        <v>172</v>
      </c>
      <c r="E708" s="6" t="s">
        <v>192</v>
      </c>
      <c r="F708" s="13" t="n">
        <v>44953</v>
      </c>
      <c r="G708" s="13" t="n">
        <v>45033</v>
      </c>
      <c r="H708" s="14" t="n">
        <v>22867.47</v>
      </c>
      <c r="I708" s="6" t="n">
        <v>0</v>
      </c>
      <c r="J708" s="6" t="n">
        <v>612</v>
      </c>
      <c r="K708" s="6" t="s">
        <v>185</v>
      </c>
      <c r="L708" s="14" t="n">
        <v>7625.65</v>
      </c>
      <c r="M708" s="22" t="n">
        <v>1.266</v>
      </c>
      <c r="N708" s="14" t="n">
        <v>9654.07</v>
      </c>
      <c r="O708" s="14" t="n">
        <v>2028.42</v>
      </c>
      <c r="P708" s="21" t="n">
        <v>0.158</v>
      </c>
      <c r="Q708" s="6" t="n">
        <v>80</v>
      </c>
      <c r="R708" s="6" t="s">
        <v>161</v>
      </c>
      <c r="S708" s="21" t="n">
        <v>1</v>
      </c>
      <c r="T708" s="14" t="n">
        <v>9654.07</v>
      </c>
      <c r="U708" s="6" t="s">
        <v>23</v>
      </c>
    </row>
    <row r="709" customFormat="false" ht="15" hidden="false" customHeight="true" outlineLevel="0" collapsed="false">
      <c r="A709" s="6" t="s">
        <v>1611</v>
      </c>
      <c r="B709" s="6" t="s">
        <v>1612</v>
      </c>
      <c r="C709" s="6" t="s">
        <v>128</v>
      </c>
      <c r="D709" s="6" t="s">
        <v>172</v>
      </c>
      <c r="E709" s="6" t="s">
        <v>254</v>
      </c>
      <c r="F709" s="13" t="n">
        <v>45552</v>
      </c>
      <c r="G709" s="13" t="n">
        <v>45650</v>
      </c>
      <c r="H709" s="14" t="n">
        <v>223035.7</v>
      </c>
      <c r="I709" s="6" t="n">
        <v>2</v>
      </c>
      <c r="J709" s="6" t="n">
        <v>710</v>
      </c>
      <c r="K709" s="6" t="s">
        <v>185</v>
      </c>
      <c r="L709" s="14" t="n">
        <v>84035.03</v>
      </c>
      <c r="M709" s="22" t="n">
        <v>1.231</v>
      </c>
      <c r="N709" s="14" t="n">
        <v>103447.12</v>
      </c>
      <c r="O709" s="14" t="n">
        <v>19412.09</v>
      </c>
      <c r="P709" s="21" t="n">
        <v>0.141</v>
      </c>
      <c r="Q709" s="6" t="n">
        <v>98</v>
      </c>
      <c r="R709" s="6" t="s">
        <v>161</v>
      </c>
      <c r="S709" s="21" t="n">
        <v>1</v>
      </c>
      <c r="T709" s="14" t="n">
        <v>103447.12</v>
      </c>
      <c r="U709" s="6" t="s">
        <v>43</v>
      </c>
    </row>
    <row r="710" customFormat="false" ht="15" hidden="false" customHeight="true" outlineLevel="0" collapsed="false">
      <c r="A710" s="6" t="s">
        <v>1613</v>
      </c>
      <c r="B710" s="6" t="s">
        <v>1614</v>
      </c>
      <c r="C710" s="6" t="s">
        <v>120</v>
      </c>
      <c r="D710" s="6" t="s">
        <v>218</v>
      </c>
      <c r="E710" s="6" t="s">
        <v>177</v>
      </c>
      <c r="F710" s="13" t="n">
        <v>45308</v>
      </c>
      <c r="G710" s="13" t="n">
        <v>45381</v>
      </c>
      <c r="H710" s="14" t="n">
        <v>53881.1</v>
      </c>
      <c r="I710" s="6" t="n">
        <v>1</v>
      </c>
      <c r="J710" s="6" t="n">
        <v>673</v>
      </c>
      <c r="K710" s="6" t="s">
        <v>160</v>
      </c>
      <c r="L710" s="14" t="n">
        <v>11576.02</v>
      </c>
      <c r="M710" s="22" t="n">
        <v>1.12</v>
      </c>
      <c r="N710" s="14" t="n">
        <v>12965.14</v>
      </c>
      <c r="O710" s="14" t="n">
        <v>1389.12</v>
      </c>
      <c r="P710" s="21" t="n">
        <v>0.098</v>
      </c>
      <c r="Q710" s="6" t="n">
        <v>73</v>
      </c>
      <c r="R710" s="6" t="s">
        <v>232</v>
      </c>
      <c r="S710" s="21" t="n">
        <v>1</v>
      </c>
      <c r="T710" s="14" t="n">
        <v>12965.14</v>
      </c>
      <c r="U710" s="6" t="s">
        <v>35</v>
      </c>
    </row>
    <row r="711" customFormat="false" ht="15" hidden="false" customHeight="true" outlineLevel="0" collapsed="false">
      <c r="A711" s="6" t="s">
        <v>1615</v>
      </c>
      <c r="B711" s="6" t="s">
        <v>1616</v>
      </c>
      <c r="C711" s="6" t="s">
        <v>116</v>
      </c>
      <c r="D711" s="6" t="s">
        <v>152</v>
      </c>
      <c r="E711" s="6" t="s">
        <v>299</v>
      </c>
      <c r="F711" s="13" t="n">
        <v>45775</v>
      </c>
      <c r="G711" s="13" t="n">
        <v>45906</v>
      </c>
      <c r="H711" s="14" t="n">
        <v>9563.34</v>
      </c>
      <c r="I711" s="6" t="n">
        <v>2</v>
      </c>
      <c r="J711" s="6" t="n">
        <v>609</v>
      </c>
      <c r="K711" s="6" t="s">
        <v>160</v>
      </c>
      <c r="L711" s="14" t="n">
        <v>3472.95</v>
      </c>
      <c r="M711" s="22" t="n">
        <v>1.209</v>
      </c>
      <c r="N711" s="14" t="n">
        <v>4198.8</v>
      </c>
      <c r="O711" s="14" t="n">
        <v>725.85</v>
      </c>
      <c r="P711" s="21" t="n">
        <v>0.1</v>
      </c>
      <c r="Q711" s="6" t="n">
        <v>131</v>
      </c>
      <c r="R711" s="6" t="s">
        <v>161</v>
      </c>
      <c r="S711" s="21" t="n">
        <v>1</v>
      </c>
      <c r="T711" s="14" t="n">
        <v>4198.8</v>
      </c>
      <c r="U711" s="6" t="s">
        <v>50</v>
      </c>
    </row>
    <row r="712" customFormat="false" ht="15" hidden="false" customHeight="true" outlineLevel="0" collapsed="false">
      <c r="A712" s="6" t="s">
        <v>1617</v>
      </c>
      <c r="B712" s="6" t="s">
        <v>1618</v>
      </c>
      <c r="C712" s="6" t="s">
        <v>112</v>
      </c>
      <c r="D712" s="6" t="s">
        <v>172</v>
      </c>
      <c r="E712" s="6" t="s">
        <v>169</v>
      </c>
      <c r="F712" s="13" t="n">
        <v>44687</v>
      </c>
      <c r="G712" s="13" t="n">
        <v>44770</v>
      </c>
      <c r="H712" s="14" t="n">
        <v>78782.44</v>
      </c>
      <c r="I712" s="6" t="n">
        <v>0</v>
      </c>
      <c r="J712" s="6" t="n">
        <v>722</v>
      </c>
      <c r="K712" s="6" t="s">
        <v>185</v>
      </c>
      <c r="L712" s="14" t="n">
        <v>29163.9</v>
      </c>
      <c r="M712" s="22" t="n">
        <v>1.134</v>
      </c>
      <c r="N712" s="14" t="n">
        <v>33071.86</v>
      </c>
      <c r="O712" s="14" t="n">
        <v>3907.96</v>
      </c>
      <c r="P712" s="21" t="n">
        <v>0.151</v>
      </c>
      <c r="Q712" s="6" t="n">
        <v>83</v>
      </c>
      <c r="R712" s="6" t="s">
        <v>155</v>
      </c>
      <c r="S712" s="21" t="n">
        <v>0.98</v>
      </c>
      <c r="T712" s="14" t="n">
        <v>32410.42</v>
      </c>
      <c r="U712" s="6" t="s">
        <v>15</v>
      </c>
    </row>
    <row r="713" customFormat="false" ht="15" hidden="false" customHeight="true" outlineLevel="0" collapsed="false">
      <c r="A713" s="6" t="s">
        <v>1619</v>
      </c>
      <c r="B713" s="6" t="s">
        <v>1620</v>
      </c>
      <c r="C713" s="6" t="s">
        <v>128</v>
      </c>
      <c r="D713" s="6" t="s">
        <v>401</v>
      </c>
      <c r="E713" s="6" t="s">
        <v>211</v>
      </c>
      <c r="F713" s="13" t="n">
        <v>45805</v>
      </c>
      <c r="G713" s="13" t="n">
        <v>45932</v>
      </c>
      <c r="H713" s="14" t="n">
        <v>34217.42</v>
      </c>
      <c r="I713" s="6" t="n">
        <v>1</v>
      </c>
      <c r="J713" s="6" t="n">
        <v>695</v>
      </c>
      <c r="K713" s="6" t="s">
        <v>160</v>
      </c>
      <c r="L713" s="14" t="n">
        <v>10676.27</v>
      </c>
      <c r="M713" s="22" t="n">
        <v>1.203</v>
      </c>
      <c r="N713" s="14" t="n">
        <v>12843.55</v>
      </c>
      <c r="O713" s="14" t="n">
        <v>2167.28</v>
      </c>
      <c r="P713" s="21" t="n">
        <v>0.088</v>
      </c>
      <c r="Q713" s="6" t="n">
        <v>127</v>
      </c>
      <c r="R713" s="6" t="s">
        <v>161</v>
      </c>
      <c r="S713" s="21" t="n">
        <v>1</v>
      </c>
      <c r="T713" s="14" t="n">
        <v>12843.55</v>
      </c>
      <c r="U713" s="6" t="s">
        <v>51</v>
      </c>
    </row>
    <row r="714" customFormat="false" ht="15" hidden="false" customHeight="true" outlineLevel="0" collapsed="false">
      <c r="A714" s="6" t="s">
        <v>1621</v>
      </c>
      <c r="B714" s="6" t="s">
        <v>1622</v>
      </c>
      <c r="C714" s="6" t="s">
        <v>120</v>
      </c>
      <c r="D714" s="6" t="s">
        <v>210</v>
      </c>
      <c r="E714" s="6" t="s">
        <v>189</v>
      </c>
      <c r="F714" s="13" t="n">
        <v>44580</v>
      </c>
      <c r="G714" s="13" t="n">
        <v>44640</v>
      </c>
      <c r="H714" s="14" t="n">
        <v>35658.03</v>
      </c>
      <c r="I714" s="6" t="n">
        <v>4</v>
      </c>
      <c r="J714" s="6" t="n">
        <v>605</v>
      </c>
      <c r="K714" s="6" t="s">
        <v>154</v>
      </c>
      <c r="L714" s="14" t="n">
        <v>3529.91</v>
      </c>
      <c r="M714" s="22" t="n">
        <v>1.304</v>
      </c>
      <c r="N714" s="14" t="n">
        <v>4603</v>
      </c>
      <c r="O714" s="14" t="n">
        <v>1073.09</v>
      </c>
      <c r="P714" s="21" t="n">
        <v>0.07</v>
      </c>
      <c r="Q714" s="6" t="n">
        <v>60</v>
      </c>
      <c r="R714" s="6" t="s">
        <v>155</v>
      </c>
      <c r="S714" s="21" t="n">
        <v>0.711</v>
      </c>
      <c r="T714" s="14" t="n">
        <v>3272.73</v>
      </c>
      <c r="U714" s="6" t="s">
        <v>11</v>
      </c>
    </row>
    <row r="715" customFormat="false" ht="15" hidden="false" customHeight="true" outlineLevel="0" collapsed="false">
      <c r="A715" s="6" t="s">
        <v>1623</v>
      </c>
      <c r="B715" s="6" t="s">
        <v>1624</v>
      </c>
      <c r="C715" s="6" t="s">
        <v>128</v>
      </c>
      <c r="D715" s="6" t="s">
        <v>172</v>
      </c>
      <c r="E715" s="6" t="s">
        <v>195</v>
      </c>
      <c r="F715" s="13" t="n">
        <v>45859</v>
      </c>
      <c r="G715" s="13" t="n">
        <v>45920</v>
      </c>
      <c r="H715" s="14" t="n">
        <v>76652.5</v>
      </c>
      <c r="I715" s="6" t="n">
        <v>1</v>
      </c>
      <c r="J715" s="6" t="n">
        <v>682</v>
      </c>
      <c r="K715" s="6" t="s">
        <v>160</v>
      </c>
      <c r="L715" s="14" t="n">
        <v>20838.94</v>
      </c>
      <c r="M715" s="22" t="n">
        <v>1.272</v>
      </c>
      <c r="N715" s="14" t="n">
        <v>26507.13</v>
      </c>
      <c r="O715" s="14" t="n">
        <v>5668.19</v>
      </c>
      <c r="P715" s="21" t="n">
        <v>0.17</v>
      </c>
      <c r="Q715" s="6" t="n">
        <v>61</v>
      </c>
      <c r="R715" s="6" t="s">
        <v>161</v>
      </c>
      <c r="S715" s="21" t="n">
        <v>1</v>
      </c>
      <c r="T715" s="14" t="n">
        <v>26507.13</v>
      </c>
      <c r="U715" s="6" t="s">
        <v>53</v>
      </c>
    </row>
    <row r="716" customFormat="false" ht="15" hidden="false" customHeight="true" outlineLevel="0" collapsed="false">
      <c r="A716" s="6" t="s">
        <v>1625</v>
      </c>
      <c r="B716" s="6" t="s">
        <v>1626</v>
      </c>
      <c r="C716" s="6" t="s">
        <v>120</v>
      </c>
      <c r="D716" s="6" t="s">
        <v>218</v>
      </c>
      <c r="E716" s="6" t="s">
        <v>169</v>
      </c>
      <c r="F716" s="13" t="n">
        <v>44632</v>
      </c>
      <c r="G716" s="13" t="n">
        <v>44898</v>
      </c>
      <c r="H716" s="14" t="n">
        <v>42360.86</v>
      </c>
      <c r="I716" s="6" t="n">
        <v>1</v>
      </c>
      <c r="J716" s="6" t="n">
        <v>607</v>
      </c>
      <c r="K716" s="6" t="s">
        <v>160</v>
      </c>
      <c r="L716" s="14" t="n">
        <v>16879.05</v>
      </c>
      <c r="M716" s="22" t="n">
        <v>1.115</v>
      </c>
      <c r="N716" s="14" t="n">
        <v>18820.14</v>
      </c>
      <c r="O716" s="14" t="n">
        <v>1941.09</v>
      </c>
      <c r="P716" s="21" t="n">
        <v>0.05</v>
      </c>
      <c r="Q716" s="6" t="n">
        <v>266</v>
      </c>
      <c r="R716" s="6" t="s">
        <v>161</v>
      </c>
      <c r="S716" s="21" t="n">
        <v>1</v>
      </c>
      <c r="T716" s="14" t="n">
        <v>18820.14</v>
      </c>
      <c r="U716" s="6" t="s">
        <v>13</v>
      </c>
    </row>
    <row r="717" customFormat="false" ht="15" hidden="false" customHeight="true" outlineLevel="0" collapsed="false">
      <c r="A717" s="6" t="s">
        <v>1627</v>
      </c>
      <c r="B717" s="6" t="s">
        <v>1628</v>
      </c>
      <c r="C717" s="6" t="s">
        <v>112</v>
      </c>
      <c r="D717" s="6" t="s">
        <v>225</v>
      </c>
      <c r="E717" s="6" t="s">
        <v>254</v>
      </c>
      <c r="F717" s="13" t="n">
        <v>44569</v>
      </c>
      <c r="G717" s="13" t="n">
        <v>44680</v>
      </c>
      <c r="H717" s="14" t="n">
        <v>171199.75</v>
      </c>
      <c r="I717" s="6" t="n">
        <v>1</v>
      </c>
      <c r="J717" s="6" t="n">
        <v>521</v>
      </c>
      <c r="K717" s="6" t="s">
        <v>160</v>
      </c>
      <c r="L717" s="14" t="n">
        <v>70926.45</v>
      </c>
      <c r="M717" s="22" t="n">
        <v>1.345</v>
      </c>
      <c r="N717" s="14" t="n">
        <v>95396.08</v>
      </c>
      <c r="O717" s="14" t="n">
        <v>24469.63</v>
      </c>
      <c r="P717" s="21" t="n">
        <v>0.15</v>
      </c>
      <c r="Q717" s="6" t="n">
        <v>111</v>
      </c>
      <c r="R717" s="6" t="s">
        <v>155</v>
      </c>
      <c r="S717" s="21" t="n">
        <v>0.98</v>
      </c>
      <c r="T717" s="14" t="n">
        <v>93488.16</v>
      </c>
      <c r="U717" s="6" t="s">
        <v>11</v>
      </c>
    </row>
    <row r="718" customFormat="false" ht="15" hidden="false" customHeight="true" outlineLevel="0" collapsed="false">
      <c r="A718" s="6" t="s">
        <v>1629</v>
      </c>
      <c r="B718" s="6" t="s">
        <v>1630</v>
      </c>
      <c r="C718" s="6" t="s">
        <v>124</v>
      </c>
      <c r="D718" s="6" t="s">
        <v>168</v>
      </c>
      <c r="E718" s="6" t="s">
        <v>195</v>
      </c>
      <c r="F718" s="13" t="n">
        <v>45045</v>
      </c>
      <c r="G718" s="13" t="n">
        <v>45163</v>
      </c>
      <c r="H718" s="14" t="n">
        <v>131199.08</v>
      </c>
      <c r="I718" s="6" t="n">
        <v>1</v>
      </c>
      <c r="J718" s="6" t="n">
        <v>778</v>
      </c>
      <c r="K718" s="6" t="s">
        <v>160</v>
      </c>
      <c r="L718" s="14" t="n">
        <v>39894.17</v>
      </c>
      <c r="M718" s="22" t="n">
        <v>1.339</v>
      </c>
      <c r="N718" s="14" t="n">
        <v>53418.29</v>
      </c>
      <c r="O718" s="14" t="n">
        <v>13524.12</v>
      </c>
      <c r="P718" s="21" t="n">
        <v>0.103</v>
      </c>
      <c r="Q718" s="6" t="n">
        <v>118</v>
      </c>
      <c r="R718" s="6" t="s">
        <v>161</v>
      </c>
      <c r="S718" s="21" t="n">
        <v>1</v>
      </c>
      <c r="T718" s="14" t="n">
        <v>53418.29</v>
      </c>
      <c r="U718" s="6" t="s">
        <v>26</v>
      </c>
    </row>
    <row r="719" customFormat="false" ht="15" hidden="false" customHeight="true" outlineLevel="0" collapsed="false">
      <c r="A719" s="6" t="s">
        <v>1631</v>
      </c>
      <c r="B719" s="6" t="s">
        <v>1632</v>
      </c>
      <c r="C719" s="6" t="s">
        <v>131</v>
      </c>
      <c r="D719" s="6" t="s">
        <v>176</v>
      </c>
      <c r="E719" s="6" t="s">
        <v>326</v>
      </c>
      <c r="F719" s="13" t="n">
        <v>45836</v>
      </c>
      <c r="G719" s="13" t="n">
        <v>45964</v>
      </c>
      <c r="H719" s="14" t="n">
        <v>242124.34</v>
      </c>
      <c r="I719" s="6" t="n">
        <v>0</v>
      </c>
      <c r="J719" s="6" t="n">
        <v>593</v>
      </c>
      <c r="K719" s="6" t="s">
        <v>160</v>
      </c>
      <c r="L719" s="14" t="n">
        <v>86368.75</v>
      </c>
      <c r="M719" s="22" t="n">
        <v>1.109</v>
      </c>
      <c r="N719" s="14" t="n">
        <v>95782.94</v>
      </c>
      <c r="O719" s="14" t="n">
        <v>9414.19</v>
      </c>
      <c r="P719" s="21" t="n">
        <v>0.092</v>
      </c>
      <c r="Q719" s="6" t="n">
        <v>128</v>
      </c>
      <c r="R719" s="6" t="s">
        <v>161</v>
      </c>
      <c r="S719" s="21" t="n">
        <v>1</v>
      </c>
      <c r="T719" s="14" t="n">
        <v>95782.94</v>
      </c>
      <c r="U719" s="6" t="s">
        <v>52</v>
      </c>
    </row>
    <row r="720" customFormat="false" ht="15" hidden="false" customHeight="true" outlineLevel="0" collapsed="false">
      <c r="A720" s="6" t="s">
        <v>1633</v>
      </c>
      <c r="B720" s="6" t="s">
        <v>1634</v>
      </c>
      <c r="C720" s="6" t="s">
        <v>112</v>
      </c>
      <c r="D720" s="6" t="s">
        <v>188</v>
      </c>
      <c r="E720" s="6" t="s">
        <v>219</v>
      </c>
      <c r="F720" s="13" t="n">
        <v>46033</v>
      </c>
      <c r="G720" s="13" t="n">
        <v>46113</v>
      </c>
      <c r="H720" s="14" t="n">
        <v>164885.49</v>
      </c>
      <c r="I720" s="6" t="n">
        <v>3</v>
      </c>
      <c r="J720" s="6" t="n">
        <v>599</v>
      </c>
      <c r="K720" s="6" t="s">
        <v>185</v>
      </c>
      <c r="L720" s="14" t="n">
        <v>21087.73</v>
      </c>
      <c r="M720" s="22" t="n">
        <v>1.177</v>
      </c>
      <c r="N720" s="14" t="n">
        <v>24820.26</v>
      </c>
      <c r="O720" s="14" t="n">
        <v>3732.53</v>
      </c>
      <c r="P720" s="21" t="n">
        <v>0.056</v>
      </c>
      <c r="Q720" s="6" t="n">
        <v>80</v>
      </c>
      <c r="R720" s="6" t="s">
        <v>161</v>
      </c>
      <c r="S720" s="21" t="n">
        <v>1</v>
      </c>
      <c r="T720" s="14" t="n">
        <v>24820.26</v>
      </c>
      <c r="U720" s="6" t="s">
        <v>59</v>
      </c>
    </row>
    <row r="721" customFormat="false" ht="15" hidden="false" customHeight="true" outlineLevel="0" collapsed="false">
      <c r="A721" s="6" t="s">
        <v>1635</v>
      </c>
      <c r="B721" s="6" t="s">
        <v>1636</v>
      </c>
      <c r="C721" s="6" t="s">
        <v>112</v>
      </c>
      <c r="D721" s="6" t="s">
        <v>225</v>
      </c>
      <c r="E721" s="6" t="s">
        <v>201</v>
      </c>
      <c r="F721" s="13" t="n">
        <v>45916</v>
      </c>
      <c r="G721" s="13" t="n">
        <v>46058</v>
      </c>
      <c r="H721" s="14" t="n">
        <v>161336.06</v>
      </c>
      <c r="I721" s="6" t="n">
        <v>0</v>
      </c>
      <c r="J721" s="6" t="n">
        <v>662</v>
      </c>
      <c r="K721" s="6" t="s">
        <v>154</v>
      </c>
      <c r="L721" s="14" t="n">
        <v>31635.72</v>
      </c>
      <c r="M721" s="22" t="n">
        <v>1.284</v>
      </c>
      <c r="N721" s="14" t="n">
        <v>40620.26</v>
      </c>
      <c r="O721" s="14" t="n">
        <v>8984.54</v>
      </c>
      <c r="P721" s="21" t="n">
        <v>0.053</v>
      </c>
      <c r="Q721" s="6" t="n">
        <v>142</v>
      </c>
      <c r="R721" s="6" t="s">
        <v>161</v>
      </c>
      <c r="S721" s="21" t="n">
        <v>1</v>
      </c>
      <c r="T721" s="14" t="n">
        <v>40620.26</v>
      </c>
      <c r="U721" s="6" t="s">
        <v>55</v>
      </c>
    </row>
    <row r="722" customFormat="false" ht="15" hidden="false" customHeight="true" outlineLevel="0" collapsed="false">
      <c r="A722" s="6" t="s">
        <v>1637</v>
      </c>
      <c r="B722" s="6" t="s">
        <v>1638</v>
      </c>
      <c r="C722" s="6" t="s">
        <v>120</v>
      </c>
      <c r="D722" s="6" t="s">
        <v>210</v>
      </c>
      <c r="E722" s="6" t="s">
        <v>219</v>
      </c>
      <c r="F722" s="13" t="n">
        <v>46037</v>
      </c>
      <c r="G722" s="13" t="n">
        <v>46234</v>
      </c>
      <c r="H722" s="14" t="n">
        <v>203235.83</v>
      </c>
      <c r="I722" s="6" t="n">
        <v>2</v>
      </c>
      <c r="J722" s="6" t="n">
        <v>598</v>
      </c>
      <c r="K722" s="6" t="s">
        <v>160</v>
      </c>
      <c r="L722" s="14" t="n">
        <v>83774.97</v>
      </c>
      <c r="M722" s="22" t="n">
        <v>1.325</v>
      </c>
      <c r="N722" s="14" t="n">
        <v>111001.84</v>
      </c>
      <c r="O722" s="14" t="n">
        <v>27226.87</v>
      </c>
      <c r="P722" s="21" t="n">
        <v>0.083</v>
      </c>
      <c r="Q722" s="6" t="n">
        <v>197</v>
      </c>
      <c r="R722" s="6" t="s">
        <v>161</v>
      </c>
      <c r="S722" s="21" t="n">
        <v>1</v>
      </c>
      <c r="T722" s="14" t="n">
        <v>111001.84</v>
      </c>
      <c r="U722" s="6" t="s">
        <v>59</v>
      </c>
    </row>
    <row r="723" customFormat="false" ht="15" hidden="false" customHeight="true" outlineLevel="0" collapsed="false">
      <c r="A723" s="6" t="s">
        <v>1639</v>
      </c>
      <c r="B723" s="6" t="s">
        <v>1640</v>
      </c>
      <c r="C723" s="6" t="s">
        <v>128</v>
      </c>
      <c r="D723" s="6" t="s">
        <v>401</v>
      </c>
      <c r="E723" s="6" t="s">
        <v>201</v>
      </c>
      <c r="F723" s="13" t="n">
        <v>44920</v>
      </c>
      <c r="G723" s="13" t="n">
        <v>45024</v>
      </c>
      <c r="H723" s="14" t="n">
        <v>217697.98</v>
      </c>
      <c r="I723" s="6" t="n">
        <v>0</v>
      </c>
      <c r="J723" s="6" t="n">
        <v>508</v>
      </c>
      <c r="K723" s="6" t="s">
        <v>160</v>
      </c>
      <c r="L723" s="14" t="n">
        <v>30447.41</v>
      </c>
      <c r="M723" s="22" t="n">
        <v>1.349</v>
      </c>
      <c r="N723" s="14" t="n">
        <v>41073.56</v>
      </c>
      <c r="O723" s="14" t="n">
        <v>10626.15</v>
      </c>
      <c r="P723" s="21" t="n">
        <v>0.054</v>
      </c>
      <c r="Q723" s="6" t="n">
        <v>104</v>
      </c>
      <c r="R723" s="6" t="s">
        <v>161</v>
      </c>
      <c r="S723" s="21" t="n">
        <v>1</v>
      </c>
      <c r="T723" s="14" t="n">
        <v>41073.56</v>
      </c>
      <c r="U723" s="6" t="s">
        <v>22</v>
      </c>
    </row>
    <row r="724" customFormat="false" ht="15" hidden="false" customHeight="true" outlineLevel="0" collapsed="false">
      <c r="A724" s="6" t="s">
        <v>1641</v>
      </c>
      <c r="B724" s="6" t="s">
        <v>1642</v>
      </c>
      <c r="C724" s="6" t="s">
        <v>131</v>
      </c>
      <c r="D724" s="6" t="s">
        <v>152</v>
      </c>
      <c r="E724" s="6" t="s">
        <v>159</v>
      </c>
      <c r="F724" s="13" t="n">
        <v>45973</v>
      </c>
      <c r="G724" s="13" t="n">
        <v>46034</v>
      </c>
      <c r="H724" s="14" t="n">
        <v>144059.21</v>
      </c>
      <c r="I724" s="6" t="n">
        <v>0</v>
      </c>
      <c r="J724" s="6" t="n">
        <v>635</v>
      </c>
      <c r="K724" s="6" t="s">
        <v>160</v>
      </c>
      <c r="L724" s="14" t="n">
        <v>34795.59</v>
      </c>
      <c r="M724" s="22" t="n">
        <v>1.176</v>
      </c>
      <c r="N724" s="14" t="n">
        <v>40919.61</v>
      </c>
      <c r="O724" s="14" t="n">
        <v>6124.02</v>
      </c>
      <c r="P724" s="21" t="n">
        <v>0.138</v>
      </c>
      <c r="Q724" s="6" t="n">
        <v>61</v>
      </c>
      <c r="R724" s="6" t="s">
        <v>161</v>
      </c>
      <c r="S724" s="21" t="n">
        <v>1</v>
      </c>
      <c r="T724" s="14" t="n">
        <v>40919.61</v>
      </c>
      <c r="U724" s="6" t="s">
        <v>57</v>
      </c>
    </row>
    <row r="725" customFormat="false" ht="15" hidden="false" customHeight="true" outlineLevel="0" collapsed="false">
      <c r="A725" s="6" t="s">
        <v>1643</v>
      </c>
      <c r="B725" s="6" t="s">
        <v>1644</v>
      </c>
      <c r="C725" s="6" t="s">
        <v>116</v>
      </c>
      <c r="D725" s="6" t="s">
        <v>222</v>
      </c>
      <c r="E725" s="6" t="s">
        <v>173</v>
      </c>
      <c r="F725" s="13" t="n">
        <v>45239</v>
      </c>
      <c r="G725" s="13" t="n">
        <v>45334</v>
      </c>
      <c r="H725" s="14" t="n">
        <v>72087.23</v>
      </c>
      <c r="I725" s="6" t="n">
        <v>2</v>
      </c>
      <c r="J725" s="6" t="n">
        <v>715</v>
      </c>
      <c r="K725" s="6" t="s">
        <v>160</v>
      </c>
      <c r="L725" s="14" t="n">
        <v>28910.06</v>
      </c>
      <c r="M725" s="22" t="n">
        <v>1.248</v>
      </c>
      <c r="N725" s="14" t="n">
        <v>36079.75</v>
      </c>
      <c r="O725" s="14" t="n">
        <v>7169.69</v>
      </c>
      <c r="P725" s="21" t="n">
        <v>0.158</v>
      </c>
      <c r="Q725" s="6" t="n">
        <v>95</v>
      </c>
      <c r="R725" s="6" t="s">
        <v>155</v>
      </c>
      <c r="S725" s="21" t="n">
        <v>0.979</v>
      </c>
      <c r="T725" s="14" t="n">
        <v>35322.08</v>
      </c>
      <c r="U725" s="6" t="s">
        <v>33</v>
      </c>
    </row>
    <row r="726" customFormat="false" ht="15" hidden="false" customHeight="true" outlineLevel="0" collapsed="false">
      <c r="A726" s="6" t="s">
        <v>1645</v>
      </c>
      <c r="B726" s="6" t="s">
        <v>1646</v>
      </c>
      <c r="C726" s="6" t="s">
        <v>120</v>
      </c>
      <c r="D726" s="6" t="s">
        <v>210</v>
      </c>
      <c r="E726" s="6" t="s">
        <v>304</v>
      </c>
      <c r="F726" s="13" t="n">
        <v>45266</v>
      </c>
      <c r="G726" s="13" t="n">
        <v>45326</v>
      </c>
      <c r="H726" s="14" t="n">
        <v>201161.09</v>
      </c>
      <c r="I726" s="6" t="n">
        <v>3</v>
      </c>
      <c r="J726" s="6" t="n">
        <v>700</v>
      </c>
      <c r="K726" s="6" t="s">
        <v>160</v>
      </c>
      <c r="L726" s="14" t="n">
        <v>28809.43</v>
      </c>
      <c r="M726" s="22" t="n">
        <v>1.26</v>
      </c>
      <c r="N726" s="14" t="n">
        <v>36299.88</v>
      </c>
      <c r="O726" s="14" t="n">
        <v>7490.45</v>
      </c>
      <c r="P726" s="21" t="n">
        <v>0.17</v>
      </c>
      <c r="Q726" s="6" t="n">
        <v>60</v>
      </c>
      <c r="R726" s="6" t="s">
        <v>155</v>
      </c>
      <c r="S726" s="21" t="n">
        <v>0.809</v>
      </c>
      <c r="T726" s="14" t="n">
        <v>29366.6</v>
      </c>
      <c r="U726" s="6" t="s">
        <v>34</v>
      </c>
    </row>
    <row r="727" customFormat="false" ht="15" hidden="false" customHeight="true" outlineLevel="0" collapsed="false">
      <c r="A727" s="6" t="s">
        <v>1647</v>
      </c>
      <c r="B727" s="6" t="s">
        <v>1648</v>
      </c>
      <c r="C727" s="6" t="s">
        <v>124</v>
      </c>
      <c r="D727" s="6" t="s">
        <v>180</v>
      </c>
      <c r="E727" s="6" t="s">
        <v>181</v>
      </c>
      <c r="F727" s="13" t="n">
        <v>45089</v>
      </c>
      <c r="G727" s="13" t="n">
        <v>45181</v>
      </c>
      <c r="H727" s="14" t="n">
        <v>182032.31</v>
      </c>
      <c r="I727" s="6" t="n">
        <v>2</v>
      </c>
      <c r="J727" s="6" t="n">
        <v>739</v>
      </c>
      <c r="K727" s="6" t="s">
        <v>185</v>
      </c>
      <c r="L727" s="14" t="n">
        <v>23701.28</v>
      </c>
      <c r="M727" s="22" t="n">
        <v>1.283</v>
      </c>
      <c r="N727" s="14" t="n">
        <v>30408.74</v>
      </c>
      <c r="O727" s="14" t="n">
        <v>6707.46</v>
      </c>
      <c r="P727" s="21" t="n">
        <v>0.054</v>
      </c>
      <c r="Q727" s="6" t="n">
        <v>92</v>
      </c>
      <c r="R727" s="6" t="s">
        <v>161</v>
      </c>
      <c r="S727" s="21" t="n">
        <v>1</v>
      </c>
      <c r="T727" s="14" t="n">
        <v>30408.74</v>
      </c>
      <c r="U727" s="6" t="s">
        <v>28</v>
      </c>
    </row>
    <row r="728" customFormat="false" ht="15" hidden="false" customHeight="true" outlineLevel="0" collapsed="false">
      <c r="A728" s="6" t="s">
        <v>1649</v>
      </c>
      <c r="B728" s="6" t="s">
        <v>1650</v>
      </c>
      <c r="C728" s="6" t="s">
        <v>131</v>
      </c>
      <c r="D728" s="6" t="s">
        <v>176</v>
      </c>
      <c r="E728" s="6" t="s">
        <v>189</v>
      </c>
      <c r="F728" s="13" t="n">
        <v>46119</v>
      </c>
      <c r="G728" s="13" t="n">
        <v>46234</v>
      </c>
      <c r="H728" s="14" t="n">
        <v>138644.4</v>
      </c>
      <c r="I728" s="6" t="n">
        <v>4</v>
      </c>
      <c r="J728" s="6" t="n">
        <v>540</v>
      </c>
      <c r="K728" s="6" t="s">
        <v>185</v>
      </c>
      <c r="L728" s="14" t="n">
        <v>35140.07</v>
      </c>
      <c r="M728" s="22" t="n">
        <v>1.107</v>
      </c>
      <c r="N728" s="14" t="n">
        <v>38900.06</v>
      </c>
      <c r="O728" s="14" t="n">
        <v>3759.99</v>
      </c>
      <c r="P728" s="21" t="n">
        <v>0.073</v>
      </c>
      <c r="Q728" s="6" t="n">
        <v>115</v>
      </c>
      <c r="R728" s="6" t="s">
        <v>155</v>
      </c>
      <c r="S728" s="21" t="n">
        <v>0.974</v>
      </c>
      <c r="T728" s="14" t="n">
        <v>37888.66</v>
      </c>
      <c r="U728" s="6" t="s">
        <v>62</v>
      </c>
    </row>
    <row r="729" customFormat="false" ht="15" hidden="false" customHeight="true" outlineLevel="0" collapsed="false">
      <c r="A729" s="6" t="s">
        <v>1651</v>
      </c>
      <c r="B729" s="6" t="s">
        <v>1652</v>
      </c>
      <c r="C729" s="6" t="s">
        <v>112</v>
      </c>
      <c r="D729" s="6" t="s">
        <v>225</v>
      </c>
      <c r="E729" s="6" t="s">
        <v>192</v>
      </c>
      <c r="F729" s="13" t="n">
        <v>45760</v>
      </c>
      <c r="G729" s="13" t="n">
        <v>45878</v>
      </c>
      <c r="H729" s="14" t="n">
        <v>68193.05</v>
      </c>
      <c r="I729" s="6" t="n">
        <v>3</v>
      </c>
      <c r="J729" s="6" t="n">
        <v>619</v>
      </c>
      <c r="K729" s="6" t="s">
        <v>154</v>
      </c>
      <c r="L729" s="14" t="n">
        <v>27877.31</v>
      </c>
      <c r="M729" s="22" t="n">
        <v>1.311</v>
      </c>
      <c r="N729" s="14" t="n">
        <v>36547.15</v>
      </c>
      <c r="O729" s="14" t="n">
        <v>8669.84</v>
      </c>
      <c r="P729" s="21" t="n">
        <v>0.136</v>
      </c>
      <c r="Q729" s="6" t="n">
        <v>118</v>
      </c>
      <c r="R729" s="6" t="s">
        <v>161</v>
      </c>
      <c r="S729" s="21" t="n">
        <v>1</v>
      </c>
      <c r="T729" s="14" t="n">
        <v>36547.15</v>
      </c>
      <c r="U729" s="6" t="s">
        <v>50</v>
      </c>
    </row>
    <row r="730" customFormat="false" ht="15" hidden="false" customHeight="true" outlineLevel="0" collapsed="false">
      <c r="A730" s="6" t="s">
        <v>1653</v>
      </c>
      <c r="B730" s="6" t="s">
        <v>1654</v>
      </c>
      <c r="C730" s="6" t="s">
        <v>128</v>
      </c>
      <c r="D730" s="6" t="s">
        <v>235</v>
      </c>
      <c r="E730" s="6" t="s">
        <v>159</v>
      </c>
      <c r="F730" s="13" t="n">
        <v>45953</v>
      </c>
      <c r="G730" s="13" t="n">
        <v>46049</v>
      </c>
      <c r="H730" s="14" t="n">
        <v>206463.46</v>
      </c>
      <c r="I730" s="6" t="n">
        <v>0</v>
      </c>
      <c r="J730" s="6" t="n">
        <v>531</v>
      </c>
      <c r="K730" s="6" t="s">
        <v>160</v>
      </c>
      <c r="L730" s="14" t="n">
        <v>55269.18</v>
      </c>
      <c r="M730" s="22" t="n">
        <v>1.292</v>
      </c>
      <c r="N730" s="14" t="n">
        <v>71407.78</v>
      </c>
      <c r="O730" s="14" t="n">
        <v>16138.6</v>
      </c>
      <c r="P730" s="21" t="n">
        <v>0.108</v>
      </c>
      <c r="Q730" s="6" t="n">
        <v>96</v>
      </c>
      <c r="R730" s="6" t="s">
        <v>161</v>
      </c>
      <c r="S730" s="21" t="n">
        <v>1</v>
      </c>
      <c r="T730" s="14" t="n">
        <v>71407.78</v>
      </c>
      <c r="U730" s="6" t="s">
        <v>56</v>
      </c>
    </row>
    <row r="731" customFormat="false" ht="15" hidden="false" customHeight="true" outlineLevel="0" collapsed="false">
      <c r="A731" s="6" t="s">
        <v>1655</v>
      </c>
      <c r="B731" s="6" t="s">
        <v>1656</v>
      </c>
      <c r="C731" s="6" t="s">
        <v>116</v>
      </c>
      <c r="D731" s="6" t="s">
        <v>206</v>
      </c>
      <c r="E731" s="6" t="s">
        <v>211</v>
      </c>
      <c r="F731" s="13" t="n">
        <v>45380</v>
      </c>
      <c r="G731" s="13" t="n">
        <v>45512</v>
      </c>
      <c r="H731" s="14" t="n">
        <v>142298.28</v>
      </c>
      <c r="I731" s="6" t="n">
        <v>0</v>
      </c>
      <c r="J731" s="6" t="n">
        <v>568</v>
      </c>
      <c r="K731" s="6" t="s">
        <v>160</v>
      </c>
      <c r="L731" s="14" t="n">
        <v>50838.82</v>
      </c>
      <c r="M731" s="22" t="n">
        <v>1.126</v>
      </c>
      <c r="N731" s="14" t="n">
        <v>57244.51</v>
      </c>
      <c r="O731" s="14" t="n">
        <v>6405.69</v>
      </c>
      <c r="P731" s="21" t="n">
        <v>0.091</v>
      </c>
      <c r="Q731" s="6" t="n">
        <v>132</v>
      </c>
      <c r="R731" s="6" t="s">
        <v>161</v>
      </c>
      <c r="S731" s="21" t="n">
        <v>1</v>
      </c>
      <c r="T731" s="14" t="n">
        <v>57244.51</v>
      </c>
      <c r="U731" s="6" t="s">
        <v>37</v>
      </c>
    </row>
    <row r="732" customFormat="false" ht="15" hidden="false" customHeight="true" outlineLevel="0" collapsed="false">
      <c r="A732" s="6" t="s">
        <v>1657</v>
      </c>
      <c r="B732" s="6" t="s">
        <v>1658</v>
      </c>
      <c r="C732" s="6" t="s">
        <v>124</v>
      </c>
      <c r="D732" s="6" t="s">
        <v>243</v>
      </c>
      <c r="E732" s="6" t="s">
        <v>195</v>
      </c>
      <c r="F732" s="13" t="n">
        <v>44626</v>
      </c>
      <c r="G732" s="13" t="n">
        <v>44741</v>
      </c>
      <c r="H732" s="14" t="n">
        <v>140009.08</v>
      </c>
      <c r="I732" s="6" t="n">
        <v>0</v>
      </c>
      <c r="J732" s="6" t="n">
        <v>501</v>
      </c>
      <c r="K732" s="6" t="s">
        <v>160</v>
      </c>
      <c r="L732" s="14" t="n">
        <v>37189.24</v>
      </c>
      <c r="M732" s="22" t="n">
        <v>1.178</v>
      </c>
      <c r="N732" s="14" t="n">
        <v>43808.92</v>
      </c>
      <c r="O732" s="14" t="n">
        <v>6619.68</v>
      </c>
      <c r="P732" s="21" t="n">
        <v>0.081</v>
      </c>
      <c r="Q732" s="6" t="n">
        <v>115</v>
      </c>
      <c r="R732" s="6" t="s">
        <v>309</v>
      </c>
      <c r="S732" s="21" t="n">
        <v>0.457</v>
      </c>
      <c r="T732" s="14" t="n">
        <v>20020.68</v>
      </c>
      <c r="U732" s="6" t="s">
        <v>13</v>
      </c>
    </row>
    <row r="733" customFormat="false" ht="15" hidden="false" customHeight="true" outlineLevel="0" collapsed="false">
      <c r="A733" s="6" t="s">
        <v>1659</v>
      </c>
      <c r="B733" s="6" t="s">
        <v>1660</v>
      </c>
      <c r="C733" s="6" t="s">
        <v>131</v>
      </c>
      <c r="D733" s="6" t="s">
        <v>200</v>
      </c>
      <c r="E733" s="6" t="s">
        <v>159</v>
      </c>
      <c r="F733" s="13" t="n">
        <v>45286</v>
      </c>
      <c r="G733" s="13" t="n">
        <v>45455</v>
      </c>
      <c r="H733" s="14" t="n">
        <v>186663.6</v>
      </c>
      <c r="I733" s="6" t="n">
        <v>1</v>
      </c>
      <c r="J733" s="6" t="n">
        <v>649</v>
      </c>
      <c r="K733" s="6" t="s">
        <v>160</v>
      </c>
      <c r="L733" s="14" t="n">
        <v>52346.46</v>
      </c>
      <c r="M733" s="22" t="n">
        <v>1.13</v>
      </c>
      <c r="N733" s="14" t="n">
        <v>59151.5</v>
      </c>
      <c r="O733" s="14" t="n">
        <v>6805.04</v>
      </c>
      <c r="P733" s="21" t="n">
        <v>0.056</v>
      </c>
      <c r="Q733" s="6" t="n">
        <v>169</v>
      </c>
      <c r="R733" s="6" t="s">
        <v>155</v>
      </c>
      <c r="S733" s="21" t="n">
        <v>0.79</v>
      </c>
      <c r="T733" s="14" t="n">
        <v>46729.69</v>
      </c>
      <c r="U733" s="6" t="s">
        <v>34</v>
      </c>
    </row>
    <row r="734" customFormat="false" ht="15" hidden="false" customHeight="true" outlineLevel="0" collapsed="false">
      <c r="A734" s="6" t="s">
        <v>1661</v>
      </c>
      <c r="B734" s="6" t="s">
        <v>1662</v>
      </c>
      <c r="C734" s="6" t="s">
        <v>124</v>
      </c>
      <c r="D734" s="6" t="s">
        <v>238</v>
      </c>
      <c r="E734" s="6" t="s">
        <v>153</v>
      </c>
      <c r="F734" s="13" t="n">
        <v>44657</v>
      </c>
      <c r="G734" s="13" t="n">
        <v>44789</v>
      </c>
      <c r="H734" s="14" t="n">
        <v>98085.78</v>
      </c>
      <c r="I734" s="6" t="n">
        <v>1</v>
      </c>
      <c r="J734" s="6" t="n">
        <v>647</v>
      </c>
      <c r="K734" s="6" t="s">
        <v>160</v>
      </c>
      <c r="L734" s="14" t="n">
        <v>31093.6</v>
      </c>
      <c r="M734" s="22" t="n">
        <v>1.209</v>
      </c>
      <c r="N734" s="14" t="n">
        <v>37592.16</v>
      </c>
      <c r="O734" s="14" t="n">
        <v>6498.56</v>
      </c>
      <c r="P734" s="21" t="n">
        <v>0.087</v>
      </c>
      <c r="Q734" s="6" t="n">
        <v>132</v>
      </c>
      <c r="R734" s="6" t="s">
        <v>155</v>
      </c>
      <c r="S734" s="21" t="n">
        <v>0.749</v>
      </c>
      <c r="T734" s="14" t="n">
        <v>28156.53</v>
      </c>
      <c r="U734" s="6" t="s">
        <v>14</v>
      </c>
    </row>
    <row r="735" customFormat="false" ht="15" hidden="false" customHeight="true" outlineLevel="0" collapsed="false">
      <c r="A735" s="6" t="s">
        <v>1663</v>
      </c>
      <c r="B735" s="6" t="s">
        <v>1664</v>
      </c>
      <c r="C735" s="6" t="s">
        <v>124</v>
      </c>
      <c r="D735" s="6" t="s">
        <v>243</v>
      </c>
      <c r="E735" s="6" t="s">
        <v>299</v>
      </c>
      <c r="F735" s="13" t="n">
        <v>45874</v>
      </c>
      <c r="G735" s="13" t="n">
        <v>45934</v>
      </c>
      <c r="H735" s="14" t="n">
        <v>99331.88</v>
      </c>
      <c r="I735" s="6" t="n">
        <v>1</v>
      </c>
      <c r="J735" s="6" t="n">
        <v>808</v>
      </c>
      <c r="K735" s="6" t="s">
        <v>154</v>
      </c>
      <c r="L735" s="14" t="n">
        <v>10263.17</v>
      </c>
      <c r="M735" s="22" t="n">
        <v>1.211</v>
      </c>
      <c r="N735" s="14" t="n">
        <v>12428.7</v>
      </c>
      <c r="O735" s="14" t="n">
        <v>2165.53</v>
      </c>
      <c r="P735" s="21" t="n">
        <v>0.128</v>
      </c>
      <c r="Q735" s="6" t="n">
        <v>60</v>
      </c>
      <c r="R735" s="6" t="s">
        <v>155</v>
      </c>
      <c r="S735" s="21" t="n">
        <v>0.955</v>
      </c>
      <c r="T735" s="14" t="n">
        <v>11869.41</v>
      </c>
      <c r="U735" s="6" t="s">
        <v>54</v>
      </c>
    </row>
    <row r="736" customFormat="false" ht="15" hidden="false" customHeight="true" outlineLevel="0" collapsed="false">
      <c r="A736" s="6" t="s">
        <v>1665</v>
      </c>
      <c r="B736" s="6" t="s">
        <v>1666</v>
      </c>
      <c r="C736" s="6" t="s">
        <v>112</v>
      </c>
      <c r="D736" s="6" t="s">
        <v>164</v>
      </c>
      <c r="E736" s="6" t="s">
        <v>304</v>
      </c>
      <c r="F736" s="13" t="n">
        <v>45544</v>
      </c>
      <c r="G736" s="13" t="n">
        <v>45604</v>
      </c>
      <c r="H736" s="14" t="n">
        <v>99263.13</v>
      </c>
      <c r="I736" s="6" t="n">
        <v>4</v>
      </c>
      <c r="J736" s="6" t="n">
        <v>546</v>
      </c>
      <c r="K736" s="6" t="s">
        <v>154</v>
      </c>
      <c r="L736" s="14" t="n">
        <v>11315.17</v>
      </c>
      <c r="M736" s="22" t="n">
        <v>1.115</v>
      </c>
      <c r="N736" s="14" t="n">
        <v>12616.41</v>
      </c>
      <c r="O736" s="14" t="n">
        <v>1301.24</v>
      </c>
      <c r="P736" s="21" t="n">
        <v>0.07</v>
      </c>
      <c r="Q736" s="6" t="n">
        <v>60</v>
      </c>
      <c r="R736" s="6" t="s">
        <v>155</v>
      </c>
      <c r="S736" s="21" t="n">
        <v>0.767</v>
      </c>
      <c r="T736" s="14" t="n">
        <v>9676.79</v>
      </c>
      <c r="U736" s="6" t="s">
        <v>43</v>
      </c>
    </row>
    <row r="737" customFormat="false" ht="15" hidden="false" customHeight="true" outlineLevel="0" collapsed="false">
      <c r="A737" s="6" t="s">
        <v>1667</v>
      </c>
      <c r="B737" s="6" t="s">
        <v>1668</v>
      </c>
      <c r="C737" s="6" t="s">
        <v>120</v>
      </c>
      <c r="D737" s="6" t="s">
        <v>210</v>
      </c>
      <c r="E737" s="6" t="s">
        <v>173</v>
      </c>
      <c r="F737" s="13" t="n">
        <v>45249</v>
      </c>
      <c r="G737" s="13" t="n">
        <v>45309</v>
      </c>
      <c r="H737" s="14" t="n">
        <v>153264.72</v>
      </c>
      <c r="I737" s="6" t="n">
        <v>0</v>
      </c>
      <c r="J737" s="6" t="n">
        <v>798</v>
      </c>
      <c r="K737" s="6" t="s">
        <v>160</v>
      </c>
      <c r="L737" s="14" t="n">
        <v>14782.61</v>
      </c>
      <c r="M737" s="22" t="n">
        <v>1.155</v>
      </c>
      <c r="N737" s="14" t="n">
        <v>17073.91</v>
      </c>
      <c r="O737" s="14" t="n">
        <v>2291.3</v>
      </c>
      <c r="P737" s="21" t="n">
        <v>0.161</v>
      </c>
      <c r="Q737" s="6" t="n">
        <v>60</v>
      </c>
      <c r="R737" s="6" t="s">
        <v>490</v>
      </c>
      <c r="S737" s="21" t="n">
        <v>0.396</v>
      </c>
      <c r="T737" s="14" t="n">
        <v>6761.27</v>
      </c>
      <c r="U737" s="6" t="s">
        <v>33</v>
      </c>
    </row>
    <row r="738" customFormat="false" ht="15" hidden="false" customHeight="true" outlineLevel="0" collapsed="false">
      <c r="A738" s="6" t="s">
        <v>1669</v>
      </c>
      <c r="B738" s="6" t="s">
        <v>1670</v>
      </c>
      <c r="C738" s="6" t="s">
        <v>116</v>
      </c>
      <c r="D738" s="6" t="s">
        <v>152</v>
      </c>
      <c r="E738" s="6" t="s">
        <v>288</v>
      </c>
      <c r="F738" s="13" t="n">
        <v>45419</v>
      </c>
      <c r="G738" s="13" t="n">
        <v>45489</v>
      </c>
      <c r="H738" s="14" t="n">
        <v>152323.4</v>
      </c>
      <c r="I738" s="6" t="n">
        <v>5</v>
      </c>
      <c r="J738" s="6" t="n">
        <v>617</v>
      </c>
      <c r="K738" s="6" t="s">
        <v>160</v>
      </c>
      <c r="L738" s="14" t="n">
        <v>28327.04</v>
      </c>
      <c r="M738" s="22" t="n">
        <v>1.314</v>
      </c>
      <c r="N738" s="14" t="n">
        <v>37221.73</v>
      </c>
      <c r="O738" s="14" t="n">
        <v>8894.69</v>
      </c>
      <c r="P738" s="21" t="n">
        <v>0.104</v>
      </c>
      <c r="Q738" s="6" t="n">
        <v>70</v>
      </c>
      <c r="R738" s="6" t="s">
        <v>161</v>
      </c>
      <c r="S738" s="21" t="n">
        <v>1</v>
      </c>
      <c r="T738" s="14" t="n">
        <v>37221.73</v>
      </c>
      <c r="U738" s="6" t="s">
        <v>39</v>
      </c>
    </row>
    <row r="739" customFormat="false" ht="15" hidden="false" customHeight="true" outlineLevel="0" collapsed="false">
      <c r="A739" s="6" t="s">
        <v>1671</v>
      </c>
      <c r="B739" s="6" t="s">
        <v>1672</v>
      </c>
      <c r="C739" s="6" t="s">
        <v>116</v>
      </c>
      <c r="D739" s="6" t="s">
        <v>206</v>
      </c>
      <c r="E739" s="6" t="s">
        <v>153</v>
      </c>
      <c r="F739" s="13" t="n">
        <v>45977</v>
      </c>
      <c r="G739" s="13" t="n">
        <v>46137</v>
      </c>
      <c r="H739" s="14" t="n">
        <v>128901.04</v>
      </c>
      <c r="I739" s="6" t="n">
        <v>1</v>
      </c>
      <c r="J739" s="6" t="n">
        <v>658</v>
      </c>
      <c r="K739" s="6" t="s">
        <v>160</v>
      </c>
      <c r="L739" s="14" t="n">
        <v>48893.74</v>
      </c>
      <c r="M739" s="22" t="n">
        <v>1.111</v>
      </c>
      <c r="N739" s="14" t="n">
        <v>54320.95</v>
      </c>
      <c r="O739" s="14" t="n">
        <v>5427.21</v>
      </c>
      <c r="P739" s="21" t="n">
        <v>0.079</v>
      </c>
      <c r="Q739" s="6" t="n">
        <v>160</v>
      </c>
      <c r="R739" s="6" t="s">
        <v>155</v>
      </c>
      <c r="S739" s="21" t="n">
        <v>0.98</v>
      </c>
      <c r="T739" s="14" t="n">
        <v>53234.53</v>
      </c>
      <c r="U739" s="6" t="s">
        <v>57</v>
      </c>
    </row>
    <row r="740" customFormat="false" ht="15" hidden="false" customHeight="true" outlineLevel="0" collapsed="false">
      <c r="A740" s="6" t="s">
        <v>1673</v>
      </c>
      <c r="B740" s="6" t="s">
        <v>1674</v>
      </c>
      <c r="C740" s="6" t="s">
        <v>120</v>
      </c>
      <c r="D740" s="6" t="s">
        <v>210</v>
      </c>
      <c r="E740" s="6" t="s">
        <v>181</v>
      </c>
      <c r="F740" s="13" t="n">
        <v>45371</v>
      </c>
      <c r="G740" s="13" t="n">
        <v>45439</v>
      </c>
      <c r="H740" s="14" t="n">
        <v>225323.33</v>
      </c>
      <c r="I740" s="6" t="n">
        <v>4</v>
      </c>
      <c r="J740" s="6" t="n">
        <v>534</v>
      </c>
      <c r="K740" s="6" t="s">
        <v>160</v>
      </c>
      <c r="L740" s="14" t="n">
        <v>66147.5</v>
      </c>
      <c r="M740" s="22" t="n">
        <v>1.09</v>
      </c>
      <c r="N740" s="14" t="n">
        <v>72100.78</v>
      </c>
      <c r="O740" s="14" t="n">
        <v>5953.28</v>
      </c>
      <c r="P740" s="21" t="n">
        <v>0.141</v>
      </c>
      <c r="Q740" s="6" t="n">
        <v>68</v>
      </c>
      <c r="R740" s="6" t="s">
        <v>155</v>
      </c>
      <c r="S740" s="21" t="n">
        <v>0.909</v>
      </c>
      <c r="T740" s="14" t="n">
        <v>65539.61</v>
      </c>
      <c r="U740" s="6" t="s">
        <v>37</v>
      </c>
    </row>
    <row r="741" customFormat="false" ht="15" hidden="false" customHeight="true" outlineLevel="0" collapsed="false">
      <c r="A741" s="6" t="s">
        <v>1675</v>
      </c>
      <c r="B741" s="6" t="s">
        <v>1676</v>
      </c>
      <c r="C741" s="6" t="s">
        <v>131</v>
      </c>
      <c r="D741" s="6" t="s">
        <v>176</v>
      </c>
      <c r="E741" s="6" t="s">
        <v>181</v>
      </c>
      <c r="F741" s="13" t="n">
        <v>46096</v>
      </c>
      <c r="G741" s="13" t="n">
        <v>46156</v>
      </c>
      <c r="H741" s="14" t="n">
        <v>176374.77</v>
      </c>
      <c r="I741" s="6" t="n">
        <v>0</v>
      </c>
      <c r="J741" s="6" t="n">
        <v>782</v>
      </c>
      <c r="K741" s="6" t="s">
        <v>185</v>
      </c>
      <c r="L741" s="14" t="n">
        <v>20450.63</v>
      </c>
      <c r="M741" s="22" t="n">
        <v>1.277</v>
      </c>
      <c r="N741" s="14" t="n">
        <v>26115.45</v>
      </c>
      <c r="O741" s="14" t="n">
        <v>5664.82</v>
      </c>
      <c r="P741" s="21" t="n">
        <v>0.123</v>
      </c>
      <c r="Q741" s="6" t="n">
        <v>60</v>
      </c>
      <c r="R741" s="6" t="s">
        <v>161</v>
      </c>
      <c r="S741" s="21" t="n">
        <v>1</v>
      </c>
      <c r="T741" s="14" t="n">
        <v>26115.45</v>
      </c>
      <c r="U741" s="6" t="s">
        <v>61</v>
      </c>
    </row>
    <row r="742" customFormat="false" ht="15" hidden="false" customHeight="true" outlineLevel="0" collapsed="false">
      <c r="A742" s="6" t="s">
        <v>1677</v>
      </c>
      <c r="B742" s="6" t="s">
        <v>1678</v>
      </c>
      <c r="C742" s="6" t="s">
        <v>124</v>
      </c>
      <c r="D742" s="6" t="s">
        <v>168</v>
      </c>
      <c r="E742" s="6" t="s">
        <v>153</v>
      </c>
      <c r="F742" s="13" t="n">
        <v>44833</v>
      </c>
      <c r="G742" s="13" t="n">
        <v>45042</v>
      </c>
      <c r="H742" s="14" t="n">
        <v>123729.01</v>
      </c>
      <c r="I742" s="6" t="n">
        <v>0</v>
      </c>
      <c r="J742" s="6" t="n">
        <v>653</v>
      </c>
      <c r="K742" s="6" t="s">
        <v>160</v>
      </c>
      <c r="L742" s="14" t="n">
        <v>49660.8</v>
      </c>
      <c r="M742" s="22" t="n">
        <v>1.271</v>
      </c>
      <c r="N742" s="14" t="n">
        <v>63118.88</v>
      </c>
      <c r="O742" s="14" t="n">
        <v>13458.08</v>
      </c>
      <c r="P742" s="21" t="n">
        <v>0.073</v>
      </c>
      <c r="Q742" s="6" t="n">
        <v>209</v>
      </c>
      <c r="R742" s="6" t="s">
        <v>161</v>
      </c>
      <c r="S742" s="21" t="n">
        <v>1</v>
      </c>
      <c r="T742" s="14" t="n">
        <v>63118.88</v>
      </c>
      <c r="U742" s="6" t="s">
        <v>19</v>
      </c>
    </row>
    <row r="743" customFormat="false" ht="15" hidden="false" customHeight="true" outlineLevel="0" collapsed="false">
      <c r="A743" s="6" t="s">
        <v>1679</v>
      </c>
      <c r="B743" s="6" t="s">
        <v>1680</v>
      </c>
      <c r="C743" s="6" t="s">
        <v>131</v>
      </c>
      <c r="D743" s="6" t="s">
        <v>152</v>
      </c>
      <c r="E743" s="6" t="s">
        <v>299</v>
      </c>
      <c r="F743" s="13" t="n">
        <v>44676</v>
      </c>
      <c r="G743" s="13" t="n">
        <v>44736</v>
      </c>
      <c r="H743" s="14" t="n">
        <v>121124.86</v>
      </c>
      <c r="I743" s="6" t="n">
        <v>0</v>
      </c>
      <c r="J743" s="6" t="n">
        <v>766</v>
      </c>
      <c r="K743" s="6" t="s">
        <v>160</v>
      </c>
      <c r="L743" s="14" t="n">
        <v>20037.24</v>
      </c>
      <c r="M743" s="22" t="n">
        <v>1.105</v>
      </c>
      <c r="N743" s="14" t="n">
        <v>22141.15</v>
      </c>
      <c r="O743" s="14" t="n">
        <v>2103.91</v>
      </c>
      <c r="P743" s="21" t="n">
        <v>0.132</v>
      </c>
      <c r="Q743" s="6" t="n">
        <v>60</v>
      </c>
      <c r="R743" s="6" t="s">
        <v>161</v>
      </c>
      <c r="S743" s="21" t="n">
        <v>1</v>
      </c>
      <c r="T743" s="14" t="n">
        <v>22141.15</v>
      </c>
      <c r="U743" s="6" t="s">
        <v>14</v>
      </c>
    </row>
    <row r="744" customFormat="false" ht="15" hidden="false" customHeight="true" outlineLevel="0" collapsed="false">
      <c r="A744" s="6" t="s">
        <v>1681</v>
      </c>
      <c r="B744" s="6" t="s">
        <v>1682</v>
      </c>
      <c r="C744" s="6" t="s">
        <v>116</v>
      </c>
      <c r="D744" s="6" t="s">
        <v>222</v>
      </c>
      <c r="E744" s="6" t="s">
        <v>165</v>
      </c>
      <c r="F744" s="13" t="n">
        <v>45662</v>
      </c>
      <c r="G744" s="13" t="n">
        <v>45812</v>
      </c>
      <c r="H744" s="14" t="n">
        <v>180092.25</v>
      </c>
      <c r="I744" s="6" t="n">
        <v>1</v>
      </c>
      <c r="J744" s="6" t="n">
        <v>712</v>
      </c>
      <c r="K744" s="6" t="s">
        <v>185</v>
      </c>
      <c r="L744" s="14" t="n">
        <v>58517.12</v>
      </c>
      <c r="M744" s="22" t="n">
        <v>1.234</v>
      </c>
      <c r="N744" s="14" t="n">
        <v>72210.13</v>
      </c>
      <c r="O744" s="14" t="n">
        <v>13693.01</v>
      </c>
      <c r="P744" s="21" t="n">
        <v>0.08</v>
      </c>
      <c r="Q744" s="6" t="n">
        <v>150</v>
      </c>
      <c r="R744" s="6" t="s">
        <v>161</v>
      </c>
      <c r="S744" s="21" t="n">
        <v>1</v>
      </c>
      <c r="T744" s="14" t="n">
        <v>72210.13</v>
      </c>
      <c r="U744" s="6" t="s">
        <v>47</v>
      </c>
    </row>
    <row r="745" customFormat="false" ht="15" hidden="false" customHeight="true" outlineLevel="0" collapsed="false">
      <c r="A745" s="6" t="s">
        <v>1683</v>
      </c>
      <c r="B745" s="6" t="s">
        <v>1684</v>
      </c>
      <c r="C745" s="6" t="s">
        <v>120</v>
      </c>
      <c r="D745" s="6" t="s">
        <v>263</v>
      </c>
      <c r="E745" s="6" t="s">
        <v>288</v>
      </c>
      <c r="F745" s="13" t="n">
        <v>44606</v>
      </c>
      <c r="G745" s="13" t="n">
        <v>44717</v>
      </c>
      <c r="H745" s="14" t="n">
        <v>76795.47</v>
      </c>
      <c r="I745" s="6" t="n">
        <v>2</v>
      </c>
      <c r="J745" s="6" t="n">
        <v>557</v>
      </c>
      <c r="K745" s="6" t="s">
        <v>160</v>
      </c>
      <c r="L745" s="14" t="n">
        <v>18354.64</v>
      </c>
      <c r="M745" s="22" t="n">
        <v>1.201</v>
      </c>
      <c r="N745" s="14" t="n">
        <v>22043.92</v>
      </c>
      <c r="O745" s="14" t="n">
        <v>3689.28</v>
      </c>
      <c r="P745" s="21" t="n">
        <v>0.077</v>
      </c>
      <c r="Q745" s="6" t="n">
        <v>111</v>
      </c>
      <c r="R745" s="6" t="s">
        <v>161</v>
      </c>
      <c r="S745" s="21" t="n">
        <v>1</v>
      </c>
      <c r="T745" s="14" t="n">
        <v>22043.92</v>
      </c>
      <c r="U745" s="6" t="s">
        <v>12</v>
      </c>
    </row>
    <row r="746" customFormat="false" ht="15" hidden="false" customHeight="true" outlineLevel="0" collapsed="false">
      <c r="A746" s="6" t="s">
        <v>1685</v>
      </c>
      <c r="B746" s="6" t="s">
        <v>1686</v>
      </c>
      <c r="C746" s="6" t="s">
        <v>124</v>
      </c>
      <c r="D746" s="6" t="s">
        <v>180</v>
      </c>
      <c r="E746" s="6" t="s">
        <v>304</v>
      </c>
      <c r="F746" s="13" t="n">
        <v>44841</v>
      </c>
      <c r="G746" s="13" t="n">
        <v>44901</v>
      </c>
      <c r="H746" s="14" t="n">
        <v>70584.65</v>
      </c>
      <c r="I746" s="6" t="n">
        <v>0</v>
      </c>
      <c r="J746" s="6" t="n">
        <v>676</v>
      </c>
      <c r="K746" s="6" t="s">
        <v>160</v>
      </c>
      <c r="L746" s="14" t="n">
        <v>7644.62</v>
      </c>
      <c r="M746" s="22" t="n">
        <v>1.296</v>
      </c>
      <c r="N746" s="14" t="n">
        <v>9907.43</v>
      </c>
      <c r="O746" s="14" t="n">
        <v>2262.81</v>
      </c>
      <c r="P746" s="21" t="n">
        <v>0.094</v>
      </c>
      <c r="Q746" s="6" t="n">
        <v>60</v>
      </c>
      <c r="R746" s="6" t="s">
        <v>161</v>
      </c>
      <c r="S746" s="21" t="n">
        <v>1</v>
      </c>
      <c r="T746" s="14" t="n">
        <v>9907.43</v>
      </c>
      <c r="U746" s="6" t="s">
        <v>20</v>
      </c>
    </row>
    <row r="747" customFormat="false" ht="15" hidden="false" customHeight="true" outlineLevel="0" collapsed="false">
      <c r="A747" s="6" t="s">
        <v>1687</v>
      </c>
      <c r="B747" s="6" t="s">
        <v>1688</v>
      </c>
      <c r="C747" s="6" t="s">
        <v>112</v>
      </c>
      <c r="D747" s="6" t="s">
        <v>188</v>
      </c>
      <c r="E747" s="6" t="s">
        <v>153</v>
      </c>
      <c r="F747" s="13" t="n">
        <v>44615</v>
      </c>
      <c r="G747" s="13" t="n">
        <v>44675</v>
      </c>
      <c r="H747" s="14" t="n">
        <v>219068.19</v>
      </c>
      <c r="I747" s="6" t="n">
        <v>3</v>
      </c>
      <c r="J747" s="6" t="n">
        <v>639</v>
      </c>
      <c r="K747" s="6" t="s">
        <v>154</v>
      </c>
      <c r="L747" s="14" t="n">
        <v>22160.93</v>
      </c>
      <c r="M747" s="22" t="n">
        <v>1.199</v>
      </c>
      <c r="N747" s="14" t="n">
        <v>26570.96</v>
      </c>
      <c r="O747" s="14" t="n">
        <v>4410.03</v>
      </c>
      <c r="P747" s="21" t="n">
        <v>0.061</v>
      </c>
      <c r="Q747" s="6" t="n">
        <v>60</v>
      </c>
      <c r="R747" s="6" t="s">
        <v>232</v>
      </c>
      <c r="S747" s="21" t="n">
        <v>1</v>
      </c>
      <c r="T747" s="14" t="n">
        <v>26570.96</v>
      </c>
      <c r="U747" s="6" t="s">
        <v>12</v>
      </c>
    </row>
    <row r="748" customFormat="false" ht="15" hidden="false" customHeight="true" outlineLevel="0" collapsed="false">
      <c r="A748" s="6" t="s">
        <v>1689</v>
      </c>
      <c r="B748" s="6" t="s">
        <v>1690</v>
      </c>
      <c r="C748" s="6" t="s">
        <v>120</v>
      </c>
      <c r="D748" s="6" t="s">
        <v>158</v>
      </c>
      <c r="E748" s="6" t="s">
        <v>201</v>
      </c>
      <c r="F748" s="13" t="n">
        <v>46043</v>
      </c>
      <c r="G748" s="13" t="n">
        <v>46170</v>
      </c>
      <c r="H748" s="14" t="n">
        <v>26530.81</v>
      </c>
      <c r="I748" s="6" t="n">
        <v>2</v>
      </c>
      <c r="J748" s="6" t="n">
        <v>635</v>
      </c>
      <c r="K748" s="6" t="s">
        <v>154</v>
      </c>
      <c r="L748" s="14" t="n">
        <v>7524.11</v>
      </c>
      <c r="M748" s="22" t="n">
        <v>1.259</v>
      </c>
      <c r="N748" s="14" t="n">
        <v>9472.85</v>
      </c>
      <c r="O748" s="14" t="n">
        <v>1948.74</v>
      </c>
      <c r="P748" s="21" t="n">
        <v>0.084</v>
      </c>
      <c r="Q748" s="6" t="n">
        <v>127</v>
      </c>
      <c r="R748" s="6" t="s">
        <v>161</v>
      </c>
      <c r="S748" s="21" t="n">
        <v>1</v>
      </c>
      <c r="T748" s="14" t="n">
        <v>9472.85</v>
      </c>
      <c r="U748" s="6" t="s">
        <v>59</v>
      </c>
    </row>
    <row r="749" customFormat="false" ht="15" hidden="false" customHeight="true" outlineLevel="0" collapsed="false">
      <c r="A749" s="6" t="s">
        <v>1691</v>
      </c>
      <c r="B749" s="6" t="s">
        <v>1692</v>
      </c>
      <c r="C749" s="6" t="s">
        <v>116</v>
      </c>
      <c r="D749" s="6" t="s">
        <v>206</v>
      </c>
      <c r="E749" s="6" t="s">
        <v>181</v>
      </c>
      <c r="F749" s="13" t="n">
        <v>44828</v>
      </c>
      <c r="G749" s="13" t="n">
        <v>44911</v>
      </c>
      <c r="H749" s="14" t="n">
        <v>25448.44</v>
      </c>
      <c r="I749" s="6" t="n">
        <v>3</v>
      </c>
      <c r="J749" s="6" t="n">
        <v>672</v>
      </c>
      <c r="K749" s="6" t="s">
        <v>160</v>
      </c>
      <c r="L749" s="14" t="n">
        <v>11183.24</v>
      </c>
      <c r="M749" s="22" t="n">
        <v>1.114</v>
      </c>
      <c r="N749" s="14" t="n">
        <v>12458.13</v>
      </c>
      <c r="O749" s="14" t="n">
        <v>1274.89</v>
      </c>
      <c r="P749" s="21" t="n">
        <v>0.175</v>
      </c>
      <c r="Q749" s="6" t="n">
        <v>83</v>
      </c>
      <c r="R749" s="6" t="s">
        <v>161</v>
      </c>
      <c r="S749" s="21" t="n">
        <v>1</v>
      </c>
      <c r="T749" s="14" t="n">
        <v>12458.13</v>
      </c>
      <c r="U749" s="6" t="s">
        <v>19</v>
      </c>
    </row>
    <row r="750" customFormat="false" ht="15" hidden="false" customHeight="true" outlineLevel="0" collapsed="false">
      <c r="A750" s="6" t="s">
        <v>1693</v>
      </c>
      <c r="B750" s="6" t="s">
        <v>1694</v>
      </c>
      <c r="C750" s="6" t="s">
        <v>131</v>
      </c>
      <c r="D750" s="6" t="s">
        <v>200</v>
      </c>
      <c r="E750" s="6" t="s">
        <v>299</v>
      </c>
      <c r="F750" s="13" t="n">
        <v>45745</v>
      </c>
      <c r="G750" s="13" t="n">
        <v>45805</v>
      </c>
      <c r="H750" s="14" t="n">
        <v>86184.46</v>
      </c>
      <c r="I750" s="6" t="n">
        <v>1</v>
      </c>
      <c r="J750" s="6" t="n">
        <v>506</v>
      </c>
      <c r="K750" s="6" t="s">
        <v>154</v>
      </c>
      <c r="L750" s="14" t="n">
        <v>6332.1</v>
      </c>
      <c r="M750" s="22" t="n">
        <v>1.286</v>
      </c>
      <c r="N750" s="14" t="n">
        <v>8143.08</v>
      </c>
      <c r="O750" s="14" t="n">
        <v>1810.98</v>
      </c>
      <c r="P750" s="21" t="n">
        <v>0.107</v>
      </c>
      <c r="Q750" s="6" t="n">
        <v>60</v>
      </c>
      <c r="R750" s="6" t="s">
        <v>161</v>
      </c>
      <c r="S750" s="21" t="n">
        <v>1</v>
      </c>
      <c r="T750" s="14" t="n">
        <v>8143.08</v>
      </c>
      <c r="U750" s="6" t="s">
        <v>49</v>
      </c>
    </row>
    <row r="751" customFormat="false" ht="15" hidden="false" customHeight="true" outlineLevel="0" collapsed="false">
      <c r="A751" s="6" t="s">
        <v>1695</v>
      </c>
      <c r="B751" s="6" t="s">
        <v>1696</v>
      </c>
      <c r="C751" s="6" t="s">
        <v>124</v>
      </c>
      <c r="D751" s="6" t="s">
        <v>168</v>
      </c>
      <c r="E751" s="6" t="s">
        <v>177</v>
      </c>
      <c r="F751" s="13" t="n">
        <v>45427</v>
      </c>
      <c r="G751" s="13" t="n">
        <v>45515</v>
      </c>
      <c r="H751" s="14" t="n">
        <v>134851.77</v>
      </c>
      <c r="I751" s="6" t="n">
        <v>2</v>
      </c>
      <c r="J751" s="6" t="n">
        <v>516</v>
      </c>
      <c r="K751" s="6" t="s">
        <v>160</v>
      </c>
      <c r="L751" s="14" t="n">
        <v>27141.1</v>
      </c>
      <c r="M751" s="22" t="n">
        <v>1.094</v>
      </c>
      <c r="N751" s="14" t="n">
        <v>29692.36</v>
      </c>
      <c r="O751" s="14" t="n">
        <v>2551.26</v>
      </c>
      <c r="P751" s="21" t="n">
        <v>0.075</v>
      </c>
      <c r="Q751" s="6" t="n">
        <v>88</v>
      </c>
      <c r="R751" s="6" t="s">
        <v>155</v>
      </c>
      <c r="S751" s="21" t="n">
        <v>0.806</v>
      </c>
      <c r="T751" s="14" t="n">
        <v>23932.04</v>
      </c>
      <c r="U751" s="6" t="s">
        <v>39</v>
      </c>
    </row>
    <row r="752" customFormat="false" ht="15" hidden="false" customHeight="true" outlineLevel="0" collapsed="false">
      <c r="A752" s="6" t="s">
        <v>1697</v>
      </c>
      <c r="B752" s="6" t="s">
        <v>1698</v>
      </c>
      <c r="C752" s="6" t="s">
        <v>124</v>
      </c>
      <c r="D752" s="6" t="s">
        <v>168</v>
      </c>
      <c r="E752" s="6" t="s">
        <v>288</v>
      </c>
      <c r="F752" s="13" t="n">
        <v>45697</v>
      </c>
      <c r="G752" s="13" t="n">
        <v>45757</v>
      </c>
      <c r="H752" s="14" t="n">
        <v>171398.89</v>
      </c>
      <c r="I752" s="6" t="n">
        <v>3</v>
      </c>
      <c r="J752" s="6" t="n">
        <v>624</v>
      </c>
      <c r="K752" s="6" t="s">
        <v>185</v>
      </c>
      <c r="L752" s="14" t="n">
        <v>34940.84</v>
      </c>
      <c r="M752" s="22" t="n">
        <v>1.091</v>
      </c>
      <c r="N752" s="14" t="n">
        <v>38120.46</v>
      </c>
      <c r="O752" s="14" t="n">
        <v>3179.62</v>
      </c>
      <c r="P752" s="21" t="n">
        <v>0.13</v>
      </c>
      <c r="Q752" s="6" t="n">
        <v>60</v>
      </c>
      <c r="R752" s="6" t="s">
        <v>155</v>
      </c>
      <c r="S752" s="21" t="n">
        <v>0.912</v>
      </c>
      <c r="T752" s="14" t="n">
        <v>34765.86</v>
      </c>
      <c r="U752" s="6" t="s">
        <v>48</v>
      </c>
    </row>
    <row r="753" customFormat="false" ht="15" hidden="false" customHeight="true" outlineLevel="0" collapsed="false">
      <c r="A753" s="6" t="s">
        <v>1699</v>
      </c>
      <c r="B753" s="6" t="s">
        <v>1700</v>
      </c>
      <c r="C753" s="6" t="s">
        <v>120</v>
      </c>
      <c r="D753" s="6" t="s">
        <v>158</v>
      </c>
      <c r="E753" s="6" t="s">
        <v>159</v>
      </c>
      <c r="F753" s="13" t="n">
        <v>45424</v>
      </c>
      <c r="G753" s="13" t="n">
        <v>45484</v>
      </c>
      <c r="H753" s="14" t="n">
        <v>123239.96</v>
      </c>
      <c r="I753" s="6" t="n">
        <v>1</v>
      </c>
      <c r="J753" s="6" t="n">
        <v>678</v>
      </c>
      <c r="K753" s="6" t="s">
        <v>160</v>
      </c>
      <c r="L753" s="14" t="n">
        <v>15080.61</v>
      </c>
      <c r="M753" s="22" t="n">
        <v>1.086</v>
      </c>
      <c r="N753" s="14" t="n">
        <v>16377.54</v>
      </c>
      <c r="O753" s="14" t="n">
        <v>1296.93</v>
      </c>
      <c r="P753" s="21" t="n">
        <v>0.163</v>
      </c>
      <c r="Q753" s="6" t="n">
        <v>60</v>
      </c>
      <c r="R753" s="6" t="s">
        <v>161</v>
      </c>
      <c r="S753" s="21" t="n">
        <v>1</v>
      </c>
      <c r="T753" s="14" t="n">
        <v>16377.54</v>
      </c>
      <c r="U753" s="6" t="s">
        <v>39</v>
      </c>
    </row>
    <row r="754" customFormat="false" ht="15" hidden="false" customHeight="true" outlineLevel="0" collapsed="false">
      <c r="A754" s="6" t="s">
        <v>1701</v>
      </c>
      <c r="B754" s="6" t="s">
        <v>1702</v>
      </c>
      <c r="C754" s="6" t="s">
        <v>112</v>
      </c>
      <c r="D754" s="6" t="s">
        <v>172</v>
      </c>
      <c r="E754" s="6" t="s">
        <v>304</v>
      </c>
      <c r="F754" s="13" t="n">
        <v>45156</v>
      </c>
      <c r="G754" s="13" t="n">
        <v>45241</v>
      </c>
      <c r="H754" s="14" t="n">
        <v>146176.04</v>
      </c>
      <c r="I754" s="6" t="n">
        <v>0</v>
      </c>
      <c r="J754" s="6" t="n">
        <v>511</v>
      </c>
      <c r="K754" s="6" t="s">
        <v>185</v>
      </c>
      <c r="L754" s="14" t="n">
        <v>27718.32</v>
      </c>
      <c r="M754" s="22" t="n">
        <v>1.217</v>
      </c>
      <c r="N754" s="14" t="n">
        <v>33733.2</v>
      </c>
      <c r="O754" s="14" t="n">
        <v>6014.88</v>
      </c>
      <c r="P754" s="21" t="n">
        <v>0.081</v>
      </c>
      <c r="Q754" s="6" t="n">
        <v>85</v>
      </c>
      <c r="R754" s="6" t="s">
        <v>161</v>
      </c>
      <c r="S754" s="21" t="n">
        <v>1</v>
      </c>
      <c r="T754" s="14" t="n">
        <v>33733.2</v>
      </c>
      <c r="U754" s="6" t="s">
        <v>30</v>
      </c>
    </row>
    <row r="755" customFormat="false" ht="15" hidden="false" customHeight="true" outlineLevel="0" collapsed="false">
      <c r="A755" s="6" t="s">
        <v>1703</v>
      </c>
      <c r="B755" s="6" t="s">
        <v>1704</v>
      </c>
      <c r="C755" s="6" t="s">
        <v>112</v>
      </c>
      <c r="D755" s="6" t="s">
        <v>164</v>
      </c>
      <c r="E755" s="6" t="s">
        <v>184</v>
      </c>
      <c r="F755" s="13" t="n">
        <v>45925</v>
      </c>
      <c r="G755" s="13" t="n">
        <v>45985</v>
      </c>
      <c r="H755" s="14" t="n">
        <v>14994.56</v>
      </c>
      <c r="I755" s="6" t="n">
        <v>5</v>
      </c>
      <c r="J755" s="6" t="n">
        <v>736</v>
      </c>
      <c r="K755" s="6" t="s">
        <v>154</v>
      </c>
      <c r="L755" s="14" t="n">
        <v>2000</v>
      </c>
      <c r="M755" s="22" t="n">
        <v>1.163</v>
      </c>
      <c r="N755" s="14" t="n">
        <v>2326</v>
      </c>
      <c r="O755" s="14" t="n">
        <v>326</v>
      </c>
      <c r="P755" s="21" t="n">
        <v>0.179</v>
      </c>
      <c r="Q755" s="6" t="n">
        <v>60</v>
      </c>
      <c r="R755" s="6" t="s">
        <v>161</v>
      </c>
      <c r="S755" s="21" t="n">
        <v>1</v>
      </c>
      <c r="T755" s="14" t="n">
        <v>2326</v>
      </c>
      <c r="U755" s="6" t="s">
        <v>55</v>
      </c>
    </row>
    <row r="756" customFormat="false" ht="15" hidden="false" customHeight="true" outlineLevel="0" collapsed="false">
      <c r="A756" s="6" t="s">
        <v>1705</v>
      </c>
      <c r="B756" s="6" t="s">
        <v>1706</v>
      </c>
      <c r="C756" s="6" t="s">
        <v>131</v>
      </c>
      <c r="D756" s="6" t="s">
        <v>200</v>
      </c>
      <c r="E756" s="6" t="s">
        <v>207</v>
      </c>
      <c r="F756" s="13" t="n">
        <v>45398</v>
      </c>
      <c r="G756" s="13" t="n">
        <v>45469</v>
      </c>
      <c r="H756" s="14" t="n">
        <v>105233.91</v>
      </c>
      <c r="I756" s="6" t="n">
        <v>0</v>
      </c>
      <c r="J756" s="6" t="n">
        <v>734</v>
      </c>
      <c r="K756" s="6" t="s">
        <v>185</v>
      </c>
      <c r="L756" s="14" t="n">
        <v>30614.37</v>
      </c>
      <c r="M756" s="22" t="n">
        <v>1.218</v>
      </c>
      <c r="N756" s="14" t="n">
        <v>37288.3</v>
      </c>
      <c r="O756" s="14" t="n">
        <v>6673.93</v>
      </c>
      <c r="P756" s="21" t="n">
        <v>0.149</v>
      </c>
      <c r="Q756" s="6" t="n">
        <v>71</v>
      </c>
      <c r="R756" s="6" t="s">
        <v>161</v>
      </c>
      <c r="S756" s="21" t="n">
        <v>1</v>
      </c>
      <c r="T756" s="14" t="n">
        <v>37288.3</v>
      </c>
      <c r="U756" s="6" t="s">
        <v>38</v>
      </c>
    </row>
    <row r="757" customFormat="false" ht="15" hidden="false" customHeight="true" outlineLevel="0" collapsed="false">
      <c r="A757" s="6" t="s">
        <v>1707</v>
      </c>
      <c r="B757" s="6" t="s">
        <v>1708</v>
      </c>
      <c r="C757" s="6" t="s">
        <v>112</v>
      </c>
      <c r="D757" s="6" t="s">
        <v>172</v>
      </c>
      <c r="E757" s="6" t="s">
        <v>207</v>
      </c>
      <c r="F757" s="13" t="n">
        <v>45147</v>
      </c>
      <c r="G757" s="13" t="n">
        <v>45254</v>
      </c>
      <c r="H757" s="14" t="n">
        <v>181835.63</v>
      </c>
      <c r="I757" s="6" t="n">
        <v>2</v>
      </c>
      <c r="J757" s="6" t="n">
        <v>721</v>
      </c>
      <c r="K757" s="6" t="s">
        <v>154</v>
      </c>
      <c r="L757" s="14" t="n">
        <v>60563.26</v>
      </c>
      <c r="M757" s="22" t="n">
        <v>1.13</v>
      </c>
      <c r="N757" s="14" t="n">
        <v>68436.48</v>
      </c>
      <c r="O757" s="14" t="n">
        <v>7873.22</v>
      </c>
      <c r="P757" s="21" t="n">
        <v>0.105</v>
      </c>
      <c r="Q757" s="6" t="n">
        <v>107</v>
      </c>
      <c r="R757" s="6" t="s">
        <v>155</v>
      </c>
      <c r="S757" s="21" t="n">
        <v>0.81</v>
      </c>
      <c r="T757" s="14" t="n">
        <v>55433.55</v>
      </c>
      <c r="U757" s="6" t="s">
        <v>30</v>
      </c>
    </row>
    <row r="758" customFormat="false" ht="15" hidden="false" customHeight="true" outlineLevel="0" collapsed="false">
      <c r="A758" s="6" t="s">
        <v>1709</v>
      </c>
      <c r="B758" s="6" t="s">
        <v>1710</v>
      </c>
      <c r="C758" s="6" t="s">
        <v>131</v>
      </c>
      <c r="D758" s="6" t="s">
        <v>152</v>
      </c>
      <c r="E758" s="6" t="s">
        <v>159</v>
      </c>
      <c r="F758" s="13" t="n">
        <v>45394</v>
      </c>
      <c r="G758" s="13" t="n">
        <v>45505</v>
      </c>
      <c r="H758" s="14" t="n">
        <v>197508.03</v>
      </c>
      <c r="I758" s="6" t="n">
        <v>1</v>
      </c>
      <c r="J758" s="6" t="n">
        <v>572</v>
      </c>
      <c r="K758" s="6" t="s">
        <v>160</v>
      </c>
      <c r="L758" s="14" t="n">
        <v>80805.78</v>
      </c>
      <c r="M758" s="22" t="n">
        <v>1.282</v>
      </c>
      <c r="N758" s="14" t="n">
        <v>103593.01</v>
      </c>
      <c r="O758" s="14" t="n">
        <v>22787.23</v>
      </c>
      <c r="P758" s="21" t="n">
        <v>0.141</v>
      </c>
      <c r="Q758" s="6" t="n">
        <v>111</v>
      </c>
      <c r="R758" s="6" t="s">
        <v>161</v>
      </c>
      <c r="S758" s="21" t="n">
        <v>1</v>
      </c>
      <c r="T758" s="14" t="n">
        <v>103593.01</v>
      </c>
      <c r="U758" s="6" t="s">
        <v>38</v>
      </c>
    </row>
    <row r="759" customFormat="false" ht="15" hidden="false" customHeight="true" outlineLevel="0" collapsed="false">
      <c r="A759" s="6" t="s">
        <v>1711</v>
      </c>
      <c r="B759" s="6" t="s">
        <v>1712</v>
      </c>
      <c r="C759" s="6" t="s">
        <v>128</v>
      </c>
      <c r="D759" s="6" t="s">
        <v>401</v>
      </c>
      <c r="E759" s="6" t="s">
        <v>192</v>
      </c>
      <c r="F759" s="13" t="n">
        <v>45624</v>
      </c>
      <c r="G759" s="13" t="n">
        <v>45772</v>
      </c>
      <c r="H759" s="14" t="n">
        <v>178823.4</v>
      </c>
      <c r="I759" s="6" t="n">
        <v>2</v>
      </c>
      <c r="J759" s="6" t="n">
        <v>812</v>
      </c>
      <c r="K759" s="6" t="s">
        <v>160</v>
      </c>
      <c r="L759" s="14" t="n">
        <v>72686.34</v>
      </c>
      <c r="M759" s="22" t="n">
        <v>1.181</v>
      </c>
      <c r="N759" s="14" t="n">
        <v>85842.57</v>
      </c>
      <c r="O759" s="14" t="n">
        <v>13156.23</v>
      </c>
      <c r="P759" s="21" t="n">
        <v>0.097</v>
      </c>
      <c r="Q759" s="6" t="n">
        <v>148</v>
      </c>
      <c r="R759" s="6" t="s">
        <v>155</v>
      </c>
      <c r="S759" s="21" t="n">
        <v>0.98</v>
      </c>
      <c r="T759" s="14" t="n">
        <v>84125.72</v>
      </c>
      <c r="U759" s="6" t="s">
        <v>45</v>
      </c>
    </row>
    <row r="760" customFormat="false" ht="15" hidden="false" customHeight="true" outlineLevel="0" collapsed="false">
      <c r="A760" s="6" t="s">
        <v>1713</v>
      </c>
      <c r="B760" s="6" t="s">
        <v>1714</v>
      </c>
      <c r="C760" s="6" t="s">
        <v>112</v>
      </c>
      <c r="D760" s="6" t="s">
        <v>225</v>
      </c>
      <c r="E760" s="6" t="s">
        <v>159</v>
      </c>
      <c r="F760" s="13" t="n">
        <v>44682</v>
      </c>
      <c r="G760" s="13" t="n">
        <v>44970</v>
      </c>
      <c r="H760" s="14" t="n">
        <v>28291.08</v>
      </c>
      <c r="I760" s="6" t="n">
        <v>3</v>
      </c>
      <c r="J760" s="6" t="n">
        <v>614</v>
      </c>
      <c r="K760" s="6" t="s">
        <v>160</v>
      </c>
      <c r="L760" s="14" t="n">
        <v>12830.1</v>
      </c>
      <c r="M760" s="22" t="n">
        <v>1.167</v>
      </c>
      <c r="N760" s="14" t="n">
        <v>14972.73</v>
      </c>
      <c r="O760" s="14" t="n">
        <v>2142.63</v>
      </c>
      <c r="P760" s="21" t="n">
        <v>0.055</v>
      </c>
      <c r="Q760" s="6" t="n">
        <v>288</v>
      </c>
      <c r="R760" s="6" t="s">
        <v>155</v>
      </c>
      <c r="S760" s="21" t="n">
        <v>0.804</v>
      </c>
      <c r="T760" s="14" t="n">
        <v>12038.07</v>
      </c>
      <c r="U760" s="6" t="s">
        <v>15</v>
      </c>
    </row>
    <row r="761" customFormat="false" ht="15" hidden="false" customHeight="true" outlineLevel="0" collapsed="false">
      <c r="A761" s="6" t="s">
        <v>1715</v>
      </c>
      <c r="B761" s="6" t="s">
        <v>1716</v>
      </c>
      <c r="C761" s="6" t="s">
        <v>112</v>
      </c>
      <c r="D761" s="6" t="s">
        <v>225</v>
      </c>
      <c r="E761" s="6" t="s">
        <v>288</v>
      </c>
      <c r="F761" s="13" t="n">
        <v>44825</v>
      </c>
      <c r="G761" s="13" t="n">
        <v>44924</v>
      </c>
      <c r="H761" s="14" t="n">
        <v>43275.68</v>
      </c>
      <c r="I761" s="6" t="n">
        <v>0</v>
      </c>
      <c r="J761" s="6" t="n">
        <v>707</v>
      </c>
      <c r="K761" s="6" t="s">
        <v>185</v>
      </c>
      <c r="L761" s="14" t="n">
        <v>13946.61</v>
      </c>
      <c r="M761" s="22" t="n">
        <v>1.172</v>
      </c>
      <c r="N761" s="14" t="n">
        <v>16345.43</v>
      </c>
      <c r="O761" s="14" t="n">
        <v>2398.82</v>
      </c>
      <c r="P761" s="21" t="n">
        <v>0.114</v>
      </c>
      <c r="Q761" s="6" t="n">
        <v>99</v>
      </c>
      <c r="R761" s="6" t="s">
        <v>155</v>
      </c>
      <c r="S761" s="21" t="n">
        <v>0.767</v>
      </c>
      <c r="T761" s="14" t="n">
        <v>12536.94</v>
      </c>
      <c r="U761" s="6" t="s">
        <v>19</v>
      </c>
    </row>
    <row r="762" customFormat="false" ht="15" hidden="false" customHeight="true" outlineLevel="0" collapsed="false">
      <c r="A762" s="6" t="s">
        <v>1717</v>
      </c>
      <c r="B762" s="6" t="s">
        <v>1718</v>
      </c>
      <c r="C762" s="6" t="s">
        <v>120</v>
      </c>
      <c r="D762" s="6" t="s">
        <v>210</v>
      </c>
      <c r="E762" s="6" t="s">
        <v>165</v>
      </c>
      <c r="F762" s="13" t="n">
        <v>45596</v>
      </c>
      <c r="G762" s="13" t="n">
        <v>45656</v>
      </c>
      <c r="H762" s="14" t="n">
        <v>175606.79</v>
      </c>
      <c r="I762" s="6" t="n">
        <v>1</v>
      </c>
      <c r="J762" s="6" t="n">
        <v>609</v>
      </c>
      <c r="K762" s="6" t="s">
        <v>154</v>
      </c>
      <c r="L762" s="14" t="n">
        <v>22526.38</v>
      </c>
      <c r="M762" s="22" t="n">
        <v>1.216</v>
      </c>
      <c r="N762" s="14" t="n">
        <v>27392.08</v>
      </c>
      <c r="O762" s="14" t="n">
        <v>4865.7</v>
      </c>
      <c r="P762" s="21" t="n">
        <v>0.145</v>
      </c>
      <c r="Q762" s="6" t="n">
        <v>60</v>
      </c>
      <c r="R762" s="6" t="s">
        <v>161</v>
      </c>
      <c r="S762" s="21" t="n">
        <v>1</v>
      </c>
      <c r="T762" s="14" t="n">
        <v>27392.08</v>
      </c>
      <c r="U762" s="6" t="s">
        <v>44</v>
      </c>
    </row>
    <row r="763" customFormat="false" ht="15" hidden="false" customHeight="true" outlineLevel="0" collapsed="false">
      <c r="A763" s="6" t="s">
        <v>1719</v>
      </c>
      <c r="B763" s="6" t="s">
        <v>1720</v>
      </c>
      <c r="C763" s="6" t="s">
        <v>124</v>
      </c>
      <c r="D763" s="6" t="s">
        <v>168</v>
      </c>
      <c r="E763" s="6" t="s">
        <v>177</v>
      </c>
      <c r="F763" s="13" t="n">
        <v>44824</v>
      </c>
      <c r="G763" s="13" t="n">
        <v>44884</v>
      </c>
      <c r="H763" s="14" t="n">
        <v>110987.45</v>
      </c>
      <c r="I763" s="6" t="n">
        <v>5</v>
      </c>
      <c r="J763" s="6" t="n">
        <v>813</v>
      </c>
      <c r="K763" s="6" t="s">
        <v>160</v>
      </c>
      <c r="L763" s="14" t="n">
        <v>11903.76</v>
      </c>
      <c r="M763" s="22" t="n">
        <v>1.339</v>
      </c>
      <c r="N763" s="14" t="n">
        <v>15939.13</v>
      </c>
      <c r="O763" s="14" t="n">
        <v>4035.37</v>
      </c>
      <c r="P763" s="21" t="n">
        <v>0.104</v>
      </c>
      <c r="Q763" s="6" t="n">
        <v>60</v>
      </c>
      <c r="R763" s="6" t="s">
        <v>155</v>
      </c>
      <c r="S763" s="21" t="n">
        <v>0.748</v>
      </c>
      <c r="T763" s="14" t="n">
        <v>11922.47</v>
      </c>
      <c r="U763" s="6" t="s">
        <v>19</v>
      </c>
    </row>
    <row r="764" customFormat="false" ht="15" hidden="false" customHeight="true" outlineLevel="0" collapsed="false">
      <c r="A764" s="6" t="s">
        <v>1721</v>
      </c>
      <c r="B764" s="6" t="s">
        <v>1722</v>
      </c>
      <c r="C764" s="6" t="s">
        <v>128</v>
      </c>
      <c r="D764" s="6" t="s">
        <v>172</v>
      </c>
      <c r="E764" s="6" t="s">
        <v>299</v>
      </c>
      <c r="F764" s="13" t="n">
        <v>45192</v>
      </c>
      <c r="G764" s="13" t="n">
        <v>45298</v>
      </c>
      <c r="H764" s="14" t="n">
        <v>87683.58</v>
      </c>
      <c r="I764" s="6" t="n">
        <v>2</v>
      </c>
      <c r="J764" s="6" t="n">
        <v>734</v>
      </c>
      <c r="K764" s="6" t="s">
        <v>160</v>
      </c>
      <c r="L764" s="14" t="n">
        <v>28960.04</v>
      </c>
      <c r="M764" s="22" t="n">
        <v>1.337</v>
      </c>
      <c r="N764" s="14" t="n">
        <v>38719.57</v>
      </c>
      <c r="O764" s="14" t="n">
        <v>9759.53</v>
      </c>
      <c r="P764" s="21" t="n">
        <v>0.124</v>
      </c>
      <c r="Q764" s="6" t="n">
        <v>106</v>
      </c>
      <c r="R764" s="6" t="s">
        <v>155</v>
      </c>
      <c r="S764" s="21" t="n">
        <v>0.949</v>
      </c>
      <c r="T764" s="14" t="n">
        <v>36744.87</v>
      </c>
      <c r="U764" s="6" t="s">
        <v>31</v>
      </c>
    </row>
    <row r="765" customFormat="false" ht="15" hidden="false" customHeight="true" outlineLevel="0" collapsed="false">
      <c r="A765" s="6" t="s">
        <v>1723</v>
      </c>
      <c r="B765" s="6" t="s">
        <v>1724</v>
      </c>
      <c r="C765" s="6" t="s">
        <v>128</v>
      </c>
      <c r="D765" s="6" t="s">
        <v>172</v>
      </c>
      <c r="E765" s="6" t="s">
        <v>177</v>
      </c>
      <c r="F765" s="13" t="n">
        <v>44565</v>
      </c>
      <c r="G765" s="13" t="n">
        <v>44644</v>
      </c>
      <c r="H765" s="14" t="n">
        <v>195380.2</v>
      </c>
      <c r="I765" s="6" t="n">
        <v>4</v>
      </c>
      <c r="J765" s="6" t="n">
        <v>671</v>
      </c>
      <c r="K765" s="6" t="s">
        <v>160</v>
      </c>
      <c r="L765" s="14" t="n">
        <v>56188.27</v>
      </c>
      <c r="M765" s="22" t="n">
        <v>1.325</v>
      </c>
      <c r="N765" s="14" t="n">
        <v>74449.46</v>
      </c>
      <c r="O765" s="14" t="n">
        <v>18261.19</v>
      </c>
      <c r="P765" s="21" t="n">
        <v>0.143</v>
      </c>
      <c r="Q765" s="6" t="n">
        <v>79</v>
      </c>
      <c r="R765" s="6" t="s">
        <v>309</v>
      </c>
      <c r="S765" s="21" t="n">
        <v>0.111</v>
      </c>
      <c r="T765" s="14" t="n">
        <v>8263.89</v>
      </c>
      <c r="U765" s="6" t="s">
        <v>11</v>
      </c>
    </row>
    <row r="766" customFormat="false" ht="15" hidden="false" customHeight="true" outlineLevel="0" collapsed="false">
      <c r="A766" s="6" t="s">
        <v>1725</v>
      </c>
      <c r="B766" s="6" t="s">
        <v>1726</v>
      </c>
      <c r="C766" s="6" t="s">
        <v>116</v>
      </c>
      <c r="D766" s="6" t="s">
        <v>222</v>
      </c>
      <c r="E766" s="6" t="s">
        <v>299</v>
      </c>
      <c r="F766" s="13" t="n">
        <v>45400</v>
      </c>
      <c r="G766" s="13" t="n">
        <v>45486</v>
      </c>
      <c r="H766" s="14" t="n">
        <v>18099.73</v>
      </c>
      <c r="I766" s="6" t="n">
        <v>3</v>
      </c>
      <c r="J766" s="6" t="n">
        <v>665</v>
      </c>
      <c r="K766" s="6" t="s">
        <v>185</v>
      </c>
      <c r="L766" s="14" t="n">
        <v>4098.37</v>
      </c>
      <c r="M766" s="22" t="n">
        <v>1.334</v>
      </c>
      <c r="N766" s="14" t="n">
        <v>5467.23</v>
      </c>
      <c r="O766" s="14" t="n">
        <v>1368.86</v>
      </c>
      <c r="P766" s="21" t="n">
        <v>0.105</v>
      </c>
      <c r="Q766" s="6" t="n">
        <v>86</v>
      </c>
      <c r="R766" s="6" t="s">
        <v>161</v>
      </c>
      <c r="S766" s="21" t="n">
        <v>1</v>
      </c>
      <c r="T766" s="14" t="n">
        <v>5467.23</v>
      </c>
      <c r="U766" s="6" t="s">
        <v>38</v>
      </c>
    </row>
    <row r="767" customFormat="false" ht="15" hidden="false" customHeight="true" outlineLevel="0" collapsed="false">
      <c r="A767" s="6" t="s">
        <v>1727</v>
      </c>
      <c r="B767" s="6" t="s">
        <v>1728</v>
      </c>
      <c r="C767" s="6" t="s">
        <v>120</v>
      </c>
      <c r="D767" s="6" t="s">
        <v>218</v>
      </c>
      <c r="E767" s="6" t="s">
        <v>169</v>
      </c>
      <c r="F767" s="13" t="n">
        <v>45158</v>
      </c>
      <c r="G767" s="13" t="n">
        <v>45236</v>
      </c>
      <c r="H767" s="14" t="n">
        <v>177404.89</v>
      </c>
      <c r="I767" s="6" t="n">
        <v>1</v>
      </c>
      <c r="J767" s="6" t="n">
        <v>672</v>
      </c>
      <c r="K767" s="6" t="s">
        <v>185</v>
      </c>
      <c r="L767" s="14" t="n">
        <v>52026.04</v>
      </c>
      <c r="M767" s="22" t="n">
        <v>1.265</v>
      </c>
      <c r="N767" s="14" t="n">
        <v>65812.94</v>
      </c>
      <c r="O767" s="14" t="n">
        <v>13786.9</v>
      </c>
      <c r="P767" s="21" t="n">
        <v>0.142</v>
      </c>
      <c r="Q767" s="6" t="n">
        <v>78</v>
      </c>
      <c r="R767" s="6" t="s">
        <v>232</v>
      </c>
      <c r="S767" s="21" t="n">
        <v>1</v>
      </c>
      <c r="T767" s="14" t="n">
        <v>65812.94</v>
      </c>
      <c r="U767" s="6" t="s">
        <v>30</v>
      </c>
    </row>
    <row r="768" customFormat="false" ht="15" hidden="false" customHeight="true" outlineLevel="0" collapsed="false">
      <c r="A768" s="6" t="s">
        <v>1729</v>
      </c>
      <c r="B768" s="6" t="s">
        <v>1730</v>
      </c>
      <c r="C768" s="6" t="s">
        <v>131</v>
      </c>
      <c r="D768" s="6" t="s">
        <v>200</v>
      </c>
      <c r="E768" s="6" t="s">
        <v>192</v>
      </c>
      <c r="F768" s="13" t="n">
        <v>44985</v>
      </c>
      <c r="G768" s="13" t="n">
        <v>45118</v>
      </c>
      <c r="H768" s="14" t="n">
        <v>222586.38</v>
      </c>
      <c r="I768" s="6" t="n">
        <v>1</v>
      </c>
      <c r="J768" s="6" t="n">
        <v>641</v>
      </c>
      <c r="K768" s="6" t="s">
        <v>185</v>
      </c>
      <c r="L768" s="14" t="n">
        <v>41898.13</v>
      </c>
      <c r="M768" s="22" t="n">
        <v>1.327</v>
      </c>
      <c r="N768" s="14" t="n">
        <v>55598.82</v>
      </c>
      <c r="O768" s="14" t="n">
        <v>13700.69</v>
      </c>
      <c r="P768" s="21" t="n">
        <v>0.056</v>
      </c>
      <c r="Q768" s="6" t="n">
        <v>133</v>
      </c>
      <c r="R768" s="6" t="s">
        <v>161</v>
      </c>
      <c r="S768" s="21" t="n">
        <v>1</v>
      </c>
      <c r="T768" s="14" t="n">
        <v>55598.82</v>
      </c>
      <c r="U768" s="6" t="s">
        <v>24</v>
      </c>
    </row>
    <row r="769" customFormat="false" ht="15" hidden="false" customHeight="true" outlineLevel="0" collapsed="false">
      <c r="A769" s="6" t="s">
        <v>1731</v>
      </c>
      <c r="B769" s="6" t="s">
        <v>1732</v>
      </c>
      <c r="C769" s="6" t="s">
        <v>112</v>
      </c>
      <c r="D769" s="6" t="s">
        <v>225</v>
      </c>
      <c r="E769" s="6" t="s">
        <v>299</v>
      </c>
      <c r="F769" s="13" t="n">
        <v>45641</v>
      </c>
      <c r="G769" s="13" t="n">
        <v>45719</v>
      </c>
      <c r="H769" s="14" t="n">
        <v>228217.42</v>
      </c>
      <c r="I769" s="6" t="n">
        <v>1</v>
      </c>
      <c r="J769" s="6" t="n">
        <v>523</v>
      </c>
      <c r="K769" s="6" t="s">
        <v>160</v>
      </c>
      <c r="L769" s="14" t="n">
        <v>79590.27</v>
      </c>
      <c r="M769" s="22" t="n">
        <v>1.145</v>
      </c>
      <c r="N769" s="14" t="n">
        <v>91130.86</v>
      </c>
      <c r="O769" s="14" t="n">
        <v>11540.59</v>
      </c>
      <c r="P769" s="21" t="n">
        <v>0.153</v>
      </c>
      <c r="Q769" s="6" t="n">
        <v>78</v>
      </c>
      <c r="R769" s="6" t="s">
        <v>161</v>
      </c>
      <c r="S769" s="21" t="n">
        <v>1</v>
      </c>
      <c r="T769" s="14" t="n">
        <v>91130.86</v>
      </c>
      <c r="U769" s="6" t="s">
        <v>46</v>
      </c>
    </row>
    <row r="770" customFormat="false" ht="15" hidden="false" customHeight="true" outlineLevel="0" collapsed="false">
      <c r="A770" s="6" t="s">
        <v>1733</v>
      </c>
      <c r="B770" s="6" t="s">
        <v>1734</v>
      </c>
      <c r="C770" s="6" t="s">
        <v>124</v>
      </c>
      <c r="D770" s="6" t="s">
        <v>180</v>
      </c>
      <c r="E770" s="6" t="s">
        <v>173</v>
      </c>
      <c r="F770" s="13" t="n">
        <v>45588</v>
      </c>
      <c r="G770" s="13" t="n">
        <v>45730</v>
      </c>
      <c r="H770" s="14" t="n">
        <v>146759.31</v>
      </c>
      <c r="I770" s="6" t="n">
        <v>0</v>
      </c>
      <c r="J770" s="6" t="n">
        <v>721</v>
      </c>
      <c r="K770" s="6" t="s">
        <v>160</v>
      </c>
      <c r="L770" s="14" t="n">
        <v>36800.74</v>
      </c>
      <c r="M770" s="22" t="n">
        <v>1.33</v>
      </c>
      <c r="N770" s="14" t="n">
        <v>48944.98</v>
      </c>
      <c r="O770" s="14" t="n">
        <v>12144.24</v>
      </c>
      <c r="P770" s="21" t="n">
        <v>0.07</v>
      </c>
      <c r="Q770" s="6" t="n">
        <v>142</v>
      </c>
      <c r="R770" s="6" t="s">
        <v>161</v>
      </c>
      <c r="S770" s="21" t="n">
        <v>1</v>
      </c>
      <c r="T770" s="14" t="n">
        <v>48944.98</v>
      </c>
      <c r="U770" s="6" t="s">
        <v>44</v>
      </c>
    </row>
    <row r="771" customFormat="false" ht="15" hidden="false" customHeight="true" outlineLevel="0" collapsed="false">
      <c r="A771" s="6" t="s">
        <v>1735</v>
      </c>
      <c r="B771" s="6" t="s">
        <v>1736</v>
      </c>
      <c r="C771" s="6" t="s">
        <v>120</v>
      </c>
      <c r="D771" s="6" t="s">
        <v>210</v>
      </c>
      <c r="E771" s="6" t="s">
        <v>153</v>
      </c>
      <c r="F771" s="13" t="n">
        <v>45728</v>
      </c>
      <c r="G771" s="13" t="n">
        <v>45810</v>
      </c>
      <c r="H771" s="14" t="n">
        <v>115886.27</v>
      </c>
      <c r="I771" s="6" t="n">
        <v>1</v>
      </c>
      <c r="J771" s="6" t="n">
        <v>766</v>
      </c>
      <c r="K771" s="6" t="s">
        <v>185</v>
      </c>
      <c r="L771" s="14" t="n">
        <v>30223.89</v>
      </c>
      <c r="M771" s="22" t="n">
        <v>1.291</v>
      </c>
      <c r="N771" s="14" t="n">
        <v>39019.04</v>
      </c>
      <c r="O771" s="14" t="n">
        <v>8795.15</v>
      </c>
      <c r="P771" s="21" t="n">
        <v>0.123</v>
      </c>
      <c r="Q771" s="6" t="n">
        <v>82</v>
      </c>
      <c r="R771" s="6" t="s">
        <v>155</v>
      </c>
      <c r="S771" s="21" t="n">
        <v>0.913</v>
      </c>
      <c r="T771" s="14" t="n">
        <v>35624.38</v>
      </c>
      <c r="U771" s="6" t="s">
        <v>49</v>
      </c>
    </row>
    <row r="772" customFormat="false" ht="15" hidden="false" customHeight="true" outlineLevel="0" collapsed="false">
      <c r="A772" s="6" t="s">
        <v>1737</v>
      </c>
      <c r="B772" s="6" t="s">
        <v>1738</v>
      </c>
      <c r="C772" s="6" t="s">
        <v>124</v>
      </c>
      <c r="D772" s="6" t="s">
        <v>168</v>
      </c>
      <c r="E772" s="6" t="s">
        <v>177</v>
      </c>
      <c r="F772" s="13" t="n">
        <v>46012</v>
      </c>
      <c r="G772" s="13" t="n">
        <v>46072</v>
      </c>
      <c r="H772" s="14" t="n">
        <v>99774.95</v>
      </c>
      <c r="I772" s="6" t="n">
        <v>0</v>
      </c>
      <c r="J772" s="6" t="n">
        <v>787</v>
      </c>
      <c r="K772" s="6" t="s">
        <v>185</v>
      </c>
      <c r="L772" s="14" t="n">
        <v>8727.08</v>
      </c>
      <c r="M772" s="22" t="n">
        <v>1.276</v>
      </c>
      <c r="N772" s="14" t="n">
        <v>11135.75</v>
      </c>
      <c r="O772" s="14" t="n">
        <v>2408.67</v>
      </c>
      <c r="P772" s="21" t="n">
        <v>0.084</v>
      </c>
      <c r="Q772" s="6" t="n">
        <v>60</v>
      </c>
      <c r="R772" s="6" t="s">
        <v>155</v>
      </c>
      <c r="S772" s="21" t="n">
        <v>0.98</v>
      </c>
      <c r="T772" s="14" t="n">
        <v>10913.03</v>
      </c>
      <c r="U772" s="6" t="s">
        <v>58</v>
      </c>
    </row>
    <row r="773" customFormat="false" ht="15" hidden="false" customHeight="true" outlineLevel="0" collapsed="false">
      <c r="A773" s="6" t="s">
        <v>1739</v>
      </c>
      <c r="B773" s="6" t="s">
        <v>1740</v>
      </c>
      <c r="C773" s="6" t="s">
        <v>131</v>
      </c>
      <c r="D773" s="6" t="s">
        <v>152</v>
      </c>
      <c r="E773" s="6" t="s">
        <v>192</v>
      </c>
      <c r="F773" s="13" t="n">
        <v>45244</v>
      </c>
      <c r="G773" s="13" t="n">
        <v>45425</v>
      </c>
      <c r="H773" s="14" t="n">
        <v>217361.2</v>
      </c>
      <c r="I773" s="6" t="n">
        <v>0</v>
      </c>
      <c r="J773" s="6" t="n">
        <v>615</v>
      </c>
      <c r="K773" s="6" t="s">
        <v>185</v>
      </c>
      <c r="L773" s="14" t="n">
        <v>66975.99</v>
      </c>
      <c r="M773" s="22" t="n">
        <v>1.259</v>
      </c>
      <c r="N773" s="14" t="n">
        <v>84322.77</v>
      </c>
      <c r="O773" s="14" t="n">
        <v>17346.78</v>
      </c>
      <c r="P773" s="21" t="n">
        <v>0.064</v>
      </c>
      <c r="Q773" s="6" t="n">
        <v>181</v>
      </c>
      <c r="R773" s="6" t="s">
        <v>161</v>
      </c>
      <c r="S773" s="21" t="n">
        <v>1</v>
      </c>
      <c r="T773" s="14" t="n">
        <v>84322.77</v>
      </c>
      <c r="U773" s="6" t="s">
        <v>33</v>
      </c>
    </row>
    <row r="774" customFormat="false" ht="15" hidden="false" customHeight="true" outlineLevel="0" collapsed="false">
      <c r="A774" s="6" t="s">
        <v>1741</v>
      </c>
      <c r="B774" s="6" t="s">
        <v>1742</v>
      </c>
      <c r="C774" s="6" t="s">
        <v>128</v>
      </c>
      <c r="D774" s="6" t="s">
        <v>235</v>
      </c>
      <c r="E774" s="6" t="s">
        <v>211</v>
      </c>
      <c r="F774" s="13" t="n">
        <v>45099</v>
      </c>
      <c r="G774" s="13" t="n">
        <v>45159</v>
      </c>
      <c r="H774" s="14" t="n">
        <v>95634.34</v>
      </c>
      <c r="I774" s="6" t="n">
        <v>1</v>
      </c>
      <c r="J774" s="6" t="n">
        <v>709</v>
      </c>
      <c r="K774" s="6" t="s">
        <v>185</v>
      </c>
      <c r="L774" s="14" t="n">
        <v>11883.61</v>
      </c>
      <c r="M774" s="22" t="n">
        <v>1.326</v>
      </c>
      <c r="N774" s="14" t="n">
        <v>15757.67</v>
      </c>
      <c r="O774" s="14" t="n">
        <v>3874.06</v>
      </c>
      <c r="P774" s="21" t="n">
        <v>0.151</v>
      </c>
      <c r="Q774" s="6" t="n">
        <v>60</v>
      </c>
      <c r="R774" s="6" t="s">
        <v>161</v>
      </c>
      <c r="S774" s="21" t="n">
        <v>1</v>
      </c>
      <c r="T774" s="14" t="n">
        <v>15757.67</v>
      </c>
      <c r="U774" s="6" t="s">
        <v>28</v>
      </c>
    </row>
    <row r="775" customFormat="false" ht="15" hidden="false" customHeight="true" outlineLevel="0" collapsed="false">
      <c r="A775" s="6" t="s">
        <v>1743</v>
      </c>
      <c r="B775" s="6" t="s">
        <v>1744</v>
      </c>
      <c r="C775" s="6" t="s">
        <v>120</v>
      </c>
      <c r="D775" s="6" t="s">
        <v>210</v>
      </c>
      <c r="E775" s="6" t="s">
        <v>189</v>
      </c>
      <c r="F775" s="13" t="n">
        <v>45982</v>
      </c>
      <c r="G775" s="13" t="n">
        <v>46063</v>
      </c>
      <c r="H775" s="14" t="n">
        <v>249296.09</v>
      </c>
      <c r="I775" s="6" t="n">
        <v>1</v>
      </c>
      <c r="J775" s="6" t="n">
        <v>729</v>
      </c>
      <c r="K775" s="6" t="s">
        <v>160</v>
      </c>
      <c r="L775" s="14" t="n">
        <v>79052.98</v>
      </c>
      <c r="M775" s="22" t="n">
        <v>1.239</v>
      </c>
      <c r="N775" s="14" t="n">
        <v>97946.64</v>
      </c>
      <c r="O775" s="14" t="n">
        <v>18893.66</v>
      </c>
      <c r="P775" s="21" t="n">
        <v>0.144</v>
      </c>
      <c r="Q775" s="6" t="n">
        <v>81</v>
      </c>
      <c r="R775" s="6" t="s">
        <v>155</v>
      </c>
      <c r="S775" s="21" t="n">
        <v>0.802</v>
      </c>
      <c r="T775" s="14" t="n">
        <v>78553.21</v>
      </c>
      <c r="U775" s="6" t="s">
        <v>57</v>
      </c>
    </row>
    <row r="776" customFormat="false" ht="15" hidden="false" customHeight="true" outlineLevel="0" collapsed="false">
      <c r="A776" s="6" t="s">
        <v>1745</v>
      </c>
      <c r="B776" s="6" t="s">
        <v>1746</v>
      </c>
      <c r="C776" s="6" t="s">
        <v>124</v>
      </c>
      <c r="D776" s="6" t="s">
        <v>168</v>
      </c>
      <c r="E776" s="6" t="s">
        <v>189</v>
      </c>
      <c r="F776" s="13" t="n">
        <v>44762</v>
      </c>
      <c r="G776" s="13" t="n">
        <v>44862</v>
      </c>
      <c r="H776" s="14" t="n">
        <v>199319.79</v>
      </c>
      <c r="I776" s="6" t="n">
        <v>0</v>
      </c>
      <c r="J776" s="6" t="n">
        <v>511</v>
      </c>
      <c r="K776" s="6" t="s">
        <v>185</v>
      </c>
      <c r="L776" s="14" t="n">
        <v>49614.26</v>
      </c>
      <c r="M776" s="22" t="n">
        <v>1.223</v>
      </c>
      <c r="N776" s="14" t="n">
        <v>60678.24</v>
      </c>
      <c r="O776" s="14" t="n">
        <v>11063.98</v>
      </c>
      <c r="P776" s="21" t="n">
        <v>0.091</v>
      </c>
      <c r="Q776" s="6" t="n">
        <v>100</v>
      </c>
      <c r="R776" s="6" t="s">
        <v>161</v>
      </c>
      <c r="S776" s="21" t="n">
        <v>1</v>
      </c>
      <c r="T776" s="14" t="n">
        <v>60678.24</v>
      </c>
      <c r="U776" s="6" t="s">
        <v>17</v>
      </c>
    </row>
    <row r="777" customFormat="false" ht="15" hidden="false" customHeight="true" outlineLevel="0" collapsed="false">
      <c r="A777" s="6" t="s">
        <v>1747</v>
      </c>
      <c r="B777" s="6" t="s">
        <v>1748</v>
      </c>
      <c r="C777" s="6" t="s">
        <v>112</v>
      </c>
      <c r="D777" s="6" t="s">
        <v>225</v>
      </c>
      <c r="E777" s="6" t="s">
        <v>159</v>
      </c>
      <c r="F777" s="13" t="n">
        <v>45196</v>
      </c>
      <c r="G777" s="13" t="n">
        <v>45256</v>
      </c>
      <c r="H777" s="14" t="n">
        <v>201804.6</v>
      </c>
      <c r="I777" s="6" t="n">
        <v>3</v>
      </c>
      <c r="J777" s="6" t="n">
        <v>741</v>
      </c>
      <c r="K777" s="6" t="s">
        <v>154</v>
      </c>
      <c r="L777" s="14" t="n">
        <v>18839.28</v>
      </c>
      <c r="M777" s="22" t="n">
        <v>1.243</v>
      </c>
      <c r="N777" s="14" t="n">
        <v>23417.23</v>
      </c>
      <c r="O777" s="14" t="n">
        <v>4577.95</v>
      </c>
      <c r="P777" s="21" t="n">
        <v>0.168</v>
      </c>
      <c r="Q777" s="6" t="n">
        <v>60</v>
      </c>
      <c r="R777" s="6" t="s">
        <v>155</v>
      </c>
      <c r="S777" s="21" t="n">
        <v>0.922</v>
      </c>
      <c r="T777" s="14" t="n">
        <v>21590.69</v>
      </c>
      <c r="U777" s="6" t="s">
        <v>31</v>
      </c>
    </row>
    <row r="778" customFormat="false" ht="15" hidden="false" customHeight="true" outlineLevel="0" collapsed="false">
      <c r="A778" s="6" t="s">
        <v>1749</v>
      </c>
      <c r="B778" s="6" t="s">
        <v>1750</v>
      </c>
      <c r="C778" s="6" t="s">
        <v>131</v>
      </c>
      <c r="D778" s="6" t="s">
        <v>152</v>
      </c>
      <c r="E778" s="6" t="s">
        <v>304</v>
      </c>
      <c r="F778" s="13" t="n">
        <v>45360</v>
      </c>
      <c r="G778" s="13" t="n">
        <v>45432</v>
      </c>
      <c r="H778" s="14" t="n">
        <v>229229.86</v>
      </c>
      <c r="I778" s="6" t="n">
        <v>2</v>
      </c>
      <c r="J778" s="6" t="n">
        <v>573</v>
      </c>
      <c r="K778" s="6" t="s">
        <v>160</v>
      </c>
      <c r="L778" s="14" t="n">
        <v>73268.06</v>
      </c>
      <c r="M778" s="22" t="n">
        <v>1.178</v>
      </c>
      <c r="N778" s="14" t="n">
        <v>86309.77</v>
      </c>
      <c r="O778" s="14" t="n">
        <v>13041.71</v>
      </c>
      <c r="P778" s="21" t="n">
        <v>0.156</v>
      </c>
      <c r="Q778" s="6" t="n">
        <v>72</v>
      </c>
      <c r="R778" s="6" t="s">
        <v>155</v>
      </c>
      <c r="S778" s="21" t="n">
        <v>0.88</v>
      </c>
      <c r="T778" s="14" t="n">
        <v>75952.6</v>
      </c>
      <c r="U778" s="6" t="s">
        <v>37</v>
      </c>
    </row>
    <row r="779" customFormat="false" ht="15" hidden="false" customHeight="true" outlineLevel="0" collapsed="false">
      <c r="A779" s="6" t="s">
        <v>1751</v>
      </c>
      <c r="B779" s="6" t="s">
        <v>1752</v>
      </c>
      <c r="C779" s="6" t="s">
        <v>116</v>
      </c>
      <c r="D779" s="6" t="s">
        <v>152</v>
      </c>
      <c r="E779" s="6" t="s">
        <v>219</v>
      </c>
      <c r="F779" s="13" t="n">
        <v>45876</v>
      </c>
      <c r="G779" s="13" t="n">
        <v>45950</v>
      </c>
      <c r="H779" s="14" t="n">
        <v>71852.69</v>
      </c>
      <c r="I779" s="6" t="n">
        <v>2</v>
      </c>
      <c r="J779" s="6" t="n">
        <v>603</v>
      </c>
      <c r="K779" s="6" t="s">
        <v>160</v>
      </c>
      <c r="L779" s="14" t="n">
        <v>18329.52</v>
      </c>
      <c r="M779" s="22" t="n">
        <v>1.109</v>
      </c>
      <c r="N779" s="14" t="n">
        <v>20327.44</v>
      </c>
      <c r="O779" s="14" t="n">
        <v>1997.92</v>
      </c>
      <c r="P779" s="21" t="n">
        <v>0.114</v>
      </c>
      <c r="Q779" s="6" t="n">
        <v>74</v>
      </c>
      <c r="R779" s="6" t="s">
        <v>161</v>
      </c>
      <c r="S779" s="21" t="n">
        <v>1</v>
      </c>
      <c r="T779" s="14" t="n">
        <v>20327.44</v>
      </c>
      <c r="U779" s="6" t="s">
        <v>54</v>
      </c>
    </row>
    <row r="780" customFormat="false" ht="15" hidden="false" customHeight="true" outlineLevel="0" collapsed="false">
      <c r="A780" s="6" t="s">
        <v>1753</v>
      </c>
      <c r="B780" s="6" t="s">
        <v>1754</v>
      </c>
      <c r="C780" s="6" t="s">
        <v>112</v>
      </c>
      <c r="D780" s="6" t="s">
        <v>164</v>
      </c>
      <c r="E780" s="6" t="s">
        <v>219</v>
      </c>
      <c r="F780" s="13" t="n">
        <v>45879</v>
      </c>
      <c r="G780" s="13" t="n">
        <v>45939</v>
      </c>
      <c r="H780" s="14" t="n">
        <v>59746.66</v>
      </c>
      <c r="I780" s="6" t="n">
        <v>4</v>
      </c>
      <c r="J780" s="6" t="n">
        <v>560</v>
      </c>
      <c r="K780" s="6" t="s">
        <v>154</v>
      </c>
      <c r="L780" s="14" t="n">
        <v>14295.06</v>
      </c>
      <c r="M780" s="22" t="n">
        <v>1.136</v>
      </c>
      <c r="N780" s="14" t="n">
        <v>16239.19</v>
      </c>
      <c r="O780" s="14" t="n">
        <v>1944.13</v>
      </c>
      <c r="P780" s="21" t="n">
        <v>0.157</v>
      </c>
      <c r="Q780" s="6" t="n">
        <v>60</v>
      </c>
      <c r="R780" s="6" t="s">
        <v>161</v>
      </c>
      <c r="S780" s="21" t="n">
        <v>1</v>
      </c>
      <c r="T780" s="14" t="n">
        <v>16239.19</v>
      </c>
      <c r="U780" s="6" t="s">
        <v>54</v>
      </c>
    </row>
    <row r="781" customFormat="false" ht="15" hidden="false" customHeight="true" outlineLevel="0" collapsed="false">
      <c r="A781" s="6" t="s">
        <v>1755</v>
      </c>
      <c r="B781" s="6" t="s">
        <v>1756</v>
      </c>
      <c r="C781" s="6" t="s">
        <v>120</v>
      </c>
      <c r="D781" s="6" t="s">
        <v>218</v>
      </c>
      <c r="E781" s="6" t="s">
        <v>299</v>
      </c>
      <c r="F781" s="13" t="n">
        <v>44585</v>
      </c>
      <c r="G781" s="13" t="n">
        <v>44645</v>
      </c>
      <c r="H781" s="14" t="n">
        <v>66790.04</v>
      </c>
      <c r="I781" s="6" t="n">
        <v>0</v>
      </c>
      <c r="J781" s="6" t="n">
        <v>519</v>
      </c>
      <c r="K781" s="6" t="s">
        <v>154</v>
      </c>
      <c r="L781" s="14" t="n">
        <v>8158.99</v>
      </c>
      <c r="M781" s="22" t="n">
        <v>1.226</v>
      </c>
      <c r="N781" s="14" t="n">
        <v>10002.92</v>
      </c>
      <c r="O781" s="14" t="n">
        <v>1843.93</v>
      </c>
      <c r="P781" s="21" t="n">
        <v>0.168</v>
      </c>
      <c r="Q781" s="6" t="n">
        <v>60</v>
      </c>
      <c r="R781" s="6" t="s">
        <v>155</v>
      </c>
      <c r="S781" s="21" t="n">
        <v>0.878</v>
      </c>
      <c r="T781" s="14" t="n">
        <v>8782.56</v>
      </c>
      <c r="U781" s="6" t="s">
        <v>11</v>
      </c>
    </row>
    <row r="782" customFormat="false" ht="15" hidden="false" customHeight="true" outlineLevel="0" collapsed="false">
      <c r="A782" s="6" t="s">
        <v>1757</v>
      </c>
      <c r="B782" s="6" t="s">
        <v>1758</v>
      </c>
      <c r="C782" s="6" t="s">
        <v>124</v>
      </c>
      <c r="D782" s="6" t="s">
        <v>168</v>
      </c>
      <c r="E782" s="6" t="s">
        <v>211</v>
      </c>
      <c r="F782" s="13" t="n">
        <v>45370</v>
      </c>
      <c r="G782" s="13" t="n">
        <v>45430</v>
      </c>
      <c r="H782" s="14" t="n">
        <v>174748.38</v>
      </c>
      <c r="I782" s="6" t="n">
        <v>0</v>
      </c>
      <c r="J782" s="6" t="n">
        <v>633</v>
      </c>
      <c r="K782" s="6" t="s">
        <v>154</v>
      </c>
      <c r="L782" s="14" t="n">
        <v>31116.35</v>
      </c>
      <c r="M782" s="22" t="n">
        <v>1.227</v>
      </c>
      <c r="N782" s="14" t="n">
        <v>38179.76</v>
      </c>
      <c r="O782" s="14" t="n">
        <v>7063.41</v>
      </c>
      <c r="P782" s="21" t="n">
        <v>0.16</v>
      </c>
      <c r="Q782" s="6" t="n">
        <v>60</v>
      </c>
      <c r="R782" s="6" t="s">
        <v>161</v>
      </c>
      <c r="S782" s="21" t="n">
        <v>1</v>
      </c>
      <c r="T782" s="14" t="n">
        <v>38179.76</v>
      </c>
      <c r="U782" s="6" t="s">
        <v>37</v>
      </c>
    </row>
    <row r="783" customFormat="false" ht="15" hidden="false" customHeight="true" outlineLevel="0" collapsed="false">
      <c r="A783" s="6" t="s">
        <v>1759</v>
      </c>
      <c r="B783" s="6" t="s">
        <v>1760</v>
      </c>
      <c r="C783" s="6" t="s">
        <v>124</v>
      </c>
      <c r="D783" s="6" t="s">
        <v>180</v>
      </c>
      <c r="E783" s="6" t="s">
        <v>195</v>
      </c>
      <c r="F783" s="13" t="n">
        <v>45727</v>
      </c>
      <c r="G783" s="13" t="n">
        <v>45819</v>
      </c>
      <c r="H783" s="14" t="n">
        <v>150495</v>
      </c>
      <c r="I783" s="6" t="n">
        <v>0</v>
      </c>
      <c r="J783" s="6" t="n">
        <v>512</v>
      </c>
      <c r="K783" s="6" t="s">
        <v>160</v>
      </c>
      <c r="L783" s="14" t="n">
        <v>29962.03</v>
      </c>
      <c r="M783" s="22" t="n">
        <v>1.292</v>
      </c>
      <c r="N783" s="14" t="n">
        <v>38710.94</v>
      </c>
      <c r="O783" s="14" t="n">
        <v>8748.91</v>
      </c>
      <c r="P783" s="21" t="n">
        <v>0.083</v>
      </c>
      <c r="Q783" s="6" t="n">
        <v>92</v>
      </c>
      <c r="R783" s="6" t="s">
        <v>155</v>
      </c>
      <c r="S783" s="21" t="n">
        <v>0.898</v>
      </c>
      <c r="T783" s="14" t="n">
        <v>34762.42</v>
      </c>
      <c r="U783" s="6" t="s">
        <v>49</v>
      </c>
    </row>
    <row r="784" customFormat="false" ht="15" hidden="false" customHeight="true" outlineLevel="0" collapsed="false">
      <c r="A784" s="6" t="s">
        <v>1761</v>
      </c>
      <c r="B784" s="6" t="s">
        <v>1762</v>
      </c>
      <c r="C784" s="6" t="s">
        <v>124</v>
      </c>
      <c r="D784" s="6" t="s">
        <v>238</v>
      </c>
      <c r="E784" s="6" t="s">
        <v>201</v>
      </c>
      <c r="F784" s="13" t="n">
        <v>46011</v>
      </c>
      <c r="G784" s="13" t="n">
        <v>46110</v>
      </c>
      <c r="H784" s="14" t="n">
        <v>238529.33</v>
      </c>
      <c r="I784" s="6" t="n">
        <v>1</v>
      </c>
      <c r="J784" s="6" t="n">
        <v>501</v>
      </c>
      <c r="K784" s="6" t="s">
        <v>160</v>
      </c>
      <c r="L784" s="14" t="n">
        <v>31637.39</v>
      </c>
      <c r="M784" s="22" t="n">
        <v>1.331</v>
      </c>
      <c r="N784" s="14" t="n">
        <v>42109.37</v>
      </c>
      <c r="O784" s="14" t="n">
        <v>10471.98</v>
      </c>
      <c r="P784" s="21" t="n">
        <v>0.053</v>
      </c>
      <c r="Q784" s="6" t="n">
        <v>99</v>
      </c>
      <c r="R784" s="6" t="s">
        <v>161</v>
      </c>
      <c r="S784" s="21" t="n">
        <v>1</v>
      </c>
      <c r="T784" s="14" t="n">
        <v>42109.37</v>
      </c>
      <c r="U784" s="6" t="s">
        <v>58</v>
      </c>
    </row>
    <row r="785" customFormat="false" ht="15" hidden="false" customHeight="true" outlineLevel="0" collapsed="false">
      <c r="A785" s="6" t="s">
        <v>1763</v>
      </c>
      <c r="B785" s="6" t="s">
        <v>1764</v>
      </c>
      <c r="C785" s="6" t="s">
        <v>120</v>
      </c>
      <c r="D785" s="6" t="s">
        <v>210</v>
      </c>
      <c r="E785" s="6" t="s">
        <v>189</v>
      </c>
      <c r="F785" s="13" t="n">
        <v>46129</v>
      </c>
      <c r="G785" s="13" t="n">
        <v>46215</v>
      </c>
      <c r="H785" s="14" t="n">
        <v>60676.66</v>
      </c>
      <c r="I785" s="6" t="n">
        <v>2</v>
      </c>
      <c r="J785" s="6" t="n">
        <v>610</v>
      </c>
      <c r="K785" s="6" t="s">
        <v>154</v>
      </c>
      <c r="L785" s="14" t="n">
        <v>25239.22</v>
      </c>
      <c r="M785" s="22" t="n">
        <v>1.162</v>
      </c>
      <c r="N785" s="14" t="n">
        <v>29327.97</v>
      </c>
      <c r="O785" s="14" t="n">
        <v>4088.75</v>
      </c>
      <c r="P785" s="21" t="n">
        <v>0.168</v>
      </c>
      <c r="Q785" s="6" t="n">
        <v>86</v>
      </c>
      <c r="R785" s="6" t="s">
        <v>155</v>
      </c>
      <c r="S785" s="21" t="n">
        <v>0.98</v>
      </c>
      <c r="T785" s="14" t="n">
        <v>28741.41</v>
      </c>
      <c r="U785" s="6" t="s">
        <v>62</v>
      </c>
    </row>
    <row r="786" customFormat="false" ht="15" hidden="false" customHeight="true" outlineLevel="0" collapsed="false">
      <c r="A786" s="6" t="s">
        <v>1765</v>
      </c>
      <c r="B786" s="6" t="s">
        <v>1766</v>
      </c>
      <c r="C786" s="6" t="s">
        <v>131</v>
      </c>
      <c r="D786" s="6" t="s">
        <v>200</v>
      </c>
      <c r="E786" s="6" t="s">
        <v>153</v>
      </c>
      <c r="F786" s="13" t="n">
        <v>45479</v>
      </c>
      <c r="G786" s="13" t="n">
        <v>45650</v>
      </c>
      <c r="H786" s="14" t="n">
        <v>87850.22</v>
      </c>
      <c r="I786" s="6" t="n">
        <v>5</v>
      </c>
      <c r="J786" s="6" t="n">
        <v>581</v>
      </c>
      <c r="K786" s="6" t="s">
        <v>160</v>
      </c>
      <c r="L786" s="14" t="n">
        <v>31136.67</v>
      </c>
      <c r="M786" s="22" t="n">
        <v>1.239</v>
      </c>
      <c r="N786" s="14" t="n">
        <v>38578.33</v>
      </c>
      <c r="O786" s="14" t="n">
        <v>7441.66</v>
      </c>
      <c r="P786" s="21" t="n">
        <v>0.077</v>
      </c>
      <c r="Q786" s="6" t="n">
        <v>171</v>
      </c>
      <c r="R786" s="6" t="s">
        <v>161</v>
      </c>
      <c r="S786" s="21" t="n">
        <v>1</v>
      </c>
      <c r="T786" s="14" t="n">
        <v>38578.33</v>
      </c>
      <c r="U786" s="6" t="s">
        <v>41</v>
      </c>
    </row>
    <row r="787" customFormat="false" ht="15" hidden="false" customHeight="true" outlineLevel="0" collapsed="false">
      <c r="A787" s="6" t="s">
        <v>1767</v>
      </c>
      <c r="B787" s="6" t="s">
        <v>1768</v>
      </c>
      <c r="C787" s="6" t="s">
        <v>120</v>
      </c>
      <c r="D787" s="6" t="s">
        <v>263</v>
      </c>
      <c r="E787" s="6" t="s">
        <v>195</v>
      </c>
      <c r="F787" s="13" t="n">
        <v>45006</v>
      </c>
      <c r="G787" s="13" t="n">
        <v>45092</v>
      </c>
      <c r="H787" s="14" t="n">
        <v>196634.55</v>
      </c>
      <c r="I787" s="6" t="n">
        <v>0</v>
      </c>
      <c r="J787" s="6" t="n">
        <v>590</v>
      </c>
      <c r="K787" s="6" t="s">
        <v>154</v>
      </c>
      <c r="L787" s="14" t="n">
        <v>60500.81</v>
      </c>
      <c r="M787" s="22" t="n">
        <v>1.345</v>
      </c>
      <c r="N787" s="14" t="n">
        <v>81373.59</v>
      </c>
      <c r="O787" s="14" t="n">
        <v>20872.78</v>
      </c>
      <c r="P787" s="21" t="n">
        <v>0.144</v>
      </c>
      <c r="Q787" s="6" t="n">
        <v>86</v>
      </c>
      <c r="R787" s="6" t="s">
        <v>155</v>
      </c>
      <c r="S787" s="21" t="n">
        <v>0.889</v>
      </c>
      <c r="T787" s="14" t="n">
        <v>72341.12</v>
      </c>
      <c r="U787" s="6" t="s">
        <v>25</v>
      </c>
    </row>
    <row r="788" customFormat="false" ht="15" hidden="false" customHeight="true" outlineLevel="0" collapsed="false">
      <c r="A788" s="6" t="s">
        <v>1769</v>
      </c>
      <c r="B788" s="6" t="s">
        <v>1770</v>
      </c>
      <c r="C788" s="6" t="s">
        <v>124</v>
      </c>
      <c r="D788" s="6" t="s">
        <v>180</v>
      </c>
      <c r="E788" s="6" t="s">
        <v>184</v>
      </c>
      <c r="F788" s="13" t="n">
        <v>45955</v>
      </c>
      <c r="G788" s="13" t="n">
        <v>46037</v>
      </c>
      <c r="H788" s="14" t="n">
        <v>44265.65</v>
      </c>
      <c r="I788" s="6" t="n">
        <v>1</v>
      </c>
      <c r="J788" s="6" t="n">
        <v>646</v>
      </c>
      <c r="K788" s="6" t="s">
        <v>160</v>
      </c>
      <c r="L788" s="14" t="n">
        <v>9835.3</v>
      </c>
      <c r="M788" s="22" t="n">
        <v>1.16</v>
      </c>
      <c r="N788" s="14" t="n">
        <v>11408.95</v>
      </c>
      <c r="O788" s="14" t="n">
        <v>1573.65</v>
      </c>
      <c r="P788" s="21" t="n">
        <v>0.094</v>
      </c>
      <c r="Q788" s="6" t="n">
        <v>82</v>
      </c>
      <c r="R788" s="6" t="s">
        <v>155</v>
      </c>
      <c r="S788" s="21" t="n">
        <v>0.771</v>
      </c>
      <c r="T788" s="14" t="n">
        <v>8796.3</v>
      </c>
      <c r="U788" s="6" t="s">
        <v>56</v>
      </c>
    </row>
    <row r="789" customFormat="false" ht="15" hidden="false" customHeight="true" outlineLevel="0" collapsed="false">
      <c r="A789" s="6" t="s">
        <v>1771</v>
      </c>
      <c r="B789" s="6" t="s">
        <v>1772</v>
      </c>
      <c r="C789" s="6" t="s">
        <v>124</v>
      </c>
      <c r="D789" s="6" t="s">
        <v>168</v>
      </c>
      <c r="E789" s="6" t="s">
        <v>184</v>
      </c>
      <c r="F789" s="13" t="n">
        <v>45579</v>
      </c>
      <c r="G789" s="13" t="n">
        <v>45699</v>
      </c>
      <c r="H789" s="14" t="n">
        <v>152266.7</v>
      </c>
      <c r="I789" s="6" t="n">
        <v>1</v>
      </c>
      <c r="J789" s="6" t="n">
        <v>742</v>
      </c>
      <c r="K789" s="6" t="s">
        <v>160</v>
      </c>
      <c r="L789" s="14" t="n">
        <v>50728.08</v>
      </c>
      <c r="M789" s="22" t="n">
        <v>1.19</v>
      </c>
      <c r="N789" s="14" t="n">
        <v>60366.42</v>
      </c>
      <c r="O789" s="14" t="n">
        <v>9638.34</v>
      </c>
      <c r="P789" s="21" t="n">
        <v>0.099</v>
      </c>
      <c r="Q789" s="6" t="n">
        <v>120</v>
      </c>
      <c r="R789" s="6" t="s">
        <v>161</v>
      </c>
      <c r="S789" s="21" t="n">
        <v>1</v>
      </c>
      <c r="T789" s="14" t="n">
        <v>60366.42</v>
      </c>
      <c r="U789" s="6" t="s">
        <v>44</v>
      </c>
    </row>
    <row r="790" customFormat="false" ht="15" hidden="false" customHeight="true" outlineLevel="0" collapsed="false">
      <c r="A790" s="6" t="s">
        <v>1773</v>
      </c>
      <c r="B790" s="6" t="s">
        <v>1774</v>
      </c>
      <c r="C790" s="6" t="s">
        <v>112</v>
      </c>
      <c r="D790" s="6" t="s">
        <v>225</v>
      </c>
      <c r="E790" s="6" t="s">
        <v>299</v>
      </c>
      <c r="F790" s="13" t="n">
        <v>45335</v>
      </c>
      <c r="G790" s="13" t="n">
        <v>45400</v>
      </c>
      <c r="H790" s="14" t="n">
        <v>157261.39</v>
      </c>
      <c r="I790" s="6" t="n">
        <v>4</v>
      </c>
      <c r="J790" s="6" t="n">
        <v>581</v>
      </c>
      <c r="K790" s="6" t="s">
        <v>185</v>
      </c>
      <c r="L790" s="14" t="n">
        <v>14632.58</v>
      </c>
      <c r="M790" s="22" t="n">
        <v>1.271</v>
      </c>
      <c r="N790" s="14" t="n">
        <v>18598.01</v>
      </c>
      <c r="O790" s="14" t="n">
        <v>3965.43</v>
      </c>
      <c r="P790" s="21" t="n">
        <v>0.054</v>
      </c>
      <c r="Q790" s="6" t="n">
        <v>65</v>
      </c>
      <c r="R790" s="6" t="s">
        <v>161</v>
      </c>
      <c r="S790" s="21" t="n">
        <v>1</v>
      </c>
      <c r="T790" s="14" t="n">
        <v>18598.01</v>
      </c>
      <c r="U790" s="6" t="s">
        <v>36</v>
      </c>
    </row>
    <row r="791" customFormat="false" ht="15" hidden="false" customHeight="true" outlineLevel="0" collapsed="false">
      <c r="A791" s="6" t="s">
        <v>1775</v>
      </c>
      <c r="B791" s="6" t="s">
        <v>1776</v>
      </c>
      <c r="C791" s="6" t="s">
        <v>112</v>
      </c>
      <c r="D791" s="6" t="s">
        <v>188</v>
      </c>
      <c r="E791" s="6" t="s">
        <v>207</v>
      </c>
      <c r="F791" s="13" t="n">
        <v>45747</v>
      </c>
      <c r="G791" s="13" t="n">
        <v>45912</v>
      </c>
      <c r="H791" s="14" t="n">
        <v>69421.63</v>
      </c>
      <c r="I791" s="6" t="n">
        <v>3</v>
      </c>
      <c r="J791" s="6" t="n">
        <v>678</v>
      </c>
      <c r="K791" s="6" t="s">
        <v>160</v>
      </c>
      <c r="L791" s="14" t="n">
        <v>20888.51</v>
      </c>
      <c r="M791" s="22" t="n">
        <v>1.172</v>
      </c>
      <c r="N791" s="14" t="n">
        <v>24481.33</v>
      </c>
      <c r="O791" s="14" t="n">
        <v>3592.82</v>
      </c>
      <c r="P791" s="21" t="n">
        <v>0.064</v>
      </c>
      <c r="Q791" s="6" t="n">
        <v>165</v>
      </c>
      <c r="R791" s="6" t="s">
        <v>161</v>
      </c>
      <c r="S791" s="21" t="n">
        <v>1</v>
      </c>
      <c r="T791" s="14" t="n">
        <v>24481.33</v>
      </c>
      <c r="U791" s="6" t="s">
        <v>49</v>
      </c>
    </row>
    <row r="792" customFormat="false" ht="15" hidden="false" customHeight="true" outlineLevel="0" collapsed="false">
      <c r="A792" s="6" t="s">
        <v>1777</v>
      </c>
      <c r="B792" s="6" t="s">
        <v>1778</v>
      </c>
      <c r="C792" s="6" t="s">
        <v>131</v>
      </c>
      <c r="D792" s="6" t="s">
        <v>152</v>
      </c>
      <c r="E792" s="6" t="s">
        <v>326</v>
      </c>
      <c r="F792" s="13" t="n">
        <v>44718</v>
      </c>
      <c r="G792" s="13" t="n">
        <v>44802</v>
      </c>
      <c r="H792" s="14" t="n">
        <v>204288.62</v>
      </c>
      <c r="I792" s="6" t="n">
        <v>1</v>
      </c>
      <c r="J792" s="6" t="n">
        <v>749</v>
      </c>
      <c r="K792" s="6" t="s">
        <v>160</v>
      </c>
      <c r="L792" s="14" t="n">
        <v>78042.27</v>
      </c>
      <c r="M792" s="22" t="n">
        <v>1.135</v>
      </c>
      <c r="N792" s="14" t="n">
        <v>88577.98</v>
      </c>
      <c r="O792" s="14" t="n">
        <v>10535.71</v>
      </c>
      <c r="P792" s="21" t="n">
        <v>0.154</v>
      </c>
      <c r="Q792" s="6" t="n">
        <v>84</v>
      </c>
      <c r="R792" s="6" t="s">
        <v>155</v>
      </c>
      <c r="S792" s="21" t="n">
        <v>0.755</v>
      </c>
      <c r="T792" s="14" t="n">
        <v>66876.37</v>
      </c>
      <c r="U792" s="6" t="s">
        <v>16</v>
      </c>
    </row>
    <row r="793" customFormat="false" ht="15" hidden="false" customHeight="true" outlineLevel="0" collapsed="false">
      <c r="A793" s="6" t="s">
        <v>1779</v>
      </c>
      <c r="B793" s="6" t="s">
        <v>1780</v>
      </c>
      <c r="C793" s="6" t="s">
        <v>116</v>
      </c>
      <c r="D793" s="6" t="s">
        <v>206</v>
      </c>
      <c r="E793" s="6" t="s">
        <v>153</v>
      </c>
      <c r="F793" s="13" t="n">
        <v>44843</v>
      </c>
      <c r="G793" s="13" t="n">
        <v>44928</v>
      </c>
      <c r="H793" s="14" t="n">
        <v>27909.11</v>
      </c>
      <c r="I793" s="6" t="n">
        <v>3</v>
      </c>
      <c r="J793" s="6" t="n">
        <v>615</v>
      </c>
      <c r="K793" s="6" t="s">
        <v>160</v>
      </c>
      <c r="L793" s="14" t="n">
        <v>7934.02</v>
      </c>
      <c r="M793" s="22" t="n">
        <v>1.154</v>
      </c>
      <c r="N793" s="14" t="n">
        <v>9155.86</v>
      </c>
      <c r="O793" s="14" t="n">
        <v>1221.84</v>
      </c>
      <c r="P793" s="21" t="n">
        <v>0.115</v>
      </c>
      <c r="Q793" s="6" t="n">
        <v>85</v>
      </c>
      <c r="R793" s="6" t="s">
        <v>161</v>
      </c>
      <c r="S793" s="21" t="n">
        <v>1</v>
      </c>
      <c r="T793" s="14" t="n">
        <v>9155.86</v>
      </c>
      <c r="U793" s="6" t="s">
        <v>20</v>
      </c>
    </row>
    <row r="794" customFormat="false" ht="15" hidden="false" customHeight="true" outlineLevel="0" collapsed="false">
      <c r="A794" s="6" t="s">
        <v>1781</v>
      </c>
      <c r="B794" s="6" t="s">
        <v>1782</v>
      </c>
      <c r="C794" s="6" t="s">
        <v>131</v>
      </c>
      <c r="D794" s="6" t="s">
        <v>176</v>
      </c>
      <c r="E794" s="6" t="s">
        <v>299</v>
      </c>
      <c r="F794" s="13" t="n">
        <v>46010</v>
      </c>
      <c r="G794" s="13" t="n">
        <v>46070</v>
      </c>
      <c r="H794" s="14" t="n">
        <v>56802.49</v>
      </c>
      <c r="I794" s="6" t="n">
        <v>1</v>
      </c>
      <c r="J794" s="6" t="n">
        <v>619</v>
      </c>
      <c r="K794" s="6" t="s">
        <v>185</v>
      </c>
      <c r="L794" s="14" t="n">
        <v>6493.48</v>
      </c>
      <c r="M794" s="22" t="n">
        <v>1.23</v>
      </c>
      <c r="N794" s="14" t="n">
        <v>7986.98</v>
      </c>
      <c r="O794" s="14" t="n">
        <v>1493.5</v>
      </c>
      <c r="P794" s="21" t="n">
        <v>0.102</v>
      </c>
      <c r="Q794" s="6" t="n">
        <v>60</v>
      </c>
      <c r="R794" s="6" t="s">
        <v>161</v>
      </c>
      <c r="S794" s="21" t="n">
        <v>1</v>
      </c>
      <c r="T794" s="14" t="n">
        <v>7986.98</v>
      </c>
      <c r="U794" s="6" t="s">
        <v>58</v>
      </c>
    </row>
    <row r="795" customFormat="false" ht="15" hidden="false" customHeight="true" outlineLevel="0" collapsed="false">
      <c r="A795" s="6" t="s">
        <v>1783</v>
      </c>
      <c r="B795" s="6" t="s">
        <v>1784</v>
      </c>
      <c r="C795" s="6" t="s">
        <v>128</v>
      </c>
      <c r="D795" s="6" t="s">
        <v>401</v>
      </c>
      <c r="E795" s="6" t="s">
        <v>184</v>
      </c>
      <c r="F795" s="13" t="n">
        <v>44618</v>
      </c>
      <c r="G795" s="13" t="n">
        <v>44711</v>
      </c>
      <c r="H795" s="14" t="n">
        <v>9686.09</v>
      </c>
      <c r="I795" s="6" t="n">
        <v>1</v>
      </c>
      <c r="J795" s="6" t="n">
        <v>731</v>
      </c>
      <c r="K795" s="6" t="s">
        <v>185</v>
      </c>
      <c r="L795" s="14" t="n">
        <v>3082.2</v>
      </c>
      <c r="M795" s="22" t="n">
        <v>1.343</v>
      </c>
      <c r="N795" s="14" t="n">
        <v>4139.39</v>
      </c>
      <c r="O795" s="14" t="n">
        <v>1057.19</v>
      </c>
      <c r="P795" s="21" t="n">
        <v>0.137</v>
      </c>
      <c r="Q795" s="6" t="n">
        <v>93</v>
      </c>
      <c r="R795" s="6" t="s">
        <v>161</v>
      </c>
      <c r="S795" s="21" t="n">
        <v>1</v>
      </c>
      <c r="T795" s="14" t="n">
        <v>4139.39</v>
      </c>
      <c r="U795" s="6" t="s">
        <v>12</v>
      </c>
    </row>
    <row r="796" customFormat="false" ht="15" hidden="false" customHeight="true" outlineLevel="0" collapsed="false">
      <c r="A796" s="6" t="s">
        <v>1785</v>
      </c>
      <c r="B796" s="6" t="s">
        <v>1786</v>
      </c>
      <c r="C796" s="6" t="s">
        <v>112</v>
      </c>
      <c r="D796" s="6" t="s">
        <v>164</v>
      </c>
      <c r="E796" s="6" t="s">
        <v>326</v>
      </c>
      <c r="F796" s="13" t="n">
        <v>45884</v>
      </c>
      <c r="G796" s="13" t="n">
        <v>45948</v>
      </c>
      <c r="H796" s="14" t="n">
        <v>241449.3</v>
      </c>
      <c r="I796" s="6" t="n">
        <v>1</v>
      </c>
      <c r="J796" s="6" t="n">
        <v>619</v>
      </c>
      <c r="K796" s="6" t="s">
        <v>160</v>
      </c>
      <c r="L796" s="14" t="n">
        <v>61631.32</v>
      </c>
      <c r="M796" s="22" t="n">
        <v>1.307</v>
      </c>
      <c r="N796" s="14" t="n">
        <v>80552.14</v>
      </c>
      <c r="O796" s="14" t="n">
        <v>18920.82</v>
      </c>
      <c r="P796" s="21" t="n">
        <v>0.154</v>
      </c>
      <c r="Q796" s="6" t="n">
        <v>64</v>
      </c>
      <c r="R796" s="6" t="s">
        <v>161</v>
      </c>
      <c r="S796" s="21" t="n">
        <v>1</v>
      </c>
      <c r="T796" s="14" t="n">
        <v>80552.14</v>
      </c>
      <c r="U796" s="6" t="s">
        <v>54</v>
      </c>
    </row>
    <row r="797" customFormat="false" ht="15" hidden="false" customHeight="true" outlineLevel="0" collapsed="false">
      <c r="A797" s="6" t="s">
        <v>1787</v>
      </c>
      <c r="B797" s="6" t="s">
        <v>1788</v>
      </c>
      <c r="C797" s="6" t="s">
        <v>124</v>
      </c>
      <c r="D797" s="6" t="s">
        <v>238</v>
      </c>
      <c r="E797" s="6" t="s">
        <v>189</v>
      </c>
      <c r="F797" s="13" t="n">
        <v>45899</v>
      </c>
      <c r="G797" s="13" t="n">
        <v>46034</v>
      </c>
      <c r="H797" s="14" t="n">
        <v>107714.99</v>
      </c>
      <c r="I797" s="6" t="n">
        <v>1</v>
      </c>
      <c r="J797" s="6" t="n">
        <v>611</v>
      </c>
      <c r="K797" s="6" t="s">
        <v>154</v>
      </c>
      <c r="L797" s="14" t="n">
        <v>27957.55</v>
      </c>
      <c r="M797" s="22" t="n">
        <v>1.267</v>
      </c>
      <c r="N797" s="14" t="n">
        <v>35422.22</v>
      </c>
      <c r="O797" s="14" t="n">
        <v>7464.67</v>
      </c>
      <c r="P797" s="21" t="n">
        <v>0.073</v>
      </c>
      <c r="Q797" s="6" t="n">
        <v>135</v>
      </c>
      <c r="R797" s="6" t="s">
        <v>161</v>
      </c>
      <c r="S797" s="21" t="n">
        <v>1</v>
      </c>
      <c r="T797" s="14" t="n">
        <v>35422.22</v>
      </c>
      <c r="U797" s="6" t="s">
        <v>54</v>
      </c>
    </row>
    <row r="798" customFormat="false" ht="15" hidden="false" customHeight="true" outlineLevel="0" collapsed="false">
      <c r="A798" s="6" t="s">
        <v>1789</v>
      </c>
      <c r="B798" s="6" t="s">
        <v>1790</v>
      </c>
      <c r="C798" s="6" t="s">
        <v>120</v>
      </c>
      <c r="D798" s="6" t="s">
        <v>218</v>
      </c>
      <c r="E798" s="6" t="s">
        <v>192</v>
      </c>
      <c r="F798" s="13" t="n">
        <v>45993</v>
      </c>
      <c r="G798" s="13" t="n">
        <v>46174</v>
      </c>
      <c r="H798" s="14" t="n">
        <v>121957.87</v>
      </c>
      <c r="I798" s="6" t="n">
        <v>3</v>
      </c>
      <c r="J798" s="6" t="n">
        <v>808</v>
      </c>
      <c r="K798" s="6" t="s">
        <v>154</v>
      </c>
      <c r="L798" s="14" t="n">
        <v>40108.4</v>
      </c>
      <c r="M798" s="22" t="n">
        <v>1.083</v>
      </c>
      <c r="N798" s="14" t="n">
        <v>43437.4</v>
      </c>
      <c r="O798" s="14" t="n">
        <v>3329</v>
      </c>
      <c r="P798" s="21" t="n">
        <v>0.059</v>
      </c>
      <c r="Q798" s="6" t="n">
        <v>181</v>
      </c>
      <c r="R798" s="6" t="s">
        <v>161</v>
      </c>
      <c r="S798" s="21" t="n">
        <v>1</v>
      </c>
      <c r="T798" s="14" t="n">
        <v>43437.4</v>
      </c>
      <c r="U798" s="6" t="s">
        <v>58</v>
      </c>
    </row>
    <row r="799" customFormat="false" ht="15" hidden="false" customHeight="true" outlineLevel="0" collapsed="false">
      <c r="A799" s="6" t="s">
        <v>1791</v>
      </c>
      <c r="B799" s="6" t="s">
        <v>1792</v>
      </c>
      <c r="C799" s="6" t="s">
        <v>112</v>
      </c>
      <c r="D799" s="6" t="s">
        <v>172</v>
      </c>
      <c r="E799" s="6" t="s">
        <v>219</v>
      </c>
      <c r="F799" s="13" t="n">
        <v>45480</v>
      </c>
      <c r="G799" s="13" t="n">
        <v>45540</v>
      </c>
      <c r="H799" s="14" t="n">
        <v>134252.21</v>
      </c>
      <c r="I799" s="6" t="n">
        <v>0</v>
      </c>
      <c r="J799" s="6" t="n">
        <v>695</v>
      </c>
      <c r="K799" s="6" t="s">
        <v>160</v>
      </c>
      <c r="L799" s="14" t="n">
        <v>19198.25</v>
      </c>
      <c r="M799" s="22" t="n">
        <v>1.222</v>
      </c>
      <c r="N799" s="14" t="n">
        <v>23460.26</v>
      </c>
      <c r="O799" s="14" t="n">
        <v>4262.01</v>
      </c>
      <c r="P799" s="21" t="n">
        <v>0.146</v>
      </c>
      <c r="Q799" s="6" t="n">
        <v>60</v>
      </c>
      <c r="R799" s="6" t="s">
        <v>155</v>
      </c>
      <c r="S799" s="21" t="n">
        <v>0.757</v>
      </c>
      <c r="T799" s="14" t="n">
        <v>17759.42</v>
      </c>
      <c r="U799" s="6" t="s">
        <v>41</v>
      </c>
    </row>
    <row r="800" customFormat="false" ht="15" hidden="false" customHeight="true" outlineLevel="0" collapsed="false">
      <c r="A800" s="6" t="s">
        <v>1793</v>
      </c>
      <c r="B800" s="6" t="s">
        <v>1794</v>
      </c>
      <c r="C800" s="6" t="s">
        <v>116</v>
      </c>
      <c r="D800" s="6" t="s">
        <v>152</v>
      </c>
      <c r="E800" s="6" t="s">
        <v>181</v>
      </c>
      <c r="F800" s="13" t="n">
        <v>45714</v>
      </c>
      <c r="G800" s="13" t="n">
        <v>45798</v>
      </c>
      <c r="H800" s="14" t="n">
        <v>194133.82</v>
      </c>
      <c r="I800" s="6" t="n">
        <v>0</v>
      </c>
      <c r="J800" s="6" t="n">
        <v>596</v>
      </c>
      <c r="K800" s="6" t="s">
        <v>160</v>
      </c>
      <c r="L800" s="14" t="n">
        <v>29582.07</v>
      </c>
      <c r="M800" s="22" t="n">
        <v>1.274</v>
      </c>
      <c r="N800" s="14" t="n">
        <v>37687.56</v>
      </c>
      <c r="O800" s="14" t="n">
        <v>8105.49</v>
      </c>
      <c r="P800" s="21" t="n">
        <v>0.069</v>
      </c>
      <c r="Q800" s="6" t="n">
        <v>84</v>
      </c>
      <c r="R800" s="6" t="s">
        <v>155</v>
      </c>
      <c r="S800" s="21" t="n">
        <v>0.713</v>
      </c>
      <c r="T800" s="14" t="n">
        <v>26871.23</v>
      </c>
      <c r="U800" s="6" t="s">
        <v>48</v>
      </c>
    </row>
    <row r="801" customFormat="false" ht="15" hidden="false" customHeight="true" outlineLevel="0" collapsed="false">
      <c r="A801" s="6" t="s">
        <v>1795</v>
      </c>
      <c r="B801" s="6" t="s">
        <v>1796</v>
      </c>
      <c r="C801" s="6" t="s">
        <v>124</v>
      </c>
      <c r="D801" s="6" t="s">
        <v>180</v>
      </c>
      <c r="E801" s="6" t="s">
        <v>207</v>
      </c>
      <c r="F801" s="13" t="n">
        <v>44996</v>
      </c>
      <c r="G801" s="13" t="n">
        <v>45097</v>
      </c>
      <c r="H801" s="14" t="n">
        <v>236953.61</v>
      </c>
      <c r="I801" s="6" t="n">
        <v>0</v>
      </c>
      <c r="J801" s="6" t="n">
        <v>563</v>
      </c>
      <c r="K801" s="6" t="s">
        <v>160</v>
      </c>
      <c r="L801" s="14" t="n">
        <v>67738.78</v>
      </c>
      <c r="M801" s="22" t="n">
        <v>1.085</v>
      </c>
      <c r="N801" s="14" t="n">
        <v>73496.58</v>
      </c>
      <c r="O801" s="14" t="n">
        <v>5757.8</v>
      </c>
      <c r="P801" s="21" t="n">
        <v>0.092</v>
      </c>
      <c r="Q801" s="6" t="n">
        <v>101</v>
      </c>
      <c r="R801" s="6" t="s">
        <v>309</v>
      </c>
      <c r="S801" s="21" t="n">
        <v>0.42</v>
      </c>
      <c r="T801" s="14" t="n">
        <v>30868.56</v>
      </c>
      <c r="U801" s="6" t="s">
        <v>25</v>
      </c>
    </row>
    <row r="802" customFormat="false" ht="15" hidden="false" customHeight="true" outlineLevel="0" collapsed="false">
      <c r="A802" s="6" t="s">
        <v>1797</v>
      </c>
      <c r="B802" s="6" t="s">
        <v>1798</v>
      </c>
      <c r="C802" s="6" t="s">
        <v>128</v>
      </c>
      <c r="D802" s="6" t="s">
        <v>172</v>
      </c>
      <c r="E802" s="6" t="s">
        <v>159</v>
      </c>
      <c r="F802" s="13" t="n">
        <v>45033</v>
      </c>
      <c r="G802" s="13" t="n">
        <v>45172</v>
      </c>
      <c r="H802" s="14" t="n">
        <v>67598.14</v>
      </c>
      <c r="I802" s="6" t="n">
        <v>4</v>
      </c>
      <c r="J802" s="6" t="n">
        <v>574</v>
      </c>
      <c r="K802" s="6" t="s">
        <v>160</v>
      </c>
      <c r="L802" s="14" t="n">
        <v>14207.44</v>
      </c>
      <c r="M802" s="22" t="n">
        <v>1.263</v>
      </c>
      <c r="N802" s="14" t="n">
        <v>17944</v>
      </c>
      <c r="O802" s="14" t="n">
        <v>3736.56</v>
      </c>
      <c r="P802" s="21" t="n">
        <v>0.057</v>
      </c>
      <c r="Q802" s="6" t="n">
        <v>139</v>
      </c>
      <c r="R802" s="6" t="s">
        <v>161</v>
      </c>
      <c r="S802" s="21" t="n">
        <v>1</v>
      </c>
      <c r="T802" s="14" t="n">
        <v>17944</v>
      </c>
      <c r="U802" s="6" t="s">
        <v>26</v>
      </c>
    </row>
    <row r="803" customFormat="false" ht="15" hidden="false" customHeight="true" outlineLevel="0" collapsed="false">
      <c r="A803" s="6" t="s">
        <v>1799</v>
      </c>
      <c r="B803" s="6" t="s">
        <v>1800</v>
      </c>
      <c r="C803" s="6" t="s">
        <v>128</v>
      </c>
      <c r="D803" s="6" t="s">
        <v>235</v>
      </c>
      <c r="E803" s="6" t="s">
        <v>304</v>
      </c>
      <c r="F803" s="13" t="n">
        <v>44882</v>
      </c>
      <c r="G803" s="13" t="n">
        <v>44975</v>
      </c>
      <c r="H803" s="14" t="n">
        <v>74158.65</v>
      </c>
      <c r="I803" s="6" t="n">
        <v>0</v>
      </c>
      <c r="J803" s="6" t="n">
        <v>707</v>
      </c>
      <c r="K803" s="6" t="s">
        <v>160</v>
      </c>
      <c r="L803" s="14" t="n">
        <v>26753.59</v>
      </c>
      <c r="M803" s="22" t="n">
        <v>1.099</v>
      </c>
      <c r="N803" s="14" t="n">
        <v>29402.2</v>
      </c>
      <c r="O803" s="14" t="n">
        <v>2648.61</v>
      </c>
      <c r="P803" s="21" t="n">
        <v>0.127</v>
      </c>
      <c r="Q803" s="6" t="n">
        <v>93</v>
      </c>
      <c r="R803" s="6" t="s">
        <v>161</v>
      </c>
      <c r="S803" s="21" t="n">
        <v>1</v>
      </c>
      <c r="T803" s="14" t="n">
        <v>29402.2</v>
      </c>
      <c r="U803" s="6" t="s">
        <v>21</v>
      </c>
    </row>
    <row r="804" customFormat="false" ht="15" hidden="false" customHeight="true" outlineLevel="0" collapsed="false">
      <c r="A804" s="6" t="s">
        <v>1801</v>
      </c>
      <c r="B804" s="6" t="s">
        <v>1802</v>
      </c>
      <c r="C804" s="6" t="s">
        <v>120</v>
      </c>
      <c r="D804" s="6" t="s">
        <v>158</v>
      </c>
      <c r="E804" s="6" t="s">
        <v>173</v>
      </c>
      <c r="F804" s="13" t="n">
        <v>45365</v>
      </c>
      <c r="G804" s="13" t="n">
        <v>45540</v>
      </c>
      <c r="H804" s="14" t="n">
        <v>180534.05</v>
      </c>
      <c r="I804" s="6" t="n">
        <v>1</v>
      </c>
      <c r="J804" s="6" t="n">
        <v>607</v>
      </c>
      <c r="K804" s="6" t="s">
        <v>185</v>
      </c>
      <c r="L804" s="14" t="n">
        <v>57397.6</v>
      </c>
      <c r="M804" s="22" t="n">
        <v>1.214</v>
      </c>
      <c r="N804" s="14" t="n">
        <v>69680.69</v>
      </c>
      <c r="O804" s="14" t="n">
        <v>12283.09</v>
      </c>
      <c r="P804" s="21" t="n">
        <v>0.066</v>
      </c>
      <c r="Q804" s="6" t="n">
        <v>175</v>
      </c>
      <c r="R804" s="6" t="s">
        <v>161</v>
      </c>
      <c r="S804" s="21" t="n">
        <v>1</v>
      </c>
      <c r="T804" s="14" t="n">
        <v>69680.69</v>
      </c>
      <c r="U804" s="6" t="s">
        <v>37</v>
      </c>
    </row>
    <row r="805" customFormat="false" ht="15" hidden="false" customHeight="true" outlineLevel="0" collapsed="false">
      <c r="A805" s="6" t="s">
        <v>1803</v>
      </c>
      <c r="B805" s="6" t="s">
        <v>1804</v>
      </c>
      <c r="C805" s="6" t="s">
        <v>131</v>
      </c>
      <c r="D805" s="6" t="s">
        <v>200</v>
      </c>
      <c r="E805" s="6" t="s">
        <v>153</v>
      </c>
      <c r="F805" s="13" t="n">
        <v>46062</v>
      </c>
      <c r="G805" s="13" t="n">
        <v>46122</v>
      </c>
      <c r="H805" s="14" t="n">
        <v>228922.74</v>
      </c>
      <c r="I805" s="6" t="n">
        <v>1</v>
      </c>
      <c r="J805" s="6" t="n">
        <v>738</v>
      </c>
      <c r="K805" s="6" t="s">
        <v>154</v>
      </c>
      <c r="L805" s="14" t="n">
        <v>21436.03</v>
      </c>
      <c r="M805" s="22" t="n">
        <v>1.157</v>
      </c>
      <c r="N805" s="14" t="n">
        <v>24801.49</v>
      </c>
      <c r="O805" s="14" t="n">
        <v>3365.46</v>
      </c>
      <c r="P805" s="21" t="n">
        <v>0.148</v>
      </c>
      <c r="Q805" s="6" t="n">
        <v>60</v>
      </c>
      <c r="R805" s="6" t="s">
        <v>155</v>
      </c>
      <c r="S805" s="21" t="n">
        <v>0.718</v>
      </c>
      <c r="T805" s="14" t="n">
        <v>17807.47</v>
      </c>
      <c r="U805" s="6" t="s">
        <v>60</v>
      </c>
    </row>
    <row r="806" customFormat="false" ht="15" hidden="false" customHeight="true" outlineLevel="0" collapsed="false">
      <c r="A806" s="6" t="s">
        <v>1805</v>
      </c>
      <c r="B806" s="6" t="s">
        <v>1806</v>
      </c>
      <c r="C806" s="6" t="s">
        <v>124</v>
      </c>
      <c r="D806" s="6" t="s">
        <v>180</v>
      </c>
      <c r="E806" s="6" t="s">
        <v>219</v>
      </c>
      <c r="F806" s="13" t="n">
        <v>45381</v>
      </c>
      <c r="G806" s="13" t="n">
        <v>45543</v>
      </c>
      <c r="H806" s="14" t="n">
        <v>135641.02</v>
      </c>
      <c r="I806" s="6" t="n">
        <v>2</v>
      </c>
      <c r="J806" s="6" t="n">
        <v>798</v>
      </c>
      <c r="K806" s="6" t="s">
        <v>154</v>
      </c>
      <c r="L806" s="14" t="n">
        <v>58522.37</v>
      </c>
      <c r="M806" s="22" t="n">
        <v>1.258</v>
      </c>
      <c r="N806" s="14" t="n">
        <v>73621.14</v>
      </c>
      <c r="O806" s="14" t="n">
        <v>15098.77</v>
      </c>
      <c r="P806" s="21" t="n">
        <v>0.1</v>
      </c>
      <c r="Q806" s="6" t="n">
        <v>162</v>
      </c>
      <c r="R806" s="6" t="s">
        <v>309</v>
      </c>
      <c r="S806" s="21" t="n">
        <v>0.345</v>
      </c>
      <c r="T806" s="14" t="n">
        <v>25399.29</v>
      </c>
      <c r="U806" s="6" t="s">
        <v>37</v>
      </c>
    </row>
    <row r="807" customFormat="false" ht="15" hidden="false" customHeight="true" outlineLevel="0" collapsed="false">
      <c r="A807" s="6" t="s">
        <v>1807</v>
      </c>
      <c r="B807" s="6" t="s">
        <v>1808</v>
      </c>
      <c r="C807" s="6" t="s">
        <v>116</v>
      </c>
      <c r="D807" s="6" t="s">
        <v>206</v>
      </c>
      <c r="E807" s="6" t="s">
        <v>299</v>
      </c>
      <c r="F807" s="13" t="n">
        <v>45654</v>
      </c>
      <c r="G807" s="13" t="n">
        <v>45856</v>
      </c>
      <c r="H807" s="14" t="n">
        <v>118860.54</v>
      </c>
      <c r="I807" s="6" t="n">
        <v>1</v>
      </c>
      <c r="J807" s="6" t="n">
        <v>590</v>
      </c>
      <c r="K807" s="6" t="s">
        <v>185</v>
      </c>
      <c r="L807" s="14" t="n">
        <v>34113.95</v>
      </c>
      <c r="M807" s="22" t="n">
        <v>1.272</v>
      </c>
      <c r="N807" s="14" t="n">
        <v>43392.94</v>
      </c>
      <c r="O807" s="14" t="n">
        <v>9278.99</v>
      </c>
      <c r="P807" s="21" t="n">
        <v>0.054</v>
      </c>
      <c r="Q807" s="6" t="n">
        <v>202</v>
      </c>
      <c r="R807" s="6" t="s">
        <v>155</v>
      </c>
      <c r="S807" s="21" t="n">
        <v>0.969</v>
      </c>
      <c r="T807" s="14" t="n">
        <v>42047.76</v>
      </c>
      <c r="U807" s="6" t="s">
        <v>46</v>
      </c>
    </row>
    <row r="808" customFormat="false" ht="15" hidden="false" customHeight="true" outlineLevel="0" collapsed="false">
      <c r="A808" s="6" t="s">
        <v>1809</v>
      </c>
      <c r="B808" s="6" t="s">
        <v>1810</v>
      </c>
      <c r="C808" s="6" t="s">
        <v>128</v>
      </c>
      <c r="D808" s="6" t="s">
        <v>172</v>
      </c>
      <c r="E808" s="6" t="s">
        <v>181</v>
      </c>
      <c r="F808" s="13" t="n">
        <v>45329</v>
      </c>
      <c r="G808" s="13" t="n">
        <v>45389</v>
      </c>
      <c r="H808" s="14" t="n">
        <v>34070.95</v>
      </c>
      <c r="I808" s="6" t="n">
        <v>0</v>
      </c>
      <c r="J808" s="6" t="n">
        <v>654</v>
      </c>
      <c r="K808" s="6" t="s">
        <v>160</v>
      </c>
      <c r="L808" s="14" t="n">
        <v>2479.26</v>
      </c>
      <c r="M808" s="22" t="n">
        <v>1.151</v>
      </c>
      <c r="N808" s="14" t="n">
        <v>2853.63</v>
      </c>
      <c r="O808" s="14" t="n">
        <v>374.37</v>
      </c>
      <c r="P808" s="21" t="n">
        <v>0.057</v>
      </c>
      <c r="Q808" s="6" t="n">
        <v>60</v>
      </c>
      <c r="R808" s="6" t="s">
        <v>232</v>
      </c>
      <c r="S808" s="21" t="n">
        <v>1</v>
      </c>
      <c r="T808" s="14" t="n">
        <v>2853.63</v>
      </c>
      <c r="U808" s="6" t="s">
        <v>36</v>
      </c>
    </row>
    <row r="809" customFormat="false" ht="15" hidden="false" customHeight="true" outlineLevel="0" collapsed="false">
      <c r="A809" s="6" t="s">
        <v>1811</v>
      </c>
      <c r="B809" s="6" t="s">
        <v>1812</v>
      </c>
      <c r="C809" s="6" t="s">
        <v>128</v>
      </c>
      <c r="D809" s="6" t="s">
        <v>172</v>
      </c>
      <c r="E809" s="6" t="s">
        <v>189</v>
      </c>
      <c r="F809" s="13" t="n">
        <v>46142</v>
      </c>
      <c r="G809" s="13" t="n">
        <v>46226</v>
      </c>
      <c r="H809" s="14" t="n">
        <v>212885.89</v>
      </c>
      <c r="I809" s="6" t="n">
        <v>1</v>
      </c>
      <c r="J809" s="6" t="n">
        <v>647</v>
      </c>
      <c r="K809" s="6" t="s">
        <v>185</v>
      </c>
      <c r="L809" s="14" t="n">
        <v>26389.87</v>
      </c>
      <c r="M809" s="22" t="n">
        <v>1.186</v>
      </c>
      <c r="N809" s="14" t="n">
        <v>31298.39</v>
      </c>
      <c r="O809" s="14" t="n">
        <v>4908.52</v>
      </c>
      <c r="P809" s="21" t="n">
        <v>0.052</v>
      </c>
      <c r="Q809" s="6" t="n">
        <v>84</v>
      </c>
      <c r="R809" s="6" t="s">
        <v>161</v>
      </c>
      <c r="S809" s="21" t="n">
        <v>1</v>
      </c>
      <c r="T809" s="14" t="n">
        <v>31298.39</v>
      </c>
      <c r="U809" s="6" t="s">
        <v>62</v>
      </c>
    </row>
    <row r="810" customFormat="false" ht="15" hidden="false" customHeight="true" outlineLevel="0" collapsed="false">
      <c r="A810" s="6" t="s">
        <v>1813</v>
      </c>
      <c r="B810" s="6" t="s">
        <v>1814</v>
      </c>
      <c r="C810" s="6" t="s">
        <v>124</v>
      </c>
      <c r="D810" s="6" t="s">
        <v>168</v>
      </c>
      <c r="E810" s="6" t="s">
        <v>254</v>
      </c>
      <c r="F810" s="13" t="n">
        <v>45488</v>
      </c>
      <c r="G810" s="13" t="n">
        <v>45595</v>
      </c>
      <c r="H810" s="14" t="n">
        <v>131900.29</v>
      </c>
      <c r="I810" s="6" t="n">
        <v>1</v>
      </c>
      <c r="J810" s="6" t="n">
        <v>562</v>
      </c>
      <c r="K810" s="6" t="s">
        <v>154</v>
      </c>
      <c r="L810" s="14" t="n">
        <v>39595.17</v>
      </c>
      <c r="M810" s="22" t="n">
        <v>1.122</v>
      </c>
      <c r="N810" s="14" t="n">
        <v>44425.78</v>
      </c>
      <c r="O810" s="14" t="n">
        <v>4830.61</v>
      </c>
      <c r="P810" s="21" t="n">
        <v>0.094</v>
      </c>
      <c r="Q810" s="6" t="n">
        <v>107</v>
      </c>
      <c r="R810" s="6" t="s">
        <v>309</v>
      </c>
      <c r="S810" s="21" t="n">
        <v>0.398</v>
      </c>
      <c r="T810" s="14" t="n">
        <v>17681.46</v>
      </c>
      <c r="U810" s="6" t="s">
        <v>41</v>
      </c>
    </row>
    <row r="811" customFormat="false" ht="15" hidden="false" customHeight="true" outlineLevel="0" collapsed="false">
      <c r="A811" s="6" t="s">
        <v>1815</v>
      </c>
      <c r="B811" s="6" t="s">
        <v>1816</v>
      </c>
      <c r="C811" s="6" t="s">
        <v>112</v>
      </c>
      <c r="D811" s="6" t="s">
        <v>225</v>
      </c>
      <c r="E811" s="6" t="s">
        <v>177</v>
      </c>
      <c r="F811" s="13" t="n">
        <v>46143</v>
      </c>
      <c r="G811" s="13" t="n">
        <v>46216</v>
      </c>
      <c r="H811" s="14" t="n">
        <v>27072.63</v>
      </c>
      <c r="I811" s="6" t="n">
        <v>1</v>
      </c>
      <c r="J811" s="6" t="n">
        <v>680</v>
      </c>
      <c r="K811" s="6" t="s">
        <v>154</v>
      </c>
      <c r="L811" s="14" t="n">
        <v>7150.65</v>
      </c>
      <c r="M811" s="22" t="n">
        <v>1.219</v>
      </c>
      <c r="N811" s="14" t="n">
        <v>8716.64</v>
      </c>
      <c r="O811" s="14" t="n">
        <v>1565.99</v>
      </c>
      <c r="P811" s="21" t="n">
        <v>0.132</v>
      </c>
      <c r="Q811" s="6" t="n">
        <v>73</v>
      </c>
      <c r="R811" s="6" t="s">
        <v>155</v>
      </c>
      <c r="S811" s="21" t="n">
        <v>0.98</v>
      </c>
      <c r="T811" s="14" t="n">
        <v>8542.31</v>
      </c>
      <c r="U811" s="6" t="s">
        <v>63</v>
      </c>
    </row>
    <row r="812" customFormat="false" ht="15" hidden="false" customHeight="true" outlineLevel="0" collapsed="false">
      <c r="A812" s="6" t="s">
        <v>1817</v>
      </c>
      <c r="B812" s="6" t="s">
        <v>1818</v>
      </c>
      <c r="C812" s="6" t="s">
        <v>120</v>
      </c>
      <c r="D812" s="6" t="s">
        <v>263</v>
      </c>
      <c r="E812" s="6" t="s">
        <v>192</v>
      </c>
      <c r="F812" s="13" t="n">
        <v>44953</v>
      </c>
      <c r="G812" s="13" t="n">
        <v>45013</v>
      </c>
      <c r="H812" s="14" t="n">
        <v>81309.3</v>
      </c>
      <c r="I812" s="6" t="n">
        <v>0</v>
      </c>
      <c r="J812" s="6" t="n">
        <v>551</v>
      </c>
      <c r="K812" s="6" t="s">
        <v>160</v>
      </c>
      <c r="L812" s="14" t="n">
        <v>19664.17</v>
      </c>
      <c r="M812" s="22" t="n">
        <v>1.225</v>
      </c>
      <c r="N812" s="14" t="n">
        <v>24088.61</v>
      </c>
      <c r="O812" s="14" t="n">
        <v>4424.44</v>
      </c>
      <c r="P812" s="21" t="n">
        <v>0.159</v>
      </c>
      <c r="Q812" s="6" t="n">
        <v>60</v>
      </c>
      <c r="R812" s="6" t="s">
        <v>161</v>
      </c>
      <c r="S812" s="21" t="n">
        <v>1</v>
      </c>
      <c r="T812" s="14" t="n">
        <v>24088.61</v>
      </c>
      <c r="U812" s="6" t="s">
        <v>23</v>
      </c>
    </row>
    <row r="813" customFormat="false" ht="15" hidden="false" customHeight="true" outlineLevel="0" collapsed="false">
      <c r="A813" s="6" t="s">
        <v>1819</v>
      </c>
      <c r="B813" s="6" t="s">
        <v>1820</v>
      </c>
      <c r="C813" s="6" t="s">
        <v>116</v>
      </c>
      <c r="D813" s="6" t="s">
        <v>222</v>
      </c>
      <c r="E813" s="6" t="s">
        <v>165</v>
      </c>
      <c r="F813" s="13" t="n">
        <v>44736</v>
      </c>
      <c r="G813" s="13" t="n">
        <v>44908</v>
      </c>
      <c r="H813" s="14" t="n">
        <v>160774.22</v>
      </c>
      <c r="I813" s="6" t="n">
        <v>3</v>
      </c>
      <c r="J813" s="6" t="n">
        <v>794</v>
      </c>
      <c r="K813" s="6" t="s">
        <v>154</v>
      </c>
      <c r="L813" s="14" t="n">
        <v>38075.89</v>
      </c>
      <c r="M813" s="22" t="n">
        <v>1.235</v>
      </c>
      <c r="N813" s="14" t="n">
        <v>47023.72</v>
      </c>
      <c r="O813" s="14" t="n">
        <v>8947.83</v>
      </c>
      <c r="P813" s="21" t="n">
        <v>0.051</v>
      </c>
      <c r="Q813" s="6" t="n">
        <v>172</v>
      </c>
      <c r="R813" s="6" t="s">
        <v>155</v>
      </c>
      <c r="S813" s="21" t="n">
        <v>0.859</v>
      </c>
      <c r="T813" s="14" t="n">
        <v>40393.38</v>
      </c>
      <c r="U813" s="6" t="s">
        <v>16</v>
      </c>
    </row>
    <row r="814" customFormat="false" ht="15" hidden="false" customHeight="true" outlineLevel="0" collapsed="false">
      <c r="A814" s="6" t="s">
        <v>1821</v>
      </c>
      <c r="B814" s="6" t="s">
        <v>1822</v>
      </c>
      <c r="C814" s="6" t="s">
        <v>124</v>
      </c>
      <c r="D814" s="6" t="s">
        <v>168</v>
      </c>
      <c r="E814" s="6" t="s">
        <v>195</v>
      </c>
      <c r="F814" s="13" t="n">
        <v>46124</v>
      </c>
      <c r="G814" s="13" t="n">
        <v>46184</v>
      </c>
      <c r="H814" s="14" t="n">
        <v>79610.75</v>
      </c>
      <c r="I814" s="6" t="n">
        <v>3</v>
      </c>
      <c r="J814" s="6" t="n">
        <v>647</v>
      </c>
      <c r="K814" s="6" t="s">
        <v>160</v>
      </c>
      <c r="L814" s="14" t="n">
        <v>7373.74</v>
      </c>
      <c r="M814" s="22" t="n">
        <v>1.151</v>
      </c>
      <c r="N814" s="14" t="n">
        <v>8487.17</v>
      </c>
      <c r="O814" s="14" t="n">
        <v>1113.43</v>
      </c>
      <c r="P814" s="21" t="n">
        <v>0.155</v>
      </c>
      <c r="Q814" s="6" t="n">
        <v>60</v>
      </c>
      <c r="R814" s="6" t="s">
        <v>155</v>
      </c>
      <c r="S814" s="21" t="n">
        <v>0.795</v>
      </c>
      <c r="T814" s="14" t="n">
        <v>6747.3</v>
      </c>
      <c r="U814" s="6" t="s">
        <v>62</v>
      </c>
    </row>
    <row r="815" customFormat="false" ht="15" hidden="false" customHeight="true" outlineLevel="0" collapsed="false">
      <c r="A815" s="6" t="s">
        <v>1823</v>
      </c>
      <c r="B815" s="6" t="s">
        <v>1824</v>
      </c>
      <c r="C815" s="6" t="s">
        <v>128</v>
      </c>
      <c r="D815" s="6" t="s">
        <v>235</v>
      </c>
      <c r="E815" s="6" t="s">
        <v>153</v>
      </c>
      <c r="F815" s="13" t="n">
        <v>45852</v>
      </c>
      <c r="G815" s="13" t="n">
        <v>46017</v>
      </c>
      <c r="H815" s="14" t="n">
        <v>154233</v>
      </c>
      <c r="I815" s="6" t="n">
        <v>0</v>
      </c>
      <c r="J815" s="6" t="n">
        <v>695</v>
      </c>
      <c r="K815" s="6" t="s">
        <v>160</v>
      </c>
      <c r="L815" s="14" t="n">
        <v>42458.4</v>
      </c>
      <c r="M815" s="22" t="n">
        <v>1.246</v>
      </c>
      <c r="N815" s="14" t="n">
        <v>52903.17</v>
      </c>
      <c r="O815" s="14" t="n">
        <v>10444.77</v>
      </c>
      <c r="P815" s="21" t="n">
        <v>0.062</v>
      </c>
      <c r="Q815" s="6" t="n">
        <v>165</v>
      </c>
      <c r="R815" s="6" t="s">
        <v>161</v>
      </c>
      <c r="S815" s="21" t="n">
        <v>1</v>
      </c>
      <c r="T815" s="14" t="n">
        <v>52903.17</v>
      </c>
      <c r="U815" s="6" t="s">
        <v>53</v>
      </c>
    </row>
    <row r="816" customFormat="false" ht="15" hidden="false" customHeight="true" outlineLevel="0" collapsed="false">
      <c r="A816" s="6" t="s">
        <v>1825</v>
      </c>
      <c r="B816" s="6" t="s">
        <v>1826</v>
      </c>
      <c r="C816" s="6" t="s">
        <v>131</v>
      </c>
      <c r="D816" s="6" t="s">
        <v>176</v>
      </c>
      <c r="E816" s="6" t="s">
        <v>189</v>
      </c>
      <c r="F816" s="13" t="n">
        <v>44613</v>
      </c>
      <c r="G816" s="13" t="n">
        <v>44678</v>
      </c>
      <c r="H816" s="14" t="n">
        <v>205546.68</v>
      </c>
      <c r="I816" s="6" t="n">
        <v>1</v>
      </c>
      <c r="J816" s="6" t="n">
        <v>663</v>
      </c>
      <c r="K816" s="6" t="s">
        <v>154</v>
      </c>
      <c r="L816" s="14" t="n">
        <v>60546.07</v>
      </c>
      <c r="M816" s="22" t="n">
        <v>1.147</v>
      </c>
      <c r="N816" s="14" t="n">
        <v>69446.34</v>
      </c>
      <c r="O816" s="14" t="n">
        <v>8900.27</v>
      </c>
      <c r="P816" s="21" t="n">
        <v>0.155</v>
      </c>
      <c r="Q816" s="6" t="n">
        <v>65</v>
      </c>
      <c r="R816" s="6" t="s">
        <v>490</v>
      </c>
      <c r="S816" s="21" t="n">
        <v>0.707</v>
      </c>
      <c r="T816" s="14" t="n">
        <v>49098.56</v>
      </c>
      <c r="U816" s="6" t="s">
        <v>12</v>
      </c>
    </row>
    <row r="817" customFormat="false" ht="15" hidden="false" customHeight="true" outlineLevel="0" collapsed="false">
      <c r="A817" s="6" t="s">
        <v>1827</v>
      </c>
      <c r="B817" s="6" t="s">
        <v>1828</v>
      </c>
      <c r="C817" s="6" t="s">
        <v>124</v>
      </c>
      <c r="D817" s="6" t="s">
        <v>243</v>
      </c>
      <c r="E817" s="6" t="s">
        <v>189</v>
      </c>
      <c r="F817" s="13" t="n">
        <v>45163</v>
      </c>
      <c r="G817" s="13" t="n">
        <v>45223</v>
      </c>
      <c r="H817" s="14" t="n">
        <v>178243.2</v>
      </c>
      <c r="I817" s="6" t="n">
        <v>1</v>
      </c>
      <c r="J817" s="6" t="n">
        <v>517</v>
      </c>
      <c r="K817" s="6" t="s">
        <v>154</v>
      </c>
      <c r="L817" s="14" t="n">
        <v>22569.06</v>
      </c>
      <c r="M817" s="22" t="n">
        <v>1.329</v>
      </c>
      <c r="N817" s="14" t="n">
        <v>29994.28</v>
      </c>
      <c r="O817" s="14" t="n">
        <v>7425.22</v>
      </c>
      <c r="P817" s="21" t="n">
        <v>0.085</v>
      </c>
      <c r="Q817" s="6" t="n">
        <v>60</v>
      </c>
      <c r="R817" s="6" t="s">
        <v>155</v>
      </c>
      <c r="S817" s="21" t="n">
        <v>0.98</v>
      </c>
      <c r="T817" s="14" t="n">
        <v>29394.39</v>
      </c>
      <c r="U817" s="6" t="s">
        <v>30</v>
      </c>
    </row>
    <row r="818" customFormat="false" ht="15" hidden="false" customHeight="true" outlineLevel="0" collapsed="false">
      <c r="A818" s="6" t="s">
        <v>1829</v>
      </c>
      <c r="B818" s="6" t="s">
        <v>1830</v>
      </c>
      <c r="C818" s="6" t="s">
        <v>131</v>
      </c>
      <c r="D818" s="6" t="s">
        <v>152</v>
      </c>
      <c r="E818" s="6" t="s">
        <v>299</v>
      </c>
      <c r="F818" s="13" t="n">
        <v>45845</v>
      </c>
      <c r="G818" s="13" t="n">
        <v>45952</v>
      </c>
      <c r="H818" s="14" t="n">
        <v>183908.04</v>
      </c>
      <c r="I818" s="6" t="n">
        <v>1</v>
      </c>
      <c r="J818" s="6" t="n">
        <v>790</v>
      </c>
      <c r="K818" s="6" t="s">
        <v>154</v>
      </c>
      <c r="L818" s="14" t="n">
        <v>38796.72</v>
      </c>
      <c r="M818" s="22" t="n">
        <v>1.238</v>
      </c>
      <c r="N818" s="14" t="n">
        <v>48030.34</v>
      </c>
      <c r="O818" s="14" t="n">
        <v>9233.62</v>
      </c>
      <c r="P818" s="21" t="n">
        <v>0.073</v>
      </c>
      <c r="Q818" s="6" t="n">
        <v>107</v>
      </c>
      <c r="R818" s="6" t="s">
        <v>161</v>
      </c>
      <c r="S818" s="21" t="n">
        <v>1</v>
      </c>
      <c r="T818" s="14" t="n">
        <v>48030.34</v>
      </c>
      <c r="U818" s="6" t="s">
        <v>53</v>
      </c>
    </row>
    <row r="819" customFormat="false" ht="15" hidden="false" customHeight="true" outlineLevel="0" collapsed="false">
      <c r="A819" s="6" t="s">
        <v>1831</v>
      </c>
      <c r="B819" s="6" t="s">
        <v>1832</v>
      </c>
      <c r="C819" s="6" t="s">
        <v>128</v>
      </c>
      <c r="D819" s="6" t="s">
        <v>235</v>
      </c>
      <c r="E819" s="6" t="s">
        <v>201</v>
      </c>
      <c r="F819" s="13" t="n">
        <v>45998</v>
      </c>
      <c r="G819" s="13" t="n">
        <v>46158</v>
      </c>
      <c r="H819" s="14" t="n">
        <v>242679.23</v>
      </c>
      <c r="I819" s="6" t="n">
        <v>0</v>
      </c>
      <c r="J819" s="6" t="n">
        <v>699</v>
      </c>
      <c r="K819" s="6" t="s">
        <v>185</v>
      </c>
      <c r="L819" s="14" t="n">
        <v>67066.57</v>
      </c>
      <c r="M819" s="22" t="n">
        <v>1.202</v>
      </c>
      <c r="N819" s="14" t="n">
        <v>80614.02</v>
      </c>
      <c r="O819" s="14" t="n">
        <v>13547.45</v>
      </c>
      <c r="P819" s="21" t="n">
        <v>0.062</v>
      </c>
      <c r="Q819" s="6" t="n">
        <v>160</v>
      </c>
      <c r="R819" s="6" t="s">
        <v>155</v>
      </c>
      <c r="S819" s="21" t="n">
        <v>0.98</v>
      </c>
      <c r="T819" s="14" t="n">
        <v>79001.74</v>
      </c>
      <c r="U819" s="6" t="s">
        <v>58</v>
      </c>
    </row>
    <row r="820" customFormat="false" ht="15" hidden="false" customHeight="true" outlineLevel="0" collapsed="false">
      <c r="A820" s="6" t="s">
        <v>1833</v>
      </c>
      <c r="B820" s="6" t="s">
        <v>1834</v>
      </c>
      <c r="C820" s="6" t="s">
        <v>131</v>
      </c>
      <c r="D820" s="6" t="s">
        <v>176</v>
      </c>
      <c r="E820" s="6" t="s">
        <v>165</v>
      </c>
      <c r="F820" s="13" t="n">
        <v>44610</v>
      </c>
      <c r="G820" s="13" t="n">
        <v>44750</v>
      </c>
      <c r="H820" s="14" t="n">
        <v>104202.93</v>
      </c>
      <c r="I820" s="6" t="n">
        <v>2</v>
      </c>
      <c r="J820" s="6" t="n">
        <v>809</v>
      </c>
      <c r="K820" s="6" t="s">
        <v>160</v>
      </c>
      <c r="L820" s="14" t="n">
        <v>21280.79</v>
      </c>
      <c r="M820" s="22" t="n">
        <v>1.31</v>
      </c>
      <c r="N820" s="14" t="n">
        <v>27877.83</v>
      </c>
      <c r="O820" s="14" t="n">
        <v>6597.04</v>
      </c>
      <c r="P820" s="21" t="n">
        <v>0.057</v>
      </c>
      <c r="Q820" s="6" t="n">
        <v>140</v>
      </c>
      <c r="R820" s="6" t="s">
        <v>161</v>
      </c>
      <c r="S820" s="21" t="n">
        <v>1</v>
      </c>
      <c r="T820" s="14" t="n">
        <v>27877.83</v>
      </c>
      <c r="U820" s="6" t="s">
        <v>12</v>
      </c>
    </row>
    <row r="821" customFormat="false" ht="15" hidden="false" customHeight="true" outlineLevel="0" collapsed="false">
      <c r="A821" s="6" t="s">
        <v>1835</v>
      </c>
      <c r="B821" s="6" t="s">
        <v>1836</v>
      </c>
      <c r="C821" s="6" t="s">
        <v>116</v>
      </c>
      <c r="D821" s="6" t="s">
        <v>206</v>
      </c>
      <c r="E821" s="6" t="s">
        <v>299</v>
      </c>
      <c r="F821" s="13" t="n">
        <v>45710</v>
      </c>
      <c r="G821" s="13" t="n">
        <v>45812</v>
      </c>
      <c r="H821" s="14" t="n">
        <v>136467.1</v>
      </c>
      <c r="I821" s="6" t="n">
        <v>0</v>
      </c>
      <c r="J821" s="6" t="n">
        <v>811</v>
      </c>
      <c r="K821" s="6" t="s">
        <v>154</v>
      </c>
      <c r="L821" s="14" t="n">
        <v>50038.61</v>
      </c>
      <c r="M821" s="22" t="n">
        <v>1.32</v>
      </c>
      <c r="N821" s="14" t="n">
        <v>66050.97</v>
      </c>
      <c r="O821" s="14" t="n">
        <v>16012.36</v>
      </c>
      <c r="P821" s="21" t="n">
        <v>0.142</v>
      </c>
      <c r="Q821" s="6" t="n">
        <v>102</v>
      </c>
      <c r="R821" s="6" t="s">
        <v>155</v>
      </c>
      <c r="S821" s="21" t="n">
        <v>0.867</v>
      </c>
      <c r="T821" s="14" t="n">
        <v>57266.19</v>
      </c>
      <c r="U821" s="6" t="s">
        <v>48</v>
      </c>
    </row>
    <row r="822" customFormat="false" ht="15" hidden="false" customHeight="true" outlineLevel="0" collapsed="false">
      <c r="A822" s="6" t="s">
        <v>1837</v>
      </c>
      <c r="B822" s="6" t="s">
        <v>1838</v>
      </c>
      <c r="C822" s="6" t="s">
        <v>120</v>
      </c>
      <c r="D822" s="6" t="s">
        <v>158</v>
      </c>
      <c r="E822" s="6" t="s">
        <v>211</v>
      </c>
      <c r="F822" s="13" t="n">
        <v>45975</v>
      </c>
      <c r="G822" s="13" t="n">
        <v>46041</v>
      </c>
      <c r="H822" s="14" t="n">
        <v>101026.37</v>
      </c>
      <c r="I822" s="6" t="n">
        <v>1</v>
      </c>
      <c r="J822" s="6" t="n">
        <v>701</v>
      </c>
      <c r="K822" s="6" t="s">
        <v>160</v>
      </c>
      <c r="L822" s="14" t="n">
        <v>27884.74</v>
      </c>
      <c r="M822" s="22" t="n">
        <v>1.192</v>
      </c>
      <c r="N822" s="14" t="n">
        <v>33238.61</v>
      </c>
      <c r="O822" s="14" t="n">
        <v>5353.87</v>
      </c>
      <c r="P822" s="21" t="n">
        <v>0.149</v>
      </c>
      <c r="Q822" s="6" t="n">
        <v>66</v>
      </c>
      <c r="R822" s="6" t="s">
        <v>161</v>
      </c>
      <c r="S822" s="21" t="n">
        <v>1</v>
      </c>
      <c r="T822" s="14" t="n">
        <v>33238.61</v>
      </c>
      <c r="U822" s="6" t="s">
        <v>57</v>
      </c>
    </row>
    <row r="823" customFormat="false" ht="15" hidden="false" customHeight="true" outlineLevel="0" collapsed="false">
      <c r="A823" s="6" t="s">
        <v>1839</v>
      </c>
      <c r="B823" s="6" t="s">
        <v>1840</v>
      </c>
      <c r="C823" s="6" t="s">
        <v>116</v>
      </c>
      <c r="D823" s="6" t="s">
        <v>206</v>
      </c>
      <c r="E823" s="6" t="s">
        <v>288</v>
      </c>
      <c r="F823" s="13" t="n">
        <v>44770</v>
      </c>
      <c r="G823" s="13" t="n">
        <v>44899</v>
      </c>
      <c r="H823" s="14" t="n">
        <v>244557.62</v>
      </c>
      <c r="I823" s="6" t="n">
        <v>0</v>
      </c>
      <c r="J823" s="6" t="n">
        <v>788</v>
      </c>
      <c r="K823" s="6" t="s">
        <v>160</v>
      </c>
      <c r="L823" s="14" t="n">
        <v>97118.59</v>
      </c>
      <c r="M823" s="22" t="n">
        <v>1.189</v>
      </c>
      <c r="N823" s="14" t="n">
        <v>115474</v>
      </c>
      <c r="O823" s="14" t="n">
        <v>18355.41</v>
      </c>
      <c r="P823" s="21" t="n">
        <v>0.109</v>
      </c>
      <c r="Q823" s="6" t="n">
        <v>129</v>
      </c>
      <c r="R823" s="6" t="s">
        <v>155</v>
      </c>
      <c r="S823" s="21" t="n">
        <v>0.98</v>
      </c>
      <c r="T823" s="14" t="n">
        <v>113164.52</v>
      </c>
      <c r="U823" s="6" t="s">
        <v>17</v>
      </c>
    </row>
    <row r="824" customFormat="false" ht="15" hidden="false" customHeight="true" outlineLevel="0" collapsed="false">
      <c r="A824" s="6" t="s">
        <v>1841</v>
      </c>
      <c r="B824" s="6" t="s">
        <v>1842</v>
      </c>
      <c r="C824" s="6" t="s">
        <v>131</v>
      </c>
      <c r="D824" s="6" t="s">
        <v>176</v>
      </c>
      <c r="E824" s="6" t="s">
        <v>304</v>
      </c>
      <c r="F824" s="13" t="n">
        <v>45291</v>
      </c>
      <c r="G824" s="13" t="n">
        <v>45529</v>
      </c>
      <c r="H824" s="14" t="n">
        <v>194563.47</v>
      </c>
      <c r="I824" s="6" t="n">
        <v>4</v>
      </c>
      <c r="J824" s="6" t="n">
        <v>724</v>
      </c>
      <c r="K824" s="6" t="s">
        <v>160</v>
      </c>
      <c r="L824" s="14" t="n">
        <v>66234.02</v>
      </c>
      <c r="M824" s="22" t="n">
        <v>1.331</v>
      </c>
      <c r="N824" s="14" t="n">
        <v>88157.48</v>
      </c>
      <c r="O824" s="14" t="n">
        <v>21923.46</v>
      </c>
      <c r="P824" s="21" t="n">
        <v>0.057</v>
      </c>
      <c r="Q824" s="6" t="n">
        <v>238</v>
      </c>
      <c r="R824" s="6" t="s">
        <v>161</v>
      </c>
      <c r="S824" s="21" t="n">
        <v>1</v>
      </c>
      <c r="T824" s="14" t="n">
        <v>88157.48</v>
      </c>
      <c r="U824" s="6" t="s">
        <v>34</v>
      </c>
    </row>
    <row r="825" customFormat="false" ht="15" hidden="false" customHeight="true" outlineLevel="0" collapsed="false">
      <c r="A825" s="6" t="s">
        <v>1843</v>
      </c>
      <c r="B825" s="6" t="s">
        <v>1844</v>
      </c>
      <c r="C825" s="6" t="s">
        <v>124</v>
      </c>
      <c r="D825" s="6" t="s">
        <v>238</v>
      </c>
      <c r="E825" s="6" t="s">
        <v>304</v>
      </c>
      <c r="F825" s="13" t="n">
        <v>45019</v>
      </c>
      <c r="G825" s="13" t="n">
        <v>45137</v>
      </c>
      <c r="H825" s="14" t="n">
        <v>187833.93</v>
      </c>
      <c r="I825" s="6" t="n">
        <v>1</v>
      </c>
      <c r="J825" s="6" t="n">
        <v>547</v>
      </c>
      <c r="K825" s="6" t="s">
        <v>160</v>
      </c>
      <c r="L825" s="14" t="n">
        <v>70145.44</v>
      </c>
      <c r="M825" s="22" t="n">
        <v>1.231</v>
      </c>
      <c r="N825" s="14" t="n">
        <v>86349.04</v>
      </c>
      <c r="O825" s="14" t="n">
        <v>16203.6</v>
      </c>
      <c r="P825" s="21" t="n">
        <v>0.116</v>
      </c>
      <c r="Q825" s="6" t="n">
        <v>118</v>
      </c>
      <c r="R825" s="6" t="s">
        <v>232</v>
      </c>
      <c r="S825" s="21" t="n">
        <v>1</v>
      </c>
      <c r="T825" s="14" t="n">
        <v>86349.04</v>
      </c>
      <c r="U825" s="6" t="s">
        <v>26</v>
      </c>
    </row>
    <row r="826" customFormat="false" ht="15" hidden="false" customHeight="true" outlineLevel="0" collapsed="false">
      <c r="A826" s="6" t="s">
        <v>1845</v>
      </c>
      <c r="B826" s="6" t="s">
        <v>1846</v>
      </c>
      <c r="C826" s="6" t="s">
        <v>116</v>
      </c>
      <c r="D826" s="6" t="s">
        <v>206</v>
      </c>
      <c r="E826" s="6" t="s">
        <v>165</v>
      </c>
      <c r="F826" s="13" t="n">
        <v>45306</v>
      </c>
      <c r="G826" s="13" t="n">
        <v>45417</v>
      </c>
      <c r="H826" s="14" t="n">
        <v>86951.81</v>
      </c>
      <c r="I826" s="6" t="n">
        <v>0</v>
      </c>
      <c r="J826" s="6" t="n">
        <v>734</v>
      </c>
      <c r="K826" s="6" t="s">
        <v>160</v>
      </c>
      <c r="L826" s="14" t="n">
        <v>13179.61</v>
      </c>
      <c r="M826" s="22" t="n">
        <v>1.272</v>
      </c>
      <c r="N826" s="14" t="n">
        <v>16764.46</v>
      </c>
      <c r="O826" s="14" t="n">
        <v>3584.85</v>
      </c>
      <c r="P826" s="21" t="n">
        <v>0.052</v>
      </c>
      <c r="Q826" s="6" t="n">
        <v>111</v>
      </c>
      <c r="R826" s="6" t="s">
        <v>155</v>
      </c>
      <c r="S826" s="21" t="n">
        <v>0.711</v>
      </c>
      <c r="T826" s="14" t="n">
        <v>11919.53</v>
      </c>
      <c r="U826" s="6" t="s">
        <v>35</v>
      </c>
    </row>
    <row r="827" customFormat="false" ht="15" hidden="false" customHeight="true" outlineLevel="0" collapsed="false">
      <c r="A827" s="6" t="s">
        <v>1847</v>
      </c>
      <c r="B827" s="6" t="s">
        <v>1848</v>
      </c>
      <c r="C827" s="6" t="s">
        <v>128</v>
      </c>
      <c r="D827" s="6" t="s">
        <v>172</v>
      </c>
      <c r="E827" s="6" t="s">
        <v>173</v>
      </c>
      <c r="F827" s="13" t="n">
        <v>45705</v>
      </c>
      <c r="G827" s="13" t="n">
        <v>45804</v>
      </c>
      <c r="H827" s="14" t="n">
        <v>35069.45</v>
      </c>
      <c r="I827" s="6" t="n">
        <v>1</v>
      </c>
      <c r="J827" s="6" t="n">
        <v>627</v>
      </c>
      <c r="K827" s="6" t="s">
        <v>154</v>
      </c>
      <c r="L827" s="14" t="n">
        <v>9725.62</v>
      </c>
      <c r="M827" s="22" t="n">
        <v>1.195</v>
      </c>
      <c r="N827" s="14" t="n">
        <v>11622.12</v>
      </c>
      <c r="O827" s="14" t="n">
        <v>1896.5</v>
      </c>
      <c r="P827" s="21" t="n">
        <v>0.1</v>
      </c>
      <c r="Q827" s="6" t="n">
        <v>99</v>
      </c>
      <c r="R827" s="6" t="s">
        <v>161</v>
      </c>
      <c r="S827" s="21" t="n">
        <v>1</v>
      </c>
      <c r="T827" s="14" t="n">
        <v>11622.12</v>
      </c>
      <c r="U827" s="6" t="s">
        <v>48</v>
      </c>
    </row>
    <row r="828" customFormat="false" ht="15" hidden="false" customHeight="true" outlineLevel="0" collapsed="false">
      <c r="A828" s="6" t="s">
        <v>1849</v>
      </c>
      <c r="B828" s="6" t="s">
        <v>1850</v>
      </c>
      <c r="C828" s="6" t="s">
        <v>128</v>
      </c>
      <c r="D828" s="6" t="s">
        <v>172</v>
      </c>
      <c r="E828" s="6" t="s">
        <v>189</v>
      </c>
      <c r="F828" s="13" t="n">
        <v>45735</v>
      </c>
      <c r="G828" s="13" t="n">
        <v>45882</v>
      </c>
      <c r="H828" s="14" t="n">
        <v>39361.73</v>
      </c>
      <c r="I828" s="6" t="n">
        <v>0</v>
      </c>
      <c r="J828" s="6" t="n">
        <v>615</v>
      </c>
      <c r="K828" s="6" t="s">
        <v>160</v>
      </c>
      <c r="L828" s="14" t="n">
        <v>14898.52</v>
      </c>
      <c r="M828" s="22" t="n">
        <v>1.34</v>
      </c>
      <c r="N828" s="14" t="n">
        <v>19964.02</v>
      </c>
      <c r="O828" s="14" t="n">
        <v>5065.5</v>
      </c>
      <c r="P828" s="21" t="n">
        <v>0.103</v>
      </c>
      <c r="Q828" s="6" t="n">
        <v>147</v>
      </c>
      <c r="R828" s="6" t="s">
        <v>232</v>
      </c>
      <c r="S828" s="21" t="n">
        <v>1</v>
      </c>
      <c r="T828" s="14" t="n">
        <v>19964.02</v>
      </c>
      <c r="U828" s="6" t="s">
        <v>49</v>
      </c>
    </row>
    <row r="829" customFormat="false" ht="15" hidden="false" customHeight="true" outlineLevel="0" collapsed="false">
      <c r="A829" s="6" t="s">
        <v>1851</v>
      </c>
      <c r="B829" s="6" t="s">
        <v>1852</v>
      </c>
      <c r="C829" s="6" t="s">
        <v>120</v>
      </c>
      <c r="D829" s="6" t="s">
        <v>218</v>
      </c>
      <c r="E829" s="6" t="s">
        <v>201</v>
      </c>
      <c r="F829" s="13" t="n">
        <v>45014</v>
      </c>
      <c r="G829" s="13" t="n">
        <v>45099</v>
      </c>
      <c r="H829" s="14" t="n">
        <v>85280.59</v>
      </c>
      <c r="I829" s="6" t="n">
        <v>2</v>
      </c>
      <c r="J829" s="6" t="n">
        <v>767</v>
      </c>
      <c r="K829" s="6" t="s">
        <v>185</v>
      </c>
      <c r="L829" s="14" t="n">
        <v>20155.31</v>
      </c>
      <c r="M829" s="22" t="n">
        <v>1.225</v>
      </c>
      <c r="N829" s="14" t="n">
        <v>24690.25</v>
      </c>
      <c r="O829" s="14" t="n">
        <v>4534.94</v>
      </c>
      <c r="P829" s="21" t="n">
        <v>0.102</v>
      </c>
      <c r="Q829" s="6" t="n">
        <v>85</v>
      </c>
      <c r="R829" s="6" t="s">
        <v>155</v>
      </c>
      <c r="S829" s="21" t="n">
        <v>0.856</v>
      </c>
      <c r="T829" s="14" t="n">
        <v>21134.85</v>
      </c>
      <c r="U829" s="6" t="s">
        <v>25</v>
      </c>
    </row>
    <row r="830" customFormat="false" ht="15" hidden="false" customHeight="true" outlineLevel="0" collapsed="false">
      <c r="A830" s="6" t="s">
        <v>1853</v>
      </c>
      <c r="B830" s="6" t="s">
        <v>1854</v>
      </c>
      <c r="C830" s="6" t="s">
        <v>131</v>
      </c>
      <c r="D830" s="6" t="s">
        <v>200</v>
      </c>
      <c r="E830" s="6" t="s">
        <v>177</v>
      </c>
      <c r="F830" s="13" t="n">
        <v>44742</v>
      </c>
      <c r="G830" s="13" t="n">
        <v>44814</v>
      </c>
      <c r="H830" s="14" t="n">
        <v>152294.26</v>
      </c>
      <c r="I830" s="6" t="n">
        <v>0</v>
      </c>
      <c r="J830" s="6" t="n">
        <v>604</v>
      </c>
      <c r="K830" s="6" t="s">
        <v>160</v>
      </c>
      <c r="L830" s="14" t="n">
        <v>39247.15</v>
      </c>
      <c r="M830" s="22" t="n">
        <v>1.2</v>
      </c>
      <c r="N830" s="14" t="n">
        <v>47096.58</v>
      </c>
      <c r="O830" s="14" t="n">
        <v>7849.43</v>
      </c>
      <c r="P830" s="21" t="n">
        <v>0.128</v>
      </c>
      <c r="Q830" s="6" t="n">
        <v>72</v>
      </c>
      <c r="R830" s="6" t="s">
        <v>155</v>
      </c>
      <c r="S830" s="21" t="n">
        <v>0.766</v>
      </c>
      <c r="T830" s="14" t="n">
        <v>36075.98</v>
      </c>
      <c r="U830" s="6" t="s">
        <v>16</v>
      </c>
    </row>
    <row r="831" customFormat="false" ht="15" hidden="false" customHeight="true" outlineLevel="0" collapsed="false">
      <c r="A831" s="6" t="s">
        <v>1855</v>
      </c>
      <c r="B831" s="6" t="s">
        <v>1856</v>
      </c>
      <c r="C831" s="6" t="s">
        <v>112</v>
      </c>
      <c r="D831" s="6" t="s">
        <v>172</v>
      </c>
      <c r="E831" s="6" t="s">
        <v>177</v>
      </c>
      <c r="F831" s="13" t="n">
        <v>44577</v>
      </c>
      <c r="G831" s="13" t="n">
        <v>44642</v>
      </c>
      <c r="H831" s="14" t="n">
        <v>167550.01</v>
      </c>
      <c r="I831" s="6" t="n">
        <v>5</v>
      </c>
      <c r="J831" s="6" t="n">
        <v>558</v>
      </c>
      <c r="K831" s="6" t="s">
        <v>160</v>
      </c>
      <c r="L831" s="14" t="n">
        <v>29192.31</v>
      </c>
      <c r="M831" s="22" t="n">
        <v>1.241</v>
      </c>
      <c r="N831" s="14" t="n">
        <v>36227.66</v>
      </c>
      <c r="O831" s="14" t="n">
        <v>7035.35</v>
      </c>
      <c r="P831" s="21" t="n">
        <v>0.099</v>
      </c>
      <c r="Q831" s="6" t="n">
        <v>65</v>
      </c>
      <c r="R831" s="6" t="s">
        <v>155</v>
      </c>
      <c r="S831" s="21" t="n">
        <v>0.769</v>
      </c>
      <c r="T831" s="14" t="n">
        <v>27859.07</v>
      </c>
      <c r="U831" s="6" t="s">
        <v>11</v>
      </c>
    </row>
    <row r="832" customFormat="false" ht="15" hidden="false" customHeight="true" outlineLevel="0" collapsed="false">
      <c r="A832" s="6" t="s">
        <v>1857</v>
      </c>
      <c r="B832" s="6" t="s">
        <v>1858</v>
      </c>
      <c r="C832" s="6" t="s">
        <v>131</v>
      </c>
      <c r="D832" s="6" t="s">
        <v>200</v>
      </c>
      <c r="E832" s="6" t="s">
        <v>189</v>
      </c>
      <c r="F832" s="13" t="n">
        <v>46165</v>
      </c>
      <c r="G832" s="13" t="n">
        <v>46245</v>
      </c>
      <c r="H832" s="14" t="n">
        <v>221893.36</v>
      </c>
      <c r="I832" s="6" t="n">
        <v>3</v>
      </c>
      <c r="J832" s="6" t="n">
        <v>541</v>
      </c>
      <c r="K832" s="6" t="s">
        <v>154</v>
      </c>
      <c r="L832" s="14" t="n">
        <v>80781.49</v>
      </c>
      <c r="M832" s="22" t="n">
        <v>1.268</v>
      </c>
      <c r="N832" s="14" t="n">
        <v>102430.93</v>
      </c>
      <c r="O832" s="14" t="n">
        <v>21649.44</v>
      </c>
      <c r="P832" s="21" t="n">
        <v>0.172</v>
      </c>
      <c r="Q832" s="6" t="n">
        <v>80</v>
      </c>
      <c r="R832" s="6" t="s">
        <v>155</v>
      </c>
      <c r="S832" s="21" t="n">
        <v>0.777</v>
      </c>
      <c r="T832" s="14" t="n">
        <v>79588.83</v>
      </c>
      <c r="U832" s="6" t="s">
        <v>63</v>
      </c>
    </row>
    <row r="833" customFormat="false" ht="15" hidden="false" customHeight="true" outlineLevel="0" collapsed="false">
      <c r="A833" s="6" t="s">
        <v>1859</v>
      </c>
      <c r="B833" s="6" t="s">
        <v>1860</v>
      </c>
      <c r="C833" s="6" t="s">
        <v>128</v>
      </c>
      <c r="D833" s="6" t="s">
        <v>172</v>
      </c>
      <c r="E833" s="6" t="s">
        <v>153</v>
      </c>
      <c r="F833" s="13" t="n">
        <v>45079</v>
      </c>
      <c r="G833" s="13" t="n">
        <v>45162</v>
      </c>
      <c r="H833" s="14" t="n">
        <v>121803.88</v>
      </c>
      <c r="I833" s="6" t="n">
        <v>1</v>
      </c>
      <c r="J833" s="6" t="n">
        <v>591</v>
      </c>
      <c r="K833" s="6" t="s">
        <v>160</v>
      </c>
      <c r="L833" s="14" t="n">
        <v>36124.62</v>
      </c>
      <c r="M833" s="22" t="n">
        <v>1.265</v>
      </c>
      <c r="N833" s="14" t="n">
        <v>45697.64</v>
      </c>
      <c r="O833" s="14" t="n">
        <v>9573.02</v>
      </c>
      <c r="P833" s="21" t="n">
        <v>0.134</v>
      </c>
      <c r="Q833" s="6" t="n">
        <v>83</v>
      </c>
      <c r="R833" s="6" t="s">
        <v>155</v>
      </c>
      <c r="S833" s="21" t="n">
        <v>0.808</v>
      </c>
      <c r="T833" s="14" t="n">
        <v>36923.69</v>
      </c>
      <c r="U833" s="6" t="s">
        <v>28</v>
      </c>
    </row>
    <row r="834" customFormat="false" ht="15" hidden="false" customHeight="true" outlineLevel="0" collapsed="false">
      <c r="A834" s="6" t="s">
        <v>1861</v>
      </c>
      <c r="B834" s="6" t="s">
        <v>1862</v>
      </c>
      <c r="C834" s="6" t="s">
        <v>116</v>
      </c>
      <c r="D834" s="6" t="s">
        <v>206</v>
      </c>
      <c r="E834" s="6" t="s">
        <v>169</v>
      </c>
      <c r="F834" s="13" t="n">
        <v>45307</v>
      </c>
      <c r="G834" s="13" t="n">
        <v>45367</v>
      </c>
      <c r="H834" s="14" t="n">
        <v>87712.34</v>
      </c>
      <c r="I834" s="6" t="n">
        <v>1</v>
      </c>
      <c r="J834" s="6" t="n">
        <v>727</v>
      </c>
      <c r="K834" s="6" t="s">
        <v>154</v>
      </c>
      <c r="L834" s="14" t="n">
        <v>21985.86</v>
      </c>
      <c r="M834" s="22" t="n">
        <v>1.291</v>
      </c>
      <c r="N834" s="14" t="n">
        <v>28383.75</v>
      </c>
      <c r="O834" s="14" t="n">
        <v>6397.89</v>
      </c>
      <c r="P834" s="21" t="n">
        <v>0.176</v>
      </c>
      <c r="Q834" s="6" t="n">
        <v>60</v>
      </c>
      <c r="R834" s="6" t="s">
        <v>161</v>
      </c>
      <c r="S834" s="21" t="n">
        <v>1</v>
      </c>
      <c r="T834" s="14" t="n">
        <v>28383.75</v>
      </c>
      <c r="U834" s="6" t="s">
        <v>35</v>
      </c>
    </row>
    <row r="835" customFormat="false" ht="15" hidden="false" customHeight="true" outlineLevel="0" collapsed="false">
      <c r="A835" s="6" t="s">
        <v>1863</v>
      </c>
      <c r="B835" s="6" t="s">
        <v>1864</v>
      </c>
      <c r="C835" s="6" t="s">
        <v>116</v>
      </c>
      <c r="D835" s="6" t="s">
        <v>222</v>
      </c>
      <c r="E835" s="6" t="s">
        <v>304</v>
      </c>
      <c r="F835" s="13" t="n">
        <v>45356</v>
      </c>
      <c r="G835" s="13" t="n">
        <v>45432</v>
      </c>
      <c r="H835" s="14" t="n">
        <v>126290.98</v>
      </c>
      <c r="I835" s="6" t="n">
        <v>4</v>
      </c>
      <c r="J835" s="6" t="n">
        <v>567</v>
      </c>
      <c r="K835" s="6" t="s">
        <v>185</v>
      </c>
      <c r="L835" s="14" t="n">
        <v>28088.1</v>
      </c>
      <c r="M835" s="22" t="n">
        <v>1.265</v>
      </c>
      <c r="N835" s="14" t="n">
        <v>35531.45</v>
      </c>
      <c r="O835" s="14" t="n">
        <v>7443.35</v>
      </c>
      <c r="P835" s="21" t="n">
        <v>0.111</v>
      </c>
      <c r="Q835" s="6" t="n">
        <v>76</v>
      </c>
      <c r="R835" s="6" t="s">
        <v>155</v>
      </c>
      <c r="S835" s="21" t="n">
        <v>0.98</v>
      </c>
      <c r="T835" s="14" t="n">
        <v>34820.82</v>
      </c>
      <c r="U835" s="6" t="s">
        <v>37</v>
      </c>
    </row>
    <row r="836" customFormat="false" ht="15" hidden="false" customHeight="true" outlineLevel="0" collapsed="false">
      <c r="A836" s="6" t="s">
        <v>1865</v>
      </c>
      <c r="B836" s="6" t="s">
        <v>1866</v>
      </c>
      <c r="C836" s="6" t="s">
        <v>112</v>
      </c>
      <c r="D836" s="6" t="s">
        <v>225</v>
      </c>
      <c r="E836" s="6" t="s">
        <v>159</v>
      </c>
      <c r="F836" s="13" t="n">
        <v>46017</v>
      </c>
      <c r="G836" s="13" t="n">
        <v>46077</v>
      </c>
      <c r="H836" s="14" t="n">
        <v>29053.6</v>
      </c>
      <c r="I836" s="6" t="n">
        <v>5</v>
      </c>
      <c r="J836" s="6" t="n">
        <v>544</v>
      </c>
      <c r="K836" s="6" t="s">
        <v>185</v>
      </c>
      <c r="L836" s="14" t="n">
        <v>4369.12</v>
      </c>
      <c r="M836" s="22" t="n">
        <v>1.144</v>
      </c>
      <c r="N836" s="14" t="n">
        <v>4998.27</v>
      </c>
      <c r="O836" s="14" t="n">
        <v>629.15</v>
      </c>
      <c r="P836" s="21" t="n">
        <v>0.14</v>
      </c>
      <c r="Q836" s="6" t="n">
        <v>60</v>
      </c>
      <c r="R836" s="6" t="s">
        <v>161</v>
      </c>
      <c r="S836" s="21" t="n">
        <v>1</v>
      </c>
      <c r="T836" s="14" t="n">
        <v>4998.27</v>
      </c>
      <c r="U836" s="6" t="s">
        <v>58</v>
      </c>
    </row>
    <row r="837" customFormat="false" ht="15" hidden="false" customHeight="true" outlineLevel="0" collapsed="false">
      <c r="A837" s="6" t="s">
        <v>1867</v>
      </c>
      <c r="B837" s="6" t="s">
        <v>1868</v>
      </c>
      <c r="C837" s="6" t="s">
        <v>128</v>
      </c>
      <c r="D837" s="6" t="s">
        <v>235</v>
      </c>
      <c r="E837" s="6" t="s">
        <v>304</v>
      </c>
      <c r="F837" s="13" t="n">
        <v>44637</v>
      </c>
      <c r="G837" s="13" t="n">
        <v>44710</v>
      </c>
      <c r="H837" s="14" t="n">
        <v>149608.73</v>
      </c>
      <c r="I837" s="6" t="n">
        <v>2</v>
      </c>
      <c r="J837" s="6" t="n">
        <v>600</v>
      </c>
      <c r="K837" s="6" t="s">
        <v>160</v>
      </c>
      <c r="L837" s="14" t="n">
        <v>59682.83</v>
      </c>
      <c r="M837" s="22" t="n">
        <v>1.091</v>
      </c>
      <c r="N837" s="14" t="n">
        <v>65113.97</v>
      </c>
      <c r="O837" s="14" t="n">
        <v>5431.14</v>
      </c>
      <c r="P837" s="21" t="n">
        <v>0.178</v>
      </c>
      <c r="Q837" s="6" t="n">
        <v>73</v>
      </c>
      <c r="R837" s="6" t="s">
        <v>155</v>
      </c>
      <c r="S837" s="21" t="n">
        <v>0.74</v>
      </c>
      <c r="T837" s="14" t="n">
        <v>48184.34</v>
      </c>
      <c r="U837" s="6" t="s">
        <v>13</v>
      </c>
    </row>
    <row r="838" customFormat="false" ht="15" hidden="false" customHeight="true" outlineLevel="0" collapsed="false">
      <c r="A838" s="6" t="s">
        <v>1869</v>
      </c>
      <c r="B838" s="6" t="s">
        <v>1870</v>
      </c>
      <c r="C838" s="6" t="s">
        <v>124</v>
      </c>
      <c r="D838" s="6" t="s">
        <v>180</v>
      </c>
      <c r="E838" s="6" t="s">
        <v>153</v>
      </c>
      <c r="F838" s="13" t="n">
        <v>46016</v>
      </c>
      <c r="G838" s="13" t="n">
        <v>46220</v>
      </c>
      <c r="H838" s="14" t="n">
        <v>113899.07</v>
      </c>
      <c r="I838" s="6" t="n">
        <v>1</v>
      </c>
      <c r="J838" s="6" t="n">
        <v>790</v>
      </c>
      <c r="K838" s="6" t="s">
        <v>160</v>
      </c>
      <c r="L838" s="14" t="n">
        <v>51418.3</v>
      </c>
      <c r="M838" s="22" t="n">
        <v>1.226</v>
      </c>
      <c r="N838" s="14" t="n">
        <v>63038.84</v>
      </c>
      <c r="O838" s="14" t="n">
        <v>11620.54</v>
      </c>
      <c r="P838" s="21" t="n">
        <v>0.081</v>
      </c>
      <c r="Q838" s="6" t="n">
        <v>204</v>
      </c>
      <c r="R838" s="6" t="s">
        <v>161</v>
      </c>
      <c r="S838" s="21" t="n">
        <v>1</v>
      </c>
      <c r="T838" s="14" t="n">
        <v>63038.84</v>
      </c>
      <c r="U838" s="6" t="s">
        <v>58</v>
      </c>
    </row>
    <row r="839" customFormat="false" ht="15" hidden="false" customHeight="true" outlineLevel="0" collapsed="false">
      <c r="A839" s="6" t="s">
        <v>1871</v>
      </c>
      <c r="B839" s="6" t="s">
        <v>1872</v>
      </c>
      <c r="C839" s="6" t="s">
        <v>131</v>
      </c>
      <c r="D839" s="6" t="s">
        <v>152</v>
      </c>
      <c r="E839" s="6" t="s">
        <v>254</v>
      </c>
      <c r="F839" s="13" t="n">
        <v>45508</v>
      </c>
      <c r="G839" s="13" t="n">
        <v>45582</v>
      </c>
      <c r="H839" s="14" t="n">
        <v>23020.67</v>
      </c>
      <c r="I839" s="6" t="n">
        <v>1</v>
      </c>
      <c r="J839" s="6" t="n">
        <v>804</v>
      </c>
      <c r="K839" s="6" t="s">
        <v>154</v>
      </c>
      <c r="L839" s="14" t="n">
        <v>4852.42</v>
      </c>
      <c r="M839" s="22" t="n">
        <v>1.243</v>
      </c>
      <c r="N839" s="14" t="n">
        <v>6031.56</v>
      </c>
      <c r="O839" s="14" t="n">
        <v>1179.14</v>
      </c>
      <c r="P839" s="21" t="n">
        <v>0.106</v>
      </c>
      <c r="Q839" s="6" t="n">
        <v>74</v>
      </c>
      <c r="R839" s="6" t="s">
        <v>155</v>
      </c>
      <c r="S839" s="21" t="n">
        <v>0.952</v>
      </c>
      <c r="T839" s="14" t="n">
        <v>5742.05</v>
      </c>
      <c r="U839" s="6" t="s">
        <v>42</v>
      </c>
    </row>
    <row r="840" customFormat="false" ht="15" hidden="false" customHeight="true" outlineLevel="0" collapsed="false">
      <c r="A840" s="6" t="s">
        <v>1873</v>
      </c>
      <c r="B840" s="6" t="s">
        <v>1874</v>
      </c>
      <c r="C840" s="6" t="s">
        <v>131</v>
      </c>
      <c r="D840" s="6" t="s">
        <v>152</v>
      </c>
      <c r="E840" s="6" t="s">
        <v>173</v>
      </c>
      <c r="F840" s="13" t="n">
        <v>44888</v>
      </c>
      <c r="G840" s="13" t="n">
        <v>44948</v>
      </c>
      <c r="H840" s="14" t="n">
        <v>46127.41</v>
      </c>
      <c r="I840" s="6" t="n">
        <v>4</v>
      </c>
      <c r="J840" s="6" t="n">
        <v>751</v>
      </c>
      <c r="K840" s="6" t="s">
        <v>160</v>
      </c>
      <c r="L840" s="14" t="n">
        <v>7102.3</v>
      </c>
      <c r="M840" s="22" t="n">
        <v>1.141</v>
      </c>
      <c r="N840" s="14" t="n">
        <v>8103.72</v>
      </c>
      <c r="O840" s="14" t="n">
        <v>1001.42</v>
      </c>
      <c r="P840" s="21" t="n">
        <v>0.112</v>
      </c>
      <c r="Q840" s="6" t="n">
        <v>60</v>
      </c>
      <c r="R840" s="6" t="s">
        <v>155</v>
      </c>
      <c r="S840" s="21" t="n">
        <v>0.846</v>
      </c>
      <c r="T840" s="14" t="n">
        <v>6855.75</v>
      </c>
      <c r="U840" s="6" t="s">
        <v>21</v>
      </c>
    </row>
    <row r="841" customFormat="false" ht="15" hidden="false" customHeight="true" outlineLevel="0" collapsed="false">
      <c r="A841" s="6" t="s">
        <v>1875</v>
      </c>
      <c r="B841" s="6" t="s">
        <v>1876</v>
      </c>
      <c r="C841" s="6" t="s">
        <v>116</v>
      </c>
      <c r="D841" s="6" t="s">
        <v>206</v>
      </c>
      <c r="E841" s="6" t="s">
        <v>254</v>
      </c>
      <c r="F841" s="13" t="n">
        <v>45695</v>
      </c>
      <c r="G841" s="13" t="n">
        <v>45791</v>
      </c>
      <c r="H841" s="14" t="n">
        <v>23037.76</v>
      </c>
      <c r="I841" s="6" t="n">
        <v>0</v>
      </c>
      <c r="J841" s="6" t="n">
        <v>551</v>
      </c>
      <c r="K841" s="6" t="s">
        <v>154</v>
      </c>
      <c r="L841" s="14" t="n">
        <v>11616.73</v>
      </c>
      <c r="M841" s="22" t="n">
        <v>1.125</v>
      </c>
      <c r="N841" s="14" t="n">
        <v>13068.82</v>
      </c>
      <c r="O841" s="14" t="n">
        <v>1452.09</v>
      </c>
      <c r="P841" s="21" t="n">
        <v>0.177</v>
      </c>
      <c r="Q841" s="6" t="n">
        <v>96</v>
      </c>
      <c r="R841" s="6" t="s">
        <v>155</v>
      </c>
      <c r="S841" s="21" t="n">
        <v>0.802</v>
      </c>
      <c r="T841" s="14" t="n">
        <v>10481.19</v>
      </c>
      <c r="U841" s="6" t="s">
        <v>48</v>
      </c>
    </row>
    <row r="842" customFormat="false" ht="15" hidden="false" customHeight="true" outlineLevel="0" collapsed="false">
      <c r="A842" s="6" t="s">
        <v>1877</v>
      </c>
      <c r="B842" s="6" t="s">
        <v>1878</v>
      </c>
      <c r="C842" s="6" t="s">
        <v>120</v>
      </c>
      <c r="D842" s="6" t="s">
        <v>158</v>
      </c>
      <c r="E842" s="6" t="s">
        <v>184</v>
      </c>
      <c r="F842" s="13" t="n">
        <v>45450</v>
      </c>
      <c r="G842" s="13" t="n">
        <v>45602</v>
      </c>
      <c r="H842" s="14" t="n">
        <v>8872.05</v>
      </c>
      <c r="I842" s="6" t="n">
        <v>2</v>
      </c>
      <c r="J842" s="6" t="n">
        <v>694</v>
      </c>
      <c r="K842" s="6" t="s">
        <v>185</v>
      </c>
      <c r="L842" s="14" t="n">
        <v>2000</v>
      </c>
      <c r="M842" s="22" t="n">
        <v>1.289</v>
      </c>
      <c r="N842" s="14" t="n">
        <v>2578</v>
      </c>
      <c r="O842" s="14" t="n">
        <v>578</v>
      </c>
      <c r="P842" s="21" t="n">
        <v>0.057</v>
      </c>
      <c r="Q842" s="6" t="n">
        <v>152</v>
      </c>
      <c r="R842" s="6" t="s">
        <v>155</v>
      </c>
      <c r="S842" s="21" t="n">
        <v>0.98</v>
      </c>
      <c r="T842" s="14" t="n">
        <v>2526.44</v>
      </c>
      <c r="U842" s="6" t="s">
        <v>40</v>
      </c>
    </row>
    <row r="843" customFormat="false" ht="15" hidden="false" customHeight="true" outlineLevel="0" collapsed="false">
      <c r="A843" s="6" t="s">
        <v>1879</v>
      </c>
      <c r="B843" s="6" t="s">
        <v>1880</v>
      </c>
      <c r="C843" s="6" t="s">
        <v>120</v>
      </c>
      <c r="D843" s="6" t="s">
        <v>218</v>
      </c>
      <c r="E843" s="6" t="s">
        <v>326</v>
      </c>
      <c r="F843" s="13" t="n">
        <v>44737</v>
      </c>
      <c r="G843" s="13" t="n">
        <v>44797</v>
      </c>
      <c r="H843" s="14" t="n">
        <v>173700.36</v>
      </c>
      <c r="I843" s="6" t="n">
        <v>0</v>
      </c>
      <c r="J843" s="6" t="n">
        <v>619</v>
      </c>
      <c r="K843" s="6" t="s">
        <v>160</v>
      </c>
      <c r="L843" s="14" t="n">
        <v>19208.59</v>
      </c>
      <c r="M843" s="22" t="n">
        <v>1.085</v>
      </c>
      <c r="N843" s="14" t="n">
        <v>20841.32</v>
      </c>
      <c r="O843" s="14" t="n">
        <v>1632.73</v>
      </c>
      <c r="P843" s="21" t="n">
        <v>0.125</v>
      </c>
      <c r="Q843" s="6" t="n">
        <v>60</v>
      </c>
      <c r="R843" s="6" t="s">
        <v>232</v>
      </c>
      <c r="S843" s="21" t="n">
        <v>1</v>
      </c>
      <c r="T843" s="14" t="n">
        <v>20841.32</v>
      </c>
      <c r="U843" s="6" t="s">
        <v>16</v>
      </c>
    </row>
    <row r="844" customFormat="false" ht="15" hidden="false" customHeight="true" outlineLevel="0" collapsed="false">
      <c r="A844" s="6" t="s">
        <v>1881</v>
      </c>
      <c r="B844" s="6" t="s">
        <v>1882</v>
      </c>
      <c r="C844" s="6" t="s">
        <v>116</v>
      </c>
      <c r="D844" s="6" t="s">
        <v>152</v>
      </c>
      <c r="E844" s="6" t="s">
        <v>211</v>
      </c>
      <c r="F844" s="13" t="n">
        <v>45684</v>
      </c>
      <c r="G844" s="13" t="n">
        <v>45767</v>
      </c>
      <c r="H844" s="14" t="n">
        <v>121096.11</v>
      </c>
      <c r="I844" s="6" t="n">
        <v>0</v>
      </c>
      <c r="J844" s="6" t="n">
        <v>804</v>
      </c>
      <c r="K844" s="6" t="s">
        <v>185</v>
      </c>
      <c r="L844" s="14" t="n">
        <v>30878.73</v>
      </c>
      <c r="M844" s="22" t="n">
        <v>1.141</v>
      </c>
      <c r="N844" s="14" t="n">
        <v>35232.63</v>
      </c>
      <c r="O844" s="14" t="n">
        <v>4353.9</v>
      </c>
      <c r="P844" s="21" t="n">
        <v>0.105</v>
      </c>
      <c r="Q844" s="6" t="n">
        <v>83</v>
      </c>
      <c r="R844" s="6" t="s">
        <v>161</v>
      </c>
      <c r="S844" s="21" t="n">
        <v>1</v>
      </c>
      <c r="T844" s="14" t="n">
        <v>35232.63</v>
      </c>
      <c r="U844" s="6" t="s">
        <v>47</v>
      </c>
    </row>
    <row r="845" customFormat="false" ht="15" hidden="false" customHeight="true" outlineLevel="0" collapsed="false">
      <c r="A845" s="6" t="s">
        <v>1883</v>
      </c>
      <c r="B845" s="6" t="s">
        <v>1884</v>
      </c>
      <c r="C845" s="6" t="s">
        <v>116</v>
      </c>
      <c r="D845" s="6" t="s">
        <v>152</v>
      </c>
      <c r="E845" s="6" t="s">
        <v>177</v>
      </c>
      <c r="F845" s="13" t="n">
        <v>45827</v>
      </c>
      <c r="G845" s="13" t="n">
        <v>45887</v>
      </c>
      <c r="H845" s="14" t="n">
        <v>19631.79</v>
      </c>
      <c r="I845" s="6" t="n">
        <v>0</v>
      </c>
      <c r="J845" s="6" t="n">
        <v>592</v>
      </c>
      <c r="K845" s="6" t="s">
        <v>185</v>
      </c>
      <c r="L845" s="14" t="n">
        <v>3250.58</v>
      </c>
      <c r="M845" s="22" t="n">
        <v>1.249</v>
      </c>
      <c r="N845" s="14" t="n">
        <v>4059.97</v>
      </c>
      <c r="O845" s="14" t="n">
        <v>809.39</v>
      </c>
      <c r="P845" s="21" t="n">
        <v>0.141</v>
      </c>
      <c r="Q845" s="6" t="n">
        <v>60</v>
      </c>
      <c r="R845" s="6" t="s">
        <v>155</v>
      </c>
      <c r="S845" s="21" t="n">
        <v>0.729</v>
      </c>
      <c r="T845" s="14" t="n">
        <v>2959.72</v>
      </c>
      <c r="U845" s="6" t="s">
        <v>52</v>
      </c>
    </row>
    <row r="846" customFormat="false" ht="15" hidden="false" customHeight="true" outlineLevel="0" collapsed="false">
      <c r="A846" s="6" t="s">
        <v>1885</v>
      </c>
      <c r="B846" s="6" t="s">
        <v>1886</v>
      </c>
      <c r="C846" s="6" t="s">
        <v>120</v>
      </c>
      <c r="D846" s="6" t="s">
        <v>210</v>
      </c>
      <c r="E846" s="6" t="s">
        <v>192</v>
      </c>
      <c r="F846" s="13" t="n">
        <v>45890</v>
      </c>
      <c r="G846" s="13" t="n">
        <v>46041</v>
      </c>
      <c r="H846" s="14" t="n">
        <v>69565.99</v>
      </c>
      <c r="I846" s="6" t="n">
        <v>2</v>
      </c>
      <c r="J846" s="6" t="n">
        <v>611</v>
      </c>
      <c r="K846" s="6" t="s">
        <v>185</v>
      </c>
      <c r="L846" s="14" t="n">
        <v>22999.65</v>
      </c>
      <c r="M846" s="22" t="n">
        <v>1.286</v>
      </c>
      <c r="N846" s="14" t="n">
        <v>29577.55</v>
      </c>
      <c r="O846" s="14" t="n">
        <v>6577.9</v>
      </c>
      <c r="P846" s="21" t="n">
        <v>0.084</v>
      </c>
      <c r="Q846" s="6" t="n">
        <v>151</v>
      </c>
      <c r="R846" s="6" t="s">
        <v>155</v>
      </c>
      <c r="S846" s="21" t="n">
        <v>0.798</v>
      </c>
      <c r="T846" s="14" t="n">
        <v>23602.88</v>
      </c>
      <c r="U846" s="6" t="s">
        <v>54</v>
      </c>
    </row>
    <row r="847" customFormat="false" ht="15" hidden="false" customHeight="true" outlineLevel="0" collapsed="false">
      <c r="A847" s="6" t="s">
        <v>1887</v>
      </c>
      <c r="B847" s="6" t="s">
        <v>1888</v>
      </c>
      <c r="C847" s="6" t="s">
        <v>128</v>
      </c>
      <c r="D847" s="6" t="s">
        <v>172</v>
      </c>
      <c r="E847" s="6" t="s">
        <v>299</v>
      </c>
      <c r="F847" s="13" t="n">
        <v>45239</v>
      </c>
      <c r="G847" s="13" t="n">
        <v>45299</v>
      </c>
      <c r="H847" s="14" t="n">
        <v>239352.63</v>
      </c>
      <c r="I847" s="6" t="n">
        <v>2</v>
      </c>
      <c r="J847" s="6" t="n">
        <v>661</v>
      </c>
      <c r="K847" s="6" t="s">
        <v>160</v>
      </c>
      <c r="L847" s="14" t="n">
        <v>31145.44</v>
      </c>
      <c r="M847" s="22" t="n">
        <v>1.176</v>
      </c>
      <c r="N847" s="14" t="n">
        <v>36627.04</v>
      </c>
      <c r="O847" s="14" t="n">
        <v>5481.6</v>
      </c>
      <c r="P847" s="21" t="n">
        <v>0.083</v>
      </c>
      <c r="Q847" s="6" t="n">
        <v>60</v>
      </c>
      <c r="R847" s="6" t="s">
        <v>155</v>
      </c>
      <c r="S847" s="21" t="n">
        <v>0.916</v>
      </c>
      <c r="T847" s="14" t="n">
        <v>33550.37</v>
      </c>
      <c r="U847" s="6" t="s">
        <v>33</v>
      </c>
    </row>
    <row r="848" customFormat="false" ht="15" hidden="false" customHeight="true" outlineLevel="0" collapsed="false">
      <c r="A848" s="6" t="s">
        <v>1889</v>
      </c>
      <c r="B848" s="6" t="s">
        <v>1890</v>
      </c>
      <c r="C848" s="6" t="s">
        <v>128</v>
      </c>
      <c r="D848" s="6" t="s">
        <v>235</v>
      </c>
      <c r="E848" s="6" t="s">
        <v>181</v>
      </c>
      <c r="F848" s="13" t="n">
        <v>45743</v>
      </c>
      <c r="G848" s="13" t="n">
        <v>45856</v>
      </c>
      <c r="H848" s="14" t="n">
        <v>171937.58</v>
      </c>
      <c r="I848" s="6" t="n">
        <v>3</v>
      </c>
      <c r="J848" s="6" t="n">
        <v>695</v>
      </c>
      <c r="K848" s="6" t="s">
        <v>160</v>
      </c>
      <c r="L848" s="14" t="n">
        <v>56901.13</v>
      </c>
      <c r="M848" s="22" t="n">
        <v>1.101</v>
      </c>
      <c r="N848" s="14" t="n">
        <v>62648.14</v>
      </c>
      <c r="O848" s="14" t="n">
        <v>5747.01</v>
      </c>
      <c r="P848" s="21" t="n">
        <v>0.096</v>
      </c>
      <c r="Q848" s="6" t="n">
        <v>113</v>
      </c>
      <c r="R848" s="6" t="s">
        <v>161</v>
      </c>
      <c r="S848" s="21" t="n">
        <v>1</v>
      </c>
      <c r="T848" s="14" t="n">
        <v>62648.14</v>
      </c>
      <c r="U848" s="6" t="s">
        <v>49</v>
      </c>
    </row>
    <row r="849" customFormat="false" ht="15" hidden="false" customHeight="true" outlineLevel="0" collapsed="false">
      <c r="A849" s="6" t="s">
        <v>1891</v>
      </c>
      <c r="B849" s="6" t="s">
        <v>1892</v>
      </c>
      <c r="C849" s="6" t="s">
        <v>128</v>
      </c>
      <c r="D849" s="6" t="s">
        <v>235</v>
      </c>
      <c r="E849" s="6" t="s">
        <v>326</v>
      </c>
      <c r="F849" s="13" t="n">
        <v>45808</v>
      </c>
      <c r="G849" s="13" t="n">
        <v>45918</v>
      </c>
      <c r="H849" s="14" t="n">
        <v>217200.07</v>
      </c>
      <c r="I849" s="6" t="n">
        <v>2</v>
      </c>
      <c r="J849" s="6" t="n">
        <v>545</v>
      </c>
      <c r="K849" s="6" t="s">
        <v>154</v>
      </c>
      <c r="L849" s="14" t="n">
        <v>91938.24</v>
      </c>
      <c r="M849" s="22" t="n">
        <v>1.207</v>
      </c>
      <c r="N849" s="14" t="n">
        <v>110969.46</v>
      </c>
      <c r="O849" s="14" t="n">
        <v>19031.22</v>
      </c>
      <c r="P849" s="21" t="n">
        <v>0.139</v>
      </c>
      <c r="Q849" s="6" t="n">
        <v>110</v>
      </c>
      <c r="R849" s="6" t="s">
        <v>161</v>
      </c>
      <c r="S849" s="21" t="n">
        <v>1</v>
      </c>
      <c r="T849" s="14" t="n">
        <v>110969.46</v>
      </c>
      <c r="U849" s="6" t="s">
        <v>51</v>
      </c>
    </row>
    <row r="850" customFormat="false" ht="15" hidden="false" customHeight="true" outlineLevel="0" collapsed="false">
      <c r="A850" s="6" t="s">
        <v>1893</v>
      </c>
      <c r="B850" s="6" t="s">
        <v>1894</v>
      </c>
      <c r="C850" s="6" t="s">
        <v>116</v>
      </c>
      <c r="D850" s="6" t="s">
        <v>222</v>
      </c>
      <c r="E850" s="6" t="s">
        <v>184</v>
      </c>
      <c r="F850" s="13" t="n">
        <v>45162</v>
      </c>
      <c r="G850" s="13" t="n">
        <v>45253</v>
      </c>
      <c r="H850" s="14" t="n">
        <v>217153.94</v>
      </c>
      <c r="I850" s="6" t="n">
        <v>3</v>
      </c>
      <c r="J850" s="6" t="n">
        <v>698</v>
      </c>
      <c r="K850" s="6" t="s">
        <v>185</v>
      </c>
      <c r="L850" s="14" t="n">
        <v>61256.55</v>
      </c>
      <c r="M850" s="22" t="n">
        <v>1.204</v>
      </c>
      <c r="N850" s="14" t="n">
        <v>73752.89</v>
      </c>
      <c r="O850" s="14" t="n">
        <v>12496.34</v>
      </c>
      <c r="P850" s="21" t="n">
        <v>0.111</v>
      </c>
      <c r="Q850" s="6" t="n">
        <v>91</v>
      </c>
      <c r="R850" s="6" t="s">
        <v>155</v>
      </c>
      <c r="S850" s="21" t="n">
        <v>0.879</v>
      </c>
      <c r="T850" s="14" t="n">
        <v>64828.79</v>
      </c>
      <c r="U850" s="6" t="s">
        <v>30</v>
      </c>
    </row>
    <row r="851" customFormat="false" ht="15" hidden="false" customHeight="true" outlineLevel="0" collapsed="false">
      <c r="A851" s="6" t="s">
        <v>1895</v>
      </c>
      <c r="B851" s="6" t="s">
        <v>1896</v>
      </c>
      <c r="C851" s="6" t="s">
        <v>128</v>
      </c>
      <c r="D851" s="6" t="s">
        <v>172</v>
      </c>
      <c r="E851" s="6" t="s">
        <v>195</v>
      </c>
      <c r="F851" s="13" t="n">
        <v>45932</v>
      </c>
      <c r="G851" s="13" t="n">
        <v>46011</v>
      </c>
      <c r="H851" s="14" t="n">
        <v>45072.27</v>
      </c>
      <c r="I851" s="6" t="n">
        <v>0</v>
      </c>
      <c r="J851" s="6" t="n">
        <v>813</v>
      </c>
      <c r="K851" s="6" t="s">
        <v>160</v>
      </c>
      <c r="L851" s="14" t="n">
        <v>14971.06</v>
      </c>
      <c r="M851" s="22" t="n">
        <v>1.145</v>
      </c>
      <c r="N851" s="14" t="n">
        <v>17141.86</v>
      </c>
      <c r="O851" s="14" t="n">
        <v>2170.8</v>
      </c>
      <c r="P851" s="21" t="n">
        <v>0.143</v>
      </c>
      <c r="Q851" s="6" t="n">
        <v>79</v>
      </c>
      <c r="R851" s="6" t="s">
        <v>161</v>
      </c>
      <c r="S851" s="21" t="n">
        <v>1</v>
      </c>
      <c r="T851" s="14" t="n">
        <v>17141.86</v>
      </c>
      <c r="U851" s="6" t="s">
        <v>56</v>
      </c>
    </row>
    <row r="852" customFormat="false" ht="15" hidden="false" customHeight="true" outlineLevel="0" collapsed="false">
      <c r="A852" s="6" t="s">
        <v>1897</v>
      </c>
      <c r="B852" s="6" t="s">
        <v>1898</v>
      </c>
      <c r="C852" s="6" t="s">
        <v>120</v>
      </c>
      <c r="D852" s="6" t="s">
        <v>158</v>
      </c>
      <c r="E852" s="6" t="s">
        <v>201</v>
      </c>
      <c r="F852" s="13" t="n">
        <v>45463</v>
      </c>
      <c r="G852" s="13" t="n">
        <v>45638</v>
      </c>
      <c r="H852" s="14" t="n">
        <v>242207.7</v>
      </c>
      <c r="I852" s="6" t="n">
        <v>0</v>
      </c>
      <c r="J852" s="6" t="n">
        <v>511</v>
      </c>
      <c r="K852" s="6" t="s">
        <v>160</v>
      </c>
      <c r="L852" s="14" t="n">
        <v>70557.84</v>
      </c>
      <c r="M852" s="22" t="n">
        <v>1.145</v>
      </c>
      <c r="N852" s="14" t="n">
        <v>80788.73</v>
      </c>
      <c r="O852" s="14" t="n">
        <v>10230.89</v>
      </c>
      <c r="P852" s="21" t="n">
        <v>0.057</v>
      </c>
      <c r="Q852" s="6" t="n">
        <v>175</v>
      </c>
      <c r="R852" s="6" t="s">
        <v>232</v>
      </c>
      <c r="S852" s="21" t="n">
        <v>1</v>
      </c>
      <c r="T852" s="14" t="n">
        <v>80788.73</v>
      </c>
      <c r="U852" s="6" t="s">
        <v>40</v>
      </c>
    </row>
    <row r="853" customFormat="false" ht="15" hidden="false" customHeight="true" outlineLevel="0" collapsed="false">
      <c r="A853" s="6" t="s">
        <v>1899</v>
      </c>
      <c r="B853" s="6" t="s">
        <v>1900</v>
      </c>
      <c r="C853" s="6" t="s">
        <v>124</v>
      </c>
      <c r="D853" s="6" t="s">
        <v>180</v>
      </c>
      <c r="E853" s="6" t="s">
        <v>192</v>
      </c>
      <c r="F853" s="13" t="n">
        <v>46005</v>
      </c>
      <c r="G853" s="13" t="n">
        <v>46065</v>
      </c>
      <c r="H853" s="14" t="n">
        <v>27336.98</v>
      </c>
      <c r="I853" s="6" t="n">
        <v>4</v>
      </c>
      <c r="J853" s="6" t="n">
        <v>553</v>
      </c>
      <c r="K853" s="6" t="s">
        <v>160</v>
      </c>
      <c r="L853" s="14" t="n">
        <v>3998.25</v>
      </c>
      <c r="M853" s="22" t="n">
        <v>1.126</v>
      </c>
      <c r="N853" s="14" t="n">
        <v>4502.03</v>
      </c>
      <c r="O853" s="14" t="n">
        <v>503.78</v>
      </c>
      <c r="P853" s="21" t="n">
        <v>0.136</v>
      </c>
      <c r="Q853" s="6" t="n">
        <v>60</v>
      </c>
      <c r="R853" s="6" t="s">
        <v>161</v>
      </c>
      <c r="S853" s="21" t="n">
        <v>1</v>
      </c>
      <c r="T853" s="14" t="n">
        <v>4502.03</v>
      </c>
      <c r="U853" s="6" t="s">
        <v>58</v>
      </c>
    </row>
    <row r="854" customFormat="false" ht="15" hidden="false" customHeight="true" outlineLevel="0" collapsed="false">
      <c r="A854" s="6" t="s">
        <v>1901</v>
      </c>
      <c r="B854" s="6" t="s">
        <v>1902</v>
      </c>
      <c r="C854" s="6" t="s">
        <v>131</v>
      </c>
      <c r="D854" s="6" t="s">
        <v>176</v>
      </c>
      <c r="E854" s="6" t="s">
        <v>192</v>
      </c>
      <c r="F854" s="13" t="n">
        <v>45668</v>
      </c>
      <c r="G854" s="13" t="n">
        <v>45728</v>
      </c>
      <c r="H854" s="14" t="n">
        <v>116659.82</v>
      </c>
      <c r="I854" s="6" t="n">
        <v>0</v>
      </c>
      <c r="J854" s="6" t="n">
        <v>549</v>
      </c>
      <c r="K854" s="6" t="s">
        <v>160</v>
      </c>
      <c r="L854" s="14" t="n">
        <v>11286.47</v>
      </c>
      <c r="M854" s="22" t="n">
        <v>1.262</v>
      </c>
      <c r="N854" s="14" t="n">
        <v>14243.53</v>
      </c>
      <c r="O854" s="14" t="n">
        <v>2957.06</v>
      </c>
      <c r="P854" s="21" t="n">
        <v>0.156</v>
      </c>
      <c r="Q854" s="6" t="n">
        <v>60</v>
      </c>
      <c r="R854" s="6" t="s">
        <v>161</v>
      </c>
      <c r="S854" s="21" t="n">
        <v>1</v>
      </c>
      <c r="T854" s="14" t="n">
        <v>14243.53</v>
      </c>
      <c r="U854" s="6" t="s">
        <v>47</v>
      </c>
    </row>
    <row r="855" customFormat="false" ht="15" hidden="false" customHeight="true" outlineLevel="0" collapsed="false">
      <c r="A855" s="6" t="s">
        <v>1903</v>
      </c>
      <c r="B855" s="6" t="s">
        <v>1904</v>
      </c>
      <c r="C855" s="6" t="s">
        <v>124</v>
      </c>
      <c r="D855" s="6" t="s">
        <v>168</v>
      </c>
      <c r="E855" s="6" t="s">
        <v>254</v>
      </c>
      <c r="F855" s="13" t="n">
        <v>44621</v>
      </c>
      <c r="G855" s="13" t="n">
        <v>44681</v>
      </c>
      <c r="H855" s="14" t="n">
        <v>111449.14</v>
      </c>
      <c r="I855" s="6" t="n">
        <v>1</v>
      </c>
      <c r="J855" s="6" t="n">
        <v>712</v>
      </c>
      <c r="K855" s="6" t="s">
        <v>160</v>
      </c>
      <c r="L855" s="14" t="n">
        <v>13077.62</v>
      </c>
      <c r="M855" s="22" t="n">
        <v>1.205</v>
      </c>
      <c r="N855" s="14" t="n">
        <v>15758.53</v>
      </c>
      <c r="O855" s="14" t="n">
        <v>2680.91</v>
      </c>
      <c r="P855" s="21" t="n">
        <v>0.099</v>
      </c>
      <c r="Q855" s="6" t="n">
        <v>60</v>
      </c>
      <c r="R855" s="6" t="s">
        <v>161</v>
      </c>
      <c r="S855" s="21" t="n">
        <v>1</v>
      </c>
      <c r="T855" s="14" t="n">
        <v>15758.53</v>
      </c>
      <c r="U855" s="6" t="s">
        <v>13</v>
      </c>
    </row>
    <row r="856" customFormat="false" ht="15" hidden="false" customHeight="true" outlineLevel="0" collapsed="false">
      <c r="A856" s="6" t="s">
        <v>1905</v>
      </c>
      <c r="B856" s="6" t="s">
        <v>1906</v>
      </c>
      <c r="C856" s="6" t="s">
        <v>128</v>
      </c>
      <c r="D856" s="6" t="s">
        <v>172</v>
      </c>
      <c r="E856" s="6" t="s">
        <v>159</v>
      </c>
      <c r="F856" s="13" t="n">
        <v>45893</v>
      </c>
      <c r="G856" s="13" t="n">
        <v>45997</v>
      </c>
      <c r="H856" s="14" t="n">
        <v>72362.27</v>
      </c>
      <c r="I856" s="6" t="n">
        <v>1</v>
      </c>
      <c r="J856" s="6" t="n">
        <v>760</v>
      </c>
      <c r="K856" s="6" t="s">
        <v>160</v>
      </c>
      <c r="L856" s="14" t="n">
        <v>15772.9</v>
      </c>
      <c r="M856" s="22" t="n">
        <v>1.195</v>
      </c>
      <c r="N856" s="14" t="n">
        <v>18848.62</v>
      </c>
      <c r="O856" s="14" t="n">
        <v>3075.72</v>
      </c>
      <c r="P856" s="21" t="n">
        <v>0.075</v>
      </c>
      <c r="Q856" s="6" t="n">
        <v>104</v>
      </c>
      <c r="R856" s="6" t="s">
        <v>155</v>
      </c>
      <c r="S856" s="21" t="n">
        <v>0.98</v>
      </c>
      <c r="T856" s="14" t="n">
        <v>18471.65</v>
      </c>
      <c r="U856" s="6" t="s">
        <v>54</v>
      </c>
    </row>
    <row r="857" customFormat="false" ht="15" hidden="false" customHeight="true" outlineLevel="0" collapsed="false">
      <c r="A857" s="6" t="s">
        <v>1907</v>
      </c>
      <c r="B857" s="6" t="s">
        <v>1908</v>
      </c>
      <c r="C857" s="6" t="s">
        <v>124</v>
      </c>
      <c r="D857" s="6" t="s">
        <v>238</v>
      </c>
      <c r="E857" s="6" t="s">
        <v>189</v>
      </c>
      <c r="F857" s="13" t="n">
        <v>44703</v>
      </c>
      <c r="G857" s="13" t="n">
        <v>44763</v>
      </c>
      <c r="H857" s="14" t="n">
        <v>200574.84</v>
      </c>
      <c r="I857" s="6" t="n">
        <v>3</v>
      </c>
      <c r="J857" s="6" t="n">
        <v>815</v>
      </c>
      <c r="K857" s="6" t="s">
        <v>154</v>
      </c>
      <c r="L857" s="14" t="n">
        <v>27862.16</v>
      </c>
      <c r="M857" s="22" t="n">
        <v>1.209</v>
      </c>
      <c r="N857" s="14" t="n">
        <v>33685.35</v>
      </c>
      <c r="O857" s="14" t="n">
        <v>5823.19</v>
      </c>
      <c r="P857" s="21" t="n">
        <v>0.123</v>
      </c>
      <c r="Q857" s="6" t="n">
        <v>60</v>
      </c>
      <c r="R857" s="6" t="s">
        <v>161</v>
      </c>
      <c r="S857" s="21" t="n">
        <v>1</v>
      </c>
      <c r="T857" s="14" t="n">
        <v>33685.35</v>
      </c>
      <c r="U857" s="6" t="s">
        <v>15</v>
      </c>
    </row>
    <row r="858" customFormat="false" ht="15" hidden="false" customHeight="true" outlineLevel="0" collapsed="false">
      <c r="A858" s="6" t="s">
        <v>1909</v>
      </c>
      <c r="B858" s="6" t="s">
        <v>1910</v>
      </c>
      <c r="C858" s="6" t="s">
        <v>120</v>
      </c>
      <c r="D858" s="6" t="s">
        <v>263</v>
      </c>
      <c r="E858" s="6" t="s">
        <v>181</v>
      </c>
      <c r="F858" s="13" t="n">
        <v>45795</v>
      </c>
      <c r="G858" s="13" t="n">
        <v>45887</v>
      </c>
      <c r="H858" s="14" t="n">
        <v>128869.57</v>
      </c>
      <c r="I858" s="6" t="n">
        <v>0</v>
      </c>
      <c r="J858" s="6" t="n">
        <v>560</v>
      </c>
      <c r="K858" s="6" t="s">
        <v>160</v>
      </c>
      <c r="L858" s="14" t="n">
        <v>27186.83</v>
      </c>
      <c r="M858" s="22" t="n">
        <v>1.266</v>
      </c>
      <c r="N858" s="14" t="n">
        <v>34418.53</v>
      </c>
      <c r="O858" s="14" t="n">
        <v>7231.7</v>
      </c>
      <c r="P858" s="21" t="n">
        <v>0.087</v>
      </c>
      <c r="Q858" s="6" t="n">
        <v>92</v>
      </c>
      <c r="R858" s="6" t="s">
        <v>161</v>
      </c>
      <c r="S858" s="21" t="n">
        <v>1</v>
      </c>
      <c r="T858" s="14" t="n">
        <v>34418.53</v>
      </c>
      <c r="U858" s="6" t="s">
        <v>51</v>
      </c>
    </row>
    <row r="859" customFormat="false" ht="15" hidden="false" customHeight="true" outlineLevel="0" collapsed="false">
      <c r="A859" s="6" t="s">
        <v>1911</v>
      </c>
      <c r="B859" s="6" t="s">
        <v>1912</v>
      </c>
      <c r="C859" s="6" t="s">
        <v>131</v>
      </c>
      <c r="D859" s="6" t="s">
        <v>152</v>
      </c>
      <c r="E859" s="6" t="s">
        <v>159</v>
      </c>
      <c r="F859" s="13" t="n">
        <v>45331</v>
      </c>
      <c r="G859" s="13" t="n">
        <v>45391</v>
      </c>
      <c r="H859" s="14" t="n">
        <v>215988.02</v>
      </c>
      <c r="I859" s="6" t="n">
        <v>0</v>
      </c>
      <c r="J859" s="6" t="n">
        <v>664</v>
      </c>
      <c r="K859" s="6" t="s">
        <v>154</v>
      </c>
      <c r="L859" s="14" t="n">
        <v>45828.42</v>
      </c>
      <c r="M859" s="22" t="n">
        <v>1.215</v>
      </c>
      <c r="N859" s="14" t="n">
        <v>55681.53</v>
      </c>
      <c r="O859" s="14" t="n">
        <v>9853.11</v>
      </c>
      <c r="P859" s="21" t="n">
        <v>0.163</v>
      </c>
      <c r="Q859" s="6" t="n">
        <v>60</v>
      </c>
      <c r="R859" s="6" t="s">
        <v>155</v>
      </c>
      <c r="S859" s="21" t="n">
        <v>0.778</v>
      </c>
      <c r="T859" s="14" t="n">
        <v>43320.23</v>
      </c>
      <c r="U859" s="6" t="s">
        <v>36</v>
      </c>
    </row>
    <row r="860" customFormat="false" ht="15" hidden="false" customHeight="true" outlineLevel="0" collapsed="false">
      <c r="A860" s="6" t="s">
        <v>1913</v>
      </c>
      <c r="B860" s="6" t="s">
        <v>1914</v>
      </c>
      <c r="C860" s="6" t="s">
        <v>112</v>
      </c>
      <c r="D860" s="6" t="s">
        <v>225</v>
      </c>
      <c r="E860" s="6" t="s">
        <v>184</v>
      </c>
      <c r="F860" s="13" t="n">
        <v>45509</v>
      </c>
      <c r="G860" s="13" t="n">
        <v>45604</v>
      </c>
      <c r="H860" s="14" t="n">
        <v>126822.52</v>
      </c>
      <c r="I860" s="6" t="n">
        <v>1</v>
      </c>
      <c r="J860" s="6" t="n">
        <v>647</v>
      </c>
      <c r="K860" s="6" t="s">
        <v>160</v>
      </c>
      <c r="L860" s="14" t="n">
        <v>44200.8</v>
      </c>
      <c r="M860" s="22" t="n">
        <v>1.197</v>
      </c>
      <c r="N860" s="14" t="n">
        <v>52908.36</v>
      </c>
      <c r="O860" s="14" t="n">
        <v>8707.56</v>
      </c>
      <c r="P860" s="21" t="n">
        <v>0.131</v>
      </c>
      <c r="Q860" s="6" t="n">
        <v>95</v>
      </c>
      <c r="R860" s="6" t="s">
        <v>161</v>
      </c>
      <c r="S860" s="21" t="n">
        <v>1</v>
      </c>
      <c r="T860" s="14" t="n">
        <v>52908.36</v>
      </c>
      <c r="U860" s="6" t="s">
        <v>42</v>
      </c>
    </row>
    <row r="861" customFormat="false" ht="15" hidden="false" customHeight="true" outlineLevel="0" collapsed="false">
      <c r="A861" s="6" t="s">
        <v>1915</v>
      </c>
      <c r="B861" s="6" t="s">
        <v>1916</v>
      </c>
      <c r="C861" s="6" t="s">
        <v>112</v>
      </c>
      <c r="D861" s="6" t="s">
        <v>225</v>
      </c>
      <c r="E861" s="6" t="s">
        <v>173</v>
      </c>
      <c r="F861" s="13" t="n">
        <v>46146</v>
      </c>
      <c r="G861" s="13" t="n">
        <v>46206</v>
      </c>
      <c r="H861" s="14" t="n">
        <v>91483.72</v>
      </c>
      <c r="I861" s="6" t="n">
        <v>0</v>
      </c>
      <c r="J861" s="6" t="n">
        <v>600</v>
      </c>
      <c r="K861" s="6" t="s">
        <v>160</v>
      </c>
      <c r="L861" s="14" t="n">
        <v>15782.43</v>
      </c>
      <c r="M861" s="22" t="n">
        <v>1.334</v>
      </c>
      <c r="N861" s="14" t="n">
        <v>21053.76</v>
      </c>
      <c r="O861" s="14" t="n">
        <v>5271.33</v>
      </c>
      <c r="P861" s="21" t="n">
        <v>0.166</v>
      </c>
      <c r="Q861" s="6" t="n">
        <v>60</v>
      </c>
      <c r="R861" s="6" t="s">
        <v>161</v>
      </c>
      <c r="S861" s="21" t="n">
        <v>1</v>
      </c>
      <c r="T861" s="14" t="n">
        <v>21053.76</v>
      </c>
      <c r="U861" s="6" t="s">
        <v>63</v>
      </c>
    </row>
    <row r="862" customFormat="false" ht="15" hidden="false" customHeight="true" outlineLevel="0" collapsed="false">
      <c r="A862" s="6" t="s">
        <v>1917</v>
      </c>
      <c r="B862" s="6" t="s">
        <v>1918</v>
      </c>
      <c r="C862" s="6" t="s">
        <v>116</v>
      </c>
      <c r="D862" s="6" t="s">
        <v>152</v>
      </c>
      <c r="E862" s="6" t="s">
        <v>254</v>
      </c>
      <c r="F862" s="13" t="n">
        <v>45176</v>
      </c>
      <c r="G862" s="13" t="n">
        <v>45236</v>
      </c>
      <c r="H862" s="14" t="n">
        <v>122607.4</v>
      </c>
      <c r="I862" s="6" t="n">
        <v>1</v>
      </c>
      <c r="J862" s="6" t="n">
        <v>699</v>
      </c>
      <c r="K862" s="6" t="s">
        <v>160</v>
      </c>
      <c r="L862" s="14" t="n">
        <v>20567.36</v>
      </c>
      <c r="M862" s="22" t="n">
        <v>1.277</v>
      </c>
      <c r="N862" s="14" t="n">
        <v>26264.52</v>
      </c>
      <c r="O862" s="14" t="n">
        <v>5697.16</v>
      </c>
      <c r="P862" s="21" t="n">
        <v>0.121</v>
      </c>
      <c r="Q862" s="6" t="n">
        <v>60</v>
      </c>
      <c r="R862" s="6" t="s">
        <v>232</v>
      </c>
      <c r="S862" s="21" t="n">
        <v>1</v>
      </c>
      <c r="T862" s="14" t="n">
        <v>26264.52</v>
      </c>
      <c r="U862" s="6" t="s">
        <v>31</v>
      </c>
    </row>
    <row r="863" customFormat="false" ht="15" hidden="false" customHeight="true" outlineLevel="0" collapsed="false">
      <c r="A863" s="6" t="s">
        <v>1919</v>
      </c>
      <c r="B863" s="6" t="s">
        <v>1920</v>
      </c>
      <c r="C863" s="6" t="s">
        <v>131</v>
      </c>
      <c r="D863" s="6" t="s">
        <v>176</v>
      </c>
      <c r="E863" s="6" t="s">
        <v>288</v>
      </c>
      <c r="F863" s="13" t="n">
        <v>44922</v>
      </c>
      <c r="G863" s="13" t="n">
        <v>45057</v>
      </c>
      <c r="H863" s="14" t="n">
        <v>149025.39</v>
      </c>
      <c r="I863" s="6" t="n">
        <v>5</v>
      </c>
      <c r="J863" s="6" t="n">
        <v>640</v>
      </c>
      <c r="K863" s="6" t="s">
        <v>160</v>
      </c>
      <c r="L863" s="14" t="n">
        <v>51303.24</v>
      </c>
      <c r="M863" s="22" t="n">
        <v>1.086</v>
      </c>
      <c r="N863" s="14" t="n">
        <v>55715.32</v>
      </c>
      <c r="O863" s="14" t="n">
        <v>4412.08</v>
      </c>
      <c r="P863" s="21" t="n">
        <v>0.083</v>
      </c>
      <c r="Q863" s="6" t="n">
        <v>135</v>
      </c>
      <c r="R863" s="6" t="s">
        <v>155</v>
      </c>
      <c r="S863" s="21" t="n">
        <v>0.731</v>
      </c>
      <c r="T863" s="14" t="n">
        <v>40727.9</v>
      </c>
      <c r="U863" s="6" t="s">
        <v>22</v>
      </c>
    </row>
    <row r="864" customFormat="false" ht="15" hidden="false" customHeight="true" outlineLevel="0" collapsed="false">
      <c r="A864" s="6" t="s">
        <v>1921</v>
      </c>
      <c r="B864" s="6" t="s">
        <v>1922</v>
      </c>
      <c r="C864" s="6" t="s">
        <v>112</v>
      </c>
      <c r="D864" s="6" t="s">
        <v>225</v>
      </c>
      <c r="E864" s="6" t="s">
        <v>211</v>
      </c>
      <c r="F864" s="13" t="n">
        <v>46011</v>
      </c>
      <c r="G864" s="13" t="n">
        <v>46071</v>
      </c>
      <c r="H864" s="14" t="n">
        <v>65890.42</v>
      </c>
      <c r="I864" s="6" t="n">
        <v>3</v>
      </c>
      <c r="J864" s="6" t="n">
        <v>537</v>
      </c>
      <c r="K864" s="6" t="s">
        <v>154</v>
      </c>
      <c r="L864" s="14" t="n">
        <v>10667.17</v>
      </c>
      <c r="M864" s="22" t="n">
        <v>1.247</v>
      </c>
      <c r="N864" s="14" t="n">
        <v>13301.96</v>
      </c>
      <c r="O864" s="14" t="n">
        <v>2634.79</v>
      </c>
      <c r="P864" s="21" t="n">
        <v>0.165</v>
      </c>
      <c r="Q864" s="6" t="n">
        <v>60</v>
      </c>
      <c r="R864" s="6" t="s">
        <v>155</v>
      </c>
      <c r="S864" s="21" t="n">
        <v>0.729</v>
      </c>
      <c r="T864" s="14" t="n">
        <v>9697.13</v>
      </c>
      <c r="U864" s="6" t="s">
        <v>58</v>
      </c>
    </row>
    <row r="865" customFormat="false" ht="15" hidden="false" customHeight="true" outlineLevel="0" collapsed="false">
      <c r="A865" s="6" t="s">
        <v>1923</v>
      </c>
      <c r="B865" s="6" t="s">
        <v>1924</v>
      </c>
      <c r="C865" s="6" t="s">
        <v>112</v>
      </c>
      <c r="D865" s="6" t="s">
        <v>172</v>
      </c>
      <c r="E865" s="6" t="s">
        <v>189</v>
      </c>
      <c r="F865" s="13" t="n">
        <v>44985</v>
      </c>
      <c r="G865" s="13" t="n">
        <v>45045</v>
      </c>
      <c r="H865" s="14" t="n">
        <v>218264.03</v>
      </c>
      <c r="I865" s="6" t="n">
        <v>0</v>
      </c>
      <c r="J865" s="6" t="n">
        <v>549</v>
      </c>
      <c r="K865" s="6" t="s">
        <v>160</v>
      </c>
      <c r="L865" s="14" t="n">
        <v>30940.28</v>
      </c>
      <c r="M865" s="22" t="n">
        <v>1.232</v>
      </c>
      <c r="N865" s="14" t="n">
        <v>38118.42</v>
      </c>
      <c r="O865" s="14" t="n">
        <v>7178.14</v>
      </c>
      <c r="P865" s="21" t="n">
        <v>0.156</v>
      </c>
      <c r="Q865" s="6" t="n">
        <v>60</v>
      </c>
      <c r="R865" s="6" t="s">
        <v>155</v>
      </c>
      <c r="S865" s="21" t="n">
        <v>0.98</v>
      </c>
      <c r="T865" s="14" t="n">
        <v>37356.05</v>
      </c>
      <c r="U865" s="6" t="s">
        <v>24</v>
      </c>
    </row>
    <row r="866" customFormat="false" ht="15" hidden="false" customHeight="true" outlineLevel="0" collapsed="false">
      <c r="A866" s="6" t="s">
        <v>1925</v>
      </c>
      <c r="B866" s="6" t="s">
        <v>1926</v>
      </c>
      <c r="C866" s="6" t="s">
        <v>128</v>
      </c>
      <c r="D866" s="6" t="s">
        <v>172</v>
      </c>
      <c r="E866" s="6" t="s">
        <v>169</v>
      </c>
      <c r="F866" s="13" t="n">
        <v>45071</v>
      </c>
      <c r="G866" s="13" t="n">
        <v>45176</v>
      </c>
      <c r="H866" s="14" t="n">
        <v>199950.41</v>
      </c>
      <c r="I866" s="6" t="n">
        <v>1</v>
      </c>
      <c r="J866" s="6" t="n">
        <v>511</v>
      </c>
      <c r="K866" s="6" t="s">
        <v>154</v>
      </c>
      <c r="L866" s="14" t="n">
        <v>28778.08</v>
      </c>
      <c r="M866" s="22" t="n">
        <v>1.291</v>
      </c>
      <c r="N866" s="14" t="n">
        <v>37152.5</v>
      </c>
      <c r="O866" s="14" t="n">
        <v>8374.42</v>
      </c>
      <c r="P866" s="21" t="n">
        <v>0.053</v>
      </c>
      <c r="Q866" s="6" t="n">
        <v>105</v>
      </c>
      <c r="R866" s="6" t="s">
        <v>155</v>
      </c>
      <c r="S866" s="21" t="n">
        <v>0.98</v>
      </c>
      <c r="T866" s="14" t="n">
        <v>36409.45</v>
      </c>
      <c r="U866" s="6" t="s">
        <v>27</v>
      </c>
    </row>
    <row r="867" customFormat="false" ht="15" hidden="false" customHeight="true" outlineLevel="0" collapsed="false">
      <c r="A867" s="6" t="s">
        <v>1927</v>
      </c>
      <c r="B867" s="6" t="s">
        <v>1928</v>
      </c>
      <c r="C867" s="6" t="s">
        <v>131</v>
      </c>
      <c r="D867" s="6" t="s">
        <v>200</v>
      </c>
      <c r="E867" s="6" t="s">
        <v>153</v>
      </c>
      <c r="F867" s="13" t="n">
        <v>44608</v>
      </c>
      <c r="G867" s="13" t="n">
        <v>44672</v>
      </c>
      <c r="H867" s="14" t="n">
        <v>238893.74</v>
      </c>
      <c r="I867" s="6" t="n">
        <v>2</v>
      </c>
      <c r="J867" s="6" t="n">
        <v>683</v>
      </c>
      <c r="K867" s="6" t="s">
        <v>185</v>
      </c>
      <c r="L867" s="14" t="n">
        <v>70391.69</v>
      </c>
      <c r="M867" s="22" t="n">
        <v>1.195</v>
      </c>
      <c r="N867" s="14" t="n">
        <v>84118.07</v>
      </c>
      <c r="O867" s="14" t="n">
        <v>13726.38</v>
      </c>
      <c r="P867" s="21" t="n">
        <v>0.163</v>
      </c>
      <c r="Q867" s="6" t="n">
        <v>64</v>
      </c>
      <c r="R867" s="6" t="s">
        <v>155</v>
      </c>
      <c r="S867" s="21" t="n">
        <v>0.908</v>
      </c>
      <c r="T867" s="14" t="n">
        <v>76379.21</v>
      </c>
      <c r="U867" s="6" t="s">
        <v>12</v>
      </c>
    </row>
    <row r="868" customFormat="false" ht="15" hidden="false" customHeight="true" outlineLevel="0" collapsed="false">
      <c r="A868" s="6" t="s">
        <v>1929</v>
      </c>
      <c r="B868" s="6" t="s">
        <v>1930</v>
      </c>
      <c r="C868" s="6" t="s">
        <v>124</v>
      </c>
      <c r="D868" s="6" t="s">
        <v>243</v>
      </c>
      <c r="E868" s="6" t="s">
        <v>207</v>
      </c>
      <c r="F868" s="13" t="n">
        <v>45253</v>
      </c>
      <c r="G868" s="13" t="n">
        <v>45313</v>
      </c>
      <c r="H868" s="14" t="n">
        <v>166743.38</v>
      </c>
      <c r="I868" s="6" t="n">
        <v>1</v>
      </c>
      <c r="J868" s="6" t="n">
        <v>563</v>
      </c>
      <c r="K868" s="6" t="s">
        <v>160</v>
      </c>
      <c r="L868" s="14" t="n">
        <v>21938.91</v>
      </c>
      <c r="M868" s="22" t="n">
        <v>1.088</v>
      </c>
      <c r="N868" s="14" t="n">
        <v>23869.53</v>
      </c>
      <c r="O868" s="14" t="n">
        <v>1930.62</v>
      </c>
      <c r="P868" s="21" t="n">
        <v>0.148</v>
      </c>
      <c r="Q868" s="6" t="n">
        <v>60</v>
      </c>
      <c r="R868" s="6" t="s">
        <v>155</v>
      </c>
      <c r="S868" s="21" t="n">
        <v>0.972</v>
      </c>
      <c r="T868" s="14" t="n">
        <v>23201.18</v>
      </c>
      <c r="U868" s="6" t="s">
        <v>33</v>
      </c>
    </row>
    <row r="869" customFormat="false" ht="15" hidden="false" customHeight="true" outlineLevel="0" collapsed="false">
      <c r="A869" s="6" t="s">
        <v>1931</v>
      </c>
      <c r="B869" s="6" t="s">
        <v>1932</v>
      </c>
      <c r="C869" s="6" t="s">
        <v>131</v>
      </c>
      <c r="D869" s="6" t="s">
        <v>152</v>
      </c>
      <c r="E869" s="6" t="s">
        <v>177</v>
      </c>
      <c r="F869" s="13" t="n">
        <v>45741</v>
      </c>
      <c r="G869" s="13" t="n">
        <v>45917</v>
      </c>
      <c r="H869" s="14" t="n">
        <v>141199.13</v>
      </c>
      <c r="I869" s="6" t="n">
        <v>0</v>
      </c>
      <c r="J869" s="6" t="n">
        <v>588</v>
      </c>
      <c r="K869" s="6" t="s">
        <v>160</v>
      </c>
      <c r="L869" s="14" t="n">
        <v>43394.33</v>
      </c>
      <c r="M869" s="22" t="n">
        <v>1.247</v>
      </c>
      <c r="N869" s="14" t="n">
        <v>54112.73</v>
      </c>
      <c r="O869" s="14" t="n">
        <v>10718.4</v>
      </c>
      <c r="P869" s="21" t="n">
        <v>0.065</v>
      </c>
      <c r="Q869" s="6" t="n">
        <v>176</v>
      </c>
      <c r="R869" s="6" t="s">
        <v>232</v>
      </c>
      <c r="S869" s="21" t="n">
        <v>1</v>
      </c>
      <c r="T869" s="14" t="n">
        <v>54112.73</v>
      </c>
      <c r="U869" s="6" t="s">
        <v>49</v>
      </c>
    </row>
    <row r="870" customFormat="false" ht="15" hidden="false" customHeight="true" outlineLevel="0" collapsed="false">
      <c r="A870" s="6" t="s">
        <v>1933</v>
      </c>
      <c r="B870" s="6" t="s">
        <v>1934</v>
      </c>
      <c r="C870" s="6" t="s">
        <v>120</v>
      </c>
      <c r="D870" s="6" t="s">
        <v>158</v>
      </c>
      <c r="E870" s="6" t="s">
        <v>177</v>
      </c>
      <c r="F870" s="13" t="n">
        <v>44804</v>
      </c>
      <c r="G870" s="13" t="n">
        <v>44909</v>
      </c>
      <c r="H870" s="14" t="n">
        <v>114337.8</v>
      </c>
      <c r="I870" s="6" t="n">
        <v>1</v>
      </c>
      <c r="J870" s="6" t="n">
        <v>726</v>
      </c>
      <c r="K870" s="6" t="s">
        <v>160</v>
      </c>
      <c r="L870" s="14" t="n">
        <v>43936.16</v>
      </c>
      <c r="M870" s="22" t="n">
        <v>1.1</v>
      </c>
      <c r="N870" s="14" t="n">
        <v>48329.78</v>
      </c>
      <c r="O870" s="14" t="n">
        <v>4393.62</v>
      </c>
      <c r="P870" s="21" t="n">
        <v>0.12</v>
      </c>
      <c r="Q870" s="6" t="n">
        <v>105</v>
      </c>
      <c r="R870" s="6" t="s">
        <v>155</v>
      </c>
      <c r="S870" s="21" t="n">
        <v>0.835</v>
      </c>
      <c r="T870" s="14" t="n">
        <v>40355.37</v>
      </c>
      <c r="U870" s="6" t="s">
        <v>18</v>
      </c>
    </row>
    <row r="871" customFormat="false" ht="15" hidden="false" customHeight="true" outlineLevel="0" collapsed="false">
      <c r="A871" s="6" t="s">
        <v>1935</v>
      </c>
      <c r="B871" s="6" t="s">
        <v>1936</v>
      </c>
      <c r="C871" s="6" t="s">
        <v>131</v>
      </c>
      <c r="D871" s="6" t="s">
        <v>200</v>
      </c>
      <c r="E871" s="6" t="s">
        <v>207</v>
      </c>
      <c r="F871" s="13" t="n">
        <v>44738</v>
      </c>
      <c r="G871" s="13" t="n">
        <v>44899</v>
      </c>
      <c r="H871" s="14" t="n">
        <v>248034.94</v>
      </c>
      <c r="I871" s="6" t="n">
        <v>3</v>
      </c>
      <c r="J871" s="6" t="n">
        <v>613</v>
      </c>
      <c r="K871" s="6" t="s">
        <v>185</v>
      </c>
      <c r="L871" s="14" t="n">
        <v>59544.79</v>
      </c>
      <c r="M871" s="22" t="n">
        <v>1.142</v>
      </c>
      <c r="N871" s="14" t="n">
        <v>68000.15</v>
      </c>
      <c r="O871" s="14" t="n">
        <v>8455.36</v>
      </c>
      <c r="P871" s="21" t="n">
        <v>0.051</v>
      </c>
      <c r="Q871" s="6" t="n">
        <v>161</v>
      </c>
      <c r="R871" s="6" t="s">
        <v>155</v>
      </c>
      <c r="S871" s="21" t="n">
        <v>0.98</v>
      </c>
      <c r="T871" s="14" t="n">
        <v>66640.15</v>
      </c>
      <c r="U871" s="6" t="s">
        <v>16</v>
      </c>
    </row>
    <row r="872" customFormat="false" ht="15" hidden="false" customHeight="true" outlineLevel="0" collapsed="false">
      <c r="A872" s="6" t="s">
        <v>1937</v>
      </c>
      <c r="B872" s="6" t="s">
        <v>1938</v>
      </c>
      <c r="C872" s="6" t="s">
        <v>131</v>
      </c>
      <c r="D872" s="6" t="s">
        <v>200</v>
      </c>
      <c r="E872" s="6" t="s">
        <v>184</v>
      </c>
      <c r="F872" s="13" t="n">
        <v>46015</v>
      </c>
      <c r="G872" s="13" t="n">
        <v>46151</v>
      </c>
      <c r="H872" s="14" t="n">
        <v>16210.13</v>
      </c>
      <c r="I872" s="6" t="n">
        <v>2</v>
      </c>
      <c r="J872" s="6" t="n">
        <v>555</v>
      </c>
      <c r="K872" s="6" t="s">
        <v>185</v>
      </c>
      <c r="L872" s="14" t="n">
        <v>5527.02</v>
      </c>
      <c r="M872" s="22" t="n">
        <v>1.258</v>
      </c>
      <c r="N872" s="14" t="n">
        <v>6952.99</v>
      </c>
      <c r="O872" s="14" t="n">
        <v>1425.97</v>
      </c>
      <c r="P872" s="21" t="n">
        <v>0.094</v>
      </c>
      <c r="Q872" s="6" t="n">
        <v>136</v>
      </c>
      <c r="R872" s="6" t="s">
        <v>155</v>
      </c>
      <c r="S872" s="21" t="n">
        <v>0.98</v>
      </c>
      <c r="T872" s="14" t="n">
        <v>6813.93</v>
      </c>
      <c r="U872" s="6" t="s">
        <v>58</v>
      </c>
    </row>
    <row r="873" customFormat="false" ht="15" hidden="false" customHeight="true" outlineLevel="0" collapsed="false">
      <c r="A873" s="6" t="s">
        <v>1939</v>
      </c>
      <c r="B873" s="6" t="s">
        <v>1940</v>
      </c>
      <c r="C873" s="6" t="s">
        <v>116</v>
      </c>
      <c r="D873" s="6" t="s">
        <v>222</v>
      </c>
      <c r="E873" s="6" t="s">
        <v>207</v>
      </c>
      <c r="F873" s="13" t="n">
        <v>44588</v>
      </c>
      <c r="G873" s="13" t="n">
        <v>44767</v>
      </c>
      <c r="H873" s="14" t="n">
        <v>228086.13</v>
      </c>
      <c r="I873" s="6" t="n">
        <v>1</v>
      </c>
      <c r="J873" s="6" t="n">
        <v>656</v>
      </c>
      <c r="K873" s="6" t="s">
        <v>154</v>
      </c>
      <c r="L873" s="14" t="n">
        <v>77405</v>
      </c>
      <c r="M873" s="22" t="n">
        <v>1.092</v>
      </c>
      <c r="N873" s="14" t="n">
        <v>84526.26</v>
      </c>
      <c r="O873" s="14" t="n">
        <v>7121.26</v>
      </c>
      <c r="P873" s="21" t="n">
        <v>0.062</v>
      </c>
      <c r="Q873" s="6" t="n">
        <v>179</v>
      </c>
      <c r="R873" s="6" t="s">
        <v>161</v>
      </c>
      <c r="S873" s="21" t="n">
        <v>1</v>
      </c>
      <c r="T873" s="14" t="n">
        <v>84526.26</v>
      </c>
      <c r="U873" s="6" t="s">
        <v>11</v>
      </c>
    </row>
    <row r="874" customFormat="false" ht="15" hidden="false" customHeight="true" outlineLevel="0" collapsed="false">
      <c r="A874" s="6" t="s">
        <v>1941</v>
      </c>
      <c r="B874" s="6" t="s">
        <v>1942</v>
      </c>
      <c r="C874" s="6" t="s">
        <v>131</v>
      </c>
      <c r="D874" s="6" t="s">
        <v>176</v>
      </c>
      <c r="E874" s="6" t="s">
        <v>219</v>
      </c>
      <c r="F874" s="13" t="n">
        <v>46039</v>
      </c>
      <c r="G874" s="13" t="n">
        <v>46231</v>
      </c>
      <c r="H874" s="14" t="n">
        <v>210261.62</v>
      </c>
      <c r="I874" s="6" t="n">
        <v>3</v>
      </c>
      <c r="J874" s="6" t="n">
        <v>807</v>
      </c>
      <c r="K874" s="6" t="s">
        <v>154</v>
      </c>
      <c r="L874" s="14" t="n">
        <v>64260.42</v>
      </c>
      <c r="M874" s="22" t="n">
        <v>1.241</v>
      </c>
      <c r="N874" s="14" t="n">
        <v>79747.18</v>
      </c>
      <c r="O874" s="14" t="n">
        <v>15486.76</v>
      </c>
      <c r="P874" s="21" t="n">
        <v>0.059</v>
      </c>
      <c r="Q874" s="6" t="n">
        <v>192</v>
      </c>
      <c r="R874" s="6" t="s">
        <v>155</v>
      </c>
      <c r="S874" s="21" t="n">
        <v>0.871</v>
      </c>
      <c r="T874" s="14" t="n">
        <v>69459.79</v>
      </c>
      <c r="U874" s="6" t="s">
        <v>59</v>
      </c>
    </row>
    <row r="875" customFormat="false" ht="15" hidden="false" customHeight="true" outlineLevel="0" collapsed="false">
      <c r="A875" s="6" t="s">
        <v>1943</v>
      </c>
      <c r="B875" s="6" t="s">
        <v>1944</v>
      </c>
      <c r="C875" s="6" t="s">
        <v>124</v>
      </c>
      <c r="D875" s="6" t="s">
        <v>168</v>
      </c>
      <c r="E875" s="6" t="s">
        <v>181</v>
      </c>
      <c r="F875" s="13" t="n">
        <v>45502</v>
      </c>
      <c r="G875" s="13" t="n">
        <v>45562</v>
      </c>
      <c r="H875" s="14" t="n">
        <v>184179.12</v>
      </c>
      <c r="I875" s="6" t="n">
        <v>0</v>
      </c>
      <c r="J875" s="6" t="n">
        <v>638</v>
      </c>
      <c r="K875" s="6" t="s">
        <v>160</v>
      </c>
      <c r="L875" s="14" t="n">
        <v>39969.52</v>
      </c>
      <c r="M875" s="22" t="n">
        <v>1.234</v>
      </c>
      <c r="N875" s="14" t="n">
        <v>49322.39</v>
      </c>
      <c r="O875" s="14" t="n">
        <v>9352.87</v>
      </c>
      <c r="P875" s="21" t="n">
        <v>0.18</v>
      </c>
      <c r="Q875" s="6" t="n">
        <v>60</v>
      </c>
      <c r="R875" s="6" t="s">
        <v>155</v>
      </c>
      <c r="S875" s="21" t="n">
        <v>0.808</v>
      </c>
      <c r="T875" s="14" t="n">
        <v>39852.49</v>
      </c>
      <c r="U875" s="6" t="s">
        <v>41</v>
      </c>
    </row>
    <row r="876" customFormat="false" ht="15" hidden="false" customHeight="true" outlineLevel="0" collapsed="false">
      <c r="A876" s="6" t="s">
        <v>1945</v>
      </c>
      <c r="B876" s="6" t="s">
        <v>1946</v>
      </c>
      <c r="C876" s="6" t="s">
        <v>128</v>
      </c>
      <c r="D876" s="6" t="s">
        <v>172</v>
      </c>
      <c r="E876" s="6" t="s">
        <v>169</v>
      </c>
      <c r="F876" s="13" t="n">
        <v>46103</v>
      </c>
      <c r="G876" s="13" t="n">
        <v>46359</v>
      </c>
      <c r="H876" s="14" t="n">
        <v>160826.3</v>
      </c>
      <c r="I876" s="6" t="n">
        <v>2</v>
      </c>
      <c r="J876" s="6" t="n">
        <v>633</v>
      </c>
      <c r="K876" s="6" t="s">
        <v>185</v>
      </c>
      <c r="L876" s="14" t="n">
        <v>66309.56</v>
      </c>
      <c r="M876" s="22" t="n">
        <v>1.141</v>
      </c>
      <c r="N876" s="14" t="n">
        <v>75659.21</v>
      </c>
      <c r="O876" s="14" t="n">
        <v>9349.65</v>
      </c>
      <c r="P876" s="21" t="n">
        <v>0.055</v>
      </c>
      <c r="Q876" s="6" t="n">
        <v>256</v>
      </c>
      <c r="R876" s="6" t="s">
        <v>161</v>
      </c>
      <c r="S876" s="21" t="n">
        <v>1</v>
      </c>
      <c r="T876" s="14" t="n">
        <v>75659.21</v>
      </c>
      <c r="U876" s="6" t="s">
        <v>61</v>
      </c>
    </row>
    <row r="877" customFormat="false" ht="15" hidden="false" customHeight="true" outlineLevel="0" collapsed="false">
      <c r="A877" s="6" t="s">
        <v>1947</v>
      </c>
      <c r="B877" s="6" t="s">
        <v>1948</v>
      </c>
      <c r="C877" s="6" t="s">
        <v>116</v>
      </c>
      <c r="D877" s="6" t="s">
        <v>152</v>
      </c>
      <c r="E877" s="6" t="s">
        <v>299</v>
      </c>
      <c r="F877" s="13" t="n">
        <v>45056</v>
      </c>
      <c r="G877" s="13" t="n">
        <v>45139</v>
      </c>
      <c r="H877" s="14" t="n">
        <v>38251.78</v>
      </c>
      <c r="I877" s="6" t="n">
        <v>2</v>
      </c>
      <c r="J877" s="6" t="n">
        <v>712</v>
      </c>
      <c r="K877" s="6" t="s">
        <v>160</v>
      </c>
      <c r="L877" s="14" t="n">
        <v>9721.92</v>
      </c>
      <c r="M877" s="22" t="n">
        <v>1.18</v>
      </c>
      <c r="N877" s="14" t="n">
        <v>11471.87</v>
      </c>
      <c r="O877" s="14" t="n">
        <v>1749.95</v>
      </c>
      <c r="P877" s="21" t="n">
        <v>0.108</v>
      </c>
      <c r="Q877" s="6" t="n">
        <v>83</v>
      </c>
      <c r="R877" s="6" t="s">
        <v>155</v>
      </c>
      <c r="S877" s="21" t="n">
        <v>0.98</v>
      </c>
      <c r="T877" s="14" t="n">
        <v>11242.43</v>
      </c>
      <c r="U877" s="6" t="s">
        <v>27</v>
      </c>
    </row>
    <row r="878" customFormat="false" ht="15" hidden="false" customHeight="true" outlineLevel="0" collapsed="false">
      <c r="A878" s="6" t="s">
        <v>1949</v>
      </c>
      <c r="B878" s="6" t="s">
        <v>1950</v>
      </c>
      <c r="C878" s="6" t="s">
        <v>112</v>
      </c>
      <c r="D878" s="6" t="s">
        <v>164</v>
      </c>
      <c r="E878" s="6" t="s">
        <v>299</v>
      </c>
      <c r="F878" s="13" t="n">
        <v>44827</v>
      </c>
      <c r="G878" s="13" t="n">
        <v>44887</v>
      </c>
      <c r="H878" s="14" t="n">
        <v>104664.59</v>
      </c>
      <c r="I878" s="6" t="n">
        <v>4</v>
      </c>
      <c r="J878" s="6" t="n">
        <v>631</v>
      </c>
      <c r="K878" s="6" t="s">
        <v>160</v>
      </c>
      <c r="L878" s="14" t="n">
        <v>15865.7</v>
      </c>
      <c r="M878" s="22" t="n">
        <v>1.142</v>
      </c>
      <c r="N878" s="14" t="n">
        <v>18118.63</v>
      </c>
      <c r="O878" s="14" t="n">
        <v>2252.93</v>
      </c>
      <c r="P878" s="21" t="n">
        <v>0.179</v>
      </c>
      <c r="Q878" s="6" t="n">
        <v>60</v>
      </c>
      <c r="R878" s="6" t="s">
        <v>155</v>
      </c>
      <c r="S878" s="21" t="n">
        <v>0.98</v>
      </c>
      <c r="T878" s="14" t="n">
        <v>17756.26</v>
      </c>
      <c r="U878" s="6" t="s">
        <v>19</v>
      </c>
    </row>
    <row r="879" customFormat="false" ht="15" hidden="false" customHeight="true" outlineLevel="0" collapsed="false">
      <c r="A879" s="6" t="s">
        <v>1951</v>
      </c>
      <c r="B879" s="6" t="s">
        <v>1952</v>
      </c>
      <c r="C879" s="6" t="s">
        <v>124</v>
      </c>
      <c r="D879" s="6" t="s">
        <v>243</v>
      </c>
      <c r="E879" s="6" t="s">
        <v>153</v>
      </c>
      <c r="F879" s="13" t="n">
        <v>45109</v>
      </c>
      <c r="G879" s="13" t="n">
        <v>45175</v>
      </c>
      <c r="H879" s="14" t="n">
        <v>139458.82</v>
      </c>
      <c r="I879" s="6" t="n">
        <v>1</v>
      </c>
      <c r="J879" s="6" t="n">
        <v>546</v>
      </c>
      <c r="K879" s="6" t="s">
        <v>160</v>
      </c>
      <c r="L879" s="14" t="n">
        <v>29412.26</v>
      </c>
      <c r="M879" s="22" t="n">
        <v>1.135</v>
      </c>
      <c r="N879" s="14" t="n">
        <v>33382.92</v>
      </c>
      <c r="O879" s="14" t="n">
        <v>3970.66</v>
      </c>
      <c r="P879" s="21" t="n">
        <v>0.108</v>
      </c>
      <c r="Q879" s="6" t="n">
        <v>66</v>
      </c>
      <c r="R879" s="6" t="s">
        <v>155</v>
      </c>
      <c r="S879" s="21" t="n">
        <v>0.782</v>
      </c>
      <c r="T879" s="14" t="n">
        <v>26105.44</v>
      </c>
      <c r="U879" s="6" t="s">
        <v>29</v>
      </c>
    </row>
    <row r="880" customFormat="false" ht="15" hidden="false" customHeight="true" outlineLevel="0" collapsed="false">
      <c r="A880" s="6" t="s">
        <v>1953</v>
      </c>
      <c r="B880" s="6" t="s">
        <v>1954</v>
      </c>
      <c r="C880" s="6" t="s">
        <v>128</v>
      </c>
      <c r="D880" s="6" t="s">
        <v>401</v>
      </c>
      <c r="E880" s="6" t="s">
        <v>177</v>
      </c>
      <c r="F880" s="13" t="n">
        <v>45847</v>
      </c>
      <c r="G880" s="13" t="n">
        <v>45907</v>
      </c>
      <c r="H880" s="14" t="n">
        <v>190163.34</v>
      </c>
      <c r="I880" s="6" t="n">
        <v>2</v>
      </c>
      <c r="J880" s="6" t="n">
        <v>536</v>
      </c>
      <c r="K880" s="6" t="s">
        <v>185</v>
      </c>
      <c r="L880" s="14" t="n">
        <v>47665.6</v>
      </c>
      <c r="M880" s="22" t="n">
        <v>1.084</v>
      </c>
      <c r="N880" s="14" t="n">
        <v>51669.51</v>
      </c>
      <c r="O880" s="14" t="n">
        <v>4003.91</v>
      </c>
      <c r="P880" s="21" t="n">
        <v>0.177</v>
      </c>
      <c r="Q880" s="6" t="n">
        <v>60</v>
      </c>
      <c r="R880" s="6" t="s">
        <v>161</v>
      </c>
      <c r="S880" s="21" t="n">
        <v>1</v>
      </c>
      <c r="T880" s="14" t="n">
        <v>51669.51</v>
      </c>
      <c r="U880" s="6" t="s">
        <v>53</v>
      </c>
    </row>
    <row r="881" customFormat="false" ht="15" hidden="false" customHeight="true" outlineLevel="0" collapsed="false">
      <c r="A881" s="6" t="s">
        <v>1955</v>
      </c>
      <c r="B881" s="6" t="s">
        <v>1956</v>
      </c>
      <c r="C881" s="6" t="s">
        <v>131</v>
      </c>
      <c r="D881" s="6" t="s">
        <v>152</v>
      </c>
      <c r="E881" s="6" t="s">
        <v>181</v>
      </c>
      <c r="F881" s="13" t="n">
        <v>45646</v>
      </c>
      <c r="G881" s="13" t="n">
        <v>45720</v>
      </c>
      <c r="H881" s="14" t="n">
        <v>78026.49</v>
      </c>
      <c r="I881" s="6" t="n">
        <v>0</v>
      </c>
      <c r="J881" s="6" t="n">
        <v>728</v>
      </c>
      <c r="K881" s="6" t="s">
        <v>185</v>
      </c>
      <c r="L881" s="14" t="n">
        <v>15406.24</v>
      </c>
      <c r="M881" s="22" t="n">
        <v>1.341</v>
      </c>
      <c r="N881" s="14" t="n">
        <v>20659.77</v>
      </c>
      <c r="O881" s="14" t="n">
        <v>5253.53</v>
      </c>
      <c r="P881" s="21" t="n">
        <v>0.106</v>
      </c>
      <c r="Q881" s="6" t="n">
        <v>74</v>
      </c>
      <c r="R881" s="6" t="s">
        <v>161</v>
      </c>
      <c r="S881" s="21" t="n">
        <v>1</v>
      </c>
      <c r="T881" s="14" t="n">
        <v>20659.77</v>
      </c>
      <c r="U881" s="6" t="s">
        <v>46</v>
      </c>
    </row>
    <row r="882" customFormat="false" ht="15" hidden="false" customHeight="true" outlineLevel="0" collapsed="false">
      <c r="A882" s="6" t="s">
        <v>1957</v>
      </c>
      <c r="B882" s="6" t="s">
        <v>1958</v>
      </c>
      <c r="C882" s="6" t="s">
        <v>128</v>
      </c>
      <c r="D882" s="6" t="s">
        <v>172</v>
      </c>
      <c r="E882" s="6" t="s">
        <v>299</v>
      </c>
      <c r="F882" s="13" t="n">
        <v>45269</v>
      </c>
      <c r="G882" s="13" t="n">
        <v>45337</v>
      </c>
      <c r="H882" s="14" t="n">
        <v>27433.24</v>
      </c>
      <c r="I882" s="6" t="n">
        <v>1</v>
      </c>
      <c r="J882" s="6" t="n">
        <v>576</v>
      </c>
      <c r="K882" s="6" t="s">
        <v>154</v>
      </c>
      <c r="L882" s="14" t="n">
        <v>7001.46</v>
      </c>
      <c r="M882" s="22" t="n">
        <v>1.237</v>
      </c>
      <c r="N882" s="14" t="n">
        <v>8660.81</v>
      </c>
      <c r="O882" s="14" t="n">
        <v>1659.35</v>
      </c>
      <c r="P882" s="21" t="n">
        <v>0.138</v>
      </c>
      <c r="Q882" s="6" t="n">
        <v>68</v>
      </c>
      <c r="R882" s="6" t="s">
        <v>155</v>
      </c>
      <c r="S882" s="21" t="n">
        <v>0.973</v>
      </c>
      <c r="T882" s="14" t="n">
        <v>8426.97</v>
      </c>
      <c r="U882" s="6" t="s">
        <v>34</v>
      </c>
    </row>
    <row r="883" customFormat="false" ht="15" hidden="false" customHeight="true" outlineLevel="0" collapsed="false">
      <c r="A883" s="6" t="s">
        <v>1959</v>
      </c>
      <c r="B883" s="6" t="s">
        <v>1960</v>
      </c>
      <c r="C883" s="6" t="s">
        <v>128</v>
      </c>
      <c r="D883" s="6" t="s">
        <v>401</v>
      </c>
      <c r="E883" s="6" t="s">
        <v>326</v>
      </c>
      <c r="F883" s="13" t="n">
        <v>44862</v>
      </c>
      <c r="G883" s="13" t="n">
        <v>44989</v>
      </c>
      <c r="H883" s="14" t="n">
        <v>111712.04</v>
      </c>
      <c r="I883" s="6" t="n">
        <v>0</v>
      </c>
      <c r="J883" s="6" t="n">
        <v>687</v>
      </c>
      <c r="K883" s="6" t="s">
        <v>154</v>
      </c>
      <c r="L883" s="14" t="n">
        <v>28663.33</v>
      </c>
      <c r="M883" s="22" t="n">
        <v>1.222</v>
      </c>
      <c r="N883" s="14" t="n">
        <v>35026.59</v>
      </c>
      <c r="O883" s="14" t="n">
        <v>6363.26</v>
      </c>
      <c r="P883" s="21" t="n">
        <v>0.074</v>
      </c>
      <c r="Q883" s="6" t="n">
        <v>127</v>
      </c>
      <c r="R883" s="6" t="s">
        <v>155</v>
      </c>
      <c r="S883" s="21" t="n">
        <v>0.833</v>
      </c>
      <c r="T883" s="14" t="n">
        <v>29177.15</v>
      </c>
      <c r="U883" s="6" t="s">
        <v>20</v>
      </c>
    </row>
    <row r="884" customFormat="false" ht="15" hidden="false" customHeight="true" outlineLevel="0" collapsed="false">
      <c r="A884" s="6" t="s">
        <v>1961</v>
      </c>
      <c r="B884" s="6" t="s">
        <v>1962</v>
      </c>
      <c r="C884" s="6" t="s">
        <v>116</v>
      </c>
      <c r="D884" s="6" t="s">
        <v>222</v>
      </c>
      <c r="E884" s="6" t="s">
        <v>165</v>
      </c>
      <c r="F884" s="13" t="n">
        <v>45110</v>
      </c>
      <c r="G884" s="13" t="n">
        <v>45170</v>
      </c>
      <c r="H884" s="14" t="n">
        <v>166948.44</v>
      </c>
      <c r="I884" s="6" t="n">
        <v>1</v>
      </c>
      <c r="J884" s="6" t="n">
        <v>730</v>
      </c>
      <c r="K884" s="6" t="s">
        <v>160</v>
      </c>
      <c r="L884" s="14" t="n">
        <v>27552.15</v>
      </c>
      <c r="M884" s="22" t="n">
        <v>1.157</v>
      </c>
      <c r="N884" s="14" t="n">
        <v>31877.84</v>
      </c>
      <c r="O884" s="14" t="n">
        <v>4325.69</v>
      </c>
      <c r="P884" s="21" t="n">
        <v>0.116</v>
      </c>
      <c r="Q884" s="6" t="n">
        <v>60</v>
      </c>
      <c r="R884" s="6" t="s">
        <v>161</v>
      </c>
      <c r="S884" s="21" t="n">
        <v>1</v>
      </c>
      <c r="T884" s="14" t="n">
        <v>31877.84</v>
      </c>
      <c r="U884" s="6" t="s">
        <v>29</v>
      </c>
    </row>
    <row r="885" customFormat="false" ht="15" hidden="false" customHeight="true" outlineLevel="0" collapsed="false">
      <c r="A885" s="6" t="s">
        <v>1963</v>
      </c>
      <c r="B885" s="6" t="s">
        <v>1964</v>
      </c>
      <c r="C885" s="6" t="s">
        <v>124</v>
      </c>
      <c r="D885" s="6" t="s">
        <v>238</v>
      </c>
      <c r="E885" s="6" t="s">
        <v>254</v>
      </c>
      <c r="F885" s="13" t="n">
        <v>45134</v>
      </c>
      <c r="G885" s="13" t="n">
        <v>45219</v>
      </c>
      <c r="H885" s="14" t="n">
        <v>108030.78</v>
      </c>
      <c r="I885" s="6" t="n">
        <v>0</v>
      </c>
      <c r="J885" s="6" t="n">
        <v>742</v>
      </c>
      <c r="K885" s="6" t="s">
        <v>160</v>
      </c>
      <c r="L885" s="14" t="n">
        <v>32504.2</v>
      </c>
      <c r="M885" s="22" t="n">
        <v>1.246</v>
      </c>
      <c r="N885" s="14" t="n">
        <v>40500.23</v>
      </c>
      <c r="O885" s="14" t="n">
        <v>7996.03</v>
      </c>
      <c r="P885" s="21" t="n">
        <v>0.132</v>
      </c>
      <c r="Q885" s="6" t="n">
        <v>85</v>
      </c>
      <c r="R885" s="6" t="s">
        <v>155</v>
      </c>
      <c r="S885" s="21" t="n">
        <v>0.98</v>
      </c>
      <c r="T885" s="14" t="n">
        <v>39690.23</v>
      </c>
      <c r="U885" s="6" t="s">
        <v>29</v>
      </c>
    </row>
    <row r="886" customFormat="false" ht="15" hidden="false" customHeight="true" outlineLevel="0" collapsed="false">
      <c r="A886" s="6" t="s">
        <v>1965</v>
      </c>
      <c r="B886" s="6" t="s">
        <v>1966</v>
      </c>
      <c r="C886" s="6" t="s">
        <v>116</v>
      </c>
      <c r="D886" s="6" t="s">
        <v>206</v>
      </c>
      <c r="E886" s="6" t="s">
        <v>184</v>
      </c>
      <c r="F886" s="13" t="n">
        <v>45456</v>
      </c>
      <c r="G886" s="13" t="n">
        <v>45516</v>
      </c>
      <c r="H886" s="14" t="n">
        <v>193883.47</v>
      </c>
      <c r="I886" s="6" t="n">
        <v>3</v>
      </c>
      <c r="J886" s="6" t="n">
        <v>738</v>
      </c>
      <c r="K886" s="6" t="s">
        <v>160</v>
      </c>
      <c r="L886" s="14" t="n">
        <v>32648.29</v>
      </c>
      <c r="M886" s="22" t="n">
        <v>1.088</v>
      </c>
      <c r="N886" s="14" t="n">
        <v>35521.34</v>
      </c>
      <c r="O886" s="14" t="n">
        <v>2873.05</v>
      </c>
      <c r="P886" s="21" t="n">
        <v>0.093</v>
      </c>
      <c r="Q886" s="6" t="n">
        <v>60</v>
      </c>
      <c r="R886" s="6" t="s">
        <v>161</v>
      </c>
      <c r="S886" s="21" t="n">
        <v>1</v>
      </c>
      <c r="T886" s="14" t="n">
        <v>35521.34</v>
      </c>
      <c r="U886" s="6" t="s">
        <v>40</v>
      </c>
    </row>
    <row r="887" customFormat="false" ht="15" hidden="false" customHeight="true" outlineLevel="0" collapsed="false">
      <c r="A887" s="6" t="s">
        <v>1967</v>
      </c>
      <c r="B887" s="6" t="s">
        <v>1968</v>
      </c>
      <c r="C887" s="6" t="s">
        <v>128</v>
      </c>
      <c r="D887" s="6" t="s">
        <v>235</v>
      </c>
      <c r="E887" s="6" t="s">
        <v>169</v>
      </c>
      <c r="F887" s="13" t="n">
        <v>45730</v>
      </c>
      <c r="G887" s="13" t="n">
        <v>45800</v>
      </c>
      <c r="H887" s="14" t="n">
        <v>85176.55</v>
      </c>
      <c r="I887" s="6" t="n">
        <v>0</v>
      </c>
      <c r="J887" s="6" t="n">
        <v>513</v>
      </c>
      <c r="K887" s="6" t="s">
        <v>160</v>
      </c>
      <c r="L887" s="14" t="n">
        <v>20162.96</v>
      </c>
      <c r="M887" s="22" t="n">
        <v>1.145</v>
      </c>
      <c r="N887" s="14" t="n">
        <v>23086.59</v>
      </c>
      <c r="O887" s="14" t="n">
        <v>2923.63</v>
      </c>
      <c r="P887" s="21" t="n">
        <v>0.116</v>
      </c>
      <c r="Q887" s="6" t="n">
        <v>70</v>
      </c>
      <c r="R887" s="6" t="s">
        <v>161</v>
      </c>
      <c r="S887" s="21" t="n">
        <v>1</v>
      </c>
      <c r="T887" s="14" t="n">
        <v>23086.59</v>
      </c>
      <c r="U887" s="6" t="s">
        <v>49</v>
      </c>
    </row>
    <row r="888" customFormat="false" ht="15" hidden="false" customHeight="true" outlineLevel="0" collapsed="false">
      <c r="A888" s="6" t="s">
        <v>1969</v>
      </c>
      <c r="B888" s="6" t="s">
        <v>1970</v>
      </c>
      <c r="C888" s="6" t="s">
        <v>124</v>
      </c>
      <c r="D888" s="6" t="s">
        <v>243</v>
      </c>
      <c r="E888" s="6" t="s">
        <v>153</v>
      </c>
      <c r="F888" s="13" t="n">
        <v>45765</v>
      </c>
      <c r="G888" s="13" t="n">
        <v>45825</v>
      </c>
      <c r="H888" s="14" t="n">
        <v>134109.35</v>
      </c>
      <c r="I888" s="6" t="n">
        <v>0</v>
      </c>
      <c r="J888" s="6" t="n">
        <v>606</v>
      </c>
      <c r="K888" s="6" t="s">
        <v>160</v>
      </c>
      <c r="L888" s="14" t="n">
        <v>26013.69</v>
      </c>
      <c r="M888" s="22" t="n">
        <v>1.195</v>
      </c>
      <c r="N888" s="14" t="n">
        <v>31086.36</v>
      </c>
      <c r="O888" s="14" t="n">
        <v>5072.67</v>
      </c>
      <c r="P888" s="21" t="n">
        <v>0.168</v>
      </c>
      <c r="Q888" s="6" t="n">
        <v>60</v>
      </c>
      <c r="R888" s="6" t="s">
        <v>155</v>
      </c>
      <c r="S888" s="21" t="n">
        <v>0.774</v>
      </c>
      <c r="T888" s="14" t="n">
        <v>24060.84</v>
      </c>
      <c r="U888" s="6" t="s">
        <v>50</v>
      </c>
    </row>
    <row r="889" customFormat="false" ht="15" hidden="false" customHeight="true" outlineLevel="0" collapsed="false">
      <c r="A889" s="6" t="s">
        <v>1971</v>
      </c>
      <c r="B889" s="6" t="s">
        <v>1972</v>
      </c>
      <c r="C889" s="6" t="s">
        <v>131</v>
      </c>
      <c r="D889" s="6" t="s">
        <v>200</v>
      </c>
      <c r="E889" s="6" t="s">
        <v>177</v>
      </c>
      <c r="F889" s="13" t="n">
        <v>45181</v>
      </c>
      <c r="G889" s="13" t="n">
        <v>45258</v>
      </c>
      <c r="H889" s="14" t="n">
        <v>141402.29</v>
      </c>
      <c r="I889" s="6" t="n">
        <v>1</v>
      </c>
      <c r="J889" s="6" t="n">
        <v>661</v>
      </c>
      <c r="K889" s="6" t="s">
        <v>154</v>
      </c>
      <c r="L889" s="14" t="n">
        <v>51107.63</v>
      </c>
      <c r="M889" s="22" t="n">
        <v>1.092</v>
      </c>
      <c r="N889" s="14" t="n">
        <v>55809.53</v>
      </c>
      <c r="O889" s="14" t="n">
        <v>4701.9</v>
      </c>
      <c r="P889" s="21" t="n">
        <v>0.152</v>
      </c>
      <c r="Q889" s="6" t="n">
        <v>77</v>
      </c>
      <c r="R889" s="6" t="s">
        <v>155</v>
      </c>
      <c r="S889" s="21" t="n">
        <v>0.882</v>
      </c>
      <c r="T889" s="14" t="n">
        <v>49224.01</v>
      </c>
      <c r="U889" s="6" t="s">
        <v>31</v>
      </c>
    </row>
    <row r="890" customFormat="false" ht="15" hidden="false" customHeight="true" outlineLevel="0" collapsed="false">
      <c r="A890" s="6" t="s">
        <v>1973</v>
      </c>
      <c r="B890" s="6" t="s">
        <v>1974</v>
      </c>
      <c r="C890" s="6" t="s">
        <v>120</v>
      </c>
      <c r="D890" s="6" t="s">
        <v>263</v>
      </c>
      <c r="E890" s="6" t="s">
        <v>184</v>
      </c>
      <c r="F890" s="13" t="n">
        <v>45806</v>
      </c>
      <c r="G890" s="13" t="n">
        <v>45886</v>
      </c>
      <c r="H890" s="14" t="n">
        <v>30911.81</v>
      </c>
      <c r="I890" s="6" t="n">
        <v>1</v>
      </c>
      <c r="J890" s="6" t="n">
        <v>792</v>
      </c>
      <c r="K890" s="6" t="s">
        <v>154</v>
      </c>
      <c r="L890" s="14" t="n">
        <v>8185.55</v>
      </c>
      <c r="M890" s="22" t="n">
        <v>1.298</v>
      </c>
      <c r="N890" s="14" t="n">
        <v>10624.84</v>
      </c>
      <c r="O890" s="14" t="n">
        <v>2439.29</v>
      </c>
      <c r="P890" s="21" t="n">
        <v>0.128</v>
      </c>
      <c r="Q890" s="6" t="n">
        <v>80</v>
      </c>
      <c r="R890" s="6" t="s">
        <v>161</v>
      </c>
      <c r="S890" s="21" t="n">
        <v>1</v>
      </c>
      <c r="T890" s="14" t="n">
        <v>10624.84</v>
      </c>
      <c r="U890" s="6" t="s">
        <v>51</v>
      </c>
    </row>
    <row r="891" customFormat="false" ht="15" hidden="false" customHeight="true" outlineLevel="0" collapsed="false">
      <c r="A891" s="6" t="s">
        <v>1975</v>
      </c>
      <c r="B891" s="6" t="s">
        <v>1976</v>
      </c>
      <c r="C891" s="6" t="s">
        <v>112</v>
      </c>
      <c r="D891" s="6" t="s">
        <v>172</v>
      </c>
      <c r="E891" s="6" t="s">
        <v>192</v>
      </c>
      <c r="F891" s="13" t="n">
        <v>46162</v>
      </c>
      <c r="G891" s="13" t="n">
        <v>46258</v>
      </c>
      <c r="H891" s="14" t="n">
        <v>155697.37</v>
      </c>
      <c r="I891" s="6" t="n">
        <v>0</v>
      </c>
      <c r="J891" s="6" t="n">
        <v>772</v>
      </c>
      <c r="K891" s="6" t="s">
        <v>160</v>
      </c>
      <c r="L891" s="14" t="n">
        <v>64441.92</v>
      </c>
      <c r="M891" s="22" t="n">
        <v>1.309</v>
      </c>
      <c r="N891" s="14" t="n">
        <v>84354.47</v>
      </c>
      <c r="O891" s="14" t="n">
        <v>19912.55</v>
      </c>
      <c r="P891" s="21" t="n">
        <v>0.168</v>
      </c>
      <c r="Q891" s="6" t="n">
        <v>96</v>
      </c>
      <c r="R891" s="6" t="s">
        <v>155</v>
      </c>
      <c r="S891" s="21" t="n">
        <v>0.926</v>
      </c>
      <c r="T891" s="14" t="n">
        <v>78112.24</v>
      </c>
      <c r="U891" s="6" t="s">
        <v>63</v>
      </c>
    </row>
    <row r="892" customFormat="false" ht="15" hidden="false" customHeight="true" outlineLevel="0" collapsed="false">
      <c r="A892" s="6" t="s">
        <v>1977</v>
      </c>
      <c r="B892" s="6" t="s">
        <v>1978</v>
      </c>
      <c r="C892" s="6" t="s">
        <v>124</v>
      </c>
      <c r="D892" s="6" t="s">
        <v>168</v>
      </c>
      <c r="E892" s="6" t="s">
        <v>177</v>
      </c>
      <c r="F892" s="13" t="n">
        <v>44933</v>
      </c>
      <c r="G892" s="13" t="n">
        <v>45005</v>
      </c>
      <c r="H892" s="14" t="n">
        <v>134360.37</v>
      </c>
      <c r="I892" s="6" t="n">
        <v>0</v>
      </c>
      <c r="J892" s="6" t="n">
        <v>549</v>
      </c>
      <c r="K892" s="6" t="s">
        <v>185</v>
      </c>
      <c r="L892" s="14" t="n">
        <v>16092.99</v>
      </c>
      <c r="M892" s="22" t="n">
        <v>1.188</v>
      </c>
      <c r="N892" s="14" t="n">
        <v>19118.47</v>
      </c>
      <c r="O892" s="14" t="n">
        <v>3025.48</v>
      </c>
      <c r="P892" s="21" t="n">
        <v>0.059</v>
      </c>
      <c r="Q892" s="6" t="n">
        <v>72</v>
      </c>
      <c r="R892" s="6" t="s">
        <v>155</v>
      </c>
      <c r="S892" s="21" t="n">
        <v>0.976</v>
      </c>
      <c r="T892" s="14" t="n">
        <v>18659.63</v>
      </c>
      <c r="U892" s="6" t="s">
        <v>23</v>
      </c>
    </row>
    <row r="893" customFormat="false" ht="15" hidden="false" customHeight="true" outlineLevel="0" collapsed="false">
      <c r="A893" s="6" t="s">
        <v>1979</v>
      </c>
      <c r="B893" s="6" t="s">
        <v>1980</v>
      </c>
      <c r="C893" s="6" t="s">
        <v>116</v>
      </c>
      <c r="D893" s="6" t="s">
        <v>206</v>
      </c>
      <c r="E893" s="6" t="s">
        <v>159</v>
      </c>
      <c r="F893" s="13" t="n">
        <v>45602</v>
      </c>
      <c r="G893" s="13" t="n">
        <v>45662</v>
      </c>
      <c r="H893" s="14" t="n">
        <v>219701.99</v>
      </c>
      <c r="I893" s="6" t="n">
        <v>1</v>
      </c>
      <c r="J893" s="6" t="n">
        <v>695</v>
      </c>
      <c r="K893" s="6" t="s">
        <v>160</v>
      </c>
      <c r="L893" s="14" t="n">
        <v>27066.59</v>
      </c>
      <c r="M893" s="22" t="n">
        <v>1.176</v>
      </c>
      <c r="N893" s="14" t="n">
        <v>31830.31</v>
      </c>
      <c r="O893" s="14" t="n">
        <v>4763.72</v>
      </c>
      <c r="P893" s="21" t="n">
        <v>0.164</v>
      </c>
      <c r="Q893" s="6" t="n">
        <v>60</v>
      </c>
      <c r="R893" s="6" t="s">
        <v>309</v>
      </c>
      <c r="S893" s="21" t="n">
        <v>0.369</v>
      </c>
      <c r="T893" s="14" t="n">
        <v>11745.38</v>
      </c>
      <c r="U893" s="6" t="s">
        <v>45</v>
      </c>
    </row>
    <row r="894" customFormat="false" ht="15" hidden="false" customHeight="true" outlineLevel="0" collapsed="false">
      <c r="A894" s="6" t="s">
        <v>1981</v>
      </c>
      <c r="B894" s="6" t="s">
        <v>1982</v>
      </c>
      <c r="C894" s="6" t="s">
        <v>116</v>
      </c>
      <c r="D894" s="6" t="s">
        <v>152</v>
      </c>
      <c r="E894" s="6" t="s">
        <v>192</v>
      </c>
      <c r="F894" s="13" t="n">
        <v>45730</v>
      </c>
      <c r="G894" s="13" t="n">
        <v>45856</v>
      </c>
      <c r="H894" s="14" t="n">
        <v>205470.58</v>
      </c>
      <c r="I894" s="6" t="n">
        <v>0</v>
      </c>
      <c r="J894" s="6" t="n">
        <v>638</v>
      </c>
      <c r="K894" s="6" t="s">
        <v>154</v>
      </c>
      <c r="L894" s="14" t="n">
        <v>89784.75</v>
      </c>
      <c r="M894" s="22" t="n">
        <v>1.27</v>
      </c>
      <c r="N894" s="14" t="n">
        <v>114026.63</v>
      </c>
      <c r="O894" s="14" t="n">
        <v>24241.88</v>
      </c>
      <c r="P894" s="21" t="n">
        <v>0.132</v>
      </c>
      <c r="Q894" s="6" t="n">
        <v>126</v>
      </c>
      <c r="R894" s="6" t="s">
        <v>309</v>
      </c>
      <c r="S894" s="21" t="n">
        <v>0.523</v>
      </c>
      <c r="T894" s="14" t="n">
        <v>59635.93</v>
      </c>
      <c r="U894" s="6" t="s">
        <v>49</v>
      </c>
    </row>
    <row r="895" customFormat="false" ht="15" hidden="false" customHeight="true" outlineLevel="0" collapsed="false">
      <c r="A895" s="6" t="s">
        <v>1983</v>
      </c>
      <c r="B895" s="6" t="s">
        <v>1984</v>
      </c>
      <c r="C895" s="6" t="s">
        <v>124</v>
      </c>
      <c r="D895" s="6" t="s">
        <v>243</v>
      </c>
      <c r="E895" s="6" t="s">
        <v>326</v>
      </c>
      <c r="F895" s="13" t="n">
        <v>45432</v>
      </c>
      <c r="G895" s="13" t="n">
        <v>45524</v>
      </c>
      <c r="H895" s="14" t="n">
        <v>177755.56</v>
      </c>
      <c r="I895" s="6" t="n">
        <v>2</v>
      </c>
      <c r="J895" s="6" t="n">
        <v>660</v>
      </c>
      <c r="K895" s="6" t="s">
        <v>154</v>
      </c>
      <c r="L895" s="14" t="n">
        <v>36174.63</v>
      </c>
      <c r="M895" s="22" t="n">
        <v>1.229</v>
      </c>
      <c r="N895" s="14" t="n">
        <v>44458.62</v>
      </c>
      <c r="O895" s="14" t="n">
        <v>8283.99</v>
      </c>
      <c r="P895" s="21" t="n">
        <v>0.081</v>
      </c>
      <c r="Q895" s="6" t="n">
        <v>92</v>
      </c>
      <c r="R895" s="6" t="s">
        <v>161</v>
      </c>
      <c r="S895" s="21" t="n">
        <v>1</v>
      </c>
      <c r="T895" s="14" t="n">
        <v>44458.62</v>
      </c>
      <c r="U895" s="6" t="s">
        <v>39</v>
      </c>
    </row>
    <row r="896" customFormat="false" ht="15" hidden="false" customHeight="true" outlineLevel="0" collapsed="false">
      <c r="A896" s="6" t="s">
        <v>1985</v>
      </c>
      <c r="B896" s="6" t="s">
        <v>1986</v>
      </c>
      <c r="C896" s="6" t="s">
        <v>128</v>
      </c>
      <c r="D896" s="6" t="s">
        <v>235</v>
      </c>
      <c r="E896" s="6" t="s">
        <v>189</v>
      </c>
      <c r="F896" s="13" t="n">
        <v>45832</v>
      </c>
      <c r="G896" s="13" t="n">
        <v>45897</v>
      </c>
      <c r="H896" s="14" t="n">
        <v>166234.42</v>
      </c>
      <c r="I896" s="6" t="n">
        <v>1</v>
      </c>
      <c r="J896" s="6" t="n">
        <v>545</v>
      </c>
      <c r="K896" s="6" t="s">
        <v>160</v>
      </c>
      <c r="L896" s="14" t="n">
        <v>15129.28</v>
      </c>
      <c r="M896" s="22" t="n">
        <v>1.247</v>
      </c>
      <c r="N896" s="14" t="n">
        <v>18866.21</v>
      </c>
      <c r="O896" s="14" t="n">
        <v>3736.93</v>
      </c>
      <c r="P896" s="21" t="n">
        <v>0.052</v>
      </c>
      <c r="Q896" s="6" t="n">
        <v>65</v>
      </c>
      <c r="R896" s="6" t="s">
        <v>161</v>
      </c>
      <c r="S896" s="21" t="n">
        <v>1</v>
      </c>
      <c r="T896" s="14" t="n">
        <v>18866.21</v>
      </c>
      <c r="U896" s="6" t="s">
        <v>52</v>
      </c>
    </row>
    <row r="897" customFormat="false" ht="15" hidden="false" customHeight="true" outlineLevel="0" collapsed="false">
      <c r="A897" s="6" t="s">
        <v>1987</v>
      </c>
      <c r="B897" s="6" t="s">
        <v>1988</v>
      </c>
      <c r="C897" s="6" t="s">
        <v>120</v>
      </c>
      <c r="D897" s="6" t="s">
        <v>210</v>
      </c>
      <c r="E897" s="6" t="s">
        <v>254</v>
      </c>
      <c r="F897" s="13" t="n">
        <v>44591</v>
      </c>
      <c r="G897" s="13" t="n">
        <v>44671</v>
      </c>
      <c r="H897" s="14" t="n">
        <v>134913.61</v>
      </c>
      <c r="I897" s="6" t="n">
        <v>1</v>
      </c>
      <c r="J897" s="6" t="n">
        <v>540</v>
      </c>
      <c r="K897" s="6" t="s">
        <v>160</v>
      </c>
      <c r="L897" s="14" t="n">
        <v>37495.78</v>
      </c>
      <c r="M897" s="22" t="n">
        <v>1.22</v>
      </c>
      <c r="N897" s="14" t="n">
        <v>45744.85</v>
      </c>
      <c r="O897" s="14" t="n">
        <v>8249.07</v>
      </c>
      <c r="P897" s="21" t="n">
        <v>0.126</v>
      </c>
      <c r="Q897" s="6" t="n">
        <v>80</v>
      </c>
      <c r="R897" s="6" t="s">
        <v>155</v>
      </c>
      <c r="S897" s="21" t="n">
        <v>0.974</v>
      </c>
      <c r="T897" s="14" t="n">
        <v>44555.48</v>
      </c>
      <c r="U897" s="6" t="s">
        <v>11</v>
      </c>
    </row>
    <row r="898" customFormat="false" ht="15" hidden="false" customHeight="true" outlineLevel="0" collapsed="false">
      <c r="A898" s="6" t="s">
        <v>1989</v>
      </c>
      <c r="B898" s="6" t="s">
        <v>1990</v>
      </c>
      <c r="C898" s="6" t="s">
        <v>112</v>
      </c>
      <c r="D898" s="6" t="s">
        <v>188</v>
      </c>
      <c r="E898" s="6" t="s">
        <v>177</v>
      </c>
      <c r="F898" s="13" t="n">
        <v>44832</v>
      </c>
      <c r="G898" s="13" t="n">
        <v>44892</v>
      </c>
      <c r="H898" s="14" t="n">
        <v>99591.9</v>
      </c>
      <c r="I898" s="6" t="n">
        <v>3</v>
      </c>
      <c r="J898" s="6" t="n">
        <v>739</v>
      </c>
      <c r="K898" s="6" t="s">
        <v>160</v>
      </c>
      <c r="L898" s="14" t="n">
        <v>7741.61</v>
      </c>
      <c r="M898" s="22" t="n">
        <v>1.178</v>
      </c>
      <c r="N898" s="14" t="n">
        <v>9119.62</v>
      </c>
      <c r="O898" s="14" t="n">
        <v>1378.01</v>
      </c>
      <c r="P898" s="21" t="n">
        <v>0.172</v>
      </c>
      <c r="Q898" s="6" t="n">
        <v>60</v>
      </c>
      <c r="R898" s="6" t="s">
        <v>155</v>
      </c>
      <c r="S898" s="21" t="n">
        <v>0.951</v>
      </c>
      <c r="T898" s="14" t="n">
        <v>8672.76</v>
      </c>
      <c r="U898" s="6" t="s">
        <v>19</v>
      </c>
    </row>
    <row r="899" customFormat="false" ht="15" hidden="false" customHeight="true" outlineLevel="0" collapsed="false">
      <c r="A899" s="6" t="s">
        <v>1991</v>
      </c>
      <c r="B899" s="6" t="s">
        <v>1992</v>
      </c>
      <c r="C899" s="6" t="s">
        <v>112</v>
      </c>
      <c r="D899" s="6" t="s">
        <v>164</v>
      </c>
      <c r="E899" s="6" t="s">
        <v>304</v>
      </c>
      <c r="F899" s="13" t="n">
        <v>45119</v>
      </c>
      <c r="G899" s="13" t="n">
        <v>45237</v>
      </c>
      <c r="H899" s="14" t="n">
        <v>90153.97</v>
      </c>
      <c r="I899" s="6" t="n">
        <v>0</v>
      </c>
      <c r="J899" s="6" t="n">
        <v>700</v>
      </c>
      <c r="K899" s="6" t="s">
        <v>160</v>
      </c>
      <c r="L899" s="14" t="n">
        <v>20401.78</v>
      </c>
      <c r="M899" s="22" t="n">
        <v>1.131</v>
      </c>
      <c r="N899" s="14" t="n">
        <v>23074.41</v>
      </c>
      <c r="O899" s="14" t="n">
        <v>2672.63</v>
      </c>
      <c r="P899" s="21" t="n">
        <v>0.065</v>
      </c>
      <c r="Q899" s="6" t="n">
        <v>118</v>
      </c>
      <c r="R899" s="6" t="s">
        <v>161</v>
      </c>
      <c r="S899" s="21" t="n">
        <v>1</v>
      </c>
      <c r="T899" s="14" t="n">
        <v>23074.41</v>
      </c>
      <c r="U899" s="6" t="s">
        <v>29</v>
      </c>
    </row>
    <row r="900" customFormat="false" ht="15" hidden="false" customHeight="true" outlineLevel="0" collapsed="false">
      <c r="A900" s="6" t="s">
        <v>1993</v>
      </c>
      <c r="B900" s="6" t="s">
        <v>1994</v>
      </c>
      <c r="C900" s="6" t="s">
        <v>124</v>
      </c>
      <c r="D900" s="6" t="s">
        <v>238</v>
      </c>
      <c r="E900" s="6" t="s">
        <v>207</v>
      </c>
      <c r="F900" s="13" t="n">
        <v>45184</v>
      </c>
      <c r="G900" s="13" t="n">
        <v>45382</v>
      </c>
      <c r="H900" s="14" t="n">
        <v>176109.36</v>
      </c>
      <c r="I900" s="6" t="n">
        <v>3</v>
      </c>
      <c r="J900" s="6" t="n">
        <v>563</v>
      </c>
      <c r="K900" s="6" t="s">
        <v>185</v>
      </c>
      <c r="L900" s="14" t="n">
        <v>63387.27</v>
      </c>
      <c r="M900" s="22" t="n">
        <v>1.286</v>
      </c>
      <c r="N900" s="14" t="n">
        <v>81516.03</v>
      </c>
      <c r="O900" s="14" t="n">
        <v>18128.76</v>
      </c>
      <c r="P900" s="21" t="n">
        <v>0.07</v>
      </c>
      <c r="Q900" s="6" t="n">
        <v>198</v>
      </c>
      <c r="R900" s="6" t="s">
        <v>155</v>
      </c>
      <c r="S900" s="21" t="n">
        <v>0.752</v>
      </c>
      <c r="T900" s="14" t="n">
        <v>61300.05</v>
      </c>
      <c r="U900" s="6" t="s">
        <v>31</v>
      </c>
    </row>
    <row r="901" customFormat="false" ht="15" hidden="false" customHeight="true" outlineLevel="0" collapsed="false">
      <c r="A901" s="6" t="s">
        <v>1995</v>
      </c>
      <c r="B901" s="6" t="s">
        <v>1996</v>
      </c>
      <c r="C901" s="6" t="s">
        <v>128</v>
      </c>
      <c r="D901" s="6" t="s">
        <v>172</v>
      </c>
      <c r="E901" s="6" t="s">
        <v>169</v>
      </c>
      <c r="F901" s="13" t="n">
        <v>45652</v>
      </c>
      <c r="G901" s="13" t="n">
        <v>45712</v>
      </c>
      <c r="H901" s="14" t="n">
        <v>240848.37</v>
      </c>
      <c r="I901" s="6" t="n">
        <v>0</v>
      </c>
      <c r="J901" s="6" t="n">
        <v>816</v>
      </c>
      <c r="K901" s="6" t="s">
        <v>185</v>
      </c>
      <c r="L901" s="14" t="n">
        <v>49779.58</v>
      </c>
      <c r="M901" s="22" t="n">
        <v>1.327</v>
      </c>
      <c r="N901" s="14" t="n">
        <v>66057.5</v>
      </c>
      <c r="O901" s="14" t="n">
        <v>16277.92</v>
      </c>
      <c r="P901" s="21" t="n">
        <v>0.142</v>
      </c>
      <c r="Q901" s="6" t="n">
        <v>60</v>
      </c>
      <c r="R901" s="6" t="s">
        <v>155</v>
      </c>
      <c r="S901" s="21" t="n">
        <v>0.891</v>
      </c>
      <c r="T901" s="14" t="n">
        <v>58857.23</v>
      </c>
      <c r="U901" s="6" t="s">
        <v>46</v>
      </c>
    </row>
    <row r="902" customFormat="false" ht="15" hidden="false" customHeight="true" outlineLevel="0" collapsed="false">
      <c r="A902" s="6" t="s">
        <v>1997</v>
      </c>
      <c r="B902" s="6" t="s">
        <v>1998</v>
      </c>
      <c r="C902" s="6" t="s">
        <v>120</v>
      </c>
      <c r="D902" s="6" t="s">
        <v>218</v>
      </c>
      <c r="E902" s="6" t="s">
        <v>165</v>
      </c>
      <c r="F902" s="13" t="n">
        <v>45012</v>
      </c>
      <c r="G902" s="13" t="n">
        <v>45090</v>
      </c>
      <c r="H902" s="14" t="n">
        <v>39071.49</v>
      </c>
      <c r="I902" s="6" t="n">
        <v>2</v>
      </c>
      <c r="J902" s="6" t="n">
        <v>511</v>
      </c>
      <c r="K902" s="6" t="s">
        <v>160</v>
      </c>
      <c r="L902" s="14" t="n">
        <v>15510.75</v>
      </c>
      <c r="M902" s="22" t="n">
        <v>1.149</v>
      </c>
      <c r="N902" s="14" t="n">
        <v>17821.85</v>
      </c>
      <c r="O902" s="14" t="n">
        <v>2311.1</v>
      </c>
      <c r="P902" s="21" t="n">
        <v>0.174</v>
      </c>
      <c r="Q902" s="6" t="n">
        <v>78</v>
      </c>
      <c r="R902" s="6" t="s">
        <v>155</v>
      </c>
      <c r="S902" s="21" t="n">
        <v>0.98</v>
      </c>
      <c r="T902" s="14" t="n">
        <v>17465.41</v>
      </c>
      <c r="U902" s="6" t="s">
        <v>25</v>
      </c>
    </row>
    <row r="903" customFormat="false" ht="15" hidden="false" customHeight="true" outlineLevel="0" collapsed="false">
      <c r="A903" s="6" t="s">
        <v>1999</v>
      </c>
      <c r="B903" s="6" t="s">
        <v>2000</v>
      </c>
      <c r="C903" s="6" t="s">
        <v>128</v>
      </c>
      <c r="D903" s="6" t="s">
        <v>235</v>
      </c>
      <c r="E903" s="6" t="s">
        <v>288</v>
      </c>
      <c r="F903" s="13" t="n">
        <v>45025</v>
      </c>
      <c r="G903" s="13" t="n">
        <v>45085</v>
      </c>
      <c r="H903" s="14" t="n">
        <v>158577.54</v>
      </c>
      <c r="I903" s="6" t="n">
        <v>3</v>
      </c>
      <c r="J903" s="6" t="n">
        <v>650</v>
      </c>
      <c r="K903" s="6" t="s">
        <v>154</v>
      </c>
      <c r="L903" s="14" t="n">
        <v>11450.8</v>
      </c>
      <c r="M903" s="22" t="n">
        <v>1.136</v>
      </c>
      <c r="N903" s="14" t="n">
        <v>13008.11</v>
      </c>
      <c r="O903" s="14" t="n">
        <v>1557.31</v>
      </c>
      <c r="P903" s="21" t="n">
        <v>0.132</v>
      </c>
      <c r="Q903" s="6" t="n">
        <v>60</v>
      </c>
      <c r="R903" s="6" t="s">
        <v>161</v>
      </c>
      <c r="S903" s="21" t="n">
        <v>1</v>
      </c>
      <c r="T903" s="14" t="n">
        <v>13008.11</v>
      </c>
      <c r="U903" s="6" t="s">
        <v>26</v>
      </c>
    </row>
    <row r="904" customFormat="false" ht="15" hidden="false" customHeight="true" outlineLevel="0" collapsed="false">
      <c r="A904" s="6" t="s">
        <v>2001</v>
      </c>
      <c r="B904" s="6" t="s">
        <v>2002</v>
      </c>
      <c r="C904" s="6" t="s">
        <v>124</v>
      </c>
      <c r="D904" s="6" t="s">
        <v>243</v>
      </c>
      <c r="E904" s="6" t="s">
        <v>254</v>
      </c>
      <c r="F904" s="13" t="n">
        <v>45567</v>
      </c>
      <c r="G904" s="13" t="n">
        <v>45627</v>
      </c>
      <c r="H904" s="14" t="n">
        <v>35976.08</v>
      </c>
      <c r="I904" s="6" t="n">
        <v>1</v>
      </c>
      <c r="J904" s="6" t="n">
        <v>549</v>
      </c>
      <c r="K904" s="6" t="s">
        <v>160</v>
      </c>
      <c r="L904" s="14" t="n">
        <v>5518.06</v>
      </c>
      <c r="M904" s="22" t="n">
        <v>1.328</v>
      </c>
      <c r="N904" s="14" t="n">
        <v>7327.98</v>
      </c>
      <c r="O904" s="14" t="n">
        <v>1809.92</v>
      </c>
      <c r="P904" s="21" t="n">
        <v>0.117</v>
      </c>
      <c r="Q904" s="6" t="n">
        <v>60</v>
      </c>
      <c r="R904" s="6" t="s">
        <v>155</v>
      </c>
      <c r="S904" s="21" t="n">
        <v>0.904</v>
      </c>
      <c r="T904" s="14" t="n">
        <v>6624.49</v>
      </c>
      <c r="U904" s="6" t="s">
        <v>44</v>
      </c>
    </row>
    <row r="905" customFormat="false" ht="15" hidden="false" customHeight="true" outlineLevel="0" collapsed="false">
      <c r="A905" s="6" t="s">
        <v>2003</v>
      </c>
      <c r="B905" s="6" t="s">
        <v>2004</v>
      </c>
      <c r="C905" s="6" t="s">
        <v>131</v>
      </c>
      <c r="D905" s="6" t="s">
        <v>176</v>
      </c>
      <c r="E905" s="6" t="s">
        <v>299</v>
      </c>
      <c r="F905" s="13" t="n">
        <v>45386</v>
      </c>
      <c r="G905" s="13" t="n">
        <v>45583</v>
      </c>
      <c r="H905" s="14" t="n">
        <v>201008.51</v>
      </c>
      <c r="I905" s="6" t="n">
        <v>1</v>
      </c>
      <c r="J905" s="6" t="n">
        <v>599</v>
      </c>
      <c r="K905" s="6" t="s">
        <v>185</v>
      </c>
      <c r="L905" s="14" t="n">
        <v>63480.45</v>
      </c>
      <c r="M905" s="22" t="n">
        <v>1.082</v>
      </c>
      <c r="N905" s="14" t="n">
        <v>68685.85</v>
      </c>
      <c r="O905" s="14" t="n">
        <v>5205.4</v>
      </c>
      <c r="P905" s="21" t="n">
        <v>0.052</v>
      </c>
      <c r="Q905" s="6" t="n">
        <v>197</v>
      </c>
      <c r="R905" s="6" t="s">
        <v>161</v>
      </c>
      <c r="S905" s="21" t="n">
        <v>1</v>
      </c>
      <c r="T905" s="14" t="n">
        <v>68685.85</v>
      </c>
      <c r="U905" s="6" t="s">
        <v>38</v>
      </c>
    </row>
    <row r="906" customFormat="false" ht="15" hidden="false" customHeight="true" outlineLevel="0" collapsed="false">
      <c r="A906" s="6" t="s">
        <v>2005</v>
      </c>
      <c r="B906" s="6" t="s">
        <v>2006</v>
      </c>
      <c r="C906" s="6" t="s">
        <v>128</v>
      </c>
      <c r="D906" s="6" t="s">
        <v>172</v>
      </c>
      <c r="E906" s="6" t="s">
        <v>195</v>
      </c>
      <c r="F906" s="13" t="n">
        <v>45358</v>
      </c>
      <c r="G906" s="13" t="n">
        <v>45442</v>
      </c>
      <c r="H906" s="14" t="n">
        <v>241913.98</v>
      </c>
      <c r="I906" s="6" t="n">
        <v>2</v>
      </c>
      <c r="J906" s="6" t="n">
        <v>814</v>
      </c>
      <c r="K906" s="6" t="s">
        <v>185</v>
      </c>
      <c r="L906" s="14" t="n">
        <v>38410.46</v>
      </c>
      <c r="M906" s="22" t="n">
        <v>1.151</v>
      </c>
      <c r="N906" s="14" t="n">
        <v>44210.44</v>
      </c>
      <c r="O906" s="14" t="n">
        <v>5799.98</v>
      </c>
      <c r="P906" s="21" t="n">
        <v>0.065</v>
      </c>
      <c r="Q906" s="6" t="n">
        <v>84</v>
      </c>
      <c r="R906" s="6" t="s">
        <v>309</v>
      </c>
      <c r="S906" s="21" t="n">
        <v>0.307</v>
      </c>
      <c r="T906" s="14" t="n">
        <v>13572.61</v>
      </c>
      <c r="U906" s="6" t="s">
        <v>37</v>
      </c>
    </row>
    <row r="907" customFormat="false" ht="15" hidden="false" customHeight="true" outlineLevel="0" collapsed="false">
      <c r="A907" s="6" t="s">
        <v>2007</v>
      </c>
      <c r="B907" s="6" t="s">
        <v>2008</v>
      </c>
      <c r="C907" s="6" t="s">
        <v>116</v>
      </c>
      <c r="D907" s="6" t="s">
        <v>222</v>
      </c>
      <c r="E907" s="6" t="s">
        <v>207</v>
      </c>
      <c r="F907" s="13" t="n">
        <v>45693</v>
      </c>
      <c r="G907" s="13" t="n">
        <v>45783</v>
      </c>
      <c r="H907" s="14" t="n">
        <v>159472.42</v>
      </c>
      <c r="I907" s="6" t="n">
        <v>1</v>
      </c>
      <c r="J907" s="6" t="n">
        <v>527</v>
      </c>
      <c r="K907" s="6" t="s">
        <v>185</v>
      </c>
      <c r="L907" s="14" t="n">
        <v>53097.96</v>
      </c>
      <c r="M907" s="22" t="n">
        <v>1.33</v>
      </c>
      <c r="N907" s="14" t="n">
        <v>70620.29</v>
      </c>
      <c r="O907" s="14" t="n">
        <v>17522.33</v>
      </c>
      <c r="P907" s="21" t="n">
        <v>0.146</v>
      </c>
      <c r="Q907" s="6" t="n">
        <v>90</v>
      </c>
      <c r="R907" s="6" t="s">
        <v>155</v>
      </c>
      <c r="S907" s="21" t="n">
        <v>0.948</v>
      </c>
      <c r="T907" s="14" t="n">
        <v>66948.03</v>
      </c>
      <c r="U907" s="6" t="s">
        <v>48</v>
      </c>
    </row>
    <row r="908" customFormat="false" ht="15" hidden="false" customHeight="true" outlineLevel="0" collapsed="false">
      <c r="A908" s="6" t="s">
        <v>2009</v>
      </c>
      <c r="B908" s="6" t="s">
        <v>2010</v>
      </c>
      <c r="C908" s="6" t="s">
        <v>124</v>
      </c>
      <c r="D908" s="6" t="s">
        <v>180</v>
      </c>
      <c r="E908" s="6" t="s">
        <v>173</v>
      </c>
      <c r="F908" s="13" t="n">
        <v>46173</v>
      </c>
      <c r="G908" s="13" t="n">
        <v>46400</v>
      </c>
      <c r="H908" s="14" t="n">
        <v>25659.65</v>
      </c>
      <c r="I908" s="6" t="n">
        <v>0</v>
      </c>
      <c r="J908" s="6" t="n">
        <v>748</v>
      </c>
      <c r="K908" s="6" t="s">
        <v>154</v>
      </c>
      <c r="L908" s="14" t="n">
        <v>10936.99</v>
      </c>
      <c r="M908" s="22" t="n">
        <v>1.296</v>
      </c>
      <c r="N908" s="14" t="n">
        <v>14174.34</v>
      </c>
      <c r="O908" s="14" t="n">
        <v>3237.35</v>
      </c>
      <c r="P908" s="21" t="n">
        <v>0.073</v>
      </c>
      <c r="Q908" s="6" t="n">
        <v>227</v>
      </c>
      <c r="R908" s="6" t="s">
        <v>161</v>
      </c>
      <c r="S908" s="21" t="n">
        <v>1</v>
      </c>
      <c r="T908" s="14" t="n">
        <v>14174.34</v>
      </c>
      <c r="U908" s="6" t="s">
        <v>63</v>
      </c>
    </row>
    <row r="909" customFormat="false" ht="15" hidden="false" customHeight="true" outlineLevel="0" collapsed="false">
      <c r="A909" s="6" t="s">
        <v>2011</v>
      </c>
      <c r="B909" s="6" t="s">
        <v>2012</v>
      </c>
      <c r="C909" s="6" t="s">
        <v>128</v>
      </c>
      <c r="D909" s="6" t="s">
        <v>401</v>
      </c>
      <c r="E909" s="6" t="s">
        <v>153</v>
      </c>
      <c r="F909" s="13" t="n">
        <v>45074</v>
      </c>
      <c r="G909" s="13" t="n">
        <v>45134</v>
      </c>
      <c r="H909" s="14" t="n">
        <v>29061.48</v>
      </c>
      <c r="I909" s="6" t="n">
        <v>3</v>
      </c>
      <c r="J909" s="6" t="n">
        <v>668</v>
      </c>
      <c r="K909" s="6" t="s">
        <v>185</v>
      </c>
      <c r="L909" s="14" t="n">
        <v>4488.82</v>
      </c>
      <c r="M909" s="22" t="n">
        <v>1.29</v>
      </c>
      <c r="N909" s="14" t="n">
        <v>5790.58</v>
      </c>
      <c r="O909" s="14" t="n">
        <v>1301.76</v>
      </c>
      <c r="P909" s="21" t="n">
        <v>0.168</v>
      </c>
      <c r="Q909" s="6" t="n">
        <v>60</v>
      </c>
      <c r="R909" s="6" t="s">
        <v>155</v>
      </c>
      <c r="S909" s="21" t="n">
        <v>0.946</v>
      </c>
      <c r="T909" s="14" t="n">
        <v>5477.89</v>
      </c>
      <c r="U909" s="6" t="s">
        <v>27</v>
      </c>
    </row>
    <row r="910" customFormat="false" ht="15" hidden="false" customHeight="true" outlineLevel="0" collapsed="false">
      <c r="A910" s="6" t="s">
        <v>2013</v>
      </c>
      <c r="B910" s="6" t="s">
        <v>2014</v>
      </c>
      <c r="C910" s="6" t="s">
        <v>124</v>
      </c>
      <c r="D910" s="6" t="s">
        <v>238</v>
      </c>
      <c r="E910" s="6" t="s">
        <v>304</v>
      </c>
      <c r="F910" s="13" t="n">
        <v>44917</v>
      </c>
      <c r="G910" s="13" t="n">
        <v>45062</v>
      </c>
      <c r="H910" s="14" t="n">
        <v>149336.07</v>
      </c>
      <c r="I910" s="6" t="n">
        <v>1</v>
      </c>
      <c r="J910" s="6" t="n">
        <v>514</v>
      </c>
      <c r="K910" s="6" t="s">
        <v>160</v>
      </c>
      <c r="L910" s="14" t="n">
        <v>47804.85</v>
      </c>
      <c r="M910" s="22" t="n">
        <v>1.197</v>
      </c>
      <c r="N910" s="14" t="n">
        <v>57222.41</v>
      </c>
      <c r="O910" s="14" t="n">
        <v>9417.56</v>
      </c>
      <c r="P910" s="21" t="n">
        <v>0.079</v>
      </c>
      <c r="Q910" s="6" t="n">
        <v>145</v>
      </c>
      <c r="R910" s="6" t="s">
        <v>155</v>
      </c>
      <c r="S910" s="21" t="n">
        <v>0.878</v>
      </c>
      <c r="T910" s="14" t="n">
        <v>50241.28</v>
      </c>
      <c r="U910" s="6" t="s">
        <v>22</v>
      </c>
    </row>
    <row r="911" customFormat="false" ht="15" hidden="false" customHeight="true" outlineLevel="0" collapsed="false">
      <c r="A911" s="6" t="s">
        <v>2015</v>
      </c>
      <c r="B911" s="6" t="s">
        <v>2016</v>
      </c>
      <c r="C911" s="6" t="s">
        <v>131</v>
      </c>
      <c r="D911" s="6" t="s">
        <v>176</v>
      </c>
      <c r="E911" s="6" t="s">
        <v>211</v>
      </c>
      <c r="F911" s="13" t="n">
        <v>44997</v>
      </c>
      <c r="G911" s="13" t="n">
        <v>45187</v>
      </c>
      <c r="H911" s="14" t="n">
        <v>56512.91</v>
      </c>
      <c r="I911" s="6" t="n">
        <v>0</v>
      </c>
      <c r="J911" s="6" t="n">
        <v>621</v>
      </c>
      <c r="K911" s="6" t="s">
        <v>185</v>
      </c>
      <c r="L911" s="14" t="n">
        <v>24257.21</v>
      </c>
      <c r="M911" s="22" t="n">
        <v>1.304</v>
      </c>
      <c r="N911" s="14" t="n">
        <v>31631.4</v>
      </c>
      <c r="O911" s="14" t="n">
        <v>7374.19</v>
      </c>
      <c r="P911" s="21" t="n">
        <v>0.088</v>
      </c>
      <c r="Q911" s="6" t="n">
        <v>190</v>
      </c>
      <c r="R911" s="6" t="s">
        <v>155</v>
      </c>
      <c r="S911" s="21" t="n">
        <v>0.98</v>
      </c>
      <c r="T911" s="14" t="n">
        <v>30998.77</v>
      </c>
      <c r="U911" s="6" t="s">
        <v>25</v>
      </c>
    </row>
    <row r="912" customFormat="false" ht="15" hidden="false" customHeight="true" outlineLevel="0" collapsed="false">
      <c r="A912" s="6" t="s">
        <v>2017</v>
      </c>
      <c r="B912" s="6" t="s">
        <v>2018</v>
      </c>
      <c r="C912" s="6" t="s">
        <v>124</v>
      </c>
      <c r="D912" s="6" t="s">
        <v>243</v>
      </c>
      <c r="E912" s="6" t="s">
        <v>177</v>
      </c>
      <c r="F912" s="13" t="n">
        <v>45069</v>
      </c>
      <c r="G912" s="13" t="n">
        <v>45173</v>
      </c>
      <c r="H912" s="14" t="n">
        <v>63556.44</v>
      </c>
      <c r="I912" s="6" t="n">
        <v>0</v>
      </c>
      <c r="J912" s="6" t="n">
        <v>733</v>
      </c>
      <c r="K912" s="6" t="s">
        <v>160</v>
      </c>
      <c r="L912" s="14" t="n">
        <v>25278.3</v>
      </c>
      <c r="M912" s="22" t="n">
        <v>1.13</v>
      </c>
      <c r="N912" s="14" t="n">
        <v>28564.48</v>
      </c>
      <c r="O912" s="14" t="n">
        <v>3286.18</v>
      </c>
      <c r="P912" s="21" t="n">
        <v>0.129</v>
      </c>
      <c r="Q912" s="6" t="n">
        <v>104</v>
      </c>
      <c r="R912" s="6" t="s">
        <v>161</v>
      </c>
      <c r="S912" s="21" t="n">
        <v>1</v>
      </c>
      <c r="T912" s="14" t="n">
        <v>28564.48</v>
      </c>
      <c r="U912" s="6" t="s">
        <v>27</v>
      </c>
    </row>
    <row r="913" customFormat="false" ht="15" hidden="false" customHeight="true" outlineLevel="0" collapsed="false">
      <c r="A913" s="6" t="s">
        <v>2019</v>
      </c>
      <c r="B913" s="6" t="s">
        <v>2020</v>
      </c>
      <c r="C913" s="6" t="s">
        <v>116</v>
      </c>
      <c r="D913" s="6" t="s">
        <v>222</v>
      </c>
      <c r="E913" s="6" t="s">
        <v>177</v>
      </c>
      <c r="F913" s="13" t="n">
        <v>45888</v>
      </c>
      <c r="G913" s="13" t="n">
        <v>45957</v>
      </c>
      <c r="H913" s="14" t="n">
        <v>132999.12</v>
      </c>
      <c r="I913" s="6" t="n">
        <v>3</v>
      </c>
      <c r="J913" s="6" t="n">
        <v>645</v>
      </c>
      <c r="K913" s="6" t="s">
        <v>185</v>
      </c>
      <c r="L913" s="14" t="n">
        <v>25676.65</v>
      </c>
      <c r="M913" s="22" t="n">
        <v>1.33</v>
      </c>
      <c r="N913" s="14" t="n">
        <v>34149.94</v>
      </c>
      <c r="O913" s="14" t="n">
        <v>8473.29</v>
      </c>
      <c r="P913" s="21" t="n">
        <v>0.111</v>
      </c>
      <c r="Q913" s="6" t="n">
        <v>69</v>
      </c>
      <c r="R913" s="6" t="s">
        <v>161</v>
      </c>
      <c r="S913" s="21" t="n">
        <v>1</v>
      </c>
      <c r="T913" s="14" t="n">
        <v>34149.94</v>
      </c>
      <c r="U913" s="6" t="s">
        <v>54</v>
      </c>
    </row>
    <row r="914" customFormat="false" ht="15" hidden="false" customHeight="true" outlineLevel="0" collapsed="false">
      <c r="A914" s="6" t="s">
        <v>2021</v>
      </c>
      <c r="B914" s="6" t="s">
        <v>2022</v>
      </c>
      <c r="C914" s="6" t="s">
        <v>128</v>
      </c>
      <c r="D914" s="6" t="s">
        <v>172</v>
      </c>
      <c r="E914" s="6" t="s">
        <v>304</v>
      </c>
      <c r="F914" s="13" t="n">
        <v>44653</v>
      </c>
      <c r="G914" s="13" t="n">
        <v>44713</v>
      </c>
      <c r="H914" s="14" t="n">
        <v>179508.36</v>
      </c>
      <c r="I914" s="6" t="n">
        <v>2</v>
      </c>
      <c r="J914" s="6" t="n">
        <v>591</v>
      </c>
      <c r="K914" s="6" t="s">
        <v>154</v>
      </c>
      <c r="L914" s="14" t="n">
        <v>14611.29</v>
      </c>
      <c r="M914" s="22" t="n">
        <v>1.128</v>
      </c>
      <c r="N914" s="14" t="n">
        <v>16481.54</v>
      </c>
      <c r="O914" s="14" t="n">
        <v>1870.25</v>
      </c>
      <c r="P914" s="21" t="n">
        <v>0.114</v>
      </c>
      <c r="Q914" s="6" t="n">
        <v>60</v>
      </c>
      <c r="R914" s="6" t="s">
        <v>161</v>
      </c>
      <c r="S914" s="21" t="n">
        <v>1</v>
      </c>
      <c r="T914" s="14" t="n">
        <v>16481.54</v>
      </c>
      <c r="U914" s="6" t="s">
        <v>14</v>
      </c>
    </row>
    <row r="915" customFormat="false" ht="15" hidden="false" customHeight="true" outlineLevel="0" collapsed="false">
      <c r="A915" s="6" t="s">
        <v>2023</v>
      </c>
      <c r="B915" s="6" t="s">
        <v>2024</v>
      </c>
      <c r="C915" s="6" t="s">
        <v>112</v>
      </c>
      <c r="D915" s="6" t="s">
        <v>188</v>
      </c>
      <c r="E915" s="6" t="s">
        <v>219</v>
      </c>
      <c r="F915" s="13" t="n">
        <v>45261</v>
      </c>
      <c r="G915" s="13" t="n">
        <v>45367</v>
      </c>
      <c r="H915" s="14" t="n">
        <v>71787.75</v>
      </c>
      <c r="I915" s="6" t="n">
        <v>0</v>
      </c>
      <c r="J915" s="6" t="n">
        <v>603</v>
      </c>
      <c r="K915" s="6" t="s">
        <v>160</v>
      </c>
      <c r="L915" s="14" t="n">
        <v>16041.73</v>
      </c>
      <c r="M915" s="22" t="n">
        <v>1.223</v>
      </c>
      <c r="N915" s="14" t="n">
        <v>19619.04</v>
      </c>
      <c r="O915" s="14" t="n">
        <v>3577.31</v>
      </c>
      <c r="P915" s="21" t="n">
        <v>0.077</v>
      </c>
      <c r="Q915" s="6" t="n">
        <v>106</v>
      </c>
      <c r="R915" s="6" t="s">
        <v>155</v>
      </c>
      <c r="S915" s="21" t="n">
        <v>0.98</v>
      </c>
      <c r="T915" s="14" t="n">
        <v>19226.66</v>
      </c>
      <c r="U915" s="6" t="s">
        <v>34</v>
      </c>
    </row>
    <row r="916" customFormat="false" ht="15" hidden="false" customHeight="true" outlineLevel="0" collapsed="false">
      <c r="A916" s="6" t="s">
        <v>2025</v>
      </c>
      <c r="B916" s="6" t="s">
        <v>2026</v>
      </c>
      <c r="C916" s="6" t="s">
        <v>120</v>
      </c>
      <c r="D916" s="6" t="s">
        <v>158</v>
      </c>
      <c r="E916" s="6" t="s">
        <v>299</v>
      </c>
      <c r="F916" s="13" t="n">
        <v>45564</v>
      </c>
      <c r="G916" s="13" t="n">
        <v>45624</v>
      </c>
      <c r="H916" s="14" t="n">
        <v>228032.86</v>
      </c>
      <c r="I916" s="6" t="n">
        <v>0</v>
      </c>
      <c r="J916" s="6" t="n">
        <v>632</v>
      </c>
      <c r="K916" s="6" t="s">
        <v>185</v>
      </c>
      <c r="L916" s="14" t="n">
        <v>27097.01</v>
      </c>
      <c r="M916" s="22" t="n">
        <v>1.216</v>
      </c>
      <c r="N916" s="14" t="n">
        <v>32949.96</v>
      </c>
      <c r="O916" s="14" t="n">
        <v>5852.95</v>
      </c>
      <c r="P916" s="21" t="n">
        <v>0.177</v>
      </c>
      <c r="Q916" s="6" t="n">
        <v>60</v>
      </c>
      <c r="R916" s="6" t="s">
        <v>161</v>
      </c>
      <c r="S916" s="21" t="n">
        <v>1</v>
      </c>
      <c r="T916" s="14" t="n">
        <v>32949.96</v>
      </c>
      <c r="U916" s="6" t="s">
        <v>43</v>
      </c>
    </row>
    <row r="917" customFormat="false" ht="15" hidden="false" customHeight="true" outlineLevel="0" collapsed="false">
      <c r="A917" s="6" t="s">
        <v>2027</v>
      </c>
      <c r="B917" s="6" t="s">
        <v>2028</v>
      </c>
      <c r="C917" s="6" t="s">
        <v>120</v>
      </c>
      <c r="D917" s="6" t="s">
        <v>210</v>
      </c>
      <c r="E917" s="6" t="s">
        <v>169</v>
      </c>
      <c r="F917" s="13" t="n">
        <v>45448</v>
      </c>
      <c r="G917" s="13" t="n">
        <v>45508</v>
      </c>
      <c r="H917" s="14" t="n">
        <v>184841.76</v>
      </c>
      <c r="I917" s="6" t="n">
        <v>1</v>
      </c>
      <c r="J917" s="6" t="n">
        <v>563</v>
      </c>
      <c r="K917" s="6" t="s">
        <v>154</v>
      </c>
      <c r="L917" s="14" t="n">
        <v>30412.37</v>
      </c>
      <c r="M917" s="22" t="n">
        <v>1.288</v>
      </c>
      <c r="N917" s="14" t="n">
        <v>39171.13</v>
      </c>
      <c r="O917" s="14" t="n">
        <v>8758.76</v>
      </c>
      <c r="P917" s="21" t="n">
        <v>0.11</v>
      </c>
      <c r="Q917" s="6" t="n">
        <v>60</v>
      </c>
      <c r="R917" s="6" t="s">
        <v>155</v>
      </c>
      <c r="S917" s="21" t="n">
        <v>0.815</v>
      </c>
      <c r="T917" s="14" t="n">
        <v>31924.47</v>
      </c>
      <c r="U917" s="6" t="s">
        <v>40</v>
      </c>
    </row>
    <row r="918" customFormat="false" ht="15" hidden="false" customHeight="true" outlineLevel="0" collapsed="false">
      <c r="A918" s="6" t="s">
        <v>2029</v>
      </c>
      <c r="B918" s="6" t="s">
        <v>2030</v>
      </c>
      <c r="C918" s="6" t="s">
        <v>120</v>
      </c>
      <c r="D918" s="6" t="s">
        <v>218</v>
      </c>
      <c r="E918" s="6" t="s">
        <v>219</v>
      </c>
      <c r="F918" s="13" t="n">
        <v>45911</v>
      </c>
      <c r="G918" s="13" t="n">
        <v>46074</v>
      </c>
      <c r="H918" s="14" t="n">
        <v>111581.48</v>
      </c>
      <c r="I918" s="6" t="n">
        <v>2</v>
      </c>
      <c r="J918" s="6" t="n">
        <v>604</v>
      </c>
      <c r="K918" s="6" t="s">
        <v>160</v>
      </c>
      <c r="L918" s="14" t="n">
        <v>56076.37</v>
      </c>
      <c r="M918" s="22" t="n">
        <v>1.32</v>
      </c>
      <c r="N918" s="14" t="n">
        <v>74020.81</v>
      </c>
      <c r="O918" s="14" t="n">
        <v>17944.44</v>
      </c>
      <c r="P918" s="21" t="n">
        <v>0.122</v>
      </c>
      <c r="Q918" s="6" t="n">
        <v>163</v>
      </c>
      <c r="R918" s="6" t="s">
        <v>161</v>
      </c>
      <c r="S918" s="21" t="n">
        <v>1</v>
      </c>
      <c r="T918" s="14" t="n">
        <v>74020.81</v>
      </c>
      <c r="U918" s="6" t="s">
        <v>55</v>
      </c>
    </row>
    <row r="919" customFormat="false" ht="15" hidden="false" customHeight="true" outlineLevel="0" collapsed="false">
      <c r="A919" s="6" t="s">
        <v>2031</v>
      </c>
      <c r="B919" s="6" t="s">
        <v>2032</v>
      </c>
      <c r="C919" s="6" t="s">
        <v>112</v>
      </c>
      <c r="D919" s="6" t="s">
        <v>225</v>
      </c>
      <c r="E919" s="6" t="s">
        <v>153</v>
      </c>
      <c r="F919" s="13" t="n">
        <v>45510</v>
      </c>
      <c r="G919" s="13" t="n">
        <v>45604</v>
      </c>
      <c r="H919" s="14" t="n">
        <v>114520.39</v>
      </c>
      <c r="I919" s="6" t="n">
        <v>1</v>
      </c>
      <c r="J919" s="6" t="n">
        <v>538</v>
      </c>
      <c r="K919" s="6" t="s">
        <v>160</v>
      </c>
      <c r="L919" s="14" t="n">
        <v>23967.89</v>
      </c>
      <c r="M919" s="22" t="n">
        <v>1.096</v>
      </c>
      <c r="N919" s="14" t="n">
        <v>26268.81</v>
      </c>
      <c r="O919" s="14" t="n">
        <v>2300.92</v>
      </c>
      <c r="P919" s="21" t="n">
        <v>0.073</v>
      </c>
      <c r="Q919" s="6" t="n">
        <v>94</v>
      </c>
      <c r="R919" s="6" t="s">
        <v>155</v>
      </c>
      <c r="S919" s="21" t="n">
        <v>0.757</v>
      </c>
      <c r="T919" s="14" t="n">
        <v>19885.49</v>
      </c>
      <c r="U919" s="6" t="s">
        <v>42</v>
      </c>
    </row>
    <row r="920" customFormat="false" ht="15" hidden="false" customHeight="true" outlineLevel="0" collapsed="false">
      <c r="A920" s="6" t="s">
        <v>2033</v>
      </c>
      <c r="B920" s="6" t="s">
        <v>2034</v>
      </c>
      <c r="C920" s="6" t="s">
        <v>120</v>
      </c>
      <c r="D920" s="6" t="s">
        <v>263</v>
      </c>
      <c r="E920" s="6" t="s">
        <v>169</v>
      </c>
      <c r="F920" s="13" t="n">
        <v>45763</v>
      </c>
      <c r="G920" s="13" t="n">
        <v>45825</v>
      </c>
      <c r="H920" s="14" t="n">
        <v>77668.16</v>
      </c>
      <c r="I920" s="6" t="n">
        <v>1</v>
      </c>
      <c r="J920" s="6" t="n">
        <v>793</v>
      </c>
      <c r="K920" s="6" t="s">
        <v>160</v>
      </c>
      <c r="L920" s="14" t="n">
        <v>21364.45</v>
      </c>
      <c r="M920" s="22" t="n">
        <v>1.242</v>
      </c>
      <c r="N920" s="14" t="n">
        <v>26534.65</v>
      </c>
      <c r="O920" s="14" t="n">
        <v>5170.2</v>
      </c>
      <c r="P920" s="21" t="n">
        <v>0.165</v>
      </c>
      <c r="Q920" s="6" t="n">
        <v>62</v>
      </c>
      <c r="R920" s="6" t="s">
        <v>155</v>
      </c>
      <c r="S920" s="21" t="n">
        <v>0.98</v>
      </c>
      <c r="T920" s="14" t="n">
        <v>26003.96</v>
      </c>
      <c r="U920" s="6" t="s">
        <v>50</v>
      </c>
    </row>
    <row r="921" customFormat="false" ht="15" hidden="false" customHeight="true" outlineLevel="0" collapsed="false">
      <c r="A921" s="6" t="s">
        <v>2035</v>
      </c>
      <c r="B921" s="6" t="s">
        <v>2036</v>
      </c>
      <c r="C921" s="6" t="s">
        <v>116</v>
      </c>
      <c r="D921" s="6" t="s">
        <v>206</v>
      </c>
      <c r="E921" s="6" t="s">
        <v>177</v>
      </c>
      <c r="F921" s="13" t="n">
        <v>45639</v>
      </c>
      <c r="G921" s="13" t="n">
        <v>45699</v>
      </c>
      <c r="H921" s="14" t="n">
        <v>218073.76</v>
      </c>
      <c r="I921" s="6" t="n">
        <v>0</v>
      </c>
      <c r="J921" s="6" t="n">
        <v>610</v>
      </c>
      <c r="K921" s="6" t="s">
        <v>160</v>
      </c>
      <c r="L921" s="14" t="n">
        <v>43887.82</v>
      </c>
      <c r="M921" s="22" t="n">
        <v>1.193</v>
      </c>
      <c r="N921" s="14" t="n">
        <v>52358.17</v>
      </c>
      <c r="O921" s="14" t="n">
        <v>8470.35</v>
      </c>
      <c r="P921" s="21" t="n">
        <v>0.119</v>
      </c>
      <c r="Q921" s="6" t="n">
        <v>60</v>
      </c>
      <c r="R921" s="6" t="s">
        <v>161</v>
      </c>
      <c r="S921" s="21" t="n">
        <v>1</v>
      </c>
      <c r="T921" s="14" t="n">
        <v>52358.17</v>
      </c>
      <c r="U921" s="6" t="s">
        <v>46</v>
      </c>
    </row>
    <row r="922" customFormat="false" ht="15" hidden="false" customHeight="true" outlineLevel="0" collapsed="false">
      <c r="A922" s="6" t="s">
        <v>2037</v>
      </c>
      <c r="B922" s="6" t="s">
        <v>2038</v>
      </c>
      <c r="C922" s="6" t="s">
        <v>120</v>
      </c>
      <c r="D922" s="6" t="s">
        <v>263</v>
      </c>
      <c r="E922" s="6" t="s">
        <v>169</v>
      </c>
      <c r="F922" s="13" t="n">
        <v>46076</v>
      </c>
      <c r="G922" s="13" t="n">
        <v>46245</v>
      </c>
      <c r="H922" s="14" t="n">
        <v>117742.8</v>
      </c>
      <c r="I922" s="6" t="n">
        <v>0</v>
      </c>
      <c r="J922" s="6" t="n">
        <v>756</v>
      </c>
      <c r="K922" s="6" t="s">
        <v>154</v>
      </c>
      <c r="L922" s="14" t="n">
        <v>47517.61</v>
      </c>
      <c r="M922" s="22" t="n">
        <v>1.218</v>
      </c>
      <c r="N922" s="14" t="n">
        <v>57876.45</v>
      </c>
      <c r="O922" s="14" t="n">
        <v>10358.84</v>
      </c>
      <c r="P922" s="21" t="n">
        <v>0.087</v>
      </c>
      <c r="Q922" s="6" t="n">
        <v>169</v>
      </c>
      <c r="R922" s="6" t="s">
        <v>155</v>
      </c>
      <c r="S922" s="21" t="n">
        <v>0.95</v>
      </c>
      <c r="T922" s="14" t="n">
        <v>54982.63</v>
      </c>
      <c r="U922" s="6" t="s">
        <v>60</v>
      </c>
    </row>
    <row r="923" customFormat="false" ht="15" hidden="false" customHeight="true" outlineLevel="0" collapsed="false">
      <c r="A923" s="6" t="s">
        <v>2039</v>
      </c>
      <c r="B923" s="6" t="s">
        <v>2040</v>
      </c>
      <c r="C923" s="6" t="s">
        <v>120</v>
      </c>
      <c r="D923" s="6" t="s">
        <v>263</v>
      </c>
      <c r="E923" s="6" t="s">
        <v>326</v>
      </c>
      <c r="F923" s="13" t="n">
        <v>45435</v>
      </c>
      <c r="G923" s="13" t="n">
        <v>45720</v>
      </c>
      <c r="H923" s="14" t="n">
        <v>209374.93</v>
      </c>
      <c r="I923" s="6" t="n">
        <v>1</v>
      </c>
      <c r="J923" s="6" t="n">
        <v>736</v>
      </c>
      <c r="K923" s="6" t="s">
        <v>185</v>
      </c>
      <c r="L923" s="14" t="n">
        <v>97455.62</v>
      </c>
      <c r="M923" s="22" t="n">
        <v>1.308</v>
      </c>
      <c r="N923" s="14" t="n">
        <v>127471.95</v>
      </c>
      <c r="O923" s="14" t="n">
        <v>30016.33</v>
      </c>
      <c r="P923" s="21" t="n">
        <v>0.064</v>
      </c>
      <c r="Q923" s="6" t="n">
        <v>285</v>
      </c>
      <c r="R923" s="6" t="s">
        <v>155</v>
      </c>
      <c r="S923" s="21" t="n">
        <v>0.937</v>
      </c>
      <c r="T923" s="14" t="n">
        <v>119441.22</v>
      </c>
      <c r="U923" s="6" t="s">
        <v>39</v>
      </c>
    </row>
    <row r="924" customFormat="false" ht="15" hidden="false" customHeight="true" outlineLevel="0" collapsed="false">
      <c r="A924" s="6" t="s">
        <v>2041</v>
      </c>
      <c r="B924" s="6" t="s">
        <v>2042</v>
      </c>
      <c r="C924" s="6" t="s">
        <v>116</v>
      </c>
      <c r="D924" s="6" t="s">
        <v>152</v>
      </c>
      <c r="E924" s="6" t="s">
        <v>181</v>
      </c>
      <c r="F924" s="13" t="n">
        <v>46123</v>
      </c>
      <c r="G924" s="13" t="n">
        <v>46193</v>
      </c>
      <c r="H924" s="14" t="n">
        <v>16723.33</v>
      </c>
      <c r="I924" s="6" t="n">
        <v>1</v>
      </c>
      <c r="J924" s="6" t="n">
        <v>808</v>
      </c>
      <c r="K924" s="6" t="s">
        <v>160</v>
      </c>
      <c r="L924" s="14" t="n">
        <v>3477.45</v>
      </c>
      <c r="M924" s="22" t="n">
        <v>1.104</v>
      </c>
      <c r="N924" s="14" t="n">
        <v>3839.1</v>
      </c>
      <c r="O924" s="14" t="n">
        <v>361.65</v>
      </c>
      <c r="P924" s="21" t="n">
        <v>0.098</v>
      </c>
      <c r="Q924" s="6" t="n">
        <v>70</v>
      </c>
      <c r="R924" s="6" t="s">
        <v>161</v>
      </c>
      <c r="S924" s="21" t="n">
        <v>1</v>
      </c>
      <c r="T924" s="14" t="n">
        <v>3839.1</v>
      </c>
      <c r="U924" s="6" t="s">
        <v>62</v>
      </c>
    </row>
    <row r="925" customFormat="false" ht="15" hidden="false" customHeight="true" outlineLevel="0" collapsed="false">
      <c r="A925" s="6" t="s">
        <v>2043</v>
      </c>
      <c r="B925" s="6" t="s">
        <v>2044</v>
      </c>
      <c r="C925" s="6" t="s">
        <v>112</v>
      </c>
      <c r="D925" s="6" t="s">
        <v>225</v>
      </c>
      <c r="E925" s="6" t="s">
        <v>326</v>
      </c>
      <c r="F925" s="13" t="n">
        <v>45483</v>
      </c>
      <c r="G925" s="13" t="n">
        <v>45602</v>
      </c>
      <c r="H925" s="14" t="n">
        <v>143644.94</v>
      </c>
      <c r="I925" s="6" t="n">
        <v>1</v>
      </c>
      <c r="J925" s="6" t="n">
        <v>554</v>
      </c>
      <c r="K925" s="6" t="s">
        <v>154</v>
      </c>
      <c r="L925" s="14" t="n">
        <v>40845.14</v>
      </c>
      <c r="M925" s="22" t="n">
        <v>1.223</v>
      </c>
      <c r="N925" s="14" t="n">
        <v>49953.61</v>
      </c>
      <c r="O925" s="14" t="n">
        <v>9108.47</v>
      </c>
      <c r="P925" s="21" t="n">
        <v>0.087</v>
      </c>
      <c r="Q925" s="6" t="n">
        <v>119</v>
      </c>
      <c r="R925" s="6" t="s">
        <v>161</v>
      </c>
      <c r="S925" s="21" t="n">
        <v>1</v>
      </c>
      <c r="T925" s="14" t="n">
        <v>49953.61</v>
      </c>
      <c r="U925" s="6" t="s">
        <v>41</v>
      </c>
    </row>
    <row r="926" customFormat="false" ht="15" hidden="false" customHeight="true" outlineLevel="0" collapsed="false">
      <c r="A926" s="6" t="s">
        <v>2045</v>
      </c>
      <c r="B926" s="6" t="s">
        <v>2046</v>
      </c>
      <c r="C926" s="6" t="s">
        <v>131</v>
      </c>
      <c r="D926" s="6" t="s">
        <v>200</v>
      </c>
      <c r="E926" s="6" t="s">
        <v>169</v>
      </c>
      <c r="F926" s="13" t="n">
        <v>45921</v>
      </c>
      <c r="G926" s="13" t="n">
        <v>45981</v>
      </c>
      <c r="H926" s="14" t="n">
        <v>30487.7</v>
      </c>
      <c r="I926" s="6" t="n">
        <v>2</v>
      </c>
      <c r="J926" s="6" t="n">
        <v>652</v>
      </c>
      <c r="K926" s="6" t="s">
        <v>160</v>
      </c>
      <c r="L926" s="14" t="n">
        <v>5603.6</v>
      </c>
      <c r="M926" s="22" t="n">
        <v>1.164</v>
      </c>
      <c r="N926" s="14" t="n">
        <v>6522.59</v>
      </c>
      <c r="O926" s="14" t="n">
        <v>918.99</v>
      </c>
      <c r="P926" s="21" t="n">
        <v>0.118</v>
      </c>
      <c r="Q926" s="6" t="n">
        <v>60</v>
      </c>
      <c r="R926" s="6" t="s">
        <v>155</v>
      </c>
      <c r="S926" s="21" t="n">
        <v>0.98</v>
      </c>
      <c r="T926" s="14" t="n">
        <v>6392.14</v>
      </c>
      <c r="U926" s="6" t="s">
        <v>55</v>
      </c>
    </row>
    <row r="927" customFormat="false" ht="15" hidden="false" customHeight="true" outlineLevel="0" collapsed="false">
      <c r="A927" s="6" t="s">
        <v>2047</v>
      </c>
      <c r="B927" s="6" t="s">
        <v>2048</v>
      </c>
      <c r="C927" s="6" t="s">
        <v>128</v>
      </c>
      <c r="D927" s="6" t="s">
        <v>172</v>
      </c>
      <c r="E927" s="6" t="s">
        <v>326</v>
      </c>
      <c r="F927" s="13" t="n">
        <v>44811</v>
      </c>
      <c r="G927" s="13" t="n">
        <v>44968</v>
      </c>
      <c r="H927" s="14" t="n">
        <v>235175.74</v>
      </c>
      <c r="I927" s="6" t="n">
        <v>3</v>
      </c>
      <c r="J927" s="6" t="n">
        <v>586</v>
      </c>
      <c r="K927" s="6" t="s">
        <v>185</v>
      </c>
      <c r="L927" s="14" t="n">
        <v>55267.6</v>
      </c>
      <c r="M927" s="22" t="n">
        <v>1.298</v>
      </c>
      <c r="N927" s="14" t="n">
        <v>71737.34</v>
      </c>
      <c r="O927" s="14" t="n">
        <v>16469.74</v>
      </c>
      <c r="P927" s="21" t="n">
        <v>0.058</v>
      </c>
      <c r="Q927" s="6" t="n">
        <v>157</v>
      </c>
      <c r="R927" s="6" t="s">
        <v>161</v>
      </c>
      <c r="S927" s="21" t="n">
        <v>1</v>
      </c>
      <c r="T927" s="14" t="n">
        <v>71737.34</v>
      </c>
      <c r="U927" s="6" t="s">
        <v>19</v>
      </c>
    </row>
    <row r="928" customFormat="false" ht="15" hidden="false" customHeight="true" outlineLevel="0" collapsed="false">
      <c r="A928" s="6" t="s">
        <v>2049</v>
      </c>
      <c r="B928" s="6" t="s">
        <v>2050</v>
      </c>
      <c r="C928" s="6" t="s">
        <v>120</v>
      </c>
      <c r="D928" s="6" t="s">
        <v>210</v>
      </c>
      <c r="E928" s="6" t="s">
        <v>165</v>
      </c>
      <c r="F928" s="13" t="n">
        <v>44672</v>
      </c>
      <c r="G928" s="13" t="n">
        <v>44759</v>
      </c>
      <c r="H928" s="14" t="n">
        <v>165717.72</v>
      </c>
      <c r="I928" s="6" t="n">
        <v>2</v>
      </c>
      <c r="J928" s="6" t="n">
        <v>753</v>
      </c>
      <c r="K928" s="6" t="s">
        <v>160</v>
      </c>
      <c r="L928" s="14" t="n">
        <v>56338.95</v>
      </c>
      <c r="M928" s="22" t="n">
        <v>1.184</v>
      </c>
      <c r="N928" s="14" t="n">
        <v>66705.32</v>
      </c>
      <c r="O928" s="14" t="n">
        <v>10366.37</v>
      </c>
      <c r="P928" s="21" t="n">
        <v>0.138</v>
      </c>
      <c r="Q928" s="6" t="n">
        <v>87</v>
      </c>
      <c r="R928" s="6" t="s">
        <v>155</v>
      </c>
      <c r="S928" s="21" t="n">
        <v>0.818</v>
      </c>
      <c r="T928" s="14" t="n">
        <v>54564.95</v>
      </c>
      <c r="U928" s="6" t="s">
        <v>14</v>
      </c>
    </row>
    <row r="929" customFormat="false" ht="15" hidden="false" customHeight="true" outlineLevel="0" collapsed="false">
      <c r="A929" s="6" t="s">
        <v>2051</v>
      </c>
      <c r="B929" s="6" t="s">
        <v>2052</v>
      </c>
      <c r="C929" s="6" t="s">
        <v>124</v>
      </c>
      <c r="D929" s="6" t="s">
        <v>180</v>
      </c>
      <c r="E929" s="6" t="s">
        <v>184</v>
      </c>
      <c r="F929" s="13" t="n">
        <v>45273</v>
      </c>
      <c r="G929" s="13" t="n">
        <v>45333</v>
      </c>
      <c r="H929" s="14" t="n">
        <v>181116.84</v>
      </c>
      <c r="I929" s="6" t="n">
        <v>3</v>
      </c>
      <c r="J929" s="6" t="n">
        <v>544</v>
      </c>
      <c r="K929" s="6" t="s">
        <v>160</v>
      </c>
      <c r="L929" s="14" t="n">
        <v>37786.35</v>
      </c>
      <c r="M929" s="22" t="n">
        <v>1.105</v>
      </c>
      <c r="N929" s="14" t="n">
        <v>41753.92</v>
      </c>
      <c r="O929" s="14" t="n">
        <v>3967.57</v>
      </c>
      <c r="P929" s="21" t="n">
        <v>0.176</v>
      </c>
      <c r="Q929" s="6" t="n">
        <v>60</v>
      </c>
      <c r="R929" s="6" t="s">
        <v>161</v>
      </c>
      <c r="S929" s="21" t="n">
        <v>1</v>
      </c>
      <c r="T929" s="14" t="n">
        <v>41753.92</v>
      </c>
      <c r="U929" s="6" t="s">
        <v>34</v>
      </c>
    </row>
    <row r="930" customFormat="false" ht="15" hidden="false" customHeight="true" outlineLevel="0" collapsed="false">
      <c r="A930" s="6" t="s">
        <v>2053</v>
      </c>
      <c r="B930" s="6" t="s">
        <v>2054</v>
      </c>
      <c r="C930" s="6" t="s">
        <v>116</v>
      </c>
      <c r="D930" s="6" t="s">
        <v>206</v>
      </c>
      <c r="E930" s="6" t="s">
        <v>189</v>
      </c>
      <c r="F930" s="13" t="n">
        <v>45978</v>
      </c>
      <c r="G930" s="13" t="n">
        <v>46051</v>
      </c>
      <c r="H930" s="14" t="n">
        <v>129170.43</v>
      </c>
      <c r="I930" s="6" t="n">
        <v>4</v>
      </c>
      <c r="J930" s="6" t="n">
        <v>788</v>
      </c>
      <c r="K930" s="6" t="s">
        <v>185</v>
      </c>
      <c r="L930" s="14" t="n">
        <v>33115.24</v>
      </c>
      <c r="M930" s="22" t="n">
        <v>1.311</v>
      </c>
      <c r="N930" s="14" t="n">
        <v>43414.08</v>
      </c>
      <c r="O930" s="14" t="n">
        <v>10298.84</v>
      </c>
      <c r="P930" s="21" t="n">
        <v>0.137</v>
      </c>
      <c r="Q930" s="6" t="n">
        <v>73</v>
      </c>
      <c r="R930" s="6" t="s">
        <v>161</v>
      </c>
      <c r="S930" s="21" t="n">
        <v>1</v>
      </c>
      <c r="T930" s="14" t="n">
        <v>43414.08</v>
      </c>
      <c r="U930" s="6" t="s">
        <v>57</v>
      </c>
    </row>
    <row r="931" customFormat="false" ht="15" hidden="false" customHeight="true" outlineLevel="0" collapsed="false">
      <c r="A931" s="6" t="s">
        <v>2055</v>
      </c>
      <c r="B931" s="6" t="s">
        <v>2056</v>
      </c>
      <c r="C931" s="6" t="s">
        <v>120</v>
      </c>
      <c r="D931" s="6" t="s">
        <v>210</v>
      </c>
      <c r="E931" s="6" t="s">
        <v>177</v>
      </c>
      <c r="F931" s="13" t="n">
        <v>44793</v>
      </c>
      <c r="G931" s="13" t="n">
        <v>44853</v>
      </c>
      <c r="H931" s="14" t="n">
        <v>157588.57</v>
      </c>
      <c r="I931" s="6" t="n">
        <v>0</v>
      </c>
      <c r="J931" s="6" t="n">
        <v>771</v>
      </c>
      <c r="K931" s="6" t="s">
        <v>185</v>
      </c>
      <c r="L931" s="14" t="n">
        <v>12422.41</v>
      </c>
      <c r="M931" s="22" t="n">
        <v>1.246</v>
      </c>
      <c r="N931" s="14" t="n">
        <v>15478.32</v>
      </c>
      <c r="O931" s="14" t="n">
        <v>3055.91</v>
      </c>
      <c r="P931" s="21" t="n">
        <v>0.106</v>
      </c>
      <c r="Q931" s="6" t="n">
        <v>60</v>
      </c>
      <c r="R931" s="6" t="s">
        <v>155</v>
      </c>
      <c r="S931" s="21" t="n">
        <v>0.775</v>
      </c>
      <c r="T931" s="14" t="n">
        <v>11995.7</v>
      </c>
      <c r="U931" s="6" t="s">
        <v>18</v>
      </c>
    </row>
    <row r="932" customFormat="false" ht="15" hidden="false" customHeight="true" outlineLevel="0" collapsed="false">
      <c r="A932" s="6" t="s">
        <v>2057</v>
      </c>
      <c r="B932" s="6" t="s">
        <v>2058</v>
      </c>
      <c r="C932" s="6" t="s">
        <v>116</v>
      </c>
      <c r="D932" s="6" t="s">
        <v>152</v>
      </c>
      <c r="E932" s="6" t="s">
        <v>165</v>
      </c>
      <c r="F932" s="13" t="n">
        <v>44879</v>
      </c>
      <c r="G932" s="13" t="n">
        <v>45011</v>
      </c>
      <c r="H932" s="14" t="n">
        <v>141041.84</v>
      </c>
      <c r="I932" s="6" t="n">
        <v>1</v>
      </c>
      <c r="J932" s="6" t="n">
        <v>609</v>
      </c>
      <c r="K932" s="6" t="s">
        <v>160</v>
      </c>
      <c r="L932" s="14" t="n">
        <v>37391.91</v>
      </c>
      <c r="M932" s="22" t="n">
        <v>1.35</v>
      </c>
      <c r="N932" s="14" t="n">
        <v>50479.08</v>
      </c>
      <c r="O932" s="14" t="n">
        <v>13087.17</v>
      </c>
      <c r="P932" s="21" t="n">
        <v>0.081</v>
      </c>
      <c r="Q932" s="6" t="n">
        <v>132</v>
      </c>
      <c r="R932" s="6" t="s">
        <v>155</v>
      </c>
      <c r="S932" s="21" t="n">
        <v>0.786</v>
      </c>
      <c r="T932" s="14" t="n">
        <v>39676.56</v>
      </c>
      <c r="U932" s="6" t="s">
        <v>21</v>
      </c>
    </row>
    <row r="933" customFormat="false" ht="15" hidden="false" customHeight="true" outlineLevel="0" collapsed="false">
      <c r="A933" s="6" t="s">
        <v>2059</v>
      </c>
      <c r="B933" s="6" t="s">
        <v>2060</v>
      </c>
      <c r="C933" s="6" t="s">
        <v>112</v>
      </c>
      <c r="D933" s="6" t="s">
        <v>188</v>
      </c>
      <c r="E933" s="6" t="s">
        <v>189</v>
      </c>
      <c r="F933" s="13" t="n">
        <v>45491</v>
      </c>
      <c r="G933" s="13" t="n">
        <v>45558</v>
      </c>
      <c r="H933" s="14" t="n">
        <v>8663.17</v>
      </c>
      <c r="I933" s="6" t="n">
        <v>1</v>
      </c>
      <c r="J933" s="6" t="n">
        <v>524</v>
      </c>
      <c r="K933" s="6" t="s">
        <v>154</v>
      </c>
      <c r="L933" s="14" t="n">
        <v>2545.07</v>
      </c>
      <c r="M933" s="22" t="n">
        <v>1.221</v>
      </c>
      <c r="N933" s="14" t="n">
        <v>3107.53</v>
      </c>
      <c r="O933" s="14" t="n">
        <v>562.46</v>
      </c>
      <c r="P933" s="21" t="n">
        <v>0.16</v>
      </c>
      <c r="Q933" s="6" t="n">
        <v>67</v>
      </c>
      <c r="R933" s="6" t="s">
        <v>155</v>
      </c>
      <c r="S933" s="21" t="n">
        <v>0.91</v>
      </c>
      <c r="T933" s="14" t="n">
        <v>2827.85</v>
      </c>
      <c r="U933" s="6" t="s">
        <v>41</v>
      </c>
    </row>
    <row r="934" customFormat="false" ht="15" hidden="false" customHeight="true" outlineLevel="0" collapsed="false">
      <c r="A934" s="6" t="s">
        <v>2061</v>
      </c>
      <c r="B934" s="6" t="s">
        <v>2062</v>
      </c>
      <c r="C934" s="6" t="s">
        <v>112</v>
      </c>
      <c r="D934" s="6" t="s">
        <v>188</v>
      </c>
      <c r="E934" s="6" t="s">
        <v>189</v>
      </c>
      <c r="F934" s="13" t="n">
        <v>46097</v>
      </c>
      <c r="G934" s="13" t="n">
        <v>46157</v>
      </c>
      <c r="H934" s="14" t="n">
        <v>79825.6</v>
      </c>
      <c r="I934" s="6" t="n">
        <v>0</v>
      </c>
      <c r="J934" s="6" t="n">
        <v>535</v>
      </c>
      <c r="K934" s="6" t="s">
        <v>160</v>
      </c>
      <c r="L934" s="14" t="n">
        <v>7006.32</v>
      </c>
      <c r="M934" s="22" t="n">
        <v>1.187</v>
      </c>
      <c r="N934" s="14" t="n">
        <v>8316.5</v>
      </c>
      <c r="O934" s="14" t="n">
        <v>1310.18</v>
      </c>
      <c r="P934" s="21" t="n">
        <v>0.084</v>
      </c>
      <c r="Q934" s="6" t="n">
        <v>60</v>
      </c>
      <c r="R934" s="6" t="s">
        <v>161</v>
      </c>
      <c r="S934" s="21" t="n">
        <v>1</v>
      </c>
      <c r="T934" s="14" t="n">
        <v>8316.5</v>
      </c>
      <c r="U934" s="6" t="s">
        <v>61</v>
      </c>
    </row>
    <row r="935" customFormat="false" ht="15" hidden="false" customHeight="true" outlineLevel="0" collapsed="false">
      <c r="A935" s="6" t="s">
        <v>2063</v>
      </c>
      <c r="B935" s="6" t="s">
        <v>2064</v>
      </c>
      <c r="C935" s="6" t="s">
        <v>131</v>
      </c>
      <c r="D935" s="6" t="s">
        <v>200</v>
      </c>
      <c r="E935" s="6" t="s">
        <v>326</v>
      </c>
      <c r="F935" s="13" t="n">
        <v>45415</v>
      </c>
      <c r="G935" s="13" t="n">
        <v>45475</v>
      </c>
      <c r="H935" s="14" t="n">
        <v>130070.67</v>
      </c>
      <c r="I935" s="6" t="n">
        <v>2</v>
      </c>
      <c r="J935" s="6" t="n">
        <v>532</v>
      </c>
      <c r="K935" s="6" t="s">
        <v>160</v>
      </c>
      <c r="L935" s="14" t="n">
        <v>18354.77</v>
      </c>
      <c r="M935" s="22" t="n">
        <v>1.179</v>
      </c>
      <c r="N935" s="14" t="n">
        <v>21640.27</v>
      </c>
      <c r="O935" s="14" t="n">
        <v>3285.5</v>
      </c>
      <c r="P935" s="21" t="n">
        <v>0.082</v>
      </c>
      <c r="Q935" s="6" t="n">
        <v>60</v>
      </c>
      <c r="R935" s="6" t="s">
        <v>155</v>
      </c>
      <c r="S935" s="21" t="n">
        <v>0.783</v>
      </c>
      <c r="T935" s="14" t="n">
        <v>16944.33</v>
      </c>
      <c r="U935" s="6" t="s">
        <v>39</v>
      </c>
    </row>
    <row r="936" customFormat="false" ht="15" hidden="false" customHeight="true" outlineLevel="0" collapsed="false">
      <c r="A936" s="6" t="s">
        <v>2065</v>
      </c>
      <c r="B936" s="6" t="s">
        <v>2066</v>
      </c>
      <c r="C936" s="6" t="s">
        <v>116</v>
      </c>
      <c r="D936" s="6" t="s">
        <v>152</v>
      </c>
      <c r="E936" s="6" t="s">
        <v>184</v>
      </c>
      <c r="F936" s="13" t="n">
        <v>44909</v>
      </c>
      <c r="G936" s="13" t="n">
        <v>44969</v>
      </c>
      <c r="H936" s="14" t="n">
        <v>10595.21</v>
      </c>
      <c r="I936" s="6" t="n">
        <v>5</v>
      </c>
      <c r="J936" s="6" t="n">
        <v>586</v>
      </c>
      <c r="K936" s="6" t="s">
        <v>154</v>
      </c>
      <c r="L936" s="14" t="n">
        <v>2000</v>
      </c>
      <c r="M936" s="22" t="n">
        <v>1.27</v>
      </c>
      <c r="N936" s="14" t="n">
        <v>2540</v>
      </c>
      <c r="O936" s="14" t="n">
        <v>540</v>
      </c>
      <c r="P936" s="21" t="n">
        <v>0.164</v>
      </c>
      <c r="Q936" s="6" t="n">
        <v>60</v>
      </c>
      <c r="R936" s="6" t="s">
        <v>161</v>
      </c>
      <c r="S936" s="21" t="n">
        <v>1</v>
      </c>
      <c r="T936" s="14" t="n">
        <v>2540</v>
      </c>
      <c r="U936" s="6" t="s">
        <v>22</v>
      </c>
    </row>
    <row r="937" customFormat="false" ht="15" hidden="false" customHeight="true" outlineLevel="0" collapsed="false">
      <c r="A937" s="6" t="s">
        <v>2067</v>
      </c>
      <c r="B937" s="6" t="s">
        <v>2068</v>
      </c>
      <c r="C937" s="6" t="s">
        <v>124</v>
      </c>
      <c r="D937" s="6" t="s">
        <v>168</v>
      </c>
      <c r="E937" s="6" t="s">
        <v>177</v>
      </c>
      <c r="F937" s="13" t="n">
        <v>44703</v>
      </c>
      <c r="G937" s="13" t="n">
        <v>44808</v>
      </c>
      <c r="H937" s="14" t="n">
        <v>16908.05</v>
      </c>
      <c r="I937" s="6" t="n">
        <v>1</v>
      </c>
      <c r="J937" s="6" t="n">
        <v>658</v>
      </c>
      <c r="K937" s="6" t="s">
        <v>160</v>
      </c>
      <c r="L937" s="14" t="n">
        <v>7744.66</v>
      </c>
      <c r="M937" s="22" t="n">
        <v>1.145</v>
      </c>
      <c r="N937" s="14" t="n">
        <v>8867.64</v>
      </c>
      <c r="O937" s="14" t="n">
        <v>1122.98</v>
      </c>
      <c r="P937" s="21" t="n">
        <v>0.149</v>
      </c>
      <c r="Q937" s="6" t="n">
        <v>105</v>
      </c>
      <c r="R937" s="6" t="s">
        <v>490</v>
      </c>
      <c r="S937" s="21" t="n">
        <v>0.577</v>
      </c>
      <c r="T937" s="14" t="n">
        <v>5116.63</v>
      </c>
      <c r="U937" s="6" t="s">
        <v>15</v>
      </c>
    </row>
    <row r="938" customFormat="false" ht="15" hidden="false" customHeight="true" outlineLevel="0" collapsed="false">
      <c r="A938" s="6" t="s">
        <v>2069</v>
      </c>
      <c r="B938" s="6" t="s">
        <v>2070</v>
      </c>
      <c r="C938" s="6" t="s">
        <v>124</v>
      </c>
      <c r="D938" s="6" t="s">
        <v>168</v>
      </c>
      <c r="E938" s="6" t="s">
        <v>177</v>
      </c>
      <c r="F938" s="13" t="n">
        <v>46039</v>
      </c>
      <c r="G938" s="13" t="n">
        <v>46187</v>
      </c>
      <c r="H938" s="14" t="n">
        <v>9622.97</v>
      </c>
      <c r="I938" s="6" t="n">
        <v>0</v>
      </c>
      <c r="J938" s="6" t="n">
        <v>558</v>
      </c>
      <c r="K938" s="6" t="s">
        <v>154</v>
      </c>
      <c r="L938" s="14" t="n">
        <v>2816.49</v>
      </c>
      <c r="M938" s="22" t="n">
        <v>1.166</v>
      </c>
      <c r="N938" s="14" t="n">
        <v>3284.03</v>
      </c>
      <c r="O938" s="14" t="n">
        <v>467.54</v>
      </c>
      <c r="P938" s="21" t="n">
        <v>0.069</v>
      </c>
      <c r="Q938" s="6" t="n">
        <v>148</v>
      </c>
      <c r="R938" s="6" t="s">
        <v>155</v>
      </c>
      <c r="S938" s="21" t="n">
        <v>0.739</v>
      </c>
      <c r="T938" s="14" t="n">
        <v>2426.9</v>
      </c>
      <c r="U938" s="6" t="s">
        <v>59</v>
      </c>
    </row>
    <row r="939" customFormat="false" ht="15" hidden="false" customHeight="true" outlineLevel="0" collapsed="false">
      <c r="A939" s="6" t="s">
        <v>2071</v>
      </c>
      <c r="B939" s="6" t="s">
        <v>2072</v>
      </c>
      <c r="C939" s="6" t="s">
        <v>128</v>
      </c>
      <c r="D939" s="6" t="s">
        <v>235</v>
      </c>
      <c r="E939" s="6" t="s">
        <v>254</v>
      </c>
      <c r="F939" s="13" t="n">
        <v>45790</v>
      </c>
      <c r="G939" s="13" t="n">
        <v>45850</v>
      </c>
      <c r="H939" s="14" t="n">
        <v>176833.88</v>
      </c>
      <c r="I939" s="6" t="n">
        <v>1</v>
      </c>
      <c r="J939" s="6" t="n">
        <v>782</v>
      </c>
      <c r="K939" s="6" t="s">
        <v>154</v>
      </c>
      <c r="L939" s="14" t="n">
        <v>19841.35</v>
      </c>
      <c r="M939" s="22" t="n">
        <v>1.255</v>
      </c>
      <c r="N939" s="14" t="n">
        <v>24900.89</v>
      </c>
      <c r="O939" s="14" t="n">
        <v>5059.54</v>
      </c>
      <c r="P939" s="21" t="n">
        <v>0.15</v>
      </c>
      <c r="Q939" s="6" t="n">
        <v>60</v>
      </c>
      <c r="R939" s="6" t="s">
        <v>155</v>
      </c>
      <c r="S939" s="21" t="n">
        <v>0.807</v>
      </c>
      <c r="T939" s="14" t="n">
        <v>20095.02</v>
      </c>
      <c r="U939" s="6" t="s">
        <v>51</v>
      </c>
    </row>
    <row r="940" customFormat="false" ht="15" hidden="false" customHeight="true" outlineLevel="0" collapsed="false">
      <c r="A940" s="6" t="s">
        <v>2073</v>
      </c>
      <c r="B940" s="6" t="s">
        <v>2074</v>
      </c>
      <c r="C940" s="6" t="s">
        <v>120</v>
      </c>
      <c r="D940" s="6" t="s">
        <v>210</v>
      </c>
      <c r="E940" s="6" t="s">
        <v>159</v>
      </c>
      <c r="F940" s="13" t="n">
        <v>45282</v>
      </c>
      <c r="G940" s="13" t="n">
        <v>45398</v>
      </c>
      <c r="H940" s="14" t="n">
        <v>215026.84</v>
      </c>
      <c r="I940" s="6" t="n">
        <v>2</v>
      </c>
      <c r="J940" s="6" t="n">
        <v>682</v>
      </c>
      <c r="K940" s="6" t="s">
        <v>185</v>
      </c>
      <c r="L940" s="14" t="n">
        <v>83247.22</v>
      </c>
      <c r="M940" s="22" t="n">
        <v>1.291</v>
      </c>
      <c r="N940" s="14" t="n">
        <v>107472.16</v>
      </c>
      <c r="O940" s="14" t="n">
        <v>24224.94</v>
      </c>
      <c r="P940" s="21" t="n">
        <v>0.129</v>
      </c>
      <c r="Q940" s="6" t="n">
        <v>116</v>
      </c>
      <c r="R940" s="6" t="s">
        <v>155</v>
      </c>
      <c r="S940" s="21" t="n">
        <v>0.874</v>
      </c>
      <c r="T940" s="14" t="n">
        <v>93930.67</v>
      </c>
      <c r="U940" s="6" t="s">
        <v>34</v>
      </c>
    </row>
    <row r="941" customFormat="false" ht="15" hidden="false" customHeight="true" outlineLevel="0" collapsed="false">
      <c r="A941" s="6" t="s">
        <v>2075</v>
      </c>
      <c r="B941" s="6" t="s">
        <v>2076</v>
      </c>
      <c r="C941" s="6" t="s">
        <v>112</v>
      </c>
      <c r="D941" s="6" t="s">
        <v>225</v>
      </c>
      <c r="E941" s="6" t="s">
        <v>304</v>
      </c>
      <c r="F941" s="13" t="n">
        <v>45422</v>
      </c>
      <c r="G941" s="13" t="n">
        <v>45510</v>
      </c>
      <c r="H941" s="14" t="n">
        <v>176680.84</v>
      </c>
      <c r="I941" s="6" t="n">
        <v>3</v>
      </c>
      <c r="J941" s="6" t="n">
        <v>636</v>
      </c>
      <c r="K941" s="6" t="s">
        <v>154</v>
      </c>
      <c r="L941" s="14" t="n">
        <v>29016.82</v>
      </c>
      <c r="M941" s="22" t="n">
        <v>1.11</v>
      </c>
      <c r="N941" s="14" t="n">
        <v>32208.67</v>
      </c>
      <c r="O941" s="14" t="n">
        <v>3191.85</v>
      </c>
      <c r="P941" s="21" t="n">
        <v>0.062</v>
      </c>
      <c r="Q941" s="6" t="n">
        <v>88</v>
      </c>
      <c r="R941" s="6" t="s">
        <v>232</v>
      </c>
      <c r="S941" s="21" t="n">
        <v>1</v>
      </c>
      <c r="T941" s="14" t="n">
        <v>32208.67</v>
      </c>
      <c r="U941" s="6" t="s">
        <v>39</v>
      </c>
    </row>
    <row r="942" customFormat="false" ht="15" hidden="false" customHeight="true" outlineLevel="0" collapsed="false">
      <c r="A942" s="6" t="s">
        <v>2077</v>
      </c>
      <c r="B942" s="6" t="s">
        <v>2078</v>
      </c>
      <c r="C942" s="6" t="s">
        <v>131</v>
      </c>
      <c r="D942" s="6" t="s">
        <v>152</v>
      </c>
      <c r="E942" s="6" t="s">
        <v>304</v>
      </c>
      <c r="F942" s="13" t="n">
        <v>45387</v>
      </c>
      <c r="G942" s="13" t="n">
        <v>45447</v>
      </c>
      <c r="H942" s="14" t="n">
        <v>40851.85</v>
      </c>
      <c r="I942" s="6" t="n">
        <v>2</v>
      </c>
      <c r="J942" s="6" t="n">
        <v>748</v>
      </c>
      <c r="K942" s="6" t="s">
        <v>185</v>
      </c>
      <c r="L942" s="14" t="n">
        <v>6992.67</v>
      </c>
      <c r="M942" s="22" t="n">
        <v>1.111</v>
      </c>
      <c r="N942" s="14" t="n">
        <v>7768.86</v>
      </c>
      <c r="O942" s="14" t="n">
        <v>776.19</v>
      </c>
      <c r="P942" s="21" t="n">
        <v>0.123</v>
      </c>
      <c r="Q942" s="6" t="n">
        <v>60</v>
      </c>
      <c r="R942" s="6" t="s">
        <v>161</v>
      </c>
      <c r="S942" s="21" t="n">
        <v>1</v>
      </c>
      <c r="T942" s="14" t="n">
        <v>7768.86</v>
      </c>
      <c r="U942" s="6" t="s">
        <v>38</v>
      </c>
    </row>
    <row r="943" customFormat="false" ht="15" hidden="false" customHeight="true" outlineLevel="0" collapsed="false">
      <c r="A943" s="6" t="s">
        <v>2079</v>
      </c>
      <c r="B943" s="6" t="s">
        <v>2080</v>
      </c>
      <c r="C943" s="6" t="s">
        <v>112</v>
      </c>
      <c r="D943" s="6" t="s">
        <v>225</v>
      </c>
      <c r="E943" s="6" t="s">
        <v>189</v>
      </c>
      <c r="F943" s="13" t="n">
        <v>45549</v>
      </c>
      <c r="G943" s="13" t="n">
        <v>45648</v>
      </c>
      <c r="H943" s="14" t="n">
        <v>165547.48</v>
      </c>
      <c r="I943" s="6" t="n">
        <v>2</v>
      </c>
      <c r="J943" s="6" t="n">
        <v>760</v>
      </c>
      <c r="K943" s="6" t="s">
        <v>185</v>
      </c>
      <c r="L943" s="14" t="n">
        <v>39838.11</v>
      </c>
      <c r="M943" s="22" t="n">
        <v>1.255</v>
      </c>
      <c r="N943" s="14" t="n">
        <v>49996.83</v>
      </c>
      <c r="O943" s="14" t="n">
        <v>10158.72</v>
      </c>
      <c r="P943" s="21" t="n">
        <v>0.091</v>
      </c>
      <c r="Q943" s="6" t="n">
        <v>99</v>
      </c>
      <c r="R943" s="6" t="s">
        <v>161</v>
      </c>
      <c r="S943" s="21" t="n">
        <v>1</v>
      </c>
      <c r="T943" s="14" t="n">
        <v>49996.83</v>
      </c>
      <c r="U943" s="6" t="s">
        <v>43</v>
      </c>
    </row>
    <row r="944" customFormat="false" ht="15" hidden="false" customHeight="true" outlineLevel="0" collapsed="false">
      <c r="A944" s="6" t="s">
        <v>2081</v>
      </c>
      <c r="B944" s="6" t="s">
        <v>2082</v>
      </c>
      <c r="C944" s="6" t="s">
        <v>131</v>
      </c>
      <c r="D944" s="6" t="s">
        <v>152</v>
      </c>
      <c r="E944" s="6" t="s">
        <v>165</v>
      </c>
      <c r="F944" s="13" t="n">
        <v>45742</v>
      </c>
      <c r="G944" s="13" t="n">
        <v>45901</v>
      </c>
      <c r="H944" s="14" t="n">
        <v>151148.84</v>
      </c>
      <c r="I944" s="6" t="n">
        <v>3</v>
      </c>
      <c r="J944" s="6" t="n">
        <v>644</v>
      </c>
      <c r="K944" s="6" t="s">
        <v>160</v>
      </c>
      <c r="L944" s="14" t="n">
        <v>48915.35</v>
      </c>
      <c r="M944" s="22" t="n">
        <v>1.245</v>
      </c>
      <c r="N944" s="14" t="n">
        <v>60899.61</v>
      </c>
      <c r="O944" s="14" t="n">
        <v>11984.26</v>
      </c>
      <c r="P944" s="21" t="n">
        <v>0.076</v>
      </c>
      <c r="Q944" s="6" t="n">
        <v>159</v>
      </c>
      <c r="R944" s="6" t="s">
        <v>155</v>
      </c>
      <c r="S944" s="21" t="n">
        <v>0.888</v>
      </c>
      <c r="T944" s="14" t="n">
        <v>54078.85</v>
      </c>
      <c r="U944" s="6" t="s">
        <v>49</v>
      </c>
    </row>
    <row r="945" customFormat="false" ht="15" hidden="false" customHeight="true" outlineLevel="0" collapsed="false">
      <c r="A945" s="6" t="s">
        <v>2083</v>
      </c>
      <c r="B945" s="6" t="s">
        <v>2084</v>
      </c>
      <c r="C945" s="6" t="s">
        <v>116</v>
      </c>
      <c r="D945" s="6" t="s">
        <v>206</v>
      </c>
      <c r="E945" s="6" t="s">
        <v>192</v>
      </c>
      <c r="F945" s="13" t="n">
        <v>45318</v>
      </c>
      <c r="G945" s="13" t="n">
        <v>45403</v>
      </c>
      <c r="H945" s="14" t="n">
        <v>200771.05</v>
      </c>
      <c r="I945" s="6" t="n">
        <v>3</v>
      </c>
      <c r="J945" s="6" t="n">
        <v>525</v>
      </c>
      <c r="K945" s="6" t="s">
        <v>154</v>
      </c>
      <c r="L945" s="14" t="n">
        <v>38716.02</v>
      </c>
      <c r="M945" s="22" t="n">
        <v>1.311</v>
      </c>
      <c r="N945" s="14" t="n">
        <v>50756.7</v>
      </c>
      <c r="O945" s="14" t="n">
        <v>12040.68</v>
      </c>
      <c r="P945" s="21" t="n">
        <v>0.089</v>
      </c>
      <c r="Q945" s="6" t="n">
        <v>85</v>
      </c>
      <c r="R945" s="6" t="s">
        <v>161</v>
      </c>
      <c r="S945" s="21" t="n">
        <v>1</v>
      </c>
      <c r="T945" s="14" t="n">
        <v>50756.7</v>
      </c>
      <c r="U945" s="6" t="s">
        <v>35</v>
      </c>
    </row>
    <row r="946" customFormat="false" ht="15" hidden="false" customHeight="true" outlineLevel="0" collapsed="false">
      <c r="A946" s="6" t="s">
        <v>2085</v>
      </c>
      <c r="B946" s="6" t="s">
        <v>2086</v>
      </c>
      <c r="C946" s="6" t="s">
        <v>116</v>
      </c>
      <c r="D946" s="6" t="s">
        <v>206</v>
      </c>
      <c r="E946" s="6" t="s">
        <v>159</v>
      </c>
      <c r="F946" s="13" t="n">
        <v>45346</v>
      </c>
      <c r="G946" s="13" t="n">
        <v>45457</v>
      </c>
      <c r="H946" s="14" t="n">
        <v>145847.06</v>
      </c>
      <c r="I946" s="6" t="n">
        <v>0</v>
      </c>
      <c r="J946" s="6" t="n">
        <v>768</v>
      </c>
      <c r="K946" s="6" t="s">
        <v>154</v>
      </c>
      <c r="L946" s="14" t="n">
        <v>40088.53</v>
      </c>
      <c r="M946" s="22" t="n">
        <v>1.16</v>
      </c>
      <c r="N946" s="14" t="n">
        <v>46502.69</v>
      </c>
      <c r="O946" s="14" t="n">
        <v>6414.16</v>
      </c>
      <c r="P946" s="21" t="n">
        <v>0.086</v>
      </c>
      <c r="Q946" s="6" t="n">
        <v>111</v>
      </c>
      <c r="R946" s="6" t="s">
        <v>155</v>
      </c>
      <c r="S946" s="21" t="n">
        <v>0.98</v>
      </c>
      <c r="T946" s="14" t="n">
        <v>45572.64</v>
      </c>
      <c r="U946" s="6" t="s">
        <v>36</v>
      </c>
    </row>
    <row r="947" customFormat="false" ht="15" hidden="false" customHeight="true" outlineLevel="0" collapsed="false">
      <c r="A947" s="6" t="s">
        <v>2087</v>
      </c>
      <c r="B947" s="6" t="s">
        <v>2088</v>
      </c>
      <c r="C947" s="6" t="s">
        <v>128</v>
      </c>
      <c r="D947" s="6" t="s">
        <v>235</v>
      </c>
      <c r="E947" s="6" t="s">
        <v>181</v>
      </c>
      <c r="F947" s="13" t="n">
        <v>45298</v>
      </c>
      <c r="G947" s="13" t="n">
        <v>45358</v>
      </c>
      <c r="H947" s="14" t="n">
        <v>69248.47</v>
      </c>
      <c r="I947" s="6" t="n">
        <v>3</v>
      </c>
      <c r="J947" s="6" t="n">
        <v>669</v>
      </c>
      <c r="K947" s="6" t="s">
        <v>160</v>
      </c>
      <c r="L947" s="14" t="n">
        <v>9888.35</v>
      </c>
      <c r="M947" s="22" t="n">
        <v>1.262</v>
      </c>
      <c r="N947" s="14" t="n">
        <v>12479.1</v>
      </c>
      <c r="O947" s="14" t="n">
        <v>2590.75</v>
      </c>
      <c r="P947" s="21" t="n">
        <v>0.107</v>
      </c>
      <c r="Q947" s="6" t="n">
        <v>60</v>
      </c>
      <c r="R947" s="6" t="s">
        <v>309</v>
      </c>
      <c r="S947" s="21" t="n">
        <v>0.057</v>
      </c>
      <c r="T947" s="14" t="n">
        <v>711.31</v>
      </c>
      <c r="U947" s="6" t="s">
        <v>35</v>
      </c>
    </row>
    <row r="948" customFormat="false" ht="15" hidden="false" customHeight="true" outlineLevel="0" collapsed="false">
      <c r="A948" s="6" t="s">
        <v>2089</v>
      </c>
      <c r="B948" s="6" t="s">
        <v>2090</v>
      </c>
      <c r="C948" s="6" t="s">
        <v>128</v>
      </c>
      <c r="D948" s="6" t="s">
        <v>172</v>
      </c>
      <c r="E948" s="6" t="s">
        <v>201</v>
      </c>
      <c r="F948" s="13" t="n">
        <v>45685</v>
      </c>
      <c r="G948" s="13" t="n">
        <v>45748</v>
      </c>
      <c r="H948" s="14" t="n">
        <v>226959.38</v>
      </c>
      <c r="I948" s="6" t="n">
        <v>2</v>
      </c>
      <c r="J948" s="6" t="n">
        <v>781</v>
      </c>
      <c r="K948" s="6" t="s">
        <v>154</v>
      </c>
      <c r="L948" s="14" t="n">
        <v>55387.67</v>
      </c>
      <c r="M948" s="22" t="n">
        <v>1.26</v>
      </c>
      <c r="N948" s="14" t="n">
        <v>69788.46</v>
      </c>
      <c r="O948" s="14" t="n">
        <v>14400.79</v>
      </c>
      <c r="P948" s="21" t="n">
        <v>0.145</v>
      </c>
      <c r="Q948" s="6" t="n">
        <v>63</v>
      </c>
      <c r="R948" s="6" t="s">
        <v>155</v>
      </c>
      <c r="S948" s="21" t="n">
        <v>0.721</v>
      </c>
      <c r="T948" s="14" t="n">
        <v>50317.48</v>
      </c>
      <c r="U948" s="6" t="s">
        <v>47</v>
      </c>
    </row>
    <row r="949" customFormat="false" ht="15" hidden="false" customHeight="true" outlineLevel="0" collapsed="false">
      <c r="A949" s="6" t="s">
        <v>2091</v>
      </c>
      <c r="B949" s="6" t="s">
        <v>2092</v>
      </c>
      <c r="C949" s="6" t="s">
        <v>128</v>
      </c>
      <c r="D949" s="6" t="s">
        <v>235</v>
      </c>
      <c r="E949" s="6" t="s">
        <v>165</v>
      </c>
      <c r="F949" s="13" t="n">
        <v>44894</v>
      </c>
      <c r="G949" s="13" t="n">
        <v>44961</v>
      </c>
      <c r="H949" s="14" t="n">
        <v>226109.88</v>
      </c>
      <c r="I949" s="6" t="n">
        <v>1</v>
      </c>
      <c r="J949" s="6" t="n">
        <v>686</v>
      </c>
      <c r="K949" s="6" t="s">
        <v>160</v>
      </c>
      <c r="L949" s="14" t="n">
        <v>76490.25</v>
      </c>
      <c r="M949" s="22" t="n">
        <v>1.122</v>
      </c>
      <c r="N949" s="14" t="n">
        <v>85822.06</v>
      </c>
      <c r="O949" s="14" t="n">
        <v>9331.81</v>
      </c>
      <c r="P949" s="21" t="n">
        <v>0.168</v>
      </c>
      <c r="Q949" s="6" t="n">
        <v>67</v>
      </c>
      <c r="R949" s="6" t="s">
        <v>155</v>
      </c>
      <c r="S949" s="21" t="n">
        <v>0.711</v>
      </c>
      <c r="T949" s="14" t="n">
        <v>61019.48</v>
      </c>
      <c r="U949" s="6" t="s">
        <v>21</v>
      </c>
    </row>
    <row r="950" customFormat="false" ht="15" hidden="false" customHeight="true" outlineLevel="0" collapsed="false">
      <c r="A950" s="6" t="s">
        <v>2093</v>
      </c>
      <c r="B950" s="6" t="s">
        <v>2094</v>
      </c>
      <c r="C950" s="6" t="s">
        <v>128</v>
      </c>
      <c r="D950" s="6" t="s">
        <v>172</v>
      </c>
      <c r="E950" s="6" t="s">
        <v>159</v>
      </c>
      <c r="F950" s="13" t="n">
        <v>44815</v>
      </c>
      <c r="G950" s="13" t="n">
        <v>44901</v>
      </c>
      <c r="H950" s="14" t="n">
        <v>168221.98</v>
      </c>
      <c r="I950" s="6" t="n">
        <v>1</v>
      </c>
      <c r="J950" s="6" t="n">
        <v>714</v>
      </c>
      <c r="K950" s="6" t="s">
        <v>154</v>
      </c>
      <c r="L950" s="14" t="n">
        <v>55949.9</v>
      </c>
      <c r="M950" s="22" t="n">
        <v>1.154</v>
      </c>
      <c r="N950" s="14" t="n">
        <v>64566.18</v>
      </c>
      <c r="O950" s="14" t="n">
        <v>8616.28</v>
      </c>
      <c r="P950" s="21" t="n">
        <v>0.133</v>
      </c>
      <c r="Q950" s="6" t="n">
        <v>86</v>
      </c>
      <c r="R950" s="6" t="s">
        <v>490</v>
      </c>
      <c r="S950" s="21" t="n">
        <v>0.732</v>
      </c>
      <c r="T950" s="14" t="n">
        <v>47262.44</v>
      </c>
      <c r="U950" s="6" t="s">
        <v>19</v>
      </c>
    </row>
    <row r="951" customFormat="false" ht="15" hidden="false" customHeight="true" outlineLevel="0" collapsed="false">
      <c r="A951" s="6" t="s">
        <v>2095</v>
      </c>
      <c r="B951" s="6" t="s">
        <v>2096</v>
      </c>
      <c r="C951" s="6" t="s">
        <v>124</v>
      </c>
      <c r="D951" s="6" t="s">
        <v>238</v>
      </c>
      <c r="E951" s="6" t="s">
        <v>165</v>
      </c>
      <c r="F951" s="13" t="n">
        <v>46113</v>
      </c>
      <c r="G951" s="13" t="n">
        <v>46173</v>
      </c>
      <c r="H951" s="14" t="n">
        <v>123340.49</v>
      </c>
      <c r="I951" s="6" t="n">
        <v>0</v>
      </c>
      <c r="J951" s="6" t="n">
        <v>578</v>
      </c>
      <c r="K951" s="6" t="s">
        <v>160</v>
      </c>
      <c r="L951" s="14" t="n">
        <v>9156.64</v>
      </c>
      <c r="M951" s="22" t="n">
        <v>1.147</v>
      </c>
      <c r="N951" s="14" t="n">
        <v>10502.67</v>
      </c>
      <c r="O951" s="14" t="n">
        <v>1346.03</v>
      </c>
      <c r="P951" s="21" t="n">
        <v>0.159</v>
      </c>
      <c r="Q951" s="6" t="n">
        <v>60</v>
      </c>
      <c r="R951" s="6" t="s">
        <v>155</v>
      </c>
      <c r="S951" s="21" t="n">
        <v>0.756</v>
      </c>
      <c r="T951" s="14" t="n">
        <v>7940.02</v>
      </c>
      <c r="U951" s="6" t="s">
        <v>62</v>
      </c>
    </row>
    <row r="952" customFormat="false" ht="15" hidden="false" customHeight="true" outlineLevel="0" collapsed="false">
      <c r="A952" s="6" t="s">
        <v>2097</v>
      </c>
      <c r="B952" s="6" t="s">
        <v>2098</v>
      </c>
      <c r="C952" s="6" t="s">
        <v>124</v>
      </c>
      <c r="D952" s="6" t="s">
        <v>168</v>
      </c>
      <c r="E952" s="6" t="s">
        <v>211</v>
      </c>
      <c r="F952" s="13" t="n">
        <v>44927</v>
      </c>
      <c r="G952" s="13" t="n">
        <v>44987</v>
      </c>
      <c r="H952" s="14" t="n">
        <v>81176.91</v>
      </c>
      <c r="I952" s="6" t="n">
        <v>5</v>
      </c>
      <c r="J952" s="6" t="n">
        <v>724</v>
      </c>
      <c r="K952" s="6" t="s">
        <v>185</v>
      </c>
      <c r="L952" s="14" t="n">
        <v>15341.96</v>
      </c>
      <c r="M952" s="22" t="n">
        <v>1.091</v>
      </c>
      <c r="N952" s="14" t="n">
        <v>16738.08</v>
      </c>
      <c r="O952" s="14" t="n">
        <v>1396.12</v>
      </c>
      <c r="P952" s="21" t="n">
        <v>0.135</v>
      </c>
      <c r="Q952" s="6" t="n">
        <v>60</v>
      </c>
      <c r="R952" s="6" t="s">
        <v>155</v>
      </c>
      <c r="S952" s="21" t="n">
        <v>0.98</v>
      </c>
      <c r="T952" s="14" t="n">
        <v>16403.32</v>
      </c>
      <c r="U952" s="6" t="s">
        <v>23</v>
      </c>
    </row>
    <row r="953" customFormat="false" ht="15" hidden="false" customHeight="true" outlineLevel="0" collapsed="false">
      <c r="A953" s="6" t="s">
        <v>2099</v>
      </c>
      <c r="B953" s="6" t="s">
        <v>2100</v>
      </c>
      <c r="C953" s="6" t="s">
        <v>116</v>
      </c>
      <c r="D953" s="6" t="s">
        <v>222</v>
      </c>
      <c r="E953" s="6" t="s">
        <v>207</v>
      </c>
      <c r="F953" s="13" t="n">
        <v>45777</v>
      </c>
      <c r="G953" s="13" t="n">
        <v>45872</v>
      </c>
      <c r="H953" s="14" t="n">
        <v>52248.94</v>
      </c>
      <c r="I953" s="6" t="n">
        <v>0</v>
      </c>
      <c r="J953" s="6" t="n">
        <v>783</v>
      </c>
      <c r="K953" s="6" t="s">
        <v>185</v>
      </c>
      <c r="L953" s="14" t="n">
        <v>18603.55</v>
      </c>
      <c r="M953" s="22" t="n">
        <v>1.224</v>
      </c>
      <c r="N953" s="14" t="n">
        <v>22770.75</v>
      </c>
      <c r="O953" s="14" t="n">
        <v>4167.2</v>
      </c>
      <c r="P953" s="21" t="n">
        <v>0.137</v>
      </c>
      <c r="Q953" s="6" t="n">
        <v>95</v>
      </c>
      <c r="R953" s="6" t="s">
        <v>155</v>
      </c>
      <c r="S953" s="21" t="n">
        <v>0.98</v>
      </c>
      <c r="T953" s="14" t="n">
        <v>22315.33</v>
      </c>
      <c r="U953" s="6" t="s">
        <v>50</v>
      </c>
    </row>
    <row r="954" customFormat="false" ht="15" hidden="false" customHeight="true" outlineLevel="0" collapsed="false">
      <c r="A954" s="6" t="s">
        <v>2101</v>
      </c>
      <c r="B954" s="6" t="s">
        <v>2102</v>
      </c>
      <c r="C954" s="6" t="s">
        <v>116</v>
      </c>
      <c r="D954" s="6" t="s">
        <v>222</v>
      </c>
      <c r="E954" s="6" t="s">
        <v>184</v>
      </c>
      <c r="F954" s="13" t="n">
        <v>45746</v>
      </c>
      <c r="G954" s="13" t="n">
        <v>45809</v>
      </c>
      <c r="H954" s="14" t="n">
        <v>195132.06</v>
      </c>
      <c r="I954" s="6" t="n">
        <v>0</v>
      </c>
      <c r="J954" s="6" t="n">
        <v>667</v>
      </c>
      <c r="K954" s="6" t="s">
        <v>160</v>
      </c>
      <c r="L954" s="14" t="n">
        <v>39168.82</v>
      </c>
      <c r="M954" s="22" t="n">
        <v>1.102</v>
      </c>
      <c r="N954" s="14" t="n">
        <v>43164.04</v>
      </c>
      <c r="O954" s="14" t="n">
        <v>3995.22</v>
      </c>
      <c r="P954" s="21" t="n">
        <v>0.105</v>
      </c>
      <c r="Q954" s="6" t="n">
        <v>63</v>
      </c>
      <c r="R954" s="6" t="s">
        <v>161</v>
      </c>
      <c r="S954" s="21" t="n">
        <v>1</v>
      </c>
      <c r="T954" s="14" t="n">
        <v>43164.04</v>
      </c>
      <c r="U954" s="6" t="s">
        <v>49</v>
      </c>
    </row>
    <row r="955" customFormat="false" ht="15" hidden="false" customHeight="true" outlineLevel="0" collapsed="false">
      <c r="A955" s="6" t="s">
        <v>2103</v>
      </c>
      <c r="B955" s="6" t="s">
        <v>2104</v>
      </c>
      <c r="C955" s="6" t="s">
        <v>120</v>
      </c>
      <c r="D955" s="6" t="s">
        <v>263</v>
      </c>
      <c r="E955" s="6" t="s">
        <v>189</v>
      </c>
      <c r="F955" s="13" t="n">
        <v>46136</v>
      </c>
      <c r="G955" s="13" t="n">
        <v>46221</v>
      </c>
      <c r="H955" s="14" t="n">
        <v>155480.04</v>
      </c>
      <c r="I955" s="6" t="n">
        <v>2</v>
      </c>
      <c r="J955" s="6" t="n">
        <v>628</v>
      </c>
      <c r="K955" s="6" t="s">
        <v>160</v>
      </c>
      <c r="L955" s="14" t="n">
        <v>36422.59</v>
      </c>
      <c r="M955" s="22" t="n">
        <v>1.27</v>
      </c>
      <c r="N955" s="14" t="n">
        <v>46256.69</v>
      </c>
      <c r="O955" s="14" t="n">
        <v>9834.1</v>
      </c>
      <c r="P955" s="21" t="n">
        <v>0.104</v>
      </c>
      <c r="Q955" s="6" t="n">
        <v>85</v>
      </c>
      <c r="R955" s="6" t="s">
        <v>155</v>
      </c>
      <c r="S955" s="21" t="n">
        <v>0.891</v>
      </c>
      <c r="T955" s="14" t="n">
        <v>41214.71</v>
      </c>
      <c r="U955" s="6" t="s">
        <v>62</v>
      </c>
    </row>
    <row r="956" customFormat="false" ht="15" hidden="false" customHeight="true" outlineLevel="0" collapsed="false">
      <c r="A956" s="6" t="s">
        <v>2105</v>
      </c>
      <c r="B956" s="6" t="s">
        <v>2106</v>
      </c>
      <c r="C956" s="6" t="s">
        <v>131</v>
      </c>
      <c r="D956" s="6" t="s">
        <v>176</v>
      </c>
      <c r="E956" s="6" t="s">
        <v>195</v>
      </c>
      <c r="F956" s="13" t="n">
        <v>45385</v>
      </c>
      <c r="G956" s="13" t="n">
        <v>45527</v>
      </c>
      <c r="H956" s="14" t="n">
        <v>14270.14</v>
      </c>
      <c r="I956" s="6" t="n">
        <v>1</v>
      </c>
      <c r="J956" s="6" t="n">
        <v>599</v>
      </c>
      <c r="K956" s="6" t="s">
        <v>154</v>
      </c>
      <c r="L956" s="14" t="n">
        <v>5539.96</v>
      </c>
      <c r="M956" s="22" t="n">
        <v>1.298</v>
      </c>
      <c r="N956" s="14" t="n">
        <v>7190.87</v>
      </c>
      <c r="O956" s="14" t="n">
        <v>1650.91</v>
      </c>
      <c r="P956" s="21" t="n">
        <v>0.106</v>
      </c>
      <c r="Q956" s="6" t="n">
        <v>142</v>
      </c>
      <c r="R956" s="6" t="s">
        <v>309</v>
      </c>
      <c r="S956" s="21" t="n">
        <v>0.454</v>
      </c>
      <c r="T956" s="14" t="n">
        <v>3264.65</v>
      </c>
      <c r="U956" s="6" t="s">
        <v>38</v>
      </c>
    </row>
    <row r="957" customFormat="false" ht="15" hidden="false" customHeight="true" outlineLevel="0" collapsed="false">
      <c r="A957" s="6" t="s">
        <v>2107</v>
      </c>
      <c r="B957" s="6" t="s">
        <v>2108</v>
      </c>
      <c r="C957" s="6" t="s">
        <v>116</v>
      </c>
      <c r="D957" s="6" t="s">
        <v>206</v>
      </c>
      <c r="E957" s="6" t="s">
        <v>288</v>
      </c>
      <c r="F957" s="13" t="n">
        <v>45901</v>
      </c>
      <c r="G957" s="13" t="n">
        <v>45972</v>
      </c>
      <c r="H957" s="14" t="n">
        <v>60388</v>
      </c>
      <c r="I957" s="6" t="n">
        <v>3</v>
      </c>
      <c r="J957" s="6" t="n">
        <v>536</v>
      </c>
      <c r="K957" s="6" t="s">
        <v>154</v>
      </c>
      <c r="L957" s="14" t="n">
        <v>17088.01</v>
      </c>
      <c r="M957" s="22" t="n">
        <v>1.316</v>
      </c>
      <c r="N957" s="14" t="n">
        <v>22487.82</v>
      </c>
      <c r="O957" s="14" t="n">
        <v>5399.81</v>
      </c>
      <c r="P957" s="21" t="n">
        <v>0.156</v>
      </c>
      <c r="Q957" s="6" t="n">
        <v>71</v>
      </c>
      <c r="R957" s="6" t="s">
        <v>161</v>
      </c>
      <c r="S957" s="21" t="n">
        <v>1</v>
      </c>
      <c r="T957" s="14" t="n">
        <v>22487.82</v>
      </c>
      <c r="U957" s="6" t="s">
        <v>55</v>
      </c>
    </row>
    <row r="958" customFormat="false" ht="15" hidden="false" customHeight="true" outlineLevel="0" collapsed="false">
      <c r="A958" s="6" t="s">
        <v>2109</v>
      </c>
      <c r="B958" s="6" t="s">
        <v>2110</v>
      </c>
      <c r="C958" s="6" t="s">
        <v>120</v>
      </c>
      <c r="D958" s="6" t="s">
        <v>218</v>
      </c>
      <c r="E958" s="6" t="s">
        <v>159</v>
      </c>
      <c r="F958" s="13" t="n">
        <v>45246</v>
      </c>
      <c r="G958" s="13" t="n">
        <v>45306</v>
      </c>
      <c r="H958" s="14" t="n">
        <v>247708.82</v>
      </c>
      <c r="I958" s="6" t="n">
        <v>0</v>
      </c>
      <c r="J958" s="6" t="n">
        <v>505</v>
      </c>
      <c r="K958" s="6" t="s">
        <v>185</v>
      </c>
      <c r="L958" s="14" t="n">
        <v>29684.78</v>
      </c>
      <c r="M958" s="22" t="n">
        <v>1.3</v>
      </c>
      <c r="N958" s="14" t="n">
        <v>38590.21</v>
      </c>
      <c r="O958" s="14" t="n">
        <v>8905.43</v>
      </c>
      <c r="P958" s="21" t="n">
        <v>0.145</v>
      </c>
      <c r="Q958" s="6" t="n">
        <v>60</v>
      </c>
      <c r="R958" s="6" t="s">
        <v>155</v>
      </c>
      <c r="S958" s="21" t="n">
        <v>0.904</v>
      </c>
      <c r="T958" s="14" t="n">
        <v>34885.55</v>
      </c>
      <c r="U958" s="6" t="s">
        <v>33</v>
      </c>
    </row>
    <row r="959" customFormat="false" ht="15" hidden="false" customHeight="true" outlineLevel="0" collapsed="false">
      <c r="A959" s="6" t="s">
        <v>2111</v>
      </c>
      <c r="B959" s="6" t="s">
        <v>2112</v>
      </c>
      <c r="C959" s="6" t="s">
        <v>120</v>
      </c>
      <c r="D959" s="6" t="s">
        <v>158</v>
      </c>
      <c r="E959" s="6" t="s">
        <v>207</v>
      </c>
      <c r="F959" s="13" t="n">
        <v>45474</v>
      </c>
      <c r="G959" s="13" t="n">
        <v>45571</v>
      </c>
      <c r="H959" s="14" t="n">
        <v>13744.03</v>
      </c>
      <c r="I959" s="6" t="n">
        <v>0</v>
      </c>
      <c r="J959" s="6" t="n">
        <v>515</v>
      </c>
      <c r="K959" s="6" t="s">
        <v>160</v>
      </c>
      <c r="L959" s="14" t="n">
        <v>3973.32</v>
      </c>
      <c r="M959" s="22" t="n">
        <v>1.251</v>
      </c>
      <c r="N959" s="14" t="n">
        <v>4970.62</v>
      </c>
      <c r="O959" s="14" t="n">
        <v>997.3</v>
      </c>
      <c r="P959" s="21" t="n">
        <v>0.111</v>
      </c>
      <c r="Q959" s="6" t="n">
        <v>97</v>
      </c>
      <c r="R959" s="6" t="s">
        <v>161</v>
      </c>
      <c r="S959" s="21" t="n">
        <v>1</v>
      </c>
      <c r="T959" s="14" t="n">
        <v>4970.62</v>
      </c>
      <c r="U959" s="6" t="s">
        <v>41</v>
      </c>
    </row>
    <row r="960" customFormat="false" ht="15" hidden="false" customHeight="true" outlineLevel="0" collapsed="false">
      <c r="A960" s="6" t="s">
        <v>2113</v>
      </c>
      <c r="B960" s="6" t="s">
        <v>2114</v>
      </c>
      <c r="C960" s="6" t="s">
        <v>112</v>
      </c>
      <c r="D960" s="6" t="s">
        <v>172</v>
      </c>
      <c r="E960" s="6" t="s">
        <v>153</v>
      </c>
      <c r="F960" s="13" t="n">
        <v>44658</v>
      </c>
      <c r="G960" s="13" t="n">
        <v>44764</v>
      </c>
      <c r="H960" s="14" t="n">
        <v>160219.49</v>
      </c>
      <c r="I960" s="6" t="n">
        <v>0</v>
      </c>
      <c r="J960" s="6" t="n">
        <v>539</v>
      </c>
      <c r="K960" s="6" t="s">
        <v>160</v>
      </c>
      <c r="L960" s="14" t="n">
        <v>42198.96</v>
      </c>
      <c r="M960" s="22" t="n">
        <v>1.203</v>
      </c>
      <c r="N960" s="14" t="n">
        <v>50765.35</v>
      </c>
      <c r="O960" s="14" t="n">
        <v>8566.39</v>
      </c>
      <c r="P960" s="21" t="n">
        <v>0.089</v>
      </c>
      <c r="Q960" s="6" t="n">
        <v>106</v>
      </c>
      <c r="R960" s="6" t="s">
        <v>161</v>
      </c>
      <c r="S960" s="21" t="n">
        <v>1</v>
      </c>
      <c r="T960" s="14" t="n">
        <v>50765.35</v>
      </c>
      <c r="U960" s="6" t="s">
        <v>14</v>
      </c>
    </row>
    <row r="961" customFormat="false" ht="15" hidden="false" customHeight="true" outlineLevel="0" collapsed="false">
      <c r="A961" s="6" t="s">
        <v>2115</v>
      </c>
      <c r="B961" s="6" t="s">
        <v>2116</v>
      </c>
      <c r="C961" s="6" t="s">
        <v>120</v>
      </c>
      <c r="D961" s="6" t="s">
        <v>158</v>
      </c>
      <c r="E961" s="6" t="s">
        <v>299</v>
      </c>
      <c r="F961" s="13" t="n">
        <v>45496</v>
      </c>
      <c r="G961" s="13" t="n">
        <v>45602</v>
      </c>
      <c r="H961" s="14" t="n">
        <v>129024.46</v>
      </c>
      <c r="I961" s="6" t="n">
        <v>1</v>
      </c>
      <c r="J961" s="6" t="n">
        <v>524</v>
      </c>
      <c r="K961" s="6" t="s">
        <v>160</v>
      </c>
      <c r="L961" s="14" t="n">
        <v>27009.25</v>
      </c>
      <c r="M961" s="22" t="n">
        <v>1.342</v>
      </c>
      <c r="N961" s="14" t="n">
        <v>36246.41</v>
      </c>
      <c r="O961" s="14" t="n">
        <v>9237.16</v>
      </c>
      <c r="P961" s="21" t="n">
        <v>0.079</v>
      </c>
      <c r="Q961" s="6" t="n">
        <v>106</v>
      </c>
      <c r="R961" s="6" t="s">
        <v>161</v>
      </c>
      <c r="S961" s="21" t="n">
        <v>1</v>
      </c>
      <c r="T961" s="14" t="n">
        <v>36246.41</v>
      </c>
      <c r="U961" s="6" t="s">
        <v>41</v>
      </c>
    </row>
    <row r="962" customFormat="false" ht="15" hidden="false" customHeight="true" outlineLevel="0" collapsed="false">
      <c r="A962" s="6" t="s">
        <v>2117</v>
      </c>
      <c r="B962" s="6" t="s">
        <v>2118</v>
      </c>
      <c r="C962" s="6" t="s">
        <v>112</v>
      </c>
      <c r="D962" s="6" t="s">
        <v>164</v>
      </c>
      <c r="E962" s="6" t="s">
        <v>211</v>
      </c>
      <c r="F962" s="13" t="n">
        <v>46037</v>
      </c>
      <c r="G962" s="13" t="n">
        <v>46124</v>
      </c>
      <c r="H962" s="14" t="n">
        <v>202775.59</v>
      </c>
      <c r="I962" s="6" t="n">
        <v>1</v>
      </c>
      <c r="J962" s="6" t="n">
        <v>698</v>
      </c>
      <c r="K962" s="6" t="s">
        <v>154</v>
      </c>
      <c r="L962" s="14" t="n">
        <v>68564.82</v>
      </c>
      <c r="M962" s="22" t="n">
        <v>1.168</v>
      </c>
      <c r="N962" s="14" t="n">
        <v>80083.71</v>
      </c>
      <c r="O962" s="14" t="n">
        <v>11518.89</v>
      </c>
      <c r="P962" s="21" t="n">
        <v>0.136</v>
      </c>
      <c r="Q962" s="6" t="n">
        <v>87</v>
      </c>
      <c r="R962" s="6" t="s">
        <v>155</v>
      </c>
      <c r="S962" s="21" t="n">
        <v>0.827</v>
      </c>
      <c r="T962" s="14" t="n">
        <v>66229.23</v>
      </c>
      <c r="U962" s="6" t="s">
        <v>59</v>
      </c>
    </row>
    <row r="963" customFormat="false" ht="15" hidden="false" customHeight="true" outlineLevel="0" collapsed="false">
      <c r="A963" s="6" t="s">
        <v>2119</v>
      </c>
      <c r="B963" s="6" t="s">
        <v>2120</v>
      </c>
      <c r="C963" s="6" t="s">
        <v>120</v>
      </c>
      <c r="D963" s="6" t="s">
        <v>263</v>
      </c>
      <c r="E963" s="6" t="s">
        <v>201</v>
      </c>
      <c r="F963" s="13" t="n">
        <v>45408</v>
      </c>
      <c r="G963" s="13" t="n">
        <v>45492</v>
      </c>
      <c r="H963" s="14" t="n">
        <v>190894.31</v>
      </c>
      <c r="I963" s="6" t="n">
        <v>2</v>
      </c>
      <c r="J963" s="6" t="n">
        <v>585</v>
      </c>
      <c r="K963" s="6" t="s">
        <v>154</v>
      </c>
      <c r="L963" s="14" t="n">
        <v>56070.27</v>
      </c>
      <c r="M963" s="22" t="n">
        <v>1.219</v>
      </c>
      <c r="N963" s="14" t="n">
        <v>68349.66</v>
      </c>
      <c r="O963" s="14" t="n">
        <v>12279.39</v>
      </c>
      <c r="P963" s="21" t="n">
        <v>0.127</v>
      </c>
      <c r="Q963" s="6" t="n">
        <v>84</v>
      </c>
      <c r="R963" s="6" t="s">
        <v>161</v>
      </c>
      <c r="S963" s="21" t="n">
        <v>1</v>
      </c>
      <c r="T963" s="14" t="n">
        <v>68349.66</v>
      </c>
      <c r="U963" s="6" t="s">
        <v>38</v>
      </c>
    </row>
    <row r="964" customFormat="false" ht="15" hidden="false" customHeight="true" outlineLevel="0" collapsed="false">
      <c r="A964" s="6" t="s">
        <v>2121</v>
      </c>
      <c r="B964" s="6" t="s">
        <v>2122</v>
      </c>
      <c r="C964" s="6" t="s">
        <v>120</v>
      </c>
      <c r="D964" s="6" t="s">
        <v>210</v>
      </c>
      <c r="E964" s="6" t="s">
        <v>219</v>
      </c>
      <c r="F964" s="13" t="n">
        <v>45134</v>
      </c>
      <c r="G964" s="13" t="n">
        <v>45207</v>
      </c>
      <c r="H964" s="14" t="n">
        <v>246894.35</v>
      </c>
      <c r="I964" s="6" t="n">
        <v>2</v>
      </c>
      <c r="J964" s="6" t="n">
        <v>594</v>
      </c>
      <c r="K964" s="6" t="s">
        <v>154</v>
      </c>
      <c r="L964" s="14" t="n">
        <v>69356.74</v>
      </c>
      <c r="M964" s="22" t="n">
        <v>1.213</v>
      </c>
      <c r="N964" s="14" t="n">
        <v>84129.73</v>
      </c>
      <c r="O964" s="14" t="n">
        <v>14772.99</v>
      </c>
      <c r="P964" s="21" t="n">
        <v>0.14</v>
      </c>
      <c r="Q964" s="6" t="n">
        <v>73</v>
      </c>
      <c r="R964" s="6" t="s">
        <v>155</v>
      </c>
      <c r="S964" s="21" t="n">
        <v>0.98</v>
      </c>
      <c r="T964" s="14" t="n">
        <v>82447.14</v>
      </c>
      <c r="U964" s="6" t="s">
        <v>29</v>
      </c>
    </row>
    <row r="965" customFormat="false" ht="15" hidden="false" customHeight="true" outlineLevel="0" collapsed="false">
      <c r="A965" s="6" t="s">
        <v>2123</v>
      </c>
      <c r="B965" s="6" t="s">
        <v>2124</v>
      </c>
      <c r="C965" s="6" t="s">
        <v>128</v>
      </c>
      <c r="D965" s="6" t="s">
        <v>235</v>
      </c>
      <c r="E965" s="6" t="s">
        <v>184</v>
      </c>
      <c r="F965" s="13" t="n">
        <v>46107</v>
      </c>
      <c r="G965" s="13" t="n">
        <v>46284</v>
      </c>
      <c r="H965" s="14" t="n">
        <v>196418.35</v>
      </c>
      <c r="I965" s="6" t="n">
        <v>0</v>
      </c>
      <c r="J965" s="6" t="n">
        <v>550</v>
      </c>
      <c r="K965" s="6" t="s">
        <v>185</v>
      </c>
      <c r="L965" s="14" t="n">
        <v>73115.41</v>
      </c>
      <c r="M965" s="22" t="n">
        <v>1.258</v>
      </c>
      <c r="N965" s="14" t="n">
        <v>91979.19</v>
      </c>
      <c r="O965" s="14" t="n">
        <v>18863.78</v>
      </c>
      <c r="P965" s="21" t="n">
        <v>0.079</v>
      </c>
      <c r="Q965" s="6" t="n">
        <v>177</v>
      </c>
      <c r="R965" s="6" t="s">
        <v>155</v>
      </c>
      <c r="S965" s="21" t="n">
        <v>0.621</v>
      </c>
      <c r="T965" s="14" t="n">
        <v>57119.08</v>
      </c>
      <c r="U965" s="6" t="s">
        <v>61</v>
      </c>
    </row>
    <row r="966" customFormat="false" ht="15" hidden="false" customHeight="true" outlineLevel="0" collapsed="false">
      <c r="A966" s="6" t="s">
        <v>2125</v>
      </c>
      <c r="B966" s="6" t="s">
        <v>2126</v>
      </c>
      <c r="C966" s="6" t="s">
        <v>120</v>
      </c>
      <c r="D966" s="6" t="s">
        <v>158</v>
      </c>
      <c r="E966" s="6" t="s">
        <v>169</v>
      </c>
      <c r="F966" s="13" t="n">
        <v>46116</v>
      </c>
      <c r="G966" s="13" t="n">
        <v>46255</v>
      </c>
      <c r="H966" s="14" t="n">
        <v>198488.26</v>
      </c>
      <c r="I966" s="6" t="n">
        <v>0</v>
      </c>
      <c r="J966" s="6" t="n">
        <v>618</v>
      </c>
      <c r="K966" s="6" t="s">
        <v>154</v>
      </c>
      <c r="L966" s="14" t="n">
        <v>72440.41</v>
      </c>
      <c r="M966" s="22" t="n">
        <v>1.086</v>
      </c>
      <c r="N966" s="14" t="n">
        <v>78670.29</v>
      </c>
      <c r="O966" s="14" t="n">
        <v>6229.88</v>
      </c>
      <c r="P966" s="21" t="n">
        <v>0.085</v>
      </c>
      <c r="Q966" s="6" t="n">
        <v>139</v>
      </c>
      <c r="R966" s="6" t="s">
        <v>161</v>
      </c>
      <c r="S966" s="21" t="n">
        <v>1</v>
      </c>
      <c r="T966" s="14" t="n">
        <v>78670.29</v>
      </c>
      <c r="U966" s="6" t="s">
        <v>62</v>
      </c>
    </row>
    <row r="967" customFormat="false" ht="15" hidden="false" customHeight="true" outlineLevel="0" collapsed="false">
      <c r="A967" s="6" t="s">
        <v>2127</v>
      </c>
      <c r="B967" s="6" t="s">
        <v>2128</v>
      </c>
      <c r="C967" s="6" t="s">
        <v>124</v>
      </c>
      <c r="D967" s="6" t="s">
        <v>243</v>
      </c>
      <c r="E967" s="6" t="s">
        <v>159</v>
      </c>
      <c r="F967" s="13" t="n">
        <v>45104</v>
      </c>
      <c r="G967" s="13" t="n">
        <v>45164</v>
      </c>
      <c r="H967" s="14" t="n">
        <v>186355.3</v>
      </c>
      <c r="I967" s="6" t="n">
        <v>1</v>
      </c>
      <c r="J967" s="6" t="n">
        <v>565</v>
      </c>
      <c r="K967" s="6" t="s">
        <v>154</v>
      </c>
      <c r="L967" s="14" t="n">
        <v>29411.79</v>
      </c>
      <c r="M967" s="22" t="n">
        <v>1.1</v>
      </c>
      <c r="N967" s="14" t="n">
        <v>32352.97</v>
      </c>
      <c r="O967" s="14" t="n">
        <v>2941.18</v>
      </c>
      <c r="P967" s="21" t="n">
        <v>0.138</v>
      </c>
      <c r="Q967" s="6" t="n">
        <v>60</v>
      </c>
      <c r="R967" s="6" t="s">
        <v>155</v>
      </c>
      <c r="S967" s="21" t="n">
        <v>0.98</v>
      </c>
      <c r="T967" s="14" t="n">
        <v>31705.91</v>
      </c>
      <c r="U967" s="6" t="s">
        <v>28</v>
      </c>
    </row>
    <row r="968" customFormat="false" ht="15" hidden="false" customHeight="true" outlineLevel="0" collapsed="false">
      <c r="A968" s="6" t="s">
        <v>2129</v>
      </c>
      <c r="B968" s="6" t="s">
        <v>2130</v>
      </c>
      <c r="C968" s="6" t="s">
        <v>128</v>
      </c>
      <c r="D968" s="6" t="s">
        <v>401</v>
      </c>
      <c r="E968" s="6" t="s">
        <v>173</v>
      </c>
      <c r="F968" s="13" t="n">
        <v>46125</v>
      </c>
      <c r="G968" s="13" t="n">
        <v>46267</v>
      </c>
      <c r="H968" s="14" t="n">
        <v>83282.09</v>
      </c>
      <c r="I968" s="6" t="n">
        <v>2</v>
      </c>
      <c r="J968" s="6" t="n">
        <v>632</v>
      </c>
      <c r="K968" s="6" t="s">
        <v>154</v>
      </c>
      <c r="L968" s="14" t="n">
        <v>26056.28</v>
      </c>
      <c r="M968" s="22" t="n">
        <v>1.169</v>
      </c>
      <c r="N968" s="14" t="n">
        <v>30459.79</v>
      </c>
      <c r="O968" s="14" t="n">
        <v>4403.51</v>
      </c>
      <c r="P968" s="21" t="n">
        <v>0.077</v>
      </c>
      <c r="Q968" s="6" t="n">
        <v>142</v>
      </c>
      <c r="R968" s="6" t="s">
        <v>309</v>
      </c>
      <c r="S968" s="21" t="n">
        <v>0.533</v>
      </c>
      <c r="T968" s="14" t="n">
        <v>16235.07</v>
      </c>
      <c r="U968" s="6" t="s">
        <v>62</v>
      </c>
    </row>
    <row r="969" customFormat="false" ht="15" hidden="false" customHeight="true" outlineLevel="0" collapsed="false">
      <c r="A969" s="6" t="s">
        <v>2131</v>
      </c>
      <c r="B969" s="6" t="s">
        <v>2132</v>
      </c>
      <c r="C969" s="6" t="s">
        <v>116</v>
      </c>
      <c r="D969" s="6" t="s">
        <v>206</v>
      </c>
      <c r="E969" s="6" t="s">
        <v>201</v>
      </c>
      <c r="F969" s="13" t="n">
        <v>46028</v>
      </c>
      <c r="G969" s="13" t="n">
        <v>46088</v>
      </c>
      <c r="H969" s="14" t="n">
        <v>219966.63</v>
      </c>
      <c r="I969" s="6" t="n">
        <v>0</v>
      </c>
      <c r="J969" s="6" t="n">
        <v>666</v>
      </c>
      <c r="K969" s="6" t="s">
        <v>160</v>
      </c>
      <c r="L969" s="14" t="n">
        <v>26274.54</v>
      </c>
      <c r="M969" s="22" t="n">
        <v>1.165</v>
      </c>
      <c r="N969" s="14" t="n">
        <v>30609.84</v>
      </c>
      <c r="O969" s="14" t="n">
        <v>4335.3</v>
      </c>
      <c r="P969" s="21" t="n">
        <v>0.163</v>
      </c>
      <c r="Q969" s="6" t="n">
        <v>60</v>
      </c>
      <c r="R969" s="6" t="s">
        <v>161</v>
      </c>
      <c r="S969" s="21" t="n">
        <v>1</v>
      </c>
      <c r="T969" s="14" t="n">
        <v>30609.84</v>
      </c>
      <c r="U969" s="6" t="s">
        <v>59</v>
      </c>
    </row>
    <row r="970" customFormat="false" ht="15" hidden="false" customHeight="true" outlineLevel="0" collapsed="false">
      <c r="A970" s="6" t="s">
        <v>2133</v>
      </c>
      <c r="B970" s="6" t="s">
        <v>2134</v>
      </c>
      <c r="C970" s="6" t="s">
        <v>120</v>
      </c>
      <c r="D970" s="6" t="s">
        <v>210</v>
      </c>
      <c r="E970" s="6" t="s">
        <v>211</v>
      </c>
      <c r="F970" s="13" t="n">
        <v>45436</v>
      </c>
      <c r="G970" s="13" t="n">
        <v>45593</v>
      </c>
      <c r="H970" s="14" t="n">
        <v>126254.99</v>
      </c>
      <c r="I970" s="6" t="n">
        <v>0</v>
      </c>
      <c r="J970" s="6" t="n">
        <v>749</v>
      </c>
      <c r="K970" s="6" t="s">
        <v>160</v>
      </c>
      <c r="L970" s="14" t="n">
        <v>28942.07</v>
      </c>
      <c r="M970" s="22" t="n">
        <v>1.239</v>
      </c>
      <c r="N970" s="14" t="n">
        <v>35859.22</v>
      </c>
      <c r="O970" s="14" t="n">
        <v>6917.15</v>
      </c>
      <c r="P970" s="21" t="n">
        <v>0.054</v>
      </c>
      <c r="Q970" s="6" t="n">
        <v>157</v>
      </c>
      <c r="R970" s="6" t="s">
        <v>161</v>
      </c>
      <c r="S970" s="21" t="n">
        <v>1</v>
      </c>
      <c r="T970" s="14" t="n">
        <v>35859.22</v>
      </c>
      <c r="U970" s="6" t="s">
        <v>39</v>
      </c>
    </row>
    <row r="971" customFormat="false" ht="15" hidden="false" customHeight="true" outlineLevel="0" collapsed="false">
      <c r="A971" s="6" t="s">
        <v>2135</v>
      </c>
      <c r="B971" s="6" t="s">
        <v>2136</v>
      </c>
      <c r="C971" s="6" t="s">
        <v>124</v>
      </c>
      <c r="D971" s="6" t="s">
        <v>238</v>
      </c>
      <c r="E971" s="6" t="s">
        <v>177</v>
      </c>
      <c r="F971" s="13" t="n">
        <v>45820</v>
      </c>
      <c r="G971" s="13" t="n">
        <v>45880</v>
      </c>
      <c r="H971" s="14" t="n">
        <v>69294.04</v>
      </c>
      <c r="I971" s="6" t="n">
        <v>5</v>
      </c>
      <c r="J971" s="6" t="n">
        <v>734</v>
      </c>
      <c r="K971" s="6" t="s">
        <v>185</v>
      </c>
      <c r="L971" s="14" t="n">
        <v>8449.33</v>
      </c>
      <c r="M971" s="22" t="n">
        <v>1.096</v>
      </c>
      <c r="N971" s="14" t="n">
        <v>9260.47</v>
      </c>
      <c r="O971" s="14" t="n">
        <v>811.14</v>
      </c>
      <c r="P971" s="21" t="n">
        <v>0.158</v>
      </c>
      <c r="Q971" s="6" t="n">
        <v>60</v>
      </c>
      <c r="R971" s="6" t="s">
        <v>155</v>
      </c>
      <c r="S971" s="21" t="n">
        <v>0.98</v>
      </c>
      <c r="T971" s="14" t="n">
        <v>9075.26</v>
      </c>
      <c r="U971" s="6" t="s">
        <v>52</v>
      </c>
    </row>
    <row r="972" customFormat="false" ht="15" hidden="false" customHeight="true" outlineLevel="0" collapsed="false">
      <c r="A972" s="6" t="s">
        <v>2137</v>
      </c>
      <c r="B972" s="6" t="s">
        <v>2138</v>
      </c>
      <c r="C972" s="6" t="s">
        <v>120</v>
      </c>
      <c r="D972" s="6" t="s">
        <v>158</v>
      </c>
      <c r="E972" s="6" t="s">
        <v>159</v>
      </c>
      <c r="F972" s="13" t="n">
        <v>45109</v>
      </c>
      <c r="G972" s="13" t="n">
        <v>45169</v>
      </c>
      <c r="H972" s="14" t="n">
        <v>189383.69</v>
      </c>
      <c r="I972" s="6" t="n">
        <v>5</v>
      </c>
      <c r="J972" s="6" t="n">
        <v>749</v>
      </c>
      <c r="K972" s="6" t="s">
        <v>160</v>
      </c>
      <c r="L972" s="14" t="n">
        <v>34535.51</v>
      </c>
      <c r="M972" s="22" t="n">
        <v>1.217</v>
      </c>
      <c r="N972" s="14" t="n">
        <v>42029.72</v>
      </c>
      <c r="O972" s="14" t="n">
        <v>7494.21</v>
      </c>
      <c r="P972" s="21" t="n">
        <v>0.119</v>
      </c>
      <c r="Q972" s="6" t="n">
        <v>60</v>
      </c>
      <c r="R972" s="6" t="s">
        <v>155</v>
      </c>
      <c r="S972" s="21" t="n">
        <v>0.861</v>
      </c>
      <c r="T972" s="14" t="n">
        <v>36187.59</v>
      </c>
      <c r="U972" s="6" t="s">
        <v>29</v>
      </c>
    </row>
    <row r="973" customFormat="false" ht="15" hidden="false" customHeight="true" outlineLevel="0" collapsed="false">
      <c r="A973" s="6" t="s">
        <v>2139</v>
      </c>
      <c r="B973" s="6" t="s">
        <v>2140</v>
      </c>
      <c r="C973" s="6" t="s">
        <v>128</v>
      </c>
      <c r="D973" s="6" t="s">
        <v>235</v>
      </c>
      <c r="E973" s="6" t="s">
        <v>184</v>
      </c>
      <c r="F973" s="13" t="n">
        <v>45911</v>
      </c>
      <c r="G973" s="13" t="n">
        <v>46000</v>
      </c>
      <c r="H973" s="14" t="n">
        <v>185397.12</v>
      </c>
      <c r="I973" s="6" t="n">
        <v>3</v>
      </c>
      <c r="J973" s="6" t="n">
        <v>555</v>
      </c>
      <c r="K973" s="6" t="s">
        <v>160</v>
      </c>
      <c r="L973" s="14" t="n">
        <v>58578.79</v>
      </c>
      <c r="M973" s="22" t="n">
        <v>1.316</v>
      </c>
      <c r="N973" s="14" t="n">
        <v>77089.69</v>
      </c>
      <c r="O973" s="14" t="n">
        <v>18510.9</v>
      </c>
      <c r="P973" s="21" t="n">
        <v>0.139</v>
      </c>
      <c r="Q973" s="6" t="n">
        <v>89</v>
      </c>
      <c r="R973" s="6" t="s">
        <v>155</v>
      </c>
      <c r="S973" s="21" t="n">
        <v>0.854</v>
      </c>
      <c r="T973" s="14" t="n">
        <v>65834.6</v>
      </c>
      <c r="U973" s="6" t="s">
        <v>55</v>
      </c>
    </row>
    <row r="974" customFormat="false" ht="15" hidden="false" customHeight="true" outlineLevel="0" collapsed="false">
      <c r="A974" s="6" t="s">
        <v>2141</v>
      </c>
      <c r="B974" s="6" t="s">
        <v>2142</v>
      </c>
      <c r="C974" s="6" t="s">
        <v>128</v>
      </c>
      <c r="D974" s="6" t="s">
        <v>235</v>
      </c>
      <c r="E974" s="6" t="s">
        <v>159</v>
      </c>
      <c r="F974" s="13" t="n">
        <v>46033</v>
      </c>
      <c r="G974" s="13" t="n">
        <v>46093</v>
      </c>
      <c r="H974" s="14" t="n">
        <v>130123.12</v>
      </c>
      <c r="I974" s="6" t="n">
        <v>4</v>
      </c>
      <c r="J974" s="6" t="n">
        <v>809</v>
      </c>
      <c r="K974" s="6" t="s">
        <v>160</v>
      </c>
      <c r="L974" s="14" t="n">
        <v>9523.83</v>
      </c>
      <c r="M974" s="22" t="n">
        <v>1.315</v>
      </c>
      <c r="N974" s="14" t="n">
        <v>12523.84</v>
      </c>
      <c r="O974" s="14" t="n">
        <v>3000.01</v>
      </c>
      <c r="P974" s="21" t="n">
        <v>0.067</v>
      </c>
      <c r="Q974" s="6" t="n">
        <v>60</v>
      </c>
      <c r="R974" s="6" t="s">
        <v>161</v>
      </c>
      <c r="S974" s="21" t="n">
        <v>1</v>
      </c>
      <c r="T974" s="14" t="n">
        <v>12523.84</v>
      </c>
      <c r="U974" s="6" t="s">
        <v>59</v>
      </c>
    </row>
    <row r="975" customFormat="false" ht="15" hidden="false" customHeight="true" outlineLevel="0" collapsed="false">
      <c r="A975" s="6" t="s">
        <v>2143</v>
      </c>
      <c r="B975" s="6" t="s">
        <v>2144</v>
      </c>
      <c r="C975" s="6" t="s">
        <v>131</v>
      </c>
      <c r="D975" s="6" t="s">
        <v>152</v>
      </c>
      <c r="E975" s="6" t="s">
        <v>184</v>
      </c>
      <c r="F975" s="13" t="n">
        <v>46102</v>
      </c>
      <c r="G975" s="13" t="n">
        <v>46168</v>
      </c>
      <c r="H975" s="14" t="n">
        <v>196722.18</v>
      </c>
      <c r="I975" s="6" t="n">
        <v>3</v>
      </c>
      <c r="J975" s="6" t="n">
        <v>657</v>
      </c>
      <c r="K975" s="6" t="s">
        <v>160</v>
      </c>
      <c r="L975" s="14" t="n">
        <v>31474.27</v>
      </c>
      <c r="M975" s="22" t="n">
        <v>1.166</v>
      </c>
      <c r="N975" s="14" t="n">
        <v>36699</v>
      </c>
      <c r="O975" s="14" t="n">
        <v>5224.73</v>
      </c>
      <c r="P975" s="21" t="n">
        <v>0.084</v>
      </c>
      <c r="Q975" s="6" t="n">
        <v>66</v>
      </c>
      <c r="R975" s="6" t="s">
        <v>155</v>
      </c>
      <c r="S975" s="21" t="n">
        <v>0.924</v>
      </c>
      <c r="T975" s="14" t="n">
        <v>33909.88</v>
      </c>
      <c r="U975" s="6" t="s">
        <v>61</v>
      </c>
    </row>
    <row r="976" customFormat="false" ht="15" hidden="false" customHeight="true" outlineLevel="0" collapsed="false">
      <c r="A976" s="6" t="s">
        <v>2145</v>
      </c>
      <c r="B976" s="6" t="s">
        <v>2146</v>
      </c>
      <c r="C976" s="6" t="s">
        <v>131</v>
      </c>
      <c r="D976" s="6" t="s">
        <v>176</v>
      </c>
      <c r="E976" s="6" t="s">
        <v>207</v>
      </c>
      <c r="F976" s="13" t="n">
        <v>44701</v>
      </c>
      <c r="G976" s="13" t="n">
        <v>44807</v>
      </c>
      <c r="H976" s="14" t="n">
        <v>238809.76</v>
      </c>
      <c r="I976" s="6" t="n">
        <v>2</v>
      </c>
      <c r="J976" s="6" t="n">
        <v>623</v>
      </c>
      <c r="K976" s="6" t="s">
        <v>185</v>
      </c>
      <c r="L976" s="14" t="n">
        <v>118386.4</v>
      </c>
      <c r="M976" s="22" t="n">
        <v>1.173</v>
      </c>
      <c r="N976" s="14" t="n">
        <v>138867.25</v>
      </c>
      <c r="O976" s="14" t="n">
        <v>20480.85</v>
      </c>
      <c r="P976" s="21" t="n">
        <v>0.164</v>
      </c>
      <c r="Q976" s="6" t="n">
        <v>106</v>
      </c>
      <c r="R976" s="6" t="s">
        <v>161</v>
      </c>
      <c r="S976" s="21" t="n">
        <v>1</v>
      </c>
      <c r="T976" s="14" t="n">
        <v>138867.25</v>
      </c>
      <c r="U976" s="6" t="s">
        <v>15</v>
      </c>
    </row>
    <row r="977" customFormat="false" ht="15" hidden="false" customHeight="true" outlineLevel="0" collapsed="false">
      <c r="A977" s="6" t="s">
        <v>2147</v>
      </c>
      <c r="B977" s="6" t="s">
        <v>2148</v>
      </c>
      <c r="C977" s="6" t="s">
        <v>120</v>
      </c>
      <c r="D977" s="6" t="s">
        <v>158</v>
      </c>
      <c r="E977" s="6" t="s">
        <v>192</v>
      </c>
      <c r="F977" s="13" t="n">
        <v>45870</v>
      </c>
      <c r="G977" s="13" t="n">
        <v>45988</v>
      </c>
      <c r="H977" s="14" t="n">
        <v>133161.01</v>
      </c>
      <c r="I977" s="6" t="n">
        <v>0</v>
      </c>
      <c r="J977" s="6" t="n">
        <v>813</v>
      </c>
      <c r="K977" s="6" t="s">
        <v>160</v>
      </c>
      <c r="L977" s="14" t="n">
        <v>39408.3</v>
      </c>
      <c r="M977" s="22" t="n">
        <v>1.326</v>
      </c>
      <c r="N977" s="14" t="n">
        <v>52255.41</v>
      </c>
      <c r="O977" s="14" t="n">
        <v>12847.11</v>
      </c>
      <c r="P977" s="21" t="n">
        <v>0.099</v>
      </c>
      <c r="Q977" s="6" t="n">
        <v>118</v>
      </c>
      <c r="R977" s="6" t="s">
        <v>155</v>
      </c>
      <c r="S977" s="21" t="n">
        <v>0.944</v>
      </c>
      <c r="T977" s="14" t="n">
        <v>49329.11</v>
      </c>
      <c r="U977" s="6" t="s">
        <v>54</v>
      </c>
    </row>
    <row r="978" customFormat="false" ht="15" hidden="false" customHeight="true" outlineLevel="0" collapsed="false">
      <c r="A978" s="6" t="s">
        <v>2149</v>
      </c>
      <c r="B978" s="6" t="s">
        <v>2150</v>
      </c>
      <c r="C978" s="6" t="s">
        <v>128</v>
      </c>
      <c r="D978" s="6" t="s">
        <v>172</v>
      </c>
      <c r="E978" s="6" t="s">
        <v>299</v>
      </c>
      <c r="F978" s="13" t="n">
        <v>44699</v>
      </c>
      <c r="G978" s="13" t="n">
        <v>44887</v>
      </c>
      <c r="H978" s="14" t="n">
        <v>48498.68</v>
      </c>
      <c r="I978" s="6" t="n">
        <v>0</v>
      </c>
      <c r="J978" s="6" t="n">
        <v>800</v>
      </c>
      <c r="K978" s="6" t="s">
        <v>154</v>
      </c>
      <c r="L978" s="14" t="n">
        <v>20060.36</v>
      </c>
      <c r="M978" s="22" t="n">
        <v>1.319</v>
      </c>
      <c r="N978" s="14" t="n">
        <v>26459.61</v>
      </c>
      <c r="O978" s="14" t="n">
        <v>6399.25</v>
      </c>
      <c r="P978" s="21" t="n">
        <v>0.087</v>
      </c>
      <c r="Q978" s="6" t="n">
        <v>188</v>
      </c>
      <c r="R978" s="6" t="s">
        <v>161</v>
      </c>
      <c r="S978" s="21" t="n">
        <v>1</v>
      </c>
      <c r="T978" s="14" t="n">
        <v>26459.61</v>
      </c>
      <c r="U978" s="6" t="s">
        <v>15</v>
      </c>
    </row>
    <row r="979" customFormat="false" ht="15" hidden="false" customHeight="true" outlineLevel="0" collapsed="false">
      <c r="A979" s="6" t="s">
        <v>2151</v>
      </c>
      <c r="B979" s="6" t="s">
        <v>2152</v>
      </c>
      <c r="C979" s="6" t="s">
        <v>120</v>
      </c>
      <c r="D979" s="6" t="s">
        <v>158</v>
      </c>
      <c r="E979" s="6" t="s">
        <v>326</v>
      </c>
      <c r="F979" s="13" t="n">
        <v>46129</v>
      </c>
      <c r="G979" s="13" t="n">
        <v>46196</v>
      </c>
      <c r="H979" s="14" t="n">
        <v>228527.83</v>
      </c>
      <c r="I979" s="6" t="n">
        <v>0</v>
      </c>
      <c r="J979" s="6" t="n">
        <v>721</v>
      </c>
      <c r="K979" s="6" t="s">
        <v>154</v>
      </c>
      <c r="L979" s="14" t="n">
        <v>55127.79</v>
      </c>
      <c r="M979" s="22" t="n">
        <v>1.141</v>
      </c>
      <c r="N979" s="14" t="n">
        <v>62900.81</v>
      </c>
      <c r="O979" s="14" t="n">
        <v>7773.02</v>
      </c>
      <c r="P979" s="21" t="n">
        <v>0.122</v>
      </c>
      <c r="Q979" s="6" t="n">
        <v>67</v>
      </c>
      <c r="R979" s="6" t="s">
        <v>161</v>
      </c>
      <c r="S979" s="21" t="n">
        <v>1</v>
      </c>
      <c r="T979" s="14" t="n">
        <v>62900.81</v>
      </c>
      <c r="U979" s="6" t="s">
        <v>62</v>
      </c>
    </row>
    <row r="980" customFormat="false" ht="15" hidden="false" customHeight="true" outlineLevel="0" collapsed="false">
      <c r="A980" s="6" t="s">
        <v>2153</v>
      </c>
      <c r="B980" s="6" t="s">
        <v>2154</v>
      </c>
      <c r="C980" s="6" t="s">
        <v>124</v>
      </c>
      <c r="D980" s="6" t="s">
        <v>168</v>
      </c>
      <c r="E980" s="6" t="s">
        <v>207</v>
      </c>
      <c r="F980" s="13" t="n">
        <v>45299</v>
      </c>
      <c r="G980" s="13" t="n">
        <v>45384</v>
      </c>
      <c r="H980" s="14" t="n">
        <v>242413.8</v>
      </c>
      <c r="I980" s="6" t="n">
        <v>1</v>
      </c>
      <c r="J980" s="6" t="n">
        <v>786</v>
      </c>
      <c r="K980" s="6" t="s">
        <v>185</v>
      </c>
      <c r="L980" s="14" t="n">
        <v>74016.28</v>
      </c>
      <c r="M980" s="22" t="n">
        <v>1.314</v>
      </c>
      <c r="N980" s="14" t="n">
        <v>97257.39</v>
      </c>
      <c r="O980" s="14" t="n">
        <v>23241.11</v>
      </c>
      <c r="P980" s="21" t="n">
        <v>0.141</v>
      </c>
      <c r="Q980" s="6" t="n">
        <v>85</v>
      </c>
      <c r="R980" s="6" t="s">
        <v>161</v>
      </c>
      <c r="S980" s="21" t="n">
        <v>1</v>
      </c>
      <c r="T980" s="14" t="n">
        <v>97257.39</v>
      </c>
      <c r="U980" s="6" t="s">
        <v>35</v>
      </c>
    </row>
    <row r="981" customFormat="false" ht="15" hidden="false" customHeight="true" outlineLevel="0" collapsed="false">
      <c r="A981" s="6" t="s">
        <v>2155</v>
      </c>
      <c r="B981" s="6" t="s">
        <v>2156</v>
      </c>
      <c r="C981" s="6" t="s">
        <v>112</v>
      </c>
      <c r="D981" s="6" t="s">
        <v>225</v>
      </c>
      <c r="E981" s="6" t="s">
        <v>207</v>
      </c>
      <c r="F981" s="13" t="n">
        <v>45091</v>
      </c>
      <c r="G981" s="13" t="n">
        <v>45209</v>
      </c>
      <c r="H981" s="14" t="n">
        <v>147147.82</v>
      </c>
      <c r="I981" s="6" t="n">
        <v>3</v>
      </c>
      <c r="J981" s="6" t="n">
        <v>535</v>
      </c>
      <c r="K981" s="6" t="s">
        <v>160</v>
      </c>
      <c r="L981" s="14" t="n">
        <v>32905.76</v>
      </c>
      <c r="M981" s="22" t="n">
        <v>1.221</v>
      </c>
      <c r="N981" s="14" t="n">
        <v>40177.93</v>
      </c>
      <c r="O981" s="14" t="n">
        <v>7272.17</v>
      </c>
      <c r="P981" s="21" t="n">
        <v>0.069</v>
      </c>
      <c r="Q981" s="6" t="n">
        <v>118</v>
      </c>
      <c r="R981" s="6" t="s">
        <v>490</v>
      </c>
      <c r="S981" s="21" t="n">
        <v>0.743</v>
      </c>
      <c r="T981" s="14" t="n">
        <v>29852.2</v>
      </c>
      <c r="U981" s="6" t="s">
        <v>28</v>
      </c>
    </row>
    <row r="982" customFormat="false" ht="15" hidden="false" customHeight="true" outlineLevel="0" collapsed="false">
      <c r="A982" s="6" t="s">
        <v>2157</v>
      </c>
      <c r="B982" s="6" t="s">
        <v>2158</v>
      </c>
      <c r="C982" s="6" t="s">
        <v>116</v>
      </c>
      <c r="D982" s="6" t="s">
        <v>152</v>
      </c>
      <c r="E982" s="6" t="s">
        <v>153</v>
      </c>
      <c r="F982" s="13" t="n">
        <v>44933</v>
      </c>
      <c r="G982" s="13" t="n">
        <v>44995</v>
      </c>
      <c r="H982" s="14" t="n">
        <v>14501.07</v>
      </c>
      <c r="I982" s="6" t="n">
        <v>2</v>
      </c>
      <c r="J982" s="6" t="n">
        <v>647</v>
      </c>
      <c r="K982" s="6" t="s">
        <v>160</v>
      </c>
      <c r="L982" s="14" t="n">
        <v>3737.3</v>
      </c>
      <c r="M982" s="22" t="n">
        <v>1.143</v>
      </c>
      <c r="N982" s="14" t="n">
        <v>4271.73</v>
      </c>
      <c r="O982" s="14" t="n">
        <v>534.43</v>
      </c>
      <c r="P982" s="21" t="n">
        <v>0.142</v>
      </c>
      <c r="Q982" s="6" t="n">
        <v>62</v>
      </c>
      <c r="R982" s="6" t="s">
        <v>161</v>
      </c>
      <c r="S982" s="21" t="n">
        <v>1</v>
      </c>
      <c r="T982" s="14" t="n">
        <v>4271.73</v>
      </c>
      <c r="U982" s="6" t="s">
        <v>23</v>
      </c>
    </row>
    <row r="983" customFormat="false" ht="15" hidden="false" customHeight="true" outlineLevel="0" collapsed="false">
      <c r="A983" s="6" t="s">
        <v>2159</v>
      </c>
      <c r="B983" s="6" t="s">
        <v>2160</v>
      </c>
      <c r="C983" s="6" t="s">
        <v>116</v>
      </c>
      <c r="D983" s="6" t="s">
        <v>152</v>
      </c>
      <c r="E983" s="6" t="s">
        <v>299</v>
      </c>
      <c r="F983" s="13" t="n">
        <v>45617</v>
      </c>
      <c r="G983" s="13" t="n">
        <v>45803</v>
      </c>
      <c r="H983" s="14" t="n">
        <v>226253.55</v>
      </c>
      <c r="I983" s="6" t="n">
        <v>0</v>
      </c>
      <c r="J983" s="6" t="n">
        <v>763</v>
      </c>
      <c r="K983" s="6" t="s">
        <v>160</v>
      </c>
      <c r="L983" s="14" t="n">
        <v>74038.68</v>
      </c>
      <c r="M983" s="22" t="n">
        <v>1.257</v>
      </c>
      <c r="N983" s="14" t="n">
        <v>93066.62</v>
      </c>
      <c r="O983" s="14" t="n">
        <v>19027.94</v>
      </c>
      <c r="P983" s="21" t="n">
        <v>0.066</v>
      </c>
      <c r="Q983" s="6" t="n">
        <v>186</v>
      </c>
      <c r="R983" s="6" t="s">
        <v>161</v>
      </c>
      <c r="S983" s="21" t="n">
        <v>1</v>
      </c>
      <c r="T983" s="14" t="n">
        <v>93066.62</v>
      </c>
      <c r="U983" s="6" t="s">
        <v>45</v>
      </c>
    </row>
    <row r="984" customFormat="false" ht="15" hidden="false" customHeight="true" outlineLevel="0" collapsed="false">
      <c r="A984" s="6" t="s">
        <v>2161</v>
      </c>
      <c r="B984" s="6" t="s">
        <v>2162</v>
      </c>
      <c r="C984" s="6" t="s">
        <v>124</v>
      </c>
      <c r="D984" s="6" t="s">
        <v>168</v>
      </c>
      <c r="E984" s="6" t="s">
        <v>195</v>
      </c>
      <c r="F984" s="13" t="n">
        <v>45040</v>
      </c>
      <c r="G984" s="13" t="n">
        <v>45100</v>
      </c>
      <c r="H984" s="14" t="n">
        <v>134692.57</v>
      </c>
      <c r="I984" s="6" t="n">
        <v>0</v>
      </c>
      <c r="J984" s="6" t="n">
        <v>673</v>
      </c>
      <c r="K984" s="6" t="s">
        <v>185</v>
      </c>
      <c r="L984" s="14" t="n">
        <v>21782.86</v>
      </c>
      <c r="M984" s="22" t="n">
        <v>1.212</v>
      </c>
      <c r="N984" s="14" t="n">
        <v>26400.83</v>
      </c>
      <c r="O984" s="14" t="n">
        <v>4617.97</v>
      </c>
      <c r="P984" s="21" t="n">
        <v>0.097</v>
      </c>
      <c r="Q984" s="6" t="n">
        <v>60</v>
      </c>
      <c r="R984" s="6" t="s">
        <v>161</v>
      </c>
      <c r="S984" s="21" t="n">
        <v>1</v>
      </c>
      <c r="T984" s="14" t="n">
        <v>26400.83</v>
      </c>
      <c r="U984" s="6" t="s">
        <v>26</v>
      </c>
    </row>
    <row r="985" customFormat="false" ht="15" hidden="false" customHeight="true" outlineLevel="0" collapsed="false">
      <c r="A985" s="6" t="s">
        <v>2163</v>
      </c>
      <c r="B985" s="6" t="s">
        <v>2164</v>
      </c>
      <c r="C985" s="6" t="s">
        <v>116</v>
      </c>
      <c r="D985" s="6" t="s">
        <v>206</v>
      </c>
      <c r="E985" s="6" t="s">
        <v>159</v>
      </c>
      <c r="F985" s="13" t="n">
        <v>44813</v>
      </c>
      <c r="G985" s="13" t="n">
        <v>44873</v>
      </c>
      <c r="H985" s="14" t="n">
        <v>147450.52</v>
      </c>
      <c r="I985" s="6" t="n">
        <v>1</v>
      </c>
      <c r="J985" s="6" t="n">
        <v>756</v>
      </c>
      <c r="K985" s="6" t="s">
        <v>160</v>
      </c>
      <c r="L985" s="14" t="n">
        <v>19919.6</v>
      </c>
      <c r="M985" s="22" t="n">
        <v>1.086</v>
      </c>
      <c r="N985" s="14" t="n">
        <v>21632.69</v>
      </c>
      <c r="O985" s="14" t="n">
        <v>1713.09</v>
      </c>
      <c r="P985" s="21" t="n">
        <v>0.11</v>
      </c>
      <c r="Q985" s="6" t="n">
        <v>60</v>
      </c>
      <c r="R985" s="6" t="s">
        <v>155</v>
      </c>
      <c r="S985" s="21" t="n">
        <v>0.98</v>
      </c>
      <c r="T985" s="14" t="n">
        <v>21200.04</v>
      </c>
      <c r="U985" s="6" t="s">
        <v>19</v>
      </c>
    </row>
    <row r="986" customFormat="false" ht="15" hidden="false" customHeight="true" outlineLevel="0" collapsed="false">
      <c r="A986" s="6" t="s">
        <v>2165</v>
      </c>
      <c r="B986" s="6" t="s">
        <v>2166</v>
      </c>
      <c r="C986" s="6" t="s">
        <v>124</v>
      </c>
      <c r="D986" s="6" t="s">
        <v>243</v>
      </c>
      <c r="E986" s="6" t="s">
        <v>192</v>
      </c>
      <c r="F986" s="13" t="n">
        <v>45463</v>
      </c>
      <c r="G986" s="13" t="n">
        <v>45613</v>
      </c>
      <c r="H986" s="14" t="n">
        <v>84387.48</v>
      </c>
      <c r="I986" s="6" t="n">
        <v>1</v>
      </c>
      <c r="J986" s="6" t="n">
        <v>768</v>
      </c>
      <c r="K986" s="6" t="s">
        <v>154</v>
      </c>
      <c r="L986" s="14" t="n">
        <v>29274.9</v>
      </c>
      <c r="M986" s="22" t="n">
        <v>1.301</v>
      </c>
      <c r="N986" s="14" t="n">
        <v>38086.64</v>
      </c>
      <c r="O986" s="14" t="n">
        <v>8811.74</v>
      </c>
      <c r="P986" s="21" t="n">
        <v>0.09</v>
      </c>
      <c r="Q986" s="6" t="n">
        <v>150</v>
      </c>
      <c r="R986" s="6" t="s">
        <v>161</v>
      </c>
      <c r="S986" s="21" t="n">
        <v>1</v>
      </c>
      <c r="T986" s="14" t="n">
        <v>38086.64</v>
      </c>
      <c r="U986" s="6" t="s">
        <v>40</v>
      </c>
    </row>
    <row r="987" customFormat="false" ht="15" hidden="false" customHeight="true" outlineLevel="0" collapsed="false">
      <c r="A987" s="6" t="s">
        <v>2167</v>
      </c>
      <c r="B987" s="6" t="s">
        <v>2168</v>
      </c>
      <c r="C987" s="6" t="s">
        <v>124</v>
      </c>
      <c r="D987" s="6" t="s">
        <v>180</v>
      </c>
      <c r="E987" s="6" t="s">
        <v>192</v>
      </c>
      <c r="F987" s="13" t="n">
        <v>45805</v>
      </c>
      <c r="G987" s="13" t="n">
        <v>45920</v>
      </c>
      <c r="H987" s="14" t="n">
        <v>187176.95</v>
      </c>
      <c r="I987" s="6" t="n">
        <v>0</v>
      </c>
      <c r="J987" s="6" t="n">
        <v>502</v>
      </c>
      <c r="K987" s="6" t="s">
        <v>154</v>
      </c>
      <c r="L987" s="14" t="n">
        <v>59022.78</v>
      </c>
      <c r="M987" s="22" t="n">
        <v>1.267</v>
      </c>
      <c r="N987" s="14" t="n">
        <v>74781.86</v>
      </c>
      <c r="O987" s="14" t="n">
        <v>15759.08</v>
      </c>
      <c r="P987" s="21" t="n">
        <v>0.104</v>
      </c>
      <c r="Q987" s="6" t="n">
        <v>115</v>
      </c>
      <c r="R987" s="6" t="s">
        <v>155</v>
      </c>
      <c r="S987" s="21" t="n">
        <v>0.98</v>
      </c>
      <c r="T987" s="14" t="n">
        <v>73286.22</v>
      </c>
      <c r="U987" s="6" t="s">
        <v>51</v>
      </c>
    </row>
    <row r="988" customFormat="false" ht="15" hidden="false" customHeight="true" outlineLevel="0" collapsed="false">
      <c r="A988" s="6" t="s">
        <v>2169</v>
      </c>
      <c r="B988" s="6" t="s">
        <v>2170</v>
      </c>
      <c r="C988" s="6" t="s">
        <v>120</v>
      </c>
      <c r="D988" s="6" t="s">
        <v>210</v>
      </c>
      <c r="E988" s="6" t="s">
        <v>201</v>
      </c>
      <c r="F988" s="13" t="n">
        <v>45080</v>
      </c>
      <c r="G988" s="13" t="n">
        <v>45140</v>
      </c>
      <c r="H988" s="14" t="n">
        <v>97910.42</v>
      </c>
      <c r="I988" s="6" t="n">
        <v>2</v>
      </c>
      <c r="J988" s="6" t="n">
        <v>614</v>
      </c>
      <c r="K988" s="6" t="s">
        <v>185</v>
      </c>
      <c r="L988" s="14" t="n">
        <v>9027.66</v>
      </c>
      <c r="M988" s="22" t="n">
        <v>1.132</v>
      </c>
      <c r="N988" s="14" t="n">
        <v>10219.31</v>
      </c>
      <c r="O988" s="14" t="n">
        <v>1191.65</v>
      </c>
      <c r="P988" s="21" t="n">
        <v>0.129</v>
      </c>
      <c r="Q988" s="6" t="n">
        <v>60</v>
      </c>
      <c r="R988" s="6" t="s">
        <v>161</v>
      </c>
      <c r="S988" s="21" t="n">
        <v>1</v>
      </c>
      <c r="T988" s="14" t="n">
        <v>10219.31</v>
      </c>
      <c r="U988" s="6" t="s">
        <v>28</v>
      </c>
    </row>
    <row r="989" customFormat="false" ht="15" hidden="false" customHeight="true" outlineLevel="0" collapsed="false">
      <c r="A989" s="6" t="s">
        <v>2171</v>
      </c>
      <c r="B989" s="6" t="s">
        <v>2172</v>
      </c>
      <c r="C989" s="6" t="s">
        <v>128</v>
      </c>
      <c r="D989" s="6" t="s">
        <v>235</v>
      </c>
      <c r="E989" s="6" t="s">
        <v>159</v>
      </c>
      <c r="F989" s="13" t="n">
        <v>45512</v>
      </c>
      <c r="G989" s="13" t="n">
        <v>45667</v>
      </c>
      <c r="H989" s="14" t="n">
        <v>167006.12</v>
      </c>
      <c r="I989" s="6" t="n">
        <v>0</v>
      </c>
      <c r="J989" s="6" t="n">
        <v>769</v>
      </c>
      <c r="K989" s="6" t="s">
        <v>160</v>
      </c>
      <c r="L989" s="14" t="n">
        <v>59984.7</v>
      </c>
      <c r="M989" s="22" t="n">
        <v>1.198</v>
      </c>
      <c r="N989" s="14" t="n">
        <v>71861.67</v>
      </c>
      <c r="O989" s="14" t="n">
        <v>11876.97</v>
      </c>
      <c r="P989" s="21" t="n">
        <v>0.083</v>
      </c>
      <c r="Q989" s="6" t="n">
        <v>155</v>
      </c>
      <c r="R989" s="6" t="s">
        <v>161</v>
      </c>
      <c r="S989" s="21" t="n">
        <v>1</v>
      </c>
      <c r="T989" s="14" t="n">
        <v>71861.67</v>
      </c>
      <c r="U989" s="6" t="s">
        <v>42</v>
      </c>
    </row>
    <row r="990" customFormat="false" ht="15" hidden="false" customHeight="true" outlineLevel="0" collapsed="false">
      <c r="A990" s="6" t="s">
        <v>2173</v>
      </c>
      <c r="B990" s="6" t="s">
        <v>2174</v>
      </c>
      <c r="C990" s="6" t="s">
        <v>131</v>
      </c>
      <c r="D990" s="6" t="s">
        <v>176</v>
      </c>
      <c r="E990" s="6" t="s">
        <v>201</v>
      </c>
      <c r="F990" s="13" t="n">
        <v>44825</v>
      </c>
      <c r="G990" s="13" t="n">
        <v>44934</v>
      </c>
      <c r="H990" s="14" t="n">
        <v>215166.91</v>
      </c>
      <c r="I990" s="6" t="n">
        <v>2</v>
      </c>
      <c r="J990" s="6" t="n">
        <v>776</v>
      </c>
      <c r="K990" s="6" t="s">
        <v>154</v>
      </c>
      <c r="L990" s="14" t="n">
        <v>41307.84</v>
      </c>
      <c r="M990" s="22" t="n">
        <v>1.203</v>
      </c>
      <c r="N990" s="14" t="n">
        <v>49693.33</v>
      </c>
      <c r="O990" s="14" t="n">
        <v>8385.49</v>
      </c>
      <c r="P990" s="21" t="n">
        <v>0.063</v>
      </c>
      <c r="Q990" s="6" t="n">
        <v>109</v>
      </c>
      <c r="R990" s="6" t="s">
        <v>155</v>
      </c>
      <c r="S990" s="21" t="n">
        <v>0.98</v>
      </c>
      <c r="T990" s="14" t="n">
        <v>48699.46</v>
      </c>
      <c r="U990" s="6" t="s">
        <v>19</v>
      </c>
    </row>
    <row r="991" customFormat="false" ht="15" hidden="false" customHeight="true" outlineLevel="0" collapsed="false">
      <c r="A991" s="6" t="s">
        <v>2175</v>
      </c>
      <c r="B991" s="6" t="s">
        <v>2176</v>
      </c>
      <c r="C991" s="6" t="s">
        <v>124</v>
      </c>
      <c r="D991" s="6" t="s">
        <v>180</v>
      </c>
      <c r="E991" s="6" t="s">
        <v>201</v>
      </c>
      <c r="F991" s="13" t="n">
        <v>45141</v>
      </c>
      <c r="G991" s="13" t="n">
        <v>45201</v>
      </c>
      <c r="H991" s="14" t="n">
        <v>236544.73</v>
      </c>
      <c r="I991" s="6" t="n">
        <v>1</v>
      </c>
      <c r="J991" s="6" t="n">
        <v>669</v>
      </c>
      <c r="K991" s="6" t="s">
        <v>160</v>
      </c>
      <c r="L991" s="14" t="n">
        <v>22914.7</v>
      </c>
      <c r="M991" s="22" t="n">
        <v>1.123</v>
      </c>
      <c r="N991" s="14" t="n">
        <v>25733.21</v>
      </c>
      <c r="O991" s="14" t="n">
        <v>2818.51</v>
      </c>
      <c r="P991" s="21" t="n">
        <v>0.068</v>
      </c>
      <c r="Q991" s="6" t="n">
        <v>60</v>
      </c>
      <c r="R991" s="6" t="s">
        <v>161</v>
      </c>
      <c r="S991" s="21" t="n">
        <v>1</v>
      </c>
      <c r="T991" s="14" t="n">
        <v>25733.21</v>
      </c>
      <c r="U991" s="6" t="s">
        <v>30</v>
      </c>
    </row>
    <row r="992" customFormat="false" ht="15" hidden="false" customHeight="true" outlineLevel="0" collapsed="false">
      <c r="A992" s="6" t="s">
        <v>2177</v>
      </c>
      <c r="B992" s="6" t="s">
        <v>2178</v>
      </c>
      <c r="C992" s="6" t="s">
        <v>112</v>
      </c>
      <c r="D992" s="6" t="s">
        <v>188</v>
      </c>
      <c r="E992" s="6" t="s">
        <v>153</v>
      </c>
      <c r="F992" s="13" t="n">
        <v>45932</v>
      </c>
      <c r="G992" s="13" t="n">
        <v>45992</v>
      </c>
      <c r="H992" s="14" t="n">
        <v>41810.76</v>
      </c>
      <c r="I992" s="6" t="n">
        <v>0</v>
      </c>
      <c r="J992" s="6" t="n">
        <v>597</v>
      </c>
      <c r="K992" s="6" t="s">
        <v>160</v>
      </c>
      <c r="L992" s="14" t="n">
        <v>6194.14</v>
      </c>
      <c r="M992" s="22" t="n">
        <v>1.083</v>
      </c>
      <c r="N992" s="14" t="n">
        <v>6708.25</v>
      </c>
      <c r="O992" s="14" t="n">
        <v>514.11</v>
      </c>
      <c r="P992" s="21" t="n">
        <v>0.113</v>
      </c>
      <c r="Q992" s="6" t="n">
        <v>60</v>
      </c>
      <c r="R992" s="6" t="s">
        <v>161</v>
      </c>
      <c r="S992" s="21" t="n">
        <v>1</v>
      </c>
      <c r="T992" s="14" t="n">
        <v>6708.25</v>
      </c>
      <c r="U992" s="6" t="s">
        <v>56</v>
      </c>
    </row>
    <row r="993" customFormat="false" ht="15" hidden="false" customHeight="true" outlineLevel="0" collapsed="false">
      <c r="A993" s="6" t="s">
        <v>2179</v>
      </c>
      <c r="B993" s="6" t="s">
        <v>2180</v>
      </c>
      <c r="C993" s="6" t="s">
        <v>120</v>
      </c>
      <c r="D993" s="6" t="s">
        <v>210</v>
      </c>
      <c r="E993" s="6" t="s">
        <v>165</v>
      </c>
      <c r="F993" s="13" t="n">
        <v>44761</v>
      </c>
      <c r="G993" s="13" t="n">
        <v>44840</v>
      </c>
      <c r="H993" s="14" t="n">
        <v>23698.92</v>
      </c>
      <c r="I993" s="6" t="n">
        <v>0</v>
      </c>
      <c r="J993" s="6" t="n">
        <v>614</v>
      </c>
      <c r="K993" s="6" t="s">
        <v>160</v>
      </c>
      <c r="L993" s="14" t="n">
        <v>4124.72</v>
      </c>
      <c r="M993" s="22" t="n">
        <v>1.33</v>
      </c>
      <c r="N993" s="14" t="n">
        <v>5485.88</v>
      </c>
      <c r="O993" s="14" t="n">
        <v>1361.16</v>
      </c>
      <c r="P993" s="21" t="n">
        <v>0.087</v>
      </c>
      <c r="Q993" s="6" t="n">
        <v>79</v>
      </c>
      <c r="R993" s="6" t="s">
        <v>155</v>
      </c>
      <c r="S993" s="21" t="n">
        <v>0.836</v>
      </c>
      <c r="T993" s="14" t="n">
        <v>4586.2</v>
      </c>
      <c r="U993" s="6" t="s">
        <v>17</v>
      </c>
    </row>
    <row r="994" customFormat="false" ht="15" hidden="false" customHeight="true" outlineLevel="0" collapsed="false">
      <c r="A994" s="6" t="s">
        <v>2181</v>
      </c>
      <c r="B994" s="6" t="s">
        <v>2182</v>
      </c>
      <c r="C994" s="6" t="s">
        <v>128</v>
      </c>
      <c r="D994" s="6" t="s">
        <v>401</v>
      </c>
      <c r="E994" s="6" t="s">
        <v>326</v>
      </c>
      <c r="F994" s="13" t="n">
        <v>45719</v>
      </c>
      <c r="G994" s="13" t="n">
        <v>45922</v>
      </c>
      <c r="H994" s="14" t="n">
        <v>243328.75</v>
      </c>
      <c r="I994" s="6" t="n">
        <v>1</v>
      </c>
      <c r="J994" s="6" t="n">
        <v>606</v>
      </c>
      <c r="K994" s="6" t="s">
        <v>160</v>
      </c>
      <c r="L994" s="14" t="n">
        <v>106817.4</v>
      </c>
      <c r="M994" s="22" t="n">
        <v>1.208</v>
      </c>
      <c r="N994" s="14" t="n">
        <v>129035.42</v>
      </c>
      <c r="O994" s="14" t="n">
        <v>22218.02</v>
      </c>
      <c r="P994" s="21" t="n">
        <v>0.078</v>
      </c>
      <c r="Q994" s="6" t="n">
        <v>203</v>
      </c>
      <c r="R994" s="6" t="s">
        <v>155</v>
      </c>
      <c r="S994" s="21" t="n">
        <v>0.746</v>
      </c>
      <c r="T994" s="14" t="n">
        <v>96260.42</v>
      </c>
      <c r="U994" s="6" t="s">
        <v>49</v>
      </c>
    </row>
    <row r="995" customFormat="false" ht="15" hidden="false" customHeight="true" outlineLevel="0" collapsed="false">
      <c r="A995" s="6" t="s">
        <v>2183</v>
      </c>
      <c r="B995" s="6" t="s">
        <v>2184</v>
      </c>
      <c r="C995" s="6" t="s">
        <v>128</v>
      </c>
      <c r="D995" s="6" t="s">
        <v>235</v>
      </c>
      <c r="E995" s="6" t="s">
        <v>211</v>
      </c>
      <c r="F995" s="13" t="n">
        <v>45925</v>
      </c>
      <c r="G995" s="13" t="n">
        <v>45985</v>
      </c>
      <c r="H995" s="14" t="n">
        <v>33754.5</v>
      </c>
      <c r="I995" s="6" t="n">
        <v>1</v>
      </c>
      <c r="J995" s="6" t="n">
        <v>570</v>
      </c>
      <c r="K995" s="6" t="s">
        <v>160</v>
      </c>
      <c r="L995" s="14" t="n">
        <v>3796.87</v>
      </c>
      <c r="M995" s="22" t="n">
        <v>1.239</v>
      </c>
      <c r="N995" s="14" t="n">
        <v>4704.32</v>
      </c>
      <c r="O995" s="14" t="n">
        <v>907.45</v>
      </c>
      <c r="P995" s="21" t="n">
        <v>0.167</v>
      </c>
      <c r="Q995" s="6" t="n">
        <v>60</v>
      </c>
      <c r="R995" s="6" t="s">
        <v>161</v>
      </c>
      <c r="S995" s="21" t="n">
        <v>1</v>
      </c>
      <c r="T995" s="14" t="n">
        <v>4704.32</v>
      </c>
      <c r="U995" s="6" t="s">
        <v>55</v>
      </c>
    </row>
    <row r="996" customFormat="false" ht="15" hidden="false" customHeight="true" outlineLevel="0" collapsed="false">
      <c r="A996" s="6" t="s">
        <v>2185</v>
      </c>
      <c r="B996" s="6" t="s">
        <v>2186</v>
      </c>
      <c r="C996" s="6" t="s">
        <v>131</v>
      </c>
      <c r="D996" s="6" t="s">
        <v>200</v>
      </c>
      <c r="E996" s="6" t="s">
        <v>184</v>
      </c>
      <c r="F996" s="13" t="n">
        <v>45286</v>
      </c>
      <c r="G996" s="13" t="n">
        <v>45346</v>
      </c>
      <c r="H996" s="14" t="n">
        <v>166321.85</v>
      </c>
      <c r="I996" s="6" t="n">
        <v>0</v>
      </c>
      <c r="J996" s="6" t="n">
        <v>588</v>
      </c>
      <c r="K996" s="6" t="s">
        <v>185</v>
      </c>
      <c r="L996" s="14" t="n">
        <v>40020.9</v>
      </c>
      <c r="M996" s="22" t="n">
        <v>1.272</v>
      </c>
      <c r="N996" s="14" t="n">
        <v>50906.58</v>
      </c>
      <c r="O996" s="14" t="n">
        <v>10885.68</v>
      </c>
      <c r="P996" s="21" t="n">
        <v>0.157</v>
      </c>
      <c r="Q996" s="6" t="n">
        <v>60</v>
      </c>
      <c r="R996" s="6" t="s">
        <v>161</v>
      </c>
      <c r="S996" s="21" t="n">
        <v>1</v>
      </c>
      <c r="T996" s="14" t="n">
        <v>50906.58</v>
      </c>
      <c r="U996" s="6" t="s">
        <v>34</v>
      </c>
    </row>
    <row r="997" customFormat="false" ht="15" hidden="false" customHeight="true" outlineLevel="0" collapsed="false">
      <c r="A997" s="6" t="s">
        <v>2187</v>
      </c>
      <c r="B997" s="6" t="s">
        <v>2188</v>
      </c>
      <c r="C997" s="6" t="s">
        <v>112</v>
      </c>
      <c r="D997" s="6" t="s">
        <v>164</v>
      </c>
      <c r="E997" s="6" t="s">
        <v>195</v>
      </c>
      <c r="F997" s="13" t="n">
        <v>45232</v>
      </c>
      <c r="G997" s="13" t="n">
        <v>45300</v>
      </c>
      <c r="H997" s="14" t="n">
        <v>198601.14</v>
      </c>
      <c r="I997" s="6" t="n">
        <v>3</v>
      </c>
      <c r="J997" s="6" t="n">
        <v>660</v>
      </c>
      <c r="K997" s="6" t="s">
        <v>185</v>
      </c>
      <c r="L997" s="14" t="n">
        <v>48205.01</v>
      </c>
      <c r="M997" s="22" t="n">
        <v>1.177</v>
      </c>
      <c r="N997" s="14" t="n">
        <v>56737.3</v>
      </c>
      <c r="O997" s="14" t="n">
        <v>8532.29</v>
      </c>
      <c r="P997" s="21" t="n">
        <v>0.125</v>
      </c>
      <c r="Q997" s="6" t="n">
        <v>68</v>
      </c>
      <c r="R997" s="6" t="s">
        <v>155</v>
      </c>
      <c r="S997" s="21" t="n">
        <v>0.704</v>
      </c>
      <c r="T997" s="14" t="n">
        <v>39943.06</v>
      </c>
      <c r="U997" s="6" t="s">
        <v>33</v>
      </c>
    </row>
    <row r="998" customFormat="false" ht="15" hidden="false" customHeight="true" outlineLevel="0" collapsed="false">
      <c r="A998" s="6" t="s">
        <v>2189</v>
      </c>
      <c r="B998" s="6" t="s">
        <v>2190</v>
      </c>
      <c r="C998" s="6" t="s">
        <v>131</v>
      </c>
      <c r="D998" s="6" t="s">
        <v>200</v>
      </c>
      <c r="E998" s="6" t="s">
        <v>201</v>
      </c>
      <c r="F998" s="13" t="n">
        <v>45121</v>
      </c>
      <c r="G998" s="13" t="n">
        <v>45184</v>
      </c>
      <c r="H998" s="14" t="n">
        <v>93456.63</v>
      </c>
      <c r="I998" s="6" t="n">
        <v>4</v>
      </c>
      <c r="J998" s="6" t="n">
        <v>703</v>
      </c>
      <c r="K998" s="6" t="s">
        <v>160</v>
      </c>
      <c r="L998" s="14" t="n">
        <v>16856.02</v>
      </c>
      <c r="M998" s="22" t="n">
        <v>1.211</v>
      </c>
      <c r="N998" s="14" t="n">
        <v>20412.64</v>
      </c>
      <c r="O998" s="14" t="n">
        <v>3556.62</v>
      </c>
      <c r="P998" s="21" t="n">
        <v>0.104</v>
      </c>
      <c r="Q998" s="6" t="n">
        <v>63</v>
      </c>
      <c r="R998" s="6" t="s">
        <v>155</v>
      </c>
      <c r="S998" s="21" t="n">
        <v>0.75</v>
      </c>
      <c r="T998" s="14" t="n">
        <v>15309.48</v>
      </c>
      <c r="U998" s="6" t="s">
        <v>29</v>
      </c>
    </row>
    <row r="999" customFormat="false" ht="15" hidden="false" customHeight="true" outlineLevel="0" collapsed="false">
      <c r="A999" s="6" t="s">
        <v>2191</v>
      </c>
      <c r="B999" s="6" t="s">
        <v>2192</v>
      </c>
      <c r="C999" s="6" t="s">
        <v>116</v>
      </c>
      <c r="D999" s="6" t="s">
        <v>152</v>
      </c>
      <c r="E999" s="6" t="s">
        <v>173</v>
      </c>
      <c r="F999" s="13" t="n">
        <v>45447</v>
      </c>
      <c r="G999" s="13" t="n">
        <v>45679</v>
      </c>
      <c r="H999" s="14" t="n">
        <v>162386.65</v>
      </c>
      <c r="I999" s="6" t="n">
        <v>0</v>
      </c>
      <c r="J999" s="6" t="n">
        <v>729</v>
      </c>
      <c r="K999" s="6" t="s">
        <v>160</v>
      </c>
      <c r="L999" s="14" t="n">
        <v>54115.38</v>
      </c>
      <c r="M999" s="22" t="n">
        <v>1.23</v>
      </c>
      <c r="N999" s="14" t="n">
        <v>66561.92</v>
      </c>
      <c r="O999" s="14" t="n">
        <v>12446.54</v>
      </c>
      <c r="P999" s="21" t="n">
        <v>0.053</v>
      </c>
      <c r="Q999" s="6" t="n">
        <v>232</v>
      </c>
      <c r="R999" s="6" t="s">
        <v>161</v>
      </c>
      <c r="S999" s="21" t="n">
        <v>1</v>
      </c>
      <c r="T999" s="14" t="n">
        <v>66561.92</v>
      </c>
      <c r="U999" s="6" t="s">
        <v>40</v>
      </c>
    </row>
    <row r="1000" customFormat="false" ht="15" hidden="false" customHeight="true" outlineLevel="0" collapsed="false">
      <c r="A1000" s="6" t="s">
        <v>2193</v>
      </c>
      <c r="B1000" s="6" t="s">
        <v>2194</v>
      </c>
      <c r="C1000" s="6" t="s">
        <v>124</v>
      </c>
      <c r="D1000" s="6" t="s">
        <v>243</v>
      </c>
      <c r="E1000" s="6" t="s">
        <v>207</v>
      </c>
      <c r="F1000" s="13" t="n">
        <v>45376</v>
      </c>
      <c r="G1000" s="13" t="n">
        <v>45436</v>
      </c>
      <c r="H1000" s="14" t="n">
        <v>121141.01</v>
      </c>
      <c r="I1000" s="6" t="n">
        <v>0</v>
      </c>
      <c r="J1000" s="6" t="n">
        <v>715</v>
      </c>
      <c r="K1000" s="6" t="s">
        <v>160</v>
      </c>
      <c r="L1000" s="14" t="n">
        <v>17545.01</v>
      </c>
      <c r="M1000" s="22" t="n">
        <v>1.317</v>
      </c>
      <c r="N1000" s="14" t="n">
        <v>23106.78</v>
      </c>
      <c r="O1000" s="14" t="n">
        <v>5561.77</v>
      </c>
      <c r="P1000" s="21" t="n">
        <v>0.106</v>
      </c>
      <c r="Q1000" s="6" t="n">
        <v>60</v>
      </c>
      <c r="R1000" s="6" t="s">
        <v>155</v>
      </c>
      <c r="S1000" s="21" t="n">
        <v>0.824</v>
      </c>
      <c r="T1000" s="14" t="n">
        <v>19039.99</v>
      </c>
      <c r="U1000" s="6" t="s">
        <v>37</v>
      </c>
    </row>
    <row r="1001" customFormat="false" ht="15" hidden="false" customHeight="true" outlineLevel="0" collapsed="false">
      <c r="A1001" s="6" t="s">
        <v>2195</v>
      </c>
      <c r="B1001" s="6" t="s">
        <v>2196</v>
      </c>
      <c r="C1001" s="6" t="s">
        <v>128</v>
      </c>
      <c r="D1001" s="6" t="s">
        <v>172</v>
      </c>
      <c r="E1001" s="6" t="s">
        <v>207</v>
      </c>
      <c r="F1001" s="13" t="n">
        <v>45837</v>
      </c>
      <c r="G1001" s="13" t="n">
        <v>45941</v>
      </c>
      <c r="H1001" s="14" t="n">
        <v>243190.93</v>
      </c>
      <c r="I1001" s="6" t="n">
        <v>1</v>
      </c>
      <c r="J1001" s="6" t="n">
        <v>815</v>
      </c>
      <c r="K1001" s="6" t="s">
        <v>154</v>
      </c>
      <c r="L1001" s="14" t="n">
        <v>87999.49</v>
      </c>
      <c r="M1001" s="22" t="n">
        <v>1.295</v>
      </c>
      <c r="N1001" s="14" t="n">
        <v>113959.34</v>
      </c>
      <c r="O1001" s="14" t="n">
        <v>25959.85</v>
      </c>
      <c r="P1001" s="21" t="n">
        <v>0.135</v>
      </c>
      <c r="Q1001" s="6" t="n">
        <v>104</v>
      </c>
      <c r="R1001" s="6" t="s">
        <v>161</v>
      </c>
      <c r="S1001" s="21" t="n">
        <v>1</v>
      </c>
      <c r="T1001" s="14" t="n">
        <v>113959.34</v>
      </c>
      <c r="U1001" s="6" t="s">
        <v>52</v>
      </c>
    </row>
    <row r="1002" customFormat="false" ht="15" hidden="false" customHeight="true" outlineLevel="0" collapsed="false">
      <c r="A1002" s="6" t="s">
        <v>2197</v>
      </c>
      <c r="B1002" s="6" t="s">
        <v>2198</v>
      </c>
      <c r="C1002" s="6" t="s">
        <v>116</v>
      </c>
      <c r="D1002" s="6" t="s">
        <v>222</v>
      </c>
      <c r="E1002" s="6" t="s">
        <v>211</v>
      </c>
      <c r="F1002" s="13" t="n">
        <v>44618</v>
      </c>
      <c r="G1002" s="13" t="n">
        <v>44678</v>
      </c>
      <c r="H1002" s="14" t="n">
        <v>153797.21</v>
      </c>
      <c r="I1002" s="6" t="n">
        <v>2</v>
      </c>
      <c r="J1002" s="6" t="n">
        <v>702</v>
      </c>
      <c r="K1002" s="6" t="s">
        <v>154</v>
      </c>
      <c r="L1002" s="14" t="n">
        <v>20450.72</v>
      </c>
      <c r="M1002" s="22" t="n">
        <v>1.123</v>
      </c>
      <c r="N1002" s="14" t="n">
        <v>22966.16</v>
      </c>
      <c r="O1002" s="14" t="n">
        <v>2515.44</v>
      </c>
      <c r="P1002" s="21" t="n">
        <v>0.171</v>
      </c>
      <c r="Q1002" s="6" t="n">
        <v>60</v>
      </c>
      <c r="R1002" s="6" t="s">
        <v>155</v>
      </c>
      <c r="S1002" s="21" t="n">
        <v>0.775</v>
      </c>
      <c r="T1002" s="14" t="n">
        <v>17798.77</v>
      </c>
      <c r="U1002" s="6" t="s">
        <v>12</v>
      </c>
    </row>
    <row r="1003" customFormat="false" ht="15" hidden="false" customHeight="true" outlineLevel="0" collapsed="false">
      <c r="A1003" s="6" t="s">
        <v>2199</v>
      </c>
      <c r="B1003" s="6" t="s">
        <v>2200</v>
      </c>
      <c r="C1003" s="6" t="s">
        <v>128</v>
      </c>
      <c r="D1003" s="6" t="s">
        <v>401</v>
      </c>
      <c r="E1003" s="6" t="s">
        <v>288</v>
      </c>
      <c r="F1003" s="13" t="n">
        <v>44792</v>
      </c>
      <c r="G1003" s="13" t="n">
        <v>45009</v>
      </c>
      <c r="H1003" s="14" t="n">
        <v>27250.98</v>
      </c>
      <c r="I1003" s="6" t="n">
        <v>1</v>
      </c>
      <c r="J1003" s="6" t="n">
        <v>559</v>
      </c>
      <c r="K1003" s="6" t="s">
        <v>154</v>
      </c>
      <c r="L1003" s="14" t="n">
        <v>8962.58</v>
      </c>
      <c r="M1003" s="22" t="n">
        <v>1.211</v>
      </c>
      <c r="N1003" s="14" t="n">
        <v>10853.68</v>
      </c>
      <c r="O1003" s="14" t="n">
        <v>1891.1</v>
      </c>
      <c r="P1003" s="21" t="n">
        <v>0.055</v>
      </c>
      <c r="Q1003" s="6" t="n">
        <v>217</v>
      </c>
      <c r="R1003" s="6" t="s">
        <v>155</v>
      </c>
      <c r="S1003" s="21" t="n">
        <v>0.822</v>
      </c>
      <c r="T1003" s="14" t="n">
        <v>8921.72</v>
      </c>
      <c r="U1003" s="6" t="s">
        <v>18</v>
      </c>
    </row>
    <row r="1004" customFormat="false" ht="15" hidden="false" customHeight="true" outlineLevel="0" collapsed="false">
      <c r="A1004" s="6" t="s">
        <v>2201</v>
      </c>
      <c r="B1004" s="6" t="s">
        <v>2202</v>
      </c>
      <c r="C1004" s="6" t="s">
        <v>120</v>
      </c>
      <c r="D1004" s="6" t="s">
        <v>218</v>
      </c>
      <c r="E1004" s="6" t="s">
        <v>288</v>
      </c>
      <c r="F1004" s="13" t="n">
        <v>44649</v>
      </c>
      <c r="G1004" s="13" t="n">
        <v>44720</v>
      </c>
      <c r="H1004" s="14" t="n">
        <v>72202.27</v>
      </c>
      <c r="I1004" s="6" t="n">
        <v>0</v>
      </c>
      <c r="J1004" s="6" t="n">
        <v>575</v>
      </c>
      <c r="K1004" s="6" t="s">
        <v>160</v>
      </c>
      <c r="L1004" s="14" t="n">
        <v>10508.77</v>
      </c>
      <c r="M1004" s="22" t="n">
        <v>1.123</v>
      </c>
      <c r="N1004" s="14" t="n">
        <v>11801.35</v>
      </c>
      <c r="O1004" s="14" t="n">
        <v>1292.58</v>
      </c>
      <c r="P1004" s="21" t="n">
        <v>0.069</v>
      </c>
      <c r="Q1004" s="6" t="n">
        <v>71</v>
      </c>
      <c r="R1004" s="6" t="s">
        <v>155</v>
      </c>
      <c r="S1004" s="21" t="n">
        <v>0.731</v>
      </c>
      <c r="T1004" s="14" t="n">
        <v>8626.79</v>
      </c>
      <c r="U1004" s="6" t="s">
        <v>13</v>
      </c>
    </row>
    <row r="1005" customFormat="false" ht="15" hidden="false" customHeight="true" outlineLevel="0" collapsed="false">
      <c r="A1005" s="6" t="s">
        <v>2203</v>
      </c>
      <c r="B1005" s="6" t="s">
        <v>2204</v>
      </c>
      <c r="C1005" s="6" t="s">
        <v>124</v>
      </c>
      <c r="D1005" s="6" t="s">
        <v>238</v>
      </c>
      <c r="E1005" s="6" t="s">
        <v>173</v>
      </c>
      <c r="F1005" s="13" t="n">
        <v>44594</v>
      </c>
      <c r="G1005" s="13" t="n">
        <v>44782</v>
      </c>
      <c r="H1005" s="14" t="n">
        <v>9708.36</v>
      </c>
      <c r="I1005" s="6" t="n">
        <v>0</v>
      </c>
      <c r="J1005" s="6" t="n">
        <v>607</v>
      </c>
      <c r="K1005" s="6" t="s">
        <v>185</v>
      </c>
      <c r="L1005" s="14" t="n">
        <v>4075.59</v>
      </c>
      <c r="M1005" s="22" t="n">
        <v>1.197</v>
      </c>
      <c r="N1005" s="14" t="n">
        <v>4878.48</v>
      </c>
      <c r="O1005" s="14" t="n">
        <v>802.89</v>
      </c>
      <c r="P1005" s="21" t="n">
        <v>0.08</v>
      </c>
      <c r="Q1005" s="6" t="n">
        <v>188</v>
      </c>
      <c r="R1005" s="6" t="s">
        <v>155</v>
      </c>
      <c r="S1005" s="21" t="n">
        <v>0.714</v>
      </c>
      <c r="T1005" s="14" t="n">
        <v>3483.23</v>
      </c>
      <c r="U1005" s="6" t="s">
        <v>12</v>
      </c>
    </row>
    <row r="1006" customFormat="false" ht="15" hidden="false" customHeight="true" outlineLevel="0" collapsed="false">
      <c r="A1006" s="6" t="s">
        <v>2205</v>
      </c>
      <c r="B1006" s="6" t="s">
        <v>2206</v>
      </c>
      <c r="C1006" s="6" t="s">
        <v>131</v>
      </c>
      <c r="D1006" s="6" t="s">
        <v>176</v>
      </c>
      <c r="E1006" s="6" t="s">
        <v>159</v>
      </c>
      <c r="F1006" s="13" t="n">
        <v>45347</v>
      </c>
      <c r="G1006" s="13" t="n">
        <v>45407</v>
      </c>
      <c r="H1006" s="14" t="n">
        <v>39565.53</v>
      </c>
      <c r="I1006" s="6" t="n">
        <v>1</v>
      </c>
      <c r="J1006" s="6" t="n">
        <v>529</v>
      </c>
      <c r="K1006" s="6" t="s">
        <v>160</v>
      </c>
      <c r="L1006" s="14" t="n">
        <v>3592</v>
      </c>
      <c r="M1006" s="22" t="n">
        <v>1.087</v>
      </c>
      <c r="N1006" s="14" t="n">
        <v>3904.5</v>
      </c>
      <c r="O1006" s="14" t="n">
        <v>312.5</v>
      </c>
      <c r="P1006" s="21" t="n">
        <v>0.166</v>
      </c>
      <c r="Q1006" s="6" t="n">
        <v>60</v>
      </c>
      <c r="R1006" s="6" t="s">
        <v>161</v>
      </c>
      <c r="S1006" s="21" t="n">
        <v>1</v>
      </c>
      <c r="T1006" s="14" t="n">
        <v>3904.5</v>
      </c>
      <c r="U1006" s="6" t="s">
        <v>36</v>
      </c>
    </row>
    <row r="1007" customFormat="false" ht="15" hidden="false" customHeight="true" outlineLevel="0" collapsed="false">
      <c r="A1007" s="6" t="s">
        <v>2207</v>
      </c>
      <c r="B1007" s="6" t="s">
        <v>2208</v>
      </c>
      <c r="C1007" s="6" t="s">
        <v>124</v>
      </c>
      <c r="D1007" s="6" t="s">
        <v>243</v>
      </c>
      <c r="E1007" s="6" t="s">
        <v>219</v>
      </c>
      <c r="F1007" s="13" t="n">
        <v>45700</v>
      </c>
      <c r="G1007" s="13" t="n">
        <v>45802</v>
      </c>
      <c r="H1007" s="14" t="n">
        <v>119534.96</v>
      </c>
      <c r="I1007" s="6" t="n">
        <v>2</v>
      </c>
      <c r="J1007" s="6" t="n">
        <v>587</v>
      </c>
      <c r="K1007" s="6" t="s">
        <v>160</v>
      </c>
      <c r="L1007" s="14" t="n">
        <v>55841.69</v>
      </c>
      <c r="M1007" s="22" t="n">
        <v>1.233</v>
      </c>
      <c r="N1007" s="14" t="n">
        <v>68852.8</v>
      </c>
      <c r="O1007" s="14" t="n">
        <v>13011.11</v>
      </c>
      <c r="P1007" s="21" t="n">
        <v>0.169</v>
      </c>
      <c r="Q1007" s="6" t="n">
        <v>102</v>
      </c>
      <c r="R1007" s="6" t="s">
        <v>161</v>
      </c>
      <c r="S1007" s="21" t="n">
        <v>1</v>
      </c>
      <c r="T1007" s="14" t="n">
        <v>68852.8</v>
      </c>
      <c r="U1007" s="6" t="s">
        <v>48</v>
      </c>
    </row>
    <row r="1008" customFormat="false" ht="15" hidden="false" customHeight="true" outlineLevel="0" collapsed="false">
      <c r="A1008" s="6" t="s">
        <v>2209</v>
      </c>
      <c r="B1008" s="6" t="s">
        <v>2210</v>
      </c>
      <c r="C1008" s="6" t="s">
        <v>112</v>
      </c>
      <c r="D1008" s="6" t="s">
        <v>164</v>
      </c>
      <c r="E1008" s="6" t="s">
        <v>201</v>
      </c>
      <c r="F1008" s="13" t="n">
        <v>45110</v>
      </c>
      <c r="G1008" s="13" t="n">
        <v>45222</v>
      </c>
      <c r="H1008" s="14" t="n">
        <v>177085.64</v>
      </c>
      <c r="I1008" s="6" t="n">
        <v>1</v>
      </c>
      <c r="J1008" s="6" t="n">
        <v>722</v>
      </c>
      <c r="K1008" s="6" t="s">
        <v>185</v>
      </c>
      <c r="L1008" s="14" t="n">
        <v>50324.9</v>
      </c>
      <c r="M1008" s="22" t="n">
        <v>1.238</v>
      </c>
      <c r="N1008" s="14" t="n">
        <v>62302.23</v>
      </c>
      <c r="O1008" s="14" t="n">
        <v>11977.33</v>
      </c>
      <c r="P1008" s="21" t="n">
        <v>0.094</v>
      </c>
      <c r="Q1008" s="6" t="n">
        <v>112</v>
      </c>
      <c r="R1008" s="6" t="s">
        <v>161</v>
      </c>
      <c r="S1008" s="21" t="n">
        <v>1</v>
      </c>
      <c r="T1008" s="14" t="n">
        <v>62302.23</v>
      </c>
      <c r="U1008" s="6" t="s">
        <v>29</v>
      </c>
    </row>
    <row r="1009" customFormat="false" ht="15" hidden="false" customHeight="true" outlineLevel="0" collapsed="false">
      <c r="A1009" s="6" t="s">
        <v>2211</v>
      </c>
      <c r="B1009" s="6" t="s">
        <v>2212</v>
      </c>
      <c r="C1009" s="6" t="s">
        <v>131</v>
      </c>
      <c r="D1009" s="6" t="s">
        <v>176</v>
      </c>
      <c r="E1009" s="6" t="s">
        <v>288</v>
      </c>
      <c r="F1009" s="13" t="n">
        <v>44913</v>
      </c>
      <c r="G1009" s="13" t="n">
        <v>44975</v>
      </c>
      <c r="H1009" s="14" t="n">
        <v>136771.91</v>
      </c>
      <c r="I1009" s="6" t="n">
        <v>1</v>
      </c>
      <c r="J1009" s="6" t="n">
        <v>678</v>
      </c>
      <c r="K1009" s="6" t="s">
        <v>160</v>
      </c>
      <c r="L1009" s="14" t="n">
        <v>27938.2</v>
      </c>
      <c r="M1009" s="22" t="n">
        <v>1.127</v>
      </c>
      <c r="N1009" s="14" t="n">
        <v>31486.35</v>
      </c>
      <c r="O1009" s="14" t="n">
        <v>3548.15</v>
      </c>
      <c r="P1009" s="21" t="n">
        <v>0.11</v>
      </c>
      <c r="Q1009" s="6" t="n">
        <v>62</v>
      </c>
      <c r="R1009" s="6" t="s">
        <v>161</v>
      </c>
      <c r="S1009" s="21" t="n">
        <v>1</v>
      </c>
      <c r="T1009" s="14" t="n">
        <v>31486.35</v>
      </c>
      <c r="U1009" s="6" t="s">
        <v>22</v>
      </c>
    </row>
    <row r="1010" customFormat="false" ht="15" hidden="false" customHeight="true" outlineLevel="0" collapsed="false">
      <c r="A1010" s="6" t="s">
        <v>2213</v>
      </c>
      <c r="B1010" s="6" t="s">
        <v>2214</v>
      </c>
      <c r="C1010" s="6" t="s">
        <v>131</v>
      </c>
      <c r="D1010" s="6" t="s">
        <v>176</v>
      </c>
      <c r="E1010" s="6" t="s">
        <v>169</v>
      </c>
      <c r="F1010" s="13" t="n">
        <v>46042</v>
      </c>
      <c r="G1010" s="13" t="n">
        <v>46102</v>
      </c>
      <c r="H1010" s="14" t="n">
        <v>82617.02</v>
      </c>
      <c r="I1010" s="6" t="n">
        <v>1</v>
      </c>
      <c r="J1010" s="6" t="n">
        <v>671</v>
      </c>
      <c r="K1010" s="6" t="s">
        <v>160</v>
      </c>
      <c r="L1010" s="14" t="n">
        <v>10768.09</v>
      </c>
      <c r="M1010" s="22" t="n">
        <v>1.238</v>
      </c>
      <c r="N1010" s="14" t="n">
        <v>13330.9</v>
      </c>
      <c r="O1010" s="14" t="n">
        <v>2562.81</v>
      </c>
      <c r="P1010" s="21" t="n">
        <v>0.08</v>
      </c>
      <c r="Q1010" s="6" t="n">
        <v>60</v>
      </c>
      <c r="R1010" s="6" t="s">
        <v>309</v>
      </c>
      <c r="S1010" s="21" t="n">
        <v>0.488</v>
      </c>
      <c r="T1010" s="14" t="n">
        <v>6505.48</v>
      </c>
      <c r="U1010" s="6" t="s">
        <v>59</v>
      </c>
    </row>
    <row r="1011" customFormat="false" ht="15" hidden="false" customHeight="true" outlineLevel="0" collapsed="false">
      <c r="A1011" s="6" t="s">
        <v>2215</v>
      </c>
      <c r="B1011" s="6" t="s">
        <v>2216</v>
      </c>
      <c r="C1011" s="6" t="s">
        <v>131</v>
      </c>
      <c r="D1011" s="6" t="s">
        <v>200</v>
      </c>
      <c r="E1011" s="6" t="s">
        <v>165</v>
      </c>
      <c r="F1011" s="13" t="n">
        <v>44568</v>
      </c>
      <c r="G1011" s="13" t="n">
        <v>44685</v>
      </c>
      <c r="H1011" s="14" t="n">
        <v>48177.23</v>
      </c>
      <c r="I1011" s="6" t="n">
        <v>5</v>
      </c>
      <c r="J1011" s="6" t="n">
        <v>651</v>
      </c>
      <c r="K1011" s="6" t="s">
        <v>160</v>
      </c>
      <c r="L1011" s="14" t="n">
        <v>23229.2</v>
      </c>
      <c r="M1011" s="22" t="n">
        <v>1.304</v>
      </c>
      <c r="N1011" s="14" t="n">
        <v>30290.88</v>
      </c>
      <c r="O1011" s="14" t="n">
        <v>7061.68</v>
      </c>
      <c r="P1011" s="21" t="n">
        <v>0.161</v>
      </c>
      <c r="Q1011" s="6" t="n">
        <v>117</v>
      </c>
      <c r="R1011" s="6" t="s">
        <v>155</v>
      </c>
      <c r="S1011" s="21" t="n">
        <v>0.921</v>
      </c>
      <c r="T1011" s="14" t="n">
        <v>27897.9</v>
      </c>
      <c r="U1011" s="6" t="s">
        <v>11</v>
      </c>
    </row>
    <row r="1012" customFormat="false" ht="15" hidden="false" customHeight="true" outlineLevel="0" collapsed="false">
      <c r="A1012" s="6" t="s">
        <v>2217</v>
      </c>
      <c r="B1012" s="6" t="s">
        <v>2218</v>
      </c>
      <c r="C1012" s="6" t="s">
        <v>116</v>
      </c>
      <c r="D1012" s="6" t="s">
        <v>152</v>
      </c>
      <c r="E1012" s="6" t="s">
        <v>219</v>
      </c>
      <c r="F1012" s="13" t="n">
        <v>46129</v>
      </c>
      <c r="G1012" s="13" t="n">
        <v>46207</v>
      </c>
      <c r="H1012" s="14" t="n">
        <v>33471.2</v>
      </c>
      <c r="I1012" s="6" t="n">
        <v>0</v>
      </c>
      <c r="J1012" s="6" t="n">
        <v>785</v>
      </c>
      <c r="K1012" s="6" t="s">
        <v>160</v>
      </c>
      <c r="L1012" s="14" t="n">
        <v>6376.86</v>
      </c>
      <c r="M1012" s="22" t="n">
        <v>1.209</v>
      </c>
      <c r="N1012" s="14" t="n">
        <v>7709.62</v>
      </c>
      <c r="O1012" s="14" t="n">
        <v>1332.76</v>
      </c>
      <c r="P1012" s="21" t="n">
        <v>0.088</v>
      </c>
      <c r="Q1012" s="6" t="n">
        <v>78</v>
      </c>
      <c r="R1012" s="6" t="s">
        <v>155</v>
      </c>
      <c r="S1012" s="21" t="n">
        <v>0.921</v>
      </c>
      <c r="T1012" s="14" t="n">
        <v>7100.56</v>
      </c>
      <c r="U1012" s="6" t="s">
        <v>62</v>
      </c>
    </row>
    <row r="1013" customFormat="false" ht="15" hidden="false" customHeight="true" outlineLevel="0" collapsed="false">
      <c r="A1013" s="6" t="s">
        <v>2219</v>
      </c>
      <c r="B1013" s="6" t="s">
        <v>2220</v>
      </c>
      <c r="C1013" s="6" t="s">
        <v>116</v>
      </c>
      <c r="D1013" s="6" t="s">
        <v>222</v>
      </c>
      <c r="E1013" s="6" t="s">
        <v>184</v>
      </c>
      <c r="F1013" s="13" t="n">
        <v>44566</v>
      </c>
      <c r="G1013" s="13" t="n">
        <v>44657</v>
      </c>
      <c r="H1013" s="14" t="n">
        <v>184282.47</v>
      </c>
      <c r="I1013" s="6" t="n">
        <v>0</v>
      </c>
      <c r="J1013" s="6" t="n">
        <v>709</v>
      </c>
      <c r="K1013" s="6" t="s">
        <v>185</v>
      </c>
      <c r="L1013" s="14" t="n">
        <v>41783.69</v>
      </c>
      <c r="M1013" s="22" t="n">
        <v>1.299</v>
      </c>
      <c r="N1013" s="14" t="n">
        <v>54277.01</v>
      </c>
      <c r="O1013" s="14" t="n">
        <v>12493.32</v>
      </c>
      <c r="P1013" s="21" t="n">
        <v>0.097</v>
      </c>
      <c r="Q1013" s="6" t="n">
        <v>91</v>
      </c>
      <c r="R1013" s="6" t="s">
        <v>155</v>
      </c>
      <c r="S1013" s="21" t="n">
        <v>0.811</v>
      </c>
      <c r="T1013" s="14" t="n">
        <v>44018.66</v>
      </c>
      <c r="U1013" s="6" t="s">
        <v>11</v>
      </c>
    </row>
    <row r="1014" customFormat="false" ht="15" hidden="false" customHeight="true" outlineLevel="0" collapsed="false">
      <c r="A1014" s="6" t="s">
        <v>2221</v>
      </c>
      <c r="B1014" s="6" t="s">
        <v>2222</v>
      </c>
      <c r="C1014" s="6" t="s">
        <v>131</v>
      </c>
      <c r="D1014" s="6" t="s">
        <v>200</v>
      </c>
      <c r="E1014" s="6" t="s">
        <v>288</v>
      </c>
      <c r="F1014" s="13" t="n">
        <v>46084</v>
      </c>
      <c r="G1014" s="13" t="n">
        <v>46210</v>
      </c>
      <c r="H1014" s="14" t="n">
        <v>82666.32</v>
      </c>
      <c r="I1014" s="6" t="n">
        <v>2</v>
      </c>
      <c r="J1014" s="6" t="n">
        <v>816</v>
      </c>
      <c r="K1014" s="6" t="s">
        <v>154</v>
      </c>
      <c r="L1014" s="14" t="n">
        <v>33751.79</v>
      </c>
      <c r="M1014" s="22" t="n">
        <v>1.084</v>
      </c>
      <c r="N1014" s="14" t="n">
        <v>36586.94</v>
      </c>
      <c r="O1014" s="14" t="n">
        <v>2835.15</v>
      </c>
      <c r="P1014" s="21" t="n">
        <v>0.105</v>
      </c>
      <c r="Q1014" s="6" t="n">
        <v>126</v>
      </c>
      <c r="R1014" s="6" t="s">
        <v>161</v>
      </c>
      <c r="S1014" s="21" t="n">
        <v>1</v>
      </c>
      <c r="T1014" s="14" t="n">
        <v>36586.94</v>
      </c>
      <c r="U1014" s="6" t="s">
        <v>61</v>
      </c>
    </row>
    <row r="1015" customFormat="false" ht="15" hidden="false" customHeight="true" outlineLevel="0" collapsed="false">
      <c r="A1015" s="6" t="s">
        <v>2223</v>
      </c>
      <c r="B1015" s="6" t="s">
        <v>2224</v>
      </c>
      <c r="C1015" s="6" t="s">
        <v>112</v>
      </c>
      <c r="D1015" s="6" t="s">
        <v>172</v>
      </c>
      <c r="E1015" s="6" t="s">
        <v>288</v>
      </c>
      <c r="F1015" s="13" t="n">
        <v>45546</v>
      </c>
      <c r="G1015" s="13" t="n">
        <v>45639</v>
      </c>
      <c r="H1015" s="14" t="n">
        <v>85057.91</v>
      </c>
      <c r="I1015" s="6" t="n">
        <v>0</v>
      </c>
      <c r="J1015" s="6" t="n">
        <v>817</v>
      </c>
      <c r="K1015" s="6" t="s">
        <v>154</v>
      </c>
      <c r="L1015" s="14" t="n">
        <v>13092.93</v>
      </c>
      <c r="M1015" s="22" t="n">
        <v>1.149</v>
      </c>
      <c r="N1015" s="14" t="n">
        <v>15043.78</v>
      </c>
      <c r="O1015" s="14" t="n">
        <v>1950.85</v>
      </c>
      <c r="P1015" s="21" t="n">
        <v>0.057</v>
      </c>
      <c r="Q1015" s="6" t="n">
        <v>93</v>
      </c>
      <c r="R1015" s="6" t="s">
        <v>155</v>
      </c>
      <c r="S1015" s="21" t="n">
        <v>0.98</v>
      </c>
      <c r="T1015" s="14" t="n">
        <v>14742.9</v>
      </c>
      <c r="U1015" s="6" t="s">
        <v>43</v>
      </c>
    </row>
    <row r="1016" customFormat="false" ht="15" hidden="false" customHeight="true" outlineLevel="0" collapsed="false">
      <c r="A1016" s="6" t="s">
        <v>2225</v>
      </c>
      <c r="B1016" s="6" t="s">
        <v>2226</v>
      </c>
      <c r="C1016" s="6" t="s">
        <v>112</v>
      </c>
      <c r="D1016" s="6" t="s">
        <v>164</v>
      </c>
      <c r="E1016" s="6" t="s">
        <v>219</v>
      </c>
      <c r="F1016" s="13" t="n">
        <v>45654</v>
      </c>
      <c r="G1016" s="13" t="n">
        <v>45761</v>
      </c>
      <c r="H1016" s="14" t="n">
        <v>75340.02</v>
      </c>
      <c r="I1016" s="6" t="n">
        <v>0</v>
      </c>
      <c r="J1016" s="6" t="n">
        <v>582</v>
      </c>
      <c r="K1016" s="6" t="s">
        <v>154</v>
      </c>
      <c r="L1016" s="14" t="n">
        <v>18239.54</v>
      </c>
      <c r="M1016" s="22" t="n">
        <v>1.212</v>
      </c>
      <c r="N1016" s="14" t="n">
        <v>22106.32</v>
      </c>
      <c r="O1016" s="14" t="n">
        <v>3866.78</v>
      </c>
      <c r="P1016" s="21" t="n">
        <v>0.082</v>
      </c>
      <c r="Q1016" s="6" t="n">
        <v>107</v>
      </c>
      <c r="R1016" s="6" t="s">
        <v>155</v>
      </c>
      <c r="S1016" s="21" t="n">
        <v>0.724</v>
      </c>
      <c r="T1016" s="14" t="n">
        <v>16004.98</v>
      </c>
      <c r="U1016" s="6" t="s">
        <v>46</v>
      </c>
    </row>
    <row r="1017" customFormat="false" ht="15" hidden="false" customHeight="true" outlineLevel="0" collapsed="false">
      <c r="A1017" s="6" t="s">
        <v>2227</v>
      </c>
      <c r="B1017" s="6" t="s">
        <v>2228</v>
      </c>
      <c r="C1017" s="6" t="s">
        <v>112</v>
      </c>
      <c r="D1017" s="6" t="s">
        <v>172</v>
      </c>
      <c r="E1017" s="6" t="s">
        <v>177</v>
      </c>
      <c r="F1017" s="13" t="n">
        <v>44676</v>
      </c>
      <c r="G1017" s="13" t="n">
        <v>44784</v>
      </c>
      <c r="H1017" s="14" t="n">
        <v>149964.48</v>
      </c>
      <c r="I1017" s="6" t="n">
        <v>1</v>
      </c>
      <c r="J1017" s="6" t="n">
        <v>734</v>
      </c>
      <c r="K1017" s="6" t="s">
        <v>154</v>
      </c>
      <c r="L1017" s="14" t="n">
        <v>33254.21</v>
      </c>
      <c r="M1017" s="22" t="n">
        <v>1.301</v>
      </c>
      <c r="N1017" s="14" t="n">
        <v>43263.73</v>
      </c>
      <c r="O1017" s="14" t="n">
        <v>10009.52</v>
      </c>
      <c r="P1017" s="21" t="n">
        <v>0.08</v>
      </c>
      <c r="Q1017" s="6" t="n">
        <v>108</v>
      </c>
      <c r="R1017" s="6" t="s">
        <v>232</v>
      </c>
      <c r="S1017" s="21" t="n">
        <v>1</v>
      </c>
      <c r="T1017" s="14" t="n">
        <v>43263.73</v>
      </c>
      <c r="U1017" s="6" t="s">
        <v>14</v>
      </c>
    </row>
    <row r="1018" customFormat="false" ht="15" hidden="false" customHeight="true" outlineLevel="0" collapsed="false">
      <c r="A1018" s="6" t="s">
        <v>2229</v>
      </c>
      <c r="B1018" s="6" t="s">
        <v>2230</v>
      </c>
      <c r="C1018" s="6" t="s">
        <v>112</v>
      </c>
      <c r="D1018" s="6" t="s">
        <v>164</v>
      </c>
      <c r="E1018" s="6" t="s">
        <v>254</v>
      </c>
      <c r="F1018" s="13" t="n">
        <v>45130</v>
      </c>
      <c r="G1018" s="13" t="n">
        <v>45355</v>
      </c>
      <c r="H1018" s="14" t="n">
        <v>102239.61</v>
      </c>
      <c r="I1018" s="6" t="n">
        <v>2</v>
      </c>
      <c r="J1018" s="6" t="n">
        <v>622</v>
      </c>
      <c r="K1018" s="6" t="s">
        <v>160</v>
      </c>
      <c r="L1018" s="14" t="n">
        <v>39066.95</v>
      </c>
      <c r="M1018" s="22" t="n">
        <v>1.317</v>
      </c>
      <c r="N1018" s="14" t="n">
        <v>51451.17</v>
      </c>
      <c r="O1018" s="14" t="n">
        <v>12384.22</v>
      </c>
      <c r="P1018" s="21" t="n">
        <v>0.067</v>
      </c>
      <c r="Q1018" s="6" t="n">
        <v>225</v>
      </c>
      <c r="R1018" s="6" t="s">
        <v>161</v>
      </c>
      <c r="S1018" s="21" t="n">
        <v>1</v>
      </c>
      <c r="T1018" s="14" t="n">
        <v>51451.17</v>
      </c>
      <c r="U1018" s="6" t="s">
        <v>29</v>
      </c>
    </row>
    <row r="1019" customFormat="false" ht="15" hidden="false" customHeight="true" outlineLevel="0" collapsed="false">
      <c r="A1019" s="6" t="s">
        <v>2231</v>
      </c>
      <c r="B1019" s="6" t="s">
        <v>2232</v>
      </c>
      <c r="C1019" s="6" t="s">
        <v>131</v>
      </c>
      <c r="D1019" s="6" t="s">
        <v>152</v>
      </c>
      <c r="E1019" s="6" t="s">
        <v>173</v>
      </c>
      <c r="F1019" s="13" t="n">
        <v>45083</v>
      </c>
      <c r="G1019" s="13" t="n">
        <v>45143</v>
      </c>
      <c r="H1019" s="14" t="n">
        <v>74247.75</v>
      </c>
      <c r="I1019" s="6" t="n">
        <v>2</v>
      </c>
      <c r="J1019" s="6" t="n">
        <v>771</v>
      </c>
      <c r="K1019" s="6" t="s">
        <v>185</v>
      </c>
      <c r="L1019" s="14" t="n">
        <v>11427.85</v>
      </c>
      <c r="M1019" s="22" t="n">
        <v>1.292</v>
      </c>
      <c r="N1019" s="14" t="n">
        <v>14764.78</v>
      </c>
      <c r="O1019" s="14" t="n">
        <v>3336.93</v>
      </c>
      <c r="P1019" s="21" t="n">
        <v>0.102</v>
      </c>
      <c r="Q1019" s="6" t="n">
        <v>60</v>
      </c>
      <c r="R1019" s="6" t="s">
        <v>161</v>
      </c>
      <c r="S1019" s="21" t="n">
        <v>1</v>
      </c>
      <c r="T1019" s="14" t="n">
        <v>14764.78</v>
      </c>
      <c r="U1019" s="6" t="s">
        <v>28</v>
      </c>
    </row>
    <row r="1020" customFormat="false" ht="15" hidden="false" customHeight="true" outlineLevel="0" collapsed="false">
      <c r="A1020" s="6" t="s">
        <v>2233</v>
      </c>
      <c r="B1020" s="6" t="s">
        <v>2234</v>
      </c>
      <c r="C1020" s="6" t="s">
        <v>131</v>
      </c>
      <c r="D1020" s="6" t="s">
        <v>152</v>
      </c>
      <c r="E1020" s="6" t="s">
        <v>254</v>
      </c>
      <c r="F1020" s="13" t="n">
        <v>46010</v>
      </c>
      <c r="G1020" s="13" t="n">
        <v>46133</v>
      </c>
      <c r="H1020" s="14" t="n">
        <v>76454.18</v>
      </c>
      <c r="I1020" s="6" t="n">
        <v>1</v>
      </c>
      <c r="J1020" s="6" t="n">
        <v>737</v>
      </c>
      <c r="K1020" s="6" t="s">
        <v>185</v>
      </c>
      <c r="L1020" s="14" t="n">
        <v>23364.56</v>
      </c>
      <c r="M1020" s="22" t="n">
        <v>1.268</v>
      </c>
      <c r="N1020" s="14" t="n">
        <v>29626.26</v>
      </c>
      <c r="O1020" s="14" t="n">
        <v>6261.7</v>
      </c>
      <c r="P1020" s="21" t="n">
        <v>0.094</v>
      </c>
      <c r="Q1020" s="6" t="n">
        <v>123</v>
      </c>
      <c r="R1020" s="6" t="s">
        <v>490</v>
      </c>
      <c r="S1020" s="21" t="n">
        <v>0.572</v>
      </c>
      <c r="T1020" s="14" t="n">
        <v>16946.22</v>
      </c>
      <c r="U1020" s="6" t="s">
        <v>58</v>
      </c>
    </row>
    <row r="1021" customFormat="false" ht="15" hidden="false" customHeight="true" outlineLevel="0" collapsed="false">
      <c r="A1021" s="6" t="s">
        <v>2235</v>
      </c>
      <c r="B1021" s="6" t="s">
        <v>2236</v>
      </c>
      <c r="C1021" s="6" t="s">
        <v>124</v>
      </c>
      <c r="D1021" s="6" t="s">
        <v>243</v>
      </c>
      <c r="E1021" s="6" t="s">
        <v>159</v>
      </c>
      <c r="F1021" s="13" t="n">
        <v>45893</v>
      </c>
      <c r="G1021" s="13" t="n">
        <v>45968</v>
      </c>
      <c r="H1021" s="14" t="n">
        <v>56964.44</v>
      </c>
      <c r="I1021" s="6" t="n">
        <v>3</v>
      </c>
      <c r="J1021" s="6" t="n">
        <v>757</v>
      </c>
      <c r="K1021" s="6" t="s">
        <v>160</v>
      </c>
      <c r="L1021" s="14" t="n">
        <v>7535.44</v>
      </c>
      <c r="M1021" s="22" t="n">
        <v>1.159</v>
      </c>
      <c r="N1021" s="14" t="n">
        <v>8733.57</v>
      </c>
      <c r="O1021" s="14" t="n">
        <v>1198.13</v>
      </c>
      <c r="P1021" s="21" t="n">
        <v>0.061</v>
      </c>
      <c r="Q1021" s="6" t="n">
        <v>75</v>
      </c>
      <c r="R1021" s="6" t="s">
        <v>161</v>
      </c>
      <c r="S1021" s="21" t="n">
        <v>1</v>
      </c>
      <c r="T1021" s="14" t="n">
        <v>8733.57</v>
      </c>
      <c r="U1021" s="6" t="s">
        <v>54</v>
      </c>
    </row>
    <row r="1022" customFormat="false" ht="15" hidden="false" customHeight="true" outlineLevel="0" collapsed="false">
      <c r="A1022" s="6" t="s">
        <v>2237</v>
      </c>
      <c r="B1022" s="6" t="s">
        <v>2238</v>
      </c>
      <c r="C1022" s="6" t="s">
        <v>116</v>
      </c>
      <c r="D1022" s="6" t="s">
        <v>222</v>
      </c>
      <c r="E1022" s="6" t="s">
        <v>211</v>
      </c>
      <c r="F1022" s="13" t="n">
        <v>45496</v>
      </c>
      <c r="G1022" s="13" t="n">
        <v>45632</v>
      </c>
      <c r="H1022" s="14" t="n">
        <v>183417.8</v>
      </c>
      <c r="I1022" s="6" t="n">
        <v>2</v>
      </c>
      <c r="J1022" s="6" t="n">
        <v>632</v>
      </c>
      <c r="K1022" s="6" t="s">
        <v>185</v>
      </c>
      <c r="L1022" s="14" t="n">
        <v>59787.35</v>
      </c>
      <c r="M1022" s="22" t="n">
        <v>1.31</v>
      </c>
      <c r="N1022" s="14" t="n">
        <v>78321.43</v>
      </c>
      <c r="O1022" s="14" t="n">
        <v>18534.08</v>
      </c>
      <c r="P1022" s="21" t="n">
        <v>0.094</v>
      </c>
      <c r="Q1022" s="6" t="n">
        <v>136</v>
      </c>
      <c r="R1022" s="6" t="s">
        <v>161</v>
      </c>
      <c r="S1022" s="21" t="n">
        <v>1</v>
      </c>
      <c r="T1022" s="14" t="n">
        <v>78321.43</v>
      </c>
      <c r="U1022" s="6" t="s">
        <v>41</v>
      </c>
    </row>
    <row r="1023" customFormat="false" ht="15" hidden="false" customHeight="true" outlineLevel="0" collapsed="false">
      <c r="A1023" s="6" t="s">
        <v>2239</v>
      </c>
      <c r="B1023" s="6" t="s">
        <v>2240</v>
      </c>
      <c r="C1023" s="6" t="s">
        <v>112</v>
      </c>
      <c r="D1023" s="6" t="s">
        <v>164</v>
      </c>
      <c r="E1023" s="6" t="s">
        <v>169</v>
      </c>
      <c r="F1023" s="13" t="n">
        <v>45427</v>
      </c>
      <c r="G1023" s="13" t="n">
        <v>45487</v>
      </c>
      <c r="H1023" s="14" t="n">
        <v>84206.04</v>
      </c>
      <c r="I1023" s="6" t="n">
        <v>2</v>
      </c>
      <c r="J1023" s="6" t="n">
        <v>509</v>
      </c>
      <c r="K1023" s="6" t="s">
        <v>154</v>
      </c>
      <c r="L1023" s="14" t="n">
        <v>9746.46</v>
      </c>
      <c r="M1023" s="22" t="n">
        <v>1.197</v>
      </c>
      <c r="N1023" s="14" t="n">
        <v>11666.51</v>
      </c>
      <c r="O1023" s="14" t="n">
        <v>1920.05</v>
      </c>
      <c r="P1023" s="21" t="n">
        <v>0.154</v>
      </c>
      <c r="Q1023" s="6" t="n">
        <v>60</v>
      </c>
      <c r="R1023" s="6" t="s">
        <v>155</v>
      </c>
      <c r="S1023" s="21" t="n">
        <v>0.854</v>
      </c>
      <c r="T1023" s="14" t="n">
        <v>9963.2</v>
      </c>
      <c r="U1023" s="6" t="s">
        <v>39</v>
      </c>
    </row>
    <row r="1024" customFormat="false" ht="15" hidden="false" customHeight="true" outlineLevel="0" collapsed="false">
      <c r="A1024" s="6" t="s">
        <v>2241</v>
      </c>
      <c r="B1024" s="6" t="s">
        <v>2242</v>
      </c>
      <c r="C1024" s="6" t="s">
        <v>120</v>
      </c>
      <c r="D1024" s="6" t="s">
        <v>218</v>
      </c>
      <c r="E1024" s="6" t="s">
        <v>184</v>
      </c>
      <c r="F1024" s="13" t="n">
        <v>45540</v>
      </c>
      <c r="G1024" s="13" t="n">
        <v>45600</v>
      </c>
      <c r="H1024" s="14" t="n">
        <v>176737.71</v>
      </c>
      <c r="I1024" s="6" t="n">
        <v>3</v>
      </c>
      <c r="J1024" s="6" t="n">
        <v>685</v>
      </c>
      <c r="K1024" s="6" t="s">
        <v>160</v>
      </c>
      <c r="L1024" s="14" t="n">
        <v>20226.63</v>
      </c>
      <c r="M1024" s="22" t="n">
        <v>1.094</v>
      </c>
      <c r="N1024" s="14" t="n">
        <v>22127.93</v>
      </c>
      <c r="O1024" s="14" t="n">
        <v>1901.3</v>
      </c>
      <c r="P1024" s="21" t="n">
        <v>0.124</v>
      </c>
      <c r="Q1024" s="6" t="n">
        <v>60</v>
      </c>
      <c r="R1024" s="6" t="s">
        <v>155</v>
      </c>
      <c r="S1024" s="21" t="n">
        <v>0.821</v>
      </c>
      <c r="T1024" s="14" t="n">
        <v>18167.03</v>
      </c>
      <c r="U1024" s="6" t="s">
        <v>43</v>
      </c>
    </row>
    <row r="1025" customFormat="false" ht="15" hidden="false" customHeight="true" outlineLevel="0" collapsed="false">
      <c r="A1025" s="6" t="s">
        <v>2243</v>
      </c>
      <c r="B1025" s="6" t="s">
        <v>2244</v>
      </c>
      <c r="C1025" s="6" t="s">
        <v>131</v>
      </c>
      <c r="D1025" s="6" t="s">
        <v>176</v>
      </c>
      <c r="E1025" s="6" t="s">
        <v>189</v>
      </c>
      <c r="F1025" s="13" t="n">
        <v>46009</v>
      </c>
      <c r="G1025" s="13" t="n">
        <v>46161</v>
      </c>
      <c r="H1025" s="14" t="n">
        <v>238799.53</v>
      </c>
      <c r="I1025" s="6" t="n">
        <v>0</v>
      </c>
      <c r="J1025" s="6" t="n">
        <v>693</v>
      </c>
      <c r="K1025" s="6" t="s">
        <v>154</v>
      </c>
      <c r="L1025" s="14" t="n">
        <v>57365.34</v>
      </c>
      <c r="M1025" s="22" t="n">
        <v>1.249</v>
      </c>
      <c r="N1025" s="14" t="n">
        <v>71649.31</v>
      </c>
      <c r="O1025" s="14" t="n">
        <v>14283.97</v>
      </c>
      <c r="P1025" s="21" t="n">
        <v>0.059</v>
      </c>
      <c r="Q1025" s="6" t="n">
        <v>152</v>
      </c>
      <c r="R1025" s="6" t="s">
        <v>161</v>
      </c>
      <c r="S1025" s="21" t="n">
        <v>1</v>
      </c>
      <c r="T1025" s="14" t="n">
        <v>71649.31</v>
      </c>
      <c r="U1025" s="6" t="s">
        <v>58</v>
      </c>
    </row>
    <row r="1026" customFormat="false" ht="15" hidden="false" customHeight="true" outlineLevel="0" collapsed="false">
      <c r="A1026" s="6" t="s">
        <v>2245</v>
      </c>
      <c r="B1026" s="6" t="s">
        <v>2246</v>
      </c>
      <c r="C1026" s="6" t="s">
        <v>131</v>
      </c>
      <c r="D1026" s="6" t="s">
        <v>200</v>
      </c>
      <c r="E1026" s="6" t="s">
        <v>165</v>
      </c>
      <c r="F1026" s="13" t="n">
        <v>44653</v>
      </c>
      <c r="G1026" s="13" t="n">
        <v>44722</v>
      </c>
      <c r="H1026" s="14" t="n">
        <v>117245.31</v>
      </c>
      <c r="I1026" s="6" t="n">
        <v>0</v>
      </c>
      <c r="J1026" s="6" t="n">
        <v>799</v>
      </c>
      <c r="K1026" s="6" t="s">
        <v>160</v>
      </c>
      <c r="L1026" s="14" t="n">
        <v>20514.29</v>
      </c>
      <c r="M1026" s="22" t="n">
        <v>1.253</v>
      </c>
      <c r="N1026" s="14" t="n">
        <v>25704.41</v>
      </c>
      <c r="O1026" s="14" t="n">
        <v>5190.12</v>
      </c>
      <c r="P1026" s="21" t="n">
        <v>0.095</v>
      </c>
      <c r="Q1026" s="6" t="n">
        <v>69</v>
      </c>
      <c r="R1026" s="6" t="s">
        <v>309</v>
      </c>
      <c r="S1026" s="21" t="n">
        <v>0.549</v>
      </c>
      <c r="T1026" s="14" t="n">
        <v>14111.72</v>
      </c>
      <c r="U1026" s="6" t="s">
        <v>14</v>
      </c>
    </row>
    <row r="1027" customFormat="false" ht="15" hidden="false" customHeight="true" outlineLevel="0" collapsed="false">
      <c r="A1027" s="6" t="s">
        <v>2247</v>
      </c>
      <c r="B1027" s="6" t="s">
        <v>2248</v>
      </c>
      <c r="C1027" s="6" t="s">
        <v>131</v>
      </c>
      <c r="D1027" s="6" t="s">
        <v>200</v>
      </c>
      <c r="E1027" s="6" t="s">
        <v>159</v>
      </c>
      <c r="F1027" s="13" t="n">
        <v>45560</v>
      </c>
      <c r="G1027" s="13" t="n">
        <v>45628</v>
      </c>
      <c r="H1027" s="14" t="n">
        <v>73303.63</v>
      </c>
      <c r="I1027" s="6" t="n">
        <v>3</v>
      </c>
      <c r="J1027" s="6" t="n">
        <v>514</v>
      </c>
      <c r="K1027" s="6" t="s">
        <v>160</v>
      </c>
      <c r="L1027" s="14" t="n">
        <v>6911.93</v>
      </c>
      <c r="M1027" s="22" t="n">
        <v>1.259</v>
      </c>
      <c r="N1027" s="14" t="n">
        <v>8702.12</v>
      </c>
      <c r="O1027" s="14" t="n">
        <v>1790.19</v>
      </c>
      <c r="P1027" s="21" t="n">
        <v>0.052</v>
      </c>
      <c r="Q1027" s="6" t="n">
        <v>68</v>
      </c>
      <c r="R1027" s="6" t="s">
        <v>161</v>
      </c>
      <c r="S1027" s="21" t="n">
        <v>1</v>
      </c>
      <c r="T1027" s="14" t="n">
        <v>8702.12</v>
      </c>
      <c r="U1027" s="6" t="s">
        <v>43</v>
      </c>
    </row>
    <row r="1028" customFormat="false" ht="15" hidden="false" customHeight="true" outlineLevel="0" collapsed="false">
      <c r="A1028" s="6" t="s">
        <v>2249</v>
      </c>
      <c r="B1028" s="6" t="s">
        <v>2250</v>
      </c>
      <c r="C1028" s="6" t="s">
        <v>131</v>
      </c>
      <c r="D1028" s="6" t="s">
        <v>176</v>
      </c>
      <c r="E1028" s="6" t="s">
        <v>299</v>
      </c>
      <c r="F1028" s="13" t="n">
        <v>45954</v>
      </c>
      <c r="G1028" s="13" t="n">
        <v>46023</v>
      </c>
      <c r="H1028" s="14" t="n">
        <v>218347.37</v>
      </c>
      <c r="I1028" s="6" t="n">
        <v>2</v>
      </c>
      <c r="J1028" s="6" t="n">
        <v>741</v>
      </c>
      <c r="K1028" s="6" t="s">
        <v>185</v>
      </c>
      <c r="L1028" s="14" t="n">
        <v>66768.61</v>
      </c>
      <c r="M1028" s="22" t="n">
        <v>1.329</v>
      </c>
      <c r="N1028" s="14" t="n">
        <v>88735.48</v>
      </c>
      <c r="O1028" s="14" t="n">
        <v>21966.87</v>
      </c>
      <c r="P1028" s="21" t="n">
        <v>0.175</v>
      </c>
      <c r="Q1028" s="6" t="n">
        <v>69</v>
      </c>
      <c r="R1028" s="6" t="s">
        <v>155</v>
      </c>
      <c r="S1028" s="21" t="n">
        <v>0.98</v>
      </c>
      <c r="T1028" s="14" t="n">
        <v>86960.77</v>
      </c>
      <c r="U1028" s="6" t="s">
        <v>56</v>
      </c>
    </row>
    <row r="1029" customFormat="false" ht="15" hidden="false" customHeight="true" outlineLevel="0" collapsed="false">
      <c r="A1029" s="6" t="s">
        <v>2251</v>
      </c>
      <c r="B1029" s="6" t="s">
        <v>2252</v>
      </c>
      <c r="C1029" s="6" t="s">
        <v>124</v>
      </c>
      <c r="D1029" s="6" t="s">
        <v>180</v>
      </c>
      <c r="E1029" s="6" t="s">
        <v>181</v>
      </c>
      <c r="F1029" s="13" t="n">
        <v>44986</v>
      </c>
      <c r="G1029" s="13" t="n">
        <v>45067</v>
      </c>
      <c r="H1029" s="14" t="n">
        <v>162692.85</v>
      </c>
      <c r="I1029" s="6" t="n">
        <v>0</v>
      </c>
      <c r="J1029" s="6" t="n">
        <v>782</v>
      </c>
      <c r="K1029" s="6" t="s">
        <v>160</v>
      </c>
      <c r="L1029" s="14" t="n">
        <v>19892.3</v>
      </c>
      <c r="M1029" s="22" t="n">
        <v>1.313</v>
      </c>
      <c r="N1029" s="14" t="n">
        <v>26118.59</v>
      </c>
      <c r="O1029" s="14" t="n">
        <v>6226.29</v>
      </c>
      <c r="P1029" s="21" t="n">
        <v>0.059</v>
      </c>
      <c r="Q1029" s="6" t="n">
        <v>81</v>
      </c>
      <c r="R1029" s="6" t="s">
        <v>161</v>
      </c>
      <c r="S1029" s="21" t="n">
        <v>1</v>
      </c>
      <c r="T1029" s="14" t="n">
        <v>26118.59</v>
      </c>
      <c r="U1029" s="6" t="s">
        <v>25</v>
      </c>
    </row>
    <row r="1030" customFormat="false" ht="15" hidden="false" customHeight="true" outlineLevel="0" collapsed="false">
      <c r="A1030" s="6" t="s">
        <v>2253</v>
      </c>
      <c r="B1030" s="6" t="s">
        <v>2254</v>
      </c>
      <c r="C1030" s="6" t="s">
        <v>128</v>
      </c>
      <c r="D1030" s="6" t="s">
        <v>401</v>
      </c>
      <c r="E1030" s="6" t="s">
        <v>165</v>
      </c>
      <c r="F1030" s="13" t="n">
        <v>45273</v>
      </c>
      <c r="G1030" s="13" t="n">
        <v>45382</v>
      </c>
      <c r="H1030" s="14" t="n">
        <v>148295.6</v>
      </c>
      <c r="I1030" s="6" t="n">
        <v>1</v>
      </c>
      <c r="J1030" s="6" t="n">
        <v>668</v>
      </c>
      <c r="K1030" s="6" t="s">
        <v>185</v>
      </c>
      <c r="L1030" s="14" t="n">
        <v>35654.98</v>
      </c>
      <c r="M1030" s="22" t="n">
        <v>1.195</v>
      </c>
      <c r="N1030" s="14" t="n">
        <v>42607.7</v>
      </c>
      <c r="O1030" s="14" t="n">
        <v>6952.72</v>
      </c>
      <c r="P1030" s="21" t="n">
        <v>0.079</v>
      </c>
      <c r="Q1030" s="6" t="n">
        <v>109</v>
      </c>
      <c r="R1030" s="6" t="s">
        <v>155</v>
      </c>
      <c r="S1030" s="21" t="n">
        <v>0.919</v>
      </c>
      <c r="T1030" s="14" t="n">
        <v>39156.48</v>
      </c>
      <c r="U1030" s="6" t="s">
        <v>34</v>
      </c>
    </row>
    <row r="1031" customFormat="false" ht="15" hidden="false" customHeight="true" outlineLevel="0" collapsed="false">
      <c r="A1031" s="6" t="s">
        <v>2255</v>
      </c>
      <c r="B1031" s="6" t="s">
        <v>2256</v>
      </c>
      <c r="C1031" s="6" t="s">
        <v>124</v>
      </c>
      <c r="D1031" s="6" t="s">
        <v>243</v>
      </c>
      <c r="E1031" s="6" t="s">
        <v>181</v>
      </c>
      <c r="F1031" s="13" t="n">
        <v>45493</v>
      </c>
      <c r="G1031" s="13" t="n">
        <v>45569</v>
      </c>
      <c r="H1031" s="14" t="n">
        <v>198724.27</v>
      </c>
      <c r="I1031" s="6" t="n">
        <v>0</v>
      </c>
      <c r="J1031" s="6" t="n">
        <v>504</v>
      </c>
      <c r="K1031" s="6" t="s">
        <v>160</v>
      </c>
      <c r="L1031" s="14" t="n">
        <v>39058.56</v>
      </c>
      <c r="M1031" s="22" t="n">
        <v>1.253</v>
      </c>
      <c r="N1031" s="14" t="n">
        <v>48940.38</v>
      </c>
      <c r="O1031" s="14" t="n">
        <v>9881.82</v>
      </c>
      <c r="P1031" s="21" t="n">
        <v>0.096</v>
      </c>
      <c r="Q1031" s="6" t="n">
        <v>76</v>
      </c>
      <c r="R1031" s="6" t="s">
        <v>161</v>
      </c>
      <c r="S1031" s="21" t="n">
        <v>1</v>
      </c>
      <c r="T1031" s="14" t="n">
        <v>48940.38</v>
      </c>
      <c r="U1031" s="6" t="s">
        <v>41</v>
      </c>
    </row>
    <row r="1032" customFormat="false" ht="15" hidden="false" customHeight="true" outlineLevel="0" collapsed="false">
      <c r="A1032" s="6" t="s">
        <v>2257</v>
      </c>
      <c r="B1032" s="6" t="s">
        <v>2258</v>
      </c>
      <c r="C1032" s="6" t="s">
        <v>116</v>
      </c>
      <c r="D1032" s="6" t="s">
        <v>206</v>
      </c>
      <c r="E1032" s="6" t="s">
        <v>184</v>
      </c>
      <c r="F1032" s="13" t="n">
        <v>44727</v>
      </c>
      <c r="G1032" s="13" t="n">
        <v>44787</v>
      </c>
      <c r="H1032" s="14" t="n">
        <v>81714.65</v>
      </c>
      <c r="I1032" s="6" t="n">
        <v>2</v>
      </c>
      <c r="J1032" s="6" t="n">
        <v>622</v>
      </c>
      <c r="K1032" s="6" t="s">
        <v>160</v>
      </c>
      <c r="L1032" s="14" t="n">
        <v>12217.89</v>
      </c>
      <c r="M1032" s="22" t="n">
        <v>1.293</v>
      </c>
      <c r="N1032" s="14" t="n">
        <v>15797.73</v>
      </c>
      <c r="O1032" s="14" t="n">
        <v>3579.84</v>
      </c>
      <c r="P1032" s="21" t="n">
        <v>0.159</v>
      </c>
      <c r="Q1032" s="6" t="n">
        <v>60</v>
      </c>
      <c r="R1032" s="6" t="s">
        <v>155</v>
      </c>
      <c r="S1032" s="21" t="n">
        <v>0.88</v>
      </c>
      <c r="T1032" s="14" t="n">
        <v>13902</v>
      </c>
      <c r="U1032" s="6" t="s">
        <v>16</v>
      </c>
    </row>
    <row r="1033" customFormat="false" ht="15" hidden="false" customHeight="true" outlineLevel="0" collapsed="false">
      <c r="A1033" s="6" t="s">
        <v>2259</v>
      </c>
      <c r="B1033" s="6" t="s">
        <v>2260</v>
      </c>
      <c r="C1033" s="6" t="s">
        <v>131</v>
      </c>
      <c r="D1033" s="6" t="s">
        <v>176</v>
      </c>
      <c r="E1033" s="6" t="s">
        <v>219</v>
      </c>
      <c r="F1033" s="13" t="n">
        <v>45867</v>
      </c>
      <c r="G1033" s="13" t="n">
        <v>45927</v>
      </c>
      <c r="H1033" s="14" t="n">
        <v>179861.38</v>
      </c>
      <c r="I1033" s="6" t="n">
        <v>0</v>
      </c>
      <c r="J1033" s="6" t="n">
        <v>798</v>
      </c>
      <c r="K1033" s="6" t="s">
        <v>154</v>
      </c>
      <c r="L1033" s="14" t="n">
        <v>50262.43</v>
      </c>
      <c r="M1033" s="22" t="n">
        <v>1.088</v>
      </c>
      <c r="N1033" s="14" t="n">
        <v>54685.52</v>
      </c>
      <c r="O1033" s="14" t="n">
        <v>4423.09</v>
      </c>
      <c r="P1033" s="21" t="n">
        <v>0.172</v>
      </c>
      <c r="Q1033" s="6" t="n">
        <v>60</v>
      </c>
      <c r="R1033" s="6" t="s">
        <v>161</v>
      </c>
      <c r="S1033" s="21" t="n">
        <v>1</v>
      </c>
      <c r="T1033" s="14" t="n">
        <v>54685.52</v>
      </c>
      <c r="U1033" s="6" t="s">
        <v>53</v>
      </c>
    </row>
    <row r="1034" customFormat="false" ht="15" hidden="false" customHeight="true" outlineLevel="0" collapsed="false">
      <c r="A1034" s="6" t="s">
        <v>2261</v>
      </c>
      <c r="B1034" s="6" t="s">
        <v>2262</v>
      </c>
      <c r="C1034" s="6" t="s">
        <v>112</v>
      </c>
      <c r="D1034" s="6" t="s">
        <v>225</v>
      </c>
      <c r="E1034" s="6" t="s">
        <v>299</v>
      </c>
      <c r="F1034" s="13" t="n">
        <v>45022</v>
      </c>
      <c r="G1034" s="13" t="n">
        <v>45259</v>
      </c>
      <c r="H1034" s="14" t="n">
        <v>244477.01</v>
      </c>
      <c r="I1034" s="6" t="n">
        <v>1</v>
      </c>
      <c r="J1034" s="6" t="n">
        <v>516</v>
      </c>
      <c r="K1034" s="6" t="s">
        <v>160</v>
      </c>
      <c r="L1034" s="14" t="n">
        <v>77697.08</v>
      </c>
      <c r="M1034" s="22" t="n">
        <v>1.347</v>
      </c>
      <c r="N1034" s="14" t="n">
        <v>104657.97</v>
      </c>
      <c r="O1034" s="14" t="n">
        <v>26960.89</v>
      </c>
      <c r="P1034" s="21" t="n">
        <v>0.054</v>
      </c>
      <c r="Q1034" s="6" t="n">
        <v>237</v>
      </c>
      <c r="R1034" s="6" t="s">
        <v>161</v>
      </c>
      <c r="S1034" s="21" t="n">
        <v>1</v>
      </c>
      <c r="T1034" s="14" t="n">
        <v>104657.97</v>
      </c>
      <c r="U1034" s="6" t="s">
        <v>26</v>
      </c>
    </row>
    <row r="1035" customFormat="false" ht="15" hidden="false" customHeight="true" outlineLevel="0" collapsed="false">
      <c r="A1035" s="6" t="s">
        <v>2263</v>
      </c>
      <c r="B1035" s="6" t="s">
        <v>2264</v>
      </c>
      <c r="C1035" s="6" t="s">
        <v>120</v>
      </c>
      <c r="D1035" s="6" t="s">
        <v>158</v>
      </c>
      <c r="E1035" s="6" t="s">
        <v>159</v>
      </c>
      <c r="F1035" s="13" t="n">
        <v>44836</v>
      </c>
      <c r="G1035" s="13" t="n">
        <v>44896</v>
      </c>
      <c r="H1035" s="14" t="n">
        <v>104790.01</v>
      </c>
      <c r="I1035" s="6" t="n">
        <v>0</v>
      </c>
      <c r="J1035" s="6" t="n">
        <v>774</v>
      </c>
      <c r="K1035" s="6" t="s">
        <v>185</v>
      </c>
      <c r="L1035" s="14" t="n">
        <v>20948</v>
      </c>
      <c r="M1035" s="22" t="n">
        <v>1.217</v>
      </c>
      <c r="N1035" s="14" t="n">
        <v>25493.72</v>
      </c>
      <c r="O1035" s="14" t="n">
        <v>4545.72</v>
      </c>
      <c r="P1035" s="21" t="n">
        <v>0.179</v>
      </c>
      <c r="Q1035" s="6" t="n">
        <v>60</v>
      </c>
      <c r="R1035" s="6" t="s">
        <v>161</v>
      </c>
      <c r="S1035" s="21" t="n">
        <v>1</v>
      </c>
      <c r="T1035" s="14" t="n">
        <v>25493.72</v>
      </c>
      <c r="U1035" s="6" t="s">
        <v>20</v>
      </c>
    </row>
    <row r="1036" customFormat="false" ht="15" hidden="false" customHeight="true" outlineLevel="0" collapsed="false">
      <c r="A1036" s="6" t="s">
        <v>2265</v>
      </c>
      <c r="B1036" s="6" t="s">
        <v>2266</v>
      </c>
      <c r="C1036" s="6" t="s">
        <v>116</v>
      </c>
      <c r="D1036" s="6" t="s">
        <v>206</v>
      </c>
      <c r="E1036" s="6" t="s">
        <v>207</v>
      </c>
      <c r="F1036" s="13" t="n">
        <v>45659</v>
      </c>
      <c r="G1036" s="13" t="n">
        <v>45721</v>
      </c>
      <c r="H1036" s="14" t="n">
        <v>187165.61</v>
      </c>
      <c r="I1036" s="6" t="n">
        <v>0</v>
      </c>
      <c r="J1036" s="6" t="n">
        <v>654</v>
      </c>
      <c r="K1036" s="6" t="s">
        <v>185</v>
      </c>
      <c r="L1036" s="14" t="n">
        <v>50037.31</v>
      </c>
      <c r="M1036" s="22" t="n">
        <v>1.318</v>
      </c>
      <c r="N1036" s="14" t="n">
        <v>65949.17</v>
      </c>
      <c r="O1036" s="14" t="n">
        <v>15911.86</v>
      </c>
      <c r="P1036" s="21" t="n">
        <v>0.169</v>
      </c>
      <c r="Q1036" s="6" t="n">
        <v>62</v>
      </c>
      <c r="R1036" s="6" t="s">
        <v>155</v>
      </c>
      <c r="S1036" s="21" t="n">
        <v>0.82</v>
      </c>
      <c r="T1036" s="14" t="n">
        <v>54078.32</v>
      </c>
      <c r="U1036" s="6" t="s">
        <v>47</v>
      </c>
    </row>
    <row r="1037" customFormat="false" ht="15" hidden="false" customHeight="true" outlineLevel="0" collapsed="false">
      <c r="A1037" s="6" t="s">
        <v>2267</v>
      </c>
      <c r="B1037" s="6" t="s">
        <v>2268</v>
      </c>
      <c r="C1037" s="6" t="s">
        <v>131</v>
      </c>
      <c r="D1037" s="6" t="s">
        <v>200</v>
      </c>
      <c r="E1037" s="6" t="s">
        <v>189</v>
      </c>
      <c r="F1037" s="13" t="n">
        <v>45412</v>
      </c>
      <c r="G1037" s="13" t="n">
        <v>45484</v>
      </c>
      <c r="H1037" s="14" t="n">
        <v>191100.82</v>
      </c>
      <c r="I1037" s="6" t="n">
        <v>1</v>
      </c>
      <c r="J1037" s="6" t="n">
        <v>505</v>
      </c>
      <c r="K1037" s="6" t="s">
        <v>154</v>
      </c>
      <c r="L1037" s="14" t="n">
        <v>45142.17</v>
      </c>
      <c r="M1037" s="22" t="n">
        <v>1.122</v>
      </c>
      <c r="N1037" s="14" t="n">
        <v>50649.51</v>
      </c>
      <c r="O1037" s="14" t="n">
        <v>5507.34</v>
      </c>
      <c r="P1037" s="21" t="n">
        <v>0.11</v>
      </c>
      <c r="Q1037" s="6" t="n">
        <v>72</v>
      </c>
      <c r="R1037" s="6" t="s">
        <v>161</v>
      </c>
      <c r="S1037" s="21" t="n">
        <v>1</v>
      </c>
      <c r="T1037" s="14" t="n">
        <v>50649.51</v>
      </c>
      <c r="U1037" s="6" t="s">
        <v>38</v>
      </c>
    </row>
    <row r="1038" customFormat="false" ht="15" hidden="false" customHeight="true" outlineLevel="0" collapsed="false">
      <c r="A1038" s="6" t="s">
        <v>2269</v>
      </c>
      <c r="B1038" s="6" t="s">
        <v>2270</v>
      </c>
      <c r="C1038" s="6" t="s">
        <v>112</v>
      </c>
      <c r="D1038" s="6" t="s">
        <v>225</v>
      </c>
      <c r="E1038" s="6" t="s">
        <v>153</v>
      </c>
      <c r="F1038" s="13" t="n">
        <v>45886</v>
      </c>
      <c r="G1038" s="13" t="n">
        <v>46007</v>
      </c>
      <c r="H1038" s="14" t="n">
        <v>191521.12</v>
      </c>
      <c r="I1038" s="6" t="n">
        <v>1</v>
      </c>
      <c r="J1038" s="6" t="n">
        <v>637</v>
      </c>
      <c r="K1038" s="6" t="s">
        <v>185</v>
      </c>
      <c r="L1038" s="14" t="n">
        <v>35756.89</v>
      </c>
      <c r="M1038" s="22" t="n">
        <v>1.124</v>
      </c>
      <c r="N1038" s="14" t="n">
        <v>40190.74</v>
      </c>
      <c r="O1038" s="14" t="n">
        <v>4433.85</v>
      </c>
      <c r="P1038" s="21" t="n">
        <v>0.052</v>
      </c>
      <c r="Q1038" s="6" t="n">
        <v>121</v>
      </c>
      <c r="R1038" s="6" t="s">
        <v>161</v>
      </c>
      <c r="S1038" s="21" t="n">
        <v>1</v>
      </c>
      <c r="T1038" s="14" t="n">
        <v>40190.74</v>
      </c>
      <c r="U1038" s="6" t="s">
        <v>54</v>
      </c>
    </row>
    <row r="1039" customFormat="false" ht="15" hidden="false" customHeight="true" outlineLevel="0" collapsed="false">
      <c r="A1039" s="6" t="s">
        <v>2271</v>
      </c>
      <c r="B1039" s="6" t="s">
        <v>2272</v>
      </c>
      <c r="C1039" s="6" t="s">
        <v>128</v>
      </c>
      <c r="D1039" s="6" t="s">
        <v>172</v>
      </c>
      <c r="E1039" s="6" t="s">
        <v>189</v>
      </c>
      <c r="F1039" s="13" t="n">
        <v>46033</v>
      </c>
      <c r="G1039" s="13" t="n">
        <v>46116</v>
      </c>
      <c r="H1039" s="14" t="n">
        <v>236998.12</v>
      </c>
      <c r="I1039" s="6" t="n">
        <v>5</v>
      </c>
      <c r="J1039" s="6" t="n">
        <v>587</v>
      </c>
      <c r="K1039" s="6" t="s">
        <v>185</v>
      </c>
      <c r="L1039" s="14" t="n">
        <v>95813.01</v>
      </c>
      <c r="M1039" s="22" t="n">
        <v>1.214</v>
      </c>
      <c r="N1039" s="14" t="n">
        <v>116316.99</v>
      </c>
      <c r="O1039" s="14" t="n">
        <v>20503.98</v>
      </c>
      <c r="P1039" s="21" t="n">
        <v>0.176</v>
      </c>
      <c r="Q1039" s="6" t="n">
        <v>83</v>
      </c>
      <c r="R1039" s="6" t="s">
        <v>161</v>
      </c>
      <c r="S1039" s="21" t="n">
        <v>1</v>
      </c>
      <c r="T1039" s="14" t="n">
        <v>116316.99</v>
      </c>
      <c r="U1039" s="6" t="s">
        <v>59</v>
      </c>
    </row>
    <row r="1040" customFormat="false" ht="15" hidden="false" customHeight="true" outlineLevel="0" collapsed="false">
      <c r="A1040" s="6" t="s">
        <v>2273</v>
      </c>
      <c r="B1040" s="6" t="s">
        <v>2274</v>
      </c>
      <c r="C1040" s="6" t="s">
        <v>120</v>
      </c>
      <c r="D1040" s="6" t="s">
        <v>158</v>
      </c>
      <c r="E1040" s="6" t="s">
        <v>192</v>
      </c>
      <c r="F1040" s="13" t="n">
        <v>44645</v>
      </c>
      <c r="G1040" s="13" t="n">
        <v>44738</v>
      </c>
      <c r="H1040" s="14" t="n">
        <v>11419.29</v>
      </c>
      <c r="I1040" s="6" t="n">
        <v>0</v>
      </c>
      <c r="J1040" s="6" t="n">
        <v>594</v>
      </c>
      <c r="K1040" s="6" t="s">
        <v>154</v>
      </c>
      <c r="L1040" s="14" t="n">
        <v>4264.48</v>
      </c>
      <c r="M1040" s="22" t="n">
        <v>1.206</v>
      </c>
      <c r="N1040" s="14" t="n">
        <v>5142.96</v>
      </c>
      <c r="O1040" s="14" t="n">
        <v>878.48</v>
      </c>
      <c r="P1040" s="21" t="n">
        <v>0.145</v>
      </c>
      <c r="Q1040" s="6" t="n">
        <v>93</v>
      </c>
      <c r="R1040" s="6" t="s">
        <v>155</v>
      </c>
      <c r="S1040" s="21" t="n">
        <v>0.98</v>
      </c>
      <c r="T1040" s="14" t="n">
        <v>5040.1</v>
      </c>
      <c r="U1040" s="6" t="s">
        <v>13</v>
      </c>
    </row>
    <row r="1041" customFormat="false" ht="15" hidden="false" customHeight="true" outlineLevel="0" collapsed="false">
      <c r="A1041" s="6" t="s">
        <v>2275</v>
      </c>
      <c r="B1041" s="6" t="s">
        <v>2276</v>
      </c>
      <c r="C1041" s="6" t="s">
        <v>116</v>
      </c>
      <c r="D1041" s="6" t="s">
        <v>152</v>
      </c>
      <c r="E1041" s="6" t="s">
        <v>195</v>
      </c>
      <c r="F1041" s="13" t="n">
        <v>44739</v>
      </c>
      <c r="G1041" s="13" t="n">
        <v>44938</v>
      </c>
      <c r="H1041" s="14" t="n">
        <v>56672.94</v>
      </c>
      <c r="I1041" s="6" t="n">
        <v>0</v>
      </c>
      <c r="J1041" s="6" t="n">
        <v>594</v>
      </c>
      <c r="K1041" s="6" t="s">
        <v>160</v>
      </c>
      <c r="L1041" s="14" t="n">
        <v>18871.89</v>
      </c>
      <c r="M1041" s="22" t="n">
        <v>1.177</v>
      </c>
      <c r="N1041" s="14" t="n">
        <v>22212.21</v>
      </c>
      <c r="O1041" s="14" t="n">
        <v>3340.32</v>
      </c>
      <c r="P1041" s="21" t="n">
        <v>0.059</v>
      </c>
      <c r="Q1041" s="6" t="n">
        <v>199</v>
      </c>
      <c r="R1041" s="6" t="s">
        <v>232</v>
      </c>
      <c r="S1041" s="21" t="n">
        <v>1</v>
      </c>
      <c r="T1041" s="14" t="n">
        <v>22212.21</v>
      </c>
      <c r="U1041" s="6" t="s">
        <v>16</v>
      </c>
    </row>
    <row r="1042" customFormat="false" ht="15" hidden="false" customHeight="true" outlineLevel="0" collapsed="false">
      <c r="A1042" s="6" t="s">
        <v>2277</v>
      </c>
      <c r="B1042" s="6" t="s">
        <v>2278</v>
      </c>
      <c r="C1042" s="6" t="s">
        <v>124</v>
      </c>
      <c r="D1042" s="6" t="s">
        <v>238</v>
      </c>
      <c r="E1042" s="6" t="s">
        <v>288</v>
      </c>
      <c r="F1042" s="13" t="n">
        <v>44903</v>
      </c>
      <c r="G1042" s="13" t="n">
        <v>45020</v>
      </c>
      <c r="H1042" s="14" t="n">
        <v>175120.6</v>
      </c>
      <c r="I1042" s="6" t="n">
        <v>1</v>
      </c>
      <c r="J1042" s="6" t="n">
        <v>565</v>
      </c>
      <c r="K1042" s="6" t="s">
        <v>185</v>
      </c>
      <c r="L1042" s="14" t="n">
        <v>43880.56</v>
      </c>
      <c r="M1042" s="22" t="n">
        <v>1.283</v>
      </c>
      <c r="N1042" s="14" t="n">
        <v>56298.76</v>
      </c>
      <c r="O1042" s="14" t="n">
        <v>12418.2</v>
      </c>
      <c r="P1042" s="21" t="n">
        <v>0.082</v>
      </c>
      <c r="Q1042" s="6" t="n">
        <v>117</v>
      </c>
      <c r="R1042" s="6" t="s">
        <v>155</v>
      </c>
      <c r="S1042" s="21" t="n">
        <v>0.865</v>
      </c>
      <c r="T1042" s="14" t="n">
        <v>48698.43</v>
      </c>
      <c r="U1042" s="6" t="s">
        <v>22</v>
      </c>
    </row>
    <row r="1043" customFormat="false" ht="15" hidden="false" customHeight="true" outlineLevel="0" collapsed="false">
      <c r="A1043" s="6" t="s">
        <v>2279</v>
      </c>
      <c r="B1043" s="6" t="s">
        <v>2280</v>
      </c>
      <c r="C1043" s="6" t="s">
        <v>116</v>
      </c>
      <c r="D1043" s="6" t="s">
        <v>152</v>
      </c>
      <c r="E1043" s="6" t="s">
        <v>153</v>
      </c>
      <c r="F1043" s="13" t="n">
        <v>45528</v>
      </c>
      <c r="G1043" s="13" t="n">
        <v>45588</v>
      </c>
      <c r="H1043" s="14" t="n">
        <v>58629.84</v>
      </c>
      <c r="I1043" s="6" t="n">
        <v>0</v>
      </c>
      <c r="J1043" s="6" t="n">
        <v>640</v>
      </c>
      <c r="K1043" s="6" t="s">
        <v>185</v>
      </c>
      <c r="L1043" s="14" t="n">
        <v>9087.93</v>
      </c>
      <c r="M1043" s="22" t="n">
        <v>1.126</v>
      </c>
      <c r="N1043" s="14" t="n">
        <v>10233.01</v>
      </c>
      <c r="O1043" s="14" t="n">
        <v>1145.08</v>
      </c>
      <c r="P1043" s="21" t="n">
        <v>0.149</v>
      </c>
      <c r="Q1043" s="6" t="n">
        <v>60</v>
      </c>
      <c r="R1043" s="6" t="s">
        <v>161</v>
      </c>
      <c r="S1043" s="21" t="n">
        <v>1</v>
      </c>
      <c r="T1043" s="14" t="n">
        <v>10233.01</v>
      </c>
      <c r="U1043" s="6" t="s">
        <v>42</v>
      </c>
    </row>
    <row r="1044" customFormat="false" ht="15" hidden="false" customHeight="true" outlineLevel="0" collapsed="false">
      <c r="A1044" s="6" t="s">
        <v>2281</v>
      </c>
      <c r="B1044" s="6" t="s">
        <v>2282</v>
      </c>
      <c r="C1044" s="6" t="s">
        <v>112</v>
      </c>
      <c r="D1044" s="6" t="s">
        <v>164</v>
      </c>
      <c r="E1044" s="6" t="s">
        <v>201</v>
      </c>
      <c r="F1044" s="13" t="n">
        <v>45623</v>
      </c>
      <c r="G1044" s="13" t="n">
        <v>45714</v>
      </c>
      <c r="H1044" s="14" t="n">
        <v>63388.83</v>
      </c>
      <c r="I1044" s="6" t="n">
        <v>1</v>
      </c>
      <c r="J1044" s="6" t="n">
        <v>557</v>
      </c>
      <c r="K1044" s="6" t="s">
        <v>185</v>
      </c>
      <c r="L1044" s="14" t="n">
        <v>25735.88</v>
      </c>
      <c r="M1044" s="22" t="n">
        <v>1.16</v>
      </c>
      <c r="N1044" s="14" t="n">
        <v>29853.62</v>
      </c>
      <c r="O1044" s="14" t="n">
        <v>4117.74</v>
      </c>
      <c r="P1044" s="21" t="n">
        <v>0.155</v>
      </c>
      <c r="Q1044" s="6" t="n">
        <v>91</v>
      </c>
      <c r="R1044" s="6" t="s">
        <v>161</v>
      </c>
      <c r="S1044" s="21" t="n">
        <v>1</v>
      </c>
      <c r="T1044" s="14" t="n">
        <v>29853.62</v>
      </c>
      <c r="U1044" s="6" t="s">
        <v>45</v>
      </c>
    </row>
    <row r="1045" customFormat="false" ht="15" hidden="false" customHeight="true" outlineLevel="0" collapsed="false">
      <c r="A1045" s="6" t="s">
        <v>2283</v>
      </c>
      <c r="B1045" s="6" t="s">
        <v>2284</v>
      </c>
      <c r="C1045" s="6" t="s">
        <v>112</v>
      </c>
      <c r="D1045" s="6" t="s">
        <v>188</v>
      </c>
      <c r="E1045" s="6" t="s">
        <v>326</v>
      </c>
      <c r="F1045" s="13" t="n">
        <v>46000</v>
      </c>
      <c r="G1045" s="13" t="n">
        <v>46157</v>
      </c>
      <c r="H1045" s="14" t="n">
        <v>10237.4</v>
      </c>
      <c r="I1045" s="6" t="n">
        <v>1</v>
      </c>
      <c r="J1045" s="6" t="n">
        <v>565</v>
      </c>
      <c r="K1045" s="6" t="s">
        <v>160</v>
      </c>
      <c r="L1045" s="14" t="n">
        <v>4993.09</v>
      </c>
      <c r="M1045" s="22" t="n">
        <v>1.14</v>
      </c>
      <c r="N1045" s="14" t="n">
        <v>5692.12</v>
      </c>
      <c r="O1045" s="14" t="n">
        <v>699.03</v>
      </c>
      <c r="P1045" s="21" t="n">
        <v>0.106</v>
      </c>
      <c r="Q1045" s="6" t="n">
        <v>157</v>
      </c>
      <c r="R1045" s="6" t="s">
        <v>155</v>
      </c>
      <c r="S1045" s="21" t="n">
        <v>0.966</v>
      </c>
      <c r="T1045" s="14" t="n">
        <v>5498.59</v>
      </c>
      <c r="U1045" s="6" t="s">
        <v>58</v>
      </c>
    </row>
    <row r="1046" customFormat="false" ht="15" hidden="false" customHeight="true" outlineLevel="0" collapsed="false">
      <c r="A1046" s="6" t="s">
        <v>2285</v>
      </c>
      <c r="B1046" s="6" t="s">
        <v>2286</v>
      </c>
      <c r="C1046" s="6" t="s">
        <v>128</v>
      </c>
      <c r="D1046" s="6" t="s">
        <v>235</v>
      </c>
      <c r="E1046" s="6" t="s">
        <v>207</v>
      </c>
      <c r="F1046" s="13" t="n">
        <v>45133</v>
      </c>
      <c r="G1046" s="13" t="n">
        <v>45214</v>
      </c>
      <c r="H1046" s="14" t="n">
        <v>124499.17</v>
      </c>
      <c r="I1046" s="6" t="n">
        <v>2</v>
      </c>
      <c r="J1046" s="6" t="n">
        <v>558</v>
      </c>
      <c r="K1046" s="6" t="s">
        <v>160</v>
      </c>
      <c r="L1046" s="14" t="n">
        <v>25516.95</v>
      </c>
      <c r="M1046" s="22" t="n">
        <v>1.265</v>
      </c>
      <c r="N1046" s="14" t="n">
        <v>32278.94</v>
      </c>
      <c r="O1046" s="14" t="n">
        <v>6761.99</v>
      </c>
      <c r="P1046" s="21" t="n">
        <v>0.095</v>
      </c>
      <c r="Q1046" s="6" t="n">
        <v>81</v>
      </c>
      <c r="R1046" s="6" t="s">
        <v>161</v>
      </c>
      <c r="S1046" s="21" t="n">
        <v>1</v>
      </c>
      <c r="T1046" s="14" t="n">
        <v>32278.94</v>
      </c>
      <c r="U1046" s="6" t="s">
        <v>29</v>
      </c>
    </row>
    <row r="1047" customFormat="false" ht="15" hidden="false" customHeight="true" outlineLevel="0" collapsed="false">
      <c r="A1047" s="6" t="s">
        <v>2287</v>
      </c>
      <c r="B1047" s="6" t="s">
        <v>2288</v>
      </c>
      <c r="C1047" s="6" t="s">
        <v>131</v>
      </c>
      <c r="D1047" s="6" t="s">
        <v>152</v>
      </c>
      <c r="E1047" s="6" t="s">
        <v>165</v>
      </c>
      <c r="F1047" s="13" t="n">
        <v>45666</v>
      </c>
      <c r="G1047" s="13" t="n">
        <v>45806</v>
      </c>
      <c r="H1047" s="14" t="n">
        <v>52874.01</v>
      </c>
      <c r="I1047" s="6" t="n">
        <v>0</v>
      </c>
      <c r="J1047" s="6" t="n">
        <v>686</v>
      </c>
      <c r="K1047" s="6" t="s">
        <v>154</v>
      </c>
      <c r="L1047" s="14" t="n">
        <v>18144.53</v>
      </c>
      <c r="M1047" s="22" t="n">
        <v>1.172</v>
      </c>
      <c r="N1047" s="14" t="n">
        <v>21265.39</v>
      </c>
      <c r="O1047" s="14" t="n">
        <v>3120.86</v>
      </c>
      <c r="P1047" s="21" t="n">
        <v>0.086</v>
      </c>
      <c r="Q1047" s="6" t="n">
        <v>140</v>
      </c>
      <c r="R1047" s="6" t="s">
        <v>161</v>
      </c>
      <c r="S1047" s="21" t="n">
        <v>1</v>
      </c>
      <c r="T1047" s="14" t="n">
        <v>21265.39</v>
      </c>
      <c r="U1047" s="6" t="s">
        <v>47</v>
      </c>
    </row>
    <row r="1048" customFormat="false" ht="15" hidden="false" customHeight="true" outlineLevel="0" collapsed="false">
      <c r="A1048" s="6" t="s">
        <v>2289</v>
      </c>
      <c r="B1048" s="6" t="s">
        <v>2290</v>
      </c>
      <c r="C1048" s="6" t="s">
        <v>116</v>
      </c>
      <c r="D1048" s="6" t="s">
        <v>152</v>
      </c>
      <c r="E1048" s="6" t="s">
        <v>177</v>
      </c>
      <c r="F1048" s="13" t="n">
        <v>45172</v>
      </c>
      <c r="G1048" s="13" t="n">
        <v>45259</v>
      </c>
      <c r="H1048" s="14" t="n">
        <v>22443.18</v>
      </c>
      <c r="I1048" s="6" t="n">
        <v>1</v>
      </c>
      <c r="J1048" s="6" t="n">
        <v>772</v>
      </c>
      <c r="K1048" s="6" t="s">
        <v>185</v>
      </c>
      <c r="L1048" s="14" t="n">
        <v>7435.93</v>
      </c>
      <c r="M1048" s="22" t="n">
        <v>1.159</v>
      </c>
      <c r="N1048" s="14" t="n">
        <v>8618.24</v>
      </c>
      <c r="O1048" s="14" t="n">
        <v>1182.31</v>
      </c>
      <c r="P1048" s="21" t="n">
        <v>0.131</v>
      </c>
      <c r="Q1048" s="6" t="n">
        <v>87</v>
      </c>
      <c r="R1048" s="6" t="s">
        <v>161</v>
      </c>
      <c r="S1048" s="21" t="n">
        <v>1</v>
      </c>
      <c r="T1048" s="14" t="n">
        <v>8618.24</v>
      </c>
      <c r="U1048" s="6" t="s">
        <v>31</v>
      </c>
    </row>
    <row r="1049" customFormat="false" ht="15" hidden="false" customHeight="true" outlineLevel="0" collapsed="false">
      <c r="A1049" s="6" t="s">
        <v>2291</v>
      </c>
      <c r="B1049" s="6" t="s">
        <v>2292</v>
      </c>
      <c r="C1049" s="6" t="s">
        <v>131</v>
      </c>
      <c r="D1049" s="6" t="s">
        <v>152</v>
      </c>
      <c r="E1049" s="6" t="s">
        <v>165</v>
      </c>
      <c r="F1049" s="13" t="n">
        <v>44873</v>
      </c>
      <c r="G1049" s="13" t="n">
        <v>44933</v>
      </c>
      <c r="H1049" s="14" t="n">
        <v>58659.6</v>
      </c>
      <c r="I1049" s="6" t="n">
        <v>1</v>
      </c>
      <c r="J1049" s="6" t="n">
        <v>578</v>
      </c>
      <c r="K1049" s="6" t="s">
        <v>160</v>
      </c>
      <c r="L1049" s="14" t="n">
        <v>9445.08</v>
      </c>
      <c r="M1049" s="22" t="n">
        <v>1.123</v>
      </c>
      <c r="N1049" s="14" t="n">
        <v>10606.82</v>
      </c>
      <c r="O1049" s="14" t="n">
        <v>1161.74</v>
      </c>
      <c r="P1049" s="21" t="n">
        <v>0.101</v>
      </c>
      <c r="Q1049" s="6" t="n">
        <v>60</v>
      </c>
      <c r="R1049" s="6" t="s">
        <v>161</v>
      </c>
      <c r="S1049" s="21" t="n">
        <v>1</v>
      </c>
      <c r="T1049" s="14" t="n">
        <v>10606.82</v>
      </c>
      <c r="U1049" s="6" t="s">
        <v>21</v>
      </c>
    </row>
    <row r="1050" customFormat="false" ht="15" hidden="false" customHeight="true" outlineLevel="0" collapsed="false">
      <c r="A1050" s="6" t="s">
        <v>2293</v>
      </c>
      <c r="B1050" s="6" t="s">
        <v>2294</v>
      </c>
      <c r="C1050" s="6" t="s">
        <v>131</v>
      </c>
      <c r="D1050" s="6" t="s">
        <v>200</v>
      </c>
      <c r="E1050" s="6" t="s">
        <v>192</v>
      </c>
      <c r="F1050" s="13" t="n">
        <v>44632</v>
      </c>
      <c r="G1050" s="13" t="n">
        <v>44692</v>
      </c>
      <c r="H1050" s="14" t="n">
        <v>146173.09</v>
      </c>
      <c r="I1050" s="6" t="n">
        <v>1</v>
      </c>
      <c r="J1050" s="6" t="n">
        <v>639</v>
      </c>
      <c r="K1050" s="6" t="s">
        <v>160</v>
      </c>
      <c r="L1050" s="14" t="n">
        <v>27293.26</v>
      </c>
      <c r="M1050" s="22" t="n">
        <v>1.14</v>
      </c>
      <c r="N1050" s="14" t="n">
        <v>31114.32</v>
      </c>
      <c r="O1050" s="14" t="n">
        <v>3821.06</v>
      </c>
      <c r="P1050" s="21" t="n">
        <v>0.18</v>
      </c>
      <c r="Q1050" s="6" t="n">
        <v>60</v>
      </c>
      <c r="R1050" s="6" t="s">
        <v>155</v>
      </c>
      <c r="S1050" s="21" t="n">
        <v>0.733</v>
      </c>
      <c r="T1050" s="14" t="n">
        <v>22806.8</v>
      </c>
      <c r="U1050" s="6" t="s">
        <v>13</v>
      </c>
    </row>
    <row r="1051" customFormat="false" ht="15" hidden="false" customHeight="true" outlineLevel="0" collapsed="false">
      <c r="A1051" s="6" t="s">
        <v>2295</v>
      </c>
      <c r="B1051" s="6" t="s">
        <v>2296</v>
      </c>
      <c r="C1051" s="6" t="s">
        <v>124</v>
      </c>
      <c r="D1051" s="6" t="s">
        <v>238</v>
      </c>
      <c r="E1051" s="6" t="s">
        <v>288</v>
      </c>
      <c r="F1051" s="13" t="n">
        <v>45345</v>
      </c>
      <c r="G1051" s="13" t="n">
        <v>45522</v>
      </c>
      <c r="H1051" s="14" t="n">
        <v>224605.61</v>
      </c>
      <c r="I1051" s="6" t="n">
        <v>1</v>
      </c>
      <c r="J1051" s="6" t="n">
        <v>744</v>
      </c>
      <c r="K1051" s="6" t="s">
        <v>154</v>
      </c>
      <c r="L1051" s="14" t="n">
        <v>65320.89</v>
      </c>
      <c r="M1051" s="22" t="n">
        <v>1.222</v>
      </c>
      <c r="N1051" s="14" t="n">
        <v>79822.13</v>
      </c>
      <c r="O1051" s="14" t="n">
        <v>14501.24</v>
      </c>
      <c r="P1051" s="21" t="n">
        <v>0.06</v>
      </c>
      <c r="Q1051" s="6" t="n">
        <v>177</v>
      </c>
      <c r="R1051" s="6" t="s">
        <v>309</v>
      </c>
      <c r="S1051" s="21" t="n">
        <v>0.476</v>
      </c>
      <c r="T1051" s="14" t="n">
        <v>37995.33</v>
      </c>
      <c r="U1051" s="6" t="s">
        <v>36</v>
      </c>
    </row>
    <row r="1052" customFormat="false" ht="15" hidden="false" customHeight="true" outlineLevel="0" collapsed="false">
      <c r="A1052" s="6" t="s">
        <v>2297</v>
      </c>
      <c r="B1052" s="6" t="s">
        <v>2298</v>
      </c>
      <c r="C1052" s="6" t="s">
        <v>124</v>
      </c>
      <c r="D1052" s="6" t="s">
        <v>168</v>
      </c>
      <c r="E1052" s="6" t="s">
        <v>326</v>
      </c>
      <c r="F1052" s="13" t="n">
        <v>44925</v>
      </c>
      <c r="G1052" s="13" t="n">
        <v>45022</v>
      </c>
      <c r="H1052" s="14" t="n">
        <v>139732.09</v>
      </c>
      <c r="I1052" s="6" t="n">
        <v>0</v>
      </c>
      <c r="J1052" s="6" t="n">
        <v>651</v>
      </c>
      <c r="K1052" s="6" t="s">
        <v>160</v>
      </c>
      <c r="L1052" s="14" t="n">
        <v>39007.42</v>
      </c>
      <c r="M1052" s="22" t="n">
        <v>1.101</v>
      </c>
      <c r="N1052" s="14" t="n">
        <v>42947.17</v>
      </c>
      <c r="O1052" s="14" t="n">
        <v>3939.75</v>
      </c>
      <c r="P1052" s="21" t="n">
        <v>0.095</v>
      </c>
      <c r="Q1052" s="6" t="n">
        <v>97</v>
      </c>
      <c r="R1052" s="6" t="s">
        <v>155</v>
      </c>
      <c r="S1052" s="21" t="n">
        <v>0.796</v>
      </c>
      <c r="T1052" s="14" t="n">
        <v>34185.95</v>
      </c>
      <c r="U1052" s="6" t="s">
        <v>22</v>
      </c>
    </row>
    <row r="1053" customFormat="false" ht="15" hidden="false" customHeight="true" outlineLevel="0" collapsed="false">
      <c r="A1053" s="6" t="s">
        <v>2299</v>
      </c>
      <c r="B1053" s="6" t="s">
        <v>2300</v>
      </c>
      <c r="C1053" s="6" t="s">
        <v>131</v>
      </c>
      <c r="D1053" s="6" t="s">
        <v>152</v>
      </c>
      <c r="E1053" s="6" t="s">
        <v>195</v>
      </c>
      <c r="F1053" s="13" t="n">
        <v>45693</v>
      </c>
      <c r="G1053" s="13" t="n">
        <v>45755</v>
      </c>
      <c r="H1053" s="14" t="n">
        <v>128907.07</v>
      </c>
      <c r="I1053" s="6" t="n">
        <v>0</v>
      </c>
      <c r="J1053" s="6" t="n">
        <v>646</v>
      </c>
      <c r="K1053" s="6" t="s">
        <v>160</v>
      </c>
      <c r="L1053" s="14" t="n">
        <v>29889.93</v>
      </c>
      <c r="M1053" s="22" t="n">
        <v>1.098</v>
      </c>
      <c r="N1053" s="14" t="n">
        <v>32819.14</v>
      </c>
      <c r="O1053" s="14" t="n">
        <v>2929.21</v>
      </c>
      <c r="P1053" s="21" t="n">
        <v>0.123</v>
      </c>
      <c r="Q1053" s="6" t="n">
        <v>62</v>
      </c>
      <c r="R1053" s="6" t="s">
        <v>161</v>
      </c>
      <c r="S1053" s="21" t="n">
        <v>1</v>
      </c>
      <c r="T1053" s="14" t="n">
        <v>32819.14</v>
      </c>
      <c r="U1053" s="6" t="s">
        <v>48</v>
      </c>
    </row>
    <row r="1054" customFormat="false" ht="15" hidden="false" customHeight="true" outlineLevel="0" collapsed="false">
      <c r="A1054" s="6" t="s">
        <v>2301</v>
      </c>
      <c r="B1054" s="6" t="s">
        <v>2302</v>
      </c>
      <c r="C1054" s="6" t="s">
        <v>112</v>
      </c>
      <c r="D1054" s="6" t="s">
        <v>164</v>
      </c>
      <c r="E1054" s="6" t="s">
        <v>254</v>
      </c>
      <c r="F1054" s="13" t="n">
        <v>45246</v>
      </c>
      <c r="G1054" s="13" t="n">
        <v>45306</v>
      </c>
      <c r="H1054" s="14" t="n">
        <v>34780.36</v>
      </c>
      <c r="I1054" s="6" t="n">
        <v>1</v>
      </c>
      <c r="J1054" s="6" t="n">
        <v>626</v>
      </c>
      <c r="K1054" s="6" t="s">
        <v>154</v>
      </c>
      <c r="L1054" s="14" t="n">
        <v>5361.21</v>
      </c>
      <c r="M1054" s="22" t="n">
        <v>1.193</v>
      </c>
      <c r="N1054" s="14" t="n">
        <v>6395.92</v>
      </c>
      <c r="O1054" s="14" t="n">
        <v>1034.71</v>
      </c>
      <c r="P1054" s="21" t="n">
        <v>0.106</v>
      </c>
      <c r="Q1054" s="6" t="n">
        <v>60</v>
      </c>
      <c r="R1054" s="6" t="s">
        <v>232</v>
      </c>
      <c r="S1054" s="21" t="n">
        <v>1</v>
      </c>
      <c r="T1054" s="14" t="n">
        <v>6395.92</v>
      </c>
      <c r="U1054" s="6" t="s">
        <v>33</v>
      </c>
    </row>
    <row r="1055" customFormat="false" ht="15" hidden="false" customHeight="true" outlineLevel="0" collapsed="false">
      <c r="A1055" s="6" t="s">
        <v>2303</v>
      </c>
      <c r="B1055" s="6" t="s">
        <v>2304</v>
      </c>
      <c r="C1055" s="6" t="s">
        <v>112</v>
      </c>
      <c r="D1055" s="6" t="s">
        <v>225</v>
      </c>
      <c r="E1055" s="6" t="s">
        <v>211</v>
      </c>
      <c r="F1055" s="13" t="n">
        <v>45952</v>
      </c>
      <c r="G1055" s="13" t="n">
        <v>46117</v>
      </c>
      <c r="H1055" s="14" t="n">
        <v>68645.8</v>
      </c>
      <c r="I1055" s="6" t="n">
        <v>1</v>
      </c>
      <c r="J1055" s="6" t="n">
        <v>549</v>
      </c>
      <c r="K1055" s="6" t="s">
        <v>160</v>
      </c>
      <c r="L1055" s="14" t="n">
        <v>18340.98</v>
      </c>
      <c r="M1055" s="22" t="n">
        <v>1.156</v>
      </c>
      <c r="N1055" s="14" t="n">
        <v>21202.17</v>
      </c>
      <c r="O1055" s="14" t="n">
        <v>2861.19</v>
      </c>
      <c r="P1055" s="21" t="n">
        <v>0.056</v>
      </c>
      <c r="Q1055" s="6" t="n">
        <v>165</v>
      </c>
      <c r="R1055" s="6" t="s">
        <v>155</v>
      </c>
      <c r="S1055" s="21" t="n">
        <v>0.869</v>
      </c>
      <c r="T1055" s="14" t="n">
        <v>18424.69</v>
      </c>
      <c r="U1055" s="6" t="s">
        <v>56</v>
      </c>
    </row>
    <row r="1056" customFormat="false" ht="15" hidden="false" customHeight="true" outlineLevel="0" collapsed="false">
      <c r="A1056" s="6" t="s">
        <v>2305</v>
      </c>
      <c r="B1056" s="6" t="s">
        <v>2306</v>
      </c>
      <c r="C1056" s="6" t="s">
        <v>112</v>
      </c>
      <c r="D1056" s="6" t="s">
        <v>172</v>
      </c>
      <c r="E1056" s="6" t="s">
        <v>299</v>
      </c>
      <c r="F1056" s="13" t="n">
        <v>46106</v>
      </c>
      <c r="G1056" s="13" t="n">
        <v>46184</v>
      </c>
      <c r="H1056" s="14" t="n">
        <v>179826.11</v>
      </c>
      <c r="I1056" s="6" t="n">
        <v>1</v>
      </c>
      <c r="J1056" s="6" t="n">
        <v>669</v>
      </c>
      <c r="K1056" s="6" t="s">
        <v>160</v>
      </c>
      <c r="L1056" s="14" t="n">
        <v>68887.52</v>
      </c>
      <c r="M1056" s="22" t="n">
        <v>1.169</v>
      </c>
      <c r="N1056" s="14" t="n">
        <v>80529.51</v>
      </c>
      <c r="O1056" s="14" t="n">
        <v>11641.99</v>
      </c>
      <c r="P1056" s="21" t="n">
        <v>0.171</v>
      </c>
      <c r="Q1056" s="6" t="n">
        <v>78</v>
      </c>
      <c r="R1056" s="6" t="s">
        <v>155</v>
      </c>
      <c r="S1056" s="21" t="n">
        <v>0.803</v>
      </c>
      <c r="T1056" s="14" t="n">
        <v>64665.2</v>
      </c>
      <c r="U1056" s="6" t="s">
        <v>61</v>
      </c>
    </row>
    <row r="1057" customFormat="false" ht="15" hidden="false" customHeight="true" outlineLevel="0" collapsed="false">
      <c r="A1057" s="6" t="s">
        <v>2307</v>
      </c>
      <c r="B1057" s="6" t="s">
        <v>2308</v>
      </c>
      <c r="C1057" s="6" t="s">
        <v>131</v>
      </c>
      <c r="D1057" s="6" t="s">
        <v>176</v>
      </c>
      <c r="E1057" s="6" t="s">
        <v>192</v>
      </c>
      <c r="F1057" s="13" t="n">
        <v>45234</v>
      </c>
      <c r="G1057" s="13" t="n">
        <v>45294</v>
      </c>
      <c r="H1057" s="14" t="n">
        <v>9148.81</v>
      </c>
      <c r="I1057" s="6" t="n">
        <v>0</v>
      </c>
      <c r="J1057" s="6" t="n">
        <v>579</v>
      </c>
      <c r="K1057" s="6" t="s">
        <v>160</v>
      </c>
      <c r="L1057" s="14" t="n">
        <v>2000</v>
      </c>
      <c r="M1057" s="22" t="n">
        <v>1.187</v>
      </c>
      <c r="N1057" s="14" t="n">
        <v>2374</v>
      </c>
      <c r="O1057" s="14" t="n">
        <v>374</v>
      </c>
      <c r="P1057" s="21" t="n">
        <v>0.151</v>
      </c>
      <c r="Q1057" s="6" t="n">
        <v>60</v>
      </c>
      <c r="R1057" s="6" t="s">
        <v>161</v>
      </c>
      <c r="S1057" s="21" t="n">
        <v>1</v>
      </c>
      <c r="T1057" s="14" t="n">
        <v>2374</v>
      </c>
      <c r="U1057" s="6" t="s">
        <v>33</v>
      </c>
    </row>
    <row r="1058" customFormat="false" ht="15" hidden="false" customHeight="true" outlineLevel="0" collapsed="false">
      <c r="A1058" s="6" t="s">
        <v>2309</v>
      </c>
      <c r="B1058" s="6" t="s">
        <v>2310</v>
      </c>
      <c r="C1058" s="6" t="s">
        <v>120</v>
      </c>
      <c r="D1058" s="6" t="s">
        <v>218</v>
      </c>
      <c r="E1058" s="6" t="s">
        <v>207</v>
      </c>
      <c r="F1058" s="13" t="n">
        <v>45617</v>
      </c>
      <c r="G1058" s="13" t="n">
        <v>45681</v>
      </c>
      <c r="H1058" s="14" t="n">
        <v>209883.04</v>
      </c>
      <c r="I1058" s="6" t="n">
        <v>1</v>
      </c>
      <c r="J1058" s="6" t="n">
        <v>580</v>
      </c>
      <c r="K1058" s="6" t="s">
        <v>160</v>
      </c>
      <c r="L1058" s="14" t="n">
        <v>63091.71</v>
      </c>
      <c r="M1058" s="22" t="n">
        <v>1.122</v>
      </c>
      <c r="N1058" s="14" t="n">
        <v>70788.9</v>
      </c>
      <c r="O1058" s="14" t="n">
        <v>7697.19</v>
      </c>
      <c r="P1058" s="21" t="n">
        <v>0.158</v>
      </c>
      <c r="Q1058" s="6" t="n">
        <v>64</v>
      </c>
      <c r="R1058" s="6" t="s">
        <v>155</v>
      </c>
      <c r="S1058" s="21" t="n">
        <v>0.915</v>
      </c>
      <c r="T1058" s="14" t="n">
        <v>64771.84</v>
      </c>
      <c r="U1058" s="6" t="s">
        <v>45</v>
      </c>
    </row>
    <row r="1059" customFormat="false" ht="15" hidden="false" customHeight="true" outlineLevel="0" collapsed="false">
      <c r="A1059" s="6" t="s">
        <v>2311</v>
      </c>
      <c r="B1059" s="6" t="s">
        <v>2312</v>
      </c>
      <c r="C1059" s="6" t="s">
        <v>112</v>
      </c>
      <c r="D1059" s="6" t="s">
        <v>172</v>
      </c>
      <c r="E1059" s="6" t="s">
        <v>219</v>
      </c>
      <c r="F1059" s="13" t="n">
        <v>45901</v>
      </c>
      <c r="G1059" s="13" t="n">
        <v>46006</v>
      </c>
      <c r="H1059" s="14" t="n">
        <v>69458.04</v>
      </c>
      <c r="I1059" s="6" t="n">
        <v>3</v>
      </c>
      <c r="J1059" s="6" t="n">
        <v>656</v>
      </c>
      <c r="K1059" s="6" t="s">
        <v>160</v>
      </c>
      <c r="L1059" s="14" t="n">
        <v>14522.65</v>
      </c>
      <c r="M1059" s="22" t="n">
        <v>1.276</v>
      </c>
      <c r="N1059" s="14" t="n">
        <v>18530.9</v>
      </c>
      <c r="O1059" s="14" t="n">
        <v>4008.25</v>
      </c>
      <c r="P1059" s="21" t="n">
        <v>0.076</v>
      </c>
      <c r="Q1059" s="6" t="n">
        <v>105</v>
      </c>
      <c r="R1059" s="6" t="s">
        <v>161</v>
      </c>
      <c r="S1059" s="21" t="n">
        <v>1</v>
      </c>
      <c r="T1059" s="14" t="n">
        <v>18530.9</v>
      </c>
      <c r="U1059" s="6" t="s">
        <v>55</v>
      </c>
    </row>
    <row r="1060" customFormat="false" ht="15" hidden="false" customHeight="true" outlineLevel="0" collapsed="false">
      <c r="A1060" s="6" t="s">
        <v>2313</v>
      </c>
      <c r="B1060" s="6" t="s">
        <v>2314</v>
      </c>
      <c r="C1060" s="6" t="s">
        <v>124</v>
      </c>
      <c r="D1060" s="6" t="s">
        <v>243</v>
      </c>
      <c r="E1060" s="6" t="s">
        <v>304</v>
      </c>
      <c r="F1060" s="13" t="n">
        <v>45870</v>
      </c>
      <c r="G1060" s="13" t="n">
        <v>45985</v>
      </c>
      <c r="H1060" s="14" t="n">
        <v>133571.09</v>
      </c>
      <c r="I1060" s="6" t="n">
        <v>2</v>
      </c>
      <c r="J1060" s="6" t="n">
        <v>594</v>
      </c>
      <c r="K1060" s="6" t="s">
        <v>154</v>
      </c>
      <c r="L1060" s="14" t="n">
        <v>41481.08</v>
      </c>
      <c r="M1060" s="22" t="n">
        <v>1.319</v>
      </c>
      <c r="N1060" s="14" t="n">
        <v>54713.54</v>
      </c>
      <c r="O1060" s="14" t="n">
        <v>13232.46</v>
      </c>
      <c r="P1060" s="21" t="n">
        <v>0.106</v>
      </c>
      <c r="Q1060" s="6" t="n">
        <v>115</v>
      </c>
      <c r="R1060" s="6" t="s">
        <v>155</v>
      </c>
      <c r="S1060" s="21" t="n">
        <v>0.775</v>
      </c>
      <c r="T1060" s="14" t="n">
        <v>42402.99</v>
      </c>
      <c r="U1060" s="6" t="s">
        <v>54</v>
      </c>
    </row>
    <row r="1061" customFormat="false" ht="15" hidden="false" customHeight="true" outlineLevel="0" collapsed="false">
      <c r="A1061" s="6" t="s">
        <v>2315</v>
      </c>
      <c r="B1061" s="6" t="s">
        <v>2316</v>
      </c>
      <c r="C1061" s="6" t="s">
        <v>112</v>
      </c>
      <c r="D1061" s="6" t="s">
        <v>225</v>
      </c>
      <c r="E1061" s="6" t="s">
        <v>189</v>
      </c>
      <c r="F1061" s="13" t="n">
        <v>44693</v>
      </c>
      <c r="G1061" s="13" t="n">
        <v>44773</v>
      </c>
      <c r="H1061" s="14" t="n">
        <v>211296.05</v>
      </c>
      <c r="I1061" s="6" t="n">
        <v>0</v>
      </c>
      <c r="J1061" s="6" t="n">
        <v>657</v>
      </c>
      <c r="K1061" s="6" t="s">
        <v>160</v>
      </c>
      <c r="L1061" s="14" t="n">
        <v>63078.66</v>
      </c>
      <c r="M1061" s="22" t="n">
        <v>1.236</v>
      </c>
      <c r="N1061" s="14" t="n">
        <v>77965.22</v>
      </c>
      <c r="O1061" s="14" t="n">
        <v>14886.56</v>
      </c>
      <c r="P1061" s="21" t="n">
        <v>0.138</v>
      </c>
      <c r="Q1061" s="6" t="n">
        <v>80</v>
      </c>
      <c r="R1061" s="6" t="s">
        <v>161</v>
      </c>
      <c r="S1061" s="21" t="n">
        <v>1</v>
      </c>
      <c r="T1061" s="14" t="n">
        <v>77965.22</v>
      </c>
      <c r="U1061" s="6" t="s">
        <v>15</v>
      </c>
    </row>
    <row r="1062" customFormat="false" ht="15" hidden="false" customHeight="true" outlineLevel="0" collapsed="false">
      <c r="A1062" s="6" t="s">
        <v>2317</v>
      </c>
      <c r="B1062" s="6" t="s">
        <v>2318</v>
      </c>
      <c r="C1062" s="6" t="s">
        <v>128</v>
      </c>
      <c r="D1062" s="6" t="s">
        <v>235</v>
      </c>
      <c r="E1062" s="6" t="s">
        <v>177</v>
      </c>
      <c r="F1062" s="13" t="n">
        <v>44757</v>
      </c>
      <c r="G1062" s="13" t="n">
        <v>44826</v>
      </c>
      <c r="H1062" s="14" t="n">
        <v>144847.48</v>
      </c>
      <c r="I1062" s="6" t="n">
        <v>5</v>
      </c>
      <c r="J1062" s="6" t="n">
        <v>507</v>
      </c>
      <c r="K1062" s="6" t="s">
        <v>154</v>
      </c>
      <c r="L1062" s="14" t="n">
        <v>35347.69</v>
      </c>
      <c r="M1062" s="22" t="n">
        <v>1.149</v>
      </c>
      <c r="N1062" s="14" t="n">
        <v>40614.5</v>
      </c>
      <c r="O1062" s="14" t="n">
        <v>5266.81</v>
      </c>
      <c r="P1062" s="21" t="n">
        <v>0.121</v>
      </c>
      <c r="Q1062" s="6" t="n">
        <v>69</v>
      </c>
      <c r="R1062" s="6" t="s">
        <v>155</v>
      </c>
      <c r="S1062" s="21" t="n">
        <v>0.807</v>
      </c>
      <c r="T1062" s="14" t="n">
        <v>32775.9</v>
      </c>
      <c r="U1062" s="6" t="s">
        <v>17</v>
      </c>
    </row>
    <row r="1063" customFormat="false" ht="15" hidden="false" customHeight="true" outlineLevel="0" collapsed="false">
      <c r="A1063" s="6" t="s">
        <v>2319</v>
      </c>
      <c r="B1063" s="6" t="s">
        <v>2320</v>
      </c>
      <c r="C1063" s="6" t="s">
        <v>116</v>
      </c>
      <c r="D1063" s="6" t="s">
        <v>152</v>
      </c>
      <c r="E1063" s="6" t="s">
        <v>326</v>
      </c>
      <c r="F1063" s="13" t="n">
        <v>45767</v>
      </c>
      <c r="G1063" s="13" t="n">
        <v>45847</v>
      </c>
      <c r="H1063" s="14" t="n">
        <v>129799.22</v>
      </c>
      <c r="I1063" s="6" t="n">
        <v>3</v>
      </c>
      <c r="J1063" s="6" t="n">
        <v>740</v>
      </c>
      <c r="K1063" s="6" t="s">
        <v>160</v>
      </c>
      <c r="L1063" s="14" t="n">
        <v>22824.52</v>
      </c>
      <c r="M1063" s="22" t="n">
        <v>1.281</v>
      </c>
      <c r="N1063" s="14" t="n">
        <v>29238.21</v>
      </c>
      <c r="O1063" s="14" t="n">
        <v>6413.69</v>
      </c>
      <c r="P1063" s="21" t="n">
        <v>0.084</v>
      </c>
      <c r="Q1063" s="6" t="n">
        <v>80</v>
      </c>
      <c r="R1063" s="6" t="s">
        <v>161</v>
      </c>
      <c r="S1063" s="21" t="n">
        <v>1</v>
      </c>
      <c r="T1063" s="14" t="n">
        <v>29238.21</v>
      </c>
      <c r="U1063" s="6" t="s">
        <v>50</v>
      </c>
    </row>
    <row r="1064" customFormat="false" ht="15" hidden="false" customHeight="true" outlineLevel="0" collapsed="false">
      <c r="A1064" s="6" t="s">
        <v>2321</v>
      </c>
      <c r="B1064" s="6" t="s">
        <v>2322</v>
      </c>
      <c r="C1064" s="6" t="s">
        <v>131</v>
      </c>
      <c r="D1064" s="6" t="s">
        <v>176</v>
      </c>
      <c r="E1064" s="6" t="s">
        <v>159</v>
      </c>
      <c r="F1064" s="13" t="n">
        <v>44854</v>
      </c>
      <c r="G1064" s="13" t="n">
        <v>44940</v>
      </c>
      <c r="H1064" s="14" t="n">
        <v>239049.41</v>
      </c>
      <c r="I1064" s="6" t="n">
        <v>1</v>
      </c>
      <c r="J1064" s="6" t="n">
        <v>521</v>
      </c>
      <c r="K1064" s="6" t="s">
        <v>154</v>
      </c>
      <c r="L1064" s="14" t="n">
        <v>75202.15</v>
      </c>
      <c r="M1064" s="22" t="n">
        <v>1.343</v>
      </c>
      <c r="N1064" s="14" t="n">
        <v>100996.49</v>
      </c>
      <c r="O1064" s="14" t="n">
        <v>25794.34</v>
      </c>
      <c r="P1064" s="21" t="n">
        <v>0.147</v>
      </c>
      <c r="Q1064" s="6" t="n">
        <v>86</v>
      </c>
      <c r="R1064" s="6" t="s">
        <v>161</v>
      </c>
      <c r="S1064" s="21" t="n">
        <v>1</v>
      </c>
      <c r="T1064" s="14" t="n">
        <v>100996.49</v>
      </c>
      <c r="U1064" s="6" t="s">
        <v>20</v>
      </c>
    </row>
    <row r="1065" customFormat="false" ht="15" hidden="false" customHeight="true" outlineLevel="0" collapsed="false">
      <c r="A1065" s="6" t="s">
        <v>2323</v>
      </c>
      <c r="B1065" s="6" t="s">
        <v>2324</v>
      </c>
      <c r="C1065" s="6" t="s">
        <v>112</v>
      </c>
      <c r="D1065" s="6" t="s">
        <v>188</v>
      </c>
      <c r="E1065" s="6" t="s">
        <v>165</v>
      </c>
      <c r="F1065" s="13" t="n">
        <v>46009</v>
      </c>
      <c r="G1065" s="13" t="n">
        <v>46102</v>
      </c>
      <c r="H1065" s="14" t="n">
        <v>212906.83</v>
      </c>
      <c r="I1065" s="6" t="n">
        <v>1</v>
      </c>
      <c r="J1065" s="6" t="n">
        <v>547</v>
      </c>
      <c r="K1065" s="6" t="s">
        <v>154</v>
      </c>
      <c r="L1065" s="14" t="n">
        <v>63023.41</v>
      </c>
      <c r="M1065" s="22" t="n">
        <v>1.318</v>
      </c>
      <c r="N1065" s="14" t="n">
        <v>83064.85</v>
      </c>
      <c r="O1065" s="14" t="n">
        <v>20041.44</v>
      </c>
      <c r="P1065" s="21" t="n">
        <v>0.125</v>
      </c>
      <c r="Q1065" s="6" t="n">
        <v>93</v>
      </c>
      <c r="R1065" s="6" t="s">
        <v>309</v>
      </c>
      <c r="S1065" s="21" t="n">
        <v>0.308</v>
      </c>
      <c r="T1065" s="14" t="n">
        <v>25583.97</v>
      </c>
      <c r="U1065" s="6" t="s">
        <v>58</v>
      </c>
    </row>
    <row r="1066" customFormat="false" ht="15" hidden="false" customHeight="true" outlineLevel="0" collapsed="false">
      <c r="A1066" s="6" t="s">
        <v>2325</v>
      </c>
      <c r="B1066" s="6" t="s">
        <v>2326</v>
      </c>
      <c r="C1066" s="6" t="s">
        <v>131</v>
      </c>
      <c r="D1066" s="6" t="s">
        <v>200</v>
      </c>
      <c r="E1066" s="6" t="s">
        <v>288</v>
      </c>
      <c r="F1066" s="13" t="n">
        <v>45395</v>
      </c>
      <c r="G1066" s="13" t="n">
        <v>45455</v>
      </c>
      <c r="H1066" s="14" t="n">
        <v>145811.7</v>
      </c>
      <c r="I1066" s="6" t="n">
        <v>1</v>
      </c>
      <c r="J1066" s="6" t="n">
        <v>508</v>
      </c>
      <c r="K1066" s="6" t="s">
        <v>160</v>
      </c>
      <c r="L1066" s="14" t="n">
        <v>23619.4</v>
      </c>
      <c r="M1066" s="22" t="n">
        <v>1.107</v>
      </c>
      <c r="N1066" s="14" t="n">
        <v>26146.68</v>
      </c>
      <c r="O1066" s="14" t="n">
        <v>2527.28</v>
      </c>
      <c r="P1066" s="21" t="n">
        <v>0.168</v>
      </c>
      <c r="Q1066" s="6" t="n">
        <v>60</v>
      </c>
      <c r="R1066" s="6" t="s">
        <v>161</v>
      </c>
      <c r="S1066" s="21" t="n">
        <v>1</v>
      </c>
      <c r="T1066" s="14" t="n">
        <v>26146.68</v>
      </c>
      <c r="U1066" s="6" t="s">
        <v>38</v>
      </c>
    </row>
    <row r="1067" customFormat="false" ht="15" hidden="false" customHeight="true" outlineLevel="0" collapsed="false">
      <c r="A1067" s="6" t="s">
        <v>2327</v>
      </c>
      <c r="B1067" s="6" t="s">
        <v>2328</v>
      </c>
      <c r="C1067" s="6" t="s">
        <v>128</v>
      </c>
      <c r="D1067" s="6" t="s">
        <v>172</v>
      </c>
      <c r="E1067" s="6" t="s">
        <v>201</v>
      </c>
      <c r="F1067" s="13" t="n">
        <v>45519</v>
      </c>
      <c r="G1067" s="13" t="n">
        <v>45579</v>
      </c>
      <c r="H1067" s="14" t="n">
        <v>131486.57</v>
      </c>
      <c r="I1067" s="6" t="n">
        <v>5</v>
      </c>
      <c r="J1067" s="6" t="n">
        <v>587</v>
      </c>
      <c r="K1067" s="6" t="s">
        <v>185</v>
      </c>
      <c r="L1067" s="14" t="n">
        <v>16390.35</v>
      </c>
      <c r="M1067" s="22" t="n">
        <v>1.303</v>
      </c>
      <c r="N1067" s="14" t="n">
        <v>21356.63</v>
      </c>
      <c r="O1067" s="14" t="n">
        <v>4966.28</v>
      </c>
      <c r="P1067" s="21" t="n">
        <v>0.1</v>
      </c>
      <c r="Q1067" s="6" t="n">
        <v>60</v>
      </c>
      <c r="R1067" s="6" t="s">
        <v>490</v>
      </c>
      <c r="S1067" s="21" t="n">
        <v>0.482</v>
      </c>
      <c r="T1067" s="14" t="n">
        <v>10293.9</v>
      </c>
      <c r="U1067" s="6" t="s">
        <v>42</v>
      </c>
    </row>
    <row r="1068" customFormat="false" ht="15" hidden="false" customHeight="true" outlineLevel="0" collapsed="false">
      <c r="A1068" s="6" t="s">
        <v>2329</v>
      </c>
      <c r="B1068" s="6" t="s">
        <v>2330</v>
      </c>
      <c r="C1068" s="6" t="s">
        <v>124</v>
      </c>
      <c r="D1068" s="6" t="s">
        <v>238</v>
      </c>
      <c r="E1068" s="6" t="s">
        <v>219</v>
      </c>
      <c r="F1068" s="13" t="n">
        <v>45223</v>
      </c>
      <c r="G1068" s="13" t="n">
        <v>45352</v>
      </c>
      <c r="H1068" s="14" t="n">
        <v>217363.27</v>
      </c>
      <c r="I1068" s="6" t="n">
        <v>0</v>
      </c>
      <c r="J1068" s="6" t="n">
        <v>747</v>
      </c>
      <c r="K1068" s="6" t="s">
        <v>154</v>
      </c>
      <c r="L1068" s="14" t="n">
        <v>84732.13</v>
      </c>
      <c r="M1068" s="22" t="n">
        <v>1.184</v>
      </c>
      <c r="N1068" s="14" t="n">
        <v>100322.84</v>
      </c>
      <c r="O1068" s="14" t="n">
        <v>15590.71</v>
      </c>
      <c r="P1068" s="21" t="n">
        <v>0.107</v>
      </c>
      <c r="Q1068" s="6" t="n">
        <v>129</v>
      </c>
      <c r="R1068" s="6" t="s">
        <v>161</v>
      </c>
      <c r="S1068" s="21" t="n">
        <v>1</v>
      </c>
      <c r="T1068" s="14" t="n">
        <v>100322.84</v>
      </c>
      <c r="U1068" s="6" t="s">
        <v>32</v>
      </c>
    </row>
    <row r="1069" customFormat="false" ht="15" hidden="false" customHeight="true" outlineLevel="0" collapsed="false">
      <c r="A1069" s="6" t="s">
        <v>2331</v>
      </c>
      <c r="B1069" s="6" t="s">
        <v>2332</v>
      </c>
      <c r="C1069" s="6" t="s">
        <v>128</v>
      </c>
      <c r="D1069" s="6" t="s">
        <v>172</v>
      </c>
      <c r="E1069" s="6" t="s">
        <v>201</v>
      </c>
      <c r="F1069" s="13" t="n">
        <v>45169</v>
      </c>
      <c r="G1069" s="13" t="n">
        <v>45302</v>
      </c>
      <c r="H1069" s="14" t="n">
        <v>117646.33</v>
      </c>
      <c r="I1069" s="6" t="n">
        <v>0</v>
      </c>
      <c r="J1069" s="6" t="n">
        <v>572</v>
      </c>
      <c r="K1069" s="6" t="s">
        <v>185</v>
      </c>
      <c r="L1069" s="14" t="n">
        <v>48735.63</v>
      </c>
      <c r="M1069" s="22" t="n">
        <v>1.326</v>
      </c>
      <c r="N1069" s="14" t="n">
        <v>64623.45</v>
      </c>
      <c r="O1069" s="14" t="n">
        <v>15887.82</v>
      </c>
      <c r="P1069" s="21" t="n">
        <v>0.123</v>
      </c>
      <c r="Q1069" s="6" t="n">
        <v>133</v>
      </c>
      <c r="R1069" s="6" t="s">
        <v>161</v>
      </c>
      <c r="S1069" s="21" t="n">
        <v>1</v>
      </c>
      <c r="T1069" s="14" t="n">
        <v>64623.45</v>
      </c>
      <c r="U1069" s="6" t="s">
        <v>30</v>
      </c>
    </row>
    <row r="1070" customFormat="false" ht="15" hidden="false" customHeight="true" outlineLevel="0" collapsed="false">
      <c r="A1070" s="6" t="s">
        <v>2333</v>
      </c>
      <c r="B1070" s="6" t="s">
        <v>2334</v>
      </c>
      <c r="C1070" s="6" t="s">
        <v>116</v>
      </c>
      <c r="D1070" s="6" t="s">
        <v>222</v>
      </c>
      <c r="E1070" s="6" t="s">
        <v>177</v>
      </c>
      <c r="F1070" s="13" t="n">
        <v>45628</v>
      </c>
      <c r="G1070" s="13" t="n">
        <v>45774</v>
      </c>
      <c r="H1070" s="14" t="n">
        <v>23223.88</v>
      </c>
      <c r="I1070" s="6" t="n">
        <v>0</v>
      </c>
      <c r="J1070" s="6" t="n">
        <v>756</v>
      </c>
      <c r="K1070" s="6" t="s">
        <v>185</v>
      </c>
      <c r="L1070" s="14" t="n">
        <v>6551.75</v>
      </c>
      <c r="M1070" s="22" t="n">
        <v>1.314</v>
      </c>
      <c r="N1070" s="14" t="n">
        <v>8609</v>
      </c>
      <c r="O1070" s="14" t="n">
        <v>2057.25</v>
      </c>
      <c r="P1070" s="21" t="n">
        <v>0.076</v>
      </c>
      <c r="Q1070" s="6" t="n">
        <v>146</v>
      </c>
      <c r="R1070" s="6" t="s">
        <v>155</v>
      </c>
      <c r="S1070" s="21" t="n">
        <v>0.817</v>
      </c>
      <c r="T1070" s="14" t="n">
        <v>7033.55</v>
      </c>
      <c r="U1070" s="6" t="s">
        <v>46</v>
      </c>
    </row>
    <row r="1071" customFormat="false" ht="15" hidden="false" customHeight="true" outlineLevel="0" collapsed="false">
      <c r="A1071" s="6" t="s">
        <v>2335</v>
      </c>
      <c r="B1071" s="6" t="s">
        <v>2336</v>
      </c>
      <c r="C1071" s="6" t="s">
        <v>128</v>
      </c>
      <c r="D1071" s="6" t="s">
        <v>401</v>
      </c>
      <c r="E1071" s="6" t="s">
        <v>207</v>
      </c>
      <c r="F1071" s="13" t="n">
        <v>46127</v>
      </c>
      <c r="G1071" s="13" t="n">
        <v>46191</v>
      </c>
      <c r="H1071" s="14" t="n">
        <v>18541.57</v>
      </c>
      <c r="I1071" s="6" t="n">
        <v>3</v>
      </c>
      <c r="J1071" s="6" t="n">
        <v>692</v>
      </c>
      <c r="K1071" s="6" t="s">
        <v>160</v>
      </c>
      <c r="L1071" s="14" t="n">
        <v>3633.23</v>
      </c>
      <c r="M1071" s="22" t="n">
        <v>1.336</v>
      </c>
      <c r="N1071" s="14" t="n">
        <v>4854</v>
      </c>
      <c r="O1071" s="14" t="n">
        <v>1220.77</v>
      </c>
      <c r="P1071" s="21" t="n">
        <v>0.122</v>
      </c>
      <c r="Q1071" s="6" t="n">
        <v>64</v>
      </c>
      <c r="R1071" s="6" t="s">
        <v>155</v>
      </c>
      <c r="S1071" s="21" t="n">
        <v>0.927</v>
      </c>
      <c r="T1071" s="14" t="n">
        <v>4499.66</v>
      </c>
      <c r="U1071" s="6" t="s">
        <v>62</v>
      </c>
    </row>
    <row r="1072" customFormat="false" ht="15" hidden="false" customHeight="true" outlineLevel="0" collapsed="false">
      <c r="A1072" s="6" t="s">
        <v>2337</v>
      </c>
      <c r="B1072" s="6" t="s">
        <v>2338</v>
      </c>
      <c r="C1072" s="6" t="s">
        <v>128</v>
      </c>
      <c r="D1072" s="6" t="s">
        <v>172</v>
      </c>
      <c r="E1072" s="6" t="s">
        <v>326</v>
      </c>
      <c r="F1072" s="13" t="n">
        <v>46040</v>
      </c>
      <c r="G1072" s="13" t="n">
        <v>46125</v>
      </c>
      <c r="H1072" s="14" t="n">
        <v>37218.65</v>
      </c>
      <c r="I1072" s="6" t="n">
        <v>0</v>
      </c>
      <c r="J1072" s="6" t="n">
        <v>569</v>
      </c>
      <c r="K1072" s="6" t="s">
        <v>154</v>
      </c>
      <c r="L1072" s="14" t="n">
        <v>5263.83</v>
      </c>
      <c r="M1072" s="22" t="n">
        <v>1.306</v>
      </c>
      <c r="N1072" s="14" t="n">
        <v>6874.56</v>
      </c>
      <c r="O1072" s="14" t="n">
        <v>1610.73</v>
      </c>
      <c r="P1072" s="21" t="n">
        <v>0.065</v>
      </c>
      <c r="Q1072" s="6" t="n">
        <v>85</v>
      </c>
      <c r="R1072" s="6" t="s">
        <v>155</v>
      </c>
      <c r="S1072" s="21" t="n">
        <v>0.819</v>
      </c>
      <c r="T1072" s="14" t="n">
        <v>5630.26</v>
      </c>
      <c r="U1072" s="6" t="s">
        <v>59</v>
      </c>
    </row>
    <row r="1073" customFormat="false" ht="15" hidden="false" customHeight="true" outlineLevel="0" collapsed="false">
      <c r="A1073" s="6" t="s">
        <v>2339</v>
      </c>
      <c r="B1073" s="6" t="s">
        <v>2340</v>
      </c>
      <c r="C1073" s="6" t="s">
        <v>124</v>
      </c>
      <c r="D1073" s="6" t="s">
        <v>168</v>
      </c>
      <c r="E1073" s="6" t="s">
        <v>207</v>
      </c>
      <c r="F1073" s="13" t="n">
        <v>45498</v>
      </c>
      <c r="G1073" s="13" t="n">
        <v>45662</v>
      </c>
      <c r="H1073" s="14" t="n">
        <v>42893.17</v>
      </c>
      <c r="I1073" s="6" t="n">
        <v>0</v>
      </c>
      <c r="J1073" s="6" t="n">
        <v>726</v>
      </c>
      <c r="K1073" s="6" t="s">
        <v>160</v>
      </c>
      <c r="L1073" s="14" t="n">
        <v>14028.24</v>
      </c>
      <c r="M1073" s="22" t="n">
        <v>1.187</v>
      </c>
      <c r="N1073" s="14" t="n">
        <v>16651.52</v>
      </c>
      <c r="O1073" s="14" t="n">
        <v>2623.28</v>
      </c>
      <c r="P1073" s="21" t="n">
        <v>0.071</v>
      </c>
      <c r="Q1073" s="6" t="n">
        <v>164</v>
      </c>
      <c r="R1073" s="6" t="s">
        <v>155</v>
      </c>
      <c r="S1073" s="21" t="n">
        <v>0.794</v>
      </c>
      <c r="T1073" s="14" t="n">
        <v>13221.31</v>
      </c>
      <c r="U1073" s="6" t="s">
        <v>41</v>
      </c>
    </row>
    <row r="1074" customFormat="false" ht="15" hidden="false" customHeight="true" outlineLevel="0" collapsed="false">
      <c r="A1074" s="6" t="s">
        <v>2341</v>
      </c>
      <c r="B1074" s="6" t="s">
        <v>2342</v>
      </c>
      <c r="C1074" s="6" t="s">
        <v>116</v>
      </c>
      <c r="D1074" s="6" t="s">
        <v>152</v>
      </c>
      <c r="E1074" s="6" t="s">
        <v>211</v>
      </c>
      <c r="F1074" s="13" t="n">
        <v>45007</v>
      </c>
      <c r="G1074" s="13" t="n">
        <v>45092</v>
      </c>
      <c r="H1074" s="14" t="n">
        <v>249074.46</v>
      </c>
      <c r="I1074" s="6" t="n">
        <v>5</v>
      </c>
      <c r="J1074" s="6" t="n">
        <v>786</v>
      </c>
      <c r="K1074" s="6" t="s">
        <v>185</v>
      </c>
      <c r="L1074" s="14" t="n">
        <v>39701.29</v>
      </c>
      <c r="M1074" s="22" t="n">
        <v>1.13</v>
      </c>
      <c r="N1074" s="14" t="n">
        <v>44862.46</v>
      </c>
      <c r="O1074" s="14" t="n">
        <v>5161.17</v>
      </c>
      <c r="P1074" s="21" t="n">
        <v>0.063</v>
      </c>
      <c r="Q1074" s="6" t="n">
        <v>85</v>
      </c>
      <c r="R1074" s="6" t="s">
        <v>161</v>
      </c>
      <c r="S1074" s="21" t="n">
        <v>1</v>
      </c>
      <c r="T1074" s="14" t="n">
        <v>44862.46</v>
      </c>
      <c r="U1074" s="6" t="s">
        <v>25</v>
      </c>
    </row>
    <row r="1075" customFormat="false" ht="15" hidden="false" customHeight="true" outlineLevel="0" collapsed="false">
      <c r="A1075" s="6" t="s">
        <v>2343</v>
      </c>
      <c r="B1075" s="6" t="s">
        <v>2344</v>
      </c>
      <c r="C1075" s="6" t="s">
        <v>116</v>
      </c>
      <c r="D1075" s="6" t="s">
        <v>206</v>
      </c>
      <c r="E1075" s="6" t="s">
        <v>211</v>
      </c>
      <c r="F1075" s="13" t="n">
        <v>45817</v>
      </c>
      <c r="G1075" s="13" t="n">
        <v>45890</v>
      </c>
      <c r="H1075" s="14" t="n">
        <v>132619.88</v>
      </c>
      <c r="I1075" s="6" t="n">
        <v>1</v>
      </c>
      <c r="J1075" s="6" t="n">
        <v>675</v>
      </c>
      <c r="K1075" s="6" t="s">
        <v>154</v>
      </c>
      <c r="L1075" s="14" t="n">
        <v>25711.73</v>
      </c>
      <c r="M1075" s="22" t="n">
        <v>1.245</v>
      </c>
      <c r="N1075" s="14" t="n">
        <v>32011.1</v>
      </c>
      <c r="O1075" s="14" t="n">
        <v>6299.37</v>
      </c>
      <c r="P1075" s="21" t="n">
        <v>0.098</v>
      </c>
      <c r="Q1075" s="6" t="n">
        <v>73</v>
      </c>
      <c r="R1075" s="6" t="s">
        <v>155</v>
      </c>
      <c r="S1075" s="21" t="n">
        <v>0.83</v>
      </c>
      <c r="T1075" s="14" t="n">
        <v>26569.21</v>
      </c>
      <c r="U1075" s="6" t="s">
        <v>52</v>
      </c>
    </row>
    <row r="1076" customFormat="false" ht="15" hidden="false" customHeight="true" outlineLevel="0" collapsed="false">
      <c r="A1076" s="6" t="s">
        <v>2345</v>
      </c>
      <c r="B1076" s="6" t="s">
        <v>2346</v>
      </c>
      <c r="C1076" s="6" t="s">
        <v>128</v>
      </c>
      <c r="D1076" s="6" t="s">
        <v>401</v>
      </c>
      <c r="E1076" s="6" t="s">
        <v>304</v>
      </c>
      <c r="F1076" s="13" t="n">
        <v>45950</v>
      </c>
      <c r="G1076" s="13" t="n">
        <v>46039</v>
      </c>
      <c r="H1076" s="14" t="n">
        <v>46961.81</v>
      </c>
      <c r="I1076" s="6" t="n">
        <v>5</v>
      </c>
      <c r="J1076" s="6" t="n">
        <v>797</v>
      </c>
      <c r="K1076" s="6" t="s">
        <v>160</v>
      </c>
      <c r="L1076" s="14" t="n">
        <v>12261.75</v>
      </c>
      <c r="M1076" s="22" t="n">
        <v>1.312</v>
      </c>
      <c r="N1076" s="14" t="n">
        <v>16087.42</v>
      </c>
      <c r="O1076" s="14" t="n">
        <v>3825.67</v>
      </c>
      <c r="P1076" s="21" t="n">
        <v>0.115</v>
      </c>
      <c r="Q1076" s="6" t="n">
        <v>89</v>
      </c>
      <c r="R1076" s="6" t="s">
        <v>232</v>
      </c>
      <c r="S1076" s="21" t="n">
        <v>1</v>
      </c>
      <c r="T1076" s="14" t="n">
        <v>16087.42</v>
      </c>
      <c r="U1076" s="6" t="s">
        <v>56</v>
      </c>
    </row>
    <row r="1077" customFormat="false" ht="15" hidden="false" customHeight="true" outlineLevel="0" collapsed="false">
      <c r="A1077" s="6" t="s">
        <v>2347</v>
      </c>
      <c r="B1077" s="6" t="s">
        <v>2348</v>
      </c>
      <c r="C1077" s="6" t="s">
        <v>116</v>
      </c>
      <c r="D1077" s="6" t="s">
        <v>152</v>
      </c>
      <c r="E1077" s="6" t="s">
        <v>195</v>
      </c>
      <c r="F1077" s="13" t="n">
        <v>45426</v>
      </c>
      <c r="G1077" s="13" t="n">
        <v>45534</v>
      </c>
      <c r="H1077" s="14" t="n">
        <v>208129.9</v>
      </c>
      <c r="I1077" s="6" t="n">
        <v>1</v>
      </c>
      <c r="J1077" s="6" t="n">
        <v>712</v>
      </c>
      <c r="K1077" s="6" t="s">
        <v>185</v>
      </c>
      <c r="L1077" s="14" t="n">
        <v>99315.14</v>
      </c>
      <c r="M1077" s="22" t="n">
        <v>1.252</v>
      </c>
      <c r="N1077" s="14" t="n">
        <v>124342.56</v>
      </c>
      <c r="O1077" s="14" t="n">
        <v>25027.42</v>
      </c>
      <c r="P1077" s="21" t="n">
        <v>0.165</v>
      </c>
      <c r="Q1077" s="6" t="n">
        <v>108</v>
      </c>
      <c r="R1077" s="6" t="s">
        <v>161</v>
      </c>
      <c r="S1077" s="21" t="n">
        <v>1</v>
      </c>
      <c r="T1077" s="14" t="n">
        <v>124342.56</v>
      </c>
      <c r="U1077" s="6" t="s">
        <v>39</v>
      </c>
    </row>
    <row r="1078" customFormat="false" ht="15" hidden="false" customHeight="true" outlineLevel="0" collapsed="false">
      <c r="A1078" s="6" t="s">
        <v>2349</v>
      </c>
      <c r="B1078" s="6" t="s">
        <v>2350</v>
      </c>
      <c r="C1078" s="6" t="s">
        <v>116</v>
      </c>
      <c r="D1078" s="6" t="s">
        <v>206</v>
      </c>
      <c r="E1078" s="6" t="s">
        <v>254</v>
      </c>
      <c r="F1078" s="13" t="n">
        <v>45475</v>
      </c>
      <c r="G1078" s="13" t="n">
        <v>45596</v>
      </c>
      <c r="H1078" s="14" t="n">
        <v>40411.65</v>
      </c>
      <c r="I1078" s="6" t="n">
        <v>0</v>
      </c>
      <c r="J1078" s="6" t="n">
        <v>783</v>
      </c>
      <c r="K1078" s="6" t="s">
        <v>185</v>
      </c>
      <c r="L1078" s="14" t="n">
        <v>11296.1</v>
      </c>
      <c r="M1078" s="22" t="n">
        <v>1.203</v>
      </c>
      <c r="N1078" s="14" t="n">
        <v>13589.21</v>
      </c>
      <c r="O1078" s="14" t="n">
        <v>2293.11</v>
      </c>
      <c r="P1078" s="21" t="n">
        <v>0.083</v>
      </c>
      <c r="Q1078" s="6" t="n">
        <v>121</v>
      </c>
      <c r="R1078" s="6" t="s">
        <v>161</v>
      </c>
      <c r="S1078" s="21" t="n">
        <v>1</v>
      </c>
      <c r="T1078" s="14" t="n">
        <v>13589.21</v>
      </c>
      <c r="U1078" s="6" t="s">
        <v>41</v>
      </c>
    </row>
    <row r="1079" customFormat="false" ht="15" hidden="false" customHeight="true" outlineLevel="0" collapsed="false">
      <c r="A1079" s="6" t="s">
        <v>2351</v>
      </c>
      <c r="B1079" s="6" t="s">
        <v>2352</v>
      </c>
      <c r="C1079" s="6" t="s">
        <v>112</v>
      </c>
      <c r="D1079" s="6" t="s">
        <v>164</v>
      </c>
      <c r="E1079" s="6" t="s">
        <v>184</v>
      </c>
      <c r="F1079" s="13" t="n">
        <v>45534</v>
      </c>
      <c r="G1079" s="13" t="n">
        <v>45605</v>
      </c>
      <c r="H1079" s="14" t="n">
        <v>88156.6</v>
      </c>
      <c r="I1079" s="6" t="n">
        <v>2</v>
      </c>
      <c r="J1079" s="6" t="n">
        <v>721</v>
      </c>
      <c r="K1079" s="6" t="s">
        <v>160</v>
      </c>
      <c r="L1079" s="14" t="n">
        <v>18230.27</v>
      </c>
      <c r="M1079" s="22" t="n">
        <v>1.24</v>
      </c>
      <c r="N1079" s="14" t="n">
        <v>22605.53</v>
      </c>
      <c r="O1079" s="14" t="n">
        <v>4375.26</v>
      </c>
      <c r="P1079" s="21" t="n">
        <v>0.108</v>
      </c>
      <c r="Q1079" s="6" t="n">
        <v>71</v>
      </c>
      <c r="R1079" s="6" t="s">
        <v>155</v>
      </c>
      <c r="S1079" s="21" t="n">
        <v>0.834</v>
      </c>
      <c r="T1079" s="14" t="n">
        <v>18853.01</v>
      </c>
      <c r="U1079" s="6" t="s">
        <v>42</v>
      </c>
    </row>
    <row r="1080" customFormat="false" ht="15" hidden="false" customHeight="true" outlineLevel="0" collapsed="false">
      <c r="A1080" s="6" t="s">
        <v>2353</v>
      </c>
      <c r="B1080" s="6" t="s">
        <v>2354</v>
      </c>
      <c r="C1080" s="6" t="s">
        <v>124</v>
      </c>
      <c r="D1080" s="6" t="s">
        <v>243</v>
      </c>
      <c r="E1080" s="6" t="s">
        <v>169</v>
      </c>
      <c r="F1080" s="13" t="n">
        <v>45737</v>
      </c>
      <c r="G1080" s="13" t="n">
        <v>45888</v>
      </c>
      <c r="H1080" s="14" t="n">
        <v>248466.73</v>
      </c>
      <c r="I1080" s="6" t="n">
        <v>1</v>
      </c>
      <c r="J1080" s="6" t="n">
        <v>752</v>
      </c>
      <c r="K1080" s="6" t="s">
        <v>160</v>
      </c>
      <c r="L1080" s="14" t="n">
        <v>89945.83</v>
      </c>
      <c r="M1080" s="22" t="n">
        <v>1.101</v>
      </c>
      <c r="N1080" s="14" t="n">
        <v>99030.36</v>
      </c>
      <c r="O1080" s="14" t="n">
        <v>9084.53</v>
      </c>
      <c r="P1080" s="21" t="n">
        <v>0.079</v>
      </c>
      <c r="Q1080" s="6" t="n">
        <v>151</v>
      </c>
      <c r="R1080" s="6" t="s">
        <v>161</v>
      </c>
      <c r="S1080" s="21" t="n">
        <v>1</v>
      </c>
      <c r="T1080" s="14" t="n">
        <v>99030.36</v>
      </c>
      <c r="U1080" s="6" t="s">
        <v>49</v>
      </c>
    </row>
    <row r="1081" customFormat="false" ht="15" hidden="false" customHeight="true" outlineLevel="0" collapsed="false">
      <c r="A1081" s="6" t="s">
        <v>2355</v>
      </c>
      <c r="B1081" s="6" t="s">
        <v>2356</v>
      </c>
      <c r="C1081" s="6" t="s">
        <v>131</v>
      </c>
      <c r="D1081" s="6" t="s">
        <v>176</v>
      </c>
      <c r="E1081" s="6" t="s">
        <v>195</v>
      </c>
      <c r="F1081" s="13" t="n">
        <v>44935</v>
      </c>
      <c r="G1081" s="13" t="n">
        <v>45079</v>
      </c>
      <c r="H1081" s="14" t="n">
        <v>13624.4</v>
      </c>
      <c r="I1081" s="6" t="n">
        <v>0</v>
      </c>
      <c r="J1081" s="6" t="n">
        <v>738</v>
      </c>
      <c r="K1081" s="6" t="s">
        <v>160</v>
      </c>
      <c r="L1081" s="14" t="n">
        <v>3197.99</v>
      </c>
      <c r="M1081" s="22" t="n">
        <v>1.192</v>
      </c>
      <c r="N1081" s="14" t="n">
        <v>3812</v>
      </c>
      <c r="O1081" s="14" t="n">
        <v>614.01</v>
      </c>
      <c r="P1081" s="21" t="n">
        <v>0.058</v>
      </c>
      <c r="Q1081" s="6" t="n">
        <v>144</v>
      </c>
      <c r="R1081" s="6" t="s">
        <v>161</v>
      </c>
      <c r="S1081" s="21" t="n">
        <v>1</v>
      </c>
      <c r="T1081" s="14" t="n">
        <v>3812</v>
      </c>
      <c r="U1081" s="6" t="s">
        <v>23</v>
      </c>
    </row>
    <row r="1082" customFormat="false" ht="15" hidden="false" customHeight="true" outlineLevel="0" collapsed="false">
      <c r="A1082" s="6" t="s">
        <v>2357</v>
      </c>
      <c r="B1082" s="6" t="s">
        <v>2358</v>
      </c>
      <c r="C1082" s="6" t="s">
        <v>124</v>
      </c>
      <c r="D1082" s="6" t="s">
        <v>180</v>
      </c>
      <c r="E1082" s="6" t="s">
        <v>254</v>
      </c>
      <c r="F1082" s="13" t="n">
        <v>44880</v>
      </c>
      <c r="G1082" s="13" t="n">
        <v>44980</v>
      </c>
      <c r="H1082" s="14" t="n">
        <v>157835.92</v>
      </c>
      <c r="I1082" s="6" t="n">
        <v>3</v>
      </c>
      <c r="J1082" s="6" t="n">
        <v>563</v>
      </c>
      <c r="K1082" s="6" t="s">
        <v>154</v>
      </c>
      <c r="L1082" s="14" t="n">
        <v>55321.61</v>
      </c>
      <c r="M1082" s="22" t="n">
        <v>1.203</v>
      </c>
      <c r="N1082" s="14" t="n">
        <v>66551.9</v>
      </c>
      <c r="O1082" s="14" t="n">
        <v>11230.29</v>
      </c>
      <c r="P1082" s="21" t="n">
        <v>0.126</v>
      </c>
      <c r="Q1082" s="6" t="n">
        <v>100</v>
      </c>
      <c r="R1082" s="6" t="s">
        <v>309</v>
      </c>
      <c r="S1082" s="21" t="n">
        <v>0.085</v>
      </c>
      <c r="T1082" s="14" t="n">
        <v>5656.91</v>
      </c>
      <c r="U1082" s="6" t="s">
        <v>21</v>
      </c>
    </row>
    <row r="1083" customFormat="false" ht="15" hidden="false" customHeight="true" outlineLevel="0" collapsed="false">
      <c r="A1083" s="6" t="s">
        <v>2359</v>
      </c>
      <c r="B1083" s="6" t="s">
        <v>2360</v>
      </c>
      <c r="C1083" s="6" t="s">
        <v>120</v>
      </c>
      <c r="D1083" s="6" t="s">
        <v>218</v>
      </c>
      <c r="E1083" s="6" t="s">
        <v>159</v>
      </c>
      <c r="F1083" s="13" t="n">
        <v>46173</v>
      </c>
      <c r="G1083" s="13" t="n">
        <v>46234</v>
      </c>
      <c r="H1083" s="14" t="n">
        <v>87266.29</v>
      </c>
      <c r="I1083" s="6" t="n">
        <v>4</v>
      </c>
      <c r="J1083" s="6" t="n">
        <v>648</v>
      </c>
      <c r="K1083" s="6" t="s">
        <v>185</v>
      </c>
      <c r="L1083" s="14" t="n">
        <v>26412.79</v>
      </c>
      <c r="M1083" s="22" t="n">
        <v>1.137</v>
      </c>
      <c r="N1083" s="14" t="n">
        <v>30031.34</v>
      </c>
      <c r="O1083" s="14" t="n">
        <v>3618.55</v>
      </c>
      <c r="P1083" s="21" t="n">
        <v>0.167</v>
      </c>
      <c r="Q1083" s="6" t="n">
        <v>61</v>
      </c>
      <c r="R1083" s="6" t="s">
        <v>155</v>
      </c>
      <c r="S1083" s="21" t="n">
        <v>0.836</v>
      </c>
      <c r="T1083" s="14" t="n">
        <v>25106.2</v>
      </c>
      <c r="U1083" s="6" t="s">
        <v>63</v>
      </c>
    </row>
    <row r="1084" customFormat="false" ht="15" hidden="false" customHeight="true" outlineLevel="0" collapsed="false">
      <c r="A1084" s="6" t="s">
        <v>2361</v>
      </c>
      <c r="B1084" s="6" t="s">
        <v>2362</v>
      </c>
      <c r="C1084" s="6" t="s">
        <v>128</v>
      </c>
      <c r="D1084" s="6" t="s">
        <v>172</v>
      </c>
      <c r="E1084" s="6" t="s">
        <v>181</v>
      </c>
      <c r="F1084" s="13" t="n">
        <v>45406</v>
      </c>
      <c r="G1084" s="13" t="n">
        <v>45466</v>
      </c>
      <c r="H1084" s="14" t="n">
        <v>28652.05</v>
      </c>
      <c r="I1084" s="6" t="n">
        <v>2</v>
      </c>
      <c r="J1084" s="6" t="n">
        <v>684</v>
      </c>
      <c r="K1084" s="6" t="s">
        <v>154</v>
      </c>
      <c r="L1084" s="14" t="n">
        <v>5925.46</v>
      </c>
      <c r="M1084" s="22" t="n">
        <v>1.186</v>
      </c>
      <c r="N1084" s="14" t="n">
        <v>7027.6</v>
      </c>
      <c r="O1084" s="14" t="n">
        <v>1102.14</v>
      </c>
      <c r="P1084" s="21" t="n">
        <v>0.165</v>
      </c>
      <c r="Q1084" s="6" t="n">
        <v>60</v>
      </c>
      <c r="R1084" s="6" t="s">
        <v>161</v>
      </c>
      <c r="S1084" s="21" t="n">
        <v>1</v>
      </c>
      <c r="T1084" s="14" t="n">
        <v>7027.6</v>
      </c>
      <c r="U1084" s="6" t="s">
        <v>38</v>
      </c>
    </row>
    <row r="1085" customFormat="false" ht="15" hidden="false" customHeight="true" outlineLevel="0" collapsed="false">
      <c r="A1085" s="6" t="s">
        <v>2363</v>
      </c>
      <c r="B1085" s="6" t="s">
        <v>2364</v>
      </c>
      <c r="C1085" s="6" t="s">
        <v>131</v>
      </c>
      <c r="D1085" s="6" t="s">
        <v>152</v>
      </c>
      <c r="E1085" s="6" t="s">
        <v>304</v>
      </c>
      <c r="F1085" s="13" t="n">
        <v>46069</v>
      </c>
      <c r="G1085" s="13" t="n">
        <v>46194</v>
      </c>
      <c r="H1085" s="14" t="n">
        <v>60761.77</v>
      </c>
      <c r="I1085" s="6" t="n">
        <v>0</v>
      </c>
      <c r="J1085" s="6" t="n">
        <v>563</v>
      </c>
      <c r="K1085" s="6" t="s">
        <v>160</v>
      </c>
      <c r="L1085" s="14" t="n">
        <v>23537.39</v>
      </c>
      <c r="M1085" s="22" t="n">
        <v>1.168</v>
      </c>
      <c r="N1085" s="14" t="n">
        <v>27491.67</v>
      </c>
      <c r="O1085" s="14" t="n">
        <v>3954.28</v>
      </c>
      <c r="P1085" s="21" t="n">
        <v>0.108</v>
      </c>
      <c r="Q1085" s="6" t="n">
        <v>125</v>
      </c>
      <c r="R1085" s="6" t="s">
        <v>155</v>
      </c>
      <c r="S1085" s="21" t="n">
        <v>0.871</v>
      </c>
      <c r="T1085" s="14" t="n">
        <v>23945.24</v>
      </c>
      <c r="U1085" s="6" t="s">
        <v>60</v>
      </c>
    </row>
    <row r="1086" customFormat="false" ht="15" hidden="false" customHeight="true" outlineLevel="0" collapsed="false">
      <c r="A1086" s="6" t="s">
        <v>2365</v>
      </c>
      <c r="B1086" s="6" t="s">
        <v>2366</v>
      </c>
      <c r="C1086" s="6" t="s">
        <v>112</v>
      </c>
      <c r="D1086" s="6" t="s">
        <v>164</v>
      </c>
      <c r="E1086" s="6" t="s">
        <v>219</v>
      </c>
      <c r="F1086" s="13" t="n">
        <v>44859</v>
      </c>
      <c r="G1086" s="13" t="n">
        <v>44919</v>
      </c>
      <c r="H1086" s="14" t="n">
        <v>160350.43</v>
      </c>
      <c r="I1086" s="6" t="n">
        <v>3</v>
      </c>
      <c r="J1086" s="6" t="n">
        <v>626</v>
      </c>
      <c r="K1086" s="6" t="s">
        <v>185</v>
      </c>
      <c r="L1086" s="14" t="n">
        <v>18060.22</v>
      </c>
      <c r="M1086" s="22" t="n">
        <v>1.256</v>
      </c>
      <c r="N1086" s="14" t="n">
        <v>22683.64</v>
      </c>
      <c r="O1086" s="14" t="n">
        <v>4623.42</v>
      </c>
      <c r="P1086" s="21" t="n">
        <v>0.076</v>
      </c>
      <c r="Q1086" s="6" t="n">
        <v>60</v>
      </c>
      <c r="R1086" s="6" t="s">
        <v>161</v>
      </c>
      <c r="S1086" s="21" t="n">
        <v>1</v>
      </c>
      <c r="T1086" s="14" t="n">
        <v>22683.64</v>
      </c>
      <c r="U1086" s="6" t="s">
        <v>20</v>
      </c>
    </row>
    <row r="1087" customFormat="false" ht="15" hidden="false" customHeight="true" outlineLevel="0" collapsed="false">
      <c r="A1087" s="6" t="s">
        <v>2367</v>
      </c>
      <c r="B1087" s="6" t="s">
        <v>2368</v>
      </c>
      <c r="C1087" s="6" t="s">
        <v>131</v>
      </c>
      <c r="D1087" s="6" t="s">
        <v>152</v>
      </c>
      <c r="E1087" s="6" t="s">
        <v>192</v>
      </c>
      <c r="F1087" s="13" t="n">
        <v>46055</v>
      </c>
      <c r="G1087" s="13" t="n">
        <v>46136</v>
      </c>
      <c r="H1087" s="14" t="n">
        <v>211104.75</v>
      </c>
      <c r="I1087" s="6" t="n">
        <v>1</v>
      </c>
      <c r="J1087" s="6" t="n">
        <v>529</v>
      </c>
      <c r="K1087" s="6" t="s">
        <v>160</v>
      </c>
      <c r="L1087" s="14" t="n">
        <v>86176.69</v>
      </c>
      <c r="M1087" s="22" t="n">
        <v>1.133</v>
      </c>
      <c r="N1087" s="14" t="n">
        <v>97638.19</v>
      </c>
      <c r="O1087" s="14" t="n">
        <v>11461.5</v>
      </c>
      <c r="P1087" s="21" t="n">
        <v>0.171</v>
      </c>
      <c r="Q1087" s="6" t="n">
        <v>81</v>
      </c>
      <c r="R1087" s="6" t="s">
        <v>161</v>
      </c>
      <c r="S1087" s="21" t="n">
        <v>1</v>
      </c>
      <c r="T1087" s="14" t="n">
        <v>97638.19</v>
      </c>
      <c r="U1087" s="6" t="s">
        <v>60</v>
      </c>
    </row>
    <row r="1088" customFormat="false" ht="15" hidden="false" customHeight="true" outlineLevel="0" collapsed="false">
      <c r="A1088" s="6" t="s">
        <v>2369</v>
      </c>
      <c r="B1088" s="6" t="s">
        <v>2370</v>
      </c>
      <c r="C1088" s="6" t="s">
        <v>112</v>
      </c>
      <c r="D1088" s="6" t="s">
        <v>188</v>
      </c>
      <c r="E1088" s="6" t="s">
        <v>219</v>
      </c>
      <c r="F1088" s="13" t="n">
        <v>45686</v>
      </c>
      <c r="G1088" s="13" t="n">
        <v>45798</v>
      </c>
      <c r="H1088" s="14" t="n">
        <v>246537.3</v>
      </c>
      <c r="I1088" s="6" t="n">
        <v>2</v>
      </c>
      <c r="J1088" s="6" t="n">
        <v>794</v>
      </c>
      <c r="K1088" s="6" t="s">
        <v>185</v>
      </c>
      <c r="L1088" s="14" t="n">
        <v>73573</v>
      </c>
      <c r="M1088" s="22" t="n">
        <v>1.106</v>
      </c>
      <c r="N1088" s="14" t="n">
        <v>81371.74</v>
      </c>
      <c r="O1088" s="14" t="n">
        <v>7798.74</v>
      </c>
      <c r="P1088" s="21" t="n">
        <v>0.088</v>
      </c>
      <c r="Q1088" s="6" t="n">
        <v>112</v>
      </c>
      <c r="R1088" s="6" t="s">
        <v>155</v>
      </c>
      <c r="S1088" s="21" t="n">
        <v>0.98</v>
      </c>
      <c r="T1088" s="14" t="n">
        <v>79744.31</v>
      </c>
      <c r="U1088" s="6" t="s">
        <v>47</v>
      </c>
    </row>
    <row r="1089" customFormat="false" ht="15" hidden="false" customHeight="true" outlineLevel="0" collapsed="false">
      <c r="A1089" s="6" t="s">
        <v>2371</v>
      </c>
      <c r="B1089" s="6" t="s">
        <v>2372</v>
      </c>
      <c r="C1089" s="6" t="s">
        <v>120</v>
      </c>
      <c r="D1089" s="6" t="s">
        <v>263</v>
      </c>
      <c r="E1089" s="6" t="s">
        <v>326</v>
      </c>
      <c r="F1089" s="13" t="n">
        <v>44614</v>
      </c>
      <c r="G1089" s="13" t="n">
        <v>44739</v>
      </c>
      <c r="H1089" s="14" t="n">
        <v>153208.31</v>
      </c>
      <c r="I1089" s="6" t="n">
        <v>0</v>
      </c>
      <c r="J1089" s="6" t="n">
        <v>722</v>
      </c>
      <c r="K1089" s="6" t="s">
        <v>160</v>
      </c>
      <c r="L1089" s="14" t="n">
        <v>62611.31</v>
      </c>
      <c r="M1089" s="22" t="n">
        <v>1.167</v>
      </c>
      <c r="N1089" s="14" t="n">
        <v>73067.4</v>
      </c>
      <c r="O1089" s="14" t="n">
        <v>10456.09</v>
      </c>
      <c r="P1089" s="21" t="n">
        <v>0.114</v>
      </c>
      <c r="Q1089" s="6" t="n">
        <v>125</v>
      </c>
      <c r="R1089" s="6" t="s">
        <v>155</v>
      </c>
      <c r="S1089" s="21" t="n">
        <v>0.98</v>
      </c>
      <c r="T1089" s="14" t="n">
        <v>71606.05</v>
      </c>
      <c r="U1089" s="6" t="s">
        <v>12</v>
      </c>
    </row>
    <row r="1090" customFormat="false" ht="15" hidden="false" customHeight="true" outlineLevel="0" collapsed="false">
      <c r="A1090" s="6" t="s">
        <v>2373</v>
      </c>
      <c r="B1090" s="6" t="s">
        <v>2374</v>
      </c>
      <c r="C1090" s="6" t="s">
        <v>112</v>
      </c>
      <c r="D1090" s="6" t="s">
        <v>164</v>
      </c>
      <c r="E1090" s="6" t="s">
        <v>304</v>
      </c>
      <c r="F1090" s="13" t="n">
        <v>44614</v>
      </c>
      <c r="G1090" s="13" t="n">
        <v>44694</v>
      </c>
      <c r="H1090" s="14" t="n">
        <v>135373.16</v>
      </c>
      <c r="I1090" s="6" t="n">
        <v>0</v>
      </c>
      <c r="J1090" s="6" t="n">
        <v>673</v>
      </c>
      <c r="K1090" s="6" t="s">
        <v>160</v>
      </c>
      <c r="L1090" s="14" t="n">
        <v>26007.76</v>
      </c>
      <c r="M1090" s="22" t="n">
        <v>1.333</v>
      </c>
      <c r="N1090" s="14" t="n">
        <v>34668.34</v>
      </c>
      <c r="O1090" s="14" t="n">
        <v>8660.58</v>
      </c>
      <c r="P1090" s="21" t="n">
        <v>0.096</v>
      </c>
      <c r="Q1090" s="6" t="n">
        <v>80</v>
      </c>
      <c r="R1090" s="6" t="s">
        <v>309</v>
      </c>
      <c r="S1090" s="21" t="n">
        <v>0.236</v>
      </c>
      <c r="T1090" s="14" t="n">
        <v>8181.73</v>
      </c>
      <c r="U1090" s="6" t="s">
        <v>12</v>
      </c>
    </row>
    <row r="1091" customFormat="false" ht="15" hidden="false" customHeight="true" outlineLevel="0" collapsed="false">
      <c r="A1091" s="6" t="s">
        <v>2375</v>
      </c>
      <c r="B1091" s="6" t="s">
        <v>2376</v>
      </c>
      <c r="C1091" s="6" t="s">
        <v>112</v>
      </c>
      <c r="D1091" s="6" t="s">
        <v>172</v>
      </c>
      <c r="E1091" s="6" t="s">
        <v>326</v>
      </c>
      <c r="F1091" s="13" t="n">
        <v>45453</v>
      </c>
      <c r="G1091" s="13" t="n">
        <v>45570</v>
      </c>
      <c r="H1091" s="14" t="n">
        <v>226884.12</v>
      </c>
      <c r="I1091" s="6" t="n">
        <v>1</v>
      </c>
      <c r="J1091" s="6" t="n">
        <v>718</v>
      </c>
      <c r="K1091" s="6" t="s">
        <v>185</v>
      </c>
      <c r="L1091" s="14" t="n">
        <v>54870.29</v>
      </c>
      <c r="M1091" s="22" t="n">
        <v>1.341</v>
      </c>
      <c r="N1091" s="14" t="n">
        <v>73581.06</v>
      </c>
      <c r="O1091" s="14" t="n">
        <v>18710.77</v>
      </c>
      <c r="P1091" s="21" t="n">
        <v>0.083</v>
      </c>
      <c r="Q1091" s="6" t="n">
        <v>117</v>
      </c>
      <c r="R1091" s="6" t="s">
        <v>155</v>
      </c>
      <c r="S1091" s="21" t="n">
        <v>0.774</v>
      </c>
      <c r="T1091" s="14" t="n">
        <v>56951.74</v>
      </c>
      <c r="U1091" s="6" t="s">
        <v>40</v>
      </c>
    </row>
    <row r="1092" customFormat="false" ht="15" hidden="false" customHeight="true" outlineLevel="0" collapsed="false">
      <c r="A1092" s="6" t="s">
        <v>2377</v>
      </c>
      <c r="B1092" s="6" t="s">
        <v>2378</v>
      </c>
      <c r="C1092" s="6" t="s">
        <v>124</v>
      </c>
      <c r="D1092" s="6" t="s">
        <v>238</v>
      </c>
      <c r="E1092" s="6" t="s">
        <v>192</v>
      </c>
      <c r="F1092" s="13" t="n">
        <v>45531</v>
      </c>
      <c r="G1092" s="13" t="n">
        <v>45683</v>
      </c>
      <c r="H1092" s="14" t="n">
        <v>246840.23</v>
      </c>
      <c r="I1092" s="6" t="n">
        <v>0</v>
      </c>
      <c r="J1092" s="6" t="n">
        <v>808</v>
      </c>
      <c r="K1092" s="6" t="s">
        <v>154</v>
      </c>
      <c r="L1092" s="14" t="n">
        <v>48166.32</v>
      </c>
      <c r="M1092" s="22" t="n">
        <v>1.325</v>
      </c>
      <c r="N1092" s="14" t="n">
        <v>63820.37</v>
      </c>
      <c r="O1092" s="14" t="n">
        <v>15654.05</v>
      </c>
      <c r="P1092" s="21" t="n">
        <v>0.051</v>
      </c>
      <c r="Q1092" s="6" t="n">
        <v>152</v>
      </c>
      <c r="R1092" s="6" t="s">
        <v>155</v>
      </c>
      <c r="S1092" s="21" t="n">
        <v>0.846</v>
      </c>
      <c r="T1092" s="14" t="n">
        <v>53992.03</v>
      </c>
      <c r="U1092" s="6" t="s">
        <v>42</v>
      </c>
    </row>
    <row r="1093" customFormat="false" ht="15" hidden="false" customHeight="true" outlineLevel="0" collapsed="false">
      <c r="A1093" s="6" t="s">
        <v>2379</v>
      </c>
      <c r="B1093" s="6" t="s">
        <v>2380</v>
      </c>
      <c r="C1093" s="6" t="s">
        <v>124</v>
      </c>
      <c r="D1093" s="6" t="s">
        <v>243</v>
      </c>
      <c r="E1093" s="6" t="s">
        <v>181</v>
      </c>
      <c r="F1093" s="13" t="n">
        <v>44885</v>
      </c>
      <c r="G1093" s="13" t="n">
        <v>44945</v>
      </c>
      <c r="H1093" s="14" t="n">
        <v>66844.32</v>
      </c>
      <c r="I1093" s="6" t="n">
        <v>1</v>
      </c>
      <c r="J1093" s="6" t="n">
        <v>558</v>
      </c>
      <c r="K1093" s="6" t="s">
        <v>185</v>
      </c>
      <c r="L1093" s="14" t="n">
        <v>11197.81</v>
      </c>
      <c r="M1093" s="22" t="n">
        <v>1.155</v>
      </c>
      <c r="N1093" s="14" t="n">
        <v>12933.47</v>
      </c>
      <c r="O1093" s="14" t="n">
        <v>1735.66</v>
      </c>
      <c r="P1093" s="21" t="n">
        <v>0.107</v>
      </c>
      <c r="Q1093" s="6" t="n">
        <v>60</v>
      </c>
      <c r="R1093" s="6" t="s">
        <v>155</v>
      </c>
      <c r="S1093" s="21" t="n">
        <v>0.778</v>
      </c>
      <c r="T1093" s="14" t="n">
        <v>10062.24</v>
      </c>
      <c r="U1093" s="6" t="s">
        <v>21</v>
      </c>
    </row>
    <row r="1094" customFormat="false" ht="15" hidden="false" customHeight="true" outlineLevel="0" collapsed="false">
      <c r="A1094" s="6" t="s">
        <v>2381</v>
      </c>
      <c r="B1094" s="6" t="s">
        <v>2382</v>
      </c>
      <c r="C1094" s="6" t="s">
        <v>116</v>
      </c>
      <c r="D1094" s="6" t="s">
        <v>152</v>
      </c>
      <c r="E1094" s="6" t="s">
        <v>288</v>
      </c>
      <c r="F1094" s="13" t="n">
        <v>45459</v>
      </c>
      <c r="G1094" s="13" t="n">
        <v>45519</v>
      </c>
      <c r="H1094" s="14" t="n">
        <v>204982.13</v>
      </c>
      <c r="I1094" s="6" t="n">
        <v>0</v>
      </c>
      <c r="J1094" s="6" t="n">
        <v>749</v>
      </c>
      <c r="K1094" s="6" t="s">
        <v>154</v>
      </c>
      <c r="L1094" s="14" t="n">
        <v>27745.81</v>
      </c>
      <c r="M1094" s="22" t="n">
        <v>1.157</v>
      </c>
      <c r="N1094" s="14" t="n">
        <v>32101.9</v>
      </c>
      <c r="O1094" s="14" t="n">
        <v>4356.09</v>
      </c>
      <c r="P1094" s="21" t="n">
        <v>0.146</v>
      </c>
      <c r="Q1094" s="6" t="n">
        <v>60</v>
      </c>
      <c r="R1094" s="6" t="s">
        <v>155</v>
      </c>
      <c r="S1094" s="21" t="n">
        <v>0.813</v>
      </c>
      <c r="T1094" s="14" t="n">
        <v>26098.84</v>
      </c>
      <c r="U1094" s="6" t="s">
        <v>40</v>
      </c>
    </row>
    <row r="1095" customFormat="false" ht="15" hidden="false" customHeight="true" outlineLevel="0" collapsed="false">
      <c r="A1095" s="6" t="s">
        <v>2383</v>
      </c>
      <c r="B1095" s="6" t="s">
        <v>2384</v>
      </c>
      <c r="C1095" s="6" t="s">
        <v>112</v>
      </c>
      <c r="D1095" s="6" t="s">
        <v>188</v>
      </c>
      <c r="E1095" s="6" t="s">
        <v>201</v>
      </c>
      <c r="F1095" s="13" t="n">
        <v>45935</v>
      </c>
      <c r="G1095" s="13" t="n">
        <v>46005</v>
      </c>
      <c r="H1095" s="14" t="n">
        <v>65292.4</v>
      </c>
      <c r="I1095" s="6" t="n">
        <v>1</v>
      </c>
      <c r="J1095" s="6" t="n">
        <v>753</v>
      </c>
      <c r="K1095" s="6" t="s">
        <v>160</v>
      </c>
      <c r="L1095" s="14" t="n">
        <v>18114.34</v>
      </c>
      <c r="M1095" s="22" t="n">
        <v>1.332</v>
      </c>
      <c r="N1095" s="14" t="n">
        <v>24128.3</v>
      </c>
      <c r="O1095" s="14" t="n">
        <v>6013.96</v>
      </c>
      <c r="P1095" s="21" t="n">
        <v>0.157</v>
      </c>
      <c r="Q1095" s="6" t="n">
        <v>70</v>
      </c>
      <c r="R1095" s="6" t="s">
        <v>161</v>
      </c>
      <c r="S1095" s="21" t="n">
        <v>1</v>
      </c>
      <c r="T1095" s="14" t="n">
        <v>24128.3</v>
      </c>
      <c r="U1095" s="6" t="s">
        <v>56</v>
      </c>
    </row>
    <row r="1096" customFormat="false" ht="15" hidden="false" customHeight="true" outlineLevel="0" collapsed="false">
      <c r="A1096" s="6" t="s">
        <v>2385</v>
      </c>
      <c r="B1096" s="6" t="s">
        <v>2386</v>
      </c>
      <c r="C1096" s="6" t="s">
        <v>116</v>
      </c>
      <c r="D1096" s="6" t="s">
        <v>222</v>
      </c>
      <c r="E1096" s="6" t="s">
        <v>181</v>
      </c>
      <c r="F1096" s="13" t="n">
        <v>45350</v>
      </c>
      <c r="G1096" s="13" t="n">
        <v>45426</v>
      </c>
      <c r="H1096" s="14" t="n">
        <v>67907.33</v>
      </c>
      <c r="I1096" s="6" t="n">
        <v>1</v>
      </c>
      <c r="J1096" s="6" t="n">
        <v>650</v>
      </c>
      <c r="K1096" s="6" t="s">
        <v>160</v>
      </c>
      <c r="L1096" s="14" t="n">
        <v>22022.86</v>
      </c>
      <c r="M1096" s="22" t="n">
        <v>1.276</v>
      </c>
      <c r="N1096" s="14" t="n">
        <v>28101.17</v>
      </c>
      <c r="O1096" s="14" t="n">
        <v>6078.31</v>
      </c>
      <c r="P1096" s="21" t="n">
        <v>0.163</v>
      </c>
      <c r="Q1096" s="6" t="n">
        <v>76</v>
      </c>
      <c r="R1096" s="6" t="s">
        <v>161</v>
      </c>
      <c r="S1096" s="21" t="n">
        <v>1</v>
      </c>
      <c r="T1096" s="14" t="n">
        <v>28101.17</v>
      </c>
      <c r="U1096" s="6" t="s">
        <v>36</v>
      </c>
    </row>
    <row r="1097" customFormat="false" ht="15" hidden="false" customHeight="true" outlineLevel="0" collapsed="false">
      <c r="A1097" s="6" t="s">
        <v>2387</v>
      </c>
      <c r="B1097" s="6" t="s">
        <v>2388</v>
      </c>
      <c r="C1097" s="6" t="s">
        <v>128</v>
      </c>
      <c r="D1097" s="6" t="s">
        <v>401</v>
      </c>
      <c r="E1097" s="6" t="s">
        <v>153</v>
      </c>
      <c r="F1097" s="13" t="n">
        <v>45480</v>
      </c>
      <c r="G1097" s="13" t="n">
        <v>45602</v>
      </c>
      <c r="H1097" s="14" t="n">
        <v>174077.02</v>
      </c>
      <c r="I1097" s="6" t="n">
        <v>0</v>
      </c>
      <c r="J1097" s="6" t="n">
        <v>641</v>
      </c>
      <c r="K1097" s="6" t="s">
        <v>160</v>
      </c>
      <c r="L1097" s="14" t="n">
        <v>60713.37</v>
      </c>
      <c r="M1097" s="22" t="n">
        <v>1.12</v>
      </c>
      <c r="N1097" s="14" t="n">
        <v>67998.97</v>
      </c>
      <c r="O1097" s="14" t="n">
        <v>7285.6</v>
      </c>
      <c r="P1097" s="21" t="n">
        <v>0.096</v>
      </c>
      <c r="Q1097" s="6" t="n">
        <v>122</v>
      </c>
      <c r="R1097" s="6" t="s">
        <v>161</v>
      </c>
      <c r="S1097" s="21" t="n">
        <v>1</v>
      </c>
      <c r="T1097" s="14" t="n">
        <v>67998.97</v>
      </c>
      <c r="U1097" s="6" t="s">
        <v>41</v>
      </c>
    </row>
    <row r="1098" customFormat="false" ht="15" hidden="false" customHeight="true" outlineLevel="0" collapsed="false">
      <c r="A1098" s="6" t="s">
        <v>2389</v>
      </c>
      <c r="B1098" s="6" t="s">
        <v>2390</v>
      </c>
      <c r="C1098" s="6" t="s">
        <v>131</v>
      </c>
      <c r="D1098" s="6" t="s">
        <v>176</v>
      </c>
      <c r="E1098" s="6" t="s">
        <v>192</v>
      </c>
      <c r="F1098" s="13" t="n">
        <v>45255</v>
      </c>
      <c r="G1098" s="13" t="n">
        <v>45343</v>
      </c>
      <c r="H1098" s="14" t="n">
        <v>9729.32</v>
      </c>
      <c r="I1098" s="6" t="n">
        <v>0</v>
      </c>
      <c r="J1098" s="6" t="n">
        <v>601</v>
      </c>
      <c r="K1098" s="6" t="s">
        <v>160</v>
      </c>
      <c r="L1098" s="14" t="n">
        <v>3537.73</v>
      </c>
      <c r="M1098" s="22" t="n">
        <v>1.178</v>
      </c>
      <c r="N1098" s="14" t="n">
        <v>4167.45</v>
      </c>
      <c r="O1098" s="14" t="n">
        <v>629.72</v>
      </c>
      <c r="P1098" s="21" t="n">
        <v>0.146</v>
      </c>
      <c r="Q1098" s="6" t="n">
        <v>88</v>
      </c>
      <c r="R1098" s="6" t="s">
        <v>161</v>
      </c>
      <c r="S1098" s="21" t="n">
        <v>1</v>
      </c>
      <c r="T1098" s="14" t="n">
        <v>4167.45</v>
      </c>
      <c r="U1098" s="6" t="s">
        <v>33</v>
      </c>
    </row>
    <row r="1099" customFormat="false" ht="15" hidden="false" customHeight="true" outlineLevel="0" collapsed="false">
      <c r="A1099" s="6" t="s">
        <v>2391</v>
      </c>
      <c r="B1099" s="6" t="s">
        <v>2392</v>
      </c>
      <c r="C1099" s="6" t="s">
        <v>128</v>
      </c>
      <c r="D1099" s="6" t="s">
        <v>235</v>
      </c>
      <c r="E1099" s="6" t="s">
        <v>153</v>
      </c>
      <c r="F1099" s="13" t="n">
        <v>44790</v>
      </c>
      <c r="G1099" s="13" t="n">
        <v>44850</v>
      </c>
      <c r="H1099" s="14" t="n">
        <v>208362.44</v>
      </c>
      <c r="I1099" s="6" t="n">
        <v>0</v>
      </c>
      <c r="J1099" s="6" t="n">
        <v>777</v>
      </c>
      <c r="K1099" s="6" t="s">
        <v>160</v>
      </c>
      <c r="L1099" s="14" t="n">
        <v>35105.07</v>
      </c>
      <c r="M1099" s="22" t="n">
        <v>1.3</v>
      </c>
      <c r="N1099" s="14" t="n">
        <v>45636.59</v>
      </c>
      <c r="O1099" s="14" t="n">
        <v>10531.52</v>
      </c>
      <c r="P1099" s="21" t="n">
        <v>0.15</v>
      </c>
      <c r="Q1099" s="6" t="n">
        <v>60</v>
      </c>
      <c r="R1099" s="6" t="s">
        <v>161</v>
      </c>
      <c r="S1099" s="21" t="n">
        <v>1</v>
      </c>
      <c r="T1099" s="14" t="n">
        <v>45636.59</v>
      </c>
      <c r="U1099" s="6" t="s">
        <v>18</v>
      </c>
    </row>
    <row r="1100" customFormat="false" ht="15" hidden="false" customHeight="true" outlineLevel="0" collapsed="false">
      <c r="A1100" s="6" t="s">
        <v>2393</v>
      </c>
      <c r="B1100" s="6" t="s">
        <v>2394</v>
      </c>
      <c r="C1100" s="6" t="s">
        <v>120</v>
      </c>
      <c r="D1100" s="6" t="s">
        <v>218</v>
      </c>
      <c r="E1100" s="6" t="s">
        <v>181</v>
      </c>
      <c r="F1100" s="13" t="n">
        <v>45409</v>
      </c>
      <c r="G1100" s="13" t="n">
        <v>45480</v>
      </c>
      <c r="H1100" s="14" t="n">
        <v>196364.02</v>
      </c>
      <c r="I1100" s="6" t="n">
        <v>2</v>
      </c>
      <c r="J1100" s="6" t="n">
        <v>797</v>
      </c>
      <c r="K1100" s="6" t="s">
        <v>185</v>
      </c>
      <c r="L1100" s="14" t="n">
        <v>36817.94</v>
      </c>
      <c r="M1100" s="22" t="n">
        <v>1.187</v>
      </c>
      <c r="N1100" s="14" t="n">
        <v>43702.89</v>
      </c>
      <c r="O1100" s="14" t="n">
        <v>6884.95</v>
      </c>
      <c r="P1100" s="21" t="n">
        <v>0.094</v>
      </c>
      <c r="Q1100" s="6" t="n">
        <v>71</v>
      </c>
      <c r="R1100" s="6" t="s">
        <v>155</v>
      </c>
      <c r="S1100" s="21" t="n">
        <v>0.84</v>
      </c>
      <c r="T1100" s="14" t="n">
        <v>36710.43</v>
      </c>
      <c r="U1100" s="6" t="s">
        <v>38</v>
      </c>
    </row>
    <row r="1101" customFormat="false" ht="15" hidden="false" customHeight="true" outlineLevel="0" collapsed="false">
      <c r="A1101" s="6" t="s">
        <v>2395</v>
      </c>
      <c r="B1101" s="6" t="s">
        <v>2396</v>
      </c>
      <c r="C1101" s="6" t="s">
        <v>116</v>
      </c>
      <c r="D1101" s="6" t="s">
        <v>222</v>
      </c>
      <c r="E1101" s="6" t="s">
        <v>326</v>
      </c>
      <c r="F1101" s="13" t="n">
        <v>44871</v>
      </c>
      <c r="G1101" s="13" t="n">
        <v>44988</v>
      </c>
      <c r="H1101" s="14" t="n">
        <v>165538.71</v>
      </c>
      <c r="I1101" s="6" t="n">
        <v>2</v>
      </c>
      <c r="J1101" s="6" t="n">
        <v>675</v>
      </c>
      <c r="K1101" s="6" t="s">
        <v>154</v>
      </c>
      <c r="L1101" s="14" t="n">
        <v>59433.11</v>
      </c>
      <c r="M1101" s="22" t="n">
        <v>1.298</v>
      </c>
      <c r="N1101" s="14" t="n">
        <v>77144.18</v>
      </c>
      <c r="O1101" s="14" t="n">
        <v>17711.07</v>
      </c>
      <c r="P1101" s="21" t="n">
        <v>0.119</v>
      </c>
      <c r="Q1101" s="6" t="n">
        <v>117</v>
      </c>
      <c r="R1101" s="6" t="s">
        <v>155</v>
      </c>
      <c r="S1101" s="21" t="n">
        <v>0.87</v>
      </c>
      <c r="T1101" s="14" t="n">
        <v>67115.44</v>
      </c>
      <c r="U1101" s="6" t="s">
        <v>21</v>
      </c>
    </row>
    <row r="1102" customFormat="false" ht="15" hidden="false" customHeight="true" outlineLevel="0" collapsed="false">
      <c r="A1102" s="6" t="s">
        <v>2397</v>
      </c>
      <c r="B1102" s="6" t="s">
        <v>2398</v>
      </c>
      <c r="C1102" s="6" t="s">
        <v>112</v>
      </c>
      <c r="D1102" s="6" t="s">
        <v>164</v>
      </c>
      <c r="E1102" s="6" t="s">
        <v>201</v>
      </c>
      <c r="F1102" s="13" t="n">
        <v>45837</v>
      </c>
      <c r="G1102" s="13" t="n">
        <v>45897</v>
      </c>
      <c r="H1102" s="14" t="n">
        <v>141583</v>
      </c>
      <c r="I1102" s="6" t="n">
        <v>0</v>
      </c>
      <c r="J1102" s="6" t="n">
        <v>705</v>
      </c>
      <c r="K1102" s="6" t="s">
        <v>160</v>
      </c>
      <c r="L1102" s="14" t="n">
        <v>18489.96</v>
      </c>
      <c r="M1102" s="22" t="n">
        <v>1.19</v>
      </c>
      <c r="N1102" s="14" t="n">
        <v>22003.05</v>
      </c>
      <c r="O1102" s="14" t="n">
        <v>3513.09</v>
      </c>
      <c r="P1102" s="21" t="n">
        <v>0.166</v>
      </c>
      <c r="Q1102" s="6" t="n">
        <v>60</v>
      </c>
      <c r="R1102" s="6" t="s">
        <v>161</v>
      </c>
      <c r="S1102" s="21" t="n">
        <v>1</v>
      </c>
      <c r="T1102" s="14" t="n">
        <v>22003.05</v>
      </c>
      <c r="U1102" s="6" t="s">
        <v>52</v>
      </c>
    </row>
    <row r="1103" customFormat="false" ht="15" hidden="false" customHeight="true" outlineLevel="0" collapsed="false">
      <c r="A1103" s="6" t="s">
        <v>2399</v>
      </c>
      <c r="B1103" s="6" t="s">
        <v>2400</v>
      </c>
      <c r="C1103" s="6" t="s">
        <v>116</v>
      </c>
      <c r="D1103" s="6" t="s">
        <v>206</v>
      </c>
      <c r="E1103" s="6" t="s">
        <v>299</v>
      </c>
      <c r="F1103" s="13" t="n">
        <v>44640</v>
      </c>
      <c r="G1103" s="13" t="n">
        <v>44790</v>
      </c>
      <c r="H1103" s="14" t="n">
        <v>105634.88</v>
      </c>
      <c r="I1103" s="6" t="n">
        <v>1</v>
      </c>
      <c r="J1103" s="6" t="n">
        <v>779</v>
      </c>
      <c r="K1103" s="6" t="s">
        <v>160</v>
      </c>
      <c r="L1103" s="14" t="n">
        <v>25187.76</v>
      </c>
      <c r="M1103" s="22" t="n">
        <v>1.327</v>
      </c>
      <c r="N1103" s="14" t="n">
        <v>33424.16</v>
      </c>
      <c r="O1103" s="14" t="n">
        <v>8236.4</v>
      </c>
      <c r="P1103" s="21" t="n">
        <v>0.063</v>
      </c>
      <c r="Q1103" s="6" t="n">
        <v>150</v>
      </c>
      <c r="R1103" s="6" t="s">
        <v>161</v>
      </c>
      <c r="S1103" s="21" t="n">
        <v>1</v>
      </c>
      <c r="T1103" s="14" t="n">
        <v>33424.16</v>
      </c>
      <c r="U1103" s="6" t="s">
        <v>13</v>
      </c>
    </row>
    <row r="1104" customFormat="false" ht="15" hidden="false" customHeight="true" outlineLevel="0" collapsed="false">
      <c r="A1104" s="6" t="s">
        <v>2401</v>
      </c>
      <c r="B1104" s="6" t="s">
        <v>2402</v>
      </c>
      <c r="C1104" s="6" t="s">
        <v>131</v>
      </c>
      <c r="D1104" s="6" t="s">
        <v>152</v>
      </c>
      <c r="E1104" s="6" t="s">
        <v>201</v>
      </c>
      <c r="F1104" s="13" t="n">
        <v>44993</v>
      </c>
      <c r="G1104" s="13" t="n">
        <v>45053</v>
      </c>
      <c r="H1104" s="14" t="n">
        <v>33286.53</v>
      </c>
      <c r="I1104" s="6" t="n">
        <v>0</v>
      </c>
      <c r="J1104" s="6" t="n">
        <v>684</v>
      </c>
      <c r="K1104" s="6" t="s">
        <v>154</v>
      </c>
      <c r="L1104" s="14" t="n">
        <v>7773.43</v>
      </c>
      <c r="M1104" s="22" t="n">
        <v>1.236</v>
      </c>
      <c r="N1104" s="14" t="n">
        <v>9607.96</v>
      </c>
      <c r="O1104" s="14" t="n">
        <v>1834.53</v>
      </c>
      <c r="P1104" s="21" t="n">
        <v>0.173</v>
      </c>
      <c r="Q1104" s="6" t="n">
        <v>60</v>
      </c>
      <c r="R1104" s="6" t="s">
        <v>155</v>
      </c>
      <c r="S1104" s="21" t="n">
        <v>0.98</v>
      </c>
      <c r="T1104" s="14" t="n">
        <v>9415.8</v>
      </c>
      <c r="U1104" s="6" t="s">
        <v>25</v>
      </c>
    </row>
    <row r="1105" customFormat="false" ht="15" hidden="false" customHeight="true" outlineLevel="0" collapsed="false">
      <c r="A1105" s="6" t="s">
        <v>2403</v>
      </c>
      <c r="B1105" s="6" t="s">
        <v>2404</v>
      </c>
      <c r="C1105" s="6" t="s">
        <v>112</v>
      </c>
      <c r="D1105" s="6" t="s">
        <v>172</v>
      </c>
      <c r="E1105" s="6" t="s">
        <v>165</v>
      </c>
      <c r="F1105" s="13" t="n">
        <v>45425</v>
      </c>
      <c r="G1105" s="13" t="n">
        <v>45486</v>
      </c>
      <c r="H1105" s="14" t="n">
        <v>69076.53</v>
      </c>
      <c r="I1105" s="6" t="n">
        <v>0</v>
      </c>
      <c r="J1105" s="6" t="n">
        <v>631</v>
      </c>
      <c r="K1105" s="6" t="s">
        <v>160</v>
      </c>
      <c r="L1105" s="14" t="n">
        <v>11950.92</v>
      </c>
      <c r="M1105" s="22" t="n">
        <v>1.122</v>
      </c>
      <c r="N1105" s="14" t="n">
        <v>13408.93</v>
      </c>
      <c r="O1105" s="14" t="n">
        <v>1458.01</v>
      </c>
      <c r="P1105" s="21" t="n">
        <v>0.095</v>
      </c>
      <c r="Q1105" s="6" t="n">
        <v>61</v>
      </c>
      <c r="R1105" s="6" t="s">
        <v>155</v>
      </c>
      <c r="S1105" s="21" t="n">
        <v>0.854</v>
      </c>
      <c r="T1105" s="14" t="n">
        <v>11451.23</v>
      </c>
      <c r="U1105" s="6" t="s">
        <v>39</v>
      </c>
    </row>
    <row r="1106" customFormat="false" ht="15" hidden="false" customHeight="true" outlineLevel="0" collapsed="false">
      <c r="A1106" s="6" t="s">
        <v>2405</v>
      </c>
      <c r="B1106" s="6" t="s">
        <v>2406</v>
      </c>
      <c r="C1106" s="6" t="s">
        <v>131</v>
      </c>
      <c r="D1106" s="6" t="s">
        <v>176</v>
      </c>
      <c r="E1106" s="6" t="s">
        <v>173</v>
      </c>
      <c r="F1106" s="13" t="n">
        <v>44637</v>
      </c>
      <c r="G1106" s="13" t="n">
        <v>44697</v>
      </c>
      <c r="H1106" s="14" t="n">
        <v>197641.9</v>
      </c>
      <c r="I1106" s="6" t="n">
        <v>0</v>
      </c>
      <c r="J1106" s="6" t="n">
        <v>789</v>
      </c>
      <c r="K1106" s="6" t="s">
        <v>160</v>
      </c>
      <c r="L1106" s="14" t="n">
        <v>21327.16</v>
      </c>
      <c r="M1106" s="22" t="n">
        <v>1.214</v>
      </c>
      <c r="N1106" s="14" t="n">
        <v>25891.17</v>
      </c>
      <c r="O1106" s="14" t="n">
        <v>4564.01</v>
      </c>
      <c r="P1106" s="21" t="n">
        <v>0.171</v>
      </c>
      <c r="Q1106" s="6" t="n">
        <v>60</v>
      </c>
      <c r="R1106" s="6" t="s">
        <v>155</v>
      </c>
      <c r="S1106" s="21" t="n">
        <v>0.76</v>
      </c>
      <c r="T1106" s="14" t="n">
        <v>19677.29</v>
      </c>
      <c r="U1106" s="6" t="s">
        <v>13</v>
      </c>
    </row>
    <row r="1107" customFormat="false" ht="15" hidden="false" customHeight="true" outlineLevel="0" collapsed="false">
      <c r="A1107" s="6" t="s">
        <v>2407</v>
      </c>
      <c r="B1107" s="6" t="s">
        <v>2408</v>
      </c>
      <c r="C1107" s="6" t="s">
        <v>131</v>
      </c>
      <c r="D1107" s="6" t="s">
        <v>176</v>
      </c>
      <c r="E1107" s="6" t="s">
        <v>254</v>
      </c>
      <c r="F1107" s="13" t="n">
        <v>45736</v>
      </c>
      <c r="G1107" s="13" t="n">
        <v>45806</v>
      </c>
      <c r="H1107" s="14" t="n">
        <v>153102.01</v>
      </c>
      <c r="I1107" s="6" t="n">
        <v>2</v>
      </c>
      <c r="J1107" s="6" t="n">
        <v>736</v>
      </c>
      <c r="K1107" s="6" t="s">
        <v>160</v>
      </c>
      <c r="L1107" s="14" t="n">
        <v>44831.22</v>
      </c>
      <c r="M1107" s="22" t="n">
        <v>1.103</v>
      </c>
      <c r="N1107" s="14" t="n">
        <v>49448.84</v>
      </c>
      <c r="O1107" s="14" t="n">
        <v>4617.62</v>
      </c>
      <c r="P1107" s="21" t="n">
        <v>0.138</v>
      </c>
      <c r="Q1107" s="6" t="n">
        <v>70</v>
      </c>
      <c r="R1107" s="6" t="s">
        <v>155</v>
      </c>
      <c r="S1107" s="21" t="n">
        <v>0.74</v>
      </c>
      <c r="T1107" s="14" t="n">
        <v>36592.14</v>
      </c>
      <c r="U1107" s="6" t="s">
        <v>49</v>
      </c>
    </row>
    <row r="1108" customFormat="false" ht="15" hidden="false" customHeight="true" outlineLevel="0" collapsed="false">
      <c r="A1108" s="6" t="s">
        <v>2409</v>
      </c>
      <c r="B1108" s="6" t="s">
        <v>2410</v>
      </c>
      <c r="C1108" s="6" t="s">
        <v>124</v>
      </c>
      <c r="D1108" s="6" t="s">
        <v>180</v>
      </c>
      <c r="E1108" s="6" t="s">
        <v>195</v>
      </c>
      <c r="F1108" s="13" t="n">
        <v>44953</v>
      </c>
      <c r="G1108" s="13" t="n">
        <v>45013</v>
      </c>
      <c r="H1108" s="14" t="n">
        <v>83260.29</v>
      </c>
      <c r="I1108" s="6" t="n">
        <v>0</v>
      </c>
      <c r="J1108" s="6" t="n">
        <v>744</v>
      </c>
      <c r="K1108" s="6" t="s">
        <v>160</v>
      </c>
      <c r="L1108" s="14" t="n">
        <v>6193.26</v>
      </c>
      <c r="M1108" s="22" t="n">
        <v>1.267</v>
      </c>
      <c r="N1108" s="14" t="n">
        <v>7846.86</v>
      </c>
      <c r="O1108" s="14" t="n">
        <v>1653.6</v>
      </c>
      <c r="P1108" s="21" t="n">
        <v>0.075</v>
      </c>
      <c r="Q1108" s="6" t="n">
        <v>60</v>
      </c>
      <c r="R1108" s="6" t="s">
        <v>161</v>
      </c>
      <c r="S1108" s="21" t="n">
        <v>1</v>
      </c>
      <c r="T1108" s="14" t="n">
        <v>7846.86</v>
      </c>
      <c r="U1108" s="6" t="s">
        <v>23</v>
      </c>
    </row>
    <row r="1109" customFormat="false" ht="15" hidden="false" customHeight="true" outlineLevel="0" collapsed="false">
      <c r="A1109" s="6" t="s">
        <v>2411</v>
      </c>
      <c r="B1109" s="6" t="s">
        <v>2412</v>
      </c>
      <c r="C1109" s="6" t="s">
        <v>131</v>
      </c>
      <c r="D1109" s="6" t="s">
        <v>200</v>
      </c>
      <c r="E1109" s="6" t="s">
        <v>177</v>
      </c>
      <c r="F1109" s="13" t="n">
        <v>45547</v>
      </c>
      <c r="G1109" s="13" t="n">
        <v>45663</v>
      </c>
      <c r="H1109" s="14" t="n">
        <v>25519.38</v>
      </c>
      <c r="I1109" s="6" t="n">
        <v>0</v>
      </c>
      <c r="J1109" s="6" t="n">
        <v>713</v>
      </c>
      <c r="K1109" s="6" t="s">
        <v>160</v>
      </c>
      <c r="L1109" s="14" t="n">
        <v>11907.04</v>
      </c>
      <c r="M1109" s="22" t="n">
        <v>1.25</v>
      </c>
      <c r="N1109" s="14" t="n">
        <v>14883.8</v>
      </c>
      <c r="O1109" s="14" t="n">
        <v>2976.76</v>
      </c>
      <c r="P1109" s="21" t="n">
        <v>0.15</v>
      </c>
      <c r="Q1109" s="6" t="n">
        <v>116</v>
      </c>
      <c r="R1109" s="6" t="s">
        <v>161</v>
      </c>
      <c r="S1109" s="21" t="n">
        <v>1</v>
      </c>
      <c r="T1109" s="14" t="n">
        <v>14883.8</v>
      </c>
      <c r="U1109" s="6" t="s">
        <v>43</v>
      </c>
    </row>
    <row r="1110" customFormat="false" ht="15" hidden="false" customHeight="true" outlineLevel="0" collapsed="false">
      <c r="A1110" s="6" t="s">
        <v>2413</v>
      </c>
      <c r="B1110" s="6" t="s">
        <v>2414</v>
      </c>
      <c r="C1110" s="6" t="s">
        <v>124</v>
      </c>
      <c r="D1110" s="6" t="s">
        <v>238</v>
      </c>
      <c r="E1110" s="6" t="s">
        <v>159</v>
      </c>
      <c r="F1110" s="13" t="n">
        <v>45603</v>
      </c>
      <c r="G1110" s="13" t="n">
        <v>45663</v>
      </c>
      <c r="H1110" s="14" t="n">
        <v>45425.54</v>
      </c>
      <c r="I1110" s="6" t="n">
        <v>1</v>
      </c>
      <c r="J1110" s="6" t="n">
        <v>644</v>
      </c>
      <c r="K1110" s="6" t="s">
        <v>185</v>
      </c>
      <c r="L1110" s="14" t="n">
        <v>9956.61</v>
      </c>
      <c r="M1110" s="22" t="n">
        <v>1.246</v>
      </c>
      <c r="N1110" s="14" t="n">
        <v>12405.94</v>
      </c>
      <c r="O1110" s="14" t="n">
        <v>2449.33</v>
      </c>
      <c r="P1110" s="21" t="n">
        <v>0.168</v>
      </c>
      <c r="Q1110" s="6" t="n">
        <v>60</v>
      </c>
      <c r="R1110" s="6" t="s">
        <v>155</v>
      </c>
      <c r="S1110" s="21" t="n">
        <v>0.903</v>
      </c>
      <c r="T1110" s="14" t="n">
        <v>11202.56</v>
      </c>
      <c r="U1110" s="6" t="s">
        <v>45</v>
      </c>
    </row>
    <row r="1111" customFormat="false" ht="15" hidden="false" customHeight="true" outlineLevel="0" collapsed="false">
      <c r="A1111" s="6" t="s">
        <v>2415</v>
      </c>
      <c r="B1111" s="6" t="s">
        <v>2416</v>
      </c>
      <c r="C1111" s="6" t="s">
        <v>124</v>
      </c>
      <c r="D1111" s="6" t="s">
        <v>238</v>
      </c>
      <c r="E1111" s="6" t="s">
        <v>165</v>
      </c>
      <c r="F1111" s="13" t="n">
        <v>45461</v>
      </c>
      <c r="G1111" s="13" t="n">
        <v>45575</v>
      </c>
      <c r="H1111" s="14" t="n">
        <v>106946.42</v>
      </c>
      <c r="I1111" s="6" t="n">
        <v>0</v>
      </c>
      <c r="J1111" s="6" t="n">
        <v>761</v>
      </c>
      <c r="K1111" s="6" t="s">
        <v>154</v>
      </c>
      <c r="L1111" s="14" t="n">
        <v>35915.18</v>
      </c>
      <c r="M1111" s="22" t="n">
        <v>1.189</v>
      </c>
      <c r="N1111" s="14" t="n">
        <v>42703.15</v>
      </c>
      <c r="O1111" s="14" t="n">
        <v>6787.97</v>
      </c>
      <c r="P1111" s="21" t="n">
        <v>0.105</v>
      </c>
      <c r="Q1111" s="6" t="n">
        <v>114</v>
      </c>
      <c r="R1111" s="6" t="s">
        <v>161</v>
      </c>
      <c r="S1111" s="21" t="n">
        <v>1</v>
      </c>
      <c r="T1111" s="14" t="n">
        <v>42703.15</v>
      </c>
      <c r="U1111" s="6" t="s">
        <v>40</v>
      </c>
    </row>
    <row r="1112" customFormat="false" ht="15" hidden="false" customHeight="true" outlineLevel="0" collapsed="false">
      <c r="A1112" s="6" t="s">
        <v>2417</v>
      </c>
      <c r="B1112" s="6" t="s">
        <v>2418</v>
      </c>
      <c r="C1112" s="6" t="s">
        <v>112</v>
      </c>
      <c r="D1112" s="6" t="s">
        <v>172</v>
      </c>
      <c r="E1112" s="6" t="s">
        <v>195</v>
      </c>
      <c r="F1112" s="13" t="n">
        <v>45784</v>
      </c>
      <c r="G1112" s="13" t="n">
        <v>45849</v>
      </c>
      <c r="H1112" s="14" t="n">
        <v>104319.17</v>
      </c>
      <c r="I1112" s="6" t="n">
        <v>0</v>
      </c>
      <c r="J1112" s="6" t="n">
        <v>762</v>
      </c>
      <c r="K1112" s="6" t="s">
        <v>160</v>
      </c>
      <c r="L1112" s="14" t="n">
        <v>13753.77</v>
      </c>
      <c r="M1112" s="22" t="n">
        <v>1.096</v>
      </c>
      <c r="N1112" s="14" t="n">
        <v>15074.13</v>
      </c>
      <c r="O1112" s="14" t="n">
        <v>1320.36</v>
      </c>
      <c r="P1112" s="21" t="n">
        <v>0.066</v>
      </c>
      <c r="Q1112" s="6" t="n">
        <v>65</v>
      </c>
      <c r="R1112" s="6" t="s">
        <v>155</v>
      </c>
      <c r="S1112" s="21" t="n">
        <v>0.885</v>
      </c>
      <c r="T1112" s="14" t="n">
        <v>13340.61</v>
      </c>
      <c r="U1112" s="6" t="s">
        <v>51</v>
      </c>
    </row>
    <row r="1113" customFormat="false" ht="15" hidden="false" customHeight="true" outlineLevel="0" collapsed="false">
      <c r="A1113" s="6" t="s">
        <v>2419</v>
      </c>
      <c r="B1113" s="6" t="s">
        <v>2420</v>
      </c>
      <c r="C1113" s="6" t="s">
        <v>112</v>
      </c>
      <c r="D1113" s="6" t="s">
        <v>188</v>
      </c>
      <c r="E1113" s="6" t="s">
        <v>181</v>
      </c>
      <c r="F1113" s="13" t="n">
        <v>45899</v>
      </c>
      <c r="G1113" s="13" t="n">
        <v>45986</v>
      </c>
      <c r="H1113" s="14" t="n">
        <v>10979.53</v>
      </c>
      <c r="I1113" s="6" t="n">
        <v>1</v>
      </c>
      <c r="J1113" s="6" t="n">
        <v>559</v>
      </c>
      <c r="K1113" s="6" t="s">
        <v>185</v>
      </c>
      <c r="L1113" s="14" t="n">
        <v>2000</v>
      </c>
      <c r="M1113" s="22" t="n">
        <v>1.09</v>
      </c>
      <c r="N1113" s="14" t="n">
        <v>2180</v>
      </c>
      <c r="O1113" s="14" t="n">
        <v>180</v>
      </c>
      <c r="P1113" s="21" t="n">
        <v>0.068</v>
      </c>
      <c r="Q1113" s="6" t="n">
        <v>87</v>
      </c>
      <c r="R1113" s="6" t="s">
        <v>155</v>
      </c>
      <c r="S1113" s="21" t="n">
        <v>0.75</v>
      </c>
      <c r="T1113" s="14" t="n">
        <v>1635</v>
      </c>
      <c r="U1113" s="6" t="s">
        <v>54</v>
      </c>
    </row>
    <row r="1114" customFormat="false" ht="15" hidden="false" customHeight="true" outlineLevel="0" collapsed="false">
      <c r="A1114" s="6" t="s">
        <v>2421</v>
      </c>
      <c r="B1114" s="6" t="s">
        <v>2422</v>
      </c>
      <c r="C1114" s="6" t="s">
        <v>128</v>
      </c>
      <c r="D1114" s="6" t="s">
        <v>401</v>
      </c>
      <c r="E1114" s="6" t="s">
        <v>211</v>
      </c>
      <c r="F1114" s="13" t="n">
        <v>45427</v>
      </c>
      <c r="G1114" s="13" t="n">
        <v>45487</v>
      </c>
      <c r="H1114" s="14" t="n">
        <v>231421.5</v>
      </c>
      <c r="I1114" s="6" t="n">
        <v>0</v>
      </c>
      <c r="J1114" s="6" t="n">
        <v>544</v>
      </c>
      <c r="K1114" s="6" t="s">
        <v>154</v>
      </c>
      <c r="L1114" s="14" t="n">
        <v>31237.36</v>
      </c>
      <c r="M1114" s="22" t="n">
        <v>1.209</v>
      </c>
      <c r="N1114" s="14" t="n">
        <v>37765.97</v>
      </c>
      <c r="O1114" s="14" t="n">
        <v>6528.61</v>
      </c>
      <c r="P1114" s="21" t="n">
        <v>0.096</v>
      </c>
      <c r="Q1114" s="6" t="n">
        <v>60</v>
      </c>
      <c r="R1114" s="6" t="s">
        <v>161</v>
      </c>
      <c r="S1114" s="21" t="n">
        <v>1</v>
      </c>
      <c r="T1114" s="14" t="n">
        <v>37765.97</v>
      </c>
      <c r="U1114" s="6" t="s">
        <v>39</v>
      </c>
    </row>
    <row r="1115" customFormat="false" ht="15" hidden="false" customHeight="true" outlineLevel="0" collapsed="false">
      <c r="A1115" s="6" t="s">
        <v>2423</v>
      </c>
      <c r="B1115" s="6" t="s">
        <v>2424</v>
      </c>
      <c r="C1115" s="6" t="s">
        <v>124</v>
      </c>
      <c r="D1115" s="6" t="s">
        <v>238</v>
      </c>
      <c r="E1115" s="6" t="s">
        <v>304</v>
      </c>
      <c r="F1115" s="13" t="n">
        <v>44879</v>
      </c>
      <c r="G1115" s="13" t="n">
        <v>45106</v>
      </c>
      <c r="H1115" s="14" t="n">
        <v>135159.96</v>
      </c>
      <c r="I1115" s="6" t="n">
        <v>5</v>
      </c>
      <c r="J1115" s="6" t="n">
        <v>526</v>
      </c>
      <c r="K1115" s="6" t="s">
        <v>160</v>
      </c>
      <c r="L1115" s="14" t="n">
        <v>46204.66</v>
      </c>
      <c r="M1115" s="22" t="n">
        <v>1.133</v>
      </c>
      <c r="N1115" s="14" t="n">
        <v>52349.88</v>
      </c>
      <c r="O1115" s="14" t="n">
        <v>6145.22</v>
      </c>
      <c r="P1115" s="21" t="n">
        <v>0.051</v>
      </c>
      <c r="Q1115" s="6" t="n">
        <v>227</v>
      </c>
      <c r="R1115" s="6" t="s">
        <v>155</v>
      </c>
      <c r="S1115" s="21" t="n">
        <v>0.718</v>
      </c>
      <c r="T1115" s="14" t="n">
        <v>37587.21</v>
      </c>
      <c r="U1115" s="6" t="s">
        <v>21</v>
      </c>
    </row>
    <row r="1116" customFormat="false" ht="15" hidden="false" customHeight="true" outlineLevel="0" collapsed="false">
      <c r="A1116" s="6" t="s">
        <v>2425</v>
      </c>
      <c r="B1116" s="6" t="s">
        <v>2426</v>
      </c>
      <c r="C1116" s="6" t="s">
        <v>120</v>
      </c>
      <c r="D1116" s="6" t="s">
        <v>218</v>
      </c>
      <c r="E1116" s="6" t="s">
        <v>326</v>
      </c>
      <c r="F1116" s="13" t="n">
        <v>44947</v>
      </c>
      <c r="G1116" s="13" t="n">
        <v>45220</v>
      </c>
      <c r="H1116" s="14" t="n">
        <v>127266.73</v>
      </c>
      <c r="I1116" s="6" t="n">
        <v>0</v>
      </c>
      <c r="J1116" s="6" t="n">
        <v>780</v>
      </c>
      <c r="K1116" s="6" t="s">
        <v>185</v>
      </c>
      <c r="L1116" s="14" t="n">
        <v>53038.79</v>
      </c>
      <c r="M1116" s="22" t="n">
        <v>1.247</v>
      </c>
      <c r="N1116" s="14" t="n">
        <v>66139.37</v>
      </c>
      <c r="O1116" s="14" t="n">
        <v>13100.58</v>
      </c>
      <c r="P1116" s="21" t="n">
        <v>0.057</v>
      </c>
      <c r="Q1116" s="6" t="n">
        <v>273</v>
      </c>
      <c r="R1116" s="6" t="s">
        <v>155</v>
      </c>
      <c r="S1116" s="21" t="n">
        <v>0.976</v>
      </c>
      <c r="T1116" s="14" t="n">
        <v>64552.03</v>
      </c>
      <c r="U1116" s="6" t="s">
        <v>23</v>
      </c>
    </row>
    <row r="1117" customFormat="false" ht="15" hidden="false" customHeight="true" outlineLevel="0" collapsed="false">
      <c r="A1117" s="6" t="s">
        <v>2427</v>
      </c>
      <c r="B1117" s="6" t="s">
        <v>2428</v>
      </c>
      <c r="C1117" s="6" t="s">
        <v>128</v>
      </c>
      <c r="D1117" s="6" t="s">
        <v>235</v>
      </c>
      <c r="E1117" s="6" t="s">
        <v>211</v>
      </c>
      <c r="F1117" s="13" t="n">
        <v>45474</v>
      </c>
      <c r="G1117" s="13" t="n">
        <v>45534</v>
      </c>
      <c r="H1117" s="14" t="n">
        <v>248607.92</v>
      </c>
      <c r="I1117" s="6" t="n">
        <v>0</v>
      </c>
      <c r="J1117" s="6" t="n">
        <v>633</v>
      </c>
      <c r="K1117" s="6" t="s">
        <v>185</v>
      </c>
      <c r="L1117" s="14" t="n">
        <v>21481.91</v>
      </c>
      <c r="M1117" s="22" t="n">
        <v>1.125</v>
      </c>
      <c r="N1117" s="14" t="n">
        <v>24167.15</v>
      </c>
      <c r="O1117" s="14" t="n">
        <v>2685.24</v>
      </c>
      <c r="P1117" s="21" t="n">
        <v>0.075</v>
      </c>
      <c r="Q1117" s="6" t="n">
        <v>60</v>
      </c>
      <c r="R1117" s="6" t="s">
        <v>161</v>
      </c>
      <c r="S1117" s="21" t="n">
        <v>1</v>
      </c>
      <c r="T1117" s="14" t="n">
        <v>24167.15</v>
      </c>
      <c r="U1117" s="6" t="s">
        <v>41</v>
      </c>
    </row>
    <row r="1118" customFormat="false" ht="15" hidden="false" customHeight="true" outlineLevel="0" collapsed="false">
      <c r="A1118" s="6" t="s">
        <v>2429</v>
      </c>
      <c r="B1118" s="6" t="s">
        <v>2430</v>
      </c>
      <c r="C1118" s="6" t="s">
        <v>128</v>
      </c>
      <c r="D1118" s="6" t="s">
        <v>235</v>
      </c>
      <c r="E1118" s="6" t="s">
        <v>177</v>
      </c>
      <c r="F1118" s="13" t="n">
        <v>45635</v>
      </c>
      <c r="G1118" s="13" t="n">
        <v>45727</v>
      </c>
      <c r="H1118" s="14" t="n">
        <v>47497.95</v>
      </c>
      <c r="I1118" s="6" t="n">
        <v>5</v>
      </c>
      <c r="J1118" s="6" t="n">
        <v>601</v>
      </c>
      <c r="K1118" s="6" t="s">
        <v>185</v>
      </c>
      <c r="L1118" s="14" t="n">
        <v>18542.28</v>
      </c>
      <c r="M1118" s="22" t="n">
        <v>1.27</v>
      </c>
      <c r="N1118" s="14" t="n">
        <v>23548.7</v>
      </c>
      <c r="O1118" s="14" t="n">
        <v>5006.42</v>
      </c>
      <c r="P1118" s="21" t="n">
        <v>0.16</v>
      </c>
      <c r="Q1118" s="6" t="n">
        <v>92</v>
      </c>
      <c r="R1118" s="6" t="s">
        <v>161</v>
      </c>
      <c r="S1118" s="21" t="n">
        <v>1</v>
      </c>
      <c r="T1118" s="14" t="n">
        <v>23548.7</v>
      </c>
      <c r="U1118" s="6" t="s">
        <v>46</v>
      </c>
    </row>
    <row r="1119" customFormat="false" ht="15" hidden="false" customHeight="true" outlineLevel="0" collapsed="false">
      <c r="A1119" s="6" t="s">
        <v>2431</v>
      </c>
      <c r="B1119" s="6" t="s">
        <v>2432</v>
      </c>
      <c r="C1119" s="6" t="s">
        <v>131</v>
      </c>
      <c r="D1119" s="6" t="s">
        <v>200</v>
      </c>
      <c r="E1119" s="6" t="s">
        <v>207</v>
      </c>
      <c r="F1119" s="13" t="n">
        <v>44671</v>
      </c>
      <c r="G1119" s="13" t="n">
        <v>44755</v>
      </c>
      <c r="H1119" s="14" t="n">
        <v>30362.77</v>
      </c>
      <c r="I1119" s="6" t="n">
        <v>3</v>
      </c>
      <c r="J1119" s="6" t="n">
        <v>500</v>
      </c>
      <c r="K1119" s="6" t="s">
        <v>185</v>
      </c>
      <c r="L1119" s="14" t="n">
        <v>5869.11</v>
      </c>
      <c r="M1119" s="22" t="n">
        <v>1.324</v>
      </c>
      <c r="N1119" s="14" t="n">
        <v>7770.7</v>
      </c>
      <c r="O1119" s="14" t="n">
        <v>1901.59</v>
      </c>
      <c r="P1119" s="21" t="n">
        <v>0.091</v>
      </c>
      <c r="Q1119" s="6" t="n">
        <v>84</v>
      </c>
      <c r="R1119" s="6" t="s">
        <v>161</v>
      </c>
      <c r="S1119" s="21" t="n">
        <v>1</v>
      </c>
      <c r="T1119" s="14" t="n">
        <v>7770.7</v>
      </c>
      <c r="U1119" s="6" t="s">
        <v>14</v>
      </c>
    </row>
    <row r="1120" customFormat="false" ht="15" hidden="false" customHeight="true" outlineLevel="0" collapsed="false">
      <c r="A1120" s="6" t="s">
        <v>2433</v>
      </c>
      <c r="B1120" s="6" t="s">
        <v>2434</v>
      </c>
      <c r="C1120" s="6" t="s">
        <v>112</v>
      </c>
      <c r="D1120" s="6" t="s">
        <v>172</v>
      </c>
      <c r="E1120" s="6" t="s">
        <v>184</v>
      </c>
      <c r="F1120" s="13" t="n">
        <v>44624</v>
      </c>
      <c r="G1120" s="13" t="n">
        <v>44740</v>
      </c>
      <c r="H1120" s="14" t="n">
        <v>47284.56</v>
      </c>
      <c r="I1120" s="6" t="n">
        <v>4</v>
      </c>
      <c r="J1120" s="6" t="n">
        <v>809</v>
      </c>
      <c r="K1120" s="6" t="s">
        <v>185</v>
      </c>
      <c r="L1120" s="14" t="n">
        <v>11846.55</v>
      </c>
      <c r="M1120" s="22" t="n">
        <v>1.306</v>
      </c>
      <c r="N1120" s="14" t="n">
        <v>15471.59</v>
      </c>
      <c r="O1120" s="14" t="n">
        <v>3625.04</v>
      </c>
      <c r="P1120" s="21" t="n">
        <v>0.084</v>
      </c>
      <c r="Q1120" s="6" t="n">
        <v>116</v>
      </c>
      <c r="R1120" s="6" t="s">
        <v>155</v>
      </c>
      <c r="S1120" s="21" t="n">
        <v>0.722</v>
      </c>
      <c r="T1120" s="14" t="n">
        <v>11170.49</v>
      </c>
      <c r="U1120" s="6" t="s">
        <v>13</v>
      </c>
    </row>
    <row r="1121" customFormat="false" ht="15" hidden="false" customHeight="true" outlineLevel="0" collapsed="false">
      <c r="A1121" s="6" t="s">
        <v>2435</v>
      </c>
      <c r="B1121" s="6" t="s">
        <v>2436</v>
      </c>
      <c r="C1121" s="6" t="s">
        <v>116</v>
      </c>
      <c r="D1121" s="6" t="s">
        <v>152</v>
      </c>
      <c r="E1121" s="6" t="s">
        <v>304</v>
      </c>
      <c r="F1121" s="13" t="n">
        <v>45381</v>
      </c>
      <c r="G1121" s="13" t="n">
        <v>45498</v>
      </c>
      <c r="H1121" s="14" t="n">
        <v>163901.43</v>
      </c>
      <c r="I1121" s="6" t="n">
        <v>3</v>
      </c>
      <c r="J1121" s="6" t="n">
        <v>782</v>
      </c>
      <c r="K1121" s="6" t="s">
        <v>160</v>
      </c>
      <c r="L1121" s="14" t="n">
        <v>62400.57</v>
      </c>
      <c r="M1121" s="22" t="n">
        <v>1.194</v>
      </c>
      <c r="N1121" s="14" t="n">
        <v>74506.28</v>
      </c>
      <c r="O1121" s="14" t="n">
        <v>12105.71</v>
      </c>
      <c r="P1121" s="21" t="n">
        <v>0.116</v>
      </c>
      <c r="Q1121" s="6" t="n">
        <v>117</v>
      </c>
      <c r="R1121" s="6" t="s">
        <v>155</v>
      </c>
      <c r="S1121" s="21" t="n">
        <v>0.881</v>
      </c>
      <c r="T1121" s="14" t="n">
        <v>65640.03</v>
      </c>
      <c r="U1121" s="6" t="s">
        <v>37</v>
      </c>
    </row>
    <row r="1122" customFormat="false" ht="15" hidden="false" customHeight="true" outlineLevel="0" collapsed="false">
      <c r="A1122" s="6" t="s">
        <v>2437</v>
      </c>
      <c r="B1122" s="6" t="s">
        <v>2438</v>
      </c>
      <c r="C1122" s="6" t="s">
        <v>131</v>
      </c>
      <c r="D1122" s="6" t="s">
        <v>200</v>
      </c>
      <c r="E1122" s="6" t="s">
        <v>181</v>
      </c>
      <c r="F1122" s="13" t="n">
        <v>45552</v>
      </c>
      <c r="G1122" s="13" t="n">
        <v>45829</v>
      </c>
      <c r="H1122" s="14" t="n">
        <v>187764.87</v>
      </c>
      <c r="I1122" s="6" t="n">
        <v>2</v>
      </c>
      <c r="J1122" s="6" t="n">
        <v>702</v>
      </c>
      <c r="K1122" s="6" t="s">
        <v>154</v>
      </c>
      <c r="L1122" s="14" t="n">
        <v>74365.67</v>
      </c>
      <c r="M1122" s="22" t="n">
        <v>1.309</v>
      </c>
      <c r="N1122" s="14" t="n">
        <v>97344.66</v>
      </c>
      <c r="O1122" s="14" t="n">
        <v>22978.99</v>
      </c>
      <c r="P1122" s="21" t="n">
        <v>0.056</v>
      </c>
      <c r="Q1122" s="6" t="n">
        <v>277</v>
      </c>
      <c r="R1122" s="6" t="s">
        <v>161</v>
      </c>
      <c r="S1122" s="21" t="n">
        <v>1</v>
      </c>
      <c r="T1122" s="14" t="n">
        <v>97344.66</v>
      </c>
      <c r="U1122" s="6" t="s">
        <v>43</v>
      </c>
    </row>
    <row r="1123" customFormat="false" ht="15" hidden="false" customHeight="true" outlineLevel="0" collapsed="false">
      <c r="A1123" s="6" t="s">
        <v>2439</v>
      </c>
      <c r="B1123" s="6" t="s">
        <v>2440</v>
      </c>
      <c r="C1123" s="6" t="s">
        <v>116</v>
      </c>
      <c r="D1123" s="6" t="s">
        <v>206</v>
      </c>
      <c r="E1123" s="6" t="s">
        <v>173</v>
      </c>
      <c r="F1123" s="13" t="n">
        <v>44634</v>
      </c>
      <c r="G1123" s="13" t="n">
        <v>44700</v>
      </c>
      <c r="H1123" s="14" t="n">
        <v>154556.05</v>
      </c>
      <c r="I1123" s="6" t="n">
        <v>3</v>
      </c>
      <c r="J1123" s="6" t="n">
        <v>592</v>
      </c>
      <c r="K1123" s="6" t="s">
        <v>185</v>
      </c>
      <c r="L1123" s="14" t="n">
        <v>44694.67</v>
      </c>
      <c r="M1123" s="22" t="n">
        <v>1.241</v>
      </c>
      <c r="N1123" s="14" t="n">
        <v>55466.09</v>
      </c>
      <c r="O1123" s="14" t="n">
        <v>10771.42</v>
      </c>
      <c r="P1123" s="21" t="n">
        <v>0.162</v>
      </c>
      <c r="Q1123" s="6" t="n">
        <v>66</v>
      </c>
      <c r="R1123" s="6" t="s">
        <v>155</v>
      </c>
      <c r="S1123" s="21" t="n">
        <v>0.952</v>
      </c>
      <c r="T1123" s="14" t="n">
        <v>52803.72</v>
      </c>
      <c r="U1123" s="6" t="s">
        <v>13</v>
      </c>
    </row>
    <row r="1124" customFormat="false" ht="15" hidden="false" customHeight="true" outlineLevel="0" collapsed="false">
      <c r="A1124" s="6" t="s">
        <v>2441</v>
      </c>
      <c r="B1124" s="6" t="s">
        <v>2442</v>
      </c>
      <c r="C1124" s="6" t="s">
        <v>112</v>
      </c>
      <c r="D1124" s="6" t="s">
        <v>188</v>
      </c>
      <c r="E1124" s="6" t="s">
        <v>189</v>
      </c>
      <c r="F1124" s="13" t="n">
        <v>45582</v>
      </c>
      <c r="G1124" s="13" t="n">
        <v>45649</v>
      </c>
      <c r="H1124" s="14" t="n">
        <v>88401.39</v>
      </c>
      <c r="I1124" s="6" t="n">
        <v>0</v>
      </c>
      <c r="J1124" s="6" t="n">
        <v>677</v>
      </c>
      <c r="K1124" s="6" t="s">
        <v>160</v>
      </c>
      <c r="L1124" s="14" t="n">
        <v>17739.21</v>
      </c>
      <c r="M1124" s="22" t="n">
        <v>1.13</v>
      </c>
      <c r="N1124" s="14" t="n">
        <v>20045.31</v>
      </c>
      <c r="O1124" s="14" t="n">
        <v>2306.1</v>
      </c>
      <c r="P1124" s="21" t="n">
        <v>0.101</v>
      </c>
      <c r="Q1124" s="6" t="n">
        <v>67</v>
      </c>
      <c r="R1124" s="6" t="s">
        <v>155</v>
      </c>
      <c r="S1124" s="21" t="n">
        <v>0.701</v>
      </c>
      <c r="T1124" s="14" t="n">
        <v>14051.76</v>
      </c>
      <c r="U1124" s="6" t="s">
        <v>44</v>
      </c>
    </row>
    <row r="1125" customFormat="false" ht="15" hidden="false" customHeight="true" outlineLevel="0" collapsed="false">
      <c r="A1125" s="6" t="s">
        <v>2443</v>
      </c>
      <c r="B1125" s="6" t="s">
        <v>2444</v>
      </c>
      <c r="C1125" s="6" t="s">
        <v>131</v>
      </c>
      <c r="D1125" s="6" t="s">
        <v>200</v>
      </c>
      <c r="E1125" s="6" t="s">
        <v>159</v>
      </c>
      <c r="F1125" s="13" t="n">
        <v>44941</v>
      </c>
      <c r="G1125" s="13" t="n">
        <v>45010</v>
      </c>
      <c r="H1125" s="14" t="n">
        <v>177288.12</v>
      </c>
      <c r="I1125" s="6" t="n">
        <v>3</v>
      </c>
      <c r="J1125" s="6" t="n">
        <v>558</v>
      </c>
      <c r="K1125" s="6" t="s">
        <v>154</v>
      </c>
      <c r="L1125" s="14" t="n">
        <v>47328.59</v>
      </c>
      <c r="M1125" s="22" t="n">
        <v>1.121</v>
      </c>
      <c r="N1125" s="14" t="n">
        <v>53055.35</v>
      </c>
      <c r="O1125" s="14" t="n">
        <v>5726.76</v>
      </c>
      <c r="P1125" s="21" t="n">
        <v>0.129</v>
      </c>
      <c r="Q1125" s="6" t="n">
        <v>69</v>
      </c>
      <c r="R1125" s="6" t="s">
        <v>155</v>
      </c>
      <c r="S1125" s="21" t="n">
        <v>0.908</v>
      </c>
      <c r="T1125" s="14" t="n">
        <v>48174.26</v>
      </c>
      <c r="U1125" s="6" t="s">
        <v>23</v>
      </c>
    </row>
    <row r="1126" customFormat="false" ht="15" hidden="false" customHeight="true" outlineLevel="0" collapsed="false">
      <c r="A1126" s="6" t="s">
        <v>2445</v>
      </c>
      <c r="B1126" s="6" t="s">
        <v>2446</v>
      </c>
      <c r="C1126" s="6" t="s">
        <v>112</v>
      </c>
      <c r="D1126" s="6" t="s">
        <v>164</v>
      </c>
      <c r="E1126" s="6" t="s">
        <v>177</v>
      </c>
      <c r="F1126" s="13" t="n">
        <v>45937</v>
      </c>
      <c r="G1126" s="13" t="n">
        <v>46070</v>
      </c>
      <c r="H1126" s="14" t="n">
        <v>174759.1</v>
      </c>
      <c r="I1126" s="6" t="n">
        <v>2</v>
      </c>
      <c r="J1126" s="6" t="n">
        <v>675</v>
      </c>
      <c r="K1126" s="6" t="s">
        <v>185</v>
      </c>
      <c r="L1126" s="14" t="n">
        <v>63026.54</v>
      </c>
      <c r="M1126" s="22" t="n">
        <v>1.244</v>
      </c>
      <c r="N1126" s="14" t="n">
        <v>78405.02</v>
      </c>
      <c r="O1126" s="14" t="n">
        <v>15378.48</v>
      </c>
      <c r="P1126" s="21" t="n">
        <v>0.101</v>
      </c>
      <c r="Q1126" s="6" t="n">
        <v>133</v>
      </c>
      <c r="R1126" s="6" t="s">
        <v>155</v>
      </c>
      <c r="S1126" s="21" t="n">
        <v>0.871</v>
      </c>
      <c r="T1126" s="14" t="n">
        <v>68290.77</v>
      </c>
      <c r="U1126" s="6" t="s">
        <v>56</v>
      </c>
    </row>
    <row r="1127" customFormat="false" ht="15" hidden="false" customHeight="true" outlineLevel="0" collapsed="false">
      <c r="A1127" s="6" t="s">
        <v>2447</v>
      </c>
      <c r="B1127" s="6" t="s">
        <v>2448</v>
      </c>
      <c r="C1127" s="6" t="s">
        <v>116</v>
      </c>
      <c r="D1127" s="6" t="s">
        <v>206</v>
      </c>
      <c r="E1127" s="6" t="s">
        <v>201</v>
      </c>
      <c r="F1127" s="13" t="n">
        <v>45640</v>
      </c>
      <c r="G1127" s="13" t="n">
        <v>45700</v>
      </c>
      <c r="H1127" s="14" t="n">
        <v>222529.24</v>
      </c>
      <c r="I1127" s="6" t="n">
        <v>3</v>
      </c>
      <c r="J1127" s="6" t="n">
        <v>652</v>
      </c>
      <c r="K1127" s="6" t="s">
        <v>160</v>
      </c>
      <c r="L1127" s="14" t="n">
        <v>41797.77</v>
      </c>
      <c r="M1127" s="22" t="n">
        <v>1.108</v>
      </c>
      <c r="N1127" s="14" t="n">
        <v>46311.93</v>
      </c>
      <c r="O1127" s="14" t="n">
        <v>4514.16</v>
      </c>
      <c r="P1127" s="21" t="n">
        <v>0.112</v>
      </c>
      <c r="Q1127" s="6" t="n">
        <v>60</v>
      </c>
      <c r="R1127" s="6" t="s">
        <v>232</v>
      </c>
      <c r="S1127" s="21" t="n">
        <v>1</v>
      </c>
      <c r="T1127" s="14" t="n">
        <v>46311.93</v>
      </c>
      <c r="U1127" s="6" t="s">
        <v>46</v>
      </c>
    </row>
    <row r="1128" customFormat="false" ht="15" hidden="false" customHeight="true" outlineLevel="0" collapsed="false">
      <c r="A1128" s="6" t="s">
        <v>2449</v>
      </c>
      <c r="B1128" s="6" t="s">
        <v>2450</v>
      </c>
      <c r="C1128" s="6" t="s">
        <v>128</v>
      </c>
      <c r="D1128" s="6" t="s">
        <v>172</v>
      </c>
      <c r="E1128" s="6" t="s">
        <v>173</v>
      </c>
      <c r="F1128" s="13" t="n">
        <v>45179</v>
      </c>
      <c r="G1128" s="13" t="n">
        <v>45239</v>
      </c>
      <c r="H1128" s="14" t="n">
        <v>248914.32</v>
      </c>
      <c r="I1128" s="6" t="n">
        <v>1</v>
      </c>
      <c r="J1128" s="6" t="n">
        <v>643</v>
      </c>
      <c r="K1128" s="6" t="s">
        <v>160</v>
      </c>
      <c r="L1128" s="14" t="n">
        <v>26064.19</v>
      </c>
      <c r="M1128" s="22" t="n">
        <v>1.33</v>
      </c>
      <c r="N1128" s="14" t="n">
        <v>34665.37</v>
      </c>
      <c r="O1128" s="14" t="n">
        <v>8601.18</v>
      </c>
      <c r="P1128" s="21" t="n">
        <v>0.16</v>
      </c>
      <c r="Q1128" s="6" t="n">
        <v>60</v>
      </c>
      <c r="R1128" s="6" t="s">
        <v>155</v>
      </c>
      <c r="S1128" s="21" t="n">
        <v>0.909</v>
      </c>
      <c r="T1128" s="14" t="n">
        <v>31510.82</v>
      </c>
      <c r="U1128" s="6" t="s">
        <v>31</v>
      </c>
    </row>
    <row r="1129" customFormat="false" ht="15" hidden="false" customHeight="true" outlineLevel="0" collapsed="false">
      <c r="A1129" s="6" t="s">
        <v>2451</v>
      </c>
      <c r="B1129" s="6" t="s">
        <v>2452</v>
      </c>
      <c r="C1129" s="6" t="s">
        <v>124</v>
      </c>
      <c r="D1129" s="6" t="s">
        <v>238</v>
      </c>
      <c r="E1129" s="6" t="s">
        <v>192</v>
      </c>
      <c r="F1129" s="13" t="n">
        <v>45291</v>
      </c>
      <c r="G1129" s="13" t="n">
        <v>45403</v>
      </c>
      <c r="H1129" s="14" t="n">
        <v>211839.99</v>
      </c>
      <c r="I1129" s="6" t="n">
        <v>0</v>
      </c>
      <c r="J1129" s="6" t="n">
        <v>510</v>
      </c>
      <c r="K1129" s="6" t="s">
        <v>185</v>
      </c>
      <c r="L1129" s="14" t="n">
        <v>54650.93</v>
      </c>
      <c r="M1129" s="22" t="n">
        <v>1.167</v>
      </c>
      <c r="N1129" s="14" t="n">
        <v>63777.64</v>
      </c>
      <c r="O1129" s="14" t="n">
        <v>9126.71</v>
      </c>
      <c r="P1129" s="21" t="n">
        <v>0.08</v>
      </c>
      <c r="Q1129" s="6" t="n">
        <v>112</v>
      </c>
      <c r="R1129" s="6" t="s">
        <v>161</v>
      </c>
      <c r="S1129" s="21" t="n">
        <v>1</v>
      </c>
      <c r="T1129" s="14" t="n">
        <v>63777.64</v>
      </c>
      <c r="U1129" s="6" t="s">
        <v>34</v>
      </c>
    </row>
    <row r="1130" customFormat="false" ht="15" hidden="false" customHeight="true" outlineLevel="0" collapsed="false">
      <c r="A1130" s="6" t="s">
        <v>2453</v>
      </c>
      <c r="B1130" s="6" t="s">
        <v>2454</v>
      </c>
      <c r="C1130" s="6" t="s">
        <v>116</v>
      </c>
      <c r="D1130" s="6" t="s">
        <v>152</v>
      </c>
      <c r="E1130" s="6" t="s">
        <v>304</v>
      </c>
      <c r="F1130" s="13" t="n">
        <v>45039</v>
      </c>
      <c r="G1130" s="13" t="n">
        <v>45105</v>
      </c>
      <c r="H1130" s="14" t="n">
        <v>115992.06</v>
      </c>
      <c r="I1130" s="6" t="n">
        <v>0</v>
      </c>
      <c r="J1130" s="6" t="n">
        <v>632</v>
      </c>
      <c r="K1130" s="6" t="s">
        <v>185</v>
      </c>
      <c r="L1130" s="14" t="n">
        <v>15917.82</v>
      </c>
      <c r="M1130" s="22" t="n">
        <v>1.268</v>
      </c>
      <c r="N1130" s="14" t="n">
        <v>20183.8</v>
      </c>
      <c r="O1130" s="14" t="n">
        <v>4265.98</v>
      </c>
      <c r="P1130" s="21" t="n">
        <v>0.078</v>
      </c>
      <c r="Q1130" s="6" t="n">
        <v>66</v>
      </c>
      <c r="R1130" s="6" t="s">
        <v>155</v>
      </c>
      <c r="S1130" s="21" t="n">
        <v>0.901</v>
      </c>
      <c r="T1130" s="14" t="n">
        <v>18185.6</v>
      </c>
      <c r="U1130" s="6" t="s">
        <v>26</v>
      </c>
    </row>
    <row r="1131" customFormat="false" ht="15" hidden="false" customHeight="true" outlineLevel="0" collapsed="false">
      <c r="A1131" s="6" t="s">
        <v>2455</v>
      </c>
      <c r="B1131" s="6" t="s">
        <v>2456</v>
      </c>
      <c r="C1131" s="6" t="s">
        <v>112</v>
      </c>
      <c r="D1131" s="6" t="s">
        <v>225</v>
      </c>
      <c r="E1131" s="6" t="s">
        <v>211</v>
      </c>
      <c r="F1131" s="13" t="n">
        <v>45149</v>
      </c>
      <c r="G1131" s="13" t="n">
        <v>45234</v>
      </c>
      <c r="H1131" s="14" t="n">
        <v>146481.23</v>
      </c>
      <c r="I1131" s="6" t="n">
        <v>2</v>
      </c>
      <c r="J1131" s="6" t="n">
        <v>509</v>
      </c>
      <c r="K1131" s="6" t="s">
        <v>154</v>
      </c>
      <c r="L1131" s="14" t="n">
        <v>52824.8</v>
      </c>
      <c r="M1131" s="22" t="n">
        <v>1.317</v>
      </c>
      <c r="N1131" s="14" t="n">
        <v>69570.26</v>
      </c>
      <c r="O1131" s="14" t="n">
        <v>16745.46</v>
      </c>
      <c r="P1131" s="21" t="n">
        <v>0.167</v>
      </c>
      <c r="Q1131" s="6" t="n">
        <v>85</v>
      </c>
      <c r="R1131" s="6" t="s">
        <v>490</v>
      </c>
      <c r="S1131" s="21" t="n">
        <v>0.404</v>
      </c>
      <c r="T1131" s="14" t="n">
        <v>28106.39</v>
      </c>
      <c r="U1131" s="6" t="s">
        <v>30</v>
      </c>
    </row>
    <row r="1132" customFormat="false" ht="15" hidden="false" customHeight="true" outlineLevel="0" collapsed="false">
      <c r="A1132" s="6" t="s">
        <v>2457</v>
      </c>
      <c r="B1132" s="6" t="s">
        <v>2458</v>
      </c>
      <c r="C1132" s="6" t="s">
        <v>124</v>
      </c>
      <c r="D1132" s="6" t="s">
        <v>243</v>
      </c>
      <c r="E1132" s="6" t="s">
        <v>254</v>
      </c>
      <c r="F1132" s="13" t="n">
        <v>44608</v>
      </c>
      <c r="G1132" s="13" t="n">
        <v>44670</v>
      </c>
      <c r="H1132" s="14" t="n">
        <v>13863.34</v>
      </c>
      <c r="I1132" s="6" t="n">
        <v>1</v>
      </c>
      <c r="J1132" s="6" t="n">
        <v>551</v>
      </c>
      <c r="K1132" s="6" t="s">
        <v>154</v>
      </c>
      <c r="L1132" s="14" t="n">
        <v>3894.22</v>
      </c>
      <c r="M1132" s="22" t="n">
        <v>1.299</v>
      </c>
      <c r="N1132" s="14" t="n">
        <v>5058.59</v>
      </c>
      <c r="O1132" s="14" t="n">
        <v>1164.37</v>
      </c>
      <c r="P1132" s="21" t="n">
        <v>0.176</v>
      </c>
      <c r="Q1132" s="6" t="n">
        <v>62</v>
      </c>
      <c r="R1132" s="6" t="s">
        <v>155</v>
      </c>
      <c r="S1132" s="21" t="n">
        <v>0.81</v>
      </c>
      <c r="T1132" s="14" t="n">
        <v>4097.46</v>
      </c>
      <c r="U1132" s="6" t="s">
        <v>12</v>
      </c>
    </row>
    <row r="1133" customFormat="false" ht="15" hidden="false" customHeight="true" outlineLevel="0" collapsed="false">
      <c r="A1133" s="6" t="s">
        <v>2459</v>
      </c>
      <c r="B1133" s="6" t="s">
        <v>2460</v>
      </c>
      <c r="C1133" s="6" t="s">
        <v>131</v>
      </c>
      <c r="D1133" s="6" t="s">
        <v>200</v>
      </c>
      <c r="E1133" s="6" t="s">
        <v>326</v>
      </c>
      <c r="F1133" s="13" t="n">
        <v>45864</v>
      </c>
      <c r="G1133" s="13" t="n">
        <v>46040</v>
      </c>
      <c r="H1133" s="14" t="n">
        <v>196709.39</v>
      </c>
      <c r="I1133" s="6" t="n">
        <v>3</v>
      </c>
      <c r="J1133" s="6" t="n">
        <v>643</v>
      </c>
      <c r="K1133" s="6" t="s">
        <v>160</v>
      </c>
      <c r="L1133" s="14" t="n">
        <v>56526.1</v>
      </c>
      <c r="M1133" s="22" t="n">
        <v>1.165</v>
      </c>
      <c r="N1133" s="14" t="n">
        <v>65852.91</v>
      </c>
      <c r="O1133" s="14" t="n">
        <v>9326.81</v>
      </c>
      <c r="P1133" s="21" t="n">
        <v>0.057</v>
      </c>
      <c r="Q1133" s="6" t="n">
        <v>176</v>
      </c>
      <c r="R1133" s="6" t="s">
        <v>161</v>
      </c>
      <c r="S1133" s="21" t="n">
        <v>1</v>
      </c>
      <c r="T1133" s="14" t="n">
        <v>65852.91</v>
      </c>
      <c r="U1133" s="6" t="s">
        <v>53</v>
      </c>
    </row>
    <row r="1134" customFormat="false" ht="15" hidden="false" customHeight="true" outlineLevel="0" collapsed="false">
      <c r="A1134" s="6" t="s">
        <v>2461</v>
      </c>
      <c r="B1134" s="6" t="s">
        <v>2462</v>
      </c>
      <c r="C1134" s="6" t="s">
        <v>120</v>
      </c>
      <c r="D1134" s="6" t="s">
        <v>210</v>
      </c>
      <c r="E1134" s="6" t="s">
        <v>177</v>
      </c>
      <c r="F1134" s="13" t="n">
        <v>45083</v>
      </c>
      <c r="G1134" s="13" t="n">
        <v>45143</v>
      </c>
      <c r="H1134" s="14" t="n">
        <v>82857.67</v>
      </c>
      <c r="I1134" s="6" t="n">
        <v>0</v>
      </c>
      <c r="J1134" s="6" t="n">
        <v>812</v>
      </c>
      <c r="K1134" s="6" t="s">
        <v>154</v>
      </c>
      <c r="L1134" s="14" t="n">
        <v>7570.56</v>
      </c>
      <c r="M1134" s="22" t="n">
        <v>1.086</v>
      </c>
      <c r="N1134" s="14" t="n">
        <v>8221.63</v>
      </c>
      <c r="O1134" s="14" t="n">
        <v>651.07</v>
      </c>
      <c r="P1134" s="21" t="n">
        <v>0.143</v>
      </c>
      <c r="Q1134" s="6" t="n">
        <v>60</v>
      </c>
      <c r="R1134" s="6" t="s">
        <v>155</v>
      </c>
      <c r="S1134" s="21" t="n">
        <v>0.788</v>
      </c>
      <c r="T1134" s="14" t="n">
        <v>6478.64</v>
      </c>
      <c r="U1134" s="6" t="s">
        <v>28</v>
      </c>
    </row>
    <row r="1135" customFormat="false" ht="15" hidden="false" customHeight="true" outlineLevel="0" collapsed="false">
      <c r="A1135" s="6" t="s">
        <v>2463</v>
      </c>
      <c r="B1135" s="6" t="s">
        <v>2464</v>
      </c>
      <c r="C1135" s="6" t="s">
        <v>124</v>
      </c>
      <c r="D1135" s="6" t="s">
        <v>243</v>
      </c>
      <c r="E1135" s="6" t="s">
        <v>219</v>
      </c>
      <c r="F1135" s="13" t="n">
        <v>44780</v>
      </c>
      <c r="G1135" s="13" t="n">
        <v>44902</v>
      </c>
      <c r="H1135" s="14" t="n">
        <v>241817.8</v>
      </c>
      <c r="I1135" s="6" t="n">
        <v>1</v>
      </c>
      <c r="J1135" s="6" t="n">
        <v>723</v>
      </c>
      <c r="K1135" s="6" t="s">
        <v>160</v>
      </c>
      <c r="L1135" s="14" t="n">
        <v>58266.49</v>
      </c>
      <c r="M1135" s="22" t="n">
        <v>1.217</v>
      </c>
      <c r="N1135" s="14" t="n">
        <v>70910.32</v>
      </c>
      <c r="O1135" s="14" t="n">
        <v>12643.83</v>
      </c>
      <c r="P1135" s="21" t="n">
        <v>0.072</v>
      </c>
      <c r="Q1135" s="6" t="n">
        <v>122</v>
      </c>
      <c r="R1135" s="6" t="s">
        <v>155</v>
      </c>
      <c r="S1135" s="21" t="n">
        <v>0.834</v>
      </c>
      <c r="T1135" s="14" t="n">
        <v>59139.21</v>
      </c>
      <c r="U1135" s="6" t="s">
        <v>18</v>
      </c>
    </row>
    <row r="1136" customFormat="false" ht="15" hidden="false" customHeight="true" outlineLevel="0" collapsed="false">
      <c r="A1136" s="6" t="s">
        <v>2465</v>
      </c>
      <c r="B1136" s="6" t="s">
        <v>2466</v>
      </c>
      <c r="C1136" s="6" t="s">
        <v>112</v>
      </c>
      <c r="D1136" s="6" t="s">
        <v>225</v>
      </c>
      <c r="E1136" s="6" t="s">
        <v>177</v>
      </c>
      <c r="F1136" s="13" t="n">
        <v>46120</v>
      </c>
      <c r="G1136" s="13" t="n">
        <v>46259</v>
      </c>
      <c r="H1136" s="14" t="n">
        <v>82363.98</v>
      </c>
      <c r="I1136" s="6" t="n">
        <v>1</v>
      </c>
      <c r="J1136" s="6" t="n">
        <v>632</v>
      </c>
      <c r="K1136" s="6" t="s">
        <v>160</v>
      </c>
      <c r="L1136" s="14" t="n">
        <v>26917.42</v>
      </c>
      <c r="M1136" s="22" t="n">
        <v>1.24</v>
      </c>
      <c r="N1136" s="14" t="n">
        <v>33377.6</v>
      </c>
      <c r="O1136" s="14" t="n">
        <v>6460.18</v>
      </c>
      <c r="P1136" s="21" t="n">
        <v>0.087</v>
      </c>
      <c r="Q1136" s="6" t="n">
        <v>139</v>
      </c>
      <c r="R1136" s="6" t="s">
        <v>155</v>
      </c>
      <c r="S1136" s="21" t="n">
        <v>0.801</v>
      </c>
      <c r="T1136" s="14" t="n">
        <v>26735.46</v>
      </c>
      <c r="U1136" s="6" t="s">
        <v>62</v>
      </c>
    </row>
    <row r="1137" customFormat="false" ht="15" hidden="false" customHeight="true" outlineLevel="0" collapsed="false">
      <c r="A1137" s="6" t="s">
        <v>2467</v>
      </c>
      <c r="B1137" s="6" t="s">
        <v>2468</v>
      </c>
      <c r="C1137" s="6" t="s">
        <v>131</v>
      </c>
      <c r="D1137" s="6" t="s">
        <v>200</v>
      </c>
      <c r="E1137" s="6" t="s">
        <v>165</v>
      </c>
      <c r="F1137" s="13" t="n">
        <v>45154</v>
      </c>
      <c r="G1137" s="13" t="n">
        <v>45214</v>
      </c>
      <c r="H1137" s="14" t="n">
        <v>90221.2</v>
      </c>
      <c r="I1137" s="6" t="n">
        <v>2</v>
      </c>
      <c r="J1137" s="6" t="n">
        <v>674</v>
      </c>
      <c r="K1137" s="6" t="s">
        <v>185</v>
      </c>
      <c r="L1137" s="14" t="n">
        <v>19132.55</v>
      </c>
      <c r="M1137" s="22" t="n">
        <v>1.237</v>
      </c>
      <c r="N1137" s="14" t="n">
        <v>23666.96</v>
      </c>
      <c r="O1137" s="14" t="n">
        <v>4534.41</v>
      </c>
      <c r="P1137" s="21" t="n">
        <v>0.134</v>
      </c>
      <c r="Q1137" s="6" t="n">
        <v>60</v>
      </c>
      <c r="R1137" s="6" t="s">
        <v>161</v>
      </c>
      <c r="S1137" s="21" t="n">
        <v>1</v>
      </c>
      <c r="T1137" s="14" t="n">
        <v>23666.96</v>
      </c>
      <c r="U1137" s="6" t="s">
        <v>30</v>
      </c>
    </row>
    <row r="1138" customFormat="false" ht="15" hidden="false" customHeight="true" outlineLevel="0" collapsed="false">
      <c r="A1138" s="6" t="s">
        <v>2469</v>
      </c>
      <c r="B1138" s="6" t="s">
        <v>2470</v>
      </c>
      <c r="C1138" s="6" t="s">
        <v>112</v>
      </c>
      <c r="D1138" s="6" t="s">
        <v>164</v>
      </c>
      <c r="E1138" s="6" t="s">
        <v>159</v>
      </c>
      <c r="F1138" s="13" t="n">
        <v>45732</v>
      </c>
      <c r="G1138" s="13" t="n">
        <v>45809</v>
      </c>
      <c r="H1138" s="14" t="n">
        <v>74353</v>
      </c>
      <c r="I1138" s="6" t="n">
        <v>0</v>
      </c>
      <c r="J1138" s="6" t="n">
        <v>536</v>
      </c>
      <c r="K1138" s="6" t="s">
        <v>154</v>
      </c>
      <c r="L1138" s="14" t="n">
        <v>25844.72</v>
      </c>
      <c r="M1138" s="22" t="n">
        <v>1.194</v>
      </c>
      <c r="N1138" s="14" t="n">
        <v>30858.6</v>
      </c>
      <c r="O1138" s="14" t="n">
        <v>5013.88</v>
      </c>
      <c r="P1138" s="21" t="n">
        <v>0.16</v>
      </c>
      <c r="Q1138" s="6" t="n">
        <v>77</v>
      </c>
      <c r="R1138" s="6" t="s">
        <v>161</v>
      </c>
      <c r="S1138" s="21" t="n">
        <v>1</v>
      </c>
      <c r="T1138" s="14" t="n">
        <v>30858.6</v>
      </c>
      <c r="U1138" s="6" t="s">
        <v>49</v>
      </c>
    </row>
    <row r="1139" customFormat="false" ht="15" hidden="false" customHeight="true" outlineLevel="0" collapsed="false">
      <c r="A1139" s="6" t="s">
        <v>2471</v>
      </c>
      <c r="B1139" s="6" t="s">
        <v>2472</v>
      </c>
      <c r="C1139" s="6" t="s">
        <v>124</v>
      </c>
      <c r="D1139" s="6" t="s">
        <v>168</v>
      </c>
      <c r="E1139" s="6" t="s">
        <v>189</v>
      </c>
      <c r="F1139" s="13" t="n">
        <v>45848</v>
      </c>
      <c r="G1139" s="13" t="n">
        <v>45993</v>
      </c>
      <c r="H1139" s="14" t="n">
        <v>128084.6</v>
      </c>
      <c r="I1139" s="6" t="n">
        <v>4</v>
      </c>
      <c r="J1139" s="6" t="n">
        <v>505</v>
      </c>
      <c r="K1139" s="6" t="s">
        <v>160</v>
      </c>
      <c r="L1139" s="14" t="n">
        <v>34706.1</v>
      </c>
      <c r="M1139" s="22" t="n">
        <v>1.166</v>
      </c>
      <c r="N1139" s="14" t="n">
        <v>40467.31</v>
      </c>
      <c r="O1139" s="14" t="n">
        <v>5761.21</v>
      </c>
      <c r="P1139" s="21" t="n">
        <v>0.065</v>
      </c>
      <c r="Q1139" s="6" t="n">
        <v>145</v>
      </c>
      <c r="R1139" s="6" t="s">
        <v>161</v>
      </c>
      <c r="S1139" s="21" t="n">
        <v>1</v>
      </c>
      <c r="T1139" s="14" t="n">
        <v>40467.31</v>
      </c>
      <c r="U1139" s="6" t="s">
        <v>53</v>
      </c>
    </row>
    <row r="1140" customFormat="false" ht="15" hidden="false" customHeight="true" outlineLevel="0" collapsed="false">
      <c r="A1140" s="6" t="s">
        <v>2473</v>
      </c>
      <c r="B1140" s="6" t="s">
        <v>2474</v>
      </c>
      <c r="C1140" s="6" t="s">
        <v>124</v>
      </c>
      <c r="D1140" s="6" t="s">
        <v>180</v>
      </c>
      <c r="E1140" s="6" t="s">
        <v>254</v>
      </c>
      <c r="F1140" s="13" t="n">
        <v>45251</v>
      </c>
      <c r="G1140" s="13" t="n">
        <v>45401</v>
      </c>
      <c r="H1140" s="14" t="n">
        <v>97588.93</v>
      </c>
      <c r="I1140" s="6" t="n">
        <v>5</v>
      </c>
      <c r="J1140" s="6" t="n">
        <v>569</v>
      </c>
      <c r="K1140" s="6" t="s">
        <v>160</v>
      </c>
      <c r="L1140" s="14" t="n">
        <v>32405.38</v>
      </c>
      <c r="M1140" s="22" t="n">
        <v>1.282</v>
      </c>
      <c r="N1140" s="14" t="n">
        <v>41543.7</v>
      </c>
      <c r="O1140" s="14" t="n">
        <v>9138.32</v>
      </c>
      <c r="P1140" s="21" t="n">
        <v>0.085</v>
      </c>
      <c r="Q1140" s="6" t="n">
        <v>150</v>
      </c>
      <c r="R1140" s="6" t="s">
        <v>309</v>
      </c>
      <c r="S1140" s="21" t="n">
        <v>0.44</v>
      </c>
      <c r="T1140" s="14" t="n">
        <v>18279.23</v>
      </c>
      <c r="U1140" s="6" t="s">
        <v>33</v>
      </c>
    </row>
    <row r="1141" customFormat="false" ht="15" hidden="false" customHeight="true" outlineLevel="0" collapsed="false">
      <c r="A1141" s="6" t="s">
        <v>2475</v>
      </c>
      <c r="B1141" s="6" t="s">
        <v>2476</v>
      </c>
      <c r="C1141" s="6" t="s">
        <v>124</v>
      </c>
      <c r="D1141" s="6" t="s">
        <v>168</v>
      </c>
      <c r="E1141" s="6" t="s">
        <v>254</v>
      </c>
      <c r="F1141" s="13" t="n">
        <v>44685</v>
      </c>
      <c r="G1141" s="13" t="n">
        <v>44745</v>
      </c>
      <c r="H1141" s="14" t="n">
        <v>135769.28</v>
      </c>
      <c r="I1141" s="6" t="n">
        <v>2</v>
      </c>
      <c r="J1141" s="6" t="n">
        <v>748</v>
      </c>
      <c r="K1141" s="6" t="s">
        <v>185</v>
      </c>
      <c r="L1141" s="14" t="n">
        <v>25849.9</v>
      </c>
      <c r="M1141" s="22" t="n">
        <v>1.217</v>
      </c>
      <c r="N1141" s="14" t="n">
        <v>31459.33</v>
      </c>
      <c r="O1141" s="14" t="n">
        <v>5609.43</v>
      </c>
      <c r="P1141" s="21" t="n">
        <v>0.122</v>
      </c>
      <c r="Q1141" s="6" t="n">
        <v>60</v>
      </c>
      <c r="R1141" s="6" t="s">
        <v>155</v>
      </c>
      <c r="S1141" s="21" t="n">
        <v>0.894</v>
      </c>
      <c r="T1141" s="14" t="n">
        <v>28124.64</v>
      </c>
      <c r="U1141" s="6" t="s">
        <v>15</v>
      </c>
    </row>
    <row r="1142" customFormat="false" ht="15" hidden="false" customHeight="true" outlineLevel="0" collapsed="false">
      <c r="A1142" s="6" t="s">
        <v>2477</v>
      </c>
      <c r="B1142" s="6" t="s">
        <v>2478</v>
      </c>
      <c r="C1142" s="6" t="s">
        <v>120</v>
      </c>
      <c r="D1142" s="6" t="s">
        <v>263</v>
      </c>
      <c r="E1142" s="6" t="s">
        <v>326</v>
      </c>
      <c r="F1142" s="13" t="n">
        <v>45377</v>
      </c>
      <c r="G1142" s="13" t="n">
        <v>45437</v>
      </c>
      <c r="H1142" s="14" t="n">
        <v>49740.01</v>
      </c>
      <c r="I1142" s="6" t="n">
        <v>4</v>
      </c>
      <c r="J1142" s="6" t="n">
        <v>692</v>
      </c>
      <c r="K1142" s="6" t="s">
        <v>160</v>
      </c>
      <c r="L1142" s="14" t="n">
        <v>6964.61</v>
      </c>
      <c r="M1142" s="22" t="n">
        <v>1.095</v>
      </c>
      <c r="N1142" s="14" t="n">
        <v>7626.25</v>
      </c>
      <c r="O1142" s="14" t="n">
        <v>661.64</v>
      </c>
      <c r="P1142" s="21" t="n">
        <v>0.113</v>
      </c>
      <c r="Q1142" s="6" t="n">
        <v>60</v>
      </c>
      <c r="R1142" s="6" t="s">
        <v>155</v>
      </c>
      <c r="S1142" s="21" t="n">
        <v>0.851</v>
      </c>
      <c r="T1142" s="14" t="n">
        <v>6489.94</v>
      </c>
      <c r="U1142" s="6" t="s">
        <v>37</v>
      </c>
    </row>
    <row r="1143" customFormat="false" ht="15" hidden="false" customHeight="true" outlineLevel="0" collapsed="false">
      <c r="A1143" s="6" t="s">
        <v>2479</v>
      </c>
      <c r="B1143" s="6" t="s">
        <v>2480</v>
      </c>
      <c r="C1143" s="6" t="s">
        <v>131</v>
      </c>
      <c r="D1143" s="6" t="s">
        <v>200</v>
      </c>
      <c r="E1143" s="6" t="s">
        <v>288</v>
      </c>
      <c r="F1143" s="13" t="n">
        <v>45545</v>
      </c>
      <c r="G1143" s="13" t="n">
        <v>45624</v>
      </c>
      <c r="H1143" s="14" t="n">
        <v>91031.97</v>
      </c>
      <c r="I1143" s="6" t="n">
        <v>0</v>
      </c>
      <c r="J1143" s="6" t="n">
        <v>512</v>
      </c>
      <c r="K1143" s="6" t="s">
        <v>185</v>
      </c>
      <c r="L1143" s="14" t="n">
        <v>23165.98</v>
      </c>
      <c r="M1143" s="22" t="n">
        <v>1.246</v>
      </c>
      <c r="N1143" s="14" t="n">
        <v>28864.81</v>
      </c>
      <c r="O1143" s="14" t="n">
        <v>5698.83</v>
      </c>
      <c r="P1143" s="21" t="n">
        <v>0.119</v>
      </c>
      <c r="Q1143" s="6" t="n">
        <v>79</v>
      </c>
      <c r="R1143" s="6" t="s">
        <v>161</v>
      </c>
      <c r="S1143" s="21" t="n">
        <v>1</v>
      </c>
      <c r="T1143" s="14" t="n">
        <v>28864.81</v>
      </c>
      <c r="U1143" s="6" t="s">
        <v>43</v>
      </c>
    </row>
    <row r="1144" customFormat="false" ht="15" hidden="false" customHeight="true" outlineLevel="0" collapsed="false">
      <c r="A1144" s="6" t="s">
        <v>2481</v>
      </c>
      <c r="B1144" s="6" t="s">
        <v>2482</v>
      </c>
      <c r="C1144" s="6" t="s">
        <v>124</v>
      </c>
      <c r="D1144" s="6" t="s">
        <v>238</v>
      </c>
      <c r="E1144" s="6" t="s">
        <v>207</v>
      </c>
      <c r="F1144" s="13" t="n">
        <v>44803</v>
      </c>
      <c r="G1144" s="13" t="n">
        <v>44902</v>
      </c>
      <c r="H1144" s="14" t="n">
        <v>158891.31</v>
      </c>
      <c r="I1144" s="6" t="n">
        <v>0</v>
      </c>
      <c r="J1144" s="6" t="n">
        <v>501</v>
      </c>
      <c r="K1144" s="6" t="s">
        <v>185</v>
      </c>
      <c r="L1144" s="14" t="n">
        <v>51844.66</v>
      </c>
      <c r="M1144" s="22" t="n">
        <v>1.325</v>
      </c>
      <c r="N1144" s="14" t="n">
        <v>68694.17</v>
      </c>
      <c r="O1144" s="14" t="n">
        <v>16849.51</v>
      </c>
      <c r="P1144" s="21" t="n">
        <v>0.13</v>
      </c>
      <c r="Q1144" s="6" t="n">
        <v>99</v>
      </c>
      <c r="R1144" s="6" t="s">
        <v>161</v>
      </c>
      <c r="S1144" s="21" t="n">
        <v>1</v>
      </c>
      <c r="T1144" s="14" t="n">
        <v>68694.17</v>
      </c>
      <c r="U1144" s="6" t="s">
        <v>18</v>
      </c>
    </row>
    <row r="1145" customFormat="false" ht="15" hidden="false" customHeight="true" outlineLevel="0" collapsed="false">
      <c r="A1145" s="6" t="s">
        <v>2483</v>
      </c>
      <c r="B1145" s="6" t="s">
        <v>2484</v>
      </c>
      <c r="C1145" s="6" t="s">
        <v>128</v>
      </c>
      <c r="D1145" s="6" t="s">
        <v>401</v>
      </c>
      <c r="E1145" s="6" t="s">
        <v>304</v>
      </c>
      <c r="F1145" s="13" t="n">
        <v>45156</v>
      </c>
      <c r="G1145" s="13" t="n">
        <v>45301</v>
      </c>
      <c r="H1145" s="14" t="n">
        <v>248252.42</v>
      </c>
      <c r="I1145" s="6" t="n">
        <v>1</v>
      </c>
      <c r="J1145" s="6" t="n">
        <v>623</v>
      </c>
      <c r="K1145" s="6" t="s">
        <v>185</v>
      </c>
      <c r="L1145" s="14" t="n">
        <v>81955.03</v>
      </c>
      <c r="M1145" s="22" t="n">
        <v>1.149</v>
      </c>
      <c r="N1145" s="14" t="n">
        <v>94166.33</v>
      </c>
      <c r="O1145" s="14" t="n">
        <v>12211.3</v>
      </c>
      <c r="P1145" s="21" t="n">
        <v>0.078</v>
      </c>
      <c r="Q1145" s="6" t="n">
        <v>145</v>
      </c>
      <c r="R1145" s="6" t="s">
        <v>155</v>
      </c>
      <c r="S1145" s="21" t="n">
        <v>0.895</v>
      </c>
      <c r="T1145" s="14" t="n">
        <v>84278.87</v>
      </c>
      <c r="U1145" s="6" t="s">
        <v>30</v>
      </c>
    </row>
    <row r="1146" customFormat="false" ht="15" hidden="false" customHeight="true" outlineLevel="0" collapsed="false">
      <c r="A1146" s="6" t="s">
        <v>2485</v>
      </c>
      <c r="B1146" s="6" t="s">
        <v>2486</v>
      </c>
      <c r="C1146" s="6" t="s">
        <v>116</v>
      </c>
      <c r="D1146" s="6" t="s">
        <v>222</v>
      </c>
      <c r="E1146" s="6" t="s">
        <v>326</v>
      </c>
      <c r="F1146" s="13" t="n">
        <v>45779</v>
      </c>
      <c r="G1146" s="13" t="n">
        <v>45870</v>
      </c>
      <c r="H1146" s="14" t="n">
        <v>181924.48</v>
      </c>
      <c r="I1146" s="6" t="n">
        <v>2</v>
      </c>
      <c r="J1146" s="6" t="n">
        <v>656</v>
      </c>
      <c r="K1146" s="6" t="s">
        <v>160</v>
      </c>
      <c r="L1146" s="14" t="n">
        <v>71635.7</v>
      </c>
      <c r="M1146" s="22" t="n">
        <v>1.222</v>
      </c>
      <c r="N1146" s="14" t="n">
        <v>87538.83</v>
      </c>
      <c r="O1146" s="14" t="n">
        <v>15903.13</v>
      </c>
      <c r="P1146" s="21" t="n">
        <v>0.158</v>
      </c>
      <c r="Q1146" s="6" t="n">
        <v>91</v>
      </c>
      <c r="R1146" s="6" t="s">
        <v>155</v>
      </c>
      <c r="S1146" s="21" t="n">
        <v>0.76</v>
      </c>
      <c r="T1146" s="14" t="n">
        <v>66529.51</v>
      </c>
      <c r="U1146" s="6" t="s">
        <v>51</v>
      </c>
    </row>
    <row r="1147" customFormat="false" ht="15" hidden="false" customHeight="true" outlineLevel="0" collapsed="false">
      <c r="A1147" s="6" t="s">
        <v>2487</v>
      </c>
      <c r="B1147" s="6" t="s">
        <v>2488</v>
      </c>
      <c r="C1147" s="6" t="s">
        <v>112</v>
      </c>
      <c r="D1147" s="6" t="s">
        <v>164</v>
      </c>
      <c r="E1147" s="6" t="s">
        <v>219</v>
      </c>
      <c r="F1147" s="13" t="n">
        <v>45070</v>
      </c>
      <c r="G1147" s="13" t="n">
        <v>45130</v>
      </c>
      <c r="H1147" s="14" t="n">
        <v>178456.39</v>
      </c>
      <c r="I1147" s="6" t="n">
        <v>0</v>
      </c>
      <c r="J1147" s="6" t="n">
        <v>758</v>
      </c>
      <c r="K1147" s="6" t="s">
        <v>154</v>
      </c>
      <c r="L1147" s="14" t="n">
        <v>27884.86</v>
      </c>
      <c r="M1147" s="22" t="n">
        <v>1.156</v>
      </c>
      <c r="N1147" s="14" t="n">
        <v>32234.9</v>
      </c>
      <c r="O1147" s="14" t="n">
        <v>4350.04</v>
      </c>
      <c r="P1147" s="21" t="n">
        <v>0.152</v>
      </c>
      <c r="Q1147" s="6" t="n">
        <v>60</v>
      </c>
      <c r="R1147" s="6" t="s">
        <v>161</v>
      </c>
      <c r="S1147" s="21" t="n">
        <v>1</v>
      </c>
      <c r="T1147" s="14" t="n">
        <v>32234.9</v>
      </c>
      <c r="U1147" s="6" t="s">
        <v>27</v>
      </c>
    </row>
    <row r="1148" customFormat="false" ht="15" hidden="false" customHeight="true" outlineLevel="0" collapsed="false">
      <c r="A1148" s="6" t="s">
        <v>2489</v>
      </c>
      <c r="B1148" s="6" t="s">
        <v>2490</v>
      </c>
      <c r="C1148" s="6" t="s">
        <v>112</v>
      </c>
      <c r="D1148" s="6" t="s">
        <v>164</v>
      </c>
      <c r="E1148" s="6" t="s">
        <v>169</v>
      </c>
      <c r="F1148" s="13" t="n">
        <v>46028</v>
      </c>
      <c r="G1148" s="13" t="n">
        <v>46117</v>
      </c>
      <c r="H1148" s="14" t="n">
        <v>81118.57</v>
      </c>
      <c r="I1148" s="6" t="n">
        <v>1</v>
      </c>
      <c r="J1148" s="6" t="n">
        <v>770</v>
      </c>
      <c r="K1148" s="6" t="s">
        <v>154</v>
      </c>
      <c r="L1148" s="14" t="n">
        <v>27541.95</v>
      </c>
      <c r="M1148" s="22" t="n">
        <v>1.267</v>
      </c>
      <c r="N1148" s="14" t="n">
        <v>34895.65</v>
      </c>
      <c r="O1148" s="14" t="n">
        <v>7353.7</v>
      </c>
      <c r="P1148" s="21" t="n">
        <v>0.144</v>
      </c>
      <c r="Q1148" s="6" t="n">
        <v>89</v>
      </c>
      <c r="R1148" s="6" t="s">
        <v>155</v>
      </c>
      <c r="S1148" s="21" t="n">
        <v>0.932</v>
      </c>
      <c r="T1148" s="14" t="n">
        <v>32522.75</v>
      </c>
      <c r="U1148" s="6" t="s">
        <v>59</v>
      </c>
    </row>
    <row r="1149" customFormat="false" ht="15" hidden="false" customHeight="true" outlineLevel="0" collapsed="false">
      <c r="A1149" s="6" t="s">
        <v>2491</v>
      </c>
      <c r="B1149" s="6" t="s">
        <v>2492</v>
      </c>
      <c r="C1149" s="6" t="s">
        <v>120</v>
      </c>
      <c r="D1149" s="6" t="s">
        <v>218</v>
      </c>
      <c r="E1149" s="6" t="s">
        <v>181</v>
      </c>
      <c r="F1149" s="13" t="n">
        <v>44593</v>
      </c>
      <c r="G1149" s="13" t="n">
        <v>44661</v>
      </c>
      <c r="H1149" s="14" t="n">
        <v>45869.3</v>
      </c>
      <c r="I1149" s="6" t="n">
        <v>3</v>
      </c>
      <c r="J1149" s="6" t="n">
        <v>813</v>
      </c>
      <c r="K1149" s="6" t="s">
        <v>160</v>
      </c>
      <c r="L1149" s="14" t="n">
        <v>13722.96</v>
      </c>
      <c r="M1149" s="22" t="n">
        <v>1.276</v>
      </c>
      <c r="N1149" s="14" t="n">
        <v>17510.5</v>
      </c>
      <c r="O1149" s="14" t="n">
        <v>3787.54</v>
      </c>
      <c r="P1149" s="21" t="n">
        <v>0.167</v>
      </c>
      <c r="Q1149" s="6" t="n">
        <v>68</v>
      </c>
      <c r="R1149" s="6" t="s">
        <v>490</v>
      </c>
      <c r="S1149" s="21" t="n">
        <v>0.429</v>
      </c>
      <c r="T1149" s="14" t="n">
        <v>7512</v>
      </c>
      <c r="U1149" s="6" t="s">
        <v>12</v>
      </c>
    </row>
    <row r="1150" customFormat="false" ht="15" hidden="false" customHeight="true" outlineLevel="0" collapsed="false">
      <c r="A1150" s="6" t="s">
        <v>2493</v>
      </c>
      <c r="B1150" s="6" t="s">
        <v>2494</v>
      </c>
      <c r="C1150" s="6" t="s">
        <v>131</v>
      </c>
      <c r="D1150" s="6" t="s">
        <v>152</v>
      </c>
      <c r="E1150" s="6" t="s">
        <v>304</v>
      </c>
      <c r="F1150" s="13" t="n">
        <v>45233</v>
      </c>
      <c r="G1150" s="13" t="n">
        <v>45358</v>
      </c>
      <c r="H1150" s="14" t="n">
        <v>239558.73</v>
      </c>
      <c r="I1150" s="6" t="n">
        <v>0</v>
      </c>
      <c r="J1150" s="6" t="n">
        <v>527</v>
      </c>
      <c r="K1150" s="6" t="s">
        <v>160</v>
      </c>
      <c r="L1150" s="14" t="n">
        <v>97511.81</v>
      </c>
      <c r="M1150" s="22" t="n">
        <v>1.271</v>
      </c>
      <c r="N1150" s="14" t="n">
        <v>123937.51</v>
      </c>
      <c r="O1150" s="14" t="n">
        <v>26425.7</v>
      </c>
      <c r="P1150" s="21" t="n">
        <v>0.124</v>
      </c>
      <c r="Q1150" s="6" t="n">
        <v>125</v>
      </c>
      <c r="R1150" s="6" t="s">
        <v>161</v>
      </c>
      <c r="S1150" s="21" t="n">
        <v>1</v>
      </c>
      <c r="T1150" s="14" t="n">
        <v>123937.51</v>
      </c>
      <c r="U1150" s="6" t="s">
        <v>33</v>
      </c>
    </row>
    <row r="1151" customFormat="false" ht="15" hidden="false" customHeight="true" outlineLevel="0" collapsed="false">
      <c r="A1151" s="6" t="s">
        <v>2495</v>
      </c>
      <c r="B1151" s="6" t="s">
        <v>2496</v>
      </c>
      <c r="C1151" s="6" t="s">
        <v>131</v>
      </c>
      <c r="D1151" s="6" t="s">
        <v>176</v>
      </c>
      <c r="E1151" s="6" t="s">
        <v>181</v>
      </c>
      <c r="F1151" s="13" t="n">
        <v>46153</v>
      </c>
      <c r="G1151" s="13" t="n">
        <v>46390</v>
      </c>
      <c r="H1151" s="14" t="n">
        <v>191162.86</v>
      </c>
      <c r="I1151" s="6" t="n">
        <v>2</v>
      </c>
      <c r="J1151" s="6" t="n">
        <v>743</v>
      </c>
      <c r="K1151" s="6" t="s">
        <v>160</v>
      </c>
      <c r="L1151" s="14" t="n">
        <v>83969.41</v>
      </c>
      <c r="M1151" s="22" t="n">
        <v>1.279</v>
      </c>
      <c r="N1151" s="14" t="n">
        <v>107396.88</v>
      </c>
      <c r="O1151" s="14" t="n">
        <v>23427.47</v>
      </c>
      <c r="P1151" s="21" t="n">
        <v>0.071</v>
      </c>
      <c r="Q1151" s="6" t="n">
        <v>237</v>
      </c>
      <c r="R1151" s="6" t="s">
        <v>161</v>
      </c>
      <c r="S1151" s="21" t="n">
        <v>1</v>
      </c>
      <c r="T1151" s="14" t="n">
        <v>107396.88</v>
      </c>
      <c r="U1151" s="6" t="s">
        <v>63</v>
      </c>
    </row>
    <row r="1152" customFormat="false" ht="15" hidden="false" customHeight="true" outlineLevel="0" collapsed="false">
      <c r="A1152" s="6" t="s">
        <v>2497</v>
      </c>
      <c r="B1152" s="6" t="s">
        <v>2498</v>
      </c>
      <c r="C1152" s="6" t="s">
        <v>116</v>
      </c>
      <c r="D1152" s="6" t="s">
        <v>206</v>
      </c>
      <c r="E1152" s="6" t="s">
        <v>165</v>
      </c>
      <c r="F1152" s="13" t="n">
        <v>45027</v>
      </c>
      <c r="G1152" s="13" t="n">
        <v>45106</v>
      </c>
      <c r="H1152" s="14" t="n">
        <v>127471.81</v>
      </c>
      <c r="I1152" s="6" t="n">
        <v>1</v>
      </c>
      <c r="J1152" s="6" t="n">
        <v>670</v>
      </c>
      <c r="K1152" s="6" t="s">
        <v>154</v>
      </c>
      <c r="L1152" s="14" t="n">
        <v>47786.54</v>
      </c>
      <c r="M1152" s="22" t="n">
        <v>1.097</v>
      </c>
      <c r="N1152" s="14" t="n">
        <v>52421.83</v>
      </c>
      <c r="O1152" s="14" t="n">
        <v>4635.29</v>
      </c>
      <c r="P1152" s="21" t="n">
        <v>0.156</v>
      </c>
      <c r="Q1152" s="6" t="n">
        <v>79</v>
      </c>
      <c r="R1152" s="6" t="s">
        <v>161</v>
      </c>
      <c r="S1152" s="21" t="n">
        <v>1</v>
      </c>
      <c r="T1152" s="14" t="n">
        <v>52421.83</v>
      </c>
      <c r="U1152" s="6" t="s">
        <v>26</v>
      </c>
    </row>
    <row r="1153" customFormat="false" ht="15" hidden="false" customHeight="true" outlineLevel="0" collapsed="false">
      <c r="A1153" s="6" t="s">
        <v>2499</v>
      </c>
      <c r="B1153" s="6" t="s">
        <v>2500</v>
      </c>
      <c r="C1153" s="6" t="s">
        <v>124</v>
      </c>
      <c r="D1153" s="6" t="s">
        <v>168</v>
      </c>
      <c r="E1153" s="6" t="s">
        <v>326</v>
      </c>
      <c r="F1153" s="13" t="n">
        <v>45937</v>
      </c>
      <c r="G1153" s="13" t="n">
        <v>46035</v>
      </c>
      <c r="H1153" s="14" t="n">
        <v>27020.27</v>
      </c>
      <c r="I1153" s="6" t="n">
        <v>2</v>
      </c>
      <c r="J1153" s="6" t="n">
        <v>514</v>
      </c>
      <c r="K1153" s="6" t="s">
        <v>154</v>
      </c>
      <c r="L1153" s="14" t="n">
        <v>8337.5</v>
      </c>
      <c r="M1153" s="22" t="n">
        <v>1.177</v>
      </c>
      <c r="N1153" s="14" t="n">
        <v>9813.24</v>
      </c>
      <c r="O1153" s="14" t="n">
        <v>1475.74</v>
      </c>
      <c r="P1153" s="21" t="n">
        <v>0.111</v>
      </c>
      <c r="Q1153" s="6" t="n">
        <v>98</v>
      </c>
      <c r="R1153" s="6" t="s">
        <v>155</v>
      </c>
      <c r="S1153" s="21" t="n">
        <v>0.909</v>
      </c>
      <c r="T1153" s="14" t="n">
        <v>8920.24</v>
      </c>
      <c r="U1153" s="6" t="s">
        <v>56</v>
      </c>
    </row>
    <row r="1154" customFormat="false" ht="15" hidden="false" customHeight="true" outlineLevel="0" collapsed="false">
      <c r="A1154" s="6" t="s">
        <v>2501</v>
      </c>
      <c r="B1154" s="6" t="s">
        <v>2502</v>
      </c>
      <c r="C1154" s="6" t="s">
        <v>131</v>
      </c>
      <c r="D1154" s="6" t="s">
        <v>200</v>
      </c>
      <c r="E1154" s="6" t="s">
        <v>211</v>
      </c>
      <c r="F1154" s="13" t="n">
        <v>45695</v>
      </c>
      <c r="G1154" s="13" t="n">
        <v>45764</v>
      </c>
      <c r="H1154" s="14" t="n">
        <v>124696.91</v>
      </c>
      <c r="I1154" s="6" t="n">
        <v>0</v>
      </c>
      <c r="J1154" s="6" t="n">
        <v>637</v>
      </c>
      <c r="K1154" s="6" t="s">
        <v>160</v>
      </c>
      <c r="L1154" s="14" t="n">
        <v>40527.95</v>
      </c>
      <c r="M1154" s="22" t="n">
        <v>1.123</v>
      </c>
      <c r="N1154" s="14" t="n">
        <v>45512.89</v>
      </c>
      <c r="O1154" s="14" t="n">
        <v>4984.94</v>
      </c>
      <c r="P1154" s="21" t="n">
        <v>0.158</v>
      </c>
      <c r="Q1154" s="6" t="n">
        <v>69</v>
      </c>
      <c r="R1154" s="6" t="s">
        <v>309</v>
      </c>
      <c r="S1154" s="21" t="n">
        <v>0.215</v>
      </c>
      <c r="T1154" s="14" t="n">
        <v>9785.27</v>
      </c>
      <c r="U1154" s="6" t="s">
        <v>48</v>
      </c>
    </row>
    <row r="1155" customFormat="false" ht="15" hidden="false" customHeight="true" outlineLevel="0" collapsed="false">
      <c r="A1155" s="6" t="s">
        <v>2503</v>
      </c>
      <c r="B1155" s="6" t="s">
        <v>2504</v>
      </c>
      <c r="C1155" s="6" t="s">
        <v>120</v>
      </c>
      <c r="D1155" s="6" t="s">
        <v>218</v>
      </c>
      <c r="E1155" s="6" t="s">
        <v>153</v>
      </c>
      <c r="F1155" s="13" t="n">
        <v>45657</v>
      </c>
      <c r="G1155" s="13" t="n">
        <v>45717</v>
      </c>
      <c r="H1155" s="14" t="n">
        <v>238064.61</v>
      </c>
      <c r="I1155" s="6" t="n">
        <v>1</v>
      </c>
      <c r="J1155" s="6" t="n">
        <v>548</v>
      </c>
      <c r="K1155" s="6" t="s">
        <v>160</v>
      </c>
      <c r="L1155" s="14" t="n">
        <v>42862.97</v>
      </c>
      <c r="M1155" s="22" t="n">
        <v>1.281</v>
      </c>
      <c r="N1155" s="14" t="n">
        <v>54907.46</v>
      </c>
      <c r="O1155" s="14" t="n">
        <v>12044.49</v>
      </c>
      <c r="P1155" s="21" t="n">
        <v>0.131</v>
      </c>
      <c r="Q1155" s="6" t="n">
        <v>60</v>
      </c>
      <c r="R1155" s="6" t="s">
        <v>155</v>
      </c>
      <c r="S1155" s="21" t="n">
        <v>0.848</v>
      </c>
      <c r="T1155" s="14" t="n">
        <v>46561.53</v>
      </c>
      <c r="U1155" s="6" t="s">
        <v>46</v>
      </c>
    </row>
    <row r="1156" customFormat="false" ht="15" hidden="false" customHeight="true" outlineLevel="0" collapsed="false">
      <c r="A1156" s="6" t="s">
        <v>2505</v>
      </c>
      <c r="B1156" s="6" t="s">
        <v>2506</v>
      </c>
      <c r="C1156" s="6" t="s">
        <v>128</v>
      </c>
      <c r="D1156" s="6" t="s">
        <v>401</v>
      </c>
      <c r="E1156" s="6" t="s">
        <v>326</v>
      </c>
      <c r="F1156" s="13" t="n">
        <v>45411</v>
      </c>
      <c r="G1156" s="13" t="n">
        <v>45471</v>
      </c>
      <c r="H1156" s="14" t="n">
        <v>247329.05</v>
      </c>
      <c r="I1156" s="6" t="n">
        <v>1</v>
      </c>
      <c r="J1156" s="6" t="n">
        <v>529</v>
      </c>
      <c r="K1156" s="6" t="s">
        <v>160</v>
      </c>
      <c r="L1156" s="14" t="n">
        <v>46201.5</v>
      </c>
      <c r="M1156" s="22" t="n">
        <v>1.115</v>
      </c>
      <c r="N1156" s="14" t="n">
        <v>51514.67</v>
      </c>
      <c r="O1156" s="14" t="n">
        <v>5313.17</v>
      </c>
      <c r="P1156" s="21" t="n">
        <v>0.119</v>
      </c>
      <c r="Q1156" s="6" t="n">
        <v>60</v>
      </c>
      <c r="R1156" s="6" t="s">
        <v>155</v>
      </c>
      <c r="S1156" s="21" t="n">
        <v>0.705</v>
      </c>
      <c r="T1156" s="14" t="n">
        <v>36317.84</v>
      </c>
      <c r="U1156" s="6" t="s">
        <v>38</v>
      </c>
    </row>
    <row r="1157" customFormat="false" ht="15" hidden="false" customHeight="true" outlineLevel="0" collapsed="false">
      <c r="A1157" s="6" t="s">
        <v>2507</v>
      </c>
      <c r="B1157" s="6" t="s">
        <v>2508</v>
      </c>
      <c r="C1157" s="6" t="s">
        <v>128</v>
      </c>
      <c r="D1157" s="6" t="s">
        <v>235</v>
      </c>
      <c r="E1157" s="6" t="s">
        <v>173</v>
      </c>
      <c r="F1157" s="13" t="n">
        <v>45393</v>
      </c>
      <c r="G1157" s="13" t="n">
        <v>45455</v>
      </c>
      <c r="H1157" s="14" t="n">
        <v>33557.35</v>
      </c>
      <c r="I1157" s="6" t="n">
        <v>0</v>
      </c>
      <c r="J1157" s="6" t="n">
        <v>640</v>
      </c>
      <c r="K1157" s="6" t="s">
        <v>185</v>
      </c>
      <c r="L1157" s="14" t="n">
        <v>10507.35</v>
      </c>
      <c r="M1157" s="22" t="n">
        <v>1.192</v>
      </c>
      <c r="N1157" s="14" t="n">
        <v>12524.76</v>
      </c>
      <c r="O1157" s="14" t="n">
        <v>2017.41</v>
      </c>
      <c r="P1157" s="21" t="n">
        <v>0.178</v>
      </c>
      <c r="Q1157" s="6" t="n">
        <v>62</v>
      </c>
      <c r="R1157" s="6" t="s">
        <v>155</v>
      </c>
      <c r="S1157" s="21" t="n">
        <v>0.98</v>
      </c>
      <c r="T1157" s="14" t="n">
        <v>12274.26</v>
      </c>
      <c r="U1157" s="6" t="s">
        <v>38</v>
      </c>
    </row>
    <row r="1158" customFormat="false" ht="15" hidden="false" customHeight="true" outlineLevel="0" collapsed="false">
      <c r="A1158" s="6" t="s">
        <v>2509</v>
      </c>
      <c r="B1158" s="6" t="s">
        <v>2510</v>
      </c>
      <c r="C1158" s="6" t="s">
        <v>120</v>
      </c>
      <c r="D1158" s="6" t="s">
        <v>263</v>
      </c>
      <c r="E1158" s="6" t="s">
        <v>304</v>
      </c>
      <c r="F1158" s="13" t="n">
        <v>45510</v>
      </c>
      <c r="G1158" s="13" t="n">
        <v>45570</v>
      </c>
      <c r="H1158" s="14" t="n">
        <v>202827.48</v>
      </c>
      <c r="I1158" s="6" t="n">
        <v>5</v>
      </c>
      <c r="J1158" s="6" t="n">
        <v>792</v>
      </c>
      <c r="K1158" s="6" t="s">
        <v>185</v>
      </c>
      <c r="L1158" s="14" t="n">
        <v>40540.56</v>
      </c>
      <c r="M1158" s="22" t="n">
        <v>1.199</v>
      </c>
      <c r="N1158" s="14" t="n">
        <v>48608.13</v>
      </c>
      <c r="O1158" s="14" t="n">
        <v>8067.57</v>
      </c>
      <c r="P1158" s="21" t="n">
        <v>0.154</v>
      </c>
      <c r="Q1158" s="6" t="n">
        <v>60</v>
      </c>
      <c r="R1158" s="6" t="s">
        <v>155</v>
      </c>
      <c r="S1158" s="21" t="n">
        <v>0.98</v>
      </c>
      <c r="T1158" s="14" t="n">
        <v>47635.97</v>
      </c>
      <c r="U1158" s="6" t="s">
        <v>42</v>
      </c>
    </row>
    <row r="1159" customFormat="false" ht="15" hidden="false" customHeight="true" outlineLevel="0" collapsed="false">
      <c r="A1159" s="6" t="s">
        <v>2511</v>
      </c>
      <c r="B1159" s="6" t="s">
        <v>2512</v>
      </c>
      <c r="C1159" s="6" t="s">
        <v>116</v>
      </c>
      <c r="D1159" s="6" t="s">
        <v>206</v>
      </c>
      <c r="E1159" s="6" t="s">
        <v>189</v>
      </c>
      <c r="F1159" s="13" t="n">
        <v>45410</v>
      </c>
      <c r="G1159" s="13" t="n">
        <v>45470</v>
      </c>
      <c r="H1159" s="14" t="n">
        <v>64008.11</v>
      </c>
      <c r="I1159" s="6" t="n">
        <v>0</v>
      </c>
      <c r="J1159" s="6" t="n">
        <v>502</v>
      </c>
      <c r="K1159" s="6" t="s">
        <v>185</v>
      </c>
      <c r="L1159" s="14" t="n">
        <v>7994.14</v>
      </c>
      <c r="M1159" s="22" t="n">
        <v>1.165</v>
      </c>
      <c r="N1159" s="14" t="n">
        <v>9313.17</v>
      </c>
      <c r="O1159" s="14" t="n">
        <v>1319.03</v>
      </c>
      <c r="P1159" s="21" t="n">
        <v>0.135</v>
      </c>
      <c r="Q1159" s="6" t="n">
        <v>60</v>
      </c>
      <c r="R1159" s="6" t="s">
        <v>155</v>
      </c>
      <c r="S1159" s="21" t="n">
        <v>0.887</v>
      </c>
      <c r="T1159" s="14" t="n">
        <v>8260.78</v>
      </c>
      <c r="U1159" s="6" t="s">
        <v>38</v>
      </c>
    </row>
    <row r="1160" customFormat="false" ht="15" hidden="false" customHeight="true" outlineLevel="0" collapsed="false">
      <c r="A1160" s="6" t="s">
        <v>2513</v>
      </c>
      <c r="B1160" s="6" t="s">
        <v>2514</v>
      </c>
      <c r="C1160" s="6" t="s">
        <v>131</v>
      </c>
      <c r="D1160" s="6" t="s">
        <v>176</v>
      </c>
      <c r="E1160" s="6" t="s">
        <v>159</v>
      </c>
      <c r="F1160" s="13" t="n">
        <v>44947</v>
      </c>
      <c r="G1160" s="13" t="n">
        <v>45020</v>
      </c>
      <c r="H1160" s="14" t="n">
        <v>21959.79</v>
      </c>
      <c r="I1160" s="6" t="n">
        <v>1</v>
      </c>
      <c r="J1160" s="6" t="n">
        <v>540</v>
      </c>
      <c r="K1160" s="6" t="s">
        <v>154</v>
      </c>
      <c r="L1160" s="14" t="n">
        <v>3025.6</v>
      </c>
      <c r="M1160" s="22" t="n">
        <v>1.151</v>
      </c>
      <c r="N1160" s="14" t="n">
        <v>3482.47</v>
      </c>
      <c r="O1160" s="14" t="n">
        <v>456.87</v>
      </c>
      <c r="P1160" s="21" t="n">
        <v>0.065</v>
      </c>
      <c r="Q1160" s="6" t="n">
        <v>73</v>
      </c>
      <c r="R1160" s="6" t="s">
        <v>155</v>
      </c>
      <c r="S1160" s="21" t="n">
        <v>0.98</v>
      </c>
      <c r="T1160" s="14" t="n">
        <v>3412.82</v>
      </c>
      <c r="U1160" s="6" t="s">
        <v>23</v>
      </c>
    </row>
    <row r="1161" customFormat="false" ht="15" hidden="false" customHeight="true" outlineLevel="0" collapsed="false">
      <c r="A1161" s="6" t="s">
        <v>2515</v>
      </c>
      <c r="B1161" s="6" t="s">
        <v>2516</v>
      </c>
      <c r="C1161" s="6" t="s">
        <v>112</v>
      </c>
      <c r="D1161" s="6" t="s">
        <v>188</v>
      </c>
      <c r="E1161" s="6" t="s">
        <v>288</v>
      </c>
      <c r="F1161" s="13" t="n">
        <v>44676</v>
      </c>
      <c r="G1161" s="13" t="n">
        <v>44803</v>
      </c>
      <c r="H1161" s="14" t="n">
        <v>91362.8</v>
      </c>
      <c r="I1161" s="6" t="n">
        <v>0</v>
      </c>
      <c r="J1161" s="6" t="n">
        <v>504</v>
      </c>
      <c r="K1161" s="6" t="s">
        <v>160</v>
      </c>
      <c r="L1161" s="14" t="n">
        <v>32670.94</v>
      </c>
      <c r="M1161" s="22" t="n">
        <v>1.166</v>
      </c>
      <c r="N1161" s="14" t="n">
        <v>38094.32</v>
      </c>
      <c r="O1161" s="14" t="n">
        <v>5423.38</v>
      </c>
      <c r="P1161" s="21" t="n">
        <v>0.098</v>
      </c>
      <c r="Q1161" s="6" t="n">
        <v>127</v>
      </c>
      <c r="R1161" s="6" t="s">
        <v>155</v>
      </c>
      <c r="S1161" s="21" t="n">
        <v>0.815</v>
      </c>
      <c r="T1161" s="14" t="n">
        <v>31046.87</v>
      </c>
      <c r="U1161" s="6" t="s">
        <v>14</v>
      </c>
    </row>
    <row r="1162" customFormat="false" ht="15" hidden="false" customHeight="true" outlineLevel="0" collapsed="false">
      <c r="A1162" s="6" t="s">
        <v>2517</v>
      </c>
      <c r="B1162" s="6" t="s">
        <v>2518</v>
      </c>
      <c r="C1162" s="6" t="s">
        <v>128</v>
      </c>
      <c r="D1162" s="6" t="s">
        <v>172</v>
      </c>
      <c r="E1162" s="6" t="s">
        <v>165</v>
      </c>
      <c r="F1162" s="13" t="n">
        <v>44870</v>
      </c>
      <c r="G1162" s="13" t="n">
        <v>44977</v>
      </c>
      <c r="H1162" s="14" t="n">
        <v>143944.81</v>
      </c>
      <c r="I1162" s="6" t="n">
        <v>3</v>
      </c>
      <c r="J1162" s="6" t="n">
        <v>687</v>
      </c>
      <c r="K1162" s="6" t="s">
        <v>185</v>
      </c>
      <c r="L1162" s="14" t="n">
        <v>22858.81</v>
      </c>
      <c r="M1162" s="22" t="n">
        <v>1.245</v>
      </c>
      <c r="N1162" s="14" t="n">
        <v>28459.22</v>
      </c>
      <c r="O1162" s="14" t="n">
        <v>5600.41</v>
      </c>
      <c r="P1162" s="21" t="n">
        <v>0.055</v>
      </c>
      <c r="Q1162" s="6" t="n">
        <v>107</v>
      </c>
      <c r="R1162" s="6" t="s">
        <v>161</v>
      </c>
      <c r="S1162" s="21" t="n">
        <v>1</v>
      </c>
      <c r="T1162" s="14" t="n">
        <v>28459.22</v>
      </c>
      <c r="U1162" s="6" t="s">
        <v>21</v>
      </c>
    </row>
    <row r="1163" customFormat="false" ht="15" hidden="false" customHeight="true" outlineLevel="0" collapsed="false">
      <c r="A1163" s="6" t="s">
        <v>2519</v>
      </c>
      <c r="B1163" s="6" t="s">
        <v>2520</v>
      </c>
      <c r="C1163" s="6" t="s">
        <v>124</v>
      </c>
      <c r="D1163" s="6" t="s">
        <v>168</v>
      </c>
      <c r="E1163" s="6" t="s">
        <v>189</v>
      </c>
      <c r="F1163" s="13" t="n">
        <v>46075</v>
      </c>
      <c r="G1163" s="13" t="n">
        <v>46157</v>
      </c>
      <c r="H1163" s="14" t="n">
        <v>77493.83</v>
      </c>
      <c r="I1163" s="6" t="n">
        <v>0</v>
      </c>
      <c r="J1163" s="6" t="n">
        <v>595</v>
      </c>
      <c r="K1163" s="6" t="s">
        <v>185</v>
      </c>
      <c r="L1163" s="14" t="n">
        <v>17379.73</v>
      </c>
      <c r="M1163" s="22" t="n">
        <v>1.103</v>
      </c>
      <c r="N1163" s="14" t="n">
        <v>19169.84</v>
      </c>
      <c r="O1163" s="14" t="n">
        <v>1790.11</v>
      </c>
      <c r="P1163" s="21" t="n">
        <v>0.09</v>
      </c>
      <c r="Q1163" s="6" t="n">
        <v>82</v>
      </c>
      <c r="R1163" s="6" t="s">
        <v>232</v>
      </c>
      <c r="S1163" s="21" t="n">
        <v>1</v>
      </c>
      <c r="T1163" s="14" t="n">
        <v>19169.84</v>
      </c>
      <c r="U1163" s="6" t="s">
        <v>60</v>
      </c>
    </row>
    <row r="1164" customFormat="false" ht="15" hidden="false" customHeight="true" outlineLevel="0" collapsed="false">
      <c r="A1164" s="6" t="s">
        <v>2521</v>
      </c>
      <c r="B1164" s="6" t="s">
        <v>2522</v>
      </c>
      <c r="C1164" s="6" t="s">
        <v>124</v>
      </c>
      <c r="D1164" s="6" t="s">
        <v>238</v>
      </c>
      <c r="E1164" s="6" t="s">
        <v>159</v>
      </c>
      <c r="F1164" s="13" t="n">
        <v>45978</v>
      </c>
      <c r="G1164" s="13" t="n">
        <v>46038</v>
      </c>
      <c r="H1164" s="14" t="n">
        <v>244126.89</v>
      </c>
      <c r="I1164" s="6" t="n">
        <v>2</v>
      </c>
      <c r="J1164" s="6" t="n">
        <v>541</v>
      </c>
      <c r="K1164" s="6" t="s">
        <v>154</v>
      </c>
      <c r="L1164" s="14" t="n">
        <v>52046.37</v>
      </c>
      <c r="M1164" s="22" t="n">
        <v>1.137</v>
      </c>
      <c r="N1164" s="14" t="n">
        <v>59176.72</v>
      </c>
      <c r="O1164" s="14" t="n">
        <v>7130.35</v>
      </c>
      <c r="P1164" s="21" t="n">
        <v>0.156</v>
      </c>
      <c r="Q1164" s="6" t="n">
        <v>60</v>
      </c>
      <c r="R1164" s="6" t="s">
        <v>161</v>
      </c>
      <c r="S1164" s="21" t="n">
        <v>1</v>
      </c>
      <c r="T1164" s="14" t="n">
        <v>59176.72</v>
      </c>
      <c r="U1164" s="6" t="s">
        <v>57</v>
      </c>
    </row>
    <row r="1165" customFormat="false" ht="15" hidden="false" customHeight="true" outlineLevel="0" collapsed="false">
      <c r="A1165" s="6" t="s">
        <v>2523</v>
      </c>
      <c r="B1165" s="6" t="s">
        <v>2524</v>
      </c>
      <c r="C1165" s="6" t="s">
        <v>116</v>
      </c>
      <c r="D1165" s="6" t="s">
        <v>206</v>
      </c>
      <c r="E1165" s="6" t="s">
        <v>181</v>
      </c>
      <c r="F1165" s="13" t="n">
        <v>45512</v>
      </c>
      <c r="G1165" s="13" t="n">
        <v>45603</v>
      </c>
      <c r="H1165" s="14" t="n">
        <v>232788.28</v>
      </c>
      <c r="I1165" s="6" t="n">
        <v>1</v>
      </c>
      <c r="J1165" s="6" t="n">
        <v>597</v>
      </c>
      <c r="K1165" s="6" t="s">
        <v>154</v>
      </c>
      <c r="L1165" s="14" t="n">
        <v>87518.41</v>
      </c>
      <c r="M1165" s="22" t="n">
        <v>1.185</v>
      </c>
      <c r="N1165" s="14" t="n">
        <v>103709.32</v>
      </c>
      <c r="O1165" s="14" t="n">
        <v>16190.91</v>
      </c>
      <c r="P1165" s="21" t="n">
        <v>0.146</v>
      </c>
      <c r="Q1165" s="6" t="n">
        <v>91</v>
      </c>
      <c r="R1165" s="6" t="s">
        <v>161</v>
      </c>
      <c r="S1165" s="21" t="n">
        <v>1</v>
      </c>
      <c r="T1165" s="14" t="n">
        <v>103709.32</v>
      </c>
      <c r="U1165" s="6" t="s">
        <v>42</v>
      </c>
    </row>
    <row r="1166" customFormat="false" ht="15" hidden="false" customHeight="true" outlineLevel="0" collapsed="false">
      <c r="A1166" s="6" t="s">
        <v>2525</v>
      </c>
      <c r="B1166" s="6" t="s">
        <v>2526</v>
      </c>
      <c r="C1166" s="6" t="s">
        <v>131</v>
      </c>
      <c r="D1166" s="6" t="s">
        <v>176</v>
      </c>
      <c r="E1166" s="6" t="s">
        <v>184</v>
      </c>
      <c r="F1166" s="13" t="n">
        <v>45905</v>
      </c>
      <c r="G1166" s="13" t="n">
        <v>45965</v>
      </c>
      <c r="H1166" s="14" t="n">
        <v>95588.79</v>
      </c>
      <c r="I1166" s="6" t="n">
        <v>1</v>
      </c>
      <c r="J1166" s="6" t="n">
        <v>795</v>
      </c>
      <c r="K1166" s="6" t="s">
        <v>160</v>
      </c>
      <c r="L1166" s="14" t="n">
        <v>12349.37</v>
      </c>
      <c r="M1166" s="22" t="n">
        <v>1.258</v>
      </c>
      <c r="N1166" s="14" t="n">
        <v>15535.51</v>
      </c>
      <c r="O1166" s="14" t="n">
        <v>3186.14</v>
      </c>
      <c r="P1166" s="21" t="n">
        <v>0.164</v>
      </c>
      <c r="Q1166" s="6" t="n">
        <v>60</v>
      </c>
      <c r="R1166" s="6" t="s">
        <v>155</v>
      </c>
      <c r="S1166" s="21" t="n">
        <v>0.845</v>
      </c>
      <c r="T1166" s="14" t="n">
        <v>13127.51</v>
      </c>
      <c r="U1166" s="6" t="s">
        <v>55</v>
      </c>
    </row>
    <row r="1167" customFormat="false" ht="15" hidden="false" customHeight="true" outlineLevel="0" collapsed="false">
      <c r="A1167" s="6" t="s">
        <v>2527</v>
      </c>
      <c r="B1167" s="6" t="s">
        <v>2528</v>
      </c>
      <c r="C1167" s="6" t="s">
        <v>128</v>
      </c>
      <c r="D1167" s="6" t="s">
        <v>172</v>
      </c>
      <c r="E1167" s="6" t="s">
        <v>288</v>
      </c>
      <c r="F1167" s="13" t="n">
        <v>44609</v>
      </c>
      <c r="G1167" s="13" t="n">
        <v>44688</v>
      </c>
      <c r="H1167" s="14" t="n">
        <v>125695.16</v>
      </c>
      <c r="I1167" s="6" t="n">
        <v>0</v>
      </c>
      <c r="J1167" s="6" t="n">
        <v>733</v>
      </c>
      <c r="K1167" s="6" t="s">
        <v>160</v>
      </c>
      <c r="L1167" s="14" t="n">
        <v>26685</v>
      </c>
      <c r="M1167" s="22" t="n">
        <v>1.152</v>
      </c>
      <c r="N1167" s="14" t="n">
        <v>30741.12</v>
      </c>
      <c r="O1167" s="14" t="n">
        <v>4056.12</v>
      </c>
      <c r="P1167" s="21" t="n">
        <v>0.092</v>
      </c>
      <c r="Q1167" s="6" t="n">
        <v>79</v>
      </c>
      <c r="R1167" s="6" t="s">
        <v>161</v>
      </c>
      <c r="S1167" s="21" t="n">
        <v>1</v>
      </c>
      <c r="T1167" s="14" t="n">
        <v>30741.12</v>
      </c>
      <c r="U1167" s="6" t="s">
        <v>12</v>
      </c>
    </row>
    <row r="1168" customFormat="false" ht="15" hidden="false" customHeight="true" outlineLevel="0" collapsed="false">
      <c r="A1168" s="6" t="s">
        <v>2529</v>
      </c>
      <c r="B1168" s="6" t="s">
        <v>2530</v>
      </c>
      <c r="C1168" s="6" t="s">
        <v>128</v>
      </c>
      <c r="D1168" s="6" t="s">
        <v>235</v>
      </c>
      <c r="E1168" s="6" t="s">
        <v>326</v>
      </c>
      <c r="F1168" s="13" t="n">
        <v>45213</v>
      </c>
      <c r="G1168" s="13" t="n">
        <v>45336</v>
      </c>
      <c r="H1168" s="14" t="n">
        <v>146790.66</v>
      </c>
      <c r="I1168" s="6" t="n">
        <v>4</v>
      </c>
      <c r="J1168" s="6" t="n">
        <v>755</v>
      </c>
      <c r="K1168" s="6" t="s">
        <v>160</v>
      </c>
      <c r="L1168" s="14" t="n">
        <v>55531.46</v>
      </c>
      <c r="M1168" s="22" t="n">
        <v>1.132</v>
      </c>
      <c r="N1168" s="14" t="n">
        <v>62861.61</v>
      </c>
      <c r="O1168" s="14" t="n">
        <v>7330.15</v>
      </c>
      <c r="P1168" s="21" t="n">
        <v>0.104</v>
      </c>
      <c r="Q1168" s="6" t="n">
        <v>123</v>
      </c>
      <c r="R1168" s="6" t="s">
        <v>161</v>
      </c>
      <c r="S1168" s="21" t="n">
        <v>1</v>
      </c>
      <c r="T1168" s="14" t="n">
        <v>62861.61</v>
      </c>
      <c r="U1168" s="6" t="s">
        <v>32</v>
      </c>
    </row>
    <row r="1169" customFormat="false" ht="15" hidden="false" customHeight="true" outlineLevel="0" collapsed="false">
      <c r="A1169" s="6" t="s">
        <v>2531</v>
      </c>
      <c r="B1169" s="6" t="s">
        <v>2532</v>
      </c>
      <c r="C1169" s="6" t="s">
        <v>128</v>
      </c>
      <c r="D1169" s="6" t="s">
        <v>401</v>
      </c>
      <c r="E1169" s="6" t="s">
        <v>211</v>
      </c>
      <c r="F1169" s="13" t="n">
        <v>45462</v>
      </c>
      <c r="G1169" s="13" t="n">
        <v>45539</v>
      </c>
      <c r="H1169" s="14" t="n">
        <v>13596.12</v>
      </c>
      <c r="I1169" s="6" t="n">
        <v>5</v>
      </c>
      <c r="J1169" s="6" t="n">
        <v>526</v>
      </c>
      <c r="K1169" s="6" t="s">
        <v>160</v>
      </c>
      <c r="L1169" s="14" t="n">
        <v>4211.35</v>
      </c>
      <c r="M1169" s="22" t="n">
        <v>1.107</v>
      </c>
      <c r="N1169" s="14" t="n">
        <v>4661.96</v>
      </c>
      <c r="O1169" s="14" t="n">
        <v>450.61</v>
      </c>
      <c r="P1169" s="21" t="n">
        <v>0.132</v>
      </c>
      <c r="Q1169" s="6" t="n">
        <v>77</v>
      </c>
      <c r="R1169" s="6" t="s">
        <v>155</v>
      </c>
      <c r="S1169" s="21" t="n">
        <v>0.727</v>
      </c>
      <c r="T1169" s="14" t="n">
        <v>3389.24</v>
      </c>
      <c r="U1169" s="6" t="s">
        <v>40</v>
      </c>
    </row>
    <row r="1170" customFormat="false" ht="15" hidden="false" customHeight="true" outlineLevel="0" collapsed="false">
      <c r="A1170" s="6" t="s">
        <v>2533</v>
      </c>
      <c r="B1170" s="6" t="s">
        <v>2534</v>
      </c>
      <c r="C1170" s="6" t="s">
        <v>128</v>
      </c>
      <c r="D1170" s="6" t="s">
        <v>235</v>
      </c>
      <c r="E1170" s="6" t="s">
        <v>153</v>
      </c>
      <c r="F1170" s="13" t="n">
        <v>45164</v>
      </c>
      <c r="G1170" s="13" t="n">
        <v>45224</v>
      </c>
      <c r="H1170" s="14" t="n">
        <v>231024.19</v>
      </c>
      <c r="I1170" s="6" t="n">
        <v>1</v>
      </c>
      <c r="J1170" s="6" t="n">
        <v>588</v>
      </c>
      <c r="K1170" s="6" t="s">
        <v>185</v>
      </c>
      <c r="L1170" s="14" t="n">
        <v>27738.97</v>
      </c>
      <c r="M1170" s="22" t="n">
        <v>1.111</v>
      </c>
      <c r="N1170" s="14" t="n">
        <v>30818</v>
      </c>
      <c r="O1170" s="14" t="n">
        <v>3079.03</v>
      </c>
      <c r="P1170" s="21" t="n">
        <v>0.107</v>
      </c>
      <c r="Q1170" s="6" t="n">
        <v>60</v>
      </c>
      <c r="R1170" s="6" t="s">
        <v>161</v>
      </c>
      <c r="S1170" s="21" t="n">
        <v>1</v>
      </c>
      <c r="T1170" s="14" t="n">
        <v>30818</v>
      </c>
      <c r="U1170" s="6" t="s">
        <v>30</v>
      </c>
    </row>
    <row r="1171" customFormat="false" ht="15" hidden="false" customHeight="true" outlineLevel="0" collapsed="false">
      <c r="A1171" s="6" t="s">
        <v>2535</v>
      </c>
      <c r="B1171" s="6" t="s">
        <v>2536</v>
      </c>
      <c r="C1171" s="6" t="s">
        <v>128</v>
      </c>
      <c r="D1171" s="6" t="s">
        <v>235</v>
      </c>
      <c r="E1171" s="6" t="s">
        <v>165</v>
      </c>
      <c r="F1171" s="13" t="n">
        <v>45823</v>
      </c>
      <c r="G1171" s="13" t="n">
        <v>45945</v>
      </c>
      <c r="H1171" s="14" t="n">
        <v>117968.95</v>
      </c>
      <c r="I1171" s="6" t="n">
        <v>1</v>
      </c>
      <c r="J1171" s="6" t="n">
        <v>683</v>
      </c>
      <c r="K1171" s="6" t="s">
        <v>154</v>
      </c>
      <c r="L1171" s="14" t="n">
        <v>37538.73</v>
      </c>
      <c r="M1171" s="22" t="n">
        <v>1.345</v>
      </c>
      <c r="N1171" s="14" t="n">
        <v>50489.59</v>
      </c>
      <c r="O1171" s="14" t="n">
        <v>12950.86</v>
      </c>
      <c r="P1171" s="21" t="n">
        <v>0.105</v>
      </c>
      <c r="Q1171" s="6" t="n">
        <v>122</v>
      </c>
      <c r="R1171" s="6" t="s">
        <v>155</v>
      </c>
      <c r="S1171" s="21" t="n">
        <v>0.852</v>
      </c>
      <c r="T1171" s="14" t="n">
        <v>43017.13</v>
      </c>
      <c r="U1171" s="6" t="s">
        <v>52</v>
      </c>
    </row>
    <row r="1172" customFormat="false" ht="15" hidden="false" customHeight="true" outlineLevel="0" collapsed="false">
      <c r="A1172" s="6" t="s">
        <v>2537</v>
      </c>
      <c r="B1172" s="6" t="s">
        <v>2538</v>
      </c>
      <c r="C1172" s="6" t="s">
        <v>124</v>
      </c>
      <c r="D1172" s="6" t="s">
        <v>243</v>
      </c>
      <c r="E1172" s="6" t="s">
        <v>192</v>
      </c>
      <c r="F1172" s="13" t="n">
        <v>46056</v>
      </c>
      <c r="G1172" s="13" t="n">
        <v>46160</v>
      </c>
      <c r="H1172" s="14" t="n">
        <v>209448.77</v>
      </c>
      <c r="I1172" s="6" t="n">
        <v>1</v>
      </c>
      <c r="J1172" s="6" t="n">
        <v>631</v>
      </c>
      <c r="K1172" s="6" t="s">
        <v>185</v>
      </c>
      <c r="L1172" s="14" t="n">
        <v>31536.03</v>
      </c>
      <c r="M1172" s="22" t="n">
        <v>1.255</v>
      </c>
      <c r="N1172" s="14" t="n">
        <v>39577.72</v>
      </c>
      <c r="O1172" s="14" t="n">
        <v>8041.69</v>
      </c>
      <c r="P1172" s="21" t="n">
        <v>0.054</v>
      </c>
      <c r="Q1172" s="6" t="n">
        <v>104</v>
      </c>
      <c r="R1172" s="6" t="s">
        <v>155</v>
      </c>
      <c r="S1172" s="21" t="n">
        <v>0.98</v>
      </c>
      <c r="T1172" s="14" t="n">
        <v>38786.17</v>
      </c>
      <c r="U1172" s="6" t="s">
        <v>60</v>
      </c>
    </row>
    <row r="1173" customFormat="false" ht="15" hidden="false" customHeight="true" outlineLevel="0" collapsed="false">
      <c r="A1173" s="6" t="s">
        <v>2539</v>
      </c>
      <c r="B1173" s="6" t="s">
        <v>2540</v>
      </c>
      <c r="C1173" s="6" t="s">
        <v>131</v>
      </c>
      <c r="D1173" s="6" t="s">
        <v>200</v>
      </c>
      <c r="E1173" s="6" t="s">
        <v>288</v>
      </c>
      <c r="F1173" s="13" t="n">
        <v>45599</v>
      </c>
      <c r="G1173" s="13" t="n">
        <v>45683</v>
      </c>
      <c r="H1173" s="14" t="n">
        <v>202663.46</v>
      </c>
      <c r="I1173" s="6" t="n">
        <v>0</v>
      </c>
      <c r="J1173" s="6" t="n">
        <v>707</v>
      </c>
      <c r="K1173" s="6" t="s">
        <v>160</v>
      </c>
      <c r="L1173" s="14" t="n">
        <v>54513.14</v>
      </c>
      <c r="M1173" s="22" t="n">
        <v>1.26</v>
      </c>
      <c r="N1173" s="14" t="n">
        <v>68686.56</v>
      </c>
      <c r="O1173" s="14" t="n">
        <v>14173.42</v>
      </c>
      <c r="P1173" s="21" t="n">
        <v>0.121</v>
      </c>
      <c r="Q1173" s="6" t="n">
        <v>84</v>
      </c>
      <c r="R1173" s="6" t="s">
        <v>155</v>
      </c>
      <c r="S1173" s="21" t="n">
        <v>0.86</v>
      </c>
      <c r="T1173" s="14" t="n">
        <v>59070.44</v>
      </c>
      <c r="U1173" s="6" t="s">
        <v>45</v>
      </c>
    </row>
    <row r="1174" customFormat="false" ht="15" hidden="false" customHeight="true" outlineLevel="0" collapsed="false">
      <c r="A1174" s="6" t="s">
        <v>2541</v>
      </c>
      <c r="B1174" s="6" t="s">
        <v>2542</v>
      </c>
      <c r="C1174" s="6" t="s">
        <v>112</v>
      </c>
      <c r="D1174" s="6" t="s">
        <v>172</v>
      </c>
      <c r="E1174" s="6" t="s">
        <v>181</v>
      </c>
      <c r="F1174" s="13" t="n">
        <v>45189</v>
      </c>
      <c r="G1174" s="13" t="n">
        <v>45278</v>
      </c>
      <c r="H1174" s="14" t="n">
        <v>73275.74</v>
      </c>
      <c r="I1174" s="6" t="n">
        <v>0</v>
      </c>
      <c r="J1174" s="6" t="n">
        <v>647</v>
      </c>
      <c r="K1174" s="6" t="s">
        <v>185</v>
      </c>
      <c r="L1174" s="14" t="n">
        <v>23354.37</v>
      </c>
      <c r="M1174" s="22" t="n">
        <v>1.164</v>
      </c>
      <c r="N1174" s="14" t="n">
        <v>27184.49</v>
      </c>
      <c r="O1174" s="14" t="n">
        <v>3830.12</v>
      </c>
      <c r="P1174" s="21" t="n">
        <v>0.125</v>
      </c>
      <c r="Q1174" s="6" t="n">
        <v>89</v>
      </c>
      <c r="R1174" s="6" t="s">
        <v>309</v>
      </c>
      <c r="S1174" s="21" t="n">
        <v>0.278</v>
      </c>
      <c r="T1174" s="14" t="n">
        <v>7557.29</v>
      </c>
      <c r="U1174" s="6" t="s">
        <v>31</v>
      </c>
    </row>
    <row r="1175" customFormat="false" ht="15" hidden="false" customHeight="true" outlineLevel="0" collapsed="false">
      <c r="A1175" s="6" t="s">
        <v>2543</v>
      </c>
      <c r="B1175" s="6" t="s">
        <v>2544</v>
      </c>
      <c r="C1175" s="6" t="s">
        <v>116</v>
      </c>
      <c r="D1175" s="6" t="s">
        <v>222</v>
      </c>
      <c r="E1175" s="6" t="s">
        <v>211</v>
      </c>
      <c r="F1175" s="13" t="n">
        <v>45283</v>
      </c>
      <c r="G1175" s="13" t="n">
        <v>45356</v>
      </c>
      <c r="H1175" s="14" t="n">
        <v>223081</v>
      </c>
      <c r="I1175" s="6" t="n">
        <v>2</v>
      </c>
      <c r="J1175" s="6" t="n">
        <v>584</v>
      </c>
      <c r="K1175" s="6" t="s">
        <v>154</v>
      </c>
      <c r="L1175" s="14" t="n">
        <v>63078.82</v>
      </c>
      <c r="M1175" s="22" t="n">
        <v>1.217</v>
      </c>
      <c r="N1175" s="14" t="n">
        <v>76766.92</v>
      </c>
      <c r="O1175" s="14" t="n">
        <v>13688.1</v>
      </c>
      <c r="P1175" s="21" t="n">
        <v>0.141</v>
      </c>
      <c r="Q1175" s="6" t="n">
        <v>73</v>
      </c>
      <c r="R1175" s="6" t="s">
        <v>155</v>
      </c>
      <c r="S1175" s="21" t="n">
        <v>0.98</v>
      </c>
      <c r="T1175" s="14" t="n">
        <v>75231.58</v>
      </c>
      <c r="U1175" s="6" t="s">
        <v>34</v>
      </c>
    </row>
    <row r="1176" customFormat="false" ht="15" hidden="false" customHeight="true" outlineLevel="0" collapsed="false">
      <c r="A1176" s="6" t="s">
        <v>2545</v>
      </c>
      <c r="B1176" s="6" t="s">
        <v>2546</v>
      </c>
      <c r="C1176" s="6" t="s">
        <v>116</v>
      </c>
      <c r="D1176" s="6" t="s">
        <v>152</v>
      </c>
      <c r="E1176" s="6" t="s">
        <v>304</v>
      </c>
      <c r="F1176" s="13" t="n">
        <v>44836</v>
      </c>
      <c r="G1176" s="13" t="n">
        <v>44900</v>
      </c>
      <c r="H1176" s="14" t="n">
        <v>203009.29</v>
      </c>
      <c r="I1176" s="6" t="n">
        <v>0</v>
      </c>
      <c r="J1176" s="6" t="n">
        <v>796</v>
      </c>
      <c r="K1176" s="6" t="s">
        <v>160</v>
      </c>
      <c r="L1176" s="14" t="n">
        <v>45743.76</v>
      </c>
      <c r="M1176" s="22" t="n">
        <v>1.258</v>
      </c>
      <c r="N1176" s="14" t="n">
        <v>57545.65</v>
      </c>
      <c r="O1176" s="14" t="n">
        <v>11801.89</v>
      </c>
      <c r="P1176" s="21" t="n">
        <v>0.132</v>
      </c>
      <c r="Q1176" s="6" t="n">
        <v>64</v>
      </c>
      <c r="R1176" s="6" t="s">
        <v>161</v>
      </c>
      <c r="S1176" s="21" t="n">
        <v>1</v>
      </c>
      <c r="T1176" s="14" t="n">
        <v>57545.65</v>
      </c>
      <c r="U1176" s="6" t="s">
        <v>20</v>
      </c>
    </row>
    <row r="1177" customFormat="false" ht="15" hidden="false" customHeight="true" outlineLevel="0" collapsed="false">
      <c r="A1177" s="6" t="s">
        <v>2547</v>
      </c>
      <c r="B1177" s="6" t="s">
        <v>2548</v>
      </c>
      <c r="C1177" s="6" t="s">
        <v>131</v>
      </c>
      <c r="D1177" s="6" t="s">
        <v>176</v>
      </c>
      <c r="E1177" s="6" t="s">
        <v>192</v>
      </c>
      <c r="F1177" s="13" t="n">
        <v>46035</v>
      </c>
      <c r="G1177" s="13" t="n">
        <v>46110</v>
      </c>
      <c r="H1177" s="14" t="n">
        <v>220513.48</v>
      </c>
      <c r="I1177" s="6" t="n">
        <v>0</v>
      </c>
      <c r="J1177" s="6" t="n">
        <v>819</v>
      </c>
      <c r="K1177" s="6" t="s">
        <v>185</v>
      </c>
      <c r="L1177" s="14" t="n">
        <v>65721.28</v>
      </c>
      <c r="M1177" s="22" t="n">
        <v>1.252</v>
      </c>
      <c r="N1177" s="14" t="n">
        <v>82283.04</v>
      </c>
      <c r="O1177" s="14" t="n">
        <v>16561.76</v>
      </c>
      <c r="P1177" s="21" t="n">
        <v>0.149</v>
      </c>
      <c r="Q1177" s="6" t="n">
        <v>75</v>
      </c>
      <c r="R1177" s="6" t="s">
        <v>155</v>
      </c>
      <c r="S1177" s="21" t="n">
        <v>0.917</v>
      </c>
      <c r="T1177" s="14" t="n">
        <v>75453.55</v>
      </c>
      <c r="U1177" s="6" t="s">
        <v>59</v>
      </c>
    </row>
    <row r="1178" customFormat="false" ht="15" hidden="false" customHeight="true" outlineLevel="0" collapsed="false">
      <c r="A1178" s="6" t="s">
        <v>2549</v>
      </c>
      <c r="B1178" s="6" t="s">
        <v>2550</v>
      </c>
      <c r="C1178" s="6" t="s">
        <v>116</v>
      </c>
      <c r="D1178" s="6" t="s">
        <v>152</v>
      </c>
      <c r="E1178" s="6" t="s">
        <v>165</v>
      </c>
      <c r="F1178" s="13" t="n">
        <v>46148</v>
      </c>
      <c r="G1178" s="13" t="n">
        <v>46229</v>
      </c>
      <c r="H1178" s="14" t="n">
        <v>161925.25</v>
      </c>
      <c r="I1178" s="6" t="n">
        <v>0</v>
      </c>
      <c r="J1178" s="6" t="n">
        <v>541</v>
      </c>
      <c r="K1178" s="6" t="s">
        <v>160</v>
      </c>
      <c r="L1178" s="14" t="n">
        <v>36328.82</v>
      </c>
      <c r="M1178" s="22" t="n">
        <v>1.339</v>
      </c>
      <c r="N1178" s="14" t="n">
        <v>48644.29</v>
      </c>
      <c r="O1178" s="14" t="n">
        <v>12315.47</v>
      </c>
      <c r="P1178" s="21" t="n">
        <v>0.111</v>
      </c>
      <c r="Q1178" s="6" t="n">
        <v>81</v>
      </c>
      <c r="R1178" s="6" t="s">
        <v>155</v>
      </c>
      <c r="S1178" s="21" t="n">
        <v>0.98</v>
      </c>
      <c r="T1178" s="14" t="n">
        <v>47671.4</v>
      </c>
      <c r="U1178" s="6" t="s">
        <v>63</v>
      </c>
    </row>
    <row r="1179" customFormat="false" ht="15" hidden="false" customHeight="true" outlineLevel="0" collapsed="false">
      <c r="A1179" s="6" t="s">
        <v>2551</v>
      </c>
      <c r="B1179" s="6" t="s">
        <v>2552</v>
      </c>
      <c r="C1179" s="6" t="s">
        <v>112</v>
      </c>
      <c r="D1179" s="6" t="s">
        <v>188</v>
      </c>
      <c r="E1179" s="6" t="s">
        <v>153</v>
      </c>
      <c r="F1179" s="13" t="n">
        <v>45160</v>
      </c>
      <c r="G1179" s="13" t="n">
        <v>45220</v>
      </c>
      <c r="H1179" s="14" t="n">
        <v>132415.21</v>
      </c>
      <c r="I1179" s="6" t="n">
        <v>0</v>
      </c>
      <c r="J1179" s="6" t="n">
        <v>773</v>
      </c>
      <c r="K1179" s="6" t="s">
        <v>160</v>
      </c>
      <c r="L1179" s="14" t="n">
        <v>17255.44</v>
      </c>
      <c r="M1179" s="22" t="n">
        <v>1.24</v>
      </c>
      <c r="N1179" s="14" t="n">
        <v>21396.75</v>
      </c>
      <c r="O1179" s="14" t="n">
        <v>4141.31</v>
      </c>
      <c r="P1179" s="21" t="n">
        <v>0.129</v>
      </c>
      <c r="Q1179" s="6" t="n">
        <v>60</v>
      </c>
      <c r="R1179" s="6" t="s">
        <v>155</v>
      </c>
      <c r="S1179" s="21" t="n">
        <v>0.98</v>
      </c>
      <c r="T1179" s="14" t="n">
        <v>20968.81</v>
      </c>
      <c r="U1179" s="6" t="s">
        <v>30</v>
      </c>
    </row>
    <row r="1180" customFormat="false" ht="15" hidden="false" customHeight="true" outlineLevel="0" collapsed="false">
      <c r="A1180" s="6" t="s">
        <v>2553</v>
      </c>
      <c r="B1180" s="6" t="s">
        <v>2554</v>
      </c>
      <c r="C1180" s="6" t="s">
        <v>116</v>
      </c>
      <c r="D1180" s="6" t="s">
        <v>152</v>
      </c>
      <c r="E1180" s="6" t="s">
        <v>169</v>
      </c>
      <c r="F1180" s="13" t="n">
        <v>45319</v>
      </c>
      <c r="G1180" s="13" t="n">
        <v>45433</v>
      </c>
      <c r="H1180" s="14" t="n">
        <v>27052.3</v>
      </c>
      <c r="I1180" s="6" t="n">
        <v>0</v>
      </c>
      <c r="J1180" s="6" t="n">
        <v>746</v>
      </c>
      <c r="K1180" s="6" t="s">
        <v>160</v>
      </c>
      <c r="L1180" s="14" t="n">
        <v>9670.81</v>
      </c>
      <c r="M1180" s="22" t="n">
        <v>1.203</v>
      </c>
      <c r="N1180" s="14" t="n">
        <v>11633.98</v>
      </c>
      <c r="O1180" s="14" t="n">
        <v>1963.17</v>
      </c>
      <c r="P1180" s="21" t="n">
        <v>0.113</v>
      </c>
      <c r="Q1180" s="6" t="n">
        <v>114</v>
      </c>
      <c r="R1180" s="6" t="s">
        <v>155</v>
      </c>
      <c r="S1180" s="21" t="n">
        <v>0.855</v>
      </c>
      <c r="T1180" s="14" t="n">
        <v>9947.05</v>
      </c>
      <c r="U1180" s="6" t="s">
        <v>35</v>
      </c>
    </row>
    <row r="1181" customFormat="false" ht="15" hidden="false" customHeight="true" outlineLevel="0" collapsed="false">
      <c r="A1181" s="6" t="s">
        <v>2555</v>
      </c>
      <c r="B1181" s="6" t="s">
        <v>2556</v>
      </c>
      <c r="C1181" s="6" t="s">
        <v>131</v>
      </c>
      <c r="D1181" s="6" t="s">
        <v>176</v>
      </c>
      <c r="E1181" s="6" t="s">
        <v>299</v>
      </c>
      <c r="F1181" s="13" t="n">
        <v>45129</v>
      </c>
      <c r="G1181" s="13" t="n">
        <v>45239</v>
      </c>
      <c r="H1181" s="14" t="n">
        <v>158116.62</v>
      </c>
      <c r="I1181" s="6" t="n">
        <v>1</v>
      </c>
      <c r="J1181" s="6" t="n">
        <v>767</v>
      </c>
      <c r="K1181" s="6" t="s">
        <v>160</v>
      </c>
      <c r="L1181" s="14" t="n">
        <v>39890.55</v>
      </c>
      <c r="M1181" s="22" t="n">
        <v>1.299</v>
      </c>
      <c r="N1181" s="14" t="n">
        <v>51817.82</v>
      </c>
      <c r="O1181" s="14" t="n">
        <v>11927.27</v>
      </c>
      <c r="P1181" s="21" t="n">
        <v>0.089</v>
      </c>
      <c r="Q1181" s="6" t="n">
        <v>110</v>
      </c>
      <c r="R1181" s="6" t="s">
        <v>155</v>
      </c>
      <c r="S1181" s="21" t="n">
        <v>0.98</v>
      </c>
      <c r="T1181" s="14" t="n">
        <v>50781.46</v>
      </c>
      <c r="U1181" s="6" t="s">
        <v>29</v>
      </c>
    </row>
    <row r="1182" customFormat="false" ht="15" hidden="false" customHeight="true" outlineLevel="0" collapsed="false">
      <c r="A1182" s="6" t="s">
        <v>2557</v>
      </c>
      <c r="B1182" s="6" t="s">
        <v>2558</v>
      </c>
      <c r="C1182" s="6" t="s">
        <v>131</v>
      </c>
      <c r="D1182" s="6" t="s">
        <v>200</v>
      </c>
      <c r="E1182" s="6" t="s">
        <v>189</v>
      </c>
      <c r="F1182" s="13" t="n">
        <v>44692</v>
      </c>
      <c r="G1182" s="13" t="n">
        <v>44813</v>
      </c>
      <c r="H1182" s="14" t="n">
        <v>235668.88</v>
      </c>
      <c r="I1182" s="6" t="n">
        <v>0</v>
      </c>
      <c r="J1182" s="6" t="n">
        <v>754</v>
      </c>
      <c r="K1182" s="6" t="s">
        <v>160</v>
      </c>
      <c r="L1182" s="14" t="n">
        <v>81845.67</v>
      </c>
      <c r="M1182" s="22" t="n">
        <v>1.169</v>
      </c>
      <c r="N1182" s="14" t="n">
        <v>95677.59</v>
      </c>
      <c r="O1182" s="14" t="n">
        <v>13831.92</v>
      </c>
      <c r="P1182" s="21" t="n">
        <v>0.1</v>
      </c>
      <c r="Q1182" s="6" t="n">
        <v>121</v>
      </c>
      <c r="R1182" s="6" t="s">
        <v>161</v>
      </c>
      <c r="S1182" s="21" t="n">
        <v>1</v>
      </c>
      <c r="T1182" s="14" t="n">
        <v>95677.59</v>
      </c>
      <c r="U1182" s="6" t="s">
        <v>15</v>
      </c>
    </row>
    <row r="1183" customFormat="false" ht="15" hidden="false" customHeight="true" outlineLevel="0" collapsed="false">
      <c r="A1183" s="6" t="s">
        <v>2559</v>
      </c>
      <c r="B1183" s="6" t="s">
        <v>2560</v>
      </c>
      <c r="C1183" s="6" t="s">
        <v>131</v>
      </c>
      <c r="D1183" s="6" t="s">
        <v>200</v>
      </c>
      <c r="E1183" s="6" t="s">
        <v>299</v>
      </c>
      <c r="F1183" s="13" t="n">
        <v>44911</v>
      </c>
      <c r="G1183" s="13" t="n">
        <v>45033</v>
      </c>
      <c r="H1183" s="14" t="n">
        <v>31124.02</v>
      </c>
      <c r="I1183" s="6" t="n">
        <v>2</v>
      </c>
      <c r="J1183" s="6" t="n">
        <v>606</v>
      </c>
      <c r="K1183" s="6" t="s">
        <v>160</v>
      </c>
      <c r="L1183" s="14" t="n">
        <v>13766.44</v>
      </c>
      <c r="M1183" s="22" t="n">
        <v>1.183</v>
      </c>
      <c r="N1183" s="14" t="n">
        <v>16285.7</v>
      </c>
      <c r="O1183" s="14" t="n">
        <v>2519.26</v>
      </c>
      <c r="P1183" s="21" t="n">
        <v>0.128</v>
      </c>
      <c r="Q1183" s="6" t="n">
        <v>122</v>
      </c>
      <c r="R1183" s="6" t="s">
        <v>309</v>
      </c>
      <c r="S1183" s="21" t="n">
        <v>0.307</v>
      </c>
      <c r="T1183" s="14" t="n">
        <v>4999.71</v>
      </c>
      <c r="U1183" s="6" t="s">
        <v>22</v>
      </c>
    </row>
    <row r="1184" customFormat="false" ht="15" hidden="false" customHeight="true" outlineLevel="0" collapsed="false">
      <c r="A1184" s="6" t="s">
        <v>2561</v>
      </c>
      <c r="B1184" s="6" t="s">
        <v>2562</v>
      </c>
      <c r="C1184" s="6" t="s">
        <v>124</v>
      </c>
      <c r="D1184" s="6" t="s">
        <v>168</v>
      </c>
      <c r="E1184" s="6" t="s">
        <v>201</v>
      </c>
      <c r="F1184" s="13" t="n">
        <v>45906</v>
      </c>
      <c r="G1184" s="13" t="n">
        <v>46009</v>
      </c>
      <c r="H1184" s="14" t="n">
        <v>55053.22</v>
      </c>
      <c r="I1184" s="6" t="n">
        <v>0</v>
      </c>
      <c r="J1184" s="6" t="n">
        <v>782</v>
      </c>
      <c r="K1184" s="6" t="s">
        <v>160</v>
      </c>
      <c r="L1184" s="14" t="n">
        <v>19095.55</v>
      </c>
      <c r="M1184" s="22" t="n">
        <v>1.136</v>
      </c>
      <c r="N1184" s="14" t="n">
        <v>21692.54</v>
      </c>
      <c r="O1184" s="14" t="n">
        <v>2596.99</v>
      </c>
      <c r="P1184" s="21" t="n">
        <v>0.114</v>
      </c>
      <c r="Q1184" s="6" t="n">
        <v>103</v>
      </c>
      <c r="R1184" s="6" t="s">
        <v>155</v>
      </c>
      <c r="S1184" s="21" t="n">
        <v>0.814</v>
      </c>
      <c r="T1184" s="14" t="n">
        <v>17657.73</v>
      </c>
      <c r="U1184" s="6" t="s">
        <v>55</v>
      </c>
    </row>
    <row r="1185" customFormat="false" ht="15" hidden="false" customHeight="true" outlineLevel="0" collapsed="false">
      <c r="A1185" s="6" t="s">
        <v>2563</v>
      </c>
      <c r="B1185" s="6" t="s">
        <v>2564</v>
      </c>
      <c r="C1185" s="6" t="s">
        <v>120</v>
      </c>
      <c r="D1185" s="6" t="s">
        <v>210</v>
      </c>
      <c r="E1185" s="6" t="s">
        <v>159</v>
      </c>
      <c r="F1185" s="13" t="n">
        <v>44743</v>
      </c>
      <c r="G1185" s="13" t="n">
        <v>44812</v>
      </c>
      <c r="H1185" s="14" t="n">
        <v>169114.83</v>
      </c>
      <c r="I1185" s="6" t="n">
        <v>1</v>
      </c>
      <c r="J1185" s="6" t="n">
        <v>606</v>
      </c>
      <c r="K1185" s="6" t="s">
        <v>185</v>
      </c>
      <c r="L1185" s="14" t="n">
        <v>20619.51</v>
      </c>
      <c r="M1185" s="22" t="n">
        <v>1.322</v>
      </c>
      <c r="N1185" s="14" t="n">
        <v>27258.99</v>
      </c>
      <c r="O1185" s="14" t="n">
        <v>6639.48</v>
      </c>
      <c r="P1185" s="21" t="n">
        <v>0.07</v>
      </c>
      <c r="Q1185" s="6" t="n">
        <v>69</v>
      </c>
      <c r="R1185" s="6" t="s">
        <v>161</v>
      </c>
      <c r="S1185" s="21" t="n">
        <v>1</v>
      </c>
      <c r="T1185" s="14" t="n">
        <v>27258.99</v>
      </c>
      <c r="U1185" s="6" t="s">
        <v>17</v>
      </c>
    </row>
    <row r="1186" customFormat="false" ht="15" hidden="false" customHeight="true" outlineLevel="0" collapsed="false">
      <c r="A1186" s="6" t="s">
        <v>2565</v>
      </c>
      <c r="B1186" s="6" t="s">
        <v>2566</v>
      </c>
      <c r="C1186" s="6" t="s">
        <v>131</v>
      </c>
      <c r="D1186" s="6" t="s">
        <v>200</v>
      </c>
      <c r="E1186" s="6" t="s">
        <v>181</v>
      </c>
      <c r="F1186" s="13" t="n">
        <v>46036</v>
      </c>
      <c r="G1186" s="13" t="n">
        <v>46114</v>
      </c>
      <c r="H1186" s="14" t="n">
        <v>111971.47</v>
      </c>
      <c r="I1186" s="6" t="n">
        <v>4</v>
      </c>
      <c r="J1186" s="6" t="n">
        <v>698</v>
      </c>
      <c r="K1186" s="6" t="s">
        <v>185</v>
      </c>
      <c r="L1186" s="14" t="n">
        <v>39657.84</v>
      </c>
      <c r="M1186" s="22" t="n">
        <v>1.295</v>
      </c>
      <c r="N1186" s="14" t="n">
        <v>51356.9</v>
      </c>
      <c r="O1186" s="14" t="n">
        <v>11699.06</v>
      </c>
      <c r="P1186" s="21" t="n">
        <v>0.176</v>
      </c>
      <c r="Q1186" s="6" t="n">
        <v>78</v>
      </c>
      <c r="R1186" s="6" t="s">
        <v>161</v>
      </c>
      <c r="S1186" s="21" t="n">
        <v>1</v>
      </c>
      <c r="T1186" s="14" t="n">
        <v>51356.9</v>
      </c>
      <c r="U1186" s="6" t="s">
        <v>59</v>
      </c>
    </row>
    <row r="1187" customFormat="false" ht="15" hidden="false" customHeight="true" outlineLevel="0" collapsed="false">
      <c r="A1187" s="6" t="s">
        <v>2567</v>
      </c>
      <c r="B1187" s="6" t="s">
        <v>2568</v>
      </c>
      <c r="C1187" s="6" t="s">
        <v>128</v>
      </c>
      <c r="D1187" s="6" t="s">
        <v>401</v>
      </c>
      <c r="E1187" s="6" t="s">
        <v>211</v>
      </c>
      <c r="F1187" s="13" t="n">
        <v>46049</v>
      </c>
      <c r="G1187" s="13" t="n">
        <v>46109</v>
      </c>
      <c r="H1187" s="14" t="n">
        <v>124086</v>
      </c>
      <c r="I1187" s="6" t="n">
        <v>0</v>
      </c>
      <c r="J1187" s="6" t="n">
        <v>745</v>
      </c>
      <c r="K1187" s="6" t="s">
        <v>160</v>
      </c>
      <c r="L1187" s="14" t="n">
        <v>11658.32</v>
      </c>
      <c r="M1187" s="22" t="n">
        <v>1.246</v>
      </c>
      <c r="N1187" s="14" t="n">
        <v>14526.27</v>
      </c>
      <c r="O1187" s="14" t="n">
        <v>2867.95</v>
      </c>
      <c r="P1187" s="21" t="n">
        <v>0.153</v>
      </c>
      <c r="Q1187" s="6" t="n">
        <v>60</v>
      </c>
      <c r="R1187" s="6" t="s">
        <v>155</v>
      </c>
      <c r="S1187" s="21" t="n">
        <v>0.785</v>
      </c>
      <c r="T1187" s="14" t="n">
        <v>11403.12</v>
      </c>
      <c r="U1187" s="6" t="s">
        <v>59</v>
      </c>
    </row>
    <row r="1188" customFormat="false" ht="15" hidden="false" customHeight="true" outlineLevel="0" collapsed="false">
      <c r="A1188" s="6" t="s">
        <v>2569</v>
      </c>
      <c r="B1188" s="6" t="s">
        <v>2570</v>
      </c>
      <c r="C1188" s="6" t="s">
        <v>112</v>
      </c>
      <c r="D1188" s="6" t="s">
        <v>164</v>
      </c>
      <c r="E1188" s="6" t="s">
        <v>299</v>
      </c>
      <c r="F1188" s="13" t="n">
        <v>45417</v>
      </c>
      <c r="G1188" s="13" t="n">
        <v>45503</v>
      </c>
      <c r="H1188" s="14" t="n">
        <v>195799.11</v>
      </c>
      <c r="I1188" s="6" t="n">
        <v>3</v>
      </c>
      <c r="J1188" s="6" t="n">
        <v>553</v>
      </c>
      <c r="K1188" s="6" t="s">
        <v>154</v>
      </c>
      <c r="L1188" s="14" t="n">
        <v>85488.68</v>
      </c>
      <c r="M1188" s="22" t="n">
        <v>1.099</v>
      </c>
      <c r="N1188" s="14" t="n">
        <v>93952.06</v>
      </c>
      <c r="O1188" s="14" t="n">
        <v>8463.38</v>
      </c>
      <c r="P1188" s="21" t="n">
        <v>0.166</v>
      </c>
      <c r="Q1188" s="6" t="n">
        <v>86</v>
      </c>
      <c r="R1188" s="6" t="s">
        <v>155</v>
      </c>
      <c r="S1188" s="21" t="n">
        <v>0.771</v>
      </c>
      <c r="T1188" s="14" t="n">
        <v>72437.04</v>
      </c>
      <c r="U1188" s="6" t="s">
        <v>39</v>
      </c>
    </row>
    <row r="1189" customFormat="false" ht="15" hidden="false" customHeight="true" outlineLevel="0" collapsed="false">
      <c r="A1189" s="6" t="s">
        <v>2571</v>
      </c>
      <c r="B1189" s="6" t="s">
        <v>2572</v>
      </c>
      <c r="C1189" s="6" t="s">
        <v>128</v>
      </c>
      <c r="D1189" s="6" t="s">
        <v>401</v>
      </c>
      <c r="E1189" s="6" t="s">
        <v>192</v>
      </c>
      <c r="F1189" s="13" t="n">
        <v>44703</v>
      </c>
      <c r="G1189" s="13" t="n">
        <v>44805</v>
      </c>
      <c r="H1189" s="14" t="n">
        <v>107802.87</v>
      </c>
      <c r="I1189" s="6" t="n">
        <v>0</v>
      </c>
      <c r="J1189" s="6" t="n">
        <v>798</v>
      </c>
      <c r="K1189" s="6" t="s">
        <v>185</v>
      </c>
      <c r="L1189" s="14" t="n">
        <v>33426.15</v>
      </c>
      <c r="M1189" s="22" t="n">
        <v>1.153</v>
      </c>
      <c r="N1189" s="14" t="n">
        <v>38540.35</v>
      </c>
      <c r="O1189" s="14" t="n">
        <v>5114.2</v>
      </c>
      <c r="P1189" s="21" t="n">
        <v>0.105</v>
      </c>
      <c r="Q1189" s="6" t="n">
        <v>102</v>
      </c>
      <c r="R1189" s="6" t="s">
        <v>155</v>
      </c>
      <c r="S1189" s="21" t="n">
        <v>0.752</v>
      </c>
      <c r="T1189" s="14" t="n">
        <v>28982.34</v>
      </c>
      <c r="U1189" s="6" t="s">
        <v>15</v>
      </c>
    </row>
    <row r="1190" customFormat="false" ht="15" hidden="false" customHeight="true" outlineLevel="0" collapsed="false">
      <c r="A1190" s="6" t="s">
        <v>2573</v>
      </c>
      <c r="B1190" s="6" t="s">
        <v>2574</v>
      </c>
      <c r="C1190" s="6" t="s">
        <v>124</v>
      </c>
      <c r="D1190" s="6" t="s">
        <v>243</v>
      </c>
      <c r="E1190" s="6" t="s">
        <v>201</v>
      </c>
      <c r="F1190" s="13" t="n">
        <v>45004</v>
      </c>
      <c r="G1190" s="13" t="n">
        <v>45064</v>
      </c>
      <c r="H1190" s="14" t="n">
        <v>70277.12</v>
      </c>
      <c r="I1190" s="6" t="n">
        <v>3</v>
      </c>
      <c r="J1190" s="6" t="n">
        <v>689</v>
      </c>
      <c r="K1190" s="6" t="s">
        <v>160</v>
      </c>
      <c r="L1190" s="14" t="n">
        <v>8109.37</v>
      </c>
      <c r="M1190" s="22" t="n">
        <v>1.132</v>
      </c>
      <c r="N1190" s="14" t="n">
        <v>9179.81</v>
      </c>
      <c r="O1190" s="14" t="n">
        <v>1070.44</v>
      </c>
      <c r="P1190" s="21" t="n">
        <v>0.149</v>
      </c>
      <c r="Q1190" s="6" t="n">
        <v>60</v>
      </c>
      <c r="R1190" s="6" t="s">
        <v>161</v>
      </c>
      <c r="S1190" s="21" t="n">
        <v>1</v>
      </c>
      <c r="T1190" s="14" t="n">
        <v>9179.81</v>
      </c>
      <c r="U1190" s="6" t="s">
        <v>25</v>
      </c>
    </row>
    <row r="1191" customFormat="false" ht="15" hidden="false" customHeight="true" outlineLevel="0" collapsed="false">
      <c r="A1191" s="6" t="s">
        <v>2575</v>
      </c>
      <c r="B1191" s="6" t="s">
        <v>2576</v>
      </c>
      <c r="C1191" s="6" t="s">
        <v>128</v>
      </c>
      <c r="D1191" s="6" t="s">
        <v>401</v>
      </c>
      <c r="E1191" s="6" t="s">
        <v>195</v>
      </c>
      <c r="F1191" s="13" t="n">
        <v>46164</v>
      </c>
      <c r="G1191" s="13" t="n">
        <v>46224</v>
      </c>
      <c r="H1191" s="14" t="n">
        <v>163052.44</v>
      </c>
      <c r="I1191" s="6" t="n">
        <v>1</v>
      </c>
      <c r="J1191" s="6" t="n">
        <v>634</v>
      </c>
      <c r="K1191" s="6" t="s">
        <v>160</v>
      </c>
      <c r="L1191" s="14" t="n">
        <v>15429.04</v>
      </c>
      <c r="M1191" s="22" t="n">
        <v>1.253</v>
      </c>
      <c r="N1191" s="14" t="n">
        <v>19332.59</v>
      </c>
      <c r="O1191" s="14" t="n">
        <v>3903.55</v>
      </c>
      <c r="P1191" s="21" t="n">
        <v>0.136</v>
      </c>
      <c r="Q1191" s="6" t="n">
        <v>60</v>
      </c>
      <c r="R1191" s="6" t="s">
        <v>155</v>
      </c>
      <c r="S1191" s="21" t="n">
        <v>0.737</v>
      </c>
      <c r="T1191" s="14" t="n">
        <v>14248.12</v>
      </c>
      <c r="U1191" s="6" t="s">
        <v>63</v>
      </c>
    </row>
    <row r="1192" customFormat="false" ht="15" hidden="false" customHeight="true" outlineLevel="0" collapsed="false">
      <c r="A1192" s="6" t="s">
        <v>2577</v>
      </c>
      <c r="B1192" s="6" t="s">
        <v>2578</v>
      </c>
      <c r="C1192" s="6" t="s">
        <v>120</v>
      </c>
      <c r="D1192" s="6" t="s">
        <v>210</v>
      </c>
      <c r="E1192" s="6" t="s">
        <v>173</v>
      </c>
      <c r="F1192" s="13" t="n">
        <v>44763</v>
      </c>
      <c r="G1192" s="13" t="n">
        <v>44831</v>
      </c>
      <c r="H1192" s="14" t="n">
        <v>19654.47</v>
      </c>
      <c r="I1192" s="6" t="n">
        <v>1</v>
      </c>
      <c r="J1192" s="6" t="n">
        <v>598</v>
      </c>
      <c r="K1192" s="6" t="s">
        <v>160</v>
      </c>
      <c r="L1192" s="14" t="n">
        <v>2000</v>
      </c>
      <c r="M1192" s="22" t="n">
        <v>1.297</v>
      </c>
      <c r="N1192" s="14" t="n">
        <v>2594</v>
      </c>
      <c r="O1192" s="14" t="n">
        <v>594</v>
      </c>
      <c r="P1192" s="21" t="n">
        <v>0.058</v>
      </c>
      <c r="Q1192" s="6" t="n">
        <v>68</v>
      </c>
      <c r="R1192" s="6" t="s">
        <v>161</v>
      </c>
      <c r="S1192" s="21" t="n">
        <v>1</v>
      </c>
      <c r="T1192" s="14" t="n">
        <v>2594</v>
      </c>
      <c r="U1192" s="6" t="s">
        <v>17</v>
      </c>
    </row>
    <row r="1193" customFormat="false" ht="15" hidden="false" customHeight="true" outlineLevel="0" collapsed="false">
      <c r="A1193" s="6" t="s">
        <v>2579</v>
      </c>
      <c r="B1193" s="6" t="s">
        <v>2580</v>
      </c>
      <c r="C1193" s="6" t="s">
        <v>128</v>
      </c>
      <c r="D1193" s="6" t="s">
        <v>172</v>
      </c>
      <c r="E1193" s="6" t="s">
        <v>153</v>
      </c>
      <c r="F1193" s="13" t="n">
        <v>45158</v>
      </c>
      <c r="G1193" s="13" t="n">
        <v>45234</v>
      </c>
      <c r="H1193" s="14" t="n">
        <v>158918.68</v>
      </c>
      <c r="I1193" s="6" t="n">
        <v>3</v>
      </c>
      <c r="J1193" s="6" t="n">
        <v>636</v>
      </c>
      <c r="K1193" s="6" t="s">
        <v>154</v>
      </c>
      <c r="L1193" s="14" t="n">
        <v>55422.13</v>
      </c>
      <c r="M1193" s="22" t="n">
        <v>1.221</v>
      </c>
      <c r="N1193" s="14" t="n">
        <v>67670.42</v>
      </c>
      <c r="O1193" s="14" t="n">
        <v>12248.29</v>
      </c>
      <c r="P1193" s="21" t="n">
        <v>0.166</v>
      </c>
      <c r="Q1193" s="6" t="n">
        <v>76</v>
      </c>
      <c r="R1193" s="6" t="s">
        <v>161</v>
      </c>
      <c r="S1193" s="21" t="n">
        <v>1</v>
      </c>
      <c r="T1193" s="14" t="n">
        <v>67670.42</v>
      </c>
      <c r="U1193" s="6" t="s">
        <v>30</v>
      </c>
    </row>
    <row r="1194" customFormat="false" ht="15" hidden="false" customHeight="true" outlineLevel="0" collapsed="false">
      <c r="A1194" s="6" t="s">
        <v>2581</v>
      </c>
      <c r="B1194" s="6" t="s">
        <v>2582</v>
      </c>
      <c r="C1194" s="6" t="s">
        <v>124</v>
      </c>
      <c r="D1194" s="6" t="s">
        <v>243</v>
      </c>
      <c r="E1194" s="6" t="s">
        <v>326</v>
      </c>
      <c r="F1194" s="13" t="n">
        <v>45888</v>
      </c>
      <c r="G1194" s="13" t="n">
        <v>45992</v>
      </c>
      <c r="H1194" s="14" t="n">
        <v>242515.18</v>
      </c>
      <c r="I1194" s="6" t="n">
        <v>0</v>
      </c>
      <c r="J1194" s="6" t="n">
        <v>666</v>
      </c>
      <c r="K1194" s="6" t="s">
        <v>160</v>
      </c>
      <c r="L1194" s="14" t="n">
        <v>55483.23</v>
      </c>
      <c r="M1194" s="22" t="n">
        <v>1.263</v>
      </c>
      <c r="N1194" s="14" t="n">
        <v>70075.32</v>
      </c>
      <c r="O1194" s="14" t="n">
        <v>14592.09</v>
      </c>
      <c r="P1194" s="21" t="n">
        <v>0.083</v>
      </c>
      <c r="Q1194" s="6" t="n">
        <v>104</v>
      </c>
      <c r="R1194" s="6" t="s">
        <v>161</v>
      </c>
      <c r="S1194" s="21" t="n">
        <v>1</v>
      </c>
      <c r="T1194" s="14" t="n">
        <v>70075.32</v>
      </c>
      <c r="U1194" s="6" t="s">
        <v>54</v>
      </c>
    </row>
    <row r="1195" customFormat="false" ht="15" hidden="false" customHeight="true" outlineLevel="0" collapsed="false">
      <c r="A1195" s="6" t="s">
        <v>2583</v>
      </c>
      <c r="B1195" s="6" t="s">
        <v>2584</v>
      </c>
      <c r="C1195" s="6" t="s">
        <v>128</v>
      </c>
      <c r="D1195" s="6" t="s">
        <v>235</v>
      </c>
      <c r="E1195" s="6" t="s">
        <v>169</v>
      </c>
      <c r="F1195" s="13" t="n">
        <v>44996</v>
      </c>
      <c r="G1195" s="13" t="n">
        <v>45056</v>
      </c>
      <c r="H1195" s="14" t="n">
        <v>233593.29</v>
      </c>
      <c r="I1195" s="6" t="n">
        <v>0</v>
      </c>
      <c r="J1195" s="6" t="n">
        <v>616</v>
      </c>
      <c r="K1195" s="6" t="s">
        <v>154</v>
      </c>
      <c r="L1195" s="14" t="n">
        <v>21405.91</v>
      </c>
      <c r="M1195" s="22" t="n">
        <v>1.313</v>
      </c>
      <c r="N1195" s="14" t="n">
        <v>28105.96</v>
      </c>
      <c r="O1195" s="14" t="n">
        <v>6700.05</v>
      </c>
      <c r="P1195" s="21" t="n">
        <v>0.102</v>
      </c>
      <c r="Q1195" s="6" t="n">
        <v>60</v>
      </c>
      <c r="R1195" s="6" t="s">
        <v>155</v>
      </c>
      <c r="S1195" s="21" t="n">
        <v>0.918</v>
      </c>
      <c r="T1195" s="14" t="n">
        <v>25801.27</v>
      </c>
      <c r="U1195" s="6" t="s">
        <v>25</v>
      </c>
    </row>
    <row r="1196" customFormat="false" ht="15" hidden="false" customHeight="true" outlineLevel="0" collapsed="false">
      <c r="A1196" s="6" t="s">
        <v>2585</v>
      </c>
      <c r="B1196" s="6" t="s">
        <v>2586</v>
      </c>
      <c r="C1196" s="6" t="s">
        <v>131</v>
      </c>
      <c r="D1196" s="6" t="s">
        <v>200</v>
      </c>
      <c r="E1196" s="6" t="s">
        <v>207</v>
      </c>
      <c r="F1196" s="13" t="n">
        <v>45794</v>
      </c>
      <c r="G1196" s="13" t="n">
        <v>45854</v>
      </c>
      <c r="H1196" s="14" t="n">
        <v>138246.45</v>
      </c>
      <c r="I1196" s="6" t="n">
        <v>0</v>
      </c>
      <c r="J1196" s="6" t="n">
        <v>577</v>
      </c>
      <c r="K1196" s="6" t="s">
        <v>154</v>
      </c>
      <c r="L1196" s="14" t="n">
        <v>15732.55</v>
      </c>
      <c r="M1196" s="22" t="n">
        <v>1.312</v>
      </c>
      <c r="N1196" s="14" t="n">
        <v>20641.11</v>
      </c>
      <c r="O1196" s="14" t="n">
        <v>4908.56</v>
      </c>
      <c r="P1196" s="21" t="n">
        <v>0.112</v>
      </c>
      <c r="Q1196" s="6" t="n">
        <v>60</v>
      </c>
      <c r="R1196" s="6" t="s">
        <v>155</v>
      </c>
      <c r="S1196" s="21" t="n">
        <v>0.735</v>
      </c>
      <c r="T1196" s="14" t="n">
        <v>15171.22</v>
      </c>
      <c r="U1196" s="6" t="s">
        <v>51</v>
      </c>
    </row>
    <row r="1197" customFormat="false" ht="15" hidden="false" customHeight="true" outlineLevel="0" collapsed="false">
      <c r="A1197" s="6" t="s">
        <v>2587</v>
      </c>
      <c r="B1197" s="6" t="s">
        <v>2588</v>
      </c>
      <c r="C1197" s="6" t="s">
        <v>124</v>
      </c>
      <c r="D1197" s="6" t="s">
        <v>180</v>
      </c>
      <c r="E1197" s="6" t="s">
        <v>288</v>
      </c>
      <c r="F1197" s="13" t="n">
        <v>44980</v>
      </c>
      <c r="G1197" s="13" t="n">
        <v>45050</v>
      </c>
      <c r="H1197" s="14" t="n">
        <v>205426.25</v>
      </c>
      <c r="I1197" s="6" t="n">
        <v>0</v>
      </c>
      <c r="J1197" s="6" t="n">
        <v>814</v>
      </c>
      <c r="K1197" s="6" t="s">
        <v>160</v>
      </c>
      <c r="L1197" s="14" t="n">
        <v>23721.01</v>
      </c>
      <c r="M1197" s="22" t="n">
        <v>1.269</v>
      </c>
      <c r="N1197" s="14" t="n">
        <v>30101.96</v>
      </c>
      <c r="O1197" s="14" t="n">
        <v>6380.95</v>
      </c>
      <c r="P1197" s="21" t="n">
        <v>0.062</v>
      </c>
      <c r="Q1197" s="6" t="n">
        <v>70</v>
      </c>
      <c r="R1197" s="6" t="s">
        <v>161</v>
      </c>
      <c r="S1197" s="21" t="n">
        <v>1</v>
      </c>
      <c r="T1197" s="14" t="n">
        <v>30101.96</v>
      </c>
      <c r="U1197" s="6" t="s">
        <v>24</v>
      </c>
    </row>
    <row r="1198" customFormat="false" ht="15" hidden="false" customHeight="true" outlineLevel="0" collapsed="false">
      <c r="A1198" s="6" t="s">
        <v>2589</v>
      </c>
      <c r="B1198" s="6" t="s">
        <v>2590</v>
      </c>
      <c r="C1198" s="6" t="s">
        <v>116</v>
      </c>
      <c r="D1198" s="6" t="s">
        <v>206</v>
      </c>
      <c r="E1198" s="6" t="s">
        <v>192</v>
      </c>
      <c r="F1198" s="13" t="n">
        <v>45742</v>
      </c>
      <c r="G1198" s="13" t="n">
        <v>45802</v>
      </c>
      <c r="H1198" s="14" t="n">
        <v>18083.45</v>
      </c>
      <c r="I1198" s="6" t="n">
        <v>3</v>
      </c>
      <c r="J1198" s="6" t="n">
        <v>673</v>
      </c>
      <c r="K1198" s="6" t="s">
        <v>185</v>
      </c>
      <c r="L1198" s="14" t="n">
        <v>3102.46</v>
      </c>
      <c r="M1198" s="22" t="n">
        <v>1.221</v>
      </c>
      <c r="N1198" s="14" t="n">
        <v>3788.1</v>
      </c>
      <c r="O1198" s="14" t="n">
        <v>685.64</v>
      </c>
      <c r="P1198" s="21" t="n">
        <v>0.147</v>
      </c>
      <c r="Q1198" s="6" t="n">
        <v>60</v>
      </c>
      <c r="R1198" s="6" t="s">
        <v>155</v>
      </c>
      <c r="S1198" s="21" t="n">
        <v>0.956</v>
      </c>
      <c r="T1198" s="14" t="n">
        <v>3621.42</v>
      </c>
      <c r="U1198" s="6" t="s">
        <v>49</v>
      </c>
    </row>
    <row r="1199" customFormat="false" ht="15" hidden="false" customHeight="true" outlineLevel="0" collapsed="false">
      <c r="A1199" s="6" t="s">
        <v>2591</v>
      </c>
      <c r="B1199" s="6" t="s">
        <v>2592</v>
      </c>
      <c r="C1199" s="6" t="s">
        <v>116</v>
      </c>
      <c r="D1199" s="6" t="s">
        <v>206</v>
      </c>
      <c r="E1199" s="6" t="s">
        <v>219</v>
      </c>
      <c r="F1199" s="13" t="n">
        <v>45482</v>
      </c>
      <c r="G1199" s="13" t="n">
        <v>45542</v>
      </c>
      <c r="H1199" s="14" t="n">
        <v>243214.3</v>
      </c>
      <c r="I1199" s="6" t="n">
        <v>5</v>
      </c>
      <c r="J1199" s="6" t="n">
        <v>619</v>
      </c>
      <c r="K1199" s="6" t="s">
        <v>154</v>
      </c>
      <c r="L1199" s="14" t="n">
        <v>25023.71</v>
      </c>
      <c r="M1199" s="22" t="n">
        <v>1.31</v>
      </c>
      <c r="N1199" s="14" t="n">
        <v>32781.06</v>
      </c>
      <c r="O1199" s="14" t="n">
        <v>7757.35</v>
      </c>
      <c r="P1199" s="21" t="n">
        <v>0.133</v>
      </c>
      <c r="Q1199" s="6" t="n">
        <v>60</v>
      </c>
      <c r="R1199" s="6" t="s">
        <v>309</v>
      </c>
      <c r="S1199" s="21" t="n">
        <v>0.594</v>
      </c>
      <c r="T1199" s="14" t="n">
        <v>19471.95</v>
      </c>
      <c r="U1199" s="6" t="s">
        <v>41</v>
      </c>
    </row>
    <row r="1200" customFormat="false" ht="15" hidden="false" customHeight="true" outlineLevel="0" collapsed="false">
      <c r="A1200" s="6" t="s">
        <v>2593</v>
      </c>
      <c r="B1200" s="6" t="s">
        <v>2594</v>
      </c>
      <c r="C1200" s="6" t="s">
        <v>120</v>
      </c>
      <c r="D1200" s="6" t="s">
        <v>210</v>
      </c>
      <c r="E1200" s="6" t="s">
        <v>326</v>
      </c>
      <c r="F1200" s="13" t="n">
        <v>45529</v>
      </c>
      <c r="G1200" s="13" t="n">
        <v>45589</v>
      </c>
      <c r="H1200" s="14" t="n">
        <v>131256.35</v>
      </c>
      <c r="I1200" s="6" t="n">
        <v>2</v>
      </c>
      <c r="J1200" s="6" t="n">
        <v>568</v>
      </c>
      <c r="K1200" s="6" t="s">
        <v>185</v>
      </c>
      <c r="L1200" s="14" t="n">
        <v>20399.6</v>
      </c>
      <c r="M1200" s="22" t="n">
        <v>1.347</v>
      </c>
      <c r="N1200" s="14" t="n">
        <v>27478.26</v>
      </c>
      <c r="O1200" s="14" t="n">
        <v>7078.66</v>
      </c>
      <c r="P1200" s="21" t="n">
        <v>0.126</v>
      </c>
      <c r="Q1200" s="6" t="n">
        <v>60</v>
      </c>
      <c r="R1200" s="6" t="s">
        <v>155</v>
      </c>
      <c r="S1200" s="21" t="n">
        <v>0.711</v>
      </c>
      <c r="T1200" s="14" t="n">
        <v>19537.04</v>
      </c>
      <c r="U1200" s="6" t="s">
        <v>42</v>
      </c>
    </row>
    <row r="1201" customFormat="false" ht="15" hidden="false" customHeight="true" outlineLevel="0" collapsed="false">
      <c r="A1201" s="6" t="s">
        <v>2595</v>
      </c>
      <c r="B1201" s="6" t="s">
        <v>2596</v>
      </c>
      <c r="C1201" s="6" t="s">
        <v>120</v>
      </c>
      <c r="D1201" s="6" t="s">
        <v>210</v>
      </c>
      <c r="E1201" s="6" t="s">
        <v>177</v>
      </c>
      <c r="F1201" s="13" t="n">
        <v>45347</v>
      </c>
      <c r="G1201" s="13" t="n">
        <v>45407</v>
      </c>
      <c r="H1201" s="14" t="n">
        <v>212499.14</v>
      </c>
      <c r="I1201" s="6" t="n">
        <v>2</v>
      </c>
      <c r="J1201" s="6" t="n">
        <v>656</v>
      </c>
      <c r="K1201" s="6" t="s">
        <v>185</v>
      </c>
      <c r="L1201" s="14" t="n">
        <v>32536.66</v>
      </c>
      <c r="M1201" s="22" t="n">
        <v>1.111</v>
      </c>
      <c r="N1201" s="14" t="n">
        <v>36148.23</v>
      </c>
      <c r="O1201" s="14" t="n">
        <v>3611.57</v>
      </c>
      <c r="P1201" s="21" t="n">
        <v>0.131</v>
      </c>
      <c r="Q1201" s="6" t="n">
        <v>60</v>
      </c>
      <c r="R1201" s="6" t="s">
        <v>155</v>
      </c>
      <c r="S1201" s="21" t="n">
        <v>0.759</v>
      </c>
      <c r="T1201" s="14" t="n">
        <v>27436.51</v>
      </c>
      <c r="U1201" s="6" t="s">
        <v>36</v>
      </c>
    </row>
    <row r="1202" customFormat="false" ht="15" hidden="false" customHeight="true" outlineLevel="0" collapsed="false">
      <c r="A1202" s="6" t="s">
        <v>84</v>
      </c>
      <c r="B1202" s="6" t="s">
        <v>2597</v>
      </c>
      <c r="C1202" s="6" t="s">
        <v>112</v>
      </c>
      <c r="D1202" s="6" t="s">
        <v>158</v>
      </c>
      <c r="E1202" s="6" t="s">
        <v>254</v>
      </c>
      <c r="F1202" s="13" t="n">
        <v>46241</v>
      </c>
      <c r="G1202" s="13" t="n">
        <v>46498</v>
      </c>
      <c r="H1202" s="14" t="n">
        <v>21089.89</v>
      </c>
      <c r="I1202" s="6" t="n">
        <v>0</v>
      </c>
      <c r="J1202" s="6" t="n">
        <v>568</v>
      </c>
      <c r="K1202" s="6" t="s">
        <v>160</v>
      </c>
      <c r="L1202" s="14" t="n">
        <v>76089.9</v>
      </c>
      <c r="M1202" s="22" t="n">
        <v>1.179</v>
      </c>
      <c r="N1202" s="14" t="n">
        <v>89709.99</v>
      </c>
      <c r="O1202" s="14" t="n">
        <v>13620.09</v>
      </c>
      <c r="P1202" s="21" t="n">
        <v>0.064</v>
      </c>
      <c r="Q1202" s="6" t="n">
        <v>257</v>
      </c>
      <c r="R1202" s="6" t="s">
        <v>155</v>
      </c>
      <c r="S1202" s="21" t="n">
        <v>0</v>
      </c>
      <c r="T1202" s="14" t="n">
        <v>0</v>
      </c>
      <c r="U1202" s="6" t="s">
        <v>66</v>
      </c>
    </row>
    <row r="1203" customFormat="false" ht="15" hidden="false" customHeight="true" outlineLevel="0" collapsed="false">
      <c r="A1203" s="6" t="s">
        <v>85</v>
      </c>
      <c r="B1203" s="6" t="s">
        <v>2598</v>
      </c>
      <c r="C1203" s="6" t="s">
        <v>112</v>
      </c>
      <c r="D1203" s="6" t="s">
        <v>152</v>
      </c>
      <c r="E1203" s="6" t="s">
        <v>288</v>
      </c>
      <c r="F1203" s="13" t="n">
        <v>46240</v>
      </c>
      <c r="G1203" s="13" t="n">
        <v>46504</v>
      </c>
      <c r="H1203" s="14" t="n">
        <v>80880.49</v>
      </c>
      <c r="I1203" s="6" t="n">
        <v>0</v>
      </c>
      <c r="J1203" s="6" t="n">
        <v>687</v>
      </c>
      <c r="K1203" s="6" t="s">
        <v>160</v>
      </c>
      <c r="L1203" s="14" t="n">
        <v>10239.16</v>
      </c>
      <c r="M1203" s="22" t="n">
        <v>1.118</v>
      </c>
      <c r="N1203" s="14" t="n">
        <v>11447.38</v>
      </c>
      <c r="O1203" s="14" t="n">
        <v>1208.22</v>
      </c>
      <c r="P1203" s="21" t="n">
        <v>0.098</v>
      </c>
      <c r="Q1203" s="6" t="n">
        <v>264</v>
      </c>
      <c r="R1203" s="6" t="s">
        <v>155</v>
      </c>
      <c r="S1203" s="21" t="n">
        <v>0</v>
      </c>
      <c r="T1203" s="14" t="n">
        <v>0</v>
      </c>
      <c r="U1203" s="6" t="s">
        <v>66</v>
      </c>
    </row>
    <row r="1204" customFormat="false" ht="15" hidden="false" customHeight="true" outlineLevel="0" collapsed="false">
      <c r="A1204" s="6" t="s">
        <v>86</v>
      </c>
      <c r="B1204" s="6" t="s">
        <v>2599</v>
      </c>
      <c r="C1204" s="6" t="s">
        <v>124</v>
      </c>
      <c r="D1204" s="6" t="s">
        <v>152</v>
      </c>
      <c r="E1204" s="6" t="s">
        <v>254</v>
      </c>
      <c r="F1204" s="13" t="n">
        <v>46246</v>
      </c>
      <c r="G1204" s="13" t="n">
        <v>46440</v>
      </c>
      <c r="H1204" s="14" t="n">
        <v>27368.18</v>
      </c>
      <c r="I1204" s="6" t="n">
        <v>1</v>
      </c>
      <c r="J1204" s="6" t="n">
        <v>683</v>
      </c>
      <c r="K1204" s="6" t="s">
        <v>154</v>
      </c>
      <c r="L1204" s="14" t="n">
        <v>78219.13</v>
      </c>
      <c r="M1204" s="22" t="n">
        <v>1.109</v>
      </c>
      <c r="N1204" s="14" t="n">
        <v>86745.02</v>
      </c>
      <c r="O1204" s="14" t="n">
        <v>8525.89</v>
      </c>
      <c r="P1204" s="21" t="n">
        <v>0.137</v>
      </c>
      <c r="Q1204" s="6" t="n">
        <v>194</v>
      </c>
      <c r="R1204" s="6" t="s">
        <v>155</v>
      </c>
      <c r="S1204" s="21" t="n">
        <v>0</v>
      </c>
      <c r="T1204" s="14" t="n">
        <v>0</v>
      </c>
      <c r="U1204" s="6" t="s">
        <v>66</v>
      </c>
    </row>
    <row r="1205" customFormat="false" ht="15" hidden="false" customHeight="true" outlineLevel="0" collapsed="false">
      <c r="A1205" s="6" t="s">
        <v>87</v>
      </c>
      <c r="B1205" s="6" t="s">
        <v>2600</v>
      </c>
      <c r="C1205" s="6" t="s">
        <v>131</v>
      </c>
      <c r="D1205" s="6" t="s">
        <v>172</v>
      </c>
      <c r="E1205" s="6" t="s">
        <v>254</v>
      </c>
      <c r="F1205" s="13" t="n">
        <v>46245</v>
      </c>
      <c r="G1205" s="13" t="n">
        <v>46505</v>
      </c>
      <c r="H1205" s="14" t="n">
        <v>21258.12</v>
      </c>
      <c r="I1205" s="6" t="n">
        <v>0</v>
      </c>
      <c r="J1205" s="6" t="n">
        <v>669</v>
      </c>
      <c r="K1205" s="6" t="s">
        <v>160</v>
      </c>
      <c r="L1205" s="14" t="n">
        <v>48620.01</v>
      </c>
      <c r="M1205" s="22" t="n">
        <v>1.228</v>
      </c>
      <c r="N1205" s="14" t="n">
        <v>59705.37</v>
      </c>
      <c r="O1205" s="14" t="n">
        <v>11085.36</v>
      </c>
      <c r="P1205" s="21" t="n">
        <v>0.094</v>
      </c>
      <c r="Q1205" s="6" t="n">
        <v>260</v>
      </c>
      <c r="R1205" s="6" t="s">
        <v>155</v>
      </c>
      <c r="S1205" s="21" t="n">
        <v>0</v>
      </c>
      <c r="T1205" s="14" t="n">
        <v>0</v>
      </c>
      <c r="U1205" s="6" t="s">
        <v>66</v>
      </c>
    </row>
    <row r="1206" customFormat="false" ht="15" hidden="false" customHeight="true" outlineLevel="0" collapsed="false">
      <c r="A1206" s="6" t="s">
        <v>88</v>
      </c>
      <c r="B1206" s="6" t="s">
        <v>2601</v>
      </c>
      <c r="C1206" s="6" t="s">
        <v>116</v>
      </c>
      <c r="D1206" s="6" t="s">
        <v>200</v>
      </c>
      <c r="E1206" s="6" t="s">
        <v>304</v>
      </c>
      <c r="F1206" s="13" t="n">
        <v>46241</v>
      </c>
      <c r="G1206" s="13" t="n">
        <v>46424</v>
      </c>
      <c r="H1206" s="14" t="n">
        <v>23594.78</v>
      </c>
      <c r="I1206" s="6" t="n">
        <v>1</v>
      </c>
      <c r="J1206" s="6" t="n">
        <v>676</v>
      </c>
      <c r="K1206" s="6" t="s">
        <v>160</v>
      </c>
      <c r="L1206" s="14" t="n">
        <v>39920.14</v>
      </c>
      <c r="M1206" s="22" t="n">
        <v>1.285</v>
      </c>
      <c r="N1206" s="14" t="n">
        <v>51297.38</v>
      </c>
      <c r="O1206" s="14" t="n">
        <v>11377.24</v>
      </c>
      <c r="P1206" s="21" t="n">
        <v>0.093</v>
      </c>
      <c r="Q1206" s="6" t="n">
        <v>183</v>
      </c>
      <c r="R1206" s="6" t="s">
        <v>155</v>
      </c>
      <c r="S1206" s="21" t="n">
        <v>0</v>
      </c>
      <c r="T1206" s="14" t="n">
        <v>0</v>
      </c>
      <c r="U1206" s="6" t="s">
        <v>66</v>
      </c>
    </row>
    <row r="1207" customFormat="false" ht="15" hidden="false" customHeight="true" outlineLevel="0" collapsed="false">
      <c r="A1207" s="6" t="s">
        <v>89</v>
      </c>
      <c r="B1207" s="6" t="s">
        <v>2602</v>
      </c>
      <c r="C1207" s="6" t="s">
        <v>116</v>
      </c>
      <c r="D1207" s="6" t="s">
        <v>158</v>
      </c>
      <c r="E1207" s="6" t="s">
        <v>304</v>
      </c>
      <c r="F1207" s="13" t="n">
        <v>46239</v>
      </c>
      <c r="G1207" s="13" t="n">
        <v>46466</v>
      </c>
      <c r="H1207" s="14" t="n">
        <v>112993.37</v>
      </c>
      <c r="I1207" s="6" t="n">
        <v>2</v>
      </c>
      <c r="J1207" s="6" t="n">
        <v>569</v>
      </c>
      <c r="K1207" s="6" t="s">
        <v>154</v>
      </c>
      <c r="L1207" s="14" t="n">
        <v>26595.33</v>
      </c>
      <c r="M1207" s="22" t="n">
        <v>1.296</v>
      </c>
      <c r="N1207" s="14" t="n">
        <v>34467.55</v>
      </c>
      <c r="O1207" s="14" t="n">
        <v>7872.22</v>
      </c>
      <c r="P1207" s="21" t="n">
        <v>0.071</v>
      </c>
      <c r="Q1207" s="6" t="n">
        <v>227</v>
      </c>
      <c r="R1207" s="6" t="s">
        <v>155</v>
      </c>
      <c r="S1207" s="21" t="n">
        <v>0</v>
      </c>
      <c r="T1207" s="14" t="n">
        <v>0</v>
      </c>
      <c r="U1207" s="6" t="s">
        <v>66</v>
      </c>
    </row>
    <row r="1208" customFormat="false" ht="15" hidden="false" customHeight="true" outlineLevel="0" collapsed="false">
      <c r="A1208" s="6" t="s">
        <v>90</v>
      </c>
      <c r="B1208" s="6" t="s">
        <v>2603</v>
      </c>
      <c r="C1208" s="6" t="s">
        <v>120</v>
      </c>
      <c r="D1208" s="6" t="s">
        <v>235</v>
      </c>
      <c r="E1208" s="6" t="s">
        <v>195</v>
      </c>
      <c r="F1208" s="13" t="n">
        <v>46238</v>
      </c>
      <c r="G1208" s="13" t="n">
        <v>46535</v>
      </c>
      <c r="H1208" s="14" t="n">
        <v>75889</v>
      </c>
      <c r="I1208" s="6" t="n">
        <v>2</v>
      </c>
      <c r="J1208" s="6" t="n">
        <v>575</v>
      </c>
      <c r="K1208" s="6" t="s">
        <v>154</v>
      </c>
      <c r="L1208" s="14" t="n">
        <v>47976.95</v>
      </c>
      <c r="M1208" s="22" t="n">
        <v>1.275</v>
      </c>
      <c r="N1208" s="14" t="n">
        <v>61170.61</v>
      </c>
      <c r="O1208" s="14" t="n">
        <v>13193.66</v>
      </c>
      <c r="P1208" s="21" t="n">
        <v>0.088</v>
      </c>
      <c r="Q1208" s="6" t="n">
        <v>297</v>
      </c>
      <c r="R1208" s="6" t="s">
        <v>155</v>
      </c>
      <c r="S1208" s="21" t="n">
        <v>0</v>
      </c>
      <c r="T1208" s="14" t="n">
        <v>0</v>
      </c>
      <c r="U1208" s="6" t="s">
        <v>66</v>
      </c>
    </row>
    <row r="1209" customFormat="false" ht="15" hidden="false" customHeight="true" outlineLevel="0" collapsed="false">
      <c r="A1209" s="6" t="s">
        <v>91</v>
      </c>
      <c r="B1209" s="6" t="s">
        <v>2604</v>
      </c>
      <c r="C1209" s="6" t="s">
        <v>120</v>
      </c>
      <c r="D1209" s="6" t="s">
        <v>200</v>
      </c>
      <c r="E1209" s="6" t="s">
        <v>254</v>
      </c>
      <c r="F1209" s="13" t="n">
        <v>45978</v>
      </c>
      <c r="G1209" s="13" t="n">
        <v>46277</v>
      </c>
      <c r="H1209" s="14" t="n">
        <v>119275.07</v>
      </c>
      <c r="I1209" s="6" t="n">
        <v>1</v>
      </c>
      <c r="J1209" s="6" t="n">
        <v>623</v>
      </c>
      <c r="K1209" s="6" t="s">
        <v>160</v>
      </c>
      <c r="L1209" s="14" t="n">
        <v>33704.92</v>
      </c>
      <c r="M1209" s="22" t="n">
        <v>1.233</v>
      </c>
      <c r="N1209" s="14" t="n">
        <v>41558.17</v>
      </c>
      <c r="O1209" s="14" t="n">
        <v>7853.25</v>
      </c>
      <c r="P1209" s="21" t="n">
        <v>0.065</v>
      </c>
      <c r="Q1209" s="6" t="n">
        <v>299</v>
      </c>
      <c r="R1209" s="6" t="s">
        <v>155</v>
      </c>
      <c r="S1209" s="21" t="n">
        <v>0</v>
      </c>
      <c r="T1209" s="14" t="n">
        <v>0</v>
      </c>
      <c r="U1209" s="6" t="s">
        <v>57</v>
      </c>
    </row>
    <row r="1210" customFormat="false" ht="15" hidden="false" customHeight="true" outlineLevel="0" collapsed="false">
      <c r="A1210" s="6" t="s">
        <v>92</v>
      </c>
      <c r="B1210" s="6" t="s">
        <v>2605</v>
      </c>
      <c r="C1210" s="6" t="s">
        <v>112</v>
      </c>
      <c r="D1210" s="6" t="s">
        <v>243</v>
      </c>
      <c r="E1210" s="6" t="s">
        <v>153</v>
      </c>
      <c r="F1210" s="13" t="n">
        <v>45876</v>
      </c>
      <c r="G1210" s="13" t="n">
        <v>46152</v>
      </c>
      <c r="H1210" s="14" t="n">
        <v>37911.82</v>
      </c>
      <c r="I1210" s="6" t="n">
        <v>1</v>
      </c>
      <c r="J1210" s="6" t="n">
        <v>588</v>
      </c>
      <c r="K1210" s="6" t="s">
        <v>154</v>
      </c>
      <c r="L1210" s="14" t="n">
        <v>27350.26</v>
      </c>
      <c r="M1210" s="22" t="n">
        <v>1.288</v>
      </c>
      <c r="N1210" s="14" t="n">
        <v>35227.13</v>
      </c>
      <c r="O1210" s="14" t="n">
        <v>7876.87</v>
      </c>
      <c r="P1210" s="21" t="n">
        <v>0.092</v>
      </c>
      <c r="Q1210" s="6" t="n">
        <v>276</v>
      </c>
      <c r="R1210" s="6" t="s">
        <v>155</v>
      </c>
      <c r="S1210" s="21" t="n">
        <v>0</v>
      </c>
      <c r="T1210" s="14" t="n">
        <v>0</v>
      </c>
      <c r="U1210" s="6" t="s">
        <v>54</v>
      </c>
    </row>
    <row r="1211" customFormat="false" ht="15" hidden="false" customHeight="true" outlineLevel="0" collapsed="false">
      <c r="A1211" s="6" t="s">
        <v>93</v>
      </c>
      <c r="B1211" s="6" t="s">
        <v>2606</v>
      </c>
      <c r="C1211" s="6" t="s">
        <v>124</v>
      </c>
      <c r="D1211" s="6" t="s">
        <v>235</v>
      </c>
      <c r="E1211" s="6" t="s">
        <v>219</v>
      </c>
      <c r="F1211" s="13" t="n">
        <v>45946</v>
      </c>
      <c r="G1211" s="13" t="n">
        <v>46180</v>
      </c>
      <c r="H1211" s="14" t="n">
        <v>107755.3</v>
      </c>
      <c r="I1211" s="6" t="n">
        <v>1</v>
      </c>
      <c r="J1211" s="6" t="n">
        <v>750</v>
      </c>
      <c r="K1211" s="6" t="s">
        <v>160</v>
      </c>
      <c r="L1211" s="14" t="n">
        <v>29547.49</v>
      </c>
      <c r="M1211" s="22" t="n">
        <v>1.274</v>
      </c>
      <c r="N1211" s="14" t="n">
        <v>37643.5</v>
      </c>
      <c r="O1211" s="14" t="n">
        <v>8096.01</v>
      </c>
      <c r="P1211" s="21" t="n">
        <v>0.067</v>
      </c>
      <c r="Q1211" s="6" t="n">
        <v>234</v>
      </c>
      <c r="R1211" s="6" t="s">
        <v>155</v>
      </c>
      <c r="S1211" s="21" t="n">
        <v>0</v>
      </c>
      <c r="T1211" s="14" t="n">
        <v>0</v>
      </c>
      <c r="U1211" s="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6" min="5" style="1" width="23"/>
    <col collapsed="false" customWidth="true" hidden="false" outlineLevel="0" max="7" min="7" style="1" width="16"/>
  </cols>
  <sheetData>
    <row r="1" customFormat="false" ht="15" hidden="false" customHeight="true" outlineLevel="0" collapsed="false">
      <c r="A1" s="5" t="s">
        <v>2607</v>
      </c>
      <c r="B1" s="5" t="s">
        <v>76</v>
      </c>
      <c r="C1" s="5" t="s">
        <v>77</v>
      </c>
      <c r="D1" s="5" t="s">
        <v>2608</v>
      </c>
      <c r="E1" s="5" t="s">
        <v>2609</v>
      </c>
      <c r="F1" s="5" t="s">
        <v>2610</v>
      </c>
      <c r="G1" s="5" t="s">
        <v>2611</v>
      </c>
    </row>
    <row r="2" customFormat="false" ht="15" hidden="false" customHeight="true" outlineLevel="0" collapsed="false">
      <c r="A2" s="6" t="s">
        <v>2612</v>
      </c>
      <c r="B2" s="6" t="s">
        <v>150</v>
      </c>
      <c r="C2" s="6" t="s">
        <v>131</v>
      </c>
      <c r="D2" s="13" t="n">
        <v>44630</v>
      </c>
      <c r="E2" s="14" t="n">
        <v>4085.28</v>
      </c>
      <c r="F2" s="14" t="n">
        <v>4085.28</v>
      </c>
      <c r="G2" s="6" t="s">
        <v>2613</v>
      </c>
    </row>
    <row r="3" customFormat="false" ht="15" hidden="false" customHeight="true" outlineLevel="0" collapsed="false">
      <c r="A3" s="6" t="s">
        <v>2614</v>
      </c>
      <c r="B3" s="6" t="s">
        <v>150</v>
      </c>
      <c r="C3" s="6" t="s">
        <v>131</v>
      </c>
      <c r="D3" s="13" t="n">
        <v>44637</v>
      </c>
      <c r="E3" s="14" t="n">
        <v>4429.75</v>
      </c>
      <c r="F3" s="14" t="n">
        <v>8515.03</v>
      </c>
      <c r="G3" s="6" t="s">
        <v>2613</v>
      </c>
    </row>
    <row r="4" customFormat="false" ht="15" hidden="false" customHeight="true" outlineLevel="0" collapsed="false">
      <c r="A4" s="6" t="s">
        <v>2615</v>
      </c>
      <c r="B4" s="6" t="s">
        <v>150</v>
      </c>
      <c r="C4" s="6" t="s">
        <v>131</v>
      </c>
      <c r="D4" s="13" t="n">
        <v>44644</v>
      </c>
      <c r="E4" s="14" t="n">
        <v>3533.84</v>
      </c>
      <c r="F4" s="14" t="n">
        <v>12048.87</v>
      </c>
      <c r="G4" s="6" t="s">
        <v>2613</v>
      </c>
    </row>
    <row r="5" customFormat="false" ht="15" hidden="false" customHeight="true" outlineLevel="0" collapsed="false">
      <c r="A5" s="6" t="s">
        <v>2616</v>
      </c>
      <c r="B5" s="6" t="s">
        <v>150</v>
      </c>
      <c r="C5" s="6" t="s">
        <v>131</v>
      </c>
      <c r="D5" s="13" t="n">
        <v>44651</v>
      </c>
      <c r="E5" s="14" t="n">
        <v>3106.8</v>
      </c>
      <c r="F5" s="14" t="n">
        <v>15155.67</v>
      </c>
      <c r="G5" s="6" t="s">
        <v>2613</v>
      </c>
    </row>
    <row r="6" customFormat="false" ht="15" hidden="false" customHeight="true" outlineLevel="0" collapsed="false">
      <c r="A6" s="6" t="s">
        <v>2617</v>
      </c>
      <c r="B6" s="6" t="s">
        <v>150</v>
      </c>
      <c r="C6" s="6" t="s">
        <v>131</v>
      </c>
      <c r="D6" s="13" t="n">
        <v>44658</v>
      </c>
      <c r="E6" s="14" t="n">
        <v>4559.03</v>
      </c>
      <c r="F6" s="14" t="n">
        <v>19714.7</v>
      </c>
      <c r="G6" s="6" t="s">
        <v>2613</v>
      </c>
    </row>
    <row r="7" customFormat="false" ht="15" hidden="false" customHeight="true" outlineLevel="0" collapsed="false">
      <c r="A7" s="6" t="s">
        <v>2618</v>
      </c>
      <c r="B7" s="6" t="s">
        <v>150</v>
      </c>
      <c r="C7" s="6" t="s">
        <v>131</v>
      </c>
      <c r="D7" s="13" t="n">
        <v>44665</v>
      </c>
      <c r="E7" s="14" t="n">
        <v>3543.19</v>
      </c>
      <c r="F7" s="14" t="n">
        <v>23257.89</v>
      </c>
      <c r="G7" s="6" t="s">
        <v>2613</v>
      </c>
    </row>
    <row r="8" customFormat="false" ht="15" hidden="false" customHeight="true" outlineLevel="0" collapsed="false">
      <c r="A8" s="6" t="s">
        <v>2619</v>
      </c>
      <c r="B8" s="6" t="s">
        <v>150</v>
      </c>
      <c r="C8" s="6" t="s">
        <v>131</v>
      </c>
      <c r="D8" s="13" t="n">
        <v>44672</v>
      </c>
      <c r="E8" s="14" t="n">
        <v>2916.81</v>
      </c>
      <c r="F8" s="14" t="n">
        <v>26174.7</v>
      </c>
      <c r="G8" s="6" t="s">
        <v>2613</v>
      </c>
    </row>
    <row r="9" customFormat="false" ht="15" hidden="false" customHeight="true" outlineLevel="0" collapsed="false">
      <c r="A9" s="6" t="s">
        <v>2620</v>
      </c>
      <c r="B9" s="6" t="s">
        <v>150</v>
      </c>
      <c r="C9" s="6" t="s">
        <v>131</v>
      </c>
      <c r="D9" s="13" t="n">
        <v>44679</v>
      </c>
      <c r="E9" s="14" t="n">
        <v>2575.05</v>
      </c>
      <c r="F9" s="14" t="n">
        <v>28749.75</v>
      </c>
      <c r="G9" s="6" t="s">
        <v>2613</v>
      </c>
    </row>
    <row r="10" customFormat="false" ht="15" hidden="false" customHeight="true" outlineLevel="0" collapsed="false">
      <c r="A10" s="6" t="s">
        <v>2621</v>
      </c>
      <c r="B10" s="6" t="s">
        <v>150</v>
      </c>
      <c r="C10" s="6" t="s">
        <v>131</v>
      </c>
      <c r="D10" s="13" t="n">
        <v>44686</v>
      </c>
      <c r="E10" s="14" t="n">
        <v>3350.91</v>
      </c>
      <c r="F10" s="14" t="n">
        <v>32100.66</v>
      </c>
      <c r="G10" s="6" t="s">
        <v>2613</v>
      </c>
    </row>
    <row r="11" customFormat="false" ht="15" hidden="false" customHeight="true" outlineLevel="0" collapsed="false">
      <c r="A11" s="6" t="s">
        <v>2622</v>
      </c>
      <c r="B11" s="6" t="s">
        <v>150</v>
      </c>
      <c r="C11" s="6" t="s">
        <v>131</v>
      </c>
      <c r="D11" s="13" t="n">
        <v>44693</v>
      </c>
      <c r="E11" s="14" t="n">
        <v>3065.49</v>
      </c>
      <c r="F11" s="14" t="n">
        <v>35166.15</v>
      </c>
      <c r="G11" s="6" t="s">
        <v>2623</v>
      </c>
    </row>
    <row r="12" customFormat="false" ht="15" hidden="false" customHeight="true" outlineLevel="0" collapsed="false">
      <c r="A12" s="6" t="s">
        <v>2624</v>
      </c>
      <c r="B12" s="6" t="s">
        <v>150</v>
      </c>
      <c r="C12" s="6" t="s">
        <v>131</v>
      </c>
      <c r="D12" s="13" t="n">
        <v>44700</v>
      </c>
      <c r="E12" s="14" t="n">
        <v>3654.42</v>
      </c>
      <c r="F12" s="14" t="n">
        <v>38820.57</v>
      </c>
      <c r="G12" s="6" t="s">
        <v>2613</v>
      </c>
    </row>
    <row r="13" customFormat="false" ht="15" hidden="false" customHeight="true" outlineLevel="0" collapsed="false">
      <c r="A13" s="6" t="s">
        <v>2625</v>
      </c>
      <c r="B13" s="6" t="s">
        <v>150</v>
      </c>
      <c r="C13" s="6" t="s">
        <v>131</v>
      </c>
      <c r="D13" s="13" t="n">
        <v>44707</v>
      </c>
      <c r="E13" s="14" t="n">
        <v>5053.03</v>
      </c>
      <c r="F13" s="14" t="n">
        <v>43873.6</v>
      </c>
      <c r="G13" s="6" t="s">
        <v>2623</v>
      </c>
    </row>
    <row r="14" customFormat="false" ht="15" hidden="false" customHeight="true" outlineLevel="0" collapsed="false">
      <c r="A14" s="6" t="s">
        <v>2626</v>
      </c>
      <c r="B14" s="6" t="s">
        <v>150</v>
      </c>
      <c r="C14" s="6" t="s">
        <v>131</v>
      </c>
      <c r="D14" s="13" t="n">
        <v>44714</v>
      </c>
      <c r="E14" s="14" t="n">
        <v>3152.08</v>
      </c>
      <c r="F14" s="14" t="n">
        <v>47025.68</v>
      </c>
      <c r="G14" s="6" t="s">
        <v>2613</v>
      </c>
    </row>
    <row r="15" customFormat="false" ht="15" hidden="false" customHeight="true" outlineLevel="0" collapsed="false">
      <c r="A15" s="6" t="s">
        <v>2627</v>
      </c>
      <c r="B15" s="6" t="s">
        <v>150</v>
      </c>
      <c r="C15" s="6" t="s">
        <v>131</v>
      </c>
      <c r="D15" s="13" t="n">
        <v>44721</v>
      </c>
      <c r="E15" s="14" t="n">
        <v>4941.71</v>
      </c>
      <c r="F15" s="14" t="n">
        <v>51967.39</v>
      </c>
      <c r="G15" s="6" t="s">
        <v>2613</v>
      </c>
    </row>
    <row r="16" customFormat="false" ht="15" hidden="false" customHeight="true" outlineLevel="0" collapsed="false">
      <c r="A16" s="6" t="s">
        <v>2628</v>
      </c>
      <c r="B16" s="6" t="s">
        <v>150</v>
      </c>
      <c r="C16" s="6" t="s">
        <v>131</v>
      </c>
      <c r="D16" s="13" t="n">
        <v>44728</v>
      </c>
      <c r="E16" s="14" t="n">
        <v>2847.23</v>
      </c>
      <c r="F16" s="14" t="n">
        <v>54814.62</v>
      </c>
      <c r="G16" s="6" t="s">
        <v>2623</v>
      </c>
    </row>
    <row r="17" customFormat="false" ht="15" hidden="false" customHeight="true" outlineLevel="0" collapsed="false">
      <c r="A17" s="6" t="s">
        <v>2629</v>
      </c>
      <c r="B17" s="6" t="s">
        <v>150</v>
      </c>
      <c r="C17" s="6" t="s">
        <v>131</v>
      </c>
      <c r="D17" s="13" t="n">
        <v>44735</v>
      </c>
      <c r="E17" s="14" t="n">
        <v>5617.68</v>
      </c>
      <c r="F17" s="14" t="n">
        <v>60432.3</v>
      </c>
      <c r="G17" s="6" t="s">
        <v>2613</v>
      </c>
    </row>
    <row r="18" customFormat="false" ht="15" hidden="false" customHeight="true" outlineLevel="0" collapsed="false">
      <c r="A18" s="6" t="s">
        <v>2630</v>
      </c>
      <c r="B18" s="6" t="s">
        <v>156</v>
      </c>
      <c r="C18" s="6" t="s">
        <v>120</v>
      </c>
      <c r="D18" s="13" t="n">
        <v>45968</v>
      </c>
      <c r="E18" s="14" t="n">
        <v>4381.19</v>
      </c>
      <c r="F18" s="14" t="n">
        <v>4381.19</v>
      </c>
      <c r="G18" s="6" t="s">
        <v>2613</v>
      </c>
    </row>
    <row r="19" customFormat="false" ht="15" hidden="false" customHeight="true" outlineLevel="0" collapsed="false">
      <c r="A19" s="6" t="s">
        <v>2631</v>
      </c>
      <c r="B19" s="6" t="s">
        <v>156</v>
      </c>
      <c r="C19" s="6" t="s">
        <v>120</v>
      </c>
      <c r="D19" s="13" t="n">
        <v>45975</v>
      </c>
      <c r="E19" s="14" t="n">
        <v>4344.39</v>
      </c>
      <c r="F19" s="14" t="n">
        <v>8725.58</v>
      </c>
      <c r="G19" s="6" t="s">
        <v>2613</v>
      </c>
    </row>
    <row r="20" customFormat="false" ht="15" hidden="false" customHeight="true" outlineLevel="0" collapsed="false">
      <c r="A20" s="6" t="s">
        <v>2632</v>
      </c>
      <c r="B20" s="6" t="s">
        <v>156</v>
      </c>
      <c r="C20" s="6" t="s">
        <v>120</v>
      </c>
      <c r="D20" s="13" t="n">
        <v>45982</v>
      </c>
      <c r="E20" s="14" t="n">
        <v>8273.65</v>
      </c>
      <c r="F20" s="14" t="n">
        <v>16999.23</v>
      </c>
      <c r="G20" s="6" t="s">
        <v>2613</v>
      </c>
    </row>
    <row r="21" customFormat="false" ht="15" hidden="false" customHeight="true" outlineLevel="0" collapsed="false">
      <c r="A21" s="6" t="s">
        <v>2633</v>
      </c>
      <c r="B21" s="6" t="s">
        <v>156</v>
      </c>
      <c r="C21" s="6" t="s">
        <v>120</v>
      </c>
      <c r="D21" s="13" t="n">
        <v>45989</v>
      </c>
      <c r="E21" s="14" t="n">
        <v>6216.21</v>
      </c>
      <c r="F21" s="14" t="n">
        <v>23215.44</v>
      </c>
      <c r="G21" s="6" t="s">
        <v>2613</v>
      </c>
    </row>
    <row r="22" customFormat="false" ht="15" hidden="false" customHeight="true" outlineLevel="0" collapsed="false">
      <c r="A22" s="6" t="s">
        <v>2634</v>
      </c>
      <c r="B22" s="6" t="s">
        <v>156</v>
      </c>
      <c r="C22" s="6" t="s">
        <v>120</v>
      </c>
      <c r="D22" s="13" t="n">
        <v>45996</v>
      </c>
      <c r="E22" s="14" t="n">
        <v>7576.04</v>
      </c>
      <c r="F22" s="14" t="n">
        <v>30791.48</v>
      </c>
      <c r="G22" s="6" t="s">
        <v>2613</v>
      </c>
    </row>
    <row r="23" customFormat="false" ht="15" hidden="false" customHeight="true" outlineLevel="0" collapsed="false">
      <c r="A23" s="6" t="s">
        <v>2635</v>
      </c>
      <c r="B23" s="6" t="s">
        <v>156</v>
      </c>
      <c r="C23" s="6" t="s">
        <v>120</v>
      </c>
      <c r="D23" s="13" t="n">
        <v>46003</v>
      </c>
      <c r="E23" s="14" t="n">
        <v>4880.57</v>
      </c>
      <c r="F23" s="14" t="n">
        <v>35672.05</v>
      </c>
      <c r="G23" s="6" t="s">
        <v>2613</v>
      </c>
    </row>
    <row r="24" customFormat="false" ht="15" hidden="false" customHeight="true" outlineLevel="0" collapsed="false">
      <c r="A24" s="6" t="s">
        <v>2636</v>
      </c>
      <c r="B24" s="6" t="s">
        <v>162</v>
      </c>
      <c r="C24" s="6" t="s">
        <v>112</v>
      </c>
      <c r="D24" s="13" t="n">
        <v>44861</v>
      </c>
      <c r="E24" s="14" t="n">
        <v>1563.12</v>
      </c>
      <c r="F24" s="14" t="n">
        <v>1563.12</v>
      </c>
      <c r="G24" s="6" t="s">
        <v>2613</v>
      </c>
    </row>
    <row r="25" customFormat="false" ht="15" hidden="false" customHeight="true" outlineLevel="0" collapsed="false">
      <c r="A25" s="6" t="s">
        <v>2637</v>
      </c>
      <c r="B25" s="6" t="s">
        <v>162</v>
      </c>
      <c r="C25" s="6" t="s">
        <v>112</v>
      </c>
      <c r="D25" s="13" t="n">
        <v>44868</v>
      </c>
      <c r="E25" s="14" t="n">
        <v>1590.8</v>
      </c>
      <c r="F25" s="14" t="n">
        <v>3153.92</v>
      </c>
      <c r="G25" s="6" t="s">
        <v>2613</v>
      </c>
    </row>
    <row r="26" customFormat="false" ht="15" hidden="false" customHeight="true" outlineLevel="0" collapsed="false">
      <c r="A26" s="6" t="s">
        <v>2638</v>
      </c>
      <c r="B26" s="6" t="s">
        <v>162</v>
      </c>
      <c r="C26" s="6" t="s">
        <v>112</v>
      </c>
      <c r="D26" s="13" t="n">
        <v>44875</v>
      </c>
      <c r="E26" s="14" t="n">
        <v>1370.06</v>
      </c>
      <c r="F26" s="14" t="n">
        <v>4523.98</v>
      </c>
      <c r="G26" s="6" t="s">
        <v>2613</v>
      </c>
    </row>
    <row r="27" customFormat="false" ht="15" hidden="false" customHeight="true" outlineLevel="0" collapsed="false">
      <c r="A27" s="6" t="s">
        <v>2639</v>
      </c>
      <c r="B27" s="6" t="s">
        <v>162</v>
      </c>
      <c r="C27" s="6" t="s">
        <v>112</v>
      </c>
      <c r="D27" s="13" t="n">
        <v>44882</v>
      </c>
      <c r="E27" s="14" t="n">
        <v>2083.03</v>
      </c>
      <c r="F27" s="14" t="n">
        <v>6607.01</v>
      </c>
      <c r="G27" s="6" t="s">
        <v>2613</v>
      </c>
    </row>
    <row r="28" customFormat="false" ht="15" hidden="false" customHeight="true" outlineLevel="0" collapsed="false">
      <c r="A28" s="6" t="s">
        <v>2640</v>
      </c>
      <c r="B28" s="6" t="s">
        <v>162</v>
      </c>
      <c r="C28" s="6" t="s">
        <v>112</v>
      </c>
      <c r="D28" s="13" t="n">
        <v>44889</v>
      </c>
      <c r="E28" s="14" t="n">
        <v>1002.35</v>
      </c>
      <c r="F28" s="14" t="n">
        <v>7609.36</v>
      </c>
      <c r="G28" s="6" t="s">
        <v>2623</v>
      </c>
    </row>
    <row r="29" customFormat="false" ht="15" hidden="false" customHeight="true" outlineLevel="0" collapsed="false">
      <c r="A29" s="6" t="s">
        <v>2641</v>
      </c>
      <c r="B29" s="6" t="s">
        <v>162</v>
      </c>
      <c r="C29" s="6" t="s">
        <v>112</v>
      </c>
      <c r="D29" s="13" t="n">
        <v>44896</v>
      </c>
      <c r="E29" s="14" t="n">
        <v>1024.68</v>
      </c>
      <c r="F29" s="14" t="n">
        <v>8634.04</v>
      </c>
      <c r="G29" s="6" t="s">
        <v>2613</v>
      </c>
    </row>
    <row r="30" customFormat="false" ht="15" hidden="false" customHeight="true" outlineLevel="0" collapsed="false">
      <c r="A30" s="6" t="s">
        <v>2642</v>
      </c>
      <c r="B30" s="6" t="s">
        <v>162</v>
      </c>
      <c r="C30" s="6" t="s">
        <v>112</v>
      </c>
      <c r="D30" s="13" t="n">
        <v>44903</v>
      </c>
      <c r="E30" s="14" t="n">
        <v>1838.13</v>
      </c>
      <c r="F30" s="14" t="n">
        <v>10472.17</v>
      </c>
      <c r="G30" s="6" t="s">
        <v>2613</v>
      </c>
    </row>
    <row r="31" customFormat="false" ht="15" hidden="false" customHeight="true" outlineLevel="0" collapsed="false">
      <c r="A31" s="6" t="s">
        <v>2643</v>
      </c>
      <c r="B31" s="6" t="s">
        <v>162</v>
      </c>
      <c r="C31" s="6" t="s">
        <v>112</v>
      </c>
      <c r="D31" s="13" t="n">
        <v>44910</v>
      </c>
      <c r="E31" s="14" t="n">
        <v>1447.63</v>
      </c>
      <c r="F31" s="14" t="n">
        <v>11919.8</v>
      </c>
      <c r="G31" s="6" t="s">
        <v>2623</v>
      </c>
    </row>
    <row r="32" customFormat="false" ht="15" hidden="false" customHeight="true" outlineLevel="0" collapsed="false">
      <c r="A32" s="6" t="s">
        <v>2644</v>
      </c>
      <c r="B32" s="6" t="s">
        <v>166</v>
      </c>
      <c r="C32" s="6" t="s">
        <v>124</v>
      </c>
      <c r="D32" s="13" t="n">
        <v>44797</v>
      </c>
      <c r="E32" s="14" t="n">
        <v>2119.84</v>
      </c>
      <c r="F32" s="14" t="n">
        <v>2119.84</v>
      </c>
      <c r="G32" s="6" t="s">
        <v>2613</v>
      </c>
    </row>
    <row r="33" customFormat="false" ht="15" hidden="false" customHeight="true" outlineLevel="0" collapsed="false">
      <c r="A33" s="6" t="s">
        <v>2645</v>
      </c>
      <c r="B33" s="6" t="s">
        <v>166</v>
      </c>
      <c r="C33" s="6" t="s">
        <v>124</v>
      </c>
      <c r="D33" s="13" t="n">
        <v>44804</v>
      </c>
      <c r="E33" s="14" t="n">
        <v>4136.1</v>
      </c>
      <c r="F33" s="14" t="n">
        <v>6255.94</v>
      </c>
      <c r="G33" s="6" t="s">
        <v>2613</v>
      </c>
    </row>
    <row r="34" customFormat="false" ht="15" hidden="false" customHeight="true" outlineLevel="0" collapsed="false">
      <c r="A34" s="6" t="s">
        <v>2646</v>
      </c>
      <c r="B34" s="6" t="s">
        <v>166</v>
      </c>
      <c r="C34" s="6" t="s">
        <v>124</v>
      </c>
      <c r="D34" s="13" t="n">
        <v>44811</v>
      </c>
      <c r="E34" s="14" t="n">
        <v>4255.09</v>
      </c>
      <c r="F34" s="14" t="n">
        <v>10511.03</v>
      </c>
      <c r="G34" s="6" t="s">
        <v>2613</v>
      </c>
    </row>
    <row r="35" customFormat="false" ht="15" hidden="false" customHeight="true" outlineLevel="0" collapsed="false">
      <c r="A35" s="6" t="s">
        <v>2647</v>
      </c>
      <c r="B35" s="6" t="s">
        <v>166</v>
      </c>
      <c r="C35" s="6" t="s">
        <v>124</v>
      </c>
      <c r="D35" s="13" t="n">
        <v>44818</v>
      </c>
      <c r="E35" s="14" t="n">
        <v>2410.18</v>
      </c>
      <c r="F35" s="14" t="n">
        <v>12921.21</v>
      </c>
      <c r="G35" s="6" t="s">
        <v>2613</v>
      </c>
    </row>
    <row r="36" customFormat="false" ht="15" hidden="false" customHeight="true" outlineLevel="0" collapsed="false">
      <c r="A36" s="6" t="s">
        <v>2648</v>
      </c>
      <c r="B36" s="6" t="s">
        <v>166</v>
      </c>
      <c r="C36" s="6" t="s">
        <v>124</v>
      </c>
      <c r="D36" s="13" t="n">
        <v>44825</v>
      </c>
      <c r="E36" s="14" t="n">
        <v>4479.41</v>
      </c>
      <c r="F36" s="14" t="n">
        <v>17400.62</v>
      </c>
      <c r="G36" s="6" t="s">
        <v>2613</v>
      </c>
    </row>
    <row r="37" customFormat="false" ht="15" hidden="false" customHeight="true" outlineLevel="0" collapsed="false">
      <c r="A37" s="6" t="s">
        <v>2649</v>
      </c>
      <c r="B37" s="6" t="s">
        <v>166</v>
      </c>
      <c r="C37" s="6" t="s">
        <v>124</v>
      </c>
      <c r="D37" s="13" t="n">
        <v>44832</v>
      </c>
      <c r="E37" s="14" t="n">
        <v>2670.5</v>
      </c>
      <c r="F37" s="14" t="n">
        <v>20071.12</v>
      </c>
      <c r="G37" s="6" t="s">
        <v>2613</v>
      </c>
    </row>
    <row r="38" customFormat="false" ht="15" hidden="false" customHeight="true" outlineLevel="0" collapsed="false">
      <c r="A38" s="6" t="s">
        <v>2650</v>
      </c>
      <c r="B38" s="6" t="s">
        <v>166</v>
      </c>
      <c r="C38" s="6" t="s">
        <v>124</v>
      </c>
      <c r="D38" s="13" t="n">
        <v>44839</v>
      </c>
      <c r="E38" s="14" t="n">
        <v>4553.85</v>
      </c>
      <c r="F38" s="14" t="n">
        <v>24624.97</v>
      </c>
      <c r="G38" s="6" t="s">
        <v>2613</v>
      </c>
    </row>
    <row r="39" customFormat="false" ht="15" hidden="false" customHeight="true" outlineLevel="0" collapsed="false">
      <c r="A39" s="6" t="s">
        <v>2651</v>
      </c>
      <c r="B39" s="6" t="s">
        <v>170</v>
      </c>
      <c r="C39" s="6" t="s">
        <v>128</v>
      </c>
      <c r="D39" s="13" t="n">
        <v>46067</v>
      </c>
      <c r="E39" s="14" t="n">
        <v>2578.24</v>
      </c>
      <c r="F39" s="14" t="n">
        <v>2578.24</v>
      </c>
      <c r="G39" s="6" t="s">
        <v>2613</v>
      </c>
    </row>
    <row r="40" customFormat="false" ht="15" hidden="false" customHeight="true" outlineLevel="0" collapsed="false">
      <c r="A40" s="6" t="s">
        <v>2652</v>
      </c>
      <c r="B40" s="6" t="s">
        <v>170</v>
      </c>
      <c r="C40" s="6" t="s">
        <v>128</v>
      </c>
      <c r="D40" s="13" t="n">
        <v>46074</v>
      </c>
      <c r="E40" s="14" t="n">
        <v>1499.2</v>
      </c>
      <c r="F40" s="14" t="n">
        <v>4077.44</v>
      </c>
      <c r="G40" s="6" t="s">
        <v>2613</v>
      </c>
    </row>
    <row r="41" customFormat="false" ht="15" hidden="false" customHeight="true" outlineLevel="0" collapsed="false">
      <c r="A41" s="6" t="s">
        <v>2653</v>
      </c>
      <c r="B41" s="6" t="s">
        <v>170</v>
      </c>
      <c r="C41" s="6" t="s">
        <v>128</v>
      </c>
      <c r="D41" s="13" t="n">
        <v>46081</v>
      </c>
      <c r="E41" s="14" t="n">
        <v>2218.45</v>
      </c>
      <c r="F41" s="14" t="n">
        <v>6295.89</v>
      </c>
      <c r="G41" s="6" t="s">
        <v>2613</v>
      </c>
    </row>
    <row r="42" customFormat="false" ht="15" hidden="false" customHeight="true" outlineLevel="0" collapsed="false">
      <c r="A42" s="6" t="s">
        <v>2654</v>
      </c>
      <c r="B42" s="6" t="s">
        <v>170</v>
      </c>
      <c r="C42" s="6" t="s">
        <v>128</v>
      </c>
      <c r="D42" s="13" t="n">
        <v>46088</v>
      </c>
      <c r="E42" s="14" t="n">
        <v>2769.11</v>
      </c>
      <c r="F42" s="14" t="n">
        <v>9065</v>
      </c>
      <c r="G42" s="6" t="s">
        <v>2613</v>
      </c>
    </row>
    <row r="43" customFormat="false" ht="15" hidden="false" customHeight="true" outlineLevel="0" collapsed="false">
      <c r="A43" s="6" t="s">
        <v>2655</v>
      </c>
      <c r="B43" s="6" t="s">
        <v>170</v>
      </c>
      <c r="C43" s="6" t="s">
        <v>128</v>
      </c>
      <c r="D43" s="13" t="n">
        <v>46095</v>
      </c>
      <c r="E43" s="14" t="n">
        <v>1641.56</v>
      </c>
      <c r="F43" s="14" t="n">
        <v>10706.56</v>
      </c>
      <c r="G43" s="6" t="s">
        <v>2613</v>
      </c>
    </row>
    <row r="44" customFormat="false" ht="15" hidden="false" customHeight="true" outlineLevel="0" collapsed="false">
      <c r="A44" s="6" t="s">
        <v>2656</v>
      </c>
      <c r="B44" s="6" t="s">
        <v>170</v>
      </c>
      <c r="C44" s="6" t="s">
        <v>128</v>
      </c>
      <c r="D44" s="13" t="n">
        <v>46102</v>
      </c>
      <c r="E44" s="14" t="n">
        <v>2525.89</v>
      </c>
      <c r="F44" s="14" t="n">
        <v>13232.45</v>
      </c>
      <c r="G44" s="6" t="s">
        <v>2613</v>
      </c>
    </row>
    <row r="45" customFormat="false" ht="15" hidden="false" customHeight="true" outlineLevel="0" collapsed="false">
      <c r="A45" s="6" t="s">
        <v>2657</v>
      </c>
      <c r="B45" s="6" t="s">
        <v>170</v>
      </c>
      <c r="C45" s="6" t="s">
        <v>128</v>
      </c>
      <c r="D45" s="13" t="n">
        <v>46109</v>
      </c>
      <c r="E45" s="14" t="n">
        <v>1701.71</v>
      </c>
      <c r="F45" s="14" t="n">
        <v>14934.16</v>
      </c>
      <c r="G45" s="6" t="s">
        <v>2613</v>
      </c>
    </row>
    <row r="46" customFormat="false" ht="15" hidden="false" customHeight="true" outlineLevel="0" collapsed="false">
      <c r="A46" s="6" t="s">
        <v>2658</v>
      </c>
      <c r="B46" s="6" t="s">
        <v>174</v>
      </c>
      <c r="C46" s="6" t="s">
        <v>131</v>
      </c>
      <c r="D46" s="13" t="n">
        <v>44583</v>
      </c>
      <c r="E46" s="14" t="n">
        <v>1002.23</v>
      </c>
      <c r="F46" s="14" t="n">
        <v>1002.23</v>
      </c>
      <c r="G46" s="6" t="s">
        <v>2613</v>
      </c>
    </row>
    <row r="47" customFormat="false" ht="15" hidden="false" customHeight="true" outlineLevel="0" collapsed="false">
      <c r="A47" s="6" t="s">
        <v>2659</v>
      </c>
      <c r="B47" s="6" t="s">
        <v>174</v>
      </c>
      <c r="C47" s="6" t="s">
        <v>131</v>
      </c>
      <c r="D47" s="13" t="n">
        <v>44590</v>
      </c>
      <c r="E47" s="14" t="n">
        <v>1647.93</v>
      </c>
      <c r="F47" s="14" t="n">
        <v>2650.16</v>
      </c>
      <c r="G47" s="6" t="s">
        <v>2623</v>
      </c>
    </row>
    <row r="48" customFormat="false" ht="15" hidden="false" customHeight="true" outlineLevel="0" collapsed="false">
      <c r="A48" s="6" t="s">
        <v>2660</v>
      </c>
      <c r="B48" s="6" t="s">
        <v>174</v>
      </c>
      <c r="C48" s="6" t="s">
        <v>131</v>
      </c>
      <c r="D48" s="13" t="n">
        <v>44597</v>
      </c>
      <c r="E48" s="14" t="n">
        <v>1011.51</v>
      </c>
      <c r="F48" s="14" t="n">
        <v>3661.67</v>
      </c>
      <c r="G48" s="6" t="s">
        <v>2613</v>
      </c>
    </row>
    <row r="49" customFormat="false" ht="15" hidden="false" customHeight="true" outlineLevel="0" collapsed="false">
      <c r="A49" s="6" t="s">
        <v>2661</v>
      </c>
      <c r="B49" s="6" t="s">
        <v>174</v>
      </c>
      <c r="C49" s="6" t="s">
        <v>131</v>
      </c>
      <c r="D49" s="13" t="n">
        <v>44604</v>
      </c>
      <c r="E49" s="14" t="n">
        <v>987.18</v>
      </c>
      <c r="F49" s="14" t="n">
        <v>4648.85</v>
      </c>
      <c r="G49" s="6" t="s">
        <v>2613</v>
      </c>
    </row>
    <row r="50" customFormat="false" ht="15" hidden="false" customHeight="true" outlineLevel="0" collapsed="false">
      <c r="A50" s="6" t="s">
        <v>2662</v>
      </c>
      <c r="B50" s="6" t="s">
        <v>174</v>
      </c>
      <c r="C50" s="6" t="s">
        <v>131</v>
      </c>
      <c r="D50" s="13" t="n">
        <v>44611</v>
      </c>
      <c r="E50" s="14" t="n">
        <v>1725.62</v>
      </c>
      <c r="F50" s="14" t="n">
        <v>6374.47</v>
      </c>
      <c r="G50" s="6" t="s">
        <v>2613</v>
      </c>
    </row>
    <row r="51" customFormat="false" ht="15" hidden="false" customHeight="true" outlineLevel="0" collapsed="false">
      <c r="A51" s="6" t="s">
        <v>2663</v>
      </c>
      <c r="B51" s="6" t="s">
        <v>174</v>
      </c>
      <c r="C51" s="6" t="s">
        <v>131</v>
      </c>
      <c r="D51" s="13" t="n">
        <v>44618</v>
      </c>
      <c r="E51" s="14" t="n">
        <v>1251.76</v>
      </c>
      <c r="F51" s="14" t="n">
        <v>7626.23</v>
      </c>
      <c r="G51" s="6" t="s">
        <v>2613</v>
      </c>
    </row>
    <row r="52" customFormat="false" ht="15" hidden="false" customHeight="true" outlineLevel="0" collapsed="false">
      <c r="A52" s="6" t="s">
        <v>2664</v>
      </c>
      <c r="B52" s="6" t="s">
        <v>174</v>
      </c>
      <c r="C52" s="6" t="s">
        <v>131</v>
      </c>
      <c r="D52" s="13" t="n">
        <v>44625</v>
      </c>
      <c r="E52" s="14" t="n">
        <v>1594.55</v>
      </c>
      <c r="F52" s="14" t="n">
        <v>9220.78</v>
      </c>
      <c r="G52" s="6" t="s">
        <v>2613</v>
      </c>
    </row>
    <row r="53" customFormat="false" ht="15" hidden="false" customHeight="true" outlineLevel="0" collapsed="false">
      <c r="A53" s="6" t="s">
        <v>2665</v>
      </c>
      <c r="B53" s="6" t="s">
        <v>174</v>
      </c>
      <c r="C53" s="6" t="s">
        <v>131</v>
      </c>
      <c r="D53" s="13" t="n">
        <v>44632</v>
      </c>
      <c r="E53" s="14" t="n">
        <v>1017.15</v>
      </c>
      <c r="F53" s="14" t="n">
        <v>10237.93</v>
      </c>
      <c r="G53" s="6" t="s">
        <v>2623</v>
      </c>
    </row>
    <row r="54" customFormat="false" ht="15" hidden="false" customHeight="true" outlineLevel="0" collapsed="false">
      <c r="A54" s="6" t="s">
        <v>2666</v>
      </c>
      <c r="B54" s="6" t="s">
        <v>178</v>
      </c>
      <c r="C54" s="6" t="s">
        <v>124</v>
      </c>
      <c r="D54" s="13" t="n">
        <v>44961</v>
      </c>
      <c r="E54" s="14" t="n">
        <v>1412.62</v>
      </c>
      <c r="F54" s="14" t="n">
        <v>1412.62</v>
      </c>
      <c r="G54" s="6" t="s">
        <v>2613</v>
      </c>
    </row>
    <row r="55" customFormat="false" ht="15" hidden="false" customHeight="true" outlineLevel="0" collapsed="false">
      <c r="A55" s="6" t="s">
        <v>2667</v>
      </c>
      <c r="B55" s="6" t="s">
        <v>178</v>
      </c>
      <c r="C55" s="6" t="s">
        <v>124</v>
      </c>
      <c r="D55" s="13" t="n">
        <v>44968</v>
      </c>
      <c r="E55" s="14" t="n">
        <v>1205.19</v>
      </c>
      <c r="F55" s="14" t="n">
        <v>2617.81</v>
      </c>
      <c r="G55" s="6" t="s">
        <v>2613</v>
      </c>
    </row>
    <row r="56" customFormat="false" ht="15" hidden="false" customHeight="true" outlineLevel="0" collapsed="false">
      <c r="A56" s="6" t="s">
        <v>2668</v>
      </c>
      <c r="B56" s="6" t="s">
        <v>178</v>
      </c>
      <c r="C56" s="6" t="s">
        <v>124</v>
      </c>
      <c r="D56" s="13" t="n">
        <v>44975</v>
      </c>
      <c r="E56" s="14" t="n">
        <v>1438.23</v>
      </c>
      <c r="F56" s="14" t="n">
        <v>4056.04</v>
      </c>
      <c r="G56" s="6" t="s">
        <v>2613</v>
      </c>
    </row>
    <row r="57" customFormat="false" ht="15" hidden="false" customHeight="true" outlineLevel="0" collapsed="false">
      <c r="A57" s="6" t="s">
        <v>2669</v>
      </c>
      <c r="B57" s="6" t="s">
        <v>178</v>
      </c>
      <c r="C57" s="6" t="s">
        <v>124</v>
      </c>
      <c r="D57" s="13" t="n">
        <v>44982</v>
      </c>
      <c r="E57" s="14" t="n">
        <v>1567.44</v>
      </c>
      <c r="F57" s="14" t="n">
        <v>5623.48</v>
      </c>
      <c r="G57" s="6" t="s">
        <v>2623</v>
      </c>
    </row>
    <row r="58" customFormat="false" ht="15" hidden="false" customHeight="true" outlineLevel="0" collapsed="false">
      <c r="A58" s="6" t="s">
        <v>2670</v>
      </c>
      <c r="B58" s="6" t="s">
        <v>178</v>
      </c>
      <c r="C58" s="6" t="s">
        <v>124</v>
      </c>
      <c r="D58" s="13" t="n">
        <v>44989</v>
      </c>
      <c r="E58" s="14" t="n">
        <v>2108.63</v>
      </c>
      <c r="F58" s="14" t="n">
        <v>7732.11</v>
      </c>
      <c r="G58" s="6" t="s">
        <v>2613</v>
      </c>
    </row>
    <row r="59" customFormat="false" ht="15" hidden="false" customHeight="true" outlineLevel="0" collapsed="false">
      <c r="A59" s="6" t="s">
        <v>2671</v>
      </c>
      <c r="B59" s="6" t="s">
        <v>178</v>
      </c>
      <c r="C59" s="6" t="s">
        <v>124</v>
      </c>
      <c r="D59" s="13" t="n">
        <v>44996</v>
      </c>
      <c r="E59" s="14" t="n">
        <v>2072.12</v>
      </c>
      <c r="F59" s="14" t="n">
        <v>9804.23</v>
      </c>
      <c r="G59" s="6" t="s">
        <v>2613</v>
      </c>
    </row>
    <row r="60" customFormat="false" ht="15" hidden="false" customHeight="true" outlineLevel="0" collapsed="false">
      <c r="A60" s="6" t="s">
        <v>2672</v>
      </c>
      <c r="B60" s="6" t="s">
        <v>178</v>
      </c>
      <c r="C60" s="6" t="s">
        <v>124</v>
      </c>
      <c r="D60" s="13" t="n">
        <v>45003</v>
      </c>
      <c r="E60" s="14" t="n">
        <v>1927.11</v>
      </c>
      <c r="F60" s="14" t="n">
        <v>11731.34</v>
      </c>
      <c r="G60" s="6" t="s">
        <v>2613</v>
      </c>
    </row>
    <row r="61" customFormat="false" ht="15" hidden="false" customHeight="true" outlineLevel="0" collapsed="false">
      <c r="A61" s="6" t="s">
        <v>2673</v>
      </c>
      <c r="B61" s="6" t="s">
        <v>178</v>
      </c>
      <c r="C61" s="6" t="s">
        <v>124</v>
      </c>
      <c r="D61" s="13" t="n">
        <v>45010</v>
      </c>
      <c r="E61" s="14" t="n">
        <v>1489.47</v>
      </c>
      <c r="F61" s="14" t="n">
        <v>13220.81</v>
      </c>
      <c r="G61" s="6" t="s">
        <v>2613</v>
      </c>
    </row>
    <row r="62" customFormat="false" ht="15" hidden="false" customHeight="true" outlineLevel="0" collapsed="false">
      <c r="A62" s="6" t="s">
        <v>2674</v>
      </c>
      <c r="B62" s="6" t="s">
        <v>178</v>
      </c>
      <c r="C62" s="6" t="s">
        <v>124</v>
      </c>
      <c r="D62" s="13" t="n">
        <v>45017</v>
      </c>
      <c r="E62" s="14" t="n">
        <v>1387.49</v>
      </c>
      <c r="F62" s="14" t="n">
        <v>14608.3</v>
      </c>
      <c r="G62" s="6" t="s">
        <v>2623</v>
      </c>
    </row>
    <row r="63" customFormat="false" ht="15" hidden="false" customHeight="true" outlineLevel="0" collapsed="false">
      <c r="A63" s="6" t="s">
        <v>2675</v>
      </c>
      <c r="B63" s="6" t="s">
        <v>178</v>
      </c>
      <c r="C63" s="6" t="s">
        <v>124</v>
      </c>
      <c r="D63" s="13" t="n">
        <v>45024</v>
      </c>
      <c r="E63" s="14" t="n">
        <v>459.51</v>
      </c>
      <c r="F63" s="14" t="n">
        <v>15067.81</v>
      </c>
      <c r="G63" s="6" t="s">
        <v>2613</v>
      </c>
    </row>
    <row r="64" customFormat="false" ht="15" hidden="false" customHeight="true" outlineLevel="0" collapsed="false">
      <c r="A64" s="6" t="s">
        <v>2676</v>
      </c>
      <c r="B64" s="6" t="s">
        <v>182</v>
      </c>
      <c r="C64" s="6" t="s">
        <v>124</v>
      </c>
      <c r="D64" s="13" t="n">
        <v>45679</v>
      </c>
      <c r="E64" s="14" t="n">
        <v>822.29</v>
      </c>
      <c r="F64" s="14" t="n">
        <v>822.29</v>
      </c>
      <c r="G64" s="6" t="s">
        <v>2613</v>
      </c>
    </row>
    <row r="65" customFormat="false" ht="15" hidden="false" customHeight="true" outlineLevel="0" collapsed="false">
      <c r="A65" s="6" t="s">
        <v>2677</v>
      </c>
      <c r="B65" s="6" t="s">
        <v>182</v>
      </c>
      <c r="C65" s="6" t="s">
        <v>124</v>
      </c>
      <c r="D65" s="13" t="n">
        <v>45686</v>
      </c>
      <c r="E65" s="14" t="n">
        <v>1715.6</v>
      </c>
      <c r="F65" s="14" t="n">
        <v>2537.89</v>
      </c>
      <c r="G65" s="6" t="s">
        <v>2613</v>
      </c>
    </row>
    <row r="66" customFormat="false" ht="15" hidden="false" customHeight="true" outlineLevel="0" collapsed="false">
      <c r="A66" s="6" t="s">
        <v>2678</v>
      </c>
      <c r="B66" s="6" t="s">
        <v>182</v>
      </c>
      <c r="C66" s="6" t="s">
        <v>124</v>
      </c>
      <c r="D66" s="13" t="n">
        <v>45693</v>
      </c>
      <c r="E66" s="14" t="n">
        <v>829.22</v>
      </c>
      <c r="F66" s="14" t="n">
        <v>3367.11</v>
      </c>
      <c r="G66" s="6" t="s">
        <v>2613</v>
      </c>
    </row>
    <row r="67" customFormat="false" ht="15" hidden="false" customHeight="true" outlineLevel="0" collapsed="false">
      <c r="A67" s="6" t="s">
        <v>2679</v>
      </c>
      <c r="B67" s="6" t="s">
        <v>182</v>
      </c>
      <c r="C67" s="6" t="s">
        <v>124</v>
      </c>
      <c r="D67" s="13" t="n">
        <v>45700</v>
      </c>
      <c r="E67" s="14" t="n">
        <v>1645.67</v>
      </c>
      <c r="F67" s="14" t="n">
        <v>5012.78</v>
      </c>
      <c r="G67" s="6" t="s">
        <v>2623</v>
      </c>
    </row>
    <row r="68" customFormat="false" ht="15" hidden="false" customHeight="true" outlineLevel="0" collapsed="false">
      <c r="A68" s="6" t="s">
        <v>2680</v>
      </c>
      <c r="B68" s="6" t="s">
        <v>182</v>
      </c>
      <c r="C68" s="6" t="s">
        <v>124</v>
      </c>
      <c r="D68" s="13" t="n">
        <v>45707</v>
      </c>
      <c r="E68" s="14" t="n">
        <v>840.6</v>
      </c>
      <c r="F68" s="14" t="n">
        <v>5853.38</v>
      </c>
      <c r="G68" s="6" t="s">
        <v>2613</v>
      </c>
    </row>
    <row r="69" customFormat="false" ht="15" hidden="false" customHeight="true" outlineLevel="0" collapsed="false">
      <c r="A69" s="6" t="s">
        <v>2681</v>
      </c>
      <c r="B69" s="6" t="s">
        <v>182</v>
      </c>
      <c r="C69" s="6" t="s">
        <v>124</v>
      </c>
      <c r="D69" s="13" t="n">
        <v>45714</v>
      </c>
      <c r="E69" s="14" t="n">
        <v>1185.71</v>
      </c>
      <c r="F69" s="14" t="n">
        <v>7039.09</v>
      </c>
      <c r="G69" s="6" t="s">
        <v>2613</v>
      </c>
    </row>
    <row r="70" customFormat="false" ht="15" hidden="false" customHeight="true" outlineLevel="0" collapsed="false">
      <c r="A70" s="6" t="s">
        <v>2682</v>
      </c>
      <c r="B70" s="6" t="s">
        <v>182</v>
      </c>
      <c r="C70" s="6" t="s">
        <v>124</v>
      </c>
      <c r="D70" s="13" t="n">
        <v>45721</v>
      </c>
      <c r="E70" s="14" t="n">
        <v>1356.21</v>
      </c>
      <c r="F70" s="14" t="n">
        <v>8395.3</v>
      </c>
      <c r="G70" s="6" t="s">
        <v>2613</v>
      </c>
    </row>
    <row r="71" customFormat="false" ht="15" hidden="false" customHeight="true" outlineLevel="0" collapsed="false">
      <c r="A71" s="6" t="s">
        <v>2683</v>
      </c>
      <c r="B71" s="6" t="s">
        <v>182</v>
      </c>
      <c r="C71" s="6" t="s">
        <v>124</v>
      </c>
      <c r="D71" s="13" t="n">
        <v>45728</v>
      </c>
      <c r="E71" s="14" t="n">
        <v>1881.52</v>
      </c>
      <c r="F71" s="14" t="n">
        <v>10276.82</v>
      </c>
      <c r="G71" s="6" t="s">
        <v>2623</v>
      </c>
    </row>
    <row r="72" customFormat="false" ht="15" hidden="false" customHeight="true" outlineLevel="0" collapsed="false">
      <c r="A72" s="6" t="s">
        <v>2684</v>
      </c>
      <c r="B72" s="6" t="s">
        <v>186</v>
      </c>
      <c r="C72" s="6" t="s">
        <v>112</v>
      </c>
      <c r="D72" s="13" t="n">
        <v>45216</v>
      </c>
      <c r="E72" s="14" t="n">
        <v>1878.77</v>
      </c>
      <c r="F72" s="14" t="n">
        <v>1878.77</v>
      </c>
      <c r="G72" s="6" t="s">
        <v>2613</v>
      </c>
    </row>
    <row r="73" customFormat="false" ht="15" hidden="false" customHeight="true" outlineLevel="0" collapsed="false">
      <c r="A73" s="6" t="s">
        <v>2685</v>
      </c>
      <c r="B73" s="6" t="s">
        <v>186</v>
      </c>
      <c r="C73" s="6" t="s">
        <v>112</v>
      </c>
      <c r="D73" s="13" t="n">
        <v>45223</v>
      </c>
      <c r="E73" s="14" t="n">
        <v>3248.73</v>
      </c>
      <c r="F73" s="14" t="n">
        <v>5127.5</v>
      </c>
      <c r="G73" s="6" t="s">
        <v>2623</v>
      </c>
    </row>
    <row r="74" customFormat="false" ht="15" hidden="false" customHeight="true" outlineLevel="0" collapsed="false">
      <c r="A74" s="6" t="s">
        <v>2686</v>
      </c>
      <c r="B74" s="6" t="s">
        <v>186</v>
      </c>
      <c r="C74" s="6" t="s">
        <v>112</v>
      </c>
      <c r="D74" s="13" t="n">
        <v>45230</v>
      </c>
      <c r="E74" s="14" t="n">
        <v>3185.98</v>
      </c>
      <c r="F74" s="14" t="n">
        <v>8313.48</v>
      </c>
      <c r="G74" s="6" t="s">
        <v>2613</v>
      </c>
    </row>
    <row r="75" customFormat="false" ht="15" hidden="false" customHeight="true" outlineLevel="0" collapsed="false">
      <c r="A75" s="6" t="s">
        <v>2687</v>
      </c>
      <c r="B75" s="6" t="s">
        <v>186</v>
      </c>
      <c r="C75" s="6" t="s">
        <v>112</v>
      </c>
      <c r="D75" s="13" t="n">
        <v>45237</v>
      </c>
      <c r="E75" s="14" t="n">
        <v>2183.45</v>
      </c>
      <c r="F75" s="14" t="n">
        <v>10496.93</v>
      </c>
      <c r="G75" s="6" t="s">
        <v>2613</v>
      </c>
    </row>
    <row r="76" customFormat="false" ht="15" hidden="false" customHeight="true" outlineLevel="0" collapsed="false">
      <c r="A76" s="6" t="s">
        <v>2688</v>
      </c>
      <c r="B76" s="6" t="s">
        <v>186</v>
      </c>
      <c r="C76" s="6" t="s">
        <v>112</v>
      </c>
      <c r="D76" s="13" t="n">
        <v>45244</v>
      </c>
      <c r="E76" s="14" t="n">
        <v>2025.93</v>
      </c>
      <c r="F76" s="14" t="n">
        <v>12522.86</v>
      </c>
      <c r="G76" s="6" t="s">
        <v>2613</v>
      </c>
    </row>
    <row r="77" customFormat="false" ht="15" hidden="false" customHeight="true" outlineLevel="0" collapsed="false">
      <c r="A77" s="6" t="s">
        <v>2689</v>
      </c>
      <c r="B77" s="6" t="s">
        <v>186</v>
      </c>
      <c r="C77" s="6" t="s">
        <v>112</v>
      </c>
      <c r="D77" s="13" t="n">
        <v>45251</v>
      </c>
      <c r="E77" s="14" t="n">
        <v>2560.86</v>
      </c>
      <c r="F77" s="14" t="n">
        <v>15083.72</v>
      </c>
      <c r="G77" s="6" t="s">
        <v>2613</v>
      </c>
    </row>
    <row r="78" customFormat="false" ht="15" hidden="false" customHeight="true" outlineLevel="0" collapsed="false">
      <c r="A78" s="6" t="s">
        <v>2690</v>
      </c>
      <c r="B78" s="6" t="s">
        <v>186</v>
      </c>
      <c r="C78" s="6" t="s">
        <v>112</v>
      </c>
      <c r="D78" s="13" t="n">
        <v>45258</v>
      </c>
      <c r="E78" s="14" t="n">
        <v>3199.8</v>
      </c>
      <c r="F78" s="14" t="n">
        <v>18283.52</v>
      </c>
      <c r="G78" s="6" t="s">
        <v>2613</v>
      </c>
    </row>
    <row r="79" customFormat="false" ht="15" hidden="false" customHeight="true" outlineLevel="0" collapsed="false">
      <c r="A79" s="6" t="s">
        <v>2691</v>
      </c>
      <c r="B79" s="6" t="s">
        <v>186</v>
      </c>
      <c r="C79" s="6" t="s">
        <v>112</v>
      </c>
      <c r="D79" s="13" t="n">
        <v>45265</v>
      </c>
      <c r="E79" s="14" t="n">
        <v>4290.06</v>
      </c>
      <c r="F79" s="14" t="n">
        <v>22573.58</v>
      </c>
      <c r="G79" s="6" t="s">
        <v>2613</v>
      </c>
    </row>
    <row r="80" customFormat="false" ht="15" hidden="false" customHeight="true" outlineLevel="0" collapsed="false">
      <c r="A80" s="6" t="s">
        <v>2692</v>
      </c>
      <c r="B80" s="6" t="s">
        <v>186</v>
      </c>
      <c r="C80" s="6" t="s">
        <v>112</v>
      </c>
      <c r="D80" s="13" t="n">
        <v>45272</v>
      </c>
      <c r="E80" s="14" t="n">
        <v>5262.2</v>
      </c>
      <c r="F80" s="14" t="n">
        <v>27835.78</v>
      </c>
      <c r="G80" s="6" t="s">
        <v>2613</v>
      </c>
    </row>
    <row r="81" customFormat="false" ht="15" hidden="false" customHeight="true" outlineLevel="0" collapsed="false">
      <c r="A81" s="6" t="s">
        <v>2693</v>
      </c>
      <c r="B81" s="6" t="s">
        <v>190</v>
      </c>
      <c r="C81" s="6" t="s">
        <v>131</v>
      </c>
      <c r="D81" s="13" t="n">
        <v>45807</v>
      </c>
      <c r="E81" s="14" t="n">
        <v>3289.83</v>
      </c>
      <c r="F81" s="14" t="n">
        <v>3289.83</v>
      </c>
      <c r="G81" s="6" t="s">
        <v>2613</v>
      </c>
    </row>
    <row r="82" customFormat="false" ht="15" hidden="false" customHeight="true" outlineLevel="0" collapsed="false">
      <c r="A82" s="6" t="s">
        <v>2694</v>
      </c>
      <c r="B82" s="6" t="s">
        <v>190</v>
      </c>
      <c r="C82" s="6" t="s">
        <v>131</v>
      </c>
      <c r="D82" s="13" t="n">
        <v>45814</v>
      </c>
      <c r="E82" s="14" t="n">
        <v>2873.11</v>
      </c>
      <c r="F82" s="14" t="n">
        <v>6162.94</v>
      </c>
      <c r="G82" s="6" t="s">
        <v>2613</v>
      </c>
    </row>
    <row r="83" customFormat="false" ht="15" hidden="false" customHeight="true" outlineLevel="0" collapsed="false">
      <c r="A83" s="6" t="s">
        <v>2695</v>
      </c>
      <c r="B83" s="6" t="s">
        <v>190</v>
      </c>
      <c r="C83" s="6" t="s">
        <v>131</v>
      </c>
      <c r="D83" s="13" t="n">
        <v>45821</v>
      </c>
      <c r="E83" s="14" t="n">
        <v>3794.83</v>
      </c>
      <c r="F83" s="14" t="n">
        <v>9957.77</v>
      </c>
      <c r="G83" s="6" t="s">
        <v>2623</v>
      </c>
    </row>
    <row r="84" customFormat="false" ht="15" hidden="false" customHeight="true" outlineLevel="0" collapsed="false">
      <c r="A84" s="6" t="s">
        <v>2696</v>
      </c>
      <c r="B84" s="6" t="s">
        <v>190</v>
      </c>
      <c r="C84" s="6" t="s">
        <v>131</v>
      </c>
      <c r="D84" s="13" t="n">
        <v>45828</v>
      </c>
      <c r="E84" s="14" t="n">
        <v>3168.05</v>
      </c>
      <c r="F84" s="14" t="n">
        <v>13125.82</v>
      </c>
      <c r="G84" s="6" t="s">
        <v>2613</v>
      </c>
    </row>
    <row r="85" customFormat="false" ht="15" hidden="false" customHeight="true" outlineLevel="0" collapsed="false">
      <c r="A85" s="6" t="s">
        <v>2697</v>
      </c>
      <c r="B85" s="6" t="s">
        <v>190</v>
      </c>
      <c r="C85" s="6" t="s">
        <v>131</v>
      </c>
      <c r="D85" s="13" t="n">
        <v>45835</v>
      </c>
      <c r="E85" s="14" t="n">
        <v>1817.33</v>
      </c>
      <c r="F85" s="14" t="n">
        <v>14943.15</v>
      </c>
      <c r="G85" s="6" t="s">
        <v>2613</v>
      </c>
    </row>
    <row r="86" customFormat="false" ht="15" hidden="false" customHeight="true" outlineLevel="0" collapsed="false">
      <c r="A86" s="6" t="s">
        <v>2698</v>
      </c>
      <c r="B86" s="6" t="s">
        <v>190</v>
      </c>
      <c r="C86" s="6" t="s">
        <v>131</v>
      </c>
      <c r="D86" s="13" t="n">
        <v>45842</v>
      </c>
      <c r="E86" s="14" t="n">
        <v>2015.83</v>
      </c>
      <c r="F86" s="14" t="n">
        <v>16958.98</v>
      </c>
      <c r="G86" s="6" t="s">
        <v>2613</v>
      </c>
    </row>
    <row r="87" customFormat="false" ht="15" hidden="false" customHeight="true" outlineLevel="0" collapsed="false">
      <c r="A87" s="6" t="s">
        <v>2699</v>
      </c>
      <c r="B87" s="6" t="s">
        <v>190</v>
      </c>
      <c r="C87" s="6" t="s">
        <v>131</v>
      </c>
      <c r="D87" s="13" t="n">
        <v>45849</v>
      </c>
      <c r="E87" s="14" t="n">
        <v>2086.23</v>
      </c>
      <c r="F87" s="14" t="n">
        <v>19045.21</v>
      </c>
      <c r="G87" s="6" t="s">
        <v>2613</v>
      </c>
    </row>
    <row r="88" customFormat="false" ht="15" hidden="false" customHeight="true" outlineLevel="0" collapsed="false">
      <c r="A88" s="6" t="s">
        <v>2700</v>
      </c>
      <c r="B88" s="6" t="s">
        <v>190</v>
      </c>
      <c r="C88" s="6" t="s">
        <v>131</v>
      </c>
      <c r="D88" s="13" t="n">
        <v>45856</v>
      </c>
      <c r="E88" s="14" t="n">
        <v>3840.62</v>
      </c>
      <c r="F88" s="14" t="n">
        <v>22885.83</v>
      </c>
      <c r="G88" s="6" t="s">
        <v>2613</v>
      </c>
    </row>
    <row r="89" customFormat="false" ht="15" hidden="false" customHeight="true" outlineLevel="0" collapsed="false">
      <c r="A89" s="6" t="s">
        <v>2701</v>
      </c>
      <c r="B89" s="6" t="s">
        <v>193</v>
      </c>
      <c r="C89" s="6" t="s">
        <v>128</v>
      </c>
      <c r="D89" s="13" t="n">
        <v>45200</v>
      </c>
      <c r="E89" s="14" t="n">
        <v>596.58</v>
      </c>
      <c r="F89" s="14" t="n">
        <v>596.58</v>
      </c>
      <c r="G89" s="6" t="s">
        <v>2623</v>
      </c>
    </row>
    <row r="90" customFormat="false" ht="15" hidden="false" customHeight="true" outlineLevel="0" collapsed="false">
      <c r="A90" s="6" t="s">
        <v>2702</v>
      </c>
      <c r="B90" s="6" t="s">
        <v>193</v>
      </c>
      <c r="C90" s="6" t="s">
        <v>128</v>
      </c>
      <c r="D90" s="13" t="n">
        <v>45207</v>
      </c>
      <c r="E90" s="14" t="n">
        <v>383.75</v>
      </c>
      <c r="F90" s="14" t="n">
        <v>980.33</v>
      </c>
      <c r="G90" s="6" t="s">
        <v>2613</v>
      </c>
    </row>
    <row r="91" customFormat="false" ht="15" hidden="false" customHeight="true" outlineLevel="0" collapsed="false">
      <c r="A91" s="6" t="s">
        <v>2703</v>
      </c>
      <c r="B91" s="6" t="s">
        <v>193</v>
      </c>
      <c r="C91" s="6" t="s">
        <v>128</v>
      </c>
      <c r="D91" s="13" t="n">
        <v>45214</v>
      </c>
      <c r="E91" s="14" t="n">
        <v>490.83</v>
      </c>
      <c r="F91" s="14" t="n">
        <v>1471.16</v>
      </c>
      <c r="G91" s="6" t="s">
        <v>2613</v>
      </c>
    </row>
    <row r="92" customFormat="false" ht="15" hidden="false" customHeight="true" outlineLevel="0" collapsed="false">
      <c r="A92" s="6" t="s">
        <v>2704</v>
      </c>
      <c r="B92" s="6" t="s">
        <v>193</v>
      </c>
      <c r="C92" s="6" t="s">
        <v>128</v>
      </c>
      <c r="D92" s="13" t="n">
        <v>45221</v>
      </c>
      <c r="E92" s="14" t="n">
        <v>453.75</v>
      </c>
      <c r="F92" s="14" t="n">
        <v>1924.91</v>
      </c>
      <c r="G92" s="6" t="s">
        <v>2613</v>
      </c>
    </row>
    <row r="93" customFormat="false" ht="15" hidden="false" customHeight="true" outlineLevel="0" collapsed="false">
      <c r="A93" s="6" t="s">
        <v>2705</v>
      </c>
      <c r="B93" s="6" t="s">
        <v>193</v>
      </c>
      <c r="C93" s="6" t="s">
        <v>128</v>
      </c>
      <c r="D93" s="13" t="n">
        <v>45228</v>
      </c>
      <c r="E93" s="14" t="n">
        <v>597.14</v>
      </c>
      <c r="F93" s="14" t="n">
        <v>2522.05</v>
      </c>
      <c r="G93" s="6" t="s">
        <v>2613</v>
      </c>
    </row>
    <row r="94" customFormat="false" ht="15" hidden="false" customHeight="true" outlineLevel="0" collapsed="false">
      <c r="A94" s="6" t="s">
        <v>2706</v>
      </c>
      <c r="B94" s="6" t="s">
        <v>193</v>
      </c>
      <c r="C94" s="6" t="s">
        <v>128</v>
      </c>
      <c r="D94" s="13" t="n">
        <v>45235</v>
      </c>
      <c r="E94" s="14" t="n">
        <v>580.49</v>
      </c>
      <c r="F94" s="14" t="n">
        <v>3102.54</v>
      </c>
      <c r="G94" s="6" t="s">
        <v>2613</v>
      </c>
    </row>
    <row r="95" customFormat="false" ht="15" hidden="false" customHeight="true" outlineLevel="0" collapsed="false">
      <c r="A95" s="6" t="s">
        <v>2707</v>
      </c>
      <c r="B95" s="6" t="s">
        <v>193</v>
      </c>
      <c r="C95" s="6" t="s">
        <v>128</v>
      </c>
      <c r="D95" s="13" t="n">
        <v>45242</v>
      </c>
      <c r="E95" s="14" t="n">
        <v>316.09</v>
      </c>
      <c r="F95" s="14" t="n">
        <v>3418.63</v>
      </c>
      <c r="G95" s="6" t="s">
        <v>2613</v>
      </c>
    </row>
    <row r="96" customFormat="false" ht="15" hidden="false" customHeight="true" outlineLevel="0" collapsed="false">
      <c r="A96" s="6" t="s">
        <v>2708</v>
      </c>
      <c r="B96" s="6" t="s">
        <v>193</v>
      </c>
      <c r="C96" s="6" t="s">
        <v>128</v>
      </c>
      <c r="D96" s="13" t="n">
        <v>45249</v>
      </c>
      <c r="E96" s="14" t="n">
        <v>321.13</v>
      </c>
      <c r="F96" s="14" t="n">
        <v>3739.76</v>
      </c>
      <c r="G96" s="6" t="s">
        <v>2613</v>
      </c>
    </row>
    <row r="97" customFormat="false" ht="15" hidden="false" customHeight="true" outlineLevel="0" collapsed="false">
      <c r="A97" s="6" t="s">
        <v>2709</v>
      </c>
      <c r="B97" s="6" t="s">
        <v>193</v>
      </c>
      <c r="C97" s="6" t="s">
        <v>128</v>
      </c>
      <c r="D97" s="13" t="n">
        <v>45256</v>
      </c>
      <c r="E97" s="14" t="n">
        <v>321.93</v>
      </c>
      <c r="F97" s="14" t="n">
        <v>4061.69</v>
      </c>
      <c r="G97" s="6" t="s">
        <v>2613</v>
      </c>
    </row>
    <row r="98" customFormat="false" ht="15" hidden="false" customHeight="true" outlineLevel="0" collapsed="false">
      <c r="A98" s="6" t="s">
        <v>2710</v>
      </c>
      <c r="B98" s="6" t="s">
        <v>193</v>
      </c>
      <c r="C98" s="6" t="s">
        <v>128</v>
      </c>
      <c r="D98" s="13" t="n">
        <v>45263</v>
      </c>
      <c r="E98" s="14" t="n">
        <v>530.82</v>
      </c>
      <c r="F98" s="14" t="n">
        <v>4592.51</v>
      </c>
      <c r="G98" s="6" t="s">
        <v>2613</v>
      </c>
    </row>
    <row r="99" customFormat="false" ht="15" hidden="false" customHeight="true" outlineLevel="0" collapsed="false">
      <c r="A99" s="6" t="s">
        <v>2711</v>
      </c>
      <c r="B99" s="6" t="s">
        <v>193</v>
      </c>
      <c r="C99" s="6" t="s">
        <v>128</v>
      </c>
      <c r="D99" s="13" t="n">
        <v>45270</v>
      </c>
      <c r="E99" s="14" t="n">
        <v>491.86</v>
      </c>
      <c r="F99" s="14" t="n">
        <v>5084.37</v>
      </c>
      <c r="G99" s="6" t="s">
        <v>2613</v>
      </c>
    </row>
    <row r="100" customFormat="false" ht="15" hidden="false" customHeight="true" outlineLevel="0" collapsed="false">
      <c r="A100" s="6" t="s">
        <v>2712</v>
      </c>
      <c r="B100" s="6" t="s">
        <v>193</v>
      </c>
      <c r="C100" s="6" t="s">
        <v>128</v>
      </c>
      <c r="D100" s="13" t="n">
        <v>45277</v>
      </c>
      <c r="E100" s="14" t="n">
        <v>345.77</v>
      </c>
      <c r="F100" s="14" t="n">
        <v>5430.14</v>
      </c>
      <c r="G100" s="6" t="s">
        <v>2613</v>
      </c>
    </row>
    <row r="101" customFormat="false" ht="15" hidden="false" customHeight="true" outlineLevel="0" collapsed="false">
      <c r="A101" s="6" t="s">
        <v>2713</v>
      </c>
      <c r="B101" s="6" t="s">
        <v>193</v>
      </c>
      <c r="C101" s="6" t="s">
        <v>128</v>
      </c>
      <c r="D101" s="13" t="n">
        <v>45284</v>
      </c>
      <c r="E101" s="14" t="n">
        <v>502.73</v>
      </c>
      <c r="F101" s="14" t="n">
        <v>5932.87</v>
      </c>
      <c r="G101" s="6" t="s">
        <v>2613</v>
      </c>
    </row>
    <row r="102" customFormat="false" ht="15" hidden="false" customHeight="true" outlineLevel="0" collapsed="false">
      <c r="A102" s="6" t="s">
        <v>2714</v>
      </c>
      <c r="B102" s="6" t="s">
        <v>193</v>
      </c>
      <c r="C102" s="6" t="s">
        <v>128</v>
      </c>
      <c r="D102" s="13" t="n">
        <v>45291</v>
      </c>
      <c r="E102" s="14" t="n">
        <v>273.22</v>
      </c>
      <c r="F102" s="14" t="n">
        <v>6206.09</v>
      </c>
      <c r="G102" s="6" t="s">
        <v>2613</v>
      </c>
    </row>
    <row r="103" customFormat="false" ht="15" hidden="false" customHeight="true" outlineLevel="0" collapsed="false">
      <c r="A103" s="6" t="s">
        <v>2715</v>
      </c>
      <c r="B103" s="6" t="s">
        <v>193</v>
      </c>
      <c r="C103" s="6" t="s">
        <v>128</v>
      </c>
      <c r="D103" s="13" t="n">
        <v>45298</v>
      </c>
      <c r="E103" s="14" t="n">
        <v>328.94</v>
      </c>
      <c r="F103" s="14" t="n">
        <v>6535.03</v>
      </c>
      <c r="G103" s="6" t="s">
        <v>2613</v>
      </c>
    </row>
    <row r="104" customFormat="false" ht="15" hidden="false" customHeight="true" outlineLevel="0" collapsed="false">
      <c r="A104" s="6" t="s">
        <v>2716</v>
      </c>
      <c r="B104" s="6" t="s">
        <v>193</v>
      </c>
      <c r="C104" s="6" t="s">
        <v>128</v>
      </c>
      <c r="D104" s="13" t="n">
        <v>45305</v>
      </c>
      <c r="E104" s="14" t="n">
        <v>380.93</v>
      </c>
      <c r="F104" s="14" t="n">
        <v>6915.96</v>
      </c>
      <c r="G104" s="6" t="s">
        <v>2613</v>
      </c>
    </row>
    <row r="105" customFormat="false" ht="15" hidden="false" customHeight="true" outlineLevel="0" collapsed="false">
      <c r="A105" s="6" t="s">
        <v>2717</v>
      </c>
      <c r="B105" s="6" t="s">
        <v>193</v>
      </c>
      <c r="C105" s="6" t="s">
        <v>128</v>
      </c>
      <c r="D105" s="13" t="n">
        <v>45312</v>
      </c>
      <c r="E105" s="14" t="n">
        <v>561.63</v>
      </c>
      <c r="F105" s="14" t="n">
        <v>7477.59</v>
      </c>
      <c r="G105" s="6" t="s">
        <v>2613</v>
      </c>
    </row>
    <row r="106" customFormat="false" ht="15" hidden="false" customHeight="true" outlineLevel="0" collapsed="false">
      <c r="A106" s="6" t="s">
        <v>2718</v>
      </c>
      <c r="B106" s="6" t="s">
        <v>193</v>
      </c>
      <c r="C106" s="6" t="s">
        <v>128</v>
      </c>
      <c r="D106" s="13" t="n">
        <v>45319</v>
      </c>
      <c r="E106" s="14" t="n">
        <v>488.44</v>
      </c>
      <c r="F106" s="14" t="n">
        <v>7966.03</v>
      </c>
      <c r="G106" s="6" t="s">
        <v>2613</v>
      </c>
    </row>
    <row r="107" customFormat="false" ht="15" hidden="false" customHeight="true" outlineLevel="0" collapsed="false">
      <c r="A107" s="6" t="s">
        <v>2719</v>
      </c>
      <c r="B107" s="6" t="s">
        <v>193</v>
      </c>
      <c r="C107" s="6" t="s">
        <v>128</v>
      </c>
      <c r="D107" s="13" t="n">
        <v>45326</v>
      </c>
      <c r="E107" s="14" t="n">
        <v>356.31</v>
      </c>
      <c r="F107" s="14" t="n">
        <v>8322.34</v>
      </c>
      <c r="G107" s="6" t="s">
        <v>2623</v>
      </c>
    </row>
    <row r="108" customFormat="false" ht="15" hidden="false" customHeight="true" outlineLevel="0" collapsed="false">
      <c r="A108" s="6" t="s">
        <v>2720</v>
      </c>
      <c r="B108" s="6" t="s">
        <v>193</v>
      </c>
      <c r="C108" s="6" t="s">
        <v>128</v>
      </c>
      <c r="D108" s="13" t="n">
        <v>45333</v>
      </c>
      <c r="E108" s="14" t="n">
        <v>527.69</v>
      </c>
      <c r="F108" s="14" t="n">
        <v>8850.03</v>
      </c>
      <c r="G108" s="6" t="s">
        <v>2613</v>
      </c>
    </row>
    <row r="109" customFormat="false" ht="15" hidden="false" customHeight="true" outlineLevel="0" collapsed="false">
      <c r="A109" s="6" t="s">
        <v>2721</v>
      </c>
      <c r="B109" s="6" t="s">
        <v>193</v>
      </c>
      <c r="C109" s="6" t="s">
        <v>128</v>
      </c>
      <c r="D109" s="13" t="n">
        <v>45340</v>
      </c>
      <c r="E109" s="14" t="n">
        <v>436.26</v>
      </c>
      <c r="F109" s="14" t="n">
        <v>9286.29</v>
      </c>
      <c r="G109" s="6" t="s">
        <v>2613</v>
      </c>
    </row>
    <row r="110" customFormat="false" ht="15" hidden="false" customHeight="true" outlineLevel="0" collapsed="false">
      <c r="A110" s="6" t="s">
        <v>2722</v>
      </c>
      <c r="B110" s="6" t="s">
        <v>193</v>
      </c>
      <c r="C110" s="6" t="s">
        <v>128</v>
      </c>
      <c r="D110" s="13" t="n">
        <v>45347</v>
      </c>
      <c r="E110" s="14" t="n">
        <v>552.05</v>
      </c>
      <c r="F110" s="14" t="n">
        <v>9838.34</v>
      </c>
      <c r="G110" s="6" t="s">
        <v>2613</v>
      </c>
    </row>
    <row r="111" customFormat="false" ht="15" hidden="false" customHeight="true" outlineLevel="0" collapsed="false">
      <c r="A111" s="6" t="s">
        <v>2723</v>
      </c>
      <c r="B111" s="6" t="s">
        <v>193</v>
      </c>
      <c r="C111" s="6" t="s">
        <v>128</v>
      </c>
      <c r="D111" s="13" t="n">
        <v>45354</v>
      </c>
      <c r="E111" s="14" t="n">
        <v>269.36</v>
      </c>
      <c r="F111" s="14" t="n">
        <v>10107.7</v>
      </c>
      <c r="G111" s="6" t="s">
        <v>2613</v>
      </c>
    </row>
    <row r="112" customFormat="false" ht="15" hidden="false" customHeight="true" outlineLevel="0" collapsed="false">
      <c r="A112" s="6" t="s">
        <v>2724</v>
      </c>
      <c r="B112" s="6" t="s">
        <v>193</v>
      </c>
      <c r="C112" s="6" t="s">
        <v>128</v>
      </c>
      <c r="D112" s="13" t="n">
        <v>45361</v>
      </c>
      <c r="E112" s="14" t="n">
        <v>350.29</v>
      </c>
      <c r="F112" s="14" t="n">
        <v>10457.99</v>
      </c>
      <c r="G112" s="6" t="s">
        <v>2613</v>
      </c>
    </row>
    <row r="113" customFormat="false" ht="15" hidden="false" customHeight="true" outlineLevel="0" collapsed="false">
      <c r="A113" s="6" t="s">
        <v>2725</v>
      </c>
      <c r="B113" s="6" t="s">
        <v>193</v>
      </c>
      <c r="C113" s="6" t="s">
        <v>128</v>
      </c>
      <c r="D113" s="13" t="n">
        <v>45368</v>
      </c>
      <c r="E113" s="14" t="n">
        <v>367.13</v>
      </c>
      <c r="F113" s="14" t="n">
        <v>10825.12</v>
      </c>
      <c r="G113" s="6" t="s">
        <v>2613</v>
      </c>
    </row>
    <row r="114" customFormat="false" ht="15" hidden="false" customHeight="true" outlineLevel="0" collapsed="false">
      <c r="A114" s="6" t="s">
        <v>2726</v>
      </c>
      <c r="B114" s="6" t="s">
        <v>196</v>
      </c>
      <c r="C114" s="6" t="s">
        <v>112</v>
      </c>
      <c r="D114" s="13" t="n">
        <v>44572</v>
      </c>
      <c r="E114" s="14" t="n">
        <v>4728.75</v>
      </c>
      <c r="F114" s="14" t="n">
        <v>4728.75</v>
      </c>
      <c r="G114" s="6" t="s">
        <v>2613</v>
      </c>
    </row>
    <row r="115" customFormat="false" ht="15" hidden="false" customHeight="true" outlineLevel="0" collapsed="false">
      <c r="A115" s="6" t="s">
        <v>2727</v>
      </c>
      <c r="B115" s="6" t="s">
        <v>196</v>
      </c>
      <c r="C115" s="6" t="s">
        <v>112</v>
      </c>
      <c r="D115" s="13" t="n">
        <v>44579</v>
      </c>
      <c r="E115" s="14" t="n">
        <v>4893.9</v>
      </c>
      <c r="F115" s="14" t="n">
        <v>9622.65</v>
      </c>
      <c r="G115" s="6" t="s">
        <v>2613</v>
      </c>
    </row>
    <row r="116" customFormat="false" ht="15" hidden="false" customHeight="true" outlineLevel="0" collapsed="false">
      <c r="A116" s="6" t="s">
        <v>2728</v>
      </c>
      <c r="B116" s="6" t="s">
        <v>196</v>
      </c>
      <c r="C116" s="6" t="s">
        <v>112</v>
      </c>
      <c r="D116" s="13" t="n">
        <v>44586</v>
      </c>
      <c r="E116" s="14" t="n">
        <v>3887.69</v>
      </c>
      <c r="F116" s="14" t="n">
        <v>13510.34</v>
      </c>
      <c r="G116" s="6" t="s">
        <v>2613</v>
      </c>
    </row>
    <row r="117" customFormat="false" ht="15" hidden="false" customHeight="true" outlineLevel="0" collapsed="false">
      <c r="A117" s="6" t="s">
        <v>2729</v>
      </c>
      <c r="B117" s="6" t="s">
        <v>196</v>
      </c>
      <c r="C117" s="6" t="s">
        <v>112</v>
      </c>
      <c r="D117" s="13" t="n">
        <v>44593</v>
      </c>
      <c r="E117" s="14" t="n">
        <v>5498.57</v>
      </c>
      <c r="F117" s="14" t="n">
        <v>19008.91</v>
      </c>
      <c r="G117" s="6" t="s">
        <v>2613</v>
      </c>
    </row>
    <row r="118" customFormat="false" ht="15" hidden="false" customHeight="true" outlineLevel="0" collapsed="false">
      <c r="A118" s="6" t="s">
        <v>2730</v>
      </c>
      <c r="B118" s="6" t="s">
        <v>196</v>
      </c>
      <c r="C118" s="6" t="s">
        <v>112</v>
      </c>
      <c r="D118" s="13" t="n">
        <v>44600</v>
      </c>
      <c r="E118" s="14" t="n">
        <v>4651.51</v>
      </c>
      <c r="F118" s="14" t="n">
        <v>23660.42</v>
      </c>
      <c r="G118" s="6" t="s">
        <v>2613</v>
      </c>
    </row>
    <row r="119" customFormat="false" ht="15" hidden="false" customHeight="true" outlineLevel="0" collapsed="false">
      <c r="A119" s="6" t="s">
        <v>2731</v>
      </c>
      <c r="B119" s="6" t="s">
        <v>196</v>
      </c>
      <c r="C119" s="6" t="s">
        <v>112</v>
      </c>
      <c r="D119" s="13" t="n">
        <v>44607</v>
      </c>
      <c r="E119" s="14" t="n">
        <v>5136.15</v>
      </c>
      <c r="F119" s="14" t="n">
        <v>28796.57</v>
      </c>
      <c r="G119" s="6" t="s">
        <v>2613</v>
      </c>
    </row>
    <row r="120" customFormat="false" ht="15" hidden="false" customHeight="true" outlineLevel="0" collapsed="false">
      <c r="A120" s="6" t="s">
        <v>2732</v>
      </c>
      <c r="B120" s="6" t="s">
        <v>198</v>
      </c>
      <c r="C120" s="6" t="s">
        <v>131</v>
      </c>
      <c r="D120" s="13" t="n">
        <v>45734</v>
      </c>
      <c r="E120" s="14" t="n">
        <v>1401.58</v>
      </c>
      <c r="F120" s="14" t="n">
        <v>1401.58</v>
      </c>
      <c r="G120" s="6" t="s">
        <v>2613</v>
      </c>
    </row>
    <row r="121" customFormat="false" ht="15" hidden="false" customHeight="true" outlineLevel="0" collapsed="false">
      <c r="A121" s="6" t="s">
        <v>2733</v>
      </c>
      <c r="B121" s="6" t="s">
        <v>198</v>
      </c>
      <c r="C121" s="6" t="s">
        <v>131</v>
      </c>
      <c r="D121" s="13" t="n">
        <v>45741</v>
      </c>
      <c r="E121" s="14" t="n">
        <v>2203.75</v>
      </c>
      <c r="F121" s="14" t="n">
        <v>3605.33</v>
      </c>
      <c r="G121" s="6" t="s">
        <v>2613</v>
      </c>
    </row>
    <row r="122" customFormat="false" ht="15" hidden="false" customHeight="true" outlineLevel="0" collapsed="false">
      <c r="A122" s="6" t="s">
        <v>2734</v>
      </c>
      <c r="B122" s="6" t="s">
        <v>198</v>
      </c>
      <c r="C122" s="6" t="s">
        <v>131</v>
      </c>
      <c r="D122" s="13" t="n">
        <v>45748</v>
      </c>
      <c r="E122" s="14" t="n">
        <v>2623.66</v>
      </c>
      <c r="F122" s="14" t="n">
        <v>6228.99</v>
      </c>
      <c r="G122" s="6" t="s">
        <v>2613</v>
      </c>
    </row>
    <row r="123" customFormat="false" ht="15" hidden="false" customHeight="true" outlineLevel="0" collapsed="false">
      <c r="A123" s="6" t="s">
        <v>2735</v>
      </c>
      <c r="B123" s="6" t="s">
        <v>198</v>
      </c>
      <c r="C123" s="6" t="s">
        <v>131</v>
      </c>
      <c r="D123" s="13" t="n">
        <v>45755</v>
      </c>
      <c r="E123" s="14" t="n">
        <v>2226.67</v>
      </c>
      <c r="F123" s="14" t="n">
        <v>8455.66</v>
      </c>
      <c r="G123" s="6" t="s">
        <v>2613</v>
      </c>
    </row>
    <row r="124" customFormat="false" ht="15" hidden="false" customHeight="true" outlineLevel="0" collapsed="false">
      <c r="A124" s="6" t="s">
        <v>2736</v>
      </c>
      <c r="B124" s="6" t="s">
        <v>198</v>
      </c>
      <c r="C124" s="6" t="s">
        <v>131</v>
      </c>
      <c r="D124" s="13" t="n">
        <v>45762</v>
      </c>
      <c r="E124" s="14" t="n">
        <v>2284.62</v>
      </c>
      <c r="F124" s="14" t="n">
        <v>10740.28</v>
      </c>
      <c r="G124" s="6" t="s">
        <v>2613</v>
      </c>
    </row>
    <row r="125" customFormat="false" ht="15" hidden="false" customHeight="true" outlineLevel="0" collapsed="false">
      <c r="A125" s="6" t="s">
        <v>2737</v>
      </c>
      <c r="B125" s="6" t="s">
        <v>198</v>
      </c>
      <c r="C125" s="6" t="s">
        <v>131</v>
      </c>
      <c r="D125" s="13" t="n">
        <v>45769</v>
      </c>
      <c r="E125" s="14" t="n">
        <v>2887.61</v>
      </c>
      <c r="F125" s="14" t="n">
        <v>13627.89</v>
      </c>
      <c r="G125" s="6" t="s">
        <v>2613</v>
      </c>
    </row>
    <row r="126" customFormat="false" ht="15" hidden="false" customHeight="true" outlineLevel="0" collapsed="false">
      <c r="A126" s="6" t="s">
        <v>2738</v>
      </c>
      <c r="B126" s="6" t="s">
        <v>198</v>
      </c>
      <c r="C126" s="6" t="s">
        <v>131</v>
      </c>
      <c r="D126" s="13" t="n">
        <v>45776</v>
      </c>
      <c r="E126" s="14" t="n">
        <v>1559.2</v>
      </c>
      <c r="F126" s="14" t="n">
        <v>15187.09</v>
      </c>
      <c r="G126" s="6" t="s">
        <v>2613</v>
      </c>
    </row>
    <row r="127" customFormat="false" ht="15" hidden="false" customHeight="true" outlineLevel="0" collapsed="false">
      <c r="A127" s="6" t="s">
        <v>2739</v>
      </c>
      <c r="B127" s="6" t="s">
        <v>198</v>
      </c>
      <c r="C127" s="6" t="s">
        <v>131</v>
      </c>
      <c r="D127" s="13" t="n">
        <v>45783</v>
      </c>
      <c r="E127" s="14" t="n">
        <v>2583.01</v>
      </c>
      <c r="F127" s="14" t="n">
        <v>17770.1</v>
      </c>
      <c r="G127" s="6" t="s">
        <v>2613</v>
      </c>
    </row>
    <row r="128" customFormat="false" ht="15" hidden="false" customHeight="true" outlineLevel="0" collapsed="false">
      <c r="A128" s="6" t="s">
        <v>2740</v>
      </c>
      <c r="B128" s="6" t="s">
        <v>198</v>
      </c>
      <c r="C128" s="6" t="s">
        <v>131</v>
      </c>
      <c r="D128" s="13" t="n">
        <v>45790</v>
      </c>
      <c r="E128" s="14" t="n">
        <v>2929.45</v>
      </c>
      <c r="F128" s="14" t="n">
        <v>20699.55</v>
      </c>
      <c r="G128" s="6" t="s">
        <v>2613</v>
      </c>
    </row>
    <row r="129" customFormat="false" ht="15" hidden="false" customHeight="true" outlineLevel="0" collapsed="false">
      <c r="A129" s="6" t="s">
        <v>2741</v>
      </c>
      <c r="B129" s="6" t="s">
        <v>198</v>
      </c>
      <c r="C129" s="6" t="s">
        <v>131</v>
      </c>
      <c r="D129" s="13" t="n">
        <v>45797</v>
      </c>
      <c r="E129" s="14" t="n">
        <v>2657.45</v>
      </c>
      <c r="F129" s="14" t="n">
        <v>23357</v>
      </c>
      <c r="G129" s="6" t="s">
        <v>2613</v>
      </c>
    </row>
    <row r="130" customFormat="false" ht="15" hidden="false" customHeight="true" outlineLevel="0" collapsed="false">
      <c r="A130" s="6" t="s">
        <v>2742</v>
      </c>
      <c r="B130" s="6" t="s">
        <v>198</v>
      </c>
      <c r="C130" s="6" t="s">
        <v>131</v>
      </c>
      <c r="D130" s="13" t="n">
        <v>45804</v>
      </c>
      <c r="E130" s="14" t="n">
        <v>1772.75</v>
      </c>
      <c r="F130" s="14" t="n">
        <v>25129.75</v>
      </c>
      <c r="G130" s="6" t="s">
        <v>2623</v>
      </c>
    </row>
    <row r="131" customFormat="false" ht="15" hidden="false" customHeight="true" outlineLevel="0" collapsed="false">
      <c r="A131" s="6" t="s">
        <v>2743</v>
      </c>
      <c r="B131" s="6" t="s">
        <v>198</v>
      </c>
      <c r="C131" s="6" t="s">
        <v>131</v>
      </c>
      <c r="D131" s="13" t="n">
        <v>45811</v>
      </c>
      <c r="E131" s="14" t="n">
        <v>1858.13</v>
      </c>
      <c r="F131" s="14" t="n">
        <v>26987.88</v>
      </c>
      <c r="G131" s="6" t="s">
        <v>2613</v>
      </c>
    </row>
    <row r="132" customFormat="false" ht="15" hidden="false" customHeight="true" outlineLevel="0" collapsed="false">
      <c r="A132" s="6" t="s">
        <v>2744</v>
      </c>
      <c r="B132" s="6" t="s">
        <v>198</v>
      </c>
      <c r="C132" s="6" t="s">
        <v>131</v>
      </c>
      <c r="D132" s="13" t="n">
        <v>45818</v>
      </c>
      <c r="E132" s="14" t="n">
        <v>2987.93</v>
      </c>
      <c r="F132" s="14" t="n">
        <v>29975.81</v>
      </c>
      <c r="G132" s="6" t="s">
        <v>2623</v>
      </c>
    </row>
    <row r="133" customFormat="false" ht="15" hidden="false" customHeight="true" outlineLevel="0" collapsed="false">
      <c r="A133" s="6" t="s">
        <v>2745</v>
      </c>
      <c r="B133" s="6" t="s">
        <v>198</v>
      </c>
      <c r="C133" s="6" t="s">
        <v>131</v>
      </c>
      <c r="D133" s="13" t="n">
        <v>45825</v>
      </c>
      <c r="E133" s="14" t="n">
        <v>2174.9</v>
      </c>
      <c r="F133" s="14" t="n">
        <v>32150.71</v>
      </c>
      <c r="G133" s="6" t="s">
        <v>2613</v>
      </c>
    </row>
    <row r="134" customFormat="false" ht="15" hidden="false" customHeight="true" outlineLevel="0" collapsed="false">
      <c r="A134" s="6" t="s">
        <v>2746</v>
      </c>
      <c r="B134" s="6" t="s">
        <v>198</v>
      </c>
      <c r="C134" s="6" t="s">
        <v>131</v>
      </c>
      <c r="D134" s="13" t="n">
        <v>45832</v>
      </c>
      <c r="E134" s="14" t="n">
        <v>1763.98</v>
      </c>
      <c r="F134" s="14" t="n">
        <v>33914.69</v>
      </c>
      <c r="G134" s="6" t="s">
        <v>2613</v>
      </c>
    </row>
    <row r="135" customFormat="false" ht="15" hidden="false" customHeight="true" outlineLevel="0" collapsed="false">
      <c r="A135" s="6" t="s">
        <v>2747</v>
      </c>
      <c r="B135" s="6" t="s">
        <v>198</v>
      </c>
      <c r="C135" s="6" t="s">
        <v>131</v>
      </c>
      <c r="D135" s="13" t="n">
        <v>45839</v>
      </c>
      <c r="E135" s="14" t="n">
        <v>3440.62</v>
      </c>
      <c r="F135" s="14" t="n">
        <v>37355.31</v>
      </c>
      <c r="G135" s="6" t="s">
        <v>2613</v>
      </c>
    </row>
    <row r="136" customFormat="false" ht="15" hidden="false" customHeight="true" outlineLevel="0" collapsed="false">
      <c r="A136" s="6" t="s">
        <v>2748</v>
      </c>
      <c r="B136" s="6" t="s">
        <v>202</v>
      </c>
      <c r="C136" s="6" t="s">
        <v>116</v>
      </c>
      <c r="D136" s="13" t="n">
        <v>45710</v>
      </c>
      <c r="E136" s="14" t="n">
        <v>5659.05</v>
      </c>
      <c r="F136" s="14" t="n">
        <v>5659.05</v>
      </c>
      <c r="G136" s="6" t="s">
        <v>2613</v>
      </c>
    </row>
    <row r="137" customFormat="false" ht="15" hidden="false" customHeight="true" outlineLevel="0" collapsed="false">
      <c r="A137" s="6" t="s">
        <v>2749</v>
      </c>
      <c r="B137" s="6" t="s">
        <v>202</v>
      </c>
      <c r="C137" s="6" t="s">
        <v>116</v>
      </c>
      <c r="D137" s="13" t="n">
        <v>45717</v>
      </c>
      <c r="E137" s="14" t="n">
        <v>6649.32</v>
      </c>
      <c r="F137" s="14" t="n">
        <v>12308.37</v>
      </c>
      <c r="G137" s="6" t="s">
        <v>2613</v>
      </c>
    </row>
    <row r="138" customFormat="false" ht="15" hidden="false" customHeight="true" outlineLevel="0" collapsed="false">
      <c r="A138" s="6" t="s">
        <v>2750</v>
      </c>
      <c r="B138" s="6" t="s">
        <v>202</v>
      </c>
      <c r="C138" s="6" t="s">
        <v>116</v>
      </c>
      <c r="D138" s="13" t="n">
        <v>45724</v>
      </c>
      <c r="E138" s="14" t="n">
        <v>6311.01</v>
      </c>
      <c r="F138" s="14" t="n">
        <v>18619.38</v>
      </c>
      <c r="G138" s="6" t="s">
        <v>2613</v>
      </c>
    </row>
    <row r="139" customFormat="false" ht="15" hidden="false" customHeight="true" outlineLevel="0" collapsed="false">
      <c r="A139" s="6" t="s">
        <v>2751</v>
      </c>
      <c r="B139" s="6" t="s">
        <v>202</v>
      </c>
      <c r="C139" s="6" t="s">
        <v>116</v>
      </c>
      <c r="D139" s="13" t="n">
        <v>45731</v>
      </c>
      <c r="E139" s="14" t="n">
        <v>7699.31</v>
      </c>
      <c r="F139" s="14" t="n">
        <v>26318.69</v>
      </c>
      <c r="G139" s="6" t="s">
        <v>2613</v>
      </c>
    </row>
    <row r="140" customFormat="false" ht="15" hidden="false" customHeight="true" outlineLevel="0" collapsed="false">
      <c r="A140" s="6" t="s">
        <v>2752</v>
      </c>
      <c r="B140" s="6" t="s">
        <v>202</v>
      </c>
      <c r="C140" s="6" t="s">
        <v>116</v>
      </c>
      <c r="D140" s="13" t="n">
        <v>45738</v>
      </c>
      <c r="E140" s="14" t="n">
        <v>6891.81</v>
      </c>
      <c r="F140" s="14" t="n">
        <v>33210.5</v>
      </c>
      <c r="G140" s="6" t="s">
        <v>2613</v>
      </c>
    </row>
    <row r="141" customFormat="false" ht="15" hidden="false" customHeight="true" outlineLevel="0" collapsed="false">
      <c r="A141" s="6" t="s">
        <v>2753</v>
      </c>
      <c r="B141" s="6" t="s">
        <v>202</v>
      </c>
      <c r="C141" s="6" t="s">
        <v>116</v>
      </c>
      <c r="D141" s="13" t="n">
        <v>45745</v>
      </c>
      <c r="E141" s="14" t="n">
        <v>7413.85</v>
      </c>
      <c r="F141" s="14" t="n">
        <v>40624.35</v>
      </c>
      <c r="G141" s="6" t="s">
        <v>2613</v>
      </c>
    </row>
    <row r="142" customFormat="false" ht="15" hidden="false" customHeight="true" outlineLevel="0" collapsed="false">
      <c r="A142" s="6" t="s">
        <v>2754</v>
      </c>
      <c r="B142" s="6" t="s">
        <v>202</v>
      </c>
      <c r="C142" s="6" t="s">
        <v>116</v>
      </c>
      <c r="D142" s="13" t="n">
        <v>45752</v>
      </c>
      <c r="E142" s="14" t="n">
        <v>7726.43</v>
      </c>
      <c r="F142" s="14" t="n">
        <v>48350.78</v>
      </c>
      <c r="G142" s="6" t="s">
        <v>2613</v>
      </c>
    </row>
    <row r="143" customFormat="false" ht="15" hidden="false" customHeight="true" outlineLevel="0" collapsed="false">
      <c r="A143" s="6" t="s">
        <v>2755</v>
      </c>
      <c r="B143" s="6" t="s">
        <v>202</v>
      </c>
      <c r="C143" s="6" t="s">
        <v>116</v>
      </c>
      <c r="D143" s="13" t="n">
        <v>45759</v>
      </c>
      <c r="E143" s="14" t="n">
        <v>4418.7</v>
      </c>
      <c r="F143" s="14" t="n">
        <v>52769.48</v>
      </c>
      <c r="G143" s="6" t="s">
        <v>2613</v>
      </c>
    </row>
    <row r="144" customFormat="false" ht="15" hidden="false" customHeight="true" outlineLevel="0" collapsed="false">
      <c r="A144" s="6" t="s">
        <v>2756</v>
      </c>
      <c r="B144" s="6" t="s">
        <v>204</v>
      </c>
      <c r="C144" s="6" t="s">
        <v>116</v>
      </c>
      <c r="D144" s="13" t="n">
        <v>45675</v>
      </c>
      <c r="E144" s="14" t="n">
        <v>2996.64</v>
      </c>
      <c r="F144" s="14" t="n">
        <v>2996.64</v>
      </c>
      <c r="G144" s="6" t="s">
        <v>2613</v>
      </c>
    </row>
    <row r="145" customFormat="false" ht="15" hidden="false" customHeight="true" outlineLevel="0" collapsed="false">
      <c r="A145" s="6" t="s">
        <v>2757</v>
      </c>
      <c r="B145" s="6" t="s">
        <v>204</v>
      </c>
      <c r="C145" s="6" t="s">
        <v>116</v>
      </c>
      <c r="D145" s="13" t="n">
        <v>45682</v>
      </c>
      <c r="E145" s="14" t="n">
        <v>2549.45</v>
      </c>
      <c r="F145" s="14" t="n">
        <v>5546.09</v>
      </c>
      <c r="G145" s="6" t="s">
        <v>2613</v>
      </c>
    </row>
    <row r="146" customFormat="false" ht="15" hidden="false" customHeight="true" outlineLevel="0" collapsed="false">
      <c r="A146" s="6" t="s">
        <v>2758</v>
      </c>
      <c r="B146" s="6" t="s">
        <v>204</v>
      </c>
      <c r="C146" s="6" t="s">
        <v>116</v>
      </c>
      <c r="D146" s="13" t="n">
        <v>45689</v>
      </c>
      <c r="E146" s="14" t="n">
        <v>2858.71</v>
      </c>
      <c r="F146" s="14" t="n">
        <v>8404.8</v>
      </c>
      <c r="G146" s="6" t="s">
        <v>2613</v>
      </c>
    </row>
    <row r="147" customFormat="false" ht="15" hidden="false" customHeight="true" outlineLevel="0" collapsed="false">
      <c r="A147" s="6" t="s">
        <v>2759</v>
      </c>
      <c r="B147" s="6" t="s">
        <v>204</v>
      </c>
      <c r="C147" s="6" t="s">
        <v>116</v>
      </c>
      <c r="D147" s="13" t="n">
        <v>45696</v>
      </c>
      <c r="E147" s="14" t="n">
        <v>2148.27</v>
      </c>
      <c r="F147" s="14" t="n">
        <v>10553.07</v>
      </c>
      <c r="G147" s="6" t="s">
        <v>2613</v>
      </c>
    </row>
    <row r="148" customFormat="false" ht="15" hidden="false" customHeight="true" outlineLevel="0" collapsed="false">
      <c r="A148" s="6" t="s">
        <v>2760</v>
      </c>
      <c r="B148" s="6" t="s">
        <v>204</v>
      </c>
      <c r="C148" s="6" t="s">
        <v>116</v>
      </c>
      <c r="D148" s="13" t="n">
        <v>45703</v>
      </c>
      <c r="E148" s="14" t="n">
        <v>3013.68</v>
      </c>
      <c r="F148" s="14" t="n">
        <v>13566.75</v>
      </c>
      <c r="G148" s="6" t="s">
        <v>2613</v>
      </c>
    </row>
    <row r="149" customFormat="false" ht="15" hidden="false" customHeight="true" outlineLevel="0" collapsed="false">
      <c r="A149" s="6" t="s">
        <v>2761</v>
      </c>
      <c r="B149" s="6" t="s">
        <v>204</v>
      </c>
      <c r="C149" s="6" t="s">
        <v>116</v>
      </c>
      <c r="D149" s="13" t="n">
        <v>45710</v>
      </c>
      <c r="E149" s="14" t="n">
        <v>4485.73</v>
      </c>
      <c r="F149" s="14" t="n">
        <v>18052.48</v>
      </c>
      <c r="G149" s="6" t="s">
        <v>2623</v>
      </c>
    </row>
    <row r="150" customFormat="false" ht="15" hidden="false" customHeight="true" outlineLevel="0" collapsed="false">
      <c r="A150" s="6" t="s">
        <v>2762</v>
      </c>
      <c r="B150" s="6" t="s">
        <v>204</v>
      </c>
      <c r="C150" s="6" t="s">
        <v>116</v>
      </c>
      <c r="D150" s="13" t="n">
        <v>45717</v>
      </c>
      <c r="E150" s="14" t="n">
        <v>4312.75</v>
      </c>
      <c r="F150" s="14" t="n">
        <v>22365.23</v>
      </c>
      <c r="G150" s="6" t="s">
        <v>2613</v>
      </c>
    </row>
    <row r="151" customFormat="false" ht="15" hidden="false" customHeight="true" outlineLevel="0" collapsed="false">
      <c r="A151" s="6" t="s">
        <v>2763</v>
      </c>
      <c r="B151" s="6" t="s">
        <v>204</v>
      </c>
      <c r="C151" s="6" t="s">
        <v>116</v>
      </c>
      <c r="D151" s="13" t="n">
        <v>45724</v>
      </c>
      <c r="E151" s="14" t="n">
        <v>3245.11</v>
      </c>
      <c r="F151" s="14" t="n">
        <v>25610.34</v>
      </c>
      <c r="G151" s="6" t="s">
        <v>2613</v>
      </c>
    </row>
    <row r="152" customFormat="false" ht="15" hidden="false" customHeight="true" outlineLevel="0" collapsed="false">
      <c r="A152" s="6" t="s">
        <v>2764</v>
      </c>
      <c r="B152" s="6" t="s">
        <v>204</v>
      </c>
      <c r="C152" s="6" t="s">
        <v>116</v>
      </c>
      <c r="D152" s="13" t="n">
        <v>45731</v>
      </c>
      <c r="E152" s="14" t="n">
        <v>2773.36</v>
      </c>
      <c r="F152" s="14" t="n">
        <v>28383.7</v>
      </c>
      <c r="G152" s="6" t="s">
        <v>2613</v>
      </c>
    </row>
    <row r="153" customFormat="false" ht="15" hidden="false" customHeight="true" outlineLevel="0" collapsed="false">
      <c r="A153" s="6" t="s">
        <v>2765</v>
      </c>
      <c r="B153" s="6" t="s">
        <v>204</v>
      </c>
      <c r="C153" s="6" t="s">
        <v>116</v>
      </c>
      <c r="D153" s="13" t="n">
        <v>45738</v>
      </c>
      <c r="E153" s="14" t="n">
        <v>4341.8</v>
      </c>
      <c r="F153" s="14" t="n">
        <v>32725.5</v>
      </c>
      <c r="G153" s="6" t="s">
        <v>2613</v>
      </c>
    </row>
    <row r="154" customFormat="false" ht="15" hidden="false" customHeight="true" outlineLevel="0" collapsed="false">
      <c r="A154" s="6" t="s">
        <v>2766</v>
      </c>
      <c r="B154" s="6" t="s">
        <v>204</v>
      </c>
      <c r="C154" s="6" t="s">
        <v>116</v>
      </c>
      <c r="D154" s="13" t="n">
        <v>45745</v>
      </c>
      <c r="E154" s="14" t="n">
        <v>3407.07</v>
      </c>
      <c r="F154" s="14" t="n">
        <v>36132.57</v>
      </c>
      <c r="G154" s="6" t="s">
        <v>2613</v>
      </c>
    </row>
    <row r="155" customFormat="false" ht="15" hidden="false" customHeight="true" outlineLevel="0" collapsed="false">
      <c r="A155" s="6" t="s">
        <v>2767</v>
      </c>
      <c r="B155" s="6" t="s">
        <v>204</v>
      </c>
      <c r="C155" s="6" t="s">
        <v>116</v>
      </c>
      <c r="D155" s="13" t="n">
        <v>45752</v>
      </c>
      <c r="E155" s="14" t="n">
        <v>4099.08</v>
      </c>
      <c r="F155" s="14" t="n">
        <v>40231.65</v>
      </c>
      <c r="G155" s="6" t="s">
        <v>2613</v>
      </c>
    </row>
    <row r="156" customFormat="false" ht="15" hidden="false" customHeight="true" outlineLevel="0" collapsed="false">
      <c r="A156" s="6" t="s">
        <v>2768</v>
      </c>
      <c r="B156" s="6" t="s">
        <v>204</v>
      </c>
      <c r="C156" s="6" t="s">
        <v>116</v>
      </c>
      <c r="D156" s="13" t="n">
        <v>45759</v>
      </c>
      <c r="E156" s="14" t="n">
        <v>2746.21</v>
      </c>
      <c r="F156" s="14" t="n">
        <v>42977.86</v>
      </c>
      <c r="G156" s="6" t="s">
        <v>2613</v>
      </c>
    </row>
    <row r="157" customFormat="false" ht="15" hidden="false" customHeight="true" outlineLevel="0" collapsed="false">
      <c r="A157" s="6" t="s">
        <v>2769</v>
      </c>
      <c r="B157" s="6" t="s">
        <v>208</v>
      </c>
      <c r="C157" s="6" t="s">
        <v>120</v>
      </c>
      <c r="D157" s="13" t="n">
        <v>45662</v>
      </c>
      <c r="E157" s="14" t="n">
        <v>560.44</v>
      </c>
      <c r="F157" s="14" t="n">
        <v>560.44</v>
      </c>
      <c r="G157" s="6" t="s">
        <v>2623</v>
      </c>
    </row>
    <row r="158" customFormat="false" ht="15" hidden="false" customHeight="true" outlineLevel="0" collapsed="false">
      <c r="A158" s="6" t="s">
        <v>2770</v>
      </c>
      <c r="B158" s="6" t="s">
        <v>208</v>
      </c>
      <c r="C158" s="6" t="s">
        <v>120</v>
      </c>
      <c r="D158" s="13" t="n">
        <v>45669</v>
      </c>
      <c r="E158" s="14" t="n">
        <v>593.85</v>
      </c>
      <c r="F158" s="14" t="n">
        <v>1154.29</v>
      </c>
      <c r="G158" s="6" t="s">
        <v>2613</v>
      </c>
    </row>
    <row r="159" customFormat="false" ht="15" hidden="false" customHeight="true" outlineLevel="0" collapsed="false">
      <c r="A159" s="6" t="s">
        <v>2771</v>
      </c>
      <c r="B159" s="6" t="s">
        <v>208</v>
      </c>
      <c r="C159" s="6" t="s">
        <v>120</v>
      </c>
      <c r="D159" s="13" t="n">
        <v>45676</v>
      </c>
      <c r="E159" s="14" t="n">
        <v>516.65</v>
      </c>
      <c r="F159" s="14" t="n">
        <v>1670.94</v>
      </c>
      <c r="G159" s="6" t="s">
        <v>2623</v>
      </c>
    </row>
    <row r="160" customFormat="false" ht="15" hidden="false" customHeight="true" outlineLevel="0" collapsed="false">
      <c r="A160" s="6" t="s">
        <v>2772</v>
      </c>
      <c r="B160" s="6" t="s">
        <v>208</v>
      </c>
      <c r="C160" s="6" t="s">
        <v>120</v>
      </c>
      <c r="D160" s="13" t="n">
        <v>45683</v>
      </c>
      <c r="E160" s="14" t="n">
        <v>481.44</v>
      </c>
      <c r="F160" s="14" t="n">
        <v>2152.38</v>
      </c>
      <c r="G160" s="6" t="s">
        <v>2613</v>
      </c>
    </row>
    <row r="161" customFormat="false" ht="15" hidden="false" customHeight="true" outlineLevel="0" collapsed="false">
      <c r="A161" s="6" t="s">
        <v>2773</v>
      </c>
      <c r="B161" s="6" t="s">
        <v>208</v>
      </c>
      <c r="C161" s="6" t="s">
        <v>120</v>
      </c>
      <c r="D161" s="13" t="n">
        <v>45690</v>
      </c>
      <c r="E161" s="14" t="n">
        <v>459.15</v>
      </c>
      <c r="F161" s="14" t="n">
        <v>2611.53</v>
      </c>
      <c r="G161" s="6" t="s">
        <v>2613</v>
      </c>
    </row>
    <row r="162" customFormat="false" ht="15" hidden="false" customHeight="true" outlineLevel="0" collapsed="false">
      <c r="A162" s="6" t="s">
        <v>2774</v>
      </c>
      <c r="B162" s="6" t="s">
        <v>208</v>
      </c>
      <c r="C162" s="6" t="s">
        <v>120</v>
      </c>
      <c r="D162" s="13" t="n">
        <v>45697</v>
      </c>
      <c r="E162" s="14" t="n">
        <v>481.45</v>
      </c>
      <c r="F162" s="14" t="n">
        <v>3092.98</v>
      </c>
      <c r="G162" s="6" t="s">
        <v>2613</v>
      </c>
    </row>
    <row r="163" customFormat="false" ht="15" hidden="false" customHeight="true" outlineLevel="0" collapsed="false">
      <c r="A163" s="6" t="s">
        <v>2775</v>
      </c>
      <c r="B163" s="6" t="s">
        <v>208</v>
      </c>
      <c r="C163" s="6" t="s">
        <v>120</v>
      </c>
      <c r="D163" s="13" t="n">
        <v>45704</v>
      </c>
      <c r="E163" s="14" t="n">
        <v>674.51</v>
      </c>
      <c r="F163" s="14" t="n">
        <v>3767.49</v>
      </c>
      <c r="G163" s="6" t="s">
        <v>2613</v>
      </c>
    </row>
    <row r="164" customFormat="false" ht="15" hidden="false" customHeight="true" outlineLevel="0" collapsed="false">
      <c r="A164" s="6" t="s">
        <v>2776</v>
      </c>
      <c r="B164" s="6" t="s">
        <v>208</v>
      </c>
      <c r="C164" s="6" t="s">
        <v>120</v>
      </c>
      <c r="D164" s="13" t="n">
        <v>45711</v>
      </c>
      <c r="E164" s="14" t="n">
        <v>354.71</v>
      </c>
      <c r="F164" s="14" t="n">
        <v>4122.2</v>
      </c>
      <c r="G164" s="6" t="s">
        <v>2623</v>
      </c>
    </row>
    <row r="165" customFormat="false" ht="15" hidden="false" customHeight="true" outlineLevel="0" collapsed="false">
      <c r="A165" s="6" t="s">
        <v>2777</v>
      </c>
      <c r="B165" s="6" t="s">
        <v>208</v>
      </c>
      <c r="C165" s="6" t="s">
        <v>120</v>
      </c>
      <c r="D165" s="13" t="n">
        <v>45718</v>
      </c>
      <c r="E165" s="14" t="n">
        <v>549.79</v>
      </c>
      <c r="F165" s="14" t="n">
        <v>4671.99</v>
      </c>
      <c r="G165" s="6" t="s">
        <v>2613</v>
      </c>
    </row>
    <row r="166" customFormat="false" ht="15" hidden="false" customHeight="true" outlineLevel="0" collapsed="false">
      <c r="A166" s="6" t="s">
        <v>2778</v>
      </c>
      <c r="B166" s="6" t="s">
        <v>208</v>
      </c>
      <c r="C166" s="6" t="s">
        <v>120</v>
      </c>
      <c r="D166" s="13" t="n">
        <v>45725</v>
      </c>
      <c r="E166" s="14" t="n">
        <v>469.01</v>
      </c>
      <c r="F166" s="14" t="n">
        <v>5141</v>
      </c>
      <c r="G166" s="6" t="s">
        <v>2613</v>
      </c>
    </row>
    <row r="167" customFormat="false" ht="15" hidden="false" customHeight="true" outlineLevel="0" collapsed="false">
      <c r="A167" s="6" t="s">
        <v>2779</v>
      </c>
      <c r="B167" s="6" t="s">
        <v>208</v>
      </c>
      <c r="C167" s="6" t="s">
        <v>120</v>
      </c>
      <c r="D167" s="13" t="n">
        <v>45732</v>
      </c>
      <c r="E167" s="14" t="n">
        <v>652.9</v>
      </c>
      <c r="F167" s="14" t="n">
        <v>5793.9</v>
      </c>
      <c r="G167" s="6" t="s">
        <v>2613</v>
      </c>
    </row>
    <row r="168" customFormat="false" ht="15" hidden="false" customHeight="true" outlineLevel="0" collapsed="false">
      <c r="A168" s="6" t="s">
        <v>2780</v>
      </c>
      <c r="B168" s="6" t="s">
        <v>208</v>
      </c>
      <c r="C168" s="6" t="s">
        <v>120</v>
      </c>
      <c r="D168" s="13" t="n">
        <v>45739</v>
      </c>
      <c r="E168" s="14" t="n">
        <v>601.91</v>
      </c>
      <c r="F168" s="14" t="n">
        <v>6395.81</v>
      </c>
      <c r="G168" s="6" t="s">
        <v>2613</v>
      </c>
    </row>
    <row r="169" customFormat="false" ht="15" hidden="false" customHeight="true" outlineLevel="0" collapsed="false">
      <c r="A169" s="6" t="s">
        <v>2781</v>
      </c>
      <c r="B169" s="6" t="s">
        <v>212</v>
      </c>
      <c r="C169" s="6" t="s">
        <v>116</v>
      </c>
      <c r="D169" s="13" t="n">
        <v>44912</v>
      </c>
      <c r="E169" s="14" t="n">
        <v>7461.66</v>
      </c>
      <c r="F169" s="14" t="n">
        <v>7461.66</v>
      </c>
      <c r="G169" s="6" t="s">
        <v>2613</v>
      </c>
    </row>
    <row r="170" customFormat="false" ht="15" hidden="false" customHeight="true" outlineLevel="0" collapsed="false">
      <c r="A170" s="6" t="s">
        <v>2782</v>
      </c>
      <c r="B170" s="6" t="s">
        <v>212</v>
      </c>
      <c r="C170" s="6" t="s">
        <v>116</v>
      </c>
      <c r="D170" s="13" t="n">
        <v>44919</v>
      </c>
      <c r="E170" s="14" t="n">
        <v>4643.43</v>
      </c>
      <c r="F170" s="14" t="n">
        <v>12105.09</v>
      </c>
      <c r="G170" s="6" t="s">
        <v>2613</v>
      </c>
    </row>
    <row r="171" customFormat="false" ht="15" hidden="false" customHeight="true" outlineLevel="0" collapsed="false">
      <c r="A171" s="6" t="s">
        <v>2783</v>
      </c>
      <c r="B171" s="6" t="s">
        <v>212</v>
      </c>
      <c r="C171" s="6" t="s">
        <v>116</v>
      </c>
      <c r="D171" s="13" t="n">
        <v>44926</v>
      </c>
      <c r="E171" s="14" t="n">
        <v>6751.89</v>
      </c>
      <c r="F171" s="14" t="n">
        <v>18856.98</v>
      </c>
      <c r="G171" s="6" t="s">
        <v>2613</v>
      </c>
    </row>
    <row r="172" customFormat="false" ht="15" hidden="false" customHeight="true" outlineLevel="0" collapsed="false">
      <c r="A172" s="6" t="s">
        <v>2784</v>
      </c>
      <c r="B172" s="6" t="s">
        <v>212</v>
      </c>
      <c r="C172" s="6" t="s">
        <v>116</v>
      </c>
      <c r="D172" s="13" t="n">
        <v>44933</v>
      </c>
      <c r="E172" s="14" t="n">
        <v>6737.22</v>
      </c>
      <c r="F172" s="14" t="n">
        <v>25594.2</v>
      </c>
      <c r="G172" s="6" t="s">
        <v>2613</v>
      </c>
    </row>
    <row r="173" customFormat="false" ht="15" hidden="false" customHeight="true" outlineLevel="0" collapsed="false">
      <c r="A173" s="6" t="s">
        <v>2785</v>
      </c>
      <c r="B173" s="6" t="s">
        <v>212</v>
      </c>
      <c r="C173" s="6" t="s">
        <v>116</v>
      </c>
      <c r="D173" s="13" t="n">
        <v>44940</v>
      </c>
      <c r="E173" s="14" t="n">
        <v>5718.4</v>
      </c>
      <c r="F173" s="14" t="n">
        <v>31312.6</v>
      </c>
      <c r="G173" s="6" t="s">
        <v>2613</v>
      </c>
    </row>
    <row r="174" customFormat="false" ht="15" hidden="false" customHeight="true" outlineLevel="0" collapsed="false">
      <c r="A174" s="6" t="s">
        <v>2786</v>
      </c>
      <c r="B174" s="6" t="s">
        <v>212</v>
      </c>
      <c r="C174" s="6" t="s">
        <v>116</v>
      </c>
      <c r="D174" s="13" t="n">
        <v>44947</v>
      </c>
      <c r="E174" s="14" t="n">
        <v>4819.07</v>
      </c>
      <c r="F174" s="14" t="n">
        <v>36131.67</v>
      </c>
      <c r="G174" s="6" t="s">
        <v>2613</v>
      </c>
    </row>
    <row r="175" customFormat="false" ht="15" hidden="false" customHeight="true" outlineLevel="0" collapsed="false">
      <c r="A175" s="6" t="s">
        <v>2787</v>
      </c>
      <c r="B175" s="6" t="s">
        <v>212</v>
      </c>
      <c r="C175" s="6" t="s">
        <v>116</v>
      </c>
      <c r="D175" s="13" t="n">
        <v>44954</v>
      </c>
      <c r="E175" s="14" t="n">
        <v>8332.66</v>
      </c>
      <c r="F175" s="14" t="n">
        <v>44464.33</v>
      </c>
      <c r="G175" s="6" t="s">
        <v>2613</v>
      </c>
    </row>
    <row r="176" customFormat="false" ht="15" hidden="false" customHeight="true" outlineLevel="0" collapsed="false">
      <c r="A176" s="6" t="s">
        <v>2788</v>
      </c>
      <c r="B176" s="6" t="s">
        <v>214</v>
      </c>
      <c r="C176" s="6" t="s">
        <v>116</v>
      </c>
      <c r="D176" s="13" t="n">
        <v>45267</v>
      </c>
      <c r="E176" s="14" t="n">
        <v>5063.58</v>
      </c>
      <c r="F176" s="14" t="n">
        <v>5063.58</v>
      </c>
      <c r="G176" s="6" t="s">
        <v>2613</v>
      </c>
    </row>
    <row r="177" customFormat="false" ht="15" hidden="false" customHeight="true" outlineLevel="0" collapsed="false">
      <c r="A177" s="6" t="s">
        <v>2789</v>
      </c>
      <c r="B177" s="6" t="s">
        <v>214</v>
      </c>
      <c r="C177" s="6" t="s">
        <v>116</v>
      </c>
      <c r="D177" s="13" t="n">
        <v>45274</v>
      </c>
      <c r="E177" s="14" t="n">
        <v>4540.92</v>
      </c>
      <c r="F177" s="14" t="n">
        <v>9604.5</v>
      </c>
      <c r="G177" s="6" t="s">
        <v>2613</v>
      </c>
    </row>
    <row r="178" customFormat="false" ht="15" hidden="false" customHeight="true" outlineLevel="0" collapsed="false">
      <c r="A178" s="6" t="s">
        <v>2790</v>
      </c>
      <c r="B178" s="6" t="s">
        <v>214</v>
      </c>
      <c r="C178" s="6" t="s">
        <v>116</v>
      </c>
      <c r="D178" s="13" t="n">
        <v>45281</v>
      </c>
      <c r="E178" s="14" t="n">
        <v>4939.21</v>
      </c>
      <c r="F178" s="14" t="n">
        <v>14543.71</v>
      </c>
      <c r="G178" s="6" t="s">
        <v>2613</v>
      </c>
    </row>
    <row r="179" customFormat="false" ht="15" hidden="false" customHeight="true" outlineLevel="0" collapsed="false">
      <c r="A179" s="6" t="s">
        <v>2791</v>
      </c>
      <c r="B179" s="6" t="s">
        <v>214</v>
      </c>
      <c r="C179" s="6" t="s">
        <v>116</v>
      </c>
      <c r="D179" s="13" t="n">
        <v>45288</v>
      </c>
      <c r="E179" s="14" t="n">
        <v>3781.3</v>
      </c>
      <c r="F179" s="14" t="n">
        <v>18325.01</v>
      </c>
      <c r="G179" s="6" t="s">
        <v>2613</v>
      </c>
    </row>
    <row r="180" customFormat="false" ht="15" hidden="false" customHeight="true" outlineLevel="0" collapsed="false">
      <c r="A180" s="6" t="s">
        <v>2792</v>
      </c>
      <c r="B180" s="6" t="s">
        <v>214</v>
      </c>
      <c r="C180" s="6" t="s">
        <v>116</v>
      </c>
      <c r="D180" s="13" t="n">
        <v>45295</v>
      </c>
      <c r="E180" s="14" t="n">
        <v>5717.89</v>
      </c>
      <c r="F180" s="14" t="n">
        <v>24042.9</v>
      </c>
      <c r="G180" s="6" t="s">
        <v>2613</v>
      </c>
    </row>
    <row r="181" customFormat="false" ht="15" hidden="false" customHeight="true" outlineLevel="0" collapsed="false">
      <c r="A181" s="6" t="s">
        <v>2793</v>
      </c>
      <c r="B181" s="6" t="s">
        <v>214</v>
      </c>
      <c r="C181" s="6" t="s">
        <v>116</v>
      </c>
      <c r="D181" s="13" t="n">
        <v>45302</v>
      </c>
      <c r="E181" s="14" t="n">
        <v>6816.83</v>
      </c>
      <c r="F181" s="14" t="n">
        <v>30859.73</v>
      </c>
      <c r="G181" s="6" t="s">
        <v>2613</v>
      </c>
    </row>
    <row r="182" customFormat="false" ht="15" hidden="false" customHeight="true" outlineLevel="0" collapsed="false">
      <c r="A182" s="6" t="s">
        <v>2794</v>
      </c>
      <c r="B182" s="6" t="s">
        <v>214</v>
      </c>
      <c r="C182" s="6" t="s">
        <v>116</v>
      </c>
      <c r="D182" s="13" t="n">
        <v>45309</v>
      </c>
      <c r="E182" s="14" t="n">
        <v>4960.17</v>
      </c>
      <c r="F182" s="14" t="n">
        <v>35819.9</v>
      </c>
      <c r="G182" s="6" t="s">
        <v>2613</v>
      </c>
    </row>
    <row r="183" customFormat="false" ht="15" hidden="false" customHeight="true" outlineLevel="0" collapsed="false">
      <c r="A183" s="6" t="s">
        <v>2795</v>
      </c>
      <c r="B183" s="6" t="s">
        <v>214</v>
      </c>
      <c r="C183" s="6" t="s">
        <v>116</v>
      </c>
      <c r="D183" s="13" t="n">
        <v>45316</v>
      </c>
      <c r="E183" s="14" t="n">
        <v>5008.81</v>
      </c>
      <c r="F183" s="14" t="n">
        <v>40828.71</v>
      </c>
      <c r="G183" s="6" t="s">
        <v>2613</v>
      </c>
    </row>
    <row r="184" customFormat="false" ht="15" hidden="false" customHeight="true" outlineLevel="0" collapsed="false">
      <c r="A184" s="6" t="s">
        <v>2796</v>
      </c>
      <c r="B184" s="6" t="s">
        <v>216</v>
      </c>
      <c r="C184" s="6" t="s">
        <v>120</v>
      </c>
      <c r="D184" s="13" t="n">
        <v>45295</v>
      </c>
      <c r="E184" s="14" t="n">
        <v>2305.14</v>
      </c>
      <c r="F184" s="14" t="n">
        <v>2305.14</v>
      </c>
      <c r="G184" s="6" t="s">
        <v>2613</v>
      </c>
    </row>
    <row r="185" customFormat="false" ht="15" hidden="false" customHeight="true" outlineLevel="0" collapsed="false">
      <c r="A185" s="6" t="s">
        <v>2797</v>
      </c>
      <c r="B185" s="6" t="s">
        <v>216</v>
      </c>
      <c r="C185" s="6" t="s">
        <v>120</v>
      </c>
      <c r="D185" s="13" t="n">
        <v>45302</v>
      </c>
      <c r="E185" s="14" t="n">
        <v>1451.06</v>
      </c>
      <c r="F185" s="14" t="n">
        <v>3756.2</v>
      </c>
      <c r="G185" s="6" t="s">
        <v>2623</v>
      </c>
    </row>
    <row r="186" customFormat="false" ht="15" hidden="false" customHeight="true" outlineLevel="0" collapsed="false">
      <c r="A186" s="6" t="s">
        <v>2798</v>
      </c>
      <c r="B186" s="6" t="s">
        <v>216</v>
      </c>
      <c r="C186" s="6" t="s">
        <v>120</v>
      </c>
      <c r="D186" s="13" t="n">
        <v>45309</v>
      </c>
      <c r="E186" s="14" t="n">
        <v>2400.92</v>
      </c>
      <c r="F186" s="14" t="n">
        <v>6157.12</v>
      </c>
      <c r="G186" s="6" t="s">
        <v>2623</v>
      </c>
    </row>
    <row r="187" customFormat="false" ht="15" hidden="false" customHeight="true" outlineLevel="0" collapsed="false">
      <c r="A187" s="6" t="s">
        <v>2799</v>
      </c>
      <c r="B187" s="6" t="s">
        <v>216</v>
      </c>
      <c r="C187" s="6" t="s">
        <v>120</v>
      </c>
      <c r="D187" s="13" t="n">
        <v>45316</v>
      </c>
      <c r="E187" s="14" t="n">
        <v>2078.57</v>
      </c>
      <c r="F187" s="14" t="n">
        <v>8235.69</v>
      </c>
      <c r="G187" s="6" t="s">
        <v>2613</v>
      </c>
    </row>
    <row r="188" customFormat="false" ht="15" hidden="false" customHeight="true" outlineLevel="0" collapsed="false">
      <c r="A188" s="6" t="s">
        <v>2800</v>
      </c>
      <c r="B188" s="6" t="s">
        <v>216</v>
      </c>
      <c r="C188" s="6" t="s">
        <v>120</v>
      </c>
      <c r="D188" s="13" t="n">
        <v>45323</v>
      </c>
      <c r="E188" s="14" t="n">
        <v>2132.42</v>
      </c>
      <c r="F188" s="14" t="n">
        <v>10368.11</v>
      </c>
      <c r="G188" s="6" t="s">
        <v>2613</v>
      </c>
    </row>
    <row r="189" customFormat="false" ht="15" hidden="false" customHeight="true" outlineLevel="0" collapsed="false">
      <c r="A189" s="6" t="s">
        <v>2801</v>
      </c>
      <c r="B189" s="6" t="s">
        <v>216</v>
      </c>
      <c r="C189" s="6" t="s">
        <v>120</v>
      </c>
      <c r="D189" s="13" t="n">
        <v>45330</v>
      </c>
      <c r="E189" s="14" t="n">
        <v>1973.69</v>
      </c>
      <c r="F189" s="14" t="n">
        <v>12341.8</v>
      </c>
      <c r="G189" s="6" t="s">
        <v>2613</v>
      </c>
    </row>
    <row r="190" customFormat="false" ht="15" hidden="false" customHeight="true" outlineLevel="0" collapsed="false">
      <c r="A190" s="6" t="s">
        <v>2802</v>
      </c>
      <c r="B190" s="6" t="s">
        <v>216</v>
      </c>
      <c r="C190" s="6" t="s">
        <v>120</v>
      </c>
      <c r="D190" s="13" t="n">
        <v>45337</v>
      </c>
      <c r="E190" s="14" t="n">
        <v>1797.38</v>
      </c>
      <c r="F190" s="14" t="n">
        <v>14139.18</v>
      </c>
      <c r="G190" s="6" t="s">
        <v>2623</v>
      </c>
    </row>
    <row r="191" customFormat="false" ht="15" hidden="false" customHeight="true" outlineLevel="0" collapsed="false">
      <c r="A191" s="6" t="s">
        <v>2803</v>
      </c>
      <c r="B191" s="6" t="s">
        <v>220</v>
      </c>
      <c r="C191" s="6" t="s">
        <v>116</v>
      </c>
      <c r="D191" s="13" t="n">
        <v>45123</v>
      </c>
      <c r="E191" s="14" t="n">
        <v>4851.39</v>
      </c>
      <c r="F191" s="14" t="n">
        <v>4851.39</v>
      </c>
      <c r="G191" s="6" t="s">
        <v>2613</v>
      </c>
    </row>
    <row r="192" customFormat="false" ht="15" hidden="false" customHeight="true" outlineLevel="0" collapsed="false">
      <c r="A192" s="6" t="s">
        <v>2804</v>
      </c>
      <c r="B192" s="6" t="s">
        <v>220</v>
      </c>
      <c r="C192" s="6" t="s">
        <v>116</v>
      </c>
      <c r="D192" s="13" t="n">
        <v>45130</v>
      </c>
      <c r="E192" s="14" t="n">
        <v>4922.6</v>
      </c>
      <c r="F192" s="14" t="n">
        <v>9773.99</v>
      </c>
      <c r="G192" s="6" t="s">
        <v>2613</v>
      </c>
    </row>
    <row r="193" customFormat="false" ht="15" hidden="false" customHeight="true" outlineLevel="0" collapsed="false">
      <c r="A193" s="6" t="s">
        <v>2805</v>
      </c>
      <c r="B193" s="6" t="s">
        <v>220</v>
      </c>
      <c r="C193" s="6" t="s">
        <v>116</v>
      </c>
      <c r="D193" s="13" t="n">
        <v>45137</v>
      </c>
      <c r="E193" s="14" t="n">
        <v>4748.77</v>
      </c>
      <c r="F193" s="14" t="n">
        <v>14522.76</v>
      </c>
      <c r="G193" s="6" t="s">
        <v>2613</v>
      </c>
    </row>
    <row r="194" customFormat="false" ht="15" hidden="false" customHeight="true" outlineLevel="0" collapsed="false">
      <c r="A194" s="6" t="s">
        <v>2806</v>
      </c>
      <c r="B194" s="6" t="s">
        <v>220</v>
      </c>
      <c r="C194" s="6" t="s">
        <v>116</v>
      </c>
      <c r="D194" s="13" t="n">
        <v>45144</v>
      </c>
      <c r="E194" s="14" t="n">
        <v>4908.5</v>
      </c>
      <c r="F194" s="14" t="n">
        <v>19431.26</v>
      </c>
      <c r="G194" s="6" t="s">
        <v>2613</v>
      </c>
    </row>
    <row r="195" customFormat="false" ht="15" hidden="false" customHeight="true" outlineLevel="0" collapsed="false">
      <c r="A195" s="6" t="s">
        <v>2807</v>
      </c>
      <c r="B195" s="6" t="s">
        <v>220</v>
      </c>
      <c r="C195" s="6" t="s">
        <v>116</v>
      </c>
      <c r="D195" s="13" t="n">
        <v>45151</v>
      </c>
      <c r="E195" s="14" t="n">
        <v>4417.13</v>
      </c>
      <c r="F195" s="14" t="n">
        <v>23848.39</v>
      </c>
      <c r="G195" s="6" t="s">
        <v>2613</v>
      </c>
    </row>
    <row r="196" customFormat="false" ht="15" hidden="false" customHeight="true" outlineLevel="0" collapsed="false">
      <c r="A196" s="6" t="s">
        <v>2808</v>
      </c>
      <c r="B196" s="6" t="s">
        <v>220</v>
      </c>
      <c r="C196" s="6" t="s">
        <v>116</v>
      </c>
      <c r="D196" s="13" t="n">
        <v>45158</v>
      </c>
      <c r="E196" s="14" t="n">
        <v>881.98</v>
      </c>
      <c r="F196" s="14" t="n">
        <v>24730.37</v>
      </c>
      <c r="G196" s="6" t="s">
        <v>2613</v>
      </c>
    </row>
    <row r="197" customFormat="false" ht="15" hidden="false" customHeight="true" outlineLevel="0" collapsed="false">
      <c r="A197" s="6" t="s">
        <v>2809</v>
      </c>
      <c r="B197" s="6" t="s">
        <v>223</v>
      </c>
      <c r="C197" s="6" t="s">
        <v>112</v>
      </c>
      <c r="D197" s="13" t="n">
        <v>44827</v>
      </c>
      <c r="E197" s="14" t="n">
        <v>1723.95</v>
      </c>
      <c r="F197" s="14" t="n">
        <v>1723.95</v>
      </c>
      <c r="G197" s="6" t="s">
        <v>2623</v>
      </c>
    </row>
    <row r="198" customFormat="false" ht="15" hidden="false" customHeight="true" outlineLevel="0" collapsed="false">
      <c r="A198" s="6" t="s">
        <v>2810</v>
      </c>
      <c r="B198" s="6" t="s">
        <v>223</v>
      </c>
      <c r="C198" s="6" t="s">
        <v>112</v>
      </c>
      <c r="D198" s="13" t="n">
        <v>44834</v>
      </c>
      <c r="E198" s="14" t="n">
        <v>2091.46</v>
      </c>
      <c r="F198" s="14" t="n">
        <v>3815.41</v>
      </c>
      <c r="G198" s="6" t="s">
        <v>2613</v>
      </c>
    </row>
    <row r="199" customFormat="false" ht="15" hidden="false" customHeight="true" outlineLevel="0" collapsed="false">
      <c r="A199" s="6" t="s">
        <v>2811</v>
      </c>
      <c r="B199" s="6" t="s">
        <v>223</v>
      </c>
      <c r="C199" s="6" t="s">
        <v>112</v>
      </c>
      <c r="D199" s="13" t="n">
        <v>44841</v>
      </c>
      <c r="E199" s="14" t="n">
        <v>2205.44</v>
      </c>
      <c r="F199" s="14" t="n">
        <v>6020.85</v>
      </c>
      <c r="G199" s="6" t="s">
        <v>2613</v>
      </c>
    </row>
    <row r="200" customFormat="false" ht="15" hidden="false" customHeight="true" outlineLevel="0" collapsed="false">
      <c r="A200" s="6" t="s">
        <v>2812</v>
      </c>
      <c r="B200" s="6" t="s">
        <v>223</v>
      </c>
      <c r="C200" s="6" t="s">
        <v>112</v>
      </c>
      <c r="D200" s="13" t="n">
        <v>44848</v>
      </c>
      <c r="E200" s="14" t="n">
        <v>2027.04</v>
      </c>
      <c r="F200" s="14" t="n">
        <v>8047.89</v>
      </c>
      <c r="G200" s="6" t="s">
        <v>2613</v>
      </c>
    </row>
    <row r="201" customFormat="false" ht="15" hidden="false" customHeight="true" outlineLevel="0" collapsed="false">
      <c r="A201" s="6" t="s">
        <v>2813</v>
      </c>
      <c r="B201" s="6" t="s">
        <v>223</v>
      </c>
      <c r="C201" s="6" t="s">
        <v>112</v>
      </c>
      <c r="D201" s="13" t="n">
        <v>44855</v>
      </c>
      <c r="E201" s="14" t="n">
        <v>1747.21</v>
      </c>
      <c r="F201" s="14" t="n">
        <v>9795.1</v>
      </c>
      <c r="G201" s="6" t="s">
        <v>2623</v>
      </c>
    </row>
    <row r="202" customFormat="false" ht="15" hidden="false" customHeight="true" outlineLevel="0" collapsed="false">
      <c r="A202" s="6" t="s">
        <v>2814</v>
      </c>
      <c r="B202" s="6" t="s">
        <v>223</v>
      </c>
      <c r="C202" s="6" t="s">
        <v>112</v>
      </c>
      <c r="D202" s="13" t="n">
        <v>44862</v>
      </c>
      <c r="E202" s="14" t="n">
        <v>2510.84</v>
      </c>
      <c r="F202" s="14" t="n">
        <v>12305.94</v>
      </c>
      <c r="G202" s="6" t="s">
        <v>2613</v>
      </c>
    </row>
    <row r="203" customFormat="false" ht="15" hidden="false" customHeight="true" outlineLevel="0" collapsed="false">
      <c r="A203" s="6" t="s">
        <v>2815</v>
      </c>
      <c r="B203" s="6" t="s">
        <v>223</v>
      </c>
      <c r="C203" s="6" t="s">
        <v>112</v>
      </c>
      <c r="D203" s="13" t="n">
        <v>44869</v>
      </c>
      <c r="E203" s="14" t="n">
        <v>5386.79</v>
      </c>
      <c r="F203" s="14" t="n">
        <v>17692.73</v>
      </c>
      <c r="G203" s="6" t="s">
        <v>2613</v>
      </c>
    </row>
    <row r="204" customFormat="false" ht="15" hidden="false" customHeight="true" outlineLevel="0" collapsed="false">
      <c r="A204" s="6" t="s">
        <v>2816</v>
      </c>
      <c r="B204" s="6" t="s">
        <v>226</v>
      </c>
      <c r="C204" s="6" t="s">
        <v>116</v>
      </c>
      <c r="D204" s="13" t="n">
        <v>45491</v>
      </c>
      <c r="E204" s="14" t="n">
        <v>5924.52</v>
      </c>
      <c r="F204" s="14" t="n">
        <v>5924.52</v>
      </c>
      <c r="G204" s="6" t="s">
        <v>2613</v>
      </c>
    </row>
    <row r="205" customFormat="false" ht="15" hidden="false" customHeight="true" outlineLevel="0" collapsed="false">
      <c r="A205" s="6" t="s">
        <v>2817</v>
      </c>
      <c r="B205" s="6" t="s">
        <v>226</v>
      </c>
      <c r="C205" s="6" t="s">
        <v>116</v>
      </c>
      <c r="D205" s="13" t="n">
        <v>45498</v>
      </c>
      <c r="E205" s="14" t="n">
        <v>5836.46</v>
      </c>
      <c r="F205" s="14" t="n">
        <v>11760.98</v>
      </c>
      <c r="G205" s="6" t="s">
        <v>2623</v>
      </c>
    </row>
    <row r="206" customFormat="false" ht="15" hidden="false" customHeight="true" outlineLevel="0" collapsed="false">
      <c r="A206" s="6" t="s">
        <v>2818</v>
      </c>
      <c r="B206" s="6" t="s">
        <v>226</v>
      </c>
      <c r="C206" s="6" t="s">
        <v>116</v>
      </c>
      <c r="D206" s="13" t="n">
        <v>45505</v>
      </c>
      <c r="E206" s="14" t="n">
        <v>7569.2</v>
      </c>
      <c r="F206" s="14" t="n">
        <v>19330.18</v>
      </c>
      <c r="G206" s="6" t="s">
        <v>2623</v>
      </c>
    </row>
    <row r="207" customFormat="false" ht="15" hidden="false" customHeight="true" outlineLevel="0" collapsed="false">
      <c r="A207" s="6" t="s">
        <v>2819</v>
      </c>
      <c r="B207" s="6" t="s">
        <v>226</v>
      </c>
      <c r="C207" s="6" t="s">
        <v>116</v>
      </c>
      <c r="D207" s="13" t="n">
        <v>45512</v>
      </c>
      <c r="E207" s="14" t="n">
        <v>6695.61</v>
      </c>
      <c r="F207" s="14" t="n">
        <v>26025.79</v>
      </c>
      <c r="G207" s="6" t="s">
        <v>2613</v>
      </c>
    </row>
    <row r="208" customFormat="false" ht="15" hidden="false" customHeight="true" outlineLevel="0" collapsed="false">
      <c r="A208" s="6" t="s">
        <v>2820</v>
      </c>
      <c r="B208" s="6" t="s">
        <v>226</v>
      </c>
      <c r="C208" s="6" t="s">
        <v>116</v>
      </c>
      <c r="D208" s="13" t="n">
        <v>45519</v>
      </c>
      <c r="E208" s="14" t="n">
        <v>4490.98</v>
      </c>
      <c r="F208" s="14" t="n">
        <v>30516.77</v>
      </c>
      <c r="G208" s="6" t="s">
        <v>2623</v>
      </c>
    </row>
    <row r="209" customFormat="false" ht="15" hidden="false" customHeight="true" outlineLevel="0" collapsed="false">
      <c r="A209" s="6" t="s">
        <v>2821</v>
      </c>
      <c r="B209" s="6" t="s">
        <v>226</v>
      </c>
      <c r="C209" s="6" t="s">
        <v>116</v>
      </c>
      <c r="D209" s="13" t="n">
        <v>45526</v>
      </c>
      <c r="E209" s="14" t="n">
        <v>4381.29</v>
      </c>
      <c r="F209" s="14" t="n">
        <v>34898.06</v>
      </c>
      <c r="G209" s="6" t="s">
        <v>2613</v>
      </c>
    </row>
    <row r="210" customFormat="false" ht="15" hidden="false" customHeight="true" outlineLevel="0" collapsed="false">
      <c r="A210" s="6" t="s">
        <v>2822</v>
      </c>
      <c r="B210" s="6" t="s">
        <v>226</v>
      </c>
      <c r="C210" s="6" t="s">
        <v>116</v>
      </c>
      <c r="D210" s="13" t="n">
        <v>45533</v>
      </c>
      <c r="E210" s="14" t="n">
        <v>4012.45</v>
      </c>
      <c r="F210" s="14" t="n">
        <v>38910.51</v>
      </c>
      <c r="G210" s="6" t="s">
        <v>2613</v>
      </c>
    </row>
    <row r="211" customFormat="false" ht="15" hidden="false" customHeight="true" outlineLevel="0" collapsed="false">
      <c r="A211" s="6" t="s">
        <v>2823</v>
      </c>
      <c r="B211" s="6" t="s">
        <v>226</v>
      </c>
      <c r="C211" s="6" t="s">
        <v>116</v>
      </c>
      <c r="D211" s="13" t="n">
        <v>45540</v>
      </c>
      <c r="E211" s="14" t="n">
        <v>6370.88</v>
      </c>
      <c r="F211" s="14" t="n">
        <v>45281.39</v>
      </c>
      <c r="G211" s="6" t="s">
        <v>2613</v>
      </c>
    </row>
    <row r="212" customFormat="false" ht="15" hidden="false" customHeight="true" outlineLevel="0" collapsed="false">
      <c r="A212" s="6" t="s">
        <v>2824</v>
      </c>
      <c r="B212" s="6" t="s">
        <v>226</v>
      </c>
      <c r="C212" s="6" t="s">
        <v>116</v>
      </c>
      <c r="D212" s="13" t="n">
        <v>45547</v>
      </c>
      <c r="E212" s="14" t="n">
        <v>3464.08</v>
      </c>
      <c r="F212" s="14" t="n">
        <v>48745.47</v>
      </c>
      <c r="G212" s="6" t="s">
        <v>2613</v>
      </c>
    </row>
    <row r="213" customFormat="false" ht="15" hidden="false" customHeight="true" outlineLevel="0" collapsed="false">
      <c r="A213" s="6" t="s">
        <v>2825</v>
      </c>
      <c r="B213" s="6" t="s">
        <v>226</v>
      </c>
      <c r="C213" s="6" t="s">
        <v>116</v>
      </c>
      <c r="D213" s="13" t="n">
        <v>45554</v>
      </c>
      <c r="E213" s="14" t="n">
        <v>4570.97</v>
      </c>
      <c r="F213" s="14" t="n">
        <v>53316.44</v>
      </c>
      <c r="G213" s="6" t="s">
        <v>2613</v>
      </c>
    </row>
    <row r="214" customFormat="false" ht="15" hidden="false" customHeight="true" outlineLevel="0" collapsed="false">
      <c r="A214" s="6" t="s">
        <v>2826</v>
      </c>
      <c r="B214" s="6" t="s">
        <v>226</v>
      </c>
      <c r="C214" s="6" t="s">
        <v>116</v>
      </c>
      <c r="D214" s="13" t="n">
        <v>45561</v>
      </c>
      <c r="E214" s="14" t="n">
        <v>3634.67</v>
      </c>
      <c r="F214" s="14" t="n">
        <v>56951.11</v>
      </c>
      <c r="G214" s="6" t="s">
        <v>2613</v>
      </c>
    </row>
    <row r="215" customFormat="false" ht="15" hidden="false" customHeight="true" outlineLevel="0" collapsed="false">
      <c r="A215" s="6" t="s">
        <v>2827</v>
      </c>
      <c r="B215" s="6" t="s">
        <v>226</v>
      </c>
      <c r="C215" s="6" t="s">
        <v>116</v>
      </c>
      <c r="D215" s="13" t="n">
        <v>45568</v>
      </c>
      <c r="E215" s="14" t="n">
        <v>4490.57</v>
      </c>
      <c r="F215" s="14" t="n">
        <v>61441.68</v>
      </c>
      <c r="G215" s="6" t="s">
        <v>2613</v>
      </c>
    </row>
    <row r="216" customFormat="false" ht="15" hidden="false" customHeight="true" outlineLevel="0" collapsed="false">
      <c r="A216" s="6" t="s">
        <v>2828</v>
      </c>
      <c r="B216" s="6" t="s">
        <v>226</v>
      </c>
      <c r="C216" s="6" t="s">
        <v>116</v>
      </c>
      <c r="D216" s="13" t="n">
        <v>45575</v>
      </c>
      <c r="E216" s="14" t="n">
        <v>10483.3</v>
      </c>
      <c r="F216" s="14" t="n">
        <v>71924.98</v>
      </c>
      <c r="G216" s="6" t="s">
        <v>2613</v>
      </c>
    </row>
    <row r="217" customFormat="false" ht="15" hidden="false" customHeight="true" outlineLevel="0" collapsed="false">
      <c r="A217" s="6" t="s">
        <v>2829</v>
      </c>
      <c r="B217" s="6" t="s">
        <v>228</v>
      </c>
      <c r="C217" s="6" t="s">
        <v>116</v>
      </c>
      <c r="D217" s="13" t="n">
        <v>45734</v>
      </c>
      <c r="E217" s="14" t="n">
        <v>1538.94</v>
      </c>
      <c r="F217" s="14" t="n">
        <v>1538.94</v>
      </c>
      <c r="G217" s="6" t="s">
        <v>2613</v>
      </c>
    </row>
    <row r="218" customFormat="false" ht="15" hidden="false" customHeight="true" outlineLevel="0" collapsed="false">
      <c r="A218" s="6" t="s">
        <v>2830</v>
      </c>
      <c r="B218" s="6" t="s">
        <v>228</v>
      </c>
      <c r="C218" s="6" t="s">
        <v>116</v>
      </c>
      <c r="D218" s="13" t="n">
        <v>45741</v>
      </c>
      <c r="E218" s="14" t="n">
        <v>1455.35</v>
      </c>
      <c r="F218" s="14" t="n">
        <v>2994.29</v>
      </c>
      <c r="G218" s="6" t="s">
        <v>2613</v>
      </c>
    </row>
    <row r="219" customFormat="false" ht="15" hidden="false" customHeight="true" outlineLevel="0" collapsed="false">
      <c r="A219" s="6" t="s">
        <v>2831</v>
      </c>
      <c r="B219" s="6" t="s">
        <v>228</v>
      </c>
      <c r="C219" s="6" t="s">
        <v>116</v>
      </c>
      <c r="D219" s="13" t="n">
        <v>45748</v>
      </c>
      <c r="E219" s="14" t="n">
        <v>1628.95</v>
      </c>
      <c r="F219" s="14" t="n">
        <v>4623.24</v>
      </c>
      <c r="G219" s="6" t="s">
        <v>2613</v>
      </c>
    </row>
    <row r="220" customFormat="false" ht="15" hidden="false" customHeight="true" outlineLevel="0" collapsed="false">
      <c r="A220" s="6" t="s">
        <v>2832</v>
      </c>
      <c r="B220" s="6" t="s">
        <v>228</v>
      </c>
      <c r="C220" s="6" t="s">
        <v>116</v>
      </c>
      <c r="D220" s="13" t="n">
        <v>45755</v>
      </c>
      <c r="E220" s="14" t="n">
        <v>1702.26</v>
      </c>
      <c r="F220" s="14" t="n">
        <v>6325.5</v>
      </c>
      <c r="G220" s="6" t="s">
        <v>2613</v>
      </c>
    </row>
    <row r="221" customFormat="false" ht="15" hidden="false" customHeight="true" outlineLevel="0" collapsed="false">
      <c r="A221" s="6" t="s">
        <v>2833</v>
      </c>
      <c r="B221" s="6" t="s">
        <v>228</v>
      </c>
      <c r="C221" s="6" t="s">
        <v>116</v>
      </c>
      <c r="D221" s="13" t="n">
        <v>45762</v>
      </c>
      <c r="E221" s="14" t="n">
        <v>1874.63</v>
      </c>
      <c r="F221" s="14" t="n">
        <v>8200.13</v>
      </c>
      <c r="G221" s="6" t="s">
        <v>2613</v>
      </c>
    </row>
    <row r="222" customFormat="false" ht="15" hidden="false" customHeight="true" outlineLevel="0" collapsed="false">
      <c r="A222" s="6" t="s">
        <v>2834</v>
      </c>
      <c r="B222" s="6" t="s">
        <v>228</v>
      </c>
      <c r="C222" s="6" t="s">
        <v>116</v>
      </c>
      <c r="D222" s="13" t="n">
        <v>45769</v>
      </c>
      <c r="E222" s="14" t="n">
        <v>979.74</v>
      </c>
      <c r="F222" s="14" t="n">
        <v>9179.87</v>
      </c>
      <c r="G222" s="6" t="s">
        <v>2613</v>
      </c>
    </row>
    <row r="223" customFormat="false" ht="15" hidden="false" customHeight="true" outlineLevel="0" collapsed="false">
      <c r="A223" s="6" t="s">
        <v>2835</v>
      </c>
      <c r="B223" s="6" t="s">
        <v>228</v>
      </c>
      <c r="C223" s="6" t="s">
        <v>116</v>
      </c>
      <c r="D223" s="13" t="n">
        <v>45776</v>
      </c>
      <c r="E223" s="14" t="n">
        <v>1798.56</v>
      </c>
      <c r="F223" s="14" t="n">
        <v>10978.43</v>
      </c>
      <c r="G223" s="6" t="s">
        <v>2613</v>
      </c>
    </row>
    <row r="224" customFormat="false" ht="15" hidden="false" customHeight="true" outlineLevel="0" collapsed="false">
      <c r="A224" s="6" t="s">
        <v>2836</v>
      </c>
      <c r="B224" s="6" t="s">
        <v>228</v>
      </c>
      <c r="C224" s="6" t="s">
        <v>116</v>
      </c>
      <c r="D224" s="13" t="n">
        <v>45783</v>
      </c>
      <c r="E224" s="14" t="n">
        <v>1649.28</v>
      </c>
      <c r="F224" s="14" t="n">
        <v>12627.71</v>
      </c>
      <c r="G224" s="6" t="s">
        <v>2613</v>
      </c>
    </row>
    <row r="225" customFormat="false" ht="15" hidden="false" customHeight="true" outlineLevel="0" collapsed="false">
      <c r="A225" s="6" t="s">
        <v>2837</v>
      </c>
      <c r="B225" s="6" t="s">
        <v>230</v>
      </c>
      <c r="C225" s="6" t="s">
        <v>112</v>
      </c>
      <c r="D225" s="13" t="n">
        <v>45576</v>
      </c>
      <c r="E225" s="14" t="n">
        <v>686.06</v>
      </c>
      <c r="F225" s="14" t="n">
        <v>686.06</v>
      </c>
      <c r="G225" s="6" t="s">
        <v>2613</v>
      </c>
    </row>
    <row r="226" customFormat="false" ht="15" hidden="false" customHeight="true" outlineLevel="0" collapsed="false">
      <c r="A226" s="6" t="s">
        <v>2838</v>
      </c>
      <c r="B226" s="6" t="s">
        <v>230</v>
      </c>
      <c r="C226" s="6" t="s">
        <v>112</v>
      </c>
      <c r="D226" s="13" t="n">
        <v>45583</v>
      </c>
      <c r="E226" s="14" t="n">
        <v>506.16</v>
      </c>
      <c r="F226" s="14" t="n">
        <v>1192.22</v>
      </c>
      <c r="G226" s="6" t="s">
        <v>2613</v>
      </c>
    </row>
    <row r="227" customFormat="false" ht="15" hidden="false" customHeight="true" outlineLevel="0" collapsed="false">
      <c r="A227" s="6" t="s">
        <v>2839</v>
      </c>
      <c r="B227" s="6" t="s">
        <v>230</v>
      </c>
      <c r="C227" s="6" t="s">
        <v>112</v>
      </c>
      <c r="D227" s="13" t="n">
        <v>45590</v>
      </c>
      <c r="E227" s="14" t="n">
        <v>688.01</v>
      </c>
      <c r="F227" s="14" t="n">
        <v>1880.23</v>
      </c>
      <c r="G227" s="6" t="s">
        <v>2613</v>
      </c>
    </row>
    <row r="228" customFormat="false" ht="15" hidden="false" customHeight="true" outlineLevel="0" collapsed="false">
      <c r="A228" s="6" t="s">
        <v>2840</v>
      </c>
      <c r="B228" s="6" t="s">
        <v>230</v>
      </c>
      <c r="C228" s="6" t="s">
        <v>112</v>
      </c>
      <c r="D228" s="13" t="n">
        <v>45597</v>
      </c>
      <c r="E228" s="14" t="n">
        <v>836.64</v>
      </c>
      <c r="F228" s="14" t="n">
        <v>2716.87</v>
      </c>
      <c r="G228" s="6" t="s">
        <v>2613</v>
      </c>
    </row>
    <row r="229" customFormat="false" ht="15" hidden="false" customHeight="true" outlineLevel="0" collapsed="false">
      <c r="A229" s="6" t="s">
        <v>2841</v>
      </c>
      <c r="B229" s="6" t="s">
        <v>230</v>
      </c>
      <c r="C229" s="6" t="s">
        <v>112</v>
      </c>
      <c r="D229" s="13" t="n">
        <v>45604</v>
      </c>
      <c r="E229" s="14" t="n">
        <v>894.63</v>
      </c>
      <c r="F229" s="14" t="n">
        <v>3611.5</v>
      </c>
      <c r="G229" s="6" t="s">
        <v>2623</v>
      </c>
    </row>
    <row r="230" customFormat="false" ht="15" hidden="false" customHeight="true" outlineLevel="0" collapsed="false">
      <c r="A230" s="6" t="s">
        <v>2842</v>
      </c>
      <c r="B230" s="6" t="s">
        <v>230</v>
      </c>
      <c r="C230" s="6" t="s">
        <v>112</v>
      </c>
      <c r="D230" s="13" t="n">
        <v>45611</v>
      </c>
      <c r="E230" s="14" t="n">
        <v>496.36</v>
      </c>
      <c r="F230" s="14" t="n">
        <v>4107.86</v>
      </c>
      <c r="G230" s="6" t="s">
        <v>2613</v>
      </c>
    </row>
    <row r="231" customFormat="false" ht="15" hidden="false" customHeight="true" outlineLevel="0" collapsed="false">
      <c r="A231" s="6" t="s">
        <v>2843</v>
      </c>
      <c r="B231" s="6" t="s">
        <v>230</v>
      </c>
      <c r="C231" s="6" t="s">
        <v>112</v>
      </c>
      <c r="D231" s="13" t="n">
        <v>45618</v>
      </c>
      <c r="E231" s="14" t="n">
        <v>512.86</v>
      </c>
      <c r="F231" s="14" t="n">
        <v>4620.72</v>
      </c>
      <c r="G231" s="6" t="s">
        <v>2613</v>
      </c>
    </row>
    <row r="232" customFormat="false" ht="15" hidden="false" customHeight="true" outlineLevel="0" collapsed="false">
      <c r="A232" s="6" t="s">
        <v>2844</v>
      </c>
      <c r="B232" s="6" t="s">
        <v>230</v>
      </c>
      <c r="C232" s="6" t="s">
        <v>112</v>
      </c>
      <c r="D232" s="13" t="n">
        <v>45625</v>
      </c>
      <c r="E232" s="14" t="n">
        <v>956.47</v>
      </c>
      <c r="F232" s="14" t="n">
        <v>5577.19</v>
      </c>
      <c r="G232" s="6" t="s">
        <v>2613</v>
      </c>
    </row>
    <row r="233" customFormat="false" ht="15" hidden="false" customHeight="true" outlineLevel="0" collapsed="false">
      <c r="A233" s="6" t="s">
        <v>2845</v>
      </c>
      <c r="B233" s="6" t="s">
        <v>230</v>
      </c>
      <c r="C233" s="6" t="s">
        <v>112</v>
      </c>
      <c r="D233" s="13" t="n">
        <v>45632</v>
      </c>
      <c r="E233" s="14" t="n">
        <v>1085.9</v>
      </c>
      <c r="F233" s="14" t="n">
        <v>6663.09</v>
      </c>
      <c r="G233" s="6" t="s">
        <v>2623</v>
      </c>
    </row>
    <row r="234" customFormat="false" ht="15" hidden="false" customHeight="true" outlineLevel="0" collapsed="false">
      <c r="A234" s="6" t="s">
        <v>2846</v>
      </c>
      <c r="B234" s="6" t="s">
        <v>233</v>
      </c>
      <c r="C234" s="6" t="s">
        <v>128</v>
      </c>
      <c r="D234" s="13" t="n">
        <v>45158</v>
      </c>
      <c r="E234" s="14" t="n">
        <v>503.53</v>
      </c>
      <c r="F234" s="14" t="n">
        <v>503.53</v>
      </c>
      <c r="G234" s="6" t="s">
        <v>2613</v>
      </c>
    </row>
    <row r="235" customFormat="false" ht="15" hidden="false" customHeight="true" outlineLevel="0" collapsed="false">
      <c r="A235" s="6" t="s">
        <v>2847</v>
      </c>
      <c r="B235" s="6" t="s">
        <v>233</v>
      </c>
      <c r="C235" s="6" t="s">
        <v>128</v>
      </c>
      <c r="D235" s="13" t="n">
        <v>45165</v>
      </c>
      <c r="E235" s="14" t="n">
        <v>785.18</v>
      </c>
      <c r="F235" s="14" t="n">
        <v>1288.71</v>
      </c>
      <c r="G235" s="6" t="s">
        <v>2613</v>
      </c>
    </row>
    <row r="236" customFormat="false" ht="15" hidden="false" customHeight="true" outlineLevel="0" collapsed="false">
      <c r="A236" s="6" t="s">
        <v>2848</v>
      </c>
      <c r="B236" s="6" t="s">
        <v>233</v>
      </c>
      <c r="C236" s="6" t="s">
        <v>128</v>
      </c>
      <c r="D236" s="13" t="n">
        <v>45172</v>
      </c>
      <c r="E236" s="14" t="n">
        <v>524.88</v>
      </c>
      <c r="F236" s="14" t="n">
        <v>1813.59</v>
      </c>
      <c r="G236" s="6" t="s">
        <v>2613</v>
      </c>
    </row>
    <row r="237" customFormat="false" ht="15" hidden="false" customHeight="true" outlineLevel="0" collapsed="false">
      <c r="A237" s="6" t="s">
        <v>2849</v>
      </c>
      <c r="B237" s="6" t="s">
        <v>233</v>
      </c>
      <c r="C237" s="6" t="s">
        <v>128</v>
      </c>
      <c r="D237" s="13" t="n">
        <v>45179</v>
      </c>
      <c r="E237" s="14" t="n">
        <v>752.46</v>
      </c>
      <c r="F237" s="14" t="n">
        <v>2566.05</v>
      </c>
      <c r="G237" s="6" t="s">
        <v>2623</v>
      </c>
    </row>
    <row r="238" customFormat="false" ht="15" hidden="false" customHeight="true" outlineLevel="0" collapsed="false">
      <c r="A238" s="6" t="s">
        <v>2850</v>
      </c>
      <c r="B238" s="6" t="s">
        <v>233</v>
      </c>
      <c r="C238" s="6" t="s">
        <v>128</v>
      </c>
      <c r="D238" s="13" t="n">
        <v>45186</v>
      </c>
      <c r="E238" s="14" t="n">
        <v>1006.71</v>
      </c>
      <c r="F238" s="14" t="n">
        <v>3572.76</v>
      </c>
      <c r="G238" s="6" t="s">
        <v>2613</v>
      </c>
    </row>
    <row r="239" customFormat="false" ht="15" hidden="false" customHeight="true" outlineLevel="0" collapsed="false">
      <c r="A239" s="6" t="s">
        <v>2851</v>
      </c>
      <c r="B239" s="6" t="s">
        <v>233</v>
      </c>
      <c r="C239" s="6" t="s">
        <v>128</v>
      </c>
      <c r="D239" s="13" t="n">
        <v>45193</v>
      </c>
      <c r="E239" s="14" t="n">
        <v>700</v>
      </c>
      <c r="F239" s="14" t="n">
        <v>4272.76</v>
      </c>
      <c r="G239" s="6" t="s">
        <v>2613</v>
      </c>
    </row>
    <row r="240" customFormat="false" ht="15" hidden="false" customHeight="true" outlineLevel="0" collapsed="false">
      <c r="A240" s="6" t="s">
        <v>2852</v>
      </c>
      <c r="B240" s="6" t="s">
        <v>233</v>
      </c>
      <c r="C240" s="6" t="s">
        <v>128</v>
      </c>
      <c r="D240" s="13" t="n">
        <v>45200</v>
      </c>
      <c r="E240" s="14" t="n">
        <v>914.19</v>
      </c>
      <c r="F240" s="14" t="n">
        <v>5186.95</v>
      </c>
      <c r="G240" s="6" t="s">
        <v>2613</v>
      </c>
    </row>
    <row r="241" customFormat="false" ht="15" hidden="false" customHeight="true" outlineLevel="0" collapsed="false">
      <c r="A241" s="6" t="s">
        <v>2853</v>
      </c>
      <c r="B241" s="6" t="s">
        <v>233</v>
      </c>
      <c r="C241" s="6" t="s">
        <v>128</v>
      </c>
      <c r="D241" s="13" t="n">
        <v>45207</v>
      </c>
      <c r="E241" s="14" t="n">
        <v>847.43</v>
      </c>
      <c r="F241" s="14" t="n">
        <v>6034.38</v>
      </c>
      <c r="G241" s="6" t="s">
        <v>2613</v>
      </c>
    </row>
    <row r="242" customFormat="false" ht="15" hidden="false" customHeight="true" outlineLevel="0" collapsed="false">
      <c r="A242" s="6" t="s">
        <v>2854</v>
      </c>
      <c r="B242" s="6" t="s">
        <v>233</v>
      </c>
      <c r="C242" s="6" t="s">
        <v>128</v>
      </c>
      <c r="D242" s="13" t="n">
        <v>45214</v>
      </c>
      <c r="E242" s="14" t="n">
        <v>591.35</v>
      </c>
      <c r="F242" s="14" t="n">
        <v>6625.73</v>
      </c>
      <c r="G242" s="6" t="s">
        <v>2613</v>
      </c>
    </row>
    <row r="243" customFormat="false" ht="15" hidden="false" customHeight="true" outlineLevel="0" collapsed="false">
      <c r="A243" s="6" t="s">
        <v>2855</v>
      </c>
      <c r="B243" s="6" t="s">
        <v>233</v>
      </c>
      <c r="C243" s="6" t="s">
        <v>128</v>
      </c>
      <c r="D243" s="13" t="n">
        <v>45221</v>
      </c>
      <c r="E243" s="14" t="n">
        <v>999.77</v>
      </c>
      <c r="F243" s="14" t="n">
        <v>7625.5</v>
      </c>
      <c r="G243" s="6" t="s">
        <v>2613</v>
      </c>
    </row>
    <row r="244" customFormat="false" ht="15" hidden="false" customHeight="true" outlineLevel="0" collapsed="false">
      <c r="A244" s="6" t="s">
        <v>2856</v>
      </c>
      <c r="B244" s="6" t="s">
        <v>233</v>
      </c>
      <c r="C244" s="6" t="s">
        <v>128</v>
      </c>
      <c r="D244" s="13" t="n">
        <v>45228</v>
      </c>
      <c r="E244" s="14" t="n">
        <v>319.5</v>
      </c>
      <c r="F244" s="14" t="n">
        <v>7945</v>
      </c>
      <c r="G244" s="6" t="s">
        <v>2613</v>
      </c>
    </row>
    <row r="245" customFormat="false" ht="15" hidden="false" customHeight="true" outlineLevel="0" collapsed="false">
      <c r="A245" s="6" t="s">
        <v>2857</v>
      </c>
      <c r="B245" s="6" t="s">
        <v>236</v>
      </c>
      <c r="C245" s="6" t="s">
        <v>124</v>
      </c>
      <c r="D245" s="13" t="n">
        <v>45116</v>
      </c>
      <c r="E245" s="14" t="n">
        <v>3193.96</v>
      </c>
      <c r="F245" s="14" t="n">
        <v>3193.96</v>
      </c>
      <c r="G245" s="6" t="s">
        <v>2613</v>
      </c>
    </row>
    <row r="246" customFormat="false" ht="15" hidden="false" customHeight="true" outlineLevel="0" collapsed="false">
      <c r="A246" s="6" t="s">
        <v>2858</v>
      </c>
      <c r="B246" s="6" t="s">
        <v>236</v>
      </c>
      <c r="C246" s="6" t="s">
        <v>124</v>
      </c>
      <c r="D246" s="13" t="n">
        <v>45123</v>
      </c>
      <c r="E246" s="14" t="n">
        <v>5327.26</v>
      </c>
      <c r="F246" s="14" t="n">
        <v>8521.22</v>
      </c>
      <c r="G246" s="6" t="s">
        <v>2613</v>
      </c>
    </row>
    <row r="247" customFormat="false" ht="15" hidden="false" customHeight="true" outlineLevel="0" collapsed="false">
      <c r="A247" s="6" t="s">
        <v>2859</v>
      </c>
      <c r="B247" s="6" t="s">
        <v>236</v>
      </c>
      <c r="C247" s="6" t="s">
        <v>124</v>
      </c>
      <c r="D247" s="13" t="n">
        <v>45130</v>
      </c>
      <c r="E247" s="14" t="n">
        <v>2737.17</v>
      </c>
      <c r="F247" s="14" t="n">
        <v>11258.39</v>
      </c>
      <c r="G247" s="6" t="s">
        <v>2613</v>
      </c>
    </row>
    <row r="248" customFormat="false" ht="15" hidden="false" customHeight="true" outlineLevel="0" collapsed="false">
      <c r="A248" s="6" t="s">
        <v>2860</v>
      </c>
      <c r="B248" s="6" t="s">
        <v>236</v>
      </c>
      <c r="C248" s="6" t="s">
        <v>124</v>
      </c>
      <c r="D248" s="13" t="n">
        <v>45137</v>
      </c>
      <c r="E248" s="14" t="n">
        <v>3335.81</v>
      </c>
      <c r="F248" s="14" t="n">
        <v>14594.2</v>
      </c>
      <c r="G248" s="6" t="s">
        <v>2613</v>
      </c>
    </row>
    <row r="249" customFormat="false" ht="15" hidden="false" customHeight="true" outlineLevel="0" collapsed="false">
      <c r="A249" s="6" t="s">
        <v>2861</v>
      </c>
      <c r="B249" s="6" t="s">
        <v>236</v>
      </c>
      <c r="C249" s="6" t="s">
        <v>124</v>
      </c>
      <c r="D249" s="13" t="n">
        <v>45144</v>
      </c>
      <c r="E249" s="14" t="n">
        <v>3939.86</v>
      </c>
      <c r="F249" s="14" t="n">
        <v>18534.06</v>
      </c>
      <c r="G249" s="6" t="s">
        <v>2613</v>
      </c>
    </row>
    <row r="250" customFormat="false" ht="15" hidden="false" customHeight="true" outlineLevel="0" collapsed="false">
      <c r="A250" s="6" t="s">
        <v>2862</v>
      </c>
      <c r="B250" s="6" t="s">
        <v>236</v>
      </c>
      <c r="C250" s="6" t="s">
        <v>124</v>
      </c>
      <c r="D250" s="13" t="n">
        <v>45151</v>
      </c>
      <c r="E250" s="14" t="n">
        <v>3264.7</v>
      </c>
      <c r="F250" s="14" t="n">
        <v>21798.76</v>
      </c>
      <c r="G250" s="6" t="s">
        <v>2613</v>
      </c>
    </row>
    <row r="251" customFormat="false" ht="15" hidden="false" customHeight="true" outlineLevel="0" collapsed="false">
      <c r="A251" s="6" t="s">
        <v>2863</v>
      </c>
      <c r="B251" s="6" t="s">
        <v>236</v>
      </c>
      <c r="C251" s="6" t="s">
        <v>124</v>
      </c>
      <c r="D251" s="13" t="n">
        <v>45158</v>
      </c>
      <c r="E251" s="14" t="n">
        <v>4409.16</v>
      </c>
      <c r="F251" s="14" t="n">
        <v>26207.92</v>
      </c>
      <c r="G251" s="6" t="s">
        <v>2613</v>
      </c>
    </row>
    <row r="252" customFormat="false" ht="15" hidden="false" customHeight="true" outlineLevel="0" collapsed="false">
      <c r="A252" s="6" t="s">
        <v>2864</v>
      </c>
      <c r="B252" s="6" t="s">
        <v>236</v>
      </c>
      <c r="C252" s="6" t="s">
        <v>124</v>
      </c>
      <c r="D252" s="13" t="n">
        <v>45165</v>
      </c>
      <c r="E252" s="14" t="n">
        <v>2995.99</v>
      </c>
      <c r="F252" s="14" t="n">
        <v>29203.91</v>
      </c>
      <c r="G252" s="6" t="s">
        <v>2613</v>
      </c>
    </row>
    <row r="253" customFormat="false" ht="15" hidden="false" customHeight="true" outlineLevel="0" collapsed="false">
      <c r="A253" s="6" t="s">
        <v>2865</v>
      </c>
      <c r="B253" s="6" t="s">
        <v>236</v>
      </c>
      <c r="C253" s="6" t="s">
        <v>124</v>
      </c>
      <c r="D253" s="13" t="n">
        <v>45172</v>
      </c>
      <c r="E253" s="14" t="n">
        <v>2417.5</v>
      </c>
      <c r="F253" s="14" t="n">
        <v>31621.41</v>
      </c>
      <c r="G253" s="6" t="s">
        <v>2613</v>
      </c>
    </row>
    <row r="254" customFormat="false" ht="15" hidden="false" customHeight="true" outlineLevel="0" collapsed="false">
      <c r="A254" s="6" t="s">
        <v>2866</v>
      </c>
      <c r="B254" s="6" t="s">
        <v>236</v>
      </c>
      <c r="C254" s="6" t="s">
        <v>124</v>
      </c>
      <c r="D254" s="13" t="n">
        <v>45179</v>
      </c>
      <c r="E254" s="14" t="n">
        <v>4432.71</v>
      </c>
      <c r="F254" s="14" t="n">
        <v>36054.12</v>
      </c>
      <c r="G254" s="6" t="s">
        <v>2613</v>
      </c>
    </row>
    <row r="255" customFormat="false" ht="15" hidden="false" customHeight="true" outlineLevel="0" collapsed="false">
      <c r="A255" s="6" t="s">
        <v>2867</v>
      </c>
      <c r="B255" s="6" t="s">
        <v>236</v>
      </c>
      <c r="C255" s="6" t="s">
        <v>124</v>
      </c>
      <c r="D255" s="13" t="n">
        <v>45186</v>
      </c>
      <c r="E255" s="14" t="n">
        <v>3460.56</v>
      </c>
      <c r="F255" s="14" t="n">
        <v>39514.68</v>
      </c>
      <c r="G255" s="6" t="s">
        <v>2613</v>
      </c>
    </row>
    <row r="256" customFormat="false" ht="15" hidden="false" customHeight="true" outlineLevel="0" collapsed="false">
      <c r="A256" s="6" t="s">
        <v>2868</v>
      </c>
      <c r="B256" s="6" t="s">
        <v>236</v>
      </c>
      <c r="C256" s="6" t="s">
        <v>124</v>
      </c>
      <c r="D256" s="13" t="n">
        <v>45193</v>
      </c>
      <c r="E256" s="14" t="n">
        <v>4784.59</v>
      </c>
      <c r="F256" s="14" t="n">
        <v>44299.27</v>
      </c>
      <c r="G256" s="6" t="s">
        <v>2613</v>
      </c>
    </row>
    <row r="257" customFormat="false" ht="15" hidden="false" customHeight="true" outlineLevel="0" collapsed="false">
      <c r="A257" s="6" t="s">
        <v>2869</v>
      </c>
      <c r="B257" s="6" t="s">
        <v>236</v>
      </c>
      <c r="C257" s="6" t="s">
        <v>124</v>
      </c>
      <c r="D257" s="13" t="n">
        <v>45200</v>
      </c>
      <c r="E257" s="14" t="n">
        <v>5199.16</v>
      </c>
      <c r="F257" s="14" t="n">
        <v>49498.43</v>
      </c>
      <c r="G257" s="6" t="s">
        <v>2613</v>
      </c>
    </row>
    <row r="258" customFormat="false" ht="15" hidden="false" customHeight="true" outlineLevel="0" collapsed="false">
      <c r="A258" s="6" t="s">
        <v>2870</v>
      </c>
      <c r="B258" s="6" t="s">
        <v>239</v>
      </c>
      <c r="C258" s="6" t="s">
        <v>112</v>
      </c>
      <c r="D258" s="13" t="n">
        <v>45909</v>
      </c>
      <c r="E258" s="14" t="n">
        <v>8219.3</v>
      </c>
      <c r="F258" s="14" t="n">
        <v>8219.3</v>
      </c>
      <c r="G258" s="6" t="s">
        <v>2613</v>
      </c>
    </row>
    <row r="259" customFormat="false" ht="15" hidden="false" customHeight="true" outlineLevel="0" collapsed="false">
      <c r="A259" s="6" t="s">
        <v>2871</v>
      </c>
      <c r="B259" s="6" t="s">
        <v>239</v>
      </c>
      <c r="C259" s="6" t="s">
        <v>112</v>
      </c>
      <c r="D259" s="13" t="n">
        <v>45916</v>
      </c>
      <c r="E259" s="14" t="n">
        <v>7369.93</v>
      </c>
      <c r="F259" s="14" t="n">
        <v>15589.23</v>
      </c>
      <c r="G259" s="6" t="s">
        <v>2613</v>
      </c>
    </row>
    <row r="260" customFormat="false" ht="15" hidden="false" customHeight="true" outlineLevel="0" collapsed="false">
      <c r="A260" s="6" t="s">
        <v>2872</v>
      </c>
      <c r="B260" s="6" t="s">
        <v>239</v>
      </c>
      <c r="C260" s="6" t="s">
        <v>112</v>
      </c>
      <c r="D260" s="13" t="n">
        <v>45923</v>
      </c>
      <c r="E260" s="14" t="n">
        <v>4456.09</v>
      </c>
      <c r="F260" s="14" t="n">
        <v>20045.32</v>
      </c>
      <c r="G260" s="6" t="s">
        <v>2613</v>
      </c>
    </row>
    <row r="261" customFormat="false" ht="15" hidden="false" customHeight="true" outlineLevel="0" collapsed="false">
      <c r="A261" s="6" t="s">
        <v>2873</v>
      </c>
      <c r="B261" s="6" t="s">
        <v>239</v>
      </c>
      <c r="C261" s="6" t="s">
        <v>112</v>
      </c>
      <c r="D261" s="13" t="n">
        <v>45930</v>
      </c>
      <c r="E261" s="14" t="n">
        <v>7644.16</v>
      </c>
      <c r="F261" s="14" t="n">
        <v>27689.48</v>
      </c>
      <c r="G261" s="6" t="s">
        <v>2613</v>
      </c>
    </row>
    <row r="262" customFormat="false" ht="15" hidden="false" customHeight="true" outlineLevel="0" collapsed="false">
      <c r="A262" s="6" t="s">
        <v>2874</v>
      </c>
      <c r="B262" s="6" t="s">
        <v>239</v>
      </c>
      <c r="C262" s="6" t="s">
        <v>112</v>
      </c>
      <c r="D262" s="13" t="n">
        <v>45937</v>
      </c>
      <c r="E262" s="14" t="n">
        <v>9145.68</v>
      </c>
      <c r="F262" s="14" t="n">
        <v>36835.16</v>
      </c>
      <c r="G262" s="6" t="s">
        <v>2613</v>
      </c>
    </row>
    <row r="263" customFormat="false" ht="15" hidden="false" customHeight="true" outlineLevel="0" collapsed="false">
      <c r="A263" s="6" t="s">
        <v>2875</v>
      </c>
      <c r="B263" s="6" t="s">
        <v>239</v>
      </c>
      <c r="C263" s="6" t="s">
        <v>112</v>
      </c>
      <c r="D263" s="13" t="n">
        <v>45944</v>
      </c>
      <c r="E263" s="14" t="n">
        <v>3415.42</v>
      </c>
      <c r="F263" s="14" t="n">
        <v>40250.58</v>
      </c>
      <c r="G263" s="6" t="s">
        <v>2613</v>
      </c>
    </row>
    <row r="264" customFormat="false" ht="15" hidden="false" customHeight="true" outlineLevel="0" collapsed="false">
      <c r="A264" s="6" t="s">
        <v>2876</v>
      </c>
      <c r="B264" s="6" t="s">
        <v>241</v>
      </c>
      <c r="C264" s="6" t="s">
        <v>124</v>
      </c>
      <c r="D264" s="13" t="n">
        <v>44774</v>
      </c>
      <c r="E264" s="14" t="n">
        <v>1242.01</v>
      </c>
      <c r="F264" s="14" t="n">
        <v>1242.01</v>
      </c>
      <c r="G264" s="6" t="s">
        <v>2623</v>
      </c>
    </row>
    <row r="265" customFormat="false" ht="15" hidden="false" customHeight="true" outlineLevel="0" collapsed="false">
      <c r="A265" s="6" t="s">
        <v>2877</v>
      </c>
      <c r="B265" s="6" t="s">
        <v>241</v>
      </c>
      <c r="C265" s="6" t="s">
        <v>124</v>
      </c>
      <c r="D265" s="13" t="n">
        <v>44781</v>
      </c>
      <c r="E265" s="14" t="n">
        <v>1161.43</v>
      </c>
      <c r="F265" s="14" t="n">
        <v>2403.44</v>
      </c>
      <c r="G265" s="6" t="s">
        <v>2613</v>
      </c>
    </row>
    <row r="266" customFormat="false" ht="15" hidden="false" customHeight="true" outlineLevel="0" collapsed="false">
      <c r="A266" s="6" t="s">
        <v>2878</v>
      </c>
      <c r="B266" s="6" t="s">
        <v>241</v>
      </c>
      <c r="C266" s="6" t="s">
        <v>124</v>
      </c>
      <c r="D266" s="13" t="n">
        <v>44788</v>
      </c>
      <c r="E266" s="14" t="n">
        <v>844.95</v>
      </c>
      <c r="F266" s="14" t="n">
        <v>3248.39</v>
      </c>
      <c r="G266" s="6" t="s">
        <v>2613</v>
      </c>
    </row>
    <row r="267" customFormat="false" ht="15" hidden="false" customHeight="true" outlineLevel="0" collapsed="false">
      <c r="A267" s="6" t="s">
        <v>2879</v>
      </c>
      <c r="B267" s="6" t="s">
        <v>241</v>
      </c>
      <c r="C267" s="6" t="s">
        <v>124</v>
      </c>
      <c r="D267" s="13" t="n">
        <v>44795</v>
      </c>
      <c r="E267" s="14" t="n">
        <v>962.38</v>
      </c>
      <c r="F267" s="14" t="n">
        <v>4210.77</v>
      </c>
      <c r="G267" s="6" t="s">
        <v>2613</v>
      </c>
    </row>
    <row r="268" customFormat="false" ht="15" hidden="false" customHeight="true" outlineLevel="0" collapsed="false">
      <c r="A268" s="6" t="s">
        <v>2880</v>
      </c>
      <c r="B268" s="6" t="s">
        <v>241</v>
      </c>
      <c r="C268" s="6" t="s">
        <v>124</v>
      </c>
      <c r="D268" s="13" t="n">
        <v>44802</v>
      </c>
      <c r="E268" s="14" t="n">
        <v>1158.7</v>
      </c>
      <c r="F268" s="14" t="n">
        <v>5369.47</v>
      </c>
      <c r="G268" s="6" t="s">
        <v>2613</v>
      </c>
    </row>
    <row r="269" customFormat="false" ht="15" hidden="false" customHeight="true" outlineLevel="0" collapsed="false">
      <c r="A269" s="6" t="s">
        <v>2881</v>
      </c>
      <c r="B269" s="6" t="s">
        <v>241</v>
      </c>
      <c r="C269" s="6" t="s">
        <v>124</v>
      </c>
      <c r="D269" s="13" t="n">
        <v>44809</v>
      </c>
      <c r="E269" s="14" t="n">
        <v>622.7</v>
      </c>
      <c r="F269" s="14" t="n">
        <v>5992.17</v>
      </c>
      <c r="G269" s="6" t="s">
        <v>2613</v>
      </c>
    </row>
    <row r="270" customFormat="false" ht="15" hidden="false" customHeight="true" outlineLevel="0" collapsed="false">
      <c r="A270" s="6" t="s">
        <v>2882</v>
      </c>
      <c r="B270" s="6" t="s">
        <v>241</v>
      </c>
      <c r="C270" s="6" t="s">
        <v>124</v>
      </c>
      <c r="D270" s="13" t="n">
        <v>44816</v>
      </c>
      <c r="E270" s="14" t="n">
        <v>1028.89</v>
      </c>
      <c r="F270" s="14" t="n">
        <v>7021.06</v>
      </c>
      <c r="G270" s="6" t="s">
        <v>2613</v>
      </c>
    </row>
    <row r="271" customFormat="false" ht="15" hidden="false" customHeight="true" outlineLevel="0" collapsed="false">
      <c r="A271" s="6" t="s">
        <v>2883</v>
      </c>
      <c r="B271" s="6" t="s">
        <v>241</v>
      </c>
      <c r="C271" s="6" t="s">
        <v>124</v>
      </c>
      <c r="D271" s="13" t="n">
        <v>44823</v>
      </c>
      <c r="E271" s="14" t="n">
        <v>1249.08</v>
      </c>
      <c r="F271" s="14" t="n">
        <v>8270.14</v>
      </c>
      <c r="G271" s="6" t="s">
        <v>2613</v>
      </c>
    </row>
    <row r="272" customFormat="false" ht="15" hidden="false" customHeight="true" outlineLevel="0" collapsed="false">
      <c r="A272" s="6" t="s">
        <v>2884</v>
      </c>
      <c r="B272" s="6" t="s">
        <v>241</v>
      </c>
      <c r="C272" s="6" t="s">
        <v>124</v>
      </c>
      <c r="D272" s="13" t="n">
        <v>44830</v>
      </c>
      <c r="E272" s="14" t="n">
        <v>180.59</v>
      </c>
      <c r="F272" s="14" t="n">
        <v>8450.73</v>
      </c>
      <c r="G272" s="6" t="s">
        <v>2613</v>
      </c>
    </row>
    <row r="273" customFormat="false" ht="15" hidden="false" customHeight="true" outlineLevel="0" collapsed="false">
      <c r="A273" s="6" t="s">
        <v>2885</v>
      </c>
      <c r="B273" s="6" t="s">
        <v>244</v>
      </c>
      <c r="C273" s="6" t="s">
        <v>120</v>
      </c>
      <c r="D273" s="13" t="n">
        <v>45772</v>
      </c>
      <c r="E273" s="14" t="n">
        <v>5093.6</v>
      </c>
      <c r="F273" s="14" t="n">
        <v>5093.6</v>
      </c>
      <c r="G273" s="6" t="s">
        <v>2613</v>
      </c>
    </row>
    <row r="274" customFormat="false" ht="15" hidden="false" customHeight="true" outlineLevel="0" collapsed="false">
      <c r="A274" s="6" t="s">
        <v>2886</v>
      </c>
      <c r="B274" s="6" t="s">
        <v>244</v>
      </c>
      <c r="C274" s="6" t="s">
        <v>120</v>
      </c>
      <c r="D274" s="13" t="n">
        <v>45779</v>
      </c>
      <c r="E274" s="14" t="n">
        <v>3720.78</v>
      </c>
      <c r="F274" s="14" t="n">
        <v>8814.38</v>
      </c>
      <c r="G274" s="6" t="s">
        <v>2613</v>
      </c>
    </row>
    <row r="275" customFormat="false" ht="15" hidden="false" customHeight="true" outlineLevel="0" collapsed="false">
      <c r="A275" s="6" t="s">
        <v>2887</v>
      </c>
      <c r="B275" s="6" t="s">
        <v>244</v>
      </c>
      <c r="C275" s="6" t="s">
        <v>120</v>
      </c>
      <c r="D275" s="13" t="n">
        <v>45786</v>
      </c>
      <c r="E275" s="14" t="n">
        <v>5670.12</v>
      </c>
      <c r="F275" s="14" t="n">
        <v>14484.5</v>
      </c>
      <c r="G275" s="6" t="s">
        <v>2613</v>
      </c>
    </row>
    <row r="276" customFormat="false" ht="15" hidden="false" customHeight="true" outlineLevel="0" collapsed="false">
      <c r="A276" s="6" t="s">
        <v>2888</v>
      </c>
      <c r="B276" s="6" t="s">
        <v>244</v>
      </c>
      <c r="C276" s="6" t="s">
        <v>120</v>
      </c>
      <c r="D276" s="13" t="n">
        <v>45793</v>
      </c>
      <c r="E276" s="14" t="n">
        <v>4001.02</v>
      </c>
      <c r="F276" s="14" t="n">
        <v>18485.52</v>
      </c>
      <c r="G276" s="6" t="s">
        <v>2613</v>
      </c>
    </row>
    <row r="277" customFormat="false" ht="15" hidden="false" customHeight="true" outlineLevel="0" collapsed="false">
      <c r="A277" s="6" t="s">
        <v>2889</v>
      </c>
      <c r="B277" s="6" t="s">
        <v>244</v>
      </c>
      <c r="C277" s="6" t="s">
        <v>120</v>
      </c>
      <c r="D277" s="13" t="n">
        <v>45800</v>
      </c>
      <c r="E277" s="14" t="n">
        <v>3698.68</v>
      </c>
      <c r="F277" s="14" t="n">
        <v>22184.2</v>
      </c>
      <c r="G277" s="6" t="s">
        <v>2613</v>
      </c>
    </row>
    <row r="278" customFormat="false" ht="15" hidden="false" customHeight="true" outlineLevel="0" collapsed="false">
      <c r="A278" s="6" t="s">
        <v>2890</v>
      </c>
      <c r="B278" s="6" t="s">
        <v>244</v>
      </c>
      <c r="C278" s="6" t="s">
        <v>120</v>
      </c>
      <c r="D278" s="13" t="n">
        <v>45807</v>
      </c>
      <c r="E278" s="14" t="n">
        <v>2729.93</v>
      </c>
      <c r="F278" s="14" t="n">
        <v>24914.13</v>
      </c>
      <c r="G278" s="6" t="s">
        <v>2613</v>
      </c>
    </row>
    <row r="279" customFormat="false" ht="15" hidden="false" customHeight="true" outlineLevel="0" collapsed="false">
      <c r="A279" s="6" t="s">
        <v>2891</v>
      </c>
      <c r="B279" s="6" t="s">
        <v>244</v>
      </c>
      <c r="C279" s="6" t="s">
        <v>120</v>
      </c>
      <c r="D279" s="13" t="n">
        <v>45814</v>
      </c>
      <c r="E279" s="14" t="n">
        <v>4052.09</v>
      </c>
      <c r="F279" s="14" t="n">
        <v>28966.22</v>
      </c>
      <c r="G279" s="6" t="s">
        <v>2623</v>
      </c>
    </row>
    <row r="280" customFormat="false" ht="15" hidden="false" customHeight="true" outlineLevel="0" collapsed="false">
      <c r="A280" s="6" t="s">
        <v>2892</v>
      </c>
      <c r="B280" s="6" t="s">
        <v>244</v>
      </c>
      <c r="C280" s="6" t="s">
        <v>120</v>
      </c>
      <c r="D280" s="13" t="n">
        <v>45821</v>
      </c>
      <c r="E280" s="14" t="n">
        <v>5711.61</v>
      </c>
      <c r="F280" s="14" t="n">
        <v>34677.83</v>
      </c>
      <c r="G280" s="6" t="s">
        <v>2613</v>
      </c>
    </row>
    <row r="281" customFormat="false" ht="15" hidden="false" customHeight="true" outlineLevel="0" collapsed="false">
      <c r="A281" s="6" t="s">
        <v>2893</v>
      </c>
      <c r="B281" s="6" t="s">
        <v>244</v>
      </c>
      <c r="C281" s="6" t="s">
        <v>120</v>
      </c>
      <c r="D281" s="13" t="n">
        <v>45828</v>
      </c>
      <c r="E281" s="14" t="n">
        <v>6095.44</v>
      </c>
      <c r="F281" s="14" t="n">
        <v>40773.27</v>
      </c>
      <c r="G281" s="6" t="s">
        <v>2613</v>
      </c>
    </row>
    <row r="282" customFormat="false" ht="15" hidden="false" customHeight="true" outlineLevel="0" collapsed="false">
      <c r="A282" s="6" t="s">
        <v>2894</v>
      </c>
      <c r="B282" s="6" t="s">
        <v>244</v>
      </c>
      <c r="C282" s="6" t="s">
        <v>120</v>
      </c>
      <c r="D282" s="13" t="n">
        <v>45835</v>
      </c>
      <c r="E282" s="14" t="n">
        <v>5287.6</v>
      </c>
      <c r="F282" s="14" t="n">
        <v>46060.87</v>
      </c>
      <c r="G282" s="6" t="s">
        <v>2613</v>
      </c>
    </row>
    <row r="283" customFormat="false" ht="15" hidden="false" customHeight="true" outlineLevel="0" collapsed="false">
      <c r="A283" s="6" t="s">
        <v>2895</v>
      </c>
      <c r="B283" s="6" t="s">
        <v>244</v>
      </c>
      <c r="C283" s="6" t="s">
        <v>120</v>
      </c>
      <c r="D283" s="13" t="n">
        <v>45842</v>
      </c>
      <c r="E283" s="14" t="n">
        <v>2565.34</v>
      </c>
      <c r="F283" s="14" t="n">
        <v>48626.21</v>
      </c>
      <c r="G283" s="6" t="s">
        <v>2613</v>
      </c>
    </row>
    <row r="284" customFormat="false" ht="15" hidden="false" customHeight="true" outlineLevel="0" collapsed="false">
      <c r="A284" s="6" t="s">
        <v>2896</v>
      </c>
      <c r="B284" s="6" t="s">
        <v>246</v>
      </c>
      <c r="C284" s="6" t="s">
        <v>116</v>
      </c>
      <c r="D284" s="13" t="n">
        <v>45471</v>
      </c>
      <c r="E284" s="14" t="n">
        <v>761.02</v>
      </c>
      <c r="F284" s="14" t="n">
        <v>761.02</v>
      </c>
      <c r="G284" s="6" t="s">
        <v>2613</v>
      </c>
    </row>
    <row r="285" customFormat="false" ht="15" hidden="false" customHeight="true" outlineLevel="0" collapsed="false">
      <c r="A285" s="6" t="s">
        <v>2897</v>
      </c>
      <c r="B285" s="6" t="s">
        <v>246</v>
      </c>
      <c r="C285" s="6" t="s">
        <v>116</v>
      </c>
      <c r="D285" s="13" t="n">
        <v>45478</v>
      </c>
      <c r="E285" s="14" t="n">
        <v>929.65</v>
      </c>
      <c r="F285" s="14" t="n">
        <v>1690.67</v>
      </c>
      <c r="G285" s="6" t="s">
        <v>2613</v>
      </c>
    </row>
    <row r="286" customFormat="false" ht="15" hidden="false" customHeight="true" outlineLevel="0" collapsed="false">
      <c r="A286" s="6" t="s">
        <v>2898</v>
      </c>
      <c r="B286" s="6" t="s">
        <v>246</v>
      </c>
      <c r="C286" s="6" t="s">
        <v>116</v>
      </c>
      <c r="D286" s="13" t="n">
        <v>45485</v>
      </c>
      <c r="E286" s="14" t="n">
        <v>820.93</v>
      </c>
      <c r="F286" s="14" t="n">
        <v>2511.6</v>
      </c>
      <c r="G286" s="6" t="s">
        <v>2613</v>
      </c>
    </row>
    <row r="287" customFormat="false" ht="15" hidden="false" customHeight="true" outlineLevel="0" collapsed="false">
      <c r="A287" s="6" t="s">
        <v>2899</v>
      </c>
      <c r="B287" s="6" t="s">
        <v>246</v>
      </c>
      <c r="C287" s="6" t="s">
        <v>116</v>
      </c>
      <c r="D287" s="13" t="n">
        <v>45492</v>
      </c>
      <c r="E287" s="14" t="n">
        <v>1404.31</v>
      </c>
      <c r="F287" s="14" t="n">
        <v>3915.91</v>
      </c>
      <c r="G287" s="6" t="s">
        <v>2613</v>
      </c>
    </row>
    <row r="288" customFormat="false" ht="15" hidden="false" customHeight="true" outlineLevel="0" collapsed="false">
      <c r="A288" s="6" t="s">
        <v>2900</v>
      </c>
      <c r="B288" s="6" t="s">
        <v>246</v>
      </c>
      <c r="C288" s="6" t="s">
        <v>116</v>
      </c>
      <c r="D288" s="13" t="n">
        <v>45499</v>
      </c>
      <c r="E288" s="14" t="n">
        <v>1080.82</v>
      </c>
      <c r="F288" s="14" t="n">
        <v>4996.73</v>
      </c>
      <c r="G288" s="6" t="s">
        <v>2613</v>
      </c>
    </row>
    <row r="289" customFormat="false" ht="15" hidden="false" customHeight="true" outlineLevel="0" collapsed="false">
      <c r="A289" s="6" t="s">
        <v>2901</v>
      </c>
      <c r="B289" s="6" t="s">
        <v>246</v>
      </c>
      <c r="C289" s="6" t="s">
        <v>116</v>
      </c>
      <c r="D289" s="13" t="n">
        <v>45506</v>
      </c>
      <c r="E289" s="14" t="n">
        <v>789.63</v>
      </c>
      <c r="F289" s="14" t="n">
        <v>5786.36</v>
      </c>
      <c r="G289" s="6" t="s">
        <v>2613</v>
      </c>
    </row>
    <row r="290" customFormat="false" ht="15" hidden="false" customHeight="true" outlineLevel="0" collapsed="false">
      <c r="A290" s="6" t="s">
        <v>2902</v>
      </c>
      <c r="B290" s="6" t="s">
        <v>246</v>
      </c>
      <c r="C290" s="6" t="s">
        <v>116</v>
      </c>
      <c r="D290" s="13" t="n">
        <v>45513</v>
      </c>
      <c r="E290" s="14" t="n">
        <v>1462.78</v>
      </c>
      <c r="F290" s="14" t="n">
        <v>7249.14</v>
      </c>
      <c r="G290" s="6" t="s">
        <v>2613</v>
      </c>
    </row>
    <row r="291" customFormat="false" ht="15" hidden="false" customHeight="true" outlineLevel="0" collapsed="false">
      <c r="A291" s="6" t="s">
        <v>2903</v>
      </c>
      <c r="B291" s="6" t="s">
        <v>246</v>
      </c>
      <c r="C291" s="6" t="s">
        <v>116</v>
      </c>
      <c r="D291" s="13" t="n">
        <v>45520</v>
      </c>
      <c r="E291" s="14" t="n">
        <v>902.39</v>
      </c>
      <c r="F291" s="14" t="n">
        <v>8151.53</v>
      </c>
      <c r="G291" s="6" t="s">
        <v>2613</v>
      </c>
    </row>
    <row r="292" customFormat="false" ht="15" hidden="false" customHeight="true" outlineLevel="0" collapsed="false">
      <c r="A292" s="6" t="s">
        <v>2904</v>
      </c>
      <c r="B292" s="6" t="s">
        <v>246</v>
      </c>
      <c r="C292" s="6" t="s">
        <v>116</v>
      </c>
      <c r="D292" s="13" t="n">
        <v>45527</v>
      </c>
      <c r="E292" s="14" t="n">
        <v>1341.95</v>
      </c>
      <c r="F292" s="14" t="n">
        <v>9493.48</v>
      </c>
      <c r="G292" s="6" t="s">
        <v>2613</v>
      </c>
    </row>
    <row r="293" customFormat="false" ht="15" hidden="false" customHeight="true" outlineLevel="0" collapsed="false">
      <c r="A293" s="6" t="s">
        <v>2905</v>
      </c>
      <c r="B293" s="6" t="s">
        <v>246</v>
      </c>
      <c r="C293" s="6" t="s">
        <v>116</v>
      </c>
      <c r="D293" s="13" t="n">
        <v>45534</v>
      </c>
      <c r="E293" s="14" t="n">
        <v>712.57</v>
      </c>
      <c r="F293" s="14" t="n">
        <v>10206.05</v>
      </c>
      <c r="G293" s="6" t="s">
        <v>2613</v>
      </c>
    </row>
    <row r="294" customFormat="false" ht="15" hidden="false" customHeight="true" outlineLevel="0" collapsed="false">
      <c r="A294" s="6" t="s">
        <v>2906</v>
      </c>
      <c r="B294" s="6" t="s">
        <v>246</v>
      </c>
      <c r="C294" s="6" t="s">
        <v>116</v>
      </c>
      <c r="D294" s="13" t="n">
        <v>45541</v>
      </c>
      <c r="E294" s="14" t="n">
        <v>842.36</v>
      </c>
      <c r="F294" s="14" t="n">
        <v>11048.41</v>
      </c>
      <c r="G294" s="6" t="s">
        <v>2613</v>
      </c>
    </row>
    <row r="295" customFormat="false" ht="15" hidden="false" customHeight="true" outlineLevel="0" collapsed="false">
      <c r="A295" s="6" t="s">
        <v>2907</v>
      </c>
      <c r="B295" s="6" t="s">
        <v>246</v>
      </c>
      <c r="C295" s="6" t="s">
        <v>116</v>
      </c>
      <c r="D295" s="13" t="n">
        <v>45548</v>
      </c>
      <c r="E295" s="14" t="n">
        <v>1229.85</v>
      </c>
      <c r="F295" s="14" t="n">
        <v>12278.26</v>
      </c>
      <c r="G295" s="6" t="s">
        <v>2613</v>
      </c>
    </row>
    <row r="296" customFormat="false" ht="15" hidden="false" customHeight="true" outlineLevel="0" collapsed="false">
      <c r="A296" s="6" t="s">
        <v>2908</v>
      </c>
      <c r="B296" s="6" t="s">
        <v>246</v>
      </c>
      <c r="C296" s="6" t="s">
        <v>116</v>
      </c>
      <c r="D296" s="13" t="n">
        <v>45555</v>
      </c>
      <c r="E296" s="14" t="n">
        <v>1377.79</v>
      </c>
      <c r="F296" s="14" t="n">
        <v>13656.05</v>
      </c>
      <c r="G296" s="6" t="s">
        <v>2613</v>
      </c>
    </row>
    <row r="297" customFormat="false" ht="15" hidden="false" customHeight="true" outlineLevel="0" collapsed="false">
      <c r="A297" s="6" t="s">
        <v>2909</v>
      </c>
      <c r="B297" s="6" t="s">
        <v>246</v>
      </c>
      <c r="C297" s="6" t="s">
        <v>116</v>
      </c>
      <c r="D297" s="13" t="n">
        <v>45562</v>
      </c>
      <c r="E297" s="14" t="n">
        <v>725.53</v>
      </c>
      <c r="F297" s="14" t="n">
        <v>14381.58</v>
      </c>
      <c r="G297" s="6" t="s">
        <v>2613</v>
      </c>
    </row>
    <row r="298" customFormat="false" ht="15" hidden="false" customHeight="true" outlineLevel="0" collapsed="false">
      <c r="A298" s="6" t="s">
        <v>2910</v>
      </c>
      <c r="B298" s="6" t="s">
        <v>246</v>
      </c>
      <c r="C298" s="6" t="s">
        <v>116</v>
      </c>
      <c r="D298" s="13" t="n">
        <v>45569</v>
      </c>
      <c r="E298" s="14" t="n">
        <v>875.9</v>
      </c>
      <c r="F298" s="14" t="n">
        <v>15257.48</v>
      </c>
      <c r="G298" s="6" t="s">
        <v>2613</v>
      </c>
    </row>
    <row r="299" customFormat="false" ht="15" hidden="false" customHeight="true" outlineLevel="0" collapsed="false">
      <c r="A299" s="6" t="s">
        <v>2911</v>
      </c>
      <c r="B299" s="6" t="s">
        <v>246</v>
      </c>
      <c r="C299" s="6" t="s">
        <v>116</v>
      </c>
      <c r="D299" s="13" t="n">
        <v>45576</v>
      </c>
      <c r="E299" s="14" t="n">
        <v>965.8</v>
      </c>
      <c r="F299" s="14" t="n">
        <v>16223.28</v>
      </c>
      <c r="G299" s="6" t="s">
        <v>2613</v>
      </c>
    </row>
    <row r="300" customFormat="false" ht="15" hidden="false" customHeight="true" outlineLevel="0" collapsed="false">
      <c r="A300" s="6" t="s">
        <v>2912</v>
      </c>
      <c r="B300" s="6" t="s">
        <v>246</v>
      </c>
      <c r="C300" s="6" t="s">
        <v>116</v>
      </c>
      <c r="D300" s="13" t="n">
        <v>45583</v>
      </c>
      <c r="E300" s="14" t="n">
        <v>873.91</v>
      </c>
      <c r="F300" s="14" t="n">
        <v>17097.19</v>
      </c>
      <c r="G300" s="6" t="s">
        <v>2613</v>
      </c>
    </row>
    <row r="301" customFormat="false" ht="15" hidden="false" customHeight="true" outlineLevel="0" collapsed="false">
      <c r="A301" s="6" t="s">
        <v>2913</v>
      </c>
      <c r="B301" s="6" t="s">
        <v>246</v>
      </c>
      <c r="C301" s="6" t="s">
        <v>116</v>
      </c>
      <c r="D301" s="13" t="n">
        <v>45590</v>
      </c>
      <c r="E301" s="14" t="n">
        <v>1198.89</v>
      </c>
      <c r="F301" s="14" t="n">
        <v>18296.08</v>
      </c>
      <c r="G301" s="6" t="s">
        <v>2613</v>
      </c>
    </row>
    <row r="302" customFormat="false" ht="15" hidden="false" customHeight="true" outlineLevel="0" collapsed="false">
      <c r="A302" s="6" t="s">
        <v>2914</v>
      </c>
      <c r="B302" s="6" t="s">
        <v>246</v>
      </c>
      <c r="C302" s="6" t="s">
        <v>116</v>
      </c>
      <c r="D302" s="13" t="n">
        <v>45597</v>
      </c>
      <c r="E302" s="14" t="n">
        <v>1230.22</v>
      </c>
      <c r="F302" s="14" t="n">
        <v>19526.3</v>
      </c>
      <c r="G302" s="6" t="s">
        <v>2613</v>
      </c>
    </row>
    <row r="303" customFormat="false" ht="15" hidden="false" customHeight="true" outlineLevel="0" collapsed="false">
      <c r="A303" s="6" t="s">
        <v>2915</v>
      </c>
      <c r="B303" s="6" t="s">
        <v>246</v>
      </c>
      <c r="C303" s="6" t="s">
        <v>116</v>
      </c>
      <c r="D303" s="13" t="n">
        <v>45604</v>
      </c>
      <c r="E303" s="14" t="n">
        <v>1182.49</v>
      </c>
      <c r="F303" s="14" t="n">
        <v>20708.79</v>
      </c>
      <c r="G303" s="6" t="s">
        <v>2613</v>
      </c>
    </row>
    <row r="304" customFormat="false" ht="15" hidden="false" customHeight="true" outlineLevel="0" collapsed="false">
      <c r="A304" s="6" t="s">
        <v>2916</v>
      </c>
      <c r="B304" s="6" t="s">
        <v>246</v>
      </c>
      <c r="C304" s="6" t="s">
        <v>116</v>
      </c>
      <c r="D304" s="13" t="n">
        <v>45611</v>
      </c>
      <c r="E304" s="14" t="n">
        <v>1955.81</v>
      </c>
      <c r="F304" s="14" t="n">
        <v>22664.6</v>
      </c>
      <c r="G304" s="6" t="s">
        <v>2613</v>
      </c>
    </row>
    <row r="305" customFormat="false" ht="15" hidden="false" customHeight="true" outlineLevel="0" collapsed="false">
      <c r="A305" s="6" t="s">
        <v>2917</v>
      </c>
      <c r="B305" s="6" t="s">
        <v>248</v>
      </c>
      <c r="C305" s="6" t="s">
        <v>128</v>
      </c>
      <c r="D305" s="13" t="n">
        <v>44806</v>
      </c>
      <c r="E305" s="14" t="n">
        <v>1419.34</v>
      </c>
      <c r="F305" s="14" t="n">
        <v>1419.34</v>
      </c>
      <c r="G305" s="6" t="s">
        <v>2613</v>
      </c>
    </row>
    <row r="306" customFormat="false" ht="15" hidden="false" customHeight="true" outlineLevel="0" collapsed="false">
      <c r="A306" s="6" t="s">
        <v>2918</v>
      </c>
      <c r="B306" s="6" t="s">
        <v>248</v>
      </c>
      <c r="C306" s="6" t="s">
        <v>128</v>
      </c>
      <c r="D306" s="13" t="n">
        <v>44813</v>
      </c>
      <c r="E306" s="14" t="n">
        <v>2276.43</v>
      </c>
      <c r="F306" s="14" t="n">
        <v>3695.77</v>
      </c>
      <c r="G306" s="6" t="s">
        <v>2613</v>
      </c>
    </row>
    <row r="307" customFormat="false" ht="15" hidden="false" customHeight="true" outlineLevel="0" collapsed="false">
      <c r="A307" s="6" t="s">
        <v>2919</v>
      </c>
      <c r="B307" s="6" t="s">
        <v>248</v>
      </c>
      <c r="C307" s="6" t="s">
        <v>128</v>
      </c>
      <c r="D307" s="13" t="n">
        <v>44820</v>
      </c>
      <c r="E307" s="14" t="n">
        <v>2717.92</v>
      </c>
      <c r="F307" s="14" t="n">
        <v>6413.69</v>
      </c>
      <c r="G307" s="6" t="s">
        <v>2613</v>
      </c>
    </row>
    <row r="308" customFormat="false" ht="15" hidden="false" customHeight="true" outlineLevel="0" collapsed="false">
      <c r="A308" s="6" t="s">
        <v>2920</v>
      </c>
      <c r="B308" s="6" t="s">
        <v>248</v>
      </c>
      <c r="C308" s="6" t="s">
        <v>128</v>
      </c>
      <c r="D308" s="13" t="n">
        <v>44827</v>
      </c>
      <c r="E308" s="14" t="n">
        <v>2391.47</v>
      </c>
      <c r="F308" s="14" t="n">
        <v>8805.16</v>
      </c>
      <c r="G308" s="6" t="s">
        <v>2613</v>
      </c>
    </row>
    <row r="309" customFormat="false" ht="15" hidden="false" customHeight="true" outlineLevel="0" collapsed="false">
      <c r="A309" s="6" t="s">
        <v>2921</v>
      </c>
      <c r="B309" s="6" t="s">
        <v>248</v>
      </c>
      <c r="C309" s="6" t="s">
        <v>128</v>
      </c>
      <c r="D309" s="13" t="n">
        <v>44834</v>
      </c>
      <c r="E309" s="14" t="n">
        <v>1866.81</v>
      </c>
      <c r="F309" s="14" t="n">
        <v>10671.97</v>
      </c>
      <c r="G309" s="6" t="s">
        <v>2623</v>
      </c>
    </row>
    <row r="310" customFormat="false" ht="15" hidden="false" customHeight="true" outlineLevel="0" collapsed="false">
      <c r="A310" s="6" t="s">
        <v>2922</v>
      </c>
      <c r="B310" s="6" t="s">
        <v>248</v>
      </c>
      <c r="C310" s="6" t="s">
        <v>128</v>
      </c>
      <c r="D310" s="13" t="n">
        <v>44841</v>
      </c>
      <c r="E310" s="14" t="n">
        <v>1986.15</v>
      </c>
      <c r="F310" s="14" t="n">
        <v>12658.12</v>
      </c>
      <c r="G310" s="6" t="s">
        <v>2613</v>
      </c>
    </row>
    <row r="311" customFormat="false" ht="15" hidden="false" customHeight="true" outlineLevel="0" collapsed="false">
      <c r="A311" s="6" t="s">
        <v>2923</v>
      </c>
      <c r="B311" s="6" t="s">
        <v>248</v>
      </c>
      <c r="C311" s="6" t="s">
        <v>128</v>
      </c>
      <c r="D311" s="13" t="n">
        <v>44848</v>
      </c>
      <c r="E311" s="14" t="n">
        <v>2726.81</v>
      </c>
      <c r="F311" s="14" t="n">
        <v>15384.93</v>
      </c>
      <c r="G311" s="6" t="s">
        <v>2623</v>
      </c>
    </row>
    <row r="312" customFormat="false" ht="15" hidden="false" customHeight="true" outlineLevel="0" collapsed="false">
      <c r="A312" s="6" t="s">
        <v>2924</v>
      </c>
      <c r="B312" s="6" t="s">
        <v>248</v>
      </c>
      <c r="C312" s="6" t="s">
        <v>128</v>
      </c>
      <c r="D312" s="13" t="n">
        <v>44855</v>
      </c>
      <c r="E312" s="14" t="n">
        <v>640.81</v>
      </c>
      <c r="F312" s="14" t="n">
        <v>16025.74</v>
      </c>
      <c r="G312" s="6" t="s">
        <v>2613</v>
      </c>
    </row>
    <row r="313" customFormat="false" ht="15" hidden="false" customHeight="true" outlineLevel="0" collapsed="false">
      <c r="A313" s="6" t="s">
        <v>2925</v>
      </c>
      <c r="B313" s="6" t="s">
        <v>250</v>
      </c>
      <c r="C313" s="6" t="s">
        <v>124</v>
      </c>
      <c r="D313" s="13" t="n">
        <v>45500</v>
      </c>
      <c r="E313" s="14" t="n">
        <v>2967.21</v>
      </c>
      <c r="F313" s="14" t="n">
        <v>2967.21</v>
      </c>
      <c r="G313" s="6" t="s">
        <v>2613</v>
      </c>
    </row>
    <row r="314" customFormat="false" ht="15" hidden="false" customHeight="true" outlineLevel="0" collapsed="false">
      <c r="A314" s="6" t="s">
        <v>2926</v>
      </c>
      <c r="B314" s="6" t="s">
        <v>250</v>
      </c>
      <c r="C314" s="6" t="s">
        <v>124</v>
      </c>
      <c r="D314" s="13" t="n">
        <v>45507</v>
      </c>
      <c r="E314" s="14" t="n">
        <v>1709.61</v>
      </c>
      <c r="F314" s="14" t="n">
        <v>4676.82</v>
      </c>
      <c r="G314" s="6" t="s">
        <v>2613</v>
      </c>
    </row>
    <row r="315" customFormat="false" ht="15" hidden="false" customHeight="true" outlineLevel="0" collapsed="false">
      <c r="A315" s="6" t="s">
        <v>2927</v>
      </c>
      <c r="B315" s="6" t="s">
        <v>250</v>
      </c>
      <c r="C315" s="6" t="s">
        <v>124</v>
      </c>
      <c r="D315" s="13" t="n">
        <v>45514</v>
      </c>
      <c r="E315" s="14" t="n">
        <v>3713.19</v>
      </c>
      <c r="F315" s="14" t="n">
        <v>8390.01</v>
      </c>
      <c r="G315" s="6" t="s">
        <v>2613</v>
      </c>
    </row>
    <row r="316" customFormat="false" ht="15" hidden="false" customHeight="true" outlineLevel="0" collapsed="false">
      <c r="A316" s="6" t="s">
        <v>2928</v>
      </c>
      <c r="B316" s="6" t="s">
        <v>250</v>
      </c>
      <c r="C316" s="6" t="s">
        <v>124</v>
      </c>
      <c r="D316" s="13" t="n">
        <v>45521</v>
      </c>
      <c r="E316" s="14" t="n">
        <v>2039.81</v>
      </c>
      <c r="F316" s="14" t="n">
        <v>10429.82</v>
      </c>
      <c r="G316" s="6" t="s">
        <v>2613</v>
      </c>
    </row>
    <row r="317" customFormat="false" ht="15" hidden="false" customHeight="true" outlineLevel="0" collapsed="false">
      <c r="A317" s="6" t="s">
        <v>2929</v>
      </c>
      <c r="B317" s="6" t="s">
        <v>250</v>
      </c>
      <c r="C317" s="6" t="s">
        <v>124</v>
      </c>
      <c r="D317" s="13" t="n">
        <v>45528</v>
      </c>
      <c r="E317" s="14" t="n">
        <v>2785.09</v>
      </c>
      <c r="F317" s="14" t="n">
        <v>13214.91</v>
      </c>
      <c r="G317" s="6" t="s">
        <v>2613</v>
      </c>
    </row>
    <row r="318" customFormat="false" ht="15" hidden="false" customHeight="true" outlineLevel="0" collapsed="false">
      <c r="A318" s="6" t="s">
        <v>2930</v>
      </c>
      <c r="B318" s="6" t="s">
        <v>250</v>
      </c>
      <c r="C318" s="6" t="s">
        <v>124</v>
      </c>
      <c r="D318" s="13" t="n">
        <v>45535</v>
      </c>
      <c r="E318" s="14" t="n">
        <v>3337.84</v>
      </c>
      <c r="F318" s="14" t="n">
        <v>16552.75</v>
      </c>
      <c r="G318" s="6" t="s">
        <v>2613</v>
      </c>
    </row>
    <row r="319" customFormat="false" ht="15" hidden="false" customHeight="true" outlineLevel="0" collapsed="false">
      <c r="A319" s="6" t="s">
        <v>2931</v>
      </c>
      <c r="B319" s="6" t="s">
        <v>250</v>
      </c>
      <c r="C319" s="6" t="s">
        <v>124</v>
      </c>
      <c r="D319" s="13" t="n">
        <v>45542</v>
      </c>
      <c r="E319" s="14" t="n">
        <v>3255.23</v>
      </c>
      <c r="F319" s="14" t="n">
        <v>19807.98</v>
      </c>
      <c r="G319" s="6" t="s">
        <v>2613</v>
      </c>
    </row>
    <row r="320" customFormat="false" ht="15" hidden="false" customHeight="true" outlineLevel="0" collapsed="false">
      <c r="A320" s="6" t="s">
        <v>2932</v>
      </c>
      <c r="B320" s="6" t="s">
        <v>250</v>
      </c>
      <c r="C320" s="6" t="s">
        <v>124</v>
      </c>
      <c r="D320" s="13" t="n">
        <v>45549</v>
      </c>
      <c r="E320" s="14" t="n">
        <v>1546.65</v>
      </c>
      <c r="F320" s="14" t="n">
        <v>21354.63</v>
      </c>
      <c r="G320" s="6" t="s">
        <v>2613</v>
      </c>
    </row>
    <row r="321" customFormat="false" ht="15" hidden="false" customHeight="true" outlineLevel="0" collapsed="false">
      <c r="A321" s="6" t="s">
        <v>2933</v>
      </c>
      <c r="B321" s="6" t="s">
        <v>252</v>
      </c>
      <c r="C321" s="6" t="s">
        <v>120</v>
      </c>
      <c r="D321" s="13" t="n">
        <v>44601</v>
      </c>
      <c r="E321" s="14" t="n">
        <v>2333.47</v>
      </c>
      <c r="F321" s="14" t="n">
        <v>2333.47</v>
      </c>
      <c r="G321" s="6" t="s">
        <v>2613</v>
      </c>
    </row>
    <row r="322" customFormat="false" ht="15" hidden="false" customHeight="true" outlineLevel="0" collapsed="false">
      <c r="A322" s="6" t="s">
        <v>2934</v>
      </c>
      <c r="B322" s="6" t="s">
        <v>252</v>
      </c>
      <c r="C322" s="6" t="s">
        <v>120</v>
      </c>
      <c r="D322" s="13" t="n">
        <v>44608</v>
      </c>
      <c r="E322" s="14" t="n">
        <v>2339.65</v>
      </c>
      <c r="F322" s="14" t="n">
        <v>4673.12</v>
      </c>
      <c r="G322" s="6" t="s">
        <v>2613</v>
      </c>
    </row>
    <row r="323" customFormat="false" ht="15" hidden="false" customHeight="true" outlineLevel="0" collapsed="false">
      <c r="A323" s="6" t="s">
        <v>2935</v>
      </c>
      <c r="B323" s="6" t="s">
        <v>252</v>
      </c>
      <c r="C323" s="6" t="s">
        <v>120</v>
      </c>
      <c r="D323" s="13" t="n">
        <v>44615</v>
      </c>
      <c r="E323" s="14" t="n">
        <v>2390.26</v>
      </c>
      <c r="F323" s="14" t="n">
        <v>7063.38</v>
      </c>
      <c r="G323" s="6" t="s">
        <v>2613</v>
      </c>
    </row>
    <row r="324" customFormat="false" ht="15" hidden="false" customHeight="true" outlineLevel="0" collapsed="false">
      <c r="A324" s="6" t="s">
        <v>2936</v>
      </c>
      <c r="B324" s="6" t="s">
        <v>252</v>
      </c>
      <c r="C324" s="6" t="s">
        <v>120</v>
      </c>
      <c r="D324" s="13" t="n">
        <v>44622</v>
      </c>
      <c r="E324" s="14" t="n">
        <v>1343.81</v>
      </c>
      <c r="F324" s="14" t="n">
        <v>8407.19</v>
      </c>
      <c r="G324" s="6" t="s">
        <v>2613</v>
      </c>
    </row>
    <row r="325" customFormat="false" ht="15" hidden="false" customHeight="true" outlineLevel="0" collapsed="false">
      <c r="A325" s="6" t="s">
        <v>2937</v>
      </c>
      <c r="B325" s="6" t="s">
        <v>252</v>
      </c>
      <c r="C325" s="6" t="s">
        <v>120</v>
      </c>
      <c r="D325" s="13" t="n">
        <v>44629</v>
      </c>
      <c r="E325" s="14" t="n">
        <v>2652.11</v>
      </c>
      <c r="F325" s="14" t="n">
        <v>11059.3</v>
      </c>
      <c r="G325" s="6" t="s">
        <v>2623</v>
      </c>
    </row>
    <row r="326" customFormat="false" ht="15" hidden="false" customHeight="true" outlineLevel="0" collapsed="false">
      <c r="A326" s="6" t="s">
        <v>2938</v>
      </c>
      <c r="B326" s="6" t="s">
        <v>252</v>
      </c>
      <c r="C326" s="6" t="s">
        <v>120</v>
      </c>
      <c r="D326" s="13" t="n">
        <v>44636</v>
      </c>
      <c r="E326" s="14" t="n">
        <v>2398.41</v>
      </c>
      <c r="F326" s="14" t="n">
        <v>13457.71</v>
      </c>
      <c r="G326" s="6" t="s">
        <v>2613</v>
      </c>
    </row>
    <row r="327" customFormat="false" ht="15" hidden="false" customHeight="true" outlineLevel="0" collapsed="false">
      <c r="A327" s="6" t="s">
        <v>2939</v>
      </c>
      <c r="B327" s="6" t="s">
        <v>252</v>
      </c>
      <c r="C327" s="6" t="s">
        <v>120</v>
      </c>
      <c r="D327" s="13" t="n">
        <v>44643</v>
      </c>
      <c r="E327" s="14" t="n">
        <v>1988.91</v>
      </c>
      <c r="F327" s="14" t="n">
        <v>15446.62</v>
      </c>
      <c r="G327" s="6" t="s">
        <v>2613</v>
      </c>
    </row>
    <row r="328" customFormat="false" ht="15" hidden="false" customHeight="true" outlineLevel="0" collapsed="false">
      <c r="A328" s="6" t="s">
        <v>2940</v>
      </c>
      <c r="B328" s="6" t="s">
        <v>252</v>
      </c>
      <c r="C328" s="6" t="s">
        <v>120</v>
      </c>
      <c r="D328" s="13" t="n">
        <v>44650</v>
      </c>
      <c r="E328" s="14" t="n">
        <v>196.24</v>
      </c>
      <c r="F328" s="14" t="n">
        <v>15642.86</v>
      </c>
      <c r="G328" s="6" t="s">
        <v>2613</v>
      </c>
    </row>
    <row r="329" customFormat="false" ht="15" hidden="false" customHeight="true" outlineLevel="0" collapsed="false">
      <c r="A329" s="6" t="s">
        <v>2941</v>
      </c>
      <c r="B329" s="6" t="s">
        <v>255</v>
      </c>
      <c r="C329" s="6" t="s">
        <v>112</v>
      </c>
      <c r="D329" s="13" t="n">
        <v>45132</v>
      </c>
      <c r="E329" s="14" t="n">
        <v>2305.49</v>
      </c>
      <c r="F329" s="14" t="n">
        <v>2305.49</v>
      </c>
      <c r="G329" s="6" t="s">
        <v>2613</v>
      </c>
    </row>
    <row r="330" customFormat="false" ht="15" hidden="false" customHeight="true" outlineLevel="0" collapsed="false">
      <c r="A330" s="6" t="s">
        <v>2942</v>
      </c>
      <c r="B330" s="6" t="s">
        <v>255</v>
      </c>
      <c r="C330" s="6" t="s">
        <v>112</v>
      </c>
      <c r="D330" s="13" t="n">
        <v>45139</v>
      </c>
      <c r="E330" s="14" t="n">
        <v>2124.54</v>
      </c>
      <c r="F330" s="14" t="n">
        <v>4430.03</v>
      </c>
      <c r="G330" s="6" t="s">
        <v>2613</v>
      </c>
    </row>
    <row r="331" customFormat="false" ht="15" hidden="false" customHeight="true" outlineLevel="0" collapsed="false">
      <c r="A331" s="6" t="s">
        <v>2943</v>
      </c>
      <c r="B331" s="6" t="s">
        <v>255</v>
      </c>
      <c r="C331" s="6" t="s">
        <v>112</v>
      </c>
      <c r="D331" s="13" t="n">
        <v>45146</v>
      </c>
      <c r="E331" s="14" t="n">
        <v>1979.73</v>
      </c>
      <c r="F331" s="14" t="n">
        <v>6409.76</v>
      </c>
      <c r="G331" s="6" t="s">
        <v>2613</v>
      </c>
    </row>
    <row r="332" customFormat="false" ht="15" hidden="false" customHeight="true" outlineLevel="0" collapsed="false">
      <c r="A332" s="6" t="s">
        <v>2944</v>
      </c>
      <c r="B332" s="6" t="s">
        <v>255</v>
      </c>
      <c r="C332" s="6" t="s">
        <v>112</v>
      </c>
      <c r="D332" s="13" t="n">
        <v>45153</v>
      </c>
      <c r="E332" s="14" t="n">
        <v>2433.12</v>
      </c>
      <c r="F332" s="14" t="n">
        <v>8842.88</v>
      </c>
      <c r="G332" s="6" t="s">
        <v>2613</v>
      </c>
    </row>
    <row r="333" customFormat="false" ht="15" hidden="false" customHeight="true" outlineLevel="0" collapsed="false">
      <c r="A333" s="6" t="s">
        <v>2945</v>
      </c>
      <c r="B333" s="6" t="s">
        <v>255</v>
      </c>
      <c r="C333" s="6" t="s">
        <v>112</v>
      </c>
      <c r="D333" s="13" t="n">
        <v>45160</v>
      </c>
      <c r="E333" s="14" t="n">
        <v>2214.92</v>
      </c>
      <c r="F333" s="14" t="n">
        <v>11057.8</v>
      </c>
      <c r="G333" s="6" t="s">
        <v>2613</v>
      </c>
    </row>
    <row r="334" customFormat="false" ht="15" hidden="false" customHeight="true" outlineLevel="0" collapsed="false">
      <c r="A334" s="6" t="s">
        <v>2946</v>
      </c>
      <c r="B334" s="6" t="s">
        <v>255</v>
      </c>
      <c r="C334" s="6" t="s">
        <v>112</v>
      </c>
      <c r="D334" s="13" t="n">
        <v>45167</v>
      </c>
      <c r="E334" s="14" t="n">
        <v>768.04</v>
      </c>
      <c r="F334" s="14" t="n">
        <v>11825.84</v>
      </c>
      <c r="G334" s="6" t="s">
        <v>2613</v>
      </c>
    </row>
    <row r="335" customFormat="false" ht="15" hidden="false" customHeight="true" outlineLevel="0" collapsed="false">
      <c r="A335" s="6" t="s">
        <v>2947</v>
      </c>
      <c r="B335" s="6" t="s">
        <v>257</v>
      </c>
      <c r="C335" s="6" t="s">
        <v>116</v>
      </c>
      <c r="D335" s="13" t="n">
        <v>45335</v>
      </c>
      <c r="E335" s="14" t="n">
        <v>7246.78</v>
      </c>
      <c r="F335" s="14" t="n">
        <v>7246.78</v>
      </c>
      <c r="G335" s="6" t="s">
        <v>2623</v>
      </c>
    </row>
    <row r="336" customFormat="false" ht="15" hidden="false" customHeight="true" outlineLevel="0" collapsed="false">
      <c r="A336" s="6" t="s">
        <v>2948</v>
      </c>
      <c r="B336" s="6" t="s">
        <v>257</v>
      </c>
      <c r="C336" s="6" t="s">
        <v>116</v>
      </c>
      <c r="D336" s="13" t="n">
        <v>45342</v>
      </c>
      <c r="E336" s="14" t="n">
        <v>4944.75</v>
      </c>
      <c r="F336" s="14" t="n">
        <v>12191.53</v>
      </c>
      <c r="G336" s="6" t="s">
        <v>2613</v>
      </c>
    </row>
    <row r="337" customFormat="false" ht="15" hidden="false" customHeight="true" outlineLevel="0" collapsed="false">
      <c r="A337" s="6" t="s">
        <v>2949</v>
      </c>
      <c r="B337" s="6" t="s">
        <v>257</v>
      </c>
      <c r="C337" s="6" t="s">
        <v>116</v>
      </c>
      <c r="D337" s="13" t="n">
        <v>45349</v>
      </c>
      <c r="E337" s="14" t="n">
        <v>8846.88</v>
      </c>
      <c r="F337" s="14" t="n">
        <v>21038.41</v>
      </c>
      <c r="G337" s="6" t="s">
        <v>2613</v>
      </c>
    </row>
    <row r="338" customFormat="false" ht="15" hidden="false" customHeight="true" outlineLevel="0" collapsed="false">
      <c r="A338" s="6" t="s">
        <v>2950</v>
      </c>
      <c r="B338" s="6" t="s">
        <v>257</v>
      </c>
      <c r="C338" s="6" t="s">
        <v>116</v>
      </c>
      <c r="D338" s="13" t="n">
        <v>45356</v>
      </c>
      <c r="E338" s="14" t="n">
        <v>5209.65</v>
      </c>
      <c r="F338" s="14" t="n">
        <v>26248.06</v>
      </c>
      <c r="G338" s="6" t="s">
        <v>2623</v>
      </c>
    </row>
    <row r="339" customFormat="false" ht="15" hidden="false" customHeight="true" outlineLevel="0" collapsed="false">
      <c r="A339" s="6" t="s">
        <v>2951</v>
      </c>
      <c r="B339" s="6" t="s">
        <v>257</v>
      </c>
      <c r="C339" s="6" t="s">
        <v>116</v>
      </c>
      <c r="D339" s="13" t="n">
        <v>45363</v>
      </c>
      <c r="E339" s="14" t="n">
        <v>10101.98</v>
      </c>
      <c r="F339" s="14" t="n">
        <v>36350.04</v>
      </c>
      <c r="G339" s="6" t="s">
        <v>2613</v>
      </c>
    </row>
    <row r="340" customFormat="false" ht="15" hidden="false" customHeight="true" outlineLevel="0" collapsed="false">
      <c r="A340" s="6" t="s">
        <v>2952</v>
      </c>
      <c r="B340" s="6" t="s">
        <v>257</v>
      </c>
      <c r="C340" s="6" t="s">
        <v>116</v>
      </c>
      <c r="D340" s="13" t="n">
        <v>45370</v>
      </c>
      <c r="E340" s="14" t="n">
        <v>8044.53</v>
      </c>
      <c r="F340" s="14" t="n">
        <v>44394.57</v>
      </c>
      <c r="G340" s="6" t="s">
        <v>2613</v>
      </c>
    </row>
    <row r="341" customFormat="false" ht="15" hidden="false" customHeight="true" outlineLevel="0" collapsed="false">
      <c r="A341" s="6" t="s">
        <v>2953</v>
      </c>
      <c r="B341" s="6" t="s">
        <v>259</v>
      </c>
      <c r="C341" s="6" t="s">
        <v>124</v>
      </c>
      <c r="D341" s="13" t="n">
        <v>45028</v>
      </c>
      <c r="E341" s="14" t="n">
        <v>5617.29</v>
      </c>
      <c r="F341" s="14" t="n">
        <v>5617.29</v>
      </c>
      <c r="G341" s="6" t="s">
        <v>2613</v>
      </c>
    </row>
    <row r="342" customFormat="false" ht="15" hidden="false" customHeight="true" outlineLevel="0" collapsed="false">
      <c r="A342" s="6" t="s">
        <v>2954</v>
      </c>
      <c r="B342" s="6" t="s">
        <v>259</v>
      </c>
      <c r="C342" s="6" t="s">
        <v>124</v>
      </c>
      <c r="D342" s="13" t="n">
        <v>45035</v>
      </c>
      <c r="E342" s="14" t="n">
        <v>4423.12</v>
      </c>
      <c r="F342" s="14" t="n">
        <v>10040.41</v>
      </c>
      <c r="G342" s="6" t="s">
        <v>2613</v>
      </c>
    </row>
    <row r="343" customFormat="false" ht="15" hidden="false" customHeight="true" outlineLevel="0" collapsed="false">
      <c r="A343" s="6" t="s">
        <v>2955</v>
      </c>
      <c r="B343" s="6" t="s">
        <v>259</v>
      </c>
      <c r="C343" s="6" t="s">
        <v>124</v>
      </c>
      <c r="D343" s="13" t="n">
        <v>45042</v>
      </c>
      <c r="E343" s="14" t="n">
        <v>5070.5</v>
      </c>
      <c r="F343" s="14" t="n">
        <v>15110.91</v>
      </c>
      <c r="G343" s="6" t="s">
        <v>2613</v>
      </c>
    </row>
    <row r="344" customFormat="false" ht="15" hidden="false" customHeight="true" outlineLevel="0" collapsed="false">
      <c r="A344" s="6" t="s">
        <v>2956</v>
      </c>
      <c r="B344" s="6" t="s">
        <v>259</v>
      </c>
      <c r="C344" s="6" t="s">
        <v>124</v>
      </c>
      <c r="D344" s="13" t="n">
        <v>45049</v>
      </c>
      <c r="E344" s="14" t="n">
        <v>6525.36</v>
      </c>
      <c r="F344" s="14" t="n">
        <v>21636.27</v>
      </c>
      <c r="G344" s="6" t="s">
        <v>2613</v>
      </c>
    </row>
    <row r="345" customFormat="false" ht="15" hidden="false" customHeight="true" outlineLevel="0" collapsed="false">
      <c r="A345" s="6" t="s">
        <v>2957</v>
      </c>
      <c r="B345" s="6" t="s">
        <v>259</v>
      </c>
      <c r="C345" s="6" t="s">
        <v>124</v>
      </c>
      <c r="D345" s="13" t="n">
        <v>45056</v>
      </c>
      <c r="E345" s="14" t="n">
        <v>6127.78</v>
      </c>
      <c r="F345" s="14" t="n">
        <v>27764.05</v>
      </c>
      <c r="G345" s="6" t="s">
        <v>2613</v>
      </c>
    </row>
    <row r="346" customFormat="false" ht="15" hidden="false" customHeight="true" outlineLevel="0" collapsed="false">
      <c r="A346" s="6" t="s">
        <v>2958</v>
      </c>
      <c r="B346" s="6" t="s">
        <v>259</v>
      </c>
      <c r="C346" s="6" t="s">
        <v>124</v>
      </c>
      <c r="D346" s="13" t="n">
        <v>45063</v>
      </c>
      <c r="E346" s="14" t="n">
        <v>5844.04</v>
      </c>
      <c r="F346" s="14" t="n">
        <v>33608.09</v>
      </c>
      <c r="G346" s="6" t="s">
        <v>2613</v>
      </c>
    </row>
    <row r="347" customFormat="false" ht="15" hidden="false" customHeight="true" outlineLevel="0" collapsed="false">
      <c r="A347" s="6" t="s">
        <v>2959</v>
      </c>
      <c r="B347" s="6" t="s">
        <v>259</v>
      </c>
      <c r="C347" s="6" t="s">
        <v>124</v>
      </c>
      <c r="D347" s="13" t="n">
        <v>45070</v>
      </c>
      <c r="E347" s="14" t="n">
        <v>6207.31</v>
      </c>
      <c r="F347" s="14" t="n">
        <v>39815.4</v>
      </c>
      <c r="G347" s="6" t="s">
        <v>2623</v>
      </c>
    </row>
    <row r="348" customFormat="false" ht="15" hidden="false" customHeight="true" outlineLevel="0" collapsed="false">
      <c r="A348" s="6" t="s">
        <v>2960</v>
      </c>
      <c r="B348" s="6" t="s">
        <v>259</v>
      </c>
      <c r="C348" s="6" t="s">
        <v>124</v>
      </c>
      <c r="D348" s="13" t="n">
        <v>45077</v>
      </c>
      <c r="E348" s="14" t="n">
        <v>3187.26</v>
      </c>
      <c r="F348" s="14" t="n">
        <v>43002.66</v>
      </c>
      <c r="G348" s="6" t="s">
        <v>2613</v>
      </c>
    </row>
    <row r="349" customFormat="false" ht="15" hidden="false" customHeight="true" outlineLevel="0" collapsed="false">
      <c r="A349" s="6" t="s">
        <v>2961</v>
      </c>
      <c r="B349" s="6" t="s">
        <v>261</v>
      </c>
      <c r="C349" s="6" t="s">
        <v>120</v>
      </c>
      <c r="D349" s="13" t="n">
        <v>45655</v>
      </c>
      <c r="E349" s="14" t="n">
        <v>104.42</v>
      </c>
      <c r="F349" s="14" t="n">
        <v>104.42</v>
      </c>
      <c r="G349" s="6" t="s">
        <v>2613</v>
      </c>
    </row>
    <row r="350" customFormat="false" ht="15" hidden="false" customHeight="true" outlineLevel="0" collapsed="false">
      <c r="A350" s="6" t="s">
        <v>2962</v>
      </c>
      <c r="B350" s="6" t="s">
        <v>261</v>
      </c>
      <c r="C350" s="6" t="s">
        <v>120</v>
      </c>
      <c r="D350" s="13" t="n">
        <v>45662</v>
      </c>
      <c r="E350" s="14" t="n">
        <v>140.86</v>
      </c>
      <c r="F350" s="14" t="n">
        <v>245.28</v>
      </c>
      <c r="G350" s="6" t="s">
        <v>2613</v>
      </c>
    </row>
    <row r="351" customFormat="false" ht="15" hidden="false" customHeight="true" outlineLevel="0" collapsed="false">
      <c r="A351" s="6" t="s">
        <v>2963</v>
      </c>
      <c r="B351" s="6" t="s">
        <v>261</v>
      </c>
      <c r="C351" s="6" t="s">
        <v>120</v>
      </c>
      <c r="D351" s="13" t="n">
        <v>45669</v>
      </c>
      <c r="E351" s="14" t="n">
        <v>126.12</v>
      </c>
      <c r="F351" s="14" t="n">
        <v>371.4</v>
      </c>
      <c r="G351" s="6" t="s">
        <v>2623</v>
      </c>
    </row>
    <row r="352" customFormat="false" ht="15" hidden="false" customHeight="true" outlineLevel="0" collapsed="false">
      <c r="A352" s="6" t="s">
        <v>2964</v>
      </c>
      <c r="B352" s="6" t="s">
        <v>261</v>
      </c>
      <c r="C352" s="6" t="s">
        <v>120</v>
      </c>
      <c r="D352" s="13" t="n">
        <v>45676</v>
      </c>
      <c r="E352" s="14" t="n">
        <v>76.83</v>
      </c>
      <c r="F352" s="14" t="n">
        <v>448.23</v>
      </c>
      <c r="G352" s="6" t="s">
        <v>2613</v>
      </c>
    </row>
    <row r="353" customFormat="false" ht="15" hidden="false" customHeight="true" outlineLevel="0" collapsed="false">
      <c r="A353" s="6" t="s">
        <v>2965</v>
      </c>
      <c r="B353" s="6" t="s">
        <v>261</v>
      </c>
      <c r="C353" s="6" t="s">
        <v>120</v>
      </c>
      <c r="D353" s="13" t="n">
        <v>45683</v>
      </c>
      <c r="E353" s="14" t="n">
        <v>130.93</v>
      </c>
      <c r="F353" s="14" t="n">
        <v>579.16</v>
      </c>
      <c r="G353" s="6" t="s">
        <v>2613</v>
      </c>
    </row>
    <row r="354" customFormat="false" ht="15" hidden="false" customHeight="true" outlineLevel="0" collapsed="false">
      <c r="A354" s="6" t="s">
        <v>2966</v>
      </c>
      <c r="B354" s="6" t="s">
        <v>261</v>
      </c>
      <c r="C354" s="6" t="s">
        <v>120</v>
      </c>
      <c r="D354" s="13" t="n">
        <v>45690</v>
      </c>
      <c r="E354" s="14" t="n">
        <v>97.84</v>
      </c>
      <c r="F354" s="14" t="n">
        <v>677</v>
      </c>
      <c r="G354" s="6" t="s">
        <v>2613</v>
      </c>
    </row>
    <row r="355" customFormat="false" ht="15" hidden="false" customHeight="true" outlineLevel="0" collapsed="false">
      <c r="A355" s="6" t="s">
        <v>2967</v>
      </c>
      <c r="B355" s="6" t="s">
        <v>261</v>
      </c>
      <c r="C355" s="6" t="s">
        <v>120</v>
      </c>
      <c r="D355" s="13" t="n">
        <v>45697</v>
      </c>
      <c r="E355" s="14" t="n">
        <v>118.28</v>
      </c>
      <c r="F355" s="14" t="n">
        <v>795.28</v>
      </c>
      <c r="G355" s="6" t="s">
        <v>2613</v>
      </c>
    </row>
    <row r="356" customFormat="false" ht="15" hidden="false" customHeight="true" outlineLevel="0" collapsed="false">
      <c r="A356" s="6" t="s">
        <v>2968</v>
      </c>
      <c r="B356" s="6" t="s">
        <v>261</v>
      </c>
      <c r="C356" s="6" t="s">
        <v>120</v>
      </c>
      <c r="D356" s="13" t="n">
        <v>45704</v>
      </c>
      <c r="E356" s="14" t="n">
        <v>97.94</v>
      </c>
      <c r="F356" s="14" t="n">
        <v>893.22</v>
      </c>
      <c r="G356" s="6" t="s">
        <v>2613</v>
      </c>
    </row>
    <row r="357" customFormat="false" ht="15" hidden="false" customHeight="true" outlineLevel="0" collapsed="false">
      <c r="A357" s="6" t="s">
        <v>2969</v>
      </c>
      <c r="B357" s="6" t="s">
        <v>261</v>
      </c>
      <c r="C357" s="6" t="s">
        <v>120</v>
      </c>
      <c r="D357" s="13" t="n">
        <v>45711</v>
      </c>
      <c r="E357" s="14" t="n">
        <v>82.68</v>
      </c>
      <c r="F357" s="14" t="n">
        <v>975.9</v>
      </c>
      <c r="G357" s="6" t="s">
        <v>2613</v>
      </c>
    </row>
    <row r="358" customFormat="false" ht="15" hidden="false" customHeight="true" outlineLevel="0" collapsed="false">
      <c r="A358" s="6" t="s">
        <v>2970</v>
      </c>
      <c r="B358" s="6" t="s">
        <v>261</v>
      </c>
      <c r="C358" s="6" t="s">
        <v>120</v>
      </c>
      <c r="D358" s="13" t="n">
        <v>45718</v>
      </c>
      <c r="E358" s="14" t="n">
        <v>98.9</v>
      </c>
      <c r="F358" s="14" t="n">
        <v>1074.8</v>
      </c>
      <c r="G358" s="6" t="s">
        <v>2613</v>
      </c>
    </row>
    <row r="359" customFormat="false" ht="15" hidden="false" customHeight="true" outlineLevel="0" collapsed="false">
      <c r="A359" s="6" t="s">
        <v>2971</v>
      </c>
      <c r="B359" s="6" t="s">
        <v>261</v>
      </c>
      <c r="C359" s="6" t="s">
        <v>120</v>
      </c>
      <c r="D359" s="13" t="n">
        <v>45725</v>
      </c>
      <c r="E359" s="14" t="n">
        <v>118.37</v>
      </c>
      <c r="F359" s="14" t="n">
        <v>1193.17</v>
      </c>
      <c r="G359" s="6" t="s">
        <v>2613</v>
      </c>
    </row>
    <row r="360" customFormat="false" ht="15" hidden="false" customHeight="true" outlineLevel="0" collapsed="false">
      <c r="A360" s="6" t="s">
        <v>2972</v>
      </c>
      <c r="B360" s="6" t="s">
        <v>261</v>
      </c>
      <c r="C360" s="6" t="s">
        <v>120</v>
      </c>
      <c r="D360" s="13" t="n">
        <v>45732</v>
      </c>
      <c r="E360" s="14" t="n">
        <v>76.14</v>
      </c>
      <c r="F360" s="14" t="n">
        <v>1269.31</v>
      </c>
      <c r="G360" s="6" t="s">
        <v>2613</v>
      </c>
    </row>
    <row r="361" customFormat="false" ht="15" hidden="false" customHeight="true" outlineLevel="0" collapsed="false">
      <c r="A361" s="6" t="s">
        <v>2973</v>
      </c>
      <c r="B361" s="6" t="s">
        <v>261</v>
      </c>
      <c r="C361" s="6" t="s">
        <v>120</v>
      </c>
      <c r="D361" s="13" t="n">
        <v>45739</v>
      </c>
      <c r="E361" s="14" t="n">
        <v>129.16</v>
      </c>
      <c r="F361" s="14" t="n">
        <v>1398.47</v>
      </c>
      <c r="G361" s="6" t="s">
        <v>2623</v>
      </c>
    </row>
    <row r="362" customFormat="false" ht="15" hidden="false" customHeight="true" outlineLevel="0" collapsed="false">
      <c r="A362" s="6" t="s">
        <v>2974</v>
      </c>
      <c r="B362" s="6" t="s">
        <v>261</v>
      </c>
      <c r="C362" s="6" t="s">
        <v>120</v>
      </c>
      <c r="D362" s="13" t="n">
        <v>45746</v>
      </c>
      <c r="E362" s="14" t="n">
        <v>100.64</v>
      </c>
      <c r="F362" s="14" t="n">
        <v>1499.11</v>
      </c>
      <c r="G362" s="6" t="s">
        <v>2613</v>
      </c>
    </row>
    <row r="363" customFormat="false" ht="15" hidden="false" customHeight="true" outlineLevel="0" collapsed="false">
      <c r="A363" s="6" t="s">
        <v>2975</v>
      </c>
      <c r="B363" s="6" t="s">
        <v>261</v>
      </c>
      <c r="C363" s="6" t="s">
        <v>120</v>
      </c>
      <c r="D363" s="13" t="n">
        <v>45753</v>
      </c>
      <c r="E363" s="14" t="n">
        <v>84.93</v>
      </c>
      <c r="F363" s="14" t="n">
        <v>1584.04</v>
      </c>
      <c r="G363" s="6" t="s">
        <v>2613</v>
      </c>
    </row>
    <row r="364" customFormat="false" ht="15" hidden="false" customHeight="true" outlineLevel="0" collapsed="false">
      <c r="A364" s="6" t="s">
        <v>2976</v>
      </c>
      <c r="B364" s="6" t="s">
        <v>261</v>
      </c>
      <c r="C364" s="6" t="s">
        <v>120</v>
      </c>
      <c r="D364" s="13" t="n">
        <v>45760</v>
      </c>
      <c r="E364" s="14" t="n">
        <v>103.2</v>
      </c>
      <c r="F364" s="14" t="n">
        <v>1687.24</v>
      </c>
      <c r="G364" s="6" t="s">
        <v>2623</v>
      </c>
    </row>
    <row r="365" customFormat="false" ht="15" hidden="false" customHeight="true" outlineLevel="0" collapsed="false">
      <c r="A365" s="6" t="s">
        <v>2977</v>
      </c>
      <c r="B365" s="6" t="s">
        <v>261</v>
      </c>
      <c r="C365" s="6" t="s">
        <v>120</v>
      </c>
      <c r="D365" s="13" t="n">
        <v>45767</v>
      </c>
      <c r="E365" s="14" t="n">
        <v>143.29</v>
      </c>
      <c r="F365" s="14" t="n">
        <v>1830.53</v>
      </c>
      <c r="G365" s="6" t="s">
        <v>2613</v>
      </c>
    </row>
    <row r="366" customFormat="false" ht="15" hidden="false" customHeight="true" outlineLevel="0" collapsed="false">
      <c r="A366" s="6" t="s">
        <v>2978</v>
      </c>
      <c r="B366" s="6" t="s">
        <v>261</v>
      </c>
      <c r="C366" s="6" t="s">
        <v>120</v>
      </c>
      <c r="D366" s="13" t="n">
        <v>45774</v>
      </c>
      <c r="E366" s="14" t="n">
        <v>108.18</v>
      </c>
      <c r="F366" s="14" t="n">
        <v>1938.71</v>
      </c>
      <c r="G366" s="6" t="s">
        <v>2613</v>
      </c>
    </row>
    <row r="367" customFormat="false" ht="15" hidden="false" customHeight="true" outlineLevel="0" collapsed="false">
      <c r="A367" s="6" t="s">
        <v>2979</v>
      </c>
      <c r="B367" s="6" t="s">
        <v>261</v>
      </c>
      <c r="C367" s="6" t="s">
        <v>120</v>
      </c>
      <c r="D367" s="13" t="n">
        <v>45781</v>
      </c>
      <c r="E367" s="14" t="n">
        <v>334.64</v>
      </c>
      <c r="F367" s="14" t="n">
        <v>2273.35</v>
      </c>
      <c r="G367" s="6" t="s">
        <v>2613</v>
      </c>
    </row>
    <row r="368" customFormat="false" ht="15" hidden="false" customHeight="true" outlineLevel="0" collapsed="false">
      <c r="A368" s="6" t="s">
        <v>2980</v>
      </c>
      <c r="B368" s="6" t="s">
        <v>264</v>
      </c>
      <c r="C368" s="6" t="s">
        <v>131</v>
      </c>
      <c r="D368" s="13" t="n">
        <v>46022</v>
      </c>
      <c r="E368" s="14" t="n">
        <v>4215.46</v>
      </c>
      <c r="F368" s="14" t="n">
        <v>4215.46</v>
      </c>
      <c r="G368" s="6" t="s">
        <v>2613</v>
      </c>
    </row>
    <row r="369" customFormat="false" ht="15" hidden="false" customHeight="true" outlineLevel="0" collapsed="false">
      <c r="A369" s="6" t="s">
        <v>2981</v>
      </c>
      <c r="B369" s="6" t="s">
        <v>264</v>
      </c>
      <c r="C369" s="6" t="s">
        <v>131</v>
      </c>
      <c r="D369" s="13" t="n">
        <v>46029</v>
      </c>
      <c r="E369" s="14" t="n">
        <v>3364.51</v>
      </c>
      <c r="F369" s="14" t="n">
        <v>7579.97</v>
      </c>
      <c r="G369" s="6" t="s">
        <v>2613</v>
      </c>
    </row>
    <row r="370" customFormat="false" ht="15" hidden="false" customHeight="true" outlineLevel="0" collapsed="false">
      <c r="A370" s="6" t="s">
        <v>2982</v>
      </c>
      <c r="B370" s="6" t="s">
        <v>264</v>
      </c>
      <c r="C370" s="6" t="s">
        <v>131</v>
      </c>
      <c r="D370" s="13" t="n">
        <v>46036</v>
      </c>
      <c r="E370" s="14" t="n">
        <v>4416.43</v>
      </c>
      <c r="F370" s="14" t="n">
        <v>11996.4</v>
      </c>
      <c r="G370" s="6" t="s">
        <v>2613</v>
      </c>
    </row>
    <row r="371" customFormat="false" ht="15" hidden="false" customHeight="true" outlineLevel="0" collapsed="false">
      <c r="A371" s="6" t="s">
        <v>2983</v>
      </c>
      <c r="B371" s="6" t="s">
        <v>264</v>
      </c>
      <c r="C371" s="6" t="s">
        <v>131</v>
      </c>
      <c r="D371" s="13" t="n">
        <v>46043</v>
      </c>
      <c r="E371" s="14" t="n">
        <v>4057.87</v>
      </c>
      <c r="F371" s="14" t="n">
        <v>16054.27</v>
      </c>
      <c r="G371" s="6" t="s">
        <v>2613</v>
      </c>
    </row>
    <row r="372" customFormat="false" ht="15" hidden="false" customHeight="true" outlineLevel="0" collapsed="false">
      <c r="A372" s="6" t="s">
        <v>2984</v>
      </c>
      <c r="B372" s="6" t="s">
        <v>264</v>
      </c>
      <c r="C372" s="6" t="s">
        <v>131</v>
      </c>
      <c r="D372" s="13" t="n">
        <v>46050</v>
      </c>
      <c r="E372" s="14" t="n">
        <v>3123.6</v>
      </c>
      <c r="F372" s="14" t="n">
        <v>19177.87</v>
      </c>
      <c r="G372" s="6" t="s">
        <v>2613</v>
      </c>
    </row>
    <row r="373" customFormat="false" ht="15" hidden="false" customHeight="true" outlineLevel="0" collapsed="false">
      <c r="A373" s="6" t="s">
        <v>2985</v>
      </c>
      <c r="B373" s="6" t="s">
        <v>264</v>
      </c>
      <c r="C373" s="6" t="s">
        <v>131</v>
      </c>
      <c r="D373" s="13" t="n">
        <v>46057</v>
      </c>
      <c r="E373" s="14" t="n">
        <v>4198.74</v>
      </c>
      <c r="F373" s="14" t="n">
        <v>23376.61</v>
      </c>
      <c r="G373" s="6" t="s">
        <v>2623</v>
      </c>
    </row>
    <row r="374" customFormat="false" ht="15" hidden="false" customHeight="true" outlineLevel="0" collapsed="false">
      <c r="A374" s="6" t="s">
        <v>2986</v>
      </c>
      <c r="B374" s="6" t="s">
        <v>264</v>
      </c>
      <c r="C374" s="6" t="s">
        <v>131</v>
      </c>
      <c r="D374" s="13" t="n">
        <v>46064</v>
      </c>
      <c r="E374" s="14" t="n">
        <v>5914.34</v>
      </c>
      <c r="F374" s="14" t="n">
        <v>29290.95</v>
      </c>
      <c r="G374" s="6" t="s">
        <v>2613</v>
      </c>
    </row>
    <row r="375" customFormat="false" ht="15" hidden="false" customHeight="true" outlineLevel="0" collapsed="false">
      <c r="A375" s="6" t="s">
        <v>2987</v>
      </c>
      <c r="B375" s="6" t="s">
        <v>264</v>
      </c>
      <c r="C375" s="6" t="s">
        <v>131</v>
      </c>
      <c r="D375" s="13" t="n">
        <v>46071</v>
      </c>
      <c r="E375" s="14" t="n">
        <v>3545.9</v>
      </c>
      <c r="F375" s="14" t="n">
        <v>32836.85</v>
      </c>
      <c r="G375" s="6" t="s">
        <v>2613</v>
      </c>
    </row>
    <row r="376" customFormat="false" ht="15" hidden="false" customHeight="true" outlineLevel="0" collapsed="false">
      <c r="A376" s="6" t="s">
        <v>2988</v>
      </c>
      <c r="B376" s="6" t="s">
        <v>264</v>
      </c>
      <c r="C376" s="6" t="s">
        <v>131</v>
      </c>
      <c r="D376" s="13" t="n">
        <v>46078</v>
      </c>
      <c r="E376" s="14" t="n">
        <v>3015.99</v>
      </c>
      <c r="F376" s="14" t="n">
        <v>35852.84</v>
      </c>
      <c r="G376" s="6" t="s">
        <v>2613</v>
      </c>
    </row>
    <row r="377" customFormat="false" ht="15" hidden="false" customHeight="true" outlineLevel="0" collapsed="false">
      <c r="A377" s="6" t="s">
        <v>2989</v>
      </c>
      <c r="B377" s="6" t="s">
        <v>264</v>
      </c>
      <c r="C377" s="6" t="s">
        <v>131</v>
      </c>
      <c r="D377" s="13" t="n">
        <v>46085</v>
      </c>
      <c r="E377" s="14" t="n">
        <v>4673.76</v>
      </c>
      <c r="F377" s="14" t="n">
        <v>40526.6</v>
      </c>
      <c r="G377" s="6" t="s">
        <v>2613</v>
      </c>
    </row>
    <row r="378" customFormat="false" ht="15" hidden="false" customHeight="true" outlineLevel="0" collapsed="false">
      <c r="A378" s="6" t="s">
        <v>2990</v>
      </c>
      <c r="B378" s="6" t="s">
        <v>264</v>
      </c>
      <c r="C378" s="6" t="s">
        <v>131</v>
      </c>
      <c r="D378" s="13" t="n">
        <v>46092</v>
      </c>
      <c r="E378" s="14" t="n">
        <v>5570.2</v>
      </c>
      <c r="F378" s="14" t="n">
        <v>46096.8</v>
      </c>
      <c r="G378" s="6" t="s">
        <v>2613</v>
      </c>
    </row>
    <row r="379" customFormat="false" ht="15" hidden="false" customHeight="true" outlineLevel="0" collapsed="false">
      <c r="A379" s="6" t="s">
        <v>2991</v>
      </c>
      <c r="B379" s="6" t="s">
        <v>264</v>
      </c>
      <c r="C379" s="6" t="s">
        <v>131</v>
      </c>
      <c r="D379" s="13" t="n">
        <v>46099</v>
      </c>
      <c r="E379" s="14" t="n">
        <v>6234.41</v>
      </c>
      <c r="F379" s="14" t="n">
        <v>52331.21</v>
      </c>
      <c r="G379" s="6" t="s">
        <v>2613</v>
      </c>
    </row>
    <row r="380" customFormat="false" ht="15" hidden="false" customHeight="true" outlineLevel="0" collapsed="false">
      <c r="A380" s="6" t="s">
        <v>2992</v>
      </c>
      <c r="B380" s="6" t="s">
        <v>264</v>
      </c>
      <c r="C380" s="6" t="s">
        <v>131</v>
      </c>
      <c r="D380" s="13" t="n">
        <v>46106</v>
      </c>
      <c r="E380" s="14" t="n">
        <v>6975.58</v>
      </c>
      <c r="F380" s="14" t="n">
        <v>59306.79</v>
      </c>
      <c r="G380" s="6" t="s">
        <v>2613</v>
      </c>
    </row>
    <row r="381" customFormat="false" ht="15" hidden="false" customHeight="true" outlineLevel="0" collapsed="false">
      <c r="A381" s="6" t="s">
        <v>2993</v>
      </c>
      <c r="B381" s="6" t="s">
        <v>266</v>
      </c>
      <c r="C381" s="6" t="s">
        <v>112</v>
      </c>
      <c r="D381" s="13" t="n">
        <v>46125</v>
      </c>
      <c r="E381" s="14" t="n">
        <v>2522.06</v>
      </c>
      <c r="F381" s="14" t="n">
        <v>2522.06</v>
      </c>
      <c r="G381" s="6" t="s">
        <v>2613</v>
      </c>
    </row>
    <row r="382" customFormat="false" ht="15" hidden="false" customHeight="true" outlineLevel="0" collapsed="false">
      <c r="A382" s="6" t="s">
        <v>2994</v>
      </c>
      <c r="B382" s="6" t="s">
        <v>266</v>
      </c>
      <c r="C382" s="6" t="s">
        <v>112</v>
      </c>
      <c r="D382" s="13" t="n">
        <v>46132</v>
      </c>
      <c r="E382" s="14" t="n">
        <v>2683.52</v>
      </c>
      <c r="F382" s="14" t="n">
        <v>5205.58</v>
      </c>
      <c r="G382" s="6" t="s">
        <v>2613</v>
      </c>
    </row>
    <row r="383" customFormat="false" ht="15" hidden="false" customHeight="true" outlineLevel="0" collapsed="false">
      <c r="A383" s="6" t="s">
        <v>2995</v>
      </c>
      <c r="B383" s="6" t="s">
        <v>266</v>
      </c>
      <c r="C383" s="6" t="s">
        <v>112</v>
      </c>
      <c r="D383" s="13" t="n">
        <v>46139</v>
      </c>
      <c r="E383" s="14" t="n">
        <v>2659.48</v>
      </c>
      <c r="F383" s="14" t="n">
        <v>7865.06</v>
      </c>
      <c r="G383" s="6" t="s">
        <v>2613</v>
      </c>
    </row>
    <row r="384" customFormat="false" ht="15" hidden="false" customHeight="true" outlineLevel="0" collapsed="false">
      <c r="A384" s="6" t="s">
        <v>2996</v>
      </c>
      <c r="B384" s="6" t="s">
        <v>266</v>
      </c>
      <c r="C384" s="6" t="s">
        <v>112</v>
      </c>
      <c r="D384" s="13" t="n">
        <v>46146</v>
      </c>
      <c r="E384" s="14" t="n">
        <v>1838.58</v>
      </c>
      <c r="F384" s="14" t="n">
        <v>9703.64</v>
      </c>
      <c r="G384" s="6" t="s">
        <v>2613</v>
      </c>
    </row>
    <row r="385" customFormat="false" ht="15" hidden="false" customHeight="true" outlineLevel="0" collapsed="false">
      <c r="A385" s="6" t="s">
        <v>2997</v>
      </c>
      <c r="B385" s="6" t="s">
        <v>266</v>
      </c>
      <c r="C385" s="6" t="s">
        <v>112</v>
      </c>
      <c r="D385" s="13" t="n">
        <v>46153</v>
      </c>
      <c r="E385" s="14" t="n">
        <v>1886.37</v>
      </c>
      <c r="F385" s="14" t="n">
        <v>11590.01</v>
      </c>
      <c r="G385" s="6" t="s">
        <v>2613</v>
      </c>
    </row>
    <row r="386" customFormat="false" ht="15" hidden="false" customHeight="true" outlineLevel="0" collapsed="false">
      <c r="A386" s="6" t="s">
        <v>2998</v>
      </c>
      <c r="B386" s="6" t="s">
        <v>268</v>
      </c>
      <c r="C386" s="6" t="s">
        <v>128</v>
      </c>
      <c r="D386" s="13" t="n">
        <v>44753</v>
      </c>
      <c r="E386" s="14" t="n">
        <v>4765.87</v>
      </c>
      <c r="F386" s="14" t="n">
        <v>4765.87</v>
      </c>
      <c r="G386" s="6" t="s">
        <v>2613</v>
      </c>
    </row>
    <row r="387" customFormat="false" ht="15" hidden="false" customHeight="true" outlineLevel="0" collapsed="false">
      <c r="A387" s="6" t="s">
        <v>2999</v>
      </c>
      <c r="B387" s="6" t="s">
        <v>268</v>
      </c>
      <c r="C387" s="6" t="s">
        <v>128</v>
      </c>
      <c r="D387" s="13" t="n">
        <v>44760</v>
      </c>
      <c r="E387" s="14" t="n">
        <v>6059.23</v>
      </c>
      <c r="F387" s="14" t="n">
        <v>10825.1</v>
      </c>
      <c r="G387" s="6" t="s">
        <v>2613</v>
      </c>
    </row>
    <row r="388" customFormat="false" ht="15" hidden="false" customHeight="true" outlineLevel="0" collapsed="false">
      <c r="A388" s="6" t="s">
        <v>3000</v>
      </c>
      <c r="B388" s="6" t="s">
        <v>268</v>
      </c>
      <c r="C388" s="6" t="s">
        <v>128</v>
      </c>
      <c r="D388" s="13" t="n">
        <v>44767</v>
      </c>
      <c r="E388" s="14" t="n">
        <v>4714.86</v>
      </c>
      <c r="F388" s="14" t="n">
        <v>15539.96</v>
      </c>
      <c r="G388" s="6" t="s">
        <v>2613</v>
      </c>
    </row>
    <row r="389" customFormat="false" ht="15" hidden="false" customHeight="true" outlineLevel="0" collapsed="false">
      <c r="A389" s="6" t="s">
        <v>3001</v>
      </c>
      <c r="B389" s="6" t="s">
        <v>268</v>
      </c>
      <c r="C389" s="6" t="s">
        <v>128</v>
      </c>
      <c r="D389" s="13" t="n">
        <v>44774</v>
      </c>
      <c r="E389" s="14" t="n">
        <v>5509.12</v>
      </c>
      <c r="F389" s="14" t="n">
        <v>21049.08</v>
      </c>
      <c r="G389" s="6" t="s">
        <v>2613</v>
      </c>
    </row>
    <row r="390" customFormat="false" ht="15" hidden="false" customHeight="true" outlineLevel="0" collapsed="false">
      <c r="A390" s="6" t="s">
        <v>3002</v>
      </c>
      <c r="B390" s="6" t="s">
        <v>268</v>
      </c>
      <c r="C390" s="6" t="s">
        <v>128</v>
      </c>
      <c r="D390" s="13" t="n">
        <v>44781</v>
      </c>
      <c r="E390" s="14" t="n">
        <v>4816.63</v>
      </c>
      <c r="F390" s="14" t="n">
        <v>25865.71</v>
      </c>
      <c r="G390" s="6" t="s">
        <v>2613</v>
      </c>
    </row>
    <row r="391" customFormat="false" ht="15" hidden="false" customHeight="true" outlineLevel="0" collapsed="false">
      <c r="A391" s="6" t="s">
        <v>3003</v>
      </c>
      <c r="B391" s="6" t="s">
        <v>268</v>
      </c>
      <c r="C391" s="6" t="s">
        <v>128</v>
      </c>
      <c r="D391" s="13" t="n">
        <v>44788</v>
      </c>
      <c r="E391" s="14" t="n">
        <v>3608.73</v>
      </c>
      <c r="F391" s="14" t="n">
        <v>29474.44</v>
      </c>
      <c r="G391" s="6" t="s">
        <v>2623</v>
      </c>
    </row>
    <row r="392" customFormat="false" ht="15" hidden="false" customHeight="true" outlineLevel="0" collapsed="false">
      <c r="A392" s="6" t="s">
        <v>3004</v>
      </c>
      <c r="B392" s="6" t="s">
        <v>270</v>
      </c>
      <c r="C392" s="6" t="s">
        <v>112</v>
      </c>
      <c r="D392" s="13" t="n">
        <v>45148</v>
      </c>
      <c r="E392" s="14" t="n">
        <v>3754.59</v>
      </c>
      <c r="F392" s="14" t="n">
        <v>3754.59</v>
      </c>
      <c r="G392" s="6" t="s">
        <v>2623</v>
      </c>
    </row>
    <row r="393" customFormat="false" ht="15" hidden="false" customHeight="true" outlineLevel="0" collapsed="false">
      <c r="A393" s="6" t="s">
        <v>3005</v>
      </c>
      <c r="B393" s="6" t="s">
        <v>270</v>
      </c>
      <c r="C393" s="6" t="s">
        <v>112</v>
      </c>
      <c r="D393" s="13" t="n">
        <v>45155</v>
      </c>
      <c r="E393" s="14" t="n">
        <v>3628.44</v>
      </c>
      <c r="F393" s="14" t="n">
        <v>7383.03</v>
      </c>
      <c r="G393" s="6" t="s">
        <v>2613</v>
      </c>
    </row>
    <row r="394" customFormat="false" ht="15" hidden="false" customHeight="true" outlineLevel="0" collapsed="false">
      <c r="A394" s="6" t="s">
        <v>3006</v>
      </c>
      <c r="B394" s="6" t="s">
        <v>270</v>
      </c>
      <c r="C394" s="6" t="s">
        <v>112</v>
      </c>
      <c r="D394" s="13" t="n">
        <v>45162</v>
      </c>
      <c r="E394" s="14" t="n">
        <v>2837.01</v>
      </c>
      <c r="F394" s="14" t="n">
        <v>10220.04</v>
      </c>
      <c r="G394" s="6" t="s">
        <v>2613</v>
      </c>
    </row>
    <row r="395" customFormat="false" ht="15" hidden="false" customHeight="true" outlineLevel="0" collapsed="false">
      <c r="A395" s="6" t="s">
        <v>3007</v>
      </c>
      <c r="B395" s="6" t="s">
        <v>270</v>
      </c>
      <c r="C395" s="6" t="s">
        <v>112</v>
      </c>
      <c r="D395" s="13" t="n">
        <v>45169</v>
      </c>
      <c r="E395" s="14" t="n">
        <v>2986.45</v>
      </c>
      <c r="F395" s="14" t="n">
        <v>13206.49</v>
      </c>
      <c r="G395" s="6" t="s">
        <v>2613</v>
      </c>
    </row>
    <row r="396" customFormat="false" ht="15" hidden="false" customHeight="true" outlineLevel="0" collapsed="false">
      <c r="A396" s="6" t="s">
        <v>3008</v>
      </c>
      <c r="B396" s="6" t="s">
        <v>270</v>
      </c>
      <c r="C396" s="6" t="s">
        <v>112</v>
      </c>
      <c r="D396" s="13" t="n">
        <v>45176</v>
      </c>
      <c r="E396" s="14" t="n">
        <v>4208.3</v>
      </c>
      <c r="F396" s="14" t="n">
        <v>17414.79</v>
      </c>
      <c r="G396" s="6" t="s">
        <v>2613</v>
      </c>
    </row>
    <row r="397" customFormat="false" ht="15" hidden="false" customHeight="true" outlineLevel="0" collapsed="false">
      <c r="A397" s="6" t="s">
        <v>3009</v>
      </c>
      <c r="B397" s="6" t="s">
        <v>270</v>
      </c>
      <c r="C397" s="6" t="s">
        <v>112</v>
      </c>
      <c r="D397" s="13" t="n">
        <v>45183</v>
      </c>
      <c r="E397" s="14" t="n">
        <v>3554.37</v>
      </c>
      <c r="F397" s="14" t="n">
        <v>20969.16</v>
      </c>
      <c r="G397" s="6" t="s">
        <v>2613</v>
      </c>
    </row>
    <row r="398" customFormat="false" ht="15" hidden="false" customHeight="true" outlineLevel="0" collapsed="false">
      <c r="A398" s="6" t="s">
        <v>3010</v>
      </c>
      <c r="B398" s="6" t="s">
        <v>270</v>
      </c>
      <c r="C398" s="6" t="s">
        <v>112</v>
      </c>
      <c r="D398" s="13" t="n">
        <v>45190</v>
      </c>
      <c r="E398" s="14" t="n">
        <v>2184.87</v>
      </c>
      <c r="F398" s="14" t="n">
        <v>23154.03</v>
      </c>
      <c r="G398" s="6" t="s">
        <v>2613</v>
      </c>
    </row>
    <row r="399" customFormat="false" ht="15" hidden="false" customHeight="true" outlineLevel="0" collapsed="false">
      <c r="A399" s="6" t="s">
        <v>3011</v>
      </c>
      <c r="B399" s="6" t="s">
        <v>270</v>
      </c>
      <c r="C399" s="6" t="s">
        <v>112</v>
      </c>
      <c r="D399" s="13" t="n">
        <v>45197</v>
      </c>
      <c r="E399" s="14" t="n">
        <v>4379.56</v>
      </c>
      <c r="F399" s="14" t="n">
        <v>27533.59</v>
      </c>
      <c r="G399" s="6" t="s">
        <v>2613</v>
      </c>
    </row>
    <row r="400" customFormat="false" ht="15" hidden="false" customHeight="true" outlineLevel="0" collapsed="false">
      <c r="A400" s="6" t="s">
        <v>3012</v>
      </c>
      <c r="B400" s="6" t="s">
        <v>270</v>
      </c>
      <c r="C400" s="6" t="s">
        <v>112</v>
      </c>
      <c r="D400" s="13" t="n">
        <v>45204</v>
      </c>
      <c r="E400" s="14" t="n">
        <v>3694.57</v>
      </c>
      <c r="F400" s="14" t="n">
        <v>31228.16</v>
      </c>
      <c r="G400" s="6" t="s">
        <v>2613</v>
      </c>
    </row>
    <row r="401" customFormat="false" ht="15" hidden="false" customHeight="true" outlineLevel="0" collapsed="false">
      <c r="A401" s="6" t="s">
        <v>3013</v>
      </c>
      <c r="B401" s="6" t="s">
        <v>270</v>
      </c>
      <c r="C401" s="6" t="s">
        <v>112</v>
      </c>
      <c r="D401" s="13" t="n">
        <v>45211</v>
      </c>
      <c r="E401" s="14" t="n">
        <v>2309.54</v>
      </c>
      <c r="F401" s="14" t="n">
        <v>33537.7</v>
      </c>
      <c r="G401" s="6" t="s">
        <v>2613</v>
      </c>
    </row>
    <row r="402" customFormat="false" ht="15" hidden="false" customHeight="true" outlineLevel="0" collapsed="false">
      <c r="A402" s="6" t="s">
        <v>3014</v>
      </c>
      <c r="B402" s="6" t="s">
        <v>270</v>
      </c>
      <c r="C402" s="6" t="s">
        <v>112</v>
      </c>
      <c r="D402" s="13" t="n">
        <v>45218</v>
      </c>
      <c r="E402" s="14" t="n">
        <v>2193.32</v>
      </c>
      <c r="F402" s="14" t="n">
        <v>35731.02</v>
      </c>
      <c r="G402" s="6" t="s">
        <v>2613</v>
      </c>
    </row>
    <row r="403" customFormat="false" ht="15" hidden="false" customHeight="true" outlineLevel="0" collapsed="false">
      <c r="A403" s="6" t="s">
        <v>3015</v>
      </c>
      <c r="B403" s="6" t="s">
        <v>270</v>
      </c>
      <c r="C403" s="6" t="s">
        <v>112</v>
      </c>
      <c r="D403" s="13" t="n">
        <v>45225</v>
      </c>
      <c r="E403" s="14" t="n">
        <v>3661.56</v>
      </c>
      <c r="F403" s="14" t="n">
        <v>39392.58</v>
      </c>
      <c r="G403" s="6" t="s">
        <v>2613</v>
      </c>
    </row>
    <row r="404" customFormat="false" ht="15" hidden="false" customHeight="true" outlineLevel="0" collapsed="false">
      <c r="A404" s="6" t="s">
        <v>3016</v>
      </c>
      <c r="B404" s="6" t="s">
        <v>270</v>
      </c>
      <c r="C404" s="6" t="s">
        <v>112</v>
      </c>
      <c r="D404" s="13" t="n">
        <v>45232</v>
      </c>
      <c r="E404" s="14" t="n">
        <v>2306.5</v>
      </c>
      <c r="F404" s="14" t="n">
        <v>41699.08</v>
      </c>
      <c r="G404" s="6" t="s">
        <v>2613</v>
      </c>
    </row>
    <row r="405" customFormat="false" ht="15" hidden="false" customHeight="true" outlineLevel="0" collapsed="false">
      <c r="A405" s="6" t="s">
        <v>3017</v>
      </c>
      <c r="B405" s="6" t="s">
        <v>270</v>
      </c>
      <c r="C405" s="6" t="s">
        <v>112</v>
      </c>
      <c r="D405" s="13" t="n">
        <v>45239</v>
      </c>
      <c r="E405" s="14" t="n">
        <v>4459.34</v>
      </c>
      <c r="F405" s="14" t="n">
        <v>46158.42</v>
      </c>
      <c r="G405" s="6" t="s">
        <v>2613</v>
      </c>
    </row>
    <row r="406" customFormat="false" ht="15" hidden="false" customHeight="true" outlineLevel="0" collapsed="false">
      <c r="A406" s="6" t="s">
        <v>3018</v>
      </c>
      <c r="B406" s="6" t="s">
        <v>270</v>
      </c>
      <c r="C406" s="6" t="s">
        <v>112</v>
      </c>
      <c r="D406" s="13" t="n">
        <v>45246</v>
      </c>
      <c r="E406" s="14" t="n">
        <v>4368.27</v>
      </c>
      <c r="F406" s="14" t="n">
        <v>50526.69</v>
      </c>
      <c r="G406" s="6" t="s">
        <v>2623</v>
      </c>
    </row>
    <row r="407" customFormat="false" ht="15" hidden="false" customHeight="true" outlineLevel="0" collapsed="false">
      <c r="A407" s="6" t="s">
        <v>3019</v>
      </c>
      <c r="B407" s="6" t="s">
        <v>270</v>
      </c>
      <c r="C407" s="6" t="s">
        <v>112</v>
      </c>
      <c r="D407" s="13" t="n">
        <v>45253</v>
      </c>
      <c r="E407" s="14" t="n">
        <v>3732.41</v>
      </c>
      <c r="F407" s="14" t="n">
        <v>54259.1</v>
      </c>
      <c r="G407" s="6" t="s">
        <v>2613</v>
      </c>
    </row>
    <row r="408" customFormat="false" ht="15" hidden="false" customHeight="true" outlineLevel="0" collapsed="false">
      <c r="A408" s="6" t="s">
        <v>3020</v>
      </c>
      <c r="B408" s="6" t="s">
        <v>270</v>
      </c>
      <c r="C408" s="6" t="s">
        <v>112</v>
      </c>
      <c r="D408" s="13" t="n">
        <v>45260</v>
      </c>
      <c r="E408" s="14" t="n">
        <v>2018.61</v>
      </c>
      <c r="F408" s="14" t="n">
        <v>56277.71</v>
      </c>
      <c r="G408" s="6" t="s">
        <v>2613</v>
      </c>
    </row>
    <row r="409" customFormat="false" ht="15" hidden="false" customHeight="true" outlineLevel="0" collapsed="false">
      <c r="A409" s="6" t="s">
        <v>3021</v>
      </c>
      <c r="B409" s="6" t="s">
        <v>270</v>
      </c>
      <c r="C409" s="6" t="s">
        <v>112</v>
      </c>
      <c r="D409" s="13" t="n">
        <v>45267</v>
      </c>
      <c r="E409" s="14" t="n">
        <v>4470.01</v>
      </c>
      <c r="F409" s="14" t="n">
        <v>60747.72</v>
      </c>
      <c r="G409" s="6" t="s">
        <v>2613</v>
      </c>
    </row>
    <row r="410" customFormat="false" ht="15" hidden="false" customHeight="true" outlineLevel="0" collapsed="false">
      <c r="A410" s="6" t="s">
        <v>3022</v>
      </c>
      <c r="B410" s="6" t="s">
        <v>270</v>
      </c>
      <c r="C410" s="6" t="s">
        <v>112</v>
      </c>
      <c r="D410" s="13" t="n">
        <v>45274</v>
      </c>
      <c r="E410" s="14" t="n">
        <v>3983.87</v>
      </c>
      <c r="F410" s="14" t="n">
        <v>64731.59</v>
      </c>
      <c r="G410" s="6" t="s">
        <v>2613</v>
      </c>
    </row>
    <row r="411" customFormat="false" ht="15" hidden="false" customHeight="true" outlineLevel="0" collapsed="false">
      <c r="A411" s="6" t="s">
        <v>3023</v>
      </c>
      <c r="B411" s="6" t="s">
        <v>270</v>
      </c>
      <c r="C411" s="6" t="s">
        <v>112</v>
      </c>
      <c r="D411" s="13" t="n">
        <v>45281</v>
      </c>
      <c r="E411" s="14" t="n">
        <v>958.73</v>
      </c>
      <c r="F411" s="14" t="n">
        <v>65690.32</v>
      </c>
      <c r="G411" s="6" t="s">
        <v>2613</v>
      </c>
    </row>
    <row r="412" customFormat="false" ht="15" hidden="false" customHeight="true" outlineLevel="0" collapsed="false">
      <c r="A412" s="6" t="s">
        <v>3024</v>
      </c>
      <c r="B412" s="6" t="s">
        <v>272</v>
      </c>
      <c r="C412" s="6" t="s">
        <v>116</v>
      </c>
      <c r="D412" s="13" t="n">
        <v>44884</v>
      </c>
      <c r="E412" s="14" t="n">
        <v>7698.81</v>
      </c>
      <c r="F412" s="14" t="n">
        <v>7698.81</v>
      </c>
      <c r="G412" s="6" t="s">
        <v>2613</v>
      </c>
    </row>
    <row r="413" customFormat="false" ht="15" hidden="false" customHeight="true" outlineLevel="0" collapsed="false">
      <c r="A413" s="6" t="s">
        <v>3025</v>
      </c>
      <c r="B413" s="6" t="s">
        <v>272</v>
      </c>
      <c r="C413" s="6" t="s">
        <v>116</v>
      </c>
      <c r="D413" s="13" t="n">
        <v>44891</v>
      </c>
      <c r="E413" s="14" t="n">
        <v>4633.87</v>
      </c>
      <c r="F413" s="14" t="n">
        <v>12332.68</v>
      </c>
      <c r="G413" s="6" t="s">
        <v>2613</v>
      </c>
    </row>
    <row r="414" customFormat="false" ht="15" hidden="false" customHeight="true" outlineLevel="0" collapsed="false">
      <c r="A414" s="6" t="s">
        <v>3026</v>
      </c>
      <c r="B414" s="6" t="s">
        <v>272</v>
      </c>
      <c r="C414" s="6" t="s">
        <v>116</v>
      </c>
      <c r="D414" s="13" t="n">
        <v>44898</v>
      </c>
      <c r="E414" s="14" t="n">
        <v>5875.51</v>
      </c>
      <c r="F414" s="14" t="n">
        <v>18208.19</v>
      </c>
      <c r="G414" s="6" t="s">
        <v>2613</v>
      </c>
    </row>
    <row r="415" customFormat="false" ht="15" hidden="false" customHeight="true" outlineLevel="0" collapsed="false">
      <c r="A415" s="6" t="s">
        <v>3027</v>
      </c>
      <c r="B415" s="6" t="s">
        <v>272</v>
      </c>
      <c r="C415" s="6" t="s">
        <v>116</v>
      </c>
      <c r="D415" s="13" t="n">
        <v>44905</v>
      </c>
      <c r="E415" s="14" t="n">
        <v>4998.24</v>
      </c>
      <c r="F415" s="14" t="n">
        <v>23206.43</v>
      </c>
      <c r="G415" s="6" t="s">
        <v>2613</v>
      </c>
    </row>
    <row r="416" customFormat="false" ht="15" hidden="false" customHeight="true" outlineLevel="0" collapsed="false">
      <c r="A416" s="6" t="s">
        <v>3028</v>
      </c>
      <c r="B416" s="6" t="s">
        <v>272</v>
      </c>
      <c r="C416" s="6" t="s">
        <v>116</v>
      </c>
      <c r="D416" s="13" t="n">
        <v>44912</v>
      </c>
      <c r="E416" s="14" t="n">
        <v>5238.13</v>
      </c>
      <c r="F416" s="14" t="n">
        <v>28444.56</v>
      </c>
      <c r="G416" s="6" t="s">
        <v>2613</v>
      </c>
    </row>
    <row r="417" customFormat="false" ht="15" hidden="false" customHeight="true" outlineLevel="0" collapsed="false">
      <c r="A417" s="6" t="s">
        <v>3029</v>
      </c>
      <c r="B417" s="6" t="s">
        <v>272</v>
      </c>
      <c r="C417" s="6" t="s">
        <v>116</v>
      </c>
      <c r="D417" s="13" t="n">
        <v>44919</v>
      </c>
      <c r="E417" s="14" t="n">
        <v>6068.2</v>
      </c>
      <c r="F417" s="14" t="n">
        <v>34512.76</v>
      </c>
      <c r="G417" s="6" t="s">
        <v>2613</v>
      </c>
    </row>
    <row r="418" customFormat="false" ht="15" hidden="false" customHeight="true" outlineLevel="0" collapsed="false">
      <c r="A418" s="6" t="s">
        <v>3030</v>
      </c>
      <c r="B418" s="6" t="s">
        <v>272</v>
      </c>
      <c r="C418" s="6" t="s">
        <v>116</v>
      </c>
      <c r="D418" s="13" t="n">
        <v>44926</v>
      </c>
      <c r="E418" s="14" t="n">
        <v>5362.34</v>
      </c>
      <c r="F418" s="14" t="n">
        <v>39875.1</v>
      </c>
      <c r="G418" s="6" t="s">
        <v>2613</v>
      </c>
    </row>
    <row r="419" customFormat="false" ht="15" hidden="false" customHeight="true" outlineLevel="0" collapsed="false">
      <c r="A419" s="6" t="s">
        <v>3031</v>
      </c>
      <c r="B419" s="6" t="s">
        <v>272</v>
      </c>
      <c r="C419" s="6" t="s">
        <v>116</v>
      </c>
      <c r="D419" s="13" t="n">
        <v>44933</v>
      </c>
      <c r="E419" s="14" t="n">
        <v>6169.87</v>
      </c>
      <c r="F419" s="14" t="n">
        <v>46044.97</v>
      </c>
      <c r="G419" s="6" t="s">
        <v>2613</v>
      </c>
    </row>
    <row r="420" customFormat="false" ht="15" hidden="false" customHeight="true" outlineLevel="0" collapsed="false">
      <c r="A420" s="6" t="s">
        <v>3032</v>
      </c>
      <c r="B420" s="6" t="s">
        <v>272</v>
      </c>
      <c r="C420" s="6" t="s">
        <v>116</v>
      </c>
      <c r="D420" s="13" t="n">
        <v>44940</v>
      </c>
      <c r="E420" s="14" t="n">
        <v>5657.79</v>
      </c>
      <c r="F420" s="14" t="n">
        <v>51702.76</v>
      </c>
      <c r="G420" s="6" t="s">
        <v>2613</v>
      </c>
    </row>
    <row r="421" customFormat="false" ht="15" hidden="false" customHeight="true" outlineLevel="0" collapsed="false">
      <c r="A421" s="6" t="s">
        <v>3033</v>
      </c>
      <c r="B421" s="6" t="s">
        <v>272</v>
      </c>
      <c r="C421" s="6" t="s">
        <v>116</v>
      </c>
      <c r="D421" s="13" t="n">
        <v>44947</v>
      </c>
      <c r="E421" s="14" t="n">
        <v>8778.61</v>
      </c>
      <c r="F421" s="14" t="n">
        <v>60481.37</v>
      </c>
      <c r="G421" s="6" t="s">
        <v>2613</v>
      </c>
    </row>
    <row r="422" customFormat="false" ht="15" hidden="false" customHeight="true" outlineLevel="0" collapsed="false">
      <c r="A422" s="6" t="s">
        <v>3034</v>
      </c>
      <c r="B422" s="6" t="s">
        <v>272</v>
      </c>
      <c r="C422" s="6" t="s">
        <v>116</v>
      </c>
      <c r="D422" s="13" t="n">
        <v>44954</v>
      </c>
      <c r="E422" s="14" t="n">
        <v>5222.16</v>
      </c>
      <c r="F422" s="14" t="n">
        <v>65703.53</v>
      </c>
      <c r="G422" s="6" t="s">
        <v>2613</v>
      </c>
    </row>
    <row r="423" customFormat="false" ht="15" hidden="false" customHeight="true" outlineLevel="0" collapsed="false">
      <c r="A423" s="6" t="s">
        <v>3035</v>
      </c>
      <c r="B423" s="6" t="s">
        <v>272</v>
      </c>
      <c r="C423" s="6" t="s">
        <v>116</v>
      </c>
      <c r="D423" s="13" t="n">
        <v>44961</v>
      </c>
      <c r="E423" s="14" t="n">
        <v>6465.67</v>
      </c>
      <c r="F423" s="14" t="n">
        <v>72169.2</v>
      </c>
      <c r="G423" s="6" t="s">
        <v>2613</v>
      </c>
    </row>
    <row r="424" customFormat="false" ht="15" hidden="false" customHeight="true" outlineLevel="0" collapsed="false">
      <c r="A424" s="6" t="s">
        <v>3036</v>
      </c>
      <c r="B424" s="6" t="s">
        <v>272</v>
      </c>
      <c r="C424" s="6" t="s">
        <v>116</v>
      </c>
      <c r="D424" s="13" t="n">
        <v>44968</v>
      </c>
      <c r="E424" s="14" t="n">
        <v>7930.59</v>
      </c>
      <c r="F424" s="14" t="n">
        <v>80099.79</v>
      </c>
      <c r="G424" s="6" t="s">
        <v>2613</v>
      </c>
    </row>
    <row r="425" customFormat="false" ht="15" hidden="false" customHeight="true" outlineLevel="0" collapsed="false">
      <c r="A425" s="6" t="s">
        <v>3037</v>
      </c>
      <c r="B425" s="6" t="s">
        <v>272</v>
      </c>
      <c r="C425" s="6" t="s">
        <v>116</v>
      </c>
      <c r="D425" s="13" t="n">
        <v>44975</v>
      </c>
      <c r="E425" s="14" t="n">
        <v>4496.5</v>
      </c>
      <c r="F425" s="14" t="n">
        <v>84596.29</v>
      </c>
      <c r="G425" s="6" t="s">
        <v>2613</v>
      </c>
    </row>
    <row r="426" customFormat="false" ht="15" hidden="false" customHeight="true" outlineLevel="0" collapsed="false">
      <c r="A426" s="6" t="s">
        <v>3038</v>
      </c>
      <c r="B426" s="6" t="s">
        <v>272</v>
      </c>
      <c r="C426" s="6" t="s">
        <v>116</v>
      </c>
      <c r="D426" s="13" t="n">
        <v>44982</v>
      </c>
      <c r="E426" s="14" t="n">
        <v>10304.06</v>
      </c>
      <c r="F426" s="14" t="n">
        <v>94900.35</v>
      </c>
      <c r="G426" s="6" t="s">
        <v>2613</v>
      </c>
    </row>
    <row r="427" customFormat="false" ht="15" hidden="false" customHeight="true" outlineLevel="0" collapsed="false">
      <c r="A427" s="6" t="s">
        <v>3039</v>
      </c>
      <c r="B427" s="6" t="s">
        <v>274</v>
      </c>
      <c r="C427" s="6" t="s">
        <v>120</v>
      </c>
      <c r="D427" s="13" t="n">
        <v>45023</v>
      </c>
      <c r="E427" s="14" t="n">
        <v>4085.78</v>
      </c>
      <c r="F427" s="14" t="n">
        <v>4085.78</v>
      </c>
      <c r="G427" s="6" t="s">
        <v>2613</v>
      </c>
    </row>
    <row r="428" customFormat="false" ht="15" hidden="false" customHeight="true" outlineLevel="0" collapsed="false">
      <c r="A428" s="6" t="s">
        <v>3040</v>
      </c>
      <c r="B428" s="6" t="s">
        <v>274</v>
      </c>
      <c r="C428" s="6" t="s">
        <v>120</v>
      </c>
      <c r="D428" s="13" t="n">
        <v>45030</v>
      </c>
      <c r="E428" s="14" t="n">
        <v>2787.41</v>
      </c>
      <c r="F428" s="14" t="n">
        <v>6873.19</v>
      </c>
      <c r="G428" s="6" t="s">
        <v>2613</v>
      </c>
    </row>
    <row r="429" customFormat="false" ht="15" hidden="false" customHeight="true" outlineLevel="0" collapsed="false">
      <c r="A429" s="6" t="s">
        <v>3041</v>
      </c>
      <c r="B429" s="6" t="s">
        <v>274</v>
      </c>
      <c r="C429" s="6" t="s">
        <v>120</v>
      </c>
      <c r="D429" s="13" t="n">
        <v>45037</v>
      </c>
      <c r="E429" s="14" t="n">
        <v>2762.4</v>
      </c>
      <c r="F429" s="14" t="n">
        <v>9635.59</v>
      </c>
      <c r="G429" s="6" t="s">
        <v>2623</v>
      </c>
    </row>
    <row r="430" customFormat="false" ht="15" hidden="false" customHeight="true" outlineLevel="0" collapsed="false">
      <c r="A430" s="6" t="s">
        <v>3042</v>
      </c>
      <c r="B430" s="6" t="s">
        <v>274</v>
      </c>
      <c r="C430" s="6" t="s">
        <v>120</v>
      </c>
      <c r="D430" s="13" t="n">
        <v>45044</v>
      </c>
      <c r="E430" s="14" t="n">
        <v>2369.43</v>
      </c>
      <c r="F430" s="14" t="n">
        <v>12005.02</v>
      </c>
      <c r="G430" s="6" t="s">
        <v>2613</v>
      </c>
    </row>
    <row r="431" customFormat="false" ht="15" hidden="false" customHeight="true" outlineLevel="0" collapsed="false">
      <c r="A431" s="6" t="s">
        <v>3043</v>
      </c>
      <c r="B431" s="6" t="s">
        <v>274</v>
      </c>
      <c r="C431" s="6" t="s">
        <v>120</v>
      </c>
      <c r="D431" s="13" t="n">
        <v>45051</v>
      </c>
      <c r="E431" s="14" t="n">
        <v>2064.4</v>
      </c>
      <c r="F431" s="14" t="n">
        <v>14069.42</v>
      </c>
      <c r="G431" s="6" t="s">
        <v>2613</v>
      </c>
    </row>
    <row r="432" customFormat="false" ht="15" hidden="false" customHeight="true" outlineLevel="0" collapsed="false">
      <c r="A432" s="6" t="s">
        <v>3044</v>
      </c>
      <c r="B432" s="6" t="s">
        <v>274</v>
      </c>
      <c r="C432" s="6" t="s">
        <v>120</v>
      </c>
      <c r="D432" s="13" t="n">
        <v>45058</v>
      </c>
      <c r="E432" s="14" t="n">
        <v>2638.7</v>
      </c>
      <c r="F432" s="14" t="n">
        <v>16708.12</v>
      </c>
      <c r="G432" s="6" t="s">
        <v>2613</v>
      </c>
    </row>
    <row r="433" customFormat="false" ht="15" hidden="false" customHeight="true" outlineLevel="0" collapsed="false">
      <c r="A433" s="6" t="s">
        <v>3045</v>
      </c>
      <c r="B433" s="6" t="s">
        <v>274</v>
      </c>
      <c r="C433" s="6" t="s">
        <v>120</v>
      </c>
      <c r="D433" s="13" t="n">
        <v>45065</v>
      </c>
      <c r="E433" s="14" t="n">
        <v>1916.63</v>
      </c>
      <c r="F433" s="14" t="n">
        <v>18624.75</v>
      </c>
      <c r="G433" s="6" t="s">
        <v>2613</v>
      </c>
    </row>
    <row r="434" customFormat="false" ht="15" hidden="false" customHeight="true" outlineLevel="0" collapsed="false">
      <c r="A434" s="6" t="s">
        <v>3046</v>
      </c>
      <c r="B434" s="6" t="s">
        <v>274</v>
      </c>
      <c r="C434" s="6" t="s">
        <v>120</v>
      </c>
      <c r="D434" s="13" t="n">
        <v>45072</v>
      </c>
      <c r="E434" s="14" t="n">
        <v>2972.19</v>
      </c>
      <c r="F434" s="14" t="n">
        <v>21596.94</v>
      </c>
      <c r="G434" s="6" t="s">
        <v>2613</v>
      </c>
    </row>
    <row r="435" customFormat="false" ht="15" hidden="false" customHeight="true" outlineLevel="0" collapsed="false">
      <c r="A435" s="6" t="s">
        <v>3047</v>
      </c>
      <c r="B435" s="6" t="s">
        <v>274</v>
      </c>
      <c r="C435" s="6" t="s">
        <v>120</v>
      </c>
      <c r="D435" s="13" t="n">
        <v>45079</v>
      </c>
      <c r="E435" s="14" t="n">
        <v>3668.49</v>
      </c>
      <c r="F435" s="14" t="n">
        <v>25265.43</v>
      </c>
      <c r="G435" s="6" t="s">
        <v>2613</v>
      </c>
    </row>
    <row r="436" customFormat="false" ht="15" hidden="false" customHeight="true" outlineLevel="0" collapsed="false">
      <c r="A436" s="6" t="s">
        <v>3048</v>
      </c>
      <c r="B436" s="6" t="s">
        <v>274</v>
      </c>
      <c r="C436" s="6" t="s">
        <v>120</v>
      </c>
      <c r="D436" s="13" t="n">
        <v>45086</v>
      </c>
      <c r="E436" s="14" t="n">
        <v>3319.61</v>
      </c>
      <c r="F436" s="14" t="n">
        <v>28585.04</v>
      </c>
      <c r="G436" s="6" t="s">
        <v>2613</v>
      </c>
    </row>
    <row r="437" customFormat="false" ht="15" hidden="false" customHeight="true" outlineLevel="0" collapsed="false">
      <c r="A437" s="6" t="s">
        <v>3049</v>
      </c>
      <c r="B437" s="6" t="s">
        <v>274</v>
      </c>
      <c r="C437" s="6" t="s">
        <v>120</v>
      </c>
      <c r="D437" s="13" t="n">
        <v>45093</v>
      </c>
      <c r="E437" s="14" t="n">
        <v>1869.7</v>
      </c>
      <c r="F437" s="14" t="n">
        <v>30454.74</v>
      </c>
      <c r="G437" s="6" t="s">
        <v>2613</v>
      </c>
    </row>
    <row r="438" customFormat="false" ht="15" hidden="false" customHeight="true" outlineLevel="0" collapsed="false">
      <c r="A438" s="6" t="s">
        <v>3050</v>
      </c>
      <c r="B438" s="6" t="s">
        <v>274</v>
      </c>
      <c r="C438" s="6" t="s">
        <v>120</v>
      </c>
      <c r="D438" s="13" t="n">
        <v>45100</v>
      </c>
      <c r="E438" s="14" t="n">
        <v>2187.03</v>
      </c>
      <c r="F438" s="14" t="n">
        <v>32641.77</v>
      </c>
      <c r="G438" s="6" t="s">
        <v>2613</v>
      </c>
    </row>
    <row r="439" customFormat="false" ht="15" hidden="false" customHeight="true" outlineLevel="0" collapsed="false">
      <c r="A439" s="6" t="s">
        <v>3051</v>
      </c>
      <c r="B439" s="6" t="s">
        <v>274</v>
      </c>
      <c r="C439" s="6" t="s">
        <v>120</v>
      </c>
      <c r="D439" s="13" t="n">
        <v>45107</v>
      </c>
      <c r="E439" s="14" t="n">
        <v>3303.89</v>
      </c>
      <c r="F439" s="14" t="n">
        <v>35945.66</v>
      </c>
      <c r="G439" s="6" t="s">
        <v>2613</v>
      </c>
    </row>
    <row r="440" customFormat="false" ht="15" hidden="false" customHeight="true" outlineLevel="0" collapsed="false">
      <c r="A440" s="6" t="s">
        <v>3052</v>
      </c>
      <c r="B440" s="6" t="s">
        <v>274</v>
      </c>
      <c r="C440" s="6" t="s">
        <v>120</v>
      </c>
      <c r="D440" s="13" t="n">
        <v>45114</v>
      </c>
      <c r="E440" s="14" t="n">
        <v>3710.63</v>
      </c>
      <c r="F440" s="14" t="n">
        <v>39656.29</v>
      </c>
      <c r="G440" s="6" t="s">
        <v>2613</v>
      </c>
    </row>
    <row r="441" customFormat="false" ht="15" hidden="false" customHeight="true" outlineLevel="0" collapsed="false">
      <c r="A441" s="6" t="s">
        <v>3053</v>
      </c>
      <c r="B441" s="6" t="s">
        <v>274</v>
      </c>
      <c r="C441" s="6" t="s">
        <v>120</v>
      </c>
      <c r="D441" s="13" t="n">
        <v>45121</v>
      </c>
      <c r="E441" s="14" t="n">
        <v>2119.75</v>
      </c>
      <c r="F441" s="14" t="n">
        <v>41776.04</v>
      </c>
      <c r="G441" s="6" t="s">
        <v>2613</v>
      </c>
    </row>
    <row r="442" customFormat="false" ht="15" hidden="false" customHeight="true" outlineLevel="0" collapsed="false">
      <c r="A442" s="6" t="s">
        <v>3054</v>
      </c>
      <c r="B442" s="6" t="s">
        <v>274</v>
      </c>
      <c r="C442" s="6" t="s">
        <v>120</v>
      </c>
      <c r="D442" s="13" t="n">
        <v>45128</v>
      </c>
      <c r="E442" s="14" t="n">
        <v>3377</v>
      </c>
      <c r="F442" s="14" t="n">
        <v>45153.04</v>
      </c>
      <c r="G442" s="6" t="s">
        <v>2613</v>
      </c>
    </row>
    <row r="443" customFormat="false" ht="15" hidden="false" customHeight="true" outlineLevel="0" collapsed="false">
      <c r="A443" s="6" t="s">
        <v>3055</v>
      </c>
      <c r="B443" s="6" t="s">
        <v>274</v>
      </c>
      <c r="C443" s="6" t="s">
        <v>120</v>
      </c>
      <c r="D443" s="13" t="n">
        <v>45135</v>
      </c>
      <c r="E443" s="14" t="n">
        <v>1976.2</v>
      </c>
      <c r="F443" s="14" t="n">
        <v>47129.24</v>
      </c>
      <c r="G443" s="6" t="s">
        <v>2613</v>
      </c>
    </row>
    <row r="444" customFormat="false" ht="15" hidden="false" customHeight="true" outlineLevel="0" collapsed="false">
      <c r="A444" s="6" t="s">
        <v>3056</v>
      </c>
      <c r="B444" s="6" t="s">
        <v>274</v>
      </c>
      <c r="C444" s="6" t="s">
        <v>120</v>
      </c>
      <c r="D444" s="13" t="n">
        <v>45142</v>
      </c>
      <c r="E444" s="14" t="n">
        <v>3038.75</v>
      </c>
      <c r="F444" s="14" t="n">
        <v>50167.99</v>
      </c>
      <c r="G444" s="6" t="s">
        <v>2613</v>
      </c>
    </row>
    <row r="445" customFormat="false" ht="15" hidden="false" customHeight="true" outlineLevel="0" collapsed="false">
      <c r="A445" s="6" t="s">
        <v>3057</v>
      </c>
      <c r="B445" s="6" t="s">
        <v>274</v>
      </c>
      <c r="C445" s="6" t="s">
        <v>120</v>
      </c>
      <c r="D445" s="13" t="n">
        <v>45149</v>
      </c>
      <c r="E445" s="14" t="n">
        <v>3359.99</v>
      </c>
      <c r="F445" s="14" t="n">
        <v>53527.98</v>
      </c>
      <c r="G445" s="6" t="s">
        <v>2613</v>
      </c>
    </row>
    <row r="446" customFormat="false" ht="15" hidden="false" customHeight="true" outlineLevel="0" collapsed="false">
      <c r="A446" s="6" t="s">
        <v>3058</v>
      </c>
      <c r="B446" s="6" t="s">
        <v>274</v>
      </c>
      <c r="C446" s="6" t="s">
        <v>120</v>
      </c>
      <c r="D446" s="13" t="n">
        <v>45156</v>
      </c>
      <c r="E446" s="14" t="n">
        <v>3570.52</v>
      </c>
      <c r="F446" s="14" t="n">
        <v>57098.5</v>
      </c>
      <c r="G446" s="6" t="s">
        <v>2613</v>
      </c>
    </row>
    <row r="447" customFormat="false" ht="15" hidden="false" customHeight="true" outlineLevel="0" collapsed="false">
      <c r="A447" s="6" t="s">
        <v>3059</v>
      </c>
      <c r="B447" s="6" t="s">
        <v>274</v>
      </c>
      <c r="C447" s="6" t="s">
        <v>120</v>
      </c>
      <c r="D447" s="13" t="n">
        <v>45163</v>
      </c>
      <c r="E447" s="14" t="n">
        <v>6723.94</v>
      </c>
      <c r="F447" s="14" t="n">
        <v>63822.44</v>
      </c>
      <c r="G447" s="6" t="s">
        <v>2623</v>
      </c>
    </row>
    <row r="448" customFormat="false" ht="15" hidden="false" customHeight="true" outlineLevel="0" collapsed="false">
      <c r="A448" s="6" t="s">
        <v>3060</v>
      </c>
      <c r="B448" s="6" t="s">
        <v>276</v>
      </c>
      <c r="C448" s="6" t="s">
        <v>120</v>
      </c>
      <c r="D448" s="13" t="n">
        <v>45703</v>
      </c>
      <c r="E448" s="14" t="n">
        <v>1182.27</v>
      </c>
      <c r="F448" s="14" t="n">
        <v>1182.27</v>
      </c>
      <c r="G448" s="6" t="s">
        <v>2613</v>
      </c>
    </row>
    <row r="449" customFormat="false" ht="15" hidden="false" customHeight="true" outlineLevel="0" collapsed="false">
      <c r="A449" s="6" t="s">
        <v>3061</v>
      </c>
      <c r="B449" s="6" t="s">
        <v>276</v>
      </c>
      <c r="C449" s="6" t="s">
        <v>120</v>
      </c>
      <c r="D449" s="13" t="n">
        <v>45710</v>
      </c>
      <c r="E449" s="14" t="n">
        <v>1673.59</v>
      </c>
      <c r="F449" s="14" t="n">
        <v>2855.86</v>
      </c>
      <c r="G449" s="6" t="s">
        <v>2613</v>
      </c>
    </row>
    <row r="450" customFormat="false" ht="15" hidden="false" customHeight="true" outlineLevel="0" collapsed="false">
      <c r="A450" s="6" t="s">
        <v>3062</v>
      </c>
      <c r="B450" s="6" t="s">
        <v>276</v>
      </c>
      <c r="C450" s="6" t="s">
        <v>120</v>
      </c>
      <c r="D450" s="13" t="n">
        <v>45717</v>
      </c>
      <c r="E450" s="14" t="n">
        <v>1649.44</v>
      </c>
      <c r="F450" s="14" t="n">
        <v>4505.3</v>
      </c>
      <c r="G450" s="6" t="s">
        <v>2623</v>
      </c>
    </row>
    <row r="451" customFormat="false" ht="15" hidden="false" customHeight="true" outlineLevel="0" collapsed="false">
      <c r="A451" s="6" t="s">
        <v>3063</v>
      </c>
      <c r="B451" s="6" t="s">
        <v>276</v>
      </c>
      <c r="C451" s="6" t="s">
        <v>120</v>
      </c>
      <c r="D451" s="13" t="n">
        <v>45724</v>
      </c>
      <c r="E451" s="14" t="n">
        <v>1476.66</v>
      </c>
      <c r="F451" s="14" t="n">
        <v>5981.96</v>
      </c>
      <c r="G451" s="6" t="s">
        <v>2613</v>
      </c>
    </row>
    <row r="452" customFormat="false" ht="15" hidden="false" customHeight="true" outlineLevel="0" collapsed="false">
      <c r="A452" s="6" t="s">
        <v>3064</v>
      </c>
      <c r="B452" s="6" t="s">
        <v>276</v>
      </c>
      <c r="C452" s="6" t="s">
        <v>120</v>
      </c>
      <c r="D452" s="13" t="n">
        <v>45731</v>
      </c>
      <c r="E452" s="14" t="n">
        <v>1271.86</v>
      </c>
      <c r="F452" s="14" t="n">
        <v>7253.82</v>
      </c>
      <c r="G452" s="6" t="s">
        <v>2613</v>
      </c>
    </row>
    <row r="453" customFormat="false" ht="15" hidden="false" customHeight="true" outlineLevel="0" collapsed="false">
      <c r="A453" s="6" t="s">
        <v>3065</v>
      </c>
      <c r="B453" s="6" t="s">
        <v>276</v>
      </c>
      <c r="C453" s="6" t="s">
        <v>120</v>
      </c>
      <c r="D453" s="13" t="n">
        <v>45738</v>
      </c>
      <c r="E453" s="14" t="n">
        <v>2244.77</v>
      </c>
      <c r="F453" s="14" t="n">
        <v>9498.59</v>
      </c>
      <c r="G453" s="6" t="s">
        <v>2613</v>
      </c>
    </row>
    <row r="454" customFormat="false" ht="15" hidden="false" customHeight="true" outlineLevel="0" collapsed="false">
      <c r="A454" s="6" t="s">
        <v>3066</v>
      </c>
      <c r="B454" s="6" t="s">
        <v>276</v>
      </c>
      <c r="C454" s="6" t="s">
        <v>120</v>
      </c>
      <c r="D454" s="13" t="n">
        <v>45745</v>
      </c>
      <c r="E454" s="14" t="n">
        <v>1642.29</v>
      </c>
      <c r="F454" s="14" t="n">
        <v>11140.88</v>
      </c>
      <c r="G454" s="6" t="s">
        <v>2613</v>
      </c>
    </row>
    <row r="455" customFormat="false" ht="15" hidden="false" customHeight="true" outlineLevel="0" collapsed="false">
      <c r="A455" s="6" t="s">
        <v>3067</v>
      </c>
      <c r="B455" s="6" t="s">
        <v>276</v>
      </c>
      <c r="C455" s="6" t="s">
        <v>120</v>
      </c>
      <c r="D455" s="13" t="n">
        <v>45752</v>
      </c>
      <c r="E455" s="14" t="n">
        <v>3757.93</v>
      </c>
      <c r="F455" s="14" t="n">
        <v>14898.81</v>
      </c>
      <c r="G455" s="6" t="s">
        <v>2613</v>
      </c>
    </row>
    <row r="456" customFormat="false" ht="15" hidden="false" customHeight="true" outlineLevel="0" collapsed="false">
      <c r="A456" s="6" t="s">
        <v>3068</v>
      </c>
      <c r="B456" s="6" t="s">
        <v>278</v>
      </c>
      <c r="C456" s="6" t="s">
        <v>131</v>
      </c>
      <c r="D456" s="13" t="n">
        <v>45215</v>
      </c>
      <c r="E456" s="14" t="n">
        <v>2698.14</v>
      </c>
      <c r="F456" s="14" t="n">
        <v>2698.14</v>
      </c>
      <c r="G456" s="6" t="s">
        <v>2613</v>
      </c>
    </row>
    <row r="457" customFormat="false" ht="15" hidden="false" customHeight="true" outlineLevel="0" collapsed="false">
      <c r="A457" s="6" t="s">
        <v>3069</v>
      </c>
      <c r="B457" s="6" t="s">
        <v>278</v>
      </c>
      <c r="C457" s="6" t="s">
        <v>131</v>
      </c>
      <c r="D457" s="13" t="n">
        <v>45222</v>
      </c>
      <c r="E457" s="14" t="n">
        <v>1556.58</v>
      </c>
      <c r="F457" s="14" t="n">
        <v>4254.72</v>
      </c>
      <c r="G457" s="6" t="s">
        <v>2613</v>
      </c>
    </row>
    <row r="458" customFormat="false" ht="15" hidden="false" customHeight="true" outlineLevel="0" collapsed="false">
      <c r="A458" s="6" t="s">
        <v>3070</v>
      </c>
      <c r="B458" s="6" t="s">
        <v>278</v>
      </c>
      <c r="C458" s="6" t="s">
        <v>131</v>
      </c>
      <c r="D458" s="13" t="n">
        <v>45229</v>
      </c>
      <c r="E458" s="14" t="n">
        <v>1460.06</v>
      </c>
      <c r="F458" s="14" t="n">
        <v>5714.78</v>
      </c>
      <c r="G458" s="6" t="s">
        <v>2613</v>
      </c>
    </row>
    <row r="459" customFormat="false" ht="15" hidden="false" customHeight="true" outlineLevel="0" collapsed="false">
      <c r="A459" s="6" t="s">
        <v>3071</v>
      </c>
      <c r="B459" s="6" t="s">
        <v>278</v>
      </c>
      <c r="C459" s="6" t="s">
        <v>131</v>
      </c>
      <c r="D459" s="13" t="n">
        <v>45236</v>
      </c>
      <c r="E459" s="14" t="n">
        <v>2375</v>
      </c>
      <c r="F459" s="14" t="n">
        <v>8089.78</v>
      </c>
      <c r="G459" s="6" t="s">
        <v>2613</v>
      </c>
    </row>
    <row r="460" customFormat="false" ht="15" hidden="false" customHeight="true" outlineLevel="0" collapsed="false">
      <c r="A460" s="6" t="s">
        <v>3072</v>
      </c>
      <c r="B460" s="6" t="s">
        <v>278</v>
      </c>
      <c r="C460" s="6" t="s">
        <v>131</v>
      </c>
      <c r="D460" s="13" t="n">
        <v>45243</v>
      </c>
      <c r="E460" s="14" t="n">
        <v>1678.54</v>
      </c>
      <c r="F460" s="14" t="n">
        <v>9768.32</v>
      </c>
      <c r="G460" s="6" t="s">
        <v>2613</v>
      </c>
    </row>
    <row r="461" customFormat="false" ht="15" hidden="false" customHeight="true" outlineLevel="0" collapsed="false">
      <c r="A461" s="6" t="s">
        <v>3073</v>
      </c>
      <c r="B461" s="6" t="s">
        <v>278</v>
      </c>
      <c r="C461" s="6" t="s">
        <v>131</v>
      </c>
      <c r="D461" s="13" t="n">
        <v>45250</v>
      </c>
      <c r="E461" s="14" t="n">
        <v>1734.54</v>
      </c>
      <c r="F461" s="14" t="n">
        <v>11502.86</v>
      </c>
      <c r="G461" s="6" t="s">
        <v>2613</v>
      </c>
    </row>
    <row r="462" customFormat="false" ht="15" hidden="false" customHeight="true" outlineLevel="0" collapsed="false">
      <c r="A462" s="6" t="s">
        <v>3074</v>
      </c>
      <c r="B462" s="6" t="s">
        <v>278</v>
      </c>
      <c r="C462" s="6" t="s">
        <v>131</v>
      </c>
      <c r="D462" s="13" t="n">
        <v>45257</v>
      </c>
      <c r="E462" s="14" t="n">
        <v>2316.77</v>
      </c>
      <c r="F462" s="14" t="n">
        <v>13819.63</v>
      </c>
      <c r="G462" s="6" t="s">
        <v>2613</v>
      </c>
    </row>
    <row r="463" customFormat="false" ht="15" hidden="false" customHeight="true" outlineLevel="0" collapsed="false">
      <c r="A463" s="6" t="s">
        <v>3075</v>
      </c>
      <c r="B463" s="6" t="s">
        <v>278</v>
      </c>
      <c r="C463" s="6" t="s">
        <v>131</v>
      </c>
      <c r="D463" s="13" t="n">
        <v>45264</v>
      </c>
      <c r="E463" s="14" t="n">
        <v>1694.74</v>
      </c>
      <c r="F463" s="14" t="n">
        <v>15514.37</v>
      </c>
      <c r="G463" s="6" t="s">
        <v>2613</v>
      </c>
    </row>
    <row r="464" customFormat="false" ht="15" hidden="false" customHeight="true" outlineLevel="0" collapsed="false">
      <c r="A464" s="6" t="s">
        <v>3076</v>
      </c>
      <c r="B464" s="6" t="s">
        <v>280</v>
      </c>
      <c r="C464" s="6" t="s">
        <v>116</v>
      </c>
      <c r="D464" s="13" t="n">
        <v>45686</v>
      </c>
      <c r="E464" s="14" t="n">
        <v>4908.9</v>
      </c>
      <c r="F464" s="14" t="n">
        <v>4908.9</v>
      </c>
      <c r="G464" s="6" t="s">
        <v>2613</v>
      </c>
    </row>
    <row r="465" customFormat="false" ht="15" hidden="false" customHeight="true" outlineLevel="0" collapsed="false">
      <c r="A465" s="6" t="s">
        <v>3077</v>
      </c>
      <c r="B465" s="6" t="s">
        <v>280</v>
      </c>
      <c r="C465" s="6" t="s">
        <v>116</v>
      </c>
      <c r="D465" s="13" t="n">
        <v>45693</v>
      </c>
      <c r="E465" s="14" t="n">
        <v>5446.26</v>
      </c>
      <c r="F465" s="14" t="n">
        <v>10355.16</v>
      </c>
      <c r="G465" s="6" t="s">
        <v>2613</v>
      </c>
    </row>
    <row r="466" customFormat="false" ht="15" hidden="false" customHeight="true" outlineLevel="0" collapsed="false">
      <c r="A466" s="6" t="s">
        <v>3078</v>
      </c>
      <c r="B466" s="6" t="s">
        <v>280</v>
      </c>
      <c r="C466" s="6" t="s">
        <v>116</v>
      </c>
      <c r="D466" s="13" t="n">
        <v>45700</v>
      </c>
      <c r="E466" s="14" t="n">
        <v>4174.45</v>
      </c>
      <c r="F466" s="14" t="n">
        <v>14529.61</v>
      </c>
      <c r="G466" s="6" t="s">
        <v>2613</v>
      </c>
    </row>
    <row r="467" customFormat="false" ht="15" hidden="false" customHeight="true" outlineLevel="0" collapsed="false">
      <c r="A467" s="6" t="s">
        <v>3079</v>
      </c>
      <c r="B467" s="6" t="s">
        <v>280</v>
      </c>
      <c r="C467" s="6" t="s">
        <v>116</v>
      </c>
      <c r="D467" s="13" t="n">
        <v>45707</v>
      </c>
      <c r="E467" s="14" t="n">
        <v>5451.79</v>
      </c>
      <c r="F467" s="14" t="n">
        <v>19981.4</v>
      </c>
      <c r="G467" s="6" t="s">
        <v>2613</v>
      </c>
    </row>
    <row r="468" customFormat="false" ht="15" hidden="false" customHeight="true" outlineLevel="0" collapsed="false">
      <c r="A468" s="6" t="s">
        <v>3080</v>
      </c>
      <c r="B468" s="6" t="s">
        <v>280</v>
      </c>
      <c r="C468" s="6" t="s">
        <v>116</v>
      </c>
      <c r="D468" s="13" t="n">
        <v>45714</v>
      </c>
      <c r="E468" s="14" t="n">
        <v>8481.42</v>
      </c>
      <c r="F468" s="14" t="n">
        <v>28462.82</v>
      </c>
      <c r="G468" s="6" t="s">
        <v>2613</v>
      </c>
    </row>
    <row r="469" customFormat="false" ht="15" hidden="false" customHeight="true" outlineLevel="0" collapsed="false">
      <c r="A469" s="6" t="s">
        <v>3081</v>
      </c>
      <c r="B469" s="6" t="s">
        <v>282</v>
      </c>
      <c r="C469" s="6" t="s">
        <v>128</v>
      </c>
      <c r="D469" s="13" t="n">
        <v>44861</v>
      </c>
      <c r="E469" s="14" t="n">
        <v>5546.01</v>
      </c>
      <c r="F469" s="14" t="n">
        <v>5546.01</v>
      </c>
      <c r="G469" s="6" t="s">
        <v>2613</v>
      </c>
    </row>
    <row r="470" customFormat="false" ht="15" hidden="false" customHeight="true" outlineLevel="0" collapsed="false">
      <c r="A470" s="6" t="s">
        <v>3082</v>
      </c>
      <c r="B470" s="6" t="s">
        <v>282</v>
      </c>
      <c r="C470" s="6" t="s">
        <v>128</v>
      </c>
      <c r="D470" s="13" t="n">
        <v>44868</v>
      </c>
      <c r="E470" s="14" t="n">
        <v>4602.31</v>
      </c>
      <c r="F470" s="14" t="n">
        <v>10148.32</v>
      </c>
      <c r="G470" s="6" t="s">
        <v>2613</v>
      </c>
    </row>
    <row r="471" customFormat="false" ht="15" hidden="false" customHeight="true" outlineLevel="0" collapsed="false">
      <c r="A471" s="6" t="s">
        <v>3083</v>
      </c>
      <c r="B471" s="6" t="s">
        <v>282</v>
      </c>
      <c r="C471" s="6" t="s">
        <v>128</v>
      </c>
      <c r="D471" s="13" t="n">
        <v>44875</v>
      </c>
      <c r="E471" s="14" t="n">
        <v>5191.16</v>
      </c>
      <c r="F471" s="14" t="n">
        <v>15339.48</v>
      </c>
      <c r="G471" s="6" t="s">
        <v>2613</v>
      </c>
    </row>
    <row r="472" customFormat="false" ht="15" hidden="false" customHeight="true" outlineLevel="0" collapsed="false">
      <c r="A472" s="6" t="s">
        <v>3084</v>
      </c>
      <c r="B472" s="6" t="s">
        <v>282</v>
      </c>
      <c r="C472" s="6" t="s">
        <v>128</v>
      </c>
      <c r="D472" s="13" t="n">
        <v>44882</v>
      </c>
      <c r="E472" s="14" t="n">
        <v>3651.93</v>
      </c>
      <c r="F472" s="14" t="n">
        <v>18991.41</v>
      </c>
      <c r="G472" s="6" t="s">
        <v>2613</v>
      </c>
    </row>
    <row r="473" customFormat="false" ht="15" hidden="false" customHeight="true" outlineLevel="0" collapsed="false">
      <c r="A473" s="6" t="s">
        <v>3085</v>
      </c>
      <c r="B473" s="6" t="s">
        <v>282</v>
      </c>
      <c r="C473" s="6" t="s">
        <v>128</v>
      </c>
      <c r="D473" s="13" t="n">
        <v>44889</v>
      </c>
      <c r="E473" s="14" t="n">
        <v>5600.86</v>
      </c>
      <c r="F473" s="14" t="n">
        <v>24592.27</v>
      </c>
      <c r="G473" s="6" t="s">
        <v>2613</v>
      </c>
    </row>
    <row r="474" customFormat="false" ht="15" hidden="false" customHeight="true" outlineLevel="0" collapsed="false">
      <c r="A474" s="6" t="s">
        <v>3086</v>
      </c>
      <c r="B474" s="6" t="s">
        <v>282</v>
      </c>
      <c r="C474" s="6" t="s">
        <v>128</v>
      </c>
      <c r="D474" s="13" t="n">
        <v>44896</v>
      </c>
      <c r="E474" s="14" t="n">
        <v>5572.93</v>
      </c>
      <c r="F474" s="14" t="n">
        <v>30165.2</v>
      </c>
      <c r="G474" s="6" t="s">
        <v>2623</v>
      </c>
    </row>
    <row r="475" customFormat="false" ht="15" hidden="false" customHeight="true" outlineLevel="0" collapsed="false">
      <c r="A475" s="6" t="s">
        <v>3087</v>
      </c>
      <c r="B475" s="6" t="s">
        <v>282</v>
      </c>
      <c r="C475" s="6" t="s">
        <v>128</v>
      </c>
      <c r="D475" s="13" t="n">
        <v>44903</v>
      </c>
      <c r="E475" s="14" t="n">
        <v>4143.48</v>
      </c>
      <c r="F475" s="14" t="n">
        <v>34308.68</v>
      </c>
      <c r="G475" s="6" t="s">
        <v>2613</v>
      </c>
    </row>
    <row r="476" customFormat="false" ht="15" hidden="false" customHeight="true" outlineLevel="0" collapsed="false">
      <c r="A476" s="6" t="s">
        <v>3088</v>
      </c>
      <c r="B476" s="6" t="s">
        <v>282</v>
      </c>
      <c r="C476" s="6" t="s">
        <v>128</v>
      </c>
      <c r="D476" s="13" t="n">
        <v>44910</v>
      </c>
      <c r="E476" s="14" t="n">
        <v>12368.13</v>
      </c>
      <c r="F476" s="14" t="n">
        <v>46676.81</v>
      </c>
      <c r="G476" s="6" t="s">
        <v>2613</v>
      </c>
    </row>
    <row r="477" customFormat="false" ht="15" hidden="false" customHeight="true" outlineLevel="0" collapsed="false">
      <c r="A477" s="6" t="s">
        <v>3089</v>
      </c>
      <c r="B477" s="6" t="s">
        <v>284</v>
      </c>
      <c r="C477" s="6" t="s">
        <v>120</v>
      </c>
      <c r="D477" s="13" t="n">
        <v>45153</v>
      </c>
      <c r="E477" s="14" t="n">
        <v>275.23</v>
      </c>
      <c r="F477" s="14" t="n">
        <v>275.23</v>
      </c>
      <c r="G477" s="6" t="s">
        <v>2613</v>
      </c>
    </row>
    <row r="478" customFormat="false" ht="15" hidden="false" customHeight="true" outlineLevel="0" collapsed="false">
      <c r="A478" s="6" t="s">
        <v>3090</v>
      </c>
      <c r="B478" s="6" t="s">
        <v>284</v>
      </c>
      <c r="C478" s="6" t="s">
        <v>120</v>
      </c>
      <c r="D478" s="13" t="n">
        <v>45160</v>
      </c>
      <c r="E478" s="14" t="n">
        <v>238.69</v>
      </c>
      <c r="F478" s="14" t="n">
        <v>513.92</v>
      </c>
      <c r="G478" s="6" t="s">
        <v>2613</v>
      </c>
    </row>
    <row r="479" customFormat="false" ht="15" hidden="false" customHeight="true" outlineLevel="0" collapsed="false">
      <c r="A479" s="6" t="s">
        <v>3091</v>
      </c>
      <c r="B479" s="6" t="s">
        <v>284</v>
      </c>
      <c r="C479" s="6" t="s">
        <v>120</v>
      </c>
      <c r="D479" s="13" t="n">
        <v>45167</v>
      </c>
      <c r="E479" s="14" t="n">
        <v>423.88</v>
      </c>
      <c r="F479" s="14" t="n">
        <v>937.8</v>
      </c>
      <c r="G479" s="6" t="s">
        <v>2613</v>
      </c>
    </row>
    <row r="480" customFormat="false" ht="15" hidden="false" customHeight="true" outlineLevel="0" collapsed="false">
      <c r="A480" s="6" t="s">
        <v>3092</v>
      </c>
      <c r="B480" s="6" t="s">
        <v>284</v>
      </c>
      <c r="C480" s="6" t="s">
        <v>120</v>
      </c>
      <c r="D480" s="13" t="n">
        <v>45174</v>
      </c>
      <c r="E480" s="14" t="n">
        <v>452.01</v>
      </c>
      <c r="F480" s="14" t="n">
        <v>1389.81</v>
      </c>
      <c r="G480" s="6" t="s">
        <v>2613</v>
      </c>
    </row>
    <row r="481" customFormat="false" ht="15" hidden="false" customHeight="true" outlineLevel="0" collapsed="false">
      <c r="A481" s="6" t="s">
        <v>3093</v>
      </c>
      <c r="B481" s="6" t="s">
        <v>284</v>
      </c>
      <c r="C481" s="6" t="s">
        <v>120</v>
      </c>
      <c r="D481" s="13" t="n">
        <v>45181</v>
      </c>
      <c r="E481" s="14" t="n">
        <v>503.01</v>
      </c>
      <c r="F481" s="14" t="n">
        <v>1892.82</v>
      </c>
      <c r="G481" s="6" t="s">
        <v>2613</v>
      </c>
    </row>
    <row r="482" customFormat="false" ht="15" hidden="false" customHeight="true" outlineLevel="0" collapsed="false">
      <c r="A482" s="6" t="s">
        <v>3094</v>
      </c>
      <c r="B482" s="6" t="s">
        <v>284</v>
      </c>
      <c r="C482" s="6" t="s">
        <v>120</v>
      </c>
      <c r="D482" s="13" t="n">
        <v>45188</v>
      </c>
      <c r="E482" s="14" t="n">
        <v>422.77</v>
      </c>
      <c r="F482" s="14" t="n">
        <v>2315.59</v>
      </c>
      <c r="G482" s="6" t="s">
        <v>2613</v>
      </c>
    </row>
    <row r="483" customFormat="false" ht="15" hidden="false" customHeight="true" outlineLevel="0" collapsed="false">
      <c r="A483" s="6" t="s">
        <v>3095</v>
      </c>
      <c r="B483" s="6" t="s">
        <v>284</v>
      </c>
      <c r="C483" s="6" t="s">
        <v>120</v>
      </c>
      <c r="D483" s="13" t="n">
        <v>45195</v>
      </c>
      <c r="E483" s="14" t="n">
        <v>218.91</v>
      </c>
      <c r="F483" s="14" t="n">
        <v>2534.5</v>
      </c>
      <c r="G483" s="6" t="s">
        <v>2613</v>
      </c>
    </row>
    <row r="484" customFormat="false" ht="15" hidden="false" customHeight="true" outlineLevel="0" collapsed="false">
      <c r="A484" s="6" t="s">
        <v>3096</v>
      </c>
      <c r="B484" s="6" t="s">
        <v>286</v>
      </c>
      <c r="C484" s="6" t="s">
        <v>120</v>
      </c>
      <c r="D484" s="13" t="n">
        <v>45741</v>
      </c>
      <c r="E484" s="14" t="n">
        <v>5516.69</v>
      </c>
      <c r="F484" s="14" t="n">
        <v>5516.69</v>
      </c>
      <c r="G484" s="6" t="s">
        <v>2613</v>
      </c>
    </row>
    <row r="485" customFormat="false" ht="15" hidden="false" customHeight="true" outlineLevel="0" collapsed="false">
      <c r="A485" s="6" t="s">
        <v>3097</v>
      </c>
      <c r="B485" s="6" t="s">
        <v>286</v>
      </c>
      <c r="C485" s="6" t="s">
        <v>120</v>
      </c>
      <c r="D485" s="13" t="n">
        <v>45748</v>
      </c>
      <c r="E485" s="14" t="n">
        <v>3544.08</v>
      </c>
      <c r="F485" s="14" t="n">
        <v>9060.77</v>
      </c>
      <c r="G485" s="6" t="s">
        <v>2613</v>
      </c>
    </row>
    <row r="486" customFormat="false" ht="15" hidden="false" customHeight="true" outlineLevel="0" collapsed="false">
      <c r="A486" s="6" t="s">
        <v>3098</v>
      </c>
      <c r="B486" s="6" t="s">
        <v>286</v>
      </c>
      <c r="C486" s="6" t="s">
        <v>120</v>
      </c>
      <c r="D486" s="13" t="n">
        <v>45755</v>
      </c>
      <c r="E486" s="14" t="n">
        <v>7415.2</v>
      </c>
      <c r="F486" s="14" t="n">
        <v>16475.97</v>
      </c>
      <c r="G486" s="6" t="s">
        <v>2613</v>
      </c>
    </row>
    <row r="487" customFormat="false" ht="15" hidden="false" customHeight="true" outlineLevel="0" collapsed="false">
      <c r="A487" s="6" t="s">
        <v>3099</v>
      </c>
      <c r="B487" s="6" t="s">
        <v>286</v>
      </c>
      <c r="C487" s="6" t="s">
        <v>120</v>
      </c>
      <c r="D487" s="13" t="n">
        <v>45762</v>
      </c>
      <c r="E487" s="14" t="n">
        <v>5406.7</v>
      </c>
      <c r="F487" s="14" t="n">
        <v>21882.67</v>
      </c>
      <c r="G487" s="6" t="s">
        <v>2613</v>
      </c>
    </row>
    <row r="488" customFormat="false" ht="15" hidden="false" customHeight="true" outlineLevel="0" collapsed="false">
      <c r="A488" s="6" t="s">
        <v>3100</v>
      </c>
      <c r="B488" s="6" t="s">
        <v>286</v>
      </c>
      <c r="C488" s="6" t="s">
        <v>120</v>
      </c>
      <c r="D488" s="13" t="n">
        <v>45769</v>
      </c>
      <c r="E488" s="14" t="n">
        <v>6668.19</v>
      </c>
      <c r="F488" s="14" t="n">
        <v>28550.86</v>
      </c>
      <c r="G488" s="6" t="s">
        <v>2623</v>
      </c>
    </row>
    <row r="489" customFormat="false" ht="15" hidden="false" customHeight="true" outlineLevel="0" collapsed="false">
      <c r="A489" s="6" t="s">
        <v>3101</v>
      </c>
      <c r="B489" s="6" t="s">
        <v>286</v>
      </c>
      <c r="C489" s="6" t="s">
        <v>120</v>
      </c>
      <c r="D489" s="13" t="n">
        <v>45776</v>
      </c>
      <c r="E489" s="14" t="n">
        <v>7299.86</v>
      </c>
      <c r="F489" s="14" t="n">
        <v>35850.72</v>
      </c>
      <c r="G489" s="6" t="s">
        <v>2613</v>
      </c>
    </row>
    <row r="490" customFormat="false" ht="15" hidden="false" customHeight="true" outlineLevel="0" collapsed="false">
      <c r="A490" s="6" t="s">
        <v>3102</v>
      </c>
      <c r="B490" s="6" t="s">
        <v>286</v>
      </c>
      <c r="C490" s="6" t="s">
        <v>120</v>
      </c>
      <c r="D490" s="13" t="n">
        <v>45783</v>
      </c>
      <c r="E490" s="14" t="n">
        <v>5085.78</v>
      </c>
      <c r="F490" s="14" t="n">
        <v>40936.5</v>
      </c>
      <c r="G490" s="6" t="s">
        <v>2613</v>
      </c>
    </row>
    <row r="491" customFormat="false" ht="15" hidden="false" customHeight="true" outlineLevel="0" collapsed="false">
      <c r="A491" s="6" t="s">
        <v>3103</v>
      </c>
      <c r="B491" s="6" t="s">
        <v>286</v>
      </c>
      <c r="C491" s="6" t="s">
        <v>120</v>
      </c>
      <c r="D491" s="13" t="n">
        <v>45790</v>
      </c>
      <c r="E491" s="14" t="n">
        <v>4638.82</v>
      </c>
      <c r="F491" s="14" t="n">
        <v>45575.32</v>
      </c>
      <c r="G491" s="6" t="s">
        <v>2613</v>
      </c>
    </row>
    <row r="492" customFormat="false" ht="15" hidden="false" customHeight="true" outlineLevel="0" collapsed="false">
      <c r="A492" s="6" t="s">
        <v>3104</v>
      </c>
      <c r="B492" s="6" t="s">
        <v>286</v>
      </c>
      <c r="C492" s="6" t="s">
        <v>120</v>
      </c>
      <c r="D492" s="13" t="n">
        <v>45797</v>
      </c>
      <c r="E492" s="14" t="n">
        <v>6485.62</v>
      </c>
      <c r="F492" s="14" t="n">
        <v>52060.94</v>
      </c>
      <c r="G492" s="6" t="s">
        <v>2613</v>
      </c>
    </row>
    <row r="493" customFormat="false" ht="15" hidden="false" customHeight="true" outlineLevel="0" collapsed="false">
      <c r="A493" s="6" t="s">
        <v>3105</v>
      </c>
      <c r="B493" s="6" t="s">
        <v>286</v>
      </c>
      <c r="C493" s="6" t="s">
        <v>120</v>
      </c>
      <c r="D493" s="13" t="n">
        <v>45804</v>
      </c>
      <c r="E493" s="14" t="n">
        <v>3949.88</v>
      </c>
      <c r="F493" s="14" t="n">
        <v>56010.82</v>
      </c>
      <c r="G493" s="6" t="s">
        <v>2613</v>
      </c>
    </row>
    <row r="494" customFormat="false" ht="15" hidden="false" customHeight="true" outlineLevel="0" collapsed="false">
      <c r="A494" s="6" t="s">
        <v>3106</v>
      </c>
      <c r="B494" s="6" t="s">
        <v>286</v>
      </c>
      <c r="C494" s="6" t="s">
        <v>120</v>
      </c>
      <c r="D494" s="13" t="n">
        <v>45811</v>
      </c>
      <c r="E494" s="14" t="n">
        <v>5012.22</v>
      </c>
      <c r="F494" s="14" t="n">
        <v>61023.04</v>
      </c>
      <c r="G494" s="6" t="s">
        <v>2613</v>
      </c>
    </row>
    <row r="495" customFormat="false" ht="15" hidden="false" customHeight="true" outlineLevel="0" collapsed="false">
      <c r="A495" s="6" t="s">
        <v>3107</v>
      </c>
      <c r="B495" s="6" t="s">
        <v>286</v>
      </c>
      <c r="C495" s="6" t="s">
        <v>120</v>
      </c>
      <c r="D495" s="13" t="n">
        <v>45818</v>
      </c>
      <c r="E495" s="14" t="n">
        <v>3413.53</v>
      </c>
      <c r="F495" s="14" t="n">
        <v>64436.57</v>
      </c>
      <c r="G495" s="6" t="s">
        <v>2613</v>
      </c>
    </row>
    <row r="496" customFormat="false" ht="15" hidden="false" customHeight="true" outlineLevel="0" collapsed="false">
      <c r="A496" s="6" t="s">
        <v>3108</v>
      </c>
      <c r="B496" s="6" t="s">
        <v>286</v>
      </c>
      <c r="C496" s="6" t="s">
        <v>120</v>
      </c>
      <c r="D496" s="13" t="n">
        <v>45825</v>
      </c>
      <c r="E496" s="14" t="n">
        <v>4434.82</v>
      </c>
      <c r="F496" s="14" t="n">
        <v>68871.39</v>
      </c>
      <c r="G496" s="6" t="s">
        <v>2613</v>
      </c>
    </row>
    <row r="497" customFormat="false" ht="15" hidden="false" customHeight="true" outlineLevel="0" collapsed="false">
      <c r="A497" s="6" t="s">
        <v>3109</v>
      </c>
      <c r="B497" s="6" t="s">
        <v>289</v>
      </c>
      <c r="C497" s="6" t="s">
        <v>116</v>
      </c>
      <c r="D497" s="13" t="n">
        <v>44825</v>
      </c>
      <c r="E497" s="14" t="n">
        <v>5947.1</v>
      </c>
      <c r="F497" s="14" t="n">
        <v>5947.1</v>
      </c>
      <c r="G497" s="6" t="s">
        <v>2613</v>
      </c>
    </row>
    <row r="498" customFormat="false" ht="15" hidden="false" customHeight="true" outlineLevel="0" collapsed="false">
      <c r="A498" s="6" t="s">
        <v>3110</v>
      </c>
      <c r="B498" s="6" t="s">
        <v>289</v>
      </c>
      <c r="C498" s="6" t="s">
        <v>116</v>
      </c>
      <c r="D498" s="13" t="n">
        <v>44832</v>
      </c>
      <c r="E498" s="14" t="n">
        <v>9461.23</v>
      </c>
      <c r="F498" s="14" t="n">
        <v>15408.33</v>
      </c>
      <c r="G498" s="6" t="s">
        <v>2613</v>
      </c>
    </row>
    <row r="499" customFormat="false" ht="15" hidden="false" customHeight="true" outlineLevel="0" collapsed="false">
      <c r="A499" s="6" t="s">
        <v>3111</v>
      </c>
      <c r="B499" s="6" t="s">
        <v>289</v>
      </c>
      <c r="C499" s="6" t="s">
        <v>116</v>
      </c>
      <c r="D499" s="13" t="n">
        <v>44839</v>
      </c>
      <c r="E499" s="14" t="n">
        <v>6495.48</v>
      </c>
      <c r="F499" s="14" t="n">
        <v>21903.81</v>
      </c>
      <c r="G499" s="6" t="s">
        <v>2613</v>
      </c>
    </row>
    <row r="500" customFormat="false" ht="15" hidden="false" customHeight="true" outlineLevel="0" collapsed="false">
      <c r="A500" s="6" t="s">
        <v>3112</v>
      </c>
      <c r="B500" s="6" t="s">
        <v>289</v>
      </c>
      <c r="C500" s="6" t="s">
        <v>116</v>
      </c>
      <c r="D500" s="13" t="n">
        <v>44846</v>
      </c>
      <c r="E500" s="14" t="n">
        <v>11648.43</v>
      </c>
      <c r="F500" s="14" t="n">
        <v>33552.24</v>
      </c>
      <c r="G500" s="6" t="s">
        <v>2613</v>
      </c>
    </row>
    <row r="501" customFormat="false" ht="15" hidden="false" customHeight="true" outlineLevel="0" collapsed="false">
      <c r="A501" s="6" t="s">
        <v>3113</v>
      </c>
      <c r="B501" s="6" t="s">
        <v>289</v>
      </c>
      <c r="C501" s="6" t="s">
        <v>116</v>
      </c>
      <c r="D501" s="13" t="n">
        <v>44853</v>
      </c>
      <c r="E501" s="14" t="n">
        <v>11803.05</v>
      </c>
      <c r="F501" s="14" t="n">
        <v>45355.29</v>
      </c>
      <c r="G501" s="6" t="s">
        <v>2623</v>
      </c>
    </row>
    <row r="502" customFormat="false" ht="15" hidden="false" customHeight="true" outlineLevel="0" collapsed="false">
      <c r="A502" s="6" t="s">
        <v>3114</v>
      </c>
      <c r="B502" s="6" t="s">
        <v>289</v>
      </c>
      <c r="C502" s="6" t="s">
        <v>116</v>
      </c>
      <c r="D502" s="13" t="n">
        <v>44860</v>
      </c>
      <c r="E502" s="14" t="n">
        <v>11378.94</v>
      </c>
      <c r="F502" s="14" t="n">
        <v>56734.23</v>
      </c>
      <c r="G502" s="6" t="s">
        <v>2623</v>
      </c>
    </row>
    <row r="503" customFormat="false" ht="15" hidden="false" customHeight="true" outlineLevel="0" collapsed="false">
      <c r="A503" s="6" t="s">
        <v>3115</v>
      </c>
      <c r="B503" s="6" t="s">
        <v>289</v>
      </c>
      <c r="C503" s="6" t="s">
        <v>116</v>
      </c>
      <c r="D503" s="13" t="n">
        <v>44867</v>
      </c>
      <c r="E503" s="14" t="n">
        <v>11976.63</v>
      </c>
      <c r="F503" s="14" t="n">
        <v>68710.86</v>
      </c>
      <c r="G503" s="6" t="s">
        <v>2613</v>
      </c>
    </row>
    <row r="504" customFormat="false" ht="15" hidden="false" customHeight="true" outlineLevel="0" collapsed="false">
      <c r="A504" s="6" t="s">
        <v>3116</v>
      </c>
      <c r="B504" s="6" t="s">
        <v>289</v>
      </c>
      <c r="C504" s="6" t="s">
        <v>116</v>
      </c>
      <c r="D504" s="13" t="n">
        <v>44874</v>
      </c>
      <c r="E504" s="14" t="n">
        <v>7154.44</v>
      </c>
      <c r="F504" s="14" t="n">
        <v>75865.3</v>
      </c>
      <c r="G504" s="6" t="s">
        <v>2613</v>
      </c>
    </row>
    <row r="505" customFormat="false" ht="15" hidden="false" customHeight="true" outlineLevel="0" collapsed="false">
      <c r="A505" s="6" t="s">
        <v>3117</v>
      </c>
      <c r="B505" s="6" t="s">
        <v>289</v>
      </c>
      <c r="C505" s="6" t="s">
        <v>116</v>
      </c>
      <c r="D505" s="13" t="n">
        <v>44881</v>
      </c>
      <c r="E505" s="14" t="n">
        <v>9322.52</v>
      </c>
      <c r="F505" s="14" t="n">
        <v>85187.82</v>
      </c>
      <c r="G505" s="6" t="s">
        <v>2613</v>
      </c>
    </row>
    <row r="506" customFormat="false" ht="15" hidden="false" customHeight="true" outlineLevel="0" collapsed="false">
      <c r="A506" s="6" t="s">
        <v>3118</v>
      </c>
      <c r="B506" s="6" t="s">
        <v>289</v>
      </c>
      <c r="C506" s="6" t="s">
        <v>116</v>
      </c>
      <c r="D506" s="13" t="n">
        <v>44888</v>
      </c>
      <c r="E506" s="14" t="n">
        <v>2950.96</v>
      </c>
      <c r="F506" s="14" t="n">
        <v>88138.78</v>
      </c>
      <c r="G506" s="6" t="s">
        <v>2623</v>
      </c>
    </row>
    <row r="507" customFormat="false" ht="15" hidden="false" customHeight="true" outlineLevel="0" collapsed="false">
      <c r="A507" s="6" t="s">
        <v>3119</v>
      </c>
      <c r="B507" s="6" t="s">
        <v>291</v>
      </c>
      <c r="C507" s="6" t="s">
        <v>131</v>
      </c>
      <c r="D507" s="13" t="n">
        <v>45560</v>
      </c>
      <c r="E507" s="14" t="n">
        <v>3492.43</v>
      </c>
      <c r="F507" s="14" t="n">
        <v>3492.43</v>
      </c>
      <c r="G507" s="6" t="s">
        <v>2613</v>
      </c>
    </row>
    <row r="508" customFormat="false" ht="15" hidden="false" customHeight="true" outlineLevel="0" collapsed="false">
      <c r="A508" s="6" t="s">
        <v>3120</v>
      </c>
      <c r="B508" s="6" t="s">
        <v>291</v>
      </c>
      <c r="C508" s="6" t="s">
        <v>131</v>
      </c>
      <c r="D508" s="13" t="n">
        <v>45567</v>
      </c>
      <c r="E508" s="14" t="n">
        <v>4178.86</v>
      </c>
      <c r="F508" s="14" t="n">
        <v>7671.29</v>
      </c>
      <c r="G508" s="6" t="s">
        <v>2613</v>
      </c>
    </row>
    <row r="509" customFormat="false" ht="15" hidden="false" customHeight="true" outlineLevel="0" collapsed="false">
      <c r="A509" s="6" t="s">
        <v>3121</v>
      </c>
      <c r="B509" s="6" t="s">
        <v>291</v>
      </c>
      <c r="C509" s="6" t="s">
        <v>131</v>
      </c>
      <c r="D509" s="13" t="n">
        <v>45574</v>
      </c>
      <c r="E509" s="14" t="n">
        <v>4280.67</v>
      </c>
      <c r="F509" s="14" t="n">
        <v>11951.96</v>
      </c>
      <c r="G509" s="6" t="s">
        <v>2613</v>
      </c>
    </row>
    <row r="510" customFormat="false" ht="15" hidden="false" customHeight="true" outlineLevel="0" collapsed="false">
      <c r="A510" s="6" t="s">
        <v>3122</v>
      </c>
      <c r="B510" s="6" t="s">
        <v>291</v>
      </c>
      <c r="C510" s="6" t="s">
        <v>131</v>
      </c>
      <c r="D510" s="13" t="n">
        <v>45581</v>
      </c>
      <c r="E510" s="14" t="n">
        <v>5903.63</v>
      </c>
      <c r="F510" s="14" t="n">
        <v>17855.59</v>
      </c>
      <c r="G510" s="6" t="s">
        <v>2613</v>
      </c>
    </row>
    <row r="511" customFormat="false" ht="15" hidden="false" customHeight="true" outlineLevel="0" collapsed="false">
      <c r="A511" s="6" t="s">
        <v>3123</v>
      </c>
      <c r="B511" s="6" t="s">
        <v>291</v>
      </c>
      <c r="C511" s="6" t="s">
        <v>131</v>
      </c>
      <c r="D511" s="13" t="n">
        <v>45588</v>
      </c>
      <c r="E511" s="14" t="n">
        <v>6569.22</v>
      </c>
      <c r="F511" s="14" t="n">
        <v>24424.81</v>
      </c>
      <c r="G511" s="6" t="s">
        <v>2613</v>
      </c>
    </row>
    <row r="512" customFormat="false" ht="15" hidden="false" customHeight="true" outlineLevel="0" collapsed="false">
      <c r="A512" s="6" t="s">
        <v>3124</v>
      </c>
      <c r="B512" s="6" t="s">
        <v>293</v>
      </c>
      <c r="C512" s="6" t="s">
        <v>116</v>
      </c>
      <c r="D512" s="13" t="n">
        <v>44896</v>
      </c>
      <c r="E512" s="14" t="n">
        <v>3625.69</v>
      </c>
      <c r="F512" s="14" t="n">
        <v>3625.69</v>
      </c>
      <c r="G512" s="6" t="s">
        <v>2613</v>
      </c>
    </row>
    <row r="513" customFormat="false" ht="15" hidden="false" customHeight="true" outlineLevel="0" collapsed="false">
      <c r="A513" s="6" t="s">
        <v>3125</v>
      </c>
      <c r="B513" s="6" t="s">
        <v>293</v>
      </c>
      <c r="C513" s="6" t="s">
        <v>116</v>
      </c>
      <c r="D513" s="13" t="n">
        <v>44903</v>
      </c>
      <c r="E513" s="14" t="n">
        <v>2241.13</v>
      </c>
      <c r="F513" s="14" t="n">
        <v>5866.82</v>
      </c>
      <c r="G513" s="6" t="s">
        <v>2613</v>
      </c>
    </row>
    <row r="514" customFormat="false" ht="15" hidden="false" customHeight="true" outlineLevel="0" collapsed="false">
      <c r="A514" s="6" t="s">
        <v>3126</v>
      </c>
      <c r="B514" s="6" t="s">
        <v>293</v>
      </c>
      <c r="C514" s="6" t="s">
        <v>116</v>
      </c>
      <c r="D514" s="13" t="n">
        <v>44910</v>
      </c>
      <c r="E514" s="14" t="n">
        <v>2998.91</v>
      </c>
      <c r="F514" s="14" t="n">
        <v>8865.73</v>
      </c>
      <c r="G514" s="6" t="s">
        <v>2613</v>
      </c>
    </row>
    <row r="515" customFormat="false" ht="15" hidden="false" customHeight="true" outlineLevel="0" collapsed="false">
      <c r="A515" s="6" t="s">
        <v>3127</v>
      </c>
      <c r="B515" s="6" t="s">
        <v>293</v>
      </c>
      <c r="C515" s="6" t="s">
        <v>116</v>
      </c>
      <c r="D515" s="13" t="n">
        <v>44917</v>
      </c>
      <c r="E515" s="14" t="n">
        <v>3074.22</v>
      </c>
      <c r="F515" s="14" t="n">
        <v>11939.95</v>
      </c>
      <c r="G515" s="6" t="s">
        <v>2623</v>
      </c>
    </row>
    <row r="516" customFormat="false" ht="15" hidden="false" customHeight="true" outlineLevel="0" collapsed="false">
      <c r="A516" s="6" t="s">
        <v>3128</v>
      </c>
      <c r="B516" s="6" t="s">
        <v>293</v>
      </c>
      <c r="C516" s="6" t="s">
        <v>116</v>
      </c>
      <c r="D516" s="13" t="n">
        <v>44924</v>
      </c>
      <c r="E516" s="14" t="n">
        <v>2817.59</v>
      </c>
      <c r="F516" s="14" t="n">
        <v>14757.54</v>
      </c>
      <c r="G516" s="6" t="s">
        <v>2613</v>
      </c>
    </row>
    <row r="517" customFormat="false" ht="15" hidden="false" customHeight="true" outlineLevel="0" collapsed="false">
      <c r="A517" s="6" t="s">
        <v>3129</v>
      </c>
      <c r="B517" s="6" t="s">
        <v>293</v>
      </c>
      <c r="C517" s="6" t="s">
        <v>116</v>
      </c>
      <c r="D517" s="13" t="n">
        <v>44931</v>
      </c>
      <c r="E517" s="14" t="n">
        <v>2441.71</v>
      </c>
      <c r="F517" s="14" t="n">
        <v>17199.25</v>
      </c>
      <c r="G517" s="6" t="s">
        <v>2613</v>
      </c>
    </row>
    <row r="518" customFormat="false" ht="15" hidden="false" customHeight="true" outlineLevel="0" collapsed="false">
      <c r="A518" s="6" t="s">
        <v>3130</v>
      </c>
      <c r="B518" s="6" t="s">
        <v>293</v>
      </c>
      <c r="C518" s="6" t="s">
        <v>116</v>
      </c>
      <c r="D518" s="13" t="n">
        <v>44938</v>
      </c>
      <c r="E518" s="14" t="n">
        <v>1968.34</v>
      </c>
      <c r="F518" s="14" t="n">
        <v>19167.59</v>
      </c>
      <c r="G518" s="6" t="s">
        <v>2613</v>
      </c>
    </row>
    <row r="519" customFormat="false" ht="15" hidden="false" customHeight="true" outlineLevel="0" collapsed="false">
      <c r="A519" s="6" t="s">
        <v>3131</v>
      </c>
      <c r="B519" s="6" t="s">
        <v>293</v>
      </c>
      <c r="C519" s="6" t="s">
        <v>116</v>
      </c>
      <c r="D519" s="13" t="n">
        <v>44945</v>
      </c>
      <c r="E519" s="14" t="n">
        <v>3321.04</v>
      </c>
      <c r="F519" s="14" t="n">
        <v>22488.63</v>
      </c>
      <c r="G519" s="6" t="s">
        <v>2613</v>
      </c>
    </row>
    <row r="520" customFormat="false" ht="15" hidden="false" customHeight="true" outlineLevel="0" collapsed="false">
      <c r="A520" s="6" t="s">
        <v>3132</v>
      </c>
      <c r="B520" s="6" t="s">
        <v>293</v>
      </c>
      <c r="C520" s="6" t="s">
        <v>116</v>
      </c>
      <c r="D520" s="13" t="n">
        <v>44952</v>
      </c>
      <c r="E520" s="14" t="n">
        <v>3505.89</v>
      </c>
      <c r="F520" s="14" t="n">
        <v>25994.52</v>
      </c>
      <c r="G520" s="6" t="s">
        <v>2613</v>
      </c>
    </row>
    <row r="521" customFormat="false" ht="15" hidden="false" customHeight="true" outlineLevel="0" collapsed="false">
      <c r="A521" s="6" t="s">
        <v>3133</v>
      </c>
      <c r="B521" s="6" t="s">
        <v>293</v>
      </c>
      <c r="C521" s="6" t="s">
        <v>116</v>
      </c>
      <c r="D521" s="13" t="n">
        <v>44959</v>
      </c>
      <c r="E521" s="14" t="n">
        <v>1868.57</v>
      </c>
      <c r="F521" s="14" t="n">
        <v>27863.09</v>
      </c>
      <c r="G521" s="6" t="s">
        <v>2613</v>
      </c>
    </row>
    <row r="522" customFormat="false" ht="15" hidden="false" customHeight="true" outlineLevel="0" collapsed="false">
      <c r="A522" s="6" t="s">
        <v>3134</v>
      </c>
      <c r="B522" s="6" t="s">
        <v>293</v>
      </c>
      <c r="C522" s="6" t="s">
        <v>116</v>
      </c>
      <c r="D522" s="13" t="n">
        <v>44966</v>
      </c>
      <c r="E522" s="14" t="n">
        <v>2178.51</v>
      </c>
      <c r="F522" s="14" t="n">
        <v>30041.6</v>
      </c>
      <c r="G522" s="6" t="s">
        <v>2613</v>
      </c>
    </row>
    <row r="523" customFormat="false" ht="15" hidden="false" customHeight="true" outlineLevel="0" collapsed="false">
      <c r="A523" s="6" t="s">
        <v>3135</v>
      </c>
      <c r="B523" s="6" t="s">
        <v>293</v>
      </c>
      <c r="C523" s="6" t="s">
        <v>116</v>
      </c>
      <c r="D523" s="13" t="n">
        <v>44973</v>
      </c>
      <c r="E523" s="14" t="n">
        <v>2749.9</v>
      </c>
      <c r="F523" s="14" t="n">
        <v>32791.5</v>
      </c>
      <c r="G523" s="6" t="s">
        <v>2613</v>
      </c>
    </row>
    <row r="524" customFormat="false" ht="15" hidden="false" customHeight="true" outlineLevel="0" collapsed="false">
      <c r="A524" s="6" t="s">
        <v>3136</v>
      </c>
      <c r="B524" s="6" t="s">
        <v>293</v>
      </c>
      <c r="C524" s="6" t="s">
        <v>116</v>
      </c>
      <c r="D524" s="13" t="n">
        <v>44980</v>
      </c>
      <c r="E524" s="14" t="n">
        <v>7257.61</v>
      </c>
      <c r="F524" s="14" t="n">
        <v>40049.11</v>
      </c>
      <c r="G524" s="6" t="s">
        <v>2623</v>
      </c>
    </row>
    <row r="525" customFormat="false" ht="15" hidden="false" customHeight="true" outlineLevel="0" collapsed="false">
      <c r="A525" s="6" t="s">
        <v>3137</v>
      </c>
      <c r="B525" s="6" t="s">
        <v>295</v>
      </c>
      <c r="C525" s="6" t="s">
        <v>112</v>
      </c>
      <c r="D525" s="13" t="n">
        <v>44767</v>
      </c>
      <c r="E525" s="14" t="n">
        <v>2216.09</v>
      </c>
      <c r="F525" s="14" t="n">
        <v>2216.09</v>
      </c>
      <c r="G525" s="6" t="s">
        <v>2613</v>
      </c>
    </row>
    <row r="526" customFormat="false" ht="15" hidden="false" customHeight="true" outlineLevel="0" collapsed="false">
      <c r="A526" s="6" t="s">
        <v>3138</v>
      </c>
      <c r="B526" s="6" t="s">
        <v>295</v>
      </c>
      <c r="C526" s="6" t="s">
        <v>112</v>
      </c>
      <c r="D526" s="13" t="n">
        <v>44774</v>
      </c>
      <c r="E526" s="14" t="n">
        <v>3062.32</v>
      </c>
      <c r="F526" s="14" t="n">
        <v>5278.41</v>
      </c>
      <c r="G526" s="6" t="s">
        <v>2613</v>
      </c>
    </row>
    <row r="527" customFormat="false" ht="15" hidden="false" customHeight="true" outlineLevel="0" collapsed="false">
      <c r="A527" s="6" t="s">
        <v>3139</v>
      </c>
      <c r="B527" s="6" t="s">
        <v>295</v>
      </c>
      <c r="C527" s="6" t="s">
        <v>112</v>
      </c>
      <c r="D527" s="13" t="n">
        <v>44781</v>
      </c>
      <c r="E527" s="14" t="n">
        <v>2562.08</v>
      </c>
      <c r="F527" s="14" t="n">
        <v>7840.49</v>
      </c>
      <c r="G527" s="6" t="s">
        <v>2613</v>
      </c>
    </row>
    <row r="528" customFormat="false" ht="15" hidden="false" customHeight="true" outlineLevel="0" collapsed="false">
      <c r="A528" s="6" t="s">
        <v>3140</v>
      </c>
      <c r="B528" s="6" t="s">
        <v>295</v>
      </c>
      <c r="C528" s="6" t="s">
        <v>112</v>
      </c>
      <c r="D528" s="13" t="n">
        <v>44788</v>
      </c>
      <c r="E528" s="14" t="n">
        <v>1618.29</v>
      </c>
      <c r="F528" s="14" t="n">
        <v>9458.78</v>
      </c>
      <c r="G528" s="6" t="s">
        <v>2613</v>
      </c>
    </row>
    <row r="529" customFormat="false" ht="15" hidden="false" customHeight="true" outlineLevel="0" collapsed="false">
      <c r="A529" s="6" t="s">
        <v>3141</v>
      </c>
      <c r="B529" s="6" t="s">
        <v>295</v>
      </c>
      <c r="C529" s="6" t="s">
        <v>112</v>
      </c>
      <c r="D529" s="13" t="n">
        <v>44795</v>
      </c>
      <c r="E529" s="14" t="n">
        <v>2203.79</v>
      </c>
      <c r="F529" s="14" t="n">
        <v>11662.57</v>
      </c>
      <c r="G529" s="6" t="s">
        <v>2613</v>
      </c>
    </row>
    <row r="530" customFormat="false" ht="15" hidden="false" customHeight="true" outlineLevel="0" collapsed="false">
      <c r="A530" s="6" t="s">
        <v>3142</v>
      </c>
      <c r="B530" s="6" t="s">
        <v>295</v>
      </c>
      <c r="C530" s="6" t="s">
        <v>112</v>
      </c>
      <c r="D530" s="13" t="n">
        <v>44802</v>
      </c>
      <c r="E530" s="14" t="n">
        <v>2456</v>
      </c>
      <c r="F530" s="14" t="n">
        <v>14118.57</v>
      </c>
      <c r="G530" s="6" t="s">
        <v>2613</v>
      </c>
    </row>
    <row r="531" customFormat="false" ht="15" hidden="false" customHeight="true" outlineLevel="0" collapsed="false">
      <c r="A531" s="6" t="s">
        <v>3143</v>
      </c>
      <c r="B531" s="6" t="s">
        <v>295</v>
      </c>
      <c r="C531" s="6" t="s">
        <v>112</v>
      </c>
      <c r="D531" s="13" t="n">
        <v>44809</v>
      </c>
      <c r="E531" s="14" t="n">
        <v>2575.07</v>
      </c>
      <c r="F531" s="14" t="n">
        <v>16693.64</v>
      </c>
      <c r="G531" s="6" t="s">
        <v>2613</v>
      </c>
    </row>
    <row r="532" customFormat="false" ht="15" hidden="false" customHeight="true" outlineLevel="0" collapsed="false">
      <c r="A532" s="6" t="s">
        <v>3144</v>
      </c>
      <c r="B532" s="6" t="s">
        <v>295</v>
      </c>
      <c r="C532" s="6" t="s">
        <v>112</v>
      </c>
      <c r="D532" s="13" t="n">
        <v>44816</v>
      </c>
      <c r="E532" s="14" t="n">
        <v>2773.59</v>
      </c>
      <c r="F532" s="14" t="n">
        <v>19467.23</v>
      </c>
      <c r="G532" s="6" t="s">
        <v>2613</v>
      </c>
    </row>
    <row r="533" customFormat="false" ht="15" hidden="false" customHeight="true" outlineLevel="0" collapsed="false">
      <c r="A533" s="6" t="s">
        <v>3145</v>
      </c>
      <c r="B533" s="6" t="s">
        <v>295</v>
      </c>
      <c r="C533" s="6" t="s">
        <v>112</v>
      </c>
      <c r="D533" s="13" t="n">
        <v>44823</v>
      </c>
      <c r="E533" s="14" t="n">
        <v>3541.83</v>
      </c>
      <c r="F533" s="14" t="n">
        <v>23009.06</v>
      </c>
      <c r="G533" s="6" t="s">
        <v>2613</v>
      </c>
    </row>
    <row r="534" customFormat="false" ht="15" hidden="false" customHeight="true" outlineLevel="0" collapsed="false">
      <c r="A534" s="6" t="s">
        <v>3146</v>
      </c>
      <c r="B534" s="6" t="s">
        <v>295</v>
      </c>
      <c r="C534" s="6" t="s">
        <v>112</v>
      </c>
      <c r="D534" s="13" t="n">
        <v>44830</v>
      </c>
      <c r="E534" s="14" t="n">
        <v>2135</v>
      </c>
      <c r="F534" s="14" t="n">
        <v>25144.06</v>
      </c>
      <c r="G534" s="6" t="s">
        <v>2613</v>
      </c>
    </row>
    <row r="535" customFormat="false" ht="15" hidden="false" customHeight="true" outlineLevel="0" collapsed="false">
      <c r="A535" s="6" t="s">
        <v>3147</v>
      </c>
      <c r="B535" s="6" t="s">
        <v>295</v>
      </c>
      <c r="C535" s="6" t="s">
        <v>112</v>
      </c>
      <c r="D535" s="13" t="n">
        <v>44837</v>
      </c>
      <c r="E535" s="14" t="n">
        <v>3211.53</v>
      </c>
      <c r="F535" s="14" t="n">
        <v>28355.59</v>
      </c>
      <c r="G535" s="6" t="s">
        <v>2613</v>
      </c>
    </row>
    <row r="536" customFormat="false" ht="15" hidden="false" customHeight="true" outlineLevel="0" collapsed="false">
      <c r="A536" s="6" t="s">
        <v>3148</v>
      </c>
      <c r="B536" s="6" t="s">
        <v>295</v>
      </c>
      <c r="C536" s="6" t="s">
        <v>112</v>
      </c>
      <c r="D536" s="13" t="n">
        <v>44844</v>
      </c>
      <c r="E536" s="14" t="n">
        <v>2968.26</v>
      </c>
      <c r="F536" s="14" t="n">
        <v>31323.85</v>
      </c>
      <c r="G536" s="6" t="s">
        <v>2613</v>
      </c>
    </row>
    <row r="537" customFormat="false" ht="15" hidden="false" customHeight="true" outlineLevel="0" collapsed="false">
      <c r="A537" s="6" t="s">
        <v>3149</v>
      </c>
      <c r="B537" s="6" t="s">
        <v>295</v>
      </c>
      <c r="C537" s="6" t="s">
        <v>112</v>
      </c>
      <c r="D537" s="13" t="n">
        <v>44851</v>
      </c>
      <c r="E537" s="14" t="n">
        <v>3186.01</v>
      </c>
      <c r="F537" s="14" t="n">
        <v>34509.86</v>
      </c>
      <c r="G537" s="6" t="s">
        <v>2613</v>
      </c>
    </row>
    <row r="538" customFormat="false" ht="15" hidden="false" customHeight="true" outlineLevel="0" collapsed="false">
      <c r="A538" s="6" t="s">
        <v>3150</v>
      </c>
      <c r="B538" s="6" t="s">
        <v>295</v>
      </c>
      <c r="C538" s="6" t="s">
        <v>112</v>
      </c>
      <c r="D538" s="13" t="n">
        <v>44858</v>
      </c>
      <c r="E538" s="14" t="n">
        <v>2897.18</v>
      </c>
      <c r="F538" s="14" t="n">
        <v>37407.04</v>
      </c>
      <c r="G538" s="6" t="s">
        <v>2613</v>
      </c>
    </row>
    <row r="539" customFormat="false" ht="15" hidden="false" customHeight="true" outlineLevel="0" collapsed="false">
      <c r="A539" s="6" t="s">
        <v>3151</v>
      </c>
      <c r="B539" s="6" t="s">
        <v>295</v>
      </c>
      <c r="C539" s="6" t="s">
        <v>112</v>
      </c>
      <c r="D539" s="13" t="n">
        <v>44865</v>
      </c>
      <c r="E539" s="14" t="n">
        <v>2713.84</v>
      </c>
      <c r="F539" s="14" t="n">
        <v>40120.88</v>
      </c>
      <c r="G539" s="6" t="s">
        <v>2613</v>
      </c>
    </row>
    <row r="540" customFormat="false" ht="15" hidden="false" customHeight="true" outlineLevel="0" collapsed="false">
      <c r="A540" s="6" t="s">
        <v>3152</v>
      </c>
      <c r="B540" s="6" t="s">
        <v>295</v>
      </c>
      <c r="C540" s="6" t="s">
        <v>112</v>
      </c>
      <c r="D540" s="13" t="n">
        <v>44872</v>
      </c>
      <c r="E540" s="14" t="n">
        <v>3002.01</v>
      </c>
      <c r="F540" s="14" t="n">
        <v>43122.89</v>
      </c>
      <c r="G540" s="6" t="s">
        <v>2613</v>
      </c>
    </row>
    <row r="541" customFormat="false" ht="15" hidden="false" customHeight="true" outlineLevel="0" collapsed="false">
      <c r="A541" s="6" t="s">
        <v>3153</v>
      </c>
      <c r="B541" s="6" t="s">
        <v>295</v>
      </c>
      <c r="C541" s="6" t="s">
        <v>112</v>
      </c>
      <c r="D541" s="13" t="n">
        <v>44879</v>
      </c>
      <c r="E541" s="14" t="n">
        <v>1580.33</v>
      </c>
      <c r="F541" s="14" t="n">
        <v>44703.22</v>
      </c>
      <c r="G541" s="6" t="s">
        <v>2613</v>
      </c>
    </row>
    <row r="542" customFormat="false" ht="15" hidden="false" customHeight="true" outlineLevel="0" collapsed="false">
      <c r="A542" s="6" t="s">
        <v>3154</v>
      </c>
      <c r="B542" s="6" t="s">
        <v>295</v>
      </c>
      <c r="C542" s="6" t="s">
        <v>112</v>
      </c>
      <c r="D542" s="13" t="n">
        <v>44886</v>
      </c>
      <c r="E542" s="14" t="n">
        <v>3493.92</v>
      </c>
      <c r="F542" s="14" t="n">
        <v>48197.14</v>
      </c>
      <c r="G542" s="6" t="s">
        <v>2613</v>
      </c>
    </row>
    <row r="543" customFormat="false" ht="15" hidden="false" customHeight="true" outlineLevel="0" collapsed="false">
      <c r="A543" s="6" t="s">
        <v>3155</v>
      </c>
      <c r="B543" s="6" t="s">
        <v>295</v>
      </c>
      <c r="C543" s="6" t="s">
        <v>112</v>
      </c>
      <c r="D543" s="13" t="n">
        <v>44893</v>
      </c>
      <c r="E543" s="14" t="n">
        <v>3105.46</v>
      </c>
      <c r="F543" s="14" t="n">
        <v>51302.6</v>
      </c>
      <c r="G543" s="6" t="s">
        <v>2613</v>
      </c>
    </row>
    <row r="544" customFormat="false" ht="15" hidden="false" customHeight="true" outlineLevel="0" collapsed="false">
      <c r="A544" s="6" t="s">
        <v>3156</v>
      </c>
      <c r="B544" s="6" t="s">
        <v>295</v>
      </c>
      <c r="C544" s="6" t="s">
        <v>112</v>
      </c>
      <c r="D544" s="13" t="n">
        <v>44900</v>
      </c>
      <c r="E544" s="14" t="n">
        <v>2994.03</v>
      </c>
      <c r="F544" s="14" t="n">
        <v>54296.63</v>
      </c>
      <c r="G544" s="6" t="s">
        <v>2613</v>
      </c>
    </row>
    <row r="545" customFormat="false" ht="15" hidden="false" customHeight="true" outlineLevel="0" collapsed="false">
      <c r="A545" s="6" t="s">
        <v>3157</v>
      </c>
      <c r="B545" s="6" t="s">
        <v>295</v>
      </c>
      <c r="C545" s="6" t="s">
        <v>112</v>
      </c>
      <c r="D545" s="13" t="n">
        <v>44907</v>
      </c>
      <c r="E545" s="14" t="n">
        <v>1873.07</v>
      </c>
      <c r="F545" s="14" t="n">
        <v>56169.7</v>
      </c>
      <c r="G545" s="6" t="s">
        <v>2613</v>
      </c>
    </row>
    <row r="546" customFormat="false" ht="15" hidden="false" customHeight="true" outlineLevel="0" collapsed="false">
      <c r="A546" s="6" t="s">
        <v>3158</v>
      </c>
      <c r="B546" s="6" t="s">
        <v>295</v>
      </c>
      <c r="C546" s="6" t="s">
        <v>112</v>
      </c>
      <c r="D546" s="13" t="n">
        <v>44914</v>
      </c>
      <c r="E546" s="14" t="n">
        <v>2787.16</v>
      </c>
      <c r="F546" s="14" t="n">
        <v>58956.86</v>
      </c>
      <c r="G546" s="6" t="s">
        <v>2613</v>
      </c>
    </row>
    <row r="547" customFormat="false" ht="15" hidden="false" customHeight="true" outlineLevel="0" collapsed="false">
      <c r="A547" s="6" t="s">
        <v>3159</v>
      </c>
      <c r="B547" s="6" t="s">
        <v>295</v>
      </c>
      <c r="C547" s="6" t="s">
        <v>112</v>
      </c>
      <c r="D547" s="13" t="n">
        <v>44921</v>
      </c>
      <c r="E547" s="14" t="n">
        <v>1826.81</v>
      </c>
      <c r="F547" s="14" t="n">
        <v>60783.67</v>
      </c>
      <c r="G547" s="6" t="s">
        <v>2613</v>
      </c>
    </row>
    <row r="548" customFormat="false" ht="15" hidden="false" customHeight="true" outlineLevel="0" collapsed="false">
      <c r="A548" s="6" t="s">
        <v>3160</v>
      </c>
      <c r="B548" s="6" t="s">
        <v>295</v>
      </c>
      <c r="C548" s="6" t="s">
        <v>112</v>
      </c>
      <c r="D548" s="13" t="n">
        <v>44928</v>
      </c>
      <c r="E548" s="14" t="n">
        <v>1590.35</v>
      </c>
      <c r="F548" s="14" t="n">
        <v>62374.02</v>
      </c>
      <c r="G548" s="6" t="s">
        <v>2613</v>
      </c>
    </row>
    <row r="549" customFormat="false" ht="15" hidden="false" customHeight="true" outlineLevel="0" collapsed="false">
      <c r="A549" s="6" t="s">
        <v>3161</v>
      </c>
      <c r="B549" s="6" t="s">
        <v>295</v>
      </c>
      <c r="C549" s="6" t="s">
        <v>112</v>
      </c>
      <c r="D549" s="13" t="n">
        <v>44935</v>
      </c>
      <c r="E549" s="14" t="n">
        <v>1749.73</v>
      </c>
      <c r="F549" s="14" t="n">
        <v>64123.75</v>
      </c>
      <c r="G549" s="6" t="s">
        <v>2623</v>
      </c>
    </row>
    <row r="550" customFormat="false" ht="15" hidden="false" customHeight="true" outlineLevel="0" collapsed="false">
      <c r="A550" s="6" t="s">
        <v>3162</v>
      </c>
      <c r="B550" s="6" t="s">
        <v>295</v>
      </c>
      <c r="C550" s="6" t="s">
        <v>112</v>
      </c>
      <c r="D550" s="13" t="n">
        <v>44942</v>
      </c>
      <c r="E550" s="14" t="n">
        <v>2007.71</v>
      </c>
      <c r="F550" s="14" t="n">
        <v>66131.46</v>
      </c>
      <c r="G550" s="6" t="s">
        <v>2613</v>
      </c>
    </row>
    <row r="551" customFormat="false" ht="15" hidden="false" customHeight="true" outlineLevel="0" collapsed="false">
      <c r="A551" s="6" t="s">
        <v>3163</v>
      </c>
      <c r="B551" s="6" t="s">
        <v>297</v>
      </c>
      <c r="C551" s="6" t="s">
        <v>116</v>
      </c>
      <c r="D551" s="13" t="n">
        <v>45548</v>
      </c>
      <c r="E551" s="14" t="n">
        <v>5116.83</v>
      </c>
      <c r="F551" s="14" t="n">
        <v>5116.83</v>
      </c>
      <c r="G551" s="6" t="s">
        <v>2613</v>
      </c>
    </row>
    <row r="552" customFormat="false" ht="15" hidden="false" customHeight="true" outlineLevel="0" collapsed="false">
      <c r="A552" s="6" t="s">
        <v>3164</v>
      </c>
      <c r="B552" s="6" t="s">
        <v>297</v>
      </c>
      <c r="C552" s="6" t="s">
        <v>116</v>
      </c>
      <c r="D552" s="13" t="n">
        <v>45555</v>
      </c>
      <c r="E552" s="14" t="n">
        <v>6054.34</v>
      </c>
      <c r="F552" s="14" t="n">
        <v>11171.17</v>
      </c>
      <c r="G552" s="6" t="s">
        <v>2613</v>
      </c>
    </row>
    <row r="553" customFormat="false" ht="15" hidden="false" customHeight="true" outlineLevel="0" collapsed="false">
      <c r="A553" s="6" t="s">
        <v>3165</v>
      </c>
      <c r="B553" s="6" t="s">
        <v>297</v>
      </c>
      <c r="C553" s="6" t="s">
        <v>116</v>
      </c>
      <c r="D553" s="13" t="n">
        <v>45562</v>
      </c>
      <c r="E553" s="14" t="n">
        <v>8435.79</v>
      </c>
      <c r="F553" s="14" t="n">
        <v>19606.96</v>
      </c>
      <c r="G553" s="6" t="s">
        <v>2613</v>
      </c>
    </row>
    <row r="554" customFormat="false" ht="15" hidden="false" customHeight="true" outlineLevel="0" collapsed="false">
      <c r="A554" s="6" t="s">
        <v>3166</v>
      </c>
      <c r="B554" s="6" t="s">
        <v>297</v>
      </c>
      <c r="C554" s="6" t="s">
        <v>116</v>
      </c>
      <c r="D554" s="13" t="n">
        <v>45569</v>
      </c>
      <c r="E554" s="14" t="n">
        <v>7722.56</v>
      </c>
      <c r="F554" s="14" t="n">
        <v>27329.52</v>
      </c>
      <c r="G554" s="6" t="s">
        <v>2613</v>
      </c>
    </row>
    <row r="555" customFormat="false" ht="15" hidden="false" customHeight="true" outlineLevel="0" collapsed="false">
      <c r="A555" s="6" t="s">
        <v>3167</v>
      </c>
      <c r="B555" s="6" t="s">
        <v>297</v>
      </c>
      <c r="C555" s="6" t="s">
        <v>116</v>
      </c>
      <c r="D555" s="13" t="n">
        <v>45576</v>
      </c>
      <c r="E555" s="14" t="n">
        <v>7538.37</v>
      </c>
      <c r="F555" s="14" t="n">
        <v>34867.89</v>
      </c>
      <c r="G555" s="6" t="s">
        <v>2613</v>
      </c>
    </row>
    <row r="556" customFormat="false" ht="15" hidden="false" customHeight="true" outlineLevel="0" collapsed="false">
      <c r="A556" s="6" t="s">
        <v>3168</v>
      </c>
      <c r="B556" s="6" t="s">
        <v>297</v>
      </c>
      <c r="C556" s="6" t="s">
        <v>116</v>
      </c>
      <c r="D556" s="13" t="n">
        <v>45583</v>
      </c>
      <c r="E556" s="14" t="n">
        <v>6701.64</v>
      </c>
      <c r="F556" s="14" t="n">
        <v>41569.53</v>
      </c>
      <c r="G556" s="6" t="s">
        <v>2613</v>
      </c>
    </row>
    <row r="557" customFormat="false" ht="15" hidden="false" customHeight="true" outlineLevel="0" collapsed="false">
      <c r="A557" s="6" t="s">
        <v>3169</v>
      </c>
      <c r="B557" s="6" t="s">
        <v>300</v>
      </c>
      <c r="C557" s="6" t="s">
        <v>128</v>
      </c>
      <c r="D557" s="13" t="n">
        <v>46046</v>
      </c>
      <c r="E557" s="14" t="n">
        <v>6135.73</v>
      </c>
      <c r="F557" s="14" t="n">
        <v>6135.73</v>
      </c>
      <c r="G557" s="6" t="s">
        <v>2613</v>
      </c>
    </row>
    <row r="558" customFormat="false" ht="15" hidden="false" customHeight="true" outlineLevel="0" collapsed="false">
      <c r="A558" s="6" t="s">
        <v>3170</v>
      </c>
      <c r="B558" s="6" t="s">
        <v>300</v>
      </c>
      <c r="C558" s="6" t="s">
        <v>128</v>
      </c>
      <c r="D558" s="13" t="n">
        <v>46053</v>
      </c>
      <c r="E558" s="14" t="n">
        <v>7441.21</v>
      </c>
      <c r="F558" s="14" t="n">
        <v>13576.94</v>
      </c>
      <c r="G558" s="6" t="s">
        <v>2613</v>
      </c>
    </row>
    <row r="559" customFormat="false" ht="15" hidden="false" customHeight="true" outlineLevel="0" collapsed="false">
      <c r="A559" s="6" t="s">
        <v>3171</v>
      </c>
      <c r="B559" s="6" t="s">
        <v>300</v>
      </c>
      <c r="C559" s="6" t="s">
        <v>128</v>
      </c>
      <c r="D559" s="13" t="n">
        <v>46060</v>
      </c>
      <c r="E559" s="14" t="n">
        <v>7331.32</v>
      </c>
      <c r="F559" s="14" t="n">
        <v>20908.26</v>
      </c>
      <c r="G559" s="6" t="s">
        <v>2613</v>
      </c>
    </row>
    <row r="560" customFormat="false" ht="15" hidden="false" customHeight="true" outlineLevel="0" collapsed="false">
      <c r="A560" s="6" t="s">
        <v>3172</v>
      </c>
      <c r="B560" s="6" t="s">
        <v>300</v>
      </c>
      <c r="C560" s="6" t="s">
        <v>128</v>
      </c>
      <c r="D560" s="13" t="n">
        <v>46067</v>
      </c>
      <c r="E560" s="14" t="n">
        <v>4474.86</v>
      </c>
      <c r="F560" s="14" t="n">
        <v>25383.12</v>
      </c>
      <c r="G560" s="6" t="s">
        <v>2613</v>
      </c>
    </row>
    <row r="561" customFormat="false" ht="15" hidden="false" customHeight="true" outlineLevel="0" collapsed="false">
      <c r="A561" s="6" t="s">
        <v>3173</v>
      </c>
      <c r="B561" s="6" t="s">
        <v>300</v>
      </c>
      <c r="C561" s="6" t="s">
        <v>128</v>
      </c>
      <c r="D561" s="13" t="n">
        <v>46074</v>
      </c>
      <c r="E561" s="14" t="n">
        <v>6297.1</v>
      </c>
      <c r="F561" s="14" t="n">
        <v>31680.22</v>
      </c>
      <c r="G561" s="6" t="s">
        <v>2613</v>
      </c>
    </row>
    <row r="562" customFormat="false" ht="15" hidden="false" customHeight="true" outlineLevel="0" collapsed="false">
      <c r="A562" s="6" t="s">
        <v>3174</v>
      </c>
      <c r="B562" s="6" t="s">
        <v>300</v>
      </c>
      <c r="C562" s="6" t="s">
        <v>128</v>
      </c>
      <c r="D562" s="13" t="n">
        <v>46081</v>
      </c>
      <c r="E562" s="14" t="n">
        <v>5128.27</v>
      </c>
      <c r="F562" s="14" t="n">
        <v>36808.49</v>
      </c>
      <c r="G562" s="6" t="s">
        <v>2613</v>
      </c>
    </row>
    <row r="563" customFormat="false" ht="15" hidden="false" customHeight="true" outlineLevel="0" collapsed="false">
      <c r="A563" s="6" t="s">
        <v>3175</v>
      </c>
      <c r="B563" s="6" t="s">
        <v>300</v>
      </c>
      <c r="C563" s="6" t="s">
        <v>128</v>
      </c>
      <c r="D563" s="13" t="n">
        <v>46088</v>
      </c>
      <c r="E563" s="14" t="n">
        <v>5286.12</v>
      </c>
      <c r="F563" s="14" t="n">
        <v>42094.61</v>
      </c>
      <c r="G563" s="6" t="s">
        <v>2613</v>
      </c>
    </row>
    <row r="564" customFormat="false" ht="15" hidden="false" customHeight="true" outlineLevel="0" collapsed="false">
      <c r="A564" s="6" t="s">
        <v>3176</v>
      </c>
      <c r="B564" s="6" t="s">
        <v>300</v>
      </c>
      <c r="C564" s="6" t="s">
        <v>128</v>
      </c>
      <c r="D564" s="13" t="n">
        <v>46095</v>
      </c>
      <c r="E564" s="14" t="n">
        <v>5542.02</v>
      </c>
      <c r="F564" s="14" t="n">
        <v>47636.63</v>
      </c>
      <c r="G564" s="6" t="s">
        <v>2613</v>
      </c>
    </row>
    <row r="565" customFormat="false" ht="15" hidden="false" customHeight="true" outlineLevel="0" collapsed="false">
      <c r="A565" s="6" t="s">
        <v>3177</v>
      </c>
      <c r="B565" s="6" t="s">
        <v>300</v>
      </c>
      <c r="C565" s="6" t="s">
        <v>128</v>
      </c>
      <c r="D565" s="13" t="n">
        <v>46102</v>
      </c>
      <c r="E565" s="14" t="n">
        <v>6219.81</v>
      </c>
      <c r="F565" s="14" t="n">
        <v>53856.44</v>
      </c>
      <c r="G565" s="6" t="s">
        <v>2613</v>
      </c>
    </row>
    <row r="566" customFormat="false" ht="15" hidden="false" customHeight="true" outlineLevel="0" collapsed="false">
      <c r="A566" s="6" t="s">
        <v>3178</v>
      </c>
      <c r="B566" s="6" t="s">
        <v>300</v>
      </c>
      <c r="C566" s="6" t="s">
        <v>128</v>
      </c>
      <c r="D566" s="13" t="n">
        <v>46109</v>
      </c>
      <c r="E566" s="14" t="n">
        <v>5873.61</v>
      </c>
      <c r="F566" s="14" t="n">
        <v>59730.05</v>
      </c>
      <c r="G566" s="6" t="s">
        <v>2613</v>
      </c>
    </row>
    <row r="567" customFormat="false" ht="15" hidden="false" customHeight="true" outlineLevel="0" collapsed="false">
      <c r="A567" s="6" t="s">
        <v>3179</v>
      </c>
      <c r="B567" s="6" t="s">
        <v>300</v>
      </c>
      <c r="C567" s="6" t="s">
        <v>128</v>
      </c>
      <c r="D567" s="13" t="n">
        <v>46116</v>
      </c>
      <c r="E567" s="14" t="n">
        <v>4268.44</v>
      </c>
      <c r="F567" s="14" t="n">
        <v>63998.49</v>
      </c>
      <c r="G567" s="6" t="s">
        <v>2613</v>
      </c>
    </row>
    <row r="568" customFormat="false" ht="15" hidden="false" customHeight="true" outlineLevel="0" collapsed="false">
      <c r="A568" s="6" t="s">
        <v>3180</v>
      </c>
      <c r="B568" s="6" t="s">
        <v>300</v>
      </c>
      <c r="C568" s="6" t="s">
        <v>128</v>
      </c>
      <c r="D568" s="13" t="n">
        <v>46123</v>
      </c>
      <c r="E568" s="14" t="n">
        <v>514.7</v>
      </c>
      <c r="F568" s="14" t="n">
        <v>64513.19</v>
      </c>
      <c r="G568" s="6" t="s">
        <v>2613</v>
      </c>
    </row>
    <row r="569" customFormat="false" ht="15" hidden="false" customHeight="true" outlineLevel="0" collapsed="false">
      <c r="A569" s="6" t="s">
        <v>3181</v>
      </c>
      <c r="B569" s="6" t="s">
        <v>302</v>
      </c>
      <c r="C569" s="6" t="s">
        <v>131</v>
      </c>
      <c r="D569" s="13" t="n">
        <v>45543</v>
      </c>
      <c r="E569" s="14" t="n">
        <v>1135.58</v>
      </c>
      <c r="F569" s="14" t="n">
        <v>1135.58</v>
      </c>
      <c r="G569" s="6" t="s">
        <v>2613</v>
      </c>
    </row>
    <row r="570" customFormat="false" ht="15" hidden="false" customHeight="true" outlineLevel="0" collapsed="false">
      <c r="A570" s="6" t="s">
        <v>3182</v>
      </c>
      <c r="B570" s="6" t="s">
        <v>302</v>
      </c>
      <c r="C570" s="6" t="s">
        <v>131</v>
      </c>
      <c r="D570" s="13" t="n">
        <v>45550</v>
      </c>
      <c r="E570" s="14" t="n">
        <v>924.87</v>
      </c>
      <c r="F570" s="14" t="n">
        <v>2060.45</v>
      </c>
      <c r="G570" s="6" t="s">
        <v>2613</v>
      </c>
    </row>
    <row r="571" customFormat="false" ht="15" hidden="false" customHeight="true" outlineLevel="0" collapsed="false">
      <c r="A571" s="6" t="s">
        <v>3183</v>
      </c>
      <c r="B571" s="6" t="s">
        <v>302</v>
      </c>
      <c r="C571" s="6" t="s">
        <v>131</v>
      </c>
      <c r="D571" s="13" t="n">
        <v>45557</v>
      </c>
      <c r="E571" s="14" t="n">
        <v>556.2</v>
      </c>
      <c r="F571" s="14" t="n">
        <v>2616.65</v>
      </c>
      <c r="G571" s="6" t="s">
        <v>2613</v>
      </c>
    </row>
    <row r="572" customFormat="false" ht="15" hidden="false" customHeight="true" outlineLevel="0" collapsed="false">
      <c r="A572" s="6" t="s">
        <v>3184</v>
      </c>
      <c r="B572" s="6" t="s">
        <v>302</v>
      </c>
      <c r="C572" s="6" t="s">
        <v>131</v>
      </c>
      <c r="D572" s="13" t="n">
        <v>45564</v>
      </c>
      <c r="E572" s="14" t="n">
        <v>851.49</v>
      </c>
      <c r="F572" s="14" t="n">
        <v>3468.14</v>
      </c>
      <c r="G572" s="6" t="s">
        <v>2613</v>
      </c>
    </row>
    <row r="573" customFormat="false" ht="15" hidden="false" customHeight="true" outlineLevel="0" collapsed="false">
      <c r="A573" s="6" t="s">
        <v>3185</v>
      </c>
      <c r="B573" s="6" t="s">
        <v>302</v>
      </c>
      <c r="C573" s="6" t="s">
        <v>131</v>
      </c>
      <c r="D573" s="13" t="n">
        <v>45571</v>
      </c>
      <c r="E573" s="14" t="n">
        <v>672.88</v>
      </c>
      <c r="F573" s="14" t="n">
        <v>4141.02</v>
      </c>
      <c r="G573" s="6" t="s">
        <v>2613</v>
      </c>
    </row>
    <row r="574" customFormat="false" ht="15" hidden="false" customHeight="true" outlineLevel="0" collapsed="false">
      <c r="A574" s="6" t="s">
        <v>3186</v>
      </c>
      <c r="B574" s="6" t="s">
        <v>305</v>
      </c>
      <c r="C574" s="6" t="s">
        <v>116</v>
      </c>
      <c r="D574" s="13" t="n">
        <v>44645</v>
      </c>
      <c r="E574" s="14" t="n">
        <v>2978.68</v>
      </c>
      <c r="F574" s="14" t="n">
        <v>2978.68</v>
      </c>
      <c r="G574" s="6" t="s">
        <v>2613</v>
      </c>
    </row>
    <row r="575" customFormat="false" ht="15" hidden="false" customHeight="true" outlineLevel="0" collapsed="false">
      <c r="A575" s="6" t="s">
        <v>3187</v>
      </c>
      <c r="B575" s="6" t="s">
        <v>305</v>
      </c>
      <c r="C575" s="6" t="s">
        <v>116</v>
      </c>
      <c r="D575" s="13" t="n">
        <v>44652</v>
      </c>
      <c r="E575" s="14" t="n">
        <v>3594.58</v>
      </c>
      <c r="F575" s="14" t="n">
        <v>6573.26</v>
      </c>
      <c r="G575" s="6" t="s">
        <v>2613</v>
      </c>
    </row>
    <row r="576" customFormat="false" ht="15" hidden="false" customHeight="true" outlineLevel="0" collapsed="false">
      <c r="A576" s="6" t="s">
        <v>3188</v>
      </c>
      <c r="B576" s="6" t="s">
        <v>305</v>
      </c>
      <c r="C576" s="6" t="s">
        <v>116</v>
      </c>
      <c r="D576" s="13" t="n">
        <v>44659</v>
      </c>
      <c r="E576" s="14" t="n">
        <v>4493.56</v>
      </c>
      <c r="F576" s="14" t="n">
        <v>11066.82</v>
      </c>
      <c r="G576" s="6" t="s">
        <v>2613</v>
      </c>
    </row>
    <row r="577" customFormat="false" ht="15" hidden="false" customHeight="true" outlineLevel="0" collapsed="false">
      <c r="A577" s="6" t="s">
        <v>3189</v>
      </c>
      <c r="B577" s="6" t="s">
        <v>305</v>
      </c>
      <c r="C577" s="6" t="s">
        <v>116</v>
      </c>
      <c r="D577" s="13" t="n">
        <v>44666</v>
      </c>
      <c r="E577" s="14" t="n">
        <v>5866.89</v>
      </c>
      <c r="F577" s="14" t="n">
        <v>16933.71</v>
      </c>
      <c r="G577" s="6" t="s">
        <v>2613</v>
      </c>
    </row>
    <row r="578" customFormat="false" ht="15" hidden="false" customHeight="true" outlineLevel="0" collapsed="false">
      <c r="A578" s="6" t="s">
        <v>3190</v>
      </c>
      <c r="B578" s="6" t="s">
        <v>305</v>
      </c>
      <c r="C578" s="6" t="s">
        <v>116</v>
      </c>
      <c r="D578" s="13" t="n">
        <v>44673</v>
      </c>
      <c r="E578" s="14" t="n">
        <v>4232</v>
      </c>
      <c r="F578" s="14" t="n">
        <v>21165.71</v>
      </c>
      <c r="G578" s="6" t="s">
        <v>2613</v>
      </c>
    </row>
    <row r="579" customFormat="false" ht="15" hidden="false" customHeight="true" outlineLevel="0" collapsed="false">
      <c r="A579" s="6" t="s">
        <v>3191</v>
      </c>
      <c r="B579" s="6" t="s">
        <v>305</v>
      </c>
      <c r="C579" s="6" t="s">
        <v>116</v>
      </c>
      <c r="D579" s="13" t="n">
        <v>44680</v>
      </c>
      <c r="E579" s="14" t="n">
        <v>2997.26</v>
      </c>
      <c r="F579" s="14" t="n">
        <v>24162.97</v>
      </c>
      <c r="G579" s="6" t="s">
        <v>2613</v>
      </c>
    </row>
    <row r="580" customFormat="false" ht="15" hidden="false" customHeight="true" outlineLevel="0" collapsed="false">
      <c r="A580" s="6" t="s">
        <v>3192</v>
      </c>
      <c r="B580" s="6" t="s">
        <v>305</v>
      </c>
      <c r="C580" s="6" t="s">
        <v>116</v>
      </c>
      <c r="D580" s="13" t="n">
        <v>44687</v>
      </c>
      <c r="E580" s="14" t="n">
        <v>4200.36</v>
      </c>
      <c r="F580" s="14" t="n">
        <v>28363.33</v>
      </c>
      <c r="G580" s="6" t="s">
        <v>2613</v>
      </c>
    </row>
    <row r="581" customFormat="false" ht="15" hidden="false" customHeight="true" outlineLevel="0" collapsed="false">
      <c r="A581" s="6" t="s">
        <v>3193</v>
      </c>
      <c r="B581" s="6" t="s">
        <v>305</v>
      </c>
      <c r="C581" s="6" t="s">
        <v>116</v>
      </c>
      <c r="D581" s="13" t="n">
        <v>44694</v>
      </c>
      <c r="E581" s="14" t="n">
        <v>3252.82</v>
      </c>
      <c r="F581" s="14" t="n">
        <v>31616.15</v>
      </c>
      <c r="G581" s="6" t="s">
        <v>2613</v>
      </c>
    </row>
    <row r="582" customFormat="false" ht="15" hidden="false" customHeight="true" outlineLevel="0" collapsed="false">
      <c r="A582" s="6" t="s">
        <v>3194</v>
      </c>
      <c r="B582" s="6" t="s">
        <v>305</v>
      </c>
      <c r="C582" s="6" t="s">
        <v>116</v>
      </c>
      <c r="D582" s="13" t="n">
        <v>44701</v>
      </c>
      <c r="E582" s="14" t="n">
        <v>5353.38</v>
      </c>
      <c r="F582" s="14" t="n">
        <v>36969.53</v>
      </c>
      <c r="G582" s="6" t="s">
        <v>2613</v>
      </c>
    </row>
    <row r="583" customFormat="false" ht="15" hidden="false" customHeight="true" outlineLevel="0" collapsed="false">
      <c r="A583" s="6" t="s">
        <v>3195</v>
      </c>
      <c r="B583" s="6" t="s">
        <v>305</v>
      </c>
      <c r="C583" s="6" t="s">
        <v>116</v>
      </c>
      <c r="D583" s="13" t="n">
        <v>44708</v>
      </c>
      <c r="E583" s="14" t="n">
        <v>5237.04</v>
      </c>
      <c r="F583" s="14" t="n">
        <v>42206.57</v>
      </c>
      <c r="G583" s="6" t="s">
        <v>2613</v>
      </c>
    </row>
    <row r="584" customFormat="false" ht="15" hidden="false" customHeight="true" outlineLevel="0" collapsed="false">
      <c r="A584" s="6" t="s">
        <v>3196</v>
      </c>
      <c r="B584" s="6" t="s">
        <v>305</v>
      </c>
      <c r="C584" s="6" t="s">
        <v>116</v>
      </c>
      <c r="D584" s="13" t="n">
        <v>44715</v>
      </c>
      <c r="E584" s="14" t="n">
        <v>5567.68</v>
      </c>
      <c r="F584" s="14" t="n">
        <v>47774.25</v>
      </c>
      <c r="G584" s="6" t="s">
        <v>2613</v>
      </c>
    </row>
    <row r="585" customFormat="false" ht="15" hidden="false" customHeight="true" outlineLevel="0" collapsed="false">
      <c r="A585" s="6" t="s">
        <v>3197</v>
      </c>
      <c r="B585" s="6" t="s">
        <v>307</v>
      </c>
      <c r="C585" s="6" t="s">
        <v>124</v>
      </c>
      <c r="D585" s="13" t="n">
        <v>45483</v>
      </c>
      <c r="E585" s="14" t="n">
        <v>1737.97</v>
      </c>
      <c r="F585" s="14" t="n">
        <v>1737.97</v>
      </c>
      <c r="G585" s="6" t="s">
        <v>2613</v>
      </c>
    </row>
    <row r="586" customFormat="false" ht="15" hidden="false" customHeight="true" outlineLevel="0" collapsed="false">
      <c r="A586" s="6" t="s">
        <v>3198</v>
      </c>
      <c r="B586" s="6" t="s">
        <v>307</v>
      </c>
      <c r="C586" s="6" t="s">
        <v>124</v>
      </c>
      <c r="D586" s="13" t="n">
        <v>45490</v>
      </c>
      <c r="E586" s="14" t="n">
        <v>1258.01</v>
      </c>
      <c r="F586" s="14" t="n">
        <v>2995.98</v>
      </c>
      <c r="G586" s="6" t="s">
        <v>2613</v>
      </c>
    </row>
    <row r="587" customFormat="false" ht="15" hidden="false" customHeight="true" outlineLevel="0" collapsed="false">
      <c r="A587" s="6" t="s">
        <v>3199</v>
      </c>
      <c r="B587" s="6" t="s">
        <v>307</v>
      </c>
      <c r="C587" s="6" t="s">
        <v>124</v>
      </c>
      <c r="D587" s="13" t="n">
        <v>45497</v>
      </c>
      <c r="E587" s="14" t="n">
        <v>2383.67</v>
      </c>
      <c r="F587" s="14" t="n">
        <v>5379.65</v>
      </c>
      <c r="G587" s="6" t="s">
        <v>2623</v>
      </c>
    </row>
    <row r="588" customFormat="false" ht="15" hidden="false" customHeight="true" outlineLevel="0" collapsed="false">
      <c r="A588" s="6" t="s">
        <v>3200</v>
      </c>
      <c r="B588" s="6" t="s">
        <v>307</v>
      </c>
      <c r="C588" s="6" t="s">
        <v>124</v>
      </c>
      <c r="D588" s="13" t="n">
        <v>45504</v>
      </c>
      <c r="E588" s="14" t="n">
        <v>1434.44</v>
      </c>
      <c r="F588" s="14" t="n">
        <v>6814.09</v>
      </c>
      <c r="G588" s="6" t="s">
        <v>2613</v>
      </c>
    </row>
    <row r="589" customFormat="false" ht="15" hidden="false" customHeight="true" outlineLevel="0" collapsed="false">
      <c r="A589" s="6" t="s">
        <v>3201</v>
      </c>
      <c r="B589" s="6" t="s">
        <v>307</v>
      </c>
      <c r="C589" s="6" t="s">
        <v>124</v>
      </c>
      <c r="D589" s="13" t="n">
        <v>45511</v>
      </c>
      <c r="E589" s="14" t="n">
        <v>1908.92</v>
      </c>
      <c r="F589" s="14" t="n">
        <v>8723.01</v>
      </c>
      <c r="G589" s="6" t="s">
        <v>2613</v>
      </c>
    </row>
    <row r="590" customFormat="false" ht="15" hidden="false" customHeight="true" outlineLevel="0" collapsed="false">
      <c r="A590" s="6" t="s">
        <v>3202</v>
      </c>
      <c r="B590" s="6" t="s">
        <v>307</v>
      </c>
      <c r="C590" s="6" t="s">
        <v>124</v>
      </c>
      <c r="D590" s="13" t="n">
        <v>45518</v>
      </c>
      <c r="E590" s="14" t="n">
        <v>2717.99</v>
      </c>
      <c r="F590" s="14" t="n">
        <v>11441</v>
      </c>
      <c r="G590" s="6" t="s">
        <v>2613</v>
      </c>
    </row>
    <row r="591" customFormat="false" ht="15" hidden="false" customHeight="true" outlineLevel="0" collapsed="false">
      <c r="A591" s="6" t="s">
        <v>3203</v>
      </c>
      <c r="B591" s="6" t="s">
        <v>307</v>
      </c>
      <c r="C591" s="6" t="s">
        <v>124</v>
      </c>
      <c r="D591" s="13" t="n">
        <v>45525</v>
      </c>
      <c r="E591" s="14" t="n">
        <v>1752.9</v>
      </c>
      <c r="F591" s="14" t="n">
        <v>13193.9</v>
      </c>
      <c r="G591" s="6" t="s">
        <v>2613</v>
      </c>
    </row>
    <row r="592" customFormat="false" ht="15" hidden="false" customHeight="true" outlineLevel="0" collapsed="false">
      <c r="A592" s="6" t="s">
        <v>3204</v>
      </c>
      <c r="B592" s="6" t="s">
        <v>307</v>
      </c>
      <c r="C592" s="6" t="s">
        <v>124</v>
      </c>
      <c r="D592" s="13" t="n">
        <v>45532</v>
      </c>
      <c r="E592" s="14" t="n">
        <v>3327.62</v>
      </c>
      <c r="F592" s="14" t="n">
        <v>16521.52</v>
      </c>
      <c r="G592" s="6" t="s">
        <v>2613</v>
      </c>
    </row>
    <row r="593" customFormat="false" ht="15" hidden="false" customHeight="true" outlineLevel="0" collapsed="false">
      <c r="A593" s="6" t="s">
        <v>3205</v>
      </c>
      <c r="B593" s="6" t="s">
        <v>310</v>
      </c>
      <c r="C593" s="6" t="s">
        <v>120</v>
      </c>
      <c r="D593" s="13" t="n">
        <v>45533</v>
      </c>
      <c r="E593" s="14" t="n">
        <v>2606.74</v>
      </c>
      <c r="F593" s="14" t="n">
        <v>2606.74</v>
      </c>
      <c r="G593" s="6" t="s">
        <v>2613</v>
      </c>
    </row>
    <row r="594" customFormat="false" ht="15" hidden="false" customHeight="true" outlineLevel="0" collapsed="false">
      <c r="A594" s="6" t="s">
        <v>3206</v>
      </c>
      <c r="B594" s="6" t="s">
        <v>310</v>
      </c>
      <c r="C594" s="6" t="s">
        <v>120</v>
      </c>
      <c r="D594" s="13" t="n">
        <v>45540</v>
      </c>
      <c r="E594" s="14" t="n">
        <v>2366.42</v>
      </c>
      <c r="F594" s="14" t="n">
        <v>4973.16</v>
      </c>
      <c r="G594" s="6" t="s">
        <v>2613</v>
      </c>
    </row>
    <row r="595" customFormat="false" ht="15" hidden="false" customHeight="true" outlineLevel="0" collapsed="false">
      <c r="A595" s="6" t="s">
        <v>3207</v>
      </c>
      <c r="B595" s="6" t="s">
        <v>310</v>
      </c>
      <c r="C595" s="6" t="s">
        <v>120</v>
      </c>
      <c r="D595" s="13" t="n">
        <v>45547</v>
      </c>
      <c r="E595" s="14" t="n">
        <v>2543.49</v>
      </c>
      <c r="F595" s="14" t="n">
        <v>7516.65</v>
      </c>
      <c r="G595" s="6" t="s">
        <v>2613</v>
      </c>
    </row>
    <row r="596" customFormat="false" ht="15" hidden="false" customHeight="true" outlineLevel="0" collapsed="false">
      <c r="A596" s="6" t="s">
        <v>3208</v>
      </c>
      <c r="B596" s="6" t="s">
        <v>310</v>
      </c>
      <c r="C596" s="6" t="s">
        <v>120</v>
      </c>
      <c r="D596" s="13" t="n">
        <v>45554</v>
      </c>
      <c r="E596" s="14" t="n">
        <v>2114.66</v>
      </c>
      <c r="F596" s="14" t="n">
        <v>9631.31</v>
      </c>
      <c r="G596" s="6" t="s">
        <v>2613</v>
      </c>
    </row>
    <row r="597" customFormat="false" ht="15" hidden="false" customHeight="true" outlineLevel="0" collapsed="false">
      <c r="A597" s="6" t="s">
        <v>3209</v>
      </c>
      <c r="B597" s="6" t="s">
        <v>310</v>
      </c>
      <c r="C597" s="6" t="s">
        <v>120</v>
      </c>
      <c r="D597" s="13" t="n">
        <v>45561</v>
      </c>
      <c r="E597" s="14" t="n">
        <v>2758.36</v>
      </c>
      <c r="F597" s="14" t="n">
        <v>12389.67</v>
      </c>
      <c r="G597" s="6" t="s">
        <v>2613</v>
      </c>
    </row>
    <row r="598" customFormat="false" ht="15" hidden="false" customHeight="true" outlineLevel="0" collapsed="false">
      <c r="A598" s="6" t="s">
        <v>3210</v>
      </c>
      <c r="B598" s="6" t="s">
        <v>310</v>
      </c>
      <c r="C598" s="6" t="s">
        <v>120</v>
      </c>
      <c r="D598" s="13" t="n">
        <v>45568</v>
      </c>
      <c r="E598" s="14" t="n">
        <v>18.64</v>
      </c>
      <c r="F598" s="14" t="n">
        <v>12408.31</v>
      </c>
      <c r="G598" s="6" t="s">
        <v>2613</v>
      </c>
    </row>
    <row r="599" customFormat="false" ht="15" hidden="false" customHeight="true" outlineLevel="0" collapsed="false">
      <c r="A599" s="6" t="s">
        <v>3211</v>
      </c>
      <c r="B599" s="6" t="s">
        <v>312</v>
      </c>
      <c r="C599" s="6" t="s">
        <v>128</v>
      </c>
      <c r="D599" s="13" t="n">
        <v>45614</v>
      </c>
      <c r="E599" s="14" t="n">
        <v>3162.37</v>
      </c>
      <c r="F599" s="14" t="n">
        <v>3162.37</v>
      </c>
      <c r="G599" s="6" t="s">
        <v>2613</v>
      </c>
    </row>
    <row r="600" customFormat="false" ht="15" hidden="false" customHeight="true" outlineLevel="0" collapsed="false">
      <c r="A600" s="6" t="s">
        <v>3212</v>
      </c>
      <c r="B600" s="6" t="s">
        <v>312</v>
      </c>
      <c r="C600" s="6" t="s">
        <v>128</v>
      </c>
      <c r="D600" s="13" t="n">
        <v>45621</v>
      </c>
      <c r="E600" s="14" t="n">
        <v>4711.27</v>
      </c>
      <c r="F600" s="14" t="n">
        <v>7873.64</v>
      </c>
      <c r="G600" s="6" t="s">
        <v>2613</v>
      </c>
    </row>
    <row r="601" customFormat="false" ht="15" hidden="false" customHeight="true" outlineLevel="0" collapsed="false">
      <c r="A601" s="6" t="s">
        <v>3213</v>
      </c>
      <c r="B601" s="6" t="s">
        <v>312</v>
      </c>
      <c r="C601" s="6" t="s">
        <v>128</v>
      </c>
      <c r="D601" s="13" t="n">
        <v>45628</v>
      </c>
      <c r="E601" s="14" t="n">
        <v>5101.6</v>
      </c>
      <c r="F601" s="14" t="n">
        <v>12975.24</v>
      </c>
      <c r="G601" s="6" t="s">
        <v>2613</v>
      </c>
    </row>
    <row r="602" customFormat="false" ht="15" hidden="false" customHeight="true" outlineLevel="0" collapsed="false">
      <c r="A602" s="6" t="s">
        <v>3214</v>
      </c>
      <c r="B602" s="6" t="s">
        <v>312</v>
      </c>
      <c r="C602" s="6" t="s">
        <v>128</v>
      </c>
      <c r="D602" s="13" t="n">
        <v>45635</v>
      </c>
      <c r="E602" s="14" t="n">
        <v>4953.18</v>
      </c>
      <c r="F602" s="14" t="n">
        <v>17928.42</v>
      </c>
      <c r="G602" s="6" t="s">
        <v>2623</v>
      </c>
    </row>
    <row r="603" customFormat="false" ht="15" hidden="false" customHeight="true" outlineLevel="0" collapsed="false">
      <c r="A603" s="6" t="s">
        <v>3215</v>
      </c>
      <c r="B603" s="6" t="s">
        <v>314</v>
      </c>
      <c r="C603" s="6" t="s">
        <v>120</v>
      </c>
      <c r="D603" s="13" t="n">
        <v>45535</v>
      </c>
      <c r="E603" s="14" t="n">
        <v>4765.75</v>
      </c>
      <c r="F603" s="14" t="n">
        <v>4765.75</v>
      </c>
      <c r="G603" s="6" t="s">
        <v>2613</v>
      </c>
    </row>
    <row r="604" customFormat="false" ht="15" hidden="false" customHeight="true" outlineLevel="0" collapsed="false">
      <c r="A604" s="6" t="s">
        <v>3216</v>
      </c>
      <c r="B604" s="6" t="s">
        <v>314</v>
      </c>
      <c r="C604" s="6" t="s">
        <v>120</v>
      </c>
      <c r="D604" s="13" t="n">
        <v>45542</v>
      </c>
      <c r="E604" s="14" t="n">
        <v>5422.62</v>
      </c>
      <c r="F604" s="14" t="n">
        <v>10188.37</v>
      </c>
      <c r="G604" s="6" t="s">
        <v>2613</v>
      </c>
    </row>
    <row r="605" customFormat="false" ht="15" hidden="false" customHeight="true" outlineLevel="0" collapsed="false">
      <c r="A605" s="6" t="s">
        <v>3217</v>
      </c>
      <c r="B605" s="6" t="s">
        <v>314</v>
      </c>
      <c r="C605" s="6" t="s">
        <v>120</v>
      </c>
      <c r="D605" s="13" t="n">
        <v>45549</v>
      </c>
      <c r="E605" s="14" t="n">
        <v>3671.99</v>
      </c>
      <c r="F605" s="14" t="n">
        <v>13860.36</v>
      </c>
      <c r="G605" s="6" t="s">
        <v>2613</v>
      </c>
    </row>
    <row r="606" customFormat="false" ht="15" hidden="false" customHeight="true" outlineLevel="0" collapsed="false">
      <c r="A606" s="6" t="s">
        <v>3218</v>
      </c>
      <c r="B606" s="6" t="s">
        <v>314</v>
      </c>
      <c r="C606" s="6" t="s">
        <v>120</v>
      </c>
      <c r="D606" s="13" t="n">
        <v>45556</v>
      </c>
      <c r="E606" s="14" t="n">
        <v>3553.14</v>
      </c>
      <c r="F606" s="14" t="n">
        <v>17413.5</v>
      </c>
      <c r="G606" s="6" t="s">
        <v>2613</v>
      </c>
    </row>
    <row r="607" customFormat="false" ht="15" hidden="false" customHeight="true" outlineLevel="0" collapsed="false">
      <c r="A607" s="6" t="s">
        <v>3219</v>
      </c>
      <c r="B607" s="6" t="s">
        <v>314</v>
      </c>
      <c r="C607" s="6" t="s">
        <v>120</v>
      </c>
      <c r="D607" s="13" t="n">
        <v>45563</v>
      </c>
      <c r="E607" s="14" t="n">
        <v>5198.08</v>
      </c>
      <c r="F607" s="14" t="n">
        <v>22611.58</v>
      </c>
      <c r="G607" s="6" t="s">
        <v>2613</v>
      </c>
    </row>
    <row r="608" customFormat="false" ht="15" hidden="false" customHeight="true" outlineLevel="0" collapsed="false">
      <c r="A608" s="6" t="s">
        <v>3220</v>
      </c>
      <c r="B608" s="6" t="s">
        <v>314</v>
      </c>
      <c r="C608" s="6" t="s">
        <v>120</v>
      </c>
      <c r="D608" s="13" t="n">
        <v>45570</v>
      </c>
      <c r="E608" s="14" t="n">
        <v>4495.17</v>
      </c>
      <c r="F608" s="14" t="n">
        <v>27106.75</v>
      </c>
      <c r="G608" s="6" t="s">
        <v>2613</v>
      </c>
    </row>
    <row r="609" customFormat="false" ht="15" hidden="false" customHeight="true" outlineLevel="0" collapsed="false">
      <c r="A609" s="6" t="s">
        <v>3221</v>
      </c>
      <c r="B609" s="6" t="s">
        <v>314</v>
      </c>
      <c r="C609" s="6" t="s">
        <v>120</v>
      </c>
      <c r="D609" s="13" t="n">
        <v>45577</v>
      </c>
      <c r="E609" s="14" t="n">
        <v>4045.16</v>
      </c>
      <c r="F609" s="14" t="n">
        <v>31151.91</v>
      </c>
      <c r="G609" s="6" t="s">
        <v>2613</v>
      </c>
    </row>
    <row r="610" customFormat="false" ht="15" hidden="false" customHeight="true" outlineLevel="0" collapsed="false">
      <c r="A610" s="6" t="s">
        <v>3222</v>
      </c>
      <c r="B610" s="6" t="s">
        <v>314</v>
      </c>
      <c r="C610" s="6" t="s">
        <v>120</v>
      </c>
      <c r="D610" s="13" t="n">
        <v>45584</v>
      </c>
      <c r="E610" s="14" t="n">
        <v>222.92</v>
      </c>
      <c r="F610" s="14" t="n">
        <v>31374.83</v>
      </c>
      <c r="G610" s="6" t="s">
        <v>2613</v>
      </c>
    </row>
    <row r="611" customFormat="false" ht="15" hidden="false" customHeight="true" outlineLevel="0" collapsed="false">
      <c r="A611" s="6" t="s">
        <v>3223</v>
      </c>
      <c r="B611" s="6" t="s">
        <v>316</v>
      </c>
      <c r="C611" s="6" t="s">
        <v>116</v>
      </c>
      <c r="D611" s="13" t="n">
        <v>45437</v>
      </c>
      <c r="E611" s="14" t="n">
        <v>4244.36</v>
      </c>
      <c r="F611" s="14" t="n">
        <v>4244.36</v>
      </c>
      <c r="G611" s="6" t="s">
        <v>2613</v>
      </c>
    </row>
    <row r="612" customFormat="false" ht="15" hidden="false" customHeight="true" outlineLevel="0" collapsed="false">
      <c r="A612" s="6" t="s">
        <v>3224</v>
      </c>
      <c r="B612" s="6" t="s">
        <v>316</v>
      </c>
      <c r="C612" s="6" t="s">
        <v>116</v>
      </c>
      <c r="D612" s="13" t="n">
        <v>45444</v>
      </c>
      <c r="E612" s="14" t="n">
        <v>4364.09</v>
      </c>
      <c r="F612" s="14" t="n">
        <v>8608.45</v>
      </c>
      <c r="G612" s="6" t="s">
        <v>2613</v>
      </c>
    </row>
    <row r="613" customFormat="false" ht="15" hidden="false" customHeight="true" outlineLevel="0" collapsed="false">
      <c r="A613" s="6" t="s">
        <v>3225</v>
      </c>
      <c r="B613" s="6" t="s">
        <v>316</v>
      </c>
      <c r="C613" s="6" t="s">
        <v>116</v>
      </c>
      <c r="D613" s="13" t="n">
        <v>45451</v>
      </c>
      <c r="E613" s="14" t="n">
        <v>6276.15</v>
      </c>
      <c r="F613" s="14" t="n">
        <v>14884.6</v>
      </c>
      <c r="G613" s="6" t="s">
        <v>2613</v>
      </c>
    </row>
    <row r="614" customFormat="false" ht="15" hidden="false" customHeight="true" outlineLevel="0" collapsed="false">
      <c r="A614" s="6" t="s">
        <v>3226</v>
      </c>
      <c r="B614" s="6" t="s">
        <v>316</v>
      </c>
      <c r="C614" s="6" t="s">
        <v>116</v>
      </c>
      <c r="D614" s="13" t="n">
        <v>45458</v>
      </c>
      <c r="E614" s="14" t="n">
        <v>6635.5</v>
      </c>
      <c r="F614" s="14" t="n">
        <v>21520.1</v>
      </c>
      <c r="G614" s="6" t="s">
        <v>2613</v>
      </c>
    </row>
    <row r="615" customFormat="false" ht="15" hidden="false" customHeight="true" outlineLevel="0" collapsed="false">
      <c r="A615" s="6" t="s">
        <v>3227</v>
      </c>
      <c r="B615" s="6" t="s">
        <v>316</v>
      </c>
      <c r="C615" s="6" t="s">
        <v>116</v>
      </c>
      <c r="D615" s="13" t="n">
        <v>45465</v>
      </c>
      <c r="E615" s="14" t="n">
        <v>6450.73</v>
      </c>
      <c r="F615" s="14" t="n">
        <v>27970.83</v>
      </c>
      <c r="G615" s="6" t="s">
        <v>2613</v>
      </c>
    </row>
    <row r="616" customFormat="false" ht="15" hidden="false" customHeight="true" outlineLevel="0" collapsed="false">
      <c r="A616" s="6" t="s">
        <v>3228</v>
      </c>
      <c r="B616" s="6" t="s">
        <v>316</v>
      </c>
      <c r="C616" s="6" t="s">
        <v>116</v>
      </c>
      <c r="D616" s="13" t="n">
        <v>45472</v>
      </c>
      <c r="E616" s="14" t="n">
        <v>3257.78</v>
      </c>
      <c r="F616" s="14" t="n">
        <v>31228.61</v>
      </c>
      <c r="G616" s="6" t="s">
        <v>2613</v>
      </c>
    </row>
    <row r="617" customFormat="false" ht="15" hidden="false" customHeight="true" outlineLevel="0" collapsed="false">
      <c r="A617" s="6" t="s">
        <v>3229</v>
      </c>
      <c r="B617" s="6" t="s">
        <v>316</v>
      </c>
      <c r="C617" s="6" t="s">
        <v>116</v>
      </c>
      <c r="D617" s="13" t="n">
        <v>45479</v>
      </c>
      <c r="E617" s="14" t="n">
        <v>3620.52</v>
      </c>
      <c r="F617" s="14" t="n">
        <v>34849.13</v>
      </c>
      <c r="G617" s="6" t="s">
        <v>2623</v>
      </c>
    </row>
    <row r="618" customFormat="false" ht="15" hidden="false" customHeight="true" outlineLevel="0" collapsed="false">
      <c r="A618" s="6" t="s">
        <v>3230</v>
      </c>
      <c r="B618" s="6" t="s">
        <v>316</v>
      </c>
      <c r="C618" s="6" t="s">
        <v>116</v>
      </c>
      <c r="D618" s="13" t="n">
        <v>45486</v>
      </c>
      <c r="E618" s="14" t="n">
        <v>5734.75</v>
      </c>
      <c r="F618" s="14" t="n">
        <v>40583.88</v>
      </c>
      <c r="G618" s="6" t="s">
        <v>2613</v>
      </c>
    </row>
    <row r="619" customFormat="false" ht="15" hidden="false" customHeight="true" outlineLevel="0" collapsed="false">
      <c r="A619" s="6" t="s">
        <v>3231</v>
      </c>
      <c r="B619" s="6" t="s">
        <v>316</v>
      </c>
      <c r="C619" s="6" t="s">
        <v>116</v>
      </c>
      <c r="D619" s="13" t="n">
        <v>45493</v>
      </c>
      <c r="E619" s="14" t="n">
        <v>3398.33</v>
      </c>
      <c r="F619" s="14" t="n">
        <v>43982.21</v>
      </c>
      <c r="G619" s="6" t="s">
        <v>2613</v>
      </c>
    </row>
    <row r="620" customFormat="false" ht="15" hidden="false" customHeight="true" outlineLevel="0" collapsed="false">
      <c r="A620" s="6" t="s">
        <v>3232</v>
      </c>
      <c r="B620" s="6" t="s">
        <v>316</v>
      </c>
      <c r="C620" s="6" t="s">
        <v>116</v>
      </c>
      <c r="D620" s="13" t="n">
        <v>45500</v>
      </c>
      <c r="E620" s="14" t="n">
        <v>4902.83</v>
      </c>
      <c r="F620" s="14" t="n">
        <v>48885.04</v>
      </c>
      <c r="G620" s="6" t="s">
        <v>2613</v>
      </c>
    </row>
    <row r="621" customFormat="false" ht="15" hidden="false" customHeight="true" outlineLevel="0" collapsed="false">
      <c r="A621" s="6" t="s">
        <v>3233</v>
      </c>
      <c r="B621" s="6" t="s">
        <v>316</v>
      </c>
      <c r="C621" s="6" t="s">
        <v>116</v>
      </c>
      <c r="D621" s="13" t="n">
        <v>45507</v>
      </c>
      <c r="E621" s="14" t="n">
        <v>4115.68</v>
      </c>
      <c r="F621" s="14" t="n">
        <v>53000.72</v>
      </c>
      <c r="G621" s="6" t="s">
        <v>2613</v>
      </c>
    </row>
    <row r="622" customFormat="false" ht="15" hidden="false" customHeight="true" outlineLevel="0" collapsed="false">
      <c r="A622" s="6" t="s">
        <v>3234</v>
      </c>
      <c r="B622" s="6" t="s">
        <v>316</v>
      </c>
      <c r="C622" s="6" t="s">
        <v>116</v>
      </c>
      <c r="D622" s="13" t="n">
        <v>45514</v>
      </c>
      <c r="E622" s="14" t="n">
        <v>3431.38</v>
      </c>
      <c r="F622" s="14" t="n">
        <v>56432.1</v>
      </c>
      <c r="G622" s="6" t="s">
        <v>2613</v>
      </c>
    </row>
    <row r="623" customFormat="false" ht="15" hidden="false" customHeight="true" outlineLevel="0" collapsed="false">
      <c r="A623" s="6" t="s">
        <v>3235</v>
      </c>
      <c r="B623" s="6" t="s">
        <v>316</v>
      </c>
      <c r="C623" s="6" t="s">
        <v>116</v>
      </c>
      <c r="D623" s="13" t="n">
        <v>45521</v>
      </c>
      <c r="E623" s="14" t="n">
        <v>12710.79</v>
      </c>
      <c r="F623" s="14" t="n">
        <v>69142.89</v>
      </c>
      <c r="G623" s="6" t="s">
        <v>2613</v>
      </c>
    </row>
    <row r="624" customFormat="false" ht="15" hidden="false" customHeight="true" outlineLevel="0" collapsed="false">
      <c r="A624" s="6" t="s">
        <v>3236</v>
      </c>
      <c r="B624" s="6" t="s">
        <v>318</v>
      </c>
      <c r="C624" s="6" t="s">
        <v>131</v>
      </c>
      <c r="D624" s="13" t="n">
        <v>45184</v>
      </c>
      <c r="E624" s="14" t="n">
        <v>2884.08</v>
      </c>
      <c r="F624" s="14" t="n">
        <v>2884.08</v>
      </c>
      <c r="G624" s="6" t="s">
        <v>2613</v>
      </c>
    </row>
    <row r="625" customFormat="false" ht="15" hidden="false" customHeight="true" outlineLevel="0" collapsed="false">
      <c r="A625" s="6" t="s">
        <v>3237</v>
      </c>
      <c r="B625" s="6" t="s">
        <v>318</v>
      </c>
      <c r="C625" s="6" t="s">
        <v>131</v>
      </c>
      <c r="D625" s="13" t="n">
        <v>45191</v>
      </c>
      <c r="E625" s="14" t="n">
        <v>1988.69</v>
      </c>
      <c r="F625" s="14" t="n">
        <v>4872.77</v>
      </c>
      <c r="G625" s="6" t="s">
        <v>2613</v>
      </c>
    </row>
    <row r="626" customFormat="false" ht="15" hidden="false" customHeight="true" outlineLevel="0" collapsed="false">
      <c r="A626" s="6" t="s">
        <v>3238</v>
      </c>
      <c r="B626" s="6" t="s">
        <v>318</v>
      </c>
      <c r="C626" s="6" t="s">
        <v>131</v>
      </c>
      <c r="D626" s="13" t="n">
        <v>45198</v>
      </c>
      <c r="E626" s="14" t="n">
        <v>2807.09</v>
      </c>
      <c r="F626" s="14" t="n">
        <v>7679.86</v>
      </c>
      <c r="G626" s="6" t="s">
        <v>2623</v>
      </c>
    </row>
    <row r="627" customFormat="false" ht="15" hidden="false" customHeight="true" outlineLevel="0" collapsed="false">
      <c r="A627" s="6" t="s">
        <v>3239</v>
      </c>
      <c r="B627" s="6" t="s">
        <v>318</v>
      </c>
      <c r="C627" s="6" t="s">
        <v>131</v>
      </c>
      <c r="D627" s="13" t="n">
        <v>45205</v>
      </c>
      <c r="E627" s="14" t="n">
        <v>2352.58</v>
      </c>
      <c r="F627" s="14" t="n">
        <v>10032.44</v>
      </c>
      <c r="G627" s="6" t="s">
        <v>2613</v>
      </c>
    </row>
    <row r="628" customFormat="false" ht="15" hidden="false" customHeight="true" outlineLevel="0" collapsed="false">
      <c r="A628" s="6" t="s">
        <v>3240</v>
      </c>
      <c r="B628" s="6" t="s">
        <v>318</v>
      </c>
      <c r="C628" s="6" t="s">
        <v>131</v>
      </c>
      <c r="D628" s="13" t="n">
        <v>45212</v>
      </c>
      <c r="E628" s="14" t="n">
        <v>2431.56</v>
      </c>
      <c r="F628" s="14" t="n">
        <v>12464</v>
      </c>
      <c r="G628" s="6" t="s">
        <v>2613</v>
      </c>
    </row>
    <row r="629" customFormat="false" ht="15" hidden="false" customHeight="true" outlineLevel="0" collapsed="false">
      <c r="A629" s="6" t="s">
        <v>3241</v>
      </c>
      <c r="B629" s="6" t="s">
        <v>318</v>
      </c>
      <c r="C629" s="6" t="s">
        <v>131</v>
      </c>
      <c r="D629" s="13" t="n">
        <v>45219</v>
      </c>
      <c r="E629" s="14" t="n">
        <v>3109.02</v>
      </c>
      <c r="F629" s="14" t="n">
        <v>15573.02</v>
      </c>
      <c r="G629" s="6" t="s">
        <v>2613</v>
      </c>
    </row>
    <row r="630" customFormat="false" ht="15" hidden="false" customHeight="true" outlineLevel="0" collapsed="false">
      <c r="A630" s="6" t="s">
        <v>3242</v>
      </c>
      <c r="B630" s="6" t="s">
        <v>318</v>
      </c>
      <c r="C630" s="6" t="s">
        <v>131</v>
      </c>
      <c r="D630" s="13" t="n">
        <v>45226</v>
      </c>
      <c r="E630" s="14" t="n">
        <v>2256.87</v>
      </c>
      <c r="F630" s="14" t="n">
        <v>17829.89</v>
      </c>
      <c r="G630" s="6" t="s">
        <v>2613</v>
      </c>
    </row>
    <row r="631" customFormat="false" ht="15" hidden="false" customHeight="true" outlineLevel="0" collapsed="false">
      <c r="A631" s="6" t="s">
        <v>3243</v>
      </c>
      <c r="B631" s="6" t="s">
        <v>318</v>
      </c>
      <c r="C631" s="6" t="s">
        <v>131</v>
      </c>
      <c r="D631" s="13" t="n">
        <v>45233</v>
      </c>
      <c r="E631" s="14" t="n">
        <v>2768.57</v>
      </c>
      <c r="F631" s="14" t="n">
        <v>20598.46</v>
      </c>
      <c r="G631" s="6" t="s">
        <v>2613</v>
      </c>
    </row>
    <row r="632" customFormat="false" ht="15" hidden="false" customHeight="true" outlineLevel="0" collapsed="false">
      <c r="A632" s="6" t="s">
        <v>3244</v>
      </c>
      <c r="B632" s="6" t="s">
        <v>318</v>
      </c>
      <c r="C632" s="6" t="s">
        <v>131</v>
      </c>
      <c r="D632" s="13" t="n">
        <v>45240</v>
      </c>
      <c r="E632" s="14" t="n">
        <v>3584.85</v>
      </c>
      <c r="F632" s="14" t="n">
        <v>24183.31</v>
      </c>
      <c r="G632" s="6" t="s">
        <v>2613</v>
      </c>
    </row>
    <row r="633" customFormat="false" ht="15" hidden="false" customHeight="true" outlineLevel="0" collapsed="false">
      <c r="A633" s="6" t="s">
        <v>3245</v>
      </c>
      <c r="B633" s="6" t="s">
        <v>320</v>
      </c>
      <c r="C633" s="6" t="s">
        <v>131</v>
      </c>
      <c r="D633" s="13" t="n">
        <v>45490</v>
      </c>
      <c r="E633" s="14" t="n">
        <v>2792.28</v>
      </c>
      <c r="F633" s="14" t="n">
        <v>2792.28</v>
      </c>
      <c r="G633" s="6" t="s">
        <v>2613</v>
      </c>
    </row>
    <row r="634" customFormat="false" ht="15" hidden="false" customHeight="true" outlineLevel="0" collapsed="false">
      <c r="A634" s="6" t="s">
        <v>3246</v>
      </c>
      <c r="B634" s="6" t="s">
        <v>320</v>
      </c>
      <c r="C634" s="6" t="s">
        <v>131</v>
      </c>
      <c r="D634" s="13" t="n">
        <v>45497</v>
      </c>
      <c r="E634" s="14" t="n">
        <v>1928.56</v>
      </c>
      <c r="F634" s="14" t="n">
        <v>4720.84</v>
      </c>
      <c r="G634" s="6" t="s">
        <v>2613</v>
      </c>
    </row>
    <row r="635" customFormat="false" ht="15" hidden="false" customHeight="true" outlineLevel="0" collapsed="false">
      <c r="A635" s="6" t="s">
        <v>3247</v>
      </c>
      <c r="B635" s="6" t="s">
        <v>320</v>
      </c>
      <c r="C635" s="6" t="s">
        <v>131</v>
      </c>
      <c r="D635" s="13" t="n">
        <v>45504</v>
      </c>
      <c r="E635" s="14" t="n">
        <v>2561.9</v>
      </c>
      <c r="F635" s="14" t="n">
        <v>7282.74</v>
      </c>
      <c r="G635" s="6" t="s">
        <v>2613</v>
      </c>
    </row>
    <row r="636" customFormat="false" ht="15" hidden="false" customHeight="true" outlineLevel="0" collapsed="false">
      <c r="A636" s="6" t="s">
        <v>3248</v>
      </c>
      <c r="B636" s="6" t="s">
        <v>320</v>
      </c>
      <c r="C636" s="6" t="s">
        <v>131</v>
      </c>
      <c r="D636" s="13" t="n">
        <v>45511</v>
      </c>
      <c r="E636" s="14" t="n">
        <v>1776.51</v>
      </c>
      <c r="F636" s="14" t="n">
        <v>9059.25</v>
      </c>
      <c r="G636" s="6" t="s">
        <v>2613</v>
      </c>
    </row>
    <row r="637" customFormat="false" ht="15" hidden="false" customHeight="true" outlineLevel="0" collapsed="false">
      <c r="A637" s="6" t="s">
        <v>3249</v>
      </c>
      <c r="B637" s="6" t="s">
        <v>320</v>
      </c>
      <c r="C637" s="6" t="s">
        <v>131</v>
      </c>
      <c r="D637" s="13" t="n">
        <v>45518</v>
      </c>
      <c r="E637" s="14" t="n">
        <v>2791.75</v>
      </c>
      <c r="F637" s="14" t="n">
        <v>11851</v>
      </c>
      <c r="G637" s="6" t="s">
        <v>2613</v>
      </c>
    </row>
    <row r="638" customFormat="false" ht="15" hidden="false" customHeight="true" outlineLevel="0" collapsed="false">
      <c r="A638" s="6" t="s">
        <v>3250</v>
      </c>
      <c r="B638" s="6" t="s">
        <v>320</v>
      </c>
      <c r="C638" s="6" t="s">
        <v>131</v>
      </c>
      <c r="D638" s="13" t="n">
        <v>45525</v>
      </c>
      <c r="E638" s="14" t="n">
        <v>2327.99</v>
      </c>
      <c r="F638" s="14" t="n">
        <v>14178.99</v>
      </c>
      <c r="G638" s="6" t="s">
        <v>2613</v>
      </c>
    </row>
    <row r="639" customFormat="false" ht="15" hidden="false" customHeight="true" outlineLevel="0" collapsed="false">
      <c r="A639" s="6" t="s">
        <v>3251</v>
      </c>
      <c r="B639" s="6" t="s">
        <v>320</v>
      </c>
      <c r="C639" s="6" t="s">
        <v>131</v>
      </c>
      <c r="D639" s="13" t="n">
        <v>45532</v>
      </c>
      <c r="E639" s="14" t="n">
        <v>2050.71</v>
      </c>
      <c r="F639" s="14" t="n">
        <v>16229.7</v>
      </c>
      <c r="G639" s="6" t="s">
        <v>2613</v>
      </c>
    </row>
    <row r="640" customFormat="false" ht="15" hidden="false" customHeight="true" outlineLevel="0" collapsed="false">
      <c r="A640" s="6" t="s">
        <v>3252</v>
      </c>
      <c r="B640" s="6" t="s">
        <v>320</v>
      </c>
      <c r="C640" s="6" t="s">
        <v>131</v>
      </c>
      <c r="D640" s="13" t="n">
        <v>45539</v>
      </c>
      <c r="E640" s="14" t="n">
        <v>1449.24</v>
      </c>
      <c r="F640" s="14" t="n">
        <v>17678.94</v>
      </c>
      <c r="G640" s="6" t="s">
        <v>2613</v>
      </c>
    </row>
    <row r="641" customFormat="false" ht="15" hidden="false" customHeight="true" outlineLevel="0" collapsed="false">
      <c r="A641" s="6" t="s">
        <v>3253</v>
      </c>
      <c r="B641" s="6" t="s">
        <v>320</v>
      </c>
      <c r="C641" s="6" t="s">
        <v>131</v>
      </c>
      <c r="D641" s="13" t="n">
        <v>45546</v>
      </c>
      <c r="E641" s="14" t="n">
        <v>3242</v>
      </c>
      <c r="F641" s="14" t="n">
        <v>20920.94</v>
      </c>
      <c r="G641" s="6" t="s">
        <v>2613</v>
      </c>
    </row>
    <row r="642" customFormat="false" ht="15" hidden="false" customHeight="true" outlineLevel="0" collapsed="false">
      <c r="A642" s="6" t="s">
        <v>3254</v>
      </c>
      <c r="B642" s="6" t="s">
        <v>320</v>
      </c>
      <c r="C642" s="6" t="s">
        <v>131</v>
      </c>
      <c r="D642" s="13" t="n">
        <v>45553</v>
      </c>
      <c r="E642" s="14" t="n">
        <v>3313</v>
      </c>
      <c r="F642" s="14" t="n">
        <v>24233.94</v>
      </c>
      <c r="G642" s="6" t="s">
        <v>2613</v>
      </c>
    </row>
    <row r="643" customFormat="false" ht="15" hidden="false" customHeight="true" outlineLevel="0" collapsed="false">
      <c r="A643" s="6" t="s">
        <v>3255</v>
      </c>
      <c r="B643" s="6" t="s">
        <v>320</v>
      </c>
      <c r="C643" s="6" t="s">
        <v>131</v>
      </c>
      <c r="D643" s="13" t="n">
        <v>45560</v>
      </c>
      <c r="E643" s="14" t="n">
        <v>1879.58</v>
      </c>
      <c r="F643" s="14" t="n">
        <v>26113.52</v>
      </c>
      <c r="G643" s="6" t="s">
        <v>2613</v>
      </c>
    </row>
    <row r="644" customFormat="false" ht="15" hidden="false" customHeight="true" outlineLevel="0" collapsed="false">
      <c r="A644" s="6" t="s">
        <v>3256</v>
      </c>
      <c r="B644" s="6" t="s">
        <v>320</v>
      </c>
      <c r="C644" s="6" t="s">
        <v>131</v>
      </c>
      <c r="D644" s="13" t="n">
        <v>45567</v>
      </c>
      <c r="E644" s="14" t="n">
        <v>1807.47</v>
      </c>
      <c r="F644" s="14" t="n">
        <v>27920.99</v>
      </c>
      <c r="G644" s="6" t="s">
        <v>2613</v>
      </c>
    </row>
    <row r="645" customFormat="false" ht="15" hidden="false" customHeight="true" outlineLevel="0" collapsed="false">
      <c r="A645" s="6" t="s">
        <v>3257</v>
      </c>
      <c r="B645" s="6" t="s">
        <v>320</v>
      </c>
      <c r="C645" s="6" t="s">
        <v>131</v>
      </c>
      <c r="D645" s="13" t="n">
        <v>45574</v>
      </c>
      <c r="E645" s="14" t="n">
        <v>2465.62</v>
      </c>
      <c r="F645" s="14" t="n">
        <v>30386.61</v>
      </c>
      <c r="G645" s="6" t="s">
        <v>2613</v>
      </c>
    </row>
    <row r="646" customFormat="false" ht="15" hidden="false" customHeight="true" outlineLevel="0" collapsed="false">
      <c r="A646" s="6" t="s">
        <v>3258</v>
      </c>
      <c r="B646" s="6" t="s">
        <v>320</v>
      </c>
      <c r="C646" s="6" t="s">
        <v>131</v>
      </c>
      <c r="D646" s="13" t="n">
        <v>45581</v>
      </c>
      <c r="E646" s="14" t="n">
        <v>2141.03</v>
      </c>
      <c r="F646" s="14" t="n">
        <v>32527.64</v>
      </c>
      <c r="G646" s="6" t="s">
        <v>2613</v>
      </c>
    </row>
    <row r="647" customFormat="false" ht="15" hidden="false" customHeight="true" outlineLevel="0" collapsed="false">
      <c r="A647" s="6" t="s">
        <v>3259</v>
      </c>
      <c r="B647" s="6" t="s">
        <v>320</v>
      </c>
      <c r="C647" s="6" t="s">
        <v>131</v>
      </c>
      <c r="D647" s="13" t="n">
        <v>45588</v>
      </c>
      <c r="E647" s="14" t="n">
        <v>2977.44</v>
      </c>
      <c r="F647" s="14" t="n">
        <v>35505.08</v>
      </c>
      <c r="G647" s="6" t="s">
        <v>2613</v>
      </c>
    </row>
    <row r="648" customFormat="false" ht="15" hidden="false" customHeight="true" outlineLevel="0" collapsed="false">
      <c r="A648" s="6" t="s">
        <v>3260</v>
      </c>
      <c r="B648" s="6" t="s">
        <v>322</v>
      </c>
      <c r="C648" s="6" t="s">
        <v>120</v>
      </c>
      <c r="D648" s="13" t="n">
        <v>44662</v>
      </c>
      <c r="E648" s="14" t="n">
        <v>5274.65</v>
      </c>
      <c r="F648" s="14" t="n">
        <v>5274.65</v>
      </c>
      <c r="G648" s="6" t="s">
        <v>2613</v>
      </c>
    </row>
    <row r="649" customFormat="false" ht="15" hidden="false" customHeight="true" outlineLevel="0" collapsed="false">
      <c r="A649" s="6" t="s">
        <v>3261</v>
      </c>
      <c r="B649" s="6" t="s">
        <v>322</v>
      </c>
      <c r="C649" s="6" t="s">
        <v>120</v>
      </c>
      <c r="D649" s="13" t="n">
        <v>44669</v>
      </c>
      <c r="E649" s="14" t="n">
        <v>9918.83</v>
      </c>
      <c r="F649" s="14" t="n">
        <v>15193.48</v>
      </c>
      <c r="G649" s="6" t="s">
        <v>2613</v>
      </c>
    </row>
    <row r="650" customFormat="false" ht="15" hidden="false" customHeight="true" outlineLevel="0" collapsed="false">
      <c r="A650" s="6" t="s">
        <v>3262</v>
      </c>
      <c r="B650" s="6" t="s">
        <v>322</v>
      </c>
      <c r="C650" s="6" t="s">
        <v>120</v>
      </c>
      <c r="D650" s="13" t="n">
        <v>44676</v>
      </c>
      <c r="E650" s="14" t="n">
        <v>6873.99</v>
      </c>
      <c r="F650" s="14" t="n">
        <v>22067.47</v>
      </c>
      <c r="G650" s="6" t="s">
        <v>2613</v>
      </c>
    </row>
    <row r="651" customFormat="false" ht="15" hidden="false" customHeight="true" outlineLevel="0" collapsed="false">
      <c r="A651" s="6" t="s">
        <v>3263</v>
      </c>
      <c r="B651" s="6" t="s">
        <v>322</v>
      </c>
      <c r="C651" s="6" t="s">
        <v>120</v>
      </c>
      <c r="D651" s="13" t="n">
        <v>44683</v>
      </c>
      <c r="E651" s="14" t="n">
        <v>6357.59</v>
      </c>
      <c r="F651" s="14" t="n">
        <v>28425.06</v>
      </c>
      <c r="G651" s="6" t="s">
        <v>2613</v>
      </c>
    </row>
    <row r="652" customFormat="false" ht="15" hidden="false" customHeight="true" outlineLevel="0" collapsed="false">
      <c r="A652" s="6" t="s">
        <v>3264</v>
      </c>
      <c r="B652" s="6" t="s">
        <v>322</v>
      </c>
      <c r="C652" s="6" t="s">
        <v>120</v>
      </c>
      <c r="D652" s="13" t="n">
        <v>44690</v>
      </c>
      <c r="E652" s="14" t="n">
        <v>9321.88</v>
      </c>
      <c r="F652" s="14" t="n">
        <v>37746.94</v>
      </c>
      <c r="G652" s="6" t="s">
        <v>2613</v>
      </c>
    </row>
    <row r="653" customFormat="false" ht="15" hidden="false" customHeight="true" outlineLevel="0" collapsed="false">
      <c r="A653" s="6" t="s">
        <v>3265</v>
      </c>
      <c r="B653" s="6" t="s">
        <v>322</v>
      </c>
      <c r="C653" s="6" t="s">
        <v>120</v>
      </c>
      <c r="D653" s="13" t="n">
        <v>44697</v>
      </c>
      <c r="E653" s="14" t="n">
        <v>8269.48</v>
      </c>
      <c r="F653" s="14" t="n">
        <v>46016.42</v>
      </c>
      <c r="G653" s="6" t="s">
        <v>2613</v>
      </c>
    </row>
    <row r="654" customFormat="false" ht="15" hidden="false" customHeight="true" outlineLevel="0" collapsed="false">
      <c r="A654" s="6" t="s">
        <v>3266</v>
      </c>
      <c r="B654" s="6" t="s">
        <v>322</v>
      </c>
      <c r="C654" s="6" t="s">
        <v>120</v>
      </c>
      <c r="D654" s="13" t="n">
        <v>44704</v>
      </c>
      <c r="E654" s="14" t="n">
        <v>5930.53</v>
      </c>
      <c r="F654" s="14" t="n">
        <v>51946.95</v>
      </c>
      <c r="G654" s="6" t="s">
        <v>2613</v>
      </c>
    </row>
    <row r="655" customFormat="false" ht="15" hidden="false" customHeight="true" outlineLevel="0" collapsed="false">
      <c r="A655" s="6" t="s">
        <v>3267</v>
      </c>
      <c r="B655" s="6" t="s">
        <v>322</v>
      </c>
      <c r="C655" s="6" t="s">
        <v>120</v>
      </c>
      <c r="D655" s="13" t="n">
        <v>44711</v>
      </c>
      <c r="E655" s="14" t="n">
        <v>10105.76</v>
      </c>
      <c r="F655" s="14" t="n">
        <v>62052.71</v>
      </c>
      <c r="G655" s="6" t="s">
        <v>2613</v>
      </c>
    </row>
    <row r="656" customFormat="false" ht="15" hidden="false" customHeight="true" outlineLevel="0" collapsed="false">
      <c r="A656" s="6" t="s">
        <v>3268</v>
      </c>
      <c r="B656" s="6" t="s">
        <v>322</v>
      </c>
      <c r="C656" s="6" t="s">
        <v>120</v>
      </c>
      <c r="D656" s="13" t="n">
        <v>44718</v>
      </c>
      <c r="E656" s="14" t="n">
        <v>7303.87</v>
      </c>
      <c r="F656" s="14" t="n">
        <v>69356.58</v>
      </c>
      <c r="G656" s="6" t="s">
        <v>2613</v>
      </c>
    </row>
    <row r="657" customFormat="false" ht="15" hidden="false" customHeight="true" outlineLevel="0" collapsed="false">
      <c r="A657" s="6" t="s">
        <v>3269</v>
      </c>
      <c r="B657" s="6" t="s">
        <v>322</v>
      </c>
      <c r="C657" s="6" t="s">
        <v>120</v>
      </c>
      <c r="D657" s="13" t="n">
        <v>44725</v>
      </c>
      <c r="E657" s="14" t="n">
        <v>4235.81</v>
      </c>
      <c r="F657" s="14" t="n">
        <v>73592.39</v>
      </c>
      <c r="G657" s="6" t="s">
        <v>2613</v>
      </c>
    </row>
    <row r="658" customFormat="false" ht="15" hidden="false" customHeight="true" outlineLevel="0" collapsed="false">
      <c r="A658" s="6" t="s">
        <v>3270</v>
      </c>
      <c r="B658" s="6" t="s">
        <v>324</v>
      </c>
      <c r="C658" s="6" t="s">
        <v>116</v>
      </c>
      <c r="D658" s="13" t="n">
        <v>44668</v>
      </c>
      <c r="E658" s="14" t="n">
        <v>7524.53</v>
      </c>
      <c r="F658" s="14" t="n">
        <v>7524.53</v>
      </c>
      <c r="G658" s="6" t="s">
        <v>2613</v>
      </c>
    </row>
    <row r="659" customFormat="false" ht="15" hidden="false" customHeight="true" outlineLevel="0" collapsed="false">
      <c r="A659" s="6" t="s">
        <v>3271</v>
      </c>
      <c r="B659" s="6" t="s">
        <v>324</v>
      </c>
      <c r="C659" s="6" t="s">
        <v>116</v>
      </c>
      <c r="D659" s="13" t="n">
        <v>44675</v>
      </c>
      <c r="E659" s="14" t="n">
        <v>4287.59</v>
      </c>
      <c r="F659" s="14" t="n">
        <v>11812.12</v>
      </c>
      <c r="G659" s="6" t="s">
        <v>2613</v>
      </c>
    </row>
    <row r="660" customFormat="false" ht="15" hidden="false" customHeight="true" outlineLevel="0" collapsed="false">
      <c r="A660" s="6" t="s">
        <v>3272</v>
      </c>
      <c r="B660" s="6" t="s">
        <v>327</v>
      </c>
      <c r="C660" s="6" t="s">
        <v>112</v>
      </c>
      <c r="D660" s="13" t="n">
        <v>44603</v>
      </c>
      <c r="E660" s="14" t="n">
        <v>5984.52</v>
      </c>
      <c r="F660" s="14" t="n">
        <v>5984.52</v>
      </c>
      <c r="G660" s="6" t="s">
        <v>2623</v>
      </c>
    </row>
    <row r="661" customFormat="false" ht="15" hidden="false" customHeight="true" outlineLevel="0" collapsed="false">
      <c r="A661" s="6" t="s">
        <v>3273</v>
      </c>
      <c r="B661" s="6" t="s">
        <v>327</v>
      </c>
      <c r="C661" s="6" t="s">
        <v>112</v>
      </c>
      <c r="D661" s="13" t="n">
        <v>44610</v>
      </c>
      <c r="E661" s="14" t="n">
        <v>5415.25</v>
      </c>
      <c r="F661" s="14" t="n">
        <v>11399.77</v>
      </c>
      <c r="G661" s="6" t="s">
        <v>2613</v>
      </c>
    </row>
    <row r="662" customFormat="false" ht="15" hidden="false" customHeight="true" outlineLevel="0" collapsed="false">
      <c r="A662" s="6" t="s">
        <v>3274</v>
      </c>
      <c r="B662" s="6" t="s">
        <v>327</v>
      </c>
      <c r="C662" s="6" t="s">
        <v>112</v>
      </c>
      <c r="D662" s="13" t="n">
        <v>44617</v>
      </c>
      <c r="E662" s="14" t="n">
        <v>5391.04</v>
      </c>
      <c r="F662" s="14" t="n">
        <v>16790.81</v>
      </c>
      <c r="G662" s="6" t="s">
        <v>2613</v>
      </c>
    </row>
    <row r="663" customFormat="false" ht="15" hidden="false" customHeight="true" outlineLevel="0" collapsed="false">
      <c r="A663" s="6" t="s">
        <v>3275</v>
      </c>
      <c r="B663" s="6" t="s">
        <v>327</v>
      </c>
      <c r="C663" s="6" t="s">
        <v>112</v>
      </c>
      <c r="D663" s="13" t="n">
        <v>44624</v>
      </c>
      <c r="E663" s="14" t="n">
        <v>2968.97</v>
      </c>
      <c r="F663" s="14" t="n">
        <v>19759.78</v>
      </c>
      <c r="G663" s="6" t="s">
        <v>2623</v>
      </c>
    </row>
    <row r="664" customFormat="false" ht="15" hidden="false" customHeight="true" outlineLevel="0" collapsed="false">
      <c r="A664" s="6" t="s">
        <v>3276</v>
      </c>
      <c r="B664" s="6" t="s">
        <v>327</v>
      </c>
      <c r="C664" s="6" t="s">
        <v>112</v>
      </c>
      <c r="D664" s="13" t="n">
        <v>44631</v>
      </c>
      <c r="E664" s="14" t="n">
        <v>3114.06</v>
      </c>
      <c r="F664" s="14" t="n">
        <v>22873.84</v>
      </c>
      <c r="G664" s="6" t="s">
        <v>2613</v>
      </c>
    </row>
    <row r="665" customFormat="false" ht="15" hidden="false" customHeight="true" outlineLevel="0" collapsed="false">
      <c r="A665" s="6" t="s">
        <v>3277</v>
      </c>
      <c r="B665" s="6" t="s">
        <v>327</v>
      </c>
      <c r="C665" s="6" t="s">
        <v>112</v>
      </c>
      <c r="D665" s="13" t="n">
        <v>44638</v>
      </c>
      <c r="E665" s="14" t="n">
        <v>4422.03</v>
      </c>
      <c r="F665" s="14" t="n">
        <v>27295.87</v>
      </c>
      <c r="G665" s="6" t="s">
        <v>2613</v>
      </c>
    </row>
    <row r="666" customFormat="false" ht="15" hidden="false" customHeight="true" outlineLevel="0" collapsed="false">
      <c r="A666" s="6" t="s">
        <v>3278</v>
      </c>
      <c r="B666" s="6" t="s">
        <v>327</v>
      </c>
      <c r="C666" s="6" t="s">
        <v>112</v>
      </c>
      <c r="D666" s="13" t="n">
        <v>44645</v>
      </c>
      <c r="E666" s="14" t="n">
        <v>3016.8</v>
      </c>
      <c r="F666" s="14" t="n">
        <v>30312.67</v>
      </c>
      <c r="G666" s="6" t="s">
        <v>2613</v>
      </c>
    </row>
    <row r="667" customFormat="false" ht="15" hidden="false" customHeight="true" outlineLevel="0" collapsed="false">
      <c r="A667" s="6" t="s">
        <v>3279</v>
      </c>
      <c r="B667" s="6" t="s">
        <v>329</v>
      </c>
      <c r="C667" s="6" t="s">
        <v>124</v>
      </c>
      <c r="D667" s="13" t="n">
        <v>45899</v>
      </c>
      <c r="E667" s="14" t="n">
        <v>5936.9</v>
      </c>
      <c r="F667" s="14" t="n">
        <v>5936.9</v>
      </c>
      <c r="G667" s="6" t="s">
        <v>2613</v>
      </c>
    </row>
    <row r="668" customFormat="false" ht="15" hidden="false" customHeight="true" outlineLevel="0" collapsed="false">
      <c r="A668" s="6" t="s">
        <v>3280</v>
      </c>
      <c r="B668" s="6" t="s">
        <v>331</v>
      </c>
      <c r="C668" s="6" t="s">
        <v>128</v>
      </c>
      <c r="D668" s="13" t="n">
        <v>45650</v>
      </c>
      <c r="E668" s="14" t="n">
        <v>7357.96</v>
      </c>
      <c r="F668" s="14" t="n">
        <v>7357.96</v>
      </c>
      <c r="G668" s="6" t="s">
        <v>2613</v>
      </c>
    </row>
    <row r="669" customFormat="false" ht="15" hidden="false" customHeight="true" outlineLevel="0" collapsed="false">
      <c r="A669" s="6" t="s">
        <v>3281</v>
      </c>
      <c r="B669" s="6" t="s">
        <v>331</v>
      </c>
      <c r="C669" s="6" t="s">
        <v>128</v>
      </c>
      <c r="D669" s="13" t="n">
        <v>45657</v>
      </c>
      <c r="E669" s="14" t="n">
        <v>5867.5</v>
      </c>
      <c r="F669" s="14" t="n">
        <v>13225.46</v>
      </c>
      <c r="G669" s="6" t="s">
        <v>2613</v>
      </c>
    </row>
    <row r="670" customFormat="false" ht="15" hidden="false" customHeight="true" outlineLevel="0" collapsed="false">
      <c r="A670" s="6" t="s">
        <v>3282</v>
      </c>
      <c r="B670" s="6" t="s">
        <v>331</v>
      </c>
      <c r="C670" s="6" t="s">
        <v>128</v>
      </c>
      <c r="D670" s="13" t="n">
        <v>45664</v>
      </c>
      <c r="E670" s="14" t="n">
        <v>7459.94</v>
      </c>
      <c r="F670" s="14" t="n">
        <v>20685.4</v>
      </c>
      <c r="G670" s="6" t="s">
        <v>2613</v>
      </c>
    </row>
    <row r="671" customFormat="false" ht="15" hidden="false" customHeight="true" outlineLevel="0" collapsed="false">
      <c r="A671" s="6" t="s">
        <v>3283</v>
      </c>
      <c r="B671" s="6" t="s">
        <v>331</v>
      </c>
      <c r="C671" s="6" t="s">
        <v>128</v>
      </c>
      <c r="D671" s="13" t="n">
        <v>45671</v>
      </c>
      <c r="E671" s="14" t="n">
        <v>4591.27</v>
      </c>
      <c r="F671" s="14" t="n">
        <v>25276.67</v>
      </c>
      <c r="G671" s="6" t="s">
        <v>2613</v>
      </c>
    </row>
    <row r="672" customFormat="false" ht="15" hidden="false" customHeight="true" outlineLevel="0" collapsed="false">
      <c r="A672" s="6" t="s">
        <v>3284</v>
      </c>
      <c r="B672" s="6" t="s">
        <v>331</v>
      </c>
      <c r="C672" s="6" t="s">
        <v>128</v>
      </c>
      <c r="D672" s="13" t="n">
        <v>45678</v>
      </c>
      <c r="E672" s="14" t="n">
        <v>6274.44</v>
      </c>
      <c r="F672" s="14" t="n">
        <v>31551.11</v>
      </c>
      <c r="G672" s="6" t="s">
        <v>2613</v>
      </c>
    </row>
    <row r="673" customFormat="false" ht="15" hidden="false" customHeight="true" outlineLevel="0" collapsed="false">
      <c r="A673" s="6" t="s">
        <v>3285</v>
      </c>
      <c r="B673" s="6" t="s">
        <v>331</v>
      </c>
      <c r="C673" s="6" t="s">
        <v>128</v>
      </c>
      <c r="D673" s="13" t="n">
        <v>45685</v>
      </c>
      <c r="E673" s="14" t="n">
        <v>7131.4</v>
      </c>
      <c r="F673" s="14" t="n">
        <v>38682.51</v>
      </c>
      <c r="G673" s="6" t="s">
        <v>2623</v>
      </c>
    </row>
    <row r="674" customFormat="false" ht="15" hidden="false" customHeight="true" outlineLevel="0" collapsed="false">
      <c r="A674" s="6" t="s">
        <v>3286</v>
      </c>
      <c r="B674" s="6" t="s">
        <v>331</v>
      </c>
      <c r="C674" s="6" t="s">
        <v>128</v>
      </c>
      <c r="D674" s="13" t="n">
        <v>45692</v>
      </c>
      <c r="E674" s="14" t="n">
        <v>4265.03</v>
      </c>
      <c r="F674" s="14" t="n">
        <v>42947.54</v>
      </c>
      <c r="G674" s="6" t="s">
        <v>2613</v>
      </c>
    </row>
    <row r="675" customFormat="false" ht="15" hidden="false" customHeight="true" outlineLevel="0" collapsed="false">
      <c r="A675" s="6" t="s">
        <v>3287</v>
      </c>
      <c r="B675" s="6" t="s">
        <v>331</v>
      </c>
      <c r="C675" s="6" t="s">
        <v>128</v>
      </c>
      <c r="D675" s="13" t="n">
        <v>45699</v>
      </c>
      <c r="E675" s="14" t="n">
        <v>1611.79</v>
      </c>
      <c r="F675" s="14" t="n">
        <v>44559.33</v>
      </c>
      <c r="G675" s="6" t="s">
        <v>2613</v>
      </c>
    </row>
    <row r="676" customFormat="false" ht="15" hidden="false" customHeight="true" outlineLevel="0" collapsed="false">
      <c r="A676" s="6" t="s">
        <v>3288</v>
      </c>
      <c r="B676" s="6" t="s">
        <v>333</v>
      </c>
      <c r="C676" s="6" t="s">
        <v>124</v>
      </c>
      <c r="D676" s="13" t="n">
        <v>45980</v>
      </c>
      <c r="E676" s="14" t="n">
        <v>2991.34</v>
      </c>
      <c r="F676" s="14" t="n">
        <v>2991.34</v>
      </c>
      <c r="G676" s="6" t="s">
        <v>2623</v>
      </c>
    </row>
    <row r="677" customFormat="false" ht="15" hidden="false" customHeight="true" outlineLevel="0" collapsed="false">
      <c r="A677" s="6" t="s">
        <v>3289</v>
      </c>
      <c r="B677" s="6" t="s">
        <v>333</v>
      </c>
      <c r="C677" s="6" t="s">
        <v>124</v>
      </c>
      <c r="D677" s="13" t="n">
        <v>45987</v>
      </c>
      <c r="E677" s="14" t="n">
        <v>2059.35</v>
      </c>
      <c r="F677" s="14" t="n">
        <v>5050.69</v>
      </c>
      <c r="G677" s="6" t="s">
        <v>2613</v>
      </c>
    </row>
    <row r="678" customFormat="false" ht="15" hidden="false" customHeight="true" outlineLevel="0" collapsed="false">
      <c r="A678" s="6" t="s">
        <v>3290</v>
      </c>
      <c r="B678" s="6" t="s">
        <v>333</v>
      </c>
      <c r="C678" s="6" t="s">
        <v>124</v>
      </c>
      <c r="D678" s="13" t="n">
        <v>45994</v>
      </c>
      <c r="E678" s="14" t="n">
        <v>1891.95</v>
      </c>
      <c r="F678" s="14" t="n">
        <v>6942.64</v>
      </c>
      <c r="G678" s="6" t="s">
        <v>2613</v>
      </c>
    </row>
    <row r="679" customFormat="false" ht="15" hidden="false" customHeight="true" outlineLevel="0" collapsed="false">
      <c r="A679" s="6" t="s">
        <v>3291</v>
      </c>
      <c r="B679" s="6" t="s">
        <v>333</v>
      </c>
      <c r="C679" s="6" t="s">
        <v>124</v>
      </c>
      <c r="D679" s="13" t="n">
        <v>46001</v>
      </c>
      <c r="E679" s="14" t="n">
        <v>2957.57</v>
      </c>
      <c r="F679" s="14" t="n">
        <v>9900.21</v>
      </c>
      <c r="G679" s="6" t="s">
        <v>2613</v>
      </c>
    </row>
    <row r="680" customFormat="false" ht="15" hidden="false" customHeight="true" outlineLevel="0" collapsed="false">
      <c r="A680" s="6" t="s">
        <v>3292</v>
      </c>
      <c r="B680" s="6" t="s">
        <v>333</v>
      </c>
      <c r="C680" s="6" t="s">
        <v>124</v>
      </c>
      <c r="D680" s="13" t="n">
        <v>46008</v>
      </c>
      <c r="E680" s="14" t="n">
        <v>2643.05</v>
      </c>
      <c r="F680" s="14" t="n">
        <v>12543.26</v>
      </c>
      <c r="G680" s="6" t="s">
        <v>2623</v>
      </c>
    </row>
    <row r="681" customFormat="false" ht="15" hidden="false" customHeight="true" outlineLevel="0" collapsed="false">
      <c r="A681" s="6" t="s">
        <v>3293</v>
      </c>
      <c r="B681" s="6" t="s">
        <v>333</v>
      </c>
      <c r="C681" s="6" t="s">
        <v>124</v>
      </c>
      <c r="D681" s="13" t="n">
        <v>46015</v>
      </c>
      <c r="E681" s="14" t="n">
        <v>1775.26</v>
      </c>
      <c r="F681" s="14" t="n">
        <v>14318.52</v>
      </c>
      <c r="G681" s="6" t="s">
        <v>2613</v>
      </c>
    </row>
    <row r="682" customFormat="false" ht="15" hidden="false" customHeight="true" outlineLevel="0" collapsed="false">
      <c r="A682" s="6" t="s">
        <v>3294</v>
      </c>
      <c r="B682" s="6" t="s">
        <v>333</v>
      </c>
      <c r="C682" s="6" t="s">
        <v>124</v>
      </c>
      <c r="D682" s="13" t="n">
        <v>46022</v>
      </c>
      <c r="E682" s="14" t="n">
        <v>2152.19</v>
      </c>
      <c r="F682" s="14" t="n">
        <v>16470.71</v>
      </c>
      <c r="G682" s="6" t="s">
        <v>2613</v>
      </c>
    </row>
    <row r="683" customFormat="false" ht="15" hidden="false" customHeight="true" outlineLevel="0" collapsed="false">
      <c r="A683" s="6" t="s">
        <v>3295</v>
      </c>
      <c r="B683" s="6" t="s">
        <v>333</v>
      </c>
      <c r="C683" s="6" t="s">
        <v>124</v>
      </c>
      <c r="D683" s="13" t="n">
        <v>46029</v>
      </c>
      <c r="E683" s="14" t="n">
        <v>877.18</v>
      </c>
      <c r="F683" s="14" t="n">
        <v>17347.89</v>
      </c>
      <c r="G683" s="6" t="s">
        <v>2613</v>
      </c>
    </row>
    <row r="684" customFormat="false" ht="15" hidden="false" customHeight="true" outlineLevel="0" collapsed="false">
      <c r="A684" s="6" t="s">
        <v>3296</v>
      </c>
      <c r="B684" s="6" t="s">
        <v>335</v>
      </c>
      <c r="C684" s="6" t="s">
        <v>124</v>
      </c>
      <c r="D684" s="13" t="n">
        <v>45867</v>
      </c>
      <c r="E684" s="14" t="n">
        <v>4087.22</v>
      </c>
      <c r="F684" s="14" t="n">
        <v>4087.22</v>
      </c>
      <c r="G684" s="6" t="s">
        <v>2623</v>
      </c>
    </row>
    <row r="685" customFormat="false" ht="15" hidden="false" customHeight="true" outlineLevel="0" collapsed="false">
      <c r="A685" s="6" t="s">
        <v>3297</v>
      </c>
      <c r="B685" s="6" t="s">
        <v>335</v>
      </c>
      <c r="C685" s="6" t="s">
        <v>124</v>
      </c>
      <c r="D685" s="13" t="n">
        <v>45874</v>
      </c>
      <c r="E685" s="14" t="n">
        <v>6229.85</v>
      </c>
      <c r="F685" s="14" t="n">
        <v>10317.07</v>
      </c>
      <c r="G685" s="6" t="s">
        <v>2613</v>
      </c>
    </row>
    <row r="686" customFormat="false" ht="15" hidden="false" customHeight="true" outlineLevel="0" collapsed="false">
      <c r="A686" s="6" t="s">
        <v>3298</v>
      </c>
      <c r="B686" s="6" t="s">
        <v>335</v>
      </c>
      <c r="C686" s="6" t="s">
        <v>124</v>
      </c>
      <c r="D686" s="13" t="n">
        <v>45881</v>
      </c>
      <c r="E686" s="14" t="n">
        <v>5561.54</v>
      </c>
      <c r="F686" s="14" t="n">
        <v>15878.61</v>
      </c>
      <c r="G686" s="6" t="s">
        <v>2613</v>
      </c>
    </row>
    <row r="687" customFormat="false" ht="15" hidden="false" customHeight="true" outlineLevel="0" collapsed="false">
      <c r="A687" s="6" t="s">
        <v>3299</v>
      </c>
      <c r="B687" s="6" t="s">
        <v>335</v>
      </c>
      <c r="C687" s="6" t="s">
        <v>124</v>
      </c>
      <c r="D687" s="13" t="n">
        <v>45888</v>
      </c>
      <c r="E687" s="14" t="n">
        <v>3081.13</v>
      </c>
      <c r="F687" s="14" t="n">
        <v>18959.74</v>
      </c>
      <c r="G687" s="6" t="s">
        <v>2613</v>
      </c>
    </row>
    <row r="688" customFormat="false" ht="15" hidden="false" customHeight="true" outlineLevel="0" collapsed="false">
      <c r="A688" s="6" t="s">
        <v>3300</v>
      </c>
      <c r="B688" s="6" t="s">
        <v>335</v>
      </c>
      <c r="C688" s="6" t="s">
        <v>124</v>
      </c>
      <c r="D688" s="13" t="n">
        <v>45895</v>
      </c>
      <c r="E688" s="14" t="n">
        <v>4809.52</v>
      </c>
      <c r="F688" s="14" t="n">
        <v>23769.26</v>
      </c>
      <c r="G688" s="6" t="s">
        <v>2613</v>
      </c>
    </row>
    <row r="689" customFormat="false" ht="15" hidden="false" customHeight="true" outlineLevel="0" collapsed="false">
      <c r="A689" s="6" t="s">
        <v>3301</v>
      </c>
      <c r="B689" s="6" t="s">
        <v>335</v>
      </c>
      <c r="C689" s="6" t="s">
        <v>124</v>
      </c>
      <c r="D689" s="13" t="n">
        <v>45902</v>
      </c>
      <c r="E689" s="14" t="n">
        <v>3140</v>
      </c>
      <c r="F689" s="14" t="n">
        <v>26909.26</v>
      </c>
      <c r="G689" s="6" t="s">
        <v>2623</v>
      </c>
    </row>
    <row r="690" customFormat="false" ht="15" hidden="false" customHeight="true" outlineLevel="0" collapsed="false">
      <c r="A690" s="6" t="s">
        <v>3302</v>
      </c>
      <c r="B690" s="6" t="s">
        <v>335</v>
      </c>
      <c r="C690" s="6" t="s">
        <v>124</v>
      </c>
      <c r="D690" s="13" t="n">
        <v>45909</v>
      </c>
      <c r="E690" s="14" t="n">
        <v>4799.34</v>
      </c>
      <c r="F690" s="14" t="n">
        <v>31708.6</v>
      </c>
      <c r="G690" s="6" t="s">
        <v>2613</v>
      </c>
    </row>
    <row r="691" customFormat="false" ht="15" hidden="false" customHeight="true" outlineLevel="0" collapsed="false">
      <c r="A691" s="6" t="s">
        <v>3303</v>
      </c>
      <c r="B691" s="6" t="s">
        <v>335</v>
      </c>
      <c r="C691" s="6" t="s">
        <v>124</v>
      </c>
      <c r="D691" s="13" t="n">
        <v>45916</v>
      </c>
      <c r="E691" s="14" t="n">
        <v>5089.97</v>
      </c>
      <c r="F691" s="14" t="n">
        <v>36798.57</v>
      </c>
      <c r="G691" s="6" t="s">
        <v>2613</v>
      </c>
    </row>
    <row r="692" customFormat="false" ht="15" hidden="false" customHeight="true" outlineLevel="0" collapsed="false">
      <c r="A692" s="6" t="s">
        <v>3304</v>
      </c>
      <c r="B692" s="6" t="s">
        <v>337</v>
      </c>
      <c r="C692" s="6" t="s">
        <v>124</v>
      </c>
      <c r="D692" s="13" t="n">
        <v>45185</v>
      </c>
      <c r="E692" s="14" t="n">
        <v>948.96</v>
      </c>
      <c r="F692" s="14" t="n">
        <v>948.96</v>
      </c>
      <c r="G692" s="6" t="s">
        <v>2613</v>
      </c>
    </row>
    <row r="693" customFormat="false" ht="15" hidden="false" customHeight="true" outlineLevel="0" collapsed="false">
      <c r="A693" s="6" t="s">
        <v>3305</v>
      </c>
      <c r="B693" s="6" t="s">
        <v>337</v>
      </c>
      <c r="C693" s="6" t="s">
        <v>124</v>
      </c>
      <c r="D693" s="13" t="n">
        <v>45192</v>
      </c>
      <c r="E693" s="14" t="n">
        <v>1086.09</v>
      </c>
      <c r="F693" s="14" t="n">
        <v>2035.05</v>
      </c>
      <c r="G693" s="6" t="s">
        <v>2613</v>
      </c>
    </row>
    <row r="694" customFormat="false" ht="15" hidden="false" customHeight="true" outlineLevel="0" collapsed="false">
      <c r="A694" s="6" t="s">
        <v>3306</v>
      </c>
      <c r="B694" s="6" t="s">
        <v>337</v>
      </c>
      <c r="C694" s="6" t="s">
        <v>124</v>
      </c>
      <c r="D694" s="13" t="n">
        <v>45199</v>
      </c>
      <c r="E694" s="14" t="n">
        <v>1149.59</v>
      </c>
      <c r="F694" s="14" t="n">
        <v>3184.64</v>
      </c>
      <c r="G694" s="6" t="s">
        <v>2613</v>
      </c>
    </row>
    <row r="695" customFormat="false" ht="15" hidden="false" customHeight="true" outlineLevel="0" collapsed="false">
      <c r="A695" s="6" t="s">
        <v>3307</v>
      </c>
      <c r="B695" s="6" t="s">
        <v>337</v>
      </c>
      <c r="C695" s="6" t="s">
        <v>124</v>
      </c>
      <c r="D695" s="13" t="n">
        <v>45206</v>
      </c>
      <c r="E695" s="14" t="n">
        <v>1521.81</v>
      </c>
      <c r="F695" s="14" t="n">
        <v>4706.45</v>
      </c>
      <c r="G695" s="6" t="s">
        <v>2613</v>
      </c>
    </row>
    <row r="696" customFormat="false" ht="15" hidden="false" customHeight="true" outlineLevel="0" collapsed="false">
      <c r="A696" s="6" t="s">
        <v>3308</v>
      </c>
      <c r="B696" s="6" t="s">
        <v>337</v>
      </c>
      <c r="C696" s="6" t="s">
        <v>124</v>
      </c>
      <c r="D696" s="13" t="n">
        <v>45213</v>
      </c>
      <c r="E696" s="14" t="n">
        <v>1413.98</v>
      </c>
      <c r="F696" s="14" t="n">
        <v>6120.43</v>
      </c>
      <c r="G696" s="6" t="s">
        <v>2613</v>
      </c>
    </row>
    <row r="697" customFormat="false" ht="15" hidden="false" customHeight="true" outlineLevel="0" collapsed="false">
      <c r="A697" s="6" t="s">
        <v>3309</v>
      </c>
      <c r="B697" s="6" t="s">
        <v>337</v>
      </c>
      <c r="C697" s="6" t="s">
        <v>124</v>
      </c>
      <c r="D697" s="13" t="n">
        <v>45220</v>
      </c>
      <c r="E697" s="14" t="n">
        <v>916.14</v>
      </c>
      <c r="F697" s="14" t="n">
        <v>7036.57</v>
      </c>
      <c r="G697" s="6" t="s">
        <v>2623</v>
      </c>
    </row>
    <row r="698" customFormat="false" ht="15" hidden="false" customHeight="true" outlineLevel="0" collapsed="false">
      <c r="A698" s="6" t="s">
        <v>3310</v>
      </c>
      <c r="B698" s="6" t="s">
        <v>337</v>
      </c>
      <c r="C698" s="6" t="s">
        <v>124</v>
      </c>
      <c r="D698" s="13" t="n">
        <v>45227</v>
      </c>
      <c r="E698" s="14" t="n">
        <v>1185.35</v>
      </c>
      <c r="F698" s="14" t="n">
        <v>8221.92</v>
      </c>
      <c r="G698" s="6" t="s">
        <v>2613</v>
      </c>
    </row>
    <row r="699" customFormat="false" ht="15" hidden="false" customHeight="true" outlineLevel="0" collapsed="false">
      <c r="A699" s="6" t="s">
        <v>3311</v>
      </c>
      <c r="B699" s="6" t="s">
        <v>337</v>
      </c>
      <c r="C699" s="6" t="s">
        <v>124</v>
      </c>
      <c r="D699" s="13" t="n">
        <v>45234</v>
      </c>
      <c r="E699" s="14" t="n">
        <v>1169</v>
      </c>
      <c r="F699" s="14" t="n">
        <v>9390.92</v>
      </c>
      <c r="G699" s="6" t="s">
        <v>2613</v>
      </c>
    </row>
    <row r="700" customFormat="false" ht="15" hidden="false" customHeight="true" outlineLevel="0" collapsed="false">
      <c r="A700" s="6" t="s">
        <v>3312</v>
      </c>
      <c r="B700" s="6" t="s">
        <v>337</v>
      </c>
      <c r="C700" s="6" t="s">
        <v>124</v>
      </c>
      <c r="D700" s="13" t="n">
        <v>45241</v>
      </c>
      <c r="E700" s="14" t="n">
        <v>1231.42</v>
      </c>
      <c r="F700" s="14" t="n">
        <v>10622.34</v>
      </c>
      <c r="G700" s="6" t="s">
        <v>2613</v>
      </c>
    </row>
    <row r="701" customFormat="false" ht="15" hidden="false" customHeight="true" outlineLevel="0" collapsed="false">
      <c r="A701" s="6" t="s">
        <v>3313</v>
      </c>
      <c r="B701" s="6" t="s">
        <v>337</v>
      </c>
      <c r="C701" s="6" t="s">
        <v>124</v>
      </c>
      <c r="D701" s="13" t="n">
        <v>45248</v>
      </c>
      <c r="E701" s="14" t="n">
        <v>1628</v>
      </c>
      <c r="F701" s="14" t="n">
        <v>12250.34</v>
      </c>
      <c r="G701" s="6" t="s">
        <v>2613</v>
      </c>
    </row>
    <row r="702" customFormat="false" ht="15" hidden="false" customHeight="true" outlineLevel="0" collapsed="false">
      <c r="A702" s="6" t="s">
        <v>3314</v>
      </c>
      <c r="B702" s="6" t="s">
        <v>337</v>
      </c>
      <c r="C702" s="6" t="s">
        <v>124</v>
      </c>
      <c r="D702" s="13" t="n">
        <v>45255</v>
      </c>
      <c r="E702" s="14" t="n">
        <v>1390.93</v>
      </c>
      <c r="F702" s="14" t="n">
        <v>13641.27</v>
      </c>
      <c r="G702" s="6" t="s">
        <v>2613</v>
      </c>
    </row>
    <row r="703" customFormat="false" ht="15" hidden="false" customHeight="true" outlineLevel="0" collapsed="false">
      <c r="A703" s="6" t="s">
        <v>3315</v>
      </c>
      <c r="B703" s="6" t="s">
        <v>337</v>
      </c>
      <c r="C703" s="6" t="s">
        <v>124</v>
      </c>
      <c r="D703" s="13" t="n">
        <v>45262</v>
      </c>
      <c r="E703" s="14" t="n">
        <v>1400.05</v>
      </c>
      <c r="F703" s="14" t="n">
        <v>15041.32</v>
      </c>
      <c r="G703" s="6" t="s">
        <v>2613</v>
      </c>
    </row>
    <row r="704" customFormat="false" ht="15" hidden="false" customHeight="true" outlineLevel="0" collapsed="false">
      <c r="A704" s="6" t="s">
        <v>3316</v>
      </c>
      <c r="B704" s="6" t="s">
        <v>337</v>
      </c>
      <c r="C704" s="6" t="s">
        <v>124</v>
      </c>
      <c r="D704" s="13" t="n">
        <v>45269</v>
      </c>
      <c r="E704" s="14" t="n">
        <v>1271.55</v>
      </c>
      <c r="F704" s="14" t="n">
        <v>16312.87</v>
      </c>
      <c r="G704" s="6" t="s">
        <v>2613</v>
      </c>
    </row>
    <row r="705" customFormat="false" ht="15" hidden="false" customHeight="true" outlineLevel="0" collapsed="false">
      <c r="A705" s="6" t="s">
        <v>3317</v>
      </c>
      <c r="B705" s="6" t="s">
        <v>337</v>
      </c>
      <c r="C705" s="6" t="s">
        <v>124</v>
      </c>
      <c r="D705" s="13" t="n">
        <v>45276</v>
      </c>
      <c r="E705" s="14" t="n">
        <v>1187.99</v>
      </c>
      <c r="F705" s="14" t="n">
        <v>17500.86</v>
      </c>
      <c r="G705" s="6" t="s">
        <v>2613</v>
      </c>
    </row>
    <row r="706" customFormat="false" ht="15" hidden="false" customHeight="true" outlineLevel="0" collapsed="false">
      <c r="A706" s="6" t="s">
        <v>3318</v>
      </c>
      <c r="B706" s="6" t="s">
        <v>337</v>
      </c>
      <c r="C706" s="6" t="s">
        <v>124</v>
      </c>
      <c r="D706" s="13" t="n">
        <v>45283</v>
      </c>
      <c r="E706" s="14" t="n">
        <v>1536.27</v>
      </c>
      <c r="F706" s="14" t="n">
        <v>19037.13</v>
      </c>
      <c r="G706" s="6" t="s">
        <v>2613</v>
      </c>
    </row>
    <row r="707" customFormat="false" ht="15" hidden="false" customHeight="true" outlineLevel="0" collapsed="false">
      <c r="A707" s="6" t="s">
        <v>3319</v>
      </c>
      <c r="B707" s="6" t="s">
        <v>337</v>
      </c>
      <c r="C707" s="6" t="s">
        <v>124</v>
      </c>
      <c r="D707" s="13" t="n">
        <v>45290</v>
      </c>
      <c r="E707" s="14" t="n">
        <v>1655.17</v>
      </c>
      <c r="F707" s="14" t="n">
        <v>20692.3</v>
      </c>
      <c r="G707" s="6" t="s">
        <v>2613</v>
      </c>
    </row>
    <row r="708" customFormat="false" ht="15" hidden="false" customHeight="true" outlineLevel="0" collapsed="false">
      <c r="A708" s="6" t="s">
        <v>3320</v>
      </c>
      <c r="B708" s="6" t="s">
        <v>339</v>
      </c>
      <c r="C708" s="6" t="s">
        <v>116</v>
      </c>
      <c r="D708" s="13" t="n">
        <v>46058</v>
      </c>
      <c r="E708" s="14" t="n">
        <v>2584.07</v>
      </c>
      <c r="F708" s="14" t="n">
        <v>2584.07</v>
      </c>
      <c r="G708" s="6" t="s">
        <v>2613</v>
      </c>
    </row>
    <row r="709" customFormat="false" ht="15" hidden="false" customHeight="true" outlineLevel="0" collapsed="false">
      <c r="A709" s="6" t="s">
        <v>3321</v>
      </c>
      <c r="B709" s="6" t="s">
        <v>339</v>
      </c>
      <c r="C709" s="6" t="s">
        <v>116</v>
      </c>
      <c r="D709" s="13" t="n">
        <v>46065</v>
      </c>
      <c r="E709" s="14" t="n">
        <v>3137.17</v>
      </c>
      <c r="F709" s="14" t="n">
        <v>5721.24</v>
      </c>
      <c r="G709" s="6" t="s">
        <v>2613</v>
      </c>
    </row>
    <row r="710" customFormat="false" ht="15" hidden="false" customHeight="true" outlineLevel="0" collapsed="false">
      <c r="A710" s="6" t="s">
        <v>3322</v>
      </c>
      <c r="B710" s="6" t="s">
        <v>339</v>
      </c>
      <c r="C710" s="6" t="s">
        <v>116</v>
      </c>
      <c r="D710" s="13" t="n">
        <v>46072</v>
      </c>
      <c r="E710" s="14" t="n">
        <v>3360.74</v>
      </c>
      <c r="F710" s="14" t="n">
        <v>9081.98</v>
      </c>
      <c r="G710" s="6" t="s">
        <v>2613</v>
      </c>
    </row>
    <row r="711" customFormat="false" ht="15" hidden="false" customHeight="true" outlineLevel="0" collapsed="false">
      <c r="A711" s="6" t="s">
        <v>3323</v>
      </c>
      <c r="B711" s="6" t="s">
        <v>339</v>
      </c>
      <c r="C711" s="6" t="s">
        <v>116</v>
      </c>
      <c r="D711" s="13" t="n">
        <v>46079</v>
      </c>
      <c r="E711" s="14" t="n">
        <v>2716.37</v>
      </c>
      <c r="F711" s="14" t="n">
        <v>11798.35</v>
      </c>
      <c r="G711" s="6" t="s">
        <v>2613</v>
      </c>
    </row>
    <row r="712" customFormat="false" ht="15" hidden="false" customHeight="true" outlineLevel="0" collapsed="false">
      <c r="A712" s="6" t="s">
        <v>3324</v>
      </c>
      <c r="B712" s="6" t="s">
        <v>339</v>
      </c>
      <c r="C712" s="6" t="s">
        <v>116</v>
      </c>
      <c r="D712" s="13" t="n">
        <v>46086</v>
      </c>
      <c r="E712" s="14" t="n">
        <v>2156.96</v>
      </c>
      <c r="F712" s="14" t="n">
        <v>13955.31</v>
      </c>
      <c r="G712" s="6" t="s">
        <v>2613</v>
      </c>
    </row>
    <row r="713" customFormat="false" ht="15" hidden="false" customHeight="true" outlineLevel="0" collapsed="false">
      <c r="A713" s="6" t="s">
        <v>3325</v>
      </c>
      <c r="B713" s="6" t="s">
        <v>339</v>
      </c>
      <c r="C713" s="6" t="s">
        <v>116</v>
      </c>
      <c r="D713" s="13" t="n">
        <v>46093</v>
      </c>
      <c r="E713" s="14" t="n">
        <v>3185.88</v>
      </c>
      <c r="F713" s="14" t="n">
        <v>17141.19</v>
      </c>
      <c r="G713" s="6" t="s">
        <v>2613</v>
      </c>
    </row>
    <row r="714" customFormat="false" ht="15" hidden="false" customHeight="true" outlineLevel="0" collapsed="false">
      <c r="A714" s="6" t="s">
        <v>3326</v>
      </c>
      <c r="B714" s="6" t="s">
        <v>339</v>
      </c>
      <c r="C714" s="6" t="s">
        <v>116</v>
      </c>
      <c r="D714" s="13" t="n">
        <v>46100</v>
      </c>
      <c r="E714" s="14" t="n">
        <v>1791.56</v>
      </c>
      <c r="F714" s="14" t="n">
        <v>18932.75</v>
      </c>
      <c r="G714" s="6" t="s">
        <v>2613</v>
      </c>
    </row>
    <row r="715" customFormat="false" ht="15" hidden="false" customHeight="true" outlineLevel="0" collapsed="false">
      <c r="A715" s="6" t="s">
        <v>3327</v>
      </c>
      <c r="B715" s="6" t="s">
        <v>339</v>
      </c>
      <c r="C715" s="6" t="s">
        <v>116</v>
      </c>
      <c r="D715" s="13" t="n">
        <v>46107</v>
      </c>
      <c r="E715" s="14" t="n">
        <v>2672.74</v>
      </c>
      <c r="F715" s="14" t="n">
        <v>21605.49</v>
      </c>
      <c r="G715" s="6" t="s">
        <v>2613</v>
      </c>
    </row>
    <row r="716" customFormat="false" ht="15" hidden="false" customHeight="true" outlineLevel="0" collapsed="false">
      <c r="A716" s="6" t="s">
        <v>3328</v>
      </c>
      <c r="B716" s="6" t="s">
        <v>339</v>
      </c>
      <c r="C716" s="6" t="s">
        <v>116</v>
      </c>
      <c r="D716" s="13" t="n">
        <v>46114</v>
      </c>
      <c r="E716" s="14" t="n">
        <v>2732.26</v>
      </c>
      <c r="F716" s="14" t="n">
        <v>24337.75</v>
      </c>
      <c r="G716" s="6" t="s">
        <v>2613</v>
      </c>
    </row>
    <row r="717" customFormat="false" ht="15" hidden="false" customHeight="true" outlineLevel="0" collapsed="false">
      <c r="A717" s="6" t="s">
        <v>3329</v>
      </c>
      <c r="B717" s="6" t="s">
        <v>339</v>
      </c>
      <c r="C717" s="6" t="s">
        <v>116</v>
      </c>
      <c r="D717" s="13" t="n">
        <v>46121</v>
      </c>
      <c r="E717" s="14" t="n">
        <v>2841.12</v>
      </c>
      <c r="F717" s="14" t="n">
        <v>27178.87</v>
      </c>
      <c r="G717" s="6" t="s">
        <v>2613</v>
      </c>
    </row>
    <row r="718" customFormat="false" ht="15" hidden="false" customHeight="true" outlineLevel="0" collapsed="false">
      <c r="A718" s="6" t="s">
        <v>3330</v>
      </c>
      <c r="B718" s="6" t="s">
        <v>341</v>
      </c>
      <c r="C718" s="6" t="s">
        <v>128</v>
      </c>
      <c r="D718" s="13" t="n">
        <v>45823</v>
      </c>
      <c r="E718" s="14" t="n">
        <v>3339.83</v>
      </c>
      <c r="F718" s="14" t="n">
        <v>3339.83</v>
      </c>
      <c r="G718" s="6" t="s">
        <v>2613</v>
      </c>
    </row>
    <row r="719" customFormat="false" ht="15" hidden="false" customHeight="true" outlineLevel="0" collapsed="false">
      <c r="A719" s="6" t="s">
        <v>3331</v>
      </c>
      <c r="B719" s="6" t="s">
        <v>341</v>
      </c>
      <c r="C719" s="6" t="s">
        <v>128</v>
      </c>
      <c r="D719" s="13" t="n">
        <v>45830</v>
      </c>
      <c r="E719" s="14" t="n">
        <v>3515.8</v>
      </c>
      <c r="F719" s="14" t="n">
        <v>6855.63</v>
      </c>
      <c r="G719" s="6" t="s">
        <v>2613</v>
      </c>
    </row>
    <row r="720" customFormat="false" ht="15" hidden="false" customHeight="true" outlineLevel="0" collapsed="false">
      <c r="A720" s="6" t="s">
        <v>3332</v>
      </c>
      <c r="B720" s="6" t="s">
        <v>341</v>
      </c>
      <c r="C720" s="6" t="s">
        <v>128</v>
      </c>
      <c r="D720" s="13" t="n">
        <v>45837</v>
      </c>
      <c r="E720" s="14" t="n">
        <v>2761.89</v>
      </c>
      <c r="F720" s="14" t="n">
        <v>9617.52</v>
      </c>
      <c r="G720" s="6" t="s">
        <v>2623</v>
      </c>
    </row>
    <row r="721" customFormat="false" ht="15" hidden="false" customHeight="true" outlineLevel="0" collapsed="false">
      <c r="A721" s="6" t="s">
        <v>3333</v>
      </c>
      <c r="B721" s="6" t="s">
        <v>341</v>
      </c>
      <c r="C721" s="6" t="s">
        <v>128</v>
      </c>
      <c r="D721" s="13" t="n">
        <v>45844</v>
      </c>
      <c r="E721" s="14" t="n">
        <v>2360.13</v>
      </c>
      <c r="F721" s="14" t="n">
        <v>11977.65</v>
      </c>
      <c r="G721" s="6" t="s">
        <v>2613</v>
      </c>
    </row>
    <row r="722" customFormat="false" ht="15" hidden="false" customHeight="true" outlineLevel="0" collapsed="false">
      <c r="A722" s="6" t="s">
        <v>3334</v>
      </c>
      <c r="B722" s="6" t="s">
        <v>341</v>
      </c>
      <c r="C722" s="6" t="s">
        <v>128</v>
      </c>
      <c r="D722" s="13" t="n">
        <v>45851</v>
      </c>
      <c r="E722" s="14" t="n">
        <v>2968.59</v>
      </c>
      <c r="F722" s="14" t="n">
        <v>14946.24</v>
      </c>
      <c r="G722" s="6" t="s">
        <v>2613</v>
      </c>
    </row>
    <row r="723" customFormat="false" ht="15" hidden="false" customHeight="true" outlineLevel="0" collapsed="false">
      <c r="A723" s="6" t="s">
        <v>3335</v>
      </c>
      <c r="B723" s="6" t="s">
        <v>341</v>
      </c>
      <c r="C723" s="6" t="s">
        <v>128</v>
      </c>
      <c r="D723" s="13" t="n">
        <v>45858</v>
      </c>
      <c r="E723" s="14" t="n">
        <v>3100.63</v>
      </c>
      <c r="F723" s="14" t="n">
        <v>18046.87</v>
      </c>
      <c r="G723" s="6" t="s">
        <v>2613</v>
      </c>
    </row>
    <row r="724" customFormat="false" ht="15" hidden="false" customHeight="true" outlineLevel="0" collapsed="false">
      <c r="A724" s="6" t="s">
        <v>3336</v>
      </c>
      <c r="B724" s="6" t="s">
        <v>341</v>
      </c>
      <c r="C724" s="6" t="s">
        <v>128</v>
      </c>
      <c r="D724" s="13" t="n">
        <v>45865</v>
      </c>
      <c r="E724" s="14" t="n">
        <v>2669.89</v>
      </c>
      <c r="F724" s="14" t="n">
        <v>20716.76</v>
      </c>
      <c r="G724" s="6" t="s">
        <v>2613</v>
      </c>
    </row>
    <row r="725" customFormat="false" ht="15" hidden="false" customHeight="true" outlineLevel="0" collapsed="false">
      <c r="A725" s="6" t="s">
        <v>3337</v>
      </c>
      <c r="B725" s="6" t="s">
        <v>341</v>
      </c>
      <c r="C725" s="6" t="s">
        <v>128</v>
      </c>
      <c r="D725" s="13" t="n">
        <v>45872</v>
      </c>
      <c r="E725" s="14" t="n">
        <v>2680.08</v>
      </c>
      <c r="F725" s="14" t="n">
        <v>23396.84</v>
      </c>
      <c r="G725" s="6" t="s">
        <v>2613</v>
      </c>
    </row>
    <row r="726" customFormat="false" ht="15" hidden="false" customHeight="true" outlineLevel="0" collapsed="false">
      <c r="A726" s="6" t="s">
        <v>3338</v>
      </c>
      <c r="B726" s="6" t="s">
        <v>343</v>
      </c>
      <c r="C726" s="6" t="s">
        <v>128</v>
      </c>
      <c r="D726" s="13" t="n">
        <v>45501</v>
      </c>
      <c r="E726" s="14" t="n">
        <v>4386.82</v>
      </c>
      <c r="F726" s="14" t="n">
        <v>4386.82</v>
      </c>
      <c r="G726" s="6" t="s">
        <v>2623</v>
      </c>
    </row>
    <row r="727" customFormat="false" ht="15" hidden="false" customHeight="true" outlineLevel="0" collapsed="false">
      <c r="A727" s="6" t="s">
        <v>3339</v>
      </c>
      <c r="B727" s="6" t="s">
        <v>343</v>
      </c>
      <c r="C727" s="6" t="s">
        <v>128</v>
      </c>
      <c r="D727" s="13" t="n">
        <v>45508</v>
      </c>
      <c r="E727" s="14" t="n">
        <v>5879.42</v>
      </c>
      <c r="F727" s="14" t="n">
        <v>10266.24</v>
      </c>
      <c r="G727" s="6" t="s">
        <v>2613</v>
      </c>
    </row>
    <row r="728" customFormat="false" ht="15" hidden="false" customHeight="true" outlineLevel="0" collapsed="false">
      <c r="A728" s="6" t="s">
        <v>3340</v>
      </c>
      <c r="B728" s="6" t="s">
        <v>343</v>
      </c>
      <c r="C728" s="6" t="s">
        <v>128</v>
      </c>
      <c r="D728" s="13" t="n">
        <v>45515</v>
      </c>
      <c r="E728" s="14" t="n">
        <v>3263.95</v>
      </c>
      <c r="F728" s="14" t="n">
        <v>13530.19</v>
      </c>
      <c r="G728" s="6" t="s">
        <v>2623</v>
      </c>
    </row>
    <row r="729" customFormat="false" ht="15" hidden="false" customHeight="true" outlineLevel="0" collapsed="false">
      <c r="A729" s="6" t="s">
        <v>3341</v>
      </c>
      <c r="B729" s="6" t="s">
        <v>343</v>
      </c>
      <c r="C729" s="6" t="s">
        <v>128</v>
      </c>
      <c r="D729" s="13" t="n">
        <v>45522</v>
      </c>
      <c r="E729" s="14" t="n">
        <v>5834.62</v>
      </c>
      <c r="F729" s="14" t="n">
        <v>19364.81</v>
      </c>
      <c r="G729" s="6" t="s">
        <v>2623</v>
      </c>
    </row>
    <row r="730" customFormat="false" ht="15" hidden="false" customHeight="true" outlineLevel="0" collapsed="false">
      <c r="A730" s="6" t="s">
        <v>3342</v>
      </c>
      <c r="B730" s="6" t="s">
        <v>343</v>
      </c>
      <c r="C730" s="6" t="s">
        <v>128</v>
      </c>
      <c r="D730" s="13" t="n">
        <v>45529</v>
      </c>
      <c r="E730" s="14" t="n">
        <v>4365.96</v>
      </c>
      <c r="F730" s="14" t="n">
        <v>23730.77</v>
      </c>
      <c r="G730" s="6" t="s">
        <v>2613</v>
      </c>
    </row>
    <row r="731" customFormat="false" ht="15" hidden="false" customHeight="true" outlineLevel="0" collapsed="false">
      <c r="A731" s="6" t="s">
        <v>3343</v>
      </c>
      <c r="B731" s="6" t="s">
        <v>343</v>
      </c>
      <c r="C731" s="6" t="s">
        <v>128</v>
      </c>
      <c r="D731" s="13" t="n">
        <v>45536</v>
      </c>
      <c r="E731" s="14" t="n">
        <v>6191.19</v>
      </c>
      <c r="F731" s="14" t="n">
        <v>29921.96</v>
      </c>
      <c r="G731" s="6" t="s">
        <v>2613</v>
      </c>
    </row>
    <row r="732" customFormat="false" ht="15" hidden="false" customHeight="true" outlineLevel="0" collapsed="false">
      <c r="A732" s="6" t="s">
        <v>3344</v>
      </c>
      <c r="B732" s="6" t="s">
        <v>343</v>
      </c>
      <c r="C732" s="6" t="s">
        <v>128</v>
      </c>
      <c r="D732" s="13" t="n">
        <v>45543</v>
      </c>
      <c r="E732" s="14" t="n">
        <v>5953.29</v>
      </c>
      <c r="F732" s="14" t="n">
        <v>35875.25</v>
      </c>
      <c r="G732" s="6" t="s">
        <v>2613</v>
      </c>
    </row>
    <row r="733" customFormat="false" ht="15" hidden="false" customHeight="true" outlineLevel="0" collapsed="false">
      <c r="A733" s="6" t="s">
        <v>3345</v>
      </c>
      <c r="B733" s="6" t="s">
        <v>343</v>
      </c>
      <c r="C733" s="6" t="s">
        <v>128</v>
      </c>
      <c r="D733" s="13" t="n">
        <v>45550</v>
      </c>
      <c r="E733" s="14" t="n">
        <v>4066.61</v>
      </c>
      <c r="F733" s="14" t="n">
        <v>39941.86</v>
      </c>
      <c r="G733" s="6" t="s">
        <v>2613</v>
      </c>
    </row>
    <row r="734" customFormat="false" ht="15" hidden="false" customHeight="true" outlineLevel="0" collapsed="false">
      <c r="A734" s="6" t="s">
        <v>3346</v>
      </c>
      <c r="B734" s="6" t="s">
        <v>345</v>
      </c>
      <c r="C734" s="6" t="s">
        <v>120</v>
      </c>
      <c r="D734" s="13" t="n">
        <v>45448</v>
      </c>
      <c r="E734" s="14" t="n">
        <v>1588.51</v>
      </c>
      <c r="F734" s="14" t="n">
        <v>1588.51</v>
      </c>
      <c r="G734" s="6" t="s">
        <v>2613</v>
      </c>
    </row>
    <row r="735" customFormat="false" ht="15" hidden="false" customHeight="true" outlineLevel="0" collapsed="false">
      <c r="A735" s="6" t="s">
        <v>3347</v>
      </c>
      <c r="B735" s="6" t="s">
        <v>345</v>
      </c>
      <c r="C735" s="6" t="s">
        <v>120</v>
      </c>
      <c r="D735" s="13" t="n">
        <v>45455</v>
      </c>
      <c r="E735" s="14" t="n">
        <v>2590.61</v>
      </c>
      <c r="F735" s="14" t="n">
        <v>4179.12</v>
      </c>
      <c r="G735" s="6" t="s">
        <v>2623</v>
      </c>
    </row>
    <row r="736" customFormat="false" ht="15" hidden="false" customHeight="true" outlineLevel="0" collapsed="false">
      <c r="A736" s="6" t="s">
        <v>3348</v>
      </c>
      <c r="B736" s="6" t="s">
        <v>345</v>
      </c>
      <c r="C736" s="6" t="s">
        <v>120</v>
      </c>
      <c r="D736" s="13" t="n">
        <v>45462</v>
      </c>
      <c r="E736" s="14" t="n">
        <v>1415.61</v>
      </c>
      <c r="F736" s="14" t="n">
        <v>5594.73</v>
      </c>
      <c r="G736" s="6" t="s">
        <v>2613</v>
      </c>
    </row>
    <row r="737" customFormat="false" ht="15" hidden="false" customHeight="true" outlineLevel="0" collapsed="false">
      <c r="A737" s="6" t="s">
        <v>3349</v>
      </c>
      <c r="B737" s="6" t="s">
        <v>345</v>
      </c>
      <c r="C737" s="6" t="s">
        <v>120</v>
      </c>
      <c r="D737" s="13" t="n">
        <v>45469</v>
      </c>
      <c r="E737" s="14" t="n">
        <v>1557.23</v>
      </c>
      <c r="F737" s="14" t="n">
        <v>7151.96</v>
      </c>
      <c r="G737" s="6" t="s">
        <v>2613</v>
      </c>
    </row>
    <row r="738" customFormat="false" ht="15" hidden="false" customHeight="true" outlineLevel="0" collapsed="false">
      <c r="A738" s="6" t="s">
        <v>3350</v>
      </c>
      <c r="B738" s="6" t="s">
        <v>345</v>
      </c>
      <c r="C738" s="6" t="s">
        <v>120</v>
      </c>
      <c r="D738" s="13" t="n">
        <v>45476</v>
      </c>
      <c r="E738" s="14" t="n">
        <v>2006.95</v>
      </c>
      <c r="F738" s="14" t="n">
        <v>9158.91</v>
      </c>
      <c r="G738" s="6" t="s">
        <v>2613</v>
      </c>
    </row>
    <row r="739" customFormat="false" ht="15" hidden="false" customHeight="true" outlineLevel="0" collapsed="false">
      <c r="A739" s="6" t="s">
        <v>3351</v>
      </c>
      <c r="B739" s="6" t="s">
        <v>345</v>
      </c>
      <c r="C739" s="6" t="s">
        <v>120</v>
      </c>
      <c r="D739" s="13" t="n">
        <v>45483</v>
      </c>
      <c r="E739" s="14" t="n">
        <v>2680.2</v>
      </c>
      <c r="F739" s="14" t="n">
        <v>11839.11</v>
      </c>
      <c r="G739" s="6" t="s">
        <v>2613</v>
      </c>
    </row>
    <row r="740" customFormat="false" ht="15" hidden="false" customHeight="true" outlineLevel="0" collapsed="false">
      <c r="A740" s="6" t="s">
        <v>3352</v>
      </c>
      <c r="B740" s="6" t="s">
        <v>345</v>
      </c>
      <c r="C740" s="6" t="s">
        <v>120</v>
      </c>
      <c r="D740" s="13" t="n">
        <v>45490</v>
      </c>
      <c r="E740" s="14" t="n">
        <v>2308.7</v>
      </c>
      <c r="F740" s="14" t="n">
        <v>14147.81</v>
      </c>
      <c r="G740" s="6" t="s">
        <v>2613</v>
      </c>
    </row>
    <row r="741" customFormat="false" ht="15" hidden="false" customHeight="true" outlineLevel="0" collapsed="false">
      <c r="A741" s="6" t="s">
        <v>3353</v>
      </c>
      <c r="B741" s="6" t="s">
        <v>345</v>
      </c>
      <c r="C741" s="6" t="s">
        <v>120</v>
      </c>
      <c r="D741" s="13" t="n">
        <v>45497</v>
      </c>
      <c r="E741" s="14" t="n">
        <v>2262.49</v>
      </c>
      <c r="F741" s="14" t="n">
        <v>16410.3</v>
      </c>
      <c r="G741" s="6" t="s">
        <v>2613</v>
      </c>
    </row>
    <row r="742" customFormat="false" ht="15" hidden="false" customHeight="true" outlineLevel="0" collapsed="false">
      <c r="A742" s="6" t="s">
        <v>3354</v>
      </c>
      <c r="B742" s="6" t="s">
        <v>345</v>
      </c>
      <c r="C742" s="6" t="s">
        <v>120</v>
      </c>
      <c r="D742" s="13" t="n">
        <v>45504</v>
      </c>
      <c r="E742" s="14" t="n">
        <v>1824.75</v>
      </c>
      <c r="F742" s="14" t="n">
        <v>18235.05</v>
      </c>
      <c r="G742" s="6" t="s">
        <v>2613</v>
      </c>
    </row>
    <row r="743" customFormat="false" ht="15" hidden="false" customHeight="true" outlineLevel="0" collapsed="false">
      <c r="A743" s="6" t="s">
        <v>3355</v>
      </c>
      <c r="B743" s="6" t="s">
        <v>345</v>
      </c>
      <c r="C743" s="6" t="s">
        <v>120</v>
      </c>
      <c r="D743" s="13" t="n">
        <v>45511</v>
      </c>
      <c r="E743" s="14" t="n">
        <v>2539.95</v>
      </c>
      <c r="F743" s="14" t="n">
        <v>20775</v>
      </c>
      <c r="G743" s="6" t="s">
        <v>2613</v>
      </c>
    </row>
    <row r="744" customFormat="false" ht="15" hidden="false" customHeight="true" outlineLevel="0" collapsed="false">
      <c r="A744" s="6" t="s">
        <v>3356</v>
      </c>
      <c r="B744" s="6" t="s">
        <v>347</v>
      </c>
      <c r="C744" s="6" t="s">
        <v>131</v>
      </c>
      <c r="D744" s="13" t="n">
        <v>45615</v>
      </c>
      <c r="E744" s="14" t="n">
        <v>5206.99</v>
      </c>
      <c r="F744" s="14" t="n">
        <v>5206.99</v>
      </c>
      <c r="G744" s="6" t="s">
        <v>2613</v>
      </c>
    </row>
    <row r="745" customFormat="false" ht="15" hidden="false" customHeight="true" outlineLevel="0" collapsed="false">
      <c r="A745" s="6" t="s">
        <v>3357</v>
      </c>
      <c r="B745" s="6" t="s">
        <v>347</v>
      </c>
      <c r="C745" s="6" t="s">
        <v>131</v>
      </c>
      <c r="D745" s="13" t="n">
        <v>45622</v>
      </c>
      <c r="E745" s="14" t="n">
        <v>4860.58</v>
      </c>
      <c r="F745" s="14" t="n">
        <v>10067.57</v>
      </c>
      <c r="G745" s="6" t="s">
        <v>2613</v>
      </c>
    </row>
    <row r="746" customFormat="false" ht="15" hidden="false" customHeight="true" outlineLevel="0" collapsed="false">
      <c r="A746" s="6" t="s">
        <v>3358</v>
      </c>
      <c r="B746" s="6" t="s">
        <v>347</v>
      </c>
      <c r="C746" s="6" t="s">
        <v>131</v>
      </c>
      <c r="D746" s="13" t="n">
        <v>45629</v>
      </c>
      <c r="E746" s="14" t="n">
        <v>6560.43</v>
      </c>
      <c r="F746" s="14" t="n">
        <v>16628</v>
      </c>
      <c r="G746" s="6" t="s">
        <v>2613</v>
      </c>
    </row>
    <row r="747" customFormat="false" ht="15" hidden="false" customHeight="true" outlineLevel="0" collapsed="false">
      <c r="A747" s="6" t="s">
        <v>3359</v>
      </c>
      <c r="B747" s="6" t="s">
        <v>347</v>
      </c>
      <c r="C747" s="6" t="s">
        <v>131</v>
      </c>
      <c r="D747" s="13" t="n">
        <v>45636</v>
      </c>
      <c r="E747" s="14" t="n">
        <v>3628.66</v>
      </c>
      <c r="F747" s="14" t="n">
        <v>20256.66</v>
      </c>
      <c r="G747" s="6" t="s">
        <v>2613</v>
      </c>
    </row>
    <row r="748" customFormat="false" ht="15" hidden="false" customHeight="true" outlineLevel="0" collapsed="false">
      <c r="A748" s="6" t="s">
        <v>3360</v>
      </c>
      <c r="B748" s="6" t="s">
        <v>347</v>
      </c>
      <c r="C748" s="6" t="s">
        <v>131</v>
      </c>
      <c r="D748" s="13" t="n">
        <v>45643</v>
      </c>
      <c r="E748" s="14" t="n">
        <v>4083.01</v>
      </c>
      <c r="F748" s="14" t="n">
        <v>24339.67</v>
      </c>
      <c r="G748" s="6" t="s">
        <v>2613</v>
      </c>
    </row>
    <row r="749" customFormat="false" ht="15" hidden="false" customHeight="true" outlineLevel="0" collapsed="false">
      <c r="A749" s="6" t="s">
        <v>3361</v>
      </c>
      <c r="B749" s="6" t="s">
        <v>347</v>
      </c>
      <c r="C749" s="6" t="s">
        <v>131</v>
      </c>
      <c r="D749" s="13" t="n">
        <v>45650</v>
      </c>
      <c r="E749" s="14" t="n">
        <v>5138.15</v>
      </c>
      <c r="F749" s="14" t="n">
        <v>29477.82</v>
      </c>
      <c r="G749" s="6" t="s">
        <v>2613</v>
      </c>
    </row>
    <row r="750" customFormat="false" ht="15" hidden="false" customHeight="true" outlineLevel="0" collapsed="false">
      <c r="A750" s="6" t="s">
        <v>3362</v>
      </c>
      <c r="B750" s="6" t="s">
        <v>349</v>
      </c>
      <c r="C750" s="6" t="s">
        <v>128</v>
      </c>
      <c r="D750" s="13" t="n">
        <v>45420</v>
      </c>
      <c r="E750" s="14" t="n">
        <v>8335.2</v>
      </c>
      <c r="F750" s="14" t="n">
        <v>8335.2</v>
      </c>
      <c r="G750" s="6" t="s">
        <v>2613</v>
      </c>
    </row>
    <row r="751" customFormat="false" ht="15" hidden="false" customHeight="true" outlineLevel="0" collapsed="false">
      <c r="A751" s="6" t="s">
        <v>3363</v>
      </c>
      <c r="B751" s="6" t="s">
        <v>349</v>
      </c>
      <c r="C751" s="6" t="s">
        <v>128</v>
      </c>
      <c r="D751" s="13" t="n">
        <v>45427</v>
      </c>
      <c r="E751" s="14" t="n">
        <v>14047.62</v>
      </c>
      <c r="F751" s="14" t="n">
        <v>22382.82</v>
      </c>
      <c r="G751" s="6" t="s">
        <v>2613</v>
      </c>
    </row>
    <row r="752" customFormat="false" ht="15" hidden="false" customHeight="true" outlineLevel="0" collapsed="false">
      <c r="A752" s="6" t="s">
        <v>3364</v>
      </c>
      <c r="B752" s="6" t="s">
        <v>349</v>
      </c>
      <c r="C752" s="6" t="s">
        <v>128</v>
      </c>
      <c r="D752" s="13" t="n">
        <v>45434</v>
      </c>
      <c r="E752" s="14" t="n">
        <v>7112.45</v>
      </c>
      <c r="F752" s="14" t="n">
        <v>29495.27</v>
      </c>
      <c r="G752" s="6" t="s">
        <v>2613</v>
      </c>
    </row>
    <row r="753" customFormat="false" ht="15" hidden="false" customHeight="true" outlineLevel="0" collapsed="false">
      <c r="A753" s="6" t="s">
        <v>3365</v>
      </c>
      <c r="B753" s="6" t="s">
        <v>349</v>
      </c>
      <c r="C753" s="6" t="s">
        <v>128</v>
      </c>
      <c r="D753" s="13" t="n">
        <v>45441</v>
      </c>
      <c r="E753" s="14" t="n">
        <v>9438.53</v>
      </c>
      <c r="F753" s="14" t="n">
        <v>38933.8</v>
      </c>
      <c r="G753" s="6" t="s">
        <v>2613</v>
      </c>
    </row>
    <row r="754" customFormat="false" ht="15" hidden="false" customHeight="true" outlineLevel="0" collapsed="false">
      <c r="A754" s="6" t="s">
        <v>3366</v>
      </c>
      <c r="B754" s="6" t="s">
        <v>349</v>
      </c>
      <c r="C754" s="6" t="s">
        <v>128</v>
      </c>
      <c r="D754" s="13" t="n">
        <v>45448</v>
      </c>
      <c r="E754" s="14" t="n">
        <v>11955.48</v>
      </c>
      <c r="F754" s="14" t="n">
        <v>50889.28</v>
      </c>
      <c r="G754" s="6" t="s">
        <v>2613</v>
      </c>
    </row>
    <row r="755" customFormat="false" ht="15" hidden="false" customHeight="true" outlineLevel="0" collapsed="false">
      <c r="A755" s="6" t="s">
        <v>3367</v>
      </c>
      <c r="B755" s="6" t="s">
        <v>349</v>
      </c>
      <c r="C755" s="6" t="s">
        <v>128</v>
      </c>
      <c r="D755" s="13" t="n">
        <v>45455</v>
      </c>
      <c r="E755" s="14" t="n">
        <v>11316.32</v>
      </c>
      <c r="F755" s="14" t="n">
        <v>62205.6</v>
      </c>
      <c r="G755" s="6" t="s">
        <v>2613</v>
      </c>
    </row>
    <row r="756" customFormat="false" ht="15" hidden="false" customHeight="true" outlineLevel="0" collapsed="false">
      <c r="A756" s="6" t="s">
        <v>3368</v>
      </c>
      <c r="B756" s="6" t="s">
        <v>349</v>
      </c>
      <c r="C756" s="6" t="s">
        <v>128</v>
      </c>
      <c r="D756" s="13" t="n">
        <v>45462</v>
      </c>
      <c r="E756" s="14" t="n">
        <v>12019.67</v>
      </c>
      <c r="F756" s="14" t="n">
        <v>74225.27</v>
      </c>
      <c r="G756" s="6" t="s">
        <v>2613</v>
      </c>
    </row>
    <row r="757" customFormat="false" ht="15" hidden="false" customHeight="true" outlineLevel="0" collapsed="false">
      <c r="A757" s="6" t="s">
        <v>3369</v>
      </c>
      <c r="B757" s="6" t="s">
        <v>349</v>
      </c>
      <c r="C757" s="6" t="s">
        <v>128</v>
      </c>
      <c r="D757" s="13" t="n">
        <v>45469</v>
      </c>
      <c r="E757" s="14" t="n">
        <v>11750.62</v>
      </c>
      <c r="F757" s="14" t="n">
        <v>85975.89</v>
      </c>
      <c r="G757" s="6" t="s">
        <v>2613</v>
      </c>
    </row>
    <row r="758" customFormat="false" ht="15" hidden="false" customHeight="true" outlineLevel="0" collapsed="false">
      <c r="A758" s="6" t="s">
        <v>3370</v>
      </c>
      <c r="B758" s="6" t="s">
        <v>349</v>
      </c>
      <c r="C758" s="6" t="s">
        <v>128</v>
      </c>
      <c r="D758" s="13" t="n">
        <v>45476</v>
      </c>
      <c r="E758" s="14" t="n">
        <v>11740.96</v>
      </c>
      <c r="F758" s="14" t="n">
        <v>97716.85</v>
      </c>
      <c r="G758" s="6" t="s">
        <v>2613</v>
      </c>
    </row>
    <row r="759" customFormat="false" ht="15" hidden="false" customHeight="true" outlineLevel="0" collapsed="false">
      <c r="A759" s="6" t="s">
        <v>3371</v>
      </c>
      <c r="B759" s="6" t="s">
        <v>349</v>
      </c>
      <c r="C759" s="6" t="s">
        <v>128</v>
      </c>
      <c r="D759" s="13" t="n">
        <v>45483</v>
      </c>
      <c r="E759" s="14" t="n">
        <v>15872.25</v>
      </c>
      <c r="F759" s="14" t="n">
        <v>113589.1</v>
      </c>
      <c r="G759" s="6" t="s">
        <v>2613</v>
      </c>
    </row>
    <row r="760" customFormat="false" ht="15" hidden="false" customHeight="true" outlineLevel="0" collapsed="false">
      <c r="A760" s="6" t="s">
        <v>3372</v>
      </c>
      <c r="B760" s="6" t="s">
        <v>351</v>
      </c>
      <c r="C760" s="6" t="s">
        <v>124</v>
      </c>
      <c r="D760" s="13" t="n">
        <v>44747</v>
      </c>
      <c r="E760" s="14" t="n">
        <v>1711.27</v>
      </c>
      <c r="F760" s="14" t="n">
        <v>1711.27</v>
      </c>
      <c r="G760" s="6" t="s">
        <v>2613</v>
      </c>
    </row>
    <row r="761" customFormat="false" ht="15" hidden="false" customHeight="true" outlineLevel="0" collapsed="false">
      <c r="A761" s="6" t="s">
        <v>3373</v>
      </c>
      <c r="B761" s="6" t="s">
        <v>351</v>
      </c>
      <c r="C761" s="6" t="s">
        <v>124</v>
      </c>
      <c r="D761" s="13" t="n">
        <v>44754</v>
      </c>
      <c r="E761" s="14" t="n">
        <v>1750.6</v>
      </c>
      <c r="F761" s="14" t="n">
        <v>3461.87</v>
      </c>
      <c r="G761" s="6" t="s">
        <v>2613</v>
      </c>
    </row>
    <row r="762" customFormat="false" ht="15" hidden="false" customHeight="true" outlineLevel="0" collapsed="false">
      <c r="A762" s="6" t="s">
        <v>3374</v>
      </c>
      <c r="B762" s="6" t="s">
        <v>351</v>
      </c>
      <c r="C762" s="6" t="s">
        <v>124</v>
      </c>
      <c r="D762" s="13" t="n">
        <v>44761</v>
      </c>
      <c r="E762" s="14" t="n">
        <v>1234.55</v>
      </c>
      <c r="F762" s="14" t="n">
        <v>4696.42</v>
      </c>
      <c r="G762" s="6" t="s">
        <v>2613</v>
      </c>
    </row>
    <row r="763" customFormat="false" ht="15" hidden="false" customHeight="true" outlineLevel="0" collapsed="false">
      <c r="A763" s="6" t="s">
        <v>3375</v>
      </c>
      <c r="B763" s="6" t="s">
        <v>351</v>
      </c>
      <c r="C763" s="6" t="s">
        <v>124</v>
      </c>
      <c r="D763" s="13" t="n">
        <v>44768</v>
      </c>
      <c r="E763" s="14" t="n">
        <v>1551.02</v>
      </c>
      <c r="F763" s="14" t="n">
        <v>6247.44</v>
      </c>
      <c r="G763" s="6" t="s">
        <v>2613</v>
      </c>
    </row>
    <row r="764" customFormat="false" ht="15" hidden="false" customHeight="true" outlineLevel="0" collapsed="false">
      <c r="A764" s="6" t="s">
        <v>3376</v>
      </c>
      <c r="B764" s="6" t="s">
        <v>351</v>
      </c>
      <c r="C764" s="6" t="s">
        <v>124</v>
      </c>
      <c r="D764" s="13" t="n">
        <v>44775</v>
      </c>
      <c r="E764" s="14" t="n">
        <v>997.43</v>
      </c>
      <c r="F764" s="14" t="n">
        <v>7244.87</v>
      </c>
      <c r="G764" s="6" t="s">
        <v>2613</v>
      </c>
    </row>
    <row r="765" customFormat="false" ht="15" hidden="false" customHeight="true" outlineLevel="0" collapsed="false">
      <c r="A765" s="6" t="s">
        <v>3377</v>
      </c>
      <c r="B765" s="6" t="s">
        <v>351</v>
      </c>
      <c r="C765" s="6" t="s">
        <v>124</v>
      </c>
      <c r="D765" s="13" t="n">
        <v>44782</v>
      </c>
      <c r="E765" s="14" t="n">
        <v>1073.38</v>
      </c>
      <c r="F765" s="14" t="n">
        <v>8318.25</v>
      </c>
      <c r="G765" s="6" t="s">
        <v>2623</v>
      </c>
    </row>
    <row r="766" customFormat="false" ht="15" hidden="false" customHeight="true" outlineLevel="0" collapsed="false">
      <c r="A766" s="6" t="s">
        <v>3378</v>
      </c>
      <c r="B766" s="6" t="s">
        <v>351</v>
      </c>
      <c r="C766" s="6" t="s">
        <v>124</v>
      </c>
      <c r="D766" s="13" t="n">
        <v>44789</v>
      </c>
      <c r="E766" s="14" t="n">
        <v>1496.42</v>
      </c>
      <c r="F766" s="14" t="n">
        <v>9814.67</v>
      </c>
      <c r="G766" s="6" t="s">
        <v>2613</v>
      </c>
    </row>
    <row r="767" customFormat="false" ht="15" hidden="false" customHeight="true" outlineLevel="0" collapsed="false">
      <c r="A767" s="6" t="s">
        <v>3379</v>
      </c>
      <c r="B767" s="6" t="s">
        <v>353</v>
      </c>
      <c r="C767" s="6" t="s">
        <v>120</v>
      </c>
      <c r="D767" s="13" t="n">
        <v>45136</v>
      </c>
      <c r="E767" s="14" t="n">
        <v>3334.91</v>
      </c>
      <c r="F767" s="14" t="n">
        <v>3334.91</v>
      </c>
      <c r="G767" s="6" t="s">
        <v>2613</v>
      </c>
    </row>
    <row r="768" customFormat="false" ht="15" hidden="false" customHeight="true" outlineLevel="0" collapsed="false">
      <c r="A768" s="6" t="s">
        <v>3380</v>
      </c>
      <c r="B768" s="6" t="s">
        <v>353</v>
      </c>
      <c r="C768" s="6" t="s">
        <v>120</v>
      </c>
      <c r="D768" s="13" t="n">
        <v>45143</v>
      </c>
      <c r="E768" s="14" t="n">
        <v>3015.71</v>
      </c>
      <c r="F768" s="14" t="n">
        <v>6350.62</v>
      </c>
      <c r="G768" s="6" t="s">
        <v>2613</v>
      </c>
    </row>
    <row r="769" customFormat="false" ht="15" hidden="false" customHeight="true" outlineLevel="0" collapsed="false">
      <c r="A769" s="6" t="s">
        <v>3381</v>
      </c>
      <c r="B769" s="6" t="s">
        <v>353</v>
      </c>
      <c r="C769" s="6" t="s">
        <v>120</v>
      </c>
      <c r="D769" s="13" t="n">
        <v>45150</v>
      </c>
      <c r="E769" s="14" t="n">
        <v>3119.05</v>
      </c>
      <c r="F769" s="14" t="n">
        <v>9469.67</v>
      </c>
      <c r="G769" s="6" t="s">
        <v>2613</v>
      </c>
    </row>
    <row r="770" customFormat="false" ht="15" hidden="false" customHeight="true" outlineLevel="0" collapsed="false">
      <c r="A770" s="6" t="s">
        <v>3382</v>
      </c>
      <c r="B770" s="6" t="s">
        <v>353</v>
      </c>
      <c r="C770" s="6" t="s">
        <v>120</v>
      </c>
      <c r="D770" s="13" t="n">
        <v>45157</v>
      </c>
      <c r="E770" s="14" t="n">
        <v>2557.72</v>
      </c>
      <c r="F770" s="14" t="n">
        <v>12027.39</v>
      </c>
      <c r="G770" s="6" t="s">
        <v>2613</v>
      </c>
    </row>
    <row r="771" customFormat="false" ht="15" hidden="false" customHeight="true" outlineLevel="0" collapsed="false">
      <c r="A771" s="6" t="s">
        <v>3383</v>
      </c>
      <c r="B771" s="6" t="s">
        <v>353</v>
      </c>
      <c r="C771" s="6" t="s">
        <v>120</v>
      </c>
      <c r="D771" s="13" t="n">
        <v>45164</v>
      </c>
      <c r="E771" s="14" t="n">
        <v>2102.21</v>
      </c>
      <c r="F771" s="14" t="n">
        <v>14129.6</v>
      </c>
      <c r="G771" s="6" t="s">
        <v>2613</v>
      </c>
    </row>
    <row r="772" customFormat="false" ht="15" hidden="false" customHeight="true" outlineLevel="0" collapsed="false">
      <c r="A772" s="6" t="s">
        <v>3384</v>
      </c>
      <c r="B772" s="6" t="s">
        <v>353</v>
      </c>
      <c r="C772" s="6" t="s">
        <v>120</v>
      </c>
      <c r="D772" s="13" t="n">
        <v>45171</v>
      </c>
      <c r="E772" s="14" t="n">
        <v>2480.41</v>
      </c>
      <c r="F772" s="14" t="n">
        <v>16610.01</v>
      </c>
      <c r="G772" s="6" t="s">
        <v>2613</v>
      </c>
    </row>
    <row r="773" customFormat="false" ht="15" hidden="false" customHeight="true" outlineLevel="0" collapsed="false">
      <c r="A773" s="6" t="s">
        <v>3385</v>
      </c>
      <c r="B773" s="6" t="s">
        <v>353</v>
      </c>
      <c r="C773" s="6" t="s">
        <v>120</v>
      </c>
      <c r="D773" s="13" t="n">
        <v>45178</v>
      </c>
      <c r="E773" s="14" t="n">
        <v>3363.9</v>
      </c>
      <c r="F773" s="14" t="n">
        <v>19973.91</v>
      </c>
      <c r="G773" s="6" t="s">
        <v>2623</v>
      </c>
    </row>
    <row r="774" customFormat="false" ht="15" hidden="false" customHeight="true" outlineLevel="0" collapsed="false">
      <c r="A774" s="6" t="s">
        <v>3386</v>
      </c>
      <c r="B774" s="6" t="s">
        <v>353</v>
      </c>
      <c r="C774" s="6" t="s">
        <v>120</v>
      </c>
      <c r="D774" s="13" t="n">
        <v>45185</v>
      </c>
      <c r="E774" s="14" t="n">
        <v>2611.7</v>
      </c>
      <c r="F774" s="14" t="n">
        <v>22585.61</v>
      </c>
      <c r="G774" s="6" t="s">
        <v>2613</v>
      </c>
    </row>
    <row r="775" customFormat="false" ht="15" hidden="false" customHeight="true" outlineLevel="0" collapsed="false">
      <c r="A775" s="6" t="s">
        <v>3387</v>
      </c>
      <c r="B775" s="6" t="s">
        <v>353</v>
      </c>
      <c r="C775" s="6" t="s">
        <v>120</v>
      </c>
      <c r="D775" s="13" t="n">
        <v>45192</v>
      </c>
      <c r="E775" s="14" t="n">
        <v>3479.89</v>
      </c>
      <c r="F775" s="14" t="n">
        <v>26065.5</v>
      </c>
      <c r="G775" s="6" t="s">
        <v>2613</v>
      </c>
    </row>
    <row r="776" customFormat="false" ht="15" hidden="false" customHeight="true" outlineLevel="0" collapsed="false">
      <c r="A776" s="6" t="s">
        <v>3388</v>
      </c>
      <c r="B776" s="6" t="s">
        <v>353</v>
      </c>
      <c r="C776" s="6" t="s">
        <v>120</v>
      </c>
      <c r="D776" s="13" t="n">
        <v>45199</v>
      </c>
      <c r="E776" s="14" t="n">
        <v>3508.61</v>
      </c>
      <c r="F776" s="14" t="n">
        <v>29574.11</v>
      </c>
      <c r="G776" s="6" t="s">
        <v>2613</v>
      </c>
    </row>
    <row r="777" customFormat="false" ht="15" hidden="false" customHeight="true" outlineLevel="0" collapsed="false">
      <c r="A777" s="6" t="s">
        <v>3389</v>
      </c>
      <c r="B777" s="6" t="s">
        <v>353</v>
      </c>
      <c r="C777" s="6" t="s">
        <v>120</v>
      </c>
      <c r="D777" s="13" t="n">
        <v>45206</v>
      </c>
      <c r="E777" s="14" t="n">
        <v>1552.79</v>
      </c>
      <c r="F777" s="14" t="n">
        <v>31126.9</v>
      </c>
      <c r="G777" s="6" t="s">
        <v>2613</v>
      </c>
    </row>
    <row r="778" customFormat="false" ht="15" hidden="false" customHeight="true" outlineLevel="0" collapsed="false">
      <c r="A778" s="6" t="s">
        <v>3390</v>
      </c>
      <c r="B778" s="6" t="s">
        <v>353</v>
      </c>
      <c r="C778" s="6" t="s">
        <v>120</v>
      </c>
      <c r="D778" s="13" t="n">
        <v>45213</v>
      </c>
      <c r="E778" s="14" t="n">
        <v>2406.3</v>
      </c>
      <c r="F778" s="14" t="n">
        <v>33533.2</v>
      </c>
      <c r="G778" s="6" t="s">
        <v>2613</v>
      </c>
    </row>
    <row r="779" customFormat="false" ht="15" hidden="false" customHeight="true" outlineLevel="0" collapsed="false">
      <c r="A779" s="6" t="s">
        <v>3391</v>
      </c>
      <c r="B779" s="6" t="s">
        <v>355</v>
      </c>
      <c r="C779" s="6" t="s">
        <v>124</v>
      </c>
      <c r="D779" s="13" t="n">
        <v>44836</v>
      </c>
      <c r="E779" s="14" t="n">
        <v>7415.04</v>
      </c>
      <c r="F779" s="14" t="n">
        <v>7415.04</v>
      </c>
      <c r="G779" s="6" t="s">
        <v>2613</v>
      </c>
    </row>
    <row r="780" customFormat="false" ht="15" hidden="false" customHeight="true" outlineLevel="0" collapsed="false">
      <c r="A780" s="6" t="s">
        <v>3392</v>
      </c>
      <c r="B780" s="6" t="s">
        <v>355</v>
      </c>
      <c r="C780" s="6" t="s">
        <v>124</v>
      </c>
      <c r="D780" s="13" t="n">
        <v>44843</v>
      </c>
      <c r="E780" s="14" t="n">
        <v>5412.84</v>
      </c>
      <c r="F780" s="14" t="n">
        <v>12827.88</v>
      </c>
      <c r="G780" s="6" t="s">
        <v>2623</v>
      </c>
    </row>
    <row r="781" customFormat="false" ht="15" hidden="false" customHeight="true" outlineLevel="0" collapsed="false">
      <c r="A781" s="6" t="s">
        <v>3393</v>
      </c>
      <c r="B781" s="6" t="s">
        <v>355</v>
      </c>
      <c r="C781" s="6" t="s">
        <v>124</v>
      </c>
      <c r="D781" s="13" t="n">
        <v>44850</v>
      </c>
      <c r="E781" s="14" t="n">
        <v>10399.05</v>
      </c>
      <c r="F781" s="14" t="n">
        <v>23226.93</v>
      </c>
      <c r="G781" s="6" t="s">
        <v>2613</v>
      </c>
    </row>
    <row r="782" customFormat="false" ht="15" hidden="false" customHeight="true" outlineLevel="0" collapsed="false">
      <c r="A782" s="6" t="s">
        <v>3394</v>
      </c>
      <c r="B782" s="6" t="s">
        <v>355</v>
      </c>
      <c r="C782" s="6" t="s">
        <v>124</v>
      </c>
      <c r="D782" s="13" t="n">
        <v>44857</v>
      </c>
      <c r="E782" s="14" t="n">
        <v>5926.92</v>
      </c>
      <c r="F782" s="14" t="n">
        <v>29153.85</v>
      </c>
      <c r="G782" s="6" t="s">
        <v>2613</v>
      </c>
    </row>
    <row r="783" customFormat="false" ht="15" hidden="false" customHeight="true" outlineLevel="0" collapsed="false">
      <c r="A783" s="6" t="s">
        <v>3395</v>
      </c>
      <c r="B783" s="6" t="s">
        <v>355</v>
      </c>
      <c r="C783" s="6" t="s">
        <v>124</v>
      </c>
      <c r="D783" s="13" t="n">
        <v>44864</v>
      </c>
      <c r="E783" s="14" t="n">
        <v>8076.36</v>
      </c>
      <c r="F783" s="14" t="n">
        <v>37230.21</v>
      </c>
      <c r="G783" s="6" t="s">
        <v>2623</v>
      </c>
    </row>
    <row r="784" customFormat="false" ht="15" hidden="false" customHeight="true" outlineLevel="0" collapsed="false">
      <c r="A784" s="6" t="s">
        <v>3396</v>
      </c>
      <c r="B784" s="6" t="s">
        <v>355</v>
      </c>
      <c r="C784" s="6" t="s">
        <v>124</v>
      </c>
      <c r="D784" s="13" t="n">
        <v>44871</v>
      </c>
      <c r="E784" s="14" t="n">
        <v>13616.28</v>
      </c>
      <c r="F784" s="14" t="n">
        <v>50846.49</v>
      </c>
      <c r="G784" s="6" t="s">
        <v>2613</v>
      </c>
    </row>
    <row r="785" customFormat="false" ht="15" hidden="false" customHeight="true" outlineLevel="0" collapsed="false">
      <c r="A785" s="6" t="s">
        <v>3397</v>
      </c>
      <c r="B785" s="6" t="s">
        <v>357</v>
      </c>
      <c r="C785" s="6" t="s">
        <v>116</v>
      </c>
      <c r="D785" s="13" t="n">
        <v>45897</v>
      </c>
      <c r="E785" s="14" t="n">
        <v>2392.79</v>
      </c>
      <c r="F785" s="14" t="n">
        <v>2392.79</v>
      </c>
      <c r="G785" s="6" t="s">
        <v>2613</v>
      </c>
    </row>
    <row r="786" customFormat="false" ht="15" hidden="false" customHeight="true" outlineLevel="0" collapsed="false">
      <c r="A786" s="6" t="s">
        <v>3398</v>
      </c>
      <c r="B786" s="6" t="s">
        <v>357</v>
      </c>
      <c r="C786" s="6" t="s">
        <v>116</v>
      </c>
      <c r="D786" s="13" t="n">
        <v>45904</v>
      </c>
      <c r="E786" s="14" t="n">
        <v>2231.01</v>
      </c>
      <c r="F786" s="14" t="n">
        <v>4623.8</v>
      </c>
      <c r="G786" s="6" t="s">
        <v>2613</v>
      </c>
    </row>
    <row r="787" customFormat="false" ht="15" hidden="false" customHeight="true" outlineLevel="0" collapsed="false">
      <c r="A787" s="6" t="s">
        <v>3399</v>
      </c>
      <c r="B787" s="6" t="s">
        <v>357</v>
      </c>
      <c r="C787" s="6" t="s">
        <v>116</v>
      </c>
      <c r="D787" s="13" t="n">
        <v>45911</v>
      </c>
      <c r="E787" s="14" t="n">
        <v>3295.46</v>
      </c>
      <c r="F787" s="14" t="n">
        <v>7919.26</v>
      </c>
      <c r="G787" s="6" t="s">
        <v>2623</v>
      </c>
    </row>
    <row r="788" customFormat="false" ht="15" hidden="false" customHeight="true" outlineLevel="0" collapsed="false">
      <c r="A788" s="6" t="s">
        <v>3400</v>
      </c>
      <c r="B788" s="6" t="s">
        <v>357</v>
      </c>
      <c r="C788" s="6" t="s">
        <v>116</v>
      </c>
      <c r="D788" s="13" t="n">
        <v>45918</v>
      </c>
      <c r="E788" s="14" t="n">
        <v>2781.11</v>
      </c>
      <c r="F788" s="14" t="n">
        <v>10700.37</v>
      </c>
      <c r="G788" s="6" t="s">
        <v>2613</v>
      </c>
    </row>
    <row r="789" customFormat="false" ht="15" hidden="false" customHeight="true" outlineLevel="0" collapsed="false">
      <c r="A789" s="6" t="s">
        <v>3401</v>
      </c>
      <c r="B789" s="6" t="s">
        <v>357</v>
      </c>
      <c r="C789" s="6" t="s">
        <v>116</v>
      </c>
      <c r="D789" s="13" t="n">
        <v>45925</v>
      </c>
      <c r="E789" s="14" t="n">
        <v>2212.98</v>
      </c>
      <c r="F789" s="14" t="n">
        <v>12913.35</v>
      </c>
      <c r="G789" s="6" t="s">
        <v>2613</v>
      </c>
    </row>
    <row r="790" customFormat="false" ht="15" hidden="false" customHeight="true" outlineLevel="0" collapsed="false">
      <c r="A790" s="6" t="s">
        <v>3402</v>
      </c>
      <c r="B790" s="6" t="s">
        <v>357</v>
      </c>
      <c r="C790" s="6" t="s">
        <v>116</v>
      </c>
      <c r="D790" s="13" t="n">
        <v>45932</v>
      </c>
      <c r="E790" s="14" t="n">
        <v>1721.27</v>
      </c>
      <c r="F790" s="14" t="n">
        <v>14634.62</v>
      </c>
      <c r="G790" s="6" t="s">
        <v>2613</v>
      </c>
    </row>
    <row r="791" customFormat="false" ht="15" hidden="false" customHeight="true" outlineLevel="0" collapsed="false">
      <c r="A791" s="6" t="s">
        <v>3403</v>
      </c>
      <c r="B791" s="6" t="s">
        <v>357</v>
      </c>
      <c r="C791" s="6" t="s">
        <v>116</v>
      </c>
      <c r="D791" s="13" t="n">
        <v>45939</v>
      </c>
      <c r="E791" s="14" t="n">
        <v>3552.56</v>
      </c>
      <c r="F791" s="14" t="n">
        <v>18187.18</v>
      </c>
      <c r="G791" s="6" t="s">
        <v>2613</v>
      </c>
    </row>
    <row r="792" customFormat="false" ht="15" hidden="false" customHeight="true" outlineLevel="0" collapsed="false">
      <c r="A792" s="6" t="s">
        <v>3404</v>
      </c>
      <c r="B792" s="6" t="s">
        <v>357</v>
      </c>
      <c r="C792" s="6" t="s">
        <v>116</v>
      </c>
      <c r="D792" s="13" t="n">
        <v>45946</v>
      </c>
      <c r="E792" s="14" t="n">
        <v>4482.33</v>
      </c>
      <c r="F792" s="14" t="n">
        <v>22669.51</v>
      </c>
      <c r="G792" s="6" t="s">
        <v>2613</v>
      </c>
    </row>
    <row r="793" customFormat="false" ht="15" hidden="false" customHeight="true" outlineLevel="0" collapsed="false">
      <c r="A793" s="6" t="s">
        <v>3405</v>
      </c>
      <c r="B793" s="6" t="s">
        <v>359</v>
      </c>
      <c r="C793" s="6" t="s">
        <v>116</v>
      </c>
      <c r="D793" s="13" t="n">
        <v>46111</v>
      </c>
      <c r="E793" s="14" t="n">
        <v>2180.24</v>
      </c>
      <c r="F793" s="14" t="n">
        <v>2180.24</v>
      </c>
      <c r="G793" s="6" t="s">
        <v>2623</v>
      </c>
    </row>
    <row r="794" customFormat="false" ht="15" hidden="false" customHeight="true" outlineLevel="0" collapsed="false">
      <c r="A794" s="6" t="s">
        <v>3406</v>
      </c>
      <c r="B794" s="6" t="s">
        <v>359</v>
      </c>
      <c r="C794" s="6" t="s">
        <v>116</v>
      </c>
      <c r="D794" s="13" t="n">
        <v>46118</v>
      </c>
      <c r="E794" s="14" t="n">
        <v>2006.31</v>
      </c>
      <c r="F794" s="14" t="n">
        <v>4186.55</v>
      </c>
      <c r="G794" s="6" t="s">
        <v>2613</v>
      </c>
    </row>
    <row r="795" customFormat="false" ht="15" hidden="false" customHeight="true" outlineLevel="0" collapsed="false">
      <c r="A795" s="6" t="s">
        <v>3407</v>
      </c>
      <c r="B795" s="6" t="s">
        <v>359</v>
      </c>
      <c r="C795" s="6" t="s">
        <v>116</v>
      </c>
      <c r="D795" s="13" t="n">
        <v>46125</v>
      </c>
      <c r="E795" s="14" t="n">
        <v>1396.49</v>
      </c>
      <c r="F795" s="14" t="n">
        <v>5583.04</v>
      </c>
      <c r="G795" s="6" t="s">
        <v>2613</v>
      </c>
    </row>
    <row r="796" customFormat="false" ht="15" hidden="false" customHeight="true" outlineLevel="0" collapsed="false">
      <c r="A796" s="6" t="s">
        <v>3408</v>
      </c>
      <c r="B796" s="6" t="s">
        <v>359</v>
      </c>
      <c r="C796" s="6" t="s">
        <v>116</v>
      </c>
      <c r="D796" s="13" t="n">
        <v>46132</v>
      </c>
      <c r="E796" s="14" t="n">
        <v>1471.26</v>
      </c>
      <c r="F796" s="14" t="n">
        <v>7054.3</v>
      </c>
      <c r="G796" s="6" t="s">
        <v>2613</v>
      </c>
    </row>
    <row r="797" customFormat="false" ht="15" hidden="false" customHeight="true" outlineLevel="0" collapsed="false">
      <c r="A797" s="6" t="s">
        <v>3409</v>
      </c>
      <c r="B797" s="6" t="s">
        <v>359</v>
      </c>
      <c r="C797" s="6" t="s">
        <v>116</v>
      </c>
      <c r="D797" s="13" t="n">
        <v>46139</v>
      </c>
      <c r="E797" s="14" t="n">
        <v>2551.1</v>
      </c>
      <c r="F797" s="14" t="n">
        <v>9605.4</v>
      </c>
      <c r="G797" s="6" t="s">
        <v>2613</v>
      </c>
    </row>
    <row r="798" customFormat="false" ht="15" hidden="false" customHeight="true" outlineLevel="0" collapsed="false">
      <c r="A798" s="6" t="s">
        <v>3410</v>
      </c>
      <c r="B798" s="6" t="s">
        <v>359</v>
      </c>
      <c r="C798" s="6" t="s">
        <v>116</v>
      </c>
      <c r="D798" s="13" t="n">
        <v>46146</v>
      </c>
      <c r="E798" s="14" t="n">
        <v>1821.6</v>
      </c>
      <c r="F798" s="14" t="n">
        <v>11427</v>
      </c>
      <c r="G798" s="6" t="s">
        <v>2613</v>
      </c>
    </row>
    <row r="799" customFormat="false" ht="15" hidden="false" customHeight="true" outlineLevel="0" collapsed="false">
      <c r="A799" s="6" t="s">
        <v>3411</v>
      </c>
      <c r="B799" s="6" t="s">
        <v>359</v>
      </c>
      <c r="C799" s="6" t="s">
        <v>116</v>
      </c>
      <c r="D799" s="13" t="n">
        <v>46153</v>
      </c>
      <c r="E799" s="14" t="n">
        <v>2515.5</v>
      </c>
      <c r="F799" s="14" t="n">
        <v>13942.5</v>
      </c>
      <c r="G799" s="6" t="s">
        <v>2613</v>
      </c>
    </row>
    <row r="800" customFormat="false" ht="15" hidden="false" customHeight="true" outlineLevel="0" collapsed="false">
      <c r="A800" s="6" t="s">
        <v>3412</v>
      </c>
      <c r="B800" s="6" t="s">
        <v>359</v>
      </c>
      <c r="C800" s="6" t="s">
        <v>116</v>
      </c>
      <c r="D800" s="13" t="n">
        <v>46160</v>
      </c>
      <c r="E800" s="14" t="n">
        <v>1334.49</v>
      </c>
      <c r="F800" s="14" t="n">
        <v>15276.99</v>
      </c>
      <c r="G800" s="6" t="s">
        <v>2613</v>
      </c>
    </row>
    <row r="801" customFormat="false" ht="15" hidden="false" customHeight="true" outlineLevel="0" collapsed="false">
      <c r="A801" s="6" t="s">
        <v>3413</v>
      </c>
      <c r="B801" s="6" t="s">
        <v>361</v>
      </c>
      <c r="C801" s="6" t="s">
        <v>131</v>
      </c>
      <c r="D801" s="13" t="n">
        <v>45152</v>
      </c>
      <c r="E801" s="14" t="n">
        <v>13572.58</v>
      </c>
      <c r="F801" s="14" t="n">
        <v>13572.58</v>
      </c>
      <c r="G801" s="6" t="s">
        <v>2613</v>
      </c>
    </row>
    <row r="802" customFormat="false" ht="15" hidden="false" customHeight="true" outlineLevel="0" collapsed="false">
      <c r="A802" s="6" t="s">
        <v>3414</v>
      </c>
      <c r="B802" s="6" t="s">
        <v>361</v>
      </c>
      <c r="C802" s="6" t="s">
        <v>131</v>
      </c>
      <c r="D802" s="13" t="n">
        <v>45159</v>
      </c>
      <c r="E802" s="14" t="n">
        <v>8932.76</v>
      </c>
      <c r="F802" s="14" t="n">
        <v>22505.34</v>
      </c>
      <c r="G802" s="6" t="s">
        <v>2613</v>
      </c>
    </row>
    <row r="803" customFormat="false" ht="15" hidden="false" customHeight="true" outlineLevel="0" collapsed="false">
      <c r="A803" s="6" t="s">
        <v>3415</v>
      </c>
      <c r="B803" s="6" t="s">
        <v>361</v>
      </c>
      <c r="C803" s="6" t="s">
        <v>131</v>
      </c>
      <c r="D803" s="13" t="n">
        <v>45166</v>
      </c>
      <c r="E803" s="14" t="n">
        <v>9347.35</v>
      </c>
      <c r="F803" s="14" t="n">
        <v>31852.69</v>
      </c>
      <c r="G803" s="6" t="s">
        <v>2613</v>
      </c>
    </row>
    <row r="804" customFormat="false" ht="15" hidden="false" customHeight="true" outlineLevel="0" collapsed="false">
      <c r="A804" s="6" t="s">
        <v>3416</v>
      </c>
      <c r="B804" s="6" t="s">
        <v>363</v>
      </c>
      <c r="C804" s="6" t="s">
        <v>131</v>
      </c>
      <c r="D804" s="13" t="n">
        <v>45650</v>
      </c>
      <c r="E804" s="14" t="n">
        <v>2933.07</v>
      </c>
      <c r="F804" s="14" t="n">
        <v>2933.07</v>
      </c>
      <c r="G804" s="6" t="s">
        <v>2613</v>
      </c>
    </row>
    <row r="805" customFormat="false" ht="15" hidden="false" customHeight="true" outlineLevel="0" collapsed="false">
      <c r="A805" s="6" t="s">
        <v>3417</v>
      </c>
      <c r="B805" s="6" t="s">
        <v>363</v>
      </c>
      <c r="C805" s="6" t="s">
        <v>131</v>
      </c>
      <c r="D805" s="13" t="n">
        <v>45657</v>
      </c>
      <c r="E805" s="14" t="n">
        <v>3001.02</v>
      </c>
      <c r="F805" s="14" t="n">
        <v>5934.09</v>
      </c>
      <c r="G805" s="6" t="s">
        <v>2613</v>
      </c>
    </row>
    <row r="806" customFormat="false" ht="15" hidden="false" customHeight="true" outlineLevel="0" collapsed="false">
      <c r="A806" s="6" t="s">
        <v>3418</v>
      </c>
      <c r="B806" s="6" t="s">
        <v>363</v>
      </c>
      <c r="C806" s="6" t="s">
        <v>131</v>
      </c>
      <c r="D806" s="13" t="n">
        <v>45664</v>
      </c>
      <c r="E806" s="14" t="n">
        <v>3090.84</v>
      </c>
      <c r="F806" s="14" t="n">
        <v>9024.93</v>
      </c>
      <c r="G806" s="6" t="s">
        <v>2613</v>
      </c>
    </row>
    <row r="807" customFormat="false" ht="15" hidden="false" customHeight="true" outlineLevel="0" collapsed="false">
      <c r="A807" s="6" t="s">
        <v>3419</v>
      </c>
      <c r="B807" s="6" t="s">
        <v>363</v>
      </c>
      <c r="C807" s="6" t="s">
        <v>131</v>
      </c>
      <c r="D807" s="13" t="n">
        <v>45671</v>
      </c>
      <c r="E807" s="14" t="n">
        <v>2435.93</v>
      </c>
      <c r="F807" s="14" t="n">
        <v>11460.86</v>
      </c>
      <c r="G807" s="6" t="s">
        <v>2613</v>
      </c>
    </row>
    <row r="808" customFormat="false" ht="15" hidden="false" customHeight="true" outlineLevel="0" collapsed="false">
      <c r="A808" s="6" t="s">
        <v>3420</v>
      </c>
      <c r="B808" s="6" t="s">
        <v>363</v>
      </c>
      <c r="C808" s="6" t="s">
        <v>131</v>
      </c>
      <c r="D808" s="13" t="n">
        <v>45678</v>
      </c>
      <c r="E808" s="14" t="n">
        <v>4586.29</v>
      </c>
      <c r="F808" s="14" t="n">
        <v>16047.15</v>
      </c>
      <c r="G808" s="6" t="s">
        <v>2623</v>
      </c>
    </row>
    <row r="809" customFormat="false" ht="15" hidden="false" customHeight="true" outlineLevel="0" collapsed="false">
      <c r="A809" s="6" t="s">
        <v>3421</v>
      </c>
      <c r="B809" s="6" t="s">
        <v>363</v>
      </c>
      <c r="C809" s="6" t="s">
        <v>131</v>
      </c>
      <c r="D809" s="13" t="n">
        <v>45685</v>
      </c>
      <c r="E809" s="14" t="n">
        <v>3530.37</v>
      </c>
      <c r="F809" s="14" t="n">
        <v>19577.52</v>
      </c>
      <c r="G809" s="6" t="s">
        <v>2623</v>
      </c>
    </row>
    <row r="810" customFormat="false" ht="15" hidden="false" customHeight="true" outlineLevel="0" collapsed="false">
      <c r="A810" s="6" t="s">
        <v>3422</v>
      </c>
      <c r="B810" s="6" t="s">
        <v>363</v>
      </c>
      <c r="C810" s="6" t="s">
        <v>131</v>
      </c>
      <c r="D810" s="13" t="n">
        <v>45692</v>
      </c>
      <c r="E810" s="14" t="n">
        <v>2549.37</v>
      </c>
      <c r="F810" s="14" t="n">
        <v>22126.89</v>
      </c>
      <c r="G810" s="6" t="s">
        <v>2613</v>
      </c>
    </row>
    <row r="811" customFormat="false" ht="15" hidden="false" customHeight="true" outlineLevel="0" collapsed="false">
      <c r="A811" s="6" t="s">
        <v>3423</v>
      </c>
      <c r="B811" s="6" t="s">
        <v>363</v>
      </c>
      <c r="C811" s="6" t="s">
        <v>131</v>
      </c>
      <c r="D811" s="13" t="n">
        <v>45699</v>
      </c>
      <c r="E811" s="14" t="n">
        <v>4271.08</v>
      </c>
      <c r="F811" s="14" t="n">
        <v>26397.97</v>
      </c>
      <c r="G811" s="6" t="s">
        <v>2613</v>
      </c>
    </row>
    <row r="812" customFormat="false" ht="15" hidden="false" customHeight="true" outlineLevel="0" collapsed="false">
      <c r="A812" s="6" t="s">
        <v>3424</v>
      </c>
      <c r="B812" s="6" t="s">
        <v>365</v>
      </c>
      <c r="C812" s="6" t="s">
        <v>124</v>
      </c>
      <c r="D812" s="13" t="n">
        <v>44887</v>
      </c>
      <c r="E812" s="14" t="n">
        <v>5878.34</v>
      </c>
      <c r="F812" s="14" t="n">
        <v>5878.34</v>
      </c>
      <c r="G812" s="6" t="s">
        <v>2613</v>
      </c>
    </row>
    <row r="813" customFormat="false" ht="15" hidden="false" customHeight="true" outlineLevel="0" collapsed="false">
      <c r="A813" s="6" t="s">
        <v>3425</v>
      </c>
      <c r="B813" s="6" t="s">
        <v>365</v>
      </c>
      <c r="C813" s="6" t="s">
        <v>124</v>
      </c>
      <c r="D813" s="13" t="n">
        <v>44894</v>
      </c>
      <c r="E813" s="14" t="n">
        <v>6076.91</v>
      </c>
      <c r="F813" s="14" t="n">
        <v>11955.25</v>
      </c>
      <c r="G813" s="6" t="s">
        <v>2623</v>
      </c>
    </row>
    <row r="814" customFormat="false" ht="15" hidden="false" customHeight="true" outlineLevel="0" collapsed="false">
      <c r="A814" s="6" t="s">
        <v>3426</v>
      </c>
      <c r="B814" s="6" t="s">
        <v>365</v>
      </c>
      <c r="C814" s="6" t="s">
        <v>124</v>
      </c>
      <c r="D814" s="13" t="n">
        <v>44901</v>
      </c>
      <c r="E814" s="14" t="n">
        <v>6151.73</v>
      </c>
      <c r="F814" s="14" t="n">
        <v>18106.98</v>
      </c>
      <c r="G814" s="6" t="s">
        <v>2613</v>
      </c>
    </row>
    <row r="815" customFormat="false" ht="15" hidden="false" customHeight="true" outlineLevel="0" collapsed="false">
      <c r="A815" s="6" t="s">
        <v>3427</v>
      </c>
      <c r="B815" s="6" t="s">
        <v>365</v>
      </c>
      <c r="C815" s="6" t="s">
        <v>124</v>
      </c>
      <c r="D815" s="13" t="n">
        <v>44908</v>
      </c>
      <c r="E815" s="14" t="n">
        <v>6779.32</v>
      </c>
      <c r="F815" s="14" t="n">
        <v>24886.3</v>
      </c>
      <c r="G815" s="6" t="s">
        <v>2623</v>
      </c>
    </row>
    <row r="816" customFormat="false" ht="15" hidden="false" customHeight="true" outlineLevel="0" collapsed="false">
      <c r="A816" s="6" t="s">
        <v>3428</v>
      </c>
      <c r="B816" s="6" t="s">
        <v>365</v>
      </c>
      <c r="C816" s="6" t="s">
        <v>124</v>
      </c>
      <c r="D816" s="13" t="n">
        <v>44915</v>
      </c>
      <c r="E816" s="14" t="n">
        <v>3550.94</v>
      </c>
      <c r="F816" s="14" t="n">
        <v>28437.24</v>
      </c>
      <c r="G816" s="6" t="s">
        <v>2613</v>
      </c>
    </row>
    <row r="817" customFormat="false" ht="15" hidden="false" customHeight="true" outlineLevel="0" collapsed="false">
      <c r="A817" s="6" t="s">
        <v>3429</v>
      </c>
      <c r="B817" s="6" t="s">
        <v>365</v>
      </c>
      <c r="C817" s="6" t="s">
        <v>124</v>
      </c>
      <c r="D817" s="13" t="n">
        <v>44922</v>
      </c>
      <c r="E817" s="14" t="n">
        <v>5110.06</v>
      </c>
      <c r="F817" s="14" t="n">
        <v>33547.3</v>
      </c>
      <c r="G817" s="6" t="s">
        <v>2613</v>
      </c>
    </row>
    <row r="818" customFormat="false" ht="15" hidden="false" customHeight="true" outlineLevel="0" collapsed="false">
      <c r="A818" s="6" t="s">
        <v>3430</v>
      </c>
      <c r="B818" s="6" t="s">
        <v>365</v>
      </c>
      <c r="C818" s="6" t="s">
        <v>124</v>
      </c>
      <c r="D818" s="13" t="n">
        <v>44929</v>
      </c>
      <c r="E818" s="14" t="n">
        <v>3609.13</v>
      </c>
      <c r="F818" s="14" t="n">
        <v>37156.43</v>
      </c>
      <c r="G818" s="6" t="s">
        <v>2613</v>
      </c>
    </row>
    <row r="819" customFormat="false" ht="15" hidden="false" customHeight="true" outlineLevel="0" collapsed="false">
      <c r="A819" s="6" t="s">
        <v>3431</v>
      </c>
      <c r="B819" s="6" t="s">
        <v>367</v>
      </c>
      <c r="C819" s="6" t="s">
        <v>131</v>
      </c>
      <c r="D819" s="13" t="n">
        <v>45099</v>
      </c>
      <c r="E819" s="14" t="n">
        <v>1144.63</v>
      </c>
      <c r="F819" s="14" t="n">
        <v>1144.63</v>
      </c>
      <c r="G819" s="6" t="s">
        <v>2613</v>
      </c>
    </row>
    <row r="820" customFormat="false" ht="15" hidden="false" customHeight="true" outlineLevel="0" collapsed="false">
      <c r="A820" s="6" t="s">
        <v>3432</v>
      </c>
      <c r="B820" s="6" t="s">
        <v>367</v>
      </c>
      <c r="C820" s="6" t="s">
        <v>131</v>
      </c>
      <c r="D820" s="13" t="n">
        <v>45106</v>
      </c>
      <c r="E820" s="14" t="n">
        <v>1223.34</v>
      </c>
      <c r="F820" s="14" t="n">
        <v>2367.97</v>
      </c>
      <c r="G820" s="6" t="s">
        <v>2613</v>
      </c>
    </row>
    <row r="821" customFormat="false" ht="15" hidden="false" customHeight="true" outlineLevel="0" collapsed="false">
      <c r="A821" s="6" t="s">
        <v>3433</v>
      </c>
      <c r="B821" s="6" t="s">
        <v>367</v>
      </c>
      <c r="C821" s="6" t="s">
        <v>131</v>
      </c>
      <c r="D821" s="13" t="n">
        <v>45113</v>
      </c>
      <c r="E821" s="14" t="n">
        <v>582.63</v>
      </c>
      <c r="F821" s="14" t="n">
        <v>2950.6</v>
      </c>
      <c r="G821" s="6" t="s">
        <v>2613</v>
      </c>
    </row>
    <row r="822" customFormat="false" ht="15" hidden="false" customHeight="true" outlineLevel="0" collapsed="false">
      <c r="A822" s="6" t="s">
        <v>3434</v>
      </c>
      <c r="B822" s="6" t="s">
        <v>367</v>
      </c>
      <c r="C822" s="6" t="s">
        <v>131</v>
      </c>
      <c r="D822" s="13" t="n">
        <v>45120</v>
      </c>
      <c r="E822" s="14" t="n">
        <v>764.01</v>
      </c>
      <c r="F822" s="14" t="n">
        <v>3714.61</v>
      </c>
      <c r="G822" s="6" t="s">
        <v>2623</v>
      </c>
    </row>
    <row r="823" customFormat="false" ht="15" hidden="false" customHeight="true" outlineLevel="0" collapsed="false">
      <c r="A823" s="6" t="s">
        <v>3435</v>
      </c>
      <c r="B823" s="6" t="s">
        <v>367</v>
      </c>
      <c r="C823" s="6" t="s">
        <v>131</v>
      </c>
      <c r="D823" s="13" t="n">
        <v>45127</v>
      </c>
      <c r="E823" s="14" t="n">
        <v>1093.2</v>
      </c>
      <c r="F823" s="14" t="n">
        <v>4807.81</v>
      </c>
      <c r="G823" s="6" t="s">
        <v>2613</v>
      </c>
    </row>
    <row r="824" customFormat="false" ht="15" hidden="false" customHeight="true" outlineLevel="0" collapsed="false">
      <c r="A824" s="6" t="s">
        <v>3436</v>
      </c>
      <c r="B824" s="6" t="s">
        <v>367</v>
      </c>
      <c r="C824" s="6" t="s">
        <v>131</v>
      </c>
      <c r="D824" s="13" t="n">
        <v>45134</v>
      </c>
      <c r="E824" s="14" t="n">
        <v>618.3</v>
      </c>
      <c r="F824" s="14" t="n">
        <v>5426.11</v>
      </c>
      <c r="G824" s="6" t="s">
        <v>2613</v>
      </c>
    </row>
    <row r="825" customFormat="false" ht="15" hidden="false" customHeight="true" outlineLevel="0" collapsed="false">
      <c r="A825" s="6" t="s">
        <v>3437</v>
      </c>
      <c r="B825" s="6" t="s">
        <v>367</v>
      </c>
      <c r="C825" s="6" t="s">
        <v>131</v>
      </c>
      <c r="D825" s="13" t="n">
        <v>45141</v>
      </c>
      <c r="E825" s="14" t="n">
        <v>829.9</v>
      </c>
      <c r="F825" s="14" t="n">
        <v>6256.01</v>
      </c>
      <c r="G825" s="6" t="s">
        <v>2613</v>
      </c>
    </row>
    <row r="826" customFormat="false" ht="15" hidden="false" customHeight="true" outlineLevel="0" collapsed="false">
      <c r="A826" s="6" t="s">
        <v>3438</v>
      </c>
      <c r="B826" s="6" t="s">
        <v>367</v>
      </c>
      <c r="C826" s="6" t="s">
        <v>131</v>
      </c>
      <c r="D826" s="13" t="n">
        <v>45148</v>
      </c>
      <c r="E826" s="14" t="n">
        <v>1219.74</v>
      </c>
      <c r="F826" s="14" t="n">
        <v>7475.75</v>
      </c>
      <c r="G826" s="6" t="s">
        <v>2613</v>
      </c>
    </row>
    <row r="827" customFormat="false" ht="15" hidden="false" customHeight="true" outlineLevel="0" collapsed="false">
      <c r="A827" s="6" t="s">
        <v>3439</v>
      </c>
      <c r="B827" s="6" t="s">
        <v>369</v>
      </c>
      <c r="C827" s="6" t="s">
        <v>120</v>
      </c>
      <c r="D827" s="13" t="n">
        <v>45069</v>
      </c>
      <c r="E827" s="14" t="n">
        <v>4821.28</v>
      </c>
      <c r="F827" s="14" t="n">
        <v>4821.28</v>
      </c>
      <c r="G827" s="6" t="s">
        <v>2613</v>
      </c>
    </row>
    <row r="828" customFormat="false" ht="15" hidden="false" customHeight="true" outlineLevel="0" collapsed="false">
      <c r="A828" s="6" t="s">
        <v>3440</v>
      </c>
      <c r="B828" s="6" t="s">
        <v>369</v>
      </c>
      <c r="C828" s="6" t="s">
        <v>120</v>
      </c>
      <c r="D828" s="13" t="n">
        <v>45076</v>
      </c>
      <c r="E828" s="14" t="n">
        <v>4937.08</v>
      </c>
      <c r="F828" s="14" t="n">
        <v>9758.36</v>
      </c>
      <c r="G828" s="6" t="s">
        <v>2623</v>
      </c>
    </row>
    <row r="829" customFormat="false" ht="15" hidden="false" customHeight="true" outlineLevel="0" collapsed="false">
      <c r="A829" s="6" t="s">
        <v>3441</v>
      </c>
      <c r="B829" s="6" t="s">
        <v>369</v>
      </c>
      <c r="C829" s="6" t="s">
        <v>120</v>
      </c>
      <c r="D829" s="13" t="n">
        <v>45083</v>
      </c>
      <c r="E829" s="14" t="n">
        <v>4483.22</v>
      </c>
      <c r="F829" s="14" t="n">
        <v>14241.58</v>
      </c>
      <c r="G829" s="6" t="s">
        <v>2613</v>
      </c>
    </row>
    <row r="830" customFormat="false" ht="15" hidden="false" customHeight="true" outlineLevel="0" collapsed="false">
      <c r="A830" s="6" t="s">
        <v>3442</v>
      </c>
      <c r="B830" s="6" t="s">
        <v>369</v>
      </c>
      <c r="C830" s="6" t="s">
        <v>120</v>
      </c>
      <c r="D830" s="13" t="n">
        <v>45090</v>
      </c>
      <c r="E830" s="14" t="n">
        <v>4057.7</v>
      </c>
      <c r="F830" s="14" t="n">
        <v>18299.28</v>
      </c>
      <c r="G830" s="6" t="s">
        <v>2613</v>
      </c>
    </row>
    <row r="831" customFormat="false" ht="15" hidden="false" customHeight="true" outlineLevel="0" collapsed="false">
      <c r="A831" s="6" t="s">
        <v>3443</v>
      </c>
      <c r="B831" s="6" t="s">
        <v>369</v>
      </c>
      <c r="C831" s="6" t="s">
        <v>120</v>
      </c>
      <c r="D831" s="13" t="n">
        <v>45097</v>
      </c>
      <c r="E831" s="14" t="n">
        <v>2881.59</v>
      </c>
      <c r="F831" s="14" t="n">
        <v>21180.87</v>
      </c>
      <c r="G831" s="6" t="s">
        <v>2613</v>
      </c>
    </row>
    <row r="832" customFormat="false" ht="15" hidden="false" customHeight="true" outlineLevel="0" collapsed="false">
      <c r="A832" s="6" t="s">
        <v>3444</v>
      </c>
      <c r="B832" s="6" t="s">
        <v>369</v>
      </c>
      <c r="C832" s="6" t="s">
        <v>120</v>
      </c>
      <c r="D832" s="13" t="n">
        <v>45104</v>
      </c>
      <c r="E832" s="14" t="n">
        <v>3088.48</v>
      </c>
      <c r="F832" s="14" t="n">
        <v>24269.35</v>
      </c>
      <c r="G832" s="6" t="s">
        <v>2613</v>
      </c>
    </row>
    <row r="833" customFormat="false" ht="15" hidden="false" customHeight="true" outlineLevel="0" collapsed="false">
      <c r="A833" s="6" t="s">
        <v>3445</v>
      </c>
      <c r="B833" s="6" t="s">
        <v>369</v>
      </c>
      <c r="C833" s="6" t="s">
        <v>120</v>
      </c>
      <c r="D833" s="13" t="n">
        <v>45111</v>
      </c>
      <c r="E833" s="14" t="n">
        <v>3814.75</v>
      </c>
      <c r="F833" s="14" t="n">
        <v>28084.1</v>
      </c>
      <c r="G833" s="6" t="s">
        <v>2613</v>
      </c>
    </row>
    <row r="834" customFormat="false" ht="15" hidden="false" customHeight="true" outlineLevel="0" collapsed="false">
      <c r="A834" s="6" t="s">
        <v>3446</v>
      </c>
      <c r="B834" s="6" t="s">
        <v>369</v>
      </c>
      <c r="C834" s="6" t="s">
        <v>120</v>
      </c>
      <c r="D834" s="13" t="n">
        <v>45118</v>
      </c>
      <c r="E834" s="14" t="n">
        <v>781.91</v>
      </c>
      <c r="F834" s="14" t="n">
        <v>28866.01</v>
      </c>
      <c r="G834" s="6" t="s">
        <v>2613</v>
      </c>
    </row>
    <row r="835" customFormat="false" ht="15" hidden="false" customHeight="true" outlineLevel="0" collapsed="false">
      <c r="A835" s="6" t="s">
        <v>3447</v>
      </c>
      <c r="B835" s="6" t="s">
        <v>371</v>
      </c>
      <c r="C835" s="6" t="s">
        <v>112</v>
      </c>
      <c r="D835" s="13" t="n">
        <v>44745</v>
      </c>
      <c r="E835" s="14" t="n">
        <v>5531.23</v>
      </c>
      <c r="F835" s="14" t="n">
        <v>5531.23</v>
      </c>
      <c r="G835" s="6" t="s">
        <v>2613</v>
      </c>
    </row>
    <row r="836" customFormat="false" ht="15" hidden="false" customHeight="true" outlineLevel="0" collapsed="false">
      <c r="A836" s="6" t="s">
        <v>3448</v>
      </c>
      <c r="B836" s="6" t="s">
        <v>371</v>
      </c>
      <c r="C836" s="6" t="s">
        <v>112</v>
      </c>
      <c r="D836" s="13" t="n">
        <v>44752</v>
      </c>
      <c r="E836" s="14" t="n">
        <v>6131.89</v>
      </c>
      <c r="F836" s="14" t="n">
        <v>11663.12</v>
      </c>
      <c r="G836" s="6" t="s">
        <v>2613</v>
      </c>
    </row>
    <row r="837" customFormat="false" ht="15" hidden="false" customHeight="true" outlineLevel="0" collapsed="false">
      <c r="A837" s="6" t="s">
        <v>3449</v>
      </c>
      <c r="B837" s="6" t="s">
        <v>371</v>
      </c>
      <c r="C837" s="6" t="s">
        <v>112</v>
      </c>
      <c r="D837" s="13" t="n">
        <v>44759</v>
      </c>
      <c r="E837" s="14" t="n">
        <v>7062.91</v>
      </c>
      <c r="F837" s="14" t="n">
        <v>18726.03</v>
      </c>
      <c r="G837" s="6" t="s">
        <v>2613</v>
      </c>
    </row>
    <row r="838" customFormat="false" ht="15" hidden="false" customHeight="true" outlineLevel="0" collapsed="false">
      <c r="A838" s="6" t="s">
        <v>3450</v>
      </c>
      <c r="B838" s="6" t="s">
        <v>371</v>
      </c>
      <c r="C838" s="6" t="s">
        <v>112</v>
      </c>
      <c r="D838" s="13" t="n">
        <v>44766</v>
      </c>
      <c r="E838" s="14" t="n">
        <v>7234.17</v>
      </c>
      <c r="F838" s="14" t="n">
        <v>25960.2</v>
      </c>
      <c r="G838" s="6" t="s">
        <v>2613</v>
      </c>
    </row>
    <row r="839" customFormat="false" ht="15" hidden="false" customHeight="true" outlineLevel="0" collapsed="false">
      <c r="A839" s="6" t="s">
        <v>3451</v>
      </c>
      <c r="B839" s="6" t="s">
        <v>371</v>
      </c>
      <c r="C839" s="6" t="s">
        <v>112</v>
      </c>
      <c r="D839" s="13" t="n">
        <v>44773</v>
      </c>
      <c r="E839" s="14" t="n">
        <v>5500.69</v>
      </c>
      <c r="F839" s="14" t="n">
        <v>31460.89</v>
      </c>
      <c r="G839" s="6" t="s">
        <v>2613</v>
      </c>
    </row>
    <row r="840" customFormat="false" ht="15" hidden="false" customHeight="true" outlineLevel="0" collapsed="false">
      <c r="A840" s="6" t="s">
        <v>3452</v>
      </c>
      <c r="B840" s="6" t="s">
        <v>371</v>
      </c>
      <c r="C840" s="6" t="s">
        <v>112</v>
      </c>
      <c r="D840" s="13" t="n">
        <v>44780</v>
      </c>
      <c r="E840" s="14" t="n">
        <v>8788.34</v>
      </c>
      <c r="F840" s="14" t="n">
        <v>40249.23</v>
      </c>
      <c r="G840" s="6" t="s">
        <v>2613</v>
      </c>
    </row>
    <row r="841" customFormat="false" ht="15" hidden="false" customHeight="true" outlineLevel="0" collapsed="false">
      <c r="A841" s="6" t="s">
        <v>3453</v>
      </c>
      <c r="B841" s="6" t="s">
        <v>371</v>
      </c>
      <c r="C841" s="6" t="s">
        <v>112</v>
      </c>
      <c r="D841" s="13" t="n">
        <v>44787</v>
      </c>
      <c r="E841" s="14" t="n">
        <v>4400.79</v>
      </c>
      <c r="F841" s="14" t="n">
        <v>44650.02</v>
      </c>
      <c r="G841" s="6" t="s">
        <v>2613</v>
      </c>
    </row>
    <row r="842" customFormat="false" ht="15" hidden="false" customHeight="true" outlineLevel="0" collapsed="false">
      <c r="A842" s="6" t="s">
        <v>3454</v>
      </c>
      <c r="B842" s="6" t="s">
        <v>371</v>
      </c>
      <c r="C842" s="6" t="s">
        <v>112</v>
      </c>
      <c r="D842" s="13" t="n">
        <v>44794</v>
      </c>
      <c r="E842" s="14" t="n">
        <v>5719.31</v>
      </c>
      <c r="F842" s="14" t="n">
        <v>50369.33</v>
      </c>
      <c r="G842" s="6" t="s">
        <v>2613</v>
      </c>
    </row>
    <row r="843" customFormat="false" ht="15" hidden="false" customHeight="true" outlineLevel="0" collapsed="false">
      <c r="A843" s="6" t="s">
        <v>3455</v>
      </c>
      <c r="B843" s="6" t="s">
        <v>371</v>
      </c>
      <c r="C843" s="6" t="s">
        <v>112</v>
      </c>
      <c r="D843" s="13" t="n">
        <v>44801</v>
      </c>
      <c r="E843" s="14" t="n">
        <v>9248.52</v>
      </c>
      <c r="F843" s="14" t="n">
        <v>59617.85</v>
      </c>
      <c r="G843" s="6" t="s">
        <v>2613</v>
      </c>
    </row>
    <row r="844" customFormat="false" ht="15" hidden="false" customHeight="true" outlineLevel="0" collapsed="false">
      <c r="A844" s="6" t="s">
        <v>3456</v>
      </c>
      <c r="B844" s="6" t="s">
        <v>371</v>
      </c>
      <c r="C844" s="6" t="s">
        <v>112</v>
      </c>
      <c r="D844" s="13" t="n">
        <v>44808</v>
      </c>
      <c r="E844" s="14" t="n">
        <v>9896.76</v>
      </c>
      <c r="F844" s="14" t="n">
        <v>69514.61</v>
      </c>
      <c r="G844" s="6" t="s">
        <v>2623</v>
      </c>
    </row>
    <row r="845" customFormat="false" ht="15" hidden="false" customHeight="true" outlineLevel="0" collapsed="false">
      <c r="A845" s="6" t="s">
        <v>3457</v>
      </c>
      <c r="B845" s="6" t="s">
        <v>371</v>
      </c>
      <c r="C845" s="6" t="s">
        <v>112</v>
      </c>
      <c r="D845" s="13" t="n">
        <v>44815</v>
      </c>
      <c r="E845" s="14" t="n">
        <v>8188.03</v>
      </c>
      <c r="F845" s="14" t="n">
        <v>77702.64</v>
      </c>
      <c r="G845" s="6" t="s">
        <v>2613</v>
      </c>
    </row>
    <row r="846" customFormat="false" ht="15" hidden="false" customHeight="true" outlineLevel="0" collapsed="false">
      <c r="A846" s="6" t="s">
        <v>3458</v>
      </c>
      <c r="B846" s="6" t="s">
        <v>371</v>
      </c>
      <c r="C846" s="6" t="s">
        <v>112</v>
      </c>
      <c r="D846" s="13" t="n">
        <v>44822</v>
      </c>
      <c r="E846" s="14" t="n">
        <v>8594.79</v>
      </c>
      <c r="F846" s="14" t="n">
        <v>86297.43</v>
      </c>
      <c r="G846" s="6" t="s">
        <v>2613</v>
      </c>
    </row>
    <row r="847" customFormat="false" ht="15" hidden="false" customHeight="true" outlineLevel="0" collapsed="false">
      <c r="A847" s="6" t="s">
        <v>3459</v>
      </c>
      <c r="B847" s="6" t="s">
        <v>371</v>
      </c>
      <c r="C847" s="6" t="s">
        <v>112</v>
      </c>
      <c r="D847" s="13" t="n">
        <v>44829</v>
      </c>
      <c r="E847" s="14" t="n">
        <v>7446.26</v>
      </c>
      <c r="F847" s="14" t="n">
        <v>93743.69</v>
      </c>
      <c r="G847" s="6" t="s">
        <v>2613</v>
      </c>
    </row>
    <row r="848" customFormat="false" ht="15" hidden="false" customHeight="true" outlineLevel="0" collapsed="false">
      <c r="A848" s="6" t="s">
        <v>3460</v>
      </c>
      <c r="B848" s="6" t="s">
        <v>371</v>
      </c>
      <c r="C848" s="6" t="s">
        <v>112</v>
      </c>
      <c r="D848" s="13" t="n">
        <v>44836</v>
      </c>
      <c r="E848" s="14" t="n">
        <v>7226.42</v>
      </c>
      <c r="F848" s="14" t="n">
        <v>100970.11</v>
      </c>
      <c r="G848" s="6" t="s">
        <v>2623</v>
      </c>
    </row>
    <row r="849" customFormat="false" ht="15" hidden="false" customHeight="true" outlineLevel="0" collapsed="false">
      <c r="A849" s="6" t="s">
        <v>3461</v>
      </c>
      <c r="B849" s="6" t="s">
        <v>371</v>
      </c>
      <c r="C849" s="6" t="s">
        <v>112</v>
      </c>
      <c r="D849" s="13" t="n">
        <v>44843</v>
      </c>
      <c r="E849" s="14" t="n">
        <v>10164.22</v>
      </c>
      <c r="F849" s="14" t="n">
        <v>111134.33</v>
      </c>
      <c r="G849" s="6" t="s">
        <v>2613</v>
      </c>
    </row>
    <row r="850" customFormat="false" ht="15" hidden="false" customHeight="true" outlineLevel="0" collapsed="false">
      <c r="A850" s="6" t="s">
        <v>3462</v>
      </c>
      <c r="B850" s="6" t="s">
        <v>371</v>
      </c>
      <c r="C850" s="6" t="s">
        <v>112</v>
      </c>
      <c r="D850" s="13" t="n">
        <v>44850</v>
      </c>
      <c r="E850" s="14" t="n">
        <v>5230.4</v>
      </c>
      <c r="F850" s="14" t="n">
        <v>116364.73</v>
      </c>
      <c r="G850" s="6" t="s">
        <v>2623</v>
      </c>
    </row>
    <row r="851" customFormat="false" ht="15" hidden="false" customHeight="true" outlineLevel="0" collapsed="false">
      <c r="A851" s="6" t="s">
        <v>3463</v>
      </c>
      <c r="B851" s="6" t="s">
        <v>373</v>
      </c>
      <c r="C851" s="6" t="s">
        <v>116</v>
      </c>
      <c r="D851" s="13" t="n">
        <v>45781</v>
      </c>
      <c r="E851" s="14" t="n">
        <v>8331.87</v>
      </c>
      <c r="F851" s="14" t="n">
        <v>8331.87</v>
      </c>
      <c r="G851" s="6" t="s">
        <v>2613</v>
      </c>
    </row>
    <row r="852" customFormat="false" ht="15" hidden="false" customHeight="true" outlineLevel="0" collapsed="false">
      <c r="A852" s="6" t="s">
        <v>3464</v>
      </c>
      <c r="B852" s="6" t="s">
        <v>373</v>
      </c>
      <c r="C852" s="6" t="s">
        <v>116</v>
      </c>
      <c r="D852" s="13" t="n">
        <v>45788</v>
      </c>
      <c r="E852" s="14" t="n">
        <v>4913.87</v>
      </c>
      <c r="F852" s="14" t="n">
        <v>13245.74</v>
      </c>
      <c r="G852" s="6" t="s">
        <v>2613</v>
      </c>
    </row>
    <row r="853" customFormat="false" ht="15" hidden="false" customHeight="true" outlineLevel="0" collapsed="false">
      <c r="A853" s="6" t="s">
        <v>3465</v>
      </c>
      <c r="B853" s="6" t="s">
        <v>373</v>
      </c>
      <c r="C853" s="6" t="s">
        <v>116</v>
      </c>
      <c r="D853" s="13" t="n">
        <v>45795</v>
      </c>
      <c r="E853" s="14" t="n">
        <v>7537.66</v>
      </c>
      <c r="F853" s="14" t="n">
        <v>20783.4</v>
      </c>
      <c r="G853" s="6" t="s">
        <v>2613</v>
      </c>
    </row>
    <row r="854" customFormat="false" ht="15" hidden="false" customHeight="true" outlineLevel="0" collapsed="false">
      <c r="A854" s="6" t="s">
        <v>3466</v>
      </c>
      <c r="B854" s="6" t="s">
        <v>373</v>
      </c>
      <c r="C854" s="6" t="s">
        <v>116</v>
      </c>
      <c r="D854" s="13" t="n">
        <v>45802</v>
      </c>
      <c r="E854" s="14" t="n">
        <v>7219.48</v>
      </c>
      <c r="F854" s="14" t="n">
        <v>28002.88</v>
      </c>
      <c r="G854" s="6" t="s">
        <v>2613</v>
      </c>
    </row>
    <row r="855" customFormat="false" ht="15" hidden="false" customHeight="true" outlineLevel="0" collapsed="false">
      <c r="A855" s="6" t="s">
        <v>3467</v>
      </c>
      <c r="B855" s="6" t="s">
        <v>373</v>
      </c>
      <c r="C855" s="6" t="s">
        <v>116</v>
      </c>
      <c r="D855" s="13" t="n">
        <v>45809</v>
      </c>
      <c r="E855" s="14" t="n">
        <v>4967.16</v>
      </c>
      <c r="F855" s="14" t="n">
        <v>32970.04</v>
      </c>
      <c r="G855" s="6" t="s">
        <v>2623</v>
      </c>
    </row>
    <row r="856" customFormat="false" ht="15" hidden="false" customHeight="true" outlineLevel="0" collapsed="false">
      <c r="A856" s="6" t="s">
        <v>3468</v>
      </c>
      <c r="B856" s="6" t="s">
        <v>373</v>
      </c>
      <c r="C856" s="6" t="s">
        <v>116</v>
      </c>
      <c r="D856" s="13" t="n">
        <v>45816</v>
      </c>
      <c r="E856" s="14" t="n">
        <v>4630.61</v>
      </c>
      <c r="F856" s="14" t="n">
        <v>37600.65</v>
      </c>
      <c r="G856" s="6" t="s">
        <v>2613</v>
      </c>
    </row>
    <row r="857" customFormat="false" ht="15" hidden="false" customHeight="true" outlineLevel="0" collapsed="false">
      <c r="A857" s="6" t="s">
        <v>3469</v>
      </c>
      <c r="B857" s="6" t="s">
        <v>373</v>
      </c>
      <c r="C857" s="6" t="s">
        <v>116</v>
      </c>
      <c r="D857" s="13" t="n">
        <v>45823</v>
      </c>
      <c r="E857" s="14" t="n">
        <v>6487.28</v>
      </c>
      <c r="F857" s="14" t="n">
        <v>44087.93</v>
      </c>
      <c r="G857" s="6" t="s">
        <v>2613</v>
      </c>
    </row>
    <row r="858" customFormat="false" ht="15" hidden="false" customHeight="true" outlineLevel="0" collapsed="false">
      <c r="A858" s="6" t="s">
        <v>3470</v>
      </c>
      <c r="B858" s="6" t="s">
        <v>373</v>
      </c>
      <c r="C858" s="6" t="s">
        <v>116</v>
      </c>
      <c r="D858" s="13" t="n">
        <v>45830</v>
      </c>
      <c r="E858" s="14" t="n">
        <v>4444.27</v>
      </c>
      <c r="F858" s="14" t="n">
        <v>48532.2</v>
      </c>
      <c r="G858" s="6" t="s">
        <v>2613</v>
      </c>
    </row>
    <row r="859" customFormat="false" ht="15" hidden="false" customHeight="true" outlineLevel="0" collapsed="false">
      <c r="A859" s="6" t="s">
        <v>3471</v>
      </c>
      <c r="B859" s="6" t="s">
        <v>373</v>
      </c>
      <c r="C859" s="6" t="s">
        <v>116</v>
      </c>
      <c r="D859" s="13" t="n">
        <v>45837</v>
      </c>
      <c r="E859" s="14" t="n">
        <v>5621.17</v>
      </c>
      <c r="F859" s="14" t="n">
        <v>54153.37</v>
      </c>
      <c r="G859" s="6" t="s">
        <v>2613</v>
      </c>
    </row>
    <row r="860" customFormat="false" ht="15" hidden="false" customHeight="true" outlineLevel="0" collapsed="false">
      <c r="A860" s="6" t="s">
        <v>3472</v>
      </c>
      <c r="B860" s="6" t="s">
        <v>373</v>
      </c>
      <c r="C860" s="6" t="s">
        <v>116</v>
      </c>
      <c r="D860" s="13" t="n">
        <v>45844</v>
      </c>
      <c r="E860" s="14" t="n">
        <v>6602.22</v>
      </c>
      <c r="F860" s="14" t="n">
        <v>60755.59</v>
      </c>
      <c r="G860" s="6" t="s">
        <v>2613</v>
      </c>
    </row>
    <row r="861" customFormat="false" ht="15" hidden="false" customHeight="true" outlineLevel="0" collapsed="false">
      <c r="A861" s="6" t="s">
        <v>3473</v>
      </c>
      <c r="B861" s="6" t="s">
        <v>375</v>
      </c>
      <c r="C861" s="6" t="s">
        <v>116</v>
      </c>
      <c r="D861" s="13" t="n">
        <v>45240</v>
      </c>
      <c r="E861" s="14" t="n">
        <v>6067.89</v>
      </c>
      <c r="F861" s="14" t="n">
        <v>6067.89</v>
      </c>
      <c r="G861" s="6" t="s">
        <v>2613</v>
      </c>
    </row>
    <row r="862" customFormat="false" ht="15" hidden="false" customHeight="true" outlineLevel="0" collapsed="false">
      <c r="A862" s="6" t="s">
        <v>3474</v>
      </c>
      <c r="B862" s="6" t="s">
        <v>375</v>
      </c>
      <c r="C862" s="6" t="s">
        <v>116</v>
      </c>
      <c r="D862" s="13" t="n">
        <v>45247</v>
      </c>
      <c r="E862" s="14" t="n">
        <v>2821.2</v>
      </c>
      <c r="F862" s="14" t="n">
        <v>8889.09</v>
      </c>
      <c r="G862" s="6" t="s">
        <v>2613</v>
      </c>
    </row>
    <row r="863" customFormat="false" ht="15" hidden="false" customHeight="true" outlineLevel="0" collapsed="false">
      <c r="A863" s="6" t="s">
        <v>3475</v>
      </c>
      <c r="B863" s="6" t="s">
        <v>375</v>
      </c>
      <c r="C863" s="6" t="s">
        <v>116</v>
      </c>
      <c r="D863" s="13" t="n">
        <v>45254</v>
      </c>
      <c r="E863" s="14" t="n">
        <v>5544.19</v>
      </c>
      <c r="F863" s="14" t="n">
        <v>14433.28</v>
      </c>
      <c r="G863" s="6" t="s">
        <v>2613</v>
      </c>
    </row>
    <row r="864" customFormat="false" ht="15" hidden="false" customHeight="true" outlineLevel="0" collapsed="false">
      <c r="A864" s="6" t="s">
        <v>3476</v>
      </c>
      <c r="B864" s="6" t="s">
        <v>375</v>
      </c>
      <c r="C864" s="6" t="s">
        <v>116</v>
      </c>
      <c r="D864" s="13" t="n">
        <v>45261</v>
      </c>
      <c r="E864" s="14" t="n">
        <v>6010.32</v>
      </c>
      <c r="F864" s="14" t="n">
        <v>20443.6</v>
      </c>
      <c r="G864" s="6" t="s">
        <v>2613</v>
      </c>
    </row>
    <row r="865" customFormat="false" ht="15" hidden="false" customHeight="true" outlineLevel="0" collapsed="false">
      <c r="A865" s="6" t="s">
        <v>3477</v>
      </c>
      <c r="B865" s="6" t="s">
        <v>375</v>
      </c>
      <c r="C865" s="6" t="s">
        <v>116</v>
      </c>
      <c r="D865" s="13" t="n">
        <v>45268</v>
      </c>
      <c r="E865" s="14" t="n">
        <v>4611.49</v>
      </c>
      <c r="F865" s="14" t="n">
        <v>25055.09</v>
      </c>
      <c r="G865" s="6" t="s">
        <v>2613</v>
      </c>
    </row>
    <row r="866" customFormat="false" ht="15" hidden="false" customHeight="true" outlineLevel="0" collapsed="false">
      <c r="A866" s="6" t="s">
        <v>3478</v>
      </c>
      <c r="B866" s="6" t="s">
        <v>375</v>
      </c>
      <c r="C866" s="6" t="s">
        <v>116</v>
      </c>
      <c r="D866" s="13" t="n">
        <v>45275</v>
      </c>
      <c r="E866" s="14" t="n">
        <v>2982.83</v>
      </c>
      <c r="F866" s="14" t="n">
        <v>28037.92</v>
      </c>
      <c r="G866" s="6" t="s">
        <v>2613</v>
      </c>
    </row>
    <row r="867" customFormat="false" ht="15" hidden="false" customHeight="true" outlineLevel="0" collapsed="false">
      <c r="A867" s="6" t="s">
        <v>3479</v>
      </c>
      <c r="B867" s="6" t="s">
        <v>375</v>
      </c>
      <c r="C867" s="6" t="s">
        <v>116</v>
      </c>
      <c r="D867" s="13" t="n">
        <v>45282</v>
      </c>
      <c r="E867" s="14" t="n">
        <v>5451.39</v>
      </c>
      <c r="F867" s="14" t="n">
        <v>33489.31</v>
      </c>
      <c r="G867" s="6" t="s">
        <v>2613</v>
      </c>
    </row>
    <row r="868" customFormat="false" ht="15" hidden="false" customHeight="true" outlineLevel="0" collapsed="false">
      <c r="A868" s="6" t="s">
        <v>3480</v>
      </c>
      <c r="B868" s="6" t="s">
        <v>375</v>
      </c>
      <c r="C868" s="6" t="s">
        <v>116</v>
      </c>
      <c r="D868" s="13" t="n">
        <v>45289</v>
      </c>
      <c r="E868" s="14" t="n">
        <v>2866.11</v>
      </c>
      <c r="F868" s="14" t="n">
        <v>36355.42</v>
      </c>
      <c r="G868" s="6" t="s">
        <v>2613</v>
      </c>
    </row>
    <row r="869" customFormat="false" ht="15" hidden="false" customHeight="true" outlineLevel="0" collapsed="false">
      <c r="A869" s="6" t="s">
        <v>3481</v>
      </c>
      <c r="B869" s="6" t="s">
        <v>375</v>
      </c>
      <c r="C869" s="6" t="s">
        <v>116</v>
      </c>
      <c r="D869" s="13" t="n">
        <v>45296</v>
      </c>
      <c r="E869" s="14" t="n">
        <v>3433.27</v>
      </c>
      <c r="F869" s="14" t="n">
        <v>39788.69</v>
      </c>
      <c r="G869" s="6" t="s">
        <v>2613</v>
      </c>
    </row>
    <row r="870" customFormat="false" ht="15" hidden="false" customHeight="true" outlineLevel="0" collapsed="false">
      <c r="A870" s="6" t="s">
        <v>3482</v>
      </c>
      <c r="B870" s="6" t="s">
        <v>375</v>
      </c>
      <c r="C870" s="6" t="s">
        <v>116</v>
      </c>
      <c r="D870" s="13" t="n">
        <v>45303</v>
      </c>
      <c r="E870" s="14" t="n">
        <v>4062.85</v>
      </c>
      <c r="F870" s="14" t="n">
        <v>43851.54</v>
      </c>
      <c r="G870" s="6" t="s">
        <v>2613</v>
      </c>
    </row>
    <row r="871" customFormat="false" ht="15" hidden="false" customHeight="true" outlineLevel="0" collapsed="false">
      <c r="A871" s="6" t="s">
        <v>3483</v>
      </c>
      <c r="B871" s="6" t="s">
        <v>375</v>
      </c>
      <c r="C871" s="6" t="s">
        <v>116</v>
      </c>
      <c r="D871" s="13" t="n">
        <v>45310</v>
      </c>
      <c r="E871" s="14" t="n">
        <v>4701.47</v>
      </c>
      <c r="F871" s="14" t="n">
        <v>48553.01</v>
      </c>
      <c r="G871" s="6" t="s">
        <v>2613</v>
      </c>
    </row>
    <row r="872" customFormat="false" ht="15" hidden="false" customHeight="true" outlineLevel="0" collapsed="false">
      <c r="A872" s="6" t="s">
        <v>3484</v>
      </c>
      <c r="B872" s="6" t="s">
        <v>377</v>
      </c>
      <c r="C872" s="6" t="s">
        <v>112</v>
      </c>
      <c r="D872" s="13" t="n">
        <v>44819</v>
      </c>
      <c r="E872" s="14" t="n">
        <v>315.03</v>
      </c>
      <c r="F872" s="14" t="n">
        <v>315.03</v>
      </c>
      <c r="G872" s="6" t="s">
        <v>2613</v>
      </c>
    </row>
    <row r="873" customFormat="false" ht="15" hidden="false" customHeight="true" outlineLevel="0" collapsed="false">
      <c r="A873" s="6" t="s">
        <v>3485</v>
      </c>
      <c r="B873" s="6" t="s">
        <v>377</v>
      </c>
      <c r="C873" s="6" t="s">
        <v>112</v>
      </c>
      <c r="D873" s="13" t="n">
        <v>44826</v>
      </c>
      <c r="E873" s="14" t="n">
        <v>539.36</v>
      </c>
      <c r="F873" s="14" t="n">
        <v>854.39</v>
      </c>
      <c r="G873" s="6" t="s">
        <v>2613</v>
      </c>
    </row>
    <row r="874" customFormat="false" ht="15" hidden="false" customHeight="true" outlineLevel="0" collapsed="false">
      <c r="A874" s="6" t="s">
        <v>3486</v>
      </c>
      <c r="B874" s="6" t="s">
        <v>377</v>
      </c>
      <c r="C874" s="6" t="s">
        <v>112</v>
      </c>
      <c r="D874" s="13" t="n">
        <v>44833</v>
      </c>
      <c r="E874" s="14" t="n">
        <v>267.5</v>
      </c>
      <c r="F874" s="14" t="n">
        <v>1121.89</v>
      </c>
      <c r="G874" s="6" t="s">
        <v>2613</v>
      </c>
    </row>
    <row r="875" customFormat="false" ht="15" hidden="false" customHeight="true" outlineLevel="0" collapsed="false">
      <c r="A875" s="6" t="s">
        <v>3487</v>
      </c>
      <c r="B875" s="6" t="s">
        <v>377</v>
      </c>
      <c r="C875" s="6" t="s">
        <v>112</v>
      </c>
      <c r="D875" s="13" t="n">
        <v>44840</v>
      </c>
      <c r="E875" s="14" t="n">
        <v>316.68</v>
      </c>
      <c r="F875" s="14" t="n">
        <v>1438.57</v>
      </c>
      <c r="G875" s="6" t="s">
        <v>2613</v>
      </c>
    </row>
    <row r="876" customFormat="false" ht="15" hidden="false" customHeight="true" outlineLevel="0" collapsed="false">
      <c r="A876" s="6" t="s">
        <v>3488</v>
      </c>
      <c r="B876" s="6" t="s">
        <v>377</v>
      </c>
      <c r="C876" s="6" t="s">
        <v>112</v>
      </c>
      <c r="D876" s="13" t="n">
        <v>44847</v>
      </c>
      <c r="E876" s="14" t="n">
        <v>321.61</v>
      </c>
      <c r="F876" s="14" t="n">
        <v>1760.18</v>
      </c>
      <c r="G876" s="6" t="s">
        <v>2613</v>
      </c>
    </row>
    <row r="877" customFormat="false" ht="15" hidden="false" customHeight="true" outlineLevel="0" collapsed="false">
      <c r="A877" s="6" t="s">
        <v>3489</v>
      </c>
      <c r="B877" s="6" t="s">
        <v>377</v>
      </c>
      <c r="C877" s="6" t="s">
        <v>112</v>
      </c>
      <c r="D877" s="13" t="n">
        <v>44854</v>
      </c>
      <c r="E877" s="14" t="n">
        <v>560.55</v>
      </c>
      <c r="F877" s="14" t="n">
        <v>2320.73</v>
      </c>
      <c r="G877" s="6" t="s">
        <v>2623</v>
      </c>
    </row>
    <row r="878" customFormat="false" ht="15" hidden="false" customHeight="true" outlineLevel="0" collapsed="false">
      <c r="A878" s="6" t="s">
        <v>3490</v>
      </c>
      <c r="B878" s="6" t="s">
        <v>377</v>
      </c>
      <c r="C878" s="6" t="s">
        <v>112</v>
      </c>
      <c r="D878" s="13" t="n">
        <v>44861</v>
      </c>
      <c r="E878" s="14" t="n">
        <v>469.86</v>
      </c>
      <c r="F878" s="14" t="n">
        <v>2790.59</v>
      </c>
      <c r="G878" s="6" t="s">
        <v>2613</v>
      </c>
    </row>
    <row r="879" customFormat="false" ht="15" hidden="false" customHeight="true" outlineLevel="0" collapsed="false">
      <c r="A879" s="6" t="s">
        <v>3491</v>
      </c>
      <c r="B879" s="6" t="s">
        <v>377</v>
      </c>
      <c r="C879" s="6" t="s">
        <v>112</v>
      </c>
      <c r="D879" s="13" t="n">
        <v>44868</v>
      </c>
      <c r="E879" s="14" t="n">
        <v>358.65</v>
      </c>
      <c r="F879" s="14" t="n">
        <v>3149.24</v>
      </c>
      <c r="G879" s="6" t="s">
        <v>2613</v>
      </c>
    </row>
    <row r="880" customFormat="false" ht="15" hidden="false" customHeight="true" outlineLevel="0" collapsed="false">
      <c r="A880" s="6" t="s">
        <v>3492</v>
      </c>
      <c r="B880" s="6" t="s">
        <v>377</v>
      </c>
      <c r="C880" s="6" t="s">
        <v>112</v>
      </c>
      <c r="D880" s="13" t="n">
        <v>44875</v>
      </c>
      <c r="E880" s="14" t="n">
        <v>711.46</v>
      </c>
      <c r="F880" s="14" t="n">
        <v>3860.7</v>
      </c>
      <c r="G880" s="6" t="s">
        <v>2613</v>
      </c>
    </row>
    <row r="881" customFormat="false" ht="15" hidden="false" customHeight="true" outlineLevel="0" collapsed="false">
      <c r="A881" s="6" t="s">
        <v>3493</v>
      </c>
      <c r="B881" s="6" t="s">
        <v>379</v>
      </c>
      <c r="C881" s="6" t="s">
        <v>112</v>
      </c>
      <c r="D881" s="13" t="n">
        <v>46170</v>
      </c>
      <c r="E881" s="14" t="n">
        <v>7777.43</v>
      </c>
      <c r="F881" s="14" t="n">
        <v>7777.43</v>
      </c>
      <c r="G881" s="6" t="s">
        <v>2613</v>
      </c>
    </row>
    <row r="882" customFormat="false" ht="15" hidden="false" customHeight="true" outlineLevel="0" collapsed="false">
      <c r="A882" s="6" t="s">
        <v>3494</v>
      </c>
      <c r="B882" s="6" t="s">
        <v>379</v>
      </c>
      <c r="C882" s="6" t="s">
        <v>112</v>
      </c>
      <c r="D882" s="13" t="n">
        <v>46177</v>
      </c>
      <c r="E882" s="14" t="n">
        <v>6681.56</v>
      </c>
      <c r="F882" s="14" t="n">
        <v>14458.99</v>
      </c>
      <c r="G882" s="6" t="s">
        <v>2613</v>
      </c>
    </row>
    <row r="883" customFormat="false" ht="15" hidden="false" customHeight="true" outlineLevel="0" collapsed="false">
      <c r="A883" s="6" t="s">
        <v>3495</v>
      </c>
      <c r="B883" s="6" t="s">
        <v>379</v>
      </c>
      <c r="C883" s="6" t="s">
        <v>112</v>
      </c>
      <c r="D883" s="13" t="n">
        <v>46184</v>
      </c>
      <c r="E883" s="14" t="n">
        <v>5182.3</v>
      </c>
      <c r="F883" s="14" t="n">
        <v>19641.29</v>
      </c>
      <c r="G883" s="6" t="s">
        <v>2623</v>
      </c>
    </row>
    <row r="884" customFormat="false" ht="15" hidden="false" customHeight="true" outlineLevel="0" collapsed="false">
      <c r="A884" s="6" t="s">
        <v>3496</v>
      </c>
      <c r="B884" s="6" t="s">
        <v>379</v>
      </c>
      <c r="C884" s="6" t="s">
        <v>112</v>
      </c>
      <c r="D884" s="13" t="n">
        <v>46191</v>
      </c>
      <c r="E884" s="14" t="n">
        <v>6841.36</v>
      </c>
      <c r="F884" s="14" t="n">
        <v>26482.65</v>
      </c>
      <c r="G884" s="6" t="s">
        <v>2623</v>
      </c>
    </row>
    <row r="885" customFormat="false" ht="15" hidden="false" customHeight="true" outlineLevel="0" collapsed="false">
      <c r="A885" s="6" t="s">
        <v>3497</v>
      </c>
      <c r="B885" s="6" t="s">
        <v>379</v>
      </c>
      <c r="C885" s="6" t="s">
        <v>112</v>
      </c>
      <c r="D885" s="13" t="n">
        <v>46198</v>
      </c>
      <c r="E885" s="14" t="n">
        <v>7925.99</v>
      </c>
      <c r="F885" s="14" t="n">
        <v>34408.64</v>
      </c>
      <c r="G885" s="6" t="s">
        <v>2613</v>
      </c>
    </row>
    <row r="886" customFormat="false" ht="15" hidden="false" customHeight="true" outlineLevel="0" collapsed="false">
      <c r="A886" s="6" t="s">
        <v>3498</v>
      </c>
      <c r="B886" s="6" t="s">
        <v>379</v>
      </c>
      <c r="C886" s="6" t="s">
        <v>112</v>
      </c>
      <c r="D886" s="13" t="n">
        <v>46205</v>
      </c>
      <c r="E886" s="14" t="n">
        <v>7915.66</v>
      </c>
      <c r="F886" s="14" t="n">
        <v>42324.3</v>
      </c>
      <c r="G886" s="6" t="s">
        <v>2613</v>
      </c>
    </row>
    <row r="887" customFormat="false" ht="15" hidden="false" customHeight="true" outlineLevel="0" collapsed="false">
      <c r="A887" s="6" t="s">
        <v>3499</v>
      </c>
      <c r="B887" s="6" t="s">
        <v>379</v>
      </c>
      <c r="C887" s="6" t="s">
        <v>112</v>
      </c>
      <c r="D887" s="13" t="n">
        <v>46212</v>
      </c>
      <c r="E887" s="14" t="n">
        <v>2112.76</v>
      </c>
      <c r="F887" s="14" t="n">
        <v>44437.06</v>
      </c>
      <c r="G887" s="6" t="s">
        <v>2613</v>
      </c>
    </row>
    <row r="888" customFormat="false" ht="15" hidden="false" customHeight="true" outlineLevel="0" collapsed="false">
      <c r="A888" s="6" t="s">
        <v>3500</v>
      </c>
      <c r="B888" s="6" t="s">
        <v>381</v>
      </c>
      <c r="C888" s="6" t="s">
        <v>128</v>
      </c>
      <c r="D888" s="13" t="n">
        <v>45364</v>
      </c>
      <c r="E888" s="14" t="n">
        <v>1934.96</v>
      </c>
      <c r="F888" s="14" t="n">
        <v>1934.96</v>
      </c>
      <c r="G888" s="6" t="s">
        <v>2613</v>
      </c>
    </row>
    <row r="889" customFormat="false" ht="15" hidden="false" customHeight="true" outlineLevel="0" collapsed="false">
      <c r="A889" s="6" t="s">
        <v>3501</v>
      </c>
      <c r="B889" s="6" t="s">
        <v>381</v>
      </c>
      <c r="C889" s="6" t="s">
        <v>128</v>
      </c>
      <c r="D889" s="13" t="n">
        <v>45371</v>
      </c>
      <c r="E889" s="14" t="n">
        <v>1628.44</v>
      </c>
      <c r="F889" s="14" t="n">
        <v>3563.4</v>
      </c>
      <c r="G889" s="6" t="s">
        <v>2613</v>
      </c>
    </row>
    <row r="890" customFormat="false" ht="15" hidden="false" customHeight="true" outlineLevel="0" collapsed="false">
      <c r="A890" s="6" t="s">
        <v>3502</v>
      </c>
      <c r="B890" s="6" t="s">
        <v>381</v>
      </c>
      <c r="C890" s="6" t="s">
        <v>128</v>
      </c>
      <c r="D890" s="13" t="n">
        <v>45378</v>
      </c>
      <c r="E890" s="14" t="n">
        <v>1755.93</v>
      </c>
      <c r="F890" s="14" t="n">
        <v>5319.33</v>
      </c>
      <c r="G890" s="6" t="s">
        <v>2613</v>
      </c>
    </row>
    <row r="891" customFormat="false" ht="15" hidden="false" customHeight="true" outlineLevel="0" collapsed="false">
      <c r="A891" s="6" t="s">
        <v>3503</v>
      </c>
      <c r="B891" s="6" t="s">
        <v>381</v>
      </c>
      <c r="C891" s="6" t="s">
        <v>128</v>
      </c>
      <c r="D891" s="13" t="n">
        <v>45385</v>
      </c>
      <c r="E891" s="14" t="n">
        <v>943.94</v>
      </c>
      <c r="F891" s="14" t="n">
        <v>6263.27</v>
      </c>
      <c r="G891" s="6" t="s">
        <v>2613</v>
      </c>
    </row>
    <row r="892" customFormat="false" ht="15" hidden="false" customHeight="true" outlineLevel="0" collapsed="false">
      <c r="A892" s="6" t="s">
        <v>3504</v>
      </c>
      <c r="B892" s="6" t="s">
        <v>381</v>
      </c>
      <c r="C892" s="6" t="s">
        <v>128</v>
      </c>
      <c r="D892" s="13" t="n">
        <v>45392</v>
      </c>
      <c r="E892" s="14" t="n">
        <v>2059.09</v>
      </c>
      <c r="F892" s="14" t="n">
        <v>8322.36</v>
      </c>
      <c r="G892" s="6" t="s">
        <v>2613</v>
      </c>
    </row>
    <row r="893" customFormat="false" ht="15" hidden="false" customHeight="true" outlineLevel="0" collapsed="false">
      <c r="A893" s="6" t="s">
        <v>3505</v>
      </c>
      <c r="B893" s="6" t="s">
        <v>381</v>
      </c>
      <c r="C893" s="6" t="s">
        <v>128</v>
      </c>
      <c r="D893" s="13" t="n">
        <v>45399</v>
      </c>
      <c r="E893" s="14" t="n">
        <v>1592.77</v>
      </c>
      <c r="F893" s="14" t="n">
        <v>9915.13</v>
      </c>
      <c r="G893" s="6" t="s">
        <v>2613</v>
      </c>
    </row>
    <row r="894" customFormat="false" ht="15" hidden="false" customHeight="true" outlineLevel="0" collapsed="false">
      <c r="A894" s="6" t="s">
        <v>3506</v>
      </c>
      <c r="B894" s="6" t="s">
        <v>381</v>
      </c>
      <c r="C894" s="6" t="s">
        <v>128</v>
      </c>
      <c r="D894" s="13" t="n">
        <v>45406</v>
      </c>
      <c r="E894" s="14" t="n">
        <v>2108.15</v>
      </c>
      <c r="F894" s="14" t="n">
        <v>12023.28</v>
      </c>
      <c r="G894" s="6" t="s">
        <v>2613</v>
      </c>
    </row>
    <row r="895" customFormat="false" ht="15" hidden="false" customHeight="true" outlineLevel="0" collapsed="false">
      <c r="A895" s="6" t="s">
        <v>3507</v>
      </c>
      <c r="B895" s="6" t="s">
        <v>381</v>
      </c>
      <c r="C895" s="6" t="s">
        <v>128</v>
      </c>
      <c r="D895" s="13" t="n">
        <v>45413</v>
      </c>
      <c r="E895" s="14" t="n">
        <v>1506.79</v>
      </c>
      <c r="F895" s="14" t="n">
        <v>13530.07</v>
      </c>
      <c r="G895" s="6" t="s">
        <v>2613</v>
      </c>
    </row>
    <row r="896" customFormat="false" ht="15" hidden="false" customHeight="true" outlineLevel="0" collapsed="false">
      <c r="A896" s="6" t="s">
        <v>3508</v>
      </c>
      <c r="B896" s="6" t="s">
        <v>381</v>
      </c>
      <c r="C896" s="6" t="s">
        <v>128</v>
      </c>
      <c r="D896" s="13" t="n">
        <v>45420</v>
      </c>
      <c r="E896" s="14" t="n">
        <v>1504.62</v>
      </c>
      <c r="F896" s="14" t="n">
        <v>15034.69</v>
      </c>
      <c r="G896" s="6" t="s">
        <v>2623</v>
      </c>
    </row>
    <row r="897" customFormat="false" ht="15" hidden="false" customHeight="true" outlineLevel="0" collapsed="false">
      <c r="A897" s="6" t="s">
        <v>3509</v>
      </c>
      <c r="B897" s="6" t="s">
        <v>381</v>
      </c>
      <c r="C897" s="6" t="s">
        <v>128</v>
      </c>
      <c r="D897" s="13" t="n">
        <v>45427</v>
      </c>
      <c r="E897" s="14" t="n">
        <v>1191.9</v>
      </c>
      <c r="F897" s="14" t="n">
        <v>16226.59</v>
      </c>
      <c r="G897" s="6" t="s">
        <v>2613</v>
      </c>
    </row>
    <row r="898" customFormat="false" ht="15" hidden="false" customHeight="true" outlineLevel="0" collapsed="false">
      <c r="A898" s="6" t="s">
        <v>3510</v>
      </c>
      <c r="B898" s="6" t="s">
        <v>381</v>
      </c>
      <c r="C898" s="6" t="s">
        <v>128</v>
      </c>
      <c r="D898" s="13" t="n">
        <v>45434</v>
      </c>
      <c r="E898" s="14" t="n">
        <v>451.79</v>
      </c>
      <c r="F898" s="14" t="n">
        <v>16678.38</v>
      </c>
      <c r="G898" s="6" t="s">
        <v>2613</v>
      </c>
    </row>
    <row r="899" customFormat="false" ht="15" hidden="false" customHeight="true" outlineLevel="0" collapsed="false">
      <c r="A899" s="6" t="s">
        <v>3511</v>
      </c>
      <c r="B899" s="6" t="s">
        <v>383</v>
      </c>
      <c r="C899" s="6" t="s">
        <v>112</v>
      </c>
      <c r="D899" s="13" t="n">
        <v>44796</v>
      </c>
      <c r="E899" s="14" t="n">
        <v>1048.77</v>
      </c>
      <c r="F899" s="14" t="n">
        <v>1048.77</v>
      </c>
      <c r="G899" s="6" t="s">
        <v>2613</v>
      </c>
    </row>
    <row r="900" customFormat="false" ht="15" hidden="false" customHeight="true" outlineLevel="0" collapsed="false">
      <c r="A900" s="6" t="s">
        <v>3512</v>
      </c>
      <c r="B900" s="6" t="s">
        <v>383</v>
      </c>
      <c r="C900" s="6" t="s">
        <v>112</v>
      </c>
      <c r="D900" s="13" t="n">
        <v>44803</v>
      </c>
      <c r="E900" s="14" t="n">
        <v>1037.34</v>
      </c>
      <c r="F900" s="14" t="n">
        <v>2086.11</v>
      </c>
      <c r="G900" s="6" t="s">
        <v>2613</v>
      </c>
    </row>
    <row r="901" customFormat="false" ht="15" hidden="false" customHeight="true" outlineLevel="0" collapsed="false">
      <c r="A901" s="6" t="s">
        <v>3513</v>
      </c>
      <c r="B901" s="6" t="s">
        <v>383</v>
      </c>
      <c r="C901" s="6" t="s">
        <v>112</v>
      </c>
      <c r="D901" s="13" t="n">
        <v>44810</v>
      </c>
      <c r="E901" s="14" t="n">
        <v>521.78</v>
      </c>
      <c r="F901" s="14" t="n">
        <v>2607.89</v>
      </c>
      <c r="G901" s="6" t="s">
        <v>2613</v>
      </c>
    </row>
    <row r="902" customFormat="false" ht="15" hidden="false" customHeight="true" outlineLevel="0" collapsed="false">
      <c r="A902" s="6" t="s">
        <v>3514</v>
      </c>
      <c r="B902" s="6" t="s">
        <v>383</v>
      </c>
      <c r="C902" s="6" t="s">
        <v>112</v>
      </c>
      <c r="D902" s="13" t="n">
        <v>44817</v>
      </c>
      <c r="E902" s="14" t="n">
        <v>543.5</v>
      </c>
      <c r="F902" s="14" t="n">
        <v>3151.39</v>
      </c>
      <c r="G902" s="6" t="s">
        <v>2613</v>
      </c>
    </row>
    <row r="903" customFormat="false" ht="15" hidden="false" customHeight="true" outlineLevel="0" collapsed="false">
      <c r="A903" s="6" t="s">
        <v>3515</v>
      </c>
      <c r="B903" s="6" t="s">
        <v>383</v>
      </c>
      <c r="C903" s="6" t="s">
        <v>112</v>
      </c>
      <c r="D903" s="13" t="n">
        <v>44824</v>
      </c>
      <c r="E903" s="14" t="n">
        <v>1041.49</v>
      </c>
      <c r="F903" s="14" t="n">
        <v>4192.88</v>
      </c>
      <c r="G903" s="6" t="s">
        <v>2613</v>
      </c>
    </row>
    <row r="904" customFormat="false" ht="15" hidden="false" customHeight="true" outlineLevel="0" collapsed="false">
      <c r="A904" s="6" t="s">
        <v>3516</v>
      </c>
      <c r="B904" s="6" t="s">
        <v>383</v>
      </c>
      <c r="C904" s="6" t="s">
        <v>112</v>
      </c>
      <c r="D904" s="13" t="n">
        <v>44831</v>
      </c>
      <c r="E904" s="14" t="n">
        <v>1048.83</v>
      </c>
      <c r="F904" s="14" t="n">
        <v>5241.71</v>
      </c>
      <c r="G904" s="6" t="s">
        <v>2613</v>
      </c>
    </row>
    <row r="905" customFormat="false" ht="15" hidden="false" customHeight="true" outlineLevel="0" collapsed="false">
      <c r="A905" s="6" t="s">
        <v>3517</v>
      </c>
      <c r="B905" s="6" t="s">
        <v>383</v>
      </c>
      <c r="C905" s="6" t="s">
        <v>112</v>
      </c>
      <c r="D905" s="13" t="n">
        <v>44838</v>
      </c>
      <c r="E905" s="14" t="n">
        <v>566.64</v>
      </c>
      <c r="F905" s="14" t="n">
        <v>5808.35</v>
      </c>
      <c r="G905" s="6" t="s">
        <v>2613</v>
      </c>
    </row>
    <row r="906" customFormat="false" ht="15" hidden="false" customHeight="true" outlineLevel="0" collapsed="false">
      <c r="A906" s="6" t="s">
        <v>3518</v>
      </c>
      <c r="B906" s="6" t="s">
        <v>383</v>
      </c>
      <c r="C906" s="6" t="s">
        <v>112</v>
      </c>
      <c r="D906" s="13" t="n">
        <v>44845</v>
      </c>
      <c r="E906" s="14" t="n">
        <v>322.79</v>
      </c>
      <c r="F906" s="14" t="n">
        <v>6131.14</v>
      </c>
      <c r="G906" s="6" t="s">
        <v>2613</v>
      </c>
    </row>
    <row r="907" customFormat="false" ht="15" hidden="false" customHeight="true" outlineLevel="0" collapsed="false">
      <c r="A907" s="6" t="s">
        <v>3519</v>
      </c>
      <c r="B907" s="6" t="s">
        <v>385</v>
      </c>
      <c r="C907" s="6" t="s">
        <v>128</v>
      </c>
      <c r="D907" s="13" t="n">
        <v>45370</v>
      </c>
      <c r="E907" s="14" t="n">
        <v>4325.71</v>
      </c>
      <c r="F907" s="14" t="n">
        <v>4325.71</v>
      </c>
      <c r="G907" s="6" t="s">
        <v>2613</v>
      </c>
    </row>
    <row r="908" customFormat="false" ht="15" hidden="false" customHeight="true" outlineLevel="0" collapsed="false">
      <c r="A908" s="6" t="s">
        <v>3520</v>
      </c>
      <c r="B908" s="6" t="s">
        <v>385</v>
      </c>
      <c r="C908" s="6" t="s">
        <v>128</v>
      </c>
      <c r="D908" s="13" t="n">
        <v>45377</v>
      </c>
      <c r="E908" s="14" t="n">
        <v>3507.29</v>
      </c>
      <c r="F908" s="14" t="n">
        <v>7833</v>
      </c>
      <c r="G908" s="6" t="s">
        <v>2613</v>
      </c>
    </row>
    <row r="909" customFormat="false" ht="15" hidden="false" customHeight="true" outlineLevel="0" collapsed="false">
      <c r="A909" s="6" t="s">
        <v>3521</v>
      </c>
      <c r="B909" s="6" t="s">
        <v>385</v>
      </c>
      <c r="C909" s="6" t="s">
        <v>128</v>
      </c>
      <c r="D909" s="13" t="n">
        <v>45384</v>
      </c>
      <c r="E909" s="14" t="n">
        <v>4469.84</v>
      </c>
      <c r="F909" s="14" t="n">
        <v>12302.84</v>
      </c>
      <c r="G909" s="6" t="s">
        <v>2613</v>
      </c>
    </row>
    <row r="910" customFormat="false" ht="15" hidden="false" customHeight="true" outlineLevel="0" collapsed="false">
      <c r="A910" s="6" t="s">
        <v>3522</v>
      </c>
      <c r="B910" s="6" t="s">
        <v>385</v>
      </c>
      <c r="C910" s="6" t="s">
        <v>128</v>
      </c>
      <c r="D910" s="13" t="n">
        <v>45391</v>
      </c>
      <c r="E910" s="14" t="n">
        <v>2804.31</v>
      </c>
      <c r="F910" s="14" t="n">
        <v>15107.15</v>
      </c>
      <c r="G910" s="6" t="s">
        <v>2613</v>
      </c>
    </row>
    <row r="911" customFormat="false" ht="15" hidden="false" customHeight="true" outlineLevel="0" collapsed="false">
      <c r="A911" s="6" t="s">
        <v>3523</v>
      </c>
      <c r="B911" s="6" t="s">
        <v>385</v>
      </c>
      <c r="C911" s="6" t="s">
        <v>128</v>
      </c>
      <c r="D911" s="13" t="n">
        <v>45398</v>
      </c>
      <c r="E911" s="14" t="n">
        <v>3549.82</v>
      </c>
      <c r="F911" s="14" t="n">
        <v>18656.97</v>
      </c>
      <c r="G911" s="6" t="s">
        <v>2623</v>
      </c>
    </row>
    <row r="912" customFormat="false" ht="15" hidden="false" customHeight="true" outlineLevel="0" collapsed="false">
      <c r="A912" s="6" t="s">
        <v>3524</v>
      </c>
      <c r="B912" s="6" t="s">
        <v>385</v>
      </c>
      <c r="C912" s="6" t="s">
        <v>128</v>
      </c>
      <c r="D912" s="13" t="n">
        <v>45405</v>
      </c>
      <c r="E912" s="14" t="n">
        <v>3601.17</v>
      </c>
      <c r="F912" s="14" t="n">
        <v>22258.14</v>
      </c>
      <c r="G912" s="6" t="s">
        <v>2613</v>
      </c>
    </row>
    <row r="913" customFormat="false" ht="15" hidden="false" customHeight="true" outlineLevel="0" collapsed="false">
      <c r="A913" s="6" t="s">
        <v>3525</v>
      </c>
      <c r="B913" s="6" t="s">
        <v>385</v>
      </c>
      <c r="C913" s="6" t="s">
        <v>128</v>
      </c>
      <c r="D913" s="13" t="n">
        <v>45412</v>
      </c>
      <c r="E913" s="14" t="n">
        <v>4551.29</v>
      </c>
      <c r="F913" s="14" t="n">
        <v>26809.43</v>
      </c>
      <c r="G913" s="6" t="s">
        <v>2613</v>
      </c>
    </row>
    <row r="914" customFormat="false" ht="15" hidden="false" customHeight="true" outlineLevel="0" collapsed="false">
      <c r="A914" s="6" t="s">
        <v>3526</v>
      </c>
      <c r="B914" s="6" t="s">
        <v>385</v>
      </c>
      <c r="C914" s="6" t="s">
        <v>128</v>
      </c>
      <c r="D914" s="13" t="n">
        <v>45419</v>
      </c>
      <c r="E914" s="14" t="n">
        <v>6023.73</v>
      </c>
      <c r="F914" s="14" t="n">
        <v>32833.16</v>
      </c>
      <c r="G914" s="6" t="s">
        <v>2613</v>
      </c>
    </row>
    <row r="915" customFormat="false" ht="15" hidden="false" customHeight="true" outlineLevel="0" collapsed="false">
      <c r="A915" s="6" t="s">
        <v>3527</v>
      </c>
      <c r="B915" s="6" t="s">
        <v>387</v>
      </c>
      <c r="C915" s="6" t="s">
        <v>131</v>
      </c>
      <c r="D915" s="13" t="n">
        <v>45466</v>
      </c>
      <c r="E915" s="14" t="n">
        <v>2047.6</v>
      </c>
      <c r="F915" s="14" t="n">
        <v>2047.6</v>
      </c>
      <c r="G915" s="6" t="s">
        <v>2613</v>
      </c>
    </row>
    <row r="916" customFormat="false" ht="15" hidden="false" customHeight="true" outlineLevel="0" collapsed="false">
      <c r="A916" s="6" t="s">
        <v>3528</v>
      </c>
      <c r="B916" s="6" t="s">
        <v>387</v>
      </c>
      <c r="C916" s="6" t="s">
        <v>131</v>
      </c>
      <c r="D916" s="13" t="n">
        <v>45473</v>
      </c>
      <c r="E916" s="14" t="n">
        <v>1413.93</v>
      </c>
      <c r="F916" s="14" t="n">
        <v>3461.53</v>
      </c>
      <c r="G916" s="6" t="s">
        <v>2613</v>
      </c>
    </row>
    <row r="917" customFormat="false" ht="15" hidden="false" customHeight="true" outlineLevel="0" collapsed="false">
      <c r="A917" s="6" t="s">
        <v>3529</v>
      </c>
      <c r="B917" s="6" t="s">
        <v>387</v>
      </c>
      <c r="C917" s="6" t="s">
        <v>131</v>
      </c>
      <c r="D917" s="13" t="n">
        <v>45480</v>
      </c>
      <c r="E917" s="14" t="n">
        <v>1066.58</v>
      </c>
      <c r="F917" s="14" t="n">
        <v>4528.11</v>
      </c>
      <c r="G917" s="6" t="s">
        <v>2613</v>
      </c>
    </row>
    <row r="918" customFormat="false" ht="15" hidden="false" customHeight="true" outlineLevel="0" collapsed="false">
      <c r="A918" s="6" t="s">
        <v>3530</v>
      </c>
      <c r="B918" s="6" t="s">
        <v>387</v>
      </c>
      <c r="C918" s="6" t="s">
        <v>131</v>
      </c>
      <c r="D918" s="13" t="n">
        <v>45487</v>
      </c>
      <c r="E918" s="14" t="n">
        <v>2021.91</v>
      </c>
      <c r="F918" s="14" t="n">
        <v>6550.02</v>
      </c>
      <c r="G918" s="6" t="s">
        <v>2613</v>
      </c>
    </row>
    <row r="919" customFormat="false" ht="15" hidden="false" customHeight="true" outlineLevel="0" collapsed="false">
      <c r="A919" s="6" t="s">
        <v>3531</v>
      </c>
      <c r="B919" s="6" t="s">
        <v>387</v>
      </c>
      <c r="C919" s="6" t="s">
        <v>131</v>
      </c>
      <c r="D919" s="13" t="n">
        <v>45494</v>
      </c>
      <c r="E919" s="14" t="n">
        <v>1800.33</v>
      </c>
      <c r="F919" s="14" t="n">
        <v>8350.35</v>
      </c>
      <c r="G919" s="6" t="s">
        <v>2613</v>
      </c>
    </row>
    <row r="920" customFormat="false" ht="15" hidden="false" customHeight="true" outlineLevel="0" collapsed="false">
      <c r="A920" s="6" t="s">
        <v>3532</v>
      </c>
      <c r="B920" s="6" t="s">
        <v>387</v>
      </c>
      <c r="C920" s="6" t="s">
        <v>131</v>
      </c>
      <c r="D920" s="13" t="n">
        <v>45501</v>
      </c>
      <c r="E920" s="14" t="n">
        <v>1031.86</v>
      </c>
      <c r="F920" s="14" t="n">
        <v>9382.21</v>
      </c>
      <c r="G920" s="6" t="s">
        <v>2613</v>
      </c>
    </row>
    <row r="921" customFormat="false" ht="15" hidden="false" customHeight="true" outlineLevel="0" collapsed="false">
      <c r="A921" s="6" t="s">
        <v>3533</v>
      </c>
      <c r="B921" s="6" t="s">
        <v>387</v>
      </c>
      <c r="C921" s="6" t="s">
        <v>131</v>
      </c>
      <c r="D921" s="13" t="n">
        <v>45508</v>
      </c>
      <c r="E921" s="14" t="n">
        <v>1308.95</v>
      </c>
      <c r="F921" s="14" t="n">
        <v>10691.16</v>
      </c>
      <c r="G921" s="6" t="s">
        <v>2613</v>
      </c>
    </row>
    <row r="922" customFormat="false" ht="15" hidden="false" customHeight="true" outlineLevel="0" collapsed="false">
      <c r="A922" s="6" t="s">
        <v>3534</v>
      </c>
      <c r="B922" s="6" t="s">
        <v>387</v>
      </c>
      <c r="C922" s="6" t="s">
        <v>131</v>
      </c>
      <c r="D922" s="13" t="n">
        <v>45515</v>
      </c>
      <c r="E922" s="14" t="n">
        <v>2131.67</v>
      </c>
      <c r="F922" s="14" t="n">
        <v>12822.83</v>
      </c>
      <c r="G922" s="6" t="s">
        <v>2623</v>
      </c>
    </row>
    <row r="923" customFormat="false" ht="15" hidden="false" customHeight="true" outlineLevel="0" collapsed="false">
      <c r="A923" s="6" t="s">
        <v>3535</v>
      </c>
      <c r="B923" s="6" t="s">
        <v>387</v>
      </c>
      <c r="C923" s="6" t="s">
        <v>131</v>
      </c>
      <c r="D923" s="13" t="n">
        <v>45522</v>
      </c>
      <c r="E923" s="14" t="n">
        <v>1152.61</v>
      </c>
      <c r="F923" s="14" t="n">
        <v>13975.44</v>
      </c>
      <c r="G923" s="6" t="s">
        <v>2613</v>
      </c>
    </row>
    <row r="924" customFormat="false" ht="15" hidden="false" customHeight="true" outlineLevel="0" collapsed="false">
      <c r="A924" s="6" t="s">
        <v>3536</v>
      </c>
      <c r="B924" s="6" t="s">
        <v>387</v>
      </c>
      <c r="C924" s="6" t="s">
        <v>131</v>
      </c>
      <c r="D924" s="13" t="n">
        <v>45529</v>
      </c>
      <c r="E924" s="14" t="n">
        <v>1856.48</v>
      </c>
      <c r="F924" s="14" t="n">
        <v>15831.92</v>
      </c>
      <c r="G924" s="6" t="s">
        <v>2613</v>
      </c>
    </row>
    <row r="925" customFormat="false" ht="15" hidden="false" customHeight="true" outlineLevel="0" collapsed="false">
      <c r="A925" s="6" t="s">
        <v>3537</v>
      </c>
      <c r="B925" s="6" t="s">
        <v>387</v>
      </c>
      <c r="C925" s="6" t="s">
        <v>131</v>
      </c>
      <c r="D925" s="13" t="n">
        <v>45536</v>
      </c>
      <c r="E925" s="14" t="n">
        <v>2064.6</v>
      </c>
      <c r="F925" s="14" t="n">
        <v>17896.52</v>
      </c>
      <c r="G925" s="6" t="s">
        <v>2623</v>
      </c>
    </row>
    <row r="926" customFormat="false" ht="15" hidden="false" customHeight="true" outlineLevel="0" collapsed="false">
      <c r="A926" s="6" t="s">
        <v>3538</v>
      </c>
      <c r="B926" s="6" t="s">
        <v>387</v>
      </c>
      <c r="C926" s="6" t="s">
        <v>131</v>
      </c>
      <c r="D926" s="13" t="n">
        <v>45543</v>
      </c>
      <c r="E926" s="14" t="n">
        <v>1683.66</v>
      </c>
      <c r="F926" s="14" t="n">
        <v>19580.18</v>
      </c>
      <c r="G926" s="6" t="s">
        <v>2613</v>
      </c>
    </row>
    <row r="927" customFormat="false" ht="15" hidden="false" customHeight="true" outlineLevel="0" collapsed="false">
      <c r="A927" s="6" t="s">
        <v>3539</v>
      </c>
      <c r="B927" s="6" t="s">
        <v>387</v>
      </c>
      <c r="C927" s="6" t="s">
        <v>131</v>
      </c>
      <c r="D927" s="13" t="n">
        <v>45550</v>
      </c>
      <c r="E927" s="14" t="n">
        <v>776.13</v>
      </c>
      <c r="F927" s="14" t="n">
        <v>20356.31</v>
      </c>
      <c r="G927" s="6" t="s">
        <v>2613</v>
      </c>
    </row>
    <row r="928" customFormat="false" ht="15" hidden="false" customHeight="true" outlineLevel="0" collapsed="false">
      <c r="A928" s="6" t="s">
        <v>3540</v>
      </c>
      <c r="B928" s="6" t="s">
        <v>389</v>
      </c>
      <c r="C928" s="6" t="s">
        <v>112</v>
      </c>
      <c r="D928" s="13" t="n">
        <v>46063</v>
      </c>
      <c r="E928" s="14" t="n">
        <v>3469.22</v>
      </c>
      <c r="F928" s="14" t="n">
        <v>3469.22</v>
      </c>
      <c r="G928" s="6" t="s">
        <v>2623</v>
      </c>
    </row>
    <row r="929" customFormat="false" ht="15" hidden="false" customHeight="true" outlineLevel="0" collapsed="false">
      <c r="A929" s="6" t="s">
        <v>3541</v>
      </c>
      <c r="B929" s="6" t="s">
        <v>389</v>
      </c>
      <c r="C929" s="6" t="s">
        <v>112</v>
      </c>
      <c r="D929" s="13" t="n">
        <v>46070</v>
      </c>
      <c r="E929" s="14" t="n">
        <v>3785.55</v>
      </c>
      <c r="F929" s="14" t="n">
        <v>7254.77</v>
      </c>
      <c r="G929" s="6" t="s">
        <v>2613</v>
      </c>
    </row>
    <row r="930" customFormat="false" ht="15" hidden="false" customHeight="true" outlineLevel="0" collapsed="false">
      <c r="A930" s="6" t="s">
        <v>3542</v>
      </c>
      <c r="B930" s="6" t="s">
        <v>389</v>
      </c>
      <c r="C930" s="6" t="s">
        <v>112</v>
      </c>
      <c r="D930" s="13" t="n">
        <v>46077</v>
      </c>
      <c r="E930" s="14" t="n">
        <v>4110.3</v>
      </c>
      <c r="F930" s="14" t="n">
        <v>11365.07</v>
      </c>
      <c r="G930" s="6" t="s">
        <v>2623</v>
      </c>
    </row>
    <row r="931" customFormat="false" ht="15" hidden="false" customHeight="true" outlineLevel="0" collapsed="false">
      <c r="A931" s="6" t="s">
        <v>3543</v>
      </c>
      <c r="B931" s="6" t="s">
        <v>389</v>
      </c>
      <c r="C931" s="6" t="s">
        <v>112</v>
      </c>
      <c r="D931" s="13" t="n">
        <v>46084</v>
      </c>
      <c r="E931" s="14" t="n">
        <v>2496.81</v>
      </c>
      <c r="F931" s="14" t="n">
        <v>13861.88</v>
      </c>
      <c r="G931" s="6" t="s">
        <v>2623</v>
      </c>
    </row>
    <row r="932" customFormat="false" ht="15" hidden="false" customHeight="true" outlineLevel="0" collapsed="false">
      <c r="A932" s="6" t="s">
        <v>3544</v>
      </c>
      <c r="B932" s="6" t="s">
        <v>389</v>
      </c>
      <c r="C932" s="6" t="s">
        <v>112</v>
      </c>
      <c r="D932" s="13" t="n">
        <v>46091</v>
      </c>
      <c r="E932" s="14" t="n">
        <v>5213.1</v>
      </c>
      <c r="F932" s="14" t="n">
        <v>19074.98</v>
      </c>
      <c r="G932" s="6" t="s">
        <v>2613</v>
      </c>
    </row>
    <row r="933" customFormat="false" ht="15" hidden="false" customHeight="true" outlineLevel="0" collapsed="false">
      <c r="A933" s="6" t="s">
        <v>3545</v>
      </c>
      <c r="B933" s="6" t="s">
        <v>389</v>
      </c>
      <c r="C933" s="6" t="s">
        <v>112</v>
      </c>
      <c r="D933" s="13" t="n">
        <v>46098</v>
      </c>
      <c r="E933" s="14" t="n">
        <v>5766.69</v>
      </c>
      <c r="F933" s="14" t="n">
        <v>24841.67</v>
      </c>
      <c r="G933" s="6" t="s">
        <v>2613</v>
      </c>
    </row>
    <row r="934" customFormat="false" ht="15" hidden="false" customHeight="true" outlineLevel="0" collapsed="false">
      <c r="A934" s="6" t="s">
        <v>3546</v>
      </c>
      <c r="B934" s="6" t="s">
        <v>391</v>
      </c>
      <c r="C934" s="6" t="s">
        <v>112</v>
      </c>
      <c r="D934" s="13" t="n">
        <v>44755</v>
      </c>
      <c r="E934" s="14" t="n">
        <v>1573.42</v>
      </c>
      <c r="F934" s="14" t="n">
        <v>1573.42</v>
      </c>
      <c r="G934" s="6" t="s">
        <v>2613</v>
      </c>
    </row>
    <row r="935" customFormat="false" ht="15" hidden="false" customHeight="true" outlineLevel="0" collapsed="false">
      <c r="A935" s="6" t="s">
        <v>3547</v>
      </c>
      <c r="B935" s="6" t="s">
        <v>391</v>
      </c>
      <c r="C935" s="6" t="s">
        <v>112</v>
      </c>
      <c r="D935" s="13" t="n">
        <v>44762</v>
      </c>
      <c r="E935" s="14" t="n">
        <v>1314.55</v>
      </c>
      <c r="F935" s="14" t="n">
        <v>2887.97</v>
      </c>
      <c r="G935" s="6" t="s">
        <v>2623</v>
      </c>
    </row>
    <row r="936" customFormat="false" ht="15" hidden="false" customHeight="true" outlineLevel="0" collapsed="false">
      <c r="A936" s="6" t="s">
        <v>3548</v>
      </c>
      <c r="B936" s="6" t="s">
        <v>391</v>
      </c>
      <c r="C936" s="6" t="s">
        <v>112</v>
      </c>
      <c r="D936" s="13" t="n">
        <v>44769</v>
      </c>
      <c r="E936" s="14" t="n">
        <v>1669.87</v>
      </c>
      <c r="F936" s="14" t="n">
        <v>4557.84</v>
      </c>
      <c r="G936" s="6" t="s">
        <v>2613</v>
      </c>
    </row>
    <row r="937" customFormat="false" ht="15" hidden="false" customHeight="true" outlineLevel="0" collapsed="false">
      <c r="A937" s="6" t="s">
        <v>3549</v>
      </c>
      <c r="B937" s="6" t="s">
        <v>391</v>
      </c>
      <c r="C937" s="6" t="s">
        <v>112</v>
      </c>
      <c r="D937" s="13" t="n">
        <v>44776</v>
      </c>
      <c r="E937" s="14" t="n">
        <v>2227.56</v>
      </c>
      <c r="F937" s="14" t="n">
        <v>6785.4</v>
      </c>
      <c r="G937" s="6" t="s">
        <v>2613</v>
      </c>
    </row>
    <row r="938" customFormat="false" ht="15" hidden="false" customHeight="true" outlineLevel="0" collapsed="false">
      <c r="A938" s="6" t="s">
        <v>3550</v>
      </c>
      <c r="B938" s="6" t="s">
        <v>391</v>
      </c>
      <c r="C938" s="6" t="s">
        <v>112</v>
      </c>
      <c r="D938" s="13" t="n">
        <v>44783</v>
      </c>
      <c r="E938" s="14" t="n">
        <v>1264.79</v>
      </c>
      <c r="F938" s="14" t="n">
        <v>8050.19</v>
      </c>
      <c r="G938" s="6" t="s">
        <v>2613</v>
      </c>
    </row>
    <row r="939" customFormat="false" ht="15" hidden="false" customHeight="true" outlineLevel="0" collapsed="false">
      <c r="A939" s="6" t="s">
        <v>3551</v>
      </c>
      <c r="B939" s="6" t="s">
        <v>391</v>
      </c>
      <c r="C939" s="6" t="s">
        <v>112</v>
      </c>
      <c r="D939" s="13" t="n">
        <v>44790</v>
      </c>
      <c r="E939" s="14" t="n">
        <v>2476.5</v>
      </c>
      <c r="F939" s="14" t="n">
        <v>10526.69</v>
      </c>
      <c r="G939" s="6" t="s">
        <v>2623</v>
      </c>
    </row>
    <row r="940" customFormat="false" ht="15" hidden="false" customHeight="true" outlineLevel="0" collapsed="false">
      <c r="A940" s="6" t="s">
        <v>3552</v>
      </c>
      <c r="B940" s="6" t="s">
        <v>393</v>
      </c>
      <c r="C940" s="6" t="s">
        <v>131</v>
      </c>
      <c r="D940" s="13" t="n">
        <v>45541</v>
      </c>
      <c r="E940" s="14" t="n">
        <v>4149.65</v>
      </c>
      <c r="F940" s="14" t="n">
        <v>4149.65</v>
      </c>
      <c r="G940" s="6" t="s">
        <v>2613</v>
      </c>
    </row>
    <row r="941" customFormat="false" ht="15" hidden="false" customHeight="true" outlineLevel="0" collapsed="false">
      <c r="A941" s="6" t="s">
        <v>3553</v>
      </c>
      <c r="B941" s="6" t="s">
        <v>393</v>
      </c>
      <c r="C941" s="6" t="s">
        <v>131</v>
      </c>
      <c r="D941" s="13" t="n">
        <v>45548</v>
      </c>
      <c r="E941" s="14" t="n">
        <v>6345.79</v>
      </c>
      <c r="F941" s="14" t="n">
        <v>10495.44</v>
      </c>
      <c r="G941" s="6" t="s">
        <v>2623</v>
      </c>
    </row>
    <row r="942" customFormat="false" ht="15" hidden="false" customHeight="true" outlineLevel="0" collapsed="false">
      <c r="A942" s="6" t="s">
        <v>3554</v>
      </c>
      <c r="B942" s="6" t="s">
        <v>393</v>
      </c>
      <c r="C942" s="6" t="s">
        <v>131</v>
      </c>
      <c r="D942" s="13" t="n">
        <v>45555</v>
      </c>
      <c r="E942" s="14" t="n">
        <v>5227.24</v>
      </c>
      <c r="F942" s="14" t="n">
        <v>15722.68</v>
      </c>
      <c r="G942" s="6" t="s">
        <v>2613</v>
      </c>
    </row>
    <row r="943" customFormat="false" ht="15" hidden="false" customHeight="true" outlineLevel="0" collapsed="false">
      <c r="A943" s="6" t="s">
        <v>3555</v>
      </c>
      <c r="B943" s="6" t="s">
        <v>393</v>
      </c>
      <c r="C943" s="6" t="s">
        <v>131</v>
      </c>
      <c r="D943" s="13" t="n">
        <v>45562</v>
      </c>
      <c r="E943" s="14" t="n">
        <v>5228.29</v>
      </c>
      <c r="F943" s="14" t="n">
        <v>20950.97</v>
      </c>
      <c r="G943" s="6" t="s">
        <v>2613</v>
      </c>
    </row>
    <row r="944" customFormat="false" ht="15" hidden="false" customHeight="true" outlineLevel="0" collapsed="false">
      <c r="A944" s="6" t="s">
        <v>3556</v>
      </c>
      <c r="B944" s="6" t="s">
        <v>393</v>
      </c>
      <c r="C944" s="6" t="s">
        <v>131</v>
      </c>
      <c r="D944" s="13" t="n">
        <v>45569</v>
      </c>
      <c r="E944" s="14" t="n">
        <v>3550.64</v>
      </c>
      <c r="F944" s="14" t="n">
        <v>24501.61</v>
      </c>
      <c r="G944" s="6" t="s">
        <v>2613</v>
      </c>
    </row>
    <row r="945" customFormat="false" ht="15" hidden="false" customHeight="true" outlineLevel="0" collapsed="false">
      <c r="A945" s="6" t="s">
        <v>3557</v>
      </c>
      <c r="B945" s="6" t="s">
        <v>393</v>
      </c>
      <c r="C945" s="6" t="s">
        <v>131</v>
      </c>
      <c r="D945" s="13" t="n">
        <v>45576</v>
      </c>
      <c r="E945" s="14" t="n">
        <v>4743.85</v>
      </c>
      <c r="F945" s="14" t="n">
        <v>29245.46</v>
      </c>
      <c r="G945" s="6" t="s">
        <v>2613</v>
      </c>
    </row>
    <row r="946" customFormat="false" ht="15" hidden="false" customHeight="true" outlineLevel="0" collapsed="false">
      <c r="A946" s="6" t="s">
        <v>3558</v>
      </c>
      <c r="B946" s="6" t="s">
        <v>393</v>
      </c>
      <c r="C946" s="6" t="s">
        <v>131</v>
      </c>
      <c r="D946" s="13" t="n">
        <v>45583</v>
      </c>
      <c r="E946" s="14" t="n">
        <v>3628.65</v>
      </c>
      <c r="F946" s="14" t="n">
        <v>32874.11</v>
      </c>
      <c r="G946" s="6" t="s">
        <v>2613</v>
      </c>
    </row>
    <row r="947" customFormat="false" ht="15" hidden="false" customHeight="true" outlineLevel="0" collapsed="false">
      <c r="A947" s="6" t="s">
        <v>3559</v>
      </c>
      <c r="B947" s="6" t="s">
        <v>393</v>
      </c>
      <c r="C947" s="6" t="s">
        <v>131</v>
      </c>
      <c r="D947" s="13" t="n">
        <v>45590</v>
      </c>
      <c r="E947" s="14" t="n">
        <v>3729.78</v>
      </c>
      <c r="F947" s="14" t="n">
        <v>36603.89</v>
      </c>
      <c r="G947" s="6" t="s">
        <v>2623</v>
      </c>
    </row>
    <row r="948" customFormat="false" ht="15" hidden="false" customHeight="true" outlineLevel="0" collapsed="false">
      <c r="A948" s="6" t="s">
        <v>3560</v>
      </c>
      <c r="B948" s="6" t="s">
        <v>393</v>
      </c>
      <c r="C948" s="6" t="s">
        <v>131</v>
      </c>
      <c r="D948" s="13" t="n">
        <v>45597</v>
      </c>
      <c r="E948" s="14" t="n">
        <v>3277.34</v>
      </c>
      <c r="F948" s="14" t="n">
        <v>39881.23</v>
      </c>
      <c r="G948" s="6" t="s">
        <v>2613</v>
      </c>
    </row>
    <row r="949" customFormat="false" ht="15" hidden="false" customHeight="true" outlineLevel="0" collapsed="false">
      <c r="A949" s="6" t="s">
        <v>3561</v>
      </c>
      <c r="B949" s="6" t="s">
        <v>393</v>
      </c>
      <c r="C949" s="6" t="s">
        <v>131</v>
      </c>
      <c r="D949" s="13" t="n">
        <v>45604</v>
      </c>
      <c r="E949" s="14" t="n">
        <v>3766.15</v>
      </c>
      <c r="F949" s="14" t="n">
        <v>43647.38</v>
      </c>
      <c r="G949" s="6" t="s">
        <v>2613</v>
      </c>
    </row>
    <row r="950" customFormat="false" ht="15" hidden="false" customHeight="true" outlineLevel="0" collapsed="false">
      <c r="A950" s="6" t="s">
        <v>3562</v>
      </c>
      <c r="B950" s="6" t="s">
        <v>393</v>
      </c>
      <c r="C950" s="6" t="s">
        <v>131</v>
      </c>
      <c r="D950" s="13" t="n">
        <v>45611</v>
      </c>
      <c r="E950" s="14" t="n">
        <v>10752.79</v>
      </c>
      <c r="F950" s="14" t="n">
        <v>54400.17</v>
      </c>
      <c r="G950" s="6" t="s">
        <v>2613</v>
      </c>
    </row>
    <row r="951" customFormat="false" ht="15" hidden="false" customHeight="true" outlineLevel="0" collapsed="false">
      <c r="A951" s="6" t="s">
        <v>3563</v>
      </c>
      <c r="B951" s="6" t="s">
        <v>395</v>
      </c>
      <c r="C951" s="6" t="s">
        <v>128</v>
      </c>
      <c r="D951" s="13" t="n">
        <v>44594</v>
      </c>
      <c r="E951" s="14" t="n">
        <v>5880.03</v>
      </c>
      <c r="F951" s="14" t="n">
        <v>5880.03</v>
      </c>
      <c r="G951" s="6" t="s">
        <v>2613</v>
      </c>
    </row>
    <row r="952" customFormat="false" ht="15" hidden="false" customHeight="true" outlineLevel="0" collapsed="false">
      <c r="A952" s="6" t="s">
        <v>3564</v>
      </c>
      <c r="B952" s="6" t="s">
        <v>395</v>
      </c>
      <c r="C952" s="6" t="s">
        <v>128</v>
      </c>
      <c r="D952" s="13" t="n">
        <v>44601</v>
      </c>
      <c r="E952" s="14" t="n">
        <v>5380.45</v>
      </c>
      <c r="F952" s="14" t="n">
        <v>11260.48</v>
      </c>
      <c r="G952" s="6" t="s">
        <v>2613</v>
      </c>
    </row>
    <row r="953" customFormat="false" ht="15" hidden="false" customHeight="true" outlineLevel="0" collapsed="false">
      <c r="A953" s="6" t="s">
        <v>3565</v>
      </c>
      <c r="B953" s="6" t="s">
        <v>395</v>
      </c>
      <c r="C953" s="6" t="s">
        <v>128</v>
      </c>
      <c r="D953" s="13" t="n">
        <v>44608</v>
      </c>
      <c r="E953" s="14" t="n">
        <v>6182.09</v>
      </c>
      <c r="F953" s="14" t="n">
        <v>17442.57</v>
      </c>
      <c r="G953" s="6" t="s">
        <v>2613</v>
      </c>
    </row>
    <row r="954" customFormat="false" ht="15" hidden="false" customHeight="true" outlineLevel="0" collapsed="false">
      <c r="A954" s="6" t="s">
        <v>3566</v>
      </c>
      <c r="B954" s="6" t="s">
        <v>395</v>
      </c>
      <c r="C954" s="6" t="s">
        <v>128</v>
      </c>
      <c r="D954" s="13" t="n">
        <v>44615</v>
      </c>
      <c r="E954" s="14" t="n">
        <v>7807.24</v>
      </c>
      <c r="F954" s="14" t="n">
        <v>25249.81</v>
      </c>
      <c r="G954" s="6" t="s">
        <v>2613</v>
      </c>
    </row>
    <row r="955" customFormat="false" ht="15" hidden="false" customHeight="true" outlineLevel="0" collapsed="false">
      <c r="A955" s="6" t="s">
        <v>3567</v>
      </c>
      <c r="B955" s="6" t="s">
        <v>395</v>
      </c>
      <c r="C955" s="6" t="s">
        <v>128</v>
      </c>
      <c r="D955" s="13" t="n">
        <v>44622</v>
      </c>
      <c r="E955" s="14" t="n">
        <v>6065.42</v>
      </c>
      <c r="F955" s="14" t="n">
        <v>31315.23</v>
      </c>
      <c r="G955" s="6" t="s">
        <v>2613</v>
      </c>
    </row>
    <row r="956" customFormat="false" ht="15" hidden="false" customHeight="true" outlineLevel="0" collapsed="false">
      <c r="A956" s="6" t="s">
        <v>3568</v>
      </c>
      <c r="B956" s="6" t="s">
        <v>395</v>
      </c>
      <c r="C956" s="6" t="s">
        <v>128</v>
      </c>
      <c r="D956" s="13" t="n">
        <v>44629</v>
      </c>
      <c r="E956" s="14" t="n">
        <v>4787.4</v>
      </c>
      <c r="F956" s="14" t="n">
        <v>36102.63</v>
      </c>
      <c r="G956" s="6" t="s">
        <v>2613</v>
      </c>
    </row>
    <row r="957" customFormat="false" ht="15" hidden="false" customHeight="true" outlineLevel="0" collapsed="false">
      <c r="A957" s="6" t="s">
        <v>3569</v>
      </c>
      <c r="B957" s="6" t="s">
        <v>395</v>
      </c>
      <c r="C957" s="6" t="s">
        <v>128</v>
      </c>
      <c r="D957" s="13" t="n">
        <v>44636</v>
      </c>
      <c r="E957" s="14" t="n">
        <v>5054.36</v>
      </c>
      <c r="F957" s="14" t="n">
        <v>41156.99</v>
      </c>
      <c r="G957" s="6" t="s">
        <v>2613</v>
      </c>
    </row>
    <row r="958" customFormat="false" ht="15" hidden="false" customHeight="true" outlineLevel="0" collapsed="false">
      <c r="A958" s="6" t="s">
        <v>3570</v>
      </c>
      <c r="B958" s="6" t="s">
        <v>395</v>
      </c>
      <c r="C958" s="6" t="s">
        <v>128</v>
      </c>
      <c r="D958" s="13" t="n">
        <v>44643</v>
      </c>
      <c r="E958" s="14" t="n">
        <v>5235.37</v>
      </c>
      <c r="F958" s="14" t="n">
        <v>46392.36</v>
      </c>
      <c r="G958" s="6" t="s">
        <v>2613</v>
      </c>
    </row>
    <row r="959" customFormat="false" ht="15" hidden="false" customHeight="true" outlineLevel="0" collapsed="false">
      <c r="A959" s="6" t="s">
        <v>3571</v>
      </c>
      <c r="B959" s="6" t="s">
        <v>395</v>
      </c>
      <c r="C959" s="6" t="s">
        <v>128</v>
      </c>
      <c r="D959" s="13" t="n">
        <v>44650</v>
      </c>
      <c r="E959" s="14" t="n">
        <v>6279.26</v>
      </c>
      <c r="F959" s="14" t="n">
        <v>52671.62</v>
      </c>
      <c r="G959" s="6" t="s">
        <v>2623</v>
      </c>
    </row>
    <row r="960" customFormat="false" ht="15" hidden="false" customHeight="true" outlineLevel="0" collapsed="false">
      <c r="A960" s="6" t="s">
        <v>3572</v>
      </c>
      <c r="B960" s="6" t="s">
        <v>395</v>
      </c>
      <c r="C960" s="6" t="s">
        <v>128</v>
      </c>
      <c r="D960" s="13" t="n">
        <v>44657</v>
      </c>
      <c r="E960" s="14" t="n">
        <v>4738.06</v>
      </c>
      <c r="F960" s="14" t="n">
        <v>57409.68</v>
      </c>
      <c r="G960" s="6" t="s">
        <v>2613</v>
      </c>
    </row>
    <row r="961" customFormat="false" ht="15" hidden="false" customHeight="true" outlineLevel="0" collapsed="false">
      <c r="A961" s="6" t="s">
        <v>3573</v>
      </c>
      <c r="B961" s="6" t="s">
        <v>395</v>
      </c>
      <c r="C961" s="6" t="s">
        <v>128</v>
      </c>
      <c r="D961" s="13" t="n">
        <v>44664</v>
      </c>
      <c r="E961" s="14" t="n">
        <v>6277.84</v>
      </c>
      <c r="F961" s="14" t="n">
        <v>63687.52</v>
      </c>
      <c r="G961" s="6" t="s">
        <v>2613</v>
      </c>
    </row>
    <row r="962" customFormat="false" ht="15" hidden="false" customHeight="true" outlineLevel="0" collapsed="false">
      <c r="A962" s="6" t="s">
        <v>3574</v>
      </c>
      <c r="B962" s="6" t="s">
        <v>395</v>
      </c>
      <c r="C962" s="6" t="s">
        <v>128</v>
      </c>
      <c r="D962" s="13" t="n">
        <v>44671</v>
      </c>
      <c r="E962" s="14" t="n">
        <v>3644.67</v>
      </c>
      <c r="F962" s="14" t="n">
        <v>67332.19</v>
      </c>
      <c r="G962" s="6" t="s">
        <v>2613</v>
      </c>
    </row>
    <row r="963" customFormat="false" ht="15" hidden="false" customHeight="true" outlineLevel="0" collapsed="false">
      <c r="A963" s="6" t="s">
        <v>3575</v>
      </c>
      <c r="B963" s="6" t="s">
        <v>395</v>
      </c>
      <c r="C963" s="6" t="s">
        <v>128</v>
      </c>
      <c r="D963" s="13" t="n">
        <v>44678</v>
      </c>
      <c r="E963" s="14" t="n">
        <v>7753</v>
      </c>
      <c r="F963" s="14" t="n">
        <v>75085.19</v>
      </c>
      <c r="G963" s="6" t="s">
        <v>2613</v>
      </c>
    </row>
    <row r="964" customFormat="false" ht="15" hidden="false" customHeight="true" outlineLevel="0" collapsed="false">
      <c r="A964" s="6" t="s">
        <v>3576</v>
      </c>
      <c r="B964" s="6" t="s">
        <v>397</v>
      </c>
      <c r="C964" s="6" t="s">
        <v>116</v>
      </c>
      <c r="D964" s="13" t="n">
        <v>45035</v>
      </c>
      <c r="E964" s="14" t="n">
        <v>7173.71</v>
      </c>
      <c r="F964" s="14" t="n">
        <v>7173.71</v>
      </c>
      <c r="G964" s="6" t="s">
        <v>2613</v>
      </c>
    </row>
    <row r="965" customFormat="false" ht="15" hidden="false" customHeight="true" outlineLevel="0" collapsed="false">
      <c r="A965" s="6" t="s">
        <v>3577</v>
      </c>
      <c r="B965" s="6" t="s">
        <v>397</v>
      </c>
      <c r="C965" s="6" t="s">
        <v>116</v>
      </c>
      <c r="D965" s="13" t="n">
        <v>45042</v>
      </c>
      <c r="E965" s="14" t="n">
        <v>6129.37</v>
      </c>
      <c r="F965" s="14" t="n">
        <v>13303.08</v>
      </c>
      <c r="G965" s="6" t="s">
        <v>2613</v>
      </c>
    </row>
    <row r="966" customFormat="false" ht="15" hidden="false" customHeight="true" outlineLevel="0" collapsed="false">
      <c r="A966" s="6" t="s">
        <v>3578</v>
      </c>
      <c r="B966" s="6" t="s">
        <v>397</v>
      </c>
      <c r="C966" s="6" t="s">
        <v>116</v>
      </c>
      <c r="D966" s="13" t="n">
        <v>45049</v>
      </c>
      <c r="E966" s="14" t="n">
        <v>8390.93</v>
      </c>
      <c r="F966" s="14" t="n">
        <v>21694.01</v>
      </c>
      <c r="G966" s="6" t="s">
        <v>2613</v>
      </c>
    </row>
    <row r="967" customFormat="false" ht="15" hidden="false" customHeight="true" outlineLevel="0" collapsed="false">
      <c r="A967" s="6" t="s">
        <v>3579</v>
      </c>
      <c r="B967" s="6" t="s">
        <v>397</v>
      </c>
      <c r="C967" s="6" t="s">
        <v>116</v>
      </c>
      <c r="D967" s="13" t="n">
        <v>45056</v>
      </c>
      <c r="E967" s="14" t="n">
        <v>5780.47</v>
      </c>
      <c r="F967" s="14" t="n">
        <v>27474.48</v>
      </c>
      <c r="G967" s="6" t="s">
        <v>2613</v>
      </c>
    </row>
    <row r="968" customFormat="false" ht="15" hidden="false" customHeight="true" outlineLevel="0" collapsed="false">
      <c r="A968" s="6" t="s">
        <v>3580</v>
      </c>
      <c r="B968" s="6" t="s">
        <v>397</v>
      </c>
      <c r="C968" s="6" t="s">
        <v>116</v>
      </c>
      <c r="D968" s="13" t="n">
        <v>45063</v>
      </c>
      <c r="E968" s="14" t="n">
        <v>8964.47</v>
      </c>
      <c r="F968" s="14" t="n">
        <v>36438.95</v>
      </c>
      <c r="G968" s="6" t="s">
        <v>2613</v>
      </c>
    </row>
    <row r="969" customFormat="false" ht="15" hidden="false" customHeight="true" outlineLevel="0" collapsed="false">
      <c r="A969" s="6" t="s">
        <v>3581</v>
      </c>
      <c r="B969" s="6" t="s">
        <v>397</v>
      </c>
      <c r="C969" s="6" t="s">
        <v>116</v>
      </c>
      <c r="D969" s="13" t="n">
        <v>45070</v>
      </c>
      <c r="E969" s="14" t="n">
        <v>9723.52</v>
      </c>
      <c r="F969" s="14" t="n">
        <v>46162.47</v>
      </c>
      <c r="G969" s="6" t="s">
        <v>2613</v>
      </c>
    </row>
    <row r="970" customFormat="false" ht="15" hidden="false" customHeight="true" outlineLevel="0" collapsed="false">
      <c r="A970" s="6" t="s">
        <v>3582</v>
      </c>
      <c r="B970" s="6" t="s">
        <v>397</v>
      </c>
      <c r="C970" s="6" t="s">
        <v>116</v>
      </c>
      <c r="D970" s="13" t="n">
        <v>45077</v>
      </c>
      <c r="E970" s="14" t="n">
        <v>7607.57</v>
      </c>
      <c r="F970" s="14" t="n">
        <v>53770.04</v>
      </c>
      <c r="G970" s="6" t="s">
        <v>2613</v>
      </c>
    </row>
    <row r="971" customFormat="false" ht="15" hidden="false" customHeight="true" outlineLevel="0" collapsed="false">
      <c r="A971" s="6" t="s">
        <v>3583</v>
      </c>
      <c r="B971" s="6" t="s">
        <v>397</v>
      </c>
      <c r="C971" s="6" t="s">
        <v>116</v>
      </c>
      <c r="D971" s="13" t="n">
        <v>45084</v>
      </c>
      <c r="E971" s="14" t="n">
        <v>6380.12</v>
      </c>
      <c r="F971" s="14" t="n">
        <v>60150.16</v>
      </c>
      <c r="G971" s="6" t="s">
        <v>2613</v>
      </c>
    </row>
    <row r="972" customFormat="false" ht="15" hidden="false" customHeight="true" outlineLevel="0" collapsed="false">
      <c r="A972" s="6" t="s">
        <v>3584</v>
      </c>
      <c r="B972" s="6" t="s">
        <v>397</v>
      </c>
      <c r="C972" s="6" t="s">
        <v>116</v>
      </c>
      <c r="D972" s="13" t="n">
        <v>45091</v>
      </c>
      <c r="E972" s="14" t="n">
        <v>7491.69</v>
      </c>
      <c r="F972" s="14" t="n">
        <v>67641.85</v>
      </c>
      <c r="G972" s="6" t="s">
        <v>2613</v>
      </c>
    </row>
    <row r="973" customFormat="false" ht="15" hidden="false" customHeight="true" outlineLevel="0" collapsed="false">
      <c r="A973" s="6" t="s">
        <v>3585</v>
      </c>
      <c r="B973" s="6" t="s">
        <v>399</v>
      </c>
      <c r="C973" s="6" t="s">
        <v>128</v>
      </c>
      <c r="D973" s="13" t="n">
        <v>45130</v>
      </c>
      <c r="E973" s="14" t="n">
        <v>1676.68</v>
      </c>
      <c r="F973" s="14" t="n">
        <v>1676.68</v>
      </c>
      <c r="G973" s="6" t="s">
        <v>2613</v>
      </c>
    </row>
    <row r="974" customFormat="false" ht="15" hidden="false" customHeight="true" outlineLevel="0" collapsed="false">
      <c r="A974" s="6" t="s">
        <v>3586</v>
      </c>
      <c r="B974" s="6" t="s">
        <v>399</v>
      </c>
      <c r="C974" s="6" t="s">
        <v>128</v>
      </c>
      <c r="D974" s="13" t="n">
        <v>45137</v>
      </c>
      <c r="E974" s="14" t="n">
        <v>2092.19</v>
      </c>
      <c r="F974" s="14" t="n">
        <v>3768.87</v>
      </c>
      <c r="G974" s="6" t="s">
        <v>2613</v>
      </c>
    </row>
    <row r="975" customFormat="false" ht="15" hidden="false" customHeight="true" outlineLevel="0" collapsed="false">
      <c r="A975" s="6" t="s">
        <v>3587</v>
      </c>
      <c r="B975" s="6" t="s">
        <v>399</v>
      </c>
      <c r="C975" s="6" t="s">
        <v>128</v>
      </c>
      <c r="D975" s="13" t="n">
        <v>45144</v>
      </c>
      <c r="E975" s="14" t="n">
        <v>1810.94</v>
      </c>
      <c r="F975" s="14" t="n">
        <v>5579.81</v>
      </c>
      <c r="G975" s="6" t="s">
        <v>2613</v>
      </c>
    </row>
    <row r="976" customFormat="false" ht="15" hidden="false" customHeight="true" outlineLevel="0" collapsed="false">
      <c r="A976" s="6" t="s">
        <v>3588</v>
      </c>
      <c r="B976" s="6" t="s">
        <v>399</v>
      </c>
      <c r="C976" s="6" t="s">
        <v>128</v>
      </c>
      <c r="D976" s="13" t="n">
        <v>45151</v>
      </c>
      <c r="E976" s="14" t="n">
        <v>2500.56</v>
      </c>
      <c r="F976" s="14" t="n">
        <v>8080.37</v>
      </c>
      <c r="G976" s="6" t="s">
        <v>2613</v>
      </c>
    </row>
    <row r="977" customFormat="false" ht="15" hidden="false" customHeight="true" outlineLevel="0" collapsed="false">
      <c r="A977" s="6" t="s">
        <v>3589</v>
      </c>
      <c r="B977" s="6" t="s">
        <v>399</v>
      </c>
      <c r="C977" s="6" t="s">
        <v>128</v>
      </c>
      <c r="D977" s="13" t="n">
        <v>45158</v>
      </c>
      <c r="E977" s="14" t="n">
        <v>1902.38</v>
      </c>
      <c r="F977" s="14" t="n">
        <v>9982.75</v>
      </c>
      <c r="G977" s="6" t="s">
        <v>2613</v>
      </c>
    </row>
    <row r="978" customFormat="false" ht="15" hidden="false" customHeight="true" outlineLevel="0" collapsed="false">
      <c r="A978" s="6" t="s">
        <v>3590</v>
      </c>
      <c r="B978" s="6" t="s">
        <v>399</v>
      </c>
      <c r="C978" s="6" t="s">
        <v>128</v>
      </c>
      <c r="D978" s="13" t="n">
        <v>45165</v>
      </c>
      <c r="E978" s="14" t="n">
        <v>981.27</v>
      </c>
      <c r="F978" s="14" t="n">
        <v>10964.02</v>
      </c>
      <c r="G978" s="6" t="s">
        <v>2613</v>
      </c>
    </row>
    <row r="979" customFormat="false" ht="15" hidden="false" customHeight="true" outlineLevel="0" collapsed="false">
      <c r="A979" s="6" t="s">
        <v>3591</v>
      </c>
      <c r="B979" s="6" t="s">
        <v>402</v>
      </c>
      <c r="C979" s="6" t="s">
        <v>120</v>
      </c>
      <c r="D979" s="13" t="n">
        <v>45407</v>
      </c>
      <c r="E979" s="14" t="n">
        <v>450.67</v>
      </c>
      <c r="F979" s="14" t="n">
        <v>450.67</v>
      </c>
      <c r="G979" s="6" t="s">
        <v>2613</v>
      </c>
    </row>
    <row r="980" customFormat="false" ht="15" hidden="false" customHeight="true" outlineLevel="0" collapsed="false">
      <c r="A980" s="6" t="s">
        <v>3592</v>
      </c>
      <c r="B980" s="6" t="s">
        <v>402</v>
      </c>
      <c r="C980" s="6" t="s">
        <v>120</v>
      </c>
      <c r="D980" s="13" t="n">
        <v>45414</v>
      </c>
      <c r="E980" s="14" t="n">
        <v>321.27</v>
      </c>
      <c r="F980" s="14" t="n">
        <v>771.94</v>
      </c>
      <c r="G980" s="6" t="s">
        <v>2613</v>
      </c>
    </row>
    <row r="981" customFormat="false" ht="15" hidden="false" customHeight="true" outlineLevel="0" collapsed="false">
      <c r="A981" s="6" t="s">
        <v>3593</v>
      </c>
      <c r="B981" s="6" t="s">
        <v>402</v>
      </c>
      <c r="C981" s="6" t="s">
        <v>120</v>
      </c>
      <c r="D981" s="13" t="n">
        <v>45421</v>
      </c>
      <c r="E981" s="14" t="n">
        <v>242.3</v>
      </c>
      <c r="F981" s="14" t="n">
        <v>1014.24</v>
      </c>
      <c r="G981" s="6" t="s">
        <v>2613</v>
      </c>
    </row>
    <row r="982" customFormat="false" ht="15" hidden="false" customHeight="true" outlineLevel="0" collapsed="false">
      <c r="A982" s="6" t="s">
        <v>3594</v>
      </c>
      <c r="B982" s="6" t="s">
        <v>402</v>
      </c>
      <c r="C982" s="6" t="s">
        <v>120</v>
      </c>
      <c r="D982" s="13" t="n">
        <v>45428</v>
      </c>
      <c r="E982" s="14" t="n">
        <v>255.57</v>
      </c>
      <c r="F982" s="14" t="n">
        <v>1269.81</v>
      </c>
      <c r="G982" s="6" t="s">
        <v>2613</v>
      </c>
    </row>
    <row r="983" customFormat="false" ht="15" hidden="false" customHeight="true" outlineLevel="0" collapsed="false">
      <c r="A983" s="6" t="s">
        <v>3595</v>
      </c>
      <c r="B983" s="6" t="s">
        <v>402</v>
      </c>
      <c r="C983" s="6" t="s">
        <v>120</v>
      </c>
      <c r="D983" s="13" t="n">
        <v>45435</v>
      </c>
      <c r="E983" s="14" t="n">
        <v>444.34</v>
      </c>
      <c r="F983" s="14" t="n">
        <v>1714.15</v>
      </c>
      <c r="G983" s="6" t="s">
        <v>2613</v>
      </c>
    </row>
    <row r="984" customFormat="false" ht="15" hidden="false" customHeight="true" outlineLevel="0" collapsed="false">
      <c r="A984" s="6" t="s">
        <v>3596</v>
      </c>
      <c r="B984" s="6" t="s">
        <v>402</v>
      </c>
      <c r="C984" s="6" t="s">
        <v>120</v>
      </c>
      <c r="D984" s="13" t="n">
        <v>45442</v>
      </c>
      <c r="E984" s="14" t="n">
        <v>383.02</v>
      </c>
      <c r="F984" s="14" t="n">
        <v>2097.17</v>
      </c>
      <c r="G984" s="6" t="s">
        <v>2613</v>
      </c>
    </row>
    <row r="985" customFormat="false" ht="15" hidden="false" customHeight="true" outlineLevel="0" collapsed="false">
      <c r="A985" s="6" t="s">
        <v>3597</v>
      </c>
      <c r="B985" s="6" t="s">
        <v>402</v>
      </c>
      <c r="C985" s="6" t="s">
        <v>120</v>
      </c>
      <c r="D985" s="13" t="n">
        <v>45449</v>
      </c>
      <c r="E985" s="14" t="n">
        <v>431.87</v>
      </c>
      <c r="F985" s="14" t="n">
        <v>2529.04</v>
      </c>
      <c r="G985" s="6" t="s">
        <v>2613</v>
      </c>
    </row>
    <row r="986" customFormat="false" ht="15" hidden="false" customHeight="true" outlineLevel="0" collapsed="false">
      <c r="A986" s="6" t="s">
        <v>3598</v>
      </c>
      <c r="B986" s="6" t="s">
        <v>402</v>
      </c>
      <c r="C986" s="6" t="s">
        <v>120</v>
      </c>
      <c r="D986" s="13" t="n">
        <v>45456</v>
      </c>
      <c r="E986" s="14" t="n">
        <v>317.31</v>
      </c>
      <c r="F986" s="14" t="n">
        <v>2846.35</v>
      </c>
      <c r="G986" s="6" t="s">
        <v>2613</v>
      </c>
    </row>
    <row r="987" customFormat="false" ht="15" hidden="false" customHeight="true" outlineLevel="0" collapsed="false">
      <c r="A987" s="6" t="s">
        <v>3599</v>
      </c>
      <c r="B987" s="6" t="s">
        <v>402</v>
      </c>
      <c r="C987" s="6" t="s">
        <v>120</v>
      </c>
      <c r="D987" s="13" t="n">
        <v>45463</v>
      </c>
      <c r="E987" s="14" t="n">
        <v>276.14</v>
      </c>
      <c r="F987" s="14" t="n">
        <v>3122.49</v>
      </c>
      <c r="G987" s="6" t="s">
        <v>2613</v>
      </c>
    </row>
    <row r="988" customFormat="false" ht="15" hidden="false" customHeight="true" outlineLevel="0" collapsed="false">
      <c r="A988" s="6" t="s">
        <v>3600</v>
      </c>
      <c r="B988" s="6" t="s">
        <v>402</v>
      </c>
      <c r="C988" s="6" t="s">
        <v>120</v>
      </c>
      <c r="D988" s="13" t="n">
        <v>45470</v>
      </c>
      <c r="E988" s="14" t="n">
        <v>360.51</v>
      </c>
      <c r="F988" s="14" t="n">
        <v>3483</v>
      </c>
      <c r="G988" s="6" t="s">
        <v>2613</v>
      </c>
    </row>
    <row r="989" customFormat="false" ht="15" hidden="false" customHeight="true" outlineLevel="0" collapsed="false">
      <c r="A989" s="6" t="s">
        <v>3601</v>
      </c>
      <c r="B989" s="6" t="s">
        <v>402</v>
      </c>
      <c r="C989" s="6" t="s">
        <v>120</v>
      </c>
      <c r="D989" s="13" t="n">
        <v>45477</v>
      </c>
      <c r="E989" s="14" t="n">
        <v>198.77</v>
      </c>
      <c r="F989" s="14" t="n">
        <v>3681.77</v>
      </c>
      <c r="G989" s="6" t="s">
        <v>2613</v>
      </c>
    </row>
    <row r="990" customFormat="false" ht="15" hidden="false" customHeight="true" outlineLevel="0" collapsed="false">
      <c r="A990" s="6" t="s">
        <v>3602</v>
      </c>
      <c r="B990" s="6" t="s">
        <v>402</v>
      </c>
      <c r="C990" s="6" t="s">
        <v>120</v>
      </c>
      <c r="D990" s="13" t="n">
        <v>45484</v>
      </c>
      <c r="E990" s="14" t="n">
        <v>450.5</v>
      </c>
      <c r="F990" s="14" t="n">
        <v>4132.27</v>
      </c>
      <c r="G990" s="6" t="s">
        <v>2613</v>
      </c>
    </row>
    <row r="991" customFormat="false" ht="15" hidden="false" customHeight="true" outlineLevel="0" collapsed="false">
      <c r="A991" s="6" t="s">
        <v>3603</v>
      </c>
      <c r="B991" s="6" t="s">
        <v>402</v>
      </c>
      <c r="C991" s="6" t="s">
        <v>120</v>
      </c>
      <c r="D991" s="13" t="n">
        <v>45491</v>
      </c>
      <c r="E991" s="14" t="n">
        <v>344.2</v>
      </c>
      <c r="F991" s="14" t="n">
        <v>4476.47</v>
      </c>
      <c r="G991" s="6" t="s">
        <v>2613</v>
      </c>
    </row>
    <row r="992" customFormat="false" ht="15" hidden="false" customHeight="true" outlineLevel="0" collapsed="false">
      <c r="A992" s="6" t="s">
        <v>3604</v>
      </c>
      <c r="B992" s="6" t="s">
        <v>402</v>
      </c>
      <c r="C992" s="6" t="s">
        <v>120</v>
      </c>
      <c r="D992" s="13" t="n">
        <v>45498</v>
      </c>
      <c r="E992" s="14" t="n">
        <v>271.03</v>
      </c>
      <c r="F992" s="14" t="n">
        <v>4747.5</v>
      </c>
      <c r="G992" s="6" t="s">
        <v>2613</v>
      </c>
    </row>
    <row r="993" customFormat="false" ht="15" hidden="false" customHeight="true" outlineLevel="0" collapsed="false">
      <c r="A993" s="6" t="s">
        <v>3605</v>
      </c>
      <c r="B993" s="6" t="s">
        <v>402</v>
      </c>
      <c r="C993" s="6" t="s">
        <v>120</v>
      </c>
      <c r="D993" s="13" t="n">
        <v>45505</v>
      </c>
      <c r="E993" s="14" t="n">
        <v>323.28</v>
      </c>
      <c r="F993" s="14" t="n">
        <v>5070.78</v>
      </c>
      <c r="G993" s="6" t="s">
        <v>2613</v>
      </c>
    </row>
    <row r="994" customFormat="false" ht="15" hidden="false" customHeight="true" outlineLevel="0" collapsed="false">
      <c r="A994" s="6" t="s">
        <v>3606</v>
      </c>
      <c r="B994" s="6" t="s">
        <v>402</v>
      </c>
      <c r="C994" s="6" t="s">
        <v>120</v>
      </c>
      <c r="D994" s="13" t="n">
        <v>45512</v>
      </c>
      <c r="E994" s="14" t="n">
        <v>269.41</v>
      </c>
      <c r="F994" s="14" t="n">
        <v>5340.19</v>
      </c>
      <c r="G994" s="6" t="s">
        <v>2613</v>
      </c>
    </row>
    <row r="995" customFormat="false" ht="15" hidden="false" customHeight="true" outlineLevel="0" collapsed="false">
      <c r="A995" s="6" t="s">
        <v>3607</v>
      </c>
      <c r="B995" s="6" t="s">
        <v>402</v>
      </c>
      <c r="C995" s="6" t="s">
        <v>120</v>
      </c>
      <c r="D995" s="13" t="n">
        <v>45519</v>
      </c>
      <c r="E995" s="14" t="n">
        <v>269.51</v>
      </c>
      <c r="F995" s="14" t="n">
        <v>5609.7</v>
      </c>
      <c r="G995" s="6" t="s">
        <v>2613</v>
      </c>
    </row>
    <row r="996" customFormat="false" ht="15" hidden="false" customHeight="true" outlineLevel="0" collapsed="false">
      <c r="A996" s="6" t="s">
        <v>3608</v>
      </c>
      <c r="B996" s="6" t="s">
        <v>402</v>
      </c>
      <c r="C996" s="6" t="s">
        <v>120</v>
      </c>
      <c r="D996" s="13" t="n">
        <v>45526</v>
      </c>
      <c r="E996" s="14" t="n">
        <v>446.75</v>
      </c>
      <c r="F996" s="14" t="n">
        <v>6056.45</v>
      </c>
      <c r="G996" s="6" t="s">
        <v>2613</v>
      </c>
    </row>
    <row r="997" customFormat="false" ht="15" hidden="false" customHeight="true" outlineLevel="0" collapsed="false">
      <c r="A997" s="6" t="s">
        <v>3609</v>
      </c>
      <c r="B997" s="6" t="s">
        <v>402</v>
      </c>
      <c r="C997" s="6" t="s">
        <v>120</v>
      </c>
      <c r="D997" s="13" t="n">
        <v>45533</v>
      </c>
      <c r="E997" s="14" t="n">
        <v>246.28</v>
      </c>
      <c r="F997" s="14" t="n">
        <v>6302.73</v>
      </c>
      <c r="G997" s="6" t="s">
        <v>2613</v>
      </c>
    </row>
    <row r="998" customFormat="false" ht="15" hidden="false" customHeight="true" outlineLevel="0" collapsed="false">
      <c r="A998" s="6" t="s">
        <v>3610</v>
      </c>
      <c r="B998" s="6" t="s">
        <v>402</v>
      </c>
      <c r="C998" s="6" t="s">
        <v>120</v>
      </c>
      <c r="D998" s="13" t="n">
        <v>45540</v>
      </c>
      <c r="E998" s="14" t="n">
        <v>259.91</v>
      </c>
      <c r="F998" s="14" t="n">
        <v>6562.64</v>
      </c>
      <c r="G998" s="6" t="s">
        <v>2623</v>
      </c>
    </row>
    <row r="999" customFormat="false" ht="15" hidden="false" customHeight="true" outlineLevel="0" collapsed="false">
      <c r="A999" s="6" t="s">
        <v>3611</v>
      </c>
      <c r="B999" s="6" t="s">
        <v>402</v>
      </c>
      <c r="C999" s="6" t="s">
        <v>120</v>
      </c>
      <c r="D999" s="13" t="n">
        <v>45547</v>
      </c>
      <c r="E999" s="14" t="n">
        <v>421.85</v>
      </c>
      <c r="F999" s="14" t="n">
        <v>6984.49</v>
      </c>
      <c r="G999" s="6" t="s">
        <v>2613</v>
      </c>
    </row>
    <row r="1000" customFormat="false" ht="15" hidden="false" customHeight="true" outlineLevel="0" collapsed="false">
      <c r="A1000" s="6" t="s">
        <v>3612</v>
      </c>
      <c r="B1000" s="6" t="s">
        <v>402</v>
      </c>
      <c r="C1000" s="6" t="s">
        <v>120</v>
      </c>
      <c r="D1000" s="13" t="n">
        <v>45554</v>
      </c>
      <c r="E1000" s="14" t="n">
        <v>233.05</v>
      </c>
      <c r="F1000" s="14" t="n">
        <v>7217.54</v>
      </c>
      <c r="G1000" s="6" t="s">
        <v>2613</v>
      </c>
    </row>
    <row r="1001" customFormat="false" ht="15" hidden="false" customHeight="true" outlineLevel="0" collapsed="false">
      <c r="A1001" s="6" t="s">
        <v>3613</v>
      </c>
      <c r="B1001" s="6" t="s">
        <v>404</v>
      </c>
      <c r="C1001" s="6" t="s">
        <v>120</v>
      </c>
      <c r="D1001" s="13" t="n">
        <v>44957</v>
      </c>
      <c r="E1001" s="14" t="n">
        <v>8423.32</v>
      </c>
      <c r="F1001" s="14" t="n">
        <v>8423.32</v>
      </c>
      <c r="G1001" s="6" t="s">
        <v>2613</v>
      </c>
    </row>
    <row r="1002" customFormat="false" ht="15" hidden="false" customHeight="true" outlineLevel="0" collapsed="false">
      <c r="A1002" s="6" t="s">
        <v>3614</v>
      </c>
      <c r="B1002" s="6" t="s">
        <v>404</v>
      </c>
      <c r="C1002" s="6" t="s">
        <v>120</v>
      </c>
      <c r="D1002" s="13" t="n">
        <v>44964</v>
      </c>
      <c r="E1002" s="14" t="n">
        <v>7188.35</v>
      </c>
      <c r="F1002" s="14" t="n">
        <v>15611.67</v>
      </c>
      <c r="G1002" s="6" t="s">
        <v>2613</v>
      </c>
    </row>
    <row r="1003" customFormat="false" ht="15" hidden="false" customHeight="true" outlineLevel="0" collapsed="false">
      <c r="A1003" s="6" t="s">
        <v>3615</v>
      </c>
      <c r="B1003" s="6" t="s">
        <v>404</v>
      </c>
      <c r="C1003" s="6" t="s">
        <v>120</v>
      </c>
      <c r="D1003" s="13" t="n">
        <v>44971</v>
      </c>
      <c r="E1003" s="14" t="n">
        <v>6500.8</v>
      </c>
      <c r="F1003" s="14" t="n">
        <v>22112.47</v>
      </c>
      <c r="G1003" s="6" t="s">
        <v>2613</v>
      </c>
    </row>
    <row r="1004" customFormat="false" ht="15" hidden="false" customHeight="true" outlineLevel="0" collapsed="false">
      <c r="A1004" s="6" t="s">
        <v>3616</v>
      </c>
      <c r="B1004" s="6" t="s">
        <v>404</v>
      </c>
      <c r="C1004" s="6" t="s">
        <v>120</v>
      </c>
      <c r="D1004" s="13" t="n">
        <v>44978</v>
      </c>
      <c r="E1004" s="14" t="n">
        <v>5395.28</v>
      </c>
      <c r="F1004" s="14" t="n">
        <v>27507.75</v>
      </c>
      <c r="G1004" s="6" t="s">
        <v>2613</v>
      </c>
    </row>
    <row r="1005" customFormat="false" ht="15" hidden="false" customHeight="true" outlineLevel="0" collapsed="false">
      <c r="A1005" s="6" t="s">
        <v>3617</v>
      </c>
      <c r="B1005" s="6" t="s">
        <v>404</v>
      </c>
      <c r="C1005" s="6" t="s">
        <v>120</v>
      </c>
      <c r="D1005" s="13" t="n">
        <v>44985</v>
      </c>
      <c r="E1005" s="14" t="n">
        <v>7672.25</v>
      </c>
      <c r="F1005" s="14" t="n">
        <v>35180</v>
      </c>
      <c r="G1005" s="6" t="s">
        <v>2613</v>
      </c>
    </row>
    <row r="1006" customFormat="false" ht="15" hidden="false" customHeight="true" outlineLevel="0" collapsed="false">
      <c r="A1006" s="6" t="s">
        <v>3618</v>
      </c>
      <c r="B1006" s="6" t="s">
        <v>404</v>
      </c>
      <c r="C1006" s="6" t="s">
        <v>120</v>
      </c>
      <c r="D1006" s="13" t="n">
        <v>44992</v>
      </c>
      <c r="E1006" s="14" t="n">
        <v>7159.3</v>
      </c>
      <c r="F1006" s="14" t="n">
        <v>42339.3</v>
      </c>
      <c r="G1006" s="6" t="s">
        <v>2613</v>
      </c>
    </row>
    <row r="1007" customFormat="false" ht="15" hidden="false" customHeight="true" outlineLevel="0" collapsed="false">
      <c r="A1007" s="6" t="s">
        <v>3619</v>
      </c>
      <c r="B1007" s="6" t="s">
        <v>404</v>
      </c>
      <c r="C1007" s="6" t="s">
        <v>120</v>
      </c>
      <c r="D1007" s="13" t="n">
        <v>44999</v>
      </c>
      <c r="E1007" s="14" t="n">
        <v>8975.26</v>
      </c>
      <c r="F1007" s="14" t="n">
        <v>51314.56</v>
      </c>
      <c r="G1007" s="6" t="s">
        <v>2613</v>
      </c>
    </row>
    <row r="1008" customFormat="false" ht="15" hidden="false" customHeight="true" outlineLevel="0" collapsed="false">
      <c r="A1008" s="6" t="s">
        <v>3620</v>
      </c>
      <c r="B1008" s="6" t="s">
        <v>406</v>
      </c>
      <c r="C1008" s="6" t="s">
        <v>128</v>
      </c>
      <c r="D1008" s="13" t="n">
        <v>45518</v>
      </c>
      <c r="E1008" s="14" t="n">
        <v>5489.07</v>
      </c>
      <c r="F1008" s="14" t="n">
        <v>5489.07</v>
      </c>
      <c r="G1008" s="6" t="s">
        <v>2613</v>
      </c>
    </row>
    <row r="1009" customFormat="false" ht="15" hidden="false" customHeight="true" outlineLevel="0" collapsed="false">
      <c r="A1009" s="6" t="s">
        <v>3621</v>
      </c>
      <c r="B1009" s="6" t="s">
        <v>406</v>
      </c>
      <c r="C1009" s="6" t="s">
        <v>128</v>
      </c>
      <c r="D1009" s="13" t="n">
        <v>45525</v>
      </c>
      <c r="E1009" s="14" t="n">
        <v>5753.63</v>
      </c>
      <c r="F1009" s="14" t="n">
        <v>11242.7</v>
      </c>
      <c r="G1009" s="6" t="s">
        <v>2623</v>
      </c>
    </row>
    <row r="1010" customFormat="false" ht="15" hidden="false" customHeight="true" outlineLevel="0" collapsed="false">
      <c r="A1010" s="6" t="s">
        <v>3622</v>
      </c>
      <c r="B1010" s="6" t="s">
        <v>406</v>
      </c>
      <c r="C1010" s="6" t="s">
        <v>128</v>
      </c>
      <c r="D1010" s="13" t="n">
        <v>45532</v>
      </c>
      <c r="E1010" s="14" t="n">
        <v>5567.29</v>
      </c>
      <c r="F1010" s="14" t="n">
        <v>16809.99</v>
      </c>
      <c r="G1010" s="6" t="s">
        <v>2613</v>
      </c>
    </row>
    <row r="1011" customFormat="false" ht="15" hidden="false" customHeight="true" outlineLevel="0" collapsed="false">
      <c r="A1011" s="6" t="s">
        <v>3623</v>
      </c>
      <c r="B1011" s="6" t="s">
        <v>406</v>
      </c>
      <c r="C1011" s="6" t="s">
        <v>128</v>
      </c>
      <c r="D1011" s="13" t="n">
        <v>45539</v>
      </c>
      <c r="E1011" s="14" t="n">
        <v>5492.82</v>
      </c>
      <c r="F1011" s="14" t="n">
        <v>22302.81</v>
      </c>
      <c r="G1011" s="6" t="s">
        <v>2613</v>
      </c>
    </row>
    <row r="1012" customFormat="false" ht="15" hidden="false" customHeight="true" outlineLevel="0" collapsed="false">
      <c r="A1012" s="6" t="s">
        <v>3624</v>
      </c>
      <c r="B1012" s="6" t="s">
        <v>406</v>
      </c>
      <c r="C1012" s="6" t="s">
        <v>128</v>
      </c>
      <c r="D1012" s="13" t="n">
        <v>45546</v>
      </c>
      <c r="E1012" s="14" t="n">
        <v>3560.09</v>
      </c>
      <c r="F1012" s="14" t="n">
        <v>25862.9</v>
      </c>
      <c r="G1012" s="6" t="s">
        <v>2623</v>
      </c>
    </row>
    <row r="1013" customFormat="false" ht="15" hidden="false" customHeight="true" outlineLevel="0" collapsed="false">
      <c r="A1013" s="6" t="s">
        <v>3625</v>
      </c>
      <c r="B1013" s="6" t="s">
        <v>406</v>
      </c>
      <c r="C1013" s="6" t="s">
        <v>128</v>
      </c>
      <c r="D1013" s="13" t="n">
        <v>45553</v>
      </c>
      <c r="E1013" s="14" t="n">
        <v>5447.8</v>
      </c>
      <c r="F1013" s="14" t="n">
        <v>31310.7</v>
      </c>
      <c r="G1013" s="6" t="s">
        <v>2613</v>
      </c>
    </row>
    <row r="1014" customFormat="false" ht="15" hidden="false" customHeight="true" outlineLevel="0" collapsed="false">
      <c r="A1014" s="6" t="s">
        <v>3626</v>
      </c>
      <c r="B1014" s="6" t="s">
        <v>406</v>
      </c>
      <c r="C1014" s="6" t="s">
        <v>128</v>
      </c>
      <c r="D1014" s="13" t="n">
        <v>45560</v>
      </c>
      <c r="E1014" s="14" t="n">
        <v>3227.09</v>
      </c>
      <c r="F1014" s="14" t="n">
        <v>34537.79</v>
      </c>
      <c r="G1014" s="6" t="s">
        <v>2613</v>
      </c>
    </row>
    <row r="1015" customFormat="false" ht="15" hidden="false" customHeight="true" outlineLevel="0" collapsed="false">
      <c r="A1015" s="6" t="s">
        <v>3627</v>
      </c>
      <c r="B1015" s="6" t="s">
        <v>406</v>
      </c>
      <c r="C1015" s="6" t="s">
        <v>128</v>
      </c>
      <c r="D1015" s="13" t="n">
        <v>45567</v>
      </c>
      <c r="E1015" s="14" t="n">
        <v>4480.53</v>
      </c>
      <c r="F1015" s="14" t="n">
        <v>39018.32</v>
      </c>
      <c r="G1015" s="6" t="s">
        <v>2613</v>
      </c>
    </row>
    <row r="1016" customFormat="false" ht="15" hidden="false" customHeight="true" outlineLevel="0" collapsed="false">
      <c r="A1016" s="6" t="s">
        <v>3628</v>
      </c>
      <c r="B1016" s="6" t="s">
        <v>406</v>
      </c>
      <c r="C1016" s="6" t="s">
        <v>128</v>
      </c>
      <c r="D1016" s="13" t="n">
        <v>45574</v>
      </c>
      <c r="E1016" s="14" t="n">
        <v>4100.76</v>
      </c>
      <c r="F1016" s="14" t="n">
        <v>43119.08</v>
      </c>
      <c r="G1016" s="6" t="s">
        <v>2613</v>
      </c>
    </row>
    <row r="1017" customFormat="false" ht="15" hidden="false" customHeight="true" outlineLevel="0" collapsed="false">
      <c r="A1017" s="6" t="s">
        <v>3629</v>
      </c>
      <c r="B1017" s="6" t="s">
        <v>406</v>
      </c>
      <c r="C1017" s="6" t="s">
        <v>128</v>
      </c>
      <c r="D1017" s="13" t="n">
        <v>45581</v>
      </c>
      <c r="E1017" s="14" t="n">
        <v>3574.2</v>
      </c>
      <c r="F1017" s="14" t="n">
        <v>46693.28</v>
      </c>
      <c r="G1017" s="6" t="s">
        <v>2613</v>
      </c>
    </row>
    <row r="1018" customFormat="false" ht="15" hidden="false" customHeight="true" outlineLevel="0" collapsed="false">
      <c r="A1018" s="6" t="s">
        <v>3630</v>
      </c>
      <c r="B1018" s="6" t="s">
        <v>408</v>
      </c>
      <c r="C1018" s="6" t="s">
        <v>124</v>
      </c>
      <c r="D1018" s="13" t="n">
        <v>46132</v>
      </c>
      <c r="E1018" s="14" t="n">
        <v>3419.82</v>
      </c>
      <c r="F1018" s="14" t="n">
        <v>3419.82</v>
      </c>
      <c r="G1018" s="6" t="s">
        <v>2613</v>
      </c>
    </row>
    <row r="1019" customFormat="false" ht="15" hidden="false" customHeight="true" outlineLevel="0" collapsed="false">
      <c r="A1019" s="6" t="s">
        <v>3631</v>
      </c>
      <c r="B1019" s="6" t="s">
        <v>410</v>
      </c>
      <c r="C1019" s="6" t="s">
        <v>124</v>
      </c>
      <c r="D1019" s="13" t="n">
        <v>45656</v>
      </c>
      <c r="E1019" s="14" t="n">
        <v>8919.84</v>
      </c>
      <c r="F1019" s="14" t="n">
        <v>8919.84</v>
      </c>
      <c r="G1019" s="6" t="s">
        <v>2613</v>
      </c>
    </row>
    <row r="1020" customFormat="false" ht="15" hidden="false" customHeight="true" outlineLevel="0" collapsed="false">
      <c r="A1020" s="6" t="s">
        <v>3632</v>
      </c>
      <c r="B1020" s="6" t="s">
        <v>410</v>
      </c>
      <c r="C1020" s="6" t="s">
        <v>124</v>
      </c>
      <c r="D1020" s="13" t="n">
        <v>45663</v>
      </c>
      <c r="E1020" s="14" t="n">
        <v>9352.9</v>
      </c>
      <c r="F1020" s="14" t="n">
        <v>18272.74</v>
      </c>
      <c r="G1020" s="6" t="s">
        <v>2613</v>
      </c>
    </row>
    <row r="1021" customFormat="false" ht="15" hidden="false" customHeight="true" outlineLevel="0" collapsed="false">
      <c r="A1021" s="6" t="s">
        <v>3633</v>
      </c>
      <c r="B1021" s="6" t="s">
        <v>410</v>
      </c>
      <c r="C1021" s="6" t="s">
        <v>124</v>
      </c>
      <c r="D1021" s="13" t="n">
        <v>45670</v>
      </c>
      <c r="E1021" s="14" t="n">
        <v>5694.78</v>
      </c>
      <c r="F1021" s="14" t="n">
        <v>23967.52</v>
      </c>
      <c r="G1021" s="6" t="s">
        <v>2613</v>
      </c>
    </row>
    <row r="1022" customFormat="false" ht="15" hidden="false" customHeight="true" outlineLevel="0" collapsed="false">
      <c r="A1022" s="6" t="s">
        <v>3634</v>
      </c>
      <c r="B1022" s="6" t="s">
        <v>410</v>
      </c>
      <c r="C1022" s="6" t="s">
        <v>124</v>
      </c>
      <c r="D1022" s="13" t="n">
        <v>45677</v>
      </c>
      <c r="E1022" s="14" t="n">
        <v>8673.53</v>
      </c>
      <c r="F1022" s="14" t="n">
        <v>32641.05</v>
      </c>
      <c r="G1022" s="6" t="s">
        <v>2613</v>
      </c>
    </row>
    <row r="1023" customFormat="false" ht="15" hidden="false" customHeight="true" outlineLevel="0" collapsed="false">
      <c r="A1023" s="6" t="s">
        <v>3635</v>
      </c>
      <c r="B1023" s="6" t="s">
        <v>410</v>
      </c>
      <c r="C1023" s="6" t="s">
        <v>124</v>
      </c>
      <c r="D1023" s="13" t="n">
        <v>45684</v>
      </c>
      <c r="E1023" s="14" t="n">
        <v>10197.26</v>
      </c>
      <c r="F1023" s="14" t="n">
        <v>42838.31</v>
      </c>
      <c r="G1023" s="6" t="s">
        <v>2613</v>
      </c>
    </row>
    <row r="1024" customFormat="false" ht="15" hidden="false" customHeight="true" outlineLevel="0" collapsed="false">
      <c r="A1024" s="6" t="s">
        <v>3636</v>
      </c>
      <c r="B1024" s="6" t="s">
        <v>410</v>
      </c>
      <c r="C1024" s="6" t="s">
        <v>124</v>
      </c>
      <c r="D1024" s="13" t="n">
        <v>45691</v>
      </c>
      <c r="E1024" s="14" t="n">
        <v>6743.74</v>
      </c>
      <c r="F1024" s="14" t="n">
        <v>49582.05</v>
      </c>
      <c r="G1024" s="6" t="s">
        <v>2613</v>
      </c>
    </row>
    <row r="1025" customFormat="false" ht="15" hidden="false" customHeight="true" outlineLevel="0" collapsed="false">
      <c r="A1025" s="6" t="s">
        <v>3637</v>
      </c>
      <c r="B1025" s="6" t="s">
        <v>410</v>
      </c>
      <c r="C1025" s="6" t="s">
        <v>124</v>
      </c>
      <c r="D1025" s="13" t="n">
        <v>45698</v>
      </c>
      <c r="E1025" s="14" t="n">
        <v>8723.41</v>
      </c>
      <c r="F1025" s="14" t="n">
        <v>58305.46</v>
      </c>
      <c r="G1025" s="6" t="s">
        <v>2613</v>
      </c>
    </row>
    <row r="1026" customFormat="false" ht="15" hidden="false" customHeight="true" outlineLevel="0" collapsed="false">
      <c r="A1026" s="6" t="s">
        <v>3638</v>
      </c>
      <c r="B1026" s="6" t="s">
        <v>410</v>
      </c>
      <c r="C1026" s="6" t="s">
        <v>124</v>
      </c>
      <c r="D1026" s="13" t="n">
        <v>45705</v>
      </c>
      <c r="E1026" s="14" t="n">
        <v>10612.78</v>
      </c>
      <c r="F1026" s="14" t="n">
        <v>68918.24</v>
      </c>
      <c r="G1026" s="6" t="s">
        <v>2613</v>
      </c>
    </row>
    <row r="1027" customFormat="false" ht="15" hidden="false" customHeight="true" outlineLevel="0" collapsed="false">
      <c r="A1027" s="6" t="s">
        <v>3639</v>
      </c>
      <c r="B1027" s="6" t="s">
        <v>410</v>
      </c>
      <c r="C1027" s="6" t="s">
        <v>124</v>
      </c>
      <c r="D1027" s="13" t="n">
        <v>45712</v>
      </c>
      <c r="E1027" s="14" t="n">
        <v>7080.05</v>
      </c>
      <c r="F1027" s="14" t="n">
        <v>75998.29</v>
      </c>
      <c r="G1027" s="6" t="s">
        <v>2613</v>
      </c>
    </row>
    <row r="1028" customFormat="false" ht="15" hidden="false" customHeight="true" outlineLevel="0" collapsed="false">
      <c r="A1028" s="6" t="s">
        <v>3640</v>
      </c>
      <c r="B1028" s="6" t="s">
        <v>410</v>
      </c>
      <c r="C1028" s="6" t="s">
        <v>124</v>
      </c>
      <c r="D1028" s="13" t="n">
        <v>45719</v>
      </c>
      <c r="E1028" s="14" t="n">
        <v>7187.07</v>
      </c>
      <c r="F1028" s="14" t="n">
        <v>83185.36</v>
      </c>
      <c r="G1028" s="6" t="s">
        <v>2613</v>
      </c>
    </row>
    <row r="1029" customFormat="false" ht="15" hidden="false" customHeight="true" outlineLevel="0" collapsed="false">
      <c r="A1029" s="6" t="s">
        <v>3641</v>
      </c>
      <c r="B1029" s="6" t="s">
        <v>410</v>
      </c>
      <c r="C1029" s="6" t="s">
        <v>124</v>
      </c>
      <c r="D1029" s="13" t="n">
        <v>45726</v>
      </c>
      <c r="E1029" s="14" t="n">
        <v>11002.25</v>
      </c>
      <c r="F1029" s="14" t="n">
        <v>94187.61</v>
      </c>
      <c r="G1029" s="6" t="s">
        <v>2613</v>
      </c>
    </row>
    <row r="1030" customFormat="false" ht="15" hidden="false" customHeight="true" outlineLevel="0" collapsed="false">
      <c r="A1030" s="6" t="s">
        <v>3642</v>
      </c>
      <c r="B1030" s="6" t="s">
        <v>410</v>
      </c>
      <c r="C1030" s="6" t="s">
        <v>124</v>
      </c>
      <c r="D1030" s="13" t="n">
        <v>45733</v>
      </c>
      <c r="E1030" s="14" t="n">
        <v>7473.07</v>
      </c>
      <c r="F1030" s="14" t="n">
        <v>101660.68</v>
      </c>
      <c r="G1030" s="6" t="s">
        <v>2613</v>
      </c>
    </row>
    <row r="1031" customFormat="false" ht="15" hidden="false" customHeight="true" outlineLevel="0" collapsed="false">
      <c r="A1031" s="6" t="s">
        <v>3643</v>
      </c>
      <c r="B1031" s="6" t="s">
        <v>410</v>
      </c>
      <c r="C1031" s="6" t="s">
        <v>124</v>
      </c>
      <c r="D1031" s="13" t="n">
        <v>45740</v>
      </c>
      <c r="E1031" s="14" t="n">
        <v>9570.89</v>
      </c>
      <c r="F1031" s="14" t="n">
        <v>111231.57</v>
      </c>
      <c r="G1031" s="6" t="s">
        <v>2613</v>
      </c>
    </row>
    <row r="1032" customFormat="false" ht="15" hidden="false" customHeight="true" outlineLevel="0" collapsed="false">
      <c r="A1032" s="6" t="s">
        <v>3644</v>
      </c>
      <c r="B1032" s="6" t="s">
        <v>410</v>
      </c>
      <c r="C1032" s="6" t="s">
        <v>124</v>
      </c>
      <c r="D1032" s="13" t="n">
        <v>45747</v>
      </c>
      <c r="E1032" s="14" t="n">
        <v>9615.64</v>
      </c>
      <c r="F1032" s="14" t="n">
        <v>120847.21</v>
      </c>
      <c r="G1032" s="6" t="s">
        <v>2613</v>
      </c>
    </row>
    <row r="1033" customFormat="false" ht="15" hidden="false" customHeight="true" outlineLevel="0" collapsed="false">
      <c r="A1033" s="6" t="s">
        <v>3645</v>
      </c>
      <c r="B1033" s="6" t="s">
        <v>410</v>
      </c>
      <c r="C1033" s="6" t="s">
        <v>124</v>
      </c>
      <c r="D1033" s="13" t="n">
        <v>45754</v>
      </c>
      <c r="E1033" s="14" t="n">
        <v>637.98</v>
      </c>
      <c r="F1033" s="14" t="n">
        <v>121485.19</v>
      </c>
      <c r="G1033" s="6" t="s">
        <v>2613</v>
      </c>
    </row>
    <row r="1034" customFormat="false" ht="15" hidden="false" customHeight="true" outlineLevel="0" collapsed="false">
      <c r="A1034" s="6" t="s">
        <v>3646</v>
      </c>
      <c r="B1034" s="6" t="s">
        <v>412</v>
      </c>
      <c r="C1034" s="6" t="s">
        <v>120</v>
      </c>
      <c r="D1034" s="13" t="n">
        <v>44667</v>
      </c>
      <c r="E1034" s="14" t="n">
        <v>7370.85</v>
      </c>
      <c r="F1034" s="14" t="n">
        <v>7370.85</v>
      </c>
      <c r="G1034" s="6" t="s">
        <v>2613</v>
      </c>
    </row>
    <row r="1035" customFormat="false" ht="15" hidden="false" customHeight="true" outlineLevel="0" collapsed="false">
      <c r="A1035" s="6" t="s">
        <v>3647</v>
      </c>
      <c r="B1035" s="6" t="s">
        <v>412</v>
      </c>
      <c r="C1035" s="6" t="s">
        <v>120</v>
      </c>
      <c r="D1035" s="13" t="n">
        <v>44674</v>
      </c>
      <c r="E1035" s="14" t="n">
        <v>7984.79</v>
      </c>
      <c r="F1035" s="14" t="n">
        <v>15355.64</v>
      </c>
      <c r="G1035" s="6" t="s">
        <v>2613</v>
      </c>
    </row>
    <row r="1036" customFormat="false" ht="15" hidden="false" customHeight="true" outlineLevel="0" collapsed="false">
      <c r="A1036" s="6" t="s">
        <v>3648</v>
      </c>
      <c r="B1036" s="6" t="s">
        <v>412</v>
      </c>
      <c r="C1036" s="6" t="s">
        <v>120</v>
      </c>
      <c r="D1036" s="13" t="n">
        <v>44681</v>
      </c>
      <c r="E1036" s="14" t="n">
        <v>9424.69</v>
      </c>
      <c r="F1036" s="14" t="n">
        <v>24780.33</v>
      </c>
      <c r="G1036" s="6" t="s">
        <v>2613</v>
      </c>
    </row>
    <row r="1037" customFormat="false" ht="15" hidden="false" customHeight="true" outlineLevel="0" collapsed="false">
      <c r="A1037" s="6" t="s">
        <v>3649</v>
      </c>
      <c r="B1037" s="6" t="s">
        <v>412</v>
      </c>
      <c r="C1037" s="6" t="s">
        <v>120</v>
      </c>
      <c r="D1037" s="13" t="n">
        <v>44688</v>
      </c>
      <c r="E1037" s="14" t="n">
        <v>6854.76</v>
      </c>
      <c r="F1037" s="14" t="n">
        <v>31635.09</v>
      </c>
      <c r="G1037" s="6" t="s">
        <v>2613</v>
      </c>
    </row>
    <row r="1038" customFormat="false" ht="15" hidden="false" customHeight="true" outlineLevel="0" collapsed="false">
      <c r="A1038" s="6" t="s">
        <v>3650</v>
      </c>
      <c r="B1038" s="6" t="s">
        <v>412</v>
      </c>
      <c r="C1038" s="6" t="s">
        <v>120</v>
      </c>
      <c r="D1038" s="13" t="n">
        <v>44695</v>
      </c>
      <c r="E1038" s="14" t="n">
        <v>9211.38</v>
      </c>
      <c r="F1038" s="14" t="n">
        <v>40846.47</v>
      </c>
      <c r="G1038" s="6" t="s">
        <v>2613</v>
      </c>
    </row>
    <row r="1039" customFormat="false" ht="15" hidden="false" customHeight="true" outlineLevel="0" collapsed="false">
      <c r="A1039" s="6" t="s">
        <v>3651</v>
      </c>
      <c r="B1039" s="6" t="s">
        <v>412</v>
      </c>
      <c r="C1039" s="6" t="s">
        <v>120</v>
      </c>
      <c r="D1039" s="13" t="n">
        <v>44702</v>
      </c>
      <c r="E1039" s="14" t="n">
        <v>8064.11</v>
      </c>
      <c r="F1039" s="14" t="n">
        <v>48910.58</v>
      </c>
      <c r="G1039" s="6" t="s">
        <v>2613</v>
      </c>
    </row>
    <row r="1040" customFormat="false" ht="15" hidden="false" customHeight="true" outlineLevel="0" collapsed="false">
      <c r="A1040" s="6" t="s">
        <v>3652</v>
      </c>
      <c r="B1040" s="6" t="s">
        <v>414</v>
      </c>
      <c r="C1040" s="6" t="s">
        <v>116</v>
      </c>
      <c r="D1040" s="13" t="n">
        <v>44982</v>
      </c>
      <c r="E1040" s="14" t="n">
        <v>5425.95</v>
      </c>
      <c r="F1040" s="14" t="n">
        <v>5425.95</v>
      </c>
      <c r="G1040" s="6" t="s">
        <v>2613</v>
      </c>
    </row>
    <row r="1041" customFormat="false" ht="15" hidden="false" customHeight="true" outlineLevel="0" collapsed="false">
      <c r="A1041" s="6" t="s">
        <v>3653</v>
      </c>
      <c r="B1041" s="6" t="s">
        <v>414</v>
      </c>
      <c r="C1041" s="6" t="s">
        <v>116</v>
      </c>
      <c r="D1041" s="13" t="n">
        <v>44989</v>
      </c>
      <c r="E1041" s="14" t="n">
        <v>9895.95</v>
      </c>
      <c r="F1041" s="14" t="n">
        <v>15321.9</v>
      </c>
      <c r="G1041" s="6" t="s">
        <v>2613</v>
      </c>
    </row>
    <row r="1042" customFormat="false" ht="15" hidden="false" customHeight="true" outlineLevel="0" collapsed="false">
      <c r="A1042" s="6" t="s">
        <v>3654</v>
      </c>
      <c r="B1042" s="6" t="s">
        <v>414</v>
      </c>
      <c r="C1042" s="6" t="s">
        <v>116</v>
      </c>
      <c r="D1042" s="13" t="n">
        <v>44996</v>
      </c>
      <c r="E1042" s="14" t="n">
        <v>7334.93</v>
      </c>
      <c r="F1042" s="14" t="n">
        <v>22656.83</v>
      </c>
      <c r="G1042" s="6" t="s">
        <v>2613</v>
      </c>
    </row>
    <row r="1043" customFormat="false" ht="15" hidden="false" customHeight="true" outlineLevel="0" collapsed="false">
      <c r="A1043" s="6" t="s">
        <v>3655</v>
      </c>
      <c r="B1043" s="6" t="s">
        <v>414</v>
      </c>
      <c r="C1043" s="6" t="s">
        <v>116</v>
      </c>
      <c r="D1043" s="13" t="n">
        <v>45003</v>
      </c>
      <c r="E1043" s="14" t="n">
        <v>4546.09</v>
      </c>
      <c r="F1043" s="14" t="n">
        <v>27202.92</v>
      </c>
      <c r="G1043" s="6" t="s">
        <v>2623</v>
      </c>
    </row>
    <row r="1044" customFormat="false" ht="15" hidden="false" customHeight="true" outlineLevel="0" collapsed="false">
      <c r="A1044" s="6" t="s">
        <v>3656</v>
      </c>
      <c r="B1044" s="6" t="s">
        <v>414</v>
      </c>
      <c r="C1044" s="6" t="s">
        <v>116</v>
      </c>
      <c r="D1044" s="13" t="n">
        <v>45010</v>
      </c>
      <c r="E1044" s="14" t="n">
        <v>5128.29</v>
      </c>
      <c r="F1044" s="14" t="n">
        <v>32331.21</v>
      </c>
      <c r="G1044" s="6" t="s">
        <v>2613</v>
      </c>
    </row>
    <row r="1045" customFormat="false" ht="15" hidden="false" customHeight="true" outlineLevel="0" collapsed="false">
      <c r="A1045" s="6" t="s">
        <v>3657</v>
      </c>
      <c r="B1045" s="6" t="s">
        <v>414</v>
      </c>
      <c r="C1045" s="6" t="s">
        <v>116</v>
      </c>
      <c r="D1045" s="13" t="n">
        <v>45017</v>
      </c>
      <c r="E1045" s="14" t="n">
        <v>12369.82</v>
      </c>
      <c r="F1045" s="14" t="n">
        <v>44701.03</v>
      </c>
      <c r="G1045" s="6" t="s">
        <v>2613</v>
      </c>
    </row>
    <row r="1046" customFormat="false" ht="15" hidden="false" customHeight="true" outlineLevel="0" collapsed="false">
      <c r="A1046" s="6" t="s">
        <v>3658</v>
      </c>
      <c r="B1046" s="6" t="s">
        <v>416</v>
      </c>
      <c r="C1046" s="6" t="s">
        <v>112</v>
      </c>
      <c r="D1046" s="13" t="n">
        <v>45164</v>
      </c>
      <c r="E1046" s="14" t="n">
        <v>5845.54</v>
      </c>
      <c r="F1046" s="14" t="n">
        <v>5845.54</v>
      </c>
      <c r="G1046" s="6" t="s">
        <v>2613</v>
      </c>
    </row>
    <row r="1047" customFormat="false" ht="15" hidden="false" customHeight="true" outlineLevel="0" collapsed="false">
      <c r="A1047" s="6" t="s">
        <v>3659</v>
      </c>
      <c r="B1047" s="6" t="s">
        <v>416</v>
      </c>
      <c r="C1047" s="6" t="s">
        <v>112</v>
      </c>
      <c r="D1047" s="13" t="n">
        <v>45171</v>
      </c>
      <c r="E1047" s="14" t="n">
        <v>7959.34</v>
      </c>
      <c r="F1047" s="14" t="n">
        <v>13804.88</v>
      </c>
      <c r="G1047" s="6" t="s">
        <v>2613</v>
      </c>
    </row>
    <row r="1048" customFormat="false" ht="15" hidden="false" customHeight="true" outlineLevel="0" collapsed="false">
      <c r="A1048" s="6" t="s">
        <v>3660</v>
      </c>
      <c r="B1048" s="6" t="s">
        <v>416</v>
      </c>
      <c r="C1048" s="6" t="s">
        <v>112</v>
      </c>
      <c r="D1048" s="13" t="n">
        <v>45178</v>
      </c>
      <c r="E1048" s="14" t="n">
        <v>3776.12</v>
      </c>
      <c r="F1048" s="14" t="n">
        <v>17581</v>
      </c>
      <c r="G1048" s="6" t="s">
        <v>2613</v>
      </c>
    </row>
    <row r="1049" customFormat="false" ht="15" hidden="false" customHeight="true" outlineLevel="0" collapsed="false">
      <c r="A1049" s="6" t="s">
        <v>3661</v>
      </c>
      <c r="B1049" s="6" t="s">
        <v>416</v>
      </c>
      <c r="C1049" s="6" t="s">
        <v>112</v>
      </c>
      <c r="D1049" s="13" t="n">
        <v>45185</v>
      </c>
      <c r="E1049" s="14" t="n">
        <v>6945.08</v>
      </c>
      <c r="F1049" s="14" t="n">
        <v>24526.08</v>
      </c>
      <c r="G1049" s="6" t="s">
        <v>2613</v>
      </c>
    </row>
    <row r="1050" customFormat="false" ht="15" hidden="false" customHeight="true" outlineLevel="0" collapsed="false">
      <c r="A1050" s="6" t="s">
        <v>3662</v>
      </c>
      <c r="B1050" s="6" t="s">
        <v>416</v>
      </c>
      <c r="C1050" s="6" t="s">
        <v>112</v>
      </c>
      <c r="D1050" s="13" t="n">
        <v>45192</v>
      </c>
      <c r="E1050" s="14" t="n">
        <v>8174.48</v>
      </c>
      <c r="F1050" s="14" t="n">
        <v>32700.56</v>
      </c>
      <c r="G1050" s="6" t="s">
        <v>2613</v>
      </c>
    </row>
    <row r="1051" customFormat="false" ht="15" hidden="false" customHeight="true" outlineLevel="0" collapsed="false">
      <c r="A1051" s="6" t="s">
        <v>3663</v>
      </c>
      <c r="B1051" s="6" t="s">
        <v>416</v>
      </c>
      <c r="C1051" s="6" t="s">
        <v>112</v>
      </c>
      <c r="D1051" s="13" t="n">
        <v>45199</v>
      </c>
      <c r="E1051" s="14" t="n">
        <v>4579.81</v>
      </c>
      <c r="F1051" s="14" t="n">
        <v>37280.37</v>
      </c>
      <c r="G1051" s="6" t="s">
        <v>2613</v>
      </c>
    </row>
    <row r="1052" customFormat="false" ht="15" hidden="false" customHeight="true" outlineLevel="0" collapsed="false">
      <c r="A1052" s="6" t="s">
        <v>3664</v>
      </c>
      <c r="B1052" s="6" t="s">
        <v>418</v>
      </c>
      <c r="C1052" s="6" t="s">
        <v>131</v>
      </c>
      <c r="D1052" s="13" t="n">
        <v>45897</v>
      </c>
      <c r="E1052" s="14" t="n">
        <v>2951.74</v>
      </c>
      <c r="F1052" s="14" t="n">
        <v>2951.74</v>
      </c>
      <c r="G1052" s="6" t="s">
        <v>2613</v>
      </c>
    </row>
    <row r="1053" customFormat="false" ht="15" hidden="false" customHeight="true" outlineLevel="0" collapsed="false">
      <c r="A1053" s="6" t="s">
        <v>3665</v>
      </c>
      <c r="B1053" s="6" t="s">
        <v>418</v>
      </c>
      <c r="C1053" s="6" t="s">
        <v>131</v>
      </c>
      <c r="D1053" s="13" t="n">
        <v>45904</v>
      </c>
      <c r="E1053" s="14" t="n">
        <v>5791.59</v>
      </c>
      <c r="F1053" s="14" t="n">
        <v>8743.33</v>
      </c>
      <c r="G1053" s="6" t="s">
        <v>2613</v>
      </c>
    </row>
    <row r="1054" customFormat="false" ht="15" hidden="false" customHeight="true" outlineLevel="0" collapsed="false">
      <c r="A1054" s="6" t="s">
        <v>3666</v>
      </c>
      <c r="B1054" s="6" t="s">
        <v>418</v>
      </c>
      <c r="C1054" s="6" t="s">
        <v>131</v>
      </c>
      <c r="D1054" s="13" t="n">
        <v>45911</v>
      </c>
      <c r="E1054" s="14" t="n">
        <v>2855.42</v>
      </c>
      <c r="F1054" s="14" t="n">
        <v>11598.75</v>
      </c>
      <c r="G1054" s="6" t="s">
        <v>2613</v>
      </c>
    </row>
    <row r="1055" customFormat="false" ht="15" hidden="false" customHeight="true" outlineLevel="0" collapsed="false">
      <c r="A1055" s="6" t="s">
        <v>3667</v>
      </c>
      <c r="B1055" s="6" t="s">
        <v>418</v>
      </c>
      <c r="C1055" s="6" t="s">
        <v>131</v>
      </c>
      <c r="D1055" s="13" t="n">
        <v>45918</v>
      </c>
      <c r="E1055" s="14" t="n">
        <v>4122.94</v>
      </c>
      <c r="F1055" s="14" t="n">
        <v>15721.69</v>
      </c>
      <c r="G1055" s="6" t="s">
        <v>2613</v>
      </c>
    </row>
    <row r="1056" customFormat="false" ht="15" hidden="false" customHeight="true" outlineLevel="0" collapsed="false">
      <c r="A1056" s="6" t="s">
        <v>3668</v>
      </c>
      <c r="B1056" s="6" t="s">
        <v>418</v>
      </c>
      <c r="C1056" s="6" t="s">
        <v>131</v>
      </c>
      <c r="D1056" s="13" t="n">
        <v>45925</v>
      </c>
      <c r="E1056" s="14" t="n">
        <v>3974.06</v>
      </c>
      <c r="F1056" s="14" t="n">
        <v>19695.75</v>
      </c>
      <c r="G1056" s="6" t="s">
        <v>2613</v>
      </c>
    </row>
    <row r="1057" customFormat="false" ht="15" hidden="false" customHeight="true" outlineLevel="0" collapsed="false">
      <c r="A1057" s="6" t="s">
        <v>3669</v>
      </c>
      <c r="B1057" s="6" t="s">
        <v>418</v>
      </c>
      <c r="C1057" s="6" t="s">
        <v>131</v>
      </c>
      <c r="D1057" s="13" t="n">
        <v>45932</v>
      </c>
      <c r="E1057" s="14" t="n">
        <v>5114.61</v>
      </c>
      <c r="F1057" s="14" t="n">
        <v>24810.36</v>
      </c>
      <c r="G1057" s="6" t="s">
        <v>2613</v>
      </c>
    </row>
    <row r="1058" customFormat="false" ht="15" hidden="false" customHeight="true" outlineLevel="0" collapsed="false">
      <c r="A1058" s="6" t="s">
        <v>3670</v>
      </c>
      <c r="B1058" s="6" t="s">
        <v>418</v>
      </c>
      <c r="C1058" s="6" t="s">
        <v>131</v>
      </c>
      <c r="D1058" s="13" t="n">
        <v>45939</v>
      </c>
      <c r="E1058" s="14" t="n">
        <v>5393.6</v>
      </c>
      <c r="F1058" s="14" t="n">
        <v>30203.96</v>
      </c>
      <c r="G1058" s="6" t="s">
        <v>2613</v>
      </c>
    </row>
    <row r="1059" customFormat="false" ht="15" hidden="false" customHeight="true" outlineLevel="0" collapsed="false">
      <c r="A1059" s="6" t="s">
        <v>3671</v>
      </c>
      <c r="B1059" s="6" t="s">
        <v>418</v>
      </c>
      <c r="C1059" s="6" t="s">
        <v>131</v>
      </c>
      <c r="D1059" s="13" t="n">
        <v>45946</v>
      </c>
      <c r="E1059" s="14" t="n">
        <v>3243.12</v>
      </c>
      <c r="F1059" s="14" t="n">
        <v>33447.08</v>
      </c>
      <c r="G1059" s="6" t="s">
        <v>2613</v>
      </c>
    </row>
    <row r="1060" customFormat="false" ht="15" hidden="false" customHeight="true" outlineLevel="0" collapsed="false">
      <c r="A1060" s="6" t="s">
        <v>3672</v>
      </c>
      <c r="B1060" s="6" t="s">
        <v>420</v>
      </c>
      <c r="C1060" s="6" t="s">
        <v>116</v>
      </c>
      <c r="D1060" s="13" t="n">
        <v>46091</v>
      </c>
      <c r="E1060" s="14" t="n">
        <v>1904.09</v>
      </c>
      <c r="F1060" s="14" t="n">
        <v>1904.09</v>
      </c>
      <c r="G1060" s="6" t="s">
        <v>2613</v>
      </c>
    </row>
    <row r="1061" customFormat="false" ht="15" hidden="false" customHeight="true" outlineLevel="0" collapsed="false">
      <c r="A1061" s="6" t="s">
        <v>3673</v>
      </c>
      <c r="B1061" s="6" t="s">
        <v>420</v>
      </c>
      <c r="C1061" s="6" t="s">
        <v>116</v>
      </c>
      <c r="D1061" s="13" t="n">
        <v>46098</v>
      </c>
      <c r="E1061" s="14" t="n">
        <v>1199.28</v>
      </c>
      <c r="F1061" s="14" t="n">
        <v>3103.37</v>
      </c>
      <c r="G1061" s="6" t="s">
        <v>2613</v>
      </c>
    </row>
    <row r="1062" customFormat="false" ht="15" hidden="false" customHeight="true" outlineLevel="0" collapsed="false">
      <c r="A1062" s="6" t="s">
        <v>3674</v>
      </c>
      <c r="B1062" s="6" t="s">
        <v>420</v>
      </c>
      <c r="C1062" s="6" t="s">
        <v>116</v>
      </c>
      <c r="D1062" s="13" t="n">
        <v>46105</v>
      </c>
      <c r="E1062" s="14" t="n">
        <v>1598.5</v>
      </c>
      <c r="F1062" s="14" t="n">
        <v>4701.87</v>
      </c>
      <c r="G1062" s="6" t="s">
        <v>2623</v>
      </c>
    </row>
    <row r="1063" customFormat="false" ht="15" hidden="false" customHeight="true" outlineLevel="0" collapsed="false">
      <c r="A1063" s="6" t="s">
        <v>3675</v>
      </c>
      <c r="B1063" s="6" t="s">
        <v>420</v>
      </c>
      <c r="C1063" s="6" t="s">
        <v>116</v>
      </c>
      <c r="D1063" s="13" t="n">
        <v>46112</v>
      </c>
      <c r="E1063" s="14" t="n">
        <v>1555.67</v>
      </c>
      <c r="F1063" s="14" t="n">
        <v>6257.54</v>
      </c>
      <c r="G1063" s="6" t="s">
        <v>2613</v>
      </c>
    </row>
    <row r="1064" customFormat="false" ht="15" hidden="false" customHeight="true" outlineLevel="0" collapsed="false">
      <c r="A1064" s="6" t="s">
        <v>3676</v>
      </c>
      <c r="B1064" s="6" t="s">
        <v>420</v>
      </c>
      <c r="C1064" s="6" t="s">
        <v>116</v>
      </c>
      <c r="D1064" s="13" t="n">
        <v>46119</v>
      </c>
      <c r="E1064" s="14" t="n">
        <v>1207.49</v>
      </c>
      <c r="F1064" s="14" t="n">
        <v>7465.03</v>
      </c>
      <c r="G1064" s="6" t="s">
        <v>2613</v>
      </c>
    </row>
    <row r="1065" customFormat="false" ht="15" hidden="false" customHeight="true" outlineLevel="0" collapsed="false">
      <c r="A1065" s="6" t="s">
        <v>3677</v>
      </c>
      <c r="B1065" s="6" t="s">
        <v>420</v>
      </c>
      <c r="C1065" s="6" t="s">
        <v>116</v>
      </c>
      <c r="D1065" s="13" t="n">
        <v>46126</v>
      </c>
      <c r="E1065" s="14" t="n">
        <v>1250.6</v>
      </c>
      <c r="F1065" s="14" t="n">
        <v>8715.63</v>
      </c>
      <c r="G1065" s="6" t="s">
        <v>2613</v>
      </c>
    </row>
    <row r="1066" customFormat="false" ht="15" hidden="false" customHeight="true" outlineLevel="0" collapsed="false">
      <c r="A1066" s="6" t="s">
        <v>3678</v>
      </c>
      <c r="B1066" s="6" t="s">
        <v>420</v>
      </c>
      <c r="C1066" s="6" t="s">
        <v>116</v>
      </c>
      <c r="D1066" s="13" t="n">
        <v>46133</v>
      </c>
      <c r="E1066" s="14" t="n">
        <v>926.63</v>
      </c>
      <c r="F1066" s="14" t="n">
        <v>9642.26</v>
      </c>
      <c r="G1066" s="6" t="s">
        <v>2613</v>
      </c>
    </row>
    <row r="1067" customFormat="false" ht="15" hidden="false" customHeight="true" outlineLevel="0" collapsed="false">
      <c r="A1067" s="6" t="s">
        <v>3679</v>
      </c>
      <c r="B1067" s="6" t="s">
        <v>422</v>
      </c>
      <c r="C1067" s="6" t="s">
        <v>128</v>
      </c>
      <c r="D1067" s="13" t="n">
        <v>45138</v>
      </c>
      <c r="E1067" s="14" t="n">
        <v>2717.62</v>
      </c>
      <c r="F1067" s="14" t="n">
        <v>2717.62</v>
      </c>
      <c r="G1067" s="6" t="s">
        <v>2613</v>
      </c>
    </row>
    <row r="1068" customFormat="false" ht="15" hidden="false" customHeight="true" outlineLevel="0" collapsed="false">
      <c r="A1068" s="6" t="s">
        <v>3680</v>
      </c>
      <c r="B1068" s="6" t="s">
        <v>422</v>
      </c>
      <c r="C1068" s="6" t="s">
        <v>128</v>
      </c>
      <c r="D1068" s="13" t="n">
        <v>45145</v>
      </c>
      <c r="E1068" s="14" t="n">
        <v>1921.21</v>
      </c>
      <c r="F1068" s="14" t="n">
        <v>4638.83</v>
      </c>
      <c r="G1068" s="6" t="s">
        <v>2613</v>
      </c>
    </row>
    <row r="1069" customFormat="false" ht="15" hidden="false" customHeight="true" outlineLevel="0" collapsed="false">
      <c r="A1069" s="6" t="s">
        <v>3681</v>
      </c>
      <c r="B1069" s="6" t="s">
        <v>422</v>
      </c>
      <c r="C1069" s="6" t="s">
        <v>128</v>
      </c>
      <c r="D1069" s="13" t="n">
        <v>45152</v>
      </c>
      <c r="E1069" s="14" t="n">
        <v>3025.68</v>
      </c>
      <c r="F1069" s="14" t="n">
        <v>7664.51</v>
      </c>
      <c r="G1069" s="6" t="s">
        <v>2613</v>
      </c>
    </row>
    <row r="1070" customFormat="false" ht="15" hidden="false" customHeight="true" outlineLevel="0" collapsed="false">
      <c r="A1070" s="6" t="s">
        <v>3682</v>
      </c>
      <c r="B1070" s="6" t="s">
        <v>422</v>
      </c>
      <c r="C1070" s="6" t="s">
        <v>128</v>
      </c>
      <c r="D1070" s="13" t="n">
        <v>45159</v>
      </c>
      <c r="E1070" s="14" t="n">
        <v>3133.6</v>
      </c>
      <c r="F1070" s="14" t="n">
        <v>10798.11</v>
      </c>
      <c r="G1070" s="6" t="s">
        <v>2613</v>
      </c>
    </row>
    <row r="1071" customFormat="false" ht="15" hidden="false" customHeight="true" outlineLevel="0" collapsed="false">
      <c r="A1071" s="6" t="s">
        <v>3683</v>
      </c>
      <c r="B1071" s="6" t="s">
        <v>422</v>
      </c>
      <c r="C1071" s="6" t="s">
        <v>128</v>
      </c>
      <c r="D1071" s="13" t="n">
        <v>45166</v>
      </c>
      <c r="E1071" s="14" t="n">
        <v>1694.38</v>
      </c>
      <c r="F1071" s="14" t="n">
        <v>12492.49</v>
      </c>
      <c r="G1071" s="6" t="s">
        <v>2613</v>
      </c>
    </row>
    <row r="1072" customFormat="false" ht="15" hidden="false" customHeight="true" outlineLevel="0" collapsed="false">
      <c r="A1072" s="6" t="s">
        <v>3684</v>
      </c>
      <c r="B1072" s="6" t="s">
        <v>422</v>
      </c>
      <c r="C1072" s="6" t="s">
        <v>128</v>
      </c>
      <c r="D1072" s="13" t="n">
        <v>45173</v>
      </c>
      <c r="E1072" s="14" t="n">
        <v>2737.23</v>
      </c>
      <c r="F1072" s="14" t="n">
        <v>15229.72</v>
      </c>
      <c r="G1072" s="6" t="s">
        <v>2613</v>
      </c>
    </row>
    <row r="1073" customFormat="false" ht="15" hidden="false" customHeight="true" outlineLevel="0" collapsed="false">
      <c r="A1073" s="6" t="s">
        <v>3685</v>
      </c>
      <c r="B1073" s="6" t="s">
        <v>422</v>
      </c>
      <c r="C1073" s="6" t="s">
        <v>128</v>
      </c>
      <c r="D1073" s="13" t="n">
        <v>45180</v>
      </c>
      <c r="E1073" s="14" t="n">
        <v>2267.1</v>
      </c>
      <c r="F1073" s="14" t="n">
        <v>17496.82</v>
      </c>
      <c r="G1073" s="6" t="s">
        <v>2613</v>
      </c>
    </row>
    <row r="1074" customFormat="false" ht="15" hidden="false" customHeight="true" outlineLevel="0" collapsed="false">
      <c r="A1074" s="6" t="s">
        <v>3686</v>
      </c>
      <c r="B1074" s="6" t="s">
        <v>422</v>
      </c>
      <c r="C1074" s="6" t="s">
        <v>128</v>
      </c>
      <c r="D1074" s="13" t="n">
        <v>45187</v>
      </c>
      <c r="E1074" s="14" t="n">
        <v>1463.18</v>
      </c>
      <c r="F1074" s="14" t="n">
        <v>18960</v>
      </c>
      <c r="G1074" s="6" t="s">
        <v>2623</v>
      </c>
    </row>
    <row r="1075" customFormat="false" ht="15" hidden="false" customHeight="true" outlineLevel="0" collapsed="false">
      <c r="A1075" s="6" t="s">
        <v>3687</v>
      </c>
      <c r="B1075" s="6" t="s">
        <v>422</v>
      </c>
      <c r="C1075" s="6" t="s">
        <v>128</v>
      </c>
      <c r="D1075" s="13" t="n">
        <v>45194</v>
      </c>
      <c r="E1075" s="14" t="n">
        <v>2641.33</v>
      </c>
      <c r="F1075" s="14" t="n">
        <v>21601.33</v>
      </c>
      <c r="G1075" s="6" t="s">
        <v>2613</v>
      </c>
    </row>
    <row r="1076" customFormat="false" ht="15" hidden="false" customHeight="true" outlineLevel="0" collapsed="false">
      <c r="A1076" s="6" t="s">
        <v>3688</v>
      </c>
      <c r="B1076" s="6" t="s">
        <v>422</v>
      </c>
      <c r="C1076" s="6" t="s">
        <v>128</v>
      </c>
      <c r="D1076" s="13" t="n">
        <v>45201</v>
      </c>
      <c r="E1076" s="14" t="n">
        <v>2056.96</v>
      </c>
      <c r="F1076" s="14" t="n">
        <v>23658.29</v>
      </c>
      <c r="G1076" s="6" t="s">
        <v>2613</v>
      </c>
    </row>
    <row r="1077" customFormat="false" ht="15" hidden="false" customHeight="true" outlineLevel="0" collapsed="false">
      <c r="A1077" s="6" t="s">
        <v>3689</v>
      </c>
      <c r="B1077" s="6" t="s">
        <v>422</v>
      </c>
      <c r="C1077" s="6" t="s">
        <v>128</v>
      </c>
      <c r="D1077" s="13" t="n">
        <v>45208</v>
      </c>
      <c r="E1077" s="14" t="n">
        <v>1866.3</v>
      </c>
      <c r="F1077" s="14" t="n">
        <v>25524.59</v>
      </c>
      <c r="G1077" s="6" t="s">
        <v>2613</v>
      </c>
    </row>
    <row r="1078" customFormat="false" ht="15" hidden="false" customHeight="true" outlineLevel="0" collapsed="false">
      <c r="A1078" s="6" t="s">
        <v>3690</v>
      </c>
      <c r="B1078" s="6" t="s">
        <v>422</v>
      </c>
      <c r="C1078" s="6" t="s">
        <v>128</v>
      </c>
      <c r="D1078" s="13" t="n">
        <v>45215</v>
      </c>
      <c r="E1078" s="14" t="n">
        <v>3316.48</v>
      </c>
      <c r="F1078" s="14" t="n">
        <v>28841.07</v>
      </c>
      <c r="G1078" s="6" t="s">
        <v>2613</v>
      </c>
    </row>
    <row r="1079" customFormat="false" ht="15" hidden="false" customHeight="true" outlineLevel="0" collapsed="false">
      <c r="A1079" s="6" t="s">
        <v>3691</v>
      </c>
      <c r="B1079" s="6" t="s">
        <v>422</v>
      </c>
      <c r="C1079" s="6" t="s">
        <v>128</v>
      </c>
      <c r="D1079" s="13" t="n">
        <v>45222</v>
      </c>
      <c r="E1079" s="14" t="n">
        <v>1568.71</v>
      </c>
      <c r="F1079" s="14" t="n">
        <v>30409.78</v>
      </c>
      <c r="G1079" s="6" t="s">
        <v>2613</v>
      </c>
    </row>
    <row r="1080" customFormat="false" ht="15" hidden="false" customHeight="true" outlineLevel="0" collapsed="false">
      <c r="A1080" s="6" t="s">
        <v>3692</v>
      </c>
      <c r="B1080" s="6" t="s">
        <v>422</v>
      </c>
      <c r="C1080" s="6" t="s">
        <v>128</v>
      </c>
      <c r="D1080" s="13" t="n">
        <v>45229</v>
      </c>
      <c r="E1080" s="14" t="n">
        <v>2349.26</v>
      </c>
      <c r="F1080" s="14" t="n">
        <v>32759.04</v>
      </c>
      <c r="G1080" s="6" t="s">
        <v>2613</v>
      </c>
    </row>
    <row r="1081" customFormat="false" ht="15" hidden="false" customHeight="true" outlineLevel="0" collapsed="false">
      <c r="A1081" s="6" t="s">
        <v>3693</v>
      </c>
      <c r="B1081" s="6" t="s">
        <v>422</v>
      </c>
      <c r="C1081" s="6" t="s">
        <v>128</v>
      </c>
      <c r="D1081" s="13" t="n">
        <v>45236</v>
      </c>
      <c r="E1081" s="14" t="n">
        <v>2671.66</v>
      </c>
      <c r="F1081" s="14" t="n">
        <v>35430.7</v>
      </c>
      <c r="G1081" s="6" t="s">
        <v>2613</v>
      </c>
    </row>
    <row r="1082" customFormat="false" ht="15" hidden="false" customHeight="true" outlineLevel="0" collapsed="false">
      <c r="A1082" s="6" t="s">
        <v>3694</v>
      </c>
      <c r="B1082" s="6" t="s">
        <v>422</v>
      </c>
      <c r="C1082" s="6" t="s">
        <v>128</v>
      </c>
      <c r="D1082" s="13" t="n">
        <v>45243</v>
      </c>
      <c r="E1082" s="14" t="n">
        <v>2744.63</v>
      </c>
      <c r="F1082" s="14" t="n">
        <v>38175.33</v>
      </c>
      <c r="G1082" s="6" t="s">
        <v>2613</v>
      </c>
    </row>
    <row r="1083" customFormat="false" ht="15" hidden="false" customHeight="true" outlineLevel="0" collapsed="false">
      <c r="A1083" s="6" t="s">
        <v>3695</v>
      </c>
      <c r="B1083" s="6" t="s">
        <v>422</v>
      </c>
      <c r="C1083" s="6" t="s">
        <v>128</v>
      </c>
      <c r="D1083" s="13" t="n">
        <v>45250</v>
      </c>
      <c r="E1083" s="14" t="n">
        <v>3272.04</v>
      </c>
      <c r="F1083" s="14" t="n">
        <v>41447.37</v>
      </c>
      <c r="G1083" s="6" t="s">
        <v>2613</v>
      </c>
    </row>
    <row r="1084" customFormat="false" ht="15" hidden="false" customHeight="true" outlineLevel="0" collapsed="false">
      <c r="A1084" s="6" t="s">
        <v>3696</v>
      </c>
      <c r="B1084" s="6" t="s">
        <v>424</v>
      </c>
      <c r="C1084" s="6" t="s">
        <v>131</v>
      </c>
      <c r="D1084" s="13" t="n">
        <v>45577</v>
      </c>
      <c r="E1084" s="14" t="n">
        <v>3402.27</v>
      </c>
      <c r="F1084" s="14" t="n">
        <v>3402.27</v>
      </c>
      <c r="G1084" s="6" t="s">
        <v>2613</v>
      </c>
    </row>
    <row r="1085" customFormat="false" ht="15" hidden="false" customHeight="true" outlineLevel="0" collapsed="false">
      <c r="A1085" s="6" t="s">
        <v>3697</v>
      </c>
      <c r="B1085" s="6" t="s">
        <v>424</v>
      </c>
      <c r="C1085" s="6" t="s">
        <v>131</v>
      </c>
      <c r="D1085" s="13" t="n">
        <v>45584</v>
      </c>
      <c r="E1085" s="14" t="n">
        <v>3146.32</v>
      </c>
      <c r="F1085" s="14" t="n">
        <v>6548.59</v>
      </c>
      <c r="G1085" s="6" t="s">
        <v>2613</v>
      </c>
    </row>
    <row r="1086" customFormat="false" ht="15" hidden="false" customHeight="true" outlineLevel="0" collapsed="false">
      <c r="A1086" s="6" t="s">
        <v>3698</v>
      </c>
      <c r="B1086" s="6" t="s">
        <v>424</v>
      </c>
      <c r="C1086" s="6" t="s">
        <v>131</v>
      </c>
      <c r="D1086" s="13" t="n">
        <v>45591</v>
      </c>
      <c r="E1086" s="14" t="n">
        <v>3884.69</v>
      </c>
      <c r="F1086" s="14" t="n">
        <v>10433.28</v>
      </c>
      <c r="G1086" s="6" t="s">
        <v>2613</v>
      </c>
    </row>
    <row r="1087" customFormat="false" ht="15" hidden="false" customHeight="true" outlineLevel="0" collapsed="false">
      <c r="A1087" s="6" t="s">
        <v>3699</v>
      </c>
      <c r="B1087" s="6" t="s">
        <v>424</v>
      </c>
      <c r="C1087" s="6" t="s">
        <v>131</v>
      </c>
      <c r="D1087" s="13" t="n">
        <v>45598</v>
      </c>
      <c r="E1087" s="14" t="n">
        <v>2790.71</v>
      </c>
      <c r="F1087" s="14" t="n">
        <v>13223.99</v>
      </c>
      <c r="G1087" s="6" t="s">
        <v>2613</v>
      </c>
    </row>
    <row r="1088" customFormat="false" ht="15" hidden="false" customHeight="true" outlineLevel="0" collapsed="false">
      <c r="A1088" s="6" t="s">
        <v>3700</v>
      </c>
      <c r="B1088" s="6" t="s">
        <v>424</v>
      </c>
      <c r="C1088" s="6" t="s">
        <v>131</v>
      </c>
      <c r="D1088" s="13" t="n">
        <v>45605</v>
      </c>
      <c r="E1088" s="14" t="n">
        <v>3391.24</v>
      </c>
      <c r="F1088" s="14" t="n">
        <v>16615.23</v>
      </c>
      <c r="G1088" s="6" t="s">
        <v>2613</v>
      </c>
    </row>
    <row r="1089" customFormat="false" ht="15" hidden="false" customHeight="true" outlineLevel="0" collapsed="false">
      <c r="A1089" s="6" t="s">
        <v>3701</v>
      </c>
      <c r="B1089" s="6" t="s">
        <v>424</v>
      </c>
      <c r="C1089" s="6" t="s">
        <v>131</v>
      </c>
      <c r="D1089" s="13" t="n">
        <v>45612</v>
      </c>
      <c r="E1089" s="14" t="n">
        <v>2692.28</v>
      </c>
      <c r="F1089" s="14" t="n">
        <v>19307.51</v>
      </c>
      <c r="G1089" s="6" t="s">
        <v>2613</v>
      </c>
    </row>
    <row r="1090" customFormat="false" ht="15" hidden="false" customHeight="true" outlineLevel="0" collapsed="false">
      <c r="A1090" s="6" t="s">
        <v>3702</v>
      </c>
      <c r="B1090" s="6" t="s">
        <v>424</v>
      </c>
      <c r="C1090" s="6" t="s">
        <v>131</v>
      </c>
      <c r="D1090" s="13" t="n">
        <v>45619</v>
      </c>
      <c r="E1090" s="14" t="n">
        <v>3670.25</v>
      </c>
      <c r="F1090" s="14" t="n">
        <v>22977.76</v>
      </c>
      <c r="G1090" s="6" t="s">
        <v>2613</v>
      </c>
    </row>
    <row r="1091" customFormat="false" ht="15" hidden="false" customHeight="true" outlineLevel="0" collapsed="false">
      <c r="A1091" s="6" t="s">
        <v>3703</v>
      </c>
      <c r="B1091" s="6" t="s">
        <v>424</v>
      </c>
      <c r="C1091" s="6" t="s">
        <v>131</v>
      </c>
      <c r="D1091" s="13" t="n">
        <v>45626</v>
      </c>
      <c r="E1091" s="14" t="n">
        <v>142.43</v>
      </c>
      <c r="F1091" s="14" t="n">
        <v>23120.19</v>
      </c>
      <c r="G1091" s="6" t="s">
        <v>2613</v>
      </c>
    </row>
    <row r="1092" customFormat="false" ht="15" hidden="false" customHeight="true" outlineLevel="0" collapsed="false">
      <c r="A1092" s="6" t="s">
        <v>3704</v>
      </c>
      <c r="B1092" s="6" t="s">
        <v>426</v>
      </c>
      <c r="C1092" s="6" t="s">
        <v>124</v>
      </c>
      <c r="D1092" s="13" t="n">
        <v>46168</v>
      </c>
      <c r="E1092" s="14" t="n">
        <v>7590.61</v>
      </c>
      <c r="F1092" s="14" t="n">
        <v>7590.61</v>
      </c>
      <c r="G1092" s="6" t="s">
        <v>2613</v>
      </c>
    </row>
    <row r="1093" customFormat="false" ht="15" hidden="false" customHeight="true" outlineLevel="0" collapsed="false">
      <c r="A1093" s="6" t="s">
        <v>3705</v>
      </c>
      <c r="B1093" s="6" t="s">
        <v>426</v>
      </c>
      <c r="C1093" s="6" t="s">
        <v>124</v>
      </c>
      <c r="D1093" s="13" t="n">
        <v>46175</v>
      </c>
      <c r="E1093" s="14" t="n">
        <v>5018.58</v>
      </c>
      <c r="F1093" s="14" t="n">
        <v>12609.19</v>
      </c>
      <c r="G1093" s="6" t="s">
        <v>2613</v>
      </c>
    </row>
    <row r="1094" customFormat="false" ht="15" hidden="false" customHeight="true" outlineLevel="0" collapsed="false">
      <c r="A1094" s="6" t="s">
        <v>3706</v>
      </c>
      <c r="B1094" s="6" t="s">
        <v>426</v>
      </c>
      <c r="C1094" s="6" t="s">
        <v>124</v>
      </c>
      <c r="D1094" s="13" t="n">
        <v>46182</v>
      </c>
      <c r="E1094" s="14" t="n">
        <v>7716.26</v>
      </c>
      <c r="F1094" s="14" t="n">
        <v>20325.45</v>
      </c>
      <c r="G1094" s="6" t="s">
        <v>2613</v>
      </c>
    </row>
    <row r="1095" customFormat="false" ht="15" hidden="false" customHeight="true" outlineLevel="0" collapsed="false">
      <c r="A1095" s="6" t="s">
        <v>3707</v>
      </c>
      <c r="B1095" s="6" t="s">
        <v>426</v>
      </c>
      <c r="C1095" s="6" t="s">
        <v>124</v>
      </c>
      <c r="D1095" s="13" t="n">
        <v>46189</v>
      </c>
      <c r="E1095" s="14" t="n">
        <v>7165.28</v>
      </c>
      <c r="F1095" s="14" t="n">
        <v>27490.73</v>
      </c>
      <c r="G1095" s="6" t="s">
        <v>2613</v>
      </c>
    </row>
    <row r="1096" customFormat="false" ht="15" hidden="false" customHeight="true" outlineLevel="0" collapsed="false">
      <c r="A1096" s="6" t="s">
        <v>3708</v>
      </c>
      <c r="B1096" s="6" t="s">
        <v>426</v>
      </c>
      <c r="C1096" s="6" t="s">
        <v>124</v>
      </c>
      <c r="D1096" s="13" t="n">
        <v>46196</v>
      </c>
      <c r="E1096" s="14" t="n">
        <v>9881.4</v>
      </c>
      <c r="F1096" s="14" t="n">
        <v>37372.13</v>
      </c>
      <c r="G1096" s="6" t="s">
        <v>2613</v>
      </c>
    </row>
    <row r="1097" customFormat="false" ht="15" hidden="false" customHeight="true" outlineLevel="0" collapsed="false">
      <c r="A1097" s="6" t="s">
        <v>3709</v>
      </c>
      <c r="B1097" s="6" t="s">
        <v>426</v>
      </c>
      <c r="C1097" s="6" t="s">
        <v>124</v>
      </c>
      <c r="D1097" s="13" t="n">
        <v>46203</v>
      </c>
      <c r="E1097" s="14" t="n">
        <v>8640.86</v>
      </c>
      <c r="F1097" s="14" t="n">
        <v>46012.99</v>
      </c>
      <c r="G1097" s="6" t="s">
        <v>2613</v>
      </c>
    </row>
    <row r="1098" customFormat="false" ht="15" hidden="false" customHeight="true" outlineLevel="0" collapsed="false">
      <c r="A1098" s="6" t="s">
        <v>3710</v>
      </c>
      <c r="B1098" s="6" t="s">
        <v>426</v>
      </c>
      <c r="C1098" s="6" t="s">
        <v>124</v>
      </c>
      <c r="D1098" s="13" t="n">
        <v>46210</v>
      </c>
      <c r="E1098" s="14" t="n">
        <v>9790.51</v>
      </c>
      <c r="F1098" s="14" t="n">
        <v>55803.5</v>
      </c>
      <c r="G1098" s="6" t="s">
        <v>2613</v>
      </c>
    </row>
    <row r="1099" customFormat="false" ht="15" hidden="false" customHeight="true" outlineLevel="0" collapsed="false">
      <c r="A1099" s="6" t="s">
        <v>3711</v>
      </c>
      <c r="B1099" s="6" t="s">
        <v>426</v>
      </c>
      <c r="C1099" s="6" t="s">
        <v>124</v>
      </c>
      <c r="D1099" s="13" t="n">
        <v>46217</v>
      </c>
      <c r="E1099" s="14" t="n">
        <v>1330.89</v>
      </c>
      <c r="F1099" s="14" t="n">
        <v>57134.39</v>
      </c>
      <c r="G1099" s="6" t="s">
        <v>2613</v>
      </c>
    </row>
    <row r="1100" customFormat="false" ht="15" hidden="false" customHeight="true" outlineLevel="0" collapsed="false">
      <c r="A1100" s="6" t="s">
        <v>3712</v>
      </c>
      <c r="B1100" s="6" t="s">
        <v>428</v>
      </c>
      <c r="C1100" s="6" t="s">
        <v>116</v>
      </c>
      <c r="D1100" s="13" t="n">
        <v>45847</v>
      </c>
      <c r="E1100" s="14" t="n">
        <v>4429.47</v>
      </c>
      <c r="F1100" s="14" t="n">
        <v>4429.47</v>
      </c>
      <c r="G1100" s="6" t="s">
        <v>2613</v>
      </c>
    </row>
    <row r="1101" customFormat="false" ht="15" hidden="false" customHeight="true" outlineLevel="0" collapsed="false">
      <c r="A1101" s="6" t="s">
        <v>3713</v>
      </c>
      <c r="B1101" s="6" t="s">
        <v>428</v>
      </c>
      <c r="C1101" s="6" t="s">
        <v>116</v>
      </c>
      <c r="D1101" s="13" t="n">
        <v>45854</v>
      </c>
      <c r="E1101" s="14" t="n">
        <v>3870.76</v>
      </c>
      <c r="F1101" s="14" t="n">
        <v>8300.23</v>
      </c>
      <c r="G1101" s="6" t="s">
        <v>2613</v>
      </c>
    </row>
    <row r="1102" customFormat="false" ht="15" hidden="false" customHeight="true" outlineLevel="0" collapsed="false">
      <c r="A1102" s="6" t="s">
        <v>3714</v>
      </c>
      <c r="B1102" s="6" t="s">
        <v>428</v>
      </c>
      <c r="C1102" s="6" t="s">
        <v>116</v>
      </c>
      <c r="D1102" s="13" t="n">
        <v>45861</v>
      </c>
      <c r="E1102" s="14" t="n">
        <v>2459.15</v>
      </c>
      <c r="F1102" s="14" t="n">
        <v>10759.38</v>
      </c>
      <c r="G1102" s="6" t="s">
        <v>2613</v>
      </c>
    </row>
    <row r="1103" customFormat="false" ht="15" hidden="false" customHeight="true" outlineLevel="0" collapsed="false">
      <c r="A1103" s="6" t="s">
        <v>3715</v>
      </c>
      <c r="B1103" s="6" t="s">
        <v>428</v>
      </c>
      <c r="C1103" s="6" t="s">
        <v>116</v>
      </c>
      <c r="D1103" s="13" t="n">
        <v>45868</v>
      </c>
      <c r="E1103" s="14" t="n">
        <v>3675.9</v>
      </c>
      <c r="F1103" s="14" t="n">
        <v>14435.28</v>
      </c>
      <c r="G1103" s="6" t="s">
        <v>2613</v>
      </c>
    </row>
    <row r="1104" customFormat="false" ht="15" hidden="false" customHeight="true" outlineLevel="0" collapsed="false">
      <c r="A1104" s="6" t="s">
        <v>3716</v>
      </c>
      <c r="B1104" s="6" t="s">
        <v>428</v>
      </c>
      <c r="C1104" s="6" t="s">
        <v>116</v>
      </c>
      <c r="D1104" s="13" t="n">
        <v>45875</v>
      </c>
      <c r="E1104" s="14" t="n">
        <v>4004.28</v>
      </c>
      <c r="F1104" s="14" t="n">
        <v>18439.56</v>
      </c>
      <c r="G1104" s="6" t="s">
        <v>2613</v>
      </c>
    </row>
    <row r="1105" customFormat="false" ht="15" hidden="false" customHeight="true" outlineLevel="0" collapsed="false">
      <c r="A1105" s="6" t="s">
        <v>3717</v>
      </c>
      <c r="B1105" s="6" t="s">
        <v>428</v>
      </c>
      <c r="C1105" s="6" t="s">
        <v>116</v>
      </c>
      <c r="D1105" s="13" t="n">
        <v>45882</v>
      </c>
      <c r="E1105" s="14" t="n">
        <v>3532.58</v>
      </c>
      <c r="F1105" s="14" t="n">
        <v>21972.14</v>
      </c>
      <c r="G1105" s="6" t="s">
        <v>2613</v>
      </c>
    </row>
    <row r="1106" customFormat="false" ht="15" hidden="false" customHeight="true" outlineLevel="0" collapsed="false">
      <c r="A1106" s="6" t="s">
        <v>3718</v>
      </c>
      <c r="B1106" s="6" t="s">
        <v>428</v>
      </c>
      <c r="C1106" s="6" t="s">
        <v>116</v>
      </c>
      <c r="D1106" s="13" t="n">
        <v>45889</v>
      </c>
      <c r="E1106" s="14" t="n">
        <v>3870.03</v>
      </c>
      <c r="F1106" s="14" t="n">
        <v>25842.17</v>
      </c>
      <c r="G1106" s="6" t="s">
        <v>2613</v>
      </c>
    </row>
    <row r="1107" customFormat="false" ht="15" hidden="false" customHeight="true" outlineLevel="0" collapsed="false">
      <c r="A1107" s="6" t="s">
        <v>3719</v>
      </c>
      <c r="B1107" s="6" t="s">
        <v>428</v>
      </c>
      <c r="C1107" s="6" t="s">
        <v>116</v>
      </c>
      <c r="D1107" s="13" t="n">
        <v>45896</v>
      </c>
      <c r="E1107" s="14" t="n">
        <v>4357.04</v>
      </c>
      <c r="F1107" s="14" t="n">
        <v>30199.21</v>
      </c>
      <c r="G1107" s="6" t="s">
        <v>2613</v>
      </c>
    </row>
    <row r="1108" customFormat="false" ht="15" hidden="false" customHeight="true" outlineLevel="0" collapsed="false">
      <c r="A1108" s="6" t="s">
        <v>3720</v>
      </c>
      <c r="B1108" s="6" t="s">
        <v>428</v>
      </c>
      <c r="C1108" s="6" t="s">
        <v>116</v>
      </c>
      <c r="D1108" s="13" t="n">
        <v>45903</v>
      </c>
      <c r="E1108" s="14" t="n">
        <v>4313.6</v>
      </c>
      <c r="F1108" s="14" t="n">
        <v>34512.81</v>
      </c>
      <c r="G1108" s="6" t="s">
        <v>2613</v>
      </c>
    </row>
    <row r="1109" customFormat="false" ht="15" hidden="false" customHeight="true" outlineLevel="0" collapsed="false">
      <c r="A1109" s="6" t="s">
        <v>3721</v>
      </c>
      <c r="B1109" s="6" t="s">
        <v>428</v>
      </c>
      <c r="C1109" s="6" t="s">
        <v>116</v>
      </c>
      <c r="D1109" s="13" t="n">
        <v>45910</v>
      </c>
      <c r="E1109" s="14" t="n">
        <v>2021.71</v>
      </c>
      <c r="F1109" s="14" t="n">
        <v>36534.52</v>
      </c>
      <c r="G1109" s="6" t="s">
        <v>2613</v>
      </c>
    </row>
    <row r="1110" customFormat="false" ht="15" hidden="false" customHeight="true" outlineLevel="0" collapsed="false">
      <c r="A1110" s="6" t="s">
        <v>3722</v>
      </c>
      <c r="B1110" s="6" t="s">
        <v>428</v>
      </c>
      <c r="C1110" s="6" t="s">
        <v>116</v>
      </c>
      <c r="D1110" s="13" t="n">
        <v>45917</v>
      </c>
      <c r="E1110" s="14" t="n">
        <v>2997.35</v>
      </c>
      <c r="F1110" s="14" t="n">
        <v>39531.87</v>
      </c>
      <c r="G1110" s="6" t="s">
        <v>2623</v>
      </c>
    </row>
    <row r="1111" customFormat="false" ht="15" hidden="false" customHeight="true" outlineLevel="0" collapsed="false">
      <c r="A1111" s="6" t="s">
        <v>3723</v>
      </c>
      <c r="B1111" s="6" t="s">
        <v>428</v>
      </c>
      <c r="C1111" s="6" t="s">
        <v>116</v>
      </c>
      <c r="D1111" s="13" t="n">
        <v>45924</v>
      </c>
      <c r="E1111" s="14" t="n">
        <v>2137.89</v>
      </c>
      <c r="F1111" s="14" t="n">
        <v>41669.76</v>
      </c>
      <c r="G1111" s="6" t="s">
        <v>2613</v>
      </c>
    </row>
    <row r="1112" customFormat="false" ht="15" hidden="false" customHeight="true" outlineLevel="0" collapsed="false">
      <c r="A1112" s="6" t="s">
        <v>3724</v>
      </c>
      <c r="B1112" s="6" t="s">
        <v>428</v>
      </c>
      <c r="C1112" s="6" t="s">
        <v>116</v>
      </c>
      <c r="D1112" s="13" t="n">
        <v>45931</v>
      </c>
      <c r="E1112" s="14" t="n">
        <v>4069.9</v>
      </c>
      <c r="F1112" s="14" t="n">
        <v>45739.66</v>
      </c>
      <c r="G1112" s="6" t="s">
        <v>2613</v>
      </c>
    </row>
    <row r="1113" customFormat="false" ht="15" hidden="false" customHeight="true" outlineLevel="0" collapsed="false">
      <c r="A1113" s="6" t="s">
        <v>3725</v>
      </c>
      <c r="B1113" s="6" t="s">
        <v>428</v>
      </c>
      <c r="C1113" s="6" t="s">
        <v>116</v>
      </c>
      <c r="D1113" s="13" t="n">
        <v>45938</v>
      </c>
      <c r="E1113" s="14" t="n">
        <v>3799.18</v>
      </c>
      <c r="F1113" s="14" t="n">
        <v>49538.84</v>
      </c>
      <c r="G1113" s="6" t="s">
        <v>2613</v>
      </c>
    </row>
    <row r="1114" customFormat="false" ht="15" hidden="false" customHeight="true" outlineLevel="0" collapsed="false">
      <c r="A1114" s="6" t="s">
        <v>3726</v>
      </c>
      <c r="B1114" s="6" t="s">
        <v>428</v>
      </c>
      <c r="C1114" s="6" t="s">
        <v>116</v>
      </c>
      <c r="D1114" s="13" t="n">
        <v>45945</v>
      </c>
      <c r="E1114" s="14" t="n">
        <v>2152.28</v>
      </c>
      <c r="F1114" s="14" t="n">
        <v>51691.12</v>
      </c>
      <c r="G1114" s="6" t="s">
        <v>2613</v>
      </c>
    </row>
    <row r="1115" customFormat="false" ht="15" hidden="false" customHeight="true" outlineLevel="0" collapsed="false">
      <c r="A1115" s="6" t="s">
        <v>3727</v>
      </c>
      <c r="B1115" s="6" t="s">
        <v>428</v>
      </c>
      <c r="C1115" s="6" t="s">
        <v>116</v>
      </c>
      <c r="D1115" s="13" t="n">
        <v>45952</v>
      </c>
      <c r="E1115" s="14" t="n">
        <v>2528.56</v>
      </c>
      <c r="F1115" s="14" t="n">
        <v>54219.68</v>
      </c>
      <c r="G1115" s="6" t="s">
        <v>2613</v>
      </c>
    </row>
    <row r="1116" customFormat="false" ht="15" hidden="false" customHeight="true" outlineLevel="0" collapsed="false">
      <c r="A1116" s="6" t="s">
        <v>3728</v>
      </c>
      <c r="B1116" s="6" t="s">
        <v>428</v>
      </c>
      <c r="C1116" s="6" t="s">
        <v>116</v>
      </c>
      <c r="D1116" s="13" t="n">
        <v>45959</v>
      </c>
      <c r="E1116" s="14" t="n">
        <v>2938.54</v>
      </c>
      <c r="F1116" s="14" t="n">
        <v>57158.22</v>
      </c>
      <c r="G1116" s="6" t="s">
        <v>2613</v>
      </c>
    </row>
    <row r="1117" customFormat="false" ht="15" hidden="false" customHeight="true" outlineLevel="0" collapsed="false">
      <c r="A1117" s="6" t="s">
        <v>3729</v>
      </c>
      <c r="B1117" s="6" t="s">
        <v>428</v>
      </c>
      <c r="C1117" s="6" t="s">
        <v>116</v>
      </c>
      <c r="D1117" s="13" t="n">
        <v>45966</v>
      </c>
      <c r="E1117" s="14" t="n">
        <v>3620.85</v>
      </c>
      <c r="F1117" s="14" t="n">
        <v>60779.07</v>
      </c>
      <c r="G1117" s="6" t="s">
        <v>2613</v>
      </c>
    </row>
    <row r="1118" customFormat="false" ht="15" hidden="false" customHeight="true" outlineLevel="0" collapsed="false">
      <c r="A1118" s="6" t="s">
        <v>3730</v>
      </c>
      <c r="B1118" s="6" t="s">
        <v>428</v>
      </c>
      <c r="C1118" s="6" t="s">
        <v>116</v>
      </c>
      <c r="D1118" s="13" t="n">
        <v>45973</v>
      </c>
      <c r="E1118" s="14" t="n">
        <v>3477.13</v>
      </c>
      <c r="F1118" s="14" t="n">
        <v>64256.2</v>
      </c>
      <c r="G1118" s="6" t="s">
        <v>2613</v>
      </c>
    </row>
    <row r="1119" customFormat="false" ht="15" hidden="false" customHeight="true" outlineLevel="0" collapsed="false">
      <c r="A1119" s="6" t="s">
        <v>3731</v>
      </c>
      <c r="B1119" s="6" t="s">
        <v>428</v>
      </c>
      <c r="C1119" s="6" t="s">
        <v>116</v>
      </c>
      <c r="D1119" s="13" t="n">
        <v>45980</v>
      </c>
      <c r="E1119" s="14" t="n">
        <v>3703.04</v>
      </c>
      <c r="F1119" s="14" t="n">
        <v>67959.24</v>
      </c>
      <c r="G1119" s="6" t="s">
        <v>2613</v>
      </c>
    </row>
    <row r="1120" customFormat="false" ht="15" hidden="false" customHeight="true" outlineLevel="0" collapsed="false">
      <c r="A1120" s="6" t="s">
        <v>3732</v>
      </c>
      <c r="B1120" s="6" t="s">
        <v>428</v>
      </c>
      <c r="C1120" s="6" t="s">
        <v>116</v>
      </c>
      <c r="D1120" s="13" t="n">
        <v>45987</v>
      </c>
      <c r="E1120" s="14" t="n">
        <v>3342.05</v>
      </c>
      <c r="F1120" s="14" t="n">
        <v>71301.29</v>
      </c>
      <c r="G1120" s="6" t="s">
        <v>2613</v>
      </c>
    </row>
    <row r="1121" customFormat="false" ht="15" hidden="false" customHeight="true" outlineLevel="0" collapsed="false">
      <c r="A1121" s="6" t="s">
        <v>3733</v>
      </c>
      <c r="B1121" s="6" t="s">
        <v>428</v>
      </c>
      <c r="C1121" s="6" t="s">
        <v>116</v>
      </c>
      <c r="D1121" s="13" t="n">
        <v>45994</v>
      </c>
      <c r="E1121" s="14" t="n">
        <v>3832.94</v>
      </c>
      <c r="F1121" s="14" t="n">
        <v>75134.23</v>
      </c>
      <c r="G1121" s="6" t="s">
        <v>2613</v>
      </c>
    </row>
    <row r="1122" customFormat="false" ht="15" hidden="false" customHeight="true" outlineLevel="0" collapsed="false">
      <c r="A1122" s="6" t="s">
        <v>3734</v>
      </c>
      <c r="B1122" s="6" t="s">
        <v>428</v>
      </c>
      <c r="C1122" s="6" t="s">
        <v>116</v>
      </c>
      <c r="D1122" s="13" t="n">
        <v>46001</v>
      </c>
      <c r="E1122" s="14" t="n">
        <v>1067.18</v>
      </c>
      <c r="F1122" s="14" t="n">
        <v>76201.41</v>
      </c>
      <c r="G1122" s="6" t="s">
        <v>2623</v>
      </c>
    </row>
    <row r="1123" customFormat="false" ht="15" hidden="false" customHeight="true" outlineLevel="0" collapsed="false">
      <c r="A1123" s="6" t="s">
        <v>3735</v>
      </c>
      <c r="B1123" s="6" t="s">
        <v>430</v>
      </c>
      <c r="C1123" s="6" t="s">
        <v>124</v>
      </c>
      <c r="D1123" s="13" t="n">
        <v>45476</v>
      </c>
      <c r="E1123" s="14" t="n">
        <v>3472.56</v>
      </c>
      <c r="F1123" s="14" t="n">
        <v>3472.56</v>
      </c>
      <c r="G1123" s="6" t="s">
        <v>2613</v>
      </c>
    </row>
    <row r="1124" customFormat="false" ht="15" hidden="false" customHeight="true" outlineLevel="0" collapsed="false">
      <c r="A1124" s="6" t="s">
        <v>3736</v>
      </c>
      <c r="B1124" s="6" t="s">
        <v>430</v>
      </c>
      <c r="C1124" s="6" t="s">
        <v>124</v>
      </c>
      <c r="D1124" s="13" t="n">
        <v>45483</v>
      </c>
      <c r="E1124" s="14" t="n">
        <v>3593.07</v>
      </c>
      <c r="F1124" s="14" t="n">
        <v>7065.63</v>
      </c>
      <c r="G1124" s="6" t="s">
        <v>2613</v>
      </c>
    </row>
    <row r="1125" customFormat="false" ht="15" hidden="false" customHeight="true" outlineLevel="0" collapsed="false">
      <c r="A1125" s="6" t="s">
        <v>3737</v>
      </c>
      <c r="B1125" s="6" t="s">
        <v>430</v>
      </c>
      <c r="C1125" s="6" t="s">
        <v>124</v>
      </c>
      <c r="D1125" s="13" t="n">
        <v>45490</v>
      </c>
      <c r="E1125" s="14" t="n">
        <v>3230.87</v>
      </c>
      <c r="F1125" s="14" t="n">
        <v>10296.5</v>
      </c>
      <c r="G1125" s="6" t="s">
        <v>2613</v>
      </c>
    </row>
    <row r="1126" customFormat="false" ht="15" hidden="false" customHeight="true" outlineLevel="0" collapsed="false">
      <c r="A1126" s="6" t="s">
        <v>3738</v>
      </c>
      <c r="B1126" s="6" t="s">
        <v>430</v>
      </c>
      <c r="C1126" s="6" t="s">
        <v>124</v>
      </c>
      <c r="D1126" s="13" t="n">
        <v>45497</v>
      </c>
      <c r="E1126" s="14" t="n">
        <v>4092.44</v>
      </c>
      <c r="F1126" s="14" t="n">
        <v>14388.94</v>
      </c>
      <c r="G1126" s="6" t="s">
        <v>2613</v>
      </c>
    </row>
    <row r="1127" customFormat="false" ht="15" hidden="false" customHeight="true" outlineLevel="0" collapsed="false">
      <c r="A1127" s="6" t="s">
        <v>3739</v>
      </c>
      <c r="B1127" s="6" t="s">
        <v>430</v>
      </c>
      <c r="C1127" s="6" t="s">
        <v>124</v>
      </c>
      <c r="D1127" s="13" t="n">
        <v>45504</v>
      </c>
      <c r="E1127" s="14" t="n">
        <v>2214</v>
      </c>
      <c r="F1127" s="14" t="n">
        <v>16602.94</v>
      </c>
      <c r="G1127" s="6" t="s">
        <v>2613</v>
      </c>
    </row>
    <row r="1128" customFormat="false" ht="15" hidden="false" customHeight="true" outlineLevel="0" collapsed="false">
      <c r="A1128" s="6" t="s">
        <v>3740</v>
      </c>
      <c r="B1128" s="6" t="s">
        <v>430</v>
      </c>
      <c r="C1128" s="6" t="s">
        <v>124</v>
      </c>
      <c r="D1128" s="13" t="n">
        <v>45511</v>
      </c>
      <c r="E1128" s="14" t="n">
        <v>2236.8</v>
      </c>
      <c r="F1128" s="14" t="n">
        <v>18839.74</v>
      </c>
      <c r="G1128" s="6" t="s">
        <v>2613</v>
      </c>
    </row>
    <row r="1129" customFormat="false" ht="15" hidden="false" customHeight="true" outlineLevel="0" collapsed="false">
      <c r="A1129" s="6" t="s">
        <v>3741</v>
      </c>
      <c r="B1129" s="6" t="s">
        <v>430</v>
      </c>
      <c r="C1129" s="6" t="s">
        <v>124</v>
      </c>
      <c r="D1129" s="13" t="n">
        <v>45518</v>
      </c>
      <c r="E1129" s="14" t="n">
        <v>3017.12</v>
      </c>
      <c r="F1129" s="14" t="n">
        <v>21856.86</v>
      </c>
      <c r="G1129" s="6" t="s">
        <v>2613</v>
      </c>
    </row>
    <row r="1130" customFormat="false" ht="15" hidden="false" customHeight="true" outlineLevel="0" collapsed="false">
      <c r="A1130" s="6" t="s">
        <v>3742</v>
      </c>
      <c r="B1130" s="6" t="s">
        <v>430</v>
      </c>
      <c r="C1130" s="6" t="s">
        <v>124</v>
      </c>
      <c r="D1130" s="13" t="n">
        <v>45525</v>
      </c>
      <c r="E1130" s="14" t="n">
        <v>2015.65</v>
      </c>
      <c r="F1130" s="14" t="n">
        <v>23872.51</v>
      </c>
      <c r="G1130" s="6" t="s">
        <v>2613</v>
      </c>
    </row>
    <row r="1131" customFormat="false" ht="15" hidden="false" customHeight="true" outlineLevel="0" collapsed="false">
      <c r="A1131" s="6" t="s">
        <v>3743</v>
      </c>
      <c r="B1131" s="6" t="s">
        <v>432</v>
      </c>
      <c r="C1131" s="6" t="s">
        <v>128</v>
      </c>
      <c r="D1131" s="13" t="n">
        <v>44673</v>
      </c>
      <c r="E1131" s="14" t="n">
        <v>1630</v>
      </c>
      <c r="F1131" s="14" t="n">
        <v>1630</v>
      </c>
      <c r="G1131" s="6" t="s">
        <v>2613</v>
      </c>
    </row>
    <row r="1132" customFormat="false" ht="15" hidden="false" customHeight="true" outlineLevel="0" collapsed="false">
      <c r="A1132" s="6" t="s">
        <v>3744</v>
      </c>
      <c r="B1132" s="6" t="s">
        <v>432</v>
      </c>
      <c r="C1132" s="6" t="s">
        <v>128</v>
      </c>
      <c r="D1132" s="13" t="n">
        <v>44680</v>
      </c>
      <c r="E1132" s="14" t="n">
        <v>1575.54</v>
      </c>
      <c r="F1132" s="14" t="n">
        <v>3205.54</v>
      </c>
      <c r="G1132" s="6" t="s">
        <v>2613</v>
      </c>
    </row>
    <row r="1133" customFormat="false" ht="15" hidden="false" customHeight="true" outlineLevel="0" collapsed="false">
      <c r="A1133" s="6" t="s">
        <v>3745</v>
      </c>
      <c r="B1133" s="6" t="s">
        <v>432</v>
      </c>
      <c r="C1133" s="6" t="s">
        <v>128</v>
      </c>
      <c r="D1133" s="13" t="n">
        <v>44687</v>
      </c>
      <c r="E1133" s="14" t="n">
        <v>841.92</v>
      </c>
      <c r="F1133" s="14" t="n">
        <v>4047.46</v>
      </c>
      <c r="G1133" s="6" t="s">
        <v>2613</v>
      </c>
    </row>
    <row r="1134" customFormat="false" ht="15" hidden="false" customHeight="true" outlineLevel="0" collapsed="false">
      <c r="A1134" s="6" t="s">
        <v>3746</v>
      </c>
      <c r="B1134" s="6" t="s">
        <v>432</v>
      </c>
      <c r="C1134" s="6" t="s">
        <v>128</v>
      </c>
      <c r="D1134" s="13" t="n">
        <v>44694</v>
      </c>
      <c r="E1134" s="14" t="n">
        <v>1068.23</v>
      </c>
      <c r="F1134" s="14" t="n">
        <v>5115.69</v>
      </c>
      <c r="G1134" s="6" t="s">
        <v>2613</v>
      </c>
    </row>
    <row r="1135" customFormat="false" ht="15" hidden="false" customHeight="true" outlineLevel="0" collapsed="false">
      <c r="A1135" s="6" t="s">
        <v>3747</v>
      </c>
      <c r="B1135" s="6" t="s">
        <v>434</v>
      </c>
      <c r="C1135" s="6" t="s">
        <v>116</v>
      </c>
      <c r="D1135" s="13" t="n">
        <v>45307</v>
      </c>
      <c r="E1135" s="14" t="n">
        <v>3531.61</v>
      </c>
      <c r="F1135" s="14" t="n">
        <v>3531.61</v>
      </c>
      <c r="G1135" s="6" t="s">
        <v>2613</v>
      </c>
    </row>
    <row r="1136" customFormat="false" ht="15" hidden="false" customHeight="true" outlineLevel="0" collapsed="false">
      <c r="A1136" s="6" t="s">
        <v>3748</v>
      </c>
      <c r="B1136" s="6" t="s">
        <v>434</v>
      </c>
      <c r="C1136" s="6" t="s">
        <v>116</v>
      </c>
      <c r="D1136" s="13" t="n">
        <v>45314</v>
      </c>
      <c r="E1136" s="14" t="n">
        <v>3384.63</v>
      </c>
      <c r="F1136" s="14" t="n">
        <v>6916.24</v>
      </c>
      <c r="G1136" s="6" t="s">
        <v>2613</v>
      </c>
    </row>
    <row r="1137" customFormat="false" ht="15" hidden="false" customHeight="true" outlineLevel="0" collapsed="false">
      <c r="A1137" s="6" t="s">
        <v>3749</v>
      </c>
      <c r="B1137" s="6" t="s">
        <v>434</v>
      </c>
      <c r="C1137" s="6" t="s">
        <v>116</v>
      </c>
      <c r="D1137" s="13" t="n">
        <v>45321</v>
      </c>
      <c r="E1137" s="14" t="n">
        <v>3611.67</v>
      </c>
      <c r="F1137" s="14" t="n">
        <v>10527.91</v>
      </c>
      <c r="G1137" s="6" t="s">
        <v>2613</v>
      </c>
    </row>
    <row r="1138" customFormat="false" ht="15" hidden="false" customHeight="true" outlineLevel="0" collapsed="false">
      <c r="A1138" s="6" t="s">
        <v>3750</v>
      </c>
      <c r="B1138" s="6" t="s">
        <v>434</v>
      </c>
      <c r="C1138" s="6" t="s">
        <v>116</v>
      </c>
      <c r="D1138" s="13" t="n">
        <v>45328</v>
      </c>
      <c r="E1138" s="14" t="n">
        <v>2828.85</v>
      </c>
      <c r="F1138" s="14" t="n">
        <v>13356.76</v>
      </c>
      <c r="G1138" s="6" t="s">
        <v>2613</v>
      </c>
    </row>
    <row r="1139" customFormat="false" ht="15" hidden="false" customHeight="true" outlineLevel="0" collapsed="false">
      <c r="A1139" s="6" t="s">
        <v>3751</v>
      </c>
      <c r="B1139" s="6" t="s">
        <v>434</v>
      </c>
      <c r="C1139" s="6" t="s">
        <v>116</v>
      </c>
      <c r="D1139" s="13" t="n">
        <v>45335</v>
      </c>
      <c r="E1139" s="14" t="n">
        <v>3593.51</v>
      </c>
      <c r="F1139" s="14" t="n">
        <v>16950.27</v>
      </c>
      <c r="G1139" s="6" t="s">
        <v>2613</v>
      </c>
    </row>
    <row r="1140" customFormat="false" ht="15" hidden="false" customHeight="true" outlineLevel="0" collapsed="false">
      <c r="A1140" s="6" t="s">
        <v>3752</v>
      </c>
      <c r="B1140" s="6" t="s">
        <v>434</v>
      </c>
      <c r="C1140" s="6" t="s">
        <v>116</v>
      </c>
      <c r="D1140" s="13" t="n">
        <v>45342</v>
      </c>
      <c r="E1140" s="14" t="n">
        <v>2565.12</v>
      </c>
      <c r="F1140" s="14" t="n">
        <v>19515.39</v>
      </c>
      <c r="G1140" s="6" t="s">
        <v>2623</v>
      </c>
    </row>
    <row r="1141" customFormat="false" ht="15" hidden="false" customHeight="true" outlineLevel="0" collapsed="false">
      <c r="A1141" s="6" t="s">
        <v>3753</v>
      </c>
      <c r="B1141" s="6" t="s">
        <v>434</v>
      </c>
      <c r="C1141" s="6" t="s">
        <v>116</v>
      </c>
      <c r="D1141" s="13" t="n">
        <v>45349</v>
      </c>
      <c r="E1141" s="14" t="n">
        <v>3068.83</v>
      </c>
      <c r="F1141" s="14" t="n">
        <v>22584.22</v>
      </c>
      <c r="G1141" s="6" t="s">
        <v>2613</v>
      </c>
    </row>
    <row r="1142" customFormat="false" ht="15" hidden="false" customHeight="true" outlineLevel="0" collapsed="false">
      <c r="A1142" s="6" t="s">
        <v>3754</v>
      </c>
      <c r="B1142" s="6" t="s">
        <v>436</v>
      </c>
      <c r="C1142" s="6" t="s">
        <v>124</v>
      </c>
      <c r="D1142" s="13" t="n">
        <v>45903</v>
      </c>
      <c r="E1142" s="14" t="n">
        <v>1834.18</v>
      </c>
      <c r="F1142" s="14" t="n">
        <v>1834.18</v>
      </c>
      <c r="G1142" s="6" t="s">
        <v>2613</v>
      </c>
    </row>
    <row r="1143" customFormat="false" ht="15" hidden="false" customHeight="true" outlineLevel="0" collapsed="false">
      <c r="A1143" s="6" t="s">
        <v>3755</v>
      </c>
      <c r="B1143" s="6" t="s">
        <v>436</v>
      </c>
      <c r="C1143" s="6" t="s">
        <v>124</v>
      </c>
      <c r="D1143" s="13" t="n">
        <v>45910</v>
      </c>
      <c r="E1143" s="14" t="n">
        <v>1842.89</v>
      </c>
      <c r="F1143" s="14" t="n">
        <v>3677.07</v>
      </c>
      <c r="G1143" s="6" t="s">
        <v>2613</v>
      </c>
    </row>
    <row r="1144" customFormat="false" ht="15" hidden="false" customHeight="true" outlineLevel="0" collapsed="false">
      <c r="A1144" s="6" t="s">
        <v>3756</v>
      </c>
      <c r="B1144" s="6" t="s">
        <v>436</v>
      </c>
      <c r="C1144" s="6" t="s">
        <v>124</v>
      </c>
      <c r="D1144" s="13" t="n">
        <v>45917</v>
      </c>
      <c r="E1144" s="14" t="n">
        <v>817.97</v>
      </c>
      <c r="F1144" s="14" t="n">
        <v>4495.04</v>
      </c>
      <c r="G1144" s="6" t="s">
        <v>2623</v>
      </c>
    </row>
    <row r="1145" customFormat="false" ht="15" hidden="false" customHeight="true" outlineLevel="0" collapsed="false">
      <c r="A1145" s="6" t="s">
        <v>3757</v>
      </c>
      <c r="B1145" s="6" t="s">
        <v>436</v>
      </c>
      <c r="C1145" s="6" t="s">
        <v>124</v>
      </c>
      <c r="D1145" s="13" t="n">
        <v>45924</v>
      </c>
      <c r="E1145" s="14" t="n">
        <v>1534.05</v>
      </c>
      <c r="F1145" s="14" t="n">
        <v>6029.09</v>
      </c>
      <c r="G1145" s="6" t="s">
        <v>2613</v>
      </c>
    </row>
    <row r="1146" customFormat="false" ht="15" hidden="false" customHeight="true" outlineLevel="0" collapsed="false">
      <c r="A1146" s="6" t="s">
        <v>3758</v>
      </c>
      <c r="B1146" s="6" t="s">
        <v>436</v>
      </c>
      <c r="C1146" s="6" t="s">
        <v>124</v>
      </c>
      <c r="D1146" s="13" t="n">
        <v>45931</v>
      </c>
      <c r="E1146" s="14" t="n">
        <v>1744.25</v>
      </c>
      <c r="F1146" s="14" t="n">
        <v>7773.34</v>
      </c>
      <c r="G1146" s="6" t="s">
        <v>2613</v>
      </c>
    </row>
    <row r="1147" customFormat="false" ht="15" hidden="false" customHeight="true" outlineLevel="0" collapsed="false">
      <c r="A1147" s="6" t="s">
        <v>3759</v>
      </c>
      <c r="B1147" s="6" t="s">
        <v>436</v>
      </c>
      <c r="C1147" s="6" t="s">
        <v>124</v>
      </c>
      <c r="D1147" s="13" t="n">
        <v>45938</v>
      </c>
      <c r="E1147" s="14" t="n">
        <v>922.3</v>
      </c>
      <c r="F1147" s="14" t="n">
        <v>8695.64</v>
      </c>
      <c r="G1147" s="6" t="s">
        <v>2613</v>
      </c>
    </row>
    <row r="1148" customFormat="false" ht="15" hidden="false" customHeight="true" outlineLevel="0" collapsed="false">
      <c r="A1148" s="6" t="s">
        <v>3760</v>
      </c>
      <c r="B1148" s="6" t="s">
        <v>436</v>
      </c>
      <c r="C1148" s="6" t="s">
        <v>124</v>
      </c>
      <c r="D1148" s="13" t="n">
        <v>45945</v>
      </c>
      <c r="E1148" s="14" t="n">
        <v>1569.06</v>
      </c>
      <c r="F1148" s="14" t="n">
        <v>10264.7</v>
      </c>
      <c r="G1148" s="6" t="s">
        <v>2613</v>
      </c>
    </row>
    <row r="1149" customFormat="false" ht="15" hidden="false" customHeight="true" outlineLevel="0" collapsed="false">
      <c r="A1149" s="6" t="s">
        <v>3761</v>
      </c>
      <c r="B1149" s="6" t="s">
        <v>436</v>
      </c>
      <c r="C1149" s="6" t="s">
        <v>124</v>
      </c>
      <c r="D1149" s="13" t="n">
        <v>45952</v>
      </c>
      <c r="E1149" s="14" t="n">
        <v>1647.32</v>
      </c>
      <c r="F1149" s="14" t="n">
        <v>11912.02</v>
      </c>
      <c r="G1149" s="6" t="s">
        <v>2613</v>
      </c>
    </row>
    <row r="1150" customFormat="false" ht="15" hidden="false" customHeight="true" outlineLevel="0" collapsed="false">
      <c r="A1150" s="6" t="s">
        <v>3762</v>
      </c>
      <c r="B1150" s="6" t="s">
        <v>436</v>
      </c>
      <c r="C1150" s="6" t="s">
        <v>124</v>
      </c>
      <c r="D1150" s="13" t="n">
        <v>45959</v>
      </c>
      <c r="E1150" s="14" t="n">
        <v>1825.04</v>
      </c>
      <c r="F1150" s="14" t="n">
        <v>13737.06</v>
      </c>
      <c r="G1150" s="6" t="s">
        <v>2613</v>
      </c>
    </row>
    <row r="1151" customFormat="false" ht="15" hidden="false" customHeight="true" outlineLevel="0" collapsed="false">
      <c r="A1151" s="6" t="s">
        <v>3763</v>
      </c>
      <c r="B1151" s="6" t="s">
        <v>436</v>
      </c>
      <c r="C1151" s="6" t="s">
        <v>124</v>
      </c>
      <c r="D1151" s="13" t="n">
        <v>45966</v>
      </c>
      <c r="E1151" s="14" t="n">
        <v>976.11</v>
      </c>
      <c r="F1151" s="14" t="n">
        <v>14713.17</v>
      </c>
      <c r="G1151" s="6" t="s">
        <v>2613</v>
      </c>
    </row>
    <row r="1152" customFormat="false" ht="15" hidden="false" customHeight="true" outlineLevel="0" collapsed="false">
      <c r="A1152" s="6" t="s">
        <v>3764</v>
      </c>
      <c r="B1152" s="6" t="s">
        <v>436</v>
      </c>
      <c r="C1152" s="6" t="s">
        <v>124</v>
      </c>
      <c r="D1152" s="13" t="n">
        <v>45973</v>
      </c>
      <c r="E1152" s="14" t="n">
        <v>1168.32</v>
      </c>
      <c r="F1152" s="14" t="n">
        <v>15881.49</v>
      </c>
      <c r="G1152" s="6" t="s">
        <v>2623</v>
      </c>
    </row>
    <row r="1153" customFormat="false" ht="15" hidden="false" customHeight="true" outlineLevel="0" collapsed="false">
      <c r="A1153" s="6" t="s">
        <v>3765</v>
      </c>
      <c r="B1153" s="6" t="s">
        <v>436</v>
      </c>
      <c r="C1153" s="6" t="s">
        <v>124</v>
      </c>
      <c r="D1153" s="13" t="n">
        <v>45980</v>
      </c>
      <c r="E1153" s="14" t="n">
        <v>868.66</v>
      </c>
      <c r="F1153" s="14" t="n">
        <v>16750.15</v>
      </c>
      <c r="G1153" s="6" t="s">
        <v>2613</v>
      </c>
    </row>
    <row r="1154" customFormat="false" ht="15" hidden="false" customHeight="true" outlineLevel="0" collapsed="false">
      <c r="A1154" s="6" t="s">
        <v>3766</v>
      </c>
      <c r="B1154" s="6" t="s">
        <v>436</v>
      </c>
      <c r="C1154" s="6" t="s">
        <v>124</v>
      </c>
      <c r="D1154" s="13" t="n">
        <v>45987</v>
      </c>
      <c r="E1154" s="14" t="n">
        <v>1412.81</v>
      </c>
      <c r="F1154" s="14" t="n">
        <v>18162.96</v>
      </c>
      <c r="G1154" s="6" t="s">
        <v>2613</v>
      </c>
    </row>
    <row r="1155" customFormat="false" ht="15" hidden="false" customHeight="true" outlineLevel="0" collapsed="false">
      <c r="A1155" s="6" t="s">
        <v>3767</v>
      </c>
      <c r="B1155" s="6" t="s">
        <v>436</v>
      </c>
      <c r="C1155" s="6" t="s">
        <v>124</v>
      </c>
      <c r="D1155" s="13" t="n">
        <v>45994</v>
      </c>
      <c r="E1155" s="14" t="n">
        <v>738.16</v>
      </c>
      <c r="F1155" s="14" t="n">
        <v>18901.12</v>
      </c>
      <c r="G1155" s="6" t="s">
        <v>2613</v>
      </c>
    </row>
    <row r="1156" customFormat="false" ht="15" hidden="false" customHeight="true" outlineLevel="0" collapsed="false">
      <c r="A1156" s="6" t="s">
        <v>3768</v>
      </c>
      <c r="B1156" s="6" t="s">
        <v>438</v>
      </c>
      <c r="C1156" s="6" t="s">
        <v>120</v>
      </c>
      <c r="D1156" s="13" t="n">
        <v>46117</v>
      </c>
      <c r="E1156" s="14" t="n">
        <v>3385.34</v>
      </c>
      <c r="F1156" s="14" t="n">
        <v>3385.34</v>
      </c>
      <c r="G1156" s="6" t="s">
        <v>2613</v>
      </c>
    </row>
    <row r="1157" customFormat="false" ht="15" hidden="false" customHeight="true" outlineLevel="0" collapsed="false">
      <c r="A1157" s="6" t="s">
        <v>3769</v>
      </c>
      <c r="B1157" s="6" t="s">
        <v>440</v>
      </c>
      <c r="C1157" s="6" t="s">
        <v>120</v>
      </c>
      <c r="D1157" s="13" t="n">
        <v>45019</v>
      </c>
      <c r="E1157" s="14" t="n">
        <v>3518.98</v>
      </c>
      <c r="F1157" s="14" t="n">
        <v>3518.98</v>
      </c>
      <c r="G1157" s="6" t="s">
        <v>2613</v>
      </c>
    </row>
    <row r="1158" customFormat="false" ht="15" hidden="false" customHeight="true" outlineLevel="0" collapsed="false">
      <c r="A1158" s="6" t="s">
        <v>3770</v>
      </c>
      <c r="B1158" s="6" t="s">
        <v>440</v>
      </c>
      <c r="C1158" s="6" t="s">
        <v>120</v>
      </c>
      <c r="D1158" s="13" t="n">
        <v>45026</v>
      </c>
      <c r="E1158" s="14" t="n">
        <v>3888.85</v>
      </c>
      <c r="F1158" s="14" t="n">
        <v>7407.83</v>
      </c>
      <c r="G1158" s="6" t="s">
        <v>2613</v>
      </c>
    </row>
    <row r="1159" customFormat="false" ht="15" hidden="false" customHeight="true" outlineLevel="0" collapsed="false">
      <c r="A1159" s="6" t="s">
        <v>3771</v>
      </c>
      <c r="B1159" s="6" t="s">
        <v>440</v>
      </c>
      <c r="C1159" s="6" t="s">
        <v>120</v>
      </c>
      <c r="D1159" s="13" t="n">
        <v>45033</v>
      </c>
      <c r="E1159" s="14" t="n">
        <v>3245.66</v>
      </c>
      <c r="F1159" s="14" t="n">
        <v>10653.49</v>
      </c>
      <c r="G1159" s="6" t="s">
        <v>2613</v>
      </c>
    </row>
    <row r="1160" customFormat="false" ht="15" hidden="false" customHeight="true" outlineLevel="0" collapsed="false">
      <c r="A1160" s="6" t="s">
        <v>3772</v>
      </c>
      <c r="B1160" s="6" t="s">
        <v>440</v>
      </c>
      <c r="C1160" s="6" t="s">
        <v>120</v>
      </c>
      <c r="D1160" s="13" t="n">
        <v>45040</v>
      </c>
      <c r="E1160" s="14" t="n">
        <v>3513.37</v>
      </c>
      <c r="F1160" s="14" t="n">
        <v>14166.86</v>
      </c>
      <c r="G1160" s="6" t="s">
        <v>2613</v>
      </c>
    </row>
    <row r="1161" customFormat="false" ht="15" hidden="false" customHeight="true" outlineLevel="0" collapsed="false">
      <c r="A1161" s="6" t="s">
        <v>3773</v>
      </c>
      <c r="B1161" s="6" t="s">
        <v>440</v>
      </c>
      <c r="C1161" s="6" t="s">
        <v>120</v>
      </c>
      <c r="D1161" s="13" t="n">
        <v>45047</v>
      </c>
      <c r="E1161" s="14" t="n">
        <v>2554</v>
      </c>
      <c r="F1161" s="14" t="n">
        <v>16720.86</v>
      </c>
      <c r="G1161" s="6" t="s">
        <v>2613</v>
      </c>
    </row>
    <row r="1162" customFormat="false" ht="15" hidden="false" customHeight="true" outlineLevel="0" collapsed="false">
      <c r="A1162" s="6" t="s">
        <v>3774</v>
      </c>
      <c r="B1162" s="6" t="s">
        <v>440</v>
      </c>
      <c r="C1162" s="6" t="s">
        <v>120</v>
      </c>
      <c r="D1162" s="13" t="n">
        <v>45054</v>
      </c>
      <c r="E1162" s="14" t="n">
        <v>2964.22</v>
      </c>
      <c r="F1162" s="14" t="n">
        <v>19685.08</v>
      </c>
      <c r="G1162" s="6" t="s">
        <v>2613</v>
      </c>
    </row>
    <row r="1163" customFormat="false" ht="15" hidden="false" customHeight="true" outlineLevel="0" collapsed="false">
      <c r="A1163" s="6" t="s">
        <v>3775</v>
      </c>
      <c r="B1163" s="6" t="s">
        <v>440</v>
      </c>
      <c r="C1163" s="6" t="s">
        <v>120</v>
      </c>
      <c r="D1163" s="13" t="n">
        <v>45061</v>
      </c>
      <c r="E1163" s="14" t="n">
        <v>1985.74</v>
      </c>
      <c r="F1163" s="14" t="n">
        <v>21670.82</v>
      </c>
      <c r="G1163" s="6" t="s">
        <v>2623</v>
      </c>
    </row>
    <row r="1164" customFormat="false" ht="15" hidden="false" customHeight="true" outlineLevel="0" collapsed="false">
      <c r="A1164" s="6" t="s">
        <v>3776</v>
      </c>
      <c r="B1164" s="6" t="s">
        <v>440</v>
      </c>
      <c r="C1164" s="6" t="s">
        <v>120</v>
      </c>
      <c r="D1164" s="13" t="n">
        <v>45068</v>
      </c>
      <c r="E1164" s="14" t="n">
        <v>3062.29</v>
      </c>
      <c r="F1164" s="14" t="n">
        <v>24733.11</v>
      </c>
      <c r="G1164" s="6" t="s">
        <v>2613</v>
      </c>
    </row>
    <row r="1165" customFormat="false" ht="15" hidden="false" customHeight="true" outlineLevel="0" collapsed="false">
      <c r="A1165" s="6" t="s">
        <v>3777</v>
      </c>
      <c r="B1165" s="6" t="s">
        <v>440</v>
      </c>
      <c r="C1165" s="6" t="s">
        <v>120</v>
      </c>
      <c r="D1165" s="13" t="n">
        <v>45075</v>
      </c>
      <c r="E1165" s="14" t="n">
        <v>3858.93</v>
      </c>
      <c r="F1165" s="14" t="n">
        <v>28592.04</v>
      </c>
      <c r="G1165" s="6" t="s">
        <v>2613</v>
      </c>
    </row>
    <row r="1166" customFormat="false" ht="15" hidden="false" customHeight="true" outlineLevel="0" collapsed="false">
      <c r="A1166" s="6" t="s">
        <v>3778</v>
      </c>
      <c r="B1166" s="6" t="s">
        <v>440</v>
      </c>
      <c r="C1166" s="6" t="s">
        <v>120</v>
      </c>
      <c r="D1166" s="13" t="n">
        <v>45082</v>
      </c>
      <c r="E1166" s="14" t="n">
        <v>3407.13</v>
      </c>
      <c r="F1166" s="14" t="n">
        <v>31999.17</v>
      </c>
      <c r="G1166" s="6" t="s">
        <v>2613</v>
      </c>
    </row>
    <row r="1167" customFormat="false" ht="15" hidden="false" customHeight="true" outlineLevel="0" collapsed="false">
      <c r="A1167" s="6" t="s">
        <v>3779</v>
      </c>
      <c r="B1167" s="6" t="s">
        <v>440</v>
      </c>
      <c r="C1167" s="6" t="s">
        <v>120</v>
      </c>
      <c r="D1167" s="13" t="n">
        <v>45089</v>
      </c>
      <c r="E1167" s="14" t="n">
        <v>2487.42</v>
      </c>
      <c r="F1167" s="14" t="n">
        <v>34486.59</v>
      </c>
      <c r="G1167" s="6" t="s">
        <v>2613</v>
      </c>
    </row>
    <row r="1168" customFormat="false" ht="15" hidden="false" customHeight="true" outlineLevel="0" collapsed="false">
      <c r="A1168" s="6" t="s">
        <v>3780</v>
      </c>
      <c r="B1168" s="6" t="s">
        <v>440</v>
      </c>
      <c r="C1168" s="6" t="s">
        <v>120</v>
      </c>
      <c r="D1168" s="13" t="n">
        <v>45096</v>
      </c>
      <c r="E1168" s="14" t="n">
        <v>3174.35</v>
      </c>
      <c r="F1168" s="14" t="n">
        <v>37660.94</v>
      </c>
      <c r="G1168" s="6" t="s">
        <v>2613</v>
      </c>
    </row>
    <row r="1169" customFormat="false" ht="15" hidden="false" customHeight="true" outlineLevel="0" collapsed="false">
      <c r="A1169" s="6" t="s">
        <v>3781</v>
      </c>
      <c r="B1169" s="6" t="s">
        <v>440</v>
      </c>
      <c r="C1169" s="6" t="s">
        <v>120</v>
      </c>
      <c r="D1169" s="13" t="n">
        <v>45103</v>
      </c>
      <c r="E1169" s="14" t="n">
        <v>2071.51</v>
      </c>
      <c r="F1169" s="14" t="n">
        <v>39732.45</v>
      </c>
      <c r="G1169" s="6" t="s">
        <v>2613</v>
      </c>
    </row>
    <row r="1170" customFormat="false" ht="15" hidden="false" customHeight="true" outlineLevel="0" collapsed="false">
      <c r="A1170" s="6" t="s">
        <v>3782</v>
      </c>
      <c r="B1170" s="6" t="s">
        <v>440</v>
      </c>
      <c r="C1170" s="6" t="s">
        <v>120</v>
      </c>
      <c r="D1170" s="13" t="n">
        <v>45110</v>
      </c>
      <c r="E1170" s="14" t="n">
        <v>3603.72</v>
      </c>
      <c r="F1170" s="14" t="n">
        <v>43336.17</v>
      </c>
      <c r="G1170" s="6" t="s">
        <v>2613</v>
      </c>
    </row>
    <row r="1171" customFormat="false" ht="15" hidden="false" customHeight="true" outlineLevel="0" collapsed="false">
      <c r="A1171" s="6" t="s">
        <v>3783</v>
      </c>
      <c r="B1171" s="6" t="s">
        <v>440</v>
      </c>
      <c r="C1171" s="6" t="s">
        <v>120</v>
      </c>
      <c r="D1171" s="13" t="n">
        <v>45117</v>
      </c>
      <c r="E1171" s="14" t="n">
        <v>2117.91</v>
      </c>
      <c r="F1171" s="14" t="n">
        <v>45454.08</v>
      </c>
      <c r="G1171" s="6" t="s">
        <v>2613</v>
      </c>
    </row>
    <row r="1172" customFormat="false" ht="15" hidden="false" customHeight="true" outlineLevel="0" collapsed="false">
      <c r="A1172" s="6" t="s">
        <v>3784</v>
      </c>
      <c r="B1172" s="6" t="s">
        <v>440</v>
      </c>
      <c r="C1172" s="6" t="s">
        <v>120</v>
      </c>
      <c r="D1172" s="13" t="n">
        <v>45124</v>
      </c>
      <c r="E1172" s="14" t="n">
        <v>25.94</v>
      </c>
      <c r="F1172" s="14" t="n">
        <v>45480.02</v>
      </c>
      <c r="G1172" s="6" t="s">
        <v>2613</v>
      </c>
    </row>
    <row r="1173" customFormat="false" ht="15" hidden="false" customHeight="true" outlineLevel="0" collapsed="false">
      <c r="A1173" s="6" t="s">
        <v>3785</v>
      </c>
      <c r="B1173" s="6" t="s">
        <v>442</v>
      </c>
      <c r="C1173" s="6" t="s">
        <v>128</v>
      </c>
      <c r="D1173" s="13" t="n">
        <v>45911</v>
      </c>
      <c r="E1173" s="14" t="n">
        <v>215.77</v>
      </c>
      <c r="F1173" s="14" t="n">
        <v>215.77</v>
      </c>
      <c r="G1173" s="6" t="s">
        <v>2613</v>
      </c>
    </row>
    <row r="1174" customFormat="false" ht="15" hidden="false" customHeight="true" outlineLevel="0" collapsed="false">
      <c r="A1174" s="6" t="s">
        <v>3786</v>
      </c>
      <c r="B1174" s="6" t="s">
        <v>442</v>
      </c>
      <c r="C1174" s="6" t="s">
        <v>128</v>
      </c>
      <c r="D1174" s="13" t="n">
        <v>45918</v>
      </c>
      <c r="E1174" s="14" t="n">
        <v>325.27</v>
      </c>
      <c r="F1174" s="14" t="n">
        <v>541.04</v>
      </c>
      <c r="G1174" s="6" t="s">
        <v>2613</v>
      </c>
    </row>
    <row r="1175" customFormat="false" ht="15" hidden="false" customHeight="true" outlineLevel="0" collapsed="false">
      <c r="A1175" s="6" t="s">
        <v>3787</v>
      </c>
      <c r="B1175" s="6" t="s">
        <v>442</v>
      </c>
      <c r="C1175" s="6" t="s">
        <v>128</v>
      </c>
      <c r="D1175" s="13" t="n">
        <v>45925</v>
      </c>
      <c r="E1175" s="14" t="n">
        <v>370.96</v>
      </c>
      <c r="F1175" s="14" t="n">
        <v>912</v>
      </c>
      <c r="G1175" s="6" t="s">
        <v>2613</v>
      </c>
    </row>
    <row r="1176" customFormat="false" ht="15" hidden="false" customHeight="true" outlineLevel="0" collapsed="false">
      <c r="A1176" s="6" t="s">
        <v>3788</v>
      </c>
      <c r="B1176" s="6" t="s">
        <v>442</v>
      </c>
      <c r="C1176" s="6" t="s">
        <v>128</v>
      </c>
      <c r="D1176" s="13" t="n">
        <v>45932</v>
      </c>
      <c r="E1176" s="14" t="n">
        <v>237.51</v>
      </c>
      <c r="F1176" s="14" t="n">
        <v>1149.51</v>
      </c>
      <c r="G1176" s="6" t="s">
        <v>2613</v>
      </c>
    </row>
    <row r="1177" customFormat="false" ht="15" hidden="false" customHeight="true" outlineLevel="0" collapsed="false">
      <c r="A1177" s="6" t="s">
        <v>3789</v>
      </c>
      <c r="B1177" s="6" t="s">
        <v>442</v>
      </c>
      <c r="C1177" s="6" t="s">
        <v>128</v>
      </c>
      <c r="D1177" s="13" t="n">
        <v>45939</v>
      </c>
      <c r="E1177" s="14" t="n">
        <v>409.98</v>
      </c>
      <c r="F1177" s="14" t="n">
        <v>1559.49</v>
      </c>
      <c r="G1177" s="6" t="s">
        <v>2613</v>
      </c>
    </row>
    <row r="1178" customFormat="false" ht="15" hidden="false" customHeight="true" outlineLevel="0" collapsed="false">
      <c r="A1178" s="6" t="s">
        <v>3790</v>
      </c>
      <c r="B1178" s="6" t="s">
        <v>442</v>
      </c>
      <c r="C1178" s="6" t="s">
        <v>128</v>
      </c>
      <c r="D1178" s="13" t="n">
        <v>45946</v>
      </c>
      <c r="E1178" s="14" t="n">
        <v>241.78</v>
      </c>
      <c r="F1178" s="14" t="n">
        <v>1801.27</v>
      </c>
      <c r="G1178" s="6" t="s">
        <v>2613</v>
      </c>
    </row>
    <row r="1179" customFormat="false" ht="15" hidden="false" customHeight="true" outlineLevel="0" collapsed="false">
      <c r="A1179" s="6" t="s">
        <v>3791</v>
      </c>
      <c r="B1179" s="6" t="s">
        <v>442</v>
      </c>
      <c r="C1179" s="6" t="s">
        <v>128</v>
      </c>
      <c r="D1179" s="13" t="n">
        <v>45953</v>
      </c>
      <c r="E1179" s="14" t="n">
        <v>404.18</v>
      </c>
      <c r="F1179" s="14" t="n">
        <v>2205.45</v>
      </c>
      <c r="G1179" s="6" t="s">
        <v>2613</v>
      </c>
    </row>
    <row r="1180" customFormat="false" ht="15" hidden="false" customHeight="true" outlineLevel="0" collapsed="false">
      <c r="A1180" s="6" t="s">
        <v>3792</v>
      </c>
      <c r="B1180" s="6" t="s">
        <v>442</v>
      </c>
      <c r="C1180" s="6" t="s">
        <v>128</v>
      </c>
      <c r="D1180" s="13" t="n">
        <v>45960</v>
      </c>
      <c r="E1180" s="14" t="n">
        <v>366.06</v>
      </c>
      <c r="F1180" s="14" t="n">
        <v>2571.51</v>
      </c>
      <c r="G1180" s="6" t="s">
        <v>2613</v>
      </c>
    </row>
    <row r="1181" customFormat="false" ht="15" hidden="false" customHeight="true" outlineLevel="0" collapsed="false">
      <c r="A1181" s="6" t="s">
        <v>3793</v>
      </c>
      <c r="B1181" s="6" t="s">
        <v>442</v>
      </c>
      <c r="C1181" s="6" t="s">
        <v>128</v>
      </c>
      <c r="D1181" s="13" t="n">
        <v>45967</v>
      </c>
      <c r="E1181" s="14" t="n">
        <v>292.01</v>
      </c>
      <c r="F1181" s="14" t="n">
        <v>2863.52</v>
      </c>
      <c r="G1181" s="6" t="s">
        <v>2613</v>
      </c>
    </row>
    <row r="1182" customFormat="false" ht="15" hidden="false" customHeight="true" outlineLevel="0" collapsed="false">
      <c r="A1182" s="6" t="s">
        <v>3794</v>
      </c>
      <c r="B1182" s="6" t="s">
        <v>442</v>
      </c>
      <c r="C1182" s="6" t="s">
        <v>128</v>
      </c>
      <c r="D1182" s="13" t="n">
        <v>45974</v>
      </c>
      <c r="E1182" s="14" t="n">
        <v>284.66</v>
      </c>
      <c r="F1182" s="14" t="n">
        <v>3148.18</v>
      </c>
      <c r="G1182" s="6" t="s">
        <v>2613</v>
      </c>
    </row>
    <row r="1183" customFormat="false" ht="15" hidden="false" customHeight="true" outlineLevel="0" collapsed="false">
      <c r="A1183" s="6" t="s">
        <v>3795</v>
      </c>
      <c r="B1183" s="6" t="s">
        <v>442</v>
      </c>
      <c r="C1183" s="6" t="s">
        <v>128</v>
      </c>
      <c r="D1183" s="13" t="n">
        <v>45981</v>
      </c>
      <c r="E1183" s="14" t="n">
        <v>314.61</v>
      </c>
      <c r="F1183" s="14" t="n">
        <v>3462.79</v>
      </c>
      <c r="G1183" s="6" t="s">
        <v>2613</v>
      </c>
    </row>
    <row r="1184" customFormat="false" ht="15" hidden="false" customHeight="true" outlineLevel="0" collapsed="false">
      <c r="A1184" s="6" t="s">
        <v>3796</v>
      </c>
      <c r="B1184" s="6" t="s">
        <v>442</v>
      </c>
      <c r="C1184" s="6" t="s">
        <v>128</v>
      </c>
      <c r="D1184" s="13" t="n">
        <v>45988</v>
      </c>
      <c r="E1184" s="14" t="n">
        <v>325.57</v>
      </c>
      <c r="F1184" s="14" t="n">
        <v>3788.36</v>
      </c>
      <c r="G1184" s="6" t="s">
        <v>2613</v>
      </c>
    </row>
    <row r="1185" customFormat="false" ht="15" hidden="false" customHeight="true" outlineLevel="0" collapsed="false">
      <c r="A1185" s="6" t="s">
        <v>3797</v>
      </c>
      <c r="B1185" s="6" t="s">
        <v>442</v>
      </c>
      <c r="C1185" s="6" t="s">
        <v>128</v>
      </c>
      <c r="D1185" s="13" t="n">
        <v>45995</v>
      </c>
      <c r="E1185" s="14" t="n">
        <v>367.3</v>
      </c>
      <c r="F1185" s="14" t="n">
        <v>4155.66</v>
      </c>
      <c r="G1185" s="6" t="s">
        <v>2623</v>
      </c>
    </row>
    <row r="1186" customFormat="false" ht="15" hidden="false" customHeight="true" outlineLevel="0" collapsed="false">
      <c r="A1186" s="6" t="s">
        <v>3798</v>
      </c>
      <c r="B1186" s="6" t="s">
        <v>442</v>
      </c>
      <c r="C1186" s="6" t="s">
        <v>128</v>
      </c>
      <c r="D1186" s="13" t="n">
        <v>46002</v>
      </c>
      <c r="E1186" s="14" t="n">
        <v>271.25</v>
      </c>
      <c r="F1186" s="14" t="n">
        <v>4426.91</v>
      </c>
      <c r="G1186" s="6" t="s">
        <v>2613</v>
      </c>
    </row>
    <row r="1187" customFormat="false" ht="15" hidden="false" customHeight="true" outlineLevel="0" collapsed="false">
      <c r="A1187" s="6" t="s">
        <v>3799</v>
      </c>
      <c r="B1187" s="6" t="s">
        <v>442</v>
      </c>
      <c r="C1187" s="6" t="s">
        <v>128</v>
      </c>
      <c r="D1187" s="13" t="n">
        <v>46009</v>
      </c>
      <c r="E1187" s="14" t="n">
        <v>431.98</v>
      </c>
      <c r="F1187" s="14" t="n">
        <v>4858.89</v>
      </c>
      <c r="G1187" s="6" t="s">
        <v>2613</v>
      </c>
    </row>
    <row r="1188" customFormat="false" ht="15" hidden="false" customHeight="true" outlineLevel="0" collapsed="false">
      <c r="A1188" s="6" t="s">
        <v>3800</v>
      </c>
      <c r="B1188" s="6" t="s">
        <v>442</v>
      </c>
      <c r="C1188" s="6" t="s">
        <v>128</v>
      </c>
      <c r="D1188" s="13" t="n">
        <v>46016</v>
      </c>
      <c r="E1188" s="14" t="n">
        <v>390.46</v>
      </c>
      <c r="F1188" s="14" t="n">
        <v>5249.35</v>
      </c>
      <c r="G1188" s="6" t="s">
        <v>2613</v>
      </c>
    </row>
    <row r="1189" customFormat="false" ht="15" hidden="false" customHeight="true" outlineLevel="0" collapsed="false">
      <c r="A1189" s="6" t="s">
        <v>3801</v>
      </c>
      <c r="B1189" s="6" t="s">
        <v>442</v>
      </c>
      <c r="C1189" s="6" t="s">
        <v>128</v>
      </c>
      <c r="D1189" s="13" t="n">
        <v>46023</v>
      </c>
      <c r="E1189" s="14" t="n">
        <v>388.85</v>
      </c>
      <c r="F1189" s="14" t="n">
        <v>5638.2</v>
      </c>
      <c r="G1189" s="6" t="s">
        <v>2613</v>
      </c>
    </row>
    <row r="1190" customFormat="false" ht="15" hidden="false" customHeight="true" outlineLevel="0" collapsed="false">
      <c r="A1190" s="6" t="s">
        <v>3802</v>
      </c>
      <c r="B1190" s="6" t="s">
        <v>442</v>
      </c>
      <c r="C1190" s="6" t="s">
        <v>128</v>
      </c>
      <c r="D1190" s="13" t="n">
        <v>46030</v>
      </c>
      <c r="E1190" s="14" t="n">
        <v>421.01</v>
      </c>
      <c r="F1190" s="14" t="n">
        <v>6059.21</v>
      </c>
      <c r="G1190" s="6" t="s">
        <v>2613</v>
      </c>
    </row>
    <row r="1191" customFormat="false" ht="15" hidden="false" customHeight="true" outlineLevel="0" collapsed="false">
      <c r="A1191" s="6" t="s">
        <v>3803</v>
      </c>
      <c r="B1191" s="6" t="s">
        <v>442</v>
      </c>
      <c r="C1191" s="6" t="s">
        <v>128</v>
      </c>
      <c r="D1191" s="13" t="n">
        <v>46037</v>
      </c>
      <c r="E1191" s="14" t="n">
        <v>411.28</v>
      </c>
      <c r="F1191" s="14" t="n">
        <v>6470.49</v>
      </c>
      <c r="G1191" s="6" t="s">
        <v>2613</v>
      </c>
    </row>
    <row r="1192" customFormat="false" ht="15" hidden="false" customHeight="true" outlineLevel="0" collapsed="false">
      <c r="A1192" s="6" t="s">
        <v>3804</v>
      </c>
      <c r="B1192" s="6" t="s">
        <v>442</v>
      </c>
      <c r="C1192" s="6" t="s">
        <v>128</v>
      </c>
      <c r="D1192" s="13" t="n">
        <v>46044</v>
      </c>
      <c r="E1192" s="14" t="n">
        <v>399.85</v>
      </c>
      <c r="F1192" s="14" t="n">
        <v>6870.34</v>
      </c>
      <c r="G1192" s="6" t="s">
        <v>2613</v>
      </c>
    </row>
    <row r="1193" customFormat="false" ht="15" hidden="false" customHeight="true" outlineLevel="0" collapsed="false">
      <c r="A1193" s="6" t="s">
        <v>3805</v>
      </c>
      <c r="B1193" s="6" t="s">
        <v>442</v>
      </c>
      <c r="C1193" s="6" t="s">
        <v>128</v>
      </c>
      <c r="D1193" s="13" t="n">
        <v>46051</v>
      </c>
      <c r="E1193" s="14" t="n">
        <v>207.05</v>
      </c>
      <c r="F1193" s="14" t="n">
        <v>7077.39</v>
      </c>
      <c r="G1193" s="6" t="s">
        <v>2613</v>
      </c>
    </row>
    <row r="1194" customFormat="false" ht="15" hidden="false" customHeight="true" outlineLevel="0" collapsed="false">
      <c r="A1194" s="6" t="s">
        <v>3806</v>
      </c>
      <c r="B1194" s="6" t="s">
        <v>442</v>
      </c>
      <c r="C1194" s="6" t="s">
        <v>128</v>
      </c>
      <c r="D1194" s="13" t="n">
        <v>46058</v>
      </c>
      <c r="E1194" s="14" t="n">
        <v>432.69</v>
      </c>
      <c r="F1194" s="14" t="n">
        <v>7510.08</v>
      </c>
      <c r="G1194" s="6" t="s">
        <v>2613</v>
      </c>
    </row>
    <row r="1195" customFormat="false" ht="15" hidden="false" customHeight="true" outlineLevel="0" collapsed="false">
      <c r="A1195" s="6" t="s">
        <v>3807</v>
      </c>
      <c r="B1195" s="6" t="s">
        <v>442</v>
      </c>
      <c r="C1195" s="6" t="s">
        <v>128</v>
      </c>
      <c r="D1195" s="13" t="n">
        <v>46065</v>
      </c>
      <c r="E1195" s="14" t="n">
        <v>56.83</v>
      </c>
      <c r="F1195" s="14" t="n">
        <v>7566.91</v>
      </c>
      <c r="G1195" s="6" t="s">
        <v>2613</v>
      </c>
    </row>
    <row r="1196" customFormat="false" ht="15" hidden="false" customHeight="true" outlineLevel="0" collapsed="false">
      <c r="A1196" s="6" t="s">
        <v>3808</v>
      </c>
      <c r="B1196" s="6" t="s">
        <v>444</v>
      </c>
      <c r="C1196" s="6" t="s">
        <v>116</v>
      </c>
      <c r="D1196" s="13" t="n">
        <v>44590</v>
      </c>
      <c r="E1196" s="14" t="n">
        <v>1628.55</v>
      </c>
      <c r="F1196" s="14" t="n">
        <v>1628.55</v>
      </c>
      <c r="G1196" s="6" t="s">
        <v>2613</v>
      </c>
    </row>
    <row r="1197" customFormat="false" ht="15" hidden="false" customHeight="true" outlineLevel="0" collapsed="false">
      <c r="A1197" s="6" t="s">
        <v>3809</v>
      </c>
      <c r="B1197" s="6" t="s">
        <v>444</v>
      </c>
      <c r="C1197" s="6" t="s">
        <v>116</v>
      </c>
      <c r="D1197" s="13" t="n">
        <v>44597</v>
      </c>
      <c r="E1197" s="14" t="n">
        <v>958.21</v>
      </c>
      <c r="F1197" s="14" t="n">
        <v>2586.76</v>
      </c>
      <c r="G1197" s="6" t="s">
        <v>2613</v>
      </c>
    </row>
    <row r="1198" customFormat="false" ht="15" hidden="false" customHeight="true" outlineLevel="0" collapsed="false">
      <c r="A1198" s="6" t="s">
        <v>3810</v>
      </c>
      <c r="B1198" s="6" t="s">
        <v>444</v>
      </c>
      <c r="C1198" s="6" t="s">
        <v>116</v>
      </c>
      <c r="D1198" s="13" t="n">
        <v>44604</v>
      </c>
      <c r="E1198" s="14" t="n">
        <v>1251.56</v>
      </c>
      <c r="F1198" s="14" t="n">
        <v>3838.32</v>
      </c>
      <c r="G1198" s="6" t="s">
        <v>2613</v>
      </c>
    </row>
    <row r="1199" customFormat="false" ht="15" hidden="false" customHeight="true" outlineLevel="0" collapsed="false">
      <c r="A1199" s="6" t="s">
        <v>3811</v>
      </c>
      <c r="B1199" s="6" t="s">
        <v>444</v>
      </c>
      <c r="C1199" s="6" t="s">
        <v>116</v>
      </c>
      <c r="D1199" s="13" t="n">
        <v>44611</v>
      </c>
      <c r="E1199" s="14" t="n">
        <v>1777.3</v>
      </c>
      <c r="F1199" s="14" t="n">
        <v>5615.62</v>
      </c>
      <c r="G1199" s="6" t="s">
        <v>2613</v>
      </c>
    </row>
    <row r="1200" customFormat="false" ht="15" hidden="false" customHeight="true" outlineLevel="0" collapsed="false">
      <c r="A1200" s="6" t="s">
        <v>3812</v>
      </c>
      <c r="B1200" s="6" t="s">
        <v>444</v>
      </c>
      <c r="C1200" s="6" t="s">
        <v>116</v>
      </c>
      <c r="D1200" s="13" t="n">
        <v>44618</v>
      </c>
      <c r="E1200" s="14" t="n">
        <v>1797.2</v>
      </c>
      <c r="F1200" s="14" t="n">
        <v>7412.82</v>
      </c>
      <c r="G1200" s="6" t="s">
        <v>2613</v>
      </c>
    </row>
    <row r="1201" customFormat="false" ht="15" hidden="false" customHeight="true" outlineLevel="0" collapsed="false">
      <c r="A1201" s="6" t="s">
        <v>3813</v>
      </c>
      <c r="B1201" s="6" t="s">
        <v>444</v>
      </c>
      <c r="C1201" s="6" t="s">
        <v>116</v>
      </c>
      <c r="D1201" s="13" t="n">
        <v>44625</v>
      </c>
      <c r="E1201" s="14" t="n">
        <v>1290.57</v>
      </c>
      <c r="F1201" s="14" t="n">
        <v>8703.39</v>
      </c>
      <c r="G1201" s="6" t="s">
        <v>2613</v>
      </c>
    </row>
    <row r="1202" customFormat="false" ht="15" hidden="false" customHeight="true" outlineLevel="0" collapsed="false">
      <c r="A1202" s="6" t="s">
        <v>3814</v>
      </c>
      <c r="B1202" s="6" t="s">
        <v>444</v>
      </c>
      <c r="C1202" s="6" t="s">
        <v>116</v>
      </c>
      <c r="D1202" s="13" t="n">
        <v>44632</v>
      </c>
      <c r="E1202" s="14" t="n">
        <v>451.4</v>
      </c>
      <c r="F1202" s="14" t="n">
        <v>9154.79</v>
      </c>
      <c r="G1202" s="6" t="s">
        <v>2613</v>
      </c>
    </row>
    <row r="1203" customFormat="false" ht="15" hidden="false" customHeight="true" outlineLevel="0" collapsed="false">
      <c r="A1203" s="6" t="s">
        <v>3815</v>
      </c>
      <c r="B1203" s="6" t="s">
        <v>446</v>
      </c>
      <c r="C1203" s="6" t="s">
        <v>124</v>
      </c>
      <c r="D1203" s="13" t="n">
        <v>45897</v>
      </c>
      <c r="E1203" s="14" t="n">
        <v>1118.2</v>
      </c>
      <c r="F1203" s="14" t="n">
        <v>1118.2</v>
      </c>
      <c r="G1203" s="6" t="s">
        <v>2613</v>
      </c>
    </row>
    <row r="1204" customFormat="false" ht="15" hidden="false" customHeight="true" outlineLevel="0" collapsed="false">
      <c r="A1204" s="6" t="s">
        <v>3816</v>
      </c>
      <c r="B1204" s="6" t="s">
        <v>446</v>
      </c>
      <c r="C1204" s="6" t="s">
        <v>124</v>
      </c>
      <c r="D1204" s="13" t="n">
        <v>45904</v>
      </c>
      <c r="E1204" s="14" t="n">
        <v>1393.93</v>
      </c>
      <c r="F1204" s="14" t="n">
        <v>2512.13</v>
      </c>
      <c r="G1204" s="6" t="s">
        <v>2613</v>
      </c>
    </row>
    <row r="1205" customFormat="false" ht="15" hidden="false" customHeight="true" outlineLevel="0" collapsed="false">
      <c r="A1205" s="6" t="s">
        <v>3817</v>
      </c>
      <c r="B1205" s="6" t="s">
        <v>446</v>
      </c>
      <c r="C1205" s="6" t="s">
        <v>124</v>
      </c>
      <c r="D1205" s="13" t="n">
        <v>45911</v>
      </c>
      <c r="E1205" s="14" t="n">
        <v>1138.41</v>
      </c>
      <c r="F1205" s="14" t="n">
        <v>3650.54</v>
      </c>
      <c r="G1205" s="6" t="s">
        <v>2613</v>
      </c>
    </row>
    <row r="1206" customFormat="false" ht="15" hidden="false" customHeight="true" outlineLevel="0" collapsed="false">
      <c r="A1206" s="6" t="s">
        <v>3818</v>
      </c>
      <c r="B1206" s="6" t="s">
        <v>446</v>
      </c>
      <c r="C1206" s="6" t="s">
        <v>124</v>
      </c>
      <c r="D1206" s="13" t="n">
        <v>45918</v>
      </c>
      <c r="E1206" s="14" t="n">
        <v>1234.57</v>
      </c>
      <c r="F1206" s="14" t="n">
        <v>4885.11</v>
      </c>
      <c r="G1206" s="6" t="s">
        <v>2613</v>
      </c>
    </row>
    <row r="1207" customFormat="false" ht="15" hidden="false" customHeight="true" outlineLevel="0" collapsed="false">
      <c r="A1207" s="6" t="s">
        <v>3819</v>
      </c>
      <c r="B1207" s="6" t="s">
        <v>446</v>
      </c>
      <c r="C1207" s="6" t="s">
        <v>124</v>
      </c>
      <c r="D1207" s="13" t="n">
        <v>45925</v>
      </c>
      <c r="E1207" s="14" t="n">
        <v>1234.27</v>
      </c>
      <c r="F1207" s="14" t="n">
        <v>6119.38</v>
      </c>
      <c r="G1207" s="6" t="s">
        <v>2613</v>
      </c>
    </row>
    <row r="1208" customFormat="false" ht="15" hidden="false" customHeight="true" outlineLevel="0" collapsed="false">
      <c r="A1208" s="6" t="s">
        <v>3820</v>
      </c>
      <c r="B1208" s="6" t="s">
        <v>446</v>
      </c>
      <c r="C1208" s="6" t="s">
        <v>124</v>
      </c>
      <c r="D1208" s="13" t="n">
        <v>45932</v>
      </c>
      <c r="E1208" s="14" t="n">
        <v>1114.06</v>
      </c>
      <c r="F1208" s="14" t="n">
        <v>7233.44</v>
      </c>
      <c r="G1208" s="6" t="s">
        <v>2613</v>
      </c>
    </row>
    <row r="1209" customFormat="false" ht="15" hidden="false" customHeight="true" outlineLevel="0" collapsed="false">
      <c r="A1209" s="6" t="s">
        <v>3821</v>
      </c>
      <c r="B1209" s="6" t="s">
        <v>446</v>
      </c>
      <c r="C1209" s="6" t="s">
        <v>124</v>
      </c>
      <c r="D1209" s="13" t="n">
        <v>45939</v>
      </c>
      <c r="E1209" s="14" t="n">
        <v>1457.59</v>
      </c>
      <c r="F1209" s="14" t="n">
        <v>8691.03</v>
      </c>
      <c r="G1209" s="6" t="s">
        <v>2613</v>
      </c>
    </row>
    <row r="1210" customFormat="false" ht="15" hidden="false" customHeight="true" outlineLevel="0" collapsed="false">
      <c r="A1210" s="6" t="s">
        <v>3822</v>
      </c>
      <c r="B1210" s="6" t="s">
        <v>446</v>
      </c>
      <c r="C1210" s="6" t="s">
        <v>124</v>
      </c>
      <c r="D1210" s="13" t="n">
        <v>45946</v>
      </c>
      <c r="E1210" s="14" t="n">
        <v>970.03</v>
      </c>
      <c r="F1210" s="14" t="n">
        <v>9661.06</v>
      </c>
      <c r="G1210" s="6" t="s">
        <v>2613</v>
      </c>
    </row>
    <row r="1211" customFormat="false" ht="15" hidden="false" customHeight="true" outlineLevel="0" collapsed="false">
      <c r="A1211" s="6" t="s">
        <v>3823</v>
      </c>
      <c r="B1211" s="6" t="s">
        <v>446</v>
      </c>
      <c r="C1211" s="6" t="s">
        <v>124</v>
      </c>
      <c r="D1211" s="13" t="n">
        <v>45953</v>
      </c>
      <c r="E1211" s="14" t="n">
        <v>1087.85</v>
      </c>
      <c r="F1211" s="14" t="n">
        <v>10748.91</v>
      </c>
      <c r="G1211" s="6" t="s">
        <v>2613</v>
      </c>
    </row>
    <row r="1212" customFormat="false" ht="15" hidden="false" customHeight="true" outlineLevel="0" collapsed="false">
      <c r="A1212" s="6" t="s">
        <v>3824</v>
      </c>
      <c r="B1212" s="6" t="s">
        <v>446</v>
      </c>
      <c r="C1212" s="6" t="s">
        <v>124</v>
      </c>
      <c r="D1212" s="13" t="n">
        <v>45960</v>
      </c>
      <c r="E1212" s="14" t="n">
        <v>1191.06</v>
      </c>
      <c r="F1212" s="14" t="n">
        <v>11939.97</v>
      </c>
      <c r="G1212" s="6" t="s">
        <v>2613</v>
      </c>
    </row>
    <row r="1213" customFormat="false" ht="15" hidden="false" customHeight="true" outlineLevel="0" collapsed="false">
      <c r="A1213" s="6" t="s">
        <v>3825</v>
      </c>
      <c r="B1213" s="6" t="s">
        <v>446</v>
      </c>
      <c r="C1213" s="6" t="s">
        <v>124</v>
      </c>
      <c r="D1213" s="13" t="n">
        <v>45967</v>
      </c>
      <c r="E1213" s="14" t="n">
        <v>781.87</v>
      </c>
      <c r="F1213" s="14" t="n">
        <v>12721.84</v>
      </c>
      <c r="G1213" s="6" t="s">
        <v>2613</v>
      </c>
    </row>
    <row r="1214" customFormat="false" ht="15" hidden="false" customHeight="true" outlineLevel="0" collapsed="false">
      <c r="A1214" s="6" t="s">
        <v>3826</v>
      </c>
      <c r="B1214" s="6" t="s">
        <v>446</v>
      </c>
      <c r="C1214" s="6" t="s">
        <v>124</v>
      </c>
      <c r="D1214" s="13" t="n">
        <v>45974</v>
      </c>
      <c r="E1214" s="14" t="n">
        <v>727.44</v>
      </c>
      <c r="F1214" s="14" t="n">
        <v>13449.28</v>
      </c>
      <c r="G1214" s="6" t="s">
        <v>2613</v>
      </c>
    </row>
    <row r="1215" customFormat="false" ht="15" hidden="false" customHeight="true" outlineLevel="0" collapsed="false">
      <c r="A1215" s="6" t="s">
        <v>3827</v>
      </c>
      <c r="B1215" s="6" t="s">
        <v>446</v>
      </c>
      <c r="C1215" s="6" t="s">
        <v>124</v>
      </c>
      <c r="D1215" s="13" t="n">
        <v>45981</v>
      </c>
      <c r="E1215" s="14" t="n">
        <v>845.68</v>
      </c>
      <c r="F1215" s="14" t="n">
        <v>14294.96</v>
      </c>
      <c r="G1215" s="6" t="s">
        <v>2613</v>
      </c>
    </row>
    <row r="1216" customFormat="false" ht="15" hidden="false" customHeight="true" outlineLevel="0" collapsed="false">
      <c r="A1216" s="6" t="s">
        <v>3828</v>
      </c>
      <c r="B1216" s="6" t="s">
        <v>446</v>
      </c>
      <c r="C1216" s="6" t="s">
        <v>124</v>
      </c>
      <c r="D1216" s="13" t="n">
        <v>45988</v>
      </c>
      <c r="E1216" s="14" t="n">
        <v>978.23</v>
      </c>
      <c r="F1216" s="14" t="n">
        <v>15273.19</v>
      </c>
      <c r="G1216" s="6" t="s">
        <v>2613</v>
      </c>
    </row>
    <row r="1217" customFormat="false" ht="15" hidden="false" customHeight="true" outlineLevel="0" collapsed="false">
      <c r="A1217" s="6" t="s">
        <v>3829</v>
      </c>
      <c r="B1217" s="6" t="s">
        <v>446</v>
      </c>
      <c r="C1217" s="6" t="s">
        <v>124</v>
      </c>
      <c r="D1217" s="13" t="n">
        <v>45995</v>
      </c>
      <c r="E1217" s="14" t="n">
        <v>763.72</v>
      </c>
      <c r="F1217" s="14" t="n">
        <v>16036.91</v>
      </c>
      <c r="G1217" s="6" t="s">
        <v>2613</v>
      </c>
    </row>
    <row r="1218" customFormat="false" ht="15" hidden="false" customHeight="true" outlineLevel="0" collapsed="false">
      <c r="A1218" s="6" t="s">
        <v>3830</v>
      </c>
      <c r="B1218" s="6" t="s">
        <v>446</v>
      </c>
      <c r="C1218" s="6" t="s">
        <v>124</v>
      </c>
      <c r="D1218" s="13" t="n">
        <v>46002</v>
      </c>
      <c r="E1218" s="14" t="n">
        <v>1373.09</v>
      </c>
      <c r="F1218" s="14" t="n">
        <v>17410</v>
      </c>
      <c r="G1218" s="6" t="s">
        <v>2613</v>
      </c>
    </row>
    <row r="1219" customFormat="false" ht="15" hidden="false" customHeight="true" outlineLevel="0" collapsed="false">
      <c r="A1219" s="6" t="s">
        <v>3831</v>
      </c>
      <c r="B1219" s="6" t="s">
        <v>446</v>
      </c>
      <c r="C1219" s="6" t="s">
        <v>124</v>
      </c>
      <c r="D1219" s="13" t="n">
        <v>46009</v>
      </c>
      <c r="E1219" s="14" t="n">
        <v>1083.15</v>
      </c>
      <c r="F1219" s="14" t="n">
        <v>18493.15</v>
      </c>
      <c r="G1219" s="6" t="s">
        <v>2613</v>
      </c>
    </row>
    <row r="1220" customFormat="false" ht="15" hidden="false" customHeight="true" outlineLevel="0" collapsed="false">
      <c r="A1220" s="6" t="s">
        <v>3832</v>
      </c>
      <c r="B1220" s="6" t="s">
        <v>446</v>
      </c>
      <c r="C1220" s="6" t="s">
        <v>124</v>
      </c>
      <c r="D1220" s="13" t="n">
        <v>46016</v>
      </c>
      <c r="E1220" s="14" t="n">
        <v>844.96</v>
      </c>
      <c r="F1220" s="14" t="n">
        <v>19338.11</v>
      </c>
      <c r="G1220" s="6" t="s">
        <v>2613</v>
      </c>
    </row>
    <row r="1221" customFormat="false" ht="15" hidden="false" customHeight="true" outlineLevel="0" collapsed="false">
      <c r="A1221" s="6" t="s">
        <v>3833</v>
      </c>
      <c r="B1221" s="6" t="s">
        <v>446</v>
      </c>
      <c r="C1221" s="6" t="s">
        <v>124</v>
      </c>
      <c r="D1221" s="13" t="n">
        <v>46023</v>
      </c>
      <c r="E1221" s="14" t="n">
        <v>1392.61</v>
      </c>
      <c r="F1221" s="14" t="n">
        <v>20730.72</v>
      </c>
      <c r="G1221" s="6" t="s">
        <v>2623</v>
      </c>
    </row>
    <row r="1222" customFormat="false" ht="15" hidden="false" customHeight="true" outlineLevel="0" collapsed="false">
      <c r="A1222" s="6" t="s">
        <v>3834</v>
      </c>
      <c r="B1222" s="6" t="s">
        <v>446</v>
      </c>
      <c r="C1222" s="6" t="s">
        <v>124</v>
      </c>
      <c r="D1222" s="13" t="n">
        <v>46030</v>
      </c>
      <c r="E1222" s="14" t="n">
        <v>697.59</v>
      </c>
      <c r="F1222" s="14" t="n">
        <v>21428.31</v>
      </c>
      <c r="G1222" s="6" t="s">
        <v>2613</v>
      </c>
    </row>
    <row r="1223" customFormat="false" ht="15" hidden="false" customHeight="true" outlineLevel="0" collapsed="false">
      <c r="A1223" s="6" t="s">
        <v>3835</v>
      </c>
      <c r="B1223" s="6" t="s">
        <v>446</v>
      </c>
      <c r="C1223" s="6" t="s">
        <v>124</v>
      </c>
      <c r="D1223" s="13" t="n">
        <v>46037</v>
      </c>
      <c r="E1223" s="14" t="n">
        <v>801.36</v>
      </c>
      <c r="F1223" s="14" t="n">
        <v>22229.67</v>
      </c>
      <c r="G1223" s="6" t="s">
        <v>2613</v>
      </c>
    </row>
    <row r="1224" customFormat="false" ht="15" hidden="false" customHeight="true" outlineLevel="0" collapsed="false">
      <c r="A1224" s="6" t="s">
        <v>3836</v>
      </c>
      <c r="B1224" s="6" t="s">
        <v>446</v>
      </c>
      <c r="C1224" s="6" t="s">
        <v>124</v>
      </c>
      <c r="D1224" s="13" t="n">
        <v>46044</v>
      </c>
      <c r="E1224" s="14" t="n">
        <v>694.11</v>
      </c>
      <c r="F1224" s="14" t="n">
        <v>22923.78</v>
      </c>
      <c r="G1224" s="6" t="s">
        <v>2613</v>
      </c>
    </row>
    <row r="1225" customFormat="false" ht="15" hidden="false" customHeight="true" outlineLevel="0" collapsed="false">
      <c r="A1225" s="6" t="s">
        <v>3837</v>
      </c>
      <c r="B1225" s="6" t="s">
        <v>446</v>
      </c>
      <c r="C1225" s="6" t="s">
        <v>124</v>
      </c>
      <c r="D1225" s="13" t="n">
        <v>46051</v>
      </c>
      <c r="E1225" s="14" t="n">
        <v>2362.55</v>
      </c>
      <c r="F1225" s="14" t="n">
        <v>25286.33</v>
      </c>
      <c r="G1225" s="6" t="s">
        <v>2623</v>
      </c>
    </row>
    <row r="1226" customFormat="false" ht="15" hidden="false" customHeight="true" outlineLevel="0" collapsed="false">
      <c r="A1226" s="6" t="s">
        <v>3838</v>
      </c>
      <c r="B1226" s="6" t="s">
        <v>448</v>
      </c>
      <c r="C1226" s="6" t="s">
        <v>120</v>
      </c>
      <c r="D1226" s="13" t="n">
        <v>45012</v>
      </c>
      <c r="E1226" s="14" t="n">
        <v>13989.18</v>
      </c>
      <c r="F1226" s="14" t="n">
        <v>13989.18</v>
      </c>
      <c r="G1226" s="6" t="s">
        <v>2613</v>
      </c>
    </row>
    <row r="1227" customFormat="false" ht="15" hidden="false" customHeight="true" outlineLevel="0" collapsed="false">
      <c r="A1227" s="6" t="s">
        <v>3839</v>
      </c>
      <c r="B1227" s="6" t="s">
        <v>448</v>
      </c>
      <c r="C1227" s="6" t="s">
        <v>120</v>
      </c>
      <c r="D1227" s="13" t="n">
        <v>45019</v>
      </c>
      <c r="E1227" s="14" t="n">
        <v>13669.67</v>
      </c>
      <c r="F1227" s="14" t="n">
        <v>27658.85</v>
      </c>
      <c r="G1227" s="6" t="s">
        <v>2613</v>
      </c>
    </row>
    <row r="1228" customFormat="false" ht="15" hidden="false" customHeight="true" outlineLevel="0" collapsed="false">
      <c r="A1228" s="6" t="s">
        <v>3840</v>
      </c>
      <c r="B1228" s="6" t="s">
        <v>448</v>
      </c>
      <c r="C1228" s="6" t="s">
        <v>120</v>
      </c>
      <c r="D1228" s="13" t="n">
        <v>45026</v>
      </c>
      <c r="E1228" s="14" t="n">
        <v>13360.46</v>
      </c>
      <c r="F1228" s="14" t="n">
        <v>41019.31</v>
      </c>
      <c r="G1228" s="6" t="s">
        <v>2613</v>
      </c>
    </row>
    <row r="1229" customFormat="false" ht="15" hidden="false" customHeight="true" outlineLevel="0" collapsed="false">
      <c r="A1229" s="6" t="s">
        <v>3841</v>
      </c>
      <c r="B1229" s="6" t="s">
        <v>448</v>
      </c>
      <c r="C1229" s="6" t="s">
        <v>120</v>
      </c>
      <c r="D1229" s="13" t="n">
        <v>45033</v>
      </c>
      <c r="E1229" s="14" t="n">
        <v>8060.52</v>
      </c>
      <c r="F1229" s="14" t="n">
        <v>49079.83</v>
      </c>
      <c r="G1229" s="6" t="s">
        <v>2613</v>
      </c>
    </row>
    <row r="1230" customFormat="false" ht="15" hidden="false" customHeight="true" outlineLevel="0" collapsed="false">
      <c r="A1230" s="6" t="s">
        <v>3842</v>
      </c>
      <c r="B1230" s="6" t="s">
        <v>448</v>
      </c>
      <c r="C1230" s="6" t="s">
        <v>120</v>
      </c>
      <c r="D1230" s="13" t="n">
        <v>45040</v>
      </c>
      <c r="E1230" s="14" t="n">
        <v>8775.3</v>
      </c>
      <c r="F1230" s="14" t="n">
        <v>57855.13</v>
      </c>
      <c r="G1230" s="6" t="s">
        <v>2613</v>
      </c>
    </row>
    <row r="1231" customFormat="false" ht="15" hidden="false" customHeight="true" outlineLevel="0" collapsed="false">
      <c r="A1231" s="6" t="s">
        <v>3843</v>
      </c>
      <c r="B1231" s="6" t="s">
        <v>448</v>
      </c>
      <c r="C1231" s="6" t="s">
        <v>120</v>
      </c>
      <c r="D1231" s="13" t="n">
        <v>45047</v>
      </c>
      <c r="E1231" s="14" t="n">
        <v>9451.28</v>
      </c>
      <c r="F1231" s="14" t="n">
        <v>67306.41</v>
      </c>
      <c r="G1231" s="6" t="s">
        <v>2613</v>
      </c>
    </row>
    <row r="1232" customFormat="false" ht="15" hidden="false" customHeight="true" outlineLevel="0" collapsed="false">
      <c r="A1232" s="6" t="s">
        <v>3844</v>
      </c>
      <c r="B1232" s="6" t="s">
        <v>448</v>
      </c>
      <c r="C1232" s="6" t="s">
        <v>120</v>
      </c>
      <c r="D1232" s="13" t="n">
        <v>45054</v>
      </c>
      <c r="E1232" s="14" t="n">
        <v>11595.75</v>
      </c>
      <c r="F1232" s="14" t="n">
        <v>78902.16</v>
      </c>
      <c r="G1232" s="6" t="s">
        <v>2613</v>
      </c>
    </row>
    <row r="1233" customFormat="false" ht="15" hidden="false" customHeight="true" outlineLevel="0" collapsed="false">
      <c r="A1233" s="6" t="s">
        <v>3845</v>
      </c>
      <c r="B1233" s="6" t="s">
        <v>448</v>
      </c>
      <c r="C1233" s="6" t="s">
        <v>120</v>
      </c>
      <c r="D1233" s="13" t="n">
        <v>45061</v>
      </c>
      <c r="E1233" s="14" t="n">
        <v>9821.4</v>
      </c>
      <c r="F1233" s="14" t="n">
        <v>88723.56</v>
      </c>
      <c r="G1233" s="6" t="s">
        <v>2613</v>
      </c>
    </row>
    <row r="1234" customFormat="false" ht="15" hidden="false" customHeight="true" outlineLevel="0" collapsed="false">
      <c r="A1234" s="6" t="s">
        <v>3846</v>
      </c>
      <c r="B1234" s="6" t="s">
        <v>448</v>
      </c>
      <c r="C1234" s="6" t="s">
        <v>120</v>
      </c>
      <c r="D1234" s="13" t="n">
        <v>45068</v>
      </c>
      <c r="E1234" s="14" t="n">
        <v>8237.53</v>
      </c>
      <c r="F1234" s="14" t="n">
        <v>96961.09</v>
      </c>
      <c r="G1234" s="6" t="s">
        <v>2613</v>
      </c>
    </row>
    <row r="1235" customFormat="false" ht="15" hidden="false" customHeight="true" outlineLevel="0" collapsed="false">
      <c r="A1235" s="6" t="s">
        <v>3847</v>
      </c>
      <c r="B1235" s="6" t="s">
        <v>448</v>
      </c>
      <c r="C1235" s="6" t="s">
        <v>120</v>
      </c>
      <c r="D1235" s="13" t="n">
        <v>45075</v>
      </c>
      <c r="E1235" s="14" t="n">
        <v>10849.83</v>
      </c>
      <c r="F1235" s="14" t="n">
        <v>107810.92</v>
      </c>
      <c r="G1235" s="6" t="s">
        <v>2613</v>
      </c>
    </row>
    <row r="1236" customFormat="false" ht="15" hidden="false" customHeight="true" outlineLevel="0" collapsed="false">
      <c r="A1236" s="6" t="s">
        <v>3848</v>
      </c>
      <c r="B1236" s="6" t="s">
        <v>448</v>
      </c>
      <c r="C1236" s="6" t="s">
        <v>120</v>
      </c>
      <c r="D1236" s="13" t="n">
        <v>45082</v>
      </c>
      <c r="E1236" s="14" t="n">
        <v>7780.93</v>
      </c>
      <c r="F1236" s="14" t="n">
        <v>115591.85</v>
      </c>
      <c r="G1236" s="6" t="s">
        <v>2623</v>
      </c>
    </row>
    <row r="1237" customFormat="false" ht="15" hidden="false" customHeight="true" outlineLevel="0" collapsed="false">
      <c r="A1237" s="6" t="s">
        <v>3849</v>
      </c>
      <c r="B1237" s="6" t="s">
        <v>448</v>
      </c>
      <c r="C1237" s="6" t="s">
        <v>120</v>
      </c>
      <c r="D1237" s="13" t="n">
        <v>45089</v>
      </c>
      <c r="E1237" s="14" t="n">
        <v>14153.61</v>
      </c>
      <c r="F1237" s="14" t="n">
        <v>129745.46</v>
      </c>
      <c r="G1237" s="6" t="s">
        <v>2613</v>
      </c>
    </row>
    <row r="1238" customFormat="false" ht="15" hidden="false" customHeight="true" outlineLevel="0" collapsed="false">
      <c r="A1238" s="6" t="s">
        <v>3850</v>
      </c>
      <c r="B1238" s="6" t="s">
        <v>450</v>
      </c>
      <c r="C1238" s="6" t="s">
        <v>128</v>
      </c>
      <c r="D1238" s="13" t="n">
        <v>46155</v>
      </c>
      <c r="E1238" s="14" t="n">
        <v>8011.72</v>
      </c>
      <c r="F1238" s="14" t="n">
        <v>8011.72</v>
      </c>
      <c r="G1238" s="6" t="s">
        <v>2613</v>
      </c>
    </row>
    <row r="1239" customFormat="false" ht="15" hidden="false" customHeight="true" outlineLevel="0" collapsed="false">
      <c r="A1239" s="6" t="s">
        <v>3851</v>
      </c>
      <c r="B1239" s="6" t="s">
        <v>450</v>
      </c>
      <c r="C1239" s="6" t="s">
        <v>128</v>
      </c>
      <c r="D1239" s="13" t="n">
        <v>46162</v>
      </c>
      <c r="E1239" s="14" t="n">
        <v>9907.13</v>
      </c>
      <c r="F1239" s="14" t="n">
        <v>17918.85</v>
      </c>
      <c r="G1239" s="6" t="s">
        <v>2613</v>
      </c>
    </row>
    <row r="1240" customFormat="false" ht="15" hidden="false" customHeight="true" outlineLevel="0" collapsed="false">
      <c r="A1240" s="6" t="s">
        <v>3852</v>
      </c>
      <c r="B1240" s="6" t="s">
        <v>450</v>
      </c>
      <c r="C1240" s="6" t="s">
        <v>128</v>
      </c>
      <c r="D1240" s="13" t="n">
        <v>46169</v>
      </c>
      <c r="E1240" s="14" t="n">
        <v>11554.93</v>
      </c>
      <c r="F1240" s="14" t="n">
        <v>29473.78</v>
      </c>
      <c r="G1240" s="6" t="s">
        <v>2613</v>
      </c>
    </row>
    <row r="1241" customFormat="false" ht="15" hidden="false" customHeight="true" outlineLevel="0" collapsed="false">
      <c r="A1241" s="6" t="s">
        <v>3853</v>
      </c>
      <c r="B1241" s="6" t="s">
        <v>450</v>
      </c>
      <c r="C1241" s="6" t="s">
        <v>128</v>
      </c>
      <c r="D1241" s="13" t="n">
        <v>46176</v>
      </c>
      <c r="E1241" s="14" t="n">
        <v>10393.22</v>
      </c>
      <c r="F1241" s="14" t="n">
        <v>39867</v>
      </c>
      <c r="G1241" s="6" t="s">
        <v>2613</v>
      </c>
    </row>
    <row r="1242" customFormat="false" ht="15" hidden="false" customHeight="true" outlineLevel="0" collapsed="false">
      <c r="A1242" s="6" t="s">
        <v>3854</v>
      </c>
      <c r="B1242" s="6" t="s">
        <v>450</v>
      </c>
      <c r="C1242" s="6" t="s">
        <v>128</v>
      </c>
      <c r="D1242" s="13" t="n">
        <v>46183</v>
      </c>
      <c r="E1242" s="14" t="n">
        <v>10639.25</v>
      </c>
      <c r="F1242" s="14" t="n">
        <v>50506.25</v>
      </c>
      <c r="G1242" s="6" t="s">
        <v>2613</v>
      </c>
    </row>
    <row r="1243" customFormat="false" ht="15" hidden="false" customHeight="true" outlineLevel="0" collapsed="false">
      <c r="A1243" s="6" t="s">
        <v>3855</v>
      </c>
      <c r="B1243" s="6" t="s">
        <v>450</v>
      </c>
      <c r="C1243" s="6" t="s">
        <v>128</v>
      </c>
      <c r="D1243" s="13" t="n">
        <v>46190</v>
      </c>
      <c r="E1243" s="14" t="n">
        <v>820.95</v>
      </c>
      <c r="F1243" s="14" t="n">
        <v>51327.2</v>
      </c>
      <c r="G1243" s="6" t="s">
        <v>2613</v>
      </c>
    </row>
    <row r="1244" customFormat="false" ht="15" hidden="false" customHeight="true" outlineLevel="0" collapsed="false">
      <c r="A1244" s="6" t="s">
        <v>3856</v>
      </c>
      <c r="B1244" s="6" t="s">
        <v>452</v>
      </c>
      <c r="C1244" s="6" t="s">
        <v>128</v>
      </c>
      <c r="D1244" s="13" t="n">
        <v>46021</v>
      </c>
      <c r="E1244" s="14" t="n">
        <v>574.32</v>
      </c>
      <c r="F1244" s="14" t="n">
        <v>574.32</v>
      </c>
      <c r="G1244" s="6" t="s">
        <v>2613</v>
      </c>
    </row>
    <row r="1245" customFormat="false" ht="15" hidden="false" customHeight="true" outlineLevel="0" collapsed="false">
      <c r="A1245" s="6" t="s">
        <v>3857</v>
      </c>
      <c r="B1245" s="6" t="s">
        <v>454</v>
      </c>
      <c r="C1245" s="6" t="s">
        <v>128</v>
      </c>
      <c r="D1245" s="13" t="n">
        <v>45666</v>
      </c>
      <c r="E1245" s="14" t="n">
        <v>4038.27</v>
      </c>
      <c r="F1245" s="14" t="n">
        <v>4038.27</v>
      </c>
      <c r="G1245" s="6" t="s">
        <v>2613</v>
      </c>
    </row>
    <row r="1246" customFormat="false" ht="15" hidden="false" customHeight="true" outlineLevel="0" collapsed="false">
      <c r="A1246" s="6" t="s">
        <v>3858</v>
      </c>
      <c r="B1246" s="6" t="s">
        <v>454</v>
      </c>
      <c r="C1246" s="6" t="s">
        <v>128</v>
      </c>
      <c r="D1246" s="13" t="n">
        <v>45673</v>
      </c>
      <c r="E1246" s="14" t="n">
        <v>5926.02</v>
      </c>
      <c r="F1246" s="14" t="n">
        <v>9964.29</v>
      </c>
      <c r="G1246" s="6" t="s">
        <v>2613</v>
      </c>
    </row>
    <row r="1247" customFormat="false" ht="15" hidden="false" customHeight="true" outlineLevel="0" collapsed="false">
      <c r="A1247" s="6" t="s">
        <v>3859</v>
      </c>
      <c r="B1247" s="6" t="s">
        <v>454</v>
      </c>
      <c r="C1247" s="6" t="s">
        <v>128</v>
      </c>
      <c r="D1247" s="13" t="n">
        <v>45680</v>
      </c>
      <c r="E1247" s="14" t="n">
        <v>6039.48</v>
      </c>
      <c r="F1247" s="14" t="n">
        <v>16003.77</v>
      </c>
      <c r="G1247" s="6" t="s">
        <v>2613</v>
      </c>
    </row>
    <row r="1248" customFormat="false" ht="15" hidden="false" customHeight="true" outlineLevel="0" collapsed="false">
      <c r="A1248" s="6" t="s">
        <v>3860</v>
      </c>
      <c r="B1248" s="6" t="s">
        <v>454</v>
      </c>
      <c r="C1248" s="6" t="s">
        <v>128</v>
      </c>
      <c r="D1248" s="13" t="n">
        <v>45687</v>
      </c>
      <c r="E1248" s="14" t="n">
        <v>4410.98</v>
      </c>
      <c r="F1248" s="14" t="n">
        <v>20414.75</v>
      </c>
      <c r="G1248" s="6" t="s">
        <v>2613</v>
      </c>
    </row>
    <row r="1249" customFormat="false" ht="15" hidden="false" customHeight="true" outlineLevel="0" collapsed="false">
      <c r="A1249" s="6" t="s">
        <v>3861</v>
      </c>
      <c r="B1249" s="6" t="s">
        <v>454</v>
      </c>
      <c r="C1249" s="6" t="s">
        <v>128</v>
      </c>
      <c r="D1249" s="13" t="n">
        <v>45694</v>
      </c>
      <c r="E1249" s="14" t="n">
        <v>4195.41</v>
      </c>
      <c r="F1249" s="14" t="n">
        <v>24610.16</v>
      </c>
      <c r="G1249" s="6" t="s">
        <v>2613</v>
      </c>
    </row>
    <row r="1250" customFormat="false" ht="15" hidden="false" customHeight="true" outlineLevel="0" collapsed="false">
      <c r="A1250" s="6" t="s">
        <v>3862</v>
      </c>
      <c r="B1250" s="6" t="s">
        <v>456</v>
      </c>
      <c r="C1250" s="6" t="s">
        <v>120</v>
      </c>
      <c r="D1250" s="13" t="n">
        <v>45389</v>
      </c>
      <c r="E1250" s="14" t="n">
        <v>3856.39</v>
      </c>
      <c r="F1250" s="14" t="n">
        <v>3856.39</v>
      </c>
      <c r="G1250" s="6" t="s">
        <v>2613</v>
      </c>
    </row>
    <row r="1251" customFormat="false" ht="15" hidden="false" customHeight="true" outlineLevel="0" collapsed="false">
      <c r="A1251" s="6" t="s">
        <v>3863</v>
      </c>
      <c r="B1251" s="6" t="s">
        <v>456</v>
      </c>
      <c r="C1251" s="6" t="s">
        <v>120</v>
      </c>
      <c r="D1251" s="13" t="n">
        <v>45396</v>
      </c>
      <c r="E1251" s="14" t="n">
        <v>2267.58</v>
      </c>
      <c r="F1251" s="14" t="n">
        <v>6123.97</v>
      </c>
      <c r="G1251" s="6" t="s">
        <v>2613</v>
      </c>
    </row>
    <row r="1252" customFormat="false" ht="15" hidden="false" customHeight="true" outlineLevel="0" collapsed="false">
      <c r="A1252" s="6" t="s">
        <v>3864</v>
      </c>
      <c r="B1252" s="6" t="s">
        <v>456</v>
      </c>
      <c r="C1252" s="6" t="s">
        <v>120</v>
      </c>
      <c r="D1252" s="13" t="n">
        <v>45403</v>
      </c>
      <c r="E1252" s="14" t="n">
        <v>3918.17</v>
      </c>
      <c r="F1252" s="14" t="n">
        <v>10042.14</v>
      </c>
      <c r="G1252" s="6" t="s">
        <v>2613</v>
      </c>
    </row>
    <row r="1253" customFormat="false" ht="15" hidden="false" customHeight="true" outlineLevel="0" collapsed="false">
      <c r="A1253" s="6" t="s">
        <v>3865</v>
      </c>
      <c r="B1253" s="6" t="s">
        <v>456</v>
      </c>
      <c r="C1253" s="6" t="s">
        <v>120</v>
      </c>
      <c r="D1253" s="13" t="n">
        <v>45410</v>
      </c>
      <c r="E1253" s="14" t="n">
        <v>4447.93</v>
      </c>
      <c r="F1253" s="14" t="n">
        <v>14490.07</v>
      </c>
      <c r="G1253" s="6" t="s">
        <v>2613</v>
      </c>
    </row>
    <row r="1254" customFormat="false" ht="15" hidden="false" customHeight="true" outlineLevel="0" collapsed="false">
      <c r="A1254" s="6" t="s">
        <v>3866</v>
      </c>
      <c r="B1254" s="6" t="s">
        <v>456</v>
      </c>
      <c r="C1254" s="6" t="s">
        <v>120</v>
      </c>
      <c r="D1254" s="13" t="n">
        <v>45417</v>
      </c>
      <c r="E1254" s="14" t="n">
        <v>3817.44</v>
      </c>
      <c r="F1254" s="14" t="n">
        <v>18307.51</v>
      </c>
      <c r="G1254" s="6" t="s">
        <v>2623</v>
      </c>
    </row>
    <row r="1255" customFormat="false" ht="15" hidden="false" customHeight="true" outlineLevel="0" collapsed="false">
      <c r="A1255" s="6" t="s">
        <v>3867</v>
      </c>
      <c r="B1255" s="6" t="s">
        <v>456</v>
      </c>
      <c r="C1255" s="6" t="s">
        <v>120</v>
      </c>
      <c r="D1255" s="13" t="n">
        <v>45424</v>
      </c>
      <c r="E1255" s="14" t="n">
        <v>2864.23</v>
      </c>
      <c r="F1255" s="14" t="n">
        <v>21171.74</v>
      </c>
      <c r="G1255" s="6" t="s">
        <v>2613</v>
      </c>
    </row>
    <row r="1256" customFormat="false" ht="15" hidden="false" customHeight="true" outlineLevel="0" collapsed="false">
      <c r="A1256" s="6" t="s">
        <v>3868</v>
      </c>
      <c r="B1256" s="6" t="s">
        <v>456</v>
      </c>
      <c r="C1256" s="6" t="s">
        <v>120</v>
      </c>
      <c r="D1256" s="13" t="n">
        <v>45431</v>
      </c>
      <c r="E1256" s="14" t="n">
        <v>3842.27</v>
      </c>
      <c r="F1256" s="14" t="n">
        <v>25014.01</v>
      </c>
      <c r="G1256" s="6" t="s">
        <v>2613</v>
      </c>
    </row>
    <row r="1257" customFormat="false" ht="15" hidden="false" customHeight="true" outlineLevel="0" collapsed="false">
      <c r="A1257" s="6" t="s">
        <v>3869</v>
      </c>
      <c r="B1257" s="6" t="s">
        <v>456</v>
      </c>
      <c r="C1257" s="6" t="s">
        <v>120</v>
      </c>
      <c r="D1257" s="13" t="n">
        <v>45438</v>
      </c>
      <c r="E1257" s="14" t="n">
        <v>4751.66</v>
      </c>
      <c r="F1257" s="14" t="n">
        <v>29765.67</v>
      </c>
      <c r="G1257" s="6" t="s">
        <v>2613</v>
      </c>
    </row>
    <row r="1258" customFormat="false" ht="15" hidden="false" customHeight="true" outlineLevel="0" collapsed="false">
      <c r="A1258" s="6" t="s">
        <v>3870</v>
      </c>
      <c r="B1258" s="6" t="s">
        <v>456</v>
      </c>
      <c r="C1258" s="6" t="s">
        <v>120</v>
      </c>
      <c r="D1258" s="13" t="n">
        <v>45445</v>
      </c>
      <c r="E1258" s="14" t="n">
        <v>3975.56</v>
      </c>
      <c r="F1258" s="14" t="n">
        <v>33741.23</v>
      </c>
      <c r="G1258" s="6" t="s">
        <v>2613</v>
      </c>
    </row>
    <row r="1259" customFormat="false" ht="15" hidden="false" customHeight="true" outlineLevel="0" collapsed="false">
      <c r="A1259" s="6" t="s">
        <v>3871</v>
      </c>
      <c r="B1259" s="6" t="s">
        <v>456</v>
      </c>
      <c r="C1259" s="6" t="s">
        <v>120</v>
      </c>
      <c r="D1259" s="13" t="n">
        <v>45452</v>
      </c>
      <c r="E1259" s="14" t="n">
        <v>4844.52</v>
      </c>
      <c r="F1259" s="14" t="n">
        <v>38585.75</v>
      </c>
      <c r="G1259" s="6" t="s">
        <v>2623</v>
      </c>
    </row>
    <row r="1260" customFormat="false" ht="15" hidden="false" customHeight="true" outlineLevel="0" collapsed="false">
      <c r="A1260" s="6" t="s">
        <v>3872</v>
      </c>
      <c r="B1260" s="6" t="s">
        <v>456</v>
      </c>
      <c r="C1260" s="6" t="s">
        <v>120</v>
      </c>
      <c r="D1260" s="13" t="n">
        <v>45459</v>
      </c>
      <c r="E1260" s="14" t="n">
        <v>4307.57</v>
      </c>
      <c r="F1260" s="14" t="n">
        <v>42893.32</v>
      </c>
      <c r="G1260" s="6" t="s">
        <v>2613</v>
      </c>
    </row>
    <row r="1261" customFormat="false" ht="15" hidden="false" customHeight="true" outlineLevel="0" collapsed="false">
      <c r="A1261" s="6" t="s">
        <v>3873</v>
      </c>
      <c r="B1261" s="6" t="s">
        <v>456</v>
      </c>
      <c r="C1261" s="6" t="s">
        <v>120</v>
      </c>
      <c r="D1261" s="13" t="n">
        <v>45466</v>
      </c>
      <c r="E1261" s="14" t="n">
        <v>3518.1</v>
      </c>
      <c r="F1261" s="14" t="n">
        <v>46411.42</v>
      </c>
      <c r="G1261" s="6" t="s">
        <v>2623</v>
      </c>
    </row>
    <row r="1262" customFormat="false" ht="15" hidden="false" customHeight="true" outlineLevel="0" collapsed="false">
      <c r="A1262" s="6" t="s">
        <v>3874</v>
      </c>
      <c r="B1262" s="6" t="s">
        <v>456</v>
      </c>
      <c r="C1262" s="6" t="s">
        <v>120</v>
      </c>
      <c r="D1262" s="13" t="n">
        <v>45473</v>
      </c>
      <c r="E1262" s="14" t="n">
        <v>4525.15</v>
      </c>
      <c r="F1262" s="14" t="n">
        <v>50936.57</v>
      </c>
      <c r="G1262" s="6" t="s">
        <v>2613</v>
      </c>
    </row>
    <row r="1263" customFormat="false" ht="15" hidden="false" customHeight="true" outlineLevel="0" collapsed="false">
      <c r="A1263" s="6" t="s">
        <v>3875</v>
      </c>
      <c r="B1263" s="6" t="s">
        <v>456</v>
      </c>
      <c r="C1263" s="6" t="s">
        <v>120</v>
      </c>
      <c r="D1263" s="13" t="n">
        <v>45480</v>
      </c>
      <c r="E1263" s="14" t="n">
        <v>2073.73</v>
      </c>
      <c r="F1263" s="14" t="n">
        <v>53010.3</v>
      </c>
      <c r="G1263" s="6" t="s">
        <v>2613</v>
      </c>
    </row>
    <row r="1264" customFormat="false" ht="15" hidden="false" customHeight="true" outlineLevel="0" collapsed="false">
      <c r="A1264" s="6" t="s">
        <v>3876</v>
      </c>
      <c r="B1264" s="6" t="s">
        <v>458</v>
      </c>
      <c r="C1264" s="6" t="s">
        <v>128</v>
      </c>
      <c r="D1264" s="13" t="n">
        <v>46165</v>
      </c>
      <c r="E1264" s="14" t="n">
        <v>3543.8</v>
      </c>
      <c r="F1264" s="14" t="n">
        <v>3543.8</v>
      </c>
      <c r="G1264" s="6" t="s">
        <v>2613</v>
      </c>
    </row>
    <row r="1265" customFormat="false" ht="15" hidden="false" customHeight="true" outlineLevel="0" collapsed="false">
      <c r="A1265" s="6" t="s">
        <v>3877</v>
      </c>
      <c r="B1265" s="6" t="s">
        <v>458</v>
      </c>
      <c r="C1265" s="6" t="s">
        <v>128</v>
      </c>
      <c r="D1265" s="13" t="n">
        <v>46172</v>
      </c>
      <c r="E1265" s="14" t="n">
        <v>2347.4</v>
      </c>
      <c r="F1265" s="14" t="n">
        <v>5891.2</v>
      </c>
      <c r="G1265" s="6" t="s">
        <v>2613</v>
      </c>
    </row>
    <row r="1266" customFormat="false" ht="15" hidden="false" customHeight="true" outlineLevel="0" collapsed="false">
      <c r="A1266" s="6" t="s">
        <v>3878</v>
      </c>
      <c r="B1266" s="6" t="s">
        <v>458</v>
      </c>
      <c r="C1266" s="6" t="s">
        <v>128</v>
      </c>
      <c r="D1266" s="13" t="n">
        <v>46179</v>
      </c>
      <c r="E1266" s="14" t="n">
        <v>5119.42</v>
      </c>
      <c r="F1266" s="14" t="n">
        <v>11010.62</v>
      </c>
      <c r="G1266" s="6" t="s">
        <v>2613</v>
      </c>
    </row>
    <row r="1267" customFormat="false" ht="15" hidden="false" customHeight="true" outlineLevel="0" collapsed="false">
      <c r="A1267" s="6" t="s">
        <v>3879</v>
      </c>
      <c r="B1267" s="6" t="s">
        <v>458</v>
      </c>
      <c r="C1267" s="6" t="s">
        <v>128</v>
      </c>
      <c r="D1267" s="13" t="n">
        <v>46186</v>
      </c>
      <c r="E1267" s="14" t="n">
        <v>4527.36</v>
      </c>
      <c r="F1267" s="14" t="n">
        <v>15537.98</v>
      </c>
      <c r="G1267" s="6" t="s">
        <v>2613</v>
      </c>
    </row>
    <row r="1268" customFormat="false" ht="15" hidden="false" customHeight="true" outlineLevel="0" collapsed="false">
      <c r="A1268" s="6" t="s">
        <v>3880</v>
      </c>
      <c r="B1268" s="6" t="s">
        <v>458</v>
      </c>
      <c r="C1268" s="6" t="s">
        <v>128</v>
      </c>
      <c r="D1268" s="13" t="n">
        <v>46193</v>
      </c>
      <c r="E1268" s="14" t="n">
        <v>4088.14</v>
      </c>
      <c r="F1268" s="14" t="n">
        <v>19626.12</v>
      </c>
      <c r="G1268" s="6" t="s">
        <v>2613</v>
      </c>
    </row>
    <row r="1269" customFormat="false" ht="15" hidden="false" customHeight="true" outlineLevel="0" collapsed="false">
      <c r="A1269" s="6" t="s">
        <v>3881</v>
      </c>
      <c r="B1269" s="6" t="s">
        <v>458</v>
      </c>
      <c r="C1269" s="6" t="s">
        <v>128</v>
      </c>
      <c r="D1269" s="13" t="n">
        <v>46200</v>
      </c>
      <c r="E1269" s="14" t="n">
        <v>3376.6</v>
      </c>
      <c r="F1269" s="14" t="n">
        <v>23002.72</v>
      </c>
      <c r="G1269" s="6" t="s">
        <v>2613</v>
      </c>
    </row>
    <row r="1270" customFormat="false" ht="15" hidden="false" customHeight="true" outlineLevel="0" collapsed="false">
      <c r="A1270" s="6" t="s">
        <v>3882</v>
      </c>
      <c r="B1270" s="6" t="s">
        <v>460</v>
      </c>
      <c r="C1270" s="6" t="s">
        <v>116</v>
      </c>
      <c r="D1270" s="13" t="n">
        <v>44808</v>
      </c>
      <c r="E1270" s="14" t="n">
        <v>3437.16</v>
      </c>
      <c r="F1270" s="14" t="n">
        <v>3437.16</v>
      </c>
      <c r="G1270" s="6" t="s">
        <v>2613</v>
      </c>
    </row>
    <row r="1271" customFormat="false" ht="15" hidden="false" customHeight="true" outlineLevel="0" collapsed="false">
      <c r="A1271" s="6" t="s">
        <v>3883</v>
      </c>
      <c r="B1271" s="6" t="s">
        <v>460</v>
      </c>
      <c r="C1271" s="6" t="s">
        <v>116</v>
      </c>
      <c r="D1271" s="13" t="n">
        <v>44815</v>
      </c>
      <c r="E1271" s="14" t="n">
        <v>2800.46</v>
      </c>
      <c r="F1271" s="14" t="n">
        <v>6237.62</v>
      </c>
      <c r="G1271" s="6" t="s">
        <v>2613</v>
      </c>
    </row>
    <row r="1272" customFormat="false" ht="15" hidden="false" customHeight="true" outlineLevel="0" collapsed="false">
      <c r="A1272" s="6" t="s">
        <v>3884</v>
      </c>
      <c r="B1272" s="6" t="s">
        <v>460</v>
      </c>
      <c r="C1272" s="6" t="s">
        <v>116</v>
      </c>
      <c r="D1272" s="13" t="n">
        <v>44822</v>
      </c>
      <c r="E1272" s="14" t="n">
        <v>3627.27</v>
      </c>
      <c r="F1272" s="14" t="n">
        <v>9864.89</v>
      </c>
      <c r="G1272" s="6" t="s">
        <v>2613</v>
      </c>
    </row>
    <row r="1273" customFormat="false" ht="15" hidden="false" customHeight="true" outlineLevel="0" collapsed="false">
      <c r="A1273" s="6" t="s">
        <v>3885</v>
      </c>
      <c r="B1273" s="6" t="s">
        <v>460</v>
      </c>
      <c r="C1273" s="6" t="s">
        <v>116</v>
      </c>
      <c r="D1273" s="13" t="n">
        <v>44829</v>
      </c>
      <c r="E1273" s="14" t="n">
        <v>3212.79</v>
      </c>
      <c r="F1273" s="14" t="n">
        <v>13077.68</v>
      </c>
      <c r="G1273" s="6" t="s">
        <v>2613</v>
      </c>
    </row>
    <row r="1274" customFormat="false" ht="15" hidden="false" customHeight="true" outlineLevel="0" collapsed="false">
      <c r="A1274" s="6" t="s">
        <v>3886</v>
      </c>
      <c r="B1274" s="6" t="s">
        <v>460</v>
      </c>
      <c r="C1274" s="6" t="s">
        <v>116</v>
      </c>
      <c r="D1274" s="13" t="n">
        <v>44836</v>
      </c>
      <c r="E1274" s="14" t="n">
        <v>3617.09</v>
      </c>
      <c r="F1274" s="14" t="n">
        <v>16694.77</v>
      </c>
      <c r="G1274" s="6" t="s">
        <v>2613</v>
      </c>
    </row>
    <row r="1275" customFormat="false" ht="15" hidden="false" customHeight="true" outlineLevel="0" collapsed="false">
      <c r="A1275" s="6" t="s">
        <v>3887</v>
      </c>
      <c r="B1275" s="6" t="s">
        <v>460</v>
      </c>
      <c r="C1275" s="6" t="s">
        <v>116</v>
      </c>
      <c r="D1275" s="13" t="n">
        <v>44843</v>
      </c>
      <c r="E1275" s="14" t="n">
        <v>2559.13</v>
      </c>
      <c r="F1275" s="14" t="n">
        <v>19253.9</v>
      </c>
      <c r="G1275" s="6" t="s">
        <v>2613</v>
      </c>
    </row>
    <row r="1276" customFormat="false" ht="15" hidden="false" customHeight="true" outlineLevel="0" collapsed="false">
      <c r="A1276" s="6" t="s">
        <v>3888</v>
      </c>
      <c r="B1276" s="6" t="s">
        <v>460</v>
      </c>
      <c r="C1276" s="6" t="s">
        <v>116</v>
      </c>
      <c r="D1276" s="13" t="n">
        <v>44850</v>
      </c>
      <c r="E1276" s="14" t="n">
        <v>1643.11</v>
      </c>
      <c r="F1276" s="14" t="n">
        <v>20897.01</v>
      </c>
      <c r="G1276" s="6" t="s">
        <v>2613</v>
      </c>
    </row>
    <row r="1277" customFormat="false" ht="15" hidden="false" customHeight="true" outlineLevel="0" collapsed="false">
      <c r="A1277" s="6" t="s">
        <v>3889</v>
      </c>
      <c r="B1277" s="6" t="s">
        <v>460</v>
      </c>
      <c r="C1277" s="6" t="s">
        <v>116</v>
      </c>
      <c r="D1277" s="13" t="n">
        <v>44857</v>
      </c>
      <c r="E1277" s="14" t="n">
        <v>240.24</v>
      </c>
      <c r="F1277" s="14" t="n">
        <v>21137.25</v>
      </c>
      <c r="G1277" s="6" t="s">
        <v>2623</v>
      </c>
    </row>
    <row r="1278" customFormat="false" ht="15" hidden="false" customHeight="true" outlineLevel="0" collapsed="false">
      <c r="A1278" s="6" t="s">
        <v>3890</v>
      </c>
      <c r="B1278" s="6" t="s">
        <v>462</v>
      </c>
      <c r="C1278" s="6" t="s">
        <v>131</v>
      </c>
      <c r="D1278" s="13" t="n">
        <v>46102</v>
      </c>
      <c r="E1278" s="14" t="n">
        <v>5042.58</v>
      </c>
      <c r="F1278" s="14" t="n">
        <v>5042.58</v>
      </c>
      <c r="G1278" s="6" t="s">
        <v>2613</v>
      </c>
    </row>
    <row r="1279" customFormat="false" ht="15" hidden="false" customHeight="true" outlineLevel="0" collapsed="false">
      <c r="A1279" s="6" t="s">
        <v>3891</v>
      </c>
      <c r="B1279" s="6" t="s">
        <v>462</v>
      </c>
      <c r="C1279" s="6" t="s">
        <v>131</v>
      </c>
      <c r="D1279" s="13" t="n">
        <v>46109</v>
      </c>
      <c r="E1279" s="14" t="n">
        <v>3309.56</v>
      </c>
      <c r="F1279" s="14" t="n">
        <v>8352.14</v>
      </c>
      <c r="G1279" s="6" t="s">
        <v>2613</v>
      </c>
    </row>
    <row r="1280" customFormat="false" ht="15" hidden="false" customHeight="true" outlineLevel="0" collapsed="false">
      <c r="A1280" s="6" t="s">
        <v>3892</v>
      </c>
      <c r="B1280" s="6" t="s">
        <v>462</v>
      </c>
      <c r="C1280" s="6" t="s">
        <v>131</v>
      </c>
      <c r="D1280" s="13" t="n">
        <v>46116</v>
      </c>
      <c r="E1280" s="14" t="n">
        <v>3056.25</v>
      </c>
      <c r="F1280" s="14" t="n">
        <v>11408.39</v>
      </c>
      <c r="G1280" s="6" t="s">
        <v>2613</v>
      </c>
    </row>
    <row r="1281" customFormat="false" ht="15" hidden="false" customHeight="true" outlineLevel="0" collapsed="false">
      <c r="A1281" s="6" t="s">
        <v>3893</v>
      </c>
      <c r="B1281" s="6" t="s">
        <v>462</v>
      </c>
      <c r="C1281" s="6" t="s">
        <v>131</v>
      </c>
      <c r="D1281" s="13" t="n">
        <v>46123</v>
      </c>
      <c r="E1281" s="14" t="n">
        <v>4297.95</v>
      </c>
      <c r="F1281" s="14" t="n">
        <v>15706.34</v>
      </c>
      <c r="G1281" s="6" t="s">
        <v>2613</v>
      </c>
    </row>
    <row r="1282" customFormat="false" ht="15" hidden="false" customHeight="true" outlineLevel="0" collapsed="false">
      <c r="A1282" s="6" t="s">
        <v>3894</v>
      </c>
      <c r="B1282" s="6" t="s">
        <v>462</v>
      </c>
      <c r="C1282" s="6" t="s">
        <v>131</v>
      </c>
      <c r="D1282" s="13" t="n">
        <v>46130</v>
      </c>
      <c r="E1282" s="14" t="n">
        <v>3745.8</v>
      </c>
      <c r="F1282" s="14" t="n">
        <v>19452.14</v>
      </c>
      <c r="G1282" s="6" t="s">
        <v>2613</v>
      </c>
    </row>
    <row r="1283" customFormat="false" ht="15" hidden="false" customHeight="true" outlineLevel="0" collapsed="false">
      <c r="A1283" s="6" t="s">
        <v>3895</v>
      </c>
      <c r="B1283" s="6" t="s">
        <v>462</v>
      </c>
      <c r="C1283" s="6" t="s">
        <v>131</v>
      </c>
      <c r="D1283" s="13" t="n">
        <v>46137</v>
      </c>
      <c r="E1283" s="14" t="n">
        <v>4454.86</v>
      </c>
      <c r="F1283" s="14" t="n">
        <v>23907</v>
      </c>
      <c r="G1283" s="6" t="s">
        <v>2613</v>
      </c>
    </row>
    <row r="1284" customFormat="false" ht="15" hidden="false" customHeight="true" outlineLevel="0" collapsed="false">
      <c r="A1284" s="6" t="s">
        <v>3896</v>
      </c>
      <c r="B1284" s="6" t="s">
        <v>462</v>
      </c>
      <c r="C1284" s="6" t="s">
        <v>131</v>
      </c>
      <c r="D1284" s="13" t="n">
        <v>46144</v>
      </c>
      <c r="E1284" s="14" t="n">
        <v>2869.42</v>
      </c>
      <c r="F1284" s="14" t="n">
        <v>26776.42</v>
      </c>
      <c r="G1284" s="6" t="s">
        <v>2613</v>
      </c>
    </row>
    <row r="1285" customFormat="false" ht="15" hidden="false" customHeight="true" outlineLevel="0" collapsed="false">
      <c r="A1285" s="6" t="s">
        <v>3897</v>
      </c>
      <c r="B1285" s="6" t="s">
        <v>462</v>
      </c>
      <c r="C1285" s="6" t="s">
        <v>131</v>
      </c>
      <c r="D1285" s="13" t="n">
        <v>46151</v>
      </c>
      <c r="E1285" s="14" t="n">
        <v>2998.13</v>
      </c>
      <c r="F1285" s="14" t="n">
        <v>29774.55</v>
      </c>
      <c r="G1285" s="6" t="s">
        <v>2613</v>
      </c>
    </row>
    <row r="1286" customFormat="false" ht="15" hidden="false" customHeight="true" outlineLevel="0" collapsed="false">
      <c r="A1286" s="6" t="s">
        <v>3898</v>
      </c>
      <c r="B1286" s="6" t="s">
        <v>462</v>
      </c>
      <c r="C1286" s="6" t="s">
        <v>131</v>
      </c>
      <c r="D1286" s="13" t="n">
        <v>46158</v>
      </c>
      <c r="E1286" s="14" t="n">
        <v>2717.12</v>
      </c>
      <c r="F1286" s="14" t="n">
        <v>32491.67</v>
      </c>
      <c r="G1286" s="6" t="s">
        <v>2613</v>
      </c>
    </row>
    <row r="1287" customFormat="false" ht="15" hidden="false" customHeight="true" outlineLevel="0" collapsed="false">
      <c r="A1287" s="6" t="s">
        <v>3899</v>
      </c>
      <c r="B1287" s="6" t="s">
        <v>462</v>
      </c>
      <c r="C1287" s="6" t="s">
        <v>131</v>
      </c>
      <c r="D1287" s="13" t="n">
        <v>46165</v>
      </c>
      <c r="E1287" s="14" t="n">
        <v>5008.96</v>
      </c>
      <c r="F1287" s="14" t="n">
        <v>37500.63</v>
      </c>
      <c r="G1287" s="6" t="s">
        <v>2613</v>
      </c>
    </row>
    <row r="1288" customFormat="false" ht="15" hidden="false" customHeight="true" outlineLevel="0" collapsed="false">
      <c r="A1288" s="6" t="s">
        <v>3900</v>
      </c>
      <c r="B1288" s="6" t="s">
        <v>462</v>
      </c>
      <c r="C1288" s="6" t="s">
        <v>131</v>
      </c>
      <c r="D1288" s="13" t="n">
        <v>46172</v>
      </c>
      <c r="E1288" s="14" t="n">
        <v>4238.92</v>
      </c>
      <c r="F1288" s="14" t="n">
        <v>41739.55</v>
      </c>
      <c r="G1288" s="6" t="s">
        <v>2613</v>
      </c>
    </row>
    <row r="1289" customFormat="false" ht="15" hidden="false" customHeight="true" outlineLevel="0" collapsed="false">
      <c r="A1289" s="6" t="s">
        <v>3901</v>
      </c>
      <c r="B1289" s="6" t="s">
        <v>462</v>
      </c>
      <c r="C1289" s="6" t="s">
        <v>131</v>
      </c>
      <c r="D1289" s="13" t="n">
        <v>46179</v>
      </c>
      <c r="E1289" s="14" t="n">
        <v>3246.08</v>
      </c>
      <c r="F1289" s="14" t="n">
        <v>44985.63</v>
      </c>
      <c r="G1289" s="6" t="s">
        <v>2613</v>
      </c>
    </row>
    <row r="1290" customFormat="false" ht="15" hidden="false" customHeight="true" outlineLevel="0" collapsed="false">
      <c r="A1290" s="6" t="s">
        <v>3902</v>
      </c>
      <c r="B1290" s="6" t="s">
        <v>464</v>
      </c>
      <c r="C1290" s="6" t="s">
        <v>128</v>
      </c>
      <c r="D1290" s="13" t="n">
        <v>45023</v>
      </c>
      <c r="E1290" s="14" t="n">
        <v>2536.64</v>
      </c>
      <c r="F1290" s="14" t="n">
        <v>2536.64</v>
      </c>
      <c r="G1290" s="6" t="s">
        <v>2613</v>
      </c>
    </row>
    <row r="1291" customFormat="false" ht="15" hidden="false" customHeight="true" outlineLevel="0" collapsed="false">
      <c r="A1291" s="6" t="s">
        <v>3903</v>
      </c>
      <c r="B1291" s="6" t="s">
        <v>464</v>
      </c>
      <c r="C1291" s="6" t="s">
        <v>128</v>
      </c>
      <c r="D1291" s="13" t="n">
        <v>45030</v>
      </c>
      <c r="E1291" s="14" t="n">
        <v>2434.29</v>
      </c>
      <c r="F1291" s="14" t="n">
        <v>4970.93</v>
      </c>
      <c r="G1291" s="6" t="s">
        <v>2613</v>
      </c>
    </row>
    <row r="1292" customFormat="false" ht="15" hidden="false" customHeight="true" outlineLevel="0" collapsed="false">
      <c r="A1292" s="6" t="s">
        <v>3904</v>
      </c>
      <c r="B1292" s="6" t="s">
        <v>466</v>
      </c>
      <c r="C1292" s="6" t="s">
        <v>112</v>
      </c>
      <c r="D1292" s="13" t="n">
        <v>45000</v>
      </c>
      <c r="E1292" s="14" t="n">
        <v>3860.18</v>
      </c>
      <c r="F1292" s="14" t="n">
        <v>3860.18</v>
      </c>
      <c r="G1292" s="6" t="s">
        <v>2613</v>
      </c>
    </row>
    <row r="1293" customFormat="false" ht="15" hidden="false" customHeight="true" outlineLevel="0" collapsed="false">
      <c r="A1293" s="6" t="s">
        <v>3905</v>
      </c>
      <c r="B1293" s="6" t="s">
        <v>466</v>
      </c>
      <c r="C1293" s="6" t="s">
        <v>112</v>
      </c>
      <c r="D1293" s="13" t="n">
        <v>45007</v>
      </c>
      <c r="E1293" s="14" t="n">
        <v>3254.38</v>
      </c>
      <c r="F1293" s="14" t="n">
        <v>7114.56</v>
      </c>
      <c r="G1293" s="6" t="s">
        <v>2613</v>
      </c>
    </row>
    <row r="1294" customFormat="false" ht="15" hidden="false" customHeight="true" outlineLevel="0" collapsed="false">
      <c r="A1294" s="6" t="s">
        <v>3906</v>
      </c>
      <c r="B1294" s="6" t="s">
        <v>466</v>
      </c>
      <c r="C1294" s="6" t="s">
        <v>112</v>
      </c>
      <c r="D1294" s="13" t="n">
        <v>45014</v>
      </c>
      <c r="E1294" s="14" t="n">
        <v>3540.02</v>
      </c>
      <c r="F1294" s="14" t="n">
        <v>10654.58</v>
      </c>
      <c r="G1294" s="6" t="s">
        <v>2613</v>
      </c>
    </row>
    <row r="1295" customFormat="false" ht="15" hidden="false" customHeight="true" outlineLevel="0" collapsed="false">
      <c r="A1295" s="6" t="s">
        <v>3907</v>
      </c>
      <c r="B1295" s="6" t="s">
        <v>466</v>
      </c>
      <c r="C1295" s="6" t="s">
        <v>112</v>
      </c>
      <c r="D1295" s="13" t="n">
        <v>45021</v>
      </c>
      <c r="E1295" s="14" t="n">
        <v>3795.91</v>
      </c>
      <c r="F1295" s="14" t="n">
        <v>14450.49</v>
      </c>
      <c r="G1295" s="6" t="s">
        <v>2613</v>
      </c>
    </row>
    <row r="1296" customFormat="false" ht="15" hidden="false" customHeight="true" outlineLevel="0" collapsed="false">
      <c r="A1296" s="6" t="s">
        <v>3908</v>
      </c>
      <c r="B1296" s="6" t="s">
        <v>466</v>
      </c>
      <c r="C1296" s="6" t="s">
        <v>112</v>
      </c>
      <c r="D1296" s="13" t="n">
        <v>45028</v>
      </c>
      <c r="E1296" s="14" t="n">
        <v>4076.66</v>
      </c>
      <c r="F1296" s="14" t="n">
        <v>18527.15</v>
      </c>
      <c r="G1296" s="6" t="s">
        <v>2613</v>
      </c>
    </row>
    <row r="1297" customFormat="false" ht="15" hidden="false" customHeight="true" outlineLevel="0" collapsed="false">
      <c r="A1297" s="6" t="s">
        <v>3909</v>
      </c>
      <c r="B1297" s="6" t="s">
        <v>466</v>
      </c>
      <c r="C1297" s="6" t="s">
        <v>112</v>
      </c>
      <c r="D1297" s="13" t="n">
        <v>45035</v>
      </c>
      <c r="E1297" s="14" t="n">
        <v>5216.56</v>
      </c>
      <c r="F1297" s="14" t="n">
        <v>23743.71</v>
      </c>
      <c r="G1297" s="6" t="s">
        <v>2613</v>
      </c>
    </row>
    <row r="1298" customFormat="false" ht="15" hidden="false" customHeight="true" outlineLevel="0" collapsed="false">
      <c r="A1298" s="6" t="s">
        <v>3910</v>
      </c>
      <c r="B1298" s="6" t="s">
        <v>466</v>
      </c>
      <c r="C1298" s="6" t="s">
        <v>112</v>
      </c>
      <c r="D1298" s="13" t="n">
        <v>45042</v>
      </c>
      <c r="E1298" s="14" t="n">
        <v>3995.58</v>
      </c>
      <c r="F1298" s="14" t="n">
        <v>27739.29</v>
      </c>
      <c r="G1298" s="6" t="s">
        <v>2613</v>
      </c>
    </row>
    <row r="1299" customFormat="false" ht="15" hidden="false" customHeight="true" outlineLevel="0" collapsed="false">
      <c r="A1299" s="6" t="s">
        <v>3911</v>
      </c>
      <c r="B1299" s="6" t="s">
        <v>466</v>
      </c>
      <c r="C1299" s="6" t="s">
        <v>112</v>
      </c>
      <c r="D1299" s="13" t="n">
        <v>45049</v>
      </c>
      <c r="E1299" s="14" t="n">
        <v>4588.76</v>
      </c>
      <c r="F1299" s="14" t="n">
        <v>32328.05</v>
      </c>
      <c r="G1299" s="6" t="s">
        <v>2613</v>
      </c>
    </row>
    <row r="1300" customFormat="false" ht="15" hidden="false" customHeight="true" outlineLevel="0" collapsed="false">
      <c r="A1300" s="6" t="s">
        <v>3912</v>
      </c>
      <c r="B1300" s="6" t="s">
        <v>466</v>
      </c>
      <c r="C1300" s="6" t="s">
        <v>112</v>
      </c>
      <c r="D1300" s="13" t="n">
        <v>45056</v>
      </c>
      <c r="E1300" s="14" t="n">
        <v>4986.73</v>
      </c>
      <c r="F1300" s="14" t="n">
        <v>37314.78</v>
      </c>
      <c r="G1300" s="6" t="s">
        <v>2613</v>
      </c>
    </row>
    <row r="1301" customFormat="false" ht="15" hidden="false" customHeight="true" outlineLevel="0" collapsed="false">
      <c r="A1301" s="6" t="s">
        <v>3913</v>
      </c>
      <c r="B1301" s="6" t="s">
        <v>466</v>
      </c>
      <c r="C1301" s="6" t="s">
        <v>112</v>
      </c>
      <c r="D1301" s="13" t="n">
        <v>45063</v>
      </c>
      <c r="E1301" s="14" t="n">
        <v>5107.59</v>
      </c>
      <c r="F1301" s="14" t="n">
        <v>42422.37</v>
      </c>
      <c r="G1301" s="6" t="s">
        <v>2613</v>
      </c>
    </row>
    <row r="1302" customFormat="false" ht="15" hidden="false" customHeight="true" outlineLevel="0" collapsed="false">
      <c r="A1302" s="6" t="s">
        <v>3914</v>
      </c>
      <c r="B1302" s="6" t="s">
        <v>466</v>
      </c>
      <c r="C1302" s="6" t="s">
        <v>112</v>
      </c>
      <c r="D1302" s="13" t="n">
        <v>45070</v>
      </c>
      <c r="E1302" s="14" t="n">
        <v>4532.96</v>
      </c>
      <c r="F1302" s="14" t="n">
        <v>46955.33</v>
      </c>
      <c r="G1302" s="6" t="s">
        <v>2613</v>
      </c>
    </row>
    <row r="1303" customFormat="false" ht="15" hidden="false" customHeight="true" outlineLevel="0" collapsed="false">
      <c r="A1303" s="6" t="s">
        <v>3915</v>
      </c>
      <c r="B1303" s="6" t="s">
        <v>466</v>
      </c>
      <c r="C1303" s="6" t="s">
        <v>112</v>
      </c>
      <c r="D1303" s="13" t="n">
        <v>45077</v>
      </c>
      <c r="E1303" s="14" t="n">
        <v>3285.32</v>
      </c>
      <c r="F1303" s="14" t="n">
        <v>50240.65</v>
      </c>
      <c r="G1303" s="6" t="s">
        <v>2613</v>
      </c>
    </row>
    <row r="1304" customFormat="false" ht="15" hidden="false" customHeight="true" outlineLevel="0" collapsed="false">
      <c r="A1304" s="6" t="s">
        <v>3916</v>
      </c>
      <c r="B1304" s="6" t="s">
        <v>466</v>
      </c>
      <c r="C1304" s="6" t="s">
        <v>112</v>
      </c>
      <c r="D1304" s="13" t="n">
        <v>45084</v>
      </c>
      <c r="E1304" s="14" t="n">
        <v>5169.15</v>
      </c>
      <c r="F1304" s="14" t="n">
        <v>55409.8</v>
      </c>
      <c r="G1304" s="6" t="s">
        <v>2613</v>
      </c>
    </row>
    <row r="1305" customFormat="false" ht="15" hidden="false" customHeight="true" outlineLevel="0" collapsed="false">
      <c r="A1305" s="6" t="s">
        <v>3917</v>
      </c>
      <c r="B1305" s="6" t="s">
        <v>466</v>
      </c>
      <c r="C1305" s="6" t="s">
        <v>112</v>
      </c>
      <c r="D1305" s="13" t="n">
        <v>45091</v>
      </c>
      <c r="E1305" s="14" t="n">
        <v>2638.3</v>
      </c>
      <c r="F1305" s="14" t="n">
        <v>58048.1</v>
      </c>
      <c r="G1305" s="6" t="s">
        <v>2613</v>
      </c>
    </row>
    <row r="1306" customFormat="false" ht="15" hidden="false" customHeight="true" outlineLevel="0" collapsed="false">
      <c r="A1306" s="6" t="s">
        <v>3918</v>
      </c>
      <c r="B1306" s="6" t="s">
        <v>466</v>
      </c>
      <c r="C1306" s="6" t="s">
        <v>112</v>
      </c>
      <c r="D1306" s="13" t="n">
        <v>45098</v>
      </c>
      <c r="E1306" s="14" t="n">
        <v>3071.44</v>
      </c>
      <c r="F1306" s="14" t="n">
        <v>61119.54</v>
      </c>
      <c r="G1306" s="6" t="s">
        <v>2613</v>
      </c>
    </row>
    <row r="1307" customFormat="false" ht="15" hidden="false" customHeight="true" outlineLevel="0" collapsed="false">
      <c r="A1307" s="6" t="s">
        <v>3919</v>
      </c>
      <c r="B1307" s="6" t="s">
        <v>466</v>
      </c>
      <c r="C1307" s="6" t="s">
        <v>112</v>
      </c>
      <c r="D1307" s="13" t="n">
        <v>45105</v>
      </c>
      <c r="E1307" s="14" t="n">
        <v>4794.49</v>
      </c>
      <c r="F1307" s="14" t="n">
        <v>65914.03</v>
      </c>
      <c r="G1307" s="6" t="s">
        <v>2613</v>
      </c>
    </row>
    <row r="1308" customFormat="false" ht="15" hidden="false" customHeight="true" outlineLevel="0" collapsed="false">
      <c r="A1308" s="6" t="s">
        <v>3920</v>
      </c>
      <c r="B1308" s="6" t="s">
        <v>466</v>
      </c>
      <c r="C1308" s="6" t="s">
        <v>112</v>
      </c>
      <c r="D1308" s="13" t="n">
        <v>45112</v>
      </c>
      <c r="E1308" s="14" t="n">
        <v>3700.87</v>
      </c>
      <c r="F1308" s="14" t="n">
        <v>69614.9</v>
      </c>
      <c r="G1308" s="6" t="s">
        <v>2613</v>
      </c>
    </row>
    <row r="1309" customFormat="false" ht="15" hidden="false" customHeight="true" outlineLevel="0" collapsed="false">
      <c r="A1309" s="6" t="s">
        <v>3921</v>
      </c>
      <c r="B1309" s="6" t="s">
        <v>466</v>
      </c>
      <c r="C1309" s="6" t="s">
        <v>112</v>
      </c>
      <c r="D1309" s="13" t="n">
        <v>45119</v>
      </c>
      <c r="E1309" s="14" t="n">
        <v>3476.01</v>
      </c>
      <c r="F1309" s="14" t="n">
        <v>73090.91</v>
      </c>
      <c r="G1309" s="6" t="s">
        <v>2613</v>
      </c>
    </row>
    <row r="1310" customFormat="false" ht="15" hidden="false" customHeight="true" outlineLevel="0" collapsed="false">
      <c r="A1310" s="6" t="s">
        <v>3922</v>
      </c>
      <c r="B1310" s="6" t="s">
        <v>466</v>
      </c>
      <c r="C1310" s="6" t="s">
        <v>112</v>
      </c>
      <c r="D1310" s="13" t="n">
        <v>45126</v>
      </c>
      <c r="E1310" s="14" t="n">
        <v>9383.95</v>
      </c>
      <c r="F1310" s="14" t="n">
        <v>82474.86</v>
      </c>
      <c r="G1310" s="6" t="s">
        <v>2623</v>
      </c>
    </row>
    <row r="1311" customFormat="false" ht="15" hidden="false" customHeight="true" outlineLevel="0" collapsed="false">
      <c r="A1311" s="6" t="s">
        <v>3923</v>
      </c>
      <c r="B1311" s="6" t="s">
        <v>468</v>
      </c>
      <c r="C1311" s="6" t="s">
        <v>112</v>
      </c>
      <c r="D1311" s="13" t="n">
        <v>45096</v>
      </c>
      <c r="E1311" s="14" t="n">
        <v>2165.43</v>
      </c>
      <c r="F1311" s="14" t="n">
        <v>2165.43</v>
      </c>
      <c r="G1311" s="6" t="s">
        <v>2613</v>
      </c>
    </row>
    <row r="1312" customFormat="false" ht="15" hidden="false" customHeight="true" outlineLevel="0" collapsed="false">
      <c r="A1312" s="6" t="s">
        <v>3924</v>
      </c>
      <c r="B1312" s="6" t="s">
        <v>468</v>
      </c>
      <c r="C1312" s="6" t="s">
        <v>112</v>
      </c>
      <c r="D1312" s="13" t="n">
        <v>45103</v>
      </c>
      <c r="E1312" s="14" t="n">
        <v>2665.91</v>
      </c>
      <c r="F1312" s="14" t="n">
        <v>4831.34</v>
      </c>
      <c r="G1312" s="6" t="s">
        <v>2613</v>
      </c>
    </row>
    <row r="1313" customFormat="false" ht="15" hidden="false" customHeight="true" outlineLevel="0" collapsed="false">
      <c r="A1313" s="6" t="s">
        <v>3925</v>
      </c>
      <c r="B1313" s="6" t="s">
        <v>468</v>
      </c>
      <c r="C1313" s="6" t="s">
        <v>112</v>
      </c>
      <c r="D1313" s="13" t="n">
        <v>45110</v>
      </c>
      <c r="E1313" s="14" t="n">
        <v>2753.01</v>
      </c>
      <c r="F1313" s="14" t="n">
        <v>7584.35</v>
      </c>
      <c r="G1313" s="6" t="s">
        <v>2613</v>
      </c>
    </row>
    <row r="1314" customFormat="false" ht="15" hidden="false" customHeight="true" outlineLevel="0" collapsed="false">
      <c r="A1314" s="6" t="s">
        <v>3926</v>
      </c>
      <c r="B1314" s="6" t="s">
        <v>468</v>
      </c>
      <c r="C1314" s="6" t="s">
        <v>112</v>
      </c>
      <c r="D1314" s="13" t="n">
        <v>45117</v>
      </c>
      <c r="E1314" s="14" t="n">
        <v>3401.02</v>
      </c>
      <c r="F1314" s="14" t="n">
        <v>10985.37</v>
      </c>
      <c r="G1314" s="6" t="s">
        <v>2613</v>
      </c>
    </row>
    <row r="1315" customFormat="false" ht="15" hidden="false" customHeight="true" outlineLevel="0" collapsed="false">
      <c r="A1315" s="6" t="s">
        <v>3927</v>
      </c>
      <c r="B1315" s="6" t="s">
        <v>468</v>
      </c>
      <c r="C1315" s="6" t="s">
        <v>112</v>
      </c>
      <c r="D1315" s="13" t="n">
        <v>45124</v>
      </c>
      <c r="E1315" s="14" t="n">
        <v>2114.3</v>
      </c>
      <c r="F1315" s="14" t="n">
        <v>13099.67</v>
      </c>
      <c r="G1315" s="6" t="s">
        <v>2613</v>
      </c>
    </row>
    <row r="1316" customFormat="false" ht="15" hidden="false" customHeight="true" outlineLevel="0" collapsed="false">
      <c r="A1316" s="6" t="s">
        <v>3928</v>
      </c>
      <c r="B1316" s="6" t="s">
        <v>468</v>
      </c>
      <c r="C1316" s="6" t="s">
        <v>112</v>
      </c>
      <c r="D1316" s="13" t="n">
        <v>45131</v>
      </c>
      <c r="E1316" s="14" t="n">
        <v>1650</v>
      </c>
      <c r="F1316" s="14" t="n">
        <v>14749.67</v>
      </c>
      <c r="G1316" s="6" t="s">
        <v>2613</v>
      </c>
    </row>
    <row r="1317" customFormat="false" ht="15" hidden="false" customHeight="true" outlineLevel="0" collapsed="false">
      <c r="A1317" s="6" t="s">
        <v>3929</v>
      </c>
      <c r="B1317" s="6" t="s">
        <v>470</v>
      </c>
      <c r="C1317" s="6" t="s">
        <v>124</v>
      </c>
      <c r="D1317" s="13" t="n">
        <v>45397</v>
      </c>
      <c r="E1317" s="14" t="n">
        <v>2589.67</v>
      </c>
      <c r="F1317" s="14" t="n">
        <v>2589.67</v>
      </c>
      <c r="G1317" s="6" t="s">
        <v>2613</v>
      </c>
    </row>
    <row r="1318" customFormat="false" ht="15" hidden="false" customHeight="true" outlineLevel="0" collapsed="false">
      <c r="A1318" s="6" t="s">
        <v>3930</v>
      </c>
      <c r="B1318" s="6" t="s">
        <v>470</v>
      </c>
      <c r="C1318" s="6" t="s">
        <v>124</v>
      </c>
      <c r="D1318" s="13" t="n">
        <v>45404</v>
      </c>
      <c r="E1318" s="14" t="n">
        <v>3029.46</v>
      </c>
      <c r="F1318" s="14" t="n">
        <v>5619.13</v>
      </c>
      <c r="G1318" s="6" t="s">
        <v>2613</v>
      </c>
    </row>
    <row r="1319" customFormat="false" ht="15" hidden="false" customHeight="true" outlineLevel="0" collapsed="false">
      <c r="A1319" s="6" t="s">
        <v>3931</v>
      </c>
      <c r="B1319" s="6" t="s">
        <v>470</v>
      </c>
      <c r="C1319" s="6" t="s">
        <v>124</v>
      </c>
      <c r="D1319" s="13" t="n">
        <v>45411</v>
      </c>
      <c r="E1319" s="14" t="n">
        <v>2889.17</v>
      </c>
      <c r="F1319" s="14" t="n">
        <v>8508.3</v>
      </c>
      <c r="G1319" s="6" t="s">
        <v>2613</v>
      </c>
    </row>
    <row r="1320" customFormat="false" ht="15" hidden="false" customHeight="true" outlineLevel="0" collapsed="false">
      <c r="A1320" s="6" t="s">
        <v>3932</v>
      </c>
      <c r="B1320" s="6" t="s">
        <v>470</v>
      </c>
      <c r="C1320" s="6" t="s">
        <v>124</v>
      </c>
      <c r="D1320" s="13" t="n">
        <v>45418</v>
      </c>
      <c r="E1320" s="14" t="n">
        <v>2899.89</v>
      </c>
      <c r="F1320" s="14" t="n">
        <v>11408.19</v>
      </c>
      <c r="G1320" s="6" t="s">
        <v>2613</v>
      </c>
    </row>
    <row r="1321" customFormat="false" ht="15" hidden="false" customHeight="true" outlineLevel="0" collapsed="false">
      <c r="A1321" s="6" t="s">
        <v>3933</v>
      </c>
      <c r="B1321" s="6" t="s">
        <v>470</v>
      </c>
      <c r="C1321" s="6" t="s">
        <v>124</v>
      </c>
      <c r="D1321" s="13" t="n">
        <v>45425</v>
      </c>
      <c r="E1321" s="14" t="n">
        <v>4579.65</v>
      </c>
      <c r="F1321" s="14" t="n">
        <v>15987.84</v>
      </c>
      <c r="G1321" s="6" t="s">
        <v>2613</v>
      </c>
    </row>
    <row r="1322" customFormat="false" ht="15" hidden="false" customHeight="true" outlineLevel="0" collapsed="false">
      <c r="A1322" s="6" t="s">
        <v>3934</v>
      </c>
      <c r="B1322" s="6" t="s">
        <v>470</v>
      </c>
      <c r="C1322" s="6" t="s">
        <v>124</v>
      </c>
      <c r="D1322" s="13" t="n">
        <v>45432</v>
      </c>
      <c r="E1322" s="14" t="n">
        <v>3796.26</v>
      </c>
      <c r="F1322" s="14" t="n">
        <v>19784.1</v>
      </c>
      <c r="G1322" s="6" t="s">
        <v>2613</v>
      </c>
    </row>
    <row r="1323" customFormat="false" ht="15" hidden="false" customHeight="true" outlineLevel="0" collapsed="false">
      <c r="A1323" s="6" t="s">
        <v>3935</v>
      </c>
      <c r="B1323" s="6" t="s">
        <v>470</v>
      </c>
      <c r="C1323" s="6" t="s">
        <v>124</v>
      </c>
      <c r="D1323" s="13" t="n">
        <v>45439</v>
      </c>
      <c r="E1323" s="14" t="n">
        <v>3305.21</v>
      </c>
      <c r="F1323" s="14" t="n">
        <v>23089.31</v>
      </c>
      <c r="G1323" s="6" t="s">
        <v>2613</v>
      </c>
    </row>
    <row r="1324" customFormat="false" ht="15" hidden="false" customHeight="true" outlineLevel="0" collapsed="false">
      <c r="A1324" s="6" t="s">
        <v>3936</v>
      </c>
      <c r="B1324" s="6" t="s">
        <v>470</v>
      </c>
      <c r="C1324" s="6" t="s">
        <v>124</v>
      </c>
      <c r="D1324" s="13" t="n">
        <v>45446</v>
      </c>
      <c r="E1324" s="14" t="n">
        <v>2195.26</v>
      </c>
      <c r="F1324" s="14" t="n">
        <v>25284.57</v>
      </c>
      <c r="G1324" s="6" t="s">
        <v>2613</v>
      </c>
    </row>
    <row r="1325" customFormat="false" ht="15" hidden="false" customHeight="true" outlineLevel="0" collapsed="false">
      <c r="A1325" s="6" t="s">
        <v>3937</v>
      </c>
      <c r="B1325" s="6" t="s">
        <v>470</v>
      </c>
      <c r="C1325" s="6" t="s">
        <v>124</v>
      </c>
      <c r="D1325" s="13" t="n">
        <v>45453</v>
      </c>
      <c r="E1325" s="14" t="n">
        <v>4009.52</v>
      </c>
      <c r="F1325" s="14" t="n">
        <v>29294.09</v>
      </c>
      <c r="G1325" s="6" t="s">
        <v>2613</v>
      </c>
    </row>
    <row r="1326" customFormat="false" ht="15" hidden="false" customHeight="true" outlineLevel="0" collapsed="false">
      <c r="A1326" s="6" t="s">
        <v>3938</v>
      </c>
      <c r="B1326" s="6" t="s">
        <v>470</v>
      </c>
      <c r="C1326" s="6" t="s">
        <v>124</v>
      </c>
      <c r="D1326" s="13" t="n">
        <v>45460</v>
      </c>
      <c r="E1326" s="14" t="n">
        <v>4119.33</v>
      </c>
      <c r="F1326" s="14" t="n">
        <v>33413.42</v>
      </c>
      <c r="G1326" s="6" t="s">
        <v>2623</v>
      </c>
    </row>
    <row r="1327" customFormat="false" ht="15" hidden="false" customHeight="true" outlineLevel="0" collapsed="false">
      <c r="A1327" s="6" t="s">
        <v>3939</v>
      </c>
      <c r="B1327" s="6" t="s">
        <v>470</v>
      </c>
      <c r="C1327" s="6" t="s">
        <v>124</v>
      </c>
      <c r="D1327" s="13" t="n">
        <v>45467</v>
      </c>
      <c r="E1327" s="14" t="n">
        <v>2603.62</v>
      </c>
      <c r="F1327" s="14" t="n">
        <v>36017.04</v>
      </c>
      <c r="G1327" s="6" t="s">
        <v>2613</v>
      </c>
    </row>
    <row r="1328" customFormat="false" ht="15" hidden="false" customHeight="true" outlineLevel="0" collapsed="false">
      <c r="A1328" s="6" t="s">
        <v>3940</v>
      </c>
      <c r="B1328" s="6" t="s">
        <v>470</v>
      </c>
      <c r="C1328" s="6" t="s">
        <v>124</v>
      </c>
      <c r="D1328" s="13" t="n">
        <v>45474</v>
      </c>
      <c r="E1328" s="14" t="n">
        <v>2310.81</v>
      </c>
      <c r="F1328" s="14" t="n">
        <v>38327.85</v>
      </c>
      <c r="G1328" s="6" t="s">
        <v>2613</v>
      </c>
    </row>
    <row r="1329" customFormat="false" ht="15" hidden="false" customHeight="true" outlineLevel="0" collapsed="false">
      <c r="A1329" s="6" t="s">
        <v>3941</v>
      </c>
      <c r="B1329" s="6" t="s">
        <v>470</v>
      </c>
      <c r="C1329" s="6" t="s">
        <v>124</v>
      </c>
      <c r="D1329" s="13" t="n">
        <v>45481</v>
      </c>
      <c r="E1329" s="14" t="n">
        <v>3686.97</v>
      </c>
      <c r="F1329" s="14" t="n">
        <v>42014.82</v>
      </c>
      <c r="G1329" s="6" t="s">
        <v>2623</v>
      </c>
    </row>
    <row r="1330" customFormat="false" ht="15" hidden="false" customHeight="true" outlineLevel="0" collapsed="false">
      <c r="A1330" s="6" t="s">
        <v>3942</v>
      </c>
      <c r="B1330" s="6" t="s">
        <v>470</v>
      </c>
      <c r="C1330" s="6" t="s">
        <v>124</v>
      </c>
      <c r="D1330" s="13" t="n">
        <v>45488</v>
      </c>
      <c r="E1330" s="14" t="n">
        <v>7677.4</v>
      </c>
      <c r="F1330" s="14" t="n">
        <v>49692.22</v>
      </c>
      <c r="G1330" s="6" t="s">
        <v>2613</v>
      </c>
    </row>
    <row r="1331" customFormat="false" ht="15" hidden="false" customHeight="true" outlineLevel="0" collapsed="false">
      <c r="A1331" s="6" t="s">
        <v>3943</v>
      </c>
      <c r="B1331" s="6" t="s">
        <v>472</v>
      </c>
      <c r="C1331" s="6" t="s">
        <v>112</v>
      </c>
      <c r="D1331" s="13" t="n">
        <v>44837</v>
      </c>
      <c r="E1331" s="14" t="n">
        <v>3645.03</v>
      </c>
      <c r="F1331" s="14" t="n">
        <v>3645.03</v>
      </c>
      <c r="G1331" s="6" t="s">
        <v>2613</v>
      </c>
    </row>
    <row r="1332" customFormat="false" ht="15" hidden="false" customHeight="true" outlineLevel="0" collapsed="false">
      <c r="A1332" s="6" t="s">
        <v>3944</v>
      </c>
      <c r="B1332" s="6" t="s">
        <v>472</v>
      </c>
      <c r="C1332" s="6" t="s">
        <v>112</v>
      </c>
      <c r="D1332" s="13" t="n">
        <v>44844</v>
      </c>
      <c r="E1332" s="14" t="n">
        <v>7730.93</v>
      </c>
      <c r="F1332" s="14" t="n">
        <v>11375.96</v>
      </c>
      <c r="G1332" s="6" t="s">
        <v>2613</v>
      </c>
    </row>
    <row r="1333" customFormat="false" ht="15" hidden="false" customHeight="true" outlineLevel="0" collapsed="false">
      <c r="A1333" s="6" t="s">
        <v>3945</v>
      </c>
      <c r="B1333" s="6" t="s">
        <v>472</v>
      </c>
      <c r="C1333" s="6" t="s">
        <v>112</v>
      </c>
      <c r="D1333" s="13" t="n">
        <v>44851</v>
      </c>
      <c r="E1333" s="14" t="n">
        <v>5650.75</v>
      </c>
      <c r="F1333" s="14" t="n">
        <v>17026.71</v>
      </c>
      <c r="G1333" s="6" t="s">
        <v>2613</v>
      </c>
    </row>
    <row r="1334" customFormat="false" ht="15" hidden="false" customHeight="true" outlineLevel="0" collapsed="false">
      <c r="A1334" s="6" t="s">
        <v>3946</v>
      </c>
      <c r="B1334" s="6" t="s">
        <v>472</v>
      </c>
      <c r="C1334" s="6" t="s">
        <v>112</v>
      </c>
      <c r="D1334" s="13" t="n">
        <v>44858</v>
      </c>
      <c r="E1334" s="14" t="n">
        <v>7821.85</v>
      </c>
      <c r="F1334" s="14" t="n">
        <v>24848.56</v>
      </c>
      <c r="G1334" s="6" t="s">
        <v>2613</v>
      </c>
    </row>
    <row r="1335" customFormat="false" ht="15" hidden="false" customHeight="true" outlineLevel="0" collapsed="false">
      <c r="A1335" s="6" t="s">
        <v>3947</v>
      </c>
      <c r="B1335" s="6" t="s">
        <v>472</v>
      </c>
      <c r="C1335" s="6" t="s">
        <v>112</v>
      </c>
      <c r="D1335" s="13" t="n">
        <v>44865</v>
      </c>
      <c r="E1335" s="14" t="n">
        <v>4166.69</v>
      </c>
      <c r="F1335" s="14" t="n">
        <v>29015.25</v>
      </c>
      <c r="G1335" s="6" t="s">
        <v>2613</v>
      </c>
    </row>
    <row r="1336" customFormat="false" ht="15" hidden="false" customHeight="true" outlineLevel="0" collapsed="false">
      <c r="A1336" s="6" t="s">
        <v>3948</v>
      </c>
      <c r="B1336" s="6" t="s">
        <v>474</v>
      </c>
      <c r="C1336" s="6" t="s">
        <v>131</v>
      </c>
      <c r="D1336" s="13" t="n">
        <v>45674</v>
      </c>
      <c r="E1336" s="14" t="n">
        <v>2144.54</v>
      </c>
      <c r="F1336" s="14" t="n">
        <v>2144.54</v>
      </c>
      <c r="G1336" s="6" t="s">
        <v>2613</v>
      </c>
    </row>
    <row r="1337" customFormat="false" ht="15" hidden="false" customHeight="true" outlineLevel="0" collapsed="false">
      <c r="A1337" s="6" t="s">
        <v>3949</v>
      </c>
      <c r="B1337" s="6" t="s">
        <v>474</v>
      </c>
      <c r="C1337" s="6" t="s">
        <v>131</v>
      </c>
      <c r="D1337" s="13" t="n">
        <v>45681</v>
      </c>
      <c r="E1337" s="14" t="n">
        <v>1836.1</v>
      </c>
      <c r="F1337" s="14" t="n">
        <v>3980.64</v>
      </c>
      <c r="G1337" s="6" t="s">
        <v>2623</v>
      </c>
    </row>
    <row r="1338" customFormat="false" ht="15" hidden="false" customHeight="true" outlineLevel="0" collapsed="false">
      <c r="A1338" s="6" t="s">
        <v>3950</v>
      </c>
      <c r="B1338" s="6" t="s">
        <v>474</v>
      </c>
      <c r="C1338" s="6" t="s">
        <v>131</v>
      </c>
      <c r="D1338" s="13" t="n">
        <v>45688</v>
      </c>
      <c r="E1338" s="14" t="n">
        <v>2581.3</v>
      </c>
      <c r="F1338" s="14" t="n">
        <v>6561.94</v>
      </c>
      <c r="G1338" s="6" t="s">
        <v>2613</v>
      </c>
    </row>
    <row r="1339" customFormat="false" ht="15" hidden="false" customHeight="true" outlineLevel="0" collapsed="false">
      <c r="A1339" s="6" t="s">
        <v>3951</v>
      </c>
      <c r="B1339" s="6" t="s">
        <v>474</v>
      </c>
      <c r="C1339" s="6" t="s">
        <v>131</v>
      </c>
      <c r="D1339" s="13" t="n">
        <v>45695</v>
      </c>
      <c r="E1339" s="14" t="n">
        <v>1796.73</v>
      </c>
      <c r="F1339" s="14" t="n">
        <v>8358.67</v>
      </c>
      <c r="G1339" s="6" t="s">
        <v>2613</v>
      </c>
    </row>
    <row r="1340" customFormat="false" ht="15" hidden="false" customHeight="true" outlineLevel="0" collapsed="false">
      <c r="A1340" s="6" t="s">
        <v>3952</v>
      </c>
      <c r="B1340" s="6" t="s">
        <v>474</v>
      </c>
      <c r="C1340" s="6" t="s">
        <v>131</v>
      </c>
      <c r="D1340" s="13" t="n">
        <v>45702</v>
      </c>
      <c r="E1340" s="14" t="n">
        <v>2605.19</v>
      </c>
      <c r="F1340" s="14" t="n">
        <v>10963.86</v>
      </c>
      <c r="G1340" s="6" t="s">
        <v>2613</v>
      </c>
    </row>
    <row r="1341" customFormat="false" ht="15" hidden="false" customHeight="true" outlineLevel="0" collapsed="false">
      <c r="A1341" s="6" t="s">
        <v>3953</v>
      </c>
      <c r="B1341" s="6" t="s">
        <v>474</v>
      </c>
      <c r="C1341" s="6" t="s">
        <v>131</v>
      </c>
      <c r="D1341" s="13" t="n">
        <v>45709</v>
      </c>
      <c r="E1341" s="14" t="n">
        <v>2517.68</v>
      </c>
      <c r="F1341" s="14" t="n">
        <v>13481.54</v>
      </c>
      <c r="G1341" s="6" t="s">
        <v>2613</v>
      </c>
    </row>
    <row r="1342" customFormat="false" ht="15" hidden="false" customHeight="true" outlineLevel="0" collapsed="false">
      <c r="A1342" s="6" t="s">
        <v>3954</v>
      </c>
      <c r="B1342" s="6" t="s">
        <v>474</v>
      </c>
      <c r="C1342" s="6" t="s">
        <v>131</v>
      </c>
      <c r="D1342" s="13" t="n">
        <v>45716</v>
      </c>
      <c r="E1342" s="14" t="n">
        <v>2127.8</v>
      </c>
      <c r="F1342" s="14" t="n">
        <v>15609.34</v>
      </c>
      <c r="G1342" s="6" t="s">
        <v>2613</v>
      </c>
    </row>
    <row r="1343" customFormat="false" ht="15" hidden="false" customHeight="true" outlineLevel="0" collapsed="false">
      <c r="A1343" s="6" t="s">
        <v>3955</v>
      </c>
      <c r="B1343" s="6" t="s">
        <v>474</v>
      </c>
      <c r="C1343" s="6" t="s">
        <v>131</v>
      </c>
      <c r="D1343" s="13" t="n">
        <v>45723</v>
      </c>
      <c r="E1343" s="14" t="n">
        <v>3138.08</v>
      </c>
      <c r="F1343" s="14" t="n">
        <v>18747.42</v>
      </c>
      <c r="G1343" s="6" t="s">
        <v>2613</v>
      </c>
    </row>
    <row r="1344" customFormat="false" ht="15" hidden="false" customHeight="true" outlineLevel="0" collapsed="false">
      <c r="A1344" s="6" t="s">
        <v>3956</v>
      </c>
      <c r="B1344" s="6" t="s">
        <v>474</v>
      </c>
      <c r="C1344" s="6" t="s">
        <v>131</v>
      </c>
      <c r="D1344" s="13" t="n">
        <v>45730</v>
      </c>
      <c r="E1344" s="14" t="n">
        <v>3135.65</v>
      </c>
      <c r="F1344" s="14" t="n">
        <v>21883.07</v>
      </c>
      <c r="G1344" s="6" t="s">
        <v>2613</v>
      </c>
    </row>
    <row r="1345" customFormat="false" ht="15" hidden="false" customHeight="true" outlineLevel="0" collapsed="false">
      <c r="A1345" s="6" t="s">
        <v>3957</v>
      </c>
      <c r="B1345" s="6" t="s">
        <v>474</v>
      </c>
      <c r="C1345" s="6" t="s">
        <v>131</v>
      </c>
      <c r="D1345" s="13" t="n">
        <v>45737</v>
      </c>
      <c r="E1345" s="14" t="n">
        <v>1902.7</v>
      </c>
      <c r="F1345" s="14" t="n">
        <v>23785.77</v>
      </c>
      <c r="G1345" s="6" t="s">
        <v>2613</v>
      </c>
    </row>
    <row r="1346" customFormat="false" ht="15" hidden="false" customHeight="true" outlineLevel="0" collapsed="false">
      <c r="A1346" s="6" t="s">
        <v>3958</v>
      </c>
      <c r="B1346" s="6" t="s">
        <v>474</v>
      </c>
      <c r="C1346" s="6" t="s">
        <v>131</v>
      </c>
      <c r="D1346" s="13" t="n">
        <v>45744</v>
      </c>
      <c r="E1346" s="14" t="n">
        <v>2406.54</v>
      </c>
      <c r="F1346" s="14" t="n">
        <v>26192.31</v>
      </c>
      <c r="G1346" s="6" t="s">
        <v>2613</v>
      </c>
    </row>
    <row r="1347" customFormat="false" ht="15" hidden="false" customHeight="true" outlineLevel="0" collapsed="false">
      <c r="A1347" s="6" t="s">
        <v>3959</v>
      </c>
      <c r="B1347" s="6" t="s">
        <v>474</v>
      </c>
      <c r="C1347" s="6" t="s">
        <v>131</v>
      </c>
      <c r="D1347" s="13" t="n">
        <v>45751</v>
      </c>
      <c r="E1347" s="14" t="n">
        <v>2969.77</v>
      </c>
      <c r="F1347" s="14" t="n">
        <v>29162.08</v>
      </c>
      <c r="G1347" s="6" t="s">
        <v>2613</v>
      </c>
    </row>
    <row r="1348" customFormat="false" ht="15" hidden="false" customHeight="true" outlineLevel="0" collapsed="false">
      <c r="A1348" s="6" t="s">
        <v>3960</v>
      </c>
      <c r="B1348" s="6" t="s">
        <v>474</v>
      </c>
      <c r="C1348" s="6" t="s">
        <v>131</v>
      </c>
      <c r="D1348" s="13" t="n">
        <v>45758</v>
      </c>
      <c r="E1348" s="14" t="n">
        <v>3199.83</v>
      </c>
      <c r="F1348" s="14" t="n">
        <v>32361.91</v>
      </c>
      <c r="G1348" s="6" t="s">
        <v>2613</v>
      </c>
    </row>
    <row r="1349" customFormat="false" ht="15" hidden="false" customHeight="true" outlineLevel="0" collapsed="false">
      <c r="A1349" s="6" t="s">
        <v>3961</v>
      </c>
      <c r="B1349" s="6" t="s">
        <v>474</v>
      </c>
      <c r="C1349" s="6" t="s">
        <v>131</v>
      </c>
      <c r="D1349" s="13" t="n">
        <v>45765</v>
      </c>
      <c r="E1349" s="14" t="n">
        <v>3114.61</v>
      </c>
      <c r="F1349" s="14" t="n">
        <v>35476.52</v>
      </c>
      <c r="G1349" s="6" t="s">
        <v>2623</v>
      </c>
    </row>
    <row r="1350" customFormat="false" ht="15" hidden="false" customHeight="true" outlineLevel="0" collapsed="false">
      <c r="A1350" s="6" t="s">
        <v>3962</v>
      </c>
      <c r="B1350" s="6" t="s">
        <v>476</v>
      </c>
      <c r="C1350" s="6" t="s">
        <v>131</v>
      </c>
      <c r="D1350" s="13" t="n">
        <v>44709</v>
      </c>
      <c r="E1350" s="14" t="n">
        <v>4191.37</v>
      </c>
      <c r="F1350" s="14" t="n">
        <v>4191.37</v>
      </c>
      <c r="G1350" s="6" t="s">
        <v>2613</v>
      </c>
    </row>
    <row r="1351" customFormat="false" ht="15" hidden="false" customHeight="true" outlineLevel="0" collapsed="false">
      <c r="A1351" s="6" t="s">
        <v>3963</v>
      </c>
      <c r="B1351" s="6" t="s">
        <v>476</v>
      </c>
      <c r="C1351" s="6" t="s">
        <v>131</v>
      </c>
      <c r="D1351" s="13" t="n">
        <v>44716</v>
      </c>
      <c r="E1351" s="14" t="n">
        <v>3089.02</v>
      </c>
      <c r="F1351" s="14" t="n">
        <v>7280.39</v>
      </c>
      <c r="G1351" s="6" t="s">
        <v>2613</v>
      </c>
    </row>
    <row r="1352" customFormat="false" ht="15" hidden="false" customHeight="true" outlineLevel="0" collapsed="false">
      <c r="A1352" s="6" t="s">
        <v>3964</v>
      </c>
      <c r="B1352" s="6" t="s">
        <v>476</v>
      </c>
      <c r="C1352" s="6" t="s">
        <v>131</v>
      </c>
      <c r="D1352" s="13" t="n">
        <v>44723</v>
      </c>
      <c r="E1352" s="14" t="n">
        <v>2834.12</v>
      </c>
      <c r="F1352" s="14" t="n">
        <v>10114.51</v>
      </c>
      <c r="G1352" s="6" t="s">
        <v>2623</v>
      </c>
    </row>
    <row r="1353" customFormat="false" ht="15" hidden="false" customHeight="true" outlineLevel="0" collapsed="false">
      <c r="A1353" s="6" t="s">
        <v>3965</v>
      </c>
      <c r="B1353" s="6" t="s">
        <v>476</v>
      </c>
      <c r="C1353" s="6" t="s">
        <v>131</v>
      </c>
      <c r="D1353" s="13" t="n">
        <v>44730</v>
      </c>
      <c r="E1353" s="14" t="n">
        <v>2416.59</v>
      </c>
      <c r="F1353" s="14" t="n">
        <v>12531.1</v>
      </c>
      <c r="G1353" s="6" t="s">
        <v>2613</v>
      </c>
    </row>
    <row r="1354" customFormat="false" ht="15" hidden="false" customHeight="true" outlineLevel="0" collapsed="false">
      <c r="A1354" s="6" t="s">
        <v>3966</v>
      </c>
      <c r="B1354" s="6" t="s">
        <v>476</v>
      </c>
      <c r="C1354" s="6" t="s">
        <v>131</v>
      </c>
      <c r="D1354" s="13" t="n">
        <v>44737</v>
      </c>
      <c r="E1354" s="14" t="n">
        <v>2828.52</v>
      </c>
      <c r="F1354" s="14" t="n">
        <v>15359.62</v>
      </c>
      <c r="G1354" s="6" t="s">
        <v>2613</v>
      </c>
    </row>
    <row r="1355" customFormat="false" ht="15" hidden="false" customHeight="true" outlineLevel="0" collapsed="false">
      <c r="A1355" s="6" t="s">
        <v>3967</v>
      </c>
      <c r="B1355" s="6" t="s">
        <v>476</v>
      </c>
      <c r="C1355" s="6" t="s">
        <v>131</v>
      </c>
      <c r="D1355" s="13" t="n">
        <v>44744</v>
      </c>
      <c r="E1355" s="14" t="n">
        <v>3080.14</v>
      </c>
      <c r="F1355" s="14" t="n">
        <v>18439.76</v>
      </c>
      <c r="G1355" s="6" t="s">
        <v>2613</v>
      </c>
    </row>
    <row r="1356" customFormat="false" ht="15" hidden="false" customHeight="true" outlineLevel="0" collapsed="false">
      <c r="A1356" s="6" t="s">
        <v>3968</v>
      </c>
      <c r="B1356" s="6" t="s">
        <v>476</v>
      </c>
      <c r="C1356" s="6" t="s">
        <v>131</v>
      </c>
      <c r="D1356" s="13" t="n">
        <v>44751</v>
      </c>
      <c r="E1356" s="14" t="n">
        <v>4464.01</v>
      </c>
      <c r="F1356" s="14" t="n">
        <v>22903.77</v>
      </c>
      <c r="G1356" s="6" t="s">
        <v>2613</v>
      </c>
    </row>
    <row r="1357" customFormat="false" ht="15" hidden="false" customHeight="true" outlineLevel="0" collapsed="false">
      <c r="A1357" s="6" t="s">
        <v>3969</v>
      </c>
      <c r="B1357" s="6" t="s">
        <v>476</v>
      </c>
      <c r="C1357" s="6" t="s">
        <v>131</v>
      </c>
      <c r="D1357" s="13" t="n">
        <v>44758</v>
      </c>
      <c r="E1357" s="14" t="n">
        <v>2721.98</v>
      </c>
      <c r="F1357" s="14" t="n">
        <v>25625.75</v>
      </c>
      <c r="G1357" s="6" t="s">
        <v>2613</v>
      </c>
    </row>
    <row r="1358" customFormat="false" ht="15" hidden="false" customHeight="true" outlineLevel="0" collapsed="false">
      <c r="A1358" s="6" t="s">
        <v>3970</v>
      </c>
      <c r="B1358" s="6" t="s">
        <v>476</v>
      </c>
      <c r="C1358" s="6" t="s">
        <v>131</v>
      </c>
      <c r="D1358" s="13" t="n">
        <v>44765</v>
      </c>
      <c r="E1358" s="14" t="n">
        <v>3299.9</v>
      </c>
      <c r="F1358" s="14" t="n">
        <v>28925.65</v>
      </c>
      <c r="G1358" s="6" t="s">
        <v>2613</v>
      </c>
    </row>
    <row r="1359" customFormat="false" ht="15" hidden="false" customHeight="true" outlineLevel="0" collapsed="false">
      <c r="A1359" s="6" t="s">
        <v>3971</v>
      </c>
      <c r="B1359" s="6" t="s">
        <v>476</v>
      </c>
      <c r="C1359" s="6" t="s">
        <v>131</v>
      </c>
      <c r="D1359" s="13" t="n">
        <v>44772</v>
      </c>
      <c r="E1359" s="14" t="n">
        <v>4682.67</v>
      </c>
      <c r="F1359" s="14" t="n">
        <v>33608.32</v>
      </c>
      <c r="G1359" s="6" t="s">
        <v>2613</v>
      </c>
    </row>
    <row r="1360" customFormat="false" ht="15" hidden="false" customHeight="true" outlineLevel="0" collapsed="false">
      <c r="A1360" s="6" t="s">
        <v>3972</v>
      </c>
      <c r="B1360" s="6" t="s">
        <v>476</v>
      </c>
      <c r="C1360" s="6" t="s">
        <v>131</v>
      </c>
      <c r="D1360" s="13" t="n">
        <v>44779</v>
      </c>
      <c r="E1360" s="14" t="n">
        <v>7945.93</v>
      </c>
      <c r="F1360" s="14" t="n">
        <v>41554.25</v>
      </c>
      <c r="G1360" s="6" t="s">
        <v>2613</v>
      </c>
    </row>
    <row r="1361" customFormat="false" ht="15" hidden="false" customHeight="true" outlineLevel="0" collapsed="false">
      <c r="A1361" s="6" t="s">
        <v>3973</v>
      </c>
      <c r="B1361" s="6" t="s">
        <v>478</v>
      </c>
      <c r="C1361" s="6" t="s">
        <v>112</v>
      </c>
      <c r="D1361" s="13" t="n">
        <v>45350</v>
      </c>
      <c r="E1361" s="14" t="n">
        <v>3036.24</v>
      </c>
      <c r="F1361" s="14" t="n">
        <v>3036.24</v>
      </c>
      <c r="G1361" s="6" t="s">
        <v>2613</v>
      </c>
    </row>
    <row r="1362" customFormat="false" ht="15" hidden="false" customHeight="true" outlineLevel="0" collapsed="false">
      <c r="A1362" s="6" t="s">
        <v>3974</v>
      </c>
      <c r="B1362" s="6" t="s">
        <v>478</v>
      </c>
      <c r="C1362" s="6" t="s">
        <v>112</v>
      </c>
      <c r="D1362" s="13" t="n">
        <v>45357</v>
      </c>
      <c r="E1362" s="14" t="n">
        <v>3042.4</v>
      </c>
      <c r="F1362" s="14" t="n">
        <v>6078.64</v>
      </c>
      <c r="G1362" s="6" t="s">
        <v>2613</v>
      </c>
    </row>
    <row r="1363" customFormat="false" ht="15" hidden="false" customHeight="true" outlineLevel="0" collapsed="false">
      <c r="A1363" s="6" t="s">
        <v>3975</v>
      </c>
      <c r="B1363" s="6" t="s">
        <v>478</v>
      </c>
      <c r="C1363" s="6" t="s">
        <v>112</v>
      </c>
      <c r="D1363" s="13" t="n">
        <v>45364</v>
      </c>
      <c r="E1363" s="14" t="n">
        <v>2975.19</v>
      </c>
      <c r="F1363" s="14" t="n">
        <v>9053.83</v>
      </c>
      <c r="G1363" s="6" t="s">
        <v>2623</v>
      </c>
    </row>
    <row r="1364" customFormat="false" ht="15" hidden="false" customHeight="true" outlineLevel="0" collapsed="false">
      <c r="A1364" s="6" t="s">
        <v>3976</v>
      </c>
      <c r="B1364" s="6" t="s">
        <v>478</v>
      </c>
      <c r="C1364" s="6" t="s">
        <v>112</v>
      </c>
      <c r="D1364" s="13" t="n">
        <v>45371</v>
      </c>
      <c r="E1364" s="14" t="n">
        <v>2421.63</v>
      </c>
      <c r="F1364" s="14" t="n">
        <v>11475.46</v>
      </c>
      <c r="G1364" s="6" t="s">
        <v>2613</v>
      </c>
    </row>
    <row r="1365" customFormat="false" ht="15" hidden="false" customHeight="true" outlineLevel="0" collapsed="false">
      <c r="A1365" s="6" t="s">
        <v>3977</v>
      </c>
      <c r="B1365" s="6" t="s">
        <v>478</v>
      </c>
      <c r="C1365" s="6" t="s">
        <v>112</v>
      </c>
      <c r="D1365" s="13" t="n">
        <v>45378</v>
      </c>
      <c r="E1365" s="14" t="n">
        <v>2542.23</v>
      </c>
      <c r="F1365" s="14" t="n">
        <v>14017.69</v>
      </c>
      <c r="G1365" s="6" t="s">
        <v>2613</v>
      </c>
    </row>
    <row r="1366" customFormat="false" ht="15" hidden="false" customHeight="true" outlineLevel="0" collapsed="false">
      <c r="A1366" s="6" t="s">
        <v>3978</v>
      </c>
      <c r="B1366" s="6" t="s">
        <v>478</v>
      </c>
      <c r="C1366" s="6" t="s">
        <v>112</v>
      </c>
      <c r="D1366" s="13" t="n">
        <v>45385</v>
      </c>
      <c r="E1366" s="14" t="n">
        <v>2445.61</v>
      </c>
      <c r="F1366" s="14" t="n">
        <v>16463.3</v>
      </c>
      <c r="G1366" s="6" t="s">
        <v>2613</v>
      </c>
    </row>
    <row r="1367" customFormat="false" ht="15" hidden="false" customHeight="true" outlineLevel="0" collapsed="false">
      <c r="A1367" s="6" t="s">
        <v>3979</v>
      </c>
      <c r="B1367" s="6" t="s">
        <v>478</v>
      </c>
      <c r="C1367" s="6" t="s">
        <v>112</v>
      </c>
      <c r="D1367" s="13" t="n">
        <v>45392</v>
      </c>
      <c r="E1367" s="14" t="n">
        <v>2124.18</v>
      </c>
      <c r="F1367" s="14" t="n">
        <v>18587.48</v>
      </c>
      <c r="G1367" s="6" t="s">
        <v>2613</v>
      </c>
    </row>
    <row r="1368" customFormat="false" ht="15" hidden="false" customHeight="true" outlineLevel="0" collapsed="false">
      <c r="A1368" s="6" t="s">
        <v>3980</v>
      </c>
      <c r="B1368" s="6" t="s">
        <v>478</v>
      </c>
      <c r="C1368" s="6" t="s">
        <v>112</v>
      </c>
      <c r="D1368" s="13" t="n">
        <v>45399</v>
      </c>
      <c r="E1368" s="14" t="n">
        <v>1412.17</v>
      </c>
      <c r="F1368" s="14" t="n">
        <v>19999.65</v>
      </c>
      <c r="G1368" s="6" t="s">
        <v>2613</v>
      </c>
    </row>
    <row r="1369" customFormat="false" ht="15" hidden="false" customHeight="true" outlineLevel="0" collapsed="false">
      <c r="A1369" s="6" t="s">
        <v>3981</v>
      </c>
      <c r="B1369" s="6" t="s">
        <v>480</v>
      </c>
      <c r="C1369" s="6" t="s">
        <v>112</v>
      </c>
      <c r="D1369" s="13" t="n">
        <v>45233</v>
      </c>
      <c r="E1369" s="14" t="n">
        <v>4303.32</v>
      </c>
      <c r="F1369" s="14" t="n">
        <v>4303.32</v>
      </c>
      <c r="G1369" s="6" t="s">
        <v>2613</v>
      </c>
    </row>
    <row r="1370" customFormat="false" ht="15" hidden="false" customHeight="true" outlineLevel="0" collapsed="false">
      <c r="A1370" s="6" t="s">
        <v>3982</v>
      </c>
      <c r="B1370" s="6" t="s">
        <v>480</v>
      </c>
      <c r="C1370" s="6" t="s">
        <v>112</v>
      </c>
      <c r="D1370" s="13" t="n">
        <v>45240</v>
      </c>
      <c r="E1370" s="14" t="n">
        <v>3201.91</v>
      </c>
      <c r="F1370" s="14" t="n">
        <v>7505.23</v>
      </c>
      <c r="G1370" s="6" t="s">
        <v>2613</v>
      </c>
    </row>
    <row r="1371" customFormat="false" ht="15" hidden="false" customHeight="true" outlineLevel="0" collapsed="false">
      <c r="A1371" s="6" t="s">
        <v>3983</v>
      </c>
      <c r="B1371" s="6" t="s">
        <v>480</v>
      </c>
      <c r="C1371" s="6" t="s">
        <v>112</v>
      </c>
      <c r="D1371" s="13" t="n">
        <v>45247</v>
      </c>
      <c r="E1371" s="14" t="n">
        <v>4291.64</v>
      </c>
      <c r="F1371" s="14" t="n">
        <v>11796.87</v>
      </c>
      <c r="G1371" s="6" t="s">
        <v>2613</v>
      </c>
    </row>
    <row r="1372" customFormat="false" ht="15" hidden="false" customHeight="true" outlineLevel="0" collapsed="false">
      <c r="A1372" s="6" t="s">
        <v>3984</v>
      </c>
      <c r="B1372" s="6" t="s">
        <v>480</v>
      </c>
      <c r="C1372" s="6" t="s">
        <v>112</v>
      </c>
      <c r="D1372" s="13" t="n">
        <v>45254</v>
      </c>
      <c r="E1372" s="14" t="n">
        <v>4637.7</v>
      </c>
      <c r="F1372" s="14" t="n">
        <v>16434.57</v>
      </c>
      <c r="G1372" s="6" t="s">
        <v>2613</v>
      </c>
    </row>
    <row r="1373" customFormat="false" ht="15" hidden="false" customHeight="true" outlineLevel="0" collapsed="false">
      <c r="A1373" s="6" t="s">
        <v>3985</v>
      </c>
      <c r="B1373" s="6" t="s">
        <v>480</v>
      </c>
      <c r="C1373" s="6" t="s">
        <v>112</v>
      </c>
      <c r="D1373" s="13" t="n">
        <v>45261</v>
      </c>
      <c r="E1373" s="14" t="n">
        <v>4903.34</v>
      </c>
      <c r="F1373" s="14" t="n">
        <v>21337.91</v>
      </c>
      <c r="G1373" s="6" t="s">
        <v>2613</v>
      </c>
    </row>
    <row r="1374" customFormat="false" ht="15" hidden="false" customHeight="true" outlineLevel="0" collapsed="false">
      <c r="A1374" s="6" t="s">
        <v>3986</v>
      </c>
      <c r="B1374" s="6" t="s">
        <v>480</v>
      </c>
      <c r="C1374" s="6" t="s">
        <v>112</v>
      </c>
      <c r="D1374" s="13" t="n">
        <v>45268</v>
      </c>
      <c r="E1374" s="14" t="n">
        <v>4029.98</v>
      </c>
      <c r="F1374" s="14" t="n">
        <v>25367.89</v>
      </c>
      <c r="G1374" s="6" t="s">
        <v>2613</v>
      </c>
    </row>
    <row r="1375" customFormat="false" ht="15" hidden="false" customHeight="true" outlineLevel="0" collapsed="false">
      <c r="A1375" s="6" t="s">
        <v>3987</v>
      </c>
      <c r="B1375" s="6" t="s">
        <v>480</v>
      </c>
      <c r="C1375" s="6" t="s">
        <v>112</v>
      </c>
      <c r="D1375" s="13" t="n">
        <v>45275</v>
      </c>
      <c r="E1375" s="14" t="n">
        <v>3509.28</v>
      </c>
      <c r="F1375" s="14" t="n">
        <v>28877.17</v>
      </c>
      <c r="G1375" s="6" t="s">
        <v>2613</v>
      </c>
    </row>
    <row r="1376" customFormat="false" ht="15" hidden="false" customHeight="true" outlineLevel="0" collapsed="false">
      <c r="A1376" s="6" t="s">
        <v>3988</v>
      </c>
      <c r="B1376" s="6" t="s">
        <v>480</v>
      </c>
      <c r="C1376" s="6" t="s">
        <v>112</v>
      </c>
      <c r="D1376" s="13" t="n">
        <v>45282</v>
      </c>
      <c r="E1376" s="14" t="n">
        <v>4867.11</v>
      </c>
      <c r="F1376" s="14" t="n">
        <v>33744.28</v>
      </c>
      <c r="G1376" s="6" t="s">
        <v>2623</v>
      </c>
    </row>
    <row r="1377" customFormat="false" ht="15" hidden="false" customHeight="true" outlineLevel="0" collapsed="false">
      <c r="A1377" s="6" t="s">
        <v>3989</v>
      </c>
      <c r="B1377" s="6" t="s">
        <v>480</v>
      </c>
      <c r="C1377" s="6" t="s">
        <v>112</v>
      </c>
      <c r="D1377" s="13" t="n">
        <v>45289</v>
      </c>
      <c r="E1377" s="14" t="n">
        <v>3564.4</v>
      </c>
      <c r="F1377" s="14" t="n">
        <v>37308.68</v>
      </c>
      <c r="G1377" s="6" t="s">
        <v>2613</v>
      </c>
    </row>
    <row r="1378" customFormat="false" ht="15" hidden="false" customHeight="true" outlineLevel="0" collapsed="false">
      <c r="A1378" s="6" t="s">
        <v>3990</v>
      </c>
      <c r="B1378" s="6" t="s">
        <v>480</v>
      </c>
      <c r="C1378" s="6" t="s">
        <v>112</v>
      </c>
      <c r="D1378" s="13" t="n">
        <v>45296</v>
      </c>
      <c r="E1378" s="14" t="n">
        <v>2993.69</v>
      </c>
      <c r="F1378" s="14" t="n">
        <v>40302.37</v>
      </c>
      <c r="G1378" s="6" t="s">
        <v>2613</v>
      </c>
    </row>
    <row r="1379" customFormat="false" ht="15" hidden="false" customHeight="true" outlineLevel="0" collapsed="false">
      <c r="A1379" s="6" t="s">
        <v>3991</v>
      </c>
      <c r="B1379" s="6" t="s">
        <v>482</v>
      </c>
      <c r="C1379" s="6" t="s">
        <v>112</v>
      </c>
      <c r="D1379" s="13" t="n">
        <v>45302</v>
      </c>
      <c r="E1379" s="14" t="n">
        <v>2163.25</v>
      </c>
      <c r="F1379" s="14" t="n">
        <v>2163.25</v>
      </c>
      <c r="G1379" s="6" t="s">
        <v>2613</v>
      </c>
    </row>
    <row r="1380" customFormat="false" ht="15" hidden="false" customHeight="true" outlineLevel="0" collapsed="false">
      <c r="A1380" s="6" t="s">
        <v>3992</v>
      </c>
      <c r="B1380" s="6" t="s">
        <v>482</v>
      </c>
      <c r="C1380" s="6" t="s">
        <v>112</v>
      </c>
      <c r="D1380" s="13" t="n">
        <v>45309</v>
      </c>
      <c r="E1380" s="14" t="n">
        <v>3586.82</v>
      </c>
      <c r="F1380" s="14" t="n">
        <v>5750.07</v>
      </c>
      <c r="G1380" s="6" t="s">
        <v>2613</v>
      </c>
    </row>
    <row r="1381" customFormat="false" ht="15" hidden="false" customHeight="true" outlineLevel="0" collapsed="false">
      <c r="A1381" s="6" t="s">
        <v>3993</v>
      </c>
      <c r="B1381" s="6" t="s">
        <v>482</v>
      </c>
      <c r="C1381" s="6" t="s">
        <v>112</v>
      </c>
      <c r="D1381" s="13" t="n">
        <v>45316</v>
      </c>
      <c r="E1381" s="14" t="n">
        <v>3397.94</v>
      </c>
      <c r="F1381" s="14" t="n">
        <v>9148.01</v>
      </c>
      <c r="G1381" s="6" t="s">
        <v>2613</v>
      </c>
    </row>
    <row r="1382" customFormat="false" ht="15" hidden="false" customHeight="true" outlineLevel="0" collapsed="false">
      <c r="A1382" s="6" t="s">
        <v>3994</v>
      </c>
      <c r="B1382" s="6" t="s">
        <v>482</v>
      </c>
      <c r="C1382" s="6" t="s">
        <v>112</v>
      </c>
      <c r="D1382" s="13" t="n">
        <v>45323</v>
      </c>
      <c r="E1382" s="14" t="n">
        <v>3544.61</v>
      </c>
      <c r="F1382" s="14" t="n">
        <v>12692.62</v>
      </c>
      <c r="G1382" s="6" t="s">
        <v>2613</v>
      </c>
    </row>
    <row r="1383" customFormat="false" ht="15" hidden="false" customHeight="true" outlineLevel="0" collapsed="false">
      <c r="A1383" s="6" t="s">
        <v>3995</v>
      </c>
      <c r="B1383" s="6" t="s">
        <v>482</v>
      </c>
      <c r="C1383" s="6" t="s">
        <v>112</v>
      </c>
      <c r="D1383" s="13" t="n">
        <v>45330</v>
      </c>
      <c r="E1383" s="14" t="n">
        <v>3338.49</v>
      </c>
      <c r="F1383" s="14" t="n">
        <v>16031.11</v>
      </c>
      <c r="G1383" s="6" t="s">
        <v>2613</v>
      </c>
    </row>
    <row r="1384" customFormat="false" ht="15" hidden="false" customHeight="true" outlineLevel="0" collapsed="false">
      <c r="A1384" s="6" t="s">
        <v>3996</v>
      </c>
      <c r="B1384" s="6" t="s">
        <v>482</v>
      </c>
      <c r="C1384" s="6" t="s">
        <v>112</v>
      </c>
      <c r="D1384" s="13" t="n">
        <v>45337</v>
      </c>
      <c r="E1384" s="14" t="n">
        <v>3695.48</v>
      </c>
      <c r="F1384" s="14" t="n">
        <v>19726.59</v>
      </c>
      <c r="G1384" s="6" t="s">
        <v>2613</v>
      </c>
    </row>
    <row r="1385" customFormat="false" ht="15" hidden="false" customHeight="true" outlineLevel="0" collapsed="false">
      <c r="A1385" s="6" t="s">
        <v>3997</v>
      </c>
      <c r="B1385" s="6" t="s">
        <v>482</v>
      </c>
      <c r="C1385" s="6" t="s">
        <v>112</v>
      </c>
      <c r="D1385" s="13" t="n">
        <v>45344</v>
      </c>
      <c r="E1385" s="14" t="n">
        <v>4249.02</v>
      </c>
      <c r="F1385" s="14" t="n">
        <v>23975.61</v>
      </c>
      <c r="G1385" s="6" t="s">
        <v>2613</v>
      </c>
    </row>
    <row r="1386" customFormat="false" ht="15" hidden="false" customHeight="true" outlineLevel="0" collapsed="false">
      <c r="A1386" s="6" t="s">
        <v>3998</v>
      </c>
      <c r="B1386" s="6" t="s">
        <v>484</v>
      </c>
      <c r="C1386" s="6" t="s">
        <v>128</v>
      </c>
      <c r="D1386" s="13" t="n">
        <v>45838</v>
      </c>
      <c r="E1386" s="14" t="n">
        <v>2374.48</v>
      </c>
      <c r="F1386" s="14" t="n">
        <v>2374.48</v>
      </c>
      <c r="G1386" s="6" t="s">
        <v>2613</v>
      </c>
    </row>
    <row r="1387" customFormat="false" ht="15" hidden="false" customHeight="true" outlineLevel="0" collapsed="false">
      <c r="A1387" s="6" t="s">
        <v>3999</v>
      </c>
      <c r="B1387" s="6" t="s">
        <v>484</v>
      </c>
      <c r="C1387" s="6" t="s">
        <v>128</v>
      </c>
      <c r="D1387" s="13" t="n">
        <v>45845</v>
      </c>
      <c r="E1387" s="14" t="n">
        <v>3381.87</v>
      </c>
      <c r="F1387" s="14" t="n">
        <v>5756.35</v>
      </c>
      <c r="G1387" s="6" t="s">
        <v>2613</v>
      </c>
    </row>
    <row r="1388" customFormat="false" ht="15" hidden="false" customHeight="true" outlineLevel="0" collapsed="false">
      <c r="A1388" s="6" t="s">
        <v>4000</v>
      </c>
      <c r="B1388" s="6" t="s">
        <v>484</v>
      </c>
      <c r="C1388" s="6" t="s">
        <v>128</v>
      </c>
      <c r="D1388" s="13" t="n">
        <v>45852</v>
      </c>
      <c r="E1388" s="14" t="n">
        <v>2731.57</v>
      </c>
      <c r="F1388" s="14" t="n">
        <v>8487.92</v>
      </c>
      <c r="G1388" s="6" t="s">
        <v>2613</v>
      </c>
    </row>
    <row r="1389" customFormat="false" ht="15" hidden="false" customHeight="true" outlineLevel="0" collapsed="false">
      <c r="A1389" s="6" t="s">
        <v>4001</v>
      </c>
      <c r="B1389" s="6" t="s">
        <v>484</v>
      </c>
      <c r="C1389" s="6" t="s">
        <v>128</v>
      </c>
      <c r="D1389" s="13" t="n">
        <v>45859</v>
      </c>
      <c r="E1389" s="14" t="n">
        <v>2995.87</v>
      </c>
      <c r="F1389" s="14" t="n">
        <v>11483.79</v>
      </c>
      <c r="G1389" s="6" t="s">
        <v>2613</v>
      </c>
    </row>
    <row r="1390" customFormat="false" ht="15" hidden="false" customHeight="true" outlineLevel="0" collapsed="false">
      <c r="A1390" s="6" t="s">
        <v>4002</v>
      </c>
      <c r="B1390" s="6" t="s">
        <v>484</v>
      </c>
      <c r="C1390" s="6" t="s">
        <v>128</v>
      </c>
      <c r="D1390" s="13" t="n">
        <v>45866</v>
      </c>
      <c r="E1390" s="14" t="n">
        <v>3273.21</v>
      </c>
      <c r="F1390" s="14" t="n">
        <v>14757</v>
      </c>
      <c r="G1390" s="6" t="s">
        <v>2613</v>
      </c>
    </row>
    <row r="1391" customFormat="false" ht="15" hidden="false" customHeight="true" outlineLevel="0" collapsed="false">
      <c r="A1391" s="6" t="s">
        <v>4003</v>
      </c>
      <c r="B1391" s="6" t="s">
        <v>484</v>
      </c>
      <c r="C1391" s="6" t="s">
        <v>128</v>
      </c>
      <c r="D1391" s="13" t="n">
        <v>45873</v>
      </c>
      <c r="E1391" s="14" t="n">
        <v>3340.12</v>
      </c>
      <c r="F1391" s="14" t="n">
        <v>18097.12</v>
      </c>
      <c r="G1391" s="6" t="s">
        <v>2613</v>
      </c>
    </row>
    <row r="1392" customFormat="false" ht="15" hidden="false" customHeight="true" outlineLevel="0" collapsed="false">
      <c r="A1392" s="6" t="s">
        <v>4004</v>
      </c>
      <c r="B1392" s="6" t="s">
        <v>484</v>
      </c>
      <c r="C1392" s="6" t="s">
        <v>128</v>
      </c>
      <c r="D1392" s="13" t="n">
        <v>45880</v>
      </c>
      <c r="E1392" s="14" t="n">
        <v>3057.47</v>
      </c>
      <c r="F1392" s="14" t="n">
        <v>21154.59</v>
      </c>
      <c r="G1392" s="6" t="s">
        <v>2623</v>
      </c>
    </row>
    <row r="1393" customFormat="false" ht="15" hidden="false" customHeight="true" outlineLevel="0" collapsed="false">
      <c r="A1393" s="6" t="s">
        <v>4005</v>
      </c>
      <c r="B1393" s="6" t="s">
        <v>484</v>
      </c>
      <c r="C1393" s="6" t="s">
        <v>128</v>
      </c>
      <c r="D1393" s="13" t="n">
        <v>45887</v>
      </c>
      <c r="E1393" s="14" t="n">
        <v>3806.69</v>
      </c>
      <c r="F1393" s="14" t="n">
        <v>24961.28</v>
      </c>
      <c r="G1393" s="6" t="s">
        <v>2613</v>
      </c>
    </row>
    <row r="1394" customFormat="false" ht="15" hidden="false" customHeight="true" outlineLevel="0" collapsed="false">
      <c r="A1394" s="6" t="s">
        <v>4006</v>
      </c>
      <c r="B1394" s="6" t="s">
        <v>484</v>
      </c>
      <c r="C1394" s="6" t="s">
        <v>128</v>
      </c>
      <c r="D1394" s="13" t="n">
        <v>45894</v>
      </c>
      <c r="E1394" s="14" t="n">
        <v>3898.66</v>
      </c>
      <c r="F1394" s="14" t="n">
        <v>28859.94</v>
      </c>
      <c r="G1394" s="6" t="s">
        <v>2613</v>
      </c>
    </row>
    <row r="1395" customFormat="false" ht="15" hidden="false" customHeight="true" outlineLevel="0" collapsed="false">
      <c r="A1395" s="6" t="s">
        <v>4007</v>
      </c>
      <c r="B1395" s="6" t="s">
        <v>484</v>
      </c>
      <c r="C1395" s="6" t="s">
        <v>128</v>
      </c>
      <c r="D1395" s="13" t="n">
        <v>45901</v>
      </c>
      <c r="E1395" s="14" t="n">
        <v>2966.62</v>
      </c>
      <c r="F1395" s="14" t="n">
        <v>31826.56</v>
      </c>
      <c r="G1395" s="6" t="s">
        <v>2623</v>
      </c>
    </row>
    <row r="1396" customFormat="false" ht="15" hidden="false" customHeight="true" outlineLevel="0" collapsed="false">
      <c r="A1396" s="6" t="s">
        <v>4008</v>
      </c>
      <c r="B1396" s="6" t="s">
        <v>484</v>
      </c>
      <c r="C1396" s="6" t="s">
        <v>128</v>
      </c>
      <c r="D1396" s="13" t="n">
        <v>45908</v>
      </c>
      <c r="E1396" s="14" t="n">
        <v>1192.74</v>
      </c>
      <c r="F1396" s="14" t="n">
        <v>33019.3</v>
      </c>
      <c r="G1396" s="6" t="s">
        <v>2613</v>
      </c>
    </row>
    <row r="1397" customFormat="false" ht="15" hidden="false" customHeight="true" outlineLevel="0" collapsed="false">
      <c r="A1397" s="6" t="s">
        <v>4009</v>
      </c>
      <c r="B1397" s="6" t="s">
        <v>486</v>
      </c>
      <c r="C1397" s="6" t="s">
        <v>124</v>
      </c>
      <c r="D1397" s="13" t="n">
        <v>45575</v>
      </c>
      <c r="E1397" s="14" t="n">
        <v>2788.57</v>
      </c>
      <c r="F1397" s="14" t="n">
        <v>2788.57</v>
      </c>
      <c r="G1397" s="6" t="s">
        <v>2613</v>
      </c>
    </row>
    <row r="1398" customFormat="false" ht="15" hidden="false" customHeight="true" outlineLevel="0" collapsed="false">
      <c r="A1398" s="6" t="s">
        <v>4010</v>
      </c>
      <c r="B1398" s="6" t="s">
        <v>486</v>
      </c>
      <c r="C1398" s="6" t="s">
        <v>124</v>
      </c>
      <c r="D1398" s="13" t="n">
        <v>45582</v>
      </c>
      <c r="E1398" s="14" t="n">
        <v>2543.31</v>
      </c>
      <c r="F1398" s="14" t="n">
        <v>5331.88</v>
      </c>
      <c r="G1398" s="6" t="s">
        <v>2613</v>
      </c>
    </row>
    <row r="1399" customFormat="false" ht="15" hidden="false" customHeight="true" outlineLevel="0" collapsed="false">
      <c r="A1399" s="6" t="s">
        <v>4011</v>
      </c>
      <c r="B1399" s="6" t="s">
        <v>486</v>
      </c>
      <c r="C1399" s="6" t="s">
        <v>124</v>
      </c>
      <c r="D1399" s="13" t="n">
        <v>45589</v>
      </c>
      <c r="E1399" s="14" t="n">
        <v>3755.53</v>
      </c>
      <c r="F1399" s="14" t="n">
        <v>9087.41</v>
      </c>
      <c r="G1399" s="6" t="s">
        <v>2613</v>
      </c>
    </row>
    <row r="1400" customFormat="false" ht="15" hidden="false" customHeight="true" outlineLevel="0" collapsed="false">
      <c r="A1400" s="6" t="s">
        <v>4012</v>
      </c>
      <c r="B1400" s="6" t="s">
        <v>486</v>
      </c>
      <c r="C1400" s="6" t="s">
        <v>124</v>
      </c>
      <c r="D1400" s="13" t="n">
        <v>45596</v>
      </c>
      <c r="E1400" s="14" t="n">
        <v>3535.34</v>
      </c>
      <c r="F1400" s="14" t="n">
        <v>12622.75</v>
      </c>
      <c r="G1400" s="6" t="s">
        <v>2623</v>
      </c>
    </row>
    <row r="1401" customFormat="false" ht="15" hidden="false" customHeight="true" outlineLevel="0" collapsed="false">
      <c r="A1401" s="6" t="s">
        <v>4013</v>
      </c>
      <c r="B1401" s="6" t="s">
        <v>486</v>
      </c>
      <c r="C1401" s="6" t="s">
        <v>124</v>
      </c>
      <c r="D1401" s="13" t="n">
        <v>45603</v>
      </c>
      <c r="E1401" s="14" t="n">
        <v>3129.4</v>
      </c>
      <c r="F1401" s="14" t="n">
        <v>15752.15</v>
      </c>
      <c r="G1401" s="6" t="s">
        <v>2613</v>
      </c>
    </row>
    <row r="1402" customFormat="false" ht="15" hidden="false" customHeight="true" outlineLevel="0" collapsed="false">
      <c r="A1402" s="6" t="s">
        <v>4014</v>
      </c>
      <c r="B1402" s="6" t="s">
        <v>486</v>
      </c>
      <c r="C1402" s="6" t="s">
        <v>124</v>
      </c>
      <c r="D1402" s="13" t="n">
        <v>45610</v>
      </c>
      <c r="E1402" s="14" t="n">
        <v>3398.09</v>
      </c>
      <c r="F1402" s="14" t="n">
        <v>19150.24</v>
      </c>
      <c r="G1402" s="6" t="s">
        <v>2613</v>
      </c>
    </row>
    <row r="1403" customFormat="false" ht="15" hidden="false" customHeight="true" outlineLevel="0" collapsed="false">
      <c r="A1403" s="6" t="s">
        <v>4015</v>
      </c>
      <c r="B1403" s="6" t="s">
        <v>486</v>
      </c>
      <c r="C1403" s="6" t="s">
        <v>124</v>
      </c>
      <c r="D1403" s="13" t="n">
        <v>45617</v>
      </c>
      <c r="E1403" s="14" t="n">
        <v>1895.44</v>
      </c>
      <c r="F1403" s="14" t="n">
        <v>21045.68</v>
      </c>
      <c r="G1403" s="6" t="s">
        <v>2613</v>
      </c>
    </row>
    <row r="1404" customFormat="false" ht="15" hidden="false" customHeight="true" outlineLevel="0" collapsed="false">
      <c r="A1404" s="6" t="s">
        <v>4016</v>
      </c>
      <c r="B1404" s="6" t="s">
        <v>486</v>
      </c>
      <c r="C1404" s="6" t="s">
        <v>124</v>
      </c>
      <c r="D1404" s="13" t="n">
        <v>45624</v>
      </c>
      <c r="E1404" s="14" t="n">
        <v>2906.3</v>
      </c>
      <c r="F1404" s="14" t="n">
        <v>23951.98</v>
      </c>
      <c r="G1404" s="6" t="s">
        <v>2613</v>
      </c>
    </row>
    <row r="1405" customFormat="false" ht="15" hidden="false" customHeight="true" outlineLevel="0" collapsed="false">
      <c r="A1405" s="6" t="s">
        <v>4017</v>
      </c>
      <c r="B1405" s="6" t="s">
        <v>486</v>
      </c>
      <c r="C1405" s="6" t="s">
        <v>124</v>
      </c>
      <c r="D1405" s="13" t="n">
        <v>45631</v>
      </c>
      <c r="E1405" s="14" t="n">
        <v>2245.9</v>
      </c>
      <c r="F1405" s="14" t="n">
        <v>26197.88</v>
      </c>
      <c r="G1405" s="6" t="s">
        <v>2613</v>
      </c>
    </row>
    <row r="1406" customFormat="false" ht="15" hidden="false" customHeight="true" outlineLevel="0" collapsed="false">
      <c r="A1406" s="6" t="s">
        <v>4018</v>
      </c>
      <c r="B1406" s="6" t="s">
        <v>486</v>
      </c>
      <c r="C1406" s="6" t="s">
        <v>124</v>
      </c>
      <c r="D1406" s="13" t="n">
        <v>45638</v>
      </c>
      <c r="E1406" s="14" t="n">
        <v>2159.14</v>
      </c>
      <c r="F1406" s="14" t="n">
        <v>28357.02</v>
      </c>
      <c r="G1406" s="6" t="s">
        <v>2613</v>
      </c>
    </row>
    <row r="1407" customFormat="false" ht="15" hidden="false" customHeight="true" outlineLevel="0" collapsed="false">
      <c r="A1407" s="6" t="s">
        <v>4019</v>
      </c>
      <c r="B1407" s="6" t="s">
        <v>486</v>
      </c>
      <c r="C1407" s="6" t="s">
        <v>124</v>
      </c>
      <c r="D1407" s="13" t="n">
        <v>45645</v>
      </c>
      <c r="E1407" s="14" t="n">
        <v>3022.01</v>
      </c>
      <c r="F1407" s="14" t="n">
        <v>31379.03</v>
      </c>
      <c r="G1407" s="6" t="s">
        <v>2613</v>
      </c>
    </row>
    <row r="1408" customFormat="false" ht="15" hidden="false" customHeight="true" outlineLevel="0" collapsed="false">
      <c r="A1408" s="6" t="s">
        <v>4020</v>
      </c>
      <c r="B1408" s="6" t="s">
        <v>486</v>
      </c>
      <c r="C1408" s="6" t="s">
        <v>124</v>
      </c>
      <c r="D1408" s="13" t="n">
        <v>45652</v>
      </c>
      <c r="E1408" s="14" t="n">
        <v>2995.45</v>
      </c>
      <c r="F1408" s="14" t="n">
        <v>34374.48</v>
      </c>
      <c r="G1408" s="6" t="s">
        <v>2613</v>
      </c>
    </row>
    <row r="1409" customFormat="false" ht="15" hidden="false" customHeight="true" outlineLevel="0" collapsed="false">
      <c r="A1409" s="6" t="s">
        <v>4021</v>
      </c>
      <c r="B1409" s="6" t="s">
        <v>486</v>
      </c>
      <c r="C1409" s="6" t="s">
        <v>124</v>
      </c>
      <c r="D1409" s="13" t="n">
        <v>45659</v>
      </c>
      <c r="E1409" s="14" t="n">
        <v>3425.13</v>
      </c>
      <c r="F1409" s="14" t="n">
        <v>37799.61</v>
      </c>
      <c r="G1409" s="6" t="s">
        <v>2613</v>
      </c>
    </row>
    <row r="1410" customFormat="false" ht="15" hidden="false" customHeight="true" outlineLevel="0" collapsed="false">
      <c r="A1410" s="6" t="s">
        <v>4022</v>
      </c>
      <c r="B1410" s="6" t="s">
        <v>486</v>
      </c>
      <c r="C1410" s="6" t="s">
        <v>124</v>
      </c>
      <c r="D1410" s="13" t="n">
        <v>45666</v>
      </c>
      <c r="E1410" s="14" t="n">
        <v>3036.98</v>
      </c>
      <c r="F1410" s="14" t="n">
        <v>40836.59</v>
      </c>
      <c r="G1410" s="6" t="s">
        <v>2613</v>
      </c>
    </row>
    <row r="1411" customFormat="false" ht="15" hidden="false" customHeight="true" outlineLevel="0" collapsed="false">
      <c r="A1411" s="6" t="s">
        <v>4023</v>
      </c>
      <c r="B1411" s="6" t="s">
        <v>486</v>
      </c>
      <c r="C1411" s="6" t="s">
        <v>124</v>
      </c>
      <c r="D1411" s="13" t="n">
        <v>45673</v>
      </c>
      <c r="E1411" s="14" t="n">
        <v>2088.85</v>
      </c>
      <c r="F1411" s="14" t="n">
        <v>42925.44</v>
      </c>
      <c r="G1411" s="6" t="s">
        <v>2613</v>
      </c>
    </row>
    <row r="1412" customFormat="false" ht="15" hidden="false" customHeight="true" outlineLevel="0" collapsed="false">
      <c r="A1412" s="6" t="s">
        <v>4024</v>
      </c>
      <c r="B1412" s="6" t="s">
        <v>488</v>
      </c>
      <c r="C1412" s="6" t="s">
        <v>124</v>
      </c>
      <c r="D1412" s="13" t="n">
        <v>45695</v>
      </c>
      <c r="E1412" s="14" t="n">
        <v>2749.8</v>
      </c>
      <c r="F1412" s="14" t="n">
        <v>2749.8</v>
      </c>
      <c r="G1412" s="6" t="s">
        <v>2613</v>
      </c>
    </row>
    <row r="1413" customFormat="false" ht="15" hidden="false" customHeight="true" outlineLevel="0" collapsed="false">
      <c r="A1413" s="6" t="s">
        <v>4025</v>
      </c>
      <c r="B1413" s="6" t="s">
        <v>488</v>
      </c>
      <c r="C1413" s="6" t="s">
        <v>124</v>
      </c>
      <c r="D1413" s="13" t="n">
        <v>45702</v>
      </c>
      <c r="E1413" s="14" t="n">
        <v>2894.11</v>
      </c>
      <c r="F1413" s="14" t="n">
        <v>5643.91</v>
      </c>
      <c r="G1413" s="6" t="s">
        <v>2613</v>
      </c>
    </row>
    <row r="1414" customFormat="false" ht="15" hidden="false" customHeight="true" outlineLevel="0" collapsed="false">
      <c r="A1414" s="6" t="s">
        <v>4026</v>
      </c>
      <c r="B1414" s="6" t="s">
        <v>488</v>
      </c>
      <c r="C1414" s="6" t="s">
        <v>124</v>
      </c>
      <c r="D1414" s="13" t="n">
        <v>45709</v>
      </c>
      <c r="E1414" s="14" t="n">
        <v>3330.04</v>
      </c>
      <c r="F1414" s="14" t="n">
        <v>8973.95</v>
      </c>
      <c r="G1414" s="6" t="s">
        <v>2613</v>
      </c>
    </row>
    <row r="1415" customFormat="false" ht="15" hidden="false" customHeight="true" outlineLevel="0" collapsed="false">
      <c r="A1415" s="6" t="s">
        <v>4027</v>
      </c>
      <c r="B1415" s="6" t="s">
        <v>488</v>
      </c>
      <c r="C1415" s="6" t="s">
        <v>124</v>
      </c>
      <c r="D1415" s="13" t="n">
        <v>45716</v>
      </c>
      <c r="E1415" s="14" t="n">
        <v>2362.99</v>
      </c>
      <c r="F1415" s="14" t="n">
        <v>11336.94</v>
      </c>
      <c r="G1415" s="6" t="s">
        <v>2613</v>
      </c>
    </row>
    <row r="1416" customFormat="false" ht="15" hidden="false" customHeight="true" outlineLevel="0" collapsed="false">
      <c r="A1416" s="6" t="s">
        <v>4028</v>
      </c>
      <c r="B1416" s="6" t="s">
        <v>488</v>
      </c>
      <c r="C1416" s="6" t="s">
        <v>124</v>
      </c>
      <c r="D1416" s="13" t="n">
        <v>45723</v>
      </c>
      <c r="E1416" s="14" t="n">
        <v>4108.94</v>
      </c>
      <c r="F1416" s="14" t="n">
        <v>15445.88</v>
      </c>
      <c r="G1416" s="6" t="s">
        <v>2613</v>
      </c>
    </row>
    <row r="1417" customFormat="false" ht="15" hidden="false" customHeight="true" outlineLevel="0" collapsed="false">
      <c r="A1417" s="6" t="s">
        <v>4029</v>
      </c>
      <c r="B1417" s="6" t="s">
        <v>488</v>
      </c>
      <c r="C1417" s="6" t="s">
        <v>124</v>
      </c>
      <c r="D1417" s="13" t="n">
        <v>45730</v>
      </c>
      <c r="E1417" s="14" t="n">
        <v>4195.97</v>
      </c>
      <c r="F1417" s="14" t="n">
        <v>19641.85</v>
      </c>
      <c r="G1417" s="6" t="s">
        <v>2613</v>
      </c>
    </row>
    <row r="1418" customFormat="false" ht="15" hidden="false" customHeight="true" outlineLevel="0" collapsed="false">
      <c r="A1418" s="6" t="s">
        <v>4030</v>
      </c>
      <c r="B1418" s="6" t="s">
        <v>488</v>
      </c>
      <c r="C1418" s="6" t="s">
        <v>124</v>
      </c>
      <c r="D1418" s="13" t="n">
        <v>45737</v>
      </c>
      <c r="E1418" s="14" t="n">
        <v>2812</v>
      </c>
      <c r="F1418" s="14" t="n">
        <v>22453.85</v>
      </c>
      <c r="G1418" s="6" t="s">
        <v>2613</v>
      </c>
    </row>
    <row r="1419" customFormat="false" ht="15" hidden="false" customHeight="true" outlineLevel="0" collapsed="false">
      <c r="A1419" s="6" t="s">
        <v>4031</v>
      </c>
      <c r="B1419" s="6" t="s">
        <v>488</v>
      </c>
      <c r="C1419" s="6" t="s">
        <v>124</v>
      </c>
      <c r="D1419" s="13" t="n">
        <v>45744</v>
      </c>
      <c r="E1419" s="14" t="n">
        <v>4248.2</v>
      </c>
      <c r="F1419" s="14" t="n">
        <v>26702.05</v>
      </c>
      <c r="G1419" s="6" t="s">
        <v>2613</v>
      </c>
    </row>
    <row r="1420" customFormat="false" ht="15" hidden="false" customHeight="true" outlineLevel="0" collapsed="false">
      <c r="A1420" s="6" t="s">
        <v>4032</v>
      </c>
      <c r="B1420" s="6" t="s">
        <v>488</v>
      </c>
      <c r="C1420" s="6" t="s">
        <v>124</v>
      </c>
      <c r="D1420" s="13" t="n">
        <v>45751</v>
      </c>
      <c r="E1420" s="14" t="n">
        <v>876.4</v>
      </c>
      <c r="F1420" s="14" t="n">
        <v>27578.45</v>
      </c>
      <c r="G1420" s="6" t="s">
        <v>2613</v>
      </c>
    </row>
    <row r="1421" customFormat="false" ht="15" hidden="false" customHeight="true" outlineLevel="0" collapsed="false">
      <c r="A1421" s="6" t="s">
        <v>4033</v>
      </c>
      <c r="B1421" s="6" t="s">
        <v>491</v>
      </c>
      <c r="C1421" s="6" t="s">
        <v>120</v>
      </c>
      <c r="D1421" s="13" t="n">
        <v>44762</v>
      </c>
      <c r="E1421" s="14" t="n">
        <v>4225.79</v>
      </c>
      <c r="F1421" s="14" t="n">
        <v>4225.79</v>
      </c>
      <c r="G1421" s="6" t="s">
        <v>2613</v>
      </c>
    </row>
    <row r="1422" customFormat="false" ht="15" hidden="false" customHeight="true" outlineLevel="0" collapsed="false">
      <c r="A1422" s="6" t="s">
        <v>4034</v>
      </c>
      <c r="B1422" s="6" t="s">
        <v>491</v>
      </c>
      <c r="C1422" s="6" t="s">
        <v>120</v>
      </c>
      <c r="D1422" s="13" t="n">
        <v>44769</v>
      </c>
      <c r="E1422" s="14" t="n">
        <v>6336.51</v>
      </c>
      <c r="F1422" s="14" t="n">
        <v>10562.3</v>
      </c>
      <c r="G1422" s="6" t="s">
        <v>2613</v>
      </c>
    </row>
    <row r="1423" customFormat="false" ht="15" hidden="false" customHeight="true" outlineLevel="0" collapsed="false">
      <c r="A1423" s="6" t="s">
        <v>4035</v>
      </c>
      <c r="B1423" s="6" t="s">
        <v>491</v>
      </c>
      <c r="C1423" s="6" t="s">
        <v>120</v>
      </c>
      <c r="D1423" s="13" t="n">
        <v>44776</v>
      </c>
      <c r="E1423" s="14" t="n">
        <v>7425.38</v>
      </c>
      <c r="F1423" s="14" t="n">
        <v>17987.68</v>
      </c>
      <c r="G1423" s="6" t="s">
        <v>2623</v>
      </c>
    </row>
    <row r="1424" customFormat="false" ht="15" hidden="false" customHeight="true" outlineLevel="0" collapsed="false">
      <c r="A1424" s="6" t="s">
        <v>4036</v>
      </c>
      <c r="B1424" s="6" t="s">
        <v>491</v>
      </c>
      <c r="C1424" s="6" t="s">
        <v>120</v>
      </c>
      <c r="D1424" s="13" t="n">
        <v>44783</v>
      </c>
      <c r="E1424" s="14" t="n">
        <v>5469.11</v>
      </c>
      <c r="F1424" s="14" t="n">
        <v>23456.79</v>
      </c>
      <c r="G1424" s="6" t="s">
        <v>2613</v>
      </c>
    </row>
    <row r="1425" customFormat="false" ht="15" hidden="false" customHeight="true" outlineLevel="0" collapsed="false">
      <c r="A1425" s="6" t="s">
        <v>4037</v>
      </c>
      <c r="B1425" s="6" t="s">
        <v>491</v>
      </c>
      <c r="C1425" s="6" t="s">
        <v>120</v>
      </c>
      <c r="D1425" s="13" t="n">
        <v>44790</v>
      </c>
      <c r="E1425" s="14" t="n">
        <v>7060.03</v>
      </c>
      <c r="F1425" s="14" t="n">
        <v>30516.82</v>
      </c>
      <c r="G1425" s="6" t="s">
        <v>2613</v>
      </c>
    </row>
    <row r="1426" customFormat="false" ht="15" hidden="false" customHeight="true" outlineLevel="0" collapsed="false">
      <c r="A1426" s="6" t="s">
        <v>4038</v>
      </c>
      <c r="B1426" s="6" t="s">
        <v>491</v>
      </c>
      <c r="C1426" s="6" t="s">
        <v>120</v>
      </c>
      <c r="D1426" s="13" t="n">
        <v>44797</v>
      </c>
      <c r="E1426" s="14" t="n">
        <v>7338.95</v>
      </c>
      <c r="F1426" s="14" t="n">
        <v>37855.77</v>
      </c>
      <c r="G1426" s="6" t="s">
        <v>2613</v>
      </c>
    </row>
    <row r="1427" customFormat="false" ht="15" hidden="false" customHeight="true" outlineLevel="0" collapsed="false">
      <c r="A1427" s="6" t="s">
        <v>4039</v>
      </c>
      <c r="B1427" s="6" t="s">
        <v>491</v>
      </c>
      <c r="C1427" s="6" t="s">
        <v>120</v>
      </c>
      <c r="D1427" s="13" t="n">
        <v>44804</v>
      </c>
      <c r="E1427" s="14" t="n">
        <v>7494.97</v>
      </c>
      <c r="F1427" s="14" t="n">
        <v>45350.74</v>
      </c>
      <c r="G1427" s="6" t="s">
        <v>2613</v>
      </c>
    </row>
    <row r="1428" customFormat="false" ht="15" hidden="false" customHeight="true" outlineLevel="0" collapsed="false">
      <c r="A1428" s="6" t="s">
        <v>4040</v>
      </c>
      <c r="B1428" s="6" t="s">
        <v>491</v>
      </c>
      <c r="C1428" s="6" t="s">
        <v>120</v>
      </c>
      <c r="D1428" s="13" t="n">
        <v>44811</v>
      </c>
      <c r="E1428" s="14" t="n">
        <v>6308.34</v>
      </c>
      <c r="F1428" s="14" t="n">
        <v>51659.08</v>
      </c>
      <c r="G1428" s="6" t="s">
        <v>2613</v>
      </c>
    </row>
    <row r="1429" customFormat="false" ht="15" hidden="false" customHeight="true" outlineLevel="0" collapsed="false">
      <c r="A1429" s="6" t="s">
        <v>4041</v>
      </c>
      <c r="B1429" s="6" t="s">
        <v>491</v>
      </c>
      <c r="C1429" s="6" t="s">
        <v>120</v>
      </c>
      <c r="D1429" s="13" t="n">
        <v>44818</v>
      </c>
      <c r="E1429" s="14" t="n">
        <v>6398.7</v>
      </c>
      <c r="F1429" s="14" t="n">
        <v>58057.78</v>
      </c>
      <c r="G1429" s="6" t="s">
        <v>2613</v>
      </c>
    </row>
    <row r="1430" customFormat="false" ht="15" hidden="false" customHeight="true" outlineLevel="0" collapsed="false">
      <c r="A1430" s="6" t="s">
        <v>4042</v>
      </c>
      <c r="B1430" s="6" t="s">
        <v>491</v>
      </c>
      <c r="C1430" s="6" t="s">
        <v>120</v>
      </c>
      <c r="D1430" s="13" t="n">
        <v>44825</v>
      </c>
      <c r="E1430" s="14" t="n">
        <v>7043.5</v>
      </c>
      <c r="F1430" s="14" t="n">
        <v>65101.28</v>
      </c>
      <c r="G1430" s="6" t="s">
        <v>2613</v>
      </c>
    </row>
    <row r="1431" customFormat="false" ht="15" hidden="false" customHeight="true" outlineLevel="0" collapsed="false">
      <c r="A1431" s="6" t="s">
        <v>4043</v>
      </c>
      <c r="B1431" s="6" t="s">
        <v>491</v>
      </c>
      <c r="C1431" s="6" t="s">
        <v>120</v>
      </c>
      <c r="D1431" s="13" t="n">
        <v>44832</v>
      </c>
      <c r="E1431" s="14" t="n">
        <v>3940.72</v>
      </c>
      <c r="F1431" s="14" t="n">
        <v>69042</v>
      </c>
      <c r="G1431" s="6" t="s">
        <v>2623</v>
      </c>
    </row>
    <row r="1432" customFormat="false" ht="15" hidden="false" customHeight="true" outlineLevel="0" collapsed="false">
      <c r="A1432" s="6" t="s">
        <v>4044</v>
      </c>
      <c r="B1432" s="6" t="s">
        <v>491</v>
      </c>
      <c r="C1432" s="6" t="s">
        <v>120</v>
      </c>
      <c r="D1432" s="13" t="n">
        <v>44839</v>
      </c>
      <c r="E1432" s="14" t="n">
        <v>7234.29</v>
      </c>
      <c r="F1432" s="14" t="n">
        <v>76276.29</v>
      </c>
      <c r="G1432" s="6" t="s">
        <v>2613</v>
      </c>
    </row>
    <row r="1433" customFormat="false" ht="15" hidden="false" customHeight="true" outlineLevel="0" collapsed="false">
      <c r="A1433" s="6" t="s">
        <v>4045</v>
      </c>
      <c r="B1433" s="6" t="s">
        <v>491</v>
      </c>
      <c r="C1433" s="6" t="s">
        <v>120</v>
      </c>
      <c r="D1433" s="13" t="n">
        <v>44846</v>
      </c>
      <c r="E1433" s="14" t="n">
        <v>7454.24</v>
      </c>
      <c r="F1433" s="14" t="n">
        <v>83730.53</v>
      </c>
      <c r="G1433" s="6" t="s">
        <v>2613</v>
      </c>
    </row>
    <row r="1434" customFormat="false" ht="15" hidden="false" customHeight="true" outlineLevel="0" collapsed="false">
      <c r="A1434" s="6" t="s">
        <v>4046</v>
      </c>
      <c r="B1434" s="6" t="s">
        <v>491</v>
      </c>
      <c r="C1434" s="6" t="s">
        <v>120</v>
      </c>
      <c r="D1434" s="13" t="n">
        <v>44853</v>
      </c>
      <c r="E1434" s="14" t="n">
        <v>7695.35</v>
      </c>
      <c r="F1434" s="14" t="n">
        <v>91425.88</v>
      </c>
      <c r="G1434" s="6" t="s">
        <v>2613</v>
      </c>
    </row>
    <row r="1435" customFormat="false" ht="15" hidden="false" customHeight="true" outlineLevel="0" collapsed="false">
      <c r="A1435" s="6" t="s">
        <v>4047</v>
      </c>
      <c r="B1435" s="6" t="s">
        <v>491</v>
      </c>
      <c r="C1435" s="6" t="s">
        <v>120</v>
      </c>
      <c r="D1435" s="13" t="n">
        <v>44860</v>
      </c>
      <c r="E1435" s="14" t="n">
        <v>3705.79</v>
      </c>
      <c r="F1435" s="14" t="n">
        <v>95131.67</v>
      </c>
      <c r="G1435" s="6" t="s">
        <v>2613</v>
      </c>
    </row>
    <row r="1436" customFormat="false" ht="15" hidden="false" customHeight="true" outlineLevel="0" collapsed="false">
      <c r="A1436" s="6" t="s">
        <v>4048</v>
      </c>
      <c r="B1436" s="6" t="s">
        <v>493</v>
      </c>
      <c r="C1436" s="6" t="s">
        <v>128</v>
      </c>
      <c r="D1436" s="13" t="n">
        <v>45373</v>
      </c>
      <c r="E1436" s="14" t="n">
        <v>776.54</v>
      </c>
      <c r="F1436" s="14" t="n">
        <v>776.54</v>
      </c>
      <c r="G1436" s="6" t="s">
        <v>2623</v>
      </c>
    </row>
    <row r="1437" customFormat="false" ht="15" hidden="false" customHeight="true" outlineLevel="0" collapsed="false">
      <c r="A1437" s="6" t="s">
        <v>4049</v>
      </c>
      <c r="B1437" s="6" t="s">
        <v>493</v>
      </c>
      <c r="C1437" s="6" t="s">
        <v>128</v>
      </c>
      <c r="D1437" s="13" t="n">
        <v>45380</v>
      </c>
      <c r="E1437" s="14" t="n">
        <v>692.56</v>
      </c>
      <c r="F1437" s="14" t="n">
        <v>1469.1</v>
      </c>
      <c r="G1437" s="6" t="s">
        <v>2613</v>
      </c>
    </row>
    <row r="1438" customFormat="false" ht="15" hidden="false" customHeight="true" outlineLevel="0" collapsed="false">
      <c r="A1438" s="6" t="s">
        <v>4050</v>
      </c>
      <c r="B1438" s="6" t="s">
        <v>493</v>
      </c>
      <c r="C1438" s="6" t="s">
        <v>128</v>
      </c>
      <c r="D1438" s="13" t="n">
        <v>45387</v>
      </c>
      <c r="E1438" s="14" t="n">
        <v>526.19</v>
      </c>
      <c r="F1438" s="14" t="n">
        <v>1995.29</v>
      </c>
      <c r="G1438" s="6" t="s">
        <v>2613</v>
      </c>
    </row>
    <row r="1439" customFormat="false" ht="15" hidden="false" customHeight="true" outlineLevel="0" collapsed="false">
      <c r="A1439" s="6" t="s">
        <v>4051</v>
      </c>
      <c r="B1439" s="6" t="s">
        <v>493</v>
      </c>
      <c r="C1439" s="6" t="s">
        <v>128</v>
      </c>
      <c r="D1439" s="13" t="n">
        <v>45394</v>
      </c>
      <c r="E1439" s="14" t="n">
        <v>718.29</v>
      </c>
      <c r="F1439" s="14" t="n">
        <v>2713.58</v>
      </c>
      <c r="G1439" s="6" t="s">
        <v>2613</v>
      </c>
    </row>
    <row r="1440" customFormat="false" ht="15" hidden="false" customHeight="true" outlineLevel="0" collapsed="false">
      <c r="A1440" s="6" t="s">
        <v>4052</v>
      </c>
      <c r="B1440" s="6" t="s">
        <v>493</v>
      </c>
      <c r="C1440" s="6" t="s">
        <v>128</v>
      </c>
      <c r="D1440" s="13" t="n">
        <v>45401</v>
      </c>
      <c r="E1440" s="14" t="n">
        <v>760.66</v>
      </c>
      <c r="F1440" s="14" t="n">
        <v>3474.24</v>
      </c>
      <c r="G1440" s="6" t="s">
        <v>2613</v>
      </c>
    </row>
    <row r="1441" customFormat="false" ht="15" hidden="false" customHeight="true" outlineLevel="0" collapsed="false">
      <c r="A1441" s="6" t="s">
        <v>4053</v>
      </c>
      <c r="B1441" s="6" t="s">
        <v>493</v>
      </c>
      <c r="C1441" s="6" t="s">
        <v>128</v>
      </c>
      <c r="D1441" s="13" t="n">
        <v>45408</v>
      </c>
      <c r="E1441" s="14" t="n">
        <v>672.98</v>
      </c>
      <c r="F1441" s="14" t="n">
        <v>4147.22</v>
      </c>
      <c r="G1441" s="6" t="s">
        <v>2613</v>
      </c>
    </row>
    <row r="1442" customFormat="false" ht="15" hidden="false" customHeight="true" outlineLevel="0" collapsed="false">
      <c r="A1442" s="6" t="s">
        <v>4054</v>
      </c>
      <c r="B1442" s="6" t="s">
        <v>493</v>
      </c>
      <c r="C1442" s="6" t="s">
        <v>128</v>
      </c>
      <c r="D1442" s="13" t="n">
        <v>45415</v>
      </c>
      <c r="E1442" s="14" t="n">
        <v>979.88</v>
      </c>
      <c r="F1442" s="14" t="n">
        <v>5127.1</v>
      </c>
      <c r="G1442" s="6" t="s">
        <v>2613</v>
      </c>
    </row>
    <row r="1443" customFormat="false" ht="15" hidden="false" customHeight="true" outlineLevel="0" collapsed="false">
      <c r="A1443" s="6" t="s">
        <v>4055</v>
      </c>
      <c r="B1443" s="6" t="s">
        <v>495</v>
      </c>
      <c r="C1443" s="6" t="s">
        <v>116</v>
      </c>
      <c r="D1443" s="13" t="n">
        <v>45748</v>
      </c>
      <c r="E1443" s="14" t="n">
        <v>1053.09</v>
      </c>
      <c r="F1443" s="14" t="n">
        <v>1053.09</v>
      </c>
      <c r="G1443" s="6" t="s">
        <v>2613</v>
      </c>
    </row>
    <row r="1444" customFormat="false" ht="15" hidden="false" customHeight="true" outlineLevel="0" collapsed="false">
      <c r="A1444" s="6" t="s">
        <v>4056</v>
      </c>
      <c r="B1444" s="6" t="s">
        <v>495</v>
      </c>
      <c r="C1444" s="6" t="s">
        <v>116</v>
      </c>
      <c r="D1444" s="13" t="n">
        <v>45755</v>
      </c>
      <c r="E1444" s="14" t="n">
        <v>960.84</v>
      </c>
      <c r="F1444" s="14" t="n">
        <v>2013.93</v>
      </c>
      <c r="G1444" s="6" t="s">
        <v>2613</v>
      </c>
    </row>
    <row r="1445" customFormat="false" ht="15" hidden="false" customHeight="true" outlineLevel="0" collapsed="false">
      <c r="A1445" s="6" t="s">
        <v>4057</v>
      </c>
      <c r="B1445" s="6" t="s">
        <v>495</v>
      </c>
      <c r="C1445" s="6" t="s">
        <v>116</v>
      </c>
      <c r="D1445" s="13" t="n">
        <v>45762</v>
      </c>
      <c r="E1445" s="14" t="n">
        <v>694.74</v>
      </c>
      <c r="F1445" s="14" t="n">
        <v>2708.67</v>
      </c>
      <c r="G1445" s="6" t="s">
        <v>2613</v>
      </c>
    </row>
    <row r="1446" customFormat="false" ht="15" hidden="false" customHeight="true" outlineLevel="0" collapsed="false">
      <c r="A1446" s="6" t="s">
        <v>4058</v>
      </c>
      <c r="B1446" s="6" t="s">
        <v>495</v>
      </c>
      <c r="C1446" s="6" t="s">
        <v>116</v>
      </c>
      <c r="D1446" s="13" t="n">
        <v>45769</v>
      </c>
      <c r="E1446" s="14" t="n">
        <v>1559.3</v>
      </c>
      <c r="F1446" s="14" t="n">
        <v>4267.97</v>
      </c>
      <c r="G1446" s="6" t="s">
        <v>2613</v>
      </c>
    </row>
    <row r="1447" customFormat="false" ht="15" hidden="false" customHeight="true" outlineLevel="0" collapsed="false">
      <c r="A1447" s="6" t="s">
        <v>4059</v>
      </c>
      <c r="B1447" s="6" t="s">
        <v>495</v>
      </c>
      <c r="C1447" s="6" t="s">
        <v>116</v>
      </c>
      <c r="D1447" s="13" t="n">
        <v>45776</v>
      </c>
      <c r="E1447" s="14" t="n">
        <v>1561.55</v>
      </c>
      <c r="F1447" s="14" t="n">
        <v>5829.52</v>
      </c>
      <c r="G1447" s="6" t="s">
        <v>2613</v>
      </c>
    </row>
    <row r="1448" customFormat="false" ht="15" hidden="false" customHeight="true" outlineLevel="0" collapsed="false">
      <c r="A1448" s="6" t="s">
        <v>4060</v>
      </c>
      <c r="B1448" s="6" t="s">
        <v>495</v>
      </c>
      <c r="C1448" s="6" t="s">
        <v>116</v>
      </c>
      <c r="D1448" s="13" t="n">
        <v>45783</v>
      </c>
      <c r="E1448" s="14" t="n">
        <v>803.87</v>
      </c>
      <c r="F1448" s="14" t="n">
        <v>6633.39</v>
      </c>
      <c r="G1448" s="6" t="s">
        <v>2623</v>
      </c>
    </row>
    <row r="1449" customFormat="false" ht="15" hidden="false" customHeight="true" outlineLevel="0" collapsed="false">
      <c r="A1449" s="6" t="s">
        <v>4061</v>
      </c>
      <c r="B1449" s="6" t="s">
        <v>495</v>
      </c>
      <c r="C1449" s="6" t="s">
        <v>116</v>
      </c>
      <c r="D1449" s="13" t="n">
        <v>45790</v>
      </c>
      <c r="E1449" s="14" t="n">
        <v>1407.21</v>
      </c>
      <c r="F1449" s="14" t="n">
        <v>8040.6</v>
      </c>
      <c r="G1449" s="6" t="s">
        <v>2613</v>
      </c>
    </row>
    <row r="1450" customFormat="false" ht="15" hidden="false" customHeight="true" outlineLevel="0" collapsed="false">
      <c r="A1450" s="6" t="s">
        <v>4062</v>
      </c>
      <c r="B1450" s="6" t="s">
        <v>495</v>
      </c>
      <c r="C1450" s="6" t="s">
        <v>116</v>
      </c>
      <c r="D1450" s="13" t="n">
        <v>45797</v>
      </c>
      <c r="E1450" s="14" t="n">
        <v>932.99</v>
      </c>
      <c r="F1450" s="14" t="n">
        <v>8973.59</v>
      </c>
      <c r="G1450" s="6" t="s">
        <v>2613</v>
      </c>
    </row>
    <row r="1451" customFormat="false" ht="15" hidden="false" customHeight="true" outlineLevel="0" collapsed="false">
      <c r="A1451" s="6" t="s">
        <v>4063</v>
      </c>
      <c r="B1451" s="6" t="s">
        <v>497</v>
      </c>
      <c r="C1451" s="6" t="s">
        <v>131</v>
      </c>
      <c r="D1451" s="13" t="n">
        <v>44796</v>
      </c>
      <c r="E1451" s="14" t="n">
        <v>6893.2</v>
      </c>
      <c r="F1451" s="14" t="n">
        <v>6893.2</v>
      </c>
      <c r="G1451" s="6" t="s">
        <v>2613</v>
      </c>
    </row>
    <row r="1452" customFormat="false" ht="15" hidden="false" customHeight="true" outlineLevel="0" collapsed="false">
      <c r="A1452" s="6" t="s">
        <v>4064</v>
      </c>
      <c r="B1452" s="6" t="s">
        <v>497</v>
      </c>
      <c r="C1452" s="6" t="s">
        <v>131</v>
      </c>
      <c r="D1452" s="13" t="n">
        <v>44803</v>
      </c>
      <c r="E1452" s="14" t="n">
        <v>6128.61</v>
      </c>
      <c r="F1452" s="14" t="n">
        <v>13021.81</v>
      </c>
      <c r="G1452" s="6" t="s">
        <v>2613</v>
      </c>
    </row>
    <row r="1453" customFormat="false" ht="15" hidden="false" customHeight="true" outlineLevel="0" collapsed="false">
      <c r="A1453" s="6" t="s">
        <v>4065</v>
      </c>
      <c r="B1453" s="6" t="s">
        <v>497</v>
      </c>
      <c r="C1453" s="6" t="s">
        <v>131</v>
      </c>
      <c r="D1453" s="13" t="n">
        <v>44810</v>
      </c>
      <c r="E1453" s="14" t="n">
        <v>9559.54</v>
      </c>
      <c r="F1453" s="14" t="n">
        <v>22581.35</v>
      </c>
      <c r="G1453" s="6" t="s">
        <v>2613</v>
      </c>
    </row>
    <row r="1454" customFormat="false" ht="15" hidden="false" customHeight="true" outlineLevel="0" collapsed="false">
      <c r="A1454" s="6" t="s">
        <v>4066</v>
      </c>
      <c r="B1454" s="6" t="s">
        <v>497</v>
      </c>
      <c r="C1454" s="6" t="s">
        <v>131</v>
      </c>
      <c r="D1454" s="13" t="n">
        <v>44817</v>
      </c>
      <c r="E1454" s="14" t="n">
        <v>8748.36</v>
      </c>
      <c r="F1454" s="14" t="n">
        <v>31329.71</v>
      </c>
      <c r="G1454" s="6" t="s">
        <v>2613</v>
      </c>
    </row>
    <row r="1455" customFormat="false" ht="15" hidden="false" customHeight="true" outlineLevel="0" collapsed="false">
      <c r="A1455" s="6" t="s">
        <v>4067</v>
      </c>
      <c r="B1455" s="6" t="s">
        <v>497</v>
      </c>
      <c r="C1455" s="6" t="s">
        <v>131</v>
      </c>
      <c r="D1455" s="13" t="n">
        <v>44824</v>
      </c>
      <c r="E1455" s="14" t="n">
        <v>9207.3</v>
      </c>
      <c r="F1455" s="14" t="n">
        <v>40537.01</v>
      </c>
      <c r="G1455" s="6" t="s">
        <v>2613</v>
      </c>
    </row>
    <row r="1456" customFormat="false" ht="15" hidden="false" customHeight="true" outlineLevel="0" collapsed="false">
      <c r="A1456" s="6" t="s">
        <v>4068</v>
      </c>
      <c r="B1456" s="6" t="s">
        <v>497</v>
      </c>
      <c r="C1456" s="6" t="s">
        <v>131</v>
      </c>
      <c r="D1456" s="13" t="n">
        <v>44831</v>
      </c>
      <c r="E1456" s="14" t="n">
        <v>7178.2</v>
      </c>
      <c r="F1456" s="14" t="n">
        <v>47715.21</v>
      </c>
      <c r="G1456" s="6" t="s">
        <v>2613</v>
      </c>
    </row>
    <row r="1457" customFormat="false" ht="15" hidden="false" customHeight="true" outlineLevel="0" collapsed="false">
      <c r="A1457" s="6" t="s">
        <v>4069</v>
      </c>
      <c r="B1457" s="6" t="s">
        <v>497</v>
      </c>
      <c r="C1457" s="6" t="s">
        <v>131</v>
      </c>
      <c r="D1457" s="13" t="n">
        <v>44838</v>
      </c>
      <c r="E1457" s="14" t="n">
        <v>8135.15</v>
      </c>
      <c r="F1457" s="14" t="n">
        <v>55850.36</v>
      </c>
      <c r="G1457" s="6" t="s">
        <v>2613</v>
      </c>
    </row>
    <row r="1458" customFormat="false" ht="15" hidden="false" customHeight="true" outlineLevel="0" collapsed="false">
      <c r="A1458" s="6" t="s">
        <v>4070</v>
      </c>
      <c r="B1458" s="6" t="s">
        <v>497</v>
      </c>
      <c r="C1458" s="6" t="s">
        <v>131</v>
      </c>
      <c r="D1458" s="13" t="n">
        <v>44845</v>
      </c>
      <c r="E1458" s="14" t="n">
        <v>5161.63</v>
      </c>
      <c r="F1458" s="14" t="n">
        <v>61011.99</v>
      </c>
      <c r="G1458" s="6" t="s">
        <v>2613</v>
      </c>
    </row>
    <row r="1459" customFormat="false" ht="15" hidden="false" customHeight="true" outlineLevel="0" collapsed="false">
      <c r="A1459" s="6" t="s">
        <v>4071</v>
      </c>
      <c r="B1459" s="6" t="s">
        <v>497</v>
      </c>
      <c r="C1459" s="6" t="s">
        <v>131</v>
      </c>
      <c r="D1459" s="13" t="n">
        <v>44852</v>
      </c>
      <c r="E1459" s="14" t="n">
        <v>9216.57</v>
      </c>
      <c r="F1459" s="14" t="n">
        <v>70228.56</v>
      </c>
      <c r="G1459" s="6" t="s">
        <v>2613</v>
      </c>
    </row>
    <row r="1460" customFormat="false" ht="15" hidden="false" customHeight="true" outlineLevel="0" collapsed="false">
      <c r="A1460" s="6" t="s">
        <v>4072</v>
      </c>
      <c r="B1460" s="6" t="s">
        <v>497</v>
      </c>
      <c r="C1460" s="6" t="s">
        <v>131</v>
      </c>
      <c r="D1460" s="13" t="n">
        <v>44859</v>
      </c>
      <c r="E1460" s="14" t="n">
        <v>7741.15</v>
      </c>
      <c r="F1460" s="14" t="n">
        <v>77969.71</v>
      </c>
      <c r="G1460" s="6" t="s">
        <v>2613</v>
      </c>
    </row>
    <row r="1461" customFormat="false" ht="15" hidden="false" customHeight="true" outlineLevel="0" collapsed="false">
      <c r="A1461" s="6" t="s">
        <v>4073</v>
      </c>
      <c r="B1461" s="6" t="s">
        <v>497</v>
      </c>
      <c r="C1461" s="6" t="s">
        <v>131</v>
      </c>
      <c r="D1461" s="13" t="n">
        <v>44866</v>
      </c>
      <c r="E1461" s="14" t="n">
        <v>9638.68</v>
      </c>
      <c r="F1461" s="14" t="n">
        <v>87608.39</v>
      </c>
      <c r="G1461" s="6" t="s">
        <v>2623</v>
      </c>
    </row>
    <row r="1462" customFormat="false" ht="15" hidden="false" customHeight="true" outlineLevel="0" collapsed="false">
      <c r="A1462" s="6" t="s">
        <v>4074</v>
      </c>
      <c r="B1462" s="6" t="s">
        <v>499</v>
      </c>
      <c r="C1462" s="6" t="s">
        <v>131</v>
      </c>
      <c r="D1462" s="13" t="n">
        <v>45215</v>
      </c>
      <c r="E1462" s="14" t="n">
        <v>2971.88</v>
      </c>
      <c r="F1462" s="14" t="n">
        <v>2971.88</v>
      </c>
      <c r="G1462" s="6" t="s">
        <v>2613</v>
      </c>
    </row>
    <row r="1463" customFormat="false" ht="15" hidden="false" customHeight="true" outlineLevel="0" collapsed="false">
      <c r="A1463" s="6" t="s">
        <v>4075</v>
      </c>
      <c r="B1463" s="6" t="s">
        <v>499</v>
      </c>
      <c r="C1463" s="6" t="s">
        <v>131</v>
      </c>
      <c r="D1463" s="13" t="n">
        <v>45222</v>
      </c>
      <c r="E1463" s="14" t="n">
        <v>6088.27</v>
      </c>
      <c r="F1463" s="14" t="n">
        <v>9060.15</v>
      </c>
      <c r="G1463" s="6" t="s">
        <v>2613</v>
      </c>
    </row>
    <row r="1464" customFormat="false" ht="15" hidden="false" customHeight="true" outlineLevel="0" collapsed="false">
      <c r="A1464" s="6" t="s">
        <v>4076</v>
      </c>
      <c r="B1464" s="6" t="s">
        <v>499</v>
      </c>
      <c r="C1464" s="6" t="s">
        <v>131</v>
      </c>
      <c r="D1464" s="13" t="n">
        <v>45229</v>
      </c>
      <c r="E1464" s="14" t="n">
        <v>5186.36</v>
      </c>
      <c r="F1464" s="14" t="n">
        <v>14246.51</v>
      </c>
      <c r="G1464" s="6" t="s">
        <v>2623</v>
      </c>
    </row>
    <row r="1465" customFormat="false" ht="15" hidden="false" customHeight="true" outlineLevel="0" collapsed="false">
      <c r="A1465" s="6" t="s">
        <v>4077</v>
      </c>
      <c r="B1465" s="6" t="s">
        <v>499</v>
      </c>
      <c r="C1465" s="6" t="s">
        <v>131</v>
      </c>
      <c r="D1465" s="13" t="n">
        <v>45236</v>
      </c>
      <c r="E1465" s="14" t="n">
        <v>5930.38</v>
      </c>
      <c r="F1465" s="14" t="n">
        <v>20176.89</v>
      </c>
      <c r="G1465" s="6" t="s">
        <v>2613</v>
      </c>
    </row>
    <row r="1466" customFormat="false" ht="15" hidden="false" customHeight="true" outlineLevel="0" collapsed="false">
      <c r="A1466" s="6" t="s">
        <v>4078</v>
      </c>
      <c r="B1466" s="6" t="s">
        <v>499</v>
      </c>
      <c r="C1466" s="6" t="s">
        <v>131</v>
      </c>
      <c r="D1466" s="13" t="n">
        <v>45243</v>
      </c>
      <c r="E1466" s="14" t="n">
        <v>4397.18</v>
      </c>
      <c r="F1466" s="14" t="n">
        <v>24574.07</v>
      </c>
      <c r="G1466" s="6" t="s">
        <v>2613</v>
      </c>
    </row>
    <row r="1467" customFormat="false" ht="15" hidden="false" customHeight="true" outlineLevel="0" collapsed="false">
      <c r="A1467" s="6" t="s">
        <v>4079</v>
      </c>
      <c r="B1467" s="6" t="s">
        <v>499</v>
      </c>
      <c r="C1467" s="6" t="s">
        <v>131</v>
      </c>
      <c r="D1467" s="13" t="n">
        <v>45250</v>
      </c>
      <c r="E1467" s="14" t="n">
        <v>2724.88</v>
      </c>
      <c r="F1467" s="14" t="n">
        <v>27298.95</v>
      </c>
      <c r="G1467" s="6" t="s">
        <v>2613</v>
      </c>
    </row>
    <row r="1468" customFormat="false" ht="15" hidden="false" customHeight="true" outlineLevel="0" collapsed="false">
      <c r="A1468" s="6" t="s">
        <v>4080</v>
      </c>
      <c r="B1468" s="6" t="s">
        <v>499</v>
      </c>
      <c r="C1468" s="6" t="s">
        <v>131</v>
      </c>
      <c r="D1468" s="13" t="n">
        <v>45257</v>
      </c>
      <c r="E1468" s="14" t="n">
        <v>3920.01</v>
      </c>
      <c r="F1468" s="14" t="n">
        <v>31218.96</v>
      </c>
      <c r="G1468" s="6" t="s">
        <v>2613</v>
      </c>
    </row>
    <row r="1469" customFormat="false" ht="15" hidden="false" customHeight="true" outlineLevel="0" collapsed="false">
      <c r="A1469" s="6" t="s">
        <v>4081</v>
      </c>
      <c r="B1469" s="6" t="s">
        <v>499</v>
      </c>
      <c r="C1469" s="6" t="s">
        <v>131</v>
      </c>
      <c r="D1469" s="13" t="n">
        <v>45264</v>
      </c>
      <c r="E1469" s="14" t="n">
        <v>6191.83</v>
      </c>
      <c r="F1469" s="14" t="n">
        <v>37410.79</v>
      </c>
      <c r="G1469" s="6" t="s">
        <v>2613</v>
      </c>
    </row>
    <row r="1470" customFormat="false" ht="15" hidden="false" customHeight="true" outlineLevel="0" collapsed="false">
      <c r="A1470" s="6" t="s">
        <v>4082</v>
      </c>
      <c r="B1470" s="6" t="s">
        <v>499</v>
      </c>
      <c r="C1470" s="6" t="s">
        <v>131</v>
      </c>
      <c r="D1470" s="13" t="n">
        <v>45271</v>
      </c>
      <c r="E1470" s="14" t="n">
        <v>3638.08</v>
      </c>
      <c r="F1470" s="14" t="n">
        <v>41048.87</v>
      </c>
      <c r="G1470" s="6" t="s">
        <v>2623</v>
      </c>
    </row>
    <row r="1471" customFormat="false" ht="15" hidden="false" customHeight="true" outlineLevel="0" collapsed="false">
      <c r="A1471" s="6" t="s">
        <v>4083</v>
      </c>
      <c r="B1471" s="6" t="s">
        <v>499</v>
      </c>
      <c r="C1471" s="6" t="s">
        <v>131</v>
      </c>
      <c r="D1471" s="13" t="n">
        <v>45278</v>
      </c>
      <c r="E1471" s="14" t="n">
        <v>3279.95</v>
      </c>
      <c r="F1471" s="14" t="n">
        <v>44328.82</v>
      </c>
      <c r="G1471" s="6" t="s">
        <v>2613</v>
      </c>
    </row>
    <row r="1472" customFormat="false" ht="15" hidden="false" customHeight="true" outlineLevel="0" collapsed="false">
      <c r="A1472" s="6" t="s">
        <v>4084</v>
      </c>
      <c r="B1472" s="6" t="s">
        <v>501</v>
      </c>
      <c r="C1472" s="6" t="s">
        <v>124</v>
      </c>
      <c r="D1472" s="13" t="n">
        <v>45823</v>
      </c>
      <c r="E1472" s="14" t="n">
        <v>6840.78</v>
      </c>
      <c r="F1472" s="14" t="n">
        <v>6840.78</v>
      </c>
      <c r="G1472" s="6" t="s">
        <v>2613</v>
      </c>
    </row>
    <row r="1473" customFormat="false" ht="15" hidden="false" customHeight="true" outlineLevel="0" collapsed="false">
      <c r="A1473" s="6" t="s">
        <v>4085</v>
      </c>
      <c r="B1473" s="6" t="s">
        <v>501</v>
      </c>
      <c r="C1473" s="6" t="s">
        <v>124</v>
      </c>
      <c r="D1473" s="13" t="n">
        <v>45830</v>
      </c>
      <c r="E1473" s="14" t="n">
        <v>6894.29</v>
      </c>
      <c r="F1473" s="14" t="n">
        <v>13735.07</v>
      </c>
      <c r="G1473" s="6" t="s">
        <v>2613</v>
      </c>
    </row>
    <row r="1474" customFormat="false" ht="15" hidden="false" customHeight="true" outlineLevel="0" collapsed="false">
      <c r="A1474" s="6" t="s">
        <v>4086</v>
      </c>
      <c r="B1474" s="6" t="s">
        <v>501</v>
      </c>
      <c r="C1474" s="6" t="s">
        <v>124</v>
      </c>
      <c r="D1474" s="13" t="n">
        <v>45837</v>
      </c>
      <c r="E1474" s="14" t="n">
        <v>7942.7</v>
      </c>
      <c r="F1474" s="14" t="n">
        <v>21677.77</v>
      </c>
      <c r="G1474" s="6" t="s">
        <v>2613</v>
      </c>
    </row>
    <row r="1475" customFormat="false" ht="15" hidden="false" customHeight="true" outlineLevel="0" collapsed="false">
      <c r="A1475" s="6" t="s">
        <v>4087</v>
      </c>
      <c r="B1475" s="6" t="s">
        <v>501</v>
      </c>
      <c r="C1475" s="6" t="s">
        <v>124</v>
      </c>
      <c r="D1475" s="13" t="n">
        <v>45844</v>
      </c>
      <c r="E1475" s="14" t="n">
        <v>5167.34</v>
      </c>
      <c r="F1475" s="14" t="n">
        <v>26845.11</v>
      </c>
      <c r="G1475" s="6" t="s">
        <v>2613</v>
      </c>
    </row>
    <row r="1476" customFormat="false" ht="15" hidden="false" customHeight="true" outlineLevel="0" collapsed="false">
      <c r="A1476" s="6" t="s">
        <v>4088</v>
      </c>
      <c r="B1476" s="6" t="s">
        <v>501</v>
      </c>
      <c r="C1476" s="6" t="s">
        <v>124</v>
      </c>
      <c r="D1476" s="13" t="n">
        <v>45851</v>
      </c>
      <c r="E1476" s="14" t="n">
        <v>7800.07</v>
      </c>
      <c r="F1476" s="14" t="n">
        <v>34645.18</v>
      </c>
      <c r="G1476" s="6" t="s">
        <v>2613</v>
      </c>
    </row>
    <row r="1477" customFormat="false" ht="15" hidden="false" customHeight="true" outlineLevel="0" collapsed="false">
      <c r="A1477" s="6" t="s">
        <v>4089</v>
      </c>
      <c r="B1477" s="6" t="s">
        <v>501</v>
      </c>
      <c r="C1477" s="6" t="s">
        <v>124</v>
      </c>
      <c r="D1477" s="13" t="n">
        <v>45858</v>
      </c>
      <c r="E1477" s="14" t="n">
        <v>5580.7</v>
      </c>
      <c r="F1477" s="14" t="n">
        <v>40225.88</v>
      </c>
      <c r="G1477" s="6" t="s">
        <v>2613</v>
      </c>
    </row>
    <row r="1478" customFormat="false" ht="15" hidden="false" customHeight="true" outlineLevel="0" collapsed="false">
      <c r="A1478" s="6" t="s">
        <v>4090</v>
      </c>
      <c r="B1478" s="6" t="s">
        <v>501</v>
      </c>
      <c r="C1478" s="6" t="s">
        <v>124</v>
      </c>
      <c r="D1478" s="13" t="n">
        <v>45865</v>
      </c>
      <c r="E1478" s="14" t="n">
        <v>8430.05</v>
      </c>
      <c r="F1478" s="14" t="n">
        <v>48655.93</v>
      </c>
      <c r="G1478" s="6" t="s">
        <v>2613</v>
      </c>
    </row>
    <row r="1479" customFormat="false" ht="15" hidden="false" customHeight="true" outlineLevel="0" collapsed="false">
      <c r="A1479" s="6" t="s">
        <v>4091</v>
      </c>
      <c r="B1479" s="6" t="s">
        <v>501</v>
      </c>
      <c r="C1479" s="6" t="s">
        <v>124</v>
      </c>
      <c r="D1479" s="13" t="n">
        <v>45872</v>
      </c>
      <c r="E1479" s="14" t="n">
        <v>9945.8</v>
      </c>
      <c r="F1479" s="14" t="n">
        <v>58601.73</v>
      </c>
      <c r="G1479" s="6" t="s">
        <v>2613</v>
      </c>
    </row>
    <row r="1480" customFormat="false" ht="15" hidden="false" customHeight="true" outlineLevel="0" collapsed="false">
      <c r="A1480" s="6" t="s">
        <v>4092</v>
      </c>
      <c r="B1480" s="6" t="s">
        <v>503</v>
      </c>
      <c r="C1480" s="6" t="s">
        <v>124</v>
      </c>
      <c r="D1480" s="13" t="n">
        <v>45221</v>
      </c>
      <c r="E1480" s="14" t="n">
        <v>2423.87</v>
      </c>
      <c r="F1480" s="14" t="n">
        <v>2423.87</v>
      </c>
      <c r="G1480" s="6" t="s">
        <v>2613</v>
      </c>
    </row>
    <row r="1481" customFormat="false" ht="15" hidden="false" customHeight="true" outlineLevel="0" collapsed="false">
      <c r="A1481" s="6" t="s">
        <v>4093</v>
      </c>
      <c r="B1481" s="6" t="s">
        <v>503</v>
      </c>
      <c r="C1481" s="6" t="s">
        <v>124</v>
      </c>
      <c r="D1481" s="13" t="n">
        <v>45228</v>
      </c>
      <c r="E1481" s="14" t="n">
        <v>3514.51</v>
      </c>
      <c r="F1481" s="14" t="n">
        <v>5938.38</v>
      </c>
      <c r="G1481" s="6" t="s">
        <v>2613</v>
      </c>
    </row>
    <row r="1482" customFormat="false" ht="15" hidden="false" customHeight="true" outlineLevel="0" collapsed="false">
      <c r="A1482" s="6" t="s">
        <v>4094</v>
      </c>
      <c r="B1482" s="6" t="s">
        <v>503</v>
      </c>
      <c r="C1482" s="6" t="s">
        <v>124</v>
      </c>
      <c r="D1482" s="13" t="n">
        <v>45235</v>
      </c>
      <c r="E1482" s="14" t="n">
        <v>3513.43</v>
      </c>
      <c r="F1482" s="14" t="n">
        <v>9451.81</v>
      </c>
      <c r="G1482" s="6" t="s">
        <v>2613</v>
      </c>
    </row>
    <row r="1483" customFormat="false" ht="15" hidden="false" customHeight="true" outlineLevel="0" collapsed="false">
      <c r="A1483" s="6" t="s">
        <v>4095</v>
      </c>
      <c r="B1483" s="6" t="s">
        <v>503</v>
      </c>
      <c r="C1483" s="6" t="s">
        <v>124</v>
      </c>
      <c r="D1483" s="13" t="n">
        <v>45242</v>
      </c>
      <c r="E1483" s="14" t="n">
        <v>3191.69</v>
      </c>
      <c r="F1483" s="14" t="n">
        <v>12643.5</v>
      </c>
      <c r="G1483" s="6" t="s">
        <v>2613</v>
      </c>
    </row>
    <row r="1484" customFormat="false" ht="15" hidden="false" customHeight="true" outlineLevel="0" collapsed="false">
      <c r="A1484" s="6" t="s">
        <v>4096</v>
      </c>
      <c r="B1484" s="6" t="s">
        <v>503</v>
      </c>
      <c r="C1484" s="6" t="s">
        <v>124</v>
      </c>
      <c r="D1484" s="13" t="n">
        <v>45249</v>
      </c>
      <c r="E1484" s="14" t="n">
        <v>1951.09</v>
      </c>
      <c r="F1484" s="14" t="n">
        <v>14594.59</v>
      </c>
      <c r="G1484" s="6" t="s">
        <v>2613</v>
      </c>
    </row>
    <row r="1485" customFormat="false" ht="15" hidden="false" customHeight="true" outlineLevel="0" collapsed="false">
      <c r="A1485" s="6" t="s">
        <v>4097</v>
      </c>
      <c r="B1485" s="6" t="s">
        <v>503</v>
      </c>
      <c r="C1485" s="6" t="s">
        <v>124</v>
      </c>
      <c r="D1485" s="13" t="n">
        <v>45256</v>
      </c>
      <c r="E1485" s="14" t="n">
        <v>2842.85</v>
      </c>
      <c r="F1485" s="14" t="n">
        <v>17437.44</v>
      </c>
      <c r="G1485" s="6" t="s">
        <v>2613</v>
      </c>
    </row>
    <row r="1486" customFormat="false" ht="15" hidden="false" customHeight="true" outlineLevel="0" collapsed="false">
      <c r="A1486" s="6" t="s">
        <v>4098</v>
      </c>
      <c r="B1486" s="6" t="s">
        <v>503</v>
      </c>
      <c r="C1486" s="6" t="s">
        <v>124</v>
      </c>
      <c r="D1486" s="13" t="n">
        <v>45263</v>
      </c>
      <c r="E1486" s="14" t="n">
        <v>2749.05</v>
      </c>
      <c r="F1486" s="14" t="n">
        <v>20186.49</v>
      </c>
      <c r="G1486" s="6" t="s">
        <v>2613</v>
      </c>
    </row>
    <row r="1487" customFormat="false" ht="15" hidden="false" customHeight="true" outlineLevel="0" collapsed="false">
      <c r="A1487" s="6" t="s">
        <v>4099</v>
      </c>
      <c r="B1487" s="6" t="s">
        <v>503</v>
      </c>
      <c r="C1487" s="6" t="s">
        <v>124</v>
      </c>
      <c r="D1487" s="13" t="n">
        <v>45270</v>
      </c>
      <c r="E1487" s="14" t="n">
        <v>2050.1</v>
      </c>
      <c r="F1487" s="14" t="n">
        <v>22236.59</v>
      </c>
      <c r="G1487" s="6" t="s">
        <v>2613</v>
      </c>
    </row>
    <row r="1488" customFormat="false" ht="15" hidden="false" customHeight="true" outlineLevel="0" collapsed="false">
      <c r="A1488" s="6" t="s">
        <v>4100</v>
      </c>
      <c r="B1488" s="6" t="s">
        <v>503</v>
      </c>
      <c r="C1488" s="6" t="s">
        <v>124</v>
      </c>
      <c r="D1488" s="13" t="n">
        <v>45277</v>
      </c>
      <c r="E1488" s="14" t="n">
        <v>2315.35</v>
      </c>
      <c r="F1488" s="14" t="n">
        <v>24551.94</v>
      </c>
      <c r="G1488" s="6" t="s">
        <v>2613</v>
      </c>
    </row>
    <row r="1489" customFormat="false" ht="15" hidden="false" customHeight="true" outlineLevel="0" collapsed="false">
      <c r="A1489" s="6" t="s">
        <v>4101</v>
      </c>
      <c r="B1489" s="6" t="s">
        <v>503</v>
      </c>
      <c r="C1489" s="6" t="s">
        <v>124</v>
      </c>
      <c r="D1489" s="13" t="n">
        <v>45284</v>
      </c>
      <c r="E1489" s="14" t="n">
        <v>2560.27</v>
      </c>
      <c r="F1489" s="14" t="n">
        <v>27112.21</v>
      </c>
      <c r="G1489" s="6" t="s">
        <v>2613</v>
      </c>
    </row>
    <row r="1490" customFormat="false" ht="15" hidden="false" customHeight="true" outlineLevel="0" collapsed="false">
      <c r="A1490" s="6" t="s">
        <v>4102</v>
      </c>
      <c r="B1490" s="6" t="s">
        <v>503</v>
      </c>
      <c r="C1490" s="6" t="s">
        <v>124</v>
      </c>
      <c r="D1490" s="13" t="n">
        <v>45291</v>
      </c>
      <c r="E1490" s="14" t="n">
        <v>2827.67</v>
      </c>
      <c r="F1490" s="14" t="n">
        <v>29939.88</v>
      </c>
      <c r="G1490" s="6" t="s">
        <v>2613</v>
      </c>
    </row>
    <row r="1491" customFormat="false" ht="15" hidden="false" customHeight="true" outlineLevel="0" collapsed="false">
      <c r="A1491" s="6" t="s">
        <v>4103</v>
      </c>
      <c r="B1491" s="6" t="s">
        <v>503</v>
      </c>
      <c r="C1491" s="6" t="s">
        <v>124</v>
      </c>
      <c r="D1491" s="13" t="n">
        <v>45298</v>
      </c>
      <c r="E1491" s="14" t="n">
        <v>2346.03</v>
      </c>
      <c r="F1491" s="14" t="n">
        <v>32285.91</v>
      </c>
      <c r="G1491" s="6" t="s">
        <v>2613</v>
      </c>
    </row>
    <row r="1492" customFormat="false" ht="15" hidden="false" customHeight="true" outlineLevel="0" collapsed="false">
      <c r="A1492" s="6" t="s">
        <v>4104</v>
      </c>
      <c r="B1492" s="6" t="s">
        <v>503</v>
      </c>
      <c r="C1492" s="6" t="s">
        <v>124</v>
      </c>
      <c r="D1492" s="13" t="n">
        <v>45305</v>
      </c>
      <c r="E1492" s="14" t="n">
        <v>2591.25</v>
      </c>
      <c r="F1492" s="14" t="n">
        <v>34877.16</v>
      </c>
      <c r="G1492" s="6" t="s">
        <v>2613</v>
      </c>
    </row>
    <row r="1493" customFormat="false" ht="15" hidden="false" customHeight="true" outlineLevel="0" collapsed="false">
      <c r="A1493" s="6" t="s">
        <v>4105</v>
      </c>
      <c r="B1493" s="6" t="s">
        <v>503</v>
      </c>
      <c r="C1493" s="6" t="s">
        <v>124</v>
      </c>
      <c r="D1493" s="13" t="n">
        <v>45312</v>
      </c>
      <c r="E1493" s="14" t="n">
        <v>1968.85</v>
      </c>
      <c r="F1493" s="14" t="n">
        <v>36846.01</v>
      </c>
      <c r="G1493" s="6" t="s">
        <v>2623</v>
      </c>
    </row>
    <row r="1494" customFormat="false" ht="15" hidden="false" customHeight="true" outlineLevel="0" collapsed="false">
      <c r="A1494" s="6" t="s">
        <v>4106</v>
      </c>
      <c r="B1494" s="6" t="s">
        <v>503</v>
      </c>
      <c r="C1494" s="6" t="s">
        <v>124</v>
      </c>
      <c r="D1494" s="13" t="n">
        <v>45319</v>
      </c>
      <c r="E1494" s="14" t="n">
        <v>2290.64</v>
      </c>
      <c r="F1494" s="14" t="n">
        <v>39136.65</v>
      </c>
      <c r="G1494" s="6" t="s">
        <v>2613</v>
      </c>
    </row>
    <row r="1495" customFormat="false" ht="15" hidden="false" customHeight="true" outlineLevel="0" collapsed="false">
      <c r="A1495" s="6" t="s">
        <v>4107</v>
      </c>
      <c r="B1495" s="6" t="s">
        <v>505</v>
      </c>
      <c r="C1495" s="6" t="s">
        <v>112</v>
      </c>
      <c r="D1495" s="13" t="n">
        <v>45572</v>
      </c>
      <c r="E1495" s="14" t="n">
        <v>2209.48</v>
      </c>
      <c r="F1495" s="14" t="n">
        <v>2209.48</v>
      </c>
      <c r="G1495" s="6" t="s">
        <v>2613</v>
      </c>
    </row>
    <row r="1496" customFormat="false" ht="15" hidden="false" customHeight="true" outlineLevel="0" collapsed="false">
      <c r="A1496" s="6" t="s">
        <v>4108</v>
      </c>
      <c r="B1496" s="6" t="s">
        <v>505</v>
      </c>
      <c r="C1496" s="6" t="s">
        <v>112</v>
      </c>
      <c r="D1496" s="13" t="n">
        <v>45579</v>
      </c>
      <c r="E1496" s="14" t="n">
        <v>2059.21</v>
      </c>
      <c r="F1496" s="14" t="n">
        <v>4268.69</v>
      </c>
      <c r="G1496" s="6" t="s">
        <v>2613</v>
      </c>
    </row>
    <row r="1497" customFormat="false" ht="15" hidden="false" customHeight="true" outlineLevel="0" collapsed="false">
      <c r="A1497" s="6" t="s">
        <v>4109</v>
      </c>
      <c r="B1497" s="6" t="s">
        <v>505</v>
      </c>
      <c r="C1497" s="6" t="s">
        <v>112</v>
      </c>
      <c r="D1497" s="13" t="n">
        <v>45586</v>
      </c>
      <c r="E1497" s="14" t="n">
        <v>2124.13</v>
      </c>
      <c r="F1497" s="14" t="n">
        <v>6392.82</v>
      </c>
      <c r="G1497" s="6" t="s">
        <v>2613</v>
      </c>
    </row>
    <row r="1498" customFormat="false" ht="15" hidden="false" customHeight="true" outlineLevel="0" collapsed="false">
      <c r="A1498" s="6" t="s">
        <v>4110</v>
      </c>
      <c r="B1498" s="6" t="s">
        <v>505</v>
      </c>
      <c r="C1498" s="6" t="s">
        <v>112</v>
      </c>
      <c r="D1498" s="13" t="n">
        <v>45593</v>
      </c>
      <c r="E1498" s="14" t="n">
        <v>1543.72</v>
      </c>
      <c r="F1498" s="14" t="n">
        <v>7936.54</v>
      </c>
      <c r="G1498" s="6" t="s">
        <v>2613</v>
      </c>
    </row>
    <row r="1499" customFormat="false" ht="15" hidden="false" customHeight="true" outlineLevel="0" collapsed="false">
      <c r="A1499" s="6" t="s">
        <v>4111</v>
      </c>
      <c r="B1499" s="6" t="s">
        <v>505</v>
      </c>
      <c r="C1499" s="6" t="s">
        <v>112</v>
      </c>
      <c r="D1499" s="13" t="n">
        <v>45600</v>
      </c>
      <c r="E1499" s="14" t="n">
        <v>1783.59</v>
      </c>
      <c r="F1499" s="14" t="n">
        <v>9720.13</v>
      </c>
      <c r="G1499" s="6" t="s">
        <v>2613</v>
      </c>
    </row>
    <row r="1500" customFormat="false" ht="15" hidden="false" customHeight="true" outlineLevel="0" collapsed="false">
      <c r="A1500" s="6" t="s">
        <v>4112</v>
      </c>
      <c r="B1500" s="6" t="s">
        <v>505</v>
      </c>
      <c r="C1500" s="6" t="s">
        <v>112</v>
      </c>
      <c r="D1500" s="13" t="n">
        <v>45607</v>
      </c>
      <c r="E1500" s="14" t="n">
        <v>1877.31</v>
      </c>
      <c r="F1500" s="14" t="n">
        <v>11597.44</v>
      </c>
      <c r="G1500" s="6" t="s">
        <v>2613</v>
      </c>
    </row>
    <row r="1501" customFormat="false" ht="15" hidden="false" customHeight="true" outlineLevel="0" collapsed="false">
      <c r="A1501" s="6" t="s">
        <v>4113</v>
      </c>
      <c r="B1501" s="6" t="s">
        <v>505</v>
      </c>
      <c r="C1501" s="6" t="s">
        <v>112</v>
      </c>
      <c r="D1501" s="13" t="n">
        <v>45614</v>
      </c>
      <c r="E1501" s="14" t="n">
        <v>208.29</v>
      </c>
      <c r="F1501" s="14" t="n">
        <v>11805.73</v>
      </c>
      <c r="G1501" s="6" t="s">
        <v>2623</v>
      </c>
    </row>
    <row r="1502" customFormat="false" ht="15" hidden="false" customHeight="true" outlineLevel="0" collapsed="false">
      <c r="A1502" s="6" t="s">
        <v>4114</v>
      </c>
      <c r="B1502" s="6" t="s">
        <v>507</v>
      </c>
      <c r="C1502" s="6" t="s">
        <v>112</v>
      </c>
      <c r="D1502" s="13" t="n">
        <v>44669</v>
      </c>
      <c r="E1502" s="14" t="n">
        <v>8751.89</v>
      </c>
      <c r="F1502" s="14" t="n">
        <v>8751.89</v>
      </c>
      <c r="G1502" s="6" t="s">
        <v>2613</v>
      </c>
    </row>
    <row r="1503" customFormat="false" ht="15" hidden="false" customHeight="true" outlineLevel="0" collapsed="false">
      <c r="A1503" s="6" t="s">
        <v>4115</v>
      </c>
      <c r="B1503" s="6" t="s">
        <v>507</v>
      </c>
      <c r="C1503" s="6" t="s">
        <v>112</v>
      </c>
      <c r="D1503" s="13" t="n">
        <v>44676</v>
      </c>
      <c r="E1503" s="14" t="n">
        <v>5547.13</v>
      </c>
      <c r="F1503" s="14" t="n">
        <v>14299.02</v>
      </c>
      <c r="G1503" s="6" t="s">
        <v>2613</v>
      </c>
    </row>
    <row r="1504" customFormat="false" ht="15" hidden="false" customHeight="true" outlineLevel="0" collapsed="false">
      <c r="A1504" s="6" t="s">
        <v>4116</v>
      </c>
      <c r="B1504" s="6" t="s">
        <v>507</v>
      </c>
      <c r="C1504" s="6" t="s">
        <v>112</v>
      </c>
      <c r="D1504" s="13" t="n">
        <v>44683</v>
      </c>
      <c r="E1504" s="14" t="n">
        <v>5592.67</v>
      </c>
      <c r="F1504" s="14" t="n">
        <v>19891.69</v>
      </c>
      <c r="G1504" s="6" t="s">
        <v>2613</v>
      </c>
    </row>
    <row r="1505" customFormat="false" ht="15" hidden="false" customHeight="true" outlineLevel="0" collapsed="false">
      <c r="A1505" s="6" t="s">
        <v>4117</v>
      </c>
      <c r="B1505" s="6" t="s">
        <v>507</v>
      </c>
      <c r="C1505" s="6" t="s">
        <v>112</v>
      </c>
      <c r="D1505" s="13" t="n">
        <v>44690</v>
      </c>
      <c r="E1505" s="14" t="n">
        <v>7710.68</v>
      </c>
      <c r="F1505" s="14" t="n">
        <v>27602.37</v>
      </c>
      <c r="G1505" s="6" t="s">
        <v>2613</v>
      </c>
    </row>
    <row r="1506" customFormat="false" ht="15" hidden="false" customHeight="true" outlineLevel="0" collapsed="false">
      <c r="A1506" s="6" t="s">
        <v>4118</v>
      </c>
      <c r="B1506" s="6" t="s">
        <v>507</v>
      </c>
      <c r="C1506" s="6" t="s">
        <v>112</v>
      </c>
      <c r="D1506" s="13" t="n">
        <v>44697</v>
      </c>
      <c r="E1506" s="14" t="n">
        <v>6498.49</v>
      </c>
      <c r="F1506" s="14" t="n">
        <v>34100.86</v>
      </c>
      <c r="G1506" s="6" t="s">
        <v>2613</v>
      </c>
    </row>
    <row r="1507" customFormat="false" ht="15" hidden="false" customHeight="true" outlineLevel="0" collapsed="false">
      <c r="A1507" s="6" t="s">
        <v>4119</v>
      </c>
      <c r="B1507" s="6" t="s">
        <v>507</v>
      </c>
      <c r="C1507" s="6" t="s">
        <v>112</v>
      </c>
      <c r="D1507" s="13" t="n">
        <v>44704</v>
      </c>
      <c r="E1507" s="14" t="n">
        <v>4500.4</v>
      </c>
      <c r="F1507" s="14" t="n">
        <v>38601.26</v>
      </c>
      <c r="G1507" s="6" t="s">
        <v>2613</v>
      </c>
    </row>
    <row r="1508" customFormat="false" ht="15" hidden="false" customHeight="true" outlineLevel="0" collapsed="false">
      <c r="A1508" s="6" t="s">
        <v>4120</v>
      </c>
      <c r="B1508" s="6" t="s">
        <v>507</v>
      </c>
      <c r="C1508" s="6" t="s">
        <v>112</v>
      </c>
      <c r="D1508" s="13" t="n">
        <v>44711</v>
      </c>
      <c r="E1508" s="14" t="n">
        <v>4978.75</v>
      </c>
      <c r="F1508" s="14" t="n">
        <v>43580.01</v>
      </c>
      <c r="G1508" s="6" t="s">
        <v>2613</v>
      </c>
    </row>
    <row r="1509" customFormat="false" ht="15" hidden="false" customHeight="true" outlineLevel="0" collapsed="false">
      <c r="A1509" s="6" t="s">
        <v>4121</v>
      </c>
      <c r="B1509" s="6" t="s">
        <v>507</v>
      </c>
      <c r="C1509" s="6" t="s">
        <v>112</v>
      </c>
      <c r="D1509" s="13" t="n">
        <v>44718</v>
      </c>
      <c r="E1509" s="14" t="n">
        <v>8805.07</v>
      </c>
      <c r="F1509" s="14" t="n">
        <v>52385.08</v>
      </c>
      <c r="G1509" s="6" t="s">
        <v>2613</v>
      </c>
    </row>
    <row r="1510" customFormat="false" ht="15" hidden="false" customHeight="true" outlineLevel="0" collapsed="false">
      <c r="A1510" s="6" t="s">
        <v>4122</v>
      </c>
      <c r="B1510" s="6" t="s">
        <v>507</v>
      </c>
      <c r="C1510" s="6" t="s">
        <v>112</v>
      </c>
      <c r="D1510" s="13" t="n">
        <v>44725</v>
      </c>
      <c r="E1510" s="14" t="n">
        <v>7856.54</v>
      </c>
      <c r="F1510" s="14" t="n">
        <v>60241.62</v>
      </c>
      <c r="G1510" s="6" t="s">
        <v>2613</v>
      </c>
    </row>
    <row r="1511" customFormat="false" ht="15" hidden="false" customHeight="true" outlineLevel="0" collapsed="false">
      <c r="A1511" s="6" t="s">
        <v>4123</v>
      </c>
      <c r="B1511" s="6" t="s">
        <v>509</v>
      </c>
      <c r="C1511" s="6" t="s">
        <v>120</v>
      </c>
      <c r="D1511" s="13" t="n">
        <v>46026</v>
      </c>
      <c r="E1511" s="14" t="n">
        <v>1093.74</v>
      </c>
      <c r="F1511" s="14" t="n">
        <v>1093.74</v>
      </c>
      <c r="G1511" s="6" t="s">
        <v>2613</v>
      </c>
    </row>
    <row r="1512" customFormat="false" ht="15" hidden="false" customHeight="true" outlineLevel="0" collapsed="false">
      <c r="A1512" s="6" t="s">
        <v>4124</v>
      </c>
      <c r="B1512" s="6" t="s">
        <v>509</v>
      </c>
      <c r="C1512" s="6" t="s">
        <v>120</v>
      </c>
      <c r="D1512" s="13" t="n">
        <v>46033</v>
      </c>
      <c r="E1512" s="14" t="n">
        <v>1501.73</v>
      </c>
      <c r="F1512" s="14" t="n">
        <v>2595.47</v>
      </c>
      <c r="G1512" s="6" t="s">
        <v>2613</v>
      </c>
    </row>
    <row r="1513" customFormat="false" ht="15" hidden="false" customHeight="true" outlineLevel="0" collapsed="false">
      <c r="A1513" s="6" t="s">
        <v>4125</v>
      </c>
      <c r="B1513" s="6" t="s">
        <v>509</v>
      </c>
      <c r="C1513" s="6" t="s">
        <v>120</v>
      </c>
      <c r="D1513" s="13" t="n">
        <v>46040</v>
      </c>
      <c r="E1513" s="14" t="n">
        <v>1594.91</v>
      </c>
      <c r="F1513" s="14" t="n">
        <v>4190.38</v>
      </c>
      <c r="G1513" s="6" t="s">
        <v>2613</v>
      </c>
    </row>
    <row r="1514" customFormat="false" ht="15" hidden="false" customHeight="true" outlineLevel="0" collapsed="false">
      <c r="A1514" s="6" t="s">
        <v>4126</v>
      </c>
      <c r="B1514" s="6" t="s">
        <v>509</v>
      </c>
      <c r="C1514" s="6" t="s">
        <v>120</v>
      </c>
      <c r="D1514" s="13" t="n">
        <v>46047</v>
      </c>
      <c r="E1514" s="14" t="n">
        <v>1929.53</v>
      </c>
      <c r="F1514" s="14" t="n">
        <v>6119.91</v>
      </c>
      <c r="G1514" s="6" t="s">
        <v>2613</v>
      </c>
    </row>
    <row r="1515" customFormat="false" ht="15" hidden="false" customHeight="true" outlineLevel="0" collapsed="false">
      <c r="A1515" s="6" t="s">
        <v>4127</v>
      </c>
      <c r="B1515" s="6" t="s">
        <v>509</v>
      </c>
      <c r="C1515" s="6" t="s">
        <v>120</v>
      </c>
      <c r="D1515" s="13" t="n">
        <v>46054</v>
      </c>
      <c r="E1515" s="14" t="n">
        <v>2128.21</v>
      </c>
      <c r="F1515" s="14" t="n">
        <v>8248.12</v>
      </c>
      <c r="G1515" s="6" t="s">
        <v>2613</v>
      </c>
    </row>
    <row r="1516" customFormat="false" ht="15" hidden="false" customHeight="true" outlineLevel="0" collapsed="false">
      <c r="A1516" s="6" t="s">
        <v>4128</v>
      </c>
      <c r="B1516" s="6" t="s">
        <v>509</v>
      </c>
      <c r="C1516" s="6" t="s">
        <v>120</v>
      </c>
      <c r="D1516" s="13" t="n">
        <v>46061</v>
      </c>
      <c r="E1516" s="14" t="n">
        <v>1415.6</v>
      </c>
      <c r="F1516" s="14" t="n">
        <v>9663.72</v>
      </c>
      <c r="G1516" s="6" t="s">
        <v>2613</v>
      </c>
    </row>
    <row r="1517" customFormat="false" ht="15" hidden="false" customHeight="true" outlineLevel="0" collapsed="false">
      <c r="A1517" s="6" t="s">
        <v>4129</v>
      </c>
      <c r="B1517" s="6" t="s">
        <v>509</v>
      </c>
      <c r="C1517" s="6" t="s">
        <v>120</v>
      </c>
      <c r="D1517" s="13" t="n">
        <v>46068</v>
      </c>
      <c r="E1517" s="14" t="n">
        <v>2081.26</v>
      </c>
      <c r="F1517" s="14" t="n">
        <v>11744.98</v>
      </c>
      <c r="G1517" s="6" t="s">
        <v>2613</v>
      </c>
    </row>
    <row r="1518" customFormat="false" ht="15" hidden="false" customHeight="true" outlineLevel="0" collapsed="false">
      <c r="A1518" s="6" t="s">
        <v>4130</v>
      </c>
      <c r="B1518" s="6" t="s">
        <v>509</v>
      </c>
      <c r="C1518" s="6" t="s">
        <v>120</v>
      </c>
      <c r="D1518" s="13" t="n">
        <v>46075</v>
      </c>
      <c r="E1518" s="14" t="n">
        <v>1764.83</v>
      </c>
      <c r="F1518" s="14" t="n">
        <v>13509.81</v>
      </c>
      <c r="G1518" s="6" t="s">
        <v>2613</v>
      </c>
    </row>
    <row r="1519" customFormat="false" ht="15" hidden="false" customHeight="true" outlineLevel="0" collapsed="false">
      <c r="A1519" s="6" t="s">
        <v>4131</v>
      </c>
      <c r="B1519" s="6" t="s">
        <v>509</v>
      </c>
      <c r="C1519" s="6" t="s">
        <v>120</v>
      </c>
      <c r="D1519" s="13" t="n">
        <v>46082</v>
      </c>
      <c r="E1519" s="14" t="n">
        <v>2026.88</v>
      </c>
      <c r="F1519" s="14" t="n">
        <v>15536.69</v>
      </c>
      <c r="G1519" s="6" t="s">
        <v>2613</v>
      </c>
    </row>
    <row r="1520" customFormat="false" ht="15" hidden="false" customHeight="true" outlineLevel="0" collapsed="false">
      <c r="A1520" s="6" t="s">
        <v>4132</v>
      </c>
      <c r="B1520" s="6" t="s">
        <v>509</v>
      </c>
      <c r="C1520" s="6" t="s">
        <v>120</v>
      </c>
      <c r="D1520" s="13" t="n">
        <v>46089</v>
      </c>
      <c r="E1520" s="14" t="n">
        <v>114.2</v>
      </c>
      <c r="F1520" s="14" t="n">
        <v>15650.89</v>
      </c>
      <c r="G1520" s="6" t="s">
        <v>2613</v>
      </c>
    </row>
    <row r="1521" customFormat="false" ht="15" hidden="false" customHeight="true" outlineLevel="0" collapsed="false">
      <c r="A1521" s="6" t="s">
        <v>4133</v>
      </c>
      <c r="B1521" s="6" t="s">
        <v>511</v>
      </c>
      <c r="C1521" s="6" t="s">
        <v>124</v>
      </c>
      <c r="D1521" s="13" t="n">
        <v>45087</v>
      </c>
      <c r="E1521" s="14" t="n">
        <v>2280.5</v>
      </c>
      <c r="F1521" s="14" t="n">
        <v>2280.5</v>
      </c>
      <c r="G1521" s="6" t="s">
        <v>2613</v>
      </c>
    </row>
    <row r="1522" customFormat="false" ht="15" hidden="false" customHeight="true" outlineLevel="0" collapsed="false">
      <c r="A1522" s="6" t="s">
        <v>4134</v>
      </c>
      <c r="B1522" s="6" t="s">
        <v>511</v>
      </c>
      <c r="C1522" s="6" t="s">
        <v>124</v>
      </c>
      <c r="D1522" s="13" t="n">
        <v>45094</v>
      </c>
      <c r="E1522" s="14" t="n">
        <v>2480.2</v>
      </c>
      <c r="F1522" s="14" t="n">
        <v>4760.7</v>
      </c>
      <c r="G1522" s="6" t="s">
        <v>2613</v>
      </c>
    </row>
    <row r="1523" customFormat="false" ht="15" hidden="false" customHeight="true" outlineLevel="0" collapsed="false">
      <c r="A1523" s="6" t="s">
        <v>4135</v>
      </c>
      <c r="B1523" s="6" t="s">
        <v>511</v>
      </c>
      <c r="C1523" s="6" t="s">
        <v>124</v>
      </c>
      <c r="D1523" s="13" t="n">
        <v>45101</v>
      </c>
      <c r="E1523" s="14" t="n">
        <v>1765.88</v>
      </c>
      <c r="F1523" s="14" t="n">
        <v>6526.58</v>
      </c>
      <c r="G1523" s="6" t="s">
        <v>2613</v>
      </c>
    </row>
    <row r="1524" customFormat="false" ht="15" hidden="false" customHeight="true" outlineLevel="0" collapsed="false">
      <c r="A1524" s="6" t="s">
        <v>4136</v>
      </c>
      <c r="B1524" s="6" t="s">
        <v>511</v>
      </c>
      <c r="C1524" s="6" t="s">
        <v>124</v>
      </c>
      <c r="D1524" s="13" t="n">
        <v>45108</v>
      </c>
      <c r="E1524" s="14" t="n">
        <v>2198.49</v>
      </c>
      <c r="F1524" s="14" t="n">
        <v>8725.07</v>
      </c>
      <c r="G1524" s="6" t="s">
        <v>2613</v>
      </c>
    </row>
    <row r="1525" customFormat="false" ht="15" hidden="false" customHeight="true" outlineLevel="0" collapsed="false">
      <c r="A1525" s="6" t="s">
        <v>4137</v>
      </c>
      <c r="B1525" s="6" t="s">
        <v>511</v>
      </c>
      <c r="C1525" s="6" t="s">
        <v>124</v>
      </c>
      <c r="D1525" s="13" t="n">
        <v>45115</v>
      </c>
      <c r="E1525" s="14" t="n">
        <v>2467.84</v>
      </c>
      <c r="F1525" s="14" t="n">
        <v>11192.91</v>
      </c>
      <c r="G1525" s="6" t="s">
        <v>2623</v>
      </c>
    </row>
    <row r="1526" customFormat="false" ht="15" hidden="false" customHeight="true" outlineLevel="0" collapsed="false">
      <c r="A1526" s="6" t="s">
        <v>4138</v>
      </c>
      <c r="B1526" s="6" t="s">
        <v>511</v>
      </c>
      <c r="C1526" s="6" t="s">
        <v>124</v>
      </c>
      <c r="D1526" s="13" t="n">
        <v>45122</v>
      </c>
      <c r="E1526" s="14" t="n">
        <v>2980.97</v>
      </c>
      <c r="F1526" s="14" t="n">
        <v>14173.88</v>
      </c>
      <c r="G1526" s="6" t="s">
        <v>2613</v>
      </c>
    </row>
    <row r="1527" customFormat="false" ht="15" hidden="false" customHeight="true" outlineLevel="0" collapsed="false">
      <c r="A1527" s="6" t="s">
        <v>4139</v>
      </c>
      <c r="B1527" s="6" t="s">
        <v>511</v>
      </c>
      <c r="C1527" s="6" t="s">
        <v>124</v>
      </c>
      <c r="D1527" s="13" t="n">
        <v>45129</v>
      </c>
      <c r="E1527" s="14" t="n">
        <v>2517.92</v>
      </c>
      <c r="F1527" s="14" t="n">
        <v>16691.8</v>
      </c>
      <c r="G1527" s="6" t="s">
        <v>2613</v>
      </c>
    </row>
    <row r="1528" customFormat="false" ht="15" hidden="false" customHeight="true" outlineLevel="0" collapsed="false">
      <c r="A1528" s="6" t="s">
        <v>4140</v>
      </c>
      <c r="B1528" s="6" t="s">
        <v>511</v>
      </c>
      <c r="C1528" s="6" t="s">
        <v>124</v>
      </c>
      <c r="D1528" s="13" t="n">
        <v>45136</v>
      </c>
      <c r="E1528" s="14" t="n">
        <v>1572.06</v>
      </c>
      <c r="F1528" s="14" t="n">
        <v>18263.86</v>
      </c>
      <c r="G1528" s="6" t="s">
        <v>2613</v>
      </c>
    </row>
    <row r="1529" customFormat="false" ht="15" hidden="false" customHeight="true" outlineLevel="0" collapsed="false">
      <c r="A1529" s="6" t="s">
        <v>4141</v>
      </c>
      <c r="B1529" s="6" t="s">
        <v>513</v>
      </c>
      <c r="C1529" s="6" t="s">
        <v>116</v>
      </c>
      <c r="D1529" s="13" t="n">
        <v>44899</v>
      </c>
      <c r="E1529" s="14" t="n">
        <v>5166</v>
      </c>
      <c r="F1529" s="14" t="n">
        <v>5166</v>
      </c>
      <c r="G1529" s="6" t="s">
        <v>2613</v>
      </c>
    </row>
    <row r="1530" customFormat="false" ht="15" hidden="false" customHeight="true" outlineLevel="0" collapsed="false">
      <c r="A1530" s="6" t="s">
        <v>4142</v>
      </c>
      <c r="B1530" s="6" t="s">
        <v>513</v>
      </c>
      <c r="C1530" s="6" t="s">
        <v>116</v>
      </c>
      <c r="D1530" s="13" t="n">
        <v>44906</v>
      </c>
      <c r="E1530" s="14" t="n">
        <v>5509.3</v>
      </c>
      <c r="F1530" s="14" t="n">
        <v>10675.3</v>
      </c>
      <c r="G1530" s="6" t="s">
        <v>2613</v>
      </c>
    </row>
    <row r="1531" customFormat="false" ht="15" hidden="false" customHeight="true" outlineLevel="0" collapsed="false">
      <c r="A1531" s="6" t="s">
        <v>4143</v>
      </c>
      <c r="B1531" s="6" t="s">
        <v>513</v>
      </c>
      <c r="C1531" s="6" t="s">
        <v>116</v>
      </c>
      <c r="D1531" s="13" t="n">
        <v>44913</v>
      </c>
      <c r="E1531" s="14" t="n">
        <v>4319.61</v>
      </c>
      <c r="F1531" s="14" t="n">
        <v>14994.91</v>
      </c>
      <c r="G1531" s="6" t="s">
        <v>2613</v>
      </c>
    </row>
    <row r="1532" customFormat="false" ht="15" hidden="false" customHeight="true" outlineLevel="0" collapsed="false">
      <c r="A1532" s="6" t="s">
        <v>4144</v>
      </c>
      <c r="B1532" s="6" t="s">
        <v>513</v>
      </c>
      <c r="C1532" s="6" t="s">
        <v>116</v>
      </c>
      <c r="D1532" s="13" t="n">
        <v>44920</v>
      </c>
      <c r="E1532" s="14" t="n">
        <v>6025.98</v>
      </c>
      <c r="F1532" s="14" t="n">
        <v>21020.89</v>
      </c>
      <c r="G1532" s="6" t="s">
        <v>2623</v>
      </c>
    </row>
    <row r="1533" customFormat="false" ht="15" hidden="false" customHeight="true" outlineLevel="0" collapsed="false">
      <c r="A1533" s="6" t="s">
        <v>4145</v>
      </c>
      <c r="B1533" s="6" t="s">
        <v>513</v>
      </c>
      <c r="C1533" s="6" t="s">
        <v>116</v>
      </c>
      <c r="D1533" s="13" t="n">
        <v>44927</v>
      </c>
      <c r="E1533" s="14" t="n">
        <v>3760.39</v>
      </c>
      <c r="F1533" s="14" t="n">
        <v>24781.28</v>
      </c>
      <c r="G1533" s="6" t="s">
        <v>2613</v>
      </c>
    </row>
    <row r="1534" customFormat="false" ht="15" hidden="false" customHeight="true" outlineLevel="0" collapsed="false">
      <c r="A1534" s="6" t="s">
        <v>4146</v>
      </c>
      <c r="B1534" s="6" t="s">
        <v>513</v>
      </c>
      <c r="C1534" s="6" t="s">
        <v>116</v>
      </c>
      <c r="D1534" s="13" t="n">
        <v>44934</v>
      </c>
      <c r="E1534" s="14" t="n">
        <v>2096.72</v>
      </c>
      <c r="F1534" s="14" t="n">
        <v>26878</v>
      </c>
      <c r="G1534" s="6" t="s">
        <v>2613</v>
      </c>
    </row>
    <row r="1535" customFormat="false" ht="15" hidden="false" customHeight="true" outlineLevel="0" collapsed="false">
      <c r="A1535" s="6" t="s">
        <v>4147</v>
      </c>
      <c r="B1535" s="6" t="s">
        <v>515</v>
      </c>
      <c r="C1535" s="6" t="s">
        <v>112</v>
      </c>
      <c r="D1535" s="13" t="n">
        <v>44688</v>
      </c>
      <c r="E1535" s="14" t="n">
        <v>475.18</v>
      </c>
      <c r="F1535" s="14" t="n">
        <v>475.18</v>
      </c>
      <c r="G1535" s="6" t="s">
        <v>2613</v>
      </c>
    </row>
    <row r="1536" customFormat="false" ht="15" hidden="false" customHeight="true" outlineLevel="0" collapsed="false">
      <c r="A1536" s="6" t="s">
        <v>4148</v>
      </c>
      <c r="B1536" s="6" t="s">
        <v>515</v>
      </c>
      <c r="C1536" s="6" t="s">
        <v>112</v>
      </c>
      <c r="D1536" s="13" t="n">
        <v>44695</v>
      </c>
      <c r="E1536" s="14" t="n">
        <v>425.11</v>
      </c>
      <c r="F1536" s="14" t="n">
        <v>900.29</v>
      </c>
      <c r="G1536" s="6" t="s">
        <v>2613</v>
      </c>
    </row>
    <row r="1537" customFormat="false" ht="15" hidden="false" customHeight="true" outlineLevel="0" collapsed="false">
      <c r="A1537" s="6" t="s">
        <v>4149</v>
      </c>
      <c r="B1537" s="6" t="s">
        <v>515</v>
      </c>
      <c r="C1537" s="6" t="s">
        <v>112</v>
      </c>
      <c r="D1537" s="13" t="n">
        <v>44702</v>
      </c>
      <c r="E1537" s="14" t="n">
        <v>580.25</v>
      </c>
      <c r="F1537" s="14" t="n">
        <v>1480.54</v>
      </c>
      <c r="G1537" s="6" t="s">
        <v>2613</v>
      </c>
    </row>
    <row r="1538" customFormat="false" ht="15" hidden="false" customHeight="true" outlineLevel="0" collapsed="false">
      <c r="A1538" s="6" t="s">
        <v>4150</v>
      </c>
      <c r="B1538" s="6" t="s">
        <v>515</v>
      </c>
      <c r="C1538" s="6" t="s">
        <v>112</v>
      </c>
      <c r="D1538" s="13" t="n">
        <v>44709</v>
      </c>
      <c r="E1538" s="14" t="n">
        <v>357.41</v>
      </c>
      <c r="F1538" s="14" t="n">
        <v>1837.95</v>
      </c>
      <c r="G1538" s="6" t="s">
        <v>2613</v>
      </c>
    </row>
    <row r="1539" customFormat="false" ht="15" hidden="false" customHeight="true" outlineLevel="0" collapsed="false">
      <c r="A1539" s="6" t="s">
        <v>4151</v>
      </c>
      <c r="B1539" s="6" t="s">
        <v>515</v>
      </c>
      <c r="C1539" s="6" t="s">
        <v>112</v>
      </c>
      <c r="D1539" s="13" t="n">
        <v>44716</v>
      </c>
      <c r="E1539" s="14" t="n">
        <v>367.5</v>
      </c>
      <c r="F1539" s="14" t="n">
        <v>2205.45</v>
      </c>
      <c r="G1539" s="6" t="s">
        <v>2613</v>
      </c>
    </row>
    <row r="1540" customFormat="false" ht="15" hidden="false" customHeight="true" outlineLevel="0" collapsed="false">
      <c r="A1540" s="6" t="s">
        <v>4152</v>
      </c>
      <c r="B1540" s="6" t="s">
        <v>515</v>
      </c>
      <c r="C1540" s="6" t="s">
        <v>112</v>
      </c>
      <c r="D1540" s="13" t="n">
        <v>44723</v>
      </c>
      <c r="E1540" s="14" t="n">
        <v>601.32</v>
      </c>
      <c r="F1540" s="14" t="n">
        <v>2806.77</v>
      </c>
      <c r="G1540" s="6" t="s">
        <v>2613</v>
      </c>
    </row>
    <row r="1541" customFormat="false" ht="15" hidden="false" customHeight="true" outlineLevel="0" collapsed="false">
      <c r="A1541" s="6" t="s">
        <v>4153</v>
      </c>
      <c r="B1541" s="6" t="s">
        <v>515</v>
      </c>
      <c r="C1541" s="6" t="s">
        <v>112</v>
      </c>
      <c r="D1541" s="13" t="n">
        <v>44730</v>
      </c>
      <c r="E1541" s="14" t="n">
        <v>303.14</v>
      </c>
      <c r="F1541" s="14" t="n">
        <v>3109.91</v>
      </c>
      <c r="G1541" s="6" t="s">
        <v>2613</v>
      </c>
    </row>
    <row r="1542" customFormat="false" ht="15" hidden="false" customHeight="true" outlineLevel="0" collapsed="false">
      <c r="A1542" s="6" t="s">
        <v>4154</v>
      </c>
      <c r="B1542" s="6" t="s">
        <v>515</v>
      </c>
      <c r="C1542" s="6" t="s">
        <v>112</v>
      </c>
      <c r="D1542" s="13" t="n">
        <v>44737</v>
      </c>
      <c r="E1542" s="14" t="n">
        <v>437.53</v>
      </c>
      <c r="F1542" s="14" t="n">
        <v>3547.44</v>
      </c>
      <c r="G1542" s="6" t="s">
        <v>2613</v>
      </c>
    </row>
    <row r="1543" customFormat="false" ht="15" hidden="false" customHeight="true" outlineLevel="0" collapsed="false">
      <c r="A1543" s="6" t="s">
        <v>4155</v>
      </c>
      <c r="B1543" s="6" t="s">
        <v>515</v>
      </c>
      <c r="C1543" s="6" t="s">
        <v>112</v>
      </c>
      <c r="D1543" s="13" t="n">
        <v>44744</v>
      </c>
      <c r="E1543" s="14" t="n">
        <v>428.16</v>
      </c>
      <c r="F1543" s="14" t="n">
        <v>3975.6</v>
      </c>
      <c r="G1543" s="6" t="s">
        <v>2613</v>
      </c>
    </row>
    <row r="1544" customFormat="false" ht="15" hidden="false" customHeight="true" outlineLevel="0" collapsed="false">
      <c r="A1544" s="6" t="s">
        <v>4156</v>
      </c>
      <c r="B1544" s="6" t="s">
        <v>515</v>
      </c>
      <c r="C1544" s="6" t="s">
        <v>112</v>
      </c>
      <c r="D1544" s="13" t="n">
        <v>44751</v>
      </c>
      <c r="E1544" s="14" t="n">
        <v>468.44</v>
      </c>
      <c r="F1544" s="14" t="n">
        <v>4444.04</v>
      </c>
      <c r="G1544" s="6" t="s">
        <v>2613</v>
      </c>
    </row>
    <row r="1545" customFormat="false" ht="15" hidden="false" customHeight="true" outlineLevel="0" collapsed="false">
      <c r="A1545" s="6" t="s">
        <v>4157</v>
      </c>
      <c r="B1545" s="6" t="s">
        <v>515</v>
      </c>
      <c r="C1545" s="6" t="s">
        <v>112</v>
      </c>
      <c r="D1545" s="13" t="n">
        <v>44758</v>
      </c>
      <c r="E1545" s="14" t="n">
        <v>294.09</v>
      </c>
      <c r="F1545" s="14" t="n">
        <v>4738.13</v>
      </c>
      <c r="G1545" s="6" t="s">
        <v>2613</v>
      </c>
    </row>
    <row r="1546" customFormat="false" ht="15" hidden="false" customHeight="true" outlineLevel="0" collapsed="false">
      <c r="A1546" s="6" t="s">
        <v>4158</v>
      </c>
      <c r="B1546" s="6" t="s">
        <v>517</v>
      </c>
      <c r="C1546" s="6" t="s">
        <v>112</v>
      </c>
      <c r="D1546" s="13" t="n">
        <v>45716</v>
      </c>
      <c r="E1546" s="14" t="n">
        <v>2286.15</v>
      </c>
      <c r="F1546" s="14" t="n">
        <v>2286.15</v>
      </c>
      <c r="G1546" s="6" t="s">
        <v>2613</v>
      </c>
    </row>
    <row r="1547" customFormat="false" ht="15" hidden="false" customHeight="true" outlineLevel="0" collapsed="false">
      <c r="A1547" s="6" t="s">
        <v>4159</v>
      </c>
      <c r="B1547" s="6" t="s">
        <v>517</v>
      </c>
      <c r="C1547" s="6" t="s">
        <v>112</v>
      </c>
      <c r="D1547" s="13" t="n">
        <v>45723</v>
      </c>
      <c r="E1547" s="14" t="n">
        <v>1651.24</v>
      </c>
      <c r="F1547" s="14" t="n">
        <v>3937.39</v>
      </c>
      <c r="G1547" s="6" t="s">
        <v>2623</v>
      </c>
    </row>
    <row r="1548" customFormat="false" ht="15" hidden="false" customHeight="true" outlineLevel="0" collapsed="false">
      <c r="A1548" s="6" t="s">
        <v>4160</v>
      </c>
      <c r="B1548" s="6" t="s">
        <v>517</v>
      </c>
      <c r="C1548" s="6" t="s">
        <v>112</v>
      </c>
      <c r="D1548" s="13" t="n">
        <v>45730</v>
      </c>
      <c r="E1548" s="14" t="n">
        <v>1726.65</v>
      </c>
      <c r="F1548" s="14" t="n">
        <v>5664.04</v>
      </c>
      <c r="G1548" s="6" t="s">
        <v>2613</v>
      </c>
    </row>
    <row r="1549" customFormat="false" ht="15" hidden="false" customHeight="true" outlineLevel="0" collapsed="false">
      <c r="A1549" s="6" t="s">
        <v>4161</v>
      </c>
      <c r="B1549" s="6" t="s">
        <v>517</v>
      </c>
      <c r="C1549" s="6" t="s">
        <v>112</v>
      </c>
      <c r="D1549" s="13" t="n">
        <v>45737</v>
      </c>
      <c r="E1549" s="14" t="n">
        <v>2493.97</v>
      </c>
      <c r="F1549" s="14" t="n">
        <v>8158.01</v>
      </c>
      <c r="G1549" s="6" t="s">
        <v>2613</v>
      </c>
    </row>
    <row r="1550" customFormat="false" ht="15" hidden="false" customHeight="true" outlineLevel="0" collapsed="false">
      <c r="A1550" s="6" t="s">
        <v>4162</v>
      </c>
      <c r="B1550" s="6" t="s">
        <v>517</v>
      </c>
      <c r="C1550" s="6" t="s">
        <v>112</v>
      </c>
      <c r="D1550" s="13" t="n">
        <v>45744</v>
      </c>
      <c r="E1550" s="14" t="n">
        <v>1780.9</v>
      </c>
      <c r="F1550" s="14" t="n">
        <v>9938.91</v>
      </c>
      <c r="G1550" s="6" t="s">
        <v>2613</v>
      </c>
    </row>
    <row r="1551" customFormat="false" ht="15" hidden="false" customHeight="true" outlineLevel="0" collapsed="false">
      <c r="A1551" s="6" t="s">
        <v>4163</v>
      </c>
      <c r="B1551" s="6" t="s">
        <v>517</v>
      </c>
      <c r="C1551" s="6" t="s">
        <v>112</v>
      </c>
      <c r="D1551" s="13" t="n">
        <v>45751</v>
      </c>
      <c r="E1551" s="14" t="n">
        <v>2168.28</v>
      </c>
      <c r="F1551" s="14" t="n">
        <v>12107.19</v>
      </c>
      <c r="G1551" s="6" t="s">
        <v>2613</v>
      </c>
    </row>
    <row r="1552" customFormat="false" ht="15" hidden="false" customHeight="true" outlineLevel="0" collapsed="false">
      <c r="A1552" s="6" t="s">
        <v>4164</v>
      </c>
      <c r="B1552" s="6" t="s">
        <v>517</v>
      </c>
      <c r="C1552" s="6" t="s">
        <v>112</v>
      </c>
      <c r="D1552" s="13" t="n">
        <v>45758</v>
      </c>
      <c r="E1552" s="14" t="n">
        <v>2600.85</v>
      </c>
      <c r="F1552" s="14" t="n">
        <v>14708.04</v>
      </c>
      <c r="G1552" s="6" t="s">
        <v>2613</v>
      </c>
    </row>
    <row r="1553" customFormat="false" ht="15" hidden="false" customHeight="true" outlineLevel="0" collapsed="false">
      <c r="A1553" s="6" t="s">
        <v>4165</v>
      </c>
      <c r="B1553" s="6" t="s">
        <v>517</v>
      </c>
      <c r="C1553" s="6" t="s">
        <v>112</v>
      </c>
      <c r="D1553" s="13" t="n">
        <v>45765</v>
      </c>
      <c r="E1553" s="14" t="n">
        <v>2603.78</v>
      </c>
      <c r="F1553" s="14" t="n">
        <v>17311.82</v>
      </c>
      <c r="G1553" s="6" t="s">
        <v>2613</v>
      </c>
    </row>
    <row r="1554" customFormat="false" ht="15" hidden="false" customHeight="true" outlineLevel="0" collapsed="false">
      <c r="A1554" s="6" t="s">
        <v>4166</v>
      </c>
      <c r="B1554" s="6" t="s">
        <v>517</v>
      </c>
      <c r="C1554" s="6" t="s">
        <v>112</v>
      </c>
      <c r="D1554" s="13" t="n">
        <v>45772</v>
      </c>
      <c r="E1554" s="14" t="n">
        <v>2020.63</v>
      </c>
      <c r="F1554" s="14" t="n">
        <v>19332.45</v>
      </c>
      <c r="G1554" s="6" t="s">
        <v>2613</v>
      </c>
    </row>
    <row r="1555" customFormat="false" ht="15" hidden="false" customHeight="true" outlineLevel="0" collapsed="false">
      <c r="A1555" s="6" t="s">
        <v>4167</v>
      </c>
      <c r="B1555" s="6" t="s">
        <v>517</v>
      </c>
      <c r="C1555" s="6" t="s">
        <v>112</v>
      </c>
      <c r="D1555" s="13" t="n">
        <v>45779</v>
      </c>
      <c r="E1555" s="14" t="n">
        <v>1291.44</v>
      </c>
      <c r="F1555" s="14" t="n">
        <v>20623.89</v>
      </c>
      <c r="G1555" s="6" t="s">
        <v>2613</v>
      </c>
    </row>
    <row r="1556" customFormat="false" ht="15" hidden="false" customHeight="true" outlineLevel="0" collapsed="false">
      <c r="A1556" s="6" t="s">
        <v>4168</v>
      </c>
      <c r="B1556" s="6" t="s">
        <v>517</v>
      </c>
      <c r="C1556" s="6" t="s">
        <v>112</v>
      </c>
      <c r="D1556" s="13" t="n">
        <v>45786</v>
      </c>
      <c r="E1556" s="14" t="n">
        <v>1488.44</v>
      </c>
      <c r="F1556" s="14" t="n">
        <v>22112.33</v>
      </c>
      <c r="G1556" s="6" t="s">
        <v>2613</v>
      </c>
    </row>
    <row r="1557" customFormat="false" ht="15" hidden="false" customHeight="true" outlineLevel="0" collapsed="false">
      <c r="A1557" s="6" t="s">
        <v>4169</v>
      </c>
      <c r="B1557" s="6" t="s">
        <v>517</v>
      </c>
      <c r="C1557" s="6" t="s">
        <v>112</v>
      </c>
      <c r="D1557" s="13" t="n">
        <v>45793</v>
      </c>
      <c r="E1557" s="14" t="n">
        <v>2655.4</v>
      </c>
      <c r="F1557" s="14" t="n">
        <v>24767.73</v>
      </c>
      <c r="G1557" s="6" t="s">
        <v>2613</v>
      </c>
    </row>
    <row r="1558" customFormat="false" ht="15" hidden="false" customHeight="true" outlineLevel="0" collapsed="false">
      <c r="A1558" s="6" t="s">
        <v>4170</v>
      </c>
      <c r="B1558" s="6" t="s">
        <v>517</v>
      </c>
      <c r="C1558" s="6" t="s">
        <v>112</v>
      </c>
      <c r="D1558" s="13" t="n">
        <v>45800</v>
      </c>
      <c r="E1558" s="14" t="n">
        <v>1993.28</v>
      </c>
      <c r="F1558" s="14" t="n">
        <v>26761.01</v>
      </c>
      <c r="G1558" s="6" t="s">
        <v>2613</v>
      </c>
    </row>
    <row r="1559" customFormat="false" ht="15" hidden="false" customHeight="true" outlineLevel="0" collapsed="false">
      <c r="A1559" s="6" t="s">
        <v>4171</v>
      </c>
      <c r="B1559" s="6" t="s">
        <v>517</v>
      </c>
      <c r="C1559" s="6" t="s">
        <v>112</v>
      </c>
      <c r="D1559" s="13" t="n">
        <v>45807</v>
      </c>
      <c r="E1559" s="14" t="n">
        <v>2758.25</v>
      </c>
      <c r="F1559" s="14" t="n">
        <v>29519.26</v>
      </c>
      <c r="G1559" s="6" t="s">
        <v>2623</v>
      </c>
    </row>
    <row r="1560" customFormat="false" ht="15" hidden="false" customHeight="true" outlineLevel="0" collapsed="false">
      <c r="A1560" s="6" t="s">
        <v>4172</v>
      </c>
      <c r="B1560" s="6" t="s">
        <v>517</v>
      </c>
      <c r="C1560" s="6" t="s">
        <v>112</v>
      </c>
      <c r="D1560" s="13" t="n">
        <v>45814</v>
      </c>
      <c r="E1560" s="14" t="n">
        <v>2089.62</v>
      </c>
      <c r="F1560" s="14" t="n">
        <v>31608.88</v>
      </c>
      <c r="G1560" s="6" t="s">
        <v>2613</v>
      </c>
    </row>
    <row r="1561" customFormat="false" ht="15" hidden="false" customHeight="true" outlineLevel="0" collapsed="false">
      <c r="A1561" s="6" t="s">
        <v>4173</v>
      </c>
      <c r="B1561" s="6" t="s">
        <v>517</v>
      </c>
      <c r="C1561" s="6" t="s">
        <v>112</v>
      </c>
      <c r="D1561" s="13" t="n">
        <v>45821</v>
      </c>
      <c r="E1561" s="14" t="n">
        <v>2347.93</v>
      </c>
      <c r="F1561" s="14" t="n">
        <v>33956.81</v>
      </c>
      <c r="G1561" s="6" t="s">
        <v>2613</v>
      </c>
    </row>
    <row r="1562" customFormat="false" ht="15" hidden="false" customHeight="true" outlineLevel="0" collapsed="false">
      <c r="A1562" s="6" t="s">
        <v>4174</v>
      </c>
      <c r="B1562" s="6" t="s">
        <v>517</v>
      </c>
      <c r="C1562" s="6" t="s">
        <v>112</v>
      </c>
      <c r="D1562" s="13" t="n">
        <v>45828</v>
      </c>
      <c r="E1562" s="14" t="n">
        <v>1263.76</v>
      </c>
      <c r="F1562" s="14" t="n">
        <v>35220.57</v>
      </c>
      <c r="G1562" s="6" t="s">
        <v>2613</v>
      </c>
    </row>
    <row r="1563" customFormat="false" ht="15" hidden="false" customHeight="true" outlineLevel="0" collapsed="false">
      <c r="A1563" s="6" t="s">
        <v>4175</v>
      </c>
      <c r="B1563" s="6" t="s">
        <v>517</v>
      </c>
      <c r="C1563" s="6" t="s">
        <v>112</v>
      </c>
      <c r="D1563" s="13" t="n">
        <v>45835</v>
      </c>
      <c r="E1563" s="14" t="n">
        <v>1778.32</v>
      </c>
      <c r="F1563" s="14" t="n">
        <v>36998.89</v>
      </c>
      <c r="G1563" s="6" t="s">
        <v>2613</v>
      </c>
    </row>
    <row r="1564" customFormat="false" ht="15" hidden="false" customHeight="true" outlineLevel="0" collapsed="false">
      <c r="A1564" s="6" t="s">
        <v>4176</v>
      </c>
      <c r="B1564" s="6" t="s">
        <v>517</v>
      </c>
      <c r="C1564" s="6" t="s">
        <v>112</v>
      </c>
      <c r="D1564" s="13" t="n">
        <v>45842</v>
      </c>
      <c r="E1564" s="14" t="n">
        <v>2541.24</v>
      </c>
      <c r="F1564" s="14" t="n">
        <v>39540.13</v>
      </c>
      <c r="G1564" s="6" t="s">
        <v>2623</v>
      </c>
    </row>
    <row r="1565" customFormat="false" ht="15" hidden="false" customHeight="true" outlineLevel="0" collapsed="false">
      <c r="A1565" s="6" t="s">
        <v>4177</v>
      </c>
      <c r="B1565" s="6" t="s">
        <v>517</v>
      </c>
      <c r="C1565" s="6" t="s">
        <v>112</v>
      </c>
      <c r="D1565" s="13" t="n">
        <v>45849</v>
      </c>
      <c r="E1565" s="14" t="n">
        <v>1478.44</v>
      </c>
      <c r="F1565" s="14" t="n">
        <v>41018.57</v>
      </c>
      <c r="G1565" s="6" t="s">
        <v>2613</v>
      </c>
    </row>
    <row r="1566" customFormat="false" ht="15" hidden="false" customHeight="true" outlineLevel="0" collapsed="false">
      <c r="A1566" s="6" t="s">
        <v>4178</v>
      </c>
      <c r="B1566" s="6" t="s">
        <v>517</v>
      </c>
      <c r="C1566" s="6" t="s">
        <v>112</v>
      </c>
      <c r="D1566" s="13" t="n">
        <v>45856</v>
      </c>
      <c r="E1566" s="14" t="n">
        <v>1790.54</v>
      </c>
      <c r="F1566" s="14" t="n">
        <v>42809.11</v>
      </c>
      <c r="G1566" s="6" t="s">
        <v>2613</v>
      </c>
    </row>
    <row r="1567" customFormat="false" ht="15" hidden="false" customHeight="true" outlineLevel="0" collapsed="false">
      <c r="A1567" s="6" t="s">
        <v>4179</v>
      </c>
      <c r="B1567" s="6" t="s">
        <v>517</v>
      </c>
      <c r="C1567" s="6" t="s">
        <v>112</v>
      </c>
      <c r="D1567" s="13" t="n">
        <v>45863</v>
      </c>
      <c r="E1567" s="14" t="n">
        <v>2111.32</v>
      </c>
      <c r="F1567" s="14" t="n">
        <v>44920.43</v>
      </c>
      <c r="G1567" s="6" t="s">
        <v>2613</v>
      </c>
    </row>
    <row r="1568" customFormat="false" ht="15" hidden="false" customHeight="true" outlineLevel="0" collapsed="false">
      <c r="A1568" s="6" t="s">
        <v>4180</v>
      </c>
      <c r="B1568" s="6" t="s">
        <v>517</v>
      </c>
      <c r="C1568" s="6" t="s">
        <v>112</v>
      </c>
      <c r="D1568" s="13" t="n">
        <v>45870</v>
      </c>
      <c r="E1568" s="14" t="n">
        <v>2228.73</v>
      </c>
      <c r="F1568" s="14" t="n">
        <v>47149.16</v>
      </c>
      <c r="G1568" s="6" t="s">
        <v>2613</v>
      </c>
    </row>
    <row r="1569" customFormat="false" ht="15" hidden="false" customHeight="true" outlineLevel="0" collapsed="false">
      <c r="A1569" s="6" t="s">
        <v>4181</v>
      </c>
      <c r="B1569" s="6" t="s">
        <v>517</v>
      </c>
      <c r="C1569" s="6" t="s">
        <v>112</v>
      </c>
      <c r="D1569" s="13" t="n">
        <v>45877</v>
      </c>
      <c r="E1569" s="14" t="n">
        <v>2170.23</v>
      </c>
      <c r="F1569" s="14" t="n">
        <v>49319.39</v>
      </c>
      <c r="G1569" s="6" t="s">
        <v>2613</v>
      </c>
    </row>
    <row r="1570" customFormat="false" ht="15" hidden="false" customHeight="true" outlineLevel="0" collapsed="false">
      <c r="A1570" s="6" t="s">
        <v>4182</v>
      </c>
      <c r="B1570" s="6" t="s">
        <v>519</v>
      </c>
      <c r="C1570" s="6" t="s">
        <v>120</v>
      </c>
      <c r="D1570" s="13" t="n">
        <v>44798</v>
      </c>
      <c r="E1570" s="14" t="n">
        <v>2101.48</v>
      </c>
      <c r="F1570" s="14" t="n">
        <v>2101.48</v>
      </c>
      <c r="G1570" s="6" t="s">
        <v>2623</v>
      </c>
    </row>
    <row r="1571" customFormat="false" ht="15" hidden="false" customHeight="true" outlineLevel="0" collapsed="false">
      <c r="A1571" s="6" t="s">
        <v>4183</v>
      </c>
      <c r="B1571" s="6" t="s">
        <v>519</v>
      </c>
      <c r="C1571" s="6" t="s">
        <v>120</v>
      </c>
      <c r="D1571" s="13" t="n">
        <v>44805</v>
      </c>
      <c r="E1571" s="14" t="n">
        <v>2772.24</v>
      </c>
      <c r="F1571" s="14" t="n">
        <v>4873.72</v>
      </c>
      <c r="G1571" s="6" t="s">
        <v>2613</v>
      </c>
    </row>
    <row r="1572" customFormat="false" ht="15" hidden="false" customHeight="true" outlineLevel="0" collapsed="false">
      <c r="A1572" s="6" t="s">
        <v>4184</v>
      </c>
      <c r="B1572" s="6" t="s">
        <v>519</v>
      </c>
      <c r="C1572" s="6" t="s">
        <v>120</v>
      </c>
      <c r="D1572" s="13" t="n">
        <v>44812</v>
      </c>
      <c r="E1572" s="14" t="n">
        <v>3652.83</v>
      </c>
      <c r="F1572" s="14" t="n">
        <v>8526.55</v>
      </c>
      <c r="G1572" s="6" t="s">
        <v>2613</v>
      </c>
    </row>
    <row r="1573" customFormat="false" ht="15" hidden="false" customHeight="true" outlineLevel="0" collapsed="false">
      <c r="A1573" s="6" t="s">
        <v>4185</v>
      </c>
      <c r="B1573" s="6" t="s">
        <v>519</v>
      </c>
      <c r="C1573" s="6" t="s">
        <v>120</v>
      </c>
      <c r="D1573" s="13" t="n">
        <v>44819</v>
      </c>
      <c r="E1573" s="14" t="n">
        <v>2406.11</v>
      </c>
      <c r="F1573" s="14" t="n">
        <v>10932.66</v>
      </c>
      <c r="G1573" s="6" t="s">
        <v>2613</v>
      </c>
    </row>
    <row r="1574" customFormat="false" ht="15" hidden="false" customHeight="true" outlineLevel="0" collapsed="false">
      <c r="A1574" s="6" t="s">
        <v>4186</v>
      </c>
      <c r="B1574" s="6" t="s">
        <v>519</v>
      </c>
      <c r="C1574" s="6" t="s">
        <v>120</v>
      </c>
      <c r="D1574" s="13" t="n">
        <v>44826</v>
      </c>
      <c r="E1574" s="14" t="n">
        <v>3584.23</v>
      </c>
      <c r="F1574" s="14" t="n">
        <v>14516.89</v>
      </c>
      <c r="G1574" s="6" t="s">
        <v>2613</v>
      </c>
    </row>
    <row r="1575" customFormat="false" ht="15" hidden="false" customHeight="true" outlineLevel="0" collapsed="false">
      <c r="A1575" s="6" t="s">
        <v>4187</v>
      </c>
      <c r="B1575" s="6" t="s">
        <v>519</v>
      </c>
      <c r="C1575" s="6" t="s">
        <v>120</v>
      </c>
      <c r="D1575" s="13" t="n">
        <v>44833</v>
      </c>
      <c r="E1575" s="14" t="n">
        <v>2377.91</v>
      </c>
      <c r="F1575" s="14" t="n">
        <v>16894.8</v>
      </c>
      <c r="G1575" s="6" t="s">
        <v>2613</v>
      </c>
    </row>
    <row r="1576" customFormat="false" ht="15" hidden="false" customHeight="true" outlineLevel="0" collapsed="false">
      <c r="A1576" s="6" t="s">
        <v>4188</v>
      </c>
      <c r="B1576" s="6" t="s">
        <v>519</v>
      </c>
      <c r="C1576" s="6" t="s">
        <v>120</v>
      </c>
      <c r="D1576" s="13" t="n">
        <v>44840</v>
      </c>
      <c r="E1576" s="14" t="n">
        <v>1872.26</v>
      </c>
      <c r="F1576" s="14" t="n">
        <v>18767.06</v>
      </c>
      <c r="G1576" s="6" t="s">
        <v>2613</v>
      </c>
    </row>
    <row r="1577" customFormat="false" ht="15" hidden="false" customHeight="true" outlineLevel="0" collapsed="false">
      <c r="A1577" s="6" t="s">
        <v>4189</v>
      </c>
      <c r="B1577" s="6" t="s">
        <v>519</v>
      </c>
      <c r="C1577" s="6" t="s">
        <v>120</v>
      </c>
      <c r="D1577" s="13" t="n">
        <v>44847</v>
      </c>
      <c r="E1577" s="14" t="n">
        <v>2794.64</v>
      </c>
      <c r="F1577" s="14" t="n">
        <v>21561.7</v>
      </c>
      <c r="G1577" s="6" t="s">
        <v>2613</v>
      </c>
    </row>
    <row r="1578" customFormat="false" ht="15" hidden="false" customHeight="true" outlineLevel="0" collapsed="false">
      <c r="A1578" s="6" t="s">
        <v>4190</v>
      </c>
      <c r="B1578" s="6" t="s">
        <v>519</v>
      </c>
      <c r="C1578" s="6" t="s">
        <v>120</v>
      </c>
      <c r="D1578" s="13" t="n">
        <v>44854</v>
      </c>
      <c r="E1578" s="14" t="n">
        <v>3269.35</v>
      </c>
      <c r="F1578" s="14" t="n">
        <v>24831.05</v>
      </c>
      <c r="G1578" s="6" t="s">
        <v>2613</v>
      </c>
    </row>
    <row r="1579" customFormat="false" ht="15" hidden="false" customHeight="true" outlineLevel="0" collapsed="false">
      <c r="A1579" s="6" t="s">
        <v>4191</v>
      </c>
      <c r="B1579" s="6" t="s">
        <v>521</v>
      </c>
      <c r="C1579" s="6" t="s">
        <v>112</v>
      </c>
      <c r="D1579" s="13" t="n">
        <v>44663</v>
      </c>
      <c r="E1579" s="14" t="n">
        <v>5738.27</v>
      </c>
      <c r="F1579" s="14" t="n">
        <v>5738.27</v>
      </c>
      <c r="G1579" s="6" t="s">
        <v>2623</v>
      </c>
    </row>
    <row r="1580" customFormat="false" ht="15" hidden="false" customHeight="true" outlineLevel="0" collapsed="false">
      <c r="A1580" s="6" t="s">
        <v>4192</v>
      </c>
      <c r="B1580" s="6" t="s">
        <v>521</v>
      </c>
      <c r="C1580" s="6" t="s">
        <v>112</v>
      </c>
      <c r="D1580" s="13" t="n">
        <v>44670</v>
      </c>
      <c r="E1580" s="14" t="n">
        <v>5787.91</v>
      </c>
      <c r="F1580" s="14" t="n">
        <v>11526.18</v>
      </c>
      <c r="G1580" s="6" t="s">
        <v>2613</v>
      </c>
    </row>
    <row r="1581" customFormat="false" ht="15" hidden="false" customHeight="true" outlineLevel="0" collapsed="false">
      <c r="A1581" s="6" t="s">
        <v>4193</v>
      </c>
      <c r="B1581" s="6" t="s">
        <v>521</v>
      </c>
      <c r="C1581" s="6" t="s">
        <v>112</v>
      </c>
      <c r="D1581" s="13" t="n">
        <v>44677</v>
      </c>
      <c r="E1581" s="14" t="n">
        <v>3682.81</v>
      </c>
      <c r="F1581" s="14" t="n">
        <v>15208.99</v>
      </c>
      <c r="G1581" s="6" t="s">
        <v>2613</v>
      </c>
    </row>
    <row r="1582" customFormat="false" ht="15" hidden="false" customHeight="true" outlineLevel="0" collapsed="false">
      <c r="A1582" s="6" t="s">
        <v>4194</v>
      </c>
      <c r="B1582" s="6" t="s">
        <v>521</v>
      </c>
      <c r="C1582" s="6" t="s">
        <v>112</v>
      </c>
      <c r="D1582" s="13" t="n">
        <v>44684</v>
      </c>
      <c r="E1582" s="14" t="n">
        <v>3977.19</v>
      </c>
      <c r="F1582" s="14" t="n">
        <v>19186.18</v>
      </c>
      <c r="G1582" s="6" t="s">
        <v>2613</v>
      </c>
    </row>
    <row r="1583" customFormat="false" ht="15" hidden="false" customHeight="true" outlineLevel="0" collapsed="false">
      <c r="A1583" s="6" t="s">
        <v>4195</v>
      </c>
      <c r="B1583" s="6" t="s">
        <v>521</v>
      </c>
      <c r="C1583" s="6" t="s">
        <v>112</v>
      </c>
      <c r="D1583" s="13" t="n">
        <v>44691</v>
      </c>
      <c r="E1583" s="14" t="n">
        <v>5842.75</v>
      </c>
      <c r="F1583" s="14" t="n">
        <v>25028.93</v>
      </c>
      <c r="G1583" s="6" t="s">
        <v>2613</v>
      </c>
    </row>
    <row r="1584" customFormat="false" ht="15" hidden="false" customHeight="true" outlineLevel="0" collapsed="false">
      <c r="A1584" s="6" t="s">
        <v>4196</v>
      </c>
      <c r="B1584" s="6" t="s">
        <v>521</v>
      </c>
      <c r="C1584" s="6" t="s">
        <v>112</v>
      </c>
      <c r="D1584" s="13" t="n">
        <v>44698</v>
      </c>
      <c r="E1584" s="14" t="n">
        <v>3923.8</v>
      </c>
      <c r="F1584" s="14" t="n">
        <v>28952.73</v>
      </c>
      <c r="G1584" s="6" t="s">
        <v>2613</v>
      </c>
    </row>
    <row r="1585" customFormat="false" ht="15" hidden="false" customHeight="true" outlineLevel="0" collapsed="false">
      <c r="A1585" s="6" t="s">
        <v>4197</v>
      </c>
      <c r="B1585" s="6" t="s">
        <v>521</v>
      </c>
      <c r="C1585" s="6" t="s">
        <v>112</v>
      </c>
      <c r="D1585" s="13" t="n">
        <v>44705</v>
      </c>
      <c r="E1585" s="14" t="n">
        <v>3316.83</v>
      </c>
      <c r="F1585" s="14" t="n">
        <v>32269.56</v>
      </c>
      <c r="G1585" s="6" t="s">
        <v>2613</v>
      </c>
    </row>
    <row r="1586" customFormat="false" ht="15" hidden="false" customHeight="true" outlineLevel="0" collapsed="false">
      <c r="A1586" s="6" t="s">
        <v>4198</v>
      </c>
      <c r="B1586" s="6" t="s">
        <v>521</v>
      </c>
      <c r="C1586" s="6" t="s">
        <v>112</v>
      </c>
      <c r="D1586" s="13" t="n">
        <v>44712</v>
      </c>
      <c r="E1586" s="14" t="n">
        <v>5024.88</v>
      </c>
      <c r="F1586" s="14" t="n">
        <v>37294.44</v>
      </c>
      <c r="G1586" s="6" t="s">
        <v>2613</v>
      </c>
    </row>
    <row r="1587" customFormat="false" ht="15" hidden="false" customHeight="true" outlineLevel="0" collapsed="false">
      <c r="A1587" s="6" t="s">
        <v>4199</v>
      </c>
      <c r="B1587" s="6" t="s">
        <v>521</v>
      </c>
      <c r="C1587" s="6" t="s">
        <v>112</v>
      </c>
      <c r="D1587" s="13" t="n">
        <v>44719</v>
      </c>
      <c r="E1587" s="14" t="n">
        <v>4959.28</v>
      </c>
      <c r="F1587" s="14" t="n">
        <v>42253.72</v>
      </c>
      <c r="G1587" s="6" t="s">
        <v>2613</v>
      </c>
    </row>
    <row r="1588" customFormat="false" ht="15" hidden="false" customHeight="true" outlineLevel="0" collapsed="false">
      <c r="A1588" s="6" t="s">
        <v>4200</v>
      </c>
      <c r="B1588" s="6" t="s">
        <v>521</v>
      </c>
      <c r="C1588" s="6" t="s">
        <v>112</v>
      </c>
      <c r="D1588" s="13" t="n">
        <v>44726</v>
      </c>
      <c r="E1588" s="14" t="n">
        <v>3917.66</v>
      </c>
      <c r="F1588" s="14" t="n">
        <v>46171.38</v>
      </c>
      <c r="G1588" s="6" t="s">
        <v>2613</v>
      </c>
    </row>
    <row r="1589" customFormat="false" ht="15" hidden="false" customHeight="true" outlineLevel="0" collapsed="false">
      <c r="A1589" s="6" t="s">
        <v>4201</v>
      </c>
      <c r="B1589" s="6" t="s">
        <v>521</v>
      </c>
      <c r="C1589" s="6" t="s">
        <v>112</v>
      </c>
      <c r="D1589" s="13" t="n">
        <v>44733</v>
      </c>
      <c r="E1589" s="14" t="n">
        <v>5962.53</v>
      </c>
      <c r="F1589" s="14" t="n">
        <v>52133.91</v>
      </c>
      <c r="G1589" s="6" t="s">
        <v>2613</v>
      </c>
    </row>
    <row r="1590" customFormat="false" ht="15" hidden="false" customHeight="true" outlineLevel="0" collapsed="false">
      <c r="A1590" s="6" t="s">
        <v>4202</v>
      </c>
      <c r="B1590" s="6" t="s">
        <v>521</v>
      </c>
      <c r="C1590" s="6" t="s">
        <v>112</v>
      </c>
      <c r="D1590" s="13" t="n">
        <v>44740</v>
      </c>
      <c r="E1590" s="14" t="n">
        <v>3534.82</v>
      </c>
      <c r="F1590" s="14" t="n">
        <v>55668.73</v>
      </c>
      <c r="G1590" s="6" t="s">
        <v>2613</v>
      </c>
    </row>
    <row r="1591" customFormat="false" ht="15" hidden="false" customHeight="true" outlineLevel="0" collapsed="false">
      <c r="A1591" s="6" t="s">
        <v>4203</v>
      </c>
      <c r="B1591" s="6" t="s">
        <v>521</v>
      </c>
      <c r="C1591" s="6" t="s">
        <v>112</v>
      </c>
      <c r="D1591" s="13" t="n">
        <v>44747</v>
      </c>
      <c r="E1591" s="14" t="n">
        <v>6680.6</v>
      </c>
      <c r="F1591" s="14" t="n">
        <v>62349.33</v>
      </c>
      <c r="G1591" s="6" t="s">
        <v>2613</v>
      </c>
    </row>
    <row r="1592" customFormat="false" ht="15" hidden="false" customHeight="true" outlineLevel="0" collapsed="false">
      <c r="A1592" s="6" t="s">
        <v>4204</v>
      </c>
      <c r="B1592" s="6" t="s">
        <v>523</v>
      </c>
      <c r="C1592" s="6" t="s">
        <v>128</v>
      </c>
      <c r="D1592" s="13" t="n">
        <v>45782</v>
      </c>
      <c r="E1592" s="14" t="n">
        <v>1010.53</v>
      </c>
      <c r="F1592" s="14" t="n">
        <v>1010.53</v>
      </c>
      <c r="G1592" s="6" t="s">
        <v>2613</v>
      </c>
    </row>
    <row r="1593" customFormat="false" ht="15" hidden="false" customHeight="true" outlineLevel="0" collapsed="false">
      <c r="A1593" s="6" t="s">
        <v>4205</v>
      </c>
      <c r="B1593" s="6" t="s">
        <v>523</v>
      </c>
      <c r="C1593" s="6" t="s">
        <v>128</v>
      </c>
      <c r="D1593" s="13" t="n">
        <v>45789</v>
      </c>
      <c r="E1593" s="14" t="n">
        <v>914.62</v>
      </c>
      <c r="F1593" s="14" t="n">
        <v>1925.15</v>
      </c>
      <c r="G1593" s="6" t="s">
        <v>2613</v>
      </c>
    </row>
    <row r="1594" customFormat="false" ht="15" hidden="false" customHeight="true" outlineLevel="0" collapsed="false">
      <c r="A1594" s="6" t="s">
        <v>4206</v>
      </c>
      <c r="B1594" s="6" t="s">
        <v>523</v>
      </c>
      <c r="C1594" s="6" t="s">
        <v>128</v>
      </c>
      <c r="D1594" s="13" t="n">
        <v>45796</v>
      </c>
      <c r="E1594" s="14" t="n">
        <v>1274.67</v>
      </c>
      <c r="F1594" s="14" t="n">
        <v>3199.82</v>
      </c>
      <c r="G1594" s="6" t="s">
        <v>2613</v>
      </c>
    </row>
    <row r="1595" customFormat="false" ht="15" hidden="false" customHeight="true" outlineLevel="0" collapsed="false">
      <c r="A1595" s="6" t="s">
        <v>4207</v>
      </c>
      <c r="B1595" s="6" t="s">
        <v>523</v>
      </c>
      <c r="C1595" s="6" t="s">
        <v>128</v>
      </c>
      <c r="D1595" s="13" t="n">
        <v>45803</v>
      </c>
      <c r="E1595" s="14" t="n">
        <v>700.16</v>
      </c>
      <c r="F1595" s="14" t="n">
        <v>3899.98</v>
      </c>
      <c r="G1595" s="6" t="s">
        <v>2613</v>
      </c>
    </row>
    <row r="1596" customFormat="false" ht="15" hidden="false" customHeight="true" outlineLevel="0" collapsed="false">
      <c r="A1596" s="6" t="s">
        <v>4208</v>
      </c>
      <c r="B1596" s="6" t="s">
        <v>523</v>
      </c>
      <c r="C1596" s="6" t="s">
        <v>128</v>
      </c>
      <c r="D1596" s="13" t="n">
        <v>45810</v>
      </c>
      <c r="E1596" s="14" t="n">
        <v>1279.76</v>
      </c>
      <c r="F1596" s="14" t="n">
        <v>5179.74</v>
      </c>
      <c r="G1596" s="6" t="s">
        <v>2613</v>
      </c>
    </row>
    <row r="1597" customFormat="false" ht="15" hidden="false" customHeight="true" outlineLevel="0" collapsed="false">
      <c r="A1597" s="6" t="s">
        <v>4209</v>
      </c>
      <c r="B1597" s="6" t="s">
        <v>523</v>
      </c>
      <c r="C1597" s="6" t="s">
        <v>128</v>
      </c>
      <c r="D1597" s="13" t="n">
        <v>45817</v>
      </c>
      <c r="E1597" s="14" t="n">
        <v>712.3</v>
      </c>
      <c r="F1597" s="14" t="n">
        <v>5892.04</v>
      </c>
      <c r="G1597" s="6" t="s">
        <v>2613</v>
      </c>
    </row>
    <row r="1598" customFormat="false" ht="15" hidden="false" customHeight="true" outlineLevel="0" collapsed="false">
      <c r="A1598" s="6" t="s">
        <v>4210</v>
      </c>
      <c r="B1598" s="6" t="s">
        <v>523</v>
      </c>
      <c r="C1598" s="6" t="s">
        <v>128</v>
      </c>
      <c r="D1598" s="13" t="n">
        <v>45824</v>
      </c>
      <c r="E1598" s="14" t="n">
        <v>1502.09</v>
      </c>
      <c r="F1598" s="14" t="n">
        <v>7394.13</v>
      </c>
      <c r="G1598" s="6" t="s">
        <v>2613</v>
      </c>
    </row>
    <row r="1599" customFormat="false" ht="15" hidden="false" customHeight="true" outlineLevel="0" collapsed="false">
      <c r="A1599" s="6" t="s">
        <v>4211</v>
      </c>
      <c r="B1599" s="6" t="s">
        <v>525</v>
      </c>
      <c r="C1599" s="6" t="s">
        <v>112</v>
      </c>
      <c r="D1599" s="13" t="n">
        <v>45313</v>
      </c>
      <c r="E1599" s="14" t="n">
        <v>4623.52</v>
      </c>
      <c r="F1599" s="14" t="n">
        <v>4623.52</v>
      </c>
      <c r="G1599" s="6" t="s">
        <v>2613</v>
      </c>
    </row>
    <row r="1600" customFormat="false" ht="15" hidden="false" customHeight="true" outlineLevel="0" collapsed="false">
      <c r="A1600" s="6" t="s">
        <v>4212</v>
      </c>
      <c r="B1600" s="6" t="s">
        <v>525</v>
      </c>
      <c r="C1600" s="6" t="s">
        <v>112</v>
      </c>
      <c r="D1600" s="13" t="n">
        <v>45320</v>
      </c>
      <c r="E1600" s="14" t="n">
        <v>5333.21</v>
      </c>
      <c r="F1600" s="14" t="n">
        <v>9956.73</v>
      </c>
      <c r="G1600" s="6" t="s">
        <v>2613</v>
      </c>
    </row>
    <row r="1601" customFormat="false" ht="15" hidden="false" customHeight="true" outlineLevel="0" collapsed="false">
      <c r="A1601" s="6" t="s">
        <v>4213</v>
      </c>
      <c r="B1601" s="6" t="s">
        <v>525</v>
      </c>
      <c r="C1601" s="6" t="s">
        <v>112</v>
      </c>
      <c r="D1601" s="13" t="n">
        <v>45327</v>
      </c>
      <c r="E1601" s="14" t="n">
        <v>2549.19</v>
      </c>
      <c r="F1601" s="14" t="n">
        <v>12505.92</v>
      </c>
      <c r="G1601" s="6" t="s">
        <v>2613</v>
      </c>
    </row>
    <row r="1602" customFormat="false" ht="15" hidden="false" customHeight="true" outlineLevel="0" collapsed="false">
      <c r="A1602" s="6" t="s">
        <v>4214</v>
      </c>
      <c r="B1602" s="6" t="s">
        <v>525</v>
      </c>
      <c r="C1602" s="6" t="s">
        <v>112</v>
      </c>
      <c r="D1602" s="13" t="n">
        <v>45334</v>
      </c>
      <c r="E1602" s="14" t="n">
        <v>3598.5</v>
      </c>
      <c r="F1602" s="14" t="n">
        <v>16104.42</v>
      </c>
      <c r="G1602" s="6" t="s">
        <v>2613</v>
      </c>
    </row>
    <row r="1603" customFormat="false" ht="15" hidden="false" customHeight="true" outlineLevel="0" collapsed="false">
      <c r="A1603" s="6" t="s">
        <v>4215</v>
      </c>
      <c r="B1603" s="6" t="s">
        <v>525</v>
      </c>
      <c r="C1603" s="6" t="s">
        <v>112</v>
      </c>
      <c r="D1603" s="13" t="n">
        <v>45341</v>
      </c>
      <c r="E1603" s="14" t="n">
        <v>3008.34</v>
      </c>
      <c r="F1603" s="14" t="n">
        <v>19112.76</v>
      </c>
      <c r="G1603" s="6" t="s">
        <v>2613</v>
      </c>
    </row>
    <row r="1604" customFormat="false" ht="15" hidden="false" customHeight="true" outlineLevel="0" collapsed="false">
      <c r="A1604" s="6" t="s">
        <v>4216</v>
      </c>
      <c r="B1604" s="6" t="s">
        <v>525</v>
      </c>
      <c r="C1604" s="6" t="s">
        <v>112</v>
      </c>
      <c r="D1604" s="13" t="n">
        <v>45348</v>
      </c>
      <c r="E1604" s="14" t="n">
        <v>4425.08</v>
      </c>
      <c r="F1604" s="14" t="n">
        <v>23537.84</v>
      </c>
      <c r="G1604" s="6" t="s">
        <v>2613</v>
      </c>
    </row>
    <row r="1605" customFormat="false" ht="15" hidden="false" customHeight="true" outlineLevel="0" collapsed="false">
      <c r="A1605" s="6" t="s">
        <v>4217</v>
      </c>
      <c r="B1605" s="6" t="s">
        <v>525</v>
      </c>
      <c r="C1605" s="6" t="s">
        <v>112</v>
      </c>
      <c r="D1605" s="13" t="n">
        <v>45355</v>
      </c>
      <c r="E1605" s="14" t="n">
        <v>2786.6</v>
      </c>
      <c r="F1605" s="14" t="n">
        <v>26324.44</v>
      </c>
      <c r="G1605" s="6" t="s">
        <v>2613</v>
      </c>
    </row>
    <row r="1606" customFormat="false" ht="15" hidden="false" customHeight="true" outlineLevel="0" collapsed="false">
      <c r="A1606" s="6" t="s">
        <v>4218</v>
      </c>
      <c r="B1606" s="6" t="s">
        <v>525</v>
      </c>
      <c r="C1606" s="6" t="s">
        <v>112</v>
      </c>
      <c r="D1606" s="13" t="n">
        <v>45362</v>
      </c>
      <c r="E1606" s="14" t="n">
        <v>5053.39</v>
      </c>
      <c r="F1606" s="14" t="n">
        <v>31377.83</v>
      </c>
      <c r="G1606" s="6" t="s">
        <v>2613</v>
      </c>
    </row>
    <row r="1607" customFormat="false" ht="15" hidden="false" customHeight="true" outlineLevel="0" collapsed="false">
      <c r="A1607" s="6" t="s">
        <v>4219</v>
      </c>
      <c r="B1607" s="6" t="s">
        <v>525</v>
      </c>
      <c r="C1607" s="6" t="s">
        <v>112</v>
      </c>
      <c r="D1607" s="13" t="n">
        <v>45369</v>
      </c>
      <c r="E1607" s="14" t="n">
        <v>4572.13</v>
      </c>
      <c r="F1607" s="14" t="n">
        <v>35949.96</v>
      </c>
      <c r="G1607" s="6" t="s">
        <v>2613</v>
      </c>
    </row>
    <row r="1608" customFormat="false" ht="15" hidden="false" customHeight="true" outlineLevel="0" collapsed="false">
      <c r="A1608" s="6" t="s">
        <v>4220</v>
      </c>
      <c r="B1608" s="6" t="s">
        <v>525</v>
      </c>
      <c r="C1608" s="6" t="s">
        <v>112</v>
      </c>
      <c r="D1608" s="13" t="n">
        <v>45376</v>
      </c>
      <c r="E1608" s="14" t="n">
        <v>4190.84</v>
      </c>
      <c r="F1608" s="14" t="n">
        <v>40140.8</v>
      </c>
      <c r="G1608" s="6" t="s">
        <v>2613</v>
      </c>
    </row>
    <row r="1609" customFormat="false" ht="15" hidden="false" customHeight="true" outlineLevel="0" collapsed="false">
      <c r="A1609" s="6" t="s">
        <v>4221</v>
      </c>
      <c r="B1609" s="6" t="s">
        <v>525</v>
      </c>
      <c r="C1609" s="6" t="s">
        <v>112</v>
      </c>
      <c r="D1609" s="13" t="n">
        <v>45383</v>
      </c>
      <c r="E1609" s="14" t="n">
        <v>3801.07</v>
      </c>
      <c r="F1609" s="14" t="n">
        <v>43941.87</v>
      </c>
      <c r="G1609" s="6" t="s">
        <v>2613</v>
      </c>
    </row>
    <row r="1610" customFormat="false" ht="15" hidden="false" customHeight="true" outlineLevel="0" collapsed="false">
      <c r="A1610" s="6" t="s">
        <v>4222</v>
      </c>
      <c r="B1610" s="6" t="s">
        <v>525</v>
      </c>
      <c r="C1610" s="6" t="s">
        <v>112</v>
      </c>
      <c r="D1610" s="13" t="n">
        <v>45390</v>
      </c>
      <c r="E1610" s="14" t="n">
        <v>4240.51</v>
      </c>
      <c r="F1610" s="14" t="n">
        <v>48182.38</v>
      </c>
      <c r="G1610" s="6" t="s">
        <v>2613</v>
      </c>
    </row>
    <row r="1611" customFormat="false" ht="15" hidden="false" customHeight="true" outlineLevel="0" collapsed="false">
      <c r="A1611" s="6" t="s">
        <v>4223</v>
      </c>
      <c r="B1611" s="6" t="s">
        <v>525</v>
      </c>
      <c r="C1611" s="6" t="s">
        <v>112</v>
      </c>
      <c r="D1611" s="13" t="n">
        <v>45397</v>
      </c>
      <c r="E1611" s="14" t="n">
        <v>3704.28</v>
      </c>
      <c r="F1611" s="14" t="n">
        <v>51886.66</v>
      </c>
      <c r="G1611" s="6" t="s">
        <v>2613</v>
      </c>
    </row>
    <row r="1612" customFormat="false" ht="15" hidden="false" customHeight="true" outlineLevel="0" collapsed="false">
      <c r="A1612" s="6" t="s">
        <v>4224</v>
      </c>
      <c r="B1612" s="6" t="s">
        <v>525</v>
      </c>
      <c r="C1612" s="6" t="s">
        <v>112</v>
      </c>
      <c r="D1612" s="13" t="n">
        <v>45404</v>
      </c>
      <c r="E1612" s="14" t="n">
        <v>5109.45</v>
      </c>
      <c r="F1612" s="14" t="n">
        <v>56996.11</v>
      </c>
      <c r="G1612" s="6" t="s">
        <v>2613</v>
      </c>
    </row>
    <row r="1613" customFormat="false" ht="15" hidden="false" customHeight="true" outlineLevel="0" collapsed="false">
      <c r="A1613" s="6" t="s">
        <v>4225</v>
      </c>
      <c r="B1613" s="6" t="s">
        <v>525</v>
      </c>
      <c r="C1613" s="6" t="s">
        <v>112</v>
      </c>
      <c r="D1613" s="13" t="n">
        <v>45411</v>
      </c>
      <c r="E1613" s="14" t="n">
        <v>5012.74</v>
      </c>
      <c r="F1613" s="14" t="n">
        <v>62008.85</v>
      </c>
      <c r="G1613" s="6" t="s">
        <v>2613</v>
      </c>
    </row>
    <row r="1614" customFormat="false" ht="15" hidden="false" customHeight="true" outlineLevel="0" collapsed="false">
      <c r="A1614" s="6" t="s">
        <v>4226</v>
      </c>
      <c r="B1614" s="6" t="s">
        <v>525</v>
      </c>
      <c r="C1614" s="6" t="s">
        <v>112</v>
      </c>
      <c r="D1614" s="13" t="n">
        <v>45418</v>
      </c>
      <c r="E1614" s="14" t="n">
        <v>5022.58</v>
      </c>
      <c r="F1614" s="14" t="n">
        <v>67031.43</v>
      </c>
      <c r="G1614" s="6" t="s">
        <v>2613</v>
      </c>
    </row>
    <row r="1615" customFormat="false" ht="15" hidden="false" customHeight="true" outlineLevel="0" collapsed="false">
      <c r="A1615" s="6" t="s">
        <v>4227</v>
      </c>
      <c r="B1615" s="6" t="s">
        <v>525</v>
      </c>
      <c r="C1615" s="6" t="s">
        <v>112</v>
      </c>
      <c r="D1615" s="13" t="n">
        <v>45425</v>
      </c>
      <c r="E1615" s="14" t="n">
        <v>2394.19</v>
      </c>
      <c r="F1615" s="14" t="n">
        <v>69425.62</v>
      </c>
      <c r="G1615" s="6" t="s">
        <v>2613</v>
      </c>
    </row>
    <row r="1616" customFormat="false" ht="15" hidden="false" customHeight="true" outlineLevel="0" collapsed="false">
      <c r="A1616" s="6" t="s">
        <v>4228</v>
      </c>
      <c r="B1616" s="6" t="s">
        <v>527</v>
      </c>
      <c r="C1616" s="6" t="s">
        <v>131</v>
      </c>
      <c r="D1616" s="13" t="n">
        <v>44929</v>
      </c>
      <c r="E1616" s="14" t="n">
        <v>11144.75</v>
      </c>
      <c r="F1616" s="14" t="n">
        <v>11144.75</v>
      </c>
      <c r="G1616" s="6" t="s">
        <v>2613</v>
      </c>
    </row>
    <row r="1617" customFormat="false" ht="15" hidden="false" customHeight="true" outlineLevel="0" collapsed="false">
      <c r="A1617" s="6" t="s">
        <v>4229</v>
      </c>
      <c r="B1617" s="6" t="s">
        <v>527</v>
      </c>
      <c r="C1617" s="6" t="s">
        <v>131</v>
      </c>
      <c r="D1617" s="13" t="n">
        <v>44936</v>
      </c>
      <c r="E1617" s="14" t="n">
        <v>11129.43</v>
      </c>
      <c r="F1617" s="14" t="n">
        <v>22274.18</v>
      </c>
      <c r="G1617" s="6" t="s">
        <v>2613</v>
      </c>
    </row>
    <row r="1618" customFormat="false" ht="15" hidden="false" customHeight="true" outlineLevel="0" collapsed="false">
      <c r="A1618" s="6" t="s">
        <v>4230</v>
      </c>
      <c r="B1618" s="6" t="s">
        <v>527</v>
      </c>
      <c r="C1618" s="6" t="s">
        <v>131</v>
      </c>
      <c r="D1618" s="13" t="n">
        <v>44943</v>
      </c>
      <c r="E1618" s="14" t="n">
        <v>8905.89</v>
      </c>
      <c r="F1618" s="14" t="n">
        <v>31180.07</v>
      </c>
      <c r="G1618" s="6" t="s">
        <v>2613</v>
      </c>
    </row>
    <row r="1619" customFormat="false" ht="15" hidden="false" customHeight="true" outlineLevel="0" collapsed="false">
      <c r="A1619" s="6" t="s">
        <v>4231</v>
      </c>
      <c r="B1619" s="6" t="s">
        <v>527</v>
      </c>
      <c r="C1619" s="6" t="s">
        <v>131</v>
      </c>
      <c r="D1619" s="13" t="n">
        <v>44950</v>
      </c>
      <c r="E1619" s="14" t="n">
        <v>6707.74</v>
      </c>
      <c r="F1619" s="14" t="n">
        <v>37887.81</v>
      </c>
      <c r="G1619" s="6" t="s">
        <v>2613</v>
      </c>
    </row>
    <row r="1620" customFormat="false" ht="15" hidden="false" customHeight="true" outlineLevel="0" collapsed="false">
      <c r="A1620" s="6" t="s">
        <v>4232</v>
      </c>
      <c r="B1620" s="6" t="s">
        <v>527</v>
      </c>
      <c r="C1620" s="6" t="s">
        <v>131</v>
      </c>
      <c r="D1620" s="13" t="n">
        <v>44957</v>
      </c>
      <c r="E1620" s="14" t="n">
        <v>7347.81</v>
      </c>
      <c r="F1620" s="14" t="n">
        <v>45235.62</v>
      </c>
      <c r="G1620" s="6" t="s">
        <v>2613</v>
      </c>
    </row>
    <row r="1621" customFormat="false" ht="15" hidden="false" customHeight="true" outlineLevel="0" collapsed="false">
      <c r="A1621" s="6" t="s">
        <v>4233</v>
      </c>
      <c r="B1621" s="6" t="s">
        <v>527</v>
      </c>
      <c r="C1621" s="6" t="s">
        <v>131</v>
      </c>
      <c r="D1621" s="13" t="n">
        <v>44964</v>
      </c>
      <c r="E1621" s="14" t="n">
        <v>16759.61</v>
      </c>
      <c r="F1621" s="14" t="n">
        <v>61995.23</v>
      </c>
      <c r="G1621" s="6" t="s">
        <v>2613</v>
      </c>
    </row>
    <row r="1622" customFormat="false" ht="15" hidden="false" customHeight="true" outlineLevel="0" collapsed="false">
      <c r="A1622" s="6" t="s">
        <v>4234</v>
      </c>
      <c r="B1622" s="6" t="s">
        <v>529</v>
      </c>
      <c r="C1622" s="6" t="s">
        <v>112</v>
      </c>
      <c r="D1622" s="13" t="n">
        <v>45960</v>
      </c>
      <c r="E1622" s="14" t="n">
        <v>3147.2</v>
      </c>
      <c r="F1622" s="14" t="n">
        <v>3147.2</v>
      </c>
      <c r="G1622" s="6" t="s">
        <v>2613</v>
      </c>
    </row>
    <row r="1623" customFormat="false" ht="15" hidden="false" customHeight="true" outlineLevel="0" collapsed="false">
      <c r="A1623" s="6" t="s">
        <v>4235</v>
      </c>
      <c r="B1623" s="6" t="s">
        <v>529</v>
      </c>
      <c r="C1623" s="6" t="s">
        <v>112</v>
      </c>
      <c r="D1623" s="13" t="n">
        <v>45967</v>
      </c>
      <c r="E1623" s="14" t="n">
        <v>2906.89</v>
      </c>
      <c r="F1623" s="14" t="n">
        <v>6054.09</v>
      </c>
      <c r="G1623" s="6" t="s">
        <v>2623</v>
      </c>
    </row>
    <row r="1624" customFormat="false" ht="15" hidden="false" customHeight="true" outlineLevel="0" collapsed="false">
      <c r="A1624" s="6" t="s">
        <v>4236</v>
      </c>
      <c r="B1624" s="6" t="s">
        <v>529</v>
      </c>
      <c r="C1624" s="6" t="s">
        <v>112</v>
      </c>
      <c r="D1624" s="13" t="n">
        <v>45974</v>
      </c>
      <c r="E1624" s="14" t="n">
        <v>2013.93</v>
      </c>
      <c r="F1624" s="14" t="n">
        <v>8068.02</v>
      </c>
      <c r="G1624" s="6" t="s">
        <v>2613</v>
      </c>
    </row>
    <row r="1625" customFormat="false" ht="15" hidden="false" customHeight="true" outlineLevel="0" collapsed="false">
      <c r="A1625" s="6" t="s">
        <v>4237</v>
      </c>
      <c r="B1625" s="6" t="s">
        <v>529</v>
      </c>
      <c r="C1625" s="6" t="s">
        <v>112</v>
      </c>
      <c r="D1625" s="13" t="n">
        <v>45981</v>
      </c>
      <c r="E1625" s="14" t="n">
        <v>3066.1</v>
      </c>
      <c r="F1625" s="14" t="n">
        <v>11134.12</v>
      </c>
      <c r="G1625" s="6" t="s">
        <v>2613</v>
      </c>
    </row>
    <row r="1626" customFormat="false" ht="15" hidden="false" customHeight="true" outlineLevel="0" collapsed="false">
      <c r="A1626" s="6" t="s">
        <v>4238</v>
      </c>
      <c r="B1626" s="6" t="s">
        <v>529</v>
      </c>
      <c r="C1626" s="6" t="s">
        <v>112</v>
      </c>
      <c r="D1626" s="13" t="n">
        <v>45988</v>
      </c>
      <c r="E1626" s="14" t="n">
        <v>2773.85</v>
      </c>
      <c r="F1626" s="14" t="n">
        <v>13907.97</v>
      </c>
      <c r="G1626" s="6" t="s">
        <v>2613</v>
      </c>
    </row>
    <row r="1627" customFormat="false" ht="15" hidden="false" customHeight="true" outlineLevel="0" collapsed="false">
      <c r="A1627" s="6" t="s">
        <v>4239</v>
      </c>
      <c r="B1627" s="6" t="s">
        <v>529</v>
      </c>
      <c r="C1627" s="6" t="s">
        <v>112</v>
      </c>
      <c r="D1627" s="13" t="n">
        <v>45995</v>
      </c>
      <c r="E1627" s="14" t="n">
        <v>3450.46</v>
      </c>
      <c r="F1627" s="14" t="n">
        <v>17358.43</v>
      </c>
      <c r="G1627" s="6" t="s">
        <v>2623</v>
      </c>
    </row>
    <row r="1628" customFormat="false" ht="15" hidden="false" customHeight="true" outlineLevel="0" collapsed="false">
      <c r="A1628" s="6" t="s">
        <v>4240</v>
      </c>
      <c r="B1628" s="6" t="s">
        <v>529</v>
      </c>
      <c r="C1628" s="6" t="s">
        <v>112</v>
      </c>
      <c r="D1628" s="13" t="n">
        <v>46002</v>
      </c>
      <c r="E1628" s="14" t="n">
        <v>5885.75</v>
      </c>
      <c r="F1628" s="14" t="n">
        <v>23244.18</v>
      </c>
      <c r="G1628" s="6" t="s">
        <v>2613</v>
      </c>
    </row>
    <row r="1629" customFormat="false" ht="15" hidden="false" customHeight="true" outlineLevel="0" collapsed="false">
      <c r="A1629" s="6" t="s">
        <v>4241</v>
      </c>
      <c r="B1629" s="6" t="s">
        <v>531</v>
      </c>
      <c r="C1629" s="6" t="s">
        <v>120</v>
      </c>
      <c r="D1629" s="13" t="n">
        <v>45001</v>
      </c>
      <c r="E1629" s="14" t="n">
        <v>5704.53</v>
      </c>
      <c r="F1629" s="14" t="n">
        <v>5704.53</v>
      </c>
      <c r="G1629" s="6" t="s">
        <v>2613</v>
      </c>
    </row>
    <row r="1630" customFormat="false" ht="15" hidden="false" customHeight="true" outlineLevel="0" collapsed="false">
      <c r="A1630" s="6" t="s">
        <v>4242</v>
      </c>
      <c r="B1630" s="6" t="s">
        <v>531</v>
      </c>
      <c r="C1630" s="6" t="s">
        <v>120</v>
      </c>
      <c r="D1630" s="13" t="n">
        <v>45008</v>
      </c>
      <c r="E1630" s="14" t="n">
        <v>10181.05</v>
      </c>
      <c r="F1630" s="14" t="n">
        <v>15885.58</v>
      </c>
      <c r="G1630" s="6" t="s">
        <v>2613</v>
      </c>
    </row>
    <row r="1631" customFormat="false" ht="15" hidden="false" customHeight="true" outlineLevel="0" collapsed="false">
      <c r="A1631" s="6" t="s">
        <v>4243</v>
      </c>
      <c r="B1631" s="6" t="s">
        <v>531</v>
      </c>
      <c r="C1631" s="6" t="s">
        <v>120</v>
      </c>
      <c r="D1631" s="13" t="n">
        <v>45015</v>
      </c>
      <c r="E1631" s="14" t="n">
        <v>5498.05</v>
      </c>
      <c r="F1631" s="14" t="n">
        <v>21383.63</v>
      </c>
      <c r="G1631" s="6" t="s">
        <v>2613</v>
      </c>
    </row>
    <row r="1632" customFormat="false" ht="15" hidden="false" customHeight="true" outlineLevel="0" collapsed="false">
      <c r="A1632" s="6" t="s">
        <v>4244</v>
      </c>
      <c r="B1632" s="6" t="s">
        <v>531</v>
      </c>
      <c r="C1632" s="6" t="s">
        <v>120</v>
      </c>
      <c r="D1632" s="13" t="n">
        <v>45022</v>
      </c>
      <c r="E1632" s="14" t="n">
        <v>8634.17</v>
      </c>
      <c r="F1632" s="14" t="n">
        <v>30017.8</v>
      </c>
      <c r="G1632" s="6" t="s">
        <v>2613</v>
      </c>
    </row>
    <row r="1633" customFormat="false" ht="15" hidden="false" customHeight="true" outlineLevel="0" collapsed="false">
      <c r="A1633" s="6" t="s">
        <v>4245</v>
      </c>
      <c r="B1633" s="6" t="s">
        <v>531</v>
      </c>
      <c r="C1633" s="6" t="s">
        <v>120</v>
      </c>
      <c r="D1633" s="13" t="n">
        <v>45029</v>
      </c>
      <c r="E1633" s="14" t="n">
        <v>4996.31</v>
      </c>
      <c r="F1633" s="14" t="n">
        <v>35014.11</v>
      </c>
      <c r="G1633" s="6" t="s">
        <v>2623</v>
      </c>
    </row>
    <row r="1634" customFormat="false" ht="15" hidden="false" customHeight="true" outlineLevel="0" collapsed="false">
      <c r="A1634" s="6" t="s">
        <v>4246</v>
      </c>
      <c r="B1634" s="6" t="s">
        <v>531</v>
      </c>
      <c r="C1634" s="6" t="s">
        <v>120</v>
      </c>
      <c r="D1634" s="13" t="n">
        <v>45036</v>
      </c>
      <c r="E1634" s="14" t="n">
        <v>8945.92</v>
      </c>
      <c r="F1634" s="14" t="n">
        <v>43960.03</v>
      </c>
      <c r="G1634" s="6" t="s">
        <v>2613</v>
      </c>
    </row>
    <row r="1635" customFormat="false" ht="15" hidden="false" customHeight="true" outlineLevel="0" collapsed="false">
      <c r="A1635" s="6" t="s">
        <v>4247</v>
      </c>
      <c r="B1635" s="6" t="s">
        <v>531</v>
      </c>
      <c r="C1635" s="6" t="s">
        <v>120</v>
      </c>
      <c r="D1635" s="13" t="n">
        <v>45043</v>
      </c>
      <c r="E1635" s="14" t="n">
        <v>7215.49</v>
      </c>
      <c r="F1635" s="14" t="n">
        <v>51175.52</v>
      </c>
      <c r="G1635" s="6" t="s">
        <v>2613</v>
      </c>
    </row>
    <row r="1636" customFormat="false" ht="15" hidden="false" customHeight="true" outlineLevel="0" collapsed="false">
      <c r="A1636" s="6" t="s">
        <v>4248</v>
      </c>
      <c r="B1636" s="6" t="s">
        <v>531</v>
      </c>
      <c r="C1636" s="6" t="s">
        <v>120</v>
      </c>
      <c r="D1636" s="13" t="n">
        <v>45050</v>
      </c>
      <c r="E1636" s="14" t="n">
        <v>5074.85</v>
      </c>
      <c r="F1636" s="14" t="n">
        <v>56250.37</v>
      </c>
      <c r="G1636" s="6" t="s">
        <v>2613</v>
      </c>
    </row>
    <row r="1637" customFormat="false" ht="15" hidden="false" customHeight="true" outlineLevel="0" collapsed="false">
      <c r="A1637" s="6" t="s">
        <v>4249</v>
      </c>
      <c r="B1637" s="6" t="s">
        <v>531</v>
      </c>
      <c r="C1637" s="6" t="s">
        <v>120</v>
      </c>
      <c r="D1637" s="13" t="n">
        <v>45057</v>
      </c>
      <c r="E1637" s="14" t="n">
        <v>7088.54</v>
      </c>
      <c r="F1637" s="14" t="n">
        <v>63338.91</v>
      </c>
      <c r="G1637" s="6" t="s">
        <v>2613</v>
      </c>
    </row>
    <row r="1638" customFormat="false" ht="15" hidden="false" customHeight="true" outlineLevel="0" collapsed="false">
      <c r="A1638" s="6" t="s">
        <v>4250</v>
      </c>
      <c r="B1638" s="6" t="s">
        <v>531</v>
      </c>
      <c r="C1638" s="6" t="s">
        <v>120</v>
      </c>
      <c r="D1638" s="13" t="n">
        <v>45064</v>
      </c>
      <c r="E1638" s="14" t="n">
        <v>9356.87</v>
      </c>
      <c r="F1638" s="14" t="n">
        <v>72695.78</v>
      </c>
      <c r="G1638" s="6" t="s">
        <v>2613</v>
      </c>
    </row>
    <row r="1639" customFormat="false" ht="15" hidden="false" customHeight="true" outlineLevel="0" collapsed="false">
      <c r="A1639" s="6" t="s">
        <v>4251</v>
      </c>
      <c r="B1639" s="6" t="s">
        <v>531</v>
      </c>
      <c r="C1639" s="6" t="s">
        <v>120</v>
      </c>
      <c r="D1639" s="13" t="n">
        <v>45071</v>
      </c>
      <c r="E1639" s="14" t="n">
        <v>10905.86</v>
      </c>
      <c r="F1639" s="14" t="n">
        <v>83601.64</v>
      </c>
      <c r="G1639" s="6" t="s">
        <v>2613</v>
      </c>
    </row>
    <row r="1640" customFormat="false" ht="15" hidden="false" customHeight="true" outlineLevel="0" collapsed="false">
      <c r="A1640" s="6" t="s">
        <v>4252</v>
      </c>
      <c r="B1640" s="6" t="s">
        <v>533</v>
      </c>
      <c r="C1640" s="6" t="s">
        <v>116</v>
      </c>
      <c r="D1640" s="13" t="n">
        <v>45053</v>
      </c>
      <c r="E1640" s="14" t="n">
        <v>5840.51</v>
      </c>
      <c r="F1640" s="14" t="n">
        <v>5840.51</v>
      </c>
      <c r="G1640" s="6" t="s">
        <v>2613</v>
      </c>
    </row>
    <row r="1641" customFormat="false" ht="15" hidden="false" customHeight="true" outlineLevel="0" collapsed="false">
      <c r="A1641" s="6" t="s">
        <v>4253</v>
      </c>
      <c r="B1641" s="6" t="s">
        <v>533</v>
      </c>
      <c r="C1641" s="6" t="s">
        <v>116</v>
      </c>
      <c r="D1641" s="13" t="n">
        <v>45060</v>
      </c>
      <c r="E1641" s="14" t="n">
        <v>2729.28</v>
      </c>
      <c r="F1641" s="14" t="n">
        <v>8569.79</v>
      </c>
      <c r="G1641" s="6" t="s">
        <v>2623</v>
      </c>
    </row>
    <row r="1642" customFormat="false" ht="15" hidden="false" customHeight="true" outlineLevel="0" collapsed="false">
      <c r="A1642" s="6" t="s">
        <v>4254</v>
      </c>
      <c r="B1642" s="6" t="s">
        <v>533</v>
      </c>
      <c r="C1642" s="6" t="s">
        <v>116</v>
      </c>
      <c r="D1642" s="13" t="n">
        <v>45067</v>
      </c>
      <c r="E1642" s="14" t="n">
        <v>4296.24</v>
      </c>
      <c r="F1642" s="14" t="n">
        <v>12866.03</v>
      </c>
      <c r="G1642" s="6" t="s">
        <v>2613</v>
      </c>
    </row>
    <row r="1643" customFormat="false" ht="15" hidden="false" customHeight="true" outlineLevel="0" collapsed="false">
      <c r="A1643" s="6" t="s">
        <v>4255</v>
      </c>
      <c r="B1643" s="6" t="s">
        <v>533</v>
      </c>
      <c r="C1643" s="6" t="s">
        <v>116</v>
      </c>
      <c r="D1643" s="13" t="n">
        <v>45074</v>
      </c>
      <c r="E1643" s="14" t="n">
        <v>4634.15</v>
      </c>
      <c r="F1643" s="14" t="n">
        <v>17500.18</v>
      </c>
      <c r="G1643" s="6" t="s">
        <v>2613</v>
      </c>
    </row>
    <row r="1644" customFormat="false" ht="15" hidden="false" customHeight="true" outlineLevel="0" collapsed="false">
      <c r="A1644" s="6" t="s">
        <v>4256</v>
      </c>
      <c r="B1644" s="6" t="s">
        <v>533</v>
      </c>
      <c r="C1644" s="6" t="s">
        <v>116</v>
      </c>
      <c r="D1644" s="13" t="n">
        <v>45081</v>
      </c>
      <c r="E1644" s="14" t="n">
        <v>4272.45</v>
      </c>
      <c r="F1644" s="14" t="n">
        <v>21772.63</v>
      </c>
      <c r="G1644" s="6" t="s">
        <v>2623</v>
      </c>
    </row>
    <row r="1645" customFormat="false" ht="15" hidden="false" customHeight="true" outlineLevel="0" collapsed="false">
      <c r="A1645" s="6" t="s">
        <v>4257</v>
      </c>
      <c r="B1645" s="6" t="s">
        <v>535</v>
      </c>
      <c r="C1645" s="6" t="s">
        <v>131</v>
      </c>
      <c r="D1645" s="13" t="n">
        <v>45860</v>
      </c>
      <c r="E1645" s="14" t="n">
        <v>3337.44</v>
      </c>
      <c r="F1645" s="14" t="n">
        <v>3337.44</v>
      </c>
      <c r="G1645" s="6" t="s">
        <v>2613</v>
      </c>
    </row>
    <row r="1646" customFormat="false" ht="15" hidden="false" customHeight="true" outlineLevel="0" collapsed="false">
      <c r="A1646" s="6" t="s">
        <v>4258</v>
      </c>
      <c r="B1646" s="6" t="s">
        <v>535</v>
      </c>
      <c r="C1646" s="6" t="s">
        <v>131</v>
      </c>
      <c r="D1646" s="13" t="n">
        <v>45867</v>
      </c>
      <c r="E1646" s="14" t="n">
        <v>6239.34</v>
      </c>
      <c r="F1646" s="14" t="n">
        <v>9576.78</v>
      </c>
      <c r="G1646" s="6" t="s">
        <v>2613</v>
      </c>
    </row>
    <row r="1647" customFormat="false" ht="15" hidden="false" customHeight="true" outlineLevel="0" collapsed="false">
      <c r="A1647" s="6" t="s">
        <v>4259</v>
      </c>
      <c r="B1647" s="6" t="s">
        <v>535</v>
      </c>
      <c r="C1647" s="6" t="s">
        <v>131</v>
      </c>
      <c r="D1647" s="13" t="n">
        <v>45874</v>
      </c>
      <c r="E1647" s="14" t="n">
        <v>3235.44</v>
      </c>
      <c r="F1647" s="14" t="n">
        <v>12812.22</v>
      </c>
      <c r="G1647" s="6" t="s">
        <v>2613</v>
      </c>
    </row>
    <row r="1648" customFormat="false" ht="15" hidden="false" customHeight="true" outlineLevel="0" collapsed="false">
      <c r="A1648" s="6" t="s">
        <v>4260</v>
      </c>
      <c r="B1648" s="6" t="s">
        <v>535</v>
      </c>
      <c r="C1648" s="6" t="s">
        <v>131</v>
      </c>
      <c r="D1648" s="13" t="n">
        <v>45881</v>
      </c>
      <c r="E1648" s="14" t="n">
        <v>6160.47</v>
      </c>
      <c r="F1648" s="14" t="n">
        <v>18972.69</v>
      </c>
      <c r="G1648" s="6" t="s">
        <v>2613</v>
      </c>
    </row>
    <row r="1649" customFormat="false" ht="15" hidden="false" customHeight="true" outlineLevel="0" collapsed="false">
      <c r="A1649" s="6" t="s">
        <v>4261</v>
      </c>
      <c r="B1649" s="6" t="s">
        <v>535</v>
      </c>
      <c r="C1649" s="6" t="s">
        <v>131</v>
      </c>
      <c r="D1649" s="13" t="n">
        <v>45888</v>
      </c>
      <c r="E1649" s="14" t="n">
        <v>5088.95</v>
      </c>
      <c r="F1649" s="14" t="n">
        <v>24061.64</v>
      </c>
      <c r="G1649" s="6" t="s">
        <v>2613</v>
      </c>
    </row>
    <row r="1650" customFormat="false" ht="15" hidden="false" customHeight="true" outlineLevel="0" collapsed="false">
      <c r="A1650" s="6" t="s">
        <v>4262</v>
      </c>
      <c r="B1650" s="6" t="s">
        <v>535</v>
      </c>
      <c r="C1650" s="6" t="s">
        <v>131</v>
      </c>
      <c r="D1650" s="13" t="n">
        <v>45895</v>
      </c>
      <c r="E1650" s="14" t="n">
        <v>5980.26</v>
      </c>
      <c r="F1650" s="14" t="n">
        <v>30041.9</v>
      </c>
      <c r="G1650" s="6" t="s">
        <v>2613</v>
      </c>
    </row>
    <row r="1651" customFormat="false" ht="15" hidden="false" customHeight="true" outlineLevel="0" collapsed="false">
      <c r="A1651" s="6" t="s">
        <v>4263</v>
      </c>
      <c r="B1651" s="6" t="s">
        <v>535</v>
      </c>
      <c r="C1651" s="6" t="s">
        <v>131</v>
      </c>
      <c r="D1651" s="13" t="n">
        <v>45902</v>
      </c>
      <c r="E1651" s="14" t="n">
        <v>6894.2</v>
      </c>
      <c r="F1651" s="14" t="n">
        <v>36936.1</v>
      </c>
      <c r="G1651" s="6" t="s">
        <v>2613</v>
      </c>
    </row>
    <row r="1652" customFormat="false" ht="15" hidden="false" customHeight="true" outlineLevel="0" collapsed="false">
      <c r="A1652" s="6" t="s">
        <v>4264</v>
      </c>
      <c r="B1652" s="6" t="s">
        <v>535</v>
      </c>
      <c r="C1652" s="6" t="s">
        <v>131</v>
      </c>
      <c r="D1652" s="13" t="n">
        <v>45909</v>
      </c>
      <c r="E1652" s="14" t="n">
        <v>4188.35</v>
      </c>
      <c r="F1652" s="14" t="n">
        <v>41124.45</v>
      </c>
      <c r="G1652" s="6" t="s">
        <v>2623</v>
      </c>
    </row>
    <row r="1653" customFormat="false" ht="15" hidden="false" customHeight="true" outlineLevel="0" collapsed="false">
      <c r="A1653" s="6" t="s">
        <v>4265</v>
      </c>
      <c r="B1653" s="6" t="s">
        <v>535</v>
      </c>
      <c r="C1653" s="6" t="s">
        <v>131</v>
      </c>
      <c r="D1653" s="13" t="n">
        <v>45916</v>
      </c>
      <c r="E1653" s="14" t="n">
        <v>4216.74</v>
      </c>
      <c r="F1653" s="14" t="n">
        <v>45341.19</v>
      </c>
      <c r="G1653" s="6" t="s">
        <v>2613</v>
      </c>
    </row>
    <row r="1654" customFormat="false" ht="15" hidden="false" customHeight="true" outlineLevel="0" collapsed="false">
      <c r="A1654" s="6" t="s">
        <v>4266</v>
      </c>
      <c r="B1654" s="6" t="s">
        <v>537</v>
      </c>
      <c r="C1654" s="6" t="s">
        <v>131</v>
      </c>
      <c r="D1654" s="13" t="n">
        <v>45561</v>
      </c>
      <c r="E1654" s="14" t="n">
        <v>1014</v>
      </c>
      <c r="F1654" s="14" t="n">
        <v>1014</v>
      </c>
      <c r="G1654" s="6" t="s">
        <v>2613</v>
      </c>
    </row>
    <row r="1655" customFormat="false" ht="15" hidden="false" customHeight="true" outlineLevel="0" collapsed="false">
      <c r="A1655" s="6" t="s">
        <v>4267</v>
      </c>
      <c r="B1655" s="6" t="s">
        <v>537</v>
      </c>
      <c r="C1655" s="6" t="s">
        <v>131</v>
      </c>
      <c r="D1655" s="13" t="n">
        <v>45568</v>
      </c>
      <c r="E1655" s="14" t="n">
        <v>558.8</v>
      </c>
      <c r="F1655" s="14" t="n">
        <v>1572.8</v>
      </c>
      <c r="G1655" s="6" t="s">
        <v>2613</v>
      </c>
    </row>
    <row r="1656" customFormat="false" ht="15" hidden="false" customHeight="true" outlineLevel="0" collapsed="false">
      <c r="A1656" s="6" t="s">
        <v>4268</v>
      </c>
      <c r="B1656" s="6" t="s">
        <v>537</v>
      </c>
      <c r="C1656" s="6" t="s">
        <v>131</v>
      </c>
      <c r="D1656" s="13" t="n">
        <v>45575</v>
      </c>
      <c r="E1656" s="14" t="n">
        <v>1018.06</v>
      </c>
      <c r="F1656" s="14" t="n">
        <v>2590.86</v>
      </c>
      <c r="G1656" s="6" t="s">
        <v>2623</v>
      </c>
    </row>
    <row r="1657" customFormat="false" ht="15" hidden="false" customHeight="true" outlineLevel="0" collapsed="false">
      <c r="A1657" s="6" t="s">
        <v>4269</v>
      </c>
      <c r="B1657" s="6" t="s">
        <v>537</v>
      </c>
      <c r="C1657" s="6" t="s">
        <v>131</v>
      </c>
      <c r="D1657" s="13" t="n">
        <v>45582</v>
      </c>
      <c r="E1657" s="14" t="n">
        <v>545.51</v>
      </c>
      <c r="F1657" s="14" t="n">
        <v>3136.37</v>
      </c>
      <c r="G1657" s="6" t="s">
        <v>2613</v>
      </c>
    </row>
    <row r="1658" customFormat="false" ht="15" hidden="false" customHeight="true" outlineLevel="0" collapsed="false">
      <c r="A1658" s="6" t="s">
        <v>4270</v>
      </c>
      <c r="B1658" s="6" t="s">
        <v>537</v>
      </c>
      <c r="C1658" s="6" t="s">
        <v>131</v>
      </c>
      <c r="D1658" s="13" t="n">
        <v>45589</v>
      </c>
      <c r="E1658" s="14" t="n">
        <v>849.58</v>
      </c>
      <c r="F1658" s="14" t="n">
        <v>3985.95</v>
      </c>
      <c r="G1658" s="6" t="s">
        <v>2613</v>
      </c>
    </row>
    <row r="1659" customFormat="false" ht="15" hidden="false" customHeight="true" outlineLevel="0" collapsed="false">
      <c r="A1659" s="6" t="s">
        <v>4271</v>
      </c>
      <c r="B1659" s="6" t="s">
        <v>537</v>
      </c>
      <c r="C1659" s="6" t="s">
        <v>131</v>
      </c>
      <c r="D1659" s="13" t="n">
        <v>45596</v>
      </c>
      <c r="E1659" s="14" t="n">
        <v>757.69</v>
      </c>
      <c r="F1659" s="14" t="n">
        <v>4743.64</v>
      </c>
      <c r="G1659" s="6" t="s">
        <v>2613</v>
      </c>
    </row>
    <row r="1660" customFormat="false" ht="15" hidden="false" customHeight="true" outlineLevel="0" collapsed="false">
      <c r="A1660" s="6" t="s">
        <v>4272</v>
      </c>
      <c r="B1660" s="6" t="s">
        <v>537</v>
      </c>
      <c r="C1660" s="6" t="s">
        <v>131</v>
      </c>
      <c r="D1660" s="13" t="n">
        <v>45603</v>
      </c>
      <c r="E1660" s="14" t="n">
        <v>640.3</v>
      </c>
      <c r="F1660" s="14" t="n">
        <v>5383.94</v>
      </c>
      <c r="G1660" s="6" t="s">
        <v>2613</v>
      </c>
    </row>
    <row r="1661" customFormat="false" ht="15" hidden="false" customHeight="true" outlineLevel="0" collapsed="false">
      <c r="A1661" s="6" t="s">
        <v>4273</v>
      </c>
      <c r="B1661" s="6" t="s">
        <v>537</v>
      </c>
      <c r="C1661" s="6" t="s">
        <v>131</v>
      </c>
      <c r="D1661" s="13" t="n">
        <v>45610</v>
      </c>
      <c r="E1661" s="14" t="n">
        <v>781.92</v>
      </c>
      <c r="F1661" s="14" t="n">
        <v>6165.86</v>
      </c>
      <c r="G1661" s="6" t="s">
        <v>2613</v>
      </c>
    </row>
    <row r="1662" customFormat="false" ht="15" hidden="false" customHeight="true" outlineLevel="0" collapsed="false">
      <c r="A1662" s="6" t="s">
        <v>4274</v>
      </c>
      <c r="B1662" s="6" t="s">
        <v>537</v>
      </c>
      <c r="C1662" s="6" t="s">
        <v>131</v>
      </c>
      <c r="D1662" s="13" t="n">
        <v>45617</v>
      </c>
      <c r="E1662" s="14" t="n">
        <v>1020.69</v>
      </c>
      <c r="F1662" s="14" t="n">
        <v>7186.55</v>
      </c>
      <c r="G1662" s="6" t="s">
        <v>2613</v>
      </c>
    </row>
    <row r="1663" customFormat="false" ht="15" hidden="false" customHeight="true" outlineLevel="0" collapsed="false">
      <c r="A1663" s="6" t="s">
        <v>4275</v>
      </c>
      <c r="B1663" s="6" t="s">
        <v>537</v>
      </c>
      <c r="C1663" s="6" t="s">
        <v>131</v>
      </c>
      <c r="D1663" s="13" t="n">
        <v>45624</v>
      </c>
      <c r="E1663" s="14" t="n">
        <v>528.32</v>
      </c>
      <c r="F1663" s="14" t="n">
        <v>7714.87</v>
      </c>
      <c r="G1663" s="6" t="s">
        <v>2613</v>
      </c>
    </row>
    <row r="1664" customFormat="false" ht="15" hidden="false" customHeight="true" outlineLevel="0" collapsed="false">
      <c r="A1664" s="6" t="s">
        <v>4276</v>
      </c>
      <c r="B1664" s="6" t="s">
        <v>537</v>
      </c>
      <c r="C1664" s="6" t="s">
        <v>131</v>
      </c>
      <c r="D1664" s="13" t="n">
        <v>45631</v>
      </c>
      <c r="E1664" s="14" t="n">
        <v>1066.23</v>
      </c>
      <c r="F1664" s="14" t="n">
        <v>8781.1</v>
      </c>
      <c r="G1664" s="6" t="s">
        <v>2613</v>
      </c>
    </row>
    <row r="1665" customFormat="false" ht="15" hidden="false" customHeight="true" outlineLevel="0" collapsed="false">
      <c r="A1665" s="6" t="s">
        <v>4277</v>
      </c>
      <c r="B1665" s="6" t="s">
        <v>537</v>
      </c>
      <c r="C1665" s="6" t="s">
        <v>131</v>
      </c>
      <c r="D1665" s="13" t="n">
        <v>45638</v>
      </c>
      <c r="E1665" s="14" t="n">
        <v>788.91</v>
      </c>
      <c r="F1665" s="14" t="n">
        <v>9570.01</v>
      </c>
      <c r="G1665" s="6" t="s">
        <v>2613</v>
      </c>
    </row>
    <row r="1666" customFormat="false" ht="15" hidden="false" customHeight="true" outlineLevel="0" collapsed="false">
      <c r="A1666" s="6" t="s">
        <v>4278</v>
      </c>
      <c r="B1666" s="6" t="s">
        <v>537</v>
      </c>
      <c r="C1666" s="6" t="s">
        <v>131</v>
      </c>
      <c r="D1666" s="13" t="n">
        <v>45645</v>
      </c>
      <c r="E1666" s="14" t="n">
        <v>962.66</v>
      </c>
      <c r="F1666" s="14" t="n">
        <v>10532.67</v>
      </c>
      <c r="G1666" s="6" t="s">
        <v>2613</v>
      </c>
    </row>
    <row r="1667" customFormat="false" ht="15" hidden="false" customHeight="true" outlineLevel="0" collapsed="false">
      <c r="A1667" s="6" t="s">
        <v>4279</v>
      </c>
      <c r="B1667" s="6" t="s">
        <v>537</v>
      </c>
      <c r="C1667" s="6" t="s">
        <v>131</v>
      </c>
      <c r="D1667" s="13" t="n">
        <v>45652</v>
      </c>
      <c r="E1667" s="14" t="n">
        <v>753.6</v>
      </c>
      <c r="F1667" s="14" t="n">
        <v>11286.27</v>
      </c>
      <c r="G1667" s="6" t="s">
        <v>2613</v>
      </c>
    </row>
    <row r="1668" customFormat="false" ht="15" hidden="false" customHeight="true" outlineLevel="0" collapsed="false">
      <c r="A1668" s="6" t="s">
        <v>4280</v>
      </c>
      <c r="B1668" s="6" t="s">
        <v>537</v>
      </c>
      <c r="C1668" s="6" t="s">
        <v>131</v>
      </c>
      <c r="D1668" s="13" t="n">
        <v>45659</v>
      </c>
      <c r="E1668" s="14" t="n">
        <v>608.39</v>
      </c>
      <c r="F1668" s="14" t="n">
        <v>11894.66</v>
      </c>
      <c r="G1668" s="6" t="s">
        <v>2613</v>
      </c>
    </row>
    <row r="1669" customFormat="false" ht="15" hidden="false" customHeight="true" outlineLevel="0" collapsed="false">
      <c r="A1669" s="6" t="s">
        <v>4281</v>
      </c>
      <c r="B1669" s="6" t="s">
        <v>537</v>
      </c>
      <c r="C1669" s="6" t="s">
        <v>131</v>
      </c>
      <c r="D1669" s="13" t="n">
        <v>45666</v>
      </c>
      <c r="E1669" s="14" t="n">
        <v>693.38</v>
      </c>
      <c r="F1669" s="14" t="n">
        <v>12588.04</v>
      </c>
      <c r="G1669" s="6" t="s">
        <v>2613</v>
      </c>
    </row>
    <row r="1670" customFormat="false" ht="15" hidden="false" customHeight="true" outlineLevel="0" collapsed="false">
      <c r="A1670" s="6" t="s">
        <v>4282</v>
      </c>
      <c r="B1670" s="6" t="s">
        <v>537</v>
      </c>
      <c r="C1670" s="6" t="s">
        <v>131</v>
      </c>
      <c r="D1670" s="13" t="n">
        <v>45673</v>
      </c>
      <c r="E1670" s="14" t="n">
        <v>953.24</v>
      </c>
      <c r="F1670" s="14" t="n">
        <v>13541.28</v>
      </c>
      <c r="G1670" s="6" t="s">
        <v>2613</v>
      </c>
    </row>
    <row r="1671" customFormat="false" ht="15" hidden="false" customHeight="true" outlineLevel="0" collapsed="false">
      <c r="A1671" s="6" t="s">
        <v>4283</v>
      </c>
      <c r="B1671" s="6" t="s">
        <v>537</v>
      </c>
      <c r="C1671" s="6" t="s">
        <v>131</v>
      </c>
      <c r="D1671" s="13" t="n">
        <v>45680</v>
      </c>
      <c r="E1671" s="14" t="n">
        <v>581</v>
      </c>
      <c r="F1671" s="14" t="n">
        <v>14122.28</v>
      </c>
      <c r="G1671" s="6" t="s">
        <v>2613</v>
      </c>
    </row>
    <row r="1672" customFormat="false" ht="15" hidden="false" customHeight="true" outlineLevel="0" collapsed="false">
      <c r="A1672" s="6" t="s">
        <v>4284</v>
      </c>
      <c r="B1672" s="6" t="s">
        <v>537</v>
      </c>
      <c r="C1672" s="6" t="s">
        <v>131</v>
      </c>
      <c r="D1672" s="13" t="n">
        <v>45687</v>
      </c>
      <c r="E1672" s="14" t="n">
        <v>665.7</v>
      </c>
      <c r="F1672" s="14" t="n">
        <v>14787.98</v>
      </c>
      <c r="G1672" s="6" t="s">
        <v>2613</v>
      </c>
    </row>
    <row r="1673" customFormat="false" ht="15" hidden="false" customHeight="true" outlineLevel="0" collapsed="false">
      <c r="A1673" s="6" t="s">
        <v>4285</v>
      </c>
      <c r="B1673" s="6" t="s">
        <v>537</v>
      </c>
      <c r="C1673" s="6" t="s">
        <v>131</v>
      </c>
      <c r="D1673" s="13" t="n">
        <v>45694</v>
      </c>
      <c r="E1673" s="14" t="n">
        <v>951.3</v>
      </c>
      <c r="F1673" s="14" t="n">
        <v>15739.28</v>
      </c>
      <c r="G1673" s="6" t="s">
        <v>2613</v>
      </c>
    </row>
    <row r="1674" customFormat="false" ht="15" hidden="false" customHeight="true" outlineLevel="0" collapsed="false">
      <c r="A1674" s="6" t="s">
        <v>4286</v>
      </c>
      <c r="B1674" s="6" t="s">
        <v>537</v>
      </c>
      <c r="C1674" s="6" t="s">
        <v>131</v>
      </c>
      <c r="D1674" s="13" t="n">
        <v>45701</v>
      </c>
      <c r="E1674" s="14" t="n">
        <v>715.36</v>
      </c>
      <c r="F1674" s="14" t="n">
        <v>16454.64</v>
      </c>
      <c r="G1674" s="6" t="s">
        <v>2613</v>
      </c>
    </row>
    <row r="1675" customFormat="false" ht="15" hidden="false" customHeight="true" outlineLevel="0" collapsed="false">
      <c r="A1675" s="6" t="s">
        <v>4287</v>
      </c>
      <c r="B1675" s="6" t="s">
        <v>537</v>
      </c>
      <c r="C1675" s="6" t="s">
        <v>131</v>
      </c>
      <c r="D1675" s="13" t="n">
        <v>45708</v>
      </c>
      <c r="E1675" s="14" t="n">
        <v>775.38</v>
      </c>
      <c r="F1675" s="14" t="n">
        <v>17230.02</v>
      </c>
      <c r="G1675" s="6" t="s">
        <v>2613</v>
      </c>
    </row>
    <row r="1676" customFormat="false" ht="15" hidden="false" customHeight="true" outlineLevel="0" collapsed="false">
      <c r="A1676" s="6" t="s">
        <v>4288</v>
      </c>
      <c r="B1676" s="6" t="s">
        <v>537</v>
      </c>
      <c r="C1676" s="6" t="s">
        <v>131</v>
      </c>
      <c r="D1676" s="13" t="n">
        <v>45715</v>
      </c>
      <c r="E1676" s="14" t="n">
        <v>1025.92</v>
      </c>
      <c r="F1676" s="14" t="n">
        <v>18255.94</v>
      </c>
      <c r="G1676" s="6" t="s">
        <v>2623</v>
      </c>
    </row>
    <row r="1677" customFormat="false" ht="15" hidden="false" customHeight="true" outlineLevel="0" collapsed="false">
      <c r="A1677" s="6" t="s">
        <v>4289</v>
      </c>
      <c r="B1677" s="6" t="s">
        <v>537</v>
      </c>
      <c r="C1677" s="6" t="s">
        <v>131</v>
      </c>
      <c r="D1677" s="13" t="n">
        <v>45722</v>
      </c>
      <c r="E1677" s="14" t="n">
        <v>1061.98</v>
      </c>
      <c r="F1677" s="14" t="n">
        <v>19317.92</v>
      </c>
      <c r="G1677" s="6" t="s">
        <v>2613</v>
      </c>
    </row>
    <row r="1678" customFormat="false" ht="15" hidden="false" customHeight="true" outlineLevel="0" collapsed="false">
      <c r="A1678" s="6" t="s">
        <v>4290</v>
      </c>
      <c r="B1678" s="6" t="s">
        <v>537</v>
      </c>
      <c r="C1678" s="6" t="s">
        <v>131</v>
      </c>
      <c r="D1678" s="13" t="n">
        <v>45729</v>
      </c>
      <c r="E1678" s="14" t="n">
        <v>904.49</v>
      </c>
      <c r="F1678" s="14" t="n">
        <v>20222.41</v>
      </c>
      <c r="G1678" s="6" t="s">
        <v>2613</v>
      </c>
    </row>
    <row r="1679" customFormat="false" ht="15" hidden="false" customHeight="true" outlineLevel="0" collapsed="false">
      <c r="A1679" s="6" t="s">
        <v>4291</v>
      </c>
      <c r="B1679" s="6" t="s">
        <v>537</v>
      </c>
      <c r="C1679" s="6" t="s">
        <v>131</v>
      </c>
      <c r="D1679" s="13" t="n">
        <v>45736</v>
      </c>
      <c r="E1679" s="14" t="n">
        <v>355.85</v>
      </c>
      <c r="F1679" s="14" t="n">
        <v>20578.26</v>
      </c>
      <c r="G1679" s="6" t="s">
        <v>2613</v>
      </c>
    </row>
    <row r="1680" customFormat="false" ht="15" hidden="false" customHeight="true" outlineLevel="0" collapsed="false">
      <c r="A1680" s="6" t="s">
        <v>4292</v>
      </c>
      <c r="B1680" s="6" t="s">
        <v>539</v>
      </c>
      <c r="C1680" s="6" t="s">
        <v>112</v>
      </c>
      <c r="D1680" s="13" t="n">
        <v>45370</v>
      </c>
      <c r="E1680" s="14" t="n">
        <v>3995.64</v>
      </c>
      <c r="F1680" s="14" t="n">
        <v>3995.64</v>
      </c>
      <c r="G1680" s="6" t="s">
        <v>2613</v>
      </c>
    </row>
    <row r="1681" customFormat="false" ht="15" hidden="false" customHeight="true" outlineLevel="0" collapsed="false">
      <c r="A1681" s="6" t="s">
        <v>4293</v>
      </c>
      <c r="B1681" s="6" t="s">
        <v>539</v>
      </c>
      <c r="C1681" s="6" t="s">
        <v>112</v>
      </c>
      <c r="D1681" s="13" t="n">
        <v>45377</v>
      </c>
      <c r="E1681" s="14" t="n">
        <v>6125.61</v>
      </c>
      <c r="F1681" s="14" t="n">
        <v>10121.25</v>
      </c>
      <c r="G1681" s="6" t="s">
        <v>2613</v>
      </c>
    </row>
    <row r="1682" customFormat="false" ht="15" hidden="false" customHeight="true" outlineLevel="0" collapsed="false">
      <c r="A1682" s="6" t="s">
        <v>4294</v>
      </c>
      <c r="B1682" s="6" t="s">
        <v>539</v>
      </c>
      <c r="C1682" s="6" t="s">
        <v>112</v>
      </c>
      <c r="D1682" s="13" t="n">
        <v>45384</v>
      </c>
      <c r="E1682" s="14" t="n">
        <v>5751.83</v>
      </c>
      <c r="F1682" s="14" t="n">
        <v>15873.08</v>
      </c>
      <c r="G1682" s="6" t="s">
        <v>2613</v>
      </c>
    </row>
    <row r="1683" customFormat="false" ht="15" hidden="false" customHeight="true" outlineLevel="0" collapsed="false">
      <c r="A1683" s="6" t="s">
        <v>4295</v>
      </c>
      <c r="B1683" s="6" t="s">
        <v>539</v>
      </c>
      <c r="C1683" s="6" t="s">
        <v>112</v>
      </c>
      <c r="D1683" s="13" t="n">
        <v>45391</v>
      </c>
      <c r="E1683" s="14" t="n">
        <v>4283.58</v>
      </c>
      <c r="F1683" s="14" t="n">
        <v>20156.66</v>
      </c>
      <c r="G1683" s="6" t="s">
        <v>2623</v>
      </c>
    </row>
    <row r="1684" customFormat="false" ht="15" hidden="false" customHeight="true" outlineLevel="0" collapsed="false">
      <c r="A1684" s="6" t="s">
        <v>4296</v>
      </c>
      <c r="B1684" s="6" t="s">
        <v>539</v>
      </c>
      <c r="C1684" s="6" t="s">
        <v>112</v>
      </c>
      <c r="D1684" s="13" t="n">
        <v>45398</v>
      </c>
      <c r="E1684" s="14" t="n">
        <v>3055.66</v>
      </c>
      <c r="F1684" s="14" t="n">
        <v>23212.32</v>
      </c>
      <c r="G1684" s="6" t="s">
        <v>2623</v>
      </c>
    </row>
    <row r="1685" customFormat="false" ht="15" hidden="false" customHeight="true" outlineLevel="0" collapsed="false">
      <c r="A1685" s="6" t="s">
        <v>4297</v>
      </c>
      <c r="B1685" s="6" t="s">
        <v>539</v>
      </c>
      <c r="C1685" s="6" t="s">
        <v>112</v>
      </c>
      <c r="D1685" s="13" t="n">
        <v>45405</v>
      </c>
      <c r="E1685" s="14" t="n">
        <v>7002.84</v>
      </c>
      <c r="F1685" s="14" t="n">
        <v>30215.16</v>
      </c>
      <c r="G1685" s="6" t="s">
        <v>2613</v>
      </c>
    </row>
    <row r="1686" customFormat="false" ht="15" hidden="false" customHeight="true" outlineLevel="0" collapsed="false">
      <c r="A1686" s="6" t="s">
        <v>4298</v>
      </c>
      <c r="B1686" s="6" t="s">
        <v>541</v>
      </c>
      <c r="C1686" s="6" t="s">
        <v>128</v>
      </c>
      <c r="D1686" s="13" t="n">
        <v>45013</v>
      </c>
      <c r="E1686" s="14" t="n">
        <v>1801.14</v>
      </c>
      <c r="F1686" s="14" t="n">
        <v>1801.14</v>
      </c>
      <c r="G1686" s="6" t="s">
        <v>2613</v>
      </c>
    </row>
    <row r="1687" customFormat="false" ht="15" hidden="false" customHeight="true" outlineLevel="0" collapsed="false">
      <c r="A1687" s="6" t="s">
        <v>4299</v>
      </c>
      <c r="B1687" s="6" t="s">
        <v>541</v>
      </c>
      <c r="C1687" s="6" t="s">
        <v>128</v>
      </c>
      <c r="D1687" s="13" t="n">
        <v>45020</v>
      </c>
      <c r="E1687" s="14" t="n">
        <v>1984.42</v>
      </c>
      <c r="F1687" s="14" t="n">
        <v>3785.56</v>
      </c>
      <c r="G1687" s="6" t="s">
        <v>2613</v>
      </c>
    </row>
    <row r="1688" customFormat="false" ht="15" hidden="false" customHeight="true" outlineLevel="0" collapsed="false">
      <c r="A1688" s="6" t="s">
        <v>4300</v>
      </c>
      <c r="B1688" s="6" t="s">
        <v>541</v>
      </c>
      <c r="C1688" s="6" t="s">
        <v>128</v>
      </c>
      <c r="D1688" s="13" t="n">
        <v>45027</v>
      </c>
      <c r="E1688" s="14" t="n">
        <v>1737.3</v>
      </c>
      <c r="F1688" s="14" t="n">
        <v>5522.86</v>
      </c>
      <c r="G1688" s="6" t="s">
        <v>2613</v>
      </c>
    </row>
    <row r="1689" customFormat="false" ht="15" hidden="false" customHeight="true" outlineLevel="0" collapsed="false">
      <c r="A1689" s="6" t="s">
        <v>4301</v>
      </c>
      <c r="B1689" s="6" t="s">
        <v>541</v>
      </c>
      <c r="C1689" s="6" t="s">
        <v>128</v>
      </c>
      <c r="D1689" s="13" t="n">
        <v>45034</v>
      </c>
      <c r="E1689" s="14" t="n">
        <v>1625.72</v>
      </c>
      <c r="F1689" s="14" t="n">
        <v>7148.58</v>
      </c>
      <c r="G1689" s="6" t="s">
        <v>2613</v>
      </c>
    </row>
    <row r="1690" customFormat="false" ht="15" hidden="false" customHeight="true" outlineLevel="0" collapsed="false">
      <c r="A1690" s="6" t="s">
        <v>4302</v>
      </c>
      <c r="B1690" s="6" t="s">
        <v>541</v>
      </c>
      <c r="C1690" s="6" t="s">
        <v>128</v>
      </c>
      <c r="D1690" s="13" t="n">
        <v>45041</v>
      </c>
      <c r="E1690" s="14" t="n">
        <v>2033.29</v>
      </c>
      <c r="F1690" s="14" t="n">
        <v>9181.87</v>
      </c>
      <c r="G1690" s="6" t="s">
        <v>2613</v>
      </c>
    </row>
    <row r="1691" customFormat="false" ht="15" hidden="false" customHeight="true" outlineLevel="0" collapsed="false">
      <c r="A1691" s="6" t="s">
        <v>4303</v>
      </c>
      <c r="B1691" s="6" t="s">
        <v>541</v>
      </c>
      <c r="C1691" s="6" t="s">
        <v>128</v>
      </c>
      <c r="D1691" s="13" t="n">
        <v>45048</v>
      </c>
      <c r="E1691" s="14" t="n">
        <v>82.79</v>
      </c>
      <c r="F1691" s="14" t="n">
        <v>9264.66</v>
      </c>
      <c r="G1691" s="6" t="s">
        <v>2613</v>
      </c>
    </row>
    <row r="1692" customFormat="false" ht="15" hidden="false" customHeight="true" outlineLevel="0" collapsed="false">
      <c r="A1692" s="6" t="s">
        <v>4304</v>
      </c>
      <c r="B1692" s="6" t="s">
        <v>543</v>
      </c>
      <c r="C1692" s="6" t="s">
        <v>124</v>
      </c>
      <c r="D1692" s="13" t="n">
        <v>45364</v>
      </c>
      <c r="E1692" s="14" t="n">
        <v>7336.82</v>
      </c>
      <c r="F1692" s="14" t="n">
        <v>7336.82</v>
      </c>
      <c r="G1692" s="6" t="s">
        <v>2613</v>
      </c>
    </row>
    <row r="1693" customFormat="false" ht="15" hidden="false" customHeight="true" outlineLevel="0" collapsed="false">
      <c r="A1693" s="6" t="s">
        <v>4305</v>
      </c>
      <c r="B1693" s="6" t="s">
        <v>543</v>
      </c>
      <c r="C1693" s="6" t="s">
        <v>124</v>
      </c>
      <c r="D1693" s="13" t="n">
        <v>45371</v>
      </c>
      <c r="E1693" s="14" t="n">
        <v>5121.36</v>
      </c>
      <c r="F1693" s="14" t="n">
        <v>12458.18</v>
      </c>
      <c r="G1693" s="6" t="s">
        <v>2613</v>
      </c>
    </row>
    <row r="1694" customFormat="false" ht="15" hidden="false" customHeight="true" outlineLevel="0" collapsed="false">
      <c r="A1694" s="6" t="s">
        <v>4306</v>
      </c>
      <c r="B1694" s="6" t="s">
        <v>543</v>
      </c>
      <c r="C1694" s="6" t="s">
        <v>124</v>
      </c>
      <c r="D1694" s="13" t="n">
        <v>45378</v>
      </c>
      <c r="E1694" s="14" t="n">
        <v>7220.59</v>
      </c>
      <c r="F1694" s="14" t="n">
        <v>19678.77</v>
      </c>
      <c r="G1694" s="6" t="s">
        <v>2613</v>
      </c>
    </row>
    <row r="1695" customFormat="false" ht="15" hidden="false" customHeight="true" outlineLevel="0" collapsed="false">
      <c r="A1695" s="6" t="s">
        <v>4307</v>
      </c>
      <c r="B1695" s="6" t="s">
        <v>543</v>
      </c>
      <c r="C1695" s="6" t="s">
        <v>124</v>
      </c>
      <c r="D1695" s="13" t="n">
        <v>45385</v>
      </c>
      <c r="E1695" s="14" t="n">
        <v>3993.78</v>
      </c>
      <c r="F1695" s="14" t="n">
        <v>23672.55</v>
      </c>
      <c r="G1695" s="6" t="s">
        <v>2613</v>
      </c>
    </row>
    <row r="1696" customFormat="false" ht="15" hidden="false" customHeight="true" outlineLevel="0" collapsed="false">
      <c r="A1696" s="6" t="s">
        <v>4308</v>
      </c>
      <c r="B1696" s="6" t="s">
        <v>543</v>
      </c>
      <c r="C1696" s="6" t="s">
        <v>124</v>
      </c>
      <c r="D1696" s="13" t="n">
        <v>45392</v>
      </c>
      <c r="E1696" s="14" t="n">
        <v>3845.07</v>
      </c>
      <c r="F1696" s="14" t="n">
        <v>27517.62</v>
      </c>
      <c r="G1696" s="6" t="s">
        <v>2613</v>
      </c>
    </row>
    <row r="1697" customFormat="false" ht="15" hidden="false" customHeight="true" outlineLevel="0" collapsed="false">
      <c r="A1697" s="6" t="s">
        <v>4309</v>
      </c>
      <c r="B1697" s="6" t="s">
        <v>543</v>
      </c>
      <c r="C1697" s="6" t="s">
        <v>124</v>
      </c>
      <c r="D1697" s="13" t="n">
        <v>45399</v>
      </c>
      <c r="E1697" s="14" t="n">
        <v>4165.6</v>
      </c>
      <c r="F1697" s="14" t="n">
        <v>31683.22</v>
      </c>
      <c r="G1697" s="6" t="s">
        <v>2613</v>
      </c>
    </row>
    <row r="1698" customFormat="false" ht="15" hidden="false" customHeight="true" outlineLevel="0" collapsed="false">
      <c r="A1698" s="6" t="s">
        <v>4310</v>
      </c>
      <c r="B1698" s="6" t="s">
        <v>543</v>
      </c>
      <c r="C1698" s="6" t="s">
        <v>124</v>
      </c>
      <c r="D1698" s="13" t="n">
        <v>45406</v>
      </c>
      <c r="E1698" s="14" t="n">
        <v>7151.86</v>
      </c>
      <c r="F1698" s="14" t="n">
        <v>38835.08</v>
      </c>
      <c r="G1698" s="6" t="s">
        <v>2613</v>
      </c>
    </row>
    <row r="1699" customFormat="false" ht="15" hidden="false" customHeight="true" outlineLevel="0" collapsed="false">
      <c r="A1699" s="6" t="s">
        <v>4311</v>
      </c>
      <c r="B1699" s="6" t="s">
        <v>543</v>
      </c>
      <c r="C1699" s="6" t="s">
        <v>124</v>
      </c>
      <c r="D1699" s="13" t="n">
        <v>45413</v>
      </c>
      <c r="E1699" s="14" t="n">
        <v>3670.49</v>
      </c>
      <c r="F1699" s="14" t="n">
        <v>42505.57</v>
      </c>
      <c r="G1699" s="6" t="s">
        <v>2623</v>
      </c>
    </row>
    <row r="1700" customFormat="false" ht="15" hidden="false" customHeight="true" outlineLevel="0" collapsed="false">
      <c r="A1700" s="6" t="s">
        <v>4312</v>
      </c>
      <c r="B1700" s="6" t="s">
        <v>543</v>
      </c>
      <c r="C1700" s="6" t="s">
        <v>124</v>
      </c>
      <c r="D1700" s="13" t="n">
        <v>45420</v>
      </c>
      <c r="E1700" s="14" t="n">
        <v>5683.88</v>
      </c>
      <c r="F1700" s="14" t="n">
        <v>48189.45</v>
      </c>
      <c r="G1700" s="6" t="s">
        <v>2613</v>
      </c>
    </row>
    <row r="1701" customFormat="false" ht="15" hidden="false" customHeight="true" outlineLevel="0" collapsed="false">
      <c r="A1701" s="6" t="s">
        <v>4313</v>
      </c>
      <c r="B1701" s="6" t="s">
        <v>543</v>
      </c>
      <c r="C1701" s="6" t="s">
        <v>124</v>
      </c>
      <c r="D1701" s="13" t="n">
        <v>45427</v>
      </c>
      <c r="E1701" s="14" t="n">
        <v>5580.42</v>
      </c>
      <c r="F1701" s="14" t="n">
        <v>53769.87</v>
      </c>
      <c r="G1701" s="6" t="s">
        <v>2613</v>
      </c>
    </row>
    <row r="1702" customFormat="false" ht="15" hidden="false" customHeight="true" outlineLevel="0" collapsed="false">
      <c r="A1702" s="6" t="s">
        <v>4314</v>
      </c>
      <c r="B1702" s="6" t="s">
        <v>545</v>
      </c>
      <c r="C1702" s="6" t="s">
        <v>124</v>
      </c>
      <c r="D1702" s="13" t="n">
        <v>45573</v>
      </c>
      <c r="E1702" s="14" t="n">
        <v>16415.35</v>
      </c>
      <c r="F1702" s="14" t="n">
        <v>16415.35</v>
      </c>
      <c r="G1702" s="6" t="s">
        <v>2613</v>
      </c>
    </row>
    <row r="1703" customFormat="false" ht="15" hidden="false" customHeight="true" outlineLevel="0" collapsed="false">
      <c r="A1703" s="6" t="s">
        <v>4315</v>
      </c>
      <c r="B1703" s="6" t="s">
        <v>545</v>
      </c>
      <c r="C1703" s="6" t="s">
        <v>124</v>
      </c>
      <c r="D1703" s="13" t="n">
        <v>45580</v>
      </c>
      <c r="E1703" s="14" t="n">
        <v>9109.84</v>
      </c>
      <c r="F1703" s="14" t="n">
        <v>25525.19</v>
      </c>
      <c r="G1703" s="6" t="s">
        <v>2613</v>
      </c>
    </row>
    <row r="1704" customFormat="false" ht="15" hidden="false" customHeight="true" outlineLevel="0" collapsed="false">
      <c r="A1704" s="6" t="s">
        <v>4316</v>
      </c>
      <c r="B1704" s="6" t="s">
        <v>545</v>
      </c>
      <c r="C1704" s="6" t="s">
        <v>124</v>
      </c>
      <c r="D1704" s="13" t="n">
        <v>45587</v>
      </c>
      <c r="E1704" s="14" t="n">
        <v>12601.42</v>
      </c>
      <c r="F1704" s="14" t="n">
        <v>38126.61</v>
      </c>
      <c r="G1704" s="6" t="s">
        <v>2613</v>
      </c>
    </row>
    <row r="1705" customFormat="false" ht="15" hidden="false" customHeight="true" outlineLevel="0" collapsed="false">
      <c r="A1705" s="6" t="s">
        <v>4317</v>
      </c>
      <c r="B1705" s="6" t="s">
        <v>545</v>
      </c>
      <c r="C1705" s="6" t="s">
        <v>124</v>
      </c>
      <c r="D1705" s="13" t="n">
        <v>45594</v>
      </c>
      <c r="E1705" s="14" t="n">
        <v>16993.67</v>
      </c>
      <c r="F1705" s="14" t="n">
        <v>55120.28</v>
      </c>
      <c r="G1705" s="6" t="s">
        <v>2613</v>
      </c>
    </row>
    <row r="1706" customFormat="false" ht="15" hidden="false" customHeight="true" outlineLevel="0" collapsed="false">
      <c r="A1706" s="6" t="s">
        <v>4318</v>
      </c>
      <c r="B1706" s="6" t="s">
        <v>545</v>
      </c>
      <c r="C1706" s="6" t="s">
        <v>124</v>
      </c>
      <c r="D1706" s="13" t="n">
        <v>45601</v>
      </c>
      <c r="E1706" s="14" t="n">
        <v>14277.43</v>
      </c>
      <c r="F1706" s="14" t="n">
        <v>69397.71</v>
      </c>
      <c r="G1706" s="6" t="s">
        <v>2613</v>
      </c>
    </row>
    <row r="1707" customFormat="false" ht="15" hidden="false" customHeight="true" outlineLevel="0" collapsed="false">
      <c r="A1707" s="6" t="s">
        <v>4319</v>
      </c>
      <c r="B1707" s="6" t="s">
        <v>545</v>
      </c>
      <c r="C1707" s="6" t="s">
        <v>124</v>
      </c>
      <c r="D1707" s="13" t="n">
        <v>45608</v>
      </c>
      <c r="E1707" s="14" t="n">
        <v>12035.08</v>
      </c>
      <c r="F1707" s="14" t="n">
        <v>81432.79</v>
      </c>
      <c r="G1707" s="6" t="s">
        <v>2613</v>
      </c>
    </row>
    <row r="1708" customFormat="false" ht="15" hidden="false" customHeight="true" outlineLevel="0" collapsed="false">
      <c r="A1708" s="6" t="s">
        <v>4320</v>
      </c>
      <c r="B1708" s="6" t="s">
        <v>545</v>
      </c>
      <c r="C1708" s="6" t="s">
        <v>124</v>
      </c>
      <c r="D1708" s="13" t="n">
        <v>45615</v>
      </c>
      <c r="E1708" s="14" t="n">
        <v>8944.27</v>
      </c>
      <c r="F1708" s="14" t="n">
        <v>90377.06</v>
      </c>
      <c r="G1708" s="6" t="s">
        <v>2613</v>
      </c>
    </row>
    <row r="1709" customFormat="false" ht="15" hidden="false" customHeight="true" outlineLevel="0" collapsed="false">
      <c r="A1709" s="6" t="s">
        <v>4321</v>
      </c>
      <c r="B1709" s="6" t="s">
        <v>545</v>
      </c>
      <c r="C1709" s="6" t="s">
        <v>124</v>
      </c>
      <c r="D1709" s="13" t="n">
        <v>45622</v>
      </c>
      <c r="E1709" s="14" t="n">
        <v>20705.06</v>
      </c>
      <c r="F1709" s="14" t="n">
        <v>111082.12</v>
      </c>
      <c r="G1709" s="6" t="s">
        <v>2613</v>
      </c>
    </row>
    <row r="1710" customFormat="false" ht="15" hidden="false" customHeight="true" outlineLevel="0" collapsed="false">
      <c r="A1710" s="6" t="s">
        <v>4322</v>
      </c>
      <c r="B1710" s="6" t="s">
        <v>547</v>
      </c>
      <c r="C1710" s="6" t="s">
        <v>120</v>
      </c>
      <c r="D1710" s="13" t="n">
        <v>45994</v>
      </c>
      <c r="E1710" s="14" t="n">
        <v>6093.43</v>
      </c>
      <c r="F1710" s="14" t="n">
        <v>6093.43</v>
      </c>
      <c r="G1710" s="6" t="s">
        <v>2613</v>
      </c>
    </row>
    <row r="1711" customFormat="false" ht="15" hidden="false" customHeight="true" outlineLevel="0" collapsed="false">
      <c r="A1711" s="6" t="s">
        <v>4323</v>
      </c>
      <c r="B1711" s="6" t="s">
        <v>547</v>
      </c>
      <c r="C1711" s="6" t="s">
        <v>120</v>
      </c>
      <c r="D1711" s="13" t="n">
        <v>46001</v>
      </c>
      <c r="E1711" s="14" t="n">
        <v>6925.06</v>
      </c>
      <c r="F1711" s="14" t="n">
        <v>13018.49</v>
      </c>
      <c r="G1711" s="6" t="s">
        <v>2613</v>
      </c>
    </row>
    <row r="1712" customFormat="false" ht="15" hidden="false" customHeight="true" outlineLevel="0" collapsed="false">
      <c r="A1712" s="6" t="s">
        <v>4324</v>
      </c>
      <c r="B1712" s="6" t="s">
        <v>547</v>
      </c>
      <c r="C1712" s="6" t="s">
        <v>120</v>
      </c>
      <c r="D1712" s="13" t="n">
        <v>46008</v>
      </c>
      <c r="E1712" s="14" t="n">
        <v>3978.59</v>
      </c>
      <c r="F1712" s="14" t="n">
        <v>16997.08</v>
      </c>
      <c r="G1712" s="6" t="s">
        <v>2623</v>
      </c>
    </row>
    <row r="1713" customFormat="false" ht="15" hidden="false" customHeight="true" outlineLevel="0" collapsed="false">
      <c r="A1713" s="6" t="s">
        <v>4325</v>
      </c>
      <c r="B1713" s="6" t="s">
        <v>547</v>
      </c>
      <c r="C1713" s="6" t="s">
        <v>120</v>
      </c>
      <c r="D1713" s="13" t="n">
        <v>46015</v>
      </c>
      <c r="E1713" s="14" t="n">
        <v>3283.63</v>
      </c>
      <c r="F1713" s="14" t="n">
        <v>20280.71</v>
      </c>
      <c r="G1713" s="6" t="s">
        <v>2613</v>
      </c>
    </row>
    <row r="1714" customFormat="false" ht="15" hidden="false" customHeight="true" outlineLevel="0" collapsed="false">
      <c r="A1714" s="6" t="s">
        <v>4326</v>
      </c>
      <c r="B1714" s="6" t="s">
        <v>547</v>
      </c>
      <c r="C1714" s="6" t="s">
        <v>120</v>
      </c>
      <c r="D1714" s="13" t="n">
        <v>46022</v>
      </c>
      <c r="E1714" s="14" t="n">
        <v>6187.75</v>
      </c>
      <c r="F1714" s="14" t="n">
        <v>26468.46</v>
      </c>
      <c r="G1714" s="6" t="s">
        <v>2613</v>
      </c>
    </row>
    <row r="1715" customFormat="false" ht="15" hidden="false" customHeight="true" outlineLevel="0" collapsed="false">
      <c r="A1715" s="6" t="s">
        <v>4327</v>
      </c>
      <c r="B1715" s="6" t="s">
        <v>549</v>
      </c>
      <c r="C1715" s="6" t="s">
        <v>124</v>
      </c>
      <c r="D1715" s="13" t="n">
        <v>46045</v>
      </c>
      <c r="E1715" s="14" t="n">
        <v>3500.21</v>
      </c>
      <c r="F1715" s="14" t="n">
        <v>3500.21</v>
      </c>
      <c r="G1715" s="6" t="s">
        <v>2613</v>
      </c>
    </row>
    <row r="1716" customFormat="false" ht="15" hidden="false" customHeight="true" outlineLevel="0" collapsed="false">
      <c r="A1716" s="6" t="s">
        <v>4328</v>
      </c>
      <c r="B1716" s="6" t="s">
        <v>549</v>
      </c>
      <c r="C1716" s="6" t="s">
        <v>124</v>
      </c>
      <c r="D1716" s="13" t="n">
        <v>46052</v>
      </c>
      <c r="E1716" s="14" t="n">
        <v>2716.29</v>
      </c>
      <c r="F1716" s="14" t="n">
        <v>6216.5</v>
      </c>
      <c r="G1716" s="6" t="s">
        <v>2613</v>
      </c>
    </row>
    <row r="1717" customFormat="false" ht="15" hidden="false" customHeight="true" outlineLevel="0" collapsed="false">
      <c r="A1717" s="6" t="s">
        <v>4329</v>
      </c>
      <c r="B1717" s="6" t="s">
        <v>549</v>
      </c>
      <c r="C1717" s="6" t="s">
        <v>124</v>
      </c>
      <c r="D1717" s="13" t="n">
        <v>46059</v>
      </c>
      <c r="E1717" s="14" t="n">
        <v>3651.16</v>
      </c>
      <c r="F1717" s="14" t="n">
        <v>9867.66</v>
      </c>
      <c r="G1717" s="6" t="s">
        <v>2613</v>
      </c>
    </row>
    <row r="1718" customFormat="false" ht="15" hidden="false" customHeight="true" outlineLevel="0" collapsed="false">
      <c r="A1718" s="6" t="s">
        <v>4330</v>
      </c>
      <c r="B1718" s="6" t="s">
        <v>549</v>
      </c>
      <c r="C1718" s="6" t="s">
        <v>124</v>
      </c>
      <c r="D1718" s="13" t="n">
        <v>46066</v>
      </c>
      <c r="E1718" s="14" t="n">
        <v>2988.23</v>
      </c>
      <c r="F1718" s="14" t="n">
        <v>12855.89</v>
      </c>
      <c r="G1718" s="6" t="s">
        <v>2613</v>
      </c>
    </row>
    <row r="1719" customFormat="false" ht="15" hidden="false" customHeight="true" outlineLevel="0" collapsed="false">
      <c r="A1719" s="6" t="s">
        <v>4331</v>
      </c>
      <c r="B1719" s="6" t="s">
        <v>549</v>
      </c>
      <c r="C1719" s="6" t="s">
        <v>124</v>
      </c>
      <c r="D1719" s="13" t="n">
        <v>46073</v>
      </c>
      <c r="E1719" s="14" t="n">
        <v>1768.82</v>
      </c>
      <c r="F1719" s="14" t="n">
        <v>14624.71</v>
      </c>
      <c r="G1719" s="6" t="s">
        <v>2613</v>
      </c>
    </row>
    <row r="1720" customFormat="false" ht="15" hidden="false" customHeight="true" outlineLevel="0" collapsed="false">
      <c r="A1720" s="6" t="s">
        <v>4332</v>
      </c>
      <c r="B1720" s="6" t="s">
        <v>549</v>
      </c>
      <c r="C1720" s="6" t="s">
        <v>124</v>
      </c>
      <c r="D1720" s="13" t="n">
        <v>46080</v>
      </c>
      <c r="E1720" s="14" t="n">
        <v>3155.67</v>
      </c>
      <c r="F1720" s="14" t="n">
        <v>17780.38</v>
      </c>
      <c r="G1720" s="6" t="s">
        <v>2613</v>
      </c>
    </row>
    <row r="1721" customFormat="false" ht="15" hidden="false" customHeight="true" outlineLevel="0" collapsed="false">
      <c r="A1721" s="6" t="s">
        <v>4333</v>
      </c>
      <c r="B1721" s="6" t="s">
        <v>549</v>
      </c>
      <c r="C1721" s="6" t="s">
        <v>124</v>
      </c>
      <c r="D1721" s="13" t="n">
        <v>46087</v>
      </c>
      <c r="E1721" s="14" t="n">
        <v>3749.53</v>
      </c>
      <c r="F1721" s="14" t="n">
        <v>21529.91</v>
      </c>
      <c r="G1721" s="6" t="s">
        <v>2623</v>
      </c>
    </row>
    <row r="1722" customFormat="false" ht="15" hidden="false" customHeight="true" outlineLevel="0" collapsed="false">
      <c r="A1722" s="6" t="s">
        <v>4334</v>
      </c>
      <c r="B1722" s="6" t="s">
        <v>549</v>
      </c>
      <c r="C1722" s="6" t="s">
        <v>124</v>
      </c>
      <c r="D1722" s="13" t="n">
        <v>46094</v>
      </c>
      <c r="E1722" s="14" t="n">
        <v>3262.36</v>
      </c>
      <c r="F1722" s="14" t="n">
        <v>24792.27</v>
      </c>
      <c r="G1722" s="6" t="s">
        <v>2613</v>
      </c>
    </row>
    <row r="1723" customFormat="false" ht="15" hidden="false" customHeight="true" outlineLevel="0" collapsed="false">
      <c r="A1723" s="6" t="s">
        <v>4335</v>
      </c>
      <c r="B1723" s="6" t="s">
        <v>549</v>
      </c>
      <c r="C1723" s="6" t="s">
        <v>124</v>
      </c>
      <c r="D1723" s="13" t="n">
        <v>46101</v>
      </c>
      <c r="E1723" s="14" t="n">
        <v>2073.12</v>
      </c>
      <c r="F1723" s="14" t="n">
        <v>26865.39</v>
      </c>
      <c r="G1723" s="6" t="s">
        <v>2623</v>
      </c>
    </row>
    <row r="1724" customFormat="false" ht="15" hidden="false" customHeight="true" outlineLevel="0" collapsed="false">
      <c r="A1724" s="6" t="s">
        <v>4336</v>
      </c>
      <c r="B1724" s="6" t="s">
        <v>549</v>
      </c>
      <c r="C1724" s="6" t="s">
        <v>124</v>
      </c>
      <c r="D1724" s="13" t="n">
        <v>46108</v>
      </c>
      <c r="E1724" s="14" t="n">
        <v>2376.78</v>
      </c>
      <c r="F1724" s="14" t="n">
        <v>29242.17</v>
      </c>
      <c r="G1724" s="6" t="s">
        <v>2613</v>
      </c>
    </row>
    <row r="1725" customFormat="false" ht="15" hidden="false" customHeight="true" outlineLevel="0" collapsed="false">
      <c r="A1725" s="6" t="s">
        <v>4337</v>
      </c>
      <c r="B1725" s="6" t="s">
        <v>549</v>
      </c>
      <c r="C1725" s="6" t="s">
        <v>124</v>
      </c>
      <c r="D1725" s="13" t="n">
        <v>46115</v>
      </c>
      <c r="E1725" s="14" t="n">
        <v>2711.38</v>
      </c>
      <c r="F1725" s="14" t="n">
        <v>31953.55</v>
      </c>
      <c r="G1725" s="6" t="s">
        <v>2613</v>
      </c>
    </row>
    <row r="1726" customFormat="false" ht="15" hidden="false" customHeight="true" outlineLevel="0" collapsed="false">
      <c r="A1726" s="6" t="s">
        <v>4338</v>
      </c>
      <c r="B1726" s="6" t="s">
        <v>549</v>
      </c>
      <c r="C1726" s="6" t="s">
        <v>124</v>
      </c>
      <c r="D1726" s="13" t="n">
        <v>46122</v>
      </c>
      <c r="E1726" s="14" t="n">
        <v>3014.52</v>
      </c>
      <c r="F1726" s="14" t="n">
        <v>34968.07</v>
      </c>
      <c r="G1726" s="6" t="s">
        <v>2613</v>
      </c>
    </row>
    <row r="1727" customFormat="false" ht="15" hidden="false" customHeight="true" outlineLevel="0" collapsed="false">
      <c r="A1727" s="6" t="s">
        <v>4339</v>
      </c>
      <c r="B1727" s="6" t="s">
        <v>549</v>
      </c>
      <c r="C1727" s="6" t="s">
        <v>124</v>
      </c>
      <c r="D1727" s="13" t="n">
        <v>46129</v>
      </c>
      <c r="E1727" s="14" t="n">
        <v>1924.94</v>
      </c>
      <c r="F1727" s="14" t="n">
        <v>36893.01</v>
      </c>
      <c r="G1727" s="6" t="s">
        <v>2613</v>
      </c>
    </row>
    <row r="1728" customFormat="false" ht="15" hidden="false" customHeight="true" outlineLevel="0" collapsed="false">
      <c r="A1728" s="6" t="s">
        <v>4340</v>
      </c>
      <c r="B1728" s="6" t="s">
        <v>549</v>
      </c>
      <c r="C1728" s="6" t="s">
        <v>124</v>
      </c>
      <c r="D1728" s="13" t="n">
        <v>46136</v>
      </c>
      <c r="E1728" s="14" t="n">
        <v>2445.15</v>
      </c>
      <c r="F1728" s="14" t="n">
        <v>39338.16</v>
      </c>
      <c r="G1728" s="6" t="s">
        <v>2613</v>
      </c>
    </row>
    <row r="1729" customFormat="false" ht="15" hidden="false" customHeight="true" outlineLevel="0" collapsed="false">
      <c r="A1729" s="6" t="s">
        <v>4341</v>
      </c>
      <c r="B1729" s="6" t="s">
        <v>551</v>
      </c>
      <c r="C1729" s="6" t="s">
        <v>116</v>
      </c>
      <c r="D1729" s="13" t="n">
        <v>45005</v>
      </c>
      <c r="E1729" s="14" t="n">
        <v>1592.24</v>
      </c>
      <c r="F1729" s="14" t="n">
        <v>1592.24</v>
      </c>
      <c r="G1729" s="6" t="s">
        <v>2613</v>
      </c>
    </row>
    <row r="1730" customFormat="false" ht="15" hidden="false" customHeight="true" outlineLevel="0" collapsed="false">
      <c r="A1730" s="6" t="s">
        <v>4342</v>
      </c>
      <c r="B1730" s="6" t="s">
        <v>551</v>
      </c>
      <c r="C1730" s="6" t="s">
        <v>116</v>
      </c>
      <c r="D1730" s="13" t="n">
        <v>45012</v>
      </c>
      <c r="E1730" s="14" t="n">
        <v>1307.29</v>
      </c>
      <c r="F1730" s="14" t="n">
        <v>2899.53</v>
      </c>
      <c r="G1730" s="6" t="s">
        <v>2613</v>
      </c>
    </row>
    <row r="1731" customFormat="false" ht="15" hidden="false" customHeight="true" outlineLevel="0" collapsed="false">
      <c r="A1731" s="6" t="s">
        <v>4343</v>
      </c>
      <c r="B1731" s="6" t="s">
        <v>551</v>
      </c>
      <c r="C1731" s="6" t="s">
        <v>116</v>
      </c>
      <c r="D1731" s="13" t="n">
        <v>45019</v>
      </c>
      <c r="E1731" s="14" t="n">
        <v>2121.46</v>
      </c>
      <c r="F1731" s="14" t="n">
        <v>5020.99</v>
      </c>
      <c r="G1731" s="6" t="s">
        <v>2613</v>
      </c>
    </row>
    <row r="1732" customFormat="false" ht="15" hidden="false" customHeight="true" outlineLevel="0" collapsed="false">
      <c r="A1732" s="6" t="s">
        <v>4344</v>
      </c>
      <c r="B1732" s="6" t="s">
        <v>551</v>
      </c>
      <c r="C1732" s="6" t="s">
        <v>116</v>
      </c>
      <c r="D1732" s="13" t="n">
        <v>45026</v>
      </c>
      <c r="E1732" s="14" t="n">
        <v>1743.56</v>
      </c>
      <c r="F1732" s="14" t="n">
        <v>6764.55</v>
      </c>
      <c r="G1732" s="6" t="s">
        <v>2613</v>
      </c>
    </row>
    <row r="1733" customFormat="false" ht="15" hidden="false" customHeight="true" outlineLevel="0" collapsed="false">
      <c r="A1733" s="6" t="s">
        <v>4345</v>
      </c>
      <c r="B1733" s="6" t="s">
        <v>551</v>
      </c>
      <c r="C1733" s="6" t="s">
        <v>116</v>
      </c>
      <c r="D1733" s="13" t="n">
        <v>45033</v>
      </c>
      <c r="E1733" s="14" t="n">
        <v>1159.82</v>
      </c>
      <c r="F1733" s="14" t="n">
        <v>7924.37</v>
      </c>
      <c r="G1733" s="6" t="s">
        <v>2623</v>
      </c>
    </row>
    <row r="1734" customFormat="false" ht="15" hidden="false" customHeight="true" outlineLevel="0" collapsed="false">
      <c r="A1734" s="6" t="s">
        <v>4346</v>
      </c>
      <c r="B1734" s="6" t="s">
        <v>551</v>
      </c>
      <c r="C1734" s="6" t="s">
        <v>116</v>
      </c>
      <c r="D1734" s="13" t="n">
        <v>45040</v>
      </c>
      <c r="E1734" s="14" t="n">
        <v>2343.06</v>
      </c>
      <c r="F1734" s="14" t="n">
        <v>10267.43</v>
      </c>
      <c r="G1734" s="6" t="s">
        <v>2613</v>
      </c>
    </row>
    <row r="1735" customFormat="false" ht="15" hidden="false" customHeight="true" outlineLevel="0" collapsed="false">
      <c r="A1735" s="6" t="s">
        <v>4347</v>
      </c>
      <c r="B1735" s="6" t="s">
        <v>551</v>
      </c>
      <c r="C1735" s="6" t="s">
        <v>116</v>
      </c>
      <c r="D1735" s="13" t="n">
        <v>45047</v>
      </c>
      <c r="E1735" s="14" t="n">
        <v>2567.28</v>
      </c>
      <c r="F1735" s="14" t="n">
        <v>12834.71</v>
      </c>
      <c r="G1735" s="6" t="s">
        <v>2613</v>
      </c>
    </row>
    <row r="1736" customFormat="false" ht="15" hidden="false" customHeight="true" outlineLevel="0" collapsed="false">
      <c r="A1736" s="6" t="s">
        <v>4348</v>
      </c>
      <c r="B1736" s="6" t="s">
        <v>553</v>
      </c>
      <c r="C1736" s="6" t="s">
        <v>112</v>
      </c>
      <c r="D1736" s="13" t="n">
        <v>44991</v>
      </c>
      <c r="E1736" s="14" t="n">
        <v>246.48</v>
      </c>
      <c r="F1736" s="14" t="n">
        <v>246.48</v>
      </c>
      <c r="G1736" s="6" t="s">
        <v>2613</v>
      </c>
    </row>
    <row r="1737" customFormat="false" ht="15" hidden="false" customHeight="true" outlineLevel="0" collapsed="false">
      <c r="A1737" s="6" t="s">
        <v>4349</v>
      </c>
      <c r="B1737" s="6" t="s">
        <v>553</v>
      </c>
      <c r="C1737" s="6" t="s">
        <v>112</v>
      </c>
      <c r="D1737" s="13" t="n">
        <v>44998</v>
      </c>
      <c r="E1737" s="14" t="n">
        <v>189.84</v>
      </c>
      <c r="F1737" s="14" t="n">
        <v>436.32</v>
      </c>
      <c r="G1737" s="6" t="s">
        <v>2613</v>
      </c>
    </row>
    <row r="1738" customFormat="false" ht="15" hidden="false" customHeight="true" outlineLevel="0" collapsed="false">
      <c r="A1738" s="6" t="s">
        <v>4350</v>
      </c>
      <c r="B1738" s="6" t="s">
        <v>553</v>
      </c>
      <c r="C1738" s="6" t="s">
        <v>112</v>
      </c>
      <c r="D1738" s="13" t="n">
        <v>45005</v>
      </c>
      <c r="E1738" s="14" t="n">
        <v>276.43</v>
      </c>
      <c r="F1738" s="14" t="n">
        <v>712.75</v>
      </c>
      <c r="G1738" s="6" t="s">
        <v>2613</v>
      </c>
    </row>
    <row r="1739" customFormat="false" ht="15" hidden="false" customHeight="true" outlineLevel="0" collapsed="false">
      <c r="A1739" s="6" t="s">
        <v>4351</v>
      </c>
      <c r="B1739" s="6" t="s">
        <v>553</v>
      </c>
      <c r="C1739" s="6" t="s">
        <v>112</v>
      </c>
      <c r="D1739" s="13" t="n">
        <v>45012</v>
      </c>
      <c r="E1739" s="14" t="n">
        <v>279.67</v>
      </c>
      <c r="F1739" s="14" t="n">
        <v>992.42</v>
      </c>
      <c r="G1739" s="6" t="s">
        <v>2623</v>
      </c>
    </row>
    <row r="1740" customFormat="false" ht="15" hidden="false" customHeight="true" outlineLevel="0" collapsed="false">
      <c r="A1740" s="6" t="s">
        <v>4352</v>
      </c>
      <c r="B1740" s="6" t="s">
        <v>553</v>
      </c>
      <c r="C1740" s="6" t="s">
        <v>112</v>
      </c>
      <c r="D1740" s="13" t="n">
        <v>45019</v>
      </c>
      <c r="E1740" s="14" t="n">
        <v>323.7</v>
      </c>
      <c r="F1740" s="14" t="n">
        <v>1316.12</v>
      </c>
      <c r="G1740" s="6" t="s">
        <v>2613</v>
      </c>
    </row>
    <row r="1741" customFormat="false" ht="15" hidden="false" customHeight="true" outlineLevel="0" collapsed="false">
      <c r="A1741" s="6" t="s">
        <v>4353</v>
      </c>
      <c r="B1741" s="6" t="s">
        <v>553</v>
      </c>
      <c r="C1741" s="6" t="s">
        <v>112</v>
      </c>
      <c r="D1741" s="13" t="n">
        <v>45026</v>
      </c>
      <c r="E1741" s="14" t="n">
        <v>239.99</v>
      </c>
      <c r="F1741" s="14" t="n">
        <v>1556.11</v>
      </c>
      <c r="G1741" s="6" t="s">
        <v>2613</v>
      </c>
    </row>
    <row r="1742" customFormat="false" ht="15" hidden="false" customHeight="true" outlineLevel="0" collapsed="false">
      <c r="A1742" s="6" t="s">
        <v>4354</v>
      </c>
      <c r="B1742" s="6" t="s">
        <v>553</v>
      </c>
      <c r="C1742" s="6" t="s">
        <v>112</v>
      </c>
      <c r="D1742" s="13" t="n">
        <v>45033</v>
      </c>
      <c r="E1742" s="14" t="n">
        <v>193.4</v>
      </c>
      <c r="F1742" s="14" t="n">
        <v>1749.51</v>
      </c>
      <c r="G1742" s="6" t="s">
        <v>2613</v>
      </c>
    </row>
    <row r="1743" customFormat="false" ht="15" hidden="false" customHeight="true" outlineLevel="0" collapsed="false">
      <c r="A1743" s="6" t="s">
        <v>4355</v>
      </c>
      <c r="B1743" s="6" t="s">
        <v>553</v>
      </c>
      <c r="C1743" s="6" t="s">
        <v>112</v>
      </c>
      <c r="D1743" s="13" t="n">
        <v>45040</v>
      </c>
      <c r="E1743" s="14" t="n">
        <v>354.56</v>
      </c>
      <c r="F1743" s="14" t="n">
        <v>2104.07</v>
      </c>
      <c r="G1743" s="6" t="s">
        <v>2613</v>
      </c>
    </row>
    <row r="1744" customFormat="false" ht="15" hidden="false" customHeight="true" outlineLevel="0" collapsed="false">
      <c r="A1744" s="6" t="s">
        <v>4356</v>
      </c>
      <c r="B1744" s="6" t="s">
        <v>553</v>
      </c>
      <c r="C1744" s="6" t="s">
        <v>112</v>
      </c>
      <c r="D1744" s="13" t="n">
        <v>45047</v>
      </c>
      <c r="E1744" s="14" t="n">
        <v>331.14</v>
      </c>
      <c r="F1744" s="14" t="n">
        <v>2435.21</v>
      </c>
      <c r="G1744" s="6" t="s">
        <v>2613</v>
      </c>
    </row>
    <row r="1745" customFormat="false" ht="15" hidden="false" customHeight="true" outlineLevel="0" collapsed="false">
      <c r="A1745" s="6" t="s">
        <v>4357</v>
      </c>
      <c r="B1745" s="6" t="s">
        <v>553</v>
      </c>
      <c r="C1745" s="6" t="s">
        <v>112</v>
      </c>
      <c r="D1745" s="13" t="n">
        <v>45054</v>
      </c>
      <c r="E1745" s="14" t="n">
        <v>131.43</v>
      </c>
      <c r="F1745" s="14" t="n">
        <v>2566.64</v>
      </c>
      <c r="G1745" s="6" t="s">
        <v>2613</v>
      </c>
    </row>
    <row r="1746" customFormat="false" ht="15" hidden="false" customHeight="true" outlineLevel="0" collapsed="false">
      <c r="A1746" s="6" t="s">
        <v>4358</v>
      </c>
      <c r="B1746" s="6" t="s">
        <v>555</v>
      </c>
      <c r="C1746" s="6" t="s">
        <v>124</v>
      </c>
      <c r="D1746" s="13" t="n">
        <v>45314</v>
      </c>
      <c r="E1746" s="14" t="n">
        <v>335.42</v>
      </c>
      <c r="F1746" s="14" t="n">
        <v>335.42</v>
      </c>
      <c r="G1746" s="6" t="s">
        <v>2613</v>
      </c>
    </row>
    <row r="1747" customFormat="false" ht="15" hidden="false" customHeight="true" outlineLevel="0" collapsed="false">
      <c r="A1747" s="6" t="s">
        <v>4359</v>
      </c>
      <c r="B1747" s="6" t="s">
        <v>555</v>
      </c>
      <c r="C1747" s="6" t="s">
        <v>124</v>
      </c>
      <c r="D1747" s="13" t="n">
        <v>45321</v>
      </c>
      <c r="E1747" s="14" t="n">
        <v>466.61</v>
      </c>
      <c r="F1747" s="14" t="n">
        <v>802.03</v>
      </c>
      <c r="G1747" s="6" t="s">
        <v>2623</v>
      </c>
    </row>
    <row r="1748" customFormat="false" ht="15" hidden="false" customHeight="true" outlineLevel="0" collapsed="false">
      <c r="A1748" s="6" t="s">
        <v>4360</v>
      </c>
      <c r="B1748" s="6" t="s">
        <v>555</v>
      </c>
      <c r="C1748" s="6" t="s">
        <v>124</v>
      </c>
      <c r="D1748" s="13" t="n">
        <v>45328</v>
      </c>
      <c r="E1748" s="14" t="n">
        <v>461.05</v>
      </c>
      <c r="F1748" s="14" t="n">
        <v>1263.08</v>
      </c>
      <c r="G1748" s="6" t="s">
        <v>2613</v>
      </c>
    </row>
    <row r="1749" customFormat="false" ht="15" hidden="false" customHeight="true" outlineLevel="0" collapsed="false">
      <c r="A1749" s="6" t="s">
        <v>4361</v>
      </c>
      <c r="B1749" s="6" t="s">
        <v>555</v>
      </c>
      <c r="C1749" s="6" t="s">
        <v>124</v>
      </c>
      <c r="D1749" s="13" t="n">
        <v>45335</v>
      </c>
      <c r="E1749" s="14" t="n">
        <v>286.41</v>
      </c>
      <c r="F1749" s="14" t="n">
        <v>1549.49</v>
      </c>
      <c r="G1749" s="6" t="s">
        <v>2613</v>
      </c>
    </row>
    <row r="1750" customFormat="false" ht="15" hidden="false" customHeight="true" outlineLevel="0" collapsed="false">
      <c r="A1750" s="6" t="s">
        <v>4362</v>
      </c>
      <c r="B1750" s="6" t="s">
        <v>555</v>
      </c>
      <c r="C1750" s="6" t="s">
        <v>124</v>
      </c>
      <c r="D1750" s="13" t="n">
        <v>45342</v>
      </c>
      <c r="E1750" s="14" t="n">
        <v>382.05</v>
      </c>
      <c r="F1750" s="14" t="n">
        <v>1931.54</v>
      </c>
      <c r="G1750" s="6" t="s">
        <v>2613</v>
      </c>
    </row>
    <row r="1751" customFormat="false" ht="15" hidden="false" customHeight="true" outlineLevel="0" collapsed="false">
      <c r="A1751" s="6" t="s">
        <v>4363</v>
      </c>
      <c r="B1751" s="6" t="s">
        <v>555</v>
      </c>
      <c r="C1751" s="6" t="s">
        <v>124</v>
      </c>
      <c r="D1751" s="13" t="n">
        <v>45349</v>
      </c>
      <c r="E1751" s="14" t="n">
        <v>508.89</v>
      </c>
      <c r="F1751" s="14" t="n">
        <v>2440.43</v>
      </c>
      <c r="G1751" s="6" t="s">
        <v>2613</v>
      </c>
    </row>
    <row r="1752" customFormat="false" ht="15" hidden="false" customHeight="true" outlineLevel="0" collapsed="false">
      <c r="A1752" s="6" t="s">
        <v>4364</v>
      </c>
      <c r="B1752" s="6" t="s">
        <v>555</v>
      </c>
      <c r="C1752" s="6" t="s">
        <v>124</v>
      </c>
      <c r="D1752" s="13" t="n">
        <v>45356</v>
      </c>
      <c r="E1752" s="14" t="n">
        <v>415.35</v>
      </c>
      <c r="F1752" s="14" t="n">
        <v>2855.78</v>
      </c>
      <c r="G1752" s="6" t="s">
        <v>2613</v>
      </c>
    </row>
    <row r="1753" customFormat="false" ht="15" hidden="false" customHeight="true" outlineLevel="0" collapsed="false">
      <c r="A1753" s="6" t="s">
        <v>4365</v>
      </c>
      <c r="B1753" s="6" t="s">
        <v>555</v>
      </c>
      <c r="C1753" s="6" t="s">
        <v>124</v>
      </c>
      <c r="D1753" s="13" t="n">
        <v>45363</v>
      </c>
      <c r="E1753" s="14" t="n">
        <v>293.49</v>
      </c>
      <c r="F1753" s="14" t="n">
        <v>3149.27</v>
      </c>
      <c r="G1753" s="6" t="s">
        <v>2613</v>
      </c>
    </row>
    <row r="1754" customFormat="false" ht="15" hidden="false" customHeight="true" outlineLevel="0" collapsed="false">
      <c r="A1754" s="6" t="s">
        <v>4366</v>
      </c>
      <c r="B1754" s="6" t="s">
        <v>555</v>
      </c>
      <c r="C1754" s="6" t="s">
        <v>124</v>
      </c>
      <c r="D1754" s="13" t="n">
        <v>45370</v>
      </c>
      <c r="E1754" s="14" t="n">
        <v>332.75</v>
      </c>
      <c r="F1754" s="14" t="n">
        <v>3482.02</v>
      </c>
      <c r="G1754" s="6" t="s">
        <v>2613</v>
      </c>
    </row>
    <row r="1755" customFormat="false" ht="15" hidden="false" customHeight="true" outlineLevel="0" collapsed="false">
      <c r="A1755" s="6" t="s">
        <v>4367</v>
      </c>
      <c r="B1755" s="6" t="s">
        <v>555</v>
      </c>
      <c r="C1755" s="6" t="s">
        <v>124</v>
      </c>
      <c r="D1755" s="13" t="n">
        <v>45377</v>
      </c>
      <c r="E1755" s="14" t="n">
        <v>332.89</v>
      </c>
      <c r="F1755" s="14" t="n">
        <v>3814.91</v>
      </c>
      <c r="G1755" s="6" t="s">
        <v>2623</v>
      </c>
    </row>
    <row r="1756" customFormat="false" ht="15" hidden="false" customHeight="true" outlineLevel="0" collapsed="false">
      <c r="A1756" s="6" t="s">
        <v>4368</v>
      </c>
      <c r="B1756" s="6" t="s">
        <v>555</v>
      </c>
      <c r="C1756" s="6" t="s">
        <v>124</v>
      </c>
      <c r="D1756" s="13" t="n">
        <v>45384</v>
      </c>
      <c r="E1756" s="14" t="n">
        <v>460.22</v>
      </c>
      <c r="F1756" s="14" t="n">
        <v>4275.13</v>
      </c>
      <c r="G1756" s="6" t="s">
        <v>2613</v>
      </c>
    </row>
    <row r="1757" customFormat="false" ht="15" hidden="false" customHeight="true" outlineLevel="0" collapsed="false">
      <c r="A1757" s="6" t="s">
        <v>4369</v>
      </c>
      <c r="B1757" s="6" t="s">
        <v>555</v>
      </c>
      <c r="C1757" s="6" t="s">
        <v>124</v>
      </c>
      <c r="D1757" s="13" t="n">
        <v>45391</v>
      </c>
      <c r="E1757" s="14" t="n">
        <v>348.17</v>
      </c>
      <c r="F1757" s="14" t="n">
        <v>4623.3</v>
      </c>
      <c r="G1757" s="6" t="s">
        <v>2613</v>
      </c>
    </row>
    <row r="1758" customFormat="false" ht="15" hidden="false" customHeight="true" outlineLevel="0" collapsed="false">
      <c r="A1758" s="6" t="s">
        <v>4370</v>
      </c>
      <c r="B1758" s="6" t="s">
        <v>555</v>
      </c>
      <c r="C1758" s="6" t="s">
        <v>124</v>
      </c>
      <c r="D1758" s="13" t="n">
        <v>45398</v>
      </c>
      <c r="E1758" s="14" t="n">
        <v>377.7</v>
      </c>
      <c r="F1758" s="14" t="n">
        <v>5001</v>
      </c>
      <c r="G1758" s="6" t="s">
        <v>2613</v>
      </c>
    </row>
    <row r="1759" customFormat="false" ht="15" hidden="false" customHeight="true" outlineLevel="0" collapsed="false">
      <c r="A1759" s="6" t="s">
        <v>4371</v>
      </c>
      <c r="B1759" s="6" t="s">
        <v>555</v>
      </c>
      <c r="C1759" s="6" t="s">
        <v>124</v>
      </c>
      <c r="D1759" s="13" t="n">
        <v>45405</v>
      </c>
      <c r="E1759" s="14" t="n">
        <v>412.46</v>
      </c>
      <c r="F1759" s="14" t="n">
        <v>5413.46</v>
      </c>
      <c r="G1759" s="6" t="s">
        <v>2613</v>
      </c>
    </row>
    <row r="1760" customFormat="false" ht="15" hidden="false" customHeight="true" outlineLevel="0" collapsed="false">
      <c r="A1760" s="6" t="s">
        <v>4372</v>
      </c>
      <c r="B1760" s="6" t="s">
        <v>557</v>
      </c>
      <c r="C1760" s="6" t="s">
        <v>116</v>
      </c>
      <c r="D1760" s="13" t="n">
        <v>45986</v>
      </c>
      <c r="E1760" s="14" t="n">
        <v>1906.86</v>
      </c>
      <c r="F1760" s="14" t="n">
        <v>1906.86</v>
      </c>
      <c r="G1760" s="6" t="s">
        <v>2613</v>
      </c>
    </row>
    <row r="1761" customFormat="false" ht="15" hidden="false" customHeight="true" outlineLevel="0" collapsed="false">
      <c r="A1761" s="6" t="s">
        <v>4373</v>
      </c>
      <c r="B1761" s="6" t="s">
        <v>557</v>
      </c>
      <c r="C1761" s="6" t="s">
        <v>116</v>
      </c>
      <c r="D1761" s="13" t="n">
        <v>45993</v>
      </c>
      <c r="E1761" s="14" t="n">
        <v>2586.94</v>
      </c>
      <c r="F1761" s="14" t="n">
        <v>4493.8</v>
      </c>
      <c r="G1761" s="6" t="s">
        <v>2613</v>
      </c>
    </row>
    <row r="1762" customFormat="false" ht="15" hidden="false" customHeight="true" outlineLevel="0" collapsed="false">
      <c r="A1762" s="6" t="s">
        <v>4374</v>
      </c>
      <c r="B1762" s="6" t="s">
        <v>557</v>
      </c>
      <c r="C1762" s="6" t="s">
        <v>116</v>
      </c>
      <c r="D1762" s="13" t="n">
        <v>46000</v>
      </c>
      <c r="E1762" s="14" t="n">
        <v>2147.67</v>
      </c>
      <c r="F1762" s="14" t="n">
        <v>6641.47</v>
      </c>
      <c r="G1762" s="6" t="s">
        <v>2613</v>
      </c>
    </row>
    <row r="1763" customFormat="false" ht="15" hidden="false" customHeight="true" outlineLevel="0" collapsed="false">
      <c r="A1763" s="6" t="s">
        <v>4375</v>
      </c>
      <c r="B1763" s="6" t="s">
        <v>557</v>
      </c>
      <c r="C1763" s="6" t="s">
        <v>116</v>
      </c>
      <c r="D1763" s="13" t="n">
        <v>46007</v>
      </c>
      <c r="E1763" s="14" t="n">
        <v>2008.01</v>
      </c>
      <c r="F1763" s="14" t="n">
        <v>8649.48</v>
      </c>
      <c r="G1763" s="6" t="s">
        <v>2613</v>
      </c>
    </row>
    <row r="1764" customFormat="false" ht="15" hidden="false" customHeight="true" outlineLevel="0" collapsed="false">
      <c r="A1764" s="6" t="s">
        <v>4376</v>
      </c>
      <c r="B1764" s="6" t="s">
        <v>557</v>
      </c>
      <c r="C1764" s="6" t="s">
        <v>116</v>
      </c>
      <c r="D1764" s="13" t="n">
        <v>46014</v>
      </c>
      <c r="E1764" s="14" t="n">
        <v>3770.63</v>
      </c>
      <c r="F1764" s="14" t="n">
        <v>12420.11</v>
      </c>
      <c r="G1764" s="6" t="s">
        <v>2613</v>
      </c>
    </row>
    <row r="1765" customFormat="false" ht="15" hidden="false" customHeight="true" outlineLevel="0" collapsed="false">
      <c r="A1765" s="6" t="s">
        <v>4377</v>
      </c>
      <c r="B1765" s="6" t="s">
        <v>557</v>
      </c>
      <c r="C1765" s="6" t="s">
        <v>116</v>
      </c>
      <c r="D1765" s="13" t="n">
        <v>46021</v>
      </c>
      <c r="E1765" s="14" t="n">
        <v>2941.02</v>
      </c>
      <c r="F1765" s="14" t="n">
        <v>15361.13</v>
      </c>
      <c r="G1765" s="6" t="s">
        <v>2613</v>
      </c>
    </row>
    <row r="1766" customFormat="false" ht="15" hidden="false" customHeight="true" outlineLevel="0" collapsed="false">
      <c r="A1766" s="6" t="s">
        <v>4378</v>
      </c>
      <c r="B1766" s="6" t="s">
        <v>557</v>
      </c>
      <c r="C1766" s="6" t="s">
        <v>116</v>
      </c>
      <c r="D1766" s="13" t="n">
        <v>46028</v>
      </c>
      <c r="E1766" s="14" t="n">
        <v>2169.48</v>
      </c>
      <c r="F1766" s="14" t="n">
        <v>17530.61</v>
      </c>
      <c r="G1766" s="6" t="s">
        <v>2613</v>
      </c>
    </row>
    <row r="1767" customFormat="false" ht="15" hidden="false" customHeight="true" outlineLevel="0" collapsed="false">
      <c r="A1767" s="6" t="s">
        <v>4379</v>
      </c>
      <c r="B1767" s="6" t="s">
        <v>557</v>
      </c>
      <c r="C1767" s="6" t="s">
        <v>116</v>
      </c>
      <c r="D1767" s="13" t="n">
        <v>46035</v>
      </c>
      <c r="E1767" s="14" t="n">
        <v>2816.24</v>
      </c>
      <c r="F1767" s="14" t="n">
        <v>20346.85</v>
      </c>
      <c r="G1767" s="6" t="s">
        <v>2613</v>
      </c>
    </row>
    <row r="1768" customFormat="false" ht="15" hidden="false" customHeight="true" outlineLevel="0" collapsed="false">
      <c r="A1768" s="6" t="s">
        <v>4380</v>
      </c>
      <c r="B1768" s="6" t="s">
        <v>557</v>
      </c>
      <c r="C1768" s="6" t="s">
        <v>116</v>
      </c>
      <c r="D1768" s="13" t="n">
        <v>46042</v>
      </c>
      <c r="E1768" s="14" t="n">
        <v>2140.11</v>
      </c>
      <c r="F1768" s="14" t="n">
        <v>22486.96</v>
      </c>
      <c r="G1768" s="6" t="s">
        <v>2613</v>
      </c>
    </row>
    <row r="1769" customFormat="false" ht="15" hidden="false" customHeight="true" outlineLevel="0" collapsed="false">
      <c r="A1769" s="6" t="s">
        <v>4381</v>
      </c>
      <c r="B1769" s="6" t="s">
        <v>557</v>
      </c>
      <c r="C1769" s="6" t="s">
        <v>116</v>
      </c>
      <c r="D1769" s="13" t="n">
        <v>46049</v>
      </c>
      <c r="E1769" s="14" t="n">
        <v>2685.57</v>
      </c>
      <c r="F1769" s="14" t="n">
        <v>25172.53</v>
      </c>
      <c r="G1769" s="6" t="s">
        <v>2623</v>
      </c>
    </row>
    <row r="1770" customFormat="false" ht="15" hidden="false" customHeight="true" outlineLevel="0" collapsed="false">
      <c r="A1770" s="6" t="s">
        <v>4382</v>
      </c>
      <c r="B1770" s="6" t="s">
        <v>557</v>
      </c>
      <c r="C1770" s="6" t="s">
        <v>116</v>
      </c>
      <c r="D1770" s="13" t="n">
        <v>46056</v>
      </c>
      <c r="E1770" s="14" t="n">
        <v>2608.84</v>
      </c>
      <c r="F1770" s="14" t="n">
        <v>27781.37</v>
      </c>
      <c r="G1770" s="6" t="s">
        <v>2613</v>
      </c>
    </row>
    <row r="1771" customFormat="false" ht="15" hidden="false" customHeight="true" outlineLevel="0" collapsed="false">
      <c r="A1771" s="6" t="s">
        <v>4383</v>
      </c>
      <c r="B1771" s="6" t="s">
        <v>557</v>
      </c>
      <c r="C1771" s="6" t="s">
        <v>116</v>
      </c>
      <c r="D1771" s="13" t="n">
        <v>46063</v>
      </c>
      <c r="E1771" s="14" t="n">
        <v>2209.62</v>
      </c>
      <c r="F1771" s="14" t="n">
        <v>29990.99</v>
      </c>
      <c r="G1771" s="6" t="s">
        <v>2613</v>
      </c>
    </row>
    <row r="1772" customFormat="false" ht="15" hidden="false" customHeight="true" outlineLevel="0" collapsed="false">
      <c r="A1772" s="6" t="s">
        <v>4384</v>
      </c>
      <c r="B1772" s="6" t="s">
        <v>557</v>
      </c>
      <c r="C1772" s="6" t="s">
        <v>116</v>
      </c>
      <c r="D1772" s="13" t="n">
        <v>46070</v>
      </c>
      <c r="E1772" s="14" t="n">
        <v>2153.32</v>
      </c>
      <c r="F1772" s="14" t="n">
        <v>32144.31</v>
      </c>
      <c r="G1772" s="6" t="s">
        <v>2613</v>
      </c>
    </row>
    <row r="1773" customFormat="false" ht="15" hidden="false" customHeight="true" outlineLevel="0" collapsed="false">
      <c r="A1773" s="6" t="s">
        <v>4385</v>
      </c>
      <c r="B1773" s="6" t="s">
        <v>557</v>
      </c>
      <c r="C1773" s="6" t="s">
        <v>116</v>
      </c>
      <c r="D1773" s="13" t="n">
        <v>46077</v>
      </c>
      <c r="E1773" s="14" t="n">
        <v>3756.22</v>
      </c>
      <c r="F1773" s="14" t="n">
        <v>35900.53</v>
      </c>
      <c r="G1773" s="6" t="s">
        <v>2613</v>
      </c>
    </row>
    <row r="1774" customFormat="false" ht="15" hidden="false" customHeight="true" outlineLevel="0" collapsed="false">
      <c r="A1774" s="6" t="s">
        <v>4386</v>
      </c>
      <c r="B1774" s="6" t="s">
        <v>557</v>
      </c>
      <c r="C1774" s="6" t="s">
        <v>116</v>
      </c>
      <c r="D1774" s="13" t="n">
        <v>46084</v>
      </c>
      <c r="E1774" s="14" t="n">
        <v>3649.93</v>
      </c>
      <c r="F1774" s="14" t="n">
        <v>39550.46</v>
      </c>
      <c r="G1774" s="6" t="s">
        <v>2613</v>
      </c>
    </row>
    <row r="1775" customFormat="false" ht="15" hidden="false" customHeight="true" outlineLevel="0" collapsed="false">
      <c r="A1775" s="6" t="s">
        <v>4387</v>
      </c>
      <c r="B1775" s="6" t="s">
        <v>557</v>
      </c>
      <c r="C1775" s="6" t="s">
        <v>116</v>
      </c>
      <c r="D1775" s="13" t="n">
        <v>46091</v>
      </c>
      <c r="E1775" s="14" t="n">
        <v>1758.75</v>
      </c>
      <c r="F1775" s="14" t="n">
        <v>41309.21</v>
      </c>
      <c r="G1775" s="6" t="s">
        <v>2613</v>
      </c>
    </row>
    <row r="1776" customFormat="false" ht="15" hidden="false" customHeight="true" outlineLevel="0" collapsed="false">
      <c r="A1776" s="6" t="s">
        <v>4388</v>
      </c>
      <c r="B1776" s="6" t="s">
        <v>557</v>
      </c>
      <c r="C1776" s="6" t="s">
        <v>116</v>
      </c>
      <c r="D1776" s="13" t="n">
        <v>46098</v>
      </c>
      <c r="E1776" s="14" t="n">
        <v>3285.05</v>
      </c>
      <c r="F1776" s="14" t="n">
        <v>44594.26</v>
      </c>
      <c r="G1776" s="6" t="s">
        <v>2613</v>
      </c>
    </row>
    <row r="1777" customFormat="false" ht="15" hidden="false" customHeight="true" outlineLevel="0" collapsed="false">
      <c r="A1777" s="6" t="s">
        <v>4389</v>
      </c>
      <c r="B1777" s="6" t="s">
        <v>557</v>
      </c>
      <c r="C1777" s="6" t="s">
        <v>116</v>
      </c>
      <c r="D1777" s="13" t="n">
        <v>46105</v>
      </c>
      <c r="E1777" s="14" t="n">
        <v>5230.29</v>
      </c>
      <c r="F1777" s="14" t="n">
        <v>49824.55</v>
      </c>
      <c r="G1777" s="6" t="s">
        <v>2613</v>
      </c>
    </row>
    <row r="1778" customFormat="false" ht="15" hidden="false" customHeight="true" outlineLevel="0" collapsed="false">
      <c r="A1778" s="6" t="s">
        <v>4390</v>
      </c>
      <c r="B1778" s="6" t="s">
        <v>559</v>
      </c>
      <c r="C1778" s="6" t="s">
        <v>124</v>
      </c>
      <c r="D1778" s="13" t="n">
        <v>45058</v>
      </c>
      <c r="E1778" s="14" t="n">
        <v>4768.69</v>
      </c>
      <c r="F1778" s="14" t="n">
        <v>4768.69</v>
      </c>
      <c r="G1778" s="6" t="s">
        <v>2613</v>
      </c>
    </row>
    <row r="1779" customFormat="false" ht="15" hidden="false" customHeight="true" outlineLevel="0" collapsed="false">
      <c r="A1779" s="6" t="s">
        <v>4391</v>
      </c>
      <c r="B1779" s="6" t="s">
        <v>559</v>
      </c>
      <c r="C1779" s="6" t="s">
        <v>124</v>
      </c>
      <c r="D1779" s="13" t="n">
        <v>45065</v>
      </c>
      <c r="E1779" s="14" t="n">
        <v>5635.43</v>
      </c>
      <c r="F1779" s="14" t="n">
        <v>10404.12</v>
      </c>
      <c r="G1779" s="6" t="s">
        <v>2613</v>
      </c>
    </row>
    <row r="1780" customFormat="false" ht="15" hidden="false" customHeight="true" outlineLevel="0" collapsed="false">
      <c r="A1780" s="6" t="s">
        <v>4392</v>
      </c>
      <c r="B1780" s="6" t="s">
        <v>559</v>
      </c>
      <c r="C1780" s="6" t="s">
        <v>124</v>
      </c>
      <c r="D1780" s="13" t="n">
        <v>45072</v>
      </c>
      <c r="E1780" s="14" t="n">
        <v>5805.98</v>
      </c>
      <c r="F1780" s="14" t="n">
        <v>16210.1</v>
      </c>
      <c r="G1780" s="6" t="s">
        <v>2623</v>
      </c>
    </row>
    <row r="1781" customFormat="false" ht="15" hidden="false" customHeight="true" outlineLevel="0" collapsed="false">
      <c r="A1781" s="6" t="s">
        <v>4393</v>
      </c>
      <c r="B1781" s="6" t="s">
        <v>559</v>
      </c>
      <c r="C1781" s="6" t="s">
        <v>124</v>
      </c>
      <c r="D1781" s="13" t="n">
        <v>45079</v>
      </c>
      <c r="E1781" s="14" t="n">
        <v>4671.97</v>
      </c>
      <c r="F1781" s="14" t="n">
        <v>20882.07</v>
      </c>
      <c r="G1781" s="6" t="s">
        <v>2613</v>
      </c>
    </row>
    <row r="1782" customFormat="false" ht="15" hidden="false" customHeight="true" outlineLevel="0" collapsed="false">
      <c r="A1782" s="6" t="s">
        <v>4394</v>
      </c>
      <c r="B1782" s="6" t="s">
        <v>559</v>
      </c>
      <c r="C1782" s="6" t="s">
        <v>124</v>
      </c>
      <c r="D1782" s="13" t="n">
        <v>45086</v>
      </c>
      <c r="E1782" s="14" t="n">
        <v>6298.1</v>
      </c>
      <c r="F1782" s="14" t="n">
        <v>27180.17</v>
      </c>
      <c r="G1782" s="6" t="s">
        <v>2613</v>
      </c>
    </row>
    <row r="1783" customFormat="false" ht="15" hidden="false" customHeight="true" outlineLevel="0" collapsed="false">
      <c r="A1783" s="6" t="s">
        <v>4395</v>
      </c>
      <c r="B1783" s="6" t="s">
        <v>559</v>
      </c>
      <c r="C1783" s="6" t="s">
        <v>124</v>
      </c>
      <c r="D1783" s="13" t="n">
        <v>45093</v>
      </c>
      <c r="E1783" s="14" t="n">
        <v>5971.06</v>
      </c>
      <c r="F1783" s="14" t="n">
        <v>33151.23</v>
      </c>
      <c r="G1783" s="6" t="s">
        <v>2613</v>
      </c>
    </row>
    <row r="1784" customFormat="false" ht="15" hidden="false" customHeight="true" outlineLevel="0" collapsed="false">
      <c r="A1784" s="6" t="s">
        <v>4396</v>
      </c>
      <c r="B1784" s="6" t="s">
        <v>559</v>
      </c>
      <c r="C1784" s="6" t="s">
        <v>124</v>
      </c>
      <c r="D1784" s="13" t="n">
        <v>45100</v>
      </c>
      <c r="E1784" s="14" t="n">
        <v>4708.63</v>
      </c>
      <c r="F1784" s="14" t="n">
        <v>37859.86</v>
      </c>
      <c r="G1784" s="6" t="s">
        <v>2613</v>
      </c>
    </row>
    <row r="1785" customFormat="false" ht="15" hidden="false" customHeight="true" outlineLevel="0" collapsed="false">
      <c r="A1785" s="6" t="s">
        <v>4397</v>
      </c>
      <c r="B1785" s="6" t="s">
        <v>559</v>
      </c>
      <c r="C1785" s="6" t="s">
        <v>124</v>
      </c>
      <c r="D1785" s="13" t="n">
        <v>45107</v>
      </c>
      <c r="E1785" s="14" t="n">
        <v>916.81</v>
      </c>
      <c r="F1785" s="14" t="n">
        <v>38776.67</v>
      </c>
      <c r="G1785" s="6" t="s">
        <v>2613</v>
      </c>
    </row>
    <row r="1786" customFormat="false" ht="15" hidden="false" customHeight="true" outlineLevel="0" collapsed="false">
      <c r="A1786" s="6" t="s">
        <v>4398</v>
      </c>
      <c r="B1786" s="6" t="s">
        <v>561</v>
      </c>
      <c r="C1786" s="6" t="s">
        <v>112</v>
      </c>
      <c r="D1786" s="13" t="n">
        <v>44681</v>
      </c>
      <c r="E1786" s="14" t="n">
        <v>5024.32</v>
      </c>
      <c r="F1786" s="14" t="n">
        <v>5024.32</v>
      </c>
      <c r="G1786" s="6" t="s">
        <v>2623</v>
      </c>
    </row>
    <row r="1787" customFormat="false" ht="15" hidden="false" customHeight="true" outlineLevel="0" collapsed="false">
      <c r="A1787" s="6" t="s">
        <v>4399</v>
      </c>
      <c r="B1787" s="6" t="s">
        <v>561</v>
      </c>
      <c r="C1787" s="6" t="s">
        <v>112</v>
      </c>
      <c r="D1787" s="13" t="n">
        <v>44688</v>
      </c>
      <c r="E1787" s="14" t="n">
        <v>5109.85</v>
      </c>
      <c r="F1787" s="14" t="n">
        <v>10134.17</v>
      </c>
      <c r="G1787" s="6" t="s">
        <v>2613</v>
      </c>
    </row>
    <row r="1788" customFormat="false" ht="15" hidden="false" customHeight="true" outlineLevel="0" collapsed="false">
      <c r="A1788" s="6" t="s">
        <v>4400</v>
      </c>
      <c r="B1788" s="6" t="s">
        <v>561</v>
      </c>
      <c r="C1788" s="6" t="s">
        <v>112</v>
      </c>
      <c r="D1788" s="13" t="n">
        <v>44695</v>
      </c>
      <c r="E1788" s="14" t="n">
        <v>3567</v>
      </c>
      <c r="F1788" s="14" t="n">
        <v>13701.17</v>
      </c>
      <c r="G1788" s="6" t="s">
        <v>2613</v>
      </c>
    </row>
    <row r="1789" customFormat="false" ht="15" hidden="false" customHeight="true" outlineLevel="0" collapsed="false">
      <c r="A1789" s="6" t="s">
        <v>4401</v>
      </c>
      <c r="B1789" s="6" t="s">
        <v>561</v>
      </c>
      <c r="C1789" s="6" t="s">
        <v>112</v>
      </c>
      <c r="D1789" s="13" t="n">
        <v>44702</v>
      </c>
      <c r="E1789" s="14" t="n">
        <v>6306.04</v>
      </c>
      <c r="F1789" s="14" t="n">
        <v>20007.21</v>
      </c>
      <c r="G1789" s="6" t="s">
        <v>2613</v>
      </c>
    </row>
    <row r="1790" customFormat="false" ht="15" hidden="false" customHeight="true" outlineLevel="0" collapsed="false">
      <c r="A1790" s="6" t="s">
        <v>4402</v>
      </c>
      <c r="B1790" s="6" t="s">
        <v>561</v>
      </c>
      <c r="C1790" s="6" t="s">
        <v>112</v>
      </c>
      <c r="D1790" s="13" t="n">
        <v>44709</v>
      </c>
      <c r="E1790" s="14" t="n">
        <v>5911.78</v>
      </c>
      <c r="F1790" s="14" t="n">
        <v>25918.99</v>
      </c>
      <c r="G1790" s="6" t="s">
        <v>2613</v>
      </c>
    </row>
    <row r="1791" customFormat="false" ht="15" hidden="false" customHeight="true" outlineLevel="0" collapsed="false">
      <c r="A1791" s="6" t="s">
        <v>4403</v>
      </c>
      <c r="B1791" s="6" t="s">
        <v>561</v>
      </c>
      <c r="C1791" s="6" t="s">
        <v>112</v>
      </c>
      <c r="D1791" s="13" t="n">
        <v>44716</v>
      </c>
      <c r="E1791" s="14" t="n">
        <v>4006.89</v>
      </c>
      <c r="F1791" s="14" t="n">
        <v>29925.88</v>
      </c>
      <c r="G1791" s="6" t="s">
        <v>2613</v>
      </c>
    </row>
    <row r="1792" customFormat="false" ht="15" hidden="false" customHeight="true" outlineLevel="0" collapsed="false">
      <c r="A1792" s="6" t="s">
        <v>4404</v>
      </c>
      <c r="B1792" s="6" t="s">
        <v>561</v>
      </c>
      <c r="C1792" s="6" t="s">
        <v>112</v>
      </c>
      <c r="D1792" s="13" t="n">
        <v>44723</v>
      </c>
      <c r="E1792" s="14" t="n">
        <v>5816.51</v>
      </c>
      <c r="F1792" s="14" t="n">
        <v>35742.39</v>
      </c>
      <c r="G1792" s="6" t="s">
        <v>2613</v>
      </c>
    </row>
    <row r="1793" customFormat="false" ht="15" hidden="false" customHeight="true" outlineLevel="0" collapsed="false">
      <c r="A1793" s="6" t="s">
        <v>4405</v>
      </c>
      <c r="B1793" s="6" t="s">
        <v>561</v>
      </c>
      <c r="C1793" s="6" t="s">
        <v>112</v>
      </c>
      <c r="D1793" s="13" t="n">
        <v>44730</v>
      </c>
      <c r="E1793" s="14" t="n">
        <v>9359.6</v>
      </c>
      <c r="F1793" s="14" t="n">
        <v>45101.99</v>
      </c>
      <c r="G1793" s="6" t="s">
        <v>2613</v>
      </c>
    </row>
    <row r="1794" customFormat="false" ht="15" hidden="false" customHeight="true" outlineLevel="0" collapsed="false">
      <c r="A1794" s="6" t="s">
        <v>4406</v>
      </c>
      <c r="B1794" s="6" t="s">
        <v>563</v>
      </c>
      <c r="C1794" s="6" t="s">
        <v>128</v>
      </c>
      <c r="D1794" s="13" t="n">
        <v>45495</v>
      </c>
      <c r="E1794" s="14" t="n">
        <v>4303.87</v>
      </c>
      <c r="F1794" s="14" t="n">
        <v>4303.87</v>
      </c>
      <c r="G1794" s="6" t="s">
        <v>2613</v>
      </c>
    </row>
    <row r="1795" customFormat="false" ht="15" hidden="false" customHeight="true" outlineLevel="0" collapsed="false">
      <c r="A1795" s="6" t="s">
        <v>4407</v>
      </c>
      <c r="B1795" s="6" t="s">
        <v>563</v>
      </c>
      <c r="C1795" s="6" t="s">
        <v>128</v>
      </c>
      <c r="D1795" s="13" t="n">
        <v>45502</v>
      </c>
      <c r="E1795" s="14" t="n">
        <v>7043.87</v>
      </c>
      <c r="F1795" s="14" t="n">
        <v>11347.74</v>
      </c>
      <c r="G1795" s="6" t="s">
        <v>2613</v>
      </c>
    </row>
    <row r="1796" customFormat="false" ht="15" hidden="false" customHeight="true" outlineLevel="0" collapsed="false">
      <c r="A1796" s="6" t="s">
        <v>4408</v>
      </c>
      <c r="B1796" s="6" t="s">
        <v>563</v>
      </c>
      <c r="C1796" s="6" t="s">
        <v>128</v>
      </c>
      <c r="D1796" s="13" t="n">
        <v>45509</v>
      </c>
      <c r="E1796" s="14" t="n">
        <v>5140.05</v>
      </c>
      <c r="F1796" s="14" t="n">
        <v>16487.79</v>
      </c>
      <c r="G1796" s="6" t="s">
        <v>2613</v>
      </c>
    </row>
    <row r="1797" customFormat="false" ht="15" hidden="false" customHeight="true" outlineLevel="0" collapsed="false">
      <c r="A1797" s="6" t="s">
        <v>4409</v>
      </c>
      <c r="B1797" s="6" t="s">
        <v>563</v>
      </c>
      <c r="C1797" s="6" t="s">
        <v>128</v>
      </c>
      <c r="D1797" s="13" t="n">
        <v>45516</v>
      </c>
      <c r="E1797" s="14" t="n">
        <v>7643.53</v>
      </c>
      <c r="F1797" s="14" t="n">
        <v>24131.32</v>
      </c>
      <c r="G1797" s="6" t="s">
        <v>2613</v>
      </c>
    </row>
    <row r="1798" customFormat="false" ht="15" hidden="false" customHeight="true" outlineLevel="0" collapsed="false">
      <c r="A1798" s="6" t="s">
        <v>4410</v>
      </c>
      <c r="B1798" s="6" t="s">
        <v>563</v>
      </c>
      <c r="C1798" s="6" t="s">
        <v>128</v>
      </c>
      <c r="D1798" s="13" t="n">
        <v>45523</v>
      </c>
      <c r="E1798" s="14" t="n">
        <v>7687.38</v>
      </c>
      <c r="F1798" s="14" t="n">
        <v>31818.7</v>
      </c>
      <c r="G1798" s="6" t="s">
        <v>2613</v>
      </c>
    </row>
    <row r="1799" customFormat="false" ht="15" hidden="false" customHeight="true" outlineLevel="0" collapsed="false">
      <c r="A1799" s="6" t="s">
        <v>4411</v>
      </c>
      <c r="B1799" s="6" t="s">
        <v>563</v>
      </c>
      <c r="C1799" s="6" t="s">
        <v>128</v>
      </c>
      <c r="D1799" s="13" t="n">
        <v>45530</v>
      </c>
      <c r="E1799" s="14" t="n">
        <v>4022.36</v>
      </c>
      <c r="F1799" s="14" t="n">
        <v>35841.06</v>
      </c>
      <c r="G1799" s="6" t="s">
        <v>2613</v>
      </c>
    </row>
    <row r="1800" customFormat="false" ht="15" hidden="false" customHeight="true" outlineLevel="0" collapsed="false">
      <c r="A1800" s="6" t="s">
        <v>4412</v>
      </c>
      <c r="B1800" s="6" t="s">
        <v>563</v>
      </c>
      <c r="C1800" s="6" t="s">
        <v>128</v>
      </c>
      <c r="D1800" s="13" t="n">
        <v>45537</v>
      </c>
      <c r="E1800" s="14" t="n">
        <v>5956.77</v>
      </c>
      <c r="F1800" s="14" t="n">
        <v>41797.83</v>
      </c>
      <c r="G1800" s="6" t="s">
        <v>2623</v>
      </c>
    </row>
    <row r="1801" customFormat="false" ht="15" hidden="false" customHeight="true" outlineLevel="0" collapsed="false">
      <c r="A1801" s="6" t="s">
        <v>4413</v>
      </c>
      <c r="B1801" s="6" t="s">
        <v>563</v>
      </c>
      <c r="C1801" s="6" t="s">
        <v>128</v>
      </c>
      <c r="D1801" s="13" t="n">
        <v>45544</v>
      </c>
      <c r="E1801" s="14" t="n">
        <v>7518.34</v>
      </c>
      <c r="F1801" s="14" t="n">
        <v>49316.17</v>
      </c>
      <c r="G1801" s="6" t="s">
        <v>2613</v>
      </c>
    </row>
    <row r="1802" customFormat="false" ht="15" hidden="false" customHeight="true" outlineLevel="0" collapsed="false">
      <c r="A1802" s="6" t="s">
        <v>4414</v>
      </c>
      <c r="B1802" s="6" t="s">
        <v>565</v>
      </c>
      <c r="C1802" s="6" t="s">
        <v>120</v>
      </c>
      <c r="D1802" s="13" t="n">
        <v>45966</v>
      </c>
      <c r="E1802" s="14" t="n">
        <v>1379.96</v>
      </c>
      <c r="F1802" s="14" t="n">
        <v>1379.96</v>
      </c>
      <c r="G1802" s="6" t="s">
        <v>2613</v>
      </c>
    </row>
    <row r="1803" customFormat="false" ht="15" hidden="false" customHeight="true" outlineLevel="0" collapsed="false">
      <c r="A1803" s="6" t="s">
        <v>4415</v>
      </c>
      <c r="B1803" s="6" t="s">
        <v>565</v>
      </c>
      <c r="C1803" s="6" t="s">
        <v>120</v>
      </c>
      <c r="D1803" s="13" t="n">
        <v>45973</v>
      </c>
      <c r="E1803" s="14" t="n">
        <v>1754.91</v>
      </c>
      <c r="F1803" s="14" t="n">
        <v>3134.87</v>
      </c>
      <c r="G1803" s="6" t="s">
        <v>2613</v>
      </c>
    </row>
    <row r="1804" customFormat="false" ht="15" hidden="false" customHeight="true" outlineLevel="0" collapsed="false">
      <c r="A1804" s="6" t="s">
        <v>4416</v>
      </c>
      <c r="B1804" s="6" t="s">
        <v>565</v>
      </c>
      <c r="C1804" s="6" t="s">
        <v>120</v>
      </c>
      <c r="D1804" s="13" t="n">
        <v>45980</v>
      </c>
      <c r="E1804" s="14" t="n">
        <v>1022.92</v>
      </c>
      <c r="F1804" s="14" t="n">
        <v>4157.79</v>
      </c>
      <c r="G1804" s="6" t="s">
        <v>2613</v>
      </c>
    </row>
    <row r="1805" customFormat="false" ht="15" hidden="false" customHeight="true" outlineLevel="0" collapsed="false">
      <c r="A1805" s="6" t="s">
        <v>4417</v>
      </c>
      <c r="B1805" s="6" t="s">
        <v>565</v>
      </c>
      <c r="C1805" s="6" t="s">
        <v>120</v>
      </c>
      <c r="D1805" s="13" t="n">
        <v>45987</v>
      </c>
      <c r="E1805" s="14" t="n">
        <v>1236.05</v>
      </c>
      <c r="F1805" s="14" t="n">
        <v>5393.84</v>
      </c>
      <c r="G1805" s="6" t="s">
        <v>2613</v>
      </c>
    </row>
    <row r="1806" customFormat="false" ht="15" hidden="false" customHeight="true" outlineLevel="0" collapsed="false">
      <c r="A1806" s="6" t="s">
        <v>4418</v>
      </c>
      <c r="B1806" s="6" t="s">
        <v>565</v>
      </c>
      <c r="C1806" s="6" t="s">
        <v>120</v>
      </c>
      <c r="D1806" s="13" t="n">
        <v>45994</v>
      </c>
      <c r="E1806" s="14" t="n">
        <v>1754.9</v>
      </c>
      <c r="F1806" s="14" t="n">
        <v>7148.74</v>
      </c>
      <c r="G1806" s="6" t="s">
        <v>2613</v>
      </c>
    </row>
    <row r="1807" customFormat="false" ht="15" hidden="false" customHeight="true" outlineLevel="0" collapsed="false">
      <c r="A1807" s="6" t="s">
        <v>4419</v>
      </c>
      <c r="B1807" s="6" t="s">
        <v>565</v>
      </c>
      <c r="C1807" s="6" t="s">
        <v>120</v>
      </c>
      <c r="D1807" s="13" t="n">
        <v>46001</v>
      </c>
      <c r="E1807" s="14" t="n">
        <v>1375.05</v>
      </c>
      <c r="F1807" s="14" t="n">
        <v>8523.79</v>
      </c>
      <c r="G1807" s="6" t="s">
        <v>2613</v>
      </c>
    </row>
    <row r="1808" customFormat="false" ht="15" hidden="false" customHeight="true" outlineLevel="0" collapsed="false">
      <c r="A1808" s="6" t="s">
        <v>4420</v>
      </c>
      <c r="B1808" s="6" t="s">
        <v>565</v>
      </c>
      <c r="C1808" s="6" t="s">
        <v>120</v>
      </c>
      <c r="D1808" s="13" t="n">
        <v>46008</v>
      </c>
      <c r="E1808" s="14" t="n">
        <v>1354.3</v>
      </c>
      <c r="F1808" s="14" t="n">
        <v>9878.09</v>
      </c>
      <c r="G1808" s="6" t="s">
        <v>2613</v>
      </c>
    </row>
    <row r="1809" customFormat="false" ht="15" hidden="false" customHeight="true" outlineLevel="0" collapsed="false">
      <c r="A1809" s="6" t="s">
        <v>4421</v>
      </c>
      <c r="B1809" s="6" t="s">
        <v>565</v>
      </c>
      <c r="C1809" s="6" t="s">
        <v>120</v>
      </c>
      <c r="D1809" s="13" t="n">
        <v>46015</v>
      </c>
      <c r="E1809" s="14" t="n">
        <v>1820.57</v>
      </c>
      <c r="F1809" s="14" t="n">
        <v>11698.66</v>
      </c>
      <c r="G1809" s="6" t="s">
        <v>2613</v>
      </c>
    </row>
    <row r="1810" customFormat="false" ht="15" hidden="false" customHeight="true" outlineLevel="0" collapsed="false">
      <c r="A1810" s="6" t="s">
        <v>4422</v>
      </c>
      <c r="B1810" s="6" t="s">
        <v>565</v>
      </c>
      <c r="C1810" s="6" t="s">
        <v>120</v>
      </c>
      <c r="D1810" s="13" t="n">
        <v>46022</v>
      </c>
      <c r="E1810" s="14" t="n">
        <v>1503.97</v>
      </c>
      <c r="F1810" s="14" t="n">
        <v>13202.63</v>
      </c>
      <c r="G1810" s="6" t="s">
        <v>2613</v>
      </c>
    </row>
    <row r="1811" customFormat="false" ht="15" hidden="false" customHeight="true" outlineLevel="0" collapsed="false">
      <c r="A1811" s="6" t="s">
        <v>4423</v>
      </c>
      <c r="B1811" s="6" t="s">
        <v>565</v>
      </c>
      <c r="C1811" s="6" t="s">
        <v>120</v>
      </c>
      <c r="D1811" s="13" t="n">
        <v>46029</v>
      </c>
      <c r="E1811" s="14" t="n">
        <v>1109.75</v>
      </c>
      <c r="F1811" s="14" t="n">
        <v>14312.38</v>
      </c>
      <c r="G1811" s="6" t="s">
        <v>2613</v>
      </c>
    </row>
    <row r="1812" customFormat="false" ht="15" hidden="false" customHeight="true" outlineLevel="0" collapsed="false">
      <c r="A1812" s="6" t="s">
        <v>4424</v>
      </c>
      <c r="B1812" s="6" t="s">
        <v>565</v>
      </c>
      <c r="C1812" s="6" t="s">
        <v>120</v>
      </c>
      <c r="D1812" s="13" t="n">
        <v>46036</v>
      </c>
      <c r="E1812" s="14" t="n">
        <v>1159.81</v>
      </c>
      <c r="F1812" s="14" t="n">
        <v>15472.19</v>
      </c>
      <c r="G1812" s="6" t="s">
        <v>2613</v>
      </c>
    </row>
    <row r="1813" customFormat="false" ht="15" hidden="false" customHeight="true" outlineLevel="0" collapsed="false">
      <c r="A1813" s="6" t="s">
        <v>4425</v>
      </c>
      <c r="B1813" s="6" t="s">
        <v>565</v>
      </c>
      <c r="C1813" s="6" t="s">
        <v>120</v>
      </c>
      <c r="D1813" s="13" t="n">
        <v>46043</v>
      </c>
      <c r="E1813" s="14" t="n">
        <v>1553.03</v>
      </c>
      <c r="F1813" s="14" t="n">
        <v>17025.22</v>
      </c>
      <c r="G1813" s="6" t="s">
        <v>2613</v>
      </c>
    </row>
    <row r="1814" customFormat="false" ht="15" hidden="false" customHeight="true" outlineLevel="0" collapsed="false">
      <c r="A1814" s="6" t="s">
        <v>4426</v>
      </c>
      <c r="B1814" s="6" t="s">
        <v>565</v>
      </c>
      <c r="C1814" s="6" t="s">
        <v>120</v>
      </c>
      <c r="D1814" s="13" t="n">
        <v>46050</v>
      </c>
      <c r="E1814" s="14" t="n">
        <v>1912.28</v>
      </c>
      <c r="F1814" s="14" t="n">
        <v>18937.5</v>
      </c>
      <c r="G1814" s="6" t="s">
        <v>2623</v>
      </c>
    </row>
    <row r="1815" customFormat="false" ht="15" hidden="false" customHeight="true" outlineLevel="0" collapsed="false">
      <c r="A1815" s="6" t="s">
        <v>4427</v>
      </c>
      <c r="B1815" s="6" t="s">
        <v>565</v>
      </c>
      <c r="C1815" s="6" t="s">
        <v>120</v>
      </c>
      <c r="D1815" s="13" t="n">
        <v>46057</v>
      </c>
      <c r="E1815" s="14" t="n">
        <v>3082.51</v>
      </c>
      <c r="F1815" s="14" t="n">
        <v>22020.01</v>
      </c>
      <c r="G1815" s="6" t="s">
        <v>2613</v>
      </c>
    </row>
    <row r="1816" customFormat="false" ht="15" hidden="false" customHeight="true" outlineLevel="0" collapsed="false">
      <c r="A1816" s="6" t="s">
        <v>4428</v>
      </c>
      <c r="B1816" s="6" t="s">
        <v>567</v>
      </c>
      <c r="C1816" s="6" t="s">
        <v>124</v>
      </c>
      <c r="D1816" s="13" t="n">
        <v>45056</v>
      </c>
      <c r="E1816" s="14" t="n">
        <v>3980.54</v>
      </c>
      <c r="F1816" s="14" t="n">
        <v>3980.54</v>
      </c>
      <c r="G1816" s="6" t="s">
        <v>2613</v>
      </c>
    </row>
    <row r="1817" customFormat="false" ht="15" hidden="false" customHeight="true" outlineLevel="0" collapsed="false">
      <c r="A1817" s="6" t="s">
        <v>4429</v>
      </c>
      <c r="B1817" s="6" t="s">
        <v>567</v>
      </c>
      <c r="C1817" s="6" t="s">
        <v>124</v>
      </c>
      <c r="D1817" s="13" t="n">
        <v>45063</v>
      </c>
      <c r="E1817" s="14" t="n">
        <v>3364.91</v>
      </c>
      <c r="F1817" s="14" t="n">
        <v>7345.45</v>
      </c>
      <c r="G1817" s="6" t="s">
        <v>2613</v>
      </c>
    </row>
    <row r="1818" customFormat="false" ht="15" hidden="false" customHeight="true" outlineLevel="0" collapsed="false">
      <c r="A1818" s="6" t="s">
        <v>4430</v>
      </c>
      <c r="B1818" s="6" t="s">
        <v>567</v>
      </c>
      <c r="C1818" s="6" t="s">
        <v>124</v>
      </c>
      <c r="D1818" s="13" t="n">
        <v>45070</v>
      </c>
      <c r="E1818" s="14" t="n">
        <v>4379.07</v>
      </c>
      <c r="F1818" s="14" t="n">
        <v>11724.52</v>
      </c>
      <c r="G1818" s="6" t="s">
        <v>2613</v>
      </c>
    </row>
    <row r="1819" customFormat="false" ht="15" hidden="false" customHeight="true" outlineLevel="0" collapsed="false">
      <c r="A1819" s="6" t="s">
        <v>4431</v>
      </c>
      <c r="B1819" s="6" t="s">
        <v>567</v>
      </c>
      <c r="C1819" s="6" t="s">
        <v>124</v>
      </c>
      <c r="D1819" s="13" t="n">
        <v>45077</v>
      </c>
      <c r="E1819" s="14" t="n">
        <v>5193.16</v>
      </c>
      <c r="F1819" s="14" t="n">
        <v>16917.68</v>
      </c>
      <c r="G1819" s="6" t="s">
        <v>2613</v>
      </c>
    </row>
    <row r="1820" customFormat="false" ht="15" hidden="false" customHeight="true" outlineLevel="0" collapsed="false">
      <c r="A1820" s="6" t="s">
        <v>4432</v>
      </c>
      <c r="B1820" s="6" t="s">
        <v>567</v>
      </c>
      <c r="C1820" s="6" t="s">
        <v>124</v>
      </c>
      <c r="D1820" s="13" t="n">
        <v>45084</v>
      </c>
      <c r="E1820" s="14" t="n">
        <v>3601.59</v>
      </c>
      <c r="F1820" s="14" t="n">
        <v>20519.27</v>
      </c>
      <c r="G1820" s="6" t="s">
        <v>2613</v>
      </c>
    </row>
    <row r="1821" customFormat="false" ht="15" hidden="false" customHeight="true" outlineLevel="0" collapsed="false">
      <c r="A1821" s="6" t="s">
        <v>4433</v>
      </c>
      <c r="B1821" s="6" t="s">
        <v>567</v>
      </c>
      <c r="C1821" s="6" t="s">
        <v>124</v>
      </c>
      <c r="D1821" s="13" t="n">
        <v>45091</v>
      </c>
      <c r="E1821" s="14" t="n">
        <v>3857.68</v>
      </c>
      <c r="F1821" s="14" t="n">
        <v>24376.95</v>
      </c>
      <c r="G1821" s="6" t="s">
        <v>2613</v>
      </c>
    </row>
    <row r="1822" customFormat="false" ht="15" hidden="false" customHeight="true" outlineLevel="0" collapsed="false">
      <c r="A1822" s="6" t="s">
        <v>4434</v>
      </c>
      <c r="B1822" s="6" t="s">
        <v>567</v>
      </c>
      <c r="C1822" s="6" t="s">
        <v>124</v>
      </c>
      <c r="D1822" s="13" t="n">
        <v>45098</v>
      </c>
      <c r="E1822" s="14" t="n">
        <v>2328.85</v>
      </c>
      <c r="F1822" s="14" t="n">
        <v>26705.8</v>
      </c>
      <c r="G1822" s="6" t="s">
        <v>2613</v>
      </c>
    </row>
    <row r="1823" customFormat="false" ht="15" hidden="false" customHeight="true" outlineLevel="0" collapsed="false">
      <c r="A1823" s="6" t="s">
        <v>4435</v>
      </c>
      <c r="B1823" s="6" t="s">
        <v>567</v>
      </c>
      <c r="C1823" s="6" t="s">
        <v>124</v>
      </c>
      <c r="D1823" s="13" t="n">
        <v>45105</v>
      </c>
      <c r="E1823" s="14" t="n">
        <v>4563.54</v>
      </c>
      <c r="F1823" s="14" t="n">
        <v>31269.34</v>
      </c>
      <c r="G1823" s="6" t="s">
        <v>2613</v>
      </c>
    </row>
    <row r="1824" customFormat="false" ht="15" hidden="false" customHeight="true" outlineLevel="0" collapsed="false">
      <c r="A1824" s="6" t="s">
        <v>4436</v>
      </c>
      <c r="B1824" s="6" t="s">
        <v>567</v>
      </c>
      <c r="C1824" s="6" t="s">
        <v>124</v>
      </c>
      <c r="D1824" s="13" t="n">
        <v>45112</v>
      </c>
      <c r="E1824" s="14" t="n">
        <v>5042.26</v>
      </c>
      <c r="F1824" s="14" t="n">
        <v>36311.6</v>
      </c>
      <c r="G1824" s="6" t="s">
        <v>2613</v>
      </c>
    </row>
    <row r="1825" customFormat="false" ht="15" hidden="false" customHeight="true" outlineLevel="0" collapsed="false">
      <c r="A1825" s="6" t="s">
        <v>4437</v>
      </c>
      <c r="B1825" s="6" t="s">
        <v>567</v>
      </c>
      <c r="C1825" s="6" t="s">
        <v>124</v>
      </c>
      <c r="D1825" s="13" t="n">
        <v>45119</v>
      </c>
      <c r="E1825" s="14" t="n">
        <v>5169.5</v>
      </c>
      <c r="F1825" s="14" t="n">
        <v>41481.1</v>
      </c>
      <c r="G1825" s="6" t="s">
        <v>2613</v>
      </c>
    </row>
    <row r="1826" customFormat="false" ht="15" hidden="false" customHeight="true" outlineLevel="0" collapsed="false">
      <c r="A1826" s="6" t="s">
        <v>4438</v>
      </c>
      <c r="B1826" s="6" t="s">
        <v>567</v>
      </c>
      <c r="C1826" s="6" t="s">
        <v>124</v>
      </c>
      <c r="D1826" s="13" t="n">
        <v>45126</v>
      </c>
      <c r="E1826" s="14" t="n">
        <v>3778.84</v>
      </c>
      <c r="F1826" s="14" t="n">
        <v>45259.94</v>
      </c>
      <c r="G1826" s="6" t="s">
        <v>2613</v>
      </c>
    </row>
    <row r="1827" customFormat="false" ht="15" hidden="false" customHeight="true" outlineLevel="0" collapsed="false">
      <c r="A1827" s="6" t="s">
        <v>4439</v>
      </c>
      <c r="B1827" s="6" t="s">
        <v>567</v>
      </c>
      <c r="C1827" s="6" t="s">
        <v>124</v>
      </c>
      <c r="D1827" s="13" t="n">
        <v>45133</v>
      </c>
      <c r="E1827" s="14" t="n">
        <v>3142.17</v>
      </c>
      <c r="F1827" s="14" t="n">
        <v>48402.11</v>
      </c>
      <c r="G1827" s="6" t="s">
        <v>2613</v>
      </c>
    </row>
    <row r="1828" customFormat="false" ht="15" hidden="false" customHeight="true" outlineLevel="0" collapsed="false">
      <c r="A1828" s="6" t="s">
        <v>4440</v>
      </c>
      <c r="B1828" s="6" t="s">
        <v>567</v>
      </c>
      <c r="C1828" s="6" t="s">
        <v>124</v>
      </c>
      <c r="D1828" s="13" t="n">
        <v>45140</v>
      </c>
      <c r="E1828" s="14" t="n">
        <v>5167.86</v>
      </c>
      <c r="F1828" s="14" t="n">
        <v>53569.97</v>
      </c>
      <c r="G1828" s="6" t="s">
        <v>2613</v>
      </c>
    </row>
    <row r="1829" customFormat="false" ht="15" hidden="false" customHeight="true" outlineLevel="0" collapsed="false">
      <c r="A1829" s="6" t="s">
        <v>4441</v>
      </c>
      <c r="B1829" s="6" t="s">
        <v>567</v>
      </c>
      <c r="C1829" s="6" t="s">
        <v>124</v>
      </c>
      <c r="D1829" s="13" t="n">
        <v>45147</v>
      </c>
      <c r="E1829" s="14" t="n">
        <v>5241.37</v>
      </c>
      <c r="F1829" s="14" t="n">
        <v>58811.34</v>
      </c>
      <c r="G1829" s="6" t="s">
        <v>2613</v>
      </c>
    </row>
    <row r="1830" customFormat="false" ht="15" hidden="false" customHeight="true" outlineLevel="0" collapsed="false">
      <c r="A1830" s="6" t="s">
        <v>4442</v>
      </c>
      <c r="B1830" s="6" t="s">
        <v>567</v>
      </c>
      <c r="C1830" s="6" t="s">
        <v>124</v>
      </c>
      <c r="D1830" s="13" t="n">
        <v>45154</v>
      </c>
      <c r="E1830" s="14" t="n">
        <v>4656.88</v>
      </c>
      <c r="F1830" s="14" t="n">
        <v>63468.22</v>
      </c>
      <c r="G1830" s="6" t="s">
        <v>2613</v>
      </c>
    </row>
    <row r="1831" customFormat="false" ht="15" hidden="false" customHeight="true" outlineLevel="0" collapsed="false">
      <c r="A1831" s="6" t="s">
        <v>4443</v>
      </c>
      <c r="B1831" s="6" t="s">
        <v>567</v>
      </c>
      <c r="C1831" s="6" t="s">
        <v>124</v>
      </c>
      <c r="D1831" s="13" t="n">
        <v>45161</v>
      </c>
      <c r="E1831" s="14" t="n">
        <v>5025.67</v>
      </c>
      <c r="F1831" s="14" t="n">
        <v>68493.89</v>
      </c>
      <c r="G1831" s="6" t="s">
        <v>2613</v>
      </c>
    </row>
    <row r="1832" customFormat="false" ht="15" hidden="false" customHeight="true" outlineLevel="0" collapsed="false">
      <c r="A1832" s="6" t="s">
        <v>4444</v>
      </c>
      <c r="B1832" s="6" t="s">
        <v>567</v>
      </c>
      <c r="C1832" s="6" t="s">
        <v>124</v>
      </c>
      <c r="D1832" s="13" t="n">
        <v>45168</v>
      </c>
      <c r="E1832" s="14" t="n">
        <v>2591.48</v>
      </c>
      <c r="F1832" s="14" t="n">
        <v>71085.37</v>
      </c>
      <c r="G1832" s="6" t="s">
        <v>2613</v>
      </c>
    </row>
    <row r="1833" customFormat="false" ht="15" hidden="false" customHeight="true" outlineLevel="0" collapsed="false">
      <c r="A1833" s="6" t="s">
        <v>4445</v>
      </c>
      <c r="B1833" s="6" t="s">
        <v>567</v>
      </c>
      <c r="C1833" s="6" t="s">
        <v>124</v>
      </c>
      <c r="D1833" s="13" t="n">
        <v>45175</v>
      </c>
      <c r="E1833" s="14" t="n">
        <v>2374.4</v>
      </c>
      <c r="F1833" s="14" t="n">
        <v>73459.77</v>
      </c>
      <c r="G1833" s="6" t="s">
        <v>2613</v>
      </c>
    </row>
    <row r="1834" customFormat="false" ht="15" hidden="false" customHeight="true" outlineLevel="0" collapsed="false">
      <c r="A1834" s="6" t="s">
        <v>4446</v>
      </c>
      <c r="B1834" s="6" t="s">
        <v>567</v>
      </c>
      <c r="C1834" s="6" t="s">
        <v>124</v>
      </c>
      <c r="D1834" s="13" t="n">
        <v>45182</v>
      </c>
      <c r="E1834" s="14" t="n">
        <v>2605.19</v>
      </c>
      <c r="F1834" s="14" t="n">
        <v>76064.96</v>
      </c>
      <c r="G1834" s="6" t="s">
        <v>2623</v>
      </c>
    </row>
    <row r="1835" customFormat="false" ht="15" hidden="false" customHeight="true" outlineLevel="0" collapsed="false">
      <c r="A1835" s="6" t="s">
        <v>4447</v>
      </c>
      <c r="B1835" s="6" t="s">
        <v>567</v>
      </c>
      <c r="C1835" s="6" t="s">
        <v>124</v>
      </c>
      <c r="D1835" s="13" t="n">
        <v>45189</v>
      </c>
      <c r="E1835" s="14" t="n">
        <v>4109.76</v>
      </c>
      <c r="F1835" s="14" t="n">
        <v>80174.72</v>
      </c>
      <c r="G1835" s="6" t="s">
        <v>2613</v>
      </c>
    </row>
    <row r="1836" customFormat="false" ht="15" hidden="false" customHeight="true" outlineLevel="0" collapsed="false">
      <c r="A1836" s="6" t="s">
        <v>4448</v>
      </c>
      <c r="B1836" s="6" t="s">
        <v>567</v>
      </c>
      <c r="C1836" s="6" t="s">
        <v>124</v>
      </c>
      <c r="D1836" s="13" t="n">
        <v>45196</v>
      </c>
      <c r="E1836" s="14" t="n">
        <v>3328.01</v>
      </c>
      <c r="F1836" s="14" t="n">
        <v>83502.73</v>
      </c>
      <c r="G1836" s="6" t="s">
        <v>2613</v>
      </c>
    </row>
    <row r="1837" customFormat="false" ht="15" hidden="false" customHeight="true" outlineLevel="0" collapsed="false">
      <c r="A1837" s="6" t="s">
        <v>4449</v>
      </c>
      <c r="B1837" s="6" t="s">
        <v>567</v>
      </c>
      <c r="C1837" s="6" t="s">
        <v>124</v>
      </c>
      <c r="D1837" s="13" t="n">
        <v>45203</v>
      </c>
      <c r="E1837" s="14" t="n">
        <v>4081.6</v>
      </c>
      <c r="F1837" s="14" t="n">
        <v>87584.33</v>
      </c>
      <c r="G1837" s="6" t="s">
        <v>2613</v>
      </c>
    </row>
    <row r="1838" customFormat="false" ht="15" hidden="false" customHeight="true" outlineLevel="0" collapsed="false">
      <c r="A1838" s="6" t="s">
        <v>4450</v>
      </c>
      <c r="B1838" s="6" t="s">
        <v>567</v>
      </c>
      <c r="C1838" s="6" t="s">
        <v>124</v>
      </c>
      <c r="D1838" s="13" t="n">
        <v>45210</v>
      </c>
      <c r="E1838" s="14" t="n">
        <v>3836.02</v>
      </c>
      <c r="F1838" s="14" t="n">
        <v>91420.35</v>
      </c>
      <c r="G1838" s="6" t="s">
        <v>2613</v>
      </c>
    </row>
    <row r="1839" customFormat="false" ht="15" hidden="false" customHeight="true" outlineLevel="0" collapsed="false">
      <c r="A1839" s="6" t="s">
        <v>4451</v>
      </c>
      <c r="B1839" s="6" t="s">
        <v>567</v>
      </c>
      <c r="C1839" s="6" t="s">
        <v>124</v>
      </c>
      <c r="D1839" s="13" t="n">
        <v>45217</v>
      </c>
      <c r="E1839" s="14" t="n">
        <v>4559.27</v>
      </c>
      <c r="F1839" s="14" t="n">
        <v>95979.62</v>
      </c>
      <c r="G1839" s="6" t="s">
        <v>2613</v>
      </c>
    </row>
    <row r="1840" customFormat="false" ht="15" hidden="false" customHeight="true" outlineLevel="0" collapsed="false">
      <c r="A1840" s="6" t="s">
        <v>4452</v>
      </c>
      <c r="B1840" s="6" t="s">
        <v>567</v>
      </c>
      <c r="C1840" s="6" t="s">
        <v>124</v>
      </c>
      <c r="D1840" s="13" t="n">
        <v>45224</v>
      </c>
      <c r="E1840" s="14" t="n">
        <v>2505.15</v>
      </c>
      <c r="F1840" s="14" t="n">
        <v>98484.77</v>
      </c>
      <c r="G1840" s="6" t="s">
        <v>2613</v>
      </c>
    </row>
    <row r="1841" customFormat="false" ht="15" hidden="false" customHeight="true" outlineLevel="0" collapsed="false">
      <c r="A1841" s="6" t="s">
        <v>4453</v>
      </c>
      <c r="B1841" s="6" t="s">
        <v>567</v>
      </c>
      <c r="C1841" s="6" t="s">
        <v>124</v>
      </c>
      <c r="D1841" s="13" t="n">
        <v>45231</v>
      </c>
      <c r="E1841" s="14" t="n">
        <v>4288.7</v>
      </c>
      <c r="F1841" s="14" t="n">
        <v>102773.47</v>
      </c>
      <c r="G1841" s="6" t="s">
        <v>2613</v>
      </c>
    </row>
    <row r="1842" customFormat="false" ht="15" hidden="false" customHeight="true" outlineLevel="0" collapsed="false">
      <c r="A1842" s="6" t="s">
        <v>4454</v>
      </c>
      <c r="B1842" s="6" t="s">
        <v>567</v>
      </c>
      <c r="C1842" s="6" t="s">
        <v>124</v>
      </c>
      <c r="D1842" s="13" t="n">
        <v>45238</v>
      </c>
      <c r="E1842" s="14" t="n">
        <v>5186.6</v>
      </c>
      <c r="F1842" s="14" t="n">
        <v>107960.07</v>
      </c>
      <c r="G1842" s="6" t="s">
        <v>2613</v>
      </c>
    </row>
    <row r="1843" customFormat="false" ht="15" hidden="false" customHeight="true" outlineLevel="0" collapsed="false">
      <c r="A1843" s="6" t="s">
        <v>4455</v>
      </c>
      <c r="B1843" s="6" t="s">
        <v>567</v>
      </c>
      <c r="C1843" s="6" t="s">
        <v>124</v>
      </c>
      <c r="D1843" s="13" t="n">
        <v>45245</v>
      </c>
      <c r="E1843" s="14" t="n">
        <v>3727.92</v>
      </c>
      <c r="F1843" s="14" t="n">
        <v>111687.99</v>
      </c>
      <c r="G1843" s="6" t="s">
        <v>2613</v>
      </c>
    </row>
    <row r="1844" customFormat="false" ht="15" hidden="false" customHeight="true" outlineLevel="0" collapsed="false">
      <c r="A1844" s="6" t="s">
        <v>4456</v>
      </c>
      <c r="B1844" s="6" t="s">
        <v>567</v>
      </c>
      <c r="C1844" s="6" t="s">
        <v>124</v>
      </c>
      <c r="D1844" s="13" t="n">
        <v>45252</v>
      </c>
      <c r="E1844" s="14" t="n">
        <v>1009.28</v>
      </c>
      <c r="F1844" s="14" t="n">
        <v>112697.27</v>
      </c>
      <c r="G1844" s="6" t="s">
        <v>2623</v>
      </c>
    </row>
    <row r="1845" customFormat="false" ht="15" hidden="false" customHeight="true" outlineLevel="0" collapsed="false">
      <c r="A1845" s="6" t="s">
        <v>4457</v>
      </c>
      <c r="B1845" s="6" t="s">
        <v>569</v>
      </c>
      <c r="C1845" s="6" t="s">
        <v>131</v>
      </c>
      <c r="D1845" s="13" t="n">
        <v>45717</v>
      </c>
      <c r="E1845" s="14" t="n">
        <v>503.97</v>
      </c>
      <c r="F1845" s="14" t="n">
        <v>503.97</v>
      </c>
      <c r="G1845" s="6" t="s">
        <v>2613</v>
      </c>
    </row>
    <row r="1846" customFormat="false" ht="15" hidden="false" customHeight="true" outlineLevel="0" collapsed="false">
      <c r="A1846" s="6" t="s">
        <v>4458</v>
      </c>
      <c r="B1846" s="6" t="s">
        <v>569</v>
      </c>
      <c r="C1846" s="6" t="s">
        <v>131</v>
      </c>
      <c r="D1846" s="13" t="n">
        <v>45724</v>
      </c>
      <c r="E1846" s="14" t="n">
        <v>655.67</v>
      </c>
      <c r="F1846" s="14" t="n">
        <v>1159.64</v>
      </c>
      <c r="G1846" s="6" t="s">
        <v>2613</v>
      </c>
    </row>
    <row r="1847" customFormat="false" ht="15" hidden="false" customHeight="true" outlineLevel="0" collapsed="false">
      <c r="A1847" s="6" t="s">
        <v>4459</v>
      </c>
      <c r="B1847" s="6" t="s">
        <v>569</v>
      </c>
      <c r="C1847" s="6" t="s">
        <v>131</v>
      </c>
      <c r="D1847" s="13" t="n">
        <v>45731</v>
      </c>
      <c r="E1847" s="14" t="n">
        <v>656.51</v>
      </c>
      <c r="F1847" s="14" t="n">
        <v>1816.15</v>
      </c>
      <c r="G1847" s="6" t="s">
        <v>2613</v>
      </c>
    </row>
    <row r="1848" customFormat="false" ht="15" hidden="false" customHeight="true" outlineLevel="0" collapsed="false">
      <c r="A1848" s="6" t="s">
        <v>4460</v>
      </c>
      <c r="B1848" s="6" t="s">
        <v>569</v>
      </c>
      <c r="C1848" s="6" t="s">
        <v>131</v>
      </c>
      <c r="D1848" s="13" t="n">
        <v>45738</v>
      </c>
      <c r="E1848" s="14" t="n">
        <v>495.37</v>
      </c>
      <c r="F1848" s="14" t="n">
        <v>2311.52</v>
      </c>
      <c r="G1848" s="6" t="s">
        <v>2613</v>
      </c>
    </row>
    <row r="1849" customFormat="false" ht="15" hidden="false" customHeight="true" outlineLevel="0" collapsed="false">
      <c r="A1849" s="6" t="s">
        <v>4461</v>
      </c>
      <c r="B1849" s="6" t="s">
        <v>569</v>
      </c>
      <c r="C1849" s="6" t="s">
        <v>131</v>
      </c>
      <c r="D1849" s="13" t="n">
        <v>45745</v>
      </c>
      <c r="E1849" s="14" t="n">
        <v>375.41</v>
      </c>
      <c r="F1849" s="14" t="n">
        <v>2686.93</v>
      </c>
      <c r="G1849" s="6" t="s">
        <v>2613</v>
      </c>
    </row>
    <row r="1850" customFormat="false" ht="15" hidden="false" customHeight="true" outlineLevel="0" collapsed="false">
      <c r="A1850" s="6" t="s">
        <v>4462</v>
      </c>
      <c r="B1850" s="6" t="s">
        <v>569</v>
      </c>
      <c r="C1850" s="6" t="s">
        <v>131</v>
      </c>
      <c r="D1850" s="13" t="n">
        <v>45752</v>
      </c>
      <c r="E1850" s="14" t="n">
        <v>352.83</v>
      </c>
      <c r="F1850" s="14" t="n">
        <v>3039.76</v>
      </c>
      <c r="G1850" s="6" t="s">
        <v>2613</v>
      </c>
    </row>
    <row r="1851" customFormat="false" ht="15" hidden="false" customHeight="true" outlineLevel="0" collapsed="false">
      <c r="A1851" s="6" t="s">
        <v>4463</v>
      </c>
      <c r="B1851" s="6" t="s">
        <v>569</v>
      </c>
      <c r="C1851" s="6" t="s">
        <v>131</v>
      </c>
      <c r="D1851" s="13" t="n">
        <v>45759</v>
      </c>
      <c r="E1851" s="14" t="n">
        <v>516.8</v>
      </c>
      <c r="F1851" s="14" t="n">
        <v>3556.56</v>
      </c>
      <c r="G1851" s="6" t="s">
        <v>2613</v>
      </c>
    </row>
    <row r="1852" customFormat="false" ht="15" hidden="false" customHeight="true" outlineLevel="0" collapsed="false">
      <c r="A1852" s="6" t="s">
        <v>4464</v>
      </c>
      <c r="B1852" s="6" t="s">
        <v>569</v>
      </c>
      <c r="C1852" s="6" t="s">
        <v>131</v>
      </c>
      <c r="D1852" s="13" t="n">
        <v>45766</v>
      </c>
      <c r="E1852" s="14" t="n">
        <v>663.55</v>
      </c>
      <c r="F1852" s="14" t="n">
        <v>4220.11</v>
      </c>
      <c r="G1852" s="6" t="s">
        <v>2613</v>
      </c>
    </row>
    <row r="1853" customFormat="false" ht="15" hidden="false" customHeight="true" outlineLevel="0" collapsed="false">
      <c r="A1853" s="6" t="s">
        <v>4465</v>
      </c>
      <c r="B1853" s="6" t="s">
        <v>571</v>
      </c>
      <c r="C1853" s="6" t="s">
        <v>112</v>
      </c>
      <c r="D1853" s="13" t="n">
        <v>44949</v>
      </c>
      <c r="E1853" s="14" t="n">
        <v>121.87</v>
      </c>
      <c r="F1853" s="14" t="n">
        <v>121.87</v>
      </c>
      <c r="G1853" s="6" t="s">
        <v>2613</v>
      </c>
    </row>
    <row r="1854" customFormat="false" ht="15" hidden="false" customHeight="true" outlineLevel="0" collapsed="false">
      <c r="A1854" s="6" t="s">
        <v>4466</v>
      </c>
      <c r="B1854" s="6" t="s">
        <v>571</v>
      </c>
      <c r="C1854" s="6" t="s">
        <v>112</v>
      </c>
      <c r="D1854" s="13" t="n">
        <v>44956</v>
      </c>
      <c r="E1854" s="14" t="n">
        <v>103.35</v>
      </c>
      <c r="F1854" s="14" t="n">
        <v>225.22</v>
      </c>
      <c r="G1854" s="6" t="s">
        <v>2613</v>
      </c>
    </row>
    <row r="1855" customFormat="false" ht="15" hidden="false" customHeight="true" outlineLevel="0" collapsed="false">
      <c r="A1855" s="6" t="s">
        <v>4467</v>
      </c>
      <c r="B1855" s="6" t="s">
        <v>571</v>
      </c>
      <c r="C1855" s="6" t="s">
        <v>112</v>
      </c>
      <c r="D1855" s="13" t="n">
        <v>44963</v>
      </c>
      <c r="E1855" s="14" t="n">
        <v>122.22</v>
      </c>
      <c r="F1855" s="14" t="n">
        <v>347.44</v>
      </c>
      <c r="G1855" s="6" t="s">
        <v>2613</v>
      </c>
    </row>
    <row r="1856" customFormat="false" ht="15" hidden="false" customHeight="true" outlineLevel="0" collapsed="false">
      <c r="A1856" s="6" t="s">
        <v>4468</v>
      </c>
      <c r="B1856" s="6" t="s">
        <v>571</v>
      </c>
      <c r="C1856" s="6" t="s">
        <v>112</v>
      </c>
      <c r="D1856" s="13" t="n">
        <v>44970</v>
      </c>
      <c r="E1856" s="14" t="n">
        <v>95.74</v>
      </c>
      <c r="F1856" s="14" t="n">
        <v>443.18</v>
      </c>
      <c r="G1856" s="6" t="s">
        <v>2613</v>
      </c>
    </row>
    <row r="1857" customFormat="false" ht="15" hidden="false" customHeight="true" outlineLevel="0" collapsed="false">
      <c r="A1857" s="6" t="s">
        <v>4469</v>
      </c>
      <c r="B1857" s="6" t="s">
        <v>571</v>
      </c>
      <c r="C1857" s="6" t="s">
        <v>112</v>
      </c>
      <c r="D1857" s="13" t="n">
        <v>44977</v>
      </c>
      <c r="E1857" s="14" t="n">
        <v>88.81</v>
      </c>
      <c r="F1857" s="14" t="n">
        <v>531.99</v>
      </c>
      <c r="G1857" s="6" t="s">
        <v>2613</v>
      </c>
    </row>
    <row r="1858" customFormat="false" ht="15" hidden="false" customHeight="true" outlineLevel="0" collapsed="false">
      <c r="A1858" s="6" t="s">
        <v>4470</v>
      </c>
      <c r="B1858" s="6" t="s">
        <v>571</v>
      </c>
      <c r="C1858" s="6" t="s">
        <v>112</v>
      </c>
      <c r="D1858" s="13" t="n">
        <v>44984</v>
      </c>
      <c r="E1858" s="14" t="n">
        <v>136.61</v>
      </c>
      <c r="F1858" s="14" t="n">
        <v>668.6</v>
      </c>
      <c r="G1858" s="6" t="s">
        <v>2613</v>
      </c>
    </row>
    <row r="1859" customFormat="false" ht="15" hidden="false" customHeight="true" outlineLevel="0" collapsed="false">
      <c r="A1859" s="6" t="s">
        <v>4471</v>
      </c>
      <c r="B1859" s="6" t="s">
        <v>571</v>
      </c>
      <c r="C1859" s="6" t="s">
        <v>112</v>
      </c>
      <c r="D1859" s="13" t="n">
        <v>44991</v>
      </c>
      <c r="E1859" s="14" t="n">
        <v>85.88</v>
      </c>
      <c r="F1859" s="14" t="n">
        <v>754.48</v>
      </c>
      <c r="G1859" s="6" t="s">
        <v>2613</v>
      </c>
    </row>
    <row r="1860" customFormat="false" ht="15" hidden="false" customHeight="true" outlineLevel="0" collapsed="false">
      <c r="A1860" s="6" t="s">
        <v>4472</v>
      </c>
      <c r="B1860" s="6" t="s">
        <v>571</v>
      </c>
      <c r="C1860" s="6" t="s">
        <v>112</v>
      </c>
      <c r="D1860" s="13" t="n">
        <v>44998</v>
      </c>
      <c r="E1860" s="14" t="n">
        <v>101.94</v>
      </c>
      <c r="F1860" s="14" t="n">
        <v>856.42</v>
      </c>
      <c r="G1860" s="6" t="s">
        <v>2613</v>
      </c>
    </row>
    <row r="1861" customFormat="false" ht="15" hidden="false" customHeight="true" outlineLevel="0" collapsed="false">
      <c r="A1861" s="6" t="s">
        <v>4473</v>
      </c>
      <c r="B1861" s="6" t="s">
        <v>571</v>
      </c>
      <c r="C1861" s="6" t="s">
        <v>112</v>
      </c>
      <c r="D1861" s="13" t="n">
        <v>45005</v>
      </c>
      <c r="E1861" s="14" t="n">
        <v>162.76</v>
      </c>
      <c r="F1861" s="14" t="n">
        <v>1019.18</v>
      </c>
      <c r="G1861" s="6" t="s">
        <v>2613</v>
      </c>
    </row>
    <row r="1862" customFormat="false" ht="15" hidden="false" customHeight="true" outlineLevel="0" collapsed="false">
      <c r="A1862" s="6" t="s">
        <v>4474</v>
      </c>
      <c r="B1862" s="6" t="s">
        <v>571</v>
      </c>
      <c r="C1862" s="6" t="s">
        <v>112</v>
      </c>
      <c r="D1862" s="13" t="n">
        <v>45012</v>
      </c>
      <c r="E1862" s="14" t="n">
        <v>76.47</v>
      </c>
      <c r="F1862" s="14" t="n">
        <v>1095.65</v>
      </c>
      <c r="G1862" s="6" t="s">
        <v>2613</v>
      </c>
    </row>
    <row r="1863" customFormat="false" ht="15" hidden="false" customHeight="true" outlineLevel="0" collapsed="false">
      <c r="A1863" s="6" t="s">
        <v>4475</v>
      </c>
      <c r="B1863" s="6" t="s">
        <v>571</v>
      </c>
      <c r="C1863" s="6" t="s">
        <v>112</v>
      </c>
      <c r="D1863" s="13" t="n">
        <v>45019</v>
      </c>
      <c r="E1863" s="14" t="n">
        <v>122.12</v>
      </c>
      <c r="F1863" s="14" t="n">
        <v>1217.77</v>
      </c>
      <c r="G1863" s="6" t="s">
        <v>2613</v>
      </c>
    </row>
    <row r="1864" customFormat="false" ht="15" hidden="false" customHeight="true" outlineLevel="0" collapsed="false">
      <c r="A1864" s="6" t="s">
        <v>4476</v>
      </c>
      <c r="B1864" s="6" t="s">
        <v>571</v>
      </c>
      <c r="C1864" s="6" t="s">
        <v>112</v>
      </c>
      <c r="D1864" s="13" t="n">
        <v>45026</v>
      </c>
      <c r="E1864" s="14" t="n">
        <v>132.51</v>
      </c>
      <c r="F1864" s="14" t="n">
        <v>1350.28</v>
      </c>
      <c r="G1864" s="6" t="s">
        <v>2613</v>
      </c>
    </row>
    <row r="1865" customFormat="false" ht="15" hidden="false" customHeight="true" outlineLevel="0" collapsed="false">
      <c r="A1865" s="6" t="s">
        <v>4477</v>
      </c>
      <c r="B1865" s="6" t="s">
        <v>571</v>
      </c>
      <c r="C1865" s="6" t="s">
        <v>112</v>
      </c>
      <c r="D1865" s="13" t="n">
        <v>45033</v>
      </c>
      <c r="E1865" s="14" t="n">
        <v>120.88</v>
      </c>
      <c r="F1865" s="14" t="n">
        <v>1471.16</v>
      </c>
      <c r="G1865" s="6" t="s">
        <v>2613</v>
      </c>
    </row>
    <row r="1866" customFormat="false" ht="15" hidden="false" customHeight="true" outlineLevel="0" collapsed="false">
      <c r="A1866" s="6" t="s">
        <v>4478</v>
      </c>
      <c r="B1866" s="6" t="s">
        <v>571</v>
      </c>
      <c r="C1866" s="6" t="s">
        <v>112</v>
      </c>
      <c r="D1866" s="13" t="n">
        <v>45040</v>
      </c>
      <c r="E1866" s="14" t="n">
        <v>99.02</v>
      </c>
      <c r="F1866" s="14" t="n">
        <v>1570.18</v>
      </c>
      <c r="G1866" s="6" t="s">
        <v>2613</v>
      </c>
    </row>
    <row r="1867" customFormat="false" ht="15" hidden="false" customHeight="true" outlineLevel="0" collapsed="false">
      <c r="A1867" s="6" t="s">
        <v>4479</v>
      </c>
      <c r="B1867" s="6" t="s">
        <v>571</v>
      </c>
      <c r="C1867" s="6" t="s">
        <v>112</v>
      </c>
      <c r="D1867" s="13" t="n">
        <v>45047</v>
      </c>
      <c r="E1867" s="14" t="n">
        <v>169.39</v>
      </c>
      <c r="F1867" s="14" t="n">
        <v>1739.57</v>
      </c>
      <c r="G1867" s="6" t="s">
        <v>2613</v>
      </c>
    </row>
    <row r="1868" customFormat="false" ht="15" hidden="false" customHeight="true" outlineLevel="0" collapsed="false">
      <c r="A1868" s="6" t="s">
        <v>4480</v>
      </c>
      <c r="B1868" s="6" t="s">
        <v>571</v>
      </c>
      <c r="C1868" s="6" t="s">
        <v>112</v>
      </c>
      <c r="D1868" s="13" t="n">
        <v>45054</v>
      </c>
      <c r="E1868" s="14" t="n">
        <v>110.34</v>
      </c>
      <c r="F1868" s="14" t="n">
        <v>1849.91</v>
      </c>
      <c r="G1868" s="6" t="s">
        <v>2613</v>
      </c>
    </row>
    <row r="1869" customFormat="false" ht="15" hidden="false" customHeight="true" outlineLevel="0" collapsed="false">
      <c r="A1869" s="6" t="s">
        <v>4481</v>
      </c>
      <c r="B1869" s="6" t="s">
        <v>571</v>
      </c>
      <c r="C1869" s="6" t="s">
        <v>112</v>
      </c>
      <c r="D1869" s="13" t="n">
        <v>45061</v>
      </c>
      <c r="E1869" s="14" t="n">
        <v>75.4</v>
      </c>
      <c r="F1869" s="14" t="n">
        <v>1925.31</v>
      </c>
      <c r="G1869" s="6" t="s">
        <v>2613</v>
      </c>
    </row>
    <row r="1870" customFormat="false" ht="15" hidden="false" customHeight="true" outlineLevel="0" collapsed="false">
      <c r="A1870" s="6" t="s">
        <v>4482</v>
      </c>
      <c r="B1870" s="6" t="s">
        <v>571</v>
      </c>
      <c r="C1870" s="6" t="s">
        <v>112</v>
      </c>
      <c r="D1870" s="13" t="n">
        <v>45068</v>
      </c>
      <c r="E1870" s="14" t="n">
        <v>130.82</v>
      </c>
      <c r="F1870" s="14" t="n">
        <v>2056.13</v>
      </c>
      <c r="G1870" s="6" t="s">
        <v>2613</v>
      </c>
    </row>
    <row r="1871" customFormat="false" ht="15" hidden="false" customHeight="true" outlineLevel="0" collapsed="false">
      <c r="A1871" s="6" t="s">
        <v>4483</v>
      </c>
      <c r="B1871" s="6" t="s">
        <v>571</v>
      </c>
      <c r="C1871" s="6" t="s">
        <v>112</v>
      </c>
      <c r="D1871" s="13" t="n">
        <v>45075</v>
      </c>
      <c r="E1871" s="14" t="n">
        <v>118.97</v>
      </c>
      <c r="F1871" s="14" t="n">
        <v>2175.1</v>
      </c>
      <c r="G1871" s="6" t="s">
        <v>2613</v>
      </c>
    </row>
    <row r="1872" customFormat="false" ht="15" hidden="false" customHeight="true" outlineLevel="0" collapsed="false">
      <c r="A1872" s="6" t="s">
        <v>4484</v>
      </c>
      <c r="B1872" s="6" t="s">
        <v>571</v>
      </c>
      <c r="C1872" s="6" t="s">
        <v>112</v>
      </c>
      <c r="D1872" s="13" t="n">
        <v>45082</v>
      </c>
      <c r="E1872" s="14" t="n">
        <v>108.79</v>
      </c>
      <c r="F1872" s="14" t="n">
        <v>2283.89</v>
      </c>
      <c r="G1872" s="6" t="s">
        <v>2623</v>
      </c>
    </row>
    <row r="1873" customFormat="false" ht="15" hidden="false" customHeight="true" outlineLevel="0" collapsed="false">
      <c r="A1873" s="6" t="s">
        <v>4485</v>
      </c>
      <c r="B1873" s="6" t="s">
        <v>571</v>
      </c>
      <c r="C1873" s="6" t="s">
        <v>112</v>
      </c>
      <c r="D1873" s="13" t="n">
        <v>45089</v>
      </c>
      <c r="E1873" s="14" t="n">
        <v>109.16</v>
      </c>
      <c r="F1873" s="14" t="n">
        <v>2393.05</v>
      </c>
      <c r="G1873" s="6" t="s">
        <v>2613</v>
      </c>
    </row>
    <row r="1874" customFormat="false" ht="15" hidden="false" customHeight="true" outlineLevel="0" collapsed="false">
      <c r="A1874" s="6" t="s">
        <v>4486</v>
      </c>
      <c r="B1874" s="6" t="s">
        <v>571</v>
      </c>
      <c r="C1874" s="6" t="s">
        <v>112</v>
      </c>
      <c r="D1874" s="13" t="n">
        <v>45096</v>
      </c>
      <c r="E1874" s="14" t="n">
        <v>167.51</v>
      </c>
      <c r="F1874" s="14" t="n">
        <v>2560.56</v>
      </c>
      <c r="G1874" s="6" t="s">
        <v>2623</v>
      </c>
    </row>
    <row r="1875" customFormat="false" ht="15" hidden="false" customHeight="true" outlineLevel="0" collapsed="false">
      <c r="A1875" s="6" t="s">
        <v>4487</v>
      </c>
      <c r="B1875" s="6" t="s">
        <v>571</v>
      </c>
      <c r="C1875" s="6" t="s">
        <v>112</v>
      </c>
      <c r="D1875" s="13" t="n">
        <v>45103</v>
      </c>
      <c r="E1875" s="14" t="n">
        <v>102.33</v>
      </c>
      <c r="F1875" s="14" t="n">
        <v>2662.89</v>
      </c>
      <c r="G1875" s="6" t="s">
        <v>2613</v>
      </c>
    </row>
    <row r="1876" customFormat="false" ht="15" hidden="false" customHeight="true" outlineLevel="0" collapsed="false">
      <c r="A1876" s="6" t="s">
        <v>4488</v>
      </c>
      <c r="B1876" s="6" t="s">
        <v>571</v>
      </c>
      <c r="C1876" s="6" t="s">
        <v>112</v>
      </c>
      <c r="D1876" s="13" t="n">
        <v>45110</v>
      </c>
      <c r="E1876" s="14" t="n">
        <v>284.29</v>
      </c>
      <c r="F1876" s="14" t="n">
        <v>2947.18</v>
      </c>
      <c r="G1876" s="6" t="s">
        <v>2623</v>
      </c>
    </row>
    <row r="1877" customFormat="false" ht="15" hidden="false" customHeight="true" outlineLevel="0" collapsed="false">
      <c r="A1877" s="6" t="s">
        <v>4489</v>
      </c>
      <c r="B1877" s="6" t="s">
        <v>573</v>
      </c>
      <c r="C1877" s="6" t="s">
        <v>116</v>
      </c>
      <c r="D1877" s="13" t="n">
        <v>45972</v>
      </c>
      <c r="E1877" s="14" t="n">
        <v>5746.32</v>
      </c>
      <c r="F1877" s="14" t="n">
        <v>5746.32</v>
      </c>
      <c r="G1877" s="6" t="s">
        <v>2613</v>
      </c>
    </row>
    <row r="1878" customFormat="false" ht="15" hidden="false" customHeight="true" outlineLevel="0" collapsed="false">
      <c r="A1878" s="6" t="s">
        <v>4490</v>
      </c>
      <c r="B1878" s="6" t="s">
        <v>573</v>
      </c>
      <c r="C1878" s="6" t="s">
        <v>116</v>
      </c>
      <c r="D1878" s="13" t="n">
        <v>45979</v>
      </c>
      <c r="E1878" s="14" t="n">
        <v>3998.37</v>
      </c>
      <c r="F1878" s="14" t="n">
        <v>9744.69</v>
      </c>
      <c r="G1878" s="6" t="s">
        <v>2613</v>
      </c>
    </row>
    <row r="1879" customFormat="false" ht="15" hidden="false" customHeight="true" outlineLevel="0" collapsed="false">
      <c r="A1879" s="6" t="s">
        <v>4491</v>
      </c>
      <c r="B1879" s="6" t="s">
        <v>573</v>
      </c>
      <c r="C1879" s="6" t="s">
        <v>116</v>
      </c>
      <c r="D1879" s="13" t="n">
        <v>45986</v>
      </c>
      <c r="E1879" s="14" t="n">
        <v>4614.42</v>
      </c>
      <c r="F1879" s="14" t="n">
        <v>14359.11</v>
      </c>
      <c r="G1879" s="6" t="s">
        <v>2613</v>
      </c>
    </row>
    <row r="1880" customFormat="false" ht="15" hidden="false" customHeight="true" outlineLevel="0" collapsed="false">
      <c r="A1880" s="6" t="s">
        <v>4492</v>
      </c>
      <c r="B1880" s="6" t="s">
        <v>573</v>
      </c>
      <c r="C1880" s="6" t="s">
        <v>116</v>
      </c>
      <c r="D1880" s="13" t="n">
        <v>45993</v>
      </c>
      <c r="E1880" s="14" t="n">
        <v>5198.6</v>
      </c>
      <c r="F1880" s="14" t="n">
        <v>19557.71</v>
      </c>
      <c r="G1880" s="6" t="s">
        <v>2613</v>
      </c>
    </row>
    <row r="1881" customFormat="false" ht="15" hidden="false" customHeight="true" outlineLevel="0" collapsed="false">
      <c r="A1881" s="6" t="s">
        <v>4493</v>
      </c>
      <c r="B1881" s="6" t="s">
        <v>573</v>
      </c>
      <c r="C1881" s="6" t="s">
        <v>116</v>
      </c>
      <c r="D1881" s="13" t="n">
        <v>46000</v>
      </c>
      <c r="E1881" s="14" t="n">
        <v>4084.77</v>
      </c>
      <c r="F1881" s="14" t="n">
        <v>23642.48</v>
      </c>
      <c r="G1881" s="6" t="s">
        <v>2613</v>
      </c>
    </row>
    <row r="1882" customFormat="false" ht="15" hidden="false" customHeight="true" outlineLevel="0" collapsed="false">
      <c r="A1882" s="6" t="s">
        <v>4494</v>
      </c>
      <c r="B1882" s="6" t="s">
        <v>573</v>
      </c>
      <c r="C1882" s="6" t="s">
        <v>116</v>
      </c>
      <c r="D1882" s="13" t="n">
        <v>46007</v>
      </c>
      <c r="E1882" s="14" t="n">
        <v>5607.46</v>
      </c>
      <c r="F1882" s="14" t="n">
        <v>29249.94</v>
      </c>
      <c r="G1882" s="6" t="s">
        <v>2613</v>
      </c>
    </row>
    <row r="1883" customFormat="false" ht="15" hidden="false" customHeight="true" outlineLevel="0" collapsed="false">
      <c r="A1883" s="6" t="s">
        <v>4495</v>
      </c>
      <c r="B1883" s="6" t="s">
        <v>573</v>
      </c>
      <c r="C1883" s="6" t="s">
        <v>116</v>
      </c>
      <c r="D1883" s="13" t="n">
        <v>46014</v>
      </c>
      <c r="E1883" s="14" t="n">
        <v>6912.59</v>
      </c>
      <c r="F1883" s="14" t="n">
        <v>36162.53</v>
      </c>
      <c r="G1883" s="6" t="s">
        <v>2613</v>
      </c>
    </row>
    <row r="1884" customFormat="false" ht="15" hidden="false" customHeight="true" outlineLevel="0" collapsed="false">
      <c r="A1884" s="6" t="s">
        <v>4496</v>
      </c>
      <c r="B1884" s="6" t="s">
        <v>573</v>
      </c>
      <c r="C1884" s="6" t="s">
        <v>116</v>
      </c>
      <c r="D1884" s="13" t="n">
        <v>46021</v>
      </c>
      <c r="E1884" s="14" t="n">
        <v>6440.81</v>
      </c>
      <c r="F1884" s="14" t="n">
        <v>42603.34</v>
      </c>
      <c r="G1884" s="6" t="s">
        <v>2613</v>
      </c>
    </row>
    <row r="1885" customFormat="false" ht="15" hidden="false" customHeight="true" outlineLevel="0" collapsed="false">
      <c r="A1885" s="6" t="s">
        <v>4497</v>
      </c>
      <c r="B1885" s="6" t="s">
        <v>573</v>
      </c>
      <c r="C1885" s="6" t="s">
        <v>116</v>
      </c>
      <c r="D1885" s="13" t="n">
        <v>46028</v>
      </c>
      <c r="E1885" s="14" t="n">
        <v>7140.6</v>
      </c>
      <c r="F1885" s="14" t="n">
        <v>49743.94</v>
      </c>
      <c r="G1885" s="6" t="s">
        <v>2613</v>
      </c>
    </row>
    <row r="1886" customFormat="false" ht="15" hidden="false" customHeight="true" outlineLevel="0" collapsed="false">
      <c r="A1886" s="6" t="s">
        <v>4498</v>
      </c>
      <c r="B1886" s="6" t="s">
        <v>573</v>
      </c>
      <c r="C1886" s="6" t="s">
        <v>116</v>
      </c>
      <c r="D1886" s="13" t="n">
        <v>46035</v>
      </c>
      <c r="E1886" s="14" t="n">
        <v>6497.23</v>
      </c>
      <c r="F1886" s="14" t="n">
        <v>56241.17</v>
      </c>
      <c r="G1886" s="6" t="s">
        <v>2613</v>
      </c>
    </row>
    <row r="1887" customFormat="false" ht="15" hidden="false" customHeight="true" outlineLevel="0" collapsed="false">
      <c r="A1887" s="6" t="s">
        <v>4499</v>
      </c>
      <c r="B1887" s="6" t="s">
        <v>573</v>
      </c>
      <c r="C1887" s="6" t="s">
        <v>116</v>
      </c>
      <c r="D1887" s="13" t="n">
        <v>46042</v>
      </c>
      <c r="E1887" s="14" t="n">
        <v>5222.55</v>
      </c>
      <c r="F1887" s="14" t="n">
        <v>61463.72</v>
      </c>
      <c r="G1887" s="6" t="s">
        <v>2613</v>
      </c>
    </row>
    <row r="1888" customFormat="false" ht="15" hidden="false" customHeight="true" outlineLevel="0" collapsed="false">
      <c r="A1888" s="6" t="s">
        <v>4500</v>
      </c>
      <c r="B1888" s="6" t="s">
        <v>573</v>
      </c>
      <c r="C1888" s="6" t="s">
        <v>116</v>
      </c>
      <c r="D1888" s="13" t="n">
        <v>46049</v>
      </c>
      <c r="E1888" s="14" t="n">
        <v>3876.9</v>
      </c>
      <c r="F1888" s="14" t="n">
        <v>65340.62</v>
      </c>
      <c r="G1888" s="6" t="s">
        <v>2613</v>
      </c>
    </row>
    <row r="1889" customFormat="false" ht="15" hidden="false" customHeight="true" outlineLevel="0" collapsed="false">
      <c r="A1889" s="6" t="s">
        <v>4501</v>
      </c>
      <c r="B1889" s="6" t="s">
        <v>573</v>
      </c>
      <c r="C1889" s="6" t="s">
        <v>116</v>
      </c>
      <c r="D1889" s="13" t="n">
        <v>46056</v>
      </c>
      <c r="E1889" s="14" t="n">
        <v>3433.15</v>
      </c>
      <c r="F1889" s="14" t="n">
        <v>68773.77</v>
      </c>
      <c r="G1889" s="6" t="s">
        <v>2613</v>
      </c>
    </row>
    <row r="1890" customFormat="false" ht="15" hidden="false" customHeight="true" outlineLevel="0" collapsed="false">
      <c r="A1890" s="6" t="s">
        <v>4502</v>
      </c>
      <c r="B1890" s="6" t="s">
        <v>573</v>
      </c>
      <c r="C1890" s="6" t="s">
        <v>116</v>
      </c>
      <c r="D1890" s="13" t="n">
        <v>46063</v>
      </c>
      <c r="E1890" s="14" t="n">
        <v>6447.06</v>
      </c>
      <c r="F1890" s="14" t="n">
        <v>75220.83</v>
      </c>
      <c r="G1890" s="6" t="s">
        <v>2613</v>
      </c>
    </row>
    <row r="1891" customFormat="false" ht="15" hidden="false" customHeight="true" outlineLevel="0" collapsed="false">
      <c r="A1891" s="6" t="s">
        <v>4503</v>
      </c>
      <c r="B1891" s="6" t="s">
        <v>573</v>
      </c>
      <c r="C1891" s="6" t="s">
        <v>116</v>
      </c>
      <c r="D1891" s="13" t="n">
        <v>46070</v>
      </c>
      <c r="E1891" s="14" t="n">
        <v>5332.57</v>
      </c>
      <c r="F1891" s="14" t="n">
        <v>80553.4</v>
      </c>
      <c r="G1891" s="6" t="s">
        <v>2613</v>
      </c>
    </row>
    <row r="1892" customFormat="false" ht="15" hidden="false" customHeight="true" outlineLevel="0" collapsed="false">
      <c r="A1892" s="6" t="s">
        <v>4504</v>
      </c>
      <c r="B1892" s="6" t="s">
        <v>573</v>
      </c>
      <c r="C1892" s="6" t="s">
        <v>116</v>
      </c>
      <c r="D1892" s="13" t="n">
        <v>46077</v>
      </c>
      <c r="E1892" s="14" t="n">
        <v>5695.77</v>
      </c>
      <c r="F1892" s="14" t="n">
        <v>86249.17</v>
      </c>
      <c r="G1892" s="6" t="s">
        <v>2613</v>
      </c>
    </row>
    <row r="1893" customFormat="false" ht="15" hidden="false" customHeight="true" outlineLevel="0" collapsed="false">
      <c r="A1893" s="6" t="s">
        <v>4505</v>
      </c>
      <c r="B1893" s="6" t="s">
        <v>573</v>
      </c>
      <c r="C1893" s="6" t="s">
        <v>116</v>
      </c>
      <c r="D1893" s="13" t="n">
        <v>46084</v>
      </c>
      <c r="E1893" s="14" t="n">
        <v>4125.83</v>
      </c>
      <c r="F1893" s="14" t="n">
        <v>90375</v>
      </c>
      <c r="G1893" s="6" t="s">
        <v>2613</v>
      </c>
    </row>
    <row r="1894" customFormat="false" ht="15" hidden="false" customHeight="true" outlineLevel="0" collapsed="false">
      <c r="A1894" s="6" t="s">
        <v>4506</v>
      </c>
      <c r="B1894" s="6" t="s">
        <v>573</v>
      </c>
      <c r="C1894" s="6" t="s">
        <v>116</v>
      </c>
      <c r="D1894" s="13" t="n">
        <v>46091</v>
      </c>
      <c r="E1894" s="14" t="n">
        <v>6686.01</v>
      </c>
      <c r="F1894" s="14" t="n">
        <v>97061.01</v>
      </c>
      <c r="G1894" s="6" t="s">
        <v>2613</v>
      </c>
    </row>
    <row r="1895" customFormat="false" ht="15" hidden="false" customHeight="true" outlineLevel="0" collapsed="false">
      <c r="A1895" s="6" t="s">
        <v>4507</v>
      </c>
      <c r="B1895" s="6" t="s">
        <v>573</v>
      </c>
      <c r="C1895" s="6" t="s">
        <v>116</v>
      </c>
      <c r="D1895" s="13" t="n">
        <v>46098</v>
      </c>
      <c r="E1895" s="14" t="n">
        <v>9193.21</v>
      </c>
      <c r="F1895" s="14" t="n">
        <v>106254.22</v>
      </c>
      <c r="G1895" s="6" t="s">
        <v>2613</v>
      </c>
    </row>
    <row r="1896" customFormat="false" ht="15" hidden="false" customHeight="true" outlineLevel="0" collapsed="false">
      <c r="A1896" s="6" t="s">
        <v>4508</v>
      </c>
      <c r="B1896" s="6" t="s">
        <v>575</v>
      </c>
      <c r="C1896" s="6" t="s">
        <v>131</v>
      </c>
      <c r="D1896" s="13" t="n">
        <v>46120</v>
      </c>
      <c r="E1896" s="14" t="n">
        <v>2917.6</v>
      </c>
      <c r="F1896" s="14" t="n">
        <v>2917.6</v>
      </c>
      <c r="G1896" s="6" t="s">
        <v>2613</v>
      </c>
    </row>
    <row r="1897" customFormat="false" ht="15" hidden="false" customHeight="true" outlineLevel="0" collapsed="false">
      <c r="A1897" s="6" t="s">
        <v>4509</v>
      </c>
      <c r="B1897" s="6" t="s">
        <v>575</v>
      </c>
      <c r="C1897" s="6" t="s">
        <v>131</v>
      </c>
      <c r="D1897" s="13" t="n">
        <v>46127</v>
      </c>
      <c r="E1897" s="14" t="n">
        <v>5006.25</v>
      </c>
      <c r="F1897" s="14" t="n">
        <v>7923.85</v>
      </c>
      <c r="G1897" s="6" t="s">
        <v>2613</v>
      </c>
    </row>
    <row r="1898" customFormat="false" ht="15" hidden="false" customHeight="true" outlineLevel="0" collapsed="false">
      <c r="A1898" s="6" t="s">
        <v>4510</v>
      </c>
      <c r="B1898" s="6" t="s">
        <v>575</v>
      </c>
      <c r="C1898" s="6" t="s">
        <v>131</v>
      </c>
      <c r="D1898" s="13" t="n">
        <v>46134</v>
      </c>
      <c r="E1898" s="14" t="n">
        <v>6181.63</v>
      </c>
      <c r="F1898" s="14" t="n">
        <v>14105.48</v>
      </c>
      <c r="G1898" s="6" t="s">
        <v>2623</v>
      </c>
    </row>
    <row r="1899" customFormat="false" ht="15" hidden="false" customHeight="true" outlineLevel="0" collapsed="false">
      <c r="A1899" s="6" t="s">
        <v>4511</v>
      </c>
      <c r="B1899" s="6" t="s">
        <v>575</v>
      </c>
      <c r="C1899" s="6" t="s">
        <v>131</v>
      </c>
      <c r="D1899" s="13" t="n">
        <v>46141</v>
      </c>
      <c r="E1899" s="14" t="n">
        <v>3919.67</v>
      </c>
      <c r="F1899" s="14" t="n">
        <v>18025.15</v>
      </c>
      <c r="G1899" s="6" t="s">
        <v>2623</v>
      </c>
    </row>
    <row r="1900" customFormat="false" ht="15" hidden="false" customHeight="true" outlineLevel="0" collapsed="false">
      <c r="A1900" s="6" t="s">
        <v>4512</v>
      </c>
      <c r="B1900" s="6" t="s">
        <v>575</v>
      </c>
      <c r="C1900" s="6" t="s">
        <v>131</v>
      </c>
      <c r="D1900" s="13" t="n">
        <v>46148</v>
      </c>
      <c r="E1900" s="14" t="n">
        <v>3155.07</v>
      </c>
      <c r="F1900" s="14" t="n">
        <v>21180.22</v>
      </c>
      <c r="G1900" s="6" t="s">
        <v>2613</v>
      </c>
    </row>
    <row r="1901" customFormat="false" ht="15" hidden="false" customHeight="true" outlineLevel="0" collapsed="false">
      <c r="A1901" s="6" t="s">
        <v>4513</v>
      </c>
      <c r="B1901" s="6" t="s">
        <v>575</v>
      </c>
      <c r="C1901" s="6" t="s">
        <v>131</v>
      </c>
      <c r="D1901" s="13" t="n">
        <v>46155</v>
      </c>
      <c r="E1901" s="14" t="n">
        <v>5038.36</v>
      </c>
      <c r="F1901" s="14" t="n">
        <v>26218.58</v>
      </c>
      <c r="G1901" s="6" t="s">
        <v>2613</v>
      </c>
    </row>
    <row r="1902" customFormat="false" ht="15" hidden="false" customHeight="true" outlineLevel="0" collapsed="false">
      <c r="A1902" s="6" t="s">
        <v>4514</v>
      </c>
      <c r="B1902" s="6" t="s">
        <v>575</v>
      </c>
      <c r="C1902" s="6" t="s">
        <v>131</v>
      </c>
      <c r="D1902" s="13" t="n">
        <v>46162</v>
      </c>
      <c r="E1902" s="14" t="n">
        <v>6394.19</v>
      </c>
      <c r="F1902" s="14" t="n">
        <v>32612.77</v>
      </c>
      <c r="G1902" s="6" t="s">
        <v>2613</v>
      </c>
    </row>
    <row r="1903" customFormat="false" ht="15" hidden="false" customHeight="true" outlineLevel="0" collapsed="false">
      <c r="A1903" s="6" t="s">
        <v>4515</v>
      </c>
      <c r="B1903" s="6" t="s">
        <v>577</v>
      </c>
      <c r="C1903" s="6" t="s">
        <v>131</v>
      </c>
      <c r="D1903" s="13" t="n">
        <v>45603</v>
      </c>
      <c r="E1903" s="14" t="n">
        <v>1677.8</v>
      </c>
      <c r="F1903" s="14" t="n">
        <v>1677.8</v>
      </c>
      <c r="G1903" s="6" t="s">
        <v>2623</v>
      </c>
    </row>
    <row r="1904" customFormat="false" ht="15" hidden="false" customHeight="true" outlineLevel="0" collapsed="false">
      <c r="A1904" s="6" t="s">
        <v>4516</v>
      </c>
      <c r="B1904" s="6" t="s">
        <v>577</v>
      </c>
      <c r="C1904" s="6" t="s">
        <v>131</v>
      </c>
      <c r="D1904" s="13" t="n">
        <v>45610</v>
      </c>
      <c r="E1904" s="14" t="n">
        <v>1221.58</v>
      </c>
      <c r="F1904" s="14" t="n">
        <v>2899.38</v>
      </c>
      <c r="G1904" s="6" t="s">
        <v>2613</v>
      </c>
    </row>
    <row r="1905" customFormat="false" ht="15" hidden="false" customHeight="true" outlineLevel="0" collapsed="false">
      <c r="A1905" s="6" t="s">
        <v>4517</v>
      </c>
      <c r="B1905" s="6" t="s">
        <v>577</v>
      </c>
      <c r="C1905" s="6" t="s">
        <v>131</v>
      </c>
      <c r="D1905" s="13" t="n">
        <v>45617</v>
      </c>
      <c r="E1905" s="14" t="n">
        <v>1303.52</v>
      </c>
      <c r="F1905" s="14" t="n">
        <v>4202.9</v>
      </c>
      <c r="G1905" s="6" t="s">
        <v>2613</v>
      </c>
    </row>
    <row r="1906" customFormat="false" ht="15" hidden="false" customHeight="true" outlineLevel="0" collapsed="false">
      <c r="A1906" s="6" t="s">
        <v>4518</v>
      </c>
      <c r="B1906" s="6" t="s">
        <v>577</v>
      </c>
      <c r="C1906" s="6" t="s">
        <v>131</v>
      </c>
      <c r="D1906" s="13" t="n">
        <v>45624</v>
      </c>
      <c r="E1906" s="14" t="n">
        <v>1625.99</v>
      </c>
      <c r="F1906" s="14" t="n">
        <v>5828.89</v>
      </c>
      <c r="G1906" s="6" t="s">
        <v>2613</v>
      </c>
    </row>
    <row r="1907" customFormat="false" ht="15" hidden="false" customHeight="true" outlineLevel="0" collapsed="false">
      <c r="A1907" s="6" t="s">
        <v>4519</v>
      </c>
      <c r="B1907" s="6" t="s">
        <v>577</v>
      </c>
      <c r="C1907" s="6" t="s">
        <v>131</v>
      </c>
      <c r="D1907" s="13" t="n">
        <v>45631</v>
      </c>
      <c r="E1907" s="14" t="n">
        <v>1072.12</v>
      </c>
      <c r="F1907" s="14" t="n">
        <v>6901.01</v>
      </c>
      <c r="G1907" s="6" t="s">
        <v>2613</v>
      </c>
    </row>
    <row r="1908" customFormat="false" ht="15" hidden="false" customHeight="true" outlineLevel="0" collapsed="false">
      <c r="A1908" s="6" t="s">
        <v>4520</v>
      </c>
      <c r="B1908" s="6" t="s">
        <v>577</v>
      </c>
      <c r="C1908" s="6" t="s">
        <v>131</v>
      </c>
      <c r="D1908" s="13" t="n">
        <v>45638</v>
      </c>
      <c r="E1908" s="14" t="n">
        <v>2573.54</v>
      </c>
      <c r="F1908" s="14" t="n">
        <v>9474.55</v>
      </c>
      <c r="G1908" s="6" t="s">
        <v>2613</v>
      </c>
    </row>
    <row r="1909" customFormat="false" ht="15" hidden="false" customHeight="true" outlineLevel="0" collapsed="false">
      <c r="A1909" s="6" t="s">
        <v>4521</v>
      </c>
      <c r="B1909" s="6" t="s">
        <v>579</v>
      </c>
      <c r="C1909" s="6" t="s">
        <v>131</v>
      </c>
      <c r="D1909" s="13" t="n">
        <v>45035</v>
      </c>
      <c r="E1909" s="14" t="n">
        <v>3435.92</v>
      </c>
      <c r="F1909" s="14" t="n">
        <v>3435.92</v>
      </c>
      <c r="G1909" s="6" t="s">
        <v>2613</v>
      </c>
    </row>
    <row r="1910" customFormat="false" ht="15" hidden="false" customHeight="true" outlineLevel="0" collapsed="false">
      <c r="A1910" s="6" t="s">
        <v>4522</v>
      </c>
      <c r="B1910" s="6" t="s">
        <v>579</v>
      </c>
      <c r="C1910" s="6" t="s">
        <v>131</v>
      </c>
      <c r="D1910" s="13" t="n">
        <v>45042</v>
      </c>
      <c r="E1910" s="14" t="n">
        <v>4099.18</v>
      </c>
      <c r="F1910" s="14" t="n">
        <v>7535.1</v>
      </c>
      <c r="G1910" s="6" t="s">
        <v>2613</v>
      </c>
    </row>
    <row r="1911" customFormat="false" ht="15" hidden="false" customHeight="true" outlineLevel="0" collapsed="false">
      <c r="A1911" s="6" t="s">
        <v>4523</v>
      </c>
      <c r="B1911" s="6" t="s">
        <v>579</v>
      </c>
      <c r="C1911" s="6" t="s">
        <v>131</v>
      </c>
      <c r="D1911" s="13" t="n">
        <v>45049</v>
      </c>
      <c r="E1911" s="14" t="n">
        <v>3587.55</v>
      </c>
      <c r="F1911" s="14" t="n">
        <v>11122.65</v>
      </c>
      <c r="G1911" s="6" t="s">
        <v>2613</v>
      </c>
    </row>
    <row r="1912" customFormat="false" ht="15" hidden="false" customHeight="true" outlineLevel="0" collapsed="false">
      <c r="A1912" s="6" t="s">
        <v>4524</v>
      </c>
      <c r="B1912" s="6" t="s">
        <v>579</v>
      </c>
      <c r="C1912" s="6" t="s">
        <v>131</v>
      </c>
      <c r="D1912" s="13" t="n">
        <v>45056</v>
      </c>
      <c r="E1912" s="14" t="n">
        <v>4752.64</v>
      </c>
      <c r="F1912" s="14" t="n">
        <v>15875.29</v>
      </c>
      <c r="G1912" s="6" t="s">
        <v>2623</v>
      </c>
    </row>
    <row r="1913" customFormat="false" ht="15" hidden="false" customHeight="true" outlineLevel="0" collapsed="false">
      <c r="A1913" s="6" t="s">
        <v>4525</v>
      </c>
      <c r="B1913" s="6" t="s">
        <v>579</v>
      </c>
      <c r="C1913" s="6" t="s">
        <v>131</v>
      </c>
      <c r="D1913" s="13" t="n">
        <v>45063</v>
      </c>
      <c r="E1913" s="14" t="n">
        <v>4015.19</v>
      </c>
      <c r="F1913" s="14" t="n">
        <v>19890.48</v>
      </c>
      <c r="G1913" s="6" t="s">
        <v>2613</v>
      </c>
    </row>
    <row r="1914" customFormat="false" ht="15" hidden="false" customHeight="true" outlineLevel="0" collapsed="false">
      <c r="A1914" s="6" t="s">
        <v>4526</v>
      </c>
      <c r="B1914" s="6" t="s">
        <v>579</v>
      </c>
      <c r="C1914" s="6" t="s">
        <v>131</v>
      </c>
      <c r="D1914" s="13" t="n">
        <v>45070</v>
      </c>
      <c r="E1914" s="14" t="n">
        <v>3896.5</v>
      </c>
      <c r="F1914" s="14" t="n">
        <v>23786.98</v>
      </c>
      <c r="G1914" s="6" t="s">
        <v>2613</v>
      </c>
    </row>
    <row r="1915" customFormat="false" ht="15" hidden="false" customHeight="true" outlineLevel="0" collapsed="false">
      <c r="A1915" s="6" t="s">
        <v>4527</v>
      </c>
      <c r="B1915" s="6" t="s">
        <v>579</v>
      </c>
      <c r="C1915" s="6" t="s">
        <v>131</v>
      </c>
      <c r="D1915" s="13" t="n">
        <v>45077</v>
      </c>
      <c r="E1915" s="14" t="n">
        <v>4461.46</v>
      </c>
      <c r="F1915" s="14" t="n">
        <v>28248.44</v>
      </c>
      <c r="G1915" s="6" t="s">
        <v>2613</v>
      </c>
    </row>
    <row r="1916" customFormat="false" ht="15" hidden="false" customHeight="true" outlineLevel="0" collapsed="false">
      <c r="A1916" s="6" t="s">
        <v>4528</v>
      </c>
      <c r="B1916" s="6" t="s">
        <v>581</v>
      </c>
      <c r="C1916" s="6" t="s">
        <v>124</v>
      </c>
      <c r="D1916" s="13" t="n">
        <v>44595</v>
      </c>
      <c r="E1916" s="14" t="n">
        <v>800.64</v>
      </c>
      <c r="F1916" s="14" t="n">
        <v>800.64</v>
      </c>
      <c r="G1916" s="6" t="s">
        <v>2613</v>
      </c>
    </row>
    <row r="1917" customFormat="false" ht="15" hidden="false" customHeight="true" outlineLevel="0" collapsed="false">
      <c r="A1917" s="6" t="s">
        <v>4529</v>
      </c>
      <c r="B1917" s="6" t="s">
        <v>581</v>
      </c>
      <c r="C1917" s="6" t="s">
        <v>124</v>
      </c>
      <c r="D1917" s="13" t="n">
        <v>44602</v>
      </c>
      <c r="E1917" s="14" t="n">
        <v>1318.73</v>
      </c>
      <c r="F1917" s="14" t="n">
        <v>2119.37</v>
      </c>
      <c r="G1917" s="6" t="s">
        <v>2623</v>
      </c>
    </row>
    <row r="1918" customFormat="false" ht="15" hidden="false" customHeight="true" outlineLevel="0" collapsed="false">
      <c r="A1918" s="6" t="s">
        <v>4530</v>
      </c>
      <c r="B1918" s="6" t="s">
        <v>581</v>
      </c>
      <c r="C1918" s="6" t="s">
        <v>124</v>
      </c>
      <c r="D1918" s="13" t="n">
        <v>44609</v>
      </c>
      <c r="E1918" s="14" t="n">
        <v>836.4</v>
      </c>
      <c r="F1918" s="14" t="n">
        <v>2955.77</v>
      </c>
      <c r="G1918" s="6" t="s">
        <v>2613</v>
      </c>
    </row>
    <row r="1919" customFormat="false" ht="15" hidden="false" customHeight="true" outlineLevel="0" collapsed="false">
      <c r="A1919" s="6" t="s">
        <v>4531</v>
      </c>
      <c r="B1919" s="6" t="s">
        <v>581</v>
      </c>
      <c r="C1919" s="6" t="s">
        <v>124</v>
      </c>
      <c r="D1919" s="13" t="n">
        <v>44616</v>
      </c>
      <c r="E1919" s="14" t="n">
        <v>1255.08</v>
      </c>
      <c r="F1919" s="14" t="n">
        <v>4210.85</v>
      </c>
      <c r="G1919" s="6" t="s">
        <v>2613</v>
      </c>
    </row>
    <row r="1920" customFormat="false" ht="15" hidden="false" customHeight="true" outlineLevel="0" collapsed="false">
      <c r="A1920" s="6" t="s">
        <v>4532</v>
      </c>
      <c r="B1920" s="6" t="s">
        <v>581</v>
      </c>
      <c r="C1920" s="6" t="s">
        <v>124</v>
      </c>
      <c r="D1920" s="13" t="n">
        <v>44623</v>
      </c>
      <c r="E1920" s="14" t="n">
        <v>1568.46</v>
      </c>
      <c r="F1920" s="14" t="n">
        <v>5779.31</v>
      </c>
      <c r="G1920" s="6" t="s">
        <v>2613</v>
      </c>
    </row>
    <row r="1921" customFormat="false" ht="15" hidden="false" customHeight="true" outlineLevel="0" collapsed="false">
      <c r="A1921" s="6" t="s">
        <v>4533</v>
      </c>
      <c r="B1921" s="6" t="s">
        <v>581</v>
      </c>
      <c r="C1921" s="6" t="s">
        <v>124</v>
      </c>
      <c r="D1921" s="13" t="n">
        <v>44630</v>
      </c>
      <c r="E1921" s="14" t="n">
        <v>762.76</v>
      </c>
      <c r="F1921" s="14" t="n">
        <v>6542.07</v>
      </c>
      <c r="G1921" s="6" t="s">
        <v>2613</v>
      </c>
    </row>
    <row r="1922" customFormat="false" ht="15" hidden="false" customHeight="true" outlineLevel="0" collapsed="false">
      <c r="A1922" s="6" t="s">
        <v>4534</v>
      </c>
      <c r="B1922" s="6" t="s">
        <v>581</v>
      </c>
      <c r="C1922" s="6" t="s">
        <v>124</v>
      </c>
      <c r="D1922" s="13" t="n">
        <v>44637</v>
      </c>
      <c r="E1922" s="14" t="n">
        <v>1019.21</v>
      </c>
      <c r="F1922" s="14" t="n">
        <v>7561.28</v>
      </c>
      <c r="G1922" s="6" t="s">
        <v>2613</v>
      </c>
    </row>
    <row r="1923" customFormat="false" ht="15" hidden="false" customHeight="true" outlineLevel="0" collapsed="false">
      <c r="A1923" s="6" t="s">
        <v>4535</v>
      </c>
      <c r="B1923" s="6" t="s">
        <v>581</v>
      </c>
      <c r="C1923" s="6" t="s">
        <v>124</v>
      </c>
      <c r="D1923" s="13" t="n">
        <v>44644</v>
      </c>
      <c r="E1923" s="14" t="n">
        <v>1629.67</v>
      </c>
      <c r="F1923" s="14" t="n">
        <v>9190.95</v>
      </c>
      <c r="G1923" s="6" t="s">
        <v>2613</v>
      </c>
    </row>
    <row r="1924" customFormat="false" ht="15" hidden="false" customHeight="true" outlineLevel="0" collapsed="false">
      <c r="A1924" s="6" t="s">
        <v>4536</v>
      </c>
      <c r="B1924" s="6" t="s">
        <v>581</v>
      </c>
      <c r="C1924" s="6" t="s">
        <v>124</v>
      </c>
      <c r="D1924" s="13" t="n">
        <v>44651</v>
      </c>
      <c r="E1924" s="14" t="n">
        <v>1486.84</v>
      </c>
      <c r="F1924" s="14" t="n">
        <v>10677.79</v>
      </c>
      <c r="G1924" s="6" t="s">
        <v>2613</v>
      </c>
    </row>
    <row r="1925" customFormat="false" ht="15" hidden="false" customHeight="true" outlineLevel="0" collapsed="false">
      <c r="A1925" s="6" t="s">
        <v>4537</v>
      </c>
      <c r="B1925" s="6" t="s">
        <v>581</v>
      </c>
      <c r="C1925" s="6" t="s">
        <v>124</v>
      </c>
      <c r="D1925" s="13" t="n">
        <v>44658</v>
      </c>
      <c r="E1925" s="14" t="n">
        <v>962.93</v>
      </c>
      <c r="F1925" s="14" t="n">
        <v>11640.72</v>
      </c>
      <c r="G1925" s="6" t="s">
        <v>2613</v>
      </c>
    </row>
    <row r="1926" customFormat="false" ht="15" hidden="false" customHeight="true" outlineLevel="0" collapsed="false">
      <c r="A1926" s="6" t="s">
        <v>4538</v>
      </c>
      <c r="B1926" s="6" t="s">
        <v>581</v>
      </c>
      <c r="C1926" s="6" t="s">
        <v>124</v>
      </c>
      <c r="D1926" s="13" t="n">
        <v>44665</v>
      </c>
      <c r="E1926" s="14" t="n">
        <v>1246.99</v>
      </c>
      <c r="F1926" s="14" t="n">
        <v>12887.71</v>
      </c>
      <c r="G1926" s="6" t="s">
        <v>2613</v>
      </c>
    </row>
    <row r="1927" customFormat="false" ht="15" hidden="false" customHeight="true" outlineLevel="0" collapsed="false">
      <c r="A1927" s="6" t="s">
        <v>4539</v>
      </c>
      <c r="B1927" s="6" t="s">
        <v>581</v>
      </c>
      <c r="C1927" s="6" t="s">
        <v>124</v>
      </c>
      <c r="D1927" s="13" t="n">
        <v>44672</v>
      </c>
      <c r="E1927" s="14" t="n">
        <v>1441.33</v>
      </c>
      <c r="F1927" s="14" t="n">
        <v>14329.04</v>
      </c>
      <c r="G1927" s="6" t="s">
        <v>2613</v>
      </c>
    </row>
    <row r="1928" customFormat="false" ht="15" hidden="false" customHeight="true" outlineLevel="0" collapsed="false">
      <c r="A1928" s="6" t="s">
        <v>4540</v>
      </c>
      <c r="B1928" s="6" t="s">
        <v>581</v>
      </c>
      <c r="C1928" s="6" t="s">
        <v>124</v>
      </c>
      <c r="D1928" s="13" t="n">
        <v>44679</v>
      </c>
      <c r="E1928" s="14" t="n">
        <v>1076.89</v>
      </c>
      <c r="F1928" s="14" t="n">
        <v>15405.93</v>
      </c>
      <c r="G1928" s="6" t="s">
        <v>2613</v>
      </c>
    </row>
    <row r="1929" customFormat="false" ht="15" hidden="false" customHeight="true" outlineLevel="0" collapsed="false">
      <c r="A1929" s="6" t="s">
        <v>4541</v>
      </c>
      <c r="B1929" s="6" t="s">
        <v>581</v>
      </c>
      <c r="C1929" s="6" t="s">
        <v>124</v>
      </c>
      <c r="D1929" s="13" t="n">
        <v>44686</v>
      </c>
      <c r="E1929" s="14" t="n">
        <v>1266.88</v>
      </c>
      <c r="F1929" s="14" t="n">
        <v>16672.81</v>
      </c>
      <c r="G1929" s="6" t="s">
        <v>2613</v>
      </c>
    </row>
    <row r="1930" customFormat="false" ht="15" hidden="false" customHeight="true" outlineLevel="0" collapsed="false">
      <c r="A1930" s="6" t="s">
        <v>4542</v>
      </c>
      <c r="B1930" s="6" t="s">
        <v>581</v>
      </c>
      <c r="C1930" s="6" t="s">
        <v>124</v>
      </c>
      <c r="D1930" s="13" t="n">
        <v>44693</v>
      </c>
      <c r="E1930" s="14" t="n">
        <v>1155.81</v>
      </c>
      <c r="F1930" s="14" t="n">
        <v>17828.62</v>
      </c>
      <c r="G1930" s="6" t="s">
        <v>2613</v>
      </c>
    </row>
    <row r="1931" customFormat="false" ht="15" hidden="false" customHeight="true" outlineLevel="0" collapsed="false">
      <c r="A1931" s="6" t="s">
        <v>4543</v>
      </c>
      <c r="B1931" s="6" t="s">
        <v>581</v>
      </c>
      <c r="C1931" s="6" t="s">
        <v>124</v>
      </c>
      <c r="D1931" s="13" t="n">
        <v>44700</v>
      </c>
      <c r="E1931" s="14" t="n">
        <v>1421.2</v>
      </c>
      <c r="F1931" s="14" t="n">
        <v>19249.82</v>
      </c>
      <c r="G1931" s="6" t="s">
        <v>2613</v>
      </c>
    </row>
    <row r="1932" customFormat="false" ht="15" hidden="false" customHeight="true" outlineLevel="0" collapsed="false">
      <c r="A1932" s="6" t="s">
        <v>4544</v>
      </c>
      <c r="B1932" s="6" t="s">
        <v>581</v>
      </c>
      <c r="C1932" s="6" t="s">
        <v>124</v>
      </c>
      <c r="D1932" s="13" t="n">
        <v>44707</v>
      </c>
      <c r="E1932" s="14" t="n">
        <v>936.88</v>
      </c>
      <c r="F1932" s="14" t="n">
        <v>20186.7</v>
      </c>
      <c r="G1932" s="6" t="s">
        <v>2613</v>
      </c>
    </row>
    <row r="1933" customFormat="false" ht="15" hidden="false" customHeight="true" outlineLevel="0" collapsed="false">
      <c r="A1933" s="6" t="s">
        <v>4545</v>
      </c>
      <c r="B1933" s="6" t="s">
        <v>581</v>
      </c>
      <c r="C1933" s="6" t="s">
        <v>124</v>
      </c>
      <c r="D1933" s="13" t="n">
        <v>44714</v>
      </c>
      <c r="E1933" s="14" t="n">
        <v>1290.48</v>
      </c>
      <c r="F1933" s="14" t="n">
        <v>21477.18</v>
      </c>
      <c r="G1933" s="6" t="s">
        <v>2613</v>
      </c>
    </row>
    <row r="1934" customFormat="false" ht="15" hidden="false" customHeight="true" outlineLevel="0" collapsed="false">
      <c r="A1934" s="6" t="s">
        <v>4546</v>
      </c>
      <c r="B1934" s="6" t="s">
        <v>581</v>
      </c>
      <c r="C1934" s="6" t="s">
        <v>124</v>
      </c>
      <c r="D1934" s="13" t="n">
        <v>44721</v>
      </c>
      <c r="E1934" s="14" t="n">
        <v>795.43</v>
      </c>
      <c r="F1934" s="14" t="n">
        <v>22272.61</v>
      </c>
      <c r="G1934" s="6" t="s">
        <v>2623</v>
      </c>
    </row>
    <row r="1935" customFormat="false" ht="15" hidden="false" customHeight="true" outlineLevel="0" collapsed="false">
      <c r="A1935" s="6" t="s">
        <v>4547</v>
      </c>
      <c r="B1935" s="6" t="s">
        <v>581</v>
      </c>
      <c r="C1935" s="6" t="s">
        <v>124</v>
      </c>
      <c r="D1935" s="13" t="n">
        <v>44728</v>
      </c>
      <c r="E1935" s="14" t="n">
        <v>766.05</v>
      </c>
      <c r="F1935" s="14" t="n">
        <v>23038.66</v>
      </c>
      <c r="G1935" s="6" t="s">
        <v>2613</v>
      </c>
    </row>
    <row r="1936" customFormat="false" ht="15" hidden="false" customHeight="true" outlineLevel="0" collapsed="false">
      <c r="A1936" s="6" t="s">
        <v>4548</v>
      </c>
      <c r="B1936" s="6" t="s">
        <v>581</v>
      </c>
      <c r="C1936" s="6" t="s">
        <v>124</v>
      </c>
      <c r="D1936" s="13" t="n">
        <v>44735</v>
      </c>
      <c r="E1936" s="14" t="n">
        <v>1612.26</v>
      </c>
      <c r="F1936" s="14" t="n">
        <v>24650.92</v>
      </c>
      <c r="G1936" s="6" t="s">
        <v>2613</v>
      </c>
    </row>
    <row r="1937" customFormat="false" ht="15" hidden="false" customHeight="true" outlineLevel="0" collapsed="false">
      <c r="A1937" s="6" t="s">
        <v>4549</v>
      </c>
      <c r="B1937" s="6" t="s">
        <v>581</v>
      </c>
      <c r="C1937" s="6" t="s">
        <v>124</v>
      </c>
      <c r="D1937" s="13" t="n">
        <v>44742</v>
      </c>
      <c r="E1937" s="14" t="n">
        <v>1338.07</v>
      </c>
      <c r="F1937" s="14" t="n">
        <v>25988.99</v>
      </c>
      <c r="G1937" s="6" t="s">
        <v>2613</v>
      </c>
    </row>
    <row r="1938" customFormat="false" ht="15" hidden="false" customHeight="true" outlineLevel="0" collapsed="false">
      <c r="A1938" s="6" t="s">
        <v>4550</v>
      </c>
      <c r="B1938" s="6" t="s">
        <v>581</v>
      </c>
      <c r="C1938" s="6" t="s">
        <v>124</v>
      </c>
      <c r="D1938" s="13" t="n">
        <v>44749</v>
      </c>
      <c r="E1938" s="14" t="n">
        <v>1284.48</v>
      </c>
      <c r="F1938" s="14" t="n">
        <v>27273.47</v>
      </c>
      <c r="G1938" s="6" t="s">
        <v>2623</v>
      </c>
    </row>
    <row r="1939" customFormat="false" ht="15" hidden="false" customHeight="true" outlineLevel="0" collapsed="false">
      <c r="A1939" s="6" t="s">
        <v>4551</v>
      </c>
      <c r="B1939" s="6" t="s">
        <v>581</v>
      </c>
      <c r="C1939" s="6" t="s">
        <v>124</v>
      </c>
      <c r="D1939" s="13" t="n">
        <v>44756</v>
      </c>
      <c r="E1939" s="14" t="n">
        <v>773.81</v>
      </c>
      <c r="F1939" s="14" t="n">
        <v>28047.28</v>
      </c>
      <c r="G1939" s="6" t="s">
        <v>2613</v>
      </c>
    </row>
    <row r="1940" customFormat="false" ht="15" hidden="false" customHeight="true" outlineLevel="0" collapsed="false">
      <c r="A1940" s="6" t="s">
        <v>4552</v>
      </c>
      <c r="B1940" s="6" t="s">
        <v>581</v>
      </c>
      <c r="C1940" s="6" t="s">
        <v>124</v>
      </c>
      <c r="D1940" s="13" t="n">
        <v>44763</v>
      </c>
      <c r="E1940" s="14" t="n">
        <v>1210.04</v>
      </c>
      <c r="F1940" s="14" t="n">
        <v>29257.32</v>
      </c>
      <c r="G1940" s="6" t="s">
        <v>2613</v>
      </c>
    </row>
    <row r="1941" customFormat="false" ht="15" hidden="false" customHeight="true" outlineLevel="0" collapsed="false">
      <c r="A1941" s="6" t="s">
        <v>4553</v>
      </c>
      <c r="B1941" s="6" t="s">
        <v>583</v>
      </c>
      <c r="C1941" s="6" t="s">
        <v>124</v>
      </c>
      <c r="D1941" s="13" t="n">
        <v>45450</v>
      </c>
      <c r="E1941" s="14" t="n">
        <v>4574.62</v>
      </c>
      <c r="F1941" s="14" t="n">
        <v>4574.62</v>
      </c>
      <c r="G1941" s="6" t="s">
        <v>2613</v>
      </c>
    </row>
    <row r="1942" customFormat="false" ht="15" hidden="false" customHeight="true" outlineLevel="0" collapsed="false">
      <c r="A1942" s="6" t="s">
        <v>4554</v>
      </c>
      <c r="B1942" s="6" t="s">
        <v>583</v>
      </c>
      <c r="C1942" s="6" t="s">
        <v>124</v>
      </c>
      <c r="D1942" s="13" t="n">
        <v>45457</v>
      </c>
      <c r="E1942" s="14" t="n">
        <v>4545.8</v>
      </c>
      <c r="F1942" s="14" t="n">
        <v>9120.42</v>
      </c>
      <c r="G1942" s="6" t="s">
        <v>2623</v>
      </c>
    </row>
    <row r="1943" customFormat="false" ht="15" hidden="false" customHeight="true" outlineLevel="0" collapsed="false">
      <c r="A1943" s="6" t="s">
        <v>4555</v>
      </c>
      <c r="B1943" s="6" t="s">
        <v>583</v>
      </c>
      <c r="C1943" s="6" t="s">
        <v>124</v>
      </c>
      <c r="D1943" s="13" t="n">
        <v>45464</v>
      </c>
      <c r="E1943" s="14" t="n">
        <v>3533.05</v>
      </c>
      <c r="F1943" s="14" t="n">
        <v>12653.47</v>
      </c>
      <c r="G1943" s="6" t="s">
        <v>2613</v>
      </c>
    </row>
    <row r="1944" customFormat="false" ht="15" hidden="false" customHeight="true" outlineLevel="0" collapsed="false">
      <c r="A1944" s="6" t="s">
        <v>4556</v>
      </c>
      <c r="B1944" s="6" t="s">
        <v>583</v>
      </c>
      <c r="C1944" s="6" t="s">
        <v>124</v>
      </c>
      <c r="D1944" s="13" t="n">
        <v>45471</v>
      </c>
      <c r="E1944" s="14" t="n">
        <v>5829.72</v>
      </c>
      <c r="F1944" s="14" t="n">
        <v>18483.19</v>
      </c>
      <c r="G1944" s="6" t="s">
        <v>2613</v>
      </c>
    </row>
    <row r="1945" customFormat="false" ht="15" hidden="false" customHeight="true" outlineLevel="0" collapsed="false">
      <c r="A1945" s="6" t="s">
        <v>4557</v>
      </c>
      <c r="B1945" s="6" t="s">
        <v>583</v>
      </c>
      <c r="C1945" s="6" t="s">
        <v>124</v>
      </c>
      <c r="D1945" s="13" t="n">
        <v>45478</v>
      </c>
      <c r="E1945" s="14" t="n">
        <v>3484.55</v>
      </c>
      <c r="F1945" s="14" t="n">
        <v>21967.74</v>
      </c>
      <c r="G1945" s="6" t="s">
        <v>2613</v>
      </c>
    </row>
    <row r="1946" customFormat="false" ht="15" hidden="false" customHeight="true" outlineLevel="0" collapsed="false">
      <c r="A1946" s="6" t="s">
        <v>4558</v>
      </c>
      <c r="B1946" s="6" t="s">
        <v>583</v>
      </c>
      <c r="C1946" s="6" t="s">
        <v>124</v>
      </c>
      <c r="D1946" s="13" t="n">
        <v>45485</v>
      </c>
      <c r="E1946" s="14" t="n">
        <v>4049.9</v>
      </c>
      <c r="F1946" s="14" t="n">
        <v>26017.64</v>
      </c>
      <c r="G1946" s="6" t="s">
        <v>2613</v>
      </c>
    </row>
    <row r="1947" customFormat="false" ht="15" hidden="false" customHeight="true" outlineLevel="0" collapsed="false">
      <c r="A1947" s="6" t="s">
        <v>4559</v>
      </c>
      <c r="B1947" s="6" t="s">
        <v>583</v>
      </c>
      <c r="C1947" s="6" t="s">
        <v>124</v>
      </c>
      <c r="D1947" s="13" t="n">
        <v>45492</v>
      </c>
      <c r="E1947" s="14" t="n">
        <v>5771.13</v>
      </c>
      <c r="F1947" s="14" t="n">
        <v>31788.77</v>
      </c>
      <c r="G1947" s="6" t="s">
        <v>2613</v>
      </c>
    </row>
    <row r="1948" customFormat="false" ht="15" hidden="false" customHeight="true" outlineLevel="0" collapsed="false">
      <c r="A1948" s="6" t="s">
        <v>4560</v>
      </c>
      <c r="B1948" s="6" t="s">
        <v>583</v>
      </c>
      <c r="C1948" s="6" t="s">
        <v>124</v>
      </c>
      <c r="D1948" s="13" t="n">
        <v>45499</v>
      </c>
      <c r="E1948" s="14" t="n">
        <v>4728.76</v>
      </c>
      <c r="F1948" s="14" t="n">
        <v>36517.53</v>
      </c>
      <c r="G1948" s="6" t="s">
        <v>2613</v>
      </c>
    </row>
    <row r="1949" customFormat="false" ht="15" hidden="false" customHeight="true" outlineLevel="0" collapsed="false">
      <c r="A1949" s="6" t="s">
        <v>4561</v>
      </c>
      <c r="B1949" s="6" t="s">
        <v>583</v>
      </c>
      <c r="C1949" s="6" t="s">
        <v>124</v>
      </c>
      <c r="D1949" s="13" t="n">
        <v>45506</v>
      </c>
      <c r="E1949" s="14" t="n">
        <v>4914.92</v>
      </c>
      <c r="F1949" s="14" t="n">
        <v>41432.45</v>
      </c>
      <c r="G1949" s="6" t="s">
        <v>2613</v>
      </c>
    </row>
    <row r="1950" customFormat="false" ht="15" hidden="false" customHeight="true" outlineLevel="0" collapsed="false">
      <c r="A1950" s="6" t="s">
        <v>4562</v>
      </c>
      <c r="B1950" s="6" t="s">
        <v>583</v>
      </c>
      <c r="C1950" s="6" t="s">
        <v>124</v>
      </c>
      <c r="D1950" s="13" t="n">
        <v>45513</v>
      </c>
      <c r="E1950" s="14" t="n">
        <v>6215.21</v>
      </c>
      <c r="F1950" s="14" t="n">
        <v>47647.66</v>
      </c>
      <c r="G1950" s="6" t="s">
        <v>2613</v>
      </c>
    </row>
    <row r="1951" customFormat="false" ht="15" hidden="false" customHeight="true" outlineLevel="0" collapsed="false">
      <c r="A1951" s="6" t="s">
        <v>4563</v>
      </c>
      <c r="B1951" s="6" t="s">
        <v>585</v>
      </c>
      <c r="C1951" s="6" t="s">
        <v>116</v>
      </c>
      <c r="D1951" s="13" t="n">
        <v>44831</v>
      </c>
      <c r="E1951" s="14" t="n">
        <v>3169.58</v>
      </c>
      <c r="F1951" s="14" t="n">
        <v>3169.58</v>
      </c>
      <c r="G1951" s="6" t="s">
        <v>2623</v>
      </c>
    </row>
    <row r="1952" customFormat="false" ht="15" hidden="false" customHeight="true" outlineLevel="0" collapsed="false">
      <c r="A1952" s="6" t="s">
        <v>4564</v>
      </c>
      <c r="B1952" s="6" t="s">
        <v>585</v>
      </c>
      <c r="C1952" s="6" t="s">
        <v>116</v>
      </c>
      <c r="D1952" s="13" t="n">
        <v>44838</v>
      </c>
      <c r="E1952" s="14" t="n">
        <v>3486.71</v>
      </c>
      <c r="F1952" s="14" t="n">
        <v>6656.29</v>
      </c>
      <c r="G1952" s="6" t="s">
        <v>2613</v>
      </c>
    </row>
    <row r="1953" customFormat="false" ht="15" hidden="false" customHeight="true" outlineLevel="0" collapsed="false">
      <c r="A1953" s="6" t="s">
        <v>4565</v>
      </c>
      <c r="B1953" s="6" t="s">
        <v>585</v>
      </c>
      <c r="C1953" s="6" t="s">
        <v>116</v>
      </c>
      <c r="D1953" s="13" t="n">
        <v>44845</v>
      </c>
      <c r="E1953" s="14" t="n">
        <v>1800.03</v>
      </c>
      <c r="F1953" s="14" t="n">
        <v>8456.32</v>
      </c>
      <c r="G1953" s="6" t="s">
        <v>2613</v>
      </c>
    </row>
    <row r="1954" customFormat="false" ht="15" hidden="false" customHeight="true" outlineLevel="0" collapsed="false">
      <c r="A1954" s="6" t="s">
        <v>4566</v>
      </c>
      <c r="B1954" s="6" t="s">
        <v>585</v>
      </c>
      <c r="C1954" s="6" t="s">
        <v>116</v>
      </c>
      <c r="D1954" s="13" t="n">
        <v>44852</v>
      </c>
      <c r="E1954" s="14" t="n">
        <v>2352.38</v>
      </c>
      <c r="F1954" s="14" t="n">
        <v>10808.7</v>
      </c>
      <c r="G1954" s="6" t="s">
        <v>2613</v>
      </c>
    </row>
    <row r="1955" customFormat="false" ht="15" hidden="false" customHeight="true" outlineLevel="0" collapsed="false">
      <c r="A1955" s="6" t="s">
        <v>4567</v>
      </c>
      <c r="B1955" s="6" t="s">
        <v>585</v>
      </c>
      <c r="C1955" s="6" t="s">
        <v>116</v>
      </c>
      <c r="D1955" s="13" t="n">
        <v>44859</v>
      </c>
      <c r="E1955" s="14" t="n">
        <v>2997.9</v>
      </c>
      <c r="F1955" s="14" t="n">
        <v>13806.6</v>
      </c>
      <c r="G1955" s="6" t="s">
        <v>2613</v>
      </c>
    </row>
    <row r="1956" customFormat="false" ht="15" hidden="false" customHeight="true" outlineLevel="0" collapsed="false">
      <c r="A1956" s="6" t="s">
        <v>4568</v>
      </c>
      <c r="B1956" s="6" t="s">
        <v>585</v>
      </c>
      <c r="C1956" s="6" t="s">
        <v>116</v>
      </c>
      <c r="D1956" s="13" t="n">
        <v>44866</v>
      </c>
      <c r="E1956" s="14" t="n">
        <v>2969.95</v>
      </c>
      <c r="F1956" s="14" t="n">
        <v>16776.55</v>
      </c>
      <c r="G1956" s="6" t="s">
        <v>2613</v>
      </c>
    </row>
    <row r="1957" customFormat="false" ht="15" hidden="false" customHeight="true" outlineLevel="0" collapsed="false">
      <c r="A1957" s="6" t="s">
        <v>4569</v>
      </c>
      <c r="B1957" s="6" t="s">
        <v>585</v>
      </c>
      <c r="C1957" s="6" t="s">
        <v>116</v>
      </c>
      <c r="D1957" s="13" t="n">
        <v>44873</v>
      </c>
      <c r="E1957" s="14" t="n">
        <v>3527.17</v>
      </c>
      <c r="F1957" s="14" t="n">
        <v>20303.72</v>
      </c>
      <c r="G1957" s="6" t="s">
        <v>2623</v>
      </c>
    </row>
    <row r="1958" customFormat="false" ht="15" hidden="false" customHeight="true" outlineLevel="0" collapsed="false">
      <c r="A1958" s="6" t="s">
        <v>4570</v>
      </c>
      <c r="B1958" s="6" t="s">
        <v>585</v>
      </c>
      <c r="C1958" s="6" t="s">
        <v>116</v>
      </c>
      <c r="D1958" s="13" t="n">
        <v>44880</v>
      </c>
      <c r="E1958" s="14" t="n">
        <v>2240.95</v>
      </c>
      <c r="F1958" s="14" t="n">
        <v>22544.67</v>
      </c>
      <c r="G1958" s="6" t="s">
        <v>2613</v>
      </c>
    </row>
    <row r="1959" customFormat="false" ht="15" hidden="false" customHeight="true" outlineLevel="0" collapsed="false">
      <c r="A1959" s="6" t="s">
        <v>4571</v>
      </c>
      <c r="B1959" s="6" t="s">
        <v>585</v>
      </c>
      <c r="C1959" s="6" t="s">
        <v>116</v>
      </c>
      <c r="D1959" s="13" t="n">
        <v>44887</v>
      </c>
      <c r="E1959" s="14" t="n">
        <v>1635.1</v>
      </c>
      <c r="F1959" s="14" t="n">
        <v>24179.77</v>
      </c>
      <c r="G1959" s="6" t="s">
        <v>2613</v>
      </c>
    </row>
    <row r="1960" customFormat="false" ht="15" hidden="false" customHeight="true" outlineLevel="0" collapsed="false">
      <c r="A1960" s="6" t="s">
        <v>4572</v>
      </c>
      <c r="B1960" s="6" t="s">
        <v>585</v>
      </c>
      <c r="C1960" s="6" t="s">
        <v>116</v>
      </c>
      <c r="D1960" s="13" t="n">
        <v>44894</v>
      </c>
      <c r="E1960" s="14" t="n">
        <v>2374.01</v>
      </c>
      <c r="F1960" s="14" t="n">
        <v>26553.78</v>
      </c>
      <c r="G1960" s="6" t="s">
        <v>2613</v>
      </c>
    </row>
    <row r="1961" customFormat="false" ht="15" hidden="false" customHeight="true" outlineLevel="0" collapsed="false">
      <c r="A1961" s="6" t="s">
        <v>4573</v>
      </c>
      <c r="B1961" s="6" t="s">
        <v>587</v>
      </c>
      <c r="C1961" s="6" t="s">
        <v>124</v>
      </c>
      <c r="D1961" s="13" t="n">
        <v>44773</v>
      </c>
      <c r="E1961" s="14" t="n">
        <v>622.5</v>
      </c>
      <c r="F1961" s="14" t="n">
        <v>622.5</v>
      </c>
      <c r="G1961" s="6" t="s">
        <v>2613</v>
      </c>
    </row>
    <row r="1962" customFormat="false" ht="15" hidden="false" customHeight="true" outlineLevel="0" collapsed="false">
      <c r="A1962" s="6" t="s">
        <v>4574</v>
      </c>
      <c r="B1962" s="6" t="s">
        <v>587</v>
      </c>
      <c r="C1962" s="6" t="s">
        <v>124</v>
      </c>
      <c r="D1962" s="13" t="n">
        <v>44780</v>
      </c>
      <c r="E1962" s="14" t="n">
        <v>707.71</v>
      </c>
      <c r="F1962" s="14" t="n">
        <v>1330.21</v>
      </c>
      <c r="G1962" s="6" t="s">
        <v>2613</v>
      </c>
    </row>
    <row r="1963" customFormat="false" ht="15" hidden="false" customHeight="true" outlineLevel="0" collapsed="false">
      <c r="A1963" s="6" t="s">
        <v>4575</v>
      </c>
      <c r="B1963" s="6" t="s">
        <v>587</v>
      </c>
      <c r="C1963" s="6" t="s">
        <v>124</v>
      </c>
      <c r="D1963" s="13" t="n">
        <v>44787</v>
      </c>
      <c r="E1963" s="14" t="n">
        <v>524.03</v>
      </c>
      <c r="F1963" s="14" t="n">
        <v>1854.24</v>
      </c>
      <c r="G1963" s="6" t="s">
        <v>2613</v>
      </c>
    </row>
    <row r="1964" customFormat="false" ht="15" hidden="false" customHeight="true" outlineLevel="0" collapsed="false">
      <c r="A1964" s="6" t="s">
        <v>4576</v>
      </c>
      <c r="B1964" s="6" t="s">
        <v>587</v>
      </c>
      <c r="C1964" s="6" t="s">
        <v>124</v>
      </c>
      <c r="D1964" s="13" t="n">
        <v>44794</v>
      </c>
      <c r="E1964" s="14" t="n">
        <v>475.22</v>
      </c>
      <c r="F1964" s="14" t="n">
        <v>2329.46</v>
      </c>
      <c r="G1964" s="6" t="s">
        <v>2613</v>
      </c>
    </row>
    <row r="1965" customFormat="false" ht="15" hidden="false" customHeight="true" outlineLevel="0" collapsed="false">
      <c r="A1965" s="6" t="s">
        <v>4577</v>
      </c>
      <c r="B1965" s="6" t="s">
        <v>587</v>
      </c>
      <c r="C1965" s="6" t="s">
        <v>124</v>
      </c>
      <c r="D1965" s="13" t="n">
        <v>44801</v>
      </c>
      <c r="E1965" s="14" t="n">
        <v>791.18</v>
      </c>
      <c r="F1965" s="14" t="n">
        <v>3120.64</v>
      </c>
      <c r="G1965" s="6" t="s">
        <v>2613</v>
      </c>
    </row>
    <row r="1966" customFormat="false" ht="15" hidden="false" customHeight="true" outlineLevel="0" collapsed="false">
      <c r="A1966" s="6" t="s">
        <v>4578</v>
      </c>
      <c r="B1966" s="6" t="s">
        <v>589</v>
      </c>
      <c r="C1966" s="6" t="s">
        <v>112</v>
      </c>
      <c r="D1966" s="13" t="n">
        <v>45781</v>
      </c>
      <c r="E1966" s="14" t="n">
        <v>4635.18</v>
      </c>
      <c r="F1966" s="14" t="n">
        <v>4635.18</v>
      </c>
      <c r="G1966" s="6" t="s">
        <v>2613</v>
      </c>
    </row>
    <row r="1967" customFormat="false" ht="15" hidden="false" customHeight="true" outlineLevel="0" collapsed="false">
      <c r="A1967" s="6" t="s">
        <v>4579</v>
      </c>
      <c r="B1967" s="6" t="s">
        <v>589</v>
      </c>
      <c r="C1967" s="6" t="s">
        <v>112</v>
      </c>
      <c r="D1967" s="13" t="n">
        <v>45788</v>
      </c>
      <c r="E1967" s="14" t="n">
        <v>2867.84</v>
      </c>
      <c r="F1967" s="14" t="n">
        <v>7503.02</v>
      </c>
      <c r="G1967" s="6" t="s">
        <v>2613</v>
      </c>
    </row>
    <row r="1968" customFormat="false" ht="15" hidden="false" customHeight="true" outlineLevel="0" collapsed="false">
      <c r="A1968" s="6" t="s">
        <v>4580</v>
      </c>
      <c r="B1968" s="6" t="s">
        <v>589</v>
      </c>
      <c r="C1968" s="6" t="s">
        <v>112</v>
      </c>
      <c r="D1968" s="13" t="n">
        <v>45795</v>
      </c>
      <c r="E1968" s="14" t="n">
        <v>4188</v>
      </c>
      <c r="F1968" s="14" t="n">
        <v>11691.02</v>
      </c>
      <c r="G1968" s="6" t="s">
        <v>2613</v>
      </c>
    </row>
    <row r="1969" customFormat="false" ht="15" hidden="false" customHeight="true" outlineLevel="0" collapsed="false">
      <c r="A1969" s="6" t="s">
        <v>4581</v>
      </c>
      <c r="B1969" s="6" t="s">
        <v>589</v>
      </c>
      <c r="C1969" s="6" t="s">
        <v>112</v>
      </c>
      <c r="D1969" s="13" t="n">
        <v>45802</v>
      </c>
      <c r="E1969" s="14" t="n">
        <v>4643.96</v>
      </c>
      <c r="F1969" s="14" t="n">
        <v>16334.98</v>
      </c>
      <c r="G1969" s="6" t="s">
        <v>2613</v>
      </c>
    </row>
    <row r="1970" customFormat="false" ht="15" hidden="false" customHeight="true" outlineLevel="0" collapsed="false">
      <c r="A1970" s="6" t="s">
        <v>4582</v>
      </c>
      <c r="B1970" s="6" t="s">
        <v>589</v>
      </c>
      <c r="C1970" s="6" t="s">
        <v>112</v>
      </c>
      <c r="D1970" s="13" t="n">
        <v>45809</v>
      </c>
      <c r="E1970" s="14" t="n">
        <v>3854.56</v>
      </c>
      <c r="F1970" s="14" t="n">
        <v>20189.54</v>
      </c>
      <c r="G1970" s="6" t="s">
        <v>2613</v>
      </c>
    </row>
    <row r="1971" customFormat="false" ht="15" hidden="false" customHeight="true" outlineLevel="0" collapsed="false">
      <c r="A1971" s="6" t="s">
        <v>4583</v>
      </c>
      <c r="B1971" s="6" t="s">
        <v>589</v>
      </c>
      <c r="C1971" s="6" t="s">
        <v>112</v>
      </c>
      <c r="D1971" s="13" t="n">
        <v>45816</v>
      </c>
      <c r="E1971" s="14" t="n">
        <v>3443.25</v>
      </c>
      <c r="F1971" s="14" t="n">
        <v>23632.79</v>
      </c>
      <c r="G1971" s="6" t="s">
        <v>2613</v>
      </c>
    </row>
    <row r="1972" customFormat="false" ht="15" hidden="false" customHeight="true" outlineLevel="0" collapsed="false">
      <c r="A1972" s="6" t="s">
        <v>4584</v>
      </c>
      <c r="B1972" s="6" t="s">
        <v>589</v>
      </c>
      <c r="C1972" s="6" t="s">
        <v>112</v>
      </c>
      <c r="D1972" s="13" t="n">
        <v>45823</v>
      </c>
      <c r="E1972" s="14" t="n">
        <v>3595.43</v>
      </c>
      <c r="F1972" s="14" t="n">
        <v>27228.22</v>
      </c>
      <c r="G1972" s="6" t="s">
        <v>2613</v>
      </c>
    </row>
    <row r="1973" customFormat="false" ht="15" hidden="false" customHeight="true" outlineLevel="0" collapsed="false">
      <c r="A1973" s="6" t="s">
        <v>4585</v>
      </c>
      <c r="B1973" s="6" t="s">
        <v>589</v>
      </c>
      <c r="C1973" s="6" t="s">
        <v>112</v>
      </c>
      <c r="D1973" s="13" t="n">
        <v>45830</v>
      </c>
      <c r="E1973" s="14" t="n">
        <v>2780.78</v>
      </c>
      <c r="F1973" s="14" t="n">
        <v>30009</v>
      </c>
      <c r="G1973" s="6" t="s">
        <v>2623</v>
      </c>
    </row>
    <row r="1974" customFormat="false" ht="15" hidden="false" customHeight="true" outlineLevel="0" collapsed="false">
      <c r="A1974" s="6" t="s">
        <v>4586</v>
      </c>
      <c r="B1974" s="6" t="s">
        <v>589</v>
      </c>
      <c r="C1974" s="6" t="s">
        <v>112</v>
      </c>
      <c r="D1974" s="13" t="n">
        <v>45837</v>
      </c>
      <c r="E1974" s="14" t="n">
        <v>3607.69</v>
      </c>
      <c r="F1974" s="14" t="n">
        <v>33616.69</v>
      </c>
      <c r="G1974" s="6" t="s">
        <v>2613</v>
      </c>
    </row>
    <row r="1975" customFormat="false" ht="15" hidden="false" customHeight="true" outlineLevel="0" collapsed="false">
      <c r="A1975" s="6" t="s">
        <v>4587</v>
      </c>
      <c r="B1975" s="6" t="s">
        <v>591</v>
      </c>
      <c r="C1975" s="6" t="s">
        <v>116</v>
      </c>
      <c r="D1975" s="13" t="n">
        <v>45457</v>
      </c>
      <c r="E1975" s="14" t="n">
        <v>1133.82</v>
      </c>
      <c r="F1975" s="14" t="n">
        <v>1133.82</v>
      </c>
      <c r="G1975" s="6" t="s">
        <v>2613</v>
      </c>
    </row>
    <row r="1976" customFormat="false" ht="15" hidden="false" customHeight="true" outlineLevel="0" collapsed="false">
      <c r="A1976" s="6" t="s">
        <v>4588</v>
      </c>
      <c r="B1976" s="6" t="s">
        <v>591</v>
      </c>
      <c r="C1976" s="6" t="s">
        <v>116</v>
      </c>
      <c r="D1976" s="13" t="n">
        <v>45464</v>
      </c>
      <c r="E1976" s="14" t="n">
        <v>1697.46</v>
      </c>
      <c r="F1976" s="14" t="n">
        <v>2831.28</v>
      </c>
      <c r="G1976" s="6" t="s">
        <v>2613</v>
      </c>
    </row>
    <row r="1977" customFormat="false" ht="15" hidden="false" customHeight="true" outlineLevel="0" collapsed="false">
      <c r="A1977" s="6" t="s">
        <v>4589</v>
      </c>
      <c r="B1977" s="6" t="s">
        <v>591</v>
      </c>
      <c r="C1977" s="6" t="s">
        <v>116</v>
      </c>
      <c r="D1977" s="13" t="n">
        <v>45471</v>
      </c>
      <c r="E1977" s="14" t="n">
        <v>2094.98</v>
      </c>
      <c r="F1977" s="14" t="n">
        <v>4926.26</v>
      </c>
      <c r="G1977" s="6" t="s">
        <v>2613</v>
      </c>
    </row>
    <row r="1978" customFormat="false" ht="15" hidden="false" customHeight="true" outlineLevel="0" collapsed="false">
      <c r="A1978" s="6" t="s">
        <v>4590</v>
      </c>
      <c r="B1978" s="6" t="s">
        <v>591</v>
      </c>
      <c r="C1978" s="6" t="s">
        <v>116</v>
      </c>
      <c r="D1978" s="13" t="n">
        <v>45478</v>
      </c>
      <c r="E1978" s="14" t="n">
        <v>2231.75</v>
      </c>
      <c r="F1978" s="14" t="n">
        <v>7158.01</v>
      </c>
      <c r="G1978" s="6" t="s">
        <v>2613</v>
      </c>
    </row>
    <row r="1979" customFormat="false" ht="15" hidden="false" customHeight="true" outlineLevel="0" collapsed="false">
      <c r="A1979" s="6" t="s">
        <v>4591</v>
      </c>
      <c r="B1979" s="6" t="s">
        <v>591</v>
      </c>
      <c r="C1979" s="6" t="s">
        <v>116</v>
      </c>
      <c r="D1979" s="13" t="n">
        <v>45485</v>
      </c>
      <c r="E1979" s="14" t="n">
        <v>2254.24</v>
      </c>
      <c r="F1979" s="14" t="n">
        <v>9412.25</v>
      </c>
      <c r="G1979" s="6" t="s">
        <v>2613</v>
      </c>
    </row>
    <row r="1980" customFormat="false" ht="15" hidden="false" customHeight="true" outlineLevel="0" collapsed="false">
      <c r="A1980" s="6" t="s">
        <v>4592</v>
      </c>
      <c r="B1980" s="6" t="s">
        <v>591</v>
      </c>
      <c r="C1980" s="6" t="s">
        <v>116</v>
      </c>
      <c r="D1980" s="13" t="n">
        <v>45492</v>
      </c>
      <c r="E1980" s="14" t="n">
        <v>1937.48</v>
      </c>
      <c r="F1980" s="14" t="n">
        <v>11349.73</v>
      </c>
      <c r="G1980" s="6" t="s">
        <v>2613</v>
      </c>
    </row>
    <row r="1981" customFormat="false" ht="15" hidden="false" customHeight="true" outlineLevel="0" collapsed="false">
      <c r="A1981" s="6" t="s">
        <v>4593</v>
      </c>
      <c r="B1981" s="6" t="s">
        <v>591</v>
      </c>
      <c r="C1981" s="6" t="s">
        <v>116</v>
      </c>
      <c r="D1981" s="13" t="n">
        <v>45499</v>
      </c>
      <c r="E1981" s="14" t="n">
        <v>1423.69</v>
      </c>
      <c r="F1981" s="14" t="n">
        <v>12773.42</v>
      </c>
      <c r="G1981" s="6" t="s">
        <v>2613</v>
      </c>
    </row>
    <row r="1982" customFormat="false" ht="15" hidden="false" customHeight="true" outlineLevel="0" collapsed="false">
      <c r="A1982" s="6" t="s">
        <v>4594</v>
      </c>
      <c r="B1982" s="6" t="s">
        <v>591</v>
      </c>
      <c r="C1982" s="6" t="s">
        <v>116</v>
      </c>
      <c r="D1982" s="13" t="n">
        <v>45506</v>
      </c>
      <c r="E1982" s="14" t="n">
        <v>1226.43</v>
      </c>
      <c r="F1982" s="14" t="n">
        <v>13999.85</v>
      </c>
      <c r="G1982" s="6" t="s">
        <v>2613</v>
      </c>
    </row>
    <row r="1983" customFormat="false" ht="15" hidden="false" customHeight="true" outlineLevel="0" collapsed="false">
      <c r="A1983" s="6" t="s">
        <v>4595</v>
      </c>
      <c r="B1983" s="6" t="s">
        <v>593</v>
      </c>
      <c r="C1983" s="6" t="s">
        <v>131</v>
      </c>
      <c r="D1983" s="13" t="n">
        <v>45433</v>
      </c>
      <c r="E1983" s="14" t="n">
        <v>7026.12</v>
      </c>
      <c r="F1983" s="14" t="n">
        <v>7026.12</v>
      </c>
      <c r="G1983" s="6" t="s">
        <v>2613</v>
      </c>
    </row>
    <row r="1984" customFormat="false" ht="15" hidden="false" customHeight="true" outlineLevel="0" collapsed="false">
      <c r="A1984" s="6" t="s">
        <v>4596</v>
      </c>
      <c r="B1984" s="6" t="s">
        <v>593</v>
      </c>
      <c r="C1984" s="6" t="s">
        <v>131</v>
      </c>
      <c r="D1984" s="13" t="n">
        <v>45440</v>
      </c>
      <c r="E1984" s="14" t="n">
        <v>7791.34</v>
      </c>
      <c r="F1984" s="14" t="n">
        <v>14817.46</v>
      </c>
      <c r="G1984" s="6" t="s">
        <v>2613</v>
      </c>
    </row>
    <row r="1985" customFormat="false" ht="15" hidden="false" customHeight="true" outlineLevel="0" collapsed="false">
      <c r="A1985" s="6" t="s">
        <v>4597</v>
      </c>
      <c r="B1985" s="6" t="s">
        <v>593</v>
      </c>
      <c r="C1985" s="6" t="s">
        <v>131</v>
      </c>
      <c r="D1985" s="13" t="n">
        <v>45447</v>
      </c>
      <c r="E1985" s="14" t="n">
        <v>10884.04</v>
      </c>
      <c r="F1985" s="14" t="n">
        <v>25701.5</v>
      </c>
      <c r="G1985" s="6" t="s">
        <v>2613</v>
      </c>
    </row>
    <row r="1986" customFormat="false" ht="15" hidden="false" customHeight="true" outlineLevel="0" collapsed="false">
      <c r="A1986" s="6" t="s">
        <v>4598</v>
      </c>
      <c r="B1986" s="6" t="s">
        <v>593</v>
      </c>
      <c r="C1986" s="6" t="s">
        <v>131</v>
      </c>
      <c r="D1986" s="13" t="n">
        <v>45454</v>
      </c>
      <c r="E1986" s="14" t="n">
        <v>12930.8</v>
      </c>
      <c r="F1986" s="14" t="n">
        <v>38632.3</v>
      </c>
      <c r="G1986" s="6" t="s">
        <v>2613</v>
      </c>
    </row>
    <row r="1987" customFormat="false" ht="15" hidden="false" customHeight="true" outlineLevel="0" collapsed="false">
      <c r="A1987" s="6" t="s">
        <v>4599</v>
      </c>
      <c r="B1987" s="6" t="s">
        <v>595</v>
      </c>
      <c r="C1987" s="6" t="s">
        <v>131</v>
      </c>
      <c r="D1987" s="13" t="n">
        <v>45915</v>
      </c>
      <c r="E1987" s="14" t="n">
        <v>530.62</v>
      </c>
      <c r="F1987" s="14" t="n">
        <v>530.62</v>
      </c>
      <c r="G1987" s="6" t="s">
        <v>2613</v>
      </c>
    </row>
    <row r="1988" customFormat="false" ht="15" hidden="false" customHeight="true" outlineLevel="0" collapsed="false">
      <c r="A1988" s="6" t="s">
        <v>4600</v>
      </c>
      <c r="B1988" s="6" t="s">
        <v>595</v>
      </c>
      <c r="C1988" s="6" t="s">
        <v>131</v>
      </c>
      <c r="D1988" s="13" t="n">
        <v>45922</v>
      </c>
      <c r="E1988" s="14" t="n">
        <v>329.11</v>
      </c>
      <c r="F1988" s="14" t="n">
        <v>859.73</v>
      </c>
      <c r="G1988" s="6" t="s">
        <v>2613</v>
      </c>
    </row>
    <row r="1989" customFormat="false" ht="15" hidden="false" customHeight="true" outlineLevel="0" collapsed="false">
      <c r="A1989" s="6" t="s">
        <v>4601</v>
      </c>
      <c r="B1989" s="6" t="s">
        <v>595</v>
      </c>
      <c r="C1989" s="6" t="s">
        <v>131</v>
      </c>
      <c r="D1989" s="13" t="n">
        <v>45929</v>
      </c>
      <c r="E1989" s="14" t="n">
        <v>417.29</v>
      </c>
      <c r="F1989" s="14" t="n">
        <v>1277.02</v>
      </c>
      <c r="G1989" s="6" t="s">
        <v>2613</v>
      </c>
    </row>
    <row r="1990" customFormat="false" ht="15" hidden="false" customHeight="true" outlineLevel="0" collapsed="false">
      <c r="A1990" s="6" t="s">
        <v>4602</v>
      </c>
      <c r="B1990" s="6" t="s">
        <v>595</v>
      </c>
      <c r="C1990" s="6" t="s">
        <v>131</v>
      </c>
      <c r="D1990" s="13" t="n">
        <v>45936</v>
      </c>
      <c r="E1990" s="14" t="n">
        <v>472.02</v>
      </c>
      <c r="F1990" s="14" t="n">
        <v>1749.04</v>
      </c>
      <c r="G1990" s="6" t="s">
        <v>2613</v>
      </c>
    </row>
    <row r="1991" customFormat="false" ht="15" hidden="false" customHeight="true" outlineLevel="0" collapsed="false">
      <c r="A1991" s="6" t="s">
        <v>4603</v>
      </c>
      <c r="B1991" s="6" t="s">
        <v>595</v>
      </c>
      <c r="C1991" s="6" t="s">
        <v>131</v>
      </c>
      <c r="D1991" s="13" t="n">
        <v>45943</v>
      </c>
      <c r="E1991" s="14" t="n">
        <v>509.03</v>
      </c>
      <c r="F1991" s="14" t="n">
        <v>2258.07</v>
      </c>
      <c r="G1991" s="6" t="s">
        <v>2613</v>
      </c>
    </row>
    <row r="1992" customFormat="false" ht="15" hidden="false" customHeight="true" outlineLevel="0" collapsed="false">
      <c r="A1992" s="6" t="s">
        <v>4604</v>
      </c>
      <c r="B1992" s="6" t="s">
        <v>595</v>
      </c>
      <c r="C1992" s="6" t="s">
        <v>131</v>
      </c>
      <c r="D1992" s="13" t="n">
        <v>45950</v>
      </c>
      <c r="E1992" s="14" t="n">
        <v>416.02</v>
      </c>
      <c r="F1992" s="14" t="n">
        <v>2674.09</v>
      </c>
      <c r="G1992" s="6" t="s">
        <v>2623</v>
      </c>
    </row>
    <row r="1993" customFormat="false" ht="15" hidden="false" customHeight="true" outlineLevel="0" collapsed="false">
      <c r="A1993" s="6" t="s">
        <v>4605</v>
      </c>
      <c r="B1993" s="6" t="s">
        <v>595</v>
      </c>
      <c r="C1993" s="6" t="s">
        <v>131</v>
      </c>
      <c r="D1993" s="13" t="n">
        <v>45957</v>
      </c>
      <c r="E1993" s="14" t="n">
        <v>450.52</v>
      </c>
      <c r="F1993" s="14" t="n">
        <v>3124.61</v>
      </c>
      <c r="G1993" s="6" t="s">
        <v>2613</v>
      </c>
    </row>
    <row r="1994" customFormat="false" ht="15" hidden="false" customHeight="true" outlineLevel="0" collapsed="false">
      <c r="A1994" s="6" t="s">
        <v>4606</v>
      </c>
      <c r="B1994" s="6" t="s">
        <v>595</v>
      </c>
      <c r="C1994" s="6" t="s">
        <v>131</v>
      </c>
      <c r="D1994" s="13" t="n">
        <v>45964</v>
      </c>
      <c r="E1994" s="14" t="n">
        <v>354.93</v>
      </c>
      <c r="F1994" s="14" t="n">
        <v>3479.54</v>
      </c>
      <c r="G1994" s="6" t="s">
        <v>2613</v>
      </c>
    </row>
    <row r="1995" customFormat="false" ht="15" hidden="false" customHeight="true" outlineLevel="0" collapsed="false">
      <c r="A1995" s="6" t="s">
        <v>4607</v>
      </c>
      <c r="B1995" s="6" t="s">
        <v>595</v>
      </c>
      <c r="C1995" s="6" t="s">
        <v>131</v>
      </c>
      <c r="D1995" s="13" t="n">
        <v>45971</v>
      </c>
      <c r="E1995" s="14" t="n">
        <v>496.39</v>
      </c>
      <c r="F1995" s="14" t="n">
        <v>3975.93</v>
      </c>
      <c r="G1995" s="6" t="s">
        <v>2613</v>
      </c>
    </row>
    <row r="1996" customFormat="false" ht="15" hidden="false" customHeight="true" outlineLevel="0" collapsed="false">
      <c r="A1996" s="6" t="s">
        <v>4608</v>
      </c>
      <c r="B1996" s="6" t="s">
        <v>595</v>
      </c>
      <c r="C1996" s="6" t="s">
        <v>131</v>
      </c>
      <c r="D1996" s="13" t="n">
        <v>45978</v>
      </c>
      <c r="E1996" s="14" t="n">
        <v>498.63</v>
      </c>
      <c r="F1996" s="14" t="n">
        <v>4474.56</v>
      </c>
      <c r="G1996" s="6" t="s">
        <v>2613</v>
      </c>
    </row>
    <row r="1997" customFormat="false" ht="15" hidden="false" customHeight="true" outlineLevel="0" collapsed="false">
      <c r="A1997" s="6" t="s">
        <v>4609</v>
      </c>
      <c r="B1997" s="6" t="s">
        <v>595</v>
      </c>
      <c r="C1997" s="6" t="s">
        <v>131</v>
      </c>
      <c r="D1997" s="13" t="n">
        <v>45985</v>
      </c>
      <c r="E1997" s="14" t="n">
        <v>323.09</v>
      </c>
      <c r="F1997" s="14" t="n">
        <v>4797.65</v>
      </c>
      <c r="G1997" s="6" t="s">
        <v>2613</v>
      </c>
    </row>
    <row r="1998" customFormat="false" ht="15" hidden="false" customHeight="true" outlineLevel="0" collapsed="false">
      <c r="A1998" s="6" t="s">
        <v>4610</v>
      </c>
      <c r="B1998" s="6" t="s">
        <v>595</v>
      </c>
      <c r="C1998" s="6" t="s">
        <v>131</v>
      </c>
      <c r="D1998" s="13" t="n">
        <v>45992</v>
      </c>
      <c r="E1998" s="14" t="n">
        <v>321.79</v>
      </c>
      <c r="F1998" s="14" t="n">
        <v>5119.44</v>
      </c>
      <c r="G1998" s="6" t="s">
        <v>2613</v>
      </c>
    </row>
    <row r="1999" customFormat="false" ht="15" hidden="false" customHeight="true" outlineLevel="0" collapsed="false">
      <c r="A1999" s="6" t="s">
        <v>4611</v>
      </c>
      <c r="B1999" s="6" t="s">
        <v>595</v>
      </c>
      <c r="C1999" s="6" t="s">
        <v>131</v>
      </c>
      <c r="D1999" s="13" t="n">
        <v>45999</v>
      </c>
      <c r="E1999" s="14" t="n">
        <v>386.63</v>
      </c>
      <c r="F1999" s="14" t="n">
        <v>5506.07</v>
      </c>
      <c r="G1999" s="6" t="s">
        <v>2613</v>
      </c>
    </row>
    <row r="2000" customFormat="false" ht="15" hidden="false" customHeight="true" outlineLevel="0" collapsed="false">
      <c r="A2000" s="6" t="s">
        <v>4612</v>
      </c>
      <c r="B2000" s="6" t="s">
        <v>595</v>
      </c>
      <c r="C2000" s="6" t="s">
        <v>131</v>
      </c>
      <c r="D2000" s="13" t="n">
        <v>46006</v>
      </c>
      <c r="E2000" s="14" t="n">
        <v>268.99</v>
      </c>
      <c r="F2000" s="14" t="n">
        <v>5775.06</v>
      </c>
      <c r="G2000" s="6" t="s">
        <v>2613</v>
      </c>
    </row>
    <row r="2001" customFormat="false" ht="15" hidden="false" customHeight="true" outlineLevel="0" collapsed="false">
      <c r="A2001" s="6" t="s">
        <v>4613</v>
      </c>
      <c r="B2001" s="6" t="s">
        <v>595</v>
      </c>
      <c r="C2001" s="6" t="s">
        <v>131</v>
      </c>
      <c r="D2001" s="13" t="n">
        <v>46013</v>
      </c>
      <c r="E2001" s="14" t="n">
        <v>483.83</v>
      </c>
      <c r="F2001" s="14" t="n">
        <v>6258.89</v>
      </c>
      <c r="G2001" s="6" t="s">
        <v>2613</v>
      </c>
    </row>
    <row r="2002" customFormat="false" ht="15" hidden="false" customHeight="true" outlineLevel="0" collapsed="false">
      <c r="A2002" s="6" t="s">
        <v>4614</v>
      </c>
      <c r="B2002" s="6" t="s">
        <v>595</v>
      </c>
      <c r="C2002" s="6" t="s">
        <v>131</v>
      </c>
      <c r="D2002" s="13" t="n">
        <v>46020</v>
      </c>
      <c r="E2002" s="14" t="n">
        <v>432.48</v>
      </c>
      <c r="F2002" s="14" t="n">
        <v>6691.37</v>
      </c>
      <c r="G2002" s="6" t="s">
        <v>2613</v>
      </c>
    </row>
    <row r="2003" customFormat="false" ht="15" hidden="false" customHeight="true" outlineLevel="0" collapsed="false">
      <c r="A2003" s="6" t="s">
        <v>4615</v>
      </c>
      <c r="B2003" s="6" t="s">
        <v>595</v>
      </c>
      <c r="C2003" s="6" t="s">
        <v>131</v>
      </c>
      <c r="D2003" s="13" t="n">
        <v>46027</v>
      </c>
      <c r="E2003" s="14" t="n">
        <v>332.55</v>
      </c>
      <c r="F2003" s="14" t="n">
        <v>7023.92</v>
      </c>
      <c r="G2003" s="6" t="s">
        <v>2613</v>
      </c>
    </row>
    <row r="2004" customFormat="false" ht="15" hidden="false" customHeight="true" outlineLevel="0" collapsed="false">
      <c r="A2004" s="6" t="s">
        <v>4616</v>
      </c>
      <c r="B2004" s="6" t="s">
        <v>595</v>
      </c>
      <c r="C2004" s="6" t="s">
        <v>131</v>
      </c>
      <c r="D2004" s="13" t="n">
        <v>46034</v>
      </c>
      <c r="E2004" s="14" t="n">
        <v>512.09</v>
      </c>
      <c r="F2004" s="14" t="n">
        <v>7536.01</v>
      </c>
      <c r="G2004" s="6" t="s">
        <v>2613</v>
      </c>
    </row>
    <row r="2005" customFormat="false" ht="15" hidden="false" customHeight="true" outlineLevel="0" collapsed="false">
      <c r="A2005" s="6" t="s">
        <v>4617</v>
      </c>
      <c r="B2005" s="6" t="s">
        <v>595</v>
      </c>
      <c r="C2005" s="6" t="s">
        <v>131</v>
      </c>
      <c r="D2005" s="13" t="n">
        <v>46041</v>
      </c>
      <c r="E2005" s="14" t="n">
        <v>408.94</v>
      </c>
      <c r="F2005" s="14" t="n">
        <v>7944.95</v>
      </c>
      <c r="G2005" s="6" t="s">
        <v>2613</v>
      </c>
    </row>
    <row r="2006" customFormat="false" ht="15" hidden="false" customHeight="true" outlineLevel="0" collapsed="false">
      <c r="A2006" s="6" t="s">
        <v>4618</v>
      </c>
      <c r="B2006" s="6" t="s">
        <v>595</v>
      </c>
      <c r="C2006" s="6" t="s">
        <v>131</v>
      </c>
      <c r="D2006" s="13" t="n">
        <v>46048</v>
      </c>
      <c r="E2006" s="14" t="n">
        <v>353.18</v>
      </c>
      <c r="F2006" s="14" t="n">
        <v>8298.13</v>
      </c>
      <c r="G2006" s="6" t="s">
        <v>2613</v>
      </c>
    </row>
    <row r="2007" customFormat="false" ht="15" hidden="false" customHeight="true" outlineLevel="0" collapsed="false">
      <c r="A2007" s="6" t="s">
        <v>4619</v>
      </c>
      <c r="B2007" s="6" t="s">
        <v>595</v>
      </c>
      <c r="C2007" s="6" t="s">
        <v>131</v>
      </c>
      <c r="D2007" s="13" t="n">
        <v>46055</v>
      </c>
      <c r="E2007" s="14" t="n">
        <v>552.46</v>
      </c>
      <c r="F2007" s="14" t="n">
        <v>8850.59</v>
      </c>
      <c r="G2007" s="6" t="s">
        <v>2623</v>
      </c>
    </row>
    <row r="2008" customFormat="false" ht="15" hidden="false" customHeight="true" outlineLevel="0" collapsed="false">
      <c r="A2008" s="6" t="s">
        <v>4620</v>
      </c>
      <c r="B2008" s="6" t="s">
        <v>595</v>
      </c>
      <c r="C2008" s="6" t="s">
        <v>131</v>
      </c>
      <c r="D2008" s="13" t="n">
        <v>46062</v>
      </c>
      <c r="E2008" s="14" t="n">
        <v>497.13</v>
      </c>
      <c r="F2008" s="14" t="n">
        <v>9347.72</v>
      </c>
      <c r="G2008" s="6" t="s">
        <v>2613</v>
      </c>
    </row>
    <row r="2009" customFormat="false" ht="15" hidden="false" customHeight="true" outlineLevel="0" collapsed="false">
      <c r="A2009" s="6" t="s">
        <v>4621</v>
      </c>
      <c r="B2009" s="6" t="s">
        <v>595</v>
      </c>
      <c r="C2009" s="6" t="s">
        <v>131</v>
      </c>
      <c r="D2009" s="13" t="n">
        <v>46069</v>
      </c>
      <c r="E2009" s="14" t="n">
        <v>248.05</v>
      </c>
      <c r="F2009" s="14" t="n">
        <v>9595.77</v>
      </c>
      <c r="G2009" s="6" t="s">
        <v>2623</v>
      </c>
    </row>
    <row r="2010" customFormat="false" ht="15" hidden="false" customHeight="true" outlineLevel="0" collapsed="false">
      <c r="A2010" s="6" t="s">
        <v>4622</v>
      </c>
      <c r="B2010" s="6" t="s">
        <v>597</v>
      </c>
      <c r="C2010" s="6" t="s">
        <v>131</v>
      </c>
      <c r="D2010" s="13" t="n">
        <v>45475</v>
      </c>
      <c r="E2010" s="14" t="n">
        <v>2630.08</v>
      </c>
      <c r="F2010" s="14" t="n">
        <v>2630.08</v>
      </c>
      <c r="G2010" s="6" t="s">
        <v>2613</v>
      </c>
    </row>
    <row r="2011" customFormat="false" ht="15" hidden="false" customHeight="true" outlineLevel="0" collapsed="false">
      <c r="A2011" s="6" t="s">
        <v>4623</v>
      </c>
      <c r="B2011" s="6" t="s">
        <v>597</v>
      </c>
      <c r="C2011" s="6" t="s">
        <v>131</v>
      </c>
      <c r="D2011" s="13" t="n">
        <v>45482</v>
      </c>
      <c r="E2011" s="14" t="n">
        <v>2313.82</v>
      </c>
      <c r="F2011" s="14" t="n">
        <v>4943.9</v>
      </c>
      <c r="G2011" s="6" t="s">
        <v>2623</v>
      </c>
    </row>
    <row r="2012" customFormat="false" ht="15" hidden="false" customHeight="true" outlineLevel="0" collapsed="false">
      <c r="A2012" s="6" t="s">
        <v>4624</v>
      </c>
      <c r="B2012" s="6" t="s">
        <v>597</v>
      </c>
      <c r="C2012" s="6" t="s">
        <v>131</v>
      </c>
      <c r="D2012" s="13" t="n">
        <v>45489</v>
      </c>
      <c r="E2012" s="14" t="n">
        <v>3618.93</v>
      </c>
      <c r="F2012" s="14" t="n">
        <v>8562.83</v>
      </c>
      <c r="G2012" s="6" t="s">
        <v>2613</v>
      </c>
    </row>
    <row r="2013" customFormat="false" ht="15" hidden="false" customHeight="true" outlineLevel="0" collapsed="false">
      <c r="A2013" s="6" t="s">
        <v>4625</v>
      </c>
      <c r="B2013" s="6" t="s">
        <v>597</v>
      </c>
      <c r="C2013" s="6" t="s">
        <v>131</v>
      </c>
      <c r="D2013" s="13" t="n">
        <v>45496</v>
      </c>
      <c r="E2013" s="14" t="n">
        <v>2209.93</v>
      </c>
      <c r="F2013" s="14" t="n">
        <v>10772.76</v>
      </c>
      <c r="G2013" s="6" t="s">
        <v>2613</v>
      </c>
    </row>
    <row r="2014" customFormat="false" ht="15" hidden="false" customHeight="true" outlineLevel="0" collapsed="false">
      <c r="A2014" s="6" t="s">
        <v>4626</v>
      </c>
      <c r="B2014" s="6" t="s">
        <v>597</v>
      </c>
      <c r="C2014" s="6" t="s">
        <v>131</v>
      </c>
      <c r="D2014" s="13" t="n">
        <v>45503</v>
      </c>
      <c r="E2014" s="14" t="n">
        <v>3833.35</v>
      </c>
      <c r="F2014" s="14" t="n">
        <v>14606.11</v>
      </c>
      <c r="G2014" s="6" t="s">
        <v>2613</v>
      </c>
    </row>
    <row r="2015" customFormat="false" ht="15" hidden="false" customHeight="true" outlineLevel="0" collapsed="false">
      <c r="A2015" s="6" t="s">
        <v>4627</v>
      </c>
      <c r="B2015" s="6" t="s">
        <v>597</v>
      </c>
      <c r="C2015" s="6" t="s">
        <v>131</v>
      </c>
      <c r="D2015" s="13" t="n">
        <v>45510</v>
      </c>
      <c r="E2015" s="14" t="n">
        <v>3749.54</v>
      </c>
      <c r="F2015" s="14" t="n">
        <v>18355.65</v>
      </c>
      <c r="G2015" s="6" t="s">
        <v>2613</v>
      </c>
    </row>
    <row r="2016" customFormat="false" ht="15" hidden="false" customHeight="true" outlineLevel="0" collapsed="false">
      <c r="A2016" s="6" t="s">
        <v>4628</v>
      </c>
      <c r="B2016" s="6" t="s">
        <v>597</v>
      </c>
      <c r="C2016" s="6" t="s">
        <v>131</v>
      </c>
      <c r="D2016" s="13" t="n">
        <v>45517</v>
      </c>
      <c r="E2016" s="14" t="n">
        <v>2660.71</v>
      </c>
      <c r="F2016" s="14" t="n">
        <v>21016.36</v>
      </c>
      <c r="G2016" s="6" t="s">
        <v>2623</v>
      </c>
    </row>
    <row r="2017" customFormat="false" ht="15" hidden="false" customHeight="true" outlineLevel="0" collapsed="false">
      <c r="A2017" s="6" t="s">
        <v>4629</v>
      </c>
      <c r="B2017" s="6" t="s">
        <v>597</v>
      </c>
      <c r="C2017" s="6" t="s">
        <v>131</v>
      </c>
      <c r="D2017" s="13" t="n">
        <v>45524</v>
      </c>
      <c r="E2017" s="14" t="n">
        <v>3719.57</v>
      </c>
      <c r="F2017" s="14" t="n">
        <v>24735.93</v>
      </c>
      <c r="G2017" s="6" t="s">
        <v>2613</v>
      </c>
    </row>
    <row r="2018" customFormat="false" ht="15" hidden="false" customHeight="true" outlineLevel="0" collapsed="false">
      <c r="A2018" s="6" t="s">
        <v>4630</v>
      </c>
      <c r="B2018" s="6" t="s">
        <v>597</v>
      </c>
      <c r="C2018" s="6" t="s">
        <v>131</v>
      </c>
      <c r="D2018" s="13" t="n">
        <v>45531</v>
      </c>
      <c r="E2018" s="14" t="n">
        <v>3889.97</v>
      </c>
      <c r="F2018" s="14" t="n">
        <v>28625.9</v>
      </c>
      <c r="G2018" s="6" t="s">
        <v>2613</v>
      </c>
    </row>
    <row r="2019" customFormat="false" ht="15" hidden="false" customHeight="true" outlineLevel="0" collapsed="false">
      <c r="A2019" s="6" t="s">
        <v>4631</v>
      </c>
      <c r="B2019" s="6" t="s">
        <v>597</v>
      </c>
      <c r="C2019" s="6" t="s">
        <v>131</v>
      </c>
      <c r="D2019" s="13" t="n">
        <v>45538</v>
      </c>
      <c r="E2019" s="14" t="n">
        <v>2676.07</v>
      </c>
      <c r="F2019" s="14" t="n">
        <v>31301.97</v>
      </c>
      <c r="G2019" s="6" t="s">
        <v>2613</v>
      </c>
    </row>
    <row r="2020" customFormat="false" ht="15" hidden="false" customHeight="true" outlineLevel="0" collapsed="false">
      <c r="A2020" s="6" t="s">
        <v>4632</v>
      </c>
      <c r="B2020" s="6" t="s">
        <v>597</v>
      </c>
      <c r="C2020" s="6" t="s">
        <v>131</v>
      </c>
      <c r="D2020" s="13" t="n">
        <v>45545</v>
      </c>
      <c r="E2020" s="14" t="n">
        <v>3376.57</v>
      </c>
      <c r="F2020" s="14" t="n">
        <v>34678.54</v>
      </c>
      <c r="G2020" s="6" t="s">
        <v>2613</v>
      </c>
    </row>
    <row r="2021" customFormat="false" ht="15" hidden="false" customHeight="true" outlineLevel="0" collapsed="false">
      <c r="A2021" s="6" t="s">
        <v>4633</v>
      </c>
      <c r="B2021" s="6" t="s">
        <v>597</v>
      </c>
      <c r="C2021" s="6" t="s">
        <v>131</v>
      </c>
      <c r="D2021" s="13" t="n">
        <v>45552</v>
      </c>
      <c r="E2021" s="14" t="n">
        <v>3613.25</v>
      </c>
      <c r="F2021" s="14" t="n">
        <v>38291.79</v>
      </c>
      <c r="G2021" s="6" t="s">
        <v>2613</v>
      </c>
    </row>
    <row r="2022" customFormat="false" ht="15" hidden="false" customHeight="true" outlineLevel="0" collapsed="false">
      <c r="A2022" s="6" t="s">
        <v>4634</v>
      </c>
      <c r="B2022" s="6" t="s">
        <v>597</v>
      </c>
      <c r="C2022" s="6" t="s">
        <v>131</v>
      </c>
      <c r="D2022" s="13" t="n">
        <v>45559</v>
      </c>
      <c r="E2022" s="14" t="n">
        <v>3333.08</v>
      </c>
      <c r="F2022" s="14" t="n">
        <v>41624.87</v>
      </c>
      <c r="G2022" s="6" t="s">
        <v>2613</v>
      </c>
    </row>
    <row r="2023" customFormat="false" ht="15" hidden="false" customHeight="true" outlineLevel="0" collapsed="false">
      <c r="A2023" s="6" t="s">
        <v>4635</v>
      </c>
      <c r="B2023" s="6" t="s">
        <v>597</v>
      </c>
      <c r="C2023" s="6" t="s">
        <v>131</v>
      </c>
      <c r="D2023" s="13" t="n">
        <v>45566</v>
      </c>
      <c r="E2023" s="14" t="n">
        <v>2535.46</v>
      </c>
      <c r="F2023" s="14" t="n">
        <v>44160.33</v>
      </c>
      <c r="G2023" s="6" t="s">
        <v>2613</v>
      </c>
    </row>
    <row r="2024" customFormat="false" ht="15" hidden="false" customHeight="true" outlineLevel="0" collapsed="false">
      <c r="A2024" s="6" t="s">
        <v>4636</v>
      </c>
      <c r="B2024" s="6" t="s">
        <v>597</v>
      </c>
      <c r="C2024" s="6" t="s">
        <v>131</v>
      </c>
      <c r="D2024" s="13" t="n">
        <v>45573</v>
      </c>
      <c r="E2024" s="14" t="n">
        <v>3597.58</v>
      </c>
      <c r="F2024" s="14" t="n">
        <v>47757.91</v>
      </c>
      <c r="G2024" s="6" t="s">
        <v>2613</v>
      </c>
    </row>
    <row r="2025" customFormat="false" ht="15" hidden="false" customHeight="true" outlineLevel="0" collapsed="false">
      <c r="A2025" s="6" t="s">
        <v>4637</v>
      </c>
      <c r="B2025" s="6" t="s">
        <v>597</v>
      </c>
      <c r="C2025" s="6" t="s">
        <v>131</v>
      </c>
      <c r="D2025" s="13" t="n">
        <v>45580</v>
      </c>
      <c r="E2025" s="14" t="n">
        <v>2768.8</v>
      </c>
      <c r="F2025" s="14" t="n">
        <v>50526.71</v>
      </c>
      <c r="G2025" s="6" t="s">
        <v>2623</v>
      </c>
    </row>
    <row r="2026" customFormat="false" ht="15" hidden="false" customHeight="true" outlineLevel="0" collapsed="false">
      <c r="A2026" s="6" t="s">
        <v>4638</v>
      </c>
      <c r="B2026" s="6" t="s">
        <v>597</v>
      </c>
      <c r="C2026" s="6" t="s">
        <v>131</v>
      </c>
      <c r="D2026" s="13" t="n">
        <v>45587</v>
      </c>
      <c r="E2026" s="14" t="n">
        <v>1845.69</v>
      </c>
      <c r="F2026" s="14" t="n">
        <v>52372.4</v>
      </c>
      <c r="G2026" s="6" t="s">
        <v>2613</v>
      </c>
    </row>
    <row r="2027" customFormat="false" ht="15" hidden="false" customHeight="true" outlineLevel="0" collapsed="false">
      <c r="A2027" s="6" t="s">
        <v>4639</v>
      </c>
      <c r="B2027" s="6" t="s">
        <v>597</v>
      </c>
      <c r="C2027" s="6" t="s">
        <v>131</v>
      </c>
      <c r="D2027" s="13" t="n">
        <v>45594</v>
      </c>
      <c r="E2027" s="14" t="n">
        <v>3175.85</v>
      </c>
      <c r="F2027" s="14" t="n">
        <v>55548.25</v>
      </c>
      <c r="G2027" s="6" t="s">
        <v>2613</v>
      </c>
    </row>
    <row r="2028" customFormat="false" ht="15" hidden="false" customHeight="true" outlineLevel="0" collapsed="false">
      <c r="A2028" s="6" t="s">
        <v>4640</v>
      </c>
      <c r="B2028" s="6" t="s">
        <v>597</v>
      </c>
      <c r="C2028" s="6" t="s">
        <v>131</v>
      </c>
      <c r="D2028" s="13" t="n">
        <v>45601</v>
      </c>
      <c r="E2028" s="14" t="n">
        <v>2038.97</v>
      </c>
      <c r="F2028" s="14" t="n">
        <v>57587.22</v>
      </c>
      <c r="G2028" s="6" t="s">
        <v>2613</v>
      </c>
    </row>
    <row r="2029" customFormat="false" ht="15" hidden="false" customHeight="true" outlineLevel="0" collapsed="false">
      <c r="A2029" s="6" t="s">
        <v>4641</v>
      </c>
      <c r="B2029" s="6" t="s">
        <v>597</v>
      </c>
      <c r="C2029" s="6" t="s">
        <v>131</v>
      </c>
      <c r="D2029" s="13" t="n">
        <v>45608</v>
      </c>
      <c r="E2029" s="14" t="n">
        <v>3171.57</v>
      </c>
      <c r="F2029" s="14" t="n">
        <v>60758.79</v>
      </c>
      <c r="G2029" s="6" t="s">
        <v>2613</v>
      </c>
    </row>
    <row r="2030" customFormat="false" ht="15" hidden="false" customHeight="true" outlineLevel="0" collapsed="false">
      <c r="A2030" s="6" t="s">
        <v>4642</v>
      </c>
      <c r="B2030" s="6" t="s">
        <v>597</v>
      </c>
      <c r="C2030" s="6" t="s">
        <v>131</v>
      </c>
      <c r="D2030" s="13" t="n">
        <v>45615</v>
      </c>
      <c r="E2030" s="14" t="n">
        <v>1915.03</v>
      </c>
      <c r="F2030" s="14" t="n">
        <v>62673.82</v>
      </c>
      <c r="G2030" s="6" t="s">
        <v>2613</v>
      </c>
    </row>
    <row r="2031" customFormat="false" ht="15" hidden="false" customHeight="true" outlineLevel="0" collapsed="false">
      <c r="A2031" s="6" t="s">
        <v>4643</v>
      </c>
      <c r="B2031" s="6" t="s">
        <v>597</v>
      </c>
      <c r="C2031" s="6" t="s">
        <v>131</v>
      </c>
      <c r="D2031" s="13" t="n">
        <v>45622</v>
      </c>
      <c r="E2031" s="14" t="n">
        <v>2914.01</v>
      </c>
      <c r="F2031" s="14" t="n">
        <v>65587.83</v>
      </c>
      <c r="G2031" s="6" t="s">
        <v>2613</v>
      </c>
    </row>
    <row r="2032" customFormat="false" ht="15" hidden="false" customHeight="true" outlineLevel="0" collapsed="false">
      <c r="A2032" s="6" t="s">
        <v>4644</v>
      </c>
      <c r="B2032" s="6" t="s">
        <v>597</v>
      </c>
      <c r="C2032" s="6" t="s">
        <v>131</v>
      </c>
      <c r="D2032" s="13" t="n">
        <v>45629</v>
      </c>
      <c r="E2032" s="14" t="n">
        <v>3637.14</v>
      </c>
      <c r="F2032" s="14" t="n">
        <v>69224.97</v>
      </c>
      <c r="G2032" s="6" t="s">
        <v>2613</v>
      </c>
    </row>
    <row r="2033" customFormat="false" ht="15" hidden="false" customHeight="true" outlineLevel="0" collapsed="false">
      <c r="A2033" s="6" t="s">
        <v>4645</v>
      </c>
      <c r="B2033" s="6" t="s">
        <v>597</v>
      </c>
      <c r="C2033" s="6" t="s">
        <v>131</v>
      </c>
      <c r="D2033" s="13" t="n">
        <v>45636</v>
      </c>
      <c r="E2033" s="14" t="n">
        <v>2683.83</v>
      </c>
      <c r="F2033" s="14" t="n">
        <v>71908.8</v>
      </c>
      <c r="G2033" s="6" t="s">
        <v>2613</v>
      </c>
    </row>
    <row r="2034" customFormat="false" ht="15" hidden="false" customHeight="true" outlineLevel="0" collapsed="false">
      <c r="A2034" s="6" t="s">
        <v>4646</v>
      </c>
      <c r="B2034" s="6" t="s">
        <v>599</v>
      </c>
      <c r="C2034" s="6" t="s">
        <v>120</v>
      </c>
      <c r="D2034" s="13" t="n">
        <v>45341</v>
      </c>
      <c r="E2034" s="14" t="n">
        <v>2921.66</v>
      </c>
      <c r="F2034" s="14" t="n">
        <v>2921.66</v>
      </c>
      <c r="G2034" s="6" t="s">
        <v>2613</v>
      </c>
    </row>
    <row r="2035" customFormat="false" ht="15" hidden="false" customHeight="true" outlineLevel="0" collapsed="false">
      <c r="A2035" s="6" t="s">
        <v>4647</v>
      </c>
      <c r="B2035" s="6" t="s">
        <v>599</v>
      </c>
      <c r="C2035" s="6" t="s">
        <v>120</v>
      </c>
      <c r="D2035" s="13" t="n">
        <v>45348</v>
      </c>
      <c r="E2035" s="14" t="n">
        <v>5016.24</v>
      </c>
      <c r="F2035" s="14" t="n">
        <v>7937.9</v>
      </c>
      <c r="G2035" s="6" t="s">
        <v>2613</v>
      </c>
    </row>
    <row r="2036" customFormat="false" ht="15" hidden="false" customHeight="true" outlineLevel="0" collapsed="false">
      <c r="A2036" s="6" t="s">
        <v>4648</v>
      </c>
      <c r="B2036" s="6" t="s">
        <v>599</v>
      </c>
      <c r="C2036" s="6" t="s">
        <v>120</v>
      </c>
      <c r="D2036" s="13" t="n">
        <v>45355</v>
      </c>
      <c r="E2036" s="14" t="n">
        <v>4127.33</v>
      </c>
      <c r="F2036" s="14" t="n">
        <v>12065.23</v>
      </c>
      <c r="G2036" s="6" t="s">
        <v>2613</v>
      </c>
    </row>
    <row r="2037" customFormat="false" ht="15" hidden="false" customHeight="true" outlineLevel="0" collapsed="false">
      <c r="A2037" s="6" t="s">
        <v>4649</v>
      </c>
      <c r="B2037" s="6" t="s">
        <v>599</v>
      </c>
      <c r="C2037" s="6" t="s">
        <v>120</v>
      </c>
      <c r="D2037" s="13" t="n">
        <v>45362</v>
      </c>
      <c r="E2037" s="14" t="n">
        <v>5169.19</v>
      </c>
      <c r="F2037" s="14" t="n">
        <v>17234.42</v>
      </c>
      <c r="G2037" s="6" t="s">
        <v>2613</v>
      </c>
    </row>
    <row r="2038" customFormat="false" ht="15" hidden="false" customHeight="true" outlineLevel="0" collapsed="false">
      <c r="A2038" s="6" t="s">
        <v>4650</v>
      </c>
      <c r="B2038" s="6" t="s">
        <v>599</v>
      </c>
      <c r="C2038" s="6" t="s">
        <v>120</v>
      </c>
      <c r="D2038" s="13" t="n">
        <v>45369</v>
      </c>
      <c r="E2038" s="14" t="n">
        <v>4351.09</v>
      </c>
      <c r="F2038" s="14" t="n">
        <v>21585.51</v>
      </c>
      <c r="G2038" s="6" t="s">
        <v>2613</v>
      </c>
    </row>
    <row r="2039" customFormat="false" ht="15" hidden="false" customHeight="true" outlineLevel="0" collapsed="false">
      <c r="A2039" s="6" t="s">
        <v>4651</v>
      </c>
      <c r="B2039" s="6" t="s">
        <v>599</v>
      </c>
      <c r="C2039" s="6" t="s">
        <v>120</v>
      </c>
      <c r="D2039" s="13" t="n">
        <v>45376</v>
      </c>
      <c r="E2039" s="14" t="n">
        <v>3450.97</v>
      </c>
      <c r="F2039" s="14" t="n">
        <v>25036.48</v>
      </c>
      <c r="G2039" s="6" t="s">
        <v>2613</v>
      </c>
    </row>
    <row r="2040" customFormat="false" ht="15" hidden="false" customHeight="true" outlineLevel="0" collapsed="false">
      <c r="A2040" s="6" t="s">
        <v>4652</v>
      </c>
      <c r="B2040" s="6" t="s">
        <v>599</v>
      </c>
      <c r="C2040" s="6" t="s">
        <v>120</v>
      </c>
      <c r="D2040" s="13" t="n">
        <v>45383</v>
      </c>
      <c r="E2040" s="14" t="n">
        <v>3028.6</v>
      </c>
      <c r="F2040" s="14" t="n">
        <v>28065.08</v>
      </c>
      <c r="G2040" s="6" t="s">
        <v>2623</v>
      </c>
    </row>
    <row r="2041" customFormat="false" ht="15" hidden="false" customHeight="true" outlineLevel="0" collapsed="false">
      <c r="A2041" s="6" t="s">
        <v>4653</v>
      </c>
      <c r="B2041" s="6" t="s">
        <v>599</v>
      </c>
      <c r="C2041" s="6" t="s">
        <v>120</v>
      </c>
      <c r="D2041" s="13" t="n">
        <v>45390</v>
      </c>
      <c r="E2041" s="14" t="n">
        <v>3351.69</v>
      </c>
      <c r="F2041" s="14" t="n">
        <v>31416.77</v>
      </c>
      <c r="G2041" s="6" t="s">
        <v>2613</v>
      </c>
    </row>
    <row r="2042" customFormat="false" ht="15" hidden="false" customHeight="true" outlineLevel="0" collapsed="false">
      <c r="A2042" s="6" t="s">
        <v>4654</v>
      </c>
      <c r="B2042" s="6" t="s">
        <v>599</v>
      </c>
      <c r="C2042" s="6" t="s">
        <v>120</v>
      </c>
      <c r="D2042" s="13" t="n">
        <v>45397</v>
      </c>
      <c r="E2042" s="14" t="n">
        <v>2600.44</v>
      </c>
      <c r="F2042" s="14" t="n">
        <v>34017.21</v>
      </c>
      <c r="G2042" s="6" t="s">
        <v>2613</v>
      </c>
    </row>
    <row r="2043" customFormat="false" ht="15" hidden="false" customHeight="true" outlineLevel="0" collapsed="false">
      <c r="A2043" s="6" t="s">
        <v>4655</v>
      </c>
      <c r="B2043" s="6" t="s">
        <v>599</v>
      </c>
      <c r="C2043" s="6" t="s">
        <v>120</v>
      </c>
      <c r="D2043" s="13" t="n">
        <v>45404</v>
      </c>
      <c r="E2043" s="14" t="n">
        <v>3553.28</v>
      </c>
      <c r="F2043" s="14" t="n">
        <v>37570.49</v>
      </c>
      <c r="G2043" s="6" t="s">
        <v>2613</v>
      </c>
    </row>
    <row r="2044" customFormat="false" ht="15" hidden="false" customHeight="true" outlineLevel="0" collapsed="false">
      <c r="A2044" s="6" t="s">
        <v>4656</v>
      </c>
      <c r="B2044" s="6" t="s">
        <v>599</v>
      </c>
      <c r="C2044" s="6" t="s">
        <v>120</v>
      </c>
      <c r="D2044" s="13" t="n">
        <v>45411</v>
      </c>
      <c r="E2044" s="14" t="n">
        <v>3608.89</v>
      </c>
      <c r="F2044" s="14" t="n">
        <v>41179.38</v>
      </c>
      <c r="G2044" s="6" t="s">
        <v>2613</v>
      </c>
    </row>
    <row r="2045" customFormat="false" ht="15" hidden="false" customHeight="true" outlineLevel="0" collapsed="false">
      <c r="A2045" s="6" t="s">
        <v>4657</v>
      </c>
      <c r="B2045" s="6" t="s">
        <v>599</v>
      </c>
      <c r="C2045" s="6" t="s">
        <v>120</v>
      </c>
      <c r="D2045" s="13" t="n">
        <v>45418</v>
      </c>
      <c r="E2045" s="14" t="n">
        <v>2603.93</v>
      </c>
      <c r="F2045" s="14" t="n">
        <v>43783.31</v>
      </c>
      <c r="G2045" s="6" t="s">
        <v>2613</v>
      </c>
    </row>
    <row r="2046" customFormat="false" ht="15" hidden="false" customHeight="true" outlineLevel="0" collapsed="false">
      <c r="A2046" s="6" t="s">
        <v>4658</v>
      </c>
      <c r="B2046" s="6" t="s">
        <v>599</v>
      </c>
      <c r="C2046" s="6" t="s">
        <v>120</v>
      </c>
      <c r="D2046" s="13" t="n">
        <v>45425</v>
      </c>
      <c r="E2046" s="14" t="n">
        <v>2819.89</v>
      </c>
      <c r="F2046" s="14" t="n">
        <v>46603.2</v>
      </c>
      <c r="G2046" s="6" t="s">
        <v>2613</v>
      </c>
    </row>
    <row r="2047" customFormat="false" ht="15" hidden="false" customHeight="true" outlineLevel="0" collapsed="false">
      <c r="A2047" s="6" t="s">
        <v>4659</v>
      </c>
      <c r="B2047" s="6" t="s">
        <v>599</v>
      </c>
      <c r="C2047" s="6" t="s">
        <v>120</v>
      </c>
      <c r="D2047" s="13" t="n">
        <v>45432</v>
      </c>
      <c r="E2047" s="14" t="n">
        <v>4593.53</v>
      </c>
      <c r="F2047" s="14" t="n">
        <v>51196.73</v>
      </c>
      <c r="G2047" s="6" t="s">
        <v>2613</v>
      </c>
    </row>
    <row r="2048" customFormat="false" ht="15" hidden="false" customHeight="true" outlineLevel="0" collapsed="false">
      <c r="A2048" s="6" t="s">
        <v>4660</v>
      </c>
      <c r="B2048" s="6" t="s">
        <v>599</v>
      </c>
      <c r="C2048" s="6" t="s">
        <v>120</v>
      </c>
      <c r="D2048" s="13" t="n">
        <v>45439</v>
      </c>
      <c r="E2048" s="14" t="n">
        <v>3730.2</v>
      </c>
      <c r="F2048" s="14" t="n">
        <v>54926.93</v>
      </c>
      <c r="G2048" s="6" t="s">
        <v>2613</v>
      </c>
    </row>
    <row r="2049" customFormat="false" ht="15" hidden="false" customHeight="true" outlineLevel="0" collapsed="false">
      <c r="A2049" s="6" t="s">
        <v>4661</v>
      </c>
      <c r="B2049" s="6" t="s">
        <v>599</v>
      </c>
      <c r="C2049" s="6" t="s">
        <v>120</v>
      </c>
      <c r="D2049" s="13" t="n">
        <v>45446</v>
      </c>
      <c r="E2049" s="14" t="n">
        <v>4816.04</v>
      </c>
      <c r="F2049" s="14" t="n">
        <v>59742.97</v>
      </c>
      <c r="G2049" s="6" t="s">
        <v>2613</v>
      </c>
    </row>
    <row r="2050" customFormat="false" ht="15" hidden="false" customHeight="true" outlineLevel="0" collapsed="false">
      <c r="A2050" s="6" t="s">
        <v>4662</v>
      </c>
      <c r="B2050" s="6" t="s">
        <v>599</v>
      </c>
      <c r="C2050" s="6" t="s">
        <v>120</v>
      </c>
      <c r="D2050" s="13" t="n">
        <v>45453</v>
      </c>
      <c r="E2050" s="14" t="n">
        <v>5232.39</v>
      </c>
      <c r="F2050" s="14" t="n">
        <v>64975.36</v>
      </c>
      <c r="G2050" s="6" t="s">
        <v>2613</v>
      </c>
    </row>
    <row r="2051" customFormat="false" ht="15" hidden="false" customHeight="true" outlineLevel="0" collapsed="false">
      <c r="A2051" s="6" t="s">
        <v>4663</v>
      </c>
      <c r="B2051" s="6" t="s">
        <v>599</v>
      </c>
      <c r="C2051" s="6" t="s">
        <v>120</v>
      </c>
      <c r="D2051" s="13" t="n">
        <v>45460</v>
      </c>
      <c r="E2051" s="14" t="n">
        <v>4278.92</v>
      </c>
      <c r="F2051" s="14" t="n">
        <v>69254.28</v>
      </c>
      <c r="G2051" s="6" t="s">
        <v>2613</v>
      </c>
    </row>
    <row r="2052" customFormat="false" ht="15" hidden="false" customHeight="true" outlineLevel="0" collapsed="false">
      <c r="A2052" s="6" t="s">
        <v>4664</v>
      </c>
      <c r="B2052" s="6" t="s">
        <v>599</v>
      </c>
      <c r="C2052" s="6" t="s">
        <v>120</v>
      </c>
      <c r="D2052" s="13" t="n">
        <v>45467</v>
      </c>
      <c r="E2052" s="14" t="n">
        <v>1951.7</v>
      </c>
      <c r="F2052" s="14" t="n">
        <v>71205.98</v>
      </c>
      <c r="G2052" s="6" t="s">
        <v>2613</v>
      </c>
    </row>
    <row r="2053" customFormat="false" ht="15" hidden="false" customHeight="true" outlineLevel="0" collapsed="false">
      <c r="A2053" s="6" t="s">
        <v>4665</v>
      </c>
      <c r="B2053" s="6" t="s">
        <v>601</v>
      </c>
      <c r="C2053" s="6" t="s">
        <v>116</v>
      </c>
      <c r="D2053" s="13" t="n">
        <v>44841</v>
      </c>
      <c r="E2053" s="14" t="n">
        <v>2645.06</v>
      </c>
      <c r="F2053" s="14" t="n">
        <v>2645.06</v>
      </c>
      <c r="G2053" s="6" t="s">
        <v>2613</v>
      </c>
    </row>
    <row r="2054" customFormat="false" ht="15" hidden="false" customHeight="true" outlineLevel="0" collapsed="false">
      <c r="A2054" s="6" t="s">
        <v>4666</v>
      </c>
      <c r="B2054" s="6" t="s">
        <v>601</v>
      </c>
      <c r="C2054" s="6" t="s">
        <v>116</v>
      </c>
      <c r="D2054" s="13" t="n">
        <v>44848</v>
      </c>
      <c r="E2054" s="14" t="n">
        <v>2612.66</v>
      </c>
      <c r="F2054" s="14" t="n">
        <v>5257.72</v>
      </c>
      <c r="G2054" s="6" t="s">
        <v>2613</v>
      </c>
    </row>
    <row r="2055" customFormat="false" ht="15" hidden="false" customHeight="true" outlineLevel="0" collapsed="false">
      <c r="A2055" s="6" t="s">
        <v>4667</v>
      </c>
      <c r="B2055" s="6" t="s">
        <v>601</v>
      </c>
      <c r="C2055" s="6" t="s">
        <v>116</v>
      </c>
      <c r="D2055" s="13" t="n">
        <v>44855</v>
      </c>
      <c r="E2055" s="14" t="n">
        <v>3105.23</v>
      </c>
      <c r="F2055" s="14" t="n">
        <v>8362.95</v>
      </c>
      <c r="G2055" s="6" t="s">
        <v>2623</v>
      </c>
    </row>
    <row r="2056" customFormat="false" ht="15" hidden="false" customHeight="true" outlineLevel="0" collapsed="false">
      <c r="A2056" s="6" t="s">
        <v>4668</v>
      </c>
      <c r="B2056" s="6" t="s">
        <v>601</v>
      </c>
      <c r="C2056" s="6" t="s">
        <v>116</v>
      </c>
      <c r="D2056" s="13" t="n">
        <v>44862</v>
      </c>
      <c r="E2056" s="14" t="n">
        <v>3012.58</v>
      </c>
      <c r="F2056" s="14" t="n">
        <v>11375.53</v>
      </c>
      <c r="G2056" s="6" t="s">
        <v>2623</v>
      </c>
    </row>
    <row r="2057" customFormat="false" ht="15" hidden="false" customHeight="true" outlineLevel="0" collapsed="false">
      <c r="A2057" s="6" t="s">
        <v>4669</v>
      </c>
      <c r="B2057" s="6" t="s">
        <v>601</v>
      </c>
      <c r="C2057" s="6" t="s">
        <v>116</v>
      </c>
      <c r="D2057" s="13" t="n">
        <v>44869</v>
      </c>
      <c r="E2057" s="14" t="n">
        <v>3874.78</v>
      </c>
      <c r="F2057" s="14" t="n">
        <v>15250.31</v>
      </c>
      <c r="G2057" s="6" t="s">
        <v>2613</v>
      </c>
    </row>
    <row r="2058" customFormat="false" ht="15" hidden="false" customHeight="true" outlineLevel="0" collapsed="false">
      <c r="A2058" s="6" t="s">
        <v>4670</v>
      </c>
      <c r="B2058" s="6" t="s">
        <v>601</v>
      </c>
      <c r="C2058" s="6" t="s">
        <v>116</v>
      </c>
      <c r="D2058" s="13" t="n">
        <v>44876</v>
      </c>
      <c r="E2058" s="14" t="n">
        <v>2545.37</v>
      </c>
      <c r="F2058" s="14" t="n">
        <v>17795.68</v>
      </c>
      <c r="G2058" s="6" t="s">
        <v>2613</v>
      </c>
    </row>
    <row r="2059" customFormat="false" ht="15" hidden="false" customHeight="true" outlineLevel="0" collapsed="false">
      <c r="A2059" s="6" t="s">
        <v>4671</v>
      </c>
      <c r="B2059" s="6" t="s">
        <v>601</v>
      </c>
      <c r="C2059" s="6" t="s">
        <v>116</v>
      </c>
      <c r="D2059" s="13" t="n">
        <v>44883</v>
      </c>
      <c r="E2059" s="14" t="n">
        <v>3274.86</v>
      </c>
      <c r="F2059" s="14" t="n">
        <v>21070.54</v>
      </c>
      <c r="G2059" s="6" t="s">
        <v>2613</v>
      </c>
    </row>
    <row r="2060" customFormat="false" ht="15" hidden="false" customHeight="true" outlineLevel="0" collapsed="false">
      <c r="A2060" s="6" t="s">
        <v>4672</v>
      </c>
      <c r="B2060" s="6" t="s">
        <v>601</v>
      </c>
      <c r="C2060" s="6" t="s">
        <v>116</v>
      </c>
      <c r="D2060" s="13" t="n">
        <v>44890</v>
      </c>
      <c r="E2060" s="14" t="n">
        <v>3364.23</v>
      </c>
      <c r="F2060" s="14" t="n">
        <v>24434.77</v>
      </c>
      <c r="G2060" s="6" t="s">
        <v>2613</v>
      </c>
    </row>
    <row r="2061" customFormat="false" ht="15" hidden="false" customHeight="true" outlineLevel="0" collapsed="false">
      <c r="A2061" s="6" t="s">
        <v>4673</v>
      </c>
      <c r="B2061" s="6" t="s">
        <v>601</v>
      </c>
      <c r="C2061" s="6" t="s">
        <v>116</v>
      </c>
      <c r="D2061" s="13" t="n">
        <v>44897</v>
      </c>
      <c r="E2061" s="14" t="n">
        <v>1741.07</v>
      </c>
      <c r="F2061" s="14" t="n">
        <v>26175.84</v>
      </c>
      <c r="G2061" s="6" t="s">
        <v>2613</v>
      </c>
    </row>
    <row r="2062" customFormat="false" ht="15" hidden="false" customHeight="true" outlineLevel="0" collapsed="false">
      <c r="A2062" s="6" t="s">
        <v>4674</v>
      </c>
      <c r="B2062" s="6" t="s">
        <v>601</v>
      </c>
      <c r="C2062" s="6" t="s">
        <v>116</v>
      </c>
      <c r="D2062" s="13" t="n">
        <v>44904</v>
      </c>
      <c r="E2062" s="14" t="n">
        <v>2606.76</v>
      </c>
      <c r="F2062" s="14" t="n">
        <v>28782.6</v>
      </c>
      <c r="G2062" s="6" t="s">
        <v>2613</v>
      </c>
    </row>
    <row r="2063" customFormat="false" ht="15" hidden="false" customHeight="true" outlineLevel="0" collapsed="false">
      <c r="A2063" s="6" t="s">
        <v>4675</v>
      </c>
      <c r="B2063" s="6" t="s">
        <v>601</v>
      </c>
      <c r="C2063" s="6" t="s">
        <v>116</v>
      </c>
      <c r="D2063" s="13" t="n">
        <v>44911</v>
      </c>
      <c r="E2063" s="14" t="n">
        <v>3275.94</v>
      </c>
      <c r="F2063" s="14" t="n">
        <v>32058.54</v>
      </c>
      <c r="G2063" s="6" t="s">
        <v>2613</v>
      </c>
    </row>
    <row r="2064" customFormat="false" ht="15" hidden="false" customHeight="true" outlineLevel="0" collapsed="false">
      <c r="A2064" s="6" t="s">
        <v>4676</v>
      </c>
      <c r="B2064" s="6" t="s">
        <v>601</v>
      </c>
      <c r="C2064" s="6" t="s">
        <v>116</v>
      </c>
      <c r="D2064" s="13" t="n">
        <v>44918</v>
      </c>
      <c r="E2064" s="14" t="n">
        <v>3785.26</v>
      </c>
      <c r="F2064" s="14" t="n">
        <v>35843.8</v>
      </c>
      <c r="G2064" s="6" t="s">
        <v>2623</v>
      </c>
    </row>
    <row r="2065" customFormat="false" ht="15" hidden="false" customHeight="true" outlineLevel="0" collapsed="false">
      <c r="A2065" s="6" t="s">
        <v>4677</v>
      </c>
      <c r="B2065" s="6" t="s">
        <v>601</v>
      </c>
      <c r="C2065" s="6" t="s">
        <v>116</v>
      </c>
      <c r="D2065" s="13" t="n">
        <v>44925</v>
      </c>
      <c r="E2065" s="14" t="n">
        <v>2142.16</v>
      </c>
      <c r="F2065" s="14" t="n">
        <v>37985.96</v>
      </c>
      <c r="G2065" s="6" t="s">
        <v>2613</v>
      </c>
    </row>
    <row r="2066" customFormat="false" ht="15" hidden="false" customHeight="true" outlineLevel="0" collapsed="false">
      <c r="A2066" s="6" t="s">
        <v>4678</v>
      </c>
      <c r="B2066" s="6" t="s">
        <v>601</v>
      </c>
      <c r="C2066" s="6" t="s">
        <v>116</v>
      </c>
      <c r="D2066" s="13" t="n">
        <v>44932</v>
      </c>
      <c r="E2066" s="14" t="n">
        <v>2864.69</v>
      </c>
      <c r="F2066" s="14" t="n">
        <v>40850.65</v>
      </c>
      <c r="G2066" s="6" t="s">
        <v>2613</v>
      </c>
    </row>
    <row r="2067" customFormat="false" ht="15" hidden="false" customHeight="true" outlineLevel="0" collapsed="false">
      <c r="A2067" s="6" t="s">
        <v>4679</v>
      </c>
      <c r="B2067" s="6" t="s">
        <v>601</v>
      </c>
      <c r="C2067" s="6" t="s">
        <v>116</v>
      </c>
      <c r="D2067" s="13" t="n">
        <v>44939</v>
      </c>
      <c r="E2067" s="14" t="n">
        <v>2807.63</v>
      </c>
      <c r="F2067" s="14" t="n">
        <v>43658.28</v>
      </c>
      <c r="G2067" s="6" t="s">
        <v>2623</v>
      </c>
    </row>
    <row r="2068" customFormat="false" ht="15" hidden="false" customHeight="true" outlineLevel="0" collapsed="false">
      <c r="A2068" s="6" t="s">
        <v>4680</v>
      </c>
      <c r="B2068" s="6" t="s">
        <v>601</v>
      </c>
      <c r="C2068" s="6" t="s">
        <v>116</v>
      </c>
      <c r="D2068" s="13" t="n">
        <v>44946</v>
      </c>
      <c r="E2068" s="14" t="n">
        <v>3365.82</v>
      </c>
      <c r="F2068" s="14" t="n">
        <v>47024.1</v>
      </c>
      <c r="G2068" s="6" t="s">
        <v>2613</v>
      </c>
    </row>
    <row r="2069" customFormat="false" ht="15" hidden="false" customHeight="true" outlineLevel="0" collapsed="false">
      <c r="A2069" s="6" t="s">
        <v>4681</v>
      </c>
      <c r="B2069" s="6" t="s">
        <v>601</v>
      </c>
      <c r="C2069" s="6" t="s">
        <v>116</v>
      </c>
      <c r="D2069" s="13" t="n">
        <v>44953</v>
      </c>
      <c r="E2069" s="14" t="n">
        <v>2328.94</v>
      </c>
      <c r="F2069" s="14" t="n">
        <v>49353.04</v>
      </c>
      <c r="G2069" s="6" t="s">
        <v>2613</v>
      </c>
    </row>
    <row r="2070" customFormat="false" ht="15" hidden="false" customHeight="true" outlineLevel="0" collapsed="false">
      <c r="A2070" s="6" t="s">
        <v>4682</v>
      </c>
      <c r="B2070" s="6" t="s">
        <v>601</v>
      </c>
      <c r="C2070" s="6" t="s">
        <v>116</v>
      </c>
      <c r="D2070" s="13" t="n">
        <v>44960</v>
      </c>
      <c r="E2070" s="14" t="n">
        <v>3984.15</v>
      </c>
      <c r="F2070" s="14" t="n">
        <v>53337.19</v>
      </c>
      <c r="G2070" s="6" t="s">
        <v>2613</v>
      </c>
    </row>
    <row r="2071" customFormat="false" ht="15" hidden="false" customHeight="true" outlineLevel="0" collapsed="false">
      <c r="A2071" s="6" t="s">
        <v>4683</v>
      </c>
      <c r="B2071" s="6" t="s">
        <v>601</v>
      </c>
      <c r="C2071" s="6" t="s">
        <v>116</v>
      </c>
      <c r="D2071" s="13" t="n">
        <v>44967</v>
      </c>
      <c r="E2071" s="14" t="n">
        <v>3972.29</v>
      </c>
      <c r="F2071" s="14" t="n">
        <v>57309.48</v>
      </c>
      <c r="G2071" s="6" t="s">
        <v>2613</v>
      </c>
    </row>
    <row r="2072" customFormat="false" ht="15" hidden="false" customHeight="true" outlineLevel="0" collapsed="false">
      <c r="A2072" s="6" t="s">
        <v>4684</v>
      </c>
      <c r="B2072" s="6" t="s">
        <v>601</v>
      </c>
      <c r="C2072" s="6" t="s">
        <v>116</v>
      </c>
      <c r="D2072" s="13" t="n">
        <v>44974</v>
      </c>
      <c r="E2072" s="14" t="n">
        <v>2559.86</v>
      </c>
      <c r="F2072" s="14" t="n">
        <v>59869.34</v>
      </c>
      <c r="G2072" s="6" t="s">
        <v>2613</v>
      </c>
    </row>
    <row r="2073" customFormat="false" ht="15" hidden="false" customHeight="true" outlineLevel="0" collapsed="false">
      <c r="A2073" s="6" t="s">
        <v>4685</v>
      </c>
      <c r="B2073" s="6" t="s">
        <v>601</v>
      </c>
      <c r="C2073" s="6" t="s">
        <v>116</v>
      </c>
      <c r="D2073" s="13" t="n">
        <v>44981</v>
      </c>
      <c r="E2073" s="14" t="n">
        <v>3809.61</v>
      </c>
      <c r="F2073" s="14" t="n">
        <v>63678.95</v>
      </c>
      <c r="G2073" s="6" t="s">
        <v>2613</v>
      </c>
    </row>
    <row r="2074" customFormat="false" ht="15" hidden="false" customHeight="true" outlineLevel="0" collapsed="false">
      <c r="A2074" s="6" t="s">
        <v>4686</v>
      </c>
      <c r="B2074" s="6" t="s">
        <v>601</v>
      </c>
      <c r="C2074" s="6" t="s">
        <v>116</v>
      </c>
      <c r="D2074" s="13" t="n">
        <v>44988</v>
      </c>
      <c r="E2074" s="14" t="n">
        <v>2588.49</v>
      </c>
      <c r="F2074" s="14" t="n">
        <v>66267.44</v>
      </c>
      <c r="G2074" s="6" t="s">
        <v>2613</v>
      </c>
    </row>
    <row r="2075" customFormat="false" ht="15" hidden="false" customHeight="true" outlineLevel="0" collapsed="false">
      <c r="A2075" s="6" t="s">
        <v>4687</v>
      </c>
      <c r="B2075" s="6" t="s">
        <v>603</v>
      </c>
      <c r="C2075" s="6" t="s">
        <v>128</v>
      </c>
      <c r="D2075" s="13" t="n">
        <v>44955</v>
      </c>
      <c r="E2075" s="14" t="n">
        <v>2859.37</v>
      </c>
      <c r="F2075" s="14" t="n">
        <v>2859.37</v>
      </c>
      <c r="G2075" s="6" t="s">
        <v>2613</v>
      </c>
    </row>
    <row r="2076" customFormat="false" ht="15" hidden="false" customHeight="true" outlineLevel="0" collapsed="false">
      <c r="A2076" s="6" t="s">
        <v>4688</v>
      </c>
      <c r="B2076" s="6" t="s">
        <v>603</v>
      </c>
      <c r="C2076" s="6" t="s">
        <v>128</v>
      </c>
      <c r="D2076" s="13" t="n">
        <v>44962</v>
      </c>
      <c r="E2076" s="14" t="n">
        <v>5297.55</v>
      </c>
      <c r="F2076" s="14" t="n">
        <v>8156.92</v>
      </c>
      <c r="G2076" s="6" t="s">
        <v>2613</v>
      </c>
    </row>
    <row r="2077" customFormat="false" ht="15" hidden="false" customHeight="true" outlineLevel="0" collapsed="false">
      <c r="A2077" s="6" t="s">
        <v>4689</v>
      </c>
      <c r="B2077" s="6" t="s">
        <v>603</v>
      </c>
      <c r="C2077" s="6" t="s">
        <v>128</v>
      </c>
      <c r="D2077" s="13" t="n">
        <v>44969</v>
      </c>
      <c r="E2077" s="14" t="n">
        <v>6349.95</v>
      </c>
      <c r="F2077" s="14" t="n">
        <v>14506.87</v>
      </c>
      <c r="G2077" s="6" t="s">
        <v>2613</v>
      </c>
    </row>
    <row r="2078" customFormat="false" ht="15" hidden="false" customHeight="true" outlineLevel="0" collapsed="false">
      <c r="A2078" s="6" t="s">
        <v>4690</v>
      </c>
      <c r="B2078" s="6" t="s">
        <v>603</v>
      </c>
      <c r="C2078" s="6" t="s">
        <v>128</v>
      </c>
      <c r="D2078" s="13" t="n">
        <v>44976</v>
      </c>
      <c r="E2078" s="14" t="n">
        <v>2877.31</v>
      </c>
      <c r="F2078" s="14" t="n">
        <v>17384.18</v>
      </c>
      <c r="G2078" s="6" t="s">
        <v>2613</v>
      </c>
    </row>
    <row r="2079" customFormat="false" ht="15" hidden="false" customHeight="true" outlineLevel="0" collapsed="false">
      <c r="A2079" s="6" t="s">
        <v>4691</v>
      </c>
      <c r="B2079" s="6" t="s">
        <v>603</v>
      </c>
      <c r="C2079" s="6" t="s">
        <v>128</v>
      </c>
      <c r="D2079" s="13" t="n">
        <v>44983</v>
      </c>
      <c r="E2079" s="14" t="n">
        <v>5308.7</v>
      </c>
      <c r="F2079" s="14" t="n">
        <v>22692.88</v>
      </c>
      <c r="G2079" s="6" t="s">
        <v>2613</v>
      </c>
    </row>
    <row r="2080" customFormat="false" ht="15" hidden="false" customHeight="true" outlineLevel="0" collapsed="false">
      <c r="A2080" s="6" t="s">
        <v>4692</v>
      </c>
      <c r="B2080" s="6" t="s">
        <v>603</v>
      </c>
      <c r="C2080" s="6" t="s">
        <v>128</v>
      </c>
      <c r="D2080" s="13" t="n">
        <v>44990</v>
      </c>
      <c r="E2080" s="14" t="n">
        <v>4522.64</v>
      </c>
      <c r="F2080" s="14" t="n">
        <v>27215.52</v>
      </c>
      <c r="G2080" s="6" t="s">
        <v>2613</v>
      </c>
    </row>
    <row r="2081" customFormat="false" ht="15" hidden="false" customHeight="true" outlineLevel="0" collapsed="false">
      <c r="A2081" s="6" t="s">
        <v>4693</v>
      </c>
      <c r="B2081" s="6" t="s">
        <v>603</v>
      </c>
      <c r="C2081" s="6" t="s">
        <v>128</v>
      </c>
      <c r="D2081" s="13" t="n">
        <v>44997</v>
      </c>
      <c r="E2081" s="14" t="n">
        <v>5883.04</v>
      </c>
      <c r="F2081" s="14" t="n">
        <v>33098.56</v>
      </c>
      <c r="G2081" s="6" t="s">
        <v>2613</v>
      </c>
    </row>
    <row r="2082" customFormat="false" ht="15" hidden="false" customHeight="true" outlineLevel="0" collapsed="false">
      <c r="A2082" s="6" t="s">
        <v>4694</v>
      </c>
      <c r="B2082" s="6" t="s">
        <v>603</v>
      </c>
      <c r="C2082" s="6" t="s">
        <v>128</v>
      </c>
      <c r="D2082" s="13" t="n">
        <v>45004</v>
      </c>
      <c r="E2082" s="14" t="n">
        <v>3069.37</v>
      </c>
      <c r="F2082" s="14" t="n">
        <v>36167.93</v>
      </c>
      <c r="G2082" s="6" t="s">
        <v>2613</v>
      </c>
    </row>
    <row r="2083" customFormat="false" ht="15" hidden="false" customHeight="true" outlineLevel="0" collapsed="false">
      <c r="A2083" s="6" t="s">
        <v>4695</v>
      </c>
      <c r="B2083" s="6" t="s">
        <v>603</v>
      </c>
      <c r="C2083" s="6" t="s">
        <v>128</v>
      </c>
      <c r="D2083" s="13" t="n">
        <v>45011</v>
      </c>
      <c r="E2083" s="14" t="n">
        <v>3386.2</v>
      </c>
      <c r="F2083" s="14" t="n">
        <v>39554.13</v>
      </c>
      <c r="G2083" s="6" t="s">
        <v>2613</v>
      </c>
    </row>
    <row r="2084" customFormat="false" ht="15" hidden="false" customHeight="true" outlineLevel="0" collapsed="false">
      <c r="A2084" s="6" t="s">
        <v>4696</v>
      </c>
      <c r="B2084" s="6" t="s">
        <v>603</v>
      </c>
      <c r="C2084" s="6" t="s">
        <v>128</v>
      </c>
      <c r="D2084" s="13" t="n">
        <v>45018</v>
      </c>
      <c r="E2084" s="14" t="n">
        <v>4579.94</v>
      </c>
      <c r="F2084" s="14" t="n">
        <v>44134.07</v>
      </c>
      <c r="G2084" s="6" t="s">
        <v>2613</v>
      </c>
    </row>
    <row r="2085" customFormat="false" ht="15" hidden="false" customHeight="true" outlineLevel="0" collapsed="false">
      <c r="A2085" s="6" t="s">
        <v>4697</v>
      </c>
      <c r="B2085" s="6" t="s">
        <v>603</v>
      </c>
      <c r="C2085" s="6" t="s">
        <v>128</v>
      </c>
      <c r="D2085" s="13" t="n">
        <v>45025</v>
      </c>
      <c r="E2085" s="14" t="n">
        <v>5970.42</v>
      </c>
      <c r="F2085" s="14" t="n">
        <v>50104.49</v>
      </c>
      <c r="G2085" s="6" t="s">
        <v>2613</v>
      </c>
    </row>
    <row r="2086" customFormat="false" ht="15" hidden="false" customHeight="true" outlineLevel="0" collapsed="false">
      <c r="A2086" s="6" t="s">
        <v>4698</v>
      </c>
      <c r="B2086" s="6" t="s">
        <v>603</v>
      </c>
      <c r="C2086" s="6" t="s">
        <v>128</v>
      </c>
      <c r="D2086" s="13" t="n">
        <v>45032</v>
      </c>
      <c r="E2086" s="14" t="n">
        <v>4852.14</v>
      </c>
      <c r="F2086" s="14" t="n">
        <v>54956.63</v>
      </c>
      <c r="G2086" s="6" t="s">
        <v>2613</v>
      </c>
    </row>
    <row r="2087" customFormat="false" ht="15" hidden="false" customHeight="true" outlineLevel="0" collapsed="false">
      <c r="A2087" s="6" t="s">
        <v>4699</v>
      </c>
      <c r="B2087" s="6" t="s">
        <v>603</v>
      </c>
      <c r="C2087" s="6" t="s">
        <v>128</v>
      </c>
      <c r="D2087" s="13" t="n">
        <v>45039</v>
      </c>
      <c r="E2087" s="14" t="n">
        <v>4642.8</v>
      </c>
      <c r="F2087" s="14" t="n">
        <v>59599.43</v>
      </c>
      <c r="G2087" s="6" t="s">
        <v>2613</v>
      </c>
    </row>
    <row r="2088" customFormat="false" ht="15" hidden="false" customHeight="true" outlineLevel="0" collapsed="false">
      <c r="A2088" s="6" t="s">
        <v>4700</v>
      </c>
      <c r="B2088" s="6" t="s">
        <v>603</v>
      </c>
      <c r="C2088" s="6" t="s">
        <v>128</v>
      </c>
      <c r="D2088" s="13" t="n">
        <v>45046</v>
      </c>
      <c r="E2088" s="14" t="n">
        <v>4244.04</v>
      </c>
      <c r="F2088" s="14" t="n">
        <v>63843.47</v>
      </c>
      <c r="G2088" s="6" t="s">
        <v>2623</v>
      </c>
    </row>
    <row r="2089" customFormat="false" ht="15" hidden="false" customHeight="true" outlineLevel="0" collapsed="false">
      <c r="A2089" s="6" t="s">
        <v>4701</v>
      </c>
      <c r="B2089" s="6" t="s">
        <v>603</v>
      </c>
      <c r="C2089" s="6" t="s">
        <v>128</v>
      </c>
      <c r="D2089" s="13" t="n">
        <v>45053</v>
      </c>
      <c r="E2089" s="14" t="n">
        <v>5524.19</v>
      </c>
      <c r="F2089" s="14" t="n">
        <v>69367.66</v>
      </c>
      <c r="G2089" s="6" t="s">
        <v>2613</v>
      </c>
    </row>
    <row r="2090" customFormat="false" ht="15" hidden="false" customHeight="true" outlineLevel="0" collapsed="false">
      <c r="A2090" s="6" t="s">
        <v>4702</v>
      </c>
      <c r="B2090" s="6" t="s">
        <v>603</v>
      </c>
      <c r="C2090" s="6" t="s">
        <v>128</v>
      </c>
      <c r="D2090" s="13" t="n">
        <v>45060</v>
      </c>
      <c r="E2090" s="14" t="n">
        <v>3402.69</v>
      </c>
      <c r="F2090" s="14" t="n">
        <v>72770.35</v>
      </c>
      <c r="G2090" s="6" t="s">
        <v>2613</v>
      </c>
    </row>
    <row r="2091" customFormat="false" ht="15" hidden="false" customHeight="true" outlineLevel="0" collapsed="false">
      <c r="A2091" s="6" t="s">
        <v>4703</v>
      </c>
      <c r="B2091" s="6" t="s">
        <v>605</v>
      </c>
      <c r="C2091" s="6" t="s">
        <v>112</v>
      </c>
      <c r="D2091" s="13" t="n">
        <v>45498</v>
      </c>
      <c r="E2091" s="14" t="n">
        <v>3162.08</v>
      </c>
      <c r="F2091" s="14" t="n">
        <v>3162.08</v>
      </c>
      <c r="G2091" s="6" t="s">
        <v>2613</v>
      </c>
    </row>
    <row r="2092" customFormat="false" ht="15" hidden="false" customHeight="true" outlineLevel="0" collapsed="false">
      <c r="A2092" s="6" t="s">
        <v>4704</v>
      </c>
      <c r="B2092" s="6" t="s">
        <v>605</v>
      </c>
      <c r="C2092" s="6" t="s">
        <v>112</v>
      </c>
      <c r="D2092" s="13" t="n">
        <v>45505</v>
      </c>
      <c r="E2092" s="14" t="n">
        <v>1782.81</v>
      </c>
      <c r="F2092" s="14" t="n">
        <v>4944.89</v>
      </c>
      <c r="G2092" s="6" t="s">
        <v>2613</v>
      </c>
    </row>
    <row r="2093" customFormat="false" ht="15" hidden="false" customHeight="true" outlineLevel="0" collapsed="false">
      <c r="A2093" s="6" t="s">
        <v>4705</v>
      </c>
      <c r="B2093" s="6" t="s">
        <v>605</v>
      </c>
      <c r="C2093" s="6" t="s">
        <v>112</v>
      </c>
      <c r="D2093" s="13" t="n">
        <v>45512</v>
      </c>
      <c r="E2093" s="14" t="n">
        <v>2701.91</v>
      </c>
      <c r="F2093" s="14" t="n">
        <v>7646.8</v>
      </c>
      <c r="G2093" s="6" t="s">
        <v>2613</v>
      </c>
    </row>
    <row r="2094" customFormat="false" ht="15" hidden="false" customHeight="true" outlineLevel="0" collapsed="false">
      <c r="A2094" s="6" t="s">
        <v>4706</v>
      </c>
      <c r="B2094" s="6" t="s">
        <v>605</v>
      </c>
      <c r="C2094" s="6" t="s">
        <v>112</v>
      </c>
      <c r="D2094" s="13" t="n">
        <v>45519</v>
      </c>
      <c r="E2094" s="14" t="n">
        <v>3929.73</v>
      </c>
      <c r="F2094" s="14" t="n">
        <v>11576.53</v>
      </c>
      <c r="G2094" s="6" t="s">
        <v>2613</v>
      </c>
    </row>
    <row r="2095" customFormat="false" ht="15" hidden="false" customHeight="true" outlineLevel="0" collapsed="false">
      <c r="A2095" s="6" t="s">
        <v>4707</v>
      </c>
      <c r="B2095" s="6" t="s">
        <v>605</v>
      </c>
      <c r="C2095" s="6" t="s">
        <v>112</v>
      </c>
      <c r="D2095" s="13" t="n">
        <v>45526</v>
      </c>
      <c r="E2095" s="14" t="n">
        <v>2459.65</v>
      </c>
      <c r="F2095" s="14" t="n">
        <v>14036.18</v>
      </c>
      <c r="G2095" s="6" t="s">
        <v>2613</v>
      </c>
    </row>
    <row r="2096" customFormat="false" ht="15" hidden="false" customHeight="true" outlineLevel="0" collapsed="false">
      <c r="A2096" s="6" t="s">
        <v>4708</v>
      </c>
      <c r="B2096" s="6" t="s">
        <v>607</v>
      </c>
      <c r="C2096" s="6" t="s">
        <v>116</v>
      </c>
      <c r="D2096" s="13" t="n">
        <v>45060</v>
      </c>
      <c r="E2096" s="14" t="n">
        <v>2977.42</v>
      </c>
      <c r="F2096" s="14" t="n">
        <v>2977.42</v>
      </c>
      <c r="G2096" s="6" t="s">
        <v>2613</v>
      </c>
    </row>
    <row r="2097" customFormat="false" ht="15" hidden="false" customHeight="true" outlineLevel="0" collapsed="false">
      <c r="A2097" s="6" t="s">
        <v>4709</v>
      </c>
      <c r="B2097" s="6" t="s">
        <v>607</v>
      </c>
      <c r="C2097" s="6" t="s">
        <v>116</v>
      </c>
      <c r="D2097" s="13" t="n">
        <v>45067</v>
      </c>
      <c r="E2097" s="14" t="n">
        <v>3239.09</v>
      </c>
      <c r="F2097" s="14" t="n">
        <v>6216.51</v>
      </c>
      <c r="G2097" s="6" t="s">
        <v>2613</v>
      </c>
    </row>
    <row r="2098" customFormat="false" ht="15" hidden="false" customHeight="true" outlineLevel="0" collapsed="false">
      <c r="A2098" s="6" t="s">
        <v>4710</v>
      </c>
      <c r="B2098" s="6" t="s">
        <v>607</v>
      </c>
      <c r="C2098" s="6" t="s">
        <v>116</v>
      </c>
      <c r="D2098" s="13" t="n">
        <v>45074</v>
      </c>
      <c r="E2098" s="14" t="n">
        <v>3671.93</v>
      </c>
      <c r="F2098" s="14" t="n">
        <v>9888.44</v>
      </c>
      <c r="G2098" s="6" t="s">
        <v>2613</v>
      </c>
    </row>
    <row r="2099" customFormat="false" ht="15" hidden="false" customHeight="true" outlineLevel="0" collapsed="false">
      <c r="A2099" s="6" t="s">
        <v>4711</v>
      </c>
      <c r="B2099" s="6" t="s">
        <v>607</v>
      </c>
      <c r="C2099" s="6" t="s">
        <v>116</v>
      </c>
      <c r="D2099" s="13" t="n">
        <v>45081</v>
      </c>
      <c r="E2099" s="14" t="n">
        <v>4981.59</v>
      </c>
      <c r="F2099" s="14" t="n">
        <v>14870.03</v>
      </c>
      <c r="G2099" s="6" t="s">
        <v>2613</v>
      </c>
    </row>
    <row r="2100" customFormat="false" ht="15" hidden="false" customHeight="true" outlineLevel="0" collapsed="false">
      <c r="A2100" s="6" t="s">
        <v>4712</v>
      </c>
      <c r="B2100" s="6" t="s">
        <v>607</v>
      </c>
      <c r="C2100" s="6" t="s">
        <v>116</v>
      </c>
      <c r="D2100" s="13" t="n">
        <v>45088</v>
      </c>
      <c r="E2100" s="14" t="n">
        <v>4402.49</v>
      </c>
      <c r="F2100" s="14" t="n">
        <v>19272.52</v>
      </c>
      <c r="G2100" s="6" t="s">
        <v>2613</v>
      </c>
    </row>
    <row r="2101" customFormat="false" ht="15" hidden="false" customHeight="true" outlineLevel="0" collapsed="false">
      <c r="A2101" s="6" t="s">
        <v>4713</v>
      </c>
      <c r="B2101" s="6" t="s">
        <v>607</v>
      </c>
      <c r="C2101" s="6" t="s">
        <v>116</v>
      </c>
      <c r="D2101" s="13" t="n">
        <v>45095</v>
      </c>
      <c r="E2101" s="14" t="n">
        <v>5521.91</v>
      </c>
      <c r="F2101" s="14" t="n">
        <v>24794.43</v>
      </c>
      <c r="G2101" s="6" t="s">
        <v>2613</v>
      </c>
    </row>
    <row r="2102" customFormat="false" ht="15" hidden="false" customHeight="true" outlineLevel="0" collapsed="false">
      <c r="A2102" s="6" t="s">
        <v>4714</v>
      </c>
      <c r="B2102" s="6" t="s">
        <v>607</v>
      </c>
      <c r="C2102" s="6" t="s">
        <v>116</v>
      </c>
      <c r="D2102" s="13" t="n">
        <v>45102</v>
      </c>
      <c r="E2102" s="14" t="n">
        <v>5091.22</v>
      </c>
      <c r="F2102" s="14" t="n">
        <v>29885.65</v>
      </c>
      <c r="G2102" s="6" t="s">
        <v>2613</v>
      </c>
    </row>
    <row r="2103" customFormat="false" ht="15" hidden="false" customHeight="true" outlineLevel="0" collapsed="false">
      <c r="A2103" s="6" t="s">
        <v>4715</v>
      </c>
      <c r="B2103" s="6" t="s">
        <v>607</v>
      </c>
      <c r="C2103" s="6" t="s">
        <v>116</v>
      </c>
      <c r="D2103" s="13" t="n">
        <v>45109</v>
      </c>
      <c r="E2103" s="14" t="n">
        <v>5022.24</v>
      </c>
      <c r="F2103" s="14" t="n">
        <v>34907.89</v>
      </c>
      <c r="G2103" s="6" t="s">
        <v>2613</v>
      </c>
    </row>
    <row r="2104" customFormat="false" ht="15" hidden="false" customHeight="true" outlineLevel="0" collapsed="false">
      <c r="A2104" s="6" t="s">
        <v>4716</v>
      </c>
      <c r="B2104" s="6" t="s">
        <v>607</v>
      </c>
      <c r="C2104" s="6" t="s">
        <v>116</v>
      </c>
      <c r="D2104" s="13" t="n">
        <v>45116</v>
      </c>
      <c r="E2104" s="14" t="n">
        <v>4479.87</v>
      </c>
      <c r="F2104" s="14" t="n">
        <v>39387.76</v>
      </c>
      <c r="G2104" s="6" t="s">
        <v>2613</v>
      </c>
    </row>
    <row r="2105" customFormat="false" ht="15" hidden="false" customHeight="true" outlineLevel="0" collapsed="false">
      <c r="A2105" s="6" t="s">
        <v>4717</v>
      </c>
      <c r="B2105" s="6" t="s">
        <v>607</v>
      </c>
      <c r="C2105" s="6" t="s">
        <v>116</v>
      </c>
      <c r="D2105" s="13" t="n">
        <v>45123</v>
      </c>
      <c r="E2105" s="14" t="n">
        <v>5802.41</v>
      </c>
      <c r="F2105" s="14" t="n">
        <v>45190.17</v>
      </c>
      <c r="G2105" s="6" t="s">
        <v>2613</v>
      </c>
    </row>
    <row r="2106" customFormat="false" ht="15" hidden="false" customHeight="true" outlineLevel="0" collapsed="false">
      <c r="A2106" s="6" t="s">
        <v>4718</v>
      </c>
      <c r="B2106" s="6" t="s">
        <v>607</v>
      </c>
      <c r="C2106" s="6" t="s">
        <v>116</v>
      </c>
      <c r="D2106" s="13" t="n">
        <v>45130</v>
      </c>
      <c r="E2106" s="14" t="n">
        <v>4658.7</v>
      </c>
      <c r="F2106" s="14" t="n">
        <v>49848.87</v>
      </c>
      <c r="G2106" s="6" t="s">
        <v>2613</v>
      </c>
    </row>
    <row r="2107" customFormat="false" ht="15" hidden="false" customHeight="true" outlineLevel="0" collapsed="false">
      <c r="A2107" s="6" t="s">
        <v>4719</v>
      </c>
      <c r="B2107" s="6" t="s">
        <v>607</v>
      </c>
      <c r="C2107" s="6" t="s">
        <v>116</v>
      </c>
      <c r="D2107" s="13" t="n">
        <v>45137</v>
      </c>
      <c r="E2107" s="14" t="n">
        <v>5345</v>
      </c>
      <c r="F2107" s="14" t="n">
        <v>55193.87</v>
      </c>
      <c r="G2107" s="6" t="s">
        <v>2613</v>
      </c>
    </row>
    <row r="2108" customFormat="false" ht="15" hidden="false" customHeight="true" outlineLevel="0" collapsed="false">
      <c r="A2108" s="6" t="s">
        <v>4720</v>
      </c>
      <c r="B2108" s="6" t="s">
        <v>607</v>
      </c>
      <c r="C2108" s="6" t="s">
        <v>116</v>
      </c>
      <c r="D2108" s="13" t="n">
        <v>45144</v>
      </c>
      <c r="E2108" s="14" t="n">
        <v>4838.97</v>
      </c>
      <c r="F2108" s="14" t="n">
        <v>60032.84</v>
      </c>
      <c r="G2108" s="6" t="s">
        <v>2613</v>
      </c>
    </row>
    <row r="2109" customFormat="false" ht="15" hidden="false" customHeight="true" outlineLevel="0" collapsed="false">
      <c r="A2109" s="6" t="s">
        <v>4721</v>
      </c>
      <c r="B2109" s="6" t="s">
        <v>607</v>
      </c>
      <c r="C2109" s="6" t="s">
        <v>116</v>
      </c>
      <c r="D2109" s="13" t="n">
        <v>45151</v>
      </c>
      <c r="E2109" s="14" t="n">
        <v>2056.8</v>
      </c>
      <c r="F2109" s="14" t="n">
        <v>62089.64</v>
      </c>
      <c r="G2109" s="6" t="s">
        <v>2613</v>
      </c>
    </row>
    <row r="2110" customFormat="false" ht="15" hidden="false" customHeight="true" outlineLevel="0" collapsed="false">
      <c r="A2110" s="6" t="s">
        <v>4722</v>
      </c>
      <c r="B2110" s="6" t="s">
        <v>609</v>
      </c>
      <c r="C2110" s="6" t="s">
        <v>112</v>
      </c>
      <c r="D2110" s="13" t="n">
        <v>44731</v>
      </c>
      <c r="E2110" s="14" t="n">
        <v>2989.96</v>
      </c>
      <c r="F2110" s="14" t="n">
        <v>2989.96</v>
      </c>
      <c r="G2110" s="6" t="s">
        <v>2613</v>
      </c>
    </row>
    <row r="2111" customFormat="false" ht="15" hidden="false" customHeight="true" outlineLevel="0" collapsed="false">
      <c r="A2111" s="6" t="s">
        <v>4723</v>
      </c>
      <c r="B2111" s="6" t="s">
        <v>609</v>
      </c>
      <c r="C2111" s="6" t="s">
        <v>112</v>
      </c>
      <c r="D2111" s="13" t="n">
        <v>44738</v>
      </c>
      <c r="E2111" s="14" t="n">
        <v>5499.76</v>
      </c>
      <c r="F2111" s="14" t="n">
        <v>8489.72</v>
      </c>
      <c r="G2111" s="6" t="s">
        <v>2613</v>
      </c>
    </row>
    <row r="2112" customFormat="false" ht="15" hidden="false" customHeight="true" outlineLevel="0" collapsed="false">
      <c r="A2112" s="6" t="s">
        <v>4724</v>
      </c>
      <c r="B2112" s="6" t="s">
        <v>609</v>
      </c>
      <c r="C2112" s="6" t="s">
        <v>112</v>
      </c>
      <c r="D2112" s="13" t="n">
        <v>44745</v>
      </c>
      <c r="E2112" s="14" t="n">
        <v>4236</v>
      </c>
      <c r="F2112" s="14" t="n">
        <v>12725.72</v>
      </c>
      <c r="G2112" s="6" t="s">
        <v>2613</v>
      </c>
    </row>
    <row r="2113" customFormat="false" ht="15" hidden="false" customHeight="true" outlineLevel="0" collapsed="false">
      <c r="A2113" s="6" t="s">
        <v>4725</v>
      </c>
      <c r="B2113" s="6" t="s">
        <v>609</v>
      </c>
      <c r="C2113" s="6" t="s">
        <v>112</v>
      </c>
      <c r="D2113" s="13" t="n">
        <v>44752</v>
      </c>
      <c r="E2113" s="14" t="n">
        <v>2654.31</v>
      </c>
      <c r="F2113" s="14" t="n">
        <v>15380.03</v>
      </c>
      <c r="G2113" s="6" t="s">
        <v>2623</v>
      </c>
    </row>
    <row r="2114" customFormat="false" ht="15" hidden="false" customHeight="true" outlineLevel="0" collapsed="false">
      <c r="A2114" s="6" t="s">
        <v>4726</v>
      </c>
      <c r="B2114" s="6" t="s">
        <v>609</v>
      </c>
      <c r="C2114" s="6" t="s">
        <v>112</v>
      </c>
      <c r="D2114" s="13" t="n">
        <v>44759</v>
      </c>
      <c r="E2114" s="14" t="n">
        <v>2645.55</v>
      </c>
      <c r="F2114" s="14" t="n">
        <v>18025.58</v>
      </c>
      <c r="G2114" s="6" t="s">
        <v>2613</v>
      </c>
    </row>
    <row r="2115" customFormat="false" ht="15" hidden="false" customHeight="true" outlineLevel="0" collapsed="false">
      <c r="A2115" s="6" t="s">
        <v>4727</v>
      </c>
      <c r="B2115" s="6" t="s">
        <v>609</v>
      </c>
      <c r="C2115" s="6" t="s">
        <v>112</v>
      </c>
      <c r="D2115" s="13" t="n">
        <v>44766</v>
      </c>
      <c r="E2115" s="14" t="n">
        <v>3909.33</v>
      </c>
      <c r="F2115" s="14" t="n">
        <v>21934.91</v>
      </c>
      <c r="G2115" s="6" t="s">
        <v>2623</v>
      </c>
    </row>
    <row r="2116" customFormat="false" ht="15" hidden="false" customHeight="true" outlineLevel="0" collapsed="false">
      <c r="A2116" s="6" t="s">
        <v>4728</v>
      </c>
      <c r="B2116" s="6" t="s">
        <v>609</v>
      </c>
      <c r="C2116" s="6" t="s">
        <v>112</v>
      </c>
      <c r="D2116" s="13" t="n">
        <v>44773</v>
      </c>
      <c r="E2116" s="14" t="n">
        <v>4694.39</v>
      </c>
      <c r="F2116" s="14" t="n">
        <v>26629.3</v>
      </c>
      <c r="G2116" s="6" t="s">
        <v>2613</v>
      </c>
    </row>
    <row r="2117" customFormat="false" ht="15" hidden="false" customHeight="true" outlineLevel="0" collapsed="false">
      <c r="A2117" s="6" t="s">
        <v>4729</v>
      </c>
      <c r="B2117" s="6" t="s">
        <v>609</v>
      </c>
      <c r="C2117" s="6" t="s">
        <v>112</v>
      </c>
      <c r="D2117" s="13" t="n">
        <v>44780</v>
      </c>
      <c r="E2117" s="14" t="n">
        <v>3338.58</v>
      </c>
      <c r="F2117" s="14" t="n">
        <v>29967.88</v>
      </c>
      <c r="G2117" s="6" t="s">
        <v>2613</v>
      </c>
    </row>
    <row r="2118" customFormat="false" ht="15" hidden="false" customHeight="true" outlineLevel="0" collapsed="false">
      <c r="A2118" s="6" t="s">
        <v>4730</v>
      </c>
      <c r="B2118" s="6" t="s">
        <v>609</v>
      </c>
      <c r="C2118" s="6" t="s">
        <v>112</v>
      </c>
      <c r="D2118" s="13" t="n">
        <v>44787</v>
      </c>
      <c r="E2118" s="14" t="n">
        <v>2767.57</v>
      </c>
      <c r="F2118" s="14" t="n">
        <v>32735.45</v>
      </c>
      <c r="G2118" s="6" t="s">
        <v>2613</v>
      </c>
    </row>
    <row r="2119" customFormat="false" ht="15" hidden="false" customHeight="true" outlineLevel="0" collapsed="false">
      <c r="A2119" s="6" t="s">
        <v>4731</v>
      </c>
      <c r="B2119" s="6" t="s">
        <v>609</v>
      </c>
      <c r="C2119" s="6" t="s">
        <v>112</v>
      </c>
      <c r="D2119" s="13" t="n">
        <v>44794</v>
      </c>
      <c r="E2119" s="14" t="n">
        <v>2874.6</v>
      </c>
      <c r="F2119" s="14" t="n">
        <v>35610.05</v>
      </c>
      <c r="G2119" s="6" t="s">
        <v>2613</v>
      </c>
    </row>
    <row r="2120" customFormat="false" ht="15" hidden="false" customHeight="true" outlineLevel="0" collapsed="false">
      <c r="A2120" s="6" t="s">
        <v>4732</v>
      </c>
      <c r="B2120" s="6" t="s">
        <v>609</v>
      </c>
      <c r="C2120" s="6" t="s">
        <v>112</v>
      </c>
      <c r="D2120" s="13" t="n">
        <v>44801</v>
      </c>
      <c r="E2120" s="14" t="n">
        <v>10140.79</v>
      </c>
      <c r="F2120" s="14" t="n">
        <v>45750.84</v>
      </c>
      <c r="G2120" s="6" t="s">
        <v>2613</v>
      </c>
    </row>
    <row r="2121" customFormat="false" ht="15" hidden="false" customHeight="true" outlineLevel="0" collapsed="false">
      <c r="A2121" s="6" t="s">
        <v>4733</v>
      </c>
      <c r="B2121" s="6" t="s">
        <v>611</v>
      </c>
      <c r="C2121" s="6" t="s">
        <v>116</v>
      </c>
      <c r="D2121" s="13" t="n">
        <v>44952</v>
      </c>
      <c r="E2121" s="14" t="n">
        <v>648.81</v>
      </c>
      <c r="F2121" s="14" t="n">
        <v>648.81</v>
      </c>
      <c r="G2121" s="6" t="s">
        <v>2613</v>
      </c>
    </row>
    <row r="2122" customFormat="false" ht="15" hidden="false" customHeight="true" outlineLevel="0" collapsed="false">
      <c r="A2122" s="6" t="s">
        <v>4734</v>
      </c>
      <c r="B2122" s="6" t="s">
        <v>611</v>
      </c>
      <c r="C2122" s="6" t="s">
        <v>116</v>
      </c>
      <c r="D2122" s="13" t="n">
        <v>44959</v>
      </c>
      <c r="E2122" s="14" t="n">
        <v>533.15</v>
      </c>
      <c r="F2122" s="14" t="n">
        <v>1181.96</v>
      </c>
      <c r="G2122" s="6" t="s">
        <v>2613</v>
      </c>
    </row>
    <row r="2123" customFormat="false" ht="15" hidden="false" customHeight="true" outlineLevel="0" collapsed="false">
      <c r="A2123" s="6" t="s">
        <v>4735</v>
      </c>
      <c r="B2123" s="6" t="s">
        <v>611</v>
      </c>
      <c r="C2123" s="6" t="s">
        <v>116</v>
      </c>
      <c r="D2123" s="13" t="n">
        <v>44966</v>
      </c>
      <c r="E2123" s="14" t="n">
        <v>287.63</v>
      </c>
      <c r="F2123" s="14" t="n">
        <v>1469.59</v>
      </c>
      <c r="G2123" s="6" t="s">
        <v>2613</v>
      </c>
    </row>
    <row r="2124" customFormat="false" ht="15" hidden="false" customHeight="true" outlineLevel="0" collapsed="false">
      <c r="A2124" s="6" t="s">
        <v>4736</v>
      </c>
      <c r="B2124" s="6" t="s">
        <v>611</v>
      </c>
      <c r="C2124" s="6" t="s">
        <v>116</v>
      </c>
      <c r="D2124" s="13" t="n">
        <v>44973</v>
      </c>
      <c r="E2124" s="14" t="n">
        <v>285.9</v>
      </c>
      <c r="F2124" s="14" t="n">
        <v>1755.49</v>
      </c>
      <c r="G2124" s="6" t="s">
        <v>2613</v>
      </c>
    </row>
    <row r="2125" customFormat="false" ht="15" hidden="false" customHeight="true" outlineLevel="0" collapsed="false">
      <c r="A2125" s="6" t="s">
        <v>4737</v>
      </c>
      <c r="B2125" s="6" t="s">
        <v>611</v>
      </c>
      <c r="C2125" s="6" t="s">
        <v>116</v>
      </c>
      <c r="D2125" s="13" t="n">
        <v>44980</v>
      </c>
      <c r="E2125" s="14" t="n">
        <v>453.28</v>
      </c>
      <c r="F2125" s="14" t="n">
        <v>2208.77</v>
      </c>
      <c r="G2125" s="6" t="s">
        <v>2613</v>
      </c>
    </row>
    <row r="2126" customFormat="false" ht="15" hidden="false" customHeight="true" outlineLevel="0" collapsed="false">
      <c r="A2126" s="6" t="s">
        <v>4738</v>
      </c>
      <c r="B2126" s="6" t="s">
        <v>611</v>
      </c>
      <c r="C2126" s="6" t="s">
        <v>116</v>
      </c>
      <c r="D2126" s="13" t="n">
        <v>44987</v>
      </c>
      <c r="E2126" s="14" t="n">
        <v>527.28</v>
      </c>
      <c r="F2126" s="14" t="n">
        <v>2736.05</v>
      </c>
      <c r="G2126" s="6" t="s">
        <v>2613</v>
      </c>
    </row>
    <row r="2127" customFormat="false" ht="15" hidden="false" customHeight="true" outlineLevel="0" collapsed="false">
      <c r="A2127" s="6" t="s">
        <v>4739</v>
      </c>
      <c r="B2127" s="6" t="s">
        <v>611</v>
      </c>
      <c r="C2127" s="6" t="s">
        <v>116</v>
      </c>
      <c r="D2127" s="13" t="n">
        <v>44994</v>
      </c>
      <c r="E2127" s="14" t="n">
        <v>552.82</v>
      </c>
      <c r="F2127" s="14" t="n">
        <v>3288.87</v>
      </c>
      <c r="G2127" s="6" t="s">
        <v>2613</v>
      </c>
    </row>
    <row r="2128" customFormat="false" ht="15" hidden="false" customHeight="true" outlineLevel="0" collapsed="false">
      <c r="A2128" s="6" t="s">
        <v>4740</v>
      </c>
      <c r="B2128" s="6" t="s">
        <v>611</v>
      </c>
      <c r="C2128" s="6" t="s">
        <v>116</v>
      </c>
      <c r="D2128" s="13" t="n">
        <v>45001</v>
      </c>
      <c r="E2128" s="14" t="n">
        <v>585.49</v>
      </c>
      <c r="F2128" s="14" t="n">
        <v>3874.36</v>
      </c>
      <c r="G2128" s="6" t="s">
        <v>2613</v>
      </c>
    </row>
    <row r="2129" customFormat="false" ht="15" hidden="false" customHeight="true" outlineLevel="0" collapsed="false">
      <c r="A2129" s="6" t="s">
        <v>4741</v>
      </c>
      <c r="B2129" s="6" t="s">
        <v>611</v>
      </c>
      <c r="C2129" s="6" t="s">
        <v>116</v>
      </c>
      <c r="D2129" s="13" t="n">
        <v>45008</v>
      </c>
      <c r="E2129" s="14" t="n">
        <v>539.62</v>
      </c>
      <c r="F2129" s="14" t="n">
        <v>4413.98</v>
      </c>
      <c r="G2129" s="6" t="s">
        <v>2613</v>
      </c>
    </row>
    <row r="2130" customFormat="false" ht="15" hidden="false" customHeight="true" outlineLevel="0" collapsed="false">
      <c r="A2130" s="6" t="s">
        <v>4742</v>
      </c>
      <c r="B2130" s="6" t="s">
        <v>611</v>
      </c>
      <c r="C2130" s="6" t="s">
        <v>116</v>
      </c>
      <c r="D2130" s="13" t="n">
        <v>45015</v>
      </c>
      <c r="E2130" s="14" t="n">
        <v>533.79</v>
      </c>
      <c r="F2130" s="14" t="n">
        <v>4947.77</v>
      </c>
      <c r="G2130" s="6" t="s">
        <v>2613</v>
      </c>
    </row>
    <row r="2131" customFormat="false" ht="15" hidden="false" customHeight="true" outlineLevel="0" collapsed="false">
      <c r="A2131" s="6" t="s">
        <v>4743</v>
      </c>
      <c r="B2131" s="6" t="s">
        <v>611</v>
      </c>
      <c r="C2131" s="6" t="s">
        <v>116</v>
      </c>
      <c r="D2131" s="13" t="n">
        <v>45022</v>
      </c>
      <c r="E2131" s="14" t="n">
        <v>313.75</v>
      </c>
      <c r="F2131" s="14" t="n">
        <v>5261.52</v>
      </c>
      <c r="G2131" s="6" t="s">
        <v>2613</v>
      </c>
    </row>
    <row r="2132" customFormat="false" ht="15" hidden="false" customHeight="true" outlineLevel="0" collapsed="false">
      <c r="A2132" s="6" t="s">
        <v>4744</v>
      </c>
      <c r="B2132" s="6" t="s">
        <v>611</v>
      </c>
      <c r="C2132" s="6" t="s">
        <v>116</v>
      </c>
      <c r="D2132" s="13" t="n">
        <v>45029</v>
      </c>
      <c r="E2132" s="14" t="n">
        <v>352.39</v>
      </c>
      <c r="F2132" s="14" t="n">
        <v>5613.91</v>
      </c>
      <c r="G2132" s="6" t="s">
        <v>2613</v>
      </c>
    </row>
    <row r="2133" customFormat="false" ht="15" hidden="false" customHeight="true" outlineLevel="0" collapsed="false">
      <c r="A2133" s="6" t="s">
        <v>4745</v>
      </c>
      <c r="B2133" s="6" t="s">
        <v>611</v>
      </c>
      <c r="C2133" s="6" t="s">
        <v>116</v>
      </c>
      <c r="D2133" s="13" t="n">
        <v>45036</v>
      </c>
      <c r="E2133" s="14" t="n">
        <v>541.63</v>
      </c>
      <c r="F2133" s="14" t="n">
        <v>6155.54</v>
      </c>
      <c r="G2133" s="6" t="s">
        <v>2613</v>
      </c>
    </row>
    <row r="2134" customFormat="false" ht="15" hidden="false" customHeight="true" outlineLevel="0" collapsed="false">
      <c r="A2134" s="6" t="s">
        <v>4746</v>
      </c>
      <c r="B2134" s="6" t="s">
        <v>611</v>
      </c>
      <c r="C2134" s="6" t="s">
        <v>116</v>
      </c>
      <c r="D2134" s="13" t="n">
        <v>45043</v>
      </c>
      <c r="E2134" s="14" t="n">
        <v>290.97</v>
      </c>
      <c r="F2134" s="14" t="n">
        <v>6446.51</v>
      </c>
      <c r="G2134" s="6" t="s">
        <v>2613</v>
      </c>
    </row>
    <row r="2135" customFormat="false" ht="15" hidden="false" customHeight="true" outlineLevel="0" collapsed="false">
      <c r="A2135" s="6" t="s">
        <v>4747</v>
      </c>
      <c r="B2135" s="6" t="s">
        <v>611</v>
      </c>
      <c r="C2135" s="6" t="s">
        <v>116</v>
      </c>
      <c r="D2135" s="13" t="n">
        <v>45050</v>
      </c>
      <c r="E2135" s="14" t="n">
        <v>335.29</v>
      </c>
      <c r="F2135" s="14" t="n">
        <v>6781.8</v>
      </c>
      <c r="G2135" s="6" t="s">
        <v>2613</v>
      </c>
    </row>
    <row r="2136" customFormat="false" ht="15" hidden="false" customHeight="true" outlineLevel="0" collapsed="false">
      <c r="A2136" s="6" t="s">
        <v>4748</v>
      </c>
      <c r="B2136" s="6" t="s">
        <v>611</v>
      </c>
      <c r="C2136" s="6" t="s">
        <v>116</v>
      </c>
      <c r="D2136" s="13" t="n">
        <v>45057</v>
      </c>
      <c r="E2136" s="14" t="n">
        <v>596.34</v>
      </c>
      <c r="F2136" s="14" t="n">
        <v>7378.14</v>
      </c>
      <c r="G2136" s="6" t="s">
        <v>2613</v>
      </c>
    </row>
    <row r="2137" customFormat="false" ht="15" hidden="false" customHeight="true" outlineLevel="0" collapsed="false">
      <c r="A2137" s="6" t="s">
        <v>4749</v>
      </c>
      <c r="B2137" s="6" t="s">
        <v>611</v>
      </c>
      <c r="C2137" s="6" t="s">
        <v>116</v>
      </c>
      <c r="D2137" s="13" t="n">
        <v>45064</v>
      </c>
      <c r="E2137" s="14" t="n">
        <v>482.65</v>
      </c>
      <c r="F2137" s="14" t="n">
        <v>7860.79</v>
      </c>
      <c r="G2137" s="6" t="s">
        <v>2623</v>
      </c>
    </row>
    <row r="2138" customFormat="false" ht="15" hidden="false" customHeight="true" outlineLevel="0" collapsed="false">
      <c r="A2138" s="6" t="s">
        <v>4750</v>
      </c>
      <c r="B2138" s="6" t="s">
        <v>611</v>
      </c>
      <c r="C2138" s="6" t="s">
        <v>116</v>
      </c>
      <c r="D2138" s="13" t="n">
        <v>45071</v>
      </c>
      <c r="E2138" s="14" t="n">
        <v>566.85</v>
      </c>
      <c r="F2138" s="14" t="n">
        <v>8427.64</v>
      </c>
      <c r="G2138" s="6" t="s">
        <v>2613</v>
      </c>
    </row>
    <row r="2139" customFormat="false" ht="15" hidden="false" customHeight="true" outlineLevel="0" collapsed="false">
      <c r="A2139" s="6" t="s">
        <v>4751</v>
      </c>
      <c r="B2139" s="6" t="s">
        <v>613</v>
      </c>
      <c r="C2139" s="6" t="s">
        <v>116</v>
      </c>
      <c r="D2139" s="13" t="n">
        <v>44981</v>
      </c>
      <c r="E2139" s="14" t="n">
        <v>407.91</v>
      </c>
      <c r="F2139" s="14" t="n">
        <v>407.91</v>
      </c>
      <c r="G2139" s="6" t="s">
        <v>2613</v>
      </c>
    </row>
    <row r="2140" customFormat="false" ht="15" hidden="false" customHeight="true" outlineLevel="0" collapsed="false">
      <c r="A2140" s="6" t="s">
        <v>4752</v>
      </c>
      <c r="B2140" s="6" t="s">
        <v>613</v>
      </c>
      <c r="C2140" s="6" t="s">
        <v>116</v>
      </c>
      <c r="D2140" s="13" t="n">
        <v>44988</v>
      </c>
      <c r="E2140" s="14" t="n">
        <v>304.64</v>
      </c>
      <c r="F2140" s="14" t="n">
        <v>712.55</v>
      </c>
      <c r="G2140" s="6" t="s">
        <v>2613</v>
      </c>
    </row>
    <row r="2141" customFormat="false" ht="15" hidden="false" customHeight="true" outlineLevel="0" collapsed="false">
      <c r="A2141" s="6" t="s">
        <v>4753</v>
      </c>
      <c r="B2141" s="6" t="s">
        <v>613</v>
      </c>
      <c r="C2141" s="6" t="s">
        <v>116</v>
      </c>
      <c r="D2141" s="13" t="n">
        <v>44995</v>
      </c>
      <c r="E2141" s="14" t="n">
        <v>422.23</v>
      </c>
      <c r="F2141" s="14" t="n">
        <v>1134.78</v>
      </c>
      <c r="G2141" s="6" t="s">
        <v>2613</v>
      </c>
    </row>
    <row r="2142" customFormat="false" ht="15" hidden="false" customHeight="true" outlineLevel="0" collapsed="false">
      <c r="A2142" s="6" t="s">
        <v>4754</v>
      </c>
      <c r="B2142" s="6" t="s">
        <v>613</v>
      </c>
      <c r="C2142" s="6" t="s">
        <v>116</v>
      </c>
      <c r="D2142" s="13" t="n">
        <v>45002</v>
      </c>
      <c r="E2142" s="14" t="n">
        <v>445.06</v>
      </c>
      <c r="F2142" s="14" t="n">
        <v>1579.84</v>
      </c>
      <c r="G2142" s="6" t="s">
        <v>2613</v>
      </c>
    </row>
    <row r="2143" customFormat="false" ht="15" hidden="false" customHeight="true" outlineLevel="0" collapsed="false">
      <c r="A2143" s="6" t="s">
        <v>4755</v>
      </c>
      <c r="B2143" s="6" t="s">
        <v>613</v>
      </c>
      <c r="C2143" s="6" t="s">
        <v>116</v>
      </c>
      <c r="D2143" s="13" t="n">
        <v>45009</v>
      </c>
      <c r="E2143" s="14" t="n">
        <v>529.16</v>
      </c>
      <c r="F2143" s="14" t="n">
        <v>2109</v>
      </c>
      <c r="G2143" s="6" t="s">
        <v>2613</v>
      </c>
    </row>
    <row r="2144" customFormat="false" ht="15" hidden="false" customHeight="true" outlineLevel="0" collapsed="false">
      <c r="A2144" s="6" t="s">
        <v>4756</v>
      </c>
      <c r="B2144" s="6" t="s">
        <v>613</v>
      </c>
      <c r="C2144" s="6" t="s">
        <v>116</v>
      </c>
      <c r="D2144" s="13" t="n">
        <v>45016</v>
      </c>
      <c r="E2144" s="14" t="n">
        <v>281.18</v>
      </c>
      <c r="F2144" s="14" t="n">
        <v>2390.18</v>
      </c>
      <c r="G2144" s="6" t="s">
        <v>2613</v>
      </c>
    </row>
    <row r="2145" customFormat="false" ht="15" hidden="false" customHeight="true" outlineLevel="0" collapsed="false">
      <c r="A2145" s="6" t="s">
        <v>4757</v>
      </c>
      <c r="B2145" s="6" t="s">
        <v>613</v>
      </c>
      <c r="C2145" s="6" t="s">
        <v>116</v>
      </c>
      <c r="D2145" s="13" t="n">
        <v>45023</v>
      </c>
      <c r="E2145" s="14" t="n">
        <v>451.37</v>
      </c>
      <c r="F2145" s="14" t="n">
        <v>2841.55</v>
      </c>
      <c r="G2145" s="6" t="s">
        <v>2613</v>
      </c>
    </row>
    <row r="2146" customFormat="false" ht="15" hidden="false" customHeight="true" outlineLevel="0" collapsed="false">
      <c r="A2146" s="6" t="s">
        <v>4758</v>
      </c>
      <c r="B2146" s="6" t="s">
        <v>613</v>
      </c>
      <c r="C2146" s="6" t="s">
        <v>116</v>
      </c>
      <c r="D2146" s="13" t="n">
        <v>45030</v>
      </c>
      <c r="E2146" s="14" t="n">
        <v>602.11</v>
      </c>
      <c r="F2146" s="14" t="n">
        <v>3443.66</v>
      </c>
      <c r="G2146" s="6" t="s">
        <v>2613</v>
      </c>
    </row>
    <row r="2147" customFormat="false" ht="15" hidden="false" customHeight="true" outlineLevel="0" collapsed="false">
      <c r="A2147" s="6" t="s">
        <v>4759</v>
      </c>
      <c r="B2147" s="6" t="s">
        <v>613</v>
      </c>
      <c r="C2147" s="6" t="s">
        <v>116</v>
      </c>
      <c r="D2147" s="13" t="n">
        <v>45037</v>
      </c>
      <c r="E2147" s="14" t="n">
        <v>577.94</v>
      </c>
      <c r="F2147" s="14" t="n">
        <v>4021.6</v>
      </c>
      <c r="G2147" s="6" t="s">
        <v>2613</v>
      </c>
    </row>
    <row r="2148" customFormat="false" ht="15" hidden="false" customHeight="true" outlineLevel="0" collapsed="false">
      <c r="A2148" s="6" t="s">
        <v>4760</v>
      </c>
      <c r="B2148" s="6" t="s">
        <v>613</v>
      </c>
      <c r="C2148" s="6" t="s">
        <v>116</v>
      </c>
      <c r="D2148" s="13" t="n">
        <v>45044</v>
      </c>
      <c r="E2148" s="14" t="n">
        <v>289.65</v>
      </c>
      <c r="F2148" s="14" t="n">
        <v>4311.25</v>
      </c>
      <c r="G2148" s="6" t="s">
        <v>2623</v>
      </c>
    </row>
    <row r="2149" customFormat="false" ht="15" hidden="false" customHeight="true" outlineLevel="0" collapsed="false">
      <c r="A2149" s="6" t="s">
        <v>4761</v>
      </c>
      <c r="B2149" s="6" t="s">
        <v>613</v>
      </c>
      <c r="C2149" s="6" t="s">
        <v>116</v>
      </c>
      <c r="D2149" s="13" t="n">
        <v>45051</v>
      </c>
      <c r="E2149" s="14" t="n">
        <v>473.89</v>
      </c>
      <c r="F2149" s="14" t="n">
        <v>4785.14</v>
      </c>
      <c r="G2149" s="6" t="s">
        <v>2613</v>
      </c>
    </row>
    <row r="2150" customFormat="false" ht="15" hidden="false" customHeight="true" outlineLevel="0" collapsed="false">
      <c r="A2150" s="6" t="s">
        <v>4762</v>
      </c>
      <c r="B2150" s="6" t="s">
        <v>613</v>
      </c>
      <c r="C2150" s="6" t="s">
        <v>116</v>
      </c>
      <c r="D2150" s="13" t="n">
        <v>45058</v>
      </c>
      <c r="E2150" s="14" t="n">
        <v>363.65</v>
      </c>
      <c r="F2150" s="14" t="n">
        <v>5148.79</v>
      </c>
      <c r="G2150" s="6" t="s">
        <v>2613</v>
      </c>
    </row>
    <row r="2151" customFormat="false" ht="15" hidden="false" customHeight="true" outlineLevel="0" collapsed="false">
      <c r="A2151" s="6" t="s">
        <v>4763</v>
      </c>
      <c r="B2151" s="6" t="s">
        <v>613</v>
      </c>
      <c r="C2151" s="6" t="s">
        <v>116</v>
      </c>
      <c r="D2151" s="13" t="n">
        <v>45065</v>
      </c>
      <c r="E2151" s="14" t="n">
        <v>585.63</v>
      </c>
      <c r="F2151" s="14" t="n">
        <v>5734.42</v>
      </c>
      <c r="G2151" s="6" t="s">
        <v>2613</v>
      </c>
    </row>
    <row r="2152" customFormat="false" ht="15" hidden="false" customHeight="true" outlineLevel="0" collapsed="false">
      <c r="A2152" s="6" t="s">
        <v>4764</v>
      </c>
      <c r="B2152" s="6" t="s">
        <v>613</v>
      </c>
      <c r="C2152" s="6" t="s">
        <v>116</v>
      </c>
      <c r="D2152" s="13" t="n">
        <v>45072</v>
      </c>
      <c r="E2152" s="14" t="n">
        <v>490.43</v>
      </c>
      <c r="F2152" s="14" t="n">
        <v>6224.85</v>
      </c>
      <c r="G2152" s="6" t="s">
        <v>2613</v>
      </c>
    </row>
    <row r="2153" customFormat="false" ht="15" hidden="false" customHeight="true" outlineLevel="0" collapsed="false">
      <c r="A2153" s="6" t="s">
        <v>4765</v>
      </c>
      <c r="B2153" s="6" t="s">
        <v>613</v>
      </c>
      <c r="C2153" s="6" t="s">
        <v>116</v>
      </c>
      <c r="D2153" s="13" t="n">
        <v>45079</v>
      </c>
      <c r="E2153" s="14" t="n">
        <v>474.09</v>
      </c>
      <c r="F2153" s="14" t="n">
        <v>6698.94</v>
      </c>
      <c r="G2153" s="6" t="s">
        <v>2613</v>
      </c>
    </row>
    <row r="2154" customFormat="false" ht="15" hidden="false" customHeight="true" outlineLevel="0" collapsed="false">
      <c r="A2154" s="6" t="s">
        <v>4766</v>
      </c>
      <c r="B2154" s="6" t="s">
        <v>615</v>
      </c>
      <c r="C2154" s="6" t="s">
        <v>124</v>
      </c>
      <c r="D2154" s="13" t="n">
        <v>46033</v>
      </c>
      <c r="E2154" s="14" t="n">
        <v>4314.48</v>
      </c>
      <c r="F2154" s="14" t="n">
        <v>4314.48</v>
      </c>
      <c r="G2154" s="6" t="s">
        <v>2613</v>
      </c>
    </row>
    <row r="2155" customFormat="false" ht="15" hidden="false" customHeight="true" outlineLevel="0" collapsed="false">
      <c r="A2155" s="6" t="s">
        <v>4767</v>
      </c>
      <c r="B2155" s="6" t="s">
        <v>615</v>
      </c>
      <c r="C2155" s="6" t="s">
        <v>124</v>
      </c>
      <c r="D2155" s="13" t="n">
        <v>46040</v>
      </c>
      <c r="E2155" s="14" t="n">
        <v>7070.12</v>
      </c>
      <c r="F2155" s="14" t="n">
        <v>11384.6</v>
      </c>
      <c r="G2155" s="6" t="s">
        <v>2613</v>
      </c>
    </row>
    <row r="2156" customFormat="false" ht="15" hidden="false" customHeight="true" outlineLevel="0" collapsed="false">
      <c r="A2156" s="6" t="s">
        <v>4768</v>
      </c>
      <c r="B2156" s="6" t="s">
        <v>615</v>
      </c>
      <c r="C2156" s="6" t="s">
        <v>124</v>
      </c>
      <c r="D2156" s="13" t="n">
        <v>46047</v>
      </c>
      <c r="E2156" s="14" t="n">
        <v>5884.62</v>
      </c>
      <c r="F2156" s="14" t="n">
        <v>17269.22</v>
      </c>
      <c r="G2156" s="6" t="s">
        <v>2613</v>
      </c>
    </row>
    <row r="2157" customFormat="false" ht="15" hidden="false" customHeight="true" outlineLevel="0" collapsed="false">
      <c r="A2157" s="6" t="s">
        <v>4769</v>
      </c>
      <c r="B2157" s="6" t="s">
        <v>615</v>
      </c>
      <c r="C2157" s="6" t="s">
        <v>124</v>
      </c>
      <c r="D2157" s="13" t="n">
        <v>46054</v>
      </c>
      <c r="E2157" s="14" t="n">
        <v>6392.67</v>
      </c>
      <c r="F2157" s="14" t="n">
        <v>23661.89</v>
      </c>
      <c r="G2157" s="6" t="s">
        <v>2613</v>
      </c>
    </row>
    <row r="2158" customFormat="false" ht="15" hidden="false" customHeight="true" outlineLevel="0" collapsed="false">
      <c r="A2158" s="6" t="s">
        <v>4770</v>
      </c>
      <c r="B2158" s="6" t="s">
        <v>615</v>
      </c>
      <c r="C2158" s="6" t="s">
        <v>124</v>
      </c>
      <c r="D2158" s="13" t="n">
        <v>46061</v>
      </c>
      <c r="E2158" s="14" t="n">
        <v>2182.16</v>
      </c>
      <c r="F2158" s="14" t="n">
        <v>25844.05</v>
      </c>
      <c r="G2158" s="6" t="s">
        <v>2613</v>
      </c>
    </row>
    <row r="2159" customFormat="false" ht="15" hidden="false" customHeight="true" outlineLevel="0" collapsed="false">
      <c r="A2159" s="6" t="s">
        <v>4771</v>
      </c>
      <c r="B2159" s="6" t="s">
        <v>617</v>
      </c>
      <c r="C2159" s="6" t="s">
        <v>128</v>
      </c>
      <c r="D2159" s="13" t="n">
        <v>45580</v>
      </c>
      <c r="E2159" s="14" t="n">
        <v>4051.38</v>
      </c>
      <c r="F2159" s="14" t="n">
        <v>4051.38</v>
      </c>
      <c r="G2159" s="6" t="s">
        <v>2623</v>
      </c>
    </row>
    <row r="2160" customFormat="false" ht="15" hidden="false" customHeight="true" outlineLevel="0" collapsed="false">
      <c r="A2160" s="6" t="s">
        <v>4772</v>
      </c>
      <c r="B2160" s="6" t="s">
        <v>617</v>
      </c>
      <c r="C2160" s="6" t="s">
        <v>128</v>
      </c>
      <c r="D2160" s="13" t="n">
        <v>45587</v>
      </c>
      <c r="E2160" s="14" t="n">
        <v>8289.86</v>
      </c>
      <c r="F2160" s="14" t="n">
        <v>12341.24</v>
      </c>
      <c r="G2160" s="6" t="s">
        <v>2613</v>
      </c>
    </row>
    <row r="2161" customFormat="false" ht="15" hidden="false" customHeight="true" outlineLevel="0" collapsed="false">
      <c r="A2161" s="6" t="s">
        <v>4773</v>
      </c>
      <c r="B2161" s="6" t="s">
        <v>617</v>
      </c>
      <c r="C2161" s="6" t="s">
        <v>128</v>
      </c>
      <c r="D2161" s="13" t="n">
        <v>45594</v>
      </c>
      <c r="E2161" s="14" t="n">
        <v>4618.42</v>
      </c>
      <c r="F2161" s="14" t="n">
        <v>16959.66</v>
      </c>
      <c r="G2161" s="6" t="s">
        <v>2613</v>
      </c>
    </row>
    <row r="2162" customFormat="false" ht="15" hidden="false" customHeight="true" outlineLevel="0" collapsed="false">
      <c r="A2162" s="6" t="s">
        <v>4774</v>
      </c>
      <c r="B2162" s="6" t="s">
        <v>617</v>
      </c>
      <c r="C2162" s="6" t="s">
        <v>128</v>
      </c>
      <c r="D2162" s="13" t="n">
        <v>45601</v>
      </c>
      <c r="E2162" s="14" t="n">
        <v>8358.74</v>
      </c>
      <c r="F2162" s="14" t="n">
        <v>25318.4</v>
      </c>
      <c r="G2162" s="6" t="s">
        <v>2623</v>
      </c>
    </row>
    <row r="2163" customFormat="false" ht="15" hidden="false" customHeight="true" outlineLevel="0" collapsed="false">
      <c r="A2163" s="6" t="s">
        <v>4775</v>
      </c>
      <c r="B2163" s="6" t="s">
        <v>617</v>
      </c>
      <c r="C2163" s="6" t="s">
        <v>128</v>
      </c>
      <c r="D2163" s="13" t="n">
        <v>45608</v>
      </c>
      <c r="E2163" s="14" t="n">
        <v>6450.2</v>
      </c>
      <c r="F2163" s="14" t="n">
        <v>31768.6</v>
      </c>
      <c r="G2163" s="6" t="s">
        <v>2623</v>
      </c>
    </row>
    <row r="2164" customFormat="false" ht="15" hidden="false" customHeight="true" outlineLevel="0" collapsed="false">
      <c r="A2164" s="6" t="s">
        <v>4776</v>
      </c>
      <c r="B2164" s="6" t="s">
        <v>619</v>
      </c>
      <c r="C2164" s="6" t="s">
        <v>124</v>
      </c>
      <c r="D2164" s="13" t="n">
        <v>44878</v>
      </c>
      <c r="E2164" s="14" t="n">
        <v>1975.89</v>
      </c>
      <c r="F2164" s="14" t="n">
        <v>1975.89</v>
      </c>
      <c r="G2164" s="6" t="s">
        <v>2613</v>
      </c>
    </row>
    <row r="2165" customFormat="false" ht="15" hidden="false" customHeight="true" outlineLevel="0" collapsed="false">
      <c r="A2165" s="6" t="s">
        <v>4777</v>
      </c>
      <c r="B2165" s="6" t="s">
        <v>619</v>
      </c>
      <c r="C2165" s="6" t="s">
        <v>124</v>
      </c>
      <c r="D2165" s="13" t="n">
        <v>44885</v>
      </c>
      <c r="E2165" s="14" t="n">
        <v>1167.81</v>
      </c>
      <c r="F2165" s="14" t="n">
        <v>3143.7</v>
      </c>
      <c r="G2165" s="6" t="s">
        <v>2613</v>
      </c>
    </row>
    <row r="2166" customFormat="false" ht="15" hidden="false" customHeight="true" outlineLevel="0" collapsed="false">
      <c r="A2166" s="6" t="s">
        <v>4778</v>
      </c>
      <c r="B2166" s="6" t="s">
        <v>619</v>
      </c>
      <c r="C2166" s="6" t="s">
        <v>124</v>
      </c>
      <c r="D2166" s="13" t="n">
        <v>44892</v>
      </c>
      <c r="E2166" s="14" t="n">
        <v>2259.95</v>
      </c>
      <c r="F2166" s="14" t="n">
        <v>5403.65</v>
      </c>
      <c r="G2166" s="6" t="s">
        <v>2613</v>
      </c>
    </row>
    <row r="2167" customFormat="false" ht="15" hidden="false" customHeight="true" outlineLevel="0" collapsed="false">
      <c r="A2167" s="6" t="s">
        <v>4779</v>
      </c>
      <c r="B2167" s="6" t="s">
        <v>619</v>
      </c>
      <c r="C2167" s="6" t="s">
        <v>124</v>
      </c>
      <c r="D2167" s="13" t="n">
        <v>44899</v>
      </c>
      <c r="E2167" s="14" t="n">
        <v>2196.89</v>
      </c>
      <c r="F2167" s="14" t="n">
        <v>7600.54</v>
      </c>
      <c r="G2167" s="6" t="s">
        <v>2613</v>
      </c>
    </row>
    <row r="2168" customFormat="false" ht="15" hidden="false" customHeight="true" outlineLevel="0" collapsed="false">
      <c r="A2168" s="6" t="s">
        <v>4780</v>
      </c>
      <c r="B2168" s="6" t="s">
        <v>619</v>
      </c>
      <c r="C2168" s="6" t="s">
        <v>124</v>
      </c>
      <c r="D2168" s="13" t="n">
        <v>44906</v>
      </c>
      <c r="E2168" s="14" t="n">
        <v>2234.66</v>
      </c>
      <c r="F2168" s="14" t="n">
        <v>9835.2</v>
      </c>
      <c r="G2168" s="6" t="s">
        <v>2613</v>
      </c>
    </row>
    <row r="2169" customFormat="false" ht="15" hidden="false" customHeight="true" outlineLevel="0" collapsed="false">
      <c r="A2169" s="6" t="s">
        <v>4781</v>
      </c>
      <c r="B2169" s="6" t="s">
        <v>619</v>
      </c>
      <c r="C2169" s="6" t="s">
        <v>124</v>
      </c>
      <c r="D2169" s="13" t="n">
        <v>44913</v>
      </c>
      <c r="E2169" s="14" t="n">
        <v>2346.62</v>
      </c>
      <c r="F2169" s="14" t="n">
        <v>12181.82</v>
      </c>
      <c r="G2169" s="6" t="s">
        <v>2613</v>
      </c>
    </row>
    <row r="2170" customFormat="false" ht="15" hidden="false" customHeight="true" outlineLevel="0" collapsed="false">
      <c r="A2170" s="6" t="s">
        <v>4782</v>
      </c>
      <c r="B2170" s="6" t="s">
        <v>619</v>
      </c>
      <c r="C2170" s="6" t="s">
        <v>124</v>
      </c>
      <c r="D2170" s="13" t="n">
        <v>44920</v>
      </c>
      <c r="E2170" s="14" t="n">
        <v>1914.88</v>
      </c>
      <c r="F2170" s="14" t="n">
        <v>14096.7</v>
      </c>
      <c r="G2170" s="6" t="s">
        <v>2613</v>
      </c>
    </row>
    <row r="2171" customFormat="false" ht="15" hidden="false" customHeight="true" outlineLevel="0" collapsed="false">
      <c r="A2171" s="6" t="s">
        <v>4783</v>
      </c>
      <c r="B2171" s="6" t="s">
        <v>619</v>
      </c>
      <c r="C2171" s="6" t="s">
        <v>124</v>
      </c>
      <c r="D2171" s="13" t="n">
        <v>44927</v>
      </c>
      <c r="E2171" s="14" t="n">
        <v>1337.96</v>
      </c>
      <c r="F2171" s="14" t="n">
        <v>15434.66</v>
      </c>
      <c r="G2171" s="6" t="s">
        <v>2613</v>
      </c>
    </row>
    <row r="2172" customFormat="false" ht="15" hidden="false" customHeight="true" outlineLevel="0" collapsed="false">
      <c r="A2172" s="6" t="s">
        <v>4784</v>
      </c>
      <c r="B2172" s="6" t="s">
        <v>619</v>
      </c>
      <c r="C2172" s="6" t="s">
        <v>124</v>
      </c>
      <c r="D2172" s="13" t="n">
        <v>44934</v>
      </c>
      <c r="E2172" s="14" t="n">
        <v>1393.9</v>
      </c>
      <c r="F2172" s="14" t="n">
        <v>16828.56</v>
      </c>
      <c r="G2172" s="6" t="s">
        <v>2613</v>
      </c>
    </row>
    <row r="2173" customFormat="false" ht="15" hidden="false" customHeight="true" outlineLevel="0" collapsed="false">
      <c r="A2173" s="6" t="s">
        <v>4785</v>
      </c>
      <c r="B2173" s="6" t="s">
        <v>619</v>
      </c>
      <c r="C2173" s="6" t="s">
        <v>124</v>
      </c>
      <c r="D2173" s="13" t="n">
        <v>44941</v>
      </c>
      <c r="E2173" s="14" t="n">
        <v>2156.89</v>
      </c>
      <c r="F2173" s="14" t="n">
        <v>18985.45</v>
      </c>
      <c r="G2173" s="6" t="s">
        <v>2613</v>
      </c>
    </row>
    <row r="2174" customFormat="false" ht="15" hidden="false" customHeight="true" outlineLevel="0" collapsed="false">
      <c r="A2174" s="6" t="s">
        <v>4786</v>
      </c>
      <c r="B2174" s="6" t="s">
        <v>619</v>
      </c>
      <c r="C2174" s="6" t="s">
        <v>124</v>
      </c>
      <c r="D2174" s="13" t="n">
        <v>44948</v>
      </c>
      <c r="E2174" s="14" t="n">
        <v>2205.94</v>
      </c>
      <c r="F2174" s="14" t="n">
        <v>21191.39</v>
      </c>
      <c r="G2174" s="6" t="s">
        <v>2613</v>
      </c>
    </row>
    <row r="2175" customFormat="false" ht="15" hidden="false" customHeight="true" outlineLevel="0" collapsed="false">
      <c r="A2175" s="6" t="s">
        <v>4787</v>
      </c>
      <c r="B2175" s="6" t="s">
        <v>619</v>
      </c>
      <c r="C2175" s="6" t="s">
        <v>124</v>
      </c>
      <c r="D2175" s="13" t="n">
        <v>44955</v>
      </c>
      <c r="E2175" s="14" t="n">
        <v>2364.28</v>
      </c>
      <c r="F2175" s="14" t="n">
        <v>23555.67</v>
      </c>
      <c r="G2175" s="6" t="s">
        <v>2613</v>
      </c>
    </row>
    <row r="2176" customFormat="false" ht="15" hidden="false" customHeight="true" outlineLevel="0" collapsed="false">
      <c r="A2176" s="6" t="s">
        <v>4788</v>
      </c>
      <c r="B2176" s="6" t="s">
        <v>619</v>
      </c>
      <c r="C2176" s="6" t="s">
        <v>124</v>
      </c>
      <c r="D2176" s="13" t="n">
        <v>44962</v>
      </c>
      <c r="E2176" s="14" t="n">
        <v>1624.93</v>
      </c>
      <c r="F2176" s="14" t="n">
        <v>25180.6</v>
      </c>
      <c r="G2176" s="6" t="s">
        <v>2613</v>
      </c>
    </row>
    <row r="2177" customFormat="false" ht="15" hidden="false" customHeight="true" outlineLevel="0" collapsed="false">
      <c r="A2177" s="6" t="s">
        <v>4789</v>
      </c>
      <c r="B2177" s="6" t="s">
        <v>619</v>
      </c>
      <c r="C2177" s="6" t="s">
        <v>124</v>
      </c>
      <c r="D2177" s="13" t="n">
        <v>44969</v>
      </c>
      <c r="E2177" s="14" t="n">
        <v>1273.67</v>
      </c>
      <c r="F2177" s="14" t="n">
        <v>26454.27</v>
      </c>
      <c r="G2177" s="6" t="s">
        <v>2613</v>
      </c>
    </row>
    <row r="2178" customFormat="false" ht="15" hidden="false" customHeight="true" outlineLevel="0" collapsed="false">
      <c r="A2178" s="6" t="s">
        <v>4790</v>
      </c>
      <c r="B2178" s="6" t="s">
        <v>619</v>
      </c>
      <c r="C2178" s="6" t="s">
        <v>124</v>
      </c>
      <c r="D2178" s="13" t="n">
        <v>44976</v>
      </c>
      <c r="E2178" s="14" t="n">
        <v>2508.93</v>
      </c>
      <c r="F2178" s="14" t="n">
        <v>28963.2</v>
      </c>
      <c r="G2178" s="6" t="s">
        <v>2613</v>
      </c>
    </row>
    <row r="2179" customFormat="false" ht="15" hidden="false" customHeight="true" outlineLevel="0" collapsed="false">
      <c r="A2179" s="6" t="s">
        <v>4791</v>
      </c>
      <c r="B2179" s="6" t="s">
        <v>619</v>
      </c>
      <c r="C2179" s="6" t="s">
        <v>124</v>
      </c>
      <c r="D2179" s="13" t="n">
        <v>44983</v>
      </c>
      <c r="E2179" s="14" t="n">
        <v>1103.85</v>
      </c>
      <c r="F2179" s="14" t="n">
        <v>30067.05</v>
      </c>
      <c r="G2179" s="6" t="s">
        <v>2613</v>
      </c>
    </row>
    <row r="2180" customFormat="false" ht="15" hidden="false" customHeight="true" outlineLevel="0" collapsed="false">
      <c r="A2180" s="6" t="s">
        <v>4792</v>
      </c>
      <c r="B2180" s="6" t="s">
        <v>619</v>
      </c>
      <c r="C2180" s="6" t="s">
        <v>124</v>
      </c>
      <c r="D2180" s="13" t="n">
        <v>44990</v>
      </c>
      <c r="E2180" s="14" t="n">
        <v>936.45</v>
      </c>
      <c r="F2180" s="14" t="n">
        <v>31003.5</v>
      </c>
      <c r="G2180" s="6" t="s">
        <v>2613</v>
      </c>
    </row>
    <row r="2181" customFormat="false" ht="15" hidden="false" customHeight="true" outlineLevel="0" collapsed="false">
      <c r="A2181" s="6" t="s">
        <v>4793</v>
      </c>
      <c r="B2181" s="6" t="s">
        <v>621</v>
      </c>
      <c r="C2181" s="6" t="s">
        <v>120</v>
      </c>
      <c r="D2181" s="13" t="n">
        <v>45447</v>
      </c>
      <c r="E2181" s="14" t="n">
        <v>1916.46</v>
      </c>
      <c r="F2181" s="14" t="n">
        <v>1916.46</v>
      </c>
      <c r="G2181" s="6" t="s">
        <v>2613</v>
      </c>
    </row>
    <row r="2182" customFormat="false" ht="15" hidden="false" customHeight="true" outlineLevel="0" collapsed="false">
      <c r="A2182" s="6" t="s">
        <v>4794</v>
      </c>
      <c r="B2182" s="6" t="s">
        <v>621</v>
      </c>
      <c r="C2182" s="6" t="s">
        <v>120</v>
      </c>
      <c r="D2182" s="13" t="n">
        <v>45454</v>
      </c>
      <c r="E2182" s="14" t="n">
        <v>2448.95</v>
      </c>
      <c r="F2182" s="14" t="n">
        <v>4365.41</v>
      </c>
      <c r="G2182" s="6" t="s">
        <v>2613</v>
      </c>
    </row>
    <row r="2183" customFormat="false" ht="15" hidden="false" customHeight="true" outlineLevel="0" collapsed="false">
      <c r="A2183" s="6" t="s">
        <v>4795</v>
      </c>
      <c r="B2183" s="6" t="s">
        <v>621</v>
      </c>
      <c r="C2183" s="6" t="s">
        <v>120</v>
      </c>
      <c r="D2183" s="13" t="n">
        <v>45461</v>
      </c>
      <c r="E2183" s="14" t="n">
        <v>1236.3</v>
      </c>
      <c r="F2183" s="14" t="n">
        <v>5601.71</v>
      </c>
      <c r="G2183" s="6" t="s">
        <v>2613</v>
      </c>
    </row>
    <row r="2184" customFormat="false" ht="15" hidden="false" customHeight="true" outlineLevel="0" collapsed="false">
      <c r="A2184" s="6" t="s">
        <v>4796</v>
      </c>
      <c r="B2184" s="6" t="s">
        <v>621</v>
      </c>
      <c r="C2184" s="6" t="s">
        <v>120</v>
      </c>
      <c r="D2184" s="13" t="n">
        <v>45468</v>
      </c>
      <c r="E2184" s="14" t="n">
        <v>1204.89</v>
      </c>
      <c r="F2184" s="14" t="n">
        <v>6806.6</v>
      </c>
      <c r="G2184" s="6" t="s">
        <v>2613</v>
      </c>
    </row>
    <row r="2185" customFormat="false" ht="15" hidden="false" customHeight="true" outlineLevel="0" collapsed="false">
      <c r="A2185" s="6" t="s">
        <v>4797</v>
      </c>
      <c r="B2185" s="6" t="s">
        <v>621</v>
      </c>
      <c r="C2185" s="6" t="s">
        <v>120</v>
      </c>
      <c r="D2185" s="13" t="n">
        <v>45475</v>
      </c>
      <c r="E2185" s="14" t="n">
        <v>2685.24</v>
      </c>
      <c r="F2185" s="14" t="n">
        <v>9491.84</v>
      </c>
      <c r="G2185" s="6" t="s">
        <v>2623</v>
      </c>
    </row>
    <row r="2186" customFormat="false" ht="15" hidden="false" customHeight="true" outlineLevel="0" collapsed="false">
      <c r="A2186" s="6" t="s">
        <v>4798</v>
      </c>
      <c r="B2186" s="6" t="s">
        <v>621</v>
      </c>
      <c r="C2186" s="6" t="s">
        <v>120</v>
      </c>
      <c r="D2186" s="13" t="n">
        <v>45482</v>
      </c>
      <c r="E2186" s="14" t="n">
        <v>1688.23</v>
      </c>
      <c r="F2186" s="14" t="n">
        <v>11180.07</v>
      </c>
      <c r="G2186" s="6" t="s">
        <v>2613</v>
      </c>
    </row>
    <row r="2187" customFormat="false" ht="15" hidden="false" customHeight="true" outlineLevel="0" collapsed="false">
      <c r="A2187" s="6" t="s">
        <v>4799</v>
      </c>
      <c r="B2187" s="6" t="s">
        <v>621</v>
      </c>
      <c r="C2187" s="6" t="s">
        <v>120</v>
      </c>
      <c r="D2187" s="13" t="n">
        <v>45489</v>
      </c>
      <c r="E2187" s="14" t="n">
        <v>2692.9</v>
      </c>
      <c r="F2187" s="14" t="n">
        <v>13872.97</v>
      </c>
      <c r="G2187" s="6" t="s">
        <v>2613</v>
      </c>
    </row>
    <row r="2188" customFormat="false" ht="15" hidden="false" customHeight="true" outlineLevel="0" collapsed="false">
      <c r="A2188" s="6" t="s">
        <v>4800</v>
      </c>
      <c r="B2188" s="6" t="s">
        <v>623</v>
      </c>
      <c r="C2188" s="6" t="s">
        <v>112</v>
      </c>
      <c r="D2188" s="13" t="n">
        <v>45174</v>
      </c>
      <c r="E2188" s="14" t="n">
        <v>8062.07</v>
      </c>
      <c r="F2188" s="14" t="n">
        <v>8062.07</v>
      </c>
      <c r="G2188" s="6" t="s">
        <v>2613</v>
      </c>
    </row>
    <row r="2189" customFormat="false" ht="15" hidden="false" customHeight="true" outlineLevel="0" collapsed="false">
      <c r="A2189" s="6" t="s">
        <v>4801</v>
      </c>
      <c r="B2189" s="6" t="s">
        <v>623</v>
      </c>
      <c r="C2189" s="6" t="s">
        <v>112</v>
      </c>
      <c r="D2189" s="13" t="n">
        <v>45181</v>
      </c>
      <c r="E2189" s="14" t="n">
        <v>8177.44</v>
      </c>
      <c r="F2189" s="14" t="n">
        <v>16239.51</v>
      </c>
      <c r="G2189" s="6" t="s">
        <v>2613</v>
      </c>
    </row>
    <row r="2190" customFormat="false" ht="15" hidden="false" customHeight="true" outlineLevel="0" collapsed="false">
      <c r="A2190" s="6" t="s">
        <v>4802</v>
      </c>
      <c r="B2190" s="6" t="s">
        <v>623</v>
      </c>
      <c r="C2190" s="6" t="s">
        <v>112</v>
      </c>
      <c r="D2190" s="13" t="n">
        <v>45188</v>
      </c>
      <c r="E2190" s="14" t="n">
        <v>6080.25</v>
      </c>
      <c r="F2190" s="14" t="n">
        <v>22319.76</v>
      </c>
      <c r="G2190" s="6" t="s">
        <v>2613</v>
      </c>
    </row>
    <row r="2191" customFormat="false" ht="15" hidden="false" customHeight="true" outlineLevel="0" collapsed="false">
      <c r="A2191" s="6" t="s">
        <v>4803</v>
      </c>
      <c r="B2191" s="6" t="s">
        <v>623</v>
      </c>
      <c r="C2191" s="6" t="s">
        <v>112</v>
      </c>
      <c r="D2191" s="13" t="n">
        <v>45195</v>
      </c>
      <c r="E2191" s="14" t="n">
        <v>9170.24</v>
      </c>
      <c r="F2191" s="14" t="n">
        <v>31490</v>
      </c>
      <c r="G2191" s="6" t="s">
        <v>2613</v>
      </c>
    </row>
    <row r="2192" customFormat="false" ht="15" hidden="false" customHeight="true" outlineLevel="0" collapsed="false">
      <c r="A2192" s="6" t="s">
        <v>4804</v>
      </c>
      <c r="B2192" s="6" t="s">
        <v>623</v>
      </c>
      <c r="C2192" s="6" t="s">
        <v>112</v>
      </c>
      <c r="D2192" s="13" t="n">
        <v>45202</v>
      </c>
      <c r="E2192" s="14" t="n">
        <v>4983.88</v>
      </c>
      <c r="F2192" s="14" t="n">
        <v>36473.88</v>
      </c>
      <c r="G2192" s="6" t="s">
        <v>2613</v>
      </c>
    </row>
    <row r="2193" customFormat="false" ht="15" hidden="false" customHeight="true" outlineLevel="0" collapsed="false">
      <c r="A2193" s="6" t="s">
        <v>4805</v>
      </c>
      <c r="B2193" s="6" t="s">
        <v>623</v>
      </c>
      <c r="C2193" s="6" t="s">
        <v>112</v>
      </c>
      <c r="D2193" s="13" t="n">
        <v>45209</v>
      </c>
      <c r="E2193" s="14" t="n">
        <v>7745.81</v>
      </c>
      <c r="F2193" s="14" t="n">
        <v>44219.69</v>
      </c>
      <c r="G2193" s="6" t="s">
        <v>2613</v>
      </c>
    </row>
    <row r="2194" customFormat="false" ht="15" hidden="false" customHeight="true" outlineLevel="0" collapsed="false">
      <c r="A2194" s="6" t="s">
        <v>4806</v>
      </c>
      <c r="B2194" s="6" t="s">
        <v>623</v>
      </c>
      <c r="C2194" s="6" t="s">
        <v>112</v>
      </c>
      <c r="D2194" s="13" t="n">
        <v>45216</v>
      </c>
      <c r="E2194" s="14" t="n">
        <v>7637.34</v>
      </c>
      <c r="F2194" s="14" t="n">
        <v>51857.03</v>
      </c>
      <c r="G2194" s="6" t="s">
        <v>2613</v>
      </c>
    </row>
    <row r="2195" customFormat="false" ht="15" hidden="false" customHeight="true" outlineLevel="0" collapsed="false">
      <c r="A2195" s="6" t="s">
        <v>4807</v>
      </c>
      <c r="B2195" s="6" t="s">
        <v>623</v>
      </c>
      <c r="C2195" s="6" t="s">
        <v>112</v>
      </c>
      <c r="D2195" s="13" t="n">
        <v>45223</v>
      </c>
      <c r="E2195" s="14" t="n">
        <v>6624.77</v>
      </c>
      <c r="F2195" s="14" t="n">
        <v>58481.8</v>
      </c>
      <c r="G2195" s="6" t="s">
        <v>2613</v>
      </c>
    </row>
    <row r="2196" customFormat="false" ht="15" hidden="false" customHeight="true" outlineLevel="0" collapsed="false">
      <c r="A2196" s="6" t="s">
        <v>4808</v>
      </c>
      <c r="B2196" s="6" t="s">
        <v>623</v>
      </c>
      <c r="C2196" s="6" t="s">
        <v>112</v>
      </c>
      <c r="D2196" s="13" t="n">
        <v>45230</v>
      </c>
      <c r="E2196" s="14" t="n">
        <v>8679.12</v>
      </c>
      <c r="F2196" s="14" t="n">
        <v>67160.92</v>
      </c>
      <c r="G2196" s="6" t="s">
        <v>2613</v>
      </c>
    </row>
    <row r="2197" customFormat="false" ht="15" hidden="false" customHeight="true" outlineLevel="0" collapsed="false">
      <c r="A2197" s="6" t="s">
        <v>4809</v>
      </c>
      <c r="B2197" s="6" t="s">
        <v>623</v>
      </c>
      <c r="C2197" s="6" t="s">
        <v>112</v>
      </c>
      <c r="D2197" s="13" t="n">
        <v>45237</v>
      </c>
      <c r="E2197" s="14" t="n">
        <v>8476.68</v>
      </c>
      <c r="F2197" s="14" t="n">
        <v>75637.6</v>
      </c>
      <c r="G2197" s="6" t="s">
        <v>2613</v>
      </c>
    </row>
    <row r="2198" customFormat="false" ht="15" hidden="false" customHeight="true" outlineLevel="0" collapsed="false">
      <c r="A2198" s="6" t="s">
        <v>4810</v>
      </c>
      <c r="B2198" s="6" t="s">
        <v>623</v>
      </c>
      <c r="C2198" s="6" t="s">
        <v>112</v>
      </c>
      <c r="D2198" s="13" t="n">
        <v>45244</v>
      </c>
      <c r="E2198" s="14" t="n">
        <v>4636.11</v>
      </c>
      <c r="F2198" s="14" t="n">
        <v>80273.71</v>
      </c>
      <c r="G2198" s="6" t="s">
        <v>2613</v>
      </c>
    </row>
    <row r="2199" customFormat="false" ht="15" hidden="false" customHeight="true" outlineLevel="0" collapsed="false">
      <c r="A2199" s="6" t="s">
        <v>4811</v>
      </c>
      <c r="B2199" s="6" t="s">
        <v>623</v>
      </c>
      <c r="C2199" s="6" t="s">
        <v>112</v>
      </c>
      <c r="D2199" s="13" t="n">
        <v>45251</v>
      </c>
      <c r="E2199" s="14" t="n">
        <v>6334.97</v>
      </c>
      <c r="F2199" s="14" t="n">
        <v>86608.68</v>
      </c>
      <c r="G2199" s="6" t="s">
        <v>2613</v>
      </c>
    </row>
    <row r="2200" customFormat="false" ht="15" hidden="false" customHeight="true" outlineLevel="0" collapsed="false">
      <c r="A2200" s="6" t="s">
        <v>4812</v>
      </c>
      <c r="B2200" s="6" t="s">
        <v>623</v>
      </c>
      <c r="C2200" s="6" t="s">
        <v>112</v>
      </c>
      <c r="D2200" s="13" t="n">
        <v>45258</v>
      </c>
      <c r="E2200" s="14" t="n">
        <v>9057.25</v>
      </c>
      <c r="F2200" s="14" t="n">
        <v>95665.93</v>
      </c>
      <c r="G2200" s="6" t="s">
        <v>2613</v>
      </c>
    </row>
    <row r="2201" customFormat="false" ht="15" hidden="false" customHeight="true" outlineLevel="0" collapsed="false">
      <c r="A2201" s="6" t="s">
        <v>4813</v>
      </c>
      <c r="B2201" s="6" t="s">
        <v>623</v>
      </c>
      <c r="C2201" s="6" t="s">
        <v>112</v>
      </c>
      <c r="D2201" s="13" t="n">
        <v>45265</v>
      </c>
      <c r="E2201" s="14" t="n">
        <v>7172.95</v>
      </c>
      <c r="F2201" s="14" t="n">
        <v>102838.88</v>
      </c>
      <c r="G2201" s="6" t="s">
        <v>2613</v>
      </c>
    </row>
    <row r="2202" customFormat="false" ht="15" hidden="false" customHeight="true" outlineLevel="0" collapsed="false">
      <c r="A2202" s="6" t="s">
        <v>4814</v>
      </c>
      <c r="B2202" s="6" t="s">
        <v>623</v>
      </c>
      <c r="C2202" s="6" t="s">
        <v>112</v>
      </c>
      <c r="D2202" s="13" t="n">
        <v>45272</v>
      </c>
      <c r="E2202" s="14" t="n">
        <v>7011.13</v>
      </c>
      <c r="F2202" s="14" t="n">
        <v>109850.01</v>
      </c>
      <c r="G2202" s="6" t="s">
        <v>2613</v>
      </c>
    </row>
    <row r="2203" customFormat="false" ht="15" hidden="false" customHeight="true" outlineLevel="0" collapsed="false">
      <c r="A2203" s="6" t="s">
        <v>4815</v>
      </c>
      <c r="B2203" s="6" t="s">
        <v>623</v>
      </c>
      <c r="C2203" s="6" t="s">
        <v>112</v>
      </c>
      <c r="D2203" s="13" t="n">
        <v>45279</v>
      </c>
      <c r="E2203" s="14" t="n">
        <v>1290.36</v>
      </c>
      <c r="F2203" s="14" t="n">
        <v>111140.37</v>
      </c>
      <c r="G2203" s="6" t="s">
        <v>2613</v>
      </c>
    </row>
    <row r="2204" customFormat="false" ht="15" hidden="false" customHeight="true" outlineLevel="0" collapsed="false">
      <c r="A2204" s="6" t="s">
        <v>4816</v>
      </c>
      <c r="B2204" s="6" t="s">
        <v>625</v>
      </c>
      <c r="C2204" s="6" t="s">
        <v>131</v>
      </c>
      <c r="D2204" s="13" t="n">
        <v>46068</v>
      </c>
      <c r="E2204" s="14" t="n">
        <v>382.69</v>
      </c>
      <c r="F2204" s="14" t="n">
        <v>382.69</v>
      </c>
      <c r="G2204" s="6" t="s">
        <v>2613</v>
      </c>
    </row>
    <row r="2205" customFormat="false" ht="15" hidden="false" customHeight="true" outlineLevel="0" collapsed="false">
      <c r="A2205" s="6" t="s">
        <v>4817</v>
      </c>
      <c r="B2205" s="6" t="s">
        <v>625</v>
      </c>
      <c r="C2205" s="6" t="s">
        <v>131</v>
      </c>
      <c r="D2205" s="13" t="n">
        <v>46075</v>
      </c>
      <c r="E2205" s="14" t="n">
        <v>221.7</v>
      </c>
      <c r="F2205" s="14" t="n">
        <v>604.39</v>
      </c>
      <c r="G2205" s="6" t="s">
        <v>2613</v>
      </c>
    </row>
    <row r="2206" customFormat="false" ht="15" hidden="false" customHeight="true" outlineLevel="0" collapsed="false">
      <c r="A2206" s="6" t="s">
        <v>4818</v>
      </c>
      <c r="B2206" s="6" t="s">
        <v>625</v>
      </c>
      <c r="C2206" s="6" t="s">
        <v>131</v>
      </c>
      <c r="D2206" s="13" t="n">
        <v>46082</v>
      </c>
      <c r="E2206" s="14" t="n">
        <v>243.11</v>
      </c>
      <c r="F2206" s="14" t="n">
        <v>847.5</v>
      </c>
      <c r="G2206" s="6" t="s">
        <v>2613</v>
      </c>
    </row>
    <row r="2207" customFormat="false" ht="15" hidden="false" customHeight="true" outlineLevel="0" collapsed="false">
      <c r="A2207" s="6" t="s">
        <v>4819</v>
      </c>
      <c r="B2207" s="6" t="s">
        <v>625</v>
      </c>
      <c r="C2207" s="6" t="s">
        <v>131</v>
      </c>
      <c r="D2207" s="13" t="n">
        <v>46089</v>
      </c>
      <c r="E2207" s="14" t="n">
        <v>413.22</v>
      </c>
      <c r="F2207" s="14" t="n">
        <v>1260.72</v>
      </c>
      <c r="G2207" s="6" t="s">
        <v>2613</v>
      </c>
    </row>
    <row r="2208" customFormat="false" ht="15" hidden="false" customHeight="true" outlineLevel="0" collapsed="false">
      <c r="A2208" s="6" t="s">
        <v>4820</v>
      </c>
      <c r="B2208" s="6" t="s">
        <v>625</v>
      </c>
      <c r="C2208" s="6" t="s">
        <v>131</v>
      </c>
      <c r="D2208" s="13" t="n">
        <v>46096</v>
      </c>
      <c r="E2208" s="14" t="n">
        <v>481.62</v>
      </c>
      <c r="F2208" s="14" t="n">
        <v>1742.34</v>
      </c>
      <c r="G2208" s="6" t="s">
        <v>2613</v>
      </c>
    </row>
    <row r="2209" customFormat="false" ht="15" hidden="false" customHeight="true" outlineLevel="0" collapsed="false">
      <c r="A2209" s="6" t="s">
        <v>4821</v>
      </c>
      <c r="B2209" s="6" t="s">
        <v>625</v>
      </c>
      <c r="C2209" s="6" t="s">
        <v>131</v>
      </c>
      <c r="D2209" s="13" t="n">
        <v>46103</v>
      </c>
      <c r="E2209" s="14" t="n">
        <v>483.3</v>
      </c>
      <c r="F2209" s="14" t="n">
        <v>2225.64</v>
      </c>
      <c r="G2209" s="6" t="s">
        <v>2613</v>
      </c>
    </row>
    <row r="2210" customFormat="false" ht="15" hidden="false" customHeight="true" outlineLevel="0" collapsed="false">
      <c r="A2210" s="6" t="s">
        <v>4822</v>
      </c>
      <c r="B2210" s="6" t="s">
        <v>625</v>
      </c>
      <c r="C2210" s="6" t="s">
        <v>131</v>
      </c>
      <c r="D2210" s="13" t="n">
        <v>46110</v>
      </c>
      <c r="E2210" s="14" t="n">
        <v>456.99</v>
      </c>
      <c r="F2210" s="14" t="n">
        <v>2682.63</v>
      </c>
      <c r="G2210" s="6" t="s">
        <v>2613</v>
      </c>
    </row>
    <row r="2211" customFormat="false" ht="15" hidden="false" customHeight="true" outlineLevel="0" collapsed="false">
      <c r="A2211" s="6" t="s">
        <v>4823</v>
      </c>
      <c r="B2211" s="6" t="s">
        <v>625</v>
      </c>
      <c r="C2211" s="6" t="s">
        <v>131</v>
      </c>
      <c r="D2211" s="13" t="n">
        <v>46117</v>
      </c>
      <c r="E2211" s="14" t="n">
        <v>356.65</v>
      </c>
      <c r="F2211" s="14" t="n">
        <v>3039.28</v>
      </c>
      <c r="G2211" s="6" t="s">
        <v>2613</v>
      </c>
    </row>
    <row r="2212" customFormat="false" ht="15" hidden="false" customHeight="true" outlineLevel="0" collapsed="false">
      <c r="A2212" s="6" t="s">
        <v>4824</v>
      </c>
      <c r="B2212" s="6" t="s">
        <v>625</v>
      </c>
      <c r="C2212" s="6" t="s">
        <v>131</v>
      </c>
      <c r="D2212" s="13" t="n">
        <v>46124</v>
      </c>
      <c r="E2212" s="14" t="n">
        <v>305.8</v>
      </c>
      <c r="F2212" s="14" t="n">
        <v>3345.08</v>
      </c>
      <c r="G2212" s="6" t="s">
        <v>2613</v>
      </c>
    </row>
    <row r="2213" customFormat="false" ht="15" hidden="false" customHeight="true" outlineLevel="0" collapsed="false">
      <c r="A2213" s="6" t="s">
        <v>4825</v>
      </c>
      <c r="B2213" s="6" t="s">
        <v>625</v>
      </c>
      <c r="C2213" s="6" t="s">
        <v>131</v>
      </c>
      <c r="D2213" s="13" t="n">
        <v>46131</v>
      </c>
      <c r="E2213" s="14" t="n">
        <v>426.54</v>
      </c>
      <c r="F2213" s="14" t="n">
        <v>3771.62</v>
      </c>
      <c r="G2213" s="6" t="s">
        <v>2613</v>
      </c>
    </row>
    <row r="2214" customFormat="false" ht="15" hidden="false" customHeight="true" outlineLevel="0" collapsed="false">
      <c r="A2214" s="6" t="s">
        <v>4826</v>
      </c>
      <c r="B2214" s="6" t="s">
        <v>625</v>
      </c>
      <c r="C2214" s="6" t="s">
        <v>131</v>
      </c>
      <c r="D2214" s="13" t="n">
        <v>46138</v>
      </c>
      <c r="E2214" s="14" t="n">
        <v>395.32</v>
      </c>
      <c r="F2214" s="14" t="n">
        <v>4166.94</v>
      </c>
      <c r="G2214" s="6" t="s">
        <v>2613</v>
      </c>
    </row>
    <row r="2215" customFormat="false" ht="15" hidden="false" customHeight="true" outlineLevel="0" collapsed="false">
      <c r="A2215" s="6" t="s">
        <v>4827</v>
      </c>
      <c r="B2215" s="6" t="s">
        <v>625</v>
      </c>
      <c r="C2215" s="6" t="s">
        <v>131</v>
      </c>
      <c r="D2215" s="13" t="n">
        <v>46145</v>
      </c>
      <c r="E2215" s="14" t="n">
        <v>349.22</v>
      </c>
      <c r="F2215" s="14" t="n">
        <v>4516.16</v>
      </c>
      <c r="G2215" s="6" t="s">
        <v>2613</v>
      </c>
    </row>
    <row r="2216" customFormat="false" ht="15" hidden="false" customHeight="true" outlineLevel="0" collapsed="false">
      <c r="A2216" s="6" t="s">
        <v>4828</v>
      </c>
      <c r="B2216" s="6" t="s">
        <v>627</v>
      </c>
      <c r="C2216" s="6" t="s">
        <v>120</v>
      </c>
      <c r="D2216" s="13" t="n">
        <v>45482</v>
      </c>
      <c r="E2216" s="14" t="n">
        <v>1448.64</v>
      </c>
      <c r="F2216" s="14" t="n">
        <v>1448.64</v>
      </c>
      <c r="G2216" s="6" t="s">
        <v>2613</v>
      </c>
    </row>
    <row r="2217" customFormat="false" ht="15" hidden="false" customHeight="true" outlineLevel="0" collapsed="false">
      <c r="A2217" s="6" t="s">
        <v>4829</v>
      </c>
      <c r="B2217" s="6" t="s">
        <v>627</v>
      </c>
      <c r="C2217" s="6" t="s">
        <v>120</v>
      </c>
      <c r="D2217" s="13" t="n">
        <v>45489</v>
      </c>
      <c r="E2217" s="14" t="n">
        <v>1921.24</v>
      </c>
      <c r="F2217" s="14" t="n">
        <v>3369.88</v>
      </c>
      <c r="G2217" s="6" t="s">
        <v>2613</v>
      </c>
    </row>
    <row r="2218" customFormat="false" ht="15" hidden="false" customHeight="true" outlineLevel="0" collapsed="false">
      <c r="A2218" s="6" t="s">
        <v>4830</v>
      </c>
      <c r="B2218" s="6" t="s">
        <v>627</v>
      </c>
      <c r="C2218" s="6" t="s">
        <v>120</v>
      </c>
      <c r="D2218" s="13" t="n">
        <v>45496</v>
      </c>
      <c r="E2218" s="14" t="n">
        <v>1676.79</v>
      </c>
      <c r="F2218" s="14" t="n">
        <v>5046.67</v>
      </c>
      <c r="G2218" s="6" t="s">
        <v>2613</v>
      </c>
    </row>
    <row r="2219" customFormat="false" ht="15" hidden="false" customHeight="true" outlineLevel="0" collapsed="false">
      <c r="A2219" s="6" t="s">
        <v>4831</v>
      </c>
      <c r="B2219" s="6" t="s">
        <v>627</v>
      </c>
      <c r="C2219" s="6" t="s">
        <v>120</v>
      </c>
      <c r="D2219" s="13" t="n">
        <v>45503</v>
      </c>
      <c r="E2219" s="14" t="n">
        <v>2194.8</v>
      </c>
      <c r="F2219" s="14" t="n">
        <v>7241.47</v>
      </c>
      <c r="G2219" s="6" t="s">
        <v>2613</v>
      </c>
    </row>
    <row r="2220" customFormat="false" ht="15" hidden="false" customHeight="true" outlineLevel="0" collapsed="false">
      <c r="A2220" s="6" t="s">
        <v>4832</v>
      </c>
      <c r="B2220" s="6" t="s">
        <v>627</v>
      </c>
      <c r="C2220" s="6" t="s">
        <v>120</v>
      </c>
      <c r="D2220" s="13" t="n">
        <v>45510</v>
      </c>
      <c r="E2220" s="14" t="n">
        <v>2133.61</v>
      </c>
      <c r="F2220" s="14" t="n">
        <v>9375.08</v>
      </c>
      <c r="G2220" s="6" t="s">
        <v>2613</v>
      </c>
    </row>
    <row r="2221" customFormat="false" ht="15" hidden="false" customHeight="true" outlineLevel="0" collapsed="false">
      <c r="A2221" s="6" t="s">
        <v>4833</v>
      </c>
      <c r="B2221" s="6" t="s">
        <v>627</v>
      </c>
      <c r="C2221" s="6" t="s">
        <v>120</v>
      </c>
      <c r="D2221" s="13" t="n">
        <v>45517</v>
      </c>
      <c r="E2221" s="14" t="n">
        <v>1466.44</v>
      </c>
      <c r="F2221" s="14" t="n">
        <v>10841.52</v>
      </c>
      <c r="G2221" s="6" t="s">
        <v>2613</v>
      </c>
    </row>
    <row r="2222" customFormat="false" ht="15" hidden="false" customHeight="true" outlineLevel="0" collapsed="false">
      <c r="A2222" s="6" t="s">
        <v>4834</v>
      </c>
      <c r="B2222" s="6" t="s">
        <v>627</v>
      </c>
      <c r="C2222" s="6" t="s">
        <v>120</v>
      </c>
      <c r="D2222" s="13" t="n">
        <v>45524</v>
      </c>
      <c r="E2222" s="14" t="n">
        <v>1578.12</v>
      </c>
      <c r="F2222" s="14" t="n">
        <v>12419.64</v>
      </c>
      <c r="G2222" s="6" t="s">
        <v>2613</v>
      </c>
    </row>
    <row r="2223" customFormat="false" ht="15" hidden="false" customHeight="true" outlineLevel="0" collapsed="false">
      <c r="A2223" s="6" t="s">
        <v>4835</v>
      </c>
      <c r="B2223" s="6" t="s">
        <v>627</v>
      </c>
      <c r="C2223" s="6" t="s">
        <v>120</v>
      </c>
      <c r="D2223" s="13" t="n">
        <v>45531</v>
      </c>
      <c r="E2223" s="14" t="n">
        <v>147.13</v>
      </c>
      <c r="F2223" s="14" t="n">
        <v>12566.77</v>
      </c>
      <c r="G2223" s="6" t="s">
        <v>2613</v>
      </c>
    </row>
    <row r="2224" customFormat="false" ht="15" hidden="false" customHeight="true" outlineLevel="0" collapsed="false">
      <c r="A2224" s="6" t="s">
        <v>4836</v>
      </c>
      <c r="B2224" s="6" t="s">
        <v>629</v>
      </c>
      <c r="C2224" s="6" t="s">
        <v>131</v>
      </c>
      <c r="D2224" s="13" t="n">
        <v>45405</v>
      </c>
      <c r="E2224" s="14" t="n">
        <v>796.69</v>
      </c>
      <c r="F2224" s="14" t="n">
        <v>796.69</v>
      </c>
      <c r="G2224" s="6" t="s">
        <v>2613</v>
      </c>
    </row>
    <row r="2225" customFormat="false" ht="15" hidden="false" customHeight="true" outlineLevel="0" collapsed="false">
      <c r="A2225" s="6" t="s">
        <v>4837</v>
      </c>
      <c r="B2225" s="6" t="s">
        <v>629</v>
      </c>
      <c r="C2225" s="6" t="s">
        <v>131</v>
      </c>
      <c r="D2225" s="13" t="n">
        <v>45412</v>
      </c>
      <c r="E2225" s="14" t="n">
        <v>665</v>
      </c>
      <c r="F2225" s="14" t="n">
        <v>1461.69</v>
      </c>
      <c r="G2225" s="6" t="s">
        <v>2613</v>
      </c>
    </row>
    <row r="2226" customFormat="false" ht="15" hidden="false" customHeight="true" outlineLevel="0" collapsed="false">
      <c r="A2226" s="6" t="s">
        <v>4838</v>
      </c>
      <c r="B2226" s="6" t="s">
        <v>629</v>
      </c>
      <c r="C2226" s="6" t="s">
        <v>131</v>
      </c>
      <c r="D2226" s="13" t="n">
        <v>45419</v>
      </c>
      <c r="E2226" s="14" t="n">
        <v>861.73</v>
      </c>
      <c r="F2226" s="14" t="n">
        <v>2323.42</v>
      </c>
      <c r="G2226" s="6" t="s">
        <v>2613</v>
      </c>
    </row>
    <row r="2227" customFormat="false" ht="15" hidden="false" customHeight="true" outlineLevel="0" collapsed="false">
      <c r="A2227" s="6" t="s">
        <v>4839</v>
      </c>
      <c r="B2227" s="6" t="s">
        <v>629</v>
      </c>
      <c r="C2227" s="6" t="s">
        <v>131</v>
      </c>
      <c r="D2227" s="13" t="n">
        <v>45426</v>
      </c>
      <c r="E2227" s="14" t="n">
        <v>596.2</v>
      </c>
      <c r="F2227" s="14" t="n">
        <v>2919.62</v>
      </c>
      <c r="G2227" s="6" t="s">
        <v>2613</v>
      </c>
    </row>
    <row r="2228" customFormat="false" ht="15" hidden="false" customHeight="true" outlineLevel="0" collapsed="false">
      <c r="A2228" s="6" t="s">
        <v>4840</v>
      </c>
      <c r="B2228" s="6" t="s">
        <v>629</v>
      </c>
      <c r="C2228" s="6" t="s">
        <v>131</v>
      </c>
      <c r="D2228" s="13" t="n">
        <v>45433</v>
      </c>
      <c r="E2228" s="14" t="n">
        <v>1175.42</v>
      </c>
      <c r="F2228" s="14" t="n">
        <v>4095.04</v>
      </c>
      <c r="G2228" s="6" t="s">
        <v>2613</v>
      </c>
    </row>
    <row r="2229" customFormat="false" ht="15" hidden="false" customHeight="true" outlineLevel="0" collapsed="false">
      <c r="A2229" s="6" t="s">
        <v>4841</v>
      </c>
      <c r="B2229" s="6" t="s">
        <v>629</v>
      </c>
      <c r="C2229" s="6" t="s">
        <v>131</v>
      </c>
      <c r="D2229" s="13" t="n">
        <v>45440</v>
      </c>
      <c r="E2229" s="14" t="n">
        <v>1292.7</v>
      </c>
      <c r="F2229" s="14" t="n">
        <v>5387.74</v>
      </c>
      <c r="G2229" s="6" t="s">
        <v>2613</v>
      </c>
    </row>
    <row r="2230" customFormat="false" ht="15" hidden="false" customHeight="true" outlineLevel="0" collapsed="false">
      <c r="A2230" s="6" t="s">
        <v>4842</v>
      </c>
      <c r="B2230" s="6" t="s">
        <v>629</v>
      </c>
      <c r="C2230" s="6" t="s">
        <v>131</v>
      </c>
      <c r="D2230" s="13" t="n">
        <v>45447</v>
      </c>
      <c r="E2230" s="14" t="n">
        <v>792.01</v>
      </c>
      <c r="F2230" s="14" t="n">
        <v>6179.75</v>
      </c>
      <c r="G2230" s="6" t="s">
        <v>2613</v>
      </c>
    </row>
    <row r="2231" customFormat="false" ht="15" hidden="false" customHeight="true" outlineLevel="0" collapsed="false">
      <c r="A2231" s="6" t="s">
        <v>4843</v>
      </c>
      <c r="B2231" s="6" t="s">
        <v>629</v>
      </c>
      <c r="C2231" s="6" t="s">
        <v>131</v>
      </c>
      <c r="D2231" s="13" t="n">
        <v>45454</v>
      </c>
      <c r="E2231" s="14" t="n">
        <v>1141.6</v>
      </c>
      <c r="F2231" s="14" t="n">
        <v>7321.35</v>
      </c>
      <c r="G2231" s="6" t="s">
        <v>2623</v>
      </c>
    </row>
    <row r="2232" customFormat="false" ht="15" hidden="false" customHeight="true" outlineLevel="0" collapsed="false">
      <c r="A2232" s="6" t="s">
        <v>4844</v>
      </c>
      <c r="B2232" s="6" t="s">
        <v>629</v>
      </c>
      <c r="C2232" s="6" t="s">
        <v>131</v>
      </c>
      <c r="D2232" s="13" t="n">
        <v>45461</v>
      </c>
      <c r="E2232" s="14" t="n">
        <v>994.37</v>
      </c>
      <c r="F2232" s="14" t="n">
        <v>8315.72</v>
      </c>
      <c r="G2232" s="6" t="s">
        <v>2623</v>
      </c>
    </row>
    <row r="2233" customFormat="false" ht="15" hidden="false" customHeight="true" outlineLevel="0" collapsed="false">
      <c r="A2233" s="6" t="s">
        <v>4845</v>
      </c>
      <c r="B2233" s="6" t="s">
        <v>629</v>
      </c>
      <c r="C2233" s="6" t="s">
        <v>131</v>
      </c>
      <c r="D2233" s="13" t="n">
        <v>45468</v>
      </c>
      <c r="E2233" s="14" t="n">
        <v>609.01</v>
      </c>
      <c r="F2233" s="14" t="n">
        <v>8924.73</v>
      </c>
      <c r="G2233" s="6" t="s">
        <v>2613</v>
      </c>
    </row>
    <row r="2234" customFormat="false" ht="15" hidden="false" customHeight="true" outlineLevel="0" collapsed="false">
      <c r="A2234" s="6" t="s">
        <v>4846</v>
      </c>
      <c r="B2234" s="6" t="s">
        <v>629</v>
      </c>
      <c r="C2234" s="6" t="s">
        <v>131</v>
      </c>
      <c r="D2234" s="13" t="n">
        <v>45475</v>
      </c>
      <c r="E2234" s="14" t="n">
        <v>812.1</v>
      </c>
      <c r="F2234" s="14" t="n">
        <v>9736.83</v>
      </c>
      <c r="G2234" s="6" t="s">
        <v>2613</v>
      </c>
    </row>
    <row r="2235" customFormat="false" ht="15" hidden="false" customHeight="true" outlineLevel="0" collapsed="false">
      <c r="A2235" s="6" t="s">
        <v>4847</v>
      </c>
      <c r="B2235" s="6" t="s">
        <v>629</v>
      </c>
      <c r="C2235" s="6" t="s">
        <v>131</v>
      </c>
      <c r="D2235" s="13" t="n">
        <v>45482</v>
      </c>
      <c r="E2235" s="14" t="n">
        <v>833.65</v>
      </c>
      <c r="F2235" s="14" t="n">
        <v>10570.48</v>
      </c>
      <c r="G2235" s="6" t="s">
        <v>2613</v>
      </c>
    </row>
    <row r="2236" customFormat="false" ht="15" hidden="false" customHeight="true" outlineLevel="0" collapsed="false">
      <c r="A2236" s="6" t="s">
        <v>4848</v>
      </c>
      <c r="B2236" s="6" t="s">
        <v>629</v>
      </c>
      <c r="C2236" s="6" t="s">
        <v>131</v>
      </c>
      <c r="D2236" s="13" t="n">
        <v>45489</v>
      </c>
      <c r="E2236" s="14" t="n">
        <v>1214.25</v>
      </c>
      <c r="F2236" s="14" t="n">
        <v>11784.73</v>
      </c>
      <c r="G2236" s="6" t="s">
        <v>2613</v>
      </c>
    </row>
    <row r="2237" customFormat="false" ht="15" hidden="false" customHeight="true" outlineLevel="0" collapsed="false">
      <c r="A2237" s="6" t="s">
        <v>4849</v>
      </c>
      <c r="B2237" s="6" t="s">
        <v>629</v>
      </c>
      <c r="C2237" s="6" t="s">
        <v>131</v>
      </c>
      <c r="D2237" s="13" t="n">
        <v>45496</v>
      </c>
      <c r="E2237" s="14" t="n">
        <v>676.54</v>
      </c>
      <c r="F2237" s="14" t="n">
        <v>12461.27</v>
      </c>
      <c r="G2237" s="6" t="s">
        <v>2613</v>
      </c>
    </row>
    <row r="2238" customFormat="false" ht="15" hidden="false" customHeight="true" outlineLevel="0" collapsed="false">
      <c r="A2238" s="6" t="s">
        <v>4850</v>
      </c>
      <c r="B2238" s="6" t="s">
        <v>629</v>
      </c>
      <c r="C2238" s="6" t="s">
        <v>131</v>
      </c>
      <c r="D2238" s="13" t="n">
        <v>45503</v>
      </c>
      <c r="E2238" s="14" t="n">
        <v>1907.82</v>
      </c>
      <c r="F2238" s="14" t="n">
        <v>14369.09</v>
      </c>
      <c r="G2238" s="6" t="s">
        <v>2613</v>
      </c>
    </row>
    <row r="2239" customFormat="false" ht="15" hidden="false" customHeight="true" outlineLevel="0" collapsed="false">
      <c r="A2239" s="6" t="s">
        <v>4851</v>
      </c>
      <c r="B2239" s="6" t="s">
        <v>631</v>
      </c>
      <c r="C2239" s="6" t="s">
        <v>124</v>
      </c>
      <c r="D2239" s="13" t="n">
        <v>45942</v>
      </c>
      <c r="E2239" s="14" t="n">
        <v>3131.81</v>
      </c>
      <c r="F2239" s="14" t="n">
        <v>3131.81</v>
      </c>
      <c r="G2239" s="6" t="s">
        <v>2613</v>
      </c>
    </row>
    <row r="2240" customFormat="false" ht="15" hidden="false" customHeight="true" outlineLevel="0" collapsed="false">
      <c r="A2240" s="6" t="s">
        <v>4852</v>
      </c>
      <c r="B2240" s="6" t="s">
        <v>631</v>
      </c>
      <c r="C2240" s="6" t="s">
        <v>124</v>
      </c>
      <c r="D2240" s="13" t="n">
        <v>45949</v>
      </c>
      <c r="E2240" s="14" t="n">
        <v>3269.32</v>
      </c>
      <c r="F2240" s="14" t="n">
        <v>6401.13</v>
      </c>
      <c r="G2240" s="6" t="s">
        <v>2613</v>
      </c>
    </row>
    <row r="2241" customFormat="false" ht="15" hidden="false" customHeight="true" outlineLevel="0" collapsed="false">
      <c r="A2241" s="6" t="s">
        <v>4853</v>
      </c>
      <c r="B2241" s="6" t="s">
        <v>631</v>
      </c>
      <c r="C2241" s="6" t="s">
        <v>124</v>
      </c>
      <c r="D2241" s="13" t="n">
        <v>45956</v>
      </c>
      <c r="E2241" s="14" t="n">
        <v>3468.88</v>
      </c>
      <c r="F2241" s="14" t="n">
        <v>9870.01</v>
      </c>
      <c r="G2241" s="6" t="s">
        <v>2613</v>
      </c>
    </row>
    <row r="2242" customFormat="false" ht="15" hidden="false" customHeight="true" outlineLevel="0" collapsed="false">
      <c r="A2242" s="6" t="s">
        <v>4854</v>
      </c>
      <c r="B2242" s="6" t="s">
        <v>631</v>
      </c>
      <c r="C2242" s="6" t="s">
        <v>124</v>
      </c>
      <c r="D2242" s="13" t="n">
        <v>45963</v>
      </c>
      <c r="E2242" s="14" t="n">
        <v>2941.39</v>
      </c>
      <c r="F2242" s="14" t="n">
        <v>12811.4</v>
      </c>
      <c r="G2242" s="6" t="s">
        <v>2613</v>
      </c>
    </row>
    <row r="2243" customFormat="false" ht="15" hidden="false" customHeight="true" outlineLevel="0" collapsed="false">
      <c r="A2243" s="6" t="s">
        <v>4855</v>
      </c>
      <c r="B2243" s="6" t="s">
        <v>631</v>
      </c>
      <c r="C2243" s="6" t="s">
        <v>124</v>
      </c>
      <c r="D2243" s="13" t="n">
        <v>45970</v>
      </c>
      <c r="E2243" s="14" t="n">
        <v>2937.6</v>
      </c>
      <c r="F2243" s="14" t="n">
        <v>15749</v>
      </c>
      <c r="G2243" s="6" t="s">
        <v>2613</v>
      </c>
    </row>
    <row r="2244" customFormat="false" ht="15" hidden="false" customHeight="true" outlineLevel="0" collapsed="false">
      <c r="A2244" s="6" t="s">
        <v>4856</v>
      </c>
      <c r="B2244" s="6" t="s">
        <v>631</v>
      </c>
      <c r="C2244" s="6" t="s">
        <v>124</v>
      </c>
      <c r="D2244" s="13" t="n">
        <v>45977</v>
      </c>
      <c r="E2244" s="14" t="n">
        <v>3070.75</v>
      </c>
      <c r="F2244" s="14" t="n">
        <v>18819.75</v>
      </c>
      <c r="G2244" s="6" t="s">
        <v>2613</v>
      </c>
    </row>
    <row r="2245" customFormat="false" ht="15" hidden="false" customHeight="true" outlineLevel="0" collapsed="false">
      <c r="A2245" s="6" t="s">
        <v>4857</v>
      </c>
      <c r="B2245" s="6" t="s">
        <v>631</v>
      </c>
      <c r="C2245" s="6" t="s">
        <v>124</v>
      </c>
      <c r="D2245" s="13" t="n">
        <v>45984</v>
      </c>
      <c r="E2245" s="14" t="n">
        <v>1801.29</v>
      </c>
      <c r="F2245" s="14" t="n">
        <v>20621.04</v>
      </c>
      <c r="G2245" s="6" t="s">
        <v>2613</v>
      </c>
    </row>
    <row r="2246" customFormat="false" ht="15" hidden="false" customHeight="true" outlineLevel="0" collapsed="false">
      <c r="A2246" s="6" t="s">
        <v>4858</v>
      </c>
      <c r="B2246" s="6" t="s">
        <v>631</v>
      </c>
      <c r="C2246" s="6" t="s">
        <v>124</v>
      </c>
      <c r="D2246" s="13" t="n">
        <v>45991</v>
      </c>
      <c r="E2246" s="14" t="n">
        <v>2107.58</v>
      </c>
      <c r="F2246" s="14" t="n">
        <v>22728.62</v>
      </c>
      <c r="G2246" s="6" t="s">
        <v>2613</v>
      </c>
    </row>
    <row r="2247" customFormat="false" ht="15" hidden="false" customHeight="true" outlineLevel="0" collapsed="false">
      <c r="A2247" s="6" t="s">
        <v>4859</v>
      </c>
      <c r="B2247" s="6" t="s">
        <v>631</v>
      </c>
      <c r="C2247" s="6" t="s">
        <v>124</v>
      </c>
      <c r="D2247" s="13" t="n">
        <v>45998</v>
      </c>
      <c r="E2247" s="14" t="n">
        <v>3694.82</v>
      </c>
      <c r="F2247" s="14" t="n">
        <v>26423.44</v>
      </c>
      <c r="G2247" s="6" t="s">
        <v>2613</v>
      </c>
    </row>
    <row r="2248" customFormat="false" ht="15" hidden="false" customHeight="true" outlineLevel="0" collapsed="false">
      <c r="A2248" s="6" t="s">
        <v>4860</v>
      </c>
      <c r="B2248" s="6" t="s">
        <v>631</v>
      </c>
      <c r="C2248" s="6" t="s">
        <v>124</v>
      </c>
      <c r="D2248" s="13" t="n">
        <v>46005</v>
      </c>
      <c r="E2248" s="14" t="n">
        <v>3783.03</v>
      </c>
      <c r="F2248" s="14" t="n">
        <v>30206.47</v>
      </c>
      <c r="G2248" s="6" t="s">
        <v>2613</v>
      </c>
    </row>
    <row r="2249" customFormat="false" ht="15" hidden="false" customHeight="true" outlineLevel="0" collapsed="false">
      <c r="A2249" s="6" t="s">
        <v>4861</v>
      </c>
      <c r="B2249" s="6" t="s">
        <v>631</v>
      </c>
      <c r="C2249" s="6" t="s">
        <v>124</v>
      </c>
      <c r="D2249" s="13" t="n">
        <v>46012</v>
      </c>
      <c r="E2249" s="14" t="n">
        <v>1725.23</v>
      </c>
      <c r="F2249" s="14" t="n">
        <v>31931.7</v>
      </c>
      <c r="G2249" s="6" t="s">
        <v>2613</v>
      </c>
    </row>
    <row r="2250" customFormat="false" ht="15" hidden="false" customHeight="true" outlineLevel="0" collapsed="false">
      <c r="A2250" s="6" t="s">
        <v>4862</v>
      </c>
      <c r="B2250" s="6" t="s">
        <v>631</v>
      </c>
      <c r="C2250" s="6" t="s">
        <v>124</v>
      </c>
      <c r="D2250" s="13" t="n">
        <v>46019</v>
      </c>
      <c r="E2250" s="14" t="n">
        <v>2232.97</v>
      </c>
      <c r="F2250" s="14" t="n">
        <v>34164.67</v>
      </c>
      <c r="G2250" s="6" t="s">
        <v>2613</v>
      </c>
    </row>
    <row r="2251" customFormat="false" ht="15" hidden="false" customHeight="true" outlineLevel="0" collapsed="false">
      <c r="A2251" s="6" t="s">
        <v>4863</v>
      </c>
      <c r="B2251" s="6" t="s">
        <v>631</v>
      </c>
      <c r="C2251" s="6" t="s">
        <v>124</v>
      </c>
      <c r="D2251" s="13" t="n">
        <v>46026</v>
      </c>
      <c r="E2251" s="14" t="n">
        <v>3674.16</v>
      </c>
      <c r="F2251" s="14" t="n">
        <v>37838.83</v>
      </c>
      <c r="G2251" s="6" t="s">
        <v>2613</v>
      </c>
    </row>
    <row r="2252" customFormat="false" ht="15" hidden="false" customHeight="true" outlineLevel="0" collapsed="false">
      <c r="A2252" s="6" t="s">
        <v>4864</v>
      </c>
      <c r="B2252" s="6" t="s">
        <v>631</v>
      </c>
      <c r="C2252" s="6" t="s">
        <v>124</v>
      </c>
      <c r="D2252" s="13" t="n">
        <v>46033</v>
      </c>
      <c r="E2252" s="14" t="n">
        <v>3493.03</v>
      </c>
      <c r="F2252" s="14" t="n">
        <v>41331.86</v>
      </c>
      <c r="G2252" s="6" t="s">
        <v>2613</v>
      </c>
    </row>
    <row r="2253" customFormat="false" ht="15" hidden="false" customHeight="true" outlineLevel="0" collapsed="false">
      <c r="A2253" s="6" t="s">
        <v>4865</v>
      </c>
      <c r="B2253" s="6" t="s">
        <v>631</v>
      </c>
      <c r="C2253" s="6" t="s">
        <v>124</v>
      </c>
      <c r="D2253" s="13" t="n">
        <v>46040</v>
      </c>
      <c r="E2253" s="14" t="n">
        <v>2584.11</v>
      </c>
      <c r="F2253" s="14" t="n">
        <v>43915.97</v>
      </c>
      <c r="G2253" s="6" t="s">
        <v>2623</v>
      </c>
    </row>
    <row r="2254" customFormat="false" ht="15" hidden="false" customHeight="true" outlineLevel="0" collapsed="false">
      <c r="A2254" s="6" t="s">
        <v>4866</v>
      </c>
      <c r="B2254" s="6" t="s">
        <v>631</v>
      </c>
      <c r="C2254" s="6" t="s">
        <v>124</v>
      </c>
      <c r="D2254" s="13" t="n">
        <v>46047</v>
      </c>
      <c r="E2254" s="14" t="n">
        <v>3616.54</v>
      </c>
      <c r="F2254" s="14" t="n">
        <v>47532.51</v>
      </c>
      <c r="G2254" s="6" t="s">
        <v>2623</v>
      </c>
    </row>
    <row r="2255" customFormat="false" ht="15" hidden="false" customHeight="true" outlineLevel="0" collapsed="false">
      <c r="A2255" s="6" t="s">
        <v>4867</v>
      </c>
      <c r="B2255" s="6" t="s">
        <v>631</v>
      </c>
      <c r="C2255" s="6" t="s">
        <v>124</v>
      </c>
      <c r="D2255" s="13" t="n">
        <v>46054</v>
      </c>
      <c r="E2255" s="14" t="n">
        <v>2663.13</v>
      </c>
      <c r="F2255" s="14" t="n">
        <v>50195.64</v>
      </c>
      <c r="G2255" s="6" t="s">
        <v>2613</v>
      </c>
    </row>
    <row r="2256" customFormat="false" ht="15" hidden="false" customHeight="true" outlineLevel="0" collapsed="false">
      <c r="A2256" s="6" t="s">
        <v>4868</v>
      </c>
      <c r="B2256" s="6" t="s">
        <v>631</v>
      </c>
      <c r="C2256" s="6" t="s">
        <v>124</v>
      </c>
      <c r="D2256" s="13" t="n">
        <v>46061</v>
      </c>
      <c r="E2256" s="14" t="n">
        <v>3611.32</v>
      </c>
      <c r="F2256" s="14" t="n">
        <v>53806.96</v>
      </c>
      <c r="G2256" s="6" t="s">
        <v>2613</v>
      </c>
    </row>
    <row r="2257" customFormat="false" ht="15" hidden="false" customHeight="true" outlineLevel="0" collapsed="false">
      <c r="A2257" s="6" t="s">
        <v>4869</v>
      </c>
      <c r="B2257" s="6" t="s">
        <v>631</v>
      </c>
      <c r="C2257" s="6" t="s">
        <v>124</v>
      </c>
      <c r="D2257" s="13" t="n">
        <v>46068</v>
      </c>
      <c r="E2257" s="14" t="n">
        <v>2259.65</v>
      </c>
      <c r="F2257" s="14" t="n">
        <v>56066.61</v>
      </c>
      <c r="G2257" s="6" t="s">
        <v>2613</v>
      </c>
    </row>
    <row r="2258" customFormat="false" ht="15" hidden="false" customHeight="true" outlineLevel="0" collapsed="false">
      <c r="A2258" s="6" t="s">
        <v>4870</v>
      </c>
      <c r="B2258" s="6" t="s">
        <v>631</v>
      </c>
      <c r="C2258" s="6" t="s">
        <v>124</v>
      </c>
      <c r="D2258" s="13" t="n">
        <v>46075</v>
      </c>
      <c r="E2258" s="14" t="n">
        <v>1905.52</v>
      </c>
      <c r="F2258" s="14" t="n">
        <v>57972.13</v>
      </c>
      <c r="G2258" s="6" t="s">
        <v>2613</v>
      </c>
    </row>
    <row r="2259" customFormat="false" ht="15" hidden="false" customHeight="true" outlineLevel="0" collapsed="false">
      <c r="A2259" s="6" t="s">
        <v>4871</v>
      </c>
      <c r="B2259" s="6" t="s">
        <v>631</v>
      </c>
      <c r="C2259" s="6" t="s">
        <v>124</v>
      </c>
      <c r="D2259" s="13" t="n">
        <v>46082</v>
      </c>
      <c r="E2259" s="14" t="n">
        <v>2005.81</v>
      </c>
      <c r="F2259" s="14" t="n">
        <v>59977.94</v>
      </c>
      <c r="G2259" s="6" t="s">
        <v>2613</v>
      </c>
    </row>
    <row r="2260" customFormat="false" ht="15" hidden="false" customHeight="true" outlineLevel="0" collapsed="false">
      <c r="A2260" s="6" t="s">
        <v>4872</v>
      </c>
      <c r="B2260" s="6" t="s">
        <v>631</v>
      </c>
      <c r="C2260" s="6" t="s">
        <v>124</v>
      </c>
      <c r="D2260" s="13" t="n">
        <v>46089</v>
      </c>
      <c r="E2260" s="14" t="n">
        <v>1883.75</v>
      </c>
      <c r="F2260" s="14" t="n">
        <v>61861.69</v>
      </c>
      <c r="G2260" s="6" t="s">
        <v>2613</v>
      </c>
    </row>
    <row r="2261" customFormat="false" ht="15" hidden="false" customHeight="true" outlineLevel="0" collapsed="false">
      <c r="A2261" s="6" t="s">
        <v>4873</v>
      </c>
      <c r="B2261" s="6" t="s">
        <v>631</v>
      </c>
      <c r="C2261" s="6" t="s">
        <v>124</v>
      </c>
      <c r="D2261" s="13" t="n">
        <v>46096</v>
      </c>
      <c r="E2261" s="14" t="n">
        <v>2640.32</v>
      </c>
      <c r="F2261" s="14" t="n">
        <v>64502.01</v>
      </c>
      <c r="G2261" s="6" t="s">
        <v>2613</v>
      </c>
    </row>
    <row r="2262" customFormat="false" ht="15" hidden="false" customHeight="true" outlineLevel="0" collapsed="false">
      <c r="A2262" s="6" t="s">
        <v>4874</v>
      </c>
      <c r="B2262" s="6" t="s">
        <v>633</v>
      </c>
      <c r="C2262" s="6" t="s">
        <v>116</v>
      </c>
      <c r="D2262" s="13" t="n">
        <v>45338</v>
      </c>
      <c r="E2262" s="14" t="n">
        <v>3417.96</v>
      </c>
      <c r="F2262" s="14" t="n">
        <v>3417.96</v>
      </c>
      <c r="G2262" s="6" t="s">
        <v>2613</v>
      </c>
    </row>
    <row r="2263" customFormat="false" ht="15" hidden="false" customHeight="true" outlineLevel="0" collapsed="false">
      <c r="A2263" s="6" t="s">
        <v>4875</v>
      </c>
      <c r="B2263" s="6" t="s">
        <v>633</v>
      </c>
      <c r="C2263" s="6" t="s">
        <v>116</v>
      </c>
      <c r="D2263" s="13" t="n">
        <v>45345</v>
      </c>
      <c r="E2263" s="14" t="n">
        <v>5741.53</v>
      </c>
      <c r="F2263" s="14" t="n">
        <v>9159.49</v>
      </c>
      <c r="G2263" s="6" t="s">
        <v>2613</v>
      </c>
    </row>
    <row r="2264" customFormat="false" ht="15" hidden="false" customHeight="true" outlineLevel="0" collapsed="false">
      <c r="A2264" s="6" t="s">
        <v>4876</v>
      </c>
      <c r="B2264" s="6" t="s">
        <v>633</v>
      </c>
      <c r="C2264" s="6" t="s">
        <v>116</v>
      </c>
      <c r="D2264" s="13" t="n">
        <v>45352</v>
      </c>
      <c r="E2264" s="14" t="n">
        <v>5364.8</v>
      </c>
      <c r="F2264" s="14" t="n">
        <v>14524.29</v>
      </c>
      <c r="G2264" s="6" t="s">
        <v>2613</v>
      </c>
    </row>
    <row r="2265" customFormat="false" ht="15" hidden="false" customHeight="true" outlineLevel="0" collapsed="false">
      <c r="A2265" s="6" t="s">
        <v>4877</v>
      </c>
      <c r="B2265" s="6" t="s">
        <v>633</v>
      </c>
      <c r="C2265" s="6" t="s">
        <v>116</v>
      </c>
      <c r="D2265" s="13" t="n">
        <v>45359</v>
      </c>
      <c r="E2265" s="14" t="n">
        <v>7243.41</v>
      </c>
      <c r="F2265" s="14" t="n">
        <v>21767.7</v>
      </c>
      <c r="G2265" s="6" t="s">
        <v>2613</v>
      </c>
    </row>
    <row r="2266" customFormat="false" ht="15" hidden="false" customHeight="true" outlineLevel="0" collapsed="false">
      <c r="A2266" s="6" t="s">
        <v>4878</v>
      </c>
      <c r="B2266" s="6" t="s">
        <v>633</v>
      </c>
      <c r="C2266" s="6" t="s">
        <v>116</v>
      </c>
      <c r="D2266" s="13" t="n">
        <v>45366</v>
      </c>
      <c r="E2266" s="14" t="n">
        <v>4553.72</v>
      </c>
      <c r="F2266" s="14" t="n">
        <v>26321.42</v>
      </c>
      <c r="G2266" s="6" t="s">
        <v>2613</v>
      </c>
    </row>
    <row r="2267" customFormat="false" ht="15" hidden="false" customHeight="true" outlineLevel="0" collapsed="false">
      <c r="A2267" s="6" t="s">
        <v>4879</v>
      </c>
      <c r="B2267" s="6" t="s">
        <v>633</v>
      </c>
      <c r="C2267" s="6" t="s">
        <v>116</v>
      </c>
      <c r="D2267" s="13" t="n">
        <v>45373</v>
      </c>
      <c r="E2267" s="14" t="n">
        <v>3475.84</v>
      </c>
      <c r="F2267" s="14" t="n">
        <v>29797.26</v>
      </c>
      <c r="G2267" s="6" t="s">
        <v>2623</v>
      </c>
    </row>
    <row r="2268" customFormat="false" ht="15" hidden="false" customHeight="true" outlineLevel="0" collapsed="false">
      <c r="A2268" s="6" t="s">
        <v>4880</v>
      </c>
      <c r="B2268" s="6" t="s">
        <v>633</v>
      </c>
      <c r="C2268" s="6" t="s">
        <v>116</v>
      </c>
      <c r="D2268" s="13" t="n">
        <v>45380</v>
      </c>
      <c r="E2268" s="14" t="n">
        <v>5897.26</v>
      </c>
      <c r="F2268" s="14" t="n">
        <v>35694.52</v>
      </c>
      <c r="G2268" s="6" t="s">
        <v>2613</v>
      </c>
    </row>
    <row r="2269" customFormat="false" ht="15" hidden="false" customHeight="true" outlineLevel="0" collapsed="false">
      <c r="A2269" s="6" t="s">
        <v>4881</v>
      </c>
      <c r="B2269" s="6" t="s">
        <v>633</v>
      </c>
      <c r="C2269" s="6" t="s">
        <v>116</v>
      </c>
      <c r="D2269" s="13" t="n">
        <v>45387</v>
      </c>
      <c r="E2269" s="14" t="n">
        <v>3276.21</v>
      </c>
      <c r="F2269" s="14" t="n">
        <v>38970.73</v>
      </c>
      <c r="G2269" s="6" t="s">
        <v>2613</v>
      </c>
    </row>
    <row r="2270" customFormat="false" ht="15" hidden="false" customHeight="true" outlineLevel="0" collapsed="false">
      <c r="A2270" s="6" t="s">
        <v>4882</v>
      </c>
      <c r="B2270" s="6" t="s">
        <v>633</v>
      </c>
      <c r="C2270" s="6" t="s">
        <v>116</v>
      </c>
      <c r="D2270" s="13" t="n">
        <v>45394</v>
      </c>
      <c r="E2270" s="14" t="n">
        <v>5695.35</v>
      </c>
      <c r="F2270" s="14" t="n">
        <v>44666.08</v>
      </c>
      <c r="G2270" s="6" t="s">
        <v>2613</v>
      </c>
    </row>
    <row r="2271" customFormat="false" ht="15" hidden="false" customHeight="true" outlineLevel="0" collapsed="false">
      <c r="A2271" s="6" t="s">
        <v>4883</v>
      </c>
      <c r="B2271" s="6" t="s">
        <v>633</v>
      </c>
      <c r="C2271" s="6" t="s">
        <v>116</v>
      </c>
      <c r="D2271" s="13" t="n">
        <v>45401</v>
      </c>
      <c r="E2271" s="14" t="n">
        <v>8614.41</v>
      </c>
      <c r="F2271" s="14" t="n">
        <v>53280.49</v>
      </c>
      <c r="G2271" s="6" t="s">
        <v>2613</v>
      </c>
    </row>
    <row r="2272" customFormat="false" ht="15" hidden="false" customHeight="true" outlineLevel="0" collapsed="false">
      <c r="A2272" s="6" t="s">
        <v>4884</v>
      </c>
      <c r="B2272" s="6" t="s">
        <v>635</v>
      </c>
      <c r="C2272" s="6" t="s">
        <v>131</v>
      </c>
      <c r="D2272" s="13" t="n">
        <v>45071</v>
      </c>
      <c r="E2272" s="14" t="n">
        <v>4440.11</v>
      </c>
      <c r="F2272" s="14" t="n">
        <v>4440.11</v>
      </c>
      <c r="G2272" s="6" t="s">
        <v>2613</v>
      </c>
    </row>
    <row r="2273" customFormat="false" ht="15" hidden="false" customHeight="true" outlineLevel="0" collapsed="false">
      <c r="A2273" s="6" t="s">
        <v>4885</v>
      </c>
      <c r="B2273" s="6" t="s">
        <v>635</v>
      </c>
      <c r="C2273" s="6" t="s">
        <v>131</v>
      </c>
      <c r="D2273" s="13" t="n">
        <v>45078</v>
      </c>
      <c r="E2273" s="14" t="n">
        <v>2006.95</v>
      </c>
      <c r="F2273" s="14" t="n">
        <v>6447.06</v>
      </c>
      <c r="G2273" s="6" t="s">
        <v>2613</v>
      </c>
    </row>
    <row r="2274" customFormat="false" ht="15" hidden="false" customHeight="true" outlineLevel="0" collapsed="false">
      <c r="A2274" s="6" t="s">
        <v>4886</v>
      </c>
      <c r="B2274" s="6" t="s">
        <v>635</v>
      </c>
      <c r="C2274" s="6" t="s">
        <v>131</v>
      </c>
      <c r="D2274" s="13" t="n">
        <v>45085</v>
      </c>
      <c r="E2274" s="14" t="n">
        <v>4220.65</v>
      </c>
      <c r="F2274" s="14" t="n">
        <v>10667.71</v>
      </c>
      <c r="G2274" s="6" t="s">
        <v>2613</v>
      </c>
    </row>
    <row r="2275" customFormat="false" ht="15" hidden="false" customHeight="true" outlineLevel="0" collapsed="false">
      <c r="A2275" s="6" t="s">
        <v>4887</v>
      </c>
      <c r="B2275" s="6" t="s">
        <v>635</v>
      </c>
      <c r="C2275" s="6" t="s">
        <v>131</v>
      </c>
      <c r="D2275" s="13" t="n">
        <v>45092</v>
      </c>
      <c r="E2275" s="14" t="n">
        <v>4602.03</v>
      </c>
      <c r="F2275" s="14" t="n">
        <v>15269.74</v>
      </c>
      <c r="G2275" s="6" t="s">
        <v>2623</v>
      </c>
    </row>
    <row r="2276" customFormat="false" ht="15" hidden="false" customHeight="true" outlineLevel="0" collapsed="false">
      <c r="A2276" s="6" t="s">
        <v>4888</v>
      </c>
      <c r="B2276" s="6" t="s">
        <v>635</v>
      </c>
      <c r="C2276" s="6" t="s">
        <v>131</v>
      </c>
      <c r="D2276" s="13" t="n">
        <v>45099</v>
      </c>
      <c r="E2276" s="14" t="n">
        <v>4498.94</v>
      </c>
      <c r="F2276" s="14" t="n">
        <v>19768.68</v>
      </c>
      <c r="G2276" s="6" t="s">
        <v>2613</v>
      </c>
    </row>
    <row r="2277" customFormat="false" ht="15" hidden="false" customHeight="true" outlineLevel="0" collapsed="false">
      <c r="A2277" s="6" t="s">
        <v>4889</v>
      </c>
      <c r="B2277" s="6" t="s">
        <v>635</v>
      </c>
      <c r="C2277" s="6" t="s">
        <v>131</v>
      </c>
      <c r="D2277" s="13" t="n">
        <v>45106</v>
      </c>
      <c r="E2277" s="14" t="n">
        <v>3601.99</v>
      </c>
      <c r="F2277" s="14" t="n">
        <v>23370.67</v>
      </c>
      <c r="G2277" s="6" t="s">
        <v>2613</v>
      </c>
    </row>
    <row r="2278" customFormat="false" ht="15" hidden="false" customHeight="true" outlineLevel="0" collapsed="false">
      <c r="A2278" s="6" t="s">
        <v>4890</v>
      </c>
      <c r="B2278" s="6" t="s">
        <v>635</v>
      </c>
      <c r="C2278" s="6" t="s">
        <v>131</v>
      </c>
      <c r="D2278" s="13" t="n">
        <v>45113</v>
      </c>
      <c r="E2278" s="14" t="n">
        <v>3020.18</v>
      </c>
      <c r="F2278" s="14" t="n">
        <v>26390.85</v>
      </c>
      <c r="G2278" s="6" t="s">
        <v>2613</v>
      </c>
    </row>
    <row r="2279" customFormat="false" ht="15" hidden="false" customHeight="true" outlineLevel="0" collapsed="false">
      <c r="A2279" s="6" t="s">
        <v>4891</v>
      </c>
      <c r="B2279" s="6" t="s">
        <v>635</v>
      </c>
      <c r="C2279" s="6" t="s">
        <v>131</v>
      </c>
      <c r="D2279" s="13" t="n">
        <v>45120</v>
      </c>
      <c r="E2279" s="14" t="n">
        <v>3693.76</v>
      </c>
      <c r="F2279" s="14" t="n">
        <v>30084.61</v>
      </c>
      <c r="G2279" s="6" t="s">
        <v>2613</v>
      </c>
    </row>
    <row r="2280" customFormat="false" ht="15" hidden="false" customHeight="true" outlineLevel="0" collapsed="false">
      <c r="A2280" s="6" t="s">
        <v>4892</v>
      </c>
      <c r="B2280" s="6" t="s">
        <v>635</v>
      </c>
      <c r="C2280" s="6" t="s">
        <v>131</v>
      </c>
      <c r="D2280" s="13" t="n">
        <v>45127</v>
      </c>
      <c r="E2280" s="14" t="n">
        <v>3368.05</v>
      </c>
      <c r="F2280" s="14" t="n">
        <v>33452.66</v>
      </c>
      <c r="G2280" s="6" t="s">
        <v>2623</v>
      </c>
    </row>
    <row r="2281" customFormat="false" ht="15" hidden="false" customHeight="true" outlineLevel="0" collapsed="false">
      <c r="A2281" s="6" t="s">
        <v>4893</v>
      </c>
      <c r="B2281" s="6" t="s">
        <v>635</v>
      </c>
      <c r="C2281" s="6" t="s">
        <v>131</v>
      </c>
      <c r="D2281" s="13" t="n">
        <v>45134</v>
      </c>
      <c r="E2281" s="14" t="n">
        <v>3979.64</v>
      </c>
      <c r="F2281" s="14" t="n">
        <v>37432.3</v>
      </c>
      <c r="G2281" s="6" t="s">
        <v>2613</v>
      </c>
    </row>
    <row r="2282" customFormat="false" ht="15" hidden="false" customHeight="true" outlineLevel="0" collapsed="false">
      <c r="A2282" s="6" t="s">
        <v>4894</v>
      </c>
      <c r="B2282" s="6" t="s">
        <v>635</v>
      </c>
      <c r="C2282" s="6" t="s">
        <v>131</v>
      </c>
      <c r="D2282" s="13" t="n">
        <v>45141</v>
      </c>
      <c r="E2282" s="14" t="n">
        <v>2807.69</v>
      </c>
      <c r="F2282" s="14" t="n">
        <v>40239.99</v>
      </c>
      <c r="G2282" s="6" t="s">
        <v>2613</v>
      </c>
    </row>
    <row r="2283" customFormat="false" ht="15" hidden="false" customHeight="true" outlineLevel="0" collapsed="false">
      <c r="A2283" s="6" t="s">
        <v>4895</v>
      </c>
      <c r="B2283" s="6" t="s">
        <v>635</v>
      </c>
      <c r="C2283" s="6" t="s">
        <v>131</v>
      </c>
      <c r="D2283" s="13" t="n">
        <v>45148</v>
      </c>
      <c r="E2283" s="14" t="n">
        <v>2332.91</v>
      </c>
      <c r="F2283" s="14" t="n">
        <v>42572.9</v>
      </c>
      <c r="G2283" s="6" t="s">
        <v>2613</v>
      </c>
    </row>
    <row r="2284" customFormat="false" ht="15" hidden="false" customHeight="true" outlineLevel="0" collapsed="false">
      <c r="A2284" s="6" t="s">
        <v>4896</v>
      </c>
      <c r="B2284" s="6" t="s">
        <v>635</v>
      </c>
      <c r="C2284" s="6" t="s">
        <v>131</v>
      </c>
      <c r="D2284" s="13" t="n">
        <v>45155</v>
      </c>
      <c r="E2284" s="14" t="n">
        <v>3491.38</v>
      </c>
      <c r="F2284" s="14" t="n">
        <v>46064.28</v>
      </c>
      <c r="G2284" s="6" t="s">
        <v>2613</v>
      </c>
    </row>
    <row r="2285" customFormat="false" ht="15" hidden="false" customHeight="true" outlineLevel="0" collapsed="false">
      <c r="A2285" s="6" t="s">
        <v>4897</v>
      </c>
      <c r="B2285" s="6" t="s">
        <v>635</v>
      </c>
      <c r="C2285" s="6" t="s">
        <v>131</v>
      </c>
      <c r="D2285" s="13" t="n">
        <v>45162</v>
      </c>
      <c r="E2285" s="14" t="n">
        <v>702.05</v>
      </c>
      <c r="F2285" s="14" t="n">
        <v>46766.33</v>
      </c>
      <c r="G2285" s="6" t="s">
        <v>2613</v>
      </c>
    </row>
    <row r="2286" customFormat="false" ht="15" hidden="false" customHeight="true" outlineLevel="0" collapsed="false">
      <c r="A2286" s="6" t="s">
        <v>4898</v>
      </c>
      <c r="B2286" s="6" t="s">
        <v>637</v>
      </c>
      <c r="C2286" s="6" t="s">
        <v>128</v>
      </c>
      <c r="D2286" s="13" t="n">
        <v>45796</v>
      </c>
      <c r="E2286" s="14" t="n">
        <v>3232.85</v>
      </c>
      <c r="F2286" s="14" t="n">
        <v>3232.85</v>
      </c>
      <c r="G2286" s="6" t="s">
        <v>2613</v>
      </c>
    </row>
    <row r="2287" customFormat="false" ht="15" hidden="false" customHeight="true" outlineLevel="0" collapsed="false">
      <c r="A2287" s="6" t="s">
        <v>4899</v>
      </c>
      <c r="B2287" s="6" t="s">
        <v>637</v>
      </c>
      <c r="C2287" s="6" t="s">
        <v>128</v>
      </c>
      <c r="D2287" s="13" t="n">
        <v>45803</v>
      </c>
      <c r="E2287" s="14" t="n">
        <v>4970.71</v>
      </c>
      <c r="F2287" s="14" t="n">
        <v>8203.56</v>
      </c>
      <c r="G2287" s="6" t="s">
        <v>2623</v>
      </c>
    </row>
    <row r="2288" customFormat="false" ht="15" hidden="false" customHeight="true" outlineLevel="0" collapsed="false">
      <c r="A2288" s="6" t="s">
        <v>4900</v>
      </c>
      <c r="B2288" s="6" t="s">
        <v>637</v>
      </c>
      <c r="C2288" s="6" t="s">
        <v>128</v>
      </c>
      <c r="D2288" s="13" t="n">
        <v>45810</v>
      </c>
      <c r="E2288" s="14" t="n">
        <v>2778.69</v>
      </c>
      <c r="F2288" s="14" t="n">
        <v>10982.25</v>
      </c>
      <c r="G2288" s="6" t="s">
        <v>2613</v>
      </c>
    </row>
    <row r="2289" customFormat="false" ht="15" hidden="false" customHeight="true" outlineLevel="0" collapsed="false">
      <c r="A2289" s="6" t="s">
        <v>4901</v>
      </c>
      <c r="B2289" s="6" t="s">
        <v>637</v>
      </c>
      <c r="C2289" s="6" t="s">
        <v>128</v>
      </c>
      <c r="D2289" s="13" t="n">
        <v>45817</v>
      </c>
      <c r="E2289" s="14" t="n">
        <v>4776.84</v>
      </c>
      <c r="F2289" s="14" t="n">
        <v>15759.09</v>
      </c>
      <c r="G2289" s="6" t="s">
        <v>2613</v>
      </c>
    </row>
    <row r="2290" customFormat="false" ht="15" hidden="false" customHeight="true" outlineLevel="0" collapsed="false">
      <c r="A2290" s="6" t="s">
        <v>4902</v>
      </c>
      <c r="B2290" s="6" t="s">
        <v>637</v>
      </c>
      <c r="C2290" s="6" t="s">
        <v>128</v>
      </c>
      <c r="D2290" s="13" t="n">
        <v>45824</v>
      </c>
      <c r="E2290" s="14" t="n">
        <v>4532.43</v>
      </c>
      <c r="F2290" s="14" t="n">
        <v>20291.52</v>
      </c>
      <c r="G2290" s="6" t="s">
        <v>2613</v>
      </c>
    </row>
    <row r="2291" customFormat="false" ht="15" hidden="false" customHeight="true" outlineLevel="0" collapsed="false">
      <c r="A2291" s="6" t="s">
        <v>4903</v>
      </c>
      <c r="B2291" s="6" t="s">
        <v>637</v>
      </c>
      <c r="C2291" s="6" t="s">
        <v>128</v>
      </c>
      <c r="D2291" s="13" t="n">
        <v>45831</v>
      </c>
      <c r="E2291" s="14" t="n">
        <v>3040.51</v>
      </c>
      <c r="F2291" s="14" t="n">
        <v>23332.03</v>
      </c>
      <c r="G2291" s="6" t="s">
        <v>2613</v>
      </c>
    </row>
    <row r="2292" customFormat="false" ht="15" hidden="false" customHeight="true" outlineLevel="0" collapsed="false">
      <c r="A2292" s="6" t="s">
        <v>4904</v>
      </c>
      <c r="B2292" s="6" t="s">
        <v>637</v>
      </c>
      <c r="C2292" s="6" t="s">
        <v>128</v>
      </c>
      <c r="D2292" s="13" t="n">
        <v>45838</v>
      </c>
      <c r="E2292" s="14" t="n">
        <v>5126.11</v>
      </c>
      <c r="F2292" s="14" t="n">
        <v>28458.14</v>
      </c>
      <c r="G2292" s="6" t="s">
        <v>2613</v>
      </c>
    </row>
    <row r="2293" customFormat="false" ht="15" hidden="false" customHeight="true" outlineLevel="0" collapsed="false">
      <c r="A2293" s="6" t="s">
        <v>4905</v>
      </c>
      <c r="B2293" s="6" t="s">
        <v>637</v>
      </c>
      <c r="C2293" s="6" t="s">
        <v>128</v>
      </c>
      <c r="D2293" s="13" t="n">
        <v>45845</v>
      </c>
      <c r="E2293" s="14" t="n">
        <v>6008.86</v>
      </c>
      <c r="F2293" s="14" t="n">
        <v>34467</v>
      </c>
      <c r="G2293" s="6" t="s">
        <v>2613</v>
      </c>
    </row>
    <row r="2294" customFormat="false" ht="15" hidden="false" customHeight="true" outlineLevel="0" collapsed="false">
      <c r="A2294" s="6" t="s">
        <v>4906</v>
      </c>
      <c r="B2294" s="6" t="s">
        <v>637</v>
      </c>
      <c r="C2294" s="6" t="s">
        <v>128</v>
      </c>
      <c r="D2294" s="13" t="n">
        <v>45852</v>
      </c>
      <c r="E2294" s="14" t="n">
        <v>4372.2</v>
      </c>
      <c r="F2294" s="14" t="n">
        <v>38839.2</v>
      </c>
      <c r="G2294" s="6" t="s">
        <v>2613</v>
      </c>
    </row>
    <row r="2295" customFormat="false" ht="15" hidden="false" customHeight="true" outlineLevel="0" collapsed="false">
      <c r="A2295" s="6" t="s">
        <v>4907</v>
      </c>
      <c r="B2295" s="6" t="s">
        <v>637</v>
      </c>
      <c r="C2295" s="6" t="s">
        <v>128</v>
      </c>
      <c r="D2295" s="13" t="n">
        <v>45859</v>
      </c>
      <c r="E2295" s="14" t="n">
        <v>6299.56</v>
      </c>
      <c r="F2295" s="14" t="n">
        <v>45138.76</v>
      </c>
      <c r="G2295" s="6" t="s">
        <v>2613</v>
      </c>
    </row>
    <row r="2296" customFormat="false" ht="15" hidden="false" customHeight="true" outlineLevel="0" collapsed="false">
      <c r="A2296" s="6" t="s">
        <v>4908</v>
      </c>
      <c r="B2296" s="6" t="s">
        <v>637</v>
      </c>
      <c r="C2296" s="6" t="s">
        <v>128</v>
      </c>
      <c r="D2296" s="13" t="n">
        <v>45866</v>
      </c>
      <c r="E2296" s="14" t="n">
        <v>5161.5</v>
      </c>
      <c r="F2296" s="14" t="n">
        <v>50300.26</v>
      </c>
      <c r="G2296" s="6" t="s">
        <v>2613</v>
      </c>
    </row>
    <row r="2297" customFormat="false" ht="15" hidden="false" customHeight="true" outlineLevel="0" collapsed="false">
      <c r="A2297" s="6" t="s">
        <v>4909</v>
      </c>
      <c r="B2297" s="6" t="s">
        <v>639</v>
      </c>
      <c r="C2297" s="6" t="s">
        <v>124</v>
      </c>
      <c r="D2297" s="13" t="n">
        <v>45301</v>
      </c>
      <c r="E2297" s="14" t="n">
        <v>677.06</v>
      </c>
      <c r="F2297" s="14" t="n">
        <v>677.06</v>
      </c>
      <c r="G2297" s="6" t="s">
        <v>2613</v>
      </c>
    </row>
    <row r="2298" customFormat="false" ht="15" hidden="false" customHeight="true" outlineLevel="0" collapsed="false">
      <c r="A2298" s="6" t="s">
        <v>4910</v>
      </c>
      <c r="B2298" s="6" t="s">
        <v>639</v>
      </c>
      <c r="C2298" s="6" t="s">
        <v>124</v>
      </c>
      <c r="D2298" s="13" t="n">
        <v>45308</v>
      </c>
      <c r="E2298" s="14" t="n">
        <v>478.12</v>
      </c>
      <c r="F2298" s="14" t="n">
        <v>1155.18</v>
      </c>
      <c r="G2298" s="6" t="s">
        <v>2613</v>
      </c>
    </row>
    <row r="2299" customFormat="false" ht="15" hidden="false" customHeight="true" outlineLevel="0" collapsed="false">
      <c r="A2299" s="6" t="s">
        <v>4911</v>
      </c>
      <c r="B2299" s="6" t="s">
        <v>639</v>
      </c>
      <c r="C2299" s="6" t="s">
        <v>124</v>
      </c>
      <c r="D2299" s="13" t="n">
        <v>45315</v>
      </c>
      <c r="E2299" s="14" t="n">
        <v>845.46</v>
      </c>
      <c r="F2299" s="14" t="n">
        <v>2000.64</v>
      </c>
      <c r="G2299" s="6" t="s">
        <v>2623</v>
      </c>
    </row>
    <row r="2300" customFormat="false" ht="15" hidden="false" customHeight="true" outlineLevel="0" collapsed="false">
      <c r="A2300" s="6" t="s">
        <v>4912</v>
      </c>
      <c r="B2300" s="6" t="s">
        <v>639</v>
      </c>
      <c r="C2300" s="6" t="s">
        <v>124</v>
      </c>
      <c r="D2300" s="13" t="n">
        <v>45322</v>
      </c>
      <c r="E2300" s="14" t="n">
        <v>611.88</v>
      </c>
      <c r="F2300" s="14" t="n">
        <v>2612.52</v>
      </c>
      <c r="G2300" s="6" t="s">
        <v>2613</v>
      </c>
    </row>
    <row r="2301" customFormat="false" ht="15" hidden="false" customHeight="true" outlineLevel="0" collapsed="false">
      <c r="A2301" s="6" t="s">
        <v>4913</v>
      </c>
      <c r="B2301" s="6" t="s">
        <v>639</v>
      </c>
      <c r="C2301" s="6" t="s">
        <v>124</v>
      </c>
      <c r="D2301" s="13" t="n">
        <v>45329</v>
      </c>
      <c r="E2301" s="14" t="n">
        <v>667.6</v>
      </c>
      <c r="F2301" s="14" t="n">
        <v>3280.12</v>
      </c>
      <c r="G2301" s="6" t="s">
        <v>2623</v>
      </c>
    </row>
    <row r="2302" customFormat="false" ht="15" hidden="false" customHeight="true" outlineLevel="0" collapsed="false">
      <c r="A2302" s="6" t="s">
        <v>4914</v>
      </c>
      <c r="B2302" s="6" t="s">
        <v>639</v>
      </c>
      <c r="C2302" s="6" t="s">
        <v>124</v>
      </c>
      <c r="D2302" s="13" t="n">
        <v>45336</v>
      </c>
      <c r="E2302" s="14" t="n">
        <v>853.82</v>
      </c>
      <c r="F2302" s="14" t="n">
        <v>4133.94</v>
      </c>
      <c r="G2302" s="6" t="s">
        <v>2613</v>
      </c>
    </row>
    <row r="2303" customFormat="false" ht="15" hidden="false" customHeight="true" outlineLevel="0" collapsed="false">
      <c r="A2303" s="6" t="s">
        <v>4915</v>
      </c>
      <c r="B2303" s="6" t="s">
        <v>639</v>
      </c>
      <c r="C2303" s="6" t="s">
        <v>124</v>
      </c>
      <c r="D2303" s="13" t="n">
        <v>45343</v>
      </c>
      <c r="E2303" s="14" t="n">
        <v>423.86</v>
      </c>
      <c r="F2303" s="14" t="n">
        <v>4557.8</v>
      </c>
      <c r="G2303" s="6" t="s">
        <v>2613</v>
      </c>
    </row>
    <row r="2304" customFormat="false" ht="15" hidden="false" customHeight="true" outlineLevel="0" collapsed="false">
      <c r="A2304" s="6" t="s">
        <v>4916</v>
      </c>
      <c r="B2304" s="6" t="s">
        <v>639</v>
      </c>
      <c r="C2304" s="6" t="s">
        <v>124</v>
      </c>
      <c r="D2304" s="13" t="n">
        <v>45350</v>
      </c>
      <c r="E2304" s="14" t="n">
        <v>365.42</v>
      </c>
      <c r="F2304" s="14" t="n">
        <v>4923.22</v>
      </c>
      <c r="G2304" s="6" t="s">
        <v>2613</v>
      </c>
    </row>
    <row r="2305" customFormat="false" ht="15" hidden="false" customHeight="true" outlineLevel="0" collapsed="false">
      <c r="A2305" s="6" t="s">
        <v>4917</v>
      </c>
      <c r="B2305" s="6" t="s">
        <v>641</v>
      </c>
      <c r="C2305" s="6" t="s">
        <v>116</v>
      </c>
      <c r="D2305" s="13" t="n">
        <v>45736</v>
      </c>
      <c r="E2305" s="14" t="n">
        <v>2318.41</v>
      </c>
      <c r="F2305" s="14" t="n">
        <v>2318.41</v>
      </c>
      <c r="G2305" s="6" t="s">
        <v>2613</v>
      </c>
    </row>
    <row r="2306" customFormat="false" ht="15" hidden="false" customHeight="true" outlineLevel="0" collapsed="false">
      <c r="A2306" s="6" t="s">
        <v>4918</v>
      </c>
      <c r="B2306" s="6" t="s">
        <v>641</v>
      </c>
      <c r="C2306" s="6" t="s">
        <v>116</v>
      </c>
      <c r="D2306" s="13" t="n">
        <v>45743</v>
      </c>
      <c r="E2306" s="14" t="n">
        <v>2504.6</v>
      </c>
      <c r="F2306" s="14" t="n">
        <v>4823.01</v>
      </c>
      <c r="G2306" s="6" t="s">
        <v>2623</v>
      </c>
    </row>
    <row r="2307" customFormat="false" ht="15" hidden="false" customHeight="true" outlineLevel="0" collapsed="false">
      <c r="A2307" s="6" t="s">
        <v>4919</v>
      </c>
      <c r="B2307" s="6" t="s">
        <v>641</v>
      </c>
      <c r="C2307" s="6" t="s">
        <v>116</v>
      </c>
      <c r="D2307" s="13" t="n">
        <v>45750</v>
      </c>
      <c r="E2307" s="14" t="n">
        <v>2696.08</v>
      </c>
      <c r="F2307" s="14" t="n">
        <v>7519.09</v>
      </c>
      <c r="G2307" s="6" t="s">
        <v>2613</v>
      </c>
    </row>
    <row r="2308" customFormat="false" ht="15" hidden="false" customHeight="true" outlineLevel="0" collapsed="false">
      <c r="A2308" s="6" t="s">
        <v>4920</v>
      </c>
      <c r="B2308" s="6" t="s">
        <v>641</v>
      </c>
      <c r="C2308" s="6" t="s">
        <v>116</v>
      </c>
      <c r="D2308" s="13" t="n">
        <v>45757</v>
      </c>
      <c r="E2308" s="14" t="n">
        <v>2139</v>
      </c>
      <c r="F2308" s="14" t="n">
        <v>9658.09</v>
      </c>
      <c r="G2308" s="6" t="s">
        <v>2613</v>
      </c>
    </row>
    <row r="2309" customFormat="false" ht="15" hidden="false" customHeight="true" outlineLevel="0" collapsed="false">
      <c r="A2309" s="6" t="s">
        <v>4921</v>
      </c>
      <c r="B2309" s="6" t="s">
        <v>641</v>
      </c>
      <c r="C2309" s="6" t="s">
        <v>116</v>
      </c>
      <c r="D2309" s="13" t="n">
        <v>45764</v>
      </c>
      <c r="E2309" s="14" t="n">
        <v>2560.15</v>
      </c>
      <c r="F2309" s="14" t="n">
        <v>12218.24</v>
      </c>
      <c r="G2309" s="6" t="s">
        <v>2623</v>
      </c>
    </row>
    <row r="2310" customFormat="false" ht="15" hidden="false" customHeight="true" outlineLevel="0" collapsed="false">
      <c r="A2310" s="6" t="s">
        <v>4922</v>
      </c>
      <c r="B2310" s="6" t="s">
        <v>641</v>
      </c>
      <c r="C2310" s="6" t="s">
        <v>116</v>
      </c>
      <c r="D2310" s="13" t="n">
        <v>45771</v>
      </c>
      <c r="E2310" s="14" t="n">
        <v>1845.31</v>
      </c>
      <c r="F2310" s="14" t="n">
        <v>14063.55</v>
      </c>
      <c r="G2310" s="6" t="s">
        <v>2613</v>
      </c>
    </row>
    <row r="2311" customFormat="false" ht="15" hidden="false" customHeight="true" outlineLevel="0" collapsed="false">
      <c r="A2311" s="6" t="s">
        <v>4923</v>
      </c>
      <c r="B2311" s="6" t="s">
        <v>641</v>
      </c>
      <c r="C2311" s="6" t="s">
        <v>116</v>
      </c>
      <c r="D2311" s="13" t="n">
        <v>45778</v>
      </c>
      <c r="E2311" s="14" t="n">
        <v>1613.04</v>
      </c>
      <c r="F2311" s="14" t="n">
        <v>15676.59</v>
      </c>
      <c r="G2311" s="6" t="s">
        <v>2613</v>
      </c>
    </row>
    <row r="2312" customFormat="false" ht="15" hidden="false" customHeight="true" outlineLevel="0" collapsed="false">
      <c r="A2312" s="6" t="s">
        <v>4924</v>
      </c>
      <c r="B2312" s="6" t="s">
        <v>643</v>
      </c>
      <c r="C2312" s="6" t="s">
        <v>120</v>
      </c>
      <c r="D2312" s="13" t="n">
        <v>45429</v>
      </c>
      <c r="E2312" s="14" t="n">
        <v>1315.73</v>
      </c>
      <c r="F2312" s="14" t="n">
        <v>1315.73</v>
      </c>
      <c r="G2312" s="6" t="s">
        <v>2613</v>
      </c>
    </row>
    <row r="2313" customFormat="false" ht="15" hidden="false" customHeight="true" outlineLevel="0" collapsed="false">
      <c r="A2313" s="6" t="s">
        <v>4925</v>
      </c>
      <c r="B2313" s="6" t="s">
        <v>643</v>
      </c>
      <c r="C2313" s="6" t="s">
        <v>120</v>
      </c>
      <c r="D2313" s="13" t="n">
        <v>45436</v>
      </c>
      <c r="E2313" s="14" t="n">
        <v>1878.32</v>
      </c>
      <c r="F2313" s="14" t="n">
        <v>3194.05</v>
      </c>
      <c r="G2313" s="6" t="s">
        <v>2613</v>
      </c>
    </row>
    <row r="2314" customFormat="false" ht="15" hidden="false" customHeight="true" outlineLevel="0" collapsed="false">
      <c r="A2314" s="6" t="s">
        <v>4926</v>
      </c>
      <c r="B2314" s="6" t="s">
        <v>643</v>
      </c>
      <c r="C2314" s="6" t="s">
        <v>120</v>
      </c>
      <c r="D2314" s="13" t="n">
        <v>45443</v>
      </c>
      <c r="E2314" s="14" t="n">
        <v>2005.26</v>
      </c>
      <c r="F2314" s="14" t="n">
        <v>5199.31</v>
      </c>
      <c r="G2314" s="6" t="s">
        <v>2613</v>
      </c>
    </row>
    <row r="2315" customFormat="false" ht="15" hidden="false" customHeight="true" outlineLevel="0" collapsed="false">
      <c r="A2315" s="6" t="s">
        <v>4927</v>
      </c>
      <c r="B2315" s="6" t="s">
        <v>643</v>
      </c>
      <c r="C2315" s="6" t="s">
        <v>120</v>
      </c>
      <c r="D2315" s="13" t="n">
        <v>45450</v>
      </c>
      <c r="E2315" s="14" t="n">
        <v>1658.75</v>
      </c>
      <c r="F2315" s="14" t="n">
        <v>6858.06</v>
      </c>
      <c r="G2315" s="6" t="s">
        <v>2613</v>
      </c>
    </row>
    <row r="2316" customFormat="false" ht="15" hidden="false" customHeight="true" outlineLevel="0" collapsed="false">
      <c r="A2316" s="6" t="s">
        <v>4928</v>
      </c>
      <c r="B2316" s="6" t="s">
        <v>643</v>
      </c>
      <c r="C2316" s="6" t="s">
        <v>120</v>
      </c>
      <c r="D2316" s="13" t="n">
        <v>45457</v>
      </c>
      <c r="E2316" s="14" t="n">
        <v>1920.83</v>
      </c>
      <c r="F2316" s="14" t="n">
        <v>8778.89</v>
      </c>
      <c r="G2316" s="6" t="s">
        <v>2613</v>
      </c>
    </row>
    <row r="2317" customFormat="false" ht="15" hidden="false" customHeight="true" outlineLevel="0" collapsed="false">
      <c r="A2317" s="6" t="s">
        <v>4929</v>
      </c>
      <c r="B2317" s="6" t="s">
        <v>643</v>
      </c>
      <c r="C2317" s="6" t="s">
        <v>120</v>
      </c>
      <c r="D2317" s="13" t="n">
        <v>45464</v>
      </c>
      <c r="E2317" s="14" t="n">
        <v>1243.56</v>
      </c>
      <c r="F2317" s="14" t="n">
        <v>10022.45</v>
      </c>
      <c r="G2317" s="6" t="s">
        <v>2623</v>
      </c>
    </row>
    <row r="2318" customFormat="false" ht="15" hidden="false" customHeight="true" outlineLevel="0" collapsed="false">
      <c r="A2318" s="6" t="s">
        <v>4930</v>
      </c>
      <c r="B2318" s="6" t="s">
        <v>643</v>
      </c>
      <c r="C2318" s="6" t="s">
        <v>120</v>
      </c>
      <c r="D2318" s="13" t="n">
        <v>45471</v>
      </c>
      <c r="E2318" s="14" t="n">
        <v>1584.71</v>
      </c>
      <c r="F2318" s="14" t="n">
        <v>11607.16</v>
      </c>
      <c r="G2318" s="6" t="s">
        <v>2623</v>
      </c>
    </row>
    <row r="2319" customFormat="false" ht="15" hidden="false" customHeight="true" outlineLevel="0" collapsed="false">
      <c r="A2319" s="6" t="s">
        <v>4931</v>
      </c>
      <c r="B2319" s="6" t="s">
        <v>643</v>
      </c>
      <c r="C2319" s="6" t="s">
        <v>120</v>
      </c>
      <c r="D2319" s="13" t="n">
        <v>45478</v>
      </c>
      <c r="E2319" s="14" t="n">
        <v>1361.93</v>
      </c>
      <c r="F2319" s="14" t="n">
        <v>12969.09</v>
      </c>
      <c r="G2319" s="6" t="s">
        <v>2623</v>
      </c>
    </row>
    <row r="2320" customFormat="false" ht="15" hidden="false" customHeight="true" outlineLevel="0" collapsed="false">
      <c r="A2320" s="6" t="s">
        <v>4932</v>
      </c>
      <c r="B2320" s="6" t="s">
        <v>643</v>
      </c>
      <c r="C2320" s="6" t="s">
        <v>120</v>
      </c>
      <c r="D2320" s="13" t="n">
        <v>45485</v>
      </c>
      <c r="E2320" s="14" t="n">
        <v>1782.82</v>
      </c>
      <c r="F2320" s="14" t="n">
        <v>14751.91</v>
      </c>
      <c r="G2320" s="6" t="s">
        <v>2613</v>
      </c>
    </row>
    <row r="2321" customFormat="false" ht="15" hidden="false" customHeight="true" outlineLevel="0" collapsed="false">
      <c r="A2321" s="6" t="s">
        <v>4933</v>
      </c>
      <c r="B2321" s="6" t="s">
        <v>643</v>
      </c>
      <c r="C2321" s="6" t="s">
        <v>120</v>
      </c>
      <c r="D2321" s="13" t="n">
        <v>45492</v>
      </c>
      <c r="E2321" s="14" t="n">
        <v>1832.7</v>
      </c>
      <c r="F2321" s="14" t="n">
        <v>16584.61</v>
      </c>
      <c r="G2321" s="6" t="s">
        <v>2613</v>
      </c>
    </row>
    <row r="2322" customFormat="false" ht="15" hidden="false" customHeight="true" outlineLevel="0" collapsed="false">
      <c r="A2322" s="6" t="s">
        <v>4934</v>
      </c>
      <c r="B2322" s="6" t="s">
        <v>643</v>
      </c>
      <c r="C2322" s="6" t="s">
        <v>120</v>
      </c>
      <c r="D2322" s="13" t="n">
        <v>45499</v>
      </c>
      <c r="E2322" s="14" t="n">
        <v>699.47</v>
      </c>
      <c r="F2322" s="14" t="n">
        <v>17284.08</v>
      </c>
      <c r="G2322" s="6" t="s">
        <v>2613</v>
      </c>
    </row>
    <row r="2323" customFormat="false" ht="15" hidden="false" customHeight="true" outlineLevel="0" collapsed="false">
      <c r="A2323" s="6" t="s">
        <v>4935</v>
      </c>
      <c r="B2323" s="6" t="s">
        <v>645</v>
      </c>
      <c r="C2323" s="6" t="s">
        <v>112</v>
      </c>
      <c r="D2323" s="13" t="n">
        <v>44693</v>
      </c>
      <c r="E2323" s="14" t="n">
        <v>3190.42</v>
      </c>
      <c r="F2323" s="14" t="n">
        <v>3190.42</v>
      </c>
      <c r="G2323" s="6" t="s">
        <v>2613</v>
      </c>
    </row>
    <row r="2324" customFormat="false" ht="15" hidden="false" customHeight="true" outlineLevel="0" collapsed="false">
      <c r="A2324" s="6" t="s">
        <v>4936</v>
      </c>
      <c r="B2324" s="6" t="s">
        <v>645</v>
      </c>
      <c r="C2324" s="6" t="s">
        <v>112</v>
      </c>
      <c r="D2324" s="13" t="n">
        <v>44700</v>
      </c>
      <c r="E2324" s="14" t="n">
        <v>2981.43</v>
      </c>
      <c r="F2324" s="14" t="n">
        <v>6171.85</v>
      </c>
      <c r="G2324" s="6" t="s">
        <v>2623</v>
      </c>
    </row>
    <row r="2325" customFormat="false" ht="15" hidden="false" customHeight="true" outlineLevel="0" collapsed="false">
      <c r="A2325" s="6" t="s">
        <v>4937</v>
      </c>
      <c r="B2325" s="6" t="s">
        <v>645</v>
      </c>
      <c r="C2325" s="6" t="s">
        <v>112</v>
      </c>
      <c r="D2325" s="13" t="n">
        <v>44707</v>
      </c>
      <c r="E2325" s="14" t="n">
        <v>3019.83</v>
      </c>
      <c r="F2325" s="14" t="n">
        <v>9191.68</v>
      </c>
      <c r="G2325" s="6" t="s">
        <v>2623</v>
      </c>
    </row>
    <row r="2326" customFormat="false" ht="15" hidden="false" customHeight="true" outlineLevel="0" collapsed="false">
      <c r="A2326" s="6" t="s">
        <v>4938</v>
      </c>
      <c r="B2326" s="6" t="s">
        <v>645</v>
      </c>
      <c r="C2326" s="6" t="s">
        <v>112</v>
      </c>
      <c r="D2326" s="13" t="n">
        <v>44714</v>
      </c>
      <c r="E2326" s="14" t="n">
        <v>2647.02</v>
      </c>
      <c r="F2326" s="14" t="n">
        <v>11838.7</v>
      </c>
      <c r="G2326" s="6" t="s">
        <v>2613</v>
      </c>
    </row>
    <row r="2327" customFormat="false" ht="15" hidden="false" customHeight="true" outlineLevel="0" collapsed="false">
      <c r="A2327" s="6" t="s">
        <v>4939</v>
      </c>
      <c r="B2327" s="6" t="s">
        <v>645</v>
      </c>
      <c r="C2327" s="6" t="s">
        <v>112</v>
      </c>
      <c r="D2327" s="13" t="n">
        <v>44721</v>
      </c>
      <c r="E2327" s="14" t="n">
        <v>1657.04</v>
      </c>
      <c r="F2327" s="14" t="n">
        <v>13495.74</v>
      </c>
      <c r="G2327" s="6" t="s">
        <v>2623</v>
      </c>
    </row>
    <row r="2328" customFormat="false" ht="15" hidden="false" customHeight="true" outlineLevel="0" collapsed="false">
      <c r="A2328" s="6" t="s">
        <v>4940</v>
      </c>
      <c r="B2328" s="6" t="s">
        <v>645</v>
      </c>
      <c r="C2328" s="6" t="s">
        <v>112</v>
      </c>
      <c r="D2328" s="13" t="n">
        <v>44728</v>
      </c>
      <c r="E2328" s="14" t="n">
        <v>1560.51</v>
      </c>
      <c r="F2328" s="14" t="n">
        <v>15056.25</v>
      </c>
      <c r="G2328" s="6" t="s">
        <v>2613</v>
      </c>
    </row>
    <row r="2329" customFormat="false" ht="15" hidden="false" customHeight="true" outlineLevel="0" collapsed="false">
      <c r="A2329" s="6" t="s">
        <v>4941</v>
      </c>
      <c r="B2329" s="6" t="s">
        <v>645</v>
      </c>
      <c r="C2329" s="6" t="s">
        <v>112</v>
      </c>
      <c r="D2329" s="13" t="n">
        <v>44735</v>
      </c>
      <c r="E2329" s="14" t="n">
        <v>2240.35</v>
      </c>
      <c r="F2329" s="14" t="n">
        <v>17296.6</v>
      </c>
      <c r="G2329" s="6" t="s">
        <v>2613</v>
      </c>
    </row>
    <row r="2330" customFormat="false" ht="15" hidden="false" customHeight="true" outlineLevel="0" collapsed="false">
      <c r="A2330" s="6" t="s">
        <v>4942</v>
      </c>
      <c r="B2330" s="6" t="s">
        <v>645</v>
      </c>
      <c r="C2330" s="6" t="s">
        <v>112</v>
      </c>
      <c r="D2330" s="13" t="n">
        <v>44742</v>
      </c>
      <c r="E2330" s="14" t="n">
        <v>2258.68</v>
      </c>
      <c r="F2330" s="14" t="n">
        <v>19555.28</v>
      </c>
      <c r="G2330" s="6" t="s">
        <v>2613</v>
      </c>
    </row>
    <row r="2331" customFormat="false" ht="15" hidden="false" customHeight="true" outlineLevel="0" collapsed="false">
      <c r="A2331" s="6" t="s">
        <v>4943</v>
      </c>
      <c r="B2331" s="6" t="s">
        <v>645</v>
      </c>
      <c r="C2331" s="6" t="s">
        <v>112</v>
      </c>
      <c r="D2331" s="13" t="n">
        <v>44749</v>
      </c>
      <c r="E2331" s="14" t="n">
        <v>2990.82</v>
      </c>
      <c r="F2331" s="14" t="n">
        <v>22546.1</v>
      </c>
      <c r="G2331" s="6" t="s">
        <v>2613</v>
      </c>
    </row>
    <row r="2332" customFormat="false" ht="15" hidden="false" customHeight="true" outlineLevel="0" collapsed="false">
      <c r="A2332" s="6" t="s">
        <v>4944</v>
      </c>
      <c r="B2332" s="6" t="s">
        <v>645</v>
      </c>
      <c r="C2332" s="6" t="s">
        <v>112</v>
      </c>
      <c r="D2332" s="13" t="n">
        <v>44756</v>
      </c>
      <c r="E2332" s="14" t="n">
        <v>2340.97</v>
      </c>
      <c r="F2332" s="14" t="n">
        <v>24887.07</v>
      </c>
      <c r="G2332" s="6" t="s">
        <v>2613</v>
      </c>
    </row>
    <row r="2333" customFormat="false" ht="15" hidden="false" customHeight="true" outlineLevel="0" collapsed="false">
      <c r="A2333" s="6" t="s">
        <v>4945</v>
      </c>
      <c r="B2333" s="6" t="s">
        <v>645</v>
      </c>
      <c r="C2333" s="6" t="s">
        <v>112</v>
      </c>
      <c r="D2333" s="13" t="n">
        <v>44763</v>
      </c>
      <c r="E2333" s="14" t="n">
        <v>2291.75</v>
      </c>
      <c r="F2333" s="14" t="n">
        <v>27178.82</v>
      </c>
      <c r="G2333" s="6" t="s">
        <v>2613</v>
      </c>
    </row>
    <row r="2334" customFormat="false" ht="15" hidden="false" customHeight="true" outlineLevel="0" collapsed="false">
      <c r="A2334" s="6" t="s">
        <v>4946</v>
      </c>
      <c r="B2334" s="6" t="s">
        <v>645</v>
      </c>
      <c r="C2334" s="6" t="s">
        <v>112</v>
      </c>
      <c r="D2334" s="13" t="n">
        <v>44770</v>
      </c>
      <c r="E2334" s="14" t="n">
        <v>1655.97</v>
      </c>
      <c r="F2334" s="14" t="n">
        <v>28834.79</v>
      </c>
      <c r="G2334" s="6" t="s">
        <v>2613</v>
      </c>
    </row>
    <row r="2335" customFormat="false" ht="15" hidden="false" customHeight="true" outlineLevel="0" collapsed="false">
      <c r="A2335" s="6" t="s">
        <v>4947</v>
      </c>
      <c r="B2335" s="6" t="s">
        <v>645</v>
      </c>
      <c r="C2335" s="6" t="s">
        <v>112</v>
      </c>
      <c r="D2335" s="13" t="n">
        <v>44777</v>
      </c>
      <c r="E2335" s="14" t="n">
        <v>2773.54</v>
      </c>
      <c r="F2335" s="14" t="n">
        <v>31608.33</v>
      </c>
      <c r="G2335" s="6" t="s">
        <v>2623</v>
      </c>
    </row>
    <row r="2336" customFormat="false" ht="15" hidden="false" customHeight="true" outlineLevel="0" collapsed="false">
      <c r="A2336" s="6" t="s">
        <v>4948</v>
      </c>
      <c r="B2336" s="6" t="s">
        <v>645</v>
      </c>
      <c r="C2336" s="6" t="s">
        <v>112</v>
      </c>
      <c r="D2336" s="13" t="n">
        <v>44784</v>
      </c>
      <c r="E2336" s="14" t="n">
        <v>2465.09</v>
      </c>
      <c r="F2336" s="14" t="n">
        <v>34073.42</v>
      </c>
      <c r="G2336" s="6" t="s">
        <v>2613</v>
      </c>
    </row>
    <row r="2337" customFormat="false" ht="15" hidden="false" customHeight="true" outlineLevel="0" collapsed="false">
      <c r="A2337" s="6" t="s">
        <v>4949</v>
      </c>
      <c r="B2337" s="6" t="s">
        <v>645</v>
      </c>
      <c r="C2337" s="6" t="s">
        <v>112</v>
      </c>
      <c r="D2337" s="13" t="n">
        <v>44791</v>
      </c>
      <c r="E2337" s="14" t="n">
        <v>1669.06</v>
      </c>
      <c r="F2337" s="14" t="n">
        <v>35742.48</v>
      </c>
      <c r="G2337" s="6" t="s">
        <v>2623</v>
      </c>
    </row>
    <row r="2338" customFormat="false" ht="15" hidden="false" customHeight="true" outlineLevel="0" collapsed="false">
      <c r="A2338" s="6" t="s">
        <v>4950</v>
      </c>
      <c r="B2338" s="6" t="s">
        <v>645</v>
      </c>
      <c r="C2338" s="6" t="s">
        <v>112</v>
      </c>
      <c r="D2338" s="13" t="n">
        <v>44798</v>
      </c>
      <c r="E2338" s="14" t="n">
        <v>2846.53</v>
      </c>
      <c r="F2338" s="14" t="n">
        <v>38589.01</v>
      </c>
      <c r="G2338" s="6" t="s">
        <v>2613</v>
      </c>
    </row>
    <row r="2339" customFormat="false" ht="15" hidden="false" customHeight="true" outlineLevel="0" collapsed="false">
      <c r="A2339" s="6" t="s">
        <v>4951</v>
      </c>
      <c r="B2339" s="6" t="s">
        <v>645</v>
      </c>
      <c r="C2339" s="6" t="s">
        <v>112</v>
      </c>
      <c r="D2339" s="13" t="n">
        <v>44805</v>
      </c>
      <c r="E2339" s="14" t="n">
        <v>3094.51</v>
      </c>
      <c r="F2339" s="14" t="n">
        <v>41683.52</v>
      </c>
      <c r="G2339" s="6" t="s">
        <v>2613</v>
      </c>
    </row>
    <row r="2340" customFormat="false" ht="15" hidden="false" customHeight="true" outlineLevel="0" collapsed="false">
      <c r="A2340" s="6" t="s">
        <v>4952</v>
      </c>
      <c r="B2340" s="6" t="s">
        <v>645</v>
      </c>
      <c r="C2340" s="6" t="s">
        <v>112</v>
      </c>
      <c r="D2340" s="13" t="n">
        <v>44812</v>
      </c>
      <c r="E2340" s="14" t="n">
        <v>1704.03</v>
      </c>
      <c r="F2340" s="14" t="n">
        <v>43387.55</v>
      </c>
      <c r="G2340" s="6" t="s">
        <v>2613</v>
      </c>
    </row>
    <row r="2341" customFormat="false" ht="15" hidden="false" customHeight="true" outlineLevel="0" collapsed="false">
      <c r="A2341" s="6" t="s">
        <v>4953</v>
      </c>
      <c r="B2341" s="6" t="s">
        <v>645</v>
      </c>
      <c r="C2341" s="6" t="s">
        <v>112</v>
      </c>
      <c r="D2341" s="13" t="n">
        <v>44819</v>
      </c>
      <c r="E2341" s="14" t="n">
        <v>2150.3</v>
      </c>
      <c r="F2341" s="14" t="n">
        <v>45537.85</v>
      </c>
      <c r="G2341" s="6" t="s">
        <v>2613</v>
      </c>
    </row>
    <row r="2342" customFormat="false" ht="15" hidden="false" customHeight="true" outlineLevel="0" collapsed="false">
      <c r="A2342" s="6" t="s">
        <v>4954</v>
      </c>
      <c r="B2342" s="6" t="s">
        <v>645</v>
      </c>
      <c r="C2342" s="6" t="s">
        <v>112</v>
      </c>
      <c r="D2342" s="13" t="n">
        <v>44826</v>
      </c>
      <c r="E2342" s="14" t="n">
        <v>2666.69</v>
      </c>
      <c r="F2342" s="14" t="n">
        <v>48204.54</v>
      </c>
      <c r="G2342" s="6" t="s">
        <v>2613</v>
      </c>
    </row>
    <row r="2343" customFormat="false" ht="15" hidden="false" customHeight="true" outlineLevel="0" collapsed="false">
      <c r="A2343" s="6" t="s">
        <v>4955</v>
      </c>
      <c r="B2343" s="6" t="s">
        <v>645</v>
      </c>
      <c r="C2343" s="6" t="s">
        <v>112</v>
      </c>
      <c r="D2343" s="13" t="n">
        <v>44833</v>
      </c>
      <c r="E2343" s="14" t="n">
        <v>1726.77</v>
      </c>
      <c r="F2343" s="14" t="n">
        <v>49931.31</v>
      </c>
      <c r="G2343" s="6" t="s">
        <v>2623</v>
      </c>
    </row>
    <row r="2344" customFormat="false" ht="15" hidden="false" customHeight="true" outlineLevel="0" collapsed="false">
      <c r="A2344" s="6" t="s">
        <v>4956</v>
      </c>
      <c r="B2344" s="6" t="s">
        <v>645</v>
      </c>
      <c r="C2344" s="6" t="s">
        <v>112</v>
      </c>
      <c r="D2344" s="13" t="n">
        <v>44840</v>
      </c>
      <c r="E2344" s="14" t="n">
        <v>1707.34</v>
      </c>
      <c r="F2344" s="14" t="n">
        <v>51638.65</v>
      </c>
      <c r="G2344" s="6" t="s">
        <v>2613</v>
      </c>
    </row>
    <row r="2345" customFormat="false" ht="15" hidden="false" customHeight="true" outlineLevel="0" collapsed="false">
      <c r="A2345" s="6" t="s">
        <v>4957</v>
      </c>
      <c r="B2345" s="6" t="s">
        <v>645</v>
      </c>
      <c r="C2345" s="6" t="s">
        <v>112</v>
      </c>
      <c r="D2345" s="13" t="n">
        <v>44847</v>
      </c>
      <c r="E2345" s="14" t="n">
        <v>2457.13</v>
      </c>
      <c r="F2345" s="14" t="n">
        <v>54095.78</v>
      </c>
      <c r="G2345" s="6" t="s">
        <v>2613</v>
      </c>
    </row>
    <row r="2346" customFormat="false" ht="15" hidden="false" customHeight="true" outlineLevel="0" collapsed="false">
      <c r="A2346" s="6" t="s">
        <v>4958</v>
      </c>
      <c r="B2346" s="6" t="s">
        <v>645</v>
      </c>
      <c r="C2346" s="6" t="s">
        <v>112</v>
      </c>
      <c r="D2346" s="13" t="n">
        <v>44854</v>
      </c>
      <c r="E2346" s="14" t="n">
        <v>2154.87</v>
      </c>
      <c r="F2346" s="14" t="n">
        <v>56250.65</v>
      </c>
      <c r="G2346" s="6" t="s">
        <v>2613</v>
      </c>
    </row>
    <row r="2347" customFormat="false" ht="15" hidden="false" customHeight="true" outlineLevel="0" collapsed="false">
      <c r="A2347" s="6" t="s">
        <v>4959</v>
      </c>
      <c r="B2347" s="6" t="s">
        <v>645</v>
      </c>
      <c r="C2347" s="6" t="s">
        <v>112</v>
      </c>
      <c r="D2347" s="13" t="n">
        <v>44861</v>
      </c>
      <c r="E2347" s="14" t="n">
        <v>2511.64</v>
      </c>
      <c r="F2347" s="14" t="n">
        <v>58762.29</v>
      </c>
      <c r="G2347" s="6" t="s">
        <v>2613</v>
      </c>
    </row>
    <row r="2348" customFormat="false" ht="15" hidden="false" customHeight="true" outlineLevel="0" collapsed="false">
      <c r="A2348" s="6" t="s">
        <v>4960</v>
      </c>
      <c r="B2348" s="6" t="s">
        <v>645</v>
      </c>
      <c r="C2348" s="6" t="s">
        <v>112</v>
      </c>
      <c r="D2348" s="13" t="n">
        <v>44868</v>
      </c>
      <c r="E2348" s="14" t="n">
        <v>2372.32</v>
      </c>
      <c r="F2348" s="14" t="n">
        <v>61134.61</v>
      </c>
      <c r="G2348" s="6" t="s">
        <v>2613</v>
      </c>
    </row>
    <row r="2349" customFormat="false" ht="15" hidden="false" customHeight="true" outlineLevel="0" collapsed="false">
      <c r="A2349" s="6" t="s">
        <v>4961</v>
      </c>
      <c r="B2349" s="6" t="s">
        <v>645</v>
      </c>
      <c r="C2349" s="6" t="s">
        <v>112</v>
      </c>
      <c r="D2349" s="13" t="n">
        <v>44875</v>
      </c>
      <c r="E2349" s="14" t="n">
        <v>2025.16</v>
      </c>
      <c r="F2349" s="14" t="n">
        <v>63159.77</v>
      </c>
      <c r="G2349" s="6" t="s">
        <v>2613</v>
      </c>
    </row>
    <row r="2350" customFormat="false" ht="15" hidden="false" customHeight="true" outlineLevel="0" collapsed="false">
      <c r="A2350" s="6" t="s">
        <v>4962</v>
      </c>
      <c r="B2350" s="6" t="s">
        <v>645</v>
      </c>
      <c r="C2350" s="6" t="s">
        <v>112</v>
      </c>
      <c r="D2350" s="13" t="n">
        <v>44882</v>
      </c>
      <c r="E2350" s="14" t="n">
        <v>2466</v>
      </c>
      <c r="F2350" s="14" t="n">
        <v>65625.77</v>
      </c>
      <c r="G2350" s="6" t="s">
        <v>2613</v>
      </c>
    </row>
    <row r="2351" customFormat="false" ht="15" hidden="false" customHeight="true" outlineLevel="0" collapsed="false">
      <c r="A2351" s="6" t="s">
        <v>4963</v>
      </c>
      <c r="B2351" s="6" t="s">
        <v>645</v>
      </c>
      <c r="C2351" s="6" t="s">
        <v>112</v>
      </c>
      <c r="D2351" s="13" t="n">
        <v>44889</v>
      </c>
      <c r="E2351" s="14" t="n">
        <v>1740.25</v>
      </c>
      <c r="F2351" s="14" t="n">
        <v>67366.02</v>
      </c>
      <c r="G2351" s="6" t="s">
        <v>2613</v>
      </c>
    </row>
    <row r="2352" customFormat="false" ht="15" hidden="false" customHeight="true" outlineLevel="0" collapsed="false">
      <c r="A2352" s="6" t="s">
        <v>4964</v>
      </c>
      <c r="B2352" s="6" t="s">
        <v>645</v>
      </c>
      <c r="C2352" s="6" t="s">
        <v>112</v>
      </c>
      <c r="D2352" s="13" t="n">
        <v>44896</v>
      </c>
      <c r="E2352" s="14" t="n">
        <v>5582.02</v>
      </c>
      <c r="F2352" s="14" t="n">
        <v>72948.04</v>
      </c>
      <c r="G2352" s="6" t="s">
        <v>2613</v>
      </c>
    </row>
    <row r="2353" customFormat="false" ht="15" hidden="false" customHeight="true" outlineLevel="0" collapsed="false">
      <c r="A2353" s="6" t="s">
        <v>4965</v>
      </c>
      <c r="B2353" s="6" t="s">
        <v>647</v>
      </c>
      <c r="C2353" s="6" t="s">
        <v>128</v>
      </c>
      <c r="D2353" s="13" t="n">
        <v>45526</v>
      </c>
      <c r="E2353" s="14" t="n">
        <v>4632.13</v>
      </c>
      <c r="F2353" s="14" t="n">
        <v>4632.13</v>
      </c>
      <c r="G2353" s="6" t="s">
        <v>2613</v>
      </c>
    </row>
    <row r="2354" customFormat="false" ht="15" hidden="false" customHeight="true" outlineLevel="0" collapsed="false">
      <c r="A2354" s="6" t="s">
        <v>4966</v>
      </c>
      <c r="B2354" s="6" t="s">
        <v>647</v>
      </c>
      <c r="C2354" s="6" t="s">
        <v>128</v>
      </c>
      <c r="D2354" s="13" t="n">
        <v>45533</v>
      </c>
      <c r="E2354" s="14" t="n">
        <v>4763.56</v>
      </c>
      <c r="F2354" s="14" t="n">
        <v>9395.69</v>
      </c>
      <c r="G2354" s="6" t="s">
        <v>2613</v>
      </c>
    </row>
    <row r="2355" customFormat="false" ht="15" hidden="false" customHeight="true" outlineLevel="0" collapsed="false">
      <c r="A2355" s="6" t="s">
        <v>4967</v>
      </c>
      <c r="B2355" s="6" t="s">
        <v>647</v>
      </c>
      <c r="C2355" s="6" t="s">
        <v>128</v>
      </c>
      <c r="D2355" s="13" t="n">
        <v>45540</v>
      </c>
      <c r="E2355" s="14" t="n">
        <v>3181.09</v>
      </c>
      <c r="F2355" s="14" t="n">
        <v>12576.78</v>
      </c>
      <c r="G2355" s="6" t="s">
        <v>2613</v>
      </c>
    </row>
    <row r="2356" customFormat="false" ht="15" hidden="false" customHeight="true" outlineLevel="0" collapsed="false">
      <c r="A2356" s="6" t="s">
        <v>4968</v>
      </c>
      <c r="B2356" s="6" t="s">
        <v>647</v>
      </c>
      <c r="C2356" s="6" t="s">
        <v>128</v>
      </c>
      <c r="D2356" s="13" t="n">
        <v>45547</v>
      </c>
      <c r="E2356" s="14" t="n">
        <v>5367.11</v>
      </c>
      <c r="F2356" s="14" t="n">
        <v>17943.89</v>
      </c>
      <c r="G2356" s="6" t="s">
        <v>2623</v>
      </c>
    </row>
    <row r="2357" customFormat="false" ht="15" hidden="false" customHeight="true" outlineLevel="0" collapsed="false">
      <c r="A2357" s="6" t="s">
        <v>4969</v>
      </c>
      <c r="B2357" s="6" t="s">
        <v>647</v>
      </c>
      <c r="C2357" s="6" t="s">
        <v>128</v>
      </c>
      <c r="D2357" s="13" t="n">
        <v>45554</v>
      </c>
      <c r="E2357" s="14" t="n">
        <v>3380.29</v>
      </c>
      <c r="F2357" s="14" t="n">
        <v>21324.18</v>
      </c>
      <c r="G2357" s="6" t="s">
        <v>2623</v>
      </c>
    </row>
    <row r="2358" customFormat="false" ht="15" hidden="false" customHeight="true" outlineLevel="0" collapsed="false">
      <c r="A2358" s="6" t="s">
        <v>4970</v>
      </c>
      <c r="B2358" s="6" t="s">
        <v>647</v>
      </c>
      <c r="C2358" s="6" t="s">
        <v>128</v>
      </c>
      <c r="D2358" s="13" t="n">
        <v>45561</v>
      </c>
      <c r="E2358" s="14" t="n">
        <v>3392.91</v>
      </c>
      <c r="F2358" s="14" t="n">
        <v>24717.09</v>
      </c>
      <c r="G2358" s="6" t="s">
        <v>2613</v>
      </c>
    </row>
    <row r="2359" customFormat="false" ht="15" hidden="false" customHeight="true" outlineLevel="0" collapsed="false">
      <c r="A2359" s="6" t="s">
        <v>4971</v>
      </c>
      <c r="B2359" s="6" t="s">
        <v>647</v>
      </c>
      <c r="C2359" s="6" t="s">
        <v>128</v>
      </c>
      <c r="D2359" s="13" t="n">
        <v>45568</v>
      </c>
      <c r="E2359" s="14" t="n">
        <v>4790.82</v>
      </c>
      <c r="F2359" s="14" t="n">
        <v>29507.91</v>
      </c>
      <c r="G2359" s="6" t="s">
        <v>2613</v>
      </c>
    </row>
    <row r="2360" customFormat="false" ht="15" hidden="false" customHeight="true" outlineLevel="0" collapsed="false">
      <c r="A2360" s="6" t="s">
        <v>4972</v>
      </c>
      <c r="B2360" s="6" t="s">
        <v>647</v>
      </c>
      <c r="C2360" s="6" t="s">
        <v>128</v>
      </c>
      <c r="D2360" s="13" t="n">
        <v>45575</v>
      </c>
      <c r="E2360" s="14" t="n">
        <v>5361.78</v>
      </c>
      <c r="F2360" s="14" t="n">
        <v>34869.69</v>
      </c>
      <c r="G2360" s="6" t="s">
        <v>2613</v>
      </c>
    </row>
    <row r="2361" customFormat="false" ht="15" hidden="false" customHeight="true" outlineLevel="0" collapsed="false">
      <c r="A2361" s="6" t="s">
        <v>4973</v>
      </c>
      <c r="B2361" s="6" t="s">
        <v>649</v>
      </c>
      <c r="C2361" s="6" t="s">
        <v>120</v>
      </c>
      <c r="D2361" s="13" t="n">
        <v>44967</v>
      </c>
      <c r="E2361" s="14" t="n">
        <v>1212.32</v>
      </c>
      <c r="F2361" s="14" t="n">
        <v>1212.32</v>
      </c>
      <c r="G2361" s="6" t="s">
        <v>2613</v>
      </c>
    </row>
    <row r="2362" customFormat="false" ht="15" hidden="false" customHeight="true" outlineLevel="0" collapsed="false">
      <c r="A2362" s="6" t="s">
        <v>4974</v>
      </c>
      <c r="B2362" s="6" t="s">
        <v>649</v>
      </c>
      <c r="C2362" s="6" t="s">
        <v>120</v>
      </c>
      <c r="D2362" s="13" t="n">
        <v>44974</v>
      </c>
      <c r="E2362" s="14" t="n">
        <v>1036.69</v>
      </c>
      <c r="F2362" s="14" t="n">
        <v>2249.01</v>
      </c>
      <c r="G2362" s="6" t="s">
        <v>2613</v>
      </c>
    </row>
    <row r="2363" customFormat="false" ht="15" hidden="false" customHeight="true" outlineLevel="0" collapsed="false">
      <c r="A2363" s="6" t="s">
        <v>4975</v>
      </c>
      <c r="B2363" s="6" t="s">
        <v>649</v>
      </c>
      <c r="C2363" s="6" t="s">
        <v>120</v>
      </c>
      <c r="D2363" s="13" t="n">
        <v>44981</v>
      </c>
      <c r="E2363" s="14" t="n">
        <v>1058.34</v>
      </c>
      <c r="F2363" s="14" t="n">
        <v>3307.35</v>
      </c>
      <c r="G2363" s="6" t="s">
        <v>2613</v>
      </c>
    </row>
    <row r="2364" customFormat="false" ht="15" hidden="false" customHeight="true" outlineLevel="0" collapsed="false">
      <c r="A2364" s="6" t="s">
        <v>4976</v>
      </c>
      <c r="B2364" s="6" t="s">
        <v>649</v>
      </c>
      <c r="C2364" s="6" t="s">
        <v>120</v>
      </c>
      <c r="D2364" s="13" t="n">
        <v>44988</v>
      </c>
      <c r="E2364" s="14" t="n">
        <v>1009.56</v>
      </c>
      <c r="F2364" s="14" t="n">
        <v>4316.91</v>
      </c>
      <c r="G2364" s="6" t="s">
        <v>2613</v>
      </c>
    </row>
    <row r="2365" customFormat="false" ht="15" hidden="false" customHeight="true" outlineLevel="0" collapsed="false">
      <c r="A2365" s="6" t="s">
        <v>4977</v>
      </c>
      <c r="B2365" s="6" t="s">
        <v>649</v>
      </c>
      <c r="C2365" s="6" t="s">
        <v>120</v>
      </c>
      <c r="D2365" s="13" t="n">
        <v>44995</v>
      </c>
      <c r="E2365" s="14" t="n">
        <v>1087.86</v>
      </c>
      <c r="F2365" s="14" t="n">
        <v>5404.77</v>
      </c>
      <c r="G2365" s="6" t="s">
        <v>2613</v>
      </c>
    </row>
    <row r="2366" customFormat="false" ht="15" hidden="false" customHeight="true" outlineLevel="0" collapsed="false">
      <c r="A2366" s="6" t="s">
        <v>4978</v>
      </c>
      <c r="B2366" s="6" t="s">
        <v>649</v>
      </c>
      <c r="C2366" s="6" t="s">
        <v>120</v>
      </c>
      <c r="D2366" s="13" t="n">
        <v>45002</v>
      </c>
      <c r="E2366" s="14" t="n">
        <v>1011.52</v>
      </c>
      <c r="F2366" s="14" t="n">
        <v>6416.29</v>
      </c>
      <c r="G2366" s="6" t="s">
        <v>2613</v>
      </c>
    </row>
    <row r="2367" customFormat="false" ht="15" hidden="false" customHeight="true" outlineLevel="0" collapsed="false">
      <c r="A2367" s="6" t="s">
        <v>4979</v>
      </c>
      <c r="B2367" s="6" t="s">
        <v>649</v>
      </c>
      <c r="C2367" s="6" t="s">
        <v>120</v>
      </c>
      <c r="D2367" s="13" t="n">
        <v>45009</v>
      </c>
      <c r="E2367" s="14" t="n">
        <v>3141.03</v>
      </c>
      <c r="F2367" s="14" t="n">
        <v>9557.32</v>
      </c>
      <c r="G2367" s="6" t="s">
        <v>2613</v>
      </c>
    </row>
    <row r="2368" customFormat="false" ht="15" hidden="false" customHeight="true" outlineLevel="0" collapsed="false">
      <c r="A2368" s="6" t="s">
        <v>4980</v>
      </c>
      <c r="B2368" s="6" t="s">
        <v>651</v>
      </c>
      <c r="C2368" s="6" t="s">
        <v>131</v>
      </c>
      <c r="D2368" s="13" t="n">
        <v>45648</v>
      </c>
      <c r="E2368" s="14" t="n">
        <v>6338.94</v>
      </c>
      <c r="F2368" s="14" t="n">
        <v>6338.94</v>
      </c>
      <c r="G2368" s="6" t="s">
        <v>2613</v>
      </c>
    </row>
    <row r="2369" customFormat="false" ht="15" hidden="false" customHeight="true" outlineLevel="0" collapsed="false">
      <c r="A2369" s="6" t="s">
        <v>4981</v>
      </c>
      <c r="B2369" s="6" t="s">
        <v>651</v>
      </c>
      <c r="C2369" s="6" t="s">
        <v>131</v>
      </c>
      <c r="D2369" s="13" t="n">
        <v>45655</v>
      </c>
      <c r="E2369" s="14" t="n">
        <v>3167.7</v>
      </c>
      <c r="F2369" s="14" t="n">
        <v>9506.64</v>
      </c>
      <c r="G2369" s="6" t="s">
        <v>2613</v>
      </c>
    </row>
    <row r="2370" customFormat="false" ht="15" hidden="false" customHeight="true" outlineLevel="0" collapsed="false">
      <c r="A2370" s="6" t="s">
        <v>4982</v>
      </c>
      <c r="B2370" s="6" t="s">
        <v>651</v>
      </c>
      <c r="C2370" s="6" t="s">
        <v>131</v>
      </c>
      <c r="D2370" s="13" t="n">
        <v>45662</v>
      </c>
      <c r="E2370" s="14" t="n">
        <v>6504.02</v>
      </c>
      <c r="F2370" s="14" t="n">
        <v>16010.66</v>
      </c>
      <c r="G2370" s="6" t="s">
        <v>2613</v>
      </c>
    </row>
    <row r="2371" customFormat="false" ht="15" hidden="false" customHeight="true" outlineLevel="0" collapsed="false">
      <c r="A2371" s="6" t="s">
        <v>4983</v>
      </c>
      <c r="B2371" s="6" t="s">
        <v>651</v>
      </c>
      <c r="C2371" s="6" t="s">
        <v>131</v>
      </c>
      <c r="D2371" s="13" t="n">
        <v>45669</v>
      </c>
      <c r="E2371" s="14" t="n">
        <v>3658.39</v>
      </c>
      <c r="F2371" s="14" t="n">
        <v>19669.05</v>
      </c>
      <c r="G2371" s="6" t="s">
        <v>2613</v>
      </c>
    </row>
    <row r="2372" customFormat="false" ht="15" hidden="false" customHeight="true" outlineLevel="0" collapsed="false">
      <c r="A2372" s="6" t="s">
        <v>4984</v>
      </c>
      <c r="B2372" s="6" t="s">
        <v>651</v>
      </c>
      <c r="C2372" s="6" t="s">
        <v>131</v>
      </c>
      <c r="D2372" s="13" t="n">
        <v>45676</v>
      </c>
      <c r="E2372" s="14" t="n">
        <v>4367.68</v>
      </c>
      <c r="F2372" s="14" t="n">
        <v>24036.73</v>
      </c>
      <c r="G2372" s="6" t="s">
        <v>2613</v>
      </c>
    </row>
    <row r="2373" customFormat="false" ht="15" hidden="false" customHeight="true" outlineLevel="0" collapsed="false">
      <c r="A2373" s="6" t="s">
        <v>4985</v>
      </c>
      <c r="B2373" s="6" t="s">
        <v>651</v>
      </c>
      <c r="C2373" s="6" t="s">
        <v>131</v>
      </c>
      <c r="D2373" s="13" t="n">
        <v>45683</v>
      </c>
      <c r="E2373" s="14" t="n">
        <v>6709.24</v>
      </c>
      <c r="F2373" s="14" t="n">
        <v>30745.97</v>
      </c>
      <c r="G2373" s="6" t="s">
        <v>2613</v>
      </c>
    </row>
    <row r="2374" customFormat="false" ht="15" hidden="false" customHeight="true" outlineLevel="0" collapsed="false">
      <c r="A2374" s="6" t="s">
        <v>4986</v>
      </c>
      <c r="B2374" s="6" t="s">
        <v>651</v>
      </c>
      <c r="C2374" s="6" t="s">
        <v>131</v>
      </c>
      <c r="D2374" s="13" t="n">
        <v>45690</v>
      </c>
      <c r="E2374" s="14" t="n">
        <v>3247.38</v>
      </c>
      <c r="F2374" s="14" t="n">
        <v>33993.35</v>
      </c>
      <c r="G2374" s="6" t="s">
        <v>2623</v>
      </c>
    </row>
    <row r="2375" customFormat="false" ht="15" hidden="false" customHeight="true" outlineLevel="0" collapsed="false">
      <c r="A2375" s="6" t="s">
        <v>4987</v>
      </c>
      <c r="B2375" s="6" t="s">
        <v>653</v>
      </c>
      <c r="C2375" s="6" t="s">
        <v>128</v>
      </c>
      <c r="D2375" s="13" t="n">
        <v>45765</v>
      </c>
      <c r="E2375" s="14" t="n">
        <v>2326.3</v>
      </c>
      <c r="F2375" s="14" t="n">
        <v>2326.3</v>
      </c>
      <c r="G2375" s="6" t="s">
        <v>2613</v>
      </c>
    </row>
    <row r="2376" customFormat="false" ht="15" hidden="false" customHeight="true" outlineLevel="0" collapsed="false">
      <c r="A2376" s="6" t="s">
        <v>4988</v>
      </c>
      <c r="B2376" s="6" t="s">
        <v>653</v>
      </c>
      <c r="C2376" s="6" t="s">
        <v>128</v>
      </c>
      <c r="D2376" s="13" t="n">
        <v>45772</v>
      </c>
      <c r="E2376" s="14" t="n">
        <v>3955.02</v>
      </c>
      <c r="F2376" s="14" t="n">
        <v>6281.32</v>
      </c>
      <c r="G2376" s="6" t="s">
        <v>2623</v>
      </c>
    </row>
    <row r="2377" customFormat="false" ht="15" hidden="false" customHeight="true" outlineLevel="0" collapsed="false">
      <c r="A2377" s="6" t="s">
        <v>4989</v>
      </c>
      <c r="B2377" s="6" t="s">
        <v>653</v>
      </c>
      <c r="C2377" s="6" t="s">
        <v>128</v>
      </c>
      <c r="D2377" s="13" t="n">
        <v>45779</v>
      </c>
      <c r="E2377" s="14" t="n">
        <v>3521.64</v>
      </c>
      <c r="F2377" s="14" t="n">
        <v>9802.96</v>
      </c>
      <c r="G2377" s="6" t="s">
        <v>2613</v>
      </c>
    </row>
    <row r="2378" customFormat="false" ht="15" hidden="false" customHeight="true" outlineLevel="0" collapsed="false">
      <c r="A2378" s="6" t="s">
        <v>4990</v>
      </c>
      <c r="B2378" s="6" t="s">
        <v>653</v>
      </c>
      <c r="C2378" s="6" t="s">
        <v>128</v>
      </c>
      <c r="D2378" s="13" t="n">
        <v>45786</v>
      </c>
      <c r="E2378" s="14" t="n">
        <v>3903.45</v>
      </c>
      <c r="F2378" s="14" t="n">
        <v>13706.41</v>
      </c>
      <c r="G2378" s="6" t="s">
        <v>2613</v>
      </c>
    </row>
    <row r="2379" customFormat="false" ht="15" hidden="false" customHeight="true" outlineLevel="0" collapsed="false">
      <c r="A2379" s="6" t="s">
        <v>4991</v>
      </c>
      <c r="B2379" s="6" t="s">
        <v>653</v>
      </c>
      <c r="C2379" s="6" t="s">
        <v>128</v>
      </c>
      <c r="D2379" s="13" t="n">
        <v>45793</v>
      </c>
      <c r="E2379" s="14" t="n">
        <v>3493.59</v>
      </c>
      <c r="F2379" s="14" t="n">
        <v>17200</v>
      </c>
      <c r="G2379" s="6" t="s">
        <v>2613</v>
      </c>
    </row>
    <row r="2380" customFormat="false" ht="15" hidden="false" customHeight="true" outlineLevel="0" collapsed="false">
      <c r="A2380" s="6" t="s">
        <v>4992</v>
      </c>
      <c r="B2380" s="6" t="s">
        <v>653</v>
      </c>
      <c r="C2380" s="6" t="s">
        <v>128</v>
      </c>
      <c r="D2380" s="13" t="n">
        <v>45800</v>
      </c>
      <c r="E2380" s="14" t="n">
        <v>2998.99</v>
      </c>
      <c r="F2380" s="14" t="n">
        <v>20198.99</v>
      </c>
      <c r="G2380" s="6" t="s">
        <v>2613</v>
      </c>
    </row>
    <row r="2381" customFormat="false" ht="15" hidden="false" customHeight="true" outlineLevel="0" collapsed="false">
      <c r="A2381" s="6" t="s">
        <v>4993</v>
      </c>
      <c r="B2381" s="6" t="s">
        <v>653</v>
      </c>
      <c r="C2381" s="6" t="s">
        <v>128</v>
      </c>
      <c r="D2381" s="13" t="n">
        <v>45807</v>
      </c>
      <c r="E2381" s="14" t="n">
        <v>4041.78</v>
      </c>
      <c r="F2381" s="14" t="n">
        <v>24240.77</v>
      </c>
      <c r="G2381" s="6" t="s">
        <v>2613</v>
      </c>
    </row>
    <row r="2382" customFormat="false" ht="15" hidden="false" customHeight="true" outlineLevel="0" collapsed="false">
      <c r="A2382" s="6" t="s">
        <v>4994</v>
      </c>
      <c r="B2382" s="6" t="s">
        <v>653</v>
      </c>
      <c r="C2382" s="6" t="s">
        <v>128</v>
      </c>
      <c r="D2382" s="13" t="n">
        <v>45814</v>
      </c>
      <c r="E2382" s="14" t="n">
        <v>3739.53</v>
      </c>
      <c r="F2382" s="14" t="n">
        <v>27980.3</v>
      </c>
      <c r="G2382" s="6" t="s">
        <v>2613</v>
      </c>
    </row>
    <row r="2383" customFormat="false" ht="15" hidden="false" customHeight="true" outlineLevel="0" collapsed="false">
      <c r="A2383" s="6" t="s">
        <v>4995</v>
      </c>
      <c r="B2383" s="6" t="s">
        <v>655</v>
      </c>
      <c r="C2383" s="6" t="s">
        <v>120</v>
      </c>
      <c r="D2383" s="13" t="n">
        <v>45739</v>
      </c>
      <c r="E2383" s="14" t="n">
        <v>5103.33</v>
      </c>
      <c r="F2383" s="14" t="n">
        <v>5103.33</v>
      </c>
      <c r="G2383" s="6" t="s">
        <v>2623</v>
      </c>
    </row>
    <row r="2384" customFormat="false" ht="15" hidden="false" customHeight="true" outlineLevel="0" collapsed="false">
      <c r="A2384" s="6" t="s">
        <v>4996</v>
      </c>
      <c r="B2384" s="6" t="s">
        <v>655</v>
      </c>
      <c r="C2384" s="6" t="s">
        <v>120</v>
      </c>
      <c r="D2384" s="13" t="n">
        <v>45746</v>
      </c>
      <c r="E2384" s="14" t="n">
        <v>7628.72</v>
      </c>
      <c r="F2384" s="14" t="n">
        <v>12732.05</v>
      </c>
      <c r="G2384" s="6" t="s">
        <v>2613</v>
      </c>
    </row>
    <row r="2385" customFormat="false" ht="15" hidden="false" customHeight="true" outlineLevel="0" collapsed="false">
      <c r="A2385" s="6" t="s">
        <v>4997</v>
      </c>
      <c r="B2385" s="6" t="s">
        <v>655</v>
      </c>
      <c r="C2385" s="6" t="s">
        <v>120</v>
      </c>
      <c r="D2385" s="13" t="n">
        <v>45753</v>
      </c>
      <c r="E2385" s="14" t="n">
        <v>6446.01</v>
      </c>
      <c r="F2385" s="14" t="n">
        <v>19178.06</v>
      </c>
      <c r="G2385" s="6" t="s">
        <v>2613</v>
      </c>
    </row>
    <row r="2386" customFormat="false" ht="15" hidden="false" customHeight="true" outlineLevel="0" collapsed="false">
      <c r="A2386" s="6" t="s">
        <v>4998</v>
      </c>
      <c r="B2386" s="6" t="s">
        <v>655</v>
      </c>
      <c r="C2386" s="6" t="s">
        <v>120</v>
      </c>
      <c r="D2386" s="13" t="n">
        <v>45760</v>
      </c>
      <c r="E2386" s="14" t="n">
        <v>4019.26</v>
      </c>
      <c r="F2386" s="14" t="n">
        <v>23197.32</v>
      </c>
      <c r="G2386" s="6" t="s">
        <v>2613</v>
      </c>
    </row>
    <row r="2387" customFormat="false" ht="15" hidden="false" customHeight="true" outlineLevel="0" collapsed="false">
      <c r="A2387" s="6" t="s">
        <v>4999</v>
      </c>
      <c r="B2387" s="6" t="s">
        <v>655</v>
      </c>
      <c r="C2387" s="6" t="s">
        <v>120</v>
      </c>
      <c r="D2387" s="13" t="n">
        <v>45767</v>
      </c>
      <c r="E2387" s="14" t="n">
        <v>5519.13</v>
      </c>
      <c r="F2387" s="14" t="n">
        <v>28716.45</v>
      </c>
      <c r="G2387" s="6" t="s">
        <v>2613</v>
      </c>
    </row>
    <row r="2388" customFormat="false" ht="15" hidden="false" customHeight="true" outlineLevel="0" collapsed="false">
      <c r="A2388" s="6" t="s">
        <v>5000</v>
      </c>
      <c r="B2388" s="6" t="s">
        <v>655</v>
      </c>
      <c r="C2388" s="6" t="s">
        <v>120</v>
      </c>
      <c r="D2388" s="13" t="n">
        <v>45774</v>
      </c>
      <c r="E2388" s="14" t="n">
        <v>6007.51</v>
      </c>
      <c r="F2388" s="14" t="n">
        <v>34723.96</v>
      </c>
      <c r="G2388" s="6" t="s">
        <v>2613</v>
      </c>
    </row>
    <row r="2389" customFormat="false" ht="15" hidden="false" customHeight="true" outlineLevel="0" collapsed="false">
      <c r="A2389" s="6" t="s">
        <v>5001</v>
      </c>
      <c r="B2389" s="6" t="s">
        <v>655</v>
      </c>
      <c r="C2389" s="6" t="s">
        <v>120</v>
      </c>
      <c r="D2389" s="13" t="n">
        <v>45781</v>
      </c>
      <c r="E2389" s="14" t="n">
        <v>6337.92</v>
      </c>
      <c r="F2389" s="14" t="n">
        <v>41061.88</v>
      </c>
      <c r="G2389" s="6" t="s">
        <v>2613</v>
      </c>
    </row>
    <row r="2390" customFormat="false" ht="15" hidden="false" customHeight="true" outlineLevel="0" collapsed="false">
      <c r="A2390" s="6" t="s">
        <v>5002</v>
      </c>
      <c r="B2390" s="6" t="s">
        <v>655</v>
      </c>
      <c r="C2390" s="6" t="s">
        <v>120</v>
      </c>
      <c r="D2390" s="13" t="n">
        <v>45788</v>
      </c>
      <c r="E2390" s="14" t="n">
        <v>3935.82</v>
      </c>
      <c r="F2390" s="14" t="n">
        <v>44997.7</v>
      </c>
      <c r="G2390" s="6" t="s">
        <v>2613</v>
      </c>
    </row>
    <row r="2391" customFormat="false" ht="15" hidden="false" customHeight="true" outlineLevel="0" collapsed="false">
      <c r="A2391" s="6" t="s">
        <v>5003</v>
      </c>
      <c r="B2391" s="6" t="s">
        <v>655</v>
      </c>
      <c r="C2391" s="6" t="s">
        <v>120</v>
      </c>
      <c r="D2391" s="13" t="n">
        <v>45795</v>
      </c>
      <c r="E2391" s="14" t="n">
        <v>5159.7</v>
      </c>
      <c r="F2391" s="14" t="n">
        <v>50157.4</v>
      </c>
      <c r="G2391" s="6" t="s">
        <v>2623</v>
      </c>
    </row>
    <row r="2392" customFormat="false" ht="15" hidden="false" customHeight="true" outlineLevel="0" collapsed="false">
      <c r="A2392" s="6" t="s">
        <v>5004</v>
      </c>
      <c r="B2392" s="6" t="s">
        <v>655</v>
      </c>
      <c r="C2392" s="6" t="s">
        <v>120</v>
      </c>
      <c r="D2392" s="13" t="n">
        <v>45802</v>
      </c>
      <c r="E2392" s="14" t="n">
        <v>13346.58</v>
      </c>
      <c r="F2392" s="14" t="n">
        <v>63503.98</v>
      </c>
      <c r="G2392" s="6" t="s">
        <v>2613</v>
      </c>
    </row>
    <row r="2393" customFormat="false" ht="15" hidden="false" customHeight="true" outlineLevel="0" collapsed="false">
      <c r="A2393" s="6" t="s">
        <v>5005</v>
      </c>
      <c r="B2393" s="6" t="s">
        <v>657</v>
      </c>
      <c r="C2393" s="6" t="s">
        <v>120</v>
      </c>
      <c r="D2393" s="13" t="n">
        <v>46095</v>
      </c>
      <c r="E2393" s="14" t="n">
        <v>3534.78</v>
      </c>
      <c r="F2393" s="14" t="n">
        <v>3534.78</v>
      </c>
      <c r="G2393" s="6" t="s">
        <v>2613</v>
      </c>
    </row>
    <row r="2394" customFormat="false" ht="15" hidden="false" customHeight="true" outlineLevel="0" collapsed="false">
      <c r="A2394" s="6" t="s">
        <v>5006</v>
      </c>
      <c r="B2394" s="6" t="s">
        <v>657</v>
      </c>
      <c r="C2394" s="6" t="s">
        <v>120</v>
      </c>
      <c r="D2394" s="13" t="n">
        <v>46102</v>
      </c>
      <c r="E2394" s="14" t="n">
        <v>6031.23</v>
      </c>
      <c r="F2394" s="14" t="n">
        <v>9566.01</v>
      </c>
      <c r="G2394" s="6" t="s">
        <v>2613</v>
      </c>
    </row>
    <row r="2395" customFormat="false" ht="15" hidden="false" customHeight="true" outlineLevel="0" collapsed="false">
      <c r="A2395" s="6" t="s">
        <v>5007</v>
      </c>
      <c r="B2395" s="6" t="s">
        <v>657</v>
      </c>
      <c r="C2395" s="6" t="s">
        <v>120</v>
      </c>
      <c r="D2395" s="13" t="n">
        <v>46109</v>
      </c>
      <c r="E2395" s="14" t="n">
        <v>5183.78</v>
      </c>
      <c r="F2395" s="14" t="n">
        <v>14749.79</v>
      </c>
      <c r="G2395" s="6" t="s">
        <v>2613</v>
      </c>
    </row>
    <row r="2396" customFormat="false" ht="15" hidden="false" customHeight="true" outlineLevel="0" collapsed="false">
      <c r="A2396" s="6" t="s">
        <v>5008</v>
      </c>
      <c r="B2396" s="6" t="s">
        <v>657</v>
      </c>
      <c r="C2396" s="6" t="s">
        <v>120</v>
      </c>
      <c r="D2396" s="13" t="n">
        <v>46116</v>
      </c>
      <c r="E2396" s="14" t="n">
        <v>5735.83</v>
      </c>
      <c r="F2396" s="14" t="n">
        <v>20485.62</v>
      </c>
      <c r="G2396" s="6" t="s">
        <v>2623</v>
      </c>
    </row>
    <row r="2397" customFormat="false" ht="15" hidden="false" customHeight="true" outlineLevel="0" collapsed="false">
      <c r="A2397" s="6" t="s">
        <v>5009</v>
      </c>
      <c r="B2397" s="6" t="s">
        <v>657</v>
      </c>
      <c r="C2397" s="6" t="s">
        <v>120</v>
      </c>
      <c r="D2397" s="13" t="n">
        <v>46123</v>
      </c>
      <c r="E2397" s="14" t="n">
        <v>3621.07</v>
      </c>
      <c r="F2397" s="14" t="n">
        <v>24106.69</v>
      </c>
      <c r="G2397" s="6" t="s">
        <v>2613</v>
      </c>
    </row>
    <row r="2398" customFormat="false" ht="15" hidden="false" customHeight="true" outlineLevel="0" collapsed="false">
      <c r="A2398" s="6" t="s">
        <v>5010</v>
      </c>
      <c r="B2398" s="6" t="s">
        <v>657</v>
      </c>
      <c r="C2398" s="6" t="s">
        <v>120</v>
      </c>
      <c r="D2398" s="13" t="n">
        <v>46130</v>
      </c>
      <c r="E2398" s="14" t="n">
        <v>5289.86</v>
      </c>
      <c r="F2398" s="14" t="n">
        <v>29396.55</v>
      </c>
      <c r="G2398" s="6" t="s">
        <v>2613</v>
      </c>
    </row>
    <row r="2399" customFormat="false" ht="15" hidden="false" customHeight="true" outlineLevel="0" collapsed="false">
      <c r="A2399" s="6" t="s">
        <v>5011</v>
      </c>
      <c r="B2399" s="6" t="s">
        <v>657</v>
      </c>
      <c r="C2399" s="6" t="s">
        <v>120</v>
      </c>
      <c r="D2399" s="13" t="n">
        <v>46137</v>
      </c>
      <c r="E2399" s="14" t="n">
        <v>3987.79</v>
      </c>
      <c r="F2399" s="14" t="n">
        <v>33384.34</v>
      </c>
      <c r="G2399" s="6" t="s">
        <v>2613</v>
      </c>
    </row>
    <row r="2400" customFormat="false" ht="15" hidden="false" customHeight="true" outlineLevel="0" collapsed="false">
      <c r="A2400" s="6" t="s">
        <v>5012</v>
      </c>
      <c r="B2400" s="6" t="s">
        <v>657</v>
      </c>
      <c r="C2400" s="6" t="s">
        <v>120</v>
      </c>
      <c r="D2400" s="13" t="n">
        <v>46144</v>
      </c>
      <c r="E2400" s="14" t="n">
        <v>4848.83</v>
      </c>
      <c r="F2400" s="14" t="n">
        <v>38233.17</v>
      </c>
      <c r="G2400" s="6" t="s">
        <v>2613</v>
      </c>
    </row>
    <row r="2401" customFormat="false" ht="15" hidden="false" customHeight="true" outlineLevel="0" collapsed="false">
      <c r="A2401" s="6" t="s">
        <v>5013</v>
      </c>
      <c r="B2401" s="6" t="s">
        <v>657</v>
      </c>
      <c r="C2401" s="6" t="s">
        <v>120</v>
      </c>
      <c r="D2401" s="13" t="n">
        <v>46151</v>
      </c>
      <c r="E2401" s="14" t="n">
        <v>4356.6</v>
      </c>
      <c r="F2401" s="14" t="n">
        <v>42589.77</v>
      </c>
      <c r="G2401" s="6" t="s">
        <v>2613</v>
      </c>
    </row>
    <row r="2402" customFormat="false" ht="15" hidden="false" customHeight="true" outlineLevel="0" collapsed="false">
      <c r="A2402" s="6" t="s">
        <v>5014</v>
      </c>
      <c r="B2402" s="6" t="s">
        <v>657</v>
      </c>
      <c r="C2402" s="6" t="s">
        <v>120</v>
      </c>
      <c r="D2402" s="13" t="n">
        <v>46158</v>
      </c>
      <c r="E2402" s="14" t="n">
        <v>3102.85</v>
      </c>
      <c r="F2402" s="14" t="n">
        <v>45692.62</v>
      </c>
      <c r="G2402" s="6" t="s">
        <v>2613</v>
      </c>
    </row>
    <row r="2403" customFormat="false" ht="15" hidden="false" customHeight="true" outlineLevel="0" collapsed="false">
      <c r="A2403" s="6" t="s">
        <v>5015</v>
      </c>
      <c r="B2403" s="6" t="s">
        <v>657</v>
      </c>
      <c r="C2403" s="6" t="s">
        <v>120</v>
      </c>
      <c r="D2403" s="13" t="n">
        <v>46165</v>
      </c>
      <c r="E2403" s="14" t="n">
        <v>3370.76</v>
      </c>
      <c r="F2403" s="14" t="n">
        <v>49063.38</v>
      </c>
      <c r="G2403" s="6" t="s">
        <v>2613</v>
      </c>
    </row>
    <row r="2404" customFormat="false" ht="15" hidden="false" customHeight="true" outlineLevel="0" collapsed="false">
      <c r="A2404" s="6" t="s">
        <v>5016</v>
      </c>
      <c r="B2404" s="6" t="s">
        <v>657</v>
      </c>
      <c r="C2404" s="6" t="s">
        <v>120</v>
      </c>
      <c r="D2404" s="13" t="n">
        <v>46172</v>
      </c>
      <c r="E2404" s="14" t="n">
        <v>4224.76</v>
      </c>
      <c r="F2404" s="14" t="n">
        <v>53288.14</v>
      </c>
      <c r="G2404" s="6" t="s">
        <v>2613</v>
      </c>
    </row>
    <row r="2405" customFormat="false" ht="15" hidden="false" customHeight="true" outlineLevel="0" collapsed="false">
      <c r="A2405" s="6" t="s">
        <v>5017</v>
      </c>
      <c r="B2405" s="6" t="s">
        <v>657</v>
      </c>
      <c r="C2405" s="6" t="s">
        <v>120</v>
      </c>
      <c r="D2405" s="13" t="n">
        <v>46179</v>
      </c>
      <c r="E2405" s="14" t="n">
        <v>5299.68</v>
      </c>
      <c r="F2405" s="14" t="n">
        <v>58587.82</v>
      </c>
      <c r="G2405" s="6" t="s">
        <v>2613</v>
      </c>
    </row>
    <row r="2406" customFormat="false" ht="15" hidden="false" customHeight="true" outlineLevel="0" collapsed="false">
      <c r="A2406" s="6" t="s">
        <v>5018</v>
      </c>
      <c r="B2406" s="6" t="s">
        <v>657</v>
      </c>
      <c r="C2406" s="6" t="s">
        <v>120</v>
      </c>
      <c r="D2406" s="13" t="n">
        <v>46186</v>
      </c>
      <c r="E2406" s="14" t="n">
        <v>5080.7</v>
      </c>
      <c r="F2406" s="14" t="n">
        <v>63668.52</v>
      </c>
      <c r="G2406" s="6" t="s">
        <v>2613</v>
      </c>
    </row>
    <row r="2407" customFormat="false" ht="15" hidden="false" customHeight="true" outlineLevel="0" collapsed="false">
      <c r="A2407" s="6" t="s">
        <v>5019</v>
      </c>
      <c r="B2407" s="6" t="s">
        <v>657</v>
      </c>
      <c r="C2407" s="6" t="s">
        <v>120</v>
      </c>
      <c r="D2407" s="13" t="n">
        <v>46193</v>
      </c>
      <c r="E2407" s="14" t="n">
        <v>1025.9</v>
      </c>
      <c r="F2407" s="14" t="n">
        <v>64694.42</v>
      </c>
      <c r="G2407" s="6" t="s">
        <v>2613</v>
      </c>
    </row>
    <row r="2408" customFormat="false" ht="15" hidden="false" customHeight="true" outlineLevel="0" collapsed="false">
      <c r="A2408" s="6" t="s">
        <v>5020</v>
      </c>
      <c r="B2408" s="6" t="s">
        <v>659</v>
      </c>
      <c r="C2408" s="6" t="s">
        <v>120</v>
      </c>
      <c r="D2408" s="13" t="n">
        <v>45194</v>
      </c>
      <c r="E2408" s="14" t="n">
        <v>6073.27</v>
      </c>
      <c r="F2408" s="14" t="n">
        <v>6073.27</v>
      </c>
      <c r="G2408" s="6" t="s">
        <v>2613</v>
      </c>
    </row>
    <row r="2409" customFormat="false" ht="15" hidden="false" customHeight="true" outlineLevel="0" collapsed="false">
      <c r="A2409" s="6" t="s">
        <v>5021</v>
      </c>
      <c r="B2409" s="6" t="s">
        <v>659</v>
      </c>
      <c r="C2409" s="6" t="s">
        <v>120</v>
      </c>
      <c r="D2409" s="13" t="n">
        <v>45201</v>
      </c>
      <c r="E2409" s="14" t="n">
        <v>4241.72</v>
      </c>
      <c r="F2409" s="14" t="n">
        <v>10314.99</v>
      </c>
      <c r="G2409" s="6" t="s">
        <v>2613</v>
      </c>
    </row>
    <row r="2410" customFormat="false" ht="15" hidden="false" customHeight="true" outlineLevel="0" collapsed="false">
      <c r="A2410" s="6" t="s">
        <v>5022</v>
      </c>
      <c r="B2410" s="6" t="s">
        <v>659</v>
      </c>
      <c r="C2410" s="6" t="s">
        <v>120</v>
      </c>
      <c r="D2410" s="13" t="n">
        <v>45208</v>
      </c>
      <c r="E2410" s="14" t="n">
        <v>5588.17</v>
      </c>
      <c r="F2410" s="14" t="n">
        <v>15903.16</v>
      </c>
      <c r="G2410" s="6" t="s">
        <v>2613</v>
      </c>
    </row>
    <row r="2411" customFormat="false" ht="15" hidden="false" customHeight="true" outlineLevel="0" collapsed="false">
      <c r="A2411" s="6" t="s">
        <v>5023</v>
      </c>
      <c r="B2411" s="6" t="s">
        <v>659</v>
      </c>
      <c r="C2411" s="6" t="s">
        <v>120</v>
      </c>
      <c r="D2411" s="13" t="n">
        <v>45215</v>
      </c>
      <c r="E2411" s="14" t="n">
        <v>5949.67</v>
      </c>
      <c r="F2411" s="14" t="n">
        <v>21852.83</v>
      </c>
      <c r="G2411" s="6" t="s">
        <v>2613</v>
      </c>
    </row>
    <row r="2412" customFormat="false" ht="15" hidden="false" customHeight="true" outlineLevel="0" collapsed="false">
      <c r="A2412" s="6" t="s">
        <v>5024</v>
      </c>
      <c r="B2412" s="6" t="s">
        <v>659</v>
      </c>
      <c r="C2412" s="6" t="s">
        <v>120</v>
      </c>
      <c r="D2412" s="13" t="n">
        <v>45222</v>
      </c>
      <c r="E2412" s="14" t="n">
        <v>4188.23</v>
      </c>
      <c r="F2412" s="14" t="n">
        <v>26041.06</v>
      </c>
      <c r="G2412" s="6" t="s">
        <v>2623</v>
      </c>
    </row>
    <row r="2413" customFormat="false" ht="15" hidden="false" customHeight="true" outlineLevel="0" collapsed="false">
      <c r="A2413" s="6" t="s">
        <v>5025</v>
      </c>
      <c r="B2413" s="6" t="s">
        <v>659</v>
      </c>
      <c r="C2413" s="6" t="s">
        <v>120</v>
      </c>
      <c r="D2413" s="13" t="n">
        <v>45229</v>
      </c>
      <c r="E2413" s="14" t="n">
        <v>5975.8</v>
      </c>
      <c r="F2413" s="14" t="n">
        <v>32016.86</v>
      </c>
      <c r="G2413" s="6" t="s">
        <v>2613</v>
      </c>
    </row>
    <row r="2414" customFormat="false" ht="15" hidden="false" customHeight="true" outlineLevel="0" collapsed="false">
      <c r="A2414" s="6" t="s">
        <v>5026</v>
      </c>
      <c r="B2414" s="6" t="s">
        <v>659</v>
      </c>
      <c r="C2414" s="6" t="s">
        <v>120</v>
      </c>
      <c r="D2414" s="13" t="n">
        <v>45236</v>
      </c>
      <c r="E2414" s="14" t="n">
        <v>3517.28</v>
      </c>
      <c r="F2414" s="14" t="n">
        <v>35534.14</v>
      </c>
      <c r="G2414" s="6" t="s">
        <v>2613</v>
      </c>
    </row>
    <row r="2415" customFormat="false" ht="15" hidden="false" customHeight="true" outlineLevel="0" collapsed="false">
      <c r="A2415" s="6" t="s">
        <v>5027</v>
      </c>
      <c r="B2415" s="6" t="s">
        <v>659</v>
      </c>
      <c r="C2415" s="6" t="s">
        <v>120</v>
      </c>
      <c r="D2415" s="13" t="n">
        <v>45243</v>
      </c>
      <c r="E2415" s="14" t="n">
        <v>3387.09</v>
      </c>
      <c r="F2415" s="14" t="n">
        <v>38921.23</v>
      </c>
      <c r="G2415" s="6" t="s">
        <v>2613</v>
      </c>
    </row>
    <row r="2416" customFormat="false" ht="15" hidden="false" customHeight="true" outlineLevel="0" collapsed="false">
      <c r="A2416" s="6" t="s">
        <v>5028</v>
      </c>
      <c r="B2416" s="6" t="s">
        <v>661</v>
      </c>
      <c r="C2416" s="6" t="s">
        <v>131</v>
      </c>
      <c r="D2416" s="13" t="n">
        <v>45493</v>
      </c>
      <c r="E2416" s="14" t="n">
        <v>2721.86</v>
      </c>
      <c r="F2416" s="14" t="n">
        <v>2721.86</v>
      </c>
      <c r="G2416" s="6" t="s">
        <v>2613</v>
      </c>
    </row>
    <row r="2417" customFormat="false" ht="15" hidden="false" customHeight="true" outlineLevel="0" collapsed="false">
      <c r="A2417" s="6" t="s">
        <v>5029</v>
      </c>
      <c r="B2417" s="6" t="s">
        <v>661</v>
      </c>
      <c r="C2417" s="6" t="s">
        <v>131</v>
      </c>
      <c r="D2417" s="13" t="n">
        <v>45500</v>
      </c>
      <c r="E2417" s="14" t="n">
        <v>2740.21</v>
      </c>
      <c r="F2417" s="14" t="n">
        <v>5462.07</v>
      </c>
      <c r="G2417" s="6" t="s">
        <v>2613</v>
      </c>
    </row>
    <row r="2418" customFormat="false" ht="15" hidden="false" customHeight="true" outlineLevel="0" collapsed="false">
      <c r="A2418" s="6" t="s">
        <v>5030</v>
      </c>
      <c r="B2418" s="6" t="s">
        <v>661</v>
      </c>
      <c r="C2418" s="6" t="s">
        <v>131</v>
      </c>
      <c r="D2418" s="13" t="n">
        <v>45507</v>
      </c>
      <c r="E2418" s="14" t="n">
        <v>3997.8</v>
      </c>
      <c r="F2418" s="14" t="n">
        <v>9459.87</v>
      </c>
      <c r="G2418" s="6" t="s">
        <v>2623</v>
      </c>
    </row>
    <row r="2419" customFormat="false" ht="15" hidden="false" customHeight="true" outlineLevel="0" collapsed="false">
      <c r="A2419" s="6" t="s">
        <v>5031</v>
      </c>
      <c r="B2419" s="6" t="s">
        <v>661</v>
      </c>
      <c r="C2419" s="6" t="s">
        <v>131</v>
      </c>
      <c r="D2419" s="13" t="n">
        <v>45514</v>
      </c>
      <c r="E2419" s="14" t="n">
        <v>2803.32</v>
      </c>
      <c r="F2419" s="14" t="n">
        <v>12263.19</v>
      </c>
      <c r="G2419" s="6" t="s">
        <v>2613</v>
      </c>
    </row>
    <row r="2420" customFormat="false" ht="15" hidden="false" customHeight="true" outlineLevel="0" collapsed="false">
      <c r="A2420" s="6" t="s">
        <v>5032</v>
      </c>
      <c r="B2420" s="6" t="s">
        <v>661</v>
      </c>
      <c r="C2420" s="6" t="s">
        <v>131</v>
      </c>
      <c r="D2420" s="13" t="n">
        <v>45521</v>
      </c>
      <c r="E2420" s="14" t="n">
        <v>6199.15</v>
      </c>
      <c r="F2420" s="14" t="n">
        <v>18462.34</v>
      </c>
      <c r="G2420" s="6" t="s">
        <v>2613</v>
      </c>
    </row>
    <row r="2421" customFormat="false" ht="15" hidden="false" customHeight="true" outlineLevel="0" collapsed="false">
      <c r="A2421" s="6" t="s">
        <v>5033</v>
      </c>
      <c r="B2421" s="6" t="s">
        <v>663</v>
      </c>
      <c r="C2421" s="6" t="s">
        <v>116</v>
      </c>
      <c r="D2421" s="13" t="n">
        <v>44795</v>
      </c>
      <c r="E2421" s="14" t="n">
        <v>2978.62</v>
      </c>
      <c r="F2421" s="14" t="n">
        <v>2978.62</v>
      </c>
      <c r="G2421" s="6" t="s">
        <v>2613</v>
      </c>
    </row>
    <row r="2422" customFormat="false" ht="15" hidden="false" customHeight="true" outlineLevel="0" collapsed="false">
      <c r="A2422" s="6" t="s">
        <v>5034</v>
      </c>
      <c r="B2422" s="6" t="s">
        <v>663</v>
      </c>
      <c r="C2422" s="6" t="s">
        <v>116</v>
      </c>
      <c r="D2422" s="13" t="n">
        <v>44802</v>
      </c>
      <c r="E2422" s="14" t="n">
        <v>3298.68</v>
      </c>
      <c r="F2422" s="14" t="n">
        <v>6277.3</v>
      </c>
      <c r="G2422" s="6" t="s">
        <v>2613</v>
      </c>
    </row>
    <row r="2423" customFormat="false" ht="15" hidden="false" customHeight="true" outlineLevel="0" collapsed="false">
      <c r="A2423" s="6" t="s">
        <v>5035</v>
      </c>
      <c r="B2423" s="6" t="s">
        <v>663</v>
      </c>
      <c r="C2423" s="6" t="s">
        <v>116</v>
      </c>
      <c r="D2423" s="13" t="n">
        <v>44809</v>
      </c>
      <c r="E2423" s="14" t="n">
        <v>3232.58</v>
      </c>
      <c r="F2423" s="14" t="n">
        <v>9509.88</v>
      </c>
      <c r="G2423" s="6" t="s">
        <v>2613</v>
      </c>
    </row>
    <row r="2424" customFormat="false" ht="15" hidden="false" customHeight="true" outlineLevel="0" collapsed="false">
      <c r="A2424" s="6" t="s">
        <v>5036</v>
      </c>
      <c r="B2424" s="6" t="s">
        <v>663</v>
      </c>
      <c r="C2424" s="6" t="s">
        <v>116</v>
      </c>
      <c r="D2424" s="13" t="n">
        <v>44816</v>
      </c>
      <c r="E2424" s="14" t="n">
        <v>3127.74</v>
      </c>
      <c r="F2424" s="14" t="n">
        <v>12637.62</v>
      </c>
      <c r="G2424" s="6" t="s">
        <v>2613</v>
      </c>
    </row>
    <row r="2425" customFormat="false" ht="15" hidden="false" customHeight="true" outlineLevel="0" collapsed="false">
      <c r="A2425" s="6" t="s">
        <v>5037</v>
      </c>
      <c r="B2425" s="6" t="s">
        <v>663</v>
      </c>
      <c r="C2425" s="6" t="s">
        <v>116</v>
      </c>
      <c r="D2425" s="13" t="n">
        <v>44823</v>
      </c>
      <c r="E2425" s="14" t="n">
        <v>1812.9</v>
      </c>
      <c r="F2425" s="14" t="n">
        <v>14450.52</v>
      </c>
      <c r="G2425" s="6" t="s">
        <v>2613</v>
      </c>
    </row>
    <row r="2426" customFormat="false" ht="15" hidden="false" customHeight="true" outlineLevel="0" collapsed="false">
      <c r="A2426" s="6" t="s">
        <v>5038</v>
      </c>
      <c r="B2426" s="6" t="s">
        <v>663</v>
      </c>
      <c r="C2426" s="6" t="s">
        <v>116</v>
      </c>
      <c r="D2426" s="13" t="n">
        <v>44830</v>
      </c>
      <c r="E2426" s="14" t="n">
        <v>2115.18</v>
      </c>
      <c r="F2426" s="14" t="n">
        <v>16565.7</v>
      </c>
      <c r="G2426" s="6" t="s">
        <v>2613</v>
      </c>
    </row>
    <row r="2427" customFormat="false" ht="15" hidden="false" customHeight="true" outlineLevel="0" collapsed="false">
      <c r="A2427" s="6" t="s">
        <v>5039</v>
      </c>
      <c r="B2427" s="6" t="s">
        <v>663</v>
      </c>
      <c r="C2427" s="6" t="s">
        <v>116</v>
      </c>
      <c r="D2427" s="13" t="n">
        <v>44837</v>
      </c>
      <c r="E2427" s="14" t="n">
        <v>2926.01</v>
      </c>
      <c r="F2427" s="14" t="n">
        <v>19491.71</v>
      </c>
      <c r="G2427" s="6" t="s">
        <v>2613</v>
      </c>
    </row>
    <row r="2428" customFormat="false" ht="15" hidden="false" customHeight="true" outlineLevel="0" collapsed="false">
      <c r="A2428" s="6" t="s">
        <v>5040</v>
      </c>
      <c r="B2428" s="6" t="s">
        <v>663</v>
      </c>
      <c r="C2428" s="6" t="s">
        <v>116</v>
      </c>
      <c r="D2428" s="13" t="n">
        <v>44844</v>
      </c>
      <c r="E2428" s="14" t="n">
        <v>1898.52</v>
      </c>
      <c r="F2428" s="14" t="n">
        <v>21390.23</v>
      </c>
      <c r="G2428" s="6" t="s">
        <v>2613</v>
      </c>
    </row>
    <row r="2429" customFormat="false" ht="15" hidden="false" customHeight="true" outlineLevel="0" collapsed="false">
      <c r="A2429" s="6" t="s">
        <v>5041</v>
      </c>
      <c r="B2429" s="6" t="s">
        <v>663</v>
      </c>
      <c r="C2429" s="6" t="s">
        <v>116</v>
      </c>
      <c r="D2429" s="13" t="n">
        <v>44851</v>
      </c>
      <c r="E2429" s="14" t="n">
        <v>2385.32</v>
      </c>
      <c r="F2429" s="14" t="n">
        <v>23775.55</v>
      </c>
      <c r="G2429" s="6" t="s">
        <v>2613</v>
      </c>
    </row>
    <row r="2430" customFormat="false" ht="15" hidden="false" customHeight="true" outlineLevel="0" collapsed="false">
      <c r="A2430" s="6" t="s">
        <v>5042</v>
      </c>
      <c r="B2430" s="6" t="s">
        <v>663</v>
      </c>
      <c r="C2430" s="6" t="s">
        <v>116</v>
      </c>
      <c r="D2430" s="13" t="n">
        <v>44858</v>
      </c>
      <c r="E2430" s="14" t="n">
        <v>2702.74</v>
      </c>
      <c r="F2430" s="14" t="n">
        <v>26478.29</v>
      </c>
      <c r="G2430" s="6" t="s">
        <v>2613</v>
      </c>
    </row>
    <row r="2431" customFormat="false" ht="15" hidden="false" customHeight="true" outlineLevel="0" collapsed="false">
      <c r="A2431" s="6" t="s">
        <v>5043</v>
      </c>
      <c r="B2431" s="6" t="s">
        <v>663</v>
      </c>
      <c r="C2431" s="6" t="s">
        <v>116</v>
      </c>
      <c r="D2431" s="13" t="n">
        <v>44865</v>
      </c>
      <c r="E2431" s="14" t="n">
        <v>2152.24</v>
      </c>
      <c r="F2431" s="14" t="n">
        <v>28630.53</v>
      </c>
      <c r="G2431" s="6" t="s">
        <v>2613</v>
      </c>
    </row>
    <row r="2432" customFormat="false" ht="15" hidden="false" customHeight="true" outlineLevel="0" collapsed="false">
      <c r="A2432" s="6" t="s">
        <v>5044</v>
      </c>
      <c r="B2432" s="6" t="s">
        <v>663</v>
      </c>
      <c r="C2432" s="6" t="s">
        <v>116</v>
      </c>
      <c r="D2432" s="13" t="n">
        <v>44872</v>
      </c>
      <c r="E2432" s="14" t="n">
        <v>1292.45</v>
      </c>
      <c r="F2432" s="14" t="n">
        <v>29922.98</v>
      </c>
      <c r="G2432" s="6" t="s">
        <v>2613</v>
      </c>
    </row>
    <row r="2433" customFormat="false" ht="15" hidden="false" customHeight="true" outlineLevel="0" collapsed="false">
      <c r="A2433" s="6" t="s">
        <v>5045</v>
      </c>
      <c r="B2433" s="6" t="s">
        <v>665</v>
      </c>
      <c r="C2433" s="6" t="s">
        <v>124</v>
      </c>
      <c r="D2433" s="13" t="n">
        <v>44936</v>
      </c>
      <c r="E2433" s="14" t="n">
        <v>1847.53</v>
      </c>
      <c r="F2433" s="14" t="n">
        <v>1847.53</v>
      </c>
      <c r="G2433" s="6" t="s">
        <v>2613</v>
      </c>
    </row>
    <row r="2434" customFormat="false" ht="15" hidden="false" customHeight="true" outlineLevel="0" collapsed="false">
      <c r="A2434" s="6" t="s">
        <v>5046</v>
      </c>
      <c r="B2434" s="6" t="s">
        <v>665</v>
      </c>
      <c r="C2434" s="6" t="s">
        <v>124</v>
      </c>
      <c r="D2434" s="13" t="n">
        <v>44943</v>
      </c>
      <c r="E2434" s="14" t="n">
        <v>1427.83</v>
      </c>
      <c r="F2434" s="14" t="n">
        <v>3275.36</v>
      </c>
      <c r="G2434" s="6" t="s">
        <v>2613</v>
      </c>
    </row>
    <row r="2435" customFormat="false" ht="15" hidden="false" customHeight="true" outlineLevel="0" collapsed="false">
      <c r="A2435" s="6" t="s">
        <v>5047</v>
      </c>
      <c r="B2435" s="6" t="s">
        <v>665</v>
      </c>
      <c r="C2435" s="6" t="s">
        <v>124</v>
      </c>
      <c r="D2435" s="13" t="n">
        <v>44950</v>
      </c>
      <c r="E2435" s="14" t="n">
        <v>1749.21</v>
      </c>
      <c r="F2435" s="14" t="n">
        <v>5024.57</v>
      </c>
      <c r="G2435" s="6" t="s">
        <v>2613</v>
      </c>
    </row>
    <row r="2436" customFormat="false" ht="15" hidden="false" customHeight="true" outlineLevel="0" collapsed="false">
      <c r="A2436" s="6" t="s">
        <v>5048</v>
      </c>
      <c r="B2436" s="6" t="s">
        <v>665</v>
      </c>
      <c r="C2436" s="6" t="s">
        <v>124</v>
      </c>
      <c r="D2436" s="13" t="n">
        <v>44957</v>
      </c>
      <c r="E2436" s="14" t="n">
        <v>1513.87</v>
      </c>
      <c r="F2436" s="14" t="n">
        <v>6538.44</v>
      </c>
      <c r="G2436" s="6" t="s">
        <v>2613</v>
      </c>
    </row>
    <row r="2437" customFormat="false" ht="15" hidden="false" customHeight="true" outlineLevel="0" collapsed="false">
      <c r="A2437" s="6" t="s">
        <v>5049</v>
      </c>
      <c r="B2437" s="6" t="s">
        <v>665</v>
      </c>
      <c r="C2437" s="6" t="s">
        <v>124</v>
      </c>
      <c r="D2437" s="13" t="n">
        <v>44964</v>
      </c>
      <c r="E2437" s="14" t="n">
        <v>1566</v>
      </c>
      <c r="F2437" s="14" t="n">
        <v>8104.44</v>
      </c>
      <c r="G2437" s="6" t="s">
        <v>2613</v>
      </c>
    </row>
    <row r="2438" customFormat="false" ht="15" hidden="false" customHeight="true" outlineLevel="0" collapsed="false">
      <c r="A2438" s="6" t="s">
        <v>5050</v>
      </c>
      <c r="B2438" s="6" t="s">
        <v>665</v>
      </c>
      <c r="C2438" s="6" t="s">
        <v>124</v>
      </c>
      <c r="D2438" s="13" t="n">
        <v>44971</v>
      </c>
      <c r="E2438" s="14" t="n">
        <v>1593.71</v>
      </c>
      <c r="F2438" s="14" t="n">
        <v>9698.15</v>
      </c>
      <c r="G2438" s="6" t="s">
        <v>2613</v>
      </c>
    </row>
    <row r="2439" customFormat="false" ht="15" hidden="false" customHeight="true" outlineLevel="0" collapsed="false">
      <c r="A2439" s="6" t="s">
        <v>5051</v>
      </c>
      <c r="B2439" s="6" t="s">
        <v>665</v>
      </c>
      <c r="C2439" s="6" t="s">
        <v>124</v>
      </c>
      <c r="D2439" s="13" t="n">
        <v>44978</v>
      </c>
      <c r="E2439" s="14" t="n">
        <v>2214.98</v>
      </c>
      <c r="F2439" s="14" t="n">
        <v>11913.13</v>
      </c>
      <c r="G2439" s="6" t="s">
        <v>2613</v>
      </c>
    </row>
    <row r="2440" customFormat="false" ht="15" hidden="false" customHeight="true" outlineLevel="0" collapsed="false">
      <c r="A2440" s="6" t="s">
        <v>5052</v>
      </c>
      <c r="B2440" s="6" t="s">
        <v>665</v>
      </c>
      <c r="C2440" s="6" t="s">
        <v>124</v>
      </c>
      <c r="D2440" s="13" t="n">
        <v>44985</v>
      </c>
      <c r="E2440" s="14" t="n">
        <v>1479.55</v>
      </c>
      <c r="F2440" s="14" t="n">
        <v>13392.68</v>
      </c>
      <c r="G2440" s="6" t="s">
        <v>2613</v>
      </c>
    </row>
    <row r="2441" customFormat="false" ht="15" hidden="false" customHeight="true" outlineLevel="0" collapsed="false">
      <c r="A2441" s="6" t="s">
        <v>5053</v>
      </c>
      <c r="B2441" s="6" t="s">
        <v>665</v>
      </c>
      <c r="C2441" s="6" t="s">
        <v>124</v>
      </c>
      <c r="D2441" s="13" t="n">
        <v>44992</v>
      </c>
      <c r="E2441" s="14" t="n">
        <v>2665.22</v>
      </c>
      <c r="F2441" s="14" t="n">
        <v>16057.9</v>
      </c>
      <c r="G2441" s="6" t="s">
        <v>2613</v>
      </c>
    </row>
    <row r="2442" customFormat="false" ht="15" hidden="false" customHeight="true" outlineLevel="0" collapsed="false">
      <c r="A2442" s="6" t="s">
        <v>5054</v>
      </c>
      <c r="B2442" s="6" t="s">
        <v>665</v>
      </c>
      <c r="C2442" s="6" t="s">
        <v>124</v>
      </c>
      <c r="D2442" s="13" t="n">
        <v>44999</v>
      </c>
      <c r="E2442" s="14" t="n">
        <v>2669.69</v>
      </c>
      <c r="F2442" s="14" t="n">
        <v>18727.59</v>
      </c>
      <c r="G2442" s="6" t="s">
        <v>2623</v>
      </c>
    </row>
    <row r="2443" customFormat="false" ht="15" hidden="false" customHeight="true" outlineLevel="0" collapsed="false">
      <c r="A2443" s="6" t="s">
        <v>5055</v>
      </c>
      <c r="B2443" s="6" t="s">
        <v>665</v>
      </c>
      <c r="C2443" s="6" t="s">
        <v>124</v>
      </c>
      <c r="D2443" s="13" t="n">
        <v>45006</v>
      </c>
      <c r="E2443" s="14" t="n">
        <v>1308.18</v>
      </c>
      <c r="F2443" s="14" t="n">
        <v>20035.77</v>
      </c>
      <c r="G2443" s="6" t="s">
        <v>2613</v>
      </c>
    </row>
    <row r="2444" customFormat="false" ht="15" hidden="false" customHeight="true" outlineLevel="0" collapsed="false">
      <c r="A2444" s="6" t="s">
        <v>5056</v>
      </c>
      <c r="B2444" s="6" t="s">
        <v>665</v>
      </c>
      <c r="C2444" s="6" t="s">
        <v>124</v>
      </c>
      <c r="D2444" s="13" t="n">
        <v>45013</v>
      </c>
      <c r="E2444" s="14" t="n">
        <v>1645.91</v>
      </c>
      <c r="F2444" s="14" t="n">
        <v>21681.68</v>
      </c>
      <c r="G2444" s="6" t="s">
        <v>2613</v>
      </c>
    </row>
    <row r="2445" customFormat="false" ht="15" hidden="false" customHeight="true" outlineLevel="0" collapsed="false">
      <c r="A2445" s="6" t="s">
        <v>5057</v>
      </c>
      <c r="B2445" s="6" t="s">
        <v>665</v>
      </c>
      <c r="C2445" s="6" t="s">
        <v>124</v>
      </c>
      <c r="D2445" s="13" t="n">
        <v>45020</v>
      </c>
      <c r="E2445" s="14" t="n">
        <v>3174.86</v>
      </c>
      <c r="F2445" s="14" t="n">
        <v>24856.54</v>
      </c>
      <c r="G2445" s="6" t="s">
        <v>2613</v>
      </c>
    </row>
    <row r="2446" customFormat="false" ht="15" hidden="false" customHeight="true" outlineLevel="0" collapsed="false">
      <c r="A2446" s="6" t="s">
        <v>5058</v>
      </c>
      <c r="B2446" s="6" t="s">
        <v>667</v>
      </c>
      <c r="C2446" s="6" t="s">
        <v>128</v>
      </c>
      <c r="D2446" s="13" t="n">
        <v>44590</v>
      </c>
      <c r="E2446" s="14" t="n">
        <v>237.19</v>
      </c>
      <c r="F2446" s="14" t="n">
        <v>237.19</v>
      </c>
      <c r="G2446" s="6" t="s">
        <v>2613</v>
      </c>
    </row>
    <row r="2447" customFormat="false" ht="15" hidden="false" customHeight="true" outlineLevel="0" collapsed="false">
      <c r="A2447" s="6" t="s">
        <v>5059</v>
      </c>
      <c r="B2447" s="6" t="s">
        <v>667</v>
      </c>
      <c r="C2447" s="6" t="s">
        <v>128</v>
      </c>
      <c r="D2447" s="13" t="n">
        <v>44597</v>
      </c>
      <c r="E2447" s="14" t="n">
        <v>324.89</v>
      </c>
      <c r="F2447" s="14" t="n">
        <v>562.08</v>
      </c>
      <c r="G2447" s="6" t="s">
        <v>2613</v>
      </c>
    </row>
    <row r="2448" customFormat="false" ht="15" hidden="false" customHeight="true" outlineLevel="0" collapsed="false">
      <c r="A2448" s="6" t="s">
        <v>5060</v>
      </c>
      <c r="B2448" s="6" t="s">
        <v>667</v>
      </c>
      <c r="C2448" s="6" t="s">
        <v>128</v>
      </c>
      <c r="D2448" s="13" t="n">
        <v>44604</v>
      </c>
      <c r="E2448" s="14" t="n">
        <v>222.76</v>
      </c>
      <c r="F2448" s="14" t="n">
        <v>784.84</v>
      </c>
      <c r="G2448" s="6" t="s">
        <v>2613</v>
      </c>
    </row>
    <row r="2449" customFormat="false" ht="15" hidden="false" customHeight="true" outlineLevel="0" collapsed="false">
      <c r="A2449" s="6" t="s">
        <v>5061</v>
      </c>
      <c r="B2449" s="6" t="s">
        <v>667</v>
      </c>
      <c r="C2449" s="6" t="s">
        <v>128</v>
      </c>
      <c r="D2449" s="13" t="n">
        <v>44611</v>
      </c>
      <c r="E2449" s="14" t="n">
        <v>391.6</v>
      </c>
      <c r="F2449" s="14" t="n">
        <v>1176.44</v>
      </c>
      <c r="G2449" s="6" t="s">
        <v>2613</v>
      </c>
    </row>
    <row r="2450" customFormat="false" ht="15" hidden="false" customHeight="true" outlineLevel="0" collapsed="false">
      <c r="A2450" s="6" t="s">
        <v>5062</v>
      </c>
      <c r="B2450" s="6" t="s">
        <v>667</v>
      </c>
      <c r="C2450" s="6" t="s">
        <v>128</v>
      </c>
      <c r="D2450" s="13" t="n">
        <v>44618</v>
      </c>
      <c r="E2450" s="14" t="n">
        <v>326.64</v>
      </c>
      <c r="F2450" s="14" t="n">
        <v>1503.08</v>
      </c>
      <c r="G2450" s="6" t="s">
        <v>2613</v>
      </c>
    </row>
    <row r="2451" customFormat="false" ht="15" hidden="false" customHeight="true" outlineLevel="0" collapsed="false">
      <c r="A2451" s="6" t="s">
        <v>5063</v>
      </c>
      <c r="B2451" s="6" t="s">
        <v>667</v>
      </c>
      <c r="C2451" s="6" t="s">
        <v>128</v>
      </c>
      <c r="D2451" s="13" t="n">
        <v>44625</v>
      </c>
      <c r="E2451" s="14" t="n">
        <v>243.85</v>
      </c>
      <c r="F2451" s="14" t="n">
        <v>1746.93</v>
      </c>
      <c r="G2451" s="6" t="s">
        <v>2613</v>
      </c>
    </row>
    <row r="2452" customFormat="false" ht="15" hidden="false" customHeight="true" outlineLevel="0" collapsed="false">
      <c r="A2452" s="6" t="s">
        <v>5064</v>
      </c>
      <c r="B2452" s="6" t="s">
        <v>667</v>
      </c>
      <c r="C2452" s="6" t="s">
        <v>128</v>
      </c>
      <c r="D2452" s="13" t="n">
        <v>44632</v>
      </c>
      <c r="E2452" s="14" t="n">
        <v>363.08</v>
      </c>
      <c r="F2452" s="14" t="n">
        <v>2110.01</v>
      </c>
      <c r="G2452" s="6" t="s">
        <v>2613</v>
      </c>
    </row>
    <row r="2453" customFormat="false" ht="15" hidden="false" customHeight="true" outlineLevel="0" collapsed="false">
      <c r="A2453" s="6" t="s">
        <v>5065</v>
      </c>
      <c r="B2453" s="6" t="s">
        <v>667</v>
      </c>
      <c r="C2453" s="6" t="s">
        <v>128</v>
      </c>
      <c r="D2453" s="13" t="n">
        <v>44639</v>
      </c>
      <c r="E2453" s="14" t="n">
        <v>233.89</v>
      </c>
      <c r="F2453" s="14" t="n">
        <v>2343.9</v>
      </c>
      <c r="G2453" s="6" t="s">
        <v>2613</v>
      </c>
    </row>
    <row r="2454" customFormat="false" ht="15" hidden="false" customHeight="true" outlineLevel="0" collapsed="false">
      <c r="A2454" s="6" t="s">
        <v>5066</v>
      </c>
      <c r="B2454" s="6" t="s">
        <v>667</v>
      </c>
      <c r="C2454" s="6" t="s">
        <v>128</v>
      </c>
      <c r="D2454" s="13" t="n">
        <v>44646</v>
      </c>
      <c r="E2454" s="14" t="n">
        <v>245.74</v>
      </c>
      <c r="F2454" s="14" t="n">
        <v>2589.64</v>
      </c>
      <c r="G2454" s="6" t="s">
        <v>2613</v>
      </c>
    </row>
    <row r="2455" customFormat="false" ht="15" hidden="false" customHeight="true" outlineLevel="0" collapsed="false">
      <c r="A2455" s="6" t="s">
        <v>5067</v>
      </c>
      <c r="B2455" s="6" t="s">
        <v>667</v>
      </c>
      <c r="C2455" s="6" t="s">
        <v>128</v>
      </c>
      <c r="D2455" s="13" t="n">
        <v>44653</v>
      </c>
      <c r="E2455" s="14" t="n">
        <v>203.67</v>
      </c>
      <c r="F2455" s="14" t="n">
        <v>2793.31</v>
      </c>
      <c r="G2455" s="6" t="s">
        <v>2613</v>
      </c>
    </row>
    <row r="2456" customFormat="false" ht="15" hidden="false" customHeight="true" outlineLevel="0" collapsed="false">
      <c r="A2456" s="6" t="s">
        <v>5068</v>
      </c>
      <c r="B2456" s="6" t="s">
        <v>667</v>
      </c>
      <c r="C2456" s="6" t="s">
        <v>128</v>
      </c>
      <c r="D2456" s="13" t="n">
        <v>44660</v>
      </c>
      <c r="E2456" s="14" t="n">
        <v>318.58</v>
      </c>
      <c r="F2456" s="14" t="n">
        <v>3111.89</v>
      </c>
      <c r="G2456" s="6" t="s">
        <v>2613</v>
      </c>
    </row>
    <row r="2457" customFormat="false" ht="15" hidden="false" customHeight="true" outlineLevel="0" collapsed="false">
      <c r="A2457" s="6" t="s">
        <v>5069</v>
      </c>
      <c r="B2457" s="6" t="s">
        <v>667</v>
      </c>
      <c r="C2457" s="6" t="s">
        <v>128</v>
      </c>
      <c r="D2457" s="13" t="n">
        <v>44667</v>
      </c>
      <c r="E2457" s="14" t="n">
        <v>391.82</v>
      </c>
      <c r="F2457" s="14" t="n">
        <v>3503.71</v>
      </c>
      <c r="G2457" s="6" t="s">
        <v>2613</v>
      </c>
    </row>
    <row r="2458" customFormat="false" ht="15" hidden="false" customHeight="true" outlineLevel="0" collapsed="false">
      <c r="A2458" s="6" t="s">
        <v>5070</v>
      </c>
      <c r="B2458" s="6" t="s">
        <v>667</v>
      </c>
      <c r="C2458" s="6" t="s">
        <v>128</v>
      </c>
      <c r="D2458" s="13" t="n">
        <v>44674</v>
      </c>
      <c r="E2458" s="14" t="n">
        <v>844.2</v>
      </c>
      <c r="F2458" s="14" t="n">
        <v>4347.91</v>
      </c>
      <c r="G2458" s="6" t="s">
        <v>2613</v>
      </c>
    </row>
    <row r="2459" customFormat="false" ht="15" hidden="false" customHeight="true" outlineLevel="0" collapsed="false">
      <c r="A2459" s="6" t="s">
        <v>5071</v>
      </c>
      <c r="B2459" s="6" t="s">
        <v>669</v>
      </c>
      <c r="C2459" s="6" t="s">
        <v>124</v>
      </c>
      <c r="D2459" s="13" t="n">
        <v>45341</v>
      </c>
      <c r="E2459" s="14" t="n">
        <v>2017.32</v>
      </c>
      <c r="F2459" s="14" t="n">
        <v>2017.32</v>
      </c>
      <c r="G2459" s="6" t="s">
        <v>2613</v>
      </c>
    </row>
    <row r="2460" customFormat="false" ht="15" hidden="false" customHeight="true" outlineLevel="0" collapsed="false">
      <c r="A2460" s="6" t="s">
        <v>5072</v>
      </c>
      <c r="B2460" s="6" t="s">
        <v>669</v>
      </c>
      <c r="C2460" s="6" t="s">
        <v>124</v>
      </c>
      <c r="D2460" s="13" t="n">
        <v>45348</v>
      </c>
      <c r="E2460" s="14" t="n">
        <v>1509.23</v>
      </c>
      <c r="F2460" s="14" t="n">
        <v>3526.55</v>
      </c>
      <c r="G2460" s="6" t="s">
        <v>2613</v>
      </c>
    </row>
    <row r="2461" customFormat="false" ht="15" hidden="false" customHeight="true" outlineLevel="0" collapsed="false">
      <c r="A2461" s="6" t="s">
        <v>5073</v>
      </c>
      <c r="B2461" s="6" t="s">
        <v>669</v>
      </c>
      <c r="C2461" s="6" t="s">
        <v>124</v>
      </c>
      <c r="D2461" s="13" t="n">
        <v>45355</v>
      </c>
      <c r="E2461" s="14" t="n">
        <v>3119.84</v>
      </c>
      <c r="F2461" s="14" t="n">
        <v>6646.39</v>
      </c>
      <c r="G2461" s="6" t="s">
        <v>2613</v>
      </c>
    </row>
    <row r="2462" customFormat="false" ht="15" hidden="false" customHeight="true" outlineLevel="0" collapsed="false">
      <c r="A2462" s="6" t="s">
        <v>5074</v>
      </c>
      <c r="B2462" s="6" t="s">
        <v>669</v>
      </c>
      <c r="C2462" s="6" t="s">
        <v>124</v>
      </c>
      <c r="D2462" s="13" t="n">
        <v>45362</v>
      </c>
      <c r="E2462" s="14" t="n">
        <v>1689.98</v>
      </c>
      <c r="F2462" s="14" t="n">
        <v>8336.37</v>
      </c>
      <c r="G2462" s="6" t="s">
        <v>2613</v>
      </c>
    </row>
    <row r="2463" customFormat="false" ht="15" hidden="false" customHeight="true" outlineLevel="0" collapsed="false">
      <c r="A2463" s="6" t="s">
        <v>5075</v>
      </c>
      <c r="B2463" s="6" t="s">
        <v>669</v>
      </c>
      <c r="C2463" s="6" t="s">
        <v>124</v>
      </c>
      <c r="D2463" s="13" t="n">
        <v>45369</v>
      </c>
      <c r="E2463" s="14" t="n">
        <v>1740.95</v>
      </c>
      <c r="F2463" s="14" t="n">
        <v>10077.32</v>
      </c>
      <c r="G2463" s="6" t="s">
        <v>2613</v>
      </c>
    </row>
    <row r="2464" customFormat="false" ht="15" hidden="false" customHeight="true" outlineLevel="0" collapsed="false">
      <c r="A2464" s="6" t="s">
        <v>5076</v>
      </c>
      <c r="B2464" s="6" t="s">
        <v>669</v>
      </c>
      <c r="C2464" s="6" t="s">
        <v>124</v>
      </c>
      <c r="D2464" s="13" t="n">
        <v>45376</v>
      </c>
      <c r="E2464" s="14" t="n">
        <v>2774.78</v>
      </c>
      <c r="F2464" s="14" t="n">
        <v>12852.1</v>
      </c>
      <c r="G2464" s="6" t="s">
        <v>2613</v>
      </c>
    </row>
    <row r="2465" customFormat="false" ht="15" hidden="false" customHeight="true" outlineLevel="0" collapsed="false">
      <c r="A2465" s="6" t="s">
        <v>5077</v>
      </c>
      <c r="B2465" s="6" t="s">
        <v>669</v>
      </c>
      <c r="C2465" s="6" t="s">
        <v>124</v>
      </c>
      <c r="D2465" s="13" t="n">
        <v>45383</v>
      </c>
      <c r="E2465" s="14" t="n">
        <v>1646.44</v>
      </c>
      <c r="F2465" s="14" t="n">
        <v>14498.54</v>
      </c>
      <c r="G2465" s="6" t="s">
        <v>2613</v>
      </c>
    </row>
    <row r="2466" customFormat="false" ht="15" hidden="false" customHeight="true" outlineLevel="0" collapsed="false">
      <c r="A2466" s="6" t="s">
        <v>5078</v>
      </c>
      <c r="B2466" s="6" t="s">
        <v>669</v>
      </c>
      <c r="C2466" s="6" t="s">
        <v>124</v>
      </c>
      <c r="D2466" s="13" t="n">
        <v>45390</v>
      </c>
      <c r="E2466" s="14" t="n">
        <v>2090.93</v>
      </c>
      <c r="F2466" s="14" t="n">
        <v>16589.47</v>
      </c>
      <c r="G2466" s="6" t="s">
        <v>2613</v>
      </c>
    </row>
    <row r="2467" customFormat="false" ht="15" hidden="false" customHeight="true" outlineLevel="0" collapsed="false">
      <c r="A2467" s="6" t="s">
        <v>5079</v>
      </c>
      <c r="B2467" s="6" t="s">
        <v>669</v>
      </c>
      <c r="C2467" s="6" t="s">
        <v>124</v>
      </c>
      <c r="D2467" s="13" t="n">
        <v>45397</v>
      </c>
      <c r="E2467" s="14" t="n">
        <v>1932.11</v>
      </c>
      <c r="F2467" s="14" t="n">
        <v>18521.58</v>
      </c>
      <c r="G2467" s="6" t="s">
        <v>2613</v>
      </c>
    </row>
    <row r="2468" customFormat="false" ht="15" hidden="false" customHeight="true" outlineLevel="0" collapsed="false">
      <c r="A2468" s="6" t="s">
        <v>5080</v>
      </c>
      <c r="B2468" s="6" t="s">
        <v>669</v>
      </c>
      <c r="C2468" s="6" t="s">
        <v>124</v>
      </c>
      <c r="D2468" s="13" t="n">
        <v>45404</v>
      </c>
      <c r="E2468" s="14" t="n">
        <v>1685.3</v>
      </c>
      <c r="F2468" s="14" t="n">
        <v>20206.88</v>
      </c>
      <c r="G2468" s="6" t="s">
        <v>2613</v>
      </c>
    </row>
    <row r="2469" customFormat="false" ht="15" hidden="false" customHeight="true" outlineLevel="0" collapsed="false">
      <c r="A2469" s="6" t="s">
        <v>5081</v>
      </c>
      <c r="B2469" s="6" t="s">
        <v>669</v>
      </c>
      <c r="C2469" s="6" t="s">
        <v>124</v>
      </c>
      <c r="D2469" s="13" t="n">
        <v>45411</v>
      </c>
      <c r="E2469" s="14" t="n">
        <v>2316.98</v>
      </c>
      <c r="F2469" s="14" t="n">
        <v>22523.86</v>
      </c>
      <c r="G2469" s="6" t="s">
        <v>2613</v>
      </c>
    </row>
    <row r="2470" customFormat="false" ht="15" hidden="false" customHeight="true" outlineLevel="0" collapsed="false">
      <c r="A2470" s="6" t="s">
        <v>5082</v>
      </c>
      <c r="B2470" s="6" t="s">
        <v>669</v>
      </c>
      <c r="C2470" s="6" t="s">
        <v>124</v>
      </c>
      <c r="D2470" s="13" t="n">
        <v>45418</v>
      </c>
      <c r="E2470" s="14" t="n">
        <v>1562</v>
      </c>
      <c r="F2470" s="14" t="n">
        <v>24085.86</v>
      </c>
      <c r="G2470" s="6" t="s">
        <v>2613</v>
      </c>
    </row>
    <row r="2471" customFormat="false" ht="15" hidden="false" customHeight="true" outlineLevel="0" collapsed="false">
      <c r="A2471" s="6" t="s">
        <v>5083</v>
      </c>
      <c r="B2471" s="6" t="s">
        <v>669</v>
      </c>
      <c r="C2471" s="6" t="s">
        <v>124</v>
      </c>
      <c r="D2471" s="13" t="n">
        <v>45425</v>
      </c>
      <c r="E2471" s="14" t="n">
        <v>1984.91</v>
      </c>
      <c r="F2471" s="14" t="n">
        <v>26070.77</v>
      </c>
      <c r="G2471" s="6" t="s">
        <v>2613</v>
      </c>
    </row>
    <row r="2472" customFormat="false" ht="15" hidden="false" customHeight="true" outlineLevel="0" collapsed="false">
      <c r="A2472" s="6" t="s">
        <v>5084</v>
      </c>
      <c r="B2472" s="6" t="s">
        <v>669</v>
      </c>
      <c r="C2472" s="6" t="s">
        <v>124</v>
      </c>
      <c r="D2472" s="13" t="n">
        <v>45432</v>
      </c>
      <c r="E2472" s="14" t="n">
        <v>2066.64</v>
      </c>
      <c r="F2472" s="14" t="n">
        <v>28137.41</v>
      </c>
      <c r="G2472" s="6" t="s">
        <v>2613</v>
      </c>
    </row>
    <row r="2473" customFormat="false" ht="15" hidden="false" customHeight="true" outlineLevel="0" collapsed="false">
      <c r="A2473" s="6" t="s">
        <v>5085</v>
      </c>
      <c r="B2473" s="6" t="s">
        <v>669</v>
      </c>
      <c r="C2473" s="6" t="s">
        <v>124</v>
      </c>
      <c r="D2473" s="13" t="n">
        <v>45439</v>
      </c>
      <c r="E2473" s="14" t="n">
        <v>5495.22</v>
      </c>
      <c r="F2473" s="14" t="n">
        <v>33632.63</v>
      </c>
      <c r="G2473" s="6" t="s">
        <v>2613</v>
      </c>
    </row>
    <row r="2474" customFormat="false" ht="15" hidden="false" customHeight="true" outlineLevel="0" collapsed="false">
      <c r="A2474" s="6" t="s">
        <v>5086</v>
      </c>
      <c r="B2474" s="6" t="s">
        <v>671</v>
      </c>
      <c r="C2474" s="6" t="s">
        <v>124</v>
      </c>
      <c r="D2474" s="13" t="n">
        <v>44777</v>
      </c>
      <c r="E2474" s="14" t="n">
        <v>3471.64</v>
      </c>
      <c r="F2474" s="14" t="n">
        <v>3471.64</v>
      </c>
      <c r="G2474" s="6" t="s">
        <v>2613</v>
      </c>
    </row>
    <row r="2475" customFormat="false" ht="15" hidden="false" customHeight="true" outlineLevel="0" collapsed="false">
      <c r="A2475" s="6" t="s">
        <v>5087</v>
      </c>
      <c r="B2475" s="6" t="s">
        <v>671</v>
      </c>
      <c r="C2475" s="6" t="s">
        <v>124</v>
      </c>
      <c r="D2475" s="13" t="n">
        <v>44784</v>
      </c>
      <c r="E2475" s="14" t="n">
        <v>2080.09</v>
      </c>
      <c r="F2475" s="14" t="n">
        <v>5551.73</v>
      </c>
      <c r="G2475" s="6" t="s">
        <v>2623</v>
      </c>
    </row>
    <row r="2476" customFormat="false" ht="15" hidden="false" customHeight="true" outlineLevel="0" collapsed="false">
      <c r="A2476" s="6" t="s">
        <v>5088</v>
      </c>
      <c r="B2476" s="6" t="s">
        <v>671</v>
      </c>
      <c r="C2476" s="6" t="s">
        <v>124</v>
      </c>
      <c r="D2476" s="13" t="n">
        <v>44791</v>
      </c>
      <c r="E2476" s="14" t="n">
        <v>2230.42</v>
      </c>
      <c r="F2476" s="14" t="n">
        <v>7782.15</v>
      </c>
      <c r="G2476" s="6" t="s">
        <v>2613</v>
      </c>
    </row>
    <row r="2477" customFormat="false" ht="15" hidden="false" customHeight="true" outlineLevel="0" collapsed="false">
      <c r="A2477" s="6" t="s">
        <v>5089</v>
      </c>
      <c r="B2477" s="6" t="s">
        <v>671</v>
      </c>
      <c r="C2477" s="6" t="s">
        <v>124</v>
      </c>
      <c r="D2477" s="13" t="n">
        <v>44798</v>
      </c>
      <c r="E2477" s="14" t="n">
        <v>2363.73</v>
      </c>
      <c r="F2477" s="14" t="n">
        <v>10145.88</v>
      </c>
      <c r="G2477" s="6" t="s">
        <v>2613</v>
      </c>
    </row>
    <row r="2478" customFormat="false" ht="15" hidden="false" customHeight="true" outlineLevel="0" collapsed="false">
      <c r="A2478" s="6" t="s">
        <v>5090</v>
      </c>
      <c r="B2478" s="6" t="s">
        <v>671</v>
      </c>
      <c r="C2478" s="6" t="s">
        <v>124</v>
      </c>
      <c r="D2478" s="13" t="n">
        <v>44805</v>
      </c>
      <c r="E2478" s="14" t="n">
        <v>3158.53</v>
      </c>
      <c r="F2478" s="14" t="n">
        <v>13304.41</v>
      </c>
      <c r="G2478" s="6" t="s">
        <v>2613</v>
      </c>
    </row>
    <row r="2479" customFormat="false" ht="15" hidden="false" customHeight="true" outlineLevel="0" collapsed="false">
      <c r="A2479" s="6" t="s">
        <v>5091</v>
      </c>
      <c r="B2479" s="6" t="s">
        <v>671</v>
      </c>
      <c r="C2479" s="6" t="s">
        <v>124</v>
      </c>
      <c r="D2479" s="13" t="n">
        <v>44812</v>
      </c>
      <c r="E2479" s="14" t="n">
        <v>1921.04</v>
      </c>
      <c r="F2479" s="14" t="n">
        <v>15225.45</v>
      </c>
      <c r="G2479" s="6" t="s">
        <v>2613</v>
      </c>
    </row>
    <row r="2480" customFormat="false" ht="15" hidden="false" customHeight="true" outlineLevel="0" collapsed="false">
      <c r="A2480" s="6" t="s">
        <v>5092</v>
      </c>
      <c r="B2480" s="6" t="s">
        <v>671</v>
      </c>
      <c r="C2480" s="6" t="s">
        <v>124</v>
      </c>
      <c r="D2480" s="13" t="n">
        <v>44819</v>
      </c>
      <c r="E2480" s="14" t="n">
        <v>2940.08</v>
      </c>
      <c r="F2480" s="14" t="n">
        <v>18165.53</v>
      </c>
      <c r="G2480" s="6" t="s">
        <v>2613</v>
      </c>
    </row>
    <row r="2481" customFormat="false" ht="15" hidden="false" customHeight="true" outlineLevel="0" collapsed="false">
      <c r="A2481" s="6" t="s">
        <v>5093</v>
      </c>
      <c r="B2481" s="6" t="s">
        <v>673</v>
      </c>
      <c r="C2481" s="6" t="s">
        <v>131</v>
      </c>
      <c r="D2481" s="13" t="n">
        <v>44596</v>
      </c>
      <c r="E2481" s="14" t="n">
        <v>3759.71</v>
      </c>
      <c r="F2481" s="14" t="n">
        <v>3759.71</v>
      </c>
      <c r="G2481" s="6" t="s">
        <v>2613</v>
      </c>
    </row>
    <row r="2482" customFormat="false" ht="15" hidden="false" customHeight="true" outlineLevel="0" collapsed="false">
      <c r="A2482" s="6" t="s">
        <v>5094</v>
      </c>
      <c r="B2482" s="6" t="s">
        <v>673</v>
      </c>
      <c r="C2482" s="6" t="s">
        <v>131</v>
      </c>
      <c r="D2482" s="13" t="n">
        <v>44603</v>
      </c>
      <c r="E2482" s="14" t="n">
        <v>3397.01</v>
      </c>
      <c r="F2482" s="14" t="n">
        <v>7156.72</v>
      </c>
      <c r="G2482" s="6" t="s">
        <v>2613</v>
      </c>
    </row>
    <row r="2483" customFormat="false" ht="15" hidden="false" customHeight="true" outlineLevel="0" collapsed="false">
      <c r="A2483" s="6" t="s">
        <v>5095</v>
      </c>
      <c r="B2483" s="6" t="s">
        <v>673</v>
      </c>
      <c r="C2483" s="6" t="s">
        <v>131</v>
      </c>
      <c r="D2483" s="13" t="n">
        <v>44610</v>
      </c>
      <c r="E2483" s="14" t="n">
        <v>3127.27</v>
      </c>
      <c r="F2483" s="14" t="n">
        <v>10283.99</v>
      </c>
      <c r="G2483" s="6" t="s">
        <v>2623</v>
      </c>
    </row>
    <row r="2484" customFormat="false" ht="15" hidden="false" customHeight="true" outlineLevel="0" collapsed="false">
      <c r="A2484" s="6" t="s">
        <v>5096</v>
      </c>
      <c r="B2484" s="6" t="s">
        <v>673</v>
      </c>
      <c r="C2484" s="6" t="s">
        <v>131</v>
      </c>
      <c r="D2484" s="13" t="n">
        <v>44617</v>
      </c>
      <c r="E2484" s="14" t="n">
        <v>2567.36</v>
      </c>
      <c r="F2484" s="14" t="n">
        <v>12851.35</v>
      </c>
      <c r="G2484" s="6" t="s">
        <v>2613</v>
      </c>
    </row>
    <row r="2485" customFormat="false" ht="15" hidden="false" customHeight="true" outlineLevel="0" collapsed="false">
      <c r="A2485" s="6" t="s">
        <v>5097</v>
      </c>
      <c r="B2485" s="6" t="s">
        <v>673</v>
      </c>
      <c r="C2485" s="6" t="s">
        <v>131</v>
      </c>
      <c r="D2485" s="13" t="n">
        <v>44624</v>
      </c>
      <c r="E2485" s="14" t="n">
        <v>2058.58</v>
      </c>
      <c r="F2485" s="14" t="n">
        <v>14909.93</v>
      </c>
      <c r="G2485" s="6" t="s">
        <v>2613</v>
      </c>
    </row>
    <row r="2486" customFormat="false" ht="15" hidden="false" customHeight="true" outlineLevel="0" collapsed="false">
      <c r="A2486" s="6" t="s">
        <v>5098</v>
      </c>
      <c r="B2486" s="6" t="s">
        <v>673</v>
      </c>
      <c r="C2486" s="6" t="s">
        <v>131</v>
      </c>
      <c r="D2486" s="13" t="n">
        <v>44631</v>
      </c>
      <c r="E2486" s="14" t="n">
        <v>1798.85</v>
      </c>
      <c r="F2486" s="14" t="n">
        <v>16708.78</v>
      </c>
      <c r="G2486" s="6" t="s">
        <v>2613</v>
      </c>
    </row>
    <row r="2487" customFormat="false" ht="15" hidden="false" customHeight="true" outlineLevel="0" collapsed="false">
      <c r="A2487" s="6" t="s">
        <v>5099</v>
      </c>
      <c r="B2487" s="6" t="s">
        <v>673</v>
      </c>
      <c r="C2487" s="6" t="s">
        <v>131</v>
      </c>
      <c r="D2487" s="13" t="n">
        <v>44638</v>
      </c>
      <c r="E2487" s="14" t="n">
        <v>3077.75</v>
      </c>
      <c r="F2487" s="14" t="n">
        <v>19786.53</v>
      </c>
      <c r="G2487" s="6" t="s">
        <v>2613</v>
      </c>
    </row>
    <row r="2488" customFormat="false" ht="15" hidden="false" customHeight="true" outlineLevel="0" collapsed="false">
      <c r="A2488" s="6" t="s">
        <v>5100</v>
      </c>
      <c r="B2488" s="6" t="s">
        <v>673</v>
      </c>
      <c r="C2488" s="6" t="s">
        <v>131</v>
      </c>
      <c r="D2488" s="13" t="n">
        <v>44645</v>
      </c>
      <c r="E2488" s="14" t="n">
        <v>3400.07</v>
      </c>
      <c r="F2488" s="14" t="n">
        <v>23186.6</v>
      </c>
      <c r="G2488" s="6" t="s">
        <v>2613</v>
      </c>
    </row>
    <row r="2489" customFormat="false" ht="15" hidden="false" customHeight="true" outlineLevel="0" collapsed="false">
      <c r="A2489" s="6" t="s">
        <v>5101</v>
      </c>
      <c r="B2489" s="6" t="s">
        <v>673</v>
      </c>
      <c r="C2489" s="6" t="s">
        <v>131</v>
      </c>
      <c r="D2489" s="13" t="n">
        <v>44652</v>
      </c>
      <c r="E2489" s="14" t="n">
        <v>2347.28</v>
      </c>
      <c r="F2489" s="14" t="n">
        <v>25533.88</v>
      </c>
      <c r="G2489" s="6" t="s">
        <v>2613</v>
      </c>
    </row>
    <row r="2490" customFormat="false" ht="15" hidden="false" customHeight="true" outlineLevel="0" collapsed="false">
      <c r="A2490" s="6" t="s">
        <v>5102</v>
      </c>
      <c r="B2490" s="6" t="s">
        <v>673</v>
      </c>
      <c r="C2490" s="6" t="s">
        <v>131</v>
      </c>
      <c r="D2490" s="13" t="n">
        <v>44659</v>
      </c>
      <c r="E2490" s="14" t="n">
        <v>3004.48</v>
      </c>
      <c r="F2490" s="14" t="n">
        <v>28538.36</v>
      </c>
      <c r="G2490" s="6" t="s">
        <v>2613</v>
      </c>
    </row>
    <row r="2491" customFormat="false" ht="15" hidden="false" customHeight="true" outlineLevel="0" collapsed="false">
      <c r="A2491" s="6" t="s">
        <v>5103</v>
      </c>
      <c r="B2491" s="6" t="s">
        <v>675</v>
      </c>
      <c r="C2491" s="6" t="s">
        <v>128</v>
      </c>
      <c r="D2491" s="13" t="n">
        <v>45077</v>
      </c>
      <c r="E2491" s="14" t="n">
        <v>3949.31</v>
      </c>
      <c r="F2491" s="14" t="n">
        <v>3949.31</v>
      </c>
      <c r="G2491" s="6" t="s">
        <v>2613</v>
      </c>
    </row>
    <row r="2492" customFormat="false" ht="15" hidden="false" customHeight="true" outlineLevel="0" collapsed="false">
      <c r="A2492" s="6" t="s">
        <v>5104</v>
      </c>
      <c r="B2492" s="6" t="s">
        <v>675</v>
      </c>
      <c r="C2492" s="6" t="s">
        <v>128</v>
      </c>
      <c r="D2492" s="13" t="n">
        <v>45084</v>
      </c>
      <c r="E2492" s="14" t="n">
        <v>5163.72</v>
      </c>
      <c r="F2492" s="14" t="n">
        <v>9113.03</v>
      </c>
      <c r="G2492" s="6" t="s">
        <v>2613</v>
      </c>
    </row>
    <row r="2493" customFormat="false" ht="15" hidden="false" customHeight="true" outlineLevel="0" collapsed="false">
      <c r="A2493" s="6" t="s">
        <v>5105</v>
      </c>
      <c r="B2493" s="6" t="s">
        <v>675</v>
      </c>
      <c r="C2493" s="6" t="s">
        <v>128</v>
      </c>
      <c r="D2493" s="13" t="n">
        <v>45091</v>
      </c>
      <c r="E2493" s="14" t="n">
        <v>5603.59</v>
      </c>
      <c r="F2493" s="14" t="n">
        <v>14716.62</v>
      </c>
      <c r="G2493" s="6" t="s">
        <v>2623</v>
      </c>
    </row>
    <row r="2494" customFormat="false" ht="15" hidden="false" customHeight="true" outlineLevel="0" collapsed="false">
      <c r="A2494" s="6" t="s">
        <v>5106</v>
      </c>
      <c r="B2494" s="6" t="s">
        <v>675</v>
      </c>
      <c r="C2494" s="6" t="s">
        <v>128</v>
      </c>
      <c r="D2494" s="13" t="n">
        <v>45098</v>
      </c>
      <c r="E2494" s="14" t="n">
        <v>5042.58</v>
      </c>
      <c r="F2494" s="14" t="n">
        <v>19759.2</v>
      </c>
      <c r="G2494" s="6" t="s">
        <v>2613</v>
      </c>
    </row>
    <row r="2495" customFormat="false" ht="15" hidden="false" customHeight="true" outlineLevel="0" collapsed="false">
      <c r="A2495" s="6" t="s">
        <v>5107</v>
      </c>
      <c r="B2495" s="6" t="s">
        <v>675</v>
      </c>
      <c r="C2495" s="6" t="s">
        <v>128</v>
      </c>
      <c r="D2495" s="13" t="n">
        <v>45105</v>
      </c>
      <c r="E2495" s="14" t="n">
        <v>3257.53</v>
      </c>
      <c r="F2495" s="14" t="n">
        <v>23016.73</v>
      </c>
      <c r="G2495" s="6" t="s">
        <v>2613</v>
      </c>
    </row>
    <row r="2496" customFormat="false" ht="15" hidden="false" customHeight="true" outlineLevel="0" collapsed="false">
      <c r="A2496" s="6" t="s">
        <v>5108</v>
      </c>
      <c r="B2496" s="6" t="s">
        <v>675</v>
      </c>
      <c r="C2496" s="6" t="s">
        <v>128</v>
      </c>
      <c r="D2496" s="13" t="n">
        <v>45112</v>
      </c>
      <c r="E2496" s="14" t="n">
        <v>6856.45</v>
      </c>
      <c r="F2496" s="14" t="n">
        <v>29873.18</v>
      </c>
      <c r="G2496" s="6" t="s">
        <v>2613</v>
      </c>
    </row>
    <row r="2497" customFormat="false" ht="15" hidden="false" customHeight="true" outlineLevel="0" collapsed="false">
      <c r="A2497" s="6" t="s">
        <v>5109</v>
      </c>
      <c r="B2497" s="6" t="s">
        <v>675</v>
      </c>
      <c r="C2497" s="6" t="s">
        <v>128</v>
      </c>
      <c r="D2497" s="13" t="n">
        <v>45119</v>
      </c>
      <c r="E2497" s="14" t="n">
        <v>3751.25</v>
      </c>
      <c r="F2497" s="14" t="n">
        <v>33624.43</v>
      </c>
      <c r="G2497" s="6" t="s">
        <v>2613</v>
      </c>
    </row>
    <row r="2498" customFormat="false" ht="15" hidden="false" customHeight="true" outlineLevel="0" collapsed="false">
      <c r="A2498" s="6" t="s">
        <v>5110</v>
      </c>
      <c r="B2498" s="6" t="s">
        <v>675</v>
      </c>
      <c r="C2498" s="6" t="s">
        <v>128</v>
      </c>
      <c r="D2498" s="13" t="n">
        <v>45126</v>
      </c>
      <c r="E2498" s="14" t="n">
        <v>6987.73</v>
      </c>
      <c r="F2498" s="14" t="n">
        <v>40612.16</v>
      </c>
      <c r="G2498" s="6" t="s">
        <v>2613</v>
      </c>
    </row>
    <row r="2499" customFormat="false" ht="15" hidden="false" customHeight="true" outlineLevel="0" collapsed="false">
      <c r="A2499" s="6" t="s">
        <v>5111</v>
      </c>
      <c r="B2499" s="6" t="s">
        <v>677</v>
      </c>
      <c r="C2499" s="6" t="s">
        <v>116</v>
      </c>
      <c r="D2499" s="13" t="n">
        <v>45487</v>
      </c>
      <c r="E2499" s="14" t="n">
        <v>1074.85</v>
      </c>
      <c r="F2499" s="14" t="n">
        <v>1074.85</v>
      </c>
      <c r="G2499" s="6" t="s">
        <v>2613</v>
      </c>
    </row>
    <row r="2500" customFormat="false" ht="15" hidden="false" customHeight="true" outlineLevel="0" collapsed="false">
      <c r="A2500" s="6" t="s">
        <v>5112</v>
      </c>
      <c r="B2500" s="6" t="s">
        <v>677</v>
      </c>
      <c r="C2500" s="6" t="s">
        <v>116</v>
      </c>
      <c r="D2500" s="13" t="n">
        <v>45494</v>
      </c>
      <c r="E2500" s="14" t="n">
        <v>1133.9</v>
      </c>
      <c r="F2500" s="14" t="n">
        <v>2208.75</v>
      </c>
      <c r="G2500" s="6" t="s">
        <v>2613</v>
      </c>
    </row>
    <row r="2501" customFormat="false" ht="15" hidden="false" customHeight="true" outlineLevel="0" collapsed="false">
      <c r="A2501" s="6" t="s">
        <v>5113</v>
      </c>
      <c r="B2501" s="6" t="s">
        <v>677</v>
      </c>
      <c r="C2501" s="6" t="s">
        <v>116</v>
      </c>
      <c r="D2501" s="13" t="n">
        <v>45501</v>
      </c>
      <c r="E2501" s="14" t="n">
        <v>751.74</v>
      </c>
      <c r="F2501" s="14" t="n">
        <v>2960.49</v>
      </c>
      <c r="G2501" s="6" t="s">
        <v>2613</v>
      </c>
    </row>
    <row r="2502" customFormat="false" ht="15" hidden="false" customHeight="true" outlineLevel="0" collapsed="false">
      <c r="A2502" s="6" t="s">
        <v>5114</v>
      </c>
      <c r="B2502" s="6" t="s">
        <v>677</v>
      </c>
      <c r="C2502" s="6" t="s">
        <v>116</v>
      </c>
      <c r="D2502" s="13" t="n">
        <v>45508</v>
      </c>
      <c r="E2502" s="14" t="n">
        <v>781.73</v>
      </c>
      <c r="F2502" s="14" t="n">
        <v>3742.22</v>
      </c>
      <c r="G2502" s="6" t="s">
        <v>2613</v>
      </c>
    </row>
    <row r="2503" customFormat="false" ht="15" hidden="false" customHeight="true" outlineLevel="0" collapsed="false">
      <c r="A2503" s="6" t="s">
        <v>5115</v>
      </c>
      <c r="B2503" s="6" t="s">
        <v>677</v>
      </c>
      <c r="C2503" s="6" t="s">
        <v>116</v>
      </c>
      <c r="D2503" s="13" t="n">
        <v>45515</v>
      </c>
      <c r="E2503" s="14" t="n">
        <v>424.06</v>
      </c>
      <c r="F2503" s="14" t="n">
        <v>4166.28</v>
      </c>
      <c r="G2503" s="6" t="s">
        <v>2613</v>
      </c>
    </row>
    <row r="2504" customFormat="false" ht="15" hidden="false" customHeight="true" outlineLevel="0" collapsed="false">
      <c r="A2504" s="6" t="s">
        <v>5116</v>
      </c>
      <c r="B2504" s="6" t="s">
        <v>679</v>
      </c>
      <c r="C2504" s="6" t="s">
        <v>116</v>
      </c>
      <c r="D2504" s="13" t="n">
        <v>45518</v>
      </c>
      <c r="E2504" s="14" t="n">
        <v>6250.54</v>
      </c>
      <c r="F2504" s="14" t="n">
        <v>6250.54</v>
      </c>
      <c r="G2504" s="6" t="s">
        <v>2613</v>
      </c>
    </row>
    <row r="2505" customFormat="false" ht="15" hidden="false" customHeight="true" outlineLevel="0" collapsed="false">
      <c r="A2505" s="6" t="s">
        <v>5117</v>
      </c>
      <c r="B2505" s="6" t="s">
        <v>679</v>
      </c>
      <c r="C2505" s="6" t="s">
        <v>116</v>
      </c>
      <c r="D2505" s="13" t="n">
        <v>45525</v>
      </c>
      <c r="E2505" s="14" t="n">
        <v>5160.11</v>
      </c>
      <c r="F2505" s="14" t="n">
        <v>11410.65</v>
      </c>
      <c r="G2505" s="6" t="s">
        <v>2613</v>
      </c>
    </row>
    <row r="2506" customFormat="false" ht="15" hidden="false" customHeight="true" outlineLevel="0" collapsed="false">
      <c r="A2506" s="6" t="s">
        <v>5118</v>
      </c>
      <c r="B2506" s="6" t="s">
        <v>679</v>
      </c>
      <c r="C2506" s="6" t="s">
        <v>116</v>
      </c>
      <c r="D2506" s="13" t="n">
        <v>45532</v>
      </c>
      <c r="E2506" s="14" t="n">
        <v>4505.02</v>
      </c>
      <c r="F2506" s="14" t="n">
        <v>15915.67</v>
      </c>
      <c r="G2506" s="6" t="s">
        <v>2613</v>
      </c>
    </row>
    <row r="2507" customFormat="false" ht="15" hidden="false" customHeight="true" outlineLevel="0" collapsed="false">
      <c r="A2507" s="6" t="s">
        <v>5119</v>
      </c>
      <c r="B2507" s="6" t="s">
        <v>679</v>
      </c>
      <c r="C2507" s="6" t="s">
        <v>116</v>
      </c>
      <c r="D2507" s="13" t="n">
        <v>45539</v>
      </c>
      <c r="E2507" s="14" t="n">
        <v>3592.62</v>
      </c>
      <c r="F2507" s="14" t="n">
        <v>19508.29</v>
      </c>
      <c r="G2507" s="6" t="s">
        <v>2613</v>
      </c>
    </row>
    <row r="2508" customFormat="false" ht="15" hidden="false" customHeight="true" outlineLevel="0" collapsed="false">
      <c r="A2508" s="6" t="s">
        <v>5120</v>
      </c>
      <c r="B2508" s="6" t="s">
        <v>679</v>
      </c>
      <c r="C2508" s="6" t="s">
        <v>116</v>
      </c>
      <c r="D2508" s="13" t="n">
        <v>45546</v>
      </c>
      <c r="E2508" s="14" t="n">
        <v>7051.9</v>
      </c>
      <c r="F2508" s="14" t="n">
        <v>26560.19</v>
      </c>
      <c r="G2508" s="6" t="s">
        <v>2613</v>
      </c>
    </row>
    <row r="2509" customFormat="false" ht="15" hidden="false" customHeight="true" outlineLevel="0" collapsed="false">
      <c r="A2509" s="6" t="s">
        <v>5121</v>
      </c>
      <c r="B2509" s="6" t="s">
        <v>679</v>
      </c>
      <c r="C2509" s="6" t="s">
        <v>116</v>
      </c>
      <c r="D2509" s="13" t="n">
        <v>45553</v>
      </c>
      <c r="E2509" s="14" t="n">
        <v>5499.85</v>
      </c>
      <c r="F2509" s="14" t="n">
        <v>32060.04</v>
      </c>
      <c r="G2509" s="6" t="s">
        <v>2613</v>
      </c>
    </row>
    <row r="2510" customFormat="false" ht="15" hidden="false" customHeight="true" outlineLevel="0" collapsed="false">
      <c r="A2510" s="6" t="s">
        <v>5122</v>
      </c>
      <c r="B2510" s="6" t="s">
        <v>679</v>
      </c>
      <c r="C2510" s="6" t="s">
        <v>116</v>
      </c>
      <c r="D2510" s="13" t="n">
        <v>45560</v>
      </c>
      <c r="E2510" s="14" t="n">
        <v>5452.67</v>
      </c>
      <c r="F2510" s="14" t="n">
        <v>37512.71</v>
      </c>
      <c r="G2510" s="6" t="s">
        <v>2613</v>
      </c>
    </row>
    <row r="2511" customFormat="false" ht="15" hidden="false" customHeight="true" outlineLevel="0" collapsed="false">
      <c r="A2511" s="6" t="s">
        <v>5123</v>
      </c>
      <c r="B2511" s="6" t="s">
        <v>679</v>
      </c>
      <c r="C2511" s="6" t="s">
        <v>116</v>
      </c>
      <c r="D2511" s="13" t="n">
        <v>45567</v>
      </c>
      <c r="E2511" s="14" t="n">
        <v>5402.12</v>
      </c>
      <c r="F2511" s="14" t="n">
        <v>42914.83</v>
      </c>
      <c r="G2511" s="6" t="s">
        <v>2613</v>
      </c>
    </row>
    <row r="2512" customFormat="false" ht="15" hidden="false" customHeight="true" outlineLevel="0" collapsed="false">
      <c r="A2512" s="6" t="s">
        <v>5124</v>
      </c>
      <c r="B2512" s="6" t="s">
        <v>679</v>
      </c>
      <c r="C2512" s="6" t="s">
        <v>116</v>
      </c>
      <c r="D2512" s="13" t="n">
        <v>45574</v>
      </c>
      <c r="E2512" s="14" t="n">
        <v>10675.82</v>
      </c>
      <c r="F2512" s="14" t="n">
        <v>53590.65</v>
      </c>
      <c r="G2512" s="6" t="s">
        <v>2613</v>
      </c>
    </row>
    <row r="2513" customFormat="false" ht="15" hidden="false" customHeight="true" outlineLevel="0" collapsed="false">
      <c r="A2513" s="6" t="s">
        <v>5125</v>
      </c>
      <c r="B2513" s="6" t="s">
        <v>681</v>
      </c>
      <c r="C2513" s="6" t="s">
        <v>112</v>
      </c>
      <c r="D2513" s="13" t="n">
        <v>46048</v>
      </c>
      <c r="E2513" s="14" t="n">
        <v>6607.95</v>
      </c>
      <c r="F2513" s="14" t="n">
        <v>6607.95</v>
      </c>
      <c r="G2513" s="6" t="s">
        <v>2613</v>
      </c>
    </row>
    <row r="2514" customFormat="false" ht="15" hidden="false" customHeight="true" outlineLevel="0" collapsed="false">
      <c r="A2514" s="6" t="s">
        <v>5126</v>
      </c>
      <c r="B2514" s="6" t="s">
        <v>681</v>
      </c>
      <c r="C2514" s="6" t="s">
        <v>112</v>
      </c>
      <c r="D2514" s="13" t="n">
        <v>46055</v>
      </c>
      <c r="E2514" s="14" t="n">
        <v>3853.68</v>
      </c>
      <c r="F2514" s="14" t="n">
        <v>10461.63</v>
      </c>
      <c r="G2514" s="6" t="s">
        <v>2613</v>
      </c>
    </row>
    <row r="2515" customFormat="false" ht="15" hidden="false" customHeight="true" outlineLevel="0" collapsed="false">
      <c r="A2515" s="6" t="s">
        <v>5127</v>
      </c>
      <c r="B2515" s="6" t="s">
        <v>681</v>
      </c>
      <c r="C2515" s="6" t="s">
        <v>112</v>
      </c>
      <c r="D2515" s="13" t="n">
        <v>46062</v>
      </c>
      <c r="E2515" s="14" t="n">
        <v>5601.52</v>
      </c>
      <c r="F2515" s="14" t="n">
        <v>16063.15</v>
      </c>
      <c r="G2515" s="6" t="s">
        <v>2613</v>
      </c>
    </row>
    <row r="2516" customFormat="false" ht="15" hidden="false" customHeight="true" outlineLevel="0" collapsed="false">
      <c r="A2516" s="6" t="s">
        <v>5128</v>
      </c>
      <c r="B2516" s="6" t="s">
        <v>681</v>
      </c>
      <c r="C2516" s="6" t="s">
        <v>112</v>
      </c>
      <c r="D2516" s="13" t="n">
        <v>46069</v>
      </c>
      <c r="E2516" s="14" t="n">
        <v>5857.66</v>
      </c>
      <c r="F2516" s="14" t="n">
        <v>21920.81</v>
      </c>
      <c r="G2516" s="6" t="s">
        <v>2613</v>
      </c>
    </row>
    <row r="2517" customFormat="false" ht="15" hidden="false" customHeight="true" outlineLevel="0" collapsed="false">
      <c r="A2517" s="6" t="s">
        <v>5129</v>
      </c>
      <c r="B2517" s="6" t="s">
        <v>681</v>
      </c>
      <c r="C2517" s="6" t="s">
        <v>112</v>
      </c>
      <c r="D2517" s="13" t="n">
        <v>46076</v>
      </c>
      <c r="E2517" s="14" t="n">
        <v>5302.73</v>
      </c>
      <c r="F2517" s="14" t="n">
        <v>27223.54</v>
      </c>
      <c r="G2517" s="6" t="s">
        <v>2613</v>
      </c>
    </row>
    <row r="2518" customFormat="false" ht="15" hidden="false" customHeight="true" outlineLevel="0" collapsed="false">
      <c r="A2518" s="6" t="s">
        <v>5130</v>
      </c>
      <c r="B2518" s="6" t="s">
        <v>681</v>
      </c>
      <c r="C2518" s="6" t="s">
        <v>112</v>
      </c>
      <c r="D2518" s="13" t="n">
        <v>46083</v>
      </c>
      <c r="E2518" s="14" t="n">
        <v>3713.18</v>
      </c>
      <c r="F2518" s="14" t="n">
        <v>30936.72</v>
      </c>
      <c r="G2518" s="6" t="s">
        <v>2613</v>
      </c>
    </row>
    <row r="2519" customFormat="false" ht="15" hidden="false" customHeight="true" outlineLevel="0" collapsed="false">
      <c r="A2519" s="6" t="s">
        <v>5131</v>
      </c>
      <c r="B2519" s="6" t="s">
        <v>681</v>
      </c>
      <c r="C2519" s="6" t="s">
        <v>112</v>
      </c>
      <c r="D2519" s="13" t="n">
        <v>46090</v>
      </c>
      <c r="E2519" s="14" t="n">
        <v>10810.85</v>
      </c>
      <c r="F2519" s="14" t="n">
        <v>41747.57</v>
      </c>
      <c r="G2519" s="6" t="s">
        <v>2613</v>
      </c>
    </row>
    <row r="2520" customFormat="false" ht="15" hidden="false" customHeight="true" outlineLevel="0" collapsed="false">
      <c r="A2520" s="6" t="s">
        <v>5132</v>
      </c>
      <c r="B2520" s="6" t="s">
        <v>683</v>
      </c>
      <c r="C2520" s="6" t="s">
        <v>128</v>
      </c>
      <c r="D2520" s="13" t="n">
        <v>45383</v>
      </c>
      <c r="E2520" s="14" t="n">
        <v>923.8</v>
      </c>
      <c r="F2520" s="14" t="n">
        <v>923.8</v>
      </c>
      <c r="G2520" s="6" t="s">
        <v>2613</v>
      </c>
    </row>
    <row r="2521" customFormat="false" ht="15" hidden="false" customHeight="true" outlineLevel="0" collapsed="false">
      <c r="A2521" s="6" t="s">
        <v>5133</v>
      </c>
      <c r="B2521" s="6" t="s">
        <v>683</v>
      </c>
      <c r="C2521" s="6" t="s">
        <v>128</v>
      </c>
      <c r="D2521" s="13" t="n">
        <v>45390</v>
      </c>
      <c r="E2521" s="14" t="n">
        <v>1809.01</v>
      </c>
      <c r="F2521" s="14" t="n">
        <v>2732.81</v>
      </c>
      <c r="G2521" s="6" t="s">
        <v>2613</v>
      </c>
    </row>
    <row r="2522" customFormat="false" ht="15" hidden="false" customHeight="true" outlineLevel="0" collapsed="false">
      <c r="A2522" s="6" t="s">
        <v>5134</v>
      </c>
      <c r="B2522" s="6" t="s">
        <v>683</v>
      </c>
      <c r="C2522" s="6" t="s">
        <v>128</v>
      </c>
      <c r="D2522" s="13" t="n">
        <v>45397</v>
      </c>
      <c r="E2522" s="14" t="n">
        <v>1309.32</v>
      </c>
      <c r="F2522" s="14" t="n">
        <v>4042.13</v>
      </c>
      <c r="G2522" s="6" t="s">
        <v>2613</v>
      </c>
    </row>
    <row r="2523" customFormat="false" ht="15" hidden="false" customHeight="true" outlineLevel="0" collapsed="false">
      <c r="A2523" s="6" t="s">
        <v>5135</v>
      </c>
      <c r="B2523" s="6" t="s">
        <v>683</v>
      </c>
      <c r="C2523" s="6" t="s">
        <v>128</v>
      </c>
      <c r="D2523" s="13" t="n">
        <v>45404</v>
      </c>
      <c r="E2523" s="14" t="n">
        <v>1391.4</v>
      </c>
      <c r="F2523" s="14" t="n">
        <v>5433.53</v>
      </c>
      <c r="G2523" s="6" t="s">
        <v>2613</v>
      </c>
    </row>
    <row r="2524" customFormat="false" ht="15" hidden="false" customHeight="true" outlineLevel="0" collapsed="false">
      <c r="A2524" s="6" t="s">
        <v>5136</v>
      </c>
      <c r="B2524" s="6" t="s">
        <v>683</v>
      </c>
      <c r="C2524" s="6" t="s">
        <v>128</v>
      </c>
      <c r="D2524" s="13" t="n">
        <v>45411</v>
      </c>
      <c r="E2524" s="14" t="n">
        <v>1820.85</v>
      </c>
      <c r="F2524" s="14" t="n">
        <v>7254.38</v>
      </c>
      <c r="G2524" s="6" t="s">
        <v>2613</v>
      </c>
    </row>
    <row r="2525" customFormat="false" ht="15" hidden="false" customHeight="true" outlineLevel="0" collapsed="false">
      <c r="A2525" s="6" t="s">
        <v>5137</v>
      </c>
      <c r="B2525" s="6" t="s">
        <v>683</v>
      </c>
      <c r="C2525" s="6" t="s">
        <v>128</v>
      </c>
      <c r="D2525" s="13" t="n">
        <v>45418</v>
      </c>
      <c r="E2525" s="14" t="n">
        <v>1650.94</v>
      </c>
      <c r="F2525" s="14" t="n">
        <v>8905.32</v>
      </c>
      <c r="G2525" s="6" t="s">
        <v>2613</v>
      </c>
    </row>
    <row r="2526" customFormat="false" ht="15" hidden="false" customHeight="true" outlineLevel="0" collapsed="false">
      <c r="A2526" s="6" t="s">
        <v>5138</v>
      </c>
      <c r="B2526" s="6" t="s">
        <v>683</v>
      </c>
      <c r="C2526" s="6" t="s">
        <v>128</v>
      </c>
      <c r="D2526" s="13" t="n">
        <v>45425</v>
      </c>
      <c r="E2526" s="14" t="n">
        <v>829.46</v>
      </c>
      <c r="F2526" s="14" t="n">
        <v>9734.78</v>
      </c>
      <c r="G2526" s="6" t="s">
        <v>2613</v>
      </c>
    </row>
    <row r="2527" customFormat="false" ht="15" hidden="false" customHeight="true" outlineLevel="0" collapsed="false">
      <c r="A2527" s="6" t="s">
        <v>5139</v>
      </c>
      <c r="B2527" s="6" t="s">
        <v>685</v>
      </c>
      <c r="C2527" s="6" t="s">
        <v>112</v>
      </c>
      <c r="D2527" s="13" t="n">
        <v>45576</v>
      </c>
      <c r="E2527" s="14" t="n">
        <v>6817.96</v>
      </c>
      <c r="F2527" s="14" t="n">
        <v>6817.96</v>
      </c>
      <c r="G2527" s="6" t="s">
        <v>2613</v>
      </c>
    </row>
    <row r="2528" customFormat="false" ht="15" hidden="false" customHeight="true" outlineLevel="0" collapsed="false">
      <c r="A2528" s="6" t="s">
        <v>5140</v>
      </c>
      <c r="B2528" s="6" t="s">
        <v>685</v>
      </c>
      <c r="C2528" s="6" t="s">
        <v>112</v>
      </c>
      <c r="D2528" s="13" t="n">
        <v>45583</v>
      </c>
      <c r="E2528" s="14" t="n">
        <v>6620.94</v>
      </c>
      <c r="F2528" s="14" t="n">
        <v>13438.9</v>
      </c>
      <c r="G2528" s="6" t="s">
        <v>2613</v>
      </c>
    </row>
    <row r="2529" customFormat="false" ht="15" hidden="false" customHeight="true" outlineLevel="0" collapsed="false">
      <c r="A2529" s="6" t="s">
        <v>5141</v>
      </c>
      <c r="B2529" s="6" t="s">
        <v>685</v>
      </c>
      <c r="C2529" s="6" t="s">
        <v>112</v>
      </c>
      <c r="D2529" s="13" t="n">
        <v>45590</v>
      </c>
      <c r="E2529" s="14" t="n">
        <v>4339.89</v>
      </c>
      <c r="F2529" s="14" t="n">
        <v>17778.79</v>
      </c>
      <c r="G2529" s="6" t="s">
        <v>2613</v>
      </c>
    </row>
    <row r="2530" customFormat="false" ht="15" hidden="false" customHeight="true" outlineLevel="0" collapsed="false">
      <c r="A2530" s="6" t="s">
        <v>5142</v>
      </c>
      <c r="B2530" s="6" t="s">
        <v>685</v>
      </c>
      <c r="C2530" s="6" t="s">
        <v>112</v>
      </c>
      <c r="D2530" s="13" t="n">
        <v>45597</v>
      </c>
      <c r="E2530" s="14" t="n">
        <v>6854.4</v>
      </c>
      <c r="F2530" s="14" t="n">
        <v>24633.19</v>
      </c>
      <c r="G2530" s="6" t="s">
        <v>2613</v>
      </c>
    </row>
    <row r="2531" customFormat="false" ht="15" hidden="false" customHeight="true" outlineLevel="0" collapsed="false">
      <c r="A2531" s="6" t="s">
        <v>5143</v>
      </c>
      <c r="B2531" s="6" t="s">
        <v>685</v>
      </c>
      <c r="C2531" s="6" t="s">
        <v>112</v>
      </c>
      <c r="D2531" s="13" t="n">
        <v>45604</v>
      </c>
      <c r="E2531" s="14" t="n">
        <v>4393.39</v>
      </c>
      <c r="F2531" s="14" t="n">
        <v>29026.58</v>
      </c>
      <c r="G2531" s="6" t="s">
        <v>2613</v>
      </c>
    </row>
    <row r="2532" customFormat="false" ht="15" hidden="false" customHeight="true" outlineLevel="0" collapsed="false">
      <c r="A2532" s="6" t="s">
        <v>5144</v>
      </c>
      <c r="B2532" s="6" t="s">
        <v>685</v>
      </c>
      <c r="C2532" s="6" t="s">
        <v>112</v>
      </c>
      <c r="D2532" s="13" t="n">
        <v>45611</v>
      </c>
      <c r="E2532" s="14" t="n">
        <v>5659.94</v>
      </c>
      <c r="F2532" s="14" t="n">
        <v>34686.52</v>
      </c>
      <c r="G2532" s="6" t="s">
        <v>2613</v>
      </c>
    </row>
    <row r="2533" customFormat="false" ht="15" hidden="false" customHeight="true" outlineLevel="0" collapsed="false">
      <c r="A2533" s="6" t="s">
        <v>5145</v>
      </c>
      <c r="B2533" s="6" t="s">
        <v>685</v>
      </c>
      <c r="C2533" s="6" t="s">
        <v>112</v>
      </c>
      <c r="D2533" s="13" t="n">
        <v>45618</v>
      </c>
      <c r="E2533" s="14" t="n">
        <v>4410.61</v>
      </c>
      <c r="F2533" s="14" t="n">
        <v>39097.13</v>
      </c>
      <c r="G2533" s="6" t="s">
        <v>2623</v>
      </c>
    </row>
    <row r="2534" customFormat="false" ht="15" hidden="false" customHeight="true" outlineLevel="0" collapsed="false">
      <c r="A2534" s="6" t="s">
        <v>5146</v>
      </c>
      <c r="B2534" s="6" t="s">
        <v>685</v>
      </c>
      <c r="C2534" s="6" t="s">
        <v>112</v>
      </c>
      <c r="D2534" s="13" t="n">
        <v>45625</v>
      </c>
      <c r="E2534" s="14" t="n">
        <v>4396.9</v>
      </c>
      <c r="F2534" s="14" t="n">
        <v>43494.03</v>
      </c>
      <c r="G2534" s="6" t="s">
        <v>2613</v>
      </c>
    </row>
    <row r="2535" customFormat="false" ht="15" hidden="false" customHeight="true" outlineLevel="0" collapsed="false">
      <c r="A2535" s="6" t="s">
        <v>5147</v>
      </c>
      <c r="B2535" s="6" t="s">
        <v>685</v>
      </c>
      <c r="C2535" s="6" t="s">
        <v>112</v>
      </c>
      <c r="D2535" s="13" t="n">
        <v>45632</v>
      </c>
      <c r="E2535" s="14" t="n">
        <v>4758.1</v>
      </c>
      <c r="F2535" s="14" t="n">
        <v>48252.13</v>
      </c>
      <c r="G2535" s="6" t="s">
        <v>2613</v>
      </c>
    </row>
    <row r="2536" customFormat="false" ht="15" hidden="false" customHeight="true" outlineLevel="0" collapsed="false">
      <c r="A2536" s="6" t="s">
        <v>5148</v>
      </c>
      <c r="B2536" s="6" t="s">
        <v>685</v>
      </c>
      <c r="C2536" s="6" t="s">
        <v>112</v>
      </c>
      <c r="D2536" s="13" t="n">
        <v>45639</v>
      </c>
      <c r="E2536" s="14" t="n">
        <v>10673.09</v>
      </c>
      <c r="F2536" s="14" t="n">
        <v>58925.22</v>
      </c>
      <c r="G2536" s="6" t="s">
        <v>2613</v>
      </c>
    </row>
    <row r="2537" customFormat="false" ht="15" hidden="false" customHeight="true" outlineLevel="0" collapsed="false">
      <c r="A2537" s="6" t="s">
        <v>5149</v>
      </c>
      <c r="B2537" s="6" t="s">
        <v>687</v>
      </c>
      <c r="C2537" s="6" t="s">
        <v>131</v>
      </c>
      <c r="D2537" s="13" t="n">
        <v>45562</v>
      </c>
      <c r="E2537" s="14" t="n">
        <v>2958.11</v>
      </c>
      <c r="F2537" s="14" t="n">
        <v>2958.11</v>
      </c>
      <c r="G2537" s="6" t="s">
        <v>2613</v>
      </c>
    </row>
    <row r="2538" customFormat="false" ht="15" hidden="false" customHeight="true" outlineLevel="0" collapsed="false">
      <c r="A2538" s="6" t="s">
        <v>5150</v>
      </c>
      <c r="B2538" s="6" t="s">
        <v>687</v>
      </c>
      <c r="C2538" s="6" t="s">
        <v>131</v>
      </c>
      <c r="D2538" s="13" t="n">
        <v>45569</v>
      </c>
      <c r="E2538" s="14" t="n">
        <v>2761.78</v>
      </c>
      <c r="F2538" s="14" t="n">
        <v>5719.89</v>
      </c>
      <c r="G2538" s="6" t="s">
        <v>2613</v>
      </c>
    </row>
    <row r="2539" customFormat="false" ht="15" hidden="false" customHeight="true" outlineLevel="0" collapsed="false">
      <c r="A2539" s="6" t="s">
        <v>5151</v>
      </c>
      <c r="B2539" s="6" t="s">
        <v>687</v>
      </c>
      <c r="C2539" s="6" t="s">
        <v>131</v>
      </c>
      <c r="D2539" s="13" t="n">
        <v>45576</v>
      </c>
      <c r="E2539" s="14" t="n">
        <v>6337.49</v>
      </c>
      <c r="F2539" s="14" t="n">
        <v>12057.38</v>
      </c>
      <c r="G2539" s="6" t="s">
        <v>2623</v>
      </c>
    </row>
    <row r="2540" customFormat="false" ht="15" hidden="false" customHeight="true" outlineLevel="0" collapsed="false">
      <c r="A2540" s="6" t="s">
        <v>5152</v>
      </c>
      <c r="B2540" s="6" t="s">
        <v>687</v>
      </c>
      <c r="C2540" s="6" t="s">
        <v>131</v>
      </c>
      <c r="D2540" s="13" t="n">
        <v>45583</v>
      </c>
      <c r="E2540" s="14" t="n">
        <v>4640.49</v>
      </c>
      <c r="F2540" s="14" t="n">
        <v>16697.87</v>
      </c>
      <c r="G2540" s="6" t="s">
        <v>2623</v>
      </c>
    </row>
    <row r="2541" customFormat="false" ht="15" hidden="false" customHeight="true" outlineLevel="0" collapsed="false">
      <c r="A2541" s="6" t="s">
        <v>5153</v>
      </c>
      <c r="B2541" s="6" t="s">
        <v>687</v>
      </c>
      <c r="C2541" s="6" t="s">
        <v>131</v>
      </c>
      <c r="D2541" s="13" t="n">
        <v>45590</v>
      </c>
      <c r="E2541" s="14" t="n">
        <v>6097.3</v>
      </c>
      <c r="F2541" s="14" t="n">
        <v>22795.17</v>
      </c>
      <c r="G2541" s="6" t="s">
        <v>2613</v>
      </c>
    </row>
    <row r="2542" customFormat="false" ht="15" hidden="false" customHeight="true" outlineLevel="0" collapsed="false">
      <c r="A2542" s="6" t="s">
        <v>5154</v>
      </c>
      <c r="B2542" s="6" t="s">
        <v>689</v>
      </c>
      <c r="C2542" s="6" t="s">
        <v>120</v>
      </c>
      <c r="D2542" s="13" t="n">
        <v>45344</v>
      </c>
      <c r="E2542" s="14" t="n">
        <v>8364.27</v>
      </c>
      <c r="F2542" s="14" t="n">
        <v>8364.27</v>
      </c>
      <c r="G2542" s="6" t="s">
        <v>2613</v>
      </c>
    </row>
    <row r="2543" customFormat="false" ht="15" hidden="false" customHeight="true" outlineLevel="0" collapsed="false">
      <c r="A2543" s="6" t="s">
        <v>5155</v>
      </c>
      <c r="B2543" s="6" t="s">
        <v>689</v>
      </c>
      <c r="C2543" s="6" t="s">
        <v>120</v>
      </c>
      <c r="D2543" s="13" t="n">
        <v>45351</v>
      </c>
      <c r="E2543" s="14" t="n">
        <v>3880.9</v>
      </c>
      <c r="F2543" s="14" t="n">
        <v>12245.17</v>
      </c>
      <c r="G2543" s="6" t="s">
        <v>2613</v>
      </c>
    </row>
    <row r="2544" customFormat="false" ht="15" hidden="false" customHeight="true" outlineLevel="0" collapsed="false">
      <c r="A2544" s="6" t="s">
        <v>5156</v>
      </c>
      <c r="B2544" s="6" t="s">
        <v>689</v>
      </c>
      <c r="C2544" s="6" t="s">
        <v>120</v>
      </c>
      <c r="D2544" s="13" t="n">
        <v>45358</v>
      </c>
      <c r="E2544" s="14" t="n">
        <v>5935.66</v>
      </c>
      <c r="F2544" s="14" t="n">
        <v>18180.83</v>
      </c>
      <c r="G2544" s="6" t="s">
        <v>2613</v>
      </c>
    </row>
    <row r="2545" customFormat="false" ht="15" hidden="false" customHeight="true" outlineLevel="0" collapsed="false">
      <c r="A2545" s="6" t="s">
        <v>5157</v>
      </c>
      <c r="B2545" s="6" t="s">
        <v>689</v>
      </c>
      <c r="C2545" s="6" t="s">
        <v>120</v>
      </c>
      <c r="D2545" s="13" t="n">
        <v>45365</v>
      </c>
      <c r="E2545" s="14" t="n">
        <v>8632.03</v>
      </c>
      <c r="F2545" s="14" t="n">
        <v>26812.86</v>
      </c>
      <c r="G2545" s="6" t="s">
        <v>2623</v>
      </c>
    </row>
    <row r="2546" customFormat="false" ht="15" hidden="false" customHeight="true" outlineLevel="0" collapsed="false">
      <c r="A2546" s="6" t="s">
        <v>5158</v>
      </c>
      <c r="B2546" s="6" t="s">
        <v>689</v>
      </c>
      <c r="C2546" s="6" t="s">
        <v>120</v>
      </c>
      <c r="D2546" s="13" t="n">
        <v>45372</v>
      </c>
      <c r="E2546" s="14" t="n">
        <v>4498.32</v>
      </c>
      <c r="F2546" s="14" t="n">
        <v>31311.18</v>
      </c>
      <c r="G2546" s="6" t="s">
        <v>2613</v>
      </c>
    </row>
    <row r="2547" customFormat="false" ht="15" hidden="false" customHeight="true" outlineLevel="0" collapsed="false">
      <c r="A2547" s="6" t="s">
        <v>5159</v>
      </c>
      <c r="B2547" s="6" t="s">
        <v>689</v>
      </c>
      <c r="C2547" s="6" t="s">
        <v>120</v>
      </c>
      <c r="D2547" s="13" t="n">
        <v>45379</v>
      </c>
      <c r="E2547" s="14" t="n">
        <v>8766.15</v>
      </c>
      <c r="F2547" s="14" t="n">
        <v>40077.33</v>
      </c>
      <c r="G2547" s="6" t="s">
        <v>2613</v>
      </c>
    </row>
    <row r="2548" customFormat="false" ht="15" hidden="false" customHeight="true" outlineLevel="0" collapsed="false">
      <c r="A2548" s="6" t="s">
        <v>5160</v>
      </c>
      <c r="B2548" s="6" t="s">
        <v>689</v>
      </c>
      <c r="C2548" s="6" t="s">
        <v>120</v>
      </c>
      <c r="D2548" s="13" t="n">
        <v>45386</v>
      </c>
      <c r="E2548" s="14" t="n">
        <v>5145.8</v>
      </c>
      <c r="F2548" s="14" t="n">
        <v>45223.13</v>
      </c>
      <c r="G2548" s="6" t="s">
        <v>2613</v>
      </c>
    </row>
    <row r="2549" customFormat="false" ht="15" hidden="false" customHeight="true" outlineLevel="0" collapsed="false">
      <c r="A2549" s="6" t="s">
        <v>5161</v>
      </c>
      <c r="B2549" s="6" t="s">
        <v>689</v>
      </c>
      <c r="C2549" s="6" t="s">
        <v>120</v>
      </c>
      <c r="D2549" s="13" t="n">
        <v>45393</v>
      </c>
      <c r="E2549" s="14" t="n">
        <v>7401.15</v>
      </c>
      <c r="F2549" s="14" t="n">
        <v>52624.28</v>
      </c>
      <c r="G2549" s="6" t="s">
        <v>2613</v>
      </c>
    </row>
    <row r="2550" customFormat="false" ht="15" hidden="false" customHeight="true" outlineLevel="0" collapsed="false">
      <c r="A2550" s="6" t="s">
        <v>5162</v>
      </c>
      <c r="B2550" s="6" t="s">
        <v>689</v>
      </c>
      <c r="C2550" s="6" t="s">
        <v>120</v>
      </c>
      <c r="D2550" s="13" t="n">
        <v>45400</v>
      </c>
      <c r="E2550" s="14" t="n">
        <v>6518.53</v>
      </c>
      <c r="F2550" s="14" t="n">
        <v>59142.81</v>
      </c>
      <c r="G2550" s="6" t="s">
        <v>2613</v>
      </c>
    </row>
    <row r="2551" customFormat="false" ht="15" hidden="false" customHeight="true" outlineLevel="0" collapsed="false">
      <c r="A2551" s="6" t="s">
        <v>5163</v>
      </c>
      <c r="B2551" s="6" t="s">
        <v>689</v>
      </c>
      <c r="C2551" s="6" t="s">
        <v>120</v>
      </c>
      <c r="D2551" s="13" t="n">
        <v>45407</v>
      </c>
      <c r="E2551" s="14" t="n">
        <v>3881.13</v>
      </c>
      <c r="F2551" s="14" t="n">
        <v>63023.94</v>
      </c>
      <c r="G2551" s="6" t="s">
        <v>2613</v>
      </c>
    </row>
    <row r="2552" customFormat="false" ht="15" hidden="false" customHeight="true" outlineLevel="0" collapsed="false">
      <c r="A2552" s="6" t="s">
        <v>5164</v>
      </c>
      <c r="B2552" s="6" t="s">
        <v>689</v>
      </c>
      <c r="C2552" s="6" t="s">
        <v>120</v>
      </c>
      <c r="D2552" s="13" t="n">
        <v>45414</v>
      </c>
      <c r="E2552" s="14" t="n">
        <v>8719.13</v>
      </c>
      <c r="F2552" s="14" t="n">
        <v>71743.07</v>
      </c>
      <c r="G2552" s="6" t="s">
        <v>2613</v>
      </c>
    </row>
    <row r="2553" customFormat="false" ht="15" hidden="false" customHeight="true" outlineLevel="0" collapsed="false">
      <c r="A2553" s="6" t="s">
        <v>5165</v>
      </c>
      <c r="B2553" s="6" t="s">
        <v>689</v>
      </c>
      <c r="C2553" s="6" t="s">
        <v>120</v>
      </c>
      <c r="D2553" s="13" t="n">
        <v>45421</v>
      </c>
      <c r="E2553" s="14" t="n">
        <v>7131.07</v>
      </c>
      <c r="F2553" s="14" t="n">
        <v>78874.14</v>
      </c>
      <c r="G2553" s="6" t="s">
        <v>2613</v>
      </c>
    </row>
    <row r="2554" customFormat="false" ht="15" hidden="false" customHeight="true" outlineLevel="0" collapsed="false">
      <c r="A2554" s="6" t="s">
        <v>5166</v>
      </c>
      <c r="B2554" s="6" t="s">
        <v>689</v>
      </c>
      <c r="C2554" s="6" t="s">
        <v>120</v>
      </c>
      <c r="D2554" s="13" t="n">
        <v>45428</v>
      </c>
      <c r="E2554" s="14" t="n">
        <v>8861.67</v>
      </c>
      <c r="F2554" s="14" t="n">
        <v>87735.81</v>
      </c>
      <c r="G2554" s="6" t="s">
        <v>2613</v>
      </c>
    </row>
    <row r="2555" customFormat="false" ht="15" hidden="false" customHeight="true" outlineLevel="0" collapsed="false">
      <c r="A2555" s="6" t="s">
        <v>5167</v>
      </c>
      <c r="B2555" s="6" t="s">
        <v>689</v>
      </c>
      <c r="C2555" s="6" t="s">
        <v>120</v>
      </c>
      <c r="D2555" s="13" t="n">
        <v>45435</v>
      </c>
      <c r="E2555" s="14" t="n">
        <v>7358.6</v>
      </c>
      <c r="F2555" s="14" t="n">
        <v>95094.41</v>
      </c>
      <c r="G2555" s="6" t="s">
        <v>2613</v>
      </c>
    </row>
    <row r="2556" customFormat="false" ht="15" hidden="false" customHeight="true" outlineLevel="0" collapsed="false">
      <c r="A2556" s="6" t="s">
        <v>5168</v>
      </c>
      <c r="B2556" s="6" t="s">
        <v>689</v>
      </c>
      <c r="C2556" s="6" t="s">
        <v>120</v>
      </c>
      <c r="D2556" s="13" t="n">
        <v>45442</v>
      </c>
      <c r="E2556" s="14" t="n">
        <v>6361.98</v>
      </c>
      <c r="F2556" s="14" t="n">
        <v>101456.39</v>
      </c>
      <c r="G2556" s="6" t="s">
        <v>2613</v>
      </c>
    </row>
    <row r="2557" customFormat="false" ht="15" hidden="false" customHeight="true" outlineLevel="0" collapsed="false">
      <c r="A2557" s="6" t="s">
        <v>5169</v>
      </c>
      <c r="B2557" s="6" t="s">
        <v>689</v>
      </c>
      <c r="C2557" s="6" t="s">
        <v>120</v>
      </c>
      <c r="D2557" s="13" t="n">
        <v>45449</v>
      </c>
      <c r="E2557" s="14" t="n">
        <v>7956.55</v>
      </c>
      <c r="F2557" s="14" t="n">
        <v>109412.94</v>
      </c>
      <c r="G2557" s="6" t="s">
        <v>2613</v>
      </c>
    </row>
    <row r="2558" customFormat="false" ht="15" hidden="false" customHeight="true" outlineLevel="0" collapsed="false">
      <c r="A2558" s="6" t="s">
        <v>5170</v>
      </c>
      <c r="B2558" s="6" t="s">
        <v>689</v>
      </c>
      <c r="C2558" s="6" t="s">
        <v>120</v>
      </c>
      <c r="D2558" s="13" t="n">
        <v>45456</v>
      </c>
      <c r="E2558" s="14" t="n">
        <v>8704.42</v>
      </c>
      <c r="F2558" s="14" t="n">
        <v>118117.36</v>
      </c>
      <c r="G2558" s="6" t="s">
        <v>2613</v>
      </c>
    </row>
    <row r="2559" customFormat="false" ht="15" hidden="false" customHeight="true" outlineLevel="0" collapsed="false">
      <c r="A2559" s="6" t="s">
        <v>5171</v>
      </c>
      <c r="B2559" s="6" t="s">
        <v>689</v>
      </c>
      <c r="C2559" s="6" t="s">
        <v>120</v>
      </c>
      <c r="D2559" s="13" t="n">
        <v>45463</v>
      </c>
      <c r="E2559" s="14" t="n">
        <v>4274.42</v>
      </c>
      <c r="F2559" s="14" t="n">
        <v>122391.78</v>
      </c>
      <c r="G2559" s="6" t="s">
        <v>2613</v>
      </c>
    </row>
    <row r="2560" customFormat="false" ht="15" hidden="false" customHeight="true" outlineLevel="0" collapsed="false">
      <c r="A2560" s="6" t="s">
        <v>5172</v>
      </c>
      <c r="B2560" s="6" t="s">
        <v>691</v>
      </c>
      <c r="C2560" s="6" t="s">
        <v>131</v>
      </c>
      <c r="D2560" s="13" t="n">
        <v>45692</v>
      </c>
      <c r="E2560" s="14" t="n">
        <v>1074.64</v>
      </c>
      <c r="F2560" s="14" t="n">
        <v>1074.64</v>
      </c>
      <c r="G2560" s="6" t="s">
        <v>2613</v>
      </c>
    </row>
    <row r="2561" customFormat="false" ht="15" hidden="false" customHeight="true" outlineLevel="0" collapsed="false">
      <c r="A2561" s="6" t="s">
        <v>5173</v>
      </c>
      <c r="B2561" s="6" t="s">
        <v>691</v>
      </c>
      <c r="C2561" s="6" t="s">
        <v>131</v>
      </c>
      <c r="D2561" s="13" t="n">
        <v>45699</v>
      </c>
      <c r="E2561" s="14" t="n">
        <v>804.26</v>
      </c>
      <c r="F2561" s="14" t="n">
        <v>1878.9</v>
      </c>
      <c r="G2561" s="6" t="s">
        <v>2613</v>
      </c>
    </row>
    <row r="2562" customFormat="false" ht="15" hidden="false" customHeight="true" outlineLevel="0" collapsed="false">
      <c r="A2562" s="6" t="s">
        <v>5174</v>
      </c>
      <c r="B2562" s="6" t="s">
        <v>691</v>
      </c>
      <c r="C2562" s="6" t="s">
        <v>131</v>
      </c>
      <c r="D2562" s="13" t="n">
        <v>45706</v>
      </c>
      <c r="E2562" s="14" t="n">
        <v>648.38</v>
      </c>
      <c r="F2562" s="14" t="n">
        <v>2527.28</v>
      </c>
      <c r="G2562" s="6" t="s">
        <v>2613</v>
      </c>
    </row>
    <row r="2563" customFormat="false" ht="15" hidden="false" customHeight="true" outlineLevel="0" collapsed="false">
      <c r="A2563" s="6" t="s">
        <v>5175</v>
      </c>
      <c r="B2563" s="6" t="s">
        <v>691</v>
      </c>
      <c r="C2563" s="6" t="s">
        <v>131</v>
      </c>
      <c r="D2563" s="13" t="n">
        <v>45713</v>
      </c>
      <c r="E2563" s="14" t="n">
        <v>1105.84</v>
      </c>
      <c r="F2563" s="14" t="n">
        <v>3633.12</v>
      </c>
      <c r="G2563" s="6" t="s">
        <v>2613</v>
      </c>
    </row>
    <row r="2564" customFormat="false" ht="15" hidden="false" customHeight="true" outlineLevel="0" collapsed="false">
      <c r="A2564" s="6" t="s">
        <v>5176</v>
      </c>
      <c r="B2564" s="6" t="s">
        <v>691</v>
      </c>
      <c r="C2564" s="6" t="s">
        <v>131</v>
      </c>
      <c r="D2564" s="13" t="n">
        <v>45720</v>
      </c>
      <c r="E2564" s="14" t="n">
        <v>558.38</v>
      </c>
      <c r="F2564" s="14" t="n">
        <v>4191.5</v>
      </c>
      <c r="G2564" s="6" t="s">
        <v>2613</v>
      </c>
    </row>
    <row r="2565" customFormat="false" ht="15" hidden="false" customHeight="true" outlineLevel="0" collapsed="false">
      <c r="A2565" s="6" t="s">
        <v>5177</v>
      </c>
      <c r="B2565" s="6" t="s">
        <v>691</v>
      </c>
      <c r="C2565" s="6" t="s">
        <v>131</v>
      </c>
      <c r="D2565" s="13" t="n">
        <v>45727</v>
      </c>
      <c r="E2565" s="14" t="n">
        <v>508.61</v>
      </c>
      <c r="F2565" s="14" t="n">
        <v>4700.11</v>
      </c>
      <c r="G2565" s="6" t="s">
        <v>2613</v>
      </c>
    </row>
    <row r="2566" customFormat="false" ht="15" hidden="false" customHeight="true" outlineLevel="0" collapsed="false">
      <c r="A2566" s="6" t="s">
        <v>5178</v>
      </c>
      <c r="B2566" s="6" t="s">
        <v>691</v>
      </c>
      <c r="C2566" s="6" t="s">
        <v>131</v>
      </c>
      <c r="D2566" s="13" t="n">
        <v>45734</v>
      </c>
      <c r="E2566" s="14" t="n">
        <v>702.65</v>
      </c>
      <c r="F2566" s="14" t="n">
        <v>5402.76</v>
      </c>
      <c r="G2566" s="6" t="s">
        <v>2613</v>
      </c>
    </row>
    <row r="2567" customFormat="false" ht="15" hidden="false" customHeight="true" outlineLevel="0" collapsed="false">
      <c r="A2567" s="6" t="s">
        <v>5179</v>
      </c>
      <c r="B2567" s="6" t="s">
        <v>691</v>
      </c>
      <c r="C2567" s="6" t="s">
        <v>131</v>
      </c>
      <c r="D2567" s="13" t="n">
        <v>45741</v>
      </c>
      <c r="E2567" s="14" t="n">
        <v>1124.42</v>
      </c>
      <c r="F2567" s="14" t="n">
        <v>6527.18</v>
      </c>
      <c r="G2567" s="6" t="s">
        <v>2613</v>
      </c>
    </row>
    <row r="2568" customFormat="false" ht="15" hidden="false" customHeight="true" outlineLevel="0" collapsed="false">
      <c r="A2568" s="6" t="s">
        <v>5180</v>
      </c>
      <c r="B2568" s="6" t="s">
        <v>693</v>
      </c>
      <c r="C2568" s="6" t="s">
        <v>131</v>
      </c>
      <c r="D2568" s="13" t="n">
        <v>46138</v>
      </c>
      <c r="E2568" s="14" t="n">
        <v>3320.95</v>
      </c>
      <c r="F2568" s="14" t="n">
        <v>3320.95</v>
      </c>
      <c r="G2568" s="6" t="s">
        <v>2613</v>
      </c>
    </row>
    <row r="2569" customFormat="false" ht="15" hidden="false" customHeight="true" outlineLevel="0" collapsed="false">
      <c r="A2569" s="6" t="s">
        <v>5181</v>
      </c>
      <c r="B2569" s="6" t="s">
        <v>693</v>
      </c>
      <c r="C2569" s="6" t="s">
        <v>131</v>
      </c>
      <c r="D2569" s="13" t="n">
        <v>46145</v>
      </c>
      <c r="E2569" s="14" t="n">
        <v>4535.27</v>
      </c>
      <c r="F2569" s="14" t="n">
        <v>7856.22</v>
      </c>
      <c r="G2569" s="6" t="s">
        <v>2613</v>
      </c>
    </row>
    <row r="2570" customFormat="false" ht="15" hidden="false" customHeight="true" outlineLevel="0" collapsed="false">
      <c r="A2570" s="6" t="s">
        <v>5182</v>
      </c>
      <c r="B2570" s="6" t="s">
        <v>693</v>
      </c>
      <c r="C2570" s="6" t="s">
        <v>131</v>
      </c>
      <c r="D2570" s="13" t="n">
        <v>46152</v>
      </c>
      <c r="E2570" s="14" t="n">
        <v>4264.76</v>
      </c>
      <c r="F2570" s="14" t="n">
        <v>12120.98</v>
      </c>
      <c r="G2570" s="6" t="s">
        <v>2613</v>
      </c>
    </row>
    <row r="2571" customFormat="false" ht="15" hidden="false" customHeight="true" outlineLevel="0" collapsed="false">
      <c r="A2571" s="6" t="s">
        <v>5183</v>
      </c>
      <c r="B2571" s="6" t="s">
        <v>693</v>
      </c>
      <c r="C2571" s="6" t="s">
        <v>131</v>
      </c>
      <c r="D2571" s="13" t="n">
        <v>46159</v>
      </c>
      <c r="E2571" s="14" t="n">
        <v>5213.54</v>
      </c>
      <c r="F2571" s="14" t="n">
        <v>17334.52</v>
      </c>
      <c r="G2571" s="6" t="s">
        <v>2613</v>
      </c>
    </row>
    <row r="2572" customFormat="false" ht="15" hidden="false" customHeight="true" outlineLevel="0" collapsed="false">
      <c r="A2572" s="6" t="s">
        <v>5184</v>
      </c>
      <c r="B2572" s="6" t="s">
        <v>693</v>
      </c>
      <c r="C2572" s="6" t="s">
        <v>131</v>
      </c>
      <c r="D2572" s="13" t="n">
        <v>46166</v>
      </c>
      <c r="E2572" s="14" t="n">
        <v>2987.23</v>
      </c>
      <c r="F2572" s="14" t="n">
        <v>20321.75</v>
      </c>
      <c r="G2572" s="6" t="s">
        <v>2613</v>
      </c>
    </row>
    <row r="2573" customFormat="false" ht="15" hidden="false" customHeight="true" outlineLevel="0" collapsed="false">
      <c r="A2573" s="6" t="s">
        <v>5185</v>
      </c>
      <c r="B2573" s="6" t="s">
        <v>693</v>
      </c>
      <c r="C2573" s="6" t="s">
        <v>131</v>
      </c>
      <c r="D2573" s="13" t="n">
        <v>46173</v>
      </c>
      <c r="E2573" s="14" t="n">
        <v>3162.23</v>
      </c>
      <c r="F2573" s="14" t="n">
        <v>23483.98</v>
      </c>
      <c r="G2573" s="6" t="s">
        <v>2613</v>
      </c>
    </row>
    <row r="2574" customFormat="false" ht="15" hidden="false" customHeight="true" outlineLevel="0" collapsed="false">
      <c r="A2574" s="6" t="s">
        <v>5186</v>
      </c>
      <c r="B2574" s="6" t="s">
        <v>693</v>
      </c>
      <c r="C2574" s="6" t="s">
        <v>131</v>
      </c>
      <c r="D2574" s="13" t="n">
        <v>46180</v>
      </c>
      <c r="E2574" s="14" t="n">
        <v>3311.87</v>
      </c>
      <c r="F2574" s="14" t="n">
        <v>26795.85</v>
      </c>
      <c r="G2574" s="6" t="s">
        <v>2613</v>
      </c>
    </row>
    <row r="2575" customFormat="false" ht="15" hidden="false" customHeight="true" outlineLevel="0" collapsed="false">
      <c r="A2575" s="6" t="s">
        <v>5187</v>
      </c>
      <c r="B2575" s="6" t="s">
        <v>693</v>
      </c>
      <c r="C2575" s="6" t="s">
        <v>131</v>
      </c>
      <c r="D2575" s="13" t="n">
        <v>46187</v>
      </c>
      <c r="E2575" s="14" t="n">
        <v>3581.67</v>
      </c>
      <c r="F2575" s="14" t="n">
        <v>30377.52</v>
      </c>
      <c r="G2575" s="6" t="s">
        <v>2613</v>
      </c>
    </row>
    <row r="2576" customFormat="false" ht="15" hidden="false" customHeight="true" outlineLevel="0" collapsed="false">
      <c r="A2576" s="6" t="s">
        <v>5188</v>
      </c>
      <c r="B2576" s="6" t="s">
        <v>695</v>
      </c>
      <c r="C2576" s="6" t="s">
        <v>112</v>
      </c>
      <c r="D2576" s="13" t="n">
        <v>45436</v>
      </c>
      <c r="E2576" s="14" t="n">
        <v>9193.08</v>
      </c>
      <c r="F2576" s="14" t="n">
        <v>9193.08</v>
      </c>
      <c r="G2576" s="6" t="s">
        <v>2613</v>
      </c>
    </row>
    <row r="2577" customFormat="false" ht="15" hidden="false" customHeight="true" outlineLevel="0" collapsed="false">
      <c r="A2577" s="6" t="s">
        <v>5189</v>
      </c>
      <c r="B2577" s="6" t="s">
        <v>695</v>
      </c>
      <c r="C2577" s="6" t="s">
        <v>112</v>
      </c>
      <c r="D2577" s="13" t="n">
        <v>45443</v>
      </c>
      <c r="E2577" s="14" t="n">
        <v>8166.87</v>
      </c>
      <c r="F2577" s="14" t="n">
        <v>17359.95</v>
      </c>
      <c r="G2577" s="6" t="s">
        <v>2613</v>
      </c>
    </row>
    <row r="2578" customFormat="false" ht="15" hidden="false" customHeight="true" outlineLevel="0" collapsed="false">
      <c r="A2578" s="6" t="s">
        <v>5190</v>
      </c>
      <c r="B2578" s="6" t="s">
        <v>695</v>
      </c>
      <c r="C2578" s="6" t="s">
        <v>112</v>
      </c>
      <c r="D2578" s="13" t="n">
        <v>45450</v>
      </c>
      <c r="E2578" s="14" t="n">
        <v>6252.68</v>
      </c>
      <c r="F2578" s="14" t="n">
        <v>23612.63</v>
      </c>
      <c r="G2578" s="6" t="s">
        <v>2613</v>
      </c>
    </row>
    <row r="2579" customFormat="false" ht="15" hidden="false" customHeight="true" outlineLevel="0" collapsed="false">
      <c r="A2579" s="6" t="s">
        <v>5191</v>
      </c>
      <c r="B2579" s="6" t="s">
        <v>695</v>
      </c>
      <c r="C2579" s="6" t="s">
        <v>112</v>
      </c>
      <c r="D2579" s="13" t="n">
        <v>45457</v>
      </c>
      <c r="E2579" s="14" t="n">
        <v>8286.13</v>
      </c>
      <c r="F2579" s="14" t="n">
        <v>31898.76</v>
      </c>
      <c r="G2579" s="6" t="s">
        <v>2613</v>
      </c>
    </row>
    <row r="2580" customFormat="false" ht="15" hidden="false" customHeight="true" outlineLevel="0" collapsed="false">
      <c r="A2580" s="6" t="s">
        <v>5192</v>
      </c>
      <c r="B2580" s="6" t="s">
        <v>695</v>
      </c>
      <c r="C2580" s="6" t="s">
        <v>112</v>
      </c>
      <c r="D2580" s="13" t="n">
        <v>45464</v>
      </c>
      <c r="E2580" s="14" t="n">
        <v>5754.59</v>
      </c>
      <c r="F2580" s="14" t="n">
        <v>37653.35</v>
      </c>
      <c r="G2580" s="6" t="s">
        <v>2613</v>
      </c>
    </row>
    <row r="2581" customFormat="false" ht="15" hidden="false" customHeight="true" outlineLevel="0" collapsed="false">
      <c r="A2581" s="6" t="s">
        <v>5193</v>
      </c>
      <c r="B2581" s="6" t="s">
        <v>695</v>
      </c>
      <c r="C2581" s="6" t="s">
        <v>112</v>
      </c>
      <c r="D2581" s="13" t="n">
        <v>45471</v>
      </c>
      <c r="E2581" s="14" t="n">
        <v>10585.64</v>
      </c>
      <c r="F2581" s="14" t="n">
        <v>48238.99</v>
      </c>
      <c r="G2581" s="6" t="s">
        <v>2613</v>
      </c>
    </row>
    <row r="2582" customFormat="false" ht="15" hidden="false" customHeight="true" outlineLevel="0" collapsed="false">
      <c r="A2582" s="6" t="s">
        <v>5194</v>
      </c>
      <c r="B2582" s="6" t="s">
        <v>697</v>
      </c>
      <c r="C2582" s="6" t="s">
        <v>124</v>
      </c>
      <c r="D2582" s="13" t="n">
        <v>46015</v>
      </c>
      <c r="E2582" s="14" t="n">
        <v>2308.76</v>
      </c>
      <c r="F2582" s="14" t="n">
        <v>2308.76</v>
      </c>
      <c r="G2582" s="6" t="s">
        <v>2613</v>
      </c>
    </row>
    <row r="2583" customFormat="false" ht="15" hidden="false" customHeight="true" outlineLevel="0" collapsed="false">
      <c r="A2583" s="6" t="s">
        <v>5195</v>
      </c>
      <c r="B2583" s="6" t="s">
        <v>697</v>
      </c>
      <c r="C2583" s="6" t="s">
        <v>124</v>
      </c>
      <c r="D2583" s="13" t="n">
        <v>46022</v>
      </c>
      <c r="E2583" s="14" t="n">
        <v>4103.71</v>
      </c>
      <c r="F2583" s="14" t="n">
        <v>6412.47</v>
      </c>
      <c r="G2583" s="6" t="s">
        <v>2623</v>
      </c>
    </row>
    <row r="2584" customFormat="false" ht="15" hidden="false" customHeight="true" outlineLevel="0" collapsed="false">
      <c r="A2584" s="6" t="s">
        <v>5196</v>
      </c>
      <c r="B2584" s="6" t="s">
        <v>697</v>
      </c>
      <c r="C2584" s="6" t="s">
        <v>124</v>
      </c>
      <c r="D2584" s="13" t="n">
        <v>46029</v>
      </c>
      <c r="E2584" s="14" t="n">
        <v>3730.07</v>
      </c>
      <c r="F2584" s="14" t="n">
        <v>10142.54</v>
      </c>
      <c r="G2584" s="6" t="s">
        <v>2613</v>
      </c>
    </row>
    <row r="2585" customFormat="false" ht="15" hidden="false" customHeight="true" outlineLevel="0" collapsed="false">
      <c r="A2585" s="6" t="s">
        <v>5197</v>
      </c>
      <c r="B2585" s="6" t="s">
        <v>697</v>
      </c>
      <c r="C2585" s="6" t="s">
        <v>124</v>
      </c>
      <c r="D2585" s="13" t="n">
        <v>46036</v>
      </c>
      <c r="E2585" s="14" t="n">
        <v>3506.67</v>
      </c>
      <c r="F2585" s="14" t="n">
        <v>13649.21</v>
      </c>
      <c r="G2585" s="6" t="s">
        <v>2613</v>
      </c>
    </row>
    <row r="2586" customFormat="false" ht="15" hidden="false" customHeight="true" outlineLevel="0" collapsed="false">
      <c r="A2586" s="6" t="s">
        <v>5198</v>
      </c>
      <c r="B2586" s="6" t="s">
        <v>697</v>
      </c>
      <c r="C2586" s="6" t="s">
        <v>124</v>
      </c>
      <c r="D2586" s="13" t="n">
        <v>46043</v>
      </c>
      <c r="E2586" s="14" t="n">
        <v>4027.05</v>
      </c>
      <c r="F2586" s="14" t="n">
        <v>17676.26</v>
      </c>
      <c r="G2586" s="6" t="s">
        <v>2613</v>
      </c>
    </row>
    <row r="2587" customFormat="false" ht="15" hidden="false" customHeight="true" outlineLevel="0" collapsed="false">
      <c r="A2587" s="6" t="s">
        <v>5199</v>
      </c>
      <c r="B2587" s="6" t="s">
        <v>697</v>
      </c>
      <c r="C2587" s="6" t="s">
        <v>124</v>
      </c>
      <c r="D2587" s="13" t="n">
        <v>46050</v>
      </c>
      <c r="E2587" s="14" t="n">
        <v>3551.99</v>
      </c>
      <c r="F2587" s="14" t="n">
        <v>21228.25</v>
      </c>
      <c r="G2587" s="6" t="s">
        <v>2613</v>
      </c>
    </row>
    <row r="2588" customFormat="false" ht="15" hidden="false" customHeight="true" outlineLevel="0" collapsed="false">
      <c r="A2588" s="6" t="s">
        <v>5200</v>
      </c>
      <c r="B2588" s="6" t="s">
        <v>697</v>
      </c>
      <c r="C2588" s="6" t="s">
        <v>124</v>
      </c>
      <c r="D2588" s="13" t="n">
        <v>46057</v>
      </c>
      <c r="E2588" s="14" t="n">
        <v>3648.37</v>
      </c>
      <c r="F2588" s="14" t="n">
        <v>24876.62</v>
      </c>
      <c r="G2588" s="6" t="s">
        <v>2613</v>
      </c>
    </row>
    <row r="2589" customFormat="false" ht="15" hidden="false" customHeight="true" outlineLevel="0" collapsed="false">
      <c r="A2589" s="6" t="s">
        <v>5201</v>
      </c>
      <c r="B2589" s="6" t="s">
        <v>697</v>
      </c>
      <c r="C2589" s="6" t="s">
        <v>124</v>
      </c>
      <c r="D2589" s="13" t="n">
        <v>46064</v>
      </c>
      <c r="E2589" s="14" t="n">
        <v>3532.08</v>
      </c>
      <c r="F2589" s="14" t="n">
        <v>28408.7</v>
      </c>
      <c r="G2589" s="6" t="s">
        <v>2613</v>
      </c>
    </row>
    <row r="2590" customFormat="false" ht="15" hidden="false" customHeight="true" outlineLevel="0" collapsed="false">
      <c r="A2590" s="6" t="s">
        <v>5202</v>
      </c>
      <c r="B2590" s="6" t="s">
        <v>697</v>
      </c>
      <c r="C2590" s="6" t="s">
        <v>124</v>
      </c>
      <c r="D2590" s="13" t="n">
        <v>46071</v>
      </c>
      <c r="E2590" s="14" t="n">
        <v>3741.55</v>
      </c>
      <c r="F2590" s="14" t="n">
        <v>32150.25</v>
      </c>
      <c r="G2590" s="6" t="s">
        <v>2613</v>
      </c>
    </row>
    <row r="2591" customFormat="false" ht="15" hidden="false" customHeight="true" outlineLevel="0" collapsed="false">
      <c r="A2591" s="6" t="s">
        <v>5203</v>
      </c>
      <c r="B2591" s="6" t="s">
        <v>697</v>
      </c>
      <c r="C2591" s="6" t="s">
        <v>124</v>
      </c>
      <c r="D2591" s="13" t="n">
        <v>46078</v>
      </c>
      <c r="E2591" s="14" t="n">
        <v>2173.65</v>
      </c>
      <c r="F2591" s="14" t="n">
        <v>34323.9</v>
      </c>
      <c r="G2591" s="6" t="s">
        <v>2623</v>
      </c>
    </row>
    <row r="2592" customFormat="false" ht="15" hidden="false" customHeight="true" outlineLevel="0" collapsed="false">
      <c r="A2592" s="6" t="s">
        <v>5204</v>
      </c>
      <c r="B2592" s="6" t="s">
        <v>697</v>
      </c>
      <c r="C2592" s="6" t="s">
        <v>124</v>
      </c>
      <c r="D2592" s="13" t="n">
        <v>46085</v>
      </c>
      <c r="E2592" s="14" t="n">
        <v>2730.92</v>
      </c>
      <c r="F2592" s="14" t="n">
        <v>37054.82</v>
      </c>
      <c r="G2592" s="6" t="s">
        <v>2613</v>
      </c>
    </row>
    <row r="2593" customFormat="false" ht="15" hidden="false" customHeight="true" outlineLevel="0" collapsed="false">
      <c r="A2593" s="6" t="s">
        <v>5205</v>
      </c>
      <c r="B2593" s="6" t="s">
        <v>697</v>
      </c>
      <c r="C2593" s="6" t="s">
        <v>124</v>
      </c>
      <c r="D2593" s="13" t="n">
        <v>46092</v>
      </c>
      <c r="E2593" s="14" t="n">
        <v>2924.89</v>
      </c>
      <c r="F2593" s="14" t="n">
        <v>39979.71</v>
      </c>
      <c r="G2593" s="6" t="s">
        <v>2613</v>
      </c>
    </row>
    <row r="2594" customFormat="false" ht="15" hidden="false" customHeight="true" outlineLevel="0" collapsed="false">
      <c r="A2594" s="6" t="s">
        <v>5206</v>
      </c>
      <c r="B2594" s="6" t="s">
        <v>697</v>
      </c>
      <c r="C2594" s="6" t="s">
        <v>124</v>
      </c>
      <c r="D2594" s="13" t="n">
        <v>46099</v>
      </c>
      <c r="E2594" s="14" t="n">
        <v>2728.71</v>
      </c>
      <c r="F2594" s="14" t="n">
        <v>42708.42</v>
      </c>
      <c r="G2594" s="6" t="s">
        <v>2623</v>
      </c>
    </row>
    <row r="2595" customFormat="false" ht="15" hidden="false" customHeight="true" outlineLevel="0" collapsed="false">
      <c r="A2595" s="6" t="s">
        <v>5207</v>
      </c>
      <c r="B2595" s="6" t="s">
        <v>697</v>
      </c>
      <c r="C2595" s="6" t="s">
        <v>124</v>
      </c>
      <c r="D2595" s="13" t="n">
        <v>46106</v>
      </c>
      <c r="E2595" s="14" t="n">
        <v>3530.55</v>
      </c>
      <c r="F2595" s="14" t="n">
        <v>46238.97</v>
      </c>
      <c r="G2595" s="6" t="s">
        <v>2613</v>
      </c>
    </row>
    <row r="2596" customFormat="false" ht="15" hidden="false" customHeight="true" outlineLevel="0" collapsed="false">
      <c r="A2596" s="6" t="s">
        <v>5208</v>
      </c>
      <c r="B2596" s="6" t="s">
        <v>697</v>
      </c>
      <c r="C2596" s="6" t="s">
        <v>124</v>
      </c>
      <c r="D2596" s="13" t="n">
        <v>46113</v>
      </c>
      <c r="E2596" s="14" t="n">
        <v>3999.87</v>
      </c>
      <c r="F2596" s="14" t="n">
        <v>50238.84</v>
      </c>
      <c r="G2596" s="6" t="s">
        <v>2613</v>
      </c>
    </row>
    <row r="2597" customFormat="false" ht="15" hidden="false" customHeight="true" outlineLevel="0" collapsed="false">
      <c r="A2597" s="6" t="s">
        <v>5209</v>
      </c>
      <c r="B2597" s="6" t="s">
        <v>697</v>
      </c>
      <c r="C2597" s="6" t="s">
        <v>124</v>
      </c>
      <c r="D2597" s="13" t="n">
        <v>46120</v>
      </c>
      <c r="E2597" s="14" t="n">
        <v>564.52</v>
      </c>
      <c r="F2597" s="14" t="n">
        <v>50803.36</v>
      </c>
      <c r="G2597" s="6" t="s">
        <v>2623</v>
      </c>
    </row>
    <row r="2598" customFormat="false" ht="15" hidden="false" customHeight="true" outlineLevel="0" collapsed="false">
      <c r="A2598" s="6" t="s">
        <v>5210</v>
      </c>
      <c r="B2598" s="6" t="s">
        <v>699</v>
      </c>
      <c r="C2598" s="6" t="s">
        <v>120</v>
      </c>
      <c r="D2598" s="13" t="n">
        <v>46074</v>
      </c>
      <c r="E2598" s="14" t="n">
        <v>4967.63</v>
      </c>
      <c r="F2598" s="14" t="n">
        <v>4967.63</v>
      </c>
      <c r="G2598" s="6" t="s">
        <v>2613</v>
      </c>
    </row>
    <row r="2599" customFormat="false" ht="15" hidden="false" customHeight="true" outlineLevel="0" collapsed="false">
      <c r="A2599" s="6" t="s">
        <v>5211</v>
      </c>
      <c r="B2599" s="6" t="s">
        <v>699</v>
      </c>
      <c r="C2599" s="6" t="s">
        <v>120</v>
      </c>
      <c r="D2599" s="13" t="n">
        <v>46081</v>
      </c>
      <c r="E2599" s="14" t="n">
        <v>4749.14</v>
      </c>
      <c r="F2599" s="14" t="n">
        <v>9716.77</v>
      </c>
      <c r="G2599" s="6" t="s">
        <v>2613</v>
      </c>
    </row>
    <row r="2600" customFormat="false" ht="15" hidden="false" customHeight="true" outlineLevel="0" collapsed="false">
      <c r="A2600" s="6" t="s">
        <v>5212</v>
      </c>
      <c r="B2600" s="6" t="s">
        <v>699</v>
      </c>
      <c r="C2600" s="6" t="s">
        <v>120</v>
      </c>
      <c r="D2600" s="13" t="n">
        <v>46088</v>
      </c>
      <c r="E2600" s="14" t="n">
        <v>3484.32</v>
      </c>
      <c r="F2600" s="14" t="n">
        <v>13201.09</v>
      </c>
      <c r="G2600" s="6" t="s">
        <v>2613</v>
      </c>
    </row>
    <row r="2601" customFormat="false" ht="15" hidden="false" customHeight="true" outlineLevel="0" collapsed="false">
      <c r="A2601" s="6" t="s">
        <v>5213</v>
      </c>
      <c r="B2601" s="6" t="s">
        <v>699</v>
      </c>
      <c r="C2601" s="6" t="s">
        <v>120</v>
      </c>
      <c r="D2601" s="13" t="n">
        <v>46095</v>
      </c>
      <c r="E2601" s="14" t="n">
        <v>4421.13</v>
      </c>
      <c r="F2601" s="14" t="n">
        <v>17622.22</v>
      </c>
      <c r="G2601" s="6" t="s">
        <v>2613</v>
      </c>
    </row>
    <row r="2602" customFormat="false" ht="15" hidden="false" customHeight="true" outlineLevel="0" collapsed="false">
      <c r="A2602" s="6" t="s">
        <v>5214</v>
      </c>
      <c r="B2602" s="6" t="s">
        <v>699</v>
      </c>
      <c r="C2602" s="6" t="s">
        <v>120</v>
      </c>
      <c r="D2602" s="13" t="n">
        <v>46102</v>
      </c>
      <c r="E2602" s="14" t="n">
        <v>1708.39</v>
      </c>
      <c r="F2602" s="14" t="n">
        <v>19330.61</v>
      </c>
      <c r="G2602" s="6" t="s">
        <v>2623</v>
      </c>
    </row>
    <row r="2603" customFormat="false" ht="15" hidden="false" customHeight="true" outlineLevel="0" collapsed="false">
      <c r="A2603" s="6" t="s">
        <v>5215</v>
      </c>
      <c r="B2603" s="6" t="s">
        <v>701</v>
      </c>
      <c r="C2603" s="6" t="s">
        <v>120</v>
      </c>
      <c r="D2603" s="13" t="n">
        <v>44638</v>
      </c>
      <c r="E2603" s="14" t="n">
        <v>4122.53</v>
      </c>
      <c r="F2603" s="14" t="n">
        <v>4122.53</v>
      </c>
      <c r="G2603" s="6" t="s">
        <v>2613</v>
      </c>
    </row>
    <row r="2604" customFormat="false" ht="15" hidden="false" customHeight="true" outlineLevel="0" collapsed="false">
      <c r="A2604" s="6" t="s">
        <v>5216</v>
      </c>
      <c r="B2604" s="6" t="s">
        <v>701</v>
      </c>
      <c r="C2604" s="6" t="s">
        <v>120</v>
      </c>
      <c r="D2604" s="13" t="n">
        <v>44645</v>
      </c>
      <c r="E2604" s="14" t="n">
        <v>3612.63</v>
      </c>
      <c r="F2604" s="14" t="n">
        <v>7735.16</v>
      </c>
      <c r="G2604" s="6" t="s">
        <v>2613</v>
      </c>
    </row>
    <row r="2605" customFormat="false" ht="15" hidden="false" customHeight="true" outlineLevel="0" collapsed="false">
      <c r="A2605" s="6" t="s">
        <v>5217</v>
      </c>
      <c r="B2605" s="6" t="s">
        <v>701</v>
      </c>
      <c r="C2605" s="6" t="s">
        <v>120</v>
      </c>
      <c r="D2605" s="13" t="n">
        <v>44652</v>
      </c>
      <c r="E2605" s="14" t="n">
        <v>5975.52</v>
      </c>
      <c r="F2605" s="14" t="n">
        <v>13710.68</v>
      </c>
      <c r="G2605" s="6" t="s">
        <v>2613</v>
      </c>
    </row>
    <row r="2606" customFormat="false" ht="15" hidden="false" customHeight="true" outlineLevel="0" collapsed="false">
      <c r="A2606" s="6" t="s">
        <v>5218</v>
      </c>
      <c r="B2606" s="6" t="s">
        <v>701</v>
      </c>
      <c r="C2606" s="6" t="s">
        <v>120</v>
      </c>
      <c r="D2606" s="13" t="n">
        <v>44659</v>
      </c>
      <c r="E2606" s="14" t="n">
        <v>5563.87</v>
      </c>
      <c r="F2606" s="14" t="n">
        <v>19274.55</v>
      </c>
      <c r="G2606" s="6" t="s">
        <v>2623</v>
      </c>
    </row>
    <row r="2607" customFormat="false" ht="15" hidden="false" customHeight="true" outlineLevel="0" collapsed="false">
      <c r="A2607" s="6" t="s">
        <v>5219</v>
      </c>
      <c r="B2607" s="6" t="s">
        <v>701</v>
      </c>
      <c r="C2607" s="6" t="s">
        <v>120</v>
      </c>
      <c r="D2607" s="13" t="n">
        <v>44666</v>
      </c>
      <c r="E2607" s="14" t="n">
        <v>4752.98</v>
      </c>
      <c r="F2607" s="14" t="n">
        <v>24027.53</v>
      </c>
      <c r="G2607" s="6" t="s">
        <v>2613</v>
      </c>
    </row>
    <row r="2608" customFormat="false" ht="15" hidden="false" customHeight="true" outlineLevel="0" collapsed="false">
      <c r="A2608" s="6" t="s">
        <v>5220</v>
      </c>
      <c r="B2608" s="6" t="s">
        <v>701</v>
      </c>
      <c r="C2608" s="6" t="s">
        <v>120</v>
      </c>
      <c r="D2608" s="13" t="n">
        <v>44673</v>
      </c>
      <c r="E2608" s="14" t="n">
        <v>4433.52</v>
      </c>
      <c r="F2608" s="14" t="n">
        <v>28461.05</v>
      </c>
      <c r="G2608" s="6" t="s">
        <v>2613</v>
      </c>
    </row>
    <row r="2609" customFormat="false" ht="15" hidden="false" customHeight="true" outlineLevel="0" collapsed="false">
      <c r="A2609" s="6" t="s">
        <v>5221</v>
      </c>
      <c r="B2609" s="6" t="s">
        <v>701</v>
      </c>
      <c r="C2609" s="6" t="s">
        <v>120</v>
      </c>
      <c r="D2609" s="13" t="n">
        <v>44680</v>
      </c>
      <c r="E2609" s="14" t="n">
        <v>4680.31</v>
      </c>
      <c r="F2609" s="14" t="n">
        <v>33141.36</v>
      </c>
      <c r="G2609" s="6" t="s">
        <v>2623</v>
      </c>
    </row>
    <row r="2610" customFormat="false" ht="15" hidden="false" customHeight="true" outlineLevel="0" collapsed="false">
      <c r="A2610" s="6" t="s">
        <v>5222</v>
      </c>
      <c r="B2610" s="6" t="s">
        <v>701</v>
      </c>
      <c r="C2610" s="6" t="s">
        <v>120</v>
      </c>
      <c r="D2610" s="13" t="n">
        <v>44687</v>
      </c>
      <c r="E2610" s="14" t="n">
        <v>3393.88</v>
      </c>
      <c r="F2610" s="14" t="n">
        <v>36535.24</v>
      </c>
      <c r="G2610" s="6" t="s">
        <v>2613</v>
      </c>
    </row>
    <row r="2611" customFormat="false" ht="15" hidden="false" customHeight="true" outlineLevel="0" collapsed="false">
      <c r="A2611" s="6" t="s">
        <v>5223</v>
      </c>
      <c r="B2611" s="6" t="s">
        <v>701</v>
      </c>
      <c r="C2611" s="6" t="s">
        <v>120</v>
      </c>
      <c r="D2611" s="13" t="n">
        <v>44694</v>
      </c>
      <c r="E2611" s="14" t="n">
        <v>5449.02</v>
      </c>
      <c r="F2611" s="14" t="n">
        <v>41984.26</v>
      </c>
      <c r="G2611" s="6" t="s">
        <v>2613</v>
      </c>
    </row>
    <row r="2612" customFormat="false" ht="15" hidden="false" customHeight="true" outlineLevel="0" collapsed="false">
      <c r="A2612" s="6" t="s">
        <v>5224</v>
      </c>
      <c r="B2612" s="6" t="s">
        <v>701</v>
      </c>
      <c r="C2612" s="6" t="s">
        <v>120</v>
      </c>
      <c r="D2612" s="13" t="n">
        <v>44701</v>
      </c>
      <c r="E2612" s="14" t="n">
        <v>3818.03</v>
      </c>
      <c r="F2612" s="14" t="n">
        <v>45802.29</v>
      </c>
      <c r="G2612" s="6" t="s">
        <v>2613</v>
      </c>
    </row>
    <row r="2613" customFormat="false" ht="15" hidden="false" customHeight="true" outlineLevel="0" collapsed="false">
      <c r="A2613" s="6" t="s">
        <v>5225</v>
      </c>
      <c r="B2613" s="6" t="s">
        <v>701</v>
      </c>
      <c r="C2613" s="6" t="s">
        <v>120</v>
      </c>
      <c r="D2613" s="13" t="n">
        <v>44708</v>
      </c>
      <c r="E2613" s="14" t="n">
        <v>6803.79</v>
      </c>
      <c r="F2613" s="14" t="n">
        <v>52606.08</v>
      </c>
      <c r="G2613" s="6" t="s">
        <v>2613</v>
      </c>
    </row>
    <row r="2614" customFormat="false" ht="15" hidden="false" customHeight="true" outlineLevel="0" collapsed="false">
      <c r="A2614" s="6" t="s">
        <v>5226</v>
      </c>
      <c r="B2614" s="6" t="s">
        <v>701</v>
      </c>
      <c r="C2614" s="6" t="s">
        <v>120</v>
      </c>
      <c r="D2614" s="13" t="n">
        <v>44715</v>
      </c>
      <c r="E2614" s="14" t="n">
        <v>5653.9</v>
      </c>
      <c r="F2614" s="14" t="n">
        <v>58259.98</v>
      </c>
      <c r="G2614" s="6" t="s">
        <v>2623</v>
      </c>
    </row>
    <row r="2615" customFormat="false" ht="15" hidden="false" customHeight="true" outlineLevel="0" collapsed="false">
      <c r="A2615" s="6" t="s">
        <v>5227</v>
      </c>
      <c r="B2615" s="6" t="s">
        <v>701</v>
      </c>
      <c r="C2615" s="6" t="s">
        <v>120</v>
      </c>
      <c r="D2615" s="13" t="n">
        <v>44722</v>
      </c>
      <c r="E2615" s="14" t="n">
        <v>5258.97</v>
      </c>
      <c r="F2615" s="14" t="n">
        <v>63518.95</v>
      </c>
      <c r="G2615" s="6" t="s">
        <v>2613</v>
      </c>
    </row>
    <row r="2616" customFormat="false" ht="15" hidden="false" customHeight="true" outlineLevel="0" collapsed="false">
      <c r="A2616" s="6" t="s">
        <v>5228</v>
      </c>
      <c r="B2616" s="6" t="s">
        <v>701</v>
      </c>
      <c r="C2616" s="6" t="s">
        <v>120</v>
      </c>
      <c r="D2616" s="13" t="n">
        <v>44729</v>
      </c>
      <c r="E2616" s="14" t="n">
        <v>6853.15</v>
      </c>
      <c r="F2616" s="14" t="n">
        <v>70372.1</v>
      </c>
      <c r="G2616" s="6" t="s">
        <v>2613</v>
      </c>
    </row>
    <row r="2617" customFormat="false" ht="15" hidden="false" customHeight="true" outlineLevel="0" collapsed="false">
      <c r="A2617" s="6" t="s">
        <v>5229</v>
      </c>
      <c r="B2617" s="6" t="s">
        <v>701</v>
      </c>
      <c r="C2617" s="6" t="s">
        <v>120</v>
      </c>
      <c r="D2617" s="13" t="n">
        <v>44736</v>
      </c>
      <c r="E2617" s="14" t="n">
        <v>4105.59</v>
      </c>
      <c r="F2617" s="14" t="n">
        <v>74477.69</v>
      </c>
      <c r="G2617" s="6" t="s">
        <v>2613</v>
      </c>
    </row>
    <row r="2618" customFormat="false" ht="15" hidden="false" customHeight="true" outlineLevel="0" collapsed="false">
      <c r="A2618" s="6" t="s">
        <v>5230</v>
      </c>
      <c r="B2618" s="6" t="s">
        <v>701</v>
      </c>
      <c r="C2618" s="6" t="s">
        <v>120</v>
      </c>
      <c r="D2618" s="13" t="n">
        <v>44743</v>
      </c>
      <c r="E2618" s="14" t="n">
        <v>4210.8</v>
      </c>
      <c r="F2618" s="14" t="n">
        <v>78688.49</v>
      </c>
      <c r="G2618" s="6" t="s">
        <v>2613</v>
      </c>
    </row>
    <row r="2619" customFormat="false" ht="15" hidden="false" customHeight="true" outlineLevel="0" collapsed="false">
      <c r="A2619" s="6" t="s">
        <v>5231</v>
      </c>
      <c r="B2619" s="6" t="s">
        <v>701</v>
      </c>
      <c r="C2619" s="6" t="s">
        <v>120</v>
      </c>
      <c r="D2619" s="13" t="n">
        <v>44750</v>
      </c>
      <c r="E2619" s="14" t="n">
        <v>6313.72</v>
      </c>
      <c r="F2619" s="14" t="n">
        <v>85002.21</v>
      </c>
      <c r="G2619" s="6" t="s">
        <v>2613</v>
      </c>
    </row>
    <row r="2620" customFormat="false" ht="15" hidden="false" customHeight="true" outlineLevel="0" collapsed="false">
      <c r="A2620" s="6" t="s">
        <v>5232</v>
      </c>
      <c r="B2620" s="6" t="s">
        <v>701</v>
      </c>
      <c r="C2620" s="6" t="s">
        <v>120</v>
      </c>
      <c r="D2620" s="13" t="n">
        <v>44757</v>
      </c>
      <c r="E2620" s="14" t="n">
        <v>3112.05</v>
      </c>
      <c r="F2620" s="14" t="n">
        <v>88114.26</v>
      </c>
      <c r="G2620" s="6" t="s">
        <v>2613</v>
      </c>
    </row>
    <row r="2621" customFormat="false" ht="15" hidden="false" customHeight="true" outlineLevel="0" collapsed="false">
      <c r="A2621" s="6" t="s">
        <v>5233</v>
      </c>
      <c r="B2621" s="6" t="s">
        <v>703</v>
      </c>
      <c r="C2621" s="6" t="s">
        <v>131</v>
      </c>
      <c r="D2621" s="13" t="n">
        <v>45903</v>
      </c>
      <c r="E2621" s="14" t="n">
        <v>3896.97</v>
      </c>
      <c r="F2621" s="14" t="n">
        <v>3896.97</v>
      </c>
      <c r="G2621" s="6" t="s">
        <v>2613</v>
      </c>
    </row>
    <row r="2622" customFormat="false" ht="15" hidden="false" customHeight="true" outlineLevel="0" collapsed="false">
      <c r="A2622" s="6" t="s">
        <v>5234</v>
      </c>
      <c r="B2622" s="6" t="s">
        <v>703</v>
      </c>
      <c r="C2622" s="6" t="s">
        <v>131</v>
      </c>
      <c r="D2622" s="13" t="n">
        <v>45910</v>
      </c>
      <c r="E2622" s="14" t="n">
        <v>2113.89</v>
      </c>
      <c r="F2622" s="14" t="n">
        <v>6010.86</v>
      </c>
      <c r="G2622" s="6" t="s">
        <v>2613</v>
      </c>
    </row>
    <row r="2623" customFormat="false" ht="15" hidden="false" customHeight="true" outlineLevel="0" collapsed="false">
      <c r="A2623" s="6" t="s">
        <v>5235</v>
      </c>
      <c r="B2623" s="6" t="s">
        <v>703</v>
      </c>
      <c r="C2623" s="6" t="s">
        <v>131</v>
      </c>
      <c r="D2623" s="13" t="n">
        <v>45917</v>
      </c>
      <c r="E2623" s="14" t="n">
        <v>2112.24</v>
      </c>
      <c r="F2623" s="14" t="n">
        <v>8123.1</v>
      </c>
      <c r="G2623" s="6" t="s">
        <v>2613</v>
      </c>
    </row>
    <row r="2624" customFormat="false" ht="15" hidden="false" customHeight="true" outlineLevel="0" collapsed="false">
      <c r="A2624" s="6" t="s">
        <v>5236</v>
      </c>
      <c r="B2624" s="6" t="s">
        <v>703</v>
      </c>
      <c r="C2624" s="6" t="s">
        <v>131</v>
      </c>
      <c r="D2624" s="13" t="n">
        <v>45924</v>
      </c>
      <c r="E2624" s="14" t="n">
        <v>3521.81</v>
      </c>
      <c r="F2624" s="14" t="n">
        <v>11644.91</v>
      </c>
      <c r="G2624" s="6" t="s">
        <v>2613</v>
      </c>
    </row>
    <row r="2625" customFormat="false" ht="15" hidden="false" customHeight="true" outlineLevel="0" collapsed="false">
      <c r="A2625" s="6" t="s">
        <v>5237</v>
      </c>
      <c r="B2625" s="6" t="s">
        <v>703</v>
      </c>
      <c r="C2625" s="6" t="s">
        <v>131</v>
      </c>
      <c r="D2625" s="13" t="n">
        <v>45931</v>
      </c>
      <c r="E2625" s="14" t="n">
        <v>1996.13</v>
      </c>
      <c r="F2625" s="14" t="n">
        <v>13641.04</v>
      </c>
      <c r="G2625" s="6" t="s">
        <v>2613</v>
      </c>
    </row>
    <row r="2626" customFormat="false" ht="15" hidden="false" customHeight="true" outlineLevel="0" collapsed="false">
      <c r="A2626" s="6" t="s">
        <v>5238</v>
      </c>
      <c r="B2626" s="6" t="s">
        <v>703</v>
      </c>
      <c r="C2626" s="6" t="s">
        <v>131</v>
      </c>
      <c r="D2626" s="13" t="n">
        <v>45938</v>
      </c>
      <c r="E2626" s="14" t="n">
        <v>2069.71</v>
      </c>
      <c r="F2626" s="14" t="n">
        <v>15710.75</v>
      </c>
      <c r="G2626" s="6" t="s">
        <v>2613</v>
      </c>
    </row>
    <row r="2627" customFormat="false" ht="15" hidden="false" customHeight="true" outlineLevel="0" collapsed="false">
      <c r="A2627" s="6" t="s">
        <v>5239</v>
      </c>
      <c r="B2627" s="6" t="s">
        <v>703</v>
      </c>
      <c r="C2627" s="6" t="s">
        <v>131</v>
      </c>
      <c r="D2627" s="13" t="n">
        <v>45945</v>
      </c>
      <c r="E2627" s="14" t="n">
        <v>3637.5</v>
      </c>
      <c r="F2627" s="14" t="n">
        <v>19348.25</v>
      </c>
      <c r="G2627" s="6" t="s">
        <v>2623</v>
      </c>
    </row>
    <row r="2628" customFormat="false" ht="15" hidden="false" customHeight="true" outlineLevel="0" collapsed="false">
      <c r="A2628" s="6" t="s">
        <v>5240</v>
      </c>
      <c r="B2628" s="6" t="s">
        <v>703</v>
      </c>
      <c r="C2628" s="6" t="s">
        <v>131</v>
      </c>
      <c r="D2628" s="13" t="n">
        <v>45952</v>
      </c>
      <c r="E2628" s="14" t="n">
        <v>3365.56</v>
      </c>
      <c r="F2628" s="14" t="n">
        <v>22713.81</v>
      </c>
      <c r="G2628" s="6" t="s">
        <v>2613</v>
      </c>
    </row>
    <row r="2629" customFormat="false" ht="15" hidden="false" customHeight="true" outlineLevel="0" collapsed="false">
      <c r="A2629" s="6" t="s">
        <v>5241</v>
      </c>
      <c r="B2629" s="6" t="s">
        <v>705</v>
      </c>
      <c r="C2629" s="6" t="s">
        <v>128</v>
      </c>
      <c r="D2629" s="13" t="n">
        <v>45169</v>
      </c>
      <c r="E2629" s="14" t="n">
        <v>6991.93</v>
      </c>
      <c r="F2629" s="14" t="n">
        <v>6991.93</v>
      </c>
      <c r="G2629" s="6" t="s">
        <v>2613</v>
      </c>
    </row>
    <row r="2630" customFormat="false" ht="15" hidden="false" customHeight="true" outlineLevel="0" collapsed="false">
      <c r="A2630" s="6" t="s">
        <v>5242</v>
      </c>
      <c r="B2630" s="6" t="s">
        <v>705</v>
      </c>
      <c r="C2630" s="6" t="s">
        <v>128</v>
      </c>
      <c r="D2630" s="13" t="n">
        <v>45176</v>
      </c>
      <c r="E2630" s="14" t="n">
        <v>6705.28</v>
      </c>
      <c r="F2630" s="14" t="n">
        <v>13697.21</v>
      </c>
      <c r="G2630" s="6" t="s">
        <v>2613</v>
      </c>
    </row>
    <row r="2631" customFormat="false" ht="15" hidden="false" customHeight="true" outlineLevel="0" collapsed="false">
      <c r="A2631" s="6" t="s">
        <v>5243</v>
      </c>
      <c r="B2631" s="6" t="s">
        <v>705</v>
      </c>
      <c r="C2631" s="6" t="s">
        <v>128</v>
      </c>
      <c r="D2631" s="13" t="n">
        <v>45183</v>
      </c>
      <c r="E2631" s="14" t="n">
        <v>5806.71</v>
      </c>
      <c r="F2631" s="14" t="n">
        <v>19503.92</v>
      </c>
      <c r="G2631" s="6" t="s">
        <v>2613</v>
      </c>
    </row>
    <row r="2632" customFormat="false" ht="15" hidden="false" customHeight="true" outlineLevel="0" collapsed="false">
      <c r="A2632" s="6" t="s">
        <v>5244</v>
      </c>
      <c r="B2632" s="6" t="s">
        <v>705</v>
      </c>
      <c r="C2632" s="6" t="s">
        <v>128</v>
      </c>
      <c r="D2632" s="13" t="n">
        <v>45190</v>
      </c>
      <c r="E2632" s="14" t="n">
        <v>5057.09</v>
      </c>
      <c r="F2632" s="14" t="n">
        <v>24561.01</v>
      </c>
      <c r="G2632" s="6" t="s">
        <v>2623</v>
      </c>
    </row>
    <row r="2633" customFormat="false" ht="15" hidden="false" customHeight="true" outlineLevel="0" collapsed="false">
      <c r="A2633" s="6" t="s">
        <v>5245</v>
      </c>
      <c r="B2633" s="6" t="s">
        <v>705</v>
      </c>
      <c r="C2633" s="6" t="s">
        <v>128</v>
      </c>
      <c r="D2633" s="13" t="n">
        <v>45197</v>
      </c>
      <c r="E2633" s="14" t="n">
        <v>8270.59</v>
      </c>
      <c r="F2633" s="14" t="n">
        <v>32831.6</v>
      </c>
      <c r="G2633" s="6" t="s">
        <v>2613</v>
      </c>
    </row>
    <row r="2634" customFormat="false" ht="15" hidden="false" customHeight="true" outlineLevel="0" collapsed="false">
      <c r="A2634" s="6" t="s">
        <v>5246</v>
      </c>
      <c r="B2634" s="6" t="s">
        <v>705</v>
      </c>
      <c r="C2634" s="6" t="s">
        <v>128</v>
      </c>
      <c r="D2634" s="13" t="n">
        <v>45204</v>
      </c>
      <c r="E2634" s="14" t="n">
        <v>6683.56</v>
      </c>
      <c r="F2634" s="14" t="n">
        <v>39515.16</v>
      </c>
      <c r="G2634" s="6" t="s">
        <v>2613</v>
      </c>
    </row>
    <row r="2635" customFormat="false" ht="15" hidden="false" customHeight="true" outlineLevel="0" collapsed="false">
      <c r="A2635" s="6" t="s">
        <v>5247</v>
      </c>
      <c r="B2635" s="6" t="s">
        <v>707</v>
      </c>
      <c r="C2635" s="6" t="s">
        <v>120</v>
      </c>
      <c r="D2635" s="13" t="n">
        <v>45899</v>
      </c>
      <c r="E2635" s="14" t="n">
        <v>1687.15</v>
      </c>
      <c r="F2635" s="14" t="n">
        <v>1687.15</v>
      </c>
      <c r="G2635" s="6" t="s">
        <v>2613</v>
      </c>
    </row>
    <row r="2636" customFormat="false" ht="15" hidden="false" customHeight="true" outlineLevel="0" collapsed="false">
      <c r="A2636" s="6" t="s">
        <v>5248</v>
      </c>
      <c r="B2636" s="6" t="s">
        <v>707</v>
      </c>
      <c r="C2636" s="6" t="s">
        <v>120</v>
      </c>
      <c r="D2636" s="13" t="n">
        <v>45906</v>
      </c>
      <c r="E2636" s="14" t="n">
        <v>2379.8</v>
      </c>
      <c r="F2636" s="14" t="n">
        <v>4066.95</v>
      </c>
      <c r="G2636" s="6" t="s">
        <v>2613</v>
      </c>
    </row>
    <row r="2637" customFormat="false" ht="15" hidden="false" customHeight="true" outlineLevel="0" collapsed="false">
      <c r="A2637" s="6" t="s">
        <v>5249</v>
      </c>
      <c r="B2637" s="6" t="s">
        <v>707</v>
      </c>
      <c r="C2637" s="6" t="s">
        <v>120</v>
      </c>
      <c r="D2637" s="13" t="n">
        <v>45913</v>
      </c>
      <c r="E2637" s="14" t="n">
        <v>2603.66</v>
      </c>
      <c r="F2637" s="14" t="n">
        <v>6670.61</v>
      </c>
      <c r="G2637" s="6" t="s">
        <v>2623</v>
      </c>
    </row>
    <row r="2638" customFormat="false" ht="15" hidden="false" customHeight="true" outlineLevel="0" collapsed="false">
      <c r="A2638" s="6" t="s">
        <v>5250</v>
      </c>
      <c r="B2638" s="6" t="s">
        <v>707</v>
      </c>
      <c r="C2638" s="6" t="s">
        <v>120</v>
      </c>
      <c r="D2638" s="13" t="n">
        <v>45920</v>
      </c>
      <c r="E2638" s="14" t="n">
        <v>3002.08</v>
      </c>
      <c r="F2638" s="14" t="n">
        <v>9672.69</v>
      </c>
      <c r="G2638" s="6" t="s">
        <v>2613</v>
      </c>
    </row>
    <row r="2639" customFormat="false" ht="15" hidden="false" customHeight="true" outlineLevel="0" collapsed="false">
      <c r="A2639" s="6" t="s">
        <v>5251</v>
      </c>
      <c r="B2639" s="6" t="s">
        <v>707</v>
      </c>
      <c r="C2639" s="6" t="s">
        <v>120</v>
      </c>
      <c r="D2639" s="13" t="n">
        <v>45927</v>
      </c>
      <c r="E2639" s="14" t="n">
        <v>2929.44</v>
      </c>
      <c r="F2639" s="14" t="n">
        <v>12602.13</v>
      </c>
      <c r="G2639" s="6" t="s">
        <v>2613</v>
      </c>
    </row>
    <row r="2640" customFormat="false" ht="15" hidden="false" customHeight="true" outlineLevel="0" collapsed="false">
      <c r="A2640" s="6" t="s">
        <v>5252</v>
      </c>
      <c r="B2640" s="6" t="s">
        <v>707</v>
      </c>
      <c r="C2640" s="6" t="s">
        <v>120</v>
      </c>
      <c r="D2640" s="13" t="n">
        <v>45934</v>
      </c>
      <c r="E2640" s="14" t="n">
        <v>2272.08</v>
      </c>
      <c r="F2640" s="14" t="n">
        <v>14874.21</v>
      </c>
      <c r="G2640" s="6" t="s">
        <v>2613</v>
      </c>
    </row>
    <row r="2641" customFormat="false" ht="15" hidden="false" customHeight="true" outlineLevel="0" collapsed="false">
      <c r="A2641" s="6" t="s">
        <v>5253</v>
      </c>
      <c r="B2641" s="6" t="s">
        <v>707</v>
      </c>
      <c r="C2641" s="6" t="s">
        <v>120</v>
      </c>
      <c r="D2641" s="13" t="n">
        <v>45941</v>
      </c>
      <c r="E2641" s="14" t="n">
        <v>3179.92</v>
      </c>
      <c r="F2641" s="14" t="n">
        <v>18054.13</v>
      </c>
      <c r="G2641" s="6" t="s">
        <v>2613</v>
      </c>
    </row>
    <row r="2642" customFormat="false" ht="15" hidden="false" customHeight="true" outlineLevel="0" collapsed="false">
      <c r="A2642" s="6" t="s">
        <v>5254</v>
      </c>
      <c r="B2642" s="6" t="s">
        <v>707</v>
      </c>
      <c r="C2642" s="6" t="s">
        <v>120</v>
      </c>
      <c r="D2642" s="13" t="n">
        <v>45948</v>
      </c>
      <c r="E2642" s="14" t="n">
        <v>2368.35</v>
      </c>
      <c r="F2642" s="14" t="n">
        <v>20422.48</v>
      </c>
      <c r="G2642" s="6" t="s">
        <v>2613</v>
      </c>
    </row>
    <row r="2643" customFormat="false" ht="15" hidden="false" customHeight="true" outlineLevel="0" collapsed="false">
      <c r="A2643" s="6" t="s">
        <v>5255</v>
      </c>
      <c r="B2643" s="6" t="s">
        <v>707</v>
      </c>
      <c r="C2643" s="6" t="s">
        <v>120</v>
      </c>
      <c r="D2643" s="13" t="n">
        <v>45955</v>
      </c>
      <c r="E2643" s="14" t="n">
        <v>3528.06</v>
      </c>
      <c r="F2643" s="14" t="n">
        <v>23950.54</v>
      </c>
      <c r="G2643" s="6" t="s">
        <v>2613</v>
      </c>
    </row>
    <row r="2644" customFormat="false" ht="15" hidden="false" customHeight="true" outlineLevel="0" collapsed="false">
      <c r="A2644" s="6" t="s">
        <v>5256</v>
      </c>
      <c r="B2644" s="6" t="s">
        <v>707</v>
      </c>
      <c r="C2644" s="6" t="s">
        <v>120</v>
      </c>
      <c r="D2644" s="13" t="n">
        <v>45962</v>
      </c>
      <c r="E2644" s="14" t="n">
        <v>1571.04</v>
      </c>
      <c r="F2644" s="14" t="n">
        <v>25521.58</v>
      </c>
      <c r="G2644" s="6" t="s">
        <v>2613</v>
      </c>
    </row>
    <row r="2645" customFormat="false" ht="15" hidden="false" customHeight="true" outlineLevel="0" collapsed="false">
      <c r="A2645" s="6" t="s">
        <v>5257</v>
      </c>
      <c r="B2645" s="6" t="s">
        <v>707</v>
      </c>
      <c r="C2645" s="6" t="s">
        <v>120</v>
      </c>
      <c r="D2645" s="13" t="n">
        <v>45969</v>
      </c>
      <c r="E2645" s="14" t="n">
        <v>1675.55</v>
      </c>
      <c r="F2645" s="14" t="n">
        <v>27197.13</v>
      </c>
      <c r="G2645" s="6" t="s">
        <v>2613</v>
      </c>
    </row>
    <row r="2646" customFormat="false" ht="15" hidden="false" customHeight="true" outlineLevel="0" collapsed="false">
      <c r="A2646" s="6" t="s">
        <v>5258</v>
      </c>
      <c r="B2646" s="6" t="s">
        <v>707</v>
      </c>
      <c r="C2646" s="6" t="s">
        <v>120</v>
      </c>
      <c r="D2646" s="13" t="n">
        <v>45976</v>
      </c>
      <c r="E2646" s="14" t="n">
        <v>1741.28</v>
      </c>
      <c r="F2646" s="14" t="n">
        <v>28938.41</v>
      </c>
      <c r="G2646" s="6" t="s">
        <v>2613</v>
      </c>
    </row>
    <row r="2647" customFormat="false" ht="15" hidden="false" customHeight="true" outlineLevel="0" collapsed="false">
      <c r="A2647" s="6" t="s">
        <v>5259</v>
      </c>
      <c r="B2647" s="6" t="s">
        <v>707</v>
      </c>
      <c r="C2647" s="6" t="s">
        <v>120</v>
      </c>
      <c r="D2647" s="13" t="n">
        <v>45983</v>
      </c>
      <c r="E2647" s="14" t="n">
        <v>1652.13</v>
      </c>
      <c r="F2647" s="14" t="n">
        <v>30590.54</v>
      </c>
      <c r="G2647" s="6" t="s">
        <v>2613</v>
      </c>
    </row>
    <row r="2648" customFormat="false" ht="15" hidden="false" customHeight="true" outlineLevel="0" collapsed="false">
      <c r="A2648" s="6" t="s">
        <v>5260</v>
      </c>
      <c r="B2648" s="6" t="s">
        <v>707</v>
      </c>
      <c r="C2648" s="6" t="s">
        <v>120</v>
      </c>
      <c r="D2648" s="13" t="n">
        <v>45990</v>
      </c>
      <c r="E2648" s="14" t="n">
        <v>2253.2</v>
      </c>
      <c r="F2648" s="14" t="n">
        <v>32843.74</v>
      </c>
      <c r="G2648" s="6" t="s">
        <v>2613</v>
      </c>
    </row>
    <row r="2649" customFormat="false" ht="15" hidden="false" customHeight="true" outlineLevel="0" collapsed="false">
      <c r="A2649" s="6" t="s">
        <v>5261</v>
      </c>
      <c r="B2649" s="6" t="s">
        <v>707</v>
      </c>
      <c r="C2649" s="6" t="s">
        <v>120</v>
      </c>
      <c r="D2649" s="13" t="n">
        <v>45997</v>
      </c>
      <c r="E2649" s="14" t="n">
        <v>2071.85</v>
      </c>
      <c r="F2649" s="14" t="n">
        <v>34915.59</v>
      </c>
      <c r="G2649" s="6" t="s">
        <v>2613</v>
      </c>
    </row>
    <row r="2650" customFormat="false" ht="15" hidden="false" customHeight="true" outlineLevel="0" collapsed="false">
      <c r="A2650" s="6" t="s">
        <v>5262</v>
      </c>
      <c r="B2650" s="6" t="s">
        <v>707</v>
      </c>
      <c r="C2650" s="6" t="s">
        <v>120</v>
      </c>
      <c r="D2650" s="13" t="n">
        <v>46004</v>
      </c>
      <c r="E2650" s="14" t="n">
        <v>1975.7</v>
      </c>
      <c r="F2650" s="14" t="n">
        <v>36891.29</v>
      </c>
      <c r="G2650" s="6" t="s">
        <v>2623</v>
      </c>
    </row>
    <row r="2651" customFormat="false" ht="15" hidden="false" customHeight="true" outlineLevel="0" collapsed="false">
      <c r="A2651" s="6" t="s">
        <v>5263</v>
      </c>
      <c r="B2651" s="6" t="s">
        <v>707</v>
      </c>
      <c r="C2651" s="6" t="s">
        <v>120</v>
      </c>
      <c r="D2651" s="13" t="n">
        <v>46011</v>
      </c>
      <c r="E2651" s="14" t="n">
        <v>2282.23</v>
      </c>
      <c r="F2651" s="14" t="n">
        <v>39173.52</v>
      </c>
      <c r="G2651" s="6" t="s">
        <v>2613</v>
      </c>
    </row>
    <row r="2652" customFormat="false" ht="15" hidden="false" customHeight="true" outlineLevel="0" collapsed="false">
      <c r="A2652" s="6" t="s">
        <v>5264</v>
      </c>
      <c r="B2652" s="6" t="s">
        <v>707</v>
      </c>
      <c r="C2652" s="6" t="s">
        <v>120</v>
      </c>
      <c r="D2652" s="13" t="n">
        <v>46018</v>
      </c>
      <c r="E2652" s="14" t="n">
        <v>2285.22</v>
      </c>
      <c r="F2652" s="14" t="n">
        <v>41458.74</v>
      </c>
      <c r="G2652" s="6" t="s">
        <v>2613</v>
      </c>
    </row>
    <row r="2653" customFormat="false" ht="15" hidden="false" customHeight="true" outlineLevel="0" collapsed="false">
      <c r="A2653" s="6" t="s">
        <v>5265</v>
      </c>
      <c r="B2653" s="6" t="s">
        <v>707</v>
      </c>
      <c r="C2653" s="6" t="s">
        <v>120</v>
      </c>
      <c r="D2653" s="13" t="n">
        <v>46025</v>
      </c>
      <c r="E2653" s="14" t="n">
        <v>6629.55</v>
      </c>
      <c r="F2653" s="14" t="n">
        <v>48088.29</v>
      </c>
      <c r="G2653" s="6" t="s">
        <v>2613</v>
      </c>
    </row>
    <row r="2654" customFormat="false" ht="15" hidden="false" customHeight="true" outlineLevel="0" collapsed="false">
      <c r="A2654" s="6" t="s">
        <v>5266</v>
      </c>
      <c r="B2654" s="6" t="s">
        <v>709</v>
      </c>
      <c r="C2654" s="6" t="s">
        <v>116</v>
      </c>
      <c r="D2654" s="13" t="n">
        <v>44667</v>
      </c>
      <c r="E2654" s="14" t="n">
        <v>4167.81</v>
      </c>
      <c r="F2654" s="14" t="n">
        <v>4167.81</v>
      </c>
      <c r="G2654" s="6" t="s">
        <v>2613</v>
      </c>
    </row>
    <row r="2655" customFormat="false" ht="15" hidden="false" customHeight="true" outlineLevel="0" collapsed="false">
      <c r="A2655" s="6" t="s">
        <v>5267</v>
      </c>
      <c r="B2655" s="6" t="s">
        <v>709</v>
      </c>
      <c r="C2655" s="6" t="s">
        <v>116</v>
      </c>
      <c r="D2655" s="13" t="n">
        <v>44674</v>
      </c>
      <c r="E2655" s="14" t="n">
        <v>5454.24</v>
      </c>
      <c r="F2655" s="14" t="n">
        <v>9622.05</v>
      </c>
      <c r="G2655" s="6" t="s">
        <v>2613</v>
      </c>
    </row>
    <row r="2656" customFormat="false" ht="15" hidden="false" customHeight="true" outlineLevel="0" collapsed="false">
      <c r="A2656" s="6" t="s">
        <v>5268</v>
      </c>
      <c r="B2656" s="6" t="s">
        <v>709</v>
      </c>
      <c r="C2656" s="6" t="s">
        <v>116</v>
      </c>
      <c r="D2656" s="13" t="n">
        <v>44681</v>
      </c>
      <c r="E2656" s="14" t="n">
        <v>4687.6</v>
      </c>
      <c r="F2656" s="14" t="n">
        <v>14309.65</v>
      </c>
      <c r="G2656" s="6" t="s">
        <v>2613</v>
      </c>
    </row>
    <row r="2657" customFormat="false" ht="15" hidden="false" customHeight="true" outlineLevel="0" collapsed="false">
      <c r="A2657" s="6" t="s">
        <v>5269</v>
      </c>
      <c r="B2657" s="6" t="s">
        <v>709</v>
      </c>
      <c r="C2657" s="6" t="s">
        <v>116</v>
      </c>
      <c r="D2657" s="13" t="n">
        <v>44688</v>
      </c>
      <c r="E2657" s="14" t="n">
        <v>5850.45</v>
      </c>
      <c r="F2657" s="14" t="n">
        <v>20160.1</v>
      </c>
      <c r="G2657" s="6" t="s">
        <v>2613</v>
      </c>
    </row>
    <row r="2658" customFormat="false" ht="15" hidden="false" customHeight="true" outlineLevel="0" collapsed="false">
      <c r="A2658" s="6" t="s">
        <v>5270</v>
      </c>
      <c r="B2658" s="6" t="s">
        <v>709</v>
      </c>
      <c r="C2658" s="6" t="s">
        <v>116</v>
      </c>
      <c r="D2658" s="13" t="n">
        <v>44695</v>
      </c>
      <c r="E2658" s="14" t="n">
        <v>3209.61</v>
      </c>
      <c r="F2658" s="14" t="n">
        <v>23369.71</v>
      </c>
      <c r="G2658" s="6" t="s">
        <v>2623</v>
      </c>
    </row>
    <row r="2659" customFormat="false" ht="15" hidden="false" customHeight="true" outlineLevel="0" collapsed="false">
      <c r="A2659" s="6" t="s">
        <v>5271</v>
      </c>
      <c r="B2659" s="6" t="s">
        <v>709</v>
      </c>
      <c r="C2659" s="6" t="s">
        <v>116</v>
      </c>
      <c r="D2659" s="13" t="n">
        <v>44702</v>
      </c>
      <c r="E2659" s="14" t="n">
        <v>4621.34</v>
      </c>
      <c r="F2659" s="14" t="n">
        <v>27991.05</v>
      </c>
      <c r="G2659" s="6" t="s">
        <v>2613</v>
      </c>
    </row>
    <row r="2660" customFormat="false" ht="15" hidden="false" customHeight="true" outlineLevel="0" collapsed="false">
      <c r="A2660" s="6" t="s">
        <v>5272</v>
      </c>
      <c r="B2660" s="6" t="s">
        <v>709</v>
      </c>
      <c r="C2660" s="6" t="s">
        <v>116</v>
      </c>
      <c r="D2660" s="13" t="n">
        <v>44709</v>
      </c>
      <c r="E2660" s="14" t="n">
        <v>3205.21</v>
      </c>
      <c r="F2660" s="14" t="n">
        <v>31196.26</v>
      </c>
      <c r="G2660" s="6" t="s">
        <v>2613</v>
      </c>
    </row>
    <row r="2661" customFormat="false" ht="15" hidden="false" customHeight="true" outlineLevel="0" collapsed="false">
      <c r="A2661" s="6" t="s">
        <v>5273</v>
      </c>
      <c r="B2661" s="6" t="s">
        <v>709</v>
      </c>
      <c r="C2661" s="6" t="s">
        <v>116</v>
      </c>
      <c r="D2661" s="13" t="n">
        <v>44716</v>
      </c>
      <c r="E2661" s="14" t="n">
        <v>5432.75</v>
      </c>
      <c r="F2661" s="14" t="n">
        <v>36629.01</v>
      </c>
      <c r="G2661" s="6" t="s">
        <v>2623</v>
      </c>
    </row>
    <row r="2662" customFormat="false" ht="15" hidden="false" customHeight="true" outlineLevel="0" collapsed="false">
      <c r="A2662" s="6" t="s">
        <v>5274</v>
      </c>
      <c r="B2662" s="6" t="s">
        <v>709</v>
      </c>
      <c r="C2662" s="6" t="s">
        <v>116</v>
      </c>
      <c r="D2662" s="13" t="n">
        <v>44723</v>
      </c>
      <c r="E2662" s="14" t="n">
        <v>5396.17</v>
      </c>
      <c r="F2662" s="14" t="n">
        <v>42025.18</v>
      </c>
      <c r="G2662" s="6" t="s">
        <v>2613</v>
      </c>
    </row>
    <row r="2663" customFormat="false" ht="15" hidden="false" customHeight="true" outlineLevel="0" collapsed="false">
      <c r="A2663" s="6" t="s">
        <v>5275</v>
      </c>
      <c r="B2663" s="6" t="s">
        <v>709</v>
      </c>
      <c r="C2663" s="6" t="s">
        <v>116</v>
      </c>
      <c r="D2663" s="13" t="n">
        <v>44730</v>
      </c>
      <c r="E2663" s="14" t="n">
        <v>5330.64</v>
      </c>
      <c r="F2663" s="14" t="n">
        <v>47355.82</v>
      </c>
      <c r="G2663" s="6" t="s">
        <v>2613</v>
      </c>
    </row>
    <row r="2664" customFormat="false" ht="15" hidden="false" customHeight="true" outlineLevel="0" collapsed="false">
      <c r="A2664" s="6" t="s">
        <v>5276</v>
      </c>
      <c r="B2664" s="6" t="s">
        <v>709</v>
      </c>
      <c r="C2664" s="6" t="s">
        <v>116</v>
      </c>
      <c r="D2664" s="13" t="n">
        <v>44737</v>
      </c>
      <c r="E2664" s="14" t="n">
        <v>4969.29</v>
      </c>
      <c r="F2664" s="14" t="n">
        <v>52325.11</v>
      </c>
      <c r="G2664" s="6" t="s">
        <v>2613</v>
      </c>
    </row>
    <row r="2665" customFormat="false" ht="15" hidden="false" customHeight="true" outlineLevel="0" collapsed="false">
      <c r="A2665" s="6" t="s">
        <v>5277</v>
      </c>
      <c r="B2665" s="6" t="s">
        <v>709</v>
      </c>
      <c r="C2665" s="6" t="s">
        <v>116</v>
      </c>
      <c r="D2665" s="13" t="n">
        <v>44744</v>
      </c>
      <c r="E2665" s="14" t="n">
        <v>3412.72</v>
      </c>
      <c r="F2665" s="14" t="n">
        <v>55737.83</v>
      </c>
      <c r="G2665" s="6" t="s">
        <v>2613</v>
      </c>
    </row>
    <row r="2666" customFormat="false" ht="15" hidden="false" customHeight="true" outlineLevel="0" collapsed="false">
      <c r="A2666" s="6" t="s">
        <v>5278</v>
      </c>
      <c r="B2666" s="6" t="s">
        <v>709</v>
      </c>
      <c r="C2666" s="6" t="s">
        <v>116</v>
      </c>
      <c r="D2666" s="13" t="n">
        <v>44751</v>
      </c>
      <c r="E2666" s="14" t="n">
        <v>5663.34</v>
      </c>
      <c r="F2666" s="14" t="n">
        <v>61401.17</v>
      </c>
      <c r="G2666" s="6" t="s">
        <v>2613</v>
      </c>
    </row>
    <row r="2667" customFormat="false" ht="15" hidden="false" customHeight="true" outlineLevel="0" collapsed="false">
      <c r="A2667" s="6" t="s">
        <v>5279</v>
      </c>
      <c r="B2667" s="6" t="s">
        <v>709</v>
      </c>
      <c r="C2667" s="6" t="s">
        <v>116</v>
      </c>
      <c r="D2667" s="13" t="n">
        <v>44758</v>
      </c>
      <c r="E2667" s="14" t="n">
        <v>3751.82</v>
      </c>
      <c r="F2667" s="14" t="n">
        <v>65152.99</v>
      </c>
      <c r="G2667" s="6" t="s">
        <v>2613</v>
      </c>
    </row>
    <row r="2668" customFormat="false" ht="15" hidden="false" customHeight="true" outlineLevel="0" collapsed="false">
      <c r="A2668" s="6" t="s">
        <v>5280</v>
      </c>
      <c r="B2668" s="6" t="s">
        <v>709</v>
      </c>
      <c r="C2668" s="6" t="s">
        <v>116</v>
      </c>
      <c r="D2668" s="13" t="n">
        <v>44765</v>
      </c>
      <c r="E2668" s="14" t="n">
        <v>3422.85</v>
      </c>
      <c r="F2668" s="14" t="n">
        <v>68575.84</v>
      </c>
      <c r="G2668" s="6" t="s">
        <v>2613</v>
      </c>
    </row>
    <row r="2669" customFormat="false" ht="15" hidden="false" customHeight="true" outlineLevel="0" collapsed="false">
      <c r="A2669" s="6" t="s">
        <v>5281</v>
      </c>
      <c r="B2669" s="6" t="s">
        <v>711</v>
      </c>
      <c r="C2669" s="6" t="s">
        <v>116</v>
      </c>
      <c r="D2669" s="13" t="n">
        <v>45747</v>
      </c>
      <c r="E2669" s="14" t="n">
        <v>3649.59</v>
      </c>
      <c r="F2669" s="14" t="n">
        <v>3649.59</v>
      </c>
      <c r="G2669" s="6" t="s">
        <v>2613</v>
      </c>
    </row>
    <row r="2670" customFormat="false" ht="15" hidden="false" customHeight="true" outlineLevel="0" collapsed="false">
      <c r="A2670" s="6" t="s">
        <v>5282</v>
      </c>
      <c r="B2670" s="6" t="s">
        <v>711</v>
      </c>
      <c r="C2670" s="6" t="s">
        <v>116</v>
      </c>
      <c r="D2670" s="13" t="n">
        <v>45754</v>
      </c>
      <c r="E2670" s="14" t="n">
        <v>4545.63</v>
      </c>
      <c r="F2670" s="14" t="n">
        <v>8195.22</v>
      </c>
      <c r="G2670" s="6" t="s">
        <v>2613</v>
      </c>
    </row>
    <row r="2671" customFormat="false" ht="15" hidden="false" customHeight="true" outlineLevel="0" collapsed="false">
      <c r="A2671" s="6" t="s">
        <v>5283</v>
      </c>
      <c r="B2671" s="6" t="s">
        <v>711</v>
      </c>
      <c r="C2671" s="6" t="s">
        <v>116</v>
      </c>
      <c r="D2671" s="13" t="n">
        <v>45761</v>
      </c>
      <c r="E2671" s="14" t="n">
        <v>3285.31</v>
      </c>
      <c r="F2671" s="14" t="n">
        <v>11480.53</v>
      </c>
      <c r="G2671" s="6" t="s">
        <v>2613</v>
      </c>
    </row>
    <row r="2672" customFormat="false" ht="15" hidden="false" customHeight="true" outlineLevel="0" collapsed="false">
      <c r="A2672" s="6" t="s">
        <v>5284</v>
      </c>
      <c r="B2672" s="6" t="s">
        <v>711</v>
      </c>
      <c r="C2672" s="6" t="s">
        <v>116</v>
      </c>
      <c r="D2672" s="13" t="n">
        <v>45768</v>
      </c>
      <c r="E2672" s="14" t="n">
        <v>4143.9</v>
      </c>
      <c r="F2672" s="14" t="n">
        <v>15624.43</v>
      </c>
      <c r="G2672" s="6" t="s">
        <v>2613</v>
      </c>
    </row>
    <row r="2673" customFormat="false" ht="15" hidden="false" customHeight="true" outlineLevel="0" collapsed="false">
      <c r="A2673" s="6" t="s">
        <v>5285</v>
      </c>
      <c r="B2673" s="6" t="s">
        <v>711</v>
      </c>
      <c r="C2673" s="6" t="s">
        <v>116</v>
      </c>
      <c r="D2673" s="13" t="n">
        <v>45775</v>
      </c>
      <c r="E2673" s="14" t="n">
        <v>3540.04</v>
      </c>
      <c r="F2673" s="14" t="n">
        <v>19164.47</v>
      </c>
      <c r="G2673" s="6" t="s">
        <v>2613</v>
      </c>
    </row>
    <row r="2674" customFormat="false" ht="15" hidden="false" customHeight="true" outlineLevel="0" collapsed="false">
      <c r="A2674" s="6" t="s">
        <v>5286</v>
      </c>
      <c r="B2674" s="6" t="s">
        <v>711</v>
      </c>
      <c r="C2674" s="6" t="s">
        <v>116</v>
      </c>
      <c r="D2674" s="13" t="n">
        <v>45782</v>
      </c>
      <c r="E2674" s="14" t="n">
        <v>4584.05</v>
      </c>
      <c r="F2674" s="14" t="n">
        <v>23748.52</v>
      </c>
      <c r="G2674" s="6" t="s">
        <v>2613</v>
      </c>
    </row>
    <row r="2675" customFormat="false" ht="15" hidden="false" customHeight="true" outlineLevel="0" collapsed="false">
      <c r="A2675" s="6" t="s">
        <v>5287</v>
      </c>
      <c r="B2675" s="6" t="s">
        <v>711</v>
      </c>
      <c r="C2675" s="6" t="s">
        <v>116</v>
      </c>
      <c r="D2675" s="13" t="n">
        <v>45789</v>
      </c>
      <c r="E2675" s="14" t="n">
        <v>3233.5</v>
      </c>
      <c r="F2675" s="14" t="n">
        <v>26982.02</v>
      </c>
      <c r="G2675" s="6" t="s">
        <v>2613</v>
      </c>
    </row>
    <row r="2676" customFormat="false" ht="15" hidden="false" customHeight="true" outlineLevel="0" collapsed="false">
      <c r="A2676" s="6" t="s">
        <v>5288</v>
      </c>
      <c r="B2676" s="6" t="s">
        <v>711</v>
      </c>
      <c r="C2676" s="6" t="s">
        <v>116</v>
      </c>
      <c r="D2676" s="13" t="n">
        <v>45796</v>
      </c>
      <c r="E2676" s="14" t="n">
        <v>4647.87</v>
      </c>
      <c r="F2676" s="14" t="n">
        <v>31629.89</v>
      </c>
      <c r="G2676" s="6" t="s">
        <v>2613</v>
      </c>
    </row>
    <row r="2677" customFormat="false" ht="15" hidden="false" customHeight="true" outlineLevel="0" collapsed="false">
      <c r="A2677" s="6" t="s">
        <v>5289</v>
      </c>
      <c r="B2677" s="6" t="s">
        <v>711</v>
      </c>
      <c r="C2677" s="6" t="s">
        <v>116</v>
      </c>
      <c r="D2677" s="13" t="n">
        <v>45803</v>
      </c>
      <c r="E2677" s="14" t="n">
        <v>4097.34</v>
      </c>
      <c r="F2677" s="14" t="n">
        <v>35727.23</v>
      </c>
      <c r="G2677" s="6" t="s">
        <v>2613</v>
      </c>
    </row>
    <row r="2678" customFormat="false" ht="15" hidden="false" customHeight="true" outlineLevel="0" collapsed="false">
      <c r="A2678" s="6" t="s">
        <v>5290</v>
      </c>
      <c r="B2678" s="6" t="s">
        <v>711</v>
      </c>
      <c r="C2678" s="6" t="s">
        <v>116</v>
      </c>
      <c r="D2678" s="13" t="n">
        <v>45810</v>
      </c>
      <c r="E2678" s="14" t="n">
        <v>4196.71</v>
      </c>
      <c r="F2678" s="14" t="n">
        <v>39923.94</v>
      </c>
      <c r="G2678" s="6" t="s">
        <v>2613</v>
      </c>
    </row>
    <row r="2679" customFormat="false" ht="15" hidden="false" customHeight="true" outlineLevel="0" collapsed="false">
      <c r="A2679" s="6" t="s">
        <v>5291</v>
      </c>
      <c r="B2679" s="6" t="s">
        <v>711</v>
      </c>
      <c r="C2679" s="6" t="s">
        <v>116</v>
      </c>
      <c r="D2679" s="13" t="n">
        <v>45817</v>
      </c>
      <c r="E2679" s="14" t="n">
        <v>4166.81</v>
      </c>
      <c r="F2679" s="14" t="n">
        <v>44090.75</v>
      </c>
      <c r="G2679" s="6" t="s">
        <v>2613</v>
      </c>
    </row>
    <row r="2680" customFormat="false" ht="15" hidden="false" customHeight="true" outlineLevel="0" collapsed="false">
      <c r="A2680" s="6" t="s">
        <v>5292</v>
      </c>
      <c r="B2680" s="6" t="s">
        <v>711</v>
      </c>
      <c r="C2680" s="6" t="s">
        <v>116</v>
      </c>
      <c r="D2680" s="13" t="n">
        <v>45824</v>
      </c>
      <c r="E2680" s="14" t="n">
        <v>4402.94</v>
      </c>
      <c r="F2680" s="14" t="n">
        <v>48493.69</v>
      </c>
      <c r="G2680" s="6" t="s">
        <v>2613</v>
      </c>
    </row>
    <row r="2681" customFormat="false" ht="15" hidden="false" customHeight="true" outlineLevel="0" collapsed="false">
      <c r="A2681" s="6" t="s">
        <v>5293</v>
      </c>
      <c r="B2681" s="6" t="s">
        <v>711</v>
      </c>
      <c r="C2681" s="6" t="s">
        <v>116</v>
      </c>
      <c r="D2681" s="13" t="n">
        <v>45831</v>
      </c>
      <c r="E2681" s="14" t="n">
        <v>3576.7</v>
      </c>
      <c r="F2681" s="14" t="n">
        <v>52070.39</v>
      </c>
      <c r="G2681" s="6" t="s">
        <v>2613</v>
      </c>
    </row>
    <row r="2682" customFormat="false" ht="15" hidden="false" customHeight="true" outlineLevel="0" collapsed="false">
      <c r="A2682" s="6" t="s">
        <v>5294</v>
      </c>
      <c r="B2682" s="6" t="s">
        <v>711</v>
      </c>
      <c r="C2682" s="6" t="s">
        <v>116</v>
      </c>
      <c r="D2682" s="13" t="n">
        <v>45838</v>
      </c>
      <c r="E2682" s="14" t="n">
        <v>3798.51</v>
      </c>
      <c r="F2682" s="14" t="n">
        <v>55868.9</v>
      </c>
      <c r="G2682" s="6" t="s">
        <v>2613</v>
      </c>
    </row>
    <row r="2683" customFormat="false" ht="15" hidden="false" customHeight="true" outlineLevel="0" collapsed="false">
      <c r="A2683" s="6" t="s">
        <v>5295</v>
      </c>
      <c r="B2683" s="6" t="s">
        <v>711</v>
      </c>
      <c r="C2683" s="6" t="s">
        <v>116</v>
      </c>
      <c r="D2683" s="13" t="n">
        <v>45845</v>
      </c>
      <c r="E2683" s="14" t="n">
        <v>99.62</v>
      </c>
      <c r="F2683" s="14" t="n">
        <v>55968.52</v>
      </c>
      <c r="G2683" s="6" t="s">
        <v>2613</v>
      </c>
    </row>
    <row r="2684" customFormat="false" ht="15" hidden="false" customHeight="true" outlineLevel="0" collapsed="false">
      <c r="A2684" s="6" t="s">
        <v>5296</v>
      </c>
      <c r="B2684" s="6" t="s">
        <v>713</v>
      </c>
      <c r="C2684" s="6" t="s">
        <v>128</v>
      </c>
      <c r="D2684" s="13" t="n">
        <v>45959</v>
      </c>
      <c r="E2684" s="14" t="n">
        <v>431.03</v>
      </c>
      <c r="F2684" s="14" t="n">
        <v>431.03</v>
      </c>
      <c r="G2684" s="6" t="s">
        <v>2613</v>
      </c>
    </row>
    <row r="2685" customFormat="false" ht="15" hidden="false" customHeight="true" outlineLevel="0" collapsed="false">
      <c r="A2685" s="6" t="s">
        <v>5297</v>
      </c>
      <c r="B2685" s="6" t="s">
        <v>713</v>
      </c>
      <c r="C2685" s="6" t="s">
        <v>128</v>
      </c>
      <c r="D2685" s="13" t="n">
        <v>45966</v>
      </c>
      <c r="E2685" s="14" t="n">
        <v>298.22</v>
      </c>
      <c r="F2685" s="14" t="n">
        <v>729.25</v>
      </c>
      <c r="G2685" s="6" t="s">
        <v>2613</v>
      </c>
    </row>
    <row r="2686" customFormat="false" ht="15" hidden="false" customHeight="true" outlineLevel="0" collapsed="false">
      <c r="A2686" s="6" t="s">
        <v>5298</v>
      </c>
      <c r="B2686" s="6" t="s">
        <v>713</v>
      </c>
      <c r="C2686" s="6" t="s">
        <v>128</v>
      </c>
      <c r="D2686" s="13" t="n">
        <v>45973</v>
      </c>
      <c r="E2686" s="14" t="n">
        <v>273.74</v>
      </c>
      <c r="F2686" s="14" t="n">
        <v>1002.99</v>
      </c>
      <c r="G2686" s="6" t="s">
        <v>2613</v>
      </c>
    </row>
    <row r="2687" customFormat="false" ht="15" hidden="false" customHeight="true" outlineLevel="0" collapsed="false">
      <c r="A2687" s="6" t="s">
        <v>5299</v>
      </c>
      <c r="B2687" s="6" t="s">
        <v>713</v>
      </c>
      <c r="C2687" s="6" t="s">
        <v>128</v>
      </c>
      <c r="D2687" s="13" t="n">
        <v>45980</v>
      </c>
      <c r="E2687" s="14" t="n">
        <v>374.87</v>
      </c>
      <c r="F2687" s="14" t="n">
        <v>1377.86</v>
      </c>
      <c r="G2687" s="6" t="s">
        <v>2613</v>
      </c>
    </row>
    <row r="2688" customFormat="false" ht="15" hidden="false" customHeight="true" outlineLevel="0" collapsed="false">
      <c r="A2688" s="6" t="s">
        <v>5300</v>
      </c>
      <c r="B2688" s="6" t="s">
        <v>713</v>
      </c>
      <c r="C2688" s="6" t="s">
        <v>128</v>
      </c>
      <c r="D2688" s="13" t="n">
        <v>45987</v>
      </c>
      <c r="E2688" s="14" t="n">
        <v>299.82</v>
      </c>
      <c r="F2688" s="14" t="n">
        <v>1677.68</v>
      </c>
      <c r="G2688" s="6" t="s">
        <v>2613</v>
      </c>
    </row>
    <row r="2689" customFormat="false" ht="15" hidden="false" customHeight="true" outlineLevel="0" collapsed="false">
      <c r="A2689" s="6" t="s">
        <v>5301</v>
      </c>
      <c r="B2689" s="6" t="s">
        <v>713</v>
      </c>
      <c r="C2689" s="6" t="s">
        <v>128</v>
      </c>
      <c r="D2689" s="13" t="n">
        <v>45994</v>
      </c>
      <c r="E2689" s="14" t="n">
        <v>395.94</v>
      </c>
      <c r="F2689" s="14" t="n">
        <v>2073.62</v>
      </c>
      <c r="G2689" s="6" t="s">
        <v>2613</v>
      </c>
    </row>
    <row r="2690" customFormat="false" ht="15" hidden="false" customHeight="true" outlineLevel="0" collapsed="false">
      <c r="A2690" s="6" t="s">
        <v>5302</v>
      </c>
      <c r="B2690" s="6" t="s">
        <v>713</v>
      </c>
      <c r="C2690" s="6" t="s">
        <v>128</v>
      </c>
      <c r="D2690" s="13" t="n">
        <v>46001</v>
      </c>
      <c r="E2690" s="14" t="n">
        <v>223.25</v>
      </c>
      <c r="F2690" s="14" t="n">
        <v>2296.87</v>
      </c>
      <c r="G2690" s="6" t="s">
        <v>2613</v>
      </c>
    </row>
    <row r="2691" customFormat="false" ht="15" hidden="false" customHeight="true" outlineLevel="0" collapsed="false">
      <c r="A2691" s="6" t="s">
        <v>5303</v>
      </c>
      <c r="B2691" s="6" t="s">
        <v>713</v>
      </c>
      <c r="C2691" s="6" t="s">
        <v>128</v>
      </c>
      <c r="D2691" s="13" t="n">
        <v>46008</v>
      </c>
      <c r="E2691" s="14" t="n">
        <v>388.77</v>
      </c>
      <c r="F2691" s="14" t="n">
        <v>2685.64</v>
      </c>
      <c r="G2691" s="6" t="s">
        <v>2613</v>
      </c>
    </row>
    <row r="2692" customFormat="false" ht="15" hidden="false" customHeight="true" outlineLevel="0" collapsed="false">
      <c r="A2692" s="6" t="s">
        <v>5304</v>
      </c>
      <c r="B2692" s="6" t="s">
        <v>713</v>
      </c>
      <c r="C2692" s="6" t="s">
        <v>128</v>
      </c>
      <c r="D2692" s="13" t="n">
        <v>46015</v>
      </c>
      <c r="E2692" s="14" t="n">
        <v>314.3</v>
      </c>
      <c r="F2692" s="14" t="n">
        <v>2999.94</v>
      </c>
      <c r="G2692" s="6" t="s">
        <v>2613</v>
      </c>
    </row>
    <row r="2693" customFormat="false" ht="15" hidden="false" customHeight="true" outlineLevel="0" collapsed="false">
      <c r="A2693" s="6" t="s">
        <v>5305</v>
      </c>
      <c r="B2693" s="6" t="s">
        <v>713</v>
      </c>
      <c r="C2693" s="6" t="s">
        <v>128</v>
      </c>
      <c r="D2693" s="13" t="n">
        <v>46022</v>
      </c>
      <c r="E2693" s="14" t="n">
        <v>306.57</v>
      </c>
      <c r="F2693" s="14" t="n">
        <v>3306.51</v>
      </c>
      <c r="G2693" s="6" t="s">
        <v>2613</v>
      </c>
    </row>
    <row r="2694" customFormat="false" ht="15" hidden="false" customHeight="true" outlineLevel="0" collapsed="false">
      <c r="A2694" s="6" t="s">
        <v>5306</v>
      </c>
      <c r="B2694" s="6" t="s">
        <v>713</v>
      </c>
      <c r="C2694" s="6" t="s">
        <v>128</v>
      </c>
      <c r="D2694" s="13" t="n">
        <v>46029</v>
      </c>
      <c r="E2694" s="14" t="n">
        <v>214.65</v>
      </c>
      <c r="F2694" s="14" t="n">
        <v>3521.16</v>
      </c>
      <c r="G2694" s="6" t="s">
        <v>2613</v>
      </c>
    </row>
    <row r="2695" customFormat="false" ht="15" hidden="false" customHeight="true" outlineLevel="0" collapsed="false">
      <c r="A2695" s="6" t="s">
        <v>5307</v>
      </c>
      <c r="B2695" s="6" t="s">
        <v>713</v>
      </c>
      <c r="C2695" s="6" t="s">
        <v>128</v>
      </c>
      <c r="D2695" s="13" t="n">
        <v>46036</v>
      </c>
      <c r="E2695" s="14" t="n">
        <v>266.09</v>
      </c>
      <c r="F2695" s="14" t="n">
        <v>3787.25</v>
      </c>
      <c r="G2695" s="6" t="s">
        <v>2613</v>
      </c>
    </row>
    <row r="2696" customFormat="false" ht="15" hidden="false" customHeight="true" outlineLevel="0" collapsed="false">
      <c r="A2696" s="6" t="s">
        <v>5308</v>
      </c>
      <c r="B2696" s="6" t="s">
        <v>713</v>
      </c>
      <c r="C2696" s="6" t="s">
        <v>128</v>
      </c>
      <c r="D2696" s="13" t="n">
        <v>46043</v>
      </c>
      <c r="E2696" s="14" t="n">
        <v>241.99</v>
      </c>
      <c r="F2696" s="14" t="n">
        <v>4029.24</v>
      </c>
      <c r="G2696" s="6" t="s">
        <v>2613</v>
      </c>
    </row>
    <row r="2697" customFormat="false" ht="15" hidden="false" customHeight="true" outlineLevel="0" collapsed="false">
      <c r="A2697" s="6" t="s">
        <v>5309</v>
      </c>
      <c r="B2697" s="6" t="s">
        <v>713</v>
      </c>
      <c r="C2697" s="6" t="s">
        <v>128</v>
      </c>
      <c r="D2697" s="13" t="n">
        <v>46050</v>
      </c>
      <c r="E2697" s="14" t="n">
        <v>237.27</v>
      </c>
      <c r="F2697" s="14" t="n">
        <v>4266.51</v>
      </c>
      <c r="G2697" s="6" t="s">
        <v>2613</v>
      </c>
    </row>
    <row r="2698" customFormat="false" ht="15" hidden="false" customHeight="true" outlineLevel="0" collapsed="false">
      <c r="A2698" s="6" t="s">
        <v>5310</v>
      </c>
      <c r="B2698" s="6" t="s">
        <v>713</v>
      </c>
      <c r="C2698" s="6" t="s">
        <v>128</v>
      </c>
      <c r="D2698" s="13" t="n">
        <v>46057</v>
      </c>
      <c r="E2698" s="14" t="n">
        <v>256.87</v>
      </c>
      <c r="F2698" s="14" t="n">
        <v>4523.38</v>
      </c>
      <c r="G2698" s="6" t="s">
        <v>2613</v>
      </c>
    </row>
    <row r="2699" customFormat="false" ht="15" hidden="false" customHeight="true" outlineLevel="0" collapsed="false">
      <c r="A2699" s="6" t="s">
        <v>5311</v>
      </c>
      <c r="B2699" s="6" t="s">
        <v>713</v>
      </c>
      <c r="C2699" s="6" t="s">
        <v>128</v>
      </c>
      <c r="D2699" s="13" t="n">
        <v>46064</v>
      </c>
      <c r="E2699" s="14" t="n">
        <v>1161.45</v>
      </c>
      <c r="F2699" s="14" t="n">
        <v>5684.83</v>
      </c>
      <c r="G2699" s="6" t="s">
        <v>2613</v>
      </c>
    </row>
    <row r="2700" customFormat="false" ht="15" hidden="false" customHeight="true" outlineLevel="0" collapsed="false">
      <c r="A2700" s="6" t="s">
        <v>5312</v>
      </c>
      <c r="B2700" s="6" t="s">
        <v>715</v>
      </c>
      <c r="C2700" s="6" t="s">
        <v>116</v>
      </c>
      <c r="D2700" s="13" t="n">
        <v>45913</v>
      </c>
      <c r="E2700" s="14" t="n">
        <v>1823.2</v>
      </c>
      <c r="F2700" s="14" t="n">
        <v>1823.2</v>
      </c>
      <c r="G2700" s="6" t="s">
        <v>2613</v>
      </c>
    </row>
    <row r="2701" customFormat="false" ht="15" hidden="false" customHeight="true" outlineLevel="0" collapsed="false">
      <c r="A2701" s="6" t="s">
        <v>5313</v>
      </c>
      <c r="B2701" s="6" t="s">
        <v>715</v>
      </c>
      <c r="C2701" s="6" t="s">
        <v>116</v>
      </c>
      <c r="D2701" s="13" t="n">
        <v>45920</v>
      </c>
      <c r="E2701" s="14" t="n">
        <v>1832.28</v>
      </c>
      <c r="F2701" s="14" t="n">
        <v>3655.48</v>
      </c>
      <c r="G2701" s="6" t="s">
        <v>2613</v>
      </c>
    </row>
    <row r="2702" customFormat="false" ht="15" hidden="false" customHeight="true" outlineLevel="0" collapsed="false">
      <c r="A2702" s="6" t="s">
        <v>5314</v>
      </c>
      <c r="B2702" s="6" t="s">
        <v>715</v>
      </c>
      <c r="C2702" s="6" t="s">
        <v>116</v>
      </c>
      <c r="D2702" s="13" t="n">
        <v>45927</v>
      </c>
      <c r="E2702" s="14" t="n">
        <v>1566.71</v>
      </c>
      <c r="F2702" s="14" t="n">
        <v>5222.19</v>
      </c>
      <c r="G2702" s="6" t="s">
        <v>2613</v>
      </c>
    </row>
    <row r="2703" customFormat="false" ht="15" hidden="false" customHeight="true" outlineLevel="0" collapsed="false">
      <c r="A2703" s="6" t="s">
        <v>5315</v>
      </c>
      <c r="B2703" s="6" t="s">
        <v>715</v>
      </c>
      <c r="C2703" s="6" t="s">
        <v>116</v>
      </c>
      <c r="D2703" s="13" t="n">
        <v>45934</v>
      </c>
      <c r="E2703" s="14" t="n">
        <v>1305.38</v>
      </c>
      <c r="F2703" s="14" t="n">
        <v>6527.57</v>
      </c>
      <c r="G2703" s="6" t="s">
        <v>2613</v>
      </c>
    </row>
    <row r="2704" customFormat="false" ht="15" hidden="false" customHeight="true" outlineLevel="0" collapsed="false">
      <c r="A2704" s="6" t="s">
        <v>5316</v>
      </c>
      <c r="B2704" s="6" t="s">
        <v>715</v>
      </c>
      <c r="C2704" s="6" t="s">
        <v>116</v>
      </c>
      <c r="D2704" s="13" t="n">
        <v>45941</v>
      </c>
      <c r="E2704" s="14" t="n">
        <v>2467.73</v>
      </c>
      <c r="F2704" s="14" t="n">
        <v>8995.3</v>
      </c>
      <c r="G2704" s="6" t="s">
        <v>2613</v>
      </c>
    </row>
    <row r="2705" customFormat="false" ht="15" hidden="false" customHeight="true" outlineLevel="0" collapsed="false">
      <c r="A2705" s="6" t="s">
        <v>5317</v>
      </c>
      <c r="B2705" s="6" t="s">
        <v>715</v>
      </c>
      <c r="C2705" s="6" t="s">
        <v>116</v>
      </c>
      <c r="D2705" s="13" t="n">
        <v>45948</v>
      </c>
      <c r="E2705" s="14" t="n">
        <v>1503.69</v>
      </c>
      <c r="F2705" s="14" t="n">
        <v>10498.99</v>
      </c>
      <c r="G2705" s="6" t="s">
        <v>2613</v>
      </c>
    </row>
    <row r="2706" customFormat="false" ht="15" hidden="false" customHeight="true" outlineLevel="0" collapsed="false">
      <c r="A2706" s="6" t="s">
        <v>5318</v>
      </c>
      <c r="B2706" s="6" t="s">
        <v>715</v>
      </c>
      <c r="C2706" s="6" t="s">
        <v>116</v>
      </c>
      <c r="D2706" s="13" t="n">
        <v>45955</v>
      </c>
      <c r="E2706" s="14" t="n">
        <v>2030.6</v>
      </c>
      <c r="F2706" s="14" t="n">
        <v>12529.59</v>
      </c>
      <c r="G2706" s="6" t="s">
        <v>2613</v>
      </c>
    </row>
    <row r="2707" customFormat="false" ht="15" hidden="false" customHeight="true" outlineLevel="0" collapsed="false">
      <c r="A2707" s="6" t="s">
        <v>5319</v>
      </c>
      <c r="B2707" s="6" t="s">
        <v>715</v>
      </c>
      <c r="C2707" s="6" t="s">
        <v>116</v>
      </c>
      <c r="D2707" s="13" t="n">
        <v>45962</v>
      </c>
      <c r="E2707" s="14" t="n">
        <v>1677.94</v>
      </c>
      <c r="F2707" s="14" t="n">
        <v>14207.53</v>
      </c>
      <c r="G2707" s="6" t="s">
        <v>2613</v>
      </c>
    </row>
    <row r="2708" customFormat="false" ht="15" hidden="false" customHeight="true" outlineLevel="0" collapsed="false">
      <c r="A2708" s="6" t="s">
        <v>5320</v>
      </c>
      <c r="B2708" s="6" t="s">
        <v>715</v>
      </c>
      <c r="C2708" s="6" t="s">
        <v>116</v>
      </c>
      <c r="D2708" s="13" t="n">
        <v>45969</v>
      </c>
      <c r="E2708" s="14" t="n">
        <v>2147.6</v>
      </c>
      <c r="F2708" s="14" t="n">
        <v>16355.13</v>
      </c>
      <c r="G2708" s="6" t="s">
        <v>2613</v>
      </c>
    </row>
    <row r="2709" customFormat="false" ht="15" hidden="false" customHeight="true" outlineLevel="0" collapsed="false">
      <c r="A2709" s="6" t="s">
        <v>5321</v>
      </c>
      <c r="B2709" s="6" t="s">
        <v>715</v>
      </c>
      <c r="C2709" s="6" t="s">
        <v>116</v>
      </c>
      <c r="D2709" s="13" t="n">
        <v>45976</v>
      </c>
      <c r="E2709" s="14" t="n">
        <v>4292.89</v>
      </c>
      <c r="F2709" s="14" t="n">
        <v>20648.02</v>
      </c>
      <c r="G2709" s="6" t="s">
        <v>2613</v>
      </c>
    </row>
    <row r="2710" customFormat="false" ht="15" hidden="false" customHeight="true" outlineLevel="0" collapsed="false">
      <c r="A2710" s="6" t="s">
        <v>5322</v>
      </c>
      <c r="B2710" s="6" t="s">
        <v>717</v>
      </c>
      <c r="C2710" s="6" t="s">
        <v>120</v>
      </c>
      <c r="D2710" s="13" t="n">
        <v>45593</v>
      </c>
      <c r="E2710" s="14" t="n">
        <v>1443.53</v>
      </c>
      <c r="F2710" s="14" t="n">
        <v>1443.53</v>
      </c>
      <c r="G2710" s="6" t="s">
        <v>2613</v>
      </c>
    </row>
    <row r="2711" customFormat="false" ht="15" hidden="false" customHeight="true" outlineLevel="0" collapsed="false">
      <c r="A2711" s="6" t="s">
        <v>5323</v>
      </c>
      <c r="B2711" s="6" t="s">
        <v>717</v>
      </c>
      <c r="C2711" s="6" t="s">
        <v>120</v>
      </c>
      <c r="D2711" s="13" t="n">
        <v>45600</v>
      </c>
      <c r="E2711" s="14" t="n">
        <v>2123.19</v>
      </c>
      <c r="F2711" s="14" t="n">
        <v>3566.72</v>
      </c>
      <c r="G2711" s="6" t="s">
        <v>2613</v>
      </c>
    </row>
    <row r="2712" customFormat="false" ht="15" hidden="false" customHeight="true" outlineLevel="0" collapsed="false">
      <c r="A2712" s="6" t="s">
        <v>5324</v>
      </c>
      <c r="B2712" s="6" t="s">
        <v>717</v>
      </c>
      <c r="C2712" s="6" t="s">
        <v>120</v>
      </c>
      <c r="D2712" s="13" t="n">
        <v>45607</v>
      </c>
      <c r="E2712" s="14" t="n">
        <v>1364.32</v>
      </c>
      <c r="F2712" s="14" t="n">
        <v>4931.04</v>
      </c>
      <c r="G2712" s="6" t="s">
        <v>2613</v>
      </c>
    </row>
    <row r="2713" customFormat="false" ht="15" hidden="false" customHeight="true" outlineLevel="0" collapsed="false">
      <c r="A2713" s="6" t="s">
        <v>5325</v>
      </c>
      <c r="B2713" s="6" t="s">
        <v>717</v>
      </c>
      <c r="C2713" s="6" t="s">
        <v>120</v>
      </c>
      <c r="D2713" s="13" t="n">
        <v>45614</v>
      </c>
      <c r="E2713" s="14" t="n">
        <v>1857.82</v>
      </c>
      <c r="F2713" s="14" t="n">
        <v>6788.86</v>
      </c>
      <c r="G2713" s="6" t="s">
        <v>2623</v>
      </c>
    </row>
    <row r="2714" customFormat="false" ht="15" hidden="false" customHeight="true" outlineLevel="0" collapsed="false">
      <c r="A2714" s="6" t="s">
        <v>5326</v>
      </c>
      <c r="B2714" s="6" t="s">
        <v>717</v>
      </c>
      <c r="C2714" s="6" t="s">
        <v>120</v>
      </c>
      <c r="D2714" s="13" t="n">
        <v>45621</v>
      </c>
      <c r="E2714" s="14" t="n">
        <v>2121.9</v>
      </c>
      <c r="F2714" s="14" t="n">
        <v>8910.76</v>
      </c>
      <c r="G2714" s="6" t="s">
        <v>2613</v>
      </c>
    </row>
    <row r="2715" customFormat="false" ht="15" hidden="false" customHeight="true" outlineLevel="0" collapsed="false">
      <c r="A2715" s="6" t="s">
        <v>5327</v>
      </c>
      <c r="B2715" s="6" t="s">
        <v>717</v>
      </c>
      <c r="C2715" s="6" t="s">
        <v>120</v>
      </c>
      <c r="D2715" s="13" t="n">
        <v>45628</v>
      </c>
      <c r="E2715" s="14" t="n">
        <v>2662.39</v>
      </c>
      <c r="F2715" s="14" t="n">
        <v>11573.15</v>
      </c>
      <c r="G2715" s="6" t="s">
        <v>2613</v>
      </c>
    </row>
    <row r="2716" customFormat="false" ht="15" hidden="false" customHeight="true" outlineLevel="0" collapsed="false">
      <c r="A2716" s="6" t="s">
        <v>5328</v>
      </c>
      <c r="B2716" s="6" t="s">
        <v>717</v>
      </c>
      <c r="C2716" s="6" t="s">
        <v>120</v>
      </c>
      <c r="D2716" s="13" t="n">
        <v>45635</v>
      </c>
      <c r="E2716" s="14" t="n">
        <v>1855.87</v>
      </c>
      <c r="F2716" s="14" t="n">
        <v>13429.02</v>
      </c>
      <c r="G2716" s="6" t="s">
        <v>2613</v>
      </c>
    </row>
    <row r="2717" customFormat="false" ht="15" hidden="false" customHeight="true" outlineLevel="0" collapsed="false">
      <c r="A2717" s="6" t="s">
        <v>5329</v>
      </c>
      <c r="B2717" s="6" t="s">
        <v>717</v>
      </c>
      <c r="C2717" s="6" t="s">
        <v>120</v>
      </c>
      <c r="D2717" s="13" t="n">
        <v>45642</v>
      </c>
      <c r="E2717" s="14" t="n">
        <v>4569.21</v>
      </c>
      <c r="F2717" s="14" t="n">
        <v>17998.23</v>
      </c>
      <c r="G2717" s="6" t="s">
        <v>2613</v>
      </c>
    </row>
    <row r="2718" customFormat="false" ht="15" hidden="false" customHeight="true" outlineLevel="0" collapsed="false">
      <c r="A2718" s="6" t="s">
        <v>5330</v>
      </c>
      <c r="B2718" s="6" t="s">
        <v>719</v>
      </c>
      <c r="C2718" s="6" t="s">
        <v>131</v>
      </c>
      <c r="D2718" s="13" t="n">
        <v>44815</v>
      </c>
      <c r="E2718" s="14" t="n">
        <v>909.14</v>
      </c>
      <c r="F2718" s="14" t="n">
        <v>909.14</v>
      </c>
      <c r="G2718" s="6" t="s">
        <v>2613</v>
      </c>
    </row>
    <row r="2719" customFormat="false" ht="15" hidden="false" customHeight="true" outlineLevel="0" collapsed="false">
      <c r="A2719" s="6" t="s">
        <v>5331</v>
      </c>
      <c r="B2719" s="6" t="s">
        <v>719</v>
      </c>
      <c r="C2719" s="6" t="s">
        <v>131</v>
      </c>
      <c r="D2719" s="13" t="n">
        <v>44822</v>
      </c>
      <c r="E2719" s="14" t="n">
        <v>614.47</v>
      </c>
      <c r="F2719" s="14" t="n">
        <v>1523.61</v>
      </c>
      <c r="G2719" s="6" t="s">
        <v>2613</v>
      </c>
    </row>
    <row r="2720" customFormat="false" ht="15" hidden="false" customHeight="true" outlineLevel="0" collapsed="false">
      <c r="A2720" s="6" t="s">
        <v>5332</v>
      </c>
      <c r="B2720" s="6" t="s">
        <v>719</v>
      </c>
      <c r="C2720" s="6" t="s">
        <v>131</v>
      </c>
      <c r="D2720" s="13" t="n">
        <v>44829</v>
      </c>
      <c r="E2720" s="14" t="n">
        <v>439.28</v>
      </c>
      <c r="F2720" s="14" t="n">
        <v>1962.89</v>
      </c>
      <c r="G2720" s="6" t="s">
        <v>2623</v>
      </c>
    </row>
    <row r="2721" customFormat="false" ht="15" hidden="false" customHeight="true" outlineLevel="0" collapsed="false">
      <c r="A2721" s="6" t="s">
        <v>5333</v>
      </c>
      <c r="B2721" s="6" t="s">
        <v>719</v>
      </c>
      <c r="C2721" s="6" t="s">
        <v>131</v>
      </c>
      <c r="D2721" s="13" t="n">
        <v>44836</v>
      </c>
      <c r="E2721" s="14" t="n">
        <v>604.54</v>
      </c>
      <c r="F2721" s="14" t="n">
        <v>2567.43</v>
      </c>
      <c r="G2721" s="6" t="s">
        <v>2613</v>
      </c>
    </row>
    <row r="2722" customFormat="false" ht="15" hidden="false" customHeight="true" outlineLevel="0" collapsed="false">
      <c r="A2722" s="6" t="s">
        <v>5334</v>
      </c>
      <c r="B2722" s="6" t="s">
        <v>719</v>
      </c>
      <c r="C2722" s="6" t="s">
        <v>131</v>
      </c>
      <c r="D2722" s="13" t="n">
        <v>44843</v>
      </c>
      <c r="E2722" s="14" t="n">
        <v>722.6</v>
      </c>
      <c r="F2722" s="14" t="n">
        <v>3290.03</v>
      </c>
      <c r="G2722" s="6" t="s">
        <v>2613</v>
      </c>
    </row>
    <row r="2723" customFormat="false" ht="15" hidden="false" customHeight="true" outlineLevel="0" collapsed="false">
      <c r="A2723" s="6" t="s">
        <v>5335</v>
      </c>
      <c r="B2723" s="6" t="s">
        <v>719</v>
      </c>
      <c r="C2723" s="6" t="s">
        <v>131</v>
      </c>
      <c r="D2723" s="13" t="n">
        <v>44850</v>
      </c>
      <c r="E2723" s="14" t="n">
        <v>567.39</v>
      </c>
      <c r="F2723" s="14" t="n">
        <v>3857.42</v>
      </c>
      <c r="G2723" s="6" t="s">
        <v>2613</v>
      </c>
    </row>
    <row r="2724" customFormat="false" ht="15" hidden="false" customHeight="true" outlineLevel="0" collapsed="false">
      <c r="A2724" s="6" t="s">
        <v>5336</v>
      </c>
      <c r="B2724" s="6" t="s">
        <v>719</v>
      </c>
      <c r="C2724" s="6" t="s">
        <v>131</v>
      </c>
      <c r="D2724" s="13" t="n">
        <v>44857</v>
      </c>
      <c r="E2724" s="14" t="n">
        <v>658.12</v>
      </c>
      <c r="F2724" s="14" t="n">
        <v>4515.54</v>
      </c>
      <c r="G2724" s="6" t="s">
        <v>2613</v>
      </c>
    </row>
    <row r="2725" customFormat="false" ht="15" hidden="false" customHeight="true" outlineLevel="0" collapsed="false">
      <c r="A2725" s="6" t="s">
        <v>5337</v>
      </c>
      <c r="B2725" s="6" t="s">
        <v>719</v>
      </c>
      <c r="C2725" s="6" t="s">
        <v>131</v>
      </c>
      <c r="D2725" s="13" t="n">
        <v>44864</v>
      </c>
      <c r="E2725" s="14" t="n">
        <v>550.73</v>
      </c>
      <c r="F2725" s="14" t="n">
        <v>5066.27</v>
      </c>
      <c r="G2725" s="6" t="s">
        <v>2613</v>
      </c>
    </row>
    <row r="2726" customFormat="false" ht="15" hidden="false" customHeight="true" outlineLevel="0" collapsed="false">
      <c r="A2726" s="6" t="s">
        <v>5338</v>
      </c>
      <c r="B2726" s="6" t="s">
        <v>719</v>
      </c>
      <c r="C2726" s="6" t="s">
        <v>131</v>
      </c>
      <c r="D2726" s="13" t="n">
        <v>44871</v>
      </c>
      <c r="E2726" s="14" t="n">
        <v>538.34</v>
      </c>
      <c r="F2726" s="14" t="n">
        <v>5604.61</v>
      </c>
      <c r="G2726" s="6" t="s">
        <v>2613</v>
      </c>
    </row>
    <row r="2727" customFormat="false" ht="15" hidden="false" customHeight="true" outlineLevel="0" collapsed="false">
      <c r="A2727" s="6" t="s">
        <v>5339</v>
      </c>
      <c r="B2727" s="6" t="s">
        <v>719</v>
      </c>
      <c r="C2727" s="6" t="s">
        <v>131</v>
      </c>
      <c r="D2727" s="13" t="n">
        <v>44878</v>
      </c>
      <c r="E2727" s="14" t="n">
        <v>610.17</v>
      </c>
      <c r="F2727" s="14" t="n">
        <v>6214.78</v>
      </c>
      <c r="G2727" s="6" t="s">
        <v>2613</v>
      </c>
    </row>
    <row r="2728" customFormat="false" ht="15" hidden="false" customHeight="true" outlineLevel="0" collapsed="false">
      <c r="A2728" s="6" t="s">
        <v>5340</v>
      </c>
      <c r="B2728" s="6" t="s">
        <v>719</v>
      </c>
      <c r="C2728" s="6" t="s">
        <v>131</v>
      </c>
      <c r="D2728" s="13" t="n">
        <v>44885</v>
      </c>
      <c r="E2728" s="14" t="n">
        <v>416.62</v>
      </c>
      <c r="F2728" s="14" t="n">
        <v>6631.4</v>
      </c>
      <c r="G2728" s="6" t="s">
        <v>2623</v>
      </c>
    </row>
    <row r="2729" customFormat="false" ht="15" hidden="false" customHeight="true" outlineLevel="0" collapsed="false">
      <c r="A2729" s="6" t="s">
        <v>5341</v>
      </c>
      <c r="B2729" s="6" t="s">
        <v>719</v>
      </c>
      <c r="C2729" s="6" t="s">
        <v>131</v>
      </c>
      <c r="D2729" s="13" t="n">
        <v>44892</v>
      </c>
      <c r="E2729" s="14" t="n">
        <v>419.01</v>
      </c>
      <c r="F2729" s="14" t="n">
        <v>7050.41</v>
      </c>
      <c r="G2729" s="6" t="s">
        <v>2613</v>
      </c>
    </row>
    <row r="2730" customFormat="false" ht="15" hidden="false" customHeight="true" outlineLevel="0" collapsed="false">
      <c r="A2730" s="6" t="s">
        <v>5342</v>
      </c>
      <c r="B2730" s="6" t="s">
        <v>719</v>
      </c>
      <c r="C2730" s="6" t="s">
        <v>131</v>
      </c>
      <c r="D2730" s="13" t="n">
        <v>44899</v>
      </c>
      <c r="E2730" s="14" t="n">
        <v>502.51</v>
      </c>
      <c r="F2730" s="14" t="n">
        <v>7552.92</v>
      </c>
      <c r="G2730" s="6" t="s">
        <v>2613</v>
      </c>
    </row>
    <row r="2731" customFormat="false" ht="15" hidden="false" customHeight="true" outlineLevel="0" collapsed="false">
      <c r="A2731" s="6" t="s">
        <v>5343</v>
      </c>
      <c r="B2731" s="6" t="s">
        <v>719</v>
      </c>
      <c r="C2731" s="6" t="s">
        <v>131</v>
      </c>
      <c r="D2731" s="13" t="n">
        <v>44906</v>
      </c>
      <c r="E2731" s="14" t="n">
        <v>1588.62</v>
      </c>
      <c r="F2731" s="14" t="n">
        <v>9141.54</v>
      </c>
      <c r="G2731" s="6" t="s">
        <v>2613</v>
      </c>
    </row>
    <row r="2732" customFormat="false" ht="15" hidden="false" customHeight="true" outlineLevel="0" collapsed="false">
      <c r="A2732" s="6" t="s">
        <v>5344</v>
      </c>
      <c r="B2732" s="6" t="s">
        <v>721</v>
      </c>
      <c r="C2732" s="6" t="s">
        <v>112</v>
      </c>
      <c r="D2732" s="13" t="n">
        <v>45247</v>
      </c>
      <c r="E2732" s="14" t="n">
        <v>1244.35</v>
      </c>
      <c r="F2732" s="14" t="n">
        <v>1244.35</v>
      </c>
      <c r="G2732" s="6" t="s">
        <v>2613</v>
      </c>
    </row>
    <row r="2733" customFormat="false" ht="15" hidden="false" customHeight="true" outlineLevel="0" collapsed="false">
      <c r="A2733" s="6" t="s">
        <v>5345</v>
      </c>
      <c r="B2733" s="6" t="s">
        <v>721</v>
      </c>
      <c r="C2733" s="6" t="s">
        <v>112</v>
      </c>
      <c r="D2733" s="13" t="n">
        <v>45254</v>
      </c>
      <c r="E2733" s="14" t="n">
        <v>1129.15</v>
      </c>
      <c r="F2733" s="14" t="n">
        <v>2373.5</v>
      </c>
      <c r="G2733" s="6" t="s">
        <v>2613</v>
      </c>
    </row>
    <row r="2734" customFormat="false" ht="15" hidden="false" customHeight="true" outlineLevel="0" collapsed="false">
      <c r="A2734" s="6" t="s">
        <v>5346</v>
      </c>
      <c r="B2734" s="6" t="s">
        <v>721</v>
      </c>
      <c r="C2734" s="6" t="s">
        <v>112</v>
      </c>
      <c r="D2734" s="13" t="n">
        <v>45261</v>
      </c>
      <c r="E2734" s="14" t="n">
        <v>855.12</v>
      </c>
      <c r="F2734" s="14" t="n">
        <v>3228.62</v>
      </c>
      <c r="G2734" s="6" t="s">
        <v>2613</v>
      </c>
    </row>
    <row r="2735" customFormat="false" ht="15" hidden="false" customHeight="true" outlineLevel="0" collapsed="false">
      <c r="A2735" s="6" t="s">
        <v>5347</v>
      </c>
      <c r="B2735" s="6" t="s">
        <v>721</v>
      </c>
      <c r="C2735" s="6" t="s">
        <v>112</v>
      </c>
      <c r="D2735" s="13" t="n">
        <v>45268</v>
      </c>
      <c r="E2735" s="14" t="n">
        <v>697.83</v>
      </c>
      <c r="F2735" s="14" t="n">
        <v>3926.45</v>
      </c>
      <c r="G2735" s="6" t="s">
        <v>2613</v>
      </c>
    </row>
    <row r="2736" customFormat="false" ht="15" hidden="false" customHeight="true" outlineLevel="0" collapsed="false">
      <c r="A2736" s="6" t="s">
        <v>5348</v>
      </c>
      <c r="B2736" s="6" t="s">
        <v>721</v>
      </c>
      <c r="C2736" s="6" t="s">
        <v>112</v>
      </c>
      <c r="D2736" s="13" t="n">
        <v>45275</v>
      </c>
      <c r="E2736" s="14" t="n">
        <v>1149.85</v>
      </c>
      <c r="F2736" s="14" t="n">
        <v>5076.3</v>
      </c>
      <c r="G2736" s="6" t="s">
        <v>2613</v>
      </c>
    </row>
    <row r="2737" customFormat="false" ht="15" hidden="false" customHeight="true" outlineLevel="0" collapsed="false">
      <c r="A2737" s="6" t="s">
        <v>5349</v>
      </c>
      <c r="B2737" s="6" t="s">
        <v>721</v>
      </c>
      <c r="C2737" s="6" t="s">
        <v>112</v>
      </c>
      <c r="D2737" s="13" t="n">
        <v>45282</v>
      </c>
      <c r="E2737" s="14" t="n">
        <v>659.33</v>
      </c>
      <c r="F2737" s="14" t="n">
        <v>5735.63</v>
      </c>
      <c r="G2737" s="6" t="s">
        <v>2613</v>
      </c>
    </row>
    <row r="2738" customFormat="false" ht="15" hidden="false" customHeight="true" outlineLevel="0" collapsed="false">
      <c r="A2738" s="6" t="s">
        <v>5350</v>
      </c>
      <c r="B2738" s="6" t="s">
        <v>721</v>
      </c>
      <c r="C2738" s="6" t="s">
        <v>112</v>
      </c>
      <c r="D2738" s="13" t="n">
        <v>45289</v>
      </c>
      <c r="E2738" s="14" t="n">
        <v>1557.44</v>
      </c>
      <c r="F2738" s="14" t="n">
        <v>7293.07</v>
      </c>
      <c r="G2738" s="6" t="s">
        <v>2613</v>
      </c>
    </row>
    <row r="2739" customFormat="false" ht="15" hidden="false" customHeight="true" outlineLevel="0" collapsed="false">
      <c r="A2739" s="6" t="s">
        <v>5351</v>
      </c>
      <c r="B2739" s="6" t="s">
        <v>723</v>
      </c>
      <c r="C2739" s="6" t="s">
        <v>116</v>
      </c>
      <c r="D2739" s="13" t="n">
        <v>44883</v>
      </c>
      <c r="E2739" s="14" t="n">
        <v>5432.06</v>
      </c>
      <c r="F2739" s="14" t="n">
        <v>5432.06</v>
      </c>
      <c r="G2739" s="6" t="s">
        <v>2613</v>
      </c>
    </row>
    <row r="2740" customFormat="false" ht="15" hidden="false" customHeight="true" outlineLevel="0" collapsed="false">
      <c r="A2740" s="6" t="s">
        <v>5352</v>
      </c>
      <c r="B2740" s="6" t="s">
        <v>723</v>
      </c>
      <c r="C2740" s="6" t="s">
        <v>116</v>
      </c>
      <c r="D2740" s="13" t="n">
        <v>44890</v>
      </c>
      <c r="E2740" s="14" t="n">
        <v>6796.15</v>
      </c>
      <c r="F2740" s="14" t="n">
        <v>12228.21</v>
      </c>
      <c r="G2740" s="6" t="s">
        <v>2613</v>
      </c>
    </row>
    <row r="2741" customFormat="false" ht="15" hidden="false" customHeight="true" outlineLevel="0" collapsed="false">
      <c r="A2741" s="6" t="s">
        <v>5353</v>
      </c>
      <c r="B2741" s="6" t="s">
        <v>723</v>
      </c>
      <c r="C2741" s="6" t="s">
        <v>116</v>
      </c>
      <c r="D2741" s="13" t="n">
        <v>44897</v>
      </c>
      <c r="E2741" s="14" t="n">
        <v>6920.37</v>
      </c>
      <c r="F2741" s="14" t="n">
        <v>19148.58</v>
      </c>
      <c r="G2741" s="6" t="s">
        <v>2613</v>
      </c>
    </row>
    <row r="2742" customFormat="false" ht="15" hidden="false" customHeight="true" outlineLevel="0" collapsed="false">
      <c r="A2742" s="6" t="s">
        <v>5354</v>
      </c>
      <c r="B2742" s="6" t="s">
        <v>723</v>
      </c>
      <c r="C2742" s="6" t="s">
        <v>116</v>
      </c>
      <c r="D2742" s="13" t="n">
        <v>44904</v>
      </c>
      <c r="E2742" s="14" t="n">
        <v>6870.66</v>
      </c>
      <c r="F2742" s="14" t="n">
        <v>26019.24</v>
      </c>
      <c r="G2742" s="6" t="s">
        <v>2613</v>
      </c>
    </row>
    <row r="2743" customFormat="false" ht="15" hidden="false" customHeight="true" outlineLevel="0" collapsed="false">
      <c r="A2743" s="6" t="s">
        <v>5355</v>
      </c>
      <c r="B2743" s="6" t="s">
        <v>723</v>
      </c>
      <c r="C2743" s="6" t="s">
        <v>116</v>
      </c>
      <c r="D2743" s="13" t="n">
        <v>44911</v>
      </c>
      <c r="E2743" s="14" t="n">
        <v>6128.89</v>
      </c>
      <c r="F2743" s="14" t="n">
        <v>32148.13</v>
      </c>
      <c r="G2743" s="6" t="s">
        <v>2613</v>
      </c>
    </row>
    <row r="2744" customFormat="false" ht="15" hidden="false" customHeight="true" outlineLevel="0" collapsed="false">
      <c r="A2744" s="6" t="s">
        <v>5356</v>
      </c>
      <c r="B2744" s="6" t="s">
        <v>723</v>
      </c>
      <c r="C2744" s="6" t="s">
        <v>116</v>
      </c>
      <c r="D2744" s="13" t="n">
        <v>44918</v>
      </c>
      <c r="E2744" s="14" t="n">
        <v>3415.5</v>
      </c>
      <c r="F2744" s="14" t="n">
        <v>35563.63</v>
      </c>
      <c r="G2744" s="6" t="s">
        <v>2613</v>
      </c>
    </row>
    <row r="2745" customFormat="false" ht="15" hidden="false" customHeight="true" outlineLevel="0" collapsed="false">
      <c r="A2745" s="6" t="s">
        <v>5357</v>
      </c>
      <c r="B2745" s="6" t="s">
        <v>723</v>
      </c>
      <c r="C2745" s="6" t="s">
        <v>116</v>
      </c>
      <c r="D2745" s="13" t="n">
        <v>44925</v>
      </c>
      <c r="E2745" s="14" t="n">
        <v>6205.49</v>
      </c>
      <c r="F2745" s="14" t="n">
        <v>41769.12</v>
      </c>
      <c r="G2745" s="6" t="s">
        <v>2613</v>
      </c>
    </row>
    <row r="2746" customFormat="false" ht="15" hidden="false" customHeight="true" outlineLevel="0" collapsed="false">
      <c r="A2746" s="6" t="s">
        <v>5358</v>
      </c>
      <c r="B2746" s="6" t="s">
        <v>725</v>
      </c>
      <c r="C2746" s="6" t="s">
        <v>112</v>
      </c>
      <c r="D2746" s="13" t="n">
        <v>45971</v>
      </c>
      <c r="E2746" s="14" t="n">
        <v>1486.15</v>
      </c>
      <c r="F2746" s="14" t="n">
        <v>1486.15</v>
      </c>
      <c r="G2746" s="6" t="s">
        <v>2613</v>
      </c>
    </row>
    <row r="2747" customFormat="false" ht="15" hidden="false" customHeight="true" outlineLevel="0" collapsed="false">
      <c r="A2747" s="6" t="s">
        <v>5359</v>
      </c>
      <c r="B2747" s="6" t="s">
        <v>725</v>
      </c>
      <c r="C2747" s="6" t="s">
        <v>112</v>
      </c>
      <c r="D2747" s="13" t="n">
        <v>45978</v>
      </c>
      <c r="E2747" s="14" t="n">
        <v>2268.5</v>
      </c>
      <c r="F2747" s="14" t="n">
        <v>3754.65</v>
      </c>
      <c r="G2747" s="6" t="s">
        <v>2613</v>
      </c>
    </row>
    <row r="2748" customFormat="false" ht="15" hidden="false" customHeight="true" outlineLevel="0" collapsed="false">
      <c r="A2748" s="6" t="s">
        <v>5360</v>
      </c>
      <c r="B2748" s="6" t="s">
        <v>725</v>
      </c>
      <c r="C2748" s="6" t="s">
        <v>112</v>
      </c>
      <c r="D2748" s="13" t="n">
        <v>45985</v>
      </c>
      <c r="E2748" s="14" t="n">
        <v>2054.07</v>
      </c>
      <c r="F2748" s="14" t="n">
        <v>5808.72</v>
      </c>
      <c r="G2748" s="6" t="s">
        <v>2613</v>
      </c>
    </row>
    <row r="2749" customFormat="false" ht="15" hidden="false" customHeight="true" outlineLevel="0" collapsed="false">
      <c r="A2749" s="6" t="s">
        <v>5361</v>
      </c>
      <c r="B2749" s="6" t="s">
        <v>725</v>
      </c>
      <c r="C2749" s="6" t="s">
        <v>112</v>
      </c>
      <c r="D2749" s="13" t="n">
        <v>45992</v>
      </c>
      <c r="E2749" s="14" t="n">
        <v>1723.83</v>
      </c>
      <c r="F2749" s="14" t="n">
        <v>7532.55</v>
      </c>
      <c r="G2749" s="6" t="s">
        <v>2623</v>
      </c>
    </row>
    <row r="2750" customFormat="false" ht="15" hidden="false" customHeight="true" outlineLevel="0" collapsed="false">
      <c r="A2750" s="6" t="s">
        <v>5362</v>
      </c>
      <c r="B2750" s="6" t="s">
        <v>725</v>
      </c>
      <c r="C2750" s="6" t="s">
        <v>112</v>
      </c>
      <c r="D2750" s="13" t="n">
        <v>45999</v>
      </c>
      <c r="E2750" s="14" t="n">
        <v>2381.3</v>
      </c>
      <c r="F2750" s="14" t="n">
        <v>9913.85</v>
      </c>
      <c r="G2750" s="6" t="s">
        <v>2613</v>
      </c>
    </row>
    <row r="2751" customFormat="false" ht="15" hidden="false" customHeight="true" outlineLevel="0" collapsed="false">
      <c r="A2751" s="6" t="s">
        <v>5363</v>
      </c>
      <c r="B2751" s="6" t="s">
        <v>725</v>
      </c>
      <c r="C2751" s="6" t="s">
        <v>112</v>
      </c>
      <c r="D2751" s="13" t="n">
        <v>46006</v>
      </c>
      <c r="E2751" s="14" t="n">
        <v>1367.03</v>
      </c>
      <c r="F2751" s="14" t="n">
        <v>11280.88</v>
      </c>
      <c r="G2751" s="6" t="s">
        <v>2613</v>
      </c>
    </row>
    <row r="2752" customFormat="false" ht="15" hidden="false" customHeight="true" outlineLevel="0" collapsed="false">
      <c r="A2752" s="6" t="s">
        <v>5364</v>
      </c>
      <c r="B2752" s="6" t="s">
        <v>725</v>
      </c>
      <c r="C2752" s="6" t="s">
        <v>112</v>
      </c>
      <c r="D2752" s="13" t="n">
        <v>46013</v>
      </c>
      <c r="E2752" s="14" t="n">
        <v>2274.83</v>
      </c>
      <c r="F2752" s="14" t="n">
        <v>13555.71</v>
      </c>
      <c r="G2752" s="6" t="s">
        <v>2613</v>
      </c>
    </row>
    <row r="2753" customFormat="false" ht="15" hidden="false" customHeight="true" outlineLevel="0" collapsed="false">
      <c r="A2753" s="6" t="s">
        <v>5365</v>
      </c>
      <c r="B2753" s="6" t="s">
        <v>725</v>
      </c>
      <c r="C2753" s="6" t="s">
        <v>112</v>
      </c>
      <c r="D2753" s="13" t="n">
        <v>46020</v>
      </c>
      <c r="E2753" s="14" t="n">
        <v>2649.14</v>
      </c>
      <c r="F2753" s="14" t="n">
        <v>16204.85</v>
      </c>
      <c r="G2753" s="6" t="s">
        <v>2613</v>
      </c>
    </row>
    <row r="2754" customFormat="false" ht="15" hidden="false" customHeight="true" outlineLevel="0" collapsed="false">
      <c r="A2754" s="6" t="s">
        <v>5366</v>
      </c>
      <c r="B2754" s="6" t="s">
        <v>725</v>
      </c>
      <c r="C2754" s="6" t="s">
        <v>112</v>
      </c>
      <c r="D2754" s="13" t="n">
        <v>46027</v>
      </c>
      <c r="E2754" s="14" t="n">
        <v>2886.74</v>
      </c>
      <c r="F2754" s="14" t="n">
        <v>19091.59</v>
      </c>
      <c r="G2754" s="6" t="s">
        <v>2613</v>
      </c>
    </row>
    <row r="2755" customFormat="false" ht="15" hidden="false" customHeight="true" outlineLevel="0" collapsed="false">
      <c r="A2755" s="6" t="s">
        <v>5367</v>
      </c>
      <c r="B2755" s="6" t="s">
        <v>725</v>
      </c>
      <c r="C2755" s="6" t="s">
        <v>112</v>
      </c>
      <c r="D2755" s="13" t="n">
        <v>46034</v>
      </c>
      <c r="E2755" s="14" t="n">
        <v>1834.78</v>
      </c>
      <c r="F2755" s="14" t="n">
        <v>20926.37</v>
      </c>
      <c r="G2755" s="6" t="s">
        <v>2613</v>
      </c>
    </row>
    <row r="2756" customFormat="false" ht="15" hidden="false" customHeight="true" outlineLevel="0" collapsed="false">
      <c r="A2756" s="6" t="s">
        <v>5368</v>
      </c>
      <c r="B2756" s="6" t="s">
        <v>725</v>
      </c>
      <c r="C2756" s="6" t="s">
        <v>112</v>
      </c>
      <c r="D2756" s="13" t="n">
        <v>46041</v>
      </c>
      <c r="E2756" s="14" t="n">
        <v>1754.46</v>
      </c>
      <c r="F2756" s="14" t="n">
        <v>22680.83</v>
      </c>
      <c r="G2756" s="6" t="s">
        <v>2613</v>
      </c>
    </row>
    <row r="2757" customFormat="false" ht="15" hidden="false" customHeight="true" outlineLevel="0" collapsed="false">
      <c r="A2757" s="6" t="s">
        <v>5369</v>
      </c>
      <c r="B2757" s="6" t="s">
        <v>725</v>
      </c>
      <c r="C2757" s="6" t="s">
        <v>112</v>
      </c>
      <c r="D2757" s="13" t="n">
        <v>46048</v>
      </c>
      <c r="E2757" s="14" t="n">
        <v>1876.8</v>
      </c>
      <c r="F2757" s="14" t="n">
        <v>24557.63</v>
      </c>
      <c r="G2757" s="6" t="s">
        <v>2613</v>
      </c>
    </row>
    <row r="2758" customFormat="false" ht="15" hidden="false" customHeight="true" outlineLevel="0" collapsed="false">
      <c r="A2758" s="6" t="s">
        <v>5370</v>
      </c>
      <c r="B2758" s="6" t="s">
        <v>725</v>
      </c>
      <c r="C2758" s="6" t="s">
        <v>112</v>
      </c>
      <c r="D2758" s="13" t="n">
        <v>46055</v>
      </c>
      <c r="E2758" s="14" t="n">
        <v>3048.1</v>
      </c>
      <c r="F2758" s="14" t="n">
        <v>27605.73</v>
      </c>
      <c r="G2758" s="6" t="s">
        <v>2613</v>
      </c>
    </row>
    <row r="2759" customFormat="false" ht="15" hidden="false" customHeight="true" outlineLevel="0" collapsed="false">
      <c r="A2759" s="6" t="s">
        <v>5371</v>
      </c>
      <c r="B2759" s="6" t="s">
        <v>725</v>
      </c>
      <c r="C2759" s="6" t="s">
        <v>112</v>
      </c>
      <c r="D2759" s="13" t="n">
        <v>46062</v>
      </c>
      <c r="E2759" s="14" t="n">
        <v>1590.61</v>
      </c>
      <c r="F2759" s="14" t="n">
        <v>29196.34</v>
      </c>
      <c r="G2759" s="6" t="s">
        <v>2613</v>
      </c>
    </row>
    <row r="2760" customFormat="false" ht="15" hidden="false" customHeight="true" outlineLevel="0" collapsed="false">
      <c r="A2760" s="6" t="s">
        <v>5372</v>
      </c>
      <c r="B2760" s="6" t="s">
        <v>725</v>
      </c>
      <c r="C2760" s="6" t="s">
        <v>112</v>
      </c>
      <c r="D2760" s="13" t="n">
        <v>46069</v>
      </c>
      <c r="E2760" s="14" t="n">
        <v>1443.88</v>
      </c>
      <c r="F2760" s="14" t="n">
        <v>30640.22</v>
      </c>
      <c r="G2760" s="6" t="s">
        <v>2613</v>
      </c>
    </row>
    <row r="2761" customFormat="false" ht="15" hidden="false" customHeight="true" outlineLevel="0" collapsed="false">
      <c r="A2761" s="6" t="s">
        <v>5373</v>
      </c>
      <c r="B2761" s="6" t="s">
        <v>725</v>
      </c>
      <c r="C2761" s="6" t="s">
        <v>112</v>
      </c>
      <c r="D2761" s="13" t="n">
        <v>46076</v>
      </c>
      <c r="E2761" s="14" t="n">
        <v>5388.3</v>
      </c>
      <c r="F2761" s="14" t="n">
        <v>36028.52</v>
      </c>
      <c r="G2761" s="6" t="s">
        <v>2613</v>
      </c>
    </row>
    <row r="2762" customFormat="false" ht="15" hidden="false" customHeight="true" outlineLevel="0" collapsed="false">
      <c r="A2762" s="6" t="s">
        <v>5374</v>
      </c>
      <c r="B2762" s="6" t="s">
        <v>727</v>
      </c>
      <c r="C2762" s="6" t="s">
        <v>116</v>
      </c>
      <c r="D2762" s="13" t="n">
        <v>44842</v>
      </c>
      <c r="E2762" s="14" t="n">
        <v>178.32</v>
      </c>
      <c r="F2762" s="14" t="n">
        <v>178.32</v>
      </c>
      <c r="G2762" s="6" t="s">
        <v>2623</v>
      </c>
    </row>
    <row r="2763" customFormat="false" ht="15" hidden="false" customHeight="true" outlineLevel="0" collapsed="false">
      <c r="A2763" s="6" t="s">
        <v>5375</v>
      </c>
      <c r="B2763" s="6" t="s">
        <v>727</v>
      </c>
      <c r="C2763" s="6" t="s">
        <v>116</v>
      </c>
      <c r="D2763" s="13" t="n">
        <v>44849</v>
      </c>
      <c r="E2763" s="14" t="n">
        <v>259.85</v>
      </c>
      <c r="F2763" s="14" t="n">
        <v>438.17</v>
      </c>
      <c r="G2763" s="6" t="s">
        <v>2613</v>
      </c>
    </row>
    <row r="2764" customFormat="false" ht="15" hidden="false" customHeight="true" outlineLevel="0" collapsed="false">
      <c r="A2764" s="6" t="s">
        <v>5376</v>
      </c>
      <c r="B2764" s="6" t="s">
        <v>727</v>
      </c>
      <c r="C2764" s="6" t="s">
        <v>116</v>
      </c>
      <c r="D2764" s="13" t="n">
        <v>44856</v>
      </c>
      <c r="E2764" s="14" t="n">
        <v>160.84</v>
      </c>
      <c r="F2764" s="14" t="n">
        <v>599.01</v>
      </c>
      <c r="G2764" s="6" t="s">
        <v>2613</v>
      </c>
    </row>
    <row r="2765" customFormat="false" ht="15" hidden="false" customHeight="true" outlineLevel="0" collapsed="false">
      <c r="A2765" s="6" t="s">
        <v>5377</v>
      </c>
      <c r="B2765" s="6" t="s">
        <v>727</v>
      </c>
      <c r="C2765" s="6" t="s">
        <v>116</v>
      </c>
      <c r="D2765" s="13" t="n">
        <v>44863</v>
      </c>
      <c r="E2765" s="14" t="n">
        <v>153.78</v>
      </c>
      <c r="F2765" s="14" t="n">
        <v>752.79</v>
      </c>
      <c r="G2765" s="6" t="s">
        <v>2613</v>
      </c>
    </row>
    <row r="2766" customFormat="false" ht="15" hidden="false" customHeight="true" outlineLevel="0" collapsed="false">
      <c r="A2766" s="6" t="s">
        <v>5378</v>
      </c>
      <c r="B2766" s="6" t="s">
        <v>727</v>
      </c>
      <c r="C2766" s="6" t="s">
        <v>116</v>
      </c>
      <c r="D2766" s="13" t="n">
        <v>44870</v>
      </c>
      <c r="E2766" s="14" t="n">
        <v>213.63</v>
      </c>
      <c r="F2766" s="14" t="n">
        <v>966.42</v>
      </c>
      <c r="G2766" s="6" t="s">
        <v>2613</v>
      </c>
    </row>
    <row r="2767" customFormat="false" ht="15" hidden="false" customHeight="true" outlineLevel="0" collapsed="false">
      <c r="A2767" s="6" t="s">
        <v>5379</v>
      </c>
      <c r="B2767" s="6" t="s">
        <v>727</v>
      </c>
      <c r="C2767" s="6" t="s">
        <v>116</v>
      </c>
      <c r="D2767" s="13" t="n">
        <v>44877</v>
      </c>
      <c r="E2767" s="14" t="n">
        <v>253.58</v>
      </c>
      <c r="F2767" s="14" t="n">
        <v>1220</v>
      </c>
      <c r="G2767" s="6" t="s">
        <v>2613</v>
      </c>
    </row>
    <row r="2768" customFormat="false" ht="15" hidden="false" customHeight="true" outlineLevel="0" collapsed="false">
      <c r="A2768" s="6" t="s">
        <v>5380</v>
      </c>
      <c r="B2768" s="6" t="s">
        <v>727</v>
      </c>
      <c r="C2768" s="6" t="s">
        <v>116</v>
      </c>
      <c r="D2768" s="13" t="n">
        <v>44884</v>
      </c>
      <c r="E2768" s="14" t="n">
        <v>142.12</v>
      </c>
      <c r="F2768" s="14" t="n">
        <v>1362.12</v>
      </c>
      <c r="G2768" s="6" t="s">
        <v>2613</v>
      </c>
    </row>
    <row r="2769" customFormat="false" ht="15" hidden="false" customHeight="true" outlineLevel="0" collapsed="false">
      <c r="A2769" s="6" t="s">
        <v>5381</v>
      </c>
      <c r="B2769" s="6" t="s">
        <v>727</v>
      </c>
      <c r="C2769" s="6" t="s">
        <v>116</v>
      </c>
      <c r="D2769" s="13" t="n">
        <v>44891</v>
      </c>
      <c r="E2769" s="14" t="n">
        <v>187.84</v>
      </c>
      <c r="F2769" s="14" t="n">
        <v>1549.96</v>
      </c>
      <c r="G2769" s="6" t="s">
        <v>2613</v>
      </c>
    </row>
    <row r="2770" customFormat="false" ht="15" hidden="false" customHeight="true" outlineLevel="0" collapsed="false">
      <c r="A2770" s="6" t="s">
        <v>5382</v>
      </c>
      <c r="B2770" s="6" t="s">
        <v>727</v>
      </c>
      <c r="C2770" s="6" t="s">
        <v>116</v>
      </c>
      <c r="D2770" s="13" t="n">
        <v>44898</v>
      </c>
      <c r="E2770" s="14" t="n">
        <v>268.82</v>
      </c>
      <c r="F2770" s="14" t="n">
        <v>1818.78</v>
      </c>
      <c r="G2770" s="6" t="s">
        <v>2613</v>
      </c>
    </row>
    <row r="2771" customFormat="false" ht="15" hidden="false" customHeight="true" outlineLevel="0" collapsed="false">
      <c r="A2771" s="6" t="s">
        <v>5383</v>
      </c>
      <c r="B2771" s="6" t="s">
        <v>727</v>
      </c>
      <c r="C2771" s="6" t="s">
        <v>116</v>
      </c>
      <c r="D2771" s="13" t="n">
        <v>44905</v>
      </c>
      <c r="E2771" s="14" t="n">
        <v>215.87</v>
      </c>
      <c r="F2771" s="14" t="n">
        <v>2034.65</v>
      </c>
      <c r="G2771" s="6" t="s">
        <v>2613</v>
      </c>
    </row>
    <row r="2772" customFormat="false" ht="15" hidden="false" customHeight="true" outlineLevel="0" collapsed="false">
      <c r="A2772" s="6" t="s">
        <v>5384</v>
      </c>
      <c r="B2772" s="6" t="s">
        <v>727</v>
      </c>
      <c r="C2772" s="6" t="s">
        <v>116</v>
      </c>
      <c r="D2772" s="13" t="n">
        <v>44912</v>
      </c>
      <c r="E2772" s="14" t="n">
        <v>161.07</v>
      </c>
      <c r="F2772" s="14" t="n">
        <v>2195.72</v>
      </c>
      <c r="G2772" s="6" t="s">
        <v>2613</v>
      </c>
    </row>
    <row r="2773" customFormat="false" ht="15" hidden="false" customHeight="true" outlineLevel="0" collapsed="false">
      <c r="A2773" s="6" t="s">
        <v>5385</v>
      </c>
      <c r="B2773" s="6" t="s">
        <v>727</v>
      </c>
      <c r="C2773" s="6" t="s">
        <v>116</v>
      </c>
      <c r="D2773" s="13" t="n">
        <v>44919</v>
      </c>
      <c r="E2773" s="14" t="n">
        <v>220.97</v>
      </c>
      <c r="F2773" s="14" t="n">
        <v>2416.69</v>
      </c>
      <c r="G2773" s="6" t="s">
        <v>2613</v>
      </c>
    </row>
    <row r="2774" customFormat="false" ht="15" hidden="false" customHeight="true" outlineLevel="0" collapsed="false">
      <c r="A2774" s="6" t="s">
        <v>5386</v>
      </c>
      <c r="B2774" s="6" t="s">
        <v>727</v>
      </c>
      <c r="C2774" s="6" t="s">
        <v>116</v>
      </c>
      <c r="D2774" s="13" t="n">
        <v>44926</v>
      </c>
      <c r="E2774" s="14" t="n">
        <v>279.81</v>
      </c>
      <c r="F2774" s="14" t="n">
        <v>2696.5</v>
      </c>
      <c r="G2774" s="6" t="s">
        <v>2613</v>
      </c>
    </row>
    <row r="2775" customFormat="false" ht="15" hidden="false" customHeight="true" outlineLevel="0" collapsed="false">
      <c r="A2775" s="6" t="s">
        <v>5387</v>
      </c>
      <c r="B2775" s="6" t="s">
        <v>729</v>
      </c>
      <c r="C2775" s="6" t="s">
        <v>116</v>
      </c>
      <c r="D2775" s="13" t="n">
        <v>44955</v>
      </c>
      <c r="E2775" s="14" t="n">
        <v>2165.36</v>
      </c>
      <c r="F2775" s="14" t="n">
        <v>2165.36</v>
      </c>
      <c r="G2775" s="6" t="s">
        <v>2613</v>
      </c>
    </row>
    <row r="2776" customFormat="false" ht="15" hidden="false" customHeight="true" outlineLevel="0" collapsed="false">
      <c r="A2776" s="6" t="s">
        <v>5388</v>
      </c>
      <c r="B2776" s="6" t="s">
        <v>729</v>
      </c>
      <c r="C2776" s="6" t="s">
        <v>116</v>
      </c>
      <c r="D2776" s="13" t="n">
        <v>44962</v>
      </c>
      <c r="E2776" s="14" t="n">
        <v>2467.34</v>
      </c>
      <c r="F2776" s="14" t="n">
        <v>4632.7</v>
      </c>
      <c r="G2776" s="6" t="s">
        <v>2613</v>
      </c>
    </row>
    <row r="2777" customFormat="false" ht="15" hidden="false" customHeight="true" outlineLevel="0" collapsed="false">
      <c r="A2777" s="6" t="s">
        <v>5389</v>
      </c>
      <c r="B2777" s="6" t="s">
        <v>729</v>
      </c>
      <c r="C2777" s="6" t="s">
        <v>116</v>
      </c>
      <c r="D2777" s="13" t="n">
        <v>44969</v>
      </c>
      <c r="E2777" s="14" t="n">
        <v>3648.09</v>
      </c>
      <c r="F2777" s="14" t="n">
        <v>8280.79</v>
      </c>
      <c r="G2777" s="6" t="s">
        <v>2613</v>
      </c>
    </row>
    <row r="2778" customFormat="false" ht="15" hidden="false" customHeight="true" outlineLevel="0" collapsed="false">
      <c r="A2778" s="6" t="s">
        <v>5390</v>
      </c>
      <c r="B2778" s="6" t="s">
        <v>729</v>
      </c>
      <c r="C2778" s="6" t="s">
        <v>116</v>
      </c>
      <c r="D2778" s="13" t="n">
        <v>44976</v>
      </c>
      <c r="E2778" s="14" t="n">
        <v>2182.68</v>
      </c>
      <c r="F2778" s="14" t="n">
        <v>10463.47</v>
      </c>
      <c r="G2778" s="6" t="s">
        <v>2613</v>
      </c>
    </row>
    <row r="2779" customFormat="false" ht="15" hidden="false" customHeight="true" outlineLevel="0" collapsed="false">
      <c r="A2779" s="6" t="s">
        <v>5391</v>
      </c>
      <c r="B2779" s="6" t="s">
        <v>729</v>
      </c>
      <c r="C2779" s="6" t="s">
        <v>116</v>
      </c>
      <c r="D2779" s="13" t="n">
        <v>44983</v>
      </c>
      <c r="E2779" s="14" t="n">
        <v>2737.86</v>
      </c>
      <c r="F2779" s="14" t="n">
        <v>13201.33</v>
      </c>
      <c r="G2779" s="6" t="s">
        <v>2613</v>
      </c>
    </row>
    <row r="2780" customFormat="false" ht="15" hidden="false" customHeight="true" outlineLevel="0" collapsed="false">
      <c r="A2780" s="6" t="s">
        <v>5392</v>
      </c>
      <c r="B2780" s="6" t="s">
        <v>729</v>
      </c>
      <c r="C2780" s="6" t="s">
        <v>116</v>
      </c>
      <c r="D2780" s="13" t="n">
        <v>44990</v>
      </c>
      <c r="E2780" s="14" t="n">
        <v>3246.9</v>
      </c>
      <c r="F2780" s="14" t="n">
        <v>16448.23</v>
      </c>
      <c r="G2780" s="6" t="s">
        <v>2613</v>
      </c>
    </row>
    <row r="2781" customFormat="false" ht="15" hidden="false" customHeight="true" outlineLevel="0" collapsed="false">
      <c r="A2781" s="6" t="s">
        <v>5393</v>
      </c>
      <c r="B2781" s="6" t="s">
        <v>729</v>
      </c>
      <c r="C2781" s="6" t="s">
        <v>116</v>
      </c>
      <c r="D2781" s="13" t="n">
        <v>44997</v>
      </c>
      <c r="E2781" s="14" t="n">
        <v>3915.91</v>
      </c>
      <c r="F2781" s="14" t="n">
        <v>20364.14</v>
      </c>
      <c r="G2781" s="6" t="s">
        <v>2613</v>
      </c>
    </row>
    <row r="2782" customFormat="false" ht="15" hidden="false" customHeight="true" outlineLevel="0" collapsed="false">
      <c r="A2782" s="6" t="s">
        <v>5394</v>
      </c>
      <c r="B2782" s="6" t="s">
        <v>731</v>
      </c>
      <c r="C2782" s="6" t="s">
        <v>116</v>
      </c>
      <c r="D2782" s="13" t="n">
        <v>44740</v>
      </c>
      <c r="E2782" s="14" t="n">
        <v>3184.98</v>
      </c>
      <c r="F2782" s="14" t="n">
        <v>3184.98</v>
      </c>
      <c r="G2782" s="6" t="s">
        <v>2613</v>
      </c>
    </row>
    <row r="2783" customFormat="false" ht="15" hidden="false" customHeight="true" outlineLevel="0" collapsed="false">
      <c r="A2783" s="6" t="s">
        <v>5395</v>
      </c>
      <c r="B2783" s="6" t="s">
        <v>731</v>
      </c>
      <c r="C2783" s="6" t="s">
        <v>116</v>
      </c>
      <c r="D2783" s="13" t="n">
        <v>44747</v>
      </c>
      <c r="E2783" s="14" t="n">
        <v>1792.08</v>
      </c>
      <c r="F2783" s="14" t="n">
        <v>4977.06</v>
      </c>
      <c r="G2783" s="6" t="s">
        <v>2613</v>
      </c>
    </row>
    <row r="2784" customFormat="false" ht="15" hidden="false" customHeight="true" outlineLevel="0" collapsed="false">
      <c r="A2784" s="6" t="s">
        <v>5396</v>
      </c>
      <c r="B2784" s="6" t="s">
        <v>731</v>
      </c>
      <c r="C2784" s="6" t="s">
        <v>116</v>
      </c>
      <c r="D2784" s="13" t="n">
        <v>44754</v>
      </c>
      <c r="E2784" s="14" t="n">
        <v>3049.84</v>
      </c>
      <c r="F2784" s="14" t="n">
        <v>8026.9</v>
      </c>
      <c r="G2784" s="6" t="s">
        <v>2613</v>
      </c>
    </row>
    <row r="2785" customFormat="false" ht="15" hidden="false" customHeight="true" outlineLevel="0" collapsed="false">
      <c r="A2785" s="6" t="s">
        <v>5397</v>
      </c>
      <c r="B2785" s="6" t="s">
        <v>731</v>
      </c>
      <c r="C2785" s="6" t="s">
        <v>116</v>
      </c>
      <c r="D2785" s="13" t="n">
        <v>44761</v>
      </c>
      <c r="E2785" s="14" t="n">
        <v>3782.23</v>
      </c>
      <c r="F2785" s="14" t="n">
        <v>11809.13</v>
      </c>
      <c r="G2785" s="6" t="s">
        <v>2623</v>
      </c>
    </row>
    <row r="2786" customFormat="false" ht="15" hidden="false" customHeight="true" outlineLevel="0" collapsed="false">
      <c r="A2786" s="6" t="s">
        <v>5398</v>
      </c>
      <c r="B2786" s="6" t="s">
        <v>731</v>
      </c>
      <c r="C2786" s="6" t="s">
        <v>116</v>
      </c>
      <c r="D2786" s="13" t="n">
        <v>44768</v>
      </c>
      <c r="E2786" s="14" t="n">
        <v>2098.48</v>
      </c>
      <c r="F2786" s="14" t="n">
        <v>13907.61</v>
      </c>
      <c r="G2786" s="6" t="s">
        <v>2613</v>
      </c>
    </row>
    <row r="2787" customFormat="false" ht="15" hidden="false" customHeight="true" outlineLevel="0" collapsed="false">
      <c r="A2787" s="6" t="s">
        <v>5399</v>
      </c>
      <c r="B2787" s="6" t="s">
        <v>731</v>
      </c>
      <c r="C2787" s="6" t="s">
        <v>116</v>
      </c>
      <c r="D2787" s="13" t="n">
        <v>44775</v>
      </c>
      <c r="E2787" s="14" t="n">
        <v>3875.84</v>
      </c>
      <c r="F2787" s="14" t="n">
        <v>17783.45</v>
      </c>
      <c r="G2787" s="6" t="s">
        <v>2613</v>
      </c>
    </row>
    <row r="2788" customFormat="false" ht="15" hidden="false" customHeight="true" outlineLevel="0" collapsed="false">
      <c r="A2788" s="6" t="s">
        <v>5400</v>
      </c>
      <c r="B2788" s="6" t="s">
        <v>731</v>
      </c>
      <c r="C2788" s="6" t="s">
        <v>116</v>
      </c>
      <c r="D2788" s="13" t="n">
        <v>44782</v>
      </c>
      <c r="E2788" s="14" t="n">
        <v>2495.3</v>
      </c>
      <c r="F2788" s="14" t="n">
        <v>20278.75</v>
      </c>
      <c r="G2788" s="6" t="s">
        <v>2613</v>
      </c>
    </row>
    <row r="2789" customFormat="false" ht="15" hidden="false" customHeight="true" outlineLevel="0" collapsed="false">
      <c r="A2789" s="6" t="s">
        <v>5401</v>
      </c>
      <c r="B2789" s="6" t="s">
        <v>731</v>
      </c>
      <c r="C2789" s="6" t="s">
        <v>116</v>
      </c>
      <c r="D2789" s="13" t="n">
        <v>44789</v>
      </c>
      <c r="E2789" s="14" t="n">
        <v>2345.27</v>
      </c>
      <c r="F2789" s="14" t="n">
        <v>22624.02</v>
      </c>
      <c r="G2789" s="6" t="s">
        <v>2613</v>
      </c>
    </row>
    <row r="2790" customFormat="false" ht="15" hidden="false" customHeight="true" outlineLevel="0" collapsed="false">
      <c r="A2790" s="6" t="s">
        <v>5402</v>
      </c>
      <c r="B2790" s="6" t="s">
        <v>731</v>
      </c>
      <c r="C2790" s="6" t="s">
        <v>116</v>
      </c>
      <c r="D2790" s="13" t="n">
        <v>44796</v>
      </c>
      <c r="E2790" s="14" t="n">
        <v>2401.08</v>
      </c>
      <c r="F2790" s="14" t="n">
        <v>25025.1</v>
      </c>
      <c r="G2790" s="6" t="s">
        <v>2613</v>
      </c>
    </row>
    <row r="2791" customFormat="false" ht="15" hidden="false" customHeight="true" outlineLevel="0" collapsed="false">
      <c r="A2791" s="6" t="s">
        <v>5403</v>
      </c>
      <c r="B2791" s="6" t="s">
        <v>731</v>
      </c>
      <c r="C2791" s="6" t="s">
        <v>116</v>
      </c>
      <c r="D2791" s="13" t="n">
        <v>44803</v>
      </c>
      <c r="E2791" s="14" t="n">
        <v>1819.96</v>
      </c>
      <c r="F2791" s="14" t="n">
        <v>26845.06</v>
      </c>
      <c r="G2791" s="6" t="s">
        <v>2623</v>
      </c>
    </row>
    <row r="2792" customFormat="false" ht="15" hidden="false" customHeight="true" outlineLevel="0" collapsed="false">
      <c r="A2792" s="6" t="s">
        <v>5404</v>
      </c>
      <c r="B2792" s="6" t="s">
        <v>731</v>
      </c>
      <c r="C2792" s="6" t="s">
        <v>116</v>
      </c>
      <c r="D2792" s="13" t="n">
        <v>44810</v>
      </c>
      <c r="E2792" s="14" t="n">
        <v>3055.2</v>
      </c>
      <c r="F2792" s="14" t="n">
        <v>29900.26</v>
      </c>
      <c r="G2792" s="6" t="s">
        <v>2613</v>
      </c>
    </row>
    <row r="2793" customFormat="false" ht="15" hidden="false" customHeight="true" outlineLevel="0" collapsed="false">
      <c r="A2793" s="6" t="s">
        <v>5405</v>
      </c>
      <c r="B2793" s="6" t="s">
        <v>731</v>
      </c>
      <c r="C2793" s="6" t="s">
        <v>116</v>
      </c>
      <c r="D2793" s="13" t="n">
        <v>44817</v>
      </c>
      <c r="E2793" s="14" t="n">
        <v>3861.84</v>
      </c>
      <c r="F2793" s="14" t="n">
        <v>33762.1</v>
      </c>
      <c r="G2793" s="6" t="s">
        <v>2613</v>
      </c>
    </row>
    <row r="2794" customFormat="false" ht="15" hidden="false" customHeight="true" outlineLevel="0" collapsed="false">
      <c r="A2794" s="6" t="s">
        <v>5406</v>
      </c>
      <c r="B2794" s="6" t="s">
        <v>731</v>
      </c>
      <c r="C2794" s="6" t="s">
        <v>116</v>
      </c>
      <c r="D2794" s="13" t="n">
        <v>44824</v>
      </c>
      <c r="E2794" s="14" t="n">
        <v>1772.77</v>
      </c>
      <c r="F2794" s="14" t="n">
        <v>35534.87</v>
      </c>
      <c r="G2794" s="6" t="s">
        <v>2613</v>
      </c>
    </row>
    <row r="2795" customFormat="false" ht="15" hidden="false" customHeight="true" outlineLevel="0" collapsed="false">
      <c r="A2795" s="6" t="s">
        <v>5407</v>
      </c>
      <c r="B2795" s="6" t="s">
        <v>731</v>
      </c>
      <c r="C2795" s="6" t="s">
        <v>116</v>
      </c>
      <c r="D2795" s="13" t="n">
        <v>44831</v>
      </c>
      <c r="E2795" s="14" t="n">
        <v>2304.84</v>
      </c>
      <c r="F2795" s="14" t="n">
        <v>37839.71</v>
      </c>
      <c r="G2795" s="6" t="s">
        <v>2613</v>
      </c>
    </row>
    <row r="2796" customFormat="false" ht="15" hidden="false" customHeight="true" outlineLevel="0" collapsed="false">
      <c r="A2796" s="6" t="s">
        <v>5408</v>
      </c>
      <c r="B2796" s="6" t="s">
        <v>731</v>
      </c>
      <c r="C2796" s="6" t="s">
        <v>116</v>
      </c>
      <c r="D2796" s="13" t="n">
        <v>44838</v>
      </c>
      <c r="E2796" s="14" t="n">
        <v>2603.68</v>
      </c>
      <c r="F2796" s="14" t="n">
        <v>40443.39</v>
      </c>
      <c r="G2796" s="6" t="s">
        <v>2613</v>
      </c>
    </row>
    <row r="2797" customFormat="false" ht="15" hidden="false" customHeight="true" outlineLevel="0" collapsed="false">
      <c r="A2797" s="6" t="s">
        <v>5409</v>
      </c>
      <c r="B2797" s="6" t="s">
        <v>731</v>
      </c>
      <c r="C2797" s="6" t="s">
        <v>116</v>
      </c>
      <c r="D2797" s="13" t="n">
        <v>44845</v>
      </c>
      <c r="E2797" s="14" t="n">
        <v>3944.99</v>
      </c>
      <c r="F2797" s="14" t="n">
        <v>44388.38</v>
      </c>
      <c r="G2797" s="6" t="s">
        <v>2613</v>
      </c>
    </row>
    <row r="2798" customFormat="false" ht="15" hidden="false" customHeight="true" outlineLevel="0" collapsed="false">
      <c r="A2798" s="6" t="s">
        <v>5410</v>
      </c>
      <c r="B2798" s="6" t="s">
        <v>731</v>
      </c>
      <c r="C2798" s="6" t="s">
        <v>116</v>
      </c>
      <c r="D2798" s="13" t="n">
        <v>44852</v>
      </c>
      <c r="E2798" s="14" t="n">
        <v>3390.6</v>
      </c>
      <c r="F2798" s="14" t="n">
        <v>47778.98</v>
      </c>
      <c r="G2798" s="6" t="s">
        <v>2613</v>
      </c>
    </row>
    <row r="2799" customFormat="false" ht="15" hidden="false" customHeight="true" outlineLevel="0" collapsed="false">
      <c r="A2799" s="6" t="s">
        <v>5411</v>
      </c>
      <c r="B2799" s="6" t="s">
        <v>731</v>
      </c>
      <c r="C2799" s="6" t="s">
        <v>116</v>
      </c>
      <c r="D2799" s="13" t="n">
        <v>44859</v>
      </c>
      <c r="E2799" s="14" t="n">
        <v>3897.61</v>
      </c>
      <c r="F2799" s="14" t="n">
        <v>51676.59</v>
      </c>
      <c r="G2799" s="6" t="s">
        <v>2613</v>
      </c>
    </row>
    <row r="2800" customFormat="false" ht="15" hidden="false" customHeight="true" outlineLevel="0" collapsed="false">
      <c r="A2800" s="6" t="s">
        <v>5412</v>
      </c>
      <c r="B2800" s="6" t="s">
        <v>731</v>
      </c>
      <c r="C2800" s="6" t="s">
        <v>116</v>
      </c>
      <c r="D2800" s="13" t="n">
        <v>44866</v>
      </c>
      <c r="E2800" s="14" t="n">
        <v>4108</v>
      </c>
      <c r="F2800" s="14" t="n">
        <v>55784.59</v>
      </c>
      <c r="G2800" s="6" t="s">
        <v>2613</v>
      </c>
    </row>
    <row r="2801" customFormat="false" ht="15" hidden="false" customHeight="true" outlineLevel="0" collapsed="false">
      <c r="A2801" s="6" t="s">
        <v>5413</v>
      </c>
      <c r="B2801" s="6" t="s">
        <v>731</v>
      </c>
      <c r="C2801" s="6" t="s">
        <v>116</v>
      </c>
      <c r="D2801" s="13" t="n">
        <v>44873</v>
      </c>
      <c r="E2801" s="14" t="n">
        <v>3212.42</v>
      </c>
      <c r="F2801" s="14" t="n">
        <v>58997.01</v>
      </c>
      <c r="G2801" s="6" t="s">
        <v>2613</v>
      </c>
    </row>
    <row r="2802" customFormat="false" ht="15" hidden="false" customHeight="true" outlineLevel="0" collapsed="false">
      <c r="A2802" s="6" t="s">
        <v>5414</v>
      </c>
      <c r="B2802" s="6" t="s">
        <v>733</v>
      </c>
      <c r="C2802" s="6" t="s">
        <v>120</v>
      </c>
      <c r="D2802" s="13" t="n">
        <v>45797</v>
      </c>
      <c r="E2802" s="14" t="n">
        <v>5186.31</v>
      </c>
      <c r="F2802" s="14" t="n">
        <v>5186.31</v>
      </c>
      <c r="G2802" s="6" t="s">
        <v>2613</v>
      </c>
    </row>
    <row r="2803" customFormat="false" ht="15" hidden="false" customHeight="true" outlineLevel="0" collapsed="false">
      <c r="A2803" s="6" t="s">
        <v>5415</v>
      </c>
      <c r="B2803" s="6" t="s">
        <v>733</v>
      </c>
      <c r="C2803" s="6" t="s">
        <v>120</v>
      </c>
      <c r="D2803" s="13" t="n">
        <v>45804</v>
      </c>
      <c r="E2803" s="14" t="n">
        <v>4339.27</v>
      </c>
      <c r="F2803" s="14" t="n">
        <v>9525.58</v>
      </c>
      <c r="G2803" s="6" t="s">
        <v>2613</v>
      </c>
    </row>
    <row r="2804" customFormat="false" ht="15" hidden="false" customHeight="true" outlineLevel="0" collapsed="false">
      <c r="A2804" s="6" t="s">
        <v>5416</v>
      </c>
      <c r="B2804" s="6" t="s">
        <v>733</v>
      </c>
      <c r="C2804" s="6" t="s">
        <v>120</v>
      </c>
      <c r="D2804" s="13" t="n">
        <v>45811</v>
      </c>
      <c r="E2804" s="14" t="n">
        <v>5130.39</v>
      </c>
      <c r="F2804" s="14" t="n">
        <v>14655.97</v>
      </c>
      <c r="G2804" s="6" t="s">
        <v>2613</v>
      </c>
    </row>
    <row r="2805" customFormat="false" ht="15" hidden="false" customHeight="true" outlineLevel="0" collapsed="false">
      <c r="A2805" s="6" t="s">
        <v>5417</v>
      </c>
      <c r="B2805" s="6" t="s">
        <v>733</v>
      </c>
      <c r="C2805" s="6" t="s">
        <v>120</v>
      </c>
      <c r="D2805" s="13" t="n">
        <v>45818</v>
      </c>
      <c r="E2805" s="14" t="n">
        <v>3943.12</v>
      </c>
      <c r="F2805" s="14" t="n">
        <v>18599.09</v>
      </c>
      <c r="G2805" s="6" t="s">
        <v>2613</v>
      </c>
    </row>
    <row r="2806" customFormat="false" ht="15" hidden="false" customHeight="true" outlineLevel="0" collapsed="false">
      <c r="A2806" s="6" t="s">
        <v>5418</v>
      </c>
      <c r="B2806" s="6" t="s">
        <v>733</v>
      </c>
      <c r="C2806" s="6" t="s">
        <v>120</v>
      </c>
      <c r="D2806" s="13" t="n">
        <v>45825</v>
      </c>
      <c r="E2806" s="14" t="n">
        <v>3205</v>
      </c>
      <c r="F2806" s="14" t="n">
        <v>21804.09</v>
      </c>
      <c r="G2806" s="6" t="s">
        <v>2613</v>
      </c>
    </row>
    <row r="2807" customFormat="false" ht="15" hidden="false" customHeight="true" outlineLevel="0" collapsed="false">
      <c r="A2807" s="6" t="s">
        <v>5419</v>
      </c>
      <c r="B2807" s="6" t="s">
        <v>733</v>
      </c>
      <c r="C2807" s="6" t="s">
        <v>120</v>
      </c>
      <c r="D2807" s="13" t="n">
        <v>45832</v>
      </c>
      <c r="E2807" s="14" t="n">
        <v>4888.24</v>
      </c>
      <c r="F2807" s="14" t="n">
        <v>26692.33</v>
      </c>
      <c r="G2807" s="6" t="s">
        <v>2613</v>
      </c>
    </row>
    <row r="2808" customFormat="false" ht="15" hidden="false" customHeight="true" outlineLevel="0" collapsed="false">
      <c r="A2808" s="6" t="s">
        <v>5420</v>
      </c>
      <c r="B2808" s="6" t="s">
        <v>733</v>
      </c>
      <c r="C2808" s="6" t="s">
        <v>120</v>
      </c>
      <c r="D2808" s="13" t="n">
        <v>45839</v>
      </c>
      <c r="E2808" s="14" t="n">
        <v>5087.19</v>
      </c>
      <c r="F2808" s="14" t="n">
        <v>31779.52</v>
      </c>
      <c r="G2808" s="6" t="s">
        <v>2613</v>
      </c>
    </row>
    <row r="2809" customFormat="false" ht="15" hidden="false" customHeight="true" outlineLevel="0" collapsed="false">
      <c r="A2809" s="6" t="s">
        <v>5421</v>
      </c>
      <c r="B2809" s="6" t="s">
        <v>733</v>
      </c>
      <c r="C2809" s="6" t="s">
        <v>120</v>
      </c>
      <c r="D2809" s="13" t="n">
        <v>45846</v>
      </c>
      <c r="E2809" s="14" t="n">
        <v>4822.27</v>
      </c>
      <c r="F2809" s="14" t="n">
        <v>36601.79</v>
      </c>
      <c r="G2809" s="6" t="s">
        <v>2613</v>
      </c>
    </row>
    <row r="2810" customFormat="false" ht="15" hidden="false" customHeight="true" outlineLevel="0" collapsed="false">
      <c r="A2810" s="6" t="s">
        <v>5422</v>
      </c>
      <c r="B2810" s="6" t="s">
        <v>733</v>
      </c>
      <c r="C2810" s="6" t="s">
        <v>120</v>
      </c>
      <c r="D2810" s="13" t="n">
        <v>45853</v>
      </c>
      <c r="E2810" s="14" t="n">
        <v>2833.74</v>
      </c>
      <c r="F2810" s="14" t="n">
        <v>39435.53</v>
      </c>
      <c r="G2810" s="6" t="s">
        <v>2613</v>
      </c>
    </row>
    <row r="2811" customFormat="false" ht="15" hidden="false" customHeight="true" outlineLevel="0" collapsed="false">
      <c r="A2811" s="6" t="s">
        <v>5423</v>
      </c>
      <c r="B2811" s="6" t="s">
        <v>733</v>
      </c>
      <c r="C2811" s="6" t="s">
        <v>120</v>
      </c>
      <c r="D2811" s="13" t="n">
        <v>45860</v>
      </c>
      <c r="E2811" s="14" t="n">
        <v>4882.46</v>
      </c>
      <c r="F2811" s="14" t="n">
        <v>44317.99</v>
      </c>
      <c r="G2811" s="6" t="s">
        <v>2613</v>
      </c>
    </row>
    <row r="2812" customFormat="false" ht="15" hidden="false" customHeight="true" outlineLevel="0" collapsed="false">
      <c r="A2812" s="6" t="s">
        <v>5424</v>
      </c>
      <c r="B2812" s="6" t="s">
        <v>733</v>
      </c>
      <c r="C2812" s="6" t="s">
        <v>120</v>
      </c>
      <c r="D2812" s="13" t="n">
        <v>45867</v>
      </c>
      <c r="E2812" s="14" t="n">
        <v>4938.64</v>
      </c>
      <c r="F2812" s="14" t="n">
        <v>49256.63</v>
      </c>
      <c r="G2812" s="6" t="s">
        <v>2613</v>
      </c>
    </row>
    <row r="2813" customFormat="false" ht="15" hidden="false" customHeight="true" outlineLevel="0" collapsed="false">
      <c r="A2813" s="6" t="s">
        <v>5425</v>
      </c>
      <c r="B2813" s="6" t="s">
        <v>733</v>
      </c>
      <c r="C2813" s="6" t="s">
        <v>120</v>
      </c>
      <c r="D2813" s="13" t="n">
        <v>45874</v>
      </c>
      <c r="E2813" s="14" t="n">
        <v>3716.49</v>
      </c>
      <c r="F2813" s="14" t="n">
        <v>52973.12</v>
      </c>
      <c r="G2813" s="6" t="s">
        <v>2613</v>
      </c>
    </row>
    <row r="2814" customFormat="false" ht="15" hidden="false" customHeight="true" outlineLevel="0" collapsed="false">
      <c r="A2814" s="6" t="s">
        <v>5426</v>
      </c>
      <c r="B2814" s="6" t="s">
        <v>733</v>
      </c>
      <c r="C2814" s="6" t="s">
        <v>120</v>
      </c>
      <c r="D2814" s="13" t="n">
        <v>45881</v>
      </c>
      <c r="E2814" s="14" t="n">
        <v>2823.92</v>
      </c>
      <c r="F2814" s="14" t="n">
        <v>55797.04</v>
      </c>
      <c r="G2814" s="6" t="s">
        <v>2613</v>
      </c>
    </row>
    <row r="2815" customFormat="false" ht="15" hidden="false" customHeight="true" outlineLevel="0" collapsed="false">
      <c r="A2815" s="6" t="s">
        <v>5427</v>
      </c>
      <c r="B2815" s="6" t="s">
        <v>733</v>
      </c>
      <c r="C2815" s="6" t="s">
        <v>120</v>
      </c>
      <c r="D2815" s="13" t="n">
        <v>45888</v>
      </c>
      <c r="E2815" s="14" t="n">
        <v>2769.84</v>
      </c>
      <c r="F2815" s="14" t="n">
        <v>58566.88</v>
      </c>
      <c r="G2815" s="6" t="s">
        <v>2613</v>
      </c>
    </row>
    <row r="2816" customFormat="false" ht="15" hidden="false" customHeight="true" outlineLevel="0" collapsed="false">
      <c r="A2816" s="6" t="s">
        <v>5428</v>
      </c>
      <c r="B2816" s="6" t="s">
        <v>733</v>
      </c>
      <c r="C2816" s="6" t="s">
        <v>120</v>
      </c>
      <c r="D2816" s="13" t="n">
        <v>45895</v>
      </c>
      <c r="E2816" s="14" t="n">
        <v>615.33</v>
      </c>
      <c r="F2816" s="14" t="n">
        <v>59182.21</v>
      </c>
      <c r="G2816" s="6" t="s">
        <v>2613</v>
      </c>
    </row>
    <row r="2817" customFormat="false" ht="15" hidden="false" customHeight="true" outlineLevel="0" collapsed="false">
      <c r="A2817" s="6" t="s">
        <v>5429</v>
      </c>
      <c r="B2817" s="6" t="s">
        <v>735</v>
      </c>
      <c r="C2817" s="6" t="s">
        <v>124</v>
      </c>
      <c r="D2817" s="13" t="n">
        <v>45694</v>
      </c>
      <c r="E2817" s="14" t="n">
        <v>5869.11</v>
      </c>
      <c r="F2817" s="14" t="n">
        <v>5869.11</v>
      </c>
      <c r="G2817" s="6" t="s">
        <v>2613</v>
      </c>
    </row>
    <row r="2818" customFormat="false" ht="15" hidden="false" customHeight="true" outlineLevel="0" collapsed="false">
      <c r="A2818" s="6" t="s">
        <v>5430</v>
      </c>
      <c r="B2818" s="6" t="s">
        <v>735</v>
      </c>
      <c r="C2818" s="6" t="s">
        <v>124</v>
      </c>
      <c r="D2818" s="13" t="n">
        <v>45701</v>
      </c>
      <c r="E2818" s="14" t="n">
        <v>5192.5</v>
      </c>
      <c r="F2818" s="14" t="n">
        <v>11061.61</v>
      </c>
      <c r="G2818" s="6" t="s">
        <v>2613</v>
      </c>
    </row>
    <row r="2819" customFormat="false" ht="15" hidden="false" customHeight="true" outlineLevel="0" collapsed="false">
      <c r="A2819" s="6" t="s">
        <v>5431</v>
      </c>
      <c r="B2819" s="6" t="s">
        <v>735</v>
      </c>
      <c r="C2819" s="6" t="s">
        <v>124</v>
      </c>
      <c r="D2819" s="13" t="n">
        <v>45708</v>
      </c>
      <c r="E2819" s="14" t="n">
        <v>5362.8</v>
      </c>
      <c r="F2819" s="14" t="n">
        <v>16424.41</v>
      </c>
      <c r="G2819" s="6" t="s">
        <v>2613</v>
      </c>
    </row>
    <row r="2820" customFormat="false" ht="15" hidden="false" customHeight="true" outlineLevel="0" collapsed="false">
      <c r="A2820" s="6" t="s">
        <v>5432</v>
      </c>
      <c r="B2820" s="6" t="s">
        <v>735</v>
      </c>
      <c r="C2820" s="6" t="s">
        <v>124</v>
      </c>
      <c r="D2820" s="13" t="n">
        <v>45715</v>
      </c>
      <c r="E2820" s="14" t="n">
        <v>6606.02</v>
      </c>
      <c r="F2820" s="14" t="n">
        <v>23030.43</v>
      </c>
      <c r="G2820" s="6" t="s">
        <v>2613</v>
      </c>
    </row>
    <row r="2821" customFormat="false" ht="15" hidden="false" customHeight="true" outlineLevel="0" collapsed="false">
      <c r="A2821" s="6" t="s">
        <v>5433</v>
      </c>
      <c r="B2821" s="6" t="s">
        <v>735</v>
      </c>
      <c r="C2821" s="6" t="s">
        <v>124</v>
      </c>
      <c r="D2821" s="13" t="n">
        <v>45722</v>
      </c>
      <c r="E2821" s="14" t="n">
        <v>6649.92</v>
      </c>
      <c r="F2821" s="14" t="n">
        <v>29680.35</v>
      </c>
      <c r="G2821" s="6" t="s">
        <v>2613</v>
      </c>
    </row>
    <row r="2822" customFormat="false" ht="15" hidden="false" customHeight="true" outlineLevel="0" collapsed="false">
      <c r="A2822" s="6" t="s">
        <v>5434</v>
      </c>
      <c r="B2822" s="6" t="s">
        <v>735</v>
      </c>
      <c r="C2822" s="6" t="s">
        <v>124</v>
      </c>
      <c r="D2822" s="13" t="n">
        <v>45729</v>
      </c>
      <c r="E2822" s="14" t="n">
        <v>3445.41</v>
      </c>
      <c r="F2822" s="14" t="n">
        <v>33125.76</v>
      </c>
      <c r="G2822" s="6" t="s">
        <v>2613</v>
      </c>
    </row>
    <row r="2823" customFormat="false" ht="15" hidden="false" customHeight="true" outlineLevel="0" collapsed="false">
      <c r="A2823" s="6" t="s">
        <v>5435</v>
      </c>
      <c r="B2823" s="6" t="s">
        <v>735</v>
      </c>
      <c r="C2823" s="6" t="s">
        <v>124</v>
      </c>
      <c r="D2823" s="13" t="n">
        <v>45736</v>
      </c>
      <c r="E2823" s="14" t="n">
        <v>6917.67</v>
      </c>
      <c r="F2823" s="14" t="n">
        <v>40043.43</v>
      </c>
      <c r="G2823" s="6" t="s">
        <v>2623</v>
      </c>
    </row>
    <row r="2824" customFormat="false" ht="15" hidden="false" customHeight="true" outlineLevel="0" collapsed="false">
      <c r="A2824" s="6" t="s">
        <v>5436</v>
      </c>
      <c r="B2824" s="6" t="s">
        <v>737</v>
      </c>
      <c r="C2824" s="6" t="s">
        <v>128</v>
      </c>
      <c r="D2824" s="13" t="n">
        <v>45431</v>
      </c>
      <c r="E2824" s="14" t="n">
        <v>3433.43</v>
      </c>
      <c r="F2824" s="14" t="n">
        <v>3433.43</v>
      </c>
      <c r="G2824" s="6" t="s">
        <v>2613</v>
      </c>
    </row>
    <row r="2825" customFormat="false" ht="15" hidden="false" customHeight="true" outlineLevel="0" collapsed="false">
      <c r="A2825" s="6" t="s">
        <v>5437</v>
      </c>
      <c r="B2825" s="6" t="s">
        <v>737</v>
      </c>
      <c r="C2825" s="6" t="s">
        <v>128</v>
      </c>
      <c r="D2825" s="13" t="n">
        <v>45438</v>
      </c>
      <c r="E2825" s="14" t="n">
        <v>7294.29</v>
      </c>
      <c r="F2825" s="14" t="n">
        <v>10727.72</v>
      </c>
      <c r="G2825" s="6" t="s">
        <v>2613</v>
      </c>
    </row>
    <row r="2826" customFormat="false" ht="15" hidden="false" customHeight="true" outlineLevel="0" collapsed="false">
      <c r="A2826" s="6" t="s">
        <v>5438</v>
      </c>
      <c r="B2826" s="6" t="s">
        <v>737</v>
      </c>
      <c r="C2826" s="6" t="s">
        <v>128</v>
      </c>
      <c r="D2826" s="13" t="n">
        <v>45445</v>
      </c>
      <c r="E2826" s="14" t="n">
        <v>4803.61</v>
      </c>
      <c r="F2826" s="14" t="n">
        <v>15531.33</v>
      </c>
      <c r="G2826" s="6" t="s">
        <v>2623</v>
      </c>
    </row>
    <row r="2827" customFormat="false" ht="15" hidden="false" customHeight="true" outlineLevel="0" collapsed="false">
      <c r="A2827" s="6" t="s">
        <v>5439</v>
      </c>
      <c r="B2827" s="6" t="s">
        <v>737</v>
      </c>
      <c r="C2827" s="6" t="s">
        <v>128</v>
      </c>
      <c r="D2827" s="13" t="n">
        <v>45452</v>
      </c>
      <c r="E2827" s="14" t="n">
        <v>7306.48</v>
      </c>
      <c r="F2827" s="14" t="n">
        <v>22837.81</v>
      </c>
      <c r="G2827" s="6" t="s">
        <v>2613</v>
      </c>
    </row>
    <row r="2828" customFormat="false" ht="15" hidden="false" customHeight="true" outlineLevel="0" collapsed="false">
      <c r="A2828" s="6" t="s">
        <v>5440</v>
      </c>
      <c r="B2828" s="6" t="s">
        <v>737</v>
      </c>
      <c r="C2828" s="6" t="s">
        <v>128</v>
      </c>
      <c r="D2828" s="13" t="n">
        <v>45459</v>
      </c>
      <c r="E2828" s="14" t="n">
        <v>6183.78</v>
      </c>
      <c r="F2828" s="14" t="n">
        <v>29021.59</v>
      </c>
      <c r="G2828" s="6" t="s">
        <v>2613</v>
      </c>
    </row>
    <row r="2829" customFormat="false" ht="15" hidden="false" customHeight="true" outlineLevel="0" collapsed="false">
      <c r="A2829" s="6" t="s">
        <v>5441</v>
      </c>
      <c r="B2829" s="6" t="s">
        <v>737</v>
      </c>
      <c r="C2829" s="6" t="s">
        <v>128</v>
      </c>
      <c r="D2829" s="13" t="n">
        <v>45466</v>
      </c>
      <c r="E2829" s="14" t="n">
        <v>3509.72</v>
      </c>
      <c r="F2829" s="14" t="n">
        <v>32531.31</v>
      </c>
      <c r="G2829" s="6" t="s">
        <v>2613</v>
      </c>
    </row>
    <row r="2830" customFormat="false" ht="15" hidden="false" customHeight="true" outlineLevel="0" collapsed="false">
      <c r="A2830" s="6" t="s">
        <v>5442</v>
      </c>
      <c r="B2830" s="6" t="s">
        <v>737</v>
      </c>
      <c r="C2830" s="6" t="s">
        <v>128</v>
      </c>
      <c r="D2830" s="13" t="n">
        <v>45473</v>
      </c>
      <c r="E2830" s="14" t="n">
        <v>6904.13</v>
      </c>
      <c r="F2830" s="14" t="n">
        <v>39435.44</v>
      </c>
      <c r="G2830" s="6" t="s">
        <v>2623</v>
      </c>
    </row>
    <row r="2831" customFormat="false" ht="15" hidden="false" customHeight="true" outlineLevel="0" collapsed="false">
      <c r="A2831" s="6" t="s">
        <v>5443</v>
      </c>
      <c r="B2831" s="6" t="s">
        <v>737</v>
      </c>
      <c r="C2831" s="6" t="s">
        <v>128</v>
      </c>
      <c r="D2831" s="13" t="n">
        <v>45480</v>
      </c>
      <c r="E2831" s="14" t="n">
        <v>3170.1</v>
      </c>
      <c r="F2831" s="14" t="n">
        <v>42605.54</v>
      </c>
      <c r="G2831" s="6" t="s">
        <v>2613</v>
      </c>
    </row>
    <row r="2832" customFormat="false" ht="15" hidden="false" customHeight="true" outlineLevel="0" collapsed="false">
      <c r="A2832" s="6" t="s">
        <v>5444</v>
      </c>
      <c r="B2832" s="6" t="s">
        <v>739</v>
      </c>
      <c r="C2832" s="6" t="s">
        <v>112</v>
      </c>
      <c r="D2832" s="13" t="n">
        <v>45531</v>
      </c>
      <c r="E2832" s="14" t="n">
        <v>612.89</v>
      </c>
      <c r="F2832" s="14" t="n">
        <v>612.89</v>
      </c>
      <c r="G2832" s="6" t="s">
        <v>2613</v>
      </c>
    </row>
    <row r="2833" customFormat="false" ht="15" hidden="false" customHeight="true" outlineLevel="0" collapsed="false">
      <c r="A2833" s="6" t="s">
        <v>5445</v>
      </c>
      <c r="B2833" s="6" t="s">
        <v>739</v>
      </c>
      <c r="C2833" s="6" t="s">
        <v>112</v>
      </c>
      <c r="D2833" s="13" t="n">
        <v>45538</v>
      </c>
      <c r="E2833" s="14" t="n">
        <v>414.93</v>
      </c>
      <c r="F2833" s="14" t="n">
        <v>1027.82</v>
      </c>
      <c r="G2833" s="6" t="s">
        <v>2613</v>
      </c>
    </row>
    <row r="2834" customFormat="false" ht="15" hidden="false" customHeight="true" outlineLevel="0" collapsed="false">
      <c r="A2834" s="6" t="s">
        <v>5446</v>
      </c>
      <c r="B2834" s="6" t="s">
        <v>739</v>
      </c>
      <c r="C2834" s="6" t="s">
        <v>112</v>
      </c>
      <c r="D2834" s="13" t="n">
        <v>45545</v>
      </c>
      <c r="E2834" s="14" t="n">
        <v>652.82</v>
      </c>
      <c r="F2834" s="14" t="n">
        <v>1680.64</v>
      </c>
      <c r="G2834" s="6" t="s">
        <v>2623</v>
      </c>
    </row>
    <row r="2835" customFormat="false" ht="15" hidden="false" customHeight="true" outlineLevel="0" collapsed="false">
      <c r="A2835" s="6" t="s">
        <v>5447</v>
      </c>
      <c r="B2835" s="6" t="s">
        <v>739</v>
      </c>
      <c r="C2835" s="6" t="s">
        <v>112</v>
      </c>
      <c r="D2835" s="13" t="n">
        <v>45552</v>
      </c>
      <c r="E2835" s="14" t="n">
        <v>600.78</v>
      </c>
      <c r="F2835" s="14" t="n">
        <v>2281.42</v>
      </c>
      <c r="G2835" s="6" t="s">
        <v>2613</v>
      </c>
    </row>
    <row r="2836" customFormat="false" ht="15" hidden="false" customHeight="true" outlineLevel="0" collapsed="false">
      <c r="A2836" s="6" t="s">
        <v>5448</v>
      </c>
      <c r="B2836" s="6" t="s">
        <v>739</v>
      </c>
      <c r="C2836" s="6" t="s">
        <v>112</v>
      </c>
      <c r="D2836" s="13" t="n">
        <v>45559</v>
      </c>
      <c r="E2836" s="14" t="n">
        <v>219.95</v>
      </c>
      <c r="F2836" s="14" t="n">
        <v>2501.37</v>
      </c>
      <c r="G2836" s="6" t="s">
        <v>2623</v>
      </c>
    </row>
    <row r="2837" customFormat="false" ht="15" hidden="false" customHeight="true" outlineLevel="0" collapsed="false">
      <c r="A2837" s="6" t="s">
        <v>5449</v>
      </c>
      <c r="B2837" s="6" t="s">
        <v>741</v>
      </c>
      <c r="C2837" s="6" t="s">
        <v>124</v>
      </c>
      <c r="D2837" s="13" t="n">
        <v>45637</v>
      </c>
      <c r="E2837" s="14" t="n">
        <v>10270.45</v>
      </c>
      <c r="F2837" s="14" t="n">
        <v>10270.45</v>
      </c>
      <c r="G2837" s="6" t="s">
        <v>2613</v>
      </c>
    </row>
    <row r="2838" customFormat="false" ht="15" hidden="false" customHeight="true" outlineLevel="0" collapsed="false">
      <c r="A2838" s="6" t="s">
        <v>5450</v>
      </c>
      <c r="B2838" s="6" t="s">
        <v>741</v>
      </c>
      <c r="C2838" s="6" t="s">
        <v>124</v>
      </c>
      <c r="D2838" s="13" t="n">
        <v>45644</v>
      </c>
      <c r="E2838" s="14" t="n">
        <v>5544.01</v>
      </c>
      <c r="F2838" s="14" t="n">
        <v>15814.46</v>
      </c>
      <c r="G2838" s="6" t="s">
        <v>2613</v>
      </c>
    </row>
    <row r="2839" customFormat="false" ht="15" hidden="false" customHeight="true" outlineLevel="0" collapsed="false">
      <c r="A2839" s="6" t="s">
        <v>5451</v>
      </c>
      <c r="B2839" s="6" t="s">
        <v>741</v>
      </c>
      <c r="C2839" s="6" t="s">
        <v>124</v>
      </c>
      <c r="D2839" s="13" t="n">
        <v>45651</v>
      </c>
      <c r="E2839" s="14" t="n">
        <v>10816.39</v>
      </c>
      <c r="F2839" s="14" t="n">
        <v>26630.85</v>
      </c>
      <c r="G2839" s="6" t="s">
        <v>2613</v>
      </c>
    </row>
    <row r="2840" customFormat="false" ht="15" hidden="false" customHeight="true" outlineLevel="0" collapsed="false">
      <c r="A2840" s="6" t="s">
        <v>5452</v>
      </c>
      <c r="B2840" s="6" t="s">
        <v>741</v>
      </c>
      <c r="C2840" s="6" t="s">
        <v>124</v>
      </c>
      <c r="D2840" s="13" t="n">
        <v>45658</v>
      </c>
      <c r="E2840" s="14" t="n">
        <v>9320.87</v>
      </c>
      <c r="F2840" s="14" t="n">
        <v>35951.72</v>
      </c>
      <c r="G2840" s="6" t="s">
        <v>2623</v>
      </c>
    </row>
    <row r="2841" customFormat="false" ht="15" hidden="false" customHeight="true" outlineLevel="0" collapsed="false">
      <c r="A2841" s="6" t="s">
        <v>5453</v>
      </c>
      <c r="B2841" s="6" t="s">
        <v>741</v>
      </c>
      <c r="C2841" s="6" t="s">
        <v>124</v>
      </c>
      <c r="D2841" s="13" t="n">
        <v>45665</v>
      </c>
      <c r="E2841" s="14" t="n">
        <v>9921.66</v>
      </c>
      <c r="F2841" s="14" t="n">
        <v>45873.38</v>
      </c>
      <c r="G2841" s="6" t="s">
        <v>2613</v>
      </c>
    </row>
    <row r="2842" customFormat="false" ht="15" hidden="false" customHeight="true" outlineLevel="0" collapsed="false">
      <c r="A2842" s="6" t="s">
        <v>5454</v>
      </c>
      <c r="B2842" s="6" t="s">
        <v>741</v>
      </c>
      <c r="C2842" s="6" t="s">
        <v>124</v>
      </c>
      <c r="D2842" s="13" t="n">
        <v>45672</v>
      </c>
      <c r="E2842" s="14" t="n">
        <v>9648.4</v>
      </c>
      <c r="F2842" s="14" t="n">
        <v>55521.78</v>
      </c>
      <c r="G2842" s="6" t="s">
        <v>2613</v>
      </c>
    </row>
    <row r="2843" customFormat="false" ht="15" hidden="false" customHeight="true" outlineLevel="0" collapsed="false">
      <c r="A2843" s="6" t="s">
        <v>5455</v>
      </c>
      <c r="B2843" s="6" t="s">
        <v>741</v>
      </c>
      <c r="C2843" s="6" t="s">
        <v>124</v>
      </c>
      <c r="D2843" s="13" t="n">
        <v>45679</v>
      </c>
      <c r="E2843" s="14" t="n">
        <v>4664.64</v>
      </c>
      <c r="F2843" s="14" t="n">
        <v>60186.42</v>
      </c>
      <c r="G2843" s="6" t="s">
        <v>2613</v>
      </c>
    </row>
    <row r="2844" customFormat="false" ht="15" hidden="false" customHeight="true" outlineLevel="0" collapsed="false">
      <c r="A2844" s="6" t="s">
        <v>5456</v>
      </c>
      <c r="B2844" s="6" t="s">
        <v>743</v>
      </c>
      <c r="C2844" s="6" t="s">
        <v>112</v>
      </c>
      <c r="D2844" s="13" t="n">
        <v>45791</v>
      </c>
      <c r="E2844" s="14" t="n">
        <v>542.56</v>
      </c>
      <c r="F2844" s="14" t="n">
        <v>542.56</v>
      </c>
      <c r="G2844" s="6" t="s">
        <v>2613</v>
      </c>
    </row>
    <row r="2845" customFormat="false" ht="15" hidden="false" customHeight="true" outlineLevel="0" collapsed="false">
      <c r="A2845" s="6" t="s">
        <v>5457</v>
      </c>
      <c r="B2845" s="6" t="s">
        <v>743</v>
      </c>
      <c r="C2845" s="6" t="s">
        <v>112</v>
      </c>
      <c r="D2845" s="13" t="n">
        <v>45798</v>
      </c>
      <c r="E2845" s="14" t="n">
        <v>971.56</v>
      </c>
      <c r="F2845" s="14" t="n">
        <v>1514.12</v>
      </c>
      <c r="G2845" s="6" t="s">
        <v>2613</v>
      </c>
    </row>
    <row r="2846" customFormat="false" ht="15" hidden="false" customHeight="true" outlineLevel="0" collapsed="false">
      <c r="A2846" s="6" t="s">
        <v>5458</v>
      </c>
      <c r="B2846" s="6" t="s">
        <v>743</v>
      </c>
      <c r="C2846" s="6" t="s">
        <v>112</v>
      </c>
      <c r="D2846" s="13" t="n">
        <v>45805</v>
      </c>
      <c r="E2846" s="14" t="n">
        <v>483.14</v>
      </c>
      <c r="F2846" s="14" t="n">
        <v>1997.26</v>
      </c>
      <c r="G2846" s="6" t="s">
        <v>2613</v>
      </c>
    </row>
    <row r="2847" customFormat="false" ht="15" hidden="false" customHeight="true" outlineLevel="0" collapsed="false">
      <c r="A2847" s="6" t="s">
        <v>5459</v>
      </c>
      <c r="B2847" s="6" t="s">
        <v>743</v>
      </c>
      <c r="C2847" s="6" t="s">
        <v>112</v>
      </c>
      <c r="D2847" s="13" t="n">
        <v>45812</v>
      </c>
      <c r="E2847" s="14" t="n">
        <v>459.9</v>
      </c>
      <c r="F2847" s="14" t="n">
        <v>2457.16</v>
      </c>
      <c r="G2847" s="6" t="s">
        <v>2613</v>
      </c>
    </row>
    <row r="2848" customFormat="false" ht="15" hidden="false" customHeight="true" outlineLevel="0" collapsed="false">
      <c r="A2848" s="6" t="s">
        <v>5460</v>
      </c>
      <c r="B2848" s="6" t="s">
        <v>743</v>
      </c>
      <c r="C2848" s="6" t="s">
        <v>112</v>
      </c>
      <c r="D2848" s="13" t="n">
        <v>45819</v>
      </c>
      <c r="E2848" s="14" t="n">
        <v>713.86</v>
      </c>
      <c r="F2848" s="14" t="n">
        <v>3171.02</v>
      </c>
      <c r="G2848" s="6" t="s">
        <v>2623</v>
      </c>
    </row>
    <row r="2849" customFormat="false" ht="15" hidden="false" customHeight="true" outlineLevel="0" collapsed="false">
      <c r="A2849" s="6" t="s">
        <v>5461</v>
      </c>
      <c r="B2849" s="6" t="s">
        <v>743</v>
      </c>
      <c r="C2849" s="6" t="s">
        <v>112</v>
      </c>
      <c r="D2849" s="13" t="n">
        <v>45826</v>
      </c>
      <c r="E2849" s="14" t="n">
        <v>487.87</v>
      </c>
      <c r="F2849" s="14" t="n">
        <v>3658.89</v>
      </c>
      <c r="G2849" s="6" t="s">
        <v>2613</v>
      </c>
    </row>
    <row r="2850" customFormat="false" ht="15" hidden="false" customHeight="true" outlineLevel="0" collapsed="false">
      <c r="A2850" s="6" t="s">
        <v>5462</v>
      </c>
      <c r="B2850" s="6" t="s">
        <v>743</v>
      </c>
      <c r="C2850" s="6" t="s">
        <v>112</v>
      </c>
      <c r="D2850" s="13" t="n">
        <v>45833</v>
      </c>
      <c r="E2850" s="14" t="n">
        <v>1001.27</v>
      </c>
      <c r="F2850" s="14" t="n">
        <v>4660.16</v>
      </c>
      <c r="G2850" s="6" t="s">
        <v>2613</v>
      </c>
    </row>
    <row r="2851" customFormat="false" ht="15" hidden="false" customHeight="true" outlineLevel="0" collapsed="false">
      <c r="A2851" s="6" t="s">
        <v>5463</v>
      </c>
      <c r="B2851" s="6" t="s">
        <v>743</v>
      </c>
      <c r="C2851" s="6" t="s">
        <v>112</v>
      </c>
      <c r="D2851" s="13" t="n">
        <v>45840</v>
      </c>
      <c r="E2851" s="14" t="n">
        <v>1125.69</v>
      </c>
      <c r="F2851" s="14" t="n">
        <v>5785.85</v>
      </c>
      <c r="G2851" s="6" t="s">
        <v>2613</v>
      </c>
    </row>
    <row r="2852" customFormat="false" ht="15" hidden="false" customHeight="true" outlineLevel="0" collapsed="false">
      <c r="A2852" s="6" t="s">
        <v>5464</v>
      </c>
      <c r="B2852" s="6" t="s">
        <v>745</v>
      </c>
      <c r="C2852" s="6" t="s">
        <v>128</v>
      </c>
      <c r="D2852" s="13" t="n">
        <v>46156</v>
      </c>
      <c r="E2852" s="14" t="n">
        <v>4584.81</v>
      </c>
      <c r="F2852" s="14" t="n">
        <v>4584.81</v>
      </c>
      <c r="G2852" s="6" t="s">
        <v>2613</v>
      </c>
    </row>
    <row r="2853" customFormat="false" ht="15" hidden="false" customHeight="true" outlineLevel="0" collapsed="false">
      <c r="A2853" s="6" t="s">
        <v>5465</v>
      </c>
      <c r="B2853" s="6" t="s">
        <v>745</v>
      </c>
      <c r="C2853" s="6" t="s">
        <v>128</v>
      </c>
      <c r="D2853" s="13" t="n">
        <v>46163</v>
      </c>
      <c r="E2853" s="14" t="n">
        <v>6487.87</v>
      </c>
      <c r="F2853" s="14" t="n">
        <v>11072.68</v>
      </c>
      <c r="G2853" s="6" t="s">
        <v>2613</v>
      </c>
    </row>
    <row r="2854" customFormat="false" ht="15" hidden="false" customHeight="true" outlineLevel="0" collapsed="false">
      <c r="A2854" s="6" t="s">
        <v>5466</v>
      </c>
      <c r="B2854" s="6" t="s">
        <v>745</v>
      </c>
      <c r="C2854" s="6" t="s">
        <v>128</v>
      </c>
      <c r="D2854" s="13" t="n">
        <v>46170</v>
      </c>
      <c r="E2854" s="14" t="n">
        <v>3651.03</v>
      </c>
      <c r="F2854" s="14" t="n">
        <v>14723.71</v>
      </c>
      <c r="G2854" s="6" t="s">
        <v>2613</v>
      </c>
    </row>
    <row r="2855" customFormat="false" ht="15" hidden="false" customHeight="true" outlineLevel="0" collapsed="false">
      <c r="A2855" s="6" t="s">
        <v>5467</v>
      </c>
      <c r="B2855" s="6" t="s">
        <v>745</v>
      </c>
      <c r="C2855" s="6" t="s">
        <v>128</v>
      </c>
      <c r="D2855" s="13" t="n">
        <v>46177</v>
      </c>
      <c r="E2855" s="14" t="n">
        <v>6622.23</v>
      </c>
      <c r="F2855" s="14" t="n">
        <v>21345.94</v>
      </c>
      <c r="G2855" s="6" t="s">
        <v>2623</v>
      </c>
    </row>
    <row r="2856" customFormat="false" ht="15" hidden="false" customHeight="true" outlineLevel="0" collapsed="false">
      <c r="A2856" s="6" t="s">
        <v>5468</v>
      </c>
      <c r="B2856" s="6" t="s">
        <v>745</v>
      </c>
      <c r="C2856" s="6" t="s">
        <v>128</v>
      </c>
      <c r="D2856" s="13" t="n">
        <v>46184</v>
      </c>
      <c r="E2856" s="14" t="n">
        <v>5946.96</v>
      </c>
      <c r="F2856" s="14" t="n">
        <v>27292.9</v>
      </c>
      <c r="G2856" s="6" t="s">
        <v>2613</v>
      </c>
    </row>
    <row r="2857" customFormat="false" ht="15" hidden="false" customHeight="true" outlineLevel="0" collapsed="false">
      <c r="A2857" s="6" t="s">
        <v>5469</v>
      </c>
      <c r="B2857" s="6" t="s">
        <v>745</v>
      </c>
      <c r="C2857" s="6" t="s">
        <v>128</v>
      </c>
      <c r="D2857" s="13" t="n">
        <v>46191</v>
      </c>
      <c r="E2857" s="14" t="n">
        <v>6307.44</v>
      </c>
      <c r="F2857" s="14" t="n">
        <v>33600.34</v>
      </c>
      <c r="G2857" s="6" t="s">
        <v>2613</v>
      </c>
    </row>
    <row r="2858" customFormat="false" ht="15" hidden="false" customHeight="true" outlineLevel="0" collapsed="false">
      <c r="A2858" s="6" t="s">
        <v>5470</v>
      </c>
      <c r="B2858" s="6" t="s">
        <v>745</v>
      </c>
      <c r="C2858" s="6" t="s">
        <v>128</v>
      </c>
      <c r="D2858" s="13" t="n">
        <v>46198</v>
      </c>
      <c r="E2858" s="14" t="n">
        <v>6150.92</v>
      </c>
      <c r="F2858" s="14" t="n">
        <v>39751.26</v>
      </c>
      <c r="G2858" s="6" t="s">
        <v>2613</v>
      </c>
    </row>
    <row r="2859" customFormat="false" ht="15" hidden="false" customHeight="true" outlineLevel="0" collapsed="false">
      <c r="A2859" s="6" t="s">
        <v>5471</v>
      </c>
      <c r="B2859" s="6" t="s">
        <v>745</v>
      </c>
      <c r="C2859" s="6" t="s">
        <v>128</v>
      </c>
      <c r="D2859" s="13" t="n">
        <v>46205</v>
      </c>
      <c r="E2859" s="14" t="n">
        <v>6939.99</v>
      </c>
      <c r="F2859" s="14" t="n">
        <v>46691.25</v>
      </c>
      <c r="G2859" s="6" t="s">
        <v>2613</v>
      </c>
    </row>
    <row r="2860" customFormat="false" ht="15" hidden="false" customHeight="true" outlineLevel="0" collapsed="false">
      <c r="A2860" s="6" t="s">
        <v>5472</v>
      </c>
      <c r="B2860" s="6" t="s">
        <v>745</v>
      </c>
      <c r="C2860" s="6" t="s">
        <v>128</v>
      </c>
      <c r="D2860" s="13" t="n">
        <v>46212</v>
      </c>
      <c r="E2860" s="14" t="n">
        <v>3931.07</v>
      </c>
      <c r="F2860" s="14" t="n">
        <v>50622.32</v>
      </c>
      <c r="G2860" s="6" t="s">
        <v>2613</v>
      </c>
    </row>
    <row r="2861" customFormat="false" ht="15" hidden="false" customHeight="true" outlineLevel="0" collapsed="false">
      <c r="A2861" s="6" t="s">
        <v>5473</v>
      </c>
      <c r="B2861" s="6" t="s">
        <v>747</v>
      </c>
      <c r="C2861" s="6" t="s">
        <v>120</v>
      </c>
      <c r="D2861" s="13" t="n">
        <v>45819</v>
      </c>
      <c r="E2861" s="14" t="n">
        <v>2020.37</v>
      </c>
      <c r="F2861" s="14" t="n">
        <v>2020.37</v>
      </c>
      <c r="G2861" s="6" t="s">
        <v>2613</v>
      </c>
    </row>
    <row r="2862" customFormat="false" ht="15" hidden="false" customHeight="true" outlineLevel="0" collapsed="false">
      <c r="A2862" s="6" t="s">
        <v>5474</v>
      </c>
      <c r="B2862" s="6" t="s">
        <v>747</v>
      </c>
      <c r="C2862" s="6" t="s">
        <v>120</v>
      </c>
      <c r="D2862" s="13" t="n">
        <v>45826</v>
      </c>
      <c r="E2862" s="14" t="n">
        <v>1300.08</v>
      </c>
      <c r="F2862" s="14" t="n">
        <v>3320.45</v>
      </c>
      <c r="G2862" s="6" t="s">
        <v>2623</v>
      </c>
    </row>
    <row r="2863" customFormat="false" ht="15" hidden="false" customHeight="true" outlineLevel="0" collapsed="false">
      <c r="A2863" s="6" t="s">
        <v>5475</v>
      </c>
      <c r="B2863" s="6" t="s">
        <v>747</v>
      </c>
      <c r="C2863" s="6" t="s">
        <v>120</v>
      </c>
      <c r="D2863" s="13" t="n">
        <v>45833</v>
      </c>
      <c r="E2863" s="14" t="n">
        <v>2326.32</v>
      </c>
      <c r="F2863" s="14" t="n">
        <v>5646.77</v>
      </c>
      <c r="G2863" s="6" t="s">
        <v>2613</v>
      </c>
    </row>
    <row r="2864" customFormat="false" ht="15" hidden="false" customHeight="true" outlineLevel="0" collapsed="false">
      <c r="A2864" s="6" t="s">
        <v>5476</v>
      </c>
      <c r="B2864" s="6" t="s">
        <v>747</v>
      </c>
      <c r="C2864" s="6" t="s">
        <v>120</v>
      </c>
      <c r="D2864" s="13" t="n">
        <v>45840</v>
      </c>
      <c r="E2864" s="14" t="n">
        <v>2481.6</v>
      </c>
      <c r="F2864" s="14" t="n">
        <v>8128.37</v>
      </c>
      <c r="G2864" s="6" t="s">
        <v>2613</v>
      </c>
    </row>
    <row r="2865" customFormat="false" ht="15" hidden="false" customHeight="true" outlineLevel="0" collapsed="false">
      <c r="A2865" s="6" t="s">
        <v>5477</v>
      </c>
      <c r="B2865" s="6" t="s">
        <v>747</v>
      </c>
      <c r="C2865" s="6" t="s">
        <v>120</v>
      </c>
      <c r="D2865" s="13" t="n">
        <v>45847</v>
      </c>
      <c r="E2865" s="14" t="n">
        <v>2523.95</v>
      </c>
      <c r="F2865" s="14" t="n">
        <v>10652.32</v>
      </c>
      <c r="G2865" s="6" t="s">
        <v>2613</v>
      </c>
    </row>
    <row r="2866" customFormat="false" ht="15" hidden="false" customHeight="true" outlineLevel="0" collapsed="false">
      <c r="A2866" s="6" t="s">
        <v>5478</v>
      </c>
      <c r="B2866" s="6" t="s">
        <v>747</v>
      </c>
      <c r="C2866" s="6" t="s">
        <v>120</v>
      </c>
      <c r="D2866" s="13" t="n">
        <v>45854</v>
      </c>
      <c r="E2866" s="14" t="n">
        <v>1848.4</v>
      </c>
      <c r="F2866" s="14" t="n">
        <v>12500.72</v>
      </c>
      <c r="G2866" s="6" t="s">
        <v>2613</v>
      </c>
    </row>
    <row r="2867" customFormat="false" ht="15" hidden="false" customHeight="true" outlineLevel="0" collapsed="false">
      <c r="A2867" s="6" t="s">
        <v>5479</v>
      </c>
      <c r="B2867" s="6" t="s">
        <v>747</v>
      </c>
      <c r="C2867" s="6" t="s">
        <v>120</v>
      </c>
      <c r="D2867" s="13" t="n">
        <v>45861</v>
      </c>
      <c r="E2867" s="14" t="n">
        <v>923.43</v>
      </c>
      <c r="F2867" s="14" t="n">
        <v>13424.15</v>
      </c>
      <c r="G2867" s="6" t="s">
        <v>2613</v>
      </c>
    </row>
    <row r="2868" customFormat="false" ht="15" hidden="false" customHeight="true" outlineLevel="0" collapsed="false">
      <c r="A2868" s="6" t="s">
        <v>5480</v>
      </c>
      <c r="B2868" s="6" t="s">
        <v>749</v>
      </c>
      <c r="C2868" s="6" t="s">
        <v>112</v>
      </c>
      <c r="D2868" s="13" t="n">
        <v>45900</v>
      </c>
      <c r="E2868" s="14" t="n">
        <v>3148.22</v>
      </c>
      <c r="F2868" s="14" t="n">
        <v>3148.22</v>
      </c>
      <c r="G2868" s="6" t="s">
        <v>2613</v>
      </c>
    </row>
    <row r="2869" customFormat="false" ht="15" hidden="false" customHeight="true" outlineLevel="0" collapsed="false">
      <c r="A2869" s="6" t="s">
        <v>5481</v>
      </c>
      <c r="B2869" s="6" t="s">
        <v>749</v>
      </c>
      <c r="C2869" s="6" t="s">
        <v>112</v>
      </c>
      <c r="D2869" s="13" t="n">
        <v>45907</v>
      </c>
      <c r="E2869" s="14" t="n">
        <v>2036.07</v>
      </c>
      <c r="F2869" s="14" t="n">
        <v>5184.29</v>
      </c>
      <c r="G2869" s="6" t="s">
        <v>2613</v>
      </c>
    </row>
    <row r="2870" customFormat="false" ht="15" hidden="false" customHeight="true" outlineLevel="0" collapsed="false">
      <c r="A2870" s="6" t="s">
        <v>5482</v>
      </c>
      <c r="B2870" s="6" t="s">
        <v>749</v>
      </c>
      <c r="C2870" s="6" t="s">
        <v>112</v>
      </c>
      <c r="D2870" s="13" t="n">
        <v>45914</v>
      </c>
      <c r="E2870" s="14" t="n">
        <v>2119.38</v>
      </c>
      <c r="F2870" s="14" t="n">
        <v>7303.67</v>
      </c>
      <c r="G2870" s="6" t="s">
        <v>2613</v>
      </c>
    </row>
    <row r="2871" customFormat="false" ht="15" hidden="false" customHeight="true" outlineLevel="0" collapsed="false">
      <c r="A2871" s="6" t="s">
        <v>5483</v>
      </c>
      <c r="B2871" s="6" t="s">
        <v>749</v>
      </c>
      <c r="C2871" s="6" t="s">
        <v>112</v>
      </c>
      <c r="D2871" s="13" t="n">
        <v>45921</v>
      </c>
      <c r="E2871" s="14" t="n">
        <v>2615.93</v>
      </c>
      <c r="F2871" s="14" t="n">
        <v>9919.6</v>
      </c>
      <c r="G2871" s="6" t="s">
        <v>2613</v>
      </c>
    </row>
    <row r="2872" customFormat="false" ht="15" hidden="false" customHeight="true" outlineLevel="0" collapsed="false">
      <c r="A2872" s="6" t="s">
        <v>5484</v>
      </c>
      <c r="B2872" s="6" t="s">
        <v>749</v>
      </c>
      <c r="C2872" s="6" t="s">
        <v>112</v>
      </c>
      <c r="D2872" s="13" t="n">
        <v>45928</v>
      </c>
      <c r="E2872" s="14" t="n">
        <v>2308.54</v>
      </c>
      <c r="F2872" s="14" t="n">
        <v>12228.14</v>
      </c>
      <c r="G2872" s="6" t="s">
        <v>2613</v>
      </c>
    </row>
    <row r="2873" customFormat="false" ht="15" hidden="false" customHeight="true" outlineLevel="0" collapsed="false">
      <c r="A2873" s="6" t="s">
        <v>5485</v>
      </c>
      <c r="B2873" s="6" t="s">
        <v>749</v>
      </c>
      <c r="C2873" s="6" t="s">
        <v>112</v>
      </c>
      <c r="D2873" s="13" t="n">
        <v>45935</v>
      </c>
      <c r="E2873" s="14" t="n">
        <v>1944.96</v>
      </c>
      <c r="F2873" s="14" t="n">
        <v>14173.1</v>
      </c>
      <c r="G2873" s="6" t="s">
        <v>2623</v>
      </c>
    </row>
    <row r="2874" customFormat="false" ht="15" hidden="false" customHeight="true" outlineLevel="0" collapsed="false">
      <c r="A2874" s="6" t="s">
        <v>5486</v>
      </c>
      <c r="B2874" s="6" t="s">
        <v>749</v>
      </c>
      <c r="C2874" s="6" t="s">
        <v>112</v>
      </c>
      <c r="D2874" s="13" t="n">
        <v>45942</v>
      </c>
      <c r="E2874" s="14" t="n">
        <v>2126.99</v>
      </c>
      <c r="F2874" s="14" t="n">
        <v>16300.09</v>
      </c>
      <c r="G2874" s="6" t="s">
        <v>2613</v>
      </c>
    </row>
    <row r="2875" customFormat="false" ht="15" hidden="false" customHeight="true" outlineLevel="0" collapsed="false">
      <c r="A2875" s="6" t="s">
        <v>5487</v>
      </c>
      <c r="B2875" s="6" t="s">
        <v>749</v>
      </c>
      <c r="C2875" s="6" t="s">
        <v>112</v>
      </c>
      <c r="D2875" s="13" t="n">
        <v>45949</v>
      </c>
      <c r="E2875" s="14" t="n">
        <v>1985.66</v>
      </c>
      <c r="F2875" s="14" t="n">
        <v>18285.75</v>
      </c>
      <c r="G2875" s="6" t="s">
        <v>2613</v>
      </c>
    </row>
    <row r="2876" customFormat="false" ht="15" hidden="false" customHeight="true" outlineLevel="0" collapsed="false">
      <c r="A2876" s="6" t="s">
        <v>5488</v>
      </c>
      <c r="B2876" s="6" t="s">
        <v>751</v>
      </c>
      <c r="C2876" s="6" t="s">
        <v>131</v>
      </c>
      <c r="D2876" s="13" t="n">
        <v>44718</v>
      </c>
      <c r="E2876" s="14" t="n">
        <v>4271.91</v>
      </c>
      <c r="F2876" s="14" t="n">
        <v>4271.91</v>
      </c>
      <c r="G2876" s="6" t="s">
        <v>2613</v>
      </c>
    </row>
    <row r="2877" customFormat="false" ht="15" hidden="false" customHeight="true" outlineLevel="0" collapsed="false">
      <c r="A2877" s="6" t="s">
        <v>5489</v>
      </c>
      <c r="B2877" s="6" t="s">
        <v>751</v>
      </c>
      <c r="C2877" s="6" t="s">
        <v>131</v>
      </c>
      <c r="D2877" s="13" t="n">
        <v>44725</v>
      </c>
      <c r="E2877" s="14" t="n">
        <v>3667.88</v>
      </c>
      <c r="F2877" s="14" t="n">
        <v>7939.79</v>
      </c>
      <c r="G2877" s="6" t="s">
        <v>2613</v>
      </c>
    </row>
    <row r="2878" customFormat="false" ht="15" hidden="false" customHeight="true" outlineLevel="0" collapsed="false">
      <c r="A2878" s="6" t="s">
        <v>5490</v>
      </c>
      <c r="B2878" s="6" t="s">
        <v>751</v>
      </c>
      <c r="C2878" s="6" t="s">
        <v>131</v>
      </c>
      <c r="D2878" s="13" t="n">
        <v>44732</v>
      </c>
      <c r="E2878" s="14" t="n">
        <v>4720.85</v>
      </c>
      <c r="F2878" s="14" t="n">
        <v>12660.64</v>
      </c>
      <c r="G2878" s="6" t="s">
        <v>2613</v>
      </c>
    </row>
    <row r="2879" customFormat="false" ht="15" hidden="false" customHeight="true" outlineLevel="0" collapsed="false">
      <c r="A2879" s="6" t="s">
        <v>5491</v>
      </c>
      <c r="B2879" s="6" t="s">
        <v>751</v>
      </c>
      <c r="C2879" s="6" t="s">
        <v>131</v>
      </c>
      <c r="D2879" s="13" t="n">
        <v>44739</v>
      </c>
      <c r="E2879" s="14" t="n">
        <v>2800.3</v>
      </c>
      <c r="F2879" s="14" t="n">
        <v>15460.94</v>
      </c>
      <c r="G2879" s="6" t="s">
        <v>2613</v>
      </c>
    </row>
    <row r="2880" customFormat="false" ht="15" hidden="false" customHeight="true" outlineLevel="0" collapsed="false">
      <c r="A2880" s="6" t="s">
        <v>5492</v>
      </c>
      <c r="B2880" s="6" t="s">
        <v>751</v>
      </c>
      <c r="C2880" s="6" t="s">
        <v>131</v>
      </c>
      <c r="D2880" s="13" t="n">
        <v>44746</v>
      </c>
      <c r="E2880" s="14" t="n">
        <v>5146.06</v>
      </c>
      <c r="F2880" s="14" t="n">
        <v>20607</v>
      </c>
      <c r="G2880" s="6" t="s">
        <v>2613</v>
      </c>
    </row>
    <row r="2881" customFormat="false" ht="15" hidden="false" customHeight="true" outlineLevel="0" collapsed="false">
      <c r="A2881" s="6" t="s">
        <v>5493</v>
      </c>
      <c r="B2881" s="6" t="s">
        <v>751</v>
      </c>
      <c r="C2881" s="6" t="s">
        <v>131</v>
      </c>
      <c r="D2881" s="13" t="n">
        <v>44753</v>
      </c>
      <c r="E2881" s="14" t="n">
        <v>3561.4</v>
      </c>
      <c r="F2881" s="14" t="n">
        <v>24168.4</v>
      </c>
      <c r="G2881" s="6" t="s">
        <v>2613</v>
      </c>
    </row>
    <row r="2882" customFormat="false" ht="15" hidden="false" customHeight="true" outlineLevel="0" collapsed="false">
      <c r="A2882" s="6" t="s">
        <v>5494</v>
      </c>
      <c r="B2882" s="6" t="s">
        <v>751</v>
      </c>
      <c r="C2882" s="6" t="s">
        <v>131</v>
      </c>
      <c r="D2882" s="13" t="n">
        <v>44760</v>
      </c>
      <c r="E2882" s="14" t="n">
        <v>2451.71</v>
      </c>
      <c r="F2882" s="14" t="n">
        <v>26620.11</v>
      </c>
      <c r="G2882" s="6" t="s">
        <v>2613</v>
      </c>
    </row>
    <row r="2883" customFormat="false" ht="15" hidden="false" customHeight="true" outlineLevel="0" collapsed="false">
      <c r="A2883" s="6" t="s">
        <v>5495</v>
      </c>
      <c r="B2883" s="6" t="s">
        <v>751</v>
      </c>
      <c r="C2883" s="6" t="s">
        <v>131</v>
      </c>
      <c r="D2883" s="13" t="n">
        <v>44767</v>
      </c>
      <c r="E2883" s="14" t="n">
        <v>3481.79</v>
      </c>
      <c r="F2883" s="14" t="n">
        <v>30101.9</v>
      </c>
      <c r="G2883" s="6" t="s">
        <v>2613</v>
      </c>
    </row>
    <row r="2884" customFormat="false" ht="15" hidden="false" customHeight="true" outlineLevel="0" collapsed="false">
      <c r="A2884" s="6" t="s">
        <v>5496</v>
      </c>
      <c r="B2884" s="6" t="s">
        <v>753</v>
      </c>
      <c r="C2884" s="6" t="s">
        <v>116</v>
      </c>
      <c r="D2884" s="13" t="n">
        <v>46154</v>
      </c>
      <c r="E2884" s="14" t="n">
        <v>632.69</v>
      </c>
      <c r="F2884" s="14" t="n">
        <v>632.69</v>
      </c>
      <c r="G2884" s="6" t="s">
        <v>2613</v>
      </c>
    </row>
    <row r="2885" customFormat="false" ht="15" hidden="false" customHeight="true" outlineLevel="0" collapsed="false">
      <c r="A2885" s="6" t="s">
        <v>5497</v>
      </c>
      <c r="B2885" s="6" t="s">
        <v>753</v>
      </c>
      <c r="C2885" s="6" t="s">
        <v>116</v>
      </c>
      <c r="D2885" s="13" t="n">
        <v>46161</v>
      </c>
      <c r="E2885" s="14" t="n">
        <v>696.4</v>
      </c>
      <c r="F2885" s="14" t="n">
        <v>1329.09</v>
      </c>
      <c r="G2885" s="6" t="s">
        <v>2623</v>
      </c>
    </row>
    <row r="2886" customFormat="false" ht="15" hidden="false" customHeight="true" outlineLevel="0" collapsed="false">
      <c r="A2886" s="6" t="s">
        <v>5498</v>
      </c>
      <c r="B2886" s="6" t="s">
        <v>753</v>
      </c>
      <c r="C2886" s="6" t="s">
        <v>116</v>
      </c>
      <c r="D2886" s="13" t="n">
        <v>46168</v>
      </c>
      <c r="E2886" s="14" t="n">
        <v>921.02</v>
      </c>
      <c r="F2886" s="14" t="n">
        <v>2250.11</v>
      </c>
      <c r="G2886" s="6" t="s">
        <v>2613</v>
      </c>
    </row>
    <row r="2887" customFormat="false" ht="15" hidden="false" customHeight="true" outlineLevel="0" collapsed="false">
      <c r="A2887" s="6" t="s">
        <v>5499</v>
      </c>
      <c r="B2887" s="6" t="s">
        <v>753</v>
      </c>
      <c r="C2887" s="6" t="s">
        <v>116</v>
      </c>
      <c r="D2887" s="13" t="n">
        <v>46175</v>
      </c>
      <c r="E2887" s="14" t="n">
        <v>816.08</v>
      </c>
      <c r="F2887" s="14" t="n">
        <v>3066.19</v>
      </c>
      <c r="G2887" s="6" t="s">
        <v>2613</v>
      </c>
    </row>
    <row r="2888" customFormat="false" ht="15" hidden="false" customHeight="true" outlineLevel="0" collapsed="false">
      <c r="A2888" s="6" t="s">
        <v>5500</v>
      </c>
      <c r="B2888" s="6" t="s">
        <v>753</v>
      </c>
      <c r="C2888" s="6" t="s">
        <v>116</v>
      </c>
      <c r="D2888" s="13" t="n">
        <v>46182</v>
      </c>
      <c r="E2888" s="14" t="n">
        <v>788.77</v>
      </c>
      <c r="F2888" s="14" t="n">
        <v>3854.96</v>
      </c>
      <c r="G2888" s="6" t="s">
        <v>2623</v>
      </c>
    </row>
    <row r="2889" customFormat="false" ht="15" hidden="false" customHeight="true" outlineLevel="0" collapsed="false">
      <c r="A2889" s="6" t="s">
        <v>5501</v>
      </c>
      <c r="B2889" s="6" t="s">
        <v>753</v>
      </c>
      <c r="C2889" s="6" t="s">
        <v>116</v>
      </c>
      <c r="D2889" s="13" t="n">
        <v>46189</v>
      </c>
      <c r="E2889" s="14" t="n">
        <v>466.34</v>
      </c>
      <c r="F2889" s="14" t="n">
        <v>4321.3</v>
      </c>
      <c r="G2889" s="6" t="s">
        <v>2613</v>
      </c>
    </row>
    <row r="2890" customFormat="false" ht="15" hidden="false" customHeight="true" outlineLevel="0" collapsed="false">
      <c r="A2890" s="6" t="s">
        <v>5502</v>
      </c>
      <c r="B2890" s="6" t="s">
        <v>753</v>
      </c>
      <c r="C2890" s="6" t="s">
        <v>116</v>
      </c>
      <c r="D2890" s="13" t="n">
        <v>46196</v>
      </c>
      <c r="E2890" s="14" t="n">
        <v>659.42</v>
      </c>
      <c r="F2890" s="14" t="n">
        <v>4980.72</v>
      </c>
      <c r="G2890" s="6" t="s">
        <v>2613</v>
      </c>
    </row>
    <row r="2891" customFormat="false" ht="15" hidden="false" customHeight="true" outlineLevel="0" collapsed="false">
      <c r="A2891" s="6" t="s">
        <v>5503</v>
      </c>
      <c r="B2891" s="6" t="s">
        <v>755</v>
      </c>
      <c r="C2891" s="6" t="s">
        <v>131</v>
      </c>
      <c r="D2891" s="13" t="n">
        <v>44905</v>
      </c>
      <c r="E2891" s="14" t="n">
        <v>2868.53</v>
      </c>
      <c r="F2891" s="14" t="n">
        <v>2868.53</v>
      </c>
      <c r="G2891" s="6" t="s">
        <v>2613</v>
      </c>
    </row>
    <row r="2892" customFormat="false" ht="15" hidden="false" customHeight="true" outlineLevel="0" collapsed="false">
      <c r="A2892" s="6" t="s">
        <v>5504</v>
      </c>
      <c r="B2892" s="6" t="s">
        <v>755</v>
      </c>
      <c r="C2892" s="6" t="s">
        <v>131</v>
      </c>
      <c r="D2892" s="13" t="n">
        <v>44912</v>
      </c>
      <c r="E2892" s="14" t="n">
        <v>3572.44</v>
      </c>
      <c r="F2892" s="14" t="n">
        <v>6440.97</v>
      </c>
      <c r="G2892" s="6" t="s">
        <v>2613</v>
      </c>
    </row>
    <row r="2893" customFormat="false" ht="15" hidden="false" customHeight="true" outlineLevel="0" collapsed="false">
      <c r="A2893" s="6" t="s">
        <v>5505</v>
      </c>
      <c r="B2893" s="6" t="s">
        <v>755</v>
      </c>
      <c r="C2893" s="6" t="s">
        <v>131</v>
      </c>
      <c r="D2893" s="13" t="n">
        <v>44919</v>
      </c>
      <c r="E2893" s="14" t="n">
        <v>2764.09</v>
      </c>
      <c r="F2893" s="14" t="n">
        <v>9205.06</v>
      </c>
      <c r="G2893" s="6" t="s">
        <v>2613</v>
      </c>
    </row>
    <row r="2894" customFormat="false" ht="15" hidden="false" customHeight="true" outlineLevel="0" collapsed="false">
      <c r="A2894" s="6" t="s">
        <v>5506</v>
      </c>
      <c r="B2894" s="6" t="s">
        <v>755</v>
      </c>
      <c r="C2894" s="6" t="s">
        <v>131</v>
      </c>
      <c r="D2894" s="13" t="n">
        <v>44926</v>
      </c>
      <c r="E2894" s="14" t="n">
        <v>3075.1</v>
      </c>
      <c r="F2894" s="14" t="n">
        <v>12280.16</v>
      </c>
      <c r="G2894" s="6" t="s">
        <v>2613</v>
      </c>
    </row>
    <row r="2895" customFormat="false" ht="15" hidden="false" customHeight="true" outlineLevel="0" collapsed="false">
      <c r="A2895" s="6" t="s">
        <v>5507</v>
      </c>
      <c r="B2895" s="6" t="s">
        <v>755</v>
      </c>
      <c r="C2895" s="6" t="s">
        <v>131</v>
      </c>
      <c r="D2895" s="13" t="n">
        <v>44933</v>
      </c>
      <c r="E2895" s="14" t="n">
        <v>3053.18</v>
      </c>
      <c r="F2895" s="14" t="n">
        <v>15333.34</v>
      </c>
      <c r="G2895" s="6" t="s">
        <v>2613</v>
      </c>
    </row>
    <row r="2896" customFormat="false" ht="15" hidden="false" customHeight="true" outlineLevel="0" collapsed="false">
      <c r="A2896" s="6" t="s">
        <v>5508</v>
      </c>
      <c r="B2896" s="6" t="s">
        <v>755</v>
      </c>
      <c r="C2896" s="6" t="s">
        <v>131</v>
      </c>
      <c r="D2896" s="13" t="n">
        <v>44940</v>
      </c>
      <c r="E2896" s="14" t="n">
        <v>2209.25</v>
      </c>
      <c r="F2896" s="14" t="n">
        <v>17542.59</v>
      </c>
      <c r="G2896" s="6" t="s">
        <v>2613</v>
      </c>
    </row>
    <row r="2897" customFormat="false" ht="15" hidden="false" customHeight="true" outlineLevel="0" collapsed="false">
      <c r="A2897" s="6" t="s">
        <v>5509</v>
      </c>
      <c r="B2897" s="6" t="s">
        <v>755</v>
      </c>
      <c r="C2897" s="6" t="s">
        <v>131</v>
      </c>
      <c r="D2897" s="13" t="n">
        <v>44947</v>
      </c>
      <c r="E2897" s="14" t="n">
        <v>3094.13</v>
      </c>
      <c r="F2897" s="14" t="n">
        <v>20636.72</v>
      </c>
      <c r="G2897" s="6" t="s">
        <v>2613</v>
      </c>
    </row>
    <row r="2898" customFormat="false" ht="15" hidden="false" customHeight="true" outlineLevel="0" collapsed="false">
      <c r="A2898" s="6" t="s">
        <v>5510</v>
      </c>
      <c r="B2898" s="6" t="s">
        <v>755</v>
      </c>
      <c r="C2898" s="6" t="s">
        <v>131</v>
      </c>
      <c r="D2898" s="13" t="n">
        <v>44954</v>
      </c>
      <c r="E2898" s="14" t="n">
        <v>2653.87</v>
      </c>
      <c r="F2898" s="14" t="n">
        <v>23290.59</v>
      </c>
      <c r="G2898" s="6" t="s">
        <v>2613</v>
      </c>
    </row>
    <row r="2899" customFormat="false" ht="15" hidden="false" customHeight="true" outlineLevel="0" collapsed="false">
      <c r="A2899" s="6" t="s">
        <v>5511</v>
      </c>
      <c r="B2899" s="6" t="s">
        <v>757</v>
      </c>
      <c r="C2899" s="6" t="s">
        <v>131</v>
      </c>
      <c r="D2899" s="13" t="n">
        <v>45635</v>
      </c>
      <c r="E2899" s="14" t="n">
        <v>409.18</v>
      </c>
      <c r="F2899" s="14" t="n">
        <v>409.18</v>
      </c>
      <c r="G2899" s="6" t="s">
        <v>2613</v>
      </c>
    </row>
    <row r="2900" customFormat="false" ht="15" hidden="false" customHeight="true" outlineLevel="0" collapsed="false">
      <c r="A2900" s="6" t="s">
        <v>5512</v>
      </c>
      <c r="B2900" s="6" t="s">
        <v>757</v>
      </c>
      <c r="C2900" s="6" t="s">
        <v>131</v>
      </c>
      <c r="D2900" s="13" t="n">
        <v>45642</v>
      </c>
      <c r="E2900" s="14" t="n">
        <v>334.51</v>
      </c>
      <c r="F2900" s="14" t="n">
        <v>743.69</v>
      </c>
      <c r="G2900" s="6" t="s">
        <v>2613</v>
      </c>
    </row>
    <row r="2901" customFormat="false" ht="15" hidden="false" customHeight="true" outlineLevel="0" collapsed="false">
      <c r="A2901" s="6" t="s">
        <v>5513</v>
      </c>
      <c r="B2901" s="6" t="s">
        <v>757</v>
      </c>
      <c r="C2901" s="6" t="s">
        <v>131</v>
      </c>
      <c r="D2901" s="13" t="n">
        <v>45649</v>
      </c>
      <c r="E2901" s="14" t="n">
        <v>320.99</v>
      </c>
      <c r="F2901" s="14" t="n">
        <v>1064.68</v>
      </c>
      <c r="G2901" s="6" t="s">
        <v>2623</v>
      </c>
    </row>
    <row r="2902" customFormat="false" ht="15" hidden="false" customHeight="true" outlineLevel="0" collapsed="false">
      <c r="A2902" s="6" t="s">
        <v>5514</v>
      </c>
      <c r="B2902" s="6" t="s">
        <v>757</v>
      </c>
      <c r="C2902" s="6" t="s">
        <v>131</v>
      </c>
      <c r="D2902" s="13" t="n">
        <v>45656</v>
      </c>
      <c r="E2902" s="14" t="n">
        <v>361.43</v>
      </c>
      <c r="F2902" s="14" t="n">
        <v>1426.11</v>
      </c>
      <c r="G2902" s="6" t="s">
        <v>2613</v>
      </c>
    </row>
    <row r="2903" customFormat="false" ht="15" hidden="false" customHeight="true" outlineLevel="0" collapsed="false">
      <c r="A2903" s="6" t="s">
        <v>5515</v>
      </c>
      <c r="B2903" s="6" t="s">
        <v>757</v>
      </c>
      <c r="C2903" s="6" t="s">
        <v>131</v>
      </c>
      <c r="D2903" s="13" t="n">
        <v>45663</v>
      </c>
      <c r="E2903" s="14" t="n">
        <v>349.52</v>
      </c>
      <c r="F2903" s="14" t="n">
        <v>1775.63</v>
      </c>
      <c r="G2903" s="6" t="s">
        <v>2613</v>
      </c>
    </row>
    <row r="2904" customFormat="false" ht="15" hidden="false" customHeight="true" outlineLevel="0" collapsed="false">
      <c r="A2904" s="6" t="s">
        <v>5516</v>
      </c>
      <c r="B2904" s="6" t="s">
        <v>757</v>
      </c>
      <c r="C2904" s="6" t="s">
        <v>131</v>
      </c>
      <c r="D2904" s="13" t="n">
        <v>45670</v>
      </c>
      <c r="E2904" s="14" t="n">
        <v>326.45</v>
      </c>
      <c r="F2904" s="14" t="n">
        <v>2102.08</v>
      </c>
      <c r="G2904" s="6" t="s">
        <v>2613</v>
      </c>
    </row>
    <row r="2905" customFormat="false" ht="15" hidden="false" customHeight="true" outlineLevel="0" collapsed="false">
      <c r="A2905" s="6" t="s">
        <v>5517</v>
      </c>
      <c r="B2905" s="6" t="s">
        <v>757</v>
      </c>
      <c r="C2905" s="6" t="s">
        <v>131</v>
      </c>
      <c r="D2905" s="13" t="n">
        <v>45677</v>
      </c>
      <c r="E2905" s="14" t="n">
        <v>231.92</v>
      </c>
      <c r="F2905" s="14" t="n">
        <v>2334</v>
      </c>
      <c r="G2905" s="6" t="s">
        <v>2613</v>
      </c>
    </row>
    <row r="2906" customFormat="false" ht="15" hidden="false" customHeight="true" outlineLevel="0" collapsed="false">
      <c r="A2906" s="6" t="s">
        <v>5518</v>
      </c>
      <c r="B2906" s="6" t="s">
        <v>757</v>
      </c>
      <c r="C2906" s="6" t="s">
        <v>131</v>
      </c>
      <c r="D2906" s="13" t="n">
        <v>45684</v>
      </c>
      <c r="E2906" s="14" t="n">
        <v>345.46</v>
      </c>
      <c r="F2906" s="14" t="n">
        <v>2679.46</v>
      </c>
      <c r="G2906" s="6" t="s">
        <v>2613</v>
      </c>
    </row>
    <row r="2907" customFormat="false" ht="15" hidden="false" customHeight="true" outlineLevel="0" collapsed="false">
      <c r="A2907" s="6" t="s">
        <v>5519</v>
      </c>
      <c r="B2907" s="6" t="s">
        <v>757</v>
      </c>
      <c r="C2907" s="6" t="s">
        <v>131</v>
      </c>
      <c r="D2907" s="13" t="n">
        <v>45691</v>
      </c>
      <c r="E2907" s="14" t="n">
        <v>270.7</v>
      </c>
      <c r="F2907" s="14" t="n">
        <v>2950.16</v>
      </c>
      <c r="G2907" s="6" t="s">
        <v>2613</v>
      </c>
    </row>
    <row r="2908" customFormat="false" ht="15" hidden="false" customHeight="true" outlineLevel="0" collapsed="false">
      <c r="A2908" s="6" t="s">
        <v>5520</v>
      </c>
      <c r="B2908" s="6" t="s">
        <v>757</v>
      </c>
      <c r="C2908" s="6" t="s">
        <v>131</v>
      </c>
      <c r="D2908" s="13" t="n">
        <v>45698</v>
      </c>
      <c r="E2908" s="14" t="n">
        <v>254.2</v>
      </c>
      <c r="F2908" s="14" t="n">
        <v>3204.36</v>
      </c>
      <c r="G2908" s="6" t="s">
        <v>2613</v>
      </c>
    </row>
    <row r="2909" customFormat="false" ht="15" hidden="false" customHeight="true" outlineLevel="0" collapsed="false">
      <c r="A2909" s="6" t="s">
        <v>5521</v>
      </c>
      <c r="B2909" s="6" t="s">
        <v>757</v>
      </c>
      <c r="C2909" s="6" t="s">
        <v>131</v>
      </c>
      <c r="D2909" s="13" t="n">
        <v>45705</v>
      </c>
      <c r="E2909" s="14" t="n">
        <v>379.15</v>
      </c>
      <c r="F2909" s="14" t="n">
        <v>3583.51</v>
      </c>
      <c r="G2909" s="6" t="s">
        <v>2613</v>
      </c>
    </row>
    <row r="2910" customFormat="false" ht="15" hidden="false" customHeight="true" outlineLevel="0" collapsed="false">
      <c r="A2910" s="6" t="s">
        <v>5522</v>
      </c>
      <c r="B2910" s="6" t="s">
        <v>757</v>
      </c>
      <c r="C2910" s="6" t="s">
        <v>131</v>
      </c>
      <c r="D2910" s="13" t="n">
        <v>45712</v>
      </c>
      <c r="E2910" s="14" t="n">
        <v>301.84</v>
      </c>
      <c r="F2910" s="14" t="n">
        <v>3885.35</v>
      </c>
      <c r="G2910" s="6" t="s">
        <v>2613</v>
      </c>
    </row>
    <row r="2911" customFormat="false" ht="15" hidden="false" customHeight="true" outlineLevel="0" collapsed="false">
      <c r="A2911" s="6" t="s">
        <v>5523</v>
      </c>
      <c r="B2911" s="6" t="s">
        <v>757</v>
      </c>
      <c r="C2911" s="6" t="s">
        <v>131</v>
      </c>
      <c r="D2911" s="13" t="n">
        <v>45719</v>
      </c>
      <c r="E2911" s="14" t="n">
        <v>281.29</v>
      </c>
      <c r="F2911" s="14" t="n">
        <v>4166.64</v>
      </c>
      <c r="G2911" s="6" t="s">
        <v>2613</v>
      </c>
    </row>
    <row r="2912" customFormat="false" ht="15" hidden="false" customHeight="true" outlineLevel="0" collapsed="false">
      <c r="A2912" s="6" t="s">
        <v>5524</v>
      </c>
      <c r="B2912" s="6" t="s">
        <v>757</v>
      </c>
      <c r="C2912" s="6" t="s">
        <v>131</v>
      </c>
      <c r="D2912" s="13" t="n">
        <v>45726</v>
      </c>
      <c r="E2912" s="14" t="n">
        <v>62.12</v>
      </c>
      <c r="F2912" s="14" t="n">
        <v>4228.76</v>
      </c>
      <c r="G2912" s="6" t="s">
        <v>2613</v>
      </c>
    </row>
    <row r="2913" customFormat="false" ht="15" hidden="false" customHeight="true" outlineLevel="0" collapsed="false">
      <c r="A2913" s="6" t="s">
        <v>5525</v>
      </c>
      <c r="B2913" s="6" t="s">
        <v>759</v>
      </c>
      <c r="C2913" s="6" t="s">
        <v>124</v>
      </c>
      <c r="D2913" s="13" t="n">
        <v>45464</v>
      </c>
      <c r="E2913" s="14" t="n">
        <v>14161.98</v>
      </c>
      <c r="F2913" s="14" t="n">
        <v>14161.98</v>
      </c>
      <c r="G2913" s="6" t="s">
        <v>2613</v>
      </c>
    </row>
    <row r="2914" customFormat="false" ht="15" hidden="false" customHeight="true" outlineLevel="0" collapsed="false">
      <c r="A2914" s="6" t="s">
        <v>5526</v>
      </c>
      <c r="B2914" s="6" t="s">
        <v>759</v>
      </c>
      <c r="C2914" s="6" t="s">
        <v>124</v>
      </c>
      <c r="D2914" s="13" t="n">
        <v>45471</v>
      </c>
      <c r="E2914" s="14" t="n">
        <v>7125.24</v>
      </c>
      <c r="F2914" s="14" t="n">
        <v>21287.22</v>
      </c>
      <c r="G2914" s="6" t="s">
        <v>2623</v>
      </c>
    </row>
    <row r="2915" customFormat="false" ht="15" hidden="false" customHeight="true" outlineLevel="0" collapsed="false">
      <c r="A2915" s="6" t="s">
        <v>5527</v>
      </c>
      <c r="B2915" s="6" t="s">
        <v>759</v>
      </c>
      <c r="C2915" s="6" t="s">
        <v>124</v>
      </c>
      <c r="D2915" s="13" t="n">
        <v>45478</v>
      </c>
      <c r="E2915" s="14" t="n">
        <v>13317.36</v>
      </c>
      <c r="F2915" s="14" t="n">
        <v>34604.58</v>
      </c>
      <c r="G2915" s="6" t="s">
        <v>2623</v>
      </c>
    </row>
    <row r="2916" customFormat="false" ht="15" hidden="false" customHeight="true" outlineLevel="0" collapsed="false">
      <c r="A2916" s="6" t="s">
        <v>5528</v>
      </c>
      <c r="B2916" s="6" t="s">
        <v>759</v>
      </c>
      <c r="C2916" s="6" t="s">
        <v>124</v>
      </c>
      <c r="D2916" s="13" t="n">
        <v>45485</v>
      </c>
      <c r="E2916" s="14" t="n">
        <v>6430.54</v>
      </c>
      <c r="F2916" s="14" t="n">
        <v>41035.12</v>
      </c>
      <c r="G2916" s="6" t="s">
        <v>2613</v>
      </c>
    </row>
    <row r="2917" customFormat="false" ht="15" hidden="false" customHeight="true" outlineLevel="0" collapsed="false">
      <c r="A2917" s="6" t="s">
        <v>5529</v>
      </c>
      <c r="B2917" s="6" t="s">
        <v>759</v>
      </c>
      <c r="C2917" s="6" t="s">
        <v>124</v>
      </c>
      <c r="D2917" s="13" t="n">
        <v>45492</v>
      </c>
      <c r="E2917" s="14" t="n">
        <v>7162.58</v>
      </c>
      <c r="F2917" s="14" t="n">
        <v>48197.7</v>
      </c>
      <c r="G2917" s="6" t="s">
        <v>2613</v>
      </c>
    </row>
    <row r="2918" customFormat="false" ht="15" hidden="false" customHeight="true" outlineLevel="0" collapsed="false">
      <c r="A2918" s="6" t="s">
        <v>5530</v>
      </c>
      <c r="B2918" s="6" t="s">
        <v>759</v>
      </c>
      <c r="C2918" s="6" t="s">
        <v>124</v>
      </c>
      <c r="D2918" s="13" t="n">
        <v>45499</v>
      </c>
      <c r="E2918" s="14" t="n">
        <v>11526.79</v>
      </c>
      <c r="F2918" s="14" t="n">
        <v>59724.49</v>
      </c>
      <c r="G2918" s="6" t="s">
        <v>2613</v>
      </c>
    </row>
    <row r="2919" customFormat="false" ht="15" hidden="false" customHeight="true" outlineLevel="0" collapsed="false">
      <c r="A2919" s="6" t="s">
        <v>5531</v>
      </c>
      <c r="B2919" s="6" t="s">
        <v>759</v>
      </c>
      <c r="C2919" s="6" t="s">
        <v>124</v>
      </c>
      <c r="D2919" s="13" t="n">
        <v>45506</v>
      </c>
      <c r="E2919" s="14" t="n">
        <v>13690.54</v>
      </c>
      <c r="F2919" s="14" t="n">
        <v>73415.03</v>
      </c>
      <c r="G2919" s="6" t="s">
        <v>2613</v>
      </c>
    </row>
    <row r="2920" customFormat="false" ht="15" hidden="false" customHeight="true" outlineLevel="0" collapsed="false">
      <c r="A2920" s="6" t="s">
        <v>5532</v>
      </c>
      <c r="B2920" s="6" t="s">
        <v>761</v>
      </c>
      <c r="C2920" s="6" t="s">
        <v>128</v>
      </c>
      <c r="D2920" s="13" t="n">
        <v>45287</v>
      </c>
      <c r="E2920" s="14" t="n">
        <v>5953.84</v>
      </c>
      <c r="F2920" s="14" t="n">
        <v>5953.84</v>
      </c>
      <c r="G2920" s="6" t="s">
        <v>2613</v>
      </c>
    </row>
    <row r="2921" customFormat="false" ht="15" hidden="false" customHeight="true" outlineLevel="0" collapsed="false">
      <c r="A2921" s="6" t="s">
        <v>5533</v>
      </c>
      <c r="B2921" s="6" t="s">
        <v>761</v>
      </c>
      <c r="C2921" s="6" t="s">
        <v>128</v>
      </c>
      <c r="D2921" s="13" t="n">
        <v>45294</v>
      </c>
      <c r="E2921" s="14" t="n">
        <v>7443.15</v>
      </c>
      <c r="F2921" s="14" t="n">
        <v>13396.99</v>
      </c>
      <c r="G2921" s="6" t="s">
        <v>2613</v>
      </c>
    </row>
    <row r="2922" customFormat="false" ht="15" hidden="false" customHeight="true" outlineLevel="0" collapsed="false">
      <c r="A2922" s="6" t="s">
        <v>5534</v>
      </c>
      <c r="B2922" s="6" t="s">
        <v>761</v>
      </c>
      <c r="C2922" s="6" t="s">
        <v>128</v>
      </c>
      <c r="D2922" s="13" t="n">
        <v>45301</v>
      </c>
      <c r="E2922" s="14" t="n">
        <v>3878.69</v>
      </c>
      <c r="F2922" s="14" t="n">
        <v>17275.68</v>
      </c>
      <c r="G2922" s="6" t="s">
        <v>2613</v>
      </c>
    </row>
    <row r="2923" customFormat="false" ht="15" hidden="false" customHeight="true" outlineLevel="0" collapsed="false">
      <c r="A2923" s="6" t="s">
        <v>5535</v>
      </c>
      <c r="B2923" s="6" t="s">
        <v>761</v>
      </c>
      <c r="C2923" s="6" t="s">
        <v>128</v>
      </c>
      <c r="D2923" s="13" t="n">
        <v>45308</v>
      </c>
      <c r="E2923" s="14" t="n">
        <v>4986.23</v>
      </c>
      <c r="F2923" s="14" t="n">
        <v>22261.91</v>
      </c>
      <c r="G2923" s="6" t="s">
        <v>2613</v>
      </c>
    </row>
    <row r="2924" customFormat="false" ht="15" hidden="false" customHeight="true" outlineLevel="0" collapsed="false">
      <c r="A2924" s="6" t="s">
        <v>5536</v>
      </c>
      <c r="B2924" s="6" t="s">
        <v>761</v>
      </c>
      <c r="C2924" s="6" t="s">
        <v>128</v>
      </c>
      <c r="D2924" s="13" t="n">
        <v>45315</v>
      </c>
      <c r="E2924" s="14" t="n">
        <v>8343.04</v>
      </c>
      <c r="F2924" s="14" t="n">
        <v>30604.95</v>
      </c>
      <c r="G2924" s="6" t="s">
        <v>2613</v>
      </c>
    </row>
    <row r="2925" customFormat="false" ht="15" hidden="false" customHeight="true" outlineLevel="0" collapsed="false">
      <c r="A2925" s="6" t="s">
        <v>5537</v>
      </c>
      <c r="B2925" s="6" t="s">
        <v>761</v>
      </c>
      <c r="C2925" s="6" t="s">
        <v>128</v>
      </c>
      <c r="D2925" s="13" t="n">
        <v>45322</v>
      </c>
      <c r="E2925" s="14" t="n">
        <v>8132.51</v>
      </c>
      <c r="F2925" s="14" t="n">
        <v>38737.46</v>
      </c>
      <c r="G2925" s="6" t="s">
        <v>2613</v>
      </c>
    </row>
    <row r="2926" customFormat="false" ht="15" hidden="false" customHeight="true" outlineLevel="0" collapsed="false">
      <c r="A2926" s="6" t="s">
        <v>5538</v>
      </c>
      <c r="B2926" s="6" t="s">
        <v>761</v>
      </c>
      <c r="C2926" s="6" t="s">
        <v>128</v>
      </c>
      <c r="D2926" s="13" t="n">
        <v>45329</v>
      </c>
      <c r="E2926" s="14" t="n">
        <v>6059.62</v>
      </c>
      <c r="F2926" s="14" t="n">
        <v>44797.08</v>
      </c>
      <c r="G2926" s="6" t="s">
        <v>2613</v>
      </c>
    </row>
    <row r="2927" customFormat="false" ht="15" hidden="false" customHeight="true" outlineLevel="0" collapsed="false">
      <c r="A2927" s="6" t="s">
        <v>5539</v>
      </c>
      <c r="B2927" s="6" t="s">
        <v>763</v>
      </c>
      <c r="C2927" s="6" t="s">
        <v>116</v>
      </c>
      <c r="D2927" s="13" t="n">
        <v>45370</v>
      </c>
      <c r="E2927" s="14" t="n">
        <v>369.99</v>
      </c>
      <c r="F2927" s="14" t="n">
        <v>369.99</v>
      </c>
      <c r="G2927" s="6" t="s">
        <v>2613</v>
      </c>
    </row>
    <row r="2928" customFormat="false" ht="15" hidden="false" customHeight="true" outlineLevel="0" collapsed="false">
      <c r="A2928" s="6" t="s">
        <v>5540</v>
      </c>
      <c r="B2928" s="6" t="s">
        <v>763</v>
      </c>
      <c r="C2928" s="6" t="s">
        <v>116</v>
      </c>
      <c r="D2928" s="13" t="n">
        <v>45377</v>
      </c>
      <c r="E2928" s="14" t="n">
        <v>311.23</v>
      </c>
      <c r="F2928" s="14" t="n">
        <v>681.22</v>
      </c>
      <c r="G2928" s="6" t="s">
        <v>2613</v>
      </c>
    </row>
    <row r="2929" customFormat="false" ht="15" hidden="false" customHeight="true" outlineLevel="0" collapsed="false">
      <c r="A2929" s="6" t="s">
        <v>5541</v>
      </c>
      <c r="B2929" s="6" t="s">
        <v>763</v>
      </c>
      <c r="C2929" s="6" t="s">
        <v>116</v>
      </c>
      <c r="D2929" s="13" t="n">
        <v>45384</v>
      </c>
      <c r="E2929" s="14" t="n">
        <v>324.92</v>
      </c>
      <c r="F2929" s="14" t="n">
        <v>1006.14</v>
      </c>
      <c r="G2929" s="6" t="s">
        <v>2613</v>
      </c>
    </row>
    <row r="2930" customFormat="false" ht="15" hidden="false" customHeight="true" outlineLevel="0" collapsed="false">
      <c r="A2930" s="6" t="s">
        <v>5542</v>
      </c>
      <c r="B2930" s="6" t="s">
        <v>763</v>
      </c>
      <c r="C2930" s="6" t="s">
        <v>116</v>
      </c>
      <c r="D2930" s="13" t="n">
        <v>45391</v>
      </c>
      <c r="E2930" s="14" t="n">
        <v>216.51</v>
      </c>
      <c r="F2930" s="14" t="n">
        <v>1222.65</v>
      </c>
      <c r="G2930" s="6" t="s">
        <v>2613</v>
      </c>
    </row>
    <row r="2931" customFormat="false" ht="15" hidden="false" customHeight="true" outlineLevel="0" collapsed="false">
      <c r="A2931" s="6" t="s">
        <v>5543</v>
      </c>
      <c r="B2931" s="6" t="s">
        <v>763</v>
      </c>
      <c r="C2931" s="6" t="s">
        <v>116</v>
      </c>
      <c r="D2931" s="13" t="n">
        <v>45398</v>
      </c>
      <c r="E2931" s="14" t="n">
        <v>297.03</v>
      </c>
      <c r="F2931" s="14" t="n">
        <v>1519.68</v>
      </c>
      <c r="G2931" s="6" t="s">
        <v>2613</v>
      </c>
    </row>
    <row r="2932" customFormat="false" ht="15" hidden="false" customHeight="true" outlineLevel="0" collapsed="false">
      <c r="A2932" s="6" t="s">
        <v>5544</v>
      </c>
      <c r="B2932" s="6" t="s">
        <v>763</v>
      </c>
      <c r="C2932" s="6" t="s">
        <v>116</v>
      </c>
      <c r="D2932" s="13" t="n">
        <v>45405</v>
      </c>
      <c r="E2932" s="14" t="n">
        <v>199.13</v>
      </c>
      <c r="F2932" s="14" t="n">
        <v>1718.81</v>
      </c>
      <c r="G2932" s="6" t="s">
        <v>2613</v>
      </c>
    </row>
    <row r="2933" customFormat="false" ht="15" hidden="false" customHeight="true" outlineLevel="0" collapsed="false">
      <c r="A2933" s="6" t="s">
        <v>5545</v>
      </c>
      <c r="B2933" s="6" t="s">
        <v>763</v>
      </c>
      <c r="C2933" s="6" t="s">
        <v>116</v>
      </c>
      <c r="D2933" s="13" t="n">
        <v>45412</v>
      </c>
      <c r="E2933" s="14" t="n">
        <v>293.98</v>
      </c>
      <c r="F2933" s="14" t="n">
        <v>2012.79</v>
      </c>
      <c r="G2933" s="6" t="s">
        <v>2613</v>
      </c>
    </row>
    <row r="2934" customFormat="false" ht="15" hidden="false" customHeight="true" outlineLevel="0" collapsed="false">
      <c r="A2934" s="6" t="s">
        <v>5546</v>
      </c>
      <c r="B2934" s="6" t="s">
        <v>763</v>
      </c>
      <c r="C2934" s="6" t="s">
        <v>116</v>
      </c>
      <c r="D2934" s="13" t="n">
        <v>45419</v>
      </c>
      <c r="E2934" s="14" t="n">
        <v>359.61</v>
      </c>
      <c r="F2934" s="14" t="n">
        <v>2372.4</v>
      </c>
      <c r="G2934" s="6" t="s">
        <v>2613</v>
      </c>
    </row>
    <row r="2935" customFormat="false" ht="15" hidden="false" customHeight="true" outlineLevel="0" collapsed="false">
      <c r="A2935" s="6" t="s">
        <v>5547</v>
      </c>
      <c r="B2935" s="6" t="s">
        <v>763</v>
      </c>
      <c r="C2935" s="6" t="s">
        <v>116</v>
      </c>
      <c r="D2935" s="13" t="n">
        <v>45426</v>
      </c>
      <c r="E2935" s="14" t="n">
        <v>322.82</v>
      </c>
      <c r="F2935" s="14" t="n">
        <v>2695.22</v>
      </c>
      <c r="G2935" s="6" t="s">
        <v>2613</v>
      </c>
    </row>
    <row r="2936" customFormat="false" ht="15" hidden="false" customHeight="true" outlineLevel="0" collapsed="false">
      <c r="A2936" s="6" t="s">
        <v>5548</v>
      </c>
      <c r="B2936" s="6" t="s">
        <v>763</v>
      </c>
      <c r="C2936" s="6" t="s">
        <v>116</v>
      </c>
      <c r="D2936" s="13" t="n">
        <v>45433</v>
      </c>
      <c r="E2936" s="14" t="n">
        <v>305.38</v>
      </c>
      <c r="F2936" s="14" t="n">
        <v>3000.6</v>
      </c>
      <c r="G2936" s="6" t="s">
        <v>2613</v>
      </c>
    </row>
    <row r="2937" customFormat="false" ht="15" hidden="false" customHeight="true" outlineLevel="0" collapsed="false">
      <c r="A2937" s="6" t="s">
        <v>5549</v>
      </c>
      <c r="B2937" s="6" t="s">
        <v>763</v>
      </c>
      <c r="C2937" s="6" t="s">
        <v>116</v>
      </c>
      <c r="D2937" s="13" t="n">
        <v>45440</v>
      </c>
      <c r="E2937" s="14" t="n">
        <v>223.55</v>
      </c>
      <c r="F2937" s="14" t="n">
        <v>3224.15</v>
      </c>
      <c r="G2937" s="6" t="s">
        <v>2623</v>
      </c>
    </row>
    <row r="2938" customFormat="false" ht="15" hidden="false" customHeight="true" outlineLevel="0" collapsed="false">
      <c r="A2938" s="6" t="s">
        <v>5550</v>
      </c>
      <c r="B2938" s="6" t="s">
        <v>763</v>
      </c>
      <c r="C2938" s="6" t="s">
        <v>116</v>
      </c>
      <c r="D2938" s="13" t="n">
        <v>45447</v>
      </c>
      <c r="E2938" s="14" t="n">
        <v>278.31</v>
      </c>
      <c r="F2938" s="14" t="n">
        <v>3502.46</v>
      </c>
      <c r="G2938" s="6" t="s">
        <v>2613</v>
      </c>
    </row>
    <row r="2939" customFormat="false" ht="15" hidden="false" customHeight="true" outlineLevel="0" collapsed="false">
      <c r="A2939" s="6" t="s">
        <v>5551</v>
      </c>
      <c r="B2939" s="6" t="s">
        <v>763</v>
      </c>
      <c r="C2939" s="6" t="s">
        <v>116</v>
      </c>
      <c r="D2939" s="13" t="n">
        <v>45454</v>
      </c>
      <c r="E2939" s="14" t="n">
        <v>314.85</v>
      </c>
      <c r="F2939" s="14" t="n">
        <v>3817.31</v>
      </c>
      <c r="G2939" s="6" t="s">
        <v>2623</v>
      </c>
    </row>
    <row r="2940" customFormat="false" ht="15" hidden="false" customHeight="true" outlineLevel="0" collapsed="false">
      <c r="A2940" s="6" t="s">
        <v>5552</v>
      </c>
      <c r="B2940" s="6" t="s">
        <v>763</v>
      </c>
      <c r="C2940" s="6" t="s">
        <v>116</v>
      </c>
      <c r="D2940" s="13" t="n">
        <v>45461</v>
      </c>
      <c r="E2940" s="14" t="n">
        <v>341.63</v>
      </c>
      <c r="F2940" s="14" t="n">
        <v>4158.94</v>
      </c>
      <c r="G2940" s="6" t="s">
        <v>2613</v>
      </c>
    </row>
    <row r="2941" customFormat="false" ht="15" hidden="false" customHeight="true" outlineLevel="0" collapsed="false">
      <c r="A2941" s="6" t="s">
        <v>5553</v>
      </c>
      <c r="B2941" s="6" t="s">
        <v>763</v>
      </c>
      <c r="C2941" s="6" t="s">
        <v>116</v>
      </c>
      <c r="D2941" s="13" t="n">
        <v>45468</v>
      </c>
      <c r="E2941" s="14" t="n">
        <v>194.25</v>
      </c>
      <c r="F2941" s="14" t="n">
        <v>4353.19</v>
      </c>
      <c r="G2941" s="6" t="s">
        <v>2613</v>
      </c>
    </row>
    <row r="2942" customFormat="false" ht="15" hidden="false" customHeight="true" outlineLevel="0" collapsed="false">
      <c r="A2942" s="6" t="s">
        <v>5554</v>
      </c>
      <c r="B2942" s="6" t="s">
        <v>763</v>
      </c>
      <c r="C2942" s="6" t="s">
        <v>116</v>
      </c>
      <c r="D2942" s="13" t="n">
        <v>45475</v>
      </c>
      <c r="E2942" s="14" t="n">
        <v>349.78</v>
      </c>
      <c r="F2942" s="14" t="n">
        <v>4702.97</v>
      </c>
      <c r="G2942" s="6" t="s">
        <v>2613</v>
      </c>
    </row>
    <row r="2943" customFormat="false" ht="15" hidden="false" customHeight="true" outlineLevel="0" collapsed="false">
      <c r="A2943" s="6" t="s">
        <v>5555</v>
      </c>
      <c r="B2943" s="6" t="s">
        <v>763</v>
      </c>
      <c r="C2943" s="6" t="s">
        <v>116</v>
      </c>
      <c r="D2943" s="13" t="n">
        <v>45482</v>
      </c>
      <c r="E2943" s="14" t="n">
        <v>277.72</v>
      </c>
      <c r="F2943" s="14" t="n">
        <v>4980.69</v>
      </c>
      <c r="G2943" s="6" t="s">
        <v>2613</v>
      </c>
    </row>
    <row r="2944" customFormat="false" ht="15" hidden="false" customHeight="true" outlineLevel="0" collapsed="false">
      <c r="A2944" s="6" t="s">
        <v>5556</v>
      </c>
      <c r="B2944" s="6" t="s">
        <v>765</v>
      </c>
      <c r="C2944" s="6" t="s">
        <v>131</v>
      </c>
      <c r="D2944" s="13" t="n">
        <v>44674</v>
      </c>
      <c r="E2944" s="14" t="n">
        <v>1443.46</v>
      </c>
      <c r="F2944" s="14" t="n">
        <v>1443.46</v>
      </c>
      <c r="G2944" s="6" t="s">
        <v>2613</v>
      </c>
    </row>
    <row r="2945" customFormat="false" ht="15" hidden="false" customHeight="true" outlineLevel="0" collapsed="false">
      <c r="A2945" s="6" t="s">
        <v>5557</v>
      </c>
      <c r="B2945" s="6" t="s">
        <v>765</v>
      </c>
      <c r="C2945" s="6" t="s">
        <v>131</v>
      </c>
      <c r="D2945" s="13" t="n">
        <v>44681</v>
      </c>
      <c r="E2945" s="14" t="n">
        <v>1393.08</v>
      </c>
      <c r="F2945" s="14" t="n">
        <v>2836.54</v>
      </c>
      <c r="G2945" s="6" t="s">
        <v>2613</v>
      </c>
    </row>
    <row r="2946" customFormat="false" ht="15" hidden="false" customHeight="true" outlineLevel="0" collapsed="false">
      <c r="A2946" s="6" t="s">
        <v>5558</v>
      </c>
      <c r="B2946" s="6" t="s">
        <v>765</v>
      </c>
      <c r="C2946" s="6" t="s">
        <v>131</v>
      </c>
      <c r="D2946" s="13" t="n">
        <v>44688</v>
      </c>
      <c r="E2946" s="14" t="n">
        <v>1267.09</v>
      </c>
      <c r="F2946" s="14" t="n">
        <v>4103.63</v>
      </c>
      <c r="G2946" s="6" t="s">
        <v>2613</v>
      </c>
    </row>
    <row r="2947" customFormat="false" ht="15" hidden="false" customHeight="true" outlineLevel="0" collapsed="false">
      <c r="A2947" s="6" t="s">
        <v>5559</v>
      </c>
      <c r="B2947" s="6" t="s">
        <v>765</v>
      </c>
      <c r="C2947" s="6" t="s">
        <v>131</v>
      </c>
      <c r="D2947" s="13" t="n">
        <v>44695</v>
      </c>
      <c r="E2947" s="14" t="n">
        <v>898.16</v>
      </c>
      <c r="F2947" s="14" t="n">
        <v>5001.79</v>
      </c>
      <c r="G2947" s="6" t="s">
        <v>2613</v>
      </c>
    </row>
    <row r="2948" customFormat="false" ht="15" hidden="false" customHeight="true" outlineLevel="0" collapsed="false">
      <c r="A2948" s="6" t="s">
        <v>5560</v>
      </c>
      <c r="B2948" s="6" t="s">
        <v>765</v>
      </c>
      <c r="C2948" s="6" t="s">
        <v>131</v>
      </c>
      <c r="D2948" s="13" t="n">
        <v>44702</v>
      </c>
      <c r="E2948" s="14" t="n">
        <v>1723.44</v>
      </c>
      <c r="F2948" s="14" t="n">
        <v>6725.23</v>
      </c>
      <c r="G2948" s="6" t="s">
        <v>2623</v>
      </c>
    </row>
    <row r="2949" customFormat="false" ht="15" hidden="false" customHeight="true" outlineLevel="0" collapsed="false">
      <c r="A2949" s="6" t="s">
        <v>5561</v>
      </c>
      <c r="B2949" s="6" t="s">
        <v>765</v>
      </c>
      <c r="C2949" s="6" t="s">
        <v>131</v>
      </c>
      <c r="D2949" s="13" t="n">
        <v>44709</v>
      </c>
      <c r="E2949" s="14" t="n">
        <v>1303.89</v>
      </c>
      <c r="F2949" s="14" t="n">
        <v>8029.12</v>
      </c>
      <c r="G2949" s="6" t="s">
        <v>2613</v>
      </c>
    </row>
    <row r="2950" customFormat="false" ht="15" hidden="false" customHeight="true" outlineLevel="0" collapsed="false">
      <c r="A2950" s="6" t="s">
        <v>5562</v>
      </c>
      <c r="B2950" s="6" t="s">
        <v>765</v>
      </c>
      <c r="C2950" s="6" t="s">
        <v>131</v>
      </c>
      <c r="D2950" s="13" t="n">
        <v>44716</v>
      </c>
      <c r="E2950" s="14" t="n">
        <v>1664.45</v>
      </c>
      <c r="F2950" s="14" t="n">
        <v>9693.57</v>
      </c>
      <c r="G2950" s="6" t="s">
        <v>2613</v>
      </c>
    </row>
    <row r="2951" customFormat="false" ht="15" hidden="false" customHeight="true" outlineLevel="0" collapsed="false">
      <c r="A2951" s="6" t="s">
        <v>5563</v>
      </c>
      <c r="B2951" s="6" t="s">
        <v>765</v>
      </c>
      <c r="C2951" s="6" t="s">
        <v>131</v>
      </c>
      <c r="D2951" s="13" t="n">
        <v>44723</v>
      </c>
      <c r="E2951" s="14" t="n">
        <v>1300.53</v>
      </c>
      <c r="F2951" s="14" t="n">
        <v>10994.1</v>
      </c>
      <c r="G2951" s="6" t="s">
        <v>2623</v>
      </c>
    </row>
    <row r="2952" customFormat="false" ht="15" hidden="false" customHeight="true" outlineLevel="0" collapsed="false">
      <c r="A2952" s="6" t="s">
        <v>5564</v>
      </c>
      <c r="B2952" s="6" t="s">
        <v>765</v>
      </c>
      <c r="C2952" s="6" t="s">
        <v>131</v>
      </c>
      <c r="D2952" s="13" t="n">
        <v>44730</v>
      </c>
      <c r="E2952" s="14" t="n">
        <v>863.05</v>
      </c>
      <c r="F2952" s="14" t="n">
        <v>11857.15</v>
      </c>
      <c r="G2952" s="6" t="s">
        <v>2613</v>
      </c>
    </row>
    <row r="2953" customFormat="false" ht="15" hidden="false" customHeight="true" outlineLevel="0" collapsed="false">
      <c r="A2953" s="6" t="s">
        <v>5565</v>
      </c>
      <c r="B2953" s="6" t="s">
        <v>765</v>
      </c>
      <c r="C2953" s="6" t="s">
        <v>131</v>
      </c>
      <c r="D2953" s="13" t="n">
        <v>44737</v>
      </c>
      <c r="E2953" s="14" t="n">
        <v>865.92</v>
      </c>
      <c r="F2953" s="14" t="n">
        <v>12723.07</v>
      </c>
      <c r="G2953" s="6" t="s">
        <v>2613</v>
      </c>
    </row>
    <row r="2954" customFormat="false" ht="15" hidden="false" customHeight="true" outlineLevel="0" collapsed="false">
      <c r="A2954" s="6" t="s">
        <v>5566</v>
      </c>
      <c r="B2954" s="6" t="s">
        <v>765</v>
      </c>
      <c r="C2954" s="6" t="s">
        <v>131</v>
      </c>
      <c r="D2954" s="13" t="n">
        <v>44744</v>
      </c>
      <c r="E2954" s="14" t="n">
        <v>1179.19</v>
      </c>
      <c r="F2954" s="14" t="n">
        <v>13902.26</v>
      </c>
      <c r="G2954" s="6" t="s">
        <v>2613</v>
      </c>
    </row>
    <row r="2955" customFormat="false" ht="15" hidden="false" customHeight="true" outlineLevel="0" collapsed="false">
      <c r="A2955" s="6" t="s">
        <v>5567</v>
      </c>
      <c r="B2955" s="6" t="s">
        <v>765</v>
      </c>
      <c r="C2955" s="6" t="s">
        <v>131</v>
      </c>
      <c r="D2955" s="13" t="n">
        <v>44751</v>
      </c>
      <c r="E2955" s="14" t="n">
        <v>1737.79</v>
      </c>
      <c r="F2955" s="14" t="n">
        <v>15640.05</v>
      </c>
      <c r="G2955" s="6" t="s">
        <v>2613</v>
      </c>
    </row>
    <row r="2956" customFormat="false" ht="15" hidden="false" customHeight="true" outlineLevel="0" collapsed="false">
      <c r="A2956" s="6" t="s">
        <v>5568</v>
      </c>
      <c r="B2956" s="6" t="s">
        <v>765</v>
      </c>
      <c r="C2956" s="6" t="s">
        <v>131</v>
      </c>
      <c r="D2956" s="13" t="n">
        <v>44758</v>
      </c>
      <c r="E2956" s="14" t="n">
        <v>974.38</v>
      </c>
      <c r="F2956" s="14" t="n">
        <v>16614.43</v>
      </c>
      <c r="G2956" s="6" t="s">
        <v>2623</v>
      </c>
    </row>
    <row r="2957" customFormat="false" ht="15" hidden="false" customHeight="true" outlineLevel="0" collapsed="false">
      <c r="A2957" s="6" t="s">
        <v>5569</v>
      </c>
      <c r="B2957" s="6" t="s">
        <v>765</v>
      </c>
      <c r="C2957" s="6" t="s">
        <v>131</v>
      </c>
      <c r="D2957" s="13" t="n">
        <v>44765</v>
      </c>
      <c r="E2957" s="14" t="n">
        <v>973.19</v>
      </c>
      <c r="F2957" s="14" t="n">
        <v>17587.62</v>
      </c>
      <c r="G2957" s="6" t="s">
        <v>2613</v>
      </c>
    </row>
    <row r="2958" customFormat="false" ht="15" hidden="false" customHeight="true" outlineLevel="0" collapsed="false">
      <c r="A2958" s="6" t="s">
        <v>5570</v>
      </c>
      <c r="B2958" s="6" t="s">
        <v>765</v>
      </c>
      <c r="C2958" s="6" t="s">
        <v>131</v>
      </c>
      <c r="D2958" s="13" t="n">
        <v>44772</v>
      </c>
      <c r="E2958" s="14" t="n">
        <v>1421.69</v>
      </c>
      <c r="F2958" s="14" t="n">
        <v>19009.31</v>
      </c>
      <c r="G2958" s="6" t="s">
        <v>2623</v>
      </c>
    </row>
    <row r="2959" customFormat="false" ht="15" hidden="false" customHeight="true" outlineLevel="0" collapsed="false">
      <c r="A2959" s="6" t="s">
        <v>5571</v>
      </c>
      <c r="B2959" s="6" t="s">
        <v>765</v>
      </c>
      <c r="C2959" s="6" t="s">
        <v>131</v>
      </c>
      <c r="D2959" s="13" t="n">
        <v>44779</v>
      </c>
      <c r="E2959" s="14" t="n">
        <v>1808.65</v>
      </c>
      <c r="F2959" s="14" t="n">
        <v>20817.96</v>
      </c>
      <c r="G2959" s="6" t="s">
        <v>2613</v>
      </c>
    </row>
    <row r="2960" customFormat="false" ht="15" hidden="false" customHeight="true" outlineLevel="0" collapsed="false">
      <c r="A2960" s="6" t="s">
        <v>5572</v>
      </c>
      <c r="B2960" s="6" t="s">
        <v>765</v>
      </c>
      <c r="C2960" s="6" t="s">
        <v>131</v>
      </c>
      <c r="D2960" s="13" t="n">
        <v>44786</v>
      </c>
      <c r="E2960" s="14" t="n">
        <v>1293.06</v>
      </c>
      <c r="F2960" s="14" t="n">
        <v>22111.02</v>
      </c>
      <c r="G2960" s="6" t="s">
        <v>2613</v>
      </c>
    </row>
    <row r="2961" customFormat="false" ht="15" hidden="false" customHeight="true" outlineLevel="0" collapsed="false">
      <c r="A2961" s="6" t="s">
        <v>5573</v>
      </c>
      <c r="B2961" s="6" t="s">
        <v>765</v>
      </c>
      <c r="C2961" s="6" t="s">
        <v>131</v>
      </c>
      <c r="D2961" s="13" t="n">
        <v>44793</v>
      </c>
      <c r="E2961" s="14" t="n">
        <v>1358.63</v>
      </c>
      <c r="F2961" s="14" t="n">
        <v>23469.65</v>
      </c>
      <c r="G2961" s="6" t="s">
        <v>2613</v>
      </c>
    </row>
    <row r="2962" customFormat="false" ht="15" hidden="false" customHeight="true" outlineLevel="0" collapsed="false">
      <c r="A2962" s="6" t="s">
        <v>5574</v>
      </c>
      <c r="B2962" s="6" t="s">
        <v>765</v>
      </c>
      <c r="C2962" s="6" t="s">
        <v>131</v>
      </c>
      <c r="D2962" s="13" t="n">
        <v>44800</v>
      </c>
      <c r="E2962" s="14" t="n">
        <v>1563.2</v>
      </c>
      <c r="F2962" s="14" t="n">
        <v>25032.85</v>
      </c>
      <c r="G2962" s="6" t="s">
        <v>2613</v>
      </c>
    </row>
    <row r="2963" customFormat="false" ht="15" hidden="false" customHeight="true" outlineLevel="0" collapsed="false">
      <c r="A2963" s="6" t="s">
        <v>5575</v>
      </c>
      <c r="B2963" s="6" t="s">
        <v>765</v>
      </c>
      <c r="C2963" s="6" t="s">
        <v>131</v>
      </c>
      <c r="D2963" s="13" t="n">
        <v>44807</v>
      </c>
      <c r="E2963" s="14" t="n">
        <v>988.04</v>
      </c>
      <c r="F2963" s="14" t="n">
        <v>26020.89</v>
      </c>
      <c r="G2963" s="6" t="s">
        <v>2623</v>
      </c>
    </row>
    <row r="2964" customFormat="false" ht="15" hidden="false" customHeight="true" outlineLevel="0" collapsed="false">
      <c r="A2964" s="6" t="s">
        <v>5576</v>
      </c>
      <c r="B2964" s="6" t="s">
        <v>765</v>
      </c>
      <c r="C2964" s="6" t="s">
        <v>131</v>
      </c>
      <c r="D2964" s="13" t="n">
        <v>44814</v>
      </c>
      <c r="E2964" s="14" t="n">
        <v>810.09</v>
      </c>
      <c r="F2964" s="14" t="n">
        <v>26830.98</v>
      </c>
      <c r="G2964" s="6" t="s">
        <v>2613</v>
      </c>
    </row>
    <row r="2965" customFormat="false" ht="15" hidden="false" customHeight="true" outlineLevel="0" collapsed="false">
      <c r="A2965" s="6" t="s">
        <v>5577</v>
      </c>
      <c r="B2965" s="6" t="s">
        <v>765</v>
      </c>
      <c r="C2965" s="6" t="s">
        <v>131</v>
      </c>
      <c r="D2965" s="13" t="n">
        <v>44821</v>
      </c>
      <c r="E2965" s="14" t="n">
        <v>1987.22</v>
      </c>
      <c r="F2965" s="14" t="n">
        <v>28818.2</v>
      </c>
      <c r="G2965" s="6" t="s">
        <v>2613</v>
      </c>
    </row>
    <row r="2966" customFormat="false" ht="15" hidden="false" customHeight="true" outlineLevel="0" collapsed="false">
      <c r="A2966" s="6" t="s">
        <v>5578</v>
      </c>
      <c r="B2966" s="6" t="s">
        <v>767</v>
      </c>
      <c r="C2966" s="6" t="s">
        <v>120</v>
      </c>
      <c r="D2966" s="13" t="n">
        <v>45698</v>
      </c>
      <c r="E2966" s="14" t="n">
        <v>624.32</v>
      </c>
      <c r="F2966" s="14" t="n">
        <v>624.32</v>
      </c>
      <c r="G2966" s="6" t="s">
        <v>2613</v>
      </c>
    </row>
    <row r="2967" customFormat="false" ht="15" hidden="false" customHeight="true" outlineLevel="0" collapsed="false">
      <c r="A2967" s="6" t="s">
        <v>5579</v>
      </c>
      <c r="B2967" s="6" t="s">
        <v>767</v>
      </c>
      <c r="C2967" s="6" t="s">
        <v>120</v>
      </c>
      <c r="D2967" s="13" t="n">
        <v>45705</v>
      </c>
      <c r="E2967" s="14" t="n">
        <v>679.32</v>
      </c>
      <c r="F2967" s="14" t="n">
        <v>1303.64</v>
      </c>
      <c r="G2967" s="6" t="s">
        <v>2613</v>
      </c>
    </row>
    <row r="2968" customFormat="false" ht="15" hidden="false" customHeight="true" outlineLevel="0" collapsed="false">
      <c r="A2968" s="6" t="s">
        <v>5580</v>
      </c>
      <c r="B2968" s="6" t="s">
        <v>767</v>
      </c>
      <c r="C2968" s="6" t="s">
        <v>120</v>
      </c>
      <c r="D2968" s="13" t="n">
        <v>45712</v>
      </c>
      <c r="E2968" s="14" t="n">
        <v>400.5</v>
      </c>
      <c r="F2968" s="14" t="n">
        <v>1704.14</v>
      </c>
      <c r="G2968" s="6" t="s">
        <v>2613</v>
      </c>
    </row>
    <row r="2969" customFormat="false" ht="15" hidden="false" customHeight="true" outlineLevel="0" collapsed="false">
      <c r="A2969" s="6" t="s">
        <v>5581</v>
      </c>
      <c r="B2969" s="6" t="s">
        <v>767</v>
      </c>
      <c r="C2969" s="6" t="s">
        <v>120</v>
      </c>
      <c r="D2969" s="13" t="n">
        <v>45719</v>
      </c>
      <c r="E2969" s="14" t="n">
        <v>639.15</v>
      </c>
      <c r="F2969" s="14" t="n">
        <v>2343.29</v>
      </c>
      <c r="G2969" s="6" t="s">
        <v>2613</v>
      </c>
    </row>
    <row r="2970" customFormat="false" ht="15" hidden="false" customHeight="true" outlineLevel="0" collapsed="false">
      <c r="A2970" s="6" t="s">
        <v>5582</v>
      </c>
      <c r="B2970" s="6" t="s">
        <v>767</v>
      </c>
      <c r="C2970" s="6" t="s">
        <v>120</v>
      </c>
      <c r="D2970" s="13" t="n">
        <v>45726</v>
      </c>
      <c r="E2970" s="14" t="n">
        <v>685.54</v>
      </c>
      <c r="F2970" s="14" t="n">
        <v>3028.83</v>
      </c>
      <c r="G2970" s="6" t="s">
        <v>2613</v>
      </c>
    </row>
    <row r="2971" customFormat="false" ht="15" hidden="false" customHeight="true" outlineLevel="0" collapsed="false">
      <c r="A2971" s="6" t="s">
        <v>5583</v>
      </c>
      <c r="B2971" s="6" t="s">
        <v>767</v>
      </c>
      <c r="C2971" s="6" t="s">
        <v>120</v>
      </c>
      <c r="D2971" s="13" t="n">
        <v>45733</v>
      </c>
      <c r="E2971" s="14" t="n">
        <v>475.19</v>
      </c>
      <c r="F2971" s="14" t="n">
        <v>3504.02</v>
      </c>
      <c r="G2971" s="6" t="s">
        <v>2613</v>
      </c>
    </row>
    <row r="2972" customFormat="false" ht="15" hidden="false" customHeight="true" outlineLevel="0" collapsed="false">
      <c r="A2972" s="6" t="s">
        <v>5584</v>
      </c>
      <c r="B2972" s="6" t="s">
        <v>769</v>
      </c>
      <c r="C2972" s="6" t="s">
        <v>116</v>
      </c>
      <c r="D2972" s="13" t="n">
        <v>45730</v>
      </c>
      <c r="E2972" s="14" t="n">
        <v>3849.88</v>
      </c>
      <c r="F2972" s="14" t="n">
        <v>3849.88</v>
      </c>
      <c r="G2972" s="6" t="s">
        <v>2613</v>
      </c>
    </row>
    <row r="2973" customFormat="false" ht="15" hidden="false" customHeight="true" outlineLevel="0" collapsed="false">
      <c r="A2973" s="6" t="s">
        <v>5585</v>
      </c>
      <c r="B2973" s="6" t="s">
        <v>769</v>
      </c>
      <c r="C2973" s="6" t="s">
        <v>116</v>
      </c>
      <c r="D2973" s="13" t="n">
        <v>45737</v>
      </c>
      <c r="E2973" s="14" t="n">
        <v>4021.87</v>
      </c>
      <c r="F2973" s="14" t="n">
        <v>7871.75</v>
      </c>
      <c r="G2973" s="6" t="s">
        <v>2613</v>
      </c>
    </row>
    <row r="2974" customFormat="false" ht="15" hidden="false" customHeight="true" outlineLevel="0" collapsed="false">
      <c r="A2974" s="6" t="s">
        <v>5586</v>
      </c>
      <c r="B2974" s="6" t="s">
        <v>769</v>
      </c>
      <c r="C2974" s="6" t="s">
        <v>116</v>
      </c>
      <c r="D2974" s="13" t="n">
        <v>45744</v>
      </c>
      <c r="E2974" s="14" t="n">
        <v>2460.7</v>
      </c>
      <c r="F2974" s="14" t="n">
        <v>10332.45</v>
      </c>
      <c r="G2974" s="6" t="s">
        <v>2613</v>
      </c>
    </row>
    <row r="2975" customFormat="false" ht="15" hidden="false" customHeight="true" outlineLevel="0" collapsed="false">
      <c r="A2975" s="6" t="s">
        <v>5587</v>
      </c>
      <c r="B2975" s="6" t="s">
        <v>769</v>
      </c>
      <c r="C2975" s="6" t="s">
        <v>116</v>
      </c>
      <c r="D2975" s="13" t="n">
        <v>45751</v>
      </c>
      <c r="E2975" s="14" t="n">
        <v>3321.32</v>
      </c>
      <c r="F2975" s="14" t="n">
        <v>13653.77</v>
      </c>
      <c r="G2975" s="6" t="s">
        <v>2613</v>
      </c>
    </row>
    <row r="2976" customFormat="false" ht="15" hidden="false" customHeight="true" outlineLevel="0" collapsed="false">
      <c r="A2976" s="6" t="s">
        <v>5588</v>
      </c>
      <c r="B2976" s="6" t="s">
        <v>769</v>
      </c>
      <c r="C2976" s="6" t="s">
        <v>116</v>
      </c>
      <c r="D2976" s="13" t="n">
        <v>45758</v>
      </c>
      <c r="E2976" s="14" t="n">
        <v>4171.34</v>
      </c>
      <c r="F2976" s="14" t="n">
        <v>17825.11</v>
      </c>
      <c r="G2976" s="6" t="s">
        <v>2613</v>
      </c>
    </row>
    <row r="2977" customFormat="false" ht="15" hidden="false" customHeight="true" outlineLevel="0" collapsed="false">
      <c r="A2977" s="6" t="s">
        <v>5589</v>
      </c>
      <c r="B2977" s="6" t="s">
        <v>769</v>
      </c>
      <c r="C2977" s="6" t="s">
        <v>116</v>
      </c>
      <c r="D2977" s="13" t="n">
        <v>45765</v>
      </c>
      <c r="E2977" s="14" t="n">
        <v>2817.01</v>
      </c>
      <c r="F2977" s="14" t="n">
        <v>20642.12</v>
      </c>
      <c r="G2977" s="6" t="s">
        <v>2613</v>
      </c>
    </row>
    <row r="2978" customFormat="false" ht="15" hidden="false" customHeight="true" outlineLevel="0" collapsed="false">
      <c r="A2978" s="6" t="s">
        <v>5590</v>
      </c>
      <c r="B2978" s="6" t="s">
        <v>769</v>
      </c>
      <c r="C2978" s="6" t="s">
        <v>116</v>
      </c>
      <c r="D2978" s="13" t="n">
        <v>45772</v>
      </c>
      <c r="E2978" s="14" t="n">
        <v>3824.61</v>
      </c>
      <c r="F2978" s="14" t="n">
        <v>24466.73</v>
      </c>
      <c r="G2978" s="6" t="s">
        <v>2613</v>
      </c>
    </row>
    <row r="2979" customFormat="false" ht="15" hidden="false" customHeight="true" outlineLevel="0" collapsed="false">
      <c r="A2979" s="6" t="s">
        <v>5591</v>
      </c>
      <c r="B2979" s="6" t="s">
        <v>769</v>
      </c>
      <c r="C2979" s="6" t="s">
        <v>116</v>
      </c>
      <c r="D2979" s="13" t="n">
        <v>45779</v>
      </c>
      <c r="E2979" s="14" t="n">
        <v>2295.97</v>
      </c>
      <c r="F2979" s="14" t="n">
        <v>26762.7</v>
      </c>
      <c r="G2979" s="6" t="s">
        <v>2613</v>
      </c>
    </row>
    <row r="2980" customFormat="false" ht="15" hidden="false" customHeight="true" outlineLevel="0" collapsed="false">
      <c r="A2980" s="6" t="s">
        <v>5592</v>
      </c>
      <c r="B2980" s="6" t="s">
        <v>769</v>
      </c>
      <c r="C2980" s="6" t="s">
        <v>116</v>
      </c>
      <c r="D2980" s="13" t="n">
        <v>45786</v>
      </c>
      <c r="E2980" s="14" t="n">
        <v>2367.77</v>
      </c>
      <c r="F2980" s="14" t="n">
        <v>29130.47</v>
      </c>
      <c r="G2980" s="6" t="s">
        <v>2613</v>
      </c>
    </row>
    <row r="2981" customFormat="false" ht="15" hidden="false" customHeight="true" outlineLevel="0" collapsed="false">
      <c r="A2981" s="6" t="s">
        <v>5593</v>
      </c>
      <c r="B2981" s="6" t="s">
        <v>769</v>
      </c>
      <c r="C2981" s="6" t="s">
        <v>116</v>
      </c>
      <c r="D2981" s="13" t="n">
        <v>45793</v>
      </c>
      <c r="E2981" s="14" t="n">
        <v>2195.7</v>
      </c>
      <c r="F2981" s="14" t="n">
        <v>31326.17</v>
      </c>
      <c r="G2981" s="6" t="s">
        <v>2613</v>
      </c>
    </row>
    <row r="2982" customFormat="false" ht="15" hidden="false" customHeight="true" outlineLevel="0" collapsed="false">
      <c r="A2982" s="6" t="s">
        <v>5594</v>
      </c>
      <c r="B2982" s="6" t="s">
        <v>769</v>
      </c>
      <c r="C2982" s="6" t="s">
        <v>116</v>
      </c>
      <c r="D2982" s="13" t="n">
        <v>45800</v>
      </c>
      <c r="E2982" s="14" t="n">
        <v>1863.52</v>
      </c>
      <c r="F2982" s="14" t="n">
        <v>33189.69</v>
      </c>
      <c r="G2982" s="6" t="s">
        <v>2613</v>
      </c>
    </row>
    <row r="2983" customFormat="false" ht="15" hidden="false" customHeight="true" outlineLevel="0" collapsed="false">
      <c r="A2983" s="6" t="s">
        <v>5595</v>
      </c>
      <c r="B2983" s="6" t="s">
        <v>769</v>
      </c>
      <c r="C2983" s="6" t="s">
        <v>116</v>
      </c>
      <c r="D2983" s="13" t="n">
        <v>45807</v>
      </c>
      <c r="E2983" s="14" t="n">
        <v>3598.33</v>
      </c>
      <c r="F2983" s="14" t="n">
        <v>36788.02</v>
      </c>
      <c r="G2983" s="6" t="s">
        <v>2613</v>
      </c>
    </row>
    <row r="2984" customFormat="false" ht="15" hidden="false" customHeight="true" outlineLevel="0" collapsed="false">
      <c r="A2984" s="6" t="s">
        <v>5596</v>
      </c>
      <c r="B2984" s="6" t="s">
        <v>769</v>
      </c>
      <c r="C2984" s="6" t="s">
        <v>116</v>
      </c>
      <c r="D2984" s="13" t="n">
        <v>45814</v>
      </c>
      <c r="E2984" s="14" t="n">
        <v>3231.99</v>
      </c>
      <c r="F2984" s="14" t="n">
        <v>40020.01</v>
      </c>
      <c r="G2984" s="6" t="s">
        <v>2613</v>
      </c>
    </row>
    <row r="2985" customFormat="false" ht="15" hidden="false" customHeight="true" outlineLevel="0" collapsed="false">
      <c r="A2985" s="6" t="s">
        <v>5597</v>
      </c>
      <c r="B2985" s="6" t="s">
        <v>769</v>
      </c>
      <c r="C2985" s="6" t="s">
        <v>116</v>
      </c>
      <c r="D2985" s="13" t="n">
        <v>45821</v>
      </c>
      <c r="E2985" s="14" t="n">
        <v>2410.62</v>
      </c>
      <c r="F2985" s="14" t="n">
        <v>42430.63</v>
      </c>
      <c r="G2985" s="6" t="s">
        <v>2623</v>
      </c>
    </row>
    <row r="2986" customFormat="false" ht="15" hidden="false" customHeight="true" outlineLevel="0" collapsed="false">
      <c r="A2986" s="6" t="s">
        <v>5598</v>
      </c>
      <c r="B2986" s="6" t="s">
        <v>769</v>
      </c>
      <c r="C2986" s="6" t="s">
        <v>116</v>
      </c>
      <c r="D2986" s="13" t="n">
        <v>45828</v>
      </c>
      <c r="E2986" s="14" t="n">
        <v>2535.64</v>
      </c>
      <c r="F2986" s="14" t="n">
        <v>44966.27</v>
      </c>
      <c r="G2986" s="6" t="s">
        <v>2613</v>
      </c>
    </row>
    <row r="2987" customFormat="false" ht="15" hidden="false" customHeight="true" outlineLevel="0" collapsed="false">
      <c r="A2987" s="6" t="s">
        <v>5599</v>
      </c>
      <c r="B2987" s="6" t="s">
        <v>769</v>
      </c>
      <c r="C2987" s="6" t="s">
        <v>116</v>
      </c>
      <c r="D2987" s="13" t="n">
        <v>45835</v>
      </c>
      <c r="E2987" s="14" t="n">
        <v>2373.36</v>
      </c>
      <c r="F2987" s="14" t="n">
        <v>47339.63</v>
      </c>
      <c r="G2987" s="6" t="s">
        <v>2613</v>
      </c>
    </row>
    <row r="2988" customFormat="false" ht="15" hidden="false" customHeight="true" outlineLevel="0" collapsed="false">
      <c r="A2988" s="6" t="s">
        <v>5600</v>
      </c>
      <c r="B2988" s="6" t="s">
        <v>769</v>
      </c>
      <c r="C2988" s="6" t="s">
        <v>116</v>
      </c>
      <c r="D2988" s="13" t="n">
        <v>45842</v>
      </c>
      <c r="E2988" s="14" t="n">
        <v>4790.49</v>
      </c>
      <c r="F2988" s="14" t="n">
        <v>52130.12</v>
      </c>
      <c r="G2988" s="6" t="s">
        <v>2613</v>
      </c>
    </row>
    <row r="2989" customFormat="false" ht="15" hidden="false" customHeight="true" outlineLevel="0" collapsed="false">
      <c r="A2989" s="6" t="s">
        <v>5601</v>
      </c>
      <c r="B2989" s="6" t="s">
        <v>771</v>
      </c>
      <c r="C2989" s="6" t="s">
        <v>131</v>
      </c>
      <c r="D2989" s="13" t="n">
        <v>44664</v>
      </c>
      <c r="E2989" s="14" t="n">
        <v>1891.25</v>
      </c>
      <c r="F2989" s="14" t="n">
        <v>1891.25</v>
      </c>
      <c r="G2989" s="6" t="s">
        <v>2613</v>
      </c>
    </row>
    <row r="2990" customFormat="false" ht="15" hidden="false" customHeight="true" outlineLevel="0" collapsed="false">
      <c r="A2990" s="6" t="s">
        <v>5602</v>
      </c>
      <c r="B2990" s="6" t="s">
        <v>771</v>
      </c>
      <c r="C2990" s="6" t="s">
        <v>131</v>
      </c>
      <c r="D2990" s="13" t="n">
        <v>44671</v>
      </c>
      <c r="E2990" s="14" t="n">
        <v>2330.01</v>
      </c>
      <c r="F2990" s="14" t="n">
        <v>4221.26</v>
      </c>
      <c r="G2990" s="6" t="s">
        <v>2613</v>
      </c>
    </row>
    <row r="2991" customFormat="false" ht="15" hidden="false" customHeight="true" outlineLevel="0" collapsed="false">
      <c r="A2991" s="6" t="s">
        <v>5603</v>
      </c>
      <c r="B2991" s="6" t="s">
        <v>771</v>
      </c>
      <c r="C2991" s="6" t="s">
        <v>131</v>
      </c>
      <c r="D2991" s="13" t="n">
        <v>44678</v>
      </c>
      <c r="E2991" s="14" t="n">
        <v>2869.93</v>
      </c>
      <c r="F2991" s="14" t="n">
        <v>7091.19</v>
      </c>
      <c r="G2991" s="6" t="s">
        <v>2613</v>
      </c>
    </row>
    <row r="2992" customFormat="false" ht="15" hidden="false" customHeight="true" outlineLevel="0" collapsed="false">
      <c r="A2992" s="6" t="s">
        <v>5604</v>
      </c>
      <c r="B2992" s="6" t="s">
        <v>771</v>
      </c>
      <c r="C2992" s="6" t="s">
        <v>131</v>
      </c>
      <c r="D2992" s="13" t="n">
        <v>44685</v>
      </c>
      <c r="E2992" s="14" t="n">
        <v>3015.44</v>
      </c>
      <c r="F2992" s="14" t="n">
        <v>10106.63</v>
      </c>
      <c r="G2992" s="6" t="s">
        <v>2613</v>
      </c>
    </row>
    <row r="2993" customFormat="false" ht="15" hidden="false" customHeight="true" outlineLevel="0" collapsed="false">
      <c r="A2993" s="6" t="s">
        <v>5605</v>
      </c>
      <c r="B2993" s="6" t="s">
        <v>771</v>
      </c>
      <c r="C2993" s="6" t="s">
        <v>131</v>
      </c>
      <c r="D2993" s="13" t="n">
        <v>44692</v>
      </c>
      <c r="E2993" s="14" t="n">
        <v>3760.37</v>
      </c>
      <c r="F2993" s="14" t="n">
        <v>13867</v>
      </c>
      <c r="G2993" s="6" t="s">
        <v>2613</v>
      </c>
    </row>
    <row r="2994" customFormat="false" ht="15" hidden="false" customHeight="true" outlineLevel="0" collapsed="false">
      <c r="A2994" s="6" t="s">
        <v>5606</v>
      </c>
      <c r="B2994" s="6" t="s">
        <v>771</v>
      </c>
      <c r="C2994" s="6" t="s">
        <v>131</v>
      </c>
      <c r="D2994" s="13" t="n">
        <v>44699</v>
      </c>
      <c r="E2994" s="14" t="n">
        <v>2238.03</v>
      </c>
      <c r="F2994" s="14" t="n">
        <v>16105.03</v>
      </c>
      <c r="G2994" s="6" t="s">
        <v>2613</v>
      </c>
    </row>
    <row r="2995" customFormat="false" ht="15" hidden="false" customHeight="true" outlineLevel="0" collapsed="false">
      <c r="A2995" s="6" t="s">
        <v>5607</v>
      </c>
      <c r="B2995" s="6" t="s">
        <v>771</v>
      </c>
      <c r="C2995" s="6" t="s">
        <v>131</v>
      </c>
      <c r="D2995" s="13" t="n">
        <v>44706</v>
      </c>
      <c r="E2995" s="14" t="n">
        <v>2494.31</v>
      </c>
      <c r="F2995" s="14" t="n">
        <v>18599.34</v>
      </c>
      <c r="G2995" s="6" t="s">
        <v>2613</v>
      </c>
    </row>
    <row r="2996" customFormat="false" ht="15" hidden="false" customHeight="true" outlineLevel="0" collapsed="false">
      <c r="A2996" s="6" t="s">
        <v>5608</v>
      </c>
      <c r="B2996" s="6" t="s">
        <v>771</v>
      </c>
      <c r="C2996" s="6" t="s">
        <v>131</v>
      </c>
      <c r="D2996" s="13" t="n">
        <v>44713</v>
      </c>
      <c r="E2996" s="14" t="n">
        <v>3609.09</v>
      </c>
      <c r="F2996" s="14" t="n">
        <v>22208.43</v>
      </c>
      <c r="G2996" s="6" t="s">
        <v>2623</v>
      </c>
    </row>
    <row r="2997" customFormat="false" ht="15" hidden="false" customHeight="true" outlineLevel="0" collapsed="false">
      <c r="A2997" s="6" t="s">
        <v>5609</v>
      </c>
      <c r="B2997" s="6" t="s">
        <v>771</v>
      </c>
      <c r="C2997" s="6" t="s">
        <v>131</v>
      </c>
      <c r="D2997" s="13" t="n">
        <v>44720</v>
      </c>
      <c r="E2997" s="14" t="n">
        <v>3017.84</v>
      </c>
      <c r="F2997" s="14" t="n">
        <v>25226.27</v>
      </c>
      <c r="G2997" s="6" t="s">
        <v>2623</v>
      </c>
    </row>
    <row r="2998" customFormat="false" ht="15" hidden="false" customHeight="true" outlineLevel="0" collapsed="false">
      <c r="A2998" s="6" t="s">
        <v>5610</v>
      </c>
      <c r="B2998" s="6" t="s">
        <v>771</v>
      </c>
      <c r="C2998" s="6" t="s">
        <v>131</v>
      </c>
      <c r="D2998" s="13" t="n">
        <v>44727</v>
      </c>
      <c r="E2998" s="14" t="n">
        <v>1828.57</v>
      </c>
      <c r="F2998" s="14" t="n">
        <v>27054.84</v>
      </c>
      <c r="G2998" s="6" t="s">
        <v>2613</v>
      </c>
    </row>
    <row r="2999" customFormat="false" ht="15" hidden="false" customHeight="true" outlineLevel="0" collapsed="false">
      <c r="A2999" s="6" t="s">
        <v>5611</v>
      </c>
      <c r="B2999" s="6" t="s">
        <v>771</v>
      </c>
      <c r="C2999" s="6" t="s">
        <v>131</v>
      </c>
      <c r="D2999" s="13" t="n">
        <v>44734</v>
      </c>
      <c r="E2999" s="14" t="n">
        <v>2695.7</v>
      </c>
      <c r="F2999" s="14" t="n">
        <v>29750.54</v>
      </c>
      <c r="G2999" s="6" t="s">
        <v>2613</v>
      </c>
    </row>
    <row r="3000" customFormat="false" ht="15" hidden="false" customHeight="true" outlineLevel="0" collapsed="false">
      <c r="A3000" s="6" t="s">
        <v>5612</v>
      </c>
      <c r="B3000" s="6" t="s">
        <v>773</v>
      </c>
      <c r="C3000" s="6" t="s">
        <v>120</v>
      </c>
      <c r="D3000" s="13" t="n">
        <v>44817</v>
      </c>
      <c r="E3000" s="14" t="n">
        <v>2527.82</v>
      </c>
      <c r="F3000" s="14" t="n">
        <v>2527.82</v>
      </c>
      <c r="G3000" s="6" t="s">
        <v>2613</v>
      </c>
    </row>
    <row r="3001" customFormat="false" ht="15" hidden="false" customHeight="true" outlineLevel="0" collapsed="false">
      <c r="A3001" s="6" t="s">
        <v>5613</v>
      </c>
      <c r="B3001" s="6" t="s">
        <v>773</v>
      </c>
      <c r="C3001" s="6" t="s">
        <v>120</v>
      </c>
      <c r="D3001" s="13" t="n">
        <v>44824</v>
      </c>
      <c r="E3001" s="14" t="n">
        <v>4670.19</v>
      </c>
      <c r="F3001" s="14" t="n">
        <v>7198.01</v>
      </c>
      <c r="G3001" s="6" t="s">
        <v>2613</v>
      </c>
    </row>
    <row r="3002" customFormat="false" ht="15" hidden="false" customHeight="true" outlineLevel="0" collapsed="false">
      <c r="A3002" s="6" t="s">
        <v>5614</v>
      </c>
      <c r="B3002" s="6" t="s">
        <v>773</v>
      </c>
      <c r="C3002" s="6" t="s">
        <v>120</v>
      </c>
      <c r="D3002" s="13" t="n">
        <v>44831</v>
      </c>
      <c r="E3002" s="14" t="n">
        <v>5168.45</v>
      </c>
      <c r="F3002" s="14" t="n">
        <v>12366.46</v>
      </c>
      <c r="G3002" s="6" t="s">
        <v>2613</v>
      </c>
    </row>
    <row r="3003" customFormat="false" ht="15" hidden="false" customHeight="true" outlineLevel="0" collapsed="false">
      <c r="A3003" s="6" t="s">
        <v>5615</v>
      </c>
      <c r="B3003" s="6" t="s">
        <v>773</v>
      </c>
      <c r="C3003" s="6" t="s">
        <v>120</v>
      </c>
      <c r="D3003" s="13" t="n">
        <v>44838</v>
      </c>
      <c r="E3003" s="14" t="n">
        <v>4370.19</v>
      </c>
      <c r="F3003" s="14" t="n">
        <v>16736.65</v>
      </c>
      <c r="G3003" s="6" t="s">
        <v>2613</v>
      </c>
    </row>
    <row r="3004" customFormat="false" ht="15" hidden="false" customHeight="true" outlineLevel="0" collapsed="false">
      <c r="A3004" s="6" t="s">
        <v>5616</v>
      </c>
      <c r="B3004" s="6" t="s">
        <v>773</v>
      </c>
      <c r="C3004" s="6" t="s">
        <v>120</v>
      </c>
      <c r="D3004" s="13" t="n">
        <v>44845</v>
      </c>
      <c r="E3004" s="14" t="n">
        <v>2484.17</v>
      </c>
      <c r="F3004" s="14" t="n">
        <v>19220.82</v>
      </c>
      <c r="G3004" s="6" t="s">
        <v>2613</v>
      </c>
    </row>
    <row r="3005" customFormat="false" ht="15" hidden="false" customHeight="true" outlineLevel="0" collapsed="false">
      <c r="A3005" s="6" t="s">
        <v>5617</v>
      </c>
      <c r="B3005" s="6" t="s">
        <v>773</v>
      </c>
      <c r="C3005" s="6" t="s">
        <v>120</v>
      </c>
      <c r="D3005" s="13" t="n">
        <v>44852</v>
      </c>
      <c r="E3005" s="14" t="n">
        <v>4631.14</v>
      </c>
      <c r="F3005" s="14" t="n">
        <v>23851.96</v>
      </c>
      <c r="G3005" s="6" t="s">
        <v>2613</v>
      </c>
    </row>
    <row r="3006" customFormat="false" ht="15" hidden="false" customHeight="true" outlineLevel="0" collapsed="false">
      <c r="A3006" s="6" t="s">
        <v>5618</v>
      </c>
      <c r="B3006" s="6" t="s">
        <v>773</v>
      </c>
      <c r="C3006" s="6" t="s">
        <v>120</v>
      </c>
      <c r="D3006" s="13" t="n">
        <v>44859</v>
      </c>
      <c r="E3006" s="14" t="n">
        <v>3816.76</v>
      </c>
      <c r="F3006" s="14" t="n">
        <v>27668.72</v>
      </c>
      <c r="G3006" s="6" t="s">
        <v>2623</v>
      </c>
    </row>
    <row r="3007" customFormat="false" ht="15" hidden="false" customHeight="true" outlineLevel="0" collapsed="false">
      <c r="A3007" s="6" t="s">
        <v>5619</v>
      </c>
      <c r="B3007" s="6" t="s">
        <v>773</v>
      </c>
      <c r="C3007" s="6" t="s">
        <v>120</v>
      </c>
      <c r="D3007" s="13" t="n">
        <v>44866</v>
      </c>
      <c r="E3007" s="14" t="n">
        <v>1974.69</v>
      </c>
      <c r="F3007" s="14" t="n">
        <v>29643.41</v>
      </c>
      <c r="G3007" s="6" t="s">
        <v>2613</v>
      </c>
    </row>
    <row r="3008" customFormat="false" ht="15" hidden="false" customHeight="true" outlineLevel="0" collapsed="false">
      <c r="A3008" s="6" t="s">
        <v>5620</v>
      </c>
      <c r="B3008" s="6" t="s">
        <v>775</v>
      </c>
      <c r="C3008" s="6" t="s">
        <v>112</v>
      </c>
      <c r="D3008" s="13" t="n">
        <v>44851</v>
      </c>
      <c r="E3008" s="14" t="n">
        <v>1809.68</v>
      </c>
      <c r="F3008" s="14" t="n">
        <v>1809.68</v>
      </c>
      <c r="G3008" s="6" t="s">
        <v>2613</v>
      </c>
    </row>
    <row r="3009" customFormat="false" ht="15" hidden="false" customHeight="true" outlineLevel="0" collapsed="false">
      <c r="A3009" s="6" t="s">
        <v>5621</v>
      </c>
      <c r="B3009" s="6" t="s">
        <v>775</v>
      </c>
      <c r="C3009" s="6" t="s">
        <v>112</v>
      </c>
      <c r="D3009" s="13" t="n">
        <v>44858</v>
      </c>
      <c r="E3009" s="14" t="n">
        <v>2257.8</v>
      </c>
      <c r="F3009" s="14" t="n">
        <v>4067.48</v>
      </c>
      <c r="G3009" s="6" t="s">
        <v>2613</v>
      </c>
    </row>
    <row r="3010" customFormat="false" ht="15" hidden="false" customHeight="true" outlineLevel="0" collapsed="false">
      <c r="A3010" s="6" t="s">
        <v>5622</v>
      </c>
      <c r="B3010" s="6" t="s">
        <v>775</v>
      </c>
      <c r="C3010" s="6" t="s">
        <v>112</v>
      </c>
      <c r="D3010" s="13" t="n">
        <v>44865</v>
      </c>
      <c r="E3010" s="14" t="n">
        <v>2784.71</v>
      </c>
      <c r="F3010" s="14" t="n">
        <v>6852.19</v>
      </c>
      <c r="G3010" s="6" t="s">
        <v>2613</v>
      </c>
    </row>
    <row r="3011" customFormat="false" ht="15" hidden="false" customHeight="true" outlineLevel="0" collapsed="false">
      <c r="A3011" s="6" t="s">
        <v>5623</v>
      </c>
      <c r="B3011" s="6" t="s">
        <v>775</v>
      </c>
      <c r="C3011" s="6" t="s">
        <v>112</v>
      </c>
      <c r="D3011" s="13" t="n">
        <v>44872</v>
      </c>
      <c r="E3011" s="14" t="n">
        <v>2400.14</v>
      </c>
      <c r="F3011" s="14" t="n">
        <v>9252.33</v>
      </c>
      <c r="G3011" s="6" t="s">
        <v>2613</v>
      </c>
    </row>
    <row r="3012" customFormat="false" ht="15" hidden="false" customHeight="true" outlineLevel="0" collapsed="false">
      <c r="A3012" s="6" t="s">
        <v>5624</v>
      </c>
      <c r="B3012" s="6" t="s">
        <v>775</v>
      </c>
      <c r="C3012" s="6" t="s">
        <v>112</v>
      </c>
      <c r="D3012" s="13" t="n">
        <v>44879</v>
      </c>
      <c r="E3012" s="14" t="n">
        <v>1676.3</v>
      </c>
      <c r="F3012" s="14" t="n">
        <v>10928.63</v>
      </c>
      <c r="G3012" s="6" t="s">
        <v>2613</v>
      </c>
    </row>
    <row r="3013" customFormat="false" ht="15" hidden="false" customHeight="true" outlineLevel="0" collapsed="false">
      <c r="A3013" s="6" t="s">
        <v>5625</v>
      </c>
      <c r="B3013" s="6" t="s">
        <v>775</v>
      </c>
      <c r="C3013" s="6" t="s">
        <v>112</v>
      </c>
      <c r="D3013" s="13" t="n">
        <v>44886</v>
      </c>
      <c r="E3013" s="14" t="n">
        <v>2098.68</v>
      </c>
      <c r="F3013" s="14" t="n">
        <v>13027.31</v>
      </c>
      <c r="G3013" s="6" t="s">
        <v>2613</v>
      </c>
    </row>
    <row r="3014" customFormat="false" ht="15" hidden="false" customHeight="true" outlineLevel="0" collapsed="false">
      <c r="A3014" s="6" t="s">
        <v>5626</v>
      </c>
      <c r="B3014" s="6" t="s">
        <v>775</v>
      </c>
      <c r="C3014" s="6" t="s">
        <v>112</v>
      </c>
      <c r="D3014" s="13" t="n">
        <v>44893</v>
      </c>
      <c r="E3014" s="14" t="n">
        <v>1780.67</v>
      </c>
      <c r="F3014" s="14" t="n">
        <v>14807.98</v>
      </c>
      <c r="G3014" s="6" t="s">
        <v>2613</v>
      </c>
    </row>
    <row r="3015" customFormat="false" ht="15" hidden="false" customHeight="true" outlineLevel="0" collapsed="false">
      <c r="A3015" s="6" t="s">
        <v>5627</v>
      </c>
      <c r="B3015" s="6" t="s">
        <v>777</v>
      </c>
      <c r="C3015" s="6" t="s">
        <v>124</v>
      </c>
      <c r="D3015" s="13" t="n">
        <v>45581</v>
      </c>
      <c r="E3015" s="14" t="n">
        <v>558.8</v>
      </c>
      <c r="F3015" s="14" t="n">
        <v>558.8</v>
      </c>
      <c r="G3015" s="6" t="s">
        <v>2613</v>
      </c>
    </row>
    <row r="3016" customFormat="false" ht="15" hidden="false" customHeight="true" outlineLevel="0" collapsed="false">
      <c r="A3016" s="6" t="s">
        <v>5628</v>
      </c>
      <c r="B3016" s="6" t="s">
        <v>777</v>
      </c>
      <c r="C3016" s="6" t="s">
        <v>124</v>
      </c>
      <c r="D3016" s="13" t="n">
        <v>45588</v>
      </c>
      <c r="E3016" s="14" t="n">
        <v>542.48</v>
      </c>
      <c r="F3016" s="14" t="n">
        <v>1101.28</v>
      </c>
      <c r="G3016" s="6" t="s">
        <v>2613</v>
      </c>
    </row>
    <row r="3017" customFormat="false" ht="15" hidden="false" customHeight="true" outlineLevel="0" collapsed="false">
      <c r="A3017" s="6" t="s">
        <v>5629</v>
      </c>
      <c r="B3017" s="6" t="s">
        <v>777</v>
      </c>
      <c r="C3017" s="6" t="s">
        <v>124</v>
      </c>
      <c r="D3017" s="13" t="n">
        <v>45595</v>
      </c>
      <c r="E3017" s="14" t="n">
        <v>554.48</v>
      </c>
      <c r="F3017" s="14" t="n">
        <v>1655.76</v>
      </c>
      <c r="G3017" s="6" t="s">
        <v>2613</v>
      </c>
    </row>
    <row r="3018" customFormat="false" ht="15" hidden="false" customHeight="true" outlineLevel="0" collapsed="false">
      <c r="A3018" s="6" t="s">
        <v>5630</v>
      </c>
      <c r="B3018" s="6" t="s">
        <v>777</v>
      </c>
      <c r="C3018" s="6" t="s">
        <v>124</v>
      </c>
      <c r="D3018" s="13" t="n">
        <v>45602</v>
      </c>
      <c r="E3018" s="14" t="n">
        <v>738.97</v>
      </c>
      <c r="F3018" s="14" t="n">
        <v>2394.73</v>
      </c>
      <c r="G3018" s="6" t="s">
        <v>2613</v>
      </c>
    </row>
    <row r="3019" customFormat="false" ht="15" hidden="false" customHeight="true" outlineLevel="0" collapsed="false">
      <c r="A3019" s="6" t="s">
        <v>5631</v>
      </c>
      <c r="B3019" s="6" t="s">
        <v>777</v>
      </c>
      <c r="C3019" s="6" t="s">
        <v>124</v>
      </c>
      <c r="D3019" s="13" t="n">
        <v>45609</v>
      </c>
      <c r="E3019" s="14" t="n">
        <v>873.65</v>
      </c>
      <c r="F3019" s="14" t="n">
        <v>3268.38</v>
      </c>
      <c r="G3019" s="6" t="s">
        <v>2613</v>
      </c>
    </row>
    <row r="3020" customFormat="false" ht="15" hidden="false" customHeight="true" outlineLevel="0" collapsed="false">
      <c r="A3020" s="6" t="s">
        <v>5632</v>
      </c>
      <c r="B3020" s="6" t="s">
        <v>777</v>
      </c>
      <c r="C3020" s="6" t="s">
        <v>124</v>
      </c>
      <c r="D3020" s="13" t="n">
        <v>45616</v>
      </c>
      <c r="E3020" s="14" t="n">
        <v>696.39</v>
      </c>
      <c r="F3020" s="14" t="n">
        <v>3964.77</v>
      </c>
      <c r="G3020" s="6" t="s">
        <v>2613</v>
      </c>
    </row>
    <row r="3021" customFormat="false" ht="15" hidden="false" customHeight="true" outlineLevel="0" collapsed="false">
      <c r="A3021" s="6" t="s">
        <v>5633</v>
      </c>
      <c r="B3021" s="6" t="s">
        <v>777</v>
      </c>
      <c r="C3021" s="6" t="s">
        <v>124</v>
      </c>
      <c r="D3021" s="13" t="n">
        <v>45623</v>
      </c>
      <c r="E3021" s="14" t="n">
        <v>725.59</v>
      </c>
      <c r="F3021" s="14" t="n">
        <v>4690.36</v>
      </c>
      <c r="G3021" s="6" t="s">
        <v>2613</v>
      </c>
    </row>
    <row r="3022" customFormat="false" ht="15" hidden="false" customHeight="true" outlineLevel="0" collapsed="false">
      <c r="A3022" s="6" t="s">
        <v>5634</v>
      </c>
      <c r="B3022" s="6" t="s">
        <v>777</v>
      </c>
      <c r="C3022" s="6" t="s">
        <v>124</v>
      </c>
      <c r="D3022" s="13" t="n">
        <v>45630</v>
      </c>
      <c r="E3022" s="14" t="n">
        <v>560.33</v>
      </c>
      <c r="F3022" s="14" t="n">
        <v>5250.69</v>
      </c>
      <c r="G3022" s="6" t="s">
        <v>2613</v>
      </c>
    </row>
    <row r="3023" customFormat="false" ht="15" hidden="false" customHeight="true" outlineLevel="0" collapsed="false">
      <c r="A3023" s="6" t="s">
        <v>5635</v>
      </c>
      <c r="B3023" s="6" t="s">
        <v>777</v>
      </c>
      <c r="C3023" s="6" t="s">
        <v>124</v>
      </c>
      <c r="D3023" s="13" t="n">
        <v>45637</v>
      </c>
      <c r="E3023" s="14" t="n">
        <v>997.75</v>
      </c>
      <c r="F3023" s="14" t="n">
        <v>6248.44</v>
      </c>
      <c r="G3023" s="6" t="s">
        <v>2613</v>
      </c>
    </row>
    <row r="3024" customFormat="false" ht="15" hidden="false" customHeight="true" outlineLevel="0" collapsed="false">
      <c r="A3024" s="6" t="s">
        <v>5636</v>
      </c>
      <c r="B3024" s="6" t="s">
        <v>777</v>
      </c>
      <c r="C3024" s="6" t="s">
        <v>124</v>
      </c>
      <c r="D3024" s="13" t="n">
        <v>45644</v>
      </c>
      <c r="E3024" s="14" t="n">
        <v>730.77</v>
      </c>
      <c r="F3024" s="14" t="n">
        <v>6979.21</v>
      </c>
      <c r="G3024" s="6" t="s">
        <v>2613</v>
      </c>
    </row>
    <row r="3025" customFormat="false" ht="15" hidden="false" customHeight="true" outlineLevel="0" collapsed="false">
      <c r="A3025" s="6" t="s">
        <v>5637</v>
      </c>
      <c r="B3025" s="6" t="s">
        <v>777</v>
      </c>
      <c r="C3025" s="6" t="s">
        <v>124</v>
      </c>
      <c r="D3025" s="13" t="n">
        <v>45651</v>
      </c>
      <c r="E3025" s="14" t="n">
        <v>542.5</v>
      </c>
      <c r="F3025" s="14" t="n">
        <v>7521.71</v>
      </c>
      <c r="G3025" s="6" t="s">
        <v>2613</v>
      </c>
    </row>
    <row r="3026" customFormat="false" ht="15" hidden="false" customHeight="true" outlineLevel="0" collapsed="false">
      <c r="A3026" s="6" t="s">
        <v>5638</v>
      </c>
      <c r="B3026" s="6" t="s">
        <v>777</v>
      </c>
      <c r="C3026" s="6" t="s">
        <v>124</v>
      </c>
      <c r="D3026" s="13" t="n">
        <v>45658</v>
      </c>
      <c r="E3026" s="14" t="n">
        <v>528.76</v>
      </c>
      <c r="F3026" s="14" t="n">
        <v>8050.47</v>
      </c>
      <c r="G3026" s="6" t="s">
        <v>2613</v>
      </c>
    </row>
    <row r="3027" customFormat="false" ht="15" hidden="false" customHeight="true" outlineLevel="0" collapsed="false">
      <c r="A3027" s="6" t="s">
        <v>5639</v>
      </c>
      <c r="B3027" s="6" t="s">
        <v>777</v>
      </c>
      <c r="C3027" s="6" t="s">
        <v>124</v>
      </c>
      <c r="D3027" s="13" t="n">
        <v>45665</v>
      </c>
      <c r="E3027" s="14" t="n">
        <v>936.89</v>
      </c>
      <c r="F3027" s="14" t="n">
        <v>8987.36</v>
      </c>
      <c r="G3027" s="6" t="s">
        <v>2613</v>
      </c>
    </row>
    <row r="3028" customFormat="false" ht="15" hidden="false" customHeight="true" outlineLevel="0" collapsed="false">
      <c r="A3028" s="6" t="s">
        <v>5640</v>
      </c>
      <c r="B3028" s="6" t="s">
        <v>777</v>
      </c>
      <c r="C3028" s="6" t="s">
        <v>124</v>
      </c>
      <c r="D3028" s="13" t="n">
        <v>45672</v>
      </c>
      <c r="E3028" s="14" t="n">
        <v>518.98</v>
      </c>
      <c r="F3028" s="14" t="n">
        <v>9506.34</v>
      </c>
      <c r="G3028" s="6" t="s">
        <v>2613</v>
      </c>
    </row>
    <row r="3029" customFormat="false" ht="15" hidden="false" customHeight="true" outlineLevel="0" collapsed="false">
      <c r="A3029" s="6" t="s">
        <v>5641</v>
      </c>
      <c r="B3029" s="6" t="s">
        <v>777</v>
      </c>
      <c r="C3029" s="6" t="s">
        <v>124</v>
      </c>
      <c r="D3029" s="13" t="n">
        <v>45679</v>
      </c>
      <c r="E3029" s="14" t="n">
        <v>864.7</v>
      </c>
      <c r="F3029" s="14" t="n">
        <v>10371.04</v>
      </c>
      <c r="G3029" s="6" t="s">
        <v>2613</v>
      </c>
    </row>
    <row r="3030" customFormat="false" ht="15" hidden="false" customHeight="true" outlineLevel="0" collapsed="false">
      <c r="A3030" s="6" t="s">
        <v>5642</v>
      </c>
      <c r="B3030" s="6" t="s">
        <v>777</v>
      </c>
      <c r="C3030" s="6" t="s">
        <v>124</v>
      </c>
      <c r="D3030" s="13" t="n">
        <v>45686</v>
      </c>
      <c r="E3030" s="14" t="n">
        <v>950.92</v>
      </c>
      <c r="F3030" s="14" t="n">
        <v>11321.96</v>
      </c>
      <c r="G3030" s="6" t="s">
        <v>2613</v>
      </c>
    </row>
    <row r="3031" customFormat="false" ht="15" hidden="false" customHeight="true" outlineLevel="0" collapsed="false">
      <c r="A3031" s="6" t="s">
        <v>5643</v>
      </c>
      <c r="B3031" s="6" t="s">
        <v>777</v>
      </c>
      <c r="C3031" s="6" t="s">
        <v>124</v>
      </c>
      <c r="D3031" s="13" t="n">
        <v>45693</v>
      </c>
      <c r="E3031" s="14" t="n">
        <v>450.32</v>
      </c>
      <c r="F3031" s="14" t="n">
        <v>11772.28</v>
      </c>
      <c r="G3031" s="6" t="s">
        <v>2613</v>
      </c>
    </row>
    <row r="3032" customFormat="false" ht="15" hidden="false" customHeight="true" outlineLevel="0" collapsed="false">
      <c r="A3032" s="6" t="s">
        <v>5644</v>
      </c>
      <c r="B3032" s="6" t="s">
        <v>777</v>
      </c>
      <c r="C3032" s="6" t="s">
        <v>124</v>
      </c>
      <c r="D3032" s="13" t="n">
        <v>45700</v>
      </c>
      <c r="E3032" s="14" t="n">
        <v>695.59</v>
      </c>
      <c r="F3032" s="14" t="n">
        <v>12467.87</v>
      </c>
      <c r="G3032" s="6" t="s">
        <v>2613</v>
      </c>
    </row>
    <row r="3033" customFormat="false" ht="15" hidden="false" customHeight="true" outlineLevel="0" collapsed="false">
      <c r="A3033" s="6" t="s">
        <v>5645</v>
      </c>
      <c r="B3033" s="6" t="s">
        <v>777</v>
      </c>
      <c r="C3033" s="6" t="s">
        <v>124</v>
      </c>
      <c r="D3033" s="13" t="n">
        <v>45707</v>
      </c>
      <c r="E3033" s="14" t="n">
        <v>969.91</v>
      </c>
      <c r="F3033" s="14" t="n">
        <v>13437.78</v>
      </c>
      <c r="G3033" s="6" t="s">
        <v>2623</v>
      </c>
    </row>
    <row r="3034" customFormat="false" ht="15" hidden="false" customHeight="true" outlineLevel="0" collapsed="false">
      <c r="A3034" s="6" t="s">
        <v>5646</v>
      </c>
      <c r="B3034" s="6" t="s">
        <v>777</v>
      </c>
      <c r="C3034" s="6" t="s">
        <v>124</v>
      </c>
      <c r="D3034" s="13" t="n">
        <v>45714</v>
      </c>
      <c r="E3034" s="14" t="n">
        <v>683.35</v>
      </c>
      <c r="F3034" s="14" t="n">
        <v>14121.13</v>
      </c>
      <c r="G3034" s="6" t="s">
        <v>2613</v>
      </c>
    </row>
    <row r="3035" customFormat="false" ht="15" hidden="false" customHeight="true" outlineLevel="0" collapsed="false">
      <c r="A3035" s="6" t="s">
        <v>5647</v>
      </c>
      <c r="B3035" s="6" t="s">
        <v>777</v>
      </c>
      <c r="C3035" s="6" t="s">
        <v>124</v>
      </c>
      <c r="D3035" s="13" t="n">
        <v>45721</v>
      </c>
      <c r="E3035" s="14" t="n">
        <v>724.25</v>
      </c>
      <c r="F3035" s="14" t="n">
        <v>14845.38</v>
      </c>
      <c r="G3035" s="6" t="s">
        <v>2613</v>
      </c>
    </row>
    <row r="3036" customFormat="false" ht="15" hidden="false" customHeight="true" outlineLevel="0" collapsed="false">
      <c r="A3036" s="6" t="s">
        <v>5648</v>
      </c>
      <c r="B3036" s="6" t="s">
        <v>777</v>
      </c>
      <c r="C3036" s="6" t="s">
        <v>124</v>
      </c>
      <c r="D3036" s="13" t="n">
        <v>45728</v>
      </c>
      <c r="E3036" s="14" t="n">
        <v>464.54</v>
      </c>
      <c r="F3036" s="14" t="n">
        <v>15309.92</v>
      </c>
      <c r="G3036" s="6" t="s">
        <v>2613</v>
      </c>
    </row>
    <row r="3037" customFormat="false" ht="15" hidden="false" customHeight="true" outlineLevel="0" collapsed="false">
      <c r="A3037" s="6" t="s">
        <v>5649</v>
      </c>
      <c r="B3037" s="6" t="s">
        <v>777</v>
      </c>
      <c r="C3037" s="6" t="s">
        <v>124</v>
      </c>
      <c r="D3037" s="13" t="n">
        <v>45735</v>
      </c>
      <c r="E3037" s="14" t="n">
        <v>490.36</v>
      </c>
      <c r="F3037" s="14" t="n">
        <v>15800.28</v>
      </c>
      <c r="G3037" s="6" t="s">
        <v>2613</v>
      </c>
    </row>
    <row r="3038" customFormat="false" ht="15" hidden="false" customHeight="true" outlineLevel="0" collapsed="false">
      <c r="A3038" s="6" t="s">
        <v>5650</v>
      </c>
      <c r="B3038" s="6" t="s">
        <v>777</v>
      </c>
      <c r="C3038" s="6" t="s">
        <v>124</v>
      </c>
      <c r="D3038" s="13" t="n">
        <v>45742</v>
      </c>
      <c r="E3038" s="14" t="n">
        <v>857.17</v>
      </c>
      <c r="F3038" s="14" t="n">
        <v>16657.45</v>
      </c>
      <c r="G3038" s="6" t="s">
        <v>2613</v>
      </c>
    </row>
    <row r="3039" customFormat="false" ht="15" hidden="false" customHeight="true" outlineLevel="0" collapsed="false">
      <c r="A3039" s="6" t="s">
        <v>5651</v>
      </c>
      <c r="B3039" s="6" t="s">
        <v>777</v>
      </c>
      <c r="C3039" s="6" t="s">
        <v>124</v>
      </c>
      <c r="D3039" s="13" t="n">
        <v>45749</v>
      </c>
      <c r="E3039" s="14" t="n">
        <v>603.84</v>
      </c>
      <c r="F3039" s="14" t="n">
        <v>17261.29</v>
      </c>
      <c r="G3039" s="6" t="s">
        <v>2613</v>
      </c>
    </row>
    <row r="3040" customFormat="false" ht="15" hidden="false" customHeight="true" outlineLevel="0" collapsed="false">
      <c r="A3040" s="6" t="s">
        <v>5652</v>
      </c>
      <c r="B3040" s="6" t="s">
        <v>777</v>
      </c>
      <c r="C3040" s="6" t="s">
        <v>124</v>
      </c>
      <c r="D3040" s="13" t="n">
        <v>45756</v>
      </c>
      <c r="E3040" s="14" t="n">
        <v>777.38</v>
      </c>
      <c r="F3040" s="14" t="n">
        <v>18038.67</v>
      </c>
      <c r="G3040" s="6" t="s">
        <v>2613</v>
      </c>
    </row>
    <row r="3041" customFormat="false" ht="15" hidden="false" customHeight="true" outlineLevel="0" collapsed="false">
      <c r="A3041" s="6" t="s">
        <v>5653</v>
      </c>
      <c r="B3041" s="6" t="s">
        <v>777</v>
      </c>
      <c r="C3041" s="6" t="s">
        <v>124</v>
      </c>
      <c r="D3041" s="13" t="n">
        <v>45763</v>
      </c>
      <c r="E3041" s="14" t="n">
        <v>1481.88</v>
      </c>
      <c r="F3041" s="14" t="n">
        <v>19520.55</v>
      </c>
      <c r="G3041" s="6" t="s">
        <v>2613</v>
      </c>
    </row>
    <row r="3042" customFormat="false" ht="15" hidden="false" customHeight="true" outlineLevel="0" collapsed="false">
      <c r="A3042" s="6" t="s">
        <v>5654</v>
      </c>
      <c r="B3042" s="6" t="s">
        <v>779</v>
      </c>
      <c r="C3042" s="6" t="s">
        <v>124</v>
      </c>
      <c r="D3042" s="13" t="n">
        <v>45133</v>
      </c>
      <c r="E3042" s="14" t="n">
        <v>5216.35</v>
      </c>
      <c r="F3042" s="14" t="n">
        <v>5216.35</v>
      </c>
      <c r="G3042" s="6" t="s">
        <v>2613</v>
      </c>
    </row>
    <row r="3043" customFormat="false" ht="15" hidden="false" customHeight="true" outlineLevel="0" collapsed="false">
      <c r="A3043" s="6" t="s">
        <v>5655</v>
      </c>
      <c r="B3043" s="6" t="s">
        <v>779</v>
      </c>
      <c r="C3043" s="6" t="s">
        <v>124</v>
      </c>
      <c r="D3043" s="13" t="n">
        <v>45140</v>
      </c>
      <c r="E3043" s="14" t="n">
        <v>3029.49</v>
      </c>
      <c r="F3043" s="14" t="n">
        <v>8245.84</v>
      </c>
      <c r="G3043" s="6" t="s">
        <v>2613</v>
      </c>
    </row>
    <row r="3044" customFormat="false" ht="15" hidden="false" customHeight="true" outlineLevel="0" collapsed="false">
      <c r="A3044" s="6" t="s">
        <v>5656</v>
      </c>
      <c r="B3044" s="6" t="s">
        <v>779</v>
      </c>
      <c r="C3044" s="6" t="s">
        <v>124</v>
      </c>
      <c r="D3044" s="13" t="n">
        <v>45147</v>
      </c>
      <c r="E3044" s="14" t="n">
        <v>5798.91</v>
      </c>
      <c r="F3044" s="14" t="n">
        <v>14044.75</v>
      </c>
      <c r="G3044" s="6" t="s">
        <v>2613</v>
      </c>
    </row>
    <row r="3045" customFormat="false" ht="15" hidden="false" customHeight="true" outlineLevel="0" collapsed="false">
      <c r="A3045" s="6" t="s">
        <v>5657</v>
      </c>
      <c r="B3045" s="6" t="s">
        <v>779</v>
      </c>
      <c r="C3045" s="6" t="s">
        <v>124</v>
      </c>
      <c r="D3045" s="13" t="n">
        <v>45154</v>
      </c>
      <c r="E3045" s="14" t="n">
        <v>3401.02</v>
      </c>
      <c r="F3045" s="14" t="n">
        <v>17445.77</v>
      </c>
      <c r="G3045" s="6" t="s">
        <v>2613</v>
      </c>
    </row>
    <row r="3046" customFormat="false" ht="15" hidden="false" customHeight="true" outlineLevel="0" collapsed="false">
      <c r="A3046" s="6" t="s">
        <v>5658</v>
      </c>
      <c r="B3046" s="6" t="s">
        <v>779</v>
      </c>
      <c r="C3046" s="6" t="s">
        <v>124</v>
      </c>
      <c r="D3046" s="13" t="n">
        <v>45161</v>
      </c>
      <c r="E3046" s="14" t="n">
        <v>3906.09</v>
      </c>
      <c r="F3046" s="14" t="n">
        <v>21351.86</v>
      </c>
      <c r="G3046" s="6" t="s">
        <v>2613</v>
      </c>
    </row>
    <row r="3047" customFormat="false" ht="15" hidden="false" customHeight="true" outlineLevel="0" collapsed="false">
      <c r="A3047" s="6" t="s">
        <v>5659</v>
      </c>
      <c r="B3047" s="6" t="s">
        <v>779</v>
      </c>
      <c r="C3047" s="6" t="s">
        <v>124</v>
      </c>
      <c r="D3047" s="13" t="n">
        <v>45168</v>
      </c>
      <c r="E3047" s="14" t="n">
        <v>4791.05</v>
      </c>
      <c r="F3047" s="14" t="n">
        <v>26142.91</v>
      </c>
      <c r="G3047" s="6" t="s">
        <v>2613</v>
      </c>
    </row>
    <row r="3048" customFormat="false" ht="15" hidden="false" customHeight="true" outlineLevel="0" collapsed="false">
      <c r="A3048" s="6" t="s">
        <v>5660</v>
      </c>
      <c r="B3048" s="6" t="s">
        <v>779</v>
      </c>
      <c r="C3048" s="6" t="s">
        <v>124</v>
      </c>
      <c r="D3048" s="13" t="n">
        <v>45175</v>
      </c>
      <c r="E3048" s="14" t="n">
        <v>3004.36</v>
      </c>
      <c r="F3048" s="14" t="n">
        <v>29147.27</v>
      </c>
      <c r="G3048" s="6" t="s">
        <v>2613</v>
      </c>
    </row>
    <row r="3049" customFormat="false" ht="15" hidden="false" customHeight="true" outlineLevel="0" collapsed="false">
      <c r="A3049" s="6" t="s">
        <v>5661</v>
      </c>
      <c r="B3049" s="6" t="s">
        <v>779</v>
      </c>
      <c r="C3049" s="6" t="s">
        <v>124</v>
      </c>
      <c r="D3049" s="13" t="n">
        <v>45182</v>
      </c>
      <c r="E3049" s="14" t="n">
        <v>5161.71</v>
      </c>
      <c r="F3049" s="14" t="n">
        <v>34308.98</v>
      </c>
      <c r="G3049" s="6" t="s">
        <v>2613</v>
      </c>
    </row>
    <row r="3050" customFormat="false" ht="15" hidden="false" customHeight="true" outlineLevel="0" collapsed="false">
      <c r="A3050" s="6" t="s">
        <v>5662</v>
      </c>
      <c r="B3050" s="6" t="s">
        <v>779</v>
      </c>
      <c r="C3050" s="6" t="s">
        <v>124</v>
      </c>
      <c r="D3050" s="13" t="n">
        <v>45189</v>
      </c>
      <c r="E3050" s="14" t="n">
        <v>3755.53</v>
      </c>
      <c r="F3050" s="14" t="n">
        <v>38064.51</v>
      </c>
      <c r="G3050" s="6" t="s">
        <v>2613</v>
      </c>
    </row>
    <row r="3051" customFormat="false" ht="15" hidden="false" customHeight="true" outlineLevel="0" collapsed="false">
      <c r="A3051" s="6" t="s">
        <v>5663</v>
      </c>
      <c r="B3051" s="6" t="s">
        <v>779</v>
      </c>
      <c r="C3051" s="6" t="s">
        <v>124</v>
      </c>
      <c r="D3051" s="13" t="n">
        <v>45196</v>
      </c>
      <c r="E3051" s="14" t="n">
        <v>3518.15</v>
      </c>
      <c r="F3051" s="14" t="n">
        <v>41582.66</v>
      </c>
      <c r="G3051" s="6" t="s">
        <v>2613</v>
      </c>
    </row>
    <row r="3052" customFormat="false" ht="15" hidden="false" customHeight="true" outlineLevel="0" collapsed="false">
      <c r="A3052" s="6" t="s">
        <v>5664</v>
      </c>
      <c r="B3052" s="6" t="s">
        <v>779</v>
      </c>
      <c r="C3052" s="6" t="s">
        <v>124</v>
      </c>
      <c r="D3052" s="13" t="n">
        <v>45203</v>
      </c>
      <c r="E3052" s="14" t="n">
        <v>2916.15</v>
      </c>
      <c r="F3052" s="14" t="n">
        <v>44498.81</v>
      </c>
      <c r="G3052" s="6" t="s">
        <v>2613</v>
      </c>
    </row>
    <row r="3053" customFormat="false" ht="15" hidden="false" customHeight="true" outlineLevel="0" collapsed="false">
      <c r="A3053" s="6" t="s">
        <v>5665</v>
      </c>
      <c r="B3053" s="6" t="s">
        <v>779</v>
      </c>
      <c r="C3053" s="6" t="s">
        <v>124</v>
      </c>
      <c r="D3053" s="13" t="n">
        <v>45210</v>
      </c>
      <c r="E3053" s="14" t="n">
        <v>5871.3</v>
      </c>
      <c r="F3053" s="14" t="n">
        <v>50370.11</v>
      </c>
      <c r="G3053" s="6" t="s">
        <v>2613</v>
      </c>
    </row>
    <row r="3054" customFormat="false" ht="15" hidden="false" customHeight="true" outlineLevel="0" collapsed="false">
      <c r="A3054" s="6" t="s">
        <v>5666</v>
      </c>
      <c r="B3054" s="6" t="s">
        <v>779</v>
      </c>
      <c r="C3054" s="6" t="s">
        <v>124</v>
      </c>
      <c r="D3054" s="13" t="n">
        <v>45217</v>
      </c>
      <c r="E3054" s="14" t="n">
        <v>2714.3</v>
      </c>
      <c r="F3054" s="14" t="n">
        <v>53084.41</v>
      </c>
      <c r="G3054" s="6" t="s">
        <v>2613</v>
      </c>
    </row>
    <row r="3055" customFormat="false" ht="15" hidden="false" customHeight="true" outlineLevel="0" collapsed="false">
      <c r="A3055" s="6" t="s">
        <v>5667</v>
      </c>
      <c r="B3055" s="6" t="s">
        <v>779</v>
      </c>
      <c r="C3055" s="6" t="s">
        <v>124</v>
      </c>
      <c r="D3055" s="13" t="n">
        <v>45224</v>
      </c>
      <c r="E3055" s="14" t="n">
        <v>3857.77</v>
      </c>
      <c r="F3055" s="14" t="n">
        <v>56942.18</v>
      </c>
      <c r="G3055" s="6" t="s">
        <v>2613</v>
      </c>
    </row>
    <row r="3056" customFormat="false" ht="15" hidden="false" customHeight="true" outlineLevel="0" collapsed="false">
      <c r="A3056" s="6" t="s">
        <v>5668</v>
      </c>
      <c r="B3056" s="6" t="s">
        <v>779</v>
      </c>
      <c r="C3056" s="6" t="s">
        <v>124</v>
      </c>
      <c r="D3056" s="13" t="n">
        <v>45231</v>
      </c>
      <c r="E3056" s="14" t="n">
        <v>9782.45</v>
      </c>
      <c r="F3056" s="14" t="n">
        <v>66724.63</v>
      </c>
      <c r="G3056" s="6" t="s">
        <v>2613</v>
      </c>
    </row>
    <row r="3057" customFormat="false" ht="15" hidden="false" customHeight="true" outlineLevel="0" collapsed="false">
      <c r="A3057" s="6" t="s">
        <v>5669</v>
      </c>
      <c r="B3057" s="6" t="s">
        <v>781</v>
      </c>
      <c r="C3057" s="6" t="s">
        <v>112</v>
      </c>
      <c r="D3057" s="13" t="n">
        <v>45961</v>
      </c>
      <c r="E3057" s="14" t="n">
        <v>1243.17</v>
      </c>
      <c r="F3057" s="14" t="n">
        <v>1243.17</v>
      </c>
      <c r="G3057" s="6" t="s">
        <v>2613</v>
      </c>
    </row>
    <row r="3058" customFormat="false" ht="15" hidden="false" customHeight="true" outlineLevel="0" collapsed="false">
      <c r="A3058" s="6" t="s">
        <v>5670</v>
      </c>
      <c r="B3058" s="6" t="s">
        <v>781</v>
      </c>
      <c r="C3058" s="6" t="s">
        <v>112</v>
      </c>
      <c r="D3058" s="13" t="n">
        <v>45968</v>
      </c>
      <c r="E3058" s="14" t="n">
        <v>874.02</v>
      </c>
      <c r="F3058" s="14" t="n">
        <v>2117.19</v>
      </c>
      <c r="G3058" s="6" t="s">
        <v>2623</v>
      </c>
    </row>
    <row r="3059" customFormat="false" ht="15" hidden="false" customHeight="true" outlineLevel="0" collapsed="false">
      <c r="A3059" s="6" t="s">
        <v>5671</v>
      </c>
      <c r="B3059" s="6" t="s">
        <v>781</v>
      </c>
      <c r="C3059" s="6" t="s">
        <v>112</v>
      </c>
      <c r="D3059" s="13" t="n">
        <v>45975</v>
      </c>
      <c r="E3059" s="14" t="n">
        <v>1028.06</v>
      </c>
      <c r="F3059" s="14" t="n">
        <v>3145.25</v>
      </c>
      <c r="G3059" s="6" t="s">
        <v>2613</v>
      </c>
    </row>
    <row r="3060" customFormat="false" ht="15" hidden="false" customHeight="true" outlineLevel="0" collapsed="false">
      <c r="A3060" s="6" t="s">
        <v>5672</v>
      </c>
      <c r="B3060" s="6" t="s">
        <v>781</v>
      </c>
      <c r="C3060" s="6" t="s">
        <v>112</v>
      </c>
      <c r="D3060" s="13" t="n">
        <v>45982</v>
      </c>
      <c r="E3060" s="14" t="n">
        <v>1172.35</v>
      </c>
      <c r="F3060" s="14" t="n">
        <v>4317.6</v>
      </c>
      <c r="G3060" s="6" t="s">
        <v>2613</v>
      </c>
    </row>
    <row r="3061" customFormat="false" ht="15" hidden="false" customHeight="true" outlineLevel="0" collapsed="false">
      <c r="A3061" s="6" t="s">
        <v>5673</v>
      </c>
      <c r="B3061" s="6" t="s">
        <v>781</v>
      </c>
      <c r="C3061" s="6" t="s">
        <v>112</v>
      </c>
      <c r="D3061" s="13" t="n">
        <v>45989</v>
      </c>
      <c r="E3061" s="14" t="n">
        <v>1696</v>
      </c>
      <c r="F3061" s="14" t="n">
        <v>6013.6</v>
      </c>
      <c r="G3061" s="6" t="s">
        <v>2613</v>
      </c>
    </row>
    <row r="3062" customFormat="false" ht="15" hidden="false" customHeight="true" outlineLevel="0" collapsed="false">
      <c r="A3062" s="6" t="s">
        <v>5674</v>
      </c>
      <c r="B3062" s="6" t="s">
        <v>781</v>
      </c>
      <c r="C3062" s="6" t="s">
        <v>112</v>
      </c>
      <c r="D3062" s="13" t="n">
        <v>45996</v>
      </c>
      <c r="E3062" s="14" t="n">
        <v>1205.37</v>
      </c>
      <c r="F3062" s="14" t="n">
        <v>7218.97</v>
      </c>
      <c r="G3062" s="6" t="s">
        <v>2613</v>
      </c>
    </row>
    <row r="3063" customFormat="false" ht="15" hidden="false" customHeight="true" outlineLevel="0" collapsed="false">
      <c r="A3063" s="6" t="s">
        <v>5675</v>
      </c>
      <c r="B3063" s="6" t="s">
        <v>781</v>
      </c>
      <c r="C3063" s="6" t="s">
        <v>112</v>
      </c>
      <c r="D3063" s="13" t="n">
        <v>46003</v>
      </c>
      <c r="E3063" s="14" t="n">
        <v>744.34</v>
      </c>
      <c r="F3063" s="14" t="n">
        <v>7963.31</v>
      </c>
      <c r="G3063" s="6" t="s">
        <v>2613</v>
      </c>
    </row>
    <row r="3064" customFormat="false" ht="15" hidden="false" customHeight="true" outlineLevel="0" collapsed="false">
      <c r="A3064" s="6" t="s">
        <v>5676</v>
      </c>
      <c r="B3064" s="6" t="s">
        <v>781</v>
      </c>
      <c r="C3064" s="6" t="s">
        <v>112</v>
      </c>
      <c r="D3064" s="13" t="n">
        <v>46010</v>
      </c>
      <c r="E3064" s="14" t="n">
        <v>1423.41</v>
      </c>
      <c r="F3064" s="14" t="n">
        <v>9386.72</v>
      </c>
      <c r="G3064" s="6" t="s">
        <v>2613</v>
      </c>
    </row>
    <row r="3065" customFormat="false" ht="15" hidden="false" customHeight="true" outlineLevel="0" collapsed="false">
      <c r="A3065" s="6" t="s">
        <v>5677</v>
      </c>
      <c r="B3065" s="6" t="s">
        <v>781</v>
      </c>
      <c r="C3065" s="6" t="s">
        <v>112</v>
      </c>
      <c r="D3065" s="13" t="n">
        <v>46017</v>
      </c>
      <c r="E3065" s="14" t="n">
        <v>1486.15</v>
      </c>
      <c r="F3065" s="14" t="n">
        <v>10872.87</v>
      </c>
      <c r="G3065" s="6" t="s">
        <v>2613</v>
      </c>
    </row>
    <row r="3066" customFormat="false" ht="15" hidden="false" customHeight="true" outlineLevel="0" collapsed="false">
      <c r="A3066" s="6" t="s">
        <v>5678</v>
      </c>
      <c r="B3066" s="6" t="s">
        <v>781</v>
      </c>
      <c r="C3066" s="6" t="s">
        <v>112</v>
      </c>
      <c r="D3066" s="13" t="n">
        <v>46024</v>
      </c>
      <c r="E3066" s="14" t="n">
        <v>1610.58</v>
      </c>
      <c r="F3066" s="14" t="n">
        <v>12483.45</v>
      </c>
      <c r="G3066" s="6" t="s">
        <v>2613</v>
      </c>
    </row>
    <row r="3067" customFormat="false" ht="15" hidden="false" customHeight="true" outlineLevel="0" collapsed="false">
      <c r="A3067" s="6" t="s">
        <v>5679</v>
      </c>
      <c r="B3067" s="6" t="s">
        <v>781</v>
      </c>
      <c r="C3067" s="6" t="s">
        <v>112</v>
      </c>
      <c r="D3067" s="13" t="n">
        <v>46031</v>
      </c>
      <c r="E3067" s="14" t="n">
        <v>841.05</v>
      </c>
      <c r="F3067" s="14" t="n">
        <v>13324.5</v>
      </c>
      <c r="G3067" s="6" t="s">
        <v>2613</v>
      </c>
    </row>
    <row r="3068" customFormat="false" ht="15" hidden="false" customHeight="true" outlineLevel="0" collapsed="false">
      <c r="A3068" s="6" t="s">
        <v>5680</v>
      </c>
      <c r="B3068" s="6" t="s">
        <v>781</v>
      </c>
      <c r="C3068" s="6" t="s">
        <v>112</v>
      </c>
      <c r="D3068" s="13" t="n">
        <v>46038</v>
      </c>
      <c r="E3068" s="14" t="n">
        <v>1441.01</v>
      </c>
      <c r="F3068" s="14" t="n">
        <v>14765.51</v>
      </c>
      <c r="G3068" s="6" t="s">
        <v>2623</v>
      </c>
    </row>
    <row r="3069" customFormat="false" ht="15" hidden="false" customHeight="true" outlineLevel="0" collapsed="false">
      <c r="A3069" s="6" t="s">
        <v>5681</v>
      </c>
      <c r="B3069" s="6" t="s">
        <v>781</v>
      </c>
      <c r="C3069" s="6" t="s">
        <v>112</v>
      </c>
      <c r="D3069" s="13" t="n">
        <v>46045</v>
      </c>
      <c r="E3069" s="14" t="n">
        <v>1685.13</v>
      </c>
      <c r="F3069" s="14" t="n">
        <v>16450.64</v>
      </c>
      <c r="G3069" s="6" t="s">
        <v>2613</v>
      </c>
    </row>
    <row r="3070" customFormat="false" ht="15" hidden="false" customHeight="true" outlineLevel="0" collapsed="false">
      <c r="A3070" s="6" t="s">
        <v>5682</v>
      </c>
      <c r="B3070" s="6" t="s">
        <v>781</v>
      </c>
      <c r="C3070" s="6" t="s">
        <v>112</v>
      </c>
      <c r="D3070" s="13" t="n">
        <v>46052</v>
      </c>
      <c r="E3070" s="14" t="n">
        <v>1373.89</v>
      </c>
      <c r="F3070" s="14" t="n">
        <v>17824.53</v>
      </c>
      <c r="G3070" s="6" t="s">
        <v>2613</v>
      </c>
    </row>
    <row r="3071" customFormat="false" ht="15" hidden="false" customHeight="true" outlineLevel="0" collapsed="false">
      <c r="A3071" s="6" t="s">
        <v>5683</v>
      </c>
      <c r="B3071" s="6" t="s">
        <v>781</v>
      </c>
      <c r="C3071" s="6" t="s">
        <v>112</v>
      </c>
      <c r="D3071" s="13" t="n">
        <v>46059</v>
      </c>
      <c r="E3071" s="14" t="n">
        <v>1216.42</v>
      </c>
      <c r="F3071" s="14" t="n">
        <v>19040.95</v>
      </c>
      <c r="G3071" s="6" t="s">
        <v>2613</v>
      </c>
    </row>
    <row r="3072" customFormat="false" ht="15" hidden="false" customHeight="true" outlineLevel="0" collapsed="false">
      <c r="A3072" s="6" t="s">
        <v>5684</v>
      </c>
      <c r="B3072" s="6" t="s">
        <v>781</v>
      </c>
      <c r="C3072" s="6" t="s">
        <v>112</v>
      </c>
      <c r="D3072" s="13" t="n">
        <v>46066</v>
      </c>
      <c r="E3072" s="14" t="n">
        <v>1453.48</v>
      </c>
      <c r="F3072" s="14" t="n">
        <v>20494.43</v>
      </c>
      <c r="G3072" s="6" t="s">
        <v>2613</v>
      </c>
    </row>
    <row r="3073" customFormat="false" ht="15" hidden="false" customHeight="true" outlineLevel="0" collapsed="false">
      <c r="A3073" s="6" t="s">
        <v>5685</v>
      </c>
      <c r="B3073" s="6" t="s">
        <v>781</v>
      </c>
      <c r="C3073" s="6" t="s">
        <v>112</v>
      </c>
      <c r="D3073" s="13" t="n">
        <v>46073</v>
      </c>
      <c r="E3073" s="14" t="n">
        <v>1081.5</v>
      </c>
      <c r="F3073" s="14" t="n">
        <v>21575.93</v>
      </c>
      <c r="G3073" s="6" t="s">
        <v>2613</v>
      </c>
    </row>
    <row r="3074" customFormat="false" ht="15" hidden="false" customHeight="true" outlineLevel="0" collapsed="false">
      <c r="A3074" s="6" t="s">
        <v>5686</v>
      </c>
      <c r="B3074" s="6" t="s">
        <v>781</v>
      </c>
      <c r="C3074" s="6" t="s">
        <v>112</v>
      </c>
      <c r="D3074" s="13" t="n">
        <v>46080</v>
      </c>
      <c r="E3074" s="14" t="n">
        <v>920.09</v>
      </c>
      <c r="F3074" s="14" t="n">
        <v>22496.02</v>
      </c>
      <c r="G3074" s="6" t="s">
        <v>2613</v>
      </c>
    </row>
    <row r="3075" customFormat="false" ht="15" hidden="false" customHeight="true" outlineLevel="0" collapsed="false">
      <c r="A3075" s="6" t="s">
        <v>5687</v>
      </c>
      <c r="B3075" s="6" t="s">
        <v>781</v>
      </c>
      <c r="C3075" s="6" t="s">
        <v>112</v>
      </c>
      <c r="D3075" s="13" t="n">
        <v>46087</v>
      </c>
      <c r="E3075" s="14" t="n">
        <v>1353.78</v>
      </c>
      <c r="F3075" s="14" t="n">
        <v>23849.8</v>
      </c>
      <c r="G3075" s="6" t="s">
        <v>2613</v>
      </c>
    </row>
    <row r="3076" customFormat="false" ht="15" hidden="false" customHeight="true" outlineLevel="0" collapsed="false">
      <c r="A3076" s="6" t="s">
        <v>5688</v>
      </c>
      <c r="B3076" s="6" t="s">
        <v>781</v>
      </c>
      <c r="C3076" s="6" t="s">
        <v>112</v>
      </c>
      <c r="D3076" s="13" t="n">
        <v>46094</v>
      </c>
      <c r="E3076" s="14" t="n">
        <v>1586.19</v>
      </c>
      <c r="F3076" s="14" t="n">
        <v>25435.99</v>
      </c>
      <c r="G3076" s="6" t="s">
        <v>2613</v>
      </c>
    </row>
    <row r="3077" customFormat="false" ht="15" hidden="false" customHeight="true" outlineLevel="0" collapsed="false">
      <c r="A3077" s="6" t="s">
        <v>5689</v>
      </c>
      <c r="B3077" s="6" t="s">
        <v>781</v>
      </c>
      <c r="C3077" s="6" t="s">
        <v>112</v>
      </c>
      <c r="D3077" s="13" t="n">
        <v>46101</v>
      </c>
      <c r="E3077" s="14" t="n">
        <v>1607.71</v>
      </c>
      <c r="F3077" s="14" t="n">
        <v>27043.7</v>
      </c>
      <c r="G3077" s="6" t="s">
        <v>2613</v>
      </c>
    </row>
    <row r="3078" customFormat="false" ht="15" hidden="false" customHeight="true" outlineLevel="0" collapsed="false">
      <c r="A3078" s="6" t="s">
        <v>5690</v>
      </c>
      <c r="B3078" s="6" t="s">
        <v>781</v>
      </c>
      <c r="C3078" s="6" t="s">
        <v>112</v>
      </c>
      <c r="D3078" s="13" t="n">
        <v>46108</v>
      </c>
      <c r="E3078" s="14" t="n">
        <v>1665.31</v>
      </c>
      <c r="F3078" s="14" t="n">
        <v>28709.01</v>
      </c>
      <c r="G3078" s="6" t="s">
        <v>2613</v>
      </c>
    </row>
    <row r="3079" customFormat="false" ht="15" hidden="false" customHeight="true" outlineLevel="0" collapsed="false">
      <c r="A3079" s="6" t="s">
        <v>5691</v>
      </c>
      <c r="B3079" s="6" t="s">
        <v>781</v>
      </c>
      <c r="C3079" s="6" t="s">
        <v>112</v>
      </c>
      <c r="D3079" s="13" t="n">
        <v>46115</v>
      </c>
      <c r="E3079" s="14" t="n">
        <v>989.75</v>
      </c>
      <c r="F3079" s="14" t="n">
        <v>29698.76</v>
      </c>
      <c r="G3079" s="6" t="s">
        <v>2613</v>
      </c>
    </row>
    <row r="3080" customFormat="false" ht="15" hidden="false" customHeight="true" outlineLevel="0" collapsed="false">
      <c r="A3080" s="6" t="s">
        <v>5692</v>
      </c>
      <c r="B3080" s="6" t="s">
        <v>781</v>
      </c>
      <c r="C3080" s="6" t="s">
        <v>112</v>
      </c>
      <c r="D3080" s="13" t="n">
        <v>46122</v>
      </c>
      <c r="E3080" s="14" t="n">
        <v>1596.77</v>
      </c>
      <c r="F3080" s="14" t="n">
        <v>31295.53</v>
      </c>
      <c r="G3080" s="6" t="s">
        <v>2613</v>
      </c>
    </row>
    <row r="3081" customFormat="false" ht="15" hidden="false" customHeight="true" outlineLevel="0" collapsed="false">
      <c r="A3081" s="6" t="s">
        <v>5693</v>
      </c>
      <c r="B3081" s="6" t="s">
        <v>781</v>
      </c>
      <c r="C3081" s="6" t="s">
        <v>112</v>
      </c>
      <c r="D3081" s="13" t="n">
        <v>46129</v>
      </c>
      <c r="E3081" s="14" t="n">
        <v>1137.91</v>
      </c>
      <c r="F3081" s="14" t="n">
        <v>32433.44</v>
      </c>
      <c r="G3081" s="6" t="s">
        <v>2613</v>
      </c>
    </row>
    <row r="3082" customFormat="false" ht="15" hidden="false" customHeight="true" outlineLevel="0" collapsed="false">
      <c r="A3082" s="6" t="s">
        <v>5694</v>
      </c>
      <c r="B3082" s="6" t="s">
        <v>781</v>
      </c>
      <c r="C3082" s="6" t="s">
        <v>112</v>
      </c>
      <c r="D3082" s="13" t="n">
        <v>46136</v>
      </c>
      <c r="E3082" s="14" t="n">
        <v>1032.66</v>
      </c>
      <c r="F3082" s="14" t="n">
        <v>33466.1</v>
      </c>
      <c r="G3082" s="6" t="s">
        <v>2623</v>
      </c>
    </row>
    <row r="3083" customFormat="false" ht="15" hidden="false" customHeight="true" outlineLevel="0" collapsed="false">
      <c r="A3083" s="6" t="s">
        <v>5695</v>
      </c>
      <c r="B3083" s="6" t="s">
        <v>781</v>
      </c>
      <c r="C3083" s="6" t="s">
        <v>112</v>
      </c>
      <c r="D3083" s="13" t="n">
        <v>46143</v>
      </c>
      <c r="E3083" s="14" t="n">
        <v>1238.11</v>
      </c>
      <c r="F3083" s="14" t="n">
        <v>34704.21</v>
      </c>
      <c r="G3083" s="6" t="s">
        <v>2613</v>
      </c>
    </row>
    <row r="3084" customFormat="false" ht="15" hidden="false" customHeight="true" outlineLevel="0" collapsed="false">
      <c r="A3084" s="6" t="s">
        <v>5696</v>
      </c>
      <c r="B3084" s="6" t="s">
        <v>781</v>
      </c>
      <c r="C3084" s="6" t="s">
        <v>112</v>
      </c>
      <c r="D3084" s="13" t="n">
        <v>46150</v>
      </c>
      <c r="E3084" s="14" t="n">
        <v>1328.08</v>
      </c>
      <c r="F3084" s="14" t="n">
        <v>36032.29</v>
      </c>
      <c r="G3084" s="6" t="s">
        <v>2613</v>
      </c>
    </row>
    <row r="3085" customFormat="false" ht="15" hidden="false" customHeight="true" outlineLevel="0" collapsed="false">
      <c r="A3085" s="6" t="s">
        <v>5697</v>
      </c>
      <c r="B3085" s="6" t="s">
        <v>781</v>
      </c>
      <c r="C3085" s="6" t="s">
        <v>112</v>
      </c>
      <c r="D3085" s="13" t="n">
        <v>46157</v>
      </c>
      <c r="E3085" s="14" t="n">
        <v>1174.7</v>
      </c>
      <c r="F3085" s="14" t="n">
        <v>37206.99</v>
      </c>
      <c r="G3085" s="6" t="s">
        <v>2613</v>
      </c>
    </row>
    <row r="3086" customFormat="false" ht="15" hidden="false" customHeight="true" outlineLevel="0" collapsed="false">
      <c r="A3086" s="6" t="s">
        <v>5698</v>
      </c>
      <c r="B3086" s="6" t="s">
        <v>781</v>
      </c>
      <c r="C3086" s="6" t="s">
        <v>112</v>
      </c>
      <c r="D3086" s="13" t="n">
        <v>46164</v>
      </c>
      <c r="E3086" s="14" t="n">
        <v>1503.52</v>
      </c>
      <c r="F3086" s="14" t="n">
        <v>38710.51</v>
      </c>
      <c r="G3086" s="6" t="s">
        <v>2613</v>
      </c>
    </row>
    <row r="3087" customFormat="false" ht="15" hidden="false" customHeight="true" outlineLevel="0" collapsed="false">
      <c r="A3087" s="6" t="s">
        <v>5699</v>
      </c>
      <c r="B3087" s="6" t="s">
        <v>781</v>
      </c>
      <c r="C3087" s="6" t="s">
        <v>112</v>
      </c>
      <c r="D3087" s="13" t="n">
        <v>46171</v>
      </c>
      <c r="E3087" s="14" t="n">
        <v>282.7</v>
      </c>
      <c r="F3087" s="14" t="n">
        <v>38993.21</v>
      </c>
      <c r="G3087" s="6" t="s">
        <v>2613</v>
      </c>
    </row>
    <row r="3088" customFormat="false" ht="15" hidden="false" customHeight="true" outlineLevel="0" collapsed="false">
      <c r="A3088" s="6" t="s">
        <v>5700</v>
      </c>
      <c r="B3088" s="6" t="s">
        <v>783</v>
      </c>
      <c r="C3088" s="6" t="s">
        <v>131</v>
      </c>
      <c r="D3088" s="13" t="n">
        <v>44652</v>
      </c>
      <c r="E3088" s="14" t="n">
        <v>1463.7</v>
      </c>
      <c r="F3088" s="14" t="n">
        <v>1463.7</v>
      </c>
      <c r="G3088" s="6" t="s">
        <v>2613</v>
      </c>
    </row>
    <row r="3089" customFormat="false" ht="15" hidden="false" customHeight="true" outlineLevel="0" collapsed="false">
      <c r="A3089" s="6" t="s">
        <v>5701</v>
      </c>
      <c r="B3089" s="6" t="s">
        <v>783</v>
      </c>
      <c r="C3089" s="6" t="s">
        <v>131</v>
      </c>
      <c r="D3089" s="13" t="n">
        <v>44659</v>
      </c>
      <c r="E3089" s="14" t="n">
        <v>1265.37</v>
      </c>
      <c r="F3089" s="14" t="n">
        <v>2729.07</v>
      </c>
      <c r="G3089" s="6" t="s">
        <v>2613</v>
      </c>
    </row>
    <row r="3090" customFormat="false" ht="15" hidden="false" customHeight="true" outlineLevel="0" collapsed="false">
      <c r="A3090" s="6" t="s">
        <v>5702</v>
      </c>
      <c r="B3090" s="6" t="s">
        <v>783</v>
      </c>
      <c r="C3090" s="6" t="s">
        <v>131</v>
      </c>
      <c r="D3090" s="13" t="n">
        <v>44666</v>
      </c>
      <c r="E3090" s="14" t="n">
        <v>2654.64</v>
      </c>
      <c r="F3090" s="14" t="n">
        <v>5383.71</v>
      </c>
      <c r="G3090" s="6" t="s">
        <v>2623</v>
      </c>
    </row>
    <row r="3091" customFormat="false" ht="15" hidden="false" customHeight="true" outlineLevel="0" collapsed="false">
      <c r="A3091" s="6" t="s">
        <v>5703</v>
      </c>
      <c r="B3091" s="6" t="s">
        <v>783</v>
      </c>
      <c r="C3091" s="6" t="s">
        <v>131</v>
      </c>
      <c r="D3091" s="13" t="n">
        <v>44673</v>
      </c>
      <c r="E3091" s="14" t="n">
        <v>1487.63</v>
      </c>
      <c r="F3091" s="14" t="n">
        <v>6871.34</v>
      </c>
      <c r="G3091" s="6" t="s">
        <v>2613</v>
      </c>
    </row>
    <row r="3092" customFormat="false" ht="15" hidden="false" customHeight="true" outlineLevel="0" collapsed="false">
      <c r="A3092" s="6" t="s">
        <v>5704</v>
      </c>
      <c r="B3092" s="6" t="s">
        <v>783</v>
      </c>
      <c r="C3092" s="6" t="s">
        <v>131</v>
      </c>
      <c r="D3092" s="13" t="n">
        <v>44680</v>
      </c>
      <c r="E3092" s="14" t="n">
        <v>2572.78</v>
      </c>
      <c r="F3092" s="14" t="n">
        <v>9444.12</v>
      </c>
      <c r="G3092" s="6" t="s">
        <v>2613</v>
      </c>
    </row>
    <row r="3093" customFormat="false" ht="15" hidden="false" customHeight="true" outlineLevel="0" collapsed="false">
      <c r="A3093" s="6" t="s">
        <v>5705</v>
      </c>
      <c r="B3093" s="6" t="s">
        <v>783</v>
      </c>
      <c r="C3093" s="6" t="s">
        <v>131</v>
      </c>
      <c r="D3093" s="13" t="n">
        <v>44687</v>
      </c>
      <c r="E3093" s="14" t="n">
        <v>2863.13</v>
      </c>
      <c r="F3093" s="14" t="n">
        <v>12307.25</v>
      </c>
      <c r="G3093" s="6" t="s">
        <v>2613</v>
      </c>
    </row>
    <row r="3094" customFormat="false" ht="15" hidden="false" customHeight="true" outlineLevel="0" collapsed="false">
      <c r="A3094" s="6" t="s">
        <v>5706</v>
      </c>
      <c r="B3094" s="6" t="s">
        <v>783</v>
      </c>
      <c r="C3094" s="6" t="s">
        <v>131</v>
      </c>
      <c r="D3094" s="13" t="n">
        <v>44694</v>
      </c>
      <c r="E3094" s="14" t="n">
        <v>2855.02</v>
      </c>
      <c r="F3094" s="14" t="n">
        <v>15162.27</v>
      </c>
      <c r="G3094" s="6" t="s">
        <v>2613</v>
      </c>
    </row>
    <row r="3095" customFormat="false" ht="15" hidden="false" customHeight="true" outlineLevel="0" collapsed="false">
      <c r="A3095" s="6" t="s">
        <v>5707</v>
      </c>
      <c r="B3095" s="6" t="s">
        <v>783</v>
      </c>
      <c r="C3095" s="6" t="s">
        <v>131</v>
      </c>
      <c r="D3095" s="13" t="n">
        <v>44701</v>
      </c>
      <c r="E3095" s="14" t="n">
        <v>1495.89</v>
      </c>
      <c r="F3095" s="14" t="n">
        <v>16658.16</v>
      </c>
      <c r="G3095" s="6" t="s">
        <v>2613</v>
      </c>
    </row>
    <row r="3096" customFormat="false" ht="15" hidden="false" customHeight="true" outlineLevel="0" collapsed="false">
      <c r="A3096" s="6" t="s">
        <v>5708</v>
      </c>
      <c r="B3096" s="6" t="s">
        <v>783</v>
      </c>
      <c r="C3096" s="6" t="s">
        <v>131</v>
      </c>
      <c r="D3096" s="13" t="n">
        <v>44708</v>
      </c>
      <c r="E3096" s="14" t="n">
        <v>1980.87</v>
      </c>
      <c r="F3096" s="14" t="n">
        <v>18639.03</v>
      </c>
      <c r="G3096" s="6" t="s">
        <v>2613</v>
      </c>
    </row>
    <row r="3097" customFormat="false" ht="15" hidden="false" customHeight="true" outlineLevel="0" collapsed="false">
      <c r="A3097" s="6" t="s">
        <v>5709</v>
      </c>
      <c r="B3097" s="6" t="s">
        <v>783</v>
      </c>
      <c r="C3097" s="6" t="s">
        <v>131</v>
      </c>
      <c r="D3097" s="13" t="n">
        <v>44715</v>
      </c>
      <c r="E3097" s="14" t="n">
        <v>1744.17</v>
      </c>
      <c r="F3097" s="14" t="n">
        <v>20383.2</v>
      </c>
      <c r="G3097" s="6" t="s">
        <v>2623</v>
      </c>
    </row>
    <row r="3098" customFormat="false" ht="15" hidden="false" customHeight="true" outlineLevel="0" collapsed="false">
      <c r="A3098" s="6" t="s">
        <v>5710</v>
      </c>
      <c r="B3098" s="6" t="s">
        <v>783</v>
      </c>
      <c r="C3098" s="6" t="s">
        <v>131</v>
      </c>
      <c r="D3098" s="13" t="n">
        <v>44722</v>
      </c>
      <c r="E3098" s="14" t="n">
        <v>2820.25</v>
      </c>
      <c r="F3098" s="14" t="n">
        <v>23203.45</v>
      </c>
      <c r="G3098" s="6" t="s">
        <v>2613</v>
      </c>
    </row>
    <row r="3099" customFormat="false" ht="15" hidden="false" customHeight="true" outlineLevel="0" collapsed="false">
      <c r="A3099" s="6" t="s">
        <v>5711</v>
      </c>
      <c r="B3099" s="6" t="s">
        <v>783</v>
      </c>
      <c r="C3099" s="6" t="s">
        <v>131</v>
      </c>
      <c r="D3099" s="13" t="n">
        <v>44729</v>
      </c>
      <c r="E3099" s="14" t="n">
        <v>2393.87</v>
      </c>
      <c r="F3099" s="14" t="n">
        <v>25597.32</v>
      </c>
      <c r="G3099" s="6" t="s">
        <v>2613</v>
      </c>
    </row>
    <row r="3100" customFormat="false" ht="15" hidden="false" customHeight="true" outlineLevel="0" collapsed="false">
      <c r="A3100" s="6" t="s">
        <v>5712</v>
      </c>
      <c r="B3100" s="6" t="s">
        <v>783</v>
      </c>
      <c r="C3100" s="6" t="s">
        <v>131</v>
      </c>
      <c r="D3100" s="13" t="n">
        <v>44736</v>
      </c>
      <c r="E3100" s="14" t="n">
        <v>1925.68</v>
      </c>
      <c r="F3100" s="14" t="n">
        <v>27523</v>
      </c>
      <c r="G3100" s="6" t="s">
        <v>2613</v>
      </c>
    </row>
    <row r="3101" customFormat="false" ht="15" hidden="false" customHeight="true" outlineLevel="0" collapsed="false">
      <c r="A3101" s="6" t="s">
        <v>5713</v>
      </c>
      <c r="B3101" s="6" t="s">
        <v>783</v>
      </c>
      <c r="C3101" s="6" t="s">
        <v>131</v>
      </c>
      <c r="D3101" s="13" t="n">
        <v>44743</v>
      </c>
      <c r="E3101" s="14" t="n">
        <v>2753.38</v>
      </c>
      <c r="F3101" s="14" t="n">
        <v>30276.38</v>
      </c>
      <c r="G3101" s="6" t="s">
        <v>2613</v>
      </c>
    </row>
    <row r="3102" customFormat="false" ht="15" hidden="false" customHeight="true" outlineLevel="0" collapsed="false">
      <c r="A3102" s="6" t="s">
        <v>5714</v>
      </c>
      <c r="B3102" s="6" t="s">
        <v>783</v>
      </c>
      <c r="C3102" s="6" t="s">
        <v>131</v>
      </c>
      <c r="D3102" s="13" t="n">
        <v>44750</v>
      </c>
      <c r="E3102" s="14" t="n">
        <v>2257.36</v>
      </c>
      <c r="F3102" s="14" t="n">
        <v>32533.74</v>
      </c>
      <c r="G3102" s="6" t="s">
        <v>2613</v>
      </c>
    </row>
    <row r="3103" customFormat="false" ht="15" hidden="false" customHeight="true" outlineLevel="0" collapsed="false">
      <c r="A3103" s="6" t="s">
        <v>5715</v>
      </c>
      <c r="B3103" s="6" t="s">
        <v>783</v>
      </c>
      <c r="C3103" s="6" t="s">
        <v>131</v>
      </c>
      <c r="D3103" s="13" t="n">
        <v>44757</v>
      </c>
      <c r="E3103" s="14" t="n">
        <v>1987.18</v>
      </c>
      <c r="F3103" s="14" t="n">
        <v>34520.92</v>
      </c>
      <c r="G3103" s="6" t="s">
        <v>2613</v>
      </c>
    </row>
    <row r="3104" customFormat="false" ht="15" hidden="false" customHeight="true" outlineLevel="0" collapsed="false">
      <c r="A3104" s="6" t="s">
        <v>5716</v>
      </c>
      <c r="B3104" s="6" t="s">
        <v>783</v>
      </c>
      <c r="C3104" s="6" t="s">
        <v>131</v>
      </c>
      <c r="D3104" s="13" t="n">
        <v>44764</v>
      </c>
      <c r="E3104" s="14" t="n">
        <v>1089.67</v>
      </c>
      <c r="F3104" s="14" t="n">
        <v>35610.59</v>
      </c>
      <c r="G3104" s="6" t="s">
        <v>2613</v>
      </c>
    </row>
    <row r="3105" customFormat="false" ht="15" hidden="false" customHeight="true" outlineLevel="0" collapsed="false">
      <c r="A3105" s="6" t="s">
        <v>5717</v>
      </c>
      <c r="B3105" s="6" t="s">
        <v>785</v>
      </c>
      <c r="C3105" s="6" t="s">
        <v>116</v>
      </c>
      <c r="D3105" s="13" t="n">
        <v>45338</v>
      </c>
      <c r="E3105" s="14" t="n">
        <v>876.05</v>
      </c>
      <c r="F3105" s="14" t="n">
        <v>876.05</v>
      </c>
      <c r="G3105" s="6" t="s">
        <v>2613</v>
      </c>
    </row>
    <row r="3106" customFormat="false" ht="15" hidden="false" customHeight="true" outlineLevel="0" collapsed="false">
      <c r="A3106" s="6" t="s">
        <v>5718</v>
      </c>
      <c r="B3106" s="6" t="s">
        <v>785</v>
      </c>
      <c r="C3106" s="6" t="s">
        <v>116</v>
      </c>
      <c r="D3106" s="13" t="n">
        <v>45345</v>
      </c>
      <c r="E3106" s="14" t="n">
        <v>1495.36</v>
      </c>
      <c r="F3106" s="14" t="n">
        <v>2371.41</v>
      </c>
      <c r="G3106" s="6" t="s">
        <v>2613</v>
      </c>
    </row>
    <row r="3107" customFormat="false" ht="15" hidden="false" customHeight="true" outlineLevel="0" collapsed="false">
      <c r="A3107" s="6" t="s">
        <v>5719</v>
      </c>
      <c r="B3107" s="6" t="s">
        <v>785</v>
      </c>
      <c r="C3107" s="6" t="s">
        <v>116</v>
      </c>
      <c r="D3107" s="13" t="n">
        <v>45352</v>
      </c>
      <c r="E3107" s="14" t="n">
        <v>1486.07</v>
      </c>
      <c r="F3107" s="14" t="n">
        <v>3857.48</v>
      </c>
      <c r="G3107" s="6" t="s">
        <v>2613</v>
      </c>
    </row>
    <row r="3108" customFormat="false" ht="15" hidden="false" customHeight="true" outlineLevel="0" collapsed="false">
      <c r="A3108" s="6" t="s">
        <v>5720</v>
      </c>
      <c r="B3108" s="6" t="s">
        <v>785</v>
      </c>
      <c r="C3108" s="6" t="s">
        <v>116</v>
      </c>
      <c r="D3108" s="13" t="n">
        <v>45359</v>
      </c>
      <c r="E3108" s="14" t="n">
        <v>1143.36</v>
      </c>
      <c r="F3108" s="14" t="n">
        <v>5000.84</v>
      </c>
      <c r="G3108" s="6" t="s">
        <v>2613</v>
      </c>
    </row>
    <row r="3109" customFormat="false" ht="15" hidden="false" customHeight="true" outlineLevel="0" collapsed="false">
      <c r="A3109" s="6" t="s">
        <v>5721</v>
      </c>
      <c r="B3109" s="6" t="s">
        <v>785</v>
      </c>
      <c r="C3109" s="6" t="s">
        <v>116</v>
      </c>
      <c r="D3109" s="13" t="n">
        <v>45366</v>
      </c>
      <c r="E3109" s="14" t="n">
        <v>1772.15</v>
      </c>
      <c r="F3109" s="14" t="n">
        <v>6772.99</v>
      </c>
      <c r="G3109" s="6" t="s">
        <v>2613</v>
      </c>
    </row>
    <row r="3110" customFormat="false" ht="15" hidden="false" customHeight="true" outlineLevel="0" collapsed="false">
      <c r="A3110" s="6" t="s">
        <v>5722</v>
      </c>
      <c r="B3110" s="6" t="s">
        <v>785</v>
      </c>
      <c r="C3110" s="6" t="s">
        <v>116</v>
      </c>
      <c r="D3110" s="13" t="n">
        <v>45373</v>
      </c>
      <c r="E3110" s="14" t="n">
        <v>1721.53</v>
      </c>
      <c r="F3110" s="14" t="n">
        <v>8494.52</v>
      </c>
      <c r="G3110" s="6" t="s">
        <v>2623</v>
      </c>
    </row>
    <row r="3111" customFormat="false" ht="15" hidden="false" customHeight="true" outlineLevel="0" collapsed="false">
      <c r="A3111" s="6" t="s">
        <v>5723</v>
      </c>
      <c r="B3111" s="6" t="s">
        <v>785</v>
      </c>
      <c r="C3111" s="6" t="s">
        <v>116</v>
      </c>
      <c r="D3111" s="13" t="n">
        <v>45380</v>
      </c>
      <c r="E3111" s="14" t="n">
        <v>1570.57</v>
      </c>
      <c r="F3111" s="14" t="n">
        <v>10065.09</v>
      </c>
      <c r="G3111" s="6" t="s">
        <v>2623</v>
      </c>
    </row>
    <row r="3112" customFormat="false" ht="15" hidden="false" customHeight="true" outlineLevel="0" collapsed="false">
      <c r="A3112" s="6" t="s">
        <v>5724</v>
      </c>
      <c r="B3112" s="6" t="s">
        <v>785</v>
      </c>
      <c r="C3112" s="6" t="s">
        <v>116</v>
      </c>
      <c r="D3112" s="13" t="n">
        <v>45387</v>
      </c>
      <c r="E3112" s="14" t="n">
        <v>289.61</v>
      </c>
      <c r="F3112" s="14" t="n">
        <v>10354.7</v>
      </c>
      <c r="G3112" s="6" t="s">
        <v>2613</v>
      </c>
    </row>
    <row r="3113" customFormat="false" ht="15" hidden="false" customHeight="true" outlineLevel="0" collapsed="false">
      <c r="A3113" s="6" t="s">
        <v>5725</v>
      </c>
      <c r="B3113" s="6" t="s">
        <v>787</v>
      </c>
      <c r="C3113" s="6" t="s">
        <v>120</v>
      </c>
      <c r="D3113" s="13" t="n">
        <v>45516</v>
      </c>
      <c r="E3113" s="14" t="n">
        <v>2291.55</v>
      </c>
      <c r="F3113" s="14" t="n">
        <v>2291.55</v>
      </c>
      <c r="G3113" s="6" t="s">
        <v>2623</v>
      </c>
    </row>
    <row r="3114" customFormat="false" ht="15" hidden="false" customHeight="true" outlineLevel="0" collapsed="false">
      <c r="A3114" s="6" t="s">
        <v>5726</v>
      </c>
      <c r="B3114" s="6" t="s">
        <v>787</v>
      </c>
      <c r="C3114" s="6" t="s">
        <v>120</v>
      </c>
      <c r="D3114" s="13" t="n">
        <v>45523</v>
      </c>
      <c r="E3114" s="14" t="n">
        <v>1523.68</v>
      </c>
      <c r="F3114" s="14" t="n">
        <v>3815.23</v>
      </c>
      <c r="G3114" s="6" t="s">
        <v>2613</v>
      </c>
    </row>
    <row r="3115" customFormat="false" ht="15" hidden="false" customHeight="true" outlineLevel="0" collapsed="false">
      <c r="A3115" s="6" t="s">
        <v>5727</v>
      </c>
      <c r="B3115" s="6" t="s">
        <v>787</v>
      </c>
      <c r="C3115" s="6" t="s">
        <v>120</v>
      </c>
      <c r="D3115" s="13" t="n">
        <v>45530</v>
      </c>
      <c r="E3115" s="14" t="n">
        <v>2650.67</v>
      </c>
      <c r="F3115" s="14" t="n">
        <v>6465.9</v>
      </c>
      <c r="G3115" s="6" t="s">
        <v>2613</v>
      </c>
    </row>
    <row r="3116" customFormat="false" ht="15" hidden="false" customHeight="true" outlineLevel="0" collapsed="false">
      <c r="A3116" s="6" t="s">
        <v>5728</v>
      </c>
      <c r="B3116" s="6" t="s">
        <v>787</v>
      </c>
      <c r="C3116" s="6" t="s">
        <v>120</v>
      </c>
      <c r="D3116" s="13" t="n">
        <v>45537</v>
      </c>
      <c r="E3116" s="14" t="n">
        <v>1604.55</v>
      </c>
      <c r="F3116" s="14" t="n">
        <v>8070.45</v>
      </c>
      <c r="G3116" s="6" t="s">
        <v>2613</v>
      </c>
    </row>
    <row r="3117" customFormat="false" ht="15" hidden="false" customHeight="true" outlineLevel="0" collapsed="false">
      <c r="A3117" s="6" t="s">
        <v>5729</v>
      </c>
      <c r="B3117" s="6" t="s">
        <v>787</v>
      </c>
      <c r="C3117" s="6" t="s">
        <v>120</v>
      </c>
      <c r="D3117" s="13" t="n">
        <v>45544</v>
      </c>
      <c r="E3117" s="14" t="n">
        <v>2331.78</v>
      </c>
      <c r="F3117" s="14" t="n">
        <v>10402.23</v>
      </c>
      <c r="G3117" s="6" t="s">
        <v>2613</v>
      </c>
    </row>
    <row r="3118" customFormat="false" ht="15" hidden="false" customHeight="true" outlineLevel="0" collapsed="false">
      <c r="A3118" s="6" t="s">
        <v>5730</v>
      </c>
      <c r="B3118" s="6" t="s">
        <v>787</v>
      </c>
      <c r="C3118" s="6" t="s">
        <v>120</v>
      </c>
      <c r="D3118" s="13" t="n">
        <v>45551</v>
      </c>
      <c r="E3118" s="14" t="n">
        <v>1535.37</v>
      </c>
      <c r="F3118" s="14" t="n">
        <v>11937.6</v>
      </c>
      <c r="G3118" s="6" t="s">
        <v>2613</v>
      </c>
    </row>
    <row r="3119" customFormat="false" ht="15" hidden="false" customHeight="true" outlineLevel="0" collapsed="false">
      <c r="A3119" s="6" t="s">
        <v>5731</v>
      </c>
      <c r="B3119" s="6" t="s">
        <v>787</v>
      </c>
      <c r="C3119" s="6" t="s">
        <v>120</v>
      </c>
      <c r="D3119" s="13" t="n">
        <v>45558</v>
      </c>
      <c r="E3119" s="14" t="n">
        <v>2697.12</v>
      </c>
      <c r="F3119" s="14" t="n">
        <v>14634.72</v>
      </c>
      <c r="G3119" s="6" t="s">
        <v>2613</v>
      </c>
    </row>
    <row r="3120" customFormat="false" ht="15" hidden="false" customHeight="true" outlineLevel="0" collapsed="false">
      <c r="A3120" s="6" t="s">
        <v>5732</v>
      </c>
      <c r="B3120" s="6" t="s">
        <v>787</v>
      </c>
      <c r="C3120" s="6" t="s">
        <v>120</v>
      </c>
      <c r="D3120" s="13" t="n">
        <v>45565</v>
      </c>
      <c r="E3120" s="14" t="n">
        <v>4300.23</v>
      </c>
      <c r="F3120" s="14" t="n">
        <v>18934.95</v>
      </c>
      <c r="G3120" s="6" t="s">
        <v>2623</v>
      </c>
    </row>
    <row r="3121" customFormat="false" ht="15" hidden="false" customHeight="true" outlineLevel="0" collapsed="false">
      <c r="A3121" s="6" t="s">
        <v>5733</v>
      </c>
      <c r="B3121" s="6" t="s">
        <v>789</v>
      </c>
      <c r="C3121" s="6" t="s">
        <v>116</v>
      </c>
      <c r="D3121" s="13" t="n">
        <v>45562</v>
      </c>
      <c r="E3121" s="14" t="n">
        <v>1733.99</v>
      </c>
      <c r="F3121" s="14" t="n">
        <v>1733.99</v>
      </c>
      <c r="G3121" s="6" t="s">
        <v>2613</v>
      </c>
    </row>
    <row r="3122" customFormat="false" ht="15" hidden="false" customHeight="true" outlineLevel="0" collapsed="false">
      <c r="A3122" s="6" t="s">
        <v>5734</v>
      </c>
      <c r="B3122" s="6" t="s">
        <v>789</v>
      </c>
      <c r="C3122" s="6" t="s">
        <v>116</v>
      </c>
      <c r="D3122" s="13" t="n">
        <v>45569</v>
      </c>
      <c r="E3122" s="14" t="n">
        <v>3458.68</v>
      </c>
      <c r="F3122" s="14" t="n">
        <v>5192.67</v>
      </c>
      <c r="G3122" s="6" t="s">
        <v>2613</v>
      </c>
    </row>
    <row r="3123" customFormat="false" ht="15" hidden="false" customHeight="true" outlineLevel="0" collapsed="false">
      <c r="A3123" s="6" t="s">
        <v>5735</v>
      </c>
      <c r="B3123" s="6" t="s">
        <v>789</v>
      </c>
      <c r="C3123" s="6" t="s">
        <v>116</v>
      </c>
      <c r="D3123" s="13" t="n">
        <v>45576</v>
      </c>
      <c r="E3123" s="14" t="n">
        <v>2116.09</v>
      </c>
      <c r="F3123" s="14" t="n">
        <v>7308.76</v>
      </c>
      <c r="G3123" s="6" t="s">
        <v>2613</v>
      </c>
    </row>
    <row r="3124" customFormat="false" ht="15" hidden="false" customHeight="true" outlineLevel="0" collapsed="false">
      <c r="A3124" s="6" t="s">
        <v>5736</v>
      </c>
      <c r="B3124" s="6" t="s">
        <v>789</v>
      </c>
      <c r="C3124" s="6" t="s">
        <v>116</v>
      </c>
      <c r="D3124" s="13" t="n">
        <v>45583</v>
      </c>
      <c r="E3124" s="14" t="n">
        <v>1643.84</v>
      </c>
      <c r="F3124" s="14" t="n">
        <v>8952.6</v>
      </c>
      <c r="G3124" s="6" t="s">
        <v>2613</v>
      </c>
    </row>
    <row r="3125" customFormat="false" ht="15" hidden="false" customHeight="true" outlineLevel="0" collapsed="false">
      <c r="A3125" s="6" t="s">
        <v>5737</v>
      </c>
      <c r="B3125" s="6" t="s">
        <v>789</v>
      </c>
      <c r="C3125" s="6" t="s">
        <v>116</v>
      </c>
      <c r="D3125" s="13" t="n">
        <v>45590</v>
      </c>
      <c r="E3125" s="14" t="n">
        <v>2420.62</v>
      </c>
      <c r="F3125" s="14" t="n">
        <v>11373.22</v>
      </c>
      <c r="G3125" s="6" t="s">
        <v>2613</v>
      </c>
    </row>
    <row r="3126" customFormat="false" ht="15" hidden="false" customHeight="true" outlineLevel="0" collapsed="false">
      <c r="A3126" s="6" t="s">
        <v>5738</v>
      </c>
      <c r="B3126" s="6" t="s">
        <v>789</v>
      </c>
      <c r="C3126" s="6" t="s">
        <v>116</v>
      </c>
      <c r="D3126" s="13" t="n">
        <v>45597</v>
      </c>
      <c r="E3126" s="14" t="n">
        <v>2227.96</v>
      </c>
      <c r="F3126" s="14" t="n">
        <v>13601.18</v>
      </c>
      <c r="G3126" s="6" t="s">
        <v>2613</v>
      </c>
    </row>
    <row r="3127" customFormat="false" ht="15" hidden="false" customHeight="true" outlineLevel="0" collapsed="false">
      <c r="A3127" s="6" t="s">
        <v>5739</v>
      </c>
      <c r="B3127" s="6" t="s">
        <v>789</v>
      </c>
      <c r="C3127" s="6" t="s">
        <v>116</v>
      </c>
      <c r="D3127" s="13" t="n">
        <v>45604</v>
      </c>
      <c r="E3127" s="14" t="n">
        <v>1982.06</v>
      </c>
      <c r="F3127" s="14" t="n">
        <v>15583.24</v>
      </c>
      <c r="G3127" s="6" t="s">
        <v>2613</v>
      </c>
    </row>
    <row r="3128" customFormat="false" ht="15" hidden="false" customHeight="true" outlineLevel="0" collapsed="false">
      <c r="A3128" s="6" t="s">
        <v>5740</v>
      </c>
      <c r="B3128" s="6" t="s">
        <v>789</v>
      </c>
      <c r="C3128" s="6" t="s">
        <v>116</v>
      </c>
      <c r="D3128" s="13" t="n">
        <v>45611</v>
      </c>
      <c r="E3128" s="14" t="n">
        <v>3390.41</v>
      </c>
      <c r="F3128" s="14" t="n">
        <v>18973.65</v>
      </c>
      <c r="G3128" s="6" t="s">
        <v>2613</v>
      </c>
    </row>
    <row r="3129" customFormat="false" ht="15" hidden="false" customHeight="true" outlineLevel="0" collapsed="false">
      <c r="A3129" s="6" t="s">
        <v>5741</v>
      </c>
      <c r="B3129" s="6" t="s">
        <v>789</v>
      </c>
      <c r="C3129" s="6" t="s">
        <v>116</v>
      </c>
      <c r="D3129" s="13" t="n">
        <v>45618</v>
      </c>
      <c r="E3129" s="14" t="n">
        <v>2891.8</v>
      </c>
      <c r="F3129" s="14" t="n">
        <v>21865.45</v>
      </c>
      <c r="G3129" s="6" t="s">
        <v>2613</v>
      </c>
    </row>
    <row r="3130" customFormat="false" ht="15" hidden="false" customHeight="true" outlineLevel="0" collapsed="false">
      <c r="A3130" s="6" t="s">
        <v>5742</v>
      </c>
      <c r="B3130" s="6" t="s">
        <v>789</v>
      </c>
      <c r="C3130" s="6" t="s">
        <v>116</v>
      </c>
      <c r="D3130" s="13" t="n">
        <v>45625</v>
      </c>
      <c r="E3130" s="14" t="n">
        <v>2988.14</v>
      </c>
      <c r="F3130" s="14" t="n">
        <v>24853.59</v>
      </c>
      <c r="G3130" s="6" t="s">
        <v>2613</v>
      </c>
    </row>
    <row r="3131" customFormat="false" ht="15" hidden="false" customHeight="true" outlineLevel="0" collapsed="false">
      <c r="A3131" s="6" t="s">
        <v>5743</v>
      </c>
      <c r="B3131" s="6" t="s">
        <v>789</v>
      </c>
      <c r="C3131" s="6" t="s">
        <v>116</v>
      </c>
      <c r="D3131" s="13" t="n">
        <v>45632</v>
      </c>
      <c r="E3131" s="14" t="n">
        <v>1901.85</v>
      </c>
      <c r="F3131" s="14" t="n">
        <v>26755.44</v>
      </c>
      <c r="G3131" s="6" t="s">
        <v>2623</v>
      </c>
    </row>
    <row r="3132" customFormat="false" ht="15" hidden="false" customHeight="true" outlineLevel="0" collapsed="false">
      <c r="A3132" s="6" t="s">
        <v>5744</v>
      </c>
      <c r="B3132" s="6" t="s">
        <v>789</v>
      </c>
      <c r="C3132" s="6" t="s">
        <v>116</v>
      </c>
      <c r="D3132" s="13" t="n">
        <v>45639</v>
      </c>
      <c r="E3132" s="14" t="n">
        <v>5074.84</v>
      </c>
      <c r="F3132" s="14" t="n">
        <v>31830.28</v>
      </c>
      <c r="G3132" s="6" t="s">
        <v>2613</v>
      </c>
    </row>
    <row r="3133" customFormat="false" ht="15" hidden="false" customHeight="true" outlineLevel="0" collapsed="false">
      <c r="A3133" s="6" t="s">
        <v>5745</v>
      </c>
      <c r="B3133" s="6" t="s">
        <v>791</v>
      </c>
      <c r="C3133" s="6" t="s">
        <v>131</v>
      </c>
      <c r="D3133" s="13" t="n">
        <v>45321</v>
      </c>
      <c r="E3133" s="14" t="n">
        <v>2216.29</v>
      </c>
      <c r="F3133" s="14" t="n">
        <v>2216.29</v>
      </c>
      <c r="G3133" s="6" t="s">
        <v>2613</v>
      </c>
    </row>
    <row r="3134" customFormat="false" ht="15" hidden="false" customHeight="true" outlineLevel="0" collapsed="false">
      <c r="A3134" s="6" t="s">
        <v>5746</v>
      </c>
      <c r="B3134" s="6" t="s">
        <v>791</v>
      </c>
      <c r="C3134" s="6" t="s">
        <v>131</v>
      </c>
      <c r="D3134" s="13" t="n">
        <v>45328</v>
      </c>
      <c r="E3134" s="14" t="n">
        <v>1786.47</v>
      </c>
      <c r="F3134" s="14" t="n">
        <v>4002.76</v>
      </c>
      <c r="G3134" s="6" t="s">
        <v>2613</v>
      </c>
    </row>
    <row r="3135" customFormat="false" ht="15" hidden="false" customHeight="true" outlineLevel="0" collapsed="false">
      <c r="A3135" s="6" t="s">
        <v>5747</v>
      </c>
      <c r="B3135" s="6" t="s">
        <v>791</v>
      </c>
      <c r="C3135" s="6" t="s">
        <v>131</v>
      </c>
      <c r="D3135" s="13" t="n">
        <v>45335</v>
      </c>
      <c r="E3135" s="14" t="n">
        <v>1191.04</v>
      </c>
      <c r="F3135" s="14" t="n">
        <v>5193.8</v>
      </c>
      <c r="G3135" s="6" t="s">
        <v>2613</v>
      </c>
    </row>
    <row r="3136" customFormat="false" ht="15" hidden="false" customHeight="true" outlineLevel="0" collapsed="false">
      <c r="A3136" s="6" t="s">
        <v>5748</v>
      </c>
      <c r="B3136" s="6" t="s">
        <v>791</v>
      </c>
      <c r="C3136" s="6" t="s">
        <v>131</v>
      </c>
      <c r="D3136" s="13" t="n">
        <v>45342</v>
      </c>
      <c r="E3136" s="14" t="n">
        <v>2012</v>
      </c>
      <c r="F3136" s="14" t="n">
        <v>7205.8</v>
      </c>
      <c r="G3136" s="6" t="s">
        <v>2623</v>
      </c>
    </row>
    <row r="3137" customFormat="false" ht="15" hidden="false" customHeight="true" outlineLevel="0" collapsed="false">
      <c r="A3137" s="6" t="s">
        <v>5749</v>
      </c>
      <c r="B3137" s="6" t="s">
        <v>791</v>
      </c>
      <c r="C3137" s="6" t="s">
        <v>131</v>
      </c>
      <c r="D3137" s="13" t="n">
        <v>45349</v>
      </c>
      <c r="E3137" s="14" t="n">
        <v>1611.73</v>
      </c>
      <c r="F3137" s="14" t="n">
        <v>8817.53</v>
      </c>
      <c r="G3137" s="6" t="s">
        <v>2613</v>
      </c>
    </row>
    <row r="3138" customFormat="false" ht="15" hidden="false" customHeight="true" outlineLevel="0" collapsed="false">
      <c r="A3138" s="6" t="s">
        <v>5750</v>
      </c>
      <c r="B3138" s="6" t="s">
        <v>791</v>
      </c>
      <c r="C3138" s="6" t="s">
        <v>131</v>
      </c>
      <c r="D3138" s="13" t="n">
        <v>45356</v>
      </c>
      <c r="E3138" s="14" t="n">
        <v>2664.65</v>
      </c>
      <c r="F3138" s="14" t="n">
        <v>11482.18</v>
      </c>
      <c r="G3138" s="6" t="s">
        <v>2613</v>
      </c>
    </row>
    <row r="3139" customFormat="false" ht="15" hidden="false" customHeight="true" outlineLevel="0" collapsed="false">
      <c r="A3139" s="6" t="s">
        <v>5751</v>
      </c>
      <c r="B3139" s="6" t="s">
        <v>793</v>
      </c>
      <c r="C3139" s="6" t="s">
        <v>128</v>
      </c>
      <c r="D3139" s="13" t="n">
        <v>45599</v>
      </c>
      <c r="E3139" s="14" t="n">
        <v>7710.12</v>
      </c>
      <c r="F3139" s="14" t="n">
        <v>7710.12</v>
      </c>
      <c r="G3139" s="6" t="s">
        <v>2613</v>
      </c>
    </row>
    <row r="3140" customFormat="false" ht="15" hidden="false" customHeight="true" outlineLevel="0" collapsed="false">
      <c r="A3140" s="6" t="s">
        <v>5752</v>
      </c>
      <c r="B3140" s="6" t="s">
        <v>793</v>
      </c>
      <c r="C3140" s="6" t="s">
        <v>128</v>
      </c>
      <c r="D3140" s="13" t="n">
        <v>45606</v>
      </c>
      <c r="E3140" s="14" t="n">
        <v>5590.33</v>
      </c>
      <c r="F3140" s="14" t="n">
        <v>13300.45</v>
      </c>
      <c r="G3140" s="6" t="s">
        <v>2613</v>
      </c>
    </row>
    <row r="3141" customFormat="false" ht="15" hidden="false" customHeight="true" outlineLevel="0" collapsed="false">
      <c r="A3141" s="6" t="s">
        <v>5753</v>
      </c>
      <c r="B3141" s="6" t="s">
        <v>793</v>
      </c>
      <c r="C3141" s="6" t="s">
        <v>128</v>
      </c>
      <c r="D3141" s="13" t="n">
        <v>45613</v>
      </c>
      <c r="E3141" s="14" t="n">
        <v>8501.52</v>
      </c>
      <c r="F3141" s="14" t="n">
        <v>21801.97</v>
      </c>
      <c r="G3141" s="6" t="s">
        <v>2613</v>
      </c>
    </row>
    <row r="3142" customFormat="false" ht="15" hidden="false" customHeight="true" outlineLevel="0" collapsed="false">
      <c r="A3142" s="6" t="s">
        <v>5754</v>
      </c>
      <c r="B3142" s="6" t="s">
        <v>793</v>
      </c>
      <c r="C3142" s="6" t="s">
        <v>128</v>
      </c>
      <c r="D3142" s="13" t="n">
        <v>45620</v>
      </c>
      <c r="E3142" s="14" t="n">
        <v>7313.6</v>
      </c>
      <c r="F3142" s="14" t="n">
        <v>29115.57</v>
      </c>
      <c r="G3142" s="6" t="s">
        <v>2613</v>
      </c>
    </row>
    <row r="3143" customFormat="false" ht="15" hidden="false" customHeight="true" outlineLevel="0" collapsed="false">
      <c r="A3143" s="6" t="s">
        <v>5755</v>
      </c>
      <c r="B3143" s="6" t="s">
        <v>793</v>
      </c>
      <c r="C3143" s="6" t="s">
        <v>128</v>
      </c>
      <c r="D3143" s="13" t="n">
        <v>45627</v>
      </c>
      <c r="E3143" s="14" t="n">
        <v>5381.97</v>
      </c>
      <c r="F3143" s="14" t="n">
        <v>34497.54</v>
      </c>
      <c r="G3143" s="6" t="s">
        <v>2613</v>
      </c>
    </row>
    <row r="3144" customFormat="false" ht="15" hidden="false" customHeight="true" outlineLevel="0" collapsed="false">
      <c r="A3144" s="6" t="s">
        <v>5756</v>
      </c>
      <c r="B3144" s="6" t="s">
        <v>793</v>
      </c>
      <c r="C3144" s="6" t="s">
        <v>128</v>
      </c>
      <c r="D3144" s="13" t="n">
        <v>45634</v>
      </c>
      <c r="E3144" s="14" t="n">
        <v>8516.7</v>
      </c>
      <c r="F3144" s="14" t="n">
        <v>43014.24</v>
      </c>
      <c r="G3144" s="6" t="s">
        <v>2613</v>
      </c>
    </row>
    <row r="3145" customFormat="false" ht="15" hidden="false" customHeight="true" outlineLevel="0" collapsed="false">
      <c r="A3145" s="6" t="s">
        <v>5757</v>
      </c>
      <c r="B3145" s="6" t="s">
        <v>793</v>
      </c>
      <c r="C3145" s="6" t="s">
        <v>128</v>
      </c>
      <c r="D3145" s="13" t="n">
        <v>45641</v>
      </c>
      <c r="E3145" s="14" t="n">
        <v>4947.62</v>
      </c>
      <c r="F3145" s="14" t="n">
        <v>47961.86</v>
      </c>
      <c r="G3145" s="6" t="s">
        <v>2613</v>
      </c>
    </row>
    <row r="3146" customFormat="false" ht="15" hidden="false" customHeight="true" outlineLevel="0" collapsed="false">
      <c r="A3146" s="6" t="s">
        <v>5758</v>
      </c>
      <c r="B3146" s="6" t="s">
        <v>793</v>
      </c>
      <c r="C3146" s="6" t="s">
        <v>128</v>
      </c>
      <c r="D3146" s="13" t="n">
        <v>45648</v>
      </c>
      <c r="E3146" s="14" t="n">
        <v>12507.01</v>
      </c>
      <c r="F3146" s="14" t="n">
        <v>60468.87</v>
      </c>
      <c r="G3146" s="6" t="s">
        <v>2613</v>
      </c>
    </row>
    <row r="3147" customFormat="false" ht="15" hidden="false" customHeight="true" outlineLevel="0" collapsed="false">
      <c r="A3147" s="6" t="s">
        <v>5759</v>
      </c>
      <c r="B3147" s="6" t="s">
        <v>795</v>
      </c>
      <c r="C3147" s="6" t="s">
        <v>124</v>
      </c>
      <c r="D3147" s="13" t="n">
        <v>45833</v>
      </c>
      <c r="E3147" s="14" t="n">
        <v>1599.48</v>
      </c>
      <c r="F3147" s="14" t="n">
        <v>1599.48</v>
      </c>
      <c r="G3147" s="6" t="s">
        <v>2613</v>
      </c>
    </row>
    <row r="3148" customFormat="false" ht="15" hidden="false" customHeight="true" outlineLevel="0" collapsed="false">
      <c r="A3148" s="6" t="s">
        <v>5760</v>
      </c>
      <c r="B3148" s="6" t="s">
        <v>795</v>
      </c>
      <c r="C3148" s="6" t="s">
        <v>124</v>
      </c>
      <c r="D3148" s="13" t="n">
        <v>45840</v>
      </c>
      <c r="E3148" s="14" t="n">
        <v>2014.33</v>
      </c>
      <c r="F3148" s="14" t="n">
        <v>3613.81</v>
      </c>
      <c r="G3148" s="6" t="s">
        <v>2613</v>
      </c>
    </row>
    <row r="3149" customFormat="false" ht="15" hidden="false" customHeight="true" outlineLevel="0" collapsed="false">
      <c r="A3149" s="6" t="s">
        <v>5761</v>
      </c>
      <c r="B3149" s="6" t="s">
        <v>795</v>
      </c>
      <c r="C3149" s="6" t="s">
        <v>124</v>
      </c>
      <c r="D3149" s="13" t="n">
        <v>45847</v>
      </c>
      <c r="E3149" s="14" t="n">
        <v>2563.68</v>
      </c>
      <c r="F3149" s="14" t="n">
        <v>6177.49</v>
      </c>
      <c r="G3149" s="6" t="s">
        <v>2613</v>
      </c>
    </row>
    <row r="3150" customFormat="false" ht="15" hidden="false" customHeight="true" outlineLevel="0" collapsed="false">
      <c r="A3150" s="6" t="s">
        <v>5762</v>
      </c>
      <c r="B3150" s="6" t="s">
        <v>795</v>
      </c>
      <c r="C3150" s="6" t="s">
        <v>124</v>
      </c>
      <c r="D3150" s="13" t="n">
        <v>45854</v>
      </c>
      <c r="E3150" s="14" t="n">
        <v>2203.01</v>
      </c>
      <c r="F3150" s="14" t="n">
        <v>8380.5</v>
      </c>
      <c r="G3150" s="6" t="s">
        <v>2613</v>
      </c>
    </row>
    <row r="3151" customFormat="false" ht="15" hidden="false" customHeight="true" outlineLevel="0" collapsed="false">
      <c r="A3151" s="6" t="s">
        <v>5763</v>
      </c>
      <c r="B3151" s="6" t="s">
        <v>795</v>
      </c>
      <c r="C3151" s="6" t="s">
        <v>124</v>
      </c>
      <c r="D3151" s="13" t="n">
        <v>45861</v>
      </c>
      <c r="E3151" s="14" t="n">
        <v>3122.42</v>
      </c>
      <c r="F3151" s="14" t="n">
        <v>11502.92</v>
      </c>
      <c r="G3151" s="6" t="s">
        <v>2613</v>
      </c>
    </row>
    <row r="3152" customFormat="false" ht="15" hidden="false" customHeight="true" outlineLevel="0" collapsed="false">
      <c r="A3152" s="6" t="s">
        <v>5764</v>
      </c>
      <c r="B3152" s="6" t="s">
        <v>795</v>
      </c>
      <c r="C3152" s="6" t="s">
        <v>124</v>
      </c>
      <c r="D3152" s="13" t="n">
        <v>45868</v>
      </c>
      <c r="E3152" s="14" t="n">
        <v>3171.38</v>
      </c>
      <c r="F3152" s="14" t="n">
        <v>14674.3</v>
      </c>
      <c r="G3152" s="6" t="s">
        <v>2613</v>
      </c>
    </row>
    <row r="3153" customFormat="false" ht="15" hidden="false" customHeight="true" outlineLevel="0" collapsed="false">
      <c r="A3153" s="6" t="s">
        <v>5765</v>
      </c>
      <c r="B3153" s="6" t="s">
        <v>795</v>
      </c>
      <c r="C3153" s="6" t="s">
        <v>124</v>
      </c>
      <c r="D3153" s="13" t="n">
        <v>45875</v>
      </c>
      <c r="E3153" s="14" t="n">
        <v>3346.1</v>
      </c>
      <c r="F3153" s="14" t="n">
        <v>18020.4</v>
      </c>
      <c r="G3153" s="6" t="s">
        <v>2613</v>
      </c>
    </row>
    <row r="3154" customFormat="false" ht="15" hidden="false" customHeight="true" outlineLevel="0" collapsed="false">
      <c r="A3154" s="6" t="s">
        <v>5766</v>
      </c>
      <c r="B3154" s="6" t="s">
        <v>795</v>
      </c>
      <c r="C3154" s="6" t="s">
        <v>124</v>
      </c>
      <c r="D3154" s="13" t="n">
        <v>45882</v>
      </c>
      <c r="E3154" s="14" t="n">
        <v>2498.3</v>
      </c>
      <c r="F3154" s="14" t="n">
        <v>20518.7</v>
      </c>
      <c r="G3154" s="6" t="s">
        <v>2613</v>
      </c>
    </row>
    <row r="3155" customFormat="false" ht="15" hidden="false" customHeight="true" outlineLevel="0" collapsed="false">
      <c r="A3155" s="6" t="s">
        <v>5767</v>
      </c>
      <c r="B3155" s="6" t="s">
        <v>797</v>
      </c>
      <c r="C3155" s="6" t="s">
        <v>124</v>
      </c>
      <c r="D3155" s="13" t="n">
        <v>44925</v>
      </c>
      <c r="E3155" s="14" t="n">
        <v>2190.37</v>
      </c>
      <c r="F3155" s="14" t="n">
        <v>2190.37</v>
      </c>
      <c r="G3155" s="6" t="s">
        <v>2613</v>
      </c>
    </row>
    <row r="3156" customFormat="false" ht="15" hidden="false" customHeight="true" outlineLevel="0" collapsed="false">
      <c r="A3156" s="6" t="s">
        <v>5768</v>
      </c>
      <c r="B3156" s="6" t="s">
        <v>797</v>
      </c>
      <c r="C3156" s="6" t="s">
        <v>124</v>
      </c>
      <c r="D3156" s="13" t="n">
        <v>44932</v>
      </c>
      <c r="E3156" s="14" t="n">
        <v>2571.39</v>
      </c>
      <c r="F3156" s="14" t="n">
        <v>4761.76</v>
      </c>
      <c r="G3156" s="6" t="s">
        <v>2613</v>
      </c>
    </row>
    <row r="3157" customFormat="false" ht="15" hidden="false" customHeight="true" outlineLevel="0" collapsed="false">
      <c r="A3157" s="6" t="s">
        <v>5769</v>
      </c>
      <c r="B3157" s="6" t="s">
        <v>797</v>
      </c>
      <c r="C3157" s="6" t="s">
        <v>124</v>
      </c>
      <c r="D3157" s="13" t="n">
        <v>44939</v>
      </c>
      <c r="E3157" s="14" t="n">
        <v>1947.31</v>
      </c>
      <c r="F3157" s="14" t="n">
        <v>6709.07</v>
      </c>
      <c r="G3157" s="6" t="s">
        <v>2613</v>
      </c>
    </row>
    <row r="3158" customFormat="false" ht="15" hidden="false" customHeight="true" outlineLevel="0" collapsed="false">
      <c r="A3158" s="6" t="s">
        <v>5770</v>
      </c>
      <c r="B3158" s="6" t="s">
        <v>797</v>
      </c>
      <c r="C3158" s="6" t="s">
        <v>124</v>
      </c>
      <c r="D3158" s="13" t="n">
        <v>44946</v>
      </c>
      <c r="E3158" s="14" t="n">
        <v>2012.56</v>
      </c>
      <c r="F3158" s="14" t="n">
        <v>8721.63</v>
      </c>
      <c r="G3158" s="6" t="s">
        <v>2613</v>
      </c>
    </row>
    <row r="3159" customFormat="false" ht="15" hidden="false" customHeight="true" outlineLevel="0" collapsed="false">
      <c r="A3159" s="6" t="s">
        <v>5771</v>
      </c>
      <c r="B3159" s="6" t="s">
        <v>797</v>
      </c>
      <c r="C3159" s="6" t="s">
        <v>124</v>
      </c>
      <c r="D3159" s="13" t="n">
        <v>44953</v>
      </c>
      <c r="E3159" s="14" t="n">
        <v>1771.7</v>
      </c>
      <c r="F3159" s="14" t="n">
        <v>10493.33</v>
      </c>
      <c r="G3159" s="6" t="s">
        <v>2613</v>
      </c>
    </row>
    <row r="3160" customFormat="false" ht="15" hidden="false" customHeight="true" outlineLevel="0" collapsed="false">
      <c r="A3160" s="6" t="s">
        <v>5772</v>
      </c>
      <c r="B3160" s="6" t="s">
        <v>797</v>
      </c>
      <c r="C3160" s="6" t="s">
        <v>124</v>
      </c>
      <c r="D3160" s="13" t="n">
        <v>44960</v>
      </c>
      <c r="E3160" s="14" t="n">
        <v>3027.66</v>
      </c>
      <c r="F3160" s="14" t="n">
        <v>13520.99</v>
      </c>
      <c r="G3160" s="6" t="s">
        <v>2613</v>
      </c>
    </row>
    <row r="3161" customFormat="false" ht="15" hidden="false" customHeight="true" outlineLevel="0" collapsed="false">
      <c r="A3161" s="6" t="s">
        <v>5773</v>
      </c>
      <c r="B3161" s="6" t="s">
        <v>797</v>
      </c>
      <c r="C3161" s="6" t="s">
        <v>124</v>
      </c>
      <c r="D3161" s="13" t="n">
        <v>44967</v>
      </c>
      <c r="E3161" s="14" t="n">
        <v>2587.57</v>
      </c>
      <c r="F3161" s="14" t="n">
        <v>16108.56</v>
      </c>
      <c r="G3161" s="6" t="s">
        <v>2613</v>
      </c>
    </row>
    <row r="3162" customFormat="false" ht="15" hidden="false" customHeight="true" outlineLevel="0" collapsed="false">
      <c r="A3162" s="6" t="s">
        <v>5774</v>
      </c>
      <c r="B3162" s="6" t="s">
        <v>797</v>
      </c>
      <c r="C3162" s="6" t="s">
        <v>124</v>
      </c>
      <c r="D3162" s="13" t="n">
        <v>44974</v>
      </c>
      <c r="E3162" s="14" t="n">
        <v>2755.69</v>
      </c>
      <c r="F3162" s="14" t="n">
        <v>18864.25</v>
      </c>
      <c r="G3162" s="6" t="s">
        <v>2613</v>
      </c>
    </row>
    <row r="3163" customFormat="false" ht="15" hidden="false" customHeight="true" outlineLevel="0" collapsed="false">
      <c r="A3163" s="6" t="s">
        <v>5775</v>
      </c>
      <c r="B3163" s="6" t="s">
        <v>797</v>
      </c>
      <c r="C3163" s="6" t="s">
        <v>124</v>
      </c>
      <c r="D3163" s="13" t="n">
        <v>44981</v>
      </c>
      <c r="E3163" s="14" t="n">
        <v>3030.26</v>
      </c>
      <c r="F3163" s="14" t="n">
        <v>21894.51</v>
      </c>
      <c r="G3163" s="6" t="s">
        <v>2613</v>
      </c>
    </row>
    <row r="3164" customFormat="false" ht="15" hidden="false" customHeight="true" outlineLevel="0" collapsed="false">
      <c r="A3164" s="6" t="s">
        <v>5776</v>
      </c>
      <c r="B3164" s="6" t="s">
        <v>797</v>
      </c>
      <c r="C3164" s="6" t="s">
        <v>124</v>
      </c>
      <c r="D3164" s="13" t="n">
        <v>44988</v>
      </c>
      <c r="E3164" s="14" t="n">
        <v>2155.28</v>
      </c>
      <c r="F3164" s="14" t="n">
        <v>24049.79</v>
      </c>
      <c r="G3164" s="6" t="s">
        <v>2613</v>
      </c>
    </row>
    <row r="3165" customFormat="false" ht="15" hidden="false" customHeight="true" outlineLevel="0" collapsed="false">
      <c r="A3165" s="6" t="s">
        <v>5777</v>
      </c>
      <c r="B3165" s="6" t="s">
        <v>797</v>
      </c>
      <c r="C3165" s="6" t="s">
        <v>124</v>
      </c>
      <c r="D3165" s="13" t="n">
        <v>44995</v>
      </c>
      <c r="E3165" s="14" t="n">
        <v>2518.56</v>
      </c>
      <c r="F3165" s="14" t="n">
        <v>26568.35</v>
      </c>
      <c r="G3165" s="6" t="s">
        <v>2623</v>
      </c>
    </row>
    <row r="3166" customFormat="false" ht="15" hidden="false" customHeight="true" outlineLevel="0" collapsed="false">
      <c r="A3166" s="6" t="s">
        <v>5778</v>
      </c>
      <c r="B3166" s="6" t="s">
        <v>797</v>
      </c>
      <c r="C3166" s="6" t="s">
        <v>124</v>
      </c>
      <c r="D3166" s="13" t="n">
        <v>45002</v>
      </c>
      <c r="E3166" s="14" t="n">
        <v>1816.79</v>
      </c>
      <c r="F3166" s="14" t="n">
        <v>28385.14</v>
      </c>
      <c r="G3166" s="6" t="s">
        <v>2613</v>
      </c>
    </row>
    <row r="3167" customFormat="false" ht="15" hidden="false" customHeight="true" outlineLevel="0" collapsed="false">
      <c r="A3167" s="6" t="s">
        <v>5779</v>
      </c>
      <c r="B3167" s="6" t="s">
        <v>797</v>
      </c>
      <c r="C3167" s="6" t="s">
        <v>124</v>
      </c>
      <c r="D3167" s="13" t="n">
        <v>45009</v>
      </c>
      <c r="E3167" s="14" t="n">
        <v>3226.4</v>
      </c>
      <c r="F3167" s="14" t="n">
        <v>31611.54</v>
      </c>
      <c r="G3167" s="6" t="s">
        <v>2613</v>
      </c>
    </row>
    <row r="3168" customFormat="false" ht="15" hidden="false" customHeight="true" outlineLevel="0" collapsed="false">
      <c r="A3168" s="6" t="s">
        <v>5780</v>
      </c>
      <c r="B3168" s="6" t="s">
        <v>797</v>
      </c>
      <c r="C3168" s="6" t="s">
        <v>124</v>
      </c>
      <c r="D3168" s="13" t="n">
        <v>45016</v>
      </c>
      <c r="E3168" s="14" t="n">
        <v>2420.65</v>
      </c>
      <c r="F3168" s="14" t="n">
        <v>34032.19</v>
      </c>
      <c r="G3168" s="6" t="s">
        <v>2613</v>
      </c>
    </row>
    <row r="3169" customFormat="false" ht="15" hidden="false" customHeight="true" outlineLevel="0" collapsed="false">
      <c r="A3169" s="6" t="s">
        <v>5781</v>
      </c>
      <c r="B3169" s="6" t="s">
        <v>797</v>
      </c>
      <c r="C3169" s="6" t="s">
        <v>124</v>
      </c>
      <c r="D3169" s="13" t="n">
        <v>45023</v>
      </c>
      <c r="E3169" s="14" t="n">
        <v>2564.77</v>
      </c>
      <c r="F3169" s="14" t="n">
        <v>36596.96</v>
      </c>
      <c r="G3169" s="6" t="s">
        <v>2613</v>
      </c>
    </row>
    <row r="3170" customFormat="false" ht="15" hidden="false" customHeight="true" outlineLevel="0" collapsed="false">
      <c r="A3170" s="6" t="s">
        <v>5782</v>
      </c>
      <c r="B3170" s="6" t="s">
        <v>797</v>
      </c>
      <c r="C3170" s="6" t="s">
        <v>124</v>
      </c>
      <c r="D3170" s="13" t="n">
        <v>45030</v>
      </c>
      <c r="E3170" s="14" t="n">
        <v>2140.8</v>
      </c>
      <c r="F3170" s="14" t="n">
        <v>38737.76</v>
      </c>
      <c r="G3170" s="6" t="s">
        <v>2613</v>
      </c>
    </row>
    <row r="3171" customFormat="false" ht="15" hidden="false" customHeight="true" outlineLevel="0" collapsed="false">
      <c r="A3171" s="6" t="s">
        <v>5783</v>
      </c>
      <c r="B3171" s="6" t="s">
        <v>797</v>
      </c>
      <c r="C3171" s="6" t="s">
        <v>124</v>
      </c>
      <c r="D3171" s="13" t="n">
        <v>45037</v>
      </c>
      <c r="E3171" s="14" t="n">
        <v>2539.52</v>
      </c>
      <c r="F3171" s="14" t="n">
        <v>41277.28</v>
      </c>
      <c r="G3171" s="6" t="s">
        <v>2613</v>
      </c>
    </row>
    <row r="3172" customFormat="false" ht="15" hidden="false" customHeight="true" outlineLevel="0" collapsed="false">
      <c r="A3172" s="6" t="s">
        <v>5784</v>
      </c>
      <c r="B3172" s="6" t="s">
        <v>799</v>
      </c>
      <c r="C3172" s="6" t="s">
        <v>116</v>
      </c>
      <c r="D3172" s="13" t="n">
        <v>44674</v>
      </c>
      <c r="E3172" s="14" t="n">
        <v>2554.97</v>
      </c>
      <c r="F3172" s="14" t="n">
        <v>2554.97</v>
      </c>
      <c r="G3172" s="6" t="s">
        <v>2613</v>
      </c>
    </row>
    <row r="3173" customFormat="false" ht="15" hidden="false" customHeight="true" outlineLevel="0" collapsed="false">
      <c r="A3173" s="6" t="s">
        <v>5785</v>
      </c>
      <c r="B3173" s="6" t="s">
        <v>799</v>
      </c>
      <c r="C3173" s="6" t="s">
        <v>116</v>
      </c>
      <c r="D3173" s="13" t="n">
        <v>44681</v>
      </c>
      <c r="E3173" s="14" t="n">
        <v>4386.56</v>
      </c>
      <c r="F3173" s="14" t="n">
        <v>6941.53</v>
      </c>
      <c r="G3173" s="6" t="s">
        <v>2613</v>
      </c>
    </row>
    <row r="3174" customFormat="false" ht="15" hidden="false" customHeight="true" outlineLevel="0" collapsed="false">
      <c r="A3174" s="6" t="s">
        <v>5786</v>
      </c>
      <c r="B3174" s="6" t="s">
        <v>799</v>
      </c>
      <c r="C3174" s="6" t="s">
        <v>116</v>
      </c>
      <c r="D3174" s="13" t="n">
        <v>44688</v>
      </c>
      <c r="E3174" s="14" t="n">
        <v>3812.1</v>
      </c>
      <c r="F3174" s="14" t="n">
        <v>10753.63</v>
      </c>
      <c r="G3174" s="6" t="s">
        <v>2623</v>
      </c>
    </row>
    <row r="3175" customFormat="false" ht="15" hidden="false" customHeight="true" outlineLevel="0" collapsed="false">
      <c r="A3175" s="6" t="s">
        <v>5787</v>
      </c>
      <c r="B3175" s="6" t="s">
        <v>799</v>
      </c>
      <c r="C3175" s="6" t="s">
        <v>116</v>
      </c>
      <c r="D3175" s="13" t="n">
        <v>44695</v>
      </c>
      <c r="E3175" s="14" t="n">
        <v>4253.31</v>
      </c>
      <c r="F3175" s="14" t="n">
        <v>15006.94</v>
      </c>
      <c r="G3175" s="6" t="s">
        <v>2613</v>
      </c>
    </row>
    <row r="3176" customFormat="false" ht="15" hidden="false" customHeight="true" outlineLevel="0" collapsed="false">
      <c r="A3176" s="6" t="s">
        <v>5788</v>
      </c>
      <c r="B3176" s="6" t="s">
        <v>799</v>
      </c>
      <c r="C3176" s="6" t="s">
        <v>116</v>
      </c>
      <c r="D3176" s="13" t="n">
        <v>44702</v>
      </c>
      <c r="E3176" s="14" t="n">
        <v>1387.52</v>
      </c>
      <c r="F3176" s="14" t="n">
        <v>16394.46</v>
      </c>
      <c r="G3176" s="6" t="s">
        <v>2623</v>
      </c>
    </row>
    <row r="3177" customFormat="false" ht="15" hidden="false" customHeight="true" outlineLevel="0" collapsed="false">
      <c r="A3177" s="6" t="s">
        <v>5789</v>
      </c>
      <c r="B3177" s="6" t="s">
        <v>801</v>
      </c>
      <c r="C3177" s="6" t="s">
        <v>128</v>
      </c>
      <c r="D3177" s="13" t="n">
        <v>45107</v>
      </c>
      <c r="E3177" s="14" t="n">
        <v>17533.53</v>
      </c>
      <c r="F3177" s="14" t="n">
        <v>17533.53</v>
      </c>
      <c r="G3177" s="6" t="s">
        <v>2613</v>
      </c>
    </row>
    <row r="3178" customFormat="false" ht="15" hidden="false" customHeight="true" outlineLevel="0" collapsed="false">
      <c r="A3178" s="6" t="s">
        <v>5790</v>
      </c>
      <c r="B3178" s="6" t="s">
        <v>801</v>
      </c>
      <c r="C3178" s="6" t="s">
        <v>128</v>
      </c>
      <c r="D3178" s="13" t="n">
        <v>45114</v>
      </c>
      <c r="E3178" s="14" t="n">
        <v>24517.91</v>
      </c>
      <c r="F3178" s="14" t="n">
        <v>42051.44</v>
      </c>
      <c r="G3178" s="6" t="s">
        <v>2623</v>
      </c>
    </row>
    <row r="3179" customFormat="false" ht="15" hidden="false" customHeight="true" outlineLevel="0" collapsed="false">
      <c r="A3179" s="6" t="s">
        <v>5791</v>
      </c>
      <c r="B3179" s="6" t="s">
        <v>801</v>
      </c>
      <c r="C3179" s="6" t="s">
        <v>128</v>
      </c>
      <c r="D3179" s="13" t="n">
        <v>45121</v>
      </c>
      <c r="E3179" s="14" t="n">
        <v>14282.91</v>
      </c>
      <c r="F3179" s="14" t="n">
        <v>56334.35</v>
      </c>
      <c r="G3179" s="6" t="s">
        <v>2613</v>
      </c>
    </row>
    <row r="3180" customFormat="false" ht="15" hidden="false" customHeight="true" outlineLevel="0" collapsed="false">
      <c r="A3180" s="6" t="s">
        <v>5792</v>
      </c>
      <c r="B3180" s="6" t="s">
        <v>801</v>
      </c>
      <c r="C3180" s="6" t="s">
        <v>128</v>
      </c>
      <c r="D3180" s="13" t="n">
        <v>45128</v>
      </c>
      <c r="E3180" s="14" t="n">
        <v>16159.53</v>
      </c>
      <c r="F3180" s="14" t="n">
        <v>72493.88</v>
      </c>
      <c r="G3180" s="6" t="s">
        <v>2613</v>
      </c>
    </row>
    <row r="3181" customFormat="false" ht="15" hidden="false" customHeight="true" outlineLevel="0" collapsed="false">
      <c r="A3181" s="6" t="s">
        <v>5793</v>
      </c>
      <c r="B3181" s="6" t="s">
        <v>801</v>
      </c>
      <c r="C3181" s="6" t="s">
        <v>128</v>
      </c>
      <c r="D3181" s="13" t="n">
        <v>45135</v>
      </c>
      <c r="E3181" s="14" t="n">
        <v>21055.75</v>
      </c>
      <c r="F3181" s="14" t="n">
        <v>93549.63</v>
      </c>
      <c r="G3181" s="6" t="s">
        <v>2613</v>
      </c>
    </row>
    <row r="3182" customFormat="false" ht="15" hidden="false" customHeight="true" outlineLevel="0" collapsed="false">
      <c r="A3182" s="6" t="s">
        <v>5794</v>
      </c>
      <c r="B3182" s="6" t="s">
        <v>803</v>
      </c>
      <c r="C3182" s="6" t="s">
        <v>112</v>
      </c>
      <c r="D3182" s="13" t="n">
        <v>44734</v>
      </c>
      <c r="E3182" s="14" t="n">
        <v>343.71</v>
      </c>
      <c r="F3182" s="14" t="n">
        <v>343.71</v>
      </c>
      <c r="G3182" s="6" t="s">
        <v>2613</v>
      </c>
    </row>
    <row r="3183" customFormat="false" ht="15" hidden="false" customHeight="true" outlineLevel="0" collapsed="false">
      <c r="A3183" s="6" t="s">
        <v>5795</v>
      </c>
      <c r="B3183" s="6" t="s">
        <v>803</v>
      </c>
      <c r="C3183" s="6" t="s">
        <v>112</v>
      </c>
      <c r="D3183" s="13" t="n">
        <v>44741</v>
      </c>
      <c r="E3183" s="14" t="n">
        <v>333.78</v>
      </c>
      <c r="F3183" s="14" t="n">
        <v>677.49</v>
      </c>
      <c r="G3183" s="6" t="s">
        <v>2613</v>
      </c>
    </row>
    <row r="3184" customFormat="false" ht="15" hidden="false" customHeight="true" outlineLevel="0" collapsed="false">
      <c r="A3184" s="6" t="s">
        <v>5796</v>
      </c>
      <c r="B3184" s="6" t="s">
        <v>803</v>
      </c>
      <c r="C3184" s="6" t="s">
        <v>112</v>
      </c>
      <c r="D3184" s="13" t="n">
        <v>44748</v>
      </c>
      <c r="E3184" s="14" t="n">
        <v>381.14</v>
      </c>
      <c r="F3184" s="14" t="n">
        <v>1058.63</v>
      </c>
      <c r="G3184" s="6" t="s">
        <v>2613</v>
      </c>
    </row>
    <row r="3185" customFormat="false" ht="15" hidden="false" customHeight="true" outlineLevel="0" collapsed="false">
      <c r="A3185" s="6" t="s">
        <v>5797</v>
      </c>
      <c r="B3185" s="6" t="s">
        <v>803</v>
      </c>
      <c r="C3185" s="6" t="s">
        <v>112</v>
      </c>
      <c r="D3185" s="13" t="n">
        <v>44755</v>
      </c>
      <c r="E3185" s="14" t="n">
        <v>479.76</v>
      </c>
      <c r="F3185" s="14" t="n">
        <v>1538.39</v>
      </c>
      <c r="G3185" s="6" t="s">
        <v>2613</v>
      </c>
    </row>
    <row r="3186" customFormat="false" ht="15" hidden="false" customHeight="true" outlineLevel="0" collapsed="false">
      <c r="A3186" s="6" t="s">
        <v>5798</v>
      </c>
      <c r="B3186" s="6" t="s">
        <v>803</v>
      </c>
      <c r="C3186" s="6" t="s">
        <v>112</v>
      </c>
      <c r="D3186" s="13" t="n">
        <v>44762</v>
      </c>
      <c r="E3186" s="14" t="n">
        <v>635.64</v>
      </c>
      <c r="F3186" s="14" t="n">
        <v>2174.03</v>
      </c>
      <c r="G3186" s="6" t="s">
        <v>2613</v>
      </c>
    </row>
    <row r="3187" customFormat="false" ht="15" hidden="false" customHeight="true" outlineLevel="0" collapsed="false">
      <c r="A3187" s="6" t="s">
        <v>5799</v>
      </c>
      <c r="B3187" s="6" t="s">
        <v>803</v>
      </c>
      <c r="C3187" s="6" t="s">
        <v>112</v>
      </c>
      <c r="D3187" s="13" t="n">
        <v>44769</v>
      </c>
      <c r="E3187" s="14" t="n">
        <v>657.05</v>
      </c>
      <c r="F3187" s="14" t="n">
        <v>2831.08</v>
      </c>
      <c r="G3187" s="6" t="s">
        <v>2623</v>
      </c>
    </row>
    <row r="3188" customFormat="false" ht="15" hidden="false" customHeight="true" outlineLevel="0" collapsed="false">
      <c r="A3188" s="6" t="s">
        <v>5800</v>
      </c>
      <c r="B3188" s="6" t="s">
        <v>803</v>
      </c>
      <c r="C3188" s="6" t="s">
        <v>112</v>
      </c>
      <c r="D3188" s="13" t="n">
        <v>44776</v>
      </c>
      <c r="E3188" s="14" t="n">
        <v>598.66</v>
      </c>
      <c r="F3188" s="14" t="n">
        <v>3429.74</v>
      </c>
      <c r="G3188" s="6" t="s">
        <v>2613</v>
      </c>
    </row>
    <row r="3189" customFormat="false" ht="15" hidden="false" customHeight="true" outlineLevel="0" collapsed="false">
      <c r="A3189" s="6" t="s">
        <v>5801</v>
      </c>
      <c r="B3189" s="6" t="s">
        <v>803</v>
      </c>
      <c r="C3189" s="6" t="s">
        <v>112</v>
      </c>
      <c r="D3189" s="13" t="n">
        <v>44783</v>
      </c>
      <c r="E3189" s="14" t="n">
        <v>478.4</v>
      </c>
      <c r="F3189" s="14" t="n">
        <v>3908.14</v>
      </c>
      <c r="G3189" s="6" t="s">
        <v>2613</v>
      </c>
    </row>
    <row r="3190" customFormat="false" ht="15" hidden="false" customHeight="true" outlineLevel="0" collapsed="false">
      <c r="A3190" s="6" t="s">
        <v>5802</v>
      </c>
      <c r="B3190" s="6" t="s">
        <v>805</v>
      </c>
      <c r="C3190" s="6" t="s">
        <v>124</v>
      </c>
      <c r="D3190" s="13" t="n">
        <v>45829</v>
      </c>
      <c r="E3190" s="14" t="n">
        <v>1011.52</v>
      </c>
      <c r="F3190" s="14" t="n">
        <v>1011.52</v>
      </c>
      <c r="G3190" s="6" t="s">
        <v>2613</v>
      </c>
    </row>
    <row r="3191" customFormat="false" ht="15" hidden="false" customHeight="true" outlineLevel="0" collapsed="false">
      <c r="A3191" s="6" t="s">
        <v>5803</v>
      </c>
      <c r="B3191" s="6" t="s">
        <v>805</v>
      </c>
      <c r="C3191" s="6" t="s">
        <v>124</v>
      </c>
      <c r="D3191" s="13" t="n">
        <v>45836</v>
      </c>
      <c r="E3191" s="14" t="n">
        <v>866.03</v>
      </c>
      <c r="F3191" s="14" t="n">
        <v>1877.55</v>
      </c>
      <c r="G3191" s="6" t="s">
        <v>2613</v>
      </c>
    </row>
    <row r="3192" customFormat="false" ht="15" hidden="false" customHeight="true" outlineLevel="0" collapsed="false">
      <c r="A3192" s="6" t="s">
        <v>5804</v>
      </c>
      <c r="B3192" s="6" t="s">
        <v>805</v>
      </c>
      <c r="C3192" s="6" t="s">
        <v>124</v>
      </c>
      <c r="D3192" s="13" t="n">
        <v>45843</v>
      </c>
      <c r="E3192" s="14" t="n">
        <v>1434.9</v>
      </c>
      <c r="F3192" s="14" t="n">
        <v>3312.45</v>
      </c>
      <c r="G3192" s="6" t="s">
        <v>2613</v>
      </c>
    </row>
    <row r="3193" customFormat="false" ht="15" hidden="false" customHeight="true" outlineLevel="0" collapsed="false">
      <c r="A3193" s="6" t="s">
        <v>5805</v>
      </c>
      <c r="B3193" s="6" t="s">
        <v>805</v>
      </c>
      <c r="C3193" s="6" t="s">
        <v>124</v>
      </c>
      <c r="D3193" s="13" t="n">
        <v>45850</v>
      </c>
      <c r="E3193" s="14" t="n">
        <v>1605.19</v>
      </c>
      <c r="F3193" s="14" t="n">
        <v>4917.64</v>
      </c>
      <c r="G3193" s="6" t="s">
        <v>2613</v>
      </c>
    </row>
    <row r="3194" customFormat="false" ht="15" hidden="false" customHeight="true" outlineLevel="0" collapsed="false">
      <c r="A3194" s="6" t="s">
        <v>5806</v>
      </c>
      <c r="B3194" s="6" t="s">
        <v>805</v>
      </c>
      <c r="C3194" s="6" t="s">
        <v>124</v>
      </c>
      <c r="D3194" s="13" t="n">
        <v>45857</v>
      </c>
      <c r="E3194" s="14" t="n">
        <v>1654.18</v>
      </c>
      <c r="F3194" s="14" t="n">
        <v>6571.82</v>
      </c>
      <c r="G3194" s="6" t="s">
        <v>2613</v>
      </c>
    </row>
    <row r="3195" customFormat="false" ht="15" hidden="false" customHeight="true" outlineLevel="0" collapsed="false">
      <c r="A3195" s="6" t="s">
        <v>5807</v>
      </c>
      <c r="B3195" s="6" t="s">
        <v>805</v>
      </c>
      <c r="C3195" s="6" t="s">
        <v>124</v>
      </c>
      <c r="D3195" s="13" t="n">
        <v>45864</v>
      </c>
      <c r="E3195" s="14" t="n">
        <v>1866.16</v>
      </c>
      <c r="F3195" s="14" t="n">
        <v>8437.98</v>
      </c>
      <c r="G3195" s="6" t="s">
        <v>2623</v>
      </c>
    </row>
    <row r="3196" customFormat="false" ht="15" hidden="false" customHeight="true" outlineLevel="0" collapsed="false">
      <c r="A3196" s="6" t="s">
        <v>5808</v>
      </c>
      <c r="B3196" s="6" t="s">
        <v>805</v>
      </c>
      <c r="C3196" s="6" t="s">
        <v>124</v>
      </c>
      <c r="D3196" s="13" t="n">
        <v>45871</v>
      </c>
      <c r="E3196" s="14" t="n">
        <v>1575.55</v>
      </c>
      <c r="F3196" s="14" t="n">
        <v>10013.53</v>
      </c>
      <c r="G3196" s="6" t="s">
        <v>2613</v>
      </c>
    </row>
    <row r="3197" customFormat="false" ht="15" hidden="false" customHeight="true" outlineLevel="0" collapsed="false">
      <c r="A3197" s="6" t="s">
        <v>5809</v>
      </c>
      <c r="B3197" s="6" t="s">
        <v>805</v>
      </c>
      <c r="C3197" s="6" t="s">
        <v>124</v>
      </c>
      <c r="D3197" s="13" t="n">
        <v>45878</v>
      </c>
      <c r="E3197" s="14" t="n">
        <v>886.07</v>
      </c>
      <c r="F3197" s="14" t="n">
        <v>10899.6</v>
      </c>
      <c r="G3197" s="6" t="s">
        <v>2613</v>
      </c>
    </row>
    <row r="3198" customFormat="false" ht="15" hidden="false" customHeight="true" outlineLevel="0" collapsed="false">
      <c r="A3198" s="6" t="s">
        <v>5810</v>
      </c>
      <c r="B3198" s="6" t="s">
        <v>805</v>
      </c>
      <c r="C3198" s="6" t="s">
        <v>124</v>
      </c>
      <c r="D3198" s="13" t="n">
        <v>45885</v>
      </c>
      <c r="E3198" s="14" t="n">
        <v>1159.59</v>
      </c>
      <c r="F3198" s="14" t="n">
        <v>12059.19</v>
      </c>
      <c r="G3198" s="6" t="s">
        <v>2613</v>
      </c>
    </row>
    <row r="3199" customFormat="false" ht="15" hidden="false" customHeight="true" outlineLevel="0" collapsed="false">
      <c r="A3199" s="6" t="s">
        <v>5811</v>
      </c>
      <c r="B3199" s="6" t="s">
        <v>807</v>
      </c>
      <c r="C3199" s="6" t="s">
        <v>112</v>
      </c>
      <c r="D3199" s="13" t="n">
        <v>45081</v>
      </c>
      <c r="E3199" s="14" t="n">
        <v>2026</v>
      </c>
      <c r="F3199" s="14" t="n">
        <v>2026</v>
      </c>
      <c r="G3199" s="6" t="s">
        <v>2613</v>
      </c>
    </row>
    <row r="3200" customFormat="false" ht="15" hidden="false" customHeight="true" outlineLevel="0" collapsed="false">
      <c r="A3200" s="6" t="s">
        <v>5812</v>
      </c>
      <c r="B3200" s="6" t="s">
        <v>807</v>
      </c>
      <c r="C3200" s="6" t="s">
        <v>112</v>
      </c>
      <c r="D3200" s="13" t="n">
        <v>45088</v>
      </c>
      <c r="E3200" s="14" t="n">
        <v>2293.83</v>
      </c>
      <c r="F3200" s="14" t="n">
        <v>4319.83</v>
      </c>
      <c r="G3200" s="6" t="s">
        <v>2613</v>
      </c>
    </row>
    <row r="3201" customFormat="false" ht="15" hidden="false" customHeight="true" outlineLevel="0" collapsed="false">
      <c r="A3201" s="6" t="s">
        <v>5813</v>
      </c>
      <c r="B3201" s="6" t="s">
        <v>807</v>
      </c>
      <c r="C3201" s="6" t="s">
        <v>112</v>
      </c>
      <c r="D3201" s="13" t="n">
        <v>45095</v>
      </c>
      <c r="E3201" s="14" t="n">
        <v>1661.64</v>
      </c>
      <c r="F3201" s="14" t="n">
        <v>5981.47</v>
      </c>
      <c r="G3201" s="6" t="s">
        <v>2613</v>
      </c>
    </row>
    <row r="3202" customFormat="false" ht="15" hidden="false" customHeight="true" outlineLevel="0" collapsed="false">
      <c r="A3202" s="6" t="s">
        <v>5814</v>
      </c>
      <c r="B3202" s="6" t="s">
        <v>807</v>
      </c>
      <c r="C3202" s="6" t="s">
        <v>112</v>
      </c>
      <c r="D3202" s="13" t="n">
        <v>45102</v>
      </c>
      <c r="E3202" s="14" t="n">
        <v>1554.99</v>
      </c>
      <c r="F3202" s="14" t="n">
        <v>7536.46</v>
      </c>
      <c r="G3202" s="6" t="s">
        <v>2613</v>
      </c>
    </row>
    <row r="3203" customFormat="false" ht="15" hidden="false" customHeight="true" outlineLevel="0" collapsed="false">
      <c r="A3203" s="6" t="s">
        <v>5815</v>
      </c>
      <c r="B3203" s="6" t="s">
        <v>807</v>
      </c>
      <c r="C3203" s="6" t="s">
        <v>112</v>
      </c>
      <c r="D3203" s="13" t="n">
        <v>45109</v>
      </c>
      <c r="E3203" s="14" t="n">
        <v>2253.92</v>
      </c>
      <c r="F3203" s="14" t="n">
        <v>9790.38</v>
      </c>
      <c r="G3203" s="6" t="s">
        <v>2613</v>
      </c>
    </row>
    <row r="3204" customFormat="false" ht="15" hidden="false" customHeight="true" outlineLevel="0" collapsed="false">
      <c r="A3204" s="6" t="s">
        <v>5816</v>
      </c>
      <c r="B3204" s="6" t="s">
        <v>807</v>
      </c>
      <c r="C3204" s="6" t="s">
        <v>112</v>
      </c>
      <c r="D3204" s="13" t="n">
        <v>45116</v>
      </c>
      <c r="E3204" s="14" t="n">
        <v>2287.34</v>
      </c>
      <c r="F3204" s="14" t="n">
        <v>12077.72</v>
      </c>
      <c r="G3204" s="6" t="s">
        <v>2613</v>
      </c>
    </row>
    <row r="3205" customFormat="false" ht="15" hidden="false" customHeight="true" outlineLevel="0" collapsed="false">
      <c r="A3205" s="6" t="s">
        <v>5817</v>
      </c>
      <c r="B3205" s="6" t="s">
        <v>807</v>
      </c>
      <c r="C3205" s="6" t="s">
        <v>112</v>
      </c>
      <c r="D3205" s="13" t="n">
        <v>45123</v>
      </c>
      <c r="E3205" s="14" t="n">
        <v>1797.9</v>
      </c>
      <c r="F3205" s="14" t="n">
        <v>13875.62</v>
      </c>
      <c r="G3205" s="6" t="s">
        <v>2613</v>
      </c>
    </row>
    <row r="3206" customFormat="false" ht="15" hidden="false" customHeight="true" outlineLevel="0" collapsed="false">
      <c r="A3206" s="6" t="s">
        <v>5818</v>
      </c>
      <c r="B3206" s="6" t="s">
        <v>807</v>
      </c>
      <c r="C3206" s="6" t="s">
        <v>112</v>
      </c>
      <c r="D3206" s="13" t="n">
        <v>45130</v>
      </c>
      <c r="E3206" s="14" t="n">
        <v>1526.73</v>
      </c>
      <c r="F3206" s="14" t="n">
        <v>15402.35</v>
      </c>
      <c r="G3206" s="6" t="s">
        <v>2613</v>
      </c>
    </row>
    <row r="3207" customFormat="false" ht="15" hidden="false" customHeight="true" outlineLevel="0" collapsed="false">
      <c r="A3207" s="6" t="s">
        <v>5819</v>
      </c>
      <c r="B3207" s="6" t="s">
        <v>807</v>
      </c>
      <c r="C3207" s="6" t="s">
        <v>112</v>
      </c>
      <c r="D3207" s="13" t="n">
        <v>45137</v>
      </c>
      <c r="E3207" s="14" t="n">
        <v>2367.51</v>
      </c>
      <c r="F3207" s="14" t="n">
        <v>17769.86</v>
      </c>
      <c r="G3207" s="6" t="s">
        <v>2613</v>
      </c>
    </row>
    <row r="3208" customFormat="false" ht="15" hidden="false" customHeight="true" outlineLevel="0" collapsed="false">
      <c r="A3208" s="6" t="s">
        <v>5820</v>
      </c>
      <c r="B3208" s="6" t="s">
        <v>807</v>
      </c>
      <c r="C3208" s="6" t="s">
        <v>112</v>
      </c>
      <c r="D3208" s="13" t="n">
        <v>45144</v>
      </c>
      <c r="E3208" s="14" t="n">
        <v>1153.36</v>
      </c>
      <c r="F3208" s="14" t="n">
        <v>18923.22</v>
      </c>
      <c r="G3208" s="6" t="s">
        <v>2613</v>
      </c>
    </row>
    <row r="3209" customFormat="false" ht="15" hidden="false" customHeight="true" outlineLevel="0" collapsed="false">
      <c r="A3209" s="6" t="s">
        <v>5821</v>
      </c>
      <c r="B3209" s="6" t="s">
        <v>807</v>
      </c>
      <c r="C3209" s="6" t="s">
        <v>112</v>
      </c>
      <c r="D3209" s="13" t="n">
        <v>45151</v>
      </c>
      <c r="E3209" s="14" t="n">
        <v>2215.57</v>
      </c>
      <c r="F3209" s="14" t="n">
        <v>21138.79</v>
      </c>
      <c r="G3209" s="6" t="s">
        <v>2613</v>
      </c>
    </row>
    <row r="3210" customFormat="false" ht="15" hidden="false" customHeight="true" outlineLevel="0" collapsed="false">
      <c r="A3210" s="6" t="s">
        <v>5822</v>
      </c>
      <c r="B3210" s="6" t="s">
        <v>807</v>
      </c>
      <c r="C3210" s="6" t="s">
        <v>112</v>
      </c>
      <c r="D3210" s="13" t="n">
        <v>45158</v>
      </c>
      <c r="E3210" s="14" t="n">
        <v>1468.68</v>
      </c>
      <c r="F3210" s="14" t="n">
        <v>22607.47</v>
      </c>
      <c r="G3210" s="6" t="s">
        <v>2613</v>
      </c>
    </row>
    <row r="3211" customFormat="false" ht="15" hidden="false" customHeight="true" outlineLevel="0" collapsed="false">
      <c r="A3211" s="6" t="s">
        <v>5823</v>
      </c>
      <c r="B3211" s="6" t="s">
        <v>807</v>
      </c>
      <c r="C3211" s="6" t="s">
        <v>112</v>
      </c>
      <c r="D3211" s="13" t="n">
        <v>45165</v>
      </c>
      <c r="E3211" s="14" t="n">
        <v>1215.03</v>
      </c>
      <c r="F3211" s="14" t="n">
        <v>23822.5</v>
      </c>
      <c r="G3211" s="6" t="s">
        <v>2613</v>
      </c>
    </row>
    <row r="3212" customFormat="false" ht="15" hidden="false" customHeight="true" outlineLevel="0" collapsed="false">
      <c r="A3212" s="6" t="s">
        <v>5824</v>
      </c>
      <c r="B3212" s="6" t="s">
        <v>807</v>
      </c>
      <c r="C3212" s="6" t="s">
        <v>112</v>
      </c>
      <c r="D3212" s="13" t="n">
        <v>45172</v>
      </c>
      <c r="E3212" s="14" t="n">
        <v>2141.11</v>
      </c>
      <c r="F3212" s="14" t="n">
        <v>25963.61</v>
      </c>
      <c r="G3212" s="6" t="s">
        <v>2623</v>
      </c>
    </row>
    <row r="3213" customFormat="false" ht="15" hidden="false" customHeight="true" outlineLevel="0" collapsed="false">
      <c r="A3213" s="6" t="s">
        <v>5825</v>
      </c>
      <c r="B3213" s="6" t="s">
        <v>807</v>
      </c>
      <c r="C3213" s="6" t="s">
        <v>112</v>
      </c>
      <c r="D3213" s="13" t="n">
        <v>45179</v>
      </c>
      <c r="E3213" s="14" t="n">
        <v>1371.46</v>
      </c>
      <c r="F3213" s="14" t="n">
        <v>27335.07</v>
      </c>
      <c r="G3213" s="6" t="s">
        <v>2613</v>
      </c>
    </row>
    <row r="3214" customFormat="false" ht="15" hidden="false" customHeight="true" outlineLevel="0" collapsed="false">
      <c r="A3214" s="6" t="s">
        <v>5826</v>
      </c>
      <c r="B3214" s="6" t="s">
        <v>807</v>
      </c>
      <c r="C3214" s="6" t="s">
        <v>112</v>
      </c>
      <c r="D3214" s="13" t="n">
        <v>45186</v>
      </c>
      <c r="E3214" s="14" t="n">
        <v>2108.05</v>
      </c>
      <c r="F3214" s="14" t="n">
        <v>29443.12</v>
      </c>
      <c r="G3214" s="6" t="s">
        <v>2613</v>
      </c>
    </row>
    <row r="3215" customFormat="false" ht="15" hidden="false" customHeight="true" outlineLevel="0" collapsed="false">
      <c r="A3215" s="6" t="s">
        <v>5827</v>
      </c>
      <c r="B3215" s="6" t="s">
        <v>807</v>
      </c>
      <c r="C3215" s="6" t="s">
        <v>112</v>
      </c>
      <c r="D3215" s="13" t="n">
        <v>45193</v>
      </c>
      <c r="E3215" s="14" t="n">
        <v>1073.78</v>
      </c>
      <c r="F3215" s="14" t="n">
        <v>30516.9</v>
      </c>
      <c r="G3215" s="6" t="s">
        <v>2613</v>
      </c>
    </row>
    <row r="3216" customFormat="false" ht="15" hidden="false" customHeight="true" outlineLevel="0" collapsed="false">
      <c r="A3216" s="6" t="s">
        <v>5828</v>
      </c>
      <c r="B3216" s="6" t="s">
        <v>807</v>
      </c>
      <c r="C3216" s="6" t="s">
        <v>112</v>
      </c>
      <c r="D3216" s="13" t="n">
        <v>45200</v>
      </c>
      <c r="E3216" s="14" t="n">
        <v>1420.45</v>
      </c>
      <c r="F3216" s="14" t="n">
        <v>31937.35</v>
      </c>
      <c r="G3216" s="6" t="s">
        <v>2613</v>
      </c>
    </row>
    <row r="3217" customFormat="false" ht="15" hidden="false" customHeight="true" outlineLevel="0" collapsed="false">
      <c r="A3217" s="6" t="s">
        <v>5829</v>
      </c>
      <c r="B3217" s="6" t="s">
        <v>807</v>
      </c>
      <c r="C3217" s="6" t="s">
        <v>112</v>
      </c>
      <c r="D3217" s="13" t="n">
        <v>45207</v>
      </c>
      <c r="E3217" s="14" t="n">
        <v>1462.38</v>
      </c>
      <c r="F3217" s="14" t="n">
        <v>33399.73</v>
      </c>
      <c r="G3217" s="6" t="s">
        <v>2613</v>
      </c>
    </row>
    <row r="3218" customFormat="false" ht="15" hidden="false" customHeight="true" outlineLevel="0" collapsed="false">
      <c r="A3218" s="6" t="s">
        <v>5830</v>
      </c>
      <c r="B3218" s="6" t="s">
        <v>807</v>
      </c>
      <c r="C3218" s="6" t="s">
        <v>112</v>
      </c>
      <c r="D3218" s="13" t="n">
        <v>45214</v>
      </c>
      <c r="E3218" s="14" t="n">
        <v>1127.29</v>
      </c>
      <c r="F3218" s="14" t="n">
        <v>34527.02</v>
      </c>
      <c r="G3218" s="6" t="s">
        <v>2613</v>
      </c>
    </row>
    <row r="3219" customFormat="false" ht="15" hidden="false" customHeight="true" outlineLevel="0" collapsed="false">
      <c r="A3219" s="6" t="s">
        <v>5831</v>
      </c>
      <c r="B3219" s="6" t="s">
        <v>807</v>
      </c>
      <c r="C3219" s="6" t="s">
        <v>112</v>
      </c>
      <c r="D3219" s="13" t="n">
        <v>45221</v>
      </c>
      <c r="E3219" s="14" t="n">
        <v>2018.05</v>
      </c>
      <c r="F3219" s="14" t="n">
        <v>36545.07</v>
      </c>
      <c r="G3219" s="6" t="s">
        <v>2613</v>
      </c>
    </row>
    <row r="3220" customFormat="false" ht="15" hidden="false" customHeight="true" outlineLevel="0" collapsed="false">
      <c r="A3220" s="6" t="s">
        <v>5832</v>
      </c>
      <c r="B3220" s="6" t="s">
        <v>809</v>
      </c>
      <c r="C3220" s="6" t="s">
        <v>112</v>
      </c>
      <c r="D3220" s="13" t="n">
        <v>44622</v>
      </c>
      <c r="E3220" s="14" t="n">
        <v>3715.27</v>
      </c>
      <c r="F3220" s="14" t="n">
        <v>3715.27</v>
      </c>
      <c r="G3220" s="6" t="s">
        <v>2613</v>
      </c>
    </row>
    <row r="3221" customFormat="false" ht="15" hidden="false" customHeight="true" outlineLevel="0" collapsed="false">
      <c r="A3221" s="6" t="s">
        <v>5833</v>
      </c>
      <c r="B3221" s="6" t="s">
        <v>809</v>
      </c>
      <c r="C3221" s="6" t="s">
        <v>112</v>
      </c>
      <c r="D3221" s="13" t="n">
        <v>44629</v>
      </c>
      <c r="E3221" s="14" t="n">
        <v>3463.24</v>
      </c>
      <c r="F3221" s="14" t="n">
        <v>7178.51</v>
      </c>
      <c r="G3221" s="6" t="s">
        <v>2613</v>
      </c>
    </row>
    <row r="3222" customFormat="false" ht="15" hidden="false" customHeight="true" outlineLevel="0" collapsed="false">
      <c r="A3222" s="6" t="s">
        <v>5834</v>
      </c>
      <c r="B3222" s="6" t="s">
        <v>809</v>
      </c>
      <c r="C3222" s="6" t="s">
        <v>112</v>
      </c>
      <c r="D3222" s="13" t="n">
        <v>44636</v>
      </c>
      <c r="E3222" s="14" t="n">
        <v>3305.94</v>
      </c>
      <c r="F3222" s="14" t="n">
        <v>10484.45</v>
      </c>
      <c r="G3222" s="6" t="s">
        <v>2623</v>
      </c>
    </row>
    <row r="3223" customFormat="false" ht="15" hidden="false" customHeight="true" outlineLevel="0" collapsed="false">
      <c r="A3223" s="6" t="s">
        <v>5835</v>
      </c>
      <c r="B3223" s="6" t="s">
        <v>809</v>
      </c>
      <c r="C3223" s="6" t="s">
        <v>112</v>
      </c>
      <c r="D3223" s="13" t="n">
        <v>44643</v>
      </c>
      <c r="E3223" s="14" t="n">
        <v>5047.74</v>
      </c>
      <c r="F3223" s="14" t="n">
        <v>15532.19</v>
      </c>
      <c r="G3223" s="6" t="s">
        <v>2613</v>
      </c>
    </row>
    <row r="3224" customFormat="false" ht="15" hidden="false" customHeight="true" outlineLevel="0" collapsed="false">
      <c r="A3224" s="6" t="s">
        <v>5836</v>
      </c>
      <c r="B3224" s="6" t="s">
        <v>809</v>
      </c>
      <c r="C3224" s="6" t="s">
        <v>112</v>
      </c>
      <c r="D3224" s="13" t="n">
        <v>44650</v>
      </c>
      <c r="E3224" s="14" t="n">
        <v>5526.45</v>
      </c>
      <c r="F3224" s="14" t="n">
        <v>21058.64</v>
      </c>
      <c r="G3224" s="6" t="s">
        <v>2613</v>
      </c>
    </row>
    <row r="3225" customFormat="false" ht="15" hidden="false" customHeight="true" outlineLevel="0" collapsed="false">
      <c r="A3225" s="6" t="s">
        <v>5837</v>
      </c>
      <c r="B3225" s="6" t="s">
        <v>809</v>
      </c>
      <c r="C3225" s="6" t="s">
        <v>112</v>
      </c>
      <c r="D3225" s="13" t="n">
        <v>44657</v>
      </c>
      <c r="E3225" s="14" t="n">
        <v>5741.33</v>
      </c>
      <c r="F3225" s="14" t="n">
        <v>26799.97</v>
      </c>
      <c r="G3225" s="6" t="s">
        <v>2613</v>
      </c>
    </row>
    <row r="3226" customFormat="false" ht="15" hidden="false" customHeight="true" outlineLevel="0" collapsed="false">
      <c r="A3226" s="6" t="s">
        <v>5838</v>
      </c>
      <c r="B3226" s="6" t="s">
        <v>809</v>
      </c>
      <c r="C3226" s="6" t="s">
        <v>112</v>
      </c>
      <c r="D3226" s="13" t="n">
        <v>44664</v>
      </c>
      <c r="E3226" s="14" t="n">
        <v>5326.88</v>
      </c>
      <c r="F3226" s="14" t="n">
        <v>32126.85</v>
      </c>
      <c r="G3226" s="6" t="s">
        <v>2613</v>
      </c>
    </row>
    <row r="3227" customFormat="false" ht="15" hidden="false" customHeight="true" outlineLevel="0" collapsed="false">
      <c r="A3227" s="6" t="s">
        <v>5839</v>
      </c>
      <c r="B3227" s="6" t="s">
        <v>809</v>
      </c>
      <c r="C3227" s="6" t="s">
        <v>112</v>
      </c>
      <c r="D3227" s="13" t="n">
        <v>44671</v>
      </c>
      <c r="E3227" s="14" t="n">
        <v>2076.91</v>
      </c>
      <c r="F3227" s="14" t="n">
        <v>34203.76</v>
      </c>
      <c r="G3227" s="6" t="s">
        <v>2613</v>
      </c>
    </row>
    <row r="3228" customFormat="false" ht="15" hidden="false" customHeight="true" outlineLevel="0" collapsed="false">
      <c r="A3228" s="6" t="s">
        <v>5840</v>
      </c>
      <c r="B3228" s="6" t="s">
        <v>811</v>
      </c>
      <c r="C3228" s="6" t="s">
        <v>131</v>
      </c>
      <c r="D3228" s="13" t="n">
        <v>44839</v>
      </c>
      <c r="E3228" s="14" t="n">
        <v>2326.05</v>
      </c>
      <c r="F3228" s="14" t="n">
        <v>2326.05</v>
      </c>
      <c r="G3228" s="6" t="s">
        <v>2613</v>
      </c>
    </row>
    <row r="3229" customFormat="false" ht="15" hidden="false" customHeight="true" outlineLevel="0" collapsed="false">
      <c r="A3229" s="6" t="s">
        <v>5841</v>
      </c>
      <c r="B3229" s="6" t="s">
        <v>811</v>
      </c>
      <c r="C3229" s="6" t="s">
        <v>131</v>
      </c>
      <c r="D3229" s="13" t="n">
        <v>44846</v>
      </c>
      <c r="E3229" s="14" t="n">
        <v>2839.46</v>
      </c>
      <c r="F3229" s="14" t="n">
        <v>5165.51</v>
      </c>
      <c r="G3229" s="6" t="s">
        <v>2613</v>
      </c>
    </row>
    <row r="3230" customFormat="false" ht="15" hidden="false" customHeight="true" outlineLevel="0" collapsed="false">
      <c r="A3230" s="6" t="s">
        <v>5842</v>
      </c>
      <c r="B3230" s="6" t="s">
        <v>811</v>
      </c>
      <c r="C3230" s="6" t="s">
        <v>131</v>
      </c>
      <c r="D3230" s="13" t="n">
        <v>44853</v>
      </c>
      <c r="E3230" s="14" t="n">
        <v>1698.06</v>
      </c>
      <c r="F3230" s="14" t="n">
        <v>6863.57</v>
      </c>
      <c r="G3230" s="6" t="s">
        <v>2613</v>
      </c>
    </row>
    <row r="3231" customFormat="false" ht="15" hidden="false" customHeight="true" outlineLevel="0" collapsed="false">
      <c r="A3231" s="6" t="s">
        <v>5843</v>
      </c>
      <c r="B3231" s="6" t="s">
        <v>811</v>
      </c>
      <c r="C3231" s="6" t="s">
        <v>131</v>
      </c>
      <c r="D3231" s="13" t="n">
        <v>44860</v>
      </c>
      <c r="E3231" s="14" t="n">
        <v>1280.43</v>
      </c>
      <c r="F3231" s="14" t="n">
        <v>8144</v>
      </c>
      <c r="G3231" s="6" t="s">
        <v>2613</v>
      </c>
    </row>
    <row r="3232" customFormat="false" ht="15" hidden="false" customHeight="true" outlineLevel="0" collapsed="false">
      <c r="A3232" s="6" t="s">
        <v>5844</v>
      </c>
      <c r="B3232" s="6" t="s">
        <v>811</v>
      </c>
      <c r="C3232" s="6" t="s">
        <v>131</v>
      </c>
      <c r="D3232" s="13" t="n">
        <v>44867</v>
      </c>
      <c r="E3232" s="14" t="n">
        <v>1654.1</v>
      </c>
      <c r="F3232" s="14" t="n">
        <v>9798.1</v>
      </c>
      <c r="G3232" s="6" t="s">
        <v>2613</v>
      </c>
    </row>
    <row r="3233" customFormat="false" ht="15" hidden="false" customHeight="true" outlineLevel="0" collapsed="false">
      <c r="A3233" s="6" t="s">
        <v>5845</v>
      </c>
      <c r="B3233" s="6" t="s">
        <v>811</v>
      </c>
      <c r="C3233" s="6" t="s">
        <v>131</v>
      </c>
      <c r="D3233" s="13" t="n">
        <v>44874</v>
      </c>
      <c r="E3233" s="14" t="n">
        <v>2278.04</v>
      </c>
      <c r="F3233" s="14" t="n">
        <v>12076.14</v>
      </c>
      <c r="G3233" s="6" t="s">
        <v>2613</v>
      </c>
    </row>
    <row r="3234" customFormat="false" ht="15" hidden="false" customHeight="true" outlineLevel="0" collapsed="false">
      <c r="A3234" s="6" t="s">
        <v>5846</v>
      </c>
      <c r="B3234" s="6" t="s">
        <v>811</v>
      </c>
      <c r="C3234" s="6" t="s">
        <v>131</v>
      </c>
      <c r="D3234" s="13" t="n">
        <v>44881</v>
      </c>
      <c r="E3234" s="14" t="n">
        <v>1237.78</v>
      </c>
      <c r="F3234" s="14" t="n">
        <v>13313.92</v>
      </c>
      <c r="G3234" s="6" t="s">
        <v>2613</v>
      </c>
    </row>
    <row r="3235" customFormat="false" ht="15" hidden="false" customHeight="true" outlineLevel="0" collapsed="false">
      <c r="A3235" s="6" t="s">
        <v>5847</v>
      </c>
      <c r="B3235" s="6" t="s">
        <v>811</v>
      </c>
      <c r="C3235" s="6" t="s">
        <v>131</v>
      </c>
      <c r="D3235" s="13" t="n">
        <v>44888</v>
      </c>
      <c r="E3235" s="14" t="n">
        <v>2922.67</v>
      </c>
      <c r="F3235" s="14" t="n">
        <v>16236.59</v>
      </c>
      <c r="G3235" s="6" t="s">
        <v>2613</v>
      </c>
    </row>
    <row r="3236" customFormat="false" ht="15" hidden="false" customHeight="true" outlineLevel="0" collapsed="false">
      <c r="A3236" s="6" t="s">
        <v>5848</v>
      </c>
      <c r="B3236" s="6" t="s">
        <v>813</v>
      </c>
      <c r="C3236" s="6" t="s">
        <v>120</v>
      </c>
      <c r="D3236" s="13" t="n">
        <v>44731</v>
      </c>
      <c r="E3236" s="14" t="n">
        <v>1291.96</v>
      </c>
      <c r="F3236" s="14" t="n">
        <v>1291.96</v>
      </c>
      <c r="G3236" s="6" t="s">
        <v>2623</v>
      </c>
    </row>
    <row r="3237" customFormat="false" ht="15" hidden="false" customHeight="true" outlineLevel="0" collapsed="false">
      <c r="A3237" s="6" t="s">
        <v>5849</v>
      </c>
      <c r="B3237" s="6" t="s">
        <v>813</v>
      </c>
      <c r="C3237" s="6" t="s">
        <v>120</v>
      </c>
      <c r="D3237" s="13" t="n">
        <v>44738</v>
      </c>
      <c r="E3237" s="14" t="n">
        <v>1128.99</v>
      </c>
      <c r="F3237" s="14" t="n">
        <v>2420.95</v>
      </c>
      <c r="G3237" s="6" t="s">
        <v>2613</v>
      </c>
    </row>
    <row r="3238" customFormat="false" ht="15" hidden="false" customHeight="true" outlineLevel="0" collapsed="false">
      <c r="A3238" s="6" t="s">
        <v>5850</v>
      </c>
      <c r="B3238" s="6" t="s">
        <v>813</v>
      </c>
      <c r="C3238" s="6" t="s">
        <v>120</v>
      </c>
      <c r="D3238" s="13" t="n">
        <v>44745</v>
      </c>
      <c r="E3238" s="14" t="n">
        <v>1245.97</v>
      </c>
      <c r="F3238" s="14" t="n">
        <v>3666.92</v>
      </c>
      <c r="G3238" s="6" t="s">
        <v>2613</v>
      </c>
    </row>
    <row r="3239" customFormat="false" ht="15" hidden="false" customHeight="true" outlineLevel="0" collapsed="false">
      <c r="A3239" s="6" t="s">
        <v>5851</v>
      </c>
      <c r="B3239" s="6" t="s">
        <v>813</v>
      </c>
      <c r="C3239" s="6" t="s">
        <v>120</v>
      </c>
      <c r="D3239" s="13" t="n">
        <v>44752</v>
      </c>
      <c r="E3239" s="14" t="n">
        <v>1065.14</v>
      </c>
      <c r="F3239" s="14" t="n">
        <v>4732.06</v>
      </c>
      <c r="G3239" s="6" t="s">
        <v>2613</v>
      </c>
    </row>
    <row r="3240" customFormat="false" ht="15" hidden="false" customHeight="true" outlineLevel="0" collapsed="false">
      <c r="A3240" s="6" t="s">
        <v>5852</v>
      </c>
      <c r="B3240" s="6" t="s">
        <v>813</v>
      </c>
      <c r="C3240" s="6" t="s">
        <v>120</v>
      </c>
      <c r="D3240" s="13" t="n">
        <v>44759</v>
      </c>
      <c r="E3240" s="14" t="n">
        <v>1089.04</v>
      </c>
      <c r="F3240" s="14" t="n">
        <v>5821.1</v>
      </c>
      <c r="G3240" s="6" t="s">
        <v>2613</v>
      </c>
    </row>
    <row r="3241" customFormat="false" ht="15" hidden="false" customHeight="true" outlineLevel="0" collapsed="false">
      <c r="A3241" s="6" t="s">
        <v>5853</v>
      </c>
      <c r="B3241" s="6" t="s">
        <v>813</v>
      </c>
      <c r="C3241" s="6" t="s">
        <v>120</v>
      </c>
      <c r="D3241" s="13" t="n">
        <v>44766</v>
      </c>
      <c r="E3241" s="14" t="n">
        <v>970.87</v>
      </c>
      <c r="F3241" s="14" t="n">
        <v>6791.97</v>
      </c>
      <c r="G3241" s="6" t="s">
        <v>2613</v>
      </c>
    </row>
    <row r="3242" customFormat="false" ht="15" hidden="false" customHeight="true" outlineLevel="0" collapsed="false">
      <c r="A3242" s="6" t="s">
        <v>5854</v>
      </c>
      <c r="B3242" s="6" t="s">
        <v>813</v>
      </c>
      <c r="C3242" s="6" t="s">
        <v>120</v>
      </c>
      <c r="D3242" s="13" t="n">
        <v>44773</v>
      </c>
      <c r="E3242" s="14" t="n">
        <v>957.42</v>
      </c>
      <c r="F3242" s="14" t="n">
        <v>7749.39</v>
      </c>
      <c r="G3242" s="6" t="s">
        <v>2613</v>
      </c>
    </row>
    <row r="3243" customFormat="false" ht="15" hidden="false" customHeight="true" outlineLevel="0" collapsed="false">
      <c r="A3243" s="6" t="s">
        <v>5855</v>
      </c>
      <c r="B3243" s="6" t="s">
        <v>813</v>
      </c>
      <c r="C3243" s="6" t="s">
        <v>120</v>
      </c>
      <c r="D3243" s="13" t="n">
        <v>44780</v>
      </c>
      <c r="E3243" s="14" t="n">
        <v>1955.59</v>
      </c>
      <c r="F3243" s="14" t="n">
        <v>9704.98</v>
      </c>
      <c r="G3243" s="6" t="s">
        <v>2613</v>
      </c>
    </row>
    <row r="3244" customFormat="false" ht="15" hidden="false" customHeight="true" outlineLevel="0" collapsed="false">
      <c r="A3244" s="6" t="s">
        <v>5856</v>
      </c>
      <c r="B3244" s="6" t="s">
        <v>813</v>
      </c>
      <c r="C3244" s="6" t="s">
        <v>120</v>
      </c>
      <c r="D3244" s="13" t="n">
        <v>44787</v>
      </c>
      <c r="E3244" s="14" t="n">
        <v>961.61</v>
      </c>
      <c r="F3244" s="14" t="n">
        <v>10666.59</v>
      </c>
      <c r="G3244" s="6" t="s">
        <v>2613</v>
      </c>
    </row>
    <row r="3245" customFormat="false" ht="15" hidden="false" customHeight="true" outlineLevel="0" collapsed="false">
      <c r="A3245" s="6" t="s">
        <v>5857</v>
      </c>
      <c r="B3245" s="6" t="s">
        <v>813</v>
      </c>
      <c r="C3245" s="6" t="s">
        <v>120</v>
      </c>
      <c r="D3245" s="13" t="n">
        <v>44794</v>
      </c>
      <c r="E3245" s="14" t="n">
        <v>984.51</v>
      </c>
      <c r="F3245" s="14" t="n">
        <v>11651.1</v>
      </c>
      <c r="G3245" s="6" t="s">
        <v>2613</v>
      </c>
    </row>
    <row r="3246" customFormat="false" ht="15" hidden="false" customHeight="true" outlineLevel="0" collapsed="false">
      <c r="A3246" s="6" t="s">
        <v>5858</v>
      </c>
      <c r="B3246" s="6" t="s">
        <v>813</v>
      </c>
      <c r="C3246" s="6" t="s">
        <v>120</v>
      </c>
      <c r="D3246" s="13" t="n">
        <v>44801</v>
      </c>
      <c r="E3246" s="14" t="n">
        <v>1225.22</v>
      </c>
      <c r="F3246" s="14" t="n">
        <v>12876.32</v>
      </c>
      <c r="G3246" s="6" t="s">
        <v>2613</v>
      </c>
    </row>
    <row r="3247" customFormat="false" ht="15" hidden="false" customHeight="true" outlineLevel="0" collapsed="false">
      <c r="A3247" s="6" t="s">
        <v>5859</v>
      </c>
      <c r="B3247" s="6" t="s">
        <v>813</v>
      </c>
      <c r="C3247" s="6" t="s">
        <v>120</v>
      </c>
      <c r="D3247" s="13" t="n">
        <v>44808</v>
      </c>
      <c r="E3247" s="14" t="n">
        <v>1734.38</v>
      </c>
      <c r="F3247" s="14" t="n">
        <v>14610.7</v>
      </c>
      <c r="G3247" s="6" t="s">
        <v>2613</v>
      </c>
    </row>
    <row r="3248" customFormat="false" ht="15" hidden="false" customHeight="true" outlineLevel="0" collapsed="false">
      <c r="A3248" s="6" t="s">
        <v>5860</v>
      </c>
      <c r="B3248" s="6" t="s">
        <v>813</v>
      </c>
      <c r="C3248" s="6" t="s">
        <v>120</v>
      </c>
      <c r="D3248" s="13" t="n">
        <v>44815</v>
      </c>
      <c r="E3248" s="14" t="n">
        <v>1339.69</v>
      </c>
      <c r="F3248" s="14" t="n">
        <v>15950.39</v>
      </c>
      <c r="G3248" s="6" t="s">
        <v>2613</v>
      </c>
    </row>
    <row r="3249" customFormat="false" ht="15" hidden="false" customHeight="true" outlineLevel="0" collapsed="false">
      <c r="A3249" s="6" t="s">
        <v>5861</v>
      </c>
      <c r="B3249" s="6" t="s">
        <v>813</v>
      </c>
      <c r="C3249" s="6" t="s">
        <v>120</v>
      </c>
      <c r="D3249" s="13" t="n">
        <v>44822</v>
      </c>
      <c r="E3249" s="14" t="n">
        <v>1639.9</v>
      </c>
      <c r="F3249" s="14" t="n">
        <v>17590.29</v>
      </c>
      <c r="G3249" s="6" t="s">
        <v>2613</v>
      </c>
    </row>
    <row r="3250" customFormat="false" ht="15" hidden="false" customHeight="true" outlineLevel="0" collapsed="false">
      <c r="A3250" s="6" t="s">
        <v>5862</v>
      </c>
      <c r="B3250" s="6" t="s">
        <v>813</v>
      </c>
      <c r="C3250" s="6" t="s">
        <v>120</v>
      </c>
      <c r="D3250" s="13" t="n">
        <v>44829</v>
      </c>
      <c r="E3250" s="14" t="n">
        <v>1004.74</v>
      </c>
      <c r="F3250" s="14" t="n">
        <v>18595.03</v>
      </c>
      <c r="G3250" s="6" t="s">
        <v>2613</v>
      </c>
    </row>
    <row r="3251" customFormat="false" ht="15" hidden="false" customHeight="true" outlineLevel="0" collapsed="false">
      <c r="A3251" s="6" t="s">
        <v>5863</v>
      </c>
      <c r="B3251" s="6" t="s">
        <v>813</v>
      </c>
      <c r="C3251" s="6" t="s">
        <v>120</v>
      </c>
      <c r="D3251" s="13" t="n">
        <v>44836</v>
      </c>
      <c r="E3251" s="14" t="n">
        <v>1531.18</v>
      </c>
      <c r="F3251" s="14" t="n">
        <v>20126.21</v>
      </c>
      <c r="G3251" s="6" t="s">
        <v>2613</v>
      </c>
    </row>
    <row r="3252" customFormat="false" ht="15" hidden="false" customHeight="true" outlineLevel="0" collapsed="false">
      <c r="A3252" s="6" t="s">
        <v>5864</v>
      </c>
      <c r="B3252" s="6" t="s">
        <v>813</v>
      </c>
      <c r="C3252" s="6" t="s">
        <v>120</v>
      </c>
      <c r="D3252" s="13" t="n">
        <v>44843</v>
      </c>
      <c r="E3252" s="14" t="n">
        <v>1306.25</v>
      </c>
      <c r="F3252" s="14" t="n">
        <v>21432.46</v>
      </c>
      <c r="G3252" s="6" t="s">
        <v>2613</v>
      </c>
    </row>
    <row r="3253" customFormat="false" ht="15" hidden="false" customHeight="true" outlineLevel="0" collapsed="false">
      <c r="A3253" s="6" t="s">
        <v>5865</v>
      </c>
      <c r="B3253" s="6" t="s">
        <v>813</v>
      </c>
      <c r="C3253" s="6" t="s">
        <v>120</v>
      </c>
      <c r="D3253" s="13" t="n">
        <v>44850</v>
      </c>
      <c r="E3253" s="14" t="n">
        <v>1909.6</v>
      </c>
      <c r="F3253" s="14" t="n">
        <v>23342.06</v>
      </c>
      <c r="G3253" s="6" t="s">
        <v>2613</v>
      </c>
    </row>
    <row r="3254" customFormat="false" ht="15" hidden="false" customHeight="true" outlineLevel="0" collapsed="false">
      <c r="A3254" s="6" t="s">
        <v>5866</v>
      </c>
      <c r="B3254" s="6" t="s">
        <v>813</v>
      </c>
      <c r="C3254" s="6" t="s">
        <v>120</v>
      </c>
      <c r="D3254" s="13" t="n">
        <v>44857</v>
      </c>
      <c r="E3254" s="14" t="n">
        <v>1690.06</v>
      </c>
      <c r="F3254" s="14" t="n">
        <v>25032.12</v>
      </c>
      <c r="G3254" s="6" t="s">
        <v>2613</v>
      </c>
    </row>
    <row r="3255" customFormat="false" ht="15" hidden="false" customHeight="true" outlineLevel="0" collapsed="false">
      <c r="A3255" s="6" t="s">
        <v>5867</v>
      </c>
      <c r="B3255" s="6" t="s">
        <v>813</v>
      </c>
      <c r="C3255" s="6" t="s">
        <v>120</v>
      </c>
      <c r="D3255" s="13" t="n">
        <v>44864</v>
      </c>
      <c r="E3255" s="14" t="n">
        <v>1084.4</v>
      </c>
      <c r="F3255" s="14" t="n">
        <v>26116.52</v>
      </c>
      <c r="G3255" s="6" t="s">
        <v>2613</v>
      </c>
    </row>
    <row r="3256" customFormat="false" ht="15" hidden="false" customHeight="true" outlineLevel="0" collapsed="false">
      <c r="A3256" s="6" t="s">
        <v>5868</v>
      </c>
      <c r="B3256" s="6" t="s">
        <v>813</v>
      </c>
      <c r="C3256" s="6" t="s">
        <v>120</v>
      </c>
      <c r="D3256" s="13" t="n">
        <v>44871</v>
      </c>
      <c r="E3256" s="14" t="n">
        <v>1867.67</v>
      </c>
      <c r="F3256" s="14" t="n">
        <v>27984.19</v>
      </c>
      <c r="G3256" s="6" t="s">
        <v>2613</v>
      </c>
    </row>
    <row r="3257" customFormat="false" ht="15" hidden="false" customHeight="true" outlineLevel="0" collapsed="false">
      <c r="A3257" s="6" t="s">
        <v>5869</v>
      </c>
      <c r="B3257" s="6" t="s">
        <v>813</v>
      </c>
      <c r="C3257" s="6" t="s">
        <v>120</v>
      </c>
      <c r="D3257" s="13" t="n">
        <v>44878</v>
      </c>
      <c r="E3257" s="14" t="n">
        <v>1406.24</v>
      </c>
      <c r="F3257" s="14" t="n">
        <v>29390.43</v>
      </c>
      <c r="G3257" s="6" t="s">
        <v>2613</v>
      </c>
    </row>
    <row r="3258" customFormat="false" ht="15" hidden="false" customHeight="true" outlineLevel="0" collapsed="false">
      <c r="A3258" s="6" t="s">
        <v>5870</v>
      </c>
      <c r="B3258" s="6" t="s">
        <v>813</v>
      </c>
      <c r="C3258" s="6" t="s">
        <v>120</v>
      </c>
      <c r="D3258" s="13" t="n">
        <v>44885</v>
      </c>
      <c r="E3258" s="14" t="n">
        <v>1482.18</v>
      </c>
      <c r="F3258" s="14" t="n">
        <v>30872.61</v>
      </c>
      <c r="G3258" s="6" t="s">
        <v>2613</v>
      </c>
    </row>
    <row r="3259" customFormat="false" ht="15" hidden="false" customHeight="true" outlineLevel="0" collapsed="false">
      <c r="A3259" s="6" t="s">
        <v>5871</v>
      </c>
      <c r="B3259" s="6" t="s">
        <v>813</v>
      </c>
      <c r="C3259" s="6" t="s">
        <v>120</v>
      </c>
      <c r="D3259" s="13" t="n">
        <v>44892</v>
      </c>
      <c r="E3259" s="14" t="n">
        <v>5554.06</v>
      </c>
      <c r="F3259" s="14" t="n">
        <v>36426.67</v>
      </c>
      <c r="G3259" s="6" t="s">
        <v>2613</v>
      </c>
    </row>
    <row r="3260" customFormat="false" ht="15" hidden="false" customHeight="true" outlineLevel="0" collapsed="false">
      <c r="A3260" s="6" t="s">
        <v>5872</v>
      </c>
      <c r="B3260" s="6" t="s">
        <v>815</v>
      </c>
      <c r="C3260" s="6" t="s">
        <v>116</v>
      </c>
      <c r="D3260" s="13" t="n">
        <v>45609</v>
      </c>
      <c r="E3260" s="14" t="n">
        <v>3717.52</v>
      </c>
      <c r="F3260" s="14" t="n">
        <v>3717.52</v>
      </c>
      <c r="G3260" s="6" t="s">
        <v>2613</v>
      </c>
    </row>
    <row r="3261" customFormat="false" ht="15" hidden="false" customHeight="true" outlineLevel="0" collapsed="false">
      <c r="A3261" s="6" t="s">
        <v>5873</v>
      </c>
      <c r="B3261" s="6" t="s">
        <v>815</v>
      </c>
      <c r="C3261" s="6" t="s">
        <v>116</v>
      </c>
      <c r="D3261" s="13" t="n">
        <v>45616</v>
      </c>
      <c r="E3261" s="14" t="n">
        <v>2931.63</v>
      </c>
      <c r="F3261" s="14" t="n">
        <v>6649.15</v>
      </c>
      <c r="G3261" s="6" t="s">
        <v>2613</v>
      </c>
    </row>
    <row r="3262" customFormat="false" ht="15" hidden="false" customHeight="true" outlineLevel="0" collapsed="false">
      <c r="A3262" s="6" t="s">
        <v>5874</v>
      </c>
      <c r="B3262" s="6" t="s">
        <v>815</v>
      </c>
      <c r="C3262" s="6" t="s">
        <v>116</v>
      </c>
      <c r="D3262" s="13" t="n">
        <v>45623</v>
      </c>
      <c r="E3262" s="14" t="n">
        <v>1979.98</v>
      </c>
      <c r="F3262" s="14" t="n">
        <v>8629.13</v>
      </c>
      <c r="G3262" s="6" t="s">
        <v>2613</v>
      </c>
    </row>
    <row r="3263" customFormat="false" ht="15" hidden="false" customHeight="true" outlineLevel="0" collapsed="false">
      <c r="A3263" s="6" t="s">
        <v>5875</v>
      </c>
      <c r="B3263" s="6" t="s">
        <v>815</v>
      </c>
      <c r="C3263" s="6" t="s">
        <v>116</v>
      </c>
      <c r="D3263" s="13" t="n">
        <v>45630</v>
      </c>
      <c r="E3263" s="14" t="n">
        <v>3077.98</v>
      </c>
      <c r="F3263" s="14" t="n">
        <v>11707.11</v>
      </c>
      <c r="G3263" s="6" t="s">
        <v>2613</v>
      </c>
    </row>
    <row r="3264" customFormat="false" ht="15" hidden="false" customHeight="true" outlineLevel="0" collapsed="false">
      <c r="A3264" s="6" t="s">
        <v>5876</v>
      </c>
      <c r="B3264" s="6" t="s">
        <v>815</v>
      </c>
      <c r="C3264" s="6" t="s">
        <v>116</v>
      </c>
      <c r="D3264" s="13" t="n">
        <v>45637</v>
      </c>
      <c r="E3264" s="14" t="n">
        <v>3758.62</v>
      </c>
      <c r="F3264" s="14" t="n">
        <v>15465.73</v>
      </c>
      <c r="G3264" s="6" t="s">
        <v>2613</v>
      </c>
    </row>
    <row r="3265" customFormat="false" ht="15" hidden="false" customHeight="true" outlineLevel="0" collapsed="false">
      <c r="A3265" s="6" t="s">
        <v>5877</v>
      </c>
      <c r="B3265" s="6" t="s">
        <v>815</v>
      </c>
      <c r="C3265" s="6" t="s">
        <v>116</v>
      </c>
      <c r="D3265" s="13" t="n">
        <v>45644</v>
      </c>
      <c r="E3265" s="14" t="n">
        <v>2893.61</v>
      </c>
      <c r="F3265" s="14" t="n">
        <v>18359.34</v>
      </c>
      <c r="G3265" s="6" t="s">
        <v>2613</v>
      </c>
    </row>
    <row r="3266" customFormat="false" ht="15" hidden="false" customHeight="true" outlineLevel="0" collapsed="false">
      <c r="A3266" s="6" t="s">
        <v>5878</v>
      </c>
      <c r="B3266" s="6" t="s">
        <v>815</v>
      </c>
      <c r="C3266" s="6" t="s">
        <v>116</v>
      </c>
      <c r="D3266" s="13" t="n">
        <v>45651</v>
      </c>
      <c r="E3266" s="14" t="n">
        <v>3036.43</v>
      </c>
      <c r="F3266" s="14" t="n">
        <v>21395.77</v>
      </c>
      <c r="G3266" s="6" t="s">
        <v>2613</v>
      </c>
    </row>
    <row r="3267" customFormat="false" ht="15" hidden="false" customHeight="true" outlineLevel="0" collapsed="false">
      <c r="A3267" s="6" t="s">
        <v>5879</v>
      </c>
      <c r="B3267" s="6" t="s">
        <v>815</v>
      </c>
      <c r="C3267" s="6" t="s">
        <v>116</v>
      </c>
      <c r="D3267" s="13" t="n">
        <v>45658</v>
      </c>
      <c r="E3267" s="14" t="n">
        <v>2835.46</v>
      </c>
      <c r="F3267" s="14" t="n">
        <v>24231.23</v>
      </c>
      <c r="G3267" s="6" t="s">
        <v>2613</v>
      </c>
    </row>
    <row r="3268" customFormat="false" ht="15" hidden="false" customHeight="true" outlineLevel="0" collapsed="false">
      <c r="A3268" s="6" t="s">
        <v>5880</v>
      </c>
      <c r="B3268" s="6" t="s">
        <v>815</v>
      </c>
      <c r="C3268" s="6" t="s">
        <v>116</v>
      </c>
      <c r="D3268" s="13" t="n">
        <v>45665</v>
      </c>
      <c r="E3268" s="14" t="n">
        <v>3582.32</v>
      </c>
      <c r="F3268" s="14" t="n">
        <v>27813.55</v>
      </c>
      <c r="G3268" s="6" t="s">
        <v>2613</v>
      </c>
    </row>
    <row r="3269" customFormat="false" ht="15" hidden="false" customHeight="true" outlineLevel="0" collapsed="false">
      <c r="A3269" s="6" t="s">
        <v>5881</v>
      </c>
      <c r="B3269" s="6" t="s">
        <v>815</v>
      </c>
      <c r="C3269" s="6" t="s">
        <v>116</v>
      </c>
      <c r="D3269" s="13" t="n">
        <v>45672</v>
      </c>
      <c r="E3269" s="14" t="n">
        <v>2433.61</v>
      </c>
      <c r="F3269" s="14" t="n">
        <v>30247.16</v>
      </c>
      <c r="G3269" s="6" t="s">
        <v>2613</v>
      </c>
    </row>
    <row r="3270" customFormat="false" ht="15" hidden="false" customHeight="true" outlineLevel="0" collapsed="false">
      <c r="A3270" s="6" t="s">
        <v>5882</v>
      </c>
      <c r="B3270" s="6" t="s">
        <v>817</v>
      </c>
      <c r="C3270" s="6" t="s">
        <v>128</v>
      </c>
      <c r="D3270" s="13" t="n">
        <v>45213</v>
      </c>
      <c r="E3270" s="14" t="n">
        <v>2547.96</v>
      </c>
      <c r="F3270" s="14" t="n">
        <v>2547.96</v>
      </c>
      <c r="G3270" s="6" t="s">
        <v>2613</v>
      </c>
    </row>
    <row r="3271" customFormat="false" ht="15" hidden="false" customHeight="true" outlineLevel="0" collapsed="false">
      <c r="A3271" s="6" t="s">
        <v>5883</v>
      </c>
      <c r="B3271" s="6" t="s">
        <v>819</v>
      </c>
      <c r="C3271" s="6" t="s">
        <v>131</v>
      </c>
      <c r="D3271" s="13" t="n">
        <v>45735</v>
      </c>
      <c r="E3271" s="14" t="n">
        <v>900.47</v>
      </c>
      <c r="F3271" s="14" t="n">
        <v>900.47</v>
      </c>
      <c r="G3271" s="6" t="s">
        <v>2613</v>
      </c>
    </row>
    <row r="3272" customFormat="false" ht="15" hidden="false" customHeight="true" outlineLevel="0" collapsed="false">
      <c r="A3272" s="6" t="s">
        <v>5884</v>
      </c>
      <c r="B3272" s="6" t="s">
        <v>819</v>
      </c>
      <c r="C3272" s="6" t="s">
        <v>131</v>
      </c>
      <c r="D3272" s="13" t="n">
        <v>45742</v>
      </c>
      <c r="E3272" s="14" t="n">
        <v>891.63</v>
      </c>
      <c r="F3272" s="14" t="n">
        <v>1792.1</v>
      </c>
      <c r="G3272" s="6" t="s">
        <v>2613</v>
      </c>
    </row>
    <row r="3273" customFormat="false" ht="15" hidden="false" customHeight="true" outlineLevel="0" collapsed="false">
      <c r="A3273" s="6" t="s">
        <v>5885</v>
      </c>
      <c r="B3273" s="6" t="s">
        <v>819</v>
      </c>
      <c r="C3273" s="6" t="s">
        <v>131</v>
      </c>
      <c r="D3273" s="13" t="n">
        <v>45749</v>
      </c>
      <c r="E3273" s="14" t="n">
        <v>760.85</v>
      </c>
      <c r="F3273" s="14" t="n">
        <v>2552.95</v>
      </c>
      <c r="G3273" s="6" t="s">
        <v>2613</v>
      </c>
    </row>
    <row r="3274" customFormat="false" ht="15" hidden="false" customHeight="true" outlineLevel="0" collapsed="false">
      <c r="A3274" s="6" t="s">
        <v>5886</v>
      </c>
      <c r="B3274" s="6" t="s">
        <v>819</v>
      </c>
      <c r="C3274" s="6" t="s">
        <v>131</v>
      </c>
      <c r="D3274" s="13" t="n">
        <v>45756</v>
      </c>
      <c r="E3274" s="14" t="n">
        <v>830.68</v>
      </c>
      <c r="F3274" s="14" t="n">
        <v>3383.63</v>
      </c>
      <c r="G3274" s="6" t="s">
        <v>2613</v>
      </c>
    </row>
    <row r="3275" customFormat="false" ht="15" hidden="false" customHeight="true" outlineLevel="0" collapsed="false">
      <c r="A3275" s="6" t="s">
        <v>5887</v>
      </c>
      <c r="B3275" s="6" t="s">
        <v>819</v>
      </c>
      <c r="C3275" s="6" t="s">
        <v>131</v>
      </c>
      <c r="D3275" s="13" t="n">
        <v>45763</v>
      </c>
      <c r="E3275" s="14" t="n">
        <v>466.41</v>
      </c>
      <c r="F3275" s="14" t="n">
        <v>3850.04</v>
      </c>
      <c r="G3275" s="6" t="s">
        <v>2613</v>
      </c>
    </row>
    <row r="3276" customFormat="false" ht="15" hidden="false" customHeight="true" outlineLevel="0" collapsed="false">
      <c r="A3276" s="6" t="s">
        <v>5888</v>
      </c>
      <c r="B3276" s="6" t="s">
        <v>819</v>
      </c>
      <c r="C3276" s="6" t="s">
        <v>131</v>
      </c>
      <c r="D3276" s="13" t="n">
        <v>45770</v>
      </c>
      <c r="E3276" s="14" t="n">
        <v>674.4</v>
      </c>
      <c r="F3276" s="14" t="n">
        <v>4524.44</v>
      </c>
      <c r="G3276" s="6" t="s">
        <v>2613</v>
      </c>
    </row>
    <row r="3277" customFormat="false" ht="15" hidden="false" customHeight="true" outlineLevel="0" collapsed="false">
      <c r="A3277" s="6" t="s">
        <v>5889</v>
      </c>
      <c r="B3277" s="6" t="s">
        <v>819</v>
      </c>
      <c r="C3277" s="6" t="s">
        <v>131</v>
      </c>
      <c r="D3277" s="13" t="n">
        <v>45777</v>
      </c>
      <c r="E3277" s="14" t="n">
        <v>668.59</v>
      </c>
      <c r="F3277" s="14" t="n">
        <v>5193.03</v>
      </c>
      <c r="G3277" s="6" t="s">
        <v>2613</v>
      </c>
    </row>
    <row r="3278" customFormat="false" ht="15" hidden="false" customHeight="true" outlineLevel="0" collapsed="false">
      <c r="A3278" s="6" t="s">
        <v>5890</v>
      </c>
      <c r="B3278" s="6" t="s">
        <v>819</v>
      </c>
      <c r="C3278" s="6" t="s">
        <v>131</v>
      </c>
      <c r="D3278" s="13" t="n">
        <v>45784</v>
      </c>
      <c r="E3278" s="14" t="n">
        <v>509.47</v>
      </c>
      <c r="F3278" s="14" t="n">
        <v>5702.5</v>
      </c>
      <c r="G3278" s="6" t="s">
        <v>2613</v>
      </c>
    </row>
    <row r="3279" customFormat="false" ht="15" hidden="false" customHeight="true" outlineLevel="0" collapsed="false">
      <c r="A3279" s="6" t="s">
        <v>5891</v>
      </c>
      <c r="B3279" s="6" t="s">
        <v>819</v>
      </c>
      <c r="C3279" s="6" t="s">
        <v>131</v>
      </c>
      <c r="D3279" s="13" t="n">
        <v>45791</v>
      </c>
      <c r="E3279" s="14" t="n">
        <v>647.02</v>
      </c>
      <c r="F3279" s="14" t="n">
        <v>6349.52</v>
      </c>
      <c r="G3279" s="6" t="s">
        <v>2613</v>
      </c>
    </row>
    <row r="3280" customFormat="false" ht="15" hidden="false" customHeight="true" outlineLevel="0" collapsed="false">
      <c r="A3280" s="6" t="s">
        <v>5892</v>
      </c>
      <c r="B3280" s="6" t="s">
        <v>819</v>
      </c>
      <c r="C3280" s="6" t="s">
        <v>131</v>
      </c>
      <c r="D3280" s="13" t="n">
        <v>45798</v>
      </c>
      <c r="E3280" s="14" t="n">
        <v>627.97</v>
      </c>
      <c r="F3280" s="14" t="n">
        <v>6977.49</v>
      </c>
      <c r="G3280" s="6" t="s">
        <v>2613</v>
      </c>
    </row>
    <row r="3281" customFormat="false" ht="15" hidden="false" customHeight="true" outlineLevel="0" collapsed="false">
      <c r="A3281" s="6" t="s">
        <v>5893</v>
      </c>
      <c r="B3281" s="6" t="s">
        <v>819</v>
      </c>
      <c r="C3281" s="6" t="s">
        <v>131</v>
      </c>
      <c r="D3281" s="13" t="n">
        <v>45805</v>
      </c>
      <c r="E3281" s="14" t="n">
        <v>785.29</v>
      </c>
      <c r="F3281" s="14" t="n">
        <v>7762.78</v>
      </c>
      <c r="G3281" s="6" t="s">
        <v>2613</v>
      </c>
    </row>
    <row r="3282" customFormat="false" ht="15" hidden="false" customHeight="true" outlineLevel="0" collapsed="false">
      <c r="A3282" s="6" t="s">
        <v>5894</v>
      </c>
      <c r="B3282" s="6" t="s">
        <v>819</v>
      </c>
      <c r="C3282" s="6" t="s">
        <v>131</v>
      </c>
      <c r="D3282" s="13" t="n">
        <v>45812</v>
      </c>
      <c r="E3282" s="14" t="n">
        <v>457.29</v>
      </c>
      <c r="F3282" s="14" t="n">
        <v>8220.07</v>
      </c>
      <c r="G3282" s="6" t="s">
        <v>2613</v>
      </c>
    </row>
    <row r="3283" customFormat="false" ht="15" hidden="false" customHeight="true" outlineLevel="0" collapsed="false">
      <c r="A3283" s="6" t="s">
        <v>5895</v>
      </c>
      <c r="B3283" s="6" t="s">
        <v>819</v>
      </c>
      <c r="C3283" s="6" t="s">
        <v>131</v>
      </c>
      <c r="D3283" s="13" t="n">
        <v>45819</v>
      </c>
      <c r="E3283" s="14" t="n">
        <v>851.1</v>
      </c>
      <c r="F3283" s="14" t="n">
        <v>9071.17</v>
      </c>
      <c r="G3283" s="6" t="s">
        <v>2623</v>
      </c>
    </row>
    <row r="3284" customFormat="false" ht="15" hidden="false" customHeight="true" outlineLevel="0" collapsed="false">
      <c r="A3284" s="6" t="s">
        <v>5896</v>
      </c>
      <c r="B3284" s="6" t="s">
        <v>819</v>
      </c>
      <c r="C3284" s="6" t="s">
        <v>131</v>
      </c>
      <c r="D3284" s="13" t="n">
        <v>45826</v>
      </c>
      <c r="E3284" s="14" t="n">
        <v>492.73</v>
      </c>
      <c r="F3284" s="14" t="n">
        <v>9563.9</v>
      </c>
      <c r="G3284" s="6" t="s">
        <v>2623</v>
      </c>
    </row>
    <row r="3285" customFormat="false" ht="15" hidden="false" customHeight="true" outlineLevel="0" collapsed="false">
      <c r="A3285" s="6" t="s">
        <v>5897</v>
      </c>
      <c r="B3285" s="6" t="s">
        <v>819</v>
      </c>
      <c r="C3285" s="6" t="s">
        <v>131</v>
      </c>
      <c r="D3285" s="13" t="n">
        <v>45833</v>
      </c>
      <c r="E3285" s="14" t="n">
        <v>511.63</v>
      </c>
      <c r="F3285" s="14" t="n">
        <v>10075.53</v>
      </c>
      <c r="G3285" s="6" t="s">
        <v>2613</v>
      </c>
    </row>
    <row r="3286" customFormat="false" ht="15" hidden="false" customHeight="true" outlineLevel="0" collapsed="false">
      <c r="A3286" s="6" t="s">
        <v>5898</v>
      </c>
      <c r="B3286" s="6" t="s">
        <v>821</v>
      </c>
      <c r="C3286" s="6" t="s">
        <v>128</v>
      </c>
      <c r="D3286" s="13" t="n">
        <v>45831</v>
      </c>
      <c r="E3286" s="14" t="n">
        <v>1559.53</v>
      </c>
      <c r="F3286" s="14" t="n">
        <v>1559.53</v>
      </c>
      <c r="G3286" s="6" t="s">
        <v>2613</v>
      </c>
    </row>
    <row r="3287" customFormat="false" ht="15" hidden="false" customHeight="true" outlineLevel="0" collapsed="false">
      <c r="A3287" s="6" t="s">
        <v>5899</v>
      </c>
      <c r="B3287" s="6" t="s">
        <v>821</v>
      </c>
      <c r="C3287" s="6" t="s">
        <v>128</v>
      </c>
      <c r="D3287" s="13" t="n">
        <v>45838</v>
      </c>
      <c r="E3287" s="14" t="n">
        <v>3218.3</v>
      </c>
      <c r="F3287" s="14" t="n">
        <v>4777.83</v>
      </c>
      <c r="G3287" s="6" t="s">
        <v>2613</v>
      </c>
    </row>
    <row r="3288" customFormat="false" ht="15" hidden="false" customHeight="true" outlineLevel="0" collapsed="false">
      <c r="A3288" s="6" t="s">
        <v>5900</v>
      </c>
      <c r="B3288" s="6" t="s">
        <v>821</v>
      </c>
      <c r="C3288" s="6" t="s">
        <v>128</v>
      </c>
      <c r="D3288" s="13" t="n">
        <v>45845</v>
      </c>
      <c r="E3288" s="14" t="n">
        <v>2614.2</v>
      </c>
      <c r="F3288" s="14" t="n">
        <v>7392.03</v>
      </c>
      <c r="G3288" s="6" t="s">
        <v>2613</v>
      </c>
    </row>
    <row r="3289" customFormat="false" ht="15" hidden="false" customHeight="true" outlineLevel="0" collapsed="false">
      <c r="A3289" s="6" t="s">
        <v>5901</v>
      </c>
      <c r="B3289" s="6" t="s">
        <v>821</v>
      </c>
      <c r="C3289" s="6" t="s">
        <v>128</v>
      </c>
      <c r="D3289" s="13" t="n">
        <v>45852</v>
      </c>
      <c r="E3289" s="14" t="n">
        <v>2244.75</v>
      </c>
      <c r="F3289" s="14" t="n">
        <v>9636.78</v>
      </c>
      <c r="G3289" s="6" t="s">
        <v>2613</v>
      </c>
    </row>
    <row r="3290" customFormat="false" ht="15" hidden="false" customHeight="true" outlineLevel="0" collapsed="false">
      <c r="A3290" s="6" t="s">
        <v>5902</v>
      </c>
      <c r="B3290" s="6" t="s">
        <v>821</v>
      </c>
      <c r="C3290" s="6" t="s">
        <v>128</v>
      </c>
      <c r="D3290" s="13" t="n">
        <v>45859</v>
      </c>
      <c r="E3290" s="14" t="n">
        <v>2745.36</v>
      </c>
      <c r="F3290" s="14" t="n">
        <v>12382.14</v>
      </c>
      <c r="G3290" s="6" t="s">
        <v>2613</v>
      </c>
    </row>
    <row r="3291" customFormat="false" ht="15" hidden="false" customHeight="true" outlineLevel="0" collapsed="false">
      <c r="A3291" s="6" t="s">
        <v>5903</v>
      </c>
      <c r="B3291" s="6" t="s">
        <v>821</v>
      </c>
      <c r="C3291" s="6" t="s">
        <v>128</v>
      </c>
      <c r="D3291" s="13" t="n">
        <v>45866</v>
      </c>
      <c r="E3291" s="14" t="n">
        <v>2790.03</v>
      </c>
      <c r="F3291" s="14" t="n">
        <v>15172.17</v>
      </c>
      <c r="G3291" s="6" t="s">
        <v>2613</v>
      </c>
    </row>
    <row r="3292" customFormat="false" ht="15" hidden="false" customHeight="true" outlineLevel="0" collapsed="false">
      <c r="A3292" s="6" t="s">
        <v>5904</v>
      </c>
      <c r="B3292" s="6" t="s">
        <v>821</v>
      </c>
      <c r="C3292" s="6" t="s">
        <v>128</v>
      </c>
      <c r="D3292" s="13" t="n">
        <v>45873</v>
      </c>
      <c r="E3292" s="14" t="n">
        <v>2972.53</v>
      </c>
      <c r="F3292" s="14" t="n">
        <v>18144.7</v>
      </c>
      <c r="G3292" s="6" t="s">
        <v>2613</v>
      </c>
    </row>
    <row r="3293" customFormat="false" ht="15" hidden="false" customHeight="true" outlineLevel="0" collapsed="false">
      <c r="A3293" s="6" t="s">
        <v>5905</v>
      </c>
      <c r="B3293" s="6" t="s">
        <v>821</v>
      </c>
      <c r="C3293" s="6" t="s">
        <v>128</v>
      </c>
      <c r="D3293" s="13" t="n">
        <v>45880</v>
      </c>
      <c r="E3293" s="14" t="n">
        <v>787.35</v>
      </c>
      <c r="F3293" s="14" t="n">
        <v>18932.05</v>
      </c>
      <c r="G3293" s="6" t="s">
        <v>2613</v>
      </c>
    </row>
    <row r="3294" customFormat="false" ht="15" hidden="false" customHeight="true" outlineLevel="0" collapsed="false">
      <c r="A3294" s="6" t="s">
        <v>5906</v>
      </c>
      <c r="B3294" s="6" t="s">
        <v>823</v>
      </c>
      <c r="C3294" s="6" t="s">
        <v>112</v>
      </c>
      <c r="D3294" s="13" t="n">
        <v>45724</v>
      </c>
      <c r="E3294" s="14" t="n">
        <v>2824.14</v>
      </c>
      <c r="F3294" s="14" t="n">
        <v>2824.14</v>
      </c>
      <c r="G3294" s="6" t="s">
        <v>2613</v>
      </c>
    </row>
    <row r="3295" customFormat="false" ht="15" hidden="false" customHeight="true" outlineLevel="0" collapsed="false">
      <c r="A3295" s="6" t="s">
        <v>5907</v>
      </c>
      <c r="B3295" s="6" t="s">
        <v>823</v>
      </c>
      <c r="C3295" s="6" t="s">
        <v>112</v>
      </c>
      <c r="D3295" s="13" t="n">
        <v>45731</v>
      </c>
      <c r="E3295" s="14" t="n">
        <v>2323.67</v>
      </c>
      <c r="F3295" s="14" t="n">
        <v>5147.81</v>
      </c>
      <c r="G3295" s="6" t="s">
        <v>2613</v>
      </c>
    </row>
    <row r="3296" customFormat="false" ht="15" hidden="false" customHeight="true" outlineLevel="0" collapsed="false">
      <c r="A3296" s="6" t="s">
        <v>5908</v>
      </c>
      <c r="B3296" s="6" t="s">
        <v>823</v>
      </c>
      <c r="C3296" s="6" t="s">
        <v>112</v>
      </c>
      <c r="D3296" s="13" t="n">
        <v>45738</v>
      </c>
      <c r="E3296" s="14" t="n">
        <v>3383.19</v>
      </c>
      <c r="F3296" s="14" t="n">
        <v>8531</v>
      </c>
      <c r="G3296" s="6" t="s">
        <v>2613</v>
      </c>
    </row>
    <row r="3297" customFormat="false" ht="15" hidden="false" customHeight="true" outlineLevel="0" collapsed="false">
      <c r="A3297" s="6" t="s">
        <v>5909</v>
      </c>
      <c r="B3297" s="6" t="s">
        <v>823</v>
      </c>
      <c r="C3297" s="6" t="s">
        <v>112</v>
      </c>
      <c r="D3297" s="13" t="n">
        <v>45745</v>
      </c>
      <c r="E3297" s="14" t="n">
        <v>1777.53</v>
      </c>
      <c r="F3297" s="14" t="n">
        <v>10308.53</v>
      </c>
      <c r="G3297" s="6" t="s">
        <v>2613</v>
      </c>
    </row>
    <row r="3298" customFormat="false" ht="15" hidden="false" customHeight="true" outlineLevel="0" collapsed="false">
      <c r="A3298" s="6" t="s">
        <v>5910</v>
      </c>
      <c r="B3298" s="6" t="s">
        <v>823</v>
      </c>
      <c r="C3298" s="6" t="s">
        <v>112</v>
      </c>
      <c r="D3298" s="13" t="n">
        <v>45752</v>
      </c>
      <c r="E3298" s="14" t="n">
        <v>3663.95</v>
      </c>
      <c r="F3298" s="14" t="n">
        <v>13972.48</v>
      </c>
      <c r="G3298" s="6" t="s">
        <v>2613</v>
      </c>
    </row>
    <row r="3299" customFormat="false" ht="15" hidden="false" customHeight="true" outlineLevel="0" collapsed="false">
      <c r="A3299" s="6" t="s">
        <v>5911</v>
      </c>
      <c r="B3299" s="6" t="s">
        <v>823</v>
      </c>
      <c r="C3299" s="6" t="s">
        <v>112</v>
      </c>
      <c r="D3299" s="13" t="n">
        <v>45759</v>
      </c>
      <c r="E3299" s="14" t="n">
        <v>2649.76</v>
      </c>
      <c r="F3299" s="14" t="n">
        <v>16622.24</v>
      </c>
      <c r="G3299" s="6" t="s">
        <v>2613</v>
      </c>
    </row>
    <row r="3300" customFormat="false" ht="15" hidden="false" customHeight="true" outlineLevel="0" collapsed="false">
      <c r="A3300" s="6" t="s">
        <v>5912</v>
      </c>
      <c r="B3300" s="6" t="s">
        <v>823</v>
      </c>
      <c r="C3300" s="6" t="s">
        <v>112</v>
      </c>
      <c r="D3300" s="13" t="n">
        <v>45766</v>
      </c>
      <c r="E3300" s="14" t="n">
        <v>3657.66</v>
      </c>
      <c r="F3300" s="14" t="n">
        <v>20279.9</v>
      </c>
      <c r="G3300" s="6" t="s">
        <v>2613</v>
      </c>
    </row>
    <row r="3301" customFormat="false" ht="15" hidden="false" customHeight="true" outlineLevel="0" collapsed="false">
      <c r="A3301" s="6" t="s">
        <v>5913</v>
      </c>
      <c r="B3301" s="6" t="s">
        <v>823</v>
      </c>
      <c r="C3301" s="6" t="s">
        <v>112</v>
      </c>
      <c r="D3301" s="13" t="n">
        <v>45773</v>
      </c>
      <c r="E3301" s="14" t="n">
        <v>2463.03</v>
      </c>
      <c r="F3301" s="14" t="n">
        <v>22742.93</v>
      </c>
      <c r="G3301" s="6" t="s">
        <v>2613</v>
      </c>
    </row>
    <row r="3302" customFormat="false" ht="15" hidden="false" customHeight="true" outlineLevel="0" collapsed="false">
      <c r="A3302" s="6" t="s">
        <v>5914</v>
      </c>
      <c r="B3302" s="6" t="s">
        <v>823</v>
      </c>
      <c r="C3302" s="6" t="s">
        <v>112</v>
      </c>
      <c r="D3302" s="13" t="n">
        <v>45780</v>
      </c>
      <c r="E3302" s="14" t="n">
        <v>2329.48</v>
      </c>
      <c r="F3302" s="14" t="n">
        <v>25072.41</v>
      </c>
      <c r="G3302" s="6" t="s">
        <v>2613</v>
      </c>
    </row>
    <row r="3303" customFormat="false" ht="15" hidden="false" customHeight="true" outlineLevel="0" collapsed="false">
      <c r="A3303" s="6" t="s">
        <v>5915</v>
      </c>
      <c r="B3303" s="6" t="s">
        <v>823</v>
      </c>
      <c r="C3303" s="6" t="s">
        <v>112</v>
      </c>
      <c r="D3303" s="13" t="n">
        <v>45787</v>
      </c>
      <c r="E3303" s="14" t="n">
        <v>2185.36</v>
      </c>
      <c r="F3303" s="14" t="n">
        <v>27257.77</v>
      </c>
      <c r="G3303" s="6" t="s">
        <v>2613</v>
      </c>
    </row>
    <row r="3304" customFormat="false" ht="15" hidden="false" customHeight="true" outlineLevel="0" collapsed="false">
      <c r="A3304" s="6" t="s">
        <v>5916</v>
      </c>
      <c r="B3304" s="6" t="s">
        <v>823</v>
      </c>
      <c r="C3304" s="6" t="s">
        <v>112</v>
      </c>
      <c r="D3304" s="13" t="n">
        <v>45794</v>
      </c>
      <c r="E3304" s="14" t="n">
        <v>3791.49</v>
      </c>
      <c r="F3304" s="14" t="n">
        <v>31049.26</v>
      </c>
      <c r="G3304" s="6" t="s">
        <v>2613</v>
      </c>
    </row>
    <row r="3305" customFormat="false" ht="15" hidden="false" customHeight="true" outlineLevel="0" collapsed="false">
      <c r="A3305" s="6" t="s">
        <v>5917</v>
      </c>
      <c r="B3305" s="6" t="s">
        <v>823</v>
      </c>
      <c r="C3305" s="6" t="s">
        <v>112</v>
      </c>
      <c r="D3305" s="13" t="n">
        <v>45801</v>
      </c>
      <c r="E3305" s="14" t="n">
        <v>2618.82</v>
      </c>
      <c r="F3305" s="14" t="n">
        <v>33668.08</v>
      </c>
      <c r="G3305" s="6" t="s">
        <v>2613</v>
      </c>
    </row>
    <row r="3306" customFormat="false" ht="15" hidden="false" customHeight="true" outlineLevel="0" collapsed="false">
      <c r="A3306" s="6" t="s">
        <v>5918</v>
      </c>
      <c r="B3306" s="6" t="s">
        <v>825</v>
      </c>
      <c r="C3306" s="6" t="s">
        <v>112</v>
      </c>
      <c r="D3306" s="13" t="n">
        <v>44968</v>
      </c>
      <c r="E3306" s="14" t="n">
        <v>536.5</v>
      </c>
      <c r="F3306" s="14" t="n">
        <v>536.5</v>
      </c>
      <c r="G3306" s="6" t="s">
        <v>2613</v>
      </c>
    </row>
    <row r="3307" customFormat="false" ht="15" hidden="false" customHeight="true" outlineLevel="0" collapsed="false">
      <c r="A3307" s="6" t="s">
        <v>5919</v>
      </c>
      <c r="B3307" s="6" t="s">
        <v>825</v>
      </c>
      <c r="C3307" s="6" t="s">
        <v>112</v>
      </c>
      <c r="D3307" s="13" t="n">
        <v>44975</v>
      </c>
      <c r="E3307" s="14" t="n">
        <v>1170</v>
      </c>
      <c r="F3307" s="14" t="n">
        <v>1706.5</v>
      </c>
      <c r="G3307" s="6" t="s">
        <v>2613</v>
      </c>
    </row>
    <row r="3308" customFormat="false" ht="15" hidden="false" customHeight="true" outlineLevel="0" collapsed="false">
      <c r="A3308" s="6" t="s">
        <v>5920</v>
      </c>
      <c r="B3308" s="6" t="s">
        <v>825</v>
      </c>
      <c r="C3308" s="6" t="s">
        <v>112</v>
      </c>
      <c r="D3308" s="13" t="n">
        <v>44982</v>
      </c>
      <c r="E3308" s="14" t="n">
        <v>1024.96</v>
      </c>
      <c r="F3308" s="14" t="n">
        <v>2731.46</v>
      </c>
      <c r="G3308" s="6" t="s">
        <v>2613</v>
      </c>
    </row>
    <row r="3309" customFormat="false" ht="15" hidden="false" customHeight="true" outlineLevel="0" collapsed="false">
      <c r="A3309" s="6" t="s">
        <v>5921</v>
      </c>
      <c r="B3309" s="6" t="s">
        <v>825</v>
      </c>
      <c r="C3309" s="6" t="s">
        <v>112</v>
      </c>
      <c r="D3309" s="13" t="n">
        <v>44989</v>
      </c>
      <c r="E3309" s="14" t="n">
        <v>1093.39</v>
      </c>
      <c r="F3309" s="14" t="n">
        <v>3824.85</v>
      </c>
      <c r="G3309" s="6" t="s">
        <v>2613</v>
      </c>
    </row>
    <row r="3310" customFormat="false" ht="15" hidden="false" customHeight="true" outlineLevel="0" collapsed="false">
      <c r="A3310" s="6" t="s">
        <v>5922</v>
      </c>
      <c r="B3310" s="6" t="s">
        <v>825</v>
      </c>
      <c r="C3310" s="6" t="s">
        <v>112</v>
      </c>
      <c r="D3310" s="13" t="n">
        <v>44996</v>
      </c>
      <c r="E3310" s="14" t="n">
        <v>594.48</v>
      </c>
      <c r="F3310" s="14" t="n">
        <v>4419.33</v>
      </c>
      <c r="G3310" s="6" t="s">
        <v>2613</v>
      </c>
    </row>
    <row r="3311" customFormat="false" ht="15" hidden="false" customHeight="true" outlineLevel="0" collapsed="false">
      <c r="A3311" s="6" t="s">
        <v>5923</v>
      </c>
      <c r="B3311" s="6" t="s">
        <v>825</v>
      </c>
      <c r="C3311" s="6" t="s">
        <v>112</v>
      </c>
      <c r="D3311" s="13" t="n">
        <v>45003</v>
      </c>
      <c r="E3311" s="14" t="n">
        <v>1102.87</v>
      </c>
      <c r="F3311" s="14" t="n">
        <v>5522.2</v>
      </c>
      <c r="G3311" s="6" t="s">
        <v>2613</v>
      </c>
    </row>
    <row r="3312" customFormat="false" ht="15" hidden="false" customHeight="true" outlineLevel="0" collapsed="false">
      <c r="A3312" s="6" t="s">
        <v>5924</v>
      </c>
      <c r="B3312" s="6" t="s">
        <v>825</v>
      </c>
      <c r="C3312" s="6" t="s">
        <v>112</v>
      </c>
      <c r="D3312" s="13" t="n">
        <v>45010</v>
      </c>
      <c r="E3312" s="14" t="n">
        <v>817.61</v>
      </c>
      <c r="F3312" s="14" t="n">
        <v>6339.81</v>
      </c>
      <c r="G3312" s="6" t="s">
        <v>2613</v>
      </c>
    </row>
    <row r="3313" customFormat="false" ht="15" hidden="false" customHeight="true" outlineLevel="0" collapsed="false">
      <c r="A3313" s="6" t="s">
        <v>5925</v>
      </c>
      <c r="B3313" s="6" t="s">
        <v>825</v>
      </c>
      <c r="C3313" s="6" t="s">
        <v>112</v>
      </c>
      <c r="D3313" s="13" t="n">
        <v>45017</v>
      </c>
      <c r="E3313" s="14" t="n">
        <v>575.85</v>
      </c>
      <c r="F3313" s="14" t="n">
        <v>6915.66</v>
      </c>
      <c r="G3313" s="6" t="s">
        <v>2613</v>
      </c>
    </row>
    <row r="3314" customFormat="false" ht="15" hidden="false" customHeight="true" outlineLevel="0" collapsed="false">
      <c r="A3314" s="6" t="s">
        <v>5926</v>
      </c>
      <c r="B3314" s="6" t="s">
        <v>827</v>
      </c>
      <c r="C3314" s="6" t="s">
        <v>120</v>
      </c>
      <c r="D3314" s="13" t="n">
        <v>45619</v>
      </c>
      <c r="E3314" s="14" t="n">
        <v>10459.86</v>
      </c>
      <c r="F3314" s="14" t="n">
        <v>10459.86</v>
      </c>
      <c r="G3314" s="6" t="s">
        <v>2613</v>
      </c>
    </row>
    <row r="3315" customFormat="false" ht="15" hidden="false" customHeight="true" outlineLevel="0" collapsed="false">
      <c r="A3315" s="6" t="s">
        <v>5927</v>
      </c>
      <c r="B3315" s="6" t="s">
        <v>827</v>
      </c>
      <c r="C3315" s="6" t="s">
        <v>120</v>
      </c>
      <c r="D3315" s="13" t="n">
        <v>45626</v>
      </c>
      <c r="E3315" s="14" t="n">
        <v>5734.67</v>
      </c>
      <c r="F3315" s="14" t="n">
        <v>16194.53</v>
      </c>
      <c r="G3315" s="6" t="s">
        <v>2613</v>
      </c>
    </row>
    <row r="3316" customFormat="false" ht="15" hidden="false" customHeight="true" outlineLevel="0" collapsed="false">
      <c r="A3316" s="6" t="s">
        <v>5928</v>
      </c>
      <c r="B3316" s="6" t="s">
        <v>827</v>
      </c>
      <c r="C3316" s="6" t="s">
        <v>120</v>
      </c>
      <c r="D3316" s="13" t="n">
        <v>45633</v>
      </c>
      <c r="E3316" s="14" t="n">
        <v>10584.73</v>
      </c>
      <c r="F3316" s="14" t="n">
        <v>26779.26</v>
      </c>
      <c r="G3316" s="6" t="s">
        <v>2613</v>
      </c>
    </row>
    <row r="3317" customFormat="false" ht="15" hidden="false" customHeight="true" outlineLevel="0" collapsed="false">
      <c r="A3317" s="6" t="s">
        <v>5929</v>
      </c>
      <c r="B3317" s="6" t="s">
        <v>827</v>
      </c>
      <c r="C3317" s="6" t="s">
        <v>120</v>
      </c>
      <c r="D3317" s="13" t="n">
        <v>45640</v>
      </c>
      <c r="E3317" s="14" t="n">
        <v>6840.66</v>
      </c>
      <c r="F3317" s="14" t="n">
        <v>33619.92</v>
      </c>
      <c r="G3317" s="6" t="s">
        <v>2613</v>
      </c>
    </row>
    <row r="3318" customFormat="false" ht="15" hidden="false" customHeight="true" outlineLevel="0" collapsed="false">
      <c r="A3318" s="6" t="s">
        <v>5930</v>
      </c>
      <c r="B3318" s="6" t="s">
        <v>827</v>
      </c>
      <c r="C3318" s="6" t="s">
        <v>120</v>
      </c>
      <c r="D3318" s="13" t="n">
        <v>45647</v>
      </c>
      <c r="E3318" s="14" t="n">
        <v>11843.88</v>
      </c>
      <c r="F3318" s="14" t="n">
        <v>45463.8</v>
      </c>
      <c r="G3318" s="6" t="s">
        <v>2613</v>
      </c>
    </row>
    <row r="3319" customFormat="false" ht="15" hidden="false" customHeight="true" outlineLevel="0" collapsed="false">
      <c r="A3319" s="6" t="s">
        <v>5931</v>
      </c>
      <c r="B3319" s="6" t="s">
        <v>829</v>
      </c>
      <c r="C3319" s="6" t="s">
        <v>131</v>
      </c>
      <c r="D3319" s="13" t="n">
        <v>46071</v>
      </c>
      <c r="E3319" s="14" t="n">
        <v>4327.13</v>
      </c>
      <c r="F3319" s="14" t="n">
        <v>4327.13</v>
      </c>
      <c r="G3319" s="6" t="s">
        <v>2623</v>
      </c>
    </row>
    <row r="3320" customFormat="false" ht="15" hidden="false" customHeight="true" outlineLevel="0" collapsed="false">
      <c r="A3320" s="6" t="s">
        <v>5932</v>
      </c>
      <c r="B3320" s="6" t="s">
        <v>829</v>
      </c>
      <c r="C3320" s="6" t="s">
        <v>131</v>
      </c>
      <c r="D3320" s="13" t="n">
        <v>46078</v>
      </c>
      <c r="E3320" s="14" t="n">
        <v>3956.95</v>
      </c>
      <c r="F3320" s="14" t="n">
        <v>8284.08</v>
      </c>
      <c r="G3320" s="6" t="s">
        <v>2613</v>
      </c>
    </row>
    <row r="3321" customFormat="false" ht="15" hidden="false" customHeight="true" outlineLevel="0" collapsed="false">
      <c r="A3321" s="6" t="s">
        <v>5933</v>
      </c>
      <c r="B3321" s="6" t="s">
        <v>829</v>
      </c>
      <c r="C3321" s="6" t="s">
        <v>131</v>
      </c>
      <c r="D3321" s="13" t="n">
        <v>46085</v>
      </c>
      <c r="E3321" s="14" t="n">
        <v>3012.89</v>
      </c>
      <c r="F3321" s="14" t="n">
        <v>11296.97</v>
      </c>
      <c r="G3321" s="6" t="s">
        <v>2613</v>
      </c>
    </row>
    <row r="3322" customFormat="false" ht="15" hidden="false" customHeight="true" outlineLevel="0" collapsed="false">
      <c r="A3322" s="6" t="s">
        <v>5934</v>
      </c>
      <c r="B3322" s="6" t="s">
        <v>829</v>
      </c>
      <c r="C3322" s="6" t="s">
        <v>131</v>
      </c>
      <c r="D3322" s="13" t="n">
        <v>46092</v>
      </c>
      <c r="E3322" s="14" t="n">
        <v>3876.91</v>
      </c>
      <c r="F3322" s="14" t="n">
        <v>15173.88</v>
      </c>
      <c r="G3322" s="6" t="s">
        <v>2613</v>
      </c>
    </row>
    <row r="3323" customFormat="false" ht="15" hidden="false" customHeight="true" outlineLevel="0" collapsed="false">
      <c r="A3323" s="6" t="s">
        <v>5935</v>
      </c>
      <c r="B3323" s="6" t="s">
        <v>829</v>
      </c>
      <c r="C3323" s="6" t="s">
        <v>131</v>
      </c>
      <c r="D3323" s="13" t="n">
        <v>46099</v>
      </c>
      <c r="E3323" s="14" t="n">
        <v>4356.1</v>
      </c>
      <c r="F3323" s="14" t="n">
        <v>19529.98</v>
      </c>
      <c r="G3323" s="6" t="s">
        <v>2613</v>
      </c>
    </row>
    <row r="3324" customFormat="false" ht="15" hidden="false" customHeight="true" outlineLevel="0" collapsed="false">
      <c r="A3324" s="6" t="s">
        <v>5936</v>
      </c>
      <c r="B3324" s="6" t="s">
        <v>831</v>
      </c>
      <c r="C3324" s="6" t="s">
        <v>112</v>
      </c>
      <c r="D3324" s="13" t="n">
        <v>45043</v>
      </c>
      <c r="E3324" s="14" t="n">
        <v>3103.97</v>
      </c>
      <c r="F3324" s="14" t="n">
        <v>3103.97</v>
      </c>
      <c r="G3324" s="6" t="s">
        <v>2613</v>
      </c>
    </row>
    <row r="3325" customFormat="false" ht="15" hidden="false" customHeight="true" outlineLevel="0" collapsed="false">
      <c r="A3325" s="6" t="s">
        <v>5937</v>
      </c>
      <c r="B3325" s="6" t="s">
        <v>831</v>
      </c>
      <c r="C3325" s="6" t="s">
        <v>112</v>
      </c>
      <c r="D3325" s="13" t="n">
        <v>45050</v>
      </c>
      <c r="E3325" s="14" t="n">
        <v>3373.32</v>
      </c>
      <c r="F3325" s="14" t="n">
        <v>6477.29</v>
      </c>
      <c r="G3325" s="6" t="s">
        <v>2613</v>
      </c>
    </row>
    <row r="3326" customFormat="false" ht="15" hidden="false" customHeight="true" outlineLevel="0" collapsed="false">
      <c r="A3326" s="6" t="s">
        <v>5938</v>
      </c>
      <c r="B3326" s="6" t="s">
        <v>831</v>
      </c>
      <c r="C3326" s="6" t="s">
        <v>112</v>
      </c>
      <c r="D3326" s="13" t="n">
        <v>45057</v>
      </c>
      <c r="E3326" s="14" t="n">
        <v>2616.42</v>
      </c>
      <c r="F3326" s="14" t="n">
        <v>9093.71</v>
      </c>
      <c r="G3326" s="6" t="s">
        <v>2613</v>
      </c>
    </row>
    <row r="3327" customFormat="false" ht="15" hidden="false" customHeight="true" outlineLevel="0" collapsed="false">
      <c r="A3327" s="6" t="s">
        <v>5939</v>
      </c>
      <c r="B3327" s="6" t="s">
        <v>831</v>
      </c>
      <c r="C3327" s="6" t="s">
        <v>112</v>
      </c>
      <c r="D3327" s="13" t="n">
        <v>45064</v>
      </c>
      <c r="E3327" s="14" t="n">
        <v>4287.02</v>
      </c>
      <c r="F3327" s="14" t="n">
        <v>13380.73</v>
      </c>
      <c r="G3327" s="6" t="s">
        <v>2613</v>
      </c>
    </row>
    <row r="3328" customFormat="false" ht="15" hidden="false" customHeight="true" outlineLevel="0" collapsed="false">
      <c r="A3328" s="6" t="s">
        <v>5940</v>
      </c>
      <c r="B3328" s="6" t="s">
        <v>831</v>
      </c>
      <c r="C3328" s="6" t="s">
        <v>112</v>
      </c>
      <c r="D3328" s="13" t="n">
        <v>45071</v>
      </c>
      <c r="E3328" s="14" t="n">
        <v>3789.01</v>
      </c>
      <c r="F3328" s="14" t="n">
        <v>17169.74</v>
      </c>
      <c r="G3328" s="6" t="s">
        <v>2613</v>
      </c>
    </row>
    <row r="3329" customFormat="false" ht="15" hidden="false" customHeight="true" outlineLevel="0" collapsed="false">
      <c r="A3329" s="6" t="s">
        <v>5941</v>
      </c>
      <c r="B3329" s="6" t="s">
        <v>831</v>
      </c>
      <c r="C3329" s="6" t="s">
        <v>112</v>
      </c>
      <c r="D3329" s="13" t="n">
        <v>45078</v>
      </c>
      <c r="E3329" s="14" t="n">
        <v>2996.23</v>
      </c>
      <c r="F3329" s="14" t="n">
        <v>20165.97</v>
      </c>
      <c r="G3329" s="6" t="s">
        <v>2613</v>
      </c>
    </row>
    <row r="3330" customFormat="false" ht="15" hidden="false" customHeight="true" outlineLevel="0" collapsed="false">
      <c r="A3330" s="6" t="s">
        <v>5942</v>
      </c>
      <c r="B3330" s="6" t="s">
        <v>831</v>
      </c>
      <c r="C3330" s="6" t="s">
        <v>112</v>
      </c>
      <c r="D3330" s="13" t="n">
        <v>45085</v>
      </c>
      <c r="E3330" s="14" t="n">
        <v>2940.4</v>
      </c>
      <c r="F3330" s="14" t="n">
        <v>23106.37</v>
      </c>
      <c r="G3330" s="6" t="s">
        <v>2613</v>
      </c>
    </row>
    <row r="3331" customFormat="false" ht="15" hidden="false" customHeight="true" outlineLevel="0" collapsed="false">
      <c r="A3331" s="6" t="s">
        <v>5943</v>
      </c>
      <c r="B3331" s="6" t="s">
        <v>831</v>
      </c>
      <c r="C3331" s="6" t="s">
        <v>112</v>
      </c>
      <c r="D3331" s="13" t="n">
        <v>45092</v>
      </c>
      <c r="E3331" s="14" t="n">
        <v>4270.49</v>
      </c>
      <c r="F3331" s="14" t="n">
        <v>27376.86</v>
      </c>
      <c r="G3331" s="6" t="s">
        <v>2613</v>
      </c>
    </row>
    <row r="3332" customFormat="false" ht="15" hidden="false" customHeight="true" outlineLevel="0" collapsed="false">
      <c r="A3332" s="6" t="s">
        <v>5944</v>
      </c>
      <c r="B3332" s="6" t="s">
        <v>831</v>
      </c>
      <c r="C3332" s="6" t="s">
        <v>112</v>
      </c>
      <c r="D3332" s="13" t="n">
        <v>45099</v>
      </c>
      <c r="E3332" s="14" t="n">
        <v>2746.97</v>
      </c>
      <c r="F3332" s="14" t="n">
        <v>30123.83</v>
      </c>
      <c r="G3332" s="6" t="s">
        <v>2613</v>
      </c>
    </row>
    <row r="3333" customFormat="false" ht="15" hidden="false" customHeight="true" outlineLevel="0" collapsed="false">
      <c r="A3333" s="6" t="s">
        <v>5945</v>
      </c>
      <c r="B3333" s="6" t="s">
        <v>831</v>
      </c>
      <c r="C3333" s="6" t="s">
        <v>112</v>
      </c>
      <c r="D3333" s="13" t="n">
        <v>45106</v>
      </c>
      <c r="E3333" s="14" t="n">
        <v>2197.56</v>
      </c>
      <c r="F3333" s="14" t="n">
        <v>32321.39</v>
      </c>
      <c r="G3333" s="6" t="s">
        <v>2613</v>
      </c>
    </row>
    <row r="3334" customFormat="false" ht="15" hidden="false" customHeight="true" outlineLevel="0" collapsed="false">
      <c r="A3334" s="6" t="s">
        <v>5946</v>
      </c>
      <c r="B3334" s="6" t="s">
        <v>831</v>
      </c>
      <c r="C3334" s="6" t="s">
        <v>112</v>
      </c>
      <c r="D3334" s="13" t="n">
        <v>45113</v>
      </c>
      <c r="E3334" s="14" t="n">
        <v>3979.68</v>
      </c>
      <c r="F3334" s="14" t="n">
        <v>36301.07</v>
      </c>
      <c r="G3334" s="6" t="s">
        <v>2613</v>
      </c>
    </row>
    <row r="3335" customFormat="false" ht="15" hidden="false" customHeight="true" outlineLevel="0" collapsed="false">
      <c r="A3335" s="6" t="s">
        <v>5947</v>
      </c>
      <c r="B3335" s="6" t="s">
        <v>831</v>
      </c>
      <c r="C3335" s="6" t="s">
        <v>112</v>
      </c>
      <c r="D3335" s="13" t="n">
        <v>45120</v>
      </c>
      <c r="E3335" s="14" t="n">
        <v>3381.37</v>
      </c>
      <c r="F3335" s="14" t="n">
        <v>39682.44</v>
      </c>
      <c r="G3335" s="6" t="s">
        <v>2613</v>
      </c>
    </row>
    <row r="3336" customFormat="false" ht="15" hidden="false" customHeight="true" outlineLevel="0" collapsed="false">
      <c r="A3336" s="6" t="s">
        <v>5948</v>
      </c>
      <c r="B3336" s="6" t="s">
        <v>831</v>
      </c>
      <c r="C3336" s="6" t="s">
        <v>112</v>
      </c>
      <c r="D3336" s="13" t="n">
        <v>45127</v>
      </c>
      <c r="E3336" s="14" t="n">
        <v>1949.55</v>
      </c>
      <c r="F3336" s="14" t="n">
        <v>41631.99</v>
      </c>
      <c r="G3336" s="6" t="s">
        <v>2613</v>
      </c>
    </row>
    <row r="3337" customFormat="false" ht="15" hidden="false" customHeight="true" outlineLevel="0" collapsed="false">
      <c r="A3337" s="6" t="s">
        <v>5949</v>
      </c>
      <c r="B3337" s="6" t="s">
        <v>831</v>
      </c>
      <c r="C3337" s="6" t="s">
        <v>112</v>
      </c>
      <c r="D3337" s="13" t="n">
        <v>45134</v>
      </c>
      <c r="E3337" s="14" t="n">
        <v>2166.24</v>
      </c>
      <c r="F3337" s="14" t="n">
        <v>43798.23</v>
      </c>
      <c r="G3337" s="6" t="s">
        <v>2613</v>
      </c>
    </row>
    <row r="3338" customFormat="false" ht="15" hidden="false" customHeight="true" outlineLevel="0" collapsed="false">
      <c r="A3338" s="6" t="s">
        <v>5950</v>
      </c>
      <c r="B3338" s="6" t="s">
        <v>833</v>
      </c>
      <c r="C3338" s="6" t="s">
        <v>124</v>
      </c>
      <c r="D3338" s="13" t="n">
        <v>45563</v>
      </c>
      <c r="E3338" s="14" t="n">
        <v>4603.6</v>
      </c>
      <c r="F3338" s="14" t="n">
        <v>4603.6</v>
      </c>
      <c r="G3338" s="6" t="s">
        <v>2613</v>
      </c>
    </row>
    <row r="3339" customFormat="false" ht="15" hidden="false" customHeight="true" outlineLevel="0" collapsed="false">
      <c r="A3339" s="6" t="s">
        <v>5951</v>
      </c>
      <c r="B3339" s="6" t="s">
        <v>833</v>
      </c>
      <c r="C3339" s="6" t="s">
        <v>124</v>
      </c>
      <c r="D3339" s="13" t="n">
        <v>45570</v>
      </c>
      <c r="E3339" s="14" t="n">
        <v>3404.03</v>
      </c>
      <c r="F3339" s="14" t="n">
        <v>8007.63</v>
      </c>
      <c r="G3339" s="6" t="s">
        <v>2613</v>
      </c>
    </row>
    <row r="3340" customFormat="false" ht="15" hidden="false" customHeight="true" outlineLevel="0" collapsed="false">
      <c r="A3340" s="6" t="s">
        <v>5952</v>
      </c>
      <c r="B3340" s="6" t="s">
        <v>833</v>
      </c>
      <c r="C3340" s="6" t="s">
        <v>124</v>
      </c>
      <c r="D3340" s="13" t="n">
        <v>45577</v>
      </c>
      <c r="E3340" s="14" t="n">
        <v>2690.02</v>
      </c>
      <c r="F3340" s="14" t="n">
        <v>10697.65</v>
      </c>
      <c r="G3340" s="6" t="s">
        <v>2613</v>
      </c>
    </row>
    <row r="3341" customFormat="false" ht="15" hidden="false" customHeight="true" outlineLevel="0" collapsed="false">
      <c r="A3341" s="6" t="s">
        <v>5953</v>
      </c>
      <c r="B3341" s="6" t="s">
        <v>833</v>
      </c>
      <c r="C3341" s="6" t="s">
        <v>124</v>
      </c>
      <c r="D3341" s="13" t="n">
        <v>45584</v>
      </c>
      <c r="E3341" s="14" t="n">
        <v>4036.44</v>
      </c>
      <c r="F3341" s="14" t="n">
        <v>14734.09</v>
      </c>
      <c r="G3341" s="6" t="s">
        <v>2613</v>
      </c>
    </row>
    <row r="3342" customFormat="false" ht="15" hidden="false" customHeight="true" outlineLevel="0" collapsed="false">
      <c r="A3342" s="6" t="s">
        <v>5954</v>
      </c>
      <c r="B3342" s="6" t="s">
        <v>833</v>
      </c>
      <c r="C3342" s="6" t="s">
        <v>124</v>
      </c>
      <c r="D3342" s="13" t="n">
        <v>45591</v>
      </c>
      <c r="E3342" s="14" t="n">
        <v>4001.28</v>
      </c>
      <c r="F3342" s="14" t="n">
        <v>18735.37</v>
      </c>
      <c r="G3342" s="6" t="s">
        <v>2613</v>
      </c>
    </row>
    <row r="3343" customFormat="false" ht="15" hidden="false" customHeight="true" outlineLevel="0" collapsed="false">
      <c r="A3343" s="6" t="s">
        <v>5955</v>
      </c>
      <c r="B3343" s="6" t="s">
        <v>833</v>
      </c>
      <c r="C3343" s="6" t="s">
        <v>124</v>
      </c>
      <c r="D3343" s="13" t="n">
        <v>45598</v>
      </c>
      <c r="E3343" s="14" t="n">
        <v>3976.79</v>
      </c>
      <c r="F3343" s="14" t="n">
        <v>22712.16</v>
      </c>
      <c r="G3343" s="6" t="s">
        <v>2623</v>
      </c>
    </row>
    <row r="3344" customFormat="false" ht="15" hidden="false" customHeight="true" outlineLevel="0" collapsed="false">
      <c r="A3344" s="6" t="s">
        <v>5956</v>
      </c>
      <c r="B3344" s="6" t="s">
        <v>833</v>
      </c>
      <c r="C3344" s="6" t="s">
        <v>124</v>
      </c>
      <c r="D3344" s="13" t="n">
        <v>45605</v>
      </c>
      <c r="E3344" s="14" t="n">
        <v>4320.97</v>
      </c>
      <c r="F3344" s="14" t="n">
        <v>27033.13</v>
      </c>
      <c r="G3344" s="6" t="s">
        <v>2613</v>
      </c>
    </row>
    <row r="3345" customFormat="false" ht="15" hidden="false" customHeight="true" outlineLevel="0" collapsed="false">
      <c r="A3345" s="6" t="s">
        <v>5957</v>
      </c>
      <c r="B3345" s="6" t="s">
        <v>833</v>
      </c>
      <c r="C3345" s="6" t="s">
        <v>124</v>
      </c>
      <c r="D3345" s="13" t="n">
        <v>45612</v>
      </c>
      <c r="E3345" s="14" t="n">
        <v>2466.13</v>
      </c>
      <c r="F3345" s="14" t="n">
        <v>29499.26</v>
      </c>
      <c r="G3345" s="6" t="s">
        <v>2613</v>
      </c>
    </row>
    <row r="3346" customFormat="false" ht="15" hidden="false" customHeight="true" outlineLevel="0" collapsed="false">
      <c r="A3346" s="6" t="s">
        <v>5958</v>
      </c>
      <c r="B3346" s="6" t="s">
        <v>833</v>
      </c>
      <c r="C3346" s="6" t="s">
        <v>124</v>
      </c>
      <c r="D3346" s="13" t="n">
        <v>45619</v>
      </c>
      <c r="E3346" s="14" t="n">
        <v>4878.62</v>
      </c>
      <c r="F3346" s="14" t="n">
        <v>34377.88</v>
      </c>
      <c r="G3346" s="6" t="s">
        <v>2613</v>
      </c>
    </row>
    <row r="3347" customFormat="false" ht="15" hidden="false" customHeight="true" outlineLevel="0" collapsed="false">
      <c r="A3347" s="6" t="s">
        <v>5959</v>
      </c>
      <c r="B3347" s="6" t="s">
        <v>833</v>
      </c>
      <c r="C3347" s="6" t="s">
        <v>124</v>
      </c>
      <c r="D3347" s="13" t="n">
        <v>45626</v>
      </c>
      <c r="E3347" s="14" t="n">
        <v>3823.97</v>
      </c>
      <c r="F3347" s="14" t="n">
        <v>38201.85</v>
      </c>
      <c r="G3347" s="6" t="s">
        <v>2613</v>
      </c>
    </row>
    <row r="3348" customFormat="false" ht="15" hidden="false" customHeight="true" outlineLevel="0" collapsed="false">
      <c r="A3348" s="6" t="s">
        <v>5960</v>
      </c>
      <c r="B3348" s="6" t="s">
        <v>833</v>
      </c>
      <c r="C3348" s="6" t="s">
        <v>124</v>
      </c>
      <c r="D3348" s="13" t="n">
        <v>45633</v>
      </c>
      <c r="E3348" s="14" t="n">
        <v>3723.47</v>
      </c>
      <c r="F3348" s="14" t="n">
        <v>41925.32</v>
      </c>
      <c r="G3348" s="6" t="s">
        <v>2613</v>
      </c>
    </row>
    <row r="3349" customFormat="false" ht="15" hidden="false" customHeight="true" outlineLevel="0" collapsed="false">
      <c r="A3349" s="6" t="s">
        <v>5961</v>
      </c>
      <c r="B3349" s="6" t="s">
        <v>833</v>
      </c>
      <c r="C3349" s="6" t="s">
        <v>124</v>
      </c>
      <c r="D3349" s="13" t="n">
        <v>45640</v>
      </c>
      <c r="E3349" s="14" t="n">
        <v>2783.66</v>
      </c>
      <c r="F3349" s="14" t="n">
        <v>44708.98</v>
      </c>
      <c r="G3349" s="6" t="s">
        <v>2613</v>
      </c>
    </row>
    <row r="3350" customFormat="false" ht="15" hidden="false" customHeight="true" outlineLevel="0" collapsed="false">
      <c r="A3350" s="6" t="s">
        <v>5962</v>
      </c>
      <c r="B3350" s="6" t="s">
        <v>833</v>
      </c>
      <c r="C3350" s="6" t="s">
        <v>124</v>
      </c>
      <c r="D3350" s="13" t="n">
        <v>45647</v>
      </c>
      <c r="E3350" s="14" t="n">
        <v>3773.51</v>
      </c>
      <c r="F3350" s="14" t="n">
        <v>48482.49</v>
      </c>
      <c r="G3350" s="6" t="s">
        <v>2613</v>
      </c>
    </row>
    <row r="3351" customFormat="false" ht="15" hidden="false" customHeight="true" outlineLevel="0" collapsed="false">
      <c r="A3351" s="6" t="s">
        <v>5963</v>
      </c>
      <c r="B3351" s="6" t="s">
        <v>833</v>
      </c>
      <c r="C3351" s="6" t="s">
        <v>124</v>
      </c>
      <c r="D3351" s="13" t="n">
        <v>45654</v>
      </c>
      <c r="E3351" s="14" t="n">
        <v>2874.33</v>
      </c>
      <c r="F3351" s="14" t="n">
        <v>51356.82</v>
      </c>
      <c r="G3351" s="6" t="s">
        <v>2613</v>
      </c>
    </row>
    <row r="3352" customFormat="false" ht="15" hidden="false" customHeight="true" outlineLevel="0" collapsed="false">
      <c r="A3352" s="6" t="s">
        <v>5964</v>
      </c>
      <c r="B3352" s="6" t="s">
        <v>833</v>
      </c>
      <c r="C3352" s="6" t="s">
        <v>124</v>
      </c>
      <c r="D3352" s="13" t="n">
        <v>45661</v>
      </c>
      <c r="E3352" s="14" t="n">
        <v>4873.99</v>
      </c>
      <c r="F3352" s="14" t="n">
        <v>56230.81</v>
      </c>
      <c r="G3352" s="6" t="s">
        <v>2613</v>
      </c>
    </row>
    <row r="3353" customFormat="false" ht="15" hidden="false" customHeight="true" outlineLevel="0" collapsed="false">
      <c r="A3353" s="6" t="s">
        <v>5965</v>
      </c>
      <c r="B3353" s="6" t="s">
        <v>833</v>
      </c>
      <c r="C3353" s="6" t="s">
        <v>124</v>
      </c>
      <c r="D3353" s="13" t="n">
        <v>45668</v>
      </c>
      <c r="E3353" s="14" t="n">
        <v>2834.07</v>
      </c>
      <c r="F3353" s="14" t="n">
        <v>59064.88</v>
      </c>
      <c r="G3353" s="6" t="s">
        <v>2613</v>
      </c>
    </row>
    <row r="3354" customFormat="false" ht="15" hidden="false" customHeight="true" outlineLevel="0" collapsed="false">
      <c r="A3354" s="6" t="s">
        <v>5966</v>
      </c>
      <c r="B3354" s="6" t="s">
        <v>833</v>
      </c>
      <c r="C3354" s="6" t="s">
        <v>124</v>
      </c>
      <c r="D3354" s="13" t="n">
        <v>45675</v>
      </c>
      <c r="E3354" s="14" t="n">
        <v>4960.16</v>
      </c>
      <c r="F3354" s="14" t="n">
        <v>64025.04</v>
      </c>
      <c r="G3354" s="6" t="s">
        <v>2623</v>
      </c>
    </row>
    <row r="3355" customFormat="false" ht="15" hidden="false" customHeight="true" outlineLevel="0" collapsed="false">
      <c r="A3355" s="6" t="s">
        <v>5967</v>
      </c>
      <c r="B3355" s="6" t="s">
        <v>833</v>
      </c>
      <c r="C3355" s="6" t="s">
        <v>124</v>
      </c>
      <c r="D3355" s="13" t="n">
        <v>45682</v>
      </c>
      <c r="E3355" s="14" t="n">
        <v>2260.02</v>
      </c>
      <c r="F3355" s="14" t="n">
        <v>66285.06</v>
      </c>
      <c r="G3355" s="6" t="s">
        <v>2613</v>
      </c>
    </row>
    <row r="3356" customFormat="false" ht="15" hidden="false" customHeight="true" outlineLevel="0" collapsed="false">
      <c r="A3356" s="6" t="s">
        <v>5968</v>
      </c>
      <c r="B3356" s="6" t="s">
        <v>833</v>
      </c>
      <c r="C3356" s="6" t="s">
        <v>124</v>
      </c>
      <c r="D3356" s="13" t="n">
        <v>45689</v>
      </c>
      <c r="E3356" s="14" t="n">
        <v>2502.14</v>
      </c>
      <c r="F3356" s="14" t="n">
        <v>68787.2</v>
      </c>
      <c r="G3356" s="6" t="s">
        <v>2613</v>
      </c>
    </row>
    <row r="3357" customFormat="false" ht="15" hidden="false" customHeight="true" outlineLevel="0" collapsed="false">
      <c r="A3357" s="6" t="s">
        <v>5969</v>
      </c>
      <c r="B3357" s="6" t="s">
        <v>833</v>
      </c>
      <c r="C3357" s="6" t="s">
        <v>124</v>
      </c>
      <c r="D3357" s="13" t="n">
        <v>45696</v>
      </c>
      <c r="E3357" s="14" t="n">
        <v>4587.42</v>
      </c>
      <c r="F3357" s="14" t="n">
        <v>73374.62</v>
      </c>
      <c r="G3357" s="6" t="s">
        <v>2613</v>
      </c>
    </row>
    <row r="3358" customFormat="false" ht="15" hidden="false" customHeight="true" outlineLevel="0" collapsed="false">
      <c r="A3358" s="6" t="s">
        <v>5970</v>
      </c>
      <c r="B3358" s="6" t="s">
        <v>835</v>
      </c>
      <c r="C3358" s="6" t="s">
        <v>116</v>
      </c>
      <c r="D3358" s="13" t="n">
        <v>44837</v>
      </c>
      <c r="E3358" s="14" t="n">
        <v>408.21</v>
      </c>
      <c r="F3358" s="14" t="n">
        <v>408.21</v>
      </c>
      <c r="G3358" s="6" t="s">
        <v>2623</v>
      </c>
    </row>
    <row r="3359" customFormat="false" ht="15" hidden="false" customHeight="true" outlineLevel="0" collapsed="false">
      <c r="A3359" s="6" t="s">
        <v>5971</v>
      </c>
      <c r="B3359" s="6" t="s">
        <v>835</v>
      </c>
      <c r="C3359" s="6" t="s">
        <v>116</v>
      </c>
      <c r="D3359" s="13" t="n">
        <v>44844</v>
      </c>
      <c r="E3359" s="14" t="n">
        <v>317.68</v>
      </c>
      <c r="F3359" s="14" t="n">
        <v>725.89</v>
      </c>
      <c r="G3359" s="6" t="s">
        <v>2613</v>
      </c>
    </row>
    <row r="3360" customFormat="false" ht="15" hidden="false" customHeight="true" outlineLevel="0" collapsed="false">
      <c r="A3360" s="6" t="s">
        <v>5972</v>
      </c>
      <c r="B3360" s="6" t="s">
        <v>835</v>
      </c>
      <c r="C3360" s="6" t="s">
        <v>116</v>
      </c>
      <c r="D3360" s="13" t="n">
        <v>44851</v>
      </c>
      <c r="E3360" s="14" t="n">
        <v>375.45</v>
      </c>
      <c r="F3360" s="14" t="n">
        <v>1101.34</v>
      </c>
      <c r="G3360" s="6" t="s">
        <v>2623</v>
      </c>
    </row>
    <row r="3361" customFormat="false" ht="15" hidden="false" customHeight="true" outlineLevel="0" collapsed="false">
      <c r="A3361" s="6" t="s">
        <v>5973</v>
      </c>
      <c r="B3361" s="6" t="s">
        <v>835</v>
      </c>
      <c r="C3361" s="6" t="s">
        <v>116</v>
      </c>
      <c r="D3361" s="13" t="n">
        <v>44858</v>
      </c>
      <c r="E3361" s="14" t="n">
        <v>377.99</v>
      </c>
      <c r="F3361" s="14" t="n">
        <v>1479.33</v>
      </c>
      <c r="G3361" s="6" t="s">
        <v>2613</v>
      </c>
    </row>
    <row r="3362" customFormat="false" ht="15" hidden="false" customHeight="true" outlineLevel="0" collapsed="false">
      <c r="A3362" s="6" t="s">
        <v>5974</v>
      </c>
      <c r="B3362" s="6" t="s">
        <v>835</v>
      </c>
      <c r="C3362" s="6" t="s">
        <v>116</v>
      </c>
      <c r="D3362" s="13" t="n">
        <v>44865</v>
      </c>
      <c r="E3362" s="14" t="n">
        <v>422.64</v>
      </c>
      <c r="F3362" s="14" t="n">
        <v>1901.97</v>
      </c>
      <c r="G3362" s="6" t="s">
        <v>2623</v>
      </c>
    </row>
    <row r="3363" customFormat="false" ht="15" hidden="false" customHeight="true" outlineLevel="0" collapsed="false">
      <c r="A3363" s="6" t="s">
        <v>5975</v>
      </c>
      <c r="B3363" s="6" t="s">
        <v>835</v>
      </c>
      <c r="C3363" s="6" t="s">
        <v>116</v>
      </c>
      <c r="D3363" s="13" t="n">
        <v>44872</v>
      </c>
      <c r="E3363" s="14" t="n">
        <v>338.87</v>
      </c>
      <c r="F3363" s="14" t="n">
        <v>2240.84</v>
      </c>
      <c r="G3363" s="6" t="s">
        <v>2613</v>
      </c>
    </row>
    <row r="3364" customFormat="false" ht="15" hidden="false" customHeight="true" outlineLevel="0" collapsed="false">
      <c r="A3364" s="6" t="s">
        <v>5976</v>
      </c>
      <c r="B3364" s="6" t="s">
        <v>835</v>
      </c>
      <c r="C3364" s="6" t="s">
        <v>116</v>
      </c>
      <c r="D3364" s="13" t="n">
        <v>44879</v>
      </c>
      <c r="E3364" s="14" t="n">
        <v>291.48</v>
      </c>
      <c r="F3364" s="14" t="n">
        <v>2532.32</v>
      </c>
      <c r="G3364" s="6" t="s">
        <v>2613</v>
      </c>
    </row>
    <row r="3365" customFormat="false" ht="15" hidden="false" customHeight="true" outlineLevel="0" collapsed="false">
      <c r="A3365" s="6" t="s">
        <v>5977</v>
      </c>
      <c r="B3365" s="6" t="s">
        <v>837</v>
      </c>
      <c r="C3365" s="6" t="s">
        <v>120</v>
      </c>
      <c r="D3365" s="13" t="n">
        <v>44759</v>
      </c>
      <c r="E3365" s="14" t="n">
        <v>2722.85</v>
      </c>
      <c r="F3365" s="14" t="n">
        <v>2722.85</v>
      </c>
      <c r="G3365" s="6" t="s">
        <v>2613</v>
      </c>
    </row>
    <row r="3366" customFormat="false" ht="15" hidden="false" customHeight="true" outlineLevel="0" collapsed="false">
      <c r="A3366" s="6" t="s">
        <v>5978</v>
      </c>
      <c r="B3366" s="6" t="s">
        <v>837</v>
      </c>
      <c r="C3366" s="6" t="s">
        <v>120</v>
      </c>
      <c r="D3366" s="13" t="n">
        <v>44766</v>
      </c>
      <c r="E3366" s="14" t="n">
        <v>3846.13</v>
      </c>
      <c r="F3366" s="14" t="n">
        <v>6568.98</v>
      </c>
      <c r="G3366" s="6" t="s">
        <v>2613</v>
      </c>
    </row>
    <row r="3367" customFormat="false" ht="15" hidden="false" customHeight="true" outlineLevel="0" collapsed="false">
      <c r="A3367" s="6" t="s">
        <v>5979</v>
      </c>
      <c r="B3367" s="6" t="s">
        <v>837</v>
      </c>
      <c r="C3367" s="6" t="s">
        <v>120</v>
      </c>
      <c r="D3367" s="13" t="n">
        <v>44773</v>
      </c>
      <c r="E3367" s="14" t="n">
        <v>2997.76</v>
      </c>
      <c r="F3367" s="14" t="n">
        <v>9566.74</v>
      </c>
      <c r="G3367" s="6" t="s">
        <v>2613</v>
      </c>
    </row>
    <row r="3368" customFormat="false" ht="15" hidden="false" customHeight="true" outlineLevel="0" collapsed="false">
      <c r="A3368" s="6" t="s">
        <v>5980</v>
      </c>
      <c r="B3368" s="6" t="s">
        <v>837</v>
      </c>
      <c r="C3368" s="6" t="s">
        <v>120</v>
      </c>
      <c r="D3368" s="13" t="n">
        <v>44780</v>
      </c>
      <c r="E3368" s="14" t="n">
        <v>3911.46</v>
      </c>
      <c r="F3368" s="14" t="n">
        <v>13478.2</v>
      </c>
      <c r="G3368" s="6" t="s">
        <v>2613</v>
      </c>
    </row>
    <row r="3369" customFormat="false" ht="15" hidden="false" customHeight="true" outlineLevel="0" collapsed="false">
      <c r="A3369" s="6" t="s">
        <v>5981</v>
      </c>
      <c r="B3369" s="6" t="s">
        <v>837</v>
      </c>
      <c r="C3369" s="6" t="s">
        <v>120</v>
      </c>
      <c r="D3369" s="13" t="n">
        <v>44787</v>
      </c>
      <c r="E3369" s="14" t="n">
        <v>4004.49</v>
      </c>
      <c r="F3369" s="14" t="n">
        <v>17482.69</v>
      </c>
      <c r="G3369" s="6" t="s">
        <v>2613</v>
      </c>
    </row>
    <row r="3370" customFormat="false" ht="15" hidden="false" customHeight="true" outlineLevel="0" collapsed="false">
      <c r="A3370" s="6" t="s">
        <v>5982</v>
      </c>
      <c r="B3370" s="6" t="s">
        <v>837</v>
      </c>
      <c r="C3370" s="6" t="s">
        <v>120</v>
      </c>
      <c r="D3370" s="13" t="n">
        <v>44794</v>
      </c>
      <c r="E3370" s="14" t="n">
        <v>3182.71</v>
      </c>
      <c r="F3370" s="14" t="n">
        <v>20665.4</v>
      </c>
      <c r="G3370" s="6" t="s">
        <v>2613</v>
      </c>
    </row>
    <row r="3371" customFormat="false" ht="15" hidden="false" customHeight="true" outlineLevel="0" collapsed="false">
      <c r="A3371" s="6" t="s">
        <v>5983</v>
      </c>
      <c r="B3371" s="6" t="s">
        <v>837</v>
      </c>
      <c r="C3371" s="6" t="s">
        <v>120</v>
      </c>
      <c r="D3371" s="13" t="n">
        <v>44801</v>
      </c>
      <c r="E3371" s="14" t="n">
        <v>2051.33</v>
      </c>
      <c r="F3371" s="14" t="n">
        <v>22716.73</v>
      </c>
      <c r="G3371" s="6" t="s">
        <v>2613</v>
      </c>
    </row>
    <row r="3372" customFormat="false" ht="15" hidden="false" customHeight="true" outlineLevel="0" collapsed="false">
      <c r="A3372" s="6" t="s">
        <v>5984</v>
      </c>
      <c r="B3372" s="6" t="s">
        <v>837</v>
      </c>
      <c r="C3372" s="6" t="s">
        <v>120</v>
      </c>
      <c r="D3372" s="13" t="n">
        <v>44808</v>
      </c>
      <c r="E3372" s="14" t="n">
        <v>3168.98</v>
      </c>
      <c r="F3372" s="14" t="n">
        <v>25885.71</v>
      </c>
      <c r="G3372" s="6" t="s">
        <v>2613</v>
      </c>
    </row>
    <row r="3373" customFormat="false" ht="15" hidden="false" customHeight="true" outlineLevel="0" collapsed="false">
      <c r="A3373" s="6" t="s">
        <v>5985</v>
      </c>
      <c r="B3373" s="6" t="s">
        <v>837</v>
      </c>
      <c r="C3373" s="6" t="s">
        <v>120</v>
      </c>
      <c r="D3373" s="13" t="n">
        <v>44815</v>
      </c>
      <c r="E3373" s="14" t="n">
        <v>2273.85</v>
      </c>
      <c r="F3373" s="14" t="n">
        <v>28159.56</v>
      </c>
      <c r="G3373" s="6" t="s">
        <v>2613</v>
      </c>
    </row>
    <row r="3374" customFormat="false" ht="15" hidden="false" customHeight="true" outlineLevel="0" collapsed="false">
      <c r="A3374" s="6" t="s">
        <v>5986</v>
      </c>
      <c r="B3374" s="6" t="s">
        <v>837</v>
      </c>
      <c r="C3374" s="6" t="s">
        <v>120</v>
      </c>
      <c r="D3374" s="13" t="n">
        <v>44822</v>
      </c>
      <c r="E3374" s="14" t="n">
        <v>2366.03</v>
      </c>
      <c r="F3374" s="14" t="n">
        <v>30525.59</v>
      </c>
      <c r="G3374" s="6" t="s">
        <v>2613</v>
      </c>
    </row>
    <row r="3375" customFormat="false" ht="15" hidden="false" customHeight="true" outlineLevel="0" collapsed="false">
      <c r="A3375" s="6" t="s">
        <v>5987</v>
      </c>
      <c r="B3375" s="6" t="s">
        <v>837</v>
      </c>
      <c r="C3375" s="6" t="s">
        <v>120</v>
      </c>
      <c r="D3375" s="13" t="n">
        <v>44829</v>
      </c>
      <c r="E3375" s="14" t="n">
        <v>5874.04</v>
      </c>
      <c r="F3375" s="14" t="n">
        <v>36399.63</v>
      </c>
      <c r="G3375" s="6" t="s">
        <v>2623</v>
      </c>
    </row>
    <row r="3376" customFormat="false" ht="15" hidden="false" customHeight="true" outlineLevel="0" collapsed="false">
      <c r="A3376" s="6" t="s">
        <v>5988</v>
      </c>
      <c r="B3376" s="6" t="s">
        <v>839</v>
      </c>
      <c r="C3376" s="6" t="s">
        <v>128</v>
      </c>
      <c r="D3376" s="13" t="n">
        <v>46126</v>
      </c>
      <c r="E3376" s="14" t="n">
        <v>6746.32</v>
      </c>
      <c r="F3376" s="14" t="n">
        <v>6746.32</v>
      </c>
      <c r="G3376" s="6" t="s">
        <v>2613</v>
      </c>
    </row>
    <row r="3377" customFormat="false" ht="15" hidden="false" customHeight="true" outlineLevel="0" collapsed="false">
      <c r="A3377" s="6" t="s">
        <v>5989</v>
      </c>
      <c r="B3377" s="6" t="s">
        <v>839</v>
      </c>
      <c r="C3377" s="6" t="s">
        <v>128</v>
      </c>
      <c r="D3377" s="13" t="n">
        <v>46133</v>
      </c>
      <c r="E3377" s="14" t="n">
        <v>7324.28</v>
      </c>
      <c r="F3377" s="14" t="n">
        <v>14070.6</v>
      </c>
      <c r="G3377" s="6" t="s">
        <v>2613</v>
      </c>
    </row>
    <row r="3378" customFormat="false" ht="15" hidden="false" customHeight="true" outlineLevel="0" collapsed="false">
      <c r="A3378" s="6" t="s">
        <v>5990</v>
      </c>
      <c r="B3378" s="6" t="s">
        <v>839</v>
      </c>
      <c r="C3378" s="6" t="s">
        <v>128</v>
      </c>
      <c r="D3378" s="13" t="n">
        <v>46140</v>
      </c>
      <c r="E3378" s="14" t="n">
        <v>7213.69</v>
      </c>
      <c r="F3378" s="14" t="n">
        <v>21284.29</v>
      </c>
      <c r="G3378" s="6" t="s">
        <v>2613</v>
      </c>
    </row>
    <row r="3379" customFormat="false" ht="15" hidden="false" customHeight="true" outlineLevel="0" collapsed="false">
      <c r="A3379" s="6" t="s">
        <v>5991</v>
      </c>
      <c r="B3379" s="6" t="s">
        <v>839</v>
      </c>
      <c r="C3379" s="6" t="s">
        <v>128</v>
      </c>
      <c r="D3379" s="13" t="n">
        <v>46147</v>
      </c>
      <c r="E3379" s="14" t="n">
        <v>7786.59</v>
      </c>
      <c r="F3379" s="14" t="n">
        <v>29070.88</v>
      </c>
      <c r="G3379" s="6" t="s">
        <v>2623</v>
      </c>
    </row>
    <row r="3380" customFormat="false" ht="15" hidden="false" customHeight="true" outlineLevel="0" collapsed="false">
      <c r="A3380" s="6" t="s">
        <v>5992</v>
      </c>
      <c r="B3380" s="6" t="s">
        <v>839</v>
      </c>
      <c r="C3380" s="6" t="s">
        <v>128</v>
      </c>
      <c r="D3380" s="13" t="n">
        <v>46154</v>
      </c>
      <c r="E3380" s="14" t="n">
        <v>9697.75</v>
      </c>
      <c r="F3380" s="14" t="n">
        <v>38768.63</v>
      </c>
      <c r="G3380" s="6" t="s">
        <v>2613</v>
      </c>
    </row>
    <row r="3381" customFormat="false" ht="15" hidden="false" customHeight="true" outlineLevel="0" collapsed="false">
      <c r="A3381" s="6" t="s">
        <v>5993</v>
      </c>
      <c r="B3381" s="6" t="s">
        <v>839</v>
      </c>
      <c r="C3381" s="6" t="s">
        <v>128</v>
      </c>
      <c r="D3381" s="13" t="n">
        <v>46161</v>
      </c>
      <c r="E3381" s="14" t="n">
        <v>10399.96</v>
      </c>
      <c r="F3381" s="14" t="n">
        <v>49168.59</v>
      </c>
      <c r="G3381" s="6" t="s">
        <v>2613</v>
      </c>
    </row>
    <row r="3382" customFormat="false" ht="15" hidden="false" customHeight="true" outlineLevel="0" collapsed="false">
      <c r="A3382" s="6" t="s">
        <v>5994</v>
      </c>
      <c r="B3382" s="6" t="s">
        <v>839</v>
      </c>
      <c r="C3382" s="6" t="s">
        <v>128</v>
      </c>
      <c r="D3382" s="13" t="n">
        <v>46168</v>
      </c>
      <c r="E3382" s="14" t="n">
        <v>7156.96</v>
      </c>
      <c r="F3382" s="14" t="n">
        <v>56325.55</v>
      </c>
      <c r="G3382" s="6" t="s">
        <v>2613</v>
      </c>
    </row>
    <row r="3383" customFormat="false" ht="15" hidden="false" customHeight="true" outlineLevel="0" collapsed="false">
      <c r="A3383" s="6" t="s">
        <v>5995</v>
      </c>
      <c r="B3383" s="6" t="s">
        <v>839</v>
      </c>
      <c r="C3383" s="6" t="s">
        <v>128</v>
      </c>
      <c r="D3383" s="13" t="n">
        <v>46175</v>
      </c>
      <c r="E3383" s="14" t="n">
        <v>11001.35</v>
      </c>
      <c r="F3383" s="14" t="n">
        <v>67326.9</v>
      </c>
      <c r="G3383" s="6" t="s">
        <v>2613</v>
      </c>
    </row>
    <row r="3384" customFormat="false" ht="15" hidden="false" customHeight="true" outlineLevel="0" collapsed="false">
      <c r="A3384" s="6" t="s">
        <v>5996</v>
      </c>
      <c r="B3384" s="6" t="s">
        <v>841</v>
      </c>
      <c r="C3384" s="6" t="s">
        <v>131</v>
      </c>
      <c r="D3384" s="13" t="n">
        <v>45633</v>
      </c>
      <c r="E3384" s="14" t="n">
        <v>1767.73</v>
      </c>
      <c r="F3384" s="14" t="n">
        <v>1767.73</v>
      </c>
      <c r="G3384" s="6" t="s">
        <v>2613</v>
      </c>
    </row>
    <row r="3385" customFormat="false" ht="15" hidden="false" customHeight="true" outlineLevel="0" collapsed="false">
      <c r="A3385" s="6" t="s">
        <v>5997</v>
      </c>
      <c r="B3385" s="6" t="s">
        <v>841</v>
      </c>
      <c r="C3385" s="6" t="s">
        <v>131</v>
      </c>
      <c r="D3385" s="13" t="n">
        <v>45640</v>
      </c>
      <c r="E3385" s="14" t="n">
        <v>1953.48</v>
      </c>
      <c r="F3385" s="14" t="n">
        <v>3721.21</v>
      </c>
      <c r="G3385" s="6" t="s">
        <v>2623</v>
      </c>
    </row>
    <row r="3386" customFormat="false" ht="15" hidden="false" customHeight="true" outlineLevel="0" collapsed="false">
      <c r="A3386" s="6" t="s">
        <v>5998</v>
      </c>
      <c r="B3386" s="6" t="s">
        <v>843</v>
      </c>
      <c r="C3386" s="6" t="s">
        <v>124</v>
      </c>
      <c r="D3386" s="13" t="n">
        <v>45954</v>
      </c>
      <c r="E3386" s="14" t="n">
        <v>3507.07</v>
      </c>
      <c r="F3386" s="14" t="n">
        <v>3507.07</v>
      </c>
      <c r="G3386" s="6" t="s">
        <v>2613</v>
      </c>
    </row>
    <row r="3387" customFormat="false" ht="15" hidden="false" customHeight="true" outlineLevel="0" collapsed="false">
      <c r="A3387" s="6" t="s">
        <v>5999</v>
      </c>
      <c r="B3387" s="6" t="s">
        <v>843</v>
      </c>
      <c r="C3387" s="6" t="s">
        <v>124</v>
      </c>
      <c r="D3387" s="13" t="n">
        <v>45961</v>
      </c>
      <c r="E3387" s="14" t="n">
        <v>1959.26</v>
      </c>
      <c r="F3387" s="14" t="n">
        <v>5466.33</v>
      </c>
      <c r="G3387" s="6" t="s">
        <v>2613</v>
      </c>
    </row>
    <row r="3388" customFormat="false" ht="15" hidden="false" customHeight="true" outlineLevel="0" collapsed="false">
      <c r="A3388" s="6" t="s">
        <v>6000</v>
      </c>
      <c r="B3388" s="6" t="s">
        <v>843</v>
      </c>
      <c r="C3388" s="6" t="s">
        <v>124</v>
      </c>
      <c r="D3388" s="13" t="n">
        <v>45968</v>
      </c>
      <c r="E3388" s="14" t="n">
        <v>3069.59</v>
      </c>
      <c r="F3388" s="14" t="n">
        <v>8535.92</v>
      </c>
      <c r="G3388" s="6" t="s">
        <v>2613</v>
      </c>
    </row>
    <row r="3389" customFormat="false" ht="15" hidden="false" customHeight="true" outlineLevel="0" collapsed="false">
      <c r="A3389" s="6" t="s">
        <v>6001</v>
      </c>
      <c r="B3389" s="6" t="s">
        <v>843</v>
      </c>
      <c r="C3389" s="6" t="s">
        <v>124</v>
      </c>
      <c r="D3389" s="13" t="n">
        <v>45975</v>
      </c>
      <c r="E3389" s="14" t="n">
        <v>3640.66</v>
      </c>
      <c r="F3389" s="14" t="n">
        <v>12176.58</v>
      </c>
      <c r="G3389" s="6" t="s">
        <v>2613</v>
      </c>
    </row>
    <row r="3390" customFormat="false" ht="15" hidden="false" customHeight="true" outlineLevel="0" collapsed="false">
      <c r="A3390" s="6" t="s">
        <v>6002</v>
      </c>
      <c r="B3390" s="6" t="s">
        <v>843</v>
      </c>
      <c r="C3390" s="6" t="s">
        <v>124</v>
      </c>
      <c r="D3390" s="13" t="n">
        <v>45982</v>
      </c>
      <c r="E3390" s="14" t="n">
        <v>2897.39</v>
      </c>
      <c r="F3390" s="14" t="n">
        <v>15073.97</v>
      </c>
      <c r="G3390" s="6" t="s">
        <v>2613</v>
      </c>
    </row>
    <row r="3391" customFormat="false" ht="15" hidden="false" customHeight="true" outlineLevel="0" collapsed="false">
      <c r="A3391" s="6" t="s">
        <v>6003</v>
      </c>
      <c r="B3391" s="6" t="s">
        <v>843</v>
      </c>
      <c r="C3391" s="6" t="s">
        <v>124</v>
      </c>
      <c r="D3391" s="13" t="n">
        <v>45989</v>
      </c>
      <c r="E3391" s="14" t="n">
        <v>2054.81</v>
      </c>
      <c r="F3391" s="14" t="n">
        <v>17128.78</v>
      </c>
      <c r="G3391" s="6" t="s">
        <v>2613</v>
      </c>
    </row>
    <row r="3392" customFormat="false" ht="15" hidden="false" customHeight="true" outlineLevel="0" collapsed="false">
      <c r="A3392" s="6" t="s">
        <v>6004</v>
      </c>
      <c r="B3392" s="6" t="s">
        <v>843</v>
      </c>
      <c r="C3392" s="6" t="s">
        <v>124</v>
      </c>
      <c r="D3392" s="13" t="n">
        <v>45996</v>
      </c>
      <c r="E3392" s="14" t="n">
        <v>3201.66</v>
      </c>
      <c r="F3392" s="14" t="n">
        <v>20330.44</v>
      </c>
      <c r="G3392" s="6" t="s">
        <v>2613</v>
      </c>
    </row>
    <row r="3393" customFormat="false" ht="15" hidden="false" customHeight="true" outlineLevel="0" collapsed="false">
      <c r="A3393" s="6" t="s">
        <v>6005</v>
      </c>
      <c r="B3393" s="6" t="s">
        <v>843</v>
      </c>
      <c r="C3393" s="6" t="s">
        <v>124</v>
      </c>
      <c r="D3393" s="13" t="n">
        <v>46003</v>
      </c>
      <c r="E3393" s="14" t="n">
        <v>3588.99</v>
      </c>
      <c r="F3393" s="14" t="n">
        <v>23919.43</v>
      </c>
      <c r="G3393" s="6" t="s">
        <v>2613</v>
      </c>
    </row>
    <row r="3394" customFormat="false" ht="15" hidden="false" customHeight="true" outlineLevel="0" collapsed="false">
      <c r="A3394" s="6" t="s">
        <v>6006</v>
      </c>
      <c r="B3394" s="6" t="s">
        <v>843</v>
      </c>
      <c r="C3394" s="6" t="s">
        <v>124</v>
      </c>
      <c r="D3394" s="13" t="n">
        <v>46010</v>
      </c>
      <c r="E3394" s="14" t="n">
        <v>3133.89</v>
      </c>
      <c r="F3394" s="14" t="n">
        <v>27053.32</v>
      </c>
      <c r="G3394" s="6" t="s">
        <v>2613</v>
      </c>
    </row>
    <row r="3395" customFormat="false" ht="15" hidden="false" customHeight="true" outlineLevel="0" collapsed="false">
      <c r="A3395" s="6" t="s">
        <v>6007</v>
      </c>
      <c r="B3395" s="6" t="s">
        <v>843</v>
      </c>
      <c r="C3395" s="6" t="s">
        <v>124</v>
      </c>
      <c r="D3395" s="13" t="n">
        <v>46017</v>
      </c>
      <c r="E3395" s="14" t="n">
        <v>2283.84</v>
      </c>
      <c r="F3395" s="14" t="n">
        <v>29337.16</v>
      </c>
      <c r="G3395" s="6" t="s">
        <v>2613</v>
      </c>
    </row>
    <row r="3396" customFormat="false" ht="15" hidden="false" customHeight="true" outlineLevel="0" collapsed="false">
      <c r="A3396" s="6" t="s">
        <v>6008</v>
      </c>
      <c r="B3396" s="6" t="s">
        <v>843</v>
      </c>
      <c r="C3396" s="6" t="s">
        <v>124</v>
      </c>
      <c r="D3396" s="13" t="n">
        <v>46024</v>
      </c>
      <c r="E3396" s="14" t="n">
        <v>74.82</v>
      </c>
      <c r="F3396" s="14" t="n">
        <v>29411.98</v>
      </c>
      <c r="G3396" s="6" t="s">
        <v>2613</v>
      </c>
    </row>
    <row r="3397" customFormat="false" ht="15" hidden="false" customHeight="true" outlineLevel="0" collapsed="false">
      <c r="A3397" s="6" t="s">
        <v>6009</v>
      </c>
      <c r="B3397" s="6" t="s">
        <v>845</v>
      </c>
      <c r="C3397" s="6" t="s">
        <v>112</v>
      </c>
      <c r="D3397" s="13" t="n">
        <v>45714</v>
      </c>
      <c r="E3397" s="14" t="n">
        <v>430.81</v>
      </c>
      <c r="F3397" s="14" t="n">
        <v>430.81</v>
      </c>
      <c r="G3397" s="6" t="s">
        <v>2613</v>
      </c>
    </row>
    <row r="3398" customFormat="false" ht="15" hidden="false" customHeight="true" outlineLevel="0" collapsed="false">
      <c r="A3398" s="6" t="s">
        <v>6010</v>
      </c>
      <c r="B3398" s="6" t="s">
        <v>845</v>
      </c>
      <c r="C3398" s="6" t="s">
        <v>112</v>
      </c>
      <c r="D3398" s="13" t="n">
        <v>45721</v>
      </c>
      <c r="E3398" s="14" t="n">
        <v>583.06</v>
      </c>
      <c r="F3398" s="14" t="n">
        <v>1013.87</v>
      </c>
      <c r="G3398" s="6" t="s">
        <v>2613</v>
      </c>
    </row>
    <row r="3399" customFormat="false" ht="15" hidden="false" customHeight="true" outlineLevel="0" collapsed="false">
      <c r="A3399" s="6" t="s">
        <v>6011</v>
      </c>
      <c r="B3399" s="6" t="s">
        <v>845</v>
      </c>
      <c r="C3399" s="6" t="s">
        <v>112</v>
      </c>
      <c r="D3399" s="13" t="n">
        <v>45728</v>
      </c>
      <c r="E3399" s="14" t="n">
        <v>663.11</v>
      </c>
      <c r="F3399" s="14" t="n">
        <v>1676.98</v>
      </c>
      <c r="G3399" s="6" t="s">
        <v>2613</v>
      </c>
    </row>
    <row r="3400" customFormat="false" ht="15" hidden="false" customHeight="true" outlineLevel="0" collapsed="false">
      <c r="A3400" s="6" t="s">
        <v>6012</v>
      </c>
      <c r="B3400" s="6" t="s">
        <v>845</v>
      </c>
      <c r="C3400" s="6" t="s">
        <v>112</v>
      </c>
      <c r="D3400" s="13" t="n">
        <v>45735</v>
      </c>
      <c r="E3400" s="14" t="n">
        <v>629.9</v>
      </c>
      <c r="F3400" s="14" t="n">
        <v>2306.88</v>
      </c>
      <c r="G3400" s="6" t="s">
        <v>2613</v>
      </c>
    </row>
    <row r="3401" customFormat="false" ht="15" hidden="false" customHeight="true" outlineLevel="0" collapsed="false">
      <c r="A3401" s="6" t="s">
        <v>6013</v>
      </c>
      <c r="B3401" s="6" t="s">
        <v>845</v>
      </c>
      <c r="C3401" s="6" t="s">
        <v>112</v>
      </c>
      <c r="D3401" s="13" t="n">
        <v>45742</v>
      </c>
      <c r="E3401" s="14" t="n">
        <v>949.59</v>
      </c>
      <c r="F3401" s="14" t="n">
        <v>3256.47</v>
      </c>
      <c r="G3401" s="6" t="s">
        <v>2613</v>
      </c>
    </row>
    <row r="3402" customFormat="false" ht="15" hidden="false" customHeight="true" outlineLevel="0" collapsed="false">
      <c r="A3402" s="6" t="s">
        <v>6014</v>
      </c>
      <c r="B3402" s="6" t="s">
        <v>845</v>
      </c>
      <c r="C3402" s="6" t="s">
        <v>112</v>
      </c>
      <c r="D3402" s="13" t="n">
        <v>45749</v>
      </c>
      <c r="E3402" s="14" t="n">
        <v>784.56</v>
      </c>
      <c r="F3402" s="14" t="n">
        <v>4041.03</v>
      </c>
      <c r="G3402" s="6" t="s">
        <v>2613</v>
      </c>
    </row>
    <row r="3403" customFormat="false" ht="15" hidden="false" customHeight="true" outlineLevel="0" collapsed="false">
      <c r="A3403" s="6" t="s">
        <v>6015</v>
      </c>
      <c r="B3403" s="6" t="s">
        <v>845</v>
      </c>
      <c r="C3403" s="6" t="s">
        <v>112</v>
      </c>
      <c r="D3403" s="13" t="n">
        <v>45756</v>
      </c>
      <c r="E3403" s="14" t="n">
        <v>756.96</v>
      </c>
      <c r="F3403" s="14" t="n">
        <v>4797.99</v>
      </c>
      <c r="G3403" s="6" t="s">
        <v>2613</v>
      </c>
    </row>
    <row r="3404" customFormat="false" ht="15" hidden="false" customHeight="true" outlineLevel="0" collapsed="false">
      <c r="A3404" s="6" t="s">
        <v>6016</v>
      </c>
      <c r="B3404" s="6" t="s">
        <v>845</v>
      </c>
      <c r="C3404" s="6" t="s">
        <v>112</v>
      </c>
      <c r="D3404" s="13" t="n">
        <v>45763</v>
      </c>
      <c r="E3404" s="14" t="n">
        <v>839.87</v>
      </c>
      <c r="F3404" s="14" t="n">
        <v>5637.86</v>
      </c>
      <c r="G3404" s="6" t="s">
        <v>2613</v>
      </c>
    </row>
    <row r="3405" customFormat="false" ht="15" hidden="false" customHeight="true" outlineLevel="0" collapsed="false">
      <c r="A3405" s="6" t="s">
        <v>6017</v>
      </c>
      <c r="B3405" s="6" t="s">
        <v>847</v>
      </c>
      <c r="C3405" s="6" t="s">
        <v>116</v>
      </c>
      <c r="D3405" s="13" t="n">
        <v>46078</v>
      </c>
      <c r="E3405" s="14" t="n">
        <v>601.39</v>
      </c>
      <c r="F3405" s="14" t="n">
        <v>601.39</v>
      </c>
      <c r="G3405" s="6" t="s">
        <v>2613</v>
      </c>
    </row>
    <row r="3406" customFormat="false" ht="15" hidden="false" customHeight="true" outlineLevel="0" collapsed="false">
      <c r="A3406" s="6" t="s">
        <v>6018</v>
      </c>
      <c r="B3406" s="6" t="s">
        <v>847</v>
      </c>
      <c r="C3406" s="6" t="s">
        <v>116</v>
      </c>
      <c r="D3406" s="13" t="n">
        <v>46085</v>
      </c>
      <c r="E3406" s="14" t="n">
        <v>753.75</v>
      </c>
      <c r="F3406" s="14" t="n">
        <v>1355.14</v>
      </c>
      <c r="G3406" s="6" t="s">
        <v>2613</v>
      </c>
    </row>
    <row r="3407" customFormat="false" ht="15" hidden="false" customHeight="true" outlineLevel="0" collapsed="false">
      <c r="A3407" s="6" t="s">
        <v>6019</v>
      </c>
      <c r="B3407" s="6" t="s">
        <v>847</v>
      </c>
      <c r="C3407" s="6" t="s">
        <v>116</v>
      </c>
      <c r="D3407" s="13" t="n">
        <v>46092</v>
      </c>
      <c r="E3407" s="14" t="n">
        <v>413.58</v>
      </c>
      <c r="F3407" s="14" t="n">
        <v>1768.72</v>
      </c>
      <c r="G3407" s="6" t="s">
        <v>2613</v>
      </c>
    </row>
    <row r="3408" customFormat="false" ht="15" hidden="false" customHeight="true" outlineLevel="0" collapsed="false">
      <c r="A3408" s="6" t="s">
        <v>6020</v>
      </c>
      <c r="B3408" s="6" t="s">
        <v>847</v>
      </c>
      <c r="C3408" s="6" t="s">
        <v>116</v>
      </c>
      <c r="D3408" s="13" t="n">
        <v>46099</v>
      </c>
      <c r="E3408" s="14" t="n">
        <v>440.69</v>
      </c>
      <c r="F3408" s="14" t="n">
        <v>2209.41</v>
      </c>
      <c r="G3408" s="6" t="s">
        <v>2613</v>
      </c>
    </row>
    <row r="3409" customFormat="false" ht="15" hidden="false" customHeight="true" outlineLevel="0" collapsed="false">
      <c r="A3409" s="6" t="s">
        <v>6021</v>
      </c>
      <c r="B3409" s="6" t="s">
        <v>847</v>
      </c>
      <c r="C3409" s="6" t="s">
        <v>116</v>
      </c>
      <c r="D3409" s="13" t="n">
        <v>46106</v>
      </c>
      <c r="E3409" s="14" t="n">
        <v>798.61</v>
      </c>
      <c r="F3409" s="14" t="n">
        <v>3008.02</v>
      </c>
      <c r="G3409" s="6" t="s">
        <v>2613</v>
      </c>
    </row>
    <row r="3410" customFormat="false" ht="15" hidden="false" customHeight="true" outlineLevel="0" collapsed="false">
      <c r="A3410" s="6" t="s">
        <v>6022</v>
      </c>
      <c r="B3410" s="6" t="s">
        <v>847</v>
      </c>
      <c r="C3410" s="6" t="s">
        <v>116</v>
      </c>
      <c r="D3410" s="13" t="n">
        <v>46113</v>
      </c>
      <c r="E3410" s="14" t="n">
        <v>809.1</v>
      </c>
      <c r="F3410" s="14" t="n">
        <v>3817.12</v>
      </c>
      <c r="G3410" s="6" t="s">
        <v>2623</v>
      </c>
    </row>
    <row r="3411" customFormat="false" ht="15" hidden="false" customHeight="true" outlineLevel="0" collapsed="false">
      <c r="A3411" s="6" t="s">
        <v>6023</v>
      </c>
      <c r="B3411" s="6" t="s">
        <v>847</v>
      </c>
      <c r="C3411" s="6" t="s">
        <v>116</v>
      </c>
      <c r="D3411" s="13" t="n">
        <v>46120</v>
      </c>
      <c r="E3411" s="14" t="n">
        <v>620.22</v>
      </c>
      <c r="F3411" s="14" t="n">
        <v>4437.34</v>
      </c>
      <c r="G3411" s="6" t="s">
        <v>2613</v>
      </c>
    </row>
    <row r="3412" customFormat="false" ht="15" hidden="false" customHeight="true" outlineLevel="0" collapsed="false">
      <c r="A3412" s="6" t="s">
        <v>6024</v>
      </c>
      <c r="B3412" s="6" t="s">
        <v>847</v>
      </c>
      <c r="C3412" s="6" t="s">
        <v>116</v>
      </c>
      <c r="D3412" s="13" t="n">
        <v>46127</v>
      </c>
      <c r="E3412" s="14" t="n">
        <v>695.49</v>
      </c>
      <c r="F3412" s="14" t="n">
        <v>5132.83</v>
      </c>
      <c r="G3412" s="6" t="s">
        <v>2613</v>
      </c>
    </row>
    <row r="3413" customFormat="false" ht="15" hidden="false" customHeight="true" outlineLevel="0" collapsed="false">
      <c r="A3413" s="6" t="s">
        <v>6025</v>
      </c>
      <c r="B3413" s="6" t="s">
        <v>847</v>
      </c>
      <c r="C3413" s="6" t="s">
        <v>116</v>
      </c>
      <c r="D3413" s="13" t="n">
        <v>46134</v>
      </c>
      <c r="E3413" s="14" t="n">
        <v>614.65</v>
      </c>
      <c r="F3413" s="14" t="n">
        <v>5747.48</v>
      </c>
      <c r="G3413" s="6" t="s">
        <v>2613</v>
      </c>
    </row>
    <row r="3414" customFormat="false" ht="15" hidden="false" customHeight="true" outlineLevel="0" collapsed="false">
      <c r="A3414" s="6" t="s">
        <v>6026</v>
      </c>
      <c r="B3414" s="6" t="s">
        <v>847</v>
      </c>
      <c r="C3414" s="6" t="s">
        <v>116</v>
      </c>
      <c r="D3414" s="13" t="n">
        <v>46141</v>
      </c>
      <c r="E3414" s="14" t="n">
        <v>644.03</v>
      </c>
      <c r="F3414" s="14" t="n">
        <v>6391.51</v>
      </c>
      <c r="G3414" s="6" t="s">
        <v>2613</v>
      </c>
    </row>
    <row r="3415" customFormat="false" ht="15" hidden="false" customHeight="true" outlineLevel="0" collapsed="false">
      <c r="A3415" s="6" t="s">
        <v>6027</v>
      </c>
      <c r="B3415" s="6" t="s">
        <v>847</v>
      </c>
      <c r="C3415" s="6" t="s">
        <v>116</v>
      </c>
      <c r="D3415" s="13" t="n">
        <v>46148</v>
      </c>
      <c r="E3415" s="14" t="n">
        <v>558.19</v>
      </c>
      <c r="F3415" s="14" t="n">
        <v>6949.7</v>
      </c>
      <c r="G3415" s="6" t="s">
        <v>2613</v>
      </c>
    </row>
    <row r="3416" customFormat="false" ht="15" hidden="false" customHeight="true" outlineLevel="0" collapsed="false">
      <c r="A3416" s="6" t="s">
        <v>6028</v>
      </c>
      <c r="B3416" s="6" t="s">
        <v>847</v>
      </c>
      <c r="C3416" s="6" t="s">
        <v>116</v>
      </c>
      <c r="D3416" s="13" t="n">
        <v>46155</v>
      </c>
      <c r="E3416" s="14" t="n">
        <v>521.93</v>
      </c>
      <c r="F3416" s="14" t="n">
        <v>7471.63</v>
      </c>
      <c r="G3416" s="6" t="s">
        <v>2613</v>
      </c>
    </row>
    <row r="3417" customFormat="false" ht="15" hidden="false" customHeight="true" outlineLevel="0" collapsed="false">
      <c r="A3417" s="6" t="s">
        <v>6029</v>
      </c>
      <c r="B3417" s="6" t="s">
        <v>847</v>
      </c>
      <c r="C3417" s="6" t="s">
        <v>116</v>
      </c>
      <c r="D3417" s="13" t="n">
        <v>46162</v>
      </c>
      <c r="E3417" s="14" t="n">
        <v>629.55</v>
      </c>
      <c r="F3417" s="14" t="n">
        <v>8101.18</v>
      </c>
      <c r="G3417" s="6" t="s">
        <v>2613</v>
      </c>
    </row>
    <row r="3418" customFormat="false" ht="15" hidden="false" customHeight="true" outlineLevel="0" collapsed="false">
      <c r="A3418" s="6" t="s">
        <v>6030</v>
      </c>
      <c r="B3418" s="6" t="s">
        <v>847</v>
      </c>
      <c r="C3418" s="6" t="s">
        <v>116</v>
      </c>
      <c r="D3418" s="13" t="n">
        <v>46169</v>
      </c>
      <c r="E3418" s="14" t="n">
        <v>501.28</v>
      </c>
      <c r="F3418" s="14" t="n">
        <v>8602.46</v>
      </c>
      <c r="G3418" s="6" t="s">
        <v>2613</v>
      </c>
    </row>
    <row r="3419" customFormat="false" ht="15" hidden="false" customHeight="true" outlineLevel="0" collapsed="false">
      <c r="A3419" s="6" t="s">
        <v>6031</v>
      </c>
      <c r="B3419" s="6" t="s">
        <v>849</v>
      </c>
      <c r="C3419" s="6" t="s">
        <v>116</v>
      </c>
      <c r="D3419" s="13" t="n">
        <v>45904</v>
      </c>
      <c r="E3419" s="14" t="n">
        <v>11670.4</v>
      </c>
      <c r="F3419" s="14" t="n">
        <v>11670.4</v>
      </c>
      <c r="G3419" s="6" t="s">
        <v>2613</v>
      </c>
    </row>
    <row r="3420" customFormat="false" ht="15" hidden="false" customHeight="true" outlineLevel="0" collapsed="false">
      <c r="A3420" s="6" t="s">
        <v>6032</v>
      </c>
      <c r="B3420" s="6" t="s">
        <v>849</v>
      </c>
      <c r="C3420" s="6" t="s">
        <v>116</v>
      </c>
      <c r="D3420" s="13" t="n">
        <v>45911</v>
      </c>
      <c r="E3420" s="14" t="n">
        <v>14854.01</v>
      </c>
      <c r="F3420" s="14" t="n">
        <v>26524.41</v>
      </c>
      <c r="G3420" s="6" t="s">
        <v>2613</v>
      </c>
    </row>
    <row r="3421" customFormat="false" ht="15" hidden="false" customHeight="true" outlineLevel="0" collapsed="false">
      <c r="A3421" s="6" t="s">
        <v>6033</v>
      </c>
      <c r="B3421" s="6" t="s">
        <v>849</v>
      </c>
      <c r="C3421" s="6" t="s">
        <v>116</v>
      </c>
      <c r="D3421" s="13" t="n">
        <v>45918</v>
      </c>
      <c r="E3421" s="14" t="n">
        <v>10081.41</v>
      </c>
      <c r="F3421" s="14" t="n">
        <v>36605.82</v>
      </c>
      <c r="G3421" s="6" t="s">
        <v>2613</v>
      </c>
    </row>
    <row r="3422" customFormat="false" ht="15" hidden="false" customHeight="true" outlineLevel="0" collapsed="false">
      <c r="A3422" s="6" t="s">
        <v>6034</v>
      </c>
      <c r="B3422" s="6" t="s">
        <v>849</v>
      </c>
      <c r="C3422" s="6" t="s">
        <v>116</v>
      </c>
      <c r="D3422" s="13" t="n">
        <v>45925</v>
      </c>
      <c r="E3422" s="14" t="n">
        <v>15695.59</v>
      </c>
      <c r="F3422" s="14" t="n">
        <v>52301.41</v>
      </c>
      <c r="G3422" s="6" t="s">
        <v>2613</v>
      </c>
    </row>
    <row r="3423" customFormat="false" ht="15" hidden="false" customHeight="true" outlineLevel="0" collapsed="false">
      <c r="A3423" s="6" t="s">
        <v>6035</v>
      </c>
      <c r="B3423" s="6" t="s">
        <v>851</v>
      </c>
      <c r="C3423" s="6" t="s">
        <v>116</v>
      </c>
      <c r="D3423" s="13" t="n">
        <v>45324</v>
      </c>
      <c r="E3423" s="14" t="n">
        <v>627.29</v>
      </c>
      <c r="F3423" s="14" t="n">
        <v>627.29</v>
      </c>
      <c r="G3423" s="6" t="s">
        <v>2613</v>
      </c>
    </row>
    <row r="3424" customFormat="false" ht="15" hidden="false" customHeight="true" outlineLevel="0" collapsed="false">
      <c r="A3424" s="6" t="s">
        <v>6036</v>
      </c>
      <c r="B3424" s="6" t="s">
        <v>851</v>
      </c>
      <c r="C3424" s="6" t="s">
        <v>116</v>
      </c>
      <c r="D3424" s="13" t="n">
        <v>45331</v>
      </c>
      <c r="E3424" s="14" t="n">
        <v>1148.7</v>
      </c>
      <c r="F3424" s="14" t="n">
        <v>1775.99</v>
      </c>
      <c r="G3424" s="6" t="s">
        <v>2613</v>
      </c>
    </row>
    <row r="3425" customFormat="false" ht="15" hidden="false" customHeight="true" outlineLevel="0" collapsed="false">
      <c r="A3425" s="6" t="s">
        <v>6037</v>
      </c>
      <c r="B3425" s="6" t="s">
        <v>851</v>
      </c>
      <c r="C3425" s="6" t="s">
        <v>116</v>
      </c>
      <c r="D3425" s="13" t="n">
        <v>45338</v>
      </c>
      <c r="E3425" s="14" t="n">
        <v>944.05</v>
      </c>
      <c r="F3425" s="14" t="n">
        <v>2720.04</v>
      </c>
      <c r="G3425" s="6" t="s">
        <v>2613</v>
      </c>
    </row>
    <row r="3426" customFormat="false" ht="15" hidden="false" customHeight="true" outlineLevel="0" collapsed="false">
      <c r="A3426" s="6" t="s">
        <v>6038</v>
      </c>
      <c r="B3426" s="6" t="s">
        <v>851</v>
      </c>
      <c r="C3426" s="6" t="s">
        <v>116</v>
      </c>
      <c r="D3426" s="13" t="n">
        <v>45345</v>
      </c>
      <c r="E3426" s="14" t="n">
        <v>1195.6</v>
      </c>
      <c r="F3426" s="14" t="n">
        <v>3915.64</v>
      </c>
      <c r="G3426" s="6" t="s">
        <v>2613</v>
      </c>
    </row>
    <row r="3427" customFormat="false" ht="15" hidden="false" customHeight="true" outlineLevel="0" collapsed="false">
      <c r="A3427" s="6" t="s">
        <v>6039</v>
      </c>
      <c r="B3427" s="6" t="s">
        <v>851</v>
      </c>
      <c r="C3427" s="6" t="s">
        <v>116</v>
      </c>
      <c r="D3427" s="13" t="n">
        <v>45352</v>
      </c>
      <c r="E3427" s="14" t="n">
        <v>663.65</v>
      </c>
      <c r="F3427" s="14" t="n">
        <v>4579.29</v>
      </c>
      <c r="G3427" s="6" t="s">
        <v>2613</v>
      </c>
    </row>
    <row r="3428" customFormat="false" ht="15" hidden="false" customHeight="true" outlineLevel="0" collapsed="false">
      <c r="A3428" s="6" t="s">
        <v>6040</v>
      </c>
      <c r="B3428" s="6" t="s">
        <v>851</v>
      </c>
      <c r="C3428" s="6" t="s">
        <v>116</v>
      </c>
      <c r="D3428" s="13" t="n">
        <v>45359</v>
      </c>
      <c r="E3428" s="14" t="n">
        <v>641.62</v>
      </c>
      <c r="F3428" s="14" t="n">
        <v>5220.91</v>
      </c>
      <c r="G3428" s="6" t="s">
        <v>2613</v>
      </c>
    </row>
    <row r="3429" customFormat="false" ht="15" hidden="false" customHeight="true" outlineLevel="0" collapsed="false">
      <c r="A3429" s="6" t="s">
        <v>6041</v>
      </c>
      <c r="B3429" s="6" t="s">
        <v>851</v>
      </c>
      <c r="C3429" s="6" t="s">
        <v>116</v>
      </c>
      <c r="D3429" s="13" t="n">
        <v>45366</v>
      </c>
      <c r="E3429" s="14" t="n">
        <v>1003.67</v>
      </c>
      <c r="F3429" s="14" t="n">
        <v>6224.58</v>
      </c>
      <c r="G3429" s="6" t="s">
        <v>2613</v>
      </c>
    </row>
    <row r="3430" customFormat="false" ht="15" hidden="false" customHeight="true" outlineLevel="0" collapsed="false">
      <c r="A3430" s="6" t="s">
        <v>6042</v>
      </c>
      <c r="B3430" s="6" t="s">
        <v>851</v>
      </c>
      <c r="C3430" s="6" t="s">
        <v>116</v>
      </c>
      <c r="D3430" s="13" t="n">
        <v>45373</v>
      </c>
      <c r="E3430" s="14" t="n">
        <v>990.25</v>
      </c>
      <c r="F3430" s="14" t="n">
        <v>7214.83</v>
      </c>
      <c r="G3430" s="6" t="s">
        <v>2613</v>
      </c>
    </row>
    <row r="3431" customFormat="false" ht="15" hidden="false" customHeight="true" outlineLevel="0" collapsed="false">
      <c r="A3431" s="6" t="s">
        <v>6043</v>
      </c>
      <c r="B3431" s="6" t="s">
        <v>851</v>
      </c>
      <c r="C3431" s="6" t="s">
        <v>116</v>
      </c>
      <c r="D3431" s="13" t="n">
        <v>45380</v>
      </c>
      <c r="E3431" s="14" t="n">
        <v>2034.21</v>
      </c>
      <c r="F3431" s="14" t="n">
        <v>9249.04</v>
      </c>
      <c r="G3431" s="6" t="s">
        <v>2613</v>
      </c>
    </row>
    <row r="3432" customFormat="false" ht="15" hidden="false" customHeight="true" outlineLevel="0" collapsed="false">
      <c r="A3432" s="6" t="s">
        <v>6044</v>
      </c>
      <c r="B3432" s="6" t="s">
        <v>853</v>
      </c>
      <c r="C3432" s="6" t="s">
        <v>131</v>
      </c>
      <c r="D3432" s="13" t="n">
        <v>44813</v>
      </c>
      <c r="E3432" s="14" t="n">
        <v>147.22</v>
      </c>
      <c r="F3432" s="14" t="n">
        <v>147.22</v>
      </c>
      <c r="G3432" s="6" t="s">
        <v>2623</v>
      </c>
    </row>
    <row r="3433" customFormat="false" ht="15" hidden="false" customHeight="true" outlineLevel="0" collapsed="false">
      <c r="A3433" s="6" t="s">
        <v>6045</v>
      </c>
      <c r="B3433" s="6" t="s">
        <v>853</v>
      </c>
      <c r="C3433" s="6" t="s">
        <v>131</v>
      </c>
      <c r="D3433" s="13" t="n">
        <v>44820</v>
      </c>
      <c r="E3433" s="14" t="n">
        <v>234.53</v>
      </c>
      <c r="F3433" s="14" t="n">
        <v>381.75</v>
      </c>
      <c r="G3433" s="6" t="s">
        <v>2613</v>
      </c>
    </row>
    <row r="3434" customFormat="false" ht="15" hidden="false" customHeight="true" outlineLevel="0" collapsed="false">
      <c r="A3434" s="6" t="s">
        <v>6046</v>
      </c>
      <c r="B3434" s="6" t="s">
        <v>853</v>
      </c>
      <c r="C3434" s="6" t="s">
        <v>131</v>
      </c>
      <c r="D3434" s="13" t="n">
        <v>44827</v>
      </c>
      <c r="E3434" s="14" t="n">
        <v>171.12</v>
      </c>
      <c r="F3434" s="14" t="n">
        <v>552.87</v>
      </c>
      <c r="G3434" s="6" t="s">
        <v>2613</v>
      </c>
    </row>
    <row r="3435" customFormat="false" ht="15" hidden="false" customHeight="true" outlineLevel="0" collapsed="false">
      <c r="A3435" s="6" t="s">
        <v>6047</v>
      </c>
      <c r="B3435" s="6" t="s">
        <v>853</v>
      </c>
      <c r="C3435" s="6" t="s">
        <v>131</v>
      </c>
      <c r="D3435" s="13" t="n">
        <v>44834</v>
      </c>
      <c r="E3435" s="14" t="n">
        <v>138.95</v>
      </c>
      <c r="F3435" s="14" t="n">
        <v>691.82</v>
      </c>
      <c r="G3435" s="6" t="s">
        <v>2613</v>
      </c>
    </row>
    <row r="3436" customFormat="false" ht="15" hidden="false" customHeight="true" outlineLevel="0" collapsed="false">
      <c r="A3436" s="6" t="s">
        <v>6048</v>
      </c>
      <c r="B3436" s="6" t="s">
        <v>853</v>
      </c>
      <c r="C3436" s="6" t="s">
        <v>131</v>
      </c>
      <c r="D3436" s="13" t="n">
        <v>44841</v>
      </c>
      <c r="E3436" s="14" t="n">
        <v>289.66</v>
      </c>
      <c r="F3436" s="14" t="n">
        <v>981.48</v>
      </c>
      <c r="G3436" s="6" t="s">
        <v>2613</v>
      </c>
    </row>
    <row r="3437" customFormat="false" ht="15" hidden="false" customHeight="true" outlineLevel="0" collapsed="false">
      <c r="A3437" s="6" t="s">
        <v>6049</v>
      </c>
      <c r="B3437" s="6" t="s">
        <v>853</v>
      </c>
      <c r="C3437" s="6" t="s">
        <v>131</v>
      </c>
      <c r="D3437" s="13" t="n">
        <v>44848</v>
      </c>
      <c r="E3437" s="14" t="n">
        <v>264.48</v>
      </c>
      <c r="F3437" s="14" t="n">
        <v>1245.96</v>
      </c>
      <c r="G3437" s="6" t="s">
        <v>2613</v>
      </c>
    </row>
    <row r="3438" customFormat="false" ht="15" hidden="false" customHeight="true" outlineLevel="0" collapsed="false">
      <c r="A3438" s="6" t="s">
        <v>6050</v>
      </c>
      <c r="B3438" s="6" t="s">
        <v>853</v>
      </c>
      <c r="C3438" s="6" t="s">
        <v>131</v>
      </c>
      <c r="D3438" s="13" t="n">
        <v>44855</v>
      </c>
      <c r="E3438" s="14" t="n">
        <v>242.28</v>
      </c>
      <c r="F3438" s="14" t="n">
        <v>1488.24</v>
      </c>
      <c r="G3438" s="6" t="s">
        <v>2613</v>
      </c>
    </row>
    <row r="3439" customFormat="false" ht="15" hidden="false" customHeight="true" outlineLevel="0" collapsed="false">
      <c r="A3439" s="6" t="s">
        <v>6051</v>
      </c>
      <c r="B3439" s="6" t="s">
        <v>853</v>
      </c>
      <c r="C3439" s="6" t="s">
        <v>131</v>
      </c>
      <c r="D3439" s="13" t="n">
        <v>44862</v>
      </c>
      <c r="E3439" s="14" t="n">
        <v>229.51</v>
      </c>
      <c r="F3439" s="14" t="n">
        <v>1717.75</v>
      </c>
      <c r="G3439" s="6" t="s">
        <v>2613</v>
      </c>
    </row>
    <row r="3440" customFormat="false" ht="15" hidden="false" customHeight="true" outlineLevel="0" collapsed="false">
      <c r="A3440" s="6" t="s">
        <v>6052</v>
      </c>
      <c r="B3440" s="6" t="s">
        <v>853</v>
      </c>
      <c r="C3440" s="6" t="s">
        <v>131</v>
      </c>
      <c r="D3440" s="13" t="n">
        <v>44869</v>
      </c>
      <c r="E3440" s="14" t="n">
        <v>209</v>
      </c>
      <c r="F3440" s="14" t="n">
        <v>1926.75</v>
      </c>
      <c r="G3440" s="6" t="s">
        <v>2613</v>
      </c>
    </row>
    <row r="3441" customFormat="false" ht="15" hidden="false" customHeight="true" outlineLevel="0" collapsed="false">
      <c r="A3441" s="6" t="s">
        <v>6053</v>
      </c>
      <c r="B3441" s="6" t="s">
        <v>853</v>
      </c>
      <c r="C3441" s="6" t="s">
        <v>131</v>
      </c>
      <c r="D3441" s="13" t="n">
        <v>44876</v>
      </c>
      <c r="E3441" s="14" t="n">
        <v>257.29</v>
      </c>
      <c r="F3441" s="14" t="n">
        <v>2184.04</v>
      </c>
      <c r="G3441" s="6" t="s">
        <v>2623</v>
      </c>
    </row>
    <row r="3442" customFormat="false" ht="15" hidden="false" customHeight="true" outlineLevel="0" collapsed="false">
      <c r="A3442" s="6" t="s">
        <v>6054</v>
      </c>
      <c r="B3442" s="6" t="s">
        <v>853</v>
      </c>
      <c r="C3442" s="6" t="s">
        <v>131</v>
      </c>
      <c r="D3442" s="13" t="n">
        <v>44883</v>
      </c>
      <c r="E3442" s="14" t="n">
        <v>285.45</v>
      </c>
      <c r="F3442" s="14" t="n">
        <v>2469.49</v>
      </c>
      <c r="G3442" s="6" t="s">
        <v>2613</v>
      </c>
    </row>
    <row r="3443" customFormat="false" ht="15" hidden="false" customHeight="true" outlineLevel="0" collapsed="false">
      <c r="A3443" s="6" t="s">
        <v>6055</v>
      </c>
      <c r="B3443" s="6" t="s">
        <v>853</v>
      </c>
      <c r="C3443" s="6" t="s">
        <v>131</v>
      </c>
      <c r="D3443" s="13" t="n">
        <v>44890</v>
      </c>
      <c r="E3443" s="14" t="n">
        <v>268.04</v>
      </c>
      <c r="F3443" s="14" t="n">
        <v>2737.53</v>
      </c>
      <c r="G3443" s="6" t="s">
        <v>2623</v>
      </c>
    </row>
    <row r="3444" customFormat="false" ht="15" hidden="false" customHeight="true" outlineLevel="0" collapsed="false">
      <c r="A3444" s="6" t="s">
        <v>6056</v>
      </c>
      <c r="B3444" s="6" t="s">
        <v>853</v>
      </c>
      <c r="C3444" s="6" t="s">
        <v>131</v>
      </c>
      <c r="D3444" s="13" t="n">
        <v>44897</v>
      </c>
      <c r="E3444" s="14" t="n">
        <v>216.29</v>
      </c>
      <c r="F3444" s="14" t="n">
        <v>2953.82</v>
      </c>
      <c r="G3444" s="6" t="s">
        <v>2613</v>
      </c>
    </row>
    <row r="3445" customFormat="false" ht="15" hidden="false" customHeight="true" outlineLevel="0" collapsed="false">
      <c r="A3445" s="6" t="s">
        <v>6057</v>
      </c>
      <c r="B3445" s="6" t="s">
        <v>853</v>
      </c>
      <c r="C3445" s="6" t="s">
        <v>131</v>
      </c>
      <c r="D3445" s="13" t="n">
        <v>44904</v>
      </c>
      <c r="E3445" s="14" t="n">
        <v>171.94</v>
      </c>
      <c r="F3445" s="14" t="n">
        <v>3125.76</v>
      </c>
      <c r="G3445" s="6" t="s">
        <v>2613</v>
      </c>
    </row>
    <row r="3446" customFormat="false" ht="15" hidden="false" customHeight="true" outlineLevel="0" collapsed="false">
      <c r="A3446" s="6" t="s">
        <v>6058</v>
      </c>
      <c r="B3446" s="6" t="s">
        <v>853</v>
      </c>
      <c r="C3446" s="6" t="s">
        <v>131</v>
      </c>
      <c r="D3446" s="13" t="n">
        <v>44911</v>
      </c>
      <c r="E3446" s="14" t="n">
        <v>167.27</v>
      </c>
      <c r="F3446" s="14" t="n">
        <v>3293.03</v>
      </c>
      <c r="G3446" s="6" t="s">
        <v>2613</v>
      </c>
    </row>
    <row r="3447" customFormat="false" ht="15" hidden="false" customHeight="true" outlineLevel="0" collapsed="false">
      <c r="A3447" s="6" t="s">
        <v>6059</v>
      </c>
      <c r="B3447" s="6" t="s">
        <v>853</v>
      </c>
      <c r="C3447" s="6" t="s">
        <v>131</v>
      </c>
      <c r="D3447" s="13" t="n">
        <v>44918</v>
      </c>
      <c r="E3447" s="14" t="n">
        <v>287.78</v>
      </c>
      <c r="F3447" s="14" t="n">
        <v>3580.81</v>
      </c>
      <c r="G3447" s="6" t="s">
        <v>2623</v>
      </c>
    </row>
    <row r="3448" customFormat="false" ht="15" hidden="false" customHeight="true" outlineLevel="0" collapsed="false">
      <c r="A3448" s="6" t="s">
        <v>6060</v>
      </c>
      <c r="B3448" s="6" t="s">
        <v>853</v>
      </c>
      <c r="C3448" s="6" t="s">
        <v>131</v>
      </c>
      <c r="D3448" s="13" t="n">
        <v>44925</v>
      </c>
      <c r="E3448" s="14" t="n">
        <v>185.54</v>
      </c>
      <c r="F3448" s="14" t="n">
        <v>3766.35</v>
      </c>
      <c r="G3448" s="6" t="s">
        <v>2613</v>
      </c>
    </row>
    <row r="3449" customFormat="false" ht="15" hidden="false" customHeight="true" outlineLevel="0" collapsed="false">
      <c r="A3449" s="6" t="s">
        <v>6061</v>
      </c>
      <c r="B3449" s="6" t="s">
        <v>853</v>
      </c>
      <c r="C3449" s="6" t="s">
        <v>131</v>
      </c>
      <c r="D3449" s="13" t="n">
        <v>44932</v>
      </c>
      <c r="E3449" s="14" t="n">
        <v>197.81</v>
      </c>
      <c r="F3449" s="14" t="n">
        <v>3964.16</v>
      </c>
      <c r="G3449" s="6" t="s">
        <v>2613</v>
      </c>
    </row>
    <row r="3450" customFormat="false" ht="15" hidden="false" customHeight="true" outlineLevel="0" collapsed="false">
      <c r="A3450" s="6" t="s">
        <v>6062</v>
      </c>
      <c r="B3450" s="6" t="s">
        <v>853</v>
      </c>
      <c r="C3450" s="6" t="s">
        <v>131</v>
      </c>
      <c r="D3450" s="13" t="n">
        <v>44939</v>
      </c>
      <c r="E3450" s="14" t="n">
        <v>262.12</v>
      </c>
      <c r="F3450" s="14" t="n">
        <v>4226.28</v>
      </c>
      <c r="G3450" s="6" t="s">
        <v>2613</v>
      </c>
    </row>
    <row r="3451" customFormat="false" ht="15" hidden="false" customHeight="true" outlineLevel="0" collapsed="false">
      <c r="A3451" s="6" t="s">
        <v>6063</v>
      </c>
      <c r="B3451" s="6" t="s">
        <v>853</v>
      </c>
      <c r="C3451" s="6" t="s">
        <v>131</v>
      </c>
      <c r="D3451" s="13" t="n">
        <v>44946</v>
      </c>
      <c r="E3451" s="14" t="n">
        <v>219.84</v>
      </c>
      <c r="F3451" s="14" t="n">
        <v>4446.12</v>
      </c>
      <c r="G3451" s="6" t="s">
        <v>2613</v>
      </c>
    </row>
    <row r="3452" customFormat="false" ht="15" hidden="false" customHeight="true" outlineLevel="0" collapsed="false">
      <c r="A3452" s="6" t="s">
        <v>6064</v>
      </c>
      <c r="B3452" s="6" t="s">
        <v>853</v>
      </c>
      <c r="C3452" s="6" t="s">
        <v>131</v>
      </c>
      <c r="D3452" s="13" t="n">
        <v>44953</v>
      </c>
      <c r="E3452" s="14" t="n">
        <v>152.34</v>
      </c>
      <c r="F3452" s="14" t="n">
        <v>4598.46</v>
      </c>
      <c r="G3452" s="6" t="s">
        <v>2613</v>
      </c>
    </row>
    <row r="3453" customFormat="false" ht="15" hidden="false" customHeight="true" outlineLevel="0" collapsed="false">
      <c r="A3453" s="6" t="s">
        <v>6065</v>
      </c>
      <c r="B3453" s="6" t="s">
        <v>853</v>
      </c>
      <c r="C3453" s="6" t="s">
        <v>131</v>
      </c>
      <c r="D3453" s="13" t="n">
        <v>44960</v>
      </c>
      <c r="E3453" s="14" t="n">
        <v>169.57</v>
      </c>
      <c r="F3453" s="14" t="n">
        <v>4768.03</v>
      </c>
      <c r="G3453" s="6" t="s">
        <v>2613</v>
      </c>
    </row>
    <row r="3454" customFormat="false" ht="15" hidden="false" customHeight="true" outlineLevel="0" collapsed="false">
      <c r="A3454" s="6" t="s">
        <v>6066</v>
      </c>
      <c r="B3454" s="6" t="s">
        <v>853</v>
      </c>
      <c r="C3454" s="6" t="s">
        <v>131</v>
      </c>
      <c r="D3454" s="13" t="n">
        <v>44967</v>
      </c>
      <c r="E3454" s="14" t="n">
        <v>442.49</v>
      </c>
      <c r="F3454" s="14" t="n">
        <v>5210.52</v>
      </c>
      <c r="G3454" s="6" t="s">
        <v>2613</v>
      </c>
    </row>
    <row r="3455" customFormat="false" ht="15" hidden="false" customHeight="true" outlineLevel="0" collapsed="false">
      <c r="A3455" s="6" t="s">
        <v>6067</v>
      </c>
      <c r="B3455" s="6" t="s">
        <v>855</v>
      </c>
      <c r="C3455" s="6" t="s">
        <v>116</v>
      </c>
      <c r="D3455" s="13" t="n">
        <v>46099</v>
      </c>
      <c r="E3455" s="14" t="n">
        <v>5551.96</v>
      </c>
      <c r="F3455" s="14" t="n">
        <v>5551.96</v>
      </c>
      <c r="G3455" s="6" t="s">
        <v>2623</v>
      </c>
    </row>
    <row r="3456" customFormat="false" ht="15" hidden="false" customHeight="true" outlineLevel="0" collapsed="false">
      <c r="A3456" s="6" t="s">
        <v>6068</v>
      </c>
      <c r="B3456" s="6" t="s">
        <v>857</v>
      </c>
      <c r="C3456" s="6" t="s">
        <v>131</v>
      </c>
      <c r="D3456" s="13" t="n">
        <v>45469</v>
      </c>
      <c r="E3456" s="14" t="n">
        <v>1507.01</v>
      </c>
      <c r="F3456" s="14" t="n">
        <v>1507.01</v>
      </c>
      <c r="G3456" s="6" t="s">
        <v>2613</v>
      </c>
    </row>
    <row r="3457" customFormat="false" ht="15" hidden="false" customHeight="true" outlineLevel="0" collapsed="false">
      <c r="A3457" s="6" t="s">
        <v>6069</v>
      </c>
      <c r="B3457" s="6" t="s">
        <v>857</v>
      </c>
      <c r="C3457" s="6" t="s">
        <v>131</v>
      </c>
      <c r="D3457" s="13" t="n">
        <v>45476</v>
      </c>
      <c r="E3457" s="14" t="n">
        <v>1578.61</v>
      </c>
      <c r="F3457" s="14" t="n">
        <v>3085.62</v>
      </c>
      <c r="G3457" s="6" t="s">
        <v>2613</v>
      </c>
    </row>
    <row r="3458" customFormat="false" ht="15" hidden="false" customHeight="true" outlineLevel="0" collapsed="false">
      <c r="A3458" s="6" t="s">
        <v>6070</v>
      </c>
      <c r="B3458" s="6" t="s">
        <v>857</v>
      </c>
      <c r="C3458" s="6" t="s">
        <v>131</v>
      </c>
      <c r="D3458" s="13" t="n">
        <v>45483</v>
      </c>
      <c r="E3458" s="14" t="n">
        <v>1566.36</v>
      </c>
      <c r="F3458" s="14" t="n">
        <v>4651.98</v>
      </c>
      <c r="G3458" s="6" t="s">
        <v>2613</v>
      </c>
    </row>
    <row r="3459" customFormat="false" ht="15" hidden="false" customHeight="true" outlineLevel="0" collapsed="false">
      <c r="A3459" s="6" t="s">
        <v>6071</v>
      </c>
      <c r="B3459" s="6" t="s">
        <v>857</v>
      </c>
      <c r="C3459" s="6" t="s">
        <v>131</v>
      </c>
      <c r="D3459" s="13" t="n">
        <v>45490</v>
      </c>
      <c r="E3459" s="14" t="n">
        <v>892.31</v>
      </c>
      <c r="F3459" s="14" t="n">
        <v>5544.29</v>
      </c>
      <c r="G3459" s="6" t="s">
        <v>2613</v>
      </c>
    </row>
    <row r="3460" customFormat="false" ht="15" hidden="false" customHeight="true" outlineLevel="0" collapsed="false">
      <c r="A3460" s="6" t="s">
        <v>6072</v>
      </c>
      <c r="B3460" s="6" t="s">
        <v>857</v>
      </c>
      <c r="C3460" s="6" t="s">
        <v>131</v>
      </c>
      <c r="D3460" s="13" t="n">
        <v>45497</v>
      </c>
      <c r="E3460" s="14" t="n">
        <v>1288.09</v>
      </c>
      <c r="F3460" s="14" t="n">
        <v>6832.38</v>
      </c>
      <c r="G3460" s="6" t="s">
        <v>2613</v>
      </c>
    </row>
    <row r="3461" customFormat="false" ht="15" hidden="false" customHeight="true" outlineLevel="0" collapsed="false">
      <c r="A3461" s="6" t="s">
        <v>6073</v>
      </c>
      <c r="B3461" s="6" t="s">
        <v>857</v>
      </c>
      <c r="C3461" s="6" t="s">
        <v>131</v>
      </c>
      <c r="D3461" s="13" t="n">
        <v>45504</v>
      </c>
      <c r="E3461" s="14" t="n">
        <v>1089.59</v>
      </c>
      <c r="F3461" s="14" t="n">
        <v>7921.97</v>
      </c>
      <c r="G3461" s="6" t="s">
        <v>2613</v>
      </c>
    </row>
    <row r="3462" customFormat="false" ht="15" hidden="false" customHeight="true" outlineLevel="0" collapsed="false">
      <c r="A3462" s="6" t="s">
        <v>6074</v>
      </c>
      <c r="B3462" s="6" t="s">
        <v>857</v>
      </c>
      <c r="C3462" s="6" t="s">
        <v>131</v>
      </c>
      <c r="D3462" s="13" t="n">
        <v>45511</v>
      </c>
      <c r="E3462" s="14" t="n">
        <v>1244.13</v>
      </c>
      <c r="F3462" s="14" t="n">
        <v>9166.1</v>
      </c>
      <c r="G3462" s="6" t="s">
        <v>2613</v>
      </c>
    </row>
    <row r="3463" customFormat="false" ht="15" hidden="false" customHeight="true" outlineLevel="0" collapsed="false">
      <c r="A3463" s="6" t="s">
        <v>6075</v>
      </c>
      <c r="B3463" s="6" t="s">
        <v>857</v>
      </c>
      <c r="C3463" s="6" t="s">
        <v>131</v>
      </c>
      <c r="D3463" s="13" t="n">
        <v>45518</v>
      </c>
      <c r="E3463" s="14" t="n">
        <v>1753.79</v>
      </c>
      <c r="F3463" s="14" t="n">
        <v>10919.89</v>
      </c>
      <c r="G3463" s="6" t="s">
        <v>2613</v>
      </c>
    </row>
    <row r="3464" customFormat="false" ht="15" hidden="false" customHeight="true" outlineLevel="0" collapsed="false">
      <c r="A3464" s="6" t="s">
        <v>6076</v>
      </c>
      <c r="B3464" s="6" t="s">
        <v>857</v>
      </c>
      <c r="C3464" s="6" t="s">
        <v>131</v>
      </c>
      <c r="D3464" s="13" t="n">
        <v>45525</v>
      </c>
      <c r="E3464" s="14" t="n">
        <v>1839.89</v>
      </c>
      <c r="F3464" s="14" t="n">
        <v>12759.78</v>
      </c>
      <c r="G3464" s="6" t="s">
        <v>2613</v>
      </c>
    </row>
    <row r="3465" customFormat="false" ht="15" hidden="false" customHeight="true" outlineLevel="0" collapsed="false">
      <c r="A3465" s="6" t="s">
        <v>6077</v>
      </c>
      <c r="B3465" s="6" t="s">
        <v>859</v>
      </c>
      <c r="C3465" s="6" t="s">
        <v>128</v>
      </c>
      <c r="D3465" s="13" t="n">
        <v>45542</v>
      </c>
      <c r="E3465" s="14" t="n">
        <v>807.24</v>
      </c>
      <c r="F3465" s="14" t="n">
        <v>807.24</v>
      </c>
      <c r="G3465" s="6" t="s">
        <v>2613</v>
      </c>
    </row>
    <row r="3466" customFormat="false" ht="15" hidden="false" customHeight="true" outlineLevel="0" collapsed="false">
      <c r="A3466" s="6" t="s">
        <v>6078</v>
      </c>
      <c r="B3466" s="6" t="s">
        <v>859</v>
      </c>
      <c r="C3466" s="6" t="s">
        <v>128</v>
      </c>
      <c r="D3466" s="13" t="n">
        <v>45549</v>
      </c>
      <c r="E3466" s="14" t="n">
        <v>962.68</v>
      </c>
      <c r="F3466" s="14" t="n">
        <v>1769.92</v>
      </c>
      <c r="G3466" s="6" t="s">
        <v>2623</v>
      </c>
    </row>
    <row r="3467" customFormat="false" ht="15" hidden="false" customHeight="true" outlineLevel="0" collapsed="false">
      <c r="A3467" s="6" t="s">
        <v>6079</v>
      </c>
      <c r="B3467" s="6" t="s">
        <v>859</v>
      </c>
      <c r="C3467" s="6" t="s">
        <v>128</v>
      </c>
      <c r="D3467" s="13" t="n">
        <v>45556</v>
      </c>
      <c r="E3467" s="14" t="n">
        <v>1043.89</v>
      </c>
      <c r="F3467" s="14" t="n">
        <v>2813.81</v>
      </c>
      <c r="G3467" s="6" t="s">
        <v>2613</v>
      </c>
    </row>
    <row r="3468" customFormat="false" ht="15" hidden="false" customHeight="true" outlineLevel="0" collapsed="false">
      <c r="A3468" s="6" t="s">
        <v>6080</v>
      </c>
      <c r="B3468" s="6" t="s">
        <v>859</v>
      </c>
      <c r="C3468" s="6" t="s">
        <v>128</v>
      </c>
      <c r="D3468" s="13" t="n">
        <v>45563</v>
      </c>
      <c r="E3468" s="14" t="n">
        <v>1164.75</v>
      </c>
      <c r="F3468" s="14" t="n">
        <v>3978.56</v>
      </c>
      <c r="G3468" s="6" t="s">
        <v>2623</v>
      </c>
    </row>
    <row r="3469" customFormat="false" ht="15" hidden="false" customHeight="true" outlineLevel="0" collapsed="false">
      <c r="A3469" s="6" t="s">
        <v>6081</v>
      </c>
      <c r="B3469" s="6" t="s">
        <v>859</v>
      </c>
      <c r="C3469" s="6" t="s">
        <v>128</v>
      </c>
      <c r="D3469" s="13" t="n">
        <v>45570</v>
      </c>
      <c r="E3469" s="14" t="n">
        <v>842.57</v>
      </c>
      <c r="F3469" s="14" t="n">
        <v>4821.13</v>
      </c>
      <c r="G3469" s="6" t="s">
        <v>2613</v>
      </c>
    </row>
    <row r="3470" customFormat="false" ht="15" hidden="false" customHeight="true" outlineLevel="0" collapsed="false">
      <c r="A3470" s="6" t="s">
        <v>6082</v>
      </c>
      <c r="B3470" s="6" t="s">
        <v>859</v>
      </c>
      <c r="C3470" s="6" t="s">
        <v>128</v>
      </c>
      <c r="D3470" s="13" t="n">
        <v>45577</v>
      </c>
      <c r="E3470" s="14" t="n">
        <v>1005.47</v>
      </c>
      <c r="F3470" s="14" t="n">
        <v>5826.6</v>
      </c>
      <c r="G3470" s="6" t="s">
        <v>2613</v>
      </c>
    </row>
    <row r="3471" customFormat="false" ht="15" hidden="false" customHeight="true" outlineLevel="0" collapsed="false">
      <c r="A3471" s="6" t="s">
        <v>6083</v>
      </c>
      <c r="B3471" s="6" t="s">
        <v>859</v>
      </c>
      <c r="C3471" s="6" t="s">
        <v>128</v>
      </c>
      <c r="D3471" s="13" t="n">
        <v>45584</v>
      </c>
      <c r="E3471" s="14" t="n">
        <v>1196.27</v>
      </c>
      <c r="F3471" s="14" t="n">
        <v>7022.87</v>
      </c>
      <c r="G3471" s="6" t="s">
        <v>2613</v>
      </c>
    </row>
    <row r="3472" customFormat="false" ht="15" hidden="false" customHeight="true" outlineLevel="0" collapsed="false">
      <c r="A3472" s="6" t="s">
        <v>6084</v>
      </c>
      <c r="B3472" s="6" t="s">
        <v>859</v>
      </c>
      <c r="C3472" s="6" t="s">
        <v>128</v>
      </c>
      <c r="D3472" s="13" t="n">
        <v>45591</v>
      </c>
      <c r="E3472" s="14" t="n">
        <v>169.95</v>
      </c>
      <c r="F3472" s="14" t="n">
        <v>7192.82</v>
      </c>
      <c r="G3472" s="6" t="s">
        <v>2613</v>
      </c>
    </row>
    <row r="3473" customFormat="false" ht="15" hidden="false" customHeight="true" outlineLevel="0" collapsed="false">
      <c r="A3473" s="6" t="s">
        <v>6085</v>
      </c>
      <c r="B3473" s="6" t="s">
        <v>861</v>
      </c>
      <c r="C3473" s="6" t="s">
        <v>116</v>
      </c>
      <c r="D3473" s="13" t="n">
        <v>45799</v>
      </c>
      <c r="E3473" s="14" t="n">
        <v>7698.61</v>
      </c>
      <c r="F3473" s="14" t="n">
        <v>7698.61</v>
      </c>
      <c r="G3473" s="6" t="s">
        <v>2613</v>
      </c>
    </row>
    <row r="3474" customFormat="false" ht="15" hidden="false" customHeight="true" outlineLevel="0" collapsed="false">
      <c r="A3474" s="6" t="s">
        <v>6086</v>
      </c>
      <c r="B3474" s="6" t="s">
        <v>861</v>
      </c>
      <c r="C3474" s="6" t="s">
        <v>116</v>
      </c>
      <c r="D3474" s="13" t="n">
        <v>45806</v>
      </c>
      <c r="E3474" s="14" t="n">
        <v>11930.38</v>
      </c>
      <c r="F3474" s="14" t="n">
        <v>19628.99</v>
      </c>
      <c r="G3474" s="6" t="s">
        <v>2613</v>
      </c>
    </row>
    <row r="3475" customFormat="false" ht="15" hidden="false" customHeight="true" outlineLevel="0" collapsed="false">
      <c r="A3475" s="6" t="s">
        <v>6087</v>
      </c>
      <c r="B3475" s="6" t="s">
        <v>861</v>
      </c>
      <c r="C3475" s="6" t="s">
        <v>116</v>
      </c>
      <c r="D3475" s="13" t="n">
        <v>45813</v>
      </c>
      <c r="E3475" s="14" t="n">
        <v>12102.16</v>
      </c>
      <c r="F3475" s="14" t="n">
        <v>31731.15</v>
      </c>
      <c r="G3475" s="6" t="s">
        <v>2613</v>
      </c>
    </row>
    <row r="3476" customFormat="false" ht="15" hidden="false" customHeight="true" outlineLevel="0" collapsed="false">
      <c r="A3476" s="6" t="s">
        <v>6088</v>
      </c>
      <c r="B3476" s="6" t="s">
        <v>861</v>
      </c>
      <c r="C3476" s="6" t="s">
        <v>116</v>
      </c>
      <c r="D3476" s="13" t="n">
        <v>45820</v>
      </c>
      <c r="E3476" s="14" t="n">
        <v>8584.26</v>
      </c>
      <c r="F3476" s="14" t="n">
        <v>40315.41</v>
      </c>
      <c r="G3476" s="6" t="s">
        <v>2613</v>
      </c>
    </row>
    <row r="3477" customFormat="false" ht="15" hidden="false" customHeight="true" outlineLevel="0" collapsed="false">
      <c r="A3477" s="6" t="s">
        <v>6089</v>
      </c>
      <c r="B3477" s="6" t="s">
        <v>861</v>
      </c>
      <c r="C3477" s="6" t="s">
        <v>116</v>
      </c>
      <c r="D3477" s="13" t="n">
        <v>45827</v>
      </c>
      <c r="E3477" s="14" t="n">
        <v>12491.55</v>
      </c>
      <c r="F3477" s="14" t="n">
        <v>52806.96</v>
      </c>
      <c r="G3477" s="6" t="s">
        <v>2613</v>
      </c>
    </row>
    <row r="3478" customFormat="false" ht="15" hidden="false" customHeight="true" outlineLevel="0" collapsed="false">
      <c r="A3478" s="6" t="s">
        <v>6090</v>
      </c>
      <c r="B3478" s="6" t="s">
        <v>861</v>
      </c>
      <c r="C3478" s="6" t="s">
        <v>116</v>
      </c>
      <c r="D3478" s="13" t="n">
        <v>45834</v>
      </c>
      <c r="E3478" s="14" t="n">
        <v>5707.43</v>
      </c>
      <c r="F3478" s="14" t="n">
        <v>58514.39</v>
      </c>
      <c r="G3478" s="6" t="s">
        <v>2613</v>
      </c>
    </row>
    <row r="3479" customFormat="false" ht="15" hidden="false" customHeight="true" outlineLevel="0" collapsed="false">
      <c r="A3479" s="6" t="s">
        <v>6091</v>
      </c>
      <c r="B3479" s="6" t="s">
        <v>861</v>
      </c>
      <c r="C3479" s="6" t="s">
        <v>116</v>
      </c>
      <c r="D3479" s="13" t="n">
        <v>45841</v>
      </c>
      <c r="E3479" s="14" t="n">
        <v>12259.68</v>
      </c>
      <c r="F3479" s="14" t="n">
        <v>70774.07</v>
      </c>
      <c r="G3479" s="6" t="s">
        <v>2613</v>
      </c>
    </row>
    <row r="3480" customFormat="false" ht="15" hidden="false" customHeight="true" outlineLevel="0" collapsed="false">
      <c r="A3480" s="6" t="s">
        <v>6092</v>
      </c>
      <c r="B3480" s="6" t="s">
        <v>861</v>
      </c>
      <c r="C3480" s="6" t="s">
        <v>116</v>
      </c>
      <c r="D3480" s="13" t="n">
        <v>45848</v>
      </c>
      <c r="E3480" s="14" t="n">
        <v>2533.9</v>
      </c>
      <c r="F3480" s="14" t="n">
        <v>73307.97</v>
      </c>
      <c r="G3480" s="6" t="s">
        <v>2613</v>
      </c>
    </row>
    <row r="3481" customFormat="false" ht="15" hidden="false" customHeight="true" outlineLevel="0" collapsed="false">
      <c r="A3481" s="6" t="s">
        <v>6093</v>
      </c>
      <c r="B3481" s="6" t="s">
        <v>863</v>
      </c>
      <c r="C3481" s="6" t="s">
        <v>128</v>
      </c>
      <c r="D3481" s="13" t="n">
        <v>45508</v>
      </c>
      <c r="E3481" s="14" t="n">
        <v>10640.57</v>
      </c>
      <c r="F3481" s="14" t="n">
        <v>10640.57</v>
      </c>
      <c r="G3481" s="6" t="s">
        <v>2613</v>
      </c>
    </row>
    <row r="3482" customFormat="false" ht="15" hidden="false" customHeight="true" outlineLevel="0" collapsed="false">
      <c r="A3482" s="6" t="s">
        <v>6094</v>
      </c>
      <c r="B3482" s="6" t="s">
        <v>863</v>
      </c>
      <c r="C3482" s="6" t="s">
        <v>128</v>
      </c>
      <c r="D3482" s="13" t="n">
        <v>45515</v>
      </c>
      <c r="E3482" s="14" t="n">
        <v>6965.26</v>
      </c>
      <c r="F3482" s="14" t="n">
        <v>17605.83</v>
      </c>
      <c r="G3482" s="6" t="s">
        <v>2613</v>
      </c>
    </row>
    <row r="3483" customFormat="false" ht="15" hidden="false" customHeight="true" outlineLevel="0" collapsed="false">
      <c r="A3483" s="6" t="s">
        <v>6095</v>
      </c>
      <c r="B3483" s="6" t="s">
        <v>863</v>
      </c>
      <c r="C3483" s="6" t="s">
        <v>128</v>
      </c>
      <c r="D3483" s="13" t="n">
        <v>45522</v>
      </c>
      <c r="E3483" s="14" t="n">
        <v>7059.88</v>
      </c>
      <c r="F3483" s="14" t="n">
        <v>24665.71</v>
      </c>
      <c r="G3483" s="6" t="s">
        <v>2613</v>
      </c>
    </row>
    <row r="3484" customFormat="false" ht="15" hidden="false" customHeight="true" outlineLevel="0" collapsed="false">
      <c r="A3484" s="6" t="s">
        <v>6096</v>
      </c>
      <c r="B3484" s="6" t="s">
        <v>863</v>
      </c>
      <c r="C3484" s="6" t="s">
        <v>128</v>
      </c>
      <c r="D3484" s="13" t="n">
        <v>45529</v>
      </c>
      <c r="E3484" s="14" t="n">
        <v>8963.14</v>
      </c>
      <c r="F3484" s="14" t="n">
        <v>33628.85</v>
      </c>
      <c r="G3484" s="6" t="s">
        <v>2613</v>
      </c>
    </row>
    <row r="3485" customFormat="false" ht="15" hidden="false" customHeight="true" outlineLevel="0" collapsed="false">
      <c r="A3485" s="6" t="s">
        <v>6097</v>
      </c>
      <c r="B3485" s="6" t="s">
        <v>863</v>
      </c>
      <c r="C3485" s="6" t="s">
        <v>128</v>
      </c>
      <c r="D3485" s="13" t="n">
        <v>45536</v>
      </c>
      <c r="E3485" s="14" t="n">
        <v>6829.82</v>
      </c>
      <c r="F3485" s="14" t="n">
        <v>40458.67</v>
      </c>
      <c r="G3485" s="6" t="s">
        <v>2613</v>
      </c>
    </row>
    <row r="3486" customFormat="false" ht="15" hidden="false" customHeight="true" outlineLevel="0" collapsed="false">
      <c r="A3486" s="6" t="s">
        <v>6098</v>
      </c>
      <c r="B3486" s="6" t="s">
        <v>863</v>
      </c>
      <c r="C3486" s="6" t="s">
        <v>128</v>
      </c>
      <c r="D3486" s="13" t="n">
        <v>45543</v>
      </c>
      <c r="E3486" s="14" t="n">
        <v>11524.38</v>
      </c>
      <c r="F3486" s="14" t="n">
        <v>51983.05</v>
      </c>
      <c r="G3486" s="6" t="s">
        <v>2623</v>
      </c>
    </row>
    <row r="3487" customFormat="false" ht="15" hidden="false" customHeight="true" outlineLevel="0" collapsed="false">
      <c r="A3487" s="6" t="s">
        <v>6099</v>
      </c>
      <c r="B3487" s="6" t="s">
        <v>863</v>
      </c>
      <c r="C3487" s="6" t="s">
        <v>128</v>
      </c>
      <c r="D3487" s="13" t="n">
        <v>45550</v>
      </c>
      <c r="E3487" s="14" t="n">
        <v>6869.04</v>
      </c>
      <c r="F3487" s="14" t="n">
        <v>58852.09</v>
      </c>
      <c r="G3487" s="6" t="s">
        <v>2623</v>
      </c>
    </row>
    <row r="3488" customFormat="false" ht="15" hidden="false" customHeight="true" outlineLevel="0" collapsed="false">
      <c r="A3488" s="6" t="s">
        <v>6100</v>
      </c>
      <c r="B3488" s="6" t="s">
        <v>863</v>
      </c>
      <c r="C3488" s="6" t="s">
        <v>128</v>
      </c>
      <c r="D3488" s="13" t="n">
        <v>45557</v>
      </c>
      <c r="E3488" s="14" t="n">
        <v>9818.85</v>
      </c>
      <c r="F3488" s="14" t="n">
        <v>68670.94</v>
      </c>
      <c r="G3488" s="6" t="s">
        <v>2613</v>
      </c>
    </row>
    <row r="3489" customFormat="false" ht="15" hidden="false" customHeight="true" outlineLevel="0" collapsed="false">
      <c r="A3489" s="6" t="s">
        <v>6101</v>
      </c>
      <c r="B3489" s="6" t="s">
        <v>863</v>
      </c>
      <c r="C3489" s="6" t="s">
        <v>128</v>
      </c>
      <c r="D3489" s="13" t="n">
        <v>45564</v>
      </c>
      <c r="E3489" s="14" t="n">
        <v>16311.06</v>
      </c>
      <c r="F3489" s="14" t="n">
        <v>84982</v>
      </c>
      <c r="G3489" s="6" t="s">
        <v>2613</v>
      </c>
    </row>
    <row r="3490" customFormat="false" ht="15" hidden="false" customHeight="true" outlineLevel="0" collapsed="false">
      <c r="A3490" s="6" t="s">
        <v>6102</v>
      </c>
      <c r="B3490" s="6" t="s">
        <v>865</v>
      </c>
      <c r="C3490" s="6" t="s">
        <v>124</v>
      </c>
      <c r="D3490" s="13" t="n">
        <v>45148</v>
      </c>
      <c r="E3490" s="14" t="n">
        <v>3545.65</v>
      </c>
      <c r="F3490" s="14" t="n">
        <v>3545.65</v>
      </c>
      <c r="G3490" s="6" t="s">
        <v>2613</v>
      </c>
    </row>
    <row r="3491" customFormat="false" ht="15" hidden="false" customHeight="true" outlineLevel="0" collapsed="false">
      <c r="A3491" s="6" t="s">
        <v>6103</v>
      </c>
      <c r="B3491" s="6" t="s">
        <v>865</v>
      </c>
      <c r="C3491" s="6" t="s">
        <v>124</v>
      </c>
      <c r="D3491" s="13" t="n">
        <v>45155</v>
      </c>
      <c r="E3491" s="14" t="n">
        <v>2480.27</v>
      </c>
      <c r="F3491" s="14" t="n">
        <v>6025.92</v>
      </c>
      <c r="G3491" s="6" t="s">
        <v>2613</v>
      </c>
    </row>
    <row r="3492" customFormat="false" ht="15" hidden="false" customHeight="true" outlineLevel="0" collapsed="false">
      <c r="A3492" s="6" t="s">
        <v>6104</v>
      </c>
      <c r="B3492" s="6" t="s">
        <v>865</v>
      </c>
      <c r="C3492" s="6" t="s">
        <v>124</v>
      </c>
      <c r="D3492" s="13" t="n">
        <v>45162</v>
      </c>
      <c r="E3492" s="14" t="n">
        <v>4499.04</v>
      </c>
      <c r="F3492" s="14" t="n">
        <v>10524.96</v>
      </c>
      <c r="G3492" s="6" t="s">
        <v>2613</v>
      </c>
    </row>
    <row r="3493" customFormat="false" ht="15" hidden="false" customHeight="true" outlineLevel="0" collapsed="false">
      <c r="A3493" s="6" t="s">
        <v>6105</v>
      </c>
      <c r="B3493" s="6" t="s">
        <v>865</v>
      </c>
      <c r="C3493" s="6" t="s">
        <v>124</v>
      </c>
      <c r="D3493" s="13" t="n">
        <v>45169</v>
      </c>
      <c r="E3493" s="14" t="n">
        <v>2933.18</v>
      </c>
      <c r="F3493" s="14" t="n">
        <v>13458.14</v>
      </c>
      <c r="G3493" s="6" t="s">
        <v>2613</v>
      </c>
    </row>
    <row r="3494" customFormat="false" ht="15" hidden="false" customHeight="true" outlineLevel="0" collapsed="false">
      <c r="A3494" s="6" t="s">
        <v>6106</v>
      </c>
      <c r="B3494" s="6" t="s">
        <v>865</v>
      </c>
      <c r="C3494" s="6" t="s">
        <v>124</v>
      </c>
      <c r="D3494" s="13" t="n">
        <v>45176</v>
      </c>
      <c r="E3494" s="14" t="n">
        <v>4581.8</v>
      </c>
      <c r="F3494" s="14" t="n">
        <v>18039.94</v>
      </c>
      <c r="G3494" s="6" t="s">
        <v>2613</v>
      </c>
    </row>
    <row r="3495" customFormat="false" ht="15" hidden="false" customHeight="true" outlineLevel="0" collapsed="false">
      <c r="A3495" s="6" t="s">
        <v>6107</v>
      </c>
      <c r="B3495" s="6" t="s">
        <v>865</v>
      </c>
      <c r="C3495" s="6" t="s">
        <v>124</v>
      </c>
      <c r="D3495" s="13" t="n">
        <v>45183</v>
      </c>
      <c r="E3495" s="14" t="n">
        <v>3289.85</v>
      </c>
      <c r="F3495" s="14" t="n">
        <v>21329.79</v>
      </c>
      <c r="G3495" s="6" t="s">
        <v>2613</v>
      </c>
    </row>
    <row r="3496" customFormat="false" ht="15" hidden="false" customHeight="true" outlineLevel="0" collapsed="false">
      <c r="A3496" s="6" t="s">
        <v>6108</v>
      </c>
      <c r="B3496" s="6" t="s">
        <v>865</v>
      </c>
      <c r="C3496" s="6" t="s">
        <v>124</v>
      </c>
      <c r="D3496" s="13" t="n">
        <v>45190</v>
      </c>
      <c r="E3496" s="14" t="n">
        <v>4107.04</v>
      </c>
      <c r="F3496" s="14" t="n">
        <v>25436.83</v>
      </c>
      <c r="G3496" s="6" t="s">
        <v>2613</v>
      </c>
    </row>
    <row r="3497" customFormat="false" ht="15" hidden="false" customHeight="true" outlineLevel="0" collapsed="false">
      <c r="A3497" s="6" t="s">
        <v>6109</v>
      </c>
      <c r="B3497" s="6" t="s">
        <v>865</v>
      </c>
      <c r="C3497" s="6" t="s">
        <v>124</v>
      </c>
      <c r="D3497" s="13" t="n">
        <v>45197</v>
      </c>
      <c r="E3497" s="14" t="n">
        <v>5024.76</v>
      </c>
      <c r="F3497" s="14" t="n">
        <v>30461.59</v>
      </c>
      <c r="G3497" s="6" t="s">
        <v>2613</v>
      </c>
    </row>
    <row r="3498" customFormat="false" ht="15" hidden="false" customHeight="true" outlineLevel="0" collapsed="false">
      <c r="A3498" s="6" t="s">
        <v>6110</v>
      </c>
      <c r="B3498" s="6" t="s">
        <v>865</v>
      </c>
      <c r="C3498" s="6" t="s">
        <v>124</v>
      </c>
      <c r="D3498" s="13" t="n">
        <v>45204</v>
      </c>
      <c r="E3498" s="14" t="n">
        <v>2680.78</v>
      </c>
      <c r="F3498" s="14" t="n">
        <v>33142.37</v>
      </c>
      <c r="G3498" s="6" t="s">
        <v>2613</v>
      </c>
    </row>
    <row r="3499" customFormat="false" ht="15" hidden="false" customHeight="true" outlineLevel="0" collapsed="false">
      <c r="A3499" s="6" t="s">
        <v>6111</v>
      </c>
      <c r="B3499" s="6" t="s">
        <v>865</v>
      </c>
      <c r="C3499" s="6" t="s">
        <v>124</v>
      </c>
      <c r="D3499" s="13" t="n">
        <v>45211</v>
      </c>
      <c r="E3499" s="14" t="n">
        <v>2901.6</v>
      </c>
      <c r="F3499" s="14" t="n">
        <v>36043.97</v>
      </c>
      <c r="G3499" s="6" t="s">
        <v>2613</v>
      </c>
    </row>
    <row r="3500" customFormat="false" ht="15" hidden="false" customHeight="true" outlineLevel="0" collapsed="false">
      <c r="A3500" s="6" t="s">
        <v>6112</v>
      </c>
      <c r="B3500" s="6" t="s">
        <v>865</v>
      </c>
      <c r="C3500" s="6" t="s">
        <v>124</v>
      </c>
      <c r="D3500" s="13" t="n">
        <v>45218</v>
      </c>
      <c r="E3500" s="14" t="n">
        <v>3289.05</v>
      </c>
      <c r="F3500" s="14" t="n">
        <v>39333.02</v>
      </c>
      <c r="G3500" s="6" t="s">
        <v>2613</v>
      </c>
    </row>
    <row r="3501" customFormat="false" ht="15" hidden="false" customHeight="true" outlineLevel="0" collapsed="false">
      <c r="A3501" s="6" t="s">
        <v>6113</v>
      </c>
      <c r="B3501" s="6" t="s">
        <v>865</v>
      </c>
      <c r="C3501" s="6" t="s">
        <v>124</v>
      </c>
      <c r="D3501" s="13" t="n">
        <v>45225</v>
      </c>
      <c r="E3501" s="14" t="n">
        <v>3549.03</v>
      </c>
      <c r="F3501" s="14" t="n">
        <v>42882.05</v>
      </c>
      <c r="G3501" s="6" t="s">
        <v>2613</v>
      </c>
    </row>
    <row r="3502" customFormat="false" ht="15" hidden="false" customHeight="true" outlineLevel="0" collapsed="false">
      <c r="A3502" s="6" t="s">
        <v>6114</v>
      </c>
      <c r="B3502" s="6" t="s">
        <v>865</v>
      </c>
      <c r="C3502" s="6" t="s">
        <v>124</v>
      </c>
      <c r="D3502" s="13" t="n">
        <v>45232</v>
      </c>
      <c r="E3502" s="14" t="n">
        <v>6170.57</v>
      </c>
      <c r="F3502" s="14" t="n">
        <v>49052.62</v>
      </c>
      <c r="G3502" s="6" t="s">
        <v>2613</v>
      </c>
    </row>
    <row r="3503" customFormat="false" ht="15" hidden="false" customHeight="true" outlineLevel="0" collapsed="false">
      <c r="A3503" s="6" t="s">
        <v>6115</v>
      </c>
      <c r="B3503" s="6" t="s">
        <v>867</v>
      </c>
      <c r="C3503" s="6" t="s">
        <v>124</v>
      </c>
      <c r="D3503" s="13" t="n">
        <v>45397</v>
      </c>
      <c r="E3503" s="14" t="n">
        <v>2148.19</v>
      </c>
      <c r="F3503" s="14" t="n">
        <v>2148.19</v>
      </c>
      <c r="G3503" s="6" t="s">
        <v>2613</v>
      </c>
    </row>
    <row r="3504" customFormat="false" ht="15" hidden="false" customHeight="true" outlineLevel="0" collapsed="false">
      <c r="A3504" s="6" t="s">
        <v>6116</v>
      </c>
      <c r="B3504" s="6" t="s">
        <v>867</v>
      </c>
      <c r="C3504" s="6" t="s">
        <v>124</v>
      </c>
      <c r="D3504" s="13" t="n">
        <v>45404</v>
      </c>
      <c r="E3504" s="14" t="n">
        <v>2278.74</v>
      </c>
      <c r="F3504" s="14" t="n">
        <v>4426.93</v>
      </c>
      <c r="G3504" s="6" t="s">
        <v>2613</v>
      </c>
    </row>
    <row r="3505" customFormat="false" ht="15" hidden="false" customHeight="true" outlineLevel="0" collapsed="false">
      <c r="A3505" s="6" t="s">
        <v>6117</v>
      </c>
      <c r="B3505" s="6" t="s">
        <v>867</v>
      </c>
      <c r="C3505" s="6" t="s">
        <v>124</v>
      </c>
      <c r="D3505" s="13" t="n">
        <v>45411</v>
      </c>
      <c r="E3505" s="14" t="n">
        <v>2484</v>
      </c>
      <c r="F3505" s="14" t="n">
        <v>6910.93</v>
      </c>
      <c r="G3505" s="6" t="s">
        <v>2613</v>
      </c>
    </row>
    <row r="3506" customFormat="false" ht="15" hidden="false" customHeight="true" outlineLevel="0" collapsed="false">
      <c r="A3506" s="6" t="s">
        <v>6118</v>
      </c>
      <c r="B3506" s="6" t="s">
        <v>867</v>
      </c>
      <c r="C3506" s="6" t="s">
        <v>124</v>
      </c>
      <c r="D3506" s="13" t="n">
        <v>45418</v>
      </c>
      <c r="E3506" s="14" t="n">
        <v>2314.33</v>
      </c>
      <c r="F3506" s="14" t="n">
        <v>9225.26</v>
      </c>
      <c r="G3506" s="6" t="s">
        <v>2613</v>
      </c>
    </row>
    <row r="3507" customFormat="false" ht="15" hidden="false" customHeight="true" outlineLevel="0" collapsed="false">
      <c r="A3507" s="6" t="s">
        <v>6119</v>
      </c>
      <c r="B3507" s="6" t="s">
        <v>867</v>
      </c>
      <c r="C3507" s="6" t="s">
        <v>124</v>
      </c>
      <c r="D3507" s="13" t="n">
        <v>45425</v>
      </c>
      <c r="E3507" s="14" t="n">
        <v>2115.9</v>
      </c>
      <c r="F3507" s="14" t="n">
        <v>11341.16</v>
      </c>
      <c r="G3507" s="6" t="s">
        <v>2613</v>
      </c>
    </row>
    <row r="3508" customFormat="false" ht="15" hidden="false" customHeight="true" outlineLevel="0" collapsed="false">
      <c r="A3508" s="6" t="s">
        <v>6120</v>
      </c>
      <c r="B3508" s="6" t="s">
        <v>867</v>
      </c>
      <c r="C3508" s="6" t="s">
        <v>124</v>
      </c>
      <c r="D3508" s="13" t="n">
        <v>45432</v>
      </c>
      <c r="E3508" s="14" t="n">
        <v>2781.36</v>
      </c>
      <c r="F3508" s="14" t="n">
        <v>14122.52</v>
      </c>
      <c r="G3508" s="6" t="s">
        <v>2613</v>
      </c>
    </row>
    <row r="3509" customFormat="false" ht="15" hidden="false" customHeight="true" outlineLevel="0" collapsed="false">
      <c r="A3509" s="6" t="s">
        <v>6121</v>
      </c>
      <c r="B3509" s="6" t="s">
        <v>867</v>
      </c>
      <c r="C3509" s="6" t="s">
        <v>124</v>
      </c>
      <c r="D3509" s="13" t="n">
        <v>45439</v>
      </c>
      <c r="E3509" s="14" t="n">
        <v>3119.56</v>
      </c>
      <c r="F3509" s="14" t="n">
        <v>17242.08</v>
      </c>
      <c r="G3509" s="6" t="s">
        <v>2613</v>
      </c>
    </row>
    <row r="3510" customFormat="false" ht="15" hidden="false" customHeight="true" outlineLevel="0" collapsed="false">
      <c r="A3510" s="6" t="s">
        <v>6122</v>
      </c>
      <c r="B3510" s="6" t="s">
        <v>867</v>
      </c>
      <c r="C3510" s="6" t="s">
        <v>124</v>
      </c>
      <c r="D3510" s="13" t="n">
        <v>45446</v>
      </c>
      <c r="E3510" s="14" t="n">
        <v>2256.3</v>
      </c>
      <c r="F3510" s="14" t="n">
        <v>19498.38</v>
      </c>
      <c r="G3510" s="6" t="s">
        <v>2613</v>
      </c>
    </row>
    <row r="3511" customFormat="false" ht="15" hidden="false" customHeight="true" outlineLevel="0" collapsed="false">
      <c r="A3511" s="6" t="s">
        <v>6123</v>
      </c>
      <c r="B3511" s="6" t="s">
        <v>867</v>
      </c>
      <c r="C3511" s="6" t="s">
        <v>124</v>
      </c>
      <c r="D3511" s="13" t="n">
        <v>45453</v>
      </c>
      <c r="E3511" s="14" t="n">
        <v>2180.42</v>
      </c>
      <c r="F3511" s="14" t="n">
        <v>21678.8</v>
      </c>
      <c r="G3511" s="6" t="s">
        <v>2613</v>
      </c>
    </row>
    <row r="3512" customFormat="false" ht="15" hidden="false" customHeight="true" outlineLevel="0" collapsed="false">
      <c r="A3512" s="6" t="s">
        <v>6124</v>
      </c>
      <c r="B3512" s="6" t="s">
        <v>867</v>
      </c>
      <c r="C3512" s="6" t="s">
        <v>124</v>
      </c>
      <c r="D3512" s="13" t="n">
        <v>45460</v>
      </c>
      <c r="E3512" s="14" t="n">
        <v>2240.3</v>
      </c>
      <c r="F3512" s="14" t="n">
        <v>23919.1</v>
      </c>
      <c r="G3512" s="6" t="s">
        <v>2613</v>
      </c>
    </row>
    <row r="3513" customFormat="false" ht="15" hidden="false" customHeight="true" outlineLevel="0" collapsed="false">
      <c r="A3513" s="6" t="s">
        <v>6125</v>
      </c>
      <c r="B3513" s="6" t="s">
        <v>867</v>
      </c>
      <c r="C3513" s="6" t="s">
        <v>124</v>
      </c>
      <c r="D3513" s="13" t="n">
        <v>45467</v>
      </c>
      <c r="E3513" s="14" t="n">
        <v>3477.89</v>
      </c>
      <c r="F3513" s="14" t="n">
        <v>27396.99</v>
      </c>
      <c r="G3513" s="6" t="s">
        <v>2613</v>
      </c>
    </row>
    <row r="3514" customFormat="false" ht="15" hidden="false" customHeight="true" outlineLevel="0" collapsed="false">
      <c r="A3514" s="6" t="s">
        <v>6126</v>
      </c>
      <c r="B3514" s="6" t="s">
        <v>867</v>
      </c>
      <c r="C3514" s="6" t="s">
        <v>124</v>
      </c>
      <c r="D3514" s="13" t="n">
        <v>45474</v>
      </c>
      <c r="E3514" s="14" t="n">
        <v>2277.7</v>
      </c>
      <c r="F3514" s="14" t="n">
        <v>29674.69</v>
      </c>
      <c r="G3514" s="6" t="s">
        <v>2613</v>
      </c>
    </row>
    <row r="3515" customFormat="false" ht="15" hidden="false" customHeight="true" outlineLevel="0" collapsed="false">
      <c r="A3515" s="6" t="s">
        <v>6127</v>
      </c>
      <c r="B3515" s="6" t="s">
        <v>867</v>
      </c>
      <c r="C3515" s="6" t="s">
        <v>124</v>
      </c>
      <c r="D3515" s="13" t="n">
        <v>45481</v>
      </c>
      <c r="E3515" s="14" t="n">
        <v>1809.31</v>
      </c>
      <c r="F3515" s="14" t="n">
        <v>31484</v>
      </c>
      <c r="G3515" s="6" t="s">
        <v>2613</v>
      </c>
    </row>
    <row r="3516" customFormat="false" ht="15" hidden="false" customHeight="true" outlineLevel="0" collapsed="false">
      <c r="A3516" s="6" t="s">
        <v>6128</v>
      </c>
      <c r="B3516" s="6" t="s">
        <v>867</v>
      </c>
      <c r="C3516" s="6" t="s">
        <v>124</v>
      </c>
      <c r="D3516" s="13" t="n">
        <v>45488</v>
      </c>
      <c r="E3516" s="14" t="n">
        <v>3384.33</v>
      </c>
      <c r="F3516" s="14" t="n">
        <v>34868.33</v>
      </c>
      <c r="G3516" s="6" t="s">
        <v>2613</v>
      </c>
    </row>
    <row r="3517" customFormat="false" ht="15" hidden="false" customHeight="true" outlineLevel="0" collapsed="false">
      <c r="A3517" s="6" t="s">
        <v>6129</v>
      </c>
      <c r="B3517" s="6" t="s">
        <v>867</v>
      </c>
      <c r="C3517" s="6" t="s">
        <v>124</v>
      </c>
      <c r="D3517" s="13" t="n">
        <v>45495</v>
      </c>
      <c r="E3517" s="14" t="n">
        <v>2809.52</v>
      </c>
      <c r="F3517" s="14" t="n">
        <v>37677.85</v>
      </c>
      <c r="G3517" s="6" t="s">
        <v>2613</v>
      </c>
    </row>
    <row r="3518" customFormat="false" ht="15" hidden="false" customHeight="true" outlineLevel="0" collapsed="false">
      <c r="A3518" s="6" t="s">
        <v>6130</v>
      </c>
      <c r="B3518" s="6" t="s">
        <v>869</v>
      </c>
      <c r="C3518" s="6" t="s">
        <v>128</v>
      </c>
      <c r="D3518" s="13" t="n">
        <v>45440</v>
      </c>
      <c r="E3518" s="14" t="n">
        <v>5019.43</v>
      </c>
      <c r="F3518" s="14" t="n">
        <v>5019.43</v>
      </c>
      <c r="G3518" s="6" t="s">
        <v>2613</v>
      </c>
    </row>
    <row r="3519" customFormat="false" ht="15" hidden="false" customHeight="true" outlineLevel="0" collapsed="false">
      <c r="A3519" s="6" t="s">
        <v>6131</v>
      </c>
      <c r="B3519" s="6" t="s">
        <v>869</v>
      </c>
      <c r="C3519" s="6" t="s">
        <v>128</v>
      </c>
      <c r="D3519" s="13" t="n">
        <v>45447</v>
      </c>
      <c r="E3519" s="14" t="n">
        <v>2970.8</v>
      </c>
      <c r="F3519" s="14" t="n">
        <v>7990.23</v>
      </c>
      <c r="G3519" s="6" t="s">
        <v>2613</v>
      </c>
    </row>
    <row r="3520" customFormat="false" ht="15" hidden="false" customHeight="true" outlineLevel="0" collapsed="false">
      <c r="A3520" s="6" t="s">
        <v>6132</v>
      </c>
      <c r="B3520" s="6" t="s">
        <v>869</v>
      </c>
      <c r="C3520" s="6" t="s">
        <v>128</v>
      </c>
      <c r="D3520" s="13" t="n">
        <v>45454</v>
      </c>
      <c r="E3520" s="14" t="n">
        <v>2455.12</v>
      </c>
      <c r="F3520" s="14" t="n">
        <v>10445.35</v>
      </c>
      <c r="G3520" s="6" t="s">
        <v>2613</v>
      </c>
    </row>
    <row r="3521" customFormat="false" ht="15" hidden="false" customHeight="true" outlineLevel="0" collapsed="false">
      <c r="A3521" s="6" t="s">
        <v>6133</v>
      </c>
      <c r="B3521" s="6" t="s">
        <v>869</v>
      </c>
      <c r="C3521" s="6" t="s">
        <v>128</v>
      </c>
      <c r="D3521" s="13" t="n">
        <v>45461</v>
      </c>
      <c r="E3521" s="14" t="n">
        <v>4433.45</v>
      </c>
      <c r="F3521" s="14" t="n">
        <v>14878.8</v>
      </c>
      <c r="G3521" s="6" t="s">
        <v>2613</v>
      </c>
    </row>
    <row r="3522" customFormat="false" ht="15" hidden="false" customHeight="true" outlineLevel="0" collapsed="false">
      <c r="A3522" s="6" t="s">
        <v>6134</v>
      </c>
      <c r="B3522" s="6" t="s">
        <v>869</v>
      </c>
      <c r="C3522" s="6" t="s">
        <v>128</v>
      </c>
      <c r="D3522" s="13" t="n">
        <v>45468</v>
      </c>
      <c r="E3522" s="14" t="n">
        <v>3541.83</v>
      </c>
      <c r="F3522" s="14" t="n">
        <v>18420.63</v>
      </c>
      <c r="G3522" s="6" t="s">
        <v>2623</v>
      </c>
    </row>
    <row r="3523" customFormat="false" ht="15" hidden="false" customHeight="true" outlineLevel="0" collapsed="false">
      <c r="A3523" s="6" t="s">
        <v>6135</v>
      </c>
      <c r="B3523" s="6" t="s">
        <v>869</v>
      </c>
      <c r="C3523" s="6" t="s">
        <v>128</v>
      </c>
      <c r="D3523" s="13" t="n">
        <v>45475</v>
      </c>
      <c r="E3523" s="14" t="n">
        <v>5570.21</v>
      </c>
      <c r="F3523" s="14" t="n">
        <v>23990.84</v>
      </c>
      <c r="G3523" s="6" t="s">
        <v>2613</v>
      </c>
    </row>
    <row r="3524" customFormat="false" ht="15" hidden="false" customHeight="true" outlineLevel="0" collapsed="false">
      <c r="A3524" s="6" t="s">
        <v>6136</v>
      </c>
      <c r="B3524" s="6" t="s">
        <v>871</v>
      </c>
      <c r="C3524" s="6" t="s">
        <v>116</v>
      </c>
      <c r="D3524" s="13" t="n">
        <v>45068</v>
      </c>
      <c r="E3524" s="14" t="n">
        <v>5927.11</v>
      </c>
      <c r="F3524" s="14" t="n">
        <v>5927.11</v>
      </c>
      <c r="G3524" s="6" t="s">
        <v>2613</v>
      </c>
    </row>
    <row r="3525" customFormat="false" ht="15" hidden="false" customHeight="true" outlineLevel="0" collapsed="false">
      <c r="A3525" s="6" t="s">
        <v>6137</v>
      </c>
      <c r="B3525" s="6" t="s">
        <v>871</v>
      </c>
      <c r="C3525" s="6" t="s">
        <v>116</v>
      </c>
      <c r="D3525" s="13" t="n">
        <v>45075</v>
      </c>
      <c r="E3525" s="14" t="n">
        <v>4647.45</v>
      </c>
      <c r="F3525" s="14" t="n">
        <v>10574.56</v>
      </c>
      <c r="G3525" s="6" t="s">
        <v>2623</v>
      </c>
    </row>
    <row r="3526" customFormat="false" ht="15" hidden="false" customHeight="true" outlineLevel="0" collapsed="false">
      <c r="A3526" s="6" t="s">
        <v>6138</v>
      </c>
      <c r="B3526" s="6" t="s">
        <v>871</v>
      </c>
      <c r="C3526" s="6" t="s">
        <v>116</v>
      </c>
      <c r="D3526" s="13" t="n">
        <v>45082</v>
      </c>
      <c r="E3526" s="14" t="n">
        <v>3793.13</v>
      </c>
      <c r="F3526" s="14" t="n">
        <v>14367.69</v>
      </c>
      <c r="G3526" s="6" t="s">
        <v>2623</v>
      </c>
    </row>
    <row r="3527" customFormat="false" ht="15" hidden="false" customHeight="true" outlineLevel="0" collapsed="false">
      <c r="A3527" s="6" t="s">
        <v>6139</v>
      </c>
      <c r="B3527" s="6" t="s">
        <v>871</v>
      </c>
      <c r="C3527" s="6" t="s">
        <v>116</v>
      </c>
      <c r="D3527" s="13" t="n">
        <v>45089</v>
      </c>
      <c r="E3527" s="14" t="n">
        <v>4789.39</v>
      </c>
      <c r="F3527" s="14" t="n">
        <v>19157.08</v>
      </c>
      <c r="G3527" s="6" t="s">
        <v>2613</v>
      </c>
    </row>
    <row r="3528" customFormat="false" ht="15" hidden="false" customHeight="true" outlineLevel="0" collapsed="false">
      <c r="A3528" s="6" t="s">
        <v>6140</v>
      </c>
      <c r="B3528" s="6" t="s">
        <v>871</v>
      </c>
      <c r="C3528" s="6" t="s">
        <v>116</v>
      </c>
      <c r="D3528" s="13" t="n">
        <v>45096</v>
      </c>
      <c r="E3528" s="14" t="n">
        <v>5505.05</v>
      </c>
      <c r="F3528" s="14" t="n">
        <v>24662.13</v>
      </c>
      <c r="G3528" s="6" t="s">
        <v>2613</v>
      </c>
    </row>
    <row r="3529" customFormat="false" ht="15" hidden="false" customHeight="true" outlineLevel="0" collapsed="false">
      <c r="A3529" s="6" t="s">
        <v>6141</v>
      </c>
      <c r="B3529" s="6" t="s">
        <v>871</v>
      </c>
      <c r="C3529" s="6" t="s">
        <v>116</v>
      </c>
      <c r="D3529" s="13" t="n">
        <v>45103</v>
      </c>
      <c r="E3529" s="14" t="n">
        <v>4448.61</v>
      </c>
      <c r="F3529" s="14" t="n">
        <v>29110.74</v>
      </c>
      <c r="G3529" s="6" t="s">
        <v>2613</v>
      </c>
    </row>
    <row r="3530" customFormat="false" ht="15" hidden="false" customHeight="true" outlineLevel="0" collapsed="false">
      <c r="A3530" s="6" t="s">
        <v>6142</v>
      </c>
      <c r="B3530" s="6" t="s">
        <v>871</v>
      </c>
      <c r="C3530" s="6" t="s">
        <v>116</v>
      </c>
      <c r="D3530" s="13" t="n">
        <v>45110</v>
      </c>
      <c r="E3530" s="14" t="n">
        <v>3832.53</v>
      </c>
      <c r="F3530" s="14" t="n">
        <v>32943.27</v>
      </c>
      <c r="G3530" s="6" t="s">
        <v>2613</v>
      </c>
    </row>
    <row r="3531" customFormat="false" ht="15" hidden="false" customHeight="true" outlineLevel="0" collapsed="false">
      <c r="A3531" s="6" t="s">
        <v>6143</v>
      </c>
      <c r="B3531" s="6" t="s">
        <v>871</v>
      </c>
      <c r="C3531" s="6" t="s">
        <v>116</v>
      </c>
      <c r="D3531" s="13" t="n">
        <v>45117</v>
      </c>
      <c r="E3531" s="14" t="n">
        <v>2289.59</v>
      </c>
      <c r="F3531" s="14" t="n">
        <v>35232.86</v>
      </c>
      <c r="G3531" s="6" t="s">
        <v>2613</v>
      </c>
    </row>
    <row r="3532" customFormat="false" ht="15" hidden="false" customHeight="true" outlineLevel="0" collapsed="false">
      <c r="A3532" s="6" t="s">
        <v>6144</v>
      </c>
      <c r="B3532" s="6" t="s">
        <v>873</v>
      </c>
      <c r="C3532" s="6" t="s">
        <v>124</v>
      </c>
      <c r="D3532" s="13" t="n">
        <v>45103</v>
      </c>
      <c r="E3532" s="14" t="n">
        <v>2362.75</v>
      </c>
      <c r="F3532" s="14" t="n">
        <v>2362.75</v>
      </c>
      <c r="G3532" s="6" t="s">
        <v>2613</v>
      </c>
    </row>
    <row r="3533" customFormat="false" ht="15" hidden="false" customHeight="true" outlineLevel="0" collapsed="false">
      <c r="A3533" s="6" t="s">
        <v>6145</v>
      </c>
      <c r="B3533" s="6" t="s">
        <v>873</v>
      </c>
      <c r="C3533" s="6" t="s">
        <v>124</v>
      </c>
      <c r="D3533" s="13" t="n">
        <v>45110</v>
      </c>
      <c r="E3533" s="14" t="n">
        <v>2647.02</v>
      </c>
      <c r="F3533" s="14" t="n">
        <v>5009.77</v>
      </c>
      <c r="G3533" s="6" t="s">
        <v>2623</v>
      </c>
    </row>
    <row r="3534" customFormat="false" ht="15" hidden="false" customHeight="true" outlineLevel="0" collapsed="false">
      <c r="A3534" s="6" t="s">
        <v>6146</v>
      </c>
      <c r="B3534" s="6" t="s">
        <v>873</v>
      </c>
      <c r="C3534" s="6" t="s">
        <v>124</v>
      </c>
      <c r="D3534" s="13" t="n">
        <v>45117</v>
      </c>
      <c r="E3534" s="14" t="n">
        <v>2425.39</v>
      </c>
      <c r="F3534" s="14" t="n">
        <v>7435.16</v>
      </c>
      <c r="G3534" s="6" t="s">
        <v>2613</v>
      </c>
    </row>
    <row r="3535" customFormat="false" ht="15" hidden="false" customHeight="true" outlineLevel="0" collapsed="false">
      <c r="A3535" s="6" t="s">
        <v>6147</v>
      </c>
      <c r="B3535" s="6" t="s">
        <v>873</v>
      </c>
      <c r="C3535" s="6" t="s">
        <v>124</v>
      </c>
      <c r="D3535" s="13" t="n">
        <v>45124</v>
      </c>
      <c r="E3535" s="14" t="n">
        <v>3089.12</v>
      </c>
      <c r="F3535" s="14" t="n">
        <v>10524.28</v>
      </c>
      <c r="G3535" s="6" t="s">
        <v>2613</v>
      </c>
    </row>
    <row r="3536" customFormat="false" ht="15" hidden="false" customHeight="true" outlineLevel="0" collapsed="false">
      <c r="A3536" s="6" t="s">
        <v>6148</v>
      </c>
      <c r="B3536" s="6" t="s">
        <v>873</v>
      </c>
      <c r="C3536" s="6" t="s">
        <v>124</v>
      </c>
      <c r="D3536" s="13" t="n">
        <v>45131</v>
      </c>
      <c r="E3536" s="14" t="n">
        <v>2637.13</v>
      </c>
      <c r="F3536" s="14" t="n">
        <v>13161.41</v>
      </c>
      <c r="G3536" s="6" t="s">
        <v>2613</v>
      </c>
    </row>
    <row r="3537" customFormat="false" ht="15" hidden="false" customHeight="true" outlineLevel="0" collapsed="false">
      <c r="A3537" s="6" t="s">
        <v>6149</v>
      </c>
      <c r="B3537" s="6" t="s">
        <v>873</v>
      </c>
      <c r="C3537" s="6" t="s">
        <v>124</v>
      </c>
      <c r="D3537" s="13" t="n">
        <v>45138</v>
      </c>
      <c r="E3537" s="14" t="n">
        <v>2293.85</v>
      </c>
      <c r="F3537" s="14" t="n">
        <v>15455.26</v>
      </c>
      <c r="G3537" s="6" t="s">
        <v>2623</v>
      </c>
    </row>
    <row r="3538" customFormat="false" ht="15" hidden="false" customHeight="true" outlineLevel="0" collapsed="false">
      <c r="A3538" s="6" t="s">
        <v>6150</v>
      </c>
      <c r="B3538" s="6" t="s">
        <v>873</v>
      </c>
      <c r="C3538" s="6" t="s">
        <v>124</v>
      </c>
      <c r="D3538" s="13" t="n">
        <v>45145</v>
      </c>
      <c r="E3538" s="14" t="n">
        <v>2105.27</v>
      </c>
      <c r="F3538" s="14" t="n">
        <v>17560.53</v>
      </c>
      <c r="G3538" s="6" t="s">
        <v>2613</v>
      </c>
    </row>
    <row r="3539" customFormat="false" ht="15" hidden="false" customHeight="true" outlineLevel="0" collapsed="false">
      <c r="A3539" s="6" t="s">
        <v>6151</v>
      </c>
      <c r="B3539" s="6" t="s">
        <v>873</v>
      </c>
      <c r="C3539" s="6" t="s">
        <v>124</v>
      </c>
      <c r="D3539" s="13" t="n">
        <v>45152</v>
      </c>
      <c r="E3539" s="14" t="n">
        <v>1896.78</v>
      </c>
      <c r="F3539" s="14" t="n">
        <v>19457.31</v>
      </c>
      <c r="G3539" s="6" t="s">
        <v>2623</v>
      </c>
    </row>
    <row r="3540" customFormat="false" ht="15" hidden="false" customHeight="true" outlineLevel="0" collapsed="false">
      <c r="A3540" s="6" t="s">
        <v>6152</v>
      </c>
      <c r="B3540" s="6" t="s">
        <v>873</v>
      </c>
      <c r="C3540" s="6" t="s">
        <v>124</v>
      </c>
      <c r="D3540" s="13" t="n">
        <v>45159</v>
      </c>
      <c r="E3540" s="14" t="n">
        <v>1754.23</v>
      </c>
      <c r="F3540" s="14" t="n">
        <v>21211.54</v>
      </c>
      <c r="G3540" s="6" t="s">
        <v>2613</v>
      </c>
    </row>
    <row r="3541" customFormat="false" ht="15" hidden="false" customHeight="true" outlineLevel="0" collapsed="false">
      <c r="A3541" s="6" t="s">
        <v>6153</v>
      </c>
      <c r="B3541" s="6" t="s">
        <v>873</v>
      </c>
      <c r="C3541" s="6" t="s">
        <v>124</v>
      </c>
      <c r="D3541" s="13" t="n">
        <v>45166</v>
      </c>
      <c r="E3541" s="14" t="n">
        <v>2579.12</v>
      </c>
      <c r="F3541" s="14" t="n">
        <v>23790.66</v>
      </c>
      <c r="G3541" s="6" t="s">
        <v>2613</v>
      </c>
    </row>
    <row r="3542" customFormat="false" ht="15" hidden="false" customHeight="true" outlineLevel="0" collapsed="false">
      <c r="A3542" s="6" t="s">
        <v>6154</v>
      </c>
      <c r="B3542" s="6" t="s">
        <v>873</v>
      </c>
      <c r="C3542" s="6" t="s">
        <v>124</v>
      </c>
      <c r="D3542" s="13" t="n">
        <v>45173</v>
      </c>
      <c r="E3542" s="14" t="n">
        <v>2222.15</v>
      </c>
      <c r="F3542" s="14" t="n">
        <v>26012.81</v>
      </c>
      <c r="G3542" s="6" t="s">
        <v>2613</v>
      </c>
    </row>
    <row r="3543" customFormat="false" ht="15" hidden="false" customHeight="true" outlineLevel="0" collapsed="false">
      <c r="A3543" s="6" t="s">
        <v>6155</v>
      </c>
      <c r="B3543" s="6" t="s">
        <v>873</v>
      </c>
      <c r="C3543" s="6" t="s">
        <v>124</v>
      </c>
      <c r="D3543" s="13" t="n">
        <v>45180</v>
      </c>
      <c r="E3543" s="14" t="n">
        <v>2538.15</v>
      </c>
      <c r="F3543" s="14" t="n">
        <v>28550.96</v>
      </c>
      <c r="G3543" s="6" t="s">
        <v>2623</v>
      </c>
    </row>
    <row r="3544" customFormat="false" ht="15" hidden="false" customHeight="true" outlineLevel="0" collapsed="false">
      <c r="A3544" s="6" t="s">
        <v>6156</v>
      </c>
      <c r="B3544" s="6" t="s">
        <v>873</v>
      </c>
      <c r="C3544" s="6" t="s">
        <v>124</v>
      </c>
      <c r="D3544" s="13" t="n">
        <v>45187</v>
      </c>
      <c r="E3544" s="14" t="n">
        <v>1786.65</v>
      </c>
      <c r="F3544" s="14" t="n">
        <v>30337.61</v>
      </c>
      <c r="G3544" s="6" t="s">
        <v>2613</v>
      </c>
    </row>
    <row r="3545" customFormat="false" ht="15" hidden="false" customHeight="true" outlineLevel="0" collapsed="false">
      <c r="A3545" s="6" t="s">
        <v>6157</v>
      </c>
      <c r="B3545" s="6" t="s">
        <v>873</v>
      </c>
      <c r="C3545" s="6" t="s">
        <v>124</v>
      </c>
      <c r="D3545" s="13" t="n">
        <v>45194</v>
      </c>
      <c r="E3545" s="14" t="n">
        <v>1779.74</v>
      </c>
      <c r="F3545" s="14" t="n">
        <v>32117.35</v>
      </c>
      <c r="G3545" s="6" t="s">
        <v>2613</v>
      </c>
    </row>
    <row r="3546" customFormat="false" ht="15" hidden="false" customHeight="true" outlineLevel="0" collapsed="false">
      <c r="A3546" s="6" t="s">
        <v>6158</v>
      </c>
      <c r="B3546" s="6" t="s">
        <v>873</v>
      </c>
      <c r="C3546" s="6" t="s">
        <v>124</v>
      </c>
      <c r="D3546" s="13" t="n">
        <v>45201</v>
      </c>
      <c r="E3546" s="14" t="n">
        <v>2709.16</v>
      </c>
      <c r="F3546" s="14" t="n">
        <v>34826.51</v>
      </c>
      <c r="G3546" s="6" t="s">
        <v>2613</v>
      </c>
    </row>
    <row r="3547" customFormat="false" ht="15" hidden="false" customHeight="true" outlineLevel="0" collapsed="false">
      <c r="A3547" s="6" t="s">
        <v>6159</v>
      </c>
      <c r="B3547" s="6" t="s">
        <v>873</v>
      </c>
      <c r="C3547" s="6" t="s">
        <v>124</v>
      </c>
      <c r="D3547" s="13" t="n">
        <v>45208</v>
      </c>
      <c r="E3547" s="14" t="n">
        <v>2218.85</v>
      </c>
      <c r="F3547" s="14" t="n">
        <v>37045.36</v>
      </c>
      <c r="G3547" s="6" t="s">
        <v>2613</v>
      </c>
    </row>
    <row r="3548" customFormat="false" ht="15" hidden="false" customHeight="true" outlineLevel="0" collapsed="false">
      <c r="A3548" s="6" t="s">
        <v>6160</v>
      </c>
      <c r="B3548" s="6" t="s">
        <v>873</v>
      </c>
      <c r="C3548" s="6" t="s">
        <v>124</v>
      </c>
      <c r="D3548" s="13" t="n">
        <v>45215</v>
      </c>
      <c r="E3548" s="14" t="n">
        <v>2465.52</v>
      </c>
      <c r="F3548" s="14" t="n">
        <v>39510.88</v>
      </c>
      <c r="G3548" s="6" t="s">
        <v>2613</v>
      </c>
    </row>
    <row r="3549" customFormat="false" ht="15" hidden="false" customHeight="true" outlineLevel="0" collapsed="false">
      <c r="A3549" s="6" t="s">
        <v>6161</v>
      </c>
      <c r="B3549" s="6" t="s">
        <v>873</v>
      </c>
      <c r="C3549" s="6" t="s">
        <v>124</v>
      </c>
      <c r="D3549" s="13" t="n">
        <v>45222</v>
      </c>
      <c r="E3549" s="14" t="n">
        <v>2246.27</v>
      </c>
      <c r="F3549" s="14" t="n">
        <v>41757.15</v>
      </c>
      <c r="G3549" s="6" t="s">
        <v>2613</v>
      </c>
    </row>
    <row r="3550" customFormat="false" ht="15" hidden="false" customHeight="true" outlineLevel="0" collapsed="false">
      <c r="A3550" s="6" t="s">
        <v>6162</v>
      </c>
      <c r="B3550" s="6" t="s">
        <v>873</v>
      </c>
      <c r="C3550" s="6" t="s">
        <v>124</v>
      </c>
      <c r="D3550" s="13" t="n">
        <v>45229</v>
      </c>
      <c r="E3550" s="14" t="n">
        <v>2003.15</v>
      </c>
      <c r="F3550" s="14" t="n">
        <v>43760.3</v>
      </c>
      <c r="G3550" s="6" t="s">
        <v>2613</v>
      </c>
    </row>
    <row r="3551" customFormat="false" ht="15" hidden="false" customHeight="true" outlineLevel="0" collapsed="false">
      <c r="A3551" s="6" t="s">
        <v>6163</v>
      </c>
      <c r="B3551" s="6" t="s">
        <v>873</v>
      </c>
      <c r="C3551" s="6" t="s">
        <v>124</v>
      </c>
      <c r="D3551" s="13" t="n">
        <v>45236</v>
      </c>
      <c r="E3551" s="14" t="n">
        <v>2882.3</v>
      </c>
      <c r="F3551" s="14" t="n">
        <v>46642.6</v>
      </c>
      <c r="G3551" s="6" t="s">
        <v>2613</v>
      </c>
    </row>
    <row r="3552" customFormat="false" ht="15" hidden="false" customHeight="true" outlineLevel="0" collapsed="false">
      <c r="A3552" s="6" t="s">
        <v>6164</v>
      </c>
      <c r="B3552" s="6" t="s">
        <v>873</v>
      </c>
      <c r="C3552" s="6" t="s">
        <v>124</v>
      </c>
      <c r="D3552" s="13" t="n">
        <v>45243</v>
      </c>
      <c r="E3552" s="14" t="n">
        <v>1468.09</v>
      </c>
      <c r="F3552" s="14" t="n">
        <v>48110.69</v>
      </c>
      <c r="G3552" s="6" t="s">
        <v>2613</v>
      </c>
    </row>
    <row r="3553" customFormat="false" ht="15" hidden="false" customHeight="true" outlineLevel="0" collapsed="false">
      <c r="A3553" s="6" t="s">
        <v>6165</v>
      </c>
      <c r="B3553" s="6" t="s">
        <v>875</v>
      </c>
      <c r="C3553" s="6" t="s">
        <v>124</v>
      </c>
      <c r="D3553" s="13" t="n">
        <v>45276</v>
      </c>
      <c r="E3553" s="14" t="n">
        <v>4954.18</v>
      </c>
      <c r="F3553" s="14" t="n">
        <v>4954.18</v>
      </c>
      <c r="G3553" s="6" t="s">
        <v>2613</v>
      </c>
    </row>
    <row r="3554" customFormat="false" ht="15" hidden="false" customHeight="true" outlineLevel="0" collapsed="false">
      <c r="A3554" s="6" t="s">
        <v>6166</v>
      </c>
      <c r="B3554" s="6" t="s">
        <v>875</v>
      </c>
      <c r="C3554" s="6" t="s">
        <v>124</v>
      </c>
      <c r="D3554" s="13" t="n">
        <v>45283</v>
      </c>
      <c r="E3554" s="14" t="n">
        <v>5810.85</v>
      </c>
      <c r="F3554" s="14" t="n">
        <v>10765.03</v>
      </c>
      <c r="G3554" s="6" t="s">
        <v>2613</v>
      </c>
    </row>
    <row r="3555" customFormat="false" ht="15" hidden="false" customHeight="true" outlineLevel="0" collapsed="false">
      <c r="A3555" s="6" t="s">
        <v>6167</v>
      </c>
      <c r="B3555" s="6" t="s">
        <v>875</v>
      </c>
      <c r="C3555" s="6" t="s">
        <v>124</v>
      </c>
      <c r="D3555" s="13" t="n">
        <v>45290</v>
      </c>
      <c r="E3555" s="14" t="n">
        <v>4713.32</v>
      </c>
      <c r="F3555" s="14" t="n">
        <v>15478.35</v>
      </c>
      <c r="G3555" s="6" t="s">
        <v>2613</v>
      </c>
    </row>
    <row r="3556" customFormat="false" ht="15" hidden="false" customHeight="true" outlineLevel="0" collapsed="false">
      <c r="A3556" s="6" t="s">
        <v>6168</v>
      </c>
      <c r="B3556" s="6" t="s">
        <v>875</v>
      </c>
      <c r="C3556" s="6" t="s">
        <v>124</v>
      </c>
      <c r="D3556" s="13" t="n">
        <v>45297</v>
      </c>
      <c r="E3556" s="14" t="n">
        <v>5168.46</v>
      </c>
      <c r="F3556" s="14" t="n">
        <v>20646.81</v>
      </c>
      <c r="G3556" s="6" t="s">
        <v>2613</v>
      </c>
    </row>
    <row r="3557" customFormat="false" ht="15" hidden="false" customHeight="true" outlineLevel="0" collapsed="false">
      <c r="A3557" s="6" t="s">
        <v>6169</v>
      </c>
      <c r="B3557" s="6" t="s">
        <v>875</v>
      </c>
      <c r="C3557" s="6" t="s">
        <v>124</v>
      </c>
      <c r="D3557" s="13" t="n">
        <v>45304</v>
      </c>
      <c r="E3557" s="14" t="n">
        <v>5090.85</v>
      </c>
      <c r="F3557" s="14" t="n">
        <v>25737.66</v>
      </c>
      <c r="G3557" s="6" t="s">
        <v>2613</v>
      </c>
    </row>
    <row r="3558" customFormat="false" ht="15" hidden="false" customHeight="true" outlineLevel="0" collapsed="false">
      <c r="A3558" s="6" t="s">
        <v>6170</v>
      </c>
      <c r="B3558" s="6" t="s">
        <v>875</v>
      </c>
      <c r="C3558" s="6" t="s">
        <v>124</v>
      </c>
      <c r="D3558" s="13" t="n">
        <v>45311</v>
      </c>
      <c r="E3558" s="14" t="n">
        <v>5865.38</v>
      </c>
      <c r="F3558" s="14" t="n">
        <v>31603.04</v>
      </c>
      <c r="G3558" s="6" t="s">
        <v>2613</v>
      </c>
    </row>
    <row r="3559" customFormat="false" ht="15" hidden="false" customHeight="true" outlineLevel="0" collapsed="false">
      <c r="A3559" s="6" t="s">
        <v>6171</v>
      </c>
      <c r="B3559" s="6" t="s">
        <v>875</v>
      </c>
      <c r="C3559" s="6" t="s">
        <v>124</v>
      </c>
      <c r="D3559" s="13" t="n">
        <v>45318</v>
      </c>
      <c r="E3559" s="14" t="n">
        <v>4002.89</v>
      </c>
      <c r="F3559" s="14" t="n">
        <v>35605.93</v>
      </c>
      <c r="G3559" s="6" t="s">
        <v>2613</v>
      </c>
    </row>
    <row r="3560" customFormat="false" ht="15" hidden="false" customHeight="true" outlineLevel="0" collapsed="false">
      <c r="A3560" s="6" t="s">
        <v>6172</v>
      </c>
      <c r="B3560" s="6" t="s">
        <v>875</v>
      </c>
      <c r="C3560" s="6" t="s">
        <v>124</v>
      </c>
      <c r="D3560" s="13" t="n">
        <v>45325</v>
      </c>
      <c r="E3560" s="14" t="n">
        <v>6735.5</v>
      </c>
      <c r="F3560" s="14" t="n">
        <v>42341.43</v>
      </c>
      <c r="G3560" s="6" t="s">
        <v>2613</v>
      </c>
    </row>
    <row r="3561" customFormat="false" ht="15" hidden="false" customHeight="true" outlineLevel="0" collapsed="false">
      <c r="A3561" s="6" t="s">
        <v>6173</v>
      </c>
      <c r="B3561" s="6" t="s">
        <v>875</v>
      </c>
      <c r="C3561" s="6" t="s">
        <v>124</v>
      </c>
      <c r="D3561" s="13" t="n">
        <v>45332</v>
      </c>
      <c r="E3561" s="14" t="n">
        <v>4985.16</v>
      </c>
      <c r="F3561" s="14" t="n">
        <v>47326.59</v>
      </c>
      <c r="G3561" s="6" t="s">
        <v>2613</v>
      </c>
    </row>
    <row r="3562" customFormat="false" ht="15" hidden="false" customHeight="true" outlineLevel="0" collapsed="false">
      <c r="A3562" s="6" t="s">
        <v>6174</v>
      </c>
      <c r="B3562" s="6" t="s">
        <v>875</v>
      </c>
      <c r="C3562" s="6" t="s">
        <v>124</v>
      </c>
      <c r="D3562" s="13" t="n">
        <v>45339</v>
      </c>
      <c r="E3562" s="14" t="n">
        <v>6577.3</v>
      </c>
      <c r="F3562" s="14" t="n">
        <v>53903.89</v>
      </c>
      <c r="G3562" s="6" t="s">
        <v>2613</v>
      </c>
    </row>
    <row r="3563" customFormat="false" ht="15" hidden="false" customHeight="true" outlineLevel="0" collapsed="false">
      <c r="A3563" s="6" t="s">
        <v>6175</v>
      </c>
      <c r="B3563" s="6" t="s">
        <v>875</v>
      </c>
      <c r="C3563" s="6" t="s">
        <v>124</v>
      </c>
      <c r="D3563" s="13" t="n">
        <v>45346</v>
      </c>
      <c r="E3563" s="14" t="n">
        <v>4171.44</v>
      </c>
      <c r="F3563" s="14" t="n">
        <v>58075.33</v>
      </c>
      <c r="G3563" s="6" t="s">
        <v>2613</v>
      </c>
    </row>
    <row r="3564" customFormat="false" ht="15" hidden="false" customHeight="true" outlineLevel="0" collapsed="false">
      <c r="A3564" s="6" t="s">
        <v>6176</v>
      </c>
      <c r="B3564" s="6" t="s">
        <v>877</v>
      </c>
      <c r="C3564" s="6" t="s">
        <v>112</v>
      </c>
      <c r="D3564" s="13" t="n">
        <v>45140</v>
      </c>
      <c r="E3564" s="14" t="n">
        <v>8102.7</v>
      </c>
      <c r="F3564" s="14" t="n">
        <v>8102.7</v>
      </c>
      <c r="G3564" s="6" t="s">
        <v>2613</v>
      </c>
    </row>
    <row r="3565" customFormat="false" ht="15" hidden="false" customHeight="true" outlineLevel="0" collapsed="false">
      <c r="A3565" s="6" t="s">
        <v>6177</v>
      </c>
      <c r="B3565" s="6" t="s">
        <v>877</v>
      </c>
      <c r="C3565" s="6" t="s">
        <v>112</v>
      </c>
      <c r="D3565" s="13" t="n">
        <v>45147</v>
      </c>
      <c r="E3565" s="14" t="n">
        <v>16195.56</v>
      </c>
      <c r="F3565" s="14" t="n">
        <v>24298.26</v>
      </c>
      <c r="G3565" s="6" t="s">
        <v>2613</v>
      </c>
    </row>
    <row r="3566" customFormat="false" ht="15" hidden="false" customHeight="true" outlineLevel="0" collapsed="false">
      <c r="A3566" s="6" t="s">
        <v>6178</v>
      </c>
      <c r="B3566" s="6" t="s">
        <v>877</v>
      </c>
      <c r="C3566" s="6" t="s">
        <v>112</v>
      </c>
      <c r="D3566" s="13" t="n">
        <v>45154</v>
      </c>
      <c r="E3566" s="14" t="n">
        <v>10111.58</v>
      </c>
      <c r="F3566" s="14" t="n">
        <v>34409.84</v>
      </c>
      <c r="G3566" s="6" t="s">
        <v>2613</v>
      </c>
    </row>
    <row r="3567" customFormat="false" ht="15" hidden="false" customHeight="true" outlineLevel="0" collapsed="false">
      <c r="A3567" s="6" t="s">
        <v>6179</v>
      </c>
      <c r="B3567" s="6" t="s">
        <v>877</v>
      </c>
      <c r="C3567" s="6" t="s">
        <v>112</v>
      </c>
      <c r="D3567" s="13" t="n">
        <v>45161</v>
      </c>
      <c r="E3567" s="14" t="n">
        <v>10816.11</v>
      </c>
      <c r="F3567" s="14" t="n">
        <v>45225.95</v>
      </c>
      <c r="G3567" s="6" t="s">
        <v>2613</v>
      </c>
    </row>
    <row r="3568" customFormat="false" ht="15" hidden="false" customHeight="true" outlineLevel="0" collapsed="false">
      <c r="A3568" s="6" t="s">
        <v>6180</v>
      </c>
      <c r="B3568" s="6" t="s">
        <v>877</v>
      </c>
      <c r="C3568" s="6" t="s">
        <v>112</v>
      </c>
      <c r="D3568" s="13" t="n">
        <v>45168</v>
      </c>
      <c r="E3568" s="14" t="n">
        <v>13960.06</v>
      </c>
      <c r="F3568" s="14" t="n">
        <v>59186.01</v>
      </c>
      <c r="G3568" s="6" t="s">
        <v>2613</v>
      </c>
    </row>
    <row r="3569" customFormat="false" ht="15" hidden="false" customHeight="true" outlineLevel="0" collapsed="false">
      <c r="A3569" s="6" t="s">
        <v>6181</v>
      </c>
      <c r="B3569" s="6" t="s">
        <v>879</v>
      </c>
      <c r="C3569" s="6" t="s">
        <v>124</v>
      </c>
      <c r="D3569" s="13" t="n">
        <v>44770</v>
      </c>
      <c r="E3569" s="14" t="n">
        <v>1360.54</v>
      </c>
      <c r="F3569" s="14" t="n">
        <v>1360.54</v>
      </c>
      <c r="G3569" s="6" t="s">
        <v>2613</v>
      </c>
    </row>
    <row r="3570" customFormat="false" ht="15" hidden="false" customHeight="true" outlineLevel="0" collapsed="false">
      <c r="A3570" s="6" t="s">
        <v>6182</v>
      </c>
      <c r="B3570" s="6" t="s">
        <v>879</v>
      </c>
      <c r="C3570" s="6" t="s">
        <v>124</v>
      </c>
      <c r="D3570" s="13" t="n">
        <v>44777</v>
      </c>
      <c r="E3570" s="14" t="n">
        <v>1093.97</v>
      </c>
      <c r="F3570" s="14" t="n">
        <v>2454.51</v>
      </c>
      <c r="G3570" s="6" t="s">
        <v>2613</v>
      </c>
    </row>
    <row r="3571" customFormat="false" ht="15" hidden="false" customHeight="true" outlineLevel="0" collapsed="false">
      <c r="A3571" s="6" t="s">
        <v>6183</v>
      </c>
      <c r="B3571" s="6" t="s">
        <v>879</v>
      </c>
      <c r="C3571" s="6" t="s">
        <v>124</v>
      </c>
      <c r="D3571" s="13" t="n">
        <v>44784</v>
      </c>
      <c r="E3571" s="14" t="n">
        <v>701.14</v>
      </c>
      <c r="F3571" s="14" t="n">
        <v>3155.65</v>
      </c>
      <c r="G3571" s="6" t="s">
        <v>2613</v>
      </c>
    </row>
    <row r="3572" customFormat="false" ht="15" hidden="false" customHeight="true" outlineLevel="0" collapsed="false">
      <c r="A3572" s="6" t="s">
        <v>6184</v>
      </c>
      <c r="B3572" s="6" t="s">
        <v>879</v>
      </c>
      <c r="C3572" s="6" t="s">
        <v>124</v>
      </c>
      <c r="D3572" s="13" t="n">
        <v>44791</v>
      </c>
      <c r="E3572" s="14" t="n">
        <v>1380</v>
      </c>
      <c r="F3572" s="14" t="n">
        <v>4535.65</v>
      </c>
      <c r="G3572" s="6" t="s">
        <v>2613</v>
      </c>
    </row>
    <row r="3573" customFormat="false" ht="15" hidden="false" customHeight="true" outlineLevel="0" collapsed="false">
      <c r="A3573" s="6" t="s">
        <v>6185</v>
      </c>
      <c r="B3573" s="6" t="s">
        <v>879</v>
      </c>
      <c r="C3573" s="6" t="s">
        <v>124</v>
      </c>
      <c r="D3573" s="13" t="n">
        <v>44798</v>
      </c>
      <c r="E3573" s="14" t="n">
        <v>1169.51</v>
      </c>
      <c r="F3573" s="14" t="n">
        <v>5705.16</v>
      </c>
      <c r="G3573" s="6" t="s">
        <v>2613</v>
      </c>
    </row>
    <row r="3574" customFormat="false" ht="15" hidden="false" customHeight="true" outlineLevel="0" collapsed="false">
      <c r="A3574" s="6" t="s">
        <v>6186</v>
      </c>
      <c r="B3574" s="6" t="s">
        <v>879</v>
      </c>
      <c r="C3574" s="6" t="s">
        <v>124</v>
      </c>
      <c r="D3574" s="13" t="n">
        <v>44805</v>
      </c>
      <c r="E3574" s="14" t="n">
        <v>848.26</v>
      </c>
      <c r="F3574" s="14" t="n">
        <v>6553.42</v>
      </c>
      <c r="G3574" s="6" t="s">
        <v>2613</v>
      </c>
    </row>
    <row r="3575" customFormat="false" ht="15" hidden="false" customHeight="true" outlineLevel="0" collapsed="false">
      <c r="A3575" s="6" t="s">
        <v>6187</v>
      </c>
      <c r="B3575" s="6" t="s">
        <v>879</v>
      </c>
      <c r="C3575" s="6" t="s">
        <v>124</v>
      </c>
      <c r="D3575" s="13" t="n">
        <v>44812</v>
      </c>
      <c r="E3575" s="14" t="n">
        <v>1041.02</v>
      </c>
      <c r="F3575" s="14" t="n">
        <v>7594.44</v>
      </c>
      <c r="G3575" s="6" t="s">
        <v>2613</v>
      </c>
    </row>
    <row r="3576" customFormat="false" ht="15" hidden="false" customHeight="true" outlineLevel="0" collapsed="false">
      <c r="A3576" s="6" t="s">
        <v>6188</v>
      </c>
      <c r="B3576" s="6" t="s">
        <v>879</v>
      </c>
      <c r="C3576" s="6" t="s">
        <v>124</v>
      </c>
      <c r="D3576" s="13" t="n">
        <v>44819</v>
      </c>
      <c r="E3576" s="14" t="n">
        <v>663.58</v>
      </c>
      <c r="F3576" s="14" t="n">
        <v>8258.02</v>
      </c>
      <c r="G3576" s="6" t="s">
        <v>2613</v>
      </c>
    </row>
    <row r="3577" customFormat="false" ht="15" hidden="false" customHeight="true" outlineLevel="0" collapsed="false">
      <c r="A3577" s="6" t="s">
        <v>6189</v>
      </c>
      <c r="B3577" s="6" t="s">
        <v>879</v>
      </c>
      <c r="C3577" s="6" t="s">
        <v>124</v>
      </c>
      <c r="D3577" s="13" t="n">
        <v>44826</v>
      </c>
      <c r="E3577" s="14" t="n">
        <v>1178.05</v>
      </c>
      <c r="F3577" s="14" t="n">
        <v>9436.07</v>
      </c>
      <c r="G3577" s="6" t="s">
        <v>2613</v>
      </c>
    </row>
    <row r="3578" customFormat="false" ht="15" hidden="false" customHeight="true" outlineLevel="0" collapsed="false">
      <c r="A3578" s="6" t="s">
        <v>6190</v>
      </c>
      <c r="B3578" s="6" t="s">
        <v>879</v>
      </c>
      <c r="C3578" s="6" t="s">
        <v>124</v>
      </c>
      <c r="D3578" s="13" t="n">
        <v>44833</v>
      </c>
      <c r="E3578" s="14" t="n">
        <v>1107.94</v>
      </c>
      <c r="F3578" s="14" t="n">
        <v>10544.01</v>
      </c>
      <c r="G3578" s="6" t="s">
        <v>2613</v>
      </c>
    </row>
    <row r="3579" customFormat="false" ht="15" hidden="false" customHeight="true" outlineLevel="0" collapsed="false">
      <c r="A3579" s="6" t="s">
        <v>6191</v>
      </c>
      <c r="B3579" s="6" t="s">
        <v>879</v>
      </c>
      <c r="C3579" s="6" t="s">
        <v>124</v>
      </c>
      <c r="D3579" s="13" t="n">
        <v>44840</v>
      </c>
      <c r="E3579" s="14" t="n">
        <v>1273.11</v>
      </c>
      <c r="F3579" s="14" t="n">
        <v>11817.12</v>
      </c>
      <c r="G3579" s="6" t="s">
        <v>2613</v>
      </c>
    </row>
    <row r="3580" customFormat="false" ht="15" hidden="false" customHeight="true" outlineLevel="0" collapsed="false">
      <c r="A3580" s="6" t="s">
        <v>6192</v>
      </c>
      <c r="B3580" s="6" t="s">
        <v>879</v>
      </c>
      <c r="C3580" s="6" t="s">
        <v>124</v>
      </c>
      <c r="D3580" s="13" t="n">
        <v>44847</v>
      </c>
      <c r="E3580" s="14" t="n">
        <v>719.14</v>
      </c>
      <c r="F3580" s="14" t="n">
        <v>12536.26</v>
      </c>
      <c r="G3580" s="6" t="s">
        <v>2613</v>
      </c>
    </row>
    <row r="3581" customFormat="false" ht="15" hidden="false" customHeight="true" outlineLevel="0" collapsed="false">
      <c r="A3581" s="6" t="s">
        <v>6193</v>
      </c>
      <c r="B3581" s="6" t="s">
        <v>879</v>
      </c>
      <c r="C3581" s="6" t="s">
        <v>124</v>
      </c>
      <c r="D3581" s="13" t="n">
        <v>44854</v>
      </c>
      <c r="E3581" s="14" t="n">
        <v>286.04</v>
      </c>
      <c r="F3581" s="14" t="n">
        <v>12822.3</v>
      </c>
      <c r="G3581" s="6" t="s">
        <v>2613</v>
      </c>
    </row>
    <row r="3582" customFormat="false" ht="15" hidden="false" customHeight="true" outlineLevel="0" collapsed="false">
      <c r="A3582" s="6" t="s">
        <v>6194</v>
      </c>
      <c r="B3582" s="6" t="s">
        <v>881</v>
      </c>
      <c r="C3582" s="6" t="s">
        <v>116</v>
      </c>
      <c r="D3582" s="13" t="n">
        <v>45064</v>
      </c>
      <c r="E3582" s="14" t="n">
        <v>2172.93</v>
      </c>
      <c r="F3582" s="14" t="n">
        <v>2172.93</v>
      </c>
      <c r="G3582" s="6" t="s">
        <v>2613</v>
      </c>
    </row>
    <row r="3583" customFormat="false" ht="15" hidden="false" customHeight="true" outlineLevel="0" collapsed="false">
      <c r="A3583" s="6" t="s">
        <v>6195</v>
      </c>
      <c r="B3583" s="6" t="s">
        <v>881</v>
      </c>
      <c r="C3583" s="6" t="s">
        <v>116</v>
      </c>
      <c r="D3583" s="13" t="n">
        <v>45071</v>
      </c>
      <c r="E3583" s="14" t="n">
        <v>2353.33</v>
      </c>
      <c r="F3583" s="14" t="n">
        <v>4526.26</v>
      </c>
      <c r="G3583" s="6" t="s">
        <v>2613</v>
      </c>
    </row>
    <row r="3584" customFormat="false" ht="15" hidden="false" customHeight="true" outlineLevel="0" collapsed="false">
      <c r="A3584" s="6" t="s">
        <v>6196</v>
      </c>
      <c r="B3584" s="6" t="s">
        <v>881</v>
      </c>
      <c r="C3584" s="6" t="s">
        <v>116</v>
      </c>
      <c r="D3584" s="13" t="n">
        <v>45078</v>
      </c>
      <c r="E3584" s="14" t="n">
        <v>2902.81</v>
      </c>
      <c r="F3584" s="14" t="n">
        <v>7429.07</v>
      </c>
      <c r="G3584" s="6" t="s">
        <v>2613</v>
      </c>
    </row>
    <row r="3585" customFormat="false" ht="15" hidden="false" customHeight="true" outlineLevel="0" collapsed="false">
      <c r="A3585" s="6" t="s">
        <v>6197</v>
      </c>
      <c r="B3585" s="6" t="s">
        <v>881</v>
      </c>
      <c r="C3585" s="6" t="s">
        <v>116</v>
      </c>
      <c r="D3585" s="13" t="n">
        <v>45085</v>
      </c>
      <c r="E3585" s="14" t="n">
        <v>2106.88</v>
      </c>
      <c r="F3585" s="14" t="n">
        <v>9535.95</v>
      </c>
      <c r="G3585" s="6" t="s">
        <v>2613</v>
      </c>
    </row>
    <row r="3586" customFormat="false" ht="15" hidden="false" customHeight="true" outlineLevel="0" collapsed="false">
      <c r="A3586" s="6" t="s">
        <v>6198</v>
      </c>
      <c r="B3586" s="6" t="s">
        <v>881</v>
      </c>
      <c r="C3586" s="6" t="s">
        <v>116</v>
      </c>
      <c r="D3586" s="13" t="n">
        <v>45092</v>
      </c>
      <c r="E3586" s="14" t="n">
        <v>1315.5</v>
      </c>
      <c r="F3586" s="14" t="n">
        <v>10851.45</v>
      </c>
      <c r="G3586" s="6" t="s">
        <v>2623</v>
      </c>
    </row>
    <row r="3587" customFormat="false" ht="15" hidden="false" customHeight="true" outlineLevel="0" collapsed="false">
      <c r="A3587" s="6" t="s">
        <v>6199</v>
      </c>
      <c r="B3587" s="6" t="s">
        <v>881</v>
      </c>
      <c r="C3587" s="6" t="s">
        <v>116</v>
      </c>
      <c r="D3587" s="13" t="n">
        <v>45099</v>
      </c>
      <c r="E3587" s="14" t="n">
        <v>2479.97</v>
      </c>
      <c r="F3587" s="14" t="n">
        <v>13331.42</v>
      </c>
      <c r="G3587" s="6" t="s">
        <v>2613</v>
      </c>
    </row>
    <row r="3588" customFormat="false" ht="15" hidden="false" customHeight="true" outlineLevel="0" collapsed="false">
      <c r="A3588" s="6" t="s">
        <v>6200</v>
      </c>
      <c r="B3588" s="6" t="s">
        <v>881</v>
      </c>
      <c r="C3588" s="6" t="s">
        <v>116</v>
      </c>
      <c r="D3588" s="13" t="n">
        <v>45106</v>
      </c>
      <c r="E3588" s="14" t="n">
        <v>3033.82</v>
      </c>
      <c r="F3588" s="14" t="n">
        <v>16365.24</v>
      </c>
      <c r="G3588" s="6" t="s">
        <v>2613</v>
      </c>
    </row>
    <row r="3589" customFormat="false" ht="15" hidden="false" customHeight="true" outlineLevel="0" collapsed="false">
      <c r="A3589" s="6" t="s">
        <v>6201</v>
      </c>
      <c r="B3589" s="6" t="s">
        <v>881</v>
      </c>
      <c r="C3589" s="6" t="s">
        <v>116</v>
      </c>
      <c r="D3589" s="13" t="n">
        <v>45113</v>
      </c>
      <c r="E3589" s="14" t="n">
        <v>1425.83</v>
      </c>
      <c r="F3589" s="14" t="n">
        <v>17791.07</v>
      </c>
      <c r="G3589" s="6" t="s">
        <v>2613</v>
      </c>
    </row>
    <row r="3590" customFormat="false" ht="15" hidden="false" customHeight="true" outlineLevel="0" collapsed="false">
      <c r="A3590" s="6" t="s">
        <v>6202</v>
      </c>
      <c r="B3590" s="6" t="s">
        <v>881</v>
      </c>
      <c r="C3590" s="6" t="s">
        <v>116</v>
      </c>
      <c r="D3590" s="13" t="n">
        <v>45120</v>
      </c>
      <c r="E3590" s="14" t="n">
        <v>1755.48</v>
      </c>
      <c r="F3590" s="14" t="n">
        <v>19546.55</v>
      </c>
      <c r="G3590" s="6" t="s">
        <v>2613</v>
      </c>
    </row>
    <row r="3591" customFormat="false" ht="15" hidden="false" customHeight="true" outlineLevel="0" collapsed="false">
      <c r="A3591" s="6" t="s">
        <v>6203</v>
      </c>
      <c r="B3591" s="6" t="s">
        <v>881</v>
      </c>
      <c r="C3591" s="6" t="s">
        <v>116</v>
      </c>
      <c r="D3591" s="13" t="n">
        <v>45127</v>
      </c>
      <c r="E3591" s="14" t="n">
        <v>1513.81</v>
      </c>
      <c r="F3591" s="14" t="n">
        <v>21060.36</v>
      </c>
      <c r="G3591" s="6" t="s">
        <v>2613</v>
      </c>
    </row>
    <row r="3592" customFormat="false" ht="15" hidden="false" customHeight="true" outlineLevel="0" collapsed="false">
      <c r="A3592" s="6" t="s">
        <v>6204</v>
      </c>
      <c r="B3592" s="6" t="s">
        <v>881</v>
      </c>
      <c r="C3592" s="6" t="s">
        <v>116</v>
      </c>
      <c r="D3592" s="13" t="n">
        <v>45134</v>
      </c>
      <c r="E3592" s="14" t="n">
        <v>2428.21</v>
      </c>
      <c r="F3592" s="14" t="n">
        <v>23488.57</v>
      </c>
      <c r="G3592" s="6" t="s">
        <v>2613</v>
      </c>
    </row>
    <row r="3593" customFormat="false" ht="15" hidden="false" customHeight="true" outlineLevel="0" collapsed="false">
      <c r="A3593" s="6" t="s">
        <v>6205</v>
      </c>
      <c r="B3593" s="6" t="s">
        <v>881</v>
      </c>
      <c r="C3593" s="6" t="s">
        <v>116</v>
      </c>
      <c r="D3593" s="13" t="n">
        <v>45141</v>
      </c>
      <c r="E3593" s="14" t="n">
        <v>1344.76</v>
      </c>
      <c r="F3593" s="14" t="n">
        <v>24833.33</v>
      </c>
      <c r="G3593" s="6" t="s">
        <v>2613</v>
      </c>
    </row>
    <row r="3594" customFormat="false" ht="15" hidden="false" customHeight="true" outlineLevel="0" collapsed="false">
      <c r="A3594" s="6" t="s">
        <v>6206</v>
      </c>
      <c r="B3594" s="6" t="s">
        <v>881</v>
      </c>
      <c r="C3594" s="6" t="s">
        <v>116</v>
      </c>
      <c r="D3594" s="13" t="n">
        <v>45148</v>
      </c>
      <c r="E3594" s="14" t="n">
        <v>3409.94</v>
      </c>
      <c r="F3594" s="14" t="n">
        <v>28243.27</v>
      </c>
      <c r="G3594" s="6" t="s">
        <v>2613</v>
      </c>
    </row>
    <row r="3595" customFormat="false" ht="15" hidden="false" customHeight="true" outlineLevel="0" collapsed="false">
      <c r="A3595" s="6" t="s">
        <v>6207</v>
      </c>
      <c r="B3595" s="6" t="s">
        <v>883</v>
      </c>
      <c r="C3595" s="6" t="s">
        <v>120</v>
      </c>
      <c r="D3595" s="13" t="n">
        <v>45756</v>
      </c>
      <c r="E3595" s="14" t="n">
        <v>2068.3</v>
      </c>
      <c r="F3595" s="14" t="n">
        <v>2068.3</v>
      </c>
      <c r="G3595" s="6" t="s">
        <v>2613</v>
      </c>
    </row>
    <row r="3596" customFormat="false" ht="15" hidden="false" customHeight="true" outlineLevel="0" collapsed="false">
      <c r="A3596" s="6" t="s">
        <v>6208</v>
      </c>
      <c r="B3596" s="6" t="s">
        <v>885</v>
      </c>
      <c r="C3596" s="6" t="s">
        <v>124</v>
      </c>
      <c r="D3596" s="13" t="n">
        <v>46110</v>
      </c>
      <c r="E3596" s="14" t="n">
        <v>4954.84</v>
      </c>
      <c r="F3596" s="14" t="n">
        <v>4954.84</v>
      </c>
      <c r="G3596" s="6" t="s">
        <v>2613</v>
      </c>
    </row>
    <row r="3597" customFormat="false" ht="15" hidden="false" customHeight="true" outlineLevel="0" collapsed="false">
      <c r="A3597" s="6" t="s">
        <v>6209</v>
      </c>
      <c r="B3597" s="6" t="s">
        <v>885</v>
      </c>
      <c r="C3597" s="6" t="s">
        <v>124</v>
      </c>
      <c r="D3597" s="13" t="n">
        <v>46117</v>
      </c>
      <c r="E3597" s="14" t="n">
        <v>7287.38</v>
      </c>
      <c r="F3597" s="14" t="n">
        <v>12242.22</v>
      </c>
      <c r="G3597" s="6" t="s">
        <v>2613</v>
      </c>
    </row>
    <row r="3598" customFormat="false" ht="15" hidden="false" customHeight="true" outlineLevel="0" collapsed="false">
      <c r="A3598" s="6" t="s">
        <v>6210</v>
      </c>
      <c r="B3598" s="6" t="s">
        <v>885</v>
      </c>
      <c r="C3598" s="6" t="s">
        <v>124</v>
      </c>
      <c r="D3598" s="13" t="n">
        <v>46124</v>
      </c>
      <c r="E3598" s="14" t="n">
        <v>6248.61</v>
      </c>
      <c r="F3598" s="14" t="n">
        <v>18490.83</v>
      </c>
      <c r="G3598" s="6" t="s">
        <v>2613</v>
      </c>
    </row>
    <row r="3599" customFormat="false" ht="15" hidden="false" customHeight="true" outlineLevel="0" collapsed="false">
      <c r="A3599" s="6" t="s">
        <v>6211</v>
      </c>
      <c r="B3599" s="6" t="s">
        <v>885</v>
      </c>
      <c r="C3599" s="6" t="s">
        <v>124</v>
      </c>
      <c r="D3599" s="13" t="n">
        <v>46131</v>
      </c>
      <c r="E3599" s="14" t="n">
        <v>7163.9</v>
      </c>
      <c r="F3599" s="14" t="n">
        <v>25654.73</v>
      </c>
      <c r="G3599" s="6" t="s">
        <v>2613</v>
      </c>
    </row>
    <row r="3600" customFormat="false" ht="15" hidden="false" customHeight="true" outlineLevel="0" collapsed="false">
      <c r="A3600" s="6" t="s">
        <v>6212</v>
      </c>
      <c r="B3600" s="6" t="s">
        <v>885</v>
      </c>
      <c r="C3600" s="6" t="s">
        <v>124</v>
      </c>
      <c r="D3600" s="13" t="n">
        <v>46138</v>
      </c>
      <c r="E3600" s="14" t="n">
        <v>4922.32</v>
      </c>
      <c r="F3600" s="14" t="n">
        <v>30577.05</v>
      </c>
      <c r="G3600" s="6" t="s">
        <v>2613</v>
      </c>
    </row>
    <row r="3601" customFormat="false" ht="15" hidden="false" customHeight="true" outlineLevel="0" collapsed="false">
      <c r="A3601" s="6" t="s">
        <v>6213</v>
      </c>
      <c r="B3601" s="6" t="s">
        <v>885</v>
      </c>
      <c r="C3601" s="6" t="s">
        <v>124</v>
      </c>
      <c r="D3601" s="13" t="n">
        <v>46145</v>
      </c>
      <c r="E3601" s="14" t="n">
        <v>5313</v>
      </c>
      <c r="F3601" s="14" t="n">
        <v>35890.05</v>
      </c>
      <c r="G3601" s="6" t="s">
        <v>2613</v>
      </c>
    </row>
    <row r="3602" customFormat="false" ht="15" hidden="false" customHeight="true" outlineLevel="0" collapsed="false">
      <c r="A3602" s="6" t="s">
        <v>6214</v>
      </c>
      <c r="B3602" s="6" t="s">
        <v>885</v>
      </c>
      <c r="C3602" s="6" t="s">
        <v>124</v>
      </c>
      <c r="D3602" s="13" t="n">
        <v>46152</v>
      </c>
      <c r="E3602" s="14" t="n">
        <v>4935.53</v>
      </c>
      <c r="F3602" s="14" t="n">
        <v>40825.58</v>
      </c>
      <c r="G3602" s="6" t="s">
        <v>2613</v>
      </c>
    </row>
    <row r="3603" customFormat="false" ht="15" hidden="false" customHeight="true" outlineLevel="0" collapsed="false">
      <c r="A3603" s="6" t="s">
        <v>6215</v>
      </c>
      <c r="B3603" s="6" t="s">
        <v>885</v>
      </c>
      <c r="C3603" s="6" t="s">
        <v>124</v>
      </c>
      <c r="D3603" s="13" t="n">
        <v>46159</v>
      </c>
      <c r="E3603" s="14" t="n">
        <v>6575.92</v>
      </c>
      <c r="F3603" s="14" t="n">
        <v>47401.5</v>
      </c>
      <c r="G3603" s="6" t="s">
        <v>2613</v>
      </c>
    </row>
    <row r="3604" customFormat="false" ht="15" hidden="false" customHeight="true" outlineLevel="0" collapsed="false">
      <c r="A3604" s="6" t="s">
        <v>6216</v>
      </c>
      <c r="B3604" s="6" t="s">
        <v>887</v>
      </c>
      <c r="C3604" s="6" t="s">
        <v>131</v>
      </c>
      <c r="D3604" s="13" t="n">
        <v>44626</v>
      </c>
      <c r="E3604" s="14" t="n">
        <v>2085.48</v>
      </c>
      <c r="F3604" s="14" t="n">
        <v>2085.48</v>
      </c>
      <c r="G3604" s="6" t="s">
        <v>2623</v>
      </c>
    </row>
    <row r="3605" customFormat="false" ht="15" hidden="false" customHeight="true" outlineLevel="0" collapsed="false">
      <c r="A3605" s="6" t="s">
        <v>6217</v>
      </c>
      <c r="B3605" s="6" t="s">
        <v>887</v>
      </c>
      <c r="C3605" s="6" t="s">
        <v>131</v>
      </c>
      <c r="D3605" s="13" t="n">
        <v>44633</v>
      </c>
      <c r="E3605" s="14" t="n">
        <v>2586.44</v>
      </c>
      <c r="F3605" s="14" t="n">
        <v>4671.92</v>
      </c>
      <c r="G3605" s="6" t="s">
        <v>2613</v>
      </c>
    </row>
    <row r="3606" customFormat="false" ht="15" hidden="false" customHeight="true" outlineLevel="0" collapsed="false">
      <c r="A3606" s="6" t="s">
        <v>6218</v>
      </c>
      <c r="B3606" s="6" t="s">
        <v>887</v>
      </c>
      <c r="C3606" s="6" t="s">
        <v>131</v>
      </c>
      <c r="D3606" s="13" t="n">
        <v>44640</v>
      </c>
      <c r="E3606" s="14" t="n">
        <v>3761.25</v>
      </c>
      <c r="F3606" s="14" t="n">
        <v>8433.17</v>
      </c>
      <c r="G3606" s="6" t="s">
        <v>2613</v>
      </c>
    </row>
    <row r="3607" customFormat="false" ht="15" hidden="false" customHeight="true" outlineLevel="0" collapsed="false">
      <c r="A3607" s="6" t="s">
        <v>6219</v>
      </c>
      <c r="B3607" s="6" t="s">
        <v>887</v>
      </c>
      <c r="C3607" s="6" t="s">
        <v>131</v>
      </c>
      <c r="D3607" s="13" t="n">
        <v>44647</v>
      </c>
      <c r="E3607" s="14" t="n">
        <v>2848.33</v>
      </c>
      <c r="F3607" s="14" t="n">
        <v>11281.5</v>
      </c>
      <c r="G3607" s="6" t="s">
        <v>2613</v>
      </c>
    </row>
    <row r="3608" customFormat="false" ht="15" hidden="false" customHeight="true" outlineLevel="0" collapsed="false">
      <c r="A3608" s="6" t="s">
        <v>6220</v>
      </c>
      <c r="B3608" s="6" t="s">
        <v>887</v>
      </c>
      <c r="C3608" s="6" t="s">
        <v>131</v>
      </c>
      <c r="D3608" s="13" t="n">
        <v>44654</v>
      </c>
      <c r="E3608" s="14" t="n">
        <v>3998.43</v>
      </c>
      <c r="F3608" s="14" t="n">
        <v>15279.93</v>
      </c>
      <c r="G3608" s="6" t="s">
        <v>2613</v>
      </c>
    </row>
    <row r="3609" customFormat="false" ht="15" hidden="false" customHeight="true" outlineLevel="0" collapsed="false">
      <c r="A3609" s="6" t="s">
        <v>6221</v>
      </c>
      <c r="B3609" s="6" t="s">
        <v>887</v>
      </c>
      <c r="C3609" s="6" t="s">
        <v>131</v>
      </c>
      <c r="D3609" s="13" t="n">
        <v>44661</v>
      </c>
      <c r="E3609" s="14" t="n">
        <v>3104.06</v>
      </c>
      <c r="F3609" s="14" t="n">
        <v>18383.99</v>
      </c>
      <c r="G3609" s="6" t="s">
        <v>2613</v>
      </c>
    </row>
    <row r="3610" customFormat="false" ht="15" hidden="false" customHeight="true" outlineLevel="0" collapsed="false">
      <c r="A3610" s="6" t="s">
        <v>6222</v>
      </c>
      <c r="B3610" s="6" t="s">
        <v>887</v>
      </c>
      <c r="C3610" s="6" t="s">
        <v>131</v>
      </c>
      <c r="D3610" s="13" t="n">
        <v>44668</v>
      </c>
      <c r="E3610" s="14" t="n">
        <v>2955.96</v>
      </c>
      <c r="F3610" s="14" t="n">
        <v>21339.95</v>
      </c>
      <c r="G3610" s="6" t="s">
        <v>2613</v>
      </c>
    </row>
    <row r="3611" customFormat="false" ht="15" hidden="false" customHeight="true" outlineLevel="0" collapsed="false">
      <c r="A3611" s="6" t="s">
        <v>6223</v>
      </c>
      <c r="B3611" s="6" t="s">
        <v>887</v>
      </c>
      <c r="C3611" s="6" t="s">
        <v>131</v>
      </c>
      <c r="D3611" s="13" t="n">
        <v>44675</v>
      </c>
      <c r="E3611" s="14" t="n">
        <v>1874.3</v>
      </c>
      <c r="F3611" s="14" t="n">
        <v>23214.25</v>
      </c>
      <c r="G3611" s="6" t="s">
        <v>2613</v>
      </c>
    </row>
    <row r="3612" customFormat="false" ht="15" hidden="false" customHeight="true" outlineLevel="0" collapsed="false">
      <c r="A3612" s="6" t="s">
        <v>6224</v>
      </c>
      <c r="B3612" s="6" t="s">
        <v>889</v>
      </c>
      <c r="C3612" s="6" t="s">
        <v>131</v>
      </c>
      <c r="D3612" s="13" t="n">
        <v>46162</v>
      </c>
      <c r="E3612" s="14" t="n">
        <v>3777.41</v>
      </c>
      <c r="F3612" s="14" t="n">
        <v>3777.41</v>
      </c>
      <c r="G3612" s="6" t="s">
        <v>2613</v>
      </c>
    </row>
    <row r="3613" customFormat="false" ht="15" hidden="false" customHeight="true" outlineLevel="0" collapsed="false">
      <c r="A3613" s="6" t="s">
        <v>6225</v>
      </c>
      <c r="B3613" s="6" t="s">
        <v>889</v>
      </c>
      <c r="C3613" s="6" t="s">
        <v>131</v>
      </c>
      <c r="D3613" s="13" t="n">
        <v>46169</v>
      </c>
      <c r="E3613" s="14" t="n">
        <v>5263.21</v>
      </c>
      <c r="F3613" s="14" t="n">
        <v>9040.62</v>
      </c>
      <c r="G3613" s="6" t="s">
        <v>2613</v>
      </c>
    </row>
    <row r="3614" customFormat="false" ht="15" hidden="false" customHeight="true" outlineLevel="0" collapsed="false">
      <c r="A3614" s="6" t="s">
        <v>6226</v>
      </c>
      <c r="B3614" s="6" t="s">
        <v>889</v>
      </c>
      <c r="C3614" s="6" t="s">
        <v>131</v>
      </c>
      <c r="D3614" s="13" t="n">
        <v>46176</v>
      </c>
      <c r="E3614" s="14" t="n">
        <v>3040.47</v>
      </c>
      <c r="F3614" s="14" t="n">
        <v>12081.09</v>
      </c>
      <c r="G3614" s="6" t="s">
        <v>2613</v>
      </c>
    </row>
    <row r="3615" customFormat="false" ht="15" hidden="false" customHeight="true" outlineLevel="0" collapsed="false">
      <c r="A3615" s="6" t="s">
        <v>6227</v>
      </c>
      <c r="B3615" s="6" t="s">
        <v>889</v>
      </c>
      <c r="C3615" s="6" t="s">
        <v>131</v>
      </c>
      <c r="D3615" s="13" t="n">
        <v>46183</v>
      </c>
      <c r="E3615" s="14" t="n">
        <v>6258.43</v>
      </c>
      <c r="F3615" s="14" t="n">
        <v>18339.52</v>
      </c>
      <c r="G3615" s="6" t="s">
        <v>2613</v>
      </c>
    </row>
    <row r="3616" customFormat="false" ht="15" hidden="false" customHeight="true" outlineLevel="0" collapsed="false">
      <c r="A3616" s="6" t="s">
        <v>6228</v>
      </c>
      <c r="B3616" s="6" t="s">
        <v>889</v>
      </c>
      <c r="C3616" s="6" t="s">
        <v>131</v>
      </c>
      <c r="D3616" s="13" t="n">
        <v>46190</v>
      </c>
      <c r="E3616" s="14" t="n">
        <v>6592.14</v>
      </c>
      <c r="F3616" s="14" t="n">
        <v>24931.66</v>
      </c>
      <c r="G3616" s="6" t="s">
        <v>2613</v>
      </c>
    </row>
    <row r="3617" customFormat="false" ht="15" hidden="false" customHeight="true" outlineLevel="0" collapsed="false">
      <c r="A3617" s="6" t="s">
        <v>6229</v>
      </c>
      <c r="B3617" s="6" t="s">
        <v>891</v>
      </c>
      <c r="C3617" s="6" t="s">
        <v>131</v>
      </c>
      <c r="D3617" s="13" t="n">
        <v>45670</v>
      </c>
      <c r="E3617" s="14" t="n">
        <v>3837.09</v>
      </c>
      <c r="F3617" s="14" t="n">
        <v>3837.09</v>
      </c>
      <c r="G3617" s="6" t="s">
        <v>2613</v>
      </c>
    </row>
    <row r="3618" customFormat="false" ht="15" hidden="false" customHeight="true" outlineLevel="0" collapsed="false">
      <c r="A3618" s="6" t="s">
        <v>6230</v>
      </c>
      <c r="B3618" s="6" t="s">
        <v>891</v>
      </c>
      <c r="C3618" s="6" t="s">
        <v>131</v>
      </c>
      <c r="D3618" s="13" t="n">
        <v>45677</v>
      </c>
      <c r="E3618" s="14" t="n">
        <v>4751.15</v>
      </c>
      <c r="F3618" s="14" t="n">
        <v>8588.24</v>
      </c>
      <c r="G3618" s="6" t="s">
        <v>2613</v>
      </c>
    </row>
    <row r="3619" customFormat="false" ht="15" hidden="false" customHeight="true" outlineLevel="0" collapsed="false">
      <c r="A3619" s="6" t="s">
        <v>6231</v>
      </c>
      <c r="B3619" s="6" t="s">
        <v>891</v>
      </c>
      <c r="C3619" s="6" t="s">
        <v>131</v>
      </c>
      <c r="D3619" s="13" t="n">
        <v>45684</v>
      </c>
      <c r="E3619" s="14" t="n">
        <v>7090.92</v>
      </c>
      <c r="F3619" s="14" t="n">
        <v>15679.16</v>
      </c>
      <c r="G3619" s="6" t="s">
        <v>2613</v>
      </c>
    </row>
    <row r="3620" customFormat="false" ht="15" hidden="false" customHeight="true" outlineLevel="0" collapsed="false">
      <c r="A3620" s="6" t="s">
        <v>6232</v>
      </c>
      <c r="B3620" s="6" t="s">
        <v>891</v>
      </c>
      <c r="C3620" s="6" t="s">
        <v>131</v>
      </c>
      <c r="D3620" s="13" t="n">
        <v>45691</v>
      </c>
      <c r="E3620" s="14" t="n">
        <v>6668.98</v>
      </c>
      <c r="F3620" s="14" t="n">
        <v>22348.14</v>
      </c>
      <c r="G3620" s="6" t="s">
        <v>2613</v>
      </c>
    </row>
    <row r="3621" customFormat="false" ht="15" hidden="false" customHeight="true" outlineLevel="0" collapsed="false">
      <c r="A3621" s="6" t="s">
        <v>6233</v>
      </c>
      <c r="B3621" s="6" t="s">
        <v>891</v>
      </c>
      <c r="C3621" s="6" t="s">
        <v>131</v>
      </c>
      <c r="D3621" s="13" t="n">
        <v>45698</v>
      </c>
      <c r="E3621" s="14" t="n">
        <v>6853.84</v>
      </c>
      <c r="F3621" s="14" t="n">
        <v>29201.98</v>
      </c>
      <c r="G3621" s="6" t="s">
        <v>2613</v>
      </c>
    </row>
    <row r="3622" customFormat="false" ht="15" hidden="false" customHeight="true" outlineLevel="0" collapsed="false">
      <c r="A3622" s="6" t="s">
        <v>6234</v>
      </c>
      <c r="B3622" s="6" t="s">
        <v>891</v>
      </c>
      <c r="C3622" s="6" t="s">
        <v>131</v>
      </c>
      <c r="D3622" s="13" t="n">
        <v>45705</v>
      </c>
      <c r="E3622" s="14" t="n">
        <v>3762.15</v>
      </c>
      <c r="F3622" s="14" t="n">
        <v>32964.13</v>
      </c>
      <c r="G3622" s="6" t="s">
        <v>2613</v>
      </c>
    </row>
    <row r="3623" customFormat="false" ht="15" hidden="false" customHeight="true" outlineLevel="0" collapsed="false">
      <c r="A3623" s="6" t="s">
        <v>6235</v>
      </c>
      <c r="B3623" s="6" t="s">
        <v>891</v>
      </c>
      <c r="C3623" s="6" t="s">
        <v>131</v>
      </c>
      <c r="D3623" s="13" t="n">
        <v>45712</v>
      </c>
      <c r="E3623" s="14" t="n">
        <v>6198.46</v>
      </c>
      <c r="F3623" s="14" t="n">
        <v>39162.59</v>
      </c>
      <c r="G3623" s="6" t="s">
        <v>2623</v>
      </c>
    </row>
    <row r="3624" customFormat="false" ht="15" hidden="false" customHeight="true" outlineLevel="0" collapsed="false">
      <c r="A3624" s="6" t="s">
        <v>6236</v>
      </c>
      <c r="B3624" s="6" t="s">
        <v>891</v>
      </c>
      <c r="C3624" s="6" t="s">
        <v>131</v>
      </c>
      <c r="D3624" s="13" t="n">
        <v>45719</v>
      </c>
      <c r="E3624" s="14" t="n">
        <v>8445.51</v>
      </c>
      <c r="F3624" s="14" t="n">
        <v>47608.1</v>
      </c>
      <c r="G3624" s="6" t="s">
        <v>2613</v>
      </c>
    </row>
    <row r="3625" customFormat="false" ht="15" hidden="false" customHeight="true" outlineLevel="0" collapsed="false">
      <c r="A3625" s="6" t="s">
        <v>6237</v>
      </c>
      <c r="B3625" s="6" t="s">
        <v>893</v>
      </c>
      <c r="C3625" s="6" t="s">
        <v>112</v>
      </c>
      <c r="D3625" s="13" t="n">
        <v>45867</v>
      </c>
      <c r="E3625" s="14" t="n">
        <v>1495.97</v>
      </c>
      <c r="F3625" s="14" t="n">
        <v>1495.97</v>
      </c>
      <c r="G3625" s="6" t="s">
        <v>2613</v>
      </c>
    </row>
    <row r="3626" customFormat="false" ht="15" hidden="false" customHeight="true" outlineLevel="0" collapsed="false">
      <c r="A3626" s="6" t="s">
        <v>6238</v>
      </c>
      <c r="B3626" s="6" t="s">
        <v>893</v>
      </c>
      <c r="C3626" s="6" t="s">
        <v>112</v>
      </c>
      <c r="D3626" s="13" t="n">
        <v>45874</v>
      </c>
      <c r="E3626" s="14" t="n">
        <v>1066.69</v>
      </c>
      <c r="F3626" s="14" t="n">
        <v>2562.66</v>
      </c>
      <c r="G3626" s="6" t="s">
        <v>2613</v>
      </c>
    </row>
    <row r="3627" customFormat="false" ht="15" hidden="false" customHeight="true" outlineLevel="0" collapsed="false">
      <c r="A3627" s="6" t="s">
        <v>6239</v>
      </c>
      <c r="B3627" s="6" t="s">
        <v>893</v>
      </c>
      <c r="C3627" s="6" t="s">
        <v>112</v>
      </c>
      <c r="D3627" s="13" t="n">
        <v>45881</v>
      </c>
      <c r="E3627" s="14" t="n">
        <v>1692.26</v>
      </c>
      <c r="F3627" s="14" t="n">
        <v>4254.92</v>
      </c>
      <c r="G3627" s="6" t="s">
        <v>2613</v>
      </c>
    </row>
    <row r="3628" customFormat="false" ht="15" hidden="false" customHeight="true" outlineLevel="0" collapsed="false">
      <c r="A3628" s="6" t="s">
        <v>6240</v>
      </c>
      <c r="B3628" s="6" t="s">
        <v>893</v>
      </c>
      <c r="C3628" s="6" t="s">
        <v>112</v>
      </c>
      <c r="D3628" s="13" t="n">
        <v>45888</v>
      </c>
      <c r="E3628" s="14" t="n">
        <v>953.39</v>
      </c>
      <c r="F3628" s="14" t="n">
        <v>5208.31</v>
      </c>
      <c r="G3628" s="6" t="s">
        <v>2613</v>
      </c>
    </row>
    <row r="3629" customFormat="false" ht="15" hidden="false" customHeight="true" outlineLevel="0" collapsed="false">
      <c r="A3629" s="6" t="s">
        <v>6241</v>
      </c>
      <c r="B3629" s="6" t="s">
        <v>893</v>
      </c>
      <c r="C3629" s="6" t="s">
        <v>112</v>
      </c>
      <c r="D3629" s="13" t="n">
        <v>45895</v>
      </c>
      <c r="E3629" s="14" t="n">
        <v>2077.2</v>
      </c>
      <c r="F3629" s="14" t="n">
        <v>7285.51</v>
      </c>
      <c r="G3629" s="6" t="s">
        <v>2613</v>
      </c>
    </row>
    <row r="3630" customFormat="false" ht="15" hidden="false" customHeight="true" outlineLevel="0" collapsed="false">
      <c r="A3630" s="6" t="s">
        <v>6242</v>
      </c>
      <c r="B3630" s="6" t="s">
        <v>893</v>
      </c>
      <c r="C3630" s="6" t="s">
        <v>112</v>
      </c>
      <c r="D3630" s="13" t="n">
        <v>45902</v>
      </c>
      <c r="E3630" s="14" t="n">
        <v>1496.9</v>
      </c>
      <c r="F3630" s="14" t="n">
        <v>8782.41</v>
      </c>
      <c r="G3630" s="6" t="s">
        <v>2613</v>
      </c>
    </row>
    <row r="3631" customFormat="false" ht="15" hidden="false" customHeight="true" outlineLevel="0" collapsed="false">
      <c r="A3631" s="6" t="s">
        <v>6243</v>
      </c>
      <c r="B3631" s="6" t="s">
        <v>893</v>
      </c>
      <c r="C3631" s="6" t="s">
        <v>112</v>
      </c>
      <c r="D3631" s="13" t="n">
        <v>45909</v>
      </c>
      <c r="E3631" s="14" t="n">
        <v>1680.52</v>
      </c>
      <c r="F3631" s="14" t="n">
        <v>10462.93</v>
      </c>
      <c r="G3631" s="6" t="s">
        <v>2613</v>
      </c>
    </row>
    <row r="3632" customFormat="false" ht="15" hidden="false" customHeight="true" outlineLevel="0" collapsed="false">
      <c r="A3632" s="6" t="s">
        <v>6244</v>
      </c>
      <c r="B3632" s="6" t="s">
        <v>893</v>
      </c>
      <c r="C3632" s="6" t="s">
        <v>112</v>
      </c>
      <c r="D3632" s="13" t="n">
        <v>45916</v>
      </c>
      <c r="E3632" s="14" t="n">
        <v>1889.63</v>
      </c>
      <c r="F3632" s="14" t="n">
        <v>12352.56</v>
      </c>
      <c r="G3632" s="6" t="s">
        <v>2613</v>
      </c>
    </row>
    <row r="3633" customFormat="false" ht="15" hidden="false" customHeight="true" outlineLevel="0" collapsed="false">
      <c r="A3633" s="6" t="s">
        <v>6245</v>
      </c>
      <c r="B3633" s="6" t="s">
        <v>893</v>
      </c>
      <c r="C3633" s="6" t="s">
        <v>112</v>
      </c>
      <c r="D3633" s="13" t="n">
        <v>45923</v>
      </c>
      <c r="E3633" s="14" t="n">
        <v>1257.31</v>
      </c>
      <c r="F3633" s="14" t="n">
        <v>13609.87</v>
      </c>
      <c r="G3633" s="6" t="s">
        <v>2613</v>
      </c>
    </row>
    <row r="3634" customFormat="false" ht="15" hidden="false" customHeight="true" outlineLevel="0" collapsed="false">
      <c r="A3634" s="6" t="s">
        <v>6246</v>
      </c>
      <c r="B3634" s="6" t="s">
        <v>893</v>
      </c>
      <c r="C3634" s="6" t="s">
        <v>112</v>
      </c>
      <c r="D3634" s="13" t="n">
        <v>45930</v>
      </c>
      <c r="E3634" s="14" t="n">
        <v>1281.15</v>
      </c>
      <c r="F3634" s="14" t="n">
        <v>14891.02</v>
      </c>
      <c r="G3634" s="6" t="s">
        <v>2613</v>
      </c>
    </row>
    <row r="3635" customFormat="false" ht="15" hidden="false" customHeight="true" outlineLevel="0" collapsed="false">
      <c r="A3635" s="6" t="s">
        <v>6247</v>
      </c>
      <c r="B3635" s="6" t="s">
        <v>893</v>
      </c>
      <c r="C3635" s="6" t="s">
        <v>112</v>
      </c>
      <c r="D3635" s="13" t="n">
        <v>45937</v>
      </c>
      <c r="E3635" s="14" t="n">
        <v>1353.81</v>
      </c>
      <c r="F3635" s="14" t="n">
        <v>16244.83</v>
      </c>
      <c r="G3635" s="6" t="s">
        <v>2613</v>
      </c>
    </row>
    <row r="3636" customFormat="false" ht="15" hidden="false" customHeight="true" outlineLevel="0" collapsed="false">
      <c r="A3636" s="6" t="s">
        <v>6248</v>
      </c>
      <c r="B3636" s="6" t="s">
        <v>893</v>
      </c>
      <c r="C3636" s="6" t="s">
        <v>112</v>
      </c>
      <c r="D3636" s="13" t="n">
        <v>45944</v>
      </c>
      <c r="E3636" s="14" t="n">
        <v>1297.48</v>
      </c>
      <c r="F3636" s="14" t="n">
        <v>17542.31</v>
      </c>
      <c r="G3636" s="6" t="s">
        <v>2613</v>
      </c>
    </row>
    <row r="3637" customFormat="false" ht="15" hidden="false" customHeight="true" outlineLevel="0" collapsed="false">
      <c r="A3637" s="6" t="s">
        <v>6249</v>
      </c>
      <c r="B3637" s="6" t="s">
        <v>893</v>
      </c>
      <c r="C3637" s="6" t="s">
        <v>112</v>
      </c>
      <c r="D3637" s="13" t="n">
        <v>45951</v>
      </c>
      <c r="E3637" s="14" t="n">
        <v>1272.93</v>
      </c>
      <c r="F3637" s="14" t="n">
        <v>18815.24</v>
      </c>
      <c r="G3637" s="6" t="s">
        <v>2613</v>
      </c>
    </row>
    <row r="3638" customFormat="false" ht="15" hidden="false" customHeight="true" outlineLevel="0" collapsed="false">
      <c r="A3638" s="6" t="s">
        <v>6250</v>
      </c>
      <c r="B3638" s="6" t="s">
        <v>893</v>
      </c>
      <c r="C3638" s="6" t="s">
        <v>112</v>
      </c>
      <c r="D3638" s="13" t="n">
        <v>45958</v>
      </c>
      <c r="E3638" s="14" t="n">
        <v>3149.22</v>
      </c>
      <c r="F3638" s="14" t="n">
        <v>21964.46</v>
      </c>
      <c r="G3638" s="6" t="s">
        <v>2613</v>
      </c>
    </row>
    <row r="3639" customFormat="false" ht="15" hidden="false" customHeight="true" outlineLevel="0" collapsed="false">
      <c r="A3639" s="6" t="s">
        <v>6251</v>
      </c>
      <c r="B3639" s="6" t="s">
        <v>895</v>
      </c>
      <c r="C3639" s="6" t="s">
        <v>131</v>
      </c>
      <c r="D3639" s="13" t="n">
        <v>44903</v>
      </c>
      <c r="E3639" s="14" t="n">
        <v>2405.97</v>
      </c>
      <c r="F3639" s="14" t="n">
        <v>2405.97</v>
      </c>
      <c r="G3639" s="6" t="s">
        <v>2623</v>
      </c>
    </row>
    <row r="3640" customFormat="false" ht="15" hidden="false" customHeight="true" outlineLevel="0" collapsed="false">
      <c r="A3640" s="6" t="s">
        <v>6252</v>
      </c>
      <c r="B3640" s="6" t="s">
        <v>895</v>
      </c>
      <c r="C3640" s="6" t="s">
        <v>131</v>
      </c>
      <c r="D3640" s="13" t="n">
        <v>44910</v>
      </c>
      <c r="E3640" s="14" t="n">
        <v>2725.62</v>
      </c>
      <c r="F3640" s="14" t="n">
        <v>5131.59</v>
      </c>
      <c r="G3640" s="6" t="s">
        <v>2613</v>
      </c>
    </row>
    <row r="3641" customFormat="false" ht="15" hidden="false" customHeight="true" outlineLevel="0" collapsed="false">
      <c r="A3641" s="6" t="s">
        <v>6253</v>
      </c>
      <c r="B3641" s="6" t="s">
        <v>895</v>
      </c>
      <c r="C3641" s="6" t="s">
        <v>131</v>
      </c>
      <c r="D3641" s="13" t="n">
        <v>44917</v>
      </c>
      <c r="E3641" s="14" t="n">
        <v>2429.61</v>
      </c>
      <c r="F3641" s="14" t="n">
        <v>7561.2</v>
      </c>
      <c r="G3641" s="6" t="s">
        <v>2613</v>
      </c>
    </row>
    <row r="3642" customFormat="false" ht="15" hidden="false" customHeight="true" outlineLevel="0" collapsed="false">
      <c r="A3642" s="6" t="s">
        <v>6254</v>
      </c>
      <c r="B3642" s="6" t="s">
        <v>895</v>
      </c>
      <c r="C3642" s="6" t="s">
        <v>131</v>
      </c>
      <c r="D3642" s="13" t="n">
        <v>44924</v>
      </c>
      <c r="E3642" s="14" t="n">
        <v>1595.43</v>
      </c>
      <c r="F3642" s="14" t="n">
        <v>9156.63</v>
      </c>
      <c r="G3642" s="6" t="s">
        <v>2613</v>
      </c>
    </row>
    <row r="3643" customFormat="false" ht="15" hidden="false" customHeight="true" outlineLevel="0" collapsed="false">
      <c r="A3643" s="6" t="s">
        <v>6255</v>
      </c>
      <c r="B3643" s="6" t="s">
        <v>895</v>
      </c>
      <c r="C3643" s="6" t="s">
        <v>131</v>
      </c>
      <c r="D3643" s="13" t="n">
        <v>44931</v>
      </c>
      <c r="E3643" s="14" t="n">
        <v>1660.03</v>
      </c>
      <c r="F3643" s="14" t="n">
        <v>10816.66</v>
      </c>
      <c r="G3643" s="6" t="s">
        <v>2613</v>
      </c>
    </row>
    <row r="3644" customFormat="false" ht="15" hidden="false" customHeight="true" outlineLevel="0" collapsed="false">
      <c r="A3644" s="6" t="s">
        <v>6256</v>
      </c>
      <c r="B3644" s="6" t="s">
        <v>895</v>
      </c>
      <c r="C3644" s="6" t="s">
        <v>131</v>
      </c>
      <c r="D3644" s="13" t="n">
        <v>44938</v>
      </c>
      <c r="E3644" s="14" t="n">
        <v>1784.44</v>
      </c>
      <c r="F3644" s="14" t="n">
        <v>12601.1</v>
      </c>
      <c r="G3644" s="6" t="s">
        <v>2613</v>
      </c>
    </row>
    <row r="3645" customFormat="false" ht="15" hidden="false" customHeight="true" outlineLevel="0" collapsed="false">
      <c r="A3645" s="6" t="s">
        <v>6257</v>
      </c>
      <c r="B3645" s="6" t="s">
        <v>895</v>
      </c>
      <c r="C3645" s="6" t="s">
        <v>131</v>
      </c>
      <c r="D3645" s="13" t="n">
        <v>44945</v>
      </c>
      <c r="E3645" s="14" t="n">
        <v>2065.95</v>
      </c>
      <c r="F3645" s="14" t="n">
        <v>14667.05</v>
      </c>
      <c r="G3645" s="6" t="s">
        <v>2613</v>
      </c>
    </row>
    <row r="3646" customFormat="false" ht="15" hidden="false" customHeight="true" outlineLevel="0" collapsed="false">
      <c r="A3646" s="6" t="s">
        <v>6258</v>
      </c>
      <c r="B3646" s="6" t="s">
        <v>895</v>
      </c>
      <c r="C3646" s="6" t="s">
        <v>131</v>
      </c>
      <c r="D3646" s="13" t="n">
        <v>44952</v>
      </c>
      <c r="E3646" s="14" t="n">
        <v>2836.41</v>
      </c>
      <c r="F3646" s="14" t="n">
        <v>17503.46</v>
      </c>
      <c r="G3646" s="6" t="s">
        <v>2613</v>
      </c>
    </row>
    <row r="3647" customFormat="false" ht="15" hidden="false" customHeight="true" outlineLevel="0" collapsed="false">
      <c r="A3647" s="6" t="s">
        <v>6259</v>
      </c>
      <c r="B3647" s="6" t="s">
        <v>895</v>
      </c>
      <c r="C3647" s="6" t="s">
        <v>131</v>
      </c>
      <c r="D3647" s="13" t="n">
        <v>44959</v>
      </c>
      <c r="E3647" s="14" t="n">
        <v>2404.13</v>
      </c>
      <c r="F3647" s="14" t="n">
        <v>19907.59</v>
      </c>
      <c r="G3647" s="6" t="s">
        <v>2613</v>
      </c>
    </row>
    <row r="3648" customFormat="false" ht="15" hidden="false" customHeight="true" outlineLevel="0" collapsed="false">
      <c r="A3648" s="6" t="s">
        <v>6260</v>
      </c>
      <c r="B3648" s="6" t="s">
        <v>895</v>
      </c>
      <c r="C3648" s="6" t="s">
        <v>131</v>
      </c>
      <c r="D3648" s="13" t="n">
        <v>44966</v>
      </c>
      <c r="E3648" s="14" t="n">
        <v>1592.57</v>
      </c>
      <c r="F3648" s="14" t="n">
        <v>21500.16</v>
      </c>
      <c r="G3648" s="6" t="s">
        <v>2613</v>
      </c>
    </row>
    <row r="3649" customFormat="false" ht="15" hidden="false" customHeight="true" outlineLevel="0" collapsed="false">
      <c r="A3649" s="6" t="s">
        <v>6261</v>
      </c>
      <c r="B3649" s="6" t="s">
        <v>895</v>
      </c>
      <c r="C3649" s="6" t="s">
        <v>131</v>
      </c>
      <c r="D3649" s="13" t="n">
        <v>44973</v>
      </c>
      <c r="E3649" s="14" t="n">
        <v>1748.36</v>
      </c>
      <c r="F3649" s="14" t="n">
        <v>23248.52</v>
      </c>
      <c r="G3649" s="6" t="s">
        <v>2613</v>
      </c>
    </row>
    <row r="3650" customFormat="false" ht="15" hidden="false" customHeight="true" outlineLevel="0" collapsed="false">
      <c r="A3650" s="6" t="s">
        <v>6262</v>
      </c>
      <c r="B3650" s="6" t="s">
        <v>897</v>
      </c>
      <c r="C3650" s="6" t="s">
        <v>116</v>
      </c>
      <c r="D3650" s="13" t="n">
        <v>45190</v>
      </c>
      <c r="E3650" s="14" t="n">
        <v>3923.62</v>
      </c>
      <c r="F3650" s="14" t="n">
        <v>3923.62</v>
      </c>
      <c r="G3650" s="6" t="s">
        <v>2613</v>
      </c>
    </row>
    <row r="3651" customFormat="false" ht="15" hidden="false" customHeight="true" outlineLevel="0" collapsed="false">
      <c r="A3651" s="6" t="s">
        <v>6263</v>
      </c>
      <c r="B3651" s="6" t="s">
        <v>897</v>
      </c>
      <c r="C3651" s="6" t="s">
        <v>116</v>
      </c>
      <c r="D3651" s="13" t="n">
        <v>45197</v>
      </c>
      <c r="E3651" s="14" t="n">
        <v>2830.63</v>
      </c>
      <c r="F3651" s="14" t="n">
        <v>6754.25</v>
      </c>
      <c r="G3651" s="6" t="s">
        <v>2613</v>
      </c>
    </row>
    <row r="3652" customFormat="false" ht="15" hidden="false" customHeight="true" outlineLevel="0" collapsed="false">
      <c r="A3652" s="6" t="s">
        <v>6264</v>
      </c>
      <c r="B3652" s="6" t="s">
        <v>897</v>
      </c>
      <c r="C3652" s="6" t="s">
        <v>116</v>
      </c>
      <c r="D3652" s="13" t="n">
        <v>45204</v>
      </c>
      <c r="E3652" s="14" t="n">
        <v>3489.4</v>
      </c>
      <c r="F3652" s="14" t="n">
        <v>10243.65</v>
      </c>
      <c r="G3652" s="6" t="s">
        <v>2613</v>
      </c>
    </row>
    <row r="3653" customFormat="false" ht="15" hidden="false" customHeight="true" outlineLevel="0" collapsed="false">
      <c r="A3653" s="6" t="s">
        <v>6265</v>
      </c>
      <c r="B3653" s="6" t="s">
        <v>897</v>
      </c>
      <c r="C3653" s="6" t="s">
        <v>116</v>
      </c>
      <c r="D3653" s="13" t="n">
        <v>45211</v>
      </c>
      <c r="E3653" s="14" t="n">
        <v>2007.82</v>
      </c>
      <c r="F3653" s="14" t="n">
        <v>12251.47</v>
      </c>
      <c r="G3653" s="6" t="s">
        <v>2613</v>
      </c>
    </row>
    <row r="3654" customFormat="false" ht="15" hidden="false" customHeight="true" outlineLevel="0" collapsed="false">
      <c r="A3654" s="6" t="s">
        <v>6266</v>
      </c>
      <c r="B3654" s="6" t="s">
        <v>897</v>
      </c>
      <c r="C3654" s="6" t="s">
        <v>116</v>
      </c>
      <c r="D3654" s="13" t="n">
        <v>45218</v>
      </c>
      <c r="E3654" s="14" t="n">
        <v>2139.7</v>
      </c>
      <c r="F3654" s="14" t="n">
        <v>14391.17</v>
      </c>
      <c r="G3654" s="6" t="s">
        <v>2613</v>
      </c>
    </row>
    <row r="3655" customFormat="false" ht="15" hidden="false" customHeight="true" outlineLevel="0" collapsed="false">
      <c r="A3655" s="6" t="s">
        <v>6267</v>
      </c>
      <c r="B3655" s="6" t="s">
        <v>897</v>
      </c>
      <c r="C3655" s="6" t="s">
        <v>116</v>
      </c>
      <c r="D3655" s="13" t="n">
        <v>45225</v>
      </c>
      <c r="E3655" s="14" t="n">
        <v>3708.62</v>
      </c>
      <c r="F3655" s="14" t="n">
        <v>18099.79</v>
      </c>
      <c r="G3655" s="6" t="s">
        <v>2613</v>
      </c>
    </row>
    <row r="3656" customFormat="false" ht="15" hidden="false" customHeight="true" outlineLevel="0" collapsed="false">
      <c r="A3656" s="6" t="s">
        <v>6268</v>
      </c>
      <c r="B3656" s="6" t="s">
        <v>897</v>
      </c>
      <c r="C3656" s="6" t="s">
        <v>116</v>
      </c>
      <c r="D3656" s="13" t="n">
        <v>45232</v>
      </c>
      <c r="E3656" s="14" t="n">
        <v>3206.71</v>
      </c>
      <c r="F3656" s="14" t="n">
        <v>21306.5</v>
      </c>
      <c r="G3656" s="6" t="s">
        <v>2613</v>
      </c>
    </row>
    <row r="3657" customFormat="false" ht="15" hidden="false" customHeight="true" outlineLevel="0" collapsed="false">
      <c r="A3657" s="6" t="s">
        <v>6269</v>
      </c>
      <c r="B3657" s="6" t="s">
        <v>897</v>
      </c>
      <c r="C3657" s="6" t="s">
        <v>116</v>
      </c>
      <c r="D3657" s="13" t="n">
        <v>45239</v>
      </c>
      <c r="E3657" s="14" t="n">
        <v>4167.59</v>
      </c>
      <c r="F3657" s="14" t="n">
        <v>25474.09</v>
      </c>
      <c r="G3657" s="6" t="s">
        <v>2613</v>
      </c>
    </row>
    <row r="3658" customFormat="false" ht="15" hidden="false" customHeight="true" outlineLevel="0" collapsed="false">
      <c r="A3658" s="6" t="s">
        <v>6270</v>
      </c>
      <c r="B3658" s="6" t="s">
        <v>897</v>
      </c>
      <c r="C3658" s="6" t="s">
        <v>116</v>
      </c>
      <c r="D3658" s="13" t="n">
        <v>45246</v>
      </c>
      <c r="E3658" s="14" t="n">
        <v>3751.83</v>
      </c>
      <c r="F3658" s="14" t="n">
        <v>29225.92</v>
      </c>
      <c r="G3658" s="6" t="s">
        <v>2613</v>
      </c>
    </row>
    <row r="3659" customFormat="false" ht="15" hidden="false" customHeight="true" outlineLevel="0" collapsed="false">
      <c r="A3659" s="6" t="s">
        <v>6271</v>
      </c>
      <c r="B3659" s="6" t="s">
        <v>897</v>
      </c>
      <c r="C3659" s="6" t="s">
        <v>116</v>
      </c>
      <c r="D3659" s="13" t="n">
        <v>45253</v>
      </c>
      <c r="E3659" s="14" t="n">
        <v>3986.59</v>
      </c>
      <c r="F3659" s="14" t="n">
        <v>33212.51</v>
      </c>
      <c r="G3659" s="6" t="s">
        <v>2613</v>
      </c>
    </row>
    <row r="3660" customFormat="false" ht="15" hidden="false" customHeight="true" outlineLevel="0" collapsed="false">
      <c r="A3660" s="6" t="s">
        <v>6272</v>
      </c>
      <c r="B3660" s="6" t="s">
        <v>899</v>
      </c>
      <c r="C3660" s="6" t="s">
        <v>112</v>
      </c>
      <c r="D3660" s="13" t="n">
        <v>44721</v>
      </c>
      <c r="E3660" s="14" t="n">
        <v>3317.73</v>
      </c>
      <c r="F3660" s="14" t="n">
        <v>3317.73</v>
      </c>
      <c r="G3660" s="6" t="s">
        <v>2613</v>
      </c>
    </row>
    <row r="3661" customFormat="false" ht="15" hidden="false" customHeight="true" outlineLevel="0" collapsed="false">
      <c r="A3661" s="6" t="s">
        <v>6273</v>
      </c>
      <c r="B3661" s="6" t="s">
        <v>899</v>
      </c>
      <c r="C3661" s="6" t="s">
        <v>112</v>
      </c>
      <c r="D3661" s="13" t="n">
        <v>44728</v>
      </c>
      <c r="E3661" s="14" t="n">
        <v>3291.26</v>
      </c>
      <c r="F3661" s="14" t="n">
        <v>6608.99</v>
      </c>
      <c r="G3661" s="6" t="s">
        <v>2613</v>
      </c>
    </row>
    <row r="3662" customFormat="false" ht="15" hidden="false" customHeight="true" outlineLevel="0" collapsed="false">
      <c r="A3662" s="6" t="s">
        <v>6274</v>
      </c>
      <c r="B3662" s="6" t="s">
        <v>899</v>
      </c>
      <c r="C3662" s="6" t="s">
        <v>112</v>
      </c>
      <c r="D3662" s="13" t="n">
        <v>44735</v>
      </c>
      <c r="E3662" s="14" t="n">
        <v>2147.64</v>
      </c>
      <c r="F3662" s="14" t="n">
        <v>8756.63</v>
      </c>
      <c r="G3662" s="6" t="s">
        <v>2613</v>
      </c>
    </row>
    <row r="3663" customFormat="false" ht="15" hidden="false" customHeight="true" outlineLevel="0" collapsed="false">
      <c r="A3663" s="6" t="s">
        <v>6275</v>
      </c>
      <c r="B3663" s="6" t="s">
        <v>899</v>
      </c>
      <c r="C3663" s="6" t="s">
        <v>112</v>
      </c>
      <c r="D3663" s="13" t="n">
        <v>44742</v>
      </c>
      <c r="E3663" s="14" t="n">
        <v>3879.24</v>
      </c>
      <c r="F3663" s="14" t="n">
        <v>12635.87</v>
      </c>
      <c r="G3663" s="6" t="s">
        <v>2613</v>
      </c>
    </row>
    <row r="3664" customFormat="false" ht="15" hidden="false" customHeight="true" outlineLevel="0" collapsed="false">
      <c r="A3664" s="6" t="s">
        <v>6276</v>
      </c>
      <c r="B3664" s="6" t="s">
        <v>899</v>
      </c>
      <c r="C3664" s="6" t="s">
        <v>112</v>
      </c>
      <c r="D3664" s="13" t="n">
        <v>44749</v>
      </c>
      <c r="E3664" s="14" t="n">
        <v>3337.58</v>
      </c>
      <c r="F3664" s="14" t="n">
        <v>15973.45</v>
      </c>
      <c r="G3664" s="6" t="s">
        <v>2613</v>
      </c>
    </row>
    <row r="3665" customFormat="false" ht="15" hidden="false" customHeight="true" outlineLevel="0" collapsed="false">
      <c r="A3665" s="6" t="s">
        <v>6277</v>
      </c>
      <c r="B3665" s="6" t="s">
        <v>899</v>
      </c>
      <c r="C3665" s="6" t="s">
        <v>112</v>
      </c>
      <c r="D3665" s="13" t="n">
        <v>44756</v>
      </c>
      <c r="E3665" s="14" t="n">
        <v>3660.44</v>
      </c>
      <c r="F3665" s="14" t="n">
        <v>19633.89</v>
      </c>
      <c r="G3665" s="6" t="s">
        <v>2613</v>
      </c>
    </row>
    <row r="3666" customFormat="false" ht="15" hidden="false" customHeight="true" outlineLevel="0" collapsed="false">
      <c r="A3666" s="6" t="s">
        <v>6278</v>
      </c>
      <c r="B3666" s="6" t="s">
        <v>899</v>
      </c>
      <c r="C3666" s="6" t="s">
        <v>112</v>
      </c>
      <c r="D3666" s="13" t="n">
        <v>44763</v>
      </c>
      <c r="E3666" s="14" t="n">
        <v>2297.22</v>
      </c>
      <c r="F3666" s="14" t="n">
        <v>21931.11</v>
      </c>
      <c r="G3666" s="6" t="s">
        <v>2613</v>
      </c>
    </row>
    <row r="3667" customFormat="false" ht="15" hidden="false" customHeight="true" outlineLevel="0" collapsed="false">
      <c r="A3667" s="6" t="s">
        <v>6279</v>
      </c>
      <c r="B3667" s="6" t="s">
        <v>899</v>
      </c>
      <c r="C3667" s="6" t="s">
        <v>112</v>
      </c>
      <c r="D3667" s="13" t="n">
        <v>44770</v>
      </c>
      <c r="E3667" s="14" t="n">
        <v>2768.31</v>
      </c>
      <c r="F3667" s="14" t="n">
        <v>24699.42</v>
      </c>
      <c r="G3667" s="6" t="s">
        <v>2613</v>
      </c>
    </row>
    <row r="3668" customFormat="false" ht="15" hidden="false" customHeight="true" outlineLevel="0" collapsed="false">
      <c r="A3668" s="6" t="s">
        <v>6280</v>
      </c>
      <c r="B3668" s="6" t="s">
        <v>899</v>
      </c>
      <c r="C3668" s="6" t="s">
        <v>112</v>
      </c>
      <c r="D3668" s="13" t="n">
        <v>44777</v>
      </c>
      <c r="E3668" s="14" t="n">
        <v>4515.45</v>
      </c>
      <c r="F3668" s="14" t="n">
        <v>29214.87</v>
      </c>
      <c r="G3668" s="6" t="s">
        <v>2613</v>
      </c>
    </row>
    <row r="3669" customFormat="false" ht="15" hidden="false" customHeight="true" outlineLevel="0" collapsed="false">
      <c r="A3669" s="6" t="s">
        <v>6281</v>
      </c>
      <c r="B3669" s="6" t="s">
        <v>899</v>
      </c>
      <c r="C3669" s="6" t="s">
        <v>112</v>
      </c>
      <c r="D3669" s="13" t="n">
        <v>44784</v>
      </c>
      <c r="E3669" s="14" t="n">
        <v>2385.83</v>
      </c>
      <c r="F3669" s="14" t="n">
        <v>31600.7</v>
      </c>
      <c r="G3669" s="6" t="s">
        <v>2613</v>
      </c>
    </row>
    <row r="3670" customFormat="false" ht="15" hidden="false" customHeight="true" outlineLevel="0" collapsed="false">
      <c r="A3670" s="6" t="s">
        <v>6282</v>
      </c>
      <c r="B3670" s="6" t="s">
        <v>899</v>
      </c>
      <c r="C3670" s="6" t="s">
        <v>112</v>
      </c>
      <c r="D3670" s="13" t="n">
        <v>44791</v>
      </c>
      <c r="E3670" s="14" t="n">
        <v>2899.16</v>
      </c>
      <c r="F3670" s="14" t="n">
        <v>34499.86</v>
      </c>
      <c r="G3670" s="6" t="s">
        <v>2613</v>
      </c>
    </row>
    <row r="3671" customFormat="false" ht="15" hidden="false" customHeight="true" outlineLevel="0" collapsed="false">
      <c r="A3671" s="6" t="s">
        <v>6283</v>
      </c>
      <c r="B3671" s="6" t="s">
        <v>899</v>
      </c>
      <c r="C3671" s="6" t="s">
        <v>112</v>
      </c>
      <c r="D3671" s="13" t="n">
        <v>44798</v>
      </c>
      <c r="E3671" s="14" t="n">
        <v>3139.91</v>
      </c>
      <c r="F3671" s="14" t="n">
        <v>37639.77</v>
      </c>
      <c r="G3671" s="6" t="s">
        <v>2613</v>
      </c>
    </row>
    <row r="3672" customFormat="false" ht="15" hidden="false" customHeight="true" outlineLevel="0" collapsed="false">
      <c r="A3672" s="6" t="s">
        <v>6284</v>
      </c>
      <c r="B3672" s="6" t="s">
        <v>899</v>
      </c>
      <c r="C3672" s="6" t="s">
        <v>112</v>
      </c>
      <c r="D3672" s="13" t="n">
        <v>44805</v>
      </c>
      <c r="E3672" s="14" t="n">
        <v>2429.37</v>
      </c>
      <c r="F3672" s="14" t="n">
        <v>40069.14</v>
      </c>
      <c r="G3672" s="6" t="s">
        <v>2613</v>
      </c>
    </row>
    <row r="3673" customFormat="false" ht="15" hidden="false" customHeight="true" outlineLevel="0" collapsed="false">
      <c r="A3673" s="6" t="s">
        <v>6285</v>
      </c>
      <c r="B3673" s="6" t="s">
        <v>899</v>
      </c>
      <c r="C3673" s="6" t="s">
        <v>112</v>
      </c>
      <c r="D3673" s="13" t="n">
        <v>44812</v>
      </c>
      <c r="E3673" s="14" t="n">
        <v>2563.12</v>
      </c>
      <c r="F3673" s="14" t="n">
        <v>42632.26</v>
      </c>
      <c r="G3673" s="6" t="s">
        <v>2623</v>
      </c>
    </row>
    <row r="3674" customFormat="false" ht="15" hidden="false" customHeight="true" outlineLevel="0" collapsed="false">
      <c r="A3674" s="6" t="s">
        <v>6286</v>
      </c>
      <c r="B3674" s="6" t="s">
        <v>899</v>
      </c>
      <c r="C3674" s="6" t="s">
        <v>112</v>
      </c>
      <c r="D3674" s="13" t="n">
        <v>44819</v>
      </c>
      <c r="E3674" s="14" t="n">
        <v>2685.16</v>
      </c>
      <c r="F3674" s="14" t="n">
        <v>45317.42</v>
      </c>
      <c r="G3674" s="6" t="s">
        <v>2613</v>
      </c>
    </row>
    <row r="3675" customFormat="false" ht="15" hidden="false" customHeight="true" outlineLevel="0" collapsed="false">
      <c r="A3675" s="6" t="s">
        <v>6287</v>
      </c>
      <c r="B3675" s="6" t="s">
        <v>899</v>
      </c>
      <c r="C3675" s="6" t="s">
        <v>112</v>
      </c>
      <c r="D3675" s="13" t="n">
        <v>44826</v>
      </c>
      <c r="E3675" s="14" t="n">
        <v>4081.56</v>
      </c>
      <c r="F3675" s="14" t="n">
        <v>49398.98</v>
      </c>
      <c r="G3675" s="6" t="s">
        <v>2613</v>
      </c>
    </row>
    <row r="3676" customFormat="false" ht="15" hidden="false" customHeight="true" outlineLevel="0" collapsed="false">
      <c r="A3676" s="6" t="s">
        <v>6288</v>
      </c>
      <c r="B3676" s="6" t="s">
        <v>899</v>
      </c>
      <c r="C3676" s="6" t="s">
        <v>112</v>
      </c>
      <c r="D3676" s="13" t="n">
        <v>44833</v>
      </c>
      <c r="E3676" s="14" t="n">
        <v>3456.26</v>
      </c>
      <c r="F3676" s="14" t="n">
        <v>52855.24</v>
      </c>
      <c r="G3676" s="6" t="s">
        <v>2613</v>
      </c>
    </row>
    <row r="3677" customFormat="false" ht="15" hidden="false" customHeight="true" outlineLevel="0" collapsed="false">
      <c r="A3677" s="6" t="s">
        <v>6289</v>
      </c>
      <c r="B3677" s="6" t="s">
        <v>899</v>
      </c>
      <c r="C3677" s="6" t="s">
        <v>112</v>
      </c>
      <c r="D3677" s="13" t="n">
        <v>44840</v>
      </c>
      <c r="E3677" s="14" t="n">
        <v>2082.48</v>
      </c>
      <c r="F3677" s="14" t="n">
        <v>54937.72</v>
      </c>
      <c r="G3677" s="6" t="s">
        <v>2613</v>
      </c>
    </row>
    <row r="3678" customFormat="false" ht="15" hidden="false" customHeight="true" outlineLevel="0" collapsed="false">
      <c r="A3678" s="6" t="s">
        <v>6290</v>
      </c>
      <c r="B3678" s="6" t="s">
        <v>899</v>
      </c>
      <c r="C3678" s="6" t="s">
        <v>112</v>
      </c>
      <c r="D3678" s="13" t="n">
        <v>44847</v>
      </c>
      <c r="E3678" s="14" t="n">
        <v>2207</v>
      </c>
      <c r="F3678" s="14" t="n">
        <v>57144.72</v>
      </c>
      <c r="G3678" s="6" t="s">
        <v>2613</v>
      </c>
    </row>
    <row r="3679" customFormat="false" ht="15" hidden="false" customHeight="true" outlineLevel="0" collapsed="false">
      <c r="A3679" s="6" t="s">
        <v>6291</v>
      </c>
      <c r="B3679" s="6" t="s">
        <v>899</v>
      </c>
      <c r="C3679" s="6" t="s">
        <v>112</v>
      </c>
      <c r="D3679" s="13" t="n">
        <v>44854</v>
      </c>
      <c r="E3679" s="14" t="n">
        <v>3942.92</v>
      </c>
      <c r="F3679" s="14" t="n">
        <v>61087.64</v>
      </c>
      <c r="G3679" s="6" t="s">
        <v>2613</v>
      </c>
    </row>
    <row r="3680" customFormat="false" ht="15" hidden="false" customHeight="true" outlineLevel="0" collapsed="false">
      <c r="A3680" s="6" t="s">
        <v>6292</v>
      </c>
      <c r="B3680" s="6" t="s">
        <v>899</v>
      </c>
      <c r="C3680" s="6" t="s">
        <v>112</v>
      </c>
      <c r="D3680" s="13" t="n">
        <v>44861</v>
      </c>
      <c r="E3680" s="14" t="n">
        <v>9735.83</v>
      </c>
      <c r="F3680" s="14" t="n">
        <v>70823.47</v>
      </c>
      <c r="G3680" s="6" t="s">
        <v>2613</v>
      </c>
    </row>
    <row r="3681" customFormat="false" ht="15" hidden="false" customHeight="true" outlineLevel="0" collapsed="false">
      <c r="A3681" s="6" t="s">
        <v>6293</v>
      </c>
      <c r="B3681" s="6" t="s">
        <v>901</v>
      </c>
      <c r="C3681" s="6" t="s">
        <v>124</v>
      </c>
      <c r="D3681" s="13" t="n">
        <v>44616</v>
      </c>
      <c r="E3681" s="14" t="n">
        <v>2652.94</v>
      </c>
      <c r="F3681" s="14" t="n">
        <v>2652.94</v>
      </c>
      <c r="G3681" s="6" t="s">
        <v>2613</v>
      </c>
    </row>
    <row r="3682" customFormat="false" ht="15" hidden="false" customHeight="true" outlineLevel="0" collapsed="false">
      <c r="A3682" s="6" t="s">
        <v>6294</v>
      </c>
      <c r="B3682" s="6" t="s">
        <v>901</v>
      </c>
      <c r="C3682" s="6" t="s">
        <v>124</v>
      </c>
      <c r="D3682" s="13" t="n">
        <v>44623</v>
      </c>
      <c r="E3682" s="14" t="n">
        <v>3488.41</v>
      </c>
      <c r="F3682" s="14" t="n">
        <v>6141.35</v>
      </c>
      <c r="G3682" s="6" t="s">
        <v>2613</v>
      </c>
    </row>
    <row r="3683" customFormat="false" ht="15" hidden="false" customHeight="true" outlineLevel="0" collapsed="false">
      <c r="A3683" s="6" t="s">
        <v>6295</v>
      </c>
      <c r="B3683" s="6" t="s">
        <v>901</v>
      </c>
      <c r="C3683" s="6" t="s">
        <v>124</v>
      </c>
      <c r="D3683" s="13" t="n">
        <v>44630</v>
      </c>
      <c r="E3683" s="14" t="n">
        <v>1825.86</v>
      </c>
      <c r="F3683" s="14" t="n">
        <v>7967.21</v>
      </c>
      <c r="G3683" s="6" t="s">
        <v>2613</v>
      </c>
    </row>
    <row r="3684" customFormat="false" ht="15" hidden="false" customHeight="true" outlineLevel="0" collapsed="false">
      <c r="A3684" s="6" t="s">
        <v>6296</v>
      </c>
      <c r="B3684" s="6" t="s">
        <v>901</v>
      </c>
      <c r="C3684" s="6" t="s">
        <v>124</v>
      </c>
      <c r="D3684" s="13" t="n">
        <v>44637</v>
      </c>
      <c r="E3684" s="14" t="n">
        <v>2531.58</v>
      </c>
      <c r="F3684" s="14" t="n">
        <v>10498.79</v>
      </c>
      <c r="G3684" s="6" t="s">
        <v>2613</v>
      </c>
    </row>
    <row r="3685" customFormat="false" ht="15" hidden="false" customHeight="true" outlineLevel="0" collapsed="false">
      <c r="A3685" s="6" t="s">
        <v>6297</v>
      </c>
      <c r="B3685" s="6" t="s">
        <v>901</v>
      </c>
      <c r="C3685" s="6" t="s">
        <v>124</v>
      </c>
      <c r="D3685" s="13" t="n">
        <v>44644</v>
      </c>
      <c r="E3685" s="14" t="n">
        <v>3933.57</v>
      </c>
      <c r="F3685" s="14" t="n">
        <v>14432.36</v>
      </c>
      <c r="G3685" s="6" t="s">
        <v>2613</v>
      </c>
    </row>
    <row r="3686" customFormat="false" ht="15" hidden="false" customHeight="true" outlineLevel="0" collapsed="false">
      <c r="A3686" s="6" t="s">
        <v>6298</v>
      </c>
      <c r="B3686" s="6" t="s">
        <v>901</v>
      </c>
      <c r="C3686" s="6" t="s">
        <v>124</v>
      </c>
      <c r="D3686" s="13" t="n">
        <v>44651</v>
      </c>
      <c r="E3686" s="14" t="n">
        <v>3657.37</v>
      </c>
      <c r="F3686" s="14" t="n">
        <v>18089.73</v>
      </c>
      <c r="G3686" s="6" t="s">
        <v>2613</v>
      </c>
    </row>
    <row r="3687" customFormat="false" ht="15" hidden="false" customHeight="true" outlineLevel="0" collapsed="false">
      <c r="A3687" s="6" t="s">
        <v>6299</v>
      </c>
      <c r="B3687" s="6" t="s">
        <v>901</v>
      </c>
      <c r="C3687" s="6" t="s">
        <v>124</v>
      </c>
      <c r="D3687" s="13" t="n">
        <v>44658</v>
      </c>
      <c r="E3687" s="14" t="n">
        <v>2904.14</v>
      </c>
      <c r="F3687" s="14" t="n">
        <v>20993.87</v>
      </c>
      <c r="G3687" s="6" t="s">
        <v>2613</v>
      </c>
    </row>
    <row r="3688" customFormat="false" ht="15" hidden="false" customHeight="true" outlineLevel="0" collapsed="false">
      <c r="A3688" s="6" t="s">
        <v>6300</v>
      </c>
      <c r="B3688" s="6" t="s">
        <v>901</v>
      </c>
      <c r="C3688" s="6" t="s">
        <v>124</v>
      </c>
      <c r="D3688" s="13" t="n">
        <v>44665</v>
      </c>
      <c r="E3688" s="14" t="n">
        <v>2442.08</v>
      </c>
      <c r="F3688" s="14" t="n">
        <v>23435.95</v>
      </c>
      <c r="G3688" s="6" t="s">
        <v>2623</v>
      </c>
    </row>
    <row r="3689" customFormat="false" ht="15" hidden="false" customHeight="true" outlineLevel="0" collapsed="false">
      <c r="A3689" s="6" t="s">
        <v>6301</v>
      </c>
      <c r="B3689" s="6" t="s">
        <v>901</v>
      </c>
      <c r="C3689" s="6" t="s">
        <v>124</v>
      </c>
      <c r="D3689" s="13" t="n">
        <v>44672</v>
      </c>
      <c r="E3689" s="14" t="n">
        <v>1860.26</v>
      </c>
      <c r="F3689" s="14" t="n">
        <v>25296.21</v>
      </c>
      <c r="G3689" s="6" t="s">
        <v>2623</v>
      </c>
    </row>
    <row r="3690" customFormat="false" ht="15" hidden="false" customHeight="true" outlineLevel="0" collapsed="false">
      <c r="A3690" s="6" t="s">
        <v>6302</v>
      </c>
      <c r="B3690" s="6" t="s">
        <v>901</v>
      </c>
      <c r="C3690" s="6" t="s">
        <v>124</v>
      </c>
      <c r="D3690" s="13" t="n">
        <v>44679</v>
      </c>
      <c r="E3690" s="14" t="n">
        <v>2948.04</v>
      </c>
      <c r="F3690" s="14" t="n">
        <v>28244.25</v>
      </c>
      <c r="G3690" s="6" t="s">
        <v>2613</v>
      </c>
    </row>
    <row r="3691" customFormat="false" ht="15" hidden="false" customHeight="true" outlineLevel="0" collapsed="false">
      <c r="A3691" s="6" t="s">
        <v>6303</v>
      </c>
      <c r="B3691" s="6" t="s">
        <v>901</v>
      </c>
      <c r="C3691" s="6" t="s">
        <v>124</v>
      </c>
      <c r="D3691" s="13" t="n">
        <v>44686</v>
      </c>
      <c r="E3691" s="14" t="n">
        <v>2739.33</v>
      </c>
      <c r="F3691" s="14" t="n">
        <v>30983.58</v>
      </c>
      <c r="G3691" s="6" t="s">
        <v>2613</v>
      </c>
    </row>
    <row r="3692" customFormat="false" ht="15" hidden="false" customHeight="true" outlineLevel="0" collapsed="false">
      <c r="A3692" s="6" t="s">
        <v>6304</v>
      </c>
      <c r="B3692" s="6" t="s">
        <v>903</v>
      </c>
      <c r="C3692" s="6" t="s">
        <v>128</v>
      </c>
      <c r="D3692" s="13" t="n">
        <v>46082</v>
      </c>
      <c r="E3692" s="14" t="n">
        <v>3670.14</v>
      </c>
      <c r="F3692" s="14" t="n">
        <v>3670.14</v>
      </c>
      <c r="G3692" s="6" t="s">
        <v>2613</v>
      </c>
    </row>
    <row r="3693" customFormat="false" ht="15" hidden="false" customHeight="true" outlineLevel="0" collapsed="false">
      <c r="A3693" s="6" t="s">
        <v>6305</v>
      </c>
      <c r="B3693" s="6" t="s">
        <v>903</v>
      </c>
      <c r="C3693" s="6" t="s">
        <v>128</v>
      </c>
      <c r="D3693" s="13" t="n">
        <v>46089</v>
      </c>
      <c r="E3693" s="14" t="n">
        <v>4743.1</v>
      </c>
      <c r="F3693" s="14" t="n">
        <v>8413.24</v>
      </c>
      <c r="G3693" s="6" t="s">
        <v>2613</v>
      </c>
    </row>
    <row r="3694" customFormat="false" ht="15" hidden="false" customHeight="true" outlineLevel="0" collapsed="false">
      <c r="A3694" s="6" t="s">
        <v>6306</v>
      </c>
      <c r="B3694" s="6" t="s">
        <v>903</v>
      </c>
      <c r="C3694" s="6" t="s">
        <v>128</v>
      </c>
      <c r="D3694" s="13" t="n">
        <v>46096</v>
      </c>
      <c r="E3694" s="14" t="n">
        <v>5867.42</v>
      </c>
      <c r="F3694" s="14" t="n">
        <v>14280.66</v>
      </c>
      <c r="G3694" s="6" t="s">
        <v>2613</v>
      </c>
    </row>
    <row r="3695" customFormat="false" ht="15" hidden="false" customHeight="true" outlineLevel="0" collapsed="false">
      <c r="A3695" s="6" t="s">
        <v>6307</v>
      </c>
      <c r="B3695" s="6" t="s">
        <v>903</v>
      </c>
      <c r="C3695" s="6" t="s">
        <v>128</v>
      </c>
      <c r="D3695" s="13" t="n">
        <v>46103</v>
      </c>
      <c r="E3695" s="14" t="n">
        <v>6458.07</v>
      </c>
      <c r="F3695" s="14" t="n">
        <v>20738.73</v>
      </c>
      <c r="G3695" s="6" t="s">
        <v>2613</v>
      </c>
    </row>
    <row r="3696" customFormat="false" ht="15" hidden="false" customHeight="true" outlineLevel="0" collapsed="false">
      <c r="A3696" s="6" t="s">
        <v>6308</v>
      </c>
      <c r="B3696" s="6" t="s">
        <v>903</v>
      </c>
      <c r="C3696" s="6" t="s">
        <v>128</v>
      </c>
      <c r="D3696" s="13" t="n">
        <v>46110</v>
      </c>
      <c r="E3696" s="14" t="n">
        <v>4111.89</v>
      </c>
      <c r="F3696" s="14" t="n">
        <v>24850.62</v>
      </c>
      <c r="G3696" s="6" t="s">
        <v>2613</v>
      </c>
    </row>
    <row r="3697" customFormat="false" ht="15" hidden="false" customHeight="true" outlineLevel="0" collapsed="false">
      <c r="A3697" s="6" t="s">
        <v>6309</v>
      </c>
      <c r="B3697" s="6" t="s">
        <v>903</v>
      </c>
      <c r="C3697" s="6" t="s">
        <v>128</v>
      </c>
      <c r="D3697" s="13" t="n">
        <v>46117</v>
      </c>
      <c r="E3697" s="14" t="n">
        <v>4490.59</v>
      </c>
      <c r="F3697" s="14" t="n">
        <v>29341.21</v>
      </c>
      <c r="G3697" s="6" t="s">
        <v>2623</v>
      </c>
    </row>
    <row r="3698" customFormat="false" ht="15" hidden="false" customHeight="true" outlineLevel="0" collapsed="false">
      <c r="A3698" s="6" t="s">
        <v>6310</v>
      </c>
      <c r="B3698" s="6" t="s">
        <v>903</v>
      </c>
      <c r="C3698" s="6" t="s">
        <v>128</v>
      </c>
      <c r="D3698" s="13" t="n">
        <v>46124</v>
      </c>
      <c r="E3698" s="14" t="n">
        <v>4224.44</v>
      </c>
      <c r="F3698" s="14" t="n">
        <v>33565.65</v>
      </c>
      <c r="G3698" s="6" t="s">
        <v>2613</v>
      </c>
    </row>
    <row r="3699" customFormat="false" ht="15" hidden="false" customHeight="true" outlineLevel="0" collapsed="false">
      <c r="A3699" s="6" t="s">
        <v>6311</v>
      </c>
      <c r="B3699" s="6" t="s">
        <v>903</v>
      </c>
      <c r="C3699" s="6" t="s">
        <v>128</v>
      </c>
      <c r="D3699" s="13" t="n">
        <v>46131</v>
      </c>
      <c r="E3699" s="14" t="n">
        <v>6324.84</v>
      </c>
      <c r="F3699" s="14" t="n">
        <v>39890.49</v>
      </c>
      <c r="G3699" s="6" t="s">
        <v>2613</v>
      </c>
    </row>
    <row r="3700" customFormat="false" ht="15" hidden="false" customHeight="true" outlineLevel="0" collapsed="false">
      <c r="A3700" s="6" t="s">
        <v>6312</v>
      </c>
      <c r="B3700" s="6" t="s">
        <v>903</v>
      </c>
      <c r="C3700" s="6" t="s">
        <v>128</v>
      </c>
      <c r="D3700" s="13" t="n">
        <v>46138</v>
      </c>
      <c r="E3700" s="14" t="n">
        <v>5978.98</v>
      </c>
      <c r="F3700" s="14" t="n">
        <v>45869.47</v>
      </c>
      <c r="G3700" s="6" t="s">
        <v>2613</v>
      </c>
    </row>
    <row r="3701" customFormat="false" ht="15" hidden="false" customHeight="true" outlineLevel="0" collapsed="false">
      <c r="A3701" s="6" t="s">
        <v>6313</v>
      </c>
      <c r="B3701" s="6" t="s">
        <v>903</v>
      </c>
      <c r="C3701" s="6" t="s">
        <v>128</v>
      </c>
      <c r="D3701" s="13" t="n">
        <v>46145</v>
      </c>
      <c r="E3701" s="14" t="n">
        <v>5529.25</v>
      </c>
      <c r="F3701" s="14" t="n">
        <v>51398.72</v>
      </c>
      <c r="G3701" s="6" t="s">
        <v>2613</v>
      </c>
    </row>
    <row r="3702" customFormat="false" ht="15" hidden="false" customHeight="true" outlineLevel="0" collapsed="false">
      <c r="A3702" s="6" t="s">
        <v>6314</v>
      </c>
      <c r="B3702" s="6" t="s">
        <v>903</v>
      </c>
      <c r="C3702" s="6" t="s">
        <v>128</v>
      </c>
      <c r="D3702" s="13" t="n">
        <v>46152</v>
      </c>
      <c r="E3702" s="14" t="n">
        <v>6190.7</v>
      </c>
      <c r="F3702" s="14" t="n">
        <v>57589.42</v>
      </c>
      <c r="G3702" s="6" t="s">
        <v>2613</v>
      </c>
    </row>
    <row r="3703" customFormat="false" ht="15" hidden="false" customHeight="true" outlineLevel="0" collapsed="false">
      <c r="A3703" s="6" t="s">
        <v>6315</v>
      </c>
      <c r="B3703" s="6" t="s">
        <v>903</v>
      </c>
      <c r="C3703" s="6" t="s">
        <v>128</v>
      </c>
      <c r="D3703" s="13" t="n">
        <v>46159</v>
      </c>
      <c r="E3703" s="14" t="n">
        <v>6473.23</v>
      </c>
      <c r="F3703" s="14" t="n">
        <v>64062.65</v>
      </c>
      <c r="G3703" s="6" t="s">
        <v>2613</v>
      </c>
    </row>
    <row r="3704" customFormat="false" ht="15" hidden="false" customHeight="true" outlineLevel="0" collapsed="false">
      <c r="A3704" s="6" t="s">
        <v>6316</v>
      </c>
      <c r="B3704" s="6" t="s">
        <v>903</v>
      </c>
      <c r="C3704" s="6" t="s">
        <v>128</v>
      </c>
      <c r="D3704" s="13" t="n">
        <v>46166</v>
      </c>
      <c r="E3704" s="14" t="n">
        <v>4875.07</v>
      </c>
      <c r="F3704" s="14" t="n">
        <v>68937.72</v>
      </c>
      <c r="G3704" s="6" t="s">
        <v>2613</v>
      </c>
    </row>
    <row r="3705" customFormat="false" ht="15" hidden="false" customHeight="true" outlineLevel="0" collapsed="false">
      <c r="A3705" s="6" t="s">
        <v>6317</v>
      </c>
      <c r="B3705" s="6" t="s">
        <v>905</v>
      </c>
      <c r="C3705" s="6" t="s">
        <v>116</v>
      </c>
      <c r="D3705" s="13" t="n">
        <v>45214</v>
      </c>
      <c r="E3705" s="14" t="n">
        <v>801.84</v>
      </c>
      <c r="F3705" s="14" t="n">
        <v>801.84</v>
      </c>
      <c r="G3705" s="6" t="s">
        <v>2613</v>
      </c>
    </row>
    <row r="3706" customFormat="false" ht="15" hidden="false" customHeight="true" outlineLevel="0" collapsed="false">
      <c r="A3706" s="6" t="s">
        <v>6318</v>
      </c>
      <c r="B3706" s="6" t="s">
        <v>905</v>
      </c>
      <c r="C3706" s="6" t="s">
        <v>116</v>
      </c>
      <c r="D3706" s="13" t="n">
        <v>45221</v>
      </c>
      <c r="E3706" s="14" t="n">
        <v>1466.86</v>
      </c>
      <c r="F3706" s="14" t="n">
        <v>2268.7</v>
      </c>
      <c r="G3706" s="6" t="s">
        <v>2613</v>
      </c>
    </row>
    <row r="3707" customFormat="false" ht="15" hidden="false" customHeight="true" outlineLevel="0" collapsed="false">
      <c r="A3707" s="6" t="s">
        <v>6319</v>
      </c>
      <c r="B3707" s="6" t="s">
        <v>905</v>
      </c>
      <c r="C3707" s="6" t="s">
        <v>116</v>
      </c>
      <c r="D3707" s="13" t="n">
        <v>45228</v>
      </c>
      <c r="E3707" s="14" t="n">
        <v>1406.93</v>
      </c>
      <c r="F3707" s="14" t="n">
        <v>3675.63</v>
      </c>
      <c r="G3707" s="6" t="s">
        <v>2613</v>
      </c>
    </row>
    <row r="3708" customFormat="false" ht="15" hidden="false" customHeight="true" outlineLevel="0" collapsed="false">
      <c r="A3708" s="6" t="s">
        <v>6320</v>
      </c>
      <c r="B3708" s="6" t="s">
        <v>905</v>
      </c>
      <c r="C3708" s="6" t="s">
        <v>116</v>
      </c>
      <c r="D3708" s="13" t="n">
        <v>45235</v>
      </c>
      <c r="E3708" s="14" t="n">
        <v>654.9</v>
      </c>
      <c r="F3708" s="14" t="n">
        <v>4330.53</v>
      </c>
      <c r="G3708" s="6" t="s">
        <v>2613</v>
      </c>
    </row>
    <row r="3709" customFormat="false" ht="15" hidden="false" customHeight="true" outlineLevel="0" collapsed="false">
      <c r="A3709" s="6" t="s">
        <v>6321</v>
      </c>
      <c r="B3709" s="6" t="s">
        <v>905</v>
      </c>
      <c r="C3709" s="6" t="s">
        <v>116</v>
      </c>
      <c r="D3709" s="13" t="n">
        <v>45242</v>
      </c>
      <c r="E3709" s="14" t="n">
        <v>1427.58</v>
      </c>
      <c r="F3709" s="14" t="n">
        <v>5758.11</v>
      </c>
      <c r="G3709" s="6" t="s">
        <v>2613</v>
      </c>
    </row>
    <row r="3710" customFormat="false" ht="15" hidden="false" customHeight="true" outlineLevel="0" collapsed="false">
      <c r="A3710" s="6" t="s">
        <v>6322</v>
      </c>
      <c r="B3710" s="6" t="s">
        <v>905</v>
      </c>
      <c r="C3710" s="6" t="s">
        <v>116</v>
      </c>
      <c r="D3710" s="13" t="n">
        <v>45249</v>
      </c>
      <c r="E3710" s="14" t="n">
        <v>1430.64</v>
      </c>
      <c r="F3710" s="14" t="n">
        <v>7188.75</v>
      </c>
      <c r="G3710" s="6" t="s">
        <v>2623</v>
      </c>
    </row>
    <row r="3711" customFormat="false" ht="15" hidden="false" customHeight="true" outlineLevel="0" collapsed="false">
      <c r="A3711" s="6" t="s">
        <v>6323</v>
      </c>
      <c r="B3711" s="6" t="s">
        <v>905</v>
      </c>
      <c r="C3711" s="6" t="s">
        <v>116</v>
      </c>
      <c r="D3711" s="13" t="n">
        <v>45256</v>
      </c>
      <c r="E3711" s="14" t="n">
        <v>1362.83</v>
      </c>
      <c r="F3711" s="14" t="n">
        <v>8551.58</v>
      </c>
      <c r="G3711" s="6" t="s">
        <v>2613</v>
      </c>
    </row>
    <row r="3712" customFormat="false" ht="15" hidden="false" customHeight="true" outlineLevel="0" collapsed="false">
      <c r="A3712" s="6" t="s">
        <v>6324</v>
      </c>
      <c r="B3712" s="6" t="s">
        <v>905</v>
      </c>
      <c r="C3712" s="6" t="s">
        <v>116</v>
      </c>
      <c r="D3712" s="13" t="n">
        <v>45263</v>
      </c>
      <c r="E3712" s="14" t="n">
        <v>807.64</v>
      </c>
      <c r="F3712" s="14" t="n">
        <v>9359.22</v>
      </c>
      <c r="G3712" s="6" t="s">
        <v>2623</v>
      </c>
    </row>
    <row r="3713" customFormat="false" ht="15" hidden="false" customHeight="true" outlineLevel="0" collapsed="false">
      <c r="A3713" s="6" t="s">
        <v>6325</v>
      </c>
      <c r="B3713" s="6" t="s">
        <v>905</v>
      </c>
      <c r="C3713" s="6" t="s">
        <v>116</v>
      </c>
      <c r="D3713" s="13" t="n">
        <v>45270</v>
      </c>
      <c r="E3713" s="14" t="n">
        <v>1001.39</v>
      </c>
      <c r="F3713" s="14" t="n">
        <v>10360.61</v>
      </c>
      <c r="G3713" s="6" t="s">
        <v>2613</v>
      </c>
    </row>
    <row r="3714" customFormat="false" ht="15" hidden="false" customHeight="true" outlineLevel="0" collapsed="false">
      <c r="A3714" s="6" t="s">
        <v>6326</v>
      </c>
      <c r="B3714" s="6" t="s">
        <v>905</v>
      </c>
      <c r="C3714" s="6" t="s">
        <v>116</v>
      </c>
      <c r="D3714" s="13" t="n">
        <v>45277</v>
      </c>
      <c r="E3714" s="14" t="n">
        <v>1281.49</v>
      </c>
      <c r="F3714" s="14" t="n">
        <v>11642.1</v>
      </c>
      <c r="G3714" s="6" t="s">
        <v>2613</v>
      </c>
    </row>
    <row r="3715" customFormat="false" ht="15" hidden="false" customHeight="true" outlineLevel="0" collapsed="false">
      <c r="A3715" s="6" t="s">
        <v>6327</v>
      </c>
      <c r="B3715" s="6" t="s">
        <v>905</v>
      </c>
      <c r="C3715" s="6" t="s">
        <v>116</v>
      </c>
      <c r="D3715" s="13" t="n">
        <v>45284</v>
      </c>
      <c r="E3715" s="14" t="n">
        <v>736.92</v>
      </c>
      <c r="F3715" s="14" t="n">
        <v>12379.02</v>
      </c>
      <c r="G3715" s="6" t="s">
        <v>2613</v>
      </c>
    </row>
    <row r="3716" customFormat="false" ht="15" hidden="false" customHeight="true" outlineLevel="0" collapsed="false">
      <c r="A3716" s="6" t="s">
        <v>6328</v>
      </c>
      <c r="B3716" s="6" t="s">
        <v>905</v>
      </c>
      <c r="C3716" s="6" t="s">
        <v>116</v>
      </c>
      <c r="D3716" s="13" t="n">
        <v>45291</v>
      </c>
      <c r="E3716" s="14" t="n">
        <v>1058.82</v>
      </c>
      <c r="F3716" s="14" t="n">
        <v>13437.84</v>
      </c>
      <c r="G3716" s="6" t="s">
        <v>2613</v>
      </c>
    </row>
    <row r="3717" customFormat="false" ht="15" hidden="false" customHeight="true" outlineLevel="0" collapsed="false">
      <c r="A3717" s="6" t="s">
        <v>6329</v>
      </c>
      <c r="B3717" s="6" t="s">
        <v>905</v>
      </c>
      <c r="C3717" s="6" t="s">
        <v>116</v>
      </c>
      <c r="D3717" s="13" t="n">
        <v>45298</v>
      </c>
      <c r="E3717" s="14" t="n">
        <v>1067.07</v>
      </c>
      <c r="F3717" s="14" t="n">
        <v>14504.91</v>
      </c>
      <c r="G3717" s="6" t="s">
        <v>2613</v>
      </c>
    </row>
    <row r="3718" customFormat="false" ht="15" hidden="false" customHeight="true" outlineLevel="0" collapsed="false">
      <c r="A3718" s="6" t="s">
        <v>6330</v>
      </c>
      <c r="B3718" s="6" t="s">
        <v>905</v>
      </c>
      <c r="C3718" s="6" t="s">
        <v>116</v>
      </c>
      <c r="D3718" s="13" t="n">
        <v>45305</v>
      </c>
      <c r="E3718" s="14" t="n">
        <v>808.53</v>
      </c>
      <c r="F3718" s="14" t="n">
        <v>15313.44</v>
      </c>
      <c r="G3718" s="6" t="s">
        <v>2613</v>
      </c>
    </row>
    <row r="3719" customFormat="false" ht="15" hidden="false" customHeight="true" outlineLevel="0" collapsed="false">
      <c r="A3719" s="6" t="s">
        <v>6331</v>
      </c>
      <c r="B3719" s="6" t="s">
        <v>905</v>
      </c>
      <c r="C3719" s="6" t="s">
        <v>116</v>
      </c>
      <c r="D3719" s="13" t="n">
        <v>45312</v>
      </c>
      <c r="E3719" s="14" t="n">
        <v>1255.92</v>
      </c>
      <c r="F3719" s="14" t="n">
        <v>16569.36</v>
      </c>
      <c r="G3719" s="6" t="s">
        <v>2613</v>
      </c>
    </row>
    <row r="3720" customFormat="false" ht="15" hidden="false" customHeight="true" outlineLevel="0" collapsed="false">
      <c r="A3720" s="6" t="s">
        <v>6332</v>
      </c>
      <c r="B3720" s="6" t="s">
        <v>905</v>
      </c>
      <c r="C3720" s="6" t="s">
        <v>116</v>
      </c>
      <c r="D3720" s="13" t="n">
        <v>45319</v>
      </c>
      <c r="E3720" s="14" t="n">
        <v>1470.53</v>
      </c>
      <c r="F3720" s="14" t="n">
        <v>18039.89</v>
      </c>
      <c r="G3720" s="6" t="s">
        <v>2613</v>
      </c>
    </row>
    <row r="3721" customFormat="false" ht="15" hidden="false" customHeight="true" outlineLevel="0" collapsed="false">
      <c r="A3721" s="6" t="s">
        <v>6333</v>
      </c>
      <c r="B3721" s="6" t="s">
        <v>905</v>
      </c>
      <c r="C3721" s="6" t="s">
        <v>116</v>
      </c>
      <c r="D3721" s="13" t="n">
        <v>45326</v>
      </c>
      <c r="E3721" s="14" t="n">
        <v>809.11</v>
      </c>
      <c r="F3721" s="14" t="n">
        <v>18849</v>
      </c>
      <c r="G3721" s="6" t="s">
        <v>2623</v>
      </c>
    </row>
    <row r="3722" customFormat="false" ht="15" hidden="false" customHeight="true" outlineLevel="0" collapsed="false">
      <c r="A3722" s="6" t="s">
        <v>6334</v>
      </c>
      <c r="B3722" s="6" t="s">
        <v>905</v>
      </c>
      <c r="C3722" s="6" t="s">
        <v>116</v>
      </c>
      <c r="D3722" s="13" t="n">
        <v>45333</v>
      </c>
      <c r="E3722" s="14" t="n">
        <v>1058.99</v>
      </c>
      <c r="F3722" s="14" t="n">
        <v>19907.99</v>
      </c>
      <c r="G3722" s="6" t="s">
        <v>2613</v>
      </c>
    </row>
    <row r="3723" customFormat="false" ht="15" hidden="false" customHeight="true" outlineLevel="0" collapsed="false">
      <c r="A3723" s="6" t="s">
        <v>6335</v>
      </c>
      <c r="B3723" s="6" t="s">
        <v>905</v>
      </c>
      <c r="C3723" s="6" t="s">
        <v>116</v>
      </c>
      <c r="D3723" s="13" t="n">
        <v>45340</v>
      </c>
      <c r="E3723" s="14" t="n">
        <v>1060.53</v>
      </c>
      <c r="F3723" s="14" t="n">
        <v>20968.52</v>
      </c>
      <c r="G3723" s="6" t="s">
        <v>2613</v>
      </c>
    </row>
    <row r="3724" customFormat="false" ht="15" hidden="false" customHeight="true" outlineLevel="0" collapsed="false">
      <c r="A3724" s="6" t="s">
        <v>6336</v>
      </c>
      <c r="B3724" s="6" t="s">
        <v>905</v>
      </c>
      <c r="C3724" s="6" t="s">
        <v>116</v>
      </c>
      <c r="D3724" s="13" t="n">
        <v>45347</v>
      </c>
      <c r="E3724" s="14" t="n">
        <v>645.51</v>
      </c>
      <c r="F3724" s="14" t="n">
        <v>21614.03</v>
      </c>
      <c r="G3724" s="6" t="s">
        <v>2613</v>
      </c>
    </row>
    <row r="3725" customFormat="false" ht="15" hidden="false" customHeight="true" outlineLevel="0" collapsed="false">
      <c r="A3725" s="6" t="s">
        <v>6337</v>
      </c>
      <c r="B3725" s="6" t="s">
        <v>905</v>
      </c>
      <c r="C3725" s="6" t="s">
        <v>116</v>
      </c>
      <c r="D3725" s="13" t="n">
        <v>45354</v>
      </c>
      <c r="E3725" s="14" t="n">
        <v>502.57</v>
      </c>
      <c r="F3725" s="14" t="n">
        <v>22116.6</v>
      </c>
      <c r="G3725" s="6" t="s">
        <v>2613</v>
      </c>
    </row>
    <row r="3726" customFormat="false" ht="15" hidden="false" customHeight="true" outlineLevel="0" collapsed="false">
      <c r="A3726" s="6" t="s">
        <v>6338</v>
      </c>
      <c r="B3726" s="6" t="s">
        <v>907</v>
      </c>
      <c r="C3726" s="6" t="s">
        <v>112</v>
      </c>
      <c r="D3726" s="13" t="n">
        <v>45534</v>
      </c>
      <c r="E3726" s="14" t="n">
        <v>7903.39</v>
      </c>
      <c r="F3726" s="14" t="n">
        <v>7903.39</v>
      </c>
      <c r="G3726" s="6" t="s">
        <v>2613</v>
      </c>
    </row>
    <row r="3727" customFormat="false" ht="15" hidden="false" customHeight="true" outlineLevel="0" collapsed="false">
      <c r="A3727" s="6" t="s">
        <v>6339</v>
      </c>
      <c r="B3727" s="6" t="s">
        <v>907</v>
      </c>
      <c r="C3727" s="6" t="s">
        <v>112</v>
      </c>
      <c r="D3727" s="13" t="n">
        <v>45541</v>
      </c>
      <c r="E3727" s="14" t="n">
        <v>4248.44</v>
      </c>
      <c r="F3727" s="14" t="n">
        <v>12151.83</v>
      </c>
      <c r="G3727" s="6" t="s">
        <v>2613</v>
      </c>
    </row>
    <row r="3728" customFormat="false" ht="15" hidden="false" customHeight="true" outlineLevel="0" collapsed="false">
      <c r="A3728" s="6" t="s">
        <v>6340</v>
      </c>
      <c r="B3728" s="6" t="s">
        <v>907</v>
      </c>
      <c r="C3728" s="6" t="s">
        <v>112</v>
      </c>
      <c r="D3728" s="13" t="n">
        <v>45548</v>
      </c>
      <c r="E3728" s="14" t="n">
        <v>4953.46</v>
      </c>
      <c r="F3728" s="14" t="n">
        <v>17105.29</v>
      </c>
      <c r="G3728" s="6" t="s">
        <v>2623</v>
      </c>
    </row>
    <row r="3729" customFormat="false" ht="15" hidden="false" customHeight="true" outlineLevel="0" collapsed="false">
      <c r="A3729" s="6" t="s">
        <v>6341</v>
      </c>
      <c r="B3729" s="6" t="s">
        <v>907</v>
      </c>
      <c r="C3729" s="6" t="s">
        <v>112</v>
      </c>
      <c r="D3729" s="13" t="n">
        <v>45555</v>
      </c>
      <c r="E3729" s="14" t="n">
        <v>6776.31</v>
      </c>
      <c r="F3729" s="14" t="n">
        <v>23881.6</v>
      </c>
      <c r="G3729" s="6" t="s">
        <v>2613</v>
      </c>
    </row>
    <row r="3730" customFormat="false" ht="15" hidden="false" customHeight="true" outlineLevel="0" collapsed="false">
      <c r="A3730" s="6" t="s">
        <v>6342</v>
      </c>
      <c r="B3730" s="6" t="s">
        <v>907</v>
      </c>
      <c r="C3730" s="6" t="s">
        <v>112</v>
      </c>
      <c r="D3730" s="13" t="n">
        <v>45562</v>
      </c>
      <c r="E3730" s="14" t="n">
        <v>6515.59</v>
      </c>
      <c r="F3730" s="14" t="n">
        <v>30397.19</v>
      </c>
      <c r="G3730" s="6" t="s">
        <v>2623</v>
      </c>
    </row>
    <row r="3731" customFormat="false" ht="15" hidden="false" customHeight="true" outlineLevel="0" collapsed="false">
      <c r="A3731" s="6" t="s">
        <v>6343</v>
      </c>
      <c r="B3731" s="6" t="s">
        <v>907</v>
      </c>
      <c r="C3731" s="6" t="s">
        <v>112</v>
      </c>
      <c r="D3731" s="13" t="n">
        <v>45569</v>
      </c>
      <c r="E3731" s="14" t="n">
        <v>7190.71</v>
      </c>
      <c r="F3731" s="14" t="n">
        <v>37587.9</v>
      </c>
      <c r="G3731" s="6" t="s">
        <v>2613</v>
      </c>
    </row>
    <row r="3732" customFormat="false" ht="15" hidden="false" customHeight="true" outlineLevel="0" collapsed="false">
      <c r="A3732" s="6" t="s">
        <v>6344</v>
      </c>
      <c r="B3732" s="6" t="s">
        <v>907</v>
      </c>
      <c r="C3732" s="6" t="s">
        <v>112</v>
      </c>
      <c r="D3732" s="13" t="n">
        <v>45576</v>
      </c>
      <c r="E3732" s="14" t="n">
        <v>7957.98</v>
      </c>
      <c r="F3732" s="14" t="n">
        <v>45545.88</v>
      </c>
      <c r="G3732" s="6" t="s">
        <v>2613</v>
      </c>
    </row>
    <row r="3733" customFormat="false" ht="15" hidden="false" customHeight="true" outlineLevel="0" collapsed="false">
      <c r="A3733" s="6" t="s">
        <v>6345</v>
      </c>
      <c r="B3733" s="6" t="s">
        <v>907</v>
      </c>
      <c r="C3733" s="6" t="s">
        <v>112</v>
      </c>
      <c r="D3733" s="13" t="n">
        <v>45583</v>
      </c>
      <c r="E3733" s="14" t="n">
        <v>7868.82</v>
      </c>
      <c r="F3733" s="14" t="n">
        <v>53414.7</v>
      </c>
      <c r="G3733" s="6" t="s">
        <v>2613</v>
      </c>
    </row>
    <row r="3734" customFormat="false" ht="15" hidden="false" customHeight="true" outlineLevel="0" collapsed="false">
      <c r="A3734" s="6" t="s">
        <v>6346</v>
      </c>
      <c r="B3734" s="6" t="s">
        <v>909</v>
      </c>
      <c r="C3734" s="6" t="s">
        <v>116</v>
      </c>
      <c r="D3734" s="13" t="n">
        <v>44986</v>
      </c>
      <c r="E3734" s="14" t="n">
        <v>1012.57</v>
      </c>
      <c r="F3734" s="14" t="n">
        <v>1012.57</v>
      </c>
      <c r="G3734" s="6" t="s">
        <v>2613</v>
      </c>
    </row>
    <row r="3735" customFormat="false" ht="15" hidden="false" customHeight="true" outlineLevel="0" collapsed="false">
      <c r="A3735" s="6" t="s">
        <v>6347</v>
      </c>
      <c r="B3735" s="6" t="s">
        <v>909</v>
      </c>
      <c r="C3735" s="6" t="s">
        <v>116</v>
      </c>
      <c r="D3735" s="13" t="n">
        <v>44993</v>
      </c>
      <c r="E3735" s="14" t="n">
        <v>653.74</v>
      </c>
      <c r="F3735" s="14" t="n">
        <v>1666.31</v>
      </c>
      <c r="G3735" s="6" t="s">
        <v>2613</v>
      </c>
    </row>
    <row r="3736" customFormat="false" ht="15" hidden="false" customHeight="true" outlineLevel="0" collapsed="false">
      <c r="A3736" s="6" t="s">
        <v>6348</v>
      </c>
      <c r="B3736" s="6" t="s">
        <v>909</v>
      </c>
      <c r="C3736" s="6" t="s">
        <v>116</v>
      </c>
      <c r="D3736" s="13" t="n">
        <v>45000</v>
      </c>
      <c r="E3736" s="14" t="n">
        <v>660.15</v>
      </c>
      <c r="F3736" s="14" t="n">
        <v>2326.46</v>
      </c>
      <c r="G3736" s="6" t="s">
        <v>2613</v>
      </c>
    </row>
    <row r="3737" customFormat="false" ht="15" hidden="false" customHeight="true" outlineLevel="0" collapsed="false">
      <c r="A3737" s="6" t="s">
        <v>6349</v>
      </c>
      <c r="B3737" s="6" t="s">
        <v>909</v>
      </c>
      <c r="C3737" s="6" t="s">
        <v>116</v>
      </c>
      <c r="D3737" s="13" t="n">
        <v>45007</v>
      </c>
      <c r="E3737" s="14" t="n">
        <v>478.66</v>
      </c>
      <c r="F3737" s="14" t="n">
        <v>2805.12</v>
      </c>
      <c r="G3737" s="6" t="s">
        <v>2613</v>
      </c>
    </row>
    <row r="3738" customFormat="false" ht="15" hidden="false" customHeight="true" outlineLevel="0" collapsed="false">
      <c r="A3738" s="6" t="s">
        <v>6350</v>
      </c>
      <c r="B3738" s="6" t="s">
        <v>909</v>
      </c>
      <c r="C3738" s="6" t="s">
        <v>116</v>
      </c>
      <c r="D3738" s="13" t="n">
        <v>45014</v>
      </c>
      <c r="E3738" s="14" t="n">
        <v>1015.38</v>
      </c>
      <c r="F3738" s="14" t="n">
        <v>3820.5</v>
      </c>
      <c r="G3738" s="6" t="s">
        <v>2623</v>
      </c>
    </row>
    <row r="3739" customFormat="false" ht="15" hidden="false" customHeight="true" outlineLevel="0" collapsed="false">
      <c r="A3739" s="6" t="s">
        <v>6351</v>
      </c>
      <c r="B3739" s="6" t="s">
        <v>909</v>
      </c>
      <c r="C3739" s="6" t="s">
        <v>116</v>
      </c>
      <c r="D3739" s="13" t="n">
        <v>45021</v>
      </c>
      <c r="E3739" s="14" t="n">
        <v>687.9</v>
      </c>
      <c r="F3739" s="14" t="n">
        <v>4508.4</v>
      </c>
      <c r="G3739" s="6" t="s">
        <v>2613</v>
      </c>
    </row>
    <row r="3740" customFormat="false" ht="15" hidden="false" customHeight="true" outlineLevel="0" collapsed="false">
      <c r="A3740" s="6" t="s">
        <v>6352</v>
      </c>
      <c r="B3740" s="6" t="s">
        <v>909</v>
      </c>
      <c r="C3740" s="6" t="s">
        <v>116</v>
      </c>
      <c r="D3740" s="13" t="n">
        <v>45028</v>
      </c>
      <c r="E3740" s="14" t="n">
        <v>778.33</v>
      </c>
      <c r="F3740" s="14" t="n">
        <v>5286.73</v>
      </c>
      <c r="G3740" s="6" t="s">
        <v>2613</v>
      </c>
    </row>
    <row r="3741" customFormat="false" ht="15" hidden="false" customHeight="true" outlineLevel="0" collapsed="false">
      <c r="A3741" s="6" t="s">
        <v>6353</v>
      </c>
      <c r="B3741" s="6" t="s">
        <v>909</v>
      </c>
      <c r="C3741" s="6" t="s">
        <v>116</v>
      </c>
      <c r="D3741" s="13" t="n">
        <v>45035</v>
      </c>
      <c r="E3741" s="14" t="n">
        <v>466.89</v>
      </c>
      <c r="F3741" s="14" t="n">
        <v>5753.62</v>
      </c>
      <c r="G3741" s="6" t="s">
        <v>2613</v>
      </c>
    </row>
    <row r="3742" customFormat="false" ht="15" hidden="false" customHeight="true" outlineLevel="0" collapsed="false">
      <c r="A3742" s="6" t="s">
        <v>6354</v>
      </c>
      <c r="B3742" s="6" t="s">
        <v>909</v>
      </c>
      <c r="C3742" s="6" t="s">
        <v>116</v>
      </c>
      <c r="D3742" s="13" t="n">
        <v>45042</v>
      </c>
      <c r="E3742" s="14" t="n">
        <v>514</v>
      </c>
      <c r="F3742" s="14" t="n">
        <v>6267.62</v>
      </c>
      <c r="G3742" s="6" t="s">
        <v>2613</v>
      </c>
    </row>
    <row r="3743" customFormat="false" ht="15" hidden="false" customHeight="true" outlineLevel="0" collapsed="false">
      <c r="A3743" s="6" t="s">
        <v>6355</v>
      </c>
      <c r="B3743" s="6" t="s">
        <v>909</v>
      </c>
      <c r="C3743" s="6" t="s">
        <v>116</v>
      </c>
      <c r="D3743" s="13" t="n">
        <v>45049</v>
      </c>
      <c r="E3743" s="14" t="n">
        <v>526.38</v>
      </c>
      <c r="F3743" s="14" t="n">
        <v>6794</v>
      </c>
      <c r="G3743" s="6" t="s">
        <v>2613</v>
      </c>
    </row>
    <row r="3744" customFormat="false" ht="15" hidden="false" customHeight="true" outlineLevel="0" collapsed="false">
      <c r="A3744" s="6" t="s">
        <v>6356</v>
      </c>
      <c r="B3744" s="6" t="s">
        <v>909</v>
      </c>
      <c r="C3744" s="6" t="s">
        <v>116</v>
      </c>
      <c r="D3744" s="13" t="n">
        <v>45056</v>
      </c>
      <c r="E3744" s="14" t="n">
        <v>1057.98</v>
      </c>
      <c r="F3744" s="14" t="n">
        <v>7851.98</v>
      </c>
      <c r="G3744" s="6" t="s">
        <v>2613</v>
      </c>
    </row>
    <row r="3745" customFormat="false" ht="15" hidden="false" customHeight="true" outlineLevel="0" collapsed="false">
      <c r="A3745" s="6" t="s">
        <v>6357</v>
      </c>
      <c r="B3745" s="6" t="s">
        <v>909</v>
      </c>
      <c r="C3745" s="6" t="s">
        <v>116</v>
      </c>
      <c r="D3745" s="13" t="n">
        <v>45063</v>
      </c>
      <c r="E3745" s="14" t="n">
        <v>785.37</v>
      </c>
      <c r="F3745" s="14" t="n">
        <v>8637.35</v>
      </c>
      <c r="G3745" s="6" t="s">
        <v>2613</v>
      </c>
    </row>
    <row r="3746" customFormat="false" ht="15" hidden="false" customHeight="true" outlineLevel="0" collapsed="false">
      <c r="A3746" s="6" t="s">
        <v>6358</v>
      </c>
      <c r="B3746" s="6" t="s">
        <v>909</v>
      </c>
      <c r="C3746" s="6" t="s">
        <v>116</v>
      </c>
      <c r="D3746" s="13" t="n">
        <v>45070</v>
      </c>
      <c r="E3746" s="14" t="n">
        <v>825.98</v>
      </c>
      <c r="F3746" s="14" t="n">
        <v>9463.33</v>
      </c>
      <c r="G3746" s="6" t="s">
        <v>2613</v>
      </c>
    </row>
    <row r="3747" customFormat="false" ht="15" hidden="false" customHeight="true" outlineLevel="0" collapsed="false">
      <c r="A3747" s="6" t="s">
        <v>6359</v>
      </c>
      <c r="B3747" s="6" t="s">
        <v>909</v>
      </c>
      <c r="C3747" s="6" t="s">
        <v>116</v>
      </c>
      <c r="D3747" s="13" t="n">
        <v>45077</v>
      </c>
      <c r="E3747" s="14" t="n">
        <v>647.85</v>
      </c>
      <c r="F3747" s="14" t="n">
        <v>10111.18</v>
      </c>
      <c r="G3747" s="6" t="s">
        <v>2613</v>
      </c>
    </row>
    <row r="3748" customFormat="false" ht="15" hidden="false" customHeight="true" outlineLevel="0" collapsed="false">
      <c r="A3748" s="6" t="s">
        <v>6360</v>
      </c>
      <c r="B3748" s="6" t="s">
        <v>909</v>
      </c>
      <c r="C3748" s="6" t="s">
        <v>116</v>
      </c>
      <c r="D3748" s="13" t="n">
        <v>45084</v>
      </c>
      <c r="E3748" s="14" t="n">
        <v>1008.85</v>
      </c>
      <c r="F3748" s="14" t="n">
        <v>11120.03</v>
      </c>
      <c r="G3748" s="6" t="s">
        <v>2613</v>
      </c>
    </row>
    <row r="3749" customFormat="false" ht="15" hidden="false" customHeight="true" outlineLevel="0" collapsed="false">
      <c r="A3749" s="6" t="s">
        <v>6361</v>
      </c>
      <c r="B3749" s="6" t="s">
        <v>909</v>
      </c>
      <c r="C3749" s="6" t="s">
        <v>116</v>
      </c>
      <c r="D3749" s="13" t="n">
        <v>45091</v>
      </c>
      <c r="E3749" s="14" t="n">
        <v>858.39</v>
      </c>
      <c r="F3749" s="14" t="n">
        <v>11978.42</v>
      </c>
      <c r="G3749" s="6" t="s">
        <v>2613</v>
      </c>
    </row>
    <row r="3750" customFormat="false" ht="15" hidden="false" customHeight="true" outlineLevel="0" collapsed="false">
      <c r="A3750" s="6" t="s">
        <v>6362</v>
      </c>
      <c r="B3750" s="6" t="s">
        <v>909</v>
      </c>
      <c r="C3750" s="6" t="s">
        <v>116</v>
      </c>
      <c r="D3750" s="13" t="n">
        <v>45098</v>
      </c>
      <c r="E3750" s="14" t="n">
        <v>832.29</v>
      </c>
      <c r="F3750" s="14" t="n">
        <v>12810.71</v>
      </c>
      <c r="G3750" s="6" t="s">
        <v>2613</v>
      </c>
    </row>
    <row r="3751" customFormat="false" ht="15" hidden="false" customHeight="true" outlineLevel="0" collapsed="false">
      <c r="A3751" s="6" t="s">
        <v>6363</v>
      </c>
      <c r="B3751" s="6" t="s">
        <v>909</v>
      </c>
      <c r="C3751" s="6" t="s">
        <v>116</v>
      </c>
      <c r="D3751" s="13" t="n">
        <v>45105</v>
      </c>
      <c r="E3751" s="14" t="n">
        <v>749.39</v>
      </c>
      <c r="F3751" s="14" t="n">
        <v>13560.1</v>
      </c>
      <c r="G3751" s="6" t="s">
        <v>2613</v>
      </c>
    </row>
    <row r="3752" customFormat="false" ht="15" hidden="false" customHeight="true" outlineLevel="0" collapsed="false">
      <c r="A3752" s="6" t="s">
        <v>6364</v>
      </c>
      <c r="B3752" s="6" t="s">
        <v>909</v>
      </c>
      <c r="C3752" s="6" t="s">
        <v>116</v>
      </c>
      <c r="D3752" s="13" t="n">
        <v>45112</v>
      </c>
      <c r="E3752" s="14" t="n">
        <v>977.78</v>
      </c>
      <c r="F3752" s="14" t="n">
        <v>14537.88</v>
      </c>
      <c r="G3752" s="6" t="s">
        <v>2613</v>
      </c>
    </row>
    <row r="3753" customFormat="false" ht="15" hidden="false" customHeight="true" outlineLevel="0" collapsed="false">
      <c r="A3753" s="6" t="s">
        <v>6365</v>
      </c>
      <c r="B3753" s="6" t="s">
        <v>909</v>
      </c>
      <c r="C3753" s="6" t="s">
        <v>116</v>
      </c>
      <c r="D3753" s="13" t="n">
        <v>45119</v>
      </c>
      <c r="E3753" s="14" t="n">
        <v>591.63</v>
      </c>
      <c r="F3753" s="14" t="n">
        <v>15129.51</v>
      </c>
      <c r="G3753" s="6" t="s">
        <v>2613</v>
      </c>
    </row>
    <row r="3754" customFormat="false" ht="15" hidden="false" customHeight="true" outlineLevel="0" collapsed="false">
      <c r="A3754" s="6" t="s">
        <v>6366</v>
      </c>
      <c r="B3754" s="6" t="s">
        <v>909</v>
      </c>
      <c r="C3754" s="6" t="s">
        <v>116</v>
      </c>
      <c r="D3754" s="13" t="n">
        <v>45126</v>
      </c>
      <c r="E3754" s="14" t="n">
        <v>1032.9</v>
      </c>
      <c r="F3754" s="14" t="n">
        <v>16162.41</v>
      </c>
      <c r="G3754" s="6" t="s">
        <v>2613</v>
      </c>
    </row>
    <row r="3755" customFormat="false" ht="15" hidden="false" customHeight="true" outlineLevel="0" collapsed="false">
      <c r="A3755" s="6" t="s">
        <v>6367</v>
      </c>
      <c r="B3755" s="6" t="s">
        <v>909</v>
      </c>
      <c r="C3755" s="6" t="s">
        <v>116</v>
      </c>
      <c r="D3755" s="13" t="n">
        <v>45133</v>
      </c>
      <c r="E3755" s="14" t="n">
        <v>622.47</v>
      </c>
      <c r="F3755" s="14" t="n">
        <v>16784.88</v>
      </c>
      <c r="G3755" s="6" t="s">
        <v>2623</v>
      </c>
    </row>
    <row r="3756" customFormat="false" ht="15" hidden="false" customHeight="true" outlineLevel="0" collapsed="false">
      <c r="A3756" s="6" t="s">
        <v>6368</v>
      </c>
      <c r="B3756" s="6" t="s">
        <v>911</v>
      </c>
      <c r="C3756" s="6" t="s">
        <v>112</v>
      </c>
      <c r="D3756" s="13" t="n">
        <v>45778</v>
      </c>
      <c r="E3756" s="14" t="n">
        <v>10366.07</v>
      </c>
      <c r="F3756" s="14" t="n">
        <v>10366.07</v>
      </c>
      <c r="G3756" s="6" t="s">
        <v>2613</v>
      </c>
    </row>
    <row r="3757" customFormat="false" ht="15" hidden="false" customHeight="true" outlineLevel="0" collapsed="false">
      <c r="A3757" s="6" t="s">
        <v>6369</v>
      </c>
      <c r="B3757" s="6" t="s">
        <v>911</v>
      </c>
      <c r="C3757" s="6" t="s">
        <v>112</v>
      </c>
      <c r="D3757" s="13" t="n">
        <v>45785</v>
      </c>
      <c r="E3757" s="14" t="n">
        <v>5594.96</v>
      </c>
      <c r="F3757" s="14" t="n">
        <v>15961.03</v>
      </c>
      <c r="G3757" s="6" t="s">
        <v>2613</v>
      </c>
    </row>
    <row r="3758" customFormat="false" ht="15" hidden="false" customHeight="true" outlineLevel="0" collapsed="false">
      <c r="A3758" s="6" t="s">
        <v>6370</v>
      </c>
      <c r="B3758" s="6" t="s">
        <v>911</v>
      </c>
      <c r="C3758" s="6" t="s">
        <v>112</v>
      </c>
      <c r="D3758" s="13" t="n">
        <v>45792</v>
      </c>
      <c r="E3758" s="14" t="n">
        <v>8954.93</v>
      </c>
      <c r="F3758" s="14" t="n">
        <v>24915.96</v>
      </c>
      <c r="G3758" s="6" t="s">
        <v>2613</v>
      </c>
    </row>
    <row r="3759" customFormat="false" ht="15" hidden="false" customHeight="true" outlineLevel="0" collapsed="false">
      <c r="A3759" s="6" t="s">
        <v>6371</v>
      </c>
      <c r="B3759" s="6" t="s">
        <v>911</v>
      </c>
      <c r="C3759" s="6" t="s">
        <v>112</v>
      </c>
      <c r="D3759" s="13" t="n">
        <v>45799</v>
      </c>
      <c r="E3759" s="14" t="n">
        <v>10689.96</v>
      </c>
      <c r="F3759" s="14" t="n">
        <v>35605.92</v>
      </c>
      <c r="G3759" s="6" t="s">
        <v>2623</v>
      </c>
    </row>
    <row r="3760" customFormat="false" ht="15" hidden="false" customHeight="true" outlineLevel="0" collapsed="false">
      <c r="A3760" s="6" t="s">
        <v>6372</v>
      </c>
      <c r="B3760" s="6" t="s">
        <v>911</v>
      </c>
      <c r="C3760" s="6" t="s">
        <v>112</v>
      </c>
      <c r="D3760" s="13" t="n">
        <v>45806</v>
      </c>
      <c r="E3760" s="14" t="n">
        <v>10508.41</v>
      </c>
      <c r="F3760" s="14" t="n">
        <v>46114.33</v>
      </c>
      <c r="G3760" s="6" t="s">
        <v>2613</v>
      </c>
    </row>
    <row r="3761" customFormat="false" ht="15" hidden="false" customHeight="true" outlineLevel="0" collapsed="false">
      <c r="A3761" s="6" t="s">
        <v>6373</v>
      </c>
      <c r="B3761" s="6" t="s">
        <v>911</v>
      </c>
      <c r="C3761" s="6" t="s">
        <v>112</v>
      </c>
      <c r="D3761" s="13" t="n">
        <v>45813</v>
      </c>
      <c r="E3761" s="14" t="n">
        <v>5063.91</v>
      </c>
      <c r="F3761" s="14" t="n">
        <v>51178.24</v>
      </c>
      <c r="G3761" s="6" t="s">
        <v>2613</v>
      </c>
    </row>
    <row r="3762" customFormat="false" ht="15" hidden="false" customHeight="true" outlineLevel="0" collapsed="false">
      <c r="A3762" s="6" t="s">
        <v>6374</v>
      </c>
      <c r="B3762" s="6" t="s">
        <v>911</v>
      </c>
      <c r="C3762" s="6" t="s">
        <v>112</v>
      </c>
      <c r="D3762" s="13" t="n">
        <v>45820</v>
      </c>
      <c r="E3762" s="14" t="n">
        <v>5915.2</v>
      </c>
      <c r="F3762" s="14" t="n">
        <v>57093.44</v>
      </c>
      <c r="G3762" s="6" t="s">
        <v>2613</v>
      </c>
    </row>
    <row r="3763" customFormat="false" ht="15" hidden="false" customHeight="true" outlineLevel="0" collapsed="false">
      <c r="A3763" s="6" t="s">
        <v>6375</v>
      </c>
      <c r="B3763" s="6" t="s">
        <v>911</v>
      </c>
      <c r="C3763" s="6" t="s">
        <v>112</v>
      </c>
      <c r="D3763" s="13" t="n">
        <v>45827</v>
      </c>
      <c r="E3763" s="14" t="n">
        <v>4975.68</v>
      </c>
      <c r="F3763" s="14" t="n">
        <v>62069.12</v>
      </c>
      <c r="G3763" s="6" t="s">
        <v>2613</v>
      </c>
    </row>
    <row r="3764" customFormat="false" ht="15" hidden="false" customHeight="true" outlineLevel="0" collapsed="false">
      <c r="A3764" s="6" t="s">
        <v>6376</v>
      </c>
      <c r="B3764" s="6" t="s">
        <v>911</v>
      </c>
      <c r="C3764" s="6" t="s">
        <v>112</v>
      </c>
      <c r="D3764" s="13" t="n">
        <v>45834</v>
      </c>
      <c r="E3764" s="14" t="n">
        <v>5786.46</v>
      </c>
      <c r="F3764" s="14" t="n">
        <v>67855.58</v>
      </c>
      <c r="G3764" s="6" t="s">
        <v>2613</v>
      </c>
    </row>
    <row r="3765" customFormat="false" ht="15" hidden="false" customHeight="true" outlineLevel="0" collapsed="false">
      <c r="A3765" s="6" t="s">
        <v>6377</v>
      </c>
      <c r="B3765" s="6" t="s">
        <v>911</v>
      </c>
      <c r="C3765" s="6" t="s">
        <v>112</v>
      </c>
      <c r="D3765" s="13" t="n">
        <v>45841</v>
      </c>
      <c r="E3765" s="14" t="n">
        <v>11464.47</v>
      </c>
      <c r="F3765" s="14" t="n">
        <v>79320.05</v>
      </c>
      <c r="G3765" s="6" t="s">
        <v>2613</v>
      </c>
    </row>
    <row r="3766" customFormat="false" ht="15" hidden="false" customHeight="true" outlineLevel="0" collapsed="false">
      <c r="A3766" s="6" t="s">
        <v>6378</v>
      </c>
      <c r="B3766" s="6" t="s">
        <v>913</v>
      </c>
      <c r="C3766" s="6" t="s">
        <v>124</v>
      </c>
      <c r="D3766" s="13" t="n">
        <v>46094</v>
      </c>
      <c r="E3766" s="14" t="n">
        <v>5470.77</v>
      </c>
      <c r="F3766" s="14" t="n">
        <v>5470.77</v>
      </c>
      <c r="G3766" s="6" t="s">
        <v>2613</v>
      </c>
    </row>
    <row r="3767" customFormat="false" ht="15" hidden="false" customHeight="true" outlineLevel="0" collapsed="false">
      <c r="A3767" s="6" t="s">
        <v>6379</v>
      </c>
      <c r="B3767" s="6" t="s">
        <v>913</v>
      </c>
      <c r="C3767" s="6" t="s">
        <v>124</v>
      </c>
      <c r="D3767" s="13" t="n">
        <v>46101</v>
      </c>
      <c r="E3767" s="14" t="n">
        <v>5368.28</v>
      </c>
      <c r="F3767" s="14" t="n">
        <v>10839.05</v>
      </c>
      <c r="G3767" s="6" t="s">
        <v>2613</v>
      </c>
    </row>
    <row r="3768" customFormat="false" ht="15" hidden="false" customHeight="true" outlineLevel="0" collapsed="false">
      <c r="A3768" s="6" t="s">
        <v>6380</v>
      </c>
      <c r="B3768" s="6" t="s">
        <v>913</v>
      </c>
      <c r="C3768" s="6" t="s">
        <v>124</v>
      </c>
      <c r="D3768" s="13" t="n">
        <v>46108</v>
      </c>
      <c r="E3768" s="14" t="n">
        <v>5088.72</v>
      </c>
      <c r="F3768" s="14" t="n">
        <v>15927.77</v>
      </c>
      <c r="G3768" s="6" t="s">
        <v>2613</v>
      </c>
    </row>
    <row r="3769" customFormat="false" ht="15" hidden="false" customHeight="true" outlineLevel="0" collapsed="false">
      <c r="A3769" s="6" t="s">
        <v>6381</v>
      </c>
      <c r="B3769" s="6" t="s">
        <v>913</v>
      </c>
      <c r="C3769" s="6" t="s">
        <v>124</v>
      </c>
      <c r="D3769" s="13" t="n">
        <v>46115</v>
      </c>
      <c r="E3769" s="14" t="n">
        <v>4245.21</v>
      </c>
      <c r="F3769" s="14" t="n">
        <v>20172.98</v>
      </c>
      <c r="G3769" s="6" t="s">
        <v>2613</v>
      </c>
    </row>
    <row r="3770" customFormat="false" ht="15" hidden="false" customHeight="true" outlineLevel="0" collapsed="false">
      <c r="A3770" s="6" t="s">
        <v>6382</v>
      </c>
      <c r="B3770" s="6" t="s">
        <v>913</v>
      </c>
      <c r="C3770" s="6" t="s">
        <v>124</v>
      </c>
      <c r="D3770" s="13" t="n">
        <v>46122</v>
      </c>
      <c r="E3770" s="14" t="n">
        <v>4634.5</v>
      </c>
      <c r="F3770" s="14" t="n">
        <v>24807.48</v>
      </c>
      <c r="G3770" s="6" t="s">
        <v>2613</v>
      </c>
    </row>
    <row r="3771" customFormat="false" ht="15" hidden="false" customHeight="true" outlineLevel="0" collapsed="false">
      <c r="A3771" s="6" t="s">
        <v>6383</v>
      </c>
      <c r="B3771" s="6" t="s">
        <v>913</v>
      </c>
      <c r="C3771" s="6" t="s">
        <v>124</v>
      </c>
      <c r="D3771" s="13" t="n">
        <v>46129</v>
      </c>
      <c r="E3771" s="14" t="n">
        <v>4147.72</v>
      </c>
      <c r="F3771" s="14" t="n">
        <v>28955.2</v>
      </c>
      <c r="G3771" s="6" t="s">
        <v>2623</v>
      </c>
    </row>
    <row r="3772" customFormat="false" ht="15" hidden="false" customHeight="true" outlineLevel="0" collapsed="false">
      <c r="A3772" s="6" t="s">
        <v>6384</v>
      </c>
      <c r="B3772" s="6" t="s">
        <v>913</v>
      </c>
      <c r="C3772" s="6" t="s">
        <v>124</v>
      </c>
      <c r="D3772" s="13" t="n">
        <v>46136</v>
      </c>
      <c r="E3772" s="14" t="n">
        <v>3645.54</v>
      </c>
      <c r="F3772" s="14" t="n">
        <v>32600.74</v>
      </c>
      <c r="G3772" s="6" t="s">
        <v>2613</v>
      </c>
    </row>
    <row r="3773" customFormat="false" ht="15" hidden="false" customHeight="true" outlineLevel="0" collapsed="false">
      <c r="A3773" s="6" t="s">
        <v>6385</v>
      </c>
      <c r="B3773" s="6" t="s">
        <v>913</v>
      </c>
      <c r="C3773" s="6" t="s">
        <v>124</v>
      </c>
      <c r="D3773" s="13" t="n">
        <v>46143</v>
      </c>
      <c r="E3773" s="14" t="n">
        <v>5604.34</v>
      </c>
      <c r="F3773" s="14" t="n">
        <v>38205.08</v>
      </c>
      <c r="G3773" s="6" t="s">
        <v>2613</v>
      </c>
    </row>
    <row r="3774" customFormat="false" ht="15" hidden="false" customHeight="true" outlineLevel="0" collapsed="false">
      <c r="A3774" s="6" t="s">
        <v>6386</v>
      </c>
      <c r="B3774" s="6" t="s">
        <v>913</v>
      </c>
      <c r="C3774" s="6" t="s">
        <v>124</v>
      </c>
      <c r="D3774" s="13" t="n">
        <v>46150</v>
      </c>
      <c r="E3774" s="14" t="n">
        <v>3193.54</v>
      </c>
      <c r="F3774" s="14" t="n">
        <v>41398.62</v>
      </c>
      <c r="G3774" s="6" t="s">
        <v>2613</v>
      </c>
    </row>
    <row r="3775" customFormat="false" ht="15" hidden="false" customHeight="true" outlineLevel="0" collapsed="false">
      <c r="A3775" s="6" t="s">
        <v>6387</v>
      </c>
      <c r="B3775" s="6" t="s">
        <v>913</v>
      </c>
      <c r="C3775" s="6" t="s">
        <v>124</v>
      </c>
      <c r="D3775" s="13" t="n">
        <v>46157</v>
      </c>
      <c r="E3775" s="14" t="n">
        <v>2814.46</v>
      </c>
      <c r="F3775" s="14" t="n">
        <v>44213.08</v>
      </c>
      <c r="G3775" s="6" t="s">
        <v>2613</v>
      </c>
    </row>
    <row r="3776" customFormat="false" ht="15" hidden="false" customHeight="true" outlineLevel="0" collapsed="false">
      <c r="A3776" s="6" t="s">
        <v>6388</v>
      </c>
      <c r="B3776" s="6" t="s">
        <v>913</v>
      </c>
      <c r="C3776" s="6" t="s">
        <v>124</v>
      </c>
      <c r="D3776" s="13" t="n">
        <v>46164</v>
      </c>
      <c r="E3776" s="14" t="n">
        <v>3417.71</v>
      </c>
      <c r="F3776" s="14" t="n">
        <v>47630.79</v>
      </c>
      <c r="G3776" s="6" t="s">
        <v>2613</v>
      </c>
    </row>
    <row r="3777" customFormat="false" ht="15" hidden="false" customHeight="true" outlineLevel="0" collapsed="false">
      <c r="A3777" s="6" t="s">
        <v>6389</v>
      </c>
      <c r="B3777" s="6" t="s">
        <v>913</v>
      </c>
      <c r="C3777" s="6" t="s">
        <v>124</v>
      </c>
      <c r="D3777" s="13" t="n">
        <v>46171</v>
      </c>
      <c r="E3777" s="14" t="n">
        <v>3454.7</v>
      </c>
      <c r="F3777" s="14" t="n">
        <v>51085.49</v>
      </c>
      <c r="G3777" s="6" t="s">
        <v>2613</v>
      </c>
    </row>
    <row r="3778" customFormat="false" ht="15" hidden="false" customHeight="true" outlineLevel="0" collapsed="false">
      <c r="A3778" s="6" t="s">
        <v>6390</v>
      </c>
      <c r="B3778" s="6" t="s">
        <v>913</v>
      </c>
      <c r="C3778" s="6" t="s">
        <v>124</v>
      </c>
      <c r="D3778" s="13" t="n">
        <v>46178</v>
      </c>
      <c r="E3778" s="14" t="n">
        <v>5668.26</v>
      </c>
      <c r="F3778" s="14" t="n">
        <v>56753.75</v>
      </c>
      <c r="G3778" s="6" t="s">
        <v>2623</v>
      </c>
    </row>
    <row r="3779" customFormat="false" ht="15" hidden="false" customHeight="true" outlineLevel="0" collapsed="false">
      <c r="A3779" s="6" t="s">
        <v>6391</v>
      </c>
      <c r="B3779" s="6" t="s">
        <v>913</v>
      </c>
      <c r="C3779" s="6" t="s">
        <v>124</v>
      </c>
      <c r="D3779" s="13" t="n">
        <v>46185</v>
      </c>
      <c r="E3779" s="14" t="n">
        <v>5284.75</v>
      </c>
      <c r="F3779" s="14" t="n">
        <v>62038.5</v>
      </c>
      <c r="G3779" s="6" t="s">
        <v>2613</v>
      </c>
    </row>
    <row r="3780" customFormat="false" ht="15" hidden="false" customHeight="true" outlineLevel="0" collapsed="false">
      <c r="A3780" s="6" t="s">
        <v>6392</v>
      </c>
      <c r="B3780" s="6" t="s">
        <v>913</v>
      </c>
      <c r="C3780" s="6" t="s">
        <v>124</v>
      </c>
      <c r="D3780" s="13" t="n">
        <v>46192</v>
      </c>
      <c r="E3780" s="14" t="n">
        <v>3750.57</v>
      </c>
      <c r="F3780" s="14" t="n">
        <v>65789.07</v>
      </c>
      <c r="G3780" s="6" t="s">
        <v>2613</v>
      </c>
    </row>
    <row r="3781" customFormat="false" ht="15" hidden="false" customHeight="true" outlineLevel="0" collapsed="false">
      <c r="A3781" s="6" t="s">
        <v>6393</v>
      </c>
      <c r="B3781" s="6" t="s">
        <v>913</v>
      </c>
      <c r="C3781" s="6" t="s">
        <v>124</v>
      </c>
      <c r="D3781" s="13" t="n">
        <v>46199</v>
      </c>
      <c r="E3781" s="14" t="n">
        <v>3662.45</v>
      </c>
      <c r="F3781" s="14" t="n">
        <v>69451.52</v>
      </c>
      <c r="G3781" s="6" t="s">
        <v>2613</v>
      </c>
    </row>
    <row r="3782" customFormat="false" ht="15" hidden="false" customHeight="true" outlineLevel="0" collapsed="false">
      <c r="A3782" s="6" t="s">
        <v>6394</v>
      </c>
      <c r="B3782" s="6" t="s">
        <v>915</v>
      </c>
      <c r="C3782" s="6" t="s">
        <v>131</v>
      </c>
      <c r="D3782" s="13" t="n">
        <v>45673</v>
      </c>
      <c r="E3782" s="14" t="n">
        <v>1672.62</v>
      </c>
      <c r="F3782" s="14" t="n">
        <v>1672.62</v>
      </c>
      <c r="G3782" s="6" t="s">
        <v>2613</v>
      </c>
    </row>
    <row r="3783" customFormat="false" ht="15" hidden="false" customHeight="true" outlineLevel="0" collapsed="false">
      <c r="A3783" s="6" t="s">
        <v>6395</v>
      </c>
      <c r="B3783" s="6" t="s">
        <v>915</v>
      </c>
      <c r="C3783" s="6" t="s">
        <v>131</v>
      </c>
      <c r="D3783" s="13" t="n">
        <v>45680</v>
      </c>
      <c r="E3783" s="14" t="n">
        <v>1110.15</v>
      </c>
      <c r="F3783" s="14" t="n">
        <v>2782.77</v>
      </c>
      <c r="G3783" s="6" t="s">
        <v>2613</v>
      </c>
    </row>
    <row r="3784" customFormat="false" ht="15" hidden="false" customHeight="true" outlineLevel="0" collapsed="false">
      <c r="A3784" s="6" t="s">
        <v>6396</v>
      </c>
      <c r="B3784" s="6" t="s">
        <v>915</v>
      </c>
      <c r="C3784" s="6" t="s">
        <v>131</v>
      </c>
      <c r="D3784" s="13" t="n">
        <v>45687</v>
      </c>
      <c r="E3784" s="14" t="n">
        <v>1807.7</v>
      </c>
      <c r="F3784" s="14" t="n">
        <v>4590.47</v>
      </c>
      <c r="G3784" s="6" t="s">
        <v>2613</v>
      </c>
    </row>
    <row r="3785" customFormat="false" ht="15" hidden="false" customHeight="true" outlineLevel="0" collapsed="false">
      <c r="A3785" s="6" t="s">
        <v>6397</v>
      </c>
      <c r="B3785" s="6" t="s">
        <v>915</v>
      </c>
      <c r="C3785" s="6" t="s">
        <v>131</v>
      </c>
      <c r="D3785" s="13" t="n">
        <v>45694</v>
      </c>
      <c r="E3785" s="14" t="n">
        <v>2080.53</v>
      </c>
      <c r="F3785" s="14" t="n">
        <v>6671</v>
      </c>
      <c r="G3785" s="6" t="s">
        <v>2613</v>
      </c>
    </row>
    <row r="3786" customFormat="false" ht="15" hidden="false" customHeight="true" outlineLevel="0" collapsed="false">
      <c r="A3786" s="6" t="s">
        <v>6398</v>
      </c>
      <c r="B3786" s="6" t="s">
        <v>915</v>
      </c>
      <c r="C3786" s="6" t="s">
        <v>131</v>
      </c>
      <c r="D3786" s="13" t="n">
        <v>45701</v>
      </c>
      <c r="E3786" s="14" t="n">
        <v>1177.94</v>
      </c>
      <c r="F3786" s="14" t="n">
        <v>7848.94</v>
      </c>
      <c r="G3786" s="6" t="s">
        <v>2613</v>
      </c>
    </row>
    <row r="3787" customFormat="false" ht="15" hidden="false" customHeight="true" outlineLevel="0" collapsed="false">
      <c r="A3787" s="6" t="s">
        <v>6399</v>
      </c>
      <c r="B3787" s="6" t="s">
        <v>915</v>
      </c>
      <c r="C3787" s="6" t="s">
        <v>131</v>
      </c>
      <c r="D3787" s="13" t="n">
        <v>45708</v>
      </c>
      <c r="E3787" s="14" t="n">
        <v>1775.52</v>
      </c>
      <c r="F3787" s="14" t="n">
        <v>9624.46</v>
      </c>
      <c r="G3787" s="6" t="s">
        <v>2613</v>
      </c>
    </row>
    <row r="3788" customFormat="false" ht="15" hidden="false" customHeight="true" outlineLevel="0" collapsed="false">
      <c r="A3788" s="6" t="s">
        <v>6400</v>
      </c>
      <c r="B3788" s="6" t="s">
        <v>915</v>
      </c>
      <c r="C3788" s="6" t="s">
        <v>131</v>
      </c>
      <c r="D3788" s="13" t="n">
        <v>45715</v>
      </c>
      <c r="E3788" s="14" t="n">
        <v>1342.96</v>
      </c>
      <c r="F3788" s="14" t="n">
        <v>10967.42</v>
      </c>
      <c r="G3788" s="6" t="s">
        <v>2613</v>
      </c>
    </row>
    <row r="3789" customFormat="false" ht="15" hidden="false" customHeight="true" outlineLevel="0" collapsed="false">
      <c r="A3789" s="6" t="s">
        <v>6401</v>
      </c>
      <c r="B3789" s="6" t="s">
        <v>915</v>
      </c>
      <c r="C3789" s="6" t="s">
        <v>131</v>
      </c>
      <c r="D3789" s="13" t="n">
        <v>45722</v>
      </c>
      <c r="E3789" s="14" t="n">
        <v>2218.51</v>
      </c>
      <c r="F3789" s="14" t="n">
        <v>13185.93</v>
      </c>
      <c r="G3789" s="6" t="s">
        <v>2613</v>
      </c>
    </row>
    <row r="3790" customFormat="false" ht="15" hidden="false" customHeight="true" outlineLevel="0" collapsed="false">
      <c r="A3790" s="6" t="s">
        <v>6402</v>
      </c>
      <c r="B3790" s="6" t="s">
        <v>915</v>
      </c>
      <c r="C3790" s="6" t="s">
        <v>131</v>
      </c>
      <c r="D3790" s="13" t="n">
        <v>45729</v>
      </c>
      <c r="E3790" s="14" t="n">
        <v>2155.9</v>
      </c>
      <c r="F3790" s="14" t="n">
        <v>15341.83</v>
      </c>
      <c r="G3790" s="6" t="s">
        <v>2613</v>
      </c>
    </row>
    <row r="3791" customFormat="false" ht="15" hidden="false" customHeight="true" outlineLevel="0" collapsed="false">
      <c r="A3791" s="6" t="s">
        <v>6403</v>
      </c>
      <c r="B3791" s="6" t="s">
        <v>915</v>
      </c>
      <c r="C3791" s="6" t="s">
        <v>131</v>
      </c>
      <c r="D3791" s="13" t="n">
        <v>45736</v>
      </c>
      <c r="E3791" s="14" t="n">
        <v>981.29</v>
      </c>
      <c r="F3791" s="14" t="n">
        <v>16323.12</v>
      </c>
      <c r="G3791" s="6" t="s">
        <v>2613</v>
      </c>
    </row>
    <row r="3792" customFormat="false" ht="15" hidden="false" customHeight="true" outlineLevel="0" collapsed="false">
      <c r="A3792" s="6" t="s">
        <v>6404</v>
      </c>
      <c r="B3792" s="6" t="s">
        <v>917</v>
      </c>
      <c r="C3792" s="6" t="s">
        <v>124</v>
      </c>
      <c r="D3792" s="13" t="n">
        <v>46115</v>
      </c>
      <c r="E3792" s="14" t="n">
        <v>5101.82</v>
      </c>
      <c r="F3792" s="14" t="n">
        <v>5101.82</v>
      </c>
      <c r="G3792" s="6" t="s">
        <v>2613</v>
      </c>
    </row>
    <row r="3793" customFormat="false" ht="15" hidden="false" customHeight="true" outlineLevel="0" collapsed="false">
      <c r="A3793" s="6" t="s">
        <v>6405</v>
      </c>
      <c r="B3793" s="6" t="s">
        <v>917</v>
      </c>
      <c r="C3793" s="6" t="s">
        <v>124</v>
      </c>
      <c r="D3793" s="13" t="n">
        <v>46122</v>
      </c>
      <c r="E3793" s="14" t="n">
        <v>5051.68</v>
      </c>
      <c r="F3793" s="14" t="n">
        <v>10153.5</v>
      </c>
      <c r="G3793" s="6" t="s">
        <v>2613</v>
      </c>
    </row>
    <row r="3794" customFormat="false" ht="15" hidden="false" customHeight="true" outlineLevel="0" collapsed="false">
      <c r="A3794" s="6" t="s">
        <v>6406</v>
      </c>
      <c r="B3794" s="6" t="s">
        <v>917</v>
      </c>
      <c r="C3794" s="6" t="s">
        <v>124</v>
      </c>
      <c r="D3794" s="13" t="n">
        <v>46129</v>
      </c>
      <c r="E3794" s="14" t="n">
        <v>3220.07</v>
      </c>
      <c r="F3794" s="14" t="n">
        <v>13373.57</v>
      </c>
      <c r="G3794" s="6" t="s">
        <v>2613</v>
      </c>
    </row>
    <row r="3795" customFormat="false" ht="15" hidden="false" customHeight="true" outlineLevel="0" collapsed="false">
      <c r="A3795" s="6" t="s">
        <v>6407</v>
      </c>
      <c r="B3795" s="6" t="s">
        <v>917</v>
      </c>
      <c r="C3795" s="6" t="s">
        <v>124</v>
      </c>
      <c r="D3795" s="13" t="n">
        <v>46136</v>
      </c>
      <c r="E3795" s="14" t="n">
        <v>4529.63</v>
      </c>
      <c r="F3795" s="14" t="n">
        <v>17903.2</v>
      </c>
      <c r="G3795" s="6" t="s">
        <v>2613</v>
      </c>
    </row>
    <row r="3796" customFormat="false" ht="15" hidden="false" customHeight="true" outlineLevel="0" collapsed="false">
      <c r="A3796" s="6" t="s">
        <v>6408</v>
      </c>
      <c r="B3796" s="6" t="s">
        <v>917</v>
      </c>
      <c r="C3796" s="6" t="s">
        <v>124</v>
      </c>
      <c r="D3796" s="13" t="n">
        <v>46143</v>
      </c>
      <c r="E3796" s="14" t="n">
        <v>3060.79</v>
      </c>
      <c r="F3796" s="14" t="n">
        <v>20963.99</v>
      </c>
      <c r="G3796" s="6" t="s">
        <v>2613</v>
      </c>
    </row>
    <row r="3797" customFormat="false" ht="15" hidden="false" customHeight="true" outlineLevel="0" collapsed="false">
      <c r="A3797" s="6" t="s">
        <v>6409</v>
      </c>
      <c r="B3797" s="6" t="s">
        <v>917</v>
      </c>
      <c r="C3797" s="6" t="s">
        <v>124</v>
      </c>
      <c r="D3797" s="13" t="n">
        <v>46150</v>
      </c>
      <c r="E3797" s="14" t="n">
        <v>2662.23</v>
      </c>
      <c r="F3797" s="14" t="n">
        <v>23626.22</v>
      </c>
      <c r="G3797" s="6" t="s">
        <v>2613</v>
      </c>
    </row>
    <row r="3798" customFormat="false" ht="15" hidden="false" customHeight="true" outlineLevel="0" collapsed="false">
      <c r="A3798" s="6" t="s">
        <v>6410</v>
      </c>
      <c r="B3798" s="6" t="s">
        <v>917</v>
      </c>
      <c r="C3798" s="6" t="s">
        <v>124</v>
      </c>
      <c r="D3798" s="13" t="n">
        <v>46157</v>
      </c>
      <c r="E3798" s="14" t="n">
        <v>3329.59</v>
      </c>
      <c r="F3798" s="14" t="n">
        <v>26955.81</v>
      </c>
      <c r="G3798" s="6" t="s">
        <v>2613</v>
      </c>
    </row>
    <row r="3799" customFormat="false" ht="15" hidden="false" customHeight="true" outlineLevel="0" collapsed="false">
      <c r="A3799" s="6" t="s">
        <v>6411</v>
      </c>
      <c r="B3799" s="6" t="s">
        <v>917</v>
      </c>
      <c r="C3799" s="6" t="s">
        <v>124</v>
      </c>
      <c r="D3799" s="13" t="n">
        <v>46164</v>
      </c>
      <c r="E3799" s="14" t="n">
        <v>2834</v>
      </c>
      <c r="F3799" s="14" t="n">
        <v>29789.81</v>
      </c>
      <c r="G3799" s="6" t="s">
        <v>2613</v>
      </c>
    </row>
    <row r="3800" customFormat="false" ht="15" hidden="false" customHeight="true" outlineLevel="0" collapsed="false">
      <c r="A3800" s="6" t="s">
        <v>6412</v>
      </c>
      <c r="B3800" s="6" t="s">
        <v>917</v>
      </c>
      <c r="C3800" s="6" t="s">
        <v>124</v>
      </c>
      <c r="D3800" s="13" t="n">
        <v>46171</v>
      </c>
      <c r="E3800" s="14" t="n">
        <v>5497.32</v>
      </c>
      <c r="F3800" s="14" t="n">
        <v>35287.13</v>
      </c>
      <c r="G3800" s="6" t="s">
        <v>2613</v>
      </c>
    </row>
    <row r="3801" customFormat="false" ht="15" hidden="false" customHeight="true" outlineLevel="0" collapsed="false">
      <c r="A3801" s="6" t="s">
        <v>6413</v>
      </c>
      <c r="B3801" s="6" t="s">
        <v>917</v>
      </c>
      <c r="C3801" s="6" t="s">
        <v>124</v>
      </c>
      <c r="D3801" s="13" t="n">
        <v>46178</v>
      </c>
      <c r="E3801" s="14" t="n">
        <v>5269.38</v>
      </c>
      <c r="F3801" s="14" t="n">
        <v>40556.51</v>
      </c>
      <c r="G3801" s="6" t="s">
        <v>2613</v>
      </c>
    </row>
    <row r="3802" customFormat="false" ht="15" hidden="false" customHeight="true" outlineLevel="0" collapsed="false">
      <c r="A3802" s="6" t="s">
        <v>6414</v>
      </c>
      <c r="B3802" s="6" t="s">
        <v>919</v>
      </c>
      <c r="C3802" s="6" t="s">
        <v>131</v>
      </c>
      <c r="D3802" s="13" t="n">
        <v>44824</v>
      </c>
      <c r="E3802" s="14" t="n">
        <v>236.95</v>
      </c>
      <c r="F3802" s="14" t="n">
        <v>236.95</v>
      </c>
      <c r="G3802" s="6" t="s">
        <v>2613</v>
      </c>
    </row>
    <row r="3803" customFormat="false" ht="15" hidden="false" customHeight="true" outlineLevel="0" collapsed="false">
      <c r="A3803" s="6" t="s">
        <v>6415</v>
      </c>
      <c r="B3803" s="6" t="s">
        <v>919</v>
      </c>
      <c r="C3803" s="6" t="s">
        <v>131</v>
      </c>
      <c r="D3803" s="13" t="n">
        <v>44831</v>
      </c>
      <c r="E3803" s="14" t="n">
        <v>394.42</v>
      </c>
      <c r="F3803" s="14" t="n">
        <v>631.37</v>
      </c>
      <c r="G3803" s="6" t="s">
        <v>2613</v>
      </c>
    </row>
    <row r="3804" customFormat="false" ht="15" hidden="false" customHeight="true" outlineLevel="0" collapsed="false">
      <c r="A3804" s="6" t="s">
        <v>6416</v>
      </c>
      <c r="B3804" s="6" t="s">
        <v>919</v>
      </c>
      <c r="C3804" s="6" t="s">
        <v>131</v>
      </c>
      <c r="D3804" s="13" t="n">
        <v>44838</v>
      </c>
      <c r="E3804" s="14" t="n">
        <v>426.14</v>
      </c>
      <c r="F3804" s="14" t="n">
        <v>1057.51</v>
      </c>
      <c r="G3804" s="6" t="s">
        <v>2613</v>
      </c>
    </row>
    <row r="3805" customFormat="false" ht="15" hidden="false" customHeight="true" outlineLevel="0" collapsed="false">
      <c r="A3805" s="6" t="s">
        <v>6417</v>
      </c>
      <c r="B3805" s="6" t="s">
        <v>919</v>
      </c>
      <c r="C3805" s="6" t="s">
        <v>131</v>
      </c>
      <c r="D3805" s="13" t="n">
        <v>44845</v>
      </c>
      <c r="E3805" s="14" t="n">
        <v>207.4</v>
      </c>
      <c r="F3805" s="14" t="n">
        <v>1264.91</v>
      </c>
      <c r="G3805" s="6" t="s">
        <v>2613</v>
      </c>
    </row>
    <row r="3806" customFormat="false" ht="15" hidden="false" customHeight="true" outlineLevel="0" collapsed="false">
      <c r="A3806" s="6" t="s">
        <v>6418</v>
      </c>
      <c r="B3806" s="6" t="s">
        <v>919</v>
      </c>
      <c r="C3806" s="6" t="s">
        <v>131</v>
      </c>
      <c r="D3806" s="13" t="n">
        <v>44852</v>
      </c>
      <c r="E3806" s="14" t="n">
        <v>263.63</v>
      </c>
      <c r="F3806" s="14" t="n">
        <v>1528.54</v>
      </c>
      <c r="G3806" s="6" t="s">
        <v>2613</v>
      </c>
    </row>
    <row r="3807" customFormat="false" ht="15" hidden="false" customHeight="true" outlineLevel="0" collapsed="false">
      <c r="A3807" s="6" t="s">
        <v>6419</v>
      </c>
      <c r="B3807" s="6" t="s">
        <v>919</v>
      </c>
      <c r="C3807" s="6" t="s">
        <v>131</v>
      </c>
      <c r="D3807" s="13" t="n">
        <v>44859</v>
      </c>
      <c r="E3807" s="14" t="n">
        <v>308.33</v>
      </c>
      <c r="F3807" s="14" t="n">
        <v>1836.87</v>
      </c>
      <c r="G3807" s="6" t="s">
        <v>2613</v>
      </c>
    </row>
    <row r="3808" customFormat="false" ht="15" hidden="false" customHeight="true" outlineLevel="0" collapsed="false">
      <c r="A3808" s="6" t="s">
        <v>6420</v>
      </c>
      <c r="B3808" s="6" t="s">
        <v>919</v>
      </c>
      <c r="C3808" s="6" t="s">
        <v>131</v>
      </c>
      <c r="D3808" s="13" t="n">
        <v>44866</v>
      </c>
      <c r="E3808" s="14" t="n">
        <v>382.75</v>
      </c>
      <c r="F3808" s="14" t="n">
        <v>2219.62</v>
      </c>
      <c r="G3808" s="6" t="s">
        <v>2613</v>
      </c>
    </row>
    <row r="3809" customFormat="false" ht="15" hidden="false" customHeight="true" outlineLevel="0" collapsed="false">
      <c r="A3809" s="6" t="s">
        <v>6421</v>
      </c>
      <c r="B3809" s="6" t="s">
        <v>919</v>
      </c>
      <c r="C3809" s="6" t="s">
        <v>131</v>
      </c>
      <c r="D3809" s="13" t="n">
        <v>44873</v>
      </c>
      <c r="E3809" s="14" t="n">
        <v>324.43</v>
      </c>
      <c r="F3809" s="14" t="n">
        <v>2544.05</v>
      </c>
      <c r="G3809" s="6" t="s">
        <v>2613</v>
      </c>
    </row>
    <row r="3810" customFormat="false" ht="15" hidden="false" customHeight="true" outlineLevel="0" collapsed="false">
      <c r="A3810" s="6" t="s">
        <v>6422</v>
      </c>
      <c r="B3810" s="6" t="s">
        <v>919</v>
      </c>
      <c r="C3810" s="6" t="s">
        <v>131</v>
      </c>
      <c r="D3810" s="13" t="n">
        <v>44880</v>
      </c>
      <c r="E3810" s="14" t="n">
        <v>333.74</v>
      </c>
      <c r="F3810" s="14" t="n">
        <v>2877.79</v>
      </c>
      <c r="G3810" s="6" t="s">
        <v>2623</v>
      </c>
    </row>
    <row r="3811" customFormat="false" ht="15" hidden="false" customHeight="true" outlineLevel="0" collapsed="false">
      <c r="A3811" s="6" t="s">
        <v>6423</v>
      </c>
      <c r="B3811" s="6" t="s">
        <v>919</v>
      </c>
      <c r="C3811" s="6" t="s">
        <v>131</v>
      </c>
      <c r="D3811" s="13" t="n">
        <v>44887</v>
      </c>
      <c r="E3811" s="14" t="n">
        <v>388.52</v>
      </c>
      <c r="F3811" s="14" t="n">
        <v>3266.31</v>
      </c>
      <c r="G3811" s="6" t="s">
        <v>2613</v>
      </c>
    </row>
    <row r="3812" customFormat="false" ht="15" hidden="false" customHeight="true" outlineLevel="0" collapsed="false">
      <c r="A3812" s="6" t="s">
        <v>6424</v>
      </c>
      <c r="B3812" s="6" t="s">
        <v>919</v>
      </c>
      <c r="C3812" s="6" t="s">
        <v>131</v>
      </c>
      <c r="D3812" s="13" t="n">
        <v>44894</v>
      </c>
      <c r="E3812" s="14" t="n">
        <v>423.48</v>
      </c>
      <c r="F3812" s="14" t="n">
        <v>3689.79</v>
      </c>
      <c r="G3812" s="6" t="s">
        <v>2613</v>
      </c>
    </row>
    <row r="3813" customFormat="false" ht="15" hidden="false" customHeight="true" outlineLevel="0" collapsed="false">
      <c r="A3813" s="6" t="s">
        <v>6425</v>
      </c>
      <c r="B3813" s="6" t="s">
        <v>919</v>
      </c>
      <c r="C3813" s="6" t="s">
        <v>131</v>
      </c>
      <c r="D3813" s="13" t="n">
        <v>44901</v>
      </c>
      <c r="E3813" s="14" t="n">
        <v>419.52</v>
      </c>
      <c r="F3813" s="14" t="n">
        <v>4109.31</v>
      </c>
      <c r="G3813" s="6" t="s">
        <v>2613</v>
      </c>
    </row>
    <row r="3814" customFormat="false" ht="15" hidden="false" customHeight="true" outlineLevel="0" collapsed="false">
      <c r="A3814" s="6" t="s">
        <v>6426</v>
      </c>
      <c r="B3814" s="6" t="s">
        <v>919</v>
      </c>
      <c r="C3814" s="6" t="s">
        <v>131</v>
      </c>
      <c r="D3814" s="13" t="n">
        <v>44908</v>
      </c>
      <c r="E3814" s="14" t="n">
        <v>151.5</v>
      </c>
      <c r="F3814" s="14" t="n">
        <v>4260.81</v>
      </c>
      <c r="G3814" s="6" t="s">
        <v>2613</v>
      </c>
    </row>
    <row r="3815" customFormat="false" ht="15" hidden="false" customHeight="true" outlineLevel="0" collapsed="false">
      <c r="A3815" s="6" t="s">
        <v>6427</v>
      </c>
      <c r="B3815" s="6" t="s">
        <v>921</v>
      </c>
      <c r="C3815" s="6" t="s">
        <v>124</v>
      </c>
      <c r="D3815" s="13" t="n">
        <v>45083</v>
      </c>
      <c r="E3815" s="14" t="n">
        <v>919.43</v>
      </c>
      <c r="F3815" s="14" t="n">
        <v>919.43</v>
      </c>
      <c r="G3815" s="6" t="s">
        <v>2613</v>
      </c>
    </row>
    <row r="3816" customFormat="false" ht="15" hidden="false" customHeight="true" outlineLevel="0" collapsed="false">
      <c r="A3816" s="6" t="s">
        <v>6428</v>
      </c>
      <c r="B3816" s="6" t="s">
        <v>921</v>
      </c>
      <c r="C3816" s="6" t="s">
        <v>124</v>
      </c>
      <c r="D3816" s="13" t="n">
        <v>45090</v>
      </c>
      <c r="E3816" s="14" t="n">
        <v>1072.41</v>
      </c>
      <c r="F3816" s="14" t="n">
        <v>1991.84</v>
      </c>
      <c r="G3816" s="6" t="s">
        <v>2613</v>
      </c>
    </row>
    <row r="3817" customFormat="false" ht="15" hidden="false" customHeight="true" outlineLevel="0" collapsed="false">
      <c r="A3817" s="6" t="s">
        <v>6429</v>
      </c>
      <c r="B3817" s="6" t="s">
        <v>921</v>
      </c>
      <c r="C3817" s="6" t="s">
        <v>124</v>
      </c>
      <c r="D3817" s="13" t="n">
        <v>45097</v>
      </c>
      <c r="E3817" s="14" t="n">
        <v>1448.7</v>
      </c>
      <c r="F3817" s="14" t="n">
        <v>3440.54</v>
      </c>
      <c r="G3817" s="6" t="s">
        <v>2613</v>
      </c>
    </row>
    <row r="3818" customFormat="false" ht="15" hidden="false" customHeight="true" outlineLevel="0" collapsed="false">
      <c r="A3818" s="6" t="s">
        <v>6430</v>
      </c>
      <c r="B3818" s="6" t="s">
        <v>921</v>
      </c>
      <c r="C3818" s="6" t="s">
        <v>124</v>
      </c>
      <c r="D3818" s="13" t="n">
        <v>45104</v>
      </c>
      <c r="E3818" s="14" t="n">
        <v>922.49</v>
      </c>
      <c r="F3818" s="14" t="n">
        <v>4363.03</v>
      </c>
      <c r="G3818" s="6" t="s">
        <v>2613</v>
      </c>
    </row>
    <row r="3819" customFormat="false" ht="15" hidden="false" customHeight="true" outlineLevel="0" collapsed="false">
      <c r="A3819" s="6" t="s">
        <v>6431</v>
      </c>
      <c r="B3819" s="6" t="s">
        <v>921</v>
      </c>
      <c r="C3819" s="6" t="s">
        <v>124</v>
      </c>
      <c r="D3819" s="13" t="n">
        <v>45111</v>
      </c>
      <c r="E3819" s="14" t="n">
        <v>1575.57</v>
      </c>
      <c r="F3819" s="14" t="n">
        <v>5938.6</v>
      </c>
      <c r="G3819" s="6" t="s">
        <v>2613</v>
      </c>
    </row>
    <row r="3820" customFormat="false" ht="15" hidden="false" customHeight="true" outlineLevel="0" collapsed="false">
      <c r="A3820" s="6" t="s">
        <v>6432</v>
      </c>
      <c r="B3820" s="6" t="s">
        <v>921</v>
      </c>
      <c r="C3820" s="6" t="s">
        <v>124</v>
      </c>
      <c r="D3820" s="13" t="n">
        <v>45118</v>
      </c>
      <c r="E3820" s="14" t="n">
        <v>1714.79</v>
      </c>
      <c r="F3820" s="14" t="n">
        <v>7653.39</v>
      </c>
      <c r="G3820" s="6" t="s">
        <v>2613</v>
      </c>
    </row>
    <row r="3821" customFormat="false" ht="15" hidden="false" customHeight="true" outlineLevel="0" collapsed="false">
      <c r="A3821" s="6" t="s">
        <v>6433</v>
      </c>
      <c r="B3821" s="6" t="s">
        <v>921</v>
      </c>
      <c r="C3821" s="6" t="s">
        <v>124</v>
      </c>
      <c r="D3821" s="13" t="n">
        <v>45125</v>
      </c>
      <c r="E3821" s="14" t="n">
        <v>1370.79</v>
      </c>
      <c r="F3821" s="14" t="n">
        <v>9024.18</v>
      </c>
      <c r="G3821" s="6" t="s">
        <v>2613</v>
      </c>
    </row>
    <row r="3822" customFormat="false" ht="15" hidden="false" customHeight="true" outlineLevel="0" collapsed="false">
      <c r="A3822" s="6" t="s">
        <v>6434</v>
      </c>
      <c r="B3822" s="6" t="s">
        <v>921</v>
      </c>
      <c r="C3822" s="6" t="s">
        <v>124</v>
      </c>
      <c r="D3822" s="13" t="n">
        <v>45132</v>
      </c>
      <c r="E3822" s="14" t="n">
        <v>1223.47</v>
      </c>
      <c r="F3822" s="14" t="n">
        <v>10247.65</v>
      </c>
      <c r="G3822" s="6" t="s">
        <v>2613</v>
      </c>
    </row>
    <row r="3823" customFormat="false" ht="15" hidden="false" customHeight="true" outlineLevel="0" collapsed="false">
      <c r="A3823" s="6" t="s">
        <v>6435</v>
      </c>
      <c r="B3823" s="6" t="s">
        <v>921</v>
      </c>
      <c r="C3823" s="6" t="s">
        <v>124</v>
      </c>
      <c r="D3823" s="13" t="n">
        <v>45139</v>
      </c>
      <c r="E3823" s="14" t="n">
        <v>1447.9</v>
      </c>
      <c r="F3823" s="14" t="n">
        <v>11695.55</v>
      </c>
      <c r="G3823" s="6" t="s">
        <v>2613</v>
      </c>
    </row>
    <row r="3824" customFormat="false" ht="15" hidden="false" customHeight="true" outlineLevel="0" collapsed="false">
      <c r="A3824" s="6" t="s">
        <v>6436</v>
      </c>
      <c r="B3824" s="6" t="s">
        <v>921</v>
      </c>
      <c r="C3824" s="6" t="s">
        <v>124</v>
      </c>
      <c r="D3824" s="13" t="n">
        <v>45146</v>
      </c>
      <c r="E3824" s="14" t="n">
        <v>1840.81</v>
      </c>
      <c r="F3824" s="14" t="n">
        <v>13536.36</v>
      </c>
      <c r="G3824" s="6" t="s">
        <v>2613</v>
      </c>
    </row>
    <row r="3825" customFormat="false" ht="15" hidden="false" customHeight="true" outlineLevel="0" collapsed="false">
      <c r="A3825" s="6" t="s">
        <v>6437</v>
      </c>
      <c r="B3825" s="6" t="s">
        <v>921</v>
      </c>
      <c r="C3825" s="6" t="s">
        <v>124</v>
      </c>
      <c r="D3825" s="13" t="n">
        <v>45153</v>
      </c>
      <c r="E3825" s="14" t="n">
        <v>937.08</v>
      </c>
      <c r="F3825" s="14" t="n">
        <v>14473.44</v>
      </c>
      <c r="G3825" s="6" t="s">
        <v>2613</v>
      </c>
    </row>
    <row r="3826" customFormat="false" ht="15" hidden="false" customHeight="true" outlineLevel="0" collapsed="false">
      <c r="A3826" s="6" t="s">
        <v>6438</v>
      </c>
      <c r="B3826" s="6" t="s">
        <v>921</v>
      </c>
      <c r="C3826" s="6" t="s">
        <v>124</v>
      </c>
      <c r="D3826" s="13" t="n">
        <v>45160</v>
      </c>
      <c r="E3826" s="14" t="n">
        <v>1199.83</v>
      </c>
      <c r="F3826" s="14" t="n">
        <v>15673.27</v>
      </c>
      <c r="G3826" s="6" t="s">
        <v>2613</v>
      </c>
    </row>
    <row r="3827" customFormat="false" ht="15" hidden="false" customHeight="true" outlineLevel="0" collapsed="false">
      <c r="A3827" s="6" t="s">
        <v>6439</v>
      </c>
      <c r="B3827" s="6" t="s">
        <v>921</v>
      </c>
      <c r="C3827" s="6" t="s">
        <v>124</v>
      </c>
      <c r="D3827" s="13" t="n">
        <v>45167</v>
      </c>
      <c r="E3827" s="14" t="n">
        <v>1786.5</v>
      </c>
      <c r="F3827" s="14" t="n">
        <v>17459.77</v>
      </c>
      <c r="G3827" s="6" t="s">
        <v>2613</v>
      </c>
    </row>
    <row r="3828" customFormat="false" ht="15" hidden="false" customHeight="true" outlineLevel="0" collapsed="false">
      <c r="A3828" s="6" t="s">
        <v>6440</v>
      </c>
      <c r="B3828" s="6" t="s">
        <v>921</v>
      </c>
      <c r="C3828" s="6" t="s">
        <v>124</v>
      </c>
      <c r="D3828" s="13" t="n">
        <v>45174</v>
      </c>
      <c r="E3828" s="14" t="n">
        <v>1444.49</v>
      </c>
      <c r="F3828" s="14" t="n">
        <v>18904.26</v>
      </c>
      <c r="G3828" s="6" t="s">
        <v>2613</v>
      </c>
    </row>
    <row r="3829" customFormat="false" ht="15" hidden="false" customHeight="true" outlineLevel="0" collapsed="false">
      <c r="A3829" s="6" t="s">
        <v>6441</v>
      </c>
      <c r="B3829" s="6" t="s">
        <v>923</v>
      </c>
      <c r="C3829" s="6" t="s">
        <v>131</v>
      </c>
      <c r="D3829" s="13" t="n">
        <v>45939</v>
      </c>
      <c r="E3829" s="14" t="n">
        <v>3396.36</v>
      </c>
      <c r="F3829" s="14" t="n">
        <v>3396.36</v>
      </c>
      <c r="G3829" s="6" t="s">
        <v>2613</v>
      </c>
    </row>
    <row r="3830" customFormat="false" ht="15" hidden="false" customHeight="true" outlineLevel="0" collapsed="false">
      <c r="A3830" s="6" t="s">
        <v>6442</v>
      </c>
      <c r="B3830" s="6" t="s">
        <v>923</v>
      </c>
      <c r="C3830" s="6" t="s">
        <v>131</v>
      </c>
      <c r="D3830" s="13" t="n">
        <v>45946</v>
      </c>
      <c r="E3830" s="14" t="n">
        <v>3937.24</v>
      </c>
      <c r="F3830" s="14" t="n">
        <v>7333.6</v>
      </c>
      <c r="G3830" s="6" t="s">
        <v>2613</v>
      </c>
    </row>
    <row r="3831" customFormat="false" ht="15" hidden="false" customHeight="true" outlineLevel="0" collapsed="false">
      <c r="A3831" s="6" t="s">
        <v>6443</v>
      </c>
      <c r="B3831" s="6" t="s">
        <v>923</v>
      </c>
      <c r="C3831" s="6" t="s">
        <v>131</v>
      </c>
      <c r="D3831" s="13" t="n">
        <v>45953</v>
      </c>
      <c r="E3831" s="14" t="n">
        <v>4240.78</v>
      </c>
      <c r="F3831" s="14" t="n">
        <v>11574.38</v>
      </c>
      <c r="G3831" s="6" t="s">
        <v>2623</v>
      </c>
    </row>
    <row r="3832" customFormat="false" ht="15" hidden="false" customHeight="true" outlineLevel="0" collapsed="false">
      <c r="A3832" s="6" t="s">
        <v>6444</v>
      </c>
      <c r="B3832" s="6" t="s">
        <v>923</v>
      </c>
      <c r="C3832" s="6" t="s">
        <v>131</v>
      </c>
      <c r="D3832" s="13" t="n">
        <v>45960</v>
      </c>
      <c r="E3832" s="14" t="n">
        <v>4403.09</v>
      </c>
      <c r="F3832" s="14" t="n">
        <v>15977.47</v>
      </c>
      <c r="G3832" s="6" t="s">
        <v>2613</v>
      </c>
    </row>
    <row r="3833" customFormat="false" ht="15" hidden="false" customHeight="true" outlineLevel="0" collapsed="false">
      <c r="A3833" s="6" t="s">
        <v>6445</v>
      </c>
      <c r="B3833" s="6" t="s">
        <v>923</v>
      </c>
      <c r="C3833" s="6" t="s">
        <v>131</v>
      </c>
      <c r="D3833" s="13" t="n">
        <v>45967</v>
      </c>
      <c r="E3833" s="14" t="n">
        <v>4045.35</v>
      </c>
      <c r="F3833" s="14" t="n">
        <v>20022.82</v>
      </c>
      <c r="G3833" s="6" t="s">
        <v>2613</v>
      </c>
    </row>
    <row r="3834" customFormat="false" ht="15" hidden="false" customHeight="true" outlineLevel="0" collapsed="false">
      <c r="A3834" s="6" t="s">
        <v>6446</v>
      </c>
      <c r="B3834" s="6" t="s">
        <v>923</v>
      </c>
      <c r="C3834" s="6" t="s">
        <v>131</v>
      </c>
      <c r="D3834" s="13" t="n">
        <v>45974</v>
      </c>
      <c r="E3834" s="14" t="n">
        <v>4022.69</v>
      </c>
      <c r="F3834" s="14" t="n">
        <v>24045.51</v>
      </c>
      <c r="G3834" s="6" t="s">
        <v>2613</v>
      </c>
    </row>
    <row r="3835" customFormat="false" ht="15" hidden="false" customHeight="true" outlineLevel="0" collapsed="false">
      <c r="A3835" s="6" t="s">
        <v>6447</v>
      </c>
      <c r="B3835" s="6" t="s">
        <v>923</v>
      </c>
      <c r="C3835" s="6" t="s">
        <v>131</v>
      </c>
      <c r="D3835" s="13" t="n">
        <v>45981</v>
      </c>
      <c r="E3835" s="14" t="n">
        <v>3746.29</v>
      </c>
      <c r="F3835" s="14" t="n">
        <v>27791.8</v>
      </c>
      <c r="G3835" s="6" t="s">
        <v>2613</v>
      </c>
    </row>
    <row r="3836" customFormat="false" ht="15" hidden="false" customHeight="true" outlineLevel="0" collapsed="false">
      <c r="A3836" s="6" t="s">
        <v>6448</v>
      </c>
      <c r="B3836" s="6" t="s">
        <v>923</v>
      </c>
      <c r="C3836" s="6" t="s">
        <v>131</v>
      </c>
      <c r="D3836" s="13" t="n">
        <v>45988</v>
      </c>
      <c r="E3836" s="14" t="n">
        <v>3921</v>
      </c>
      <c r="F3836" s="14" t="n">
        <v>31712.8</v>
      </c>
      <c r="G3836" s="6" t="s">
        <v>2613</v>
      </c>
    </row>
    <row r="3837" customFormat="false" ht="15" hidden="false" customHeight="true" outlineLevel="0" collapsed="false">
      <c r="A3837" s="6" t="s">
        <v>6449</v>
      </c>
      <c r="B3837" s="6" t="s">
        <v>923</v>
      </c>
      <c r="C3837" s="6" t="s">
        <v>131</v>
      </c>
      <c r="D3837" s="13" t="n">
        <v>45995</v>
      </c>
      <c r="E3837" s="14" t="n">
        <v>5053.3</v>
      </c>
      <c r="F3837" s="14" t="n">
        <v>36766.1</v>
      </c>
      <c r="G3837" s="6" t="s">
        <v>2613</v>
      </c>
    </row>
    <row r="3838" customFormat="false" ht="15" hidden="false" customHeight="true" outlineLevel="0" collapsed="false">
      <c r="A3838" s="6" t="s">
        <v>6450</v>
      </c>
      <c r="B3838" s="6" t="s">
        <v>923</v>
      </c>
      <c r="C3838" s="6" t="s">
        <v>131</v>
      </c>
      <c r="D3838" s="13" t="n">
        <v>46002</v>
      </c>
      <c r="E3838" s="14" t="n">
        <v>3322.84</v>
      </c>
      <c r="F3838" s="14" t="n">
        <v>40088.94</v>
      </c>
      <c r="G3838" s="6" t="s">
        <v>2613</v>
      </c>
    </row>
    <row r="3839" customFormat="false" ht="15" hidden="false" customHeight="true" outlineLevel="0" collapsed="false">
      <c r="A3839" s="6" t="s">
        <v>6451</v>
      </c>
      <c r="B3839" s="6" t="s">
        <v>923</v>
      </c>
      <c r="C3839" s="6" t="s">
        <v>131</v>
      </c>
      <c r="D3839" s="13" t="n">
        <v>46009</v>
      </c>
      <c r="E3839" s="14" t="n">
        <v>5887.76</v>
      </c>
      <c r="F3839" s="14" t="n">
        <v>45976.7</v>
      </c>
      <c r="G3839" s="6" t="s">
        <v>2613</v>
      </c>
    </row>
    <row r="3840" customFormat="false" ht="15" hidden="false" customHeight="true" outlineLevel="0" collapsed="false">
      <c r="A3840" s="6" t="s">
        <v>6452</v>
      </c>
      <c r="B3840" s="6" t="s">
        <v>923</v>
      </c>
      <c r="C3840" s="6" t="s">
        <v>131</v>
      </c>
      <c r="D3840" s="13" t="n">
        <v>46016</v>
      </c>
      <c r="E3840" s="14" t="n">
        <v>5439.73</v>
      </c>
      <c r="F3840" s="14" t="n">
        <v>51416.43</v>
      </c>
      <c r="G3840" s="6" t="s">
        <v>2613</v>
      </c>
    </row>
    <row r="3841" customFormat="false" ht="15" hidden="false" customHeight="true" outlineLevel="0" collapsed="false">
      <c r="A3841" s="6" t="s">
        <v>6453</v>
      </c>
      <c r="B3841" s="6" t="s">
        <v>923</v>
      </c>
      <c r="C3841" s="6" t="s">
        <v>131</v>
      </c>
      <c r="D3841" s="13" t="n">
        <v>46023</v>
      </c>
      <c r="E3841" s="14" t="n">
        <v>5586.66</v>
      </c>
      <c r="F3841" s="14" t="n">
        <v>57003.09</v>
      </c>
      <c r="G3841" s="6" t="s">
        <v>2613</v>
      </c>
    </row>
    <row r="3842" customFormat="false" ht="15" hidden="false" customHeight="true" outlineLevel="0" collapsed="false">
      <c r="A3842" s="6" t="s">
        <v>6454</v>
      </c>
      <c r="B3842" s="6" t="s">
        <v>923</v>
      </c>
      <c r="C3842" s="6" t="s">
        <v>131</v>
      </c>
      <c r="D3842" s="13" t="n">
        <v>46030</v>
      </c>
      <c r="E3842" s="14" t="n">
        <v>4560.78</v>
      </c>
      <c r="F3842" s="14" t="n">
        <v>61563.87</v>
      </c>
      <c r="G3842" s="6" t="s">
        <v>2623</v>
      </c>
    </row>
    <row r="3843" customFormat="false" ht="15" hidden="false" customHeight="true" outlineLevel="0" collapsed="false">
      <c r="A3843" s="6" t="s">
        <v>6455</v>
      </c>
      <c r="B3843" s="6" t="s">
        <v>923</v>
      </c>
      <c r="C3843" s="6" t="s">
        <v>131</v>
      </c>
      <c r="D3843" s="13" t="n">
        <v>46037</v>
      </c>
      <c r="E3843" s="14" t="n">
        <v>4020.6</v>
      </c>
      <c r="F3843" s="14" t="n">
        <v>65584.47</v>
      </c>
      <c r="G3843" s="6" t="s">
        <v>2613</v>
      </c>
    </row>
    <row r="3844" customFormat="false" ht="15" hidden="false" customHeight="true" outlineLevel="0" collapsed="false">
      <c r="A3844" s="6" t="s">
        <v>6456</v>
      </c>
      <c r="B3844" s="6" t="s">
        <v>923</v>
      </c>
      <c r="C3844" s="6" t="s">
        <v>131</v>
      </c>
      <c r="D3844" s="13" t="n">
        <v>46044</v>
      </c>
      <c r="E3844" s="14" t="n">
        <v>7397.55</v>
      </c>
      <c r="F3844" s="14" t="n">
        <v>72982.02</v>
      </c>
      <c r="G3844" s="6" t="s">
        <v>2613</v>
      </c>
    </row>
    <row r="3845" customFormat="false" ht="15" hidden="false" customHeight="true" outlineLevel="0" collapsed="false">
      <c r="A3845" s="6" t="s">
        <v>6457</v>
      </c>
      <c r="B3845" s="6" t="s">
        <v>925</v>
      </c>
      <c r="C3845" s="6" t="s">
        <v>116</v>
      </c>
      <c r="D3845" s="13" t="n">
        <v>46017</v>
      </c>
      <c r="E3845" s="14" t="n">
        <v>766.79</v>
      </c>
      <c r="F3845" s="14" t="n">
        <v>766.79</v>
      </c>
      <c r="G3845" s="6" t="s">
        <v>2613</v>
      </c>
    </row>
    <row r="3846" customFormat="false" ht="15" hidden="false" customHeight="true" outlineLevel="0" collapsed="false">
      <c r="A3846" s="6" t="s">
        <v>6458</v>
      </c>
      <c r="B3846" s="6" t="s">
        <v>925</v>
      </c>
      <c r="C3846" s="6" t="s">
        <v>116</v>
      </c>
      <c r="D3846" s="13" t="n">
        <v>46024</v>
      </c>
      <c r="E3846" s="14" t="n">
        <v>586.97</v>
      </c>
      <c r="F3846" s="14" t="n">
        <v>1353.76</v>
      </c>
      <c r="G3846" s="6" t="s">
        <v>2613</v>
      </c>
    </row>
    <row r="3847" customFormat="false" ht="15" hidden="false" customHeight="true" outlineLevel="0" collapsed="false">
      <c r="A3847" s="6" t="s">
        <v>6459</v>
      </c>
      <c r="B3847" s="6" t="s">
        <v>925</v>
      </c>
      <c r="C3847" s="6" t="s">
        <v>116</v>
      </c>
      <c r="D3847" s="13" t="n">
        <v>46031</v>
      </c>
      <c r="E3847" s="14" t="n">
        <v>494.46</v>
      </c>
      <c r="F3847" s="14" t="n">
        <v>1848.22</v>
      </c>
      <c r="G3847" s="6" t="s">
        <v>2613</v>
      </c>
    </row>
    <row r="3848" customFormat="false" ht="15" hidden="false" customHeight="true" outlineLevel="0" collapsed="false">
      <c r="A3848" s="6" t="s">
        <v>6460</v>
      </c>
      <c r="B3848" s="6" t="s">
        <v>925</v>
      </c>
      <c r="C3848" s="6" t="s">
        <v>116</v>
      </c>
      <c r="D3848" s="13" t="n">
        <v>46038</v>
      </c>
      <c r="E3848" s="14" t="n">
        <v>684.65</v>
      </c>
      <c r="F3848" s="14" t="n">
        <v>2532.87</v>
      </c>
      <c r="G3848" s="6" t="s">
        <v>2613</v>
      </c>
    </row>
    <row r="3849" customFormat="false" ht="15" hidden="false" customHeight="true" outlineLevel="0" collapsed="false">
      <c r="A3849" s="6" t="s">
        <v>6461</v>
      </c>
      <c r="B3849" s="6" t="s">
        <v>925</v>
      </c>
      <c r="C3849" s="6" t="s">
        <v>116</v>
      </c>
      <c r="D3849" s="13" t="n">
        <v>46045</v>
      </c>
      <c r="E3849" s="14" t="n">
        <v>898.84</v>
      </c>
      <c r="F3849" s="14" t="n">
        <v>3431.71</v>
      </c>
      <c r="G3849" s="6" t="s">
        <v>2613</v>
      </c>
    </row>
    <row r="3850" customFormat="false" ht="15" hidden="false" customHeight="true" outlineLevel="0" collapsed="false">
      <c r="A3850" s="6" t="s">
        <v>6462</v>
      </c>
      <c r="B3850" s="6" t="s">
        <v>925</v>
      </c>
      <c r="C3850" s="6" t="s">
        <v>116</v>
      </c>
      <c r="D3850" s="13" t="n">
        <v>46052</v>
      </c>
      <c r="E3850" s="14" t="n">
        <v>845.65</v>
      </c>
      <c r="F3850" s="14" t="n">
        <v>4277.36</v>
      </c>
      <c r="G3850" s="6" t="s">
        <v>2613</v>
      </c>
    </row>
    <row r="3851" customFormat="false" ht="15" hidden="false" customHeight="true" outlineLevel="0" collapsed="false">
      <c r="A3851" s="6" t="s">
        <v>6463</v>
      </c>
      <c r="B3851" s="6" t="s">
        <v>925</v>
      </c>
      <c r="C3851" s="6" t="s">
        <v>116</v>
      </c>
      <c r="D3851" s="13" t="n">
        <v>46059</v>
      </c>
      <c r="E3851" s="14" t="n">
        <v>883.45</v>
      </c>
      <c r="F3851" s="14" t="n">
        <v>5160.81</v>
      </c>
      <c r="G3851" s="6" t="s">
        <v>2623</v>
      </c>
    </row>
    <row r="3852" customFormat="false" ht="15" hidden="false" customHeight="true" outlineLevel="0" collapsed="false">
      <c r="A3852" s="6" t="s">
        <v>6464</v>
      </c>
      <c r="B3852" s="6" t="s">
        <v>925</v>
      </c>
      <c r="C3852" s="6" t="s">
        <v>116</v>
      </c>
      <c r="D3852" s="13" t="n">
        <v>46066</v>
      </c>
      <c r="E3852" s="14" t="n">
        <v>544.45</v>
      </c>
      <c r="F3852" s="14" t="n">
        <v>5705.26</v>
      </c>
      <c r="G3852" s="6" t="s">
        <v>2613</v>
      </c>
    </row>
    <row r="3853" customFormat="false" ht="15" hidden="false" customHeight="true" outlineLevel="0" collapsed="false">
      <c r="A3853" s="6" t="s">
        <v>6465</v>
      </c>
      <c r="B3853" s="6" t="s">
        <v>925</v>
      </c>
      <c r="C3853" s="6" t="s">
        <v>116</v>
      </c>
      <c r="D3853" s="13" t="n">
        <v>46073</v>
      </c>
      <c r="E3853" s="14" t="n">
        <v>1074.69</v>
      </c>
      <c r="F3853" s="14" t="n">
        <v>6779.95</v>
      </c>
      <c r="G3853" s="6" t="s">
        <v>2613</v>
      </c>
    </row>
    <row r="3854" customFormat="false" ht="15" hidden="false" customHeight="true" outlineLevel="0" collapsed="false">
      <c r="A3854" s="6" t="s">
        <v>6466</v>
      </c>
      <c r="B3854" s="6" t="s">
        <v>925</v>
      </c>
      <c r="C3854" s="6" t="s">
        <v>116</v>
      </c>
      <c r="D3854" s="13" t="n">
        <v>46080</v>
      </c>
      <c r="E3854" s="14" t="n">
        <v>1034.34</v>
      </c>
      <c r="F3854" s="14" t="n">
        <v>7814.29</v>
      </c>
      <c r="G3854" s="6" t="s">
        <v>2613</v>
      </c>
    </row>
    <row r="3855" customFormat="false" ht="15" hidden="false" customHeight="true" outlineLevel="0" collapsed="false">
      <c r="A3855" s="6" t="s">
        <v>6467</v>
      </c>
      <c r="B3855" s="6" t="s">
        <v>925</v>
      </c>
      <c r="C3855" s="6" t="s">
        <v>116</v>
      </c>
      <c r="D3855" s="13" t="n">
        <v>46087</v>
      </c>
      <c r="E3855" s="14" t="n">
        <v>703.78</v>
      </c>
      <c r="F3855" s="14" t="n">
        <v>8518.07</v>
      </c>
      <c r="G3855" s="6" t="s">
        <v>2613</v>
      </c>
    </row>
    <row r="3856" customFormat="false" ht="15" hidden="false" customHeight="true" outlineLevel="0" collapsed="false">
      <c r="A3856" s="6" t="s">
        <v>6468</v>
      </c>
      <c r="B3856" s="6" t="s">
        <v>925</v>
      </c>
      <c r="C3856" s="6" t="s">
        <v>116</v>
      </c>
      <c r="D3856" s="13" t="n">
        <v>46094</v>
      </c>
      <c r="E3856" s="14" t="n">
        <v>570.06</v>
      </c>
      <c r="F3856" s="14" t="n">
        <v>9088.13</v>
      </c>
      <c r="G3856" s="6" t="s">
        <v>2613</v>
      </c>
    </row>
    <row r="3857" customFormat="false" ht="15" hidden="false" customHeight="true" outlineLevel="0" collapsed="false">
      <c r="A3857" s="6" t="s">
        <v>6469</v>
      </c>
      <c r="B3857" s="6" t="s">
        <v>925</v>
      </c>
      <c r="C3857" s="6" t="s">
        <v>116</v>
      </c>
      <c r="D3857" s="13" t="n">
        <v>46101</v>
      </c>
      <c r="E3857" s="14" t="n">
        <v>1029.7</v>
      </c>
      <c r="F3857" s="14" t="n">
        <v>10117.83</v>
      </c>
      <c r="G3857" s="6" t="s">
        <v>2613</v>
      </c>
    </row>
    <row r="3858" customFormat="false" ht="15" hidden="false" customHeight="true" outlineLevel="0" collapsed="false">
      <c r="A3858" s="6" t="s">
        <v>6470</v>
      </c>
      <c r="B3858" s="6" t="s">
        <v>925</v>
      </c>
      <c r="C3858" s="6" t="s">
        <v>116</v>
      </c>
      <c r="D3858" s="13" t="n">
        <v>46108</v>
      </c>
      <c r="E3858" s="14" t="n">
        <v>1050</v>
      </c>
      <c r="F3858" s="14" t="n">
        <v>11167.83</v>
      </c>
      <c r="G3858" s="6" t="s">
        <v>2613</v>
      </c>
    </row>
    <row r="3859" customFormat="false" ht="15" hidden="false" customHeight="true" outlineLevel="0" collapsed="false">
      <c r="A3859" s="6" t="s">
        <v>6471</v>
      </c>
      <c r="B3859" s="6" t="s">
        <v>925</v>
      </c>
      <c r="C3859" s="6" t="s">
        <v>116</v>
      </c>
      <c r="D3859" s="13" t="n">
        <v>46115</v>
      </c>
      <c r="E3859" s="14" t="n">
        <v>880.19</v>
      </c>
      <c r="F3859" s="14" t="n">
        <v>12048.02</v>
      </c>
      <c r="G3859" s="6" t="s">
        <v>2613</v>
      </c>
    </row>
    <row r="3860" customFormat="false" ht="15" hidden="false" customHeight="true" outlineLevel="0" collapsed="false">
      <c r="A3860" s="6" t="s">
        <v>6472</v>
      </c>
      <c r="B3860" s="6" t="s">
        <v>925</v>
      </c>
      <c r="C3860" s="6" t="s">
        <v>116</v>
      </c>
      <c r="D3860" s="13" t="n">
        <v>46122</v>
      </c>
      <c r="E3860" s="14" t="n">
        <v>863.46</v>
      </c>
      <c r="F3860" s="14" t="n">
        <v>12911.48</v>
      </c>
      <c r="G3860" s="6" t="s">
        <v>2613</v>
      </c>
    </row>
    <row r="3861" customFormat="false" ht="15" hidden="false" customHeight="true" outlineLevel="0" collapsed="false">
      <c r="A3861" s="6" t="s">
        <v>6473</v>
      </c>
      <c r="B3861" s="6" t="s">
        <v>927</v>
      </c>
      <c r="C3861" s="6" t="s">
        <v>116</v>
      </c>
      <c r="D3861" s="13" t="n">
        <v>45031</v>
      </c>
      <c r="E3861" s="14" t="n">
        <v>1067.18</v>
      </c>
      <c r="F3861" s="14" t="n">
        <v>1067.18</v>
      </c>
      <c r="G3861" s="6" t="s">
        <v>2613</v>
      </c>
    </row>
    <row r="3862" customFormat="false" ht="15" hidden="false" customHeight="true" outlineLevel="0" collapsed="false">
      <c r="A3862" s="6" t="s">
        <v>6474</v>
      </c>
      <c r="B3862" s="6" t="s">
        <v>927</v>
      </c>
      <c r="C3862" s="6" t="s">
        <v>116</v>
      </c>
      <c r="D3862" s="13" t="n">
        <v>45038</v>
      </c>
      <c r="E3862" s="14" t="n">
        <v>2043.58</v>
      </c>
      <c r="F3862" s="14" t="n">
        <v>3110.76</v>
      </c>
      <c r="G3862" s="6" t="s">
        <v>2613</v>
      </c>
    </row>
    <row r="3863" customFormat="false" ht="15" hidden="false" customHeight="true" outlineLevel="0" collapsed="false">
      <c r="A3863" s="6" t="s">
        <v>6475</v>
      </c>
      <c r="B3863" s="6" t="s">
        <v>927</v>
      </c>
      <c r="C3863" s="6" t="s">
        <v>116</v>
      </c>
      <c r="D3863" s="13" t="n">
        <v>45045</v>
      </c>
      <c r="E3863" s="14" t="n">
        <v>1469.91</v>
      </c>
      <c r="F3863" s="14" t="n">
        <v>4580.67</v>
      </c>
      <c r="G3863" s="6" t="s">
        <v>2613</v>
      </c>
    </row>
    <row r="3864" customFormat="false" ht="15" hidden="false" customHeight="true" outlineLevel="0" collapsed="false">
      <c r="A3864" s="6" t="s">
        <v>6476</v>
      </c>
      <c r="B3864" s="6" t="s">
        <v>927</v>
      </c>
      <c r="C3864" s="6" t="s">
        <v>116</v>
      </c>
      <c r="D3864" s="13" t="n">
        <v>45052</v>
      </c>
      <c r="E3864" s="14" t="n">
        <v>1556.98</v>
      </c>
      <c r="F3864" s="14" t="n">
        <v>6137.65</v>
      </c>
      <c r="G3864" s="6" t="s">
        <v>2613</v>
      </c>
    </row>
    <row r="3865" customFormat="false" ht="15" hidden="false" customHeight="true" outlineLevel="0" collapsed="false">
      <c r="A3865" s="6" t="s">
        <v>6477</v>
      </c>
      <c r="B3865" s="6" t="s">
        <v>927</v>
      </c>
      <c r="C3865" s="6" t="s">
        <v>116</v>
      </c>
      <c r="D3865" s="13" t="n">
        <v>45059</v>
      </c>
      <c r="E3865" s="14" t="n">
        <v>1123.03</v>
      </c>
      <c r="F3865" s="14" t="n">
        <v>7260.68</v>
      </c>
      <c r="G3865" s="6" t="s">
        <v>2613</v>
      </c>
    </row>
    <row r="3866" customFormat="false" ht="15" hidden="false" customHeight="true" outlineLevel="0" collapsed="false">
      <c r="A3866" s="6" t="s">
        <v>6478</v>
      </c>
      <c r="B3866" s="6" t="s">
        <v>927</v>
      </c>
      <c r="C3866" s="6" t="s">
        <v>116</v>
      </c>
      <c r="D3866" s="13" t="n">
        <v>45066</v>
      </c>
      <c r="E3866" s="14" t="n">
        <v>1511.98</v>
      </c>
      <c r="F3866" s="14" t="n">
        <v>8772.66</v>
      </c>
      <c r="G3866" s="6" t="s">
        <v>2613</v>
      </c>
    </row>
    <row r="3867" customFormat="false" ht="15" hidden="false" customHeight="true" outlineLevel="0" collapsed="false">
      <c r="A3867" s="6" t="s">
        <v>6479</v>
      </c>
      <c r="B3867" s="6" t="s">
        <v>927</v>
      </c>
      <c r="C3867" s="6" t="s">
        <v>116</v>
      </c>
      <c r="D3867" s="13" t="n">
        <v>45073</v>
      </c>
      <c r="E3867" s="14" t="n">
        <v>1579.78</v>
      </c>
      <c r="F3867" s="14" t="n">
        <v>10352.44</v>
      </c>
      <c r="G3867" s="6" t="s">
        <v>2613</v>
      </c>
    </row>
    <row r="3868" customFormat="false" ht="15" hidden="false" customHeight="true" outlineLevel="0" collapsed="false">
      <c r="A3868" s="6" t="s">
        <v>6480</v>
      </c>
      <c r="B3868" s="6" t="s">
        <v>927</v>
      </c>
      <c r="C3868" s="6" t="s">
        <v>116</v>
      </c>
      <c r="D3868" s="13" t="n">
        <v>45080</v>
      </c>
      <c r="E3868" s="14" t="n">
        <v>1355.29</v>
      </c>
      <c r="F3868" s="14" t="n">
        <v>11707.73</v>
      </c>
      <c r="G3868" s="6" t="s">
        <v>2613</v>
      </c>
    </row>
    <row r="3869" customFormat="false" ht="15" hidden="false" customHeight="true" outlineLevel="0" collapsed="false">
      <c r="A3869" s="6" t="s">
        <v>6481</v>
      </c>
      <c r="B3869" s="6" t="s">
        <v>927</v>
      </c>
      <c r="C3869" s="6" t="s">
        <v>116</v>
      </c>
      <c r="D3869" s="13" t="n">
        <v>45087</v>
      </c>
      <c r="E3869" s="14" t="n">
        <v>1843.59</v>
      </c>
      <c r="F3869" s="14" t="n">
        <v>13551.32</v>
      </c>
      <c r="G3869" s="6" t="s">
        <v>2613</v>
      </c>
    </row>
    <row r="3870" customFormat="false" ht="15" hidden="false" customHeight="true" outlineLevel="0" collapsed="false">
      <c r="A3870" s="6" t="s">
        <v>6482</v>
      </c>
      <c r="B3870" s="6" t="s">
        <v>927</v>
      </c>
      <c r="C3870" s="6" t="s">
        <v>116</v>
      </c>
      <c r="D3870" s="13" t="n">
        <v>45094</v>
      </c>
      <c r="E3870" s="14" t="n">
        <v>1849.47</v>
      </c>
      <c r="F3870" s="14" t="n">
        <v>15400.79</v>
      </c>
      <c r="G3870" s="6" t="s">
        <v>2613</v>
      </c>
    </row>
    <row r="3871" customFormat="false" ht="15" hidden="false" customHeight="true" outlineLevel="0" collapsed="false">
      <c r="A3871" s="6" t="s">
        <v>6483</v>
      </c>
      <c r="B3871" s="6" t="s">
        <v>927</v>
      </c>
      <c r="C3871" s="6" t="s">
        <v>116</v>
      </c>
      <c r="D3871" s="13" t="n">
        <v>45101</v>
      </c>
      <c r="E3871" s="14" t="n">
        <v>1328.37</v>
      </c>
      <c r="F3871" s="14" t="n">
        <v>16729.16</v>
      </c>
      <c r="G3871" s="6" t="s">
        <v>2613</v>
      </c>
    </row>
    <row r="3872" customFormat="false" ht="15" hidden="false" customHeight="true" outlineLevel="0" collapsed="false">
      <c r="A3872" s="6" t="s">
        <v>6484</v>
      </c>
      <c r="B3872" s="6" t="s">
        <v>927</v>
      </c>
      <c r="C3872" s="6" t="s">
        <v>116</v>
      </c>
      <c r="D3872" s="13" t="n">
        <v>45108</v>
      </c>
      <c r="E3872" s="14" t="n">
        <v>1173.65</v>
      </c>
      <c r="F3872" s="14" t="n">
        <v>17902.81</v>
      </c>
      <c r="G3872" s="6" t="s">
        <v>2613</v>
      </c>
    </row>
    <row r="3873" customFormat="false" ht="15" hidden="false" customHeight="true" outlineLevel="0" collapsed="false">
      <c r="A3873" s="6" t="s">
        <v>6485</v>
      </c>
      <c r="B3873" s="6" t="s">
        <v>927</v>
      </c>
      <c r="C3873" s="6" t="s">
        <v>116</v>
      </c>
      <c r="D3873" s="13" t="n">
        <v>45115</v>
      </c>
      <c r="E3873" s="14" t="n">
        <v>985.73</v>
      </c>
      <c r="F3873" s="14" t="n">
        <v>18888.54</v>
      </c>
      <c r="G3873" s="6" t="s">
        <v>2613</v>
      </c>
    </row>
    <row r="3874" customFormat="false" ht="15" hidden="false" customHeight="true" outlineLevel="0" collapsed="false">
      <c r="A3874" s="6" t="s">
        <v>6486</v>
      </c>
      <c r="B3874" s="6" t="s">
        <v>927</v>
      </c>
      <c r="C3874" s="6" t="s">
        <v>116</v>
      </c>
      <c r="D3874" s="13" t="n">
        <v>45122</v>
      </c>
      <c r="E3874" s="14" t="n">
        <v>1277.29</v>
      </c>
      <c r="F3874" s="14" t="n">
        <v>20165.83</v>
      </c>
      <c r="G3874" s="6" t="s">
        <v>2613</v>
      </c>
    </row>
    <row r="3875" customFormat="false" ht="15" hidden="false" customHeight="true" outlineLevel="0" collapsed="false">
      <c r="A3875" s="6" t="s">
        <v>6487</v>
      </c>
      <c r="B3875" s="6" t="s">
        <v>927</v>
      </c>
      <c r="C3875" s="6" t="s">
        <v>116</v>
      </c>
      <c r="D3875" s="13" t="n">
        <v>45129</v>
      </c>
      <c r="E3875" s="14" t="n">
        <v>1731.13</v>
      </c>
      <c r="F3875" s="14" t="n">
        <v>21896.96</v>
      </c>
      <c r="G3875" s="6" t="s">
        <v>2613</v>
      </c>
    </row>
    <row r="3876" customFormat="false" ht="15" hidden="false" customHeight="true" outlineLevel="0" collapsed="false">
      <c r="A3876" s="6" t="s">
        <v>6488</v>
      </c>
      <c r="B3876" s="6" t="s">
        <v>927</v>
      </c>
      <c r="C3876" s="6" t="s">
        <v>116</v>
      </c>
      <c r="D3876" s="13" t="n">
        <v>45136</v>
      </c>
      <c r="E3876" s="14" t="n">
        <v>1583.96</v>
      </c>
      <c r="F3876" s="14" t="n">
        <v>23480.92</v>
      </c>
      <c r="G3876" s="6" t="s">
        <v>2623</v>
      </c>
    </row>
    <row r="3877" customFormat="false" ht="15" hidden="false" customHeight="true" outlineLevel="0" collapsed="false">
      <c r="A3877" s="6" t="s">
        <v>6489</v>
      </c>
      <c r="B3877" s="6" t="s">
        <v>927</v>
      </c>
      <c r="C3877" s="6" t="s">
        <v>116</v>
      </c>
      <c r="D3877" s="13" t="n">
        <v>45143</v>
      </c>
      <c r="E3877" s="14" t="n">
        <v>1987.43</v>
      </c>
      <c r="F3877" s="14" t="n">
        <v>25468.35</v>
      </c>
      <c r="G3877" s="6" t="s">
        <v>2613</v>
      </c>
    </row>
    <row r="3878" customFormat="false" ht="15" hidden="false" customHeight="true" outlineLevel="0" collapsed="false">
      <c r="A3878" s="6" t="s">
        <v>6490</v>
      </c>
      <c r="B3878" s="6" t="s">
        <v>927</v>
      </c>
      <c r="C3878" s="6" t="s">
        <v>116</v>
      </c>
      <c r="D3878" s="13" t="n">
        <v>45150</v>
      </c>
      <c r="E3878" s="14" t="n">
        <v>1348.91</v>
      </c>
      <c r="F3878" s="14" t="n">
        <v>26817.26</v>
      </c>
      <c r="G3878" s="6" t="s">
        <v>2613</v>
      </c>
    </row>
    <row r="3879" customFormat="false" ht="15" hidden="false" customHeight="true" outlineLevel="0" collapsed="false">
      <c r="A3879" s="6" t="s">
        <v>6491</v>
      </c>
      <c r="B3879" s="6" t="s">
        <v>929</v>
      </c>
      <c r="C3879" s="6" t="s">
        <v>128</v>
      </c>
      <c r="D3879" s="13" t="n">
        <v>45587</v>
      </c>
      <c r="E3879" s="14" t="n">
        <v>15359.01</v>
      </c>
      <c r="F3879" s="14" t="n">
        <v>15359.01</v>
      </c>
      <c r="G3879" s="6" t="s">
        <v>2623</v>
      </c>
    </row>
    <row r="3880" customFormat="false" ht="15" hidden="false" customHeight="true" outlineLevel="0" collapsed="false">
      <c r="A3880" s="6" t="s">
        <v>6492</v>
      </c>
      <c r="B3880" s="6" t="s">
        <v>929</v>
      </c>
      <c r="C3880" s="6" t="s">
        <v>128</v>
      </c>
      <c r="D3880" s="13" t="n">
        <v>45594</v>
      </c>
      <c r="E3880" s="14" t="n">
        <v>10543.82</v>
      </c>
      <c r="F3880" s="14" t="n">
        <v>25902.83</v>
      </c>
      <c r="G3880" s="6" t="s">
        <v>2613</v>
      </c>
    </row>
    <row r="3881" customFormat="false" ht="15" hidden="false" customHeight="true" outlineLevel="0" collapsed="false">
      <c r="A3881" s="6" t="s">
        <v>6493</v>
      </c>
      <c r="B3881" s="6" t="s">
        <v>929</v>
      </c>
      <c r="C3881" s="6" t="s">
        <v>128</v>
      </c>
      <c r="D3881" s="13" t="n">
        <v>45601</v>
      </c>
      <c r="E3881" s="14" t="n">
        <v>14479.7</v>
      </c>
      <c r="F3881" s="14" t="n">
        <v>40382.53</v>
      </c>
      <c r="G3881" s="6" t="s">
        <v>2613</v>
      </c>
    </row>
    <row r="3882" customFormat="false" ht="15" hidden="false" customHeight="true" outlineLevel="0" collapsed="false">
      <c r="A3882" s="6" t="s">
        <v>6494</v>
      </c>
      <c r="B3882" s="6" t="s">
        <v>929</v>
      </c>
      <c r="C3882" s="6" t="s">
        <v>128</v>
      </c>
      <c r="D3882" s="13" t="n">
        <v>45608</v>
      </c>
      <c r="E3882" s="14" t="n">
        <v>12812.24</v>
      </c>
      <c r="F3882" s="14" t="n">
        <v>53194.77</v>
      </c>
      <c r="G3882" s="6" t="s">
        <v>2623</v>
      </c>
    </row>
    <row r="3883" customFormat="false" ht="15" hidden="false" customHeight="true" outlineLevel="0" collapsed="false">
      <c r="A3883" s="6" t="s">
        <v>6495</v>
      </c>
      <c r="B3883" s="6" t="s">
        <v>929</v>
      </c>
      <c r="C3883" s="6" t="s">
        <v>128</v>
      </c>
      <c r="D3883" s="13" t="n">
        <v>45615</v>
      </c>
      <c r="E3883" s="14" t="n">
        <v>1791.16</v>
      </c>
      <c r="F3883" s="14" t="n">
        <v>54985.93</v>
      </c>
      <c r="G3883" s="6" t="s">
        <v>2613</v>
      </c>
    </row>
    <row r="3884" customFormat="false" ht="15" hidden="false" customHeight="true" outlineLevel="0" collapsed="false">
      <c r="A3884" s="6" t="s">
        <v>6496</v>
      </c>
      <c r="B3884" s="6" t="s">
        <v>931</v>
      </c>
      <c r="C3884" s="6" t="s">
        <v>131</v>
      </c>
      <c r="D3884" s="13" t="n">
        <v>45924</v>
      </c>
      <c r="E3884" s="14" t="n">
        <v>2555.44</v>
      </c>
      <c r="F3884" s="14" t="n">
        <v>2555.44</v>
      </c>
      <c r="G3884" s="6" t="s">
        <v>2613</v>
      </c>
    </row>
    <row r="3885" customFormat="false" ht="15" hidden="false" customHeight="true" outlineLevel="0" collapsed="false">
      <c r="A3885" s="6" t="s">
        <v>6497</v>
      </c>
      <c r="B3885" s="6" t="s">
        <v>931</v>
      </c>
      <c r="C3885" s="6" t="s">
        <v>131</v>
      </c>
      <c r="D3885" s="13" t="n">
        <v>45931</v>
      </c>
      <c r="E3885" s="14" t="n">
        <v>2367.44</v>
      </c>
      <c r="F3885" s="14" t="n">
        <v>4922.88</v>
      </c>
      <c r="G3885" s="6" t="s">
        <v>2613</v>
      </c>
    </row>
    <row r="3886" customFormat="false" ht="15" hidden="false" customHeight="true" outlineLevel="0" collapsed="false">
      <c r="A3886" s="6" t="s">
        <v>6498</v>
      </c>
      <c r="B3886" s="6" t="s">
        <v>931</v>
      </c>
      <c r="C3886" s="6" t="s">
        <v>131</v>
      </c>
      <c r="D3886" s="13" t="n">
        <v>45938</v>
      </c>
      <c r="E3886" s="14" t="n">
        <v>3042.61</v>
      </c>
      <c r="F3886" s="14" t="n">
        <v>7965.49</v>
      </c>
      <c r="G3886" s="6" t="s">
        <v>2613</v>
      </c>
    </row>
    <row r="3887" customFormat="false" ht="15" hidden="false" customHeight="true" outlineLevel="0" collapsed="false">
      <c r="A3887" s="6" t="s">
        <v>6499</v>
      </c>
      <c r="B3887" s="6" t="s">
        <v>931</v>
      </c>
      <c r="C3887" s="6" t="s">
        <v>131</v>
      </c>
      <c r="D3887" s="13" t="n">
        <v>45945</v>
      </c>
      <c r="E3887" s="14" t="n">
        <v>2313.19</v>
      </c>
      <c r="F3887" s="14" t="n">
        <v>10278.68</v>
      </c>
      <c r="G3887" s="6" t="s">
        <v>2613</v>
      </c>
    </row>
    <row r="3888" customFormat="false" ht="15" hidden="false" customHeight="true" outlineLevel="0" collapsed="false">
      <c r="A3888" s="6" t="s">
        <v>6500</v>
      </c>
      <c r="B3888" s="6" t="s">
        <v>931</v>
      </c>
      <c r="C3888" s="6" t="s">
        <v>131</v>
      </c>
      <c r="D3888" s="13" t="n">
        <v>45952</v>
      </c>
      <c r="E3888" s="14" t="n">
        <v>1909.33</v>
      </c>
      <c r="F3888" s="14" t="n">
        <v>12188.01</v>
      </c>
      <c r="G3888" s="6" t="s">
        <v>2623</v>
      </c>
    </row>
    <row r="3889" customFormat="false" ht="15" hidden="false" customHeight="true" outlineLevel="0" collapsed="false">
      <c r="A3889" s="6" t="s">
        <v>6501</v>
      </c>
      <c r="B3889" s="6" t="s">
        <v>931</v>
      </c>
      <c r="C3889" s="6" t="s">
        <v>131</v>
      </c>
      <c r="D3889" s="13" t="n">
        <v>45959</v>
      </c>
      <c r="E3889" s="14" t="n">
        <v>2438.71</v>
      </c>
      <c r="F3889" s="14" t="n">
        <v>14626.72</v>
      </c>
      <c r="G3889" s="6" t="s">
        <v>2613</v>
      </c>
    </row>
    <row r="3890" customFormat="false" ht="15" hidden="false" customHeight="true" outlineLevel="0" collapsed="false">
      <c r="A3890" s="6" t="s">
        <v>6502</v>
      </c>
      <c r="B3890" s="6" t="s">
        <v>931</v>
      </c>
      <c r="C3890" s="6" t="s">
        <v>131</v>
      </c>
      <c r="D3890" s="13" t="n">
        <v>45966</v>
      </c>
      <c r="E3890" s="14" t="n">
        <v>1988.05</v>
      </c>
      <c r="F3890" s="14" t="n">
        <v>16614.77</v>
      </c>
      <c r="G3890" s="6" t="s">
        <v>2613</v>
      </c>
    </row>
    <row r="3891" customFormat="false" ht="15" hidden="false" customHeight="true" outlineLevel="0" collapsed="false">
      <c r="A3891" s="6" t="s">
        <v>6503</v>
      </c>
      <c r="B3891" s="6" t="s">
        <v>931</v>
      </c>
      <c r="C3891" s="6" t="s">
        <v>131</v>
      </c>
      <c r="D3891" s="13" t="n">
        <v>45973</v>
      </c>
      <c r="E3891" s="14" t="n">
        <v>3098.37</v>
      </c>
      <c r="F3891" s="14" t="n">
        <v>19713.14</v>
      </c>
      <c r="G3891" s="6" t="s">
        <v>2613</v>
      </c>
    </row>
    <row r="3892" customFormat="false" ht="15" hidden="false" customHeight="true" outlineLevel="0" collapsed="false">
      <c r="A3892" s="6" t="s">
        <v>6504</v>
      </c>
      <c r="B3892" s="6" t="s">
        <v>931</v>
      </c>
      <c r="C3892" s="6" t="s">
        <v>131</v>
      </c>
      <c r="D3892" s="13" t="n">
        <v>45980</v>
      </c>
      <c r="E3892" s="14" t="n">
        <v>466.06</v>
      </c>
      <c r="F3892" s="14" t="n">
        <v>20179.2</v>
      </c>
      <c r="G3892" s="6" t="s">
        <v>2613</v>
      </c>
    </row>
    <row r="3893" customFormat="false" ht="15" hidden="false" customHeight="true" outlineLevel="0" collapsed="false">
      <c r="A3893" s="6" t="s">
        <v>6505</v>
      </c>
      <c r="B3893" s="6" t="s">
        <v>933</v>
      </c>
      <c r="C3893" s="6" t="s">
        <v>131</v>
      </c>
      <c r="D3893" s="13" t="n">
        <v>45248</v>
      </c>
      <c r="E3893" s="14" t="n">
        <v>2626.41</v>
      </c>
      <c r="F3893" s="14" t="n">
        <v>2626.41</v>
      </c>
      <c r="G3893" s="6" t="s">
        <v>2613</v>
      </c>
    </row>
    <row r="3894" customFormat="false" ht="15" hidden="false" customHeight="true" outlineLevel="0" collapsed="false">
      <c r="A3894" s="6" t="s">
        <v>6506</v>
      </c>
      <c r="B3894" s="6" t="s">
        <v>933</v>
      </c>
      <c r="C3894" s="6" t="s">
        <v>131</v>
      </c>
      <c r="D3894" s="13" t="n">
        <v>45255</v>
      </c>
      <c r="E3894" s="14" t="n">
        <v>2256.35</v>
      </c>
      <c r="F3894" s="14" t="n">
        <v>4882.76</v>
      </c>
      <c r="G3894" s="6" t="s">
        <v>2613</v>
      </c>
    </row>
    <row r="3895" customFormat="false" ht="15" hidden="false" customHeight="true" outlineLevel="0" collapsed="false">
      <c r="A3895" s="6" t="s">
        <v>6507</v>
      </c>
      <c r="B3895" s="6" t="s">
        <v>933</v>
      </c>
      <c r="C3895" s="6" t="s">
        <v>131</v>
      </c>
      <c r="D3895" s="13" t="n">
        <v>45262</v>
      </c>
      <c r="E3895" s="14" t="n">
        <v>2869.24</v>
      </c>
      <c r="F3895" s="14" t="n">
        <v>7752</v>
      </c>
      <c r="G3895" s="6" t="s">
        <v>2613</v>
      </c>
    </row>
    <row r="3896" customFormat="false" ht="15" hidden="false" customHeight="true" outlineLevel="0" collapsed="false">
      <c r="A3896" s="6" t="s">
        <v>6508</v>
      </c>
      <c r="B3896" s="6" t="s">
        <v>933</v>
      </c>
      <c r="C3896" s="6" t="s">
        <v>131</v>
      </c>
      <c r="D3896" s="13" t="n">
        <v>45269</v>
      </c>
      <c r="E3896" s="14" t="n">
        <v>2168.76</v>
      </c>
      <c r="F3896" s="14" t="n">
        <v>9920.76</v>
      </c>
      <c r="G3896" s="6" t="s">
        <v>2623</v>
      </c>
    </row>
    <row r="3897" customFormat="false" ht="15" hidden="false" customHeight="true" outlineLevel="0" collapsed="false">
      <c r="A3897" s="6" t="s">
        <v>6509</v>
      </c>
      <c r="B3897" s="6" t="s">
        <v>933</v>
      </c>
      <c r="C3897" s="6" t="s">
        <v>131</v>
      </c>
      <c r="D3897" s="13" t="n">
        <v>45276</v>
      </c>
      <c r="E3897" s="14" t="n">
        <v>2192.29</v>
      </c>
      <c r="F3897" s="14" t="n">
        <v>12113.05</v>
      </c>
      <c r="G3897" s="6" t="s">
        <v>2613</v>
      </c>
    </row>
    <row r="3898" customFormat="false" ht="15" hidden="false" customHeight="true" outlineLevel="0" collapsed="false">
      <c r="A3898" s="6" t="s">
        <v>6510</v>
      </c>
      <c r="B3898" s="6" t="s">
        <v>933</v>
      </c>
      <c r="C3898" s="6" t="s">
        <v>131</v>
      </c>
      <c r="D3898" s="13" t="n">
        <v>45283</v>
      </c>
      <c r="E3898" s="14" t="n">
        <v>3231.56</v>
      </c>
      <c r="F3898" s="14" t="n">
        <v>15344.61</v>
      </c>
      <c r="G3898" s="6" t="s">
        <v>2613</v>
      </c>
    </row>
    <row r="3899" customFormat="false" ht="15" hidden="false" customHeight="true" outlineLevel="0" collapsed="false">
      <c r="A3899" s="6" t="s">
        <v>6511</v>
      </c>
      <c r="B3899" s="6" t="s">
        <v>933</v>
      </c>
      <c r="C3899" s="6" t="s">
        <v>131</v>
      </c>
      <c r="D3899" s="13" t="n">
        <v>45290</v>
      </c>
      <c r="E3899" s="14" t="n">
        <v>1853.89</v>
      </c>
      <c r="F3899" s="14" t="n">
        <v>17198.5</v>
      </c>
      <c r="G3899" s="6" t="s">
        <v>2613</v>
      </c>
    </row>
    <row r="3900" customFormat="false" ht="15" hidden="false" customHeight="true" outlineLevel="0" collapsed="false">
      <c r="A3900" s="6" t="s">
        <v>6512</v>
      </c>
      <c r="B3900" s="6" t="s">
        <v>933</v>
      </c>
      <c r="C3900" s="6" t="s">
        <v>131</v>
      </c>
      <c r="D3900" s="13" t="n">
        <v>45297</v>
      </c>
      <c r="E3900" s="14" t="n">
        <v>1937.35</v>
      </c>
      <c r="F3900" s="14" t="n">
        <v>19135.85</v>
      </c>
      <c r="G3900" s="6" t="s">
        <v>2613</v>
      </c>
    </row>
    <row r="3901" customFormat="false" ht="15" hidden="false" customHeight="true" outlineLevel="0" collapsed="false">
      <c r="A3901" s="6" t="s">
        <v>6513</v>
      </c>
      <c r="B3901" s="6" t="s">
        <v>933</v>
      </c>
      <c r="C3901" s="6" t="s">
        <v>131</v>
      </c>
      <c r="D3901" s="13" t="n">
        <v>45304</v>
      </c>
      <c r="E3901" s="14" t="n">
        <v>3180.66</v>
      </c>
      <c r="F3901" s="14" t="n">
        <v>22316.51</v>
      </c>
      <c r="G3901" s="6" t="s">
        <v>2613</v>
      </c>
    </row>
    <row r="3902" customFormat="false" ht="15" hidden="false" customHeight="true" outlineLevel="0" collapsed="false">
      <c r="A3902" s="6" t="s">
        <v>6514</v>
      </c>
      <c r="B3902" s="6" t="s">
        <v>935</v>
      </c>
      <c r="C3902" s="6" t="s">
        <v>120</v>
      </c>
      <c r="D3902" s="13" t="n">
        <v>44594</v>
      </c>
      <c r="E3902" s="14" t="n">
        <v>2165.7</v>
      </c>
      <c r="F3902" s="14" t="n">
        <v>2165.7</v>
      </c>
      <c r="G3902" s="6" t="s">
        <v>2613</v>
      </c>
    </row>
    <row r="3903" customFormat="false" ht="15" hidden="false" customHeight="true" outlineLevel="0" collapsed="false">
      <c r="A3903" s="6" t="s">
        <v>6515</v>
      </c>
      <c r="B3903" s="6" t="s">
        <v>935</v>
      </c>
      <c r="C3903" s="6" t="s">
        <v>120</v>
      </c>
      <c r="D3903" s="13" t="n">
        <v>44601</v>
      </c>
      <c r="E3903" s="14" t="n">
        <v>3657.61</v>
      </c>
      <c r="F3903" s="14" t="n">
        <v>5823.31</v>
      </c>
      <c r="G3903" s="6" t="s">
        <v>2613</v>
      </c>
    </row>
    <row r="3904" customFormat="false" ht="15" hidden="false" customHeight="true" outlineLevel="0" collapsed="false">
      <c r="A3904" s="6" t="s">
        <v>6516</v>
      </c>
      <c r="B3904" s="6" t="s">
        <v>935</v>
      </c>
      <c r="C3904" s="6" t="s">
        <v>120</v>
      </c>
      <c r="D3904" s="13" t="n">
        <v>44608</v>
      </c>
      <c r="E3904" s="14" t="n">
        <v>4750.27</v>
      </c>
      <c r="F3904" s="14" t="n">
        <v>10573.58</v>
      </c>
      <c r="G3904" s="6" t="s">
        <v>2613</v>
      </c>
    </row>
    <row r="3905" customFormat="false" ht="15" hidden="false" customHeight="true" outlineLevel="0" collapsed="false">
      <c r="A3905" s="6" t="s">
        <v>6517</v>
      </c>
      <c r="B3905" s="6" t="s">
        <v>935</v>
      </c>
      <c r="C3905" s="6" t="s">
        <v>120</v>
      </c>
      <c r="D3905" s="13" t="n">
        <v>44615</v>
      </c>
      <c r="E3905" s="14" t="n">
        <v>3817.77</v>
      </c>
      <c r="F3905" s="14" t="n">
        <v>14391.35</v>
      </c>
      <c r="G3905" s="6" t="s">
        <v>2613</v>
      </c>
    </row>
    <row r="3906" customFormat="false" ht="15" hidden="false" customHeight="true" outlineLevel="0" collapsed="false">
      <c r="A3906" s="6" t="s">
        <v>6518</v>
      </c>
      <c r="B3906" s="6" t="s">
        <v>935</v>
      </c>
      <c r="C3906" s="6" t="s">
        <v>120</v>
      </c>
      <c r="D3906" s="13" t="n">
        <v>44622</v>
      </c>
      <c r="E3906" s="14" t="n">
        <v>2696.84</v>
      </c>
      <c r="F3906" s="14" t="n">
        <v>17088.19</v>
      </c>
      <c r="G3906" s="6" t="s">
        <v>2613</v>
      </c>
    </row>
    <row r="3907" customFormat="false" ht="15" hidden="false" customHeight="true" outlineLevel="0" collapsed="false">
      <c r="A3907" s="6" t="s">
        <v>6519</v>
      </c>
      <c r="B3907" s="6" t="s">
        <v>935</v>
      </c>
      <c r="C3907" s="6" t="s">
        <v>120</v>
      </c>
      <c r="D3907" s="13" t="n">
        <v>44629</v>
      </c>
      <c r="E3907" s="14" t="n">
        <v>4517.41</v>
      </c>
      <c r="F3907" s="14" t="n">
        <v>21605.6</v>
      </c>
      <c r="G3907" s="6" t="s">
        <v>2613</v>
      </c>
    </row>
    <row r="3908" customFormat="false" ht="15" hidden="false" customHeight="true" outlineLevel="0" collapsed="false">
      <c r="A3908" s="6" t="s">
        <v>6520</v>
      </c>
      <c r="B3908" s="6" t="s">
        <v>935</v>
      </c>
      <c r="C3908" s="6" t="s">
        <v>120</v>
      </c>
      <c r="D3908" s="13" t="n">
        <v>44636</v>
      </c>
      <c r="E3908" s="14" t="n">
        <v>3758.85</v>
      </c>
      <c r="F3908" s="14" t="n">
        <v>25364.45</v>
      </c>
      <c r="G3908" s="6" t="s">
        <v>2613</v>
      </c>
    </row>
    <row r="3909" customFormat="false" ht="15" hidden="false" customHeight="true" outlineLevel="0" collapsed="false">
      <c r="A3909" s="6" t="s">
        <v>6521</v>
      </c>
      <c r="B3909" s="6" t="s">
        <v>935</v>
      </c>
      <c r="C3909" s="6" t="s">
        <v>120</v>
      </c>
      <c r="D3909" s="13" t="n">
        <v>44643</v>
      </c>
      <c r="E3909" s="14" t="n">
        <v>2484.72</v>
      </c>
      <c r="F3909" s="14" t="n">
        <v>27849.17</v>
      </c>
      <c r="G3909" s="6" t="s">
        <v>2613</v>
      </c>
    </row>
    <row r="3910" customFormat="false" ht="15" hidden="false" customHeight="true" outlineLevel="0" collapsed="false">
      <c r="A3910" s="6" t="s">
        <v>6522</v>
      </c>
      <c r="B3910" s="6" t="s">
        <v>937</v>
      </c>
      <c r="C3910" s="6" t="s">
        <v>131</v>
      </c>
      <c r="D3910" s="13" t="n">
        <v>45207</v>
      </c>
      <c r="E3910" s="14" t="n">
        <v>584.25</v>
      </c>
      <c r="F3910" s="14" t="n">
        <v>584.25</v>
      </c>
      <c r="G3910" s="6" t="s">
        <v>2613</v>
      </c>
    </row>
    <row r="3911" customFormat="false" ht="15" hidden="false" customHeight="true" outlineLevel="0" collapsed="false">
      <c r="A3911" s="6" t="s">
        <v>6523</v>
      </c>
      <c r="B3911" s="6" t="s">
        <v>937</v>
      </c>
      <c r="C3911" s="6" t="s">
        <v>131</v>
      </c>
      <c r="D3911" s="13" t="n">
        <v>45214</v>
      </c>
      <c r="E3911" s="14" t="n">
        <v>374.02</v>
      </c>
      <c r="F3911" s="14" t="n">
        <v>958.27</v>
      </c>
      <c r="G3911" s="6" t="s">
        <v>2623</v>
      </c>
    </row>
    <row r="3912" customFormat="false" ht="15" hidden="false" customHeight="true" outlineLevel="0" collapsed="false">
      <c r="A3912" s="6" t="s">
        <v>6524</v>
      </c>
      <c r="B3912" s="6" t="s">
        <v>937</v>
      </c>
      <c r="C3912" s="6" t="s">
        <v>131</v>
      </c>
      <c r="D3912" s="13" t="n">
        <v>45221</v>
      </c>
      <c r="E3912" s="14" t="n">
        <v>384.52</v>
      </c>
      <c r="F3912" s="14" t="n">
        <v>1342.79</v>
      </c>
      <c r="G3912" s="6" t="s">
        <v>2613</v>
      </c>
    </row>
    <row r="3913" customFormat="false" ht="15" hidden="false" customHeight="true" outlineLevel="0" collapsed="false">
      <c r="A3913" s="6" t="s">
        <v>6525</v>
      </c>
      <c r="B3913" s="6" t="s">
        <v>937</v>
      </c>
      <c r="C3913" s="6" t="s">
        <v>131</v>
      </c>
      <c r="D3913" s="13" t="n">
        <v>45228</v>
      </c>
      <c r="E3913" s="14" t="n">
        <v>555.77</v>
      </c>
      <c r="F3913" s="14" t="n">
        <v>1898.56</v>
      </c>
      <c r="G3913" s="6" t="s">
        <v>2613</v>
      </c>
    </row>
    <row r="3914" customFormat="false" ht="15" hidden="false" customHeight="true" outlineLevel="0" collapsed="false">
      <c r="A3914" s="6" t="s">
        <v>6526</v>
      </c>
      <c r="B3914" s="6" t="s">
        <v>937</v>
      </c>
      <c r="C3914" s="6" t="s">
        <v>131</v>
      </c>
      <c r="D3914" s="13" t="n">
        <v>45235</v>
      </c>
      <c r="E3914" s="14" t="n">
        <v>491.14</v>
      </c>
      <c r="F3914" s="14" t="n">
        <v>2389.7</v>
      </c>
      <c r="G3914" s="6" t="s">
        <v>2613</v>
      </c>
    </row>
    <row r="3915" customFormat="false" ht="15" hidden="false" customHeight="true" outlineLevel="0" collapsed="false">
      <c r="A3915" s="6" t="s">
        <v>6527</v>
      </c>
      <c r="B3915" s="6" t="s">
        <v>937</v>
      </c>
      <c r="C3915" s="6" t="s">
        <v>131</v>
      </c>
      <c r="D3915" s="13" t="n">
        <v>45242</v>
      </c>
      <c r="E3915" s="14" t="n">
        <v>644.89</v>
      </c>
      <c r="F3915" s="14" t="n">
        <v>3034.59</v>
      </c>
      <c r="G3915" s="6" t="s">
        <v>2613</v>
      </c>
    </row>
    <row r="3916" customFormat="false" ht="15" hidden="false" customHeight="true" outlineLevel="0" collapsed="false">
      <c r="A3916" s="6" t="s">
        <v>6528</v>
      </c>
      <c r="B3916" s="6" t="s">
        <v>937</v>
      </c>
      <c r="C3916" s="6" t="s">
        <v>131</v>
      </c>
      <c r="D3916" s="13" t="n">
        <v>45249</v>
      </c>
      <c r="E3916" s="14" t="n">
        <v>690.65</v>
      </c>
      <c r="F3916" s="14" t="n">
        <v>3725.24</v>
      </c>
      <c r="G3916" s="6" t="s">
        <v>2613</v>
      </c>
    </row>
    <row r="3917" customFormat="false" ht="15" hidden="false" customHeight="true" outlineLevel="0" collapsed="false">
      <c r="A3917" s="6" t="s">
        <v>6529</v>
      </c>
      <c r="B3917" s="6" t="s">
        <v>937</v>
      </c>
      <c r="C3917" s="6" t="s">
        <v>131</v>
      </c>
      <c r="D3917" s="13" t="n">
        <v>45256</v>
      </c>
      <c r="E3917" s="14" t="n">
        <v>332.46</v>
      </c>
      <c r="F3917" s="14" t="n">
        <v>4057.7</v>
      </c>
      <c r="G3917" s="6" t="s">
        <v>2613</v>
      </c>
    </row>
    <row r="3918" customFormat="false" ht="15" hidden="false" customHeight="true" outlineLevel="0" collapsed="false">
      <c r="A3918" s="6" t="s">
        <v>6530</v>
      </c>
      <c r="B3918" s="6" t="s">
        <v>937</v>
      </c>
      <c r="C3918" s="6" t="s">
        <v>131</v>
      </c>
      <c r="D3918" s="13" t="n">
        <v>45263</v>
      </c>
      <c r="E3918" s="14" t="n">
        <v>363.41</v>
      </c>
      <c r="F3918" s="14" t="n">
        <v>4421.11</v>
      </c>
      <c r="G3918" s="6" t="s">
        <v>2613</v>
      </c>
    </row>
    <row r="3919" customFormat="false" ht="15" hidden="false" customHeight="true" outlineLevel="0" collapsed="false">
      <c r="A3919" s="6" t="s">
        <v>6531</v>
      </c>
      <c r="B3919" s="6" t="s">
        <v>937</v>
      </c>
      <c r="C3919" s="6" t="s">
        <v>131</v>
      </c>
      <c r="D3919" s="13" t="n">
        <v>45270</v>
      </c>
      <c r="E3919" s="14" t="n">
        <v>505.86</v>
      </c>
      <c r="F3919" s="14" t="n">
        <v>4926.97</v>
      </c>
      <c r="G3919" s="6" t="s">
        <v>2613</v>
      </c>
    </row>
    <row r="3920" customFormat="false" ht="15" hidden="false" customHeight="true" outlineLevel="0" collapsed="false">
      <c r="A3920" s="6" t="s">
        <v>6532</v>
      </c>
      <c r="B3920" s="6" t="s">
        <v>937</v>
      </c>
      <c r="C3920" s="6" t="s">
        <v>131</v>
      </c>
      <c r="D3920" s="13" t="n">
        <v>45277</v>
      </c>
      <c r="E3920" s="14" t="n">
        <v>322.73</v>
      </c>
      <c r="F3920" s="14" t="n">
        <v>5249.7</v>
      </c>
      <c r="G3920" s="6" t="s">
        <v>2623</v>
      </c>
    </row>
    <row r="3921" customFormat="false" ht="15" hidden="false" customHeight="true" outlineLevel="0" collapsed="false">
      <c r="A3921" s="6" t="s">
        <v>6533</v>
      </c>
      <c r="B3921" s="6" t="s">
        <v>937</v>
      </c>
      <c r="C3921" s="6" t="s">
        <v>131</v>
      </c>
      <c r="D3921" s="13" t="n">
        <v>45284</v>
      </c>
      <c r="E3921" s="14" t="n">
        <v>706.28</v>
      </c>
      <c r="F3921" s="14" t="n">
        <v>5955.98</v>
      </c>
      <c r="G3921" s="6" t="s">
        <v>2613</v>
      </c>
    </row>
    <row r="3922" customFormat="false" ht="15" hidden="false" customHeight="true" outlineLevel="0" collapsed="false">
      <c r="A3922" s="6" t="s">
        <v>6534</v>
      </c>
      <c r="B3922" s="6" t="s">
        <v>937</v>
      </c>
      <c r="C3922" s="6" t="s">
        <v>131</v>
      </c>
      <c r="D3922" s="13" t="n">
        <v>45291</v>
      </c>
      <c r="E3922" s="14" t="n">
        <v>649.71</v>
      </c>
      <c r="F3922" s="14" t="n">
        <v>6605.69</v>
      </c>
      <c r="G3922" s="6" t="s">
        <v>2613</v>
      </c>
    </row>
    <row r="3923" customFormat="false" ht="15" hidden="false" customHeight="true" outlineLevel="0" collapsed="false">
      <c r="A3923" s="6" t="s">
        <v>6535</v>
      </c>
      <c r="B3923" s="6" t="s">
        <v>937</v>
      </c>
      <c r="C3923" s="6" t="s">
        <v>131</v>
      </c>
      <c r="D3923" s="13" t="n">
        <v>45298</v>
      </c>
      <c r="E3923" s="14" t="n">
        <v>613.43</v>
      </c>
      <c r="F3923" s="14" t="n">
        <v>7219.12</v>
      </c>
      <c r="G3923" s="6" t="s">
        <v>2613</v>
      </c>
    </row>
    <row r="3924" customFormat="false" ht="15" hidden="false" customHeight="true" outlineLevel="0" collapsed="false">
      <c r="A3924" s="6" t="s">
        <v>6536</v>
      </c>
      <c r="B3924" s="6" t="s">
        <v>937</v>
      </c>
      <c r="C3924" s="6" t="s">
        <v>131</v>
      </c>
      <c r="D3924" s="13" t="n">
        <v>45305</v>
      </c>
      <c r="E3924" s="14" t="n">
        <v>651.41</v>
      </c>
      <c r="F3924" s="14" t="n">
        <v>7870.53</v>
      </c>
      <c r="G3924" s="6" t="s">
        <v>2623</v>
      </c>
    </row>
    <row r="3925" customFormat="false" ht="15" hidden="false" customHeight="true" outlineLevel="0" collapsed="false">
      <c r="A3925" s="6" t="s">
        <v>6537</v>
      </c>
      <c r="B3925" s="6" t="s">
        <v>937</v>
      </c>
      <c r="C3925" s="6" t="s">
        <v>131</v>
      </c>
      <c r="D3925" s="13" t="n">
        <v>45312</v>
      </c>
      <c r="E3925" s="14" t="n">
        <v>572.74</v>
      </c>
      <c r="F3925" s="14" t="n">
        <v>8443.27</v>
      </c>
      <c r="G3925" s="6" t="s">
        <v>2613</v>
      </c>
    </row>
    <row r="3926" customFormat="false" ht="15" hidden="false" customHeight="true" outlineLevel="0" collapsed="false">
      <c r="A3926" s="6" t="s">
        <v>6538</v>
      </c>
      <c r="B3926" s="6" t="s">
        <v>937</v>
      </c>
      <c r="C3926" s="6" t="s">
        <v>131</v>
      </c>
      <c r="D3926" s="13" t="n">
        <v>45319</v>
      </c>
      <c r="E3926" s="14" t="n">
        <v>535.31</v>
      </c>
      <c r="F3926" s="14" t="n">
        <v>8978.58</v>
      </c>
      <c r="G3926" s="6" t="s">
        <v>2613</v>
      </c>
    </row>
    <row r="3927" customFormat="false" ht="15" hidden="false" customHeight="true" outlineLevel="0" collapsed="false">
      <c r="A3927" s="6" t="s">
        <v>6539</v>
      </c>
      <c r="B3927" s="6" t="s">
        <v>937</v>
      </c>
      <c r="C3927" s="6" t="s">
        <v>131</v>
      </c>
      <c r="D3927" s="13" t="n">
        <v>45326</v>
      </c>
      <c r="E3927" s="14" t="n">
        <v>518.46</v>
      </c>
      <c r="F3927" s="14" t="n">
        <v>9497.04</v>
      </c>
      <c r="G3927" s="6" t="s">
        <v>2613</v>
      </c>
    </row>
    <row r="3928" customFormat="false" ht="15" hidden="false" customHeight="true" outlineLevel="0" collapsed="false">
      <c r="A3928" s="6" t="s">
        <v>6540</v>
      </c>
      <c r="B3928" s="6" t="s">
        <v>937</v>
      </c>
      <c r="C3928" s="6" t="s">
        <v>131</v>
      </c>
      <c r="D3928" s="13" t="n">
        <v>45333</v>
      </c>
      <c r="E3928" s="14" t="n">
        <v>568.01</v>
      </c>
      <c r="F3928" s="14" t="n">
        <v>10065.05</v>
      </c>
      <c r="G3928" s="6" t="s">
        <v>2613</v>
      </c>
    </row>
    <row r="3929" customFormat="false" ht="15" hidden="false" customHeight="true" outlineLevel="0" collapsed="false">
      <c r="A3929" s="6" t="s">
        <v>6541</v>
      </c>
      <c r="B3929" s="6" t="s">
        <v>937</v>
      </c>
      <c r="C3929" s="6" t="s">
        <v>131</v>
      </c>
      <c r="D3929" s="13" t="n">
        <v>45340</v>
      </c>
      <c r="E3929" s="14" t="n">
        <v>361.01</v>
      </c>
      <c r="F3929" s="14" t="n">
        <v>10426.06</v>
      </c>
      <c r="G3929" s="6" t="s">
        <v>2613</v>
      </c>
    </row>
    <row r="3930" customFormat="false" ht="15" hidden="false" customHeight="true" outlineLevel="0" collapsed="false">
      <c r="A3930" s="6" t="s">
        <v>6542</v>
      </c>
      <c r="B3930" s="6" t="s">
        <v>937</v>
      </c>
      <c r="C3930" s="6" t="s">
        <v>131</v>
      </c>
      <c r="D3930" s="13" t="n">
        <v>45347</v>
      </c>
      <c r="E3930" s="14" t="n">
        <v>425.21</v>
      </c>
      <c r="F3930" s="14" t="n">
        <v>10851.27</v>
      </c>
      <c r="G3930" s="6" t="s">
        <v>2613</v>
      </c>
    </row>
    <row r="3931" customFormat="false" ht="15" hidden="false" customHeight="true" outlineLevel="0" collapsed="false">
      <c r="A3931" s="6" t="s">
        <v>6543</v>
      </c>
      <c r="B3931" s="6" t="s">
        <v>937</v>
      </c>
      <c r="C3931" s="6" t="s">
        <v>131</v>
      </c>
      <c r="D3931" s="13" t="n">
        <v>45354</v>
      </c>
      <c r="E3931" s="14" t="n">
        <v>470.58</v>
      </c>
      <c r="F3931" s="14" t="n">
        <v>11321.85</v>
      </c>
      <c r="G3931" s="6" t="s">
        <v>2613</v>
      </c>
    </row>
    <row r="3932" customFormat="false" ht="15" hidden="false" customHeight="true" outlineLevel="0" collapsed="false">
      <c r="A3932" s="6" t="s">
        <v>6544</v>
      </c>
      <c r="B3932" s="6" t="s">
        <v>937</v>
      </c>
      <c r="C3932" s="6" t="s">
        <v>131</v>
      </c>
      <c r="D3932" s="13" t="n">
        <v>45361</v>
      </c>
      <c r="E3932" s="14" t="n">
        <v>505.74</v>
      </c>
      <c r="F3932" s="14" t="n">
        <v>11827.59</v>
      </c>
      <c r="G3932" s="6" t="s">
        <v>2613</v>
      </c>
    </row>
    <row r="3933" customFormat="false" ht="15" hidden="false" customHeight="true" outlineLevel="0" collapsed="false">
      <c r="A3933" s="6" t="s">
        <v>6545</v>
      </c>
      <c r="B3933" s="6" t="s">
        <v>937</v>
      </c>
      <c r="C3933" s="6" t="s">
        <v>131</v>
      </c>
      <c r="D3933" s="13" t="n">
        <v>45368</v>
      </c>
      <c r="E3933" s="14" t="n">
        <v>436.86</v>
      </c>
      <c r="F3933" s="14" t="n">
        <v>12264.45</v>
      </c>
      <c r="G3933" s="6" t="s">
        <v>2613</v>
      </c>
    </row>
    <row r="3934" customFormat="false" ht="15" hidden="false" customHeight="true" outlineLevel="0" collapsed="false">
      <c r="A3934" s="6" t="s">
        <v>6546</v>
      </c>
      <c r="B3934" s="6" t="s">
        <v>937</v>
      </c>
      <c r="C3934" s="6" t="s">
        <v>131</v>
      </c>
      <c r="D3934" s="13" t="n">
        <v>45375</v>
      </c>
      <c r="E3934" s="14" t="n">
        <v>464.29</v>
      </c>
      <c r="F3934" s="14" t="n">
        <v>12728.74</v>
      </c>
      <c r="G3934" s="6" t="s">
        <v>2613</v>
      </c>
    </row>
    <row r="3935" customFormat="false" ht="15" hidden="false" customHeight="true" outlineLevel="0" collapsed="false">
      <c r="A3935" s="6" t="s">
        <v>6547</v>
      </c>
      <c r="B3935" s="6" t="s">
        <v>937</v>
      </c>
      <c r="C3935" s="6" t="s">
        <v>131</v>
      </c>
      <c r="D3935" s="13" t="n">
        <v>45382</v>
      </c>
      <c r="E3935" s="14" t="n">
        <v>626.37</v>
      </c>
      <c r="F3935" s="14" t="n">
        <v>13355.11</v>
      </c>
      <c r="G3935" s="6" t="s">
        <v>2613</v>
      </c>
    </row>
    <row r="3936" customFormat="false" ht="15" hidden="false" customHeight="true" outlineLevel="0" collapsed="false">
      <c r="A3936" s="6" t="s">
        <v>6548</v>
      </c>
      <c r="B3936" s="6" t="s">
        <v>937</v>
      </c>
      <c r="C3936" s="6" t="s">
        <v>131</v>
      </c>
      <c r="D3936" s="13" t="n">
        <v>45389</v>
      </c>
      <c r="E3936" s="14" t="n">
        <v>584.66</v>
      </c>
      <c r="F3936" s="14" t="n">
        <v>13939.77</v>
      </c>
      <c r="G3936" s="6" t="s">
        <v>2623</v>
      </c>
    </row>
    <row r="3937" customFormat="false" ht="15" hidden="false" customHeight="true" outlineLevel="0" collapsed="false">
      <c r="A3937" s="6" t="s">
        <v>6549</v>
      </c>
      <c r="B3937" s="6" t="s">
        <v>937</v>
      </c>
      <c r="C3937" s="6" t="s">
        <v>131</v>
      </c>
      <c r="D3937" s="13" t="n">
        <v>45396</v>
      </c>
      <c r="E3937" s="14" t="n">
        <v>644.68</v>
      </c>
      <c r="F3937" s="14" t="n">
        <v>14584.45</v>
      </c>
      <c r="G3937" s="6" t="s">
        <v>2613</v>
      </c>
    </row>
    <row r="3938" customFormat="false" ht="15" hidden="false" customHeight="true" outlineLevel="0" collapsed="false">
      <c r="A3938" s="6" t="s">
        <v>6550</v>
      </c>
      <c r="B3938" s="6" t="s">
        <v>937</v>
      </c>
      <c r="C3938" s="6" t="s">
        <v>131</v>
      </c>
      <c r="D3938" s="13" t="n">
        <v>45403</v>
      </c>
      <c r="E3938" s="14" t="n">
        <v>342.14</v>
      </c>
      <c r="F3938" s="14" t="n">
        <v>14926.59</v>
      </c>
      <c r="G3938" s="6" t="s">
        <v>2613</v>
      </c>
    </row>
    <row r="3939" customFormat="false" ht="15" hidden="false" customHeight="true" outlineLevel="0" collapsed="false">
      <c r="A3939" s="6" t="s">
        <v>6551</v>
      </c>
      <c r="B3939" s="6" t="s">
        <v>937</v>
      </c>
      <c r="C3939" s="6" t="s">
        <v>131</v>
      </c>
      <c r="D3939" s="13" t="n">
        <v>45410</v>
      </c>
      <c r="E3939" s="14" t="n">
        <v>610.67</v>
      </c>
      <c r="F3939" s="14" t="n">
        <v>15537.26</v>
      </c>
      <c r="G3939" s="6" t="s">
        <v>2613</v>
      </c>
    </row>
    <row r="3940" customFormat="false" ht="15" hidden="false" customHeight="true" outlineLevel="0" collapsed="false">
      <c r="A3940" s="6" t="s">
        <v>6552</v>
      </c>
      <c r="B3940" s="6" t="s">
        <v>937</v>
      </c>
      <c r="C3940" s="6" t="s">
        <v>131</v>
      </c>
      <c r="D3940" s="13" t="n">
        <v>45417</v>
      </c>
      <c r="E3940" s="14" t="n">
        <v>376.45</v>
      </c>
      <c r="F3940" s="14" t="n">
        <v>15913.71</v>
      </c>
      <c r="G3940" s="6" t="s">
        <v>2613</v>
      </c>
    </row>
    <row r="3941" customFormat="false" ht="15" hidden="false" customHeight="true" outlineLevel="0" collapsed="false">
      <c r="A3941" s="6" t="s">
        <v>6553</v>
      </c>
      <c r="B3941" s="6" t="s">
        <v>937</v>
      </c>
      <c r="C3941" s="6" t="s">
        <v>131</v>
      </c>
      <c r="D3941" s="13" t="n">
        <v>45424</v>
      </c>
      <c r="E3941" s="14" t="n">
        <v>325.33</v>
      </c>
      <c r="F3941" s="14" t="n">
        <v>16239.04</v>
      </c>
      <c r="G3941" s="6" t="s">
        <v>2623</v>
      </c>
    </row>
    <row r="3942" customFormat="false" ht="15" hidden="false" customHeight="true" outlineLevel="0" collapsed="false">
      <c r="A3942" s="6" t="s">
        <v>6554</v>
      </c>
      <c r="B3942" s="6" t="s">
        <v>937</v>
      </c>
      <c r="C3942" s="6" t="s">
        <v>131</v>
      </c>
      <c r="D3942" s="13" t="n">
        <v>45431</v>
      </c>
      <c r="E3942" s="14" t="n">
        <v>699.92</v>
      </c>
      <c r="F3942" s="14" t="n">
        <v>16938.96</v>
      </c>
      <c r="G3942" s="6" t="s">
        <v>2613</v>
      </c>
    </row>
    <row r="3943" customFormat="false" ht="15" hidden="false" customHeight="true" outlineLevel="0" collapsed="false">
      <c r="A3943" s="6" t="s">
        <v>6555</v>
      </c>
      <c r="B3943" s="6" t="s">
        <v>937</v>
      </c>
      <c r="C3943" s="6" t="s">
        <v>131</v>
      </c>
      <c r="D3943" s="13" t="n">
        <v>45438</v>
      </c>
      <c r="E3943" s="14" t="n">
        <v>449.19</v>
      </c>
      <c r="F3943" s="14" t="n">
        <v>17388.15</v>
      </c>
      <c r="G3943" s="6" t="s">
        <v>2613</v>
      </c>
    </row>
    <row r="3944" customFormat="false" ht="15" hidden="false" customHeight="true" outlineLevel="0" collapsed="false">
      <c r="A3944" s="6" t="s">
        <v>6556</v>
      </c>
      <c r="B3944" s="6" t="s">
        <v>937</v>
      </c>
      <c r="C3944" s="6" t="s">
        <v>131</v>
      </c>
      <c r="D3944" s="13" t="n">
        <v>45445</v>
      </c>
      <c r="E3944" s="14" t="n">
        <v>641.61</v>
      </c>
      <c r="F3944" s="14" t="n">
        <v>18029.76</v>
      </c>
      <c r="G3944" s="6" t="s">
        <v>2613</v>
      </c>
    </row>
    <row r="3945" customFormat="false" ht="15" hidden="false" customHeight="true" outlineLevel="0" collapsed="false">
      <c r="A3945" s="6" t="s">
        <v>6557</v>
      </c>
      <c r="B3945" s="6" t="s">
        <v>937</v>
      </c>
      <c r="C3945" s="6" t="s">
        <v>131</v>
      </c>
      <c r="D3945" s="13" t="n">
        <v>45452</v>
      </c>
      <c r="E3945" s="14" t="n">
        <v>482.64</v>
      </c>
      <c r="F3945" s="14" t="n">
        <v>18512.4</v>
      </c>
      <c r="G3945" s="6" t="s">
        <v>2613</v>
      </c>
    </row>
    <row r="3946" customFormat="false" ht="15" hidden="false" customHeight="true" outlineLevel="0" collapsed="false">
      <c r="A3946" s="6" t="s">
        <v>6558</v>
      </c>
      <c r="B3946" s="6" t="s">
        <v>937</v>
      </c>
      <c r="C3946" s="6" t="s">
        <v>131</v>
      </c>
      <c r="D3946" s="13" t="n">
        <v>45459</v>
      </c>
      <c r="E3946" s="14" t="n">
        <v>652</v>
      </c>
      <c r="F3946" s="14" t="n">
        <v>19164.4</v>
      </c>
      <c r="G3946" s="6" t="s">
        <v>2613</v>
      </c>
    </row>
    <row r="3947" customFormat="false" ht="15" hidden="false" customHeight="true" outlineLevel="0" collapsed="false">
      <c r="A3947" s="6" t="s">
        <v>6559</v>
      </c>
      <c r="B3947" s="6" t="s">
        <v>937</v>
      </c>
      <c r="C3947" s="6" t="s">
        <v>131</v>
      </c>
      <c r="D3947" s="13" t="n">
        <v>45466</v>
      </c>
      <c r="E3947" s="14" t="n">
        <v>583.47</v>
      </c>
      <c r="F3947" s="14" t="n">
        <v>19747.87</v>
      </c>
      <c r="G3947" s="6" t="s">
        <v>2623</v>
      </c>
    </row>
    <row r="3948" customFormat="false" ht="15" hidden="false" customHeight="true" outlineLevel="0" collapsed="false">
      <c r="A3948" s="6" t="s">
        <v>6560</v>
      </c>
      <c r="B3948" s="6" t="s">
        <v>937</v>
      </c>
      <c r="C3948" s="6" t="s">
        <v>131</v>
      </c>
      <c r="D3948" s="13" t="n">
        <v>45473</v>
      </c>
      <c r="E3948" s="14" t="n">
        <v>127.44</v>
      </c>
      <c r="F3948" s="14" t="n">
        <v>19875.31</v>
      </c>
      <c r="G3948" s="6" t="s">
        <v>2613</v>
      </c>
    </row>
    <row r="3949" customFormat="false" ht="15" hidden="false" customHeight="true" outlineLevel="0" collapsed="false">
      <c r="A3949" s="6" t="s">
        <v>6561</v>
      </c>
      <c r="B3949" s="6" t="s">
        <v>939</v>
      </c>
      <c r="C3949" s="6" t="s">
        <v>124</v>
      </c>
      <c r="D3949" s="13" t="n">
        <v>45980</v>
      </c>
      <c r="E3949" s="14" t="n">
        <v>4630.45</v>
      </c>
      <c r="F3949" s="14" t="n">
        <v>4630.45</v>
      </c>
      <c r="G3949" s="6" t="s">
        <v>2613</v>
      </c>
    </row>
    <row r="3950" customFormat="false" ht="15" hidden="false" customHeight="true" outlineLevel="0" collapsed="false">
      <c r="A3950" s="6" t="s">
        <v>6562</v>
      </c>
      <c r="B3950" s="6" t="s">
        <v>939</v>
      </c>
      <c r="C3950" s="6" t="s">
        <v>124</v>
      </c>
      <c r="D3950" s="13" t="n">
        <v>45987</v>
      </c>
      <c r="E3950" s="14" t="n">
        <v>4660.81</v>
      </c>
      <c r="F3950" s="14" t="n">
        <v>9291.26</v>
      </c>
      <c r="G3950" s="6" t="s">
        <v>2613</v>
      </c>
    </row>
    <row r="3951" customFormat="false" ht="15" hidden="false" customHeight="true" outlineLevel="0" collapsed="false">
      <c r="A3951" s="6" t="s">
        <v>6563</v>
      </c>
      <c r="B3951" s="6" t="s">
        <v>939</v>
      </c>
      <c r="C3951" s="6" t="s">
        <v>124</v>
      </c>
      <c r="D3951" s="13" t="n">
        <v>45994</v>
      </c>
      <c r="E3951" s="14" t="n">
        <v>2594.72</v>
      </c>
      <c r="F3951" s="14" t="n">
        <v>11885.98</v>
      </c>
      <c r="G3951" s="6" t="s">
        <v>2613</v>
      </c>
    </row>
    <row r="3952" customFormat="false" ht="15" hidden="false" customHeight="true" outlineLevel="0" collapsed="false">
      <c r="A3952" s="6" t="s">
        <v>6564</v>
      </c>
      <c r="B3952" s="6" t="s">
        <v>939</v>
      </c>
      <c r="C3952" s="6" t="s">
        <v>124</v>
      </c>
      <c r="D3952" s="13" t="n">
        <v>46001</v>
      </c>
      <c r="E3952" s="14" t="n">
        <v>2738.34</v>
      </c>
      <c r="F3952" s="14" t="n">
        <v>14624.32</v>
      </c>
      <c r="G3952" s="6" t="s">
        <v>2613</v>
      </c>
    </row>
    <row r="3953" customFormat="false" ht="15" hidden="false" customHeight="true" outlineLevel="0" collapsed="false">
      <c r="A3953" s="6" t="s">
        <v>6565</v>
      </c>
      <c r="B3953" s="6" t="s">
        <v>939</v>
      </c>
      <c r="C3953" s="6" t="s">
        <v>124</v>
      </c>
      <c r="D3953" s="13" t="n">
        <v>46008</v>
      </c>
      <c r="E3953" s="14" t="n">
        <v>3224.19</v>
      </c>
      <c r="F3953" s="14" t="n">
        <v>17848.51</v>
      </c>
      <c r="G3953" s="6" t="s">
        <v>2613</v>
      </c>
    </row>
    <row r="3954" customFormat="false" ht="15" hidden="false" customHeight="true" outlineLevel="0" collapsed="false">
      <c r="A3954" s="6" t="s">
        <v>6566</v>
      </c>
      <c r="B3954" s="6" t="s">
        <v>939</v>
      </c>
      <c r="C3954" s="6" t="s">
        <v>124</v>
      </c>
      <c r="D3954" s="13" t="n">
        <v>46015</v>
      </c>
      <c r="E3954" s="14" t="n">
        <v>3774.99</v>
      </c>
      <c r="F3954" s="14" t="n">
        <v>21623.5</v>
      </c>
      <c r="G3954" s="6" t="s">
        <v>2613</v>
      </c>
    </row>
    <row r="3955" customFormat="false" ht="15" hidden="false" customHeight="true" outlineLevel="0" collapsed="false">
      <c r="A3955" s="6" t="s">
        <v>6567</v>
      </c>
      <c r="B3955" s="6" t="s">
        <v>939</v>
      </c>
      <c r="C3955" s="6" t="s">
        <v>124</v>
      </c>
      <c r="D3955" s="13" t="n">
        <v>46022</v>
      </c>
      <c r="E3955" s="14" t="n">
        <v>2821.79</v>
      </c>
      <c r="F3955" s="14" t="n">
        <v>24445.29</v>
      </c>
      <c r="G3955" s="6" t="s">
        <v>2613</v>
      </c>
    </row>
    <row r="3956" customFormat="false" ht="15" hidden="false" customHeight="true" outlineLevel="0" collapsed="false">
      <c r="A3956" s="6" t="s">
        <v>6568</v>
      </c>
      <c r="B3956" s="6" t="s">
        <v>939</v>
      </c>
      <c r="C3956" s="6" t="s">
        <v>124</v>
      </c>
      <c r="D3956" s="13" t="n">
        <v>46029</v>
      </c>
      <c r="E3956" s="14" t="n">
        <v>4003.5</v>
      </c>
      <c r="F3956" s="14" t="n">
        <v>28448.79</v>
      </c>
      <c r="G3956" s="6" t="s">
        <v>2613</v>
      </c>
    </row>
    <row r="3957" customFormat="false" ht="15" hidden="false" customHeight="true" outlineLevel="0" collapsed="false">
      <c r="A3957" s="6" t="s">
        <v>6569</v>
      </c>
      <c r="B3957" s="6" t="s">
        <v>939</v>
      </c>
      <c r="C3957" s="6" t="s">
        <v>124</v>
      </c>
      <c r="D3957" s="13" t="n">
        <v>46036</v>
      </c>
      <c r="E3957" s="14" t="n">
        <v>4623.99</v>
      </c>
      <c r="F3957" s="14" t="n">
        <v>33072.78</v>
      </c>
      <c r="G3957" s="6" t="s">
        <v>2613</v>
      </c>
    </row>
    <row r="3958" customFormat="false" ht="15" hidden="false" customHeight="true" outlineLevel="0" collapsed="false">
      <c r="A3958" s="6" t="s">
        <v>6570</v>
      </c>
      <c r="B3958" s="6" t="s">
        <v>939</v>
      </c>
      <c r="C3958" s="6" t="s">
        <v>124</v>
      </c>
      <c r="D3958" s="13" t="n">
        <v>46043</v>
      </c>
      <c r="E3958" s="14" t="n">
        <v>4730.86</v>
      </c>
      <c r="F3958" s="14" t="n">
        <v>37803.64</v>
      </c>
      <c r="G3958" s="6" t="s">
        <v>2613</v>
      </c>
    </row>
    <row r="3959" customFormat="false" ht="15" hidden="false" customHeight="true" outlineLevel="0" collapsed="false">
      <c r="A3959" s="6" t="s">
        <v>6571</v>
      </c>
      <c r="B3959" s="6" t="s">
        <v>939</v>
      </c>
      <c r="C3959" s="6" t="s">
        <v>124</v>
      </c>
      <c r="D3959" s="13" t="n">
        <v>46050</v>
      </c>
      <c r="E3959" s="14" t="n">
        <v>4656.59</v>
      </c>
      <c r="F3959" s="14" t="n">
        <v>42460.23</v>
      </c>
      <c r="G3959" s="6" t="s">
        <v>2613</v>
      </c>
    </row>
    <row r="3960" customFormat="false" ht="15" hidden="false" customHeight="true" outlineLevel="0" collapsed="false">
      <c r="A3960" s="6" t="s">
        <v>6572</v>
      </c>
      <c r="B3960" s="6" t="s">
        <v>939</v>
      </c>
      <c r="C3960" s="6" t="s">
        <v>124</v>
      </c>
      <c r="D3960" s="13" t="n">
        <v>46057</v>
      </c>
      <c r="E3960" s="14" t="n">
        <v>2127.78</v>
      </c>
      <c r="F3960" s="14" t="n">
        <v>44588.01</v>
      </c>
      <c r="G3960" s="6" t="s">
        <v>2613</v>
      </c>
    </row>
    <row r="3961" customFormat="false" ht="15" hidden="false" customHeight="true" outlineLevel="0" collapsed="false">
      <c r="A3961" s="6" t="s">
        <v>6573</v>
      </c>
      <c r="B3961" s="6" t="s">
        <v>939</v>
      </c>
      <c r="C3961" s="6" t="s">
        <v>124</v>
      </c>
      <c r="D3961" s="13" t="n">
        <v>46064</v>
      </c>
      <c r="E3961" s="14" t="n">
        <v>893.73</v>
      </c>
      <c r="F3961" s="14" t="n">
        <v>45481.74</v>
      </c>
      <c r="G3961" s="6" t="s">
        <v>2613</v>
      </c>
    </row>
    <row r="3962" customFormat="false" ht="15" hidden="false" customHeight="true" outlineLevel="0" collapsed="false">
      <c r="A3962" s="6" t="s">
        <v>6574</v>
      </c>
      <c r="B3962" s="6" t="s">
        <v>941</v>
      </c>
      <c r="C3962" s="6" t="s">
        <v>116</v>
      </c>
      <c r="D3962" s="13" t="n">
        <v>44894</v>
      </c>
      <c r="E3962" s="14" t="n">
        <v>1612.69</v>
      </c>
      <c r="F3962" s="14" t="n">
        <v>1612.69</v>
      </c>
      <c r="G3962" s="6" t="s">
        <v>2613</v>
      </c>
    </row>
    <row r="3963" customFormat="false" ht="15" hidden="false" customHeight="true" outlineLevel="0" collapsed="false">
      <c r="A3963" s="6" t="s">
        <v>6575</v>
      </c>
      <c r="B3963" s="6" t="s">
        <v>941</v>
      </c>
      <c r="C3963" s="6" t="s">
        <v>116</v>
      </c>
      <c r="D3963" s="13" t="n">
        <v>44901</v>
      </c>
      <c r="E3963" s="14" t="n">
        <v>2926.1</v>
      </c>
      <c r="F3963" s="14" t="n">
        <v>4538.79</v>
      </c>
      <c r="G3963" s="6" t="s">
        <v>2613</v>
      </c>
    </row>
    <row r="3964" customFormat="false" ht="15" hidden="false" customHeight="true" outlineLevel="0" collapsed="false">
      <c r="A3964" s="6" t="s">
        <v>6576</v>
      </c>
      <c r="B3964" s="6" t="s">
        <v>941</v>
      </c>
      <c r="C3964" s="6" t="s">
        <v>116</v>
      </c>
      <c r="D3964" s="13" t="n">
        <v>44908</v>
      </c>
      <c r="E3964" s="14" t="n">
        <v>2472.37</v>
      </c>
      <c r="F3964" s="14" t="n">
        <v>7011.16</v>
      </c>
      <c r="G3964" s="6" t="s">
        <v>2613</v>
      </c>
    </row>
    <row r="3965" customFormat="false" ht="15" hidden="false" customHeight="true" outlineLevel="0" collapsed="false">
      <c r="A3965" s="6" t="s">
        <v>6577</v>
      </c>
      <c r="B3965" s="6" t="s">
        <v>941</v>
      </c>
      <c r="C3965" s="6" t="s">
        <v>116</v>
      </c>
      <c r="D3965" s="13" t="n">
        <v>44915</v>
      </c>
      <c r="E3965" s="14" t="n">
        <v>1983.91</v>
      </c>
      <c r="F3965" s="14" t="n">
        <v>8995.07</v>
      </c>
      <c r="G3965" s="6" t="s">
        <v>2613</v>
      </c>
    </row>
    <row r="3966" customFormat="false" ht="15" hidden="false" customHeight="true" outlineLevel="0" collapsed="false">
      <c r="A3966" s="6" t="s">
        <v>6578</v>
      </c>
      <c r="B3966" s="6" t="s">
        <v>941</v>
      </c>
      <c r="C3966" s="6" t="s">
        <v>116</v>
      </c>
      <c r="D3966" s="13" t="n">
        <v>44922</v>
      </c>
      <c r="E3966" s="14" t="n">
        <v>1787.8</v>
      </c>
      <c r="F3966" s="14" t="n">
        <v>10782.87</v>
      </c>
      <c r="G3966" s="6" t="s">
        <v>2613</v>
      </c>
    </row>
    <row r="3967" customFormat="false" ht="15" hidden="false" customHeight="true" outlineLevel="0" collapsed="false">
      <c r="A3967" s="6" t="s">
        <v>6579</v>
      </c>
      <c r="B3967" s="6" t="s">
        <v>941</v>
      </c>
      <c r="C3967" s="6" t="s">
        <v>116</v>
      </c>
      <c r="D3967" s="13" t="n">
        <v>44929</v>
      </c>
      <c r="E3967" s="14" t="n">
        <v>1483.33</v>
      </c>
      <c r="F3967" s="14" t="n">
        <v>12266.2</v>
      </c>
      <c r="G3967" s="6" t="s">
        <v>2613</v>
      </c>
    </row>
    <row r="3968" customFormat="false" ht="15" hidden="false" customHeight="true" outlineLevel="0" collapsed="false">
      <c r="A3968" s="6" t="s">
        <v>6580</v>
      </c>
      <c r="B3968" s="6" t="s">
        <v>941</v>
      </c>
      <c r="C3968" s="6" t="s">
        <v>116</v>
      </c>
      <c r="D3968" s="13" t="n">
        <v>44936</v>
      </c>
      <c r="E3968" s="14" t="n">
        <v>2717.68</v>
      </c>
      <c r="F3968" s="14" t="n">
        <v>14983.88</v>
      </c>
      <c r="G3968" s="6" t="s">
        <v>2613</v>
      </c>
    </row>
    <row r="3969" customFormat="false" ht="15" hidden="false" customHeight="true" outlineLevel="0" collapsed="false">
      <c r="A3969" s="6" t="s">
        <v>6581</v>
      </c>
      <c r="B3969" s="6" t="s">
        <v>941</v>
      </c>
      <c r="C3969" s="6" t="s">
        <v>116</v>
      </c>
      <c r="D3969" s="13" t="n">
        <v>44943</v>
      </c>
      <c r="E3969" s="14" t="n">
        <v>2937.68</v>
      </c>
      <c r="F3969" s="14" t="n">
        <v>17921.56</v>
      </c>
      <c r="G3969" s="6" t="s">
        <v>2613</v>
      </c>
    </row>
    <row r="3970" customFormat="false" ht="15" hidden="false" customHeight="true" outlineLevel="0" collapsed="false">
      <c r="A3970" s="6" t="s">
        <v>6582</v>
      </c>
      <c r="B3970" s="6" t="s">
        <v>941</v>
      </c>
      <c r="C3970" s="6" t="s">
        <v>116</v>
      </c>
      <c r="D3970" s="13" t="n">
        <v>44950</v>
      </c>
      <c r="E3970" s="14" t="n">
        <v>2156.28</v>
      </c>
      <c r="F3970" s="14" t="n">
        <v>20077.84</v>
      </c>
      <c r="G3970" s="6" t="s">
        <v>2613</v>
      </c>
    </row>
    <row r="3971" customFormat="false" ht="15" hidden="false" customHeight="true" outlineLevel="0" collapsed="false">
      <c r="A3971" s="6" t="s">
        <v>6583</v>
      </c>
      <c r="B3971" s="6" t="s">
        <v>941</v>
      </c>
      <c r="C3971" s="6" t="s">
        <v>116</v>
      </c>
      <c r="D3971" s="13" t="n">
        <v>44957</v>
      </c>
      <c r="E3971" s="14" t="n">
        <v>1520.12</v>
      </c>
      <c r="F3971" s="14" t="n">
        <v>21597.96</v>
      </c>
      <c r="G3971" s="6" t="s">
        <v>2613</v>
      </c>
    </row>
    <row r="3972" customFormat="false" ht="15" hidden="false" customHeight="true" outlineLevel="0" collapsed="false">
      <c r="A3972" s="6" t="s">
        <v>6584</v>
      </c>
      <c r="B3972" s="6" t="s">
        <v>943</v>
      </c>
      <c r="C3972" s="6" t="s">
        <v>124</v>
      </c>
      <c r="D3972" s="13" t="n">
        <v>45466</v>
      </c>
      <c r="E3972" s="14" t="n">
        <v>1390.07</v>
      </c>
      <c r="F3972" s="14" t="n">
        <v>1390.07</v>
      </c>
      <c r="G3972" s="6" t="s">
        <v>2613</v>
      </c>
    </row>
    <row r="3973" customFormat="false" ht="15" hidden="false" customHeight="true" outlineLevel="0" collapsed="false">
      <c r="A3973" s="6" t="s">
        <v>6585</v>
      </c>
      <c r="B3973" s="6" t="s">
        <v>943</v>
      </c>
      <c r="C3973" s="6" t="s">
        <v>124</v>
      </c>
      <c r="D3973" s="13" t="n">
        <v>45473</v>
      </c>
      <c r="E3973" s="14" t="n">
        <v>1147.12</v>
      </c>
      <c r="F3973" s="14" t="n">
        <v>2537.19</v>
      </c>
      <c r="G3973" s="6" t="s">
        <v>2613</v>
      </c>
    </row>
    <row r="3974" customFormat="false" ht="15" hidden="false" customHeight="true" outlineLevel="0" collapsed="false">
      <c r="A3974" s="6" t="s">
        <v>6586</v>
      </c>
      <c r="B3974" s="6" t="s">
        <v>943</v>
      </c>
      <c r="C3974" s="6" t="s">
        <v>124</v>
      </c>
      <c r="D3974" s="13" t="n">
        <v>45480</v>
      </c>
      <c r="E3974" s="14" t="n">
        <v>1389.54</v>
      </c>
      <c r="F3974" s="14" t="n">
        <v>3926.73</v>
      </c>
      <c r="G3974" s="6" t="s">
        <v>2613</v>
      </c>
    </row>
    <row r="3975" customFormat="false" ht="15" hidden="false" customHeight="true" outlineLevel="0" collapsed="false">
      <c r="A3975" s="6" t="s">
        <v>6587</v>
      </c>
      <c r="B3975" s="6" t="s">
        <v>943</v>
      </c>
      <c r="C3975" s="6" t="s">
        <v>124</v>
      </c>
      <c r="D3975" s="13" t="n">
        <v>45487</v>
      </c>
      <c r="E3975" s="14" t="n">
        <v>648.49</v>
      </c>
      <c r="F3975" s="14" t="n">
        <v>4575.22</v>
      </c>
      <c r="G3975" s="6" t="s">
        <v>2623</v>
      </c>
    </row>
    <row r="3976" customFormat="false" ht="15" hidden="false" customHeight="true" outlineLevel="0" collapsed="false">
      <c r="A3976" s="6" t="s">
        <v>6588</v>
      </c>
      <c r="B3976" s="6" t="s">
        <v>945</v>
      </c>
      <c r="C3976" s="6" t="s">
        <v>112</v>
      </c>
      <c r="D3976" s="13" t="n">
        <v>45166</v>
      </c>
      <c r="E3976" s="14" t="n">
        <v>5921.41</v>
      </c>
      <c r="F3976" s="14" t="n">
        <v>5921.41</v>
      </c>
      <c r="G3976" s="6" t="s">
        <v>2613</v>
      </c>
    </row>
    <row r="3977" customFormat="false" ht="15" hidden="false" customHeight="true" outlineLevel="0" collapsed="false">
      <c r="A3977" s="6" t="s">
        <v>6589</v>
      </c>
      <c r="B3977" s="6" t="s">
        <v>945</v>
      </c>
      <c r="C3977" s="6" t="s">
        <v>112</v>
      </c>
      <c r="D3977" s="13" t="n">
        <v>45173</v>
      </c>
      <c r="E3977" s="14" t="n">
        <v>6325.43</v>
      </c>
      <c r="F3977" s="14" t="n">
        <v>12246.84</v>
      </c>
      <c r="G3977" s="6" t="s">
        <v>2623</v>
      </c>
    </row>
    <row r="3978" customFormat="false" ht="15" hidden="false" customHeight="true" outlineLevel="0" collapsed="false">
      <c r="A3978" s="6" t="s">
        <v>6590</v>
      </c>
      <c r="B3978" s="6" t="s">
        <v>945</v>
      </c>
      <c r="C3978" s="6" t="s">
        <v>112</v>
      </c>
      <c r="D3978" s="13" t="n">
        <v>45180</v>
      </c>
      <c r="E3978" s="14" t="n">
        <v>5118.75</v>
      </c>
      <c r="F3978" s="14" t="n">
        <v>17365.59</v>
      </c>
      <c r="G3978" s="6" t="s">
        <v>2613</v>
      </c>
    </row>
    <row r="3979" customFormat="false" ht="15" hidden="false" customHeight="true" outlineLevel="0" collapsed="false">
      <c r="A3979" s="6" t="s">
        <v>6591</v>
      </c>
      <c r="B3979" s="6" t="s">
        <v>945</v>
      </c>
      <c r="C3979" s="6" t="s">
        <v>112</v>
      </c>
      <c r="D3979" s="13" t="n">
        <v>45187</v>
      </c>
      <c r="E3979" s="14" t="n">
        <v>5811.54</v>
      </c>
      <c r="F3979" s="14" t="n">
        <v>23177.13</v>
      </c>
      <c r="G3979" s="6" t="s">
        <v>2613</v>
      </c>
    </row>
    <row r="3980" customFormat="false" ht="15" hidden="false" customHeight="true" outlineLevel="0" collapsed="false">
      <c r="A3980" s="6" t="s">
        <v>6592</v>
      </c>
      <c r="B3980" s="6" t="s">
        <v>945</v>
      </c>
      <c r="C3980" s="6" t="s">
        <v>112</v>
      </c>
      <c r="D3980" s="13" t="n">
        <v>45194</v>
      </c>
      <c r="E3980" s="14" t="n">
        <v>3917.32</v>
      </c>
      <c r="F3980" s="14" t="n">
        <v>27094.45</v>
      </c>
      <c r="G3980" s="6" t="s">
        <v>2613</v>
      </c>
    </row>
    <row r="3981" customFormat="false" ht="15" hidden="false" customHeight="true" outlineLevel="0" collapsed="false">
      <c r="A3981" s="6" t="s">
        <v>6593</v>
      </c>
      <c r="B3981" s="6" t="s">
        <v>945</v>
      </c>
      <c r="C3981" s="6" t="s">
        <v>112</v>
      </c>
      <c r="D3981" s="13" t="n">
        <v>45201</v>
      </c>
      <c r="E3981" s="14" t="n">
        <v>4590.01</v>
      </c>
      <c r="F3981" s="14" t="n">
        <v>31684.46</v>
      </c>
      <c r="G3981" s="6" t="s">
        <v>2613</v>
      </c>
    </row>
    <row r="3982" customFormat="false" ht="15" hidden="false" customHeight="true" outlineLevel="0" collapsed="false">
      <c r="A3982" s="6" t="s">
        <v>6594</v>
      </c>
      <c r="B3982" s="6" t="s">
        <v>945</v>
      </c>
      <c r="C3982" s="6" t="s">
        <v>112</v>
      </c>
      <c r="D3982" s="13" t="n">
        <v>45208</v>
      </c>
      <c r="E3982" s="14" t="n">
        <v>3504.7</v>
      </c>
      <c r="F3982" s="14" t="n">
        <v>35189.16</v>
      </c>
      <c r="G3982" s="6" t="s">
        <v>2613</v>
      </c>
    </row>
    <row r="3983" customFormat="false" ht="15" hidden="false" customHeight="true" outlineLevel="0" collapsed="false">
      <c r="A3983" s="6" t="s">
        <v>6595</v>
      </c>
      <c r="B3983" s="6" t="s">
        <v>945</v>
      </c>
      <c r="C3983" s="6" t="s">
        <v>112</v>
      </c>
      <c r="D3983" s="13" t="n">
        <v>45215</v>
      </c>
      <c r="E3983" s="14" t="n">
        <v>7806.41</v>
      </c>
      <c r="F3983" s="14" t="n">
        <v>42995.57</v>
      </c>
      <c r="G3983" s="6" t="s">
        <v>2623</v>
      </c>
    </row>
    <row r="3984" customFormat="false" ht="15" hidden="false" customHeight="true" outlineLevel="0" collapsed="false">
      <c r="A3984" s="6" t="s">
        <v>6596</v>
      </c>
      <c r="B3984" s="6" t="s">
        <v>947</v>
      </c>
      <c r="C3984" s="6" t="s">
        <v>131</v>
      </c>
      <c r="D3984" s="13" t="n">
        <v>45730</v>
      </c>
      <c r="E3984" s="14" t="n">
        <v>752.17</v>
      </c>
      <c r="F3984" s="14" t="n">
        <v>752.17</v>
      </c>
      <c r="G3984" s="6" t="s">
        <v>2613</v>
      </c>
    </row>
    <row r="3985" customFormat="false" ht="15" hidden="false" customHeight="true" outlineLevel="0" collapsed="false">
      <c r="A3985" s="6" t="s">
        <v>6597</v>
      </c>
      <c r="B3985" s="6" t="s">
        <v>947</v>
      </c>
      <c r="C3985" s="6" t="s">
        <v>131</v>
      </c>
      <c r="D3985" s="13" t="n">
        <v>45737</v>
      </c>
      <c r="E3985" s="14" t="n">
        <v>449.64</v>
      </c>
      <c r="F3985" s="14" t="n">
        <v>1201.81</v>
      </c>
      <c r="G3985" s="6" t="s">
        <v>2613</v>
      </c>
    </row>
    <row r="3986" customFormat="false" ht="15" hidden="false" customHeight="true" outlineLevel="0" collapsed="false">
      <c r="A3986" s="6" t="s">
        <v>6598</v>
      </c>
      <c r="B3986" s="6" t="s">
        <v>947</v>
      </c>
      <c r="C3986" s="6" t="s">
        <v>131</v>
      </c>
      <c r="D3986" s="13" t="n">
        <v>45744</v>
      </c>
      <c r="E3986" s="14" t="n">
        <v>906.35</v>
      </c>
      <c r="F3986" s="14" t="n">
        <v>2108.16</v>
      </c>
      <c r="G3986" s="6" t="s">
        <v>2613</v>
      </c>
    </row>
    <row r="3987" customFormat="false" ht="15" hidden="false" customHeight="true" outlineLevel="0" collapsed="false">
      <c r="A3987" s="6" t="s">
        <v>6599</v>
      </c>
      <c r="B3987" s="6" t="s">
        <v>947</v>
      </c>
      <c r="C3987" s="6" t="s">
        <v>131</v>
      </c>
      <c r="D3987" s="13" t="n">
        <v>45751</v>
      </c>
      <c r="E3987" s="14" t="n">
        <v>761.17</v>
      </c>
      <c r="F3987" s="14" t="n">
        <v>2869.33</v>
      </c>
      <c r="G3987" s="6" t="s">
        <v>2613</v>
      </c>
    </row>
    <row r="3988" customFormat="false" ht="15" hidden="false" customHeight="true" outlineLevel="0" collapsed="false">
      <c r="A3988" s="6" t="s">
        <v>6600</v>
      </c>
      <c r="B3988" s="6" t="s">
        <v>947</v>
      </c>
      <c r="C3988" s="6" t="s">
        <v>131</v>
      </c>
      <c r="D3988" s="13" t="n">
        <v>45758</v>
      </c>
      <c r="E3988" s="14" t="n">
        <v>745.49</v>
      </c>
      <c r="F3988" s="14" t="n">
        <v>3614.82</v>
      </c>
      <c r="G3988" s="6" t="s">
        <v>2613</v>
      </c>
    </row>
    <row r="3989" customFormat="false" ht="15" hidden="false" customHeight="true" outlineLevel="0" collapsed="false">
      <c r="A3989" s="6" t="s">
        <v>6601</v>
      </c>
      <c r="B3989" s="6" t="s">
        <v>947</v>
      </c>
      <c r="C3989" s="6" t="s">
        <v>131</v>
      </c>
      <c r="D3989" s="13" t="n">
        <v>45765</v>
      </c>
      <c r="E3989" s="14" t="n">
        <v>817.54</v>
      </c>
      <c r="F3989" s="14" t="n">
        <v>4432.36</v>
      </c>
      <c r="G3989" s="6" t="s">
        <v>2613</v>
      </c>
    </row>
    <row r="3990" customFormat="false" ht="15" hidden="false" customHeight="true" outlineLevel="0" collapsed="false">
      <c r="A3990" s="6" t="s">
        <v>6602</v>
      </c>
      <c r="B3990" s="6" t="s">
        <v>947</v>
      </c>
      <c r="C3990" s="6" t="s">
        <v>131</v>
      </c>
      <c r="D3990" s="13" t="n">
        <v>45772</v>
      </c>
      <c r="E3990" s="14" t="n">
        <v>743.61</v>
      </c>
      <c r="F3990" s="14" t="n">
        <v>5175.97</v>
      </c>
      <c r="G3990" s="6" t="s">
        <v>2613</v>
      </c>
    </row>
    <row r="3991" customFormat="false" ht="15" hidden="false" customHeight="true" outlineLevel="0" collapsed="false">
      <c r="A3991" s="6" t="s">
        <v>6603</v>
      </c>
      <c r="B3991" s="6" t="s">
        <v>947</v>
      </c>
      <c r="C3991" s="6" t="s">
        <v>131</v>
      </c>
      <c r="D3991" s="13" t="n">
        <v>45779</v>
      </c>
      <c r="E3991" s="14" t="n">
        <v>281.29</v>
      </c>
      <c r="F3991" s="14" t="n">
        <v>5457.26</v>
      </c>
      <c r="G3991" s="6" t="s">
        <v>2613</v>
      </c>
    </row>
    <row r="3992" customFormat="false" ht="15" hidden="false" customHeight="true" outlineLevel="0" collapsed="false">
      <c r="A3992" s="6" t="s">
        <v>6604</v>
      </c>
      <c r="B3992" s="6" t="s">
        <v>949</v>
      </c>
      <c r="C3992" s="6" t="s">
        <v>124</v>
      </c>
      <c r="D3992" s="13" t="n">
        <v>44897</v>
      </c>
      <c r="E3992" s="14" t="n">
        <v>11431.14</v>
      </c>
      <c r="F3992" s="14" t="n">
        <v>11431.14</v>
      </c>
      <c r="G3992" s="6" t="s">
        <v>2613</v>
      </c>
    </row>
    <row r="3993" customFormat="false" ht="15" hidden="false" customHeight="true" outlineLevel="0" collapsed="false">
      <c r="A3993" s="6" t="s">
        <v>6605</v>
      </c>
      <c r="B3993" s="6" t="s">
        <v>949</v>
      </c>
      <c r="C3993" s="6" t="s">
        <v>124</v>
      </c>
      <c r="D3993" s="13" t="n">
        <v>44904</v>
      </c>
      <c r="E3993" s="14" t="n">
        <v>8891.9</v>
      </c>
      <c r="F3993" s="14" t="n">
        <v>20323.04</v>
      </c>
      <c r="G3993" s="6" t="s">
        <v>2613</v>
      </c>
    </row>
    <row r="3994" customFormat="false" ht="15" hidden="false" customHeight="true" outlineLevel="0" collapsed="false">
      <c r="A3994" s="6" t="s">
        <v>6606</v>
      </c>
      <c r="B3994" s="6" t="s">
        <v>949</v>
      </c>
      <c r="C3994" s="6" t="s">
        <v>124</v>
      </c>
      <c r="D3994" s="13" t="n">
        <v>44911</v>
      </c>
      <c r="E3994" s="14" t="n">
        <v>9491.34</v>
      </c>
      <c r="F3994" s="14" t="n">
        <v>29814.38</v>
      </c>
      <c r="G3994" s="6" t="s">
        <v>2613</v>
      </c>
    </row>
    <row r="3995" customFormat="false" ht="15" hidden="false" customHeight="true" outlineLevel="0" collapsed="false">
      <c r="A3995" s="6" t="s">
        <v>6607</v>
      </c>
      <c r="B3995" s="6" t="s">
        <v>949</v>
      </c>
      <c r="C3995" s="6" t="s">
        <v>124</v>
      </c>
      <c r="D3995" s="13" t="n">
        <v>44918</v>
      </c>
      <c r="E3995" s="14" t="n">
        <v>6931.06</v>
      </c>
      <c r="F3995" s="14" t="n">
        <v>36745.44</v>
      </c>
      <c r="G3995" s="6" t="s">
        <v>2613</v>
      </c>
    </row>
    <row r="3996" customFormat="false" ht="15" hidden="false" customHeight="true" outlineLevel="0" collapsed="false">
      <c r="A3996" s="6" t="s">
        <v>6608</v>
      </c>
      <c r="B3996" s="6" t="s">
        <v>951</v>
      </c>
      <c r="C3996" s="6" t="s">
        <v>131</v>
      </c>
      <c r="D3996" s="13" t="n">
        <v>45385</v>
      </c>
      <c r="E3996" s="14" t="n">
        <v>3816.86</v>
      </c>
      <c r="F3996" s="14" t="n">
        <v>3816.86</v>
      </c>
      <c r="G3996" s="6" t="s">
        <v>2613</v>
      </c>
    </row>
    <row r="3997" customFormat="false" ht="15" hidden="false" customHeight="true" outlineLevel="0" collapsed="false">
      <c r="A3997" s="6" t="s">
        <v>6609</v>
      </c>
      <c r="B3997" s="6" t="s">
        <v>951</v>
      </c>
      <c r="C3997" s="6" t="s">
        <v>131</v>
      </c>
      <c r="D3997" s="13" t="n">
        <v>45392</v>
      </c>
      <c r="E3997" s="14" t="n">
        <v>5052.27</v>
      </c>
      <c r="F3997" s="14" t="n">
        <v>8869.13</v>
      </c>
      <c r="G3997" s="6" t="s">
        <v>2613</v>
      </c>
    </row>
    <row r="3998" customFormat="false" ht="15" hidden="false" customHeight="true" outlineLevel="0" collapsed="false">
      <c r="A3998" s="6" t="s">
        <v>6610</v>
      </c>
      <c r="B3998" s="6" t="s">
        <v>951</v>
      </c>
      <c r="C3998" s="6" t="s">
        <v>131</v>
      </c>
      <c r="D3998" s="13" t="n">
        <v>45399</v>
      </c>
      <c r="E3998" s="14" t="n">
        <v>5668.94</v>
      </c>
      <c r="F3998" s="14" t="n">
        <v>14538.07</v>
      </c>
      <c r="G3998" s="6" t="s">
        <v>2613</v>
      </c>
    </row>
    <row r="3999" customFormat="false" ht="15" hidden="false" customHeight="true" outlineLevel="0" collapsed="false">
      <c r="A3999" s="6" t="s">
        <v>6611</v>
      </c>
      <c r="B3999" s="6" t="s">
        <v>951</v>
      </c>
      <c r="C3999" s="6" t="s">
        <v>131</v>
      </c>
      <c r="D3999" s="13" t="n">
        <v>45406</v>
      </c>
      <c r="E3999" s="14" t="n">
        <v>4266.78</v>
      </c>
      <c r="F3999" s="14" t="n">
        <v>18804.85</v>
      </c>
      <c r="G3999" s="6" t="s">
        <v>2613</v>
      </c>
    </row>
    <row r="4000" customFormat="false" ht="15" hidden="false" customHeight="true" outlineLevel="0" collapsed="false">
      <c r="A4000" s="6" t="s">
        <v>6612</v>
      </c>
      <c r="B4000" s="6" t="s">
        <v>951</v>
      </c>
      <c r="C4000" s="6" t="s">
        <v>131</v>
      </c>
      <c r="D4000" s="13" t="n">
        <v>45413</v>
      </c>
      <c r="E4000" s="14" t="n">
        <v>6179.12</v>
      </c>
      <c r="F4000" s="14" t="n">
        <v>24983.97</v>
      </c>
      <c r="G4000" s="6" t="s">
        <v>2613</v>
      </c>
    </row>
    <row r="4001" customFormat="false" ht="15" hidden="false" customHeight="true" outlineLevel="0" collapsed="false">
      <c r="A4001" s="6" t="s">
        <v>6613</v>
      </c>
      <c r="B4001" s="6" t="s">
        <v>951</v>
      </c>
      <c r="C4001" s="6" t="s">
        <v>131</v>
      </c>
      <c r="D4001" s="13" t="n">
        <v>45420</v>
      </c>
      <c r="E4001" s="14" t="n">
        <v>4310.47</v>
      </c>
      <c r="F4001" s="14" t="n">
        <v>29294.44</v>
      </c>
      <c r="G4001" s="6" t="s">
        <v>2613</v>
      </c>
    </row>
    <row r="4002" customFormat="false" ht="15" hidden="false" customHeight="true" outlineLevel="0" collapsed="false">
      <c r="A4002" s="6" t="s">
        <v>6614</v>
      </c>
      <c r="B4002" s="6" t="s">
        <v>951</v>
      </c>
      <c r="C4002" s="6" t="s">
        <v>131</v>
      </c>
      <c r="D4002" s="13" t="n">
        <v>45427</v>
      </c>
      <c r="E4002" s="14" t="n">
        <v>4379.5</v>
      </c>
      <c r="F4002" s="14" t="n">
        <v>33673.94</v>
      </c>
      <c r="G4002" s="6" t="s">
        <v>2613</v>
      </c>
    </row>
    <row r="4003" customFormat="false" ht="15" hidden="false" customHeight="true" outlineLevel="0" collapsed="false">
      <c r="A4003" s="6" t="s">
        <v>6615</v>
      </c>
      <c r="B4003" s="6" t="s">
        <v>951</v>
      </c>
      <c r="C4003" s="6" t="s">
        <v>131</v>
      </c>
      <c r="D4003" s="13" t="n">
        <v>45434</v>
      </c>
      <c r="E4003" s="14" t="n">
        <v>4954.32</v>
      </c>
      <c r="F4003" s="14" t="n">
        <v>38628.26</v>
      </c>
      <c r="G4003" s="6" t="s">
        <v>2613</v>
      </c>
    </row>
    <row r="4004" customFormat="false" ht="15" hidden="false" customHeight="true" outlineLevel="0" collapsed="false">
      <c r="A4004" s="6" t="s">
        <v>6616</v>
      </c>
      <c r="B4004" s="6" t="s">
        <v>951</v>
      </c>
      <c r="C4004" s="6" t="s">
        <v>131</v>
      </c>
      <c r="D4004" s="13" t="n">
        <v>45441</v>
      </c>
      <c r="E4004" s="14" t="n">
        <v>6340.98</v>
      </c>
      <c r="F4004" s="14" t="n">
        <v>44969.24</v>
      </c>
      <c r="G4004" s="6" t="s">
        <v>2613</v>
      </c>
    </row>
    <row r="4005" customFormat="false" ht="15" hidden="false" customHeight="true" outlineLevel="0" collapsed="false">
      <c r="A4005" s="6" t="s">
        <v>6617</v>
      </c>
      <c r="B4005" s="6" t="s">
        <v>951</v>
      </c>
      <c r="C4005" s="6" t="s">
        <v>131</v>
      </c>
      <c r="D4005" s="13" t="n">
        <v>45448</v>
      </c>
      <c r="E4005" s="14" t="n">
        <v>6208.52</v>
      </c>
      <c r="F4005" s="14" t="n">
        <v>51177.76</v>
      </c>
      <c r="G4005" s="6" t="s">
        <v>2613</v>
      </c>
    </row>
    <row r="4006" customFormat="false" ht="15" hidden="false" customHeight="true" outlineLevel="0" collapsed="false">
      <c r="A4006" s="6" t="s">
        <v>6618</v>
      </c>
      <c r="B4006" s="6" t="s">
        <v>951</v>
      </c>
      <c r="C4006" s="6" t="s">
        <v>131</v>
      </c>
      <c r="D4006" s="13" t="n">
        <v>45455</v>
      </c>
      <c r="E4006" s="14" t="n">
        <v>1514.41</v>
      </c>
      <c r="F4006" s="14" t="n">
        <v>52692.17</v>
      </c>
      <c r="G4006" s="6" t="s">
        <v>2613</v>
      </c>
    </row>
    <row r="4007" customFormat="false" ht="15" hidden="false" customHeight="true" outlineLevel="0" collapsed="false">
      <c r="A4007" s="6" t="s">
        <v>6619</v>
      </c>
      <c r="B4007" s="6" t="s">
        <v>953</v>
      </c>
      <c r="C4007" s="6" t="s">
        <v>120</v>
      </c>
      <c r="D4007" s="13" t="n">
        <v>46096</v>
      </c>
      <c r="E4007" s="14" t="n">
        <v>6280.74</v>
      </c>
      <c r="F4007" s="14" t="n">
        <v>6280.74</v>
      </c>
      <c r="G4007" s="6" t="s">
        <v>2613</v>
      </c>
    </row>
    <row r="4008" customFormat="false" ht="15" hidden="false" customHeight="true" outlineLevel="0" collapsed="false">
      <c r="A4008" s="6" t="s">
        <v>6620</v>
      </c>
      <c r="B4008" s="6" t="s">
        <v>953</v>
      </c>
      <c r="C4008" s="6" t="s">
        <v>120</v>
      </c>
      <c r="D4008" s="13" t="n">
        <v>46103</v>
      </c>
      <c r="E4008" s="14" t="n">
        <v>7001.24</v>
      </c>
      <c r="F4008" s="14" t="n">
        <v>13281.98</v>
      </c>
      <c r="G4008" s="6" t="s">
        <v>2613</v>
      </c>
    </row>
    <row r="4009" customFormat="false" ht="15" hidden="false" customHeight="true" outlineLevel="0" collapsed="false">
      <c r="A4009" s="6" t="s">
        <v>6621</v>
      </c>
      <c r="B4009" s="6" t="s">
        <v>953</v>
      </c>
      <c r="C4009" s="6" t="s">
        <v>120</v>
      </c>
      <c r="D4009" s="13" t="n">
        <v>46110</v>
      </c>
      <c r="E4009" s="14" t="n">
        <v>4814.67</v>
      </c>
      <c r="F4009" s="14" t="n">
        <v>18096.65</v>
      </c>
      <c r="G4009" s="6" t="s">
        <v>2613</v>
      </c>
    </row>
    <row r="4010" customFormat="false" ht="15" hidden="false" customHeight="true" outlineLevel="0" collapsed="false">
      <c r="A4010" s="6" t="s">
        <v>6622</v>
      </c>
      <c r="B4010" s="6" t="s">
        <v>953</v>
      </c>
      <c r="C4010" s="6" t="s">
        <v>120</v>
      </c>
      <c r="D4010" s="13" t="n">
        <v>46117</v>
      </c>
      <c r="E4010" s="14" t="n">
        <v>6719.67</v>
      </c>
      <c r="F4010" s="14" t="n">
        <v>24816.32</v>
      </c>
      <c r="G4010" s="6" t="s">
        <v>2613</v>
      </c>
    </row>
    <row r="4011" customFormat="false" ht="15" hidden="false" customHeight="true" outlineLevel="0" collapsed="false">
      <c r="A4011" s="6" t="s">
        <v>6623</v>
      </c>
      <c r="B4011" s="6" t="s">
        <v>953</v>
      </c>
      <c r="C4011" s="6" t="s">
        <v>120</v>
      </c>
      <c r="D4011" s="13" t="n">
        <v>46124</v>
      </c>
      <c r="E4011" s="14" t="n">
        <v>5583.01</v>
      </c>
      <c r="F4011" s="14" t="n">
        <v>30399.33</v>
      </c>
      <c r="G4011" s="6" t="s">
        <v>2613</v>
      </c>
    </row>
    <row r="4012" customFormat="false" ht="15" hidden="false" customHeight="true" outlineLevel="0" collapsed="false">
      <c r="A4012" s="6" t="s">
        <v>6624</v>
      </c>
      <c r="B4012" s="6" t="s">
        <v>953</v>
      </c>
      <c r="C4012" s="6" t="s">
        <v>120</v>
      </c>
      <c r="D4012" s="13" t="n">
        <v>46131</v>
      </c>
      <c r="E4012" s="14" t="n">
        <v>6832.2</v>
      </c>
      <c r="F4012" s="14" t="n">
        <v>37231.53</v>
      </c>
      <c r="G4012" s="6" t="s">
        <v>2613</v>
      </c>
    </row>
    <row r="4013" customFormat="false" ht="15" hidden="false" customHeight="true" outlineLevel="0" collapsed="false">
      <c r="A4013" s="6" t="s">
        <v>6625</v>
      </c>
      <c r="B4013" s="6" t="s">
        <v>953</v>
      </c>
      <c r="C4013" s="6" t="s">
        <v>120</v>
      </c>
      <c r="D4013" s="13" t="n">
        <v>46138</v>
      </c>
      <c r="E4013" s="14" t="n">
        <v>6221.36</v>
      </c>
      <c r="F4013" s="14" t="n">
        <v>43452.89</v>
      </c>
      <c r="G4013" s="6" t="s">
        <v>2623</v>
      </c>
    </row>
    <row r="4014" customFormat="false" ht="15" hidden="false" customHeight="true" outlineLevel="0" collapsed="false">
      <c r="A4014" s="6" t="s">
        <v>6626</v>
      </c>
      <c r="B4014" s="6" t="s">
        <v>953</v>
      </c>
      <c r="C4014" s="6" t="s">
        <v>120</v>
      </c>
      <c r="D4014" s="13" t="n">
        <v>46145</v>
      </c>
      <c r="E4014" s="14" t="n">
        <v>3824.07</v>
      </c>
      <c r="F4014" s="14" t="n">
        <v>47276.96</v>
      </c>
      <c r="G4014" s="6" t="s">
        <v>2623</v>
      </c>
    </row>
    <row r="4015" customFormat="false" ht="15" hidden="false" customHeight="true" outlineLevel="0" collapsed="false">
      <c r="A4015" s="6" t="s">
        <v>6627</v>
      </c>
      <c r="B4015" s="6" t="s">
        <v>953</v>
      </c>
      <c r="C4015" s="6" t="s">
        <v>120</v>
      </c>
      <c r="D4015" s="13" t="n">
        <v>46152</v>
      </c>
      <c r="E4015" s="14" t="n">
        <v>3482.78</v>
      </c>
      <c r="F4015" s="14" t="n">
        <v>50759.74</v>
      </c>
      <c r="G4015" s="6" t="s">
        <v>2613</v>
      </c>
    </row>
    <row r="4016" customFormat="false" ht="15" hidden="false" customHeight="true" outlineLevel="0" collapsed="false">
      <c r="A4016" s="6" t="s">
        <v>6628</v>
      </c>
      <c r="B4016" s="6" t="s">
        <v>953</v>
      </c>
      <c r="C4016" s="6" t="s">
        <v>120</v>
      </c>
      <c r="D4016" s="13" t="n">
        <v>46159</v>
      </c>
      <c r="E4016" s="14" t="n">
        <v>7311.06</v>
      </c>
      <c r="F4016" s="14" t="n">
        <v>58070.8</v>
      </c>
      <c r="G4016" s="6" t="s">
        <v>2613</v>
      </c>
    </row>
    <row r="4017" customFormat="false" ht="15" hidden="false" customHeight="true" outlineLevel="0" collapsed="false">
      <c r="A4017" s="6" t="s">
        <v>6629</v>
      </c>
      <c r="B4017" s="6" t="s">
        <v>953</v>
      </c>
      <c r="C4017" s="6" t="s">
        <v>120</v>
      </c>
      <c r="D4017" s="13" t="n">
        <v>46166</v>
      </c>
      <c r="E4017" s="14" t="n">
        <v>3791.94</v>
      </c>
      <c r="F4017" s="14" t="n">
        <v>61862.74</v>
      </c>
      <c r="G4017" s="6" t="s">
        <v>2613</v>
      </c>
    </row>
    <row r="4018" customFormat="false" ht="15" hidden="false" customHeight="true" outlineLevel="0" collapsed="false">
      <c r="A4018" s="6" t="s">
        <v>6630</v>
      </c>
      <c r="B4018" s="6" t="s">
        <v>953</v>
      </c>
      <c r="C4018" s="6" t="s">
        <v>120</v>
      </c>
      <c r="D4018" s="13" t="n">
        <v>46173</v>
      </c>
      <c r="E4018" s="14" t="n">
        <v>4996.17</v>
      </c>
      <c r="F4018" s="14" t="n">
        <v>66858.91</v>
      </c>
      <c r="G4018" s="6" t="s">
        <v>2613</v>
      </c>
    </row>
    <row r="4019" customFormat="false" ht="15" hidden="false" customHeight="true" outlineLevel="0" collapsed="false">
      <c r="A4019" s="6" t="s">
        <v>6631</v>
      </c>
      <c r="B4019" s="6" t="s">
        <v>953</v>
      </c>
      <c r="C4019" s="6" t="s">
        <v>120</v>
      </c>
      <c r="D4019" s="13" t="n">
        <v>46180</v>
      </c>
      <c r="E4019" s="14" t="n">
        <v>7710.56</v>
      </c>
      <c r="F4019" s="14" t="n">
        <v>74569.47</v>
      </c>
      <c r="G4019" s="6" t="s">
        <v>2613</v>
      </c>
    </row>
    <row r="4020" customFormat="false" ht="15" hidden="false" customHeight="true" outlineLevel="0" collapsed="false">
      <c r="A4020" s="6" t="s">
        <v>6632</v>
      </c>
      <c r="B4020" s="6" t="s">
        <v>953</v>
      </c>
      <c r="C4020" s="6" t="s">
        <v>120</v>
      </c>
      <c r="D4020" s="13" t="n">
        <v>46187</v>
      </c>
      <c r="E4020" s="14" t="n">
        <v>3683.93</v>
      </c>
      <c r="F4020" s="14" t="n">
        <v>78253.4</v>
      </c>
      <c r="G4020" s="6" t="s">
        <v>2613</v>
      </c>
    </row>
    <row r="4021" customFormat="false" ht="15" hidden="false" customHeight="true" outlineLevel="0" collapsed="false">
      <c r="A4021" s="6" t="s">
        <v>6633</v>
      </c>
      <c r="B4021" s="6" t="s">
        <v>953</v>
      </c>
      <c r="C4021" s="6" t="s">
        <v>120</v>
      </c>
      <c r="D4021" s="13" t="n">
        <v>46194</v>
      </c>
      <c r="E4021" s="14" t="n">
        <v>6393.36</v>
      </c>
      <c r="F4021" s="14" t="n">
        <v>84646.76</v>
      </c>
      <c r="G4021" s="6" t="s">
        <v>2613</v>
      </c>
    </row>
    <row r="4022" customFormat="false" ht="15" hidden="false" customHeight="true" outlineLevel="0" collapsed="false">
      <c r="A4022" s="6" t="s">
        <v>6634</v>
      </c>
      <c r="B4022" s="6" t="s">
        <v>955</v>
      </c>
      <c r="C4022" s="6" t="s">
        <v>124</v>
      </c>
      <c r="D4022" s="13" t="n">
        <v>45835</v>
      </c>
      <c r="E4022" s="14" t="n">
        <v>7629.49</v>
      </c>
      <c r="F4022" s="14" t="n">
        <v>7629.49</v>
      </c>
      <c r="G4022" s="6" t="s">
        <v>2613</v>
      </c>
    </row>
    <row r="4023" customFormat="false" ht="15" hidden="false" customHeight="true" outlineLevel="0" collapsed="false">
      <c r="A4023" s="6" t="s">
        <v>6635</v>
      </c>
      <c r="B4023" s="6" t="s">
        <v>955</v>
      </c>
      <c r="C4023" s="6" t="s">
        <v>124</v>
      </c>
      <c r="D4023" s="13" t="n">
        <v>45842</v>
      </c>
      <c r="E4023" s="14" t="n">
        <v>5706.75</v>
      </c>
      <c r="F4023" s="14" t="n">
        <v>13336.24</v>
      </c>
      <c r="G4023" s="6" t="s">
        <v>2613</v>
      </c>
    </row>
    <row r="4024" customFormat="false" ht="15" hidden="false" customHeight="true" outlineLevel="0" collapsed="false">
      <c r="A4024" s="6" t="s">
        <v>6636</v>
      </c>
      <c r="B4024" s="6" t="s">
        <v>955</v>
      </c>
      <c r="C4024" s="6" t="s">
        <v>124</v>
      </c>
      <c r="D4024" s="13" t="n">
        <v>45849</v>
      </c>
      <c r="E4024" s="14" t="n">
        <v>5530.53</v>
      </c>
      <c r="F4024" s="14" t="n">
        <v>18866.77</v>
      </c>
      <c r="G4024" s="6" t="s">
        <v>2613</v>
      </c>
    </row>
    <row r="4025" customFormat="false" ht="15" hidden="false" customHeight="true" outlineLevel="0" collapsed="false">
      <c r="A4025" s="6" t="s">
        <v>6637</v>
      </c>
      <c r="B4025" s="6" t="s">
        <v>955</v>
      </c>
      <c r="C4025" s="6" t="s">
        <v>124</v>
      </c>
      <c r="D4025" s="13" t="n">
        <v>45856</v>
      </c>
      <c r="E4025" s="14" t="n">
        <v>9382.19</v>
      </c>
      <c r="F4025" s="14" t="n">
        <v>28248.96</v>
      </c>
      <c r="G4025" s="6" t="s">
        <v>2613</v>
      </c>
    </row>
    <row r="4026" customFormat="false" ht="15" hidden="false" customHeight="true" outlineLevel="0" collapsed="false">
      <c r="A4026" s="6" t="s">
        <v>6638</v>
      </c>
      <c r="B4026" s="6" t="s">
        <v>955</v>
      </c>
      <c r="C4026" s="6" t="s">
        <v>124</v>
      </c>
      <c r="D4026" s="13" t="n">
        <v>45863</v>
      </c>
      <c r="E4026" s="14" t="n">
        <v>4687.6</v>
      </c>
      <c r="F4026" s="14" t="n">
        <v>32936.56</v>
      </c>
      <c r="G4026" s="6" t="s">
        <v>2623</v>
      </c>
    </row>
    <row r="4027" customFormat="false" ht="15" hidden="false" customHeight="true" outlineLevel="0" collapsed="false">
      <c r="A4027" s="6" t="s">
        <v>6639</v>
      </c>
      <c r="B4027" s="6" t="s">
        <v>955</v>
      </c>
      <c r="C4027" s="6" t="s">
        <v>124</v>
      </c>
      <c r="D4027" s="13" t="n">
        <v>45870</v>
      </c>
      <c r="E4027" s="14" t="n">
        <v>9021.54</v>
      </c>
      <c r="F4027" s="14" t="n">
        <v>41958.1</v>
      </c>
      <c r="G4027" s="6" t="s">
        <v>2613</v>
      </c>
    </row>
    <row r="4028" customFormat="false" ht="15" hidden="false" customHeight="true" outlineLevel="0" collapsed="false">
      <c r="A4028" s="6" t="s">
        <v>6640</v>
      </c>
      <c r="B4028" s="6" t="s">
        <v>955</v>
      </c>
      <c r="C4028" s="6" t="s">
        <v>124</v>
      </c>
      <c r="D4028" s="13" t="n">
        <v>45877</v>
      </c>
      <c r="E4028" s="14" t="n">
        <v>6789.43</v>
      </c>
      <c r="F4028" s="14" t="n">
        <v>48747.53</v>
      </c>
      <c r="G4028" s="6" t="s">
        <v>2613</v>
      </c>
    </row>
    <row r="4029" customFormat="false" ht="15" hidden="false" customHeight="true" outlineLevel="0" collapsed="false">
      <c r="A4029" s="6" t="s">
        <v>6641</v>
      </c>
      <c r="B4029" s="6" t="s">
        <v>955</v>
      </c>
      <c r="C4029" s="6" t="s">
        <v>124</v>
      </c>
      <c r="D4029" s="13" t="n">
        <v>45884</v>
      </c>
      <c r="E4029" s="14" t="n">
        <v>7394.26</v>
      </c>
      <c r="F4029" s="14" t="n">
        <v>56141.79</v>
      </c>
      <c r="G4029" s="6" t="s">
        <v>2613</v>
      </c>
    </row>
    <row r="4030" customFormat="false" ht="15" hidden="false" customHeight="true" outlineLevel="0" collapsed="false">
      <c r="A4030" s="6" t="s">
        <v>6642</v>
      </c>
      <c r="B4030" s="6" t="s">
        <v>955</v>
      </c>
      <c r="C4030" s="6" t="s">
        <v>124</v>
      </c>
      <c r="D4030" s="13" t="n">
        <v>45891</v>
      </c>
      <c r="E4030" s="14" t="n">
        <v>6114.61</v>
      </c>
      <c r="F4030" s="14" t="n">
        <v>62256.4</v>
      </c>
      <c r="G4030" s="6" t="s">
        <v>2613</v>
      </c>
    </row>
    <row r="4031" customFormat="false" ht="15" hidden="false" customHeight="true" outlineLevel="0" collapsed="false">
      <c r="A4031" s="6" t="s">
        <v>6643</v>
      </c>
      <c r="B4031" s="6" t="s">
        <v>957</v>
      </c>
      <c r="C4031" s="6" t="s">
        <v>124</v>
      </c>
      <c r="D4031" s="13" t="n">
        <v>44845</v>
      </c>
      <c r="E4031" s="14" t="n">
        <v>4815.26</v>
      </c>
      <c r="F4031" s="14" t="n">
        <v>4815.26</v>
      </c>
      <c r="G4031" s="6" t="s">
        <v>2613</v>
      </c>
    </row>
    <row r="4032" customFormat="false" ht="15" hidden="false" customHeight="true" outlineLevel="0" collapsed="false">
      <c r="A4032" s="6" t="s">
        <v>6644</v>
      </c>
      <c r="B4032" s="6" t="s">
        <v>957</v>
      </c>
      <c r="C4032" s="6" t="s">
        <v>124</v>
      </c>
      <c r="D4032" s="13" t="n">
        <v>44852</v>
      </c>
      <c r="E4032" s="14" t="n">
        <v>4868.03</v>
      </c>
      <c r="F4032" s="14" t="n">
        <v>9683.29</v>
      </c>
      <c r="G4032" s="6" t="s">
        <v>2613</v>
      </c>
    </row>
    <row r="4033" customFormat="false" ht="15" hidden="false" customHeight="true" outlineLevel="0" collapsed="false">
      <c r="A4033" s="6" t="s">
        <v>6645</v>
      </c>
      <c r="B4033" s="6" t="s">
        <v>957</v>
      </c>
      <c r="C4033" s="6" t="s">
        <v>124</v>
      </c>
      <c r="D4033" s="13" t="n">
        <v>44859</v>
      </c>
      <c r="E4033" s="14" t="n">
        <v>2736.25</v>
      </c>
      <c r="F4033" s="14" t="n">
        <v>12419.54</v>
      </c>
      <c r="G4033" s="6" t="s">
        <v>2613</v>
      </c>
    </row>
    <row r="4034" customFormat="false" ht="15" hidden="false" customHeight="true" outlineLevel="0" collapsed="false">
      <c r="A4034" s="6" t="s">
        <v>6646</v>
      </c>
      <c r="B4034" s="6" t="s">
        <v>957</v>
      </c>
      <c r="C4034" s="6" t="s">
        <v>124</v>
      </c>
      <c r="D4034" s="13" t="n">
        <v>44866</v>
      </c>
      <c r="E4034" s="14" t="n">
        <v>3011.34</v>
      </c>
      <c r="F4034" s="14" t="n">
        <v>15430.88</v>
      </c>
      <c r="G4034" s="6" t="s">
        <v>2613</v>
      </c>
    </row>
    <row r="4035" customFormat="false" ht="15" hidden="false" customHeight="true" outlineLevel="0" collapsed="false">
      <c r="A4035" s="6" t="s">
        <v>6647</v>
      </c>
      <c r="B4035" s="6" t="s">
        <v>957</v>
      </c>
      <c r="C4035" s="6" t="s">
        <v>124</v>
      </c>
      <c r="D4035" s="13" t="n">
        <v>44873</v>
      </c>
      <c r="E4035" s="14" t="n">
        <v>4439.16</v>
      </c>
      <c r="F4035" s="14" t="n">
        <v>19870.04</v>
      </c>
      <c r="G4035" s="6" t="s">
        <v>2613</v>
      </c>
    </row>
    <row r="4036" customFormat="false" ht="15" hidden="false" customHeight="true" outlineLevel="0" collapsed="false">
      <c r="A4036" s="6" t="s">
        <v>6648</v>
      </c>
      <c r="B4036" s="6" t="s">
        <v>957</v>
      </c>
      <c r="C4036" s="6" t="s">
        <v>124</v>
      </c>
      <c r="D4036" s="13" t="n">
        <v>44880</v>
      </c>
      <c r="E4036" s="14" t="n">
        <v>5008.27</v>
      </c>
      <c r="F4036" s="14" t="n">
        <v>24878.31</v>
      </c>
      <c r="G4036" s="6" t="s">
        <v>2613</v>
      </c>
    </row>
    <row r="4037" customFormat="false" ht="15" hidden="false" customHeight="true" outlineLevel="0" collapsed="false">
      <c r="A4037" s="6" t="s">
        <v>6649</v>
      </c>
      <c r="B4037" s="6" t="s">
        <v>957</v>
      </c>
      <c r="C4037" s="6" t="s">
        <v>124</v>
      </c>
      <c r="D4037" s="13" t="n">
        <v>44887</v>
      </c>
      <c r="E4037" s="14" t="n">
        <v>3963.3</v>
      </c>
      <c r="F4037" s="14" t="n">
        <v>28841.61</v>
      </c>
      <c r="G4037" s="6" t="s">
        <v>2613</v>
      </c>
    </row>
    <row r="4038" customFormat="false" ht="15" hidden="false" customHeight="true" outlineLevel="0" collapsed="false">
      <c r="A4038" s="6" t="s">
        <v>6650</v>
      </c>
      <c r="B4038" s="6" t="s">
        <v>957</v>
      </c>
      <c r="C4038" s="6" t="s">
        <v>124</v>
      </c>
      <c r="D4038" s="13" t="n">
        <v>44894</v>
      </c>
      <c r="E4038" s="14" t="n">
        <v>5031.76</v>
      </c>
      <c r="F4038" s="14" t="n">
        <v>33873.37</v>
      </c>
      <c r="G4038" s="6" t="s">
        <v>2613</v>
      </c>
    </row>
    <row r="4039" customFormat="false" ht="15" hidden="false" customHeight="true" outlineLevel="0" collapsed="false">
      <c r="A4039" s="6" t="s">
        <v>6651</v>
      </c>
      <c r="B4039" s="6" t="s">
        <v>957</v>
      </c>
      <c r="C4039" s="6" t="s">
        <v>124</v>
      </c>
      <c r="D4039" s="13" t="n">
        <v>44901</v>
      </c>
      <c r="E4039" s="14" t="n">
        <v>2896.84</v>
      </c>
      <c r="F4039" s="14" t="n">
        <v>36770.21</v>
      </c>
      <c r="G4039" s="6" t="s">
        <v>2613</v>
      </c>
    </row>
    <row r="4040" customFormat="false" ht="15" hidden="false" customHeight="true" outlineLevel="0" collapsed="false">
      <c r="A4040" s="6" t="s">
        <v>6652</v>
      </c>
      <c r="B4040" s="6" t="s">
        <v>957</v>
      </c>
      <c r="C4040" s="6" t="s">
        <v>124</v>
      </c>
      <c r="D4040" s="13" t="n">
        <v>44908</v>
      </c>
      <c r="E4040" s="14" t="n">
        <v>5003.84</v>
      </c>
      <c r="F4040" s="14" t="n">
        <v>41774.05</v>
      </c>
      <c r="G4040" s="6" t="s">
        <v>2613</v>
      </c>
    </row>
    <row r="4041" customFormat="false" ht="15" hidden="false" customHeight="true" outlineLevel="0" collapsed="false">
      <c r="A4041" s="6" t="s">
        <v>6653</v>
      </c>
      <c r="B4041" s="6" t="s">
        <v>957</v>
      </c>
      <c r="C4041" s="6" t="s">
        <v>124</v>
      </c>
      <c r="D4041" s="13" t="n">
        <v>44915</v>
      </c>
      <c r="E4041" s="14" t="n">
        <v>2234.47</v>
      </c>
      <c r="F4041" s="14" t="n">
        <v>44008.52</v>
      </c>
      <c r="G4041" s="6" t="s">
        <v>2613</v>
      </c>
    </row>
    <row r="4042" customFormat="false" ht="15" hidden="false" customHeight="true" outlineLevel="0" collapsed="false">
      <c r="A4042" s="6" t="s">
        <v>6654</v>
      </c>
      <c r="B4042" s="6" t="s">
        <v>957</v>
      </c>
      <c r="C4042" s="6" t="s">
        <v>124</v>
      </c>
      <c r="D4042" s="13" t="n">
        <v>44922</v>
      </c>
      <c r="E4042" s="14" t="n">
        <v>2648.86</v>
      </c>
      <c r="F4042" s="14" t="n">
        <v>46657.38</v>
      </c>
      <c r="G4042" s="6" t="s">
        <v>2613</v>
      </c>
    </row>
    <row r="4043" customFormat="false" ht="15" hidden="false" customHeight="true" outlineLevel="0" collapsed="false">
      <c r="A4043" s="6" t="s">
        <v>6655</v>
      </c>
      <c r="B4043" s="6" t="s">
        <v>957</v>
      </c>
      <c r="C4043" s="6" t="s">
        <v>124</v>
      </c>
      <c r="D4043" s="13" t="n">
        <v>44929</v>
      </c>
      <c r="E4043" s="14" t="n">
        <v>4190.52</v>
      </c>
      <c r="F4043" s="14" t="n">
        <v>50847.9</v>
      </c>
      <c r="G4043" s="6" t="s">
        <v>2613</v>
      </c>
    </row>
    <row r="4044" customFormat="false" ht="15" hidden="false" customHeight="true" outlineLevel="0" collapsed="false">
      <c r="A4044" s="6" t="s">
        <v>6656</v>
      </c>
      <c r="B4044" s="6" t="s">
        <v>957</v>
      </c>
      <c r="C4044" s="6" t="s">
        <v>124</v>
      </c>
      <c r="D4044" s="13" t="n">
        <v>44936</v>
      </c>
      <c r="E4044" s="14" t="n">
        <v>5044.62</v>
      </c>
      <c r="F4044" s="14" t="n">
        <v>55892.52</v>
      </c>
      <c r="G4044" s="6" t="s">
        <v>2613</v>
      </c>
    </row>
    <row r="4045" customFormat="false" ht="15" hidden="false" customHeight="true" outlineLevel="0" collapsed="false">
      <c r="A4045" s="6" t="s">
        <v>6657</v>
      </c>
      <c r="B4045" s="6" t="s">
        <v>957</v>
      </c>
      <c r="C4045" s="6" t="s">
        <v>124</v>
      </c>
      <c r="D4045" s="13" t="n">
        <v>44943</v>
      </c>
      <c r="E4045" s="14" t="n">
        <v>2954.96</v>
      </c>
      <c r="F4045" s="14" t="n">
        <v>58847.48</v>
      </c>
      <c r="G4045" s="6" t="s">
        <v>2613</v>
      </c>
    </row>
    <row r="4046" customFormat="false" ht="15" hidden="false" customHeight="true" outlineLevel="0" collapsed="false">
      <c r="A4046" s="6" t="s">
        <v>6658</v>
      </c>
      <c r="B4046" s="6" t="s">
        <v>957</v>
      </c>
      <c r="C4046" s="6" t="s">
        <v>124</v>
      </c>
      <c r="D4046" s="13" t="n">
        <v>44950</v>
      </c>
      <c r="E4046" s="14" t="n">
        <v>4063.92</v>
      </c>
      <c r="F4046" s="14" t="n">
        <v>62911.4</v>
      </c>
      <c r="G4046" s="6" t="s">
        <v>2613</v>
      </c>
    </row>
    <row r="4047" customFormat="false" ht="15" hidden="false" customHeight="true" outlineLevel="0" collapsed="false">
      <c r="A4047" s="6" t="s">
        <v>6659</v>
      </c>
      <c r="B4047" s="6" t="s">
        <v>957</v>
      </c>
      <c r="C4047" s="6" t="s">
        <v>124</v>
      </c>
      <c r="D4047" s="13" t="n">
        <v>44957</v>
      </c>
      <c r="E4047" s="14" t="n">
        <v>3128.54</v>
      </c>
      <c r="F4047" s="14" t="n">
        <v>66039.94</v>
      </c>
      <c r="G4047" s="6" t="s">
        <v>2623</v>
      </c>
    </row>
    <row r="4048" customFormat="false" ht="15" hidden="false" customHeight="true" outlineLevel="0" collapsed="false">
      <c r="A4048" s="6" t="s">
        <v>6660</v>
      </c>
      <c r="B4048" s="6" t="s">
        <v>957</v>
      </c>
      <c r="C4048" s="6" t="s">
        <v>124</v>
      </c>
      <c r="D4048" s="13" t="n">
        <v>44964</v>
      </c>
      <c r="E4048" s="14" t="n">
        <v>4686.06</v>
      </c>
      <c r="F4048" s="14" t="n">
        <v>70726</v>
      </c>
      <c r="G4048" s="6" t="s">
        <v>2613</v>
      </c>
    </row>
    <row r="4049" customFormat="false" ht="15" hidden="false" customHeight="true" outlineLevel="0" collapsed="false">
      <c r="A4049" s="6" t="s">
        <v>6661</v>
      </c>
      <c r="B4049" s="6" t="s">
        <v>957</v>
      </c>
      <c r="C4049" s="6" t="s">
        <v>124</v>
      </c>
      <c r="D4049" s="13" t="n">
        <v>44971</v>
      </c>
      <c r="E4049" s="14" t="n">
        <v>2197.59</v>
      </c>
      <c r="F4049" s="14" t="n">
        <v>72923.59</v>
      </c>
      <c r="G4049" s="6" t="s">
        <v>2613</v>
      </c>
    </row>
    <row r="4050" customFormat="false" ht="15" hidden="false" customHeight="true" outlineLevel="0" collapsed="false">
      <c r="A4050" s="6" t="s">
        <v>6662</v>
      </c>
      <c r="B4050" s="6" t="s">
        <v>957</v>
      </c>
      <c r="C4050" s="6" t="s">
        <v>124</v>
      </c>
      <c r="D4050" s="13" t="n">
        <v>44978</v>
      </c>
      <c r="E4050" s="14" t="n">
        <v>3041.27</v>
      </c>
      <c r="F4050" s="14" t="n">
        <v>75964.86</v>
      </c>
      <c r="G4050" s="6" t="s">
        <v>2613</v>
      </c>
    </row>
    <row r="4051" customFormat="false" ht="15" hidden="false" customHeight="true" outlineLevel="0" collapsed="false">
      <c r="A4051" s="6" t="s">
        <v>6663</v>
      </c>
      <c r="B4051" s="6" t="s">
        <v>957</v>
      </c>
      <c r="C4051" s="6" t="s">
        <v>124</v>
      </c>
      <c r="D4051" s="13" t="n">
        <v>44985</v>
      </c>
      <c r="E4051" s="14" t="n">
        <v>3524.92</v>
      </c>
      <c r="F4051" s="14" t="n">
        <v>79489.78</v>
      </c>
      <c r="G4051" s="6" t="s">
        <v>2613</v>
      </c>
    </row>
    <row r="4052" customFormat="false" ht="15" hidden="false" customHeight="true" outlineLevel="0" collapsed="false">
      <c r="A4052" s="6" t="s">
        <v>6664</v>
      </c>
      <c r="B4052" s="6" t="s">
        <v>957</v>
      </c>
      <c r="C4052" s="6" t="s">
        <v>124</v>
      </c>
      <c r="D4052" s="13" t="n">
        <v>44992</v>
      </c>
      <c r="E4052" s="14" t="n">
        <v>4175.42</v>
      </c>
      <c r="F4052" s="14" t="n">
        <v>83665.2</v>
      </c>
      <c r="G4052" s="6" t="s">
        <v>2613</v>
      </c>
    </row>
    <row r="4053" customFormat="false" ht="15" hidden="false" customHeight="true" outlineLevel="0" collapsed="false">
      <c r="A4053" s="6" t="s">
        <v>6665</v>
      </c>
      <c r="B4053" s="6" t="s">
        <v>957</v>
      </c>
      <c r="C4053" s="6" t="s">
        <v>124</v>
      </c>
      <c r="D4053" s="13" t="n">
        <v>44999</v>
      </c>
      <c r="E4053" s="14" t="n">
        <v>3250.52</v>
      </c>
      <c r="F4053" s="14" t="n">
        <v>86915.72</v>
      </c>
      <c r="G4053" s="6" t="s">
        <v>2613</v>
      </c>
    </row>
    <row r="4054" customFormat="false" ht="15" hidden="false" customHeight="true" outlineLevel="0" collapsed="false">
      <c r="A4054" s="6" t="s">
        <v>6666</v>
      </c>
      <c r="B4054" s="6" t="s">
        <v>957</v>
      </c>
      <c r="C4054" s="6" t="s">
        <v>124</v>
      </c>
      <c r="D4054" s="13" t="n">
        <v>45006</v>
      </c>
      <c r="E4054" s="14" t="n">
        <v>3647.59</v>
      </c>
      <c r="F4054" s="14" t="n">
        <v>90563.31</v>
      </c>
      <c r="G4054" s="6" t="s">
        <v>2613</v>
      </c>
    </row>
    <row r="4055" customFormat="false" ht="15" hidden="false" customHeight="true" outlineLevel="0" collapsed="false">
      <c r="A4055" s="6" t="s">
        <v>6667</v>
      </c>
      <c r="B4055" s="6" t="s">
        <v>957</v>
      </c>
      <c r="C4055" s="6" t="s">
        <v>124</v>
      </c>
      <c r="D4055" s="13" t="n">
        <v>45013</v>
      </c>
      <c r="E4055" s="14" t="n">
        <v>3393.16</v>
      </c>
      <c r="F4055" s="14" t="n">
        <v>93956.47</v>
      </c>
      <c r="G4055" s="6" t="s">
        <v>2613</v>
      </c>
    </row>
    <row r="4056" customFormat="false" ht="15" hidden="false" customHeight="true" outlineLevel="0" collapsed="false">
      <c r="A4056" s="6" t="s">
        <v>6668</v>
      </c>
      <c r="B4056" s="6" t="s">
        <v>957</v>
      </c>
      <c r="C4056" s="6" t="s">
        <v>124</v>
      </c>
      <c r="D4056" s="13" t="n">
        <v>45020</v>
      </c>
      <c r="E4056" s="14" t="n">
        <v>2549.07</v>
      </c>
      <c r="F4056" s="14" t="n">
        <v>96505.54</v>
      </c>
      <c r="G4056" s="6" t="s">
        <v>2613</v>
      </c>
    </row>
    <row r="4057" customFormat="false" ht="15" hidden="false" customHeight="true" outlineLevel="0" collapsed="false">
      <c r="A4057" s="6" t="s">
        <v>6669</v>
      </c>
      <c r="B4057" s="6" t="s">
        <v>957</v>
      </c>
      <c r="C4057" s="6" t="s">
        <v>124</v>
      </c>
      <c r="D4057" s="13" t="n">
        <v>45027</v>
      </c>
      <c r="E4057" s="14" t="n">
        <v>2922.47</v>
      </c>
      <c r="F4057" s="14" t="n">
        <v>99428.01</v>
      </c>
      <c r="G4057" s="6" t="s">
        <v>2613</v>
      </c>
    </row>
    <row r="4058" customFormat="false" ht="15" hidden="false" customHeight="true" outlineLevel="0" collapsed="false">
      <c r="A4058" s="6" t="s">
        <v>6670</v>
      </c>
      <c r="B4058" s="6" t="s">
        <v>957</v>
      </c>
      <c r="C4058" s="6" t="s">
        <v>124</v>
      </c>
      <c r="D4058" s="13" t="n">
        <v>45034</v>
      </c>
      <c r="E4058" s="14" t="n">
        <v>2980.4</v>
      </c>
      <c r="F4058" s="14" t="n">
        <v>102408.41</v>
      </c>
      <c r="G4058" s="6" t="s">
        <v>2623</v>
      </c>
    </row>
    <row r="4059" customFormat="false" ht="15" hidden="false" customHeight="true" outlineLevel="0" collapsed="false">
      <c r="A4059" s="6" t="s">
        <v>6671</v>
      </c>
      <c r="B4059" s="6" t="s">
        <v>957</v>
      </c>
      <c r="C4059" s="6" t="s">
        <v>124</v>
      </c>
      <c r="D4059" s="13" t="n">
        <v>45041</v>
      </c>
      <c r="E4059" s="14" t="n">
        <v>3466.42</v>
      </c>
      <c r="F4059" s="14" t="n">
        <v>105874.83</v>
      </c>
      <c r="G4059" s="6" t="s">
        <v>2613</v>
      </c>
    </row>
    <row r="4060" customFormat="false" ht="15" hidden="false" customHeight="true" outlineLevel="0" collapsed="false">
      <c r="A4060" s="6" t="s">
        <v>6672</v>
      </c>
      <c r="B4060" s="6" t="s">
        <v>957</v>
      </c>
      <c r="C4060" s="6" t="s">
        <v>124</v>
      </c>
      <c r="D4060" s="13" t="n">
        <v>45048</v>
      </c>
      <c r="E4060" s="14" t="n">
        <v>4493.75</v>
      </c>
      <c r="F4060" s="14" t="n">
        <v>110368.58</v>
      </c>
      <c r="G4060" s="6" t="s">
        <v>2613</v>
      </c>
    </row>
    <row r="4061" customFormat="false" ht="15" hidden="false" customHeight="true" outlineLevel="0" collapsed="false">
      <c r="A4061" s="6" t="s">
        <v>6673</v>
      </c>
      <c r="B4061" s="6" t="s">
        <v>957</v>
      </c>
      <c r="C4061" s="6" t="s">
        <v>124</v>
      </c>
      <c r="D4061" s="13" t="n">
        <v>45055</v>
      </c>
      <c r="E4061" s="14" t="n">
        <v>4655.55</v>
      </c>
      <c r="F4061" s="14" t="n">
        <v>115024.13</v>
      </c>
      <c r="G4061" s="6" t="s">
        <v>2613</v>
      </c>
    </row>
    <row r="4062" customFormat="false" ht="15" hidden="false" customHeight="true" outlineLevel="0" collapsed="false">
      <c r="A4062" s="6" t="s">
        <v>6674</v>
      </c>
      <c r="B4062" s="6" t="s">
        <v>957</v>
      </c>
      <c r="C4062" s="6" t="s">
        <v>124</v>
      </c>
      <c r="D4062" s="13" t="n">
        <v>45062</v>
      </c>
      <c r="E4062" s="14" t="n">
        <v>2233.21</v>
      </c>
      <c r="F4062" s="14" t="n">
        <v>117257.34</v>
      </c>
      <c r="G4062" s="6" t="s">
        <v>2613</v>
      </c>
    </row>
    <row r="4063" customFormat="false" ht="15" hidden="false" customHeight="true" outlineLevel="0" collapsed="false">
      <c r="A4063" s="6" t="s">
        <v>6675</v>
      </c>
      <c r="B4063" s="6" t="s">
        <v>957</v>
      </c>
      <c r="C4063" s="6" t="s">
        <v>124</v>
      </c>
      <c r="D4063" s="13" t="n">
        <v>45069</v>
      </c>
      <c r="E4063" s="14" t="n">
        <v>4368.34</v>
      </c>
      <c r="F4063" s="14" t="n">
        <v>121625.68</v>
      </c>
      <c r="G4063" s="6" t="s">
        <v>2613</v>
      </c>
    </row>
    <row r="4064" customFormat="false" ht="15" hidden="false" customHeight="true" outlineLevel="0" collapsed="false">
      <c r="A4064" s="6" t="s">
        <v>6676</v>
      </c>
      <c r="B4064" s="6" t="s">
        <v>957</v>
      </c>
      <c r="C4064" s="6" t="s">
        <v>124</v>
      </c>
      <c r="D4064" s="13" t="n">
        <v>45076</v>
      </c>
      <c r="E4064" s="14" t="n">
        <v>2678.4</v>
      </c>
      <c r="F4064" s="14" t="n">
        <v>124304.08</v>
      </c>
      <c r="G4064" s="6" t="s">
        <v>2623</v>
      </c>
    </row>
    <row r="4065" customFormat="false" ht="15" hidden="false" customHeight="true" outlineLevel="0" collapsed="false">
      <c r="A4065" s="6" t="s">
        <v>6677</v>
      </c>
      <c r="B4065" s="6" t="s">
        <v>957</v>
      </c>
      <c r="C4065" s="6" t="s">
        <v>124</v>
      </c>
      <c r="D4065" s="13" t="n">
        <v>45083</v>
      </c>
      <c r="E4065" s="14" t="n">
        <v>3818.98</v>
      </c>
      <c r="F4065" s="14" t="n">
        <v>128123.06</v>
      </c>
      <c r="G4065" s="6" t="s">
        <v>2613</v>
      </c>
    </row>
    <row r="4066" customFormat="false" ht="15" hidden="false" customHeight="true" outlineLevel="0" collapsed="false">
      <c r="A4066" s="6" t="s">
        <v>6678</v>
      </c>
      <c r="B4066" s="6" t="s">
        <v>957</v>
      </c>
      <c r="C4066" s="6" t="s">
        <v>124</v>
      </c>
      <c r="D4066" s="13" t="n">
        <v>45090</v>
      </c>
      <c r="E4066" s="14" t="n">
        <v>2419.2</v>
      </c>
      <c r="F4066" s="14" t="n">
        <v>130542.26</v>
      </c>
      <c r="G4066" s="6" t="s">
        <v>2623</v>
      </c>
    </row>
    <row r="4067" customFormat="false" ht="15" hidden="false" customHeight="true" outlineLevel="0" collapsed="false">
      <c r="A4067" s="6" t="s">
        <v>6679</v>
      </c>
      <c r="B4067" s="6" t="s">
        <v>957</v>
      </c>
      <c r="C4067" s="6" t="s">
        <v>124</v>
      </c>
      <c r="D4067" s="13" t="n">
        <v>45097</v>
      </c>
      <c r="E4067" s="14" t="n">
        <v>4255.79</v>
      </c>
      <c r="F4067" s="14" t="n">
        <v>134798.05</v>
      </c>
      <c r="G4067" s="6" t="s">
        <v>2613</v>
      </c>
    </row>
    <row r="4068" customFormat="false" ht="15" hidden="false" customHeight="true" outlineLevel="0" collapsed="false">
      <c r="A4068" s="6" t="s">
        <v>6680</v>
      </c>
      <c r="B4068" s="6" t="s">
        <v>957</v>
      </c>
      <c r="C4068" s="6" t="s">
        <v>124</v>
      </c>
      <c r="D4068" s="13" t="n">
        <v>45104</v>
      </c>
      <c r="E4068" s="14" t="n">
        <v>3152.28</v>
      </c>
      <c r="F4068" s="14" t="n">
        <v>137950.33</v>
      </c>
      <c r="G4068" s="6" t="s">
        <v>2613</v>
      </c>
    </row>
    <row r="4069" customFormat="false" ht="15" hidden="false" customHeight="true" outlineLevel="0" collapsed="false">
      <c r="A4069" s="6" t="s">
        <v>6681</v>
      </c>
      <c r="B4069" s="6" t="s">
        <v>957</v>
      </c>
      <c r="C4069" s="6" t="s">
        <v>124</v>
      </c>
      <c r="D4069" s="13" t="n">
        <v>45111</v>
      </c>
      <c r="E4069" s="14" t="n">
        <v>2887.94</v>
      </c>
      <c r="F4069" s="14" t="n">
        <v>140838.27</v>
      </c>
      <c r="G4069" s="6" t="s">
        <v>2623</v>
      </c>
    </row>
    <row r="4070" customFormat="false" ht="15" hidden="false" customHeight="true" outlineLevel="0" collapsed="false">
      <c r="A4070" s="6" t="s">
        <v>6682</v>
      </c>
      <c r="B4070" s="6" t="s">
        <v>959</v>
      </c>
      <c r="C4070" s="6" t="s">
        <v>128</v>
      </c>
      <c r="D4070" s="13" t="n">
        <v>44949</v>
      </c>
      <c r="E4070" s="14" t="n">
        <v>1346</v>
      </c>
      <c r="F4070" s="14" t="n">
        <v>1346</v>
      </c>
      <c r="G4070" s="6" t="s">
        <v>2613</v>
      </c>
    </row>
    <row r="4071" customFormat="false" ht="15" hidden="false" customHeight="true" outlineLevel="0" collapsed="false">
      <c r="A4071" s="6" t="s">
        <v>6683</v>
      </c>
      <c r="B4071" s="6" t="s">
        <v>959</v>
      </c>
      <c r="C4071" s="6" t="s">
        <v>128</v>
      </c>
      <c r="D4071" s="13" t="n">
        <v>44956</v>
      </c>
      <c r="E4071" s="14" t="n">
        <v>1755.3</v>
      </c>
      <c r="F4071" s="14" t="n">
        <v>3101.3</v>
      </c>
      <c r="G4071" s="6" t="s">
        <v>2623</v>
      </c>
    </row>
    <row r="4072" customFormat="false" ht="15" hidden="false" customHeight="true" outlineLevel="0" collapsed="false">
      <c r="A4072" s="6" t="s">
        <v>6684</v>
      </c>
      <c r="B4072" s="6" t="s">
        <v>959</v>
      </c>
      <c r="C4072" s="6" t="s">
        <v>128</v>
      </c>
      <c r="D4072" s="13" t="n">
        <v>44963</v>
      </c>
      <c r="E4072" s="14" t="n">
        <v>1480.93</v>
      </c>
      <c r="F4072" s="14" t="n">
        <v>4582.23</v>
      </c>
      <c r="G4072" s="6" t="s">
        <v>2613</v>
      </c>
    </row>
    <row r="4073" customFormat="false" ht="15" hidden="false" customHeight="true" outlineLevel="0" collapsed="false">
      <c r="A4073" s="6" t="s">
        <v>6685</v>
      </c>
      <c r="B4073" s="6" t="s">
        <v>959</v>
      </c>
      <c r="C4073" s="6" t="s">
        <v>128</v>
      </c>
      <c r="D4073" s="13" t="n">
        <v>44970</v>
      </c>
      <c r="E4073" s="14" t="n">
        <v>2284.28</v>
      </c>
      <c r="F4073" s="14" t="n">
        <v>6866.51</v>
      </c>
      <c r="G4073" s="6" t="s">
        <v>2613</v>
      </c>
    </row>
    <row r="4074" customFormat="false" ht="15" hidden="false" customHeight="true" outlineLevel="0" collapsed="false">
      <c r="A4074" s="6" t="s">
        <v>6686</v>
      </c>
      <c r="B4074" s="6" t="s">
        <v>959</v>
      </c>
      <c r="C4074" s="6" t="s">
        <v>128</v>
      </c>
      <c r="D4074" s="13" t="n">
        <v>44977</v>
      </c>
      <c r="E4074" s="14" t="n">
        <v>1691.43</v>
      </c>
      <c r="F4074" s="14" t="n">
        <v>8557.94</v>
      </c>
      <c r="G4074" s="6" t="s">
        <v>2613</v>
      </c>
    </row>
    <row r="4075" customFormat="false" ht="15" hidden="false" customHeight="true" outlineLevel="0" collapsed="false">
      <c r="A4075" s="6" t="s">
        <v>6687</v>
      </c>
      <c r="B4075" s="6" t="s">
        <v>959</v>
      </c>
      <c r="C4075" s="6" t="s">
        <v>128</v>
      </c>
      <c r="D4075" s="13" t="n">
        <v>44984</v>
      </c>
      <c r="E4075" s="14" t="n">
        <v>2420.2</v>
      </c>
      <c r="F4075" s="14" t="n">
        <v>10978.14</v>
      </c>
      <c r="G4075" s="6" t="s">
        <v>2613</v>
      </c>
    </row>
    <row r="4076" customFormat="false" ht="15" hidden="false" customHeight="true" outlineLevel="0" collapsed="false">
      <c r="A4076" s="6" t="s">
        <v>6688</v>
      </c>
      <c r="B4076" s="6" t="s">
        <v>959</v>
      </c>
      <c r="C4076" s="6" t="s">
        <v>128</v>
      </c>
      <c r="D4076" s="13" t="n">
        <v>44991</v>
      </c>
      <c r="E4076" s="14" t="n">
        <v>1853.49</v>
      </c>
      <c r="F4076" s="14" t="n">
        <v>12831.63</v>
      </c>
      <c r="G4076" s="6" t="s">
        <v>2613</v>
      </c>
    </row>
    <row r="4077" customFormat="false" ht="15" hidden="false" customHeight="true" outlineLevel="0" collapsed="false">
      <c r="A4077" s="6" t="s">
        <v>6689</v>
      </c>
      <c r="B4077" s="6" t="s">
        <v>959</v>
      </c>
      <c r="C4077" s="6" t="s">
        <v>128</v>
      </c>
      <c r="D4077" s="13" t="n">
        <v>44998</v>
      </c>
      <c r="E4077" s="14" t="n">
        <v>5023.6</v>
      </c>
      <c r="F4077" s="14" t="n">
        <v>17855.23</v>
      </c>
      <c r="G4077" s="6" t="s">
        <v>2613</v>
      </c>
    </row>
    <row r="4078" customFormat="false" ht="15" hidden="false" customHeight="true" outlineLevel="0" collapsed="false">
      <c r="A4078" s="6" t="s">
        <v>6690</v>
      </c>
      <c r="B4078" s="6" t="s">
        <v>961</v>
      </c>
      <c r="C4078" s="6" t="s">
        <v>112</v>
      </c>
      <c r="D4078" s="13" t="n">
        <v>46008</v>
      </c>
      <c r="E4078" s="14" t="n">
        <v>3793.03</v>
      </c>
      <c r="F4078" s="14" t="n">
        <v>3793.03</v>
      </c>
      <c r="G4078" s="6" t="s">
        <v>2613</v>
      </c>
    </row>
    <row r="4079" customFormat="false" ht="15" hidden="false" customHeight="true" outlineLevel="0" collapsed="false">
      <c r="A4079" s="6" t="s">
        <v>6691</v>
      </c>
      <c r="B4079" s="6" t="s">
        <v>963</v>
      </c>
      <c r="C4079" s="6" t="s">
        <v>116</v>
      </c>
      <c r="D4079" s="13" t="n">
        <v>44583</v>
      </c>
      <c r="E4079" s="14" t="n">
        <v>2943.96</v>
      </c>
      <c r="F4079" s="14" t="n">
        <v>2943.96</v>
      </c>
      <c r="G4079" s="6" t="s">
        <v>2613</v>
      </c>
    </row>
    <row r="4080" customFormat="false" ht="15" hidden="false" customHeight="true" outlineLevel="0" collapsed="false">
      <c r="A4080" s="6" t="s">
        <v>6692</v>
      </c>
      <c r="B4080" s="6" t="s">
        <v>963</v>
      </c>
      <c r="C4080" s="6" t="s">
        <v>116</v>
      </c>
      <c r="D4080" s="13" t="n">
        <v>44590</v>
      </c>
      <c r="E4080" s="14" t="n">
        <v>2394.31</v>
      </c>
      <c r="F4080" s="14" t="n">
        <v>5338.27</v>
      </c>
      <c r="G4080" s="6" t="s">
        <v>2623</v>
      </c>
    </row>
    <row r="4081" customFormat="false" ht="15" hidden="false" customHeight="true" outlineLevel="0" collapsed="false">
      <c r="A4081" s="6" t="s">
        <v>6693</v>
      </c>
      <c r="B4081" s="6" t="s">
        <v>963</v>
      </c>
      <c r="C4081" s="6" t="s">
        <v>116</v>
      </c>
      <c r="D4081" s="13" t="n">
        <v>44597</v>
      </c>
      <c r="E4081" s="14" t="n">
        <v>3215.99</v>
      </c>
      <c r="F4081" s="14" t="n">
        <v>8554.26</v>
      </c>
      <c r="G4081" s="6" t="s">
        <v>2613</v>
      </c>
    </row>
    <row r="4082" customFormat="false" ht="15" hidden="false" customHeight="true" outlineLevel="0" collapsed="false">
      <c r="A4082" s="6" t="s">
        <v>6694</v>
      </c>
      <c r="B4082" s="6" t="s">
        <v>963</v>
      </c>
      <c r="C4082" s="6" t="s">
        <v>116</v>
      </c>
      <c r="D4082" s="13" t="n">
        <v>44604</v>
      </c>
      <c r="E4082" s="14" t="n">
        <v>4026.06</v>
      </c>
      <c r="F4082" s="14" t="n">
        <v>12580.32</v>
      </c>
      <c r="G4082" s="6" t="s">
        <v>2613</v>
      </c>
    </row>
    <row r="4083" customFormat="false" ht="15" hidden="false" customHeight="true" outlineLevel="0" collapsed="false">
      <c r="A4083" s="6" t="s">
        <v>6695</v>
      </c>
      <c r="B4083" s="6" t="s">
        <v>963</v>
      </c>
      <c r="C4083" s="6" t="s">
        <v>116</v>
      </c>
      <c r="D4083" s="13" t="n">
        <v>44611</v>
      </c>
      <c r="E4083" s="14" t="n">
        <v>2439.28</v>
      </c>
      <c r="F4083" s="14" t="n">
        <v>15019.6</v>
      </c>
      <c r="G4083" s="6" t="s">
        <v>2613</v>
      </c>
    </row>
    <row r="4084" customFormat="false" ht="15" hidden="false" customHeight="true" outlineLevel="0" collapsed="false">
      <c r="A4084" s="6" t="s">
        <v>6696</v>
      </c>
      <c r="B4084" s="6" t="s">
        <v>963</v>
      </c>
      <c r="C4084" s="6" t="s">
        <v>116</v>
      </c>
      <c r="D4084" s="13" t="n">
        <v>44618</v>
      </c>
      <c r="E4084" s="14" t="n">
        <v>4308.98</v>
      </c>
      <c r="F4084" s="14" t="n">
        <v>19328.58</v>
      </c>
      <c r="G4084" s="6" t="s">
        <v>2623</v>
      </c>
    </row>
    <row r="4085" customFormat="false" ht="15" hidden="false" customHeight="true" outlineLevel="0" collapsed="false">
      <c r="A4085" s="6" t="s">
        <v>6697</v>
      </c>
      <c r="B4085" s="6" t="s">
        <v>963</v>
      </c>
      <c r="C4085" s="6" t="s">
        <v>116</v>
      </c>
      <c r="D4085" s="13" t="n">
        <v>44625</v>
      </c>
      <c r="E4085" s="14" t="n">
        <v>6388.18</v>
      </c>
      <c r="F4085" s="14" t="n">
        <v>25716.76</v>
      </c>
      <c r="G4085" s="6" t="s">
        <v>2613</v>
      </c>
    </row>
    <row r="4086" customFormat="false" ht="15" hidden="false" customHeight="true" outlineLevel="0" collapsed="false">
      <c r="A4086" s="6" t="s">
        <v>6698</v>
      </c>
      <c r="B4086" s="6" t="s">
        <v>965</v>
      </c>
      <c r="C4086" s="6" t="s">
        <v>112</v>
      </c>
      <c r="D4086" s="13" t="n">
        <v>45552</v>
      </c>
      <c r="E4086" s="14" t="n">
        <v>6882.91</v>
      </c>
      <c r="F4086" s="14" t="n">
        <v>6882.91</v>
      </c>
      <c r="G4086" s="6" t="s">
        <v>2613</v>
      </c>
    </row>
    <row r="4087" customFormat="false" ht="15" hidden="false" customHeight="true" outlineLevel="0" collapsed="false">
      <c r="A4087" s="6" t="s">
        <v>6699</v>
      </c>
      <c r="B4087" s="6" t="s">
        <v>965</v>
      </c>
      <c r="C4087" s="6" t="s">
        <v>112</v>
      </c>
      <c r="D4087" s="13" t="n">
        <v>45559</v>
      </c>
      <c r="E4087" s="14" t="n">
        <v>8304.29</v>
      </c>
      <c r="F4087" s="14" t="n">
        <v>15187.2</v>
      </c>
      <c r="G4087" s="6" t="s">
        <v>2613</v>
      </c>
    </row>
    <row r="4088" customFormat="false" ht="15" hidden="false" customHeight="true" outlineLevel="0" collapsed="false">
      <c r="A4088" s="6" t="s">
        <v>6700</v>
      </c>
      <c r="B4088" s="6" t="s">
        <v>965</v>
      </c>
      <c r="C4088" s="6" t="s">
        <v>112</v>
      </c>
      <c r="D4088" s="13" t="n">
        <v>45566</v>
      </c>
      <c r="E4088" s="14" t="n">
        <v>5113.51</v>
      </c>
      <c r="F4088" s="14" t="n">
        <v>20300.71</v>
      </c>
      <c r="G4088" s="6" t="s">
        <v>2613</v>
      </c>
    </row>
    <row r="4089" customFormat="false" ht="15" hidden="false" customHeight="true" outlineLevel="0" collapsed="false">
      <c r="A4089" s="6" t="s">
        <v>6701</v>
      </c>
      <c r="B4089" s="6" t="s">
        <v>965</v>
      </c>
      <c r="C4089" s="6" t="s">
        <v>112</v>
      </c>
      <c r="D4089" s="13" t="n">
        <v>45573</v>
      </c>
      <c r="E4089" s="14" t="n">
        <v>6442.11</v>
      </c>
      <c r="F4089" s="14" t="n">
        <v>26742.82</v>
      </c>
      <c r="G4089" s="6" t="s">
        <v>2613</v>
      </c>
    </row>
    <row r="4090" customFormat="false" ht="15" hidden="false" customHeight="true" outlineLevel="0" collapsed="false">
      <c r="A4090" s="6" t="s">
        <v>6702</v>
      </c>
      <c r="B4090" s="6" t="s">
        <v>965</v>
      </c>
      <c r="C4090" s="6" t="s">
        <v>112</v>
      </c>
      <c r="D4090" s="13" t="n">
        <v>45580</v>
      </c>
      <c r="E4090" s="14" t="n">
        <v>5967.92</v>
      </c>
      <c r="F4090" s="14" t="n">
        <v>32710.74</v>
      </c>
      <c r="G4090" s="6" t="s">
        <v>2613</v>
      </c>
    </row>
    <row r="4091" customFormat="false" ht="15" hidden="false" customHeight="true" outlineLevel="0" collapsed="false">
      <c r="A4091" s="6" t="s">
        <v>6703</v>
      </c>
      <c r="B4091" s="6" t="s">
        <v>965</v>
      </c>
      <c r="C4091" s="6" t="s">
        <v>112</v>
      </c>
      <c r="D4091" s="13" t="n">
        <v>45587</v>
      </c>
      <c r="E4091" s="14" t="n">
        <v>9416.61</v>
      </c>
      <c r="F4091" s="14" t="n">
        <v>42127.35</v>
      </c>
      <c r="G4091" s="6" t="s">
        <v>2613</v>
      </c>
    </row>
    <row r="4092" customFormat="false" ht="15" hidden="false" customHeight="true" outlineLevel="0" collapsed="false">
      <c r="A4092" s="6" t="s">
        <v>6704</v>
      </c>
      <c r="B4092" s="6" t="s">
        <v>965</v>
      </c>
      <c r="C4092" s="6" t="s">
        <v>112</v>
      </c>
      <c r="D4092" s="13" t="n">
        <v>45594</v>
      </c>
      <c r="E4092" s="14" t="n">
        <v>8991.5</v>
      </c>
      <c r="F4092" s="14" t="n">
        <v>51118.85</v>
      </c>
      <c r="G4092" s="6" t="s">
        <v>2613</v>
      </c>
    </row>
    <row r="4093" customFormat="false" ht="15" hidden="false" customHeight="true" outlineLevel="0" collapsed="false">
      <c r="A4093" s="6" t="s">
        <v>6705</v>
      </c>
      <c r="B4093" s="6" t="s">
        <v>965</v>
      </c>
      <c r="C4093" s="6" t="s">
        <v>112</v>
      </c>
      <c r="D4093" s="13" t="n">
        <v>45601</v>
      </c>
      <c r="E4093" s="14" t="n">
        <v>5014.26</v>
      </c>
      <c r="F4093" s="14" t="n">
        <v>56133.11</v>
      </c>
      <c r="G4093" s="6" t="s">
        <v>2613</v>
      </c>
    </row>
    <row r="4094" customFormat="false" ht="15" hidden="false" customHeight="true" outlineLevel="0" collapsed="false">
      <c r="A4094" s="6" t="s">
        <v>6706</v>
      </c>
      <c r="B4094" s="6" t="s">
        <v>965</v>
      </c>
      <c r="C4094" s="6" t="s">
        <v>112</v>
      </c>
      <c r="D4094" s="13" t="n">
        <v>45608</v>
      </c>
      <c r="E4094" s="14" t="n">
        <v>6307.86</v>
      </c>
      <c r="F4094" s="14" t="n">
        <v>62440.97</v>
      </c>
      <c r="G4094" s="6" t="s">
        <v>2613</v>
      </c>
    </row>
    <row r="4095" customFormat="false" ht="15" hidden="false" customHeight="true" outlineLevel="0" collapsed="false">
      <c r="A4095" s="6" t="s">
        <v>6707</v>
      </c>
      <c r="B4095" s="6" t="s">
        <v>965</v>
      </c>
      <c r="C4095" s="6" t="s">
        <v>112</v>
      </c>
      <c r="D4095" s="13" t="n">
        <v>45615</v>
      </c>
      <c r="E4095" s="14" t="n">
        <v>6994.33</v>
      </c>
      <c r="F4095" s="14" t="n">
        <v>69435.3</v>
      </c>
      <c r="G4095" s="6" t="s">
        <v>2613</v>
      </c>
    </row>
    <row r="4096" customFormat="false" ht="15" hidden="false" customHeight="true" outlineLevel="0" collapsed="false">
      <c r="A4096" s="6" t="s">
        <v>6708</v>
      </c>
      <c r="B4096" s="6" t="s">
        <v>967</v>
      </c>
      <c r="C4096" s="6" t="s">
        <v>120</v>
      </c>
      <c r="D4096" s="13" t="n">
        <v>45536</v>
      </c>
      <c r="E4096" s="14" t="n">
        <v>664.47</v>
      </c>
      <c r="F4096" s="14" t="n">
        <v>664.47</v>
      </c>
      <c r="G4096" s="6" t="s">
        <v>2613</v>
      </c>
    </row>
    <row r="4097" customFormat="false" ht="15" hidden="false" customHeight="true" outlineLevel="0" collapsed="false">
      <c r="A4097" s="6" t="s">
        <v>6709</v>
      </c>
      <c r="B4097" s="6" t="s">
        <v>967</v>
      </c>
      <c r="C4097" s="6" t="s">
        <v>120</v>
      </c>
      <c r="D4097" s="13" t="n">
        <v>45543</v>
      </c>
      <c r="E4097" s="14" t="n">
        <v>907.15</v>
      </c>
      <c r="F4097" s="14" t="n">
        <v>1571.62</v>
      </c>
      <c r="G4097" s="6" t="s">
        <v>2613</v>
      </c>
    </row>
    <row r="4098" customFormat="false" ht="15" hidden="false" customHeight="true" outlineLevel="0" collapsed="false">
      <c r="A4098" s="6" t="s">
        <v>6710</v>
      </c>
      <c r="B4098" s="6" t="s">
        <v>967</v>
      </c>
      <c r="C4098" s="6" t="s">
        <v>120</v>
      </c>
      <c r="D4098" s="13" t="n">
        <v>45550</v>
      </c>
      <c r="E4098" s="14" t="n">
        <v>1118.81</v>
      </c>
      <c r="F4098" s="14" t="n">
        <v>2690.43</v>
      </c>
      <c r="G4098" s="6" t="s">
        <v>2613</v>
      </c>
    </row>
    <row r="4099" customFormat="false" ht="15" hidden="false" customHeight="true" outlineLevel="0" collapsed="false">
      <c r="A4099" s="6" t="s">
        <v>6711</v>
      </c>
      <c r="B4099" s="6" t="s">
        <v>967</v>
      </c>
      <c r="C4099" s="6" t="s">
        <v>120</v>
      </c>
      <c r="D4099" s="13" t="n">
        <v>45557</v>
      </c>
      <c r="E4099" s="14" t="n">
        <v>1064.74</v>
      </c>
      <c r="F4099" s="14" t="n">
        <v>3755.17</v>
      </c>
      <c r="G4099" s="6" t="s">
        <v>2613</v>
      </c>
    </row>
    <row r="4100" customFormat="false" ht="15" hidden="false" customHeight="true" outlineLevel="0" collapsed="false">
      <c r="A4100" s="6" t="s">
        <v>6712</v>
      </c>
      <c r="B4100" s="6" t="s">
        <v>967</v>
      </c>
      <c r="C4100" s="6" t="s">
        <v>120</v>
      </c>
      <c r="D4100" s="13" t="n">
        <v>45564</v>
      </c>
      <c r="E4100" s="14" t="n">
        <v>1018.52</v>
      </c>
      <c r="F4100" s="14" t="n">
        <v>4773.69</v>
      </c>
      <c r="G4100" s="6" t="s">
        <v>2613</v>
      </c>
    </row>
    <row r="4101" customFormat="false" ht="15" hidden="false" customHeight="true" outlineLevel="0" collapsed="false">
      <c r="A4101" s="6" t="s">
        <v>6713</v>
      </c>
      <c r="B4101" s="6" t="s">
        <v>967</v>
      </c>
      <c r="C4101" s="6" t="s">
        <v>120</v>
      </c>
      <c r="D4101" s="13" t="n">
        <v>45571</v>
      </c>
      <c r="E4101" s="14" t="n">
        <v>783.42</v>
      </c>
      <c r="F4101" s="14" t="n">
        <v>5557.11</v>
      </c>
      <c r="G4101" s="6" t="s">
        <v>2613</v>
      </c>
    </row>
    <row r="4102" customFormat="false" ht="15" hidden="false" customHeight="true" outlineLevel="0" collapsed="false">
      <c r="A4102" s="6" t="s">
        <v>6714</v>
      </c>
      <c r="B4102" s="6" t="s">
        <v>967</v>
      </c>
      <c r="C4102" s="6" t="s">
        <v>120</v>
      </c>
      <c r="D4102" s="13" t="n">
        <v>45578</v>
      </c>
      <c r="E4102" s="14" t="n">
        <v>697.26</v>
      </c>
      <c r="F4102" s="14" t="n">
        <v>6254.37</v>
      </c>
      <c r="G4102" s="6" t="s">
        <v>2613</v>
      </c>
    </row>
    <row r="4103" customFormat="false" ht="15" hidden="false" customHeight="true" outlineLevel="0" collapsed="false">
      <c r="A4103" s="6" t="s">
        <v>6715</v>
      </c>
      <c r="B4103" s="6" t="s">
        <v>967</v>
      </c>
      <c r="C4103" s="6" t="s">
        <v>120</v>
      </c>
      <c r="D4103" s="13" t="n">
        <v>45585</v>
      </c>
      <c r="E4103" s="14" t="n">
        <v>703.41</v>
      </c>
      <c r="F4103" s="14" t="n">
        <v>6957.78</v>
      </c>
      <c r="G4103" s="6" t="s">
        <v>2613</v>
      </c>
    </row>
    <row r="4104" customFormat="false" ht="15" hidden="false" customHeight="true" outlineLevel="0" collapsed="false">
      <c r="A4104" s="6" t="s">
        <v>6716</v>
      </c>
      <c r="B4104" s="6" t="s">
        <v>967</v>
      </c>
      <c r="C4104" s="6" t="s">
        <v>120</v>
      </c>
      <c r="D4104" s="13" t="n">
        <v>45592</v>
      </c>
      <c r="E4104" s="14" t="n">
        <v>1056.27</v>
      </c>
      <c r="F4104" s="14" t="n">
        <v>8014.05</v>
      </c>
      <c r="G4104" s="6" t="s">
        <v>2613</v>
      </c>
    </row>
    <row r="4105" customFormat="false" ht="15" hidden="false" customHeight="true" outlineLevel="0" collapsed="false">
      <c r="A4105" s="6" t="s">
        <v>6717</v>
      </c>
      <c r="B4105" s="6" t="s">
        <v>967</v>
      </c>
      <c r="C4105" s="6" t="s">
        <v>120</v>
      </c>
      <c r="D4105" s="13" t="n">
        <v>45599</v>
      </c>
      <c r="E4105" s="14" t="n">
        <v>848.28</v>
      </c>
      <c r="F4105" s="14" t="n">
        <v>8862.33</v>
      </c>
      <c r="G4105" s="6" t="s">
        <v>2613</v>
      </c>
    </row>
    <row r="4106" customFormat="false" ht="15" hidden="false" customHeight="true" outlineLevel="0" collapsed="false">
      <c r="A4106" s="6" t="s">
        <v>6718</v>
      </c>
      <c r="B4106" s="6" t="s">
        <v>967</v>
      </c>
      <c r="C4106" s="6" t="s">
        <v>120</v>
      </c>
      <c r="D4106" s="13" t="n">
        <v>45606</v>
      </c>
      <c r="E4106" s="14" t="n">
        <v>1337.77</v>
      </c>
      <c r="F4106" s="14" t="n">
        <v>10200.1</v>
      </c>
      <c r="G4106" s="6" t="s">
        <v>2613</v>
      </c>
    </row>
    <row r="4107" customFormat="false" ht="15" hidden="false" customHeight="true" outlineLevel="0" collapsed="false">
      <c r="A4107" s="6" t="s">
        <v>6719</v>
      </c>
      <c r="B4107" s="6" t="s">
        <v>967</v>
      </c>
      <c r="C4107" s="6" t="s">
        <v>120</v>
      </c>
      <c r="D4107" s="13" t="n">
        <v>45613</v>
      </c>
      <c r="E4107" s="14" t="n">
        <v>656.97</v>
      </c>
      <c r="F4107" s="14" t="n">
        <v>10857.07</v>
      </c>
      <c r="G4107" s="6" t="s">
        <v>2613</v>
      </c>
    </row>
    <row r="4108" customFormat="false" ht="15" hidden="false" customHeight="true" outlineLevel="0" collapsed="false">
      <c r="A4108" s="6" t="s">
        <v>6720</v>
      </c>
      <c r="B4108" s="6" t="s">
        <v>967</v>
      </c>
      <c r="C4108" s="6" t="s">
        <v>120</v>
      </c>
      <c r="D4108" s="13" t="n">
        <v>45620</v>
      </c>
      <c r="E4108" s="14" t="n">
        <v>782.37</v>
      </c>
      <c r="F4108" s="14" t="n">
        <v>11639.44</v>
      </c>
      <c r="G4108" s="6" t="s">
        <v>2613</v>
      </c>
    </row>
    <row r="4109" customFormat="false" ht="15" hidden="false" customHeight="true" outlineLevel="0" collapsed="false">
      <c r="A4109" s="6" t="s">
        <v>6721</v>
      </c>
      <c r="B4109" s="6" t="s">
        <v>967</v>
      </c>
      <c r="C4109" s="6" t="s">
        <v>120</v>
      </c>
      <c r="D4109" s="13" t="n">
        <v>45627</v>
      </c>
      <c r="E4109" s="14" t="n">
        <v>1234.82</v>
      </c>
      <c r="F4109" s="14" t="n">
        <v>12874.26</v>
      </c>
      <c r="G4109" s="6" t="s">
        <v>2613</v>
      </c>
    </row>
    <row r="4110" customFormat="false" ht="15" hidden="false" customHeight="true" outlineLevel="0" collapsed="false">
      <c r="A4110" s="6" t="s">
        <v>6722</v>
      </c>
      <c r="B4110" s="6" t="s">
        <v>967</v>
      </c>
      <c r="C4110" s="6" t="s">
        <v>120</v>
      </c>
      <c r="D4110" s="13" t="n">
        <v>45634</v>
      </c>
      <c r="E4110" s="14" t="n">
        <v>750.72</v>
      </c>
      <c r="F4110" s="14" t="n">
        <v>13624.98</v>
      </c>
      <c r="G4110" s="6" t="s">
        <v>2613</v>
      </c>
    </row>
    <row r="4111" customFormat="false" ht="15" hidden="false" customHeight="true" outlineLevel="0" collapsed="false">
      <c r="A4111" s="6" t="s">
        <v>6723</v>
      </c>
      <c r="B4111" s="6" t="s">
        <v>967</v>
      </c>
      <c r="C4111" s="6" t="s">
        <v>120</v>
      </c>
      <c r="D4111" s="13" t="n">
        <v>45641</v>
      </c>
      <c r="E4111" s="14" t="n">
        <v>3596.36</v>
      </c>
      <c r="F4111" s="14" t="n">
        <v>17221.34</v>
      </c>
      <c r="G4111" s="6" t="s">
        <v>2613</v>
      </c>
    </row>
    <row r="4112" customFormat="false" ht="15" hidden="false" customHeight="true" outlineLevel="0" collapsed="false">
      <c r="A4112" s="6" t="s">
        <v>6724</v>
      </c>
      <c r="B4112" s="6" t="s">
        <v>969</v>
      </c>
      <c r="C4112" s="6" t="s">
        <v>131</v>
      </c>
      <c r="D4112" s="13" t="n">
        <v>45209</v>
      </c>
      <c r="E4112" s="14" t="n">
        <v>3188.4</v>
      </c>
      <c r="F4112" s="14" t="n">
        <v>3188.4</v>
      </c>
      <c r="G4112" s="6" t="s">
        <v>2613</v>
      </c>
    </row>
    <row r="4113" customFormat="false" ht="15" hidden="false" customHeight="true" outlineLevel="0" collapsed="false">
      <c r="A4113" s="6" t="s">
        <v>6725</v>
      </c>
      <c r="B4113" s="6" t="s">
        <v>969</v>
      </c>
      <c r="C4113" s="6" t="s">
        <v>131</v>
      </c>
      <c r="D4113" s="13" t="n">
        <v>45216</v>
      </c>
      <c r="E4113" s="14" t="n">
        <v>2836.25</v>
      </c>
      <c r="F4113" s="14" t="n">
        <v>6024.65</v>
      </c>
      <c r="G4113" s="6" t="s">
        <v>2613</v>
      </c>
    </row>
    <row r="4114" customFormat="false" ht="15" hidden="false" customHeight="true" outlineLevel="0" collapsed="false">
      <c r="A4114" s="6" t="s">
        <v>6726</v>
      </c>
      <c r="B4114" s="6" t="s">
        <v>969</v>
      </c>
      <c r="C4114" s="6" t="s">
        <v>131</v>
      </c>
      <c r="D4114" s="13" t="n">
        <v>45223</v>
      </c>
      <c r="E4114" s="14" t="n">
        <v>3766.03</v>
      </c>
      <c r="F4114" s="14" t="n">
        <v>9790.68</v>
      </c>
      <c r="G4114" s="6" t="s">
        <v>2613</v>
      </c>
    </row>
    <row r="4115" customFormat="false" ht="15" hidden="false" customHeight="true" outlineLevel="0" collapsed="false">
      <c r="A4115" s="6" t="s">
        <v>6727</v>
      </c>
      <c r="B4115" s="6" t="s">
        <v>969</v>
      </c>
      <c r="C4115" s="6" t="s">
        <v>131</v>
      </c>
      <c r="D4115" s="13" t="n">
        <v>45230</v>
      </c>
      <c r="E4115" s="14" t="n">
        <v>4460.68</v>
      </c>
      <c r="F4115" s="14" t="n">
        <v>14251.36</v>
      </c>
      <c r="G4115" s="6" t="s">
        <v>2613</v>
      </c>
    </row>
    <row r="4116" customFormat="false" ht="15" hidden="false" customHeight="true" outlineLevel="0" collapsed="false">
      <c r="A4116" s="6" t="s">
        <v>6728</v>
      </c>
      <c r="B4116" s="6" t="s">
        <v>969</v>
      </c>
      <c r="C4116" s="6" t="s">
        <v>131</v>
      </c>
      <c r="D4116" s="13" t="n">
        <v>45237</v>
      </c>
      <c r="E4116" s="14" t="n">
        <v>3438.26</v>
      </c>
      <c r="F4116" s="14" t="n">
        <v>17689.62</v>
      </c>
      <c r="G4116" s="6" t="s">
        <v>2613</v>
      </c>
    </row>
    <row r="4117" customFormat="false" ht="15" hidden="false" customHeight="true" outlineLevel="0" collapsed="false">
      <c r="A4117" s="6" t="s">
        <v>6729</v>
      </c>
      <c r="B4117" s="6" t="s">
        <v>969</v>
      </c>
      <c r="C4117" s="6" t="s">
        <v>131</v>
      </c>
      <c r="D4117" s="13" t="n">
        <v>45244</v>
      </c>
      <c r="E4117" s="14" t="n">
        <v>3791.45</v>
      </c>
      <c r="F4117" s="14" t="n">
        <v>21481.07</v>
      </c>
      <c r="G4117" s="6" t="s">
        <v>2613</v>
      </c>
    </row>
    <row r="4118" customFormat="false" ht="15" hidden="false" customHeight="true" outlineLevel="0" collapsed="false">
      <c r="A4118" s="6" t="s">
        <v>6730</v>
      </c>
      <c r="B4118" s="6" t="s">
        <v>969</v>
      </c>
      <c r="C4118" s="6" t="s">
        <v>131</v>
      </c>
      <c r="D4118" s="13" t="n">
        <v>45251</v>
      </c>
      <c r="E4118" s="14" t="n">
        <v>1271.19</v>
      </c>
      <c r="F4118" s="14" t="n">
        <v>22752.26</v>
      </c>
      <c r="G4118" s="6" t="s">
        <v>2613</v>
      </c>
    </row>
    <row r="4119" customFormat="false" ht="15" hidden="false" customHeight="true" outlineLevel="0" collapsed="false">
      <c r="A4119" s="6" t="s">
        <v>6731</v>
      </c>
      <c r="B4119" s="6" t="s">
        <v>971</v>
      </c>
      <c r="C4119" s="6" t="s">
        <v>116</v>
      </c>
      <c r="D4119" s="13" t="n">
        <v>45516</v>
      </c>
      <c r="E4119" s="14" t="n">
        <v>4603.51</v>
      </c>
      <c r="F4119" s="14" t="n">
        <v>4603.51</v>
      </c>
      <c r="G4119" s="6" t="s">
        <v>2613</v>
      </c>
    </row>
    <row r="4120" customFormat="false" ht="15" hidden="false" customHeight="true" outlineLevel="0" collapsed="false">
      <c r="A4120" s="6" t="s">
        <v>6732</v>
      </c>
      <c r="B4120" s="6" t="s">
        <v>971</v>
      </c>
      <c r="C4120" s="6" t="s">
        <v>116</v>
      </c>
      <c r="D4120" s="13" t="n">
        <v>45523</v>
      </c>
      <c r="E4120" s="14" t="n">
        <v>3232.41</v>
      </c>
      <c r="F4120" s="14" t="n">
        <v>7835.92</v>
      </c>
      <c r="G4120" s="6" t="s">
        <v>2613</v>
      </c>
    </row>
    <row r="4121" customFormat="false" ht="15" hidden="false" customHeight="true" outlineLevel="0" collapsed="false">
      <c r="A4121" s="6" t="s">
        <v>6733</v>
      </c>
      <c r="B4121" s="6" t="s">
        <v>971</v>
      </c>
      <c r="C4121" s="6" t="s">
        <v>116</v>
      </c>
      <c r="D4121" s="13" t="n">
        <v>45530</v>
      </c>
      <c r="E4121" s="14" t="n">
        <v>4153.49</v>
      </c>
      <c r="F4121" s="14" t="n">
        <v>11989.41</v>
      </c>
      <c r="G4121" s="6" t="s">
        <v>2613</v>
      </c>
    </row>
    <row r="4122" customFormat="false" ht="15" hidden="false" customHeight="true" outlineLevel="0" collapsed="false">
      <c r="A4122" s="6" t="s">
        <v>6734</v>
      </c>
      <c r="B4122" s="6" t="s">
        <v>971</v>
      </c>
      <c r="C4122" s="6" t="s">
        <v>116</v>
      </c>
      <c r="D4122" s="13" t="n">
        <v>45537</v>
      </c>
      <c r="E4122" s="14" t="n">
        <v>2406.71</v>
      </c>
      <c r="F4122" s="14" t="n">
        <v>14396.12</v>
      </c>
      <c r="G4122" s="6" t="s">
        <v>2613</v>
      </c>
    </row>
    <row r="4123" customFormat="false" ht="15" hidden="false" customHeight="true" outlineLevel="0" collapsed="false">
      <c r="A4123" s="6" t="s">
        <v>6735</v>
      </c>
      <c r="B4123" s="6" t="s">
        <v>971</v>
      </c>
      <c r="C4123" s="6" t="s">
        <v>116</v>
      </c>
      <c r="D4123" s="13" t="n">
        <v>45544</v>
      </c>
      <c r="E4123" s="14" t="n">
        <v>2180.18</v>
      </c>
      <c r="F4123" s="14" t="n">
        <v>16576.3</v>
      </c>
      <c r="G4123" s="6" t="s">
        <v>2613</v>
      </c>
    </row>
    <row r="4124" customFormat="false" ht="15" hidden="false" customHeight="true" outlineLevel="0" collapsed="false">
      <c r="A4124" s="6" t="s">
        <v>6736</v>
      </c>
      <c r="B4124" s="6" t="s">
        <v>971</v>
      </c>
      <c r="C4124" s="6" t="s">
        <v>116</v>
      </c>
      <c r="D4124" s="13" t="n">
        <v>45551</v>
      </c>
      <c r="E4124" s="14" t="n">
        <v>3727.14</v>
      </c>
      <c r="F4124" s="14" t="n">
        <v>20303.44</v>
      </c>
      <c r="G4124" s="6" t="s">
        <v>2613</v>
      </c>
    </row>
    <row r="4125" customFormat="false" ht="15" hidden="false" customHeight="true" outlineLevel="0" collapsed="false">
      <c r="A4125" s="6" t="s">
        <v>6737</v>
      </c>
      <c r="B4125" s="6" t="s">
        <v>971</v>
      </c>
      <c r="C4125" s="6" t="s">
        <v>116</v>
      </c>
      <c r="D4125" s="13" t="n">
        <v>45558</v>
      </c>
      <c r="E4125" s="14" t="n">
        <v>3276.33</v>
      </c>
      <c r="F4125" s="14" t="n">
        <v>23579.77</v>
      </c>
      <c r="G4125" s="6" t="s">
        <v>2613</v>
      </c>
    </row>
    <row r="4126" customFormat="false" ht="15" hidden="false" customHeight="true" outlineLevel="0" collapsed="false">
      <c r="A4126" s="6" t="s">
        <v>6738</v>
      </c>
      <c r="B4126" s="6" t="s">
        <v>973</v>
      </c>
      <c r="C4126" s="6" t="s">
        <v>124</v>
      </c>
      <c r="D4126" s="13" t="n">
        <v>44815</v>
      </c>
      <c r="E4126" s="14" t="n">
        <v>17652.25</v>
      </c>
      <c r="F4126" s="14" t="n">
        <v>17652.25</v>
      </c>
      <c r="G4126" s="6" t="s">
        <v>2613</v>
      </c>
    </row>
    <row r="4127" customFormat="false" ht="15" hidden="false" customHeight="true" outlineLevel="0" collapsed="false">
      <c r="A4127" s="6" t="s">
        <v>6739</v>
      </c>
      <c r="B4127" s="6" t="s">
        <v>973</v>
      </c>
      <c r="C4127" s="6" t="s">
        <v>124</v>
      </c>
      <c r="D4127" s="13" t="n">
        <v>44822</v>
      </c>
      <c r="E4127" s="14" t="n">
        <v>13542.08</v>
      </c>
      <c r="F4127" s="14" t="n">
        <v>31194.33</v>
      </c>
      <c r="G4127" s="6" t="s">
        <v>2613</v>
      </c>
    </row>
    <row r="4128" customFormat="false" ht="15" hidden="false" customHeight="true" outlineLevel="0" collapsed="false">
      <c r="A4128" s="6" t="s">
        <v>6740</v>
      </c>
      <c r="B4128" s="6" t="s">
        <v>973</v>
      </c>
      <c r="C4128" s="6" t="s">
        <v>124</v>
      </c>
      <c r="D4128" s="13" t="n">
        <v>44829</v>
      </c>
      <c r="E4128" s="14" t="n">
        <v>12158.63</v>
      </c>
      <c r="F4128" s="14" t="n">
        <v>43352.96</v>
      </c>
      <c r="G4128" s="6" t="s">
        <v>2613</v>
      </c>
    </row>
    <row r="4129" customFormat="false" ht="15" hidden="false" customHeight="true" outlineLevel="0" collapsed="false">
      <c r="A4129" s="6" t="s">
        <v>6741</v>
      </c>
      <c r="B4129" s="6" t="s">
        <v>973</v>
      </c>
      <c r="C4129" s="6" t="s">
        <v>124</v>
      </c>
      <c r="D4129" s="13" t="n">
        <v>44836</v>
      </c>
      <c r="E4129" s="14" t="n">
        <v>17305.95</v>
      </c>
      <c r="F4129" s="14" t="n">
        <v>60658.91</v>
      </c>
      <c r="G4129" s="6" t="s">
        <v>2613</v>
      </c>
    </row>
    <row r="4130" customFormat="false" ht="15" hidden="false" customHeight="true" outlineLevel="0" collapsed="false">
      <c r="A4130" s="6" t="s">
        <v>6742</v>
      </c>
      <c r="B4130" s="6" t="s">
        <v>973</v>
      </c>
      <c r="C4130" s="6" t="s">
        <v>124</v>
      </c>
      <c r="D4130" s="13" t="n">
        <v>44843</v>
      </c>
      <c r="E4130" s="14" t="n">
        <v>10303.88</v>
      </c>
      <c r="F4130" s="14" t="n">
        <v>70962.79</v>
      </c>
      <c r="G4130" s="6" t="s">
        <v>2613</v>
      </c>
    </row>
    <row r="4131" customFormat="false" ht="15" hidden="false" customHeight="true" outlineLevel="0" collapsed="false">
      <c r="A4131" s="6" t="s">
        <v>6743</v>
      </c>
      <c r="B4131" s="6" t="s">
        <v>973</v>
      </c>
      <c r="C4131" s="6" t="s">
        <v>124</v>
      </c>
      <c r="D4131" s="13" t="n">
        <v>44850</v>
      </c>
      <c r="E4131" s="14" t="n">
        <v>8409.7</v>
      </c>
      <c r="F4131" s="14" t="n">
        <v>79372.49</v>
      </c>
      <c r="G4131" s="6" t="s">
        <v>2613</v>
      </c>
    </row>
    <row r="4132" customFormat="false" ht="15" hidden="false" customHeight="true" outlineLevel="0" collapsed="false">
      <c r="A4132" s="6" t="s">
        <v>6744</v>
      </c>
      <c r="B4132" s="6" t="s">
        <v>973</v>
      </c>
      <c r="C4132" s="6" t="s">
        <v>124</v>
      </c>
      <c r="D4132" s="13" t="n">
        <v>44857</v>
      </c>
      <c r="E4132" s="14" t="n">
        <v>12649.02</v>
      </c>
      <c r="F4132" s="14" t="n">
        <v>92021.51</v>
      </c>
      <c r="G4132" s="6" t="s">
        <v>2613</v>
      </c>
    </row>
    <row r="4133" customFormat="false" ht="15" hidden="false" customHeight="true" outlineLevel="0" collapsed="false">
      <c r="A4133" s="6" t="s">
        <v>6745</v>
      </c>
      <c r="B4133" s="6" t="s">
        <v>973</v>
      </c>
      <c r="C4133" s="6" t="s">
        <v>124</v>
      </c>
      <c r="D4133" s="13" t="n">
        <v>44864</v>
      </c>
      <c r="E4133" s="14" t="n">
        <v>16475.54</v>
      </c>
      <c r="F4133" s="14" t="n">
        <v>108497.05</v>
      </c>
      <c r="G4133" s="6" t="s">
        <v>2613</v>
      </c>
    </row>
    <row r="4134" customFormat="false" ht="15" hidden="false" customHeight="true" outlineLevel="0" collapsed="false">
      <c r="A4134" s="6" t="s">
        <v>6746</v>
      </c>
      <c r="B4134" s="6" t="s">
        <v>973</v>
      </c>
      <c r="C4134" s="6" t="s">
        <v>124</v>
      </c>
      <c r="D4134" s="13" t="n">
        <v>44871</v>
      </c>
      <c r="E4134" s="14" t="n">
        <v>12980.35</v>
      </c>
      <c r="F4134" s="14" t="n">
        <v>121477.4</v>
      </c>
      <c r="G4134" s="6" t="s">
        <v>2613</v>
      </c>
    </row>
    <row r="4135" customFormat="false" ht="15" hidden="false" customHeight="true" outlineLevel="0" collapsed="false">
      <c r="A4135" s="6" t="s">
        <v>6747</v>
      </c>
      <c r="B4135" s="6" t="s">
        <v>975</v>
      </c>
      <c r="C4135" s="6" t="s">
        <v>124</v>
      </c>
      <c r="D4135" s="13" t="n">
        <v>44832</v>
      </c>
      <c r="E4135" s="14" t="n">
        <v>2227.61</v>
      </c>
      <c r="F4135" s="14" t="n">
        <v>2227.61</v>
      </c>
      <c r="G4135" s="6" t="s">
        <v>2613</v>
      </c>
    </row>
    <row r="4136" customFormat="false" ht="15" hidden="false" customHeight="true" outlineLevel="0" collapsed="false">
      <c r="A4136" s="6" t="s">
        <v>6748</v>
      </c>
      <c r="B4136" s="6" t="s">
        <v>975</v>
      </c>
      <c r="C4136" s="6" t="s">
        <v>124</v>
      </c>
      <c r="D4136" s="13" t="n">
        <v>44839</v>
      </c>
      <c r="E4136" s="14" t="n">
        <v>3406.56</v>
      </c>
      <c r="F4136" s="14" t="n">
        <v>5634.17</v>
      </c>
      <c r="G4136" s="6" t="s">
        <v>2613</v>
      </c>
    </row>
    <row r="4137" customFormat="false" ht="15" hidden="false" customHeight="true" outlineLevel="0" collapsed="false">
      <c r="A4137" s="6" t="s">
        <v>6749</v>
      </c>
      <c r="B4137" s="6" t="s">
        <v>975</v>
      </c>
      <c r="C4137" s="6" t="s">
        <v>124</v>
      </c>
      <c r="D4137" s="13" t="n">
        <v>44846</v>
      </c>
      <c r="E4137" s="14" t="n">
        <v>4391.25</v>
      </c>
      <c r="F4137" s="14" t="n">
        <v>10025.42</v>
      </c>
      <c r="G4137" s="6" t="s">
        <v>2613</v>
      </c>
    </row>
    <row r="4138" customFormat="false" ht="15" hidden="false" customHeight="true" outlineLevel="0" collapsed="false">
      <c r="A4138" s="6" t="s">
        <v>6750</v>
      </c>
      <c r="B4138" s="6" t="s">
        <v>975</v>
      </c>
      <c r="C4138" s="6" t="s">
        <v>124</v>
      </c>
      <c r="D4138" s="13" t="n">
        <v>44853</v>
      </c>
      <c r="E4138" s="14" t="n">
        <v>2152.77</v>
      </c>
      <c r="F4138" s="14" t="n">
        <v>12178.19</v>
      </c>
      <c r="G4138" s="6" t="s">
        <v>2613</v>
      </c>
    </row>
    <row r="4139" customFormat="false" ht="15" hidden="false" customHeight="true" outlineLevel="0" collapsed="false">
      <c r="A4139" s="6" t="s">
        <v>6751</v>
      </c>
      <c r="B4139" s="6" t="s">
        <v>975</v>
      </c>
      <c r="C4139" s="6" t="s">
        <v>124</v>
      </c>
      <c r="D4139" s="13" t="n">
        <v>44860</v>
      </c>
      <c r="E4139" s="14" t="n">
        <v>2981.21</v>
      </c>
      <c r="F4139" s="14" t="n">
        <v>15159.4</v>
      </c>
      <c r="G4139" s="6" t="s">
        <v>2613</v>
      </c>
    </row>
    <row r="4140" customFormat="false" ht="15" hidden="false" customHeight="true" outlineLevel="0" collapsed="false">
      <c r="A4140" s="6" t="s">
        <v>6752</v>
      </c>
      <c r="B4140" s="6" t="s">
        <v>975</v>
      </c>
      <c r="C4140" s="6" t="s">
        <v>124</v>
      </c>
      <c r="D4140" s="13" t="n">
        <v>44867</v>
      </c>
      <c r="E4140" s="14" t="n">
        <v>3784.05</v>
      </c>
      <c r="F4140" s="14" t="n">
        <v>18943.45</v>
      </c>
      <c r="G4140" s="6" t="s">
        <v>2613</v>
      </c>
    </row>
    <row r="4141" customFormat="false" ht="15" hidden="false" customHeight="true" outlineLevel="0" collapsed="false">
      <c r="A4141" s="6" t="s">
        <v>6753</v>
      </c>
      <c r="B4141" s="6" t="s">
        <v>975</v>
      </c>
      <c r="C4141" s="6" t="s">
        <v>124</v>
      </c>
      <c r="D4141" s="13" t="n">
        <v>44874</v>
      </c>
      <c r="E4141" s="14" t="n">
        <v>3868.83</v>
      </c>
      <c r="F4141" s="14" t="n">
        <v>22812.28</v>
      </c>
      <c r="G4141" s="6" t="s">
        <v>2613</v>
      </c>
    </row>
    <row r="4142" customFormat="false" ht="15" hidden="false" customHeight="true" outlineLevel="0" collapsed="false">
      <c r="A4142" s="6" t="s">
        <v>6754</v>
      </c>
      <c r="B4142" s="6" t="s">
        <v>975</v>
      </c>
      <c r="C4142" s="6" t="s">
        <v>124</v>
      </c>
      <c r="D4142" s="13" t="n">
        <v>44881</v>
      </c>
      <c r="E4142" s="14" t="n">
        <v>4948.72</v>
      </c>
      <c r="F4142" s="14" t="n">
        <v>27761</v>
      </c>
      <c r="G4142" s="6" t="s">
        <v>2613</v>
      </c>
    </row>
    <row r="4143" customFormat="false" ht="15" hidden="false" customHeight="true" outlineLevel="0" collapsed="false">
      <c r="A4143" s="6" t="s">
        <v>6755</v>
      </c>
      <c r="B4143" s="6" t="s">
        <v>977</v>
      </c>
      <c r="C4143" s="6" t="s">
        <v>112</v>
      </c>
      <c r="D4143" s="13" t="n">
        <v>45300</v>
      </c>
      <c r="E4143" s="14" t="n">
        <v>8104.4</v>
      </c>
      <c r="F4143" s="14" t="n">
        <v>8104.4</v>
      </c>
      <c r="G4143" s="6" t="s">
        <v>2613</v>
      </c>
    </row>
    <row r="4144" customFormat="false" ht="15" hidden="false" customHeight="true" outlineLevel="0" collapsed="false">
      <c r="A4144" s="6" t="s">
        <v>6756</v>
      </c>
      <c r="B4144" s="6" t="s">
        <v>977</v>
      </c>
      <c r="C4144" s="6" t="s">
        <v>112</v>
      </c>
      <c r="D4144" s="13" t="n">
        <v>45307</v>
      </c>
      <c r="E4144" s="14" t="n">
        <v>6993.43</v>
      </c>
      <c r="F4144" s="14" t="n">
        <v>15097.83</v>
      </c>
      <c r="G4144" s="6" t="s">
        <v>2613</v>
      </c>
    </row>
    <row r="4145" customFormat="false" ht="15" hidden="false" customHeight="true" outlineLevel="0" collapsed="false">
      <c r="A4145" s="6" t="s">
        <v>6757</v>
      </c>
      <c r="B4145" s="6" t="s">
        <v>977</v>
      </c>
      <c r="C4145" s="6" t="s">
        <v>112</v>
      </c>
      <c r="D4145" s="13" t="n">
        <v>45314</v>
      </c>
      <c r="E4145" s="14" t="n">
        <v>7515.64</v>
      </c>
      <c r="F4145" s="14" t="n">
        <v>22613.47</v>
      </c>
      <c r="G4145" s="6" t="s">
        <v>2613</v>
      </c>
    </row>
    <row r="4146" customFormat="false" ht="15" hidden="false" customHeight="true" outlineLevel="0" collapsed="false">
      <c r="A4146" s="6" t="s">
        <v>6758</v>
      </c>
      <c r="B4146" s="6" t="s">
        <v>977</v>
      </c>
      <c r="C4146" s="6" t="s">
        <v>112</v>
      </c>
      <c r="D4146" s="13" t="n">
        <v>45321</v>
      </c>
      <c r="E4146" s="14" t="n">
        <v>4886.8</v>
      </c>
      <c r="F4146" s="14" t="n">
        <v>27500.27</v>
      </c>
      <c r="G4146" s="6" t="s">
        <v>2613</v>
      </c>
    </row>
    <row r="4147" customFormat="false" ht="15" hidden="false" customHeight="true" outlineLevel="0" collapsed="false">
      <c r="A4147" s="6" t="s">
        <v>6759</v>
      </c>
      <c r="B4147" s="6" t="s">
        <v>977</v>
      </c>
      <c r="C4147" s="6" t="s">
        <v>112</v>
      </c>
      <c r="D4147" s="13" t="n">
        <v>45328</v>
      </c>
      <c r="E4147" s="14" t="n">
        <v>8447.36</v>
      </c>
      <c r="F4147" s="14" t="n">
        <v>35947.63</v>
      </c>
      <c r="G4147" s="6" t="s">
        <v>2613</v>
      </c>
    </row>
    <row r="4148" customFormat="false" ht="15" hidden="false" customHeight="true" outlineLevel="0" collapsed="false">
      <c r="A4148" s="6" t="s">
        <v>6760</v>
      </c>
      <c r="B4148" s="6" t="s">
        <v>977</v>
      </c>
      <c r="C4148" s="6" t="s">
        <v>112</v>
      </c>
      <c r="D4148" s="13" t="n">
        <v>45335</v>
      </c>
      <c r="E4148" s="14" t="n">
        <v>4672.23</v>
      </c>
      <c r="F4148" s="14" t="n">
        <v>40619.86</v>
      </c>
      <c r="G4148" s="6" t="s">
        <v>2613</v>
      </c>
    </row>
    <row r="4149" customFormat="false" ht="15" hidden="false" customHeight="true" outlineLevel="0" collapsed="false">
      <c r="A4149" s="6" t="s">
        <v>6761</v>
      </c>
      <c r="B4149" s="6" t="s">
        <v>977</v>
      </c>
      <c r="C4149" s="6" t="s">
        <v>112</v>
      </c>
      <c r="D4149" s="13" t="n">
        <v>45342</v>
      </c>
      <c r="E4149" s="14" t="n">
        <v>6629.01</v>
      </c>
      <c r="F4149" s="14" t="n">
        <v>47248.87</v>
      </c>
      <c r="G4149" s="6" t="s">
        <v>2613</v>
      </c>
    </row>
    <row r="4150" customFormat="false" ht="15" hidden="false" customHeight="true" outlineLevel="0" collapsed="false">
      <c r="A4150" s="6" t="s">
        <v>6762</v>
      </c>
      <c r="B4150" s="6" t="s">
        <v>979</v>
      </c>
      <c r="C4150" s="6" t="s">
        <v>116</v>
      </c>
      <c r="D4150" s="13" t="n">
        <v>44850</v>
      </c>
      <c r="E4150" s="14" t="n">
        <v>393.44</v>
      </c>
      <c r="F4150" s="14" t="n">
        <v>393.44</v>
      </c>
      <c r="G4150" s="6" t="s">
        <v>2613</v>
      </c>
    </row>
    <row r="4151" customFormat="false" ht="15" hidden="false" customHeight="true" outlineLevel="0" collapsed="false">
      <c r="A4151" s="6" t="s">
        <v>6763</v>
      </c>
      <c r="B4151" s="6" t="s">
        <v>979</v>
      </c>
      <c r="C4151" s="6" t="s">
        <v>116</v>
      </c>
      <c r="D4151" s="13" t="n">
        <v>44857</v>
      </c>
      <c r="E4151" s="14" t="n">
        <v>200.97</v>
      </c>
      <c r="F4151" s="14" t="n">
        <v>594.41</v>
      </c>
      <c r="G4151" s="6" t="s">
        <v>2613</v>
      </c>
    </row>
    <row r="4152" customFormat="false" ht="15" hidden="false" customHeight="true" outlineLevel="0" collapsed="false">
      <c r="A4152" s="6" t="s">
        <v>6764</v>
      </c>
      <c r="B4152" s="6" t="s">
        <v>979</v>
      </c>
      <c r="C4152" s="6" t="s">
        <v>116</v>
      </c>
      <c r="D4152" s="13" t="n">
        <v>44864</v>
      </c>
      <c r="E4152" s="14" t="n">
        <v>324.54</v>
      </c>
      <c r="F4152" s="14" t="n">
        <v>918.95</v>
      </c>
      <c r="G4152" s="6" t="s">
        <v>2613</v>
      </c>
    </row>
    <row r="4153" customFormat="false" ht="15" hidden="false" customHeight="true" outlineLevel="0" collapsed="false">
      <c r="A4153" s="6" t="s">
        <v>6765</v>
      </c>
      <c r="B4153" s="6" t="s">
        <v>979</v>
      </c>
      <c r="C4153" s="6" t="s">
        <v>116</v>
      </c>
      <c r="D4153" s="13" t="n">
        <v>44871</v>
      </c>
      <c r="E4153" s="14" t="n">
        <v>378.07</v>
      </c>
      <c r="F4153" s="14" t="n">
        <v>1297.02</v>
      </c>
      <c r="G4153" s="6" t="s">
        <v>2613</v>
      </c>
    </row>
    <row r="4154" customFormat="false" ht="15" hidden="false" customHeight="true" outlineLevel="0" collapsed="false">
      <c r="A4154" s="6" t="s">
        <v>6766</v>
      </c>
      <c r="B4154" s="6" t="s">
        <v>979</v>
      </c>
      <c r="C4154" s="6" t="s">
        <v>116</v>
      </c>
      <c r="D4154" s="13" t="n">
        <v>44878</v>
      </c>
      <c r="E4154" s="14" t="n">
        <v>206.43</v>
      </c>
      <c r="F4154" s="14" t="n">
        <v>1503.45</v>
      </c>
      <c r="G4154" s="6" t="s">
        <v>2613</v>
      </c>
    </row>
    <row r="4155" customFormat="false" ht="15" hidden="false" customHeight="true" outlineLevel="0" collapsed="false">
      <c r="A4155" s="6" t="s">
        <v>6767</v>
      </c>
      <c r="B4155" s="6" t="s">
        <v>979</v>
      </c>
      <c r="C4155" s="6" t="s">
        <v>116</v>
      </c>
      <c r="D4155" s="13" t="n">
        <v>44885</v>
      </c>
      <c r="E4155" s="14" t="n">
        <v>250.5</v>
      </c>
      <c r="F4155" s="14" t="n">
        <v>1753.95</v>
      </c>
      <c r="G4155" s="6" t="s">
        <v>2613</v>
      </c>
    </row>
    <row r="4156" customFormat="false" ht="15" hidden="false" customHeight="true" outlineLevel="0" collapsed="false">
      <c r="A4156" s="6" t="s">
        <v>6768</v>
      </c>
      <c r="B4156" s="6" t="s">
        <v>979</v>
      </c>
      <c r="C4156" s="6" t="s">
        <v>116</v>
      </c>
      <c r="D4156" s="13" t="n">
        <v>44892</v>
      </c>
      <c r="E4156" s="14" t="n">
        <v>532.05</v>
      </c>
      <c r="F4156" s="14" t="n">
        <v>2286</v>
      </c>
      <c r="G4156" s="6" t="s">
        <v>2623</v>
      </c>
    </row>
    <row r="4157" customFormat="false" ht="15" hidden="false" customHeight="true" outlineLevel="0" collapsed="false">
      <c r="A4157" s="6" t="s">
        <v>6769</v>
      </c>
      <c r="B4157" s="6" t="s">
        <v>981</v>
      </c>
      <c r="C4157" s="6" t="s">
        <v>131</v>
      </c>
      <c r="D4157" s="13" t="n">
        <v>45145</v>
      </c>
      <c r="E4157" s="14" t="n">
        <v>4489.39</v>
      </c>
      <c r="F4157" s="14" t="n">
        <v>4489.39</v>
      </c>
      <c r="G4157" s="6" t="s">
        <v>2613</v>
      </c>
    </row>
    <row r="4158" customFormat="false" ht="15" hidden="false" customHeight="true" outlineLevel="0" collapsed="false">
      <c r="A4158" s="6" t="s">
        <v>6770</v>
      </c>
      <c r="B4158" s="6" t="s">
        <v>981</v>
      </c>
      <c r="C4158" s="6" t="s">
        <v>131</v>
      </c>
      <c r="D4158" s="13" t="n">
        <v>45152</v>
      </c>
      <c r="E4158" s="14" t="n">
        <v>5931.74</v>
      </c>
      <c r="F4158" s="14" t="n">
        <v>10421.13</v>
      </c>
      <c r="G4158" s="6" t="s">
        <v>2613</v>
      </c>
    </row>
    <row r="4159" customFormat="false" ht="15" hidden="false" customHeight="true" outlineLevel="0" collapsed="false">
      <c r="A4159" s="6" t="s">
        <v>6771</v>
      </c>
      <c r="B4159" s="6" t="s">
        <v>981</v>
      </c>
      <c r="C4159" s="6" t="s">
        <v>131</v>
      </c>
      <c r="D4159" s="13" t="n">
        <v>45159</v>
      </c>
      <c r="E4159" s="14" t="n">
        <v>3729.68</v>
      </c>
      <c r="F4159" s="14" t="n">
        <v>14150.81</v>
      </c>
      <c r="G4159" s="6" t="s">
        <v>2613</v>
      </c>
    </row>
    <row r="4160" customFormat="false" ht="15" hidden="false" customHeight="true" outlineLevel="0" collapsed="false">
      <c r="A4160" s="6" t="s">
        <v>6772</v>
      </c>
      <c r="B4160" s="6" t="s">
        <v>981</v>
      </c>
      <c r="C4160" s="6" t="s">
        <v>131</v>
      </c>
      <c r="D4160" s="13" t="n">
        <v>45166</v>
      </c>
      <c r="E4160" s="14" t="n">
        <v>4506</v>
      </c>
      <c r="F4160" s="14" t="n">
        <v>18656.81</v>
      </c>
      <c r="G4160" s="6" t="s">
        <v>2613</v>
      </c>
    </row>
    <row r="4161" customFormat="false" ht="15" hidden="false" customHeight="true" outlineLevel="0" collapsed="false">
      <c r="A4161" s="6" t="s">
        <v>6773</v>
      </c>
      <c r="B4161" s="6" t="s">
        <v>981</v>
      </c>
      <c r="C4161" s="6" t="s">
        <v>131</v>
      </c>
      <c r="D4161" s="13" t="n">
        <v>45173</v>
      </c>
      <c r="E4161" s="14" t="n">
        <v>4738.74</v>
      </c>
      <c r="F4161" s="14" t="n">
        <v>23395.55</v>
      </c>
      <c r="G4161" s="6" t="s">
        <v>2613</v>
      </c>
    </row>
    <row r="4162" customFormat="false" ht="15" hidden="false" customHeight="true" outlineLevel="0" collapsed="false">
      <c r="A4162" s="6" t="s">
        <v>6774</v>
      </c>
      <c r="B4162" s="6" t="s">
        <v>981</v>
      </c>
      <c r="C4162" s="6" t="s">
        <v>131</v>
      </c>
      <c r="D4162" s="13" t="n">
        <v>45180</v>
      </c>
      <c r="E4162" s="14" t="n">
        <v>6773.93</v>
      </c>
      <c r="F4162" s="14" t="n">
        <v>30169.48</v>
      </c>
      <c r="G4162" s="6" t="s">
        <v>2613</v>
      </c>
    </row>
    <row r="4163" customFormat="false" ht="15" hidden="false" customHeight="true" outlineLevel="0" collapsed="false">
      <c r="A4163" s="6" t="s">
        <v>6775</v>
      </c>
      <c r="B4163" s="6" t="s">
        <v>981</v>
      </c>
      <c r="C4163" s="6" t="s">
        <v>131</v>
      </c>
      <c r="D4163" s="13" t="n">
        <v>45187</v>
      </c>
      <c r="E4163" s="14" t="n">
        <v>5994.23</v>
      </c>
      <c r="F4163" s="14" t="n">
        <v>36163.71</v>
      </c>
      <c r="G4163" s="6" t="s">
        <v>2613</v>
      </c>
    </row>
    <row r="4164" customFormat="false" ht="15" hidden="false" customHeight="true" outlineLevel="0" collapsed="false">
      <c r="A4164" s="6" t="s">
        <v>6776</v>
      </c>
      <c r="B4164" s="6" t="s">
        <v>981</v>
      </c>
      <c r="C4164" s="6" t="s">
        <v>131</v>
      </c>
      <c r="D4164" s="13" t="n">
        <v>45194</v>
      </c>
      <c r="E4164" s="14" t="n">
        <v>3271.55</v>
      </c>
      <c r="F4164" s="14" t="n">
        <v>39435.26</v>
      </c>
      <c r="G4164" s="6" t="s">
        <v>2613</v>
      </c>
    </row>
    <row r="4165" customFormat="false" ht="15" hidden="false" customHeight="true" outlineLevel="0" collapsed="false">
      <c r="A4165" s="6" t="s">
        <v>6777</v>
      </c>
      <c r="B4165" s="6" t="s">
        <v>983</v>
      </c>
      <c r="C4165" s="6" t="s">
        <v>124</v>
      </c>
      <c r="D4165" s="13" t="n">
        <v>45851</v>
      </c>
      <c r="E4165" s="14" t="n">
        <v>957.34</v>
      </c>
      <c r="F4165" s="14" t="n">
        <v>957.34</v>
      </c>
      <c r="G4165" s="6" t="s">
        <v>2613</v>
      </c>
    </row>
    <row r="4166" customFormat="false" ht="15" hidden="false" customHeight="true" outlineLevel="0" collapsed="false">
      <c r="A4166" s="6" t="s">
        <v>6778</v>
      </c>
      <c r="B4166" s="6" t="s">
        <v>983</v>
      </c>
      <c r="C4166" s="6" t="s">
        <v>124</v>
      </c>
      <c r="D4166" s="13" t="n">
        <v>45858</v>
      </c>
      <c r="E4166" s="14" t="n">
        <v>464.87</v>
      </c>
      <c r="F4166" s="14" t="n">
        <v>1422.21</v>
      </c>
      <c r="G4166" s="6" t="s">
        <v>2623</v>
      </c>
    </row>
    <row r="4167" customFormat="false" ht="15" hidden="false" customHeight="true" outlineLevel="0" collapsed="false">
      <c r="A4167" s="6" t="s">
        <v>6779</v>
      </c>
      <c r="B4167" s="6" t="s">
        <v>983</v>
      </c>
      <c r="C4167" s="6" t="s">
        <v>124</v>
      </c>
      <c r="D4167" s="13" t="n">
        <v>45865</v>
      </c>
      <c r="E4167" s="14" t="n">
        <v>948.94</v>
      </c>
      <c r="F4167" s="14" t="n">
        <v>2371.15</v>
      </c>
      <c r="G4167" s="6" t="s">
        <v>2613</v>
      </c>
    </row>
    <row r="4168" customFormat="false" ht="15" hidden="false" customHeight="true" outlineLevel="0" collapsed="false">
      <c r="A4168" s="6" t="s">
        <v>6780</v>
      </c>
      <c r="B4168" s="6" t="s">
        <v>983</v>
      </c>
      <c r="C4168" s="6" t="s">
        <v>124</v>
      </c>
      <c r="D4168" s="13" t="n">
        <v>45872</v>
      </c>
      <c r="E4168" s="14" t="n">
        <v>574.53</v>
      </c>
      <c r="F4168" s="14" t="n">
        <v>2945.68</v>
      </c>
      <c r="G4168" s="6" t="s">
        <v>2613</v>
      </c>
    </row>
    <row r="4169" customFormat="false" ht="15" hidden="false" customHeight="true" outlineLevel="0" collapsed="false">
      <c r="A4169" s="6" t="s">
        <v>6781</v>
      </c>
      <c r="B4169" s="6" t="s">
        <v>983</v>
      </c>
      <c r="C4169" s="6" t="s">
        <v>124</v>
      </c>
      <c r="D4169" s="13" t="n">
        <v>45879</v>
      </c>
      <c r="E4169" s="14" t="n">
        <v>684</v>
      </c>
      <c r="F4169" s="14" t="n">
        <v>3629.68</v>
      </c>
      <c r="G4169" s="6" t="s">
        <v>2613</v>
      </c>
    </row>
    <row r="4170" customFormat="false" ht="15" hidden="false" customHeight="true" outlineLevel="0" collapsed="false">
      <c r="A4170" s="6" t="s">
        <v>6782</v>
      </c>
      <c r="B4170" s="6" t="s">
        <v>983</v>
      </c>
      <c r="C4170" s="6" t="s">
        <v>124</v>
      </c>
      <c r="D4170" s="13" t="n">
        <v>45886</v>
      </c>
      <c r="E4170" s="14" t="n">
        <v>1041.84</v>
      </c>
      <c r="F4170" s="14" t="n">
        <v>4671.52</v>
      </c>
      <c r="G4170" s="6" t="s">
        <v>2613</v>
      </c>
    </row>
    <row r="4171" customFormat="false" ht="15" hidden="false" customHeight="true" outlineLevel="0" collapsed="false">
      <c r="A4171" s="6" t="s">
        <v>6783</v>
      </c>
      <c r="B4171" s="6" t="s">
        <v>983</v>
      </c>
      <c r="C4171" s="6" t="s">
        <v>124</v>
      </c>
      <c r="D4171" s="13" t="n">
        <v>45893</v>
      </c>
      <c r="E4171" s="14" t="n">
        <v>549.84</v>
      </c>
      <c r="F4171" s="14" t="n">
        <v>5221.36</v>
      </c>
      <c r="G4171" s="6" t="s">
        <v>2613</v>
      </c>
    </row>
    <row r="4172" customFormat="false" ht="15" hidden="false" customHeight="true" outlineLevel="0" collapsed="false">
      <c r="A4172" s="6" t="s">
        <v>6784</v>
      </c>
      <c r="B4172" s="6" t="s">
        <v>983</v>
      </c>
      <c r="C4172" s="6" t="s">
        <v>124</v>
      </c>
      <c r="D4172" s="13" t="n">
        <v>45900</v>
      </c>
      <c r="E4172" s="14" t="n">
        <v>787.49</v>
      </c>
      <c r="F4172" s="14" t="n">
        <v>6008.85</v>
      </c>
      <c r="G4172" s="6" t="s">
        <v>2613</v>
      </c>
    </row>
    <row r="4173" customFormat="false" ht="15" hidden="false" customHeight="true" outlineLevel="0" collapsed="false">
      <c r="A4173" s="6" t="s">
        <v>6785</v>
      </c>
      <c r="B4173" s="6" t="s">
        <v>983</v>
      </c>
      <c r="C4173" s="6" t="s">
        <v>124</v>
      </c>
      <c r="D4173" s="13" t="n">
        <v>45907</v>
      </c>
      <c r="E4173" s="14" t="n">
        <v>1043.38</v>
      </c>
      <c r="F4173" s="14" t="n">
        <v>7052.23</v>
      </c>
      <c r="G4173" s="6" t="s">
        <v>2613</v>
      </c>
    </row>
    <row r="4174" customFormat="false" ht="15" hidden="false" customHeight="true" outlineLevel="0" collapsed="false">
      <c r="A4174" s="6" t="s">
        <v>6786</v>
      </c>
      <c r="B4174" s="6" t="s">
        <v>983</v>
      </c>
      <c r="C4174" s="6" t="s">
        <v>124</v>
      </c>
      <c r="D4174" s="13" t="n">
        <v>45914</v>
      </c>
      <c r="E4174" s="14" t="n">
        <v>599.86</v>
      </c>
      <c r="F4174" s="14" t="n">
        <v>7652.09</v>
      </c>
      <c r="G4174" s="6" t="s">
        <v>2613</v>
      </c>
    </row>
    <row r="4175" customFormat="false" ht="15" hidden="false" customHeight="true" outlineLevel="0" collapsed="false">
      <c r="A4175" s="6" t="s">
        <v>6787</v>
      </c>
      <c r="B4175" s="6" t="s">
        <v>983</v>
      </c>
      <c r="C4175" s="6" t="s">
        <v>124</v>
      </c>
      <c r="D4175" s="13" t="n">
        <v>45921</v>
      </c>
      <c r="E4175" s="14" t="n">
        <v>981.88</v>
      </c>
      <c r="F4175" s="14" t="n">
        <v>8633.97</v>
      </c>
      <c r="G4175" s="6" t="s">
        <v>2613</v>
      </c>
    </row>
    <row r="4176" customFormat="false" ht="15" hidden="false" customHeight="true" outlineLevel="0" collapsed="false">
      <c r="A4176" s="6" t="s">
        <v>6788</v>
      </c>
      <c r="B4176" s="6" t="s">
        <v>983</v>
      </c>
      <c r="C4176" s="6" t="s">
        <v>124</v>
      </c>
      <c r="D4176" s="13" t="n">
        <v>45928</v>
      </c>
      <c r="E4176" s="14" t="n">
        <v>822.6</v>
      </c>
      <c r="F4176" s="14" t="n">
        <v>9456.57</v>
      </c>
      <c r="G4176" s="6" t="s">
        <v>2613</v>
      </c>
    </row>
    <row r="4177" customFormat="false" ht="15" hidden="false" customHeight="true" outlineLevel="0" collapsed="false">
      <c r="A4177" s="6" t="s">
        <v>6789</v>
      </c>
      <c r="B4177" s="6" t="s">
        <v>983</v>
      </c>
      <c r="C4177" s="6" t="s">
        <v>124</v>
      </c>
      <c r="D4177" s="13" t="n">
        <v>45935</v>
      </c>
      <c r="E4177" s="14" t="n">
        <v>1019.35</v>
      </c>
      <c r="F4177" s="14" t="n">
        <v>10475.92</v>
      </c>
      <c r="G4177" s="6" t="s">
        <v>2613</v>
      </c>
    </row>
    <row r="4178" customFormat="false" ht="15" hidden="false" customHeight="true" outlineLevel="0" collapsed="false">
      <c r="A4178" s="6" t="s">
        <v>6790</v>
      </c>
      <c r="B4178" s="6" t="s">
        <v>983</v>
      </c>
      <c r="C4178" s="6" t="s">
        <v>124</v>
      </c>
      <c r="D4178" s="13" t="n">
        <v>45942</v>
      </c>
      <c r="E4178" s="14" t="n">
        <v>632.86</v>
      </c>
      <c r="F4178" s="14" t="n">
        <v>11108.78</v>
      </c>
      <c r="G4178" s="6" t="s">
        <v>2613</v>
      </c>
    </row>
    <row r="4179" customFormat="false" ht="15" hidden="false" customHeight="true" outlineLevel="0" collapsed="false">
      <c r="A4179" s="6" t="s">
        <v>6791</v>
      </c>
      <c r="B4179" s="6" t="s">
        <v>983</v>
      </c>
      <c r="C4179" s="6" t="s">
        <v>124</v>
      </c>
      <c r="D4179" s="13" t="n">
        <v>45949</v>
      </c>
      <c r="E4179" s="14" t="n">
        <v>791.86</v>
      </c>
      <c r="F4179" s="14" t="n">
        <v>11900.64</v>
      </c>
      <c r="G4179" s="6" t="s">
        <v>2613</v>
      </c>
    </row>
    <row r="4180" customFormat="false" ht="15" hidden="false" customHeight="true" outlineLevel="0" collapsed="false">
      <c r="A4180" s="6" t="s">
        <v>6792</v>
      </c>
      <c r="B4180" s="6" t="s">
        <v>983</v>
      </c>
      <c r="C4180" s="6" t="s">
        <v>124</v>
      </c>
      <c r="D4180" s="13" t="n">
        <v>45956</v>
      </c>
      <c r="E4180" s="14" t="n">
        <v>482.73</v>
      </c>
      <c r="F4180" s="14" t="n">
        <v>12383.37</v>
      </c>
      <c r="G4180" s="6" t="s">
        <v>2613</v>
      </c>
    </row>
    <row r="4181" customFormat="false" ht="15" hidden="false" customHeight="true" outlineLevel="0" collapsed="false">
      <c r="A4181" s="6" t="s">
        <v>6793</v>
      </c>
      <c r="B4181" s="6" t="s">
        <v>983</v>
      </c>
      <c r="C4181" s="6" t="s">
        <v>124</v>
      </c>
      <c r="D4181" s="13" t="n">
        <v>45963</v>
      </c>
      <c r="E4181" s="14" t="n">
        <v>565.18</v>
      </c>
      <c r="F4181" s="14" t="n">
        <v>12948.55</v>
      </c>
      <c r="G4181" s="6" t="s">
        <v>2613</v>
      </c>
    </row>
    <row r="4182" customFormat="false" ht="15" hidden="false" customHeight="true" outlineLevel="0" collapsed="false">
      <c r="A4182" s="6" t="s">
        <v>6794</v>
      </c>
      <c r="B4182" s="6" t="s">
        <v>983</v>
      </c>
      <c r="C4182" s="6" t="s">
        <v>124</v>
      </c>
      <c r="D4182" s="13" t="n">
        <v>45970</v>
      </c>
      <c r="E4182" s="14" t="n">
        <v>977.09</v>
      </c>
      <c r="F4182" s="14" t="n">
        <v>13925.64</v>
      </c>
      <c r="G4182" s="6" t="s">
        <v>2623</v>
      </c>
    </row>
    <row r="4183" customFormat="false" ht="15" hidden="false" customHeight="true" outlineLevel="0" collapsed="false">
      <c r="A4183" s="6" t="s">
        <v>6795</v>
      </c>
      <c r="B4183" s="6" t="s">
        <v>983</v>
      </c>
      <c r="C4183" s="6" t="s">
        <v>124</v>
      </c>
      <c r="D4183" s="13" t="n">
        <v>45977</v>
      </c>
      <c r="E4183" s="14" t="n">
        <v>701.37</v>
      </c>
      <c r="F4183" s="14" t="n">
        <v>14627.01</v>
      </c>
      <c r="G4183" s="6" t="s">
        <v>2623</v>
      </c>
    </row>
    <row r="4184" customFormat="false" ht="15" hidden="false" customHeight="true" outlineLevel="0" collapsed="false">
      <c r="A4184" s="6" t="s">
        <v>6796</v>
      </c>
      <c r="B4184" s="6" t="s">
        <v>983</v>
      </c>
      <c r="C4184" s="6" t="s">
        <v>124</v>
      </c>
      <c r="D4184" s="13" t="n">
        <v>45984</v>
      </c>
      <c r="E4184" s="14" t="n">
        <v>913.41</v>
      </c>
      <c r="F4184" s="14" t="n">
        <v>15540.42</v>
      </c>
      <c r="G4184" s="6" t="s">
        <v>2613</v>
      </c>
    </row>
    <row r="4185" customFormat="false" ht="15" hidden="false" customHeight="true" outlineLevel="0" collapsed="false">
      <c r="A4185" s="6" t="s">
        <v>6797</v>
      </c>
      <c r="B4185" s="6" t="s">
        <v>983</v>
      </c>
      <c r="C4185" s="6" t="s">
        <v>124</v>
      </c>
      <c r="D4185" s="13" t="n">
        <v>45991</v>
      </c>
      <c r="E4185" s="14" t="n">
        <v>632.02</v>
      </c>
      <c r="F4185" s="14" t="n">
        <v>16172.44</v>
      </c>
      <c r="G4185" s="6" t="s">
        <v>2613</v>
      </c>
    </row>
    <row r="4186" customFormat="false" ht="15" hidden="false" customHeight="true" outlineLevel="0" collapsed="false">
      <c r="A4186" s="6" t="s">
        <v>6798</v>
      </c>
      <c r="B4186" s="6" t="s">
        <v>983</v>
      </c>
      <c r="C4186" s="6" t="s">
        <v>124</v>
      </c>
      <c r="D4186" s="13" t="n">
        <v>45998</v>
      </c>
      <c r="E4186" s="14" t="n">
        <v>1009.34</v>
      </c>
      <c r="F4186" s="14" t="n">
        <v>17181.78</v>
      </c>
      <c r="G4186" s="6" t="s">
        <v>2613</v>
      </c>
    </row>
    <row r="4187" customFormat="false" ht="15" hidden="false" customHeight="true" outlineLevel="0" collapsed="false">
      <c r="A4187" s="6" t="s">
        <v>6799</v>
      </c>
      <c r="B4187" s="6" t="s">
        <v>983</v>
      </c>
      <c r="C4187" s="6" t="s">
        <v>124</v>
      </c>
      <c r="D4187" s="13" t="n">
        <v>46005</v>
      </c>
      <c r="E4187" s="14" t="n">
        <v>931.5</v>
      </c>
      <c r="F4187" s="14" t="n">
        <v>18113.28</v>
      </c>
      <c r="G4187" s="6" t="s">
        <v>2613</v>
      </c>
    </row>
    <row r="4188" customFormat="false" ht="15" hidden="false" customHeight="true" outlineLevel="0" collapsed="false">
      <c r="A4188" s="6" t="s">
        <v>6800</v>
      </c>
      <c r="B4188" s="6" t="s">
        <v>983</v>
      </c>
      <c r="C4188" s="6" t="s">
        <v>124</v>
      </c>
      <c r="D4188" s="13" t="n">
        <v>46012</v>
      </c>
      <c r="E4188" s="14" t="n">
        <v>1002.9</v>
      </c>
      <c r="F4188" s="14" t="n">
        <v>19116.18</v>
      </c>
      <c r="G4188" s="6" t="s">
        <v>2613</v>
      </c>
    </row>
    <row r="4189" customFormat="false" ht="15" hidden="false" customHeight="true" outlineLevel="0" collapsed="false">
      <c r="A4189" s="6" t="s">
        <v>6801</v>
      </c>
      <c r="B4189" s="6" t="s">
        <v>983</v>
      </c>
      <c r="C4189" s="6" t="s">
        <v>124</v>
      </c>
      <c r="D4189" s="13" t="n">
        <v>46019</v>
      </c>
      <c r="E4189" s="14" t="n">
        <v>860.18</v>
      </c>
      <c r="F4189" s="14" t="n">
        <v>19976.36</v>
      </c>
      <c r="G4189" s="6" t="s">
        <v>2623</v>
      </c>
    </row>
    <row r="4190" customFormat="false" ht="15" hidden="false" customHeight="true" outlineLevel="0" collapsed="false">
      <c r="A4190" s="6" t="s">
        <v>6802</v>
      </c>
      <c r="B4190" s="6" t="s">
        <v>983</v>
      </c>
      <c r="C4190" s="6" t="s">
        <v>124</v>
      </c>
      <c r="D4190" s="13" t="n">
        <v>46026</v>
      </c>
      <c r="E4190" s="14" t="n">
        <v>1009.89</v>
      </c>
      <c r="F4190" s="14" t="n">
        <v>20986.25</v>
      </c>
      <c r="G4190" s="6" t="s">
        <v>2613</v>
      </c>
    </row>
    <row r="4191" customFormat="false" ht="15" hidden="false" customHeight="true" outlineLevel="0" collapsed="false">
      <c r="A4191" s="6" t="s">
        <v>6803</v>
      </c>
      <c r="B4191" s="6" t="s">
        <v>983</v>
      </c>
      <c r="C4191" s="6" t="s">
        <v>124</v>
      </c>
      <c r="D4191" s="13" t="n">
        <v>46033</v>
      </c>
      <c r="E4191" s="14" t="n">
        <v>459.18</v>
      </c>
      <c r="F4191" s="14" t="n">
        <v>21445.43</v>
      </c>
      <c r="G4191" s="6" t="s">
        <v>2623</v>
      </c>
    </row>
    <row r="4192" customFormat="false" ht="15" hidden="false" customHeight="true" outlineLevel="0" collapsed="false">
      <c r="A4192" s="6" t="s">
        <v>6804</v>
      </c>
      <c r="B4192" s="6" t="s">
        <v>983</v>
      </c>
      <c r="C4192" s="6" t="s">
        <v>124</v>
      </c>
      <c r="D4192" s="13" t="n">
        <v>46040</v>
      </c>
      <c r="E4192" s="14" t="n">
        <v>591.62</v>
      </c>
      <c r="F4192" s="14" t="n">
        <v>22037.05</v>
      </c>
      <c r="G4192" s="6" t="s">
        <v>2613</v>
      </c>
    </row>
    <row r="4193" customFormat="false" ht="15" hidden="false" customHeight="true" outlineLevel="0" collapsed="false">
      <c r="A4193" s="6" t="s">
        <v>6805</v>
      </c>
      <c r="B4193" s="6" t="s">
        <v>983</v>
      </c>
      <c r="C4193" s="6" t="s">
        <v>124</v>
      </c>
      <c r="D4193" s="13" t="n">
        <v>46047</v>
      </c>
      <c r="E4193" s="14" t="n">
        <v>798.87</v>
      </c>
      <c r="F4193" s="14" t="n">
        <v>22835.92</v>
      </c>
      <c r="G4193" s="6" t="s">
        <v>2613</v>
      </c>
    </row>
    <row r="4194" customFormat="false" ht="15" hidden="false" customHeight="true" outlineLevel="0" collapsed="false">
      <c r="A4194" s="6" t="s">
        <v>6806</v>
      </c>
      <c r="B4194" s="6" t="s">
        <v>983</v>
      </c>
      <c r="C4194" s="6" t="s">
        <v>124</v>
      </c>
      <c r="D4194" s="13" t="n">
        <v>46054</v>
      </c>
      <c r="E4194" s="14" t="n">
        <v>612.81</v>
      </c>
      <c r="F4194" s="14" t="n">
        <v>23448.73</v>
      </c>
      <c r="G4194" s="6" t="s">
        <v>2613</v>
      </c>
    </row>
    <row r="4195" customFormat="false" ht="15" hidden="false" customHeight="true" outlineLevel="0" collapsed="false">
      <c r="A4195" s="6" t="s">
        <v>6807</v>
      </c>
      <c r="B4195" s="6" t="s">
        <v>983</v>
      </c>
      <c r="C4195" s="6" t="s">
        <v>124</v>
      </c>
      <c r="D4195" s="13" t="n">
        <v>46061</v>
      </c>
      <c r="E4195" s="14" t="n">
        <v>738.76</v>
      </c>
      <c r="F4195" s="14" t="n">
        <v>24187.49</v>
      </c>
      <c r="G4195" s="6" t="s">
        <v>2613</v>
      </c>
    </row>
    <row r="4196" customFormat="false" ht="15" hidden="false" customHeight="true" outlineLevel="0" collapsed="false">
      <c r="A4196" s="6" t="s">
        <v>6808</v>
      </c>
      <c r="B4196" s="6" t="s">
        <v>983</v>
      </c>
      <c r="C4196" s="6" t="s">
        <v>124</v>
      </c>
      <c r="D4196" s="13" t="n">
        <v>46068</v>
      </c>
      <c r="E4196" s="14" t="n">
        <v>542.66</v>
      </c>
      <c r="F4196" s="14" t="n">
        <v>24730.15</v>
      </c>
      <c r="G4196" s="6" t="s">
        <v>2623</v>
      </c>
    </row>
    <row r="4197" customFormat="false" ht="15" hidden="false" customHeight="true" outlineLevel="0" collapsed="false">
      <c r="A4197" s="6" t="s">
        <v>6809</v>
      </c>
      <c r="B4197" s="6" t="s">
        <v>983</v>
      </c>
      <c r="C4197" s="6" t="s">
        <v>124</v>
      </c>
      <c r="D4197" s="13" t="n">
        <v>46075</v>
      </c>
      <c r="E4197" s="14" t="n">
        <v>857.89</v>
      </c>
      <c r="F4197" s="14" t="n">
        <v>25588.04</v>
      </c>
      <c r="G4197" s="6" t="s">
        <v>2623</v>
      </c>
    </row>
    <row r="4198" customFormat="false" ht="15" hidden="false" customHeight="true" outlineLevel="0" collapsed="false">
      <c r="A4198" s="6" t="s">
        <v>6810</v>
      </c>
      <c r="B4198" s="6" t="s">
        <v>983</v>
      </c>
      <c r="C4198" s="6" t="s">
        <v>124</v>
      </c>
      <c r="D4198" s="13" t="n">
        <v>46082</v>
      </c>
      <c r="E4198" s="14" t="n">
        <v>749.39</v>
      </c>
      <c r="F4198" s="14" t="n">
        <v>26337.43</v>
      </c>
      <c r="G4198" s="6" t="s">
        <v>2613</v>
      </c>
    </row>
    <row r="4199" customFormat="false" ht="15" hidden="false" customHeight="true" outlineLevel="0" collapsed="false">
      <c r="A4199" s="6" t="s">
        <v>6811</v>
      </c>
      <c r="B4199" s="6" t="s">
        <v>983</v>
      </c>
      <c r="C4199" s="6" t="s">
        <v>124</v>
      </c>
      <c r="D4199" s="13" t="n">
        <v>46089</v>
      </c>
      <c r="E4199" s="14" t="n">
        <v>698.33</v>
      </c>
      <c r="F4199" s="14" t="n">
        <v>27035.76</v>
      </c>
      <c r="G4199" s="6" t="s">
        <v>2613</v>
      </c>
    </row>
    <row r="4200" customFormat="false" ht="15" hidden="false" customHeight="true" outlineLevel="0" collapsed="false">
      <c r="A4200" s="6" t="s">
        <v>6812</v>
      </c>
      <c r="B4200" s="6" t="s">
        <v>983</v>
      </c>
      <c r="C4200" s="6" t="s">
        <v>124</v>
      </c>
      <c r="D4200" s="13" t="n">
        <v>46096</v>
      </c>
      <c r="E4200" s="14" t="n">
        <v>797.06</v>
      </c>
      <c r="F4200" s="14" t="n">
        <v>27832.82</v>
      </c>
      <c r="G4200" s="6" t="s">
        <v>2623</v>
      </c>
    </row>
    <row r="4201" customFormat="false" ht="15" hidden="false" customHeight="true" outlineLevel="0" collapsed="false">
      <c r="A4201" s="6" t="s">
        <v>6813</v>
      </c>
      <c r="B4201" s="6" t="s">
        <v>983</v>
      </c>
      <c r="C4201" s="6" t="s">
        <v>124</v>
      </c>
      <c r="D4201" s="13" t="n">
        <v>46103</v>
      </c>
      <c r="E4201" s="14" t="n">
        <v>488.42</v>
      </c>
      <c r="F4201" s="14" t="n">
        <v>28321.24</v>
      </c>
      <c r="G4201" s="6" t="s">
        <v>2613</v>
      </c>
    </row>
    <row r="4202" customFormat="false" ht="15" hidden="false" customHeight="true" outlineLevel="0" collapsed="false">
      <c r="A4202" s="6" t="s">
        <v>6814</v>
      </c>
      <c r="B4202" s="6" t="s">
        <v>983</v>
      </c>
      <c r="C4202" s="6" t="s">
        <v>124</v>
      </c>
      <c r="D4202" s="13" t="n">
        <v>46110</v>
      </c>
      <c r="E4202" s="14" t="n">
        <v>214.56</v>
      </c>
      <c r="F4202" s="14" t="n">
        <v>28535.8</v>
      </c>
      <c r="G4202" s="6" t="s">
        <v>2613</v>
      </c>
    </row>
    <row r="4203" customFormat="false" ht="15" hidden="false" customHeight="true" outlineLevel="0" collapsed="false">
      <c r="A4203" s="6" t="s">
        <v>6815</v>
      </c>
      <c r="B4203" s="6" t="s">
        <v>985</v>
      </c>
      <c r="C4203" s="6" t="s">
        <v>120</v>
      </c>
      <c r="D4203" s="13" t="n">
        <v>45722</v>
      </c>
      <c r="E4203" s="14" t="n">
        <v>5058.73</v>
      </c>
      <c r="F4203" s="14" t="n">
        <v>5058.73</v>
      </c>
      <c r="G4203" s="6" t="s">
        <v>2613</v>
      </c>
    </row>
    <row r="4204" customFormat="false" ht="15" hidden="false" customHeight="true" outlineLevel="0" collapsed="false">
      <c r="A4204" s="6" t="s">
        <v>6816</v>
      </c>
      <c r="B4204" s="6" t="s">
        <v>985</v>
      </c>
      <c r="C4204" s="6" t="s">
        <v>120</v>
      </c>
      <c r="D4204" s="13" t="n">
        <v>45729</v>
      </c>
      <c r="E4204" s="14" t="n">
        <v>2917.05</v>
      </c>
      <c r="F4204" s="14" t="n">
        <v>7975.78</v>
      </c>
      <c r="G4204" s="6" t="s">
        <v>2613</v>
      </c>
    </row>
    <row r="4205" customFormat="false" ht="15" hidden="false" customHeight="true" outlineLevel="0" collapsed="false">
      <c r="A4205" s="6" t="s">
        <v>6817</v>
      </c>
      <c r="B4205" s="6" t="s">
        <v>985</v>
      </c>
      <c r="C4205" s="6" t="s">
        <v>120</v>
      </c>
      <c r="D4205" s="13" t="n">
        <v>45736</v>
      </c>
      <c r="E4205" s="14" t="n">
        <v>2369.54</v>
      </c>
      <c r="F4205" s="14" t="n">
        <v>10345.32</v>
      </c>
      <c r="G4205" s="6" t="s">
        <v>2613</v>
      </c>
    </row>
    <row r="4206" customFormat="false" ht="15" hidden="false" customHeight="true" outlineLevel="0" collapsed="false">
      <c r="A4206" s="6" t="s">
        <v>6818</v>
      </c>
      <c r="B4206" s="6" t="s">
        <v>985</v>
      </c>
      <c r="C4206" s="6" t="s">
        <v>120</v>
      </c>
      <c r="D4206" s="13" t="n">
        <v>45743</v>
      </c>
      <c r="E4206" s="14" t="n">
        <v>4006.37</v>
      </c>
      <c r="F4206" s="14" t="n">
        <v>14351.69</v>
      </c>
      <c r="G4206" s="6" t="s">
        <v>2613</v>
      </c>
    </row>
    <row r="4207" customFormat="false" ht="15" hidden="false" customHeight="true" outlineLevel="0" collapsed="false">
      <c r="A4207" s="6" t="s">
        <v>6819</v>
      </c>
      <c r="B4207" s="6" t="s">
        <v>985</v>
      </c>
      <c r="C4207" s="6" t="s">
        <v>120</v>
      </c>
      <c r="D4207" s="13" t="n">
        <v>45750</v>
      </c>
      <c r="E4207" s="14" t="n">
        <v>3633.16</v>
      </c>
      <c r="F4207" s="14" t="n">
        <v>17984.85</v>
      </c>
      <c r="G4207" s="6" t="s">
        <v>2613</v>
      </c>
    </row>
    <row r="4208" customFormat="false" ht="15" hidden="false" customHeight="true" outlineLevel="0" collapsed="false">
      <c r="A4208" s="6" t="s">
        <v>6820</v>
      </c>
      <c r="B4208" s="6" t="s">
        <v>985</v>
      </c>
      <c r="C4208" s="6" t="s">
        <v>120</v>
      </c>
      <c r="D4208" s="13" t="n">
        <v>45757</v>
      </c>
      <c r="E4208" s="14" t="n">
        <v>4186.33</v>
      </c>
      <c r="F4208" s="14" t="n">
        <v>22171.18</v>
      </c>
      <c r="G4208" s="6" t="s">
        <v>2613</v>
      </c>
    </row>
    <row r="4209" customFormat="false" ht="15" hidden="false" customHeight="true" outlineLevel="0" collapsed="false">
      <c r="A4209" s="6" t="s">
        <v>6821</v>
      </c>
      <c r="B4209" s="6" t="s">
        <v>985</v>
      </c>
      <c r="C4209" s="6" t="s">
        <v>120</v>
      </c>
      <c r="D4209" s="13" t="n">
        <v>45764</v>
      </c>
      <c r="E4209" s="14" t="n">
        <v>3866.61</v>
      </c>
      <c r="F4209" s="14" t="n">
        <v>26037.79</v>
      </c>
      <c r="G4209" s="6" t="s">
        <v>2613</v>
      </c>
    </row>
    <row r="4210" customFormat="false" ht="15" hidden="false" customHeight="true" outlineLevel="0" collapsed="false">
      <c r="A4210" s="6" t="s">
        <v>6822</v>
      </c>
      <c r="B4210" s="6" t="s">
        <v>985</v>
      </c>
      <c r="C4210" s="6" t="s">
        <v>120</v>
      </c>
      <c r="D4210" s="13" t="n">
        <v>45771</v>
      </c>
      <c r="E4210" s="14" t="n">
        <v>3681.95</v>
      </c>
      <c r="F4210" s="14" t="n">
        <v>29719.74</v>
      </c>
      <c r="G4210" s="6" t="s">
        <v>2613</v>
      </c>
    </row>
    <row r="4211" customFormat="false" ht="15" hidden="false" customHeight="true" outlineLevel="0" collapsed="false">
      <c r="A4211" s="6" t="s">
        <v>6823</v>
      </c>
      <c r="B4211" s="6" t="s">
        <v>987</v>
      </c>
      <c r="C4211" s="6" t="s">
        <v>120</v>
      </c>
      <c r="D4211" s="13" t="n">
        <v>45404</v>
      </c>
      <c r="E4211" s="14" t="n">
        <v>5379.98</v>
      </c>
      <c r="F4211" s="14" t="n">
        <v>5379.98</v>
      </c>
      <c r="G4211" s="6" t="s">
        <v>2613</v>
      </c>
    </row>
    <row r="4212" customFormat="false" ht="15" hidden="false" customHeight="true" outlineLevel="0" collapsed="false">
      <c r="A4212" s="6" t="s">
        <v>6824</v>
      </c>
      <c r="B4212" s="6" t="s">
        <v>987</v>
      </c>
      <c r="C4212" s="6" t="s">
        <v>120</v>
      </c>
      <c r="D4212" s="13" t="n">
        <v>45411</v>
      </c>
      <c r="E4212" s="14" t="n">
        <v>4308.29</v>
      </c>
      <c r="F4212" s="14" t="n">
        <v>9688.27</v>
      </c>
      <c r="G4212" s="6" t="s">
        <v>2613</v>
      </c>
    </row>
    <row r="4213" customFormat="false" ht="15" hidden="false" customHeight="true" outlineLevel="0" collapsed="false">
      <c r="A4213" s="6" t="s">
        <v>6825</v>
      </c>
      <c r="B4213" s="6" t="s">
        <v>987</v>
      </c>
      <c r="C4213" s="6" t="s">
        <v>120</v>
      </c>
      <c r="D4213" s="13" t="n">
        <v>45418</v>
      </c>
      <c r="E4213" s="14" t="n">
        <v>4840.46</v>
      </c>
      <c r="F4213" s="14" t="n">
        <v>14528.73</v>
      </c>
      <c r="G4213" s="6" t="s">
        <v>2613</v>
      </c>
    </row>
    <row r="4214" customFormat="false" ht="15" hidden="false" customHeight="true" outlineLevel="0" collapsed="false">
      <c r="A4214" s="6" t="s">
        <v>6826</v>
      </c>
      <c r="B4214" s="6" t="s">
        <v>987</v>
      </c>
      <c r="C4214" s="6" t="s">
        <v>120</v>
      </c>
      <c r="D4214" s="13" t="n">
        <v>45425</v>
      </c>
      <c r="E4214" s="14" t="n">
        <v>6413.07</v>
      </c>
      <c r="F4214" s="14" t="n">
        <v>20941.8</v>
      </c>
      <c r="G4214" s="6" t="s">
        <v>2613</v>
      </c>
    </row>
    <row r="4215" customFormat="false" ht="15" hidden="false" customHeight="true" outlineLevel="0" collapsed="false">
      <c r="A4215" s="6" t="s">
        <v>6827</v>
      </c>
      <c r="B4215" s="6" t="s">
        <v>987</v>
      </c>
      <c r="C4215" s="6" t="s">
        <v>120</v>
      </c>
      <c r="D4215" s="13" t="n">
        <v>45432</v>
      </c>
      <c r="E4215" s="14" t="n">
        <v>3154.24</v>
      </c>
      <c r="F4215" s="14" t="n">
        <v>24096.04</v>
      </c>
      <c r="G4215" s="6" t="s">
        <v>2613</v>
      </c>
    </row>
    <row r="4216" customFormat="false" ht="15" hidden="false" customHeight="true" outlineLevel="0" collapsed="false">
      <c r="A4216" s="6" t="s">
        <v>6828</v>
      </c>
      <c r="B4216" s="6" t="s">
        <v>987</v>
      </c>
      <c r="C4216" s="6" t="s">
        <v>120</v>
      </c>
      <c r="D4216" s="13" t="n">
        <v>45439</v>
      </c>
      <c r="E4216" s="14" t="n">
        <v>5745.17</v>
      </c>
      <c r="F4216" s="14" t="n">
        <v>29841.21</v>
      </c>
      <c r="G4216" s="6" t="s">
        <v>2613</v>
      </c>
    </row>
    <row r="4217" customFormat="false" ht="15" hidden="false" customHeight="true" outlineLevel="0" collapsed="false">
      <c r="A4217" s="6" t="s">
        <v>6829</v>
      </c>
      <c r="B4217" s="6" t="s">
        <v>989</v>
      </c>
      <c r="C4217" s="6" t="s">
        <v>131</v>
      </c>
      <c r="D4217" s="13" t="n">
        <v>45427</v>
      </c>
      <c r="E4217" s="14" t="n">
        <v>2233.28</v>
      </c>
      <c r="F4217" s="14" t="n">
        <v>2233.28</v>
      </c>
      <c r="G4217" s="6" t="s">
        <v>2613</v>
      </c>
    </row>
    <row r="4218" customFormat="false" ht="15" hidden="false" customHeight="true" outlineLevel="0" collapsed="false">
      <c r="A4218" s="6" t="s">
        <v>6830</v>
      </c>
      <c r="B4218" s="6" t="s">
        <v>989</v>
      </c>
      <c r="C4218" s="6" t="s">
        <v>131</v>
      </c>
      <c r="D4218" s="13" t="n">
        <v>45434</v>
      </c>
      <c r="E4218" s="14" t="n">
        <v>2287.59</v>
      </c>
      <c r="F4218" s="14" t="n">
        <v>4520.87</v>
      </c>
      <c r="G4218" s="6" t="s">
        <v>2613</v>
      </c>
    </row>
    <row r="4219" customFormat="false" ht="15" hidden="false" customHeight="true" outlineLevel="0" collapsed="false">
      <c r="A4219" s="6" t="s">
        <v>6831</v>
      </c>
      <c r="B4219" s="6" t="s">
        <v>989</v>
      </c>
      <c r="C4219" s="6" t="s">
        <v>131</v>
      </c>
      <c r="D4219" s="13" t="n">
        <v>45441</v>
      </c>
      <c r="E4219" s="14" t="n">
        <v>2244.42</v>
      </c>
      <c r="F4219" s="14" t="n">
        <v>6765.29</v>
      </c>
      <c r="G4219" s="6" t="s">
        <v>2613</v>
      </c>
    </row>
    <row r="4220" customFormat="false" ht="15" hidden="false" customHeight="true" outlineLevel="0" collapsed="false">
      <c r="A4220" s="6" t="s">
        <v>6832</v>
      </c>
      <c r="B4220" s="6" t="s">
        <v>989</v>
      </c>
      <c r="C4220" s="6" t="s">
        <v>131</v>
      </c>
      <c r="D4220" s="13" t="n">
        <v>45448</v>
      </c>
      <c r="E4220" s="14" t="n">
        <v>2571.06</v>
      </c>
      <c r="F4220" s="14" t="n">
        <v>9336.35</v>
      </c>
      <c r="G4220" s="6" t="s">
        <v>2613</v>
      </c>
    </row>
    <row r="4221" customFormat="false" ht="15" hidden="false" customHeight="true" outlineLevel="0" collapsed="false">
      <c r="A4221" s="6" t="s">
        <v>6833</v>
      </c>
      <c r="B4221" s="6" t="s">
        <v>989</v>
      </c>
      <c r="C4221" s="6" t="s">
        <v>131</v>
      </c>
      <c r="D4221" s="13" t="n">
        <v>45455</v>
      </c>
      <c r="E4221" s="14" t="n">
        <v>2653.92</v>
      </c>
      <c r="F4221" s="14" t="n">
        <v>11990.27</v>
      </c>
      <c r="G4221" s="6" t="s">
        <v>2613</v>
      </c>
    </row>
    <row r="4222" customFormat="false" ht="15" hidden="false" customHeight="true" outlineLevel="0" collapsed="false">
      <c r="A4222" s="6" t="s">
        <v>6834</v>
      </c>
      <c r="B4222" s="6" t="s">
        <v>989</v>
      </c>
      <c r="C4222" s="6" t="s">
        <v>131</v>
      </c>
      <c r="D4222" s="13" t="n">
        <v>45462</v>
      </c>
      <c r="E4222" s="14" t="n">
        <v>1856.16</v>
      </c>
      <c r="F4222" s="14" t="n">
        <v>13846.43</v>
      </c>
      <c r="G4222" s="6" t="s">
        <v>2613</v>
      </c>
    </row>
    <row r="4223" customFormat="false" ht="15" hidden="false" customHeight="true" outlineLevel="0" collapsed="false">
      <c r="A4223" s="6" t="s">
        <v>6835</v>
      </c>
      <c r="B4223" s="6" t="s">
        <v>989</v>
      </c>
      <c r="C4223" s="6" t="s">
        <v>131</v>
      </c>
      <c r="D4223" s="13" t="n">
        <v>45469</v>
      </c>
      <c r="E4223" s="14" t="n">
        <v>1938.72</v>
      </c>
      <c r="F4223" s="14" t="n">
        <v>15785.15</v>
      </c>
      <c r="G4223" s="6" t="s">
        <v>2613</v>
      </c>
    </row>
    <row r="4224" customFormat="false" ht="15" hidden="false" customHeight="true" outlineLevel="0" collapsed="false">
      <c r="A4224" s="6" t="s">
        <v>6836</v>
      </c>
      <c r="B4224" s="6" t="s">
        <v>989</v>
      </c>
      <c r="C4224" s="6" t="s">
        <v>131</v>
      </c>
      <c r="D4224" s="13" t="n">
        <v>45476</v>
      </c>
      <c r="E4224" s="14" t="n">
        <v>2197.25</v>
      </c>
      <c r="F4224" s="14" t="n">
        <v>17982.4</v>
      </c>
      <c r="G4224" s="6" t="s">
        <v>2613</v>
      </c>
    </row>
    <row r="4225" customFormat="false" ht="15" hidden="false" customHeight="true" outlineLevel="0" collapsed="false">
      <c r="A4225" s="6" t="s">
        <v>6837</v>
      </c>
      <c r="B4225" s="6" t="s">
        <v>989</v>
      </c>
      <c r="C4225" s="6" t="s">
        <v>131</v>
      </c>
      <c r="D4225" s="13" t="n">
        <v>45483</v>
      </c>
      <c r="E4225" s="14" t="n">
        <v>1672.5</v>
      </c>
      <c r="F4225" s="14" t="n">
        <v>19654.9</v>
      </c>
      <c r="G4225" s="6" t="s">
        <v>2613</v>
      </c>
    </row>
    <row r="4226" customFormat="false" ht="15" hidden="false" customHeight="true" outlineLevel="0" collapsed="false">
      <c r="A4226" s="6" t="s">
        <v>6838</v>
      </c>
      <c r="B4226" s="6" t="s">
        <v>989</v>
      </c>
      <c r="C4226" s="6" t="s">
        <v>131</v>
      </c>
      <c r="D4226" s="13" t="n">
        <v>45490</v>
      </c>
      <c r="E4226" s="14" t="n">
        <v>1998.56</v>
      </c>
      <c r="F4226" s="14" t="n">
        <v>21653.46</v>
      </c>
      <c r="G4226" s="6" t="s">
        <v>2613</v>
      </c>
    </row>
    <row r="4227" customFormat="false" ht="15" hidden="false" customHeight="true" outlineLevel="0" collapsed="false">
      <c r="A4227" s="6" t="s">
        <v>6839</v>
      </c>
      <c r="B4227" s="6" t="s">
        <v>989</v>
      </c>
      <c r="C4227" s="6" t="s">
        <v>131</v>
      </c>
      <c r="D4227" s="13" t="n">
        <v>45497</v>
      </c>
      <c r="E4227" s="14" t="n">
        <v>1478.09</v>
      </c>
      <c r="F4227" s="14" t="n">
        <v>23131.55</v>
      </c>
      <c r="G4227" s="6" t="s">
        <v>2613</v>
      </c>
    </row>
    <row r="4228" customFormat="false" ht="15" hidden="false" customHeight="true" outlineLevel="0" collapsed="false">
      <c r="A4228" s="6" t="s">
        <v>6840</v>
      </c>
      <c r="B4228" s="6" t="s">
        <v>989</v>
      </c>
      <c r="C4228" s="6" t="s">
        <v>131</v>
      </c>
      <c r="D4228" s="13" t="n">
        <v>45504</v>
      </c>
      <c r="E4228" s="14" t="n">
        <v>2077.36</v>
      </c>
      <c r="F4228" s="14" t="n">
        <v>25208.91</v>
      </c>
      <c r="G4228" s="6" t="s">
        <v>2613</v>
      </c>
    </row>
    <row r="4229" customFormat="false" ht="15" hidden="false" customHeight="true" outlineLevel="0" collapsed="false">
      <c r="A4229" s="6" t="s">
        <v>6841</v>
      </c>
      <c r="B4229" s="6" t="s">
        <v>989</v>
      </c>
      <c r="C4229" s="6" t="s">
        <v>131</v>
      </c>
      <c r="D4229" s="13" t="n">
        <v>45511</v>
      </c>
      <c r="E4229" s="14" t="n">
        <v>2839.47</v>
      </c>
      <c r="F4229" s="14" t="n">
        <v>28048.38</v>
      </c>
      <c r="G4229" s="6" t="s">
        <v>2613</v>
      </c>
    </row>
    <row r="4230" customFormat="false" ht="15" hidden="false" customHeight="true" outlineLevel="0" collapsed="false">
      <c r="A4230" s="6" t="s">
        <v>6842</v>
      </c>
      <c r="B4230" s="6" t="s">
        <v>989</v>
      </c>
      <c r="C4230" s="6" t="s">
        <v>131</v>
      </c>
      <c r="D4230" s="13" t="n">
        <v>45518</v>
      </c>
      <c r="E4230" s="14" t="n">
        <v>1295.44</v>
      </c>
      <c r="F4230" s="14" t="n">
        <v>29343.82</v>
      </c>
      <c r="G4230" s="6" t="s">
        <v>2613</v>
      </c>
    </row>
    <row r="4231" customFormat="false" ht="15" hidden="false" customHeight="true" outlineLevel="0" collapsed="false">
      <c r="A4231" s="6" t="s">
        <v>6843</v>
      </c>
      <c r="B4231" s="6" t="s">
        <v>989</v>
      </c>
      <c r="C4231" s="6" t="s">
        <v>131</v>
      </c>
      <c r="D4231" s="13" t="n">
        <v>45525</v>
      </c>
      <c r="E4231" s="14" t="n">
        <v>2165.13</v>
      </c>
      <c r="F4231" s="14" t="n">
        <v>31508.95</v>
      </c>
      <c r="G4231" s="6" t="s">
        <v>2613</v>
      </c>
    </row>
    <row r="4232" customFormat="false" ht="15" hidden="false" customHeight="true" outlineLevel="0" collapsed="false">
      <c r="A4232" s="6" t="s">
        <v>6844</v>
      </c>
      <c r="B4232" s="6" t="s">
        <v>989</v>
      </c>
      <c r="C4232" s="6" t="s">
        <v>131</v>
      </c>
      <c r="D4232" s="13" t="n">
        <v>45532</v>
      </c>
      <c r="E4232" s="14" t="n">
        <v>1543.55</v>
      </c>
      <c r="F4232" s="14" t="n">
        <v>33052.5</v>
      </c>
      <c r="G4232" s="6" t="s">
        <v>2623</v>
      </c>
    </row>
    <row r="4233" customFormat="false" ht="15" hidden="false" customHeight="true" outlineLevel="0" collapsed="false">
      <c r="A4233" s="6" t="s">
        <v>6845</v>
      </c>
      <c r="B4233" s="6" t="s">
        <v>989</v>
      </c>
      <c r="C4233" s="6" t="s">
        <v>131</v>
      </c>
      <c r="D4233" s="13" t="n">
        <v>45539</v>
      </c>
      <c r="E4233" s="14" t="n">
        <v>2934.18</v>
      </c>
      <c r="F4233" s="14" t="n">
        <v>35986.68</v>
      </c>
      <c r="G4233" s="6" t="s">
        <v>2613</v>
      </c>
    </row>
    <row r="4234" customFormat="false" ht="15" hidden="false" customHeight="true" outlineLevel="0" collapsed="false">
      <c r="A4234" s="6" t="s">
        <v>6846</v>
      </c>
      <c r="B4234" s="6" t="s">
        <v>989</v>
      </c>
      <c r="C4234" s="6" t="s">
        <v>131</v>
      </c>
      <c r="D4234" s="13" t="n">
        <v>45546</v>
      </c>
      <c r="E4234" s="14" t="n">
        <v>1995.32</v>
      </c>
      <c r="F4234" s="14" t="n">
        <v>37982</v>
      </c>
      <c r="G4234" s="6" t="s">
        <v>2613</v>
      </c>
    </row>
    <row r="4235" customFormat="false" ht="15" hidden="false" customHeight="true" outlineLevel="0" collapsed="false">
      <c r="A4235" s="6" t="s">
        <v>6847</v>
      </c>
      <c r="B4235" s="6" t="s">
        <v>989</v>
      </c>
      <c r="C4235" s="6" t="s">
        <v>131</v>
      </c>
      <c r="D4235" s="13" t="n">
        <v>45553</v>
      </c>
      <c r="E4235" s="14" t="n">
        <v>2229.78</v>
      </c>
      <c r="F4235" s="14" t="n">
        <v>40211.78</v>
      </c>
      <c r="G4235" s="6" t="s">
        <v>2623</v>
      </c>
    </row>
    <row r="4236" customFormat="false" ht="15" hidden="false" customHeight="true" outlineLevel="0" collapsed="false">
      <c r="A4236" s="6" t="s">
        <v>6848</v>
      </c>
      <c r="B4236" s="6" t="s">
        <v>989</v>
      </c>
      <c r="C4236" s="6" t="s">
        <v>131</v>
      </c>
      <c r="D4236" s="13" t="n">
        <v>45560</v>
      </c>
      <c r="E4236" s="14" t="n">
        <v>2700.13</v>
      </c>
      <c r="F4236" s="14" t="n">
        <v>42911.91</v>
      </c>
      <c r="G4236" s="6" t="s">
        <v>2623</v>
      </c>
    </row>
    <row r="4237" customFormat="false" ht="15" hidden="false" customHeight="true" outlineLevel="0" collapsed="false">
      <c r="A4237" s="6" t="s">
        <v>6849</v>
      </c>
      <c r="B4237" s="6" t="s">
        <v>989</v>
      </c>
      <c r="C4237" s="6" t="s">
        <v>131</v>
      </c>
      <c r="D4237" s="13" t="n">
        <v>45567</v>
      </c>
      <c r="E4237" s="14" t="n">
        <v>1348.08</v>
      </c>
      <c r="F4237" s="14" t="n">
        <v>44259.99</v>
      </c>
      <c r="G4237" s="6" t="s">
        <v>2613</v>
      </c>
    </row>
    <row r="4238" customFormat="false" ht="15" hidden="false" customHeight="true" outlineLevel="0" collapsed="false">
      <c r="A4238" s="6" t="s">
        <v>6850</v>
      </c>
      <c r="B4238" s="6" t="s">
        <v>989</v>
      </c>
      <c r="C4238" s="6" t="s">
        <v>131</v>
      </c>
      <c r="D4238" s="13" t="n">
        <v>45574</v>
      </c>
      <c r="E4238" s="14" t="n">
        <v>1614.93</v>
      </c>
      <c r="F4238" s="14" t="n">
        <v>45874.92</v>
      </c>
      <c r="G4238" s="6" t="s">
        <v>2613</v>
      </c>
    </row>
    <row r="4239" customFormat="false" ht="15" hidden="false" customHeight="true" outlineLevel="0" collapsed="false">
      <c r="A4239" s="6" t="s">
        <v>6851</v>
      </c>
      <c r="B4239" s="6" t="s">
        <v>989</v>
      </c>
      <c r="C4239" s="6" t="s">
        <v>131</v>
      </c>
      <c r="D4239" s="13" t="n">
        <v>45581</v>
      </c>
      <c r="E4239" s="14" t="n">
        <v>1417.53</v>
      </c>
      <c r="F4239" s="14" t="n">
        <v>47292.45</v>
      </c>
      <c r="G4239" s="6" t="s">
        <v>2613</v>
      </c>
    </row>
    <row r="4240" customFormat="false" ht="15" hidden="false" customHeight="true" outlineLevel="0" collapsed="false">
      <c r="A4240" s="6" t="s">
        <v>6852</v>
      </c>
      <c r="B4240" s="6" t="s">
        <v>989</v>
      </c>
      <c r="C4240" s="6" t="s">
        <v>131</v>
      </c>
      <c r="D4240" s="13" t="n">
        <v>45588</v>
      </c>
      <c r="E4240" s="14" t="n">
        <v>2935.74</v>
      </c>
      <c r="F4240" s="14" t="n">
        <v>50228.19</v>
      </c>
      <c r="G4240" s="6" t="s">
        <v>2613</v>
      </c>
    </row>
    <row r="4241" customFormat="false" ht="15" hidden="false" customHeight="true" outlineLevel="0" collapsed="false">
      <c r="A4241" s="6" t="s">
        <v>6853</v>
      </c>
      <c r="B4241" s="6" t="s">
        <v>989</v>
      </c>
      <c r="C4241" s="6" t="s">
        <v>131</v>
      </c>
      <c r="D4241" s="13" t="n">
        <v>45595</v>
      </c>
      <c r="E4241" s="14" t="n">
        <v>3705.5</v>
      </c>
      <c r="F4241" s="14" t="n">
        <v>53933.69</v>
      </c>
      <c r="G4241" s="6" t="s">
        <v>2613</v>
      </c>
    </row>
    <row r="4242" customFormat="false" ht="15" hidden="false" customHeight="true" outlineLevel="0" collapsed="false">
      <c r="A4242" s="6" t="s">
        <v>6854</v>
      </c>
      <c r="B4242" s="6" t="s">
        <v>991</v>
      </c>
      <c r="C4242" s="6" t="s">
        <v>124</v>
      </c>
      <c r="D4242" s="13" t="n">
        <v>45959</v>
      </c>
      <c r="E4242" s="14" t="n">
        <v>3426.29</v>
      </c>
      <c r="F4242" s="14" t="n">
        <v>3426.29</v>
      </c>
      <c r="G4242" s="6" t="s">
        <v>2623</v>
      </c>
    </row>
    <row r="4243" customFormat="false" ht="15" hidden="false" customHeight="true" outlineLevel="0" collapsed="false">
      <c r="A4243" s="6" t="s">
        <v>6855</v>
      </c>
      <c r="B4243" s="6" t="s">
        <v>991</v>
      </c>
      <c r="C4243" s="6" t="s">
        <v>124</v>
      </c>
      <c r="D4243" s="13" t="n">
        <v>45966</v>
      </c>
      <c r="E4243" s="14" t="n">
        <v>4646.72</v>
      </c>
      <c r="F4243" s="14" t="n">
        <v>8073.01</v>
      </c>
      <c r="G4243" s="6" t="s">
        <v>2613</v>
      </c>
    </row>
    <row r="4244" customFormat="false" ht="15" hidden="false" customHeight="true" outlineLevel="0" collapsed="false">
      <c r="A4244" s="6" t="s">
        <v>6856</v>
      </c>
      <c r="B4244" s="6" t="s">
        <v>991</v>
      </c>
      <c r="C4244" s="6" t="s">
        <v>124</v>
      </c>
      <c r="D4244" s="13" t="n">
        <v>45973</v>
      </c>
      <c r="E4244" s="14" t="n">
        <v>3631.69</v>
      </c>
      <c r="F4244" s="14" t="n">
        <v>11704.7</v>
      </c>
      <c r="G4244" s="6" t="s">
        <v>2613</v>
      </c>
    </row>
    <row r="4245" customFormat="false" ht="15" hidden="false" customHeight="true" outlineLevel="0" collapsed="false">
      <c r="A4245" s="6" t="s">
        <v>6857</v>
      </c>
      <c r="B4245" s="6" t="s">
        <v>991</v>
      </c>
      <c r="C4245" s="6" t="s">
        <v>124</v>
      </c>
      <c r="D4245" s="13" t="n">
        <v>45980</v>
      </c>
      <c r="E4245" s="14" t="n">
        <v>2716.37</v>
      </c>
      <c r="F4245" s="14" t="n">
        <v>14421.07</v>
      </c>
      <c r="G4245" s="6" t="s">
        <v>2613</v>
      </c>
    </row>
    <row r="4246" customFormat="false" ht="15" hidden="false" customHeight="true" outlineLevel="0" collapsed="false">
      <c r="A4246" s="6" t="s">
        <v>6858</v>
      </c>
      <c r="B4246" s="6" t="s">
        <v>991</v>
      </c>
      <c r="C4246" s="6" t="s">
        <v>124</v>
      </c>
      <c r="D4246" s="13" t="n">
        <v>45987</v>
      </c>
      <c r="E4246" s="14" t="n">
        <v>4389.18</v>
      </c>
      <c r="F4246" s="14" t="n">
        <v>18810.25</v>
      </c>
      <c r="G4246" s="6" t="s">
        <v>2613</v>
      </c>
    </row>
    <row r="4247" customFormat="false" ht="15" hidden="false" customHeight="true" outlineLevel="0" collapsed="false">
      <c r="A4247" s="6" t="s">
        <v>6859</v>
      </c>
      <c r="B4247" s="6" t="s">
        <v>991</v>
      </c>
      <c r="C4247" s="6" t="s">
        <v>124</v>
      </c>
      <c r="D4247" s="13" t="n">
        <v>45994</v>
      </c>
      <c r="E4247" s="14" t="n">
        <v>5513.93</v>
      </c>
      <c r="F4247" s="14" t="n">
        <v>24324.18</v>
      </c>
      <c r="G4247" s="6" t="s">
        <v>2613</v>
      </c>
    </row>
    <row r="4248" customFormat="false" ht="15" hidden="false" customHeight="true" outlineLevel="0" collapsed="false">
      <c r="A4248" s="6" t="s">
        <v>6860</v>
      </c>
      <c r="B4248" s="6" t="s">
        <v>991</v>
      </c>
      <c r="C4248" s="6" t="s">
        <v>124</v>
      </c>
      <c r="D4248" s="13" t="n">
        <v>46001</v>
      </c>
      <c r="E4248" s="14" t="n">
        <v>2489.97</v>
      </c>
      <c r="F4248" s="14" t="n">
        <v>26814.15</v>
      </c>
      <c r="G4248" s="6" t="s">
        <v>2623</v>
      </c>
    </row>
    <row r="4249" customFormat="false" ht="15" hidden="false" customHeight="true" outlineLevel="0" collapsed="false">
      <c r="A4249" s="6" t="s">
        <v>6861</v>
      </c>
      <c r="B4249" s="6" t="s">
        <v>991</v>
      </c>
      <c r="C4249" s="6" t="s">
        <v>124</v>
      </c>
      <c r="D4249" s="13" t="n">
        <v>46008</v>
      </c>
      <c r="E4249" s="14" t="n">
        <v>3963.84</v>
      </c>
      <c r="F4249" s="14" t="n">
        <v>30777.99</v>
      </c>
      <c r="G4249" s="6" t="s">
        <v>2613</v>
      </c>
    </row>
    <row r="4250" customFormat="false" ht="15" hidden="false" customHeight="true" outlineLevel="0" collapsed="false">
      <c r="A4250" s="6" t="s">
        <v>6862</v>
      </c>
      <c r="B4250" s="6" t="s">
        <v>991</v>
      </c>
      <c r="C4250" s="6" t="s">
        <v>124</v>
      </c>
      <c r="D4250" s="13" t="n">
        <v>46015</v>
      </c>
      <c r="E4250" s="14" t="n">
        <v>5258.44</v>
      </c>
      <c r="F4250" s="14" t="n">
        <v>36036.43</v>
      </c>
      <c r="G4250" s="6" t="s">
        <v>2613</v>
      </c>
    </row>
    <row r="4251" customFormat="false" ht="15" hidden="false" customHeight="true" outlineLevel="0" collapsed="false">
      <c r="A4251" s="6" t="s">
        <v>6863</v>
      </c>
      <c r="B4251" s="6" t="s">
        <v>993</v>
      </c>
      <c r="C4251" s="6" t="s">
        <v>128</v>
      </c>
      <c r="D4251" s="13" t="n">
        <v>44639</v>
      </c>
      <c r="E4251" s="14" t="n">
        <v>4016.72</v>
      </c>
      <c r="F4251" s="14" t="n">
        <v>4016.72</v>
      </c>
      <c r="G4251" s="6" t="s">
        <v>2613</v>
      </c>
    </row>
    <row r="4252" customFormat="false" ht="15" hidden="false" customHeight="true" outlineLevel="0" collapsed="false">
      <c r="A4252" s="6" t="s">
        <v>6864</v>
      </c>
      <c r="B4252" s="6" t="s">
        <v>993</v>
      </c>
      <c r="C4252" s="6" t="s">
        <v>128</v>
      </c>
      <c r="D4252" s="13" t="n">
        <v>44646</v>
      </c>
      <c r="E4252" s="14" t="n">
        <v>3767.2</v>
      </c>
      <c r="F4252" s="14" t="n">
        <v>7783.92</v>
      </c>
      <c r="G4252" s="6" t="s">
        <v>2623</v>
      </c>
    </row>
    <row r="4253" customFormat="false" ht="15" hidden="false" customHeight="true" outlineLevel="0" collapsed="false">
      <c r="A4253" s="6" t="s">
        <v>6865</v>
      </c>
      <c r="B4253" s="6" t="s">
        <v>993</v>
      </c>
      <c r="C4253" s="6" t="s">
        <v>128</v>
      </c>
      <c r="D4253" s="13" t="n">
        <v>44653</v>
      </c>
      <c r="E4253" s="14" t="n">
        <v>3960.87</v>
      </c>
      <c r="F4253" s="14" t="n">
        <v>11744.79</v>
      </c>
      <c r="G4253" s="6" t="s">
        <v>2613</v>
      </c>
    </row>
    <row r="4254" customFormat="false" ht="15" hidden="false" customHeight="true" outlineLevel="0" collapsed="false">
      <c r="A4254" s="6" t="s">
        <v>6866</v>
      </c>
      <c r="B4254" s="6" t="s">
        <v>993</v>
      </c>
      <c r="C4254" s="6" t="s">
        <v>128</v>
      </c>
      <c r="D4254" s="13" t="n">
        <v>44660</v>
      </c>
      <c r="E4254" s="14" t="n">
        <v>3937.16</v>
      </c>
      <c r="F4254" s="14" t="n">
        <v>15681.95</v>
      </c>
      <c r="G4254" s="6" t="s">
        <v>2623</v>
      </c>
    </row>
    <row r="4255" customFormat="false" ht="15" hidden="false" customHeight="true" outlineLevel="0" collapsed="false">
      <c r="A4255" s="6" t="s">
        <v>6867</v>
      </c>
      <c r="B4255" s="6" t="s">
        <v>993</v>
      </c>
      <c r="C4255" s="6" t="s">
        <v>128</v>
      </c>
      <c r="D4255" s="13" t="n">
        <v>44667</v>
      </c>
      <c r="E4255" s="14" t="n">
        <v>3470.45</v>
      </c>
      <c r="F4255" s="14" t="n">
        <v>19152.4</v>
      </c>
      <c r="G4255" s="6" t="s">
        <v>2623</v>
      </c>
    </row>
    <row r="4256" customFormat="false" ht="15" hidden="false" customHeight="true" outlineLevel="0" collapsed="false">
      <c r="A4256" s="6" t="s">
        <v>6868</v>
      </c>
      <c r="B4256" s="6" t="s">
        <v>993</v>
      </c>
      <c r="C4256" s="6" t="s">
        <v>128</v>
      </c>
      <c r="D4256" s="13" t="n">
        <v>44674</v>
      </c>
      <c r="E4256" s="14" t="n">
        <v>1565.99</v>
      </c>
      <c r="F4256" s="14" t="n">
        <v>20718.39</v>
      </c>
      <c r="G4256" s="6" t="s">
        <v>2613</v>
      </c>
    </row>
    <row r="4257" customFormat="false" ht="15" hidden="false" customHeight="true" outlineLevel="0" collapsed="false">
      <c r="A4257" s="6" t="s">
        <v>6869</v>
      </c>
      <c r="B4257" s="6" t="s">
        <v>995</v>
      </c>
      <c r="C4257" s="6" t="s">
        <v>120</v>
      </c>
      <c r="D4257" s="13" t="n">
        <v>45800</v>
      </c>
      <c r="E4257" s="14" t="n">
        <v>2481.39</v>
      </c>
      <c r="F4257" s="14" t="n">
        <v>2481.39</v>
      </c>
      <c r="G4257" s="6" t="s">
        <v>2613</v>
      </c>
    </row>
    <row r="4258" customFormat="false" ht="15" hidden="false" customHeight="true" outlineLevel="0" collapsed="false">
      <c r="A4258" s="6" t="s">
        <v>6870</v>
      </c>
      <c r="B4258" s="6" t="s">
        <v>995</v>
      </c>
      <c r="C4258" s="6" t="s">
        <v>120</v>
      </c>
      <c r="D4258" s="13" t="n">
        <v>45807</v>
      </c>
      <c r="E4258" s="14" t="n">
        <v>2602.96</v>
      </c>
      <c r="F4258" s="14" t="n">
        <v>5084.35</v>
      </c>
      <c r="G4258" s="6" t="s">
        <v>2613</v>
      </c>
    </row>
    <row r="4259" customFormat="false" ht="15" hidden="false" customHeight="true" outlineLevel="0" collapsed="false">
      <c r="A4259" s="6" t="s">
        <v>6871</v>
      </c>
      <c r="B4259" s="6" t="s">
        <v>995</v>
      </c>
      <c r="C4259" s="6" t="s">
        <v>120</v>
      </c>
      <c r="D4259" s="13" t="n">
        <v>45814</v>
      </c>
      <c r="E4259" s="14" t="n">
        <v>2072.48</v>
      </c>
      <c r="F4259" s="14" t="n">
        <v>7156.83</v>
      </c>
      <c r="G4259" s="6" t="s">
        <v>2613</v>
      </c>
    </row>
    <row r="4260" customFormat="false" ht="15" hidden="false" customHeight="true" outlineLevel="0" collapsed="false">
      <c r="A4260" s="6" t="s">
        <v>6872</v>
      </c>
      <c r="B4260" s="6" t="s">
        <v>995</v>
      </c>
      <c r="C4260" s="6" t="s">
        <v>120</v>
      </c>
      <c r="D4260" s="13" t="n">
        <v>45821</v>
      </c>
      <c r="E4260" s="14" t="n">
        <v>4269.51</v>
      </c>
      <c r="F4260" s="14" t="n">
        <v>11426.34</v>
      </c>
      <c r="G4260" s="6" t="s">
        <v>2613</v>
      </c>
    </row>
    <row r="4261" customFormat="false" ht="15" hidden="false" customHeight="true" outlineLevel="0" collapsed="false">
      <c r="A4261" s="6" t="s">
        <v>6873</v>
      </c>
      <c r="B4261" s="6" t="s">
        <v>995</v>
      </c>
      <c r="C4261" s="6" t="s">
        <v>120</v>
      </c>
      <c r="D4261" s="13" t="n">
        <v>45828</v>
      </c>
      <c r="E4261" s="14" t="n">
        <v>4175.34</v>
      </c>
      <c r="F4261" s="14" t="n">
        <v>15601.68</v>
      </c>
      <c r="G4261" s="6" t="s">
        <v>2623</v>
      </c>
    </row>
    <row r="4262" customFormat="false" ht="15" hidden="false" customHeight="true" outlineLevel="0" collapsed="false">
      <c r="A4262" s="6" t="s">
        <v>6874</v>
      </c>
      <c r="B4262" s="6" t="s">
        <v>995</v>
      </c>
      <c r="C4262" s="6" t="s">
        <v>120</v>
      </c>
      <c r="D4262" s="13" t="n">
        <v>45835</v>
      </c>
      <c r="E4262" s="14" t="n">
        <v>2557.86</v>
      </c>
      <c r="F4262" s="14" t="n">
        <v>18159.54</v>
      </c>
      <c r="G4262" s="6" t="s">
        <v>2613</v>
      </c>
    </row>
    <row r="4263" customFormat="false" ht="15" hidden="false" customHeight="true" outlineLevel="0" collapsed="false">
      <c r="A4263" s="6" t="s">
        <v>6875</v>
      </c>
      <c r="B4263" s="6" t="s">
        <v>995</v>
      </c>
      <c r="C4263" s="6" t="s">
        <v>120</v>
      </c>
      <c r="D4263" s="13" t="n">
        <v>45842</v>
      </c>
      <c r="E4263" s="14" t="n">
        <v>3930.08</v>
      </c>
      <c r="F4263" s="14" t="n">
        <v>22089.62</v>
      </c>
      <c r="G4263" s="6" t="s">
        <v>2613</v>
      </c>
    </row>
    <row r="4264" customFormat="false" ht="15" hidden="false" customHeight="true" outlineLevel="0" collapsed="false">
      <c r="A4264" s="6" t="s">
        <v>6876</v>
      </c>
      <c r="B4264" s="6" t="s">
        <v>995</v>
      </c>
      <c r="C4264" s="6" t="s">
        <v>120</v>
      </c>
      <c r="D4264" s="13" t="n">
        <v>45849</v>
      </c>
      <c r="E4264" s="14" t="n">
        <v>2684.16</v>
      </c>
      <c r="F4264" s="14" t="n">
        <v>24773.78</v>
      </c>
      <c r="G4264" s="6" t="s">
        <v>2613</v>
      </c>
    </row>
    <row r="4265" customFormat="false" ht="15" hidden="false" customHeight="true" outlineLevel="0" collapsed="false">
      <c r="A4265" s="6" t="s">
        <v>6877</v>
      </c>
      <c r="B4265" s="6" t="s">
        <v>995</v>
      </c>
      <c r="C4265" s="6" t="s">
        <v>120</v>
      </c>
      <c r="D4265" s="13" t="n">
        <v>45856</v>
      </c>
      <c r="E4265" s="14" t="n">
        <v>6079.21</v>
      </c>
      <c r="F4265" s="14" t="n">
        <v>30852.99</v>
      </c>
      <c r="G4265" s="6" t="s">
        <v>2613</v>
      </c>
    </row>
    <row r="4266" customFormat="false" ht="15" hidden="false" customHeight="true" outlineLevel="0" collapsed="false">
      <c r="A4266" s="6" t="s">
        <v>6878</v>
      </c>
      <c r="B4266" s="6" t="s">
        <v>997</v>
      </c>
      <c r="C4266" s="6" t="s">
        <v>112</v>
      </c>
      <c r="D4266" s="13" t="n">
        <v>45644</v>
      </c>
      <c r="E4266" s="14" t="n">
        <v>452.78</v>
      </c>
      <c r="F4266" s="14" t="n">
        <v>452.78</v>
      </c>
      <c r="G4266" s="6" t="s">
        <v>2613</v>
      </c>
    </row>
    <row r="4267" customFormat="false" ht="15" hidden="false" customHeight="true" outlineLevel="0" collapsed="false">
      <c r="A4267" s="6" t="s">
        <v>6879</v>
      </c>
      <c r="B4267" s="6" t="s">
        <v>997</v>
      </c>
      <c r="C4267" s="6" t="s">
        <v>112</v>
      </c>
      <c r="D4267" s="13" t="n">
        <v>45651</v>
      </c>
      <c r="E4267" s="14" t="n">
        <v>274.28</v>
      </c>
      <c r="F4267" s="14" t="n">
        <v>727.06</v>
      </c>
      <c r="G4267" s="6" t="s">
        <v>2613</v>
      </c>
    </row>
    <row r="4268" customFormat="false" ht="15" hidden="false" customHeight="true" outlineLevel="0" collapsed="false">
      <c r="A4268" s="6" t="s">
        <v>6880</v>
      </c>
      <c r="B4268" s="6" t="s">
        <v>997</v>
      </c>
      <c r="C4268" s="6" t="s">
        <v>112</v>
      </c>
      <c r="D4268" s="13" t="n">
        <v>45658</v>
      </c>
      <c r="E4268" s="14" t="n">
        <v>508.29</v>
      </c>
      <c r="F4268" s="14" t="n">
        <v>1235.35</v>
      </c>
      <c r="G4268" s="6" t="s">
        <v>2623</v>
      </c>
    </row>
    <row r="4269" customFormat="false" ht="15" hidden="false" customHeight="true" outlineLevel="0" collapsed="false">
      <c r="A4269" s="6" t="s">
        <v>6881</v>
      </c>
      <c r="B4269" s="6" t="s">
        <v>997</v>
      </c>
      <c r="C4269" s="6" t="s">
        <v>112</v>
      </c>
      <c r="D4269" s="13" t="n">
        <v>45665</v>
      </c>
      <c r="E4269" s="14" t="n">
        <v>293.08</v>
      </c>
      <c r="F4269" s="14" t="n">
        <v>1528.43</v>
      </c>
      <c r="G4269" s="6" t="s">
        <v>2613</v>
      </c>
    </row>
    <row r="4270" customFormat="false" ht="15" hidden="false" customHeight="true" outlineLevel="0" collapsed="false">
      <c r="A4270" s="6" t="s">
        <v>6882</v>
      </c>
      <c r="B4270" s="6" t="s">
        <v>997</v>
      </c>
      <c r="C4270" s="6" t="s">
        <v>112</v>
      </c>
      <c r="D4270" s="13" t="n">
        <v>45672</v>
      </c>
      <c r="E4270" s="14" t="n">
        <v>495.21</v>
      </c>
      <c r="F4270" s="14" t="n">
        <v>2023.64</v>
      </c>
      <c r="G4270" s="6" t="s">
        <v>2613</v>
      </c>
    </row>
    <row r="4271" customFormat="false" ht="15" hidden="false" customHeight="true" outlineLevel="0" collapsed="false">
      <c r="A4271" s="6" t="s">
        <v>6883</v>
      </c>
      <c r="B4271" s="6" t="s">
        <v>997</v>
      </c>
      <c r="C4271" s="6" t="s">
        <v>112</v>
      </c>
      <c r="D4271" s="13" t="n">
        <v>45679</v>
      </c>
      <c r="E4271" s="14" t="n">
        <v>440.05</v>
      </c>
      <c r="F4271" s="14" t="n">
        <v>2463.69</v>
      </c>
      <c r="G4271" s="6" t="s">
        <v>2613</v>
      </c>
    </row>
    <row r="4272" customFormat="false" ht="15" hidden="false" customHeight="true" outlineLevel="0" collapsed="false">
      <c r="A4272" s="6" t="s">
        <v>6884</v>
      </c>
      <c r="B4272" s="6" t="s">
        <v>997</v>
      </c>
      <c r="C4272" s="6" t="s">
        <v>112</v>
      </c>
      <c r="D4272" s="13" t="n">
        <v>45686</v>
      </c>
      <c r="E4272" s="14" t="n">
        <v>587.33</v>
      </c>
      <c r="F4272" s="14" t="n">
        <v>3051.02</v>
      </c>
      <c r="G4272" s="6" t="s">
        <v>2613</v>
      </c>
    </row>
    <row r="4273" customFormat="false" ht="15" hidden="false" customHeight="true" outlineLevel="0" collapsed="false">
      <c r="A4273" s="6" t="s">
        <v>6885</v>
      </c>
      <c r="B4273" s="6" t="s">
        <v>997</v>
      </c>
      <c r="C4273" s="6" t="s">
        <v>112</v>
      </c>
      <c r="D4273" s="13" t="n">
        <v>45693</v>
      </c>
      <c r="E4273" s="14" t="n">
        <v>270.98</v>
      </c>
      <c r="F4273" s="14" t="n">
        <v>3322</v>
      </c>
      <c r="G4273" s="6" t="s">
        <v>2623</v>
      </c>
    </row>
    <row r="4274" customFormat="false" ht="15" hidden="false" customHeight="true" outlineLevel="0" collapsed="false">
      <c r="A4274" s="6" t="s">
        <v>6886</v>
      </c>
      <c r="B4274" s="6" t="s">
        <v>997</v>
      </c>
      <c r="C4274" s="6" t="s">
        <v>112</v>
      </c>
      <c r="D4274" s="13" t="n">
        <v>45700</v>
      </c>
      <c r="E4274" s="14" t="n">
        <v>327.92</v>
      </c>
      <c r="F4274" s="14" t="n">
        <v>3649.92</v>
      </c>
      <c r="G4274" s="6" t="s">
        <v>2613</v>
      </c>
    </row>
    <row r="4275" customFormat="false" ht="15" hidden="false" customHeight="true" outlineLevel="0" collapsed="false">
      <c r="A4275" s="6" t="s">
        <v>6887</v>
      </c>
      <c r="B4275" s="6" t="s">
        <v>997</v>
      </c>
      <c r="C4275" s="6" t="s">
        <v>112</v>
      </c>
      <c r="D4275" s="13" t="n">
        <v>45707</v>
      </c>
      <c r="E4275" s="14" t="n">
        <v>493.52</v>
      </c>
      <c r="F4275" s="14" t="n">
        <v>4143.44</v>
      </c>
      <c r="G4275" s="6" t="s">
        <v>2613</v>
      </c>
    </row>
    <row r="4276" customFormat="false" ht="15" hidden="false" customHeight="true" outlineLevel="0" collapsed="false">
      <c r="A4276" s="6" t="s">
        <v>6888</v>
      </c>
      <c r="B4276" s="6" t="s">
        <v>997</v>
      </c>
      <c r="C4276" s="6" t="s">
        <v>112</v>
      </c>
      <c r="D4276" s="13" t="n">
        <v>45714</v>
      </c>
      <c r="E4276" s="14" t="n">
        <v>457.64</v>
      </c>
      <c r="F4276" s="14" t="n">
        <v>4601.08</v>
      </c>
      <c r="G4276" s="6" t="s">
        <v>2613</v>
      </c>
    </row>
    <row r="4277" customFormat="false" ht="15" hidden="false" customHeight="true" outlineLevel="0" collapsed="false">
      <c r="A4277" s="6" t="s">
        <v>6889</v>
      </c>
      <c r="B4277" s="6" t="s">
        <v>997</v>
      </c>
      <c r="C4277" s="6" t="s">
        <v>112</v>
      </c>
      <c r="D4277" s="13" t="n">
        <v>45721</v>
      </c>
      <c r="E4277" s="14" t="n">
        <v>602.39</v>
      </c>
      <c r="F4277" s="14" t="n">
        <v>5203.47</v>
      </c>
      <c r="G4277" s="6" t="s">
        <v>2613</v>
      </c>
    </row>
    <row r="4278" customFormat="false" ht="15" hidden="false" customHeight="true" outlineLevel="0" collapsed="false">
      <c r="A4278" s="6" t="s">
        <v>6890</v>
      </c>
      <c r="B4278" s="6" t="s">
        <v>997</v>
      </c>
      <c r="C4278" s="6" t="s">
        <v>112</v>
      </c>
      <c r="D4278" s="13" t="n">
        <v>45728</v>
      </c>
      <c r="E4278" s="14" t="n">
        <v>466.31</v>
      </c>
      <c r="F4278" s="14" t="n">
        <v>5669.78</v>
      </c>
      <c r="G4278" s="6" t="s">
        <v>2613</v>
      </c>
    </row>
    <row r="4279" customFormat="false" ht="15" hidden="false" customHeight="true" outlineLevel="0" collapsed="false">
      <c r="A4279" s="6" t="s">
        <v>6891</v>
      </c>
      <c r="B4279" s="6" t="s">
        <v>997</v>
      </c>
      <c r="C4279" s="6" t="s">
        <v>112</v>
      </c>
      <c r="D4279" s="13" t="n">
        <v>45735</v>
      </c>
      <c r="E4279" s="14" t="n">
        <v>276.45</v>
      </c>
      <c r="F4279" s="14" t="n">
        <v>5946.23</v>
      </c>
      <c r="G4279" s="6" t="s">
        <v>2613</v>
      </c>
    </row>
    <row r="4280" customFormat="false" ht="15" hidden="false" customHeight="true" outlineLevel="0" collapsed="false">
      <c r="A4280" s="6" t="s">
        <v>6892</v>
      </c>
      <c r="B4280" s="6" t="s">
        <v>997</v>
      </c>
      <c r="C4280" s="6" t="s">
        <v>112</v>
      </c>
      <c r="D4280" s="13" t="n">
        <v>45742</v>
      </c>
      <c r="E4280" s="14" t="n">
        <v>367.67</v>
      </c>
      <c r="F4280" s="14" t="n">
        <v>6313.9</v>
      </c>
      <c r="G4280" s="6" t="s">
        <v>2613</v>
      </c>
    </row>
    <row r="4281" customFormat="false" ht="15" hidden="false" customHeight="true" outlineLevel="0" collapsed="false">
      <c r="A4281" s="6" t="s">
        <v>6893</v>
      </c>
      <c r="B4281" s="6" t="s">
        <v>997</v>
      </c>
      <c r="C4281" s="6" t="s">
        <v>112</v>
      </c>
      <c r="D4281" s="13" t="n">
        <v>45749</v>
      </c>
      <c r="E4281" s="14" t="n">
        <v>399.3</v>
      </c>
      <c r="F4281" s="14" t="n">
        <v>6713.2</v>
      </c>
      <c r="G4281" s="6" t="s">
        <v>2613</v>
      </c>
    </row>
    <row r="4282" customFormat="false" ht="15" hidden="false" customHeight="true" outlineLevel="0" collapsed="false">
      <c r="A4282" s="6" t="s">
        <v>6894</v>
      </c>
      <c r="B4282" s="6" t="s">
        <v>997</v>
      </c>
      <c r="C4282" s="6" t="s">
        <v>112</v>
      </c>
      <c r="D4282" s="13" t="n">
        <v>45756</v>
      </c>
      <c r="E4282" s="14" t="n">
        <v>441.13</v>
      </c>
      <c r="F4282" s="14" t="n">
        <v>7154.33</v>
      </c>
      <c r="G4282" s="6" t="s">
        <v>2623</v>
      </c>
    </row>
    <row r="4283" customFormat="false" ht="15" hidden="false" customHeight="true" outlineLevel="0" collapsed="false">
      <c r="A4283" s="6" t="s">
        <v>6895</v>
      </c>
      <c r="B4283" s="6" t="s">
        <v>997</v>
      </c>
      <c r="C4283" s="6" t="s">
        <v>112</v>
      </c>
      <c r="D4283" s="13" t="n">
        <v>45763</v>
      </c>
      <c r="E4283" s="14" t="n">
        <v>446.16</v>
      </c>
      <c r="F4283" s="14" t="n">
        <v>7600.49</v>
      </c>
      <c r="G4283" s="6" t="s">
        <v>2613</v>
      </c>
    </row>
    <row r="4284" customFormat="false" ht="15" hidden="false" customHeight="true" outlineLevel="0" collapsed="false">
      <c r="A4284" s="6" t="s">
        <v>6896</v>
      </c>
      <c r="B4284" s="6" t="s">
        <v>997</v>
      </c>
      <c r="C4284" s="6" t="s">
        <v>112</v>
      </c>
      <c r="D4284" s="13" t="n">
        <v>45770</v>
      </c>
      <c r="E4284" s="14" t="n">
        <v>448.24</v>
      </c>
      <c r="F4284" s="14" t="n">
        <v>8048.73</v>
      </c>
      <c r="G4284" s="6" t="s">
        <v>2613</v>
      </c>
    </row>
    <row r="4285" customFormat="false" ht="15" hidden="false" customHeight="true" outlineLevel="0" collapsed="false">
      <c r="A4285" s="6" t="s">
        <v>6897</v>
      </c>
      <c r="B4285" s="6" t="s">
        <v>997</v>
      </c>
      <c r="C4285" s="6" t="s">
        <v>112</v>
      </c>
      <c r="D4285" s="13" t="n">
        <v>45777</v>
      </c>
      <c r="E4285" s="14" t="n">
        <v>546.59</v>
      </c>
      <c r="F4285" s="14" t="n">
        <v>8595.32</v>
      </c>
      <c r="G4285" s="6" t="s">
        <v>2613</v>
      </c>
    </row>
    <row r="4286" customFormat="false" ht="15" hidden="false" customHeight="true" outlineLevel="0" collapsed="false">
      <c r="A4286" s="6" t="s">
        <v>6898</v>
      </c>
      <c r="B4286" s="6" t="s">
        <v>997</v>
      </c>
      <c r="C4286" s="6" t="s">
        <v>112</v>
      </c>
      <c r="D4286" s="13" t="n">
        <v>45784</v>
      </c>
      <c r="E4286" s="14" t="n">
        <v>593.45</v>
      </c>
      <c r="F4286" s="14" t="n">
        <v>9188.77</v>
      </c>
      <c r="G4286" s="6" t="s">
        <v>2613</v>
      </c>
    </row>
    <row r="4287" customFormat="false" ht="15" hidden="false" customHeight="true" outlineLevel="0" collapsed="false">
      <c r="A4287" s="6" t="s">
        <v>6899</v>
      </c>
      <c r="B4287" s="6" t="s">
        <v>999</v>
      </c>
      <c r="C4287" s="6" t="s">
        <v>124</v>
      </c>
      <c r="D4287" s="13" t="n">
        <v>44868</v>
      </c>
      <c r="E4287" s="14" t="n">
        <v>4861.03</v>
      </c>
      <c r="F4287" s="14" t="n">
        <v>4861.03</v>
      </c>
      <c r="G4287" s="6" t="s">
        <v>2613</v>
      </c>
    </row>
    <row r="4288" customFormat="false" ht="15" hidden="false" customHeight="true" outlineLevel="0" collapsed="false">
      <c r="A4288" s="6" t="s">
        <v>6900</v>
      </c>
      <c r="B4288" s="6" t="s">
        <v>999</v>
      </c>
      <c r="C4288" s="6" t="s">
        <v>124</v>
      </c>
      <c r="D4288" s="13" t="n">
        <v>44875</v>
      </c>
      <c r="E4288" s="14" t="n">
        <v>6664.97</v>
      </c>
      <c r="F4288" s="14" t="n">
        <v>11526</v>
      </c>
      <c r="G4288" s="6" t="s">
        <v>2613</v>
      </c>
    </row>
    <row r="4289" customFormat="false" ht="15" hidden="false" customHeight="true" outlineLevel="0" collapsed="false">
      <c r="A4289" s="6" t="s">
        <v>6901</v>
      </c>
      <c r="B4289" s="6" t="s">
        <v>999</v>
      </c>
      <c r="C4289" s="6" t="s">
        <v>124</v>
      </c>
      <c r="D4289" s="13" t="n">
        <v>44882</v>
      </c>
      <c r="E4289" s="14" t="n">
        <v>4465.74</v>
      </c>
      <c r="F4289" s="14" t="n">
        <v>15991.74</v>
      </c>
      <c r="G4289" s="6" t="s">
        <v>2613</v>
      </c>
    </row>
    <row r="4290" customFormat="false" ht="15" hidden="false" customHeight="true" outlineLevel="0" collapsed="false">
      <c r="A4290" s="6" t="s">
        <v>6902</v>
      </c>
      <c r="B4290" s="6" t="s">
        <v>999</v>
      </c>
      <c r="C4290" s="6" t="s">
        <v>124</v>
      </c>
      <c r="D4290" s="13" t="n">
        <v>44889</v>
      </c>
      <c r="E4290" s="14" t="n">
        <v>7475.24</v>
      </c>
      <c r="F4290" s="14" t="n">
        <v>23466.98</v>
      </c>
      <c r="G4290" s="6" t="s">
        <v>2613</v>
      </c>
    </row>
    <row r="4291" customFormat="false" ht="15" hidden="false" customHeight="true" outlineLevel="0" collapsed="false">
      <c r="A4291" s="6" t="s">
        <v>6903</v>
      </c>
      <c r="B4291" s="6" t="s">
        <v>999</v>
      </c>
      <c r="C4291" s="6" t="s">
        <v>124</v>
      </c>
      <c r="D4291" s="13" t="n">
        <v>44896</v>
      </c>
      <c r="E4291" s="14" t="n">
        <v>7468.09</v>
      </c>
      <c r="F4291" s="14" t="n">
        <v>30935.07</v>
      </c>
      <c r="G4291" s="6" t="s">
        <v>2613</v>
      </c>
    </row>
    <row r="4292" customFormat="false" ht="15" hidden="false" customHeight="true" outlineLevel="0" collapsed="false">
      <c r="A4292" s="6" t="s">
        <v>6904</v>
      </c>
      <c r="B4292" s="6" t="s">
        <v>999</v>
      </c>
      <c r="C4292" s="6" t="s">
        <v>124</v>
      </c>
      <c r="D4292" s="13" t="n">
        <v>44903</v>
      </c>
      <c r="E4292" s="14" t="n">
        <v>8566.63</v>
      </c>
      <c r="F4292" s="14" t="n">
        <v>39501.7</v>
      </c>
      <c r="G4292" s="6" t="s">
        <v>2613</v>
      </c>
    </row>
    <row r="4293" customFormat="false" ht="15" hidden="false" customHeight="true" outlineLevel="0" collapsed="false">
      <c r="A4293" s="6" t="s">
        <v>6905</v>
      </c>
      <c r="B4293" s="6" t="s">
        <v>999</v>
      </c>
      <c r="C4293" s="6" t="s">
        <v>124</v>
      </c>
      <c r="D4293" s="13" t="n">
        <v>44910</v>
      </c>
      <c r="E4293" s="14" t="n">
        <v>8000.96</v>
      </c>
      <c r="F4293" s="14" t="n">
        <v>47502.66</v>
      </c>
      <c r="G4293" s="6" t="s">
        <v>2613</v>
      </c>
    </row>
    <row r="4294" customFormat="false" ht="15" hidden="false" customHeight="true" outlineLevel="0" collapsed="false">
      <c r="A4294" s="6" t="s">
        <v>6906</v>
      </c>
      <c r="B4294" s="6" t="s">
        <v>1001</v>
      </c>
      <c r="C4294" s="6" t="s">
        <v>112</v>
      </c>
      <c r="D4294" s="13" t="n">
        <v>45550</v>
      </c>
      <c r="E4294" s="14" t="n">
        <v>876.45</v>
      </c>
      <c r="F4294" s="14" t="n">
        <v>876.45</v>
      </c>
      <c r="G4294" s="6" t="s">
        <v>2613</v>
      </c>
    </row>
    <row r="4295" customFormat="false" ht="15" hidden="false" customHeight="true" outlineLevel="0" collapsed="false">
      <c r="A4295" s="6" t="s">
        <v>6907</v>
      </c>
      <c r="B4295" s="6" t="s">
        <v>1001</v>
      </c>
      <c r="C4295" s="6" t="s">
        <v>112</v>
      </c>
      <c r="D4295" s="13" t="n">
        <v>45557</v>
      </c>
      <c r="E4295" s="14" t="n">
        <v>805.15</v>
      </c>
      <c r="F4295" s="14" t="n">
        <v>1681.6</v>
      </c>
      <c r="G4295" s="6" t="s">
        <v>2613</v>
      </c>
    </row>
    <row r="4296" customFormat="false" ht="15" hidden="false" customHeight="true" outlineLevel="0" collapsed="false">
      <c r="A4296" s="6" t="s">
        <v>6908</v>
      </c>
      <c r="B4296" s="6" t="s">
        <v>1001</v>
      </c>
      <c r="C4296" s="6" t="s">
        <v>112</v>
      </c>
      <c r="D4296" s="13" t="n">
        <v>45564</v>
      </c>
      <c r="E4296" s="14" t="n">
        <v>721.48</v>
      </c>
      <c r="F4296" s="14" t="n">
        <v>2403.08</v>
      </c>
      <c r="G4296" s="6" t="s">
        <v>2613</v>
      </c>
    </row>
    <row r="4297" customFormat="false" ht="15" hidden="false" customHeight="true" outlineLevel="0" collapsed="false">
      <c r="A4297" s="6" t="s">
        <v>6909</v>
      </c>
      <c r="B4297" s="6" t="s">
        <v>1001</v>
      </c>
      <c r="C4297" s="6" t="s">
        <v>112</v>
      </c>
      <c r="D4297" s="13" t="n">
        <v>45571</v>
      </c>
      <c r="E4297" s="14" t="n">
        <v>814.6</v>
      </c>
      <c r="F4297" s="14" t="n">
        <v>3217.68</v>
      </c>
      <c r="G4297" s="6" t="s">
        <v>2613</v>
      </c>
    </row>
    <row r="4298" customFormat="false" ht="15" hidden="false" customHeight="true" outlineLevel="0" collapsed="false">
      <c r="A4298" s="6" t="s">
        <v>6910</v>
      </c>
      <c r="B4298" s="6" t="s">
        <v>1001</v>
      </c>
      <c r="C4298" s="6" t="s">
        <v>112</v>
      </c>
      <c r="D4298" s="13" t="n">
        <v>45578</v>
      </c>
      <c r="E4298" s="14" t="n">
        <v>417.66</v>
      </c>
      <c r="F4298" s="14" t="n">
        <v>3635.34</v>
      </c>
      <c r="G4298" s="6" t="s">
        <v>2623</v>
      </c>
    </row>
    <row r="4299" customFormat="false" ht="15" hidden="false" customHeight="true" outlineLevel="0" collapsed="false">
      <c r="A4299" s="6" t="s">
        <v>6911</v>
      </c>
      <c r="B4299" s="6" t="s">
        <v>1001</v>
      </c>
      <c r="C4299" s="6" t="s">
        <v>112</v>
      </c>
      <c r="D4299" s="13" t="n">
        <v>45585</v>
      </c>
      <c r="E4299" s="14" t="n">
        <v>446.5</v>
      </c>
      <c r="F4299" s="14" t="n">
        <v>4081.84</v>
      </c>
      <c r="G4299" s="6" t="s">
        <v>2613</v>
      </c>
    </row>
    <row r="4300" customFormat="false" ht="15" hidden="false" customHeight="true" outlineLevel="0" collapsed="false">
      <c r="A4300" s="6" t="s">
        <v>6912</v>
      </c>
      <c r="B4300" s="6" t="s">
        <v>1001</v>
      </c>
      <c r="C4300" s="6" t="s">
        <v>112</v>
      </c>
      <c r="D4300" s="13" t="n">
        <v>45592</v>
      </c>
      <c r="E4300" s="14" t="n">
        <v>597.93</v>
      </c>
      <c r="F4300" s="14" t="n">
        <v>4679.77</v>
      </c>
      <c r="G4300" s="6" t="s">
        <v>2613</v>
      </c>
    </row>
    <row r="4301" customFormat="false" ht="15" hidden="false" customHeight="true" outlineLevel="0" collapsed="false">
      <c r="A4301" s="6" t="s">
        <v>6913</v>
      </c>
      <c r="B4301" s="6" t="s">
        <v>1003</v>
      </c>
      <c r="C4301" s="6" t="s">
        <v>131</v>
      </c>
      <c r="D4301" s="13" t="n">
        <v>45531</v>
      </c>
      <c r="E4301" s="14" t="n">
        <v>3092.84</v>
      </c>
      <c r="F4301" s="14" t="n">
        <v>3092.84</v>
      </c>
      <c r="G4301" s="6" t="s">
        <v>2613</v>
      </c>
    </row>
    <row r="4302" customFormat="false" ht="15" hidden="false" customHeight="true" outlineLevel="0" collapsed="false">
      <c r="A4302" s="6" t="s">
        <v>6914</v>
      </c>
      <c r="B4302" s="6" t="s">
        <v>1003</v>
      </c>
      <c r="C4302" s="6" t="s">
        <v>131</v>
      </c>
      <c r="D4302" s="13" t="n">
        <v>45538</v>
      </c>
      <c r="E4302" s="14" t="n">
        <v>2757.24</v>
      </c>
      <c r="F4302" s="14" t="n">
        <v>5850.08</v>
      </c>
      <c r="G4302" s="6" t="s">
        <v>2613</v>
      </c>
    </row>
    <row r="4303" customFormat="false" ht="15" hidden="false" customHeight="true" outlineLevel="0" collapsed="false">
      <c r="A4303" s="6" t="s">
        <v>6915</v>
      </c>
      <c r="B4303" s="6" t="s">
        <v>1003</v>
      </c>
      <c r="C4303" s="6" t="s">
        <v>131</v>
      </c>
      <c r="D4303" s="13" t="n">
        <v>45545</v>
      </c>
      <c r="E4303" s="14" t="n">
        <v>2585.45</v>
      </c>
      <c r="F4303" s="14" t="n">
        <v>8435.53</v>
      </c>
      <c r="G4303" s="6" t="s">
        <v>2613</v>
      </c>
    </row>
    <row r="4304" customFormat="false" ht="15" hidden="false" customHeight="true" outlineLevel="0" collapsed="false">
      <c r="A4304" s="6" t="s">
        <v>6916</v>
      </c>
      <c r="B4304" s="6" t="s">
        <v>1003</v>
      </c>
      <c r="C4304" s="6" t="s">
        <v>131</v>
      </c>
      <c r="D4304" s="13" t="n">
        <v>45552</v>
      </c>
      <c r="E4304" s="14" t="n">
        <v>2525.9</v>
      </c>
      <c r="F4304" s="14" t="n">
        <v>10961.43</v>
      </c>
      <c r="G4304" s="6" t="s">
        <v>2613</v>
      </c>
    </row>
    <row r="4305" customFormat="false" ht="15" hidden="false" customHeight="true" outlineLevel="0" collapsed="false">
      <c r="A4305" s="6" t="s">
        <v>6917</v>
      </c>
      <c r="B4305" s="6" t="s">
        <v>1003</v>
      </c>
      <c r="C4305" s="6" t="s">
        <v>131</v>
      </c>
      <c r="D4305" s="13" t="n">
        <v>45559</v>
      </c>
      <c r="E4305" s="14" t="n">
        <v>1604.43</v>
      </c>
      <c r="F4305" s="14" t="n">
        <v>12565.86</v>
      </c>
      <c r="G4305" s="6" t="s">
        <v>2613</v>
      </c>
    </row>
    <row r="4306" customFormat="false" ht="15" hidden="false" customHeight="true" outlineLevel="0" collapsed="false">
      <c r="A4306" s="6" t="s">
        <v>6918</v>
      </c>
      <c r="B4306" s="6" t="s">
        <v>1003</v>
      </c>
      <c r="C4306" s="6" t="s">
        <v>131</v>
      </c>
      <c r="D4306" s="13" t="n">
        <v>45566</v>
      </c>
      <c r="E4306" s="14" t="n">
        <v>2084.09</v>
      </c>
      <c r="F4306" s="14" t="n">
        <v>14649.95</v>
      </c>
      <c r="G4306" s="6" t="s">
        <v>2613</v>
      </c>
    </row>
    <row r="4307" customFormat="false" ht="15" hidden="false" customHeight="true" outlineLevel="0" collapsed="false">
      <c r="A4307" s="6" t="s">
        <v>6919</v>
      </c>
      <c r="B4307" s="6" t="s">
        <v>1003</v>
      </c>
      <c r="C4307" s="6" t="s">
        <v>131</v>
      </c>
      <c r="D4307" s="13" t="n">
        <v>45573</v>
      </c>
      <c r="E4307" s="14" t="n">
        <v>2043.26</v>
      </c>
      <c r="F4307" s="14" t="n">
        <v>16693.21</v>
      </c>
      <c r="G4307" s="6" t="s">
        <v>2613</v>
      </c>
    </row>
    <row r="4308" customFormat="false" ht="15" hidden="false" customHeight="true" outlineLevel="0" collapsed="false">
      <c r="A4308" s="6" t="s">
        <v>6920</v>
      </c>
      <c r="B4308" s="6" t="s">
        <v>1005</v>
      </c>
      <c r="C4308" s="6" t="s">
        <v>120</v>
      </c>
      <c r="D4308" s="13" t="n">
        <v>45255</v>
      </c>
      <c r="E4308" s="14" t="n">
        <v>5082.41</v>
      </c>
      <c r="F4308" s="14" t="n">
        <v>5082.41</v>
      </c>
      <c r="G4308" s="6" t="s">
        <v>2613</v>
      </c>
    </row>
    <row r="4309" customFormat="false" ht="15" hidden="false" customHeight="true" outlineLevel="0" collapsed="false">
      <c r="A4309" s="6" t="s">
        <v>6921</v>
      </c>
      <c r="B4309" s="6" t="s">
        <v>1005</v>
      </c>
      <c r="C4309" s="6" t="s">
        <v>120</v>
      </c>
      <c r="D4309" s="13" t="n">
        <v>45262</v>
      </c>
      <c r="E4309" s="14" t="n">
        <v>7063.43</v>
      </c>
      <c r="F4309" s="14" t="n">
        <v>12145.84</v>
      </c>
      <c r="G4309" s="6" t="s">
        <v>2613</v>
      </c>
    </row>
    <row r="4310" customFormat="false" ht="15" hidden="false" customHeight="true" outlineLevel="0" collapsed="false">
      <c r="A4310" s="6" t="s">
        <v>6922</v>
      </c>
      <c r="B4310" s="6" t="s">
        <v>1005</v>
      </c>
      <c r="C4310" s="6" t="s">
        <v>120</v>
      </c>
      <c r="D4310" s="13" t="n">
        <v>45269</v>
      </c>
      <c r="E4310" s="14" t="n">
        <v>8223.57</v>
      </c>
      <c r="F4310" s="14" t="n">
        <v>20369.41</v>
      </c>
      <c r="G4310" s="6" t="s">
        <v>2613</v>
      </c>
    </row>
    <row r="4311" customFormat="false" ht="15" hidden="false" customHeight="true" outlineLevel="0" collapsed="false">
      <c r="A4311" s="6" t="s">
        <v>6923</v>
      </c>
      <c r="B4311" s="6" t="s">
        <v>1005</v>
      </c>
      <c r="C4311" s="6" t="s">
        <v>120</v>
      </c>
      <c r="D4311" s="13" t="n">
        <v>45276</v>
      </c>
      <c r="E4311" s="14" t="n">
        <v>7618.83</v>
      </c>
      <c r="F4311" s="14" t="n">
        <v>27988.24</v>
      </c>
      <c r="G4311" s="6" t="s">
        <v>2613</v>
      </c>
    </row>
    <row r="4312" customFormat="false" ht="15" hidden="false" customHeight="true" outlineLevel="0" collapsed="false">
      <c r="A4312" s="6" t="s">
        <v>6924</v>
      </c>
      <c r="B4312" s="6" t="s">
        <v>1005</v>
      </c>
      <c r="C4312" s="6" t="s">
        <v>120</v>
      </c>
      <c r="D4312" s="13" t="n">
        <v>45283</v>
      </c>
      <c r="E4312" s="14" t="n">
        <v>7203.75</v>
      </c>
      <c r="F4312" s="14" t="n">
        <v>35191.99</v>
      </c>
      <c r="G4312" s="6" t="s">
        <v>2613</v>
      </c>
    </row>
    <row r="4313" customFormat="false" ht="15" hidden="false" customHeight="true" outlineLevel="0" collapsed="false">
      <c r="A4313" s="6" t="s">
        <v>6925</v>
      </c>
      <c r="B4313" s="6" t="s">
        <v>1005</v>
      </c>
      <c r="C4313" s="6" t="s">
        <v>120</v>
      </c>
      <c r="D4313" s="13" t="n">
        <v>45290</v>
      </c>
      <c r="E4313" s="14" t="n">
        <v>6480.28</v>
      </c>
      <c r="F4313" s="14" t="n">
        <v>41672.27</v>
      </c>
      <c r="G4313" s="6" t="s">
        <v>2613</v>
      </c>
    </row>
    <row r="4314" customFormat="false" ht="15" hidden="false" customHeight="true" outlineLevel="0" collapsed="false">
      <c r="A4314" s="6" t="s">
        <v>6926</v>
      </c>
      <c r="B4314" s="6" t="s">
        <v>1005</v>
      </c>
      <c r="C4314" s="6" t="s">
        <v>120</v>
      </c>
      <c r="D4314" s="13" t="n">
        <v>45297</v>
      </c>
      <c r="E4314" s="14" t="n">
        <v>7759.79</v>
      </c>
      <c r="F4314" s="14" t="n">
        <v>49432.06</v>
      </c>
      <c r="G4314" s="6" t="s">
        <v>2613</v>
      </c>
    </row>
    <row r="4315" customFormat="false" ht="15" hidden="false" customHeight="true" outlineLevel="0" collapsed="false">
      <c r="A4315" s="6" t="s">
        <v>6927</v>
      </c>
      <c r="B4315" s="6" t="s">
        <v>1005</v>
      </c>
      <c r="C4315" s="6" t="s">
        <v>120</v>
      </c>
      <c r="D4315" s="13" t="n">
        <v>45304</v>
      </c>
      <c r="E4315" s="14" t="n">
        <v>4628.79</v>
      </c>
      <c r="F4315" s="14" t="n">
        <v>54060.85</v>
      </c>
      <c r="G4315" s="6" t="s">
        <v>2613</v>
      </c>
    </row>
    <row r="4316" customFormat="false" ht="15" hidden="false" customHeight="true" outlineLevel="0" collapsed="false">
      <c r="A4316" s="6" t="s">
        <v>6928</v>
      </c>
      <c r="B4316" s="6" t="s">
        <v>1005</v>
      </c>
      <c r="C4316" s="6" t="s">
        <v>120</v>
      </c>
      <c r="D4316" s="13" t="n">
        <v>45311</v>
      </c>
      <c r="E4316" s="14" t="n">
        <v>8151.36</v>
      </c>
      <c r="F4316" s="14" t="n">
        <v>62212.21</v>
      </c>
      <c r="G4316" s="6" t="s">
        <v>2613</v>
      </c>
    </row>
    <row r="4317" customFormat="false" ht="15" hidden="false" customHeight="true" outlineLevel="0" collapsed="false">
      <c r="A4317" s="6" t="s">
        <v>6929</v>
      </c>
      <c r="B4317" s="6" t="s">
        <v>1005</v>
      </c>
      <c r="C4317" s="6" t="s">
        <v>120</v>
      </c>
      <c r="D4317" s="13" t="n">
        <v>45318</v>
      </c>
      <c r="E4317" s="14" t="n">
        <v>4790.79</v>
      </c>
      <c r="F4317" s="14" t="n">
        <v>67003</v>
      </c>
      <c r="G4317" s="6" t="s">
        <v>2613</v>
      </c>
    </row>
    <row r="4318" customFormat="false" ht="15" hidden="false" customHeight="true" outlineLevel="0" collapsed="false">
      <c r="A4318" s="6" t="s">
        <v>6930</v>
      </c>
      <c r="B4318" s="6" t="s">
        <v>1005</v>
      </c>
      <c r="C4318" s="6" t="s">
        <v>120</v>
      </c>
      <c r="D4318" s="13" t="n">
        <v>45325</v>
      </c>
      <c r="E4318" s="14" t="n">
        <v>7922</v>
      </c>
      <c r="F4318" s="14" t="n">
        <v>74925</v>
      </c>
      <c r="G4318" s="6" t="s">
        <v>2613</v>
      </c>
    </row>
    <row r="4319" customFormat="false" ht="15" hidden="false" customHeight="true" outlineLevel="0" collapsed="false">
      <c r="A4319" s="6" t="s">
        <v>6931</v>
      </c>
      <c r="B4319" s="6" t="s">
        <v>1005</v>
      </c>
      <c r="C4319" s="6" t="s">
        <v>120</v>
      </c>
      <c r="D4319" s="13" t="n">
        <v>45332</v>
      </c>
      <c r="E4319" s="14" t="n">
        <v>7005.12</v>
      </c>
      <c r="F4319" s="14" t="n">
        <v>81930.12</v>
      </c>
      <c r="G4319" s="6" t="s">
        <v>2613</v>
      </c>
    </row>
    <row r="4320" customFormat="false" ht="15" hidden="false" customHeight="true" outlineLevel="0" collapsed="false">
      <c r="A4320" s="6" t="s">
        <v>6932</v>
      </c>
      <c r="B4320" s="6" t="s">
        <v>1005</v>
      </c>
      <c r="C4320" s="6" t="s">
        <v>120</v>
      </c>
      <c r="D4320" s="13" t="n">
        <v>45339</v>
      </c>
      <c r="E4320" s="14" t="n">
        <v>4990.8</v>
      </c>
      <c r="F4320" s="14" t="n">
        <v>86920.92</v>
      </c>
      <c r="G4320" s="6" t="s">
        <v>2613</v>
      </c>
    </row>
    <row r="4321" customFormat="false" ht="15" hidden="false" customHeight="true" outlineLevel="0" collapsed="false">
      <c r="A4321" s="6" t="s">
        <v>6933</v>
      </c>
      <c r="B4321" s="6" t="s">
        <v>1005</v>
      </c>
      <c r="C4321" s="6" t="s">
        <v>120</v>
      </c>
      <c r="D4321" s="13" t="n">
        <v>45346</v>
      </c>
      <c r="E4321" s="14" t="n">
        <v>5116.65</v>
      </c>
      <c r="F4321" s="14" t="n">
        <v>92037.57</v>
      </c>
      <c r="G4321" s="6" t="s">
        <v>2613</v>
      </c>
    </row>
    <row r="4322" customFormat="false" ht="15" hidden="false" customHeight="true" outlineLevel="0" collapsed="false">
      <c r="A4322" s="6" t="s">
        <v>6934</v>
      </c>
      <c r="B4322" s="6" t="s">
        <v>1005</v>
      </c>
      <c r="C4322" s="6" t="s">
        <v>120</v>
      </c>
      <c r="D4322" s="13" t="n">
        <v>45353</v>
      </c>
      <c r="E4322" s="14" t="n">
        <v>6453.38</v>
      </c>
      <c r="F4322" s="14" t="n">
        <v>98490.95</v>
      </c>
      <c r="G4322" s="6" t="s">
        <v>2613</v>
      </c>
    </row>
    <row r="4323" customFormat="false" ht="15" hidden="false" customHeight="true" outlineLevel="0" collapsed="false">
      <c r="A4323" s="6" t="s">
        <v>6935</v>
      </c>
      <c r="B4323" s="6" t="s">
        <v>1005</v>
      </c>
      <c r="C4323" s="6" t="s">
        <v>120</v>
      </c>
      <c r="D4323" s="13" t="n">
        <v>45360</v>
      </c>
      <c r="E4323" s="14" t="n">
        <v>1762.79</v>
      </c>
      <c r="F4323" s="14" t="n">
        <v>100253.74</v>
      </c>
      <c r="G4323" s="6" t="s">
        <v>2613</v>
      </c>
    </row>
    <row r="4324" customFormat="false" ht="15" hidden="false" customHeight="true" outlineLevel="0" collapsed="false">
      <c r="A4324" s="6" t="s">
        <v>6936</v>
      </c>
      <c r="B4324" s="6" t="s">
        <v>1007</v>
      </c>
      <c r="C4324" s="6" t="s">
        <v>120</v>
      </c>
      <c r="D4324" s="13" t="n">
        <v>45696</v>
      </c>
      <c r="E4324" s="14" t="n">
        <v>15341.45</v>
      </c>
      <c r="F4324" s="14" t="n">
        <v>15341.45</v>
      </c>
      <c r="G4324" s="6" t="s">
        <v>2613</v>
      </c>
    </row>
    <row r="4325" customFormat="false" ht="15" hidden="false" customHeight="true" outlineLevel="0" collapsed="false">
      <c r="A4325" s="6" t="s">
        <v>6937</v>
      </c>
      <c r="B4325" s="6" t="s">
        <v>1007</v>
      </c>
      <c r="C4325" s="6" t="s">
        <v>120</v>
      </c>
      <c r="D4325" s="13" t="n">
        <v>45703</v>
      </c>
      <c r="E4325" s="14" t="n">
        <v>9327.38</v>
      </c>
      <c r="F4325" s="14" t="n">
        <v>24668.83</v>
      </c>
      <c r="G4325" s="6" t="s">
        <v>2613</v>
      </c>
    </row>
    <row r="4326" customFormat="false" ht="15" hidden="false" customHeight="true" outlineLevel="0" collapsed="false">
      <c r="A4326" s="6" t="s">
        <v>6938</v>
      </c>
      <c r="B4326" s="6" t="s">
        <v>1007</v>
      </c>
      <c r="C4326" s="6" t="s">
        <v>120</v>
      </c>
      <c r="D4326" s="13" t="n">
        <v>45710</v>
      </c>
      <c r="E4326" s="14" t="n">
        <v>20165.22</v>
      </c>
      <c r="F4326" s="14" t="n">
        <v>44834.05</v>
      </c>
      <c r="G4326" s="6" t="s">
        <v>2613</v>
      </c>
    </row>
    <row r="4327" customFormat="false" ht="15" hidden="false" customHeight="true" outlineLevel="0" collapsed="false">
      <c r="A4327" s="6" t="s">
        <v>6939</v>
      </c>
      <c r="B4327" s="6" t="s">
        <v>1007</v>
      </c>
      <c r="C4327" s="6" t="s">
        <v>120</v>
      </c>
      <c r="D4327" s="13" t="n">
        <v>45717</v>
      </c>
      <c r="E4327" s="14" t="n">
        <v>14280.78</v>
      </c>
      <c r="F4327" s="14" t="n">
        <v>59114.83</v>
      </c>
      <c r="G4327" s="6" t="s">
        <v>2613</v>
      </c>
    </row>
    <row r="4328" customFormat="false" ht="15" hidden="false" customHeight="true" outlineLevel="0" collapsed="false">
      <c r="A4328" s="6" t="s">
        <v>6940</v>
      </c>
      <c r="B4328" s="6" t="s">
        <v>1007</v>
      </c>
      <c r="C4328" s="6" t="s">
        <v>120</v>
      </c>
      <c r="D4328" s="13" t="n">
        <v>45724</v>
      </c>
      <c r="E4328" s="14" t="n">
        <v>13665.02</v>
      </c>
      <c r="F4328" s="14" t="n">
        <v>72779.85</v>
      </c>
      <c r="G4328" s="6" t="s">
        <v>2613</v>
      </c>
    </row>
    <row r="4329" customFormat="false" ht="15" hidden="false" customHeight="true" outlineLevel="0" collapsed="false">
      <c r="A4329" s="6" t="s">
        <v>6941</v>
      </c>
      <c r="B4329" s="6" t="s">
        <v>1009</v>
      </c>
      <c r="C4329" s="6" t="s">
        <v>116</v>
      </c>
      <c r="D4329" s="13" t="n">
        <v>46090</v>
      </c>
      <c r="E4329" s="14" t="n">
        <v>10648.67</v>
      </c>
      <c r="F4329" s="14" t="n">
        <v>10648.67</v>
      </c>
      <c r="G4329" s="6" t="s">
        <v>2613</v>
      </c>
    </row>
    <row r="4330" customFormat="false" ht="15" hidden="false" customHeight="true" outlineLevel="0" collapsed="false">
      <c r="A4330" s="6" t="s">
        <v>6942</v>
      </c>
      <c r="B4330" s="6" t="s">
        <v>1009</v>
      </c>
      <c r="C4330" s="6" t="s">
        <v>116</v>
      </c>
      <c r="D4330" s="13" t="n">
        <v>46097</v>
      </c>
      <c r="E4330" s="14" t="n">
        <v>4929.87</v>
      </c>
      <c r="F4330" s="14" t="n">
        <v>15578.54</v>
      </c>
      <c r="G4330" s="6" t="s">
        <v>2613</v>
      </c>
    </row>
    <row r="4331" customFormat="false" ht="15" hidden="false" customHeight="true" outlineLevel="0" collapsed="false">
      <c r="A4331" s="6" t="s">
        <v>6943</v>
      </c>
      <c r="B4331" s="6" t="s">
        <v>1009</v>
      </c>
      <c r="C4331" s="6" t="s">
        <v>116</v>
      </c>
      <c r="D4331" s="13" t="n">
        <v>46104</v>
      </c>
      <c r="E4331" s="14" t="n">
        <v>8916.71</v>
      </c>
      <c r="F4331" s="14" t="n">
        <v>24495.25</v>
      </c>
      <c r="G4331" s="6" t="s">
        <v>2613</v>
      </c>
    </row>
    <row r="4332" customFormat="false" ht="15" hidden="false" customHeight="true" outlineLevel="0" collapsed="false">
      <c r="A4332" s="6" t="s">
        <v>6944</v>
      </c>
      <c r="B4332" s="6" t="s">
        <v>1009</v>
      </c>
      <c r="C4332" s="6" t="s">
        <v>116</v>
      </c>
      <c r="D4332" s="13" t="n">
        <v>46111</v>
      </c>
      <c r="E4332" s="14" t="n">
        <v>7654.44</v>
      </c>
      <c r="F4332" s="14" t="n">
        <v>32149.69</v>
      </c>
      <c r="G4332" s="6" t="s">
        <v>2613</v>
      </c>
    </row>
    <row r="4333" customFormat="false" ht="15" hidden="false" customHeight="true" outlineLevel="0" collapsed="false">
      <c r="A4333" s="6" t="s">
        <v>6945</v>
      </c>
      <c r="B4333" s="6" t="s">
        <v>1009</v>
      </c>
      <c r="C4333" s="6" t="s">
        <v>116</v>
      </c>
      <c r="D4333" s="13" t="n">
        <v>46118</v>
      </c>
      <c r="E4333" s="14" t="n">
        <v>8399.7</v>
      </c>
      <c r="F4333" s="14" t="n">
        <v>40549.39</v>
      </c>
      <c r="G4333" s="6" t="s">
        <v>2613</v>
      </c>
    </row>
    <row r="4334" customFormat="false" ht="15" hidden="false" customHeight="true" outlineLevel="0" collapsed="false">
      <c r="A4334" s="6" t="s">
        <v>6946</v>
      </c>
      <c r="B4334" s="6" t="s">
        <v>1011</v>
      </c>
      <c r="C4334" s="6" t="s">
        <v>128</v>
      </c>
      <c r="D4334" s="13" t="n">
        <v>45678</v>
      </c>
      <c r="E4334" s="14" t="n">
        <v>1586.37</v>
      </c>
      <c r="F4334" s="14" t="n">
        <v>1586.37</v>
      </c>
      <c r="G4334" s="6" t="s">
        <v>2613</v>
      </c>
    </row>
    <row r="4335" customFormat="false" ht="15" hidden="false" customHeight="true" outlineLevel="0" collapsed="false">
      <c r="A4335" s="6" t="s">
        <v>6947</v>
      </c>
      <c r="B4335" s="6" t="s">
        <v>1011</v>
      </c>
      <c r="C4335" s="6" t="s">
        <v>128</v>
      </c>
      <c r="D4335" s="13" t="n">
        <v>45685</v>
      </c>
      <c r="E4335" s="14" t="n">
        <v>3260.1</v>
      </c>
      <c r="F4335" s="14" t="n">
        <v>4846.47</v>
      </c>
      <c r="G4335" s="6" t="s">
        <v>2613</v>
      </c>
    </row>
    <row r="4336" customFormat="false" ht="15" hidden="false" customHeight="true" outlineLevel="0" collapsed="false">
      <c r="A4336" s="6" t="s">
        <v>6948</v>
      </c>
      <c r="B4336" s="6" t="s">
        <v>1011</v>
      </c>
      <c r="C4336" s="6" t="s">
        <v>128</v>
      </c>
      <c r="D4336" s="13" t="n">
        <v>45692</v>
      </c>
      <c r="E4336" s="14" t="n">
        <v>2331.45</v>
      </c>
      <c r="F4336" s="14" t="n">
        <v>7177.92</v>
      </c>
      <c r="G4336" s="6" t="s">
        <v>2623</v>
      </c>
    </row>
    <row r="4337" customFormat="false" ht="15" hidden="false" customHeight="true" outlineLevel="0" collapsed="false">
      <c r="A4337" s="6" t="s">
        <v>6949</v>
      </c>
      <c r="B4337" s="6" t="s">
        <v>1011</v>
      </c>
      <c r="C4337" s="6" t="s">
        <v>128</v>
      </c>
      <c r="D4337" s="13" t="n">
        <v>45699</v>
      </c>
      <c r="E4337" s="14" t="n">
        <v>3008.73</v>
      </c>
      <c r="F4337" s="14" t="n">
        <v>10186.65</v>
      </c>
      <c r="G4337" s="6" t="s">
        <v>2613</v>
      </c>
    </row>
    <row r="4338" customFormat="false" ht="15" hidden="false" customHeight="true" outlineLevel="0" collapsed="false">
      <c r="A4338" s="6" t="s">
        <v>6950</v>
      </c>
      <c r="B4338" s="6" t="s">
        <v>1011</v>
      </c>
      <c r="C4338" s="6" t="s">
        <v>128</v>
      </c>
      <c r="D4338" s="13" t="n">
        <v>45706</v>
      </c>
      <c r="E4338" s="14" t="n">
        <v>2281.01</v>
      </c>
      <c r="F4338" s="14" t="n">
        <v>12467.66</v>
      </c>
      <c r="G4338" s="6" t="s">
        <v>2613</v>
      </c>
    </row>
    <row r="4339" customFormat="false" ht="15" hidden="false" customHeight="true" outlineLevel="0" collapsed="false">
      <c r="A4339" s="6" t="s">
        <v>6951</v>
      </c>
      <c r="B4339" s="6" t="s">
        <v>1011</v>
      </c>
      <c r="C4339" s="6" t="s">
        <v>128</v>
      </c>
      <c r="D4339" s="13" t="n">
        <v>45713</v>
      </c>
      <c r="E4339" s="14" t="n">
        <v>1741.71</v>
      </c>
      <c r="F4339" s="14" t="n">
        <v>14209.37</v>
      </c>
      <c r="G4339" s="6" t="s">
        <v>2613</v>
      </c>
    </row>
    <row r="4340" customFormat="false" ht="15" hidden="false" customHeight="true" outlineLevel="0" collapsed="false">
      <c r="A4340" s="6" t="s">
        <v>6952</v>
      </c>
      <c r="B4340" s="6" t="s">
        <v>1011</v>
      </c>
      <c r="C4340" s="6" t="s">
        <v>128</v>
      </c>
      <c r="D4340" s="13" t="n">
        <v>45720</v>
      </c>
      <c r="E4340" s="14" t="n">
        <v>1616.94</v>
      </c>
      <c r="F4340" s="14" t="n">
        <v>15826.31</v>
      </c>
      <c r="G4340" s="6" t="s">
        <v>2613</v>
      </c>
    </row>
    <row r="4341" customFormat="false" ht="15" hidden="false" customHeight="true" outlineLevel="0" collapsed="false">
      <c r="A4341" s="6" t="s">
        <v>6953</v>
      </c>
      <c r="B4341" s="6" t="s">
        <v>1011</v>
      </c>
      <c r="C4341" s="6" t="s">
        <v>128</v>
      </c>
      <c r="D4341" s="13" t="n">
        <v>45727</v>
      </c>
      <c r="E4341" s="14" t="n">
        <v>1996.21</v>
      </c>
      <c r="F4341" s="14" t="n">
        <v>17822.52</v>
      </c>
      <c r="G4341" s="6" t="s">
        <v>2613</v>
      </c>
    </row>
    <row r="4342" customFormat="false" ht="15" hidden="false" customHeight="true" outlineLevel="0" collapsed="false">
      <c r="A4342" s="6" t="s">
        <v>6954</v>
      </c>
      <c r="B4342" s="6" t="s">
        <v>1011</v>
      </c>
      <c r="C4342" s="6" t="s">
        <v>128</v>
      </c>
      <c r="D4342" s="13" t="n">
        <v>45734</v>
      </c>
      <c r="E4342" s="14" t="n">
        <v>2545.43</v>
      </c>
      <c r="F4342" s="14" t="n">
        <v>20367.95</v>
      </c>
      <c r="G4342" s="6" t="s">
        <v>2613</v>
      </c>
    </row>
    <row r="4343" customFormat="false" ht="15" hidden="false" customHeight="true" outlineLevel="0" collapsed="false">
      <c r="A4343" s="6" t="s">
        <v>6955</v>
      </c>
      <c r="B4343" s="6" t="s">
        <v>1011</v>
      </c>
      <c r="C4343" s="6" t="s">
        <v>128</v>
      </c>
      <c r="D4343" s="13" t="n">
        <v>45741</v>
      </c>
      <c r="E4343" s="14" t="n">
        <v>1816.85</v>
      </c>
      <c r="F4343" s="14" t="n">
        <v>22184.8</v>
      </c>
      <c r="G4343" s="6" t="s">
        <v>2613</v>
      </c>
    </row>
    <row r="4344" customFormat="false" ht="15" hidden="false" customHeight="true" outlineLevel="0" collapsed="false">
      <c r="A4344" s="6" t="s">
        <v>6956</v>
      </c>
      <c r="B4344" s="6" t="s">
        <v>1011</v>
      </c>
      <c r="C4344" s="6" t="s">
        <v>128</v>
      </c>
      <c r="D4344" s="13" t="n">
        <v>45748</v>
      </c>
      <c r="E4344" s="14" t="n">
        <v>1569.06</v>
      </c>
      <c r="F4344" s="14" t="n">
        <v>23753.86</v>
      </c>
      <c r="G4344" s="6" t="s">
        <v>2613</v>
      </c>
    </row>
    <row r="4345" customFormat="false" ht="15" hidden="false" customHeight="true" outlineLevel="0" collapsed="false">
      <c r="A4345" s="6" t="s">
        <v>6957</v>
      </c>
      <c r="B4345" s="6" t="s">
        <v>1011</v>
      </c>
      <c r="C4345" s="6" t="s">
        <v>128</v>
      </c>
      <c r="D4345" s="13" t="n">
        <v>45755</v>
      </c>
      <c r="E4345" s="14" t="n">
        <v>2248.98</v>
      </c>
      <c r="F4345" s="14" t="n">
        <v>26002.84</v>
      </c>
      <c r="G4345" s="6" t="s">
        <v>2613</v>
      </c>
    </row>
    <row r="4346" customFormat="false" ht="15" hidden="false" customHeight="true" outlineLevel="0" collapsed="false">
      <c r="A4346" s="6" t="s">
        <v>6958</v>
      </c>
      <c r="B4346" s="6" t="s">
        <v>1011</v>
      </c>
      <c r="C4346" s="6" t="s">
        <v>128</v>
      </c>
      <c r="D4346" s="13" t="n">
        <v>45762</v>
      </c>
      <c r="E4346" s="14" t="n">
        <v>2139.5</v>
      </c>
      <c r="F4346" s="14" t="n">
        <v>28142.34</v>
      </c>
      <c r="G4346" s="6" t="s">
        <v>2613</v>
      </c>
    </row>
    <row r="4347" customFormat="false" ht="15" hidden="false" customHeight="true" outlineLevel="0" collapsed="false">
      <c r="A4347" s="6" t="s">
        <v>6959</v>
      </c>
      <c r="B4347" s="6" t="s">
        <v>1011</v>
      </c>
      <c r="C4347" s="6" t="s">
        <v>128</v>
      </c>
      <c r="D4347" s="13" t="n">
        <v>45769</v>
      </c>
      <c r="E4347" s="14" t="n">
        <v>4860.86</v>
      </c>
      <c r="F4347" s="14" t="n">
        <v>33003.2</v>
      </c>
      <c r="G4347" s="6" t="s">
        <v>2613</v>
      </c>
    </row>
    <row r="4348" customFormat="false" ht="15" hidden="false" customHeight="true" outlineLevel="0" collapsed="false">
      <c r="A4348" s="6" t="s">
        <v>6960</v>
      </c>
      <c r="B4348" s="6" t="s">
        <v>1013</v>
      </c>
      <c r="C4348" s="6" t="s">
        <v>128</v>
      </c>
      <c r="D4348" s="13" t="n">
        <v>45811</v>
      </c>
      <c r="E4348" s="14" t="n">
        <v>3289.13</v>
      </c>
      <c r="F4348" s="14" t="n">
        <v>3289.13</v>
      </c>
      <c r="G4348" s="6" t="s">
        <v>2613</v>
      </c>
    </row>
    <row r="4349" customFormat="false" ht="15" hidden="false" customHeight="true" outlineLevel="0" collapsed="false">
      <c r="A4349" s="6" t="s">
        <v>6961</v>
      </c>
      <c r="B4349" s="6" t="s">
        <v>1013</v>
      </c>
      <c r="C4349" s="6" t="s">
        <v>128</v>
      </c>
      <c r="D4349" s="13" t="n">
        <v>45818</v>
      </c>
      <c r="E4349" s="14" t="n">
        <v>5697.96</v>
      </c>
      <c r="F4349" s="14" t="n">
        <v>8987.09</v>
      </c>
      <c r="G4349" s="6" t="s">
        <v>2613</v>
      </c>
    </row>
    <row r="4350" customFormat="false" ht="15" hidden="false" customHeight="true" outlineLevel="0" collapsed="false">
      <c r="A4350" s="6" t="s">
        <v>6962</v>
      </c>
      <c r="B4350" s="6" t="s">
        <v>1013</v>
      </c>
      <c r="C4350" s="6" t="s">
        <v>128</v>
      </c>
      <c r="D4350" s="13" t="n">
        <v>45825</v>
      </c>
      <c r="E4350" s="14" t="n">
        <v>4587.72</v>
      </c>
      <c r="F4350" s="14" t="n">
        <v>13574.81</v>
      </c>
      <c r="G4350" s="6" t="s">
        <v>2613</v>
      </c>
    </row>
    <row r="4351" customFormat="false" ht="15" hidden="false" customHeight="true" outlineLevel="0" collapsed="false">
      <c r="A4351" s="6" t="s">
        <v>6963</v>
      </c>
      <c r="B4351" s="6" t="s">
        <v>1013</v>
      </c>
      <c r="C4351" s="6" t="s">
        <v>128</v>
      </c>
      <c r="D4351" s="13" t="n">
        <v>45832</v>
      </c>
      <c r="E4351" s="14" t="n">
        <v>4386</v>
      </c>
      <c r="F4351" s="14" t="n">
        <v>17960.81</v>
      </c>
      <c r="G4351" s="6" t="s">
        <v>2613</v>
      </c>
    </row>
    <row r="4352" customFormat="false" ht="15" hidden="false" customHeight="true" outlineLevel="0" collapsed="false">
      <c r="A4352" s="6" t="s">
        <v>6964</v>
      </c>
      <c r="B4352" s="6" t="s">
        <v>1013</v>
      </c>
      <c r="C4352" s="6" t="s">
        <v>128</v>
      </c>
      <c r="D4352" s="13" t="n">
        <v>45839</v>
      </c>
      <c r="E4352" s="14" t="n">
        <v>5823.8</v>
      </c>
      <c r="F4352" s="14" t="n">
        <v>23784.61</v>
      </c>
      <c r="G4352" s="6" t="s">
        <v>2613</v>
      </c>
    </row>
    <row r="4353" customFormat="false" ht="15" hidden="false" customHeight="true" outlineLevel="0" collapsed="false">
      <c r="A4353" s="6" t="s">
        <v>6965</v>
      </c>
      <c r="B4353" s="6" t="s">
        <v>1013</v>
      </c>
      <c r="C4353" s="6" t="s">
        <v>128</v>
      </c>
      <c r="D4353" s="13" t="n">
        <v>45846</v>
      </c>
      <c r="E4353" s="14" t="n">
        <v>4490.07</v>
      </c>
      <c r="F4353" s="14" t="n">
        <v>28274.68</v>
      </c>
      <c r="G4353" s="6" t="s">
        <v>2613</v>
      </c>
    </row>
    <row r="4354" customFormat="false" ht="15" hidden="false" customHeight="true" outlineLevel="0" collapsed="false">
      <c r="A4354" s="6" t="s">
        <v>6966</v>
      </c>
      <c r="B4354" s="6" t="s">
        <v>1013</v>
      </c>
      <c r="C4354" s="6" t="s">
        <v>128</v>
      </c>
      <c r="D4354" s="13" t="n">
        <v>45853</v>
      </c>
      <c r="E4354" s="14" t="n">
        <v>6800.66</v>
      </c>
      <c r="F4354" s="14" t="n">
        <v>35075.34</v>
      </c>
      <c r="G4354" s="6" t="s">
        <v>2613</v>
      </c>
    </row>
    <row r="4355" customFormat="false" ht="15" hidden="false" customHeight="true" outlineLevel="0" collapsed="false">
      <c r="A4355" s="6" t="s">
        <v>6967</v>
      </c>
      <c r="B4355" s="6" t="s">
        <v>1013</v>
      </c>
      <c r="C4355" s="6" t="s">
        <v>128</v>
      </c>
      <c r="D4355" s="13" t="n">
        <v>45860</v>
      </c>
      <c r="E4355" s="14" t="n">
        <v>4679.36</v>
      </c>
      <c r="F4355" s="14" t="n">
        <v>39754.7</v>
      </c>
      <c r="G4355" s="6" t="s">
        <v>2613</v>
      </c>
    </row>
    <row r="4356" customFormat="false" ht="15" hidden="false" customHeight="true" outlineLevel="0" collapsed="false">
      <c r="A4356" s="6" t="s">
        <v>6968</v>
      </c>
      <c r="B4356" s="6" t="s">
        <v>1015</v>
      </c>
      <c r="C4356" s="6" t="s">
        <v>131</v>
      </c>
      <c r="D4356" s="13" t="n">
        <v>45437</v>
      </c>
      <c r="E4356" s="14" t="n">
        <v>1566.41</v>
      </c>
      <c r="F4356" s="14" t="n">
        <v>1566.41</v>
      </c>
      <c r="G4356" s="6" t="s">
        <v>2613</v>
      </c>
    </row>
    <row r="4357" customFormat="false" ht="15" hidden="false" customHeight="true" outlineLevel="0" collapsed="false">
      <c r="A4357" s="6" t="s">
        <v>6969</v>
      </c>
      <c r="B4357" s="6" t="s">
        <v>1015</v>
      </c>
      <c r="C4357" s="6" t="s">
        <v>131</v>
      </c>
      <c r="D4357" s="13" t="n">
        <v>45444</v>
      </c>
      <c r="E4357" s="14" t="n">
        <v>2796.63</v>
      </c>
      <c r="F4357" s="14" t="n">
        <v>4363.04</v>
      </c>
      <c r="G4357" s="6" t="s">
        <v>2613</v>
      </c>
    </row>
    <row r="4358" customFormat="false" ht="15" hidden="false" customHeight="true" outlineLevel="0" collapsed="false">
      <c r="A4358" s="6" t="s">
        <v>6970</v>
      </c>
      <c r="B4358" s="6" t="s">
        <v>1015</v>
      </c>
      <c r="C4358" s="6" t="s">
        <v>131</v>
      </c>
      <c r="D4358" s="13" t="n">
        <v>45451</v>
      </c>
      <c r="E4358" s="14" t="n">
        <v>1470.34</v>
      </c>
      <c r="F4358" s="14" t="n">
        <v>5833.38</v>
      </c>
      <c r="G4358" s="6" t="s">
        <v>2613</v>
      </c>
    </row>
    <row r="4359" customFormat="false" ht="15" hidden="false" customHeight="true" outlineLevel="0" collapsed="false">
      <c r="A4359" s="6" t="s">
        <v>6971</v>
      </c>
      <c r="B4359" s="6" t="s">
        <v>1015</v>
      </c>
      <c r="C4359" s="6" t="s">
        <v>131</v>
      </c>
      <c r="D4359" s="13" t="n">
        <v>45458</v>
      </c>
      <c r="E4359" s="14" t="n">
        <v>2233.03</v>
      </c>
      <c r="F4359" s="14" t="n">
        <v>8066.41</v>
      </c>
      <c r="G4359" s="6" t="s">
        <v>2613</v>
      </c>
    </row>
    <row r="4360" customFormat="false" ht="15" hidden="false" customHeight="true" outlineLevel="0" collapsed="false">
      <c r="A4360" s="6" t="s">
        <v>6972</v>
      </c>
      <c r="B4360" s="6" t="s">
        <v>1015</v>
      </c>
      <c r="C4360" s="6" t="s">
        <v>131</v>
      </c>
      <c r="D4360" s="13" t="n">
        <v>45465</v>
      </c>
      <c r="E4360" s="14" t="n">
        <v>2497.37</v>
      </c>
      <c r="F4360" s="14" t="n">
        <v>10563.78</v>
      </c>
      <c r="G4360" s="6" t="s">
        <v>2613</v>
      </c>
    </row>
    <row r="4361" customFormat="false" ht="15" hidden="false" customHeight="true" outlineLevel="0" collapsed="false">
      <c r="A4361" s="6" t="s">
        <v>6973</v>
      </c>
      <c r="B4361" s="6" t="s">
        <v>1015</v>
      </c>
      <c r="C4361" s="6" t="s">
        <v>131</v>
      </c>
      <c r="D4361" s="13" t="n">
        <v>45472</v>
      </c>
      <c r="E4361" s="14" t="n">
        <v>2767.92</v>
      </c>
      <c r="F4361" s="14" t="n">
        <v>13331.7</v>
      </c>
      <c r="G4361" s="6" t="s">
        <v>2613</v>
      </c>
    </row>
    <row r="4362" customFormat="false" ht="15" hidden="false" customHeight="true" outlineLevel="0" collapsed="false">
      <c r="A4362" s="6" t="s">
        <v>6974</v>
      </c>
      <c r="B4362" s="6" t="s">
        <v>1015</v>
      </c>
      <c r="C4362" s="6" t="s">
        <v>131</v>
      </c>
      <c r="D4362" s="13" t="n">
        <v>45479</v>
      </c>
      <c r="E4362" s="14" t="n">
        <v>2418.24</v>
      </c>
      <c r="F4362" s="14" t="n">
        <v>15749.94</v>
      </c>
      <c r="G4362" s="6" t="s">
        <v>2623</v>
      </c>
    </row>
    <row r="4363" customFormat="false" ht="15" hidden="false" customHeight="true" outlineLevel="0" collapsed="false">
      <c r="A4363" s="6" t="s">
        <v>6975</v>
      </c>
      <c r="B4363" s="6" t="s">
        <v>1015</v>
      </c>
      <c r="C4363" s="6" t="s">
        <v>131</v>
      </c>
      <c r="D4363" s="13" t="n">
        <v>45486</v>
      </c>
      <c r="E4363" s="14" t="n">
        <v>257.36</v>
      </c>
      <c r="F4363" s="14" t="n">
        <v>16007.3</v>
      </c>
      <c r="G4363" s="6" t="s">
        <v>2613</v>
      </c>
    </row>
    <row r="4364" customFormat="false" ht="15" hidden="false" customHeight="true" outlineLevel="0" collapsed="false">
      <c r="A4364" s="6" t="s">
        <v>6976</v>
      </c>
      <c r="B4364" s="6" t="s">
        <v>1017</v>
      </c>
      <c r="C4364" s="6" t="s">
        <v>112</v>
      </c>
      <c r="D4364" s="13" t="n">
        <v>45407</v>
      </c>
      <c r="E4364" s="14" t="n">
        <v>524.05</v>
      </c>
      <c r="F4364" s="14" t="n">
        <v>524.05</v>
      </c>
      <c r="G4364" s="6" t="s">
        <v>2623</v>
      </c>
    </row>
    <row r="4365" customFormat="false" ht="15" hidden="false" customHeight="true" outlineLevel="0" collapsed="false">
      <c r="A4365" s="6" t="s">
        <v>6977</v>
      </c>
      <c r="B4365" s="6" t="s">
        <v>1017</v>
      </c>
      <c r="C4365" s="6" t="s">
        <v>112</v>
      </c>
      <c r="D4365" s="13" t="n">
        <v>45414</v>
      </c>
      <c r="E4365" s="14" t="n">
        <v>428.15</v>
      </c>
      <c r="F4365" s="14" t="n">
        <v>952.2</v>
      </c>
      <c r="G4365" s="6" t="s">
        <v>2613</v>
      </c>
    </row>
    <row r="4366" customFormat="false" ht="15" hidden="false" customHeight="true" outlineLevel="0" collapsed="false">
      <c r="A4366" s="6" t="s">
        <v>6978</v>
      </c>
      <c r="B4366" s="6" t="s">
        <v>1017</v>
      </c>
      <c r="C4366" s="6" t="s">
        <v>112</v>
      </c>
      <c r="D4366" s="13" t="n">
        <v>45421</v>
      </c>
      <c r="E4366" s="14" t="n">
        <v>818.92</v>
      </c>
      <c r="F4366" s="14" t="n">
        <v>1771.12</v>
      </c>
      <c r="G4366" s="6" t="s">
        <v>2613</v>
      </c>
    </row>
    <row r="4367" customFormat="false" ht="15" hidden="false" customHeight="true" outlineLevel="0" collapsed="false">
      <c r="A4367" s="6" t="s">
        <v>6979</v>
      </c>
      <c r="B4367" s="6" t="s">
        <v>1017</v>
      </c>
      <c r="C4367" s="6" t="s">
        <v>112</v>
      </c>
      <c r="D4367" s="13" t="n">
        <v>45428</v>
      </c>
      <c r="E4367" s="14" t="n">
        <v>902.86</v>
      </c>
      <c r="F4367" s="14" t="n">
        <v>2673.98</v>
      </c>
      <c r="G4367" s="6" t="s">
        <v>2613</v>
      </c>
    </row>
    <row r="4368" customFormat="false" ht="15" hidden="false" customHeight="true" outlineLevel="0" collapsed="false">
      <c r="A4368" s="6" t="s">
        <v>6980</v>
      </c>
      <c r="B4368" s="6" t="s">
        <v>1017</v>
      </c>
      <c r="C4368" s="6" t="s">
        <v>112</v>
      </c>
      <c r="D4368" s="13" t="n">
        <v>45435</v>
      </c>
      <c r="E4368" s="14" t="n">
        <v>692.78</v>
      </c>
      <c r="F4368" s="14" t="n">
        <v>3366.76</v>
      </c>
      <c r="G4368" s="6" t="s">
        <v>2613</v>
      </c>
    </row>
    <row r="4369" customFormat="false" ht="15" hidden="false" customHeight="true" outlineLevel="0" collapsed="false">
      <c r="A4369" s="6" t="s">
        <v>6981</v>
      </c>
      <c r="B4369" s="6" t="s">
        <v>1017</v>
      </c>
      <c r="C4369" s="6" t="s">
        <v>112</v>
      </c>
      <c r="D4369" s="13" t="n">
        <v>45442</v>
      </c>
      <c r="E4369" s="14" t="n">
        <v>877.99</v>
      </c>
      <c r="F4369" s="14" t="n">
        <v>4244.75</v>
      </c>
      <c r="G4369" s="6" t="s">
        <v>2613</v>
      </c>
    </row>
    <row r="4370" customFormat="false" ht="15" hidden="false" customHeight="true" outlineLevel="0" collapsed="false">
      <c r="A4370" s="6" t="s">
        <v>6982</v>
      </c>
      <c r="B4370" s="6" t="s">
        <v>1017</v>
      </c>
      <c r="C4370" s="6" t="s">
        <v>112</v>
      </c>
      <c r="D4370" s="13" t="n">
        <v>45449</v>
      </c>
      <c r="E4370" s="14" t="n">
        <v>425.63</v>
      </c>
      <c r="F4370" s="14" t="n">
        <v>4670.38</v>
      </c>
      <c r="G4370" s="6" t="s">
        <v>2613</v>
      </c>
    </row>
    <row r="4371" customFormat="false" ht="15" hidden="false" customHeight="true" outlineLevel="0" collapsed="false">
      <c r="A4371" s="6" t="s">
        <v>6983</v>
      </c>
      <c r="B4371" s="6" t="s">
        <v>1019</v>
      </c>
      <c r="C4371" s="6" t="s">
        <v>116</v>
      </c>
      <c r="D4371" s="13" t="n">
        <v>44935</v>
      </c>
      <c r="E4371" s="14" t="n">
        <v>439.52</v>
      </c>
      <c r="F4371" s="14" t="n">
        <v>439.52</v>
      </c>
      <c r="G4371" s="6" t="s">
        <v>2623</v>
      </c>
    </row>
    <row r="4372" customFormat="false" ht="15" hidden="false" customHeight="true" outlineLevel="0" collapsed="false">
      <c r="A4372" s="6" t="s">
        <v>6984</v>
      </c>
      <c r="B4372" s="6" t="s">
        <v>1019</v>
      </c>
      <c r="C4372" s="6" t="s">
        <v>116</v>
      </c>
      <c r="D4372" s="13" t="n">
        <v>44942</v>
      </c>
      <c r="E4372" s="14" t="n">
        <v>708.7</v>
      </c>
      <c r="F4372" s="14" t="n">
        <v>1148.22</v>
      </c>
      <c r="G4372" s="6" t="s">
        <v>2613</v>
      </c>
    </row>
    <row r="4373" customFormat="false" ht="15" hidden="false" customHeight="true" outlineLevel="0" collapsed="false">
      <c r="A4373" s="6" t="s">
        <v>6985</v>
      </c>
      <c r="B4373" s="6" t="s">
        <v>1019</v>
      </c>
      <c r="C4373" s="6" t="s">
        <v>116</v>
      </c>
      <c r="D4373" s="13" t="n">
        <v>44949</v>
      </c>
      <c r="E4373" s="14" t="n">
        <v>557.65</v>
      </c>
      <c r="F4373" s="14" t="n">
        <v>1705.87</v>
      </c>
      <c r="G4373" s="6" t="s">
        <v>2623</v>
      </c>
    </row>
    <row r="4374" customFormat="false" ht="15" hidden="false" customHeight="true" outlineLevel="0" collapsed="false">
      <c r="A4374" s="6" t="s">
        <v>6986</v>
      </c>
      <c r="B4374" s="6" t="s">
        <v>1019</v>
      </c>
      <c r="C4374" s="6" t="s">
        <v>116</v>
      </c>
      <c r="D4374" s="13" t="n">
        <v>44956</v>
      </c>
      <c r="E4374" s="14" t="n">
        <v>553.8</v>
      </c>
      <c r="F4374" s="14" t="n">
        <v>2259.67</v>
      </c>
      <c r="G4374" s="6" t="s">
        <v>2623</v>
      </c>
    </row>
    <row r="4375" customFormat="false" ht="15" hidden="false" customHeight="true" outlineLevel="0" collapsed="false">
      <c r="A4375" s="6" t="s">
        <v>6987</v>
      </c>
      <c r="B4375" s="6" t="s">
        <v>1019</v>
      </c>
      <c r="C4375" s="6" t="s">
        <v>116</v>
      </c>
      <c r="D4375" s="13" t="n">
        <v>44963</v>
      </c>
      <c r="E4375" s="14" t="n">
        <v>390.66</v>
      </c>
      <c r="F4375" s="14" t="n">
        <v>2650.33</v>
      </c>
      <c r="G4375" s="6" t="s">
        <v>2623</v>
      </c>
    </row>
    <row r="4376" customFormat="false" ht="15" hidden="false" customHeight="true" outlineLevel="0" collapsed="false">
      <c r="A4376" s="6" t="s">
        <v>6988</v>
      </c>
      <c r="B4376" s="6" t="s">
        <v>1019</v>
      </c>
      <c r="C4376" s="6" t="s">
        <v>116</v>
      </c>
      <c r="D4376" s="13" t="n">
        <v>44970</v>
      </c>
      <c r="E4376" s="14" t="n">
        <v>399.91</v>
      </c>
      <c r="F4376" s="14" t="n">
        <v>3050.24</v>
      </c>
      <c r="G4376" s="6" t="s">
        <v>2613</v>
      </c>
    </row>
    <row r="4377" customFormat="false" ht="15" hidden="false" customHeight="true" outlineLevel="0" collapsed="false">
      <c r="A4377" s="6" t="s">
        <v>6989</v>
      </c>
      <c r="B4377" s="6" t="s">
        <v>1019</v>
      </c>
      <c r="C4377" s="6" t="s">
        <v>116</v>
      </c>
      <c r="D4377" s="13" t="n">
        <v>44977</v>
      </c>
      <c r="E4377" s="14" t="n">
        <v>711.47</v>
      </c>
      <c r="F4377" s="14" t="n">
        <v>3761.71</v>
      </c>
      <c r="G4377" s="6" t="s">
        <v>2613</v>
      </c>
    </row>
    <row r="4378" customFormat="false" ht="15" hidden="false" customHeight="true" outlineLevel="0" collapsed="false">
      <c r="A4378" s="6" t="s">
        <v>6990</v>
      </c>
      <c r="B4378" s="6" t="s">
        <v>1019</v>
      </c>
      <c r="C4378" s="6" t="s">
        <v>116</v>
      </c>
      <c r="D4378" s="13" t="n">
        <v>44984</v>
      </c>
      <c r="E4378" s="14" t="n">
        <v>584.41</v>
      </c>
      <c r="F4378" s="14" t="n">
        <v>4346.12</v>
      </c>
      <c r="G4378" s="6" t="s">
        <v>2613</v>
      </c>
    </row>
    <row r="4379" customFormat="false" ht="15" hidden="false" customHeight="true" outlineLevel="0" collapsed="false">
      <c r="A4379" s="6" t="s">
        <v>6991</v>
      </c>
      <c r="B4379" s="6" t="s">
        <v>1019</v>
      </c>
      <c r="C4379" s="6" t="s">
        <v>116</v>
      </c>
      <c r="D4379" s="13" t="n">
        <v>44991</v>
      </c>
      <c r="E4379" s="14" t="n">
        <v>439.58</v>
      </c>
      <c r="F4379" s="14" t="n">
        <v>4785.7</v>
      </c>
      <c r="G4379" s="6" t="s">
        <v>2613</v>
      </c>
    </row>
    <row r="4380" customFormat="false" ht="15" hidden="false" customHeight="true" outlineLevel="0" collapsed="false">
      <c r="A4380" s="6" t="s">
        <v>6992</v>
      </c>
      <c r="B4380" s="6" t="s">
        <v>1019</v>
      </c>
      <c r="C4380" s="6" t="s">
        <v>116</v>
      </c>
      <c r="D4380" s="13" t="n">
        <v>44998</v>
      </c>
      <c r="E4380" s="14" t="n">
        <v>379.59</v>
      </c>
      <c r="F4380" s="14" t="n">
        <v>5165.29</v>
      </c>
      <c r="G4380" s="6" t="s">
        <v>2613</v>
      </c>
    </row>
    <row r="4381" customFormat="false" ht="15" hidden="false" customHeight="true" outlineLevel="0" collapsed="false">
      <c r="A4381" s="6" t="s">
        <v>6993</v>
      </c>
      <c r="B4381" s="6" t="s">
        <v>1019</v>
      </c>
      <c r="C4381" s="6" t="s">
        <v>116</v>
      </c>
      <c r="D4381" s="13" t="n">
        <v>45005</v>
      </c>
      <c r="E4381" s="14" t="n">
        <v>613.67</v>
      </c>
      <c r="F4381" s="14" t="n">
        <v>5778.96</v>
      </c>
      <c r="G4381" s="6" t="s">
        <v>2613</v>
      </c>
    </row>
    <row r="4382" customFormat="false" ht="15" hidden="false" customHeight="true" outlineLevel="0" collapsed="false">
      <c r="A4382" s="6" t="s">
        <v>6994</v>
      </c>
      <c r="B4382" s="6" t="s">
        <v>1019</v>
      </c>
      <c r="C4382" s="6" t="s">
        <v>116</v>
      </c>
      <c r="D4382" s="13" t="n">
        <v>45012</v>
      </c>
      <c r="E4382" s="14" t="n">
        <v>360.69</v>
      </c>
      <c r="F4382" s="14" t="n">
        <v>6139.65</v>
      </c>
      <c r="G4382" s="6" t="s">
        <v>2613</v>
      </c>
    </row>
    <row r="4383" customFormat="false" ht="15" hidden="false" customHeight="true" outlineLevel="0" collapsed="false">
      <c r="A4383" s="6" t="s">
        <v>6995</v>
      </c>
      <c r="B4383" s="6" t="s">
        <v>1019</v>
      </c>
      <c r="C4383" s="6" t="s">
        <v>116</v>
      </c>
      <c r="D4383" s="13" t="n">
        <v>45019</v>
      </c>
      <c r="E4383" s="14" t="n">
        <v>331.34</v>
      </c>
      <c r="F4383" s="14" t="n">
        <v>6470.99</v>
      </c>
      <c r="G4383" s="6" t="s">
        <v>2613</v>
      </c>
    </row>
    <row r="4384" customFormat="false" ht="15" hidden="false" customHeight="true" outlineLevel="0" collapsed="false">
      <c r="A4384" s="6" t="s">
        <v>6996</v>
      </c>
      <c r="B4384" s="6" t="s">
        <v>1019</v>
      </c>
      <c r="C4384" s="6" t="s">
        <v>116</v>
      </c>
      <c r="D4384" s="13" t="n">
        <v>45026</v>
      </c>
      <c r="E4384" s="14" t="n">
        <v>683.72</v>
      </c>
      <c r="F4384" s="14" t="n">
        <v>7154.71</v>
      </c>
      <c r="G4384" s="6" t="s">
        <v>2613</v>
      </c>
    </row>
    <row r="4385" customFormat="false" ht="15" hidden="false" customHeight="true" outlineLevel="0" collapsed="false">
      <c r="A4385" s="6" t="s">
        <v>6997</v>
      </c>
      <c r="B4385" s="6" t="s">
        <v>1019</v>
      </c>
      <c r="C4385" s="6" t="s">
        <v>116</v>
      </c>
      <c r="D4385" s="13" t="n">
        <v>45033</v>
      </c>
      <c r="E4385" s="14" t="n">
        <v>505.46</v>
      </c>
      <c r="F4385" s="14" t="n">
        <v>7660.17</v>
      </c>
      <c r="G4385" s="6" t="s">
        <v>2613</v>
      </c>
    </row>
    <row r="4386" customFormat="false" ht="15" hidden="false" customHeight="true" outlineLevel="0" collapsed="false">
      <c r="A4386" s="6" t="s">
        <v>6998</v>
      </c>
      <c r="B4386" s="6" t="s">
        <v>1019</v>
      </c>
      <c r="C4386" s="6" t="s">
        <v>116</v>
      </c>
      <c r="D4386" s="13" t="n">
        <v>45040</v>
      </c>
      <c r="E4386" s="14" t="n">
        <v>1168.7</v>
      </c>
      <c r="F4386" s="14" t="n">
        <v>8828.87</v>
      </c>
      <c r="G4386" s="6" t="s">
        <v>2613</v>
      </c>
    </row>
    <row r="4387" customFormat="false" ht="15" hidden="false" customHeight="true" outlineLevel="0" collapsed="false">
      <c r="A4387" s="6" t="s">
        <v>6999</v>
      </c>
      <c r="B4387" s="6" t="s">
        <v>1021</v>
      </c>
      <c r="C4387" s="6" t="s">
        <v>128</v>
      </c>
      <c r="D4387" s="13" t="n">
        <v>45592</v>
      </c>
      <c r="E4387" s="14" t="n">
        <v>1233.93</v>
      </c>
      <c r="F4387" s="14" t="n">
        <v>1233.93</v>
      </c>
      <c r="G4387" s="6" t="s">
        <v>2613</v>
      </c>
    </row>
    <row r="4388" customFormat="false" ht="15" hidden="false" customHeight="true" outlineLevel="0" collapsed="false">
      <c r="A4388" s="6" t="s">
        <v>7000</v>
      </c>
      <c r="B4388" s="6" t="s">
        <v>1021</v>
      </c>
      <c r="C4388" s="6" t="s">
        <v>128</v>
      </c>
      <c r="D4388" s="13" t="n">
        <v>45599</v>
      </c>
      <c r="E4388" s="14" t="n">
        <v>2385.61</v>
      </c>
      <c r="F4388" s="14" t="n">
        <v>3619.54</v>
      </c>
      <c r="G4388" s="6" t="s">
        <v>2613</v>
      </c>
    </row>
    <row r="4389" customFormat="false" ht="15" hidden="false" customHeight="true" outlineLevel="0" collapsed="false">
      <c r="A4389" s="6" t="s">
        <v>7001</v>
      </c>
      <c r="B4389" s="6" t="s">
        <v>1021</v>
      </c>
      <c r="C4389" s="6" t="s">
        <v>128</v>
      </c>
      <c r="D4389" s="13" t="n">
        <v>45606</v>
      </c>
      <c r="E4389" s="14" t="n">
        <v>2478.85</v>
      </c>
      <c r="F4389" s="14" t="n">
        <v>6098.39</v>
      </c>
      <c r="G4389" s="6" t="s">
        <v>2613</v>
      </c>
    </row>
    <row r="4390" customFormat="false" ht="15" hidden="false" customHeight="true" outlineLevel="0" collapsed="false">
      <c r="A4390" s="6" t="s">
        <v>7002</v>
      </c>
      <c r="B4390" s="6" t="s">
        <v>1021</v>
      </c>
      <c r="C4390" s="6" t="s">
        <v>128</v>
      </c>
      <c r="D4390" s="13" t="n">
        <v>45613</v>
      </c>
      <c r="E4390" s="14" t="n">
        <v>1572.75</v>
      </c>
      <c r="F4390" s="14" t="n">
        <v>7671.14</v>
      </c>
      <c r="G4390" s="6" t="s">
        <v>2623</v>
      </c>
    </row>
    <row r="4391" customFormat="false" ht="15" hidden="false" customHeight="true" outlineLevel="0" collapsed="false">
      <c r="A4391" s="6" t="s">
        <v>7003</v>
      </c>
      <c r="B4391" s="6" t="s">
        <v>1021</v>
      </c>
      <c r="C4391" s="6" t="s">
        <v>128</v>
      </c>
      <c r="D4391" s="13" t="n">
        <v>45620</v>
      </c>
      <c r="E4391" s="14" t="n">
        <v>1854.04</v>
      </c>
      <c r="F4391" s="14" t="n">
        <v>9525.18</v>
      </c>
      <c r="G4391" s="6" t="s">
        <v>2613</v>
      </c>
    </row>
    <row r="4392" customFormat="false" ht="15" hidden="false" customHeight="true" outlineLevel="0" collapsed="false">
      <c r="A4392" s="6" t="s">
        <v>7004</v>
      </c>
      <c r="B4392" s="6" t="s">
        <v>1021</v>
      </c>
      <c r="C4392" s="6" t="s">
        <v>128</v>
      </c>
      <c r="D4392" s="13" t="n">
        <v>45627</v>
      </c>
      <c r="E4392" s="14" t="n">
        <v>1446.95</v>
      </c>
      <c r="F4392" s="14" t="n">
        <v>10972.13</v>
      </c>
      <c r="G4392" s="6" t="s">
        <v>2613</v>
      </c>
    </row>
    <row r="4393" customFormat="false" ht="15" hidden="false" customHeight="true" outlineLevel="0" collapsed="false">
      <c r="A4393" s="6" t="s">
        <v>7005</v>
      </c>
      <c r="B4393" s="6" t="s">
        <v>1021</v>
      </c>
      <c r="C4393" s="6" t="s">
        <v>128</v>
      </c>
      <c r="D4393" s="13" t="n">
        <v>45634</v>
      </c>
      <c r="E4393" s="14" t="n">
        <v>2248.34</v>
      </c>
      <c r="F4393" s="14" t="n">
        <v>13220.47</v>
      </c>
      <c r="G4393" s="6" t="s">
        <v>2613</v>
      </c>
    </row>
    <row r="4394" customFormat="false" ht="15" hidden="false" customHeight="true" outlineLevel="0" collapsed="false">
      <c r="A4394" s="6" t="s">
        <v>7006</v>
      </c>
      <c r="B4394" s="6" t="s">
        <v>1021</v>
      </c>
      <c r="C4394" s="6" t="s">
        <v>128</v>
      </c>
      <c r="D4394" s="13" t="n">
        <v>45641</v>
      </c>
      <c r="E4394" s="14" t="n">
        <v>2008.7</v>
      </c>
      <c r="F4394" s="14" t="n">
        <v>15229.17</v>
      </c>
      <c r="G4394" s="6" t="s">
        <v>2613</v>
      </c>
    </row>
    <row r="4395" customFormat="false" ht="15" hidden="false" customHeight="true" outlineLevel="0" collapsed="false">
      <c r="A4395" s="6" t="s">
        <v>7007</v>
      </c>
      <c r="B4395" s="6" t="s">
        <v>1021</v>
      </c>
      <c r="C4395" s="6" t="s">
        <v>128</v>
      </c>
      <c r="D4395" s="13" t="n">
        <v>45648</v>
      </c>
      <c r="E4395" s="14" t="n">
        <v>1333.48</v>
      </c>
      <c r="F4395" s="14" t="n">
        <v>16562.65</v>
      </c>
      <c r="G4395" s="6" t="s">
        <v>2613</v>
      </c>
    </row>
    <row r="4396" customFormat="false" ht="15" hidden="false" customHeight="true" outlineLevel="0" collapsed="false">
      <c r="A4396" s="6" t="s">
        <v>7008</v>
      </c>
      <c r="B4396" s="6" t="s">
        <v>1021</v>
      </c>
      <c r="C4396" s="6" t="s">
        <v>128</v>
      </c>
      <c r="D4396" s="13" t="n">
        <v>45655</v>
      </c>
      <c r="E4396" s="14" t="n">
        <v>1717.88</v>
      </c>
      <c r="F4396" s="14" t="n">
        <v>18280.53</v>
      </c>
      <c r="G4396" s="6" t="s">
        <v>2613</v>
      </c>
    </row>
    <row r="4397" customFormat="false" ht="15" hidden="false" customHeight="true" outlineLevel="0" collapsed="false">
      <c r="A4397" s="6" t="s">
        <v>7009</v>
      </c>
      <c r="B4397" s="6" t="s">
        <v>1021</v>
      </c>
      <c r="C4397" s="6" t="s">
        <v>128</v>
      </c>
      <c r="D4397" s="13" t="n">
        <v>45662</v>
      </c>
      <c r="E4397" s="14" t="n">
        <v>2473.36</v>
      </c>
      <c r="F4397" s="14" t="n">
        <v>20753.89</v>
      </c>
      <c r="G4397" s="6" t="s">
        <v>2613</v>
      </c>
    </row>
    <row r="4398" customFormat="false" ht="15" hidden="false" customHeight="true" outlineLevel="0" collapsed="false">
      <c r="A4398" s="6" t="s">
        <v>7010</v>
      </c>
      <c r="B4398" s="6" t="s">
        <v>1021</v>
      </c>
      <c r="C4398" s="6" t="s">
        <v>128</v>
      </c>
      <c r="D4398" s="13" t="n">
        <v>45669</v>
      </c>
      <c r="E4398" s="14" t="n">
        <v>1502.92</v>
      </c>
      <c r="F4398" s="14" t="n">
        <v>22256.81</v>
      </c>
      <c r="G4398" s="6" t="s">
        <v>2613</v>
      </c>
    </row>
    <row r="4399" customFormat="false" ht="15" hidden="false" customHeight="true" outlineLevel="0" collapsed="false">
      <c r="A4399" s="6" t="s">
        <v>7011</v>
      </c>
      <c r="B4399" s="6" t="s">
        <v>1021</v>
      </c>
      <c r="C4399" s="6" t="s">
        <v>128</v>
      </c>
      <c r="D4399" s="13" t="n">
        <v>45676</v>
      </c>
      <c r="E4399" s="14" t="n">
        <v>2192.21</v>
      </c>
      <c r="F4399" s="14" t="n">
        <v>24449.02</v>
      </c>
      <c r="G4399" s="6" t="s">
        <v>2613</v>
      </c>
    </row>
    <row r="4400" customFormat="false" ht="15" hidden="false" customHeight="true" outlineLevel="0" collapsed="false">
      <c r="A4400" s="6" t="s">
        <v>7012</v>
      </c>
      <c r="B4400" s="6" t="s">
        <v>1021</v>
      </c>
      <c r="C4400" s="6" t="s">
        <v>128</v>
      </c>
      <c r="D4400" s="13" t="n">
        <v>45683</v>
      </c>
      <c r="E4400" s="14" t="n">
        <v>1775.58</v>
      </c>
      <c r="F4400" s="14" t="n">
        <v>26224.6</v>
      </c>
      <c r="G4400" s="6" t="s">
        <v>2613</v>
      </c>
    </row>
    <row r="4401" customFormat="false" ht="15" hidden="false" customHeight="true" outlineLevel="0" collapsed="false">
      <c r="A4401" s="6" t="s">
        <v>7013</v>
      </c>
      <c r="B4401" s="6" t="s">
        <v>1023</v>
      </c>
      <c r="C4401" s="6" t="s">
        <v>116</v>
      </c>
      <c r="D4401" s="13" t="n">
        <v>45907</v>
      </c>
      <c r="E4401" s="14" t="n">
        <v>824.86</v>
      </c>
      <c r="F4401" s="14" t="n">
        <v>824.86</v>
      </c>
      <c r="G4401" s="6" t="s">
        <v>2613</v>
      </c>
    </row>
    <row r="4402" customFormat="false" ht="15" hidden="false" customHeight="true" outlineLevel="0" collapsed="false">
      <c r="A4402" s="6" t="s">
        <v>7014</v>
      </c>
      <c r="B4402" s="6" t="s">
        <v>1023</v>
      </c>
      <c r="C4402" s="6" t="s">
        <v>116</v>
      </c>
      <c r="D4402" s="13" t="n">
        <v>45914</v>
      </c>
      <c r="E4402" s="14" t="n">
        <v>1028.44</v>
      </c>
      <c r="F4402" s="14" t="n">
        <v>1853.3</v>
      </c>
      <c r="G4402" s="6" t="s">
        <v>2623</v>
      </c>
    </row>
    <row r="4403" customFormat="false" ht="15" hidden="false" customHeight="true" outlineLevel="0" collapsed="false">
      <c r="A4403" s="6" t="s">
        <v>7015</v>
      </c>
      <c r="B4403" s="6" t="s">
        <v>1023</v>
      </c>
      <c r="C4403" s="6" t="s">
        <v>116</v>
      </c>
      <c r="D4403" s="13" t="n">
        <v>45921</v>
      </c>
      <c r="E4403" s="14" t="n">
        <v>1368</v>
      </c>
      <c r="F4403" s="14" t="n">
        <v>3221.3</v>
      </c>
      <c r="G4403" s="6" t="s">
        <v>2613</v>
      </c>
    </row>
    <row r="4404" customFormat="false" ht="15" hidden="false" customHeight="true" outlineLevel="0" collapsed="false">
      <c r="A4404" s="6" t="s">
        <v>7016</v>
      </c>
      <c r="B4404" s="6" t="s">
        <v>1023</v>
      </c>
      <c r="C4404" s="6" t="s">
        <v>116</v>
      </c>
      <c r="D4404" s="13" t="n">
        <v>45928</v>
      </c>
      <c r="E4404" s="14" t="n">
        <v>646.14</v>
      </c>
      <c r="F4404" s="14" t="n">
        <v>3867.44</v>
      </c>
      <c r="G4404" s="6" t="s">
        <v>2613</v>
      </c>
    </row>
    <row r="4405" customFormat="false" ht="15" hidden="false" customHeight="true" outlineLevel="0" collapsed="false">
      <c r="A4405" s="6" t="s">
        <v>7017</v>
      </c>
      <c r="B4405" s="6" t="s">
        <v>1023</v>
      </c>
      <c r="C4405" s="6" t="s">
        <v>116</v>
      </c>
      <c r="D4405" s="13" t="n">
        <v>45935</v>
      </c>
      <c r="E4405" s="14" t="n">
        <v>837.81</v>
      </c>
      <c r="F4405" s="14" t="n">
        <v>4705.25</v>
      </c>
      <c r="G4405" s="6" t="s">
        <v>2613</v>
      </c>
    </row>
    <row r="4406" customFormat="false" ht="15" hidden="false" customHeight="true" outlineLevel="0" collapsed="false">
      <c r="A4406" s="6" t="s">
        <v>7018</v>
      </c>
      <c r="B4406" s="6" t="s">
        <v>1023</v>
      </c>
      <c r="C4406" s="6" t="s">
        <v>116</v>
      </c>
      <c r="D4406" s="13" t="n">
        <v>45942</v>
      </c>
      <c r="E4406" s="14" t="n">
        <v>601.34</v>
      </c>
      <c r="F4406" s="14" t="n">
        <v>5306.59</v>
      </c>
      <c r="G4406" s="6" t="s">
        <v>2613</v>
      </c>
    </row>
    <row r="4407" customFormat="false" ht="15" hidden="false" customHeight="true" outlineLevel="0" collapsed="false">
      <c r="A4407" s="6" t="s">
        <v>7019</v>
      </c>
      <c r="B4407" s="6" t="s">
        <v>1023</v>
      </c>
      <c r="C4407" s="6" t="s">
        <v>116</v>
      </c>
      <c r="D4407" s="13" t="n">
        <v>45949</v>
      </c>
      <c r="E4407" s="14" t="n">
        <v>1180.73</v>
      </c>
      <c r="F4407" s="14" t="n">
        <v>6487.32</v>
      </c>
      <c r="G4407" s="6" t="s">
        <v>2613</v>
      </c>
    </row>
    <row r="4408" customFormat="false" ht="15" hidden="false" customHeight="true" outlineLevel="0" collapsed="false">
      <c r="A4408" s="6" t="s">
        <v>7020</v>
      </c>
      <c r="B4408" s="6" t="s">
        <v>1023</v>
      </c>
      <c r="C4408" s="6" t="s">
        <v>116</v>
      </c>
      <c r="D4408" s="13" t="n">
        <v>45956</v>
      </c>
      <c r="E4408" s="14" t="n">
        <v>1414.01</v>
      </c>
      <c r="F4408" s="14" t="n">
        <v>7901.33</v>
      </c>
      <c r="G4408" s="6" t="s">
        <v>2623</v>
      </c>
    </row>
    <row r="4409" customFormat="false" ht="15" hidden="false" customHeight="true" outlineLevel="0" collapsed="false">
      <c r="A4409" s="6" t="s">
        <v>7021</v>
      </c>
      <c r="B4409" s="6" t="s">
        <v>1025</v>
      </c>
      <c r="C4409" s="6" t="s">
        <v>128</v>
      </c>
      <c r="D4409" s="13" t="n">
        <v>45768</v>
      </c>
      <c r="E4409" s="14" t="n">
        <v>2175.32</v>
      </c>
      <c r="F4409" s="14" t="n">
        <v>2175.32</v>
      </c>
      <c r="G4409" s="6" t="s">
        <v>2613</v>
      </c>
    </row>
    <row r="4410" customFormat="false" ht="15" hidden="false" customHeight="true" outlineLevel="0" collapsed="false">
      <c r="A4410" s="6" t="s">
        <v>7022</v>
      </c>
      <c r="B4410" s="6" t="s">
        <v>1025</v>
      </c>
      <c r="C4410" s="6" t="s">
        <v>128</v>
      </c>
      <c r="D4410" s="13" t="n">
        <v>45775</v>
      </c>
      <c r="E4410" s="14" t="n">
        <v>1381.91</v>
      </c>
      <c r="F4410" s="14" t="n">
        <v>3557.23</v>
      </c>
      <c r="G4410" s="6" t="s">
        <v>2613</v>
      </c>
    </row>
    <row r="4411" customFormat="false" ht="15" hidden="false" customHeight="true" outlineLevel="0" collapsed="false">
      <c r="A4411" s="6" t="s">
        <v>7023</v>
      </c>
      <c r="B4411" s="6" t="s">
        <v>1025</v>
      </c>
      <c r="C4411" s="6" t="s">
        <v>128</v>
      </c>
      <c r="D4411" s="13" t="n">
        <v>45782</v>
      </c>
      <c r="E4411" s="14" t="n">
        <v>2599.21</v>
      </c>
      <c r="F4411" s="14" t="n">
        <v>6156.44</v>
      </c>
      <c r="G4411" s="6" t="s">
        <v>2613</v>
      </c>
    </row>
    <row r="4412" customFormat="false" ht="15" hidden="false" customHeight="true" outlineLevel="0" collapsed="false">
      <c r="A4412" s="6" t="s">
        <v>7024</v>
      </c>
      <c r="B4412" s="6" t="s">
        <v>1025</v>
      </c>
      <c r="C4412" s="6" t="s">
        <v>128</v>
      </c>
      <c r="D4412" s="13" t="n">
        <v>45789</v>
      </c>
      <c r="E4412" s="14" t="n">
        <v>1436.64</v>
      </c>
      <c r="F4412" s="14" t="n">
        <v>7593.08</v>
      </c>
      <c r="G4412" s="6" t="s">
        <v>2613</v>
      </c>
    </row>
    <row r="4413" customFormat="false" ht="15" hidden="false" customHeight="true" outlineLevel="0" collapsed="false">
      <c r="A4413" s="6" t="s">
        <v>7025</v>
      </c>
      <c r="B4413" s="6" t="s">
        <v>1025</v>
      </c>
      <c r="C4413" s="6" t="s">
        <v>128</v>
      </c>
      <c r="D4413" s="13" t="n">
        <v>45796</v>
      </c>
      <c r="E4413" s="14" t="n">
        <v>2958.3</v>
      </c>
      <c r="F4413" s="14" t="n">
        <v>10551.38</v>
      </c>
      <c r="G4413" s="6" t="s">
        <v>2613</v>
      </c>
    </row>
    <row r="4414" customFormat="false" ht="15" hidden="false" customHeight="true" outlineLevel="0" collapsed="false">
      <c r="A4414" s="6" t="s">
        <v>7026</v>
      </c>
      <c r="B4414" s="6" t="s">
        <v>1025</v>
      </c>
      <c r="C4414" s="6" t="s">
        <v>128</v>
      </c>
      <c r="D4414" s="13" t="n">
        <v>45803</v>
      </c>
      <c r="E4414" s="14" t="n">
        <v>2479.59</v>
      </c>
      <c r="F4414" s="14" t="n">
        <v>13030.97</v>
      </c>
      <c r="G4414" s="6" t="s">
        <v>2613</v>
      </c>
    </row>
    <row r="4415" customFormat="false" ht="15" hidden="false" customHeight="true" outlineLevel="0" collapsed="false">
      <c r="A4415" s="6" t="s">
        <v>7027</v>
      </c>
      <c r="B4415" s="6" t="s">
        <v>1025</v>
      </c>
      <c r="C4415" s="6" t="s">
        <v>128</v>
      </c>
      <c r="D4415" s="13" t="n">
        <v>45810</v>
      </c>
      <c r="E4415" s="14" t="n">
        <v>2588.45</v>
      </c>
      <c r="F4415" s="14" t="n">
        <v>15619.42</v>
      </c>
      <c r="G4415" s="6" t="s">
        <v>2613</v>
      </c>
    </row>
    <row r="4416" customFormat="false" ht="15" hidden="false" customHeight="true" outlineLevel="0" collapsed="false">
      <c r="A4416" s="6" t="s">
        <v>7028</v>
      </c>
      <c r="B4416" s="6" t="s">
        <v>1025</v>
      </c>
      <c r="C4416" s="6" t="s">
        <v>128</v>
      </c>
      <c r="D4416" s="13" t="n">
        <v>45817</v>
      </c>
      <c r="E4416" s="14" t="n">
        <v>1958.65</v>
      </c>
      <c r="F4416" s="14" t="n">
        <v>17578.07</v>
      </c>
      <c r="G4416" s="6" t="s">
        <v>2613</v>
      </c>
    </row>
    <row r="4417" customFormat="false" ht="15" hidden="false" customHeight="true" outlineLevel="0" collapsed="false">
      <c r="A4417" s="6" t="s">
        <v>7029</v>
      </c>
      <c r="B4417" s="6" t="s">
        <v>1027</v>
      </c>
      <c r="C4417" s="6" t="s">
        <v>116</v>
      </c>
      <c r="D4417" s="13" t="n">
        <v>44879</v>
      </c>
      <c r="E4417" s="14" t="n">
        <v>2077.33</v>
      </c>
      <c r="F4417" s="14" t="n">
        <v>2077.33</v>
      </c>
      <c r="G4417" s="6" t="s">
        <v>2613</v>
      </c>
    </row>
    <row r="4418" customFormat="false" ht="15" hidden="false" customHeight="true" outlineLevel="0" collapsed="false">
      <c r="A4418" s="6" t="s">
        <v>7030</v>
      </c>
      <c r="B4418" s="6" t="s">
        <v>1027</v>
      </c>
      <c r="C4418" s="6" t="s">
        <v>116</v>
      </c>
      <c r="D4418" s="13" t="n">
        <v>44886</v>
      </c>
      <c r="E4418" s="14" t="n">
        <v>2078.05</v>
      </c>
      <c r="F4418" s="14" t="n">
        <v>4155.38</v>
      </c>
      <c r="G4418" s="6" t="s">
        <v>2613</v>
      </c>
    </row>
    <row r="4419" customFormat="false" ht="15" hidden="false" customHeight="true" outlineLevel="0" collapsed="false">
      <c r="A4419" s="6" t="s">
        <v>7031</v>
      </c>
      <c r="B4419" s="6" t="s">
        <v>1027</v>
      </c>
      <c r="C4419" s="6" t="s">
        <v>116</v>
      </c>
      <c r="D4419" s="13" t="n">
        <v>44893</v>
      </c>
      <c r="E4419" s="14" t="n">
        <v>939.89</v>
      </c>
      <c r="F4419" s="14" t="n">
        <v>5095.27</v>
      </c>
      <c r="G4419" s="6" t="s">
        <v>2613</v>
      </c>
    </row>
    <row r="4420" customFormat="false" ht="15" hidden="false" customHeight="true" outlineLevel="0" collapsed="false">
      <c r="A4420" s="6" t="s">
        <v>7032</v>
      </c>
      <c r="B4420" s="6" t="s">
        <v>1027</v>
      </c>
      <c r="C4420" s="6" t="s">
        <v>116</v>
      </c>
      <c r="D4420" s="13" t="n">
        <v>44900</v>
      </c>
      <c r="E4420" s="14" t="n">
        <v>1834.54</v>
      </c>
      <c r="F4420" s="14" t="n">
        <v>6929.81</v>
      </c>
      <c r="G4420" s="6" t="s">
        <v>2613</v>
      </c>
    </row>
    <row r="4421" customFormat="false" ht="15" hidden="false" customHeight="true" outlineLevel="0" collapsed="false">
      <c r="A4421" s="6" t="s">
        <v>7033</v>
      </c>
      <c r="B4421" s="6" t="s">
        <v>1027</v>
      </c>
      <c r="C4421" s="6" t="s">
        <v>116</v>
      </c>
      <c r="D4421" s="13" t="n">
        <v>44907</v>
      </c>
      <c r="E4421" s="14" t="n">
        <v>1987.46</v>
      </c>
      <c r="F4421" s="14" t="n">
        <v>8917.27</v>
      </c>
      <c r="G4421" s="6" t="s">
        <v>2613</v>
      </c>
    </row>
    <row r="4422" customFormat="false" ht="15" hidden="false" customHeight="true" outlineLevel="0" collapsed="false">
      <c r="A4422" s="6" t="s">
        <v>7034</v>
      </c>
      <c r="B4422" s="6" t="s">
        <v>1027</v>
      </c>
      <c r="C4422" s="6" t="s">
        <v>116</v>
      </c>
      <c r="D4422" s="13" t="n">
        <v>44914</v>
      </c>
      <c r="E4422" s="14" t="n">
        <v>34.55</v>
      </c>
      <c r="F4422" s="14" t="n">
        <v>8951.82</v>
      </c>
      <c r="G4422" s="6" t="s">
        <v>2613</v>
      </c>
    </row>
    <row r="4423" customFormat="false" ht="15" hidden="false" customHeight="true" outlineLevel="0" collapsed="false">
      <c r="A4423" s="6" t="s">
        <v>7035</v>
      </c>
      <c r="B4423" s="6" t="s">
        <v>1029</v>
      </c>
      <c r="C4423" s="6" t="s">
        <v>112</v>
      </c>
      <c r="D4423" s="13" t="n">
        <v>46088</v>
      </c>
      <c r="E4423" s="14" t="n">
        <v>7281.63</v>
      </c>
      <c r="F4423" s="14" t="n">
        <v>7281.63</v>
      </c>
      <c r="G4423" s="6" t="s">
        <v>2613</v>
      </c>
    </row>
    <row r="4424" customFormat="false" ht="15" hidden="false" customHeight="true" outlineLevel="0" collapsed="false">
      <c r="A4424" s="6" t="s">
        <v>7036</v>
      </c>
      <c r="B4424" s="6" t="s">
        <v>1029</v>
      </c>
      <c r="C4424" s="6" t="s">
        <v>112</v>
      </c>
      <c r="D4424" s="13" t="n">
        <v>46095</v>
      </c>
      <c r="E4424" s="14" t="n">
        <v>9042</v>
      </c>
      <c r="F4424" s="14" t="n">
        <v>16323.63</v>
      </c>
      <c r="G4424" s="6" t="s">
        <v>2613</v>
      </c>
    </row>
    <row r="4425" customFormat="false" ht="15" hidden="false" customHeight="true" outlineLevel="0" collapsed="false">
      <c r="A4425" s="6" t="s">
        <v>7037</v>
      </c>
      <c r="B4425" s="6" t="s">
        <v>1029</v>
      </c>
      <c r="C4425" s="6" t="s">
        <v>112</v>
      </c>
      <c r="D4425" s="13" t="n">
        <v>46102</v>
      </c>
      <c r="E4425" s="14" t="n">
        <v>8170.75</v>
      </c>
      <c r="F4425" s="14" t="n">
        <v>24494.38</v>
      </c>
      <c r="G4425" s="6" t="s">
        <v>2613</v>
      </c>
    </row>
    <row r="4426" customFormat="false" ht="15" hidden="false" customHeight="true" outlineLevel="0" collapsed="false">
      <c r="A4426" s="6" t="s">
        <v>7038</v>
      </c>
      <c r="B4426" s="6" t="s">
        <v>1029</v>
      </c>
      <c r="C4426" s="6" t="s">
        <v>112</v>
      </c>
      <c r="D4426" s="13" t="n">
        <v>46109</v>
      </c>
      <c r="E4426" s="14" t="n">
        <v>8716.54</v>
      </c>
      <c r="F4426" s="14" t="n">
        <v>33210.92</v>
      </c>
      <c r="G4426" s="6" t="s">
        <v>2613</v>
      </c>
    </row>
    <row r="4427" customFormat="false" ht="15" hidden="false" customHeight="true" outlineLevel="0" collapsed="false">
      <c r="A4427" s="6" t="s">
        <v>7039</v>
      </c>
      <c r="B4427" s="6" t="s">
        <v>1029</v>
      </c>
      <c r="C4427" s="6" t="s">
        <v>112</v>
      </c>
      <c r="D4427" s="13" t="n">
        <v>46116</v>
      </c>
      <c r="E4427" s="14" t="n">
        <v>8925.49</v>
      </c>
      <c r="F4427" s="14" t="n">
        <v>42136.41</v>
      </c>
      <c r="G4427" s="6" t="s">
        <v>2613</v>
      </c>
    </row>
    <row r="4428" customFormat="false" ht="15" hidden="false" customHeight="true" outlineLevel="0" collapsed="false">
      <c r="A4428" s="6" t="s">
        <v>7040</v>
      </c>
      <c r="B4428" s="6" t="s">
        <v>1029</v>
      </c>
      <c r="C4428" s="6" t="s">
        <v>112</v>
      </c>
      <c r="D4428" s="13" t="n">
        <v>46123</v>
      </c>
      <c r="E4428" s="14" t="n">
        <v>5829.99</v>
      </c>
      <c r="F4428" s="14" t="n">
        <v>47966.4</v>
      </c>
      <c r="G4428" s="6" t="s">
        <v>2613</v>
      </c>
    </row>
    <row r="4429" customFormat="false" ht="15" hidden="false" customHeight="true" outlineLevel="0" collapsed="false">
      <c r="A4429" s="6" t="s">
        <v>7041</v>
      </c>
      <c r="B4429" s="6" t="s">
        <v>1029</v>
      </c>
      <c r="C4429" s="6" t="s">
        <v>112</v>
      </c>
      <c r="D4429" s="13" t="n">
        <v>46130</v>
      </c>
      <c r="E4429" s="14" t="n">
        <v>5991.86</v>
      </c>
      <c r="F4429" s="14" t="n">
        <v>53958.26</v>
      </c>
      <c r="G4429" s="6" t="s">
        <v>2613</v>
      </c>
    </row>
    <row r="4430" customFormat="false" ht="15" hidden="false" customHeight="true" outlineLevel="0" collapsed="false">
      <c r="A4430" s="6" t="s">
        <v>7042</v>
      </c>
      <c r="B4430" s="6" t="s">
        <v>1029</v>
      </c>
      <c r="C4430" s="6" t="s">
        <v>112</v>
      </c>
      <c r="D4430" s="13" t="n">
        <v>46137</v>
      </c>
      <c r="E4430" s="14" t="n">
        <v>9931.47</v>
      </c>
      <c r="F4430" s="14" t="n">
        <v>63889.73</v>
      </c>
      <c r="G4430" s="6" t="s">
        <v>2623</v>
      </c>
    </row>
    <row r="4431" customFormat="false" ht="15" hidden="false" customHeight="true" outlineLevel="0" collapsed="false">
      <c r="A4431" s="6" t="s">
        <v>7043</v>
      </c>
      <c r="B4431" s="6" t="s">
        <v>1029</v>
      </c>
      <c r="C4431" s="6" t="s">
        <v>112</v>
      </c>
      <c r="D4431" s="13" t="n">
        <v>46144</v>
      </c>
      <c r="E4431" s="14" t="n">
        <v>7652.26</v>
      </c>
      <c r="F4431" s="14" t="n">
        <v>71541.99</v>
      </c>
      <c r="G4431" s="6" t="s">
        <v>2613</v>
      </c>
    </row>
    <row r="4432" customFormat="false" ht="15" hidden="false" customHeight="true" outlineLevel="0" collapsed="false">
      <c r="A4432" s="6" t="s">
        <v>7044</v>
      </c>
      <c r="B4432" s="6" t="s">
        <v>1029</v>
      </c>
      <c r="C4432" s="6" t="s">
        <v>112</v>
      </c>
      <c r="D4432" s="13" t="n">
        <v>46151</v>
      </c>
      <c r="E4432" s="14" t="n">
        <v>5747.03</v>
      </c>
      <c r="F4432" s="14" t="n">
        <v>77289.02</v>
      </c>
      <c r="G4432" s="6" t="s">
        <v>2613</v>
      </c>
    </row>
    <row r="4433" customFormat="false" ht="15" hidden="false" customHeight="true" outlineLevel="0" collapsed="false">
      <c r="A4433" s="6" t="s">
        <v>7045</v>
      </c>
      <c r="B4433" s="6" t="s">
        <v>1029</v>
      </c>
      <c r="C4433" s="6" t="s">
        <v>112</v>
      </c>
      <c r="D4433" s="13" t="n">
        <v>46158</v>
      </c>
      <c r="E4433" s="14" t="n">
        <v>7443.07</v>
      </c>
      <c r="F4433" s="14" t="n">
        <v>84732.09</v>
      </c>
      <c r="G4433" s="6" t="s">
        <v>2613</v>
      </c>
    </row>
    <row r="4434" customFormat="false" ht="15" hidden="false" customHeight="true" outlineLevel="0" collapsed="false">
      <c r="A4434" s="6" t="s">
        <v>7046</v>
      </c>
      <c r="B4434" s="6" t="s">
        <v>1029</v>
      </c>
      <c r="C4434" s="6" t="s">
        <v>112</v>
      </c>
      <c r="D4434" s="13" t="n">
        <v>46165</v>
      </c>
      <c r="E4434" s="14" t="n">
        <v>5526.36</v>
      </c>
      <c r="F4434" s="14" t="n">
        <v>90258.45</v>
      </c>
      <c r="G4434" s="6" t="s">
        <v>2613</v>
      </c>
    </row>
    <row r="4435" customFormat="false" ht="15" hidden="false" customHeight="true" outlineLevel="0" collapsed="false">
      <c r="A4435" s="6" t="s">
        <v>7047</v>
      </c>
      <c r="B4435" s="6" t="s">
        <v>1029</v>
      </c>
      <c r="C4435" s="6" t="s">
        <v>112</v>
      </c>
      <c r="D4435" s="13" t="n">
        <v>46172</v>
      </c>
      <c r="E4435" s="14" t="n">
        <v>6925.96</v>
      </c>
      <c r="F4435" s="14" t="n">
        <v>97184.41</v>
      </c>
      <c r="G4435" s="6" t="s">
        <v>2613</v>
      </c>
    </row>
    <row r="4436" customFormat="false" ht="15" hidden="false" customHeight="true" outlineLevel="0" collapsed="false">
      <c r="A4436" s="6" t="s">
        <v>7048</v>
      </c>
      <c r="B4436" s="6" t="s">
        <v>1029</v>
      </c>
      <c r="C4436" s="6" t="s">
        <v>112</v>
      </c>
      <c r="D4436" s="13" t="n">
        <v>46179</v>
      </c>
      <c r="E4436" s="14" t="n">
        <v>4839.92</v>
      </c>
      <c r="F4436" s="14" t="n">
        <v>102024.33</v>
      </c>
      <c r="G4436" s="6" t="s">
        <v>2613</v>
      </c>
    </row>
    <row r="4437" customFormat="false" ht="15" hidden="false" customHeight="true" outlineLevel="0" collapsed="false">
      <c r="A4437" s="6" t="s">
        <v>7049</v>
      </c>
      <c r="B4437" s="6" t="s">
        <v>1029</v>
      </c>
      <c r="C4437" s="6" t="s">
        <v>112</v>
      </c>
      <c r="D4437" s="13" t="n">
        <v>46186</v>
      </c>
      <c r="E4437" s="14" t="n">
        <v>4915.15</v>
      </c>
      <c r="F4437" s="14" t="n">
        <v>106939.48</v>
      </c>
      <c r="G4437" s="6" t="s">
        <v>2613</v>
      </c>
    </row>
    <row r="4438" customFormat="false" ht="15" hidden="false" customHeight="true" outlineLevel="0" collapsed="false">
      <c r="A4438" s="6" t="s">
        <v>7050</v>
      </c>
      <c r="B4438" s="6" t="s">
        <v>1031</v>
      </c>
      <c r="C4438" s="6" t="s">
        <v>131</v>
      </c>
      <c r="D4438" s="13" t="n">
        <v>44685</v>
      </c>
      <c r="E4438" s="14" t="n">
        <v>4789.21</v>
      </c>
      <c r="F4438" s="14" t="n">
        <v>4789.21</v>
      </c>
      <c r="G4438" s="6" t="s">
        <v>2613</v>
      </c>
    </row>
    <row r="4439" customFormat="false" ht="15" hidden="false" customHeight="true" outlineLevel="0" collapsed="false">
      <c r="A4439" s="6" t="s">
        <v>7051</v>
      </c>
      <c r="B4439" s="6" t="s">
        <v>1031</v>
      </c>
      <c r="C4439" s="6" t="s">
        <v>131</v>
      </c>
      <c r="D4439" s="13" t="n">
        <v>44692</v>
      </c>
      <c r="E4439" s="14" t="n">
        <v>4135.23</v>
      </c>
      <c r="F4439" s="14" t="n">
        <v>8924.44</v>
      </c>
      <c r="G4439" s="6" t="s">
        <v>2613</v>
      </c>
    </row>
    <row r="4440" customFormat="false" ht="15" hidden="false" customHeight="true" outlineLevel="0" collapsed="false">
      <c r="A4440" s="6" t="s">
        <v>7052</v>
      </c>
      <c r="B4440" s="6" t="s">
        <v>1031</v>
      </c>
      <c r="C4440" s="6" t="s">
        <v>131</v>
      </c>
      <c r="D4440" s="13" t="n">
        <v>44699</v>
      </c>
      <c r="E4440" s="14" t="n">
        <v>4599.45</v>
      </c>
      <c r="F4440" s="14" t="n">
        <v>13523.89</v>
      </c>
      <c r="G4440" s="6" t="s">
        <v>2613</v>
      </c>
    </row>
    <row r="4441" customFormat="false" ht="15" hidden="false" customHeight="true" outlineLevel="0" collapsed="false">
      <c r="A4441" s="6" t="s">
        <v>7053</v>
      </c>
      <c r="B4441" s="6" t="s">
        <v>1031</v>
      </c>
      <c r="C4441" s="6" t="s">
        <v>131</v>
      </c>
      <c r="D4441" s="13" t="n">
        <v>44706</v>
      </c>
      <c r="E4441" s="14" t="n">
        <v>8630.23</v>
      </c>
      <c r="F4441" s="14" t="n">
        <v>22154.12</v>
      </c>
      <c r="G4441" s="6" t="s">
        <v>2613</v>
      </c>
    </row>
    <row r="4442" customFormat="false" ht="15" hidden="false" customHeight="true" outlineLevel="0" collapsed="false">
      <c r="A4442" s="6" t="s">
        <v>7054</v>
      </c>
      <c r="B4442" s="6" t="s">
        <v>1031</v>
      </c>
      <c r="C4442" s="6" t="s">
        <v>131</v>
      </c>
      <c r="D4442" s="13" t="n">
        <v>44713</v>
      </c>
      <c r="E4442" s="14" t="n">
        <v>9049.63</v>
      </c>
      <c r="F4442" s="14" t="n">
        <v>31203.75</v>
      </c>
      <c r="G4442" s="6" t="s">
        <v>2613</v>
      </c>
    </row>
    <row r="4443" customFormat="false" ht="15" hidden="false" customHeight="true" outlineLevel="0" collapsed="false">
      <c r="A4443" s="6" t="s">
        <v>7055</v>
      </c>
      <c r="B4443" s="6" t="s">
        <v>1031</v>
      </c>
      <c r="C4443" s="6" t="s">
        <v>131</v>
      </c>
      <c r="D4443" s="13" t="n">
        <v>44720</v>
      </c>
      <c r="E4443" s="14" t="n">
        <v>6120.33</v>
      </c>
      <c r="F4443" s="14" t="n">
        <v>37324.08</v>
      </c>
      <c r="G4443" s="6" t="s">
        <v>2613</v>
      </c>
    </row>
    <row r="4444" customFormat="false" ht="15" hidden="false" customHeight="true" outlineLevel="0" collapsed="false">
      <c r="A4444" s="6" t="s">
        <v>7056</v>
      </c>
      <c r="B4444" s="6" t="s">
        <v>1031</v>
      </c>
      <c r="C4444" s="6" t="s">
        <v>131</v>
      </c>
      <c r="D4444" s="13" t="n">
        <v>44727</v>
      </c>
      <c r="E4444" s="14" t="n">
        <v>5490.72</v>
      </c>
      <c r="F4444" s="14" t="n">
        <v>42814.8</v>
      </c>
      <c r="G4444" s="6" t="s">
        <v>2613</v>
      </c>
    </row>
    <row r="4445" customFormat="false" ht="15" hidden="false" customHeight="true" outlineLevel="0" collapsed="false">
      <c r="A4445" s="6" t="s">
        <v>7057</v>
      </c>
      <c r="B4445" s="6" t="s">
        <v>1031</v>
      </c>
      <c r="C4445" s="6" t="s">
        <v>131</v>
      </c>
      <c r="D4445" s="13" t="n">
        <v>44734</v>
      </c>
      <c r="E4445" s="14" t="n">
        <v>4846.68</v>
      </c>
      <c r="F4445" s="14" t="n">
        <v>47661.48</v>
      </c>
      <c r="G4445" s="6" t="s">
        <v>2613</v>
      </c>
    </row>
    <row r="4446" customFormat="false" ht="15" hidden="false" customHeight="true" outlineLevel="0" collapsed="false">
      <c r="A4446" s="6" t="s">
        <v>7058</v>
      </c>
      <c r="B4446" s="6" t="s">
        <v>1031</v>
      </c>
      <c r="C4446" s="6" t="s">
        <v>131</v>
      </c>
      <c r="D4446" s="13" t="n">
        <v>44741</v>
      </c>
      <c r="E4446" s="14" t="n">
        <v>5706.19</v>
      </c>
      <c r="F4446" s="14" t="n">
        <v>53367.67</v>
      </c>
      <c r="G4446" s="6" t="s">
        <v>2613</v>
      </c>
    </row>
    <row r="4447" customFormat="false" ht="15" hidden="false" customHeight="true" outlineLevel="0" collapsed="false">
      <c r="A4447" s="6" t="s">
        <v>7059</v>
      </c>
      <c r="B4447" s="6" t="s">
        <v>1031</v>
      </c>
      <c r="C4447" s="6" t="s">
        <v>131</v>
      </c>
      <c r="D4447" s="13" t="n">
        <v>44748</v>
      </c>
      <c r="E4447" s="14" t="n">
        <v>4412.2</v>
      </c>
      <c r="F4447" s="14" t="n">
        <v>57779.87</v>
      </c>
      <c r="G4447" s="6" t="s">
        <v>2623</v>
      </c>
    </row>
    <row r="4448" customFormat="false" ht="15" hidden="false" customHeight="true" outlineLevel="0" collapsed="false">
      <c r="A4448" s="6" t="s">
        <v>7060</v>
      </c>
      <c r="B4448" s="6" t="s">
        <v>1031</v>
      </c>
      <c r="C4448" s="6" t="s">
        <v>131</v>
      </c>
      <c r="D4448" s="13" t="n">
        <v>44755</v>
      </c>
      <c r="E4448" s="14" t="n">
        <v>8191.01</v>
      </c>
      <c r="F4448" s="14" t="n">
        <v>65970.88</v>
      </c>
      <c r="G4448" s="6" t="s">
        <v>2623</v>
      </c>
    </row>
    <row r="4449" customFormat="false" ht="15" hidden="false" customHeight="true" outlineLevel="0" collapsed="false">
      <c r="A4449" s="6" t="s">
        <v>7061</v>
      </c>
      <c r="B4449" s="6" t="s">
        <v>1031</v>
      </c>
      <c r="C4449" s="6" t="s">
        <v>131</v>
      </c>
      <c r="D4449" s="13" t="n">
        <v>44762</v>
      </c>
      <c r="E4449" s="14" t="n">
        <v>13492.03</v>
      </c>
      <c r="F4449" s="14" t="n">
        <v>79462.91</v>
      </c>
      <c r="G4449" s="6" t="s">
        <v>2613</v>
      </c>
    </row>
    <row r="4450" customFormat="false" ht="15" hidden="false" customHeight="true" outlineLevel="0" collapsed="false">
      <c r="A4450" s="6" t="s">
        <v>7062</v>
      </c>
      <c r="B4450" s="6" t="s">
        <v>1033</v>
      </c>
      <c r="C4450" s="6" t="s">
        <v>124</v>
      </c>
      <c r="D4450" s="13" t="n">
        <v>46002</v>
      </c>
      <c r="E4450" s="14" t="n">
        <v>7284.62</v>
      </c>
      <c r="F4450" s="14" t="n">
        <v>7284.62</v>
      </c>
      <c r="G4450" s="6" t="s">
        <v>2613</v>
      </c>
    </row>
    <row r="4451" customFormat="false" ht="15" hidden="false" customHeight="true" outlineLevel="0" collapsed="false">
      <c r="A4451" s="6" t="s">
        <v>7063</v>
      </c>
      <c r="B4451" s="6" t="s">
        <v>1033</v>
      </c>
      <c r="C4451" s="6" t="s">
        <v>124</v>
      </c>
      <c r="D4451" s="13" t="n">
        <v>46009</v>
      </c>
      <c r="E4451" s="14" t="n">
        <v>9954.61</v>
      </c>
      <c r="F4451" s="14" t="n">
        <v>17239.23</v>
      </c>
      <c r="G4451" s="6" t="s">
        <v>2623</v>
      </c>
    </row>
    <row r="4452" customFormat="false" ht="15" hidden="false" customHeight="true" outlineLevel="0" collapsed="false">
      <c r="A4452" s="6" t="s">
        <v>7064</v>
      </c>
      <c r="B4452" s="6" t="s">
        <v>1033</v>
      </c>
      <c r="C4452" s="6" t="s">
        <v>124</v>
      </c>
      <c r="D4452" s="13" t="n">
        <v>46016</v>
      </c>
      <c r="E4452" s="14" t="n">
        <v>12283.7</v>
      </c>
      <c r="F4452" s="14" t="n">
        <v>29522.93</v>
      </c>
      <c r="G4452" s="6" t="s">
        <v>2613</v>
      </c>
    </row>
    <row r="4453" customFormat="false" ht="15" hidden="false" customHeight="true" outlineLevel="0" collapsed="false">
      <c r="A4453" s="6" t="s">
        <v>7065</v>
      </c>
      <c r="B4453" s="6" t="s">
        <v>1033</v>
      </c>
      <c r="C4453" s="6" t="s">
        <v>124</v>
      </c>
      <c r="D4453" s="13" t="n">
        <v>46023</v>
      </c>
      <c r="E4453" s="14" t="n">
        <v>12574</v>
      </c>
      <c r="F4453" s="14" t="n">
        <v>42096.93</v>
      </c>
      <c r="G4453" s="6" t="s">
        <v>2613</v>
      </c>
    </row>
    <row r="4454" customFormat="false" ht="15" hidden="false" customHeight="true" outlineLevel="0" collapsed="false">
      <c r="A4454" s="6" t="s">
        <v>7066</v>
      </c>
      <c r="B4454" s="6" t="s">
        <v>1033</v>
      </c>
      <c r="C4454" s="6" t="s">
        <v>124</v>
      </c>
      <c r="D4454" s="13" t="n">
        <v>46030</v>
      </c>
      <c r="E4454" s="14" t="n">
        <v>8683.78</v>
      </c>
      <c r="F4454" s="14" t="n">
        <v>50780.71</v>
      </c>
      <c r="G4454" s="6" t="s">
        <v>2613</v>
      </c>
    </row>
    <row r="4455" customFormat="false" ht="15" hidden="false" customHeight="true" outlineLevel="0" collapsed="false">
      <c r="A4455" s="6" t="s">
        <v>7067</v>
      </c>
      <c r="B4455" s="6" t="s">
        <v>1033</v>
      </c>
      <c r="C4455" s="6" t="s">
        <v>124</v>
      </c>
      <c r="D4455" s="13" t="n">
        <v>46037</v>
      </c>
      <c r="E4455" s="14" t="n">
        <v>18339.44</v>
      </c>
      <c r="F4455" s="14" t="n">
        <v>69120.15</v>
      </c>
      <c r="G4455" s="6" t="s">
        <v>2613</v>
      </c>
    </row>
    <row r="4456" customFormat="false" ht="15" hidden="false" customHeight="true" outlineLevel="0" collapsed="false">
      <c r="A4456" s="6" t="s">
        <v>7068</v>
      </c>
      <c r="B4456" s="6" t="s">
        <v>1035</v>
      </c>
      <c r="C4456" s="6" t="s">
        <v>124</v>
      </c>
      <c r="D4456" s="13" t="n">
        <v>46158</v>
      </c>
      <c r="E4456" s="14" t="n">
        <v>4739.17</v>
      </c>
      <c r="F4456" s="14" t="n">
        <v>4739.17</v>
      </c>
      <c r="G4456" s="6" t="s">
        <v>2613</v>
      </c>
    </row>
    <row r="4457" customFormat="false" ht="15" hidden="false" customHeight="true" outlineLevel="0" collapsed="false">
      <c r="A4457" s="6" t="s">
        <v>7069</v>
      </c>
      <c r="B4457" s="6" t="s">
        <v>1035</v>
      </c>
      <c r="C4457" s="6" t="s">
        <v>124</v>
      </c>
      <c r="D4457" s="13" t="n">
        <v>46165</v>
      </c>
      <c r="E4457" s="14" t="n">
        <v>2732.2</v>
      </c>
      <c r="F4457" s="14" t="n">
        <v>7471.37</v>
      </c>
      <c r="G4457" s="6" t="s">
        <v>2613</v>
      </c>
    </row>
    <row r="4458" customFormat="false" ht="15" hidden="false" customHeight="true" outlineLevel="0" collapsed="false">
      <c r="A4458" s="6" t="s">
        <v>7070</v>
      </c>
      <c r="B4458" s="6" t="s">
        <v>1035</v>
      </c>
      <c r="C4458" s="6" t="s">
        <v>124</v>
      </c>
      <c r="D4458" s="13" t="n">
        <v>46172</v>
      </c>
      <c r="E4458" s="14" t="n">
        <v>4943.64</v>
      </c>
      <c r="F4458" s="14" t="n">
        <v>12415.01</v>
      </c>
      <c r="G4458" s="6" t="s">
        <v>2613</v>
      </c>
    </row>
    <row r="4459" customFormat="false" ht="15" hidden="false" customHeight="true" outlineLevel="0" collapsed="false">
      <c r="A4459" s="6" t="s">
        <v>7071</v>
      </c>
      <c r="B4459" s="6" t="s">
        <v>1035</v>
      </c>
      <c r="C4459" s="6" t="s">
        <v>124</v>
      </c>
      <c r="D4459" s="13" t="n">
        <v>46179</v>
      </c>
      <c r="E4459" s="14" t="n">
        <v>5451.14</v>
      </c>
      <c r="F4459" s="14" t="n">
        <v>17866.15</v>
      </c>
      <c r="G4459" s="6" t="s">
        <v>2613</v>
      </c>
    </row>
    <row r="4460" customFormat="false" ht="15" hidden="false" customHeight="true" outlineLevel="0" collapsed="false">
      <c r="A4460" s="6" t="s">
        <v>7072</v>
      </c>
      <c r="B4460" s="6" t="s">
        <v>1035</v>
      </c>
      <c r="C4460" s="6" t="s">
        <v>124</v>
      </c>
      <c r="D4460" s="13" t="n">
        <v>46186</v>
      </c>
      <c r="E4460" s="14" t="n">
        <v>4398.15</v>
      </c>
      <c r="F4460" s="14" t="n">
        <v>22264.3</v>
      </c>
      <c r="G4460" s="6" t="s">
        <v>2613</v>
      </c>
    </row>
    <row r="4461" customFormat="false" ht="15" hidden="false" customHeight="true" outlineLevel="0" collapsed="false">
      <c r="A4461" s="6" t="s">
        <v>7073</v>
      </c>
      <c r="B4461" s="6" t="s">
        <v>1035</v>
      </c>
      <c r="C4461" s="6" t="s">
        <v>124</v>
      </c>
      <c r="D4461" s="13" t="n">
        <v>46193</v>
      </c>
      <c r="E4461" s="14" t="n">
        <v>3938.57</v>
      </c>
      <c r="F4461" s="14" t="n">
        <v>26202.87</v>
      </c>
      <c r="G4461" s="6" t="s">
        <v>2613</v>
      </c>
    </row>
    <row r="4462" customFormat="false" ht="15" hidden="false" customHeight="true" outlineLevel="0" collapsed="false">
      <c r="A4462" s="6" t="s">
        <v>7074</v>
      </c>
      <c r="B4462" s="6" t="s">
        <v>1037</v>
      </c>
      <c r="C4462" s="6" t="s">
        <v>124</v>
      </c>
      <c r="D4462" s="13" t="n">
        <v>45772</v>
      </c>
      <c r="E4462" s="14" t="n">
        <v>3096.87</v>
      </c>
      <c r="F4462" s="14" t="n">
        <v>3096.87</v>
      </c>
      <c r="G4462" s="6" t="s">
        <v>2613</v>
      </c>
    </row>
    <row r="4463" customFormat="false" ht="15" hidden="false" customHeight="true" outlineLevel="0" collapsed="false">
      <c r="A4463" s="6" t="s">
        <v>7075</v>
      </c>
      <c r="B4463" s="6" t="s">
        <v>1037</v>
      </c>
      <c r="C4463" s="6" t="s">
        <v>124</v>
      </c>
      <c r="D4463" s="13" t="n">
        <v>45779</v>
      </c>
      <c r="E4463" s="14" t="n">
        <v>2608.92</v>
      </c>
      <c r="F4463" s="14" t="n">
        <v>5705.79</v>
      </c>
      <c r="G4463" s="6" t="s">
        <v>2613</v>
      </c>
    </row>
    <row r="4464" customFormat="false" ht="15" hidden="false" customHeight="true" outlineLevel="0" collapsed="false">
      <c r="A4464" s="6" t="s">
        <v>7076</v>
      </c>
      <c r="B4464" s="6" t="s">
        <v>1037</v>
      </c>
      <c r="C4464" s="6" t="s">
        <v>124</v>
      </c>
      <c r="D4464" s="13" t="n">
        <v>45786</v>
      </c>
      <c r="E4464" s="14" t="n">
        <v>1917.98</v>
      </c>
      <c r="F4464" s="14" t="n">
        <v>7623.77</v>
      </c>
      <c r="G4464" s="6" t="s">
        <v>2613</v>
      </c>
    </row>
    <row r="4465" customFormat="false" ht="15" hidden="false" customHeight="true" outlineLevel="0" collapsed="false">
      <c r="A4465" s="6" t="s">
        <v>7077</v>
      </c>
      <c r="B4465" s="6" t="s">
        <v>1037</v>
      </c>
      <c r="C4465" s="6" t="s">
        <v>124</v>
      </c>
      <c r="D4465" s="13" t="n">
        <v>45793</v>
      </c>
      <c r="E4465" s="14" t="n">
        <v>1752.4</v>
      </c>
      <c r="F4465" s="14" t="n">
        <v>9376.17</v>
      </c>
      <c r="G4465" s="6" t="s">
        <v>2613</v>
      </c>
    </row>
    <row r="4466" customFormat="false" ht="15" hidden="false" customHeight="true" outlineLevel="0" collapsed="false">
      <c r="A4466" s="6" t="s">
        <v>7078</v>
      </c>
      <c r="B4466" s="6" t="s">
        <v>1037</v>
      </c>
      <c r="C4466" s="6" t="s">
        <v>124</v>
      </c>
      <c r="D4466" s="13" t="n">
        <v>45800</v>
      </c>
      <c r="E4466" s="14" t="n">
        <v>2054.66</v>
      </c>
      <c r="F4466" s="14" t="n">
        <v>11430.83</v>
      </c>
      <c r="G4466" s="6" t="s">
        <v>2613</v>
      </c>
    </row>
    <row r="4467" customFormat="false" ht="15" hidden="false" customHeight="true" outlineLevel="0" collapsed="false">
      <c r="A4467" s="6" t="s">
        <v>7079</v>
      </c>
      <c r="B4467" s="6" t="s">
        <v>1037</v>
      </c>
      <c r="C4467" s="6" t="s">
        <v>124</v>
      </c>
      <c r="D4467" s="13" t="n">
        <v>45807</v>
      </c>
      <c r="E4467" s="14" t="n">
        <v>2512.37</v>
      </c>
      <c r="F4467" s="14" t="n">
        <v>13943.2</v>
      </c>
      <c r="G4467" s="6" t="s">
        <v>2613</v>
      </c>
    </row>
    <row r="4468" customFormat="false" ht="15" hidden="false" customHeight="true" outlineLevel="0" collapsed="false">
      <c r="A4468" s="6" t="s">
        <v>7080</v>
      </c>
      <c r="B4468" s="6" t="s">
        <v>1037</v>
      </c>
      <c r="C4468" s="6" t="s">
        <v>124</v>
      </c>
      <c r="D4468" s="13" t="n">
        <v>45814</v>
      </c>
      <c r="E4468" s="14" t="n">
        <v>2620.63</v>
      </c>
      <c r="F4468" s="14" t="n">
        <v>16563.83</v>
      </c>
      <c r="G4468" s="6" t="s">
        <v>2613</v>
      </c>
    </row>
    <row r="4469" customFormat="false" ht="15" hidden="false" customHeight="true" outlineLevel="0" collapsed="false">
      <c r="A4469" s="6" t="s">
        <v>7081</v>
      </c>
      <c r="B4469" s="6" t="s">
        <v>1037</v>
      </c>
      <c r="C4469" s="6" t="s">
        <v>124</v>
      </c>
      <c r="D4469" s="13" t="n">
        <v>45821</v>
      </c>
      <c r="E4469" s="14" t="n">
        <v>2584.72</v>
      </c>
      <c r="F4469" s="14" t="n">
        <v>19148.55</v>
      </c>
      <c r="G4469" s="6" t="s">
        <v>2613</v>
      </c>
    </row>
    <row r="4470" customFormat="false" ht="15" hidden="false" customHeight="true" outlineLevel="0" collapsed="false">
      <c r="A4470" s="6" t="s">
        <v>7082</v>
      </c>
      <c r="B4470" s="6" t="s">
        <v>1037</v>
      </c>
      <c r="C4470" s="6" t="s">
        <v>124</v>
      </c>
      <c r="D4470" s="13" t="n">
        <v>45828</v>
      </c>
      <c r="E4470" s="14" t="n">
        <v>2490.96</v>
      </c>
      <c r="F4470" s="14" t="n">
        <v>21639.51</v>
      </c>
      <c r="G4470" s="6" t="s">
        <v>2613</v>
      </c>
    </row>
    <row r="4471" customFormat="false" ht="15" hidden="false" customHeight="true" outlineLevel="0" collapsed="false">
      <c r="A4471" s="6" t="s">
        <v>7083</v>
      </c>
      <c r="B4471" s="6" t="s">
        <v>1037</v>
      </c>
      <c r="C4471" s="6" t="s">
        <v>124</v>
      </c>
      <c r="D4471" s="13" t="n">
        <v>45835</v>
      </c>
      <c r="E4471" s="14" t="n">
        <v>503.45</v>
      </c>
      <c r="F4471" s="14" t="n">
        <v>22142.96</v>
      </c>
      <c r="G4471" s="6" t="s">
        <v>2613</v>
      </c>
    </row>
    <row r="4472" customFormat="false" ht="15" hidden="false" customHeight="true" outlineLevel="0" collapsed="false">
      <c r="A4472" s="6" t="s">
        <v>7084</v>
      </c>
      <c r="B4472" s="6" t="s">
        <v>1039</v>
      </c>
      <c r="C4472" s="6" t="s">
        <v>120</v>
      </c>
      <c r="D4472" s="13" t="n">
        <v>45231</v>
      </c>
      <c r="E4472" s="14" t="n">
        <v>765.54</v>
      </c>
      <c r="F4472" s="14" t="n">
        <v>765.54</v>
      </c>
      <c r="G4472" s="6" t="s">
        <v>2613</v>
      </c>
    </row>
    <row r="4473" customFormat="false" ht="15" hidden="false" customHeight="true" outlineLevel="0" collapsed="false">
      <c r="A4473" s="6" t="s">
        <v>7085</v>
      </c>
      <c r="B4473" s="6" t="s">
        <v>1039</v>
      </c>
      <c r="C4473" s="6" t="s">
        <v>120</v>
      </c>
      <c r="D4473" s="13" t="n">
        <v>45238</v>
      </c>
      <c r="E4473" s="14" t="n">
        <v>721.06</v>
      </c>
      <c r="F4473" s="14" t="n">
        <v>1486.6</v>
      </c>
      <c r="G4473" s="6" t="s">
        <v>2613</v>
      </c>
    </row>
    <row r="4474" customFormat="false" ht="15" hidden="false" customHeight="true" outlineLevel="0" collapsed="false">
      <c r="A4474" s="6" t="s">
        <v>7086</v>
      </c>
      <c r="B4474" s="6" t="s">
        <v>1039</v>
      </c>
      <c r="C4474" s="6" t="s">
        <v>120</v>
      </c>
      <c r="D4474" s="13" t="n">
        <v>45245</v>
      </c>
      <c r="E4474" s="14" t="n">
        <v>768.73</v>
      </c>
      <c r="F4474" s="14" t="n">
        <v>2255.33</v>
      </c>
      <c r="G4474" s="6" t="s">
        <v>2613</v>
      </c>
    </row>
    <row r="4475" customFormat="false" ht="15" hidden="false" customHeight="true" outlineLevel="0" collapsed="false">
      <c r="A4475" s="6" t="s">
        <v>7087</v>
      </c>
      <c r="B4475" s="6" t="s">
        <v>1039</v>
      </c>
      <c r="C4475" s="6" t="s">
        <v>120</v>
      </c>
      <c r="D4475" s="13" t="n">
        <v>45252</v>
      </c>
      <c r="E4475" s="14" t="n">
        <v>478.16</v>
      </c>
      <c r="F4475" s="14" t="n">
        <v>2733.49</v>
      </c>
      <c r="G4475" s="6" t="s">
        <v>2613</v>
      </c>
    </row>
    <row r="4476" customFormat="false" ht="15" hidden="false" customHeight="true" outlineLevel="0" collapsed="false">
      <c r="A4476" s="6" t="s">
        <v>7088</v>
      </c>
      <c r="B4476" s="6" t="s">
        <v>1039</v>
      </c>
      <c r="C4476" s="6" t="s">
        <v>120</v>
      </c>
      <c r="D4476" s="13" t="n">
        <v>45259</v>
      </c>
      <c r="E4476" s="14" t="n">
        <v>468.03</v>
      </c>
      <c r="F4476" s="14" t="n">
        <v>3201.52</v>
      </c>
      <c r="G4476" s="6" t="s">
        <v>2613</v>
      </c>
    </row>
    <row r="4477" customFormat="false" ht="15" hidden="false" customHeight="true" outlineLevel="0" collapsed="false">
      <c r="A4477" s="6" t="s">
        <v>7089</v>
      </c>
      <c r="B4477" s="6" t="s">
        <v>1039</v>
      </c>
      <c r="C4477" s="6" t="s">
        <v>120</v>
      </c>
      <c r="D4477" s="13" t="n">
        <v>45266</v>
      </c>
      <c r="E4477" s="14" t="n">
        <v>431.7</v>
      </c>
      <c r="F4477" s="14" t="n">
        <v>3633.22</v>
      </c>
      <c r="G4477" s="6" t="s">
        <v>2613</v>
      </c>
    </row>
    <row r="4478" customFormat="false" ht="15" hidden="false" customHeight="true" outlineLevel="0" collapsed="false">
      <c r="A4478" s="6" t="s">
        <v>7090</v>
      </c>
      <c r="B4478" s="6" t="s">
        <v>1039</v>
      </c>
      <c r="C4478" s="6" t="s">
        <v>120</v>
      </c>
      <c r="D4478" s="13" t="n">
        <v>45273</v>
      </c>
      <c r="E4478" s="14" t="n">
        <v>555.26</v>
      </c>
      <c r="F4478" s="14" t="n">
        <v>4188.48</v>
      </c>
      <c r="G4478" s="6" t="s">
        <v>2623</v>
      </c>
    </row>
    <row r="4479" customFormat="false" ht="15" hidden="false" customHeight="true" outlineLevel="0" collapsed="false">
      <c r="A4479" s="6" t="s">
        <v>7091</v>
      </c>
      <c r="B4479" s="6" t="s">
        <v>1039</v>
      </c>
      <c r="C4479" s="6" t="s">
        <v>120</v>
      </c>
      <c r="D4479" s="13" t="n">
        <v>45280</v>
      </c>
      <c r="E4479" s="14" t="n">
        <v>455.83</v>
      </c>
      <c r="F4479" s="14" t="n">
        <v>4644.31</v>
      </c>
      <c r="G4479" s="6" t="s">
        <v>2613</v>
      </c>
    </row>
    <row r="4480" customFormat="false" ht="15" hidden="false" customHeight="true" outlineLevel="0" collapsed="false">
      <c r="A4480" s="6" t="s">
        <v>7092</v>
      </c>
      <c r="B4480" s="6" t="s">
        <v>1039</v>
      </c>
      <c r="C4480" s="6" t="s">
        <v>120</v>
      </c>
      <c r="D4480" s="13" t="n">
        <v>45287</v>
      </c>
      <c r="E4480" s="14" t="n">
        <v>637.58</v>
      </c>
      <c r="F4480" s="14" t="n">
        <v>5281.89</v>
      </c>
      <c r="G4480" s="6" t="s">
        <v>2613</v>
      </c>
    </row>
    <row r="4481" customFormat="false" ht="15" hidden="false" customHeight="true" outlineLevel="0" collapsed="false">
      <c r="A4481" s="6" t="s">
        <v>7093</v>
      </c>
      <c r="B4481" s="6" t="s">
        <v>1039</v>
      </c>
      <c r="C4481" s="6" t="s">
        <v>120</v>
      </c>
      <c r="D4481" s="13" t="n">
        <v>45294</v>
      </c>
      <c r="E4481" s="14" t="n">
        <v>487.52</v>
      </c>
      <c r="F4481" s="14" t="n">
        <v>5769.41</v>
      </c>
      <c r="G4481" s="6" t="s">
        <v>2613</v>
      </c>
    </row>
    <row r="4482" customFormat="false" ht="15" hidden="false" customHeight="true" outlineLevel="0" collapsed="false">
      <c r="A4482" s="6" t="s">
        <v>7094</v>
      </c>
      <c r="B4482" s="6" t="s">
        <v>1039</v>
      </c>
      <c r="C4482" s="6" t="s">
        <v>120</v>
      </c>
      <c r="D4482" s="13" t="n">
        <v>45301</v>
      </c>
      <c r="E4482" s="14" t="n">
        <v>1270.16</v>
      </c>
      <c r="F4482" s="14" t="n">
        <v>7039.57</v>
      </c>
      <c r="G4482" s="6" t="s">
        <v>2623</v>
      </c>
    </row>
    <row r="4483" customFormat="false" ht="15" hidden="false" customHeight="true" outlineLevel="0" collapsed="false">
      <c r="A4483" s="6" t="s">
        <v>7095</v>
      </c>
      <c r="B4483" s="6" t="s">
        <v>1041</v>
      </c>
      <c r="C4483" s="6" t="s">
        <v>112</v>
      </c>
      <c r="D4483" s="13" t="n">
        <v>45962</v>
      </c>
      <c r="E4483" s="14" t="n">
        <v>3764.13</v>
      </c>
      <c r="F4483" s="14" t="n">
        <v>3764.13</v>
      </c>
      <c r="G4483" s="6" t="s">
        <v>2613</v>
      </c>
    </row>
    <row r="4484" customFormat="false" ht="15" hidden="false" customHeight="true" outlineLevel="0" collapsed="false">
      <c r="A4484" s="6" t="s">
        <v>7096</v>
      </c>
      <c r="B4484" s="6" t="s">
        <v>1041</v>
      </c>
      <c r="C4484" s="6" t="s">
        <v>112</v>
      </c>
      <c r="D4484" s="13" t="n">
        <v>45969</v>
      </c>
      <c r="E4484" s="14" t="n">
        <v>4917.7</v>
      </c>
      <c r="F4484" s="14" t="n">
        <v>8681.83</v>
      </c>
      <c r="G4484" s="6" t="s">
        <v>2613</v>
      </c>
    </row>
    <row r="4485" customFormat="false" ht="15" hidden="false" customHeight="true" outlineLevel="0" collapsed="false">
      <c r="A4485" s="6" t="s">
        <v>7097</v>
      </c>
      <c r="B4485" s="6" t="s">
        <v>1041</v>
      </c>
      <c r="C4485" s="6" t="s">
        <v>112</v>
      </c>
      <c r="D4485" s="13" t="n">
        <v>45976</v>
      </c>
      <c r="E4485" s="14" t="n">
        <v>4086.51</v>
      </c>
      <c r="F4485" s="14" t="n">
        <v>12768.34</v>
      </c>
      <c r="G4485" s="6" t="s">
        <v>2613</v>
      </c>
    </row>
    <row r="4486" customFormat="false" ht="15" hidden="false" customHeight="true" outlineLevel="0" collapsed="false">
      <c r="A4486" s="6" t="s">
        <v>7098</v>
      </c>
      <c r="B4486" s="6" t="s">
        <v>1041</v>
      </c>
      <c r="C4486" s="6" t="s">
        <v>112</v>
      </c>
      <c r="D4486" s="13" t="n">
        <v>45983</v>
      </c>
      <c r="E4486" s="14" t="n">
        <v>3554.05</v>
      </c>
      <c r="F4486" s="14" t="n">
        <v>16322.39</v>
      </c>
      <c r="G4486" s="6" t="s">
        <v>2613</v>
      </c>
    </row>
    <row r="4487" customFormat="false" ht="15" hidden="false" customHeight="true" outlineLevel="0" collapsed="false">
      <c r="A4487" s="6" t="s">
        <v>7099</v>
      </c>
      <c r="B4487" s="6" t="s">
        <v>1041</v>
      </c>
      <c r="C4487" s="6" t="s">
        <v>112</v>
      </c>
      <c r="D4487" s="13" t="n">
        <v>45990</v>
      </c>
      <c r="E4487" s="14" t="n">
        <v>4649.84</v>
      </c>
      <c r="F4487" s="14" t="n">
        <v>20972.23</v>
      </c>
      <c r="G4487" s="6" t="s">
        <v>2613</v>
      </c>
    </row>
    <row r="4488" customFormat="false" ht="15" hidden="false" customHeight="true" outlineLevel="0" collapsed="false">
      <c r="A4488" s="6" t="s">
        <v>7100</v>
      </c>
      <c r="B4488" s="6" t="s">
        <v>1041</v>
      </c>
      <c r="C4488" s="6" t="s">
        <v>112</v>
      </c>
      <c r="D4488" s="13" t="n">
        <v>45997</v>
      </c>
      <c r="E4488" s="14" t="n">
        <v>4406.37</v>
      </c>
      <c r="F4488" s="14" t="n">
        <v>25378.6</v>
      </c>
      <c r="G4488" s="6" t="s">
        <v>2613</v>
      </c>
    </row>
    <row r="4489" customFormat="false" ht="15" hidden="false" customHeight="true" outlineLevel="0" collapsed="false">
      <c r="A4489" s="6" t="s">
        <v>7101</v>
      </c>
      <c r="B4489" s="6" t="s">
        <v>1041</v>
      </c>
      <c r="C4489" s="6" t="s">
        <v>112</v>
      </c>
      <c r="D4489" s="13" t="n">
        <v>46004</v>
      </c>
      <c r="E4489" s="14" t="n">
        <v>3865.54</v>
      </c>
      <c r="F4489" s="14" t="n">
        <v>29244.14</v>
      </c>
      <c r="G4489" s="6" t="s">
        <v>2613</v>
      </c>
    </row>
    <row r="4490" customFormat="false" ht="15" hidden="false" customHeight="true" outlineLevel="0" collapsed="false">
      <c r="A4490" s="6" t="s">
        <v>7102</v>
      </c>
      <c r="B4490" s="6" t="s">
        <v>1041</v>
      </c>
      <c r="C4490" s="6" t="s">
        <v>112</v>
      </c>
      <c r="D4490" s="13" t="n">
        <v>46011</v>
      </c>
      <c r="E4490" s="14" t="n">
        <v>2383.03</v>
      </c>
      <c r="F4490" s="14" t="n">
        <v>31627.17</v>
      </c>
      <c r="G4490" s="6" t="s">
        <v>2613</v>
      </c>
    </row>
    <row r="4491" customFormat="false" ht="15" hidden="false" customHeight="true" outlineLevel="0" collapsed="false">
      <c r="A4491" s="6" t="s">
        <v>7103</v>
      </c>
      <c r="B4491" s="6" t="s">
        <v>1041</v>
      </c>
      <c r="C4491" s="6" t="s">
        <v>112</v>
      </c>
      <c r="D4491" s="13" t="n">
        <v>46018</v>
      </c>
      <c r="E4491" s="14" t="n">
        <v>3471.26</v>
      </c>
      <c r="F4491" s="14" t="n">
        <v>35098.43</v>
      </c>
      <c r="G4491" s="6" t="s">
        <v>2613</v>
      </c>
    </row>
    <row r="4492" customFormat="false" ht="15" hidden="false" customHeight="true" outlineLevel="0" collapsed="false">
      <c r="A4492" s="6" t="s">
        <v>7104</v>
      </c>
      <c r="B4492" s="6" t="s">
        <v>1041</v>
      </c>
      <c r="C4492" s="6" t="s">
        <v>112</v>
      </c>
      <c r="D4492" s="13" t="n">
        <v>46025</v>
      </c>
      <c r="E4492" s="14" t="n">
        <v>4624.52</v>
      </c>
      <c r="F4492" s="14" t="n">
        <v>39722.95</v>
      </c>
      <c r="G4492" s="6" t="s">
        <v>2613</v>
      </c>
    </row>
    <row r="4493" customFormat="false" ht="15" hidden="false" customHeight="true" outlineLevel="0" collapsed="false">
      <c r="A4493" s="6" t="s">
        <v>7105</v>
      </c>
      <c r="B4493" s="6" t="s">
        <v>1041</v>
      </c>
      <c r="C4493" s="6" t="s">
        <v>112</v>
      </c>
      <c r="D4493" s="13" t="n">
        <v>46032</v>
      </c>
      <c r="E4493" s="14" t="n">
        <v>4883.65</v>
      </c>
      <c r="F4493" s="14" t="n">
        <v>44606.6</v>
      </c>
      <c r="G4493" s="6" t="s">
        <v>2613</v>
      </c>
    </row>
    <row r="4494" customFormat="false" ht="15" hidden="false" customHeight="true" outlineLevel="0" collapsed="false">
      <c r="A4494" s="6" t="s">
        <v>7106</v>
      </c>
      <c r="B4494" s="6" t="s">
        <v>1041</v>
      </c>
      <c r="C4494" s="6" t="s">
        <v>112</v>
      </c>
      <c r="D4494" s="13" t="n">
        <v>46039</v>
      </c>
      <c r="E4494" s="14" t="n">
        <v>4991.24</v>
      </c>
      <c r="F4494" s="14" t="n">
        <v>49597.84</v>
      </c>
      <c r="G4494" s="6" t="s">
        <v>2613</v>
      </c>
    </row>
    <row r="4495" customFormat="false" ht="15" hidden="false" customHeight="true" outlineLevel="0" collapsed="false">
      <c r="A4495" s="6" t="s">
        <v>7107</v>
      </c>
      <c r="B4495" s="6" t="s">
        <v>1041</v>
      </c>
      <c r="C4495" s="6" t="s">
        <v>112</v>
      </c>
      <c r="D4495" s="13" t="n">
        <v>46046</v>
      </c>
      <c r="E4495" s="14" t="n">
        <v>2942.2</v>
      </c>
      <c r="F4495" s="14" t="n">
        <v>52540.04</v>
      </c>
      <c r="G4495" s="6" t="s">
        <v>2613</v>
      </c>
    </row>
    <row r="4496" customFormat="false" ht="15" hidden="false" customHeight="true" outlineLevel="0" collapsed="false">
      <c r="A4496" s="6" t="s">
        <v>7108</v>
      </c>
      <c r="B4496" s="6" t="s">
        <v>1041</v>
      </c>
      <c r="C4496" s="6" t="s">
        <v>112</v>
      </c>
      <c r="D4496" s="13" t="n">
        <v>46053</v>
      </c>
      <c r="E4496" s="14" t="n">
        <v>4021.81</v>
      </c>
      <c r="F4496" s="14" t="n">
        <v>56561.85</v>
      </c>
      <c r="G4496" s="6" t="s">
        <v>2613</v>
      </c>
    </row>
    <row r="4497" customFormat="false" ht="15" hidden="false" customHeight="true" outlineLevel="0" collapsed="false">
      <c r="A4497" s="6" t="s">
        <v>7109</v>
      </c>
      <c r="B4497" s="6" t="s">
        <v>1041</v>
      </c>
      <c r="C4497" s="6" t="s">
        <v>112</v>
      </c>
      <c r="D4497" s="13" t="n">
        <v>46060</v>
      </c>
      <c r="E4497" s="14" t="n">
        <v>3150.17</v>
      </c>
      <c r="F4497" s="14" t="n">
        <v>59712.02</v>
      </c>
      <c r="G4497" s="6" t="s">
        <v>2613</v>
      </c>
    </row>
    <row r="4498" customFormat="false" ht="15" hidden="false" customHeight="true" outlineLevel="0" collapsed="false">
      <c r="A4498" s="6" t="s">
        <v>7110</v>
      </c>
      <c r="B4498" s="6" t="s">
        <v>1041</v>
      </c>
      <c r="C4498" s="6" t="s">
        <v>112</v>
      </c>
      <c r="D4498" s="13" t="n">
        <v>46067</v>
      </c>
      <c r="E4498" s="14" t="n">
        <v>2365.62</v>
      </c>
      <c r="F4498" s="14" t="n">
        <v>62077.64</v>
      </c>
      <c r="G4498" s="6" t="s">
        <v>2613</v>
      </c>
    </row>
    <row r="4499" customFormat="false" ht="15" hidden="false" customHeight="true" outlineLevel="0" collapsed="false">
      <c r="A4499" s="6" t="s">
        <v>7111</v>
      </c>
      <c r="B4499" s="6" t="s">
        <v>1041</v>
      </c>
      <c r="C4499" s="6" t="s">
        <v>112</v>
      </c>
      <c r="D4499" s="13" t="n">
        <v>46074</v>
      </c>
      <c r="E4499" s="14" t="n">
        <v>4962.07</v>
      </c>
      <c r="F4499" s="14" t="n">
        <v>67039.71</v>
      </c>
      <c r="G4499" s="6" t="s">
        <v>2613</v>
      </c>
    </row>
    <row r="4500" customFormat="false" ht="15" hidden="false" customHeight="true" outlineLevel="0" collapsed="false">
      <c r="A4500" s="6" t="s">
        <v>7112</v>
      </c>
      <c r="B4500" s="6" t="s">
        <v>1041</v>
      </c>
      <c r="C4500" s="6" t="s">
        <v>112</v>
      </c>
      <c r="D4500" s="13" t="n">
        <v>46081</v>
      </c>
      <c r="E4500" s="14" t="n">
        <v>3045.44</v>
      </c>
      <c r="F4500" s="14" t="n">
        <v>70085.15</v>
      </c>
      <c r="G4500" s="6" t="s">
        <v>2613</v>
      </c>
    </row>
    <row r="4501" customFormat="false" ht="15" hidden="false" customHeight="true" outlineLevel="0" collapsed="false">
      <c r="A4501" s="6" t="s">
        <v>7113</v>
      </c>
      <c r="B4501" s="6" t="s">
        <v>1041</v>
      </c>
      <c r="C4501" s="6" t="s">
        <v>112</v>
      </c>
      <c r="D4501" s="13" t="n">
        <v>46088</v>
      </c>
      <c r="E4501" s="14" t="n">
        <v>2371.12</v>
      </c>
      <c r="F4501" s="14" t="n">
        <v>72456.27</v>
      </c>
      <c r="G4501" s="6" t="s">
        <v>2613</v>
      </c>
    </row>
    <row r="4502" customFormat="false" ht="15" hidden="false" customHeight="true" outlineLevel="0" collapsed="false">
      <c r="A4502" s="6" t="s">
        <v>7114</v>
      </c>
      <c r="B4502" s="6" t="s">
        <v>1041</v>
      </c>
      <c r="C4502" s="6" t="s">
        <v>112</v>
      </c>
      <c r="D4502" s="13" t="n">
        <v>46095</v>
      </c>
      <c r="E4502" s="14" t="n">
        <v>3596.98</v>
      </c>
      <c r="F4502" s="14" t="n">
        <v>76053.25</v>
      </c>
      <c r="G4502" s="6" t="s">
        <v>2613</v>
      </c>
    </row>
    <row r="4503" customFormat="false" ht="15" hidden="false" customHeight="true" outlineLevel="0" collapsed="false">
      <c r="A4503" s="6" t="s">
        <v>7115</v>
      </c>
      <c r="B4503" s="6" t="s">
        <v>1041</v>
      </c>
      <c r="C4503" s="6" t="s">
        <v>112</v>
      </c>
      <c r="D4503" s="13" t="n">
        <v>46102</v>
      </c>
      <c r="E4503" s="14" t="n">
        <v>3539.27</v>
      </c>
      <c r="F4503" s="14" t="n">
        <v>79592.52</v>
      </c>
      <c r="G4503" s="6" t="s">
        <v>2613</v>
      </c>
    </row>
    <row r="4504" customFormat="false" ht="15" hidden="false" customHeight="true" outlineLevel="0" collapsed="false">
      <c r="A4504" s="6" t="s">
        <v>7116</v>
      </c>
      <c r="B4504" s="6" t="s">
        <v>1041</v>
      </c>
      <c r="C4504" s="6" t="s">
        <v>112</v>
      </c>
      <c r="D4504" s="13" t="n">
        <v>46109</v>
      </c>
      <c r="E4504" s="14" t="n">
        <v>4656.17</v>
      </c>
      <c r="F4504" s="14" t="n">
        <v>84248.69</v>
      </c>
      <c r="G4504" s="6" t="s">
        <v>2613</v>
      </c>
    </row>
    <row r="4505" customFormat="false" ht="15" hidden="false" customHeight="true" outlineLevel="0" collapsed="false">
      <c r="A4505" s="6" t="s">
        <v>7117</v>
      </c>
      <c r="B4505" s="6" t="s">
        <v>1041</v>
      </c>
      <c r="C4505" s="6" t="s">
        <v>112</v>
      </c>
      <c r="D4505" s="13" t="n">
        <v>46116</v>
      </c>
      <c r="E4505" s="14" t="n">
        <v>4692.26</v>
      </c>
      <c r="F4505" s="14" t="n">
        <v>88940.95</v>
      </c>
      <c r="G4505" s="6" t="s">
        <v>2613</v>
      </c>
    </row>
    <row r="4506" customFormat="false" ht="15" hidden="false" customHeight="true" outlineLevel="0" collapsed="false">
      <c r="A4506" s="6" t="s">
        <v>7118</v>
      </c>
      <c r="B4506" s="6" t="s">
        <v>1041</v>
      </c>
      <c r="C4506" s="6" t="s">
        <v>112</v>
      </c>
      <c r="D4506" s="13" t="n">
        <v>46123</v>
      </c>
      <c r="E4506" s="14" t="n">
        <v>3499.51</v>
      </c>
      <c r="F4506" s="14" t="n">
        <v>92440.46</v>
      </c>
      <c r="G4506" s="6" t="s">
        <v>2613</v>
      </c>
    </row>
    <row r="4507" customFormat="false" ht="15" hidden="false" customHeight="true" outlineLevel="0" collapsed="false">
      <c r="A4507" s="6" t="s">
        <v>7119</v>
      </c>
      <c r="B4507" s="6" t="s">
        <v>1041</v>
      </c>
      <c r="C4507" s="6" t="s">
        <v>112</v>
      </c>
      <c r="D4507" s="13" t="n">
        <v>46130</v>
      </c>
      <c r="E4507" s="14" t="n">
        <v>5038.55</v>
      </c>
      <c r="F4507" s="14" t="n">
        <v>97479.01</v>
      </c>
      <c r="G4507" s="6" t="s">
        <v>2613</v>
      </c>
    </row>
    <row r="4508" customFormat="false" ht="15" hidden="false" customHeight="true" outlineLevel="0" collapsed="false">
      <c r="A4508" s="6" t="s">
        <v>7120</v>
      </c>
      <c r="B4508" s="6" t="s">
        <v>1043</v>
      </c>
      <c r="C4508" s="6" t="s">
        <v>131</v>
      </c>
      <c r="D4508" s="13" t="n">
        <v>46055</v>
      </c>
      <c r="E4508" s="14" t="n">
        <v>4072.57</v>
      </c>
      <c r="F4508" s="14" t="n">
        <v>4072.57</v>
      </c>
      <c r="G4508" s="6" t="s">
        <v>2613</v>
      </c>
    </row>
    <row r="4509" customFormat="false" ht="15" hidden="false" customHeight="true" outlineLevel="0" collapsed="false">
      <c r="A4509" s="6" t="s">
        <v>7121</v>
      </c>
      <c r="B4509" s="6" t="s">
        <v>1043</v>
      </c>
      <c r="C4509" s="6" t="s">
        <v>131</v>
      </c>
      <c r="D4509" s="13" t="n">
        <v>46062</v>
      </c>
      <c r="E4509" s="14" t="n">
        <v>3555.79</v>
      </c>
      <c r="F4509" s="14" t="n">
        <v>7628.36</v>
      </c>
      <c r="G4509" s="6" t="s">
        <v>2613</v>
      </c>
    </row>
    <row r="4510" customFormat="false" ht="15" hidden="false" customHeight="true" outlineLevel="0" collapsed="false">
      <c r="A4510" s="6" t="s">
        <v>7122</v>
      </c>
      <c r="B4510" s="6" t="s">
        <v>1043</v>
      </c>
      <c r="C4510" s="6" t="s">
        <v>131</v>
      </c>
      <c r="D4510" s="13" t="n">
        <v>46069</v>
      </c>
      <c r="E4510" s="14" t="n">
        <v>7271.12</v>
      </c>
      <c r="F4510" s="14" t="n">
        <v>14899.48</v>
      </c>
      <c r="G4510" s="6" t="s">
        <v>2623</v>
      </c>
    </row>
    <row r="4511" customFormat="false" ht="15" hidden="false" customHeight="true" outlineLevel="0" collapsed="false">
      <c r="A4511" s="6" t="s">
        <v>7123</v>
      </c>
      <c r="B4511" s="6" t="s">
        <v>1043</v>
      </c>
      <c r="C4511" s="6" t="s">
        <v>131</v>
      </c>
      <c r="D4511" s="13" t="n">
        <v>46076</v>
      </c>
      <c r="E4511" s="14" t="n">
        <v>3770.94</v>
      </c>
      <c r="F4511" s="14" t="n">
        <v>18670.42</v>
      </c>
      <c r="G4511" s="6" t="s">
        <v>2613</v>
      </c>
    </row>
    <row r="4512" customFormat="false" ht="15" hidden="false" customHeight="true" outlineLevel="0" collapsed="false">
      <c r="A4512" s="6" t="s">
        <v>7124</v>
      </c>
      <c r="B4512" s="6" t="s">
        <v>1043</v>
      </c>
      <c r="C4512" s="6" t="s">
        <v>131</v>
      </c>
      <c r="D4512" s="13" t="n">
        <v>46083</v>
      </c>
      <c r="E4512" s="14" t="n">
        <v>4320.87</v>
      </c>
      <c r="F4512" s="14" t="n">
        <v>22991.29</v>
      </c>
      <c r="G4512" s="6" t="s">
        <v>2613</v>
      </c>
    </row>
    <row r="4513" customFormat="false" ht="15" hidden="false" customHeight="true" outlineLevel="0" collapsed="false">
      <c r="A4513" s="6" t="s">
        <v>7125</v>
      </c>
      <c r="B4513" s="6" t="s">
        <v>1043</v>
      </c>
      <c r="C4513" s="6" t="s">
        <v>131</v>
      </c>
      <c r="D4513" s="13" t="n">
        <v>46090</v>
      </c>
      <c r="E4513" s="14" t="n">
        <v>6093.53</v>
      </c>
      <c r="F4513" s="14" t="n">
        <v>29084.82</v>
      </c>
      <c r="G4513" s="6" t="s">
        <v>2613</v>
      </c>
    </row>
    <row r="4514" customFormat="false" ht="15" hidden="false" customHeight="true" outlineLevel="0" collapsed="false">
      <c r="A4514" s="6" t="s">
        <v>7126</v>
      </c>
      <c r="B4514" s="6" t="s">
        <v>1043</v>
      </c>
      <c r="C4514" s="6" t="s">
        <v>131</v>
      </c>
      <c r="D4514" s="13" t="n">
        <v>46097</v>
      </c>
      <c r="E4514" s="14" t="n">
        <v>7097.01</v>
      </c>
      <c r="F4514" s="14" t="n">
        <v>36181.83</v>
      </c>
      <c r="G4514" s="6" t="s">
        <v>2613</v>
      </c>
    </row>
    <row r="4515" customFormat="false" ht="15" hidden="false" customHeight="true" outlineLevel="0" collapsed="false">
      <c r="A4515" s="6" t="s">
        <v>7127</v>
      </c>
      <c r="B4515" s="6" t="s">
        <v>1043</v>
      </c>
      <c r="C4515" s="6" t="s">
        <v>131</v>
      </c>
      <c r="D4515" s="13" t="n">
        <v>46104</v>
      </c>
      <c r="E4515" s="14" t="n">
        <v>3916.78</v>
      </c>
      <c r="F4515" s="14" t="n">
        <v>40098.61</v>
      </c>
      <c r="G4515" s="6" t="s">
        <v>2623</v>
      </c>
    </row>
    <row r="4516" customFormat="false" ht="15" hidden="false" customHeight="true" outlineLevel="0" collapsed="false">
      <c r="A4516" s="6" t="s">
        <v>7128</v>
      </c>
      <c r="B4516" s="6" t="s">
        <v>1043</v>
      </c>
      <c r="C4516" s="6" t="s">
        <v>131</v>
      </c>
      <c r="D4516" s="13" t="n">
        <v>46111</v>
      </c>
      <c r="E4516" s="14" t="n">
        <v>7207.53</v>
      </c>
      <c r="F4516" s="14" t="n">
        <v>47306.14</v>
      </c>
      <c r="G4516" s="6" t="s">
        <v>2613</v>
      </c>
    </row>
    <row r="4517" customFormat="false" ht="15" hidden="false" customHeight="true" outlineLevel="0" collapsed="false">
      <c r="A4517" s="6" t="s">
        <v>7129</v>
      </c>
      <c r="B4517" s="6" t="s">
        <v>1043</v>
      </c>
      <c r="C4517" s="6" t="s">
        <v>131</v>
      </c>
      <c r="D4517" s="13" t="n">
        <v>46118</v>
      </c>
      <c r="E4517" s="14" t="n">
        <v>5538.56</v>
      </c>
      <c r="F4517" s="14" t="n">
        <v>52844.7</v>
      </c>
      <c r="G4517" s="6" t="s">
        <v>2613</v>
      </c>
    </row>
    <row r="4518" customFormat="false" ht="15" hidden="false" customHeight="true" outlineLevel="0" collapsed="false">
      <c r="A4518" s="6" t="s">
        <v>7130</v>
      </c>
      <c r="B4518" s="6" t="s">
        <v>1043</v>
      </c>
      <c r="C4518" s="6" t="s">
        <v>131</v>
      </c>
      <c r="D4518" s="13" t="n">
        <v>46125</v>
      </c>
      <c r="E4518" s="14" t="n">
        <v>3508.27</v>
      </c>
      <c r="F4518" s="14" t="n">
        <v>56352.97</v>
      </c>
      <c r="G4518" s="6" t="s">
        <v>2613</v>
      </c>
    </row>
    <row r="4519" customFormat="false" ht="15" hidden="false" customHeight="true" outlineLevel="0" collapsed="false">
      <c r="A4519" s="6" t="s">
        <v>7131</v>
      </c>
      <c r="B4519" s="6" t="s">
        <v>1043</v>
      </c>
      <c r="C4519" s="6" t="s">
        <v>131</v>
      </c>
      <c r="D4519" s="13" t="n">
        <v>46132</v>
      </c>
      <c r="E4519" s="14" t="n">
        <v>6956.72</v>
      </c>
      <c r="F4519" s="14" t="n">
        <v>63309.69</v>
      </c>
      <c r="G4519" s="6" t="s">
        <v>2613</v>
      </c>
    </row>
    <row r="4520" customFormat="false" ht="15" hidden="false" customHeight="true" outlineLevel="0" collapsed="false">
      <c r="A4520" s="6" t="s">
        <v>7132</v>
      </c>
      <c r="B4520" s="6" t="s">
        <v>1043</v>
      </c>
      <c r="C4520" s="6" t="s">
        <v>131</v>
      </c>
      <c r="D4520" s="13" t="n">
        <v>46139</v>
      </c>
      <c r="E4520" s="14" t="n">
        <v>3228.58</v>
      </c>
      <c r="F4520" s="14" t="n">
        <v>66538.27</v>
      </c>
      <c r="G4520" s="6" t="s">
        <v>2613</v>
      </c>
    </row>
    <row r="4521" customFormat="false" ht="15" hidden="false" customHeight="true" outlineLevel="0" collapsed="false">
      <c r="A4521" s="6" t="s">
        <v>7133</v>
      </c>
      <c r="B4521" s="6" t="s">
        <v>1043</v>
      </c>
      <c r="C4521" s="6" t="s">
        <v>131</v>
      </c>
      <c r="D4521" s="13" t="n">
        <v>46146</v>
      </c>
      <c r="E4521" s="14" t="n">
        <v>6551.48</v>
      </c>
      <c r="F4521" s="14" t="n">
        <v>73089.75</v>
      </c>
      <c r="G4521" s="6" t="s">
        <v>2613</v>
      </c>
    </row>
    <row r="4522" customFormat="false" ht="15" hidden="false" customHeight="true" outlineLevel="0" collapsed="false">
      <c r="A4522" s="6" t="s">
        <v>7134</v>
      </c>
      <c r="B4522" s="6" t="s">
        <v>1043</v>
      </c>
      <c r="C4522" s="6" t="s">
        <v>131</v>
      </c>
      <c r="D4522" s="13" t="n">
        <v>46153</v>
      </c>
      <c r="E4522" s="14" t="n">
        <v>7261.62</v>
      </c>
      <c r="F4522" s="14" t="n">
        <v>80351.37</v>
      </c>
      <c r="G4522" s="6" t="s">
        <v>2613</v>
      </c>
    </row>
    <row r="4523" customFormat="false" ht="15" hidden="false" customHeight="true" outlineLevel="0" collapsed="false">
      <c r="A4523" s="6" t="s">
        <v>7135</v>
      </c>
      <c r="B4523" s="6" t="s">
        <v>1043</v>
      </c>
      <c r="C4523" s="6" t="s">
        <v>131</v>
      </c>
      <c r="D4523" s="13" t="n">
        <v>46160</v>
      </c>
      <c r="E4523" s="14" t="n">
        <v>3700.19</v>
      </c>
      <c r="F4523" s="14" t="n">
        <v>84051.56</v>
      </c>
      <c r="G4523" s="6" t="s">
        <v>2613</v>
      </c>
    </row>
    <row r="4524" customFormat="false" ht="15" hidden="false" customHeight="true" outlineLevel="0" collapsed="false">
      <c r="A4524" s="6" t="s">
        <v>7136</v>
      </c>
      <c r="B4524" s="6" t="s">
        <v>1043</v>
      </c>
      <c r="C4524" s="6" t="s">
        <v>131</v>
      </c>
      <c r="D4524" s="13" t="n">
        <v>46167</v>
      </c>
      <c r="E4524" s="14" t="n">
        <v>7020.68</v>
      </c>
      <c r="F4524" s="14" t="n">
        <v>91072.24</v>
      </c>
      <c r="G4524" s="6" t="s">
        <v>2613</v>
      </c>
    </row>
    <row r="4525" customFormat="false" ht="15" hidden="false" customHeight="true" outlineLevel="0" collapsed="false">
      <c r="A4525" s="6" t="s">
        <v>7137</v>
      </c>
      <c r="B4525" s="6" t="s">
        <v>1045</v>
      </c>
      <c r="C4525" s="6" t="s">
        <v>128</v>
      </c>
      <c r="D4525" s="13" t="n">
        <v>45685</v>
      </c>
      <c r="E4525" s="14" t="n">
        <v>1022.1</v>
      </c>
      <c r="F4525" s="14" t="n">
        <v>1022.1</v>
      </c>
      <c r="G4525" s="6" t="s">
        <v>2613</v>
      </c>
    </row>
    <row r="4526" customFormat="false" ht="15" hidden="false" customHeight="true" outlineLevel="0" collapsed="false">
      <c r="A4526" s="6" t="s">
        <v>7138</v>
      </c>
      <c r="B4526" s="6" t="s">
        <v>1045</v>
      </c>
      <c r="C4526" s="6" t="s">
        <v>128</v>
      </c>
      <c r="D4526" s="13" t="n">
        <v>45692</v>
      </c>
      <c r="E4526" s="14" t="n">
        <v>1058.1</v>
      </c>
      <c r="F4526" s="14" t="n">
        <v>2080.2</v>
      </c>
      <c r="G4526" s="6" t="s">
        <v>2613</v>
      </c>
    </row>
    <row r="4527" customFormat="false" ht="15" hidden="false" customHeight="true" outlineLevel="0" collapsed="false">
      <c r="A4527" s="6" t="s">
        <v>7139</v>
      </c>
      <c r="B4527" s="6" t="s">
        <v>1045</v>
      </c>
      <c r="C4527" s="6" t="s">
        <v>128</v>
      </c>
      <c r="D4527" s="13" t="n">
        <v>45699</v>
      </c>
      <c r="E4527" s="14" t="n">
        <v>1072.07</v>
      </c>
      <c r="F4527" s="14" t="n">
        <v>3152.27</v>
      </c>
      <c r="G4527" s="6" t="s">
        <v>2613</v>
      </c>
    </row>
    <row r="4528" customFormat="false" ht="15" hidden="false" customHeight="true" outlineLevel="0" collapsed="false">
      <c r="A4528" s="6" t="s">
        <v>7140</v>
      </c>
      <c r="B4528" s="6" t="s">
        <v>1045</v>
      </c>
      <c r="C4528" s="6" t="s">
        <v>128</v>
      </c>
      <c r="D4528" s="13" t="n">
        <v>45706</v>
      </c>
      <c r="E4528" s="14" t="n">
        <v>672.06</v>
      </c>
      <c r="F4528" s="14" t="n">
        <v>3824.33</v>
      </c>
      <c r="G4528" s="6" t="s">
        <v>2613</v>
      </c>
    </row>
    <row r="4529" customFormat="false" ht="15" hidden="false" customHeight="true" outlineLevel="0" collapsed="false">
      <c r="A4529" s="6" t="s">
        <v>7141</v>
      </c>
      <c r="B4529" s="6" t="s">
        <v>1045</v>
      </c>
      <c r="C4529" s="6" t="s">
        <v>128</v>
      </c>
      <c r="D4529" s="13" t="n">
        <v>45713</v>
      </c>
      <c r="E4529" s="14" t="n">
        <v>885.86</v>
      </c>
      <c r="F4529" s="14" t="n">
        <v>4710.19</v>
      </c>
      <c r="G4529" s="6" t="s">
        <v>2613</v>
      </c>
    </row>
    <row r="4530" customFormat="false" ht="15" hidden="false" customHeight="true" outlineLevel="0" collapsed="false">
      <c r="A4530" s="6" t="s">
        <v>7142</v>
      </c>
      <c r="B4530" s="6" t="s">
        <v>1045</v>
      </c>
      <c r="C4530" s="6" t="s">
        <v>128</v>
      </c>
      <c r="D4530" s="13" t="n">
        <v>45720</v>
      </c>
      <c r="E4530" s="14" t="n">
        <v>1071.45</v>
      </c>
      <c r="F4530" s="14" t="n">
        <v>5781.64</v>
      </c>
      <c r="G4530" s="6" t="s">
        <v>2613</v>
      </c>
    </row>
    <row r="4531" customFormat="false" ht="15" hidden="false" customHeight="true" outlineLevel="0" collapsed="false">
      <c r="A4531" s="6" t="s">
        <v>7143</v>
      </c>
      <c r="B4531" s="6" t="s">
        <v>1045</v>
      </c>
      <c r="C4531" s="6" t="s">
        <v>128</v>
      </c>
      <c r="D4531" s="13" t="n">
        <v>45727</v>
      </c>
      <c r="E4531" s="14" t="n">
        <v>372.2</v>
      </c>
      <c r="F4531" s="14" t="n">
        <v>6153.84</v>
      </c>
      <c r="G4531" s="6" t="s">
        <v>2613</v>
      </c>
    </row>
    <row r="4532" customFormat="false" ht="15" hidden="false" customHeight="true" outlineLevel="0" collapsed="false">
      <c r="A4532" s="6" t="s">
        <v>7144</v>
      </c>
      <c r="B4532" s="6" t="s">
        <v>1047</v>
      </c>
      <c r="C4532" s="6" t="s">
        <v>124</v>
      </c>
      <c r="D4532" s="13" t="n">
        <v>44706</v>
      </c>
      <c r="E4532" s="14" t="n">
        <v>7769.67</v>
      </c>
      <c r="F4532" s="14" t="n">
        <v>7769.67</v>
      </c>
      <c r="G4532" s="6" t="s">
        <v>2613</v>
      </c>
    </row>
    <row r="4533" customFormat="false" ht="15" hidden="false" customHeight="true" outlineLevel="0" collapsed="false">
      <c r="A4533" s="6" t="s">
        <v>7145</v>
      </c>
      <c r="B4533" s="6" t="s">
        <v>1047</v>
      </c>
      <c r="C4533" s="6" t="s">
        <v>124</v>
      </c>
      <c r="D4533" s="13" t="n">
        <v>44713</v>
      </c>
      <c r="E4533" s="14" t="n">
        <v>7506.13</v>
      </c>
      <c r="F4533" s="14" t="n">
        <v>15275.8</v>
      </c>
      <c r="G4533" s="6" t="s">
        <v>2613</v>
      </c>
    </row>
    <row r="4534" customFormat="false" ht="15" hidden="false" customHeight="true" outlineLevel="0" collapsed="false">
      <c r="A4534" s="6" t="s">
        <v>7146</v>
      </c>
      <c r="B4534" s="6" t="s">
        <v>1047</v>
      </c>
      <c r="C4534" s="6" t="s">
        <v>124</v>
      </c>
      <c r="D4534" s="13" t="n">
        <v>44720</v>
      </c>
      <c r="E4534" s="14" t="n">
        <v>5922.72</v>
      </c>
      <c r="F4534" s="14" t="n">
        <v>21198.52</v>
      </c>
      <c r="G4534" s="6" t="s">
        <v>2613</v>
      </c>
    </row>
    <row r="4535" customFormat="false" ht="15" hidden="false" customHeight="true" outlineLevel="0" collapsed="false">
      <c r="A4535" s="6" t="s">
        <v>7147</v>
      </c>
      <c r="B4535" s="6" t="s">
        <v>1047</v>
      </c>
      <c r="C4535" s="6" t="s">
        <v>124</v>
      </c>
      <c r="D4535" s="13" t="n">
        <v>44727</v>
      </c>
      <c r="E4535" s="14" t="n">
        <v>5486.4</v>
      </c>
      <c r="F4535" s="14" t="n">
        <v>26684.92</v>
      </c>
      <c r="G4535" s="6" t="s">
        <v>2613</v>
      </c>
    </row>
    <row r="4536" customFormat="false" ht="15" hidden="false" customHeight="true" outlineLevel="0" collapsed="false">
      <c r="A4536" s="6" t="s">
        <v>7148</v>
      </c>
      <c r="B4536" s="6" t="s">
        <v>1047</v>
      </c>
      <c r="C4536" s="6" t="s">
        <v>124</v>
      </c>
      <c r="D4536" s="13" t="n">
        <v>44734</v>
      </c>
      <c r="E4536" s="14" t="n">
        <v>3856.02</v>
      </c>
      <c r="F4536" s="14" t="n">
        <v>30540.94</v>
      </c>
      <c r="G4536" s="6" t="s">
        <v>2613</v>
      </c>
    </row>
    <row r="4537" customFormat="false" ht="15" hidden="false" customHeight="true" outlineLevel="0" collapsed="false">
      <c r="A4537" s="6" t="s">
        <v>7149</v>
      </c>
      <c r="B4537" s="6" t="s">
        <v>1047</v>
      </c>
      <c r="C4537" s="6" t="s">
        <v>124</v>
      </c>
      <c r="D4537" s="13" t="n">
        <v>44741</v>
      </c>
      <c r="E4537" s="14" t="n">
        <v>6477.24</v>
      </c>
      <c r="F4537" s="14" t="n">
        <v>37018.18</v>
      </c>
      <c r="G4537" s="6" t="s">
        <v>2623</v>
      </c>
    </row>
    <row r="4538" customFormat="false" ht="15" hidden="false" customHeight="true" outlineLevel="0" collapsed="false">
      <c r="A4538" s="6" t="s">
        <v>7150</v>
      </c>
      <c r="B4538" s="6" t="s">
        <v>1047</v>
      </c>
      <c r="C4538" s="6" t="s">
        <v>124</v>
      </c>
      <c r="D4538" s="13" t="n">
        <v>44748</v>
      </c>
      <c r="E4538" s="14" t="n">
        <v>5887.54</v>
      </c>
      <c r="F4538" s="14" t="n">
        <v>42905.72</v>
      </c>
      <c r="G4538" s="6" t="s">
        <v>2613</v>
      </c>
    </row>
    <row r="4539" customFormat="false" ht="15" hidden="false" customHeight="true" outlineLevel="0" collapsed="false">
      <c r="A4539" s="6" t="s">
        <v>7151</v>
      </c>
      <c r="B4539" s="6" t="s">
        <v>1049</v>
      </c>
      <c r="C4539" s="6" t="s">
        <v>120</v>
      </c>
      <c r="D4539" s="13" t="n">
        <v>44807</v>
      </c>
      <c r="E4539" s="14" t="n">
        <v>5851.2</v>
      </c>
      <c r="F4539" s="14" t="n">
        <v>5851.2</v>
      </c>
      <c r="G4539" s="6" t="s">
        <v>2613</v>
      </c>
    </row>
    <row r="4540" customFormat="false" ht="15" hidden="false" customHeight="true" outlineLevel="0" collapsed="false">
      <c r="A4540" s="6" t="s">
        <v>7152</v>
      </c>
      <c r="B4540" s="6" t="s">
        <v>1049</v>
      </c>
      <c r="C4540" s="6" t="s">
        <v>120</v>
      </c>
      <c r="D4540" s="13" t="n">
        <v>44814</v>
      </c>
      <c r="E4540" s="14" t="n">
        <v>6784.81</v>
      </c>
      <c r="F4540" s="14" t="n">
        <v>12636.01</v>
      </c>
      <c r="G4540" s="6" t="s">
        <v>2613</v>
      </c>
    </row>
    <row r="4541" customFormat="false" ht="15" hidden="false" customHeight="true" outlineLevel="0" collapsed="false">
      <c r="A4541" s="6" t="s">
        <v>7153</v>
      </c>
      <c r="B4541" s="6" t="s">
        <v>1049</v>
      </c>
      <c r="C4541" s="6" t="s">
        <v>120</v>
      </c>
      <c r="D4541" s="13" t="n">
        <v>44821</v>
      </c>
      <c r="E4541" s="14" t="n">
        <v>7005.85</v>
      </c>
      <c r="F4541" s="14" t="n">
        <v>19641.86</v>
      </c>
      <c r="G4541" s="6" t="s">
        <v>2613</v>
      </c>
    </row>
    <row r="4542" customFormat="false" ht="15" hidden="false" customHeight="true" outlineLevel="0" collapsed="false">
      <c r="A4542" s="6" t="s">
        <v>7154</v>
      </c>
      <c r="B4542" s="6" t="s">
        <v>1049</v>
      </c>
      <c r="C4542" s="6" t="s">
        <v>120</v>
      </c>
      <c r="D4542" s="13" t="n">
        <v>44828</v>
      </c>
      <c r="E4542" s="14" t="n">
        <v>6230.46</v>
      </c>
      <c r="F4542" s="14" t="n">
        <v>25872.32</v>
      </c>
      <c r="G4542" s="6" t="s">
        <v>2613</v>
      </c>
    </row>
    <row r="4543" customFormat="false" ht="15" hidden="false" customHeight="true" outlineLevel="0" collapsed="false">
      <c r="A4543" s="6" t="s">
        <v>7155</v>
      </c>
      <c r="B4543" s="6" t="s">
        <v>1049</v>
      </c>
      <c r="C4543" s="6" t="s">
        <v>120</v>
      </c>
      <c r="D4543" s="13" t="n">
        <v>44835</v>
      </c>
      <c r="E4543" s="14" t="n">
        <v>5777.12</v>
      </c>
      <c r="F4543" s="14" t="n">
        <v>31649.44</v>
      </c>
      <c r="G4543" s="6" t="s">
        <v>2613</v>
      </c>
    </row>
    <row r="4544" customFormat="false" ht="15" hidden="false" customHeight="true" outlineLevel="0" collapsed="false">
      <c r="A4544" s="6" t="s">
        <v>7156</v>
      </c>
      <c r="B4544" s="6" t="s">
        <v>1049</v>
      </c>
      <c r="C4544" s="6" t="s">
        <v>120</v>
      </c>
      <c r="D4544" s="13" t="n">
        <v>44842</v>
      </c>
      <c r="E4544" s="14" t="n">
        <v>2014.62</v>
      </c>
      <c r="F4544" s="14" t="n">
        <v>33664.06</v>
      </c>
      <c r="G4544" s="6" t="s">
        <v>2623</v>
      </c>
    </row>
    <row r="4545" customFormat="false" ht="15" hidden="false" customHeight="true" outlineLevel="0" collapsed="false">
      <c r="A4545" s="6" t="s">
        <v>7157</v>
      </c>
      <c r="B4545" s="6" t="s">
        <v>1051</v>
      </c>
      <c r="C4545" s="6" t="s">
        <v>112</v>
      </c>
      <c r="D4545" s="13" t="n">
        <v>45656</v>
      </c>
      <c r="E4545" s="14" t="n">
        <v>13110.07</v>
      </c>
      <c r="F4545" s="14" t="n">
        <v>13110.07</v>
      </c>
      <c r="G4545" s="6" t="s">
        <v>2613</v>
      </c>
    </row>
    <row r="4546" customFormat="false" ht="15" hidden="false" customHeight="true" outlineLevel="0" collapsed="false">
      <c r="A4546" s="6" t="s">
        <v>7158</v>
      </c>
      <c r="B4546" s="6" t="s">
        <v>1051</v>
      </c>
      <c r="C4546" s="6" t="s">
        <v>112</v>
      </c>
      <c r="D4546" s="13" t="n">
        <v>45663</v>
      </c>
      <c r="E4546" s="14" t="n">
        <v>6835.39</v>
      </c>
      <c r="F4546" s="14" t="n">
        <v>19945.46</v>
      </c>
      <c r="G4546" s="6" t="s">
        <v>2613</v>
      </c>
    </row>
    <row r="4547" customFormat="false" ht="15" hidden="false" customHeight="true" outlineLevel="0" collapsed="false">
      <c r="A4547" s="6" t="s">
        <v>7159</v>
      </c>
      <c r="B4547" s="6" t="s">
        <v>1051</v>
      </c>
      <c r="C4547" s="6" t="s">
        <v>112</v>
      </c>
      <c r="D4547" s="13" t="n">
        <v>45670</v>
      </c>
      <c r="E4547" s="14" t="n">
        <v>8232.4</v>
      </c>
      <c r="F4547" s="14" t="n">
        <v>28177.86</v>
      </c>
      <c r="G4547" s="6" t="s">
        <v>2623</v>
      </c>
    </row>
    <row r="4548" customFormat="false" ht="15" hidden="false" customHeight="true" outlineLevel="0" collapsed="false">
      <c r="A4548" s="6" t="s">
        <v>7160</v>
      </c>
      <c r="B4548" s="6" t="s">
        <v>1051</v>
      </c>
      <c r="C4548" s="6" t="s">
        <v>112</v>
      </c>
      <c r="D4548" s="13" t="n">
        <v>45677</v>
      </c>
      <c r="E4548" s="14" t="n">
        <v>7815.39</v>
      </c>
      <c r="F4548" s="14" t="n">
        <v>35993.25</v>
      </c>
      <c r="G4548" s="6" t="s">
        <v>2613</v>
      </c>
    </row>
    <row r="4549" customFormat="false" ht="15" hidden="false" customHeight="true" outlineLevel="0" collapsed="false">
      <c r="A4549" s="6" t="s">
        <v>7161</v>
      </c>
      <c r="B4549" s="6" t="s">
        <v>1051</v>
      </c>
      <c r="C4549" s="6" t="s">
        <v>112</v>
      </c>
      <c r="D4549" s="13" t="n">
        <v>45684</v>
      </c>
      <c r="E4549" s="14" t="n">
        <v>11885.2</v>
      </c>
      <c r="F4549" s="14" t="n">
        <v>47878.45</v>
      </c>
      <c r="G4549" s="6" t="s">
        <v>2613</v>
      </c>
    </row>
    <row r="4550" customFormat="false" ht="15" hidden="false" customHeight="true" outlineLevel="0" collapsed="false">
      <c r="A4550" s="6" t="s">
        <v>7162</v>
      </c>
      <c r="B4550" s="6" t="s">
        <v>1051</v>
      </c>
      <c r="C4550" s="6" t="s">
        <v>112</v>
      </c>
      <c r="D4550" s="13" t="n">
        <v>45691</v>
      </c>
      <c r="E4550" s="14" t="n">
        <v>7603.58</v>
      </c>
      <c r="F4550" s="14" t="n">
        <v>55482.03</v>
      </c>
      <c r="G4550" s="6" t="s">
        <v>2613</v>
      </c>
    </row>
    <row r="4551" customFormat="false" ht="15" hidden="false" customHeight="true" outlineLevel="0" collapsed="false">
      <c r="A4551" s="6" t="s">
        <v>7163</v>
      </c>
      <c r="B4551" s="6" t="s">
        <v>1051</v>
      </c>
      <c r="C4551" s="6" t="s">
        <v>112</v>
      </c>
      <c r="D4551" s="13" t="n">
        <v>45698</v>
      </c>
      <c r="E4551" s="14" t="n">
        <v>21577.6</v>
      </c>
      <c r="F4551" s="14" t="n">
        <v>77059.63</v>
      </c>
      <c r="G4551" s="6" t="s">
        <v>2613</v>
      </c>
    </row>
    <row r="4552" customFormat="false" ht="15" hidden="false" customHeight="true" outlineLevel="0" collapsed="false">
      <c r="A4552" s="6" t="s">
        <v>7164</v>
      </c>
      <c r="B4552" s="6" t="s">
        <v>1053</v>
      </c>
      <c r="C4552" s="6" t="s">
        <v>120</v>
      </c>
      <c r="D4552" s="13" t="n">
        <v>44732</v>
      </c>
      <c r="E4552" s="14" t="n">
        <v>4098.33</v>
      </c>
      <c r="F4552" s="14" t="n">
        <v>4098.33</v>
      </c>
      <c r="G4552" s="6" t="s">
        <v>2613</v>
      </c>
    </row>
    <row r="4553" customFormat="false" ht="15" hidden="false" customHeight="true" outlineLevel="0" collapsed="false">
      <c r="A4553" s="6" t="s">
        <v>7165</v>
      </c>
      <c r="B4553" s="6" t="s">
        <v>1053</v>
      </c>
      <c r="C4553" s="6" t="s">
        <v>120</v>
      </c>
      <c r="D4553" s="13" t="n">
        <v>44739</v>
      </c>
      <c r="E4553" s="14" t="n">
        <v>3233.33</v>
      </c>
      <c r="F4553" s="14" t="n">
        <v>7331.66</v>
      </c>
      <c r="G4553" s="6" t="s">
        <v>2613</v>
      </c>
    </row>
    <row r="4554" customFormat="false" ht="15" hidden="false" customHeight="true" outlineLevel="0" collapsed="false">
      <c r="A4554" s="6" t="s">
        <v>7166</v>
      </c>
      <c r="B4554" s="6" t="s">
        <v>1053</v>
      </c>
      <c r="C4554" s="6" t="s">
        <v>120</v>
      </c>
      <c r="D4554" s="13" t="n">
        <v>44746</v>
      </c>
      <c r="E4554" s="14" t="n">
        <v>3234.38</v>
      </c>
      <c r="F4554" s="14" t="n">
        <v>10566.04</v>
      </c>
      <c r="G4554" s="6" t="s">
        <v>2613</v>
      </c>
    </row>
    <row r="4555" customFormat="false" ht="15" hidden="false" customHeight="true" outlineLevel="0" collapsed="false">
      <c r="A4555" s="6" t="s">
        <v>7167</v>
      </c>
      <c r="B4555" s="6" t="s">
        <v>1053</v>
      </c>
      <c r="C4555" s="6" t="s">
        <v>120</v>
      </c>
      <c r="D4555" s="13" t="n">
        <v>44753</v>
      </c>
      <c r="E4555" s="14" t="n">
        <v>4638.47</v>
      </c>
      <c r="F4555" s="14" t="n">
        <v>15204.51</v>
      </c>
      <c r="G4555" s="6" t="s">
        <v>2623</v>
      </c>
    </row>
    <row r="4556" customFormat="false" ht="15" hidden="false" customHeight="true" outlineLevel="0" collapsed="false">
      <c r="A4556" s="6" t="s">
        <v>7168</v>
      </c>
      <c r="B4556" s="6" t="s">
        <v>1053</v>
      </c>
      <c r="C4556" s="6" t="s">
        <v>120</v>
      </c>
      <c r="D4556" s="13" t="n">
        <v>44760</v>
      </c>
      <c r="E4556" s="14" t="n">
        <v>5152.66</v>
      </c>
      <c r="F4556" s="14" t="n">
        <v>20357.17</v>
      </c>
      <c r="G4556" s="6" t="s">
        <v>2613</v>
      </c>
    </row>
    <row r="4557" customFormat="false" ht="15" hidden="false" customHeight="true" outlineLevel="0" collapsed="false">
      <c r="A4557" s="6" t="s">
        <v>7169</v>
      </c>
      <c r="B4557" s="6" t="s">
        <v>1053</v>
      </c>
      <c r="C4557" s="6" t="s">
        <v>120</v>
      </c>
      <c r="D4557" s="13" t="n">
        <v>44767</v>
      </c>
      <c r="E4557" s="14" t="n">
        <v>4346.99</v>
      </c>
      <c r="F4557" s="14" t="n">
        <v>24704.16</v>
      </c>
      <c r="G4557" s="6" t="s">
        <v>2613</v>
      </c>
    </row>
    <row r="4558" customFormat="false" ht="15" hidden="false" customHeight="true" outlineLevel="0" collapsed="false">
      <c r="A4558" s="6" t="s">
        <v>7170</v>
      </c>
      <c r="B4558" s="6" t="s">
        <v>1053</v>
      </c>
      <c r="C4558" s="6" t="s">
        <v>120</v>
      </c>
      <c r="D4558" s="13" t="n">
        <v>44774</v>
      </c>
      <c r="E4558" s="14" t="n">
        <v>2476.4</v>
      </c>
      <c r="F4558" s="14" t="n">
        <v>27180.56</v>
      </c>
      <c r="G4558" s="6" t="s">
        <v>2623</v>
      </c>
    </row>
    <row r="4559" customFormat="false" ht="15" hidden="false" customHeight="true" outlineLevel="0" collapsed="false">
      <c r="A4559" s="6" t="s">
        <v>7171</v>
      </c>
      <c r="B4559" s="6" t="s">
        <v>1053</v>
      </c>
      <c r="C4559" s="6" t="s">
        <v>120</v>
      </c>
      <c r="D4559" s="13" t="n">
        <v>44781</v>
      </c>
      <c r="E4559" s="14" t="n">
        <v>5245.74</v>
      </c>
      <c r="F4559" s="14" t="n">
        <v>32426.3</v>
      </c>
      <c r="G4559" s="6" t="s">
        <v>2613</v>
      </c>
    </row>
    <row r="4560" customFormat="false" ht="15" hidden="false" customHeight="true" outlineLevel="0" collapsed="false">
      <c r="A4560" s="6" t="s">
        <v>7172</v>
      </c>
      <c r="B4560" s="6" t="s">
        <v>1053</v>
      </c>
      <c r="C4560" s="6" t="s">
        <v>120</v>
      </c>
      <c r="D4560" s="13" t="n">
        <v>44788</v>
      </c>
      <c r="E4560" s="14" t="n">
        <v>2308.91</v>
      </c>
      <c r="F4560" s="14" t="n">
        <v>34735.21</v>
      </c>
      <c r="G4560" s="6" t="s">
        <v>2613</v>
      </c>
    </row>
    <row r="4561" customFormat="false" ht="15" hidden="false" customHeight="true" outlineLevel="0" collapsed="false">
      <c r="A4561" s="6" t="s">
        <v>7173</v>
      </c>
      <c r="B4561" s="6" t="s">
        <v>1055</v>
      </c>
      <c r="C4561" s="6" t="s">
        <v>124</v>
      </c>
      <c r="D4561" s="13" t="n">
        <v>44913</v>
      </c>
      <c r="E4561" s="14" t="n">
        <v>3429.6</v>
      </c>
      <c r="F4561" s="14" t="n">
        <v>3429.6</v>
      </c>
      <c r="G4561" s="6" t="s">
        <v>2613</v>
      </c>
    </row>
    <row r="4562" customFormat="false" ht="15" hidden="false" customHeight="true" outlineLevel="0" collapsed="false">
      <c r="A4562" s="6" t="s">
        <v>7174</v>
      </c>
      <c r="B4562" s="6" t="s">
        <v>1055</v>
      </c>
      <c r="C4562" s="6" t="s">
        <v>124</v>
      </c>
      <c r="D4562" s="13" t="n">
        <v>44920</v>
      </c>
      <c r="E4562" s="14" t="n">
        <v>3693.32</v>
      </c>
      <c r="F4562" s="14" t="n">
        <v>7122.92</v>
      </c>
      <c r="G4562" s="6" t="s">
        <v>2613</v>
      </c>
    </row>
    <row r="4563" customFormat="false" ht="15" hidden="false" customHeight="true" outlineLevel="0" collapsed="false">
      <c r="A4563" s="6" t="s">
        <v>7175</v>
      </c>
      <c r="B4563" s="6" t="s">
        <v>1055</v>
      </c>
      <c r="C4563" s="6" t="s">
        <v>124</v>
      </c>
      <c r="D4563" s="13" t="n">
        <v>44927</v>
      </c>
      <c r="E4563" s="14" t="n">
        <v>3495.91</v>
      </c>
      <c r="F4563" s="14" t="n">
        <v>10618.83</v>
      </c>
      <c r="G4563" s="6" t="s">
        <v>2613</v>
      </c>
    </row>
    <row r="4564" customFormat="false" ht="15" hidden="false" customHeight="true" outlineLevel="0" collapsed="false">
      <c r="A4564" s="6" t="s">
        <v>7176</v>
      </c>
      <c r="B4564" s="6" t="s">
        <v>1055</v>
      </c>
      <c r="C4564" s="6" t="s">
        <v>124</v>
      </c>
      <c r="D4564" s="13" t="n">
        <v>44934</v>
      </c>
      <c r="E4564" s="14" t="n">
        <v>3517.46</v>
      </c>
      <c r="F4564" s="14" t="n">
        <v>14136.29</v>
      </c>
      <c r="G4564" s="6" t="s">
        <v>2613</v>
      </c>
    </row>
    <row r="4565" customFormat="false" ht="15" hidden="false" customHeight="true" outlineLevel="0" collapsed="false">
      <c r="A4565" s="6" t="s">
        <v>7177</v>
      </c>
      <c r="B4565" s="6" t="s">
        <v>1055</v>
      </c>
      <c r="C4565" s="6" t="s">
        <v>124</v>
      </c>
      <c r="D4565" s="13" t="n">
        <v>44941</v>
      </c>
      <c r="E4565" s="14" t="n">
        <v>3386.45</v>
      </c>
      <c r="F4565" s="14" t="n">
        <v>17522.74</v>
      </c>
      <c r="G4565" s="6" t="s">
        <v>2613</v>
      </c>
    </row>
    <row r="4566" customFormat="false" ht="15" hidden="false" customHeight="true" outlineLevel="0" collapsed="false">
      <c r="A4566" s="6" t="s">
        <v>7178</v>
      </c>
      <c r="B4566" s="6" t="s">
        <v>1055</v>
      </c>
      <c r="C4566" s="6" t="s">
        <v>124</v>
      </c>
      <c r="D4566" s="13" t="n">
        <v>44948</v>
      </c>
      <c r="E4566" s="14" t="n">
        <v>2737.42</v>
      </c>
      <c r="F4566" s="14" t="n">
        <v>20260.16</v>
      </c>
      <c r="G4566" s="6" t="s">
        <v>2613</v>
      </c>
    </row>
    <row r="4567" customFormat="false" ht="15" hidden="false" customHeight="true" outlineLevel="0" collapsed="false">
      <c r="A4567" s="6" t="s">
        <v>7179</v>
      </c>
      <c r="B4567" s="6" t="s">
        <v>1055</v>
      </c>
      <c r="C4567" s="6" t="s">
        <v>124</v>
      </c>
      <c r="D4567" s="13" t="n">
        <v>44955</v>
      </c>
      <c r="E4567" s="14" t="n">
        <v>3841.84</v>
      </c>
      <c r="F4567" s="14" t="n">
        <v>24102</v>
      </c>
      <c r="G4567" s="6" t="s">
        <v>2613</v>
      </c>
    </row>
    <row r="4568" customFormat="false" ht="15" hidden="false" customHeight="true" outlineLevel="0" collapsed="false">
      <c r="A4568" s="6" t="s">
        <v>7180</v>
      </c>
      <c r="B4568" s="6" t="s">
        <v>1055</v>
      </c>
      <c r="C4568" s="6" t="s">
        <v>124</v>
      </c>
      <c r="D4568" s="13" t="n">
        <v>44962</v>
      </c>
      <c r="E4568" s="14" t="n">
        <v>3498.52</v>
      </c>
      <c r="F4568" s="14" t="n">
        <v>27600.52</v>
      </c>
      <c r="G4568" s="6" t="s">
        <v>2613</v>
      </c>
    </row>
    <row r="4569" customFormat="false" ht="15" hidden="false" customHeight="true" outlineLevel="0" collapsed="false">
      <c r="A4569" s="6" t="s">
        <v>7181</v>
      </c>
      <c r="B4569" s="6" t="s">
        <v>1055</v>
      </c>
      <c r="C4569" s="6" t="s">
        <v>124</v>
      </c>
      <c r="D4569" s="13" t="n">
        <v>44969</v>
      </c>
      <c r="E4569" s="14" t="n">
        <v>2937.76</v>
      </c>
      <c r="F4569" s="14" t="n">
        <v>30538.28</v>
      </c>
      <c r="G4569" s="6" t="s">
        <v>2613</v>
      </c>
    </row>
    <row r="4570" customFormat="false" ht="15" hidden="false" customHeight="true" outlineLevel="0" collapsed="false">
      <c r="A4570" s="6" t="s">
        <v>7182</v>
      </c>
      <c r="B4570" s="6" t="s">
        <v>1055</v>
      </c>
      <c r="C4570" s="6" t="s">
        <v>124</v>
      </c>
      <c r="D4570" s="13" t="n">
        <v>44976</v>
      </c>
      <c r="E4570" s="14" t="n">
        <v>2788.99</v>
      </c>
      <c r="F4570" s="14" t="n">
        <v>33327.27</v>
      </c>
      <c r="G4570" s="6" t="s">
        <v>2613</v>
      </c>
    </row>
    <row r="4571" customFormat="false" ht="15" hidden="false" customHeight="true" outlineLevel="0" collapsed="false">
      <c r="A4571" s="6" t="s">
        <v>7183</v>
      </c>
      <c r="B4571" s="6" t="s">
        <v>1055</v>
      </c>
      <c r="C4571" s="6" t="s">
        <v>124</v>
      </c>
      <c r="D4571" s="13" t="n">
        <v>44983</v>
      </c>
      <c r="E4571" s="14" t="n">
        <v>2691.39</v>
      </c>
      <c r="F4571" s="14" t="n">
        <v>36018.66</v>
      </c>
      <c r="G4571" s="6" t="s">
        <v>2613</v>
      </c>
    </row>
    <row r="4572" customFormat="false" ht="15" hidden="false" customHeight="true" outlineLevel="0" collapsed="false">
      <c r="A4572" s="6" t="s">
        <v>7184</v>
      </c>
      <c r="B4572" s="6" t="s">
        <v>1055</v>
      </c>
      <c r="C4572" s="6" t="s">
        <v>124</v>
      </c>
      <c r="D4572" s="13" t="n">
        <v>44990</v>
      </c>
      <c r="E4572" s="14" t="n">
        <v>2465.06</v>
      </c>
      <c r="F4572" s="14" t="n">
        <v>38483.72</v>
      </c>
      <c r="G4572" s="6" t="s">
        <v>2613</v>
      </c>
    </row>
    <row r="4573" customFormat="false" ht="15" hidden="false" customHeight="true" outlineLevel="0" collapsed="false">
      <c r="A4573" s="6" t="s">
        <v>7185</v>
      </c>
      <c r="B4573" s="6" t="s">
        <v>1055</v>
      </c>
      <c r="C4573" s="6" t="s">
        <v>124</v>
      </c>
      <c r="D4573" s="13" t="n">
        <v>44997</v>
      </c>
      <c r="E4573" s="14" t="n">
        <v>4075.05</v>
      </c>
      <c r="F4573" s="14" t="n">
        <v>42558.77</v>
      </c>
      <c r="G4573" s="6" t="s">
        <v>2613</v>
      </c>
    </row>
    <row r="4574" customFormat="false" ht="15" hidden="false" customHeight="true" outlineLevel="0" collapsed="false">
      <c r="A4574" s="6" t="s">
        <v>7186</v>
      </c>
      <c r="B4574" s="6" t="s">
        <v>1055</v>
      </c>
      <c r="C4574" s="6" t="s">
        <v>124</v>
      </c>
      <c r="D4574" s="13" t="n">
        <v>45004</v>
      </c>
      <c r="E4574" s="14" t="n">
        <v>3140.31</v>
      </c>
      <c r="F4574" s="14" t="n">
        <v>45699.08</v>
      </c>
      <c r="G4574" s="6" t="s">
        <v>2613</v>
      </c>
    </row>
    <row r="4575" customFormat="false" ht="15" hidden="false" customHeight="true" outlineLevel="0" collapsed="false">
      <c r="A4575" s="6" t="s">
        <v>7187</v>
      </c>
      <c r="B4575" s="6" t="s">
        <v>1055</v>
      </c>
      <c r="C4575" s="6" t="s">
        <v>124</v>
      </c>
      <c r="D4575" s="13" t="n">
        <v>45011</v>
      </c>
      <c r="E4575" s="14" t="n">
        <v>3230.27</v>
      </c>
      <c r="F4575" s="14" t="n">
        <v>48929.35</v>
      </c>
      <c r="G4575" s="6" t="s">
        <v>2613</v>
      </c>
    </row>
    <row r="4576" customFormat="false" ht="15" hidden="false" customHeight="true" outlineLevel="0" collapsed="false">
      <c r="A4576" s="6" t="s">
        <v>7188</v>
      </c>
      <c r="B4576" s="6" t="s">
        <v>1055</v>
      </c>
      <c r="C4576" s="6" t="s">
        <v>124</v>
      </c>
      <c r="D4576" s="13" t="n">
        <v>45018</v>
      </c>
      <c r="E4576" s="14" t="n">
        <v>3444.27</v>
      </c>
      <c r="F4576" s="14" t="n">
        <v>52373.62</v>
      </c>
      <c r="G4576" s="6" t="s">
        <v>2613</v>
      </c>
    </row>
    <row r="4577" customFormat="false" ht="15" hidden="false" customHeight="true" outlineLevel="0" collapsed="false">
      <c r="A4577" s="6" t="s">
        <v>7189</v>
      </c>
      <c r="B4577" s="6" t="s">
        <v>1055</v>
      </c>
      <c r="C4577" s="6" t="s">
        <v>124</v>
      </c>
      <c r="D4577" s="13" t="n">
        <v>45025</v>
      </c>
      <c r="E4577" s="14" t="n">
        <v>3203.96</v>
      </c>
      <c r="F4577" s="14" t="n">
        <v>55577.58</v>
      </c>
      <c r="G4577" s="6" t="s">
        <v>2623</v>
      </c>
    </row>
    <row r="4578" customFormat="false" ht="15" hidden="false" customHeight="true" outlineLevel="0" collapsed="false">
      <c r="A4578" s="6" t="s">
        <v>7190</v>
      </c>
      <c r="B4578" s="6" t="s">
        <v>1055</v>
      </c>
      <c r="C4578" s="6" t="s">
        <v>124</v>
      </c>
      <c r="D4578" s="13" t="n">
        <v>45032</v>
      </c>
      <c r="E4578" s="14" t="n">
        <v>2044.03</v>
      </c>
      <c r="F4578" s="14" t="n">
        <v>57621.61</v>
      </c>
      <c r="G4578" s="6" t="s">
        <v>2613</v>
      </c>
    </row>
    <row r="4579" customFormat="false" ht="15" hidden="false" customHeight="true" outlineLevel="0" collapsed="false">
      <c r="A4579" s="6" t="s">
        <v>7191</v>
      </c>
      <c r="B4579" s="6" t="s">
        <v>1055</v>
      </c>
      <c r="C4579" s="6" t="s">
        <v>124</v>
      </c>
      <c r="D4579" s="13" t="n">
        <v>45039</v>
      </c>
      <c r="E4579" s="14" t="n">
        <v>3538.55</v>
      </c>
      <c r="F4579" s="14" t="n">
        <v>61160.16</v>
      </c>
      <c r="G4579" s="6" t="s">
        <v>2613</v>
      </c>
    </row>
    <row r="4580" customFormat="false" ht="15" hidden="false" customHeight="true" outlineLevel="0" collapsed="false">
      <c r="A4580" s="6" t="s">
        <v>7192</v>
      </c>
      <c r="B4580" s="6" t="s">
        <v>1055</v>
      </c>
      <c r="C4580" s="6" t="s">
        <v>124</v>
      </c>
      <c r="D4580" s="13" t="n">
        <v>45046</v>
      </c>
      <c r="E4580" s="14" t="n">
        <v>3136.26</v>
      </c>
      <c r="F4580" s="14" t="n">
        <v>64296.42</v>
      </c>
      <c r="G4580" s="6" t="s">
        <v>2613</v>
      </c>
    </row>
    <row r="4581" customFormat="false" ht="15" hidden="false" customHeight="true" outlineLevel="0" collapsed="false">
      <c r="A4581" s="6" t="s">
        <v>7193</v>
      </c>
      <c r="B4581" s="6" t="s">
        <v>1055</v>
      </c>
      <c r="C4581" s="6" t="s">
        <v>124</v>
      </c>
      <c r="D4581" s="13" t="n">
        <v>45053</v>
      </c>
      <c r="E4581" s="14" t="n">
        <v>3144.74</v>
      </c>
      <c r="F4581" s="14" t="n">
        <v>67441.16</v>
      </c>
      <c r="G4581" s="6" t="s">
        <v>2613</v>
      </c>
    </row>
    <row r="4582" customFormat="false" ht="15" hidden="false" customHeight="true" outlineLevel="0" collapsed="false">
      <c r="A4582" s="6" t="s">
        <v>7194</v>
      </c>
      <c r="B4582" s="6" t="s">
        <v>1055</v>
      </c>
      <c r="C4582" s="6" t="s">
        <v>124</v>
      </c>
      <c r="D4582" s="13" t="n">
        <v>45060</v>
      </c>
      <c r="E4582" s="14" t="n">
        <v>2361.22</v>
      </c>
      <c r="F4582" s="14" t="n">
        <v>69802.38</v>
      </c>
      <c r="G4582" s="6" t="s">
        <v>2613</v>
      </c>
    </row>
    <row r="4583" customFormat="false" ht="15" hidden="false" customHeight="true" outlineLevel="0" collapsed="false">
      <c r="A4583" s="6" t="s">
        <v>7195</v>
      </c>
      <c r="B4583" s="6" t="s">
        <v>1055</v>
      </c>
      <c r="C4583" s="6" t="s">
        <v>124</v>
      </c>
      <c r="D4583" s="13" t="n">
        <v>45067</v>
      </c>
      <c r="E4583" s="14" t="n">
        <v>2318.84</v>
      </c>
      <c r="F4583" s="14" t="n">
        <v>72121.22</v>
      </c>
      <c r="G4583" s="6" t="s">
        <v>2613</v>
      </c>
    </row>
    <row r="4584" customFormat="false" ht="15" hidden="false" customHeight="true" outlineLevel="0" collapsed="false">
      <c r="A4584" s="6" t="s">
        <v>7196</v>
      </c>
      <c r="B4584" s="6" t="s">
        <v>1055</v>
      </c>
      <c r="C4584" s="6" t="s">
        <v>124</v>
      </c>
      <c r="D4584" s="13" t="n">
        <v>45074</v>
      </c>
      <c r="E4584" s="14" t="n">
        <v>1756.99</v>
      </c>
      <c r="F4584" s="14" t="n">
        <v>73878.21</v>
      </c>
      <c r="G4584" s="6" t="s">
        <v>2623</v>
      </c>
    </row>
    <row r="4585" customFormat="false" ht="15" hidden="false" customHeight="true" outlineLevel="0" collapsed="false">
      <c r="A4585" s="6" t="s">
        <v>7197</v>
      </c>
      <c r="B4585" s="6" t="s">
        <v>1057</v>
      </c>
      <c r="C4585" s="6" t="s">
        <v>124</v>
      </c>
      <c r="D4585" s="13" t="n">
        <v>44991</v>
      </c>
      <c r="E4585" s="14" t="n">
        <v>2019.21</v>
      </c>
      <c r="F4585" s="14" t="n">
        <v>2019.21</v>
      </c>
      <c r="G4585" s="6" t="s">
        <v>2613</v>
      </c>
    </row>
    <row r="4586" customFormat="false" ht="15" hidden="false" customHeight="true" outlineLevel="0" collapsed="false">
      <c r="A4586" s="6" t="s">
        <v>7198</v>
      </c>
      <c r="B4586" s="6" t="s">
        <v>1057</v>
      </c>
      <c r="C4586" s="6" t="s">
        <v>124</v>
      </c>
      <c r="D4586" s="13" t="n">
        <v>44998</v>
      </c>
      <c r="E4586" s="14" t="n">
        <v>1615.92</v>
      </c>
      <c r="F4586" s="14" t="n">
        <v>3635.13</v>
      </c>
      <c r="G4586" s="6" t="s">
        <v>2613</v>
      </c>
    </row>
    <row r="4587" customFormat="false" ht="15" hidden="false" customHeight="true" outlineLevel="0" collapsed="false">
      <c r="A4587" s="6" t="s">
        <v>7199</v>
      </c>
      <c r="B4587" s="6" t="s">
        <v>1057</v>
      </c>
      <c r="C4587" s="6" t="s">
        <v>124</v>
      </c>
      <c r="D4587" s="13" t="n">
        <v>45005</v>
      </c>
      <c r="E4587" s="14" t="n">
        <v>1630.32</v>
      </c>
      <c r="F4587" s="14" t="n">
        <v>5265.45</v>
      </c>
      <c r="G4587" s="6" t="s">
        <v>2613</v>
      </c>
    </row>
    <row r="4588" customFormat="false" ht="15" hidden="false" customHeight="true" outlineLevel="0" collapsed="false">
      <c r="A4588" s="6" t="s">
        <v>7200</v>
      </c>
      <c r="B4588" s="6" t="s">
        <v>1057</v>
      </c>
      <c r="C4588" s="6" t="s">
        <v>124</v>
      </c>
      <c r="D4588" s="13" t="n">
        <v>45012</v>
      </c>
      <c r="E4588" s="14" t="n">
        <v>1480.6</v>
      </c>
      <c r="F4588" s="14" t="n">
        <v>6746.05</v>
      </c>
      <c r="G4588" s="6" t="s">
        <v>2613</v>
      </c>
    </row>
    <row r="4589" customFormat="false" ht="15" hidden="false" customHeight="true" outlineLevel="0" collapsed="false">
      <c r="A4589" s="6" t="s">
        <v>7201</v>
      </c>
      <c r="B4589" s="6" t="s">
        <v>1057</v>
      </c>
      <c r="C4589" s="6" t="s">
        <v>124</v>
      </c>
      <c r="D4589" s="13" t="n">
        <v>45019</v>
      </c>
      <c r="E4589" s="14" t="n">
        <v>2322.23</v>
      </c>
      <c r="F4589" s="14" t="n">
        <v>9068.28</v>
      </c>
      <c r="G4589" s="6" t="s">
        <v>2613</v>
      </c>
    </row>
    <row r="4590" customFormat="false" ht="15" hidden="false" customHeight="true" outlineLevel="0" collapsed="false">
      <c r="A4590" s="6" t="s">
        <v>7202</v>
      </c>
      <c r="B4590" s="6" t="s">
        <v>1057</v>
      </c>
      <c r="C4590" s="6" t="s">
        <v>124</v>
      </c>
      <c r="D4590" s="13" t="n">
        <v>45026</v>
      </c>
      <c r="E4590" s="14" t="n">
        <v>1645.47</v>
      </c>
      <c r="F4590" s="14" t="n">
        <v>10713.75</v>
      </c>
      <c r="G4590" s="6" t="s">
        <v>2613</v>
      </c>
    </row>
    <row r="4591" customFormat="false" ht="15" hidden="false" customHeight="true" outlineLevel="0" collapsed="false">
      <c r="A4591" s="6" t="s">
        <v>7203</v>
      </c>
      <c r="B4591" s="6" t="s">
        <v>1057</v>
      </c>
      <c r="C4591" s="6" t="s">
        <v>124</v>
      </c>
      <c r="D4591" s="13" t="n">
        <v>45033</v>
      </c>
      <c r="E4591" s="14" t="n">
        <v>2045.05</v>
      </c>
      <c r="F4591" s="14" t="n">
        <v>12758.8</v>
      </c>
      <c r="G4591" s="6" t="s">
        <v>2613</v>
      </c>
    </row>
    <row r="4592" customFormat="false" ht="15" hidden="false" customHeight="true" outlineLevel="0" collapsed="false">
      <c r="A4592" s="6" t="s">
        <v>7204</v>
      </c>
      <c r="B4592" s="6" t="s">
        <v>1057</v>
      </c>
      <c r="C4592" s="6" t="s">
        <v>124</v>
      </c>
      <c r="D4592" s="13" t="n">
        <v>45040</v>
      </c>
      <c r="E4592" s="14" t="n">
        <v>1433.95</v>
      </c>
      <c r="F4592" s="14" t="n">
        <v>14192.75</v>
      </c>
      <c r="G4592" s="6" t="s">
        <v>2613</v>
      </c>
    </row>
    <row r="4593" customFormat="false" ht="15" hidden="false" customHeight="true" outlineLevel="0" collapsed="false">
      <c r="A4593" s="6" t="s">
        <v>7205</v>
      </c>
      <c r="B4593" s="6" t="s">
        <v>1057</v>
      </c>
      <c r="C4593" s="6" t="s">
        <v>124</v>
      </c>
      <c r="D4593" s="13" t="n">
        <v>45047</v>
      </c>
      <c r="E4593" s="14" t="n">
        <v>1478.91</v>
      </c>
      <c r="F4593" s="14" t="n">
        <v>15671.66</v>
      </c>
      <c r="G4593" s="6" t="s">
        <v>2623</v>
      </c>
    </row>
    <row r="4594" customFormat="false" ht="15" hidden="false" customHeight="true" outlineLevel="0" collapsed="false">
      <c r="A4594" s="6" t="s">
        <v>7206</v>
      </c>
      <c r="B4594" s="6" t="s">
        <v>1057</v>
      </c>
      <c r="C4594" s="6" t="s">
        <v>124</v>
      </c>
      <c r="D4594" s="13" t="n">
        <v>45054</v>
      </c>
      <c r="E4594" s="14" t="n">
        <v>1087.71</v>
      </c>
      <c r="F4594" s="14" t="n">
        <v>16759.37</v>
      </c>
      <c r="G4594" s="6" t="s">
        <v>2613</v>
      </c>
    </row>
    <row r="4595" customFormat="false" ht="15" hidden="false" customHeight="true" outlineLevel="0" collapsed="false">
      <c r="A4595" s="6" t="s">
        <v>7207</v>
      </c>
      <c r="B4595" s="6" t="s">
        <v>1057</v>
      </c>
      <c r="C4595" s="6" t="s">
        <v>124</v>
      </c>
      <c r="D4595" s="13" t="n">
        <v>45061</v>
      </c>
      <c r="E4595" s="14" t="n">
        <v>1171.99</v>
      </c>
      <c r="F4595" s="14" t="n">
        <v>17931.36</v>
      </c>
      <c r="G4595" s="6" t="s">
        <v>2613</v>
      </c>
    </row>
    <row r="4596" customFormat="false" ht="15" hidden="false" customHeight="true" outlineLevel="0" collapsed="false">
      <c r="A4596" s="6" t="s">
        <v>7208</v>
      </c>
      <c r="B4596" s="6" t="s">
        <v>1057</v>
      </c>
      <c r="C4596" s="6" t="s">
        <v>124</v>
      </c>
      <c r="D4596" s="13" t="n">
        <v>45068</v>
      </c>
      <c r="E4596" s="14" t="n">
        <v>1169.37</v>
      </c>
      <c r="F4596" s="14" t="n">
        <v>19100.73</v>
      </c>
      <c r="G4596" s="6" t="s">
        <v>2613</v>
      </c>
    </row>
    <row r="4597" customFormat="false" ht="15" hidden="false" customHeight="true" outlineLevel="0" collapsed="false">
      <c r="A4597" s="6" t="s">
        <v>7209</v>
      </c>
      <c r="B4597" s="6" t="s">
        <v>1057</v>
      </c>
      <c r="C4597" s="6" t="s">
        <v>124</v>
      </c>
      <c r="D4597" s="13" t="n">
        <v>45075</v>
      </c>
      <c r="E4597" s="14" t="n">
        <v>1500.83</v>
      </c>
      <c r="F4597" s="14" t="n">
        <v>20601.56</v>
      </c>
      <c r="G4597" s="6" t="s">
        <v>2613</v>
      </c>
    </row>
    <row r="4598" customFormat="false" ht="15" hidden="false" customHeight="true" outlineLevel="0" collapsed="false">
      <c r="A4598" s="6" t="s">
        <v>7210</v>
      </c>
      <c r="B4598" s="6" t="s">
        <v>1057</v>
      </c>
      <c r="C4598" s="6" t="s">
        <v>124</v>
      </c>
      <c r="D4598" s="13" t="n">
        <v>45082</v>
      </c>
      <c r="E4598" s="14" t="n">
        <v>2356.25</v>
      </c>
      <c r="F4598" s="14" t="n">
        <v>22957.81</v>
      </c>
      <c r="G4598" s="6" t="s">
        <v>2613</v>
      </c>
    </row>
    <row r="4599" customFormat="false" ht="15" hidden="false" customHeight="true" outlineLevel="0" collapsed="false">
      <c r="A4599" s="6" t="s">
        <v>7211</v>
      </c>
      <c r="B4599" s="6" t="s">
        <v>1057</v>
      </c>
      <c r="C4599" s="6" t="s">
        <v>124</v>
      </c>
      <c r="D4599" s="13" t="n">
        <v>45089</v>
      </c>
      <c r="E4599" s="14" t="n">
        <v>1486.75</v>
      </c>
      <c r="F4599" s="14" t="n">
        <v>24444.56</v>
      </c>
      <c r="G4599" s="6" t="s">
        <v>2613</v>
      </c>
    </row>
    <row r="4600" customFormat="false" ht="15" hidden="false" customHeight="true" outlineLevel="0" collapsed="false">
      <c r="A4600" s="6" t="s">
        <v>7212</v>
      </c>
      <c r="B4600" s="6" t="s">
        <v>1057</v>
      </c>
      <c r="C4600" s="6" t="s">
        <v>124</v>
      </c>
      <c r="D4600" s="13" t="n">
        <v>45096</v>
      </c>
      <c r="E4600" s="14" t="n">
        <v>1103.18</v>
      </c>
      <c r="F4600" s="14" t="n">
        <v>25547.74</v>
      </c>
      <c r="G4600" s="6" t="s">
        <v>2613</v>
      </c>
    </row>
    <row r="4601" customFormat="false" ht="15" hidden="false" customHeight="true" outlineLevel="0" collapsed="false">
      <c r="A4601" s="6" t="s">
        <v>7213</v>
      </c>
      <c r="B4601" s="6" t="s">
        <v>1057</v>
      </c>
      <c r="C4601" s="6" t="s">
        <v>124</v>
      </c>
      <c r="D4601" s="13" t="n">
        <v>45103</v>
      </c>
      <c r="E4601" s="14" t="n">
        <v>5145.6</v>
      </c>
      <c r="F4601" s="14" t="n">
        <v>30693.34</v>
      </c>
      <c r="G4601" s="6" t="s">
        <v>2613</v>
      </c>
    </row>
    <row r="4602" customFormat="false" ht="15" hidden="false" customHeight="true" outlineLevel="0" collapsed="false">
      <c r="A4602" s="6" t="s">
        <v>7214</v>
      </c>
      <c r="B4602" s="6" t="s">
        <v>1059</v>
      </c>
      <c r="C4602" s="6" t="s">
        <v>128</v>
      </c>
      <c r="D4602" s="13" t="n">
        <v>45466</v>
      </c>
      <c r="E4602" s="14" t="n">
        <v>1241.42</v>
      </c>
      <c r="F4602" s="14" t="n">
        <v>1241.42</v>
      </c>
      <c r="G4602" s="6" t="s">
        <v>2613</v>
      </c>
    </row>
    <row r="4603" customFormat="false" ht="15" hidden="false" customHeight="true" outlineLevel="0" collapsed="false">
      <c r="A4603" s="6" t="s">
        <v>7215</v>
      </c>
      <c r="B4603" s="6" t="s">
        <v>1059</v>
      </c>
      <c r="C4603" s="6" t="s">
        <v>128</v>
      </c>
      <c r="D4603" s="13" t="n">
        <v>45473</v>
      </c>
      <c r="E4603" s="14" t="n">
        <v>1221.81</v>
      </c>
      <c r="F4603" s="14" t="n">
        <v>2463.23</v>
      </c>
      <c r="G4603" s="6" t="s">
        <v>2613</v>
      </c>
    </row>
    <row r="4604" customFormat="false" ht="15" hidden="false" customHeight="true" outlineLevel="0" collapsed="false">
      <c r="A4604" s="6" t="s">
        <v>7216</v>
      </c>
      <c r="B4604" s="6" t="s">
        <v>1059</v>
      </c>
      <c r="C4604" s="6" t="s">
        <v>128</v>
      </c>
      <c r="D4604" s="13" t="n">
        <v>45480</v>
      </c>
      <c r="E4604" s="14" t="n">
        <v>1588.56</v>
      </c>
      <c r="F4604" s="14" t="n">
        <v>4051.79</v>
      </c>
      <c r="G4604" s="6" t="s">
        <v>2613</v>
      </c>
    </row>
    <row r="4605" customFormat="false" ht="15" hidden="false" customHeight="true" outlineLevel="0" collapsed="false">
      <c r="A4605" s="6" t="s">
        <v>7217</v>
      </c>
      <c r="B4605" s="6" t="s">
        <v>1059</v>
      </c>
      <c r="C4605" s="6" t="s">
        <v>128</v>
      </c>
      <c r="D4605" s="13" t="n">
        <v>45487</v>
      </c>
      <c r="E4605" s="14" t="n">
        <v>1084.29</v>
      </c>
      <c r="F4605" s="14" t="n">
        <v>5136.08</v>
      </c>
      <c r="G4605" s="6" t="s">
        <v>2613</v>
      </c>
    </row>
    <row r="4606" customFormat="false" ht="15" hidden="false" customHeight="true" outlineLevel="0" collapsed="false">
      <c r="A4606" s="6" t="s">
        <v>7218</v>
      </c>
      <c r="B4606" s="6" t="s">
        <v>1059</v>
      </c>
      <c r="C4606" s="6" t="s">
        <v>128</v>
      </c>
      <c r="D4606" s="13" t="n">
        <v>45494</v>
      </c>
      <c r="E4606" s="14" t="n">
        <v>1604.11</v>
      </c>
      <c r="F4606" s="14" t="n">
        <v>6740.19</v>
      </c>
      <c r="G4606" s="6" t="s">
        <v>2613</v>
      </c>
    </row>
    <row r="4607" customFormat="false" ht="15" hidden="false" customHeight="true" outlineLevel="0" collapsed="false">
      <c r="A4607" s="6" t="s">
        <v>7219</v>
      </c>
      <c r="B4607" s="6" t="s">
        <v>1059</v>
      </c>
      <c r="C4607" s="6" t="s">
        <v>128</v>
      </c>
      <c r="D4607" s="13" t="n">
        <v>45501</v>
      </c>
      <c r="E4607" s="14" t="n">
        <v>1288.57</v>
      </c>
      <c r="F4607" s="14" t="n">
        <v>8028.76</v>
      </c>
      <c r="G4607" s="6" t="s">
        <v>2613</v>
      </c>
    </row>
    <row r="4608" customFormat="false" ht="15" hidden="false" customHeight="true" outlineLevel="0" collapsed="false">
      <c r="A4608" s="6" t="s">
        <v>7220</v>
      </c>
      <c r="B4608" s="6" t="s">
        <v>1059</v>
      </c>
      <c r="C4608" s="6" t="s">
        <v>128</v>
      </c>
      <c r="D4608" s="13" t="n">
        <v>45508</v>
      </c>
      <c r="E4608" s="14" t="n">
        <v>1953.97</v>
      </c>
      <c r="F4608" s="14" t="n">
        <v>9982.73</v>
      </c>
      <c r="G4608" s="6" t="s">
        <v>2613</v>
      </c>
    </row>
    <row r="4609" customFormat="false" ht="15" hidden="false" customHeight="true" outlineLevel="0" collapsed="false">
      <c r="A4609" s="6" t="s">
        <v>7221</v>
      </c>
      <c r="B4609" s="6" t="s">
        <v>1059</v>
      </c>
      <c r="C4609" s="6" t="s">
        <v>128</v>
      </c>
      <c r="D4609" s="13" t="n">
        <v>45515</v>
      </c>
      <c r="E4609" s="14" t="n">
        <v>971.4</v>
      </c>
      <c r="F4609" s="14" t="n">
        <v>10954.13</v>
      </c>
      <c r="G4609" s="6" t="s">
        <v>2613</v>
      </c>
    </row>
    <row r="4610" customFormat="false" ht="15" hidden="false" customHeight="true" outlineLevel="0" collapsed="false">
      <c r="A4610" s="6" t="s">
        <v>7222</v>
      </c>
      <c r="B4610" s="6" t="s">
        <v>1059</v>
      </c>
      <c r="C4610" s="6" t="s">
        <v>128</v>
      </c>
      <c r="D4610" s="13" t="n">
        <v>45522</v>
      </c>
      <c r="E4610" s="14" t="n">
        <v>2061.59</v>
      </c>
      <c r="F4610" s="14" t="n">
        <v>13015.72</v>
      </c>
      <c r="G4610" s="6" t="s">
        <v>2613</v>
      </c>
    </row>
    <row r="4611" customFormat="false" ht="15" hidden="false" customHeight="true" outlineLevel="0" collapsed="false">
      <c r="A4611" s="6" t="s">
        <v>7223</v>
      </c>
      <c r="B4611" s="6" t="s">
        <v>1059</v>
      </c>
      <c r="C4611" s="6" t="s">
        <v>128</v>
      </c>
      <c r="D4611" s="13" t="n">
        <v>45529</v>
      </c>
      <c r="E4611" s="14" t="n">
        <v>1302.44</v>
      </c>
      <c r="F4611" s="14" t="n">
        <v>14318.16</v>
      </c>
      <c r="G4611" s="6" t="s">
        <v>2613</v>
      </c>
    </row>
    <row r="4612" customFormat="false" ht="15" hidden="false" customHeight="true" outlineLevel="0" collapsed="false">
      <c r="A4612" s="6" t="s">
        <v>7224</v>
      </c>
      <c r="B4612" s="6" t="s">
        <v>1059</v>
      </c>
      <c r="C4612" s="6" t="s">
        <v>128</v>
      </c>
      <c r="D4612" s="13" t="n">
        <v>45536</v>
      </c>
      <c r="E4612" s="14" t="n">
        <v>1901.35</v>
      </c>
      <c r="F4612" s="14" t="n">
        <v>16219.51</v>
      </c>
      <c r="G4612" s="6" t="s">
        <v>2613</v>
      </c>
    </row>
    <row r="4613" customFormat="false" ht="15" hidden="false" customHeight="true" outlineLevel="0" collapsed="false">
      <c r="A4613" s="6" t="s">
        <v>7225</v>
      </c>
      <c r="B4613" s="6" t="s">
        <v>1059</v>
      </c>
      <c r="C4613" s="6" t="s">
        <v>128</v>
      </c>
      <c r="D4613" s="13" t="n">
        <v>45543</v>
      </c>
      <c r="E4613" s="14" t="n">
        <v>1646.89</v>
      </c>
      <c r="F4613" s="14" t="n">
        <v>17866.4</v>
      </c>
      <c r="G4613" s="6" t="s">
        <v>2613</v>
      </c>
    </row>
    <row r="4614" customFormat="false" ht="15" hidden="false" customHeight="true" outlineLevel="0" collapsed="false">
      <c r="A4614" s="6" t="s">
        <v>7226</v>
      </c>
      <c r="B4614" s="6" t="s">
        <v>1059</v>
      </c>
      <c r="C4614" s="6" t="s">
        <v>128</v>
      </c>
      <c r="D4614" s="13" t="n">
        <v>45550</v>
      </c>
      <c r="E4614" s="14" t="n">
        <v>1953.38</v>
      </c>
      <c r="F4614" s="14" t="n">
        <v>19819.78</v>
      </c>
      <c r="G4614" s="6" t="s">
        <v>2613</v>
      </c>
    </row>
    <row r="4615" customFormat="false" ht="15" hidden="false" customHeight="true" outlineLevel="0" collapsed="false">
      <c r="A4615" s="6" t="s">
        <v>7227</v>
      </c>
      <c r="B4615" s="6" t="s">
        <v>1059</v>
      </c>
      <c r="C4615" s="6" t="s">
        <v>128</v>
      </c>
      <c r="D4615" s="13" t="n">
        <v>45557</v>
      </c>
      <c r="E4615" s="14" t="n">
        <v>1176.5</v>
      </c>
      <c r="F4615" s="14" t="n">
        <v>20996.28</v>
      </c>
      <c r="G4615" s="6" t="s">
        <v>2613</v>
      </c>
    </row>
    <row r="4616" customFormat="false" ht="15" hidden="false" customHeight="true" outlineLevel="0" collapsed="false">
      <c r="A4616" s="6" t="s">
        <v>7228</v>
      </c>
      <c r="B4616" s="6" t="s">
        <v>1059</v>
      </c>
      <c r="C4616" s="6" t="s">
        <v>128</v>
      </c>
      <c r="D4616" s="13" t="n">
        <v>45564</v>
      </c>
      <c r="E4616" s="14" t="n">
        <v>1612.05</v>
      </c>
      <c r="F4616" s="14" t="n">
        <v>22608.33</v>
      </c>
      <c r="G4616" s="6" t="s">
        <v>2613</v>
      </c>
    </row>
    <row r="4617" customFormat="false" ht="15" hidden="false" customHeight="true" outlineLevel="0" collapsed="false">
      <c r="A4617" s="6" t="s">
        <v>7229</v>
      </c>
      <c r="B4617" s="6" t="s">
        <v>1059</v>
      </c>
      <c r="C4617" s="6" t="s">
        <v>128</v>
      </c>
      <c r="D4617" s="13" t="n">
        <v>45571</v>
      </c>
      <c r="E4617" s="14" t="n">
        <v>970.48</v>
      </c>
      <c r="F4617" s="14" t="n">
        <v>23578.81</v>
      </c>
      <c r="G4617" s="6" t="s">
        <v>2613</v>
      </c>
    </row>
    <row r="4618" customFormat="false" ht="15" hidden="false" customHeight="true" outlineLevel="0" collapsed="false">
      <c r="A4618" s="6" t="s">
        <v>7230</v>
      </c>
      <c r="B4618" s="6" t="s">
        <v>1059</v>
      </c>
      <c r="C4618" s="6" t="s">
        <v>128</v>
      </c>
      <c r="D4618" s="13" t="n">
        <v>45578</v>
      </c>
      <c r="E4618" s="14" t="n">
        <v>1916.42</v>
      </c>
      <c r="F4618" s="14" t="n">
        <v>25495.23</v>
      </c>
      <c r="G4618" s="6" t="s">
        <v>2613</v>
      </c>
    </row>
    <row r="4619" customFormat="false" ht="15" hidden="false" customHeight="true" outlineLevel="0" collapsed="false">
      <c r="A4619" s="6" t="s">
        <v>7231</v>
      </c>
      <c r="B4619" s="6" t="s">
        <v>1059</v>
      </c>
      <c r="C4619" s="6" t="s">
        <v>128</v>
      </c>
      <c r="D4619" s="13" t="n">
        <v>45585</v>
      </c>
      <c r="E4619" s="14" t="n">
        <v>1376.19</v>
      </c>
      <c r="F4619" s="14" t="n">
        <v>26871.42</v>
      </c>
      <c r="G4619" s="6" t="s">
        <v>2613</v>
      </c>
    </row>
    <row r="4620" customFormat="false" ht="15" hidden="false" customHeight="true" outlineLevel="0" collapsed="false">
      <c r="A4620" s="6" t="s">
        <v>7232</v>
      </c>
      <c r="B4620" s="6" t="s">
        <v>1059</v>
      </c>
      <c r="C4620" s="6" t="s">
        <v>128</v>
      </c>
      <c r="D4620" s="13" t="n">
        <v>45592</v>
      </c>
      <c r="E4620" s="14" t="n">
        <v>3078.79</v>
      </c>
      <c r="F4620" s="14" t="n">
        <v>29950.21</v>
      </c>
      <c r="G4620" s="6" t="s">
        <v>2613</v>
      </c>
    </row>
    <row r="4621" customFormat="false" ht="15" hidden="false" customHeight="true" outlineLevel="0" collapsed="false">
      <c r="A4621" s="6" t="s">
        <v>7233</v>
      </c>
      <c r="B4621" s="6" t="s">
        <v>1061</v>
      </c>
      <c r="C4621" s="6" t="s">
        <v>131</v>
      </c>
      <c r="D4621" s="13" t="n">
        <v>45347</v>
      </c>
      <c r="E4621" s="14" t="n">
        <v>1851.91</v>
      </c>
      <c r="F4621" s="14" t="n">
        <v>1851.91</v>
      </c>
      <c r="G4621" s="6" t="s">
        <v>2623</v>
      </c>
    </row>
    <row r="4622" customFormat="false" ht="15" hidden="false" customHeight="true" outlineLevel="0" collapsed="false">
      <c r="A4622" s="6" t="s">
        <v>7234</v>
      </c>
      <c r="B4622" s="6" t="s">
        <v>1061</v>
      </c>
      <c r="C4622" s="6" t="s">
        <v>131</v>
      </c>
      <c r="D4622" s="13" t="n">
        <v>45354</v>
      </c>
      <c r="E4622" s="14" t="n">
        <v>2021.79</v>
      </c>
      <c r="F4622" s="14" t="n">
        <v>3873.7</v>
      </c>
      <c r="G4622" s="6" t="s">
        <v>2613</v>
      </c>
    </row>
    <row r="4623" customFormat="false" ht="15" hidden="false" customHeight="true" outlineLevel="0" collapsed="false">
      <c r="A4623" s="6" t="s">
        <v>7235</v>
      </c>
      <c r="B4623" s="6" t="s">
        <v>1061</v>
      </c>
      <c r="C4623" s="6" t="s">
        <v>131</v>
      </c>
      <c r="D4623" s="13" t="n">
        <v>45361</v>
      </c>
      <c r="E4623" s="14" t="n">
        <v>1844.99</v>
      </c>
      <c r="F4623" s="14" t="n">
        <v>5718.69</v>
      </c>
      <c r="G4623" s="6" t="s">
        <v>2613</v>
      </c>
    </row>
    <row r="4624" customFormat="false" ht="15" hidden="false" customHeight="true" outlineLevel="0" collapsed="false">
      <c r="A4624" s="6" t="s">
        <v>7236</v>
      </c>
      <c r="B4624" s="6" t="s">
        <v>1061</v>
      </c>
      <c r="C4624" s="6" t="s">
        <v>131</v>
      </c>
      <c r="D4624" s="13" t="n">
        <v>45368</v>
      </c>
      <c r="E4624" s="14" t="n">
        <v>1819.69</v>
      </c>
      <c r="F4624" s="14" t="n">
        <v>7538.38</v>
      </c>
      <c r="G4624" s="6" t="s">
        <v>2613</v>
      </c>
    </row>
    <row r="4625" customFormat="false" ht="15" hidden="false" customHeight="true" outlineLevel="0" collapsed="false">
      <c r="A4625" s="6" t="s">
        <v>7237</v>
      </c>
      <c r="B4625" s="6" t="s">
        <v>1061</v>
      </c>
      <c r="C4625" s="6" t="s">
        <v>131</v>
      </c>
      <c r="D4625" s="13" t="n">
        <v>45375</v>
      </c>
      <c r="E4625" s="14" t="n">
        <v>1426.66</v>
      </c>
      <c r="F4625" s="14" t="n">
        <v>8965.04</v>
      </c>
      <c r="G4625" s="6" t="s">
        <v>2623</v>
      </c>
    </row>
    <row r="4626" customFormat="false" ht="15" hidden="false" customHeight="true" outlineLevel="0" collapsed="false">
      <c r="A4626" s="6" t="s">
        <v>7238</v>
      </c>
      <c r="B4626" s="6" t="s">
        <v>1061</v>
      </c>
      <c r="C4626" s="6" t="s">
        <v>131</v>
      </c>
      <c r="D4626" s="13" t="n">
        <v>45382</v>
      </c>
      <c r="E4626" s="14" t="n">
        <v>2448.08</v>
      </c>
      <c r="F4626" s="14" t="n">
        <v>11413.12</v>
      </c>
      <c r="G4626" s="6" t="s">
        <v>2613</v>
      </c>
    </row>
    <row r="4627" customFormat="false" ht="15" hidden="false" customHeight="true" outlineLevel="0" collapsed="false">
      <c r="A4627" s="6" t="s">
        <v>7239</v>
      </c>
      <c r="B4627" s="6" t="s">
        <v>1061</v>
      </c>
      <c r="C4627" s="6" t="s">
        <v>131</v>
      </c>
      <c r="D4627" s="13" t="n">
        <v>45389</v>
      </c>
      <c r="E4627" s="14" t="n">
        <v>2160.63</v>
      </c>
      <c r="F4627" s="14" t="n">
        <v>13573.75</v>
      </c>
      <c r="G4627" s="6" t="s">
        <v>2623</v>
      </c>
    </row>
    <row r="4628" customFormat="false" ht="15" hidden="false" customHeight="true" outlineLevel="0" collapsed="false">
      <c r="A4628" s="6" t="s">
        <v>7240</v>
      </c>
      <c r="B4628" s="6" t="s">
        <v>1061</v>
      </c>
      <c r="C4628" s="6" t="s">
        <v>131</v>
      </c>
      <c r="D4628" s="13" t="n">
        <v>45396</v>
      </c>
      <c r="E4628" s="14" t="n">
        <v>2265.51</v>
      </c>
      <c r="F4628" s="14" t="n">
        <v>15839.26</v>
      </c>
      <c r="G4628" s="6" t="s">
        <v>2613</v>
      </c>
    </row>
    <row r="4629" customFormat="false" ht="15" hidden="false" customHeight="true" outlineLevel="0" collapsed="false">
      <c r="A4629" s="6" t="s">
        <v>7241</v>
      </c>
      <c r="B4629" s="6" t="s">
        <v>1061</v>
      </c>
      <c r="C4629" s="6" t="s">
        <v>131</v>
      </c>
      <c r="D4629" s="13" t="n">
        <v>45403</v>
      </c>
      <c r="E4629" s="14" t="n">
        <v>2770.95</v>
      </c>
      <c r="F4629" s="14" t="n">
        <v>18610.21</v>
      </c>
      <c r="G4629" s="6" t="s">
        <v>2613</v>
      </c>
    </row>
    <row r="4630" customFormat="false" ht="15" hidden="false" customHeight="true" outlineLevel="0" collapsed="false">
      <c r="A4630" s="6" t="s">
        <v>7242</v>
      </c>
      <c r="B4630" s="6" t="s">
        <v>1061</v>
      </c>
      <c r="C4630" s="6" t="s">
        <v>131</v>
      </c>
      <c r="D4630" s="13" t="n">
        <v>45410</v>
      </c>
      <c r="E4630" s="14" t="n">
        <v>3238.47</v>
      </c>
      <c r="F4630" s="14" t="n">
        <v>21848.68</v>
      </c>
      <c r="G4630" s="6" t="s">
        <v>2613</v>
      </c>
    </row>
    <row r="4631" customFormat="false" ht="15" hidden="false" customHeight="true" outlineLevel="0" collapsed="false">
      <c r="A4631" s="6" t="s">
        <v>7243</v>
      </c>
      <c r="B4631" s="6" t="s">
        <v>1061</v>
      </c>
      <c r="C4631" s="6" t="s">
        <v>131</v>
      </c>
      <c r="D4631" s="13" t="n">
        <v>45417</v>
      </c>
      <c r="E4631" s="14" t="n">
        <v>2733.38</v>
      </c>
      <c r="F4631" s="14" t="n">
        <v>24582.06</v>
      </c>
      <c r="G4631" s="6" t="s">
        <v>2613</v>
      </c>
    </row>
    <row r="4632" customFormat="false" ht="15" hidden="false" customHeight="true" outlineLevel="0" collapsed="false">
      <c r="A4632" s="6" t="s">
        <v>7244</v>
      </c>
      <c r="B4632" s="6" t="s">
        <v>1061</v>
      </c>
      <c r="C4632" s="6" t="s">
        <v>131</v>
      </c>
      <c r="D4632" s="13" t="n">
        <v>45424</v>
      </c>
      <c r="E4632" s="14" t="n">
        <v>1795.41</v>
      </c>
      <c r="F4632" s="14" t="n">
        <v>26377.47</v>
      </c>
      <c r="G4632" s="6" t="s">
        <v>2613</v>
      </c>
    </row>
    <row r="4633" customFormat="false" ht="15" hidden="false" customHeight="true" outlineLevel="0" collapsed="false">
      <c r="A4633" s="6" t="s">
        <v>7245</v>
      </c>
      <c r="B4633" s="6" t="s">
        <v>1061</v>
      </c>
      <c r="C4633" s="6" t="s">
        <v>131</v>
      </c>
      <c r="D4633" s="13" t="n">
        <v>45431</v>
      </c>
      <c r="E4633" s="14" t="n">
        <v>1464.23</v>
      </c>
      <c r="F4633" s="14" t="n">
        <v>27841.7</v>
      </c>
      <c r="G4633" s="6" t="s">
        <v>2623</v>
      </c>
    </row>
    <row r="4634" customFormat="false" ht="15" hidden="false" customHeight="true" outlineLevel="0" collapsed="false">
      <c r="A4634" s="6" t="s">
        <v>7246</v>
      </c>
      <c r="B4634" s="6" t="s">
        <v>1061</v>
      </c>
      <c r="C4634" s="6" t="s">
        <v>131</v>
      </c>
      <c r="D4634" s="13" t="n">
        <v>45438</v>
      </c>
      <c r="E4634" s="14" t="n">
        <v>4733.33</v>
      </c>
      <c r="F4634" s="14" t="n">
        <v>32575.03</v>
      </c>
      <c r="G4634" s="6" t="s">
        <v>2613</v>
      </c>
    </row>
    <row r="4635" customFormat="false" ht="15" hidden="false" customHeight="true" outlineLevel="0" collapsed="false">
      <c r="A4635" s="6" t="s">
        <v>7247</v>
      </c>
      <c r="B4635" s="6" t="s">
        <v>1063</v>
      </c>
      <c r="C4635" s="6" t="s">
        <v>112</v>
      </c>
      <c r="D4635" s="13" t="n">
        <v>46097</v>
      </c>
      <c r="E4635" s="14" t="n">
        <v>4937.73</v>
      </c>
      <c r="F4635" s="14" t="n">
        <v>4937.73</v>
      </c>
      <c r="G4635" s="6" t="s">
        <v>2613</v>
      </c>
    </row>
    <row r="4636" customFormat="false" ht="15" hidden="false" customHeight="true" outlineLevel="0" collapsed="false">
      <c r="A4636" s="6" t="s">
        <v>7248</v>
      </c>
      <c r="B4636" s="6" t="s">
        <v>1063</v>
      </c>
      <c r="C4636" s="6" t="s">
        <v>112</v>
      </c>
      <c r="D4636" s="13" t="n">
        <v>46104</v>
      </c>
      <c r="E4636" s="14" t="n">
        <v>8027.22</v>
      </c>
      <c r="F4636" s="14" t="n">
        <v>12964.95</v>
      </c>
      <c r="G4636" s="6" t="s">
        <v>2613</v>
      </c>
    </row>
    <row r="4637" customFormat="false" ht="15" hidden="false" customHeight="true" outlineLevel="0" collapsed="false">
      <c r="A4637" s="6" t="s">
        <v>7249</v>
      </c>
      <c r="B4637" s="6" t="s">
        <v>1063</v>
      </c>
      <c r="C4637" s="6" t="s">
        <v>112</v>
      </c>
      <c r="D4637" s="13" t="n">
        <v>46111</v>
      </c>
      <c r="E4637" s="14" t="n">
        <v>8989.64</v>
      </c>
      <c r="F4637" s="14" t="n">
        <v>21954.59</v>
      </c>
      <c r="G4637" s="6" t="s">
        <v>2623</v>
      </c>
    </row>
    <row r="4638" customFormat="false" ht="15" hidden="false" customHeight="true" outlineLevel="0" collapsed="false">
      <c r="A4638" s="6" t="s">
        <v>7250</v>
      </c>
      <c r="B4638" s="6" t="s">
        <v>1063</v>
      </c>
      <c r="C4638" s="6" t="s">
        <v>112</v>
      </c>
      <c r="D4638" s="13" t="n">
        <v>46118</v>
      </c>
      <c r="E4638" s="14" t="n">
        <v>9898.5</v>
      </c>
      <c r="F4638" s="14" t="n">
        <v>31853.09</v>
      </c>
      <c r="G4638" s="6" t="s">
        <v>2613</v>
      </c>
    </row>
    <row r="4639" customFormat="false" ht="15" hidden="false" customHeight="true" outlineLevel="0" collapsed="false">
      <c r="A4639" s="6" t="s">
        <v>7251</v>
      </c>
      <c r="B4639" s="6" t="s">
        <v>1063</v>
      </c>
      <c r="C4639" s="6" t="s">
        <v>112</v>
      </c>
      <c r="D4639" s="13" t="n">
        <v>46125</v>
      </c>
      <c r="E4639" s="14" t="n">
        <v>6008.3</v>
      </c>
      <c r="F4639" s="14" t="n">
        <v>37861.39</v>
      </c>
      <c r="G4639" s="6" t="s">
        <v>2613</v>
      </c>
    </row>
    <row r="4640" customFormat="false" ht="15" hidden="false" customHeight="true" outlineLevel="0" collapsed="false">
      <c r="A4640" s="6" t="s">
        <v>7252</v>
      </c>
      <c r="B4640" s="6" t="s">
        <v>1063</v>
      </c>
      <c r="C4640" s="6" t="s">
        <v>112</v>
      </c>
      <c r="D4640" s="13" t="n">
        <v>46132</v>
      </c>
      <c r="E4640" s="14" t="n">
        <v>6719.49</v>
      </c>
      <c r="F4640" s="14" t="n">
        <v>44580.88</v>
      </c>
      <c r="G4640" s="6" t="s">
        <v>2623</v>
      </c>
    </row>
    <row r="4641" customFormat="false" ht="15" hidden="false" customHeight="true" outlineLevel="0" collapsed="false">
      <c r="A4641" s="6" t="s">
        <v>7253</v>
      </c>
      <c r="B4641" s="6" t="s">
        <v>1063</v>
      </c>
      <c r="C4641" s="6" t="s">
        <v>112</v>
      </c>
      <c r="D4641" s="13" t="n">
        <v>46139</v>
      </c>
      <c r="E4641" s="14" t="n">
        <v>9821.97</v>
      </c>
      <c r="F4641" s="14" t="n">
        <v>54402.85</v>
      </c>
      <c r="G4641" s="6" t="s">
        <v>2613</v>
      </c>
    </row>
    <row r="4642" customFormat="false" ht="15" hidden="false" customHeight="true" outlineLevel="0" collapsed="false">
      <c r="A4642" s="6" t="s">
        <v>7254</v>
      </c>
      <c r="B4642" s="6" t="s">
        <v>1065</v>
      </c>
      <c r="C4642" s="6" t="s">
        <v>128</v>
      </c>
      <c r="D4642" s="13" t="n">
        <v>45739</v>
      </c>
      <c r="E4642" s="14" t="n">
        <v>2203.63</v>
      </c>
      <c r="F4642" s="14" t="n">
        <v>2203.63</v>
      </c>
      <c r="G4642" s="6" t="s">
        <v>2613</v>
      </c>
    </row>
    <row r="4643" customFormat="false" ht="15" hidden="false" customHeight="true" outlineLevel="0" collapsed="false">
      <c r="A4643" s="6" t="s">
        <v>7255</v>
      </c>
      <c r="B4643" s="6" t="s">
        <v>1065</v>
      </c>
      <c r="C4643" s="6" t="s">
        <v>128</v>
      </c>
      <c r="D4643" s="13" t="n">
        <v>45746</v>
      </c>
      <c r="E4643" s="14" t="n">
        <v>3554.88</v>
      </c>
      <c r="F4643" s="14" t="n">
        <v>5758.51</v>
      </c>
      <c r="G4643" s="6" t="s">
        <v>2613</v>
      </c>
    </row>
    <row r="4644" customFormat="false" ht="15" hidden="false" customHeight="true" outlineLevel="0" collapsed="false">
      <c r="A4644" s="6" t="s">
        <v>7256</v>
      </c>
      <c r="B4644" s="6" t="s">
        <v>1065</v>
      </c>
      <c r="C4644" s="6" t="s">
        <v>128</v>
      </c>
      <c r="D4644" s="13" t="n">
        <v>45753</v>
      </c>
      <c r="E4644" s="14" t="n">
        <v>2260.48</v>
      </c>
      <c r="F4644" s="14" t="n">
        <v>8018.99</v>
      </c>
      <c r="G4644" s="6" t="s">
        <v>2613</v>
      </c>
    </row>
    <row r="4645" customFormat="false" ht="15" hidden="false" customHeight="true" outlineLevel="0" collapsed="false">
      <c r="A4645" s="6" t="s">
        <v>7257</v>
      </c>
      <c r="B4645" s="6" t="s">
        <v>1065</v>
      </c>
      <c r="C4645" s="6" t="s">
        <v>128</v>
      </c>
      <c r="D4645" s="13" t="n">
        <v>45760</v>
      </c>
      <c r="E4645" s="14" t="n">
        <v>2109.37</v>
      </c>
      <c r="F4645" s="14" t="n">
        <v>10128.36</v>
      </c>
      <c r="G4645" s="6" t="s">
        <v>2613</v>
      </c>
    </row>
    <row r="4646" customFormat="false" ht="15" hidden="false" customHeight="true" outlineLevel="0" collapsed="false">
      <c r="A4646" s="6" t="s">
        <v>7258</v>
      </c>
      <c r="B4646" s="6" t="s">
        <v>1065</v>
      </c>
      <c r="C4646" s="6" t="s">
        <v>128</v>
      </c>
      <c r="D4646" s="13" t="n">
        <v>45767</v>
      </c>
      <c r="E4646" s="14" t="n">
        <v>3373.69</v>
      </c>
      <c r="F4646" s="14" t="n">
        <v>13502.05</v>
      </c>
      <c r="G4646" s="6" t="s">
        <v>2613</v>
      </c>
    </row>
    <row r="4647" customFormat="false" ht="15" hidden="false" customHeight="true" outlineLevel="0" collapsed="false">
      <c r="A4647" s="6" t="s">
        <v>7259</v>
      </c>
      <c r="B4647" s="6" t="s">
        <v>1065</v>
      </c>
      <c r="C4647" s="6" t="s">
        <v>128</v>
      </c>
      <c r="D4647" s="13" t="n">
        <v>45774</v>
      </c>
      <c r="E4647" s="14" t="n">
        <v>2113.88</v>
      </c>
      <c r="F4647" s="14" t="n">
        <v>15615.93</v>
      </c>
      <c r="G4647" s="6" t="s">
        <v>2613</v>
      </c>
    </row>
    <row r="4648" customFormat="false" ht="15" hidden="false" customHeight="true" outlineLevel="0" collapsed="false">
      <c r="A4648" s="6" t="s">
        <v>7260</v>
      </c>
      <c r="B4648" s="6" t="s">
        <v>1065</v>
      </c>
      <c r="C4648" s="6" t="s">
        <v>128</v>
      </c>
      <c r="D4648" s="13" t="n">
        <v>45781</v>
      </c>
      <c r="E4648" s="14" t="n">
        <v>3972.55</v>
      </c>
      <c r="F4648" s="14" t="n">
        <v>19588.48</v>
      </c>
      <c r="G4648" s="6" t="s">
        <v>2613</v>
      </c>
    </row>
    <row r="4649" customFormat="false" ht="15" hidden="false" customHeight="true" outlineLevel="0" collapsed="false">
      <c r="A4649" s="6" t="s">
        <v>7261</v>
      </c>
      <c r="B4649" s="6" t="s">
        <v>1065</v>
      </c>
      <c r="C4649" s="6" t="s">
        <v>128</v>
      </c>
      <c r="D4649" s="13" t="n">
        <v>45788</v>
      </c>
      <c r="E4649" s="14" t="n">
        <v>4310.27</v>
      </c>
      <c r="F4649" s="14" t="n">
        <v>23898.75</v>
      </c>
      <c r="G4649" s="6" t="s">
        <v>2613</v>
      </c>
    </row>
    <row r="4650" customFormat="false" ht="15" hidden="false" customHeight="true" outlineLevel="0" collapsed="false">
      <c r="A4650" s="6" t="s">
        <v>7262</v>
      </c>
      <c r="B4650" s="6" t="s">
        <v>1067</v>
      </c>
      <c r="C4650" s="6" t="s">
        <v>120</v>
      </c>
      <c r="D4650" s="13" t="n">
        <v>45429</v>
      </c>
      <c r="E4650" s="14" t="n">
        <v>1732.96</v>
      </c>
      <c r="F4650" s="14" t="n">
        <v>1732.96</v>
      </c>
      <c r="G4650" s="6" t="s">
        <v>2613</v>
      </c>
    </row>
    <row r="4651" customFormat="false" ht="15" hidden="false" customHeight="true" outlineLevel="0" collapsed="false">
      <c r="A4651" s="6" t="s">
        <v>7263</v>
      </c>
      <c r="B4651" s="6" t="s">
        <v>1067</v>
      </c>
      <c r="C4651" s="6" t="s">
        <v>120</v>
      </c>
      <c r="D4651" s="13" t="n">
        <v>45436</v>
      </c>
      <c r="E4651" s="14" t="n">
        <v>1546.75</v>
      </c>
      <c r="F4651" s="14" t="n">
        <v>3279.71</v>
      </c>
      <c r="G4651" s="6" t="s">
        <v>2613</v>
      </c>
    </row>
    <row r="4652" customFormat="false" ht="15" hidden="false" customHeight="true" outlineLevel="0" collapsed="false">
      <c r="A4652" s="6" t="s">
        <v>7264</v>
      </c>
      <c r="B4652" s="6" t="s">
        <v>1067</v>
      </c>
      <c r="C4652" s="6" t="s">
        <v>120</v>
      </c>
      <c r="D4652" s="13" t="n">
        <v>45443</v>
      </c>
      <c r="E4652" s="14" t="n">
        <v>2815.51</v>
      </c>
      <c r="F4652" s="14" t="n">
        <v>6095.22</v>
      </c>
      <c r="G4652" s="6" t="s">
        <v>2613</v>
      </c>
    </row>
    <row r="4653" customFormat="false" ht="15" hidden="false" customHeight="true" outlineLevel="0" collapsed="false">
      <c r="A4653" s="6" t="s">
        <v>7265</v>
      </c>
      <c r="B4653" s="6" t="s">
        <v>1067</v>
      </c>
      <c r="C4653" s="6" t="s">
        <v>120</v>
      </c>
      <c r="D4653" s="13" t="n">
        <v>45450</v>
      </c>
      <c r="E4653" s="14" t="n">
        <v>2288.78</v>
      </c>
      <c r="F4653" s="14" t="n">
        <v>8384</v>
      </c>
      <c r="G4653" s="6" t="s">
        <v>2613</v>
      </c>
    </row>
    <row r="4654" customFormat="false" ht="15" hidden="false" customHeight="true" outlineLevel="0" collapsed="false">
      <c r="A4654" s="6" t="s">
        <v>7266</v>
      </c>
      <c r="B4654" s="6" t="s">
        <v>1067</v>
      </c>
      <c r="C4654" s="6" t="s">
        <v>120</v>
      </c>
      <c r="D4654" s="13" t="n">
        <v>45457</v>
      </c>
      <c r="E4654" s="14" t="n">
        <v>2571.44</v>
      </c>
      <c r="F4654" s="14" t="n">
        <v>10955.44</v>
      </c>
      <c r="G4654" s="6" t="s">
        <v>2613</v>
      </c>
    </row>
    <row r="4655" customFormat="false" ht="15" hidden="false" customHeight="true" outlineLevel="0" collapsed="false">
      <c r="A4655" s="6" t="s">
        <v>7267</v>
      </c>
      <c r="B4655" s="6" t="s">
        <v>1067</v>
      </c>
      <c r="C4655" s="6" t="s">
        <v>120</v>
      </c>
      <c r="D4655" s="13" t="n">
        <v>45464</v>
      </c>
      <c r="E4655" s="14" t="n">
        <v>3030.75</v>
      </c>
      <c r="F4655" s="14" t="n">
        <v>13986.19</v>
      </c>
      <c r="G4655" s="6" t="s">
        <v>2613</v>
      </c>
    </row>
    <row r="4656" customFormat="false" ht="15" hidden="false" customHeight="true" outlineLevel="0" collapsed="false">
      <c r="A4656" s="6" t="s">
        <v>7268</v>
      </c>
      <c r="B4656" s="6" t="s">
        <v>1067</v>
      </c>
      <c r="C4656" s="6" t="s">
        <v>120</v>
      </c>
      <c r="D4656" s="13" t="n">
        <v>45471</v>
      </c>
      <c r="E4656" s="14" t="n">
        <v>3003.87</v>
      </c>
      <c r="F4656" s="14" t="n">
        <v>16990.06</v>
      </c>
      <c r="G4656" s="6" t="s">
        <v>2613</v>
      </c>
    </row>
    <row r="4657" customFormat="false" ht="15" hidden="false" customHeight="true" outlineLevel="0" collapsed="false">
      <c r="A4657" s="6" t="s">
        <v>7269</v>
      </c>
      <c r="B4657" s="6" t="s">
        <v>1067</v>
      </c>
      <c r="C4657" s="6" t="s">
        <v>120</v>
      </c>
      <c r="D4657" s="13" t="n">
        <v>45478</v>
      </c>
      <c r="E4657" s="14" t="n">
        <v>1028.08</v>
      </c>
      <c r="F4657" s="14" t="n">
        <v>18018.14</v>
      </c>
      <c r="G4657" s="6" t="s">
        <v>2613</v>
      </c>
    </row>
    <row r="4658" customFormat="false" ht="15" hidden="false" customHeight="true" outlineLevel="0" collapsed="false">
      <c r="A4658" s="6" t="s">
        <v>7270</v>
      </c>
      <c r="B4658" s="6" t="s">
        <v>1069</v>
      </c>
      <c r="C4658" s="6" t="s">
        <v>116</v>
      </c>
      <c r="D4658" s="13" t="n">
        <v>45007</v>
      </c>
      <c r="E4658" s="14" t="n">
        <v>4209.73</v>
      </c>
      <c r="F4658" s="14" t="n">
        <v>4209.73</v>
      </c>
      <c r="G4658" s="6" t="s">
        <v>2613</v>
      </c>
    </row>
    <row r="4659" customFormat="false" ht="15" hidden="false" customHeight="true" outlineLevel="0" collapsed="false">
      <c r="A4659" s="6" t="s">
        <v>7271</v>
      </c>
      <c r="B4659" s="6" t="s">
        <v>1069</v>
      </c>
      <c r="C4659" s="6" t="s">
        <v>116</v>
      </c>
      <c r="D4659" s="13" t="n">
        <v>45014</v>
      </c>
      <c r="E4659" s="14" t="n">
        <v>2775.83</v>
      </c>
      <c r="F4659" s="14" t="n">
        <v>6985.56</v>
      </c>
      <c r="G4659" s="6" t="s">
        <v>2613</v>
      </c>
    </row>
    <row r="4660" customFormat="false" ht="15" hidden="false" customHeight="true" outlineLevel="0" collapsed="false">
      <c r="A4660" s="6" t="s">
        <v>7272</v>
      </c>
      <c r="B4660" s="6" t="s">
        <v>1069</v>
      </c>
      <c r="C4660" s="6" t="s">
        <v>116</v>
      </c>
      <c r="D4660" s="13" t="n">
        <v>45021</v>
      </c>
      <c r="E4660" s="14" t="n">
        <v>3225.4</v>
      </c>
      <c r="F4660" s="14" t="n">
        <v>10210.96</v>
      </c>
      <c r="G4660" s="6" t="s">
        <v>2623</v>
      </c>
    </row>
    <row r="4661" customFormat="false" ht="15" hidden="false" customHeight="true" outlineLevel="0" collapsed="false">
      <c r="A4661" s="6" t="s">
        <v>7273</v>
      </c>
      <c r="B4661" s="6" t="s">
        <v>1069</v>
      </c>
      <c r="C4661" s="6" t="s">
        <v>116</v>
      </c>
      <c r="D4661" s="13" t="n">
        <v>45028</v>
      </c>
      <c r="E4661" s="14" t="n">
        <v>3534.79</v>
      </c>
      <c r="F4661" s="14" t="n">
        <v>13745.75</v>
      </c>
      <c r="G4661" s="6" t="s">
        <v>2613</v>
      </c>
    </row>
    <row r="4662" customFormat="false" ht="15" hidden="false" customHeight="true" outlineLevel="0" collapsed="false">
      <c r="A4662" s="6" t="s">
        <v>7274</v>
      </c>
      <c r="B4662" s="6" t="s">
        <v>1069</v>
      </c>
      <c r="C4662" s="6" t="s">
        <v>116</v>
      </c>
      <c r="D4662" s="13" t="n">
        <v>45035</v>
      </c>
      <c r="E4662" s="14" t="n">
        <v>2327.79</v>
      </c>
      <c r="F4662" s="14" t="n">
        <v>16073.54</v>
      </c>
      <c r="G4662" s="6" t="s">
        <v>2623</v>
      </c>
    </row>
    <row r="4663" customFormat="false" ht="15" hidden="false" customHeight="true" outlineLevel="0" collapsed="false">
      <c r="A4663" s="6" t="s">
        <v>7275</v>
      </c>
      <c r="B4663" s="6" t="s">
        <v>1069</v>
      </c>
      <c r="C4663" s="6" t="s">
        <v>116</v>
      </c>
      <c r="D4663" s="13" t="n">
        <v>45042</v>
      </c>
      <c r="E4663" s="14" t="n">
        <v>3947.9</v>
      </c>
      <c r="F4663" s="14" t="n">
        <v>20021.44</v>
      </c>
      <c r="G4663" s="6" t="s">
        <v>2613</v>
      </c>
    </row>
    <row r="4664" customFormat="false" ht="15" hidden="false" customHeight="true" outlineLevel="0" collapsed="false">
      <c r="A4664" s="6" t="s">
        <v>7276</v>
      </c>
      <c r="B4664" s="6" t="s">
        <v>1069</v>
      </c>
      <c r="C4664" s="6" t="s">
        <v>116</v>
      </c>
      <c r="D4664" s="13" t="n">
        <v>45049</v>
      </c>
      <c r="E4664" s="14" t="n">
        <v>4266.95</v>
      </c>
      <c r="F4664" s="14" t="n">
        <v>24288.39</v>
      </c>
      <c r="G4664" s="6" t="s">
        <v>2613</v>
      </c>
    </row>
    <row r="4665" customFormat="false" ht="15" hidden="false" customHeight="true" outlineLevel="0" collapsed="false">
      <c r="A4665" s="6" t="s">
        <v>7277</v>
      </c>
      <c r="B4665" s="6" t="s">
        <v>1069</v>
      </c>
      <c r="C4665" s="6" t="s">
        <v>116</v>
      </c>
      <c r="D4665" s="13" t="n">
        <v>45056</v>
      </c>
      <c r="E4665" s="14" t="n">
        <v>3038.86</v>
      </c>
      <c r="F4665" s="14" t="n">
        <v>27327.25</v>
      </c>
      <c r="G4665" s="6" t="s">
        <v>2613</v>
      </c>
    </row>
    <row r="4666" customFormat="false" ht="15" hidden="false" customHeight="true" outlineLevel="0" collapsed="false">
      <c r="A4666" s="6" t="s">
        <v>7278</v>
      </c>
      <c r="B4666" s="6" t="s">
        <v>1069</v>
      </c>
      <c r="C4666" s="6" t="s">
        <v>116</v>
      </c>
      <c r="D4666" s="13" t="n">
        <v>45063</v>
      </c>
      <c r="E4666" s="14" t="n">
        <v>3882.71</v>
      </c>
      <c r="F4666" s="14" t="n">
        <v>31209.96</v>
      </c>
      <c r="G4666" s="6" t="s">
        <v>2613</v>
      </c>
    </row>
    <row r="4667" customFormat="false" ht="15" hidden="false" customHeight="true" outlineLevel="0" collapsed="false">
      <c r="A4667" s="6" t="s">
        <v>7279</v>
      </c>
      <c r="B4667" s="6" t="s">
        <v>1069</v>
      </c>
      <c r="C4667" s="6" t="s">
        <v>116</v>
      </c>
      <c r="D4667" s="13" t="n">
        <v>45070</v>
      </c>
      <c r="E4667" s="14" t="n">
        <v>2131.47</v>
      </c>
      <c r="F4667" s="14" t="n">
        <v>33341.43</v>
      </c>
      <c r="G4667" s="6" t="s">
        <v>2613</v>
      </c>
    </row>
    <row r="4668" customFormat="false" ht="15" hidden="false" customHeight="true" outlineLevel="0" collapsed="false">
      <c r="A4668" s="6" t="s">
        <v>7280</v>
      </c>
      <c r="B4668" s="6" t="s">
        <v>1069</v>
      </c>
      <c r="C4668" s="6" t="s">
        <v>116</v>
      </c>
      <c r="D4668" s="13" t="n">
        <v>45077</v>
      </c>
      <c r="E4668" s="14" t="n">
        <v>4316.39</v>
      </c>
      <c r="F4668" s="14" t="n">
        <v>37657.82</v>
      </c>
      <c r="G4668" s="6" t="s">
        <v>2613</v>
      </c>
    </row>
    <row r="4669" customFormat="false" ht="15" hidden="false" customHeight="true" outlineLevel="0" collapsed="false">
      <c r="A4669" s="6" t="s">
        <v>7281</v>
      </c>
      <c r="B4669" s="6" t="s">
        <v>1069</v>
      </c>
      <c r="C4669" s="6" t="s">
        <v>116</v>
      </c>
      <c r="D4669" s="13" t="n">
        <v>45084</v>
      </c>
      <c r="E4669" s="14" t="n">
        <v>2629.67</v>
      </c>
      <c r="F4669" s="14" t="n">
        <v>40287.49</v>
      </c>
      <c r="G4669" s="6" t="s">
        <v>2623</v>
      </c>
    </row>
    <row r="4670" customFormat="false" ht="15" hidden="false" customHeight="true" outlineLevel="0" collapsed="false">
      <c r="A4670" s="6" t="s">
        <v>7282</v>
      </c>
      <c r="B4670" s="6" t="s">
        <v>1069</v>
      </c>
      <c r="C4670" s="6" t="s">
        <v>116</v>
      </c>
      <c r="D4670" s="13" t="n">
        <v>45091</v>
      </c>
      <c r="E4670" s="14" t="n">
        <v>4269.94</v>
      </c>
      <c r="F4670" s="14" t="n">
        <v>44557.43</v>
      </c>
      <c r="G4670" s="6" t="s">
        <v>2613</v>
      </c>
    </row>
    <row r="4671" customFormat="false" ht="15" hidden="false" customHeight="true" outlineLevel="0" collapsed="false">
      <c r="A4671" s="6" t="s">
        <v>7283</v>
      </c>
      <c r="B4671" s="6" t="s">
        <v>1069</v>
      </c>
      <c r="C4671" s="6" t="s">
        <v>116</v>
      </c>
      <c r="D4671" s="13" t="n">
        <v>45098</v>
      </c>
      <c r="E4671" s="14" t="n">
        <v>2188.13</v>
      </c>
      <c r="F4671" s="14" t="n">
        <v>46745.56</v>
      </c>
      <c r="G4671" s="6" t="s">
        <v>2613</v>
      </c>
    </row>
    <row r="4672" customFormat="false" ht="15" hidden="false" customHeight="true" outlineLevel="0" collapsed="false">
      <c r="A4672" s="6" t="s">
        <v>7284</v>
      </c>
      <c r="B4672" s="6" t="s">
        <v>1069</v>
      </c>
      <c r="C4672" s="6" t="s">
        <v>116</v>
      </c>
      <c r="D4672" s="13" t="n">
        <v>45105</v>
      </c>
      <c r="E4672" s="14" t="n">
        <v>2213.07</v>
      </c>
      <c r="F4672" s="14" t="n">
        <v>48958.63</v>
      </c>
      <c r="G4672" s="6" t="s">
        <v>2613</v>
      </c>
    </row>
    <row r="4673" customFormat="false" ht="15" hidden="false" customHeight="true" outlineLevel="0" collapsed="false">
      <c r="A4673" s="6" t="s">
        <v>7285</v>
      </c>
      <c r="B4673" s="6" t="s">
        <v>1069</v>
      </c>
      <c r="C4673" s="6" t="s">
        <v>116</v>
      </c>
      <c r="D4673" s="13" t="n">
        <v>45112</v>
      </c>
      <c r="E4673" s="14" t="n">
        <v>2239.54</v>
      </c>
      <c r="F4673" s="14" t="n">
        <v>51198.17</v>
      </c>
      <c r="G4673" s="6" t="s">
        <v>2613</v>
      </c>
    </row>
    <row r="4674" customFormat="false" ht="15" hidden="false" customHeight="true" outlineLevel="0" collapsed="false">
      <c r="A4674" s="6" t="s">
        <v>7286</v>
      </c>
      <c r="B4674" s="6" t="s">
        <v>1069</v>
      </c>
      <c r="C4674" s="6" t="s">
        <v>116</v>
      </c>
      <c r="D4674" s="13" t="n">
        <v>45119</v>
      </c>
      <c r="E4674" s="14" t="n">
        <v>3448.52</v>
      </c>
      <c r="F4674" s="14" t="n">
        <v>54646.69</v>
      </c>
      <c r="G4674" s="6" t="s">
        <v>2613</v>
      </c>
    </row>
    <row r="4675" customFormat="false" ht="15" hidden="false" customHeight="true" outlineLevel="0" collapsed="false">
      <c r="A4675" s="6" t="s">
        <v>7287</v>
      </c>
      <c r="B4675" s="6" t="s">
        <v>1069</v>
      </c>
      <c r="C4675" s="6" t="s">
        <v>116</v>
      </c>
      <c r="D4675" s="13" t="n">
        <v>45126</v>
      </c>
      <c r="E4675" s="14" t="n">
        <v>2108.07</v>
      </c>
      <c r="F4675" s="14" t="n">
        <v>56754.76</v>
      </c>
      <c r="G4675" s="6" t="s">
        <v>2613</v>
      </c>
    </row>
    <row r="4676" customFormat="false" ht="15" hidden="false" customHeight="true" outlineLevel="0" collapsed="false">
      <c r="A4676" s="6" t="s">
        <v>7288</v>
      </c>
      <c r="B4676" s="6" t="s">
        <v>1069</v>
      </c>
      <c r="C4676" s="6" t="s">
        <v>116</v>
      </c>
      <c r="D4676" s="13" t="n">
        <v>45133</v>
      </c>
      <c r="E4676" s="14" t="n">
        <v>6299.98</v>
      </c>
      <c r="F4676" s="14" t="n">
        <v>63054.74</v>
      </c>
      <c r="G4676" s="6" t="s">
        <v>2613</v>
      </c>
    </row>
    <row r="4677" customFormat="false" ht="15" hidden="false" customHeight="true" outlineLevel="0" collapsed="false">
      <c r="A4677" s="6" t="s">
        <v>7289</v>
      </c>
      <c r="B4677" s="6" t="s">
        <v>1071</v>
      </c>
      <c r="C4677" s="6" t="s">
        <v>116</v>
      </c>
      <c r="D4677" s="13" t="n">
        <v>45260</v>
      </c>
      <c r="E4677" s="14" t="n">
        <v>3177.17</v>
      </c>
      <c r="F4677" s="14" t="n">
        <v>3177.17</v>
      </c>
      <c r="G4677" s="6" t="s">
        <v>2613</v>
      </c>
    </row>
    <row r="4678" customFormat="false" ht="15" hidden="false" customHeight="true" outlineLevel="0" collapsed="false">
      <c r="A4678" s="6" t="s">
        <v>7290</v>
      </c>
      <c r="B4678" s="6" t="s">
        <v>1071</v>
      </c>
      <c r="C4678" s="6" t="s">
        <v>116</v>
      </c>
      <c r="D4678" s="13" t="n">
        <v>45267</v>
      </c>
      <c r="E4678" s="14" t="n">
        <v>2992.02</v>
      </c>
      <c r="F4678" s="14" t="n">
        <v>6169.19</v>
      </c>
      <c r="G4678" s="6" t="s">
        <v>2613</v>
      </c>
    </row>
    <row r="4679" customFormat="false" ht="15" hidden="false" customHeight="true" outlineLevel="0" collapsed="false">
      <c r="A4679" s="6" t="s">
        <v>7291</v>
      </c>
      <c r="B4679" s="6" t="s">
        <v>1071</v>
      </c>
      <c r="C4679" s="6" t="s">
        <v>116</v>
      </c>
      <c r="D4679" s="13" t="n">
        <v>45274</v>
      </c>
      <c r="E4679" s="14" t="n">
        <v>3058.9</v>
      </c>
      <c r="F4679" s="14" t="n">
        <v>9228.09</v>
      </c>
      <c r="G4679" s="6" t="s">
        <v>2623</v>
      </c>
    </row>
    <row r="4680" customFormat="false" ht="15" hidden="false" customHeight="true" outlineLevel="0" collapsed="false">
      <c r="A4680" s="6" t="s">
        <v>7292</v>
      </c>
      <c r="B4680" s="6" t="s">
        <v>1071</v>
      </c>
      <c r="C4680" s="6" t="s">
        <v>116</v>
      </c>
      <c r="D4680" s="13" t="n">
        <v>45281</v>
      </c>
      <c r="E4680" s="14" t="n">
        <v>1899.86</v>
      </c>
      <c r="F4680" s="14" t="n">
        <v>11127.95</v>
      </c>
      <c r="G4680" s="6" t="s">
        <v>2613</v>
      </c>
    </row>
    <row r="4681" customFormat="false" ht="15" hidden="false" customHeight="true" outlineLevel="0" collapsed="false">
      <c r="A4681" s="6" t="s">
        <v>7293</v>
      </c>
      <c r="B4681" s="6" t="s">
        <v>1071</v>
      </c>
      <c r="C4681" s="6" t="s">
        <v>116</v>
      </c>
      <c r="D4681" s="13" t="n">
        <v>45288</v>
      </c>
      <c r="E4681" s="14" t="n">
        <v>2880.21</v>
      </c>
      <c r="F4681" s="14" t="n">
        <v>14008.16</v>
      </c>
      <c r="G4681" s="6" t="s">
        <v>2623</v>
      </c>
    </row>
    <row r="4682" customFormat="false" ht="15" hidden="false" customHeight="true" outlineLevel="0" collapsed="false">
      <c r="A4682" s="6" t="s">
        <v>7294</v>
      </c>
      <c r="B4682" s="6" t="s">
        <v>1071</v>
      </c>
      <c r="C4682" s="6" t="s">
        <v>116</v>
      </c>
      <c r="D4682" s="13" t="n">
        <v>45295</v>
      </c>
      <c r="E4682" s="14" t="n">
        <v>2985.94</v>
      </c>
      <c r="F4682" s="14" t="n">
        <v>16994.1</v>
      </c>
      <c r="G4682" s="6" t="s">
        <v>2613</v>
      </c>
    </row>
    <row r="4683" customFormat="false" ht="15" hidden="false" customHeight="true" outlineLevel="0" collapsed="false">
      <c r="A4683" s="6" t="s">
        <v>7295</v>
      </c>
      <c r="B4683" s="6" t="s">
        <v>1071</v>
      </c>
      <c r="C4683" s="6" t="s">
        <v>116</v>
      </c>
      <c r="D4683" s="13" t="n">
        <v>45302</v>
      </c>
      <c r="E4683" s="14" t="n">
        <v>3229.76</v>
      </c>
      <c r="F4683" s="14" t="n">
        <v>20223.86</v>
      </c>
      <c r="G4683" s="6" t="s">
        <v>2613</v>
      </c>
    </row>
    <row r="4684" customFormat="false" ht="15" hidden="false" customHeight="true" outlineLevel="0" collapsed="false">
      <c r="A4684" s="6" t="s">
        <v>7296</v>
      </c>
      <c r="B4684" s="6" t="s">
        <v>1071</v>
      </c>
      <c r="C4684" s="6" t="s">
        <v>116</v>
      </c>
      <c r="D4684" s="13" t="n">
        <v>45309</v>
      </c>
      <c r="E4684" s="14" t="n">
        <v>3414.41</v>
      </c>
      <c r="F4684" s="14" t="n">
        <v>23638.27</v>
      </c>
      <c r="G4684" s="6" t="s">
        <v>2613</v>
      </c>
    </row>
    <row r="4685" customFormat="false" ht="15" hidden="false" customHeight="true" outlineLevel="0" collapsed="false">
      <c r="A4685" s="6" t="s">
        <v>7297</v>
      </c>
      <c r="B4685" s="6" t="s">
        <v>1071</v>
      </c>
      <c r="C4685" s="6" t="s">
        <v>116</v>
      </c>
      <c r="D4685" s="13" t="n">
        <v>45316</v>
      </c>
      <c r="E4685" s="14" t="n">
        <v>1676.26</v>
      </c>
      <c r="F4685" s="14" t="n">
        <v>25314.53</v>
      </c>
      <c r="G4685" s="6" t="s">
        <v>2613</v>
      </c>
    </row>
    <row r="4686" customFormat="false" ht="15" hidden="false" customHeight="true" outlineLevel="0" collapsed="false">
      <c r="A4686" s="6" t="s">
        <v>7298</v>
      </c>
      <c r="B4686" s="6" t="s">
        <v>1071</v>
      </c>
      <c r="C4686" s="6" t="s">
        <v>116</v>
      </c>
      <c r="D4686" s="13" t="n">
        <v>45323</v>
      </c>
      <c r="E4686" s="14" t="n">
        <v>3568.79</v>
      </c>
      <c r="F4686" s="14" t="n">
        <v>28883.32</v>
      </c>
      <c r="G4686" s="6" t="s">
        <v>2623</v>
      </c>
    </row>
    <row r="4687" customFormat="false" ht="15" hidden="false" customHeight="true" outlineLevel="0" collapsed="false">
      <c r="A4687" s="6" t="s">
        <v>7299</v>
      </c>
      <c r="B4687" s="6" t="s">
        <v>1071</v>
      </c>
      <c r="C4687" s="6" t="s">
        <v>116</v>
      </c>
      <c r="D4687" s="13" t="n">
        <v>45330</v>
      </c>
      <c r="E4687" s="14" t="n">
        <v>1868.4</v>
      </c>
      <c r="F4687" s="14" t="n">
        <v>30751.72</v>
      </c>
      <c r="G4687" s="6" t="s">
        <v>2613</v>
      </c>
    </row>
    <row r="4688" customFormat="false" ht="15" hidden="false" customHeight="true" outlineLevel="0" collapsed="false">
      <c r="A4688" s="6" t="s">
        <v>7300</v>
      </c>
      <c r="B4688" s="6" t="s">
        <v>1071</v>
      </c>
      <c r="C4688" s="6" t="s">
        <v>116</v>
      </c>
      <c r="D4688" s="13" t="n">
        <v>45337</v>
      </c>
      <c r="E4688" s="14" t="n">
        <v>2344.48</v>
      </c>
      <c r="F4688" s="14" t="n">
        <v>33096.2</v>
      </c>
      <c r="G4688" s="6" t="s">
        <v>2613</v>
      </c>
    </row>
    <row r="4689" customFormat="false" ht="15" hidden="false" customHeight="true" outlineLevel="0" collapsed="false">
      <c r="A4689" s="6" t="s">
        <v>7301</v>
      </c>
      <c r="B4689" s="6" t="s">
        <v>1071</v>
      </c>
      <c r="C4689" s="6" t="s">
        <v>116</v>
      </c>
      <c r="D4689" s="13" t="n">
        <v>45344</v>
      </c>
      <c r="E4689" s="14" t="n">
        <v>3455.86</v>
      </c>
      <c r="F4689" s="14" t="n">
        <v>36552.06</v>
      </c>
      <c r="G4689" s="6" t="s">
        <v>2613</v>
      </c>
    </row>
    <row r="4690" customFormat="false" ht="15" hidden="false" customHeight="true" outlineLevel="0" collapsed="false">
      <c r="A4690" s="6" t="s">
        <v>7302</v>
      </c>
      <c r="B4690" s="6" t="s">
        <v>1071</v>
      </c>
      <c r="C4690" s="6" t="s">
        <v>116</v>
      </c>
      <c r="D4690" s="13" t="n">
        <v>45351</v>
      </c>
      <c r="E4690" s="14" t="n">
        <v>3120.03</v>
      </c>
      <c r="F4690" s="14" t="n">
        <v>39672.09</v>
      </c>
      <c r="G4690" s="6" t="s">
        <v>2613</v>
      </c>
    </row>
    <row r="4691" customFormat="false" ht="15" hidden="false" customHeight="true" outlineLevel="0" collapsed="false">
      <c r="A4691" s="6" t="s">
        <v>7303</v>
      </c>
      <c r="B4691" s="6" t="s">
        <v>1071</v>
      </c>
      <c r="C4691" s="6" t="s">
        <v>116</v>
      </c>
      <c r="D4691" s="13" t="n">
        <v>45358</v>
      </c>
      <c r="E4691" s="14" t="n">
        <v>1733.98</v>
      </c>
      <c r="F4691" s="14" t="n">
        <v>41406.07</v>
      </c>
      <c r="G4691" s="6" t="s">
        <v>2613</v>
      </c>
    </row>
    <row r="4692" customFormat="false" ht="15" hidden="false" customHeight="true" outlineLevel="0" collapsed="false">
      <c r="A4692" s="6" t="s">
        <v>7304</v>
      </c>
      <c r="B4692" s="6" t="s">
        <v>1071</v>
      </c>
      <c r="C4692" s="6" t="s">
        <v>116</v>
      </c>
      <c r="D4692" s="13" t="n">
        <v>45365</v>
      </c>
      <c r="E4692" s="14" t="n">
        <v>124.27</v>
      </c>
      <c r="F4692" s="14" t="n">
        <v>41530.34</v>
      </c>
      <c r="G4692" s="6" t="s">
        <v>2613</v>
      </c>
    </row>
    <row r="4693" customFormat="false" ht="15" hidden="false" customHeight="true" outlineLevel="0" collapsed="false">
      <c r="A4693" s="6" t="s">
        <v>7305</v>
      </c>
      <c r="B4693" s="6" t="s">
        <v>1073</v>
      </c>
      <c r="C4693" s="6" t="s">
        <v>128</v>
      </c>
      <c r="D4693" s="13" t="n">
        <v>45212</v>
      </c>
      <c r="E4693" s="14" t="n">
        <v>3793.76</v>
      </c>
      <c r="F4693" s="14" t="n">
        <v>3793.76</v>
      </c>
      <c r="G4693" s="6" t="s">
        <v>2623</v>
      </c>
    </row>
    <row r="4694" customFormat="false" ht="15" hidden="false" customHeight="true" outlineLevel="0" collapsed="false">
      <c r="A4694" s="6" t="s">
        <v>7306</v>
      </c>
      <c r="B4694" s="6" t="s">
        <v>1073</v>
      </c>
      <c r="C4694" s="6" t="s">
        <v>128</v>
      </c>
      <c r="D4694" s="13" t="n">
        <v>45219</v>
      </c>
      <c r="E4694" s="14" t="n">
        <v>4320.61</v>
      </c>
      <c r="F4694" s="14" t="n">
        <v>8114.37</v>
      </c>
      <c r="G4694" s="6" t="s">
        <v>2623</v>
      </c>
    </row>
    <row r="4695" customFormat="false" ht="15" hidden="false" customHeight="true" outlineLevel="0" collapsed="false">
      <c r="A4695" s="6" t="s">
        <v>7307</v>
      </c>
      <c r="B4695" s="6" t="s">
        <v>1073</v>
      </c>
      <c r="C4695" s="6" t="s">
        <v>128</v>
      </c>
      <c r="D4695" s="13" t="n">
        <v>45226</v>
      </c>
      <c r="E4695" s="14" t="n">
        <v>3238.46</v>
      </c>
      <c r="F4695" s="14" t="n">
        <v>11352.83</v>
      </c>
      <c r="G4695" s="6" t="s">
        <v>2613</v>
      </c>
    </row>
    <row r="4696" customFormat="false" ht="15" hidden="false" customHeight="true" outlineLevel="0" collapsed="false">
      <c r="A4696" s="6" t="s">
        <v>7308</v>
      </c>
      <c r="B4696" s="6" t="s">
        <v>1073</v>
      </c>
      <c r="C4696" s="6" t="s">
        <v>128</v>
      </c>
      <c r="D4696" s="13" t="n">
        <v>45233</v>
      </c>
      <c r="E4696" s="14" t="n">
        <v>4658.79</v>
      </c>
      <c r="F4696" s="14" t="n">
        <v>16011.62</v>
      </c>
      <c r="G4696" s="6" t="s">
        <v>2613</v>
      </c>
    </row>
    <row r="4697" customFormat="false" ht="15" hidden="false" customHeight="true" outlineLevel="0" collapsed="false">
      <c r="A4697" s="6" t="s">
        <v>7309</v>
      </c>
      <c r="B4697" s="6" t="s">
        <v>1075</v>
      </c>
      <c r="C4697" s="6" t="s">
        <v>120</v>
      </c>
      <c r="D4697" s="13" t="n">
        <v>45035</v>
      </c>
      <c r="E4697" s="14" t="n">
        <v>986.11</v>
      </c>
      <c r="F4697" s="14" t="n">
        <v>986.11</v>
      </c>
      <c r="G4697" s="6" t="s">
        <v>2613</v>
      </c>
    </row>
    <row r="4698" customFormat="false" ht="15" hidden="false" customHeight="true" outlineLevel="0" collapsed="false">
      <c r="A4698" s="6" t="s">
        <v>7310</v>
      </c>
      <c r="B4698" s="6" t="s">
        <v>1075</v>
      </c>
      <c r="C4698" s="6" t="s">
        <v>120</v>
      </c>
      <c r="D4698" s="13" t="n">
        <v>45042</v>
      </c>
      <c r="E4698" s="14" t="n">
        <v>1135.74</v>
      </c>
      <c r="F4698" s="14" t="n">
        <v>2121.85</v>
      </c>
      <c r="G4698" s="6" t="s">
        <v>2613</v>
      </c>
    </row>
    <row r="4699" customFormat="false" ht="15" hidden="false" customHeight="true" outlineLevel="0" collapsed="false">
      <c r="A4699" s="6" t="s">
        <v>7311</v>
      </c>
      <c r="B4699" s="6" t="s">
        <v>1075</v>
      </c>
      <c r="C4699" s="6" t="s">
        <v>120</v>
      </c>
      <c r="D4699" s="13" t="n">
        <v>45049</v>
      </c>
      <c r="E4699" s="14" t="n">
        <v>1826.1</v>
      </c>
      <c r="F4699" s="14" t="n">
        <v>3947.95</v>
      </c>
      <c r="G4699" s="6" t="s">
        <v>2613</v>
      </c>
    </row>
    <row r="4700" customFormat="false" ht="15" hidden="false" customHeight="true" outlineLevel="0" collapsed="false">
      <c r="A4700" s="6" t="s">
        <v>7312</v>
      </c>
      <c r="B4700" s="6" t="s">
        <v>1075</v>
      </c>
      <c r="C4700" s="6" t="s">
        <v>120</v>
      </c>
      <c r="D4700" s="13" t="n">
        <v>45056</v>
      </c>
      <c r="E4700" s="14" t="n">
        <v>974.24</v>
      </c>
      <c r="F4700" s="14" t="n">
        <v>4922.19</v>
      </c>
      <c r="G4700" s="6" t="s">
        <v>2613</v>
      </c>
    </row>
    <row r="4701" customFormat="false" ht="15" hidden="false" customHeight="true" outlineLevel="0" collapsed="false">
      <c r="A4701" s="6" t="s">
        <v>7313</v>
      </c>
      <c r="B4701" s="6" t="s">
        <v>1075</v>
      </c>
      <c r="C4701" s="6" t="s">
        <v>120</v>
      </c>
      <c r="D4701" s="13" t="n">
        <v>45063</v>
      </c>
      <c r="E4701" s="14" t="n">
        <v>1427.62</v>
      </c>
      <c r="F4701" s="14" t="n">
        <v>6349.81</v>
      </c>
      <c r="G4701" s="6" t="s">
        <v>2613</v>
      </c>
    </row>
    <row r="4702" customFormat="false" ht="15" hidden="false" customHeight="true" outlineLevel="0" collapsed="false">
      <c r="A4702" s="6" t="s">
        <v>7314</v>
      </c>
      <c r="B4702" s="6" t="s">
        <v>1075</v>
      </c>
      <c r="C4702" s="6" t="s">
        <v>120</v>
      </c>
      <c r="D4702" s="13" t="n">
        <v>45070</v>
      </c>
      <c r="E4702" s="14" t="n">
        <v>1668.75</v>
      </c>
      <c r="F4702" s="14" t="n">
        <v>8018.56</v>
      </c>
      <c r="G4702" s="6" t="s">
        <v>2613</v>
      </c>
    </row>
    <row r="4703" customFormat="false" ht="15" hidden="false" customHeight="true" outlineLevel="0" collapsed="false">
      <c r="A4703" s="6" t="s">
        <v>7315</v>
      </c>
      <c r="B4703" s="6" t="s">
        <v>1075</v>
      </c>
      <c r="C4703" s="6" t="s">
        <v>120</v>
      </c>
      <c r="D4703" s="13" t="n">
        <v>45077</v>
      </c>
      <c r="E4703" s="14" t="n">
        <v>1493.4</v>
      </c>
      <c r="F4703" s="14" t="n">
        <v>9511.96</v>
      </c>
      <c r="G4703" s="6" t="s">
        <v>2613</v>
      </c>
    </row>
    <row r="4704" customFormat="false" ht="15" hidden="false" customHeight="true" outlineLevel="0" collapsed="false">
      <c r="A4704" s="6" t="s">
        <v>7316</v>
      </c>
      <c r="B4704" s="6" t="s">
        <v>1075</v>
      </c>
      <c r="C4704" s="6" t="s">
        <v>120</v>
      </c>
      <c r="D4704" s="13" t="n">
        <v>45084</v>
      </c>
      <c r="E4704" s="14" t="n">
        <v>2158.27</v>
      </c>
      <c r="F4704" s="14" t="n">
        <v>11670.23</v>
      </c>
      <c r="G4704" s="6" t="s">
        <v>2613</v>
      </c>
    </row>
    <row r="4705" customFormat="false" ht="15" hidden="false" customHeight="true" outlineLevel="0" collapsed="false">
      <c r="A4705" s="6" t="s">
        <v>7317</v>
      </c>
      <c r="B4705" s="6" t="s">
        <v>1075</v>
      </c>
      <c r="C4705" s="6" t="s">
        <v>120</v>
      </c>
      <c r="D4705" s="13" t="n">
        <v>45091</v>
      </c>
      <c r="E4705" s="14" t="n">
        <v>1886.59</v>
      </c>
      <c r="F4705" s="14" t="n">
        <v>13556.82</v>
      </c>
      <c r="G4705" s="6" t="s">
        <v>2613</v>
      </c>
    </row>
    <row r="4706" customFormat="false" ht="15" hidden="false" customHeight="true" outlineLevel="0" collapsed="false">
      <c r="A4706" s="6" t="s">
        <v>7318</v>
      </c>
      <c r="B4706" s="6" t="s">
        <v>1075</v>
      </c>
      <c r="C4706" s="6" t="s">
        <v>120</v>
      </c>
      <c r="D4706" s="13" t="n">
        <v>45098</v>
      </c>
      <c r="E4706" s="14" t="n">
        <v>1982.3</v>
      </c>
      <c r="F4706" s="14" t="n">
        <v>15539.12</v>
      </c>
      <c r="G4706" s="6" t="s">
        <v>2613</v>
      </c>
    </row>
    <row r="4707" customFormat="false" ht="15" hidden="false" customHeight="true" outlineLevel="0" collapsed="false">
      <c r="A4707" s="6" t="s">
        <v>7319</v>
      </c>
      <c r="B4707" s="6" t="s">
        <v>1075</v>
      </c>
      <c r="C4707" s="6" t="s">
        <v>120</v>
      </c>
      <c r="D4707" s="13" t="n">
        <v>45105</v>
      </c>
      <c r="E4707" s="14" t="n">
        <v>1080.86</v>
      </c>
      <c r="F4707" s="14" t="n">
        <v>16619.98</v>
      </c>
      <c r="G4707" s="6" t="s">
        <v>2623</v>
      </c>
    </row>
    <row r="4708" customFormat="false" ht="15" hidden="false" customHeight="true" outlineLevel="0" collapsed="false">
      <c r="A4708" s="6" t="s">
        <v>7320</v>
      </c>
      <c r="B4708" s="6" t="s">
        <v>1075</v>
      </c>
      <c r="C4708" s="6" t="s">
        <v>120</v>
      </c>
      <c r="D4708" s="13" t="n">
        <v>45112</v>
      </c>
      <c r="E4708" s="14" t="n">
        <v>1892.82</v>
      </c>
      <c r="F4708" s="14" t="n">
        <v>18512.8</v>
      </c>
      <c r="G4708" s="6" t="s">
        <v>2613</v>
      </c>
    </row>
    <row r="4709" customFormat="false" ht="15" hidden="false" customHeight="true" outlineLevel="0" collapsed="false">
      <c r="A4709" s="6" t="s">
        <v>7321</v>
      </c>
      <c r="B4709" s="6" t="s">
        <v>1077</v>
      </c>
      <c r="C4709" s="6" t="s">
        <v>112</v>
      </c>
      <c r="D4709" s="13" t="n">
        <v>45690</v>
      </c>
      <c r="E4709" s="14" t="n">
        <v>8180.09</v>
      </c>
      <c r="F4709" s="14" t="n">
        <v>8180.09</v>
      </c>
      <c r="G4709" s="6" t="s">
        <v>2613</v>
      </c>
    </row>
    <row r="4710" customFormat="false" ht="15" hidden="false" customHeight="true" outlineLevel="0" collapsed="false">
      <c r="A4710" s="6" t="s">
        <v>7322</v>
      </c>
      <c r="B4710" s="6" t="s">
        <v>1077</v>
      </c>
      <c r="C4710" s="6" t="s">
        <v>112</v>
      </c>
      <c r="D4710" s="13" t="n">
        <v>45697</v>
      </c>
      <c r="E4710" s="14" t="n">
        <v>5489.84</v>
      </c>
      <c r="F4710" s="14" t="n">
        <v>13669.93</v>
      </c>
      <c r="G4710" s="6" t="s">
        <v>2613</v>
      </c>
    </row>
    <row r="4711" customFormat="false" ht="15" hidden="false" customHeight="true" outlineLevel="0" collapsed="false">
      <c r="A4711" s="6" t="s">
        <v>7323</v>
      </c>
      <c r="B4711" s="6" t="s">
        <v>1077</v>
      </c>
      <c r="C4711" s="6" t="s">
        <v>112</v>
      </c>
      <c r="D4711" s="13" t="n">
        <v>45704</v>
      </c>
      <c r="E4711" s="14" t="n">
        <v>6220.95</v>
      </c>
      <c r="F4711" s="14" t="n">
        <v>19890.88</v>
      </c>
      <c r="G4711" s="6" t="s">
        <v>2623</v>
      </c>
    </row>
    <row r="4712" customFormat="false" ht="15" hidden="false" customHeight="true" outlineLevel="0" collapsed="false">
      <c r="A4712" s="6" t="s">
        <v>7324</v>
      </c>
      <c r="B4712" s="6" t="s">
        <v>1077</v>
      </c>
      <c r="C4712" s="6" t="s">
        <v>112</v>
      </c>
      <c r="D4712" s="13" t="n">
        <v>45711</v>
      </c>
      <c r="E4712" s="14" t="n">
        <v>4953.12</v>
      </c>
      <c r="F4712" s="14" t="n">
        <v>24844</v>
      </c>
      <c r="G4712" s="6" t="s">
        <v>2613</v>
      </c>
    </row>
    <row r="4713" customFormat="false" ht="15" hidden="false" customHeight="true" outlineLevel="0" collapsed="false">
      <c r="A4713" s="6" t="s">
        <v>7325</v>
      </c>
      <c r="B4713" s="6" t="s">
        <v>1077</v>
      </c>
      <c r="C4713" s="6" t="s">
        <v>112</v>
      </c>
      <c r="D4713" s="13" t="n">
        <v>45718</v>
      </c>
      <c r="E4713" s="14" t="n">
        <v>3968.78</v>
      </c>
      <c r="F4713" s="14" t="n">
        <v>28812.78</v>
      </c>
      <c r="G4713" s="6" t="s">
        <v>2613</v>
      </c>
    </row>
    <row r="4714" customFormat="false" ht="15" hidden="false" customHeight="true" outlineLevel="0" collapsed="false">
      <c r="A4714" s="6" t="s">
        <v>7326</v>
      </c>
      <c r="B4714" s="6" t="s">
        <v>1077</v>
      </c>
      <c r="C4714" s="6" t="s">
        <v>112</v>
      </c>
      <c r="D4714" s="13" t="n">
        <v>45725</v>
      </c>
      <c r="E4714" s="14" t="n">
        <v>6662.6</v>
      </c>
      <c r="F4714" s="14" t="n">
        <v>35475.38</v>
      </c>
      <c r="G4714" s="6" t="s">
        <v>2613</v>
      </c>
    </row>
    <row r="4715" customFormat="false" ht="15" hidden="false" customHeight="true" outlineLevel="0" collapsed="false">
      <c r="A4715" s="6" t="s">
        <v>7327</v>
      </c>
      <c r="B4715" s="6" t="s">
        <v>1077</v>
      </c>
      <c r="C4715" s="6" t="s">
        <v>112</v>
      </c>
      <c r="D4715" s="13" t="n">
        <v>45732</v>
      </c>
      <c r="E4715" s="14" t="n">
        <v>4481.42</v>
      </c>
      <c r="F4715" s="14" t="n">
        <v>39956.8</v>
      </c>
      <c r="G4715" s="6" t="s">
        <v>2613</v>
      </c>
    </row>
    <row r="4716" customFormat="false" ht="15" hidden="false" customHeight="true" outlineLevel="0" collapsed="false">
      <c r="A4716" s="6" t="s">
        <v>7328</v>
      </c>
      <c r="B4716" s="6" t="s">
        <v>1077</v>
      </c>
      <c r="C4716" s="6" t="s">
        <v>112</v>
      </c>
      <c r="D4716" s="13" t="n">
        <v>45739</v>
      </c>
      <c r="E4716" s="14" t="n">
        <v>8708.17</v>
      </c>
      <c r="F4716" s="14" t="n">
        <v>48664.97</v>
      </c>
      <c r="G4716" s="6" t="s">
        <v>2613</v>
      </c>
    </row>
    <row r="4717" customFormat="false" ht="15" hidden="false" customHeight="true" outlineLevel="0" collapsed="false">
      <c r="A4717" s="6" t="s">
        <v>7329</v>
      </c>
      <c r="B4717" s="6" t="s">
        <v>1079</v>
      </c>
      <c r="C4717" s="6" t="s">
        <v>131</v>
      </c>
      <c r="D4717" s="13" t="n">
        <v>45203</v>
      </c>
      <c r="E4717" s="14" t="n">
        <v>2226.24</v>
      </c>
      <c r="F4717" s="14" t="n">
        <v>2226.24</v>
      </c>
      <c r="G4717" s="6" t="s">
        <v>2623</v>
      </c>
    </row>
    <row r="4718" customFormat="false" ht="15" hidden="false" customHeight="true" outlineLevel="0" collapsed="false">
      <c r="A4718" s="6" t="s">
        <v>7330</v>
      </c>
      <c r="B4718" s="6" t="s">
        <v>1079</v>
      </c>
      <c r="C4718" s="6" t="s">
        <v>131</v>
      </c>
      <c r="D4718" s="13" t="n">
        <v>45210</v>
      </c>
      <c r="E4718" s="14" t="n">
        <v>2094.38</v>
      </c>
      <c r="F4718" s="14" t="n">
        <v>4320.62</v>
      </c>
      <c r="G4718" s="6" t="s">
        <v>2613</v>
      </c>
    </row>
    <row r="4719" customFormat="false" ht="15" hidden="false" customHeight="true" outlineLevel="0" collapsed="false">
      <c r="A4719" s="6" t="s">
        <v>7331</v>
      </c>
      <c r="B4719" s="6" t="s">
        <v>1079</v>
      </c>
      <c r="C4719" s="6" t="s">
        <v>131</v>
      </c>
      <c r="D4719" s="13" t="n">
        <v>45217</v>
      </c>
      <c r="E4719" s="14" t="n">
        <v>2537.9</v>
      </c>
      <c r="F4719" s="14" t="n">
        <v>6858.52</v>
      </c>
      <c r="G4719" s="6" t="s">
        <v>2613</v>
      </c>
    </row>
    <row r="4720" customFormat="false" ht="15" hidden="false" customHeight="true" outlineLevel="0" collapsed="false">
      <c r="A4720" s="6" t="s">
        <v>7332</v>
      </c>
      <c r="B4720" s="6" t="s">
        <v>1079</v>
      </c>
      <c r="C4720" s="6" t="s">
        <v>131</v>
      </c>
      <c r="D4720" s="13" t="n">
        <v>45224</v>
      </c>
      <c r="E4720" s="14" t="n">
        <v>3115.61</v>
      </c>
      <c r="F4720" s="14" t="n">
        <v>9974.13</v>
      </c>
      <c r="G4720" s="6" t="s">
        <v>2613</v>
      </c>
    </row>
    <row r="4721" customFormat="false" ht="15" hidden="false" customHeight="true" outlineLevel="0" collapsed="false">
      <c r="A4721" s="6" t="s">
        <v>7333</v>
      </c>
      <c r="B4721" s="6" t="s">
        <v>1079</v>
      </c>
      <c r="C4721" s="6" t="s">
        <v>131</v>
      </c>
      <c r="D4721" s="13" t="n">
        <v>45231</v>
      </c>
      <c r="E4721" s="14" t="n">
        <v>1911.48</v>
      </c>
      <c r="F4721" s="14" t="n">
        <v>11885.61</v>
      </c>
      <c r="G4721" s="6" t="s">
        <v>2613</v>
      </c>
    </row>
    <row r="4722" customFormat="false" ht="15" hidden="false" customHeight="true" outlineLevel="0" collapsed="false">
      <c r="A4722" s="6" t="s">
        <v>7334</v>
      </c>
      <c r="B4722" s="6" t="s">
        <v>1079</v>
      </c>
      <c r="C4722" s="6" t="s">
        <v>131</v>
      </c>
      <c r="D4722" s="13" t="n">
        <v>45238</v>
      </c>
      <c r="E4722" s="14" t="n">
        <v>1720.4</v>
      </c>
      <c r="F4722" s="14" t="n">
        <v>13606.01</v>
      </c>
      <c r="G4722" s="6" t="s">
        <v>2613</v>
      </c>
    </row>
    <row r="4723" customFormat="false" ht="15" hidden="false" customHeight="true" outlineLevel="0" collapsed="false">
      <c r="A4723" s="6" t="s">
        <v>7335</v>
      </c>
      <c r="B4723" s="6" t="s">
        <v>1079</v>
      </c>
      <c r="C4723" s="6" t="s">
        <v>131</v>
      </c>
      <c r="D4723" s="13" t="n">
        <v>45245</v>
      </c>
      <c r="E4723" s="14" t="n">
        <v>2702.28</v>
      </c>
      <c r="F4723" s="14" t="n">
        <v>16308.29</v>
      </c>
      <c r="G4723" s="6" t="s">
        <v>2613</v>
      </c>
    </row>
    <row r="4724" customFormat="false" ht="15" hidden="false" customHeight="true" outlineLevel="0" collapsed="false">
      <c r="A4724" s="6" t="s">
        <v>7336</v>
      </c>
      <c r="B4724" s="6" t="s">
        <v>1079</v>
      </c>
      <c r="C4724" s="6" t="s">
        <v>131</v>
      </c>
      <c r="D4724" s="13" t="n">
        <v>45252</v>
      </c>
      <c r="E4724" s="14" t="n">
        <v>2375.95</v>
      </c>
      <c r="F4724" s="14" t="n">
        <v>18684.24</v>
      </c>
      <c r="G4724" s="6" t="s">
        <v>2613</v>
      </c>
    </row>
    <row r="4725" customFormat="false" ht="15" hidden="false" customHeight="true" outlineLevel="0" collapsed="false">
      <c r="A4725" s="6" t="s">
        <v>7337</v>
      </c>
      <c r="B4725" s="6" t="s">
        <v>1079</v>
      </c>
      <c r="C4725" s="6" t="s">
        <v>131</v>
      </c>
      <c r="D4725" s="13" t="n">
        <v>45259</v>
      </c>
      <c r="E4725" s="14" t="n">
        <v>1729.74</v>
      </c>
      <c r="F4725" s="14" t="n">
        <v>20413.98</v>
      </c>
      <c r="G4725" s="6" t="s">
        <v>2613</v>
      </c>
    </row>
    <row r="4726" customFormat="false" ht="15" hidden="false" customHeight="true" outlineLevel="0" collapsed="false">
      <c r="A4726" s="6" t="s">
        <v>7338</v>
      </c>
      <c r="B4726" s="6" t="s">
        <v>1079</v>
      </c>
      <c r="C4726" s="6" t="s">
        <v>131</v>
      </c>
      <c r="D4726" s="13" t="n">
        <v>45266</v>
      </c>
      <c r="E4726" s="14" t="n">
        <v>2547.05</v>
      </c>
      <c r="F4726" s="14" t="n">
        <v>22961.03</v>
      </c>
      <c r="G4726" s="6" t="s">
        <v>2613</v>
      </c>
    </row>
    <row r="4727" customFormat="false" ht="15" hidden="false" customHeight="true" outlineLevel="0" collapsed="false">
      <c r="A4727" s="6" t="s">
        <v>7339</v>
      </c>
      <c r="B4727" s="6" t="s">
        <v>1081</v>
      </c>
      <c r="C4727" s="6" t="s">
        <v>131</v>
      </c>
      <c r="D4727" s="13" t="n">
        <v>44615</v>
      </c>
      <c r="E4727" s="14" t="n">
        <v>3949.04</v>
      </c>
      <c r="F4727" s="14" t="n">
        <v>3949.04</v>
      </c>
      <c r="G4727" s="6" t="s">
        <v>2613</v>
      </c>
    </row>
    <row r="4728" customFormat="false" ht="15" hidden="false" customHeight="true" outlineLevel="0" collapsed="false">
      <c r="A4728" s="6" t="s">
        <v>7340</v>
      </c>
      <c r="B4728" s="6" t="s">
        <v>1081</v>
      </c>
      <c r="C4728" s="6" t="s">
        <v>131</v>
      </c>
      <c r="D4728" s="13" t="n">
        <v>44622</v>
      </c>
      <c r="E4728" s="14" t="n">
        <v>4417.25</v>
      </c>
      <c r="F4728" s="14" t="n">
        <v>8366.29</v>
      </c>
      <c r="G4728" s="6" t="s">
        <v>2613</v>
      </c>
    </row>
    <row r="4729" customFormat="false" ht="15" hidden="false" customHeight="true" outlineLevel="0" collapsed="false">
      <c r="A4729" s="6" t="s">
        <v>7341</v>
      </c>
      <c r="B4729" s="6" t="s">
        <v>1081</v>
      </c>
      <c r="C4729" s="6" t="s">
        <v>131</v>
      </c>
      <c r="D4729" s="13" t="n">
        <v>44629</v>
      </c>
      <c r="E4729" s="14" t="n">
        <v>6116.86</v>
      </c>
      <c r="F4729" s="14" t="n">
        <v>14483.15</v>
      </c>
      <c r="G4729" s="6" t="s">
        <v>2613</v>
      </c>
    </row>
    <row r="4730" customFormat="false" ht="15" hidden="false" customHeight="true" outlineLevel="0" collapsed="false">
      <c r="A4730" s="6" t="s">
        <v>7342</v>
      </c>
      <c r="B4730" s="6" t="s">
        <v>1081</v>
      </c>
      <c r="C4730" s="6" t="s">
        <v>131</v>
      </c>
      <c r="D4730" s="13" t="n">
        <v>44636</v>
      </c>
      <c r="E4730" s="14" t="n">
        <v>3172.15</v>
      </c>
      <c r="F4730" s="14" t="n">
        <v>17655.3</v>
      </c>
      <c r="G4730" s="6" t="s">
        <v>2613</v>
      </c>
    </row>
    <row r="4731" customFormat="false" ht="15" hidden="false" customHeight="true" outlineLevel="0" collapsed="false">
      <c r="A4731" s="6" t="s">
        <v>7343</v>
      </c>
      <c r="B4731" s="6" t="s">
        <v>1083</v>
      </c>
      <c r="C4731" s="6" t="s">
        <v>124</v>
      </c>
      <c r="D4731" s="13" t="n">
        <v>45296</v>
      </c>
      <c r="E4731" s="14" t="n">
        <v>477.81</v>
      </c>
      <c r="F4731" s="14" t="n">
        <v>477.81</v>
      </c>
      <c r="G4731" s="6" t="s">
        <v>2613</v>
      </c>
    </row>
    <row r="4732" customFormat="false" ht="15" hidden="false" customHeight="true" outlineLevel="0" collapsed="false">
      <c r="A4732" s="6" t="s">
        <v>7344</v>
      </c>
      <c r="B4732" s="6" t="s">
        <v>1083</v>
      </c>
      <c r="C4732" s="6" t="s">
        <v>124</v>
      </c>
      <c r="D4732" s="13" t="n">
        <v>45303</v>
      </c>
      <c r="E4732" s="14" t="n">
        <v>311.66</v>
      </c>
      <c r="F4732" s="14" t="n">
        <v>789.47</v>
      </c>
      <c r="G4732" s="6" t="s">
        <v>2613</v>
      </c>
    </row>
    <row r="4733" customFormat="false" ht="15" hidden="false" customHeight="true" outlineLevel="0" collapsed="false">
      <c r="A4733" s="6" t="s">
        <v>7345</v>
      </c>
      <c r="B4733" s="6" t="s">
        <v>1083</v>
      </c>
      <c r="C4733" s="6" t="s">
        <v>124</v>
      </c>
      <c r="D4733" s="13" t="n">
        <v>45310</v>
      </c>
      <c r="E4733" s="14" t="n">
        <v>556.27</v>
      </c>
      <c r="F4733" s="14" t="n">
        <v>1345.74</v>
      </c>
      <c r="G4733" s="6" t="s">
        <v>2613</v>
      </c>
    </row>
    <row r="4734" customFormat="false" ht="15" hidden="false" customHeight="true" outlineLevel="0" collapsed="false">
      <c r="A4734" s="6" t="s">
        <v>7346</v>
      </c>
      <c r="B4734" s="6" t="s">
        <v>1083</v>
      </c>
      <c r="C4734" s="6" t="s">
        <v>124</v>
      </c>
      <c r="D4734" s="13" t="n">
        <v>45317</v>
      </c>
      <c r="E4734" s="14" t="n">
        <v>300.19</v>
      </c>
      <c r="F4734" s="14" t="n">
        <v>1645.93</v>
      </c>
      <c r="G4734" s="6" t="s">
        <v>2613</v>
      </c>
    </row>
    <row r="4735" customFormat="false" ht="15" hidden="false" customHeight="true" outlineLevel="0" collapsed="false">
      <c r="A4735" s="6" t="s">
        <v>7347</v>
      </c>
      <c r="B4735" s="6" t="s">
        <v>1083</v>
      </c>
      <c r="C4735" s="6" t="s">
        <v>124</v>
      </c>
      <c r="D4735" s="13" t="n">
        <v>45324</v>
      </c>
      <c r="E4735" s="14" t="n">
        <v>430.5</v>
      </c>
      <c r="F4735" s="14" t="n">
        <v>2076.43</v>
      </c>
      <c r="G4735" s="6" t="s">
        <v>2613</v>
      </c>
    </row>
    <row r="4736" customFormat="false" ht="15" hidden="false" customHeight="true" outlineLevel="0" collapsed="false">
      <c r="A4736" s="6" t="s">
        <v>7348</v>
      </c>
      <c r="B4736" s="6" t="s">
        <v>1083</v>
      </c>
      <c r="C4736" s="6" t="s">
        <v>124</v>
      </c>
      <c r="D4736" s="13" t="n">
        <v>45331</v>
      </c>
      <c r="E4736" s="14" t="n">
        <v>581.96</v>
      </c>
      <c r="F4736" s="14" t="n">
        <v>2658.39</v>
      </c>
      <c r="G4736" s="6" t="s">
        <v>2613</v>
      </c>
    </row>
    <row r="4737" customFormat="false" ht="15" hidden="false" customHeight="true" outlineLevel="0" collapsed="false">
      <c r="A4737" s="6" t="s">
        <v>7349</v>
      </c>
      <c r="B4737" s="6" t="s">
        <v>1083</v>
      </c>
      <c r="C4737" s="6" t="s">
        <v>124</v>
      </c>
      <c r="D4737" s="13" t="n">
        <v>45338</v>
      </c>
      <c r="E4737" s="14" t="n">
        <v>285.27</v>
      </c>
      <c r="F4737" s="14" t="n">
        <v>2943.66</v>
      </c>
      <c r="G4737" s="6" t="s">
        <v>2613</v>
      </c>
    </row>
    <row r="4738" customFormat="false" ht="15" hidden="false" customHeight="true" outlineLevel="0" collapsed="false">
      <c r="A4738" s="6" t="s">
        <v>7350</v>
      </c>
      <c r="B4738" s="6" t="s">
        <v>1083</v>
      </c>
      <c r="C4738" s="6" t="s">
        <v>124</v>
      </c>
      <c r="D4738" s="13" t="n">
        <v>45345</v>
      </c>
      <c r="E4738" s="14" t="n">
        <v>629.73</v>
      </c>
      <c r="F4738" s="14" t="n">
        <v>3573.39</v>
      </c>
      <c r="G4738" s="6" t="s">
        <v>2613</v>
      </c>
    </row>
    <row r="4739" customFormat="false" ht="15" hidden="false" customHeight="true" outlineLevel="0" collapsed="false">
      <c r="A4739" s="6" t="s">
        <v>7351</v>
      </c>
      <c r="B4739" s="6" t="s">
        <v>1085</v>
      </c>
      <c r="C4739" s="6" t="s">
        <v>112</v>
      </c>
      <c r="D4739" s="13" t="n">
        <v>44740</v>
      </c>
      <c r="E4739" s="14" t="n">
        <v>742.01</v>
      </c>
      <c r="F4739" s="14" t="n">
        <v>742.01</v>
      </c>
      <c r="G4739" s="6" t="s">
        <v>2613</v>
      </c>
    </row>
    <row r="4740" customFormat="false" ht="15" hidden="false" customHeight="true" outlineLevel="0" collapsed="false">
      <c r="A4740" s="6" t="s">
        <v>7352</v>
      </c>
      <c r="B4740" s="6" t="s">
        <v>1085</v>
      </c>
      <c r="C4740" s="6" t="s">
        <v>112</v>
      </c>
      <c r="D4740" s="13" t="n">
        <v>44747</v>
      </c>
      <c r="E4740" s="14" t="n">
        <v>637.09</v>
      </c>
      <c r="F4740" s="14" t="n">
        <v>1379.1</v>
      </c>
      <c r="G4740" s="6" t="s">
        <v>2613</v>
      </c>
    </row>
    <row r="4741" customFormat="false" ht="15" hidden="false" customHeight="true" outlineLevel="0" collapsed="false">
      <c r="A4741" s="6" t="s">
        <v>7353</v>
      </c>
      <c r="B4741" s="6" t="s">
        <v>1085</v>
      </c>
      <c r="C4741" s="6" t="s">
        <v>112</v>
      </c>
      <c r="D4741" s="13" t="n">
        <v>44754</v>
      </c>
      <c r="E4741" s="14" t="n">
        <v>716.49</v>
      </c>
      <c r="F4741" s="14" t="n">
        <v>2095.59</v>
      </c>
      <c r="G4741" s="6" t="s">
        <v>2613</v>
      </c>
    </row>
    <row r="4742" customFormat="false" ht="15" hidden="false" customHeight="true" outlineLevel="0" collapsed="false">
      <c r="A4742" s="6" t="s">
        <v>7354</v>
      </c>
      <c r="B4742" s="6" t="s">
        <v>1085</v>
      </c>
      <c r="C4742" s="6" t="s">
        <v>112</v>
      </c>
      <c r="D4742" s="13" t="n">
        <v>44761</v>
      </c>
      <c r="E4742" s="14" t="n">
        <v>684.25</v>
      </c>
      <c r="F4742" s="14" t="n">
        <v>2779.84</v>
      </c>
      <c r="G4742" s="6" t="s">
        <v>2613</v>
      </c>
    </row>
    <row r="4743" customFormat="false" ht="15" hidden="false" customHeight="true" outlineLevel="0" collapsed="false">
      <c r="A4743" s="6" t="s">
        <v>7355</v>
      </c>
      <c r="B4743" s="6" t="s">
        <v>1085</v>
      </c>
      <c r="C4743" s="6" t="s">
        <v>112</v>
      </c>
      <c r="D4743" s="13" t="n">
        <v>44768</v>
      </c>
      <c r="E4743" s="14" t="n">
        <v>954.37</v>
      </c>
      <c r="F4743" s="14" t="n">
        <v>3734.21</v>
      </c>
      <c r="G4743" s="6" t="s">
        <v>2613</v>
      </c>
    </row>
    <row r="4744" customFormat="false" ht="15" hidden="false" customHeight="true" outlineLevel="0" collapsed="false">
      <c r="A4744" s="6" t="s">
        <v>7356</v>
      </c>
      <c r="B4744" s="6" t="s">
        <v>1085</v>
      </c>
      <c r="C4744" s="6" t="s">
        <v>112</v>
      </c>
      <c r="D4744" s="13" t="n">
        <v>44775</v>
      </c>
      <c r="E4744" s="14" t="n">
        <v>449.79</v>
      </c>
      <c r="F4744" s="14" t="n">
        <v>4184</v>
      </c>
      <c r="G4744" s="6" t="s">
        <v>2613</v>
      </c>
    </row>
    <row r="4745" customFormat="false" ht="15" hidden="false" customHeight="true" outlineLevel="0" collapsed="false">
      <c r="A4745" s="6" t="s">
        <v>7357</v>
      </c>
      <c r="B4745" s="6" t="s">
        <v>1085</v>
      </c>
      <c r="C4745" s="6" t="s">
        <v>112</v>
      </c>
      <c r="D4745" s="13" t="n">
        <v>44782</v>
      </c>
      <c r="E4745" s="14" t="n">
        <v>928.55</v>
      </c>
      <c r="F4745" s="14" t="n">
        <v>5112.55</v>
      </c>
      <c r="G4745" s="6" t="s">
        <v>2613</v>
      </c>
    </row>
    <row r="4746" customFormat="false" ht="15" hidden="false" customHeight="true" outlineLevel="0" collapsed="false">
      <c r="A4746" s="6" t="s">
        <v>7358</v>
      </c>
      <c r="B4746" s="6" t="s">
        <v>1085</v>
      </c>
      <c r="C4746" s="6" t="s">
        <v>112</v>
      </c>
      <c r="D4746" s="13" t="n">
        <v>44789</v>
      </c>
      <c r="E4746" s="14" t="n">
        <v>800.45</v>
      </c>
      <c r="F4746" s="14" t="n">
        <v>5913</v>
      </c>
      <c r="G4746" s="6" t="s">
        <v>2623</v>
      </c>
    </row>
    <row r="4747" customFormat="false" ht="15" hidden="false" customHeight="true" outlineLevel="0" collapsed="false">
      <c r="A4747" s="6" t="s">
        <v>7359</v>
      </c>
      <c r="B4747" s="6" t="s">
        <v>1087</v>
      </c>
      <c r="C4747" s="6" t="s">
        <v>112</v>
      </c>
      <c r="D4747" s="13" t="n">
        <v>45109</v>
      </c>
      <c r="E4747" s="14" t="n">
        <v>1013.49</v>
      </c>
      <c r="F4747" s="14" t="n">
        <v>1013.49</v>
      </c>
      <c r="G4747" s="6" t="s">
        <v>2613</v>
      </c>
    </row>
    <row r="4748" customFormat="false" ht="15" hidden="false" customHeight="true" outlineLevel="0" collapsed="false">
      <c r="A4748" s="6" t="s">
        <v>7360</v>
      </c>
      <c r="B4748" s="6" t="s">
        <v>1087</v>
      </c>
      <c r="C4748" s="6" t="s">
        <v>112</v>
      </c>
      <c r="D4748" s="13" t="n">
        <v>45116</v>
      </c>
      <c r="E4748" s="14" t="n">
        <v>1248.3</v>
      </c>
      <c r="F4748" s="14" t="n">
        <v>2261.79</v>
      </c>
      <c r="G4748" s="6" t="s">
        <v>2613</v>
      </c>
    </row>
    <row r="4749" customFormat="false" ht="15" hidden="false" customHeight="true" outlineLevel="0" collapsed="false">
      <c r="A4749" s="6" t="s">
        <v>7361</v>
      </c>
      <c r="B4749" s="6" t="s">
        <v>1087</v>
      </c>
      <c r="C4749" s="6" t="s">
        <v>112</v>
      </c>
      <c r="D4749" s="13" t="n">
        <v>45123</v>
      </c>
      <c r="E4749" s="14" t="n">
        <v>1228.98</v>
      </c>
      <c r="F4749" s="14" t="n">
        <v>3490.77</v>
      </c>
      <c r="G4749" s="6" t="s">
        <v>2613</v>
      </c>
    </row>
    <row r="4750" customFormat="false" ht="15" hidden="false" customHeight="true" outlineLevel="0" collapsed="false">
      <c r="A4750" s="6" t="s">
        <v>7362</v>
      </c>
      <c r="B4750" s="6" t="s">
        <v>1087</v>
      </c>
      <c r="C4750" s="6" t="s">
        <v>112</v>
      </c>
      <c r="D4750" s="13" t="n">
        <v>45130</v>
      </c>
      <c r="E4750" s="14" t="n">
        <v>859.66</v>
      </c>
      <c r="F4750" s="14" t="n">
        <v>4350.43</v>
      </c>
      <c r="G4750" s="6" t="s">
        <v>2613</v>
      </c>
    </row>
    <row r="4751" customFormat="false" ht="15" hidden="false" customHeight="true" outlineLevel="0" collapsed="false">
      <c r="A4751" s="6" t="s">
        <v>7363</v>
      </c>
      <c r="B4751" s="6" t="s">
        <v>1087</v>
      </c>
      <c r="C4751" s="6" t="s">
        <v>112</v>
      </c>
      <c r="D4751" s="13" t="n">
        <v>45137</v>
      </c>
      <c r="E4751" s="14" t="n">
        <v>825.05</v>
      </c>
      <c r="F4751" s="14" t="n">
        <v>5175.48</v>
      </c>
      <c r="G4751" s="6" t="s">
        <v>2613</v>
      </c>
    </row>
    <row r="4752" customFormat="false" ht="15" hidden="false" customHeight="true" outlineLevel="0" collapsed="false">
      <c r="A4752" s="6" t="s">
        <v>7364</v>
      </c>
      <c r="B4752" s="6" t="s">
        <v>1087</v>
      </c>
      <c r="C4752" s="6" t="s">
        <v>112</v>
      </c>
      <c r="D4752" s="13" t="n">
        <v>45144</v>
      </c>
      <c r="E4752" s="14" t="n">
        <v>622.1</v>
      </c>
      <c r="F4752" s="14" t="n">
        <v>5797.58</v>
      </c>
      <c r="G4752" s="6" t="s">
        <v>2613</v>
      </c>
    </row>
    <row r="4753" customFormat="false" ht="15" hidden="false" customHeight="true" outlineLevel="0" collapsed="false">
      <c r="A4753" s="6" t="s">
        <v>7365</v>
      </c>
      <c r="B4753" s="6" t="s">
        <v>1087</v>
      </c>
      <c r="C4753" s="6" t="s">
        <v>112</v>
      </c>
      <c r="D4753" s="13" t="n">
        <v>45151</v>
      </c>
      <c r="E4753" s="14" t="n">
        <v>790.48</v>
      </c>
      <c r="F4753" s="14" t="n">
        <v>6588.06</v>
      </c>
      <c r="G4753" s="6" t="s">
        <v>2613</v>
      </c>
    </row>
    <row r="4754" customFormat="false" ht="15" hidden="false" customHeight="true" outlineLevel="0" collapsed="false">
      <c r="A4754" s="6" t="s">
        <v>7366</v>
      </c>
      <c r="B4754" s="6" t="s">
        <v>1089</v>
      </c>
      <c r="C4754" s="6" t="s">
        <v>128</v>
      </c>
      <c r="D4754" s="13" t="n">
        <v>45403</v>
      </c>
      <c r="E4754" s="14" t="n">
        <v>926.21</v>
      </c>
      <c r="F4754" s="14" t="n">
        <v>926.21</v>
      </c>
      <c r="G4754" s="6" t="s">
        <v>2613</v>
      </c>
    </row>
    <row r="4755" customFormat="false" ht="15" hidden="false" customHeight="true" outlineLevel="0" collapsed="false">
      <c r="A4755" s="6" t="s">
        <v>7367</v>
      </c>
      <c r="B4755" s="6" t="s">
        <v>1089</v>
      </c>
      <c r="C4755" s="6" t="s">
        <v>128</v>
      </c>
      <c r="D4755" s="13" t="n">
        <v>45410</v>
      </c>
      <c r="E4755" s="14" t="n">
        <v>1379.57</v>
      </c>
      <c r="F4755" s="14" t="n">
        <v>2305.78</v>
      </c>
      <c r="G4755" s="6" t="s">
        <v>2613</v>
      </c>
    </row>
    <row r="4756" customFormat="false" ht="15" hidden="false" customHeight="true" outlineLevel="0" collapsed="false">
      <c r="A4756" s="6" t="s">
        <v>7368</v>
      </c>
      <c r="B4756" s="6" t="s">
        <v>1089</v>
      </c>
      <c r="C4756" s="6" t="s">
        <v>128</v>
      </c>
      <c r="D4756" s="13" t="n">
        <v>45417</v>
      </c>
      <c r="E4756" s="14" t="n">
        <v>1010.36</v>
      </c>
      <c r="F4756" s="14" t="n">
        <v>3316.14</v>
      </c>
      <c r="G4756" s="6" t="s">
        <v>2613</v>
      </c>
    </row>
    <row r="4757" customFormat="false" ht="15" hidden="false" customHeight="true" outlineLevel="0" collapsed="false">
      <c r="A4757" s="6" t="s">
        <v>7369</v>
      </c>
      <c r="B4757" s="6" t="s">
        <v>1089</v>
      </c>
      <c r="C4757" s="6" t="s">
        <v>128</v>
      </c>
      <c r="D4757" s="13" t="n">
        <v>45424</v>
      </c>
      <c r="E4757" s="14" t="n">
        <v>1109.9</v>
      </c>
      <c r="F4757" s="14" t="n">
        <v>4426.04</v>
      </c>
      <c r="G4757" s="6" t="s">
        <v>2623</v>
      </c>
    </row>
    <row r="4758" customFormat="false" ht="15" hidden="false" customHeight="true" outlineLevel="0" collapsed="false">
      <c r="A4758" s="6" t="s">
        <v>7370</v>
      </c>
      <c r="B4758" s="6" t="s">
        <v>1089</v>
      </c>
      <c r="C4758" s="6" t="s">
        <v>128</v>
      </c>
      <c r="D4758" s="13" t="n">
        <v>45431</v>
      </c>
      <c r="E4758" s="14" t="n">
        <v>1025.67</v>
      </c>
      <c r="F4758" s="14" t="n">
        <v>5451.71</v>
      </c>
      <c r="G4758" s="6" t="s">
        <v>2623</v>
      </c>
    </row>
    <row r="4759" customFormat="false" ht="15" hidden="false" customHeight="true" outlineLevel="0" collapsed="false">
      <c r="A4759" s="6" t="s">
        <v>7371</v>
      </c>
      <c r="B4759" s="6" t="s">
        <v>1089</v>
      </c>
      <c r="C4759" s="6" t="s">
        <v>128</v>
      </c>
      <c r="D4759" s="13" t="n">
        <v>45438</v>
      </c>
      <c r="E4759" s="14" t="n">
        <v>1526.56</v>
      </c>
      <c r="F4759" s="14" t="n">
        <v>6978.27</v>
      </c>
      <c r="G4759" s="6" t="s">
        <v>2613</v>
      </c>
    </row>
    <row r="4760" customFormat="false" ht="15" hidden="false" customHeight="true" outlineLevel="0" collapsed="false">
      <c r="A4760" s="6" t="s">
        <v>7372</v>
      </c>
      <c r="B4760" s="6" t="s">
        <v>1089</v>
      </c>
      <c r="C4760" s="6" t="s">
        <v>128</v>
      </c>
      <c r="D4760" s="13" t="n">
        <v>45445</v>
      </c>
      <c r="E4760" s="14" t="n">
        <v>898.02</v>
      </c>
      <c r="F4760" s="14" t="n">
        <v>7876.29</v>
      </c>
      <c r="G4760" s="6" t="s">
        <v>2613</v>
      </c>
    </row>
    <row r="4761" customFormat="false" ht="15" hidden="false" customHeight="true" outlineLevel="0" collapsed="false">
      <c r="A4761" s="6" t="s">
        <v>7373</v>
      </c>
      <c r="B4761" s="6" t="s">
        <v>1089</v>
      </c>
      <c r="C4761" s="6" t="s">
        <v>128</v>
      </c>
      <c r="D4761" s="13" t="n">
        <v>45452</v>
      </c>
      <c r="E4761" s="14" t="n">
        <v>1725.18</v>
      </c>
      <c r="F4761" s="14" t="n">
        <v>9601.47</v>
      </c>
      <c r="G4761" s="6" t="s">
        <v>2623</v>
      </c>
    </row>
    <row r="4762" customFormat="false" ht="15" hidden="false" customHeight="true" outlineLevel="0" collapsed="false">
      <c r="A4762" s="6" t="s">
        <v>7374</v>
      </c>
      <c r="B4762" s="6" t="s">
        <v>1089</v>
      </c>
      <c r="C4762" s="6" t="s">
        <v>128</v>
      </c>
      <c r="D4762" s="13" t="n">
        <v>45459</v>
      </c>
      <c r="E4762" s="14" t="n">
        <v>1139.64</v>
      </c>
      <c r="F4762" s="14" t="n">
        <v>10741.11</v>
      </c>
      <c r="G4762" s="6" t="s">
        <v>2623</v>
      </c>
    </row>
    <row r="4763" customFormat="false" ht="15" hidden="false" customHeight="true" outlineLevel="0" collapsed="false">
      <c r="A4763" s="6" t="s">
        <v>7375</v>
      </c>
      <c r="B4763" s="6" t="s">
        <v>1089</v>
      </c>
      <c r="C4763" s="6" t="s">
        <v>128</v>
      </c>
      <c r="D4763" s="13" t="n">
        <v>45466</v>
      </c>
      <c r="E4763" s="14" t="n">
        <v>1573.51</v>
      </c>
      <c r="F4763" s="14" t="n">
        <v>12314.62</v>
      </c>
      <c r="G4763" s="6" t="s">
        <v>2613</v>
      </c>
    </row>
    <row r="4764" customFormat="false" ht="15" hidden="false" customHeight="true" outlineLevel="0" collapsed="false">
      <c r="A4764" s="6" t="s">
        <v>7376</v>
      </c>
      <c r="B4764" s="6" t="s">
        <v>1089</v>
      </c>
      <c r="C4764" s="6" t="s">
        <v>128</v>
      </c>
      <c r="D4764" s="13" t="n">
        <v>45473</v>
      </c>
      <c r="E4764" s="14" t="n">
        <v>1720.01</v>
      </c>
      <c r="F4764" s="14" t="n">
        <v>14034.63</v>
      </c>
      <c r="G4764" s="6" t="s">
        <v>2613</v>
      </c>
    </row>
    <row r="4765" customFormat="false" ht="15" hidden="false" customHeight="true" outlineLevel="0" collapsed="false">
      <c r="A4765" s="6" t="s">
        <v>7377</v>
      </c>
      <c r="B4765" s="6" t="s">
        <v>1089</v>
      </c>
      <c r="C4765" s="6" t="s">
        <v>128</v>
      </c>
      <c r="D4765" s="13" t="n">
        <v>45480</v>
      </c>
      <c r="E4765" s="14" t="n">
        <v>1751.33</v>
      </c>
      <c r="F4765" s="14" t="n">
        <v>15785.96</v>
      </c>
      <c r="G4765" s="6" t="s">
        <v>2613</v>
      </c>
    </row>
    <row r="4766" customFormat="false" ht="15" hidden="false" customHeight="true" outlineLevel="0" collapsed="false">
      <c r="A4766" s="6" t="s">
        <v>7378</v>
      </c>
      <c r="B4766" s="6" t="s">
        <v>1089</v>
      </c>
      <c r="C4766" s="6" t="s">
        <v>128</v>
      </c>
      <c r="D4766" s="13" t="n">
        <v>45487</v>
      </c>
      <c r="E4766" s="14" t="n">
        <v>1295.25</v>
      </c>
      <c r="F4766" s="14" t="n">
        <v>17081.21</v>
      </c>
      <c r="G4766" s="6" t="s">
        <v>2623</v>
      </c>
    </row>
    <row r="4767" customFormat="false" ht="15" hidden="false" customHeight="true" outlineLevel="0" collapsed="false">
      <c r="A4767" s="6" t="s">
        <v>7379</v>
      </c>
      <c r="B4767" s="6" t="s">
        <v>1089</v>
      </c>
      <c r="C4767" s="6" t="s">
        <v>128</v>
      </c>
      <c r="D4767" s="13" t="n">
        <v>45494</v>
      </c>
      <c r="E4767" s="14" t="n">
        <v>1526.89</v>
      </c>
      <c r="F4767" s="14" t="n">
        <v>18608.1</v>
      </c>
      <c r="G4767" s="6" t="s">
        <v>2613</v>
      </c>
    </row>
    <row r="4768" customFormat="false" ht="15" hidden="false" customHeight="true" outlineLevel="0" collapsed="false">
      <c r="A4768" s="6" t="s">
        <v>7380</v>
      </c>
      <c r="B4768" s="6" t="s">
        <v>1089</v>
      </c>
      <c r="C4768" s="6" t="s">
        <v>128</v>
      </c>
      <c r="D4768" s="13" t="n">
        <v>45501</v>
      </c>
      <c r="E4768" s="14" t="n">
        <v>524.7</v>
      </c>
      <c r="F4768" s="14" t="n">
        <v>19132.8</v>
      </c>
      <c r="G4768" s="6" t="s">
        <v>2613</v>
      </c>
    </row>
    <row r="4769" customFormat="false" ht="15" hidden="false" customHeight="true" outlineLevel="0" collapsed="false">
      <c r="A4769" s="6" t="s">
        <v>7381</v>
      </c>
      <c r="B4769" s="6" t="s">
        <v>1091</v>
      </c>
      <c r="C4769" s="6" t="s">
        <v>112</v>
      </c>
      <c r="D4769" s="13" t="n">
        <v>44717</v>
      </c>
      <c r="E4769" s="14" t="n">
        <v>3605.78</v>
      </c>
      <c r="F4769" s="14" t="n">
        <v>3605.78</v>
      </c>
      <c r="G4769" s="6" t="s">
        <v>2613</v>
      </c>
    </row>
    <row r="4770" customFormat="false" ht="15" hidden="false" customHeight="true" outlineLevel="0" collapsed="false">
      <c r="A4770" s="6" t="s">
        <v>7382</v>
      </c>
      <c r="B4770" s="6" t="s">
        <v>1091</v>
      </c>
      <c r="C4770" s="6" t="s">
        <v>112</v>
      </c>
      <c r="D4770" s="13" t="n">
        <v>44724</v>
      </c>
      <c r="E4770" s="14" t="n">
        <v>4109.17</v>
      </c>
      <c r="F4770" s="14" t="n">
        <v>7714.95</v>
      </c>
      <c r="G4770" s="6" t="s">
        <v>2613</v>
      </c>
    </row>
    <row r="4771" customFormat="false" ht="15" hidden="false" customHeight="true" outlineLevel="0" collapsed="false">
      <c r="A4771" s="6" t="s">
        <v>7383</v>
      </c>
      <c r="B4771" s="6" t="s">
        <v>1091</v>
      </c>
      <c r="C4771" s="6" t="s">
        <v>112</v>
      </c>
      <c r="D4771" s="13" t="n">
        <v>44731</v>
      </c>
      <c r="E4771" s="14" t="n">
        <v>4691.18</v>
      </c>
      <c r="F4771" s="14" t="n">
        <v>12406.13</v>
      </c>
      <c r="G4771" s="6" t="s">
        <v>2613</v>
      </c>
    </row>
    <row r="4772" customFormat="false" ht="15" hidden="false" customHeight="true" outlineLevel="0" collapsed="false">
      <c r="A4772" s="6" t="s">
        <v>7384</v>
      </c>
      <c r="B4772" s="6" t="s">
        <v>1091</v>
      </c>
      <c r="C4772" s="6" t="s">
        <v>112</v>
      </c>
      <c r="D4772" s="13" t="n">
        <v>44738</v>
      </c>
      <c r="E4772" s="14" t="n">
        <v>5341.45</v>
      </c>
      <c r="F4772" s="14" t="n">
        <v>17747.58</v>
      </c>
      <c r="G4772" s="6" t="s">
        <v>2613</v>
      </c>
    </row>
    <row r="4773" customFormat="false" ht="15" hidden="false" customHeight="true" outlineLevel="0" collapsed="false">
      <c r="A4773" s="6" t="s">
        <v>7385</v>
      </c>
      <c r="B4773" s="6" t="s">
        <v>1091</v>
      </c>
      <c r="C4773" s="6" t="s">
        <v>112</v>
      </c>
      <c r="D4773" s="13" t="n">
        <v>44745</v>
      </c>
      <c r="E4773" s="14" t="n">
        <v>5608.58</v>
      </c>
      <c r="F4773" s="14" t="n">
        <v>23356.16</v>
      </c>
      <c r="G4773" s="6" t="s">
        <v>2613</v>
      </c>
    </row>
    <row r="4774" customFormat="false" ht="15" hidden="false" customHeight="true" outlineLevel="0" collapsed="false">
      <c r="A4774" s="6" t="s">
        <v>7386</v>
      </c>
      <c r="B4774" s="6" t="s">
        <v>1091</v>
      </c>
      <c r="C4774" s="6" t="s">
        <v>112</v>
      </c>
      <c r="D4774" s="13" t="n">
        <v>44752</v>
      </c>
      <c r="E4774" s="14" t="n">
        <v>6776.88</v>
      </c>
      <c r="F4774" s="14" t="n">
        <v>30133.04</v>
      </c>
      <c r="G4774" s="6" t="s">
        <v>2613</v>
      </c>
    </row>
    <row r="4775" customFormat="false" ht="15" hidden="false" customHeight="true" outlineLevel="0" collapsed="false">
      <c r="A4775" s="6" t="s">
        <v>7387</v>
      </c>
      <c r="B4775" s="6" t="s">
        <v>1091</v>
      </c>
      <c r="C4775" s="6" t="s">
        <v>112</v>
      </c>
      <c r="D4775" s="13" t="n">
        <v>44759</v>
      </c>
      <c r="E4775" s="14" t="n">
        <v>5563.31</v>
      </c>
      <c r="F4775" s="14" t="n">
        <v>35696.35</v>
      </c>
      <c r="G4775" s="6" t="s">
        <v>2613</v>
      </c>
    </row>
    <row r="4776" customFormat="false" ht="15" hidden="false" customHeight="true" outlineLevel="0" collapsed="false">
      <c r="A4776" s="6" t="s">
        <v>7388</v>
      </c>
      <c r="B4776" s="6" t="s">
        <v>1091</v>
      </c>
      <c r="C4776" s="6" t="s">
        <v>112</v>
      </c>
      <c r="D4776" s="13" t="n">
        <v>44766</v>
      </c>
      <c r="E4776" s="14" t="n">
        <v>5817.04</v>
      </c>
      <c r="F4776" s="14" t="n">
        <v>41513.39</v>
      </c>
      <c r="G4776" s="6" t="s">
        <v>2613</v>
      </c>
    </row>
    <row r="4777" customFormat="false" ht="15" hidden="false" customHeight="true" outlineLevel="0" collapsed="false">
      <c r="A4777" s="6" t="s">
        <v>7389</v>
      </c>
      <c r="B4777" s="6" t="s">
        <v>1091</v>
      </c>
      <c r="C4777" s="6" t="s">
        <v>112</v>
      </c>
      <c r="D4777" s="13" t="n">
        <v>44773</v>
      </c>
      <c r="E4777" s="14" t="n">
        <v>6708.83</v>
      </c>
      <c r="F4777" s="14" t="n">
        <v>48222.22</v>
      </c>
      <c r="G4777" s="6" t="s">
        <v>2613</v>
      </c>
    </row>
    <row r="4778" customFormat="false" ht="15" hidden="false" customHeight="true" outlineLevel="0" collapsed="false">
      <c r="A4778" s="6" t="s">
        <v>7390</v>
      </c>
      <c r="B4778" s="6" t="s">
        <v>1091</v>
      </c>
      <c r="C4778" s="6" t="s">
        <v>112</v>
      </c>
      <c r="D4778" s="13" t="n">
        <v>44780</v>
      </c>
      <c r="E4778" s="14" t="n">
        <v>7267.71</v>
      </c>
      <c r="F4778" s="14" t="n">
        <v>55489.93</v>
      </c>
      <c r="G4778" s="6" t="s">
        <v>2613</v>
      </c>
    </row>
    <row r="4779" customFormat="false" ht="15" hidden="false" customHeight="true" outlineLevel="0" collapsed="false">
      <c r="A4779" s="6" t="s">
        <v>7391</v>
      </c>
      <c r="B4779" s="6" t="s">
        <v>1091</v>
      </c>
      <c r="C4779" s="6" t="s">
        <v>112</v>
      </c>
      <c r="D4779" s="13" t="n">
        <v>44787</v>
      </c>
      <c r="E4779" s="14" t="n">
        <v>4471.48</v>
      </c>
      <c r="F4779" s="14" t="n">
        <v>59961.41</v>
      </c>
      <c r="G4779" s="6" t="s">
        <v>2613</v>
      </c>
    </row>
    <row r="4780" customFormat="false" ht="15" hidden="false" customHeight="true" outlineLevel="0" collapsed="false">
      <c r="A4780" s="6" t="s">
        <v>7392</v>
      </c>
      <c r="B4780" s="6" t="s">
        <v>1091</v>
      </c>
      <c r="C4780" s="6" t="s">
        <v>112</v>
      </c>
      <c r="D4780" s="13" t="n">
        <v>44794</v>
      </c>
      <c r="E4780" s="14" t="n">
        <v>3674.01</v>
      </c>
      <c r="F4780" s="14" t="n">
        <v>63635.42</v>
      </c>
      <c r="G4780" s="6" t="s">
        <v>2613</v>
      </c>
    </row>
    <row r="4781" customFormat="false" ht="15" hidden="false" customHeight="true" outlineLevel="0" collapsed="false">
      <c r="A4781" s="6" t="s">
        <v>7393</v>
      </c>
      <c r="B4781" s="6" t="s">
        <v>1093</v>
      </c>
      <c r="C4781" s="6" t="s">
        <v>124</v>
      </c>
      <c r="D4781" s="13" t="n">
        <v>44823</v>
      </c>
      <c r="E4781" s="14" t="n">
        <v>2032.24</v>
      </c>
      <c r="F4781" s="14" t="n">
        <v>2032.24</v>
      </c>
      <c r="G4781" s="6" t="s">
        <v>2613</v>
      </c>
    </row>
    <row r="4782" customFormat="false" ht="15" hidden="false" customHeight="true" outlineLevel="0" collapsed="false">
      <c r="A4782" s="6" t="s">
        <v>7394</v>
      </c>
      <c r="B4782" s="6" t="s">
        <v>1093</v>
      </c>
      <c r="C4782" s="6" t="s">
        <v>124</v>
      </c>
      <c r="D4782" s="13" t="n">
        <v>44830</v>
      </c>
      <c r="E4782" s="14" t="n">
        <v>2292.96</v>
      </c>
      <c r="F4782" s="14" t="n">
        <v>4325.2</v>
      </c>
      <c r="G4782" s="6" t="s">
        <v>2623</v>
      </c>
    </row>
    <row r="4783" customFormat="false" ht="15" hidden="false" customHeight="true" outlineLevel="0" collapsed="false">
      <c r="A4783" s="6" t="s">
        <v>7395</v>
      </c>
      <c r="B4783" s="6" t="s">
        <v>1093</v>
      </c>
      <c r="C4783" s="6" t="s">
        <v>124</v>
      </c>
      <c r="D4783" s="13" t="n">
        <v>44837</v>
      </c>
      <c r="E4783" s="14" t="n">
        <v>1891.36</v>
      </c>
      <c r="F4783" s="14" t="n">
        <v>6216.56</v>
      </c>
      <c r="G4783" s="6" t="s">
        <v>2613</v>
      </c>
    </row>
    <row r="4784" customFormat="false" ht="15" hidden="false" customHeight="true" outlineLevel="0" collapsed="false">
      <c r="A4784" s="6" t="s">
        <v>7396</v>
      </c>
      <c r="B4784" s="6" t="s">
        <v>1093</v>
      </c>
      <c r="C4784" s="6" t="s">
        <v>124</v>
      </c>
      <c r="D4784" s="13" t="n">
        <v>44844</v>
      </c>
      <c r="E4784" s="14" t="n">
        <v>2465.25</v>
      </c>
      <c r="F4784" s="14" t="n">
        <v>8681.81</v>
      </c>
      <c r="G4784" s="6" t="s">
        <v>2613</v>
      </c>
    </row>
    <row r="4785" customFormat="false" ht="15" hidden="false" customHeight="true" outlineLevel="0" collapsed="false">
      <c r="A4785" s="6" t="s">
        <v>7397</v>
      </c>
      <c r="B4785" s="6" t="s">
        <v>1093</v>
      </c>
      <c r="C4785" s="6" t="s">
        <v>124</v>
      </c>
      <c r="D4785" s="13" t="n">
        <v>44851</v>
      </c>
      <c r="E4785" s="14" t="n">
        <v>1751.86</v>
      </c>
      <c r="F4785" s="14" t="n">
        <v>10433.67</v>
      </c>
      <c r="G4785" s="6" t="s">
        <v>2613</v>
      </c>
    </row>
    <row r="4786" customFormat="false" ht="15" hidden="false" customHeight="true" outlineLevel="0" collapsed="false">
      <c r="A4786" s="6" t="s">
        <v>7398</v>
      </c>
      <c r="B4786" s="6" t="s">
        <v>1093</v>
      </c>
      <c r="C4786" s="6" t="s">
        <v>124</v>
      </c>
      <c r="D4786" s="13" t="n">
        <v>44858</v>
      </c>
      <c r="E4786" s="14" t="n">
        <v>1295.21</v>
      </c>
      <c r="F4786" s="14" t="n">
        <v>11728.88</v>
      </c>
      <c r="G4786" s="6" t="s">
        <v>2613</v>
      </c>
    </row>
    <row r="4787" customFormat="false" ht="15" hidden="false" customHeight="true" outlineLevel="0" collapsed="false">
      <c r="A4787" s="6" t="s">
        <v>7399</v>
      </c>
      <c r="B4787" s="6" t="s">
        <v>1093</v>
      </c>
      <c r="C4787" s="6" t="s">
        <v>124</v>
      </c>
      <c r="D4787" s="13" t="n">
        <v>44865</v>
      </c>
      <c r="E4787" s="14" t="n">
        <v>2946.19</v>
      </c>
      <c r="F4787" s="14" t="n">
        <v>14675.07</v>
      </c>
      <c r="G4787" s="6" t="s">
        <v>2613</v>
      </c>
    </row>
    <row r="4788" customFormat="false" ht="15" hidden="false" customHeight="true" outlineLevel="0" collapsed="false">
      <c r="A4788" s="6" t="s">
        <v>7400</v>
      </c>
      <c r="B4788" s="6" t="s">
        <v>1093</v>
      </c>
      <c r="C4788" s="6" t="s">
        <v>124</v>
      </c>
      <c r="D4788" s="13" t="n">
        <v>44872</v>
      </c>
      <c r="E4788" s="14" t="n">
        <v>2238.64</v>
      </c>
      <c r="F4788" s="14" t="n">
        <v>16913.71</v>
      </c>
      <c r="G4788" s="6" t="s">
        <v>2613</v>
      </c>
    </row>
    <row r="4789" customFormat="false" ht="15" hidden="false" customHeight="true" outlineLevel="0" collapsed="false">
      <c r="A4789" s="6" t="s">
        <v>7401</v>
      </c>
      <c r="B4789" s="6" t="s">
        <v>1095</v>
      </c>
      <c r="C4789" s="6" t="s">
        <v>128</v>
      </c>
      <c r="D4789" s="13" t="n">
        <v>46124</v>
      </c>
      <c r="E4789" s="14" t="n">
        <v>6708.42</v>
      </c>
      <c r="F4789" s="14" t="n">
        <v>6708.42</v>
      </c>
      <c r="G4789" s="6" t="s">
        <v>2613</v>
      </c>
    </row>
    <row r="4790" customFormat="false" ht="15" hidden="false" customHeight="true" outlineLevel="0" collapsed="false">
      <c r="A4790" s="6" t="s">
        <v>7402</v>
      </c>
      <c r="B4790" s="6" t="s">
        <v>1095</v>
      </c>
      <c r="C4790" s="6" t="s">
        <v>128</v>
      </c>
      <c r="D4790" s="13" t="n">
        <v>46131</v>
      </c>
      <c r="E4790" s="14" t="n">
        <v>5665.36</v>
      </c>
      <c r="F4790" s="14" t="n">
        <v>12373.78</v>
      </c>
      <c r="G4790" s="6" t="s">
        <v>2613</v>
      </c>
    </row>
    <row r="4791" customFormat="false" ht="15" hidden="false" customHeight="true" outlineLevel="0" collapsed="false">
      <c r="A4791" s="6" t="s">
        <v>7403</v>
      </c>
      <c r="B4791" s="6" t="s">
        <v>1095</v>
      </c>
      <c r="C4791" s="6" t="s">
        <v>128</v>
      </c>
      <c r="D4791" s="13" t="n">
        <v>46138</v>
      </c>
      <c r="E4791" s="14" t="n">
        <v>4910.79</v>
      </c>
      <c r="F4791" s="14" t="n">
        <v>17284.57</v>
      </c>
      <c r="G4791" s="6" t="s">
        <v>2613</v>
      </c>
    </row>
    <row r="4792" customFormat="false" ht="15" hidden="false" customHeight="true" outlineLevel="0" collapsed="false">
      <c r="A4792" s="6" t="s">
        <v>7404</v>
      </c>
      <c r="B4792" s="6" t="s">
        <v>1095</v>
      </c>
      <c r="C4792" s="6" t="s">
        <v>128</v>
      </c>
      <c r="D4792" s="13" t="n">
        <v>46145</v>
      </c>
      <c r="E4792" s="14" t="n">
        <v>5242.54</v>
      </c>
      <c r="F4792" s="14" t="n">
        <v>22527.11</v>
      </c>
      <c r="G4792" s="6" t="s">
        <v>2613</v>
      </c>
    </row>
    <row r="4793" customFormat="false" ht="15" hidden="false" customHeight="true" outlineLevel="0" collapsed="false">
      <c r="A4793" s="6" t="s">
        <v>7405</v>
      </c>
      <c r="B4793" s="6" t="s">
        <v>1095</v>
      </c>
      <c r="C4793" s="6" t="s">
        <v>128</v>
      </c>
      <c r="D4793" s="13" t="n">
        <v>46152</v>
      </c>
      <c r="E4793" s="14" t="n">
        <v>7993.74</v>
      </c>
      <c r="F4793" s="14" t="n">
        <v>30520.85</v>
      </c>
      <c r="G4793" s="6" t="s">
        <v>2613</v>
      </c>
    </row>
    <row r="4794" customFormat="false" ht="15" hidden="false" customHeight="true" outlineLevel="0" collapsed="false">
      <c r="A4794" s="6" t="s">
        <v>7406</v>
      </c>
      <c r="B4794" s="6" t="s">
        <v>1095</v>
      </c>
      <c r="C4794" s="6" t="s">
        <v>128</v>
      </c>
      <c r="D4794" s="13" t="n">
        <v>46159</v>
      </c>
      <c r="E4794" s="14" t="n">
        <v>5074.27</v>
      </c>
      <c r="F4794" s="14" t="n">
        <v>35595.12</v>
      </c>
      <c r="G4794" s="6" t="s">
        <v>2613</v>
      </c>
    </row>
    <row r="4795" customFormat="false" ht="15" hidden="false" customHeight="true" outlineLevel="0" collapsed="false">
      <c r="A4795" s="6" t="s">
        <v>7407</v>
      </c>
      <c r="B4795" s="6" t="s">
        <v>1095</v>
      </c>
      <c r="C4795" s="6" t="s">
        <v>128</v>
      </c>
      <c r="D4795" s="13" t="n">
        <v>46166</v>
      </c>
      <c r="E4795" s="14" t="n">
        <v>3622.56</v>
      </c>
      <c r="F4795" s="14" t="n">
        <v>39217.68</v>
      </c>
      <c r="G4795" s="6" t="s">
        <v>2613</v>
      </c>
    </row>
    <row r="4796" customFormat="false" ht="15" hidden="false" customHeight="true" outlineLevel="0" collapsed="false">
      <c r="A4796" s="6" t="s">
        <v>7408</v>
      </c>
      <c r="B4796" s="6" t="s">
        <v>1095</v>
      </c>
      <c r="C4796" s="6" t="s">
        <v>128</v>
      </c>
      <c r="D4796" s="13" t="n">
        <v>46173</v>
      </c>
      <c r="E4796" s="14" t="n">
        <v>4976.76</v>
      </c>
      <c r="F4796" s="14" t="n">
        <v>44194.44</v>
      </c>
      <c r="G4796" s="6" t="s">
        <v>2613</v>
      </c>
    </row>
    <row r="4797" customFormat="false" ht="15" hidden="false" customHeight="true" outlineLevel="0" collapsed="false">
      <c r="A4797" s="6" t="s">
        <v>7409</v>
      </c>
      <c r="B4797" s="6" t="s">
        <v>1095</v>
      </c>
      <c r="C4797" s="6" t="s">
        <v>128</v>
      </c>
      <c r="D4797" s="13" t="n">
        <v>46180</v>
      </c>
      <c r="E4797" s="14" t="n">
        <v>8101.39</v>
      </c>
      <c r="F4797" s="14" t="n">
        <v>52295.83</v>
      </c>
      <c r="G4797" s="6" t="s">
        <v>2613</v>
      </c>
    </row>
    <row r="4798" customFormat="false" ht="15" hidden="false" customHeight="true" outlineLevel="0" collapsed="false">
      <c r="A4798" s="6" t="s">
        <v>7410</v>
      </c>
      <c r="B4798" s="6" t="s">
        <v>1095</v>
      </c>
      <c r="C4798" s="6" t="s">
        <v>128</v>
      </c>
      <c r="D4798" s="13" t="n">
        <v>46187</v>
      </c>
      <c r="E4798" s="14" t="n">
        <v>4345.17</v>
      </c>
      <c r="F4798" s="14" t="n">
        <v>56641</v>
      </c>
      <c r="G4798" s="6" t="s">
        <v>2613</v>
      </c>
    </row>
    <row r="4799" customFormat="false" ht="15" hidden="false" customHeight="true" outlineLevel="0" collapsed="false">
      <c r="A4799" s="6" t="s">
        <v>7411</v>
      </c>
      <c r="B4799" s="6" t="s">
        <v>1095</v>
      </c>
      <c r="C4799" s="6" t="s">
        <v>128</v>
      </c>
      <c r="D4799" s="13" t="n">
        <v>46194</v>
      </c>
      <c r="E4799" s="14" t="n">
        <v>4391.35</v>
      </c>
      <c r="F4799" s="14" t="n">
        <v>61032.35</v>
      </c>
      <c r="G4799" s="6" t="s">
        <v>2613</v>
      </c>
    </row>
    <row r="4800" customFormat="false" ht="15" hidden="false" customHeight="true" outlineLevel="0" collapsed="false">
      <c r="A4800" s="6" t="s">
        <v>7412</v>
      </c>
      <c r="B4800" s="6" t="s">
        <v>1095</v>
      </c>
      <c r="C4800" s="6" t="s">
        <v>128</v>
      </c>
      <c r="D4800" s="13" t="n">
        <v>46201</v>
      </c>
      <c r="E4800" s="14" t="n">
        <v>7371.08</v>
      </c>
      <c r="F4800" s="14" t="n">
        <v>68403.43</v>
      </c>
      <c r="G4800" s="6" t="s">
        <v>2613</v>
      </c>
    </row>
    <row r="4801" customFormat="false" ht="15" hidden="false" customHeight="true" outlineLevel="0" collapsed="false">
      <c r="A4801" s="6" t="s">
        <v>7413</v>
      </c>
      <c r="B4801" s="6" t="s">
        <v>1095</v>
      </c>
      <c r="C4801" s="6" t="s">
        <v>128</v>
      </c>
      <c r="D4801" s="13" t="n">
        <v>46208</v>
      </c>
      <c r="E4801" s="14" t="n">
        <v>4186.27</v>
      </c>
      <c r="F4801" s="14" t="n">
        <v>72589.7</v>
      </c>
      <c r="G4801" s="6" t="s">
        <v>2613</v>
      </c>
    </row>
    <row r="4802" customFormat="false" ht="15" hidden="false" customHeight="true" outlineLevel="0" collapsed="false">
      <c r="A4802" s="6" t="s">
        <v>7414</v>
      </c>
      <c r="B4802" s="6" t="s">
        <v>1095</v>
      </c>
      <c r="C4802" s="6" t="s">
        <v>128</v>
      </c>
      <c r="D4802" s="13" t="n">
        <v>46215</v>
      </c>
      <c r="E4802" s="14" t="n">
        <v>9605.28</v>
      </c>
      <c r="F4802" s="14" t="n">
        <v>82194.98</v>
      </c>
      <c r="G4802" s="6" t="s">
        <v>2613</v>
      </c>
    </row>
    <row r="4803" customFormat="false" ht="15" hidden="false" customHeight="true" outlineLevel="0" collapsed="false">
      <c r="A4803" s="6" t="s">
        <v>7415</v>
      </c>
      <c r="B4803" s="6" t="s">
        <v>1097</v>
      </c>
      <c r="C4803" s="6" t="s">
        <v>128</v>
      </c>
      <c r="D4803" s="13" t="n">
        <v>44631</v>
      </c>
      <c r="E4803" s="14" t="n">
        <v>5213.23</v>
      </c>
      <c r="F4803" s="14" t="n">
        <v>5213.23</v>
      </c>
      <c r="G4803" s="6" t="s">
        <v>2613</v>
      </c>
    </row>
    <row r="4804" customFormat="false" ht="15" hidden="false" customHeight="true" outlineLevel="0" collapsed="false">
      <c r="A4804" s="6" t="s">
        <v>7416</v>
      </c>
      <c r="B4804" s="6" t="s">
        <v>1097</v>
      </c>
      <c r="C4804" s="6" t="s">
        <v>128</v>
      </c>
      <c r="D4804" s="13" t="n">
        <v>44638</v>
      </c>
      <c r="E4804" s="14" t="n">
        <v>9416.52</v>
      </c>
      <c r="F4804" s="14" t="n">
        <v>14629.75</v>
      </c>
      <c r="G4804" s="6" t="s">
        <v>2613</v>
      </c>
    </row>
    <row r="4805" customFormat="false" ht="15" hidden="false" customHeight="true" outlineLevel="0" collapsed="false">
      <c r="A4805" s="6" t="s">
        <v>7417</v>
      </c>
      <c r="B4805" s="6" t="s">
        <v>1097</v>
      </c>
      <c r="C4805" s="6" t="s">
        <v>128</v>
      </c>
      <c r="D4805" s="13" t="n">
        <v>44645</v>
      </c>
      <c r="E4805" s="14" t="n">
        <v>7322.6</v>
      </c>
      <c r="F4805" s="14" t="n">
        <v>21952.35</v>
      </c>
      <c r="G4805" s="6" t="s">
        <v>2613</v>
      </c>
    </row>
    <row r="4806" customFormat="false" ht="15" hidden="false" customHeight="true" outlineLevel="0" collapsed="false">
      <c r="A4806" s="6" t="s">
        <v>7418</v>
      </c>
      <c r="B4806" s="6" t="s">
        <v>1097</v>
      </c>
      <c r="C4806" s="6" t="s">
        <v>128</v>
      </c>
      <c r="D4806" s="13" t="n">
        <v>44652</v>
      </c>
      <c r="E4806" s="14" t="n">
        <v>7623.83</v>
      </c>
      <c r="F4806" s="14" t="n">
        <v>29576.18</v>
      </c>
      <c r="G4806" s="6" t="s">
        <v>2613</v>
      </c>
    </row>
    <row r="4807" customFormat="false" ht="15" hidden="false" customHeight="true" outlineLevel="0" collapsed="false">
      <c r="A4807" s="6" t="s">
        <v>7419</v>
      </c>
      <c r="B4807" s="6" t="s">
        <v>1097</v>
      </c>
      <c r="C4807" s="6" t="s">
        <v>128</v>
      </c>
      <c r="D4807" s="13" t="n">
        <v>44659</v>
      </c>
      <c r="E4807" s="14" t="n">
        <v>4156.55</v>
      </c>
      <c r="F4807" s="14" t="n">
        <v>33732.73</v>
      </c>
      <c r="G4807" s="6" t="s">
        <v>2613</v>
      </c>
    </row>
    <row r="4808" customFormat="false" ht="15" hidden="false" customHeight="true" outlineLevel="0" collapsed="false">
      <c r="A4808" s="6" t="s">
        <v>7420</v>
      </c>
      <c r="B4808" s="6" t="s">
        <v>1099</v>
      </c>
      <c r="C4808" s="6" t="s">
        <v>128</v>
      </c>
      <c r="D4808" s="13" t="n">
        <v>44860</v>
      </c>
      <c r="E4808" s="14" t="n">
        <v>2484.04</v>
      </c>
      <c r="F4808" s="14" t="n">
        <v>2484.04</v>
      </c>
      <c r="G4808" s="6" t="s">
        <v>2623</v>
      </c>
    </row>
    <row r="4809" customFormat="false" ht="15" hidden="false" customHeight="true" outlineLevel="0" collapsed="false">
      <c r="A4809" s="6" t="s">
        <v>7421</v>
      </c>
      <c r="B4809" s="6" t="s">
        <v>1099</v>
      </c>
      <c r="C4809" s="6" t="s">
        <v>128</v>
      </c>
      <c r="D4809" s="13" t="n">
        <v>44867</v>
      </c>
      <c r="E4809" s="14" t="n">
        <v>3261.12</v>
      </c>
      <c r="F4809" s="14" t="n">
        <v>5745.16</v>
      </c>
      <c r="G4809" s="6" t="s">
        <v>2613</v>
      </c>
    </row>
    <row r="4810" customFormat="false" ht="15" hidden="false" customHeight="true" outlineLevel="0" collapsed="false">
      <c r="A4810" s="6" t="s">
        <v>7422</v>
      </c>
      <c r="B4810" s="6" t="s">
        <v>1099</v>
      </c>
      <c r="C4810" s="6" t="s">
        <v>128</v>
      </c>
      <c r="D4810" s="13" t="n">
        <v>44874</v>
      </c>
      <c r="E4810" s="14" t="n">
        <v>2425.48</v>
      </c>
      <c r="F4810" s="14" t="n">
        <v>8170.64</v>
      </c>
      <c r="G4810" s="6" t="s">
        <v>2613</v>
      </c>
    </row>
    <row r="4811" customFormat="false" ht="15" hidden="false" customHeight="true" outlineLevel="0" collapsed="false">
      <c r="A4811" s="6" t="s">
        <v>7423</v>
      </c>
      <c r="B4811" s="6" t="s">
        <v>1099</v>
      </c>
      <c r="C4811" s="6" t="s">
        <v>128</v>
      </c>
      <c r="D4811" s="13" t="n">
        <v>44881</v>
      </c>
      <c r="E4811" s="14" t="n">
        <v>2715.53</v>
      </c>
      <c r="F4811" s="14" t="n">
        <v>10886.17</v>
      </c>
      <c r="G4811" s="6" t="s">
        <v>2613</v>
      </c>
    </row>
    <row r="4812" customFormat="false" ht="15" hidden="false" customHeight="true" outlineLevel="0" collapsed="false">
      <c r="A4812" s="6" t="s">
        <v>7424</v>
      </c>
      <c r="B4812" s="6" t="s">
        <v>1099</v>
      </c>
      <c r="C4812" s="6" t="s">
        <v>128</v>
      </c>
      <c r="D4812" s="13" t="n">
        <v>44888</v>
      </c>
      <c r="E4812" s="14" t="n">
        <v>2959.75</v>
      </c>
      <c r="F4812" s="14" t="n">
        <v>13845.92</v>
      </c>
      <c r="G4812" s="6" t="s">
        <v>2623</v>
      </c>
    </row>
    <row r="4813" customFormat="false" ht="15" hidden="false" customHeight="true" outlineLevel="0" collapsed="false">
      <c r="A4813" s="6" t="s">
        <v>7425</v>
      </c>
      <c r="B4813" s="6" t="s">
        <v>1099</v>
      </c>
      <c r="C4813" s="6" t="s">
        <v>128</v>
      </c>
      <c r="D4813" s="13" t="n">
        <v>44895</v>
      </c>
      <c r="E4813" s="14" t="n">
        <v>2728.36</v>
      </c>
      <c r="F4813" s="14" t="n">
        <v>16574.28</v>
      </c>
      <c r="G4813" s="6" t="s">
        <v>2613</v>
      </c>
    </row>
    <row r="4814" customFormat="false" ht="15" hidden="false" customHeight="true" outlineLevel="0" collapsed="false">
      <c r="A4814" s="6" t="s">
        <v>7426</v>
      </c>
      <c r="B4814" s="6" t="s">
        <v>1099</v>
      </c>
      <c r="C4814" s="6" t="s">
        <v>128</v>
      </c>
      <c r="D4814" s="13" t="n">
        <v>44902</v>
      </c>
      <c r="E4814" s="14" t="n">
        <v>2296.44</v>
      </c>
      <c r="F4814" s="14" t="n">
        <v>18870.72</v>
      </c>
      <c r="G4814" s="6" t="s">
        <v>2613</v>
      </c>
    </row>
    <row r="4815" customFormat="false" ht="15" hidden="false" customHeight="true" outlineLevel="0" collapsed="false">
      <c r="A4815" s="6" t="s">
        <v>7427</v>
      </c>
      <c r="B4815" s="6" t="s">
        <v>1099</v>
      </c>
      <c r="C4815" s="6" t="s">
        <v>128</v>
      </c>
      <c r="D4815" s="13" t="n">
        <v>44909</v>
      </c>
      <c r="E4815" s="14" t="n">
        <v>3510.5</v>
      </c>
      <c r="F4815" s="14" t="n">
        <v>22381.22</v>
      </c>
      <c r="G4815" s="6" t="s">
        <v>2613</v>
      </c>
    </row>
    <row r="4816" customFormat="false" ht="15" hidden="false" customHeight="true" outlineLevel="0" collapsed="false">
      <c r="A4816" s="6" t="s">
        <v>7428</v>
      </c>
      <c r="B4816" s="6" t="s">
        <v>1099</v>
      </c>
      <c r="C4816" s="6" t="s">
        <v>128</v>
      </c>
      <c r="D4816" s="13" t="n">
        <v>44916</v>
      </c>
      <c r="E4816" s="14" t="n">
        <v>2751.81</v>
      </c>
      <c r="F4816" s="14" t="n">
        <v>25133.03</v>
      </c>
      <c r="G4816" s="6" t="s">
        <v>2613</v>
      </c>
    </row>
    <row r="4817" customFormat="false" ht="15" hidden="false" customHeight="true" outlineLevel="0" collapsed="false">
      <c r="A4817" s="6" t="s">
        <v>7429</v>
      </c>
      <c r="B4817" s="6" t="s">
        <v>1099</v>
      </c>
      <c r="C4817" s="6" t="s">
        <v>128</v>
      </c>
      <c r="D4817" s="13" t="n">
        <v>44923</v>
      </c>
      <c r="E4817" s="14" t="n">
        <v>1779.42</v>
      </c>
      <c r="F4817" s="14" t="n">
        <v>26912.45</v>
      </c>
      <c r="G4817" s="6" t="s">
        <v>2613</v>
      </c>
    </row>
    <row r="4818" customFormat="false" ht="15" hidden="false" customHeight="true" outlineLevel="0" collapsed="false">
      <c r="A4818" s="6" t="s">
        <v>7430</v>
      </c>
      <c r="B4818" s="6" t="s">
        <v>1099</v>
      </c>
      <c r="C4818" s="6" t="s">
        <v>128</v>
      </c>
      <c r="D4818" s="13" t="n">
        <v>44930</v>
      </c>
      <c r="E4818" s="14" t="n">
        <v>3424.12</v>
      </c>
      <c r="F4818" s="14" t="n">
        <v>30336.57</v>
      </c>
      <c r="G4818" s="6" t="s">
        <v>2613</v>
      </c>
    </row>
    <row r="4819" customFormat="false" ht="15" hidden="false" customHeight="true" outlineLevel="0" collapsed="false">
      <c r="A4819" s="6" t="s">
        <v>7431</v>
      </c>
      <c r="B4819" s="6" t="s">
        <v>1099</v>
      </c>
      <c r="C4819" s="6" t="s">
        <v>128</v>
      </c>
      <c r="D4819" s="13" t="n">
        <v>44937</v>
      </c>
      <c r="E4819" s="14" t="n">
        <v>3266.68</v>
      </c>
      <c r="F4819" s="14" t="n">
        <v>33603.25</v>
      </c>
      <c r="G4819" s="6" t="s">
        <v>2613</v>
      </c>
    </row>
    <row r="4820" customFormat="false" ht="15" hidden="false" customHeight="true" outlineLevel="0" collapsed="false">
      <c r="A4820" s="6" t="s">
        <v>7432</v>
      </c>
      <c r="B4820" s="6" t="s">
        <v>1099</v>
      </c>
      <c r="C4820" s="6" t="s">
        <v>128</v>
      </c>
      <c r="D4820" s="13" t="n">
        <v>44944</v>
      </c>
      <c r="E4820" s="14" t="n">
        <v>2279.94</v>
      </c>
      <c r="F4820" s="14" t="n">
        <v>35883.19</v>
      </c>
      <c r="G4820" s="6" t="s">
        <v>2613</v>
      </c>
    </row>
    <row r="4821" customFormat="false" ht="15" hidden="false" customHeight="true" outlineLevel="0" collapsed="false">
      <c r="A4821" s="6" t="s">
        <v>7433</v>
      </c>
      <c r="B4821" s="6" t="s">
        <v>1099</v>
      </c>
      <c r="C4821" s="6" t="s">
        <v>128</v>
      </c>
      <c r="D4821" s="13" t="n">
        <v>44951</v>
      </c>
      <c r="E4821" s="14" t="n">
        <v>1825.43</v>
      </c>
      <c r="F4821" s="14" t="n">
        <v>37708.62</v>
      </c>
      <c r="G4821" s="6" t="s">
        <v>2613</v>
      </c>
    </row>
    <row r="4822" customFormat="false" ht="15" hidden="false" customHeight="true" outlineLevel="0" collapsed="false">
      <c r="A4822" s="6" t="s">
        <v>7434</v>
      </c>
      <c r="B4822" s="6" t="s">
        <v>1099</v>
      </c>
      <c r="C4822" s="6" t="s">
        <v>128</v>
      </c>
      <c r="D4822" s="13" t="n">
        <v>44958</v>
      </c>
      <c r="E4822" s="14" t="n">
        <v>3203.72</v>
      </c>
      <c r="F4822" s="14" t="n">
        <v>40912.34</v>
      </c>
      <c r="G4822" s="6" t="s">
        <v>2613</v>
      </c>
    </row>
    <row r="4823" customFormat="false" ht="15" hidden="false" customHeight="true" outlineLevel="0" collapsed="false">
      <c r="A4823" s="6" t="s">
        <v>7435</v>
      </c>
      <c r="B4823" s="6" t="s">
        <v>1099</v>
      </c>
      <c r="C4823" s="6" t="s">
        <v>128</v>
      </c>
      <c r="D4823" s="13" t="n">
        <v>44965</v>
      </c>
      <c r="E4823" s="14" t="n">
        <v>1885.77</v>
      </c>
      <c r="F4823" s="14" t="n">
        <v>42798.11</v>
      </c>
      <c r="G4823" s="6" t="s">
        <v>2613</v>
      </c>
    </row>
    <row r="4824" customFormat="false" ht="15" hidden="false" customHeight="true" outlineLevel="0" collapsed="false">
      <c r="A4824" s="6" t="s">
        <v>7436</v>
      </c>
      <c r="B4824" s="6" t="s">
        <v>1099</v>
      </c>
      <c r="C4824" s="6" t="s">
        <v>128</v>
      </c>
      <c r="D4824" s="13" t="n">
        <v>44972</v>
      </c>
      <c r="E4824" s="14" t="n">
        <v>3195.17</v>
      </c>
      <c r="F4824" s="14" t="n">
        <v>45993.28</v>
      </c>
      <c r="G4824" s="6" t="s">
        <v>2613</v>
      </c>
    </row>
    <row r="4825" customFormat="false" ht="15" hidden="false" customHeight="true" outlineLevel="0" collapsed="false">
      <c r="A4825" s="6" t="s">
        <v>7437</v>
      </c>
      <c r="B4825" s="6" t="s">
        <v>1099</v>
      </c>
      <c r="C4825" s="6" t="s">
        <v>128</v>
      </c>
      <c r="D4825" s="13" t="n">
        <v>44979</v>
      </c>
      <c r="E4825" s="14" t="n">
        <v>2143.69</v>
      </c>
      <c r="F4825" s="14" t="n">
        <v>48136.97</v>
      </c>
      <c r="G4825" s="6" t="s">
        <v>2613</v>
      </c>
    </row>
    <row r="4826" customFormat="false" ht="15" hidden="false" customHeight="true" outlineLevel="0" collapsed="false">
      <c r="A4826" s="6" t="s">
        <v>7438</v>
      </c>
      <c r="B4826" s="6" t="s">
        <v>1099</v>
      </c>
      <c r="C4826" s="6" t="s">
        <v>128</v>
      </c>
      <c r="D4826" s="13" t="n">
        <v>44986</v>
      </c>
      <c r="E4826" s="14" t="n">
        <v>3366.12</v>
      </c>
      <c r="F4826" s="14" t="n">
        <v>51503.09</v>
      </c>
      <c r="G4826" s="6" t="s">
        <v>2613</v>
      </c>
    </row>
    <row r="4827" customFormat="false" ht="15" hidden="false" customHeight="true" outlineLevel="0" collapsed="false">
      <c r="A4827" s="6" t="s">
        <v>7439</v>
      </c>
      <c r="B4827" s="6" t="s">
        <v>1099</v>
      </c>
      <c r="C4827" s="6" t="s">
        <v>128</v>
      </c>
      <c r="D4827" s="13" t="n">
        <v>44993</v>
      </c>
      <c r="E4827" s="14" t="n">
        <v>1917.85</v>
      </c>
      <c r="F4827" s="14" t="n">
        <v>53420.94</v>
      </c>
      <c r="G4827" s="6" t="s">
        <v>2613</v>
      </c>
    </row>
    <row r="4828" customFormat="false" ht="15" hidden="false" customHeight="true" outlineLevel="0" collapsed="false">
      <c r="A4828" s="6" t="s">
        <v>7440</v>
      </c>
      <c r="B4828" s="6" t="s">
        <v>1099</v>
      </c>
      <c r="C4828" s="6" t="s">
        <v>128</v>
      </c>
      <c r="D4828" s="13" t="n">
        <v>45000</v>
      </c>
      <c r="E4828" s="14" t="n">
        <v>1575.36</v>
      </c>
      <c r="F4828" s="14" t="n">
        <v>54996.3</v>
      </c>
      <c r="G4828" s="6" t="s">
        <v>2613</v>
      </c>
    </row>
    <row r="4829" customFormat="false" ht="15" hidden="false" customHeight="true" outlineLevel="0" collapsed="false">
      <c r="A4829" s="6" t="s">
        <v>7441</v>
      </c>
      <c r="B4829" s="6" t="s">
        <v>1099</v>
      </c>
      <c r="C4829" s="6" t="s">
        <v>128</v>
      </c>
      <c r="D4829" s="13" t="n">
        <v>45007</v>
      </c>
      <c r="E4829" s="14" t="n">
        <v>2651.34</v>
      </c>
      <c r="F4829" s="14" t="n">
        <v>57647.64</v>
      </c>
      <c r="G4829" s="6" t="s">
        <v>2613</v>
      </c>
    </row>
    <row r="4830" customFormat="false" ht="15" hidden="false" customHeight="true" outlineLevel="0" collapsed="false">
      <c r="A4830" s="6" t="s">
        <v>7442</v>
      </c>
      <c r="B4830" s="6" t="s">
        <v>1099</v>
      </c>
      <c r="C4830" s="6" t="s">
        <v>128</v>
      </c>
      <c r="D4830" s="13" t="n">
        <v>45014</v>
      </c>
      <c r="E4830" s="14" t="n">
        <v>3476.68</v>
      </c>
      <c r="F4830" s="14" t="n">
        <v>61124.32</v>
      </c>
      <c r="G4830" s="6" t="s">
        <v>2613</v>
      </c>
    </row>
    <row r="4831" customFormat="false" ht="15" hidden="false" customHeight="true" outlineLevel="0" collapsed="false">
      <c r="A4831" s="6" t="s">
        <v>7443</v>
      </c>
      <c r="B4831" s="6" t="s">
        <v>1099</v>
      </c>
      <c r="C4831" s="6" t="s">
        <v>128</v>
      </c>
      <c r="D4831" s="13" t="n">
        <v>45021</v>
      </c>
      <c r="E4831" s="14" t="n">
        <v>3667.79</v>
      </c>
      <c r="F4831" s="14" t="n">
        <v>64792.11</v>
      </c>
      <c r="G4831" s="6" t="s">
        <v>2613</v>
      </c>
    </row>
    <row r="4832" customFormat="false" ht="15" hidden="false" customHeight="true" outlineLevel="0" collapsed="false">
      <c r="A4832" s="6" t="s">
        <v>7444</v>
      </c>
      <c r="B4832" s="6" t="s">
        <v>1099</v>
      </c>
      <c r="C4832" s="6" t="s">
        <v>128</v>
      </c>
      <c r="D4832" s="13" t="n">
        <v>45028</v>
      </c>
      <c r="E4832" s="14" t="n">
        <v>3628.37</v>
      </c>
      <c r="F4832" s="14" t="n">
        <v>68420.48</v>
      </c>
      <c r="G4832" s="6" t="s">
        <v>2613</v>
      </c>
    </row>
    <row r="4833" customFormat="false" ht="15" hidden="false" customHeight="true" outlineLevel="0" collapsed="false">
      <c r="A4833" s="6" t="s">
        <v>7445</v>
      </c>
      <c r="B4833" s="6" t="s">
        <v>1099</v>
      </c>
      <c r="C4833" s="6" t="s">
        <v>128</v>
      </c>
      <c r="D4833" s="13" t="n">
        <v>45035</v>
      </c>
      <c r="E4833" s="14" t="n">
        <v>1997.18</v>
      </c>
      <c r="F4833" s="14" t="n">
        <v>70417.66</v>
      </c>
      <c r="G4833" s="6" t="s">
        <v>2623</v>
      </c>
    </row>
    <row r="4834" customFormat="false" ht="15" hidden="false" customHeight="true" outlineLevel="0" collapsed="false">
      <c r="A4834" s="6" t="s">
        <v>7446</v>
      </c>
      <c r="B4834" s="6" t="s">
        <v>1099</v>
      </c>
      <c r="C4834" s="6" t="s">
        <v>128</v>
      </c>
      <c r="D4834" s="13" t="n">
        <v>45042</v>
      </c>
      <c r="E4834" s="14" t="n">
        <v>1978.87</v>
      </c>
      <c r="F4834" s="14" t="n">
        <v>72396.53</v>
      </c>
      <c r="G4834" s="6" t="s">
        <v>2613</v>
      </c>
    </row>
    <row r="4835" customFormat="false" ht="15" hidden="false" customHeight="true" outlineLevel="0" collapsed="false">
      <c r="A4835" s="6" t="s">
        <v>7447</v>
      </c>
      <c r="B4835" s="6" t="s">
        <v>1099</v>
      </c>
      <c r="C4835" s="6" t="s">
        <v>128</v>
      </c>
      <c r="D4835" s="13" t="n">
        <v>45049</v>
      </c>
      <c r="E4835" s="14" t="n">
        <v>3300.93</v>
      </c>
      <c r="F4835" s="14" t="n">
        <v>75697.46</v>
      </c>
      <c r="G4835" s="6" t="s">
        <v>2613</v>
      </c>
    </row>
    <row r="4836" customFormat="false" ht="15" hidden="false" customHeight="true" outlineLevel="0" collapsed="false">
      <c r="A4836" s="6" t="s">
        <v>7448</v>
      </c>
      <c r="B4836" s="6" t="s">
        <v>1099</v>
      </c>
      <c r="C4836" s="6" t="s">
        <v>128</v>
      </c>
      <c r="D4836" s="13" t="n">
        <v>45056</v>
      </c>
      <c r="E4836" s="14" t="n">
        <v>1626.77</v>
      </c>
      <c r="F4836" s="14" t="n">
        <v>77324.23</v>
      </c>
      <c r="G4836" s="6" t="s">
        <v>2613</v>
      </c>
    </row>
    <row r="4837" customFormat="false" ht="15" hidden="false" customHeight="true" outlineLevel="0" collapsed="false">
      <c r="A4837" s="6" t="s">
        <v>7449</v>
      </c>
      <c r="B4837" s="6" t="s">
        <v>1099</v>
      </c>
      <c r="C4837" s="6" t="s">
        <v>128</v>
      </c>
      <c r="D4837" s="13" t="n">
        <v>45063</v>
      </c>
      <c r="E4837" s="14" t="n">
        <v>2360.37</v>
      </c>
      <c r="F4837" s="14" t="n">
        <v>79684.6</v>
      </c>
      <c r="G4837" s="6" t="s">
        <v>2623</v>
      </c>
    </row>
    <row r="4838" customFormat="false" ht="15" hidden="false" customHeight="true" outlineLevel="0" collapsed="false">
      <c r="A4838" s="6" t="s">
        <v>7450</v>
      </c>
      <c r="B4838" s="6" t="s">
        <v>1099</v>
      </c>
      <c r="C4838" s="6" t="s">
        <v>128</v>
      </c>
      <c r="D4838" s="13" t="n">
        <v>45070</v>
      </c>
      <c r="E4838" s="14" t="n">
        <v>2933.25</v>
      </c>
      <c r="F4838" s="14" t="n">
        <v>82617.85</v>
      </c>
      <c r="G4838" s="6" t="s">
        <v>2623</v>
      </c>
    </row>
    <row r="4839" customFormat="false" ht="15" hidden="false" customHeight="true" outlineLevel="0" collapsed="false">
      <c r="A4839" s="6" t="s">
        <v>7451</v>
      </c>
      <c r="B4839" s="6" t="s">
        <v>1099</v>
      </c>
      <c r="C4839" s="6" t="s">
        <v>128</v>
      </c>
      <c r="D4839" s="13" t="n">
        <v>45077</v>
      </c>
      <c r="E4839" s="14" t="n">
        <v>2894.6</v>
      </c>
      <c r="F4839" s="14" t="n">
        <v>85512.45</v>
      </c>
      <c r="G4839" s="6" t="s">
        <v>2623</v>
      </c>
    </row>
    <row r="4840" customFormat="false" ht="15" hidden="false" customHeight="true" outlineLevel="0" collapsed="false">
      <c r="A4840" s="6" t="s">
        <v>7452</v>
      </c>
      <c r="B4840" s="6" t="s">
        <v>1099</v>
      </c>
      <c r="C4840" s="6" t="s">
        <v>128</v>
      </c>
      <c r="D4840" s="13" t="n">
        <v>45084</v>
      </c>
      <c r="E4840" s="14" t="n">
        <v>3120.88</v>
      </c>
      <c r="F4840" s="14" t="n">
        <v>88633.33</v>
      </c>
      <c r="G4840" s="6" t="s">
        <v>2623</v>
      </c>
    </row>
    <row r="4841" customFormat="false" ht="15" hidden="false" customHeight="true" outlineLevel="0" collapsed="false">
      <c r="A4841" s="6" t="s">
        <v>7453</v>
      </c>
      <c r="B4841" s="6" t="s">
        <v>1099</v>
      </c>
      <c r="C4841" s="6" t="s">
        <v>128</v>
      </c>
      <c r="D4841" s="13" t="n">
        <v>45091</v>
      </c>
      <c r="E4841" s="14" t="n">
        <v>2428.75</v>
      </c>
      <c r="F4841" s="14" t="n">
        <v>91062.08</v>
      </c>
      <c r="G4841" s="6" t="s">
        <v>2613</v>
      </c>
    </row>
    <row r="4842" customFormat="false" ht="15" hidden="false" customHeight="true" outlineLevel="0" collapsed="false">
      <c r="A4842" s="6" t="s">
        <v>7454</v>
      </c>
      <c r="B4842" s="6" t="s">
        <v>1099</v>
      </c>
      <c r="C4842" s="6" t="s">
        <v>128</v>
      </c>
      <c r="D4842" s="13" t="n">
        <v>45098</v>
      </c>
      <c r="E4842" s="14" t="n">
        <v>2893.92</v>
      </c>
      <c r="F4842" s="14" t="n">
        <v>93956</v>
      </c>
      <c r="G4842" s="6" t="s">
        <v>2613</v>
      </c>
    </row>
    <row r="4843" customFormat="false" ht="15" hidden="false" customHeight="true" outlineLevel="0" collapsed="false">
      <c r="A4843" s="6" t="s">
        <v>7455</v>
      </c>
      <c r="B4843" s="6" t="s">
        <v>1099</v>
      </c>
      <c r="C4843" s="6" t="s">
        <v>128</v>
      </c>
      <c r="D4843" s="13" t="n">
        <v>45105</v>
      </c>
      <c r="E4843" s="14" t="n">
        <v>2795.17</v>
      </c>
      <c r="F4843" s="14" t="n">
        <v>96751.17</v>
      </c>
      <c r="G4843" s="6" t="s">
        <v>2613</v>
      </c>
    </row>
    <row r="4844" customFormat="false" ht="15" hidden="false" customHeight="true" outlineLevel="0" collapsed="false">
      <c r="A4844" s="6" t="s">
        <v>7456</v>
      </c>
      <c r="B4844" s="6" t="s">
        <v>1099</v>
      </c>
      <c r="C4844" s="6" t="s">
        <v>128</v>
      </c>
      <c r="D4844" s="13" t="n">
        <v>45112</v>
      </c>
      <c r="E4844" s="14" t="n">
        <v>2435.77</v>
      </c>
      <c r="F4844" s="14" t="n">
        <v>99186.94</v>
      </c>
      <c r="G4844" s="6" t="s">
        <v>2613</v>
      </c>
    </row>
    <row r="4845" customFormat="false" ht="15" hidden="false" customHeight="true" outlineLevel="0" collapsed="false">
      <c r="A4845" s="6" t="s">
        <v>7457</v>
      </c>
      <c r="B4845" s="6" t="s">
        <v>1099</v>
      </c>
      <c r="C4845" s="6" t="s">
        <v>128</v>
      </c>
      <c r="D4845" s="13" t="n">
        <v>45119</v>
      </c>
      <c r="E4845" s="14" t="n">
        <v>3104.61</v>
      </c>
      <c r="F4845" s="14" t="n">
        <v>102291.55</v>
      </c>
      <c r="G4845" s="6" t="s">
        <v>2613</v>
      </c>
    </row>
    <row r="4846" customFormat="false" ht="15" hidden="false" customHeight="true" outlineLevel="0" collapsed="false">
      <c r="A4846" s="6" t="s">
        <v>7458</v>
      </c>
      <c r="B4846" s="6" t="s">
        <v>1099</v>
      </c>
      <c r="C4846" s="6" t="s">
        <v>128</v>
      </c>
      <c r="D4846" s="13" t="n">
        <v>45126</v>
      </c>
      <c r="E4846" s="14" t="n">
        <v>2160.26</v>
      </c>
      <c r="F4846" s="14" t="n">
        <v>104451.81</v>
      </c>
      <c r="G4846" s="6" t="s">
        <v>2623</v>
      </c>
    </row>
    <row r="4847" customFormat="false" ht="15" hidden="false" customHeight="true" outlineLevel="0" collapsed="false">
      <c r="A4847" s="6" t="s">
        <v>7459</v>
      </c>
      <c r="B4847" s="6" t="s">
        <v>1099</v>
      </c>
      <c r="C4847" s="6" t="s">
        <v>128</v>
      </c>
      <c r="D4847" s="13" t="n">
        <v>45133</v>
      </c>
      <c r="E4847" s="14" t="n">
        <v>2612.26</v>
      </c>
      <c r="F4847" s="14" t="n">
        <v>107064.07</v>
      </c>
      <c r="G4847" s="6" t="s">
        <v>2613</v>
      </c>
    </row>
    <row r="4848" customFormat="false" ht="15" hidden="false" customHeight="true" outlineLevel="0" collapsed="false">
      <c r="A4848" s="6" t="s">
        <v>7460</v>
      </c>
      <c r="B4848" s="6" t="s">
        <v>1099</v>
      </c>
      <c r="C4848" s="6" t="s">
        <v>128</v>
      </c>
      <c r="D4848" s="13" t="n">
        <v>45140</v>
      </c>
      <c r="E4848" s="14" t="n">
        <v>445.38</v>
      </c>
      <c r="F4848" s="14" t="n">
        <v>107509.45</v>
      </c>
      <c r="G4848" s="6" t="s">
        <v>2613</v>
      </c>
    </row>
    <row r="4849" customFormat="false" ht="15" hidden="false" customHeight="true" outlineLevel="0" collapsed="false">
      <c r="A4849" s="6" t="s">
        <v>7461</v>
      </c>
      <c r="B4849" s="6" t="s">
        <v>1101</v>
      </c>
      <c r="C4849" s="6" t="s">
        <v>116</v>
      </c>
      <c r="D4849" s="13" t="n">
        <v>44757</v>
      </c>
      <c r="E4849" s="14" t="n">
        <v>7323.01</v>
      </c>
      <c r="F4849" s="14" t="n">
        <v>7323.01</v>
      </c>
      <c r="G4849" s="6" t="s">
        <v>2613</v>
      </c>
    </row>
    <row r="4850" customFormat="false" ht="15" hidden="false" customHeight="true" outlineLevel="0" collapsed="false">
      <c r="A4850" s="6" t="s">
        <v>7462</v>
      </c>
      <c r="B4850" s="6" t="s">
        <v>1101</v>
      </c>
      <c r="C4850" s="6" t="s">
        <v>116</v>
      </c>
      <c r="D4850" s="13" t="n">
        <v>44764</v>
      </c>
      <c r="E4850" s="14" t="n">
        <v>6040.3</v>
      </c>
      <c r="F4850" s="14" t="n">
        <v>13363.31</v>
      </c>
      <c r="G4850" s="6" t="s">
        <v>2623</v>
      </c>
    </row>
    <row r="4851" customFormat="false" ht="15" hidden="false" customHeight="true" outlineLevel="0" collapsed="false">
      <c r="A4851" s="6" t="s">
        <v>7463</v>
      </c>
      <c r="B4851" s="6" t="s">
        <v>1101</v>
      </c>
      <c r="C4851" s="6" t="s">
        <v>116</v>
      </c>
      <c r="D4851" s="13" t="n">
        <v>44771</v>
      </c>
      <c r="E4851" s="14" t="n">
        <v>4850.31</v>
      </c>
      <c r="F4851" s="14" t="n">
        <v>18213.62</v>
      </c>
      <c r="G4851" s="6" t="s">
        <v>2613</v>
      </c>
    </row>
    <row r="4852" customFormat="false" ht="15" hidden="false" customHeight="true" outlineLevel="0" collapsed="false">
      <c r="A4852" s="6" t="s">
        <v>7464</v>
      </c>
      <c r="B4852" s="6" t="s">
        <v>1101</v>
      </c>
      <c r="C4852" s="6" t="s">
        <v>116</v>
      </c>
      <c r="D4852" s="13" t="n">
        <v>44778</v>
      </c>
      <c r="E4852" s="14" t="n">
        <v>8407.98</v>
      </c>
      <c r="F4852" s="14" t="n">
        <v>26621.6</v>
      </c>
      <c r="G4852" s="6" t="s">
        <v>2613</v>
      </c>
    </row>
    <row r="4853" customFormat="false" ht="15" hidden="false" customHeight="true" outlineLevel="0" collapsed="false">
      <c r="A4853" s="6" t="s">
        <v>7465</v>
      </c>
      <c r="B4853" s="6" t="s">
        <v>1103</v>
      </c>
      <c r="C4853" s="6" t="s">
        <v>120</v>
      </c>
      <c r="D4853" s="13" t="n">
        <v>45212</v>
      </c>
      <c r="E4853" s="14" t="n">
        <v>3275.09</v>
      </c>
      <c r="F4853" s="14" t="n">
        <v>3275.09</v>
      </c>
      <c r="G4853" s="6" t="s">
        <v>2613</v>
      </c>
    </row>
    <row r="4854" customFormat="false" ht="15" hidden="false" customHeight="true" outlineLevel="0" collapsed="false">
      <c r="A4854" s="6" t="s">
        <v>7466</v>
      </c>
      <c r="B4854" s="6" t="s">
        <v>1103</v>
      </c>
      <c r="C4854" s="6" t="s">
        <v>120</v>
      </c>
      <c r="D4854" s="13" t="n">
        <v>45219</v>
      </c>
      <c r="E4854" s="14" t="n">
        <v>3958.19</v>
      </c>
      <c r="F4854" s="14" t="n">
        <v>7233.28</v>
      </c>
      <c r="G4854" s="6" t="s">
        <v>2613</v>
      </c>
    </row>
    <row r="4855" customFormat="false" ht="15" hidden="false" customHeight="true" outlineLevel="0" collapsed="false">
      <c r="A4855" s="6" t="s">
        <v>7467</v>
      </c>
      <c r="B4855" s="6" t="s">
        <v>1103</v>
      </c>
      <c r="C4855" s="6" t="s">
        <v>120</v>
      </c>
      <c r="D4855" s="13" t="n">
        <v>45226</v>
      </c>
      <c r="E4855" s="14" t="n">
        <v>5766.07</v>
      </c>
      <c r="F4855" s="14" t="n">
        <v>12999.35</v>
      </c>
      <c r="G4855" s="6" t="s">
        <v>2613</v>
      </c>
    </row>
    <row r="4856" customFormat="false" ht="15" hidden="false" customHeight="true" outlineLevel="0" collapsed="false">
      <c r="A4856" s="6" t="s">
        <v>7468</v>
      </c>
      <c r="B4856" s="6" t="s">
        <v>1103</v>
      </c>
      <c r="C4856" s="6" t="s">
        <v>120</v>
      </c>
      <c r="D4856" s="13" t="n">
        <v>45233</v>
      </c>
      <c r="E4856" s="14" t="n">
        <v>3282.99</v>
      </c>
      <c r="F4856" s="14" t="n">
        <v>16282.34</v>
      </c>
      <c r="G4856" s="6" t="s">
        <v>2613</v>
      </c>
    </row>
    <row r="4857" customFormat="false" ht="15" hidden="false" customHeight="true" outlineLevel="0" collapsed="false">
      <c r="A4857" s="6" t="s">
        <v>7469</v>
      </c>
      <c r="B4857" s="6" t="s">
        <v>1103</v>
      </c>
      <c r="C4857" s="6" t="s">
        <v>120</v>
      </c>
      <c r="D4857" s="13" t="n">
        <v>45240</v>
      </c>
      <c r="E4857" s="14" t="n">
        <v>5698.93</v>
      </c>
      <c r="F4857" s="14" t="n">
        <v>21981.27</v>
      </c>
      <c r="G4857" s="6" t="s">
        <v>2613</v>
      </c>
    </row>
    <row r="4858" customFormat="false" ht="15" hidden="false" customHeight="true" outlineLevel="0" collapsed="false">
      <c r="A4858" s="6" t="s">
        <v>7470</v>
      </c>
      <c r="B4858" s="6" t="s">
        <v>1103</v>
      </c>
      <c r="C4858" s="6" t="s">
        <v>120</v>
      </c>
      <c r="D4858" s="13" t="n">
        <v>45247</v>
      </c>
      <c r="E4858" s="14" t="n">
        <v>2848.69</v>
      </c>
      <c r="F4858" s="14" t="n">
        <v>24829.96</v>
      </c>
      <c r="G4858" s="6" t="s">
        <v>2613</v>
      </c>
    </row>
    <row r="4859" customFormat="false" ht="15" hidden="false" customHeight="true" outlineLevel="0" collapsed="false">
      <c r="A4859" s="6" t="s">
        <v>7471</v>
      </c>
      <c r="B4859" s="6" t="s">
        <v>1103</v>
      </c>
      <c r="C4859" s="6" t="s">
        <v>120</v>
      </c>
      <c r="D4859" s="13" t="n">
        <v>45254</v>
      </c>
      <c r="E4859" s="14" t="n">
        <v>3884.33</v>
      </c>
      <c r="F4859" s="14" t="n">
        <v>28714.29</v>
      </c>
      <c r="G4859" s="6" t="s">
        <v>2613</v>
      </c>
    </row>
    <row r="4860" customFormat="false" ht="15" hidden="false" customHeight="true" outlineLevel="0" collapsed="false">
      <c r="A4860" s="6" t="s">
        <v>7472</v>
      </c>
      <c r="B4860" s="6" t="s">
        <v>1103</v>
      </c>
      <c r="C4860" s="6" t="s">
        <v>120</v>
      </c>
      <c r="D4860" s="13" t="n">
        <v>45261</v>
      </c>
      <c r="E4860" s="14" t="n">
        <v>4028.97</v>
      </c>
      <c r="F4860" s="14" t="n">
        <v>32743.26</v>
      </c>
      <c r="G4860" s="6" t="s">
        <v>2613</v>
      </c>
    </row>
    <row r="4861" customFormat="false" ht="15" hidden="false" customHeight="true" outlineLevel="0" collapsed="false">
      <c r="A4861" s="6" t="s">
        <v>7473</v>
      </c>
      <c r="B4861" s="6" t="s">
        <v>1103</v>
      </c>
      <c r="C4861" s="6" t="s">
        <v>120</v>
      </c>
      <c r="D4861" s="13" t="n">
        <v>45268</v>
      </c>
      <c r="E4861" s="14" t="n">
        <v>5934.04</v>
      </c>
      <c r="F4861" s="14" t="n">
        <v>38677.3</v>
      </c>
      <c r="G4861" s="6" t="s">
        <v>2613</v>
      </c>
    </row>
    <row r="4862" customFormat="false" ht="15" hidden="false" customHeight="true" outlineLevel="0" collapsed="false">
      <c r="A4862" s="6" t="s">
        <v>7474</v>
      </c>
      <c r="B4862" s="6" t="s">
        <v>1105</v>
      </c>
      <c r="C4862" s="6" t="s">
        <v>120</v>
      </c>
      <c r="D4862" s="13" t="n">
        <v>45197</v>
      </c>
      <c r="E4862" s="14" t="n">
        <v>3034.2</v>
      </c>
      <c r="F4862" s="14" t="n">
        <v>3034.2</v>
      </c>
      <c r="G4862" s="6" t="s">
        <v>2613</v>
      </c>
    </row>
    <row r="4863" customFormat="false" ht="15" hidden="false" customHeight="true" outlineLevel="0" collapsed="false">
      <c r="A4863" s="6" t="s">
        <v>7475</v>
      </c>
      <c r="B4863" s="6" t="s">
        <v>1105</v>
      </c>
      <c r="C4863" s="6" t="s">
        <v>120</v>
      </c>
      <c r="D4863" s="13" t="n">
        <v>45204</v>
      </c>
      <c r="E4863" s="14" t="n">
        <v>1902.58</v>
      </c>
      <c r="F4863" s="14" t="n">
        <v>4936.78</v>
      </c>
      <c r="G4863" s="6" t="s">
        <v>2613</v>
      </c>
    </row>
    <row r="4864" customFormat="false" ht="15" hidden="false" customHeight="true" outlineLevel="0" collapsed="false">
      <c r="A4864" s="6" t="s">
        <v>7476</v>
      </c>
      <c r="B4864" s="6" t="s">
        <v>1105</v>
      </c>
      <c r="C4864" s="6" t="s">
        <v>120</v>
      </c>
      <c r="D4864" s="13" t="n">
        <v>45211</v>
      </c>
      <c r="E4864" s="14" t="n">
        <v>2031.25</v>
      </c>
      <c r="F4864" s="14" t="n">
        <v>6968.03</v>
      </c>
      <c r="G4864" s="6" t="s">
        <v>2613</v>
      </c>
    </row>
    <row r="4865" customFormat="false" ht="15" hidden="false" customHeight="true" outlineLevel="0" collapsed="false">
      <c r="A4865" s="6" t="s">
        <v>7477</v>
      </c>
      <c r="B4865" s="6" t="s">
        <v>1105</v>
      </c>
      <c r="C4865" s="6" t="s">
        <v>120</v>
      </c>
      <c r="D4865" s="13" t="n">
        <v>45218</v>
      </c>
      <c r="E4865" s="14" t="n">
        <v>3055.19</v>
      </c>
      <c r="F4865" s="14" t="n">
        <v>10023.22</v>
      </c>
      <c r="G4865" s="6" t="s">
        <v>2623</v>
      </c>
    </row>
    <row r="4866" customFormat="false" ht="15" hidden="false" customHeight="true" outlineLevel="0" collapsed="false">
      <c r="A4866" s="6" t="s">
        <v>7478</v>
      </c>
      <c r="B4866" s="6" t="s">
        <v>1105</v>
      </c>
      <c r="C4866" s="6" t="s">
        <v>120</v>
      </c>
      <c r="D4866" s="13" t="n">
        <v>45225</v>
      </c>
      <c r="E4866" s="14" t="n">
        <v>1818.12</v>
      </c>
      <c r="F4866" s="14" t="n">
        <v>11841.34</v>
      </c>
      <c r="G4866" s="6" t="s">
        <v>2613</v>
      </c>
    </row>
    <row r="4867" customFormat="false" ht="15" hidden="false" customHeight="true" outlineLevel="0" collapsed="false">
      <c r="A4867" s="6" t="s">
        <v>7479</v>
      </c>
      <c r="B4867" s="6" t="s">
        <v>1105</v>
      </c>
      <c r="C4867" s="6" t="s">
        <v>120</v>
      </c>
      <c r="D4867" s="13" t="n">
        <v>45232</v>
      </c>
      <c r="E4867" s="14" t="n">
        <v>1749.18</v>
      </c>
      <c r="F4867" s="14" t="n">
        <v>13590.52</v>
      </c>
      <c r="G4867" s="6" t="s">
        <v>2613</v>
      </c>
    </row>
    <row r="4868" customFormat="false" ht="15" hidden="false" customHeight="true" outlineLevel="0" collapsed="false">
      <c r="A4868" s="6" t="s">
        <v>7480</v>
      </c>
      <c r="B4868" s="6" t="s">
        <v>1105</v>
      </c>
      <c r="C4868" s="6" t="s">
        <v>120</v>
      </c>
      <c r="D4868" s="13" t="n">
        <v>45239</v>
      </c>
      <c r="E4868" s="14" t="n">
        <v>1773.33</v>
      </c>
      <c r="F4868" s="14" t="n">
        <v>15363.85</v>
      </c>
      <c r="G4868" s="6" t="s">
        <v>2613</v>
      </c>
    </row>
    <row r="4869" customFormat="false" ht="15" hidden="false" customHeight="true" outlineLevel="0" collapsed="false">
      <c r="A4869" s="6" t="s">
        <v>7481</v>
      </c>
      <c r="B4869" s="6" t="s">
        <v>1105</v>
      </c>
      <c r="C4869" s="6" t="s">
        <v>120</v>
      </c>
      <c r="D4869" s="13" t="n">
        <v>45246</v>
      </c>
      <c r="E4869" s="14" t="n">
        <v>2367.17</v>
      </c>
      <c r="F4869" s="14" t="n">
        <v>17731.02</v>
      </c>
      <c r="G4869" s="6" t="s">
        <v>2613</v>
      </c>
    </row>
    <row r="4870" customFormat="false" ht="15" hidden="false" customHeight="true" outlineLevel="0" collapsed="false">
      <c r="A4870" s="6" t="s">
        <v>7482</v>
      </c>
      <c r="B4870" s="6" t="s">
        <v>1107</v>
      </c>
      <c r="C4870" s="6" t="s">
        <v>112</v>
      </c>
      <c r="D4870" s="13" t="n">
        <v>45775</v>
      </c>
      <c r="E4870" s="14" t="n">
        <v>7182.96</v>
      </c>
      <c r="F4870" s="14" t="n">
        <v>7182.96</v>
      </c>
      <c r="G4870" s="6" t="s">
        <v>2613</v>
      </c>
    </row>
    <row r="4871" customFormat="false" ht="15" hidden="false" customHeight="true" outlineLevel="0" collapsed="false">
      <c r="A4871" s="6" t="s">
        <v>7483</v>
      </c>
      <c r="B4871" s="6" t="s">
        <v>1107</v>
      </c>
      <c r="C4871" s="6" t="s">
        <v>112</v>
      </c>
      <c r="D4871" s="13" t="n">
        <v>45782</v>
      </c>
      <c r="E4871" s="14" t="n">
        <v>8758.52</v>
      </c>
      <c r="F4871" s="14" t="n">
        <v>15941.48</v>
      </c>
      <c r="G4871" s="6" t="s">
        <v>2613</v>
      </c>
    </row>
    <row r="4872" customFormat="false" ht="15" hidden="false" customHeight="true" outlineLevel="0" collapsed="false">
      <c r="A4872" s="6" t="s">
        <v>7484</v>
      </c>
      <c r="B4872" s="6" t="s">
        <v>1107</v>
      </c>
      <c r="C4872" s="6" t="s">
        <v>112</v>
      </c>
      <c r="D4872" s="13" t="n">
        <v>45789</v>
      </c>
      <c r="E4872" s="14" t="n">
        <v>6892.43</v>
      </c>
      <c r="F4872" s="14" t="n">
        <v>22833.91</v>
      </c>
      <c r="G4872" s="6" t="s">
        <v>2613</v>
      </c>
    </row>
    <row r="4873" customFormat="false" ht="15" hidden="false" customHeight="true" outlineLevel="0" collapsed="false">
      <c r="A4873" s="6" t="s">
        <v>7485</v>
      </c>
      <c r="B4873" s="6" t="s">
        <v>1107</v>
      </c>
      <c r="C4873" s="6" t="s">
        <v>112</v>
      </c>
      <c r="D4873" s="13" t="n">
        <v>45796</v>
      </c>
      <c r="E4873" s="14" t="n">
        <v>8233</v>
      </c>
      <c r="F4873" s="14" t="n">
        <v>31066.91</v>
      </c>
      <c r="G4873" s="6" t="s">
        <v>2613</v>
      </c>
    </row>
    <row r="4874" customFormat="false" ht="15" hidden="false" customHeight="true" outlineLevel="0" collapsed="false">
      <c r="A4874" s="6" t="s">
        <v>7486</v>
      </c>
      <c r="B4874" s="6" t="s">
        <v>1107</v>
      </c>
      <c r="C4874" s="6" t="s">
        <v>112</v>
      </c>
      <c r="D4874" s="13" t="n">
        <v>45803</v>
      </c>
      <c r="E4874" s="14" t="n">
        <v>1505.53</v>
      </c>
      <c r="F4874" s="14" t="n">
        <v>32572.44</v>
      </c>
      <c r="G4874" s="6" t="s">
        <v>2613</v>
      </c>
    </row>
    <row r="4875" customFormat="false" ht="15" hidden="false" customHeight="true" outlineLevel="0" collapsed="false">
      <c r="A4875" s="6" t="s">
        <v>7487</v>
      </c>
      <c r="B4875" s="6" t="s">
        <v>1109</v>
      </c>
      <c r="C4875" s="6" t="s">
        <v>124</v>
      </c>
      <c r="D4875" s="13" t="n">
        <v>45221</v>
      </c>
      <c r="E4875" s="14" t="n">
        <v>10424.53</v>
      </c>
      <c r="F4875" s="14" t="n">
        <v>10424.53</v>
      </c>
      <c r="G4875" s="6" t="s">
        <v>2613</v>
      </c>
    </row>
    <row r="4876" customFormat="false" ht="15" hidden="false" customHeight="true" outlineLevel="0" collapsed="false">
      <c r="A4876" s="6" t="s">
        <v>7488</v>
      </c>
      <c r="B4876" s="6" t="s">
        <v>1109</v>
      </c>
      <c r="C4876" s="6" t="s">
        <v>124</v>
      </c>
      <c r="D4876" s="13" t="n">
        <v>45228</v>
      </c>
      <c r="E4876" s="14" t="n">
        <v>11735.93</v>
      </c>
      <c r="F4876" s="14" t="n">
        <v>22160.46</v>
      </c>
      <c r="G4876" s="6" t="s">
        <v>2613</v>
      </c>
    </row>
    <row r="4877" customFormat="false" ht="15" hidden="false" customHeight="true" outlineLevel="0" collapsed="false">
      <c r="A4877" s="6" t="s">
        <v>7489</v>
      </c>
      <c r="B4877" s="6" t="s">
        <v>1109</v>
      </c>
      <c r="C4877" s="6" t="s">
        <v>124</v>
      </c>
      <c r="D4877" s="13" t="n">
        <v>45235</v>
      </c>
      <c r="E4877" s="14" t="n">
        <v>11452.41</v>
      </c>
      <c r="F4877" s="14" t="n">
        <v>33612.87</v>
      </c>
      <c r="G4877" s="6" t="s">
        <v>2613</v>
      </c>
    </row>
    <row r="4878" customFormat="false" ht="15" hidden="false" customHeight="true" outlineLevel="0" collapsed="false">
      <c r="A4878" s="6" t="s">
        <v>7490</v>
      </c>
      <c r="B4878" s="6" t="s">
        <v>1109</v>
      </c>
      <c r="C4878" s="6" t="s">
        <v>124</v>
      </c>
      <c r="D4878" s="13" t="n">
        <v>45242</v>
      </c>
      <c r="E4878" s="14" t="n">
        <v>10930.8</v>
      </c>
      <c r="F4878" s="14" t="n">
        <v>44543.67</v>
      </c>
      <c r="G4878" s="6" t="s">
        <v>2613</v>
      </c>
    </row>
    <row r="4879" customFormat="false" ht="15" hidden="false" customHeight="true" outlineLevel="0" collapsed="false">
      <c r="A4879" s="6" t="s">
        <v>7491</v>
      </c>
      <c r="B4879" s="6" t="s">
        <v>1109</v>
      </c>
      <c r="C4879" s="6" t="s">
        <v>124</v>
      </c>
      <c r="D4879" s="13" t="n">
        <v>45249</v>
      </c>
      <c r="E4879" s="14" t="n">
        <v>13220.43</v>
      </c>
      <c r="F4879" s="14" t="n">
        <v>57764.1</v>
      </c>
      <c r="G4879" s="6" t="s">
        <v>2613</v>
      </c>
    </row>
    <row r="4880" customFormat="false" ht="15" hidden="false" customHeight="true" outlineLevel="0" collapsed="false">
      <c r="A4880" s="6" t="s">
        <v>7492</v>
      </c>
      <c r="B4880" s="6" t="s">
        <v>1109</v>
      </c>
      <c r="C4880" s="6" t="s">
        <v>124</v>
      </c>
      <c r="D4880" s="13" t="n">
        <v>45256</v>
      </c>
      <c r="E4880" s="14" t="n">
        <v>9682.72</v>
      </c>
      <c r="F4880" s="14" t="n">
        <v>67446.82</v>
      </c>
      <c r="G4880" s="6" t="s">
        <v>2623</v>
      </c>
    </row>
    <row r="4881" customFormat="false" ht="15" hidden="false" customHeight="true" outlineLevel="0" collapsed="false">
      <c r="A4881" s="6" t="s">
        <v>7493</v>
      </c>
      <c r="B4881" s="6" t="s">
        <v>1109</v>
      </c>
      <c r="C4881" s="6" t="s">
        <v>124</v>
      </c>
      <c r="D4881" s="13" t="n">
        <v>45263</v>
      </c>
      <c r="E4881" s="14" t="n">
        <v>12698.57</v>
      </c>
      <c r="F4881" s="14" t="n">
        <v>80145.39</v>
      </c>
      <c r="G4881" s="6" t="s">
        <v>2613</v>
      </c>
    </row>
    <row r="4882" customFormat="false" ht="15" hidden="false" customHeight="true" outlineLevel="0" collapsed="false">
      <c r="A4882" s="6" t="s">
        <v>7494</v>
      </c>
      <c r="B4882" s="6" t="s">
        <v>1109</v>
      </c>
      <c r="C4882" s="6" t="s">
        <v>124</v>
      </c>
      <c r="D4882" s="13" t="n">
        <v>45270</v>
      </c>
      <c r="E4882" s="14" t="n">
        <v>13009.23</v>
      </c>
      <c r="F4882" s="14" t="n">
        <v>93154.62</v>
      </c>
      <c r="G4882" s="6" t="s">
        <v>2613</v>
      </c>
    </row>
    <row r="4883" customFormat="false" ht="15" hidden="false" customHeight="true" outlineLevel="0" collapsed="false">
      <c r="A4883" s="6" t="s">
        <v>7495</v>
      </c>
      <c r="B4883" s="6" t="s">
        <v>1109</v>
      </c>
      <c r="C4883" s="6" t="s">
        <v>124</v>
      </c>
      <c r="D4883" s="13" t="n">
        <v>45277</v>
      </c>
      <c r="E4883" s="14" t="n">
        <v>12278.43</v>
      </c>
      <c r="F4883" s="14" t="n">
        <v>105433.05</v>
      </c>
      <c r="G4883" s="6" t="s">
        <v>2613</v>
      </c>
    </row>
    <row r="4884" customFormat="false" ht="15" hidden="false" customHeight="true" outlineLevel="0" collapsed="false">
      <c r="A4884" s="6" t="s">
        <v>7496</v>
      </c>
      <c r="B4884" s="6" t="s">
        <v>1109</v>
      </c>
      <c r="C4884" s="6" t="s">
        <v>124</v>
      </c>
      <c r="D4884" s="13" t="n">
        <v>45284</v>
      </c>
      <c r="E4884" s="14" t="n">
        <v>2956.63</v>
      </c>
      <c r="F4884" s="14" t="n">
        <v>108389.68</v>
      </c>
      <c r="G4884" s="6" t="s">
        <v>2613</v>
      </c>
    </row>
    <row r="4885" customFormat="false" ht="15" hidden="false" customHeight="true" outlineLevel="0" collapsed="false">
      <c r="A4885" s="6" t="s">
        <v>7497</v>
      </c>
      <c r="B4885" s="6" t="s">
        <v>1111</v>
      </c>
      <c r="C4885" s="6" t="s">
        <v>124</v>
      </c>
      <c r="D4885" s="13" t="n">
        <v>45919</v>
      </c>
      <c r="E4885" s="14" t="n">
        <v>5108.27</v>
      </c>
      <c r="F4885" s="14" t="n">
        <v>5108.27</v>
      </c>
      <c r="G4885" s="6" t="s">
        <v>2613</v>
      </c>
    </row>
    <row r="4886" customFormat="false" ht="15" hidden="false" customHeight="true" outlineLevel="0" collapsed="false">
      <c r="A4886" s="6" t="s">
        <v>7498</v>
      </c>
      <c r="B4886" s="6" t="s">
        <v>1111</v>
      </c>
      <c r="C4886" s="6" t="s">
        <v>124</v>
      </c>
      <c r="D4886" s="13" t="n">
        <v>45926</v>
      </c>
      <c r="E4886" s="14" t="n">
        <v>3387.75</v>
      </c>
      <c r="F4886" s="14" t="n">
        <v>8496.02</v>
      </c>
      <c r="G4886" s="6" t="s">
        <v>2613</v>
      </c>
    </row>
    <row r="4887" customFormat="false" ht="15" hidden="false" customHeight="true" outlineLevel="0" collapsed="false">
      <c r="A4887" s="6" t="s">
        <v>7499</v>
      </c>
      <c r="B4887" s="6" t="s">
        <v>1111</v>
      </c>
      <c r="C4887" s="6" t="s">
        <v>124</v>
      </c>
      <c r="D4887" s="13" t="n">
        <v>45933</v>
      </c>
      <c r="E4887" s="14" t="n">
        <v>5228.57</v>
      </c>
      <c r="F4887" s="14" t="n">
        <v>13724.59</v>
      </c>
      <c r="G4887" s="6" t="s">
        <v>2613</v>
      </c>
    </row>
    <row r="4888" customFormat="false" ht="15" hidden="false" customHeight="true" outlineLevel="0" collapsed="false">
      <c r="A4888" s="6" t="s">
        <v>7500</v>
      </c>
      <c r="B4888" s="6" t="s">
        <v>1111</v>
      </c>
      <c r="C4888" s="6" t="s">
        <v>124</v>
      </c>
      <c r="D4888" s="13" t="n">
        <v>45940</v>
      </c>
      <c r="E4888" s="14" t="n">
        <v>5043.92</v>
      </c>
      <c r="F4888" s="14" t="n">
        <v>18768.51</v>
      </c>
      <c r="G4888" s="6" t="s">
        <v>2613</v>
      </c>
    </row>
    <row r="4889" customFormat="false" ht="15" hidden="false" customHeight="true" outlineLevel="0" collapsed="false">
      <c r="A4889" s="6" t="s">
        <v>7501</v>
      </c>
      <c r="B4889" s="6" t="s">
        <v>1111</v>
      </c>
      <c r="C4889" s="6" t="s">
        <v>124</v>
      </c>
      <c r="D4889" s="13" t="n">
        <v>45947</v>
      </c>
      <c r="E4889" s="14" t="n">
        <v>3662.42</v>
      </c>
      <c r="F4889" s="14" t="n">
        <v>22430.93</v>
      </c>
      <c r="G4889" s="6" t="s">
        <v>2613</v>
      </c>
    </row>
    <row r="4890" customFormat="false" ht="15" hidden="false" customHeight="true" outlineLevel="0" collapsed="false">
      <c r="A4890" s="6" t="s">
        <v>7502</v>
      </c>
      <c r="B4890" s="6" t="s">
        <v>1111</v>
      </c>
      <c r="C4890" s="6" t="s">
        <v>124</v>
      </c>
      <c r="D4890" s="13" t="n">
        <v>45954</v>
      </c>
      <c r="E4890" s="14" t="n">
        <v>3521.86</v>
      </c>
      <c r="F4890" s="14" t="n">
        <v>25952.79</v>
      </c>
      <c r="G4890" s="6" t="s">
        <v>2613</v>
      </c>
    </row>
    <row r="4891" customFormat="false" ht="15" hidden="false" customHeight="true" outlineLevel="0" collapsed="false">
      <c r="A4891" s="6" t="s">
        <v>7503</v>
      </c>
      <c r="B4891" s="6" t="s">
        <v>1111</v>
      </c>
      <c r="C4891" s="6" t="s">
        <v>124</v>
      </c>
      <c r="D4891" s="13" t="n">
        <v>45961</v>
      </c>
      <c r="E4891" s="14" t="n">
        <v>8721.19</v>
      </c>
      <c r="F4891" s="14" t="n">
        <v>34673.98</v>
      </c>
      <c r="G4891" s="6" t="s">
        <v>2613</v>
      </c>
    </row>
    <row r="4892" customFormat="false" ht="15" hidden="false" customHeight="true" outlineLevel="0" collapsed="false">
      <c r="A4892" s="6" t="s">
        <v>7504</v>
      </c>
      <c r="B4892" s="6" t="s">
        <v>1113</v>
      </c>
      <c r="C4892" s="6" t="s">
        <v>128</v>
      </c>
      <c r="D4892" s="13" t="n">
        <v>44893</v>
      </c>
      <c r="E4892" s="14" t="n">
        <v>7963.93</v>
      </c>
      <c r="F4892" s="14" t="n">
        <v>7963.93</v>
      </c>
      <c r="G4892" s="6" t="s">
        <v>2613</v>
      </c>
    </row>
    <row r="4893" customFormat="false" ht="15" hidden="false" customHeight="true" outlineLevel="0" collapsed="false">
      <c r="A4893" s="6" t="s">
        <v>7505</v>
      </c>
      <c r="B4893" s="6" t="s">
        <v>1113</v>
      </c>
      <c r="C4893" s="6" t="s">
        <v>128</v>
      </c>
      <c r="D4893" s="13" t="n">
        <v>44900</v>
      </c>
      <c r="E4893" s="14" t="n">
        <v>8464.03</v>
      </c>
      <c r="F4893" s="14" t="n">
        <v>16427.96</v>
      </c>
      <c r="G4893" s="6" t="s">
        <v>2613</v>
      </c>
    </row>
    <row r="4894" customFormat="false" ht="15" hidden="false" customHeight="true" outlineLevel="0" collapsed="false">
      <c r="A4894" s="6" t="s">
        <v>7506</v>
      </c>
      <c r="B4894" s="6" t="s">
        <v>1113</v>
      </c>
      <c r="C4894" s="6" t="s">
        <v>128</v>
      </c>
      <c r="D4894" s="13" t="n">
        <v>44907</v>
      </c>
      <c r="E4894" s="14" t="n">
        <v>4874.25</v>
      </c>
      <c r="F4894" s="14" t="n">
        <v>21302.21</v>
      </c>
      <c r="G4894" s="6" t="s">
        <v>2613</v>
      </c>
    </row>
    <row r="4895" customFormat="false" ht="15" hidden="false" customHeight="true" outlineLevel="0" collapsed="false">
      <c r="A4895" s="6" t="s">
        <v>7507</v>
      </c>
      <c r="B4895" s="6" t="s">
        <v>1113</v>
      </c>
      <c r="C4895" s="6" t="s">
        <v>128</v>
      </c>
      <c r="D4895" s="13" t="n">
        <v>44914</v>
      </c>
      <c r="E4895" s="14" t="n">
        <v>5885.87</v>
      </c>
      <c r="F4895" s="14" t="n">
        <v>27188.08</v>
      </c>
      <c r="G4895" s="6" t="s">
        <v>2613</v>
      </c>
    </row>
    <row r="4896" customFormat="false" ht="15" hidden="false" customHeight="true" outlineLevel="0" collapsed="false">
      <c r="A4896" s="6" t="s">
        <v>7508</v>
      </c>
      <c r="B4896" s="6" t="s">
        <v>1113</v>
      </c>
      <c r="C4896" s="6" t="s">
        <v>128</v>
      </c>
      <c r="D4896" s="13" t="n">
        <v>44921</v>
      </c>
      <c r="E4896" s="14" t="n">
        <v>7296.71</v>
      </c>
      <c r="F4896" s="14" t="n">
        <v>34484.79</v>
      </c>
      <c r="G4896" s="6" t="s">
        <v>2613</v>
      </c>
    </row>
    <row r="4897" customFormat="false" ht="15" hidden="false" customHeight="true" outlineLevel="0" collapsed="false">
      <c r="A4897" s="6" t="s">
        <v>7509</v>
      </c>
      <c r="B4897" s="6" t="s">
        <v>1113</v>
      </c>
      <c r="C4897" s="6" t="s">
        <v>128</v>
      </c>
      <c r="D4897" s="13" t="n">
        <v>44928</v>
      </c>
      <c r="E4897" s="14" t="n">
        <v>8551.91</v>
      </c>
      <c r="F4897" s="14" t="n">
        <v>43036.7</v>
      </c>
      <c r="G4897" s="6" t="s">
        <v>2613</v>
      </c>
    </row>
    <row r="4898" customFormat="false" ht="15" hidden="false" customHeight="true" outlineLevel="0" collapsed="false">
      <c r="A4898" s="6" t="s">
        <v>7510</v>
      </c>
      <c r="B4898" s="6" t="s">
        <v>1113</v>
      </c>
      <c r="C4898" s="6" t="s">
        <v>128</v>
      </c>
      <c r="D4898" s="13" t="n">
        <v>44935</v>
      </c>
      <c r="E4898" s="14" t="n">
        <v>5214.21</v>
      </c>
      <c r="F4898" s="14" t="n">
        <v>48250.91</v>
      </c>
      <c r="G4898" s="6" t="s">
        <v>2613</v>
      </c>
    </row>
    <row r="4899" customFormat="false" ht="15" hidden="false" customHeight="true" outlineLevel="0" collapsed="false">
      <c r="A4899" s="6" t="s">
        <v>7511</v>
      </c>
      <c r="B4899" s="6" t="s">
        <v>1113</v>
      </c>
      <c r="C4899" s="6" t="s">
        <v>128</v>
      </c>
      <c r="D4899" s="13" t="n">
        <v>44942</v>
      </c>
      <c r="E4899" s="14" t="n">
        <v>7714.96</v>
      </c>
      <c r="F4899" s="14" t="n">
        <v>55965.87</v>
      </c>
      <c r="G4899" s="6" t="s">
        <v>2613</v>
      </c>
    </row>
    <row r="4900" customFormat="false" ht="15" hidden="false" customHeight="true" outlineLevel="0" collapsed="false">
      <c r="A4900" s="6" t="s">
        <v>7512</v>
      </c>
      <c r="B4900" s="6" t="s">
        <v>1115</v>
      </c>
      <c r="C4900" s="6" t="s">
        <v>128</v>
      </c>
      <c r="D4900" s="13" t="n">
        <v>44756</v>
      </c>
      <c r="E4900" s="14" t="n">
        <v>10642.62</v>
      </c>
      <c r="F4900" s="14" t="n">
        <v>10642.62</v>
      </c>
      <c r="G4900" s="6" t="s">
        <v>2613</v>
      </c>
    </row>
    <row r="4901" customFormat="false" ht="15" hidden="false" customHeight="true" outlineLevel="0" collapsed="false">
      <c r="A4901" s="6" t="s">
        <v>7513</v>
      </c>
      <c r="B4901" s="6" t="s">
        <v>1115</v>
      </c>
      <c r="C4901" s="6" t="s">
        <v>128</v>
      </c>
      <c r="D4901" s="13" t="n">
        <v>44763</v>
      </c>
      <c r="E4901" s="14" t="n">
        <v>7377.76</v>
      </c>
      <c r="F4901" s="14" t="n">
        <v>18020.38</v>
      </c>
      <c r="G4901" s="6" t="s">
        <v>2613</v>
      </c>
    </row>
    <row r="4902" customFormat="false" ht="15" hidden="false" customHeight="true" outlineLevel="0" collapsed="false">
      <c r="A4902" s="6" t="s">
        <v>7514</v>
      </c>
      <c r="B4902" s="6" t="s">
        <v>1115</v>
      </c>
      <c r="C4902" s="6" t="s">
        <v>128</v>
      </c>
      <c r="D4902" s="13" t="n">
        <v>44770</v>
      </c>
      <c r="E4902" s="14" t="n">
        <v>9826.96</v>
      </c>
      <c r="F4902" s="14" t="n">
        <v>27847.34</v>
      </c>
      <c r="G4902" s="6" t="s">
        <v>2613</v>
      </c>
    </row>
    <row r="4903" customFormat="false" ht="15" hidden="false" customHeight="true" outlineLevel="0" collapsed="false">
      <c r="A4903" s="6" t="s">
        <v>7515</v>
      </c>
      <c r="B4903" s="6" t="s">
        <v>1115</v>
      </c>
      <c r="C4903" s="6" t="s">
        <v>128</v>
      </c>
      <c r="D4903" s="13" t="n">
        <v>44777</v>
      </c>
      <c r="E4903" s="14" t="n">
        <v>5021.28</v>
      </c>
      <c r="F4903" s="14" t="n">
        <v>32868.62</v>
      </c>
      <c r="G4903" s="6" t="s">
        <v>2613</v>
      </c>
    </row>
    <row r="4904" customFormat="false" ht="15" hidden="false" customHeight="true" outlineLevel="0" collapsed="false">
      <c r="A4904" s="6" t="s">
        <v>7516</v>
      </c>
      <c r="B4904" s="6" t="s">
        <v>1115</v>
      </c>
      <c r="C4904" s="6" t="s">
        <v>128</v>
      </c>
      <c r="D4904" s="13" t="n">
        <v>44784</v>
      </c>
      <c r="E4904" s="14" t="n">
        <v>6629.98</v>
      </c>
      <c r="F4904" s="14" t="n">
        <v>39498.6</v>
      </c>
      <c r="G4904" s="6" t="s">
        <v>2613</v>
      </c>
    </row>
    <row r="4905" customFormat="false" ht="15" hidden="false" customHeight="true" outlineLevel="0" collapsed="false">
      <c r="A4905" s="6" t="s">
        <v>7517</v>
      </c>
      <c r="B4905" s="6" t="s">
        <v>1115</v>
      </c>
      <c r="C4905" s="6" t="s">
        <v>128</v>
      </c>
      <c r="D4905" s="13" t="n">
        <v>44791</v>
      </c>
      <c r="E4905" s="14" t="n">
        <v>11084.62</v>
      </c>
      <c r="F4905" s="14" t="n">
        <v>50583.22</v>
      </c>
      <c r="G4905" s="6" t="s">
        <v>2623</v>
      </c>
    </row>
    <row r="4906" customFormat="false" ht="15" hidden="false" customHeight="true" outlineLevel="0" collapsed="false">
      <c r="A4906" s="6" t="s">
        <v>7518</v>
      </c>
      <c r="B4906" s="6" t="s">
        <v>1115</v>
      </c>
      <c r="C4906" s="6" t="s">
        <v>128</v>
      </c>
      <c r="D4906" s="13" t="n">
        <v>44798</v>
      </c>
      <c r="E4906" s="14" t="n">
        <v>8912.98</v>
      </c>
      <c r="F4906" s="14" t="n">
        <v>59496.2</v>
      </c>
      <c r="G4906" s="6" t="s">
        <v>2613</v>
      </c>
    </row>
    <row r="4907" customFormat="false" ht="15" hidden="false" customHeight="true" outlineLevel="0" collapsed="false">
      <c r="A4907" s="6" t="s">
        <v>7519</v>
      </c>
      <c r="B4907" s="6" t="s">
        <v>1115</v>
      </c>
      <c r="C4907" s="6" t="s">
        <v>128</v>
      </c>
      <c r="D4907" s="13" t="n">
        <v>44805</v>
      </c>
      <c r="E4907" s="14" t="n">
        <v>8053.13</v>
      </c>
      <c r="F4907" s="14" t="n">
        <v>67549.33</v>
      </c>
      <c r="G4907" s="6" t="s">
        <v>2613</v>
      </c>
    </row>
    <row r="4908" customFormat="false" ht="15" hidden="false" customHeight="true" outlineLevel="0" collapsed="false">
      <c r="A4908" s="6" t="s">
        <v>7520</v>
      </c>
      <c r="B4908" s="6" t="s">
        <v>1115</v>
      </c>
      <c r="C4908" s="6" t="s">
        <v>128</v>
      </c>
      <c r="D4908" s="13" t="n">
        <v>44812</v>
      </c>
      <c r="E4908" s="14" t="n">
        <v>7338.81</v>
      </c>
      <c r="F4908" s="14" t="n">
        <v>74888.14</v>
      </c>
      <c r="G4908" s="6" t="s">
        <v>2613</v>
      </c>
    </row>
    <row r="4909" customFormat="false" ht="15" hidden="false" customHeight="true" outlineLevel="0" collapsed="false">
      <c r="A4909" s="6" t="s">
        <v>7521</v>
      </c>
      <c r="B4909" s="6" t="s">
        <v>1115</v>
      </c>
      <c r="C4909" s="6" t="s">
        <v>128</v>
      </c>
      <c r="D4909" s="13" t="n">
        <v>44819</v>
      </c>
      <c r="E4909" s="14" t="n">
        <v>5973.19</v>
      </c>
      <c r="F4909" s="14" t="n">
        <v>80861.33</v>
      </c>
      <c r="G4909" s="6" t="s">
        <v>2613</v>
      </c>
    </row>
    <row r="4910" customFormat="false" ht="15" hidden="false" customHeight="true" outlineLevel="0" collapsed="false">
      <c r="A4910" s="6" t="s">
        <v>7522</v>
      </c>
      <c r="B4910" s="6" t="s">
        <v>1117</v>
      </c>
      <c r="C4910" s="6" t="s">
        <v>124</v>
      </c>
      <c r="D4910" s="13" t="n">
        <v>45964</v>
      </c>
      <c r="E4910" s="14" t="n">
        <v>6404.46</v>
      </c>
      <c r="F4910" s="14" t="n">
        <v>6404.46</v>
      </c>
      <c r="G4910" s="6" t="s">
        <v>2613</v>
      </c>
    </row>
    <row r="4911" customFormat="false" ht="15" hidden="false" customHeight="true" outlineLevel="0" collapsed="false">
      <c r="A4911" s="6" t="s">
        <v>7523</v>
      </c>
      <c r="B4911" s="6" t="s">
        <v>1117</v>
      </c>
      <c r="C4911" s="6" t="s">
        <v>124</v>
      </c>
      <c r="D4911" s="13" t="n">
        <v>45971</v>
      </c>
      <c r="E4911" s="14" t="n">
        <v>6755</v>
      </c>
      <c r="F4911" s="14" t="n">
        <v>13159.46</v>
      </c>
      <c r="G4911" s="6" t="s">
        <v>2623</v>
      </c>
    </row>
    <row r="4912" customFormat="false" ht="15" hidden="false" customHeight="true" outlineLevel="0" collapsed="false">
      <c r="A4912" s="6" t="s">
        <v>7524</v>
      </c>
      <c r="B4912" s="6" t="s">
        <v>1117</v>
      </c>
      <c r="C4912" s="6" t="s">
        <v>124</v>
      </c>
      <c r="D4912" s="13" t="n">
        <v>45978</v>
      </c>
      <c r="E4912" s="14" t="n">
        <v>6972.85</v>
      </c>
      <c r="F4912" s="14" t="n">
        <v>20132.31</v>
      </c>
      <c r="G4912" s="6" t="s">
        <v>2623</v>
      </c>
    </row>
    <row r="4913" customFormat="false" ht="15" hidden="false" customHeight="true" outlineLevel="0" collapsed="false">
      <c r="A4913" s="6" t="s">
        <v>7525</v>
      </c>
      <c r="B4913" s="6" t="s">
        <v>1117</v>
      </c>
      <c r="C4913" s="6" t="s">
        <v>124</v>
      </c>
      <c r="D4913" s="13" t="n">
        <v>45985</v>
      </c>
      <c r="E4913" s="14" t="n">
        <v>11250.91</v>
      </c>
      <c r="F4913" s="14" t="n">
        <v>31383.22</v>
      </c>
      <c r="G4913" s="6" t="s">
        <v>2613</v>
      </c>
    </row>
    <row r="4914" customFormat="false" ht="15" hidden="false" customHeight="true" outlineLevel="0" collapsed="false">
      <c r="A4914" s="6" t="s">
        <v>7526</v>
      </c>
      <c r="B4914" s="6" t="s">
        <v>1117</v>
      </c>
      <c r="C4914" s="6" t="s">
        <v>124</v>
      </c>
      <c r="D4914" s="13" t="n">
        <v>45992</v>
      </c>
      <c r="E4914" s="14" t="n">
        <v>11933.31</v>
      </c>
      <c r="F4914" s="14" t="n">
        <v>43316.53</v>
      </c>
      <c r="G4914" s="6" t="s">
        <v>2613</v>
      </c>
    </row>
    <row r="4915" customFormat="false" ht="15" hidden="false" customHeight="true" outlineLevel="0" collapsed="false">
      <c r="A4915" s="6" t="s">
        <v>7527</v>
      </c>
      <c r="B4915" s="6" t="s">
        <v>1117</v>
      </c>
      <c r="C4915" s="6" t="s">
        <v>124</v>
      </c>
      <c r="D4915" s="13" t="n">
        <v>45999</v>
      </c>
      <c r="E4915" s="14" t="n">
        <v>9368.52</v>
      </c>
      <c r="F4915" s="14" t="n">
        <v>52685.05</v>
      </c>
      <c r="G4915" s="6" t="s">
        <v>2613</v>
      </c>
    </row>
    <row r="4916" customFormat="false" ht="15" hidden="false" customHeight="true" outlineLevel="0" collapsed="false">
      <c r="A4916" s="6" t="s">
        <v>7528</v>
      </c>
      <c r="B4916" s="6" t="s">
        <v>1117</v>
      </c>
      <c r="C4916" s="6" t="s">
        <v>124</v>
      </c>
      <c r="D4916" s="13" t="n">
        <v>46006</v>
      </c>
      <c r="E4916" s="14" t="n">
        <v>9024.12</v>
      </c>
      <c r="F4916" s="14" t="n">
        <v>61709.17</v>
      </c>
      <c r="G4916" s="6" t="s">
        <v>2623</v>
      </c>
    </row>
    <row r="4917" customFormat="false" ht="15" hidden="false" customHeight="true" outlineLevel="0" collapsed="false">
      <c r="A4917" s="6" t="s">
        <v>7529</v>
      </c>
      <c r="B4917" s="6" t="s">
        <v>1117</v>
      </c>
      <c r="C4917" s="6" t="s">
        <v>124</v>
      </c>
      <c r="D4917" s="13" t="n">
        <v>46013</v>
      </c>
      <c r="E4917" s="14" t="n">
        <v>5984.36</v>
      </c>
      <c r="F4917" s="14" t="n">
        <v>67693.53</v>
      </c>
      <c r="G4917" s="6" t="s">
        <v>2613</v>
      </c>
    </row>
    <row r="4918" customFormat="false" ht="15" hidden="false" customHeight="true" outlineLevel="0" collapsed="false">
      <c r="A4918" s="6" t="s">
        <v>7530</v>
      </c>
      <c r="B4918" s="6" t="s">
        <v>1117</v>
      </c>
      <c r="C4918" s="6" t="s">
        <v>124</v>
      </c>
      <c r="D4918" s="13" t="n">
        <v>46020</v>
      </c>
      <c r="E4918" s="14" t="n">
        <v>9263.63</v>
      </c>
      <c r="F4918" s="14" t="n">
        <v>76957.16</v>
      </c>
      <c r="G4918" s="6" t="s">
        <v>2613</v>
      </c>
    </row>
    <row r="4919" customFormat="false" ht="15" hidden="false" customHeight="true" outlineLevel="0" collapsed="false">
      <c r="A4919" s="6" t="s">
        <v>7531</v>
      </c>
      <c r="B4919" s="6" t="s">
        <v>1119</v>
      </c>
      <c r="C4919" s="6" t="s">
        <v>131</v>
      </c>
      <c r="D4919" s="13" t="n">
        <v>45171</v>
      </c>
      <c r="E4919" s="14" t="n">
        <v>2581.23</v>
      </c>
      <c r="F4919" s="14" t="n">
        <v>2581.23</v>
      </c>
      <c r="G4919" s="6" t="s">
        <v>2613</v>
      </c>
    </row>
    <row r="4920" customFormat="false" ht="15" hidden="false" customHeight="true" outlineLevel="0" collapsed="false">
      <c r="A4920" s="6" t="s">
        <v>7532</v>
      </c>
      <c r="B4920" s="6" t="s">
        <v>1119</v>
      </c>
      <c r="C4920" s="6" t="s">
        <v>131</v>
      </c>
      <c r="D4920" s="13" t="n">
        <v>45178</v>
      </c>
      <c r="E4920" s="14" t="n">
        <v>2259.22</v>
      </c>
      <c r="F4920" s="14" t="n">
        <v>4840.45</v>
      </c>
      <c r="G4920" s="6" t="s">
        <v>2613</v>
      </c>
    </row>
    <row r="4921" customFormat="false" ht="15" hidden="false" customHeight="true" outlineLevel="0" collapsed="false">
      <c r="A4921" s="6" t="s">
        <v>7533</v>
      </c>
      <c r="B4921" s="6" t="s">
        <v>1119</v>
      </c>
      <c r="C4921" s="6" t="s">
        <v>131</v>
      </c>
      <c r="D4921" s="13" t="n">
        <v>45185</v>
      </c>
      <c r="E4921" s="14" t="n">
        <v>2335.33</v>
      </c>
      <c r="F4921" s="14" t="n">
        <v>7175.78</v>
      </c>
      <c r="G4921" s="6" t="s">
        <v>2613</v>
      </c>
    </row>
    <row r="4922" customFormat="false" ht="15" hidden="false" customHeight="true" outlineLevel="0" collapsed="false">
      <c r="A4922" s="6" t="s">
        <v>7534</v>
      </c>
      <c r="B4922" s="6" t="s">
        <v>1119</v>
      </c>
      <c r="C4922" s="6" t="s">
        <v>131</v>
      </c>
      <c r="D4922" s="13" t="n">
        <v>45192</v>
      </c>
      <c r="E4922" s="14" t="n">
        <v>1474.73</v>
      </c>
      <c r="F4922" s="14" t="n">
        <v>8650.51</v>
      </c>
      <c r="G4922" s="6" t="s">
        <v>2613</v>
      </c>
    </row>
    <row r="4923" customFormat="false" ht="15" hidden="false" customHeight="true" outlineLevel="0" collapsed="false">
      <c r="A4923" s="6" t="s">
        <v>7535</v>
      </c>
      <c r="B4923" s="6" t="s">
        <v>1119</v>
      </c>
      <c r="C4923" s="6" t="s">
        <v>131</v>
      </c>
      <c r="D4923" s="13" t="n">
        <v>45199</v>
      </c>
      <c r="E4923" s="14" t="n">
        <v>1966.19</v>
      </c>
      <c r="F4923" s="14" t="n">
        <v>10616.7</v>
      </c>
      <c r="G4923" s="6" t="s">
        <v>2613</v>
      </c>
    </row>
    <row r="4924" customFormat="false" ht="15" hidden="false" customHeight="true" outlineLevel="0" collapsed="false">
      <c r="A4924" s="6" t="s">
        <v>7536</v>
      </c>
      <c r="B4924" s="6" t="s">
        <v>1119</v>
      </c>
      <c r="C4924" s="6" t="s">
        <v>131</v>
      </c>
      <c r="D4924" s="13" t="n">
        <v>45206</v>
      </c>
      <c r="E4924" s="14" t="n">
        <v>2006.25</v>
      </c>
      <c r="F4924" s="14" t="n">
        <v>12622.95</v>
      </c>
      <c r="G4924" s="6" t="s">
        <v>2613</v>
      </c>
    </row>
    <row r="4925" customFormat="false" ht="15" hidden="false" customHeight="true" outlineLevel="0" collapsed="false">
      <c r="A4925" s="6" t="s">
        <v>7537</v>
      </c>
      <c r="B4925" s="6" t="s">
        <v>1119</v>
      </c>
      <c r="C4925" s="6" t="s">
        <v>131</v>
      </c>
      <c r="D4925" s="13" t="n">
        <v>45213</v>
      </c>
      <c r="E4925" s="14" t="n">
        <v>1751.88</v>
      </c>
      <c r="F4925" s="14" t="n">
        <v>14374.83</v>
      </c>
      <c r="G4925" s="6" t="s">
        <v>2613</v>
      </c>
    </row>
    <row r="4926" customFormat="false" ht="15" hidden="false" customHeight="true" outlineLevel="0" collapsed="false">
      <c r="A4926" s="6" t="s">
        <v>7538</v>
      </c>
      <c r="B4926" s="6" t="s">
        <v>1119</v>
      </c>
      <c r="C4926" s="6" t="s">
        <v>131</v>
      </c>
      <c r="D4926" s="13" t="n">
        <v>45220</v>
      </c>
      <c r="E4926" s="14" t="n">
        <v>794.22</v>
      </c>
      <c r="F4926" s="14" t="n">
        <v>15169.05</v>
      </c>
      <c r="G4926" s="6" t="s">
        <v>2613</v>
      </c>
    </row>
    <row r="4927" customFormat="false" ht="15" hidden="false" customHeight="true" outlineLevel="0" collapsed="false">
      <c r="A4927" s="6" t="s">
        <v>7539</v>
      </c>
      <c r="B4927" s="6" t="s">
        <v>1121</v>
      </c>
      <c r="C4927" s="6" t="s">
        <v>120</v>
      </c>
      <c r="D4927" s="13" t="n">
        <v>45395</v>
      </c>
      <c r="E4927" s="14" t="n">
        <v>5086.07</v>
      </c>
      <c r="F4927" s="14" t="n">
        <v>5086.07</v>
      </c>
      <c r="G4927" s="6" t="s">
        <v>2613</v>
      </c>
    </row>
    <row r="4928" customFormat="false" ht="15" hidden="false" customHeight="true" outlineLevel="0" collapsed="false">
      <c r="A4928" s="6" t="s">
        <v>7540</v>
      </c>
      <c r="B4928" s="6" t="s">
        <v>1121</v>
      </c>
      <c r="C4928" s="6" t="s">
        <v>120</v>
      </c>
      <c r="D4928" s="13" t="n">
        <v>45402</v>
      </c>
      <c r="E4928" s="14" t="n">
        <v>4780.96</v>
      </c>
      <c r="F4928" s="14" t="n">
        <v>9867.03</v>
      </c>
      <c r="G4928" s="6" t="s">
        <v>2613</v>
      </c>
    </row>
    <row r="4929" customFormat="false" ht="15" hidden="false" customHeight="true" outlineLevel="0" collapsed="false">
      <c r="A4929" s="6" t="s">
        <v>7541</v>
      </c>
      <c r="B4929" s="6" t="s">
        <v>1121</v>
      </c>
      <c r="C4929" s="6" t="s">
        <v>120</v>
      </c>
      <c r="D4929" s="13" t="n">
        <v>45409</v>
      </c>
      <c r="E4929" s="14" t="n">
        <v>3000.46</v>
      </c>
      <c r="F4929" s="14" t="n">
        <v>12867.49</v>
      </c>
      <c r="G4929" s="6" t="s">
        <v>2613</v>
      </c>
    </row>
    <row r="4930" customFormat="false" ht="15" hidden="false" customHeight="true" outlineLevel="0" collapsed="false">
      <c r="A4930" s="6" t="s">
        <v>7542</v>
      </c>
      <c r="B4930" s="6" t="s">
        <v>1121</v>
      </c>
      <c r="C4930" s="6" t="s">
        <v>120</v>
      </c>
      <c r="D4930" s="13" t="n">
        <v>45416</v>
      </c>
      <c r="E4930" s="14" t="n">
        <v>5948.59</v>
      </c>
      <c r="F4930" s="14" t="n">
        <v>18816.08</v>
      </c>
      <c r="G4930" s="6" t="s">
        <v>2613</v>
      </c>
    </row>
    <row r="4931" customFormat="false" ht="15" hidden="false" customHeight="true" outlineLevel="0" collapsed="false">
      <c r="A4931" s="6" t="s">
        <v>7543</v>
      </c>
      <c r="B4931" s="6" t="s">
        <v>1121</v>
      </c>
      <c r="C4931" s="6" t="s">
        <v>120</v>
      </c>
      <c r="D4931" s="13" t="n">
        <v>45423</v>
      </c>
      <c r="E4931" s="14" t="n">
        <v>5142.46</v>
      </c>
      <c r="F4931" s="14" t="n">
        <v>23958.54</v>
      </c>
      <c r="G4931" s="6" t="s">
        <v>2613</v>
      </c>
    </row>
    <row r="4932" customFormat="false" ht="15" hidden="false" customHeight="true" outlineLevel="0" collapsed="false">
      <c r="A4932" s="6" t="s">
        <v>7544</v>
      </c>
      <c r="B4932" s="6" t="s">
        <v>1121</v>
      </c>
      <c r="C4932" s="6" t="s">
        <v>120</v>
      </c>
      <c r="D4932" s="13" t="n">
        <v>45430</v>
      </c>
      <c r="E4932" s="14" t="n">
        <v>2730.9</v>
      </c>
      <c r="F4932" s="14" t="n">
        <v>26689.44</v>
      </c>
      <c r="G4932" s="6" t="s">
        <v>2613</v>
      </c>
    </row>
    <row r="4933" customFormat="false" ht="15" hidden="false" customHeight="true" outlineLevel="0" collapsed="false">
      <c r="A4933" s="6" t="s">
        <v>7545</v>
      </c>
      <c r="B4933" s="6" t="s">
        <v>1121</v>
      </c>
      <c r="C4933" s="6" t="s">
        <v>120</v>
      </c>
      <c r="D4933" s="13" t="n">
        <v>45437</v>
      </c>
      <c r="E4933" s="14" t="n">
        <v>4467.6</v>
      </c>
      <c r="F4933" s="14" t="n">
        <v>31157.04</v>
      </c>
      <c r="G4933" s="6" t="s">
        <v>2613</v>
      </c>
    </row>
    <row r="4934" customFormat="false" ht="15" hidden="false" customHeight="true" outlineLevel="0" collapsed="false">
      <c r="A4934" s="6" t="s">
        <v>7546</v>
      </c>
      <c r="B4934" s="6" t="s">
        <v>1121</v>
      </c>
      <c r="C4934" s="6" t="s">
        <v>120</v>
      </c>
      <c r="D4934" s="13" t="n">
        <v>45444</v>
      </c>
      <c r="E4934" s="14" t="n">
        <v>5983.79</v>
      </c>
      <c r="F4934" s="14" t="n">
        <v>37140.83</v>
      </c>
      <c r="G4934" s="6" t="s">
        <v>2613</v>
      </c>
    </row>
    <row r="4935" customFormat="false" ht="15" hidden="false" customHeight="true" outlineLevel="0" collapsed="false">
      <c r="A4935" s="6" t="s">
        <v>7547</v>
      </c>
      <c r="B4935" s="6" t="s">
        <v>1121</v>
      </c>
      <c r="C4935" s="6" t="s">
        <v>120</v>
      </c>
      <c r="D4935" s="13" t="n">
        <v>45451</v>
      </c>
      <c r="E4935" s="14" t="n">
        <v>2695.6</v>
      </c>
      <c r="F4935" s="14" t="n">
        <v>39836.43</v>
      </c>
      <c r="G4935" s="6" t="s">
        <v>2613</v>
      </c>
    </row>
    <row r="4936" customFormat="false" ht="15" hidden="false" customHeight="true" outlineLevel="0" collapsed="false">
      <c r="A4936" s="6" t="s">
        <v>7548</v>
      </c>
      <c r="B4936" s="6" t="s">
        <v>1121</v>
      </c>
      <c r="C4936" s="6" t="s">
        <v>120</v>
      </c>
      <c r="D4936" s="13" t="n">
        <v>45458</v>
      </c>
      <c r="E4936" s="14" t="n">
        <v>4357.87</v>
      </c>
      <c r="F4936" s="14" t="n">
        <v>44194.3</v>
      </c>
      <c r="G4936" s="6" t="s">
        <v>2613</v>
      </c>
    </row>
    <row r="4937" customFormat="false" ht="15" hidden="false" customHeight="true" outlineLevel="0" collapsed="false">
      <c r="A4937" s="6" t="s">
        <v>7549</v>
      </c>
      <c r="B4937" s="6" t="s">
        <v>1121</v>
      </c>
      <c r="C4937" s="6" t="s">
        <v>120</v>
      </c>
      <c r="D4937" s="13" t="n">
        <v>45465</v>
      </c>
      <c r="E4937" s="14" t="n">
        <v>5544.69</v>
      </c>
      <c r="F4937" s="14" t="n">
        <v>49738.99</v>
      </c>
      <c r="G4937" s="6" t="s">
        <v>2613</v>
      </c>
    </row>
    <row r="4938" customFormat="false" ht="15" hidden="false" customHeight="true" outlineLevel="0" collapsed="false">
      <c r="A4938" s="6" t="s">
        <v>7550</v>
      </c>
      <c r="B4938" s="6" t="s">
        <v>1121</v>
      </c>
      <c r="C4938" s="6" t="s">
        <v>120</v>
      </c>
      <c r="D4938" s="13" t="n">
        <v>45472</v>
      </c>
      <c r="E4938" s="14" t="n">
        <v>3324.15</v>
      </c>
      <c r="F4938" s="14" t="n">
        <v>53063.14</v>
      </c>
      <c r="G4938" s="6" t="s">
        <v>2613</v>
      </c>
    </row>
    <row r="4939" customFormat="false" ht="15" hidden="false" customHeight="true" outlineLevel="0" collapsed="false">
      <c r="A4939" s="6" t="s">
        <v>7551</v>
      </c>
      <c r="B4939" s="6" t="s">
        <v>1121</v>
      </c>
      <c r="C4939" s="6" t="s">
        <v>120</v>
      </c>
      <c r="D4939" s="13" t="n">
        <v>45479</v>
      </c>
      <c r="E4939" s="14" t="n">
        <v>4149.04</v>
      </c>
      <c r="F4939" s="14" t="n">
        <v>57212.18</v>
      </c>
      <c r="G4939" s="6" t="s">
        <v>2613</v>
      </c>
    </row>
    <row r="4940" customFormat="false" ht="15" hidden="false" customHeight="true" outlineLevel="0" collapsed="false">
      <c r="A4940" s="6" t="s">
        <v>7552</v>
      </c>
      <c r="B4940" s="6" t="s">
        <v>1123</v>
      </c>
      <c r="C4940" s="6" t="s">
        <v>131</v>
      </c>
      <c r="D4940" s="13" t="n">
        <v>45052</v>
      </c>
      <c r="E4940" s="14" t="n">
        <v>450.01</v>
      </c>
      <c r="F4940" s="14" t="n">
        <v>450.01</v>
      </c>
      <c r="G4940" s="6" t="s">
        <v>2613</v>
      </c>
    </row>
    <row r="4941" customFormat="false" ht="15" hidden="false" customHeight="true" outlineLevel="0" collapsed="false">
      <c r="A4941" s="6" t="s">
        <v>7553</v>
      </c>
      <c r="B4941" s="6" t="s">
        <v>1123</v>
      </c>
      <c r="C4941" s="6" t="s">
        <v>131</v>
      </c>
      <c r="D4941" s="13" t="n">
        <v>45059</v>
      </c>
      <c r="E4941" s="14" t="n">
        <v>299.59</v>
      </c>
      <c r="F4941" s="14" t="n">
        <v>749.6</v>
      </c>
      <c r="G4941" s="6" t="s">
        <v>2613</v>
      </c>
    </row>
    <row r="4942" customFormat="false" ht="15" hidden="false" customHeight="true" outlineLevel="0" collapsed="false">
      <c r="A4942" s="6" t="s">
        <v>7554</v>
      </c>
      <c r="B4942" s="6" t="s">
        <v>1123</v>
      </c>
      <c r="C4942" s="6" t="s">
        <v>131</v>
      </c>
      <c r="D4942" s="13" t="n">
        <v>45066</v>
      </c>
      <c r="E4942" s="14" t="n">
        <v>340.98</v>
      </c>
      <c r="F4942" s="14" t="n">
        <v>1090.58</v>
      </c>
      <c r="G4942" s="6" t="s">
        <v>2613</v>
      </c>
    </row>
    <row r="4943" customFormat="false" ht="15" hidden="false" customHeight="true" outlineLevel="0" collapsed="false">
      <c r="A4943" s="6" t="s">
        <v>7555</v>
      </c>
      <c r="B4943" s="6" t="s">
        <v>1123</v>
      </c>
      <c r="C4943" s="6" t="s">
        <v>131</v>
      </c>
      <c r="D4943" s="13" t="n">
        <v>45073</v>
      </c>
      <c r="E4943" s="14" t="n">
        <v>305.31</v>
      </c>
      <c r="F4943" s="14" t="n">
        <v>1395.89</v>
      </c>
      <c r="G4943" s="6" t="s">
        <v>2613</v>
      </c>
    </row>
    <row r="4944" customFormat="false" ht="15" hidden="false" customHeight="true" outlineLevel="0" collapsed="false">
      <c r="A4944" s="6" t="s">
        <v>7556</v>
      </c>
      <c r="B4944" s="6" t="s">
        <v>1123</v>
      </c>
      <c r="C4944" s="6" t="s">
        <v>131</v>
      </c>
      <c r="D4944" s="13" t="n">
        <v>45080</v>
      </c>
      <c r="E4944" s="14" t="n">
        <v>418.95</v>
      </c>
      <c r="F4944" s="14" t="n">
        <v>1814.84</v>
      </c>
      <c r="G4944" s="6" t="s">
        <v>2613</v>
      </c>
    </row>
    <row r="4945" customFormat="false" ht="15" hidden="false" customHeight="true" outlineLevel="0" collapsed="false">
      <c r="A4945" s="6" t="s">
        <v>7557</v>
      </c>
      <c r="B4945" s="6" t="s">
        <v>1123</v>
      </c>
      <c r="C4945" s="6" t="s">
        <v>131</v>
      </c>
      <c r="D4945" s="13" t="n">
        <v>45087</v>
      </c>
      <c r="E4945" s="14" t="n">
        <v>463.48</v>
      </c>
      <c r="F4945" s="14" t="n">
        <v>2278.32</v>
      </c>
      <c r="G4945" s="6" t="s">
        <v>2613</v>
      </c>
    </row>
    <row r="4946" customFormat="false" ht="15" hidden="false" customHeight="true" outlineLevel="0" collapsed="false">
      <c r="A4946" s="6" t="s">
        <v>7558</v>
      </c>
      <c r="B4946" s="6" t="s">
        <v>1123</v>
      </c>
      <c r="C4946" s="6" t="s">
        <v>131</v>
      </c>
      <c r="D4946" s="13" t="n">
        <v>45094</v>
      </c>
      <c r="E4946" s="14" t="n">
        <v>347.26</v>
      </c>
      <c r="F4946" s="14" t="n">
        <v>2625.58</v>
      </c>
      <c r="G4946" s="6" t="s">
        <v>2613</v>
      </c>
    </row>
    <row r="4947" customFormat="false" ht="15" hidden="false" customHeight="true" outlineLevel="0" collapsed="false">
      <c r="A4947" s="6" t="s">
        <v>7559</v>
      </c>
      <c r="B4947" s="6" t="s">
        <v>1123</v>
      </c>
      <c r="C4947" s="6" t="s">
        <v>131</v>
      </c>
      <c r="D4947" s="13" t="n">
        <v>45101</v>
      </c>
      <c r="E4947" s="14" t="n">
        <v>207.23</v>
      </c>
      <c r="F4947" s="14" t="n">
        <v>2832.81</v>
      </c>
      <c r="G4947" s="6" t="s">
        <v>2613</v>
      </c>
    </row>
    <row r="4948" customFormat="false" ht="15" hidden="false" customHeight="true" outlineLevel="0" collapsed="false">
      <c r="A4948" s="6" t="s">
        <v>7560</v>
      </c>
      <c r="B4948" s="6" t="s">
        <v>1125</v>
      </c>
      <c r="C4948" s="6" t="s">
        <v>116</v>
      </c>
      <c r="D4948" s="13" t="n">
        <v>45149</v>
      </c>
      <c r="E4948" s="14" t="n">
        <v>5387.41</v>
      </c>
      <c r="F4948" s="14" t="n">
        <v>5387.41</v>
      </c>
      <c r="G4948" s="6" t="s">
        <v>2613</v>
      </c>
    </row>
    <row r="4949" customFormat="false" ht="15" hidden="false" customHeight="true" outlineLevel="0" collapsed="false">
      <c r="A4949" s="6" t="s">
        <v>7561</v>
      </c>
      <c r="B4949" s="6" t="s">
        <v>1125</v>
      </c>
      <c r="C4949" s="6" t="s">
        <v>116</v>
      </c>
      <c r="D4949" s="13" t="n">
        <v>45156</v>
      </c>
      <c r="E4949" s="14" t="n">
        <v>8279.03</v>
      </c>
      <c r="F4949" s="14" t="n">
        <v>13666.44</v>
      </c>
      <c r="G4949" s="6" t="s">
        <v>2613</v>
      </c>
    </row>
    <row r="4950" customFormat="false" ht="15" hidden="false" customHeight="true" outlineLevel="0" collapsed="false">
      <c r="A4950" s="6" t="s">
        <v>7562</v>
      </c>
      <c r="B4950" s="6" t="s">
        <v>1125</v>
      </c>
      <c r="C4950" s="6" t="s">
        <v>116</v>
      </c>
      <c r="D4950" s="13" t="n">
        <v>45163</v>
      </c>
      <c r="E4950" s="14" t="n">
        <v>11650.26</v>
      </c>
      <c r="F4950" s="14" t="n">
        <v>25316.7</v>
      </c>
      <c r="G4950" s="6" t="s">
        <v>2613</v>
      </c>
    </row>
    <row r="4951" customFormat="false" ht="15" hidden="false" customHeight="true" outlineLevel="0" collapsed="false">
      <c r="A4951" s="6" t="s">
        <v>7563</v>
      </c>
      <c r="B4951" s="6" t="s">
        <v>1125</v>
      </c>
      <c r="C4951" s="6" t="s">
        <v>116</v>
      </c>
      <c r="D4951" s="13" t="n">
        <v>45170</v>
      </c>
      <c r="E4951" s="14" t="n">
        <v>9206</v>
      </c>
      <c r="F4951" s="14" t="n">
        <v>34522.7</v>
      </c>
      <c r="G4951" s="6" t="s">
        <v>2613</v>
      </c>
    </row>
    <row r="4952" customFormat="false" ht="15" hidden="false" customHeight="true" outlineLevel="0" collapsed="false">
      <c r="A4952" s="6" t="s">
        <v>7564</v>
      </c>
      <c r="B4952" s="6" t="s">
        <v>1125</v>
      </c>
      <c r="C4952" s="6" t="s">
        <v>116</v>
      </c>
      <c r="D4952" s="13" t="n">
        <v>45177</v>
      </c>
      <c r="E4952" s="14" t="n">
        <v>5558.6</v>
      </c>
      <c r="F4952" s="14" t="n">
        <v>40081.3</v>
      </c>
      <c r="G4952" s="6" t="s">
        <v>2613</v>
      </c>
    </row>
    <row r="4953" customFormat="false" ht="15" hidden="false" customHeight="true" outlineLevel="0" collapsed="false">
      <c r="A4953" s="6" t="s">
        <v>7565</v>
      </c>
      <c r="B4953" s="6" t="s">
        <v>1125</v>
      </c>
      <c r="C4953" s="6" t="s">
        <v>116</v>
      </c>
      <c r="D4953" s="13" t="n">
        <v>45184</v>
      </c>
      <c r="E4953" s="14" t="n">
        <v>6049.13</v>
      </c>
      <c r="F4953" s="14" t="n">
        <v>46130.43</v>
      </c>
      <c r="G4953" s="6" t="s">
        <v>2613</v>
      </c>
    </row>
    <row r="4954" customFormat="false" ht="15" hidden="false" customHeight="true" outlineLevel="0" collapsed="false">
      <c r="A4954" s="6" t="s">
        <v>7566</v>
      </c>
      <c r="B4954" s="6" t="s">
        <v>1125</v>
      </c>
      <c r="C4954" s="6" t="s">
        <v>116</v>
      </c>
      <c r="D4954" s="13" t="n">
        <v>45191</v>
      </c>
      <c r="E4954" s="14" t="n">
        <v>7010.03</v>
      </c>
      <c r="F4954" s="14" t="n">
        <v>53140.46</v>
      </c>
      <c r="G4954" s="6" t="s">
        <v>2613</v>
      </c>
    </row>
    <row r="4955" customFormat="false" ht="15" hidden="false" customHeight="true" outlineLevel="0" collapsed="false">
      <c r="A4955" s="6" t="s">
        <v>7567</v>
      </c>
      <c r="B4955" s="6" t="s">
        <v>1125</v>
      </c>
      <c r="C4955" s="6" t="s">
        <v>116</v>
      </c>
      <c r="D4955" s="13" t="n">
        <v>45198</v>
      </c>
      <c r="E4955" s="14" t="n">
        <v>10941.68</v>
      </c>
      <c r="F4955" s="14" t="n">
        <v>64082.14</v>
      </c>
      <c r="G4955" s="6" t="s">
        <v>2613</v>
      </c>
    </row>
    <row r="4956" customFormat="false" ht="15" hidden="false" customHeight="true" outlineLevel="0" collapsed="false">
      <c r="A4956" s="6" t="s">
        <v>7568</v>
      </c>
      <c r="B4956" s="6" t="s">
        <v>1125</v>
      </c>
      <c r="C4956" s="6" t="s">
        <v>116</v>
      </c>
      <c r="D4956" s="13" t="n">
        <v>45205</v>
      </c>
      <c r="E4956" s="14" t="n">
        <v>11022.3</v>
      </c>
      <c r="F4956" s="14" t="n">
        <v>75104.44</v>
      </c>
      <c r="G4956" s="6" t="s">
        <v>2613</v>
      </c>
    </row>
    <row r="4957" customFormat="false" ht="15" hidden="false" customHeight="true" outlineLevel="0" collapsed="false">
      <c r="A4957" s="6" t="s">
        <v>7569</v>
      </c>
      <c r="B4957" s="6" t="s">
        <v>1125</v>
      </c>
      <c r="C4957" s="6" t="s">
        <v>116</v>
      </c>
      <c r="D4957" s="13" t="n">
        <v>45212</v>
      </c>
      <c r="E4957" s="14" t="n">
        <v>10661.39</v>
      </c>
      <c r="F4957" s="14" t="n">
        <v>85765.83</v>
      </c>
      <c r="G4957" s="6" t="s">
        <v>2613</v>
      </c>
    </row>
    <row r="4958" customFormat="false" ht="15" hidden="false" customHeight="true" outlineLevel="0" collapsed="false">
      <c r="A4958" s="6" t="s">
        <v>7570</v>
      </c>
      <c r="B4958" s="6" t="s">
        <v>1127</v>
      </c>
      <c r="C4958" s="6" t="s">
        <v>116</v>
      </c>
      <c r="D4958" s="13" t="n">
        <v>46113</v>
      </c>
      <c r="E4958" s="14" t="n">
        <v>5583.57</v>
      </c>
      <c r="F4958" s="14" t="n">
        <v>5583.57</v>
      </c>
      <c r="G4958" s="6" t="s">
        <v>2613</v>
      </c>
    </row>
    <row r="4959" customFormat="false" ht="15" hidden="false" customHeight="true" outlineLevel="0" collapsed="false">
      <c r="A4959" s="6" t="s">
        <v>7571</v>
      </c>
      <c r="B4959" s="6" t="s">
        <v>1127</v>
      </c>
      <c r="C4959" s="6" t="s">
        <v>116</v>
      </c>
      <c r="D4959" s="13" t="n">
        <v>46120</v>
      </c>
      <c r="E4959" s="14" t="n">
        <v>6616.86</v>
      </c>
      <c r="F4959" s="14" t="n">
        <v>12200.43</v>
      </c>
      <c r="G4959" s="6" t="s">
        <v>2613</v>
      </c>
    </row>
    <row r="4960" customFormat="false" ht="15" hidden="false" customHeight="true" outlineLevel="0" collapsed="false">
      <c r="A4960" s="6" t="s">
        <v>7572</v>
      </c>
      <c r="B4960" s="6" t="s">
        <v>1127</v>
      </c>
      <c r="C4960" s="6" t="s">
        <v>116</v>
      </c>
      <c r="D4960" s="13" t="n">
        <v>46127</v>
      </c>
      <c r="E4960" s="14" t="n">
        <v>5789.28</v>
      </c>
      <c r="F4960" s="14" t="n">
        <v>17989.71</v>
      </c>
      <c r="G4960" s="6" t="s">
        <v>2613</v>
      </c>
    </row>
    <row r="4961" customFormat="false" ht="15" hidden="false" customHeight="true" outlineLevel="0" collapsed="false">
      <c r="A4961" s="6" t="s">
        <v>7573</v>
      </c>
      <c r="B4961" s="6" t="s">
        <v>1127</v>
      </c>
      <c r="C4961" s="6" t="s">
        <v>116</v>
      </c>
      <c r="D4961" s="13" t="n">
        <v>46134</v>
      </c>
      <c r="E4961" s="14" t="n">
        <v>7557.18</v>
      </c>
      <c r="F4961" s="14" t="n">
        <v>25546.89</v>
      </c>
      <c r="G4961" s="6" t="s">
        <v>2613</v>
      </c>
    </row>
    <row r="4962" customFormat="false" ht="15" hidden="false" customHeight="true" outlineLevel="0" collapsed="false">
      <c r="A4962" s="6" t="s">
        <v>7574</v>
      </c>
      <c r="B4962" s="6" t="s">
        <v>1127</v>
      </c>
      <c r="C4962" s="6" t="s">
        <v>116</v>
      </c>
      <c r="D4962" s="13" t="n">
        <v>46141</v>
      </c>
      <c r="E4962" s="14" t="n">
        <v>5801.27</v>
      </c>
      <c r="F4962" s="14" t="n">
        <v>31348.16</v>
      </c>
      <c r="G4962" s="6" t="s">
        <v>2613</v>
      </c>
    </row>
    <row r="4963" customFormat="false" ht="15" hidden="false" customHeight="true" outlineLevel="0" collapsed="false">
      <c r="A4963" s="6" t="s">
        <v>7575</v>
      </c>
      <c r="B4963" s="6" t="s">
        <v>1127</v>
      </c>
      <c r="C4963" s="6" t="s">
        <v>116</v>
      </c>
      <c r="D4963" s="13" t="n">
        <v>46148</v>
      </c>
      <c r="E4963" s="14" t="n">
        <v>9129.09</v>
      </c>
      <c r="F4963" s="14" t="n">
        <v>40477.25</v>
      </c>
      <c r="G4963" s="6" t="s">
        <v>2613</v>
      </c>
    </row>
    <row r="4964" customFormat="false" ht="15" hidden="false" customHeight="true" outlineLevel="0" collapsed="false">
      <c r="A4964" s="6" t="s">
        <v>7576</v>
      </c>
      <c r="B4964" s="6" t="s">
        <v>1127</v>
      </c>
      <c r="C4964" s="6" t="s">
        <v>116</v>
      </c>
      <c r="D4964" s="13" t="n">
        <v>46155</v>
      </c>
      <c r="E4964" s="14" t="n">
        <v>5683.02</v>
      </c>
      <c r="F4964" s="14" t="n">
        <v>46160.27</v>
      </c>
      <c r="G4964" s="6" t="s">
        <v>2613</v>
      </c>
    </row>
    <row r="4965" customFormat="false" ht="15" hidden="false" customHeight="true" outlineLevel="0" collapsed="false">
      <c r="A4965" s="6" t="s">
        <v>7577</v>
      </c>
      <c r="B4965" s="6" t="s">
        <v>1127</v>
      </c>
      <c r="C4965" s="6" t="s">
        <v>116</v>
      </c>
      <c r="D4965" s="13" t="n">
        <v>46162</v>
      </c>
      <c r="E4965" s="14" t="n">
        <v>7260.78</v>
      </c>
      <c r="F4965" s="14" t="n">
        <v>53421.05</v>
      </c>
      <c r="G4965" s="6" t="s">
        <v>2613</v>
      </c>
    </row>
    <row r="4966" customFormat="false" ht="15" hidden="false" customHeight="true" outlineLevel="0" collapsed="false">
      <c r="A4966" s="6" t="s">
        <v>7578</v>
      </c>
      <c r="B4966" s="6" t="s">
        <v>1127</v>
      </c>
      <c r="C4966" s="6" t="s">
        <v>116</v>
      </c>
      <c r="D4966" s="13" t="n">
        <v>46169</v>
      </c>
      <c r="E4966" s="14" t="n">
        <v>4679.71</v>
      </c>
      <c r="F4966" s="14" t="n">
        <v>58100.76</v>
      </c>
      <c r="G4966" s="6" t="s">
        <v>2613</v>
      </c>
    </row>
    <row r="4967" customFormat="false" ht="15" hidden="false" customHeight="true" outlineLevel="0" collapsed="false">
      <c r="A4967" s="6" t="s">
        <v>7579</v>
      </c>
      <c r="B4967" s="6" t="s">
        <v>1127</v>
      </c>
      <c r="C4967" s="6" t="s">
        <v>116</v>
      </c>
      <c r="D4967" s="13" t="n">
        <v>46176</v>
      </c>
      <c r="E4967" s="14" t="n">
        <v>8841.31</v>
      </c>
      <c r="F4967" s="14" t="n">
        <v>66942.07</v>
      </c>
      <c r="G4967" s="6" t="s">
        <v>2613</v>
      </c>
    </row>
    <row r="4968" customFormat="false" ht="15" hidden="false" customHeight="true" outlineLevel="0" collapsed="false">
      <c r="A4968" s="6" t="s">
        <v>7580</v>
      </c>
      <c r="B4968" s="6" t="s">
        <v>1127</v>
      </c>
      <c r="C4968" s="6" t="s">
        <v>116</v>
      </c>
      <c r="D4968" s="13" t="n">
        <v>46183</v>
      </c>
      <c r="E4968" s="14" t="n">
        <v>8319.14</v>
      </c>
      <c r="F4968" s="14" t="n">
        <v>75261.21</v>
      </c>
      <c r="G4968" s="6" t="s">
        <v>2613</v>
      </c>
    </row>
    <row r="4969" customFormat="false" ht="15" hidden="false" customHeight="true" outlineLevel="0" collapsed="false">
      <c r="A4969" s="6" t="s">
        <v>7581</v>
      </c>
      <c r="B4969" s="6" t="s">
        <v>1127</v>
      </c>
      <c r="C4969" s="6" t="s">
        <v>116</v>
      </c>
      <c r="D4969" s="13" t="n">
        <v>46190</v>
      </c>
      <c r="E4969" s="14" t="n">
        <v>5762.71</v>
      </c>
      <c r="F4969" s="14" t="n">
        <v>81023.92</v>
      </c>
      <c r="G4969" s="6" t="s">
        <v>2613</v>
      </c>
    </row>
    <row r="4970" customFormat="false" ht="15" hidden="false" customHeight="true" outlineLevel="0" collapsed="false">
      <c r="A4970" s="6" t="s">
        <v>7582</v>
      </c>
      <c r="B4970" s="6" t="s">
        <v>1127</v>
      </c>
      <c r="C4970" s="6" t="s">
        <v>116</v>
      </c>
      <c r="D4970" s="13" t="n">
        <v>46197</v>
      </c>
      <c r="E4970" s="14" t="n">
        <v>8524.64</v>
      </c>
      <c r="F4970" s="14" t="n">
        <v>89548.56</v>
      </c>
      <c r="G4970" s="6" t="s">
        <v>2613</v>
      </c>
    </row>
    <row r="4971" customFormat="false" ht="15" hidden="false" customHeight="true" outlineLevel="0" collapsed="false">
      <c r="A4971" s="6" t="s">
        <v>7583</v>
      </c>
      <c r="B4971" s="6" t="s">
        <v>1127</v>
      </c>
      <c r="C4971" s="6" t="s">
        <v>116</v>
      </c>
      <c r="D4971" s="13" t="n">
        <v>46204</v>
      </c>
      <c r="E4971" s="14" t="n">
        <v>4221.69</v>
      </c>
      <c r="F4971" s="14" t="n">
        <v>93770.25</v>
      </c>
      <c r="G4971" s="6" t="s">
        <v>2613</v>
      </c>
    </row>
    <row r="4972" customFormat="false" ht="15" hidden="false" customHeight="true" outlineLevel="0" collapsed="false">
      <c r="A4972" s="6" t="s">
        <v>7584</v>
      </c>
      <c r="B4972" s="6" t="s">
        <v>1127</v>
      </c>
      <c r="C4972" s="6" t="s">
        <v>116</v>
      </c>
      <c r="D4972" s="13" t="n">
        <v>46211</v>
      </c>
      <c r="E4972" s="14" t="n">
        <v>5976.8</v>
      </c>
      <c r="F4972" s="14" t="n">
        <v>99747.05</v>
      </c>
      <c r="G4972" s="6" t="s">
        <v>2613</v>
      </c>
    </row>
    <row r="4973" customFormat="false" ht="15" hidden="false" customHeight="true" outlineLevel="0" collapsed="false">
      <c r="A4973" s="6" t="s">
        <v>7585</v>
      </c>
      <c r="B4973" s="6" t="s">
        <v>1127</v>
      </c>
      <c r="C4973" s="6" t="s">
        <v>116</v>
      </c>
      <c r="D4973" s="13" t="n">
        <v>46218</v>
      </c>
      <c r="E4973" s="14" t="n">
        <v>7440.18</v>
      </c>
      <c r="F4973" s="14" t="n">
        <v>107187.23</v>
      </c>
      <c r="G4973" s="6" t="s">
        <v>2613</v>
      </c>
    </row>
    <row r="4974" customFormat="false" ht="15" hidden="false" customHeight="true" outlineLevel="0" collapsed="false">
      <c r="A4974" s="6" t="s">
        <v>7586</v>
      </c>
      <c r="B4974" s="6" t="s">
        <v>1127</v>
      </c>
      <c r="C4974" s="6" t="s">
        <v>116</v>
      </c>
      <c r="D4974" s="13" t="n">
        <v>46225</v>
      </c>
      <c r="E4974" s="14" t="n">
        <v>9096.75</v>
      </c>
      <c r="F4974" s="14" t="n">
        <v>116283.98</v>
      </c>
      <c r="G4974" s="6" t="s">
        <v>2613</v>
      </c>
    </row>
    <row r="4975" customFormat="false" ht="15" hidden="false" customHeight="true" outlineLevel="0" collapsed="false">
      <c r="A4975" s="6" t="s">
        <v>7587</v>
      </c>
      <c r="B4975" s="6" t="s">
        <v>1127</v>
      </c>
      <c r="C4975" s="6" t="s">
        <v>116</v>
      </c>
      <c r="D4975" s="13" t="n">
        <v>46232</v>
      </c>
      <c r="E4975" s="14" t="n">
        <v>3517.94</v>
      </c>
      <c r="F4975" s="14" t="n">
        <v>119801.92</v>
      </c>
      <c r="G4975" s="6" t="s">
        <v>2613</v>
      </c>
    </row>
    <row r="4976" customFormat="false" ht="15" hidden="false" customHeight="true" outlineLevel="0" collapsed="false">
      <c r="A4976" s="6" t="s">
        <v>7588</v>
      </c>
      <c r="B4976" s="6" t="s">
        <v>1129</v>
      </c>
      <c r="C4976" s="6" t="s">
        <v>112</v>
      </c>
      <c r="D4976" s="13" t="n">
        <v>45965</v>
      </c>
      <c r="E4976" s="14" t="n">
        <v>932.05</v>
      </c>
      <c r="F4976" s="14" t="n">
        <v>932.05</v>
      </c>
      <c r="G4976" s="6" t="s">
        <v>2613</v>
      </c>
    </row>
    <row r="4977" customFormat="false" ht="15" hidden="false" customHeight="true" outlineLevel="0" collapsed="false">
      <c r="A4977" s="6" t="s">
        <v>7589</v>
      </c>
      <c r="B4977" s="6" t="s">
        <v>1129</v>
      </c>
      <c r="C4977" s="6" t="s">
        <v>112</v>
      </c>
      <c r="D4977" s="13" t="n">
        <v>45972</v>
      </c>
      <c r="E4977" s="14" t="n">
        <v>659.58</v>
      </c>
      <c r="F4977" s="14" t="n">
        <v>1591.63</v>
      </c>
      <c r="G4977" s="6" t="s">
        <v>2613</v>
      </c>
    </row>
    <row r="4978" customFormat="false" ht="15" hidden="false" customHeight="true" outlineLevel="0" collapsed="false">
      <c r="A4978" s="6" t="s">
        <v>7590</v>
      </c>
      <c r="B4978" s="6" t="s">
        <v>1129</v>
      </c>
      <c r="C4978" s="6" t="s">
        <v>112</v>
      </c>
      <c r="D4978" s="13" t="n">
        <v>45979</v>
      </c>
      <c r="E4978" s="14" t="n">
        <v>1015.86</v>
      </c>
      <c r="F4978" s="14" t="n">
        <v>2607.49</v>
      </c>
      <c r="G4978" s="6" t="s">
        <v>2613</v>
      </c>
    </row>
    <row r="4979" customFormat="false" ht="15" hidden="false" customHeight="true" outlineLevel="0" collapsed="false">
      <c r="A4979" s="6" t="s">
        <v>7591</v>
      </c>
      <c r="B4979" s="6" t="s">
        <v>1129</v>
      </c>
      <c r="C4979" s="6" t="s">
        <v>112</v>
      </c>
      <c r="D4979" s="13" t="n">
        <v>45986</v>
      </c>
      <c r="E4979" s="14" t="n">
        <v>727.41</v>
      </c>
      <c r="F4979" s="14" t="n">
        <v>3334.9</v>
      </c>
      <c r="G4979" s="6" t="s">
        <v>2613</v>
      </c>
    </row>
    <row r="4980" customFormat="false" ht="15" hidden="false" customHeight="true" outlineLevel="0" collapsed="false">
      <c r="A4980" s="6" t="s">
        <v>7592</v>
      </c>
      <c r="B4980" s="6" t="s">
        <v>1129</v>
      </c>
      <c r="C4980" s="6" t="s">
        <v>112</v>
      </c>
      <c r="D4980" s="13" t="n">
        <v>45993</v>
      </c>
      <c r="E4980" s="14" t="n">
        <v>1013.16</v>
      </c>
      <c r="F4980" s="14" t="n">
        <v>4348.06</v>
      </c>
      <c r="G4980" s="6" t="s">
        <v>2613</v>
      </c>
    </row>
    <row r="4981" customFormat="false" ht="15" hidden="false" customHeight="true" outlineLevel="0" collapsed="false">
      <c r="A4981" s="6" t="s">
        <v>7593</v>
      </c>
      <c r="B4981" s="6" t="s">
        <v>1129</v>
      </c>
      <c r="C4981" s="6" t="s">
        <v>112</v>
      </c>
      <c r="D4981" s="13" t="n">
        <v>46000</v>
      </c>
      <c r="E4981" s="14" t="n">
        <v>697.96</v>
      </c>
      <c r="F4981" s="14" t="n">
        <v>5046.02</v>
      </c>
      <c r="G4981" s="6" t="s">
        <v>2613</v>
      </c>
    </row>
    <row r="4982" customFormat="false" ht="15" hidden="false" customHeight="true" outlineLevel="0" collapsed="false">
      <c r="A4982" s="6" t="s">
        <v>7594</v>
      </c>
      <c r="B4982" s="6" t="s">
        <v>1129</v>
      </c>
      <c r="C4982" s="6" t="s">
        <v>112</v>
      </c>
      <c r="D4982" s="13" t="n">
        <v>46007</v>
      </c>
      <c r="E4982" s="14" t="n">
        <v>693.34</v>
      </c>
      <c r="F4982" s="14" t="n">
        <v>5739.36</v>
      </c>
      <c r="G4982" s="6" t="s">
        <v>2613</v>
      </c>
    </row>
    <row r="4983" customFormat="false" ht="15" hidden="false" customHeight="true" outlineLevel="0" collapsed="false">
      <c r="A4983" s="6" t="s">
        <v>7595</v>
      </c>
      <c r="B4983" s="6" t="s">
        <v>1129</v>
      </c>
      <c r="C4983" s="6" t="s">
        <v>112</v>
      </c>
      <c r="D4983" s="13" t="n">
        <v>46014</v>
      </c>
      <c r="E4983" s="14" t="n">
        <v>809.49</v>
      </c>
      <c r="F4983" s="14" t="n">
        <v>6548.85</v>
      </c>
      <c r="G4983" s="6" t="s">
        <v>2613</v>
      </c>
    </row>
    <row r="4984" customFormat="false" ht="15" hidden="false" customHeight="true" outlineLevel="0" collapsed="false">
      <c r="A4984" s="6" t="s">
        <v>7596</v>
      </c>
      <c r="B4984" s="6" t="s">
        <v>1131</v>
      </c>
      <c r="C4984" s="6" t="s">
        <v>112</v>
      </c>
      <c r="D4984" s="13" t="n">
        <v>44923</v>
      </c>
      <c r="E4984" s="14" t="n">
        <v>3082</v>
      </c>
      <c r="F4984" s="14" t="n">
        <v>3082</v>
      </c>
      <c r="G4984" s="6" t="s">
        <v>2613</v>
      </c>
    </row>
    <row r="4985" customFormat="false" ht="15" hidden="false" customHeight="true" outlineLevel="0" collapsed="false">
      <c r="A4985" s="6" t="s">
        <v>7597</v>
      </c>
      <c r="B4985" s="6" t="s">
        <v>1131</v>
      </c>
      <c r="C4985" s="6" t="s">
        <v>112</v>
      </c>
      <c r="D4985" s="13" t="n">
        <v>44930</v>
      </c>
      <c r="E4985" s="14" t="n">
        <v>5712.49</v>
      </c>
      <c r="F4985" s="14" t="n">
        <v>8794.49</v>
      </c>
      <c r="G4985" s="6" t="s">
        <v>2613</v>
      </c>
    </row>
    <row r="4986" customFormat="false" ht="15" hidden="false" customHeight="true" outlineLevel="0" collapsed="false">
      <c r="A4986" s="6" t="s">
        <v>7598</v>
      </c>
      <c r="B4986" s="6" t="s">
        <v>1131</v>
      </c>
      <c r="C4986" s="6" t="s">
        <v>112</v>
      </c>
      <c r="D4986" s="13" t="n">
        <v>44937</v>
      </c>
      <c r="E4986" s="14" t="n">
        <v>4885.11</v>
      </c>
      <c r="F4986" s="14" t="n">
        <v>13679.6</v>
      </c>
      <c r="G4986" s="6" t="s">
        <v>2613</v>
      </c>
    </row>
    <row r="4987" customFormat="false" ht="15" hidden="false" customHeight="true" outlineLevel="0" collapsed="false">
      <c r="A4987" s="6" t="s">
        <v>7599</v>
      </c>
      <c r="B4987" s="6" t="s">
        <v>1131</v>
      </c>
      <c r="C4987" s="6" t="s">
        <v>112</v>
      </c>
      <c r="D4987" s="13" t="n">
        <v>44944</v>
      </c>
      <c r="E4987" s="14" t="n">
        <v>5024</v>
      </c>
      <c r="F4987" s="14" t="n">
        <v>18703.6</v>
      </c>
      <c r="G4987" s="6" t="s">
        <v>2613</v>
      </c>
    </row>
    <row r="4988" customFormat="false" ht="15" hidden="false" customHeight="true" outlineLevel="0" collapsed="false">
      <c r="A4988" s="6" t="s">
        <v>7600</v>
      </c>
      <c r="B4988" s="6" t="s">
        <v>1131</v>
      </c>
      <c r="C4988" s="6" t="s">
        <v>112</v>
      </c>
      <c r="D4988" s="13" t="n">
        <v>44951</v>
      </c>
      <c r="E4988" s="14" t="n">
        <v>4948.09</v>
      </c>
      <c r="F4988" s="14" t="n">
        <v>23651.69</v>
      </c>
      <c r="G4988" s="6" t="s">
        <v>2623</v>
      </c>
    </row>
    <row r="4989" customFormat="false" ht="15" hidden="false" customHeight="true" outlineLevel="0" collapsed="false">
      <c r="A4989" s="6" t="s">
        <v>7601</v>
      </c>
      <c r="B4989" s="6" t="s">
        <v>1131</v>
      </c>
      <c r="C4989" s="6" t="s">
        <v>112</v>
      </c>
      <c r="D4989" s="13" t="n">
        <v>44958</v>
      </c>
      <c r="E4989" s="14" t="n">
        <v>5359.43</v>
      </c>
      <c r="F4989" s="14" t="n">
        <v>29011.12</v>
      </c>
      <c r="G4989" s="6" t="s">
        <v>2613</v>
      </c>
    </row>
    <row r="4990" customFormat="false" ht="15" hidden="false" customHeight="true" outlineLevel="0" collapsed="false">
      <c r="A4990" s="6" t="s">
        <v>7602</v>
      </c>
      <c r="B4990" s="6" t="s">
        <v>1131</v>
      </c>
      <c r="C4990" s="6" t="s">
        <v>112</v>
      </c>
      <c r="D4990" s="13" t="n">
        <v>44965</v>
      </c>
      <c r="E4990" s="14" t="n">
        <v>4571.86</v>
      </c>
      <c r="F4990" s="14" t="n">
        <v>33582.98</v>
      </c>
      <c r="G4990" s="6" t="s">
        <v>2613</v>
      </c>
    </row>
    <row r="4991" customFormat="false" ht="15" hidden="false" customHeight="true" outlineLevel="0" collapsed="false">
      <c r="A4991" s="6" t="s">
        <v>7603</v>
      </c>
      <c r="B4991" s="6" t="s">
        <v>1131</v>
      </c>
      <c r="C4991" s="6" t="s">
        <v>112</v>
      </c>
      <c r="D4991" s="13" t="n">
        <v>44972</v>
      </c>
      <c r="E4991" s="14" t="n">
        <v>4463.64</v>
      </c>
      <c r="F4991" s="14" t="n">
        <v>38046.62</v>
      </c>
      <c r="G4991" s="6" t="s">
        <v>2613</v>
      </c>
    </row>
    <row r="4992" customFormat="false" ht="15" hidden="false" customHeight="true" outlineLevel="0" collapsed="false">
      <c r="A4992" s="6" t="s">
        <v>7604</v>
      </c>
      <c r="B4992" s="6" t="s">
        <v>1131</v>
      </c>
      <c r="C4992" s="6" t="s">
        <v>112</v>
      </c>
      <c r="D4992" s="13" t="n">
        <v>44979</v>
      </c>
      <c r="E4992" s="14" t="n">
        <v>4691.26</v>
      </c>
      <c r="F4992" s="14" t="n">
        <v>42737.88</v>
      </c>
      <c r="G4992" s="6" t="s">
        <v>2613</v>
      </c>
    </row>
    <row r="4993" customFormat="false" ht="15" hidden="false" customHeight="true" outlineLevel="0" collapsed="false">
      <c r="A4993" s="6" t="s">
        <v>7605</v>
      </c>
      <c r="B4993" s="6" t="s">
        <v>1131</v>
      </c>
      <c r="C4993" s="6" t="s">
        <v>112</v>
      </c>
      <c r="D4993" s="13" t="n">
        <v>44986</v>
      </c>
      <c r="E4993" s="14" t="n">
        <v>4618.4</v>
      </c>
      <c r="F4993" s="14" t="n">
        <v>47356.28</v>
      </c>
      <c r="G4993" s="6" t="s">
        <v>2613</v>
      </c>
    </row>
    <row r="4994" customFormat="false" ht="15" hidden="false" customHeight="true" outlineLevel="0" collapsed="false">
      <c r="A4994" s="6" t="s">
        <v>7606</v>
      </c>
      <c r="B4994" s="6" t="s">
        <v>1131</v>
      </c>
      <c r="C4994" s="6" t="s">
        <v>112</v>
      </c>
      <c r="D4994" s="13" t="n">
        <v>44993</v>
      </c>
      <c r="E4994" s="14" t="n">
        <v>4155.71</v>
      </c>
      <c r="F4994" s="14" t="n">
        <v>51511.99</v>
      </c>
      <c r="G4994" s="6" t="s">
        <v>2613</v>
      </c>
    </row>
    <row r="4995" customFormat="false" ht="15" hidden="false" customHeight="true" outlineLevel="0" collapsed="false">
      <c r="A4995" s="6" t="s">
        <v>7607</v>
      </c>
      <c r="B4995" s="6" t="s">
        <v>1131</v>
      </c>
      <c r="C4995" s="6" t="s">
        <v>112</v>
      </c>
      <c r="D4995" s="13" t="n">
        <v>45000</v>
      </c>
      <c r="E4995" s="14" t="n">
        <v>2503.81</v>
      </c>
      <c r="F4995" s="14" t="n">
        <v>54015.8</v>
      </c>
      <c r="G4995" s="6" t="s">
        <v>2613</v>
      </c>
    </row>
    <row r="4996" customFormat="false" ht="15" hidden="false" customHeight="true" outlineLevel="0" collapsed="false">
      <c r="A4996" s="6" t="s">
        <v>7608</v>
      </c>
      <c r="B4996" s="6" t="s">
        <v>1133</v>
      </c>
      <c r="C4996" s="6" t="s">
        <v>116</v>
      </c>
      <c r="D4996" s="13" t="n">
        <v>45738</v>
      </c>
      <c r="E4996" s="14" t="n">
        <v>1883.12</v>
      </c>
      <c r="F4996" s="14" t="n">
        <v>1883.12</v>
      </c>
      <c r="G4996" s="6" t="s">
        <v>2613</v>
      </c>
    </row>
    <row r="4997" customFormat="false" ht="15" hidden="false" customHeight="true" outlineLevel="0" collapsed="false">
      <c r="A4997" s="6" t="s">
        <v>7609</v>
      </c>
      <c r="B4997" s="6" t="s">
        <v>1133</v>
      </c>
      <c r="C4997" s="6" t="s">
        <v>116</v>
      </c>
      <c r="D4997" s="13" t="n">
        <v>45745</v>
      </c>
      <c r="E4997" s="14" t="n">
        <v>2099.02</v>
      </c>
      <c r="F4997" s="14" t="n">
        <v>3982.14</v>
      </c>
      <c r="G4997" s="6" t="s">
        <v>2613</v>
      </c>
    </row>
    <row r="4998" customFormat="false" ht="15" hidden="false" customHeight="true" outlineLevel="0" collapsed="false">
      <c r="A4998" s="6" t="s">
        <v>7610</v>
      </c>
      <c r="B4998" s="6" t="s">
        <v>1133</v>
      </c>
      <c r="C4998" s="6" t="s">
        <v>116</v>
      </c>
      <c r="D4998" s="13" t="n">
        <v>45752</v>
      </c>
      <c r="E4998" s="14" t="n">
        <v>1656.04</v>
      </c>
      <c r="F4998" s="14" t="n">
        <v>5638.18</v>
      </c>
      <c r="G4998" s="6" t="s">
        <v>2613</v>
      </c>
    </row>
    <row r="4999" customFormat="false" ht="15" hidden="false" customHeight="true" outlineLevel="0" collapsed="false">
      <c r="A4999" s="6" t="s">
        <v>7611</v>
      </c>
      <c r="B4999" s="6" t="s">
        <v>1133</v>
      </c>
      <c r="C4999" s="6" t="s">
        <v>116</v>
      </c>
      <c r="D4999" s="13" t="n">
        <v>45759</v>
      </c>
      <c r="E4999" s="14" t="n">
        <v>1793.95</v>
      </c>
      <c r="F4999" s="14" t="n">
        <v>7432.13</v>
      </c>
      <c r="G4999" s="6" t="s">
        <v>2613</v>
      </c>
    </row>
    <row r="5000" customFormat="false" ht="15" hidden="false" customHeight="true" outlineLevel="0" collapsed="false">
      <c r="A5000" s="6" t="s">
        <v>7612</v>
      </c>
      <c r="B5000" s="6" t="s">
        <v>1133</v>
      </c>
      <c r="C5000" s="6" t="s">
        <v>116</v>
      </c>
      <c r="D5000" s="13" t="n">
        <v>45766</v>
      </c>
      <c r="E5000" s="14" t="n">
        <v>1572</v>
      </c>
      <c r="F5000" s="14" t="n">
        <v>9004.13</v>
      </c>
      <c r="G5000" s="6" t="s">
        <v>2613</v>
      </c>
    </row>
    <row r="5001" customFormat="false" ht="15" hidden="false" customHeight="true" outlineLevel="0" collapsed="false">
      <c r="A5001" s="6" t="s">
        <v>7613</v>
      </c>
      <c r="B5001" s="6" t="s">
        <v>1133</v>
      </c>
      <c r="C5001" s="6" t="s">
        <v>116</v>
      </c>
      <c r="D5001" s="13" t="n">
        <v>45773</v>
      </c>
      <c r="E5001" s="14" t="n">
        <v>1281.89</v>
      </c>
      <c r="F5001" s="14" t="n">
        <v>10286.02</v>
      </c>
      <c r="G5001" s="6" t="s">
        <v>2613</v>
      </c>
    </row>
    <row r="5002" customFormat="false" ht="15" hidden="false" customHeight="true" outlineLevel="0" collapsed="false">
      <c r="A5002" s="6" t="s">
        <v>7614</v>
      </c>
      <c r="B5002" s="6" t="s">
        <v>1133</v>
      </c>
      <c r="C5002" s="6" t="s">
        <v>116</v>
      </c>
      <c r="D5002" s="13" t="n">
        <v>45780</v>
      </c>
      <c r="E5002" s="14" t="n">
        <v>1198.34</v>
      </c>
      <c r="F5002" s="14" t="n">
        <v>11484.36</v>
      </c>
      <c r="G5002" s="6" t="s">
        <v>2613</v>
      </c>
    </row>
    <row r="5003" customFormat="false" ht="15" hidden="false" customHeight="true" outlineLevel="0" collapsed="false">
      <c r="A5003" s="6" t="s">
        <v>7615</v>
      </c>
      <c r="B5003" s="6" t="s">
        <v>1133</v>
      </c>
      <c r="C5003" s="6" t="s">
        <v>116</v>
      </c>
      <c r="D5003" s="13" t="n">
        <v>45787</v>
      </c>
      <c r="E5003" s="14" t="n">
        <v>1119.08</v>
      </c>
      <c r="F5003" s="14" t="n">
        <v>12603.44</v>
      </c>
      <c r="G5003" s="6" t="s">
        <v>2613</v>
      </c>
    </row>
    <row r="5004" customFormat="false" ht="15" hidden="false" customHeight="true" outlineLevel="0" collapsed="false">
      <c r="A5004" s="6" t="s">
        <v>7616</v>
      </c>
      <c r="B5004" s="6" t="s">
        <v>1133</v>
      </c>
      <c r="C5004" s="6" t="s">
        <v>116</v>
      </c>
      <c r="D5004" s="13" t="n">
        <v>45794</v>
      </c>
      <c r="E5004" s="14" t="n">
        <v>1304.83</v>
      </c>
      <c r="F5004" s="14" t="n">
        <v>13908.27</v>
      </c>
      <c r="G5004" s="6" t="s">
        <v>2613</v>
      </c>
    </row>
    <row r="5005" customFormat="false" ht="15" hidden="false" customHeight="true" outlineLevel="0" collapsed="false">
      <c r="A5005" s="6" t="s">
        <v>7617</v>
      </c>
      <c r="B5005" s="6" t="s">
        <v>1133</v>
      </c>
      <c r="C5005" s="6" t="s">
        <v>116</v>
      </c>
      <c r="D5005" s="13" t="n">
        <v>45801</v>
      </c>
      <c r="E5005" s="14" t="n">
        <v>2034.05</v>
      </c>
      <c r="F5005" s="14" t="n">
        <v>15942.32</v>
      </c>
      <c r="G5005" s="6" t="s">
        <v>2613</v>
      </c>
    </row>
    <row r="5006" customFormat="false" ht="15" hidden="false" customHeight="true" outlineLevel="0" collapsed="false">
      <c r="A5006" s="6" t="s">
        <v>7618</v>
      </c>
      <c r="B5006" s="6" t="s">
        <v>1133</v>
      </c>
      <c r="C5006" s="6" t="s">
        <v>116</v>
      </c>
      <c r="D5006" s="13" t="n">
        <v>45808</v>
      </c>
      <c r="E5006" s="14" t="n">
        <v>1933.74</v>
      </c>
      <c r="F5006" s="14" t="n">
        <v>17876.06</v>
      </c>
      <c r="G5006" s="6" t="s">
        <v>2613</v>
      </c>
    </row>
    <row r="5007" customFormat="false" ht="15" hidden="false" customHeight="true" outlineLevel="0" collapsed="false">
      <c r="A5007" s="6" t="s">
        <v>7619</v>
      </c>
      <c r="B5007" s="6" t="s">
        <v>1133</v>
      </c>
      <c r="C5007" s="6" t="s">
        <v>116</v>
      </c>
      <c r="D5007" s="13" t="n">
        <v>45815</v>
      </c>
      <c r="E5007" s="14" t="n">
        <v>2348.3</v>
      </c>
      <c r="F5007" s="14" t="n">
        <v>20224.36</v>
      </c>
      <c r="G5007" s="6" t="s">
        <v>2613</v>
      </c>
    </row>
    <row r="5008" customFormat="false" ht="15" hidden="false" customHeight="true" outlineLevel="0" collapsed="false">
      <c r="A5008" s="6" t="s">
        <v>7620</v>
      </c>
      <c r="B5008" s="6" t="s">
        <v>1133</v>
      </c>
      <c r="C5008" s="6" t="s">
        <v>116</v>
      </c>
      <c r="D5008" s="13" t="n">
        <v>45822</v>
      </c>
      <c r="E5008" s="14" t="n">
        <v>1480.26</v>
      </c>
      <c r="F5008" s="14" t="n">
        <v>21704.62</v>
      </c>
      <c r="G5008" s="6" t="s">
        <v>2613</v>
      </c>
    </row>
    <row r="5009" customFormat="false" ht="15" hidden="false" customHeight="true" outlineLevel="0" collapsed="false">
      <c r="A5009" s="6" t="s">
        <v>7621</v>
      </c>
      <c r="B5009" s="6" t="s">
        <v>1133</v>
      </c>
      <c r="C5009" s="6" t="s">
        <v>116</v>
      </c>
      <c r="D5009" s="13" t="n">
        <v>45829</v>
      </c>
      <c r="E5009" s="14" t="n">
        <v>1825.38</v>
      </c>
      <c r="F5009" s="14" t="n">
        <v>23530</v>
      </c>
      <c r="G5009" s="6" t="s">
        <v>2613</v>
      </c>
    </row>
    <row r="5010" customFormat="false" ht="15" hidden="false" customHeight="true" outlineLevel="0" collapsed="false">
      <c r="A5010" s="6" t="s">
        <v>7622</v>
      </c>
      <c r="B5010" s="6" t="s">
        <v>1133</v>
      </c>
      <c r="C5010" s="6" t="s">
        <v>116</v>
      </c>
      <c r="D5010" s="13" t="n">
        <v>45836</v>
      </c>
      <c r="E5010" s="14" t="n">
        <v>2268.8</v>
      </c>
      <c r="F5010" s="14" t="n">
        <v>25798.8</v>
      </c>
      <c r="G5010" s="6" t="s">
        <v>2613</v>
      </c>
    </row>
    <row r="5011" customFormat="false" ht="15" hidden="false" customHeight="true" outlineLevel="0" collapsed="false">
      <c r="A5011" s="6" t="s">
        <v>7623</v>
      </c>
      <c r="B5011" s="6" t="s">
        <v>1135</v>
      </c>
      <c r="C5011" s="6" t="s">
        <v>131</v>
      </c>
      <c r="D5011" s="13" t="n">
        <v>44910</v>
      </c>
      <c r="E5011" s="14" t="n">
        <v>8947.31</v>
      </c>
      <c r="F5011" s="14" t="n">
        <v>8947.31</v>
      </c>
      <c r="G5011" s="6" t="s">
        <v>2613</v>
      </c>
    </row>
    <row r="5012" customFormat="false" ht="15" hidden="false" customHeight="true" outlineLevel="0" collapsed="false">
      <c r="A5012" s="6" t="s">
        <v>7624</v>
      </c>
      <c r="B5012" s="6" t="s">
        <v>1135</v>
      </c>
      <c r="C5012" s="6" t="s">
        <v>131</v>
      </c>
      <c r="D5012" s="13" t="n">
        <v>44917</v>
      </c>
      <c r="E5012" s="14" t="n">
        <v>8381.22</v>
      </c>
      <c r="F5012" s="14" t="n">
        <v>17328.53</v>
      </c>
      <c r="G5012" s="6" t="s">
        <v>2613</v>
      </c>
    </row>
    <row r="5013" customFormat="false" ht="15" hidden="false" customHeight="true" outlineLevel="0" collapsed="false">
      <c r="A5013" s="6" t="s">
        <v>7625</v>
      </c>
      <c r="B5013" s="6" t="s">
        <v>1135</v>
      </c>
      <c r="C5013" s="6" t="s">
        <v>131</v>
      </c>
      <c r="D5013" s="13" t="n">
        <v>44924</v>
      </c>
      <c r="E5013" s="14" t="n">
        <v>5586.11</v>
      </c>
      <c r="F5013" s="14" t="n">
        <v>22914.64</v>
      </c>
      <c r="G5013" s="6" t="s">
        <v>2613</v>
      </c>
    </row>
    <row r="5014" customFormat="false" ht="15" hidden="false" customHeight="true" outlineLevel="0" collapsed="false">
      <c r="A5014" s="6" t="s">
        <v>7626</v>
      </c>
      <c r="B5014" s="6" t="s">
        <v>1135</v>
      </c>
      <c r="C5014" s="6" t="s">
        <v>131</v>
      </c>
      <c r="D5014" s="13" t="n">
        <v>44931</v>
      </c>
      <c r="E5014" s="14" t="n">
        <v>5307.25</v>
      </c>
      <c r="F5014" s="14" t="n">
        <v>28221.89</v>
      </c>
      <c r="G5014" s="6" t="s">
        <v>2613</v>
      </c>
    </row>
    <row r="5015" customFormat="false" ht="15" hidden="false" customHeight="true" outlineLevel="0" collapsed="false">
      <c r="A5015" s="6" t="s">
        <v>7627</v>
      </c>
      <c r="B5015" s="6" t="s">
        <v>1135</v>
      </c>
      <c r="C5015" s="6" t="s">
        <v>131</v>
      </c>
      <c r="D5015" s="13" t="n">
        <v>44938</v>
      </c>
      <c r="E5015" s="14" t="n">
        <v>7697.9</v>
      </c>
      <c r="F5015" s="14" t="n">
        <v>35919.79</v>
      </c>
      <c r="G5015" s="6" t="s">
        <v>2613</v>
      </c>
    </row>
    <row r="5016" customFormat="false" ht="15" hidden="false" customHeight="true" outlineLevel="0" collapsed="false">
      <c r="A5016" s="6" t="s">
        <v>7628</v>
      </c>
      <c r="B5016" s="6" t="s">
        <v>1135</v>
      </c>
      <c r="C5016" s="6" t="s">
        <v>131</v>
      </c>
      <c r="D5016" s="13" t="n">
        <v>44945</v>
      </c>
      <c r="E5016" s="14" t="n">
        <v>7796.41</v>
      </c>
      <c r="F5016" s="14" t="n">
        <v>43716.2</v>
      </c>
      <c r="G5016" s="6" t="s">
        <v>2613</v>
      </c>
    </row>
    <row r="5017" customFormat="false" ht="15" hidden="false" customHeight="true" outlineLevel="0" collapsed="false">
      <c r="A5017" s="6" t="s">
        <v>7629</v>
      </c>
      <c r="B5017" s="6" t="s">
        <v>1135</v>
      </c>
      <c r="C5017" s="6" t="s">
        <v>131</v>
      </c>
      <c r="D5017" s="13" t="n">
        <v>44952</v>
      </c>
      <c r="E5017" s="14" t="n">
        <v>4758.05</v>
      </c>
      <c r="F5017" s="14" t="n">
        <v>48474.25</v>
      </c>
      <c r="G5017" s="6" t="s">
        <v>2613</v>
      </c>
    </row>
    <row r="5018" customFormat="false" ht="15" hidden="false" customHeight="true" outlineLevel="0" collapsed="false">
      <c r="A5018" s="6" t="s">
        <v>7630</v>
      </c>
      <c r="B5018" s="6" t="s">
        <v>1135</v>
      </c>
      <c r="C5018" s="6" t="s">
        <v>131</v>
      </c>
      <c r="D5018" s="13" t="n">
        <v>44959</v>
      </c>
      <c r="E5018" s="14" t="n">
        <v>5204.72</v>
      </c>
      <c r="F5018" s="14" t="n">
        <v>53678.97</v>
      </c>
      <c r="G5018" s="6" t="s">
        <v>2623</v>
      </c>
    </row>
    <row r="5019" customFormat="false" ht="15" hidden="false" customHeight="true" outlineLevel="0" collapsed="false">
      <c r="A5019" s="6" t="s">
        <v>7631</v>
      </c>
      <c r="B5019" s="6" t="s">
        <v>1135</v>
      </c>
      <c r="C5019" s="6" t="s">
        <v>131</v>
      </c>
      <c r="D5019" s="13" t="n">
        <v>44966</v>
      </c>
      <c r="E5019" s="14" t="n">
        <v>5650.94</v>
      </c>
      <c r="F5019" s="14" t="n">
        <v>59329.91</v>
      </c>
      <c r="G5019" s="6" t="s">
        <v>2613</v>
      </c>
    </row>
    <row r="5020" customFormat="false" ht="15" hidden="false" customHeight="true" outlineLevel="0" collapsed="false">
      <c r="A5020" s="6" t="s">
        <v>7632</v>
      </c>
      <c r="B5020" s="6" t="s">
        <v>1135</v>
      </c>
      <c r="C5020" s="6" t="s">
        <v>131</v>
      </c>
      <c r="D5020" s="13" t="n">
        <v>44973</v>
      </c>
      <c r="E5020" s="14" t="n">
        <v>6929.68</v>
      </c>
      <c r="F5020" s="14" t="n">
        <v>66259.59</v>
      </c>
      <c r="G5020" s="6" t="s">
        <v>2613</v>
      </c>
    </row>
    <row r="5021" customFormat="false" ht="15" hidden="false" customHeight="true" outlineLevel="0" collapsed="false">
      <c r="A5021" s="6" t="s">
        <v>7633</v>
      </c>
      <c r="B5021" s="6" t="s">
        <v>1135</v>
      </c>
      <c r="C5021" s="6" t="s">
        <v>131</v>
      </c>
      <c r="D5021" s="13" t="n">
        <v>44980</v>
      </c>
      <c r="E5021" s="14" t="n">
        <v>5510.88</v>
      </c>
      <c r="F5021" s="14" t="n">
        <v>71770.47</v>
      </c>
      <c r="G5021" s="6" t="s">
        <v>2613</v>
      </c>
    </row>
    <row r="5022" customFormat="false" ht="15" hidden="false" customHeight="true" outlineLevel="0" collapsed="false">
      <c r="A5022" s="6" t="s">
        <v>7634</v>
      </c>
      <c r="B5022" s="6" t="s">
        <v>1137</v>
      </c>
      <c r="C5022" s="6" t="s">
        <v>131</v>
      </c>
      <c r="D5022" s="13" t="n">
        <v>45247</v>
      </c>
      <c r="E5022" s="14" t="n">
        <v>716.51</v>
      </c>
      <c r="F5022" s="14" t="n">
        <v>716.51</v>
      </c>
      <c r="G5022" s="6" t="s">
        <v>2613</v>
      </c>
    </row>
    <row r="5023" customFormat="false" ht="15" hidden="false" customHeight="true" outlineLevel="0" collapsed="false">
      <c r="A5023" s="6" t="s">
        <v>7635</v>
      </c>
      <c r="B5023" s="6" t="s">
        <v>1137</v>
      </c>
      <c r="C5023" s="6" t="s">
        <v>131</v>
      </c>
      <c r="D5023" s="13" t="n">
        <v>45254</v>
      </c>
      <c r="E5023" s="14" t="n">
        <v>733.67</v>
      </c>
      <c r="F5023" s="14" t="n">
        <v>1450.18</v>
      </c>
      <c r="G5023" s="6" t="s">
        <v>2613</v>
      </c>
    </row>
    <row r="5024" customFormat="false" ht="15" hidden="false" customHeight="true" outlineLevel="0" collapsed="false">
      <c r="A5024" s="6" t="s">
        <v>7636</v>
      </c>
      <c r="B5024" s="6" t="s">
        <v>1137</v>
      </c>
      <c r="C5024" s="6" t="s">
        <v>131</v>
      </c>
      <c r="D5024" s="13" t="n">
        <v>45261</v>
      </c>
      <c r="E5024" s="14" t="n">
        <v>729.34</v>
      </c>
      <c r="F5024" s="14" t="n">
        <v>2179.52</v>
      </c>
      <c r="G5024" s="6" t="s">
        <v>2613</v>
      </c>
    </row>
    <row r="5025" customFormat="false" ht="15" hidden="false" customHeight="true" outlineLevel="0" collapsed="false">
      <c r="A5025" s="6" t="s">
        <v>7637</v>
      </c>
      <c r="B5025" s="6" t="s">
        <v>1137</v>
      </c>
      <c r="C5025" s="6" t="s">
        <v>131</v>
      </c>
      <c r="D5025" s="13" t="n">
        <v>45268</v>
      </c>
      <c r="E5025" s="14" t="n">
        <v>633.22</v>
      </c>
      <c r="F5025" s="14" t="n">
        <v>2812.74</v>
      </c>
      <c r="G5025" s="6" t="s">
        <v>2613</v>
      </c>
    </row>
    <row r="5026" customFormat="false" ht="15" hidden="false" customHeight="true" outlineLevel="0" collapsed="false">
      <c r="A5026" s="6" t="s">
        <v>7638</v>
      </c>
      <c r="B5026" s="6" t="s">
        <v>1137</v>
      </c>
      <c r="C5026" s="6" t="s">
        <v>131</v>
      </c>
      <c r="D5026" s="13" t="n">
        <v>45275</v>
      </c>
      <c r="E5026" s="14" t="n">
        <v>769.31</v>
      </c>
      <c r="F5026" s="14" t="n">
        <v>3582.05</v>
      </c>
      <c r="G5026" s="6" t="s">
        <v>2613</v>
      </c>
    </row>
    <row r="5027" customFormat="false" ht="15" hidden="false" customHeight="true" outlineLevel="0" collapsed="false">
      <c r="A5027" s="6" t="s">
        <v>7639</v>
      </c>
      <c r="B5027" s="6" t="s">
        <v>1137</v>
      </c>
      <c r="C5027" s="6" t="s">
        <v>131</v>
      </c>
      <c r="D5027" s="13" t="n">
        <v>45282</v>
      </c>
      <c r="E5027" s="14" t="n">
        <v>583.92</v>
      </c>
      <c r="F5027" s="14" t="n">
        <v>4165.97</v>
      </c>
      <c r="G5027" s="6" t="s">
        <v>2613</v>
      </c>
    </row>
    <row r="5028" customFormat="false" ht="15" hidden="false" customHeight="true" outlineLevel="0" collapsed="false">
      <c r="A5028" s="6" t="s">
        <v>7640</v>
      </c>
      <c r="B5028" s="6" t="s">
        <v>1137</v>
      </c>
      <c r="C5028" s="6" t="s">
        <v>131</v>
      </c>
      <c r="D5028" s="13" t="n">
        <v>45289</v>
      </c>
      <c r="E5028" s="14" t="n">
        <v>918.67</v>
      </c>
      <c r="F5028" s="14" t="n">
        <v>5084.64</v>
      </c>
      <c r="G5028" s="6" t="s">
        <v>2613</v>
      </c>
    </row>
    <row r="5029" customFormat="false" ht="15" hidden="false" customHeight="true" outlineLevel="0" collapsed="false">
      <c r="A5029" s="6" t="s">
        <v>7641</v>
      </c>
      <c r="B5029" s="6" t="s">
        <v>1137</v>
      </c>
      <c r="C5029" s="6" t="s">
        <v>131</v>
      </c>
      <c r="D5029" s="13" t="n">
        <v>45296</v>
      </c>
      <c r="E5029" s="14" t="n">
        <v>795.55</v>
      </c>
      <c r="F5029" s="14" t="n">
        <v>5880.19</v>
      </c>
      <c r="G5029" s="6" t="s">
        <v>2623</v>
      </c>
    </row>
    <row r="5030" customFormat="false" ht="15" hidden="false" customHeight="true" outlineLevel="0" collapsed="false">
      <c r="A5030" s="6" t="s">
        <v>7642</v>
      </c>
      <c r="B5030" s="6" t="s">
        <v>1139</v>
      </c>
      <c r="C5030" s="6" t="s">
        <v>120</v>
      </c>
      <c r="D5030" s="13" t="n">
        <v>45522</v>
      </c>
      <c r="E5030" s="14" t="n">
        <v>6284.38</v>
      </c>
      <c r="F5030" s="14" t="n">
        <v>6284.38</v>
      </c>
      <c r="G5030" s="6" t="s">
        <v>2613</v>
      </c>
    </row>
    <row r="5031" customFormat="false" ht="15" hidden="false" customHeight="true" outlineLevel="0" collapsed="false">
      <c r="A5031" s="6" t="s">
        <v>7643</v>
      </c>
      <c r="B5031" s="6" t="s">
        <v>1139</v>
      </c>
      <c r="C5031" s="6" t="s">
        <v>120</v>
      </c>
      <c r="D5031" s="13" t="n">
        <v>45529</v>
      </c>
      <c r="E5031" s="14" t="n">
        <v>4576.98</v>
      </c>
      <c r="F5031" s="14" t="n">
        <v>10861.36</v>
      </c>
      <c r="G5031" s="6" t="s">
        <v>2613</v>
      </c>
    </row>
    <row r="5032" customFormat="false" ht="15" hidden="false" customHeight="true" outlineLevel="0" collapsed="false">
      <c r="A5032" s="6" t="s">
        <v>7644</v>
      </c>
      <c r="B5032" s="6" t="s">
        <v>1139</v>
      </c>
      <c r="C5032" s="6" t="s">
        <v>120</v>
      </c>
      <c r="D5032" s="13" t="n">
        <v>45536</v>
      </c>
      <c r="E5032" s="14" t="n">
        <v>6932.54</v>
      </c>
      <c r="F5032" s="14" t="n">
        <v>17793.9</v>
      </c>
      <c r="G5032" s="6" t="s">
        <v>2613</v>
      </c>
    </row>
    <row r="5033" customFormat="false" ht="15" hidden="false" customHeight="true" outlineLevel="0" collapsed="false">
      <c r="A5033" s="6" t="s">
        <v>7645</v>
      </c>
      <c r="B5033" s="6" t="s">
        <v>1139</v>
      </c>
      <c r="C5033" s="6" t="s">
        <v>120</v>
      </c>
      <c r="D5033" s="13" t="n">
        <v>45543</v>
      </c>
      <c r="E5033" s="14" t="n">
        <v>6024.28</v>
      </c>
      <c r="F5033" s="14" t="n">
        <v>23818.18</v>
      </c>
      <c r="G5033" s="6" t="s">
        <v>2613</v>
      </c>
    </row>
    <row r="5034" customFormat="false" ht="15" hidden="false" customHeight="true" outlineLevel="0" collapsed="false">
      <c r="A5034" s="6" t="s">
        <v>7646</v>
      </c>
      <c r="B5034" s="6" t="s">
        <v>1139</v>
      </c>
      <c r="C5034" s="6" t="s">
        <v>120</v>
      </c>
      <c r="D5034" s="13" t="n">
        <v>45550</v>
      </c>
      <c r="E5034" s="14" t="n">
        <v>6610.79</v>
      </c>
      <c r="F5034" s="14" t="n">
        <v>30428.97</v>
      </c>
      <c r="G5034" s="6" t="s">
        <v>2613</v>
      </c>
    </row>
    <row r="5035" customFormat="false" ht="15" hidden="false" customHeight="true" outlineLevel="0" collapsed="false">
      <c r="A5035" s="6" t="s">
        <v>7647</v>
      </c>
      <c r="B5035" s="6" t="s">
        <v>1139</v>
      </c>
      <c r="C5035" s="6" t="s">
        <v>120</v>
      </c>
      <c r="D5035" s="13" t="n">
        <v>45557</v>
      </c>
      <c r="E5035" s="14" t="n">
        <v>3863.67</v>
      </c>
      <c r="F5035" s="14" t="n">
        <v>34292.64</v>
      </c>
      <c r="G5035" s="6" t="s">
        <v>2613</v>
      </c>
    </row>
    <row r="5036" customFormat="false" ht="15" hidden="false" customHeight="true" outlineLevel="0" collapsed="false">
      <c r="A5036" s="6" t="s">
        <v>7648</v>
      </c>
      <c r="B5036" s="6" t="s">
        <v>1139</v>
      </c>
      <c r="C5036" s="6" t="s">
        <v>120</v>
      </c>
      <c r="D5036" s="13" t="n">
        <v>45564</v>
      </c>
      <c r="E5036" s="14" t="n">
        <v>7150.07</v>
      </c>
      <c r="F5036" s="14" t="n">
        <v>41442.71</v>
      </c>
      <c r="G5036" s="6" t="s">
        <v>2613</v>
      </c>
    </row>
    <row r="5037" customFormat="false" ht="15" hidden="false" customHeight="true" outlineLevel="0" collapsed="false">
      <c r="A5037" s="6" t="s">
        <v>7649</v>
      </c>
      <c r="B5037" s="6" t="s">
        <v>1139</v>
      </c>
      <c r="C5037" s="6" t="s">
        <v>120</v>
      </c>
      <c r="D5037" s="13" t="n">
        <v>45571</v>
      </c>
      <c r="E5037" s="14" t="n">
        <v>7235.65</v>
      </c>
      <c r="F5037" s="14" t="n">
        <v>48678.36</v>
      </c>
      <c r="G5037" s="6" t="s">
        <v>2613</v>
      </c>
    </row>
    <row r="5038" customFormat="false" ht="15" hidden="false" customHeight="true" outlineLevel="0" collapsed="false">
      <c r="A5038" s="6" t="s">
        <v>7650</v>
      </c>
      <c r="B5038" s="6" t="s">
        <v>1139</v>
      </c>
      <c r="C5038" s="6" t="s">
        <v>120</v>
      </c>
      <c r="D5038" s="13" t="n">
        <v>45578</v>
      </c>
      <c r="E5038" s="14" t="n">
        <v>4898.82</v>
      </c>
      <c r="F5038" s="14" t="n">
        <v>53577.18</v>
      </c>
      <c r="G5038" s="6" t="s">
        <v>2613</v>
      </c>
    </row>
    <row r="5039" customFormat="false" ht="15" hidden="false" customHeight="true" outlineLevel="0" collapsed="false">
      <c r="A5039" s="6" t="s">
        <v>7651</v>
      </c>
      <c r="B5039" s="6" t="s">
        <v>1139</v>
      </c>
      <c r="C5039" s="6" t="s">
        <v>120</v>
      </c>
      <c r="D5039" s="13" t="n">
        <v>45585</v>
      </c>
      <c r="E5039" s="14" t="n">
        <v>5982.63</v>
      </c>
      <c r="F5039" s="14" t="n">
        <v>59559.81</v>
      </c>
      <c r="G5039" s="6" t="s">
        <v>2613</v>
      </c>
    </row>
    <row r="5040" customFormat="false" ht="15" hidden="false" customHeight="true" outlineLevel="0" collapsed="false">
      <c r="A5040" s="6" t="s">
        <v>7652</v>
      </c>
      <c r="B5040" s="6" t="s">
        <v>1141</v>
      </c>
      <c r="C5040" s="6" t="s">
        <v>131</v>
      </c>
      <c r="D5040" s="13" t="n">
        <v>45737</v>
      </c>
      <c r="E5040" s="14" t="n">
        <v>5334.86</v>
      </c>
      <c r="F5040" s="14" t="n">
        <v>5334.86</v>
      </c>
      <c r="G5040" s="6" t="s">
        <v>2613</v>
      </c>
    </row>
    <row r="5041" customFormat="false" ht="15" hidden="false" customHeight="true" outlineLevel="0" collapsed="false">
      <c r="A5041" s="6" t="s">
        <v>7653</v>
      </c>
      <c r="B5041" s="6" t="s">
        <v>1141</v>
      </c>
      <c r="C5041" s="6" t="s">
        <v>131</v>
      </c>
      <c r="D5041" s="13" t="n">
        <v>45744</v>
      </c>
      <c r="E5041" s="14" t="n">
        <v>9161.48</v>
      </c>
      <c r="F5041" s="14" t="n">
        <v>14496.34</v>
      </c>
      <c r="G5041" s="6" t="s">
        <v>2613</v>
      </c>
    </row>
    <row r="5042" customFormat="false" ht="15" hidden="false" customHeight="true" outlineLevel="0" collapsed="false">
      <c r="A5042" s="6" t="s">
        <v>7654</v>
      </c>
      <c r="B5042" s="6" t="s">
        <v>1141</v>
      </c>
      <c r="C5042" s="6" t="s">
        <v>131</v>
      </c>
      <c r="D5042" s="13" t="n">
        <v>45751</v>
      </c>
      <c r="E5042" s="14" t="n">
        <v>10214.72</v>
      </c>
      <c r="F5042" s="14" t="n">
        <v>24711.06</v>
      </c>
      <c r="G5042" s="6" t="s">
        <v>2613</v>
      </c>
    </row>
    <row r="5043" customFormat="false" ht="15" hidden="false" customHeight="true" outlineLevel="0" collapsed="false">
      <c r="A5043" s="6" t="s">
        <v>7655</v>
      </c>
      <c r="B5043" s="6" t="s">
        <v>1141</v>
      </c>
      <c r="C5043" s="6" t="s">
        <v>131</v>
      </c>
      <c r="D5043" s="13" t="n">
        <v>45758</v>
      </c>
      <c r="E5043" s="14" t="n">
        <v>7581.12</v>
      </c>
      <c r="F5043" s="14" t="n">
        <v>32292.18</v>
      </c>
      <c r="G5043" s="6" t="s">
        <v>2623</v>
      </c>
    </row>
    <row r="5044" customFormat="false" ht="15" hidden="false" customHeight="true" outlineLevel="0" collapsed="false">
      <c r="A5044" s="6" t="s">
        <v>7656</v>
      </c>
      <c r="B5044" s="6" t="s">
        <v>1141</v>
      </c>
      <c r="C5044" s="6" t="s">
        <v>131</v>
      </c>
      <c r="D5044" s="13" t="n">
        <v>45765</v>
      </c>
      <c r="E5044" s="14" t="n">
        <v>7267.33</v>
      </c>
      <c r="F5044" s="14" t="n">
        <v>39559.51</v>
      </c>
      <c r="G5044" s="6" t="s">
        <v>2613</v>
      </c>
    </row>
    <row r="5045" customFormat="false" ht="15" hidden="false" customHeight="true" outlineLevel="0" collapsed="false">
      <c r="A5045" s="6" t="s">
        <v>7657</v>
      </c>
      <c r="B5045" s="6" t="s">
        <v>1141</v>
      </c>
      <c r="C5045" s="6" t="s">
        <v>131</v>
      </c>
      <c r="D5045" s="13" t="n">
        <v>45772</v>
      </c>
      <c r="E5045" s="14" t="n">
        <v>9690.01</v>
      </c>
      <c r="F5045" s="14" t="n">
        <v>49249.52</v>
      </c>
      <c r="G5045" s="6" t="s">
        <v>2613</v>
      </c>
    </row>
    <row r="5046" customFormat="false" ht="15" hidden="false" customHeight="true" outlineLevel="0" collapsed="false">
      <c r="A5046" s="6" t="s">
        <v>7658</v>
      </c>
      <c r="B5046" s="6" t="s">
        <v>1141</v>
      </c>
      <c r="C5046" s="6" t="s">
        <v>131</v>
      </c>
      <c r="D5046" s="13" t="n">
        <v>45779</v>
      </c>
      <c r="E5046" s="14" t="n">
        <v>6508.43</v>
      </c>
      <c r="F5046" s="14" t="n">
        <v>55757.95</v>
      </c>
      <c r="G5046" s="6" t="s">
        <v>2613</v>
      </c>
    </row>
    <row r="5047" customFormat="false" ht="15" hidden="false" customHeight="true" outlineLevel="0" collapsed="false">
      <c r="A5047" s="6" t="s">
        <v>7659</v>
      </c>
      <c r="B5047" s="6" t="s">
        <v>1141</v>
      </c>
      <c r="C5047" s="6" t="s">
        <v>131</v>
      </c>
      <c r="D5047" s="13" t="n">
        <v>45786</v>
      </c>
      <c r="E5047" s="14" t="n">
        <v>13271.28</v>
      </c>
      <c r="F5047" s="14" t="n">
        <v>69029.23</v>
      </c>
      <c r="G5047" s="6" t="s">
        <v>2613</v>
      </c>
    </row>
    <row r="5048" customFormat="false" ht="15" hidden="false" customHeight="true" outlineLevel="0" collapsed="false">
      <c r="A5048" s="6" t="s">
        <v>7660</v>
      </c>
      <c r="B5048" s="6" t="s">
        <v>1143</v>
      </c>
      <c r="C5048" s="6" t="s">
        <v>112</v>
      </c>
      <c r="D5048" s="13" t="n">
        <v>44993</v>
      </c>
      <c r="E5048" s="14" t="n">
        <v>511.85</v>
      </c>
      <c r="F5048" s="14" t="n">
        <v>511.85</v>
      </c>
      <c r="G5048" s="6" t="s">
        <v>2613</v>
      </c>
    </row>
    <row r="5049" customFormat="false" ht="15" hidden="false" customHeight="true" outlineLevel="0" collapsed="false">
      <c r="A5049" s="6" t="s">
        <v>7661</v>
      </c>
      <c r="B5049" s="6" t="s">
        <v>1143</v>
      </c>
      <c r="C5049" s="6" t="s">
        <v>112</v>
      </c>
      <c r="D5049" s="13" t="n">
        <v>45000</v>
      </c>
      <c r="E5049" s="14" t="n">
        <v>354.72</v>
      </c>
      <c r="F5049" s="14" t="n">
        <v>866.57</v>
      </c>
      <c r="G5049" s="6" t="s">
        <v>2613</v>
      </c>
    </row>
    <row r="5050" customFormat="false" ht="15" hidden="false" customHeight="true" outlineLevel="0" collapsed="false">
      <c r="A5050" s="6" t="s">
        <v>7662</v>
      </c>
      <c r="B5050" s="6" t="s">
        <v>1143</v>
      </c>
      <c r="C5050" s="6" t="s">
        <v>112</v>
      </c>
      <c r="D5050" s="13" t="n">
        <v>45007</v>
      </c>
      <c r="E5050" s="14" t="n">
        <v>272.02</v>
      </c>
      <c r="F5050" s="14" t="n">
        <v>1138.59</v>
      </c>
      <c r="G5050" s="6" t="s">
        <v>2613</v>
      </c>
    </row>
    <row r="5051" customFormat="false" ht="15" hidden="false" customHeight="true" outlineLevel="0" collapsed="false">
      <c r="A5051" s="6" t="s">
        <v>7663</v>
      </c>
      <c r="B5051" s="6" t="s">
        <v>1143</v>
      </c>
      <c r="C5051" s="6" t="s">
        <v>112</v>
      </c>
      <c r="D5051" s="13" t="n">
        <v>45014</v>
      </c>
      <c r="E5051" s="14" t="n">
        <v>465.18</v>
      </c>
      <c r="F5051" s="14" t="n">
        <v>1603.77</v>
      </c>
      <c r="G5051" s="6" t="s">
        <v>2613</v>
      </c>
    </row>
    <row r="5052" customFormat="false" ht="15" hidden="false" customHeight="true" outlineLevel="0" collapsed="false">
      <c r="A5052" s="6" t="s">
        <v>7664</v>
      </c>
      <c r="B5052" s="6" t="s">
        <v>1143</v>
      </c>
      <c r="C5052" s="6" t="s">
        <v>112</v>
      </c>
      <c r="D5052" s="13" t="n">
        <v>45021</v>
      </c>
      <c r="E5052" s="14" t="n">
        <v>264.77</v>
      </c>
      <c r="F5052" s="14" t="n">
        <v>1868.54</v>
      </c>
      <c r="G5052" s="6" t="s">
        <v>2613</v>
      </c>
    </row>
    <row r="5053" customFormat="false" ht="15" hidden="false" customHeight="true" outlineLevel="0" collapsed="false">
      <c r="A5053" s="6" t="s">
        <v>7665</v>
      </c>
      <c r="B5053" s="6" t="s">
        <v>1143</v>
      </c>
      <c r="C5053" s="6" t="s">
        <v>112</v>
      </c>
      <c r="D5053" s="13" t="n">
        <v>45028</v>
      </c>
      <c r="E5053" s="14" t="n">
        <v>261.28</v>
      </c>
      <c r="F5053" s="14" t="n">
        <v>2129.82</v>
      </c>
      <c r="G5053" s="6" t="s">
        <v>2613</v>
      </c>
    </row>
    <row r="5054" customFormat="false" ht="15" hidden="false" customHeight="true" outlineLevel="0" collapsed="false">
      <c r="A5054" s="6" t="s">
        <v>7666</v>
      </c>
      <c r="B5054" s="6" t="s">
        <v>1143</v>
      </c>
      <c r="C5054" s="6" t="s">
        <v>112</v>
      </c>
      <c r="D5054" s="13" t="n">
        <v>45035</v>
      </c>
      <c r="E5054" s="14" t="n">
        <v>242.12</v>
      </c>
      <c r="F5054" s="14" t="n">
        <v>2371.94</v>
      </c>
      <c r="G5054" s="6" t="s">
        <v>2613</v>
      </c>
    </row>
    <row r="5055" customFormat="false" ht="15" hidden="false" customHeight="true" outlineLevel="0" collapsed="false">
      <c r="A5055" s="6" t="s">
        <v>7667</v>
      </c>
      <c r="B5055" s="6" t="s">
        <v>1143</v>
      </c>
      <c r="C5055" s="6" t="s">
        <v>112</v>
      </c>
      <c r="D5055" s="13" t="n">
        <v>45042</v>
      </c>
      <c r="E5055" s="14" t="n">
        <v>685.71</v>
      </c>
      <c r="F5055" s="14" t="n">
        <v>3057.65</v>
      </c>
      <c r="G5055" s="6" t="s">
        <v>2623</v>
      </c>
    </row>
    <row r="5056" customFormat="false" ht="15" hidden="false" customHeight="true" outlineLevel="0" collapsed="false">
      <c r="A5056" s="6" t="s">
        <v>7668</v>
      </c>
      <c r="B5056" s="6" t="s">
        <v>1145</v>
      </c>
      <c r="C5056" s="6" t="s">
        <v>116</v>
      </c>
      <c r="D5056" s="13" t="n">
        <v>45740</v>
      </c>
      <c r="E5056" s="14" t="n">
        <v>1413.74</v>
      </c>
      <c r="F5056" s="14" t="n">
        <v>1413.74</v>
      </c>
      <c r="G5056" s="6" t="s">
        <v>2623</v>
      </c>
    </row>
    <row r="5057" customFormat="false" ht="15" hidden="false" customHeight="true" outlineLevel="0" collapsed="false">
      <c r="A5057" s="6" t="s">
        <v>7669</v>
      </c>
      <c r="B5057" s="6" t="s">
        <v>1145</v>
      </c>
      <c r="C5057" s="6" t="s">
        <v>116</v>
      </c>
      <c r="D5057" s="13" t="n">
        <v>45747</v>
      </c>
      <c r="E5057" s="14" t="n">
        <v>1370.13</v>
      </c>
      <c r="F5057" s="14" t="n">
        <v>2783.87</v>
      </c>
      <c r="G5057" s="6" t="s">
        <v>2613</v>
      </c>
    </row>
    <row r="5058" customFormat="false" ht="15" hidden="false" customHeight="true" outlineLevel="0" collapsed="false">
      <c r="A5058" s="6" t="s">
        <v>7670</v>
      </c>
      <c r="B5058" s="6" t="s">
        <v>1145</v>
      </c>
      <c r="C5058" s="6" t="s">
        <v>116</v>
      </c>
      <c r="D5058" s="13" t="n">
        <v>45754</v>
      </c>
      <c r="E5058" s="14" t="n">
        <v>2087.48</v>
      </c>
      <c r="F5058" s="14" t="n">
        <v>4871.35</v>
      </c>
      <c r="G5058" s="6" t="s">
        <v>2613</v>
      </c>
    </row>
    <row r="5059" customFormat="false" ht="15" hidden="false" customHeight="true" outlineLevel="0" collapsed="false">
      <c r="A5059" s="6" t="s">
        <v>7671</v>
      </c>
      <c r="B5059" s="6" t="s">
        <v>1145</v>
      </c>
      <c r="C5059" s="6" t="s">
        <v>116</v>
      </c>
      <c r="D5059" s="13" t="n">
        <v>45761</v>
      </c>
      <c r="E5059" s="14" t="n">
        <v>1874.84</v>
      </c>
      <c r="F5059" s="14" t="n">
        <v>6746.19</v>
      </c>
      <c r="G5059" s="6" t="s">
        <v>2613</v>
      </c>
    </row>
    <row r="5060" customFormat="false" ht="15" hidden="false" customHeight="true" outlineLevel="0" collapsed="false">
      <c r="A5060" s="6" t="s">
        <v>7672</v>
      </c>
      <c r="B5060" s="6" t="s">
        <v>1145</v>
      </c>
      <c r="C5060" s="6" t="s">
        <v>116</v>
      </c>
      <c r="D5060" s="13" t="n">
        <v>45768</v>
      </c>
      <c r="E5060" s="14" t="n">
        <v>2264.28</v>
      </c>
      <c r="F5060" s="14" t="n">
        <v>9010.47</v>
      </c>
      <c r="G5060" s="6" t="s">
        <v>2613</v>
      </c>
    </row>
    <row r="5061" customFormat="false" ht="15" hidden="false" customHeight="true" outlineLevel="0" collapsed="false">
      <c r="A5061" s="6" t="s">
        <v>7673</v>
      </c>
      <c r="B5061" s="6" t="s">
        <v>1145</v>
      </c>
      <c r="C5061" s="6" t="s">
        <v>116</v>
      </c>
      <c r="D5061" s="13" t="n">
        <v>45775</v>
      </c>
      <c r="E5061" s="14" t="n">
        <v>1239.23</v>
      </c>
      <c r="F5061" s="14" t="n">
        <v>10249.7</v>
      </c>
      <c r="G5061" s="6" t="s">
        <v>2623</v>
      </c>
    </row>
    <row r="5062" customFormat="false" ht="15" hidden="false" customHeight="true" outlineLevel="0" collapsed="false">
      <c r="A5062" s="6" t="s">
        <v>7674</v>
      </c>
      <c r="B5062" s="6" t="s">
        <v>1145</v>
      </c>
      <c r="C5062" s="6" t="s">
        <v>116</v>
      </c>
      <c r="D5062" s="13" t="n">
        <v>45782</v>
      </c>
      <c r="E5062" s="14" t="n">
        <v>1930</v>
      </c>
      <c r="F5062" s="14" t="n">
        <v>12179.7</v>
      </c>
      <c r="G5062" s="6" t="s">
        <v>2613</v>
      </c>
    </row>
    <row r="5063" customFormat="false" ht="15" hidden="false" customHeight="true" outlineLevel="0" collapsed="false">
      <c r="A5063" s="6" t="s">
        <v>7675</v>
      </c>
      <c r="B5063" s="6" t="s">
        <v>1145</v>
      </c>
      <c r="C5063" s="6" t="s">
        <v>116</v>
      </c>
      <c r="D5063" s="13" t="n">
        <v>45789</v>
      </c>
      <c r="E5063" s="14" t="n">
        <v>1880.48</v>
      </c>
      <c r="F5063" s="14" t="n">
        <v>14060.18</v>
      </c>
      <c r="G5063" s="6" t="s">
        <v>2613</v>
      </c>
    </row>
    <row r="5064" customFormat="false" ht="15" hidden="false" customHeight="true" outlineLevel="0" collapsed="false">
      <c r="A5064" s="6" t="s">
        <v>7676</v>
      </c>
      <c r="B5064" s="6" t="s">
        <v>1145</v>
      </c>
      <c r="C5064" s="6" t="s">
        <v>116</v>
      </c>
      <c r="D5064" s="13" t="n">
        <v>45796</v>
      </c>
      <c r="E5064" s="14" t="n">
        <v>2374.68</v>
      </c>
      <c r="F5064" s="14" t="n">
        <v>16434.86</v>
      </c>
      <c r="G5064" s="6" t="s">
        <v>2613</v>
      </c>
    </row>
    <row r="5065" customFormat="false" ht="15" hidden="false" customHeight="true" outlineLevel="0" collapsed="false">
      <c r="A5065" s="6" t="s">
        <v>7677</v>
      </c>
      <c r="B5065" s="6" t="s">
        <v>1145</v>
      </c>
      <c r="C5065" s="6" t="s">
        <v>116</v>
      </c>
      <c r="D5065" s="13" t="n">
        <v>45803</v>
      </c>
      <c r="E5065" s="14" t="n">
        <v>1588.15</v>
      </c>
      <c r="F5065" s="14" t="n">
        <v>18023.01</v>
      </c>
      <c r="G5065" s="6" t="s">
        <v>2613</v>
      </c>
    </row>
    <row r="5066" customFormat="false" ht="15" hidden="false" customHeight="true" outlineLevel="0" collapsed="false">
      <c r="A5066" s="6" t="s">
        <v>7678</v>
      </c>
      <c r="B5066" s="6" t="s">
        <v>1145</v>
      </c>
      <c r="C5066" s="6" t="s">
        <v>116</v>
      </c>
      <c r="D5066" s="13" t="n">
        <v>45810</v>
      </c>
      <c r="E5066" s="14" t="n">
        <v>1985.96</v>
      </c>
      <c r="F5066" s="14" t="n">
        <v>20008.97</v>
      </c>
      <c r="G5066" s="6" t="s">
        <v>2613</v>
      </c>
    </row>
    <row r="5067" customFormat="false" ht="15" hidden="false" customHeight="true" outlineLevel="0" collapsed="false">
      <c r="A5067" s="6" t="s">
        <v>7679</v>
      </c>
      <c r="B5067" s="6" t="s">
        <v>1145</v>
      </c>
      <c r="C5067" s="6" t="s">
        <v>116</v>
      </c>
      <c r="D5067" s="13" t="n">
        <v>45817</v>
      </c>
      <c r="E5067" s="14" t="n">
        <v>1131.57</v>
      </c>
      <c r="F5067" s="14" t="n">
        <v>21140.54</v>
      </c>
      <c r="G5067" s="6" t="s">
        <v>2613</v>
      </c>
    </row>
    <row r="5068" customFormat="false" ht="15" hidden="false" customHeight="true" outlineLevel="0" collapsed="false">
      <c r="A5068" s="6" t="s">
        <v>7680</v>
      </c>
      <c r="B5068" s="6" t="s">
        <v>1145</v>
      </c>
      <c r="C5068" s="6" t="s">
        <v>116</v>
      </c>
      <c r="D5068" s="13" t="n">
        <v>45824</v>
      </c>
      <c r="E5068" s="14" t="n">
        <v>1391.98</v>
      </c>
      <c r="F5068" s="14" t="n">
        <v>22532.52</v>
      </c>
      <c r="G5068" s="6" t="s">
        <v>2613</v>
      </c>
    </row>
    <row r="5069" customFormat="false" ht="15" hidden="false" customHeight="true" outlineLevel="0" collapsed="false">
      <c r="A5069" s="6" t="s">
        <v>7681</v>
      </c>
      <c r="B5069" s="6" t="s">
        <v>1145</v>
      </c>
      <c r="C5069" s="6" t="s">
        <v>116</v>
      </c>
      <c r="D5069" s="13" t="n">
        <v>45831</v>
      </c>
      <c r="E5069" s="14" t="n">
        <v>2573.41</v>
      </c>
      <c r="F5069" s="14" t="n">
        <v>25105.93</v>
      </c>
      <c r="G5069" s="6" t="s">
        <v>2613</v>
      </c>
    </row>
    <row r="5070" customFormat="false" ht="15" hidden="false" customHeight="true" outlineLevel="0" collapsed="false">
      <c r="A5070" s="6" t="s">
        <v>7682</v>
      </c>
      <c r="B5070" s="6" t="s">
        <v>1145</v>
      </c>
      <c r="C5070" s="6" t="s">
        <v>116</v>
      </c>
      <c r="D5070" s="13" t="n">
        <v>45838</v>
      </c>
      <c r="E5070" s="14" t="n">
        <v>1667.59</v>
      </c>
      <c r="F5070" s="14" t="n">
        <v>26773.52</v>
      </c>
      <c r="G5070" s="6" t="s">
        <v>2613</v>
      </c>
    </row>
    <row r="5071" customFormat="false" ht="15" hidden="false" customHeight="true" outlineLevel="0" collapsed="false">
      <c r="A5071" s="6" t="s">
        <v>7683</v>
      </c>
      <c r="B5071" s="6" t="s">
        <v>1145</v>
      </c>
      <c r="C5071" s="6" t="s">
        <v>116</v>
      </c>
      <c r="D5071" s="13" t="n">
        <v>45845</v>
      </c>
      <c r="E5071" s="14" t="n">
        <v>2728.47</v>
      </c>
      <c r="F5071" s="14" t="n">
        <v>29501.99</v>
      </c>
      <c r="G5071" s="6" t="s">
        <v>2613</v>
      </c>
    </row>
    <row r="5072" customFormat="false" ht="15" hidden="false" customHeight="true" outlineLevel="0" collapsed="false">
      <c r="A5072" s="6" t="s">
        <v>7684</v>
      </c>
      <c r="B5072" s="6" t="s">
        <v>1147</v>
      </c>
      <c r="C5072" s="6" t="s">
        <v>131</v>
      </c>
      <c r="D5072" s="13" t="n">
        <v>44768</v>
      </c>
      <c r="E5072" s="14" t="n">
        <v>1589.66</v>
      </c>
      <c r="F5072" s="14" t="n">
        <v>1589.66</v>
      </c>
      <c r="G5072" s="6" t="s">
        <v>2613</v>
      </c>
    </row>
    <row r="5073" customFormat="false" ht="15" hidden="false" customHeight="true" outlineLevel="0" collapsed="false">
      <c r="A5073" s="6" t="s">
        <v>7685</v>
      </c>
      <c r="B5073" s="6" t="s">
        <v>1147</v>
      </c>
      <c r="C5073" s="6" t="s">
        <v>131</v>
      </c>
      <c r="D5073" s="13" t="n">
        <v>44775</v>
      </c>
      <c r="E5073" s="14" t="n">
        <v>3003.59</v>
      </c>
      <c r="F5073" s="14" t="n">
        <v>4593.25</v>
      </c>
      <c r="G5073" s="6" t="s">
        <v>2613</v>
      </c>
    </row>
    <row r="5074" customFormat="false" ht="15" hidden="false" customHeight="true" outlineLevel="0" collapsed="false">
      <c r="A5074" s="6" t="s">
        <v>7686</v>
      </c>
      <c r="B5074" s="6" t="s">
        <v>1147</v>
      </c>
      <c r="C5074" s="6" t="s">
        <v>131</v>
      </c>
      <c r="D5074" s="13" t="n">
        <v>44782</v>
      </c>
      <c r="E5074" s="14" t="n">
        <v>2298.61</v>
      </c>
      <c r="F5074" s="14" t="n">
        <v>6891.86</v>
      </c>
      <c r="G5074" s="6" t="s">
        <v>2613</v>
      </c>
    </row>
    <row r="5075" customFormat="false" ht="15" hidden="false" customHeight="true" outlineLevel="0" collapsed="false">
      <c r="A5075" s="6" t="s">
        <v>7687</v>
      </c>
      <c r="B5075" s="6" t="s">
        <v>1147</v>
      </c>
      <c r="C5075" s="6" t="s">
        <v>131</v>
      </c>
      <c r="D5075" s="13" t="n">
        <v>44789</v>
      </c>
      <c r="E5075" s="14" t="n">
        <v>2695.96</v>
      </c>
      <c r="F5075" s="14" t="n">
        <v>9587.82</v>
      </c>
      <c r="G5075" s="6" t="s">
        <v>2613</v>
      </c>
    </row>
    <row r="5076" customFormat="false" ht="15" hidden="false" customHeight="true" outlineLevel="0" collapsed="false">
      <c r="A5076" s="6" t="s">
        <v>7688</v>
      </c>
      <c r="B5076" s="6" t="s">
        <v>1147</v>
      </c>
      <c r="C5076" s="6" t="s">
        <v>131</v>
      </c>
      <c r="D5076" s="13" t="n">
        <v>44796</v>
      </c>
      <c r="E5076" s="14" t="n">
        <v>2845.27</v>
      </c>
      <c r="F5076" s="14" t="n">
        <v>12433.09</v>
      </c>
      <c r="G5076" s="6" t="s">
        <v>2613</v>
      </c>
    </row>
    <row r="5077" customFormat="false" ht="15" hidden="false" customHeight="true" outlineLevel="0" collapsed="false">
      <c r="A5077" s="6" t="s">
        <v>7689</v>
      </c>
      <c r="B5077" s="6" t="s">
        <v>1147</v>
      </c>
      <c r="C5077" s="6" t="s">
        <v>131</v>
      </c>
      <c r="D5077" s="13" t="n">
        <v>44803</v>
      </c>
      <c r="E5077" s="14" t="n">
        <v>1470.36</v>
      </c>
      <c r="F5077" s="14" t="n">
        <v>13903.45</v>
      </c>
      <c r="G5077" s="6" t="s">
        <v>2613</v>
      </c>
    </row>
    <row r="5078" customFormat="false" ht="15" hidden="false" customHeight="true" outlineLevel="0" collapsed="false">
      <c r="A5078" s="6" t="s">
        <v>7690</v>
      </c>
      <c r="B5078" s="6" t="s">
        <v>1147</v>
      </c>
      <c r="C5078" s="6" t="s">
        <v>131</v>
      </c>
      <c r="D5078" s="13" t="n">
        <v>44810</v>
      </c>
      <c r="E5078" s="14" t="n">
        <v>1615.13</v>
      </c>
      <c r="F5078" s="14" t="n">
        <v>15518.58</v>
      </c>
      <c r="G5078" s="6" t="s">
        <v>2613</v>
      </c>
    </row>
    <row r="5079" customFormat="false" ht="15" hidden="false" customHeight="true" outlineLevel="0" collapsed="false">
      <c r="A5079" s="6" t="s">
        <v>7691</v>
      </c>
      <c r="B5079" s="6" t="s">
        <v>1147</v>
      </c>
      <c r="C5079" s="6" t="s">
        <v>131</v>
      </c>
      <c r="D5079" s="13" t="n">
        <v>44817</v>
      </c>
      <c r="E5079" s="14" t="n">
        <v>2195.62</v>
      </c>
      <c r="F5079" s="14" t="n">
        <v>17714.2</v>
      </c>
      <c r="G5079" s="6" t="s">
        <v>2623</v>
      </c>
    </row>
    <row r="5080" customFormat="false" ht="15" hidden="false" customHeight="true" outlineLevel="0" collapsed="false">
      <c r="A5080" s="6" t="s">
        <v>7692</v>
      </c>
      <c r="B5080" s="6" t="s">
        <v>1147</v>
      </c>
      <c r="C5080" s="6" t="s">
        <v>131</v>
      </c>
      <c r="D5080" s="13" t="n">
        <v>44824</v>
      </c>
      <c r="E5080" s="14" t="n">
        <v>1556.21</v>
      </c>
      <c r="F5080" s="14" t="n">
        <v>19270.41</v>
      </c>
      <c r="G5080" s="6" t="s">
        <v>2613</v>
      </c>
    </row>
    <row r="5081" customFormat="false" ht="15" hidden="false" customHeight="true" outlineLevel="0" collapsed="false">
      <c r="A5081" s="6" t="s">
        <v>7693</v>
      </c>
      <c r="B5081" s="6" t="s">
        <v>1147</v>
      </c>
      <c r="C5081" s="6" t="s">
        <v>131</v>
      </c>
      <c r="D5081" s="13" t="n">
        <v>44831</v>
      </c>
      <c r="E5081" s="14" t="n">
        <v>2191.09</v>
      </c>
      <c r="F5081" s="14" t="n">
        <v>21461.5</v>
      </c>
      <c r="G5081" s="6" t="s">
        <v>2613</v>
      </c>
    </row>
    <row r="5082" customFormat="false" ht="15" hidden="false" customHeight="true" outlineLevel="0" collapsed="false">
      <c r="A5082" s="6" t="s">
        <v>7694</v>
      </c>
      <c r="B5082" s="6" t="s">
        <v>1147</v>
      </c>
      <c r="C5082" s="6" t="s">
        <v>131</v>
      </c>
      <c r="D5082" s="13" t="n">
        <v>44838</v>
      </c>
      <c r="E5082" s="14" t="n">
        <v>1832.15</v>
      </c>
      <c r="F5082" s="14" t="n">
        <v>23293.65</v>
      </c>
      <c r="G5082" s="6" t="s">
        <v>2613</v>
      </c>
    </row>
    <row r="5083" customFormat="false" ht="15" hidden="false" customHeight="true" outlineLevel="0" collapsed="false">
      <c r="A5083" s="6" t="s">
        <v>7695</v>
      </c>
      <c r="B5083" s="6" t="s">
        <v>1147</v>
      </c>
      <c r="C5083" s="6" t="s">
        <v>131</v>
      </c>
      <c r="D5083" s="13" t="n">
        <v>44845</v>
      </c>
      <c r="E5083" s="14" t="n">
        <v>2440.82</v>
      </c>
      <c r="F5083" s="14" t="n">
        <v>25734.47</v>
      </c>
      <c r="G5083" s="6" t="s">
        <v>2613</v>
      </c>
    </row>
    <row r="5084" customFormat="false" ht="15" hidden="false" customHeight="true" outlineLevel="0" collapsed="false">
      <c r="A5084" s="6" t="s">
        <v>7696</v>
      </c>
      <c r="B5084" s="6" t="s">
        <v>1147</v>
      </c>
      <c r="C5084" s="6" t="s">
        <v>131</v>
      </c>
      <c r="D5084" s="13" t="n">
        <v>44852</v>
      </c>
      <c r="E5084" s="14" t="n">
        <v>2622.84</v>
      </c>
      <c r="F5084" s="14" t="n">
        <v>28357.31</v>
      </c>
      <c r="G5084" s="6" t="s">
        <v>2623</v>
      </c>
    </row>
    <row r="5085" customFormat="false" ht="15" hidden="false" customHeight="true" outlineLevel="0" collapsed="false">
      <c r="A5085" s="6" t="s">
        <v>7697</v>
      </c>
      <c r="B5085" s="6" t="s">
        <v>1147</v>
      </c>
      <c r="C5085" s="6" t="s">
        <v>131</v>
      </c>
      <c r="D5085" s="13" t="n">
        <v>44859</v>
      </c>
      <c r="E5085" s="14" t="n">
        <v>2834.16</v>
      </c>
      <c r="F5085" s="14" t="n">
        <v>31191.47</v>
      </c>
      <c r="G5085" s="6" t="s">
        <v>2613</v>
      </c>
    </row>
    <row r="5086" customFormat="false" ht="15" hidden="false" customHeight="true" outlineLevel="0" collapsed="false">
      <c r="A5086" s="6" t="s">
        <v>7698</v>
      </c>
      <c r="B5086" s="6" t="s">
        <v>1149</v>
      </c>
      <c r="C5086" s="6" t="s">
        <v>128</v>
      </c>
      <c r="D5086" s="13" t="n">
        <v>45970</v>
      </c>
      <c r="E5086" s="14" t="n">
        <v>4083.2</v>
      </c>
      <c r="F5086" s="14" t="n">
        <v>4083.2</v>
      </c>
      <c r="G5086" s="6" t="s">
        <v>2613</v>
      </c>
    </row>
    <row r="5087" customFormat="false" ht="15" hidden="false" customHeight="true" outlineLevel="0" collapsed="false">
      <c r="A5087" s="6" t="s">
        <v>7699</v>
      </c>
      <c r="B5087" s="6" t="s">
        <v>1149</v>
      </c>
      <c r="C5087" s="6" t="s">
        <v>128</v>
      </c>
      <c r="D5087" s="13" t="n">
        <v>45977</v>
      </c>
      <c r="E5087" s="14" t="n">
        <v>2201.37</v>
      </c>
      <c r="F5087" s="14" t="n">
        <v>6284.57</v>
      </c>
      <c r="G5087" s="6" t="s">
        <v>2623</v>
      </c>
    </row>
    <row r="5088" customFormat="false" ht="15" hidden="false" customHeight="true" outlineLevel="0" collapsed="false">
      <c r="A5088" s="6" t="s">
        <v>7700</v>
      </c>
      <c r="B5088" s="6" t="s">
        <v>1149</v>
      </c>
      <c r="C5088" s="6" t="s">
        <v>128</v>
      </c>
      <c r="D5088" s="13" t="n">
        <v>45984</v>
      </c>
      <c r="E5088" s="14" t="n">
        <v>2157.69</v>
      </c>
      <c r="F5088" s="14" t="n">
        <v>8442.26</v>
      </c>
      <c r="G5088" s="6" t="s">
        <v>2613</v>
      </c>
    </row>
    <row r="5089" customFormat="false" ht="15" hidden="false" customHeight="true" outlineLevel="0" collapsed="false">
      <c r="A5089" s="6" t="s">
        <v>7701</v>
      </c>
      <c r="B5089" s="6" t="s">
        <v>1149</v>
      </c>
      <c r="C5089" s="6" t="s">
        <v>128</v>
      </c>
      <c r="D5089" s="13" t="n">
        <v>45991</v>
      </c>
      <c r="E5089" s="14" t="n">
        <v>5626.09</v>
      </c>
      <c r="F5089" s="14" t="n">
        <v>14068.35</v>
      </c>
      <c r="G5089" s="6" t="s">
        <v>2613</v>
      </c>
    </row>
    <row r="5090" customFormat="false" ht="15" hidden="false" customHeight="true" outlineLevel="0" collapsed="false">
      <c r="A5090" s="6" t="s">
        <v>7702</v>
      </c>
      <c r="B5090" s="6" t="s">
        <v>1151</v>
      </c>
      <c r="C5090" s="6" t="s">
        <v>124</v>
      </c>
      <c r="D5090" s="13" t="n">
        <v>45439</v>
      </c>
      <c r="E5090" s="14" t="n">
        <v>2123.22</v>
      </c>
      <c r="F5090" s="14" t="n">
        <v>2123.22</v>
      </c>
      <c r="G5090" s="6" t="s">
        <v>2613</v>
      </c>
    </row>
    <row r="5091" customFormat="false" ht="15" hidden="false" customHeight="true" outlineLevel="0" collapsed="false">
      <c r="A5091" s="6" t="s">
        <v>7703</v>
      </c>
      <c r="B5091" s="6" t="s">
        <v>1151</v>
      </c>
      <c r="C5091" s="6" t="s">
        <v>124</v>
      </c>
      <c r="D5091" s="13" t="n">
        <v>45446</v>
      </c>
      <c r="E5091" s="14" t="n">
        <v>1880.59</v>
      </c>
      <c r="F5091" s="14" t="n">
        <v>4003.81</v>
      </c>
      <c r="G5091" s="6" t="s">
        <v>2613</v>
      </c>
    </row>
    <row r="5092" customFormat="false" ht="15" hidden="false" customHeight="true" outlineLevel="0" collapsed="false">
      <c r="A5092" s="6" t="s">
        <v>7704</v>
      </c>
      <c r="B5092" s="6" t="s">
        <v>1151</v>
      </c>
      <c r="C5092" s="6" t="s">
        <v>124</v>
      </c>
      <c r="D5092" s="13" t="n">
        <v>45453</v>
      </c>
      <c r="E5092" s="14" t="n">
        <v>2569.51</v>
      </c>
      <c r="F5092" s="14" t="n">
        <v>6573.32</v>
      </c>
      <c r="G5092" s="6" t="s">
        <v>2623</v>
      </c>
    </row>
    <row r="5093" customFormat="false" ht="15" hidden="false" customHeight="true" outlineLevel="0" collapsed="false">
      <c r="A5093" s="6" t="s">
        <v>7705</v>
      </c>
      <c r="B5093" s="6" t="s">
        <v>1151</v>
      </c>
      <c r="C5093" s="6" t="s">
        <v>124</v>
      </c>
      <c r="D5093" s="13" t="n">
        <v>45460</v>
      </c>
      <c r="E5093" s="14" t="n">
        <v>1683.94</v>
      </c>
      <c r="F5093" s="14" t="n">
        <v>8257.26</v>
      </c>
      <c r="G5093" s="6" t="s">
        <v>2623</v>
      </c>
    </row>
    <row r="5094" customFormat="false" ht="15" hidden="false" customHeight="true" outlineLevel="0" collapsed="false">
      <c r="A5094" s="6" t="s">
        <v>7706</v>
      </c>
      <c r="B5094" s="6" t="s">
        <v>1151</v>
      </c>
      <c r="C5094" s="6" t="s">
        <v>124</v>
      </c>
      <c r="D5094" s="13" t="n">
        <v>45467</v>
      </c>
      <c r="E5094" s="14" t="n">
        <v>1841.68</v>
      </c>
      <c r="F5094" s="14" t="n">
        <v>10098.94</v>
      </c>
      <c r="G5094" s="6" t="s">
        <v>2613</v>
      </c>
    </row>
    <row r="5095" customFormat="false" ht="15" hidden="false" customHeight="true" outlineLevel="0" collapsed="false">
      <c r="A5095" s="6" t="s">
        <v>7707</v>
      </c>
      <c r="B5095" s="6" t="s">
        <v>1151</v>
      </c>
      <c r="C5095" s="6" t="s">
        <v>124</v>
      </c>
      <c r="D5095" s="13" t="n">
        <v>45474</v>
      </c>
      <c r="E5095" s="14" t="n">
        <v>1850.43</v>
      </c>
      <c r="F5095" s="14" t="n">
        <v>11949.37</v>
      </c>
      <c r="G5095" s="6" t="s">
        <v>2613</v>
      </c>
    </row>
    <row r="5096" customFormat="false" ht="15" hidden="false" customHeight="true" outlineLevel="0" collapsed="false">
      <c r="A5096" s="6" t="s">
        <v>7708</v>
      </c>
      <c r="B5096" s="6" t="s">
        <v>1151</v>
      </c>
      <c r="C5096" s="6" t="s">
        <v>124</v>
      </c>
      <c r="D5096" s="13" t="n">
        <v>45481</v>
      </c>
      <c r="E5096" s="14" t="n">
        <v>3299.71</v>
      </c>
      <c r="F5096" s="14" t="n">
        <v>15249.08</v>
      </c>
      <c r="G5096" s="6" t="s">
        <v>2613</v>
      </c>
    </row>
    <row r="5097" customFormat="false" ht="15" hidden="false" customHeight="true" outlineLevel="0" collapsed="false">
      <c r="A5097" s="6" t="s">
        <v>7709</v>
      </c>
      <c r="B5097" s="6" t="s">
        <v>1151</v>
      </c>
      <c r="C5097" s="6" t="s">
        <v>124</v>
      </c>
      <c r="D5097" s="13" t="n">
        <v>45488</v>
      </c>
      <c r="E5097" s="14" t="n">
        <v>2465.24</v>
      </c>
      <c r="F5097" s="14" t="n">
        <v>17714.32</v>
      </c>
      <c r="G5097" s="6" t="s">
        <v>2613</v>
      </c>
    </row>
    <row r="5098" customFormat="false" ht="15" hidden="false" customHeight="true" outlineLevel="0" collapsed="false">
      <c r="A5098" s="6" t="s">
        <v>7710</v>
      </c>
      <c r="B5098" s="6" t="s">
        <v>1151</v>
      </c>
      <c r="C5098" s="6" t="s">
        <v>124</v>
      </c>
      <c r="D5098" s="13" t="n">
        <v>45495</v>
      </c>
      <c r="E5098" s="14" t="n">
        <v>2543.17</v>
      </c>
      <c r="F5098" s="14" t="n">
        <v>20257.49</v>
      </c>
      <c r="G5098" s="6" t="s">
        <v>2613</v>
      </c>
    </row>
    <row r="5099" customFormat="false" ht="15" hidden="false" customHeight="true" outlineLevel="0" collapsed="false">
      <c r="A5099" s="6" t="s">
        <v>7711</v>
      </c>
      <c r="B5099" s="6" t="s">
        <v>1151</v>
      </c>
      <c r="C5099" s="6" t="s">
        <v>124</v>
      </c>
      <c r="D5099" s="13" t="n">
        <v>45502</v>
      </c>
      <c r="E5099" s="14" t="n">
        <v>3590.46</v>
      </c>
      <c r="F5099" s="14" t="n">
        <v>23847.95</v>
      </c>
      <c r="G5099" s="6" t="s">
        <v>2613</v>
      </c>
    </row>
    <row r="5100" customFormat="false" ht="15" hidden="false" customHeight="true" outlineLevel="0" collapsed="false">
      <c r="A5100" s="6" t="s">
        <v>7712</v>
      </c>
      <c r="B5100" s="6" t="s">
        <v>1151</v>
      </c>
      <c r="C5100" s="6" t="s">
        <v>124</v>
      </c>
      <c r="D5100" s="13" t="n">
        <v>45509</v>
      </c>
      <c r="E5100" s="14" t="n">
        <v>2489.06</v>
      </c>
      <c r="F5100" s="14" t="n">
        <v>26337.01</v>
      </c>
      <c r="G5100" s="6" t="s">
        <v>2623</v>
      </c>
    </row>
    <row r="5101" customFormat="false" ht="15" hidden="false" customHeight="true" outlineLevel="0" collapsed="false">
      <c r="A5101" s="6" t="s">
        <v>7713</v>
      </c>
      <c r="B5101" s="6" t="s">
        <v>1151</v>
      </c>
      <c r="C5101" s="6" t="s">
        <v>124</v>
      </c>
      <c r="D5101" s="13" t="n">
        <v>45516</v>
      </c>
      <c r="E5101" s="14" t="n">
        <v>1618.22</v>
      </c>
      <c r="F5101" s="14" t="n">
        <v>27955.23</v>
      </c>
      <c r="G5101" s="6" t="s">
        <v>2623</v>
      </c>
    </row>
    <row r="5102" customFormat="false" ht="15" hidden="false" customHeight="true" outlineLevel="0" collapsed="false">
      <c r="A5102" s="6" t="s">
        <v>7714</v>
      </c>
      <c r="B5102" s="6" t="s">
        <v>1151</v>
      </c>
      <c r="C5102" s="6" t="s">
        <v>124</v>
      </c>
      <c r="D5102" s="13" t="n">
        <v>45523</v>
      </c>
      <c r="E5102" s="14" t="n">
        <v>3131.48</v>
      </c>
      <c r="F5102" s="14" t="n">
        <v>31086.71</v>
      </c>
      <c r="G5102" s="6" t="s">
        <v>2613</v>
      </c>
    </row>
    <row r="5103" customFormat="false" ht="15" hidden="false" customHeight="true" outlineLevel="0" collapsed="false">
      <c r="A5103" s="6" t="s">
        <v>7715</v>
      </c>
      <c r="B5103" s="6" t="s">
        <v>1151</v>
      </c>
      <c r="C5103" s="6" t="s">
        <v>124</v>
      </c>
      <c r="D5103" s="13" t="n">
        <v>45530</v>
      </c>
      <c r="E5103" s="14" t="n">
        <v>6022.1</v>
      </c>
      <c r="F5103" s="14" t="n">
        <v>37108.81</v>
      </c>
      <c r="G5103" s="6" t="s">
        <v>2613</v>
      </c>
    </row>
    <row r="5104" customFormat="false" ht="15" hidden="false" customHeight="true" outlineLevel="0" collapsed="false">
      <c r="A5104" s="6" t="s">
        <v>7716</v>
      </c>
      <c r="B5104" s="6" t="s">
        <v>1153</v>
      </c>
      <c r="C5104" s="6" t="s">
        <v>128</v>
      </c>
      <c r="D5104" s="13" t="n">
        <v>46028</v>
      </c>
      <c r="E5104" s="14" t="n">
        <v>1556.95</v>
      </c>
      <c r="F5104" s="14" t="n">
        <v>1556.95</v>
      </c>
      <c r="G5104" s="6" t="s">
        <v>2613</v>
      </c>
    </row>
    <row r="5105" customFormat="false" ht="15" hidden="false" customHeight="true" outlineLevel="0" collapsed="false">
      <c r="A5105" s="6" t="s">
        <v>7717</v>
      </c>
      <c r="B5105" s="6" t="s">
        <v>1153</v>
      </c>
      <c r="C5105" s="6" t="s">
        <v>128</v>
      </c>
      <c r="D5105" s="13" t="n">
        <v>46035</v>
      </c>
      <c r="E5105" s="14" t="n">
        <v>2168.42</v>
      </c>
      <c r="F5105" s="14" t="n">
        <v>3725.37</v>
      </c>
      <c r="G5105" s="6" t="s">
        <v>2613</v>
      </c>
    </row>
    <row r="5106" customFormat="false" ht="15" hidden="false" customHeight="true" outlineLevel="0" collapsed="false">
      <c r="A5106" s="6" t="s">
        <v>7718</v>
      </c>
      <c r="B5106" s="6" t="s">
        <v>1153</v>
      </c>
      <c r="C5106" s="6" t="s">
        <v>128</v>
      </c>
      <c r="D5106" s="13" t="n">
        <v>46042</v>
      </c>
      <c r="E5106" s="14" t="n">
        <v>2001.42</v>
      </c>
      <c r="F5106" s="14" t="n">
        <v>5726.79</v>
      </c>
      <c r="G5106" s="6" t="s">
        <v>2613</v>
      </c>
    </row>
    <row r="5107" customFormat="false" ht="15" hidden="false" customHeight="true" outlineLevel="0" collapsed="false">
      <c r="A5107" s="6" t="s">
        <v>7719</v>
      </c>
      <c r="B5107" s="6" t="s">
        <v>1153</v>
      </c>
      <c r="C5107" s="6" t="s">
        <v>128</v>
      </c>
      <c r="D5107" s="13" t="n">
        <v>46049</v>
      </c>
      <c r="E5107" s="14" t="n">
        <v>3026.92</v>
      </c>
      <c r="F5107" s="14" t="n">
        <v>8753.71</v>
      </c>
      <c r="G5107" s="6" t="s">
        <v>2613</v>
      </c>
    </row>
    <row r="5108" customFormat="false" ht="15" hidden="false" customHeight="true" outlineLevel="0" collapsed="false">
      <c r="A5108" s="6" t="s">
        <v>7720</v>
      </c>
      <c r="B5108" s="6" t="s">
        <v>1153</v>
      </c>
      <c r="C5108" s="6" t="s">
        <v>128</v>
      </c>
      <c r="D5108" s="13" t="n">
        <v>46056</v>
      </c>
      <c r="E5108" s="14" t="n">
        <v>2837.69</v>
      </c>
      <c r="F5108" s="14" t="n">
        <v>11591.4</v>
      </c>
      <c r="G5108" s="6" t="s">
        <v>2623</v>
      </c>
    </row>
    <row r="5109" customFormat="false" ht="15" hidden="false" customHeight="true" outlineLevel="0" collapsed="false">
      <c r="A5109" s="6" t="s">
        <v>7721</v>
      </c>
      <c r="B5109" s="6" t="s">
        <v>1153</v>
      </c>
      <c r="C5109" s="6" t="s">
        <v>128</v>
      </c>
      <c r="D5109" s="13" t="n">
        <v>46063</v>
      </c>
      <c r="E5109" s="14" t="n">
        <v>2566.56</v>
      </c>
      <c r="F5109" s="14" t="n">
        <v>14157.96</v>
      </c>
      <c r="G5109" s="6" t="s">
        <v>2613</v>
      </c>
    </row>
    <row r="5110" customFormat="false" ht="15" hidden="false" customHeight="true" outlineLevel="0" collapsed="false">
      <c r="A5110" s="6" t="s">
        <v>7722</v>
      </c>
      <c r="B5110" s="6" t="s">
        <v>1153</v>
      </c>
      <c r="C5110" s="6" t="s">
        <v>128</v>
      </c>
      <c r="D5110" s="13" t="n">
        <v>46070</v>
      </c>
      <c r="E5110" s="14" t="n">
        <v>2501.3</v>
      </c>
      <c r="F5110" s="14" t="n">
        <v>16659.26</v>
      </c>
      <c r="G5110" s="6" t="s">
        <v>2613</v>
      </c>
    </row>
    <row r="5111" customFormat="false" ht="15" hidden="false" customHeight="true" outlineLevel="0" collapsed="false">
      <c r="A5111" s="6" t="s">
        <v>7723</v>
      </c>
      <c r="B5111" s="6" t="s">
        <v>1153</v>
      </c>
      <c r="C5111" s="6" t="s">
        <v>128</v>
      </c>
      <c r="D5111" s="13" t="n">
        <v>46077</v>
      </c>
      <c r="E5111" s="14" t="n">
        <v>2157.12</v>
      </c>
      <c r="F5111" s="14" t="n">
        <v>18816.38</v>
      </c>
      <c r="G5111" s="6" t="s">
        <v>2613</v>
      </c>
    </row>
    <row r="5112" customFormat="false" ht="15" hidden="false" customHeight="true" outlineLevel="0" collapsed="false">
      <c r="A5112" s="6" t="s">
        <v>7724</v>
      </c>
      <c r="B5112" s="6" t="s">
        <v>1153</v>
      </c>
      <c r="C5112" s="6" t="s">
        <v>128</v>
      </c>
      <c r="D5112" s="13" t="n">
        <v>46084</v>
      </c>
      <c r="E5112" s="14" t="n">
        <v>2301.84</v>
      </c>
      <c r="F5112" s="14" t="n">
        <v>21118.22</v>
      </c>
      <c r="G5112" s="6" t="s">
        <v>2613</v>
      </c>
    </row>
    <row r="5113" customFormat="false" ht="15" hidden="false" customHeight="true" outlineLevel="0" collapsed="false">
      <c r="A5113" s="6" t="s">
        <v>7725</v>
      </c>
      <c r="B5113" s="6" t="s">
        <v>1153</v>
      </c>
      <c r="C5113" s="6" t="s">
        <v>128</v>
      </c>
      <c r="D5113" s="13" t="n">
        <v>46091</v>
      </c>
      <c r="E5113" s="14" t="n">
        <v>1521.6</v>
      </c>
      <c r="F5113" s="14" t="n">
        <v>22639.82</v>
      </c>
      <c r="G5113" s="6" t="s">
        <v>2613</v>
      </c>
    </row>
    <row r="5114" customFormat="false" ht="15" hidden="false" customHeight="true" outlineLevel="0" collapsed="false">
      <c r="A5114" s="6" t="s">
        <v>7726</v>
      </c>
      <c r="B5114" s="6" t="s">
        <v>1153</v>
      </c>
      <c r="C5114" s="6" t="s">
        <v>128</v>
      </c>
      <c r="D5114" s="13" t="n">
        <v>46098</v>
      </c>
      <c r="E5114" s="14" t="n">
        <v>1474.34</v>
      </c>
      <c r="F5114" s="14" t="n">
        <v>24114.16</v>
      </c>
      <c r="G5114" s="6" t="s">
        <v>2613</v>
      </c>
    </row>
    <row r="5115" customFormat="false" ht="15" hidden="false" customHeight="true" outlineLevel="0" collapsed="false">
      <c r="A5115" s="6" t="s">
        <v>7727</v>
      </c>
      <c r="B5115" s="6" t="s">
        <v>1153</v>
      </c>
      <c r="C5115" s="6" t="s">
        <v>128</v>
      </c>
      <c r="D5115" s="13" t="n">
        <v>46105</v>
      </c>
      <c r="E5115" s="14" t="n">
        <v>2773.27</v>
      </c>
      <c r="F5115" s="14" t="n">
        <v>26887.43</v>
      </c>
      <c r="G5115" s="6" t="s">
        <v>2613</v>
      </c>
    </row>
    <row r="5116" customFormat="false" ht="15" hidden="false" customHeight="true" outlineLevel="0" collapsed="false">
      <c r="A5116" s="6" t="s">
        <v>7728</v>
      </c>
      <c r="B5116" s="6" t="s">
        <v>1153</v>
      </c>
      <c r="C5116" s="6" t="s">
        <v>128</v>
      </c>
      <c r="D5116" s="13" t="n">
        <v>46112</v>
      </c>
      <c r="E5116" s="14" t="n">
        <v>1854.7</v>
      </c>
      <c r="F5116" s="14" t="n">
        <v>28742.13</v>
      </c>
      <c r="G5116" s="6" t="s">
        <v>2613</v>
      </c>
    </row>
    <row r="5117" customFormat="false" ht="15" hidden="false" customHeight="true" outlineLevel="0" collapsed="false">
      <c r="A5117" s="6" t="s">
        <v>7729</v>
      </c>
      <c r="B5117" s="6" t="s">
        <v>1153</v>
      </c>
      <c r="C5117" s="6" t="s">
        <v>128</v>
      </c>
      <c r="D5117" s="13" t="n">
        <v>46119</v>
      </c>
      <c r="E5117" s="14" t="n">
        <v>3068.99</v>
      </c>
      <c r="F5117" s="14" t="n">
        <v>31811.12</v>
      </c>
      <c r="G5117" s="6" t="s">
        <v>2613</v>
      </c>
    </row>
    <row r="5118" customFormat="false" ht="15" hidden="false" customHeight="true" outlineLevel="0" collapsed="false">
      <c r="A5118" s="6" t="s">
        <v>7730</v>
      </c>
      <c r="B5118" s="6" t="s">
        <v>1153</v>
      </c>
      <c r="C5118" s="6" t="s">
        <v>128</v>
      </c>
      <c r="D5118" s="13" t="n">
        <v>46126</v>
      </c>
      <c r="E5118" s="14" t="n">
        <v>2321.33</v>
      </c>
      <c r="F5118" s="14" t="n">
        <v>34132.45</v>
      </c>
      <c r="G5118" s="6" t="s">
        <v>2613</v>
      </c>
    </row>
    <row r="5119" customFormat="false" ht="15" hidden="false" customHeight="true" outlineLevel="0" collapsed="false">
      <c r="A5119" s="6" t="s">
        <v>7731</v>
      </c>
      <c r="B5119" s="6" t="s">
        <v>1153</v>
      </c>
      <c r="C5119" s="6" t="s">
        <v>128</v>
      </c>
      <c r="D5119" s="13" t="n">
        <v>46133</v>
      </c>
      <c r="E5119" s="14" t="n">
        <v>2317.43</v>
      </c>
      <c r="F5119" s="14" t="n">
        <v>36449.88</v>
      </c>
      <c r="G5119" s="6" t="s">
        <v>2613</v>
      </c>
    </row>
    <row r="5120" customFormat="false" ht="15" hidden="false" customHeight="true" outlineLevel="0" collapsed="false">
      <c r="A5120" s="6" t="s">
        <v>7732</v>
      </c>
      <c r="B5120" s="6" t="s">
        <v>1153</v>
      </c>
      <c r="C5120" s="6" t="s">
        <v>128</v>
      </c>
      <c r="D5120" s="13" t="n">
        <v>46140</v>
      </c>
      <c r="E5120" s="14" t="n">
        <v>3070.18</v>
      </c>
      <c r="F5120" s="14" t="n">
        <v>39520.06</v>
      </c>
      <c r="G5120" s="6" t="s">
        <v>2623</v>
      </c>
    </row>
    <row r="5121" customFormat="false" ht="15" hidden="false" customHeight="true" outlineLevel="0" collapsed="false">
      <c r="A5121" s="6" t="s">
        <v>7733</v>
      </c>
      <c r="B5121" s="6" t="s">
        <v>1153</v>
      </c>
      <c r="C5121" s="6" t="s">
        <v>128</v>
      </c>
      <c r="D5121" s="13" t="n">
        <v>46147</v>
      </c>
      <c r="E5121" s="14" t="n">
        <v>2605.62</v>
      </c>
      <c r="F5121" s="14" t="n">
        <v>42125.68</v>
      </c>
      <c r="G5121" s="6" t="s">
        <v>2613</v>
      </c>
    </row>
    <row r="5122" customFormat="false" ht="15" hidden="false" customHeight="true" outlineLevel="0" collapsed="false">
      <c r="A5122" s="6" t="s">
        <v>7734</v>
      </c>
      <c r="B5122" s="6" t="s">
        <v>1153</v>
      </c>
      <c r="C5122" s="6" t="s">
        <v>128</v>
      </c>
      <c r="D5122" s="13" t="n">
        <v>46154</v>
      </c>
      <c r="E5122" s="14" t="n">
        <v>4223.87</v>
      </c>
      <c r="F5122" s="14" t="n">
        <v>46349.55</v>
      </c>
      <c r="G5122" s="6" t="s">
        <v>2613</v>
      </c>
    </row>
    <row r="5123" customFormat="false" ht="15" hidden="false" customHeight="true" outlineLevel="0" collapsed="false">
      <c r="A5123" s="6" t="s">
        <v>7735</v>
      </c>
      <c r="B5123" s="6" t="s">
        <v>1155</v>
      </c>
      <c r="C5123" s="6" t="s">
        <v>131</v>
      </c>
      <c r="D5123" s="13" t="n">
        <v>44707</v>
      </c>
      <c r="E5123" s="14" t="n">
        <v>159.41</v>
      </c>
      <c r="F5123" s="14" t="n">
        <v>159.41</v>
      </c>
      <c r="G5123" s="6" t="s">
        <v>2613</v>
      </c>
    </row>
    <row r="5124" customFormat="false" ht="15" hidden="false" customHeight="true" outlineLevel="0" collapsed="false">
      <c r="A5124" s="6" t="s">
        <v>7736</v>
      </c>
      <c r="B5124" s="6" t="s">
        <v>1155</v>
      </c>
      <c r="C5124" s="6" t="s">
        <v>131</v>
      </c>
      <c r="D5124" s="13" t="n">
        <v>44714</v>
      </c>
      <c r="E5124" s="14" t="n">
        <v>104.13</v>
      </c>
      <c r="F5124" s="14" t="n">
        <v>263.54</v>
      </c>
      <c r="G5124" s="6" t="s">
        <v>2613</v>
      </c>
    </row>
    <row r="5125" customFormat="false" ht="15" hidden="false" customHeight="true" outlineLevel="0" collapsed="false">
      <c r="A5125" s="6" t="s">
        <v>7737</v>
      </c>
      <c r="B5125" s="6" t="s">
        <v>1155</v>
      </c>
      <c r="C5125" s="6" t="s">
        <v>131</v>
      </c>
      <c r="D5125" s="13" t="n">
        <v>44721</v>
      </c>
      <c r="E5125" s="14" t="n">
        <v>91.66</v>
      </c>
      <c r="F5125" s="14" t="n">
        <v>355.2</v>
      </c>
      <c r="G5125" s="6" t="s">
        <v>2613</v>
      </c>
    </row>
    <row r="5126" customFormat="false" ht="15" hidden="false" customHeight="true" outlineLevel="0" collapsed="false">
      <c r="A5126" s="6" t="s">
        <v>7738</v>
      </c>
      <c r="B5126" s="6" t="s">
        <v>1155</v>
      </c>
      <c r="C5126" s="6" t="s">
        <v>131</v>
      </c>
      <c r="D5126" s="13" t="n">
        <v>44728</v>
      </c>
      <c r="E5126" s="14" t="n">
        <v>159.06</v>
      </c>
      <c r="F5126" s="14" t="n">
        <v>514.26</v>
      </c>
      <c r="G5126" s="6" t="s">
        <v>2613</v>
      </c>
    </row>
    <row r="5127" customFormat="false" ht="15" hidden="false" customHeight="true" outlineLevel="0" collapsed="false">
      <c r="A5127" s="6" t="s">
        <v>7739</v>
      </c>
      <c r="B5127" s="6" t="s">
        <v>1155</v>
      </c>
      <c r="C5127" s="6" t="s">
        <v>131</v>
      </c>
      <c r="D5127" s="13" t="n">
        <v>44735</v>
      </c>
      <c r="E5127" s="14" t="n">
        <v>201.44</v>
      </c>
      <c r="F5127" s="14" t="n">
        <v>715.7</v>
      </c>
      <c r="G5127" s="6" t="s">
        <v>2623</v>
      </c>
    </row>
    <row r="5128" customFormat="false" ht="15" hidden="false" customHeight="true" outlineLevel="0" collapsed="false">
      <c r="A5128" s="6" t="s">
        <v>7740</v>
      </c>
      <c r="B5128" s="6" t="s">
        <v>1155</v>
      </c>
      <c r="C5128" s="6" t="s">
        <v>131</v>
      </c>
      <c r="D5128" s="13" t="n">
        <v>44742</v>
      </c>
      <c r="E5128" s="14" t="n">
        <v>174.46</v>
      </c>
      <c r="F5128" s="14" t="n">
        <v>890.16</v>
      </c>
      <c r="G5128" s="6" t="s">
        <v>2613</v>
      </c>
    </row>
    <row r="5129" customFormat="false" ht="15" hidden="false" customHeight="true" outlineLevel="0" collapsed="false">
      <c r="A5129" s="6" t="s">
        <v>7741</v>
      </c>
      <c r="B5129" s="6" t="s">
        <v>1155</v>
      </c>
      <c r="C5129" s="6" t="s">
        <v>131</v>
      </c>
      <c r="D5129" s="13" t="n">
        <v>44749</v>
      </c>
      <c r="E5129" s="14" t="n">
        <v>191.49</v>
      </c>
      <c r="F5129" s="14" t="n">
        <v>1081.65</v>
      </c>
      <c r="G5129" s="6" t="s">
        <v>2613</v>
      </c>
    </row>
    <row r="5130" customFormat="false" ht="15" hidden="false" customHeight="true" outlineLevel="0" collapsed="false">
      <c r="A5130" s="6" t="s">
        <v>7742</v>
      </c>
      <c r="B5130" s="6" t="s">
        <v>1155</v>
      </c>
      <c r="C5130" s="6" t="s">
        <v>131</v>
      </c>
      <c r="D5130" s="13" t="n">
        <v>44756</v>
      </c>
      <c r="E5130" s="14" t="n">
        <v>121.42</v>
      </c>
      <c r="F5130" s="14" t="n">
        <v>1203.07</v>
      </c>
      <c r="G5130" s="6" t="s">
        <v>2623</v>
      </c>
    </row>
    <row r="5131" customFormat="false" ht="15" hidden="false" customHeight="true" outlineLevel="0" collapsed="false">
      <c r="A5131" s="6" t="s">
        <v>7743</v>
      </c>
      <c r="B5131" s="6" t="s">
        <v>1155</v>
      </c>
      <c r="C5131" s="6" t="s">
        <v>131</v>
      </c>
      <c r="D5131" s="13" t="n">
        <v>44763</v>
      </c>
      <c r="E5131" s="14" t="n">
        <v>119.01</v>
      </c>
      <c r="F5131" s="14" t="n">
        <v>1322.08</v>
      </c>
      <c r="G5131" s="6" t="s">
        <v>2613</v>
      </c>
    </row>
    <row r="5132" customFormat="false" ht="15" hidden="false" customHeight="true" outlineLevel="0" collapsed="false">
      <c r="A5132" s="6" t="s">
        <v>7744</v>
      </c>
      <c r="B5132" s="6" t="s">
        <v>1155</v>
      </c>
      <c r="C5132" s="6" t="s">
        <v>131</v>
      </c>
      <c r="D5132" s="13" t="n">
        <v>44770</v>
      </c>
      <c r="E5132" s="14" t="n">
        <v>97.15</v>
      </c>
      <c r="F5132" s="14" t="n">
        <v>1419.23</v>
      </c>
      <c r="G5132" s="6" t="s">
        <v>2613</v>
      </c>
    </row>
    <row r="5133" customFormat="false" ht="15" hidden="false" customHeight="true" outlineLevel="0" collapsed="false">
      <c r="A5133" s="6" t="s">
        <v>7745</v>
      </c>
      <c r="B5133" s="6" t="s">
        <v>1155</v>
      </c>
      <c r="C5133" s="6" t="s">
        <v>131</v>
      </c>
      <c r="D5133" s="13" t="n">
        <v>44777</v>
      </c>
      <c r="E5133" s="14" t="n">
        <v>94.36</v>
      </c>
      <c r="F5133" s="14" t="n">
        <v>1513.59</v>
      </c>
      <c r="G5133" s="6" t="s">
        <v>2613</v>
      </c>
    </row>
    <row r="5134" customFormat="false" ht="15" hidden="false" customHeight="true" outlineLevel="0" collapsed="false">
      <c r="A5134" s="6" t="s">
        <v>7746</v>
      </c>
      <c r="B5134" s="6" t="s">
        <v>1155</v>
      </c>
      <c r="C5134" s="6" t="s">
        <v>131</v>
      </c>
      <c r="D5134" s="13" t="n">
        <v>44784</v>
      </c>
      <c r="E5134" s="14" t="n">
        <v>149.09</v>
      </c>
      <c r="F5134" s="14" t="n">
        <v>1662.68</v>
      </c>
      <c r="G5134" s="6" t="s">
        <v>2613</v>
      </c>
    </row>
    <row r="5135" customFormat="false" ht="15" hidden="false" customHeight="true" outlineLevel="0" collapsed="false">
      <c r="A5135" s="6" t="s">
        <v>7747</v>
      </c>
      <c r="B5135" s="6" t="s">
        <v>1155</v>
      </c>
      <c r="C5135" s="6" t="s">
        <v>131</v>
      </c>
      <c r="D5135" s="13" t="n">
        <v>44791</v>
      </c>
      <c r="E5135" s="14" t="n">
        <v>124.77</v>
      </c>
      <c r="F5135" s="14" t="n">
        <v>1787.45</v>
      </c>
      <c r="G5135" s="6" t="s">
        <v>2613</v>
      </c>
    </row>
    <row r="5136" customFormat="false" ht="15" hidden="false" customHeight="true" outlineLevel="0" collapsed="false">
      <c r="A5136" s="6" t="s">
        <v>7748</v>
      </c>
      <c r="B5136" s="6" t="s">
        <v>1155</v>
      </c>
      <c r="C5136" s="6" t="s">
        <v>131</v>
      </c>
      <c r="D5136" s="13" t="n">
        <v>44798</v>
      </c>
      <c r="E5136" s="14" t="n">
        <v>187.18</v>
      </c>
      <c r="F5136" s="14" t="n">
        <v>1974.63</v>
      </c>
      <c r="G5136" s="6" t="s">
        <v>2613</v>
      </c>
    </row>
    <row r="5137" customFormat="false" ht="15" hidden="false" customHeight="true" outlineLevel="0" collapsed="false">
      <c r="A5137" s="6" t="s">
        <v>7749</v>
      </c>
      <c r="B5137" s="6" t="s">
        <v>1155</v>
      </c>
      <c r="C5137" s="6" t="s">
        <v>131</v>
      </c>
      <c r="D5137" s="13" t="n">
        <v>44805</v>
      </c>
      <c r="E5137" s="14" t="n">
        <v>258.37</v>
      </c>
      <c r="F5137" s="14" t="n">
        <v>2233</v>
      </c>
      <c r="G5137" s="6" t="s">
        <v>2613</v>
      </c>
    </row>
    <row r="5138" customFormat="false" ht="15" hidden="false" customHeight="true" outlineLevel="0" collapsed="false">
      <c r="A5138" s="6" t="s">
        <v>7750</v>
      </c>
      <c r="B5138" s="6" t="s">
        <v>1157</v>
      </c>
      <c r="C5138" s="6" t="s">
        <v>128</v>
      </c>
      <c r="D5138" s="13" t="n">
        <v>45168</v>
      </c>
      <c r="E5138" s="14" t="n">
        <v>6223.15</v>
      </c>
      <c r="F5138" s="14" t="n">
        <v>6223.15</v>
      </c>
      <c r="G5138" s="6" t="s">
        <v>2613</v>
      </c>
    </row>
    <row r="5139" customFormat="false" ht="15" hidden="false" customHeight="true" outlineLevel="0" collapsed="false">
      <c r="A5139" s="6" t="s">
        <v>7751</v>
      </c>
      <c r="B5139" s="6" t="s">
        <v>1157</v>
      </c>
      <c r="C5139" s="6" t="s">
        <v>128</v>
      </c>
      <c r="D5139" s="13" t="n">
        <v>45175</v>
      </c>
      <c r="E5139" s="14" t="n">
        <v>4506.32</v>
      </c>
      <c r="F5139" s="14" t="n">
        <v>10729.47</v>
      </c>
      <c r="G5139" s="6" t="s">
        <v>2613</v>
      </c>
    </row>
    <row r="5140" customFormat="false" ht="15" hidden="false" customHeight="true" outlineLevel="0" collapsed="false">
      <c r="A5140" s="6" t="s">
        <v>7752</v>
      </c>
      <c r="B5140" s="6" t="s">
        <v>1157</v>
      </c>
      <c r="C5140" s="6" t="s">
        <v>128</v>
      </c>
      <c r="D5140" s="13" t="n">
        <v>45182</v>
      </c>
      <c r="E5140" s="14" t="n">
        <v>4506.56</v>
      </c>
      <c r="F5140" s="14" t="n">
        <v>15236.03</v>
      </c>
      <c r="G5140" s="6" t="s">
        <v>2613</v>
      </c>
    </row>
    <row r="5141" customFormat="false" ht="15" hidden="false" customHeight="true" outlineLevel="0" collapsed="false">
      <c r="A5141" s="6" t="s">
        <v>7753</v>
      </c>
      <c r="B5141" s="6" t="s">
        <v>1157</v>
      </c>
      <c r="C5141" s="6" t="s">
        <v>128</v>
      </c>
      <c r="D5141" s="13" t="n">
        <v>45189</v>
      </c>
      <c r="E5141" s="14" t="n">
        <v>3642.56</v>
      </c>
      <c r="F5141" s="14" t="n">
        <v>18878.59</v>
      </c>
      <c r="G5141" s="6" t="s">
        <v>2613</v>
      </c>
    </row>
    <row r="5142" customFormat="false" ht="15" hidden="false" customHeight="true" outlineLevel="0" collapsed="false">
      <c r="A5142" s="6" t="s">
        <v>7754</v>
      </c>
      <c r="B5142" s="6" t="s">
        <v>1157</v>
      </c>
      <c r="C5142" s="6" t="s">
        <v>128</v>
      </c>
      <c r="D5142" s="13" t="n">
        <v>45196</v>
      </c>
      <c r="E5142" s="14" t="n">
        <v>5517.96</v>
      </c>
      <c r="F5142" s="14" t="n">
        <v>24396.55</v>
      </c>
      <c r="G5142" s="6" t="s">
        <v>2613</v>
      </c>
    </row>
    <row r="5143" customFormat="false" ht="15" hidden="false" customHeight="true" outlineLevel="0" collapsed="false">
      <c r="A5143" s="6" t="s">
        <v>7755</v>
      </c>
      <c r="B5143" s="6" t="s">
        <v>1157</v>
      </c>
      <c r="C5143" s="6" t="s">
        <v>128</v>
      </c>
      <c r="D5143" s="13" t="n">
        <v>45203</v>
      </c>
      <c r="E5143" s="14" t="n">
        <v>3506.43</v>
      </c>
      <c r="F5143" s="14" t="n">
        <v>27902.98</v>
      </c>
      <c r="G5143" s="6" t="s">
        <v>2613</v>
      </c>
    </row>
    <row r="5144" customFormat="false" ht="15" hidden="false" customHeight="true" outlineLevel="0" collapsed="false">
      <c r="A5144" s="6" t="s">
        <v>7756</v>
      </c>
      <c r="B5144" s="6" t="s">
        <v>1157</v>
      </c>
      <c r="C5144" s="6" t="s">
        <v>128</v>
      </c>
      <c r="D5144" s="13" t="n">
        <v>45210</v>
      </c>
      <c r="E5144" s="14" t="n">
        <v>4617.37</v>
      </c>
      <c r="F5144" s="14" t="n">
        <v>32520.35</v>
      </c>
      <c r="G5144" s="6" t="s">
        <v>2613</v>
      </c>
    </row>
    <row r="5145" customFormat="false" ht="15" hidden="false" customHeight="true" outlineLevel="0" collapsed="false">
      <c r="A5145" s="6" t="s">
        <v>7757</v>
      </c>
      <c r="B5145" s="6" t="s">
        <v>1157</v>
      </c>
      <c r="C5145" s="6" t="s">
        <v>128</v>
      </c>
      <c r="D5145" s="13" t="n">
        <v>45217</v>
      </c>
      <c r="E5145" s="14" t="n">
        <v>3791.67</v>
      </c>
      <c r="F5145" s="14" t="n">
        <v>36312.02</v>
      </c>
      <c r="G5145" s="6" t="s">
        <v>2613</v>
      </c>
    </row>
    <row r="5146" customFormat="false" ht="15" hidden="false" customHeight="true" outlineLevel="0" collapsed="false">
      <c r="A5146" s="6" t="s">
        <v>7758</v>
      </c>
      <c r="B5146" s="6" t="s">
        <v>1157</v>
      </c>
      <c r="C5146" s="6" t="s">
        <v>128</v>
      </c>
      <c r="D5146" s="13" t="n">
        <v>45224</v>
      </c>
      <c r="E5146" s="14" t="n">
        <v>3152.49</v>
      </c>
      <c r="F5146" s="14" t="n">
        <v>39464.51</v>
      </c>
      <c r="G5146" s="6" t="s">
        <v>2613</v>
      </c>
    </row>
    <row r="5147" customFormat="false" ht="15" hidden="false" customHeight="true" outlineLevel="0" collapsed="false">
      <c r="A5147" s="6" t="s">
        <v>7759</v>
      </c>
      <c r="B5147" s="6" t="s">
        <v>1157</v>
      </c>
      <c r="C5147" s="6" t="s">
        <v>128</v>
      </c>
      <c r="D5147" s="13" t="n">
        <v>45231</v>
      </c>
      <c r="E5147" s="14" t="n">
        <v>5681.5</v>
      </c>
      <c r="F5147" s="14" t="n">
        <v>45146.01</v>
      </c>
      <c r="G5147" s="6" t="s">
        <v>2623</v>
      </c>
    </row>
    <row r="5148" customFormat="false" ht="15" hidden="false" customHeight="true" outlineLevel="0" collapsed="false">
      <c r="A5148" s="6" t="s">
        <v>7760</v>
      </c>
      <c r="B5148" s="6" t="s">
        <v>1157</v>
      </c>
      <c r="C5148" s="6" t="s">
        <v>128</v>
      </c>
      <c r="D5148" s="13" t="n">
        <v>45238</v>
      </c>
      <c r="E5148" s="14" t="n">
        <v>5738.18</v>
      </c>
      <c r="F5148" s="14" t="n">
        <v>50884.19</v>
      </c>
      <c r="G5148" s="6" t="s">
        <v>2613</v>
      </c>
    </row>
    <row r="5149" customFormat="false" ht="15" hidden="false" customHeight="true" outlineLevel="0" collapsed="false">
      <c r="A5149" s="6" t="s">
        <v>7761</v>
      </c>
      <c r="B5149" s="6" t="s">
        <v>1157</v>
      </c>
      <c r="C5149" s="6" t="s">
        <v>128</v>
      </c>
      <c r="D5149" s="13" t="n">
        <v>45245</v>
      </c>
      <c r="E5149" s="14" t="n">
        <v>5960.33</v>
      </c>
      <c r="F5149" s="14" t="n">
        <v>56844.52</v>
      </c>
      <c r="G5149" s="6" t="s">
        <v>2613</v>
      </c>
    </row>
    <row r="5150" customFormat="false" ht="15" hidden="false" customHeight="true" outlineLevel="0" collapsed="false">
      <c r="A5150" s="6" t="s">
        <v>7762</v>
      </c>
      <c r="B5150" s="6" t="s">
        <v>1157</v>
      </c>
      <c r="C5150" s="6" t="s">
        <v>128</v>
      </c>
      <c r="D5150" s="13" t="n">
        <v>45252</v>
      </c>
      <c r="E5150" s="14" t="n">
        <v>6224.25</v>
      </c>
      <c r="F5150" s="14" t="n">
        <v>63068.77</v>
      </c>
      <c r="G5150" s="6" t="s">
        <v>2613</v>
      </c>
    </row>
    <row r="5151" customFormat="false" ht="15" hidden="false" customHeight="true" outlineLevel="0" collapsed="false">
      <c r="A5151" s="6" t="s">
        <v>7763</v>
      </c>
      <c r="B5151" s="6" t="s">
        <v>1157</v>
      </c>
      <c r="C5151" s="6" t="s">
        <v>128</v>
      </c>
      <c r="D5151" s="13" t="n">
        <v>45259</v>
      </c>
      <c r="E5151" s="14" t="n">
        <v>3518.86</v>
      </c>
      <c r="F5151" s="14" t="n">
        <v>66587.63</v>
      </c>
      <c r="G5151" s="6" t="s">
        <v>2623</v>
      </c>
    </row>
    <row r="5152" customFormat="false" ht="15" hidden="false" customHeight="true" outlineLevel="0" collapsed="false">
      <c r="A5152" s="6" t="s">
        <v>7764</v>
      </c>
      <c r="B5152" s="6" t="s">
        <v>1157</v>
      </c>
      <c r="C5152" s="6" t="s">
        <v>128</v>
      </c>
      <c r="D5152" s="13" t="n">
        <v>45266</v>
      </c>
      <c r="E5152" s="14" t="n">
        <v>1830.64</v>
      </c>
      <c r="F5152" s="14" t="n">
        <v>68418.27</v>
      </c>
      <c r="G5152" s="6" t="s">
        <v>2613</v>
      </c>
    </row>
    <row r="5153" customFormat="false" ht="15" hidden="false" customHeight="true" outlineLevel="0" collapsed="false">
      <c r="A5153" s="6" t="s">
        <v>7765</v>
      </c>
      <c r="B5153" s="6" t="s">
        <v>1159</v>
      </c>
      <c r="C5153" s="6" t="s">
        <v>128</v>
      </c>
      <c r="D5153" s="13" t="n">
        <v>45686</v>
      </c>
      <c r="E5153" s="14" t="n">
        <v>921.36</v>
      </c>
      <c r="F5153" s="14" t="n">
        <v>921.36</v>
      </c>
      <c r="G5153" s="6" t="s">
        <v>2613</v>
      </c>
    </row>
    <row r="5154" customFormat="false" ht="15" hidden="false" customHeight="true" outlineLevel="0" collapsed="false">
      <c r="A5154" s="6" t="s">
        <v>7766</v>
      </c>
      <c r="B5154" s="6" t="s">
        <v>1159</v>
      </c>
      <c r="C5154" s="6" t="s">
        <v>128</v>
      </c>
      <c r="D5154" s="13" t="n">
        <v>45693</v>
      </c>
      <c r="E5154" s="14" t="n">
        <v>1403.65</v>
      </c>
      <c r="F5154" s="14" t="n">
        <v>2325.01</v>
      </c>
      <c r="G5154" s="6" t="s">
        <v>2613</v>
      </c>
    </row>
    <row r="5155" customFormat="false" ht="15" hidden="false" customHeight="true" outlineLevel="0" collapsed="false">
      <c r="A5155" s="6" t="s">
        <v>7767</v>
      </c>
      <c r="B5155" s="6" t="s">
        <v>1159</v>
      </c>
      <c r="C5155" s="6" t="s">
        <v>128</v>
      </c>
      <c r="D5155" s="13" t="n">
        <v>45700</v>
      </c>
      <c r="E5155" s="14" t="n">
        <v>1258.27</v>
      </c>
      <c r="F5155" s="14" t="n">
        <v>3583.28</v>
      </c>
      <c r="G5155" s="6" t="s">
        <v>2613</v>
      </c>
    </row>
    <row r="5156" customFormat="false" ht="15" hidden="false" customHeight="true" outlineLevel="0" collapsed="false">
      <c r="A5156" s="6" t="s">
        <v>7768</v>
      </c>
      <c r="B5156" s="6" t="s">
        <v>1159</v>
      </c>
      <c r="C5156" s="6" t="s">
        <v>128</v>
      </c>
      <c r="D5156" s="13" t="n">
        <v>45707</v>
      </c>
      <c r="E5156" s="14" t="n">
        <v>1430.88</v>
      </c>
      <c r="F5156" s="14" t="n">
        <v>5014.16</v>
      </c>
      <c r="G5156" s="6" t="s">
        <v>2613</v>
      </c>
    </row>
    <row r="5157" customFormat="false" ht="15" hidden="false" customHeight="true" outlineLevel="0" collapsed="false">
      <c r="A5157" s="6" t="s">
        <v>7769</v>
      </c>
      <c r="B5157" s="6" t="s">
        <v>1159</v>
      </c>
      <c r="C5157" s="6" t="s">
        <v>128</v>
      </c>
      <c r="D5157" s="13" t="n">
        <v>45714</v>
      </c>
      <c r="E5157" s="14" t="n">
        <v>838.5</v>
      </c>
      <c r="F5157" s="14" t="n">
        <v>5852.66</v>
      </c>
      <c r="G5157" s="6" t="s">
        <v>2613</v>
      </c>
    </row>
    <row r="5158" customFormat="false" ht="15" hidden="false" customHeight="true" outlineLevel="0" collapsed="false">
      <c r="A5158" s="6" t="s">
        <v>7770</v>
      </c>
      <c r="B5158" s="6" t="s">
        <v>1159</v>
      </c>
      <c r="C5158" s="6" t="s">
        <v>128</v>
      </c>
      <c r="D5158" s="13" t="n">
        <v>45721</v>
      </c>
      <c r="E5158" s="14" t="n">
        <v>1614.15</v>
      </c>
      <c r="F5158" s="14" t="n">
        <v>7466.81</v>
      </c>
      <c r="G5158" s="6" t="s">
        <v>2613</v>
      </c>
    </row>
    <row r="5159" customFormat="false" ht="15" hidden="false" customHeight="true" outlineLevel="0" collapsed="false">
      <c r="A5159" s="6" t="s">
        <v>7771</v>
      </c>
      <c r="B5159" s="6" t="s">
        <v>1159</v>
      </c>
      <c r="C5159" s="6" t="s">
        <v>128</v>
      </c>
      <c r="D5159" s="13" t="n">
        <v>45728</v>
      </c>
      <c r="E5159" s="14" t="n">
        <v>1384.97</v>
      </c>
      <c r="F5159" s="14" t="n">
        <v>8851.78</v>
      </c>
      <c r="G5159" s="6" t="s">
        <v>2613</v>
      </c>
    </row>
    <row r="5160" customFormat="false" ht="15" hidden="false" customHeight="true" outlineLevel="0" collapsed="false">
      <c r="A5160" s="6" t="s">
        <v>7772</v>
      </c>
      <c r="B5160" s="6" t="s">
        <v>1159</v>
      </c>
      <c r="C5160" s="6" t="s">
        <v>128</v>
      </c>
      <c r="D5160" s="13" t="n">
        <v>45735</v>
      </c>
      <c r="E5160" s="14" t="n">
        <v>1286.78</v>
      </c>
      <c r="F5160" s="14" t="n">
        <v>10138.56</v>
      </c>
      <c r="G5160" s="6" t="s">
        <v>2613</v>
      </c>
    </row>
    <row r="5161" customFormat="false" ht="15" hidden="false" customHeight="true" outlineLevel="0" collapsed="false">
      <c r="A5161" s="6" t="s">
        <v>7773</v>
      </c>
      <c r="B5161" s="6" t="s">
        <v>1159</v>
      </c>
      <c r="C5161" s="6" t="s">
        <v>128</v>
      </c>
      <c r="D5161" s="13" t="n">
        <v>45742</v>
      </c>
      <c r="E5161" s="14" t="n">
        <v>382.31</v>
      </c>
      <c r="F5161" s="14" t="n">
        <v>10520.87</v>
      </c>
      <c r="G5161" s="6" t="s">
        <v>2613</v>
      </c>
    </row>
    <row r="5162" customFormat="false" ht="15" hidden="false" customHeight="true" outlineLevel="0" collapsed="false">
      <c r="A5162" s="6" t="s">
        <v>7774</v>
      </c>
      <c r="B5162" s="6" t="s">
        <v>1161</v>
      </c>
      <c r="C5162" s="6" t="s">
        <v>128</v>
      </c>
      <c r="D5162" s="13" t="n">
        <v>45298</v>
      </c>
      <c r="E5162" s="14" t="n">
        <v>6215.56</v>
      </c>
      <c r="F5162" s="14" t="n">
        <v>6215.56</v>
      </c>
      <c r="G5162" s="6" t="s">
        <v>2613</v>
      </c>
    </row>
    <row r="5163" customFormat="false" ht="15" hidden="false" customHeight="true" outlineLevel="0" collapsed="false">
      <c r="A5163" s="6" t="s">
        <v>7775</v>
      </c>
      <c r="B5163" s="6" t="s">
        <v>1161</v>
      </c>
      <c r="C5163" s="6" t="s">
        <v>128</v>
      </c>
      <c r="D5163" s="13" t="n">
        <v>45305</v>
      </c>
      <c r="E5163" s="14" t="n">
        <v>10890.04</v>
      </c>
      <c r="F5163" s="14" t="n">
        <v>17105.6</v>
      </c>
      <c r="G5163" s="6" t="s">
        <v>2613</v>
      </c>
    </row>
    <row r="5164" customFormat="false" ht="15" hidden="false" customHeight="true" outlineLevel="0" collapsed="false">
      <c r="A5164" s="6" t="s">
        <v>7776</v>
      </c>
      <c r="B5164" s="6" t="s">
        <v>1161</v>
      </c>
      <c r="C5164" s="6" t="s">
        <v>128</v>
      </c>
      <c r="D5164" s="13" t="n">
        <v>45312</v>
      </c>
      <c r="E5164" s="14" t="n">
        <v>10637.08</v>
      </c>
      <c r="F5164" s="14" t="n">
        <v>27742.68</v>
      </c>
      <c r="G5164" s="6" t="s">
        <v>2613</v>
      </c>
    </row>
    <row r="5165" customFormat="false" ht="15" hidden="false" customHeight="true" outlineLevel="0" collapsed="false">
      <c r="A5165" s="6" t="s">
        <v>7777</v>
      </c>
      <c r="B5165" s="6" t="s">
        <v>1161</v>
      </c>
      <c r="C5165" s="6" t="s">
        <v>128</v>
      </c>
      <c r="D5165" s="13" t="n">
        <v>45319</v>
      </c>
      <c r="E5165" s="14" t="n">
        <v>5131.79</v>
      </c>
      <c r="F5165" s="14" t="n">
        <v>32874.47</v>
      </c>
      <c r="G5165" s="6" t="s">
        <v>2623</v>
      </c>
    </row>
    <row r="5166" customFormat="false" ht="15" hidden="false" customHeight="true" outlineLevel="0" collapsed="false">
      <c r="A5166" s="6" t="s">
        <v>7778</v>
      </c>
      <c r="B5166" s="6" t="s">
        <v>1161</v>
      </c>
      <c r="C5166" s="6" t="s">
        <v>128</v>
      </c>
      <c r="D5166" s="13" t="n">
        <v>45326</v>
      </c>
      <c r="E5166" s="14" t="n">
        <v>8156.19</v>
      </c>
      <c r="F5166" s="14" t="n">
        <v>41030.66</v>
      </c>
      <c r="G5166" s="6" t="s">
        <v>2613</v>
      </c>
    </row>
    <row r="5167" customFormat="false" ht="15" hidden="false" customHeight="true" outlineLevel="0" collapsed="false">
      <c r="A5167" s="6" t="s">
        <v>7779</v>
      </c>
      <c r="B5167" s="6" t="s">
        <v>1161</v>
      </c>
      <c r="C5167" s="6" t="s">
        <v>128</v>
      </c>
      <c r="D5167" s="13" t="n">
        <v>45333</v>
      </c>
      <c r="E5167" s="14" t="n">
        <v>6765.97</v>
      </c>
      <c r="F5167" s="14" t="n">
        <v>47796.63</v>
      </c>
      <c r="G5167" s="6" t="s">
        <v>2613</v>
      </c>
    </row>
    <row r="5168" customFormat="false" ht="15" hidden="false" customHeight="true" outlineLevel="0" collapsed="false">
      <c r="A5168" s="6" t="s">
        <v>7780</v>
      </c>
      <c r="B5168" s="6" t="s">
        <v>1161</v>
      </c>
      <c r="C5168" s="6" t="s">
        <v>128</v>
      </c>
      <c r="D5168" s="13" t="n">
        <v>45340</v>
      </c>
      <c r="E5168" s="14" t="n">
        <v>7522.28</v>
      </c>
      <c r="F5168" s="14" t="n">
        <v>55318.91</v>
      </c>
      <c r="G5168" s="6" t="s">
        <v>2613</v>
      </c>
    </row>
    <row r="5169" customFormat="false" ht="15" hidden="false" customHeight="true" outlineLevel="0" collapsed="false">
      <c r="A5169" s="6" t="s">
        <v>7781</v>
      </c>
      <c r="B5169" s="6" t="s">
        <v>1163</v>
      </c>
      <c r="C5169" s="6" t="s">
        <v>116</v>
      </c>
      <c r="D5169" s="13" t="n">
        <v>45122</v>
      </c>
      <c r="E5169" s="14" t="n">
        <v>4801.88</v>
      </c>
      <c r="F5169" s="14" t="n">
        <v>4801.88</v>
      </c>
      <c r="G5169" s="6" t="s">
        <v>2613</v>
      </c>
    </row>
    <row r="5170" customFormat="false" ht="15" hidden="false" customHeight="true" outlineLevel="0" collapsed="false">
      <c r="A5170" s="6" t="s">
        <v>7782</v>
      </c>
      <c r="B5170" s="6" t="s">
        <v>1163</v>
      </c>
      <c r="C5170" s="6" t="s">
        <v>116</v>
      </c>
      <c r="D5170" s="13" t="n">
        <v>45129</v>
      </c>
      <c r="E5170" s="14" t="n">
        <v>3684.61</v>
      </c>
      <c r="F5170" s="14" t="n">
        <v>8486.49</v>
      </c>
      <c r="G5170" s="6" t="s">
        <v>2613</v>
      </c>
    </row>
    <row r="5171" customFormat="false" ht="15" hidden="false" customHeight="true" outlineLevel="0" collapsed="false">
      <c r="A5171" s="6" t="s">
        <v>7783</v>
      </c>
      <c r="B5171" s="6" t="s">
        <v>1163</v>
      </c>
      <c r="C5171" s="6" t="s">
        <v>116</v>
      </c>
      <c r="D5171" s="13" t="n">
        <v>45136</v>
      </c>
      <c r="E5171" s="14" t="n">
        <v>4673.52</v>
      </c>
      <c r="F5171" s="14" t="n">
        <v>13160.01</v>
      </c>
      <c r="G5171" s="6" t="s">
        <v>2613</v>
      </c>
    </row>
    <row r="5172" customFormat="false" ht="15" hidden="false" customHeight="true" outlineLevel="0" collapsed="false">
      <c r="A5172" s="6" t="s">
        <v>7784</v>
      </c>
      <c r="B5172" s="6" t="s">
        <v>1163</v>
      </c>
      <c r="C5172" s="6" t="s">
        <v>116</v>
      </c>
      <c r="D5172" s="13" t="n">
        <v>45143</v>
      </c>
      <c r="E5172" s="14" t="n">
        <v>5811.8</v>
      </c>
      <c r="F5172" s="14" t="n">
        <v>18971.81</v>
      </c>
      <c r="G5172" s="6" t="s">
        <v>2613</v>
      </c>
    </row>
    <row r="5173" customFormat="false" ht="15" hidden="false" customHeight="true" outlineLevel="0" collapsed="false">
      <c r="A5173" s="6" t="s">
        <v>7785</v>
      </c>
      <c r="B5173" s="6" t="s">
        <v>1163</v>
      </c>
      <c r="C5173" s="6" t="s">
        <v>116</v>
      </c>
      <c r="D5173" s="13" t="n">
        <v>45150</v>
      </c>
      <c r="E5173" s="14" t="n">
        <v>5788.51</v>
      </c>
      <c r="F5173" s="14" t="n">
        <v>24760.32</v>
      </c>
      <c r="G5173" s="6" t="s">
        <v>2623</v>
      </c>
    </row>
    <row r="5174" customFormat="false" ht="15" hidden="false" customHeight="true" outlineLevel="0" collapsed="false">
      <c r="A5174" s="6" t="s">
        <v>7786</v>
      </c>
      <c r="B5174" s="6" t="s">
        <v>1163</v>
      </c>
      <c r="C5174" s="6" t="s">
        <v>116</v>
      </c>
      <c r="D5174" s="13" t="n">
        <v>45157</v>
      </c>
      <c r="E5174" s="14" t="n">
        <v>3245.53</v>
      </c>
      <c r="F5174" s="14" t="n">
        <v>28005.85</v>
      </c>
      <c r="G5174" s="6" t="s">
        <v>2613</v>
      </c>
    </row>
    <row r="5175" customFormat="false" ht="15" hidden="false" customHeight="true" outlineLevel="0" collapsed="false">
      <c r="A5175" s="6" t="s">
        <v>7787</v>
      </c>
      <c r="B5175" s="6" t="s">
        <v>1163</v>
      </c>
      <c r="C5175" s="6" t="s">
        <v>116</v>
      </c>
      <c r="D5175" s="13" t="n">
        <v>45164</v>
      </c>
      <c r="E5175" s="14" t="n">
        <v>5988.19</v>
      </c>
      <c r="F5175" s="14" t="n">
        <v>33994.04</v>
      </c>
      <c r="G5175" s="6" t="s">
        <v>2613</v>
      </c>
    </row>
    <row r="5176" customFormat="false" ht="15" hidden="false" customHeight="true" outlineLevel="0" collapsed="false">
      <c r="A5176" s="6" t="s">
        <v>7788</v>
      </c>
      <c r="B5176" s="6" t="s">
        <v>1163</v>
      </c>
      <c r="C5176" s="6" t="s">
        <v>116</v>
      </c>
      <c r="D5176" s="13" t="n">
        <v>45171</v>
      </c>
      <c r="E5176" s="14" t="n">
        <v>6303.64</v>
      </c>
      <c r="F5176" s="14" t="n">
        <v>40297.68</v>
      </c>
      <c r="G5176" s="6" t="s">
        <v>2613</v>
      </c>
    </row>
    <row r="5177" customFormat="false" ht="15" hidden="false" customHeight="true" outlineLevel="0" collapsed="false">
      <c r="A5177" s="6" t="s">
        <v>7789</v>
      </c>
      <c r="B5177" s="6" t="s">
        <v>1163</v>
      </c>
      <c r="C5177" s="6" t="s">
        <v>116</v>
      </c>
      <c r="D5177" s="13" t="n">
        <v>45178</v>
      </c>
      <c r="E5177" s="14" t="n">
        <v>4802.08</v>
      </c>
      <c r="F5177" s="14" t="n">
        <v>45099.76</v>
      </c>
      <c r="G5177" s="6" t="s">
        <v>2613</v>
      </c>
    </row>
    <row r="5178" customFormat="false" ht="15" hidden="false" customHeight="true" outlineLevel="0" collapsed="false">
      <c r="A5178" s="6" t="s">
        <v>7790</v>
      </c>
      <c r="B5178" s="6" t="s">
        <v>1163</v>
      </c>
      <c r="C5178" s="6" t="s">
        <v>116</v>
      </c>
      <c r="D5178" s="13" t="n">
        <v>45185</v>
      </c>
      <c r="E5178" s="14" t="n">
        <v>3249.15</v>
      </c>
      <c r="F5178" s="14" t="n">
        <v>48348.91</v>
      </c>
      <c r="G5178" s="6" t="s">
        <v>2613</v>
      </c>
    </row>
    <row r="5179" customFormat="false" ht="15" hidden="false" customHeight="true" outlineLevel="0" collapsed="false">
      <c r="A5179" s="6" t="s">
        <v>7791</v>
      </c>
      <c r="B5179" s="6" t="s">
        <v>1163</v>
      </c>
      <c r="C5179" s="6" t="s">
        <v>116</v>
      </c>
      <c r="D5179" s="13" t="n">
        <v>45192</v>
      </c>
      <c r="E5179" s="14" t="n">
        <v>5697.43</v>
      </c>
      <c r="F5179" s="14" t="n">
        <v>54046.34</v>
      </c>
      <c r="G5179" s="6" t="s">
        <v>2613</v>
      </c>
    </row>
    <row r="5180" customFormat="false" ht="15" hidden="false" customHeight="true" outlineLevel="0" collapsed="false">
      <c r="A5180" s="6" t="s">
        <v>7792</v>
      </c>
      <c r="B5180" s="6" t="s">
        <v>1163</v>
      </c>
      <c r="C5180" s="6" t="s">
        <v>116</v>
      </c>
      <c r="D5180" s="13" t="n">
        <v>45199</v>
      </c>
      <c r="E5180" s="14" t="n">
        <v>7334</v>
      </c>
      <c r="F5180" s="14" t="n">
        <v>61380.34</v>
      </c>
      <c r="G5180" s="6" t="s">
        <v>2613</v>
      </c>
    </row>
    <row r="5181" customFormat="false" ht="15" hidden="false" customHeight="true" outlineLevel="0" collapsed="false">
      <c r="A5181" s="6" t="s">
        <v>7793</v>
      </c>
      <c r="B5181" s="6" t="s">
        <v>1165</v>
      </c>
      <c r="C5181" s="6" t="s">
        <v>131</v>
      </c>
      <c r="D5181" s="13" t="n">
        <v>44941</v>
      </c>
      <c r="E5181" s="14" t="n">
        <v>3520.97</v>
      </c>
      <c r="F5181" s="14" t="n">
        <v>3520.97</v>
      </c>
      <c r="G5181" s="6" t="s">
        <v>2613</v>
      </c>
    </row>
    <row r="5182" customFormat="false" ht="15" hidden="false" customHeight="true" outlineLevel="0" collapsed="false">
      <c r="A5182" s="6" t="s">
        <v>7794</v>
      </c>
      <c r="B5182" s="6" t="s">
        <v>1165</v>
      </c>
      <c r="C5182" s="6" t="s">
        <v>131</v>
      </c>
      <c r="D5182" s="13" t="n">
        <v>44948</v>
      </c>
      <c r="E5182" s="14" t="n">
        <v>3611.69</v>
      </c>
      <c r="F5182" s="14" t="n">
        <v>7132.66</v>
      </c>
      <c r="G5182" s="6" t="s">
        <v>2613</v>
      </c>
    </row>
    <row r="5183" customFormat="false" ht="15" hidden="false" customHeight="true" outlineLevel="0" collapsed="false">
      <c r="A5183" s="6" t="s">
        <v>7795</v>
      </c>
      <c r="B5183" s="6" t="s">
        <v>1165</v>
      </c>
      <c r="C5183" s="6" t="s">
        <v>131</v>
      </c>
      <c r="D5183" s="13" t="n">
        <v>44955</v>
      </c>
      <c r="E5183" s="14" t="n">
        <v>2927.28</v>
      </c>
      <c r="F5183" s="14" t="n">
        <v>10059.94</v>
      </c>
      <c r="G5183" s="6" t="s">
        <v>2613</v>
      </c>
    </row>
    <row r="5184" customFormat="false" ht="15" hidden="false" customHeight="true" outlineLevel="0" collapsed="false">
      <c r="A5184" s="6" t="s">
        <v>7796</v>
      </c>
      <c r="B5184" s="6" t="s">
        <v>1165</v>
      </c>
      <c r="C5184" s="6" t="s">
        <v>131</v>
      </c>
      <c r="D5184" s="13" t="n">
        <v>44962</v>
      </c>
      <c r="E5184" s="14" t="n">
        <v>3821.43</v>
      </c>
      <c r="F5184" s="14" t="n">
        <v>13881.37</v>
      </c>
      <c r="G5184" s="6" t="s">
        <v>2613</v>
      </c>
    </row>
    <row r="5185" customFormat="false" ht="15" hidden="false" customHeight="true" outlineLevel="0" collapsed="false">
      <c r="A5185" s="6" t="s">
        <v>7797</v>
      </c>
      <c r="B5185" s="6" t="s">
        <v>1165</v>
      </c>
      <c r="C5185" s="6" t="s">
        <v>131</v>
      </c>
      <c r="D5185" s="13" t="n">
        <v>44969</v>
      </c>
      <c r="E5185" s="14" t="n">
        <v>3065.01</v>
      </c>
      <c r="F5185" s="14" t="n">
        <v>16946.38</v>
      </c>
      <c r="G5185" s="6" t="s">
        <v>2613</v>
      </c>
    </row>
    <row r="5186" customFormat="false" ht="15" hidden="false" customHeight="true" outlineLevel="0" collapsed="false">
      <c r="A5186" s="6" t="s">
        <v>7798</v>
      </c>
      <c r="B5186" s="6" t="s">
        <v>1165</v>
      </c>
      <c r="C5186" s="6" t="s">
        <v>131</v>
      </c>
      <c r="D5186" s="13" t="n">
        <v>44976</v>
      </c>
      <c r="E5186" s="14" t="n">
        <v>3279.14</v>
      </c>
      <c r="F5186" s="14" t="n">
        <v>20225.52</v>
      </c>
      <c r="G5186" s="6" t="s">
        <v>2613</v>
      </c>
    </row>
    <row r="5187" customFormat="false" ht="15" hidden="false" customHeight="true" outlineLevel="0" collapsed="false">
      <c r="A5187" s="6" t="s">
        <v>7799</v>
      </c>
      <c r="B5187" s="6" t="s">
        <v>1165</v>
      </c>
      <c r="C5187" s="6" t="s">
        <v>131</v>
      </c>
      <c r="D5187" s="13" t="n">
        <v>44983</v>
      </c>
      <c r="E5187" s="14" t="n">
        <v>3103.05</v>
      </c>
      <c r="F5187" s="14" t="n">
        <v>23328.57</v>
      </c>
      <c r="G5187" s="6" t="s">
        <v>2613</v>
      </c>
    </row>
    <row r="5188" customFormat="false" ht="15" hidden="false" customHeight="true" outlineLevel="0" collapsed="false">
      <c r="A5188" s="6" t="s">
        <v>7800</v>
      </c>
      <c r="B5188" s="6" t="s">
        <v>1165</v>
      </c>
      <c r="C5188" s="6" t="s">
        <v>131</v>
      </c>
      <c r="D5188" s="13" t="n">
        <v>44990</v>
      </c>
      <c r="E5188" s="14" t="n">
        <v>2661.29</v>
      </c>
      <c r="F5188" s="14" t="n">
        <v>25989.86</v>
      </c>
      <c r="G5188" s="6" t="s">
        <v>2613</v>
      </c>
    </row>
    <row r="5189" customFormat="false" ht="15" hidden="false" customHeight="true" outlineLevel="0" collapsed="false">
      <c r="A5189" s="6" t="s">
        <v>7801</v>
      </c>
      <c r="B5189" s="6" t="s">
        <v>1167</v>
      </c>
      <c r="C5189" s="6" t="s">
        <v>124</v>
      </c>
      <c r="D5189" s="13" t="n">
        <v>46163</v>
      </c>
      <c r="E5189" s="14" t="n">
        <v>5504.44</v>
      </c>
      <c r="F5189" s="14" t="n">
        <v>5504.44</v>
      </c>
      <c r="G5189" s="6" t="s">
        <v>2613</v>
      </c>
    </row>
    <row r="5190" customFormat="false" ht="15" hidden="false" customHeight="true" outlineLevel="0" collapsed="false">
      <c r="A5190" s="6" t="s">
        <v>7802</v>
      </c>
      <c r="B5190" s="6" t="s">
        <v>1167</v>
      </c>
      <c r="C5190" s="6" t="s">
        <v>124</v>
      </c>
      <c r="D5190" s="13" t="n">
        <v>46170</v>
      </c>
      <c r="E5190" s="14" t="n">
        <v>5853.65</v>
      </c>
      <c r="F5190" s="14" t="n">
        <v>11358.09</v>
      </c>
      <c r="G5190" s="6" t="s">
        <v>2613</v>
      </c>
    </row>
    <row r="5191" customFormat="false" ht="15" hidden="false" customHeight="true" outlineLevel="0" collapsed="false">
      <c r="A5191" s="6" t="s">
        <v>7803</v>
      </c>
      <c r="B5191" s="6" t="s">
        <v>1167</v>
      </c>
      <c r="C5191" s="6" t="s">
        <v>124</v>
      </c>
      <c r="D5191" s="13" t="n">
        <v>46177</v>
      </c>
      <c r="E5191" s="14" t="n">
        <v>3808.33</v>
      </c>
      <c r="F5191" s="14" t="n">
        <v>15166.42</v>
      </c>
      <c r="G5191" s="6" t="s">
        <v>2613</v>
      </c>
    </row>
    <row r="5192" customFormat="false" ht="15" hidden="false" customHeight="true" outlineLevel="0" collapsed="false">
      <c r="A5192" s="6" t="s">
        <v>7804</v>
      </c>
      <c r="B5192" s="6" t="s">
        <v>1167</v>
      </c>
      <c r="C5192" s="6" t="s">
        <v>124</v>
      </c>
      <c r="D5192" s="13" t="n">
        <v>46184</v>
      </c>
      <c r="E5192" s="14" t="n">
        <v>5276.23</v>
      </c>
      <c r="F5192" s="14" t="n">
        <v>20442.65</v>
      </c>
      <c r="G5192" s="6" t="s">
        <v>2613</v>
      </c>
    </row>
    <row r="5193" customFormat="false" ht="15" hidden="false" customHeight="true" outlineLevel="0" collapsed="false">
      <c r="A5193" s="6" t="s">
        <v>7805</v>
      </c>
      <c r="B5193" s="6" t="s">
        <v>1167</v>
      </c>
      <c r="C5193" s="6" t="s">
        <v>124</v>
      </c>
      <c r="D5193" s="13" t="n">
        <v>46191</v>
      </c>
      <c r="E5193" s="14" t="n">
        <v>6449.34</v>
      </c>
      <c r="F5193" s="14" t="n">
        <v>26891.99</v>
      </c>
      <c r="G5193" s="6" t="s">
        <v>2613</v>
      </c>
    </row>
    <row r="5194" customFormat="false" ht="15" hidden="false" customHeight="true" outlineLevel="0" collapsed="false">
      <c r="A5194" s="6" t="s">
        <v>7806</v>
      </c>
      <c r="B5194" s="6" t="s">
        <v>1167</v>
      </c>
      <c r="C5194" s="6" t="s">
        <v>124</v>
      </c>
      <c r="D5194" s="13" t="n">
        <v>46198</v>
      </c>
      <c r="E5194" s="14" t="n">
        <v>5689.16</v>
      </c>
      <c r="F5194" s="14" t="n">
        <v>32581.15</v>
      </c>
      <c r="G5194" s="6" t="s">
        <v>2613</v>
      </c>
    </row>
    <row r="5195" customFormat="false" ht="15" hidden="false" customHeight="true" outlineLevel="0" collapsed="false">
      <c r="A5195" s="6" t="s">
        <v>7807</v>
      </c>
      <c r="B5195" s="6" t="s">
        <v>1167</v>
      </c>
      <c r="C5195" s="6" t="s">
        <v>124</v>
      </c>
      <c r="D5195" s="13" t="n">
        <v>46205</v>
      </c>
      <c r="E5195" s="14" t="n">
        <v>5892.95</v>
      </c>
      <c r="F5195" s="14" t="n">
        <v>38474.1</v>
      </c>
      <c r="G5195" s="6" t="s">
        <v>2623</v>
      </c>
    </row>
    <row r="5196" customFormat="false" ht="15" hidden="false" customHeight="true" outlineLevel="0" collapsed="false">
      <c r="A5196" s="6" t="s">
        <v>7808</v>
      </c>
      <c r="B5196" s="6" t="s">
        <v>1167</v>
      </c>
      <c r="C5196" s="6" t="s">
        <v>124</v>
      </c>
      <c r="D5196" s="13" t="n">
        <v>46212</v>
      </c>
      <c r="E5196" s="14" t="n">
        <v>4438.68</v>
      </c>
      <c r="F5196" s="14" t="n">
        <v>42912.78</v>
      </c>
      <c r="G5196" s="6" t="s">
        <v>2613</v>
      </c>
    </row>
    <row r="5197" customFormat="false" ht="15" hidden="false" customHeight="true" outlineLevel="0" collapsed="false">
      <c r="A5197" s="6" t="s">
        <v>7809</v>
      </c>
      <c r="B5197" s="6" t="s">
        <v>1169</v>
      </c>
      <c r="C5197" s="6" t="s">
        <v>116</v>
      </c>
      <c r="D5197" s="13" t="n">
        <v>45005</v>
      </c>
      <c r="E5197" s="14" t="n">
        <v>2649.35</v>
      </c>
      <c r="F5197" s="14" t="n">
        <v>2649.35</v>
      </c>
      <c r="G5197" s="6" t="s">
        <v>2613</v>
      </c>
    </row>
    <row r="5198" customFormat="false" ht="15" hidden="false" customHeight="true" outlineLevel="0" collapsed="false">
      <c r="A5198" s="6" t="s">
        <v>7810</v>
      </c>
      <c r="B5198" s="6" t="s">
        <v>1169</v>
      </c>
      <c r="C5198" s="6" t="s">
        <v>116</v>
      </c>
      <c r="D5198" s="13" t="n">
        <v>45012</v>
      </c>
      <c r="E5198" s="14" t="n">
        <v>3525.62</v>
      </c>
      <c r="F5198" s="14" t="n">
        <v>6174.97</v>
      </c>
      <c r="G5198" s="6" t="s">
        <v>2613</v>
      </c>
    </row>
    <row r="5199" customFormat="false" ht="15" hidden="false" customHeight="true" outlineLevel="0" collapsed="false">
      <c r="A5199" s="6" t="s">
        <v>7811</v>
      </c>
      <c r="B5199" s="6" t="s">
        <v>1169</v>
      </c>
      <c r="C5199" s="6" t="s">
        <v>116</v>
      </c>
      <c r="D5199" s="13" t="n">
        <v>45019</v>
      </c>
      <c r="E5199" s="14" t="n">
        <v>3781.9</v>
      </c>
      <c r="F5199" s="14" t="n">
        <v>9956.87</v>
      </c>
      <c r="G5199" s="6" t="s">
        <v>2613</v>
      </c>
    </row>
    <row r="5200" customFormat="false" ht="15" hidden="false" customHeight="true" outlineLevel="0" collapsed="false">
      <c r="A5200" s="6" t="s">
        <v>7812</v>
      </c>
      <c r="B5200" s="6" t="s">
        <v>1169</v>
      </c>
      <c r="C5200" s="6" t="s">
        <v>116</v>
      </c>
      <c r="D5200" s="13" t="n">
        <v>45026</v>
      </c>
      <c r="E5200" s="14" t="n">
        <v>4062.19</v>
      </c>
      <c r="F5200" s="14" t="n">
        <v>14019.06</v>
      </c>
      <c r="G5200" s="6" t="s">
        <v>2613</v>
      </c>
    </row>
    <row r="5201" customFormat="false" ht="15" hidden="false" customHeight="true" outlineLevel="0" collapsed="false">
      <c r="A5201" s="6" t="s">
        <v>7813</v>
      </c>
      <c r="B5201" s="6" t="s">
        <v>1169</v>
      </c>
      <c r="C5201" s="6" t="s">
        <v>116</v>
      </c>
      <c r="D5201" s="13" t="n">
        <v>45033</v>
      </c>
      <c r="E5201" s="14" t="n">
        <v>5120.35</v>
      </c>
      <c r="F5201" s="14" t="n">
        <v>19139.41</v>
      </c>
      <c r="G5201" s="6" t="s">
        <v>2613</v>
      </c>
    </row>
    <row r="5202" customFormat="false" ht="15" hidden="false" customHeight="true" outlineLevel="0" collapsed="false">
      <c r="A5202" s="6" t="s">
        <v>7814</v>
      </c>
      <c r="B5202" s="6" t="s">
        <v>1169</v>
      </c>
      <c r="C5202" s="6" t="s">
        <v>116</v>
      </c>
      <c r="D5202" s="13" t="n">
        <v>45040</v>
      </c>
      <c r="E5202" s="14" t="n">
        <v>3919.94</v>
      </c>
      <c r="F5202" s="14" t="n">
        <v>23059.35</v>
      </c>
      <c r="G5202" s="6" t="s">
        <v>2613</v>
      </c>
    </row>
    <row r="5203" customFormat="false" ht="15" hidden="false" customHeight="true" outlineLevel="0" collapsed="false">
      <c r="A5203" s="6" t="s">
        <v>7815</v>
      </c>
      <c r="B5203" s="6" t="s">
        <v>1169</v>
      </c>
      <c r="C5203" s="6" t="s">
        <v>116</v>
      </c>
      <c r="D5203" s="13" t="n">
        <v>45047</v>
      </c>
      <c r="E5203" s="14" t="n">
        <v>5297.39</v>
      </c>
      <c r="F5203" s="14" t="n">
        <v>28356.74</v>
      </c>
      <c r="G5203" s="6" t="s">
        <v>2613</v>
      </c>
    </row>
    <row r="5204" customFormat="false" ht="15" hidden="false" customHeight="true" outlineLevel="0" collapsed="false">
      <c r="A5204" s="6" t="s">
        <v>7816</v>
      </c>
      <c r="B5204" s="6" t="s">
        <v>1169</v>
      </c>
      <c r="C5204" s="6" t="s">
        <v>116</v>
      </c>
      <c r="D5204" s="13" t="n">
        <v>45054</v>
      </c>
      <c r="E5204" s="14" t="n">
        <v>3573.48</v>
      </c>
      <c r="F5204" s="14" t="n">
        <v>31930.22</v>
      </c>
      <c r="G5204" s="6" t="s">
        <v>2613</v>
      </c>
    </row>
    <row r="5205" customFormat="false" ht="15" hidden="false" customHeight="true" outlineLevel="0" collapsed="false">
      <c r="A5205" s="6" t="s">
        <v>7817</v>
      </c>
      <c r="B5205" s="6" t="s">
        <v>1169</v>
      </c>
      <c r="C5205" s="6" t="s">
        <v>116</v>
      </c>
      <c r="D5205" s="13" t="n">
        <v>45061</v>
      </c>
      <c r="E5205" s="14" t="n">
        <v>4162.13</v>
      </c>
      <c r="F5205" s="14" t="n">
        <v>36092.35</v>
      </c>
      <c r="G5205" s="6" t="s">
        <v>2613</v>
      </c>
    </row>
    <row r="5206" customFormat="false" ht="15" hidden="false" customHeight="true" outlineLevel="0" collapsed="false">
      <c r="A5206" s="6" t="s">
        <v>7818</v>
      </c>
      <c r="B5206" s="6" t="s">
        <v>1169</v>
      </c>
      <c r="C5206" s="6" t="s">
        <v>116</v>
      </c>
      <c r="D5206" s="13" t="n">
        <v>45068</v>
      </c>
      <c r="E5206" s="14" t="n">
        <v>5730.1</v>
      </c>
      <c r="F5206" s="14" t="n">
        <v>41822.45</v>
      </c>
      <c r="G5206" s="6" t="s">
        <v>2613</v>
      </c>
    </row>
    <row r="5207" customFormat="false" ht="15" hidden="false" customHeight="true" outlineLevel="0" collapsed="false">
      <c r="A5207" s="6" t="s">
        <v>7819</v>
      </c>
      <c r="B5207" s="6" t="s">
        <v>1169</v>
      </c>
      <c r="C5207" s="6" t="s">
        <v>116</v>
      </c>
      <c r="D5207" s="13" t="n">
        <v>45075</v>
      </c>
      <c r="E5207" s="14" t="n">
        <v>3613.79</v>
      </c>
      <c r="F5207" s="14" t="n">
        <v>45436.24</v>
      </c>
      <c r="G5207" s="6" t="s">
        <v>2613</v>
      </c>
    </row>
    <row r="5208" customFormat="false" ht="15" hidden="false" customHeight="true" outlineLevel="0" collapsed="false">
      <c r="A5208" s="6" t="s">
        <v>7820</v>
      </c>
      <c r="B5208" s="6" t="s">
        <v>1169</v>
      </c>
      <c r="C5208" s="6" t="s">
        <v>116</v>
      </c>
      <c r="D5208" s="13" t="n">
        <v>45082</v>
      </c>
      <c r="E5208" s="14" t="n">
        <v>4117.91</v>
      </c>
      <c r="F5208" s="14" t="n">
        <v>49554.15</v>
      </c>
      <c r="G5208" s="6" t="s">
        <v>2613</v>
      </c>
    </row>
    <row r="5209" customFormat="false" ht="15" hidden="false" customHeight="true" outlineLevel="0" collapsed="false">
      <c r="A5209" s="6" t="s">
        <v>7821</v>
      </c>
      <c r="B5209" s="6" t="s">
        <v>1169</v>
      </c>
      <c r="C5209" s="6" t="s">
        <v>116</v>
      </c>
      <c r="D5209" s="13" t="n">
        <v>45089</v>
      </c>
      <c r="E5209" s="14" t="n">
        <v>4307.34</v>
      </c>
      <c r="F5209" s="14" t="n">
        <v>53861.49</v>
      </c>
      <c r="G5209" s="6" t="s">
        <v>2613</v>
      </c>
    </row>
    <row r="5210" customFormat="false" ht="15" hidden="false" customHeight="true" outlineLevel="0" collapsed="false">
      <c r="A5210" s="6" t="s">
        <v>7822</v>
      </c>
      <c r="B5210" s="6" t="s">
        <v>1169</v>
      </c>
      <c r="C5210" s="6" t="s">
        <v>116</v>
      </c>
      <c r="D5210" s="13" t="n">
        <v>45096</v>
      </c>
      <c r="E5210" s="14" t="n">
        <v>5813.19</v>
      </c>
      <c r="F5210" s="14" t="n">
        <v>59674.68</v>
      </c>
      <c r="G5210" s="6" t="s">
        <v>2613</v>
      </c>
    </row>
    <row r="5211" customFormat="false" ht="15" hidden="false" customHeight="true" outlineLevel="0" collapsed="false">
      <c r="A5211" s="6" t="s">
        <v>7823</v>
      </c>
      <c r="B5211" s="6" t="s">
        <v>1169</v>
      </c>
      <c r="C5211" s="6" t="s">
        <v>116</v>
      </c>
      <c r="D5211" s="13" t="n">
        <v>45103</v>
      </c>
      <c r="E5211" s="14" t="n">
        <v>2878.51</v>
      </c>
      <c r="F5211" s="14" t="n">
        <v>62553.19</v>
      </c>
      <c r="G5211" s="6" t="s">
        <v>2613</v>
      </c>
    </row>
    <row r="5212" customFormat="false" ht="15" hidden="false" customHeight="true" outlineLevel="0" collapsed="false">
      <c r="A5212" s="6" t="s">
        <v>7824</v>
      </c>
      <c r="B5212" s="6" t="s">
        <v>1169</v>
      </c>
      <c r="C5212" s="6" t="s">
        <v>116</v>
      </c>
      <c r="D5212" s="13" t="n">
        <v>45110</v>
      </c>
      <c r="E5212" s="14" t="n">
        <v>5119.87</v>
      </c>
      <c r="F5212" s="14" t="n">
        <v>67673.06</v>
      </c>
      <c r="G5212" s="6" t="s">
        <v>2613</v>
      </c>
    </row>
    <row r="5213" customFormat="false" ht="15" hidden="false" customHeight="true" outlineLevel="0" collapsed="false">
      <c r="A5213" s="6" t="s">
        <v>7825</v>
      </c>
      <c r="B5213" s="6" t="s">
        <v>1169</v>
      </c>
      <c r="C5213" s="6" t="s">
        <v>116</v>
      </c>
      <c r="D5213" s="13" t="n">
        <v>45117</v>
      </c>
      <c r="E5213" s="14" t="n">
        <v>4671.64</v>
      </c>
      <c r="F5213" s="14" t="n">
        <v>72344.7</v>
      </c>
      <c r="G5213" s="6" t="s">
        <v>2613</v>
      </c>
    </row>
    <row r="5214" customFormat="false" ht="15" hidden="false" customHeight="true" outlineLevel="0" collapsed="false">
      <c r="A5214" s="6" t="s">
        <v>7826</v>
      </c>
      <c r="B5214" s="6" t="s">
        <v>1169</v>
      </c>
      <c r="C5214" s="6" t="s">
        <v>116</v>
      </c>
      <c r="D5214" s="13" t="n">
        <v>45124</v>
      </c>
      <c r="E5214" s="14" t="n">
        <v>2795.54</v>
      </c>
      <c r="F5214" s="14" t="n">
        <v>75140.24</v>
      </c>
      <c r="G5214" s="6" t="s">
        <v>2613</v>
      </c>
    </row>
    <row r="5215" customFormat="false" ht="15" hidden="false" customHeight="true" outlineLevel="0" collapsed="false">
      <c r="A5215" s="6" t="s">
        <v>7827</v>
      </c>
      <c r="B5215" s="6" t="s">
        <v>1169</v>
      </c>
      <c r="C5215" s="6" t="s">
        <v>116</v>
      </c>
      <c r="D5215" s="13" t="n">
        <v>45131</v>
      </c>
      <c r="E5215" s="14" t="n">
        <v>5851.94</v>
      </c>
      <c r="F5215" s="14" t="n">
        <v>80992.18</v>
      </c>
      <c r="G5215" s="6" t="s">
        <v>2623</v>
      </c>
    </row>
    <row r="5216" customFormat="false" ht="15" hidden="false" customHeight="true" outlineLevel="0" collapsed="false">
      <c r="A5216" s="6" t="s">
        <v>7828</v>
      </c>
      <c r="B5216" s="6" t="s">
        <v>1169</v>
      </c>
      <c r="C5216" s="6" t="s">
        <v>116</v>
      </c>
      <c r="D5216" s="13" t="n">
        <v>45138</v>
      </c>
      <c r="E5216" s="14" t="n">
        <v>4062.53</v>
      </c>
      <c r="F5216" s="14" t="n">
        <v>85054.71</v>
      </c>
      <c r="G5216" s="6" t="s">
        <v>2613</v>
      </c>
    </row>
    <row r="5217" customFormat="false" ht="15" hidden="false" customHeight="true" outlineLevel="0" collapsed="false">
      <c r="A5217" s="6" t="s">
        <v>7829</v>
      </c>
      <c r="B5217" s="6" t="s">
        <v>1169</v>
      </c>
      <c r="C5217" s="6" t="s">
        <v>116</v>
      </c>
      <c r="D5217" s="13" t="n">
        <v>45145</v>
      </c>
      <c r="E5217" s="14" t="n">
        <v>3161.4</v>
      </c>
      <c r="F5217" s="14" t="n">
        <v>88216.11</v>
      </c>
      <c r="G5217" s="6" t="s">
        <v>2613</v>
      </c>
    </row>
    <row r="5218" customFormat="false" ht="15" hidden="false" customHeight="true" outlineLevel="0" collapsed="false">
      <c r="A5218" s="6" t="s">
        <v>7830</v>
      </c>
      <c r="B5218" s="6" t="s">
        <v>1169</v>
      </c>
      <c r="C5218" s="6" t="s">
        <v>116</v>
      </c>
      <c r="D5218" s="13" t="n">
        <v>45152</v>
      </c>
      <c r="E5218" s="14" t="n">
        <v>4211.32</v>
      </c>
      <c r="F5218" s="14" t="n">
        <v>92427.43</v>
      </c>
      <c r="G5218" s="6" t="s">
        <v>2613</v>
      </c>
    </row>
    <row r="5219" customFormat="false" ht="15" hidden="false" customHeight="true" outlineLevel="0" collapsed="false">
      <c r="A5219" s="6" t="s">
        <v>7831</v>
      </c>
      <c r="B5219" s="6" t="s">
        <v>1169</v>
      </c>
      <c r="C5219" s="6" t="s">
        <v>116</v>
      </c>
      <c r="D5219" s="13" t="n">
        <v>45159</v>
      </c>
      <c r="E5219" s="14" t="n">
        <v>5640.95</v>
      </c>
      <c r="F5219" s="14" t="n">
        <v>98068.38</v>
      </c>
      <c r="G5219" s="6" t="s">
        <v>2613</v>
      </c>
    </row>
    <row r="5220" customFormat="false" ht="15" hidden="false" customHeight="true" outlineLevel="0" collapsed="false">
      <c r="A5220" s="6" t="s">
        <v>7832</v>
      </c>
      <c r="B5220" s="6" t="s">
        <v>1169</v>
      </c>
      <c r="C5220" s="6" t="s">
        <v>116</v>
      </c>
      <c r="D5220" s="13" t="n">
        <v>45166</v>
      </c>
      <c r="E5220" s="14" t="n">
        <v>3447.41</v>
      </c>
      <c r="F5220" s="14" t="n">
        <v>101515.79</v>
      </c>
      <c r="G5220" s="6" t="s">
        <v>2613</v>
      </c>
    </row>
    <row r="5221" customFormat="false" ht="15" hidden="false" customHeight="true" outlineLevel="0" collapsed="false">
      <c r="A5221" s="6" t="s">
        <v>7833</v>
      </c>
      <c r="B5221" s="6" t="s">
        <v>1169</v>
      </c>
      <c r="C5221" s="6" t="s">
        <v>116</v>
      </c>
      <c r="D5221" s="13" t="n">
        <v>45173</v>
      </c>
      <c r="E5221" s="14" t="n">
        <v>3299.96</v>
      </c>
      <c r="F5221" s="14" t="n">
        <v>104815.75</v>
      </c>
      <c r="G5221" s="6" t="s">
        <v>2613</v>
      </c>
    </row>
    <row r="5222" customFormat="false" ht="15" hidden="false" customHeight="true" outlineLevel="0" collapsed="false">
      <c r="A5222" s="6" t="s">
        <v>7834</v>
      </c>
      <c r="B5222" s="6" t="s">
        <v>1169</v>
      </c>
      <c r="C5222" s="6" t="s">
        <v>116</v>
      </c>
      <c r="D5222" s="13" t="n">
        <v>45180</v>
      </c>
      <c r="E5222" s="14" t="n">
        <v>3977.19</v>
      </c>
      <c r="F5222" s="14" t="n">
        <v>108792.94</v>
      </c>
      <c r="G5222" s="6" t="s">
        <v>2613</v>
      </c>
    </row>
    <row r="5223" customFormat="false" ht="15" hidden="false" customHeight="true" outlineLevel="0" collapsed="false">
      <c r="A5223" s="6" t="s">
        <v>7835</v>
      </c>
      <c r="B5223" s="6" t="s">
        <v>1169</v>
      </c>
      <c r="C5223" s="6" t="s">
        <v>116</v>
      </c>
      <c r="D5223" s="13" t="n">
        <v>45187</v>
      </c>
      <c r="E5223" s="14" t="n">
        <v>4138.36</v>
      </c>
      <c r="F5223" s="14" t="n">
        <v>112931.3</v>
      </c>
      <c r="G5223" s="6" t="s">
        <v>2613</v>
      </c>
    </row>
    <row r="5224" customFormat="false" ht="15" hidden="false" customHeight="true" outlineLevel="0" collapsed="false">
      <c r="A5224" s="6" t="s">
        <v>7836</v>
      </c>
      <c r="B5224" s="6" t="s">
        <v>1169</v>
      </c>
      <c r="C5224" s="6" t="s">
        <v>116</v>
      </c>
      <c r="D5224" s="13" t="n">
        <v>45194</v>
      </c>
      <c r="E5224" s="14" t="n">
        <v>4827.59</v>
      </c>
      <c r="F5224" s="14" t="n">
        <v>117758.89</v>
      </c>
      <c r="G5224" s="6" t="s">
        <v>2613</v>
      </c>
    </row>
    <row r="5225" customFormat="false" ht="15" hidden="false" customHeight="true" outlineLevel="0" collapsed="false">
      <c r="A5225" s="6" t="s">
        <v>7837</v>
      </c>
      <c r="B5225" s="6" t="s">
        <v>1169</v>
      </c>
      <c r="C5225" s="6" t="s">
        <v>116</v>
      </c>
      <c r="D5225" s="13" t="n">
        <v>45201</v>
      </c>
      <c r="E5225" s="14" t="n">
        <v>5115.23</v>
      </c>
      <c r="F5225" s="14" t="n">
        <v>122874.12</v>
      </c>
      <c r="G5225" s="6" t="s">
        <v>2613</v>
      </c>
    </row>
    <row r="5226" customFormat="false" ht="15" hidden="false" customHeight="true" outlineLevel="0" collapsed="false">
      <c r="A5226" s="6" t="s">
        <v>7838</v>
      </c>
      <c r="B5226" s="6" t="s">
        <v>1169</v>
      </c>
      <c r="C5226" s="6" t="s">
        <v>116</v>
      </c>
      <c r="D5226" s="13" t="n">
        <v>45208</v>
      </c>
      <c r="E5226" s="14" t="n">
        <v>5106.75</v>
      </c>
      <c r="F5226" s="14" t="n">
        <v>127980.87</v>
      </c>
      <c r="G5226" s="6" t="s">
        <v>2613</v>
      </c>
    </row>
    <row r="5227" customFormat="false" ht="15" hidden="false" customHeight="true" outlineLevel="0" collapsed="false">
      <c r="A5227" s="6" t="s">
        <v>7839</v>
      </c>
      <c r="B5227" s="6" t="s">
        <v>1169</v>
      </c>
      <c r="C5227" s="6" t="s">
        <v>116</v>
      </c>
      <c r="D5227" s="13" t="n">
        <v>45215</v>
      </c>
      <c r="E5227" s="14" t="n">
        <v>3748</v>
      </c>
      <c r="F5227" s="14" t="n">
        <v>131728.87</v>
      </c>
      <c r="G5227" s="6" t="s">
        <v>2613</v>
      </c>
    </row>
    <row r="5228" customFormat="false" ht="15" hidden="false" customHeight="true" outlineLevel="0" collapsed="false">
      <c r="A5228" s="6" t="s">
        <v>7840</v>
      </c>
      <c r="B5228" s="6" t="s">
        <v>1169</v>
      </c>
      <c r="C5228" s="6" t="s">
        <v>116</v>
      </c>
      <c r="D5228" s="13" t="n">
        <v>45222</v>
      </c>
      <c r="E5228" s="14" t="n">
        <v>9489.93</v>
      </c>
      <c r="F5228" s="14" t="n">
        <v>141218.8</v>
      </c>
      <c r="G5228" s="6" t="s">
        <v>2613</v>
      </c>
    </row>
    <row r="5229" customFormat="false" ht="15" hidden="false" customHeight="true" outlineLevel="0" collapsed="false">
      <c r="A5229" s="6" t="s">
        <v>7841</v>
      </c>
      <c r="B5229" s="6" t="s">
        <v>1171</v>
      </c>
      <c r="C5229" s="6" t="s">
        <v>131</v>
      </c>
      <c r="D5229" s="13" t="n">
        <v>44688</v>
      </c>
      <c r="E5229" s="14" t="n">
        <v>2641.92</v>
      </c>
      <c r="F5229" s="14" t="n">
        <v>2641.92</v>
      </c>
      <c r="G5229" s="6" t="s">
        <v>2613</v>
      </c>
    </row>
    <row r="5230" customFormat="false" ht="15" hidden="false" customHeight="true" outlineLevel="0" collapsed="false">
      <c r="A5230" s="6" t="s">
        <v>7842</v>
      </c>
      <c r="B5230" s="6" t="s">
        <v>1171</v>
      </c>
      <c r="C5230" s="6" t="s">
        <v>131</v>
      </c>
      <c r="D5230" s="13" t="n">
        <v>44695</v>
      </c>
      <c r="E5230" s="14" t="n">
        <v>2542.07</v>
      </c>
      <c r="F5230" s="14" t="n">
        <v>5183.99</v>
      </c>
      <c r="G5230" s="6" t="s">
        <v>2613</v>
      </c>
    </row>
    <row r="5231" customFormat="false" ht="15" hidden="false" customHeight="true" outlineLevel="0" collapsed="false">
      <c r="A5231" s="6" t="s">
        <v>7843</v>
      </c>
      <c r="B5231" s="6" t="s">
        <v>1171</v>
      </c>
      <c r="C5231" s="6" t="s">
        <v>131</v>
      </c>
      <c r="D5231" s="13" t="n">
        <v>44702</v>
      </c>
      <c r="E5231" s="14" t="n">
        <v>1203.07</v>
      </c>
      <c r="F5231" s="14" t="n">
        <v>6387.06</v>
      </c>
      <c r="G5231" s="6" t="s">
        <v>2613</v>
      </c>
    </row>
    <row r="5232" customFormat="false" ht="15" hidden="false" customHeight="true" outlineLevel="0" collapsed="false">
      <c r="A5232" s="6" t="s">
        <v>7844</v>
      </c>
      <c r="B5232" s="6" t="s">
        <v>1171</v>
      </c>
      <c r="C5232" s="6" t="s">
        <v>131</v>
      </c>
      <c r="D5232" s="13" t="n">
        <v>44709</v>
      </c>
      <c r="E5232" s="14" t="n">
        <v>1854.19</v>
      </c>
      <c r="F5232" s="14" t="n">
        <v>8241.25</v>
      </c>
      <c r="G5232" s="6" t="s">
        <v>2613</v>
      </c>
    </row>
    <row r="5233" customFormat="false" ht="15" hidden="false" customHeight="true" outlineLevel="0" collapsed="false">
      <c r="A5233" s="6" t="s">
        <v>7845</v>
      </c>
      <c r="B5233" s="6" t="s">
        <v>1171</v>
      </c>
      <c r="C5233" s="6" t="s">
        <v>131</v>
      </c>
      <c r="D5233" s="13" t="n">
        <v>44716</v>
      </c>
      <c r="E5233" s="14" t="n">
        <v>2238.39</v>
      </c>
      <c r="F5233" s="14" t="n">
        <v>10479.64</v>
      </c>
      <c r="G5233" s="6" t="s">
        <v>2613</v>
      </c>
    </row>
    <row r="5234" customFormat="false" ht="15" hidden="false" customHeight="true" outlineLevel="0" collapsed="false">
      <c r="A5234" s="6" t="s">
        <v>7846</v>
      </c>
      <c r="B5234" s="6" t="s">
        <v>1171</v>
      </c>
      <c r="C5234" s="6" t="s">
        <v>131</v>
      </c>
      <c r="D5234" s="13" t="n">
        <v>44723</v>
      </c>
      <c r="E5234" s="14" t="n">
        <v>2038.21</v>
      </c>
      <c r="F5234" s="14" t="n">
        <v>12517.85</v>
      </c>
      <c r="G5234" s="6" t="s">
        <v>2613</v>
      </c>
    </row>
    <row r="5235" customFormat="false" ht="15" hidden="false" customHeight="true" outlineLevel="0" collapsed="false">
      <c r="A5235" s="6" t="s">
        <v>7847</v>
      </c>
      <c r="B5235" s="6" t="s">
        <v>1171</v>
      </c>
      <c r="C5235" s="6" t="s">
        <v>131</v>
      </c>
      <c r="D5235" s="13" t="n">
        <v>44730</v>
      </c>
      <c r="E5235" s="14" t="n">
        <v>1976.48</v>
      </c>
      <c r="F5235" s="14" t="n">
        <v>14494.33</v>
      </c>
      <c r="G5235" s="6" t="s">
        <v>2613</v>
      </c>
    </row>
    <row r="5236" customFormat="false" ht="15" hidden="false" customHeight="true" outlineLevel="0" collapsed="false">
      <c r="A5236" s="6" t="s">
        <v>7848</v>
      </c>
      <c r="B5236" s="6" t="s">
        <v>1171</v>
      </c>
      <c r="C5236" s="6" t="s">
        <v>131</v>
      </c>
      <c r="D5236" s="13" t="n">
        <v>44737</v>
      </c>
      <c r="E5236" s="14" t="n">
        <v>648.34</v>
      </c>
      <c r="F5236" s="14" t="n">
        <v>15142.67</v>
      </c>
      <c r="G5236" s="6" t="s">
        <v>2613</v>
      </c>
    </row>
    <row r="5237" customFormat="false" ht="15" hidden="false" customHeight="true" outlineLevel="0" collapsed="false">
      <c r="A5237" s="6" t="s">
        <v>7849</v>
      </c>
      <c r="B5237" s="6" t="s">
        <v>1173</v>
      </c>
      <c r="C5237" s="6" t="s">
        <v>116</v>
      </c>
      <c r="D5237" s="13" t="n">
        <v>45741</v>
      </c>
      <c r="E5237" s="14" t="n">
        <v>1052.95</v>
      </c>
      <c r="F5237" s="14" t="n">
        <v>1052.95</v>
      </c>
      <c r="G5237" s="6" t="s">
        <v>2613</v>
      </c>
    </row>
    <row r="5238" customFormat="false" ht="15" hidden="false" customHeight="true" outlineLevel="0" collapsed="false">
      <c r="A5238" s="6" t="s">
        <v>7850</v>
      </c>
      <c r="B5238" s="6" t="s">
        <v>1173</v>
      </c>
      <c r="C5238" s="6" t="s">
        <v>116</v>
      </c>
      <c r="D5238" s="13" t="n">
        <v>45748</v>
      </c>
      <c r="E5238" s="14" t="n">
        <v>763.94</v>
      </c>
      <c r="F5238" s="14" t="n">
        <v>1816.89</v>
      </c>
      <c r="G5238" s="6" t="s">
        <v>2613</v>
      </c>
    </row>
    <row r="5239" customFormat="false" ht="15" hidden="false" customHeight="true" outlineLevel="0" collapsed="false">
      <c r="A5239" s="6" t="s">
        <v>7851</v>
      </c>
      <c r="B5239" s="6" t="s">
        <v>1173</v>
      </c>
      <c r="C5239" s="6" t="s">
        <v>116</v>
      </c>
      <c r="D5239" s="13" t="n">
        <v>45755</v>
      </c>
      <c r="E5239" s="14" t="n">
        <v>926.29</v>
      </c>
      <c r="F5239" s="14" t="n">
        <v>2743.18</v>
      </c>
      <c r="G5239" s="6" t="s">
        <v>2613</v>
      </c>
    </row>
    <row r="5240" customFormat="false" ht="15" hidden="false" customHeight="true" outlineLevel="0" collapsed="false">
      <c r="A5240" s="6" t="s">
        <v>7852</v>
      </c>
      <c r="B5240" s="6" t="s">
        <v>1173</v>
      </c>
      <c r="C5240" s="6" t="s">
        <v>116</v>
      </c>
      <c r="D5240" s="13" t="n">
        <v>45762</v>
      </c>
      <c r="E5240" s="14" t="n">
        <v>1328.31</v>
      </c>
      <c r="F5240" s="14" t="n">
        <v>4071.49</v>
      </c>
      <c r="G5240" s="6" t="s">
        <v>2613</v>
      </c>
    </row>
    <row r="5241" customFormat="false" ht="15" hidden="false" customHeight="true" outlineLevel="0" collapsed="false">
      <c r="A5241" s="6" t="s">
        <v>7853</v>
      </c>
      <c r="B5241" s="6" t="s">
        <v>1173</v>
      </c>
      <c r="C5241" s="6" t="s">
        <v>116</v>
      </c>
      <c r="D5241" s="13" t="n">
        <v>45769</v>
      </c>
      <c r="E5241" s="14" t="n">
        <v>1068.44</v>
      </c>
      <c r="F5241" s="14" t="n">
        <v>5139.93</v>
      </c>
      <c r="G5241" s="6" t="s">
        <v>2613</v>
      </c>
    </row>
    <row r="5242" customFormat="false" ht="15" hidden="false" customHeight="true" outlineLevel="0" collapsed="false">
      <c r="A5242" s="6" t="s">
        <v>7854</v>
      </c>
      <c r="B5242" s="6" t="s">
        <v>1175</v>
      </c>
      <c r="C5242" s="6" t="s">
        <v>128</v>
      </c>
      <c r="D5242" s="13" t="n">
        <v>45436</v>
      </c>
      <c r="E5242" s="14" t="n">
        <v>1846.45</v>
      </c>
      <c r="F5242" s="14" t="n">
        <v>1846.45</v>
      </c>
      <c r="G5242" s="6" t="s">
        <v>2613</v>
      </c>
    </row>
    <row r="5243" customFormat="false" ht="15" hidden="false" customHeight="true" outlineLevel="0" collapsed="false">
      <c r="A5243" s="6" t="s">
        <v>7855</v>
      </c>
      <c r="B5243" s="6" t="s">
        <v>1175</v>
      </c>
      <c r="C5243" s="6" t="s">
        <v>128</v>
      </c>
      <c r="D5243" s="13" t="n">
        <v>45443</v>
      </c>
      <c r="E5243" s="14" t="n">
        <v>1205.87</v>
      </c>
      <c r="F5243" s="14" t="n">
        <v>3052.32</v>
      </c>
      <c r="G5243" s="6" t="s">
        <v>2613</v>
      </c>
    </row>
    <row r="5244" customFormat="false" ht="15" hidden="false" customHeight="true" outlineLevel="0" collapsed="false">
      <c r="A5244" s="6" t="s">
        <v>7856</v>
      </c>
      <c r="B5244" s="6" t="s">
        <v>1175</v>
      </c>
      <c r="C5244" s="6" t="s">
        <v>128</v>
      </c>
      <c r="D5244" s="13" t="n">
        <v>45450</v>
      </c>
      <c r="E5244" s="14" t="n">
        <v>2635.57</v>
      </c>
      <c r="F5244" s="14" t="n">
        <v>5687.89</v>
      </c>
      <c r="G5244" s="6" t="s">
        <v>2613</v>
      </c>
    </row>
    <row r="5245" customFormat="false" ht="15" hidden="false" customHeight="true" outlineLevel="0" collapsed="false">
      <c r="A5245" s="6" t="s">
        <v>7857</v>
      </c>
      <c r="B5245" s="6" t="s">
        <v>1175</v>
      </c>
      <c r="C5245" s="6" t="s">
        <v>128</v>
      </c>
      <c r="D5245" s="13" t="n">
        <v>45457</v>
      </c>
      <c r="E5245" s="14" t="n">
        <v>2653.78</v>
      </c>
      <c r="F5245" s="14" t="n">
        <v>8341.67</v>
      </c>
      <c r="G5245" s="6" t="s">
        <v>2613</v>
      </c>
    </row>
    <row r="5246" customFormat="false" ht="15" hidden="false" customHeight="true" outlineLevel="0" collapsed="false">
      <c r="A5246" s="6" t="s">
        <v>7858</v>
      </c>
      <c r="B5246" s="6" t="s">
        <v>1175</v>
      </c>
      <c r="C5246" s="6" t="s">
        <v>128</v>
      </c>
      <c r="D5246" s="13" t="n">
        <v>45464</v>
      </c>
      <c r="E5246" s="14" t="n">
        <v>1944.45</v>
      </c>
      <c r="F5246" s="14" t="n">
        <v>10286.12</v>
      </c>
      <c r="G5246" s="6" t="s">
        <v>2613</v>
      </c>
    </row>
    <row r="5247" customFormat="false" ht="15" hidden="false" customHeight="true" outlineLevel="0" collapsed="false">
      <c r="A5247" s="6" t="s">
        <v>7859</v>
      </c>
      <c r="B5247" s="6" t="s">
        <v>1175</v>
      </c>
      <c r="C5247" s="6" t="s">
        <v>128</v>
      </c>
      <c r="D5247" s="13" t="n">
        <v>45471</v>
      </c>
      <c r="E5247" s="14" t="n">
        <v>1818.68</v>
      </c>
      <c r="F5247" s="14" t="n">
        <v>12104.8</v>
      </c>
      <c r="G5247" s="6" t="s">
        <v>2613</v>
      </c>
    </row>
    <row r="5248" customFormat="false" ht="15" hidden="false" customHeight="true" outlineLevel="0" collapsed="false">
      <c r="A5248" s="6" t="s">
        <v>7860</v>
      </c>
      <c r="B5248" s="6" t="s">
        <v>1175</v>
      </c>
      <c r="C5248" s="6" t="s">
        <v>128</v>
      </c>
      <c r="D5248" s="13" t="n">
        <v>45478</v>
      </c>
      <c r="E5248" s="14" t="n">
        <v>2371.3</v>
      </c>
      <c r="F5248" s="14" t="n">
        <v>14476.1</v>
      </c>
      <c r="G5248" s="6" t="s">
        <v>2613</v>
      </c>
    </row>
    <row r="5249" customFormat="false" ht="15" hidden="false" customHeight="true" outlineLevel="0" collapsed="false">
      <c r="A5249" s="6" t="s">
        <v>7861</v>
      </c>
      <c r="B5249" s="6" t="s">
        <v>1175</v>
      </c>
      <c r="C5249" s="6" t="s">
        <v>128</v>
      </c>
      <c r="D5249" s="13" t="n">
        <v>45485</v>
      </c>
      <c r="E5249" s="14" t="n">
        <v>1000.01</v>
      </c>
      <c r="F5249" s="14" t="n">
        <v>15476.11</v>
      </c>
      <c r="G5249" s="6" t="s">
        <v>2613</v>
      </c>
    </row>
    <row r="5250" customFormat="false" ht="15" hidden="false" customHeight="true" outlineLevel="0" collapsed="false">
      <c r="A5250" s="6" t="s">
        <v>7862</v>
      </c>
      <c r="B5250" s="6" t="s">
        <v>1177</v>
      </c>
      <c r="C5250" s="6" t="s">
        <v>124</v>
      </c>
      <c r="D5250" s="13" t="n">
        <v>44678</v>
      </c>
      <c r="E5250" s="14" t="n">
        <v>3592.27</v>
      </c>
      <c r="F5250" s="14" t="n">
        <v>3592.27</v>
      </c>
      <c r="G5250" s="6" t="s">
        <v>2613</v>
      </c>
    </row>
    <row r="5251" customFormat="false" ht="15" hidden="false" customHeight="true" outlineLevel="0" collapsed="false">
      <c r="A5251" s="6" t="s">
        <v>7863</v>
      </c>
      <c r="B5251" s="6" t="s">
        <v>1177</v>
      </c>
      <c r="C5251" s="6" t="s">
        <v>124</v>
      </c>
      <c r="D5251" s="13" t="n">
        <v>44685</v>
      </c>
      <c r="E5251" s="14" t="n">
        <v>2653.84</v>
      </c>
      <c r="F5251" s="14" t="n">
        <v>6246.11</v>
      </c>
      <c r="G5251" s="6" t="s">
        <v>2613</v>
      </c>
    </row>
    <row r="5252" customFormat="false" ht="15" hidden="false" customHeight="true" outlineLevel="0" collapsed="false">
      <c r="A5252" s="6" t="s">
        <v>7864</v>
      </c>
      <c r="B5252" s="6" t="s">
        <v>1177</v>
      </c>
      <c r="C5252" s="6" t="s">
        <v>124</v>
      </c>
      <c r="D5252" s="13" t="n">
        <v>44692</v>
      </c>
      <c r="E5252" s="14" t="n">
        <v>2845.23</v>
      </c>
      <c r="F5252" s="14" t="n">
        <v>9091.34</v>
      </c>
      <c r="G5252" s="6" t="s">
        <v>2613</v>
      </c>
    </row>
    <row r="5253" customFormat="false" ht="15" hidden="false" customHeight="true" outlineLevel="0" collapsed="false">
      <c r="A5253" s="6" t="s">
        <v>7865</v>
      </c>
      <c r="B5253" s="6" t="s">
        <v>1177</v>
      </c>
      <c r="C5253" s="6" t="s">
        <v>124</v>
      </c>
      <c r="D5253" s="13" t="n">
        <v>44699</v>
      </c>
      <c r="E5253" s="14" t="n">
        <v>3673.04</v>
      </c>
      <c r="F5253" s="14" t="n">
        <v>12764.38</v>
      </c>
      <c r="G5253" s="6" t="s">
        <v>2613</v>
      </c>
    </row>
    <row r="5254" customFormat="false" ht="15" hidden="false" customHeight="true" outlineLevel="0" collapsed="false">
      <c r="A5254" s="6" t="s">
        <v>7866</v>
      </c>
      <c r="B5254" s="6" t="s">
        <v>1177</v>
      </c>
      <c r="C5254" s="6" t="s">
        <v>124</v>
      </c>
      <c r="D5254" s="13" t="n">
        <v>44706</v>
      </c>
      <c r="E5254" s="14" t="n">
        <v>3753.83</v>
      </c>
      <c r="F5254" s="14" t="n">
        <v>16518.21</v>
      </c>
      <c r="G5254" s="6" t="s">
        <v>2613</v>
      </c>
    </row>
    <row r="5255" customFormat="false" ht="15" hidden="false" customHeight="true" outlineLevel="0" collapsed="false">
      <c r="A5255" s="6" t="s">
        <v>7867</v>
      </c>
      <c r="B5255" s="6" t="s">
        <v>1177</v>
      </c>
      <c r="C5255" s="6" t="s">
        <v>124</v>
      </c>
      <c r="D5255" s="13" t="n">
        <v>44713</v>
      </c>
      <c r="E5255" s="14" t="n">
        <v>3241.2</v>
      </c>
      <c r="F5255" s="14" t="n">
        <v>19759.41</v>
      </c>
      <c r="G5255" s="6" t="s">
        <v>2613</v>
      </c>
    </row>
    <row r="5256" customFormat="false" ht="15" hidden="false" customHeight="true" outlineLevel="0" collapsed="false">
      <c r="A5256" s="6" t="s">
        <v>7868</v>
      </c>
      <c r="B5256" s="6" t="s">
        <v>1177</v>
      </c>
      <c r="C5256" s="6" t="s">
        <v>124</v>
      </c>
      <c r="D5256" s="13" t="n">
        <v>44720</v>
      </c>
      <c r="E5256" s="14" t="n">
        <v>3257.67</v>
      </c>
      <c r="F5256" s="14" t="n">
        <v>23017.08</v>
      </c>
      <c r="G5256" s="6" t="s">
        <v>2623</v>
      </c>
    </row>
    <row r="5257" customFormat="false" ht="15" hidden="false" customHeight="true" outlineLevel="0" collapsed="false">
      <c r="A5257" s="6" t="s">
        <v>7869</v>
      </c>
      <c r="B5257" s="6" t="s">
        <v>1177</v>
      </c>
      <c r="C5257" s="6" t="s">
        <v>124</v>
      </c>
      <c r="D5257" s="13" t="n">
        <v>44727</v>
      </c>
      <c r="E5257" s="14" t="n">
        <v>2376.77</v>
      </c>
      <c r="F5257" s="14" t="n">
        <v>25393.85</v>
      </c>
      <c r="G5257" s="6" t="s">
        <v>2623</v>
      </c>
    </row>
    <row r="5258" customFormat="false" ht="15" hidden="false" customHeight="true" outlineLevel="0" collapsed="false">
      <c r="A5258" s="6" t="s">
        <v>7870</v>
      </c>
      <c r="B5258" s="6" t="s">
        <v>1177</v>
      </c>
      <c r="C5258" s="6" t="s">
        <v>124</v>
      </c>
      <c r="D5258" s="13" t="n">
        <v>44734</v>
      </c>
      <c r="E5258" s="14" t="n">
        <v>3150.48</v>
      </c>
      <c r="F5258" s="14" t="n">
        <v>28544.33</v>
      </c>
      <c r="G5258" s="6" t="s">
        <v>2613</v>
      </c>
    </row>
    <row r="5259" customFormat="false" ht="15" hidden="false" customHeight="true" outlineLevel="0" collapsed="false">
      <c r="A5259" s="6" t="s">
        <v>7871</v>
      </c>
      <c r="B5259" s="6" t="s">
        <v>1177</v>
      </c>
      <c r="C5259" s="6" t="s">
        <v>124</v>
      </c>
      <c r="D5259" s="13" t="n">
        <v>44741</v>
      </c>
      <c r="E5259" s="14" t="n">
        <v>2574.03</v>
      </c>
      <c r="F5259" s="14" t="n">
        <v>31118.36</v>
      </c>
      <c r="G5259" s="6" t="s">
        <v>2613</v>
      </c>
    </row>
    <row r="5260" customFormat="false" ht="15" hidden="false" customHeight="true" outlineLevel="0" collapsed="false">
      <c r="A5260" s="6" t="s">
        <v>7872</v>
      </c>
      <c r="B5260" s="6" t="s">
        <v>1177</v>
      </c>
      <c r="C5260" s="6" t="s">
        <v>124</v>
      </c>
      <c r="D5260" s="13" t="n">
        <v>44748</v>
      </c>
      <c r="E5260" s="14" t="n">
        <v>4894.99</v>
      </c>
      <c r="F5260" s="14" t="n">
        <v>36013.35</v>
      </c>
      <c r="G5260" s="6" t="s">
        <v>2613</v>
      </c>
    </row>
    <row r="5261" customFormat="false" ht="15" hidden="false" customHeight="true" outlineLevel="0" collapsed="false">
      <c r="A5261" s="6" t="s">
        <v>7873</v>
      </c>
      <c r="B5261" s="6" t="s">
        <v>1177</v>
      </c>
      <c r="C5261" s="6" t="s">
        <v>124</v>
      </c>
      <c r="D5261" s="13" t="n">
        <v>44755</v>
      </c>
      <c r="E5261" s="14" t="n">
        <v>9826.02</v>
      </c>
      <c r="F5261" s="14" t="n">
        <v>45839.37</v>
      </c>
      <c r="G5261" s="6" t="s">
        <v>2613</v>
      </c>
    </row>
    <row r="5262" customFormat="false" ht="15" hidden="false" customHeight="true" outlineLevel="0" collapsed="false">
      <c r="A5262" s="6" t="s">
        <v>7874</v>
      </c>
      <c r="B5262" s="6" t="s">
        <v>1179</v>
      </c>
      <c r="C5262" s="6" t="s">
        <v>128</v>
      </c>
      <c r="D5262" s="13" t="n">
        <v>45581</v>
      </c>
      <c r="E5262" s="14" t="n">
        <v>1940.81</v>
      </c>
      <c r="F5262" s="14" t="n">
        <v>1940.81</v>
      </c>
      <c r="G5262" s="6" t="s">
        <v>2613</v>
      </c>
    </row>
    <row r="5263" customFormat="false" ht="15" hidden="false" customHeight="true" outlineLevel="0" collapsed="false">
      <c r="A5263" s="6" t="s">
        <v>7875</v>
      </c>
      <c r="B5263" s="6" t="s">
        <v>1179</v>
      </c>
      <c r="C5263" s="6" t="s">
        <v>128</v>
      </c>
      <c r="D5263" s="13" t="n">
        <v>45588</v>
      </c>
      <c r="E5263" s="14" t="n">
        <v>1607.39</v>
      </c>
      <c r="F5263" s="14" t="n">
        <v>3548.2</v>
      </c>
      <c r="G5263" s="6" t="s">
        <v>2613</v>
      </c>
    </row>
    <row r="5264" customFormat="false" ht="15" hidden="false" customHeight="true" outlineLevel="0" collapsed="false">
      <c r="A5264" s="6" t="s">
        <v>7876</v>
      </c>
      <c r="B5264" s="6" t="s">
        <v>1179</v>
      </c>
      <c r="C5264" s="6" t="s">
        <v>128</v>
      </c>
      <c r="D5264" s="13" t="n">
        <v>45595</v>
      </c>
      <c r="E5264" s="14" t="n">
        <v>1426.49</v>
      </c>
      <c r="F5264" s="14" t="n">
        <v>4974.69</v>
      </c>
      <c r="G5264" s="6" t="s">
        <v>2613</v>
      </c>
    </row>
    <row r="5265" customFormat="false" ht="15" hidden="false" customHeight="true" outlineLevel="0" collapsed="false">
      <c r="A5265" s="6" t="s">
        <v>7877</v>
      </c>
      <c r="B5265" s="6" t="s">
        <v>1179</v>
      </c>
      <c r="C5265" s="6" t="s">
        <v>128</v>
      </c>
      <c r="D5265" s="13" t="n">
        <v>45602</v>
      </c>
      <c r="E5265" s="14" t="n">
        <v>912.24</v>
      </c>
      <c r="F5265" s="14" t="n">
        <v>5886.93</v>
      </c>
      <c r="G5265" s="6" t="s">
        <v>2613</v>
      </c>
    </row>
    <row r="5266" customFormat="false" ht="15" hidden="false" customHeight="true" outlineLevel="0" collapsed="false">
      <c r="A5266" s="6" t="s">
        <v>7878</v>
      </c>
      <c r="B5266" s="6" t="s">
        <v>1179</v>
      </c>
      <c r="C5266" s="6" t="s">
        <v>128</v>
      </c>
      <c r="D5266" s="13" t="n">
        <v>45609</v>
      </c>
      <c r="E5266" s="14" t="n">
        <v>1428.91</v>
      </c>
      <c r="F5266" s="14" t="n">
        <v>7315.84</v>
      </c>
      <c r="G5266" s="6" t="s">
        <v>2613</v>
      </c>
    </row>
    <row r="5267" customFormat="false" ht="15" hidden="false" customHeight="true" outlineLevel="0" collapsed="false">
      <c r="A5267" s="6" t="s">
        <v>7879</v>
      </c>
      <c r="B5267" s="6" t="s">
        <v>1179</v>
      </c>
      <c r="C5267" s="6" t="s">
        <v>128</v>
      </c>
      <c r="D5267" s="13" t="n">
        <v>45616</v>
      </c>
      <c r="E5267" s="14" t="n">
        <v>1384.03</v>
      </c>
      <c r="F5267" s="14" t="n">
        <v>8699.87</v>
      </c>
      <c r="G5267" s="6" t="s">
        <v>2613</v>
      </c>
    </row>
    <row r="5268" customFormat="false" ht="15" hidden="false" customHeight="true" outlineLevel="0" collapsed="false">
      <c r="A5268" s="6" t="s">
        <v>7880</v>
      </c>
      <c r="B5268" s="6" t="s">
        <v>1179</v>
      </c>
      <c r="C5268" s="6" t="s">
        <v>128</v>
      </c>
      <c r="D5268" s="13" t="n">
        <v>45623</v>
      </c>
      <c r="E5268" s="14" t="n">
        <v>1092.02</v>
      </c>
      <c r="F5268" s="14" t="n">
        <v>9791.89</v>
      </c>
      <c r="G5268" s="6" t="s">
        <v>2613</v>
      </c>
    </row>
    <row r="5269" customFormat="false" ht="15" hidden="false" customHeight="true" outlineLevel="0" collapsed="false">
      <c r="A5269" s="6" t="s">
        <v>7881</v>
      </c>
      <c r="B5269" s="6" t="s">
        <v>1179</v>
      </c>
      <c r="C5269" s="6" t="s">
        <v>128</v>
      </c>
      <c r="D5269" s="13" t="n">
        <v>45630</v>
      </c>
      <c r="E5269" s="14" t="n">
        <v>2154.34</v>
      </c>
      <c r="F5269" s="14" t="n">
        <v>11946.23</v>
      </c>
      <c r="G5269" s="6" t="s">
        <v>2623</v>
      </c>
    </row>
    <row r="5270" customFormat="false" ht="15" hidden="false" customHeight="true" outlineLevel="0" collapsed="false">
      <c r="A5270" s="6" t="s">
        <v>7882</v>
      </c>
      <c r="B5270" s="6" t="s">
        <v>1181</v>
      </c>
      <c r="C5270" s="6" t="s">
        <v>131</v>
      </c>
      <c r="D5270" s="13" t="n">
        <v>46110</v>
      </c>
      <c r="E5270" s="14" t="n">
        <v>739.38</v>
      </c>
      <c r="F5270" s="14" t="n">
        <v>739.38</v>
      </c>
      <c r="G5270" s="6" t="s">
        <v>2613</v>
      </c>
    </row>
    <row r="5271" customFormat="false" ht="15" hidden="false" customHeight="true" outlineLevel="0" collapsed="false">
      <c r="A5271" s="6" t="s">
        <v>7883</v>
      </c>
      <c r="B5271" s="6" t="s">
        <v>1181</v>
      </c>
      <c r="C5271" s="6" t="s">
        <v>131</v>
      </c>
      <c r="D5271" s="13" t="n">
        <v>46117</v>
      </c>
      <c r="E5271" s="14" t="n">
        <v>617.39</v>
      </c>
      <c r="F5271" s="14" t="n">
        <v>1356.77</v>
      </c>
      <c r="G5271" s="6" t="s">
        <v>2613</v>
      </c>
    </row>
    <row r="5272" customFormat="false" ht="15" hidden="false" customHeight="true" outlineLevel="0" collapsed="false">
      <c r="A5272" s="6" t="s">
        <v>7884</v>
      </c>
      <c r="B5272" s="6" t="s">
        <v>1181</v>
      </c>
      <c r="C5272" s="6" t="s">
        <v>131</v>
      </c>
      <c r="D5272" s="13" t="n">
        <v>46124</v>
      </c>
      <c r="E5272" s="14" t="n">
        <v>1140.96</v>
      </c>
      <c r="F5272" s="14" t="n">
        <v>2497.73</v>
      </c>
      <c r="G5272" s="6" t="s">
        <v>2613</v>
      </c>
    </row>
    <row r="5273" customFormat="false" ht="15" hidden="false" customHeight="true" outlineLevel="0" collapsed="false">
      <c r="A5273" s="6" t="s">
        <v>7885</v>
      </c>
      <c r="B5273" s="6" t="s">
        <v>1181</v>
      </c>
      <c r="C5273" s="6" t="s">
        <v>131</v>
      </c>
      <c r="D5273" s="13" t="n">
        <v>46131</v>
      </c>
      <c r="E5273" s="14" t="n">
        <v>589.91</v>
      </c>
      <c r="F5273" s="14" t="n">
        <v>3087.64</v>
      </c>
      <c r="G5273" s="6" t="s">
        <v>2613</v>
      </c>
    </row>
    <row r="5274" customFormat="false" ht="15" hidden="false" customHeight="true" outlineLevel="0" collapsed="false">
      <c r="A5274" s="6" t="s">
        <v>7886</v>
      </c>
      <c r="B5274" s="6" t="s">
        <v>1181</v>
      </c>
      <c r="C5274" s="6" t="s">
        <v>131</v>
      </c>
      <c r="D5274" s="13" t="n">
        <v>46138</v>
      </c>
      <c r="E5274" s="14" t="n">
        <v>970.77</v>
      </c>
      <c r="F5274" s="14" t="n">
        <v>4058.41</v>
      </c>
      <c r="G5274" s="6" t="s">
        <v>2613</v>
      </c>
    </row>
    <row r="5275" customFormat="false" ht="15" hidden="false" customHeight="true" outlineLevel="0" collapsed="false">
      <c r="A5275" s="6" t="s">
        <v>7887</v>
      </c>
      <c r="B5275" s="6" t="s">
        <v>1181</v>
      </c>
      <c r="C5275" s="6" t="s">
        <v>131</v>
      </c>
      <c r="D5275" s="13" t="n">
        <v>46145</v>
      </c>
      <c r="E5275" s="14" t="n">
        <v>981.18</v>
      </c>
      <c r="F5275" s="14" t="n">
        <v>5039.59</v>
      </c>
      <c r="G5275" s="6" t="s">
        <v>2613</v>
      </c>
    </row>
    <row r="5276" customFormat="false" ht="15" hidden="false" customHeight="true" outlineLevel="0" collapsed="false">
      <c r="A5276" s="6" t="s">
        <v>7888</v>
      </c>
      <c r="B5276" s="6" t="s">
        <v>1183</v>
      </c>
      <c r="C5276" s="6" t="s">
        <v>120</v>
      </c>
      <c r="D5276" s="13" t="n">
        <v>44972</v>
      </c>
      <c r="E5276" s="14" t="n">
        <v>344.86</v>
      </c>
      <c r="F5276" s="14" t="n">
        <v>344.86</v>
      </c>
      <c r="G5276" s="6" t="s">
        <v>2613</v>
      </c>
    </row>
    <row r="5277" customFormat="false" ht="15" hidden="false" customHeight="true" outlineLevel="0" collapsed="false">
      <c r="A5277" s="6" t="s">
        <v>7889</v>
      </c>
      <c r="B5277" s="6" t="s">
        <v>1183</v>
      </c>
      <c r="C5277" s="6" t="s">
        <v>120</v>
      </c>
      <c r="D5277" s="13" t="n">
        <v>44979</v>
      </c>
      <c r="E5277" s="14" t="n">
        <v>652.82</v>
      </c>
      <c r="F5277" s="14" t="n">
        <v>997.68</v>
      </c>
      <c r="G5277" s="6" t="s">
        <v>2613</v>
      </c>
    </row>
    <row r="5278" customFormat="false" ht="15" hidden="false" customHeight="true" outlineLevel="0" collapsed="false">
      <c r="A5278" s="6" t="s">
        <v>7890</v>
      </c>
      <c r="B5278" s="6" t="s">
        <v>1183</v>
      </c>
      <c r="C5278" s="6" t="s">
        <v>120</v>
      </c>
      <c r="D5278" s="13" t="n">
        <v>44986</v>
      </c>
      <c r="E5278" s="14" t="n">
        <v>401.26</v>
      </c>
      <c r="F5278" s="14" t="n">
        <v>1398.94</v>
      </c>
      <c r="G5278" s="6" t="s">
        <v>2613</v>
      </c>
    </row>
    <row r="5279" customFormat="false" ht="15" hidden="false" customHeight="true" outlineLevel="0" collapsed="false">
      <c r="A5279" s="6" t="s">
        <v>7891</v>
      </c>
      <c r="B5279" s="6" t="s">
        <v>1183</v>
      </c>
      <c r="C5279" s="6" t="s">
        <v>120</v>
      </c>
      <c r="D5279" s="13" t="n">
        <v>44993</v>
      </c>
      <c r="E5279" s="14" t="n">
        <v>587.22</v>
      </c>
      <c r="F5279" s="14" t="n">
        <v>1986.16</v>
      </c>
      <c r="G5279" s="6" t="s">
        <v>2613</v>
      </c>
    </row>
    <row r="5280" customFormat="false" ht="15" hidden="false" customHeight="true" outlineLevel="0" collapsed="false">
      <c r="A5280" s="6" t="s">
        <v>7892</v>
      </c>
      <c r="B5280" s="6" t="s">
        <v>1183</v>
      </c>
      <c r="C5280" s="6" t="s">
        <v>120</v>
      </c>
      <c r="D5280" s="13" t="n">
        <v>45000</v>
      </c>
      <c r="E5280" s="14" t="n">
        <v>481</v>
      </c>
      <c r="F5280" s="14" t="n">
        <v>2467.16</v>
      </c>
      <c r="G5280" s="6" t="s">
        <v>2613</v>
      </c>
    </row>
    <row r="5281" customFormat="false" ht="15" hidden="false" customHeight="true" outlineLevel="0" collapsed="false">
      <c r="A5281" s="6" t="s">
        <v>7893</v>
      </c>
      <c r="B5281" s="6" t="s">
        <v>1183</v>
      </c>
      <c r="C5281" s="6" t="s">
        <v>120</v>
      </c>
      <c r="D5281" s="13" t="n">
        <v>45007</v>
      </c>
      <c r="E5281" s="14" t="n">
        <v>574.85</v>
      </c>
      <c r="F5281" s="14" t="n">
        <v>3042.01</v>
      </c>
      <c r="G5281" s="6" t="s">
        <v>2613</v>
      </c>
    </row>
    <row r="5282" customFormat="false" ht="15" hidden="false" customHeight="true" outlineLevel="0" collapsed="false">
      <c r="A5282" s="6" t="s">
        <v>7894</v>
      </c>
      <c r="B5282" s="6" t="s">
        <v>1183</v>
      </c>
      <c r="C5282" s="6" t="s">
        <v>120</v>
      </c>
      <c r="D5282" s="13" t="n">
        <v>45014</v>
      </c>
      <c r="E5282" s="14" t="n">
        <v>465.31</v>
      </c>
      <c r="F5282" s="14" t="n">
        <v>3507.32</v>
      </c>
      <c r="G5282" s="6" t="s">
        <v>2613</v>
      </c>
    </row>
    <row r="5283" customFormat="false" ht="15" hidden="false" customHeight="true" outlineLevel="0" collapsed="false">
      <c r="A5283" s="6" t="s">
        <v>7895</v>
      </c>
      <c r="B5283" s="6" t="s">
        <v>1183</v>
      </c>
      <c r="C5283" s="6" t="s">
        <v>120</v>
      </c>
      <c r="D5283" s="13" t="n">
        <v>45021</v>
      </c>
      <c r="E5283" s="14" t="n">
        <v>444.92</v>
      </c>
      <c r="F5283" s="14" t="n">
        <v>3952.24</v>
      </c>
      <c r="G5283" s="6" t="s">
        <v>2613</v>
      </c>
    </row>
    <row r="5284" customFormat="false" ht="15" hidden="false" customHeight="true" outlineLevel="0" collapsed="false">
      <c r="A5284" s="6" t="s">
        <v>7896</v>
      </c>
      <c r="B5284" s="6" t="s">
        <v>1183</v>
      </c>
      <c r="C5284" s="6" t="s">
        <v>120</v>
      </c>
      <c r="D5284" s="13" t="n">
        <v>45028</v>
      </c>
      <c r="E5284" s="14" t="n">
        <v>407.27</v>
      </c>
      <c r="F5284" s="14" t="n">
        <v>4359.51</v>
      </c>
      <c r="G5284" s="6" t="s">
        <v>2613</v>
      </c>
    </row>
    <row r="5285" customFormat="false" ht="15" hidden="false" customHeight="true" outlineLevel="0" collapsed="false">
      <c r="A5285" s="6" t="s">
        <v>7897</v>
      </c>
      <c r="B5285" s="6" t="s">
        <v>1185</v>
      </c>
      <c r="C5285" s="6" t="s">
        <v>131</v>
      </c>
      <c r="D5285" s="13" t="n">
        <v>44594</v>
      </c>
      <c r="E5285" s="14" t="n">
        <v>5977.34</v>
      </c>
      <c r="F5285" s="14" t="n">
        <v>5977.34</v>
      </c>
      <c r="G5285" s="6" t="s">
        <v>2613</v>
      </c>
    </row>
    <row r="5286" customFormat="false" ht="15" hidden="false" customHeight="true" outlineLevel="0" collapsed="false">
      <c r="A5286" s="6" t="s">
        <v>7898</v>
      </c>
      <c r="B5286" s="6" t="s">
        <v>1185</v>
      </c>
      <c r="C5286" s="6" t="s">
        <v>131</v>
      </c>
      <c r="D5286" s="13" t="n">
        <v>44601</v>
      </c>
      <c r="E5286" s="14" t="n">
        <v>4256.27</v>
      </c>
      <c r="F5286" s="14" t="n">
        <v>10233.61</v>
      </c>
      <c r="G5286" s="6" t="s">
        <v>2613</v>
      </c>
    </row>
    <row r="5287" customFormat="false" ht="15" hidden="false" customHeight="true" outlineLevel="0" collapsed="false">
      <c r="A5287" s="6" t="s">
        <v>7899</v>
      </c>
      <c r="B5287" s="6" t="s">
        <v>1185</v>
      </c>
      <c r="C5287" s="6" t="s">
        <v>131</v>
      </c>
      <c r="D5287" s="13" t="n">
        <v>44608</v>
      </c>
      <c r="E5287" s="14" t="n">
        <v>2963.61</v>
      </c>
      <c r="F5287" s="14" t="n">
        <v>13197.22</v>
      </c>
      <c r="G5287" s="6" t="s">
        <v>2613</v>
      </c>
    </row>
    <row r="5288" customFormat="false" ht="15" hidden="false" customHeight="true" outlineLevel="0" collapsed="false">
      <c r="A5288" s="6" t="s">
        <v>7900</v>
      </c>
      <c r="B5288" s="6" t="s">
        <v>1185</v>
      </c>
      <c r="C5288" s="6" t="s">
        <v>131</v>
      </c>
      <c r="D5288" s="13" t="n">
        <v>44615</v>
      </c>
      <c r="E5288" s="14" t="n">
        <v>5185.8</v>
      </c>
      <c r="F5288" s="14" t="n">
        <v>18383.02</v>
      </c>
      <c r="G5288" s="6" t="s">
        <v>2623</v>
      </c>
    </row>
    <row r="5289" customFormat="false" ht="15" hidden="false" customHeight="true" outlineLevel="0" collapsed="false">
      <c r="A5289" s="6" t="s">
        <v>7901</v>
      </c>
      <c r="B5289" s="6" t="s">
        <v>1185</v>
      </c>
      <c r="C5289" s="6" t="s">
        <v>131</v>
      </c>
      <c r="D5289" s="13" t="n">
        <v>44622</v>
      </c>
      <c r="E5289" s="14" t="n">
        <v>5086.75</v>
      </c>
      <c r="F5289" s="14" t="n">
        <v>23469.77</v>
      </c>
      <c r="G5289" s="6" t="s">
        <v>2613</v>
      </c>
    </row>
    <row r="5290" customFormat="false" ht="15" hidden="false" customHeight="true" outlineLevel="0" collapsed="false">
      <c r="A5290" s="6" t="s">
        <v>7902</v>
      </c>
      <c r="B5290" s="6" t="s">
        <v>1185</v>
      </c>
      <c r="C5290" s="6" t="s">
        <v>131</v>
      </c>
      <c r="D5290" s="13" t="n">
        <v>44629</v>
      </c>
      <c r="E5290" s="14" t="n">
        <v>3666.76</v>
      </c>
      <c r="F5290" s="14" t="n">
        <v>27136.53</v>
      </c>
      <c r="G5290" s="6" t="s">
        <v>2613</v>
      </c>
    </row>
    <row r="5291" customFormat="false" ht="15" hidden="false" customHeight="true" outlineLevel="0" collapsed="false">
      <c r="A5291" s="6" t="s">
        <v>7903</v>
      </c>
      <c r="B5291" s="6" t="s">
        <v>1185</v>
      </c>
      <c r="C5291" s="6" t="s">
        <v>131</v>
      </c>
      <c r="D5291" s="13" t="n">
        <v>44636</v>
      </c>
      <c r="E5291" s="14" t="n">
        <v>4690.55</v>
      </c>
      <c r="F5291" s="14" t="n">
        <v>31827.08</v>
      </c>
      <c r="G5291" s="6" t="s">
        <v>2613</v>
      </c>
    </row>
    <row r="5292" customFormat="false" ht="15" hidden="false" customHeight="true" outlineLevel="0" collapsed="false">
      <c r="A5292" s="6" t="s">
        <v>7904</v>
      </c>
      <c r="B5292" s="6" t="s">
        <v>1185</v>
      </c>
      <c r="C5292" s="6" t="s">
        <v>131</v>
      </c>
      <c r="D5292" s="13" t="n">
        <v>44643</v>
      </c>
      <c r="E5292" s="14" t="n">
        <v>5143.83</v>
      </c>
      <c r="F5292" s="14" t="n">
        <v>36970.91</v>
      </c>
      <c r="G5292" s="6" t="s">
        <v>2613</v>
      </c>
    </row>
    <row r="5293" customFormat="false" ht="15" hidden="false" customHeight="true" outlineLevel="0" collapsed="false">
      <c r="A5293" s="6" t="s">
        <v>7905</v>
      </c>
      <c r="B5293" s="6" t="s">
        <v>1185</v>
      </c>
      <c r="C5293" s="6" t="s">
        <v>131</v>
      </c>
      <c r="D5293" s="13" t="n">
        <v>44650</v>
      </c>
      <c r="E5293" s="14" t="n">
        <v>5980.99</v>
      </c>
      <c r="F5293" s="14" t="n">
        <v>42951.9</v>
      </c>
      <c r="G5293" s="6" t="s">
        <v>2613</v>
      </c>
    </row>
    <row r="5294" customFormat="false" ht="15" hidden="false" customHeight="true" outlineLevel="0" collapsed="false">
      <c r="A5294" s="6" t="s">
        <v>7906</v>
      </c>
      <c r="B5294" s="6" t="s">
        <v>1185</v>
      </c>
      <c r="C5294" s="6" t="s">
        <v>131</v>
      </c>
      <c r="D5294" s="13" t="n">
        <v>44657</v>
      </c>
      <c r="E5294" s="14" t="n">
        <v>2851.73</v>
      </c>
      <c r="F5294" s="14" t="n">
        <v>45803.63</v>
      </c>
      <c r="G5294" s="6" t="s">
        <v>2613</v>
      </c>
    </row>
    <row r="5295" customFormat="false" ht="15" hidden="false" customHeight="true" outlineLevel="0" collapsed="false">
      <c r="A5295" s="6" t="s">
        <v>7907</v>
      </c>
      <c r="B5295" s="6" t="s">
        <v>1185</v>
      </c>
      <c r="C5295" s="6" t="s">
        <v>131</v>
      </c>
      <c r="D5295" s="13" t="n">
        <v>44664</v>
      </c>
      <c r="E5295" s="14" t="n">
        <v>6038.83</v>
      </c>
      <c r="F5295" s="14" t="n">
        <v>51842.46</v>
      </c>
      <c r="G5295" s="6" t="s">
        <v>2613</v>
      </c>
    </row>
    <row r="5296" customFormat="false" ht="15" hidden="false" customHeight="true" outlineLevel="0" collapsed="false">
      <c r="A5296" s="6" t="s">
        <v>7908</v>
      </c>
      <c r="B5296" s="6" t="s">
        <v>1185</v>
      </c>
      <c r="C5296" s="6" t="s">
        <v>131</v>
      </c>
      <c r="D5296" s="13" t="n">
        <v>44671</v>
      </c>
      <c r="E5296" s="14" t="n">
        <v>5578.72</v>
      </c>
      <c r="F5296" s="14" t="n">
        <v>57421.18</v>
      </c>
      <c r="G5296" s="6" t="s">
        <v>2613</v>
      </c>
    </row>
    <row r="5297" customFormat="false" ht="15" hidden="false" customHeight="true" outlineLevel="0" collapsed="false">
      <c r="A5297" s="6" t="s">
        <v>7909</v>
      </c>
      <c r="B5297" s="6" t="s">
        <v>1185</v>
      </c>
      <c r="C5297" s="6" t="s">
        <v>131</v>
      </c>
      <c r="D5297" s="13" t="n">
        <v>44678</v>
      </c>
      <c r="E5297" s="14" t="n">
        <v>3408.02</v>
      </c>
      <c r="F5297" s="14" t="n">
        <v>60829.2</v>
      </c>
      <c r="G5297" s="6" t="s">
        <v>2613</v>
      </c>
    </row>
    <row r="5298" customFormat="false" ht="15" hidden="false" customHeight="true" outlineLevel="0" collapsed="false">
      <c r="A5298" s="6" t="s">
        <v>7910</v>
      </c>
      <c r="B5298" s="6" t="s">
        <v>1187</v>
      </c>
      <c r="C5298" s="6" t="s">
        <v>124</v>
      </c>
      <c r="D5298" s="13" t="n">
        <v>45305</v>
      </c>
      <c r="E5298" s="14" t="n">
        <v>3196.96</v>
      </c>
      <c r="F5298" s="14" t="n">
        <v>3196.96</v>
      </c>
      <c r="G5298" s="6" t="s">
        <v>2613</v>
      </c>
    </row>
    <row r="5299" customFormat="false" ht="15" hidden="false" customHeight="true" outlineLevel="0" collapsed="false">
      <c r="A5299" s="6" t="s">
        <v>7911</v>
      </c>
      <c r="B5299" s="6" t="s">
        <v>1187</v>
      </c>
      <c r="C5299" s="6" t="s">
        <v>124</v>
      </c>
      <c r="D5299" s="13" t="n">
        <v>45312</v>
      </c>
      <c r="E5299" s="14" t="n">
        <v>2607.07</v>
      </c>
      <c r="F5299" s="14" t="n">
        <v>5804.03</v>
      </c>
      <c r="G5299" s="6" t="s">
        <v>2613</v>
      </c>
    </row>
    <row r="5300" customFormat="false" ht="15" hidden="false" customHeight="true" outlineLevel="0" collapsed="false">
      <c r="A5300" s="6" t="s">
        <v>7912</v>
      </c>
      <c r="B5300" s="6" t="s">
        <v>1187</v>
      </c>
      <c r="C5300" s="6" t="s">
        <v>124</v>
      </c>
      <c r="D5300" s="13" t="n">
        <v>45319</v>
      </c>
      <c r="E5300" s="14" t="n">
        <v>1655.35</v>
      </c>
      <c r="F5300" s="14" t="n">
        <v>7459.38</v>
      </c>
      <c r="G5300" s="6" t="s">
        <v>2613</v>
      </c>
    </row>
    <row r="5301" customFormat="false" ht="15" hidden="false" customHeight="true" outlineLevel="0" collapsed="false">
      <c r="A5301" s="6" t="s">
        <v>7913</v>
      </c>
      <c r="B5301" s="6" t="s">
        <v>1187</v>
      </c>
      <c r="C5301" s="6" t="s">
        <v>124</v>
      </c>
      <c r="D5301" s="13" t="n">
        <v>45326</v>
      </c>
      <c r="E5301" s="14" t="n">
        <v>1962.67</v>
      </c>
      <c r="F5301" s="14" t="n">
        <v>9422.05</v>
      </c>
      <c r="G5301" s="6" t="s">
        <v>2613</v>
      </c>
    </row>
    <row r="5302" customFormat="false" ht="15" hidden="false" customHeight="true" outlineLevel="0" collapsed="false">
      <c r="A5302" s="6" t="s">
        <v>7914</v>
      </c>
      <c r="B5302" s="6" t="s">
        <v>1187</v>
      </c>
      <c r="C5302" s="6" t="s">
        <v>124</v>
      </c>
      <c r="D5302" s="13" t="n">
        <v>45333</v>
      </c>
      <c r="E5302" s="14" t="n">
        <v>2642.35</v>
      </c>
      <c r="F5302" s="14" t="n">
        <v>12064.4</v>
      </c>
      <c r="G5302" s="6" t="s">
        <v>2623</v>
      </c>
    </row>
    <row r="5303" customFormat="false" ht="15" hidden="false" customHeight="true" outlineLevel="0" collapsed="false">
      <c r="A5303" s="6" t="s">
        <v>7915</v>
      </c>
      <c r="B5303" s="6" t="s">
        <v>1187</v>
      </c>
      <c r="C5303" s="6" t="s">
        <v>124</v>
      </c>
      <c r="D5303" s="13" t="n">
        <v>45340</v>
      </c>
      <c r="E5303" s="14" t="n">
        <v>2913.73</v>
      </c>
      <c r="F5303" s="14" t="n">
        <v>14978.13</v>
      </c>
      <c r="G5303" s="6" t="s">
        <v>2613</v>
      </c>
    </row>
    <row r="5304" customFormat="false" ht="15" hidden="false" customHeight="true" outlineLevel="0" collapsed="false">
      <c r="A5304" s="6" t="s">
        <v>7916</v>
      </c>
      <c r="B5304" s="6" t="s">
        <v>1187</v>
      </c>
      <c r="C5304" s="6" t="s">
        <v>124</v>
      </c>
      <c r="D5304" s="13" t="n">
        <v>45347</v>
      </c>
      <c r="E5304" s="14" t="n">
        <v>3145.43</v>
      </c>
      <c r="F5304" s="14" t="n">
        <v>18123.56</v>
      </c>
      <c r="G5304" s="6" t="s">
        <v>2613</v>
      </c>
    </row>
    <row r="5305" customFormat="false" ht="15" hidden="false" customHeight="true" outlineLevel="0" collapsed="false">
      <c r="A5305" s="6" t="s">
        <v>7917</v>
      </c>
      <c r="B5305" s="6" t="s">
        <v>1187</v>
      </c>
      <c r="C5305" s="6" t="s">
        <v>124</v>
      </c>
      <c r="D5305" s="13" t="n">
        <v>45354</v>
      </c>
      <c r="E5305" s="14" t="n">
        <v>2163.62</v>
      </c>
      <c r="F5305" s="14" t="n">
        <v>20287.18</v>
      </c>
      <c r="G5305" s="6" t="s">
        <v>2613</v>
      </c>
    </row>
    <row r="5306" customFormat="false" ht="15" hidden="false" customHeight="true" outlineLevel="0" collapsed="false">
      <c r="A5306" s="6" t="s">
        <v>7918</v>
      </c>
      <c r="B5306" s="6" t="s">
        <v>1189</v>
      </c>
      <c r="C5306" s="6" t="s">
        <v>128</v>
      </c>
      <c r="D5306" s="13" t="n">
        <v>45440</v>
      </c>
      <c r="E5306" s="14" t="n">
        <v>2469.6</v>
      </c>
      <c r="F5306" s="14" t="n">
        <v>2469.6</v>
      </c>
      <c r="G5306" s="6" t="s">
        <v>2613</v>
      </c>
    </row>
    <row r="5307" customFormat="false" ht="15" hidden="false" customHeight="true" outlineLevel="0" collapsed="false">
      <c r="A5307" s="6" t="s">
        <v>7919</v>
      </c>
      <c r="B5307" s="6" t="s">
        <v>1189</v>
      </c>
      <c r="C5307" s="6" t="s">
        <v>128</v>
      </c>
      <c r="D5307" s="13" t="n">
        <v>45447</v>
      </c>
      <c r="E5307" s="14" t="n">
        <v>2450.06</v>
      </c>
      <c r="F5307" s="14" t="n">
        <v>4919.66</v>
      </c>
      <c r="G5307" s="6" t="s">
        <v>2613</v>
      </c>
    </row>
    <row r="5308" customFormat="false" ht="15" hidden="false" customHeight="true" outlineLevel="0" collapsed="false">
      <c r="A5308" s="6" t="s">
        <v>7920</v>
      </c>
      <c r="B5308" s="6" t="s">
        <v>1189</v>
      </c>
      <c r="C5308" s="6" t="s">
        <v>128</v>
      </c>
      <c r="D5308" s="13" t="n">
        <v>45454</v>
      </c>
      <c r="E5308" s="14" t="n">
        <v>1708.64</v>
      </c>
      <c r="F5308" s="14" t="n">
        <v>6628.3</v>
      </c>
      <c r="G5308" s="6" t="s">
        <v>2613</v>
      </c>
    </row>
    <row r="5309" customFormat="false" ht="15" hidden="false" customHeight="true" outlineLevel="0" collapsed="false">
      <c r="A5309" s="6" t="s">
        <v>7921</v>
      </c>
      <c r="B5309" s="6" t="s">
        <v>1189</v>
      </c>
      <c r="C5309" s="6" t="s">
        <v>128</v>
      </c>
      <c r="D5309" s="13" t="n">
        <v>45461</v>
      </c>
      <c r="E5309" s="14" t="n">
        <v>1992.04</v>
      </c>
      <c r="F5309" s="14" t="n">
        <v>8620.34</v>
      </c>
      <c r="G5309" s="6" t="s">
        <v>2613</v>
      </c>
    </row>
    <row r="5310" customFormat="false" ht="15" hidden="false" customHeight="true" outlineLevel="0" collapsed="false">
      <c r="A5310" s="6" t="s">
        <v>7922</v>
      </c>
      <c r="B5310" s="6" t="s">
        <v>1189</v>
      </c>
      <c r="C5310" s="6" t="s">
        <v>128</v>
      </c>
      <c r="D5310" s="13" t="n">
        <v>45468</v>
      </c>
      <c r="E5310" s="14" t="n">
        <v>2568.45</v>
      </c>
      <c r="F5310" s="14" t="n">
        <v>11188.79</v>
      </c>
      <c r="G5310" s="6" t="s">
        <v>2613</v>
      </c>
    </row>
    <row r="5311" customFormat="false" ht="15" hidden="false" customHeight="true" outlineLevel="0" collapsed="false">
      <c r="A5311" s="6" t="s">
        <v>7923</v>
      </c>
      <c r="B5311" s="6" t="s">
        <v>1189</v>
      </c>
      <c r="C5311" s="6" t="s">
        <v>128</v>
      </c>
      <c r="D5311" s="13" t="n">
        <v>45475</v>
      </c>
      <c r="E5311" s="14" t="n">
        <v>2572.07</v>
      </c>
      <c r="F5311" s="14" t="n">
        <v>13760.86</v>
      </c>
      <c r="G5311" s="6" t="s">
        <v>2613</v>
      </c>
    </row>
    <row r="5312" customFormat="false" ht="15" hidden="false" customHeight="true" outlineLevel="0" collapsed="false">
      <c r="A5312" s="6" t="s">
        <v>7924</v>
      </c>
      <c r="B5312" s="6" t="s">
        <v>1189</v>
      </c>
      <c r="C5312" s="6" t="s">
        <v>128</v>
      </c>
      <c r="D5312" s="13" t="n">
        <v>45482</v>
      </c>
      <c r="E5312" s="14" t="n">
        <v>1624.05</v>
      </c>
      <c r="F5312" s="14" t="n">
        <v>15384.91</v>
      </c>
      <c r="G5312" s="6" t="s">
        <v>2613</v>
      </c>
    </row>
    <row r="5313" customFormat="false" ht="15" hidden="false" customHeight="true" outlineLevel="0" collapsed="false">
      <c r="A5313" s="6" t="s">
        <v>7925</v>
      </c>
      <c r="B5313" s="6" t="s">
        <v>1189</v>
      </c>
      <c r="C5313" s="6" t="s">
        <v>128</v>
      </c>
      <c r="D5313" s="13" t="n">
        <v>45489</v>
      </c>
      <c r="E5313" s="14" t="n">
        <v>2524.31</v>
      </c>
      <c r="F5313" s="14" t="n">
        <v>17909.22</v>
      </c>
      <c r="G5313" s="6" t="s">
        <v>2613</v>
      </c>
    </row>
    <row r="5314" customFormat="false" ht="15" hidden="false" customHeight="true" outlineLevel="0" collapsed="false">
      <c r="A5314" s="6" t="s">
        <v>7926</v>
      </c>
      <c r="B5314" s="6" t="s">
        <v>1189</v>
      </c>
      <c r="C5314" s="6" t="s">
        <v>128</v>
      </c>
      <c r="D5314" s="13" t="n">
        <v>45496</v>
      </c>
      <c r="E5314" s="14" t="n">
        <v>2809.5</v>
      </c>
      <c r="F5314" s="14" t="n">
        <v>20718.72</v>
      </c>
      <c r="G5314" s="6" t="s">
        <v>2613</v>
      </c>
    </row>
    <row r="5315" customFormat="false" ht="15" hidden="false" customHeight="true" outlineLevel="0" collapsed="false">
      <c r="A5315" s="6" t="s">
        <v>7927</v>
      </c>
      <c r="B5315" s="6" t="s">
        <v>1189</v>
      </c>
      <c r="C5315" s="6" t="s">
        <v>128</v>
      </c>
      <c r="D5315" s="13" t="n">
        <v>45503</v>
      </c>
      <c r="E5315" s="14" t="n">
        <v>2772.3</v>
      </c>
      <c r="F5315" s="14" t="n">
        <v>23491.02</v>
      </c>
      <c r="G5315" s="6" t="s">
        <v>2613</v>
      </c>
    </row>
    <row r="5316" customFormat="false" ht="15" hidden="false" customHeight="true" outlineLevel="0" collapsed="false">
      <c r="A5316" s="6" t="s">
        <v>7928</v>
      </c>
      <c r="B5316" s="6" t="s">
        <v>1189</v>
      </c>
      <c r="C5316" s="6" t="s">
        <v>128</v>
      </c>
      <c r="D5316" s="13" t="n">
        <v>45510</v>
      </c>
      <c r="E5316" s="14" t="n">
        <v>1496.62</v>
      </c>
      <c r="F5316" s="14" t="n">
        <v>24987.64</v>
      </c>
      <c r="G5316" s="6" t="s">
        <v>2613</v>
      </c>
    </row>
    <row r="5317" customFormat="false" ht="15" hidden="false" customHeight="true" outlineLevel="0" collapsed="false">
      <c r="A5317" s="6" t="s">
        <v>7929</v>
      </c>
      <c r="B5317" s="6" t="s">
        <v>1189</v>
      </c>
      <c r="C5317" s="6" t="s">
        <v>128</v>
      </c>
      <c r="D5317" s="13" t="n">
        <v>45517</v>
      </c>
      <c r="E5317" s="14" t="n">
        <v>1543.06</v>
      </c>
      <c r="F5317" s="14" t="n">
        <v>26530.7</v>
      </c>
      <c r="G5317" s="6" t="s">
        <v>2613</v>
      </c>
    </row>
    <row r="5318" customFormat="false" ht="15" hidden="false" customHeight="true" outlineLevel="0" collapsed="false">
      <c r="A5318" s="6" t="s">
        <v>7930</v>
      </c>
      <c r="B5318" s="6" t="s">
        <v>1189</v>
      </c>
      <c r="C5318" s="6" t="s">
        <v>128</v>
      </c>
      <c r="D5318" s="13" t="n">
        <v>45524</v>
      </c>
      <c r="E5318" s="14" t="n">
        <v>1579.7</v>
      </c>
      <c r="F5318" s="14" t="n">
        <v>28110.4</v>
      </c>
      <c r="G5318" s="6" t="s">
        <v>2613</v>
      </c>
    </row>
    <row r="5319" customFormat="false" ht="15" hidden="false" customHeight="true" outlineLevel="0" collapsed="false">
      <c r="A5319" s="6" t="s">
        <v>7931</v>
      </c>
      <c r="B5319" s="6" t="s">
        <v>1189</v>
      </c>
      <c r="C5319" s="6" t="s">
        <v>128</v>
      </c>
      <c r="D5319" s="13" t="n">
        <v>45531</v>
      </c>
      <c r="E5319" s="14" t="n">
        <v>2057.12</v>
      </c>
      <c r="F5319" s="14" t="n">
        <v>30167.52</v>
      </c>
      <c r="G5319" s="6" t="s">
        <v>2613</v>
      </c>
    </row>
    <row r="5320" customFormat="false" ht="15" hidden="false" customHeight="true" outlineLevel="0" collapsed="false">
      <c r="A5320" s="6" t="s">
        <v>7932</v>
      </c>
      <c r="B5320" s="6" t="s">
        <v>1189</v>
      </c>
      <c r="C5320" s="6" t="s">
        <v>128</v>
      </c>
      <c r="D5320" s="13" t="n">
        <v>45538</v>
      </c>
      <c r="E5320" s="14" t="n">
        <v>2495.39</v>
      </c>
      <c r="F5320" s="14" t="n">
        <v>32662.91</v>
      </c>
      <c r="G5320" s="6" t="s">
        <v>2613</v>
      </c>
    </row>
    <row r="5321" customFormat="false" ht="15" hidden="false" customHeight="true" outlineLevel="0" collapsed="false">
      <c r="A5321" s="6" t="s">
        <v>7933</v>
      </c>
      <c r="B5321" s="6" t="s">
        <v>1189</v>
      </c>
      <c r="C5321" s="6" t="s">
        <v>128</v>
      </c>
      <c r="D5321" s="13" t="n">
        <v>45545</v>
      </c>
      <c r="E5321" s="14" t="n">
        <v>1395.82</v>
      </c>
      <c r="F5321" s="14" t="n">
        <v>34058.73</v>
      </c>
      <c r="G5321" s="6" t="s">
        <v>2613</v>
      </c>
    </row>
    <row r="5322" customFormat="false" ht="15" hidden="false" customHeight="true" outlineLevel="0" collapsed="false">
      <c r="A5322" s="6" t="s">
        <v>7934</v>
      </c>
      <c r="B5322" s="6" t="s">
        <v>1189</v>
      </c>
      <c r="C5322" s="6" t="s">
        <v>128</v>
      </c>
      <c r="D5322" s="13" t="n">
        <v>45552</v>
      </c>
      <c r="E5322" s="14" t="n">
        <v>2102.81</v>
      </c>
      <c r="F5322" s="14" t="n">
        <v>36161.54</v>
      </c>
      <c r="G5322" s="6" t="s">
        <v>2623</v>
      </c>
    </row>
    <row r="5323" customFormat="false" ht="15" hidden="false" customHeight="true" outlineLevel="0" collapsed="false">
      <c r="A5323" s="6" t="s">
        <v>7935</v>
      </c>
      <c r="B5323" s="6" t="s">
        <v>1189</v>
      </c>
      <c r="C5323" s="6" t="s">
        <v>128</v>
      </c>
      <c r="D5323" s="13" t="n">
        <v>45559</v>
      </c>
      <c r="E5323" s="14" t="n">
        <v>241.5</v>
      </c>
      <c r="F5323" s="14" t="n">
        <v>36403.04</v>
      </c>
      <c r="G5323" s="6" t="s">
        <v>2613</v>
      </c>
    </row>
    <row r="5324" customFormat="false" ht="15" hidden="false" customHeight="true" outlineLevel="0" collapsed="false">
      <c r="A5324" s="6" t="s">
        <v>7936</v>
      </c>
      <c r="B5324" s="6" t="s">
        <v>1191</v>
      </c>
      <c r="C5324" s="6" t="s">
        <v>116</v>
      </c>
      <c r="D5324" s="13" t="n">
        <v>44660</v>
      </c>
      <c r="E5324" s="14" t="n">
        <v>2275.62</v>
      </c>
      <c r="F5324" s="14" t="n">
        <v>2275.62</v>
      </c>
      <c r="G5324" s="6" t="s">
        <v>2613</v>
      </c>
    </row>
    <row r="5325" customFormat="false" ht="15" hidden="false" customHeight="true" outlineLevel="0" collapsed="false">
      <c r="A5325" s="6" t="s">
        <v>7937</v>
      </c>
      <c r="B5325" s="6" t="s">
        <v>1191</v>
      </c>
      <c r="C5325" s="6" t="s">
        <v>116</v>
      </c>
      <c r="D5325" s="13" t="n">
        <v>44667</v>
      </c>
      <c r="E5325" s="14" t="n">
        <v>1779.31</v>
      </c>
      <c r="F5325" s="14" t="n">
        <v>4054.93</v>
      </c>
      <c r="G5325" s="6" t="s">
        <v>2613</v>
      </c>
    </row>
    <row r="5326" customFormat="false" ht="15" hidden="false" customHeight="true" outlineLevel="0" collapsed="false">
      <c r="A5326" s="6" t="s">
        <v>7938</v>
      </c>
      <c r="B5326" s="6" t="s">
        <v>1191</v>
      </c>
      <c r="C5326" s="6" t="s">
        <v>116</v>
      </c>
      <c r="D5326" s="13" t="n">
        <v>44674</v>
      </c>
      <c r="E5326" s="14" t="n">
        <v>2637.67</v>
      </c>
      <c r="F5326" s="14" t="n">
        <v>6692.6</v>
      </c>
      <c r="G5326" s="6" t="s">
        <v>2613</v>
      </c>
    </row>
    <row r="5327" customFormat="false" ht="15" hidden="false" customHeight="true" outlineLevel="0" collapsed="false">
      <c r="A5327" s="6" t="s">
        <v>7939</v>
      </c>
      <c r="B5327" s="6" t="s">
        <v>1191</v>
      </c>
      <c r="C5327" s="6" t="s">
        <v>116</v>
      </c>
      <c r="D5327" s="13" t="n">
        <v>44681</v>
      </c>
      <c r="E5327" s="14" t="n">
        <v>2007.65</v>
      </c>
      <c r="F5327" s="14" t="n">
        <v>8700.25</v>
      </c>
      <c r="G5327" s="6" t="s">
        <v>2613</v>
      </c>
    </row>
    <row r="5328" customFormat="false" ht="15" hidden="false" customHeight="true" outlineLevel="0" collapsed="false">
      <c r="A5328" s="6" t="s">
        <v>7940</v>
      </c>
      <c r="B5328" s="6" t="s">
        <v>1191</v>
      </c>
      <c r="C5328" s="6" t="s">
        <v>116</v>
      </c>
      <c r="D5328" s="13" t="n">
        <v>44688</v>
      </c>
      <c r="E5328" s="14" t="n">
        <v>2920.92</v>
      </c>
      <c r="F5328" s="14" t="n">
        <v>11621.17</v>
      </c>
      <c r="G5328" s="6" t="s">
        <v>2613</v>
      </c>
    </row>
    <row r="5329" customFormat="false" ht="15" hidden="false" customHeight="true" outlineLevel="0" collapsed="false">
      <c r="A5329" s="6" t="s">
        <v>7941</v>
      </c>
      <c r="B5329" s="6" t="s">
        <v>1191</v>
      </c>
      <c r="C5329" s="6" t="s">
        <v>116</v>
      </c>
      <c r="D5329" s="13" t="n">
        <v>44695</v>
      </c>
      <c r="E5329" s="14" t="n">
        <v>3300.68</v>
      </c>
      <c r="F5329" s="14" t="n">
        <v>14921.85</v>
      </c>
      <c r="G5329" s="6" t="s">
        <v>2613</v>
      </c>
    </row>
    <row r="5330" customFormat="false" ht="15" hidden="false" customHeight="true" outlineLevel="0" collapsed="false">
      <c r="A5330" s="6" t="s">
        <v>7942</v>
      </c>
      <c r="B5330" s="6" t="s">
        <v>1191</v>
      </c>
      <c r="C5330" s="6" t="s">
        <v>116</v>
      </c>
      <c r="D5330" s="13" t="n">
        <v>44702</v>
      </c>
      <c r="E5330" s="14" t="n">
        <v>3603.85</v>
      </c>
      <c r="F5330" s="14" t="n">
        <v>18525.7</v>
      </c>
      <c r="G5330" s="6" t="s">
        <v>2613</v>
      </c>
    </row>
    <row r="5331" customFormat="false" ht="15" hidden="false" customHeight="true" outlineLevel="0" collapsed="false">
      <c r="A5331" s="6" t="s">
        <v>7943</v>
      </c>
      <c r="B5331" s="6" t="s">
        <v>1191</v>
      </c>
      <c r="C5331" s="6" t="s">
        <v>116</v>
      </c>
      <c r="D5331" s="13" t="n">
        <v>44709</v>
      </c>
      <c r="E5331" s="14" t="n">
        <v>2638.35</v>
      </c>
      <c r="F5331" s="14" t="n">
        <v>21164.05</v>
      </c>
      <c r="G5331" s="6" t="s">
        <v>2623</v>
      </c>
    </row>
    <row r="5332" customFormat="false" ht="15" hidden="false" customHeight="true" outlineLevel="0" collapsed="false">
      <c r="A5332" s="6" t="s">
        <v>7944</v>
      </c>
      <c r="B5332" s="6" t="s">
        <v>1191</v>
      </c>
      <c r="C5332" s="6" t="s">
        <v>116</v>
      </c>
      <c r="D5332" s="13" t="n">
        <v>44716</v>
      </c>
      <c r="E5332" s="14" t="n">
        <v>1935.66</v>
      </c>
      <c r="F5332" s="14" t="n">
        <v>23099.71</v>
      </c>
      <c r="G5332" s="6" t="s">
        <v>2613</v>
      </c>
    </row>
    <row r="5333" customFormat="false" ht="15" hidden="false" customHeight="true" outlineLevel="0" collapsed="false">
      <c r="A5333" s="6" t="s">
        <v>7945</v>
      </c>
      <c r="B5333" s="6" t="s">
        <v>1191</v>
      </c>
      <c r="C5333" s="6" t="s">
        <v>116</v>
      </c>
      <c r="D5333" s="13" t="n">
        <v>44723</v>
      </c>
      <c r="E5333" s="14" t="n">
        <v>2606.86</v>
      </c>
      <c r="F5333" s="14" t="n">
        <v>25706.57</v>
      </c>
      <c r="G5333" s="6" t="s">
        <v>2613</v>
      </c>
    </row>
    <row r="5334" customFormat="false" ht="15" hidden="false" customHeight="true" outlineLevel="0" collapsed="false">
      <c r="A5334" s="6" t="s">
        <v>7946</v>
      </c>
      <c r="B5334" s="6" t="s">
        <v>1191</v>
      </c>
      <c r="C5334" s="6" t="s">
        <v>116</v>
      </c>
      <c r="D5334" s="13" t="n">
        <v>44730</v>
      </c>
      <c r="E5334" s="14" t="n">
        <v>2412.02</v>
      </c>
      <c r="F5334" s="14" t="n">
        <v>28118.59</v>
      </c>
      <c r="G5334" s="6" t="s">
        <v>2613</v>
      </c>
    </row>
    <row r="5335" customFormat="false" ht="15" hidden="false" customHeight="true" outlineLevel="0" collapsed="false">
      <c r="A5335" s="6" t="s">
        <v>7947</v>
      </c>
      <c r="B5335" s="6" t="s">
        <v>1191</v>
      </c>
      <c r="C5335" s="6" t="s">
        <v>116</v>
      </c>
      <c r="D5335" s="13" t="n">
        <v>44737</v>
      </c>
      <c r="E5335" s="14" t="n">
        <v>2287.72</v>
      </c>
      <c r="F5335" s="14" t="n">
        <v>30406.31</v>
      </c>
      <c r="G5335" s="6" t="s">
        <v>2613</v>
      </c>
    </row>
    <row r="5336" customFormat="false" ht="15" hidden="false" customHeight="true" outlineLevel="0" collapsed="false">
      <c r="A5336" s="6" t="s">
        <v>7948</v>
      </c>
      <c r="B5336" s="6" t="s">
        <v>1191</v>
      </c>
      <c r="C5336" s="6" t="s">
        <v>116</v>
      </c>
      <c r="D5336" s="13" t="n">
        <v>44744</v>
      </c>
      <c r="E5336" s="14" t="n">
        <v>3897.63</v>
      </c>
      <c r="F5336" s="14" t="n">
        <v>34303.94</v>
      </c>
      <c r="G5336" s="6" t="s">
        <v>2613</v>
      </c>
    </row>
    <row r="5337" customFormat="false" ht="15" hidden="false" customHeight="true" outlineLevel="0" collapsed="false">
      <c r="A5337" s="6" t="s">
        <v>7949</v>
      </c>
      <c r="B5337" s="6" t="s">
        <v>1191</v>
      </c>
      <c r="C5337" s="6" t="s">
        <v>116</v>
      </c>
      <c r="D5337" s="13" t="n">
        <v>44751</v>
      </c>
      <c r="E5337" s="14" t="n">
        <v>3230.28</v>
      </c>
      <c r="F5337" s="14" t="n">
        <v>37534.22</v>
      </c>
      <c r="G5337" s="6" t="s">
        <v>2623</v>
      </c>
    </row>
    <row r="5338" customFormat="false" ht="15" hidden="false" customHeight="true" outlineLevel="0" collapsed="false">
      <c r="A5338" s="6" t="s">
        <v>7950</v>
      </c>
      <c r="B5338" s="6" t="s">
        <v>1191</v>
      </c>
      <c r="C5338" s="6" t="s">
        <v>116</v>
      </c>
      <c r="D5338" s="13" t="n">
        <v>44758</v>
      </c>
      <c r="E5338" s="14" t="n">
        <v>2926.51</v>
      </c>
      <c r="F5338" s="14" t="n">
        <v>40460.73</v>
      </c>
      <c r="G5338" s="6" t="s">
        <v>2623</v>
      </c>
    </row>
    <row r="5339" customFormat="false" ht="15" hidden="false" customHeight="true" outlineLevel="0" collapsed="false">
      <c r="A5339" s="6" t="s">
        <v>7951</v>
      </c>
      <c r="B5339" s="6" t="s">
        <v>1191</v>
      </c>
      <c r="C5339" s="6" t="s">
        <v>116</v>
      </c>
      <c r="D5339" s="13" t="n">
        <v>44765</v>
      </c>
      <c r="E5339" s="14" t="n">
        <v>2862.09</v>
      </c>
      <c r="F5339" s="14" t="n">
        <v>43322.82</v>
      </c>
      <c r="G5339" s="6" t="s">
        <v>2613</v>
      </c>
    </row>
    <row r="5340" customFormat="false" ht="15" hidden="false" customHeight="true" outlineLevel="0" collapsed="false">
      <c r="A5340" s="6" t="s">
        <v>7952</v>
      </c>
      <c r="B5340" s="6" t="s">
        <v>1191</v>
      </c>
      <c r="C5340" s="6" t="s">
        <v>116</v>
      </c>
      <c r="D5340" s="13" t="n">
        <v>44772</v>
      </c>
      <c r="E5340" s="14" t="n">
        <v>3485.52</v>
      </c>
      <c r="F5340" s="14" t="n">
        <v>46808.34</v>
      </c>
      <c r="G5340" s="6" t="s">
        <v>2613</v>
      </c>
    </row>
    <row r="5341" customFormat="false" ht="15" hidden="false" customHeight="true" outlineLevel="0" collapsed="false">
      <c r="A5341" s="6" t="s">
        <v>7953</v>
      </c>
      <c r="B5341" s="6" t="s">
        <v>1191</v>
      </c>
      <c r="C5341" s="6" t="s">
        <v>116</v>
      </c>
      <c r="D5341" s="13" t="n">
        <v>44779</v>
      </c>
      <c r="E5341" s="14" t="n">
        <v>3231.12</v>
      </c>
      <c r="F5341" s="14" t="n">
        <v>50039.46</v>
      </c>
      <c r="G5341" s="6" t="s">
        <v>2613</v>
      </c>
    </row>
    <row r="5342" customFormat="false" ht="15" hidden="false" customHeight="true" outlineLevel="0" collapsed="false">
      <c r="A5342" s="6" t="s">
        <v>7954</v>
      </c>
      <c r="B5342" s="6" t="s">
        <v>1191</v>
      </c>
      <c r="C5342" s="6" t="s">
        <v>116</v>
      </c>
      <c r="D5342" s="13" t="n">
        <v>44786</v>
      </c>
      <c r="E5342" s="14" t="n">
        <v>2459.78</v>
      </c>
      <c r="F5342" s="14" t="n">
        <v>52499.24</v>
      </c>
      <c r="G5342" s="6" t="s">
        <v>2613</v>
      </c>
    </row>
    <row r="5343" customFormat="false" ht="15" hidden="false" customHeight="true" outlineLevel="0" collapsed="false">
      <c r="A5343" s="6" t="s">
        <v>7955</v>
      </c>
      <c r="B5343" s="6" t="s">
        <v>1191</v>
      </c>
      <c r="C5343" s="6" t="s">
        <v>116</v>
      </c>
      <c r="D5343" s="13" t="n">
        <v>44793</v>
      </c>
      <c r="E5343" s="14" t="n">
        <v>3108.48</v>
      </c>
      <c r="F5343" s="14" t="n">
        <v>55607.72</v>
      </c>
      <c r="G5343" s="6" t="s">
        <v>2613</v>
      </c>
    </row>
    <row r="5344" customFormat="false" ht="15" hidden="false" customHeight="true" outlineLevel="0" collapsed="false">
      <c r="A5344" s="6" t="s">
        <v>7956</v>
      </c>
      <c r="B5344" s="6" t="s">
        <v>1191</v>
      </c>
      <c r="C5344" s="6" t="s">
        <v>116</v>
      </c>
      <c r="D5344" s="13" t="n">
        <v>44800</v>
      </c>
      <c r="E5344" s="14" t="n">
        <v>3576.15</v>
      </c>
      <c r="F5344" s="14" t="n">
        <v>59183.87</v>
      </c>
      <c r="G5344" s="6" t="s">
        <v>2623</v>
      </c>
    </row>
    <row r="5345" customFormat="false" ht="15" hidden="false" customHeight="true" outlineLevel="0" collapsed="false">
      <c r="A5345" s="6" t="s">
        <v>7957</v>
      </c>
      <c r="B5345" s="6" t="s">
        <v>1191</v>
      </c>
      <c r="C5345" s="6" t="s">
        <v>116</v>
      </c>
      <c r="D5345" s="13" t="n">
        <v>44807</v>
      </c>
      <c r="E5345" s="14" t="n">
        <v>4671.51</v>
      </c>
      <c r="F5345" s="14" t="n">
        <v>63855.38</v>
      </c>
      <c r="G5345" s="6" t="s">
        <v>2613</v>
      </c>
    </row>
    <row r="5346" customFormat="false" ht="15" hidden="false" customHeight="true" outlineLevel="0" collapsed="false">
      <c r="A5346" s="6" t="s">
        <v>7958</v>
      </c>
      <c r="B5346" s="6" t="s">
        <v>1193</v>
      </c>
      <c r="C5346" s="6" t="s">
        <v>112</v>
      </c>
      <c r="D5346" s="13" t="n">
        <v>44721</v>
      </c>
      <c r="E5346" s="14" t="n">
        <v>3868.58</v>
      </c>
      <c r="F5346" s="14" t="n">
        <v>3868.58</v>
      </c>
      <c r="G5346" s="6" t="s">
        <v>2613</v>
      </c>
    </row>
    <row r="5347" customFormat="false" ht="15" hidden="false" customHeight="true" outlineLevel="0" collapsed="false">
      <c r="A5347" s="6" t="s">
        <v>7959</v>
      </c>
      <c r="B5347" s="6" t="s">
        <v>1193</v>
      </c>
      <c r="C5347" s="6" t="s">
        <v>112</v>
      </c>
      <c r="D5347" s="13" t="n">
        <v>44728</v>
      </c>
      <c r="E5347" s="14" t="n">
        <v>8003.13</v>
      </c>
      <c r="F5347" s="14" t="n">
        <v>11871.71</v>
      </c>
      <c r="G5347" s="6" t="s">
        <v>2613</v>
      </c>
    </row>
    <row r="5348" customFormat="false" ht="15" hidden="false" customHeight="true" outlineLevel="0" collapsed="false">
      <c r="A5348" s="6" t="s">
        <v>7960</v>
      </c>
      <c r="B5348" s="6" t="s">
        <v>1193</v>
      </c>
      <c r="C5348" s="6" t="s">
        <v>112</v>
      </c>
      <c r="D5348" s="13" t="n">
        <v>44735</v>
      </c>
      <c r="E5348" s="14" t="n">
        <v>4950.29</v>
      </c>
      <c r="F5348" s="14" t="n">
        <v>16822</v>
      </c>
      <c r="G5348" s="6" t="s">
        <v>2623</v>
      </c>
    </row>
    <row r="5349" customFormat="false" ht="15" hidden="false" customHeight="true" outlineLevel="0" collapsed="false">
      <c r="A5349" s="6" t="s">
        <v>7961</v>
      </c>
      <c r="B5349" s="6" t="s">
        <v>1193</v>
      </c>
      <c r="C5349" s="6" t="s">
        <v>112</v>
      </c>
      <c r="D5349" s="13" t="n">
        <v>44742</v>
      </c>
      <c r="E5349" s="14" t="n">
        <v>8042.49</v>
      </c>
      <c r="F5349" s="14" t="n">
        <v>24864.49</v>
      </c>
      <c r="G5349" s="6" t="s">
        <v>2613</v>
      </c>
    </row>
    <row r="5350" customFormat="false" ht="15" hidden="false" customHeight="true" outlineLevel="0" collapsed="false">
      <c r="A5350" s="6" t="s">
        <v>7962</v>
      </c>
      <c r="B5350" s="6" t="s">
        <v>1193</v>
      </c>
      <c r="C5350" s="6" t="s">
        <v>112</v>
      </c>
      <c r="D5350" s="13" t="n">
        <v>44749</v>
      </c>
      <c r="E5350" s="14" t="n">
        <v>5447.4</v>
      </c>
      <c r="F5350" s="14" t="n">
        <v>30311.89</v>
      </c>
      <c r="G5350" s="6" t="s">
        <v>2613</v>
      </c>
    </row>
    <row r="5351" customFormat="false" ht="15" hidden="false" customHeight="true" outlineLevel="0" collapsed="false">
      <c r="A5351" s="6" t="s">
        <v>7963</v>
      </c>
      <c r="B5351" s="6" t="s">
        <v>1193</v>
      </c>
      <c r="C5351" s="6" t="s">
        <v>112</v>
      </c>
      <c r="D5351" s="13" t="n">
        <v>44756</v>
      </c>
      <c r="E5351" s="14" t="n">
        <v>7089.88</v>
      </c>
      <c r="F5351" s="14" t="n">
        <v>37401.77</v>
      </c>
      <c r="G5351" s="6" t="s">
        <v>2613</v>
      </c>
    </row>
    <row r="5352" customFormat="false" ht="15" hidden="false" customHeight="true" outlineLevel="0" collapsed="false">
      <c r="A5352" s="6" t="s">
        <v>7964</v>
      </c>
      <c r="B5352" s="6" t="s">
        <v>1193</v>
      </c>
      <c r="C5352" s="6" t="s">
        <v>112</v>
      </c>
      <c r="D5352" s="13" t="n">
        <v>44763</v>
      </c>
      <c r="E5352" s="14" t="n">
        <v>7978.46</v>
      </c>
      <c r="F5352" s="14" t="n">
        <v>45380.23</v>
      </c>
      <c r="G5352" s="6" t="s">
        <v>2613</v>
      </c>
    </row>
    <row r="5353" customFormat="false" ht="15" hidden="false" customHeight="true" outlineLevel="0" collapsed="false">
      <c r="A5353" s="6" t="s">
        <v>7965</v>
      </c>
      <c r="B5353" s="6" t="s">
        <v>1193</v>
      </c>
      <c r="C5353" s="6" t="s">
        <v>112</v>
      </c>
      <c r="D5353" s="13" t="n">
        <v>44770</v>
      </c>
      <c r="E5353" s="14" t="n">
        <v>8439.98</v>
      </c>
      <c r="F5353" s="14" t="n">
        <v>53820.21</v>
      </c>
      <c r="G5353" s="6" t="s">
        <v>2623</v>
      </c>
    </row>
    <row r="5354" customFormat="false" ht="15" hidden="false" customHeight="true" outlineLevel="0" collapsed="false">
      <c r="A5354" s="6" t="s">
        <v>7966</v>
      </c>
      <c r="B5354" s="6" t="s">
        <v>1193</v>
      </c>
      <c r="C5354" s="6" t="s">
        <v>112</v>
      </c>
      <c r="D5354" s="13" t="n">
        <v>44777</v>
      </c>
      <c r="E5354" s="14" t="n">
        <v>5816.98</v>
      </c>
      <c r="F5354" s="14" t="n">
        <v>59637.19</v>
      </c>
      <c r="G5354" s="6" t="s">
        <v>2613</v>
      </c>
    </row>
    <row r="5355" customFormat="false" ht="15" hidden="false" customHeight="true" outlineLevel="0" collapsed="false">
      <c r="A5355" s="6" t="s">
        <v>7967</v>
      </c>
      <c r="B5355" s="6" t="s">
        <v>1193</v>
      </c>
      <c r="C5355" s="6" t="s">
        <v>112</v>
      </c>
      <c r="D5355" s="13" t="n">
        <v>44784</v>
      </c>
      <c r="E5355" s="14" t="n">
        <v>5582.77</v>
      </c>
      <c r="F5355" s="14" t="n">
        <v>65219.96</v>
      </c>
      <c r="G5355" s="6" t="s">
        <v>2613</v>
      </c>
    </row>
    <row r="5356" customFormat="false" ht="15" hidden="false" customHeight="true" outlineLevel="0" collapsed="false">
      <c r="A5356" s="6" t="s">
        <v>7968</v>
      </c>
      <c r="B5356" s="6" t="s">
        <v>1193</v>
      </c>
      <c r="C5356" s="6" t="s">
        <v>112</v>
      </c>
      <c r="D5356" s="13" t="n">
        <v>44791</v>
      </c>
      <c r="E5356" s="14" t="n">
        <v>8097.51</v>
      </c>
      <c r="F5356" s="14" t="n">
        <v>73317.47</v>
      </c>
      <c r="G5356" s="6" t="s">
        <v>2613</v>
      </c>
    </row>
    <row r="5357" customFormat="false" ht="15" hidden="false" customHeight="true" outlineLevel="0" collapsed="false">
      <c r="A5357" s="6" t="s">
        <v>7969</v>
      </c>
      <c r="B5357" s="6" t="s">
        <v>1193</v>
      </c>
      <c r="C5357" s="6" t="s">
        <v>112</v>
      </c>
      <c r="D5357" s="13" t="n">
        <v>44798</v>
      </c>
      <c r="E5357" s="14" t="n">
        <v>6650.85</v>
      </c>
      <c r="F5357" s="14" t="n">
        <v>79968.32</v>
      </c>
      <c r="G5357" s="6" t="s">
        <v>2623</v>
      </c>
    </row>
    <row r="5358" customFormat="false" ht="15" hidden="false" customHeight="true" outlineLevel="0" collapsed="false">
      <c r="A5358" s="6" t="s">
        <v>7970</v>
      </c>
      <c r="B5358" s="6" t="s">
        <v>1193</v>
      </c>
      <c r="C5358" s="6" t="s">
        <v>112</v>
      </c>
      <c r="D5358" s="13" t="n">
        <v>44805</v>
      </c>
      <c r="E5358" s="14" t="n">
        <v>6634.14</v>
      </c>
      <c r="F5358" s="14" t="n">
        <v>86602.46</v>
      </c>
      <c r="G5358" s="6" t="s">
        <v>2613</v>
      </c>
    </row>
    <row r="5359" customFormat="false" ht="15" hidden="false" customHeight="true" outlineLevel="0" collapsed="false">
      <c r="A5359" s="6" t="s">
        <v>7971</v>
      </c>
      <c r="B5359" s="6" t="s">
        <v>1193</v>
      </c>
      <c r="C5359" s="6" t="s">
        <v>112</v>
      </c>
      <c r="D5359" s="13" t="n">
        <v>44812</v>
      </c>
      <c r="E5359" s="14" t="n">
        <v>6374.26</v>
      </c>
      <c r="F5359" s="14" t="n">
        <v>92976.72</v>
      </c>
      <c r="G5359" s="6" t="s">
        <v>2613</v>
      </c>
    </row>
    <row r="5360" customFormat="false" ht="15" hidden="false" customHeight="true" outlineLevel="0" collapsed="false">
      <c r="A5360" s="6" t="s">
        <v>7972</v>
      </c>
      <c r="B5360" s="6" t="s">
        <v>1193</v>
      </c>
      <c r="C5360" s="6" t="s">
        <v>112</v>
      </c>
      <c r="D5360" s="13" t="n">
        <v>44819</v>
      </c>
      <c r="E5360" s="14" t="n">
        <v>5684.17</v>
      </c>
      <c r="F5360" s="14" t="n">
        <v>98660.89</v>
      </c>
      <c r="G5360" s="6" t="s">
        <v>2613</v>
      </c>
    </row>
    <row r="5361" customFormat="false" ht="15" hidden="false" customHeight="true" outlineLevel="0" collapsed="false">
      <c r="A5361" s="6" t="s">
        <v>7973</v>
      </c>
      <c r="B5361" s="6" t="s">
        <v>1193</v>
      </c>
      <c r="C5361" s="6" t="s">
        <v>112</v>
      </c>
      <c r="D5361" s="13" t="n">
        <v>44826</v>
      </c>
      <c r="E5361" s="14" t="n">
        <v>6336.67</v>
      </c>
      <c r="F5361" s="14" t="n">
        <v>104997.56</v>
      </c>
      <c r="G5361" s="6" t="s">
        <v>2613</v>
      </c>
    </row>
    <row r="5362" customFormat="false" ht="15" hidden="false" customHeight="true" outlineLevel="0" collapsed="false">
      <c r="A5362" s="6" t="s">
        <v>7974</v>
      </c>
      <c r="B5362" s="6" t="s">
        <v>1193</v>
      </c>
      <c r="C5362" s="6" t="s">
        <v>112</v>
      </c>
      <c r="D5362" s="13" t="n">
        <v>44833</v>
      </c>
      <c r="E5362" s="14" t="n">
        <v>7170.83</v>
      </c>
      <c r="F5362" s="14" t="n">
        <v>112168.39</v>
      </c>
      <c r="G5362" s="6" t="s">
        <v>2613</v>
      </c>
    </row>
    <row r="5363" customFormat="false" ht="15" hidden="false" customHeight="true" outlineLevel="0" collapsed="false">
      <c r="A5363" s="6" t="s">
        <v>7975</v>
      </c>
      <c r="B5363" s="6" t="s">
        <v>1193</v>
      </c>
      <c r="C5363" s="6" t="s">
        <v>112</v>
      </c>
      <c r="D5363" s="13" t="n">
        <v>44840</v>
      </c>
      <c r="E5363" s="14" t="n">
        <v>5614.03</v>
      </c>
      <c r="F5363" s="14" t="n">
        <v>117782.42</v>
      </c>
      <c r="G5363" s="6" t="s">
        <v>2613</v>
      </c>
    </row>
    <row r="5364" customFormat="false" ht="15" hidden="false" customHeight="true" outlineLevel="0" collapsed="false">
      <c r="A5364" s="6" t="s">
        <v>7976</v>
      </c>
      <c r="B5364" s="6" t="s">
        <v>1193</v>
      </c>
      <c r="C5364" s="6" t="s">
        <v>112</v>
      </c>
      <c r="D5364" s="13" t="n">
        <v>44847</v>
      </c>
      <c r="E5364" s="14" t="n">
        <v>5875.75</v>
      </c>
      <c r="F5364" s="14" t="n">
        <v>123658.17</v>
      </c>
      <c r="G5364" s="6" t="s">
        <v>2623</v>
      </c>
    </row>
    <row r="5365" customFormat="false" ht="15" hidden="false" customHeight="true" outlineLevel="0" collapsed="false">
      <c r="A5365" s="6" t="s">
        <v>7977</v>
      </c>
      <c r="B5365" s="6" t="s">
        <v>1193</v>
      </c>
      <c r="C5365" s="6" t="s">
        <v>112</v>
      </c>
      <c r="D5365" s="13" t="n">
        <v>44854</v>
      </c>
      <c r="E5365" s="14" t="n">
        <v>4782.19</v>
      </c>
      <c r="F5365" s="14" t="n">
        <v>128440.36</v>
      </c>
      <c r="G5365" s="6" t="s">
        <v>2613</v>
      </c>
    </row>
    <row r="5366" customFormat="false" ht="15" hidden="false" customHeight="true" outlineLevel="0" collapsed="false">
      <c r="A5366" s="6" t="s">
        <v>7978</v>
      </c>
      <c r="B5366" s="6" t="s">
        <v>1193</v>
      </c>
      <c r="C5366" s="6" t="s">
        <v>112</v>
      </c>
      <c r="D5366" s="13" t="n">
        <v>44861</v>
      </c>
      <c r="E5366" s="14" t="n">
        <v>6343.76</v>
      </c>
      <c r="F5366" s="14" t="n">
        <v>134784.12</v>
      </c>
      <c r="G5366" s="6" t="s">
        <v>2613</v>
      </c>
    </row>
    <row r="5367" customFormat="false" ht="15" hidden="false" customHeight="true" outlineLevel="0" collapsed="false">
      <c r="A5367" s="6" t="s">
        <v>7979</v>
      </c>
      <c r="B5367" s="6" t="s">
        <v>1193</v>
      </c>
      <c r="C5367" s="6" t="s">
        <v>112</v>
      </c>
      <c r="D5367" s="13" t="n">
        <v>44868</v>
      </c>
      <c r="E5367" s="14" t="n">
        <v>4927.97</v>
      </c>
      <c r="F5367" s="14" t="n">
        <v>139712.09</v>
      </c>
      <c r="G5367" s="6" t="s">
        <v>2613</v>
      </c>
    </row>
    <row r="5368" customFormat="false" ht="15" hidden="false" customHeight="true" outlineLevel="0" collapsed="false">
      <c r="A5368" s="6" t="s">
        <v>7980</v>
      </c>
      <c r="B5368" s="6" t="s">
        <v>1195</v>
      </c>
      <c r="C5368" s="6" t="s">
        <v>131</v>
      </c>
      <c r="D5368" s="13" t="n">
        <v>45341</v>
      </c>
      <c r="E5368" s="14" t="n">
        <v>2485.69</v>
      </c>
      <c r="F5368" s="14" t="n">
        <v>2485.69</v>
      </c>
      <c r="G5368" s="6" t="s">
        <v>2613</v>
      </c>
    </row>
    <row r="5369" customFormat="false" ht="15" hidden="false" customHeight="true" outlineLevel="0" collapsed="false">
      <c r="A5369" s="6" t="s">
        <v>7981</v>
      </c>
      <c r="B5369" s="6" t="s">
        <v>1195</v>
      </c>
      <c r="C5369" s="6" t="s">
        <v>131</v>
      </c>
      <c r="D5369" s="13" t="n">
        <v>45348</v>
      </c>
      <c r="E5369" s="14" t="n">
        <v>2503.26</v>
      </c>
      <c r="F5369" s="14" t="n">
        <v>4988.95</v>
      </c>
      <c r="G5369" s="6" t="s">
        <v>2613</v>
      </c>
    </row>
    <row r="5370" customFormat="false" ht="15" hidden="false" customHeight="true" outlineLevel="0" collapsed="false">
      <c r="A5370" s="6" t="s">
        <v>7982</v>
      </c>
      <c r="B5370" s="6" t="s">
        <v>1195</v>
      </c>
      <c r="C5370" s="6" t="s">
        <v>131</v>
      </c>
      <c r="D5370" s="13" t="n">
        <v>45355</v>
      </c>
      <c r="E5370" s="14" t="n">
        <v>4293.57</v>
      </c>
      <c r="F5370" s="14" t="n">
        <v>9282.52</v>
      </c>
      <c r="G5370" s="6" t="s">
        <v>2613</v>
      </c>
    </row>
    <row r="5371" customFormat="false" ht="15" hidden="false" customHeight="true" outlineLevel="0" collapsed="false">
      <c r="A5371" s="6" t="s">
        <v>7983</v>
      </c>
      <c r="B5371" s="6" t="s">
        <v>1195</v>
      </c>
      <c r="C5371" s="6" t="s">
        <v>131</v>
      </c>
      <c r="D5371" s="13" t="n">
        <v>45362</v>
      </c>
      <c r="E5371" s="14" t="n">
        <v>4535.39</v>
      </c>
      <c r="F5371" s="14" t="n">
        <v>13817.91</v>
      </c>
      <c r="G5371" s="6" t="s">
        <v>2613</v>
      </c>
    </row>
    <row r="5372" customFormat="false" ht="15" hidden="false" customHeight="true" outlineLevel="0" collapsed="false">
      <c r="A5372" s="6" t="s">
        <v>7984</v>
      </c>
      <c r="B5372" s="6" t="s">
        <v>1195</v>
      </c>
      <c r="C5372" s="6" t="s">
        <v>131</v>
      </c>
      <c r="D5372" s="13" t="n">
        <v>45369</v>
      </c>
      <c r="E5372" s="14" t="n">
        <v>3764.14</v>
      </c>
      <c r="F5372" s="14" t="n">
        <v>17582.05</v>
      </c>
      <c r="G5372" s="6" t="s">
        <v>2613</v>
      </c>
    </row>
    <row r="5373" customFormat="false" ht="15" hidden="false" customHeight="true" outlineLevel="0" collapsed="false">
      <c r="A5373" s="6" t="s">
        <v>7985</v>
      </c>
      <c r="B5373" s="6" t="s">
        <v>1195</v>
      </c>
      <c r="C5373" s="6" t="s">
        <v>131</v>
      </c>
      <c r="D5373" s="13" t="n">
        <v>45376</v>
      </c>
      <c r="E5373" s="14" t="n">
        <v>2656.6</v>
      </c>
      <c r="F5373" s="14" t="n">
        <v>20238.65</v>
      </c>
      <c r="G5373" s="6" t="s">
        <v>2623</v>
      </c>
    </row>
    <row r="5374" customFormat="false" ht="15" hidden="false" customHeight="true" outlineLevel="0" collapsed="false">
      <c r="A5374" s="6" t="s">
        <v>7986</v>
      </c>
      <c r="B5374" s="6" t="s">
        <v>1195</v>
      </c>
      <c r="C5374" s="6" t="s">
        <v>131</v>
      </c>
      <c r="D5374" s="13" t="n">
        <v>45383</v>
      </c>
      <c r="E5374" s="14" t="n">
        <v>4899.82</v>
      </c>
      <c r="F5374" s="14" t="n">
        <v>25138.47</v>
      </c>
      <c r="G5374" s="6" t="s">
        <v>2613</v>
      </c>
    </row>
    <row r="5375" customFormat="false" ht="15" hidden="false" customHeight="true" outlineLevel="0" collapsed="false">
      <c r="A5375" s="6" t="s">
        <v>7987</v>
      </c>
      <c r="B5375" s="6" t="s">
        <v>1195</v>
      </c>
      <c r="C5375" s="6" t="s">
        <v>131</v>
      </c>
      <c r="D5375" s="13" t="n">
        <v>45390</v>
      </c>
      <c r="E5375" s="14" t="n">
        <v>3220.63</v>
      </c>
      <c r="F5375" s="14" t="n">
        <v>28359.1</v>
      </c>
      <c r="G5375" s="6" t="s">
        <v>2623</v>
      </c>
    </row>
    <row r="5376" customFormat="false" ht="15" hidden="false" customHeight="true" outlineLevel="0" collapsed="false">
      <c r="A5376" s="6" t="s">
        <v>7988</v>
      </c>
      <c r="B5376" s="6" t="s">
        <v>1197</v>
      </c>
      <c r="C5376" s="6" t="s">
        <v>128</v>
      </c>
      <c r="D5376" s="13" t="n">
        <v>44753</v>
      </c>
      <c r="E5376" s="14" t="n">
        <v>6562.92</v>
      </c>
      <c r="F5376" s="14" t="n">
        <v>6562.92</v>
      </c>
      <c r="G5376" s="6" t="s">
        <v>2613</v>
      </c>
    </row>
    <row r="5377" customFormat="false" ht="15" hidden="false" customHeight="true" outlineLevel="0" collapsed="false">
      <c r="A5377" s="6" t="s">
        <v>7989</v>
      </c>
      <c r="B5377" s="6" t="s">
        <v>1197</v>
      </c>
      <c r="C5377" s="6" t="s">
        <v>128</v>
      </c>
      <c r="D5377" s="13" t="n">
        <v>44760</v>
      </c>
      <c r="E5377" s="14" t="n">
        <v>9617.81</v>
      </c>
      <c r="F5377" s="14" t="n">
        <v>16180.73</v>
      </c>
      <c r="G5377" s="6" t="s">
        <v>2623</v>
      </c>
    </row>
    <row r="5378" customFormat="false" ht="15" hidden="false" customHeight="true" outlineLevel="0" collapsed="false">
      <c r="A5378" s="6" t="s">
        <v>7990</v>
      </c>
      <c r="B5378" s="6" t="s">
        <v>1197</v>
      </c>
      <c r="C5378" s="6" t="s">
        <v>128</v>
      </c>
      <c r="D5378" s="13" t="n">
        <v>44767</v>
      </c>
      <c r="E5378" s="14" t="n">
        <v>8921.36</v>
      </c>
      <c r="F5378" s="14" t="n">
        <v>25102.09</v>
      </c>
      <c r="G5378" s="6" t="s">
        <v>2613</v>
      </c>
    </row>
    <row r="5379" customFormat="false" ht="15" hidden="false" customHeight="true" outlineLevel="0" collapsed="false">
      <c r="A5379" s="6" t="s">
        <v>7991</v>
      </c>
      <c r="B5379" s="6" t="s">
        <v>1197</v>
      </c>
      <c r="C5379" s="6" t="s">
        <v>128</v>
      </c>
      <c r="D5379" s="13" t="n">
        <v>44774</v>
      </c>
      <c r="E5379" s="14" t="n">
        <v>8159.31</v>
      </c>
      <c r="F5379" s="14" t="n">
        <v>33261.4</v>
      </c>
      <c r="G5379" s="6" t="s">
        <v>2613</v>
      </c>
    </row>
    <row r="5380" customFormat="false" ht="15" hidden="false" customHeight="true" outlineLevel="0" collapsed="false">
      <c r="A5380" s="6" t="s">
        <v>7992</v>
      </c>
      <c r="B5380" s="6" t="s">
        <v>1197</v>
      </c>
      <c r="C5380" s="6" t="s">
        <v>128</v>
      </c>
      <c r="D5380" s="13" t="n">
        <v>44781</v>
      </c>
      <c r="E5380" s="14" t="n">
        <v>8517.46</v>
      </c>
      <c r="F5380" s="14" t="n">
        <v>41778.86</v>
      </c>
      <c r="G5380" s="6" t="s">
        <v>2613</v>
      </c>
    </row>
    <row r="5381" customFormat="false" ht="15" hidden="false" customHeight="true" outlineLevel="0" collapsed="false">
      <c r="A5381" s="6" t="s">
        <v>7993</v>
      </c>
      <c r="B5381" s="6" t="s">
        <v>1197</v>
      </c>
      <c r="C5381" s="6" t="s">
        <v>128</v>
      </c>
      <c r="D5381" s="13" t="n">
        <v>44788</v>
      </c>
      <c r="E5381" s="14" t="n">
        <v>10595.27</v>
      </c>
      <c r="F5381" s="14" t="n">
        <v>52374.13</v>
      </c>
      <c r="G5381" s="6" t="s">
        <v>2613</v>
      </c>
    </row>
    <row r="5382" customFormat="false" ht="15" hidden="false" customHeight="true" outlineLevel="0" collapsed="false">
      <c r="A5382" s="6" t="s">
        <v>7994</v>
      </c>
      <c r="B5382" s="6" t="s">
        <v>1197</v>
      </c>
      <c r="C5382" s="6" t="s">
        <v>128</v>
      </c>
      <c r="D5382" s="13" t="n">
        <v>44795</v>
      </c>
      <c r="E5382" s="14" t="n">
        <v>5812.01</v>
      </c>
      <c r="F5382" s="14" t="n">
        <v>58186.14</v>
      </c>
      <c r="G5382" s="6" t="s">
        <v>2613</v>
      </c>
    </row>
    <row r="5383" customFormat="false" ht="15" hidden="false" customHeight="true" outlineLevel="0" collapsed="false">
      <c r="A5383" s="6" t="s">
        <v>7995</v>
      </c>
      <c r="B5383" s="6" t="s">
        <v>1197</v>
      </c>
      <c r="C5383" s="6" t="s">
        <v>128</v>
      </c>
      <c r="D5383" s="13" t="n">
        <v>44802</v>
      </c>
      <c r="E5383" s="14" t="n">
        <v>10614.45</v>
      </c>
      <c r="F5383" s="14" t="n">
        <v>68800.59</v>
      </c>
      <c r="G5383" s="6" t="s">
        <v>2613</v>
      </c>
    </row>
    <row r="5384" customFormat="false" ht="15" hidden="false" customHeight="true" outlineLevel="0" collapsed="false">
      <c r="A5384" s="6" t="s">
        <v>7996</v>
      </c>
      <c r="B5384" s="6" t="s">
        <v>1197</v>
      </c>
      <c r="C5384" s="6" t="s">
        <v>128</v>
      </c>
      <c r="D5384" s="13" t="n">
        <v>44809</v>
      </c>
      <c r="E5384" s="14" t="n">
        <v>8386.32</v>
      </c>
      <c r="F5384" s="14" t="n">
        <v>77186.91</v>
      </c>
      <c r="G5384" s="6" t="s">
        <v>2613</v>
      </c>
    </row>
    <row r="5385" customFormat="false" ht="15" hidden="false" customHeight="true" outlineLevel="0" collapsed="false">
      <c r="A5385" s="6" t="s">
        <v>7997</v>
      </c>
      <c r="B5385" s="6" t="s">
        <v>1197</v>
      </c>
      <c r="C5385" s="6" t="s">
        <v>128</v>
      </c>
      <c r="D5385" s="13" t="n">
        <v>44816</v>
      </c>
      <c r="E5385" s="14" t="n">
        <v>9018.95</v>
      </c>
      <c r="F5385" s="14" t="n">
        <v>86205.86</v>
      </c>
      <c r="G5385" s="6" t="s">
        <v>2613</v>
      </c>
    </row>
    <row r="5386" customFormat="false" ht="15" hidden="false" customHeight="true" outlineLevel="0" collapsed="false">
      <c r="A5386" s="6" t="s">
        <v>7998</v>
      </c>
      <c r="B5386" s="6" t="s">
        <v>1199</v>
      </c>
      <c r="C5386" s="6" t="s">
        <v>120</v>
      </c>
      <c r="D5386" s="13" t="n">
        <v>45604</v>
      </c>
      <c r="E5386" s="14" t="n">
        <v>4382.61</v>
      </c>
      <c r="F5386" s="14" t="n">
        <v>4382.61</v>
      </c>
      <c r="G5386" s="6" t="s">
        <v>2613</v>
      </c>
    </row>
    <row r="5387" customFormat="false" ht="15" hidden="false" customHeight="true" outlineLevel="0" collapsed="false">
      <c r="A5387" s="6" t="s">
        <v>7999</v>
      </c>
      <c r="B5387" s="6" t="s">
        <v>1199</v>
      </c>
      <c r="C5387" s="6" t="s">
        <v>120</v>
      </c>
      <c r="D5387" s="13" t="n">
        <v>45611</v>
      </c>
      <c r="E5387" s="14" t="n">
        <v>5491.78</v>
      </c>
      <c r="F5387" s="14" t="n">
        <v>9874.39</v>
      </c>
      <c r="G5387" s="6" t="s">
        <v>2613</v>
      </c>
    </row>
    <row r="5388" customFormat="false" ht="15" hidden="false" customHeight="true" outlineLevel="0" collapsed="false">
      <c r="A5388" s="6" t="s">
        <v>8000</v>
      </c>
      <c r="B5388" s="6" t="s">
        <v>1199</v>
      </c>
      <c r="C5388" s="6" t="s">
        <v>120</v>
      </c>
      <c r="D5388" s="13" t="n">
        <v>45618</v>
      </c>
      <c r="E5388" s="14" t="n">
        <v>7178.57</v>
      </c>
      <c r="F5388" s="14" t="n">
        <v>17052.96</v>
      </c>
      <c r="G5388" s="6" t="s">
        <v>2623</v>
      </c>
    </row>
    <row r="5389" customFormat="false" ht="15" hidden="false" customHeight="true" outlineLevel="0" collapsed="false">
      <c r="A5389" s="6" t="s">
        <v>8001</v>
      </c>
      <c r="B5389" s="6" t="s">
        <v>1199</v>
      </c>
      <c r="C5389" s="6" t="s">
        <v>120</v>
      </c>
      <c r="D5389" s="13" t="n">
        <v>45625</v>
      </c>
      <c r="E5389" s="14" t="n">
        <v>7296.6</v>
      </c>
      <c r="F5389" s="14" t="n">
        <v>24349.56</v>
      </c>
      <c r="G5389" s="6" t="s">
        <v>2623</v>
      </c>
    </row>
    <row r="5390" customFormat="false" ht="15" hidden="false" customHeight="true" outlineLevel="0" collapsed="false">
      <c r="A5390" s="6" t="s">
        <v>8002</v>
      </c>
      <c r="B5390" s="6" t="s">
        <v>1199</v>
      </c>
      <c r="C5390" s="6" t="s">
        <v>120</v>
      </c>
      <c r="D5390" s="13" t="n">
        <v>45632</v>
      </c>
      <c r="E5390" s="14" t="n">
        <v>5649.72</v>
      </c>
      <c r="F5390" s="14" t="n">
        <v>29999.28</v>
      </c>
      <c r="G5390" s="6" t="s">
        <v>2613</v>
      </c>
    </row>
    <row r="5391" customFormat="false" ht="15" hidden="false" customHeight="true" outlineLevel="0" collapsed="false">
      <c r="A5391" s="6" t="s">
        <v>8003</v>
      </c>
      <c r="B5391" s="6" t="s">
        <v>1199</v>
      </c>
      <c r="C5391" s="6" t="s">
        <v>120</v>
      </c>
      <c r="D5391" s="13" t="n">
        <v>45639</v>
      </c>
      <c r="E5391" s="14" t="n">
        <v>8103.58</v>
      </c>
      <c r="F5391" s="14" t="n">
        <v>38102.86</v>
      </c>
      <c r="G5391" s="6" t="s">
        <v>2613</v>
      </c>
    </row>
    <row r="5392" customFormat="false" ht="15" hidden="false" customHeight="true" outlineLevel="0" collapsed="false">
      <c r="A5392" s="6" t="s">
        <v>8004</v>
      </c>
      <c r="B5392" s="6" t="s">
        <v>1199</v>
      </c>
      <c r="C5392" s="6" t="s">
        <v>120</v>
      </c>
      <c r="D5392" s="13" t="n">
        <v>45646</v>
      </c>
      <c r="E5392" s="14" t="n">
        <v>8360</v>
      </c>
      <c r="F5392" s="14" t="n">
        <v>46462.86</v>
      </c>
      <c r="G5392" s="6" t="s">
        <v>2613</v>
      </c>
    </row>
    <row r="5393" customFormat="false" ht="15" hidden="false" customHeight="true" outlineLevel="0" collapsed="false">
      <c r="A5393" s="6" t="s">
        <v>8005</v>
      </c>
      <c r="B5393" s="6" t="s">
        <v>1199</v>
      </c>
      <c r="C5393" s="6" t="s">
        <v>120</v>
      </c>
      <c r="D5393" s="13" t="n">
        <v>45653</v>
      </c>
      <c r="E5393" s="14" t="n">
        <v>4725.42</v>
      </c>
      <c r="F5393" s="14" t="n">
        <v>51188.28</v>
      </c>
      <c r="G5393" s="6" t="s">
        <v>2613</v>
      </c>
    </row>
    <row r="5394" customFormat="false" ht="15" hidden="false" customHeight="true" outlineLevel="0" collapsed="false">
      <c r="A5394" s="6" t="s">
        <v>8006</v>
      </c>
      <c r="B5394" s="6" t="s">
        <v>1199</v>
      </c>
      <c r="C5394" s="6" t="s">
        <v>120</v>
      </c>
      <c r="D5394" s="13" t="n">
        <v>45660</v>
      </c>
      <c r="E5394" s="14" t="n">
        <v>7853.57</v>
      </c>
      <c r="F5394" s="14" t="n">
        <v>59041.85</v>
      </c>
      <c r="G5394" s="6" t="s">
        <v>2613</v>
      </c>
    </row>
    <row r="5395" customFormat="false" ht="15" hidden="false" customHeight="true" outlineLevel="0" collapsed="false">
      <c r="A5395" s="6" t="s">
        <v>8007</v>
      </c>
      <c r="B5395" s="6" t="s">
        <v>1199</v>
      </c>
      <c r="C5395" s="6" t="s">
        <v>120</v>
      </c>
      <c r="D5395" s="13" t="n">
        <v>45667</v>
      </c>
      <c r="E5395" s="14" t="n">
        <v>2405.62</v>
      </c>
      <c r="F5395" s="14" t="n">
        <v>61447.47</v>
      </c>
      <c r="G5395" s="6" t="s">
        <v>2613</v>
      </c>
    </row>
    <row r="5396" customFormat="false" ht="15" hidden="false" customHeight="true" outlineLevel="0" collapsed="false">
      <c r="A5396" s="6" t="s">
        <v>8008</v>
      </c>
      <c r="B5396" s="6" t="s">
        <v>1201</v>
      </c>
      <c r="C5396" s="6" t="s">
        <v>116</v>
      </c>
      <c r="D5396" s="13" t="n">
        <v>45627</v>
      </c>
      <c r="E5396" s="14" t="n">
        <v>1654.31</v>
      </c>
      <c r="F5396" s="14" t="n">
        <v>1654.31</v>
      </c>
      <c r="G5396" s="6" t="s">
        <v>2613</v>
      </c>
    </row>
    <row r="5397" customFormat="false" ht="15" hidden="false" customHeight="true" outlineLevel="0" collapsed="false">
      <c r="A5397" s="6" t="s">
        <v>8009</v>
      </c>
      <c r="B5397" s="6" t="s">
        <v>1201</v>
      </c>
      <c r="C5397" s="6" t="s">
        <v>116</v>
      </c>
      <c r="D5397" s="13" t="n">
        <v>45634</v>
      </c>
      <c r="E5397" s="14" t="n">
        <v>999.36</v>
      </c>
      <c r="F5397" s="14" t="n">
        <v>2653.67</v>
      </c>
      <c r="G5397" s="6" t="s">
        <v>2613</v>
      </c>
    </row>
    <row r="5398" customFormat="false" ht="15" hidden="false" customHeight="true" outlineLevel="0" collapsed="false">
      <c r="A5398" s="6" t="s">
        <v>8010</v>
      </c>
      <c r="B5398" s="6" t="s">
        <v>1201</v>
      </c>
      <c r="C5398" s="6" t="s">
        <v>116</v>
      </c>
      <c r="D5398" s="13" t="n">
        <v>45641</v>
      </c>
      <c r="E5398" s="14" t="n">
        <v>1284.91</v>
      </c>
      <c r="F5398" s="14" t="n">
        <v>3938.58</v>
      </c>
      <c r="G5398" s="6" t="s">
        <v>2613</v>
      </c>
    </row>
    <row r="5399" customFormat="false" ht="15" hidden="false" customHeight="true" outlineLevel="0" collapsed="false">
      <c r="A5399" s="6" t="s">
        <v>8011</v>
      </c>
      <c r="B5399" s="6" t="s">
        <v>1201</v>
      </c>
      <c r="C5399" s="6" t="s">
        <v>116</v>
      </c>
      <c r="D5399" s="13" t="n">
        <v>45648</v>
      </c>
      <c r="E5399" s="14" t="n">
        <v>1887.87</v>
      </c>
      <c r="F5399" s="14" t="n">
        <v>5826.45</v>
      </c>
      <c r="G5399" s="6" t="s">
        <v>2613</v>
      </c>
    </row>
    <row r="5400" customFormat="false" ht="15" hidden="false" customHeight="true" outlineLevel="0" collapsed="false">
      <c r="A5400" s="6" t="s">
        <v>8012</v>
      </c>
      <c r="B5400" s="6" t="s">
        <v>1201</v>
      </c>
      <c r="C5400" s="6" t="s">
        <v>116</v>
      </c>
      <c r="D5400" s="13" t="n">
        <v>45655</v>
      </c>
      <c r="E5400" s="14" t="n">
        <v>1266.48</v>
      </c>
      <c r="F5400" s="14" t="n">
        <v>7092.93</v>
      </c>
      <c r="G5400" s="6" t="s">
        <v>2613</v>
      </c>
    </row>
    <row r="5401" customFormat="false" ht="15" hidden="false" customHeight="true" outlineLevel="0" collapsed="false">
      <c r="A5401" s="6" t="s">
        <v>8013</v>
      </c>
      <c r="B5401" s="6" t="s">
        <v>1201</v>
      </c>
      <c r="C5401" s="6" t="s">
        <v>116</v>
      </c>
      <c r="D5401" s="13" t="n">
        <v>45662</v>
      </c>
      <c r="E5401" s="14" t="n">
        <v>912.16</v>
      </c>
      <c r="F5401" s="14" t="n">
        <v>8005.09</v>
      </c>
      <c r="G5401" s="6" t="s">
        <v>2613</v>
      </c>
    </row>
    <row r="5402" customFormat="false" ht="15" hidden="false" customHeight="true" outlineLevel="0" collapsed="false">
      <c r="A5402" s="6" t="s">
        <v>8014</v>
      </c>
      <c r="B5402" s="6" t="s">
        <v>1201</v>
      </c>
      <c r="C5402" s="6" t="s">
        <v>116</v>
      </c>
      <c r="D5402" s="13" t="n">
        <v>45669</v>
      </c>
      <c r="E5402" s="14" t="n">
        <v>1479.96</v>
      </c>
      <c r="F5402" s="14" t="n">
        <v>9485.05</v>
      </c>
      <c r="G5402" s="6" t="s">
        <v>2613</v>
      </c>
    </row>
    <row r="5403" customFormat="false" ht="15" hidden="false" customHeight="true" outlineLevel="0" collapsed="false">
      <c r="A5403" s="6" t="s">
        <v>8015</v>
      </c>
      <c r="B5403" s="6" t="s">
        <v>1201</v>
      </c>
      <c r="C5403" s="6" t="s">
        <v>116</v>
      </c>
      <c r="D5403" s="13" t="n">
        <v>45676</v>
      </c>
      <c r="E5403" s="14" t="n">
        <v>1791.2</v>
      </c>
      <c r="F5403" s="14" t="n">
        <v>11276.25</v>
      </c>
      <c r="G5403" s="6" t="s">
        <v>2613</v>
      </c>
    </row>
    <row r="5404" customFormat="false" ht="15" hidden="false" customHeight="true" outlineLevel="0" collapsed="false">
      <c r="A5404" s="6" t="s">
        <v>8016</v>
      </c>
      <c r="B5404" s="6" t="s">
        <v>1203</v>
      </c>
      <c r="C5404" s="6" t="s">
        <v>112</v>
      </c>
      <c r="D5404" s="13" t="n">
        <v>44949</v>
      </c>
      <c r="E5404" s="14" t="n">
        <v>1028.31</v>
      </c>
      <c r="F5404" s="14" t="n">
        <v>1028.31</v>
      </c>
      <c r="G5404" s="6" t="s">
        <v>2613</v>
      </c>
    </row>
    <row r="5405" customFormat="false" ht="15" hidden="false" customHeight="true" outlineLevel="0" collapsed="false">
      <c r="A5405" s="6" t="s">
        <v>8017</v>
      </c>
      <c r="B5405" s="6" t="s">
        <v>1203</v>
      </c>
      <c r="C5405" s="6" t="s">
        <v>112</v>
      </c>
      <c r="D5405" s="13" t="n">
        <v>44956</v>
      </c>
      <c r="E5405" s="14" t="n">
        <v>2198.84</v>
      </c>
      <c r="F5405" s="14" t="n">
        <v>3227.15</v>
      </c>
      <c r="G5405" s="6" t="s">
        <v>2613</v>
      </c>
    </row>
    <row r="5406" customFormat="false" ht="15" hidden="false" customHeight="true" outlineLevel="0" collapsed="false">
      <c r="A5406" s="6" t="s">
        <v>8018</v>
      </c>
      <c r="B5406" s="6" t="s">
        <v>1203</v>
      </c>
      <c r="C5406" s="6" t="s">
        <v>112</v>
      </c>
      <c r="D5406" s="13" t="n">
        <v>44963</v>
      </c>
      <c r="E5406" s="14" t="n">
        <v>1542.67</v>
      </c>
      <c r="F5406" s="14" t="n">
        <v>4769.82</v>
      </c>
      <c r="G5406" s="6" t="s">
        <v>2613</v>
      </c>
    </row>
    <row r="5407" customFormat="false" ht="15" hidden="false" customHeight="true" outlineLevel="0" collapsed="false">
      <c r="A5407" s="6" t="s">
        <v>8019</v>
      </c>
      <c r="B5407" s="6" t="s">
        <v>1203</v>
      </c>
      <c r="C5407" s="6" t="s">
        <v>112</v>
      </c>
      <c r="D5407" s="13" t="n">
        <v>44970</v>
      </c>
      <c r="E5407" s="14" t="n">
        <v>1148.22</v>
      </c>
      <c r="F5407" s="14" t="n">
        <v>5918.04</v>
      </c>
      <c r="G5407" s="6" t="s">
        <v>2623</v>
      </c>
    </row>
    <row r="5408" customFormat="false" ht="15" hidden="false" customHeight="true" outlineLevel="0" collapsed="false">
      <c r="A5408" s="6" t="s">
        <v>8020</v>
      </c>
      <c r="B5408" s="6" t="s">
        <v>1203</v>
      </c>
      <c r="C5408" s="6" t="s">
        <v>112</v>
      </c>
      <c r="D5408" s="13" t="n">
        <v>44977</v>
      </c>
      <c r="E5408" s="14" t="n">
        <v>1570.9</v>
      </c>
      <c r="F5408" s="14" t="n">
        <v>7488.94</v>
      </c>
      <c r="G5408" s="6" t="s">
        <v>2613</v>
      </c>
    </row>
    <row r="5409" customFormat="false" ht="15" hidden="false" customHeight="true" outlineLevel="0" collapsed="false">
      <c r="A5409" s="6" t="s">
        <v>8021</v>
      </c>
      <c r="B5409" s="6" t="s">
        <v>1203</v>
      </c>
      <c r="C5409" s="6" t="s">
        <v>112</v>
      </c>
      <c r="D5409" s="13" t="n">
        <v>44984</v>
      </c>
      <c r="E5409" s="14" t="n">
        <v>1740.99</v>
      </c>
      <c r="F5409" s="14" t="n">
        <v>9229.93</v>
      </c>
      <c r="G5409" s="6" t="s">
        <v>2613</v>
      </c>
    </row>
    <row r="5410" customFormat="false" ht="15" hidden="false" customHeight="true" outlineLevel="0" collapsed="false">
      <c r="A5410" s="6" t="s">
        <v>8022</v>
      </c>
      <c r="B5410" s="6" t="s">
        <v>1203</v>
      </c>
      <c r="C5410" s="6" t="s">
        <v>112</v>
      </c>
      <c r="D5410" s="13" t="n">
        <v>44991</v>
      </c>
      <c r="E5410" s="14" t="n">
        <v>977.76</v>
      </c>
      <c r="F5410" s="14" t="n">
        <v>10207.69</v>
      </c>
      <c r="G5410" s="6" t="s">
        <v>2613</v>
      </c>
    </row>
    <row r="5411" customFormat="false" ht="15" hidden="false" customHeight="true" outlineLevel="0" collapsed="false">
      <c r="A5411" s="6" t="s">
        <v>8023</v>
      </c>
      <c r="B5411" s="6" t="s">
        <v>1203</v>
      </c>
      <c r="C5411" s="6" t="s">
        <v>112</v>
      </c>
      <c r="D5411" s="13" t="n">
        <v>44998</v>
      </c>
      <c r="E5411" s="14" t="n">
        <v>2145.78</v>
      </c>
      <c r="F5411" s="14" t="n">
        <v>12353.47</v>
      </c>
      <c r="G5411" s="6" t="s">
        <v>2613</v>
      </c>
    </row>
    <row r="5412" customFormat="false" ht="15" hidden="false" customHeight="true" outlineLevel="0" collapsed="false">
      <c r="A5412" s="6" t="s">
        <v>8024</v>
      </c>
      <c r="B5412" s="6" t="s">
        <v>1203</v>
      </c>
      <c r="C5412" s="6" t="s">
        <v>112</v>
      </c>
      <c r="D5412" s="13" t="n">
        <v>45005</v>
      </c>
      <c r="E5412" s="14" t="n">
        <v>1818.73</v>
      </c>
      <c r="F5412" s="14" t="n">
        <v>14172.2</v>
      </c>
      <c r="G5412" s="6" t="s">
        <v>2613</v>
      </c>
    </row>
    <row r="5413" customFormat="false" ht="15" hidden="false" customHeight="true" outlineLevel="0" collapsed="false">
      <c r="A5413" s="6" t="s">
        <v>8025</v>
      </c>
      <c r="B5413" s="6" t="s">
        <v>1203</v>
      </c>
      <c r="C5413" s="6" t="s">
        <v>112</v>
      </c>
      <c r="D5413" s="13" t="n">
        <v>45012</v>
      </c>
      <c r="E5413" s="14" t="n">
        <v>1715.54</v>
      </c>
      <c r="F5413" s="14" t="n">
        <v>15887.74</v>
      </c>
      <c r="G5413" s="6" t="s">
        <v>2613</v>
      </c>
    </row>
    <row r="5414" customFormat="false" ht="15" hidden="false" customHeight="true" outlineLevel="0" collapsed="false">
      <c r="A5414" s="6" t="s">
        <v>8026</v>
      </c>
      <c r="B5414" s="6" t="s">
        <v>1203</v>
      </c>
      <c r="C5414" s="6" t="s">
        <v>112</v>
      </c>
      <c r="D5414" s="13" t="n">
        <v>45019</v>
      </c>
      <c r="E5414" s="14" t="n">
        <v>1893.54</v>
      </c>
      <c r="F5414" s="14" t="n">
        <v>17781.28</v>
      </c>
      <c r="G5414" s="6" t="s">
        <v>2613</v>
      </c>
    </row>
    <row r="5415" customFormat="false" ht="15" hidden="false" customHeight="true" outlineLevel="0" collapsed="false">
      <c r="A5415" s="6" t="s">
        <v>8027</v>
      </c>
      <c r="B5415" s="6" t="s">
        <v>1203</v>
      </c>
      <c r="C5415" s="6" t="s">
        <v>112</v>
      </c>
      <c r="D5415" s="13" t="n">
        <v>45026</v>
      </c>
      <c r="E5415" s="14" t="n">
        <v>1265.92</v>
      </c>
      <c r="F5415" s="14" t="n">
        <v>19047.2</v>
      </c>
      <c r="G5415" s="6" t="s">
        <v>2613</v>
      </c>
    </row>
    <row r="5416" customFormat="false" ht="15" hidden="false" customHeight="true" outlineLevel="0" collapsed="false">
      <c r="A5416" s="6" t="s">
        <v>8028</v>
      </c>
      <c r="B5416" s="6" t="s">
        <v>1203</v>
      </c>
      <c r="C5416" s="6" t="s">
        <v>112</v>
      </c>
      <c r="D5416" s="13" t="n">
        <v>45033</v>
      </c>
      <c r="E5416" s="14" t="n">
        <v>2005.06</v>
      </c>
      <c r="F5416" s="14" t="n">
        <v>21052.26</v>
      </c>
      <c r="G5416" s="6" t="s">
        <v>2613</v>
      </c>
    </row>
    <row r="5417" customFormat="false" ht="15" hidden="false" customHeight="true" outlineLevel="0" collapsed="false">
      <c r="A5417" s="6" t="s">
        <v>8029</v>
      </c>
      <c r="B5417" s="6" t="s">
        <v>1203</v>
      </c>
      <c r="C5417" s="6" t="s">
        <v>112</v>
      </c>
      <c r="D5417" s="13" t="n">
        <v>45040</v>
      </c>
      <c r="E5417" s="14" t="n">
        <v>1507.19</v>
      </c>
      <c r="F5417" s="14" t="n">
        <v>22559.45</v>
      </c>
      <c r="G5417" s="6" t="s">
        <v>2613</v>
      </c>
    </row>
    <row r="5418" customFormat="false" ht="15" hidden="false" customHeight="true" outlineLevel="0" collapsed="false">
      <c r="A5418" s="6" t="s">
        <v>8030</v>
      </c>
      <c r="B5418" s="6" t="s">
        <v>1203</v>
      </c>
      <c r="C5418" s="6" t="s">
        <v>112</v>
      </c>
      <c r="D5418" s="13" t="n">
        <v>45047</v>
      </c>
      <c r="E5418" s="14" t="n">
        <v>1248.22</v>
      </c>
      <c r="F5418" s="14" t="n">
        <v>23807.67</v>
      </c>
      <c r="G5418" s="6" t="s">
        <v>2613</v>
      </c>
    </row>
    <row r="5419" customFormat="false" ht="15" hidden="false" customHeight="true" outlineLevel="0" collapsed="false">
      <c r="A5419" s="6" t="s">
        <v>8031</v>
      </c>
      <c r="B5419" s="6" t="s">
        <v>1203</v>
      </c>
      <c r="C5419" s="6" t="s">
        <v>112</v>
      </c>
      <c r="D5419" s="13" t="n">
        <v>45054</v>
      </c>
      <c r="E5419" s="14" t="n">
        <v>1418.31</v>
      </c>
      <c r="F5419" s="14" t="n">
        <v>25225.98</v>
      </c>
      <c r="G5419" s="6" t="s">
        <v>2613</v>
      </c>
    </row>
    <row r="5420" customFormat="false" ht="15" hidden="false" customHeight="true" outlineLevel="0" collapsed="false">
      <c r="A5420" s="6" t="s">
        <v>8032</v>
      </c>
      <c r="B5420" s="6" t="s">
        <v>1203</v>
      </c>
      <c r="C5420" s="6" t="s">
        <v>112</v>
      </c>
      <c r="D5420" s="13" t="n">
        <v>45061</v>
      </c>
      <c r="E5420" s="14" t="n">
        <v>1333.33</v>
      </c>
      <c r="F5420" s="14" t="n">
        <v>26559.31</v>
      </c>
      <c r="G5420" s="6" t="s">
        <v>2613</v>
      </c>
    </row>
    <row r="5421" customFormat="false" ht="15" hidden="false" customHeight="true" outlineLevel="0" collapsed="false">
      <c r="A5421" s="6" t="s">
        <v>8033</v>
      </c>
      <c r="B5421" s="6" t="s">
        <v>1203</v>
      </c>
      <c r="C5421" s="6" t="s">
        <v>112</v>
      </c>
      <c r="D5421" s="13" t="n">
        <v>45068</v>
      </c>
      <c r="E5421" s="14" t="n">
        <v>1121.53</v>
      </c>
      <c r="F5421" s="14" t="n">
        <v>27680.84</v>
      </c>
      <c r="G5421" s="6" t="s">
        <v>2613</v>
      </c>
    </row>
    <row r="5422" customFormat="false" ht="15" hidden="false" customHeight="true" outlineLevel="0" collapsed="false">
      <c r="A5422" s="6" t="s">
        <v>8034</v>
      </c>
      <c r="B5422" s="6" t="s">
        <v>1203</v>
      </c>
      <c r="C5422" s="6" t="s">
        <v>112</v>
      </c>
      <c r="D5422" s="13" t="n">
        <v>45075</v>
      </c>
      <c r="E5422" s="14" t="n">
        <v>1085.93</v>
      </c>
      <c r="F5422" s="14" t="n">
        <v>28766.77</v>
      </c>
      <c r="G5422" s="6" t="s">
        <v>2613</v>
      </c>
    </row>
    <row r="5423" customFormat="false" ht="15" hidden="false" customHeight="true" outlineLevel="0" collapsed="false">
      <c r="A5423" s="6" t="s">
        <v>8035</v>
      </c>
      <c r="B5423" s="6" t="s">
        <v>1203</v>
      </c>
      <c r="C5423" s="6" t="s">
        <v>112</v>
      </c>
      <c r="D5423" s="13" t="n">
        <v>45082</v>
      </c>
      <c r="E5423" s="14" t="n">
        <v>1905.94</v>
      </c>
      <c r="F5423" s="14" t="n">
        <v>30672.71</v>
      </c>
      <c r="G5423" s="6" t="s">
        <v>2613</v>
      </c>
    </row>
    <row r="5424" customFormat="false" ht="15" hidden="false" customHeight="true" outlineLevel="0" collapsed="false">
      <c r="A5424" s="6" t="s">
        <v>8036</v>
      </c>
      <c r="B5424" s="6" t="s">
        <v>1203</v>
      </c>
      <c r="C5424" s="6" t="s">
        <v>112</v>
      </c>
      <c r="D5424" s="13" t="n">
        <v>45089</v>
      </c>
      <c r="E5424" s="14" t="n">
        <v>2238.23</v>
      </c>
      <c r="F5424" s="14" t="n">
        <v>32910.94</v>
      </c>
      <c r="G5424" s="6" t="s">
        <v>2613</v>
      </c>
    </row>
    <row r="5425" customFormat="false" ht="15" hidden="false" customHeight="true" outlineLevel="0" collapsed="false">
      <c r="A5425" s="6" t="s">
        <v>8037</v>
      </c>
      <c r="B5425" s="6" t="s">
        <v>1203</v>
      </c>
      <c r="C5425" s="6" t="s">
        <v>112</v>
      </c>
      <c r="D5425" s="13" t="n">
        <v>45096</v>
      </c>
      <c r="E5425" s="14" t="n">
        <v>2721.38</v>
      </c>
      <c r="F5425" s="14" t="n">
        <v>35632.32</v>
      </c>
      <c r="G5425" s="6" t="s">
        <v>2613</v>
      </c>
    </row>
    <row r="5426" customFormat="false" ht="15" hidden="false" customHeight="true" outlineLevel="0" collapsed="false">
      <c r="A5426" s="6" t="s">
        <v>8038</v>
      </c>
      <c r="B5426" s="6" t="s">
        <v>1205</v>
      </c>
      <c r="C5426" s="6" t="s">
        <v>128</v>
      </c>
      <c r="D5426" s="13" t="n">
        <v>45394</v>
      </c>
      <c r="E5426" s="14" t="n">
        <v>4180.53</v>
      </c>
      <c r="F5426" s="14" t="n">
        <v>4180.53</v>
      </c>
      <c r="G5426" s="6" t="s">
        <v>2613</v>
      </c>
    </row>
    <row r="5427" customFormat="false" ht="15" hidden="false" customHeight="true" outlineLevel="0" collapsed="false">
      <c r="A5427" s="6" t="s">
        <v>8039</v>
      </c>
      <c r="B5427" s="6" t="s">
        <v>1205</v>
      </c>
      <c r="C5427" s="6" t="s">
        <v>128</v>
      </c>
      <c r="D5427" s="13" t="n">
        <v>45401</v>
      </c>
      <c r="E5427" s="14" t="n">
        <v>5905.04</v>
      </c>
      <c r="F5427" s="14" t="n">
        <v>10085.57</v>
      </c>
      <c r="G5427" s="6" t="s">
        <v>2613</v>
      </c>
    </row>
    <row r="5428" customFormat="false" ht="15" hidden="false" customHeight="true" outlineLevel="0" collapsed="false">
      <c r="A5428" s="6" t="s">
        <v>8040</v>
      </c>
      <c r="B5428" s="6" t="s">
        <v>1205</v>
      </c>
      <c r="C5428" s="6" t="s">
        <v>128</v>
      </c>
      <c r="D5428" s="13" t="n">
        <v>45408</v>
      </c>
      <c r="E5428" s="14" t="n">
        <v>5073.07</v>
      </c>
      <c r="F5428" s="14" t="n">
        <v>15158.64</v>
      </c>
      <c r="G5428" s="6" t="s">
        <v>2613</v>
      </c>
    </row>
    <row r="5429" customFormat="false" ht="15" hidden="false" customHeight="true" outlineLevel="0" collapsed="false">
      <c r="A5429" s="6" t="s">
        <v>8041</v>
      </c>
      <c r="B5429" s="6" t="s">
        <v>1205</v>
      </c>
      <c r="C5429" s="6" t="s">
        <v>128</v>
      </c>
      <c r="D5429" s="13" t="n">
        <v>45415</v>
      </c>
      <c r="E5429" s="14" t="n">
        <v>4371.83</v>
      </c>
      <c r="F5429" s="14" t="n">
        <v>19530.47</v>
      </c>
      <c r="G5429" s="6" t="s">
        <v>2613</v>
      </c>
    </row>
    <row r="5430" customFormat="false" ht="15" hidden="false" customHeight="true" outlineLevel="0" collapsed="false">
      <c r="A5430" s="6" t="s">
        <v>8042</v>
      </c>
      <c r="B5430" s="6" t="s">
        <v>1205</v>
      </c>
      <c r="C5430" s="6" t="s">
        <v>128</v>
      </c>
      <c r="D5430" s="13" t="n">
        <v>45422</v>
      </c>
      <c r="E5430" s="14" t="n">
        <v>3403.93</v>
      </c>
      <c r="F5430" s="14" t="n">
        <v>22934.4</v>
      </c>
      <c r="G5430" s="6" t="s">
        <v>2613</v>
      </c>
    </row>
    <row r="5431" customFormat="false" ht="15" hidden="false" customHeight="true" outlineLevel="0" collapsed="false">
      <c r="A5431" s="6" t="s">
        <v>8043</v>
      </c>
      <c r="B5431" s="6" t="s">
        <v>1205</v>
      </c>
      <c r="C5431" s="6" t="s">
        <v>128</v>
      </c>
      <c r="D5431" s="13" t="n">
        <v>45429</v>
      </c>
      <c r="E5431" s="14" t="n">
        <v>3093.12</v>
      </c>
      <c r="F5431" s="14" t="n">
        <v>26027.52</v>
      </c>
      <c r="G5431" s="6" t="s">
        <v>2613</v>
      </c>
    </row>
    <row r="5432" customFormat="false" ht="15" hidden="false" customHeight="true" outlineLevel="0" collapsed="false">
      <c r="A5432" s="6" t="s">
        <v>8044</v>
      </c>
      <c r="B5432" s="6" t="s">
        <v>1205</v>
      </c>
      <c r="C5432" s="6" t="s">
        <v>128</v>
      </c>
      <c r="D5432" s="13" t="n">
        <v>45436</v>
      </c>
      <c r="E5432" s="14" t="n">
        <v>3965.58</v>
      </c>
      <c r="F5432" s="14" t="n">
        <v>29993.1</v>
      </c>
      <c r="G5432" s="6" t="s">
        <v>2613</v>
      </c>
    </row>
    <row r="5433" customFormat="false" ht="15" hidden="false" customHeight="true" outlineLevel="0" collapsed="false">
      <c r="A5433" s="6" t="s">
        <v>8045</v>
      </c>
      <c r="B5433" s="6" t="s">
        <v>1205</v>
      </c>
      <c r="C5433" s="6" t="s">
        <v>128</v>
      </c>
      <c r="D5433" s="13" t="n">
        <v>45443</v>
      </c>
      <c r="E5433" s="14" t="n">
        <v>4322.17</v>
      </c>
      <c r="F5433" s="14" t="n">
        <v>34315.27</v>
      </c>
      <c r="G5433" s="6" t="s">
        <v>2613</v>
      </c>
    </row>
    <row r="5434" customFormat="false" ht="15" hidden="false" customHeight="true" outlineLevel="0" collapsed="false">
      <c r="A5434" s="6" t="s">
        <v>8046</v>
      </c>
      <c r="B5434" s="6" t="s">
        <v>1207</v>
      </c>
      <c r="C5434" s="6" t="s">
        <v>112</v>
      </c>
      <c r="D5434" s="13" t="n">
        <v>44931</v>
      </c>
      <c r="E5434" s="14" t="n">
        <v>3194.22</v>
      </c>
      <c r="F5434" s="14" t="n">
        <v>3194.22</v>
      </c>
      <c r="G5434" s="6" t="s">
        <v>2613</v>
      </c>
    </row>
    <row r="5435" customFormat="false" ht="15" hidden="false" customHeight="true" outlineLevel="0" collapsed="false">
      <c r="A5435" s="6" t="s">
        <v>8047</v>
      </c>
      <c r="B5435" s="6" t="s">
        <v>1207</v>
      </c>
      <c r="C5435" s="6" t="s">
        <v>112</v>
      </c>
      <c r="D5435" s="13" t="n">
        <v>44938</v>
      </c>
      <c r="E5435" s="14" t="n">
        <v>2638.93</v>
      </c>
      <c r="F5435" s="14" t="n">
        <v>5833.15</v>
      </c>
      <c r="G5435" s="6" t="s">
        <v>2613</v>
      </c>
    </row>
    <row r="5436" customFormat="false" ht="15" hidden="false" customHeight="true" outlineLevel="0" collapsed="false">
      <c r="A5436" s="6" t="s">
        <v>8048</v>
      </c>
      <c r="B5436" s="6" t="s">
        <v>1207</v>
      </c>
      <c r="C5436" s="6" t="s">
        <v>112</v>
      </c>
      <c r="D5436" s="13" t="n">
        <v>44945</v>
      </c>
      <c r="E5436" s="14" t="n">
        <v>2209.38</v>
      </c>
      <c r="F5436" s="14" t="n">
        <v>8042.53</v>
      </c>
      <c r="G5436" s="6" t="s">
        <v>2613</v>
      </c>
    </row>
    <row r="5437" customFormat="false" ht="15" hidden="false" customHeight="true" outlineLevel="0" collapsed="false">
      <c r="A5437" s="6" t="s">
        <v>8049</v>
      </c>
      <c r="B5437" s="6" t="s">
        <v>1207</v>
      </c>
      <c r="C5437" s="6" t="s">
        <v>112</v>
      </c>
      <c r="D5437" s="13" t="n">
        <v>44952</v>
      </c>
      <c r="E5437" s="14" t="n">
        <v>1524.22</v>
      </c>
      <c r="F5437" s="14" t="n">
        <v>9566.75</v>
      </c>
      <c r="G5437" s="6" t="s">
        <v>2613</v>
      </c>
    </row>
    <row r="5438" customFormat="false" ht="15" hidden="false" customHeight="true" outlineLevel="0" collapsed="false">
      <c r="A5438" s="6" t="s">
        <v>8050</v>
      </c>
      <c r="B5438" s="6" t="s">
        <v>1207</v>
      </c>
      <c r="C5438" s="6" t="s">
        <v>112</v>
      </c>
      <c r="D5438" s="13" t="n">
        <v>44959</v>
      </c>
      <c r="E5438" s="14" t="n">
        <v>2285.12</v>
      </c>
      <c r="F5438" s="14" t="n">
        <v>11851.87</v>
      </c>
      <c r="G5438" s="6" t="s">
        <v>2613</v>
      </c>
    </row>
    <row r="5439" customFormat="false" ht="15" hidden="false" customHeight="true" outlineLevel="0" collapsed="false">
      <c r="A5439" s="6" t="s">
        <v>8051</v>
      </c>
      <c r="B5439" s="6" t="s">
        <v>1207</v>
      </c>
      <c r="C5439" s="6" t="s">
        <v>112</v>
      </c>
      <c r="D5439" s="13" t="n">
        <v>44966</v>
      </c>
      <c r="E5439" s="14" t="n">
        <v>1962.44</v>
      </c>
      <c r="F5439" s="14" t="n">
        <v>13814.31</v>
      </c>
      <c r="G5439" s="6" t="s">
        <v>2623</v>
      </c>
    </row>
    <row r="5440" customFormat="false" ht="15" hidden="false" customHeight="true" outlineLevel="0" collapsed="false">
      <c r="A5440" s="6" t="s">
        <v>8052</v>
      </c>
      <c r="B5440" s="6" t="s">
        <v>1207</v>
      </c>
      <c r="C5440" s="6" t="s">
        <v>112</v>
      </c>
      <c r="D5440" s="13" t="n">
        <v>44973</v>
      </c>
      <c r="E5440" s="14" t="n">
        <v>2121.86</v>
      </c>
      <c r="F5440" s="14" t="n">
        <v>15936.17</v>
      </c>
      <c r="G5440" s="6" t="s">
        <v>2613</v>
      </c>
    </row>
    <row r="5441" customFormat="false" ht="15" hidden="false" customHeight="true" outlineLevel="0" collapsed="false">
      <c r="A5441" s="6" t="s">
        <v>8053</v>
      </c>
      <c r="B5441" s="6" t="s">
        <v>1207</v>
      </c>
      <c r="C5441" s="6" t="s">
        <v>112</v>
      </c>
      <c r="D5441" s="13" t="n">
        <v>44980</v>
      </c>
      <c r="E5441" s="14" t="n">
        <v>2107.21</v>
      </c>
      <c r="F5441" s="14" t="n">
        <v>18043.38</v>
      </c>
      <c r="G5441" s="6" t="s">
        <v>2613</v>
      </c>
    </row>
    <row r="5442" customFormat="false" ht="15" hidden="false" customHeight="true" outlineLevel="0" collapsed="false">
      <c r="A5442" s="6" t="s">
        <v>8054</v>
      </c>
      <c r="B5442" s="6" t="s">
        <v>1207</v>
      </c>
      <c r="C5442" s="6" t="s">
        <v>112</v>
      </c>
      <c r="D5442" s="13" t="n">
        <v>44987</v>
      </c>
      <c r="E5442" s="14" t="n">
        <v>2192.51</v>
      </c>
      <c r="F5442" s="14" t="n">
        <v>20235.89</v>
      </c>
      <c r="G5442" s="6" t="s">
        <v>2613</v>
      </c>
    </row>
    <row r="5443" customFormat="false" ht="15" hidden="false" customHeight="true" outlineLevel="0" collapsed="false">
      <c r="A5443" s="6" t="s">
        <v>8055</v>
      </c>
      <c r="B5443" s="6" t="s">
        <v>1207</v>
      </c>
      <c r="C5443" s="6" t="s">
        <v>112</v>
      </c>
      <c r="D5443" s="13" t="n">
        <v>44994</v>
      </c>
      <c r="E5443" s="14" t="n">
        <v>1782.91</v>
      </c>
      <c r="F5443" s="14" t="n">
        <v>22018.8</v>
      </c>
      <c r="G5443" s="6" t="s">
        <v>2613</v>
      </c>
    </row>
    <row r="5444" customFormat="false" ht="15" hidden="false" customHeight="true" outlineLevel="0" collapsed="false">
      <c r="A5444" s="6" t="s">
        <v>8056</v>
      </c>
      <c r="B5444" s="6" t="s">
        <v>1207</v>
      </c>
      <c r="C5444" s="6" t="s">
        <v>112</v>
      </c>
      <c r="D5444" s="13" t="n">
        <v>45001</v>
      </c>
      <c r="E5444" s="14" t="n">
        <v>2569.06</v>
      </c>
      <c r="F5444" s="14" t="n">
        <v>24587.86</v>
      </c>
      <c r="G5444" s="6" t="s">
        <v>2613</v>
      </c>
    </row>
    <row r="5445" customFormat="false" ht="15" hidden="false" customHeight="true" outlineLevel="0" collapsed="false">
      <c r="A5445" s="6" t="s">
        <v>8057</v>
      </c>
      <c r="B5445" s="6" t="s">
        <v>1207</v>
      </c>
      <c r="C5445" s="6" t="s">
        <v>112</v>
      </c>
      <c r="D5445" s="13" t="n">
        <v>45008</v>
      </c>
      <c r="E5445" s="14" t="n">
        <v>2070.64</v>
      </c>
      <c r="F5445" s="14" t="n">
        <v>26658.5</v>
      </c>
      <c r="G5445" s="6" t="s">
        <v>2613</v>
      </c>
    </row>
    <row r="5446" customFormat="false" ht="15" hidden="false" customHeight="true" outlineLevel="0" collapsed="false">
      <c r="A5446" s="6" t="s">
        <v>8058</v>
      </c>
      <c r="B5446" s="6" t="s">
        <v>1207</v>
      </c>
      <c r="C5446" s="6" t="s">
        <v>112</v>
      </c>
      <c r="D5446" s="13" t="n">
        <v>45015</v>
      </c>
      <c r="E5446" s="14" t="n">
        <v>4401.85</v>
      </c>
      <c r="F5446" s="14" t="n">
        <v>31060.35</v>
      </c>
      <c r="G5446" s="6" t="s">
        <v>2613</v>
      </c>
    </row>
    <row r="5447" customFormat="false" ht="15" hidden="false" customHeight="true" outlineLevel="0" collapsed="false">
      <c r="A5447" s="6" t="s">
        <v>8059</v>
      </c>
      <c r="B5447" s="6" t="s">
        <v>1209</v>
      </c>
      <c r="C5447" s="6" t="s">
        <v>124</v>
      </c>
      <c r="D5447" s="13" t="n">
        <v>45363</v>
      </c>
      <c r="E5447" s="14" t="n">
        <v>2818.56</v>
      </c>
      <c r="F5447" s="14" t="n">
        <v>2818.56</v>
      </c>
      <c r="G5447" s="6" t="s">
        <v>2613</v>
      </c>
    </row>
    <row r="5448" customFormat="false" ht="15" hidden="false" customHeight="true" outlineLevel="0" collapsed="false">
      <c r="A5448" s="6" t="s">
        <v>8060</v>
      </c>
      <c r="B5448" s="6" t="s">
        <v>1209</v>
      </c>
      <c r="C5448" s="6" t="s">
        <v>124</v>
      </c>
      <c r="D5448" s="13" t="n">
        <v>45370</v>
      </c>
      <c r="E5448" s="14" t="n">
        <v>3829.43</v>
      </c>
      <c r="F5448" s="14" t="n">
        <v>6647.99</v>
      </c>
      <c r="G5448" s="6" t="s">
        <v>2613</v>
      </c>
    </row>
    <row r="5449" customFormat="false" ht="15" hidden="false" customHeight="true" outlineLevel="0" collapsed="false">
      <c r="A5449" s="6" t="s">
        <v>8061</v>
      </c>
      <c r="B5449" s="6" t="s">
        <v>1209</v>
      </c>
      <c r="C5449" s="6" t="s">
        <v>124</v>
      </c>
      <c r="D5449" s="13" t="n">
        <v>45377</v>
      </c>
      <c r="E5449" s="14" t="n">
        <v>5247.86</v>
      </c>
      <c r="F5449" s="14" t="n">
        <v>11895.85</v>
      </c>
      <c r="G5449" s="6" t="s">
        <v>2623</v>
      </c>
    </row>
    <row r="5450" customFormat="false" ht="15" hidden="false" customHeight="true" outlineLevel="0" collapsed="false">
      <c r="A5450" s="6" t="s">
        <v>8062</v>
      </c>
      <c r="B5450" s="6" t="s">
        <v>1209</v>
      </c>
      <c r="C5450" s="6" t="s">
        <v>124</v>
      </c>
      <c r="D5450" s="13" t="n">
        <v>45384</v>
      </c>
      <c r="E5450" s="14" t="n">
        <v>5323.8</v>
      </c>
      <c r="F5450" s="14" t="n">
        <v>17219.65</v>
      </c>
      <c r="G5450" s="6" t="s">
        <v>2613</v>
      </c>
    </row>
    <row r="5451" customFormat="false" ht="15" hidden="false" customHeight="true" outlineLevel="0" collapsed="false">
      <c r="A5451" s="6" t="s">
        <v>8063</v>
      </c>
      <c r="B5451" s="6" t="s">
        <v>1209</v>
      </c>
      <c r="C5451" s="6" t="s">
        <v>124</v>
      </c>
      <c r="D5451" s="13" t="n">
        <v>45391</v>
      </c>
      <c r="E5451" s="14" t="n">
        <v>2835.77</v>
      </c>
      <c r="F5451" s="14" t="n">
        <v>20055.42</v>
      </c>
      <c r="G5451" s="6" t="s">
        <v>2613</v>
      </c>
    </row>
    <row r="5452" customFormat="false" ht="15" hidden="false" customHeight="true" outlineLevel="0" collapsed="false">
      <c r="A5452" s="6" t="s">
        <v>8064</v>
      </c>
      <c r="B5452" s="6" t="s">
        <v>1209</v>
      </c>
      <c r="C5452" s="6" t="s">
        <v>124</v>
      </c>
      <c r="D5452" s="13" t="n">
        <v>45398</v>
      </c>
      <c r="E5452" s="14" t="n">
        <v>4108.02</v>
      </c>
      <c r="F5452" s="14" t="n">
        <v>24163.44</v>
      </c>
      <c r="G5452" s="6" t="s">
        <v>2613</v>
      </c>
    </row>
    <row r="5453" customFormat="false" ht="15" hidden="false" customHeight="true" outlineLevel="0" collapsed="false">
      <c r="A5453" s="6" t="s">
        <v>8065</v>
      </c>
      <c r="B5453" s="6" t="s">
        <v>1209</v>
      </c>
      <c r="C5453" s="6" t="s">
        <v>124</v>
      </c>
      <c r="D5453" s="13" t="n">
        <v>45405</v>
      </c>
      <c r="E5453" s="14" t="n">
        <v>5744.79</v>
      </c>
      <c r="F5453" s="14" t="n">
        <v>29908.23</v>
      </c>
      <c r="G5453" s="6" t="s">
        <v>2613</v>
      </c>
    </row>
    <row r="5454" customFormat="false" ht="15" hidden="false" customHeight="true" outlineLevel="0" collapsed="false">
      <c r="A5454" s="6" t="s">
        <v>8066</v>
      </c>
      <c r="B5454" s="6" t="s">
        <v>1209</v>
      </c>
      <c r="C5454" s="6" t="s">
        <v>124</v>
      </c>
      <c r="D5454" s="13" t="n">
        <v>45412</v>
      </c>
      <c r="E5454" s="14" t="n">
        <v>5308.9</v>
      </c>
      <c r="F5454" s="14" t="n">
        <v>35217.13</v>
      </c>
      <c r="G5454" s="6" t="s">
        <v>2623</v>
      </c>
    </row>
    <row r="5455" customFormat="false" ht="15" hidden="false" customHeight="true" outlineLevel="0" collapsed="false">
      <c r="A5455" s="6" t="s">
        <v>8067</v>
      </c>
      <c r="B5455" s="6" t="s">
        <v>1209</v>
      </c>
      <c r="C5455" s="6" t="s">
        <v>124</v>
      </c>
      <c r="D5455" s="13" t="n">
        <v>45419</v>
      </c>
      <c r="E5455" s="14" t="n">
        <v>3397.7</v>
      </c>
      <c r="F5455" s="14" t="n">
        <v>38614.83</v>
      </c>
      <c r="G5455" s="6" t="s">
        <v>2623</v>
      </c>
    </row>
    <row r="5456" customFormat="false" ht="15" hidden="false" customHeight="true" outlineLevel="0" collapsed="false">
      <c r="A5456" s="6" t="s">
        <v>8068</v>
      </c>
      <c r="B5456" s="6" t="s">
        <v>1209</v>
      </c>
      <c r="C5456" s="6" t="s">
        <v>124</v>
      </c>
      <c r="D5456" s="13" t="n">
        <v>45426</v>
      </c>
      <c r="E5456" s="14" t="n">
        <v>3051.63</v>
      </c>
      <c r="F5456" s="14" t="n">
        <v>41666.46</v>
      </c>
      <c r="G5456" s="6" t="s">
        <v>2613</v>
      </c>
    </row>
    <row r="5457" customFormat="false" ht="15" hidden="false" customHeight="true" outlineLevel="0" collapsed="false">
      <c r="A5457" s="6" t="s">
        <v>8069</v>
      </c>
      <c r="B5457" s="6" t="s">
        <v>1209</v>
      </c>
      <c r="C5457" s="6" t="s">
        <v>124</v>
      </c>
      <c r="D5457" s="13" t="n">
        <v>45433</v>
      </c>
      <c r="E5457" s="14" t="n">
        <v>4352.78</v>
      </c>
      <c r="F5457" s="14" t="n">
        <v>46019.24</v>
      </c>
      <c r="G5457" s="6" t="s">
        <v>2613</v>
      </c>
    </row>
    <row r="5458" customFormat="false" ht="15" hidden="false" customHeight="true" outlineLevel="0" collapsed="false">
      <c r="A5458" s="6" t="s">
        <v>8070</v>
      </c>
      <c r="B5458" s="6" t="s">
        <v>1209</v>
      </c>
      <c r="C5458" s="6" t="s">
        <v>124</v>
      </c>
      <c r="D5458" s="13" t="n">
        <v>45440</v>
      </c>
      <c r="E5458" s="14" t="n">
        <v>5657.99</v>
      </c>
      <c r="F5458" s="14" t="n">
        <v>51677.23</v>
      </c>
      <c r="G5458" s="6" t="s">
        <v>2613</v>
      </c>
    </row>
    <row r="5459" customFormat="false" ht="15" hidden="false" customHeight="true" outlineLevel="0" collapsed="false">
      <c r="A5459" s="6" t="s">
        <v>8071</v>
      </c>
      <c r="B5459" s="6" t="s">
        <v>1209</v>
      </c>
      <c r="C5459" s="6" t="s">
        <v>124</v>
      </c>
      <c r="D5459" s="13" t="n">
        <v>45447</v>
      </c>
      <c r="E5459" s="14" t="n">
        <v>5943.97</v>
      </c>
      <c r="F5459" s="14" t="n">
        <v>57621.2</v>
      </c>
      <c r="G5459" s="6" t="s">
        <v>2623</v>
      </c>
    </row>
    <row r="5460" customFormat="false" ht="15" hidden="false" customHeight="true" outlineLevel="0" collapsed="false">
      <c r="A5460" s="6" t="s">
        <v>8072</v>
      </c>
      <c r="B5460" s="6" t="s">
        <v>1209</v>
      </c>
      <c r="C5460" s="6" t="s">
        <v>124</v>
      </c>
      <c r="D5460" s="13" t="n">
        <v>45454</v>
      </c>
      <c r="E5460" s="14" t="n">
        <v>3327.27</v>
      </c>
      <c r="F5460" s="14" t="n">
        <v>60948.47</v>
      </c>
      <c r="G5460" s="6" t="s">
        <v>2613</v>
      </c>
    </row>
    <row r="5461" customFormat="false" ht="15" hidden="false" customHeight="true" outlineLevel="0" collapsed="false">
      <c r="A5461" s="6" t="s">
        <v>8073</v>
      </c>
      <c r="B5461" s="6" t="s">
        <v>1209</v>
      </c>
      <c r="C5461" s="6" t="s">
        <v>124</v>
      </c>
      <c r="D5461" s="13" t="n">
        <v>45461</v>
      </c>
      <c r="E5461" s="14" t="n">
        <v>5726.04</v>
      </c>
      <c r="F5461" s="14" t="n">
        <v>66674.51</v>
      </c>
      <c r="G5461" s="6" t="s">
        <v>2613</v>
      </c>
    </row>
    <row r="5462" customFormat="false" ht="15" hidden="false" customHeight="true" outlineLevel="0" collapsed="false">
      <c r="A5462" s="6" t="s">
        <v>8074</v>
      </c>
      <c r="B5462" s="6" t="s">
        <v>1209</v>
      </c>
      <c r="C5462" s="6" t="s">
        <v>124</v>
      </c>
      <c r="D5462" s="13" t="n">
        <v>45468</v>
      </c>
      <c r="E5462" s="14" t="n">
        <v>3037.87</v>
      </c>
      <c r="F5462" s="14" t="n">
        <v>69712.38</v>
      </c>
      <c r="G5462" s="6" t="s">
        <v>2613</v>
      </c>
    </row>
    <row r="5463" customFormat="false" ht="15" hidden="false" customHeight="true" outlineLevel="0" collapsed="false">
      <c r="A5463" s="6" t="s">
        <v>8075</v>
      </c>
      <c r="B5463" s="6" t="s">
        <v>1209</v>
      </c>
      <c r="C5463" s="6" t="s">
        <v>124</v>
      </c>
      <c r="D5463" s="13" t="n">
        <v>45475</v>
      </c>
      <c r="E5463" s="14" t="n">
        <v>3535.03</v>
      </c>
      <c r="F5463" s="14" t="n">
        <v>73247.41</v>
      </c>
      <c r="G5463" s="6" t="s">
        <v>2613</v>
      </c>
    </row>
    <row r="5464" customFormat="false" ht="15" hidden="false" customHeight="true" outlineLevel="0" collapsed="false">
      <c r="A5464" s="6" t="s">
        <v>8076</v>
      </c>
      <c r="B5464" s="6" t="s">
        <v>1209</v>
      </c>
      <c r="C5464" s="6" t="s">
        <v>124</v>
      </c>
      <c r="D5464" s="13" t="n">
        <v>45482</v>
      </c>
      <c r="E5464" s="14" t="n">
        <v>3419.57</v>
      </c>
      <c r="F5464" s="14" t="n">
        <v>76666.98</v>
      </c>
      <c r="G5464" s="6" t="s">
        <v>2613</v>
      </c>
    </row>
    <row r="5465" customFormat="false" ht="15" hidden="false" customHeight="true" outlineLevel="0" collapsed="false">
      <c r="A5465" s="6" t="s">
        <v>8077</v>
      </c>
      <c r="B5465" s="6" t="s">
        <v>1209</v>
      </c>
      <c r="C5465" s="6" t="s">
        <v>124</v>
      </c>
      <c r="D5465" s="13" t="n">
        <v>45489</v>
      </c>
      <c r="E5465" s="14" t="n">
        <v>6290.99</v>
      </c>
      <c r="F5465" s="14" t="n">
        <v>82957.97</v>
      </c>
      <c r="G5465" s="6" t="s">
        <v>2613</v>
      </c>
    </row>
    <row r="5466" customFormat="false" ht="15" hidden="false" customHeight="true" outlineLevel="0" collapsed="false">
      <c r="A5466" s="6" t="s">
        <v>8078</v>
      </c>
      <c r="B5466" s="6" t="s">
        <v>1209</v>
      </c>
      <c r="C5466" s="6" t="s">
        <v>124</v>
      </c>
      <c r="D5466" s="13" t="n">
        <v>45496</v>
      </c>
      <c r="E5466" s="14" t="n">
        <v>5264.05</v>
      </c>
      <c r="F5466" s="14" t="n">
        <v>88222.02</v>
      </c>
      <c r="G5466" s="6" t="s">
        <v>2613</v>
      </c>
    </row>
    <row r="5467" customFormat="false" ht="15" hidden="false" customHeight="true" outlineLevel="0" collapsed="false">
      <c r="A5467" s="6" t="s">
        <v>8079</v>
      </c>
      <c r="B5467" s="6" t="s">
        <v>1209</v>
      </c>
      <c r="C5467" s="6" t="s">
        <v>124</v>
      </c>
      <c r="D5467" s="13" t="n">
        <v>45503</v>
      </c>
      <c r="E5467" s="14" t="n">
        <v>5071</v>
      </c>
      <c r="F5467" s="14" t="n">
        <v>93293.02</v>
      </c>
      <c r="G5467" s="6" t="s">
        <v>2613</v>
      </c>
    </row>
    <row r="5468" customFormat="false" ht="15" hidden="false" customHeight="true" outlineLevel="0" collapsed="false">
      <c r="A5468" s="6" t="s">
        <v>8080</v>
      </c>
      <c r="B5468" s="6" t="s">
        <v>1209</v>
      </c>
      <c r="C5468" s="6" t="s">
        <v>124</v>
      </c>
      <c r="D5468" s="13" t="n">
        <v>45510</v>
      </c>
      <c r="E5468" s="14" t="n">
        <v>7488.11</v>
      </c>
      <c r="F5468" s="14" t="n">
        <v>100781.13</v>
      </c>
      <c r="G5468" s="6" t="s">
        <v>2623</v>
      </c>
    </row>
    <row r="5469" customFormat="false" ht="15" hidden="false" customHeight="true" outlineLevel="0" collapsed="false">
      <c r="A5469" s="6" t="s">
        <v>8081</v>
      </c>
      <c r="B5469" s="6" t="s">
        <v>1211</v>
      </c>
      <c r="C5469" s="6" t="s">
        <v>120</v>
      </c>
      <c r="D5469" s="13" t="n">
        <v>45777</v>
      </c>
      <c r="E5469" s="14" t="n">
        <v>1980.48</v>
      </c>
      <c r="F5469" s="14" t="n">
        <v>1980.48</v>
      </c>
      <c r="G5469" s="6" t="s">
        <v>2613</v>
      </c>
    </row>
    <row r="5470" customFormat="false" ht="15" hidden="false" customHeight="true" outlineLevel="0" collapsed="false">
      <c r="A5470" s="6" t="s">
        <v>8082</v>
      </c>
      <c r="B5470" s="6" t="s">
        <v>1211</v>
      </c>
      <c r="C5470" s="6" t="s">
        <v>120</v>
      </c>
      <c r="D5470" s="13" t="n">
        <v>45784</v>
      </c>
      <c r="E5470" s="14" t="n">
        <v>1880.2</v>
      </c>
      <c r="F5470" s="14" t="n">
        <v>3860.68</v>
      </c>
      <c r="G5470" s="6" t="s">
        <v>2623</v>
      </c>
    </row>
    <row r="5471" customFormat="false" ht="15" hidden="false" customHeight="true" outlineLevel="0" collapsed="false">
      <c r="A5471" s="6" t="s">
        <v>8083</v>
      </c>
      <c r="B5471" s="6" t="s">
        <v>1211</v>
      </c>
      <c r="C5471" s="6" t="s">
        <v>120</v>
      </c>
      <c r="D5471" s="13" t="n">
        <v>45791</v>
      </c>
      <c r="E5471" s="14" t="n">
        <v>2062.76</v>
      </c>
      <c r="F5471" s="14" t="n">
        <v>5923.44</v>
      </c>
      <c r="G5471" s="6" t="s">
        <v>2613</v>
      </c>
    </row>
    <row r="5472" customFormat="false" ht="15" hidden="false" customHeight="true" outlineLevel="0" collapsed="false">
      <c r="A5472" s="6" t="s">
        <v>8084</v>
      </c>
      <c r="B5472" s="6" t="s">
        <v>1211</v>
      </c>
      <c r="C5472" s="6" t="s">
        <v>120</v>
      </c>
      <c r="D5472" s="13" t="n">
        <v>45798</v>
      </c>
      <c r="E5472" s="14" t="n">
        <v>1699.6</v>
      </c>
      <c r="F5472" s="14" t="n">
        <v>7623.04</v>
      </c>
      <c r="G5472" s="6" t="s">
        <v>2613</v>
      </c>
    </row>
    <row r="5473" customFormat="false" ht="15" hidden="false" customHeight="true" outlineLevel="0" collapsed="false">
      <c r="A5473" s="6" t="s">
        <v>8085</v>
      </c>
      <c r="B5473" s="6" t="s">
        <v>1211</v>
      </c>
      <c r="C5473" s="6" t="s">
        <v>120</v>
      </c>
      <c r="D5473" s="13" t="n">
        <v>45805</v>
      </c>
      <c r="E5473" s="14" t="n">
        <v>1254.95</v>
      </c>
      <c r="F5473" s="14" t="n">
        <v>8877.99</v>
      </c>
      <c r="G5473" s="6" t="s">
        <v>2613</v>
      </c>
    </row>
    <row r="5474" customFormat="false" ht="15" hidden="false" customHeight="true" outlineLevel="0" collapsed="false">
      <c r="A5474" s="6" t="s">
        <v>8086</v>
      </c>
      <c r="B5474" s="6" t="s">
        <v>1211</v>
      </c>
      <c r="C5474" s="6" t="s">
        <v>120</v>
      </c>
      <c r="D5474" s="13" t="n">
        <v>45812</v>
      </c>
      <c r="E5474" s="14" t="n">
        <v>1134.94</v>
      </c>
      <c r="F5474" s="14" t="n">
        <v>10012.93</v>
      </c>
      <c r="G5474" s="6" t="s">
        <v>2613</v>
      </c>
    </row>
    <row r="5475" customFormat="false" ht="15" hidden="false" customHeight="true" outlineLevel="0" collapsed="false">
      <c r="A5475" s="6" t="s">
        <v>8087</v>
      </c>
      <c r="B5475" s="6" t="s">
        <v>1211</v>
      </c>
      <c r="C5475" s="6" t="s">
        <v>120</v>
      </c>
      <c r="D5475" s="13" t="n">
        <v>45819</v>
      </c>
      <c r="E5475" s="14" t="n">
        <v>404.65</v>
      </c>
      <c r="F5475" s="14" t="n">
        <v>10417.58</v>
      </c>
      <c r="G5475" s="6" t="s">
        <v>2613</v>
      </c>
    </row>
    <row r="5476" customFormat="false" ht="15" hidden="false" customHeight="true" outlineLevel="0" collapsed="false">
      <c r="A5476" s="6" t="s">
        <v>8088</v>
      </c>
      <c r="B5476" s="6" t="s">
        <v>1213</v>
      </c>
      <c r="C5476" s="6" t="s">
        <v>120</v>
      </c>
      <c r="D5476" s="13" t="n">
        <v>45022</v>
      </c>
      <c r="E5476" s="14" t="n">
        <v>1772.43</v>
      </c>
      <c r="F5476" s="14" t="n">
        <v>1772.43</v>
      </c>
      <c r="G5476" s="6" t="s">
        <v>2613</v>
      </c>
    </row>
    <row r="5477" customFormat="false" ht="15" hidden="false" customHeight="true" outlineLevel="0" collapsed="false">
      <c r="A5477" s="6" t="s">
        <v>8089</v>
      </c>
      <c r="B5477" s="6" t="s">
        <v>1213</v>
      </c>
      <c r="C5477" s="6" t="s">
        <v>120</v>
      </c>
      <c r="D5477" s="13" t="n">
        <v>45029</v>
      </c>
      <c r="E5477" s="14" t="n">
        <v>2219.6</v>
      </c>
      <c r="F5477" s="14" t="n">
        <v>3992.03</v>
      </c>
      <c r="G5477" s="6" t="s">
        <v>2613</v>
      </c>
    </row>
    <row r="5478" customFormat="false" ht="15" hidden="false" customHeight="true" outlineLevel="0" collapsed="false">
      <c r="A5478" s="6" t="s">
        <v>8090</v>
      </c>
      <c r="B5478" s="6" t="s">
        <v>1213</v>
      </c>
      <c r="C5478" s="6" t="s">
        <v>120</v>
      </c>
      <c r="D5478" s="13" t="n">
        <v>45036</v>
      </c>
      <c r="E5478" s="14" t="n">
        <v>1960.13</v>
      </c>
      <c r="F5478" s="14" t="n">
        <v>5952.16</v>
      </c>
      <c r="G5478" s="6" t="s">
        <v>2613</v>
      </c>
    </row>
    <row r="5479" customFormat="false" ht="15" hidden="false" customHeight="true" outlineLevel="0" collapsed="false">
      <c r="A5479" s="6" t="s">
        <v>8091</v>
      </c>
      <c r="B5479" s="6" t="s">
        <v>1213</v>
      </c>
      <c r="C5479" s="6" t="s">
        <v>120</v>
      </c>
      <c r="D5479" s="13" t="n">
        <v>45043</v>
      </c>
      <c r="E5479" s="14" t="n">
        <v>1458.84</v>
      </c>
      <c r="F5479" s="14" t="n">
        <v>7411</v>
      </c>
      <c r="G5479" s="6" t="s">
        <v>2613</v>
      </c>
    </row>
    <row r="5480" customFormat="false" ht="15" hidden="false" customHeight="true" outlineLevel="0" collapsed="false">
      <c r="A5480" s="6" t="s">
        <v>8092</v>
      </c>
      <c r="B5480" s="6" t="s">
        <v>1213</v>
      </c>
      <c r="C5480" s="6" t="s">
        <v>120</v>
      </c>
      <c r="D5480" s="13" t="n">
        <v>45050</v>
      </c>
      <c r="E5480" s="14" t="n">
        <v>1163.78</v>
      </c>
      <c r="F5480" s="14" t="n">
        <v>8574.78</v>
      </c>
      <c r="G5480" s="6" t="s">
        <v>2613</v>
      </c>
    </row>
    <row r="5481" customFormat="false" ht="15" hidden="false" customHeight="true" outlineLevel="0" collapsed="false">
      <c r="A5481" s="6" t="s">
        <v>8093</v>
      </c>
      <c r="B5481" s="6" t="s">
        <v>1213</v>
      </c>
      <c r="C5481" s="6" t="s">
        <v>120</v>
      </c>
      <c r="D5481" s="13" t="n">
        <v>45057</v>
      </c>
      <c r="E5481" s="14" t="n">
        <v>1065.33</v>
      </c>
      <c r="F5481" s="14" t="n">
        <v>9640.11</v>
      </c>
      <c r="G5481" s="6" t="s">
        <v>2623</v>
      </c>
    </row>
    <row r="5482" customFormat="false" ht="15" hidden="false" customHeight="true" outlineLevel="0" collapsed="false">
      <c r="A5482" s="6" t="s">
        <v>8094</v>
      </c>
      <c r="B5482" s="6" t="s">
        <v>1213</v>
      </c>
      <c r="C5482" s="6" t="s">
        <v>120</v>
      </c>
      <c r="D5482" s="13" t="n">
        <v>45064</v>
      </c>
      <c r="E5482" s="14" t="n">
        <v>2224.68</v>
      </c>
      <c r="F5482" s="14" t="n">
        <v>11864.79</v>
      </c>
      <c r="G5482" s="6" t="s">
        <v>2613</v>
      </c>
    </row>
    <row r="5483" customFormat="false" ht="15" hidden="false" customHeight="true" outlineLevel="0" collapsed="false">
      <c r="A5483" s="6" t="s">
        <v>8095</v>
      </c>
      <c r="B5483" s="6" t="s">
        <v>1213</v>
      </c>
      <c r="C5483" s="6" t="s">
        <v>120</v>
      </c>
      <c r="D5483" s="13" t="n">
        <v>45071</v>
      </c>
      <c r="E5483" s="14" t="n">
        <v>1116.51</v>
      </c>
      <c r="F5483" s="14" t="n">
        <v>12981.3</v>
      </c>
      <c r="G5483" s="6" t="s">
        <v>2613</v>
      </c>
    </row>
    <row r="5484" customFormat="false" ht="15" hidden="false" customHeight="true" outlineLevel="0" collapsed="false">
      <c r="A5484" s="6" t="s">
        <v>8096</v>
      </c>
      <c r="B5484" s="6" t="s">
        <v>1215</v>
      </c>
      <c r="C5484" s="6" t="s">
        <v>131</v>
      </c>
      <c r="D5484" s="13" t="n">
        <v>46162</v>
      </c>
      <c r="E5484" s="14" t="n">
        <v>3687.84</v>
      </c>
      <c r="F5484" s="14" t="n">
        <v>3687.84</v>
      </c>
      <c r="G5484" s="6" t="s">
        <v>2613</v>
      </c>
    </row>
    <row r="5485" customFormat="false" ht="15" hidden="false" customHeight="true" outlineLevel="0" collapsed="false">
      <c r="A5485" s="6" t="s">
        <v>8097</v>
      </c>
      <c r="B5485" s="6" t="s">
        <v>1215</v>
      </c>
      <c r="C5485" s="6" t="s">
        <v>131</v>
      </c>
      <c r="D5485" s="13" t="n">
        <v>46169</v>
      </c>
      <c r="E5485" s="14" t="n">
        <v>4291.7</v>
      </c>
      <c r="F5485" s="14" t="n">
        <v>7979.54</v>
      </c>
      <c r="G5485" s="6" t="s">
        <v>2613</v>
      </c>
    </row>
    <row r="5486" customFormat="false" ht="15" hidden="false" customHeight="true" outlineLevel="0" collapsed="false">
      <c r="A5486" s="6" t="s">
        <v>8098</v>
      </c>
      <c r="B5486" s="6" t="s">
        <v>1215</v>
      </c>
      <c r="C5486" s="6" t="s">
        <v>131</v>
      </c>
      <c r="D5486" s="13" t="n">
        <v>46176</v>
      </c>
      <c r="E5486" s="14" t="n">
        <v>5120.5</v>
      </c>
      <c r="F5486" s="14" t="n">
        <v>13100.04</v>
      </c>
      <c r="G5486" s="6" t="s">
        <v>2613</v>
      </c>
    </row>
    <row r="5487" customFormat="false" ht="15" hidden="false" customHeight="true" outlineLevel="0" collapsed="false">
      <c r="A5487" s="6" t="s">
        <v>8099</v>
      </c>
      <c r="B5487" s="6" t="s">
        <v>1215</v>
      </c>
      <c r="C5487" s="6" t="s">
        <v>131</v>
      </c>
      <c r="D5487" s="13" t="n">
        <v>46183</v>
      </c>
      <c r="E5487" s="14" t="n">
        <v>3961.79</v>
      </c>
      <c r="F5487" s="14" t="n">
        <v>17061.83</v>
      </c>
      <c r="G5487" s="6" t="s">
        <v>2613</v>
      </c>
    </row>
    <row r="5488" customFormat="false" ht="15" hidden="false" customHeight="true" outlineLevel="0" collapsed="false">
      <c r="A5488" s="6" t="s">
        <v>8100</v>
      </c>
      <c r="B5488" s="6" t="s">
        <v>1215</v>
      </c>
      <c r="C5488" s="6" t="s">
        <v>131</v>
      </c>
      <c r="D5488" s="13" t="n">
        <v>46190</v>
      </c>
      <c r="E5488" s="14" t="n">
        <v>1692.74</v>
      </c>
      <c r="F5488" s="14" t="n">
        <v>18754.57</v>
      </c>
      <c r="G5488" s="6" t="s">
        <v>2613</v>
      </c>
    </row>
    <row r="5489" customFormat="false" ht="15" hidden="false" customHeight="true" outlineLevel="0" collapsed="false">
      <c r="A5489" s="6" t="s">
        <v>8101</v>
      </c>
      <c r="B5489" s="6" t="s">
        <v>1217</v>
      </c>
      <c r="C5489" s="6" t="s">
        <v>120</v>
      </c>
      <c r="D5489" s="13" t="n">
        <v>44591</v>
      </c>
      <c r="E5489" s="14" t="n">
        <v>142.8</v>
      </c>
      <c r="F5489" s="14" t="n">
        <v>142.8</v>
      </c>
      <c r="G5489" s="6" t="s">
        <v>2613</v>
      </c>
    </row>
    <row r="5490" customFormat="false" ht="15" hidden="false" customHeight="true" outlineLevel="0" collapsed="false">
      <c r="A5490" s="6" t="s">
        <v>8102</v>
      </c>
      <c r="B5490" s="6" t="s">
        <v>1217</v>
      </c>
      <c r="C5490" s="6" t="s">
        <v>120</v>
      </c>
      <c r="D5490" s="13" t="n">
        <v>44598</v>
      </c>
      <c r="E5490" s="14" t="n">
        <v>208.46</v>
      </c>
      <c r="F5490" s="14" t="n">
        <v>351.26</v>
      </c>
      <c r="G5490" s="6" t="s">
        <v>2613</v>
      </c>
    </row>
    <row r="5491" customFormat="false" ht="15" hidden="false" customHeight="true" outlineLevel="0" collapsed="false">
      <c r="A5491" s="6" t="s">
        <v>8103</v>
      </c>
      <c r="B5491" s="6" t="s">
        <v>1217</v>
      </c>
      <c r="C5491" s="6" t="s">
        <v>120</v>
      </c>
      <c r="D5491" s="13" t="n">
        <v>44605</v>
      </c>
      <c r="E5491" s="14" t="n">
        <v>108.19</v>
      </c>
      <c r="F5491" s="14" t="n">
        <v>459.45</v>
      </c>
      <c r="G5491" s="6" t="s">
        <v>2613</v>
      </c>
    </row>
    <row r="5492" customFormat="false" ht="15" hidden="false" customHeight="true" outlineLevel="0" collapsed="false">
      <c r="A5492" s="6" t="s">
        <v>8104</v>
      </c>
      <c r="B5492" s="6" t="s">
        <v>1217</v>
      </c>
      <c r="C5492" s="6" t="s">
        <v>120</v>
      </c>
      <c r="D5492" s="13" t="n">
        <v>44612</v>
      </c>
      <c r="E5492" s="14" t="n">
        <v>118.06</v>
      </c>
      <c r="F5492" s="14" t="n">
        <v>577.51</v>
      </c>
      <c r="G5492" s="6" t="s">
        <v>2623</v>
      </c>
    </row>
    <row r="5493" customFormat="false" ht="15" hidden="false" customHeight="true" outlineLevel="0" collapsed="false">
      <c r="A5493" s="6" t="s">
        <v>8105</v>
      </c>
      <c r="B5493" s="6" t="s">
        <v>1217</v>
      </c>
      <c r="C5493" s="6" t="s">
        <v>120</v>
      </c>
      <c r="D5493" s="13" t="n">
        <v>44619</v>
      </c>
      <c r="E5493" s="14" t="n">
        <v>118.43</v>
      </c>
      <c r="F5493" s="14" t="n">
        <v>695.94</v>
      </c>
      <c r="G5493" s="6" t="s">
        <v>2613</v>
      </c>
    </row>
    <row r="5494" customFormat="false" ht="15" hidden="false" customHeight="true" outlineLevel="0" collapsed="false">
      <c r="A5494" s="6" t="s">
        <v>8106</v>
      </c>
      <c r="B5494" s="6" t="s">
        <v>1217</v>
      </c>
      <c r="C5494" s="6" t="s">
        <v>120</v>
      </c>
      <c r="D5494" s="13" t="n">
        <v>44626</v>
      </c>
      <c r="E5494" s="14" t="n">
        <v>183.63</v>
      </c>
      <c r="F5494" s="14" t="n">
        <v>879.57</v>
      </c>
      <c r="G5494" s="6" t="s">
        <v>2613</v>
      </c>
    </row>
    <row r="5495" customFormat="false" ht="15" hidden="false" customHeight="true" outlineLevel="0" collapsed="false">
      <c r="A5495" s="6" t="s">
        <v>8107</v>
      </c>
      <c r="B5495" s="6" t="s">
        <v>1217</v>
      </c>
      <c r="C5495" s="6" t="s">
        <v>120</v>
      </c>
      <c r="D5495" s="13" t="n">
        <v>44633</v>
      </c>
      <c r="E5495" s="14" t="n">
        <v>194.61</v>
      </c>
      <c r="F5495" s="14" t="n">
        <v>1074.18</v>
      </c>
      <c r="G5495" s="6" t="s">
        <v>2613</v>
      </c>
    </row>
    <row r="5496" customFormat="false" ht="15" hidden="false" customHeight="true" outlineLevel="0" collapsed="false">
      <c r="A5496" s="6" t="s">
        <v>8108</v>
      </c>
      <c r="B5496" s="6" t="s">
        <v>1217</v>
      </c>
      <c r="C5496" s="6" t="s">
        <v>120</v>
      </c>
      <c r="D5496" s="13" t="n">
        <v>44640</v>
      </c>
      <c r="E5496" s="14" t="n">
        <v>203.05</v>
      </c>
      <c r="F5496" s="14" t="n">
        <v>1277.23</v>
      </c>
      <c r="G5496" s="6" t="s">
        <v>2623</v>
      </c>
    </row>
    <row r="5497" customFormat="false" ht="15" hidden="false" customHeight="true" outlineLevel="0" collapsed="false">
      <c r="A5497" s="6" t="s">
        <v>8109</v>
      </c>
      <c r="B5497" s="6" t="s">
        <v>1217</v>
      </c>
      <c r="C5497" s="6" t="s">
        <v>120</v>
      </c>
      <c r="D5497" s="13" t="n">
        <v>44647</v>
      </c>
      <c r="E5497" s="14" t="n">
        <v>188.03</v>
      </c>
      <c r="F5497" s="14" t="n">
        <v>1465.26</v>
      </c>
      <c r="G5497" s="6" t="s">
        <v>2623</v>
      </c>
    </row>
    <row r="5498" customFormat="false" ht="15" hidden="false" customHeight="true" outlineLevel="0" collapsed="false">
      <c r="A5498" s="6" t="s">
        <v>8110</v>
      </c>
      <c r="B5498" s="6" t="s">
        <v>1217</v>
      </c>
      <c r="C5498" s="6" t="s">
        <v>120</v>
      </c>
      <c r="D5498" s="13" t="n">
        <v>44654</v>
      </c>
      <c r="E5498" s="14" t="n">
        <v>99.86</v>
      </c>
      <c r="F5498" s="14" t="n">
        <v>1565.12</v>
      </c>
      <c r="G5498" s="6" t="s">
        <v>2613</v>
      </c>
    </row>
    <row r="5499" customFormat="false" ht="15" hidden="false" customHeight="true" outlineLevel="0" collapsed="false">
      <c r="A5499" s="6" t="s">
        <v>8111</v>
      </c>
      <c r="B5499" s="6" t="s">
        <v>1217</v>
      </c>
      <c r="C5499" s="6" t="s">
        <v>120</v>
      </c>
      <c r="D5499" s="13" t="n">
        <v>44661</v>
      </c>
      <c r="E5499" s="14" t="n">
        <v>173.28</v>
      </c>
      <c r="F5499" s="14" t="n">
        <v>1738.4</v>
      </c>
      <c r="G5499" s="6" t="s">
        <v>2613</v>
      </c>
    </row>
    <row r="5500" customFormat="false" ht="15" hidden="false" customHeight="true" outlineLevel="0" collapsed="false">
      <c r="A5500" s="6" t="s">
        <v>8112</v>
      </c>
      <c r="B5500" s="6" t="s">
        <v>1219</v>
      </c>
      <c r="C5500" s="6" t="s">
        <v>131</v>
      </c>
      <c r="D5500" s="13" t="n">
        <v>44750</v>
      </c>
      <c r="E5500" s="14" t="n">
        <v>3274.08</v>
      </c>
      <c r="F5500" s="14" t="n">
        <v>3274.08</v>
      </c>
      <c r="G5500" s="6" t="s">
        <v>2613</v>
      </c>
    </row>
    <row r="5501" customFormat="false" ht="15" hidden="false" customHeight="true" outlineLevel="0" collapsed="false">
      <c r="A5501" s="6" t="s">
        <v>8113</v>
      </c>
      <c r="B5501" s="6" t="s">
        <v>1219</v>
      </c>
      <c r="C5501" s="6" t="s">
        <v>131</v>
      </c>
      <c r="D5501" s="13" t="n">
        <v>44757</v>
      </c>
      <c r="E5501" s="14" t="n">
        <v>1603.56</v>
      </c>
      <c r="F5501" s="14" t="n">
        <v>4877.64</v>
      </c>
      <c r="G5501" s="6" t="s">
        <v>2613</v>
      </c>
    </row>
    <row r="5502" customFormat="false" ht="15" hidden="false" customHeight="true" outlineLevel="0" collapsed="false">
      <c r="A5502" s="6" t="s">
        <v>8114</v>
      </c>
      <c r="B5502" s="6" t="s">
        <v>1219</v>
      </c>
      <c r="C5502" s="6" t="s">
        <v>131</v>
      </c>
      <c r="D5502" s="13" t="n">
        <v>44764</v>
      </c>
      <c r="E5502" s="14" t="n">
        <v>2298.87</v>
      </c>
      <c r="F5502" s="14" t="n">
        <v>7176.51</v>
      </c>
      <c r="G5502" s="6" t="s">
        <v>2613</v>
      </c>
    </row>
    <row r="5503" customFormat="false" ht="15" hidden="false" customHeight="true" outlineLevel="0" collapsed="false">
      <c r="A5503" s="6" t="s">
        <v>8115</v>
      </c>
      <c r="B5503" s="6" t="s">
        <v>1219</v>
      </c>
      <c r="C5503" s="6" t="s">
        <v>131</v>
      </c>
      <c r="D5503" s="13" t="n">
        <v>44771</v>
      </c>
      <c r="E5503" s="14" t="n">
        <v>3523.18</v>
      </c>
      <c r="F5503" s="14" t="n">
        <v>10699.69</v>
      </c>
      <c r="G5503" s="6" t="s">
        <v>2613</v>
      </c>
    </row>
    <row r="5504" customFormat="false" ht="15" hidden="false" customHeight="true" outlineLevel="0" collapsed="false">
      <c r="A5504" s="6" t="s">
        <v>8116</v>
      </c>
      <c r="B5504" s="6" t="s">
        <v>1219</v>
      </c>
      <c r="C5504" s="6" t="s">
        <v>131</v>
      </c>
      <c r="D5504" s="13" t="n">
        <v>44778</v>
      </c>
      <c r="E5504" s="14" t="n">
        <v>3447.64</v>
      </c>
      <c r="F5504" s="14" t="n">
        <v>14147.33</v>
      </c>
      <c r="G5504" s="6" t="s">
        <v>2613</v>
      </c>
    </row>
    <row r="5505" customFormat="false" ht="15" hidden="false" customHeight="true" outlineLevel="0" collapsed="false">
      <c r="A5505" s="6" t="s">
        <v>8117</v>
      </c>
      <c r="B5505" s="6" t="s">
        <v>1219</v>
      </c>
      <c r="C5505" s="6" t="s">
        <v>131</v>
      </c>
      <c r="D5505" s="13" t="n">
        <v>44785</v>
      </c>
      <c r="E5505" s="14" t="n">
        <v>1750.61</v>
      </c>
      <c r="F5505" s="14" t="n">
        <v>15897.94</v>
      </c>
      <c r="G5505" s="6" t="s">
        <v>2613</v>
      </c>
    </row>
    <row r="5506" customFormat="false" ht="15" hidden="false" customHeight="true" outlineLevel="0" collapsed="false">
      <c r="A5506" s="6" t="s">
        <v>8118</v>
      </c>
      <c r="B5506" s="6" t="s">
        <v>1221</v>
      </c>
      <c r="C5506" s="6" t="s">
        <v>128</v>
      </c>
      <c r="D5506" s="13" t="n">
        <v>45427</v>
      </c>
      <c r="E5506" s="14" t="n">
        <v>7689.81</v>
      </c>
      <c r="F5506" s="14" t="n">
        <v>7689.81</v>
      </c>
      <c r="G5506" s="6" t="s">
        <v>2613</v>
      </c>
    </row>
    <row r="5507" customFormat="false" ht="15" hidden="false" customHeight="true" outlineLevel="0" collapsed="false">
      <c r="A5507" s="6" t="s">
        <v>8119</v>
      </c>
      <c r="B5507" s="6" t="s">
        <v>1221</v>
      </c>
      <c r="C5507" s="6" t="s">
        <v>128</v>
      </c>
      <c r="D5507" s="13" t="n">
        <v>45434</v>
      </c>
      <c r="E5507" s="14" t="n">
        <v>4430.31</v>
      </c>
      <c r="F5507" s="14" t="n">
        <v>12120.12</v>
      </c>
      <c r="G5507" s="6" t="s">
        <v>2613</v>
      </c>
    </row>
    <row r="5508" customFormat="false" ht="15" hidden="false" customHeight="true" outlineLevel="0" collapsed="false">
      <c r="A5508" s="6" t="s">
        <v>8120</v>
      </c>
      <c r="B5508" s="6" t="s">
        <v>1221</v>
      </c>
      <c r="C5508" s="6" t="s">
        <v>128</v>
      </c>
      <c r="D5508" s="13" t="n">
        <v>45441</v>
      </c>
      <c r="E5508" s="14" t="n">
        <v>6314.8</v>
      </c>
      <c r="F5508" s="14" t="n">
        <v>18434.92</v>
      </c>
      <c r="G5508" s="6" t="s">
        <v>2623</v>
      </c>
    </row>
    <row r="5509" customFormat="false" ht="15" hidden="false" customHeight="true" outlineLevel="0" collapsed="false">
      <c r="A5509" s="6" t="s">
        <v>8121</v>
      </c>
      <c r="B5509" s="6" t="s">
        <v>1221</v>
      </c>
      <c r="C5509" s="6" t="s">
        <v>128</v>
      </c>
      <c r="D5509" s="13" t="n">
        <v>45448</v>
      </c>
      <c r="E5509" s="14" t="n">
        <v>6023</v>
      </c>
      <c r="F5509" s="14" t="n">
        <v>24457.92</v>
      </c>
      <c r="G5509" s="6" t="s">
        <v>2613</v>
      </c>
    </row>
    <row r="5510" customFormat="false" ht="15" hidden="false" customHeight="true" outlineLevel="0" collapsed="false">
      <c r="A5510" s="6" t="s">
        <v>8122</v>
      </c>
      <c r="B5510" s="6" t="s">
        <v>1221</v>
      </c>
      <c r="C5510" s="6" t="s">
        <v>128</v>
      </c>
      <c r="D5510" s="13" t="n">
        <v>45455</v>
      </c>
      <c r="E5510" s="14" t="n">
        <v>3849.85</v>
      </c>
      <c r="F5510" s="14" t="n">
        <v>28307.77</v>
      </c>
      <c r="G5510" s="6" t="s">
        <v>2613</v>
      </c>
    </row>
    <row r="5511" customFormat="false" ht="15" hidden="false" customHeight="true" outlineLevel="0" collapsed="false">
      <c r="A5511" s="6" t="s">
        <v>8123</v>
      </c>
      <c r="B5511" s="6" t="s">
        <v>1221</v>
      </c>
      <c r="C5511" s="6" t="s">
        <v>128</v>
      </c>
      <c r="D5511" s="13" t="n">
        <v>45462</v>
      </c>
      <c r="E5511" s="14" t="n">
        <v>3732.73</v>
      </c>
      <c r="F5511" s="14" t="n">
        <v>32040.5</v>
      </c>
      <c r="G5511" s="6" t="s">
        <v>2613</v>
      </c>
    </row>
    <row r="5512" customFormat="false" ht="15" hidden="false" customHeight="true" outlineLevel="0" collapsed="false">
      <c r="A5512" s="6" t="s">
        <v>8124</v>
      </c>
      <c r="B5512" s="6" t="s">
        <v>1221</v>
      </c>
      <c r="C5512" s="6" t="s">
        <v>128</v>
      </c>
      <c r="D5512" s="13" t="n">
        <v>45469</v>
      </c>
      <c r="E5512" s="14" t="n">
        <v>11444.37</v>
      </c>
      <c r="F5512" s="14" t="n">
        <v>43484.87</v>
      </c>
      <c r="G5512" s="6" t="s">
        <v>2623</v>
      </c>
    </row>
    <row r="5513" customFormat="false" ht="15" hidden="false" customHeight="true" outlineLevel="0" collapsed="false">
      <c r="A5513" s="6" t="s">
        <v>8125</v>
      </c>
      <c r="B5513" s="6" t="s">
        <v>1223</v>
      </c>
      <c r="C5513" s="6" t="s">
        <v>120</v>
      </c>
      <c r="D5513" s="13" t="n">
        <v>45921</v>
      </c>
      <c r="E5513" s="14" t="n">
        <v>6123.6</v>
      </c>
      <c r="F5513" s="14" t="n">
        <v>6123.6</v>
      </c>
      <c r="G5513" s="6" t="s">
        <v>2613</v>
      </c>
    </row>
    <row r="5514" customFormat="false" ht="15" hidden="false" customHeight="true" outlineLevel="0" collapsed="false">
      <c r="A5514" s="6" t="s">
        <v>8126</v>
      </c>
      <c r="B5514" s="6" t="s">
        <v>1223</v>
      </c>
      <c r="C5514" s="6" t="s">
        <v>120</v>
      </c>
      <c r="D5514" s="13" t="n">
        <v>45928</v>
      </c>
      <c r="E5514" s="14" t="n">
        <v>4692.15</v>
      </c>
      <c r="F5514" s="14" t="n">
        <v>10815.75</v>
      </c>
      <c r="G5514" s="6" t="s">
        <v>2613</v>
      </c>
    </row>
    <row r="5515" customFormat="false" ht="15" hidden="false" customHeight="true" outlineLevel="0" collapsed="false">
      <c r="A5515" s="6" t="s">
        <v>8127</v>
      </c>
      <c r="B5515" s="6" t="s">
        <v>1223</v>
      </c>
      <c r="C5515" s="6" t="s">
        <v>120</v>
      </c>
      <c r="D5515" s="13" t="n">
        <v>45935</v>
      </c>
      <c r="E5515" s="14" t="n">
        <v>5431.74</v>
      </c>
      <c r="F5515" s="14" t="n">
        <v>16247.49</v>
      </c>
      <c r="G5515" s="6" t="s">
        <v>2613</v>
      </c>
    </row>
    <row r="5516" customFormat="false" ht="15" hidden="false" customHeight="true" outlineLevel="0" collapsed="false">
      <c r="A5516" s="6" t="s">
        <v>8128</v>
      </c>
      <c r="B5516" s="6" t="s">
        <v>1223</v>
      </c>
      <c r="C5516" s="6" t="s">
        <v>120</v>
      </c>
      <c r="D5516" s="13" t="n">
        <v>45942</v>
      </c>
      <c r="E5516" s="14" t="n">
        <v>4851.81</v>
      </c>
      <c r="F5516" s="14" t="n">
        <v>21099.3</v>
      </c>
      <c r="G5516" s="6" t="s">
        <v>2613</v>
      </c>
    </row>
    <row r="5517" customFormat="false" ht="15" hidden="false" customHeight="true" outlineLevel="0" collapsed="false">
      <c r="A5517" s="6" t="s">
        <v>8129</v>
      </c>
      <c r="B5517" s="6" t="s">
        <v>1223</v>
      </c>
      <c r="C5517" s="6" t="s">
        <v>120</v>
      </c>
      <c r="D5517" s="13" t="n">
        <v>45949</v>
      </c>
      <c r="E5517" s="14" t="n">
        <v>5616.19</v>
      </c>
      <c r="F5517" s="14" t="n">
        <v>26715.49</v>
      </c>
      <c r="G5517" s="6" t="s">
        <v>2613</v>
      </c>
    </row>
    <row r="5518" customFormat="false" ht="15" hidden="false" customHeight="true" outlineLevel="0" collapsed="false">
      <c r="A5518" s="6" t="s">
        <v>8130</v>
      </c>
      <c r="B5518" s="6" t="s">
        <v>1223</v>
      </c>
      <c r="C5518" s="6" t="s">
        <v>120</v>
      </c>
      <c r="D5518" s="13" t="n">
        <v>45956</v>
      </c>
      <c r="E5518" s="14" t="n">
        <v>3545.84</v>
      </c>
      <c r="F5518" s="14" t="n">
        <v>30261.33</v>
      </c>
      <c r="G5518" s="6" t="s">
        <v>2613</v>
      </c>
    </row>
    <row r="5519" customFormat="false" ht="15" hidden="false" customHeight="true" outlineLevel="0" collapsed="false">
      <c r="A5519" s="6" t="s">
        <v>8131</v>
      </c>
      <c r="B5519" s="6" t="s">
        <v>1223</v>
      </c>
      <c r="C5519" s="6" t="s">
        <v>120</v>
      </c>
      <c r="D5519" s="13" t="n">
        <v>45963</v>
      </c>
      <c r="E5519" s="14" t="n">
        <v>4795.36</v>
      </c>
      <c r="F5519" s="14" t="n">
        <v>35056.69</v>
      </c>
      <c r="G5519" s="6" t="s">
        <v>2623</v>
      </c>
    </row>
    <row r="5520" customFormat="false" ht="15" hidden="false" customHeight="true" outlineLevel="0" collapsed="false">
      <c r="A5520" s="6" t="s">
        <v>8132</v>
      </c>
      <c r="B5520" s="6" t="s">
        <v>1223</v>
      </c>
      <c r="C5520" s="6" t="s">
        <v>120</v>
      </c>
      <c r="D5520" s="13" t="n">
        <v>45970</v>
      </c>
      <c r="E5520" s="14" t="n">
        <v>4936.62</v>
      </c>
      <c r="F5520" s="14" t="n">
        <v>39993.31</v>
      </c>
      <c r="G5520" s="6" t="s">
        <v>2613</v>
      </c>
    </row>
    <row r="5521" customFormat="false" ht="15" hidden="false" customHeight="true" outlineLevel="0" collapsed="false">
      <c r="A5521" s="6" t="s">
        <v>8133</v>
      </c>
      <c r="B5521" s="6" t="s">
        <v>1223</v>
      </c>
      <c r="C5521" s="6" t="s">
        <v>120</v>
      </c>
      <c r="D5521" s="13" t="n">
        <v>45977</v>
      </c>
      <c r="E5521" s="14" t="n">
        <v>5530.71</v>
      </c>
      <c r="F5521" s="14" t="n">
        <v>45524.02</v>
      </c>
      <c r="G5521" s="6" t="s">
        <v>2613</v>
      </c>
    </row>
    <row r="5522" customFormat="false" ht="15" hidden="false" customHeight="true" outlineLevel="0" collapsed="false">
      <c r="A5522" s="6" t="s">
        <v>8134</v>
      </c>
      <c r="B5522" s="6" t="s">
        <v>1223</v>
      </c>
      <c r="C5522" s="6" t="s">
        <v>120</v>
      </c>
      <c r="D5522" s="13" t="n">
        <v>45984</v>
      </c>
      <c r="E5522" s="14" t="n">
        <v>576.75</v>
      </c>
      <c r="F5522" s="14" t="n">
        <v>46100.77</v>
      </c>
      <c r="G5522" s="6" t="s">
        <v>2613</v>
      </c>
    </row>
    <row r="5523" customFormat="false" ht="15" hidden="false" customHeight="true" outlineLevel="0" collapsed="false">
      <c r="A5523" s="6" t="s">
        <v>8135</v>
      </c>
      <c r="B5523" s="6" t="s">
        <v>1225</v>
      </c>
      <c r="C5523" s="6" t="s">
        <v>131</v>
      </c>
      <c r="D5523" s="13" t="n">
        <v>45011</v>
      </c>
      <c r="E5523" s="14" t="n">
        <v>3655.45</v>
      </c>
      <c r="F5523" s="14" t="n">
        <v>3655.45</v>
      </c>
      <c r="G5523" s="6" t="s">
        <v>2613</v>
      </c>
    </row>
    <row r="5524" customFormat="false" ht="15" hidden="false" customHeight="true" outlineLevel="0" collapsed="false">
      <c r="A5524" s="6" t="s">
        <v>8136</v>
      </c>
      <c r="B5524" s="6" t="s">
        <v>1225</v>
      </c>
      <c r="C5524" s="6" t="s">
        <v>131</v>
      </c>
      <c r="D5524" s="13" t="n">
        <v>45018</v>
      </c>
      <c r="E5524" s="14" t="n">
        <v>4462.49</v>
      </c>
      <c r="F5524" s="14" t="n">
        <v>8117.94</v>
      </c>
      <c r="G5524" s="6" t="s">
        <v>2613</v>
      </c>
    </row>
    <row r="5525" customFormat="false" ht="15" hidden="false" customHeight="true" outlineLevel="0" collapsed="false">
      <c r="A5525" s="6" t="s">
        <v>8137</v>
      </c>
      <c r="B5525" s="6" t="s">
        <v>1225</v>
      </c>
      <c r="C5525" s="6" t="s">
        <v>131</v>
      </c>
      <c r="D5525" s="13" t="n">
        <v>45025</v>
      </c>
      <c r="E5525" s="14" t="n">
        <v>2481.65</v>
      </c>
      <c r="F5525" s="14" t="n">
        <v>10599.59</v>
      </c>
      <c r="G5525" s="6" t="s">
        <v>2613</v>
      </c>
    </row>
    <row r="5526" customFormat="false" ht="15" hidden="false" customHeight="true" outlineLevel="0" collapsed="false">
      <c r="A5526" s="6" t="s">
        <v>8138</v>
      </c>
      <c r="B5526" s="6" t="s">
        <v>1225</v>
      </c>
      <c r="C5526" s="6" t="s">
        <v>131</v>
      </c>
      <c r="D5526" s="13" t="n">
        <v>45032</v>
      </c>
      <c r="E5526" s="14" t="n">
        <v>2910.3</v>
      </c>
      <c r="F5526" s="14" t="n">
        <v>13509.89</v>
      </c>
      <c r="G5526" s="6" t="s">
        <v>2613</v>
      </c>
    </row>
    <row r="5527" customFormat="false" ht="15" hidden="false" customHeight="true" outlineLevel="0" collapsed="false">
      <c r="A5527" s="6" t="s">
        <v>8139</v>
      </c>
      <c r="B5527" s="6" t="s">
        <v>1225</v>
      </c>
      <c r="C5527" s="6" t="s">
        <v>131</v>
      </c>
      <c r="D5527" s="13" t="n">
        <v>45039</v>
      </c>
      <c r="E5527" s="14" t="n">
        <v>4348.46</v>
      </c>
      <c r="F5527" s="14" t="n">
        <v>17858.35</v>
      </c>
      <c r="G5527" s="6" t="s">
        <v>2613</v>
      </c>
    </row>
    <row r="5528" customFormat="false" ht="15" hidden="false" customHeight="true" outlineLevel="0" collapsed="false">
      <c r="A5528" s="6" t="s">
        <v>8140</v>
      </c>
      <c r="B5528" s="6" t="s">
        <v>1225</v>
      </c>
      <c r="C5528" s="6" t="s">
        <v>131</v>
      </c>
      <c r="D5528" s="13" t="n">
        <v>45046</v>
      </c>
      <c r="E5528" s="14" t="n">
        <v>4696.06</v>
      </c>
      <c r="F5528" s="14" t="n">
        <v>22554.41</v>
      </c>
      <c r="G5528" s="6" t="s">
        <v>2613</v>
      </c>
    </row>
    <row r="5529" customFormat="false" ht="15" hidden="false" customHeight="true" outlineLevel="0" collapsed="false">
      <c r="A5529" s="6" t="s">
        <v>8141</v>
      </c>
      <c r="B5529" s="6" t="s">
        <v>1225</v>
      </c>
      <c r="C5529" s="6" t="s">
        <v>131</v>
      </c>
      <c r="D5529" s="13" t="n">
        <v>45053</v>
      </c>
      <c r="E5529" s="14" t="n">
        <v>3961.43</v>
      </c>
      <c r="F5529" s="14" t="n">
        <v>26515.84</v>
      </c>
      <c r="G5529" s="6" t="s">
        <v>2613</v>
      </c>
    </row>
    <row r="5530" customFormat="false" ht="15" hidden="false" customHeight="true" outlineLevel="0" collapsed="false">
      <c r="A5530" s="6" t="s">
        <v>8142</v>
      </c>
      <c r="B5530" s="6" t="s">
        <v>1225</v>
      </c>
      <c r="C5530" s="6" t="s">
        <v>131</v>
      </c>
      <c r="D5530" s="13" t="n">
        <v>45060</v>
      </c>
      <c r="E5530" s="14" t="n">
        <v>2021.15</v>
      </c>
      <c r="F5530" s="14" t="n">
        <v>28536.99</v>
      </c>
      <c r="G5530" s="6" t="s">
        <v>2613</v>
      </c>
    </row>
    <row r="5531" customFormat="false" ht="15" hidden="false" customHeight="true" outlineLevel="0" collapsed="false">
      <c r="A5531" s="6" t="s">
        <v>8143</v>
      </c>
      <c r="B5531" s="6" t="s">
        <v>1225</v>
      </c>
      <c r="C5531" s="6" t="s">
        <v>131</v>
      </c>
      <c r="D5531" s="13" t="n">
        <v>45067</v>
      </c>
      <c r="E5531" s="14" t="n">
        <v>2592.97</v>
      </c>
      <c r="F5531" s="14" t="n">
        <v>31129.96</v>
      </c>
      <c r="G5531" s="6" t="s">
        <v>2613</v>
      </c>
    </row>
    <row r="5532" customFormat="false" ht="15" hidden="false" customHeight="true" outlineLevel="0" collapsed="false">
      <c r="A5532" s="6" t="s">
        <v>8144</v>
      </c>
      <c r="B5532" s="6" t="s">
        <v>1225</v>
      </c>
      <c r="C5532" s="6" t="s">
        <v>131</v>
      </c>
      <c r="D5532" s="13" t="n">
        <v>45074</v>
      </c>
      <c r="E5532" s="14" t="n">
        <v>2360.8</v>
      </c>
      <c r="F5532" s="14" t="n">
        <v>33490.76</v>
      </c>
      <c r="G5532" s="6" t="s">
        <v>2613</v>
      </c>
    </row>
    <row r="5533" customFormat="false" ht="15" hidden="false" customHeight="true" outlineLevel="0" collapsed="false">
      <c r="A5533" s="6" t="s">
        <v>8145</v>
      </c>
      <c r="B5533" s="6" t="s">
        <v>1225</v>
      </c>
      <c r="C5533" s="6" t="s">
        <v>131</v>
      </c>
      <c r="D5533" s="13" t="n">
        <v>45081</v>
      </c>
      <c r="E5533" s="14" t="n">
        <v>4652.89</v>
      </c>
      <c r="F5533" s="14" t="n">
        <v>38143.65</v>
      </c>
      <c r="G5533" s="6" t="s">
        <v>2613</v>
      </c>
    </row>
    <row r="5534" customFormat="false" ht="15" hidden="false" customHeight="true" outlineLevel="0" collapsed="false">
      <c r="A5534" s="6" t="s">
        <v>8146</v>
      </c>
      <c r="B5534" s="6" t="s">
        <v>1225</v>
      </c>
      <c r="C5534" s="6" t="s">
        <v>131</v>
      </c>
      <c r="D5534" s="13" t="n">
        <v>45088</v>
      </c>
      <c r="E5534" s="14" t="n">
        <v>4561.77</v>
      </c>
      <c r="F5534" s="14" t="n">
        <v>42705.42</v>
      </c>
      <c r="G5534" s="6" t="s">
        <v>2623</v>
      </c>
    </row>
    <row r="5535" customFormat="false" ht="15" hidden="false" customHeight="true" outlineLevel="0" collapsed="false">
      <c r="A5535" s="6" t="s">
        <v>8147</v>
      </c>
      <c r="B5535" s="6" t="s">
        <v>1225</v>
      </c>
      <c r="C5535" s="6" t="s">
        <v>131</v>
      </c>
      <c r="D5535" s="13" t="n">
        <v>45095</v>
      </c>
      <c r="E5535" s="14" t="n">
        <v>2256.46</v>
      </c>
      <c r="F5535" s="14" t="n">
        <v>44961.88</v>
      </c>
      <c r="G5535" s="6" t="s">
        <v>2613</v>
      </c>
    </row>
    <row r="5536" customFormat="false" ht="15" hidden="false" customHeight="true" outlineLevel="0" collapsed="false">
      <c r="A5536" s="6" t="s">
        <v>8148</v>
      </c>
      <c r="B5536" s="6" t="s">
        <v>1225</v>
      </c>
      <c r="C5536" s="6" t="s">
        <v>131</v>
      </c>
      <c r="D5536" s="13" t="n">
        <v>45102</v>
      </c>
      <c r="E5536" s="14" t="n">
        <v>2121.73</v>
      </c>
      <c r="F5536" s="14" t="n">
        <v>47083.61</v>
      </c>
      <c r="G5536" s="6" t="s">
        <v>2613</v>
      </c>
    </row>
    <row r="5537" customFormat="false" ht="15" hidden="false" customHeight="true" outlineLevel="0" collapsed="false">
      <c r="A5537" s="6" t="s">
        <v>8149</v>
      </c>
      <c r="B5537" s="6" t="s">
        <v>1227</v>
      </c>
      <c r="C5537" s="6" t="s">
        <v>131</v>
      </c>
      <c r="D5537" s="13" t="n">
        <v>44970</v>
      </c>
      <c r="E5537" s="14" t="n">
        <v>10243.95</v>
      </c>
      <c r="F5537" s="14" t="n">
        <v>10243.95</v>
      </c>
      <c r="G5537" s="6" t="s">
        <v>2613</v>
      </c>
    </row>
    <row r="5538" customFormat="false" ht="15" hidden="false" customHeight="true" outlineLevel="0" collapsed="false">
      <c r="A5538" s="6" t="s">
        <v>8150</v>
      </c>
      <c r="B5538" s="6" t="s">
        <v>1227</v>
      </c>
      <c r="C5538" s="6" t="s">
        <v>131</v>
      </c>
      <c r="D5538" s="13" t="n">
        <v>44977</v>
      </c>
      <c r="E5538" s="14" t="n">
        <v>6050.87</v>
      </c>
      <c r="F5538" s="14" t="n">
        <v>16294.82</v>
      </c>
      <c r="G5538" s="6" t="s">
        <v>2613</v>
      </c>
    </row>
    <row r="5539" customFormat="false" ht="15" hidden="false" customHeight="true" outlineLevel="0" collapsed="false">
      <c r="A5539" s="6" t="s">
        <v>8151</v>
      </c>
      <c r="B5539" s="6" t="s">
        <v>1227</v>
      </c>
      <c r="C5539" s="6" t="s">
        <v>131</v>
      </c>
      <c r="D5539" s="13" t="n">
        <v>44984</v>
      </c>
      <c r="E5539" s="14" t="n">
        <v>11919.11</v>
      </c>
      <c r="F5539" s="14" t="n">
        <v>28213.93</v>
      </c>
      <c r="G5539" s="6" t="s">
        <v>2613</v>
      </c>
    </row>
    <row r="5540" customFormat="false" ht="15" hidden="false" customHeight="true" outlineLevel="0" collapsed="false">
      <c r="A5540" s="6" t="s">
        <v>8152</v>
      </c>
      <c r="B5540" s="6" t="s">
        <v>1227</v>
      </c>
      <c r="C5540" s="6" t="s">
        <v>131</v>
      </c>
      <c r="D5540" s="13" t="n">
        <v>44991</v>
      </c>
      <c r="E5540" s="14" t="n">
        <v>10096.91</v>
      </c>
      <c r="F5540" s="14" t="n">
        <v>38310.84</v>
      </c>
      <c r="G5540" s="6" t="s">
        <v>2613</v>
      </c>
    </row>
    <row r="5541" customFormat="false" ht="15" hidden="false" customHeight="true" outlineLevel="0" collapsed="false">
      <c r="A5541" s="6" t="s">
        <v>8153</v>
      </c>
      <c r="B5541" s="6" t="s">
        <v>1227</v>
      </c>
      <c r="C5541" s="6" t="s">
        <v>131</v>
      </c>
      <c r="D5541" s="13" t="n">
        <v>44998</v>
      </c>
      <c r="E5541" s="14" t="n">
        <v>11048.28</v>
      </c>
      <c r="F5541" s="14" t="n">
        <v>49359.12</v>
      </c>
      <c r="G5541" s="6" t="s">
        <v>2613</v>
      </c>
    </row>
    <row r="5542" customFormat="false" ht="15" hidden="false" customHeight="true" outlineLevel="0" collapsed="false">
      <c r="A5542" s="6" t="s">
        <v>8154</v>
      </c>
      <c r="B5542" s="6" t="s">
        <v>1227</v>
      </c>
      <c r="C5542" s="6" t="s">
        <v>131</v>
      </c>
      <c r="D5542" s="13" t="n">
        <v>45005</v>
      </c>
      <c r="E5542" s="14" t="n">
        <v>8197.44</v>
      </c>
      <c r="F5542" s="14" t="n">
        <v>57556.56</v>
      </c>
      <c r="G5542" s="6" t="s">
        <v>2613</v>
      </c>
    </row>
    <row r="5543" customFormat="false" ht="15" hidden="false" customHeight="true" outlineLevel="0" collapsed="false">
      <c r="A5543" s="6" t="s">
        <v>8155</v>
      </c>
      <c r="B5543" s="6" t="s">
        <v>1227</v>
      </c>
      <c r="C5543" s="6" t="s">
        <v>131</v>
      </c>
      <c r="D5543" s="13" t="n">
        <v>45012</v>
      </c>
      <c r="E5543" s="14" t="n">
        <v>11586.03</v>
      </c>
      <c r="F5543" s="14" t="n">
        <v>69142.59</v>
      </c>
      <c r="G5543" s="6" t="s">
        <v>2613</v>
      </c>
    </row>
    <row r="5544" customFormat="false" ht="15" hidden="false" customHeight="true" outlineLevel="0" collapsed="false">
      <c r="A5544" s="6" t="s">
        <v>8156</v>
      </c>
      <c r="B5544" s="6" t="s">
        <v>1227</v>
      </c>
      <c r="C5544" s="6" t="s">
        <v>131</v>
      </c>
      <c r="D5544" s="13" t="n">
        <v>45019</v>
      </c>
      <c r="E5544" s="14" t="n">
        <v>5883.01</v>
      </c>
      <c r="F5544" s="14" t="n">
        <v>75025.6</v>
      </c>
      <c r="G5544" s="6" t="s">
        <v>2613</v>
      </c>
    </row>
    <row r="5545" customFormat="false" ht="15" hidden="false" customHeight="true" outlineLevel="0" collapsed="false">
      <c r="A5545" s="6" t="s">
        <v>8157</v>
      </c>
      <c r="B5545" s="6" t="s">
        <v>1227</v>
      </c>
      <c r="C5545" s="6" t="s">
        <v>131</v>
      </c>
      <c r="D5545" s="13" t="n">
        <v>45026</v>
      </c>
      <c r="E5545" s="14" t="n">
        <v>2542.48</v>
      </c>
      <c r="F5545" s="14" t="n">
        <v>77568.08</v>
      </c>
      <c r="G5545" s="6" t="s">
        <v>2613</v>
      </c>
    </row>
    <row r="5546" customFormat="false" ht="15" hidden="false" customHeight="true" outlineLevel="0" collapsed="false">
      <c r="A5546" s="6" t="s">
        <v>8158</v>
      </c>
      <c r="B5546" s="6" t="s">
        <v>1229</v>
      </c>
      <c r="C5546" s="6" t="s">
        <v>116</v>
      </c>
      <c r="D5546" s="13" t="n">
        <v>45787</v>
      </c>
      <c r="E5546" s="14" t="n">
        <v>2289.79</v>
      </c>
      <c r="F5546" s="14" t="n">
        <v>2289.79</v>
      </c>
      <c r="G5546" s="6" t="s">
        <v>2613</v>
      </c>
    </row>
    <row r="5547" customFormat="false" ht="15" hidden="false" customHeight="true" outlineLevel="0" collapsed="false">
      <c r="A5547" s="6" t="s">
        <v>8159</v>
      </c>
      <c r="B5547" s="6" t="s">
        <v>1229</v>
      </c>
      <c r="C5547" s="6" t="s">
        <v>116</v>
      </c>
      <c r="D5547" s="13" t="n">
        <v>45794</v>
      </c>
      <c r="E5547" s="14" t="n">
        <v>3136.28</v>
      </c>
      <c r="F5547" s="14" t="n">
        <v>5426.07</v>
      </c>
      <c r="G5547" s="6" t="s">
        <v>2623</v>
      </c>
    </row>
    <row r="5548" customFormat="false" ht="15" hidden="false" customHeight="true" outlineLevel="0" collapsed="false">
      <c r="A5548" s="6" t="s">
        <v>8160</v>
      </c>
      <c r="B5548" s="6" t="s">
        <v>1229</v>
      </c>
      <c r="C5548" s="6" t="s">
        <v>116</v>
      </c>
      <c r="D5548" s="13" t="n">
        <v>45801</v>
      </c>
      <c r="E5548" s="14" t="n">
        <v>2442.23</v>
      </c>
      <c r="F5548" s="14" t="n">
        <v>7868.3</v>
      </c>
      <c r="G5548" s="6" t="s">
        <v>2613</v>
      </c>
    </row>
    <row r="5549" customFormat="false" ht="15" hidden="false" customHeight="true" outlineLevel="0" collapsed="false">
      <c r="A5549" s="6" t="s">
        <v>8161</v>
      </c>
      <c r="B5549" s="6" t="s">
        <v>1229</v>
      </c>
      <c r="C5549" s="6" t="s">
        <v>116</v>
      </c>
      <c r="D5549" s="13" t="n">
        <v>45808</v>
      </c>
      <c r="E5549" s="14" t="n">
        <v>1557.69</v>
      </c>
      <c r="F5549" s="14" t="n">
        <v>9425.99</v>
      </c>
      <c r="G5549" s="6" t="s">
        <v>2623</v>
      </c>
    </row>
    <row r="5550" customFormat="false" ht="15" hidden="false" customHeight="true" outlineLevel="0" collapsed="false">
      <c r="A5550" s="6" t="s">
        <v>8162</v>
      </c>
      <c r="B5550" s="6" t="s">
        <v>1229</v>
      </c>
      <c r="C5550" s="6" t="s">
        <v>116</v>
      </c>
      <c r="D5550" s="13" t="n">
        <v>45815</v>
      </c>
      <c r="E5550" s="14" t="n">
        <v>1730.07</v>
      </c>
      <c r="F5550" s="14" t="n">
        <v>11156.06</v>
      </c>
      <c r="G5550" s="6" t="s">
        <v>2613</v>
      </c>
    </row>
    <row r="5551" customFormat="false" ht="15" hidden="false" customHeight="true" outlineLevel="0" collapsed="false">
      <c r="A5551" s="6" t="s">
        <v>8163</v>
      </c>
      <c r="B5551" s="6" t="s">
        <v>1229</v>
      </c>
      <c r="C5551" s="6" t="s">
        <v>116</v>
      </c>
      <c r="D5551" s="13" t="n">
        <v>45822</v>
      </c>
      <c r="E5551" s="14" t="n">
        <v>2211.61</v>
      </c>
      <c r="F5551" s="14" t="n">
        <v>13367.67</v>
      </c>
      <c r="G5551" s="6" t="s">
        <v>2613</v>
      </c>
    </row>
    <row r="5552" customFormat="false" ht="15" hidden="false" customHeight="true" outlineLevel="0" collapsed="false">
      <c r="A5552" s="6" t="s">
        <v>8164</v>
      </c>
      <c r="B5552" s="6" t="s">
        <v>1229</v>
      </c>
      <c r="C5552" s="6" t="s">
        <v>116</v>
      </c>
      <c r="D5552" s="13" t="n">
        <v>45829</v>
      </c>
      <c r="E5552" s="14" t="n">
        <v>2724.01</v>
      </c>
      <c r="F5552" s="14" t="n">
        <v>16091.68</v>
      </c>
      <c r="G5552" s="6" t="s">
        <v>2613</v>
      </c>
    </row>
    <row r="5553" customFormat="false" ht="15" hidden="false" customHeight="true" outlineLevel="0" collapsed="false">
      <c r="A5553" s="6" t="s">
        <v>8165</v>
      </c>
      <c r="B5553" s="6" t="s">
        <v>1229</v>
      </c>
      <c r="C5553" s="6" t="s">
        <v>116</v>
      </c>
      <c r="D5553" s="13" t="n">
        <v>45836</v>
      </c>
      <c r="E5553" s="14" t="n">
        <v>2314</v>
      </c>
      <c r="F5553" s="14" t="n">
        <v>18405.68</v>
      </c>
      <c r="G5553" s="6" t="s">
        <v>2613</v>
      </c>
    </row>
    <row r="5554" customFormat="false" ht="15" hidden="false" customHeight="true" outlineLevel="0" collapsed="false">
      <c r="A5554" s="6" t="s">
        <v>8166</v>
      </c>
      <c r="B5554" s="6" t="s">
        <v>1229</v>
      </c>
      <c r="C5554" s="6" t="s">
        <v>116</v>
      </c>
      <c r="D5554" s="13" t="n">
        <v>45843</v>
      </c>
      <c r="E5554" s="14" t="n">
        <v>2576.65</v>
      </c>
      <c r="F5554" s="14" t="n">
        <v>20982.33</v>
      </c>
      <c r="G5554" s="6" t="s">
        <v>2613</v>
      </c>
    </row>
    <row r="5555" customFormat="false" ht="15" hidden="false" customHeight="true" outlineLevel="0" collapsed="false">
      <c r="A5555" s="6" t="s">
        <v>8167</v>
      </c>
      <c r="B5555" s="6" t="s">
        <v>1229</v>
      </c>
      <c r="C5555" s="6" t="s">
        <v>116</v>
      </c>
      <c r="D5555" s="13" t="n">
        <v>45850</v>
      </c>
      <c r="E5555" s="14" t="n">
        <v>2732.93</v>
      </c>
      <c r="F5555" s="14" t="n">
        <v>23715.26</v>
      </c>
      <c r="G5555" s="6" t="s">
        <v>2613</v>
      </c>
    </row>
    <row r="5556" customFormat="false" ht="15" hidden="false" customHeight="true" outlineLevel="0" collapsed="false">
      <c r="A5556" s="6" t="s">
        <v>8168</v>
      </c>
      <c r="B5556" s="6" t="s">
        <v>1231</v>
      </c>
      <c r="C5556" s="6" t="s">
        <v>131</v>
      </c>
      <c r="D5556" s="13" t="n">
        <v>44984</v>
      </c>
      <c r="E5556" s="14" t="n">
        <v>281.69</v>
      </c>
      <c r="F5556" s="14" t="n">
        <v>281.69</v>
      </c>
      <c r="G5556" s="6" t="s">
        <v>2623</v>
      </c>
    </row>
    <row r="5557" customFormat="false" ht="15" hidden="false" customHeight="true" outlineLevel="0" collapsed="false">
      <c r="A5557" s="6" t="s">
        <v>8169</v>
      </c>
      <c r="B5557" s="6" t="s">
        <v>1231</v>
      </c>
      <c r="C5557" s="6" t="s">
        <v>131</v>
      </c>
      <c r="D5557" s="13" t="n">
        <v>44991</v>
      </c>
      <c r="E5557" s="14" t="n">
        <v>426.17</v>
      </c>
      <c r="F5557" s="14" t="n">
        <v>707.86</v>
      </c>
      <c r="G5557" s="6" t="s">
        <v>2613</v>
      </c>
    </row>
    <row r="5558" customFormat="false" ht="15" hidden="false" customHeight="true" outlineLevel="0" collapsed="false">
      <c r="A5558" s="6" t="s">
        <v>8170</v>
      </c>
      <c r="B5558" s="6" t="s">
        <v>1231</v>
      </c>
      <c r="C5558" s="6" t="s">
        <v>131</v>
      </c>
      <c r="D5558" s="13" t="n">
        <v>44998</v>
      </c>
      <c r="E5558" s="14" t="n">
        <v>633.74</v>
      </c>
      <c r="F5558" s="14" t="n">
        <v>1341.6</v>
      </c>
      <c r="G5558" s="6" t="s">
        <v>2613</v>
      </c>
    </row>
    <row r="5559" customFormat="false" ht="15" hidden="false" customHeight="true" outlineLevel="0" collapsed="false">
      <c r="A5559" s="6" t="s">
        <v>8171</v>
      </c>
      <c r="B5559" s="6" t="s">
        <v>1231</v>
      </c>
      <c r="C5559" s="6" t="s">
        <v>131</v>
      </c>
      <c r="D5559" s="13" t="n">
        <v>45005</v>
      </c>
      <c r="E5559" s="14" t="n">
        <v>634.07</v>
      </c>
      <c r="F5559" s="14" t="n">
        <v>1975.67</v>
      </c>
      <c r="G5559" s="6" t="s">
        <v>2613</v>
      </c>
    </row>
    <row r="5560" customFormat="false" ht="15" hidden="false" customHeight="true" outlineLevel="0" collapsed="false">
      <c r="A5560" s="6" t="s">
        <v>8172</v>
      </c>
      <c r="B5560" s="6" t="s">
        <v>1231</v>
      </c>
      <c r="C5560" s="6" t="s">
        <v>131</v>
      </c>
      <c r="D5560" s="13" t="n">
        <v>45012</v>
      </c>
      <c r="E5560" s="14" t="n">
        <v>628.29</v>
      </c>
      <c r="F5560" s="14" t="n">
        <v>2603.96</v>
      </c>
      <c r="G5560" s="6" t="s">
        <v>2613</v>
      </c>
    </row>
    <row r="5561" customFormat="false" ht="15" hidden="false" customHeight="true" outlineLevel="0" collapsed="false">
      <c r="A5561" s="6" t="s">
        <v>8173</v>
      </c>
      <c r="B5561" s="6" t="s">
        <v>1231</v>
      </c>
      <c r="C5561" s="6" t="s">
        <v>131</v>
      </c>
      <c r="D5561" s="13" t="n">
        <v>45019</v>
      </c>
      <c r="E5561" s="14" t="n">
        <v>291.49</v>
      </c>
      <c r="F5561" s="14" t="n">
        <v>2895.45</v>
      </c>
      <c r="G5561" s="6" t="s">
        <v>2613</v>
      </c>
    </row>
    <row r="5562" customFormat="false" ht="15" hidden="false" customHeight="true" outlineLevel="0" collapsed="false">
      <c r="A5562" s="6" t="s">
        <v>8174</v>
      </c>
      <c r="B5562" s="6" t="s">
        <v>1231</v>
      </c>
      <c r="C5562" s="6" t="s">
        <v>131</v>
      </c>
      <c r="D5562" s="13" t="n">
        <v>45026</v>
      </c>
      <c r="E5562" s="14" t="n">
        <v>421.8</v>
      </c>
      <c r="F5562" s="14" t="n">
        <v>3317.25</v>
      </c>
      <c r="G5562" s="6" t="s">
        <v>2613</v>
      </c>
    </row>
    <row r="5563" customFormat="false" ht="15" hidden="false" customHeight="true" outlineLevel="0" collapsed="false">
      <c r="A5563" s="6" t="s">
        <v>8175</v>
      </c>
      <c r="B5563" s="6" t="s">
        <v>1231</v>
      </c>
      <c r="C5563" s="6" t="s">
        <v>131</v>
      </c>
      <c r="D5563" s="13" t="n">
        <v>45033</v>
      </c>
      <c r="E5563" s="14" t="n">
        <v>369.8</v>
      </c>
      <c r="F5563" s="14" t="n">
        <v>3687.05</v>
      </c>
      <c r="G5563" s="6" t="s">
        <v>2613</v>
      </c>
    </row>
    <row r="5564" customFormat="false" ht="15" hidden="false" customHeight="true" outlineLevel="0" collapsed="false">
      <c r="A5564" s="6" t="s">
        <v>8176</v>
      </c>
      <c r="B5564" s="6" t="s">
        <v>1233</v>
      </c>
      <c r="C5564" s="6" t="s">
        <v>124</v>
      </c>
      <c r="D5564" s="13" t="n">
        <v>44971</v>
      </c>
      <c r="E5564" s="14" t="n">
        <v>505</v>
      </c>
      <c r="F5564" s="14" t="n">
        <v>505</v>
      </c>
      <c r="G5564" s="6" t="s">
        <v>2613</v>
      </c>
    </row>
    <row r="5565" customFormat="false" ht="15" hidden="false" customHeight="true" outlineLevel="0" collapsed="false">
      <c r="A5565" s="6" t="s">
        <v>8177</v>
      </c>
      <c r="B5565" s="6" t="s">
        <v>1233</v>
      </c>
      <c r="C5565" s="6" t="s">
        <v>124</v>
      </c>
      <c r="D5565" s="13" t="n">
        <v>44978</v>
      </c>
      <c r="E5565" s="14" t="n">
        <v>627.81</v>
      </c>
      <c r="F5565" s="14" t="n">
        <v>1132.81</v>
      </c>
      <c r="G5565" s="6" t="s">
        <v>2623</v>
      </c>
    </row>
    <row r="5566" customFormat="false" ht="15" hidden="false" customHeight="true" outlineLevel="0" collapsed="false">
      <c r="A5566" s="6" t="s">
        <v>8178</v>
      </c>
      <c r="B5566" s="6" t="s">
        <v>1233</v>
      </c>
      <c r="C5566" s="6" t="s">
        <v>124</v>
      </c>
      <c r="D5566" s="13" t="n">
        <v>44985</v>
      </c>
      <c r="E5566" s="14" t="n">
        <v>751.78</v>
      </c>
      <c r="F5566" s="14" t="n">
        <v>1884.59</v>
      </c>
      <c r="G5566" s="6" t="s">
        <v>2613</v>
      </c>
    </row>
    <row r="5567" customFormat="false" ht="15" hidden="false" customHeight="true" outlineLevel="0" collapsed="false">
      <c r="A5567" s="6" t="s">
        <v>8179</v>
      </c>
      <c r="B5567" s="6" t="s">
        <v>1233</v>
      </c>
      <c r="C5567" s="6" t="s">
        <v>124</v>
      </c>
      <c r="D5567" s="13" t="n">
        <v>44992</v>
      </c>
      <c r="E5567" s="14" t="n">
        <v>647.61</v>
      </c>
      <c r="F5567" s="14" t="n">
        <v>2532.2</v>
      </c>
      <c r="G5567" s="6" t="s">
        <v>2613</v>
      </c>
    </row>
    <row r="5568" customFormat="false" ht="15" hidden="false" customHeight="true" outlineLevel="0" collapsed="false">
      <c r="A5568" s="6" t="s">
        <v>8180</v>
      </c>
      <c r="B5568" s="6" t="s">
        <v>1233</v>
      </c>
      <c r="C5568" s="6" t="s">
        <v>124</v>
      </c>
      <c r="D5568" s="13" t="n">
        <v>44999</v>
      </c>
      <c r="E5568" s="14" t="n">
        <v>494.44</v>
      </c>
      <c r="F5568" s="14" t="n">
        <v>3026.64</v>
      </c>
      <c r="G5568" s="6" t="s">
        <v>2613</v>
      </c>
    </row>
    <row r="5569" customFormat="false" ht="15" hidden="false" customHeight="true" outlineLevel="0" collapsed="false">
      <c r="A5569" s="6" t="s">
        <v>8181</v>
      </c>
      <c r="B5569" s="6" t="s">
        <v>1233</v>
      </c>
      <c r="C5569" s="6" t="s">
        <v>124</v>
      </c>
      <c r="D5569" s="13" t="n">
        <v>45006</v>
      </c>
      <c r="E5569" s="14" t="n">
        <v>1008.74</v>
      </c>
      <c r="F5569" s="14" t="n">
        <v>4035.38</v>
      </c>
      <c r="G5569" s="6" t="s">
        <v>2613</v>
      </c>
    </row>
    <row r="5570" customFormat="false" ht="15" hidden="false" customHeight="true" outlineLevel="0" collapsed="false">
      <c r="A5570" s="6" t="s">
        <v>8182</v>
      </c>
      <c r="B5570" s="6" t="s">
        <v>1235</v>
      </c>
      <c r="C5570" s="6" t="s">
        <v>112</v>
      </c>
      <c r="D5570" s="13" t="n">
        <v>45225</v>
      </c>
      <c r="E5570" s="14" t="n">
        <v>6019.75</v>
      </c>
      <c r="F5570" s="14" t="n">
        <v>6019.75</v>
      </c>
      <c r="G5570" s="6" t="s">
        <v>2613</v>
      </c>
    </row>
    <row r="5571" customFormat="false" ht="15" hidden="false" customHeight="true" outlineLevel="0" collapsed="false">
      <c r="A5571" s="6" t="s">
        <v>8183</v>
      </c>
      <c r="B5571" s="6" t="s">
        <v>1235</v>
      </c>
      <c r="C5571" s="6" t="s">
        <v>112</v>
      </c>
      <c r="D5571" s="13" t="n">
        <v>45232</v>
      </c>
      <c r="E5571" s="14" t="n">
        <v>5838.86</v>
      </c>
      <c r="F5571" s="14" t="n">
        <v>11858.61</v>
      </c>
      <c r="G5571" s="6" t="s">
        <v>2613</v>
      </c>
    </row>
    <row r="5572" customFormat="false" ht="15" hidden="false" customHeight="true" outlineLevel="0" collapsed="false">
      <c r="A5572" s="6" t="s">
        <v>8184</v>
      </c>
      <c r="B5572" s="6" t="s">
        <v>1235</v>
      </c>
      <c r="C5572" s="6" t="s">
        <v>112</v>
      </c>
      <c r="D5572" s="13" t="n">
        <v>45239</v>
      </c>
      <c r="E5572" s="14" t="n">
        <v>5407.42</v>
      </c>
      <c r="F5572" s="14" t="n">
        <v>17266.03</v>
      </c>
      <c r="G5572" s="6" t="s">
        <v>2613</v>
      </c>
    </row>
    <row r="5573" customFormat="false" ht="15" hidden="false" customHeight="true" outlineLevel="0" collapsed="false">
      <c r="A5573" s="6" t="s">
        <v>8185</v>
      </c>
      <c r="B5573" s="6" t="s">
        <v>1235</v>
      </c>
      <c r="C5573" s="6" t="s">
        <v>112</v>
      </c>
      <c r="D5573" s="13" t="n">
        <v>45246</v>
      </c>
      <c r="E5573" s="14" t="n">
        <v>7313.48</v>
      </c>
      <c r="F5573" s="14" t="n">
        <v>24579.51</v>
      </c>
      <c r="G5573" s="6" t="s">
        <v>2613</v>
      </c>
    </row>
    <row r="5574" customFormat="false" ht="15" hidden="false" customHeight="true" outlineLevel="0" collapsed="false">
      <c r="A5574" s="6" t="s">
        <v>8186</v>
      </c>
      <c r="B5574" s="6" t="s">
        <v>1235</v>
      </c>
      <c r="C5574" s="6" t="s">
        <v>112</v>
      </c>
      <c r="D5574" s="13" t="n">
        <v>45253</v>
      </c>
      <c r="E5574" s="14" t="n">
        <v>5760.8</v>
      </c>
      <c r="F5574" s="14" t="n">
        <v>30340.31</v>
      </c>
      <c r="G5574" s="6" t="s">
        <v>2613</v>
      </c>
    </row>
    <row r="5575" customFormat="false" ht="15" hidden="false" customHeight="true" outlineLevel="0" collapsed="false">
      <c r="A5575" s="6" t="s">
        <v>8187</v>
      </c>
      <c r="B5575" s="6" t="s">
        <v>1235</v>
      </c>
      <c r="C5575" s="6" t="s">
        <v>112</v>
      </c>
      <c r="D5575" s="13" t="n">
        <v>45260</v>
      </c>
      <c r="E5575" s="14" t="n">
        <v>7077.51</v>
      </c>
      <c r="F5575" s="14" t="n">
        <v>37417.82</v>
      </c>
      <c r="G5575" s="6" t="s">
        <v>2613</v>
      </c>
    </row>
    <row r="5576" customFormat="false" ht="15" hidden="false" customHeight="true" outlineLevel="0" collapsed="false">
      <c r="A5576" s="6" t="s">
        <v>8188</v>
      </c>
      <c r="B5576" s="6" t="s">
        <v>1235</v>
      </c>
      <c r="C5576" s="6" t="s">
        <v>112</v>
      </c>
      <c r="D5576" s="13" t="n">
        <v>45267</v>
      </c>
      <c r="E5576" s="14" t="n">
        <v>4170.35</v>
      </c>
      <c r="F5576" s="14" t="n">
        <v>41588.17</v>
      </c>
      <c r="G5576" s="6" t="s">
        <v>2613</v>
      </c>
    </row>
    <row r="5577" customFormat="false" ht="15" hidden="false" customHeight="true" outlineLevel="0" collapsed="false">
      <c r="A5577" s="6" t="s">
        <v>8189</v>
      </c>
      <c r="B5577" s="6" t="s">
        <v>1235</v>
      </c>
      <c r="C5577" s="6" t="s">
        <v>112</v>
      </c>
      <c r="D5577" s="13" t="n">
        <v>45274</v>
      </c>
      <c r="E5577" s="14" t="n">
        <v>6615.68</v>
      </c>
      <c r="F5577" s="14" t="n">
        <v>48203.85</v>
      </c>
      <c r="G5577" s="6" t="s">
        <v>2623</v>
      </c>
    </row>
    <row r="5578" customFormat="false" ht="15" hidden="false" customHeight="true" outlineLevel="0" collapsed="false">
      <c r="A5578" s="6" t="s">
        <v>8190</v>
      </c>
      <c r="B5578" s="6" t="s">
        <v>1235</v>
      </c>
      <c r="C5578" s="6" t="s">
        <v>112</v>
      </c>
      <c r="D5578" s="13" t="n">
        <v>45281</v>
      </c>
      <c r="E5578" s="14" t="n">
        <v>5689.56</v>
      </c>
      <c r="F5578" s="14" t="n">
        <v>53893.41</v>
      </c>
      <c r="G5578" s="6" t="s">
        <v>2613</v>
      </c>
    </row>
    <row r="5579" customFormat="false" ht="15" hidden="false" customHeight="true" outlineLevel="0" collapsed="false">
      <c r="A5579" s="6" t="s">
        <v>8191</v>
      </c>
      <c r="B5579" s="6" t="s">
        <v>1235</v>
      </c>
      <c r="C5579" s="6" t="s">
        <v>112</v>
      </c>
      <c r="D5579" s="13" t="n">
        <v>45288</v>
      </c>
      <c r="E5579" s="14" t="n">
        <v>4269.61</v>
      </c>
      <c r="F5579" s="14" t="n">
        <v>58163.02</v>
      </c>
      <c r="G5579" s="6" t="s">
        <v>2613</v>
      </c>
    </row>
    <row r="5580" customFormat="false" ht="15" hidden="false" customHeight="true" outlineLevel="0" collapsed="false">
      <c r="A5580" s="6" t="s">
        <v>8192</v>
      </c>
      <c r="B5580" s="6" t="s">
        <v>1235</v>
      </c>
      <c r="C5580" s="6" t="s">
        <v>112</v>
      </c>
      <c r="D5580" s="13" t="n">
        <v>45295</v>
      </c>
      <c r="E5580" s="14" t="n">
        <v>4586.21</v>
      </c>
      <c r="F5580" s="14" t="n">
        <v>62749.23</v>
      </c>
      <c r="G5580" s="6" t="s">
        <v>2613</v>
      </c>
    </row>
    <row r="5581" customFormat="false" ht="15" hidden="false" customHeight="true" outlineLevel="0" collapsed="false">
      <c r="A5581" s="6" t="s">
        <v>8193</v>
      </c>
      <c r="B5581" s="6" t="s">
        <v>1235</v>
      </c>
      <c r="C5581" s="6" t="s">
        <v>112</v>
      </c>
      <c r="D5581" s="13" t="n">
        <v>45302</v>
      </c>
      <c r="E5581" s="14" t="n">
        <v>3723.35</v>
      </c>
      <c r="F5581" s="14" t="n">
        <v>66472.58</v>
      </c>
      <c r="G5581" s="6" t="s">
        <v>2613</v>
      </c>
    </row>
    <row r="5582" customFormat="false" ht="15" hidden="false" customHeight="true" outlineLevel="0" collapsed="false">
      <c r="A5582" s="6" t="s">
        <v>8194</v>
      </c>
      <c r="B5582" s="6" t="s">
        <v>1235</v>
      </c>
      <c r="C5582" s="6" t="s">
        <v>112</v>
      </c>
      <c r="D5582" s="13" t="n">
        <v>45309</v>
      </c>
      <c r="E5582" s="14" t="n">
        <v>7326.09</v>
      </c>
      <c r="F5582" s="14" t="n">
        <v>73798.67</v>
      </c>
      <c r="G5582" s="6" t="s">
        <v>2613</v>
      </c>
    </row>
    <row r="5583" customFormat="false" ht="15" hidden="false" customHeight="true" outlineLevel="0" collapsed="false">
      <c r="A5583" s="6" t="s">
        <v>8195</v>
      </c>
      <c r="B5583" s="6" t="s">
        <v>1235</v>
      </c>
      <c r="C5583" s="6" t="s">
        <v>112</v>
      </c>
      <c r="D5583" s="13" t="n">
        <v>45316</v>
      </c>
      <c r="E5583" s="14" t="n">
        <v>7262.01</v>
      </c>
      <c r="F5583" s="14" t="n">
        <v>81060.68</v>
      </c>
      <c r="G5583" s="6" t="s">
        <v>2613</v>
      </c>
    </row>
    <row r="5584" customFormat="false" ht="15" hidden="false" customHeight="true" outlineLevel="0" collapsed="false">
      <c r="A5584" s="6" t="s">
        <v>8196</v>
      </c>
      <c r="B5584" s="6" t="s">
        <v>1235</v>
      </c>
      <c r="C5584" s="6" t="s">
        <v>112</v>
      </c>
      <c r="D5584" s="13" t="n">
        <v>45323</v>
      </c>
      <c r="E5584" s="14" t="n">
        <v>4699.09</v>
      </c>
      <c r="F5584" s="14" t="n">
        <v>85759.77</v>
      </c>
      <c r="G5584" s="6" t="s">
        <v>2623</v>
      </c>
    </row>
    <row r="5585" customFormat="false" ht="15" hidden="false" customHeight="true" outlineLevel="0" collapsed="false">
      <c r="A5585" s="6" t="s">
        <v>8197</v>
      </c>
      <c r="B5585" s="6" t="s">
        <v>1235</v>
      </c>
      <c r="C5585" s="6" t="s">
        <v>112</v>
      </c>
      <c r="D5585" s="13" t="n">
        <v>45330</v>
      </c>
      <c r="E5585" s="14" t="n">
        <v>5398.27</v>
      </c>
      <c r="F5585" s="14" t="n">
        <v>91158.04</v>
      </c>
      <c r="G5585" s="6" t="s">
        <v>2613</v>
      </c>
    </row>
    <row r="5586" customFormat="false" ht="15" hidden="false" customHeight="true" outlineLevel="0" collapsed="false">
      <c r="A5586" s="6" t="s">
        <v>8198</v>
      </c>
      <c r="B5586" s="6" t="s">
        <v>1235</v>
      </c>
      <c r="C5586" s="6" t="s">
        <v>112</v>
      </c>
      <c r="D5586" s="13" t="n">
        <v>45337</v>
      </c>
      <c r="E5586" s="14" t="n">
        <v>4257.28</v>
      </c>
      <c r="F5586" s="14" t="n">
        <v>95415.32</v>
      </c>
      <c r="G5586" s="6" t="s">
        <v>2613</v>
      </c>
    </row>
    <row r="5587" customFormat="false" ht="15" hidden="false" customHeight="true" outlineLevel="0" collapsed="false">
      <c r="A5587" s="6" t="s">
        <v>8199</v>
      </c>
      <c r="B5587" s="6" t="s">
        <v>1235</v>
      </c>
      <c r="C5587" s="6" t="s">
        <v>112</v>
      </c>
      <c r="D5587" s="13" t="n">
        <v>45344</v>
      </c>
      <c r="E5587" s="14" t="n">
        <v>6592.83</v>
      </c>
      <c r="F5587" s="14" t="n">
        <v>102008.15</v>
      </c>
      <c r="G5587" s="6" t="s">
        <v>2613</v>
      </c>
    </row>
    <row r="5588" customFormat="false" ht="15" hidden="false" customHeight="true" outlineLevel="0" collapsed="false">
      <c r="A5588" s="6" t="s">
        <v>8200</v>
      </c>
      <c r="B5588" s="6" t="s">
        <v>1235</v>
      </c>
      <c r="C5588" s="6" t="s">
        <v>112</v>
      </c>
      <c r="D5588" s="13" t="n">
        <v>45351</v>
      </c>
      <c r="E5588" s="14" t="n">
        <v>3292.74</v>
      </c>
      <c r="F5588" s="14" t="n">
        <v>105300.89</v>
      </c>
      <c r="G5588" s="6" t="s">
        <v>2623</v>
      </c>
    </row>
    <row r="5589" customFormat="false" ht="15" hidden="false" customHeight="true" outlineLevel="0" collapsed="false">
      <c r="A5589" s="6" t="s">
        <v>8201</v>
      </c>
      <c r="B5589" s="6" t="s">
        <v>1237</v>
      </c>
      <c r="C5589" s="6" t="s">
        <v>120</v>
      </c>
      <c r="D5589" s="13" t="n">
        <v>45591</v>
      </c>
      <c r="E5589" s="14" t="n">
        <v>692.13</v>
      </c>
      <c r="F5589" s="14" t="n">
        <v>692.13</v>
      </c>
      <c r="G5589" s="6" t="s">
        <v>2613</v>
      </c>
    </row>
    <row r="5590" customFormat="false" ht="15" hidden="false" customHeight="true" outlineLevel="0" collapsed="false">
      <c r="A5590" s="6" t="s">
        <v>8202</v>
      </c>
      <c r="B5590" s="6" t="s">
        <v>1237</v>
      </c>
      <c r="C5590" s="6" t="s">
        <v>120</v>
      </c>
      <c r="D5590" s="13" t="n">
        <v>45598</v>
      </c>
      <c r="E5590" s="14" t="n">
        <v>801.2</v>
      </c>
      <c r="F5590" s="14" t="n">
        <v>1493.33</v>
      </c>
      <c r="G5590" s="6" t="s">
        <v>2613</v>
      </c>
    </row>
    <row r="5591" customFormat="false" ht="15" hidden="false" customHeight="true" outlineLevel="0" collapsed="false">
      <c r="A5591" s="6" t="s">
        <v>8203</v>
      </c>
      <c r="B5591" s="6" t="s">
        <v>1237</v>
      </c>
      <c r="C5591" s="6" t="s">
        <v>120</v>
      </c>
      <c r="D5591" s="13" t="n">
        <v>45605</v>
      </c>
      <c r="E5591" s="14" t="n">
        <v>788.05</v>
      </c>
      <c r="F5591" s="14" t="n">
        <v>2281.38</v>
      </c>
      <c r="G5591" s="6" t="s">
        <v>2613</v>
      </c>
    </row>
    <row r="5592" customFormat="false" ht="15" hidden="false" customHeight="true" outlineLevel="0" collapsed="false">
      <c r="A5592" s="6" t="s">
        <v>8204</v>
      </c>
      <c r="B5592" s="6" t="s">
        <v>1237</v>
      </c>
      <c r="C5592" s="6" t="s">
        <v>120</v>
      </c>
      <c r="D5592" s="13" t="n">
        <v>45612</v>
      </c>
      <c r="E5592" s="14" t="n">
        <v>717.45</v>
      </c>
      <c r="F5592" s="14" t="n">
        <v>2998.83</v>
      </c>
      <c r="G5592" s="6" t="s">
        <v>2613</v>
      </c>
    </row>
    <row r="5593" customFormat="false" ht="15" hidden="false" customHeight="true" outlineLevel="0" collapsed="false">
      <c r="A5593" s="6" t="s">
        <v>8205</v>
      </c>
      <c r="B5593" s="6" t="s">
        <v>1237</v>
      </c>
      <c r="C5593" s="6" t="s">
        <v>120</v>
      </c>
      <c r="D5593" s="13" t="n">
        <v>45619</v>
      </c>
      <c r="E5593" s="14" t="n">
        <v>574.95</v>
      </c>
      <c r="F5593" s="14" t="n">
        <v>3573.78</v>
      </c>
      <c r="G5593" s="6" t="s">
        <v>2613</v>
      </c>
    </row>
    <row r="5594" customFormat="false" ht="15" hidden="false" customHeight="true" outlineLevel="0" collapsed="false">
      <c r="A5594" s="6" t="s">
        <v>8206</v>
      </c>
      <c r="B5594" s="6" t="s">
        <v>1237</v>
      </c>
      <c r="C5594" s="6" t="s">
        <v>120</v>
      </c>
      <c r="D5594" s="13" t="n">
        <v>45626</v>
      </c>
      <c r="E5594" s="14" t="n">
        <v>580.24</v>
      </c>
      <c r="F5594" s="14" t="n">
        <v>4154.02</v>
      </c>
      <c r="G5594" s="6" t="s">
        <v>2613</v>
      </c>
    </row>
    <row r="5595" customFormat="false" ht="15" hidden="false" customHeight="true" outlineLevel="0" collapsed="false">
      <c r="A5595" s="6" t="s">
        <v>8207</v>
      </c>
      <c r="B5595" s="6" t="s">
        <v>1237</v>
      </c>
      <c r="C5595" s="6" t="s">
        <v>120</v>
      </c>
      <c r="D5595" s="13" t="n">
        <v>45633</v>
      </c>
      <c r="E5595" s="14" t="n">
        <v>832.14</v>
      </c>
      <c r="F5595" s="14" t="n">
        <v>4986.16</v>
      </c>
      <c r="G5595" s="6" t="s">
        <v>2613</v>
      </c>
    </row>
    <row r="5596" customFormat="false" ht="15" hidden="false" customHeight="true" outlineLevel="0" collapsed="false">
      <c r="A5596" s="6" t="s">
        <v>8208</v>
      </c>
      <c r="B5596" s="6" t="s">
        <v>1237</v>
      </c>
      <c r="C5596" s="6" t="s">
        <v>120</v>
      </c>
      <c r="D5596" s="13" t="n">
        <v>45640</v>
      </c>
      <c r="E5596" s="14" t="n">
        <v>838.41</v>
      </c>
      <c r="F5596" s="14" t="n">
        <v>5824.57</v>
      </c>
      <c r="G5596" s="6" t="s">
        <v>2613</v>
      </c>
    </row>
    <row r="5597" customFormat="false" ht="15" hidden="false" customHeight="true" outlineLevel="0" collapsed="false">
      <c r="A5597" s="6" t="s">
        <v>8209</v>
      </c>
      <c r="B5597" s="6" t="s">
        <v>1239</v>
      </c>
      <c r="C5597" s="6" t="s">
        <v>128</v>
      </c>
      <c r="D5597" s="13" t="n">
        <v>45741</v>
      </c>
      <c r="E5597" s="14" t="n">
        <v>3933.13</v>
      </c>
      <c r="F5597" s="14" t="n">
        <v>3933.13</v>
      </c>
      <c r="G5597" s="6" t="s">
        <v>2613</v>
      </c>
    </row>
    <row r="5598" customFormat="false" ht="15" hidden="false" customHeight="true" outlineLevel="0" collapsed="false">
      <c r="A5598" s="6" t="s">
        <v>8210</v>
      </c>
      <c r="B5598" s="6" t="s">
        <v>1239</v>
      </c>
      <c r="C5598" s="6" t="s">
        <v>128</v>
      </c>
      <c r="D5598" s="13" t="n">
        <v>45748</v>
      </c>
      <c r="E5598" s="14" t="n">
        <v>3616.14</v>
      </c>
      <c r="F5598" s="14" t="n">
        <v>7549.27</v>
      </c>
      <c r="G5598" s="6" t="s">
        <v>2613</v>
      </c>
    </row>
    <row r="5599" customFormat="false" ht="15" hidden="false" customHeight="true" outlineLevel="0" collapsed="false">
      <c r="A5599" s="6" t="s">
        <v>8211</v>
      </c>
      <c r="B5599" s="6" t="s">
        <v>1239</v>
      </c>
      <c r="C5599" s="6" t="s">
        <v>128</v>
      </c>
      <c r="D5599" s="13" t="n">
        <v>45755</v>
      </c>
      <c r="E5599" s="14" t="n">
        <v>2688.62</v>
      </c>
      <c r="F5599" s="14" t="n">
        <v>10237.89</v>
      </c>
      <c r="G5599" s="6" t="s">
        <v>2613</v>
      </c>
    </row>
    <row r="5600" customFormat="false" ht="15" hidden="false" customHeight="true" outlineLevel="0" collapsed="false">
      <c r="A5600" s="6" t="s">
        <v>8212</v>
      </c>
      <c r="B5600" s="6" t="s">
        <v>1239</v>
      </c>
      <c r="C5600" s="6" t="s">
        <v>128</v>
      </c>
      <c r="D5600" s="13" t="n">
        <v>45762</v>
      </c>
      <c r="E5600" s="14" t="n">
        <v>2565.69</v>
      </c>
      <c r="F5600" s="14" t="n">
        <v>12803.58</v>
      </c>
      <c r="G5600" s="6" t="s">
        <v>2613</v>
      </c>
    </row>
    <row r="5601" customFormat="false" ht="15" hidden="false" customHeight="true" outlineLevel="0" collapsed="false">
      <c r="A5601" s="6" t="s">
        <v>8213</v>
      </c>
      <c r="B5601" s="6" t="s">
        <v>1239</v>
      </c>
      <c r="C5601" s="6" t="s">
        <v>128</v>
      </c>
      <c r="D5601" s="13" t="n">
        <v>45769</v>
      </c>
      <c r="E5601" s="14" t="n">
        <v>3222.83</v>
      </c>
      <c r="F5601" s="14" t="n">
        <v>16026.41</v>
      </c>
      <c r="G5601" s="6" t="s">
        <v>2613</v>
      </c>
    </row>
    <row r="5602" customFormat="false" ht="15" hidden="false" customHeight="true" outlineLevel="0" collapsed="false">
      <c r="A5602" s="6" t="s">
        <v>8214</v>
      </c>
      <c r="B5602" s="6" t="s">
        <v>1239</v>
      </c>
      <c r="C5602" s="6" t="s">
        <v>128</v>
      </c>
      <c r="D5602" s="13" t="n">
        <v>45776</v>
      </c>
      <c r="E5602" s="14" t="n">
        <v>3024.13</v>
      </c>
      <c r="F5602" s="14" t="n">
        <v>19050.54</v>
      </c>
      <c r="G5602" s="6" t="s">
        <v>2613</v>
      </c>
    </row>
    <row r="5603" customFormat="false" ht="15" hidden="false" customHeight="true" outlineLevel="0" collapsed="false">
      <c r="A5603" s="6" t="s">
        <v>8215</v>
      </c>
      <c r="B5603" s="6" t="s">
        <v>1239</v>
      </c>
      <c r="C5603" s="6" t="s">
        <v>128</v>
      </c>
      <c r="D5603" s="13" t="n">
        <v>45783</v>
      </c>
      <c r="E5603" s="14" t="n">
        <v>6100.55</v>
      </c>
      <c r="F5603" s="14" t="n">
        <v>25151.09</v>
      </c>
      <c r="G5603" s="6" t="s">
        <v>2613</v>
      </c>
    </row>
    <row r="5604" customFormat="false" ht="15" hidden="false" customHeight="true" outlineLevel="0" collapsed="false">
      <c r="A5604" s="6" t="s">
        <v>8216</v>
      </c>
      <c r="B5604" s="6" t="s">
        <v>1241</v>
      </c>
      <c r="C5604" s="6" t="s">
        <v>116</v>
      </c>
      <c r="D5604" s="13" t="n">
        <v>45936</v>
      </c>
      <c r="E5604" s="14" t="n">
        <v>6299.55</v>
      </c>
      <c r="F5604" s="14" t="n">
        <v>6299.55</v>
      </c>
      <c r="G5604" s="6" t="s">
        <v>2613</v>
      </c>
    </row>
    <row r="5605" customFormat="false" ht="15" hidden="false" customHeight="true" outlineLevel="0" collapsed="false">
      <c r="A5605" s="6" t="s">
        <v>8217</v>
      </c>
      <c r="B5605" s="6" t="s">
        <v>1241</v>
      </c>
      <c r="C5605" s="6" t="s">
        <v>116</v>
      </c>
      <c r="D5605" s="13" t="n">
        <v>45943</v>
      </c>
      <c r="E5605" s="14" t="n">
        <v>7781.66</v>
      </c>
      <c r="F5605" s="14" t="n">
        <v>14081.21</v>
      </c>
      <c r="G5605" s="6" t="s">
        <v>2613</v>
      </c>
    </row>
    <row r="5606" customFormat="false" ht="15" hidden="false" customHeight="true" outlineLevel="0" collapsed="false">
      <c r="A5606" s="6" t="s">
        <v>8218</v>
      </c>
      <c r="B5606" s="6" t="s">
        <v>1241</v>
      </c>
      <c r="C5606" s="6" t="s">
        <v>116</v>
      </c>
      <c r="D5606" s="13" t="n">
        <v>45950</v>
      </c>
      <c r="E5606" s="14" t="n">
        <v>7400.51</v>
      </c>
      <c r="F5606" s="14" t="n">
        <v>21481.72</v>
      </c>
      <c r="G5606" s="6" t="s">
        <v>2613</v>
      </c>
    </row>
    <row r="5607" customFormat="false" ht="15" hidden="false" customHeight="true" outlineLevel="0" collapsed="false">
      <c r="A5607" s="6" t="s">
        <v>8219</v>
      </c>
      <c r="B5607" s="6" t="s">
        <v>1241</v>
      </c>
      <c r="C5607" s="6" t="s">
        <v>116</v>
      </c>
      <c r="D5607" s="13" t="n">
        <v>45957</v>
      </c>
      <c r="E5607" s="14" t="n">
        <v>5039.25</v>
      </c>
      <c r="F5607" s="14" t="n">
        <v>26520.97</v>
      </c>
      <c r="G5607" s="6" t="s">
        <v>2613</v>
      </c>
    </row>
    <row r="5608" customFormat="false" ht="15" hidden="false" customHeight="true" outlineLevel="0" collapsed="false">
      <c r="A5608" s="6" t="s">
        <v>8220</v>
      </c>
      <c r="B5608" s="6" t="s">
        <v>1241</v>
      </c>
      <c r="C5608" s="6" t="s">
        <v>116</v>
      </c>
      <c r="D5608" s="13" t="n">
        <v>45964</v>
      </c>
      <c r="E5608" s="14" t="n">
        <v>6936.69</v>
      </c>
      <c r="F5608" s="14" t="n">
        <v>33457.66</v>
      </c>
      <c r="G5608" s="6" t="s">
        <v>2623</v>
      </c>
    </row>
    <row r="5609" customFormat="false" ht="15" hidden="false" customHeight="true" outlineLevel="0" collapsed="false">
      <c r="A5609" s="6" t="s">
        <v>8221</v>
      </c>
      <c r="B5609" s="6" t="s">
        <v>1241</v>
      </c>
      <c r="C5609" s="6" t="s">
        <v>116</v>
      </c>
      <c r="D5609" s="13" t="n">
        <v>45971</v>
      </c>
      <c r="E5609" s="14" t="n">
        <v>6219.48</v>
      </c>
      <c r="F5609" s="14" t="n">
        <v>39677.14</v>
      </c>
      <c r="G5609" s="6" t="s">
        <v>2613</v>
      </c>
    </row>
    <row r="5610" customFormat="false" ht="15" hidden="false" customHeight="true" outlineLevel="0" collapsed="false">
      <c r="A5610" s="6" t="s">
        <v>8222</v>
      </c>
      <c r="B5610" s="6" t="s">
        <v>1241</v>
      </c>
      <c r="C5610" s="6" t="s">
        <v>116</v>
      </c>
      <c r="D5610" s="13" t="n">
        <v>45978</v>
      </c>
      <c r="E5610" s="14" t="n">
        <v>7181.99</v>
      </c>
      <c r="F5610" s="14" t="n">
        <v>46859.13</v>
      </c>
      <c r="G5610" s="6" t="s">
        <v>2613</v>
      </c>
    </row>
    <row r="5611" customFormat="false" ht="15" hidden="false" customHeight="true" outlineLevel="0" collapsed="false">
      <c r="A5611" s="6" t="s">
        <v>8223</v>
      </c>
      <c r="B5611" s="6" t="s">
        <v>1241</v>
      </c>
      <c r="C5611" s="6" t="s">
        <v>116</v>
      </c>
      <c r="D5611" s="13" t="n">
        <v>45985</v>
      </c>
      <c r="E5611" s="14" t="n">
        <v>380.86</v>
      </c>
      <c r="F5611" s="14" t="n">
        <v>47239.99</v>
      </c>
      <c r="G5611" s="6" t="s">
        <v>2613</v>
      </c>
    </row>
    <row r="5612" customFormat="false" ht="15" hidden="false" customHeight="true" outlineLevel="0" collapsed="false">
      <c r="A5612" s="6" t="s">
        <v>8224</v>
      </c>
      <c r="B5612" s="6" t="s">
        <v>1243</v>
      </c>
      <c r="C5612" s="6" t="s">
        <v>131</v>
      </c>
      <c r="D5612" s="13" t="n">
        <v>45693</v>
      </c>
      <c r="E5612" s="14" t="n">
        <v>3625.62</v>
      </c>
      <c r="F5612" s="14" t="n">
        <v>3625.62</v>
      </c>
      <c r="G5612" s="6" t="s">
        <v>2613</v>
      </c>
    </row>
    <row r="5613" customFormat="false" ht="15" hidden="false" customHeight="true" outlineLevel="0" collapsed="false">
      <c r="A5613" s="6" t="s">
        <v>8225</v>
      </c>
      <c r="B5613" s="6" t="s">
        <v>1243</v>
      </c>
      <c r="C5613" s="6" t="s">
        <v>131</v>
      </c>
      <c r="D5613" s="13" t="n">
        <v>45700</v>
      </c>
      <c r="E5613" s="14" t="n">
        <v>2660.62</v>
      </c>
      <c r="F5613" s="14" t="n">
        <v>6286.24</v>
      </c>
      <c r="G5613" s="6" t="s">
        <v>2613</v>
      </c>
    </row>
    <row r="5614" customFormat="false" ht="15" hidden="false" customHeight="true" outlineLevel="0" collapsed="false">
      <c r="A5614" s="6" t="s">
        <v>8226</v>
      </c>
      <c r="B5614" s="6" t="s">
        <v>1243</v>
      </c>
      <c r="C5614" s="6" t="s">
        <v>131</v>
      </c>
      <c r="D5614" s="13" t="n">
        <v>45707</v>
      </c>
      <c r="E5614" s="14" t="n">
        <v>3905.69</v>
      </c>
      <c r="F5614" s="14" t="n">
        <v>10191.93</v>
      </c>
      <c r="G5614" s="6" t="s">
        <v>2613</v>
      </c>
    </row>
    <row r="5615" customFormat="false" ht="15" hidden="false" customHeight="true" outlineLevel="0" collapsed="false">
      <c r="A5615" s="6" t="s">
        <v>8227</v>
      </c>
      <c r="B5615" s="6" t="s">
        <v>1243</v>
      </c>
      <c r="C5615" s="6" t="s">
        <v>131</v>
      </c>
      <c r="D5615" s="13" t="n">
        <v>45714</v>
      </c>
      <c r="E5615" s="14" t="n">
        <v>2569.37</v>
      </c>
      <c r="F5615" s="14" t="n">
        <v>12761.3</v>
      </c>
      <c r="G5615" s="6" t="s">
        <v>2613</v>
      </c>
    </row>
    <row r="5616" customFormat="false" ht="15" hidden="false" customHeight="true" outlineLevel="0" collapsed="false">
      <c r="A5616" s="6" t="s">
        <v>8228</v>
      </c>
      <c r="B5616" s="6" t="s">
        <v>1243</v>
      </c>
      <c r="C5616" s="6" t="s">
        <v>131</v>
      </c>
      <c r="D5616" s="13" t="n">
        <v>45721</v>
      </c>
      <c r="E5616" s="14" t="n">
        <v>3482.77</v>
      </c>
      <c r="F5616" s="14" t="n">
        <v>16244.07</v>
      </c>
      <c r="G5616" s="6" t="s">
        <v>2613</v>
      </c>
    </row>
    <row r="5617" customFormat="false" ht="15" hidden="false" customHeight="true" outlineLevel="0" collapsed="false">
      <c r="A5617" s="6" t="s">
        <v>8229</v>
      </c>
      <c r="B5617" s="6" t="s">
        <v>1243</v>
      </c>
      <c r="C5617" s="6" t="s">
        <v>131</v>
      </c>
      <c r="D5617" s="13" t="n">
        <v>45728</v>
      </c>
      <c r="E5617" s="14" t="n">
        <v>2821.36</v>
      </c>
      <c r="F5617" s="14" t="n">
        <v>19065.43</v>
      </c>
      <c r="G5617" s="6" t="s">
        <v>2613</v>
      </c>
    </row>
    <row r="5618" customFormat="false" ht="15" hidden="false" customHeight="true" outlineLevel="0" collapsed="false">
      <c r="A5618" s="6" t="s">
        <v>8230</v>
      </c>
      <c r="B5618" s="6" t="s">
        <v>1243</v>
      </c>
      <c r="C5618" s="6" t="s">
        <v>131</v>
      </c>
      <c r="D5618" s="13" t="n">
        <v>45735</v>
      </c>
      <c r="E5618" s="14" t="n">
        <v>4550.24</v>
      </c>
      <c r="F5618" s="14" t="n">
        <v>23615.67</v>
      </c>
      <c r="G5618" s="6" t="s">
        <v>2613</v>
      </c>
    </row>
    <row r="5619" customFormat="false" ht="15" hidden="false" customHeight="true" outlineLevel="0" collapsed="false">
      <c r="A5619" s="6" t="s">
        <v>8231</v>
      </c>
      <c r="B5619" s="6" t="s">
        <v>1243</v>
      </c>
      <c r="C5619" s="6" t="s">
        <v>131</v>
      </c>
      <c r="D5619" s="13" t="n">
        <v>45742</v>
      </c>
      <c r="E5619" s="14" t="n">
        <v>2392.41</v>
      </c>
      <c r="F5619" s="14" t="n">
        <v>26008.08</v>
      </c>
      <c r="G5619" s="6" t="s">
        <v>2613</v>
      </c>
    </row>
    <row r="5620" customFormat="false" ht="15" hidden="false" customHeight="true" outlineLevel="0" collapsed="false">
      <c r="A5620" s="6" t="s">
        <v>8232</v>
      </c>
      <c r="B5620" s="6" t="s">
        <v>1243</v>
      </c>
      <c r="C5620" s="6" t="s">
        <v>131</v>
      </c>
      <c r="D5620" s="13" t="n">
        <v>45749</v>
      </c>
      <c r="E5620" s="14" t="n">
        <v>4757.13</v>
      </c>
      <c r="F5620" s="14" t="n">
        <v>30765.21</v>
      </c>
      <c r="G5620" s="6" t="s">
        <v>2613</v>
      </c>
    </row>
    <row r="5621" customFormat="false" ht="15" hidden="false" customHeight="true" outlineLevel="0" collapsed="false">
      <c r="A5621" s="6" t="s">
        <v>8233</v>
      </c>
      <c r="B5621" s="6" t="s">
        <v>1243</v>
      </c>
      <c r="C5621" s="6" t="s">
        <v>131</v>
      </c>
      <c r="D5621" s="13" t="n">
        <v>45756</v>
      </c>
      <c r="E5621" s="14" t="n">
        <v>4670.82</v>
      </c>
      <c r="F5621" s="14" t="n">
        <v>35436.03</v>
      </c>
      <c r="G5621" s="6" t="s">
        <v>2613</v>
      </c>
    </row>
    <row r="5622" customFormat="false" ht="15" hidden="false" customHeight="true" outlineLevel="0" collapsed="false">
      <c r="A5622" s="6" t="s">
        <v>8234</v>
      </c>
      <c r="B5622" s="6" t="s">
        <v>1243</v>
      </c>
      <c r="C5622" s="6" t="s">
        <v>131</v>
      </c>
      <c r="D5622" s="13" t="n">
        <v>45763</v>
      </c>
      <c r="E5622" s="14" t="n">
        <v>3998.78</v>
      </c>
      <c r="F5622" s="14" t="n">
        <v>39434.81</v>
      </c>
      <c r="G5622" s="6" t="s">
        <v>2613</v>
      </c>
    </row>
    <row r="5623" customFormat="false" ht="15" hidden="false" customHeight="true" outlineLevel="0" collapsed="false">
      <c r="A5623" s="6" t="s">
        <v>8235</v>
      </c>
      <c r="B5623" s="6" t="s">
        <v>1243</v>
      </c>
      <c r="C5623" s="6" t="s">
        <v>131</v>
      </c>
      <c r="D5623" s="13" t="n">
        <v>45770</v>
      </c>
      <c r="E5623" s="14" t="n">
        <v>3027.69</v>
      </c>
      <c r="F5623" s="14" t="n">
        <v>42462.5</v>
      </c>
      <c r="G5623" s="6" t="s">
        <v>2613</v>
      </c>
    </row>
    <row r="5624" customFormat="false" ht="15" hidden="false" customHeight="true" outlineLevel="0" collapsed="false">
      <c r="A5624" s="6" t="s">
        <v>8236</v>
      </c>
      <c r="B5624" s="6" t="s">
        <v>1243</v>
      </c>
      <c r="C5624" s="6" t="s">
        <v>131</v>
      </c>
      <c r="D5624" s="13" t="n">
        <v>45777</v>
      </c>
      <c r="E5624" s="14" t="n">
        <v>2615.66</v>
      </c>
      <c r="F5624" s="14" t="n">
        <v>45078.16</v>
      </c>
      <c r="G5624" s="6" t="s">
        <v>2613</v>
      </c>
    </row>
    <row r="5625" customFormat="false" ht="15" hidden="false" customHeight="true" outlineLevel="0" collapsed="false">
      <c r="A5625" s="6" t="s">
        <v>8237</v>
      </c>
      <c r="B5625" s="6" t="s">
        <v>1245</v>
      </c>
      <c r="C5625" s="6" t="s">
        <v>124</v>
      </c>
      <c r="D5625" s="13" t="n">
        <v>45891</v>
      </c>
      <c r="E5625" s="14" t="n">
        <v>884.54</v>
      </c>
      <c r="F5625" s="14" t="n">
        <v>884.54</v>
      </c>
      <c r="G5625" s="6" t="s">
        <v>2613</v>
      </c>
    </row>
    <row r="5626" customFormat="false" ht="15" hidden="false" customHeight="true" outlineLevel="0" collapsed="false">
      <c r="A5626" s="6" t="s">
        <v>8238</v>
      </c>
      <c r="B5626" s="6" t="s">
        <v>1245</v>
      </c>
      <c r="C5626" s="6" t="s">
        <v>124</v>
      </c>
      <c r="D5626" s="13" t="n">
        <v>45898</v>
      </c>
      <c r="E5626" s="14" t="n">
        <v>578.77</v>
      </c>
      <c r="F5626" s="14" t="n">
        <v>1463.31</v>
      </c>
      <c r="G5626" s="6" t="s">
        <v>2613</v>
      </c>
    </row>
    <row r="5627" customFormat="false" ht="15" hidden="false" customHeight="true" outlineLevel="0" collapsed="false">
      <c r="A5627" s="6" t="s">
        <v>8239</v>
      </c>
      <c r="B5627" s="6" t="s">
        <v>1245</v>
      </c>
      <c r="C5627" s="6" t="s">
        <v>124</v>
      </c>
      <c r="D5627" s="13" t="n">
        <v>45905</v>
      </c>
      <c r="E5627" s="14" t="n">
        <v>825.35</v>
      </c>
      <c r="F5627" s="14" t="n">
        <v>2288.66</v>
      </c>
      <c r="G5627" s="6" t="s">
        <v>2623</v>
      </c>
    </row>
    <row r="5628" customFormat="false" ht="15" hidden="false" customHeight="true" outlineLevel="0" collapsed="false">
      <c r="A5628" s="6" t="s">
        <v>8240</v>
      </c>
      <c r="B5628" s="6" t="s">
        <v>1245</v>
      </c>
      <c r="C5628" s="6" t="s">
        <v>124</v>
      </c>
      <c r="D5628" s="13" t="n">
        <v>45912</v>
      </c>
      <c r="E5628" s="14" t="n">
        <v>1081.26</v>
      </c>
      <c r="F5628" s="14" t="n">
        <v>3369.92</v>
      </c>
      <c r="G5628" s="6" t="s">
        <v>2613</v>
      </c>
    </row>
    <row r="5629" customFormat="false" ht="15" hidden="false" customHeight="true" outlineLevel="0" collapsed="false">
      <c r="A5629" s="6" t="s">
        <v>8241</v>
      </c>
      <c r="B5629" s="6" t="s">
        <v>1245</v>
      </c>
      <c r="C5629" s="6" t="s">
        <v>124</v>
      </c>
      <c r="D5629" s="13" t="n">
        <v>45919</v>
      </c>
      <c r="E5629" s="14" t="n">
        <v>813.9</v>
      </c>
      <c r="F5629" s="14" t="n">
        <v>4183.82</v>
      </c>
      <c r="G5629" s="6" t="s">
        <v>2613</v>
      </c>
    </row>
    <row r="5630" customFormat="false" ht="15" hidden="false" customHeight="true" outlineLevel="0" collapsed="false">
      <c r="A5630" s="6" t="s">
        <v>8242</v>
      </c>
      <c r="B5630" s="6" t="s">
        <v>1245</v>
      </c>
      <c r="C5630" s="6" t="s">
        <v>124</v>
      </c>
      <c r="D5630" s="13" t="n">
        <v>45926</v>
      </c>
      <c r="E5630" s="14" t="n">
        <v>504.29</v>
      </c>
      <c r="F5630" s="14" t="n">
        <v>4688.11</v>
      </c>
      <c r="G5630" s="6" t="s">
        <v>2613</v>
      </c>
    </row>
    <row r="5631" customFormat="false" ht="15" hidden="false" customHeight="true" outlineLevel="0" collapsed="false">
      <c r="A5631" s="6" t="s">
        <v>8243</v>
      </c>
      <c r="B5631" s="6" t="s">
        <v>1245</v>
      </c>
      <c r="C5631" s="6" t="s">
        <v>124</v>
      </c>
      <c r="D5631" s="13" t="n">
        <v>45933</v>
      </c>
      <c r="E5631" s="14" t="n">
        <v>791.26</v>
      </c>
      <c r="F5631" s="14" t="n">
        <v>5479.37</v>
      </c>
      <c r="G5631" s="6" t="s">
        <v>2613</v>
      </c>
    </row>
    <row r="5632" customFormat="false" ht="15" hidden="false" customHeight="true" outlineLevel="0" collapsed="false">
      <c r="A5632" s="6" t="s">
        <v>8244</v>
      </c>
      <c r="B5632" s="6" t="s">
        <v>1245</v>
      </c>
      <c r="C5632" s="6" t="s">
        <v>124</v>
      </c>
      <c r="D5632" s="13" t="n">
        <v>45940</v>
      </c>
      <c r="E5632" s="14" t="n">
        <v>933.58</v>
      </c>
      <c r="F5632" s="14" t="n">
        <v>6412.95</v>
      </c>
      <c r="G5632" s="6" t="s">
        <v>2613</v>
      </c>
    </row>
    <row r="5633" customFormat="false" ht="15" hidden="false" customHeight="true" outlineLevel="0" collapsed="false">
      <c r="A5633" s="6" t="s">
        <v>8245</v>
      </c>
      <c r="B5633" s="6" t="s">
        <v>1247</v>
      </c>
      <c r="C5633" s="6" t="s">
        <v>112</v>
      </c>
      <c r="D5633" s="13" t="n">
        <v>44821</v>
      </c>
      <c r="E5633" s="14" t="n">
        <v>3947.09</v>
      </c>
      <c r="F5633" s="14" t="n">
        <v>3947.09</v>
      </c>
      <c r="G5633" s="6" t="s">
        <v>2613</v>
      </c>
    </row>
    <row r="5634" customFormat="false" ht="15" hidden="false" customHeight="true" outlineLevel="0" collapsed="false">
      <c r="A5634" s="6" t="s">
        <v>8246</v>
      </c>
      <c r="B5634" s="6" t="s">
        <v>1249</v>
      </c>
      <c r="C5634" s="6" t="s">
        <v>131</v>
      </c>
      <c r="D5634" s="13" t="n">
        <v>46157</v>
      </c>
      <c r="E5634" s="14" t="n">
        <v>1537.38</v>
      </c>
      <c r="F5634" s="14" t="n">
        <v>1537.38</v>
      </c>
      <c r="G5634" s="6" t="s">
        <v>2613</v>
      </c>
    </row>
    <row r="5635" customFormat="false" ht="15" hidden="false" customHeight="true" outlineLevel="0" collapsed="false">
      <c r="A5635" s="6" t="s">
        <v>8247</v>
      </c>
      <c r="B5635" s="6" t="s">
        <v>1249</v>
      </c>
      <c r="C5635" s="6" t="s">
        <v>131</v>
      </c>
      <c r="D5635" s="13" t="n">
        <v>46164</v>
      </c>
      <c r="E5635" s="14" t="n">
        <v>2623.59</v>
      </c>
      <c r="F5635" s="14" t="n">
        <v>4160.97</v>
      </c>
      <c r="G5635" s="6" t="s">
        <v>2613</v>
      </c>
    </row>
    <row r="5636" customFormat="false" ht="15" hidden="false" customHeight="true" outlineLevel="0" collapsed="false">
      <c r="A5636" s="6" t="s">
        <v>8248</v>
      </c>
      <c r="B5636" s="6" t="s">
        <v>1249</v>
      </c>
      <c r="C5636" s="6" t="s">
        <v>131</v>
      </c>
      <c r="D5636" s="13" t="n">
        <v>46171</v>
      </c>
      <c r="E5636" s="14" t="n">
        <v>2443.54</v>
      </c>
      <c r="F5636" s="14" t="n">
        <v>6604.51</v>
      </c>
      <c r="G5636" s="6" t="s">
        <v>2613</v>
      </c>
    </row>
    <row r="5637" customFormat="false" ht="15" hidden="false" customHeight="true" outlineLevel="0" collapsed="false">
      <c r="A5637" s="6" t="s">
        <v>8249</v>
      </c>
      <c r="B5637" s="6" t="s">
        <v>1249</v>
      </c>
      <c r="C5637" s="6" t="s">
        <v>131</v>
      </c>
      <c r="D5637" s="13" t="n">
        <v>46178</v>
      </c>
      <c r="E5637" s="14" t="n">
        <v>1737.34</v>
      </c>
      <c r="F5637" s="14" t="n">
        <v>8341.85</v>
      </c>
      <c r="G5637" s="6" t="s">
        <v>2613</v>
      </c>
    </row>
    <row r="5638" customFormat="false" ht="15" hidden="false" customHeight="true" outlineLevel="0" collapsed="false">
      <c r="A5638" s="6" t="s">
        <v>8250</v>
      </c>
      <c r="B5638" s="6" t="s">
        <v>1249</v>
      </c>
      <c r="C5638" s="6" t="s">
        <v>131</v>
      </c>
      <c r="D5638" s="13" t="n">
        <v>46185</v>
      </c>
      <c r="E5638" s="14" t="n">
        <v>2702.28</v>
      </c>
      <c r="F5638" s="14" t="n">
        <v>11044.13</v>
      </c>
      <c r="G5638" s="6" t="s">
        <v>2613</v>
      </c>
    </row>
    <row r="5639" customFormat="false" ht="15" hidden="false" customHeight="true" outlineLevel="0" collapsed="false">
      <c r="A5639" s="6" t="s">
        <v>8251</v>
      </c>
      <c r="B5639" s="6" t="s">
        <v>1249</v>
      </c>
      <c r="C5639" s="6" t="s">
        <v>131</v>
      </c>
      <c r="D5639" s="13" t="n">
        <v>46192</v>
      </c>
      <c r="E5639" s="14" t="n">
        <v>3186.05</v>
      </c>
      <c r="F5639" s="14" t="n">
        <v>14230.18</v>
      </c>
      <c r="G5639" s="6" t="s">
        <v>2613</v>
      </c>
    </row>
    <row r="5640" customFormat="false" ht="15" hidden="false" customHeight="true" outlineLevel="0" collapsed="false">
      <c r="A5640" s="6" t="s">
        <v>8252</v>
      </c>
      <c r="B5640" s="6" t="s">
        <v>1249</v>
      </c>
      <c r="C5640" s="6" t="s">
        <v>131</v>
      </c>
      <c r="D5640" s="13" t="n">
        <v>46199</v>
      </c>
      <c r="E5640" s="14" t="n">
        <v>3284.49</v>
      </c>
      <c r="F5640" s="14" t="n">
        <v>17514.67</v>
      </c>
      <c r="G5640" s="6" t="s">
        <v>2613</v>
      </c>
    </row>
    <row r="5641" customFormat="false" ht="15" hidden="false" customHeight="true" outlineLevel="0" collapsed="false">
      <c r="A5641" s="6" t="s">
        <v>8253</v>
      </c>
      <c r="B5641" s="6" t="s">
        <v>1249</v>
      </c>
      <c r="C5641" s="6" t="s">
        <v>131</v>
      </c>
      <c r="D5641" s="13" t="n">
        <v>46206</v>
      </c>
      <c r="E5641" s="14" t="n">
        <v>1782.77</v>
      </c>
      <c r="F5641" s="14" t="n">
        <v>19297.44</v>
      </c>
      <c r="G5641" s="6" t="s">
        <v>2613</v>
      </c>
    </row>
    <row r="5642" customFormat="false" ht="15" hidden="false" customHeight="true" outlineLevel="0" collapsed="false">
      <c r="A5642" s="6" t="s">
        <v>8254</v>
      </c>
      <c r="B5642" s="6" t="s">
        <v>1249</v>
      </c>
      <c r="C5642" s="6" t="s">
        <v>131</v>
      </c>
      <c r="D5642" s="13" t="n">
        <v>46213</v>
      </c>
      <c r="E5642" s="14" t="n">
        <v>3096.74</v>
      </c>
      <c r="F5642" s="14" t="n">
        <v>22394.18</v>
      </c>
      <c r="G5642" s="6" t="s">
        <v>2613</v>
      </c>
    </row>
    <row r="5643" customFormat="false" ht="15" hidden="false" customHeight="true" outlineLevel="0" collapsed="false">
      <c r="A5643" s="6" t="s">
        <v>8255</v>
      </c>
      <c r="B5643" s="6" t="s">
        <v>1249</v>
      </c>
      <c r="C5643" s="6" t="s">
        <v>131</v>
      </c>
      <c r="D5643" s="13" t="n">
        <v>46220</v>
      </c>
      <c r="E5643" s="14" t="n">
        <v>2345.23</v>
      </c>
      <c r="F5643" s="14" t="n">
        <v>24739.41</v>
      </c>
      <c r="G5643" s="6" t="s">
        <v>2613</v>
      </c>
    </row>
    <row r="5644" customFormat="false" ht="15" hidden="false" customHeight="true" outlineLevel="0" collapsed="false">
      <c r="A5644" s="6" t="s">
        <v>8256</v>
      </c>
      <c r="B5644" s="6" t="s">
        <v>1251</v>
      </c>
      <c r="C5644" s="6" t="s">
        <v>128</v>
      </c>
      <c r="D5644" s="13" t="n">
        <v>45607</v>
      </c>
      <c r="E5644" s="14" t="n">
        <v>2093</v>
      </c>
      <c r="F5644" s="14" t="n">
        <v>2093</v>
      </c>
      <c r="G5644" s="6" t="s">
        <v>2613</v>
      </c>
    </row>
    <row r="5645" customFormat="false" ht="15" hidden="false" customHeight="true" outlineLevel="0" collapsed="false">
      <c r="A5645" s="6" t="s">
        <v>8257</v>
      </c>
      <c r="B5645" s="6" t="s">
        <v>1251</v>
      </c>
      <c r="C5645" s="6" t="s">
        <v>128</v>
      </c>
      <c r="D5645" s="13" t="n">
        <v>45614</v>
      </c>
      <c r="E5645" s="14" t="n">
        <v>2374.23</v>
      </c>
      <c r="F5645" s="14" t="n">
        <v>4467.23</v>
      </c>
      <c r="G5645" s="6" t="s">
        <v>2613</v>
      </c>
    </row>
    <row r="5646" customFormat="false" ht="15" hidden="false" customHeight="true" outlineLevel="0" collapsed="false">
      <c r="A5646" s="6" t="s">
        <v>8258</v>
      </c>
      <c r="B5646" s="6" t="s">
        <v>1251</v>
      </c>
      <c r="C5646" s="6" t="s">
        <v>128</v>
      </c>
      <c r="D5646" s="13" t="n">
        <v>45621</v>
      </c>
      <c r="E5646" s="14" t="n">
        <v>2301.65</v>
      </c>
      <c r="F5646" s="14" t="n">
        <v>6768.88</v>
      </c>
      <c r="G5646" s="6" t="s">
        <v>2613</v>
      </c>
    </row>
    <row r="5647" customFormat="false" ht="15" hidden="false" customHeight="true" outlineLevel="0" collapsed="false">
      <c r="A5647" s="6" t="s">
        <v>8259</v>
      </c>
      <c r="B5647" s="6" t="s">
        <v>1251</v>
      </c>
      <c r="C5647" s="6" t="s">
        <v>128</v>
      </c>
      <c r="D5647" s="13" t="n">
        <v>45628</v>
      </c>
      <c r="E5647" s="14" t="n">
        <v>2276.81</v>
      </c>
      <c r="F5647" s="14" t="n">
        <v>9045.69</v>
      </c>
      <c r="G5647" s="6" t="s">
        <v>2613</v>
      </c>
    </row>
    <row r="5648" customFormat="false" ht="15" hidden="false" customHeight="true" outlineLevel="0" collapsed="false">
      <c r="A5648" s="6" t="s">
        <v>8260</v>
      </c>
      <c r="B5648" s="6" t="s">
        <v>1251</v>
      </c>
      <c r="C5648" s="6" t="s">
        <v>128</v>
      </c>
      <c r="D5648" s="13" t="n">
        <v>45635</v>
      </c>
      <c r="E5648" s="14" t="n">
        <v>2763.35</v>
      </c>
      <c r="F5648" s="14" t="n">
        <v>11809.04</v>
      </c>
      <c r="G5648" s="6" t="s">
        <v>2613</v>
      </c>
    </row>
    <row r="5649" customFormat="false" ht="15" hidden="false" customHeight="true" outlineLevel="0" collapsed="false">
      <c r="A5649" s="6" t="s">
        <v>8261</v>
      </c>
      <c r="B5649" s="6" t="s">
        <v>1251</v>
      </c>
      <c r="C5649" s="6" t="s">
        <v>128</v>
      </c>
      <c r="D5649" s="13" t="n">
        <v>45642</v>
      </c>
      <c r="E5649" s="14" t="n">
        <v>2882.45</v>
      </c>
      <c r="F5649" s="14" t="n">
        <v>14691.49</v>
      </c>
      <c r="G5649" s="6" t="s">
        <v>2613</v>
      </c>
    </row>
    <row r="5650" customFormat="false" ht="15" hidden="false" customHeight="true" outlineLevel="0" collapsed="false">
      <c r="A5650" s="6" t="s">
        <v>8262</v>
      </c>
      <c r="B5650" s="6" t="s">
        <v>1251</v>
      </c>
      <c r="C5650" s="6" t="s">
        <v>128</v>
      </c>
      <c r="D5650" s="13" t="n">
        <v>45649</v>
      </c>
      <c r="E5650" s="14" t="n">
        <v>1273.84</v>
      </c>
      <c r="F5650" s="14" t="n">
        <v>15965.33</v>
      </c>
      <c r="G5650" s="6" t="s">
        <v>2623</v>
      </c>
    </row>
    <row r="5651" customFormat="false" ht="15" hidden="false" customHeight="true" outlineLevel="0" collapsed="false">
      <c r="A5651" s="6" t="s">
        <v>8263</v>
      </c>
      <c r="B5651" s="6" t="s">
        <v>1253</v>
      </c>
      <c r="C5651" s="6" t="s">
        <v>112</v>
      </c>
      <c r="D5651" s="13" t="n">
        <v>46015</v>
      </c>
      <c r="E5651" s="14" t="n">
        <v>2173.34</v>
      </c>
      <c r="F5651" s="14" t="n">
        <v>2173.34</v>
      </c>
      <c r="G5651" s="6" t="s">
        <v>2613</v>
      </c>
    </row>
    <row r="5652" customFormat="false" ht="15" hidden="false" customHeight="true" outlineLevel="0" collapsed="false">
      <c r="A5652" s="6" t="s">
        <v>8264</v>
      </c>
      <c r="B5652" s="6" t="s">
        <v>1253</v>
      </c>
      <c r="C5652" s="6" t="s">
        <v>112</v>
      </c>
      <c r="D5652" s="13" t="n">
        <v>46022</v>
      </c>
      <c r="E5652" s="14" t="n">
        <v>1818.11</v>
      </c>
      <c r="F5652" s="14" t="n">
        <v>3991.45</v>
      </c>
      <c r="G5652" s="6" t="s">
        <v>2613</v>
      </c>
    </row>
    <row r="5653" customFormat="false" ht="15" hidden="false" customHeight="true" outlineLevel="0" collapsed="false">
      <c r="A5653" s="6" t="s">
        <v>8265</v>
      </c>
      <c r="B5653" s="6" t="s">
        <v>1253</v>
      </c>
      <c r="C5653" s="6" t="s">
        <v>112</v>
      </c>
      <c r="D5653" s="13" t="n">
        <v>46029</v>
      </c>
      <c r="E5653" s="14" t="n">
        <v>1553.23</v>
      </c>
      <c r="F5653" s="14" t="n">
        <v>5544.68</v>
      </c>
      <c r="G5653" s="6" t="s">
        <v>2613</v>
      </c>
    </row>
    <row r="5654" customFormat="false" ht="15" hidden="false" customHeight="true" outlineLevel="0" collapsed="false">
      <c r="A5654" s="6" t="s">
        <v>8266</v>
      </c>
      <c r="B5654" s="6" t="s">
        <v>1253</v>
      </c>
      <c r="C5654" s="6" t="s">
        <v>112</v>
      </c>
      <c r="D5654" s="13" t="n">
        <v>46036</v>
      </c>
      <c r="E5654" s="14" t="n">
        <v>2346.95</v>
      </c>
      <c r="F5654" s="14" t="n">
        <v>7891.63</v>
      </c>
      <c r="G5654" s="6" t="s">
        <v>2613</v>
      </c>
    </row>
    <row r="5655" customFormat="false" ht="15" hidden="false" customHeight="true" outlineLevel="0" collapsed="false">
      <c r="A5655" s="6" t="s">
        <v>8267</v>
      </c>
      <c r="B5655" s="6" t="s">
        <v>1253</v>
      </c>
      <c r="C5655" s="6" t="s">
        <v>112</v>
      </c>
      <c r="D5655" s="13" t="n">
        <v>46043</v>
      </c>
      <c r="E5655" s="14" t="n">
        <v>1648.64</v>
      </c>
      <c r="F5655" s="14" t="n">
        <v>9540.27</v>
      </c>
      <c r="G5655" s="6" t="s">
        <v>2613</v>
      </c>
    </row>
    <row r="5656" customFormat="false" ht="15" hidden="false" customHeight="true" outlineLevel="0" collapsed="false">
      <c r="A5656" s="6" t="s">
        <v>8268</v>
      </c>
      <c r="B5656" s="6" t="s">
        <v>1253</v>
      </c>
      <c r="C5656" s="6" t="s">
        <v>112</v>
      </c>
      <c r="D5656" s="13" t="n">
        <v>46050</v>
      </c>
      <c r="E5656" s="14" t="n">
        <v>1352.02</v>
      </c>
      <c r="F5656" s="14" t="n">
        <v>10892.29</v>
      </c>
      <c r="G5656" s="6" t="s">
        <v>2613</v>
      </c>
    </row>
    <row r="5657" customFormat="false" ht="15" hidden="false" customHeight="true" outlineLevel="0" collapsed="false">
      <c r="A5657" s="6" t="s">
        <v>8269</v>
      </c>
      <c r="B5657" s="6" t="s">
        <v>1253</v>
      </c>
      <c r="C5657" s="6" t="s">
        <v>112</v>
      </c>
      <c r="D5657" s="13" t="n">
        <v>46057</v>
      </c>
      <c r="E5657" s="14" t="n">
        <v>2639.31</v>
      </c>
      <c r="F5657" s="14" t="n">
        <v>13531.6</v>
      </c>
      <c r="G5657" s="6" t="s">
        <v>2613</v>
      </c>
    </row>
    <row r="5658" customFormat="false" ht="15" hidden="false" customHeight="true" outlineLevel="0" collapsed="false">
      <c r="A5658" s="6" t="s">
        <v>8270</v>
      </c>
      <c r="B5658" s="6" t="s">
        <v>1253</v>
      </c>
      <c r="C5658" s="6" t="s">
        <v>112</v>
      </c>
      <c r="D5658" s="13" t="n">
        <v>46064</v>
      </c>
      <c r="E5658" s="14" t="n">
        <v>2211.14</v>
      </c>
      <c r="F5658" s="14" t="n">
        <v>15742.74</v>
      </c>
      <c r="G5658" s="6" t="s">
        <v>2613</v>
      </c>
    </row>
    <row r="5659" customFormat="false" ht="15" hidden="false" customHeight="true" outlineLevel="0" collapsed="false">
      <c r="A5659" s="6" t="s">
        <v>8271</v>
      </c>
      <c r="B5659" s="6" t="s">
        <v>1253</v>
      </c>
      <c r="C5659" s="6" t="s">
        <v>112</v>
      </c>
      <c r="D5659" s="13" t="n">
        <v>46071</v>
      </c>
      <c r="E5659" s="14" t="n">
        <v>2612.33</v>
      </c>
      <c r="F5659" s="14" t="n">
        <v>18355.07</v>
      </c>
      <c r="G5659" s="6" t="s">
        <v>2613</v>
      </c>
    </row>
    <row r="5660" customFormat="false" ht="15" hidden="false" customHeight="true" outlineLevel="0" collapsed="false">
      <c r="A5660" s="6" t="s">
        <v>8272</v>
      </c>
      <c r="B5660" s="6" t="s">
        <v>1253</v>
      </c>
      <c r="C5660" s="6" t="s">
        <v>112</v>
      </c>
      <c r="D5660" s="13" t="n">
        <v>46078</v>
      </c>
      <c r="E5660" s="14" t="n">
        <v>1931.08</v>
      </c>
      <c r="F5660" s="14" t="n">
        <v>20286.15</v>
      </c>
      <c r="G5660" s="6" t="s">
        <v>2613</v>
      </c>
    </row>
    <row r="5661" customFormat="false" ht="15" hidden="false" customHeight="true" outlineLevel="0" collapsed="false">
      <c r="A5661" s="6" t="s">
        <v>8273</v>
      </c>
      <c r="B5661" s="6" t="s">
        <v>1253</v>
      </c>
      <c r="C5661" s="6" t="s">
        <v>112</v>
      </c>
      <c r="D5661" s="13" t="n">
        <v>46085</v>
      </c>
      <c r="E5661" s="14" t="n">
        <v>814.64</v>
      </c>
      <c r="F5661" s="14" t="n">
        <v>21100.79</v>
      </c>
      <c r="G5661" s="6" t="s">
        <v>2613</v>
      </c>
    </row>
    <row r="5662" customFormat="false" ht="15" hidden="false" customHeight="true" outlineLevel="0" collapsed="false">
      <c r="A5662" s="6" t="s">
        <v>8274</v>
      </c>
      <c r="B5662" s="6" t="s">
        <v>1255</v>
      </c>
      <c r="C5662" s="6" t="s">
        <v>120</v>
      </c>
      <c r="D5662" s="13" t="n">
        <v>44934</v>
      </c>
      <c r="E5662" s="14" t="n">
        <v>3180.05</v>
      </c>
      <c r="F5662" s="14" t="n">
        <v>3180.05</v>
      </c>
      <c r="G5662" s="6" t="s">
        <v>2613</v>
      </c>
    </row>
    <row r="5663" customFormat="false" ht="15" hidden="false" customHeight="true" outlineLevel="0" collapsed="false">
      <c r="A5663" s="6" t="s">
        <v>8275</v>
      </c>
      <c r="B5663" s="6" t="s">
        <v>1255</v>
      </c>
      <c r="C5663" s="6" t="s">
        <v>120</v>
      </c>
      <c r="D5663" s="13" t="n">
        <v>44941</v>
      </c>
      <c r="E5663" s="14" t="n">
        <v>6669.46</v>
      </c>
      <c r="F5663" s="14" t="n">
        <v>9849.51</v>
      </c>
      <c r="G5663" s="6" t="s">
        <v>2613</v>
      </c>
    </row>
    <row r="5664" customFormat="false" ht="15" hidden="false" customHeight="true" outlineLevel="0" collapsed="false">
      <c r="A5664" s="6" t="s">
        <v>8276</v>
      </c>
      <c r="B5664" s="6" t="s">
        <v>1257</v>
      </c>
      <c r="C5664" s="6" t="s">
        <v>120</v>
      </c>
      <c r="D5664" s="13" t="n">
        <v>44682</v>
      </c>
      <c r="E5664" s="14" t="n">
        <v>2387.83</v>
      </c>
      <c r="F5664" s="14" t="n">
        <v>2387.83</v>
      </c>
      <c r="G5664" s="6" t="s">
        <v>2613</v>
      </c>
    </row>
    <row r="5665" customFormat="false" ht="15" hidden="false" customHeight="true" outlineLevel="0" collapsed="false">
      <c r="A5665" s="6" t="s">
        <v>8277</v>
      </c>
      <c r="B5665" s="6" t="s">
        <v>1257</v>
      </c>
      <c r="C5665" s="6" t="s">
        <v>120</v>
      </c>
      <c r="D5665" s="13" t="n">
        <v>44689</v>
      </c>
      <c r="E5665" s="14" t="n">
        <v>1896.6</v>
      </c>
      <c r="F5665" s="14" t="n">
        <v>4284.43</v>
      </c>
      <c r="G5665" s="6" t="s">
        <v>2613</v>
      </c>
    </row>
    <row r="5666" customFormat="false" ht="15" hidden="false" customHeight="true" outlineLevel="0" collapsed="false">
      <c r="A5666" s="6" t="s">
        <v>8278</v>
      </c>
      <c r="B5666" s="6" t="s">
        <v>1257</v>
      </c>
      <c r="C5666" s="6" t="s">
        <v>120</v>
      </c>
      <c r="D5666" s="13" t="n">
        <v>44696</v>
      </c>
      <c r="E5666" s="14" t="n">
        <v>2048.4</v>
      </c>
      <c r="F5666" s="14" t="n">
        <v>6332.83</v>
      </c>
      <c r="G5666" s="6" t="s">
        <v>2613</v>
      </c>
    </row>
    <row r="5667" customFormat="false" ht="15" hidden="false" customHeight="true" outlineLevel="0" collapsed="false">
      <c r="A5667" s="6" t="s">
        <v>8279</v>
      </c>
      <c r="B5667" s="6" t="s">
        <v>1257</v>
      </c>
      <c r="C5667" s="6" t="s">
        <v>120</v>
      </c>
      <c r="D5667" s="13" t="n">
        <v>44703</v>
      </c>
      <c r="E5667" s="14" t="n">
        <v>3268.53</v>
      </c>
      <c r="F5667" s="14" t="n">
        <v>9601.36</v>
      </c>
      <c r="G5667" s="6" t="s">
        <v>2613</v>
      </c>
    </row>
    <row r="5668" customFormat="false" ht="15" hidden="false" customHeight="true" outlineLevel="0" collapsed="false">
      <c r="A5668" s="6" t="s">
        <v>8280</v>
      </c>
      <c r="B5668" s="6" t="s">
        <v>1257</v>
      </c>
      <c r="C5668" s="6" t="s">
        <v>120</v>
      </c>
      <c r="D5668" s="13" t="n">
        <v>44710</v>
      </c>
      <c r="E5668" s="14" t="n">
        <v>2698.24</v>
      </c>
      <c r="F5668" s="14" t="n">
        <v>12299.6</v>
      </c>
      <c r="G5668" s="6" t="s">
        <v>2613</v>
      </c>
    </row>
    <row r="5669" customFormat="false" ht="15" hidden="false" customHeight="true" outlineLevel="0" collapsed="false">
      <c r="A5669" s="6" t="s">
        <v>8281</v>
      </c>
      <c r="B5669" s="6" t="s">
        <v>1257</v>
      </c>
      <c r="C5669" s="6" t="s">
        <v>120</v>
      </c>
      <c r="D5669" s="13" t="n">
        <v>44717</v>
      </c>
      <c r="E5669" s="14" t="n">
        <v>1468.25</v>
      </c>
      <c r="F5669" s="14" t="n">
        <v>13767.85</v>
      </c>
      <c r="G5669" s="6" t="s">
        <v>2613</v>
      </c>
    </row>
    <row r="5670" customFormat="false" ht="15" hidden="false" customHeight="true" outlineLevel="0" collapsed="false">
      <c r="A5670" s="6" t="s">
        <v>8282</v>
      </c>
      <c r="B5670" s="6" t="s">
        <v>1257</v>
      </c>
      <c r="C5670" s="6" t="s">
        <v>120</v>
      </c>
      <c r="D5670" s="13" t="n">
        <v>44724</v>
      </c>
      <c r="E5670" s="14" t="n">
        <v>1864.75</v>
      </c>
      <c r="F5670" s="14" t="n">
        <v>15632.6</v>
      </c>
      <c r="G5670" s="6" t="s">
        <v>2613</v>
      </c>
    </row>
    <row r="5671" customFormat="false" ht="15" hidden="false" customHeight="true" outlineLevel="0" collapsed="false">
      <c r="A5671" s="6" t="s">
        <v>8283</v>
      </c>
      <c r="B5671" s="6" t="s">
        <v>1257</v>
      </c>
      <c r="C5671" s="6" t="s">
        <v>120</v>
      </c>
      <c r="D5671" s="13" t="n">
        <v>44731</v>
      </c>
      <c r="E5671" s="14" t="n">
        <v>2213.84</v>
      </c>
      <c r="F5671" s="14" t="n">
        <v>17846.44</v>
      </c>
      <c r="G5671" s="6" t="s">
        <v>2623</v>
      </c>
    </row>
    <row r="5672" customFormat="false" ht="15" hidden="false" customHeight="true" outlineLevel="0" collapsed="false">
      <c r="A5672" s="6" t="s">
        <v>8284</v>
      </c>
      <c r="B5672" s="6" t="s">
        <v>1257</v>
      </c>
      <c r="C5672" s="6" t="s">
        <v>120</v>
      </c>
      <c r="D5672" s="13" t="n">
        <v>44738</v>
      </c>
      <c r="E5672" s="14" t="n">
        <v>2950.8</v>
      </c>
      <c r="F5672" s="14" t="n">
        <v>20797.24</v>
      </c>
      <c r="G5672" s="6" t="s">
        <v>2613</v>
      </c>
    </row>
    <row r="5673" customFormat="false" ht="15" hidden="false" customHeight="true" outlineLevel="0" collapsed="false">
      <c r="A5673" s="6" t="s">
        <v>8285</v>
      </c>
      <c r="B5673" s="6" t="s">
        <v>1257</v>
      </c>
      <c r="C5673" s="6" t="s">
        <v>120</v>
      </c>
      <c r="D5673" s="13" t="n">
        <v>44745</v>
      </c>
      <c r="E5673" s="14" t="n">
        <v>1882.99</v>
      </c>
      <c r="F5673" s="14" t="n">
        <v>22680.23</v>
      </c>
      <c r="G5673" s="6" t="s">
        <v>2613</v>
      </c>
    </row>
    <row r="5674" customFormat="false" ht="15" hidden="false" customHeight="true" outlineLevel="0" collapsed="false">
      <c r="A5674" s="6" t="s">
        <v>8286</v>
      </c>
      <c r="B5674" s="6" t="s">
        <v>1257</v>
      </c>
      <c r="C5674" s="6" t="s">
        <v>120</v>
      </c>
      <c r="D5674" s="13" t="n">
        <v>44752</v>
      </c>
      <c r="E5674" s="14" t="n">
        <v>2352.74</v>
      </c>
      <c r="F5674" s="14" t="n">
        <v>25032.97</v>
      </c>
      <c r="G5674" s="6" t="s">
        <v>2613</v>
      </c>
    </row>
    <row r="5675" customFormat="false" ht="15" hidden="false" customHeight="true" outlineLevel="0" collapsed="false">
      <c r="A5675" s="6" t="s">
        <v>8287</v>
      </c>
      <c r="B5675" s="6" t="s">
        <v>1257</v>
      </c>
      <c r="C5675" s="6" t="s">
        <v>120</v>
      </c>
      <c r="D5675" s="13" t="n">
        <v>44759</v>
      </c>
      <c r="E5675" s="14" t="n">
        <v>1563.83</v>
      </c>
      <c r="F5675" s="14" t="n">
        <v>26596.8</v>
      </c>
      <c r="G5675" s="6" t="s">
        <v>2613</v>
      </c>
    </row>
    <row r="5676" customFormat="false" ht="15" hidden="false" customHeight="true" outlineLevel="0" collapsed="false">
      <c r="A5676" s="6" t="s">
        <v>8288</v>
      </c>
      <c r="B5676" s="6" t="s">
        <v>1257</v>
      </c>
      <c r="C5676" s="6" t="s">
        <v>120</v>
      </c>
      <c r="D5676" s="13" t="n">
        <v>44766</v>
      </c>
      <c r="E5676" s="14" t="n">
        <v>2962.74</v>
      </c>
      <c r="F5676" s="14" t="n">
        <v>29559.54</v>
      </c>
      <c r="G5676" s="6" t="s">
        <v>2623</v>
      </c>
    </row>
    <row r="5677" customFormat="false" ht="15" hidden="false" customHeight="true" outlineLevel="0" collapsed="false">
      <c r="A5677" s="6" t="s">
        <v>8289</v>
      </c>
      <c r="B5677" s="6" t="s">
        <v>1257</v>
      </c>
      <c r="C5677" s="6" t="s">
        <v>120</v>
      </c>
      <c r="D5677" s="13" t="n">
        <v>44773</v>
      </c>
      <c r="E5677" s="14" t="n">
        <v>2054.48</v>
      </c>
      <c r="F5677" s="14" t="n">
        <v>31614.02</v>
      </c>
      <c r="G5677" s="6" t="s">
        <v>2613</v>
      </c>
    </row>
    <row r="5678" customFormat="false" ht="15" hidden="false" customHeight="true" outlineLevel="0" collapsed="false">
      <c r="A5678" s="6" t="s">
        <v>8290</v>
      </c>
      <c r="B5678" s="6" t="s">
        <v>1257</v>
      </c>
      <c r="C5678" s="6" t="s">
        <v>120</v>
      </c>
      <c r="D5678" s="13" t="n">
        <v>44780</v>
      </c>
      <c r="E5678" s="14" t="n">
        <v>2979.14</v>
      </c>
      <c r="F5678" s="14" t="n">
        <v>34593.16</v>
      </c>
      <c r="G5678" s="6" t="s">
        <v>2613</v>
      </c>
    </row>
    <row r="5679" customFormat="false" ht="15" hidden="false" customHeight="true" outlineLevel="0" collapsed="false">
      <c r="A5679" s="6" t="s">
        <v>8291</v>
      </c>
      <c r="B5679" s="6" t="s">
        <v>1257</v>
      </c>
      <c r="C5679" s="6" t="s">
        <v>120</v>
      </c>
      <c r="D5679" s="13" t="n">
        <v>44787</v>
      </c>
      <c r="E5679" s="14" t="n">
        <v>2710.71</v>
      </c>
      <c r="F5679" s="14" t="n">
        <v>37303.87</v>
      </c>
      <c r="G5679" s="6" t="s">
        <v>2613</v>
      </c>
    </row>
    <row r="5680" customFormat="false" ht="15" hidden="false" customHeight="true" outlineLevel="0" collapsed="false">
      <c r="A5680" s="6" t="s">
        <v>8292</v>
      </c>
      <c r="B5680" s="6" t="s">
        <v>1257</v>
      </c>
      <c r="C5680" s="6" t="s">
        <v>120</v>
      </c>
      <c r="D5680" s="13" t="n">
        <v>44794</v>
      </c>
      <c r="E5680" s="14" t="n">
        <v>2265.43</v>
      </c>
      <c r="F5680" s="14" t="n">
        <v>39569.3</v>
      </c>
      <c r="G5680" s="6" t="s">
        <v>2613</v>
      </c>
    </row>
    <row r="5681" customFormat="false" ht="15" hidden="false" customHeight="true" outlineLevel="0" collapsed="false">
      <c r="A5681" s="6" t="s">
        <v>8293</v>
      </c>
      <c r="B5681" s="6" t="s">
        <v>1257</v>
      </c>
      <c r="C5681" s="6" t="s">
        <v>120</v>
      </c>
      <c r="D5681" s="13" t="n">
        <v>44801</v>
      </c>
      <c r="E5681" s="14" t="n">
        <v>1580.68</v>
      </c>
      <c r="F5681" s="14" t="n">
        <v>41149.98</v>
      </c>
      <c r="G5681" s="6" t="s">
        <v>2613</v>
      </c>
    </row>
    <row r="5682" customFormat="false" ht="15" hidden="false" customHeight="true" outlineLevel="0" collapsed="false">
      <c r="A5682" s="6" t="s">
        <v>8294</v>
      </c>
      <c r="B5682" s="6" t="s">
        <v>1257</v>
      </c>
      <c r="C5682" s="6" t="s">
        <v>120</v>
      </c>
      <c r="D5682" s="13" t="n">
        <v>44808</v>
      </c>
      <c r="E5682" s="14" t="n">
        <v>3208.03</v>
      </c>
      <c r="F5682" s="14" t="n">
        <v>44358.01</v>
      </c>
      <c r="G5682" s="6" t="s">
        <v>2613</v>
      </c>
    </row>
    <row r="5683" customFormat="false" ht="15" hidden="false" customHeight="true" outlineLevel="0" collapsed="false">
      <c r="A5683" s="6" t="s">
        <v>8295</v>
      </c>
      <c r="B5683" s="6" t="s">
        <v>1257</v>
      </c>
      <c r="C5683" s="6" t="s">
        <v>120</v>
      </c>
      <c r="D5683" s="13" t="n">
        <v>44815</v>
      </c>
      <c r="E5683" s="14" t="n">
        <v>2265.71</v>
      </c>
      <c r="F5683" s="14" t="n">
        <v>46623.72</v>
      </c>
      <c r="G5683" s="6" t="s">
        <v>2623</v>
      </c>
    </row>
    <row r="5684" customFormat="false" ht="15" hidden="false" customHeight="true" outlineLevel="0" collapsed="false">
      <c r="A5684" s="6" t="s">
        <v>8296</v>
      </c>
      <c r="B5684" s="6" t="s">
        <v>1257</v>
      </c>
      <c r="C5684" s="6" t="s">
        <v>120</v>
      </c>
      <c r="D5684" s="13" t="n">
        <v>44822</v>
      </c>
      <c r="E5684" s="14" t="n">
        <v>3236.93</v>
      </c>
      <c r="F5684" s="14" t="n">
        <v>49860.65</v>
      </c>
      <c r="G5684" s="6" t="s">
        <v>2623</v>
      </c>
    </row>
    <row r="5685" customFormat="false" ht="15" hidden="false" customHeight="true" outlineLevel="0" collapsed="false">
      <c r="A5685" s="6" t="s">
        <v>8297</v>
      </c>
      <c r="B5685" s="6" t="s">
        <v>1257</v>
      </c>
      <c r="C5685" s="6" t="s">
        <v>120</v>
      </c>
      <c r="D5685" s="13" t="n">
        <v>44829</v>
      </c>
      <c r="E5685" s="14" t="n">
        <v>2828.41</v>
      </c>
      <c r="F5685" s="14" t="n">
        <v>52689.06</v>
      </c>
      <c r="G5685" s="6" t="s">
        <v>2613</v>
      </c>
    </row>
    <row r="5686" customFormat="false" ht="15" hidden="false" customHeight="true" outlineLevel="0" collapsed="false">
      <c r="A5686" s="6" t="s">
        <v>8298</v>
      </c>
      <c r="B5686" s="6" t="s">
        <v>1257</v>
      </c>
      <c r="C5686" s="6" t="s">
        <v>120</v>
      </c>
      <c r="D5686" s="13" t="n">
        <v>44836</v>
      </c>
      <c r="E5686" s="14" t="n">
        <v>1848.92</v>
      </c>
      <c r="F5686" s="14" t="n">
        <v>54537.98</v>
      </c>
      <c r="G5686" s="6" t="s">
        <v>2613</v>
      </c>
    </row>
    <row r="5687" customFormat="false" ht="15" hidden="false" customHeight="true" outlineLevel="0" collapsed="false">
      <c r="A5687" s="6" t="s">
        <v>8299</v>
      </c>
      <c r="B5687" s="6" t="s">
        <v>1257</v>
      </c>
      <c r="C5687" s="6" t="s">
        <v>120</v>
      </c>
      <c r="D5687" s="13" t="n">
        <v>44843</v>
      </c>
      <c r="E5687" s="14" t="n">
        <v>2494.26</v>
      </c>
      <c r="F5687" s="14" t="n">
        <v>57032.24</v>
      </c>
      <c r="G5687" s="6" t="s">
        <v>2613</v>
      </c>
    </row>
    <row r="5688" customFormat="false" ht="15" hidden="false" customHeight="true" outlineLevel="0" collapsed="false">
      <c r="A5688" s="6" t="s">
        <v>8300</v>
      </c>
      <c r="B5688" s="6" t="s">
        <v>1257</v>
      </c>
      <c r="C5688" s="6" t="s">
        <v>120</v>
      </c>
      <c r="D5688" s="13" t="n">
        <v>44850</v>
      </c>
      <c r="E5688" s="14" t="n">
        <v>1797.66</v>
      </c>
      <c r="F5688" s="14" t="n">
        <v>58829.9</v>
      </c>
      <c r="G5688" s="6" t="s">
        <v>2613</v>
      </c>
    </row>
    <row r="5689" customFormat="false" ht="15" hidden="false" customHeight="true" outlineLevel="0" collapsed="false">
      <c r="A5689" s="6" t="s">
        <v>8301</v>
      </c>
      <c r="B5689" s="6" t="s">
        <v>1257</v>
      </c>
      <c r="C5689" s="6" t="s">
        <v>120</v>
      </c>
      <c r="D5689" s="13" t="n">
        <v>44857</v>
      </c>
      <c r="E5689" s="14" t="n">
        <v>3664.9</v>
      </c>
      <c r="F5689" s="14" t="n">
        <v>62494.8</v>
      </c>
      <c r="G5689" s="6" t="s">
        <v>2623</v>
      </c>
    </row>
    <row r="5690" customFormat="false" ht="15" hidden="false" customHeight="true" outlineLevel="0" collapsed="false">
      <c r="A5690" s="6" t="s">
        <v>8302</v>
      </c>
      <c r="B5690" s="6" t="s">
        <v>1259</v>
      </c>
      <c r="C5690" s="6" t="s">
        <v>116</v>
      </c>
      <c r="D5690" s="13" t="n">
        <v>44752</v>
      </c>
      <c r="E5690" s="14" t="n">
        <v>930.81</v>
      </c>
      <c r="F5690" s="14" t="n">
        <v>930.81</v>
      </c>
      <c r="G5690" s="6" t="s">
        <v>2613</v>
      </c>
    </row>
    <row r="5691" customFormat="false" ht="15" hidden="false" customHeight="true" outlineLevel="0" collapsed="false">
      <c r="A5691" s="6" t="s">
        <v>8303</v>
      </c>
      <c r="B5691" s="6" t="s">
        <v>1259</v>
      </c>
      <c r="C5691" s="6" t="s">
        <v>116</v>
      </c>
      <c r="D5691" s="13" t="n">
        <v>44759</v>
      </c>
      <c r="E5691" s="14" t="n">
        <v>1434.14</v>
      </c>
      <c r="F5691" s="14" t="n">
        <v>2364.95</v>
      </c>
      <c r="G5691" s="6" t="s">
        <v>2613</v>
      </c>
    </row>
    <row r="5692" customFormat="false" ht="15" hidden="false" customHeight="true" outlineLevel="0" collapsed="false">
      <c r="A5692" s="6" t="s">
        <v>8304</v>
      </c>
      <c r="B5692" s="6" t="s">
        <v>1259</v>
      </c>
      <c r="C5692" s="6" t="s">
        <v>116</v>
      </c>
      <c r="D5692" s="13" t="n">
        <v>44766</v>
      </c>
      <c r="E5692" s="14" t="n">
        <v>1340.11</v>
      </c>
      <c r="F5692" s="14" t="n">
        <v>3705.06</v>
      </c>
      <c r="G5692" s="6" t="s">
        <v>2613</v>
      </c>
    </row>
    <row r="5693" customFormat="false" ht="15" hidden="false" customHeight="true" outlineLevel="0" collapsed="false">
      <c r="A5693" s="6" t="s">
        <v>8305</v>
      </c>
      <c r="B5693" s="6" t="s">
        <v>1259</v>
      </c>
      <c r="C5693" s="6" t="s">
        <v>116</v>
      </c>
      <c r="D5693" s="13" t="n">
        <v>44773</v>
      </c>
      <c r="E5693" s="14" t="n">
        <v>1287.52</v>
      </c>
      <c r="F5693" s="14" t="n">
        <v>4992.58</v>
      </c>
      <c r="G5693" s="6" t="s">
        <v>2613</v>
      </c>
    </row>
    <row r="5694" customFormat="false" ht="15" hidden="false" customHeight="true" outlineLevel="0" collapsed="false">
      <c r="A5694" s="6" t="s">
        <v>8306</v>
      </c>
      <c r="B5694" s="6" t="s">
        <v>1259</v>
      </c>
      <c r="C5694" s="6" t="s">
        <v>116</v>
      </c>
      <c r="D5694" s="13" t="n">
        <v>44780</v>
      </c>
      <c r="E5694" s="14" t="n">
        <v>769.01</v>
      </c>
      <c r="F5694" s="14" t="n">
        <v>5761.59</v>
      </c>
      <c r="G5694" s="6" t="s">
        <v>2613</v>
      </c>
    </row>
    <row r="5695" customFormat="false" ht="15" hidden="false" customHeight="true" outlineLevel="0" collapsed="false">
      <c r="A5695" s="6" t="s">
        <v>8307</v>
      </c>
      <c r="B5695" s="6" t="s">
        <v>1259</v>
      </c>
      <c r="C5695" s="6" t="s">
        <v>116</v>
      </c>
      <c r="D5695" s="13" t="n">
        <v>44787</v>
      </c>
      <c r="E5695" s="14" t="n">
        <v>1197.58</v>
      </c>
      <c r="F5695" s="14" t="n">
        <v>6959.17</v>
      </c>
      <c r="G5695" s="6" t="s">
        <v>2623</v>
      </c>
    </row>
    <row r="5696" customFormat="false" ht="15" hidden="false" customHeight="true" outlineLevel="0" collapsed="false">
      <c r="A5696" s="6" t="s">
        <v>8308</v>
      </c>
      <c r="B5696" s="6" t="s">
        <v>1259</v>
      </c>
      <c r="C5696" s="6" t="s">
        <v>116</v>
      </c>
      <c r="D5696" s="13" t="n">
        <v>44794</v>
      </c>
      <c r="E5696" s="14" t="n">
        <v>1150.44</v>
      </c>
      <c r="F5696" s="14" t="n">
        <v>8109.61</v>
      </c>
      <c r="G5696" s="6" t="s">
        <v>2613</v>
      </c>
    </row>
    <row r="5697" customFormat="false" ht="15" hidden="false" customHeight="true" outlineLevel="0" collapsed="false">
      <c r="A5697" s="6" t="s">
        <v>8309</v>
      </c>
      <c r="B5697" s="6" t="s">
        <v>1259</v>
      </c>
      <c r="C5697" s="6" t="s">
        <v>116</v>
      </c>
      <c r="D5697" s="13" t="n">
        <v>44801</v>
      </c>
      <c r="E5697" s="14" t="n">
        <v>959.7</v>
      </c>
      <c r="F5697" s="14" t="n">
        <v>9069.31</v>
      </c>
      <c r="G5697" s="6" t="s">
        <v>2613</v>
      </c>
    </row>
    <row r="5698" customFormat="false" ht="15" hidden="false" customHeight="true" outlineLevel="0" collapsed="false">
      <c r="A5698" s="6" t="s">
        <v>8310</v>
      </c>
      <c r="B5698" s="6" t="s">
        <v>1259</v>
      </c>
      <c r="C5698" s="6" t="s">
        <v>116</v>
      </c>
      <c r="D5698" s="13" t="n">
        <v>44808</v>
      </c>
      <c r="E5698" s="14" t="n">
        <v>1696.85</v>
      </c>
      <c r="F5698" s="14" t="n">
        <v>10766.16</v>
      </c>
      <c r="G5698" s="6" t="s">
        <v>2613</v>
      </c>
    </row>
    <row r="5699" customFormat="false" ht="15" hidden="false" customHeight="true" outlineLevel="0" collapsed="false">
      <c r="A5699" s="6" t="s">
        <v>8311</v>
      </c>
      <c r="B5699" s="6" t="s">
        <v>1259</v>
      </c>
      <c r="C5699" s="6" t="s">
        <v>116</v>
      </c>
      <c r="D5699" s="13" t="n">
        <v>44815</v>
      </c>
      <c r="E5699" s="14" t="n">
        <v>1458.37</v>
      </c>
      <c r="F5699" s="14" t="n">
        <v>12224.53</v>
      </c>
      <c r="G5699" s="6" t="s">
        <v>2613</v>
      </c>
    </row>
    <row r="5700" customFormat="false" ht="15" hidden="false" customHeight="true" outlineLevel="0" collapsed="false">
      <c r="A5700" s="6" t="s">
        <v>8312</v>
      </c>
      <c r="B5700" s="6" t="s">
        <v>1261</v>
      </c>
      <c r="C5700" s="6" t="s">
        <v>124</v>
      </c>
      <c r="D5700" s="13" t="n">
        <v>44994</v>
      </c>
      <c r="E5700" s="14" t="n">
        <v>9517.09</v>
      </c>
      <c r="F5700" s="14" t="n">
        <v>9517.09</v>
      </c>
      <c r="G5700" s="6" t="s">
        <v>2613</v>
      </c>
    </row>
    <row r="5701" customFormat="false" ht="15" hidden="false" customHeight="true" outlineLevel="0" collapsed="false">
      <c r="A5701" s="6" t="s">
        <v>8313</v>
      </c>
      <c r="B5701" s="6" t="s">
        <v>1261</v>
      </c>
      <c r="C5701" s="6" t="s">
        <v>124</v>
      </c>
      <c r="D5701" s="13" t="n">
        <v>45001</v>
      </c>
      <c r="E5701" s="14" t="n">
        <v>6106.5</v>
      </c>
      <c r="F5701" s="14" t="n">
        <v>15623.59</v>
      </c>
      <c r="G5701" s="6" t="s">
        <v>2613</v>
      </c>
    </row>
    <row r="5702" customFormat="false" ht="15" hidden="false" customHeight="true" outlineLevel="0" collapsed="false">
      <c r="A5702" s="6" t="s">
        <v>8314</v>
      </c>
      <c r="B5702" s="6" t="s">
        <v>1261</v>
      </c>
      <c r="C5702" s="6" t="s">
        <v>124</v>
      </c>
      <c r="D5702" s="13" t="n">
        <v>45008</v>
      </c>
      <c r="E5702" s="14" t="n">
        <v>4854.52</v>
      </c>
      <c r="F5702" s="14" t="n">
        <v>20478.11</v>
      </c>
      <c r="G5702" s="6" t="s">
        <v>2613</v>
      </c>
    </row>
    <row r="5703" customFormat="false" ht="15" hidden="false" customHeight="true" outlineLevel="0" collapsed="false">
      <c r="A5703" s="6" t="s">
        <v>8315</v>
      </c>
      <c r="B5703" s="6" t="s">
        <v>1261</v>
      </c>
      <c r="C5703" s="6" t="s">
        <v>124</v>
      </c>
      <c r="D5703" s="13" t="n">
        <v>45015</v>
      </c>
      <c r="E5703" s="14" t="n">
        <v>6222.13</v>
      </c>
      <c r="F5703" s="14" t="n">
        <v>26700.24</v>
      </c>
      <c r="G5703" s="6" t="s">
        <v>2613</v>
      </c>
    </row>
    <row r="5704" customFormat="false" ht="15" hidden="false" customHeight="true" outlineLevel="0" collapsed="false">
      <c r="A5704" s="6" t="s">
        <v>8316</v>
      </c>
      <c r="B5704" s="6" t="s">
        <v>1261</v>
      </c>
      <c r="C5704" s="6" t="s">
        <v>124</v>
      </c>
      <c r="D5704" s="13" t="n">
        <v>45022</v>
      </c>
      <c r="E5704" s="14" t="n">
        <v>9826.83</v>
      </c>
      <c r="F5704" s="14" t="n">
        <v>36527.07</v>
      </c>
      <c r="G5704" s="6" t="s">
        <v>2613</v>
      </c>
    </row>
    <row r="5705" customFormat="false" ht="15" hidden="false" customHeight="true" outlineLevel="0" collapsed="false">
      <c r="A5705" s="6" t="s">
        <v>8317</v>
      </c>
      <c r="B5705" s="6" t="s">
        <v>1261</v>
      </c>
      <c r="C5705" s="6" t="s">
        <v>124</v>
      </c>
      <c r="D5705" s="13" t="n">
        <v>45029</v>
      </c>
      <c r="E5705" s="14" t="n">
        <v>8856.87</v>
      </c>
      <c r="F5705" s="14" t="n">
        <v>45383.94</v>
      </c>
      <c r="G5705" s="6" t="s">
        <v>2613</v>
      </c>
    </row>
    <row r="5706" customFormat="false" ht="15" hidden="false" customHeight="true" outlineLevel="0" collapsed="false">
      <c r="A5706" s="6" t="s">
        <v>8318</v>
      </c>
      <c r="B5706" s="6" t="s">
        <v>1261</v>
      </c>
      <c r="C5706" s="6" t="s">
        <v>124</v>
      </c>
      <c r="D5706" s="13" t="n">
        <v>45036</v>
      </c>
      <c r="E5706" s="14" t="n">
        <v>5373.57</v>
      </c>
      <c r="F5706" s="14" t="n">
        <v>50757.51</v>
      </c>
      <c r="G5706" s="6" t="s">
        <v>2613</v>
      </c>
    </row>
    <row r="5707" customFormat="false" ht="15" hidden="false" customHeight="true" outlineLevel="0" collapsed="false">
      <c r="A5707" s="6" t="s">
        <v>8319</v>
      </c>
      <c r="B5707" s="6" t="s">
        <v>1261</v>
      </c>
      <c r="C5707" s="6" t="s">
        <v>124</v>
      </c>
      <c r="D5707" s="13" t="n">
        <v>45043</v>
      </c>
      <c r="E5707" s="14" t="n">
        <v>4589.13</v>
      </c>
      <c r="F5707" s="14" t="n">
        <v>55346.64</v>
      </c>
      <c r="G5707" s="6" t="s">
        <v>2613</v>
      </c>
    </row>
    <row r="5708" customFormat="false" ht="15" hidden="false" customHeight="true" outlineLevel="0" collapsed="false">
      <c r="A5708" s="6" t="s">
        <v>8320</v>
      </c>
      <c r="B5708" s="6" t="s">
        <v>1261</v>
      </c>
      <c r="C5708" s="6" t="s">
        <v>124</v>
      </c>
      <c r="D5708" s="13" t="n">
        <v>45050</v>
      </c>
      <c r="E5708" s="14" t="n">
        <v>4725.09</v>
      </c>
      <c r="F5708" s="14" t="n">
        <v>60071.73</v>
      </c>
      <c r="G5708" s="6" t="s">
        <v>2613</v>
      </c>
    </row>
    <row r="5709" customFormat="false" ht="15" hidden="false" customHeight="true" outlineLevel="0" collapsed="false">
      <c r="A5709" s="6" t="s">
        <v>8321</v>
      </c>
      <c r="B5709" s="6" t="s">
        <v>1261</v>
      </c>
      <c r="C5709" s="6" t="s">
        <v>124</v>
      </c>
      <c r="D5709" s="13" t="n">
        <v>45057</v>
      </c>
      <c r="E5709" s="14" t="n">
        <v>12022.7</v>
      </c>
      <c r="F5709" s="14" t="n">
        <v>72094.43</v>
      </c>
      <c r="G5709" s="6" t="s">
        <v>2613</v>
      </c>
    </row>
    <row r="5710" customFormat="false" ht="15" hidden="false" customHeight="true" outlineLevel="0" collapsed="false">
      <c r="A5710" s="6" t="s">
        <v>8322</v>
      </c>
      <c r="B5710" s="6" t="s">
        <v>1263</v>
      </c>
      <c r="C5710" s="6" t="s">
        <v>124</v>
      </c>
      <c r="D5710" s="13" t="n">
        <v>45718</v>
      </c>
      <c r="E5710" s="14" t="n">
        <v>10794.26</v>
      </c>
      <c r="F5710" s="14" t="n">
        <v>10794.26</v>
      </c>
      <c r="G5710" s="6" t="s">
        <v>2613</v>
      </c>
    </row>
    <row r="5711" customFormat="false" ht="15" hidden="false" customHeight="true" outlineLevel="0" collapsed="false">
      <c r="A5711" s="6" t="s">
        <v>8323</v>
      </c>
      <c r="B5711" s="6" t="s">
        <v>1263</v>
      </c>
      <c r="C5711" s="6" t="s">
        <v>124</v>
      </c>
      <c r="D5711" s="13" t="n">
        <v>45725</v>
      </c>
      <c r="E5711" s="14" t="n">
        <v>10391.22</v>
      </c>
      <c r="F5711" s="14" t="n">
        <v>21185.48</v>
      </c>
      <c r="G5711" s="6" t="s">
        <v>2613</v>
      </c>
    </row>
    <row r="5712" customFormat="false" ht="15" hidden="false" customHeight="true" outlineLevel="0" collapsed="false">
      <c r="A5712" s="6" t="s">
        <v>8324</v>
      </c>
      <c r="B5712" s="6" t="s">
        <v>1263</v>
      </c>
      <c r="C5712" s="6" t="s">
        <v>124</v>
      </c>
      <c r="D5712" s="13" t="n">
        <v>45732</v>
      </c>
      <c r="E5712" s="14" t="n">
        <v>9986.17</v>
      </c>
      <c r="F5712" s="14" t="n">
        <v>31171.65</v>
      </c>
      <c r="G5712" s="6" t="s">
        <v>2613</v>
      </c>
    </row>
    <row r="5713" customFormat="false" ht="15" hidden="false" customHeight="true" outlineLevel="0" collapsed="false">
      <c r="A5713" s="6" t="s">
        <v>8325</v>
      </c>
      <c r="B5713" s="6" t="s">
        <v>1263</v>
      </c>
      <c r="C5713" s="6" t="s">
        <v>124</v>
      </c>
      <c r="D5713" s="13" t="n">
        <v>45739</v>
      </c>
      <c r="E5713" s="14" t="n">
        <v>8833.04</v>
      </c>
      <c r="F5713" s="14" t="n">
        <v>40004.69</v>
      </c>
      <c r="G5713" s="6" t="s">
        <v>2613</v>
      </c>
    </row>
    <row r="5714" customFormat="false" ht="15" hidden="false" customHeight="true" outlineLevel="0" collapsed="false">
      <c r="A5714" s="6" t="s">
        <v>8326</v>
      </c>
      <c r="B5714" s="6" t="s">
        <v>1263</v>
      </c>
      <c r="C5714" s="6" t="s">
        <v>124</v>
      </c>
      <c r="D5714" s="13" t="n">
        <v>45746</v>
      </c>
      <c r="E5714" s="14" t="n">
        <v>9752.43</v>
      </c>
      <c r="F5714" s="14" t="n">
        <v>49757.12</v>
      </c>
      <c r="G5714" s="6" t="s">
        <v>2613</v>
      </c>
    </row>
    <row r="5715" customFormat="false" ht="15" hidden="false" customHeight="true" outlineLevel="0" collapsed="false">
      <c r="A5715" s="6" t="s">
        <v>8327</v>
      </c>
      <c r="B5715" s="6" t="s">
        <v>1263</v>
      </c>
      <c r="C5715" s="6" t="s">
        <v>124</v>
      </c>
      <c r="D5715" s="13" t="n">
        <v>45753</v>
      </c>
      <c r="E5715" s="14" t="n">
        <v>13676.92</v>
      </c>
      <c r="F5715" s="14" t="n">
        <v>63434.04</v>
      </c>
      <c r="G5715" s="6" t="s">
        <v>2613</v>
      </c>
    </row>
    <row r="5716" customFormat="false" ht="15" hidden="false" customHeight="true" outlineLevel="0" collapsed="false">
      <c r="A5716" s="6" t="s">
        <v>8328</v>
      </c>
      <c r="B5716" s="6" t="s">
        <v>1263</v>
      </c>
      <c r="C5716" s="6" t="s">
        <v>124</v>
      </c>
      <c r="D5716" s="13" t="n">
        <v>45760</v>
      </c>
      <c r="E5716" s="14" t="n">
        <v>9513.93</v>
      </c>
      <c r="F5716" s="14" t="n">
        <v>72947.97</v>
      </c>
      <c r="G5716" s="6" t="s">
        <v>2613</v>
      </c>
    </row>
    <row r="5717" customFormat="false" ht="15" hidden="false" customHeight="true" outlineLevel="0" collapsed="false">
      <c r="A5717" s="6" t="s">
        <v>8329</v>
      </c>
      <c r="B5717" s="6" t="s">
        <v>1265</v>
      </c>
      <c r="C5717" s="6" t="s">
        <v>120</v>
      </c>
      <c r="D5717" s="13" t="n">
        <v>45726</v>
      </c>
      <c r="E5717" s="14" t="n">
        <v>577.6</v>
      </c>
      <c r="F5717" s="14" t="n">
        <v>577.6</v>
      </c>
      <c r="G5717" s="6" t="s">
        <v>2623</v>
      </c>
    </row>
    <row r="5718" customFormat="false" ht="15" hidden="false" customHeight="true" outlineLevel="0" collapsed="false">
      <c r="A5718" s="6" t="s">
        <v>8330</v>
      </c>
      <c r="B5718" s="6" t="s">
        <v>1265</v>
      </c>
      <c r="C5718" s="6" t="s">
        <v>120</v>
      </c>
      <c r="D5718" s="13" t="n">
        <v>45733</v>
      </c>
      <c r="E5718" s="14" t="n">
        <v>776.57</v>
      </c>
      <c r="F5718" s="14" t="n">
        <v>1354.17</v>
      </c>
      <c r="G5718" s="6" t="s">
        <v>2613</v>
      </c>
    </row>
    <row r="5719" customFormat="false" ht="15" hidden="false" customHeight="true" outlineLevel="0" collapsed="false">
      <c r="A5719" s="6" t="s">
        <v>8331</v>
      </c>
      <c r="B5719" s="6" t="s">
        <v>1265</v>
      </c>
      <c r="C5719" s="6" t="s">
        <v>120</v>
      </c>
      <c r="D5719" s="13" t="n">
        <v>45740</v>
      </c>
      <c r="E5719" s="14" t="n">
        <v>527.04</v>
      </c>
      <c r="F5719" s="14" t="n">
        <v>1881.21</v>
      </c>
      <c r="G5719" s="6" t="s">
        <v>2613</v>
      </c>
    </row>
    <row r="5720" customFormat="false" ht="15" hidden="false" customHeight="true" outlineLevel="0" collapsed="false">
      <c r="A5720" s="6" t="s">
        <v>8332</v>
      </c>
      <c r="B5720" s="6" t="s">
        <v>1265</v>
      </c>
      <c r="C5720" s="6" t="s">
        <v>120</v>
      </c>
      <c r="D5720" s="13" t="n">
        <v>45747</v>
      </c>
      <c r="E5720" s="14" t="n">
        <v>537.53</v>
      </c>
      <c r="F5720" s="14" t="n">
        <v>2418.74</v>
      </c>
      <c r="G5720" s="6" t="s">
        <v>2613</v>
      </c>
    </row>
    <row r="5721" customFormat="false" ht="15" hidden="false" customHeight="true" outlineLevel="0" collapsed="false">
      <c r="A5721" s="6" t="s">
        <v>8333</v>
      </c>
      <c r="B5721" s="6" t="s">
        <v>1265</v>
      </c>
      <c r="C5721" s="6" t="s">
        <v>120</v>
      </c>
      <c r="D5721" s="13" t="n">
        <v>45754</v>
      </c>
      <c r="E5721" s="14" t="n">
        <v>553.92</v>
      </c>
      <c r="F5721" s="14" t="n">
        <v>2972.66</v>
      </c>
      <c r="G5721" s="6" t="s">
        <v>2623</v>
      </c>
    </row>
    <row r="5722" customFormat="false" ht="15" hidden="false" customHeight="true" outlineLevel="0" collapsed="false">
      <c r="A5722" s="6" t="s">
        <v>8334</v>
      </c>
      <c r="B5722" s="6" t="s">
        <v>1267</v>
      </c>
      <c r="C5722" s="6" t="s">
        <v>120</v>
      </c>
      <c r="D5722" s="13" t="n">
        <v>44729</v>
      </c>
      <c r="E5722" s="14" t="n">
        <v>1219.99</v>
      </c>
      <c r="F5722" s="14" t="n">
        <v>1219.99</v>
      </c>
      <c r="G5722" s="6" t="s">
        <v>2613</v>
      </c>
    </row>
    <row r="5723" customFormat="false" ht="15" hidden="false" customHeight="true" outlineLevel="0" collapsed="false">
      <c r="A5723" s="6" t="s">
        <v>8335</v>
      </c>
      <c r="B5723" s="6" t="s">
        <v>1267</v>
      </c>
      <c r="C5723" s="6" t="s">
        <v>120</v>
      </c>
      <c r="D5723" s="13" t="n">
        <v>44736</v>
      </c>
      <c r="E5723" s="14" t="n">
        <v>958.9</v>
      </c>
      <c r="F5723" s="14" t="n">
        <v>2178.89</v>
      </c>
      <c r="G5723" s="6" t="s">
        <v>2613</v>
      </c>
    </row>
    <row r="5724" customFormat="false" ht="15" hidden="false" customHeight="true" outlineLevel="0" collapsed="false">
      <c r="A5724" s="6" t="s">
        <v>8336</v>
      </c>
      <c r="B5724" s="6" t="s">
        <v>1267</v>
      </c>
      <c r="C5724" s="6" t="s">
        <v>120</v>
      </c>
      <c r="D5724" s="13" t="n">
        <v>44743</v>
      </c>
      <c r="E5724" s="14" t="n">
        <v>794.75</v>
      </c>
      <c r="F5724" s="14" t="n">
        <v>2973.64</v>
      </c>
      <c r="G5724" s="6" t="s">
        <v>2613</v>
      </c>
    </row>
    <row r="5725" customFormat="false" ht="15" hidden="false" customHeight="true" outlineLevel="0" collapsed="false">
      <c r="A5725" s="6" t="s">
        <v>8337</v>
      </c>
      <c r="B5725" s="6" t="s">
        <v>1267</v>
      </c>
      <c r="C5725" s="6" t="s">
        <v>120</v>
      </c>
      <c r="D5725" s="13" t="n">
        <v>44750</v>
      </c>
      <c r="E5725" s="14" t="n">
        <v>1224.71</v>
      </c>
      <c r="F5725" s="14" t="n">
        <v>4198.35</v>
      </c>
      <c r="G5725" s="6" t="s">
        <v>2613</v>
      </c>
    </row>
    <row r="5726" customFormat="false" ht="15" hidden="false" customHeight="true" outlineLevel="0" collapsed="false">
      <c r="A5726" s="6" t="s">
        <v>8338</v>
      </c>
      <c r="B5726" s="6" t="s">
        <v>1267</v>
      </c>
      <c r="C5726" s="6" t="s">
        <v>120</v>
      </c>
      <c r="D5726" s="13" t="n">
        <v>44757</v>
      </c>
      <c r="E5726" s="14" t="n">
        <v>867.4</v>
      </c>
      <c r="F5726" s="14" t="n">
        <v>5065.75</v>
      </c>
      <c r="G5726" s="6" t="s">
        <v>2613</v>
      </c>
    </row>
    <row r="5727" customFormat="false" ht="15" hidden="false" customHeight="true" outlineLevel="0" collapsed="false">
      <c r="A5727" s="6" t="s">
        <v>8339</v>
      </c>
      <c r="B5727" s="6" t="s">
        <v>1267</v>
      </c>
      <c r="C5727" s="6" t="s">
        <v>120</v>
      </c>
      <c r="D5727" s="13" t="n">
        <v>44764</v>
      </c>
      <c r="E5727" s="14" t="n">
        <v>791.09</v>
      </c>
      <c r="F5727" s="14" t="n">
        <v>5856.84</v>
      </c>
      <c r="G5727" s="6" t="s">
        <v>2613</v>
      </c>
    </row>
    <row r="5728" customFormat="false" ht="15" hidden="false" customHeight="true" outlineLevel="0" collapsed="false">
      <c r="A5728" s="6" t="s">
        <v>8340</v>
      </c>
      <c r="B5728" s="6" t="s">
        <v>1267</v>
      </c>
      <c r="C5728" s="6" t="s">
        <v>120</v>
      </c>
      <c r="D5728" s="13" t="n">
        <v>44771</v>
      </c>
      <c r="E5728" s="14" t="n">
        <v>1208.98</v>
      </c>
      <c r="F5728" s="14" t="n">
        <v>7065.82</v>
      </c>
      <c r="G5728" s="6" t="s">
        <v>2613</v>
      </c>
    </row>
    <row r="5729" customFormat="false" ht="15" hidden="false" customHeight="true" outlineLevel="0" collapsed="false">
      <c r="A5729" s="6" t="s">
        <v>8341</v>
      </c>
      <c r="B5729" s="6" t="s">
        <v>1267</v>
      </c>
      <c r="C5729" s="6" t="s">
        <v>120</v>
      </c>
      <c r="D5729" s="13" t="n">
        <v>44778</v>
      </c>
      <c r="E5729" s="14" t="n">
        <v>1094.91</v>
      </c>
      <c r="F5729" s="14" t="n">
        <v>8160.73</v>
      </c>
      <c r="G5729" s="6" t="s">
        <v>2613</v>
      </c>
    </row>
    <row r="5730" customFormat="false" ht="15" hidden="false" customHeight="true" outlineLevel="0" collapsed="false">
      <c r="A5730" s="6" t="s">
        <v>8342</v>
      </c>
      <c r="B5730" s="6" t="s">
        <v>1267</v>
      </c>
      <c r="C5730" s="6" t="s">
        <v>120</v>
      </c>
      <c r="D5730" s="13" t="n">
        <v>44785</v>
      </c>
      <c r="E5730" s="14" t="n">
        <v>737.63</v>
      </c>
      <c r="F5730" s="14" t="n">
        <v>8898.36</v>
      </c>
      <c r="G5730" s="6" t="s">
        <v>2623</v>
      </c>
    </row>
    <row r="5731" customFormat="false" ht="15" hidden="false" customHeight="true" outlineLevel="0" collapsed="false">
      <c r="A5731" s="6" t="s">
        <v>8343</v>
      </c>
      <c r="B5731" s="6" t="s">
        <v>1267</v>
      </c>
      <c r="C5731" s="6" t="s">
        <v>120</v>
      </c>
      <c r="D5731" s="13" t="n">
        <v>44792</v>
      </c>
      <c r="E5731" s="14" t="n">
        <v>1205.73</v>
      </c>
      <c r="F5731" s="14" t="n">
        <v>10104.09</v>
      </c>
      <c r="G5731" s="6" t="s">
        <v>2613</v>
      </c>
    </row>
    <row r="5732" customFormat="false" ht="15" hidden="false" customHeight="true" outlineLevel="0" collapsed="false">
      <c r="A5732" s="6" t="s">
        <v>8344</v>
      </c>
      <c r="B5732" s="6" t="s">
        <v>1267</v>
      </c>
      <c r="C5732" s="6" t="s">
        <v>120</v>
      </c>
      <c r="D5732" s="13" t="n">
        <v>44799</v>
      </c>
      <c r="E5732" s="14" t="n">
        <v>838.77</v>
      </c>
      <c r="F5732" s="14" t="n">
        <v>10942.86</v>
      </c>
      <c r="G5732" s="6" t="s">
        <v>2613</v>
      </c>
    </row>
    <row r="5733" customFormat="false" ht="15" hidden="false" customHeight="true" outlineLevel="0" collapsed="false">
      <c r="A5733" s="6" t="s">
        <v>8345</v>
      </c>
      <c r="B5733" s="6" t="s">
        <v>1267</v>
      </c>
      <c r="C5733" s="6" t="s">
        <v>120</v>
      </c>
      <c r="D5733" s="13" t="n">
        <v>44806</v>
      </c>
      <c r="E5733" s="14" t="n">
        <v>980.5</v>
      </c>
      <c r="F5733" s="14" t="n">
        <v>11923.36</v>
      </c>
      <c r="G5733" s="6" t="s">
        <v>2613</v>
      </c>
    </row>
    <row r="5734" customFormat="false" ht="15" hidden="false" customHeight="true" outlineLevel="0" collapsed="false">
      <c r="A5734" s="6" t="s">
        <v>8346</v>
      </c>
      <c r="B5734" s="6" t="s">
        <v>1267</v>
      </c>
      <c r="C5734" s="6" t="s">
        <v>120</v>
      </c>
      <c r="D5734" s="13" t="n">
        <v>44813</v>
      </c>
      <c r="E5734" s="14" t="n">
        <v>726.69</v>
      </c>
      <c r="F5734" s="14" t="n">
        <v>12650.05</v>
      </c>
      <c r="G5734" s="6" t="s">
        <v>2613</v>
      </c>
    </row>
    <row r="5735" customFormat="false" ht="15" hidden="false" customHeight="true" outlineLevel="0" collapsed="false">
      <c r="A5735" s="6" t="s">
        <v>8347</v>
      </c>
      <c r="B5735" s="6" t="s">
        <v>1267</v>
      </c>
      <c r="C5735" s="6" t="s">
        <v>120</v>
      </c>
      <c r="D5735" s="13" t="n">
        <v>44820</v>
      </c>
      <c r="E5735" s="14" t="n">
        <v>1177.2</v>
      </c>
      <c r="F5735" s="14" t="n">
        <v>13827.25</v>
      </c>
      <c r="G5735" s="6" t="s">
        <v>2613</v>
      </c>
    </row>
    <row r="5736" customFormat="false" ht="15" hidden="false" customHeight="true" outlineLevel="0" collapsed="false">
      <c r="A5736" s="6" t="s">
        <v>8348</v>
      </c>
      <c r="B5736" s="6" t="s">
        <v>1267</v>
      </c>
      <c r="C5736" s="6" t="s">
        <v>120</v>
      </c>
      <c r="D5736" s="13" t="n">
        <v>44827</v>
      </c>
      <c r="E5736" s="14" t="n">
        <v>817.09</v>
      </c>
      <c r="F5736" s="14" t="n">
        <v>14644.34</v>
      </c>
      <c r="G5736" s="6" t="s">
        <v>2613</v>
      </c>
    </row>
    <row r="5737" customFormat="false" ht="15" hidden="false" customHeight="true" outlineLevel="0" collapsed="false">
      <c r="A5737" s="6" t="s">
        <v>8349</v>
      </c>
      <c r="B5737" s="6" t="s">
        <v>1269</v>
      </c>
      <c r="C5737" s="6" t="s">
        <v>120</v>
      </c>
      <c r="D5737" s="13" t="n">
        <v>45808</v>
      </c>
      <c r="E5737" s="14" t="n">
        <v>258.79</v>
      </c>
      <c r="F5737" s="14" t="n">
        <v>258.79</v>
      </c>
      <c r="G5737" s="6" t="s">
        <v>2613</v>
      </c>
    </row>
    <row r="5738" customFormat="false" ht="15" hidden="false" customHeight="true" outlineLevel="0" collapsed="false">
      <c r="A5738" s="6" t="s">
        <v>8350</v>
      </c>
      <c r="B5738" s="6" t="s">
        <v>1269</v>
      </c>
      <c r="C5738" s="6" t="s">
        <v>120</v>
      </c>
      <c r="D5738" s="13" t="n">
        <v>45815</v>
      </c>
      <c r="E5738" s="14" t="n">
        <v>418.86</v>
      </c>
      <c r="F5738" s="14" t="n">
        <v>677.65</v>
      </c>
      <c r="G5738" s="6" t="s">
        <v>2613</v>
      </c>
    </row>
    <row r="5739" customFormat="false" ht="15" hidden="false" customHeight="true" outlineLevel="0" collapsed="false">
      <c r="A5739" s="6" t="s">
        <v>8351</v>
      </c>
      <c r="B5739" s="6" t="s">
        <v>1269</v>
      </c>
      <c r="C5739" s="6" t="s">
        <v>120</v>
      </c>
      <c r="D5739" s="13" t="n">
        <v>45822</v>
      </c>
      <c r="E5739" s="14" t="n">
        <v>436.16</v>
      </c>
      <c r="F5739" s="14" t="n">
        <v>1113.81</v>
      </c>
      <c r="G5739" s="6" t="s">
        <v>2613</v>
      </c>
    </row>
    <row r="5740" customFormat="false" ht="15" hidden="false" customHeight="true" outlineLevel="0" collapsed="false">
      <c r="A5740" s="6" t="s">
        <v>8352</v>
      </c>
      <c r="B5740" s="6" t="s">
        <v>1269</v>
      </c>
      <c r="C5740" s="6" t="s">
        <v>120</v>
      </c>
      <c r="D5740" s="13" t="n">
        <v>45829</v>
      </c>
      <c r="E5740" s="14" t="n">
        <v>449.9</v>
      </c>
      <c r="F5740" s="14" t="n">
        <v>1563.71</v>
      </c>
      <c r="G5740" s="6" t="s">
        <v>2623</v>
      </c>
    </row>
    <row r="5741" customFormat="false" ht="15" hidden="false" customHeight="true" outlineLevel="0" collapsed="false">
      <c r="A5741" s="6" t="s">
        <v>8353</v>
      </c>
      <c r="B5741" s="6" t="s">
        <v>1269</v>
      </c>
      <c r="C5741" s="6" t="s">
        <v>120</v>
      </c>
      <c r="D5741" s="13" t="n">
        <v>45836</v>
      </c>
      <c r="E5741" s="14" t="n">
        <v>242.54</v>
      </c>
      <c r="F5741" s="14" t="n">
        <v>1806.25</v>
      </c>
      <c r="G5741" s="6" t="s">
        <v>2613</v>
      </c>
    </row>
    <row r="5742" customFormat="false" ht="15" hidden="false" customHeight="true" outlineLevel="0" collapsed="false">
      <c r="A5742" s="6" t="s">
        <v>8354</v>
      </c>
      <c r="B5742" s="6" t="s">
        <v>1269</v>
      </c>
      <c r="C5742" s="6" t="s">
        <v>120</v>
      </c>
      <c r="D5742" s="13" t="n">
        <v>45843</v>
      </c>
      <c r="E5742" s="14" t="n">
        <v>466.99</v>
      </c>
      <c r="F5742" s="14" t="n">
        <v>2273.24</v>
      </c>
      <c r="G5742" s="6" t="s">
        <v>2613</v>
      </c>
    </row>
    <row r="5743" customFormat="false" ht="15" hidden="false" customHeight="true" outlineLevel="0" collapsed="false">
      <c r="A5743" s="6" t="s">
        <v>8355</v>
      </c>
      <c r="B5743" s="6" t="s">
        <v>1269</v>
      </c>
      <c r="C5743" s="6" t="s">
        <v>120</v>
      </c>
      <c r="D5743" s="13" t="n">
        <v>45850</v>
      </c>
      <c r="E5743" s="14" t="n">
        <v>64.76</v>
      </c>
      <c r="F5743" s="14" t="n">
        <v>2338</v>
      </c>
      <c r="G5743" s="6" t="s">
        <v>2613</v>
      </c>
    </row>
    <row r="5744" customFormat="false" ht="15" hidden="false" customHeight="true" outlineLevel="0" collapsed="false">
      <c r="A5744" s="6" t="s">
        <v>8356</v>
      </c>
      <c r="B5744" s="6" t="s">
        <v>1271</v>
      </c>
      <c r="C5744" s="6" t="s">
        <v>112</v>
      </c>
      <c r="D5744" s="13" t="n">
        <v>46175</v>
      </c>
      <c r="E5744" s="14" t="n">
        <v>12662.8</v>
      </c>
      <c r="F5744" s="14" t="n">
        <v>12662.8</v>
      </c>
      <c r="G5744" s="6" t="s">
        <v>2613</v>
      </c>
    </row>
    <row r="5745" customFormat="false" ht="15" hidden="false" customHeight="true" outlineLevel="0" collapsed="false">
      <c r="A5745" s="6" t="s">
        <v>8357</v>
      </c>
      <c r="B5745" s="6" t="s">
        <v>1271</v>
      </c>
      <c r="C5745" s="6" t="s">
        <v>112</v>
      </c>
      <c r="D5745" s="13" t="n">
        <v>46182</v>
      </c>
      <c r="E5745" s="14" t="n">
        <v>12478.16</v>
      </c>
      <c r="F5745" s="14" t="n">
        <v>25140.96</v>
      </c>
      <c r="G5745" s="6" t="s">
        <v>2623</v>
      </c>
    </row>
    <row r="5746" customFormat="false" ht="15" hidden="false" customHeight="true" outlineLevel="0" collapsed="false">
      <c r="A5746" s="6" t="s">
        <v>8358</v>
      </c>
      <c r="B5746" s="6" t="s">
        <v>1271</v>
      </c>
      <c r="C5746" s="6" t="s">
        <v>112</v>
      </c>
      <c r="D5746" s="13" t="n">
        <v>46189</v>
      </c>
      <c r="E5746" s="14" t="n">
        <v>6208.76</v>
      </c>
      <c r="F5746" s="14" t="n">
        <v>31349.72</v>
      </c>
      <c r="G5746" s="6" t="s">
        <v>2613</v>
      </c>
    </row>
    <row r="5747" customFormat="false" ht="15" hidden="false" customHeight="true" outlineLevel="0" collapsed="false">
      <c r="A5747" s="6" t="s">
        <v>8359</v>
      </c>
      <c r="B5747" s="6" t="s">
        <v>1271</v>
      </c>
      <c r="C5747" s="6" t="s">
        <v>112</v>
      </c>
      <c r="D5747" s="13" t="n">
        <v>46196</v>
      </c>
      <c r="E5747" s="14" t="n">
        <v>10754.28</v>
      </c>
      <c r="F5747" s="14" t="n">
        <v>42104</v>
      </c>
      <c r="G5747" s="6" t="s">
        <v>2613</v>
      </c>
    </row>
    <row r="5748" customFormat="false" ht="15" hidden="false" customHeight="true" outlineLevel="0" collapsed="false">
      <c r="A5748" s="6" t="s">
        <v>8360</v>
      </c>
      <c r="B5748" s="6" t="s">
        <v>1271</v>
      </c>
      <c r="C5748" s="6" t="s">
        <v>112</v>
      </c>
      <c r="D5748" s="13" t="n">
        <v>46203</v>
      </c>
      <c r="E5748" s="14" t="n">
        <v>9241.75</v>
      </c>
      <c r="F5748" s="14" t="n">
        <v>51345.75</v>
      </c>
      <c r="G5748" s="6" t="s">
        <v>2623</v>
      </c>
    </row>
    <row r="5749" customFormat="false" ht="15" hidden="false" customHeight="true" outlineLevel="0" collapsed="false">
      <c r="A5749" s="6" t="s">
        <v>8361</v>
      </c>
      <c r="B5749" s="6" t="s">
        <v>1271</v>
      </c>
      <c r="C5749" s="6" t="s">
        <v>112</v>
      </c>
      <c r="D5749" s="13" t="n">
        <v>46210</v>
      </c>
      <c r="E5749" s="14" t="n">
        <v>12035.37</v>
      </c>
      <c r="F5749" s="14" t="n">
        <v>63381.12</v>
      </c>
      <c r="G5749" s="6" t="s">
        <v>2613</v>
      </c>
    </row>
    <row r="5750" customFormat="false" ht="15" hidden="false" customHeight="true" outlineLevel="0" collapsed="false">
      <c r="A5750" s="6" t="s">
        <v>8362</v>
      </c>
      <c r="B5750" s="6" t="s">
        <v>1271</v>
      </c>
      <c r="C5750" s="6" t="s">
        <v>112</v>
      </c>
      <c r="D5750" s="13" t="n">
        <v>46217</v>
      </c>
      <c r="E5750" s="14" t="n">
        <v>6571.79</v>
      </c>
      <c r="F5750" s="14" t="n">
        <v>69952.91</v>
      </c>
      <c r="G5750" s="6" t="s">
        <v>2623</v>
      </c>
    </row>
    <row r="5751" customFormat="false" ht="15" hidden="false" customHeight="true" outlineLevel="0" collapsed="false">
      <c r="A5751" s="6" t="s">
        <v>8363</v>
      </c>
      <c r="B5751" s="6" t="s">
        <v>1271</v>
      </c>
      <c r="C5751" s="6" t="s">
        <v>112</v>
      </c>
      <c r="D5751" s="13" t="n">
        <v>46224</v>
      </c>
      <c r="E5751" s="14" t="n">
        <v>13454.14</v>
      </c>
      <c r="F5751" s="14" t="n">
        <v>83407.05</v>
      </c>
      <c r="G5751" s="6" t="s">
        <v>2613</v>
      </c>
    </row>
    <row r="5752" customFormat="false" ht="15" hidden="false" customHeight="true" outlineLevel="0" collapsed="false">
      <c r="A5752" s="6" t="s">
        <v>8364</v>
      </c>
      <c r="B5752" s="6" t="s">
        <v>1271</v>
      </c>
      <c r="C5752" s="6" t="s">
        <v>112</v>
      </c>
      <c r="D5752" s="13" t="n">
        <v>46231</v>
      </c>
      <c r="E5752" s="14" t="n">
        <v>8479.47</v>
      </c>
      <c r="F5752" s="14" t="n">
        <v>91886.52</v>
      </c>
      <c r="G5752" s="6" t="s">
        <v>2613</v>
      </c>
    </row>
    <row r="5753" customFormat="false" ht="15" hidden="false" customHeight="true" outlineLevel="0" collapsed="false">
      <c r="A5753" s="6" t="s">
        <v>8365</v>
      </c>
      <c r="B5753" s="6" t="s">
        <v>1273</v>
      </c>
      <c r="C5753" s="6" t="s">
        <v>112</v>
      </c>
      <c r="D5753" s="13" t="n">
        <v>44573</v>
      </c>
      <c r="E5753" s="14" t="n">
        <v>3648.65</v>
      </c>
      <c r="F5753" s="14" t="n">
        <v>3648.65</v>
      </c>
      <c r="G5753" s="6" t="s">
        <v>2613</v>
      </c>
    </row>
    <row r="5754" customFormat="false" ht="15" hidden="false" customHeight="true" outlineLevel="0" collapsed="false">
      <c r="A5754" s="6" t="s">
        <v>8366</v>
      </c>
      <c r="B5754" s="6" t="s">
        <v>1273</v>
      </c>
      <c r="C5754" s="6" t="s">
        <v>112</v>
      </c>
      <c r="D5754" s="13" t="n">
        <v>44580</v>
      </c>
      <c r="E5754" s="14" t="n">
        <v>3187.5</v>
      </c>
      <c r="F5754" s="14" t="n">
        <v>6836.15</v>
      </c>
      <c r="G5754" s="6" t="s">
        <v>2613</v>
      </c>
    </row>
    <row r="5755" customFormat="false" ht="15" hidden="false" customHeight="true" outlineLevel="0" collapsed="false">
      <c r="A5755" s="6" t="s">
        <v>8367</v>
      </c>
      <c r="B5755" s="6" t="s">
        <v>1273</v>
      </c>
      <c r="C5755" s="6" t="s">
        <v>112</v>
      </c>
      <c r="D5755" s="13" t="n">
        <v>44587</v>
      </c>
      <c r="E5755" s="14" t="n">
        <v>2370.65</v>
      </c>
      <c r="F5755" s="14" t="n">
        <v>9206.8</v>
      </c>
      <c r="G5755" s="6" t="s">
        <v>2613</v>
      </c>
    </row>
    <row r="5756" customFormat="false" ht="15" hidden="false" customHeight="true" outlineLevel="0" collapsed="false">
      <c r="A5756" s="6" t="s">
        <v>8368</v>
      </c>
      <c r="B5756" s="6" t="s">
        <v>1273</v>
      </c>
      <c r="C5756" s="6" t="s">
        <v>112</v>
      </c>
      <c r="D5756" s="13" t="n">
        <v>44594</v>
      </c>
      <c r="E5756" s="14" t="n">
        <v>2457.99</v>
      </c>
      <c r="F5756" s="14" t="n">
        <v>11664.79</v>
      </c>
      <c r="G5756" s="6" t="s">
        <v>2613</v>
      </c>
    </row>
    <row r="5757" customFormat="false" ht="15" hidden="false" customHeight="true" outlineLevel="0" collapsed="false">
      <c r="A5757" s="6" t="s">
        <v>8369</v>
      </c>
      <c r="B5757" s="6" t="s">
        <v>1273</v>
      </c>
      <c r="C5757" s="6" t="s">
        <v>112</v>
      </c>
      <c r="D5757" s="13" t="n">
        <v>44601</v>
      </c>
      <c r="E5757" s="14" t="n">
        <v>2525.78</v>
      </c>
      <c r="F5757" s="14" t="n">
        <v>14190.57</v>
      </c>
      <c r="G5757" s="6" t="s">
        <v>2613</v>
      </c>
    </row>
    <row r="5758" customFormat="false" ht="15" hidden="false" customHeight="true" outlineLevel="0" collapsed="false">
      <c r="A5758" s="6" t="s">
        <v>8370</v>
      </c>
      <c r="B5758" s="6" t="s">
        <v>1273</v>
      </c>
      <c r="C5758" s="6" t="s">
        <v>112</v>
      </c>
      <c r="D5758" s="13" t="n">
        <v>44608</v>
      </c>
      <c r="E5758" s="14" t="n">
        <v>3394.24</v>
      </c>
      <c r="F5758" s="14" t="n">
        <v>17584.81</v>
      </c>
      <c r="G5758" s="6" t="s">
        <v>2623</v>
      </c>
    </row>
    <row r="5759" customFormat="false" ht="15" hidden="false" customHeight="true" outlineLevel="0" collapsed="false">
      <c r="A5759" s="6" t="s">
        <v>8371</v>
      </c>
      <c r="B5759" s="6" t="s">
        <v>1275</v>
      </c>
      <c r="C5759" s="6" t="s">
        <v>116</v>
      </c>
      <c r="D5759" s="13" t="n">
        <v>44637</v>
      </c>
      <c r="E5759" s="14" t="n">
        <v>1722.7</v>
      </c>
      <c r="F5759" s="14" t="n">
        <v>1722.7</v>
      </c>
      <c r="G5759" s="6" t="s">
        <v>2613</v>
      </c>
    </row>
    <row r="5760" customFormat="false" ht="15" hidden="false" customHeight="true" outlineLevel="0" collapsed="false">
      <c r="A5760" s="6" t="s">
        <v>8372</v>
      </c>
      <c r="B5760" s="6" t="s">
        <v>1275</v>
      </c>
      <c r="C5760" s="6" t="s">
        <v>116</v>
      </c>
      <c r="D5760" s="13" t="n">
        <v>44644</v>
      </c>
      <c r="E5760" s="14" t="n">
        <v>1650.03</v>
      </c>
      <c r="F5760" s="14" t="n">
        <v>3372.73</v>
      </c>
      <c r="G5760" s="6" t="s">
        <v>2613</v>
      </c>
    </row>
    <row r="5761" customFormat="false" ht="15" hidden="false" customHeight="true" outlineLevel="0" collapsed="false">
      <c r="A5761" s="6" t="s">
        <v>8373</v>
      </c>
      <c r="B5761" s="6" t="s">
        <v>1275</v>
      </c>
      <c r="C5761" s="6" t="s">
        <v>116</v>
      </c>
      <c r="D5761" s="13" t="n">
        <v>44651</v>
      </c>
      <c r="E5761" s="14" t="n">
        <v>1096.69</v>
      </c>
      <c r="F5761" s="14" t="n">
        <v>4469.42</v>
      </c>
      <c r="G5761" s="6" t="s">
        <v>2613</v>
      </c>
    </row>
    <row r="5762" customFormat="false" ht="15" hidden="false" customHeight="true" outlineLevel="0" collapsed="false">
      <c r="A5762" s="6" t="s">
        <v>8374</v>
      </c>
      <c r="B5762" s="6" t="s">
        <v>1275</v>
      </c>
      <c r="C5762" s="6" t="s">
        <v>116</v>
      </c>
      <c r="D5762" s="13" t="n">
        <v>44658</v>
      </c>
      <c r="E5762" s="14" t="n">
        <v>1713.06</v>
      </c>
      <c r="F5762" s="14" t="n">
        <v>6182.48</v>
      </c>
      <c r="G5762" s="6" t="s">
        <v>2613</v>
      </c>
    </row>
    <row r="5763" customFormat="false" ht="15" hidden="false" customHeight="true" outlineLevel="0" collapsed="false">
      <c r="A5763" s="6" t="s">
        <v>8375</v>
      </c>
      <c r="B5763" s="6" t="s">
        <v>1275</v>
      </c>
      <c r="C5763" s="6" t="s">
        <v>116</v>
      </c>
      <c r="D5763" s="13" t="n">
        <v>44665</v>
      </c>
      <c r="E5763" s="14" t="n">
        <v>1789.63</v>
      </c>
      <c r="F5763" s="14" t="n">
        <v>7972.11</v>
      </c>
      <c r="G5763" s="6" t="s">
        <v>2613</v>
      </c>
    </row>
    <row r="5764" customFormat="false" ht="15" hidden="false" customHeight="true" outlineLevel="0" collapsed="false">
      <c r="A5764" s="6" t="s">
        <v>8376</v>
      </c>
      <c r="B5764" s="6" t="s">
        <v>1275</v>
      </c>
      <c r="C5764" s="6" t="s">
        <v>116</v>
      </c>
      <c r="D5764" s="13" t="n">
        <v>44672</v>
      </c>
      <c r="E5764" s="14" t="n">
        <v>2212.72</v>
      </c>
      <c r="F5764" s="14" t="n">
        <v>10184.83</v>
      </c>
      <c r="G5764" s="6" t="s">
        <v>2613</v>
      </c>
    </row>
    <row r="5765" customFormat="false" ht="15" hidden="false" customHeight="true" outlineLevel="0" collapsed="false">
      <c r="A5765" s="6" t="s">
        <v>8377</v>
      </c>
      <c r="B5765" s="6" t="s">
        <v>1275</v>
      </c>
      <c r="C5765" s="6" t="s">
        <v>116</v>
      </c>
      <c r="D5765" s="13" t="n">
        <v>44679</v>
      </c>
      <c r="E5765" s="14" t="n">
        <v>2242.05</v>
      </c>
      <c r="F5765" s="14" t="n">
        <v>12426.88</v>
      </c>
      <c r="G5765" s="6" t="s">
        <v>2613</v>
      </c>
    </row>
    <row r="5766" customFormat="false" ht="15" hidden="false" customHeight="true" outlineLevel="0" collapsed="false">
      <c r="A5766" s="6" t="s">
        <v>8378</v>
      </c>
      <c r="B5766" s="6" t="s">
        <v>1275</v>
      </c>
      <c r="C5766" s="6" t="s">
        <v>116</v>
      </c>
      <c r="D5766" s="13" t="n">
        <v>44686</v>
      </c>
      <c r="E5766" s="14" t="n">
        <v>1839.57</v>
      </c>
      <c r="F5766" s="14" t="n">
        <v>14266.45</v>
      </c>
      <c r="G5766" s="6" t="s">
        <v>2623</v>
      </c>
    </row>
    <row r="5767" customFormat="false" ht="15" hidden="false" customHeight="true" outlineLevel="0" collapsed="false">
      <c r="A5767" s="6" t="s">
        <v>8379</v>
      </c>
      <c r="B5767" s="6" t="s">
        <v>1277</v>
      </c>
      <c r="C5767" s="6" t="s">
        <v>131</v>
      </c>
      <c r="D5767" s="13" t="n">
        <v>45566</v>
      </c>
      <c r="E5767" s="14" t="n">
        <v>5175.46</v>
      </c>
      <c r="F5767" s="14" t="n">
        <v>5175.46</v>
      </c>
      <c r="G5767" s="6" t="s">
        <v>2613</v>
      </c>
    </row>
    <row r="5768" customFormat="false" ht="15" hidden="false" customHeight="true" outlineLevel="0" collapsed="false">
      <c r="A5768" s="6" t="s">
        <v>8380</v>
      </c>
      <c r="B5768" s="6" t="s">
        <v>1277</v>
      </c>
      <c r="C5768" s="6" t="s">
        <v>131</v>
      </c>
      <c r="D5768" s="13" t="n">
        <v>45573</v>
      </c>
      <c r="E5768" s="14" t="n">
        <v>3352.38</v>
      </c>
      <c r="F5768" s="14" t="n">
        <v>8527.84</v>
      </c>
      <c r="G5768" s="6" t="s">
        <v>2613</v>
      </c>
    </row>
    <row r="5769" customFormat="false" ht="15" hidden="false" customHeight="true" outlineLevel="0" collapsed="false">
      <c r="A5769" s="6" t="s">
        <v>8381</v>
      </c>
      <c r="B5769" s="6" t="s">
        <v>1277</v>
      </c>
      <c r="C5769" s="6" t="s">
        <v>131</v>
      </c>
      <c r="D5769" s="13" t="n">
        <v>45580</v>
      </c>
      <c r="E5769" s="14" t="n">
        <v>4548.52</v>
      </c>
      <c r="F5769" s="14" t="n">
        <v>13076.36</v>
      </c>
      <c r="G5769" s="6" t="s">
        <v>2613</v>
      </c>
    </row>
    <row r="5770" customFormat="false" ht="15" hidden="false" customHeight="true" outlineLevel="0" collapsed="false">
      <c r="A5770" s="6" t="s">
        <v>8382</v>
      </c>
      <c r="B5770" s="6" t="s">
        <v>1277</v>
      </c>
      <c r="C5770" s="6" t="s">
        <v>131</v>
      </c>
      <c r="D5770" s="13" t="n">
        <v>45587</v>
      </c>
      <c r="E5770" s="14" t="n">
        <v>5476.6</v>
      </c>
      <c r="F5770" s="14" t="n">
        <v>18552.96</v>
      </c>
      <c r="G5770" s="6" t="s">
        <v>2613</v>
      </c>
    </row>
    <row r="5771" customFormat="false" ht="15" hidden="false" customHeight="true" outlineLevel="0" collapsed="false">
      <c r="A5771" s="6" t="s">
        <v>8383</v>
      </c>
      <c r="B5771" s="6" t="s">
        <v>1277</v>
      </c>
      <c r="C5771" s="6" t="s">
        <v>131</v>
      </c>
      <c r="D5771" s="13" t="n">
        <v>45594</v>
      </c>
      <c r="E5771" s="14" t="n">
        <v>8051.88</v>
      </c>
      <c r="F5771" s="14" t="n">
        <v>26604.84</v>
      </c>
      <c r="G5771" s="6" t="s">
        <v>2613</v>
      </c>
    </row>
    <row r="5772" customFormat="false" ht="15" hidden="false" customHeight="true" outlineLevel="0" collapsed="false">
      <c r="A5772" s="6" t="s">
        <v>8384</v>
      </c>
      <c r="B5772" s="6" t="s">
        <v>1279</v>
      </c>
      <c r="C5772" s="6" t="s">
        <v>112</v>
      </c>
      <c r="D5772" s="13" t="n">
        <v>46122</v>
      </c>
      <c r="E5772" s="14" t="n">
        <v>4487.21</v>
      </c>
      <c r="F5772" s="14" t="n">
        <v>4487.21</v>
      </c>
      <c r="G5772" s="6" t="s">
        <v>2613</v>
      </c>
    </row>
    <row r="5773" customFormat="false" ht="15" hidden="false" customHeight="true" outlineLevel="0" collapsed="false">
      <c r="A5773" s="6" t="s">
        <v>8385</v>
      </c>
      <c r="B5773" s="6" t="s">
        <v>1279</v>
      </c>
      <c r="C5773" s="6" t="s">
        <v>112</v>
      </c>
      <c r="D5773" s="13" t="n">
        <v>46129</v>
      </c>
      <c r="E5773" s="14" t="n">
        <v>5451.17</v>
      </c>
      <c r="F5773" s="14" t="n">
        <v>9938.38</v>
      </c>
      <c r="G5773" s="6" t="s">
        <v>2623</v>
      </c>
    </row>
    <row r="5774" customFormat="false" ht="15" hidden="false" customHeight="true" outlineLevel="0" collapsed="false">
      <c r="A5774" s="6" t="s">
        <v>8386</v>
      </c>
      <c r="B5774" s="6" t="s">
        <v>1279</v>
      </c>
      <c r="C5774" s="6" t="s">
        <v>112</v>
      </c>
      <c r="D5774" s="13" t="n">
        <v>46136</v>
      </c>
      <c r="E5774" s="14" t="n">
        <v>2706.64</v>
      </c>
      <c r="F5774" s="14" t="n">
        <v>12645.02</v>
      </c>
      <c r="G5774" s="6" t="s">
        <v>2613</v>
      </c>
    </row>
    <row r="5775" customFormat="false" ht="15" hidden="false" customHeight="true" outlineLevel="0" collapsed="false">
      <c r="A5775" s="6" t="s">
        <v>8387</v>
      </c>
      <c r="B5775" s="6" t="s">
        <v>1279</v>
      </c>
      <c r="C5775" s="6" t="s">
        <v>112</v>
      </c>
      <c r="D5775" s="13" t="n">
        <v>46143</v>
      </c>
      <c r="E5775" s="14" t="n">
        <v>4675.5</v>
      </c>
      <c r="F5775" s="14" t="n">
        <v>17320.52</v>
      </c>
      <c r="G5775" s="6" t="s">
        <v>2613</v>
      </c>
    </row>
    <row r="5776" customFormat="false" ht="15" hidden="false" customHeight="true" outlineLevel="0" collapsed="false">
      <c r="A5776" s="6" t="s">
        <v>8388</v>
      </c>
      <c r="B5776" s="6" t="s">
        <v>1279</v>
      </c>
      <c r="C5776" s="6" t="s">
        <v>112</v>
      </c>
      <c r="D5776" s="13" t="n">
        <v>46150</v>
      </c>
      <c r="E5776" s="14" t="n">
        <v>3371.33</v>
      </c>
      <c r="F5776" s="14" t="n">
        <v>20691.85</v>
      </c>
      <c r="G5776" s="6" t="s">
        <v>2623</v>
      </c>
    </row>
    <row r="5777" customFormat="false" ht="15" hidden="false" customHeight="true" outlineLevel="0" collapsed="false">
      <c r="A5777" s="6" t="s">
        <v>8389</v>
      </c>
      <c r="B5777" s="6" t="s">
        <v>1279</v>
      </c>
      <c r="C5777" s="6" t="s">
        <v>112</v>
      </c>
      <c r="D5777" s="13" t="n">
        <v>46157</v>
      </c>
      <c r="E5777" s="14" t="n">
        <v>2726.87</v>
      </c>
      <c r="F5777" s="14" t="n">
        <v>23418.72</v>
      </c>
      <c r="G5777" s="6" t="s">
        <v>2613</v>
      </c>
    </row>
    <row r="5778" customFormat="false" ht="15" hidden="false" customHeight="true" outlineLevel="0" collapsed="false">
      <c r="A5778" s="6" t="s">
        <v>8390</v>
      </c>
      <c r="B5778" s="6" t="s">
        <v>1279</v>
      </c>
      <c r="C5778" s="6" t="s">
        <v>112</v>
      </c>
      <c r="D5778" s="13" t="n">
        <v>46164</v>
      </c>
      <c r="E5778" s="14" t="n">
        <v>4091.51</v>
      </c>
      <c r="F5778" s="14" t="n">
        <v>27510.23</v>
      </c>
      <c r="G5778" s="6" t="s">
        <v>2613</v>
      </c>
    </row>
    <row r="5779" customFormat="false" ht="15" hidden="false" customHeight="true" outlineLevel="0" collapsed="false">
      <c r="A5779" s="6" t="s">
        <v>8391</v>
      </c>
      <c r="B5779" s="6" t="s">
        <v>1279</v>
      </c>
      <c r="C5779" s="6" t="s">
        <v>112</v>
      </c>
      <c r="D5779" s="13" t="n">
        <v>46171</v>
      </c>
      <c r="E5779" s="14" t="n">
        <v>7813.4</v>
      </c>
      <c r="F5779" s="14" t="n">
        <v>35323.63</v>
      </c>
      <c r="G5779" s="6" t="s">
        <v>2613</v>
      </c>
    </row>
    <row r="5780" customFormat="false" ht="15" hidden="false" customHeight="true" outlineLevel="0" collapsed="false">
      <c r="A5780" s="6" t="s">
        <v>8392</v>
      </c>
      <c r="B5780" s="6" t="s">
        <v>1281</v>
      </c>
      <c r="C5780" s="6" t="s">
        <v>112</v>
      </c>
      <c r="D5780" s="13" t="n">
        <v>45214</v>
      </c>
      <c r="E5780" s="14" t="n">
        <v>1431.73</v>
      </c>
      <c r="F5780" s="14" t="n">
        <v>1431.73</v>
      </c>
      <c r="G5780" s="6" t="s">
        <v>2613</v>
      </c>
    </row>
    <row r="5781" customFormat="false" ht="15" hidden="false" customHeight="true" outlineLevel="0" collapsed="false">
      <c r="A5781" s="6" t="s">
        <v>8393</v>
      </c>
      <c r="B5781" s="6" t="s">
        <v>1281</v>
      </c>
      <c r="C5781" s="6" t="s">
        <v>112</v>
      </c>
      <c r="D5781" s="13" t="n">
        <v>45221</v>
      </c>
      <c r="E5781" s="14" t="n">
        <v>1489.17</v>
      </c>
      <c r="F5781" s="14" t="n">
        <v>2920.9</v>
      </c>
      <c r="G5781" s="6" t="s">
        <v>2623</v>
      </c>
    </row>
    <row r="5782" customFormat="false" ht="15" hidden="false" customHeight="true" outlineLevel="0" collapsed="false">
      <c r="A5782" s="6" t="s">
        <v>8394</v>
      </c>
      <c r="B5782" s="6" t="s">
        <v>1281</v>
      </c>
      <c r="C5782" s="6" t="s">
        <v>112</v>
      </c>
      <c r="D5782" s="13" t="n">
        <v>45228</v>
      </c>
      <c r="E5782" s="14" t="n">
        <v>2563.33</v>
      </c>
      <c r="F5782" s="14" t="n">
        <v>5484.23</v>
      </c>
      <c r="G5782" s="6" t="s">
        <v>2613</v>
      </c>
    </row>
    <row r="5783" customFormat="false" ht="15" hidden="false" customHeight="true" outlineLevel="0" collapsed="false">
      <c r="A5783" s="6" t="s">
        <v>8395</v>
      </c>
      <c r="B5783" s="6" t="s">
        <v>1281</v>
      </c>
      <c r="C5783" s="6" t="s">
        <v>112</v>
      </c>
      <c r="D5783" s="13" t="n">
        <v>45235</v>
      </c>
      <c r="E5783" s="14" t="n">
        <v>2301.66</v>
      </c>
      <c r="F5783" s="14" t="n">
        <v>7785.89</v>
      </c>
      <c r="G5783" s="6" t="s">
        <v>2613</v>
      </c>
    </row>
    <row r="5784" customFormat="false" ht="15" hidden="false" customHeight="true" outlineLevel="0" collapsed="false">
      <c r="A5784" s="6" t="s">
        <v>8396</v>
      </c>
      <c r="B5784" s="6" t="s">
        <v>1281</v>
      </c>
      <c r="C5784" s="6" t="s">
        <v>112</v>
      </c>
      <c r="D5784" s="13" t="n">
        <v>45242</v>
      </c>
      <c r="E5784" s="14" t="n">
        <v>1563.12</v>
      </c>
      <c r="F5784" s="14" t="n">
        <v>9349.01</v>
      </c>
      <c r="G5784" s="6" t="s">
        <v>2613</v>
      </c>
    </row>
    <row r="5785" customFormat="false" ht="15" hidden="false" customHeight="true" outlineLevel="0" collapsed="false">
      <c r="A5785" s="6" t="s">
        <v>8397</v>
      </c>
      <c r="B5785" s="6" t="s">
        <v>1281</v>
      </c>
      <c r="C5785" s="6" t="s">
        <v>112</v>
      </c>
      <c r="D5785" s="13" t="n">
        <v>45249</v>
      </c>
      <c r="E5785" s="14" t="n">
        <v>1526.96</v>
      </c>
      <c r="F5785" s="14" t="n">
        <v>10875.97</v>
      </c>
      <c r="G5785" s="6" t="s">
        <v>2613</v>
      </c>
    </row>
    <row r="5786" customFormat="false" ht="15" hidden="false" customHeight="true" outlineLevel="0" collapsed="false">
      <c r="A5786" s="6" t="s">
        <v>8398</v>
      </c>
      <c r="B5786" s="6" t="s">
        <v>1281</v>
      </c>
      <c r="C5786" s="6" t="s">
        <v>112</v>
      </c>
      <c r="D5786" s="13" t="n">
        <v>45256</v>
      </c>
      <c r="E5786" s="14" t="n">
        <v>2273.79</v>
      </c>
      <c r="F5786" s="14" t="n">
        <v>13149.76</v>
      </c>
      <c r="G5786" s="6" t="s">
        <v>2613</v>
      </c>
    </row>
    <row r="5787" customFormat="false" ht="15" hidden="false" customHeight="true" outlineLevel="0" collapsed="false">
      <c r="A5787" s="6" t="s">
        <v>8399</v>
      </c>
      <c r="B5787" s="6" t="s">
        <v>1281</v>
      </c>
      <c r="C5787" s="6" t="s">
        <v>112</v>
      </c>
      <c r="D5787" s="13" t="n">
        <v>45263</v>
      </c>
      <c r="E5787" s="14" t="n">
        <v>2352.57</v>
      </c>
      <c r="F5787" s="14" t="n">
        <v>15502.33</v>
      </c>
      <c r="G5787" s="6" t="s">
        <v>2613</v>
      </c>
    </row>
    <row r="5788" customFormat="false" ht="15" hidden="false" customHeight="true" outlineLevel="0" collapsed="false">
      <c r="A5788" s="6" t="s">
        <v>8400</v>
      </c>
      <c r="B5788" s="6" t="s">
        <v>1283</v>
      </c>
      <c r="C5788" s="6" t="s">
        <v>116</v>
      </c>
      <c r="D5788" s="13" t="n">
        <v>44840</v>
      </c>
      <c r="E5788" s="14" t="n">
        <v>2003.52</v>
      </c>
      <c r="F5788" s="14" t="n">
        <v>2003.52</v>
      </c>
      <c r="G5788" s="6" t="s">
        <v>2613</v>
      </c>
    </row>
    <row r="5789" customFormat="false" ht="15" hidden="false" customHeight="true" outlineLevel="0" collapsed="false">
      <c r="A5789" s="6" t="s">
        <v>8401</v>
      </c>
      <c r="B5789" s="6" t="s">
        <v>1283</v>
      </c>
      <c r="C5789" s="6" t="s">
        <v>116</v>
      </c>
      <c r="D5789" s="13" t="n">
        <v>44847</v>
      </c>
      <c r="E5789" s="14" t="n">
        <v>3648.29</v>
      </c>
      <c r="F5789" s="14" t="n">
        <v>5651.81</v>
      </c>
      <c r="G5789" s="6" t="s">
        <v>2613</v>
      </c>
    </row>
    <row r="5790" customFormat="false" ht="15" hidden="false" customHeight="true" outlineLevel="0" collapsed="false">
      <c r="A5790" s="6" t="s">
        <v>8402</v>
      </c>
      <c r="B5790" s="6" t="s">
        <v>1283</v>
      </c>
      <c r="C5790" s="6" t="s">
        <v>116</v>
      </c>
      <c r="D5790" s="13" t="n">
        <v>44854</v>
      </c>
      <c r="E5790" s="14" t="n">
        <v>2500.27</v>
      </c>
      <c r="F5790" s="14" t="n">
        <v>8152.08</v>
      </c>
      <c r="G5790" s="6" t="s">
        <v>2613</v>
      </c>
    </row>
    <row r="5791" customFormat="false" ht="15" hidden="false" customHeight="true" outlineLevel="0" collapsed="false">
      <c r="A5791" s="6" t="s">
        <v>8403</v>
      </c>
      <c r="B5791" s="6" t="s">
        <v>1283</v>
      </c>
      <c r="C5791" s="6" t="s">
        <v>116</v>
      </c>
      <c r="D5791" s="13" t="n">
        <v>44861</v>
      </c>
      <c r="E5791" s="14" t="n">
        <v>3004.87</v>
      </c>
      <c r="F5791" s="14" t="n">
        <v>11156.95</v>
      </c>
      <c r="G5791" s="6" t="s">
        <v>2613</v>
      </c>
    </row>
    <row r="5792" customFormat="false" ht="15" hidden="false" customHeight="true" outlineLevel="0" collapsed="false">
      <c r="A5792" s="6" t="s">
        <v>8404</v>
      </c>
      <c r="B5792" s="6" t="s">
        <v>1283</v>
      </c>
      <c r="C5792" s="6" t="s">
        <v>116</v>
      </c>
      <c r="D5792" s="13" t="n">
        <v>44868</v>
      </c>
      <c r="E5792" s="14" t="n">
        <v>2110.33</v>
      </c>
      <c r="F5792" s="14" t="n">
        <v>13267.28</v>
      </c>
      <c r="G5792" s="6" t="s">
        <v>2613</v>
      </c>
    </row>
    <row r="5793" customFormat="false" ht="15" hidden="false" customHeight="true" outlineLevel="0" collapsed="false">
      <c r="A5793" s="6" t="s">
        <v>8405</v>
      </c>
      <c r="B5793" s="6" t="s">
        <v>1283</v>
      </c>
      <c r="C5793" s="6" t="s">
        <v>116</v>
      </c>
      <c r="D5793" s="13" t="n">
        <v>44875</v>
      </c>
      <c r="E5793" s="14" t="n">
        <v>3450</v>
      </c>
      <c r="F5793" s="14" t="n">
        <v>16717.28</v>
      </c>
      <c r="G5793" s="6" t="s">
        <v>2613</v>
      </c>
    </row>
    <row r="5794" customFormat="false" ht="15" hidden="false" customHeight="true" outlineLevel="0" collapsed="false">
      <c r="A5794" s="6" t="s">
        <v>8406</v>
      </c>
      <c r="B5794" s="6" t="s">
        <v>1283</v>
      </c>
      <c r="C5794" s="6" t="s">
        <v>116</v>
      </c>
      <c r="D5794" s="13" t="n">
        <v>44882</v>
      </c>
      <c r="E5794" s="14" t="n">
        <v>4966.12</v>
      </c>
      <c r="F5794" s="14" t="n">
        <v>21683.4</v>
      </c>
      <c r="G5794" s="6" t="s">
        <v>2613</v>
      </c>
    </row>
    <row r="5795" customFormat="false" ht="15" hidden="false" customHeight="true" outlineLevel="0" collapsed="false">
      <c r="A5795" s="6" t="s">
        <v>8407</v>
      </c>
      <c r="B5795" s="6" t="s">
        <v>1285</v>
      </c>
      <c r="C5795" s="6" t="s">
        <v>120</v>
      </c>
      <c r="D5795" s="13" t="n">
        <v>45668</v>
      </c>
      <c r="E5795" s="14" t="n">
        <v>4914.49</v>
      </c>
      <c r="F5795" s="14" t="n">
        <v>4914.49</v>
      </c>
      <c r="G5795" s="6" t="s">
        <v>2613</v>
      </c>
    </row>
    <row r="5796" customFormat="false" ht="15" hidden="false" customHeight="true" outlineLevel="0" collapsed="false">
      <c r="A5796" s="6" t="s">
        <v>8408</v>
      </c>
      <c r="B5796" s="6" t="s">
        <v>1285</v>
      </c>
      <c r="C5796" s="6" t="s">
        <v>120</v>
      </c>
      <c r="D5796" s="13" t="n">
        <v>45675</v>
      </c>
      <c r="E5796" s="14" t="n">
        <v>2869.37</v>
      </c>
      <c r="F5796" s="14" t="n">
        <v>7783.86</v>
      </c>
      <c r="G5796" s="6" t="s">
        <v>2613</v>
      </c>
    </row>
    <row r="5797" customFormat="false" ht="15" hidden="false" customHeight="true" outlineLevel="0" collapsed="false">
      <c r="A5797" s="6" t="s">
        <v>8409</v>
      </c>
      <c r="B5797" s="6" t="s">
        <v>1285</v>
      </c>
      <c r="C5797" s="6" t="s">
        <v>120</v>
      </c>
      <c r="D5797" s="13" t="n">
        <v>45682</v>
      </c>
      <c r="E5797" s="14" t="n">
        <v>5369.69</v>
      </c>
      <c r="F5797" s="14" t="n">
        <v>13153.55</v>
      </c>
      <c r="G5797" s="6" t="s">
        <v>2613</v>
      </c>
    </row>
    <row r="5798" customFormat="false" ht="15" hidden="false" customHeight="true" outlineLevel="0" collapsed="false">
      <c r="A5798" s="6" t="s">
        <v>8410</v>
      </c>
      <c r="B5798" s="6" t="s">
        <v>1285</v>
      </c>
      <c r="C5798" s="6" t="s">
        <v>120</v>
      </c>
      <c r="D5798" s="13" t="n">
        <v>45689</v>
      </c>
      <c r="E5798" s="14" t="n">
        <v>3407</v>
      </c>
      <c r="F5798" s="14" t="n">
        <v>16560.55</v>
      </c>
      <c r="G5798" s="6" t="s">
        <v>2623</v>
      </c>
    </row>
    <row r="5799" customFormat="false" ht="15" hidden="false" customHeight="true" outlineLevel="0" collapsed="false">
      <c r="A5799" s="6" t="s">
        <v>8411</v>
      </c>
      <c r="B5799" s="6" t="s">
        <v>1285</v>
      </c>
      <c r="C5799" s="6" t="s">
        <v>120</v>
      </c>
      <c r="D5799" s="13" t="n">
        <v>45696</v>
      </c>
      <c r="E5799" s="14" t="n">
        <v>5448.43</v>
      </c>
      <c r="F5799" s="14" t="n">
        <v>22008.98</v>
      </c>
      <c r="G5799" s="6" t="s">
        <v>2613</v>
      </c>
    </row>
    <row r="5800" customFormat="false" ht="15" hidden="false" customHeight="true" outlineLevel="0" collapsed="false">
      <c r="A5800" s="6" t="s">
        <v>8412</v>
      </c>
      <c r="B5800" s="6" t="s">
        <v>1285</v>
      </c>
      <c r="C5800" s="6" t="s">
        <v>120</v>
      </c>
      <c r="D5800" s="13" t="n">
        <v>45703</v>
      </c>
      <c r="E5800" s="14" t="n">
        <v>3491.91</v>
      </c>
      <c r="F5800" s="14" t="n">
        <v>25500.89</v>
      </c>
      <c r="G5800" s="6" t="s">
        <v>2613</v>
      </c>
    </row>
    <row r="5801" customFormat="false" ht="15" hidden="false" customHeight="true" outlineLevel="0" collapsed="false">
      <c r="A5801" s="6" t="s">
        <v>8413</v>
      </c>
      <c r="B5801" s="6" t="s">
        <v>1285</v>
      </c>
      <c r="C5801" s="6" t="s">
        <v>120</v>
      </c>
      <c r="D5801" s="13" t="n">
        <v>45710</v>
      </c>
      <c r="E5801" s="14" t="n">
        <v>4100.5</v>
      </c>
      <c r="F5801" s="14" t="n">
        <v>29601.39</v>
      </c>
      <c r="G5801" s="6" t="s">
        <v>2613</v>
      </c>
    </row>
    <row r="5802" customFormat="false" ht="15" hidden="false" customHeight="true" outlineLevel="0" collapsed="false">
      <c r="A5802" s="6" t="s">
        <v>8414</v>
      </c>
      <c r="B5802" s="6" t="s">
        <v>1285</v>
      </c>
      <c r="C5802" s="6" t="s">
        <v>120</v>
      </c>
      <c r="D5802" s="13" t="n">
        <v>45717</v>
      </c>
      <c r="E5802" s="14" t="n">
        <v>5317.71</v>
      </c>
      <c r="F5802" s="14" t="n">
        <v>34919.1</v>
      </c>
      <c r="G5802" s="6" t="s">
        <v>2613</v>
      </c>
    </row>
    <row r="5803" customFormat="false" ht="15" hidden="false" customHeight="true" outlineLevel="0" collapsed="false">
      <c r="A5803" s="6" t="s">
        <v>8415</v>
      </c>
      <c r="B5803" s="6" t="s">
        <v>1285</v>
      </c>
      <c r="C5803" s="6" t="s">
        <v>120</v>
      </c>
      <c r="D5803" s="13" t="n">
        <v>45724</v>
      </c>
      <c r="E5803" s="14" t="n">
        <v>2866.48</v>
      </c>
      <c r="F5803" s="14" t="n">
        <v>37785.58</v>
      </c>
      <c r="G5803" s="6" t="s">
        <v>2613</v>
      </c>
    </row>
    <row r="5804" customFormat="false" ht="15" hidden="false" customHeight="true" outlineLevel="0" collapsed="false">
      <c r="A5804" s="6" t="s">
        <v>8416</v>
      </c>
      <c r="B5804" s="6" t="s">
        <v>1285</v>
      </c>
      <c r="C5804" s="6" t="s">
        <v>120</v>
      </c>
      <c r="D5804" s="13" t="n">
        <v>45731</v>
      </c>
      <c r="E5804" s="14" t="n">
        <v>3191.23</v>
      </c>
      <c r="F5804" s="14" t="n">
        <v>40976.81</v>
      </c>
      <c r="G5804" s="6" t="s">
        <v>2613</v>
      </c>
    </row>
    <row r="5805" customFormat="false" ht="15" hidden="false" customHeight="true" outlineLevel="0" collapsed="false">
      <c r="A5805" s="6" t="s">
        <v>8417</v>
      </c>
      <c r="B5805" s="6" t="s">
        <v>1285</v>
      </c>
      <c r="C5805" s="6" t="s">
        <v>120</v>
      </c>
      <c r="D5805" s="13" t="n">
        <v>45738</v>
      </c>
      <c r="E5805" s="14" t="n">
        <v>2941.93</v>
      </c>
      <c r="F5805" s="14" t="n">
        <v>43918.74</v>
      </c>
      <c r="G5805" s="6" t="s">
        <v>2613</v>
      </c>
    </row>
    <row r="5806" customFormat="false" ht="15" hidden="false" customHeight="true" outlineLevel="0" collapsed="false">
      <c r="A5806" s="6" t="s">
        <v>8418</v>
      </c>
      <c r="B5806" s="6" t="s">
        <v>1287</v>
      </c>
      <c r="C5806" s="6" t="s">
        <v>112</v>
      </c>
      <c r="D5806" s="13" t="n">
        <v>45701</v>
      </c>
      <c r="E5806" s="14" t="n">
        <v>2204.95</v>
      </c>
      <c r="F5806" s="14" t="n">
        <v>2204.95</v>
      </c>
      <c r="G5806" s="6" t="s">
        <v>2613</v>
      </c>
    </row>
    <row r="5807" customFormat="false" ht="15" hidden="false" customHeight="true" outlineLevel="0" collapsed="false">
      <c r="A5807" s="6" t="s">
        <v>8419</v>
      </c>
      <c r="B5807" s="6" t="s">
        <v>1287</v>
      </c>
      <c r="C5807" s="6" t="s">
        <v>112</v>
      </c>
      <c r="D5807" s="13" t="n">
        <v>45708</v>
      </c>
      <c r="E5807" s="14" t="n">
        <v>2652.12</v>
      </c>
      <c r="F5807" s="14" t="n">
        <v>4857.07</v>
      </c>
      <c r="G5807" s="6" t="s">
        <v>2613</v>
      </c>
    </row>
    <row r="5808" customFormat="false" ht="15" hidden="false" customHeight="true" outlineLevel="0" collapsed="false">
      <c r="A5808" s="6" t="s">
        <v>8420</v>
      </c>
      <c r="B5808" s="6" t="s">
        <v>1287</v>
      </c>
      <c r="C5808" s="6" t="s">
        <v>112</v>
      </c>
      <c r="D5808" s="13" t="n">
        <v>45715</v>
      </c>
      <c r="E5808" s="14" t="n">
        <v>1946.7</v>
      </c>
      <c r="F5808" s="14" t="n">
        <v>6803.77</v>
      </c>
      <c r="G5808" s="6" t="s">
        <v>2623</v>
      </c>
    </row>
    <row r="5809" customFormat="false" ht="15" hidden="false" customHeight="true" outlineLevel="0" collapsed="false">
      <c r="A5809" s="6" t="s">
        <v>8421</v>
      </c>
      <c r="B5809" s="6" t="s">
        <v>1287</v>
      </c>
      <c r="C5809" s="6" t="s">
        <v>112</v>
      </c>
      <c r="D5809" s="13" t="n">
        <v>45722</v>
      </c>
      <c r="E5809" s="14" t="n">
        <v>2544.67</v>
      </c>
      <c r="F5809" s="14" t="n">
        <v>9348.44</v>
      </c>
      <c r="G5809" s="6" t="s">
        <v>2613</v>
      </c>
    </row>
    <row r="5810" customFormat="false" ht="15" hidden="false" customHeight="true" outlineLevel="0" collapsed="false">
      <c r="A5810" s="6" t="s">
        <v>8422</v>
      </c>
      <c r="B5810" s="6" t="s">
        <v>1287</v>
      </c>
      <c r="C5810" s="6" t="s">
        <v>112</v>
      </c>
      <c r="D5810" s="13" t="n">
        <v>45729</v>
      </c>
      <c r="E5810" s="14" t="n">
        <v>1270.5</v>
      </c>
      <c r="F5810" s="14" t="n">
        <v>10618.94</v>
      </c>
      <c r="G5810" s="6" t="s">
        <v>2613</v>
      </c>
    </row>
    <row r="5811" customFormat="false" ht="15" hidden="false" customHeight="true" outlineLevel="0" collapsed="false">
      <c r="A5811" s="6" t="s">
        <v>8423</v>
      </c>
      <c r="B5811" s="6" t="s">
        <v>1287</v>
      </c>
      <c r="C5811" s="6" t="s">
        <v>112</v>
      </c>
      <c r="D5811" s="13" t="n">
        <v>45736</v>
      </c>
      <c r="E5811" s="14" t="n">
        <v>1576.76</v>
      </c>
      <c r="F5811" s="14" t="n">
        <v>12195.7</v>
      </c>
      <c r="G5811" s="6" t="s">
        <v>2613</v>
      </c>
    </row>
    <row r="5812" customFormat="false" ht="15" hidden="false" customHeight="true" outlineLevel="0" collapsed="false">
      <c r="A5812" s="6" t="s">
        <v>8424</v>
      </c>
      <c r="B5812" s="6" t="s">
        <v>1287</v>
      </c>
      <c r="C5812" s="6" t="s">
        <v>112</v>
      </c>
      <c r="D5812" s="13" t="n">
        <v>45743</v>
      </c>
      <c r="E5812" s="14" t="n">
        <v>1946.95</v>
      </c>
      <c r="F5812" s="14" t="n">
        <v>14142.65</v>
      </c>
      <c r="G5812" s="6" t="s">
        <v>2613</v>
      </c>
    </row>
    <row r="5813" customFormat="false" ht="15" hidden="false" customHeight="true" outlineLevel="0" collapsed="false">
      <c r="A5813" s="6" t="s">
        <v>8425</v>
      </c>
      <c r="B5813" s="6" t="s">
        <v>1289</v>
      </c>
      <c r="C5813" s="6" t="s">
        <v>128</v>
      </c>
      <c r="D5813" s="13" t="n">
        <v>45363</v>
      </c>
      <c r="E5813" s="14" t="n">
        <v>7232.33</v>
      </c>
      <c r="F5813" s="14" t="n">
        <v>7232.33</v>
      </c>
      <c r="G5813" s="6" t="s">
        <v>2613</v>
      </c>
    </row>
    <row r="5814" customFormat="false" ht="15" hidden="false" customHeight="true" outlineLevel="0" collapsed="false">
      <c r="A5814" s="6" t="s">
        <v>8426</v>
      </c>
      <c r="B5814" s="6" t="s">
        <v>1291</v>
      </c>
      <c r="C5814" s="6" t="s">
        <v>116</v>
      </c>
      <c r="D5814" s="13" t="n">
        <v>45892</v>
      </c>
      <c r="E5814" s="14" t="n">
        <v>2891.64</v>
      </c>
      <c r="F5814" s="14" t="n">
        <v>2891.64</v>
      </c>
      <c r="G5814" s="6" t="s">
        <v>2613</v>
      </c>
    </row>
    <row r="5815" customFormat="false" ht="15" hidden="false" customHeight="true" outlineLevel="0" collapsed="false">
      <c r="A5815" s="6" t="s">
        <v>8427</v>
      </c>
      <c r="B5815" s="6" t="s">
        <v>1291</v>
      </c>
      <c r="C5815" s="6" t="s">
        <v>116</v>
      </c>
      <c r="D5815" s="13" t="n">
        <v>45899</v>
      </c>
      <c r="E5815" s="14" t="n">
        <v>1310.06</v>
      </c>
      <c r="F5815" s="14" t="n">
        <v>4201.7</v>
      </c>
      <c r="G5815" s="6" t="s">
        <v>2613</v>
      </c>
    </row>
    <row r="5816" customFormat="false" ht="15" hidden="false" customHeight="true" outlineLevel="0" collapsed="false">
      <c r="A5816" s="6" t="s">
        <v>8428</v>
      </c>
      <c r="B5816" s="6" t="s">
        <v>1291</v>
      </c>
      <c r="C5816" s="6" t="s">
        <v>116</v>
      </c>
      <c r="D5816" s="13" t="n">
        <v>45906</v>
      </c>
      <c r="E5816" s="14" t="n">
        <v>1648.24</v>
      </c>
      <c r="F5816" s="14" t="n">
        <v>5849.94</v>
      </c>
      <c r="G5816" s="6" t="s">
        <v>2613</v>
      </c>
    </row>
    <row r="5817" customFormat="false" ht="15" hidden="false" customHeight="true" outlineLevel="0" collapsed="false">
      <c r="A5817" s="6" t="s">
        <v>8429</v>
      </c>
      <c r="B5817" s="6" t="s">
        <v>1291</v>
      </c>
      <c r="C5817" s="6" t="s">
        <v>116</v>
      </c>
      <c r="D5817" s="13" t="n">
        <v>45913</v>
      </c>
      <c r="E5817" s="14" t="n">
        <v>1820.69</v>
      </c>
      <c r="F5817" s="14" t="n">
        <v>7670.63</v>
      </c>
      <c r="G5817" s="6" t="s">
        <v>2613</v>
      </c>
    </row>
    <row r="5818" customFormat="false" ht="15" hidden="false" customHeight="true" outlineLevel="0" collapsed="false">
      <c r="A5818" s="6" t="s">
        <v>8430</v>
      </c>
      <c r="B5818" s="6" t="s">
        <v>1291</v>
      </c>
      <c r="C5818" s="6" t="s">
        <v>116</v>
      </c>
      <c r="D5818" s="13" t="n">
        <v>45920</v>
      </c>
      <c r="E5818" s="14" t="n">
        <v>2884.79</v>
      </c>
      <c r="F5818" s="14" t="n">
        <v>10555.42</v>
      </c>
      <c r="G5818" s="6" t="s">
        <v>2623</v>
      </c>
    </row>
    <row r="5819" customFormat="false" ht="15" hidden="false" customHeight="true" outlineLevel="0" collapsed="false">
      <c r="A5819" s="6" t="s">
        <v>8431</v>
      </c>
      <c r="B5819" s="6" t="s">
        <v>1291</v>
      </c>
      <c r="C5819" s="6" t="s">
        <v>116</v>
      </c>
      <c r="D5819" s="13" t="n">
        <v>45927</v>
      </c>
      <c r="E5819" s="14" t="n">
        <v>2182.89</v>
      </c>
      <c r="F5819" s="14" t="n">
        <v>12738.31</v>
      </c>
      <c r="G5819" s="6" t="s">
        <v>2613</v>
      </c>
    </row>
    <row r="5820" customFormat="false" ht="15" hidden="false" customHeight="true" outlineLevel="0" collapsed="false">
      <c r="A5820" s="6" t="s">
        <v>8432</v>
      </c>
      <c r="B5820" s="6" t="s">
        <v>1291</v>
      </c>
      <c r="C5820" s="6" t="s">
        <v>116</v>
      </c>
      <c r="D5820" s="13" t="n">
        <v>45934</v>
      </c>
      <c r="E5820" s="14" t="n">
        <v>2194</v>
      </c>
      <c r="F5820" s="14" t="n">
        <v>14932.31</v>
      </c>
      <c r="G5820" s="6" t="s">
        <v>2613</v>
      </c>
    </row>
    <row r="5821" customFormat="false" ht="15" hidden="false" customHeight="true" outlineLevel="0" collapsed="false">
      <c r="A5821" s="6" t="s">
        <v>8433</v>
      </c>
      <c r="B5821" s="6" t="s">
        <v>1291</v>
      </c>
      <c r="C5821" s="6" t="s">
        <v>116</v>
      </c>
      <c r="D5821" s="13" t="n">
        <v>45941</v>
      </c>
      <c r="E5821" s="14" t="n">
        <v>1883.73</v>
      </c>
      <c r="F5821" s="14" t="n">
        <v>16816.04</v>
      </c>
      <c r="G5821" s="6" t="s">
        <v>2613</v>
      </c>
    </row>
    <row r="5822" customFormat="false" ht="15" hidden="false" customHeight="true" outlineLevel="0" collapsed="false">
      <c r="A5822" s="6" t="s">
        <v>8434</v>
      </c>
      <c r="B5822" s="6" t="s">
        <v>1291</v>
      </c>
      <c r="C5822" s="6" t="s">
        <v>116</v>
      </c>
      <c r="D5822" s="13" t="n">
        <v>45948</v>
      </c>
      <c r="E5822" s="14" t="n">
        <v>2795.42</v>
      </c>
      <c r="F5822" s="14" t="n">
        <v>19611.46</v>
      </c>
      <c r="G5822" s="6" t="s">
        <v>2623</v>
      </c>
    </row>
    <row r="5823" customFormat="false" ht="15" hidden="false" customHeight="true" outlineLevel="0" collapsed="false">
      <c r="A5823" s="6" t="s">
        <v>8435</v>
      </c>
      <c r="B5823" s="6" t="s">
        <v>1293</v>
      </c>
      <c r="C5823" s="6" t="s">
        <v>116</v>
      </c>
      <c r="D5823" s="13" t="n">
        <v>45486</v>
      </c>
      <c r="E5823" s="14" t="n">
        <v>5334.69</v>
      </c>
      <c r="F5823" s="14" t="n">
        <v>5334.69</v>
      </c>
      <c r="G5823" s="6" t="s">
        <v>2613</v>
      </c>
    </row>
    <row r="5824" customFormat="false" ht="15" hidden="false" customHeight="true" outlineLevel="0" collapsed="false">
      <c r="A5824" s="6" t="s">
        <v>8436</v>
      </c>
      <c r="B5824" s="6" t="s">
        <v>1293</v>
      </c>
      <c r="C5824" s="6" t="s">
        <v>116</v>
      </c>
      <c r="D5824" s="13" t="n">
        <v>45493</v>
      </c>
      <c r="E5824" s="14" t="n">
        <v>4466.59</v>
      </c>
      <c r="F5824" s="14" t="n">
        <v>9801.28</v>
      </c>
      <c r="G5824" s="6" t="s">
        <v>2613</v>
      </c>
    </row>
    <row r="5825" customFormat="false" ht="15" hidden="false" customHeight="true" outlineLevel="0" collapsed="false">
      <c r="A5825" s="6" t="s">
        <v>8437</v>
      </c>
      <c r="B5825" s="6" t="s">
        <v>1293</v>
      </c>
      <c r="C5825" s="6" t="s">
        <v>116</v>
      </c>
      <c r="D5825" s="13" t="n">
        <v>45500</v>
      </c>
      <c r="E5825" s="14" t="n">
        <v>5476.16</v>
      </c>
      <c r="F5825" s="14" t="n">
        <v>15277.44</v>
      </c>
      <c r="G5825" s="6" t="s">
        <v>2613</v>
      </c>
    </row>
    <row r="5826" customFormat="false" ht="15" hidden="false" customHeight="true" outlineLevel="0" collapsed="false">
      <c r="A5826" s="6" t="s">
        <v>8438</v>
      </c>
      <c r="B5826" s="6" t="s">
        <v>1293</v>
      </c>
      <c r="C5826" s="6" t="s">
        <v>116</v>
      </c>
      <c r="D5826" s="13" t="n">
        <v>45507</v>
      </c>
      <c r="E5826" s="14" t="n">
        <v>3440.39</v>
      </c>
      <c r="F5826" s="14" t="n">
        <v>18717.83</v>
      </c>
      <c r="G5826" s="6" t="s">
        <v>2613</v>
      </c>
    </row>
    <row r="5827" customFormat="false" ht="15" hidden="false" customHeight="true" outlineLevel="0" collapsed="false">
      <c r="A5827" s="6" t="s">
        <v>8439</v>
      </c>
      <c r="B5827" s="6" t="s">
        <v>1293</v>
      </c>
      <c r="C5827" s="6" t="s">
        <v>116</v>
      </c>
      <c r="D5827" s="13" t="n">
        <v>45514</v>
      </c>
      <c r="E5827" s="14" t="n">
        <v>3016.05</v>
      </c>
      <c r="F5827" s="14" t="n">
        <v>21733.88</v>
      </c>
      <c r="G5827" s="6" t="s">
        <v>2613</v>
      </c>
    </row>
    <row r="5828" customFormat="false" ht="15" hidden="false" customHeight="true" outlineLevel="0" collapsed="false">
      <c r="A5828" s="6" t="s">
        <v>8440</v>
      </c>
      <c r="B5828" s="6" t="s">
        <v>1293</v>
      </c>
      <c r="C5828" s="6" t="s">
        <v>116</v>
      </c>
      <c r="D5828" s="13" t="n">
        <v>45521</v>
      </c>
      <c r="E5828" s="14" t="n">
        <v>2459.38</v>
      </c>
      <c r="F5828" s="14" t="n">
        <v>24193.26</v>
      </c>
      <c r="G5828" s="6" t="s">
        <v>2613</v>
      </c>
    </row>
    <row r="5829" customFormat="false" ht="15" hidden="false" customHeight="true" outlineLevel="0" collapsed="false">
      <c r="A5829" s="6" t="s">
        <v>8441</v>
      </c>
      <c r="B5829" s="6" t="s">
        <v>1295</v>
      </c>
      <c r="C5829" s="6" t="s">
        <v>116</v>
      </c>
      <c r="D5829" s="13" t="n">
        <v>45908</v>
      </c>
      <c r="E5829" s="14" t="n">
        <v>2050.77</v>
      </c>
      <c r="F5829" s="14" t="n">
        <v>2050.77</v>
      </c>
      <c r="G5829" s="6" t="s">
        <v>2613</v>
      </c>
    </row>
    <row r="5830" customFormat="false" ht="15" hidden="false" customHeight="true" outlineLevel="0" collapsed="false">
      <c r="A5830" s="6" t="s">
        <v>8442</v>
      </c>
      <c r="B5830" s="6" t="s">
        <v>1295</v>
      </c>
      <c r="C5830" s="6" t="s">
        <v>116</v>
      </c>
      <c r="D5830" s="13" t="n">
        <v>45915</v>
      </c>
      <c r="E5830" s="14" t="n">
        <v>1958.94</v>
      </c>
      <c r="F5830" s="14" t="n">
        <v>4009.71</v>
      </c>
      <c r="G5830" s="6" t="s">
        <v>2613</v>
      </c>
    </row>
    <row r="5831" customFormat="false" ht="15" hidden="false" customHeight="true" outlineLevel="0" collapsed="false">
      <c r="A5831" s="6" t="s">
        <v>8443</v>
      </c>
      <c r="B5831" s="6" t="s">
        <v>1295</v>
      </c>
      <c r="C5831" s="6" t="s">
        <v>116</v>
      </c>
      <c r="D5831" s="13" t="n">
        <v>45922</v>
      </c>
      <c r="E5831" s="14" t="n">
        <v>3648.19</v>
      </c>
      <c r="F5831" s="14" t="n">
        <v>7657.9</v>
      </c>
      <c r="G5831" s="6" t="s">
        <v>2613</v>
      </c>
    </row>
    <row r="5832" customFormat="false" ht="15" hidden="false" customHeight="true" outlineLevel="0" collapsed="false">
      <c r="A5832" s="6" t="s">
        <v>8444</v>
      </c>
      <c r="B5832" s="6" t="s">
        <v>1295</v>
      </c>
      <c r="C5832" s="6" t="s">
        <v>116</v>
      </c>
      <c r="D5832" s="13" t="n">
        <v>45929</v>
      </c>
      <c r="E5832" s="14" t="n">
        <v>2622.04</v>
      </c>
      <c r="F5832" s="14" t="n">
        <v>10279.94</v>
      </c>
      <c r="G5832" s="6" t="s">
        <v>2623</v>
      </c>
    </row>
    <row r="5833" customFormat="false" ht="15" hidden="false" customHeight="true" outlineLevel="0" collapsed="false">
      <c r="A5833" s="6" t="s">
        <v>8445</v>
      </c>
      <c r="B5833" s="6" t="s">
        <v>1295</v>
      </c>
      <c r="C5833" s="6" t="s">
        <v>116</v>
      </c>
      <c r="D5833" s="13" t="n">
        <v>45936</v>
      </c>
      <c r="E5833" s="14" t="n">
        <v>3030.76</v>
      </c>
      <c r="F5833" s="14" t="n">
        <v>13310.7</v>
      </c>
      <c r="G5833" s="6" t="s">
        <v>2613</v>
      </c>
    </row>
    <row r="5834" customFormat="false" ht="15" hidden="false" customHeight="true" outlineLevel="0" collapsed="false">
      <c r="A5834" s="6" t="s">
        <v>8446</v>
      </c>
      <c r="B5834" s="6" t="s">
        <v>1295</v>
      </c>
      <c r="C5834" s="6" t="s">
        <v>116</v>
      </c>
      <c r="D5834" s="13" t="n">
        <v>45943</v>
      </c>
      <c r="E5834" s="14" t="n">
        <v>3196.66</v>
      </c>
      <c r="F5834" s="14" t="n">
        <v>16507.36</v>
      </c>
      <c r="G5834" s="6" t="s">
        <v>2613</v>
      </c>
    </row>
    <row r="5835" customFormat="false" ht="15" hidden="false" customHeight="true" outlineLevel="0" collapsed="false">
      <c r="A5835" s="6" t="s">
        <v>8447</v>
      </c>
      <c r="B5835" s="6" t="s">
        <v>1295</v>
      </c>
      <c r="C5835" s="6" t="s">
        <v>116</v>
      </c>
      <c r="D5835" s="13" t="n">
        <v>45950</v>
      </c>
      <c r="E5835" s="14" t="n">
        <v>2220.05</v>
      </c>
      <c r="F5835" s="14" t="n">
        <v>18727.41</v>
      </c>
      <c r="G5835" s="6" t="s">
        <v>2613</v>
      </c>
    </row>
    <row r="5836" customFormat="false" ht="15" hidden="false" customHeight="true" outlineLevel="0" collapsed="false">
      <c r="A5836" s="6" t="s">
        <v>8448</v>
      </c>
      <c r="B5836" s="6" t="s">
        <v>1295</v>
      </c>
      <c r="C5836" s="6" t="s">
        <v>116</v>
      </c>
      <c r="D5836" s="13" t="n">
        <v>45957</v>
      </c>
      <c r="E5836" s="14" t="n">
        <v>3204.65</v>
      </c>
      <c r="F5836" s="14" t="n">
        <v>21932.06</v>
      </c>
      <c r="G5836" s="6" t="s">
        <v>2613</v>
      </c>
    </row>
    <row r="5837" customFormat="false" ht="15" hidden="false" customHeight="true" outlineLevel="0" collapsed="false">
      <c r="A5837" s="6" t="s">
        <v>8449</v>
      </c>
      <c r="B5837" s="6" t="s">
        <v>1295</v>
      </c>
      <c r="C5837" s="6" t="s">
        <v>116</v>
      </c>
      <c r="D5837" s="13" t="n">
        <v>45964</v>
      </c>
      <c r="E5837" s="14" t="n">
        <v>3153.54</v>
      </c>
      <c r="F5837" s="14" t="n">
        <v>25085.6</v>
      </c>
      <c r="G5837" s="6" t="s">
        <v>2613</v>
      </c>
    </row>
    <row r="5838" customFormat="false" ht="15" hidden="false" customHeight="true" outlineLevel="0" collapsed="false">
      <c r="A5838" s="6" t="s">
        <v>8450</v>
      </c>
      <c r="B5838" s="6" t="s">
        <v>1295</v>
      </c>
      <c r="C5838" s="6" t="s">
        <v>116</v>
      </c>
      <c r="D5838" s="13" t="n">
        <v>45971</v>
      </c>
      <c r="E5838" s="14" t="n">
        <v>3156.65</v>
      </c>
      <c r="F5838" s="14" t="n">
        <v>28242.25</v>
      </c>
      <c r="G5838" s="6" t="s">
        <v>2613</v>
      </c>
    </row>
    <row r="5839" customFormat="false" ht="15" hidden="false" customHeight="true" outlineLevel="0" collapsed="false">
      <c r="A5839" s="6" t="s">
        <v>8451</v>
      </c>
      <c r="B5839" s="6" t="s">
        <v>1297</v>
      </c>
      <c r="C5839" s="6" t="s">
        <v>120</v>
      </c>
      <c r="D5839" s="13" t="n">
        <v>44788</v>
      </c>
      <c r="E5839" s="14" t="n">
        <v>2371.45</v>
      </c>
      <c r="F5839" s="14" t="n">
        <v>2371.45</v>
      </c>
      <c r="G5839" s="6" t="s">
        <v>2623</v>
      </c>
    </row>
    <row r="5840" customFormat="false" ht="15" hidden="false" customHeight="true" outlineLevel="0" collapsed="false">
      <c r="A5840" s="6" t="s">
        <v>8452</v>
      </c>
      <c r="B5840" s="6" t="s">
        <v>1297</v>
      </c>
      <c r="C5840" s="6" t="s">
        <v>120</v>
      </c>
      <c r="D5840" s="13" t="n">
        <v>44795</v>
      </c>
      <c r="E5840" s="14" t="n">
        <v>1960.59</v>
      </c>
      <c r="F5840" s="14" t="n">
        <v>4332.04</v>
      </c>
      <c r="G5840" s="6" t="s">
        <v>2613</v>
      </c>
    </row>
    <row r="5841" customFormat="false" ht="15" hidden="false" customHeight="true" outlineLevel="0" collapsed="false">
      <c r="A5841" s="6" t="s">
        <v>8453</v>
      </c>
      <c r="B5841" s="6" t="s">
        <v>1297</v>
      </c>
      <c r="C5841" s="6" t="s">
        <v>120</v>
      </c>
      <c r="D5841" s="13" t="n">
        <v>44802</v>
      </c>
      <c r="E5841" s="14" t="n">
        <v>1443.09</v>
      </c>
      <c r="F5841" s="14" t="n">
        <v>5775.13</v>
      </c>
      <c r="G5841" s="6" t="s">
        <v>2613</v>
      </c>
    </row>
    <row r="5842" customFormat="false" ht="15" hidden="false" customHeight="true" outlineLevel="0" collapsed="false">
      <c r="A5842" s="6" t="s">
        <v>8454</v>
      </c>
      <c r="B5842" s="6" t="s">
        <v>1297</v>
      </c>
      <c r="C5842" s="6" t="s">
        <v>120</v>
      </c>
      <c r="D5842" s="13" t="n">
        <v>44809</v>
      </c>
      <c r="E5842" s="14" t="n">
        <v>1205.82</v>
      </c>
      <c r="F5842" s="14" t="n">
        <v>6980.95</v>
      </c>
      <c r="G5842" s="6" t="s">
        <v>2613</v>
      </c>
    </row>
    <row r="5843" customFormat="false" ht="15" hidden="false" customHeight="true" outlineLevel="0" collapsed="false">
      <c r="A5843" s="6" t="s">
        <v>8455</v>
      </c>
      <c r="B5843" s="6" t="s">
        <v>1297</v>
      </c>
      <c r="C5843" s="6" t="s">
        <v>120</v>
      </c>
      <c r="D5843" s="13" t="n">
        <v>44816</v>
      </c>
      <c r="E5843" s="14" t="n">
        <v>1372.49</v>
      </c>
      <c r="F5843" s="14" t="n">
        <v>8353.44</v>
      </c>
      <c r="G5843" s="6" t="s">
        <v>2613</v>
      </c>
    </row>
    <row r="5844" customFormat="false" ht="15" hidden="false" customHeight="true" outlineLevel="0" collapsed="false">
      <c r="A5844" s="6" t="s">
        <v>8456</v>
      </c>
      <c r="B5844" s="6" t="s">
        <v>1297</v>
      </c>
      <c r="C5844" s="6" t="s">
        <v>120</v>
      </c>
      <c r="D5844" s="13" t="n">
        <v>44823</v>
      </c>
      <c r="E5844" s="14" t="n">
        <v>2517.21</v>
      </c>
      <c r="F5844" s="14" t="n">
        <v>10870.65</v>
      </c>
      <c r="G5844" s="6" t="s">
        <v>2613</v>
      </c>
    </row>
    <row r="5845" customFormat="false" ht="15" hidden="false" customHeight="true" outlineLevel="0" collapsed="false">
      <c r="A5845" s="6" t="s">
        <v>8457</v>
      </c>
      <c r="B5845" s="6" t="s">
        <v>1297</v>
      </c>
      <c r="C5845" s="6" t="s">
        <v>120</v>
      </c>
      <c r="D5845" s="13" t="n">
        <v>44830</v>
      </c>
      <c r="E5845" s="14" t="n">
        <v>1223.64</v>
      </c>
      <c r="F5845" s="14" t="n">
        <v>12094.29</v>
      </c>
      <c r="G5845" s="6" t="s">
        <v>2613</v>
      </c>
    </row>
    <row r="5846" customFormat="false" ht="15" hidden="false" customHeight="true" outlineLevel="0" collapsed="false">
      <c r="A5846" s="6" t="s">
        <v>8458</v>
      </c>
      <c r="B5846" s="6" t="s">
        <v>1297</v>
      </c>
      <c r="C5846" s="6" t="s">
        <v>120</v>
      </c>
      <c r="D5846" s="13" t="n">
        <v>44837</v>
      </c>
      <c r="E5846" s="14" t="n">
        <v>1867.98</v>
      </c>
      <c r="F5846" s="14" t="n">
        <v>13962.27</v>
      </c>
      <c r="G5846" s="6" t="s">
        <v>2613</v>
      </c>
    </row>
    <row r="5847" customFormat="false" ht="15" hidden="false" customHeight="true" outlineLevel="0" collapsed="false">
      <c r="A5847" s="6" t="s">
        <v>8459</v>
      </c>
      <c r="B5847" s="6" t="s">
        <v>1297</v>
      </c>
      <c r="C5847" s="6" t="s">
        <v>120</v>
      </c>
      <c r="D5847" s="13" t="n">
        <v>44844</v>
      </c>
      <c r="E5847" s="14" t="n">
        <v>1277.52</v>
      </c>
      <c r="F5847" s="14" t="n">
        <v>15239.79</v>
      </c>
      <c r="G5847" s="6" t="s">
        <v>2613</v>
      </c>
    </row>
    <row r="5848" customFormat="false" ht="15" hidden="false" customHeight="true" outlineLevel="0" collapsed="false">
      <c r="A5848" s="6" t="s">
        <v>8460</v>
      </c>
      <c r="B5848" s="6" t="s">
        <v>1297</v>
      </c>
      <c r="C5848" s="6" t="s">
        <v>120</v>
      </c>
      <c r="D5848" s="13" t="n">
        <v>44851</v>
      </c>
      <c r="E5848" s="14" t="n">
        <v>1338.24</v>
      </c>
      <c r="F5848" s="14" t="n">
        <v>16578.03</v>
      </c>
      <c r="G5848" s="6" t="s">
        <v>2613</v>
      </c>
    </row>
    <row r="5849" customFormat="false" ht="15" hidden="false" customHeight="true" outlineLevel="0" collapsed="false">
      <c r="A5849" s="6" t="s">
        <v>8461</v>
      </c>
      <c r="B5849" s="6" t="s">
        <v>1297</v>
      </c>
      <c r="C5849" s="6" t="s">
        <v>120</v>
      </c>
      <c r="D5849" s="13" t="n">
        <v>44858</v>
      </c>
      <c r="E5849" s="14" t="n">
        <v>1728.47</v>
      </c>
      <c r="F5849" s="14" t="n">
        <v>18306.5</v>
      </c>
      <c r="G5849" s="6" t="s">
        <v>2613</v>
      </c>
    </row>
    <row r="5850" customFormat="false" ht="15" hidden="false" customHeight="true" outlineLevel="0" collapsed="false">
      <c r="A5850" s="6" t="s">
        <v>8462</v>
      </c>
      <c r="B5850" s="6" t="s">
        <v>1297</v>
      </c>
      <c r="C5850" s="6" t="s">
        <v>120</v>
      </c>
      <c r="D5850" s="13" t="n">
        <v>44865</v>
      </c>
      <c r="E5850" s="14" t="n">
        <v>1705.23</v>
      </c>
      <c r="F5850" s="14" t="n">
        <v>20011.73</v>
      </c>
      <c r="G5850" s="6" t="s">
        <v>2613</v>
      </c>
    </row>
    <row r="5851" customFormat="false" ht="15" hidden="false" customHeight="true" outlineLevel="0" collapsed="false">
      <c r="A5851" s="6" t="s">
        <v>8463</v>
      </c>
      <c r="B5851" s="6" t="s">
        <v>1297</v>
      </c>
      <c r="C5851" s="6" t="s">
        <v>120</v>
      </c>
      <c r="D5851" s="13" t="n">
        <v>44872</v>
      </c>
      <c r="E5851" s="14" t="n">
        <v>1264.68</v>
      </c>
      <c r="F5851" s="14" t="n">
        <v>21276.41</v>
      </c>
      <c r="G5851" s="6" t="s">
        <v>2613</v>
      </c>
    </row>
    <row r="5852" customFormat="false" ht="15" hidden="false" customHeight="true" outlineLevel="0" collapsed="false">
      <c r="A5852" s="6" t="s">
        <v>8464</v>
      </c>
      <c r="B5852" s="6" t="s">
        <v>1297</v>
      </c>
      <c r="C5852" s="6" t="s">
        <v>120</v>
      </c>
      <c r="D5852" s="13" t="n">
        <v>44879</v>
      </c>
      <c r="E5852" s="14" t="n">
        <v>1896.82</v>
      </c>
      <c r="F5852" s="14" t="n">
        <v>23173.23</v>
      </c>
      <c r="G5852" s="6" t="s">
        <v>2613</v>
      </c>
    </row>
    <row r="5853" customFormat="false" ht="15" hidden="false" customHeight="true" outlineLevel="0" collapsed="false">
      <c r="A5853" s="6" t="s">
        <v>8465</v>
      </c>
      <c r="B5853" s="6" t="s">
        <v>1297</v>
      </c>
      <c r="C5853" s="6" t="s">
        <v>120</v>
      </c>
      <c r="D5853" s="13" t="n">
        <v>44886</v>
      </c>
      <c r="E5853" s="14" t="n">
        <v>1906.3</v>
      </c>
      <c r="F5853" s="14" t="n">
        <v>25079.53</v>
      </c>
      <c r="G5853" s="6" t="s">
        <v>2613</v>
      </c>
    </row>
    <row r="5854" customFormat="false" ht="15" hidden="false" customHeight="true" outlineLevel="0" collapsed="false">
      <c r="A5854" s="6" t="s">
        <v>8466</v>
      </c>
      <c r="B5854" s="6" t="s">
        <v>1297</v>
      </c>
      <c r="C5854" s="6" t="s">
        <v>120</v>
      </c>
      <c r="D5854" s="13" t="n">
        <v>44893</v>
      </c>
      <c r="E5854" s="14" t="n">
        <v>2575.06</v>
      </c>
      <c r="F5854" s="14" t="n">
        <v>27654.59</v>
      </c>
      <c r="G5854" s="6" t="s">
        <v>2613</v>
      </c>
    </row>
    <row r="5855" customFormat="false" ht="15" hidden="false" customHeight="true" outlineLevel="0" collapsed="false">
      <c r="A5855" s="6" t="s">
        <v>8467</v>
      </c>
      <c r="B5855" s="6" t="s">
        <v>1297</v>
      </c>
      <c r="C5855" s="6" t="s">
        <v>120</v>
      </c>
      <c r="D5855" s="13" t="n">
        <v>44900</v>
      </c>
      <c r="E5855" s="14" t="n">
        <v>2350.48</v>
      </c>
      <c r="F5855" s="14" t="n">
        <v>30005.07</v>
      </c>
      <c r="G5855" s="6" t="s">
        <v>2613</v>
      </c>
    </row>
    <row r="5856" customFormat="false" ht="15" hidden="false" customHeight="true" outlineLevel="0" collapsed="false">
      <c r="A5856" s="6" t="s">
        <v>8468</v>
      </c>
      <c r="B5856" s="6" t="s">
        <v>1297</v>
      </c>
      <c r="C5856" s="6" t="s">
        <v>120</v>
      </c>
      <c r="D5856" s="13" t="n">
        <v>44907</v>
      </c>
      <c r="E5856" s="14" t="n">
        <v>3315.73</v>
      </c>
      <c r="F5856" s="14" t="n">
        <v>33320.8</v>
      </c>
      <c r="G5856" s="6" t="s">
        <v>2623</v>
      </c>
    </row>
    <row r="5857" customFormat="false" ht="15" hidden="false" customHeight="true" outlineLevel="0" collapsed="false">
      <c r="A5857" s="6" t="s">
        <v>8469</v>
      </c>
      <c r="B5857" s="6" t="s">
        <v>1299</v>
      </c>
      <c r="C5857" s="6" t="s">
        <v>124</v>
      </c>
      <c r="D5857" s="13" t="n">
        <v>45363</v>
      </c>
      <c r="E5857" s="14" t="n">
        <v>10485.52</v>
      </c>
      <c r="F5857" s="14" t="n">
        <v>10485.52</v>
      </c>
      <c r="G5857" s="6" t="s">
        <v>2613</v>
      </c>
    </row>
    <row r="5858" customFormat="false" ht="15" hidden="false" customHeight="true" outlineLevel="0" collapsed="false">
      <c r="A5858" s="6" t="s">
        <v>8470</v>
      </c>
      <c r="B5858" s="6" t="s">
        <v>1299</v>
      </c>
      <c r="C5858" s="6" t="s">
        <v>124</v>
      </c>
      <c r="D5858" s="13" t="n">
        <v>45370</v>
      </c>
      <c r="E5858" s="14" t="n">
        <v>9869.77</v>
      </c>
      <c r="F5858" s="14" t="n">
        <v>20355.29</v>
      </c>
      <c r="G5858" s="6" t="s">
        <v>2613</v>
      </c>
    </row>
    <row r="5859" customFormat="false" ht="15" hidden="false" customHeight="true" outlineLevel="0" collapsed="false">
      <c r="A5859" s="6" t="s">
        <v>8471</v>
      </c>
      <c r="B5859" s="6" t="s">
        <v>1299</v>
      </c>
      <c r="C5859" s="6" t="s">
        <v>124</v>
      </c>
      <c r="D5859" s="13" t="n">
        <v>45377</v>
      </c>
      <c r="E5859" s="14" t="n">
        <v>7671.17</v>
      </c>
      <c r="F5859" s="14" t="n">
        <v>28026.46</v>
      </c>
      <c r="G5859" s="6" t="s">
        <v>2613</v>
      </c>
    </row>
    <row r="5860" customFormat="false" ht="15" hidden="false" customHeight="true" outlineLevel="0" collapsed="false">
      <c r="A5860" s="6" t="s">
        <v>8472</v>
      </c>
      <c r="B5860" s="6" t="s">
        <v>1299</v>
      </c>
      <c r="C5860" s="6" t="s">
        <v>124</v>
      </c>
      <c r="D5860" s="13" t="n">
        <v>45384</v>
      </c>
      <c r="E5860" s="14" t="n">
        <v>6770.63</v>
      </c>
      <c r="F5860" s="14" t="n">
        <v>34797.09</v>
      </c>
      <c r="G5860" s="6" t="s">
        <v>2613</v>
      </c>
    </row>
    <row r="5861" customFormat="false" ht="15" hidden="false" customHeight="true" outlineLevel="0" collapsed="false">
      <c r="A5861" s="6" t="s">
        <v>8473</v>
      </c>
      <c r="B5861" s="6" t="s">
        <v>1299</v>
      </c>
      <c r="C5861" s="6" t="s">
        <v>124</v>
      </c>
      <c r="D5861" s="13" t="n">
        <v>45391</v>
      </c>
      <c r="E5861" s="14" t="n">
        <v>5650.91</v>
      </c>
      <c r="F5861" s="14" t="n">
        <v>40448</v>
      </c>
      <c r="G5861" s="6" t="s">
        <v>2613</v>
      </c>
    </row>
    <row r="5862" customFormat="false" ht="15" hidden="false" customHeight="true" outlineLevel="0" collapsed="false">
      <c r="A5862" s="6" t="s">
        <v>8474</v>
      </c>
      <c r="B5862" s="6" t="s">
        <v>1301</v>
      </c>
      <c r="C5862" s="6" t="s">
        <v>131</v>
      </c>
      <c r="D5862" s="13" t="n">
        <v>44799</v>
      </c>
      <c r="E5862" s="14" t="n">
        <v>835.81</v>
      </c>
      <c r="F5862" s="14" t="n">
        <v>835.81</v>
      </c>
      <c r="G5862" s="6" t="s">
        <v>2613</v>
      </c>
    </row>
    <row r="5863" customFormat="false" ht="15" hidden="false" customHeight="true" outlineLevel="0" collapsed="false">
      <c r="A5863" s="6" t="s">
        <v>8475</v>
      </c>
      <c r="B5863" s="6" t="s">
        <v>1301</v>
      </c>
      <c r="C5863" s="6" t="s">
        <v>131</v>
      </c>
      <c r="D5863" s="13" t="n">
        <v>44806</v>
      </c>
      <c r="E5863" s="14" t="n">
        <v>1009.06</v>
      </c>
      <c r="F5863" s="14" t="n">
        <v>1844.87</v>
      </c>
      <c r="G5863" s="6" t="s">
        <v>2613</v>
      </c>
    </row>
    <row r="5864" customFormat="false" ht="15" hidden="false" customHeight="true" outlineLevel="0" collapsed="false">
      <c r="A5864" s="6" t="s">
        <v>8476</v>
      </c>
      <c r="B5864" s="6" t="s">
        <v>1301</v>
      </c>
      <c r="C5864" s="6" t="s">
        <v>131</v>
      </c>
      <c r="D5864" s="13" t="n">
        <v>44813</v>
      </c>
      <c r="E5864" s="14" t="n">
        <v>571.25</v>
      </c>
      <c r="F5864" s="14" t="n">
        <v>2416.12</v>
      </c>
      <c r="G5864" s="6" t="s">
        <v>2613</v>
      </c>
    </row>
    <row r="5865" customFormat="false" ht="15" hidden="false" customHeight="true" outlineLevel="0" collapsed="false">
      <c r="A5865" s="6" t="s">
        <v>8477</v>
      </c>
      <c r="B5865" s="6" t="s">
        <v>1301</v>
      </c>
      <c r="C5865" s="6" t="s">
        <v>131</v>
      </c>
      <c r="D5865" s="13" t="n">
        <v>44820</v>
      </c>
      <c r="E5865" s="14" t="n">
        <v>904.68</v>
      </c>
      <c r="F5865" s="14" t="n">
        <v>3320.8</v>
      </c>
      <c r="G5865" s="6" t="s">
        <v>2613</v>
      </c>
    </row>
    <row r="5866" customFormat="false" ht="15" hidden="false" customHeight="true" outlineLevel="0" collapsed="false">
      <c r="A5866" s="6" t="s">
        <v>8478</v>
      </c>
      <c r="B5866" s="6" t="s">
        <v>1301</v>
      </c>
      <c r="C5866" s="6" t="s">
        <v>131</v>
      </c>
      <c r="D5866" s="13" t="n">
        <v>44827</v>
      </c>
      <c r="E5866" s="14" t="n">
        <v>1001.02</v>
      </c>
      <c r="F5866" s="14" t="n">
        <v>4321.82</v>
      </c>
      <c r="G5866" s="6" t="s">
        <v>2613</v>
      </c>
    </row>
    <row r="5867" customFormat="false" ht="15" hidden="false" customHeight="true" outlineLevel="0" collapsed="false">
      <c r="A5867" s="6" t="s">
        <v>8479</v>
      </c>
      <c r="B5867" s="6" t="s">
        <v>1301</v>
      </c>
      <c r="C5867" s="6" t="s">
        <v>131</v>
      </c>
      <c r="D5867" s="13" t="n">
        <v>44834</v>
      </c>
      <c r="E5867" s="14" t="n">
        <v>648.97</v>
      </c>
      <c r="F5867" s="14" t="n">
        <v>4970.79</v>
      </c>
      <c r="G5867" s="6" t="s">
        <v>2613</v>
      </c>
    </row>
    <row r="5868" customFormat="false" ht="15" hidden="false" customHeight="true" outlineLevel="0" collapsed="false">
      <c r="A5868" s="6" t="s">
        <v>8480</v>
      </c>
      <c r="B5868" s="6" t="s">
        <v>1303</v>
      </c>
      <c r="C5868" s="6" t="s">
        <v>128</v>
      </c>
      <c r="D5868" s="13" t="n">
        <v>45433</v>
      </c>
      <c r="E5868" s="14" t="n">
        <v>4268.05</v>
      </c>
      <c r="F5868" s="14" t="n">
        <v>4268.05</v>
      </c>
      <c r="G5868" s="6" t="s">
        <v>2613</v>
      </c>
    </row>
    <row r="5869" customFormat="false" ht="15" hidden="false" customHeight="true" outlineLevel="0" collapsed="false">
      <c r="A5869" s="6" t="s">
        <v>8481</v>
      </c>
      <c r="B5869" s="6" t="s">
        <v>1303</v>
      </c>
      <c r="C5869" s="6" t="s">
        <v>128</v>
      </c>
      <c r="D5869" s="13" t="n">
        <v>45440</v>
      </c>
      <c r="E5869" s="14" t="n">
        <v>2319.08</v>
      </c>
      <c r="F5869" s="14" t="n">
        <v>6587.13</v>
      </c>
      <c r="G5869" s="6" t="s">
        <v>2613</v>
      </c>
    </row>
    <row r="5870" customFormat="false" ht="15" hidden="false" customHeight="true" outlineLevel="0" collapsed="false">
      <c r="A5870" s="6" t="s">
        <v>8482</v>
      </c>
      <c r="B5870" s="6" t="s">
        <v>1303</v>
      </c>
      <c r="C5870" s="6" t="s">
        <v>128</v>
      </c>
      <c r="D5870" s="13" t="n">
        <v>45447</v>
      </c>
      <c r="E5870" s="14" t="n">
        <v>2702.52</v>
      </c>
      <c r="F5870" s="14" t="n">
        <v>9289.65</v>
      </c>
      <c r="G5870" s="6" t="s">
        <v>2613</v>
      </c>
    </row>
    <row r="5871" customFormat="false" ht="15" hidden="false" customHeight="true" outlineLevel="0" collapsed="false">
      <c r="A5871" s="6" t="s">
        <v>8483</v>
      </c>
      <c r="B5871" s="6" t="s">
        <v>1303</v>
      </c>
      <c r="C5871" s="6" t="s">
        <v>128</v>
      </c>
      <c r="D5871" s="13" t="n">
        <v>45454</v>
      </c>
      <c r="E5871" s="14" t="n">
        <v>3102.03</v>
      </c>
      <c r="F5871" s="14" t="n">
        <v>12391.68</v>
      </c>
      <c r="G5871" s="6" t="s">
        <v>2613</v>
      </c>
    </row>
    <row r="5872" customFormat="false" ht="15" hidden="false" customHeight="true" outlineLevel="0" collapsed="false">
      <c r="A5872" s="6" t="s">
        <v>8484</v>
      </c>
      <c r="B5872" s="6" t="s">
        <v>1303</v>
      </c>
      <c r="C5872" s="6" t="s">
        <v>128</v>
      </c>
      <c r="D5872" s="13" t="n">
        <v>45461</v>
      </c>
      <c r="E5872" s="14" t="n">
        <v>2679.23</v>
      </c>
      <c r="F5872" s="14" t="n">
        <v>15070.91</v>
      </c>
      <c r="G5872" s="6" t="s">
        <v>2623</v>
      </c>
    </row>
    <row r="5873" customFormat="false" ht="15" hidden="false" customHeight="true" outlineLevel="0" collapsed="false">
      <c r="A5873" s="6" t="s">
        <v>8485</v>
      </c>
      <c r="B5873" s="6" t="s">
        <v>1303</v>
      </c>
      <c r="C5873" s="6" t="s">
        <v>128</v>
      </c>
      <c r="D5873" s="13" t="n">
        <v>45468</v>
      </c>
      <c r="E5873" s="14" t="n">
        <v>3059.51</v>
      </c>
      <c r="F5873" s="14" t="n">
        <v>18130.42</v>
      </c>
      <c r="G5873" s="6" t="s">
        <v>2623</v>
      </c>
    </row>
    <row r="5874" customFormat="false" ht="15" hidden="false" customHeight="true" outlineLevel="0" collapsed="false">
      <c r="A5874" s="6" t="s">
        <v>8486</v>
      </c>
      <c r="B5874" s="6" t="s">
        <v>1303</v>
      </c>
      <c r="C5874" s="6" t="s">
        <v>128</v>
      </c>
      <c r="D5874" s="13" t="n">
        <v>45475</v>
      </c>
      <c r="E5874" s="14" t="n">
        <v>6847.71</v>
      </c>
      <c r="F5874" s="14" t="n">
        <v>24978.13</v>
      </c>
      <c r="G5874" s="6" t="s">
        <v>2613</v>
      </c>
    </row>
    <row r="5875" customFormat="false" ht="15" hidden="false" customHeight="true" outlineLevel="0" collapsed="false">
      <c r="A5875" s="6" t="s">
        <v>8487</v>
      </c>
      <c r="B5875" s="6" t="s">
        <v>1305</v>
      </c>
      <c r="C5875" s="6" t="s">
        <v>120</v>
      </c>
      <c r="D5875" s="13" t="n">
        <v>44919</v>
      </c>
      <c r="E5875" s="14" t="n">
        <v>10233.37</v>
      </c>
      <c r="F5875" s="14" t="n">
        <v>10233.37</v>
      </c>
      <c r="G5875" s="6" t="s">
        <v>2623</v>
      </c>
    </row>
    <row r="5876" customFormat="false" ht="15" hidden="false" customHeight="true" outlineLevel="0" collapsed="false">
      <c r="A5876" s="6" t="s">
        <v>8488</v>
      </c>
      <c r="B5876" s="6" t="s">
        <v>1305</v>
      </c>
      <c r="C5876" s="6" t="s">
        <v>120</v>
      </c>
      <c r="D5876" s="13" t="n">
        <v>44926</v>
      </c>
      <c r="E5876" s="14" t="n">
        <v>8629.68</v>
      </c>
      <c r="F5876" s="14" t="n">
        <v>18863.05</v>
      </c>
      <c r="G5876" s="6" t="s">
        <v>2613</v>
      </c>
    </row>
    <row r="5877" customFormat="false" ht="15" hidden="false" customHeight="true" outlineLevel="0" collapsed="false">
      <c r="A5877" s="6" t="s">
        <v>8489</v>
      </c>
      <c r="B5877" s="6" t="s">
        <v>1305</v>
      </c>
      <c r="C5877" s="6" t="s">
        <v>120</v>
      </c>
      <c r="D5877" s="13" t="n">
        <v>44933</v>
      </c>
      <c r="E5877" s="14" t="n">
        <v>6870.13</v>
      </c>
      <c r="F5877" s="14" t="n">
        <v>25733.18</v>
      </c>
      <c r="G5877" s="6" t="s">
        <v>2613</v>
      </c>
    </row>
    <row r="5878" customFormat="false" ht="15" hidden="false" customHeight="true" outlineLevel="0" collapsed="false">
      <c r="A5878" s="6" t="s">
        <v>8490</v>
      </c>
      <c r="B5878" s="6" t="s">
        <v>1305</v>
      </c>
      <c r="C5878" s="6" t="s">
        <v>120</v>
      </c>
      <c r="D5878" s="13" t="n">
        <v>44940</v>
      </c>
      <c r="E5878" s="14" t="n">
        <v>8915.61</v>
      </c>
      <c r="F5878" s="14" t="n">
        <v>34648.79</v>
      </c>
      <c r="G5878" s="6" t="s">
        <v>2613</v>
      </c>
    </row>
    <row r="5879" customFormat="false" ht="15" hidden="false" customHeight="true" outlineLevel="0" collapsed="false">
      <c r="A5879" s="6" t="s">
        <v>8491</v>
      </c>
      <c r="B5879" s="6" t="s">
        <v>1305</v>
      </c>
      <c r="C5879" s="6" t="s">
        <v>120</v>
      </c>
      <c r="D5879" s="13" t="n">
        <v>44947</v>
      </c>
      <c r="E5879" s="14" t="n">
        <v>7344.6</v>
      </c>
      <c r="F5879" s="14" t="n">
        <v>41993.39</v>
      </c>
      <c r="G5879" s="6" t="s">
        <v>2613</v>
      </c>
    </row>
    <row r="5880" customFormat="false" ht="15" hidden="false" customHeight="true" outlineLevel="0" collapsed="false">
      <c r="A5880" s="6" t="s">
        <v>8492</v>
      </c>
      <c r="B5880" s="6" t="s">
        <v>1305</v>
      </c>
      <c r="C5880" s="6" t="s">
        <v>120</v>
      </c>
      <c r="D5880" s="13" t="n">
        <v>44954</v>
      </c>
      <c r="E5880" s="14" t="n">
        <v>14379.9</v>
      </c>
      <c r="F5880" s="14" t="n">
        <v>56373.29</v>
      </c>
      <c r="G5880" s="6" t="s">
        <v>2613</v>
      </c>
    </row>
    <row r="5881" customFormat="false" ht="15" hidden="false" customHeight="true" outlineLevel="0" collapsed="false">
      <c r="A5881" s="6" t="s">
        <v>8493</v>
      </c>
      <c r="B5881" s="6" t="s">
        <v>1307</v>
      </c>
      <c r="C5881" s="6" t="s">
        <v>116</v>
      </c>
      <c r="D5881" s="13" t="n">
        <v>45257</v>
      </c>
      <c r="E5881" s="14" t="n">
        <v>4908.8</v>
      </c>
      <c r="F5881" s="14" t="n">
        <v>4908.8</v>
      </c>
      <c r="G5881" s="6" t="s">
        <v>2613</v>
      </c>
    </row>
    <row r="5882" customFormat="false" ht="15" hidden="false" customHeight="true" outlineLevel="0" collapsed="false">
      <c r="A5882" s="6" t="s">
        <v>8494</v>
      </c>
      <c r="B5882" s="6" t="s">
        <v>1307</v>
      </c>
      <c r="C5882" s="6" t="s">
        <v>116</v>
      </c>
      <c r="D5882" s="13" t="n">
        <v>45264</v>
      </c>
      <c r="E5882" s="14" t="n">
        <v>4297.35</v>
      </c>
      <c r="F5882" s="14" t="n">
        <v>9206.15</v>
      </c>
      <c r="G5882" s="6" t="s">
        <v>2613</v>
      </c>
    </row>
    <row r="5883" customFormat="false" ht="15" hidden="false" customHeight="true" outlineLevel="0" collapsed="false">
      <c r="A5883" s="6" t="s">
        <v>8495</v>
      </c>
      <c r="B5883" s="6" t="s">
        <v>1307</v>
      </c>
      <c r="C5883" s="6" t="s">
        <v>116</v>
      </c>
      <c r="D5883" s="13" t="n">
        <v>45271</v>
      </c>
      <c r="E5883" s="14" t="n">
        <v>2655.78</v>
      </c>
      <c r="F5883" s="14" t="n">
        <v>11861.93</v>
      </c>
      <c r="G5883" s="6" t="s">
        <v>2613</v>
      </c>
    </row>
    <row r="5884" customFormat="false" ht="15" hidden="false" customHeight="true" outlineLevel="0" collapsed="false">
      <c r="A5884" s="6" t="s">
        <v>8496</v>
      </c>
      <c r="B5884" s="6" t="s">
        <v>1307</v>
      </c>
      <c r="C5884" s="6" t="s">
        <v>116</v>
      </c>
      <c r="D5884" s="13" t="n">
        <v>45278</v>
      </c>
      <c r="E5884" s="14" t="n">
        <v>2858.61</v>
      </c>
      <c r="F5884" s="14" t="n">
        <v>14720.54</v>
      </c>
      <c r="G5884" s="6" t="s">
        <v>2613</v>
      </c>
    </row>
    <row r="5885" customFormat="false" ht="15" hidden="false" customHeight="true" outlineLevel="0" collapsed="false">
      <c r="A5885" s="6" t="s">
        <v>8497</v>
      </c>
      <c r="B5885" s="6" t="s">
        <v>1307</v>
      </c>
      <c r="C5885" s="6" t="s">
        <v>116</v>
      </c>
      <c r="D5885" s="13" t="n">
        <v>45285</v>
      </c>
      <c r="E5885" s="14" t="n">
        <v>4913.55</v>
      </c>
      <c r="F5885" s="14" t="n">
        <v>19634.09</v>
      </c>
      <c r="G5885" s="6" t="s">
        <v>2613</v>
      </c>
    </row>
    <row r="5886" customFormat="false" ht="15" hidden="false" customHeight="true" outlineLevel="0" collapsed="false">
      <c r="A5886" s="6" t="s">
        <v>8498</v>
      </c>
      <c r="B5886" s="6" t="s">
        <v>1307</v>
      </c>
      <c r="C5886" s="6" t="s">
        <v>116</v>
      </c>
      <c r="D5886" s="13" t="n">
        <v>45292</v>
      </c>
      <c r="E5886" s="14" t="n">
        <v>4936.51</v>
      </c>
      <c r="F5886" s="14" t="n">
        <v>24570.6</v>
      </c>
      <c r="G5886" s="6" t="s">
        <v>2613</v>
      </c>
    </row>
    <row r="5887" customFormat="false" ht="15" hidden="false" customHeight="true" outlineLevel="0" collapsed="false">
      <c r="A5887" s="6" t="s">
        <v>8499</v>
      </c>
      <c r="B5887" s="6" t="s">
        <v>1307</v>
      </c>
      <c r="C5887" s="6" t="s">
        <v>116</v>
      </c>
      <c r="D5887" s="13" t="n">
        <v>45299</v>
      </c>
      <c r="E5887" s="14" t="n">
        <v>4050.35</v>
      </c>
      <c r="F5887" s="14" t="n">
        <v>28620.95</v>
      </c>
      <c r="G5887" s="6" t="s">
        <v>2613</v>
      </c>
    </row>
    <row r="5888" customFormat="false" ht="15" hidden="false" customHeight="true" outlineLevel="0" collapsed="false">
      <c r="A5888" s="6" t="s">
        <v>8500</v>
      </c>
      <c r="B5888" s="6" t="s">
        <v>1307</v>
      </c>
      <c r="C5888" s="6" t="s">
        <v>116</v>
      </c>
      <c r="D5888" s="13" t="n">
        <v>45306</v>
      </c>
      <c r="E5888" s="14" t="n">
        <v>2724.8</v>
      </c>
      <c r="F5888" s="14" t="n">
        <v>31345.75</v>
      </c>
      <c r="G5888" s="6" t="s">
        <v>2613</v>
      </c>
    </row>
    <row r="5889" customFormat="false" ht="15" hidden="false" customHeight="true" outlineLevel="0" collapsed="false">
      <c r="A5889" s="6" t="s">
        <v>8501</v>
      </c>
      <c r="B5889" s="6" t="s">
        <v>1307</v>
      </c>
      <c r="C5889" s="6" t="s">
        <v>116</v>
      </c>
      <c r="D5889" s="13" t="n">
        <v>45313</v>
      </c>
      <c r="E5889" s="14" t="n">
        <v>3892.64</v>
      </c>
      <c r="F5889" s="14" t="n">
        <v>35238.39</v>
      </c>
      <c r="G5889" s="6" t="s">
        <v>2623</v>
      </c>
    </row>
    <row r="5890" customFormat="false" ht="15" hidden="false" customHeight="true" outlineLevel="0" collapsed="false">
      <c r="A5890" s="6" t="s">
        <v>8502</v>
      </c>
      <c r="B5890" s="6" t="s">
        <v>1307</v>
      </c>
      <c r="C5890" s="6" t="s">
        <v>116</v>
      </c>
      <c r="D5890" s="13" t="n">
        <v>45320</v>
      </c>
      <c r="E5890" s="14" t="n">
        <v>3697.24</v>
      </c>
      <c r="F5890" s="14" t="n">
        <v>38935.63</v>
      </c>
      <c r="G5890" s="6" t="s">
        <v>2613</v>
      </c>
    </row>
    <row r="5891" customFormat="false" ht="15" hidden="false" customHeight="true" outlineLevel="0" collapsed="false">
      <c r="A5891" s="6" t="s">
        <v>8503</v>
      </c>
      <c r="B5891" s="6" t="s">
        <v>1307</v>
      </c>
      <c r="C5891" s="6" t="s">
        <v>116</v>
      </c>
      <c r="D5891" s="13" t="n">
        <v>45327</v>
      </c>
      <c r="E5891" s="14" t="n">
        <v>4929.83</v>
      </c>
      <c r="F5891" s="14" t="n">
        <v>43865.46</v>
      </c>
      <c r="G5891" s="6" t="s">
        <v>2613</v>
      </c>
    </row>
    <row r="5892" customFormat="false" ht="15" hidden="false" customHeight="true" outlineLevel="0" collapsed="false">
      <c r="A5892" s="6" t="s">
        <v>8504</v>
      </c>
      <c r="B5892" s="6" t="s">
        <v>1307</v>
      </c>
      <c r="C5892" s="6" t="s">
        <v>116</v>
      </c>
      <c r="D5892" s="13" t="n">
        <v>45334</v>
      </c>
      <c r="E5892" s="14" t="n">
        <v>2683.86</v>
      </c>
      <c r="F5892" s="14" t="n">
        <v>46549.32</v>
      </c>
      <c r="G5892" s="6" t="s">
        <v>2613</v>
      </c>
    </row>
    <row r="5893" customFormat="false" ht="15" hidden="false" customHeight="true" outlineLevel="0" collapsed="false">
      <c r="A5893" s="6" t="s">
        <v>8505</v>
      </c>
      <c r="B5893" s="6" t="s">
        <v>1307</v>
      </c>
      <c r="C5893" s="6" t="s">
        <v>116</v>
      </c>
      <c r="D5893" s="13" t="n">
        <v>45341</v>
      </c>
      <c r="E5893" s="14" t="n">
        <v>4.02</v>
      </c>
      <c r="F5893" s="14" t="n">
        <v>46553.34</v>
      </c>
      <c r="G5893" s="6" t="s">
        <v>2613</v>
      </c>
    </row>
    <row r="5894" customFormat="false" ht="15" hidden="false" customHeight="true" outlineLevel="0" collapsed="false">
      <c r="A5894" s="6" t="s">
        <v>8506</v>
      </c>
      <c r="B5894" s="6" t="s">
        <v>1309</v>
      </c>
      <c r="C5894" s="6" t="s">
        <v>112</v>
      </c>
      <c r="D5894" s="13" t="n">
        <v>44657</v>
      </c>
      <c r="E5894" s="14" t="n">
        <v>2931.78</v>
      </c>
      <c r="F5894" s="14" t="n">
        <v>2931.78</v>
      </c>
      <c r="G5894" s="6" t="s">
        <v>2613</v>
      </c>
    </row>
    <row r="5895" customFormat="false" ht="15" hidden="false" customHeight="true" outlineLevel="0" collapsed="false">
      <c r="A5895" s="6" t="s">
        <v>8507</v>
      </c>
      <c r="B5895" s="6" t="s">
        <v>1309</v>
      </c>
      <c r="C5895" s="6" t="s">
        <v>112</v>
      </c>
      <c r="D5895" s="13" t="n">
        <v>44664</v>
      </c>
      <c r="E5895" s="14" t="n">
        <v>1979.26</v>
      </c>
      <c r="F5895" s="14" t="n">
        <v>4911.04</v>
      </c>
      <c r="G5895" s="6" t="s">
        <v>2613</v>
      </c>
    </row>
    <row r="5896" customFormat="false" ht="15" hidden="false" customHeight="true" outlineLevel="0" collapsed="false">
      <c r="A5896" s="6" t="s">
        <v>8508</v>
      </c>
      <c r="B5896" s="6" t="s">
        <v>1309</v>
      </c>
      <c r="C5896" s="6" t="s">
        <v>112</v>
      </c>
      <c r="D5896" s="13" t="n">
        <v>44671</v>
      </c>
      <c r="E5896" s="14" t="n">
        <v>3371.44</v>
      </c>
      <c r="F5896" s="14" t="n">
        <v>8282.48</v>
      </c>
      <c r="G5896" s="6" t="s">
        <v>2613</v>
      </c>
    </row>
    <row r="5897" customFormat="false" ht="15" hidden="false" customHeight="true" outlineLevel="0" collapsed="false">
      <c r="A5897" s="6" t="s">
        <v>8509</v>
      </c>
      <c r="B5897" s="6" t="s">
        <v>1309</v>
      </c>
      <c r="C5897" s="6" t="s">
        <v>112</v>
      </c>
      <c r="D5897" s="13" t="n">
        <v>44678</v>
      </c>
      <c r="E5897" s="14" t="n">
        <v>3674.93</v>
      </c>
      <c r="F5897" s="14" t="n">
        <v>11957.41</v>
      </c>
      <c r="G5897" s="6" t="s">
        <v>2613</v>
      </c>
    </row>
    <row r="5898" customFormat="false" ht="15" hidden="false" customHeight="true" outlineLevel="0" collapsed="false">
      <c r="A5898" s="6" t="s">
        <v>8510</v>
      </c>
      <c r="B5898" s="6" t="s">
        <v>1309</v>
      </c>
      <c r="C5898" s="6" t="s">
        <v>112</v>
      </c>
      <c r="D5898" s="13" t="n">
        <v>44685</v>
      </c>
      <c r="E5898" s="14" t="n">
        <v>3978.87</v>
      </c>
      <c r="F5898" s="14" t="n">
        <v>15936.28</v>
      </c>
      <c r="G5898" s="6" t="s">
        <v>2613</v>
      </c>
    </row>
    <row r="5899" customFormat="false" ht="15" hidden="false" customHeight="true" outlineLevel="0" collapsed="false">
      <c r="A5899" s="6" t="s">
        <v>8511</v>
      </c>
      <c r="B5899" s="6" t="s">
        <v>1309</v>
      </c>
      <c r="C5899" s="6" t="s">
        <v>112</v>
      </c>
      <c r="D5899" s="13" t="n">
        <v>44692</v>
      </c>
      <c r="E5899" s="14" t="n">
        <v>3185.26</v>
      </c>
      <c r="F5899" s="14" t="n">
        <v>19121.54</v>
      </c>
      <c r="G5899" s="6" t="s">
        <v>2613</v>
      </c>
    </row>
    <row r="5900" customFormat="false" ht="15" hidden="false" customHeight="true" outlineLevel="0" collapsed="false">
      <c r="A5900" s="6" t="s">
        <v>8512</v>
      </c>
      <c r="B5900" s="6" t="s">
        <v>1309</v>
      </c>
      <c r="C5900" s="6" t="s">
        <v>112</v>
      </c>
      <c r="D5900" s="13" t="n">
        <v>44699</v>
      </c>
      <c r="E5900" s="14" t="n">
        <v>3035.2</v>
      </c>
      <c r="F5900" s="14" t="n">
        <v>22156.74</v>
      </c>
      <c r="G5900" s="6" t="s">
        <v>2613</v>
      </c>
    </row>
    <row r="5901" customFormat="false" ht="15" hidden="false" customHeight="true" outlineLevel="0" collapsed="false">
      <c r="A5901" s="6" t="s">
        <v>8513</v>
      </c>
      <c r="B5901" s="6" t="s">
        <v>1309</v>
      </c>
      <c r="C5901" s="6" t="s">
        <v>112</v>
      </c>
      <c r="D5901" s="13" t="n">
        <v>44706</v>
      </c>
      <c r="E5901" s="14" t="n">
        <v>3279.69</v>
      </c>
      <c r="F5901" s="14" t="n">
        <v>25436.43</v>
      </c>
      <c r="G5901" s="6" t="s">
        <v>2613</v>
      </c>
    </row>
    <row r="5902" customFormat="false" ht="15" hidden="false" customHeight="true" outlineLevel="0" collapsed="false">
      <c r="A5902" s="6" t="s">
        <v>8514</v>
      </c>
      <c r="B5902" s="6" t="s">
        <v>1309</v>
      </c>
      <c r="C5902" s="6" t="s">
        <v>112</v>
      </c>
      <c r="D5902" s="13" t="n">
        <v>44713</v>
      </c>
      <c r="E5902" s="14" t="n">
        <v>4501.28</v>
      </c>
      <c r="F5902" s="14" t="n">
        <v>29937.71</v>
      </c>
      <c r="G5902" s="6" t="s">
        <v>2613</v>
      </c>
    </row>
    <row r="5903" customFormat="false" ht="15" hidden="false" customHeight="true" outlineLevel="0" collapsed="false">
      <c r="A5903" s="6" t="s">
        <v>8515</v>
      </c>
      <c r="B5903" s="6" t="s">
        <v>1309</v>
      </c>
      <c r="C5903" s="6" t="s">
        <v>112</v>
      </c>
      <c r="D5903" s="13" t="n">
        <v>44720</v>
      </c>
      <c r="E5903" s="14" t="n">
        <v>4195.84</v>
      </c>
      <c r="F5903" s="14" t="n">
        <v>34133.55</v>
      </c>
      <c r="G5903" s="6" t="s">
        <v>2613</v>
      </c>
    </row>
    <row r="5904" customFormat="false" ht="15" hidden="false" customHeight="true" outlineLevel="0" collapsed="false">
      <c r="A5904" s="6" t="s">
        <v>8516</v>
      </c>
      <c r="B5904" s="6" t="s">
        <v>1309</v>
      </c>
      <c r="C5904" s="6" t="s">
        <v>112</v>
      </c>
      <c r="D5904" s="13" t="n">
        <v>44727</v>
      </c>
      <c r="E5904" s="14" t="n">
        <v>3378.74</v>
      </c>
      <c r="F5904" s="14" t="n">
        <v>37512.29</v>
      </c>
      <c r="G5904" s="6" t="s">
        <v>2613</v>
      </c>
    </row>
    <row r="5905" customFormat="false" ht="15" hidden="false" customHeight="true" outlineLevel="0" collapsed="false">
      <c r="A5905" s="6" t="s">
        <v>8517</v>
      </c>
      <c r="B5905" s="6" t="s">
        <v>1309</v>
      </c>
      <c r="C5905" s="6" t="s">
        <v>112</v>
      </c>
      <c r="D5905" s="13" t="n">
        <v>44734</v>
      </c>
      <c r="E5905" s="14" t="n">
        <v>3692.07</v>
      </c>
      <c r="F5905" s="14" t="n">
        <v>41204.36</v>
      </c>
      <c r="G5905" s="6" t="s">
        <v>2613</v>
      </c>
    </row>
    <row r="5906" customFormat="false" ht="15" hidden="false" customHeight="true" outlineLevel="0" collapsed="false">
      <c r="A5906" s="6" t="s">
        <v>8518</v>
      </c>
      <c r="B5906" s="6" t="s">
        <v>1309</v>
      </c>
      <c r="C5906" s="6" t="s">
        <v>112</v>
      </c>
      <c r="D5906" s="13" t="n">
        <v>44741</v>
      </c>
      <c r="E5906" s="14" t="n">
        <v>3730.85</v>
      </c>
      <c r="F5906" s="14" t="n">
        <v>44935.21</v>
      </c>
      <c r="G5906" s="6" t="s">
        <v>2613</v>
      </c>
    </row>
    <row r="5907" customFormat="false" ht="15" hidden="false" customHeight="true" outlineLevel="0" collapsed="false">
      <c r="A5907" s="6" t="s">
        <v>8519</v>
      </c>
      <c r="B5907" s="6" t="s">
        <v>1309</v>
      </c>
      <c r="C5907" s="6" t="s">
        <v>112</v>
      </c>
      <c r="D5907" s="13" t="n">
        <v>44748</v>
      </c>
      <c r="E5907" s="14" t="n">
        <v>4113.87</v>
      </c>
      <c r="F5907" s="14" t="n">
        <v>49049.08</v>
      </c>
      <c r="G5907" s="6" t="s">
        <v>2613</v>
      </c>
    </row>
    <row r="5908" customFormat="false" ht="15" hidden="false" customHeight="true" outlineLevel="0" collapsed="false">
      <c r="A5908" s="6" t="s">
        <v>8520</v>
      </c>
      <c r="B5908" s="6" t="s">
        <v>1309</v>
      </c>
      <c r="C5908" s="6" t="s">
        <v>112</v>
      </c>
      <c r="D5908" s="13" t="n">
        <v>44755</v>
      </c>
      <c r="E5908" s="14" t="n">
        <v>2985.58</v>
      </c>
      <c r="F5908" s="14" t="n">
        <v>52034.66</v>
      </c>
      <c r="G5908" s="6" t="s">
        <v>2613</v>
      </c>
    </row>
    <row r="5909" customFormat="false" ht="15" hidden="false" customHeight="true" outlineLevel="0" collapsed="false">
      <c r="A5909" s="6" t="s">
        <v>8521</v>
      </c>
      <c r="B5909" s="6" t="s">
        <v>1309</v>
      </c>
      <c r="C5909" s="6" t="s">
        <v>112</v>
      </c>
      <c r="D5909" s="13" t="n">
        <v>44762</v>
      </c>
      <c r="E5909" s="14" t="n">
        <v>4457.84</v>
      </c>
      <c r="F5909" s="14" t="n">
        <v>56492.5</v>
      </c>
      <c r="G5909" s="6" t="s">
        <v>2613</v>
      </c>
    </row>
    <row r="5910" customFormat="false" ht="15" hidden="false" customHeight="true" outlineLevel="0" collapsed="false">
      <c r="A5910" s="6" t="s">
        <v>8522</v>
      </c>
      <c r="B5910" s="6" t="s">
        <v>1309</v>
      </c>
      <c r="C5910" s="6" t="s">
        <v>112</v>
      </c>
      <c r="D5910" s="13" t="n">
        <v>44769</v>
      </c>
      <c r="E5910" s="14" t="n">
        <v>2392.62</v>
      </c>
      <c r="F5910" s="14" t="n">
        <v>58885.12</v>
      </c>
      <c r="G5910" s="6" t="s">
        <v>2613</v>
      </c>
    </row>
    <row r="5911" customFormat="false" ht="15" hidden="false" customHeight="true" outlineLevel="0" collapsed="false">
      <c r="A5911" s="6" t="s">
        <v>8523</v>
      </c>
      <c r="B5911" s="6" t="s">
        <v>1311</v>
      </c>
      <c r="C5911" s="6" t="s">
        <v>120</v>
      </c>
      <c r="D5911" s="13" t="n">
        <v>45872</v>
      </c>
      <c r="E5911" s="14" t="n">
        <v>1476.26</v>
      </c>
      <c r="F5911" s="14" t="n">
        <v>1476.26</v>
      </c>
      <c r="G5911" s="6" t="s">
        <v>2613</v>
      </c>
    </row>
    <row r="5912" customFormat="false" ht="15" hidden="false" customHeight="true" outlineLevel="0" collapsed="false">
      <c r="A5912" s="6" t="s">
        <v>8524</v>
      </c>
      <c r="B5912" s="6" t="s">
        <v>1311</v>
      </c>
      <c r="C5912" s="6" t="s">
        <v>120</v>
      </c>
      <c r="D5912" s="13" t="n">
        <v>45879</v>
      </c>
      <c r="E5912" s="14" t="n">
        <v>2270.55</v>
      </c>
      <c r="F5912" s="14" t="n">
        <v>3746.81</v>
      </c>
      <c r="G5912" s="6" t="s">
        <v>2623</v>
      </c>
    </row>
    <row r="5913" customFormat="false" ht="15" hidden="false" customHeight="true" outlineLevel="0" collapsed="false">
      <c r="A5913" s="6" t="s">
        <v>8525</v>
      </c>
      <c r="B5913" s="6" t="s">
        <v>1311</v>
      </c>
      <c r="C5913" s="6" t="s">
        <v>120</v>
      </c>
      <c r="D5913" s="13" t="n">
        <v>45886</v>
      </c>
      <c r="E5913" s="14" t="n">
        <v>1434.36</v>
      </c>
      <c r="F5913" s="14" t="n">
        <v>5181.17</v>
      </c>
      <c r="G5913" s="6" t="s">
        <v>2613</v>
      </c>
    </row>
    <row r="5914" customFormat="false" ht="15" hidden="false" customHeight="true" outlineLevel="0" collapsed="false">
      <c r="A5914" s="6" t="s">
        <v>8526</v>
      </c>
      <c r="B5914" s="6" t="s">
        <v>1311</v>
      </c>
      <c r="C5914" s="6" t="s">
        <v>120</v>
      </c>
      <c r="D5914" s="13" t="n">
        <v>45893</v>
      </c>
      <c r="E5914" s="14" t="n">
        <v>2134.15</v>
      </c>
      <c r="F5914" s="14" t="n">
        <v>7315.32</v>
      </c>
      <c r="G5914" s="6" t="s">
        <v>2613</v>
      </c>
    </row>
    <row r="5915" customFormat="false" ht="15" hidden="false" customHeight="true" outlineLevel="0" collapsed="false">
      <c r="A5915" s="6" t="s">
        <v>8527</v>
      </c>
      <c r="B5915" s="6" t="s">
        <v>1311</v>
      </c>
      <c r="C5915" s="6" t="s">
        <v>120</v>
      </c>
      <c r="D5915" s="13" t="n">
        <v>45900</v>
      </c>
      <c r="E5915" s="14" t="n">
        <v>1888.21</v>
      </c>
      <c r="F5915" s="14" t="n">
        <v>9203.53</v>
      </c>
      <c r="G5915" s="6" t="s">
        <v>2613</v>
      </c>
    </row>
    <row r="5916" customFormat="false" ht="15" hidden="false" customHeight="true" outlineLevel="0" collapsed="false">
      <c r="A5916" s="6" t="s">
        <v>8528</v>
      </c>
      <c r="B5916" s="6" t="s">
        <v>1311</v>
      </c>
      <c r="C5916" s="6" t="s">
        <v>120</v>
      </c>
      <c r="D5916" s="13" t="n">
        <v>45907</v>
      </c>
      <c r="E5916" s="14" t="n">
        <v>1145.28</v>
      </c>
      <c r="F5916" s="14" t="n">
        <v>10348.81</v>
      </c>
      <c r="G5916" s="6" t="s">
        <v>2613</v>
      </c>
    </row>
    <row r="5917" customFormat="false" ht="15" hidden="false" customHeight="true" outlineLevel="0" collapsed="false">
      <c r="A5917" s="6" t="s">
        <v>8529</v>
      </c>
      <c r="B5917" s="6" t="s">
        <v>1311</v>
      </c>
      <c r="C5917" s="6" t="s">
        <v>120</v>
      </c>
      <c r="D5917" s="13" t="n">
        <v>45914</v>
      </c>
      <c r="E5917" s="14" t="n">
        <v>1928.32</v>
      </c>
      <c r="F5917" s="14" t="n">
        <v>12277.13</v>
      </c>
      <c r="G5917" s="6" t="s">
        <v>2613</v>
      </c>
    </row>
    <row r="5918" customFormat="false" ht="15" hidden="false" customHeight="true" outlineLevel="0" collapsed="false">
      <c r="A5918" s="6" t="s">
        <v>8530</v>
      </c>
      <c r="B5918" s="6" t="s">
        <v>1311</v>
      </c>
      <c r="C5918" s="6" t="s">
        <v>120</v>
      </c>
      <c r="D5918" s="13" t="n">
        <v>45921</v>
      </c>
      <c r="E5918" s="14" t="n">
        <v>1811.21</v>
      </c>
      <c r="F5918" s="14" t="n">
        <v>14088.34</v>
      </c>
      <c r="G5918" s="6" t="s">
        <v>2613</v>
      </c>
    </row>
    <row r="5919" customFormat="false" ht="15" hidden="false" customHeight="true" outlineLevel="0" collapsed="false">
      <c r="A5919" s="6" t="s">
        <v>8531</v>
      </c>
      <c r="B5919" s="6" t="s">
        <v>1313</v>
      </c>
      <c r="C5919" s="6" t="s">
        <v>128</v>
      </c>
      <c r="D5919" s="13" t="n">
        <v>45611</v>
      </c>
      <c r="E5919" s="14" t="n">
        <v>1536.33</v>
      </c>
      <c r="F5919" s="14" t="n">
        <v>1536.33</v>
      </c>
      <c r="G5919" s="6" t="s">
        <v>2613</v>
      </c>
    </row>
    <row r="5920" customFormat="false" ht="15" hidden="false" customHeight="true" outlineLevel="0" collapsed="false">
      <c r="A5920" s="6" t="s">
        <v>8532</v>
      </c>
      <c r="B5920" s="6" t="s">
        <v>1313</v>
      </c>
      <c r="C5920" s="6" t="s">
        <v>128</v>
      </c>
      <c r="D5920" s="13" t="n">
        <v>45618</v>
      </c>
      <c r="E5920" s="14" t="n">
        <v>1422.26</v>
      </c>
      <c r="F5920" s="14" t="n">
        <v>2958.59</v>
      </c>
      <c r="G5920" s="6" t="s">
        <v>2613</v>
      </c>
    </row>
    <row r="5921" customFormat="false" ht="15" hidden="false" customHeight="true" outlineLevel="0" collapsed="false">
      <c r="A5921" s="6" t="s">
        <v>8533</v>
      </c>
      <c r="B5921" s="6" t="s">
        <v>1313</v>
      </c>
      <c r="C5921" s="6" t="s">
        <v>128</v>
      </c>
      <c r="D5921" s="13" t="n">
        <v>45625</v>
      </c>
      <c r="E5921" s="14" t="n">
        <v>1946.52</v>
      </c>
      <c r="F5921" s="14" t="n">
        <v>4905.11</v>
      </c>
      <c r="G5921" s="6" t="s">
        <v>2613</v>
      </c>
    </row>
    <row r="5922" customFormat="false" ht="15" hidden="false" customHeight="true" outlineLevel="0" collapsed="false">
      <c r="A5922" s="6" t="s">
        <v>8534</v>
      </c>
      <c r="B5922" s="6" t="s">
        <v>1313</v>
      </c>
      <c r="C5922" s="6" t="s">
        <v>128</v>
      </c>
      <c r="D5922" s="13" t="n">
        <v>45632</v>
      </c>
      <c r="E5922" s="14" t="n">
        <v>1690.5</v>
      </c>
      <c r="F5922" s="14" t="n">
        <v>6595.61</v>
      </c>
      <c r="G5922" s="6" t="s">
        <v>2613</v>
      </c>
    </row>
    <row r="5923" customFormat="false" ht="15" hidden="false" customHeight="true" outlineLevel="0" collapsed="false">
      <c r="A5923" s="6" t="s">
        <v>8535</v>
      </c>
      <c r="B5923" s="6" t="s">
        <v>1313</v>
      </c>
      <c r="C5923" s="6" t="s">
        <v>128</v>
      </c>
      <c r="D5923" s="13" t="n">
        <v>45639</v>
      </c>
      <c r="E5923" s="14" t="n">
        <v>1816.88</v>
      </c>
      <c r="F5923" s="14" t="n">
        <v>8412.49</v>
      </c>
      <c r="G5923" s="6" t="s">
        <v>2613</v>
      </c>
    </row>
    <row r="5924" customFormat="false" ht="15" hidden="false" customHeight="true" outlineLevel="0" collapsed="false">
      <c r="A5924" s="6" t="s">
        <v>8536</v>
      </c>
      <c r="B5924" s="6" t="s">
        <v>1313</v>
      </c>
      <c r="C5924" s="6" t="s">
        <v>128</v>
      </c>
      <c r="D5924" s="13" t="n">
        <v>45646</v>
      </c>
      <c r="E5924" s="14" t="n">
        <v>1572.04</v>
      </c>
      <c r="F5924" s="14" t="n">
        <v>9984.53</v>
      </c>
      <c r="G5924" s="6" t="s">
        <v>2613</v>
      </c>
    </row>
    <row r="5925" customFormat="false" ht="15" hidden="false" customHeight="true" outlineLevel="0" collapsed="false">
      <c r="A5925" s="6" t="s">
        <v>8537</v>
      </c>
      <c r="B5925" s="6" t="s">
        <v>1313</v>
      </c>
      <c r="C5925" s="6" t="s">
        <v>128</v>
      </c>
      <c r="D5925" s="13" t="n">
        <v>45653</v>
      </c>
      <c r="E5925" s="14" t="n">
        <v>1277.72</v>
      </c>
      <c r="F5925" s="14" t="n">
        <v>11262.25</v>
      </c>
      <c r="G5925" s="6" t="s">
        <v>2613</v>
      </c>
    </row>
    <row r="5926" customFormat="false" ht="15" hidden="false" customHeight="true" outlineLevel="0" collapsed="false">
      <c r="A5926" s="6" t="s">
        <v>8538</v>
      </c>
      <c r="B5926" s="6" t="s">
        <v>1313</v>
      </c>
      <c r="C5926" s="6" t="s">
        <v>128</v>
      </c>
      <c r="D5926" s="13" t="n">
        <v>45660</v>
      </c>
      <c r="E5926" s="14" t="n">
        <v>953.05</v>
      </c>
      <c r="F5926" s="14" t="n">
        <v>12215.3</v>
      </c>
      <c r="G5926" s="6" t="s">
        <v>2613</v>
      </c>
    </row>
    <row r="5927" customFormat="false" ht="15" hidden="false" customHeight="true" outlineLevel="0" collapsed="false">
      <c r="A5927" s="6" t="s">
        <v>8539</v>
      </c>
      <c r="B5927" s="6" t="s">
        <v>1313</v>
      </c>
      <c r="C5927" s="6" t="s">
        <v>128</v>
      </c>
      <c r="D5927" s="13" t="n">
        <v>45667</v>
      </c>
      <c r="E5927" s="14" t="n">
        <v>930.91</v>
      </c>
      <c r="F5927" s="14" t="n">
        <v>13146.21</v>
      </c>
      <c r="G5927" s="6" t="s">
        <v>2613</v>
      </c>
    </row>
    <row r="5928" customFormat="false" ht="15" hidden="false" customHeight="true" outlineLevel="0" collapsed="false">
      <c r="A5928" s="6" t="s">
        <v>8540</v>
      </c>
      <c r="B5928" s="6" t="s">
        <v>1313</v>
      </c>
      <c r="C5928" s="6" t="s">
        <v>128</v>
      </c>
      <c r="D5928" s="13" t="n">
        <v>45674</v>
      </c>
      <c r="E5928" s="14" t="n">
        <v>1730.89</v>
      </c>
      <c r="F5928" s="14" t="n">
        <v>14877.1</v>
      </c>
      <c r="G5928" s="6" t="s">
        <v>2613</v>
      </c>
    </row>
    <row r="5929" customFormat="false" ht="15" hidden="false" customHeight="true" outlineLevel="0" collapsed="false">
      <c r="A5929" s="6" t="s">
        <v>8541</v>
      </c>
      <c r="B5929" s="6" t="s">
        <v>1313</v>
      </c>
      <c r="C5929" s="6" t="s">
        <v>128</v>
      </c>
      <c r="D5929" s="13" t="n">
        <v>45681</v>
      </c>
      <c r="E5929" s="14" t="n">
        <v>1402.1</v>
      </c>
      <c r="F5929" s="14" t="n">
        <v>16279.2</v>
      </c>
      <c r="G5929" s="6" t="s">
        <v>2623</v>
      </c>
    </row>
    <row r="5930" customFormat="false" ht="15" hidden="false" customHeight="true" outlineLevel="0" collapsed="false">
      <c r="A5930" s="6" t="s">
        <v>8542</v>
      </c>
      <c r="B5930" s="6" t="s">
        <v>1313</v>
      </c>
      <c r="C5930" s="6" t="s">
        <v>128</v>
      </c>
      <c r="D5930" s="13" t="n">
        <v>45688</v>
      </c>
      <c r="E5930" s="14" t="n">
        <v>2100.83</v>
      </c>
      <c r="F5930" s="14" t="n">
        <v>18380.03</v>
      </c>
      <c r="G5930" s="6" t="s">
        <v>2613</v>
      </c>
    </row>
    <row r="5931" customFormat="false" ht="15" hidden="false" customHeight="true" outlineLevel="0" collapsed="false">
      <c r="A5931" s="6" t="s">
        <v>8543</v>
      </c>
      <c r="B5931" s="6" t="s">
        <v>1313</v>
      </c>
      <c r="C5931" s="6" t="s">
        <v>128</v>
      </c>
      <c r="D5931" s="13" t="n">
        <v>45695</v>
      </c>
      <c r="E5931" s="14" t="n">
        <v>2006.22</v>
      </c>
      <c r="F5931" s="14" t="n">
        <v>20386.25</v>
      </c>
      <c r="G5931" s="6" t="s">
        <v>2623</v>
      </c>
    </row>
    <row r="5932" customFormat="false" ht="15" hidden="false" customHeight="true" outlineLevel="0" collapsed="false">
      <c r="A5932" s="6" t="s">
        <v>8544</v>
      </c>
      <c r="B5932" s="6" t="s">
        <v>1313</v>
      </c>
      <c r="C5932" s="6" t="s">
        <v>128</v>
      </c>
      <c r="D5932" s="13" t="n">
        <v>45702</v>
      </c>
      <c r="E5932" s="14" t="n">
        <v>1406.97</v>
      </c>
      <c r="F5932" s="14" t="n">
        <v>21793.22</v>
      </c>
      <c r="G5932" s="6" t="s">
        <v>2613</v>
      </c>
    </row>
    <row r="5933" customFormat="false" ht="15" hidden="false" customHeight="true" outlineLevel="0" collapsed="false">
      <c r="A5933" s="6" t="s">
        <v>8545</v>
      </c>
      <c r="B5933" s="6" t="s">
        <v>1313</v>
      </c>
      <c r="C5933" s="6" t="s">
        <v>128</v>
      </c>
      <c r="D5933" s="13" t="n">
        <v>45709</v>
      </c>
      <c r="E5933" s="14" t="n">
        <v>966.69</v>
      </c>
      <c r="F5933" s="14" t="n">
        <v>22759.91</v>
      </c>
      <c r="G5933" s="6" t="s">
        <v>2613</v>
      </c>
    </row>
    <row r="5934" customFormat="false" ht="15" hidden="false" customHeight="true" outlineLevel="0" collapsed="false">
      <c r="A5934" s="6" t="s">
        <v>8546</v>
      </c>
      <c r="B5934" s="6" t="s">
        <v>1313</v>
      </c>
      <c r="C5934" s="6" t="s">
        <v>128</v>
      </c>
      <c r="D5934" s="13" t="n">
        <v>45716</v>
      </c>
      <c r="E5934" s="14" t="n">
        <v>1596.13</v>
      </c>
      <c r="F5934" s="14" t="n">
        <v>24356.04</v>
      </c>
      <c r="G5934" s="6" t="s">
        <v>2613</v>
      </c>
    </row>
    <row r="5935" customFormat="false" ht="15" hidden="false" customHeight="true" outlineLevel="0" collapsed="false">
      <c r="A5935" s="6" t="s">
        <v>8547</v>
      </c>
      <c r="B5935" s="6" t="s">
        <v>1313</v>
      </c>
      <c r="C5935" s="6" t="s">
        <v>128</v>
      </c>
      <c r="D5935" s="13" t="n">
        <v>45723</v>
      </c>
      <c r="E5935" s="14" t="n">
        <v>940.96</v>
      </c>
      <c r="F5935" s="14" t="n">
        <v>25297</v>
      </c>
      <c r="G5935" s="6" t="s">
        <v>2613</v>
      </c>
    </row>
    <row r="5936" customFormat="false" ht="15" hidden="false" customHeight="true" outlineLevel="0" collapsed="false">
      <c r="A5936" s="6" t="s">
        <v>8548</v>
      </c>
      <c r="B5936" s="6" t="s">
        <v>1313</v>
      </c>
      <c r="C5936" s="6" t="s">
        <v>128</v>
      </c>
      <c r="D5936" s="13" t="n">
        <v>45730</v>
      </c>
      <c r="E5936" s="14" t="n">
        <v>1250.27</v>
      </c>
      <c r="F5936" s="14" t="n">
        <v>26547.27</v>
      </c>
      <c r="G5936" s="6" t="s">
        <v>2613</v>
      </c>
    </row>
    <row r="5937" customFormat="false" ht="15" hidden="false" customHeight="true" outlineLevel="0" collapsed="false">
      <c r="A5937" s="6" t="s">
        <v>8549</v>
      </c>
      <c r="B5937" s="6" t="s">
        <v>1313</v>
      </c>
      <c r="C5937" s="6" t="s">
        <v>128</v>
      </c>
      <c r="D5937" s="13" t="n">
        <v>45737</v>
      </c>
      <c r="E5937" s="14" t="n">
        <v>1358.08</v>
      </c>
      <c r="F5937" s="14" t="n">
        <v>27905.35</v>
      </c>
      <c r="G5937" s="6" t="s">
        <v>2613</v>
      </c>
    </row>
    <row r="5938" customFormat="false" ht="15" hidden="false" customHeight="true" outlineLevel="0" collapsed="false">
      <c r="A5938" s="6" t="s">
        <v>8550</v>
      </c>
      <c r="B5938" s="6" t="s">
        <v>1313</v>
      </c>
      <c r="C5938" s="6" t="s">
        <v>128</v>
      </c>
      <c r="D5938" s="13" t="n">
        <v>45744</v>
      </c>
      <c r="E5938" s="14" t="n">
        <v>1190.09</v>
      </c>
      <c r="F5938" s="14" t="n">
        <v>29095.44</v>
      </c>
      <c r="G5938" s="6" t="s">
        <v>2613</v>
      </c>
    </row>
    <row r="5939" customFormat="false" ht="15" hidden="false" customHeight="true" outlineLevel="0" collapsed="false">
      <c r="A5939" s="6" t="s">
        <v>8551</v>
      </c>
      <c r="B5939" s="6" t="s">
        <v>1313</v>
      </c>
      <c r="C5939" s="6" t="s">
        <v>128</v>
      </c>
      <c r="D5939" s="13" t="n">
        <v>45751</v>
      </c>
      <c r="E5939" s="14" t="n">
        <v>3062.86</v>
      </c>
      <c r="F5939" s="14" t="n">
        <v>32158.3</v>
      </c>
      <c r="G5939" s="6" t="s">
        <v>2613</v>
      </c>
    </row>
    <row r="5940" customFormat="false" ht="15" hidden="false" customHeight="true" outlineLevel="0" collapsed="false">
      <c r="A5940" s="6" t="s">
        <v>8552</v>
      </c>
      <c r="B5940" s="6" t="s">
        <v>1315</v>
      </c>
      <c r="C5940" s="6" t="s">
        <v>128</v>
      </c>
      <c r="D5940" s="13" t="n">
        <v>44786</v>
      </c>
      <c r="E5940" s="14" t="n">
        <v>7079.81</v>
      </c>
      <c r="F5940" s="14" t="n">
        <v>7079.81</v>
      </c>
      <c r="G5940" s="6" t="s">
        <v>2623</v>
      </c>
    </row>
    <row r="5941" customFormat="false" ht="15" hidden="false" customHeight="true" outlineLevel="0" collapsed="false">
      <c r="A5941" s="6" t="s">
        <v>8553</v>
      </c>
      <c r="B5941" s="6" t="s">
        <v>1315</v>
      </c>
      <c r="C5941" s="6" t="s">
        <v>128</v>
      </c>
      <c r="D5941" s="13" t="n">
        <v>44793</v>
      </c>
      <c r="E5941" s="14" t="n">
        <v>7342.58</v>
      </c>
      <c r="F5941" s="14" t="n">
        <v>14422.39</v>
      </c>
      <c r="G5941" s="6" t="s">
        <v>2613</v>
      </c>
    </row>
    <row r="5942" customFormat="false" ht="15" hidden="false" customHeight="true" outlineLevel="0" collapsed="false">
      <c r="A5942" s="6" t="s">
        <v>8554</v>
      </c>
      <c r="B5942" s="6" t="s">
        <v>1315</v>
      </c>
      <c r="C5942" s="6" t="s">
        <v>128</v>
      </c>
      <c r="D5942" s="13" t="n">
        <v>44800</v>
      </c>
      <c r="E5942" s="14" t="n">
        <v>4910.78</v>
      </c>
      <c r="F5942" s="14" t="n">
        <v>19333.17</v>
      </c>
      <c r="G5942" s="6" t="s">
        <v>2623</v>
      </c>
    </row>
    <row r="5943" customFormat="false" ht="15" hidden="false" customHeight="true" outlineLevel="0" collapsed="false">
      <c r="A5943" s="6" t="s">
        <v>8555</v>
      </c>
      <c r="B5943" s="6" t="s">
        <v>1315</v>
      </c>
      <c r="C5943" s="6" t="s">
        <v>128</v>
      </c>
      <c r="D5943" s="13" t="n">
        <v>44807</v>
      </c>
      <c r="E5943" s="14" t="n">
        <v>3289.6</v>
      </c>
      <c r="F5943" s="14" t="n">
        <v>22622.77</v>
      </c>
      <c r="G5943" s="6" t="s">
        <v>2623</v>
      </c>
    </row>
    <row r="5944" customFormat="false" ht="15" hidden="false" customHeight="true" outlineLevel="0" collapsed="false">
      <c r="A5944" s="6" t="s">
        <v>8556</v>
      </c>
      <c r="B5944" s="6" t="s">
        <v>1315</v>
      </c>
      <c r="C5944" s="6" t="s">
        <v>128</v>
      </c>
      <c r="D5944" s="13" t="n">
        <v>44814</v>
      </c>
      <c r="E5944" s="14" t="n">
        <v>4798.4</v>
      </c>
      <c r="F5944" s="14" t="n">
        <v>27421.17</v>
      </c>
      <c r="G5944" s="6" t="s">
        <v>2613</v>
      </c>
    </row>
    <row r="5945" customFormat="false" ht="15" hidden="false" customHeight="true" outlineLevel="0" collapsed="false">
      <c r="A5945" s="6" t="s">
        <v>8557</v>
      </c>
      <c r="B5945" s="6" t="s">
        <v>1315</v>
      </c>
      <c r="C5945" s="6" t="s">
        <v>128</v>
      </c>
      <c r="D5945" s="13" t="n">
        <v>44821</v>
      </c>
      <c r="E5945" s="14" t="n">
        <v>5447.15</v>
      </c>
      <c r="F5945" s="14" t="n">
        <v>32868.32</v>
      </c>
      <c r="G5945" s="6" t="s">
        <v>2613</v>
      </c>
    </row>
    <row r="5946" customFormat="false" ht="15" hidden="false" customHeight="true" outlineLevel="0" collapsed="false">
      <c r="A5946" s="6" t="s">
        <v>8558</v>
      </c>
      <c r="B5946" s="6" t="s">
        <v>1317</v>
      </c>
      <c r="C5946" s="6" t="s">
        <v>112</v>
      </c>
      <c r="D5946" s="13" t="n">
        <v>45677</v>
      </c>
      <c r="E5946" s="14" t="n">
        <v>294.28</v>
      </c>
      <c r="F5946" s="14" t="n">
        <v>294.28</v>
      </c>
      <c r="G5946" s="6" t="s">
        <v>2613</v>
      </c>
    </row>
    <row r="5947" customFormat="false" ht="15" hidden="false" customHeight="true" outlineLevel="0" collapsed="false">
      <c r="A5947" s="6" t="s">
        <v>8559</v>
      </c>
      <c r="B5947" s="6" t="s">
        <v>1317</v>
      </c>
      <c r="C5947" s="6" t="s">
        <v>112</v>
      </c>
      <c r="D5947" s="13" t="n">
        <v>45684</v>
      </c>
      <c r="E5947" s="14" t="n">
        <v>225.97</v>
      </c>
      <c r="F5947" s="14" t="n">
        <v>520.25</v>
      </c>
      <c r="G5947" s="6" t="s">
        <v>2613</v>
      </c>
    </row>
    <row r="5948" customFormat="false" ht="15" hidden="false" customHeight="true" outlineLevel="0" collapsed="false">
      <c r="A5948" s="6" t="s">
        <v>8560</v>
      </c>
      <c r="B5948" s="6" t="s">
        <v>1317</v>
      </c>
      <c r="C5948" s="6" t="s">
        <v>112</v>
      </c>
      <c r="D5948" s="13" t="n">
        <v>45691</v>
      </c>
      <c r="E5948" s="14" t="n">
        <v>468.96</v>
      </c>
      <c r="F5948" s="14" t="n">
        <v>989.21</v>
      </c>
      <c r="G5948" s="6" t="s">
        <v>2613</v>
      </c>
    </row>
    <row r="5949" customFormat="false" ht="15" hidden="false" customHeight="true" outlineLevel="0" collapsed="false">
      <c r="A5949" s="6" t="s">
        <v>8561</v>
      </c>
      <c r="B5949" s="6" t="s">
        <v>1317</v>
      </c>
      <c r="C5949" s="6" t="s">
        <v>112</v>
      </c>
      <c r="D5949" s="13" t="n">
        <v>45698</v>
      </c>
      <c r="E5949" s="14" t="n">
        <v>395.58</v>
      </c>
      <c r="F5949" s="14" t="n">
        <v>1384.79</v>
      </c>
      <c r="G5949" s="6" t="s">
        <v>2613</v>
      </c>
    </row>
    <row r="5950" customFormat="false" ht="15" hidden="false" customHeight="true" outlineLevel="0" collapsed="false">
      <c r="A5950" s="6" t="s">
        <v>8562</v>
      </c>
      <c r="B5950" s="6" t="s">
        <v>1317</v>
      </c>
      <c r="C5950" s="6" t="s">
        <v>112</v>
      </c>
      <c r="D5950" s="13" t="n">
        <v>45705</v>
      </c>
      <c r="E5950" s="14" t="n">
        <v>257.03</v>
      </c>
      <c r="F5950" s="14" t="n">
        <v>1641.82</v>
      </c>
      <c r="G5950" s="6" t="s">
        <v>2613</v>
      </c>
    </row>
    <row r="5951" customFormat="false" ht="15" hidden="false" customHeight="true" outlineLevel="0" collapsed="false">
      <c r="A5951" s="6" t="s">
        <v>8563</v>
      </c>
      <c r="B5951" s="6" t="s">
        <v>1317</v>
      </c>
      <c r="C5951" s="6" t="s">
        <v>112</v>
      </c>
      <c r="D5951" s="13" t="n">
        <v>45712</v>
      </c>
      <c r="E5951" s="14" t="n">
        <v>437.86</v>
      </c>
      <c r="F5951" s="14" t="n">
        <v>2079.68</v>
      </c>
      <c r="G5951" s="6" t="s">
        <v>2623</v>
      </c>
    </row>
    <row r="5952" customFormat="false" ht="15" hidden="false" customHeight="true" outlineLevel="0" collapsed="false">
      <c r="A5952" s="6" t="s">
        <v>8564</v>
      </c>
      <c r="B5952" s="6" t="s">
        <v>1317</v>
      </c>
      <c r="C5952" s="6" t="s">
        <v>112</v>
      </c>
      <c r="D5952" s="13" t="n">
        <v>45719</v>
      </c>
      <c r="E5952" s="14" t="n">
        <v>386.32</v>
      </c>
      <c r="F5952" s="14" t="n">
        <v>2466</v>
      </c>
      <c r="G5952" s="6" t="s">
        <v>2613</v>
      </c>
    </row>
    <row r="5953" customFormat="false" ht="15" hidden="false" customHeight="true" outlineLevel="0" collapsed="false">
      <c r="A5953" s="6" t="s">
        <v>8565</v>
      </c>
      <c r="B5953" s="6" t="s">
        <v>1319</v>
      </c>
      <c r="C5953" s="6" t="s">
        <v>116</v>
      </c>
      <c r="D5953" s="13" t="n">
        <v>44657</v>
      </c>
      <c r="E5953" s="14" t="n">
        <v>8676.21</v>
      </c>
      <c r="F5953" s="14" t="n">
        <v>8676.21</v>
      </c>
      <c r="G5953" s="6" t="s">
        <v>2613</v>
      </c>
    </row>
    <row r="5954" customFormat="false" ht="15" hidden="false" customHeight="true" outlineLevel="0" collapsed="false">
      <c r="A5954" s="6" t="s">
        <v>8566</v>
      </c>
      <c r="B5954" s="6" t="s">
        <v>1319</v>
      </c>
      <c r="C5954" s="6" t="s">
        <v>116</v>
      </c>
      <c r="D5954" s="13" t="n">
        <v>44664</v>
      </c>
      <c r="E5954" s="14" t="n">
        <v>13117.28</v>
      </c>
      <c r="F5954" s="14" t="n">
        <v>21793.49</v>
      </c>
      <c r="G5954" s="6" t="s">
        <v>2613</v>
      </c>
    </row>
    <row r="5955" customFormat="false" ht="15" hidden="false" customHeight="true" outlineLevel="0" collapsed="false">
      <c r="A5955" s="6" t="s">
        <v>8567</v>
      </c>
      <c r="B5955" s="6" t="s">
        <v>1319</v>
      </c>
      <c r="C5955" s="6" t="s">
        <v>116</v>
      </c>
      <c r="D5955" s="13" t="n">
        <v>44671</v>
      </c>
      <c r="E5955" s="14" t="n">
        <v>13229.68</v>
      </c>
      <c r="F5955" s="14" t="n">
        <v>35023.17</v>
      </c>
      <c r="G5955" s="6" t="s">
        <v>2613</v>
      </c>
    </row>
    <row r="5956" customFormat="false" ht="15" hidden="false" customHeight="true" outlineLevel="0" collapsed="false">
      <c r="A5956" s="6" t="s">
        <v>8568</v>
      </c>
      <c r="B5956" s="6" t="s">
        <v>1319</v>
      </c>
      <c r="C5956" s="6" t="s">
        <v>116</v>
      </c>
      <c r="D5956" s="13" t="n">
        <v>44678</v>
      </c>
      <c r="E5956" s="14" t="n">
        <v>13415.85</v>
      </c>
      <c r="F5956" s="14" t="n">
        <v>48439.02</v>
      </c>
      <c r="G5956" s="6" t="s">
        <v>2613</v>
      </c>
    </row>
    <row r="5957" customFormat="false" ht="15" hidden="false" customHeight="true" outlineLevel="0" collapsed="false">
      <c r="A5957" s="6" t="s">
        <v>8569</v>
      </c>
      <c r="B5957" s="6" t="s">
        <v>1319</v>
      </c>
      <c r="C5957" s="6" t="s">
        <v>116</v>
      </c>
      <c r="D5957" s="13" t="n">
        <v>44685</v>
      </c>
      <c r="E5957" s="14" t="n">
        <v>11098.85</v>
      </c>
      <c r="F5957" s="14" t="n">
        <v>59537.87</v>
      </c>
      <c r="G5957" s="6" t="s">
        <v>2613</v>
      </c>
    </row>
    <row r="5958" customFormat="false" ht="15" hidden="false" customHeight="true" outlineLevel="0" collapsed="false">
      <c r="A5958" s="6" t="s">
        <v>8570</v>
      </c>
      <c r="B5958" s="6" t="s">
        <v>1321</v>
      </c>
      <c r="C5958" s="6" t="s">
        <v>120</v>
      </c>
      <c r="D5958" s="13" t="n">
        <v>44585</v>
      </c>
      <c r="E5958" s="14" t="n">
        <v>3944.85</v>
      </c>
      <c r="F5958" s="14" t="n">
        <v>3944.85</v>
      </c>
      <c r="G5958" s="6" t="s">
        <v>2613</v>
      </c>
    </row>
    <row r="5959" customFormat="false" ht="15" hidden="false" customHeight="true" outlineLevel="0" collapsed="false">
      <c r="A5959" s="6" t="s">
        <v>8571</v>
      </c>
      <c r="B5959" s="6" t="s">
        <v>1321</v>
      </c>
      <c r="C5959" s="6" t="s">
        <v>120</v>
      </c>
      <c r="D5959" s="13" t="n">
        <v>44592</v>
      </c>
      <c r="E5959" s="14" t="n">
        <v>3387.74</v>
      </c>
      <c r="F5959" s="14" t="n">
        <v>7332.59</v>
      </c>
      <c r="G5959" s="6" t="s">
        <v>2623</v>
      </c>
    </row>
    <row r="5960" customFormat="false" ht="15" hidden="false" customHeight="true" outlineLevel="0" collapsed="false">
      <c r="A5960" s="6" t="s">
        <v>8572</v>
      </c>
      <c r="B5960" s="6" t="s">
        <v>1321</v>
      </c>
      <c r="C5960" s="6" t="s">
        <v>120</v>
      </c>
      <c r="D5960" s="13" t="n">
        <v>44599</v>
      </c>
      <c r="E5960" s="14" t="n">
        <v>3556.69</v>
      </c>
      <c r="F5960" s="14" t="n">
        <v>10889.28</v>
      </c>
      <c r="G5960" s="6" t="s">
        <v>2613</v>
      </c>
    </row>
    <row r="5961" customFormat="false" ht="15" hidden="false" customHeight="true" outlineLevel="0" collapsed="false">
      <c r="A5961" s="6" t="s">
        <v>8573</v>
      </c>
      <c r="B5961" s="6" t="s">
        <v>1321</v>
      </c>
      <c r="C5961" s="6" t="s">
        <v>120</v>
      </c>
      <c r="D5961" s="13" t="n">
        <v>44606</v>
      </c>
      <c r="E5961" s="14" t="n">
        <v>3243.13</v>
      </c>
      <c r="F5961" s="14" t="n">
        <v>14132.41</v>
      </c>
      <c r="G5961" s="6" t="s">
        <v>2613</v>
      </c>
    </row>
    <row r="5962" customFormat="false" ht="15" hidden="false" customHeight="true" outlineLevel="0" collapsed="false">
      <c r="A5962" s="6" t="s">
        <v>8574</v>
      </c>
      <c r="B5962" s="6" t="s">
        <v>1321</v>
      </c>
      <c r="C5962" s="6" t="s">
        <v>120</v>
      </c>
      <c r="D5962" s="13" t="n">
        <v>44613</v>
      </c>
      <c r="E5962" s="14" t="n">
        <v>4085.91</v>
      </c>
      <c r="F5962" s="14" t="n">
        <v>18218.32</v>
      </c>
      <c r="G5962" s="6" t="s">
        <v>2613</v>
      </c>
    </row>
    <row r="5963" customFormat="false" ht="15" hidden="false" customHeight="true" outlineLevel="0" collapsed="false">
      <c r="A5963" s="6" t="s">
        <v>8575</v>
      </c>
      <c r="B5963" s="6" t="s">
        <v>1321</v>
      </c>
      <c r="C5963" s="6" t="s">
        <v>120</v>
      </c>
      <c r="D5963" s="13" t="n">
        <v>44620</v>
      </c>
      <c r="E5963" s="14" t="n">
        <v>3836.87</v>
      </c>
      <c r="F5963" s="14" t="n">
        <v>22055.19</v>
      </c>
      <c r="G5963" s="6" t="s">
        <v>2613</v>
      </c>
    </row>
    <row r="5964" customFormat="false" ht="15" hidden="false" customHeight="true" outlineLevel="0" collapsed="false">
      <c r="A5964" s="6" t="s">
        <v>8576</v>
      </c>
      <c r="B5964" s="6" t="s">
        <v>1321</v>
      </c>
      <c r="C5964" s="6" t="s">
        <v>120</v>
      </c>
      <c r="D5964" s="13" t="n">
        <v>44627</v>
      </c>
      <c r="E5964" s="14" t="n">
        <v>3065.02</v>
      </c>
      <c r="F5964" s="14" t="n">
        <v>25120.21</v>
      </c>
      <c r="G5964" s="6" t="s">
        <v>2623</v>
      </c>
    </row>
    <row r="5965" customFormat="false" ht="15" hidden="false" customHeight="true" outlineLevel="0" collapsed="false">
      <c r="A5965" s="6" t="s">
        <v>8577</v>
      </c>
      <c r="B5965" s="6" t="s">
        <v>1321</v>
      </c>
      <c r="C5965" s="6" t="s">
        <v>120</v>
      </c>
      <c r="D5965" s="13" t="n">
        <v>44634</v>
      </c>
      <c r="E5965" s="14" t="n">
        <v>4482.77</v>
      </c>
      <c r="F5965" s="14" t="n">
        <v>29602.98</v>
      </c>
      <c r="G5965" s="6" t="s">
        <v>2613</v>
      </c>
    </row>
    <row r="5966" customFormat="false" ht="15" hidden="false" customHeight="true" outlineLevel="0" collapsed="false">
      <c r="A5966" s="6" t="s">
        <v>8578</v>
      </c>
      <c r="B5966" s="6" t="s">
        <v>1321</v>
      </c>
      <c r="C5966" s="6" t="s">
        <v>120</v>
      </c>
      <c r="D5966" s="13" t="n">
        <v>44641</v>
      </c>
      <c r="E5966" s="14" t="n">
        <v>2777.29</v>
      </c>
      <c r="F5966" s="14" t="n">
        <v>32380.27</v>
      </c>
      <c r="G5966" s="6" t="s">
        <v>2623</v>
      </c>
    </row>
    <row r="5967" customFormat="false" ht="15" hidden="false" customHeight="true" outlineLevel="0" collapsed="false">
      <c r="A5967" s="6" t="s">
        <v>8579</v>
      </c>
      <c r="B5967" s="6" t="s">
        <v>1321</v>
      </c>
      <c r="C5967" s="6" t="s">
        <v>120</v>
      </c>
      <c r="D5967" s="13" t="n">
        <v>44648</v>
      </c>
      <c r="E5967" s="14" t="n">
        <v>4500.85</v>
      </c>
      <c r="F5967" s="14" t="n">
        <v>36881.12</v>
      </c>
      <c r="G5967" s="6" t="s">
        <v>2613</v>
      </c>
    </row>
    <row r="5968" customFormat="false" ht="15" hidden="false" customHeight="true" outlineLevel="0" collapsed="false">
      <c r="A5968" s="6" t="s">
        <v>8580</v>
      </c>
      <c r="B5968" s="6" t="s">
        <v>1321</v>
      </c>
      <c r="C5968" s="6" t="s">
        <v>120</v>
      </c>
      <c r="D5968" s="13" t="n">
        <v>44655</v>
      </c>
      <c r="E5968" s="14" t="n">
        <v>2954.56</v>
      </c>
      <c r="F5968" s="14" t="n">
        <v>39835.68</v>
      </c>
      <c r="G5968" s="6" t="s">
        <v>2613</v>
      </c>
    </row>
    <row r="5969" customFormat="false" ht="15" hidden="false" customHeight="true" outlineLevel="0" collapsed="false">
      <c r="A5969" s="6" t="s">
        <v>8581</v>
      </c>
      <c r="B5969" s="6" t="s">
        <v>1321</v>
      </c>
      <c r="C5969" s="6" t="s">
        <v>120</v>
      </c>
      <c r="D5969" s="13" t="n">
        <v>44662</v>
      </c>
      <c r="E5969" s="14" t="n">
        <v>2757.18</v>
      </c>
      <c r="F5969" s="14" t="n">
        <v>42592.86</v>
      </c>
      <c r="G5969" s="6" t="s">
        <v>2613</v>
      </c>
    </row>
    <row r="5970" customFormat="false" ht="15" hidden="false" customHeight="true" outlineLevel="0" collapsed="false">
      <c r="A5970" s="6" t="s">
        <v>8582</v>
      </c>
      <c r="B5970" s="6" t="s">
        <v>1321</v>
      </c>
      <c r="C5970" s="6" t="s">
        <v>120</v>
      </c>
      <c r="D5970" s="13" t="n">
        <v>44669</v>
      </c>
      <c r="E5970" s="14" t="n">
        <v>4496.47</v>
      </c>
      <c r="F5970" s="14" t="n">
        <v>47089.33</v>
      </c>
      <c r="G5970" s="6" t="s">
        <v>2613</v>
      </c>
    </row>
    <row r="5971" customFormat="false" ht="15" hidden="false" customHeight="true" outlineLevel="0" collapsed="false">
      <c r="A5971" s="6" t="s">
        <v>8583</v>
      </c>
      <c r="B5971" s="6" t="s">
        <v>1321</v>
      </c>
      <c r="C5971" s="6" t="s">
        <v>120</v>
      </c>
      <c r="D5971" s="13" t="n">
        <v>44676</v>
      </c>
      <c r="E5971" s="14" t="n">
        <v>2296.38</v>
      </c>
      <c r="F5971" s="14" t="n">
        <v>49385.71</v>
      </c>
      <c r="G5971" s="6" t="s">
        <v>2613</v>
      </c>
    </row>
    <row r="5972" customFormat="false" ht="15" hidden="false" customHeight="true" outlineLevel="0" collapsed="false">
      <c r="A5972" s="6" t="s">
        <v>8584</v>
      </c>
      <c r="B5972" s="6" t="s">
        <v>1321</v>
      </c>
      <c r="C5972" s="6" t="s">
        <v>120</v>
      </c>
      <c r="D5972" s="13" t="n">
        <v>44683</v>
      </c>
      <c r="E5972" s="14" t="n">
        <v>4011.49</v>
      </c>
      <c r="F5972" s="14" t="n">
        <v>53397.2</v>
      </c>
      <c r="G5972" s="6" t="s">
        <v>2613</v>
      </c>
    </row>
    <row r="5973" customFormat="false" ht="15" hidden="false" customHeight="true" outlineLevel="0" collapsed="false">
      <c r="A5973" s="6" t="s">
        <v>8585</v>
      </c>
      <c r="B5973" s="6" t="s">
        <v>1323</v>
      </c>
      <c r="C5973" s="6" t="s">
        <v>131</v>
      </c>
      <c r="D5973" s="13" t="n">
        <v>45582</v>
      </c>
      <c r="E5973" s="14" t="n">
        <v>6302.83</v>
      </c>
      <c r="F5973" s="14" t="n">
        <v>6302.83</v>
      </c>
      <c r="G5973" s="6" t="s">
        <v>2613</v>
      </c>
    </row>
    <row r="5974" customFormat="false" ht="15" hidden="false" customHeight="true" outlineLevel="0" collapsed="false">
      <c r="A5974" s="6" t="s">
        <v>8586</v>
      </c>
      <c r="B5974" s="6" t="s">
        <v>1323</v>
      </c>
      <c r="C5974" s="6" t="s">
        <v>131</v>
      </c>
      <c r="D5974" s="13" t="n">
        <v>45589</v>
      </c>
      <c r="E5974" s="14" t="n">
        <v>4883.1</v>
      </c>
      <c r="F5974" s="14" t="n">
        <v>11185.93</v>
      </c>
      <c r="G5974" s="6" t="s">
        <v>2613</v>
      </c>
    </row>
    <row r="5975" customFormat="false" ht="15" hidden="false" customHeight="true" outlineLevel="0" collapsed="false">
      <c r="A5975" s="6" t="s">
        <v>8587</v>
      </c>
      <c r="B5975" s="6" t="s">
        <v>1323</v>
      </c>
      <c r="C5975" s="6" t="s">
        <v>131</v>
      </c>
      <c r="D5975" s="13" t="n">
        <v>45596</v>
      </c>
      <c r="E5975" s="14" t="n">
        <v>5248.72</v>
      </c>
      <c r="F5975" s="14" t="n">
        <v>16434.65</v>
      </c>
      <c r="G5975" s="6" t="s">
        <v>2613</v>
      </c>
    </row>
    <row r="5976" customFormat="false" ht="15" hidden="false" customHeight="true" outlineLevel="0" collapsed="false">
      <c r="A5976" s="6" t="s">
        <v>8588</v>
      </c>
      <c r="B5976" s="6" t="s">
        <v>1323</v>
      </c>
      <c r="C5976" s="6" t="s">
        <v>131</v>
      </c>
      <c r="D5976" s="13" t="n">
        <v>45603</v>
      </c>
      <c r="E5976" s="14" t="n">
        <v>6391.39</v>
      </c>
      <c r="F5976" s="14" t="n">
        <v>22826.04</v>
      </c>
      <c r="G5976" s="6" t="s">
        <v>2613</v>
      </c>
    </row>
    <row r="5977" customFormat="false" ht="15" hidden="false" customHeight="true" outlineLevel="0" collapsed="false">
      <c r="A5977" s="6" t="s">
        <v>8589</v>
      </c>
      <c r="B5977" s="6" t="s">
        <v>1323</v>
      </c>
      <c r="C5977" s="6" t="s">
        <v>131</v>
      </c>
      <c r="D5977" s="13" t="n">
        <v>45610</v>
      </c>
      <c r="E5977" s="14" t="n">
        <v>6539.95</v>
      </c>
      <c r="F5977" s="14" t="n">
        <v>29365.99</v>
      </c>
      <c r="G5977" s="6" t="s">
        <v>2613</v>
      </c>
    </row>
    <row r="5978" customFormat="false" ht="15" hidden="false" customHeight="true" outlineLevel="0" collapsed="false">
      <c r="A5978" s="6" t="s">
        <v>8590</v>
      </c>
      <c r="B5978" s="6" t="s">
        <v>1323</v>
      </c>
      <c r="C5978" s="6" t="s">
        <v>131</v>
      </c>
      <c r="D5978" s="13" t="n">
        <v>45617</v>
      </c>
      <c r="E5978" s="14" t="n">
        <v>7014.41</v>
      </c>
      <c r="F5978" s="14" t="n">
        <v>36380.4</v>
      </c>
      <c r="G5978" s="6" t="s">
        <v>2613</v>
      </c>
    </row>
    <row r="5979" customFormat="false" ht="15" hidden="false" customHeight="true" outlineLevel="0" collapsed="false">
      <c r="A5979" s="6" t="s">
        <v>8591</v>
      </c>
      <c r="B5979" s="6" t="s">
        <v>1323</v>
      </c>
      <c r="C5979" s="6" t="s">
        <v>131</v>
      </c>
      <c r="D5979" s="13" t="n">
        <v>45624</v>
      </c>
      <c r="E5979" s="14" t="n">
        <v>7168.95</v>
      </c>
      <c r="F5979" s="14" t="n">
        <v>43549.35</v>
      </c>
      <c r="G5979" s="6" t="s">
        <v>2613</v>
      </c>
    </row>
    <row r="5980" customFormat="false" ht="15" hidden="false" customHeight="true" outlineLevel="0" collapsed="false">
      <c r="A5980" s="6" t="s">
        <v>8592</v>
      </c>
      <c r="B5980" s="6" t="s">
        <v>1323</v>
      </c>
      <c r="C5980" s="6" t="s">
        <v>131</v>
      </c>
      <c r="D5980" s="13" t="n">
        <v>45631</v>
      </c>
      <c r="E5980" s="14" t="n">
        <v>5459</v>
      </c>
      <c r="F5980" s="14" t="n">
        <v>49008.35</v>
      </c>
      <c r="G5980" s="6" t="s">
        <v>2613</v>
      </c>
    </row>
    <row r="5981" customFormat="false" ht="15" hidden="false" customHeight="true" outlineLevel="0" collapsed="false">
      <c r="A5981" s="6" t="s">
        <v>8593</v>
      </c>
      <c r="B5981" s="6" t="s">
        <v>1325</v>
      </c>
      <c r="C5981" s="6" t="s">
        <v>128</v>
      </c>
      <c r="D5981" s="13" t="n">
        <v>45796</v>
      </c>
      <c r="E5981" s="14" t="n">
        <v>1608.05</v>
      </c>
      <c r="F5981" s="14" t="n">
        <v>1608.05</v>
      </c>
      <c r="G5981" s="6" t="s">
        <v>2613</v>
      </c>
    </row>
    <row r="5982" customFormat="false" ht="15" hidden="false" customHeight="true" outlineLevel="0" collapsed="false">
      <c r="A5982" s="6" t="s">
        <v>8594</v>
      </c>
      <c r="B5982" s="6" t="s">
        <v>1325</v>
      </c>
      <c r="C5982" s="6" t="s">
        <v>128</v>
      </c>
      <c r="D5982" s="13" t="n">
        <v>45803</v>
      </c>
      <c r="E5982" s="14" t="n">
        <v>2303.79</v>
      </c>
      <c r="F5982" s="14" t="n">
        <v>3911.84</v>
      </c>
      <c r="G5982" s="6" t="s">
        <v>2613</v>
      </c>
    </row>
    <row r="5983" customFormat="false" ht="15" hidden="false" customHeight="true" outlineLevel="0" collapsed="false">
      <c r="A5983" s="6" t="s">
        <v>8595</v>
      </c>
      <c r="B5983" s="6" t="s">
        <v>1325</v>
      </c>
      <c r="C5983" s="6" t="s">
        <v>128</v>
      </c>
      <c r="D5983" s="13" t="n">
        <v>45810</v>
      </c>
      <c r="E5983" s="14" t="n">
        <v>1683.14</v>
      </c>
      <c r="F5983" s="14" t="n">
        <v>5594.98</v>
      </c>
      <c r="G5983" s="6" t="s">
        <v>2613</v>
      </c>
    </row>
    <row r="5984" customFormat="false" ht="15" hidden="false" customHeight="true" outlineLevel="0" collapsed="false">
      <c r="A5984" s="6" t="s">
        <v>8596</v>
      </c>
      <c r="B5984" s="6" t="s">
        <v>1325</v>
      </c>
      <c r="C5984" s="6" t="s">
        <v>128</v>
      </c>
      <c r="D5984" s="13" t="n">
        <v>45817</v>
      </c>
      <c r="E5984" s="14" t="n">
        <v>1807.46</v>
      </c>
      <c r="F5984" s="14" t="n">
        <v>7402.44</v>
      </c>
      <c r="G5984" s="6" t="s">
        <v>2613</v>
      </c>
    </row>
    <row r="5985" customFormat="false" ht="15" hidden="false" customHeight="true" outlineLevel="0" collapsed="false">
      <c r="A5985" s="6" t="s">
        <v>8597</v>
      </c>
      <c r="B5985" s="6" t="s">
        <v>1325</v>
      </c>
      <c r="C5985" s="6" t="s">
        <v>128</v>
      </c>
      <c r="D5985" s="13" t="n">
        <v>45824</v>
      </c>
      <c r="E5985" s="14" t="n">
        <v>2271.34</v>
      </c>
      <c r="F5985" s="14" t="n">
        <v>9673.78</v>
      </c>
      <c r="G5985" s="6" t="s">
        <v>2613</v>
      </c>
    </row>
    <row r="5986" customFormat="false" ht="15" hidden="false" customHeight="true" outlineLevel="0" collapsed="false">
      <c r="A5986" s="6" t="s">
        <v>8598</v>
      </c>
      <c r="B5986" s="6" t="s">
        <v>1325</v>
      </c>
      <c r="C5986" s="6" t="s">
        <v>128</v>
      </c>
      <c r="D5986" s="13" t="n">
        <v>45831</v>
      </c>
      <c r="E5986" s="14" t="n">
        <v>1311.28</v>
      </c>
      <c r="F5986" s="14" t="n">
        <v>10985.06</v>
      </c>
      <c r="G5986" s="6" t="s">
        <v>2613</v>
      </c>
    </row>
    <row r="5987" customFormat="false" ht="15" hidden="false" customHeight="true" outlineLevel="0" collapsed="false">
      <c r="A5987" s="6" t="s">
        <v>8599</v>
      </c>
      <c r="B5987" s="6" t="s">
        <v>1325</v>
      </c>
      <c r="C5987" s="6" t="s">
        <v>128</v>
      </c>
      <c r="D5987" s="13" t="n">
        <v>45838</v>
      </c>
      <c r="E5987" s="14" t="n">
        <v>1842.27</v>
      </c>
      <c r="F5987" s="14" t="n">
        <v>12827.33</v>
      </c>
      <c r="G5987" s="6" t="s">
        <v>2613</v>
      </c>
    </row>
    <row r="5988" customFormat="false" ht="15" hidden="false" customHeight="true" outlineLevel="0" collapsed="false">
      <c r="A5988" s="6" t="s">
        <v>8600</v>
      </c>
      <c r="B5988" s="6" t="s">
        <v>1325</v>
      </c>
      <c r="C5988" s="6" t="s">
        <v>128</v>
      </c>
      <c r="D5988" s="13" t="n">
        <v>45845</v>
      </c>
      <c r="E5988" s="14" t="n">
        <v>1597.44</v>
      </c>
      <c r="F5988" s="14" t="n">
        <v>14424.77</v>
      </c>
      <c r="G5988" s="6" t="s">
        <v>2613</v>
      </c>
    </row>
    <row r="5989" customFormat="false" ht="15" hidden="false" customHeight="true" outlineLevel="0" collapsed="false">
      <c r="A5989" s="6" t="s">
        <v>8601</v>
      </c>
      <c r="B5989" s="6" t="s">
        <v>1325</v>
      </c>
      <c r="C5989" s="6" t="s">
        <v>128</v>
      </c>
      <c r="D5989" s="13" t="n">
        <v>45852</v>
      </c>
      <c r="E5989" s="14" t="n">
        <v>2009.32</v>
      </c>
      <c r="F5989" s="14" t="n">
        <v>16434.09</v>
      </c>
      <c r="G5989" s="6" t="s">
        <v>2613</v>
      </c>
    </row>
    <row r="5990" customFormat="false" ht="15" hidden="false" customHeight="true" outlineLevel="0" collapsed="false">
      <c r="A5990" s="6" t="s">
        <v>8602</v>
      </c>
      <c r="B5990" s="6" t="s">
        <v>1325</v>
      </c>
      <c r="C5990" s="6" t="s">
        <v>128</v>
      </c>
      <c r="D5990" s="13" t="n">
        <v>45859</v>
      </c>
      <c r="E5990" s="14" t="n">
        <v>1580.87</v>
      </c>
      <c r="F5990" s="14" t="n">
        <v>18014.96</v>
      </c>
      <c r="G5990" s="6" t="s">
        <v>2613</v>
      </c>
    </row>
    <row r="5991" customFormat="false" ht="15" hidden="false" customHeight="true" outlineLevel="0" collapsed="false">
      <c r="A5991" s="6" t="s">
        <v>8603</v>
      </c>
      <c r="B5991" s="6" t="s">
        <v>1325</v>
      </c>
      <c r="C5991" s="6" t="s">
        <v>128</v>
      </c>
      <c r="D5991" s="13" t="n">
        <v>45866</v>
      </c>
      <c r="E5991" s="14" t="n">
        <v>1449.75</v>
      </c>
      <c r="F5991" s="14" t="n">
        <v>19464.71</v>
      </c>
      <c r="G5991" s="6" t="s">
        <v>2613</v>
      </c>
    </row>
    <row r="5992" customFormat="false" ht="15" hidden="false" customHeight="true" outlineLevel="0" collapsed="false">
      <c r="A5992" s="6" t="s">
        <v>8604</v>
      </c>
      <c r="B5992" s="6" t="s">
        <v>1325</v>
      </c>
      <c r="C5992" s="6" t="s">
        <v>128</v>
      </c>
      <c r="D5992" s="13" t="n">
        <v>45873</v>
      </c>
      <c r="E5992" s="14" t="n">
        <v>1883.46</v>
      </c>
      <c r="F5992" s="14" t="n">
        <v>21348.17</v>
      </c>
      <c r="G5992" s="6" t="s">
        <v>2613</v>
      </c>
    </row>
    <row r="5993" customFormat="false" ht="15" hidden="false" customHeight="true" outlineLevel="0" collapsed="false">
      <c r="A5993" s="6" t="s">
        <v>8605</v>
      </c>
      <c r="B5993" s="6" t="s">
        <v>1325</v>
      </c>
      <c r="C5993" s="6" t="s">
        <v>128</v>
      </c>
      <c r="D5993" s="13" t="n">
        <v>45880</v>
      </c>
      <c r="E5993" s="14" t="n">
        <v>1478.76</v>
      </c>
      <c r="F5993" s="14" t="n">
        <v>22826.93</v>
      </c>
      <c r="G5993" s="6" t="s">
        <v>2613</v>
      </c>
    </row>
    <row r="5994" customFormat="false" ht="15" hidden="false" customHeight="true" outlineLevel="0" collapsed="false">
      <c r="A5994" s="6" t="s">
        <v>8606</v>
      </c>
      <c r="B5994" s="6" t="s">
        <v>1325</v>
      </c>
      <c r="C5994" s="6" t="s">
        <v>128</v>
      </c>
      <c r="D5994" s="13" t="n">
        <v>45887</v>
      </c>
      <c r="E5994" s="14" t="n">
        <v>1471.95</v>
      </c>
      <c r="F5994" s="14" t="n">
        <v>24298.88</v>
      </c>
      <c r="G5994" s="6" t="s">
        <v>2623</v>
      </c>
    </row>
    <row r="5995" customFormat="false" ht="15" hidden="false" customHeight="true" outlineLevel="0" collapsed="false">
      <c r="A5995" s="6" t="s">
        <v>8607</v>
      </c>
      <c r="B5995" s="6" t="s">
        <v>1325</v>
      </c>
      <c r="C5995" s="6" t="s">
        <v>128</v>
      </c>
      <c r="D5995" s="13" t="n">
        <v>45894</v>
      </c>
      <c r="E5995" s="14" t="n">
        <v>2338.51</v>
      </c>
      <c r="F5995" s="14" t="n">
        <v>26637.39</v>
      </c>
      <c r="G5995" s="6" t="s">
        <v>2613</v>
      </c>
    </row>
    <row r="5996" customFormat="false" ht="15" hidden="false" customHeight="true" outlineLevel="0" collapsed="false">
      <c r="A5996" s="6" t="s">
        <v>8608</v>
      </c>
      <c r="B5996" s="6" t="s">
        <v>1325</v>
      </c>
      <c r="C5996" s="6" t="s">
        <v>128</v>
      </c>
      <c r="D5996" s="13" t="n">
        <v>45901</v>
      </c>
      <c r="E5996" s="14" t="n">
        <v>1505.22</v>
      </c>
      <c r="F5996" s="14" t="n">
        <v>28142.61</v>
      </c>
      <c r="G5996" s="6" t="s">
        <v>2613</v>
      </c>
    </row>
    <row r="5997" customFormat="false" ht="15" hidden="false" customHeight="true" outlineLevel="0" collapsed="false">
      <c r="A5997" s="6" t="s">
        <v>8609</v>
      </c>
      <c r="B5997" s="6" t="s">
        <v>1325</v>
      </c>
      <c r="C5997" s="6" t="s">
        <v>128</v>
      </c>
      <c r="D5997" s="13" t="n">
        <v>45908</v>
      </c>
      <c r="E5997" s="14" t="n">
        <v>2537.65</v>
      </c>
      <c r="F5997" s="14" t="n">
        <v>30680.26</v>
      </c>
      <c r="G5997" s="6" t="s">
        <v>2613</v>
      </c>
    </row>
    <row r="5998" customFormat="false" ht="15" hidden="false" customHeight="true" outlineLevel="0" collapsed="false">
      <c r="A5998" s="6" t="s">
        <v>8610</v>
      </c>
      <c r="B5998" s="6" t="s">
        <v>1325</v>
      </c>
      <c r="C5998" s="6" t="s">
        <v>128</v>
      </c>
      <c r="D5998" s="13" t="n">
        <v>45915</v>
      </c>
      <c r="E5998" s="14" t="n">
        <v>1790.37</v>
      </c>
      <c r="F5998" s="14" t="n">
        <v>32470.63</v>
      </c>
      <c r="G5998" s="6" t="s">
        <v>2623</v>
      </c>
    </row>
    <row r="5999" customFormat="false" ht="15" hidden="false" customHeight="true" outlineLevel="0" collapsed="false">
      <c r="A5999" s="6" t="s">
        <v>8611</v>
      </c>
      <c r="B5999" s="6" t="s">
        <v>1325</v>
      </c>
      <c r="C5999" s="6" t="s">
        <v>128</v>
      </c>
      <c r="D5999" s="13" t="n">
        <v>45922</v>
      </c>
      <c r="E5999" s="14" t="n">
        <v>1862.33</v>
      </c>
      <c r="F5999" s="14" t="n">
        <v>34332.96</v>
      </c>
      <c r="G5999" s="6" t="s">
        <v>2613</v>
      </c>
    </row>
    <row r="6000" customFormat="false" ht="15" hidden="false" customHeight="true" outlineLevel="0" collapsed="false">
      <c r="A6000" s="6" t="s">
        <v>8612</v>
      </c>
      <c r="B6000" s="6" t="s">
        <v>1325</v>
      </c>
      <c r="C6000" s="6" t="s">
        <v>128</v>
      </c>
      <c r="D6000" s="13" t="n">
        <v>45929</v>
      </c>
      <c r="E6000" s="14" t="n">
        <v>1407.02</v>
      </c>
      <c r="F6000" s="14" t="n">
        <v>35739.98</v>
      </c>
      <c r="G6000" s="6" t="s">
        <v>2613</v>
      </c>
    </row>
    <row r="6001" customFormat="false" ht="15" hidden="false" customHeight="true" outlineLevel="0" collapsed="false">
      <c r="A6001" s="6" t="s">
        <v>8613</v>
      </c>
      <c r="B6001" s="6" t="s">
        <v>1325</v>
      </c>
      <c r="C6001" s="6" t="s">
        <v>128</v>
      </c>
      <c r="D6001" s="13" t="n">
        <v>45936</v>
      </c>
      <c r="E6001" s="14" t="n">
        <v>4185.47</v>
      </c>
      <c r="F6001" s="14" t="n">
        <v>39925.45</v>
      </c>
      <c r="G6001" s="6" t="s">
        <v>2623</v>
      </c>
    </row>
    <row r="6002" customFormat="false" ht="15" hidden="false" customHeight="true" outlineLevel="0" collapsed="false">
      <c r="A6002" s="6" t="s">
        <v>8614</v>
      </c>
      <c r="B6002" s="6" t="s">
        <v>1327</v>
      </c>
      <c r="C6002" s="6" t="s">
        <v>116</v>
      </c>
      <c r="D6002" s="13" t="n">
        <v>45985</v>
      </c>
      <c r="E6002" s="14" t="n">
        <v>3353</v>
      </c>
      <c r="F6002" s="14" t="n">
        <v>3353</v>
      </c>
      <c r="G6002" s="6" t="s">
        <v>2613</v>
      </c>
    </row>
    <row r="6003" customFormat="false" ht="15" hidden="false" customHeight="true" outlineLevel="0" collapsed="false">
      <c r="A6003" s="6" t="s">
        <v>8615</v>
      </c>
      <c r="B6003" s="6" t="s">
        <v>1327</v>
      </c>
      <c r="C6003" s="6" t="s">
        <v>116</v>
      </c>
      <c r="D6003" s="13" t="n">
        <v>45992</v>
      </c>
      <c r="E6003" s="14" t="n">
        <v>3514.71</v>
      </c>
      <c r="F6003" s="14" t="n">
        <v>6867.71</v>
      </c>
      <c r="G6003" s="6" t="s">
        <v>2613</v>
      </c>
    </row>
    <row r="6004" customFormat="false" ht="15" hidden="false" customHeight="true" outlineLevel="0" collapsed="false">
      <c r="A6004" s="6" t="s">
        <v>8616</v>
      </c>
      <c r="B6004" s="6" t="s">
        <v>1327</v>
      </c>
      <c r="C6004" s="6" t="s">
        <v>116</v>
      </c>
      <c r="D6004" s="13" t="n">
        <v>45999</v>
      </c>
      <c r="E6004" s="14" t="n">
        <v>3697.32</v>
      </c>
      <c r="F6004" s="14" t="n">
        <v>10565.03</v>
      </c>
      <c r="G6004" s="6" t="s">
        <v>2613</v>
      </c>
    </row>
    <row r="6005" customFormat="false" ht="15" hidden="false" customHeight="true" outlineLevel="0" collapsed="false">
      <c r="A6005" s="6" t="s">
        <v>8617</v>
      </c>
      <c r="B6005" s="6" t="s">
        <v>1327</v>
      </c>
      <c r="C6005" s="6" t="s">
        <v>116</v>
      </c>
      <c r="D6005" s="13" t="n">
        <v>46006</v>
      </c>
      <c r="E6005" s="14" t="n">
        <v>2023.66</v>
      </c>
      <c r="F6005" s="14" t="n">
        <v>12588.69</v>
      </c>
      <c r="G6005" s="6" t="s">
        <v>2613</v>
      </c>
    </row>
    <row r="6006" customFormat="false" ht="15" hidden="false" customHeight="true" outlineLevel="0" collapsed="false">
      <c r="A6006" s="6" t="s">
        <v>8618</v>
      </c>
      <c r="B6006" s="6" t="s">
        <v>1327</v>
      </c>
      <c r="C6006" s="6" t="s">
        <v>116</v>
      </c>
      <c r="D6006" s="13" t="n">
        <v>46013</v>
      </c>
      <c r="E6006" s="14" t="n">
        <v>2037.57</v>
      </c>
      <c r="F6006" s="14" t="n">
        <v>14626.26</v>
      </c>
      <c r="G6006" s="6" t="s">
        <v>2613</v>
      </c>
    </row>
    <row r="6007" customFormat="false" ht="15" hidden="false" customHeight="true" outlineLevel="0" collapsed="false">
      <c r="A6007" s="6" t="s">
        <v>8619</v>
      </c>
      <c r="B6007" s="6" t="s">
        <v>1327</v>
      </c>
      <c r="C6007" s="6" t="s">
        <v>116</v>
      </c>
      <c r="D6007" s="13" t="n">
        <v>46020</v>
      </c>
      <c r="E6007" s="14" t="n">
        <v>2919.22</v>
      </c>
      <c r="F6007" s="14" t="n">
        <v>17545.48</v>
      </c>
      <c r="G6007" s="6" t="s">
        <v>2613</v>
      </c>
    </row>
    <row r="6008" customFormat="false" ht="15" hidden="false" customHeight="true" outlineLevel="0" collapsed="false">
      <c r="A6008" s="6" t="s">
        <v>8620</v>
      </c>
      <c r="B6008" s="6" t="s">
        <v>1327</v>
      </c>
      <c r="C6008" s="6" t="s">
        <v>116</v>
      </c>
      <c r="D6008" s="13" t="n">
        <v>46027</v>
      </c>
      <c r="E6008" s="14" t="n">
        <v>3848.42</v>
      </c>
      <c r="F6008" s="14" t="n">
        <v>21393.9</v>
      </c>
      <c r="G6008" s="6" t="s">
        <v>2613</v>
      </c>
    </row>
    <row r="6009" customFormat="false" ht="15" hidden="false" customHeight="true" outlineLevel="0" collapsed="false">
      <c r="A6009" s="6" t="s">
        <v>8621</v>
      </c>
      <c r="B6009" s="6" t="s">
        <v>1327</v>
      </c>
      <c r="C6009" s="6" t="s">
        <v>116</v>
      </c>
      <c r="D6009" s="13" t="n">
        <v>46034</v>
      </c>
      <c r="E6009" s="14" t="n">
        <v>2371.19</v>
      </c>
      <c r="F6009" s="14" t="n">
        <v>23765.09</v>
      </c>
      <c r="G6009" s="6" t="s">
        <v>2613</v>
      </c>
    </row>
    <row r="6010" customFormat="false" ht="15" hidden="false" customHeight="true" outlineLevel="0" collapsed="false">
      <c r="A6010" s="6" t="s">
        <v>8622</v>
      </c>
      <c r="B6010" s="6" t="s">
        <v>1329</v>
      </c>
      <c r="C6010" s="6" t="s">
        <v>124</v>
      </c>
      <c r="D6010" s="13" t="n">
        <v>45095</v>
      </c>
      <c r="E6010" s="14" t="n">
        <v>3535.06</v>
      </c>
      <c r="F6010" s="14" t="n">
        <v>3535.06</v>
      </c>
      <c r="G6010" s="6" t="s">
        <v>2613</v>
      </c>
    </row>
    <row r="6011" customFormat="false" ht="15" hidden="false" customHeight="true" outlineLevel="0" collapsed="false">
      <c r="A6011" s="6" t="s">
        <v>8623</v>
      </c>
      <c r="B6011" s="6" t="s">
        <v>1329</v>
      </c>
      <c r="C6011" s="6" t="s">
        <v>124</v>
      </c>
      <c r="D6011" s="13" t="n">
        <v>45102</v>
      </c>
      <c r="E6011" s="14" t="n">
        <v>3269.76</v>
      </c>
      <c r="F6011" s="14" t="n">
        <v>6804.82</v>
      </c>
      <c r="G6011" s="6" t="s">
        <v>2613</v>
      </c>
    </row>
    <row r="6012" customFormat="false" ht="15" hidden="false" customHeight="true" outlineLevel="0" collapsed="false">
      <c r="A6012" s="6" t="s">
        <v>8624</v>
      </c>
      <c r="B6012" s="6" t="s">
        <v>1329</v>
      </c>
      <c r="C6012" s="6" t="s">
        <v>124</v>
      </c>
      <c r="D6012" s="13" t="n">
        <v>45109</v>
      </c>
      <c r="E6012" s="14" t="n">
        <v>3969.76</v>
      </c>
      <c r="F6012" s="14" t="n">
        <v>10774.58</v>
      </c>
      <c r="G6012" s="6" t="s">
        <v>2613</v>
      </c>
    </row>
    <row r="6013" customFormat="false" ht="15" hidden="false" customHeight="true" outlineLevel="0" collapsed="false">
      <c r="A6013" s="6" t="s">
        <v>8625</v>
      </c>
      <c r="B6013" s="6" t="s">
        <v>1329</v>
      </c>
      <c r="C6013" s="6" t="s">
        <v>124</v>
      </c>
      <c r="D6013" s="13" t="n">
        <v>45116</v>
      </c>
      <c r="E6013" s="14" t="n">
        <v>4312.41</v>
      </c>
      <c r="F6013" s="14" t="n">
        <v>15086.99</v>
      </c>
      <c r="G6013" s="6" t="s">
        <v>2613</v>
      </c>
    </row>
    <row r="6014" customFormat="false" ht="15" hidden="false" customHeight="true" outlineLevel="0" collapsed="false">
      <c r="A6014" s="6" t="s">
        <v>8626</v>
      </c>
      <c r="B6014" s="6" t="s">
        <v>1329</v>
      </c>
      <c r="C6014" s="6" t="s">
        <v>124</v>
      </c>
      <c r="D6014" s="13" t="n">
        <v>45123</v>
      </c>
      <c r="E6014" s="14" t="n">
        <v>3841.39</v>
      </c>
      <c r="F6014" s="14" t="n">
        <v>18928.38</v>
      </c>
      <c r="G6014" s="6" t="s">
        <v>2613</v>
      </c>
    </row>
    <row r="6015" customFormat="false" ht="15" hidden="false" customHeight="true" outlineLevel="0" collapsed="false">
      <c r="A6015" s="6" t="s">
        <v>8627</v>
      </c>
      <c r="B6015" s="6" t="s">
        <v>1329</v>
      </c>
      <c r="C6015" s="6" t="s">
        <v>124</v>
      </c>
      <c r="D6015" s="13" t="n">
        <v>45130</v>
      </c>
      <c r="E6015" s="14" t="n">
        <v>3683.89</v>
      </c>
      <c r="F6015" s="14" t="n">
        <v>22612.27</v>
      </c>
      <c r="G6015" s="6" t="s">
        <v>2613</v>
      </c>
    </row>
    <row r="6016" customFormat="false" ht="15" hidden="false" customHeight="true" outlineLevel="0" collapsed="false">
      <c r="A6016" s="6" t="s">
        <v>8628</v>
      </c>
      <c r="B6016" s="6" t="s">
        <v>1329</v>
      </c>
      <c r="C6016" s="6" t="s">
        <v>124</v>
      </c>
      <c r="D6016" s="13" t="n">
        <v>45137</v>
      </c>
      <c r="E6016" s="14" t="n">
        <v>3838.47</v>
      </c>
      <c r="F6016" s="14" t="n">
        <v>26450.74</v>
      </c>
      <c r="G6016" s="6" t="s">
        <v>2613</v>
      </c>
    </row>
    <row r="6017" customFormat="false" ht="15" hidden="false" customHeight="true" outlineLevel="0" collapsed="false">
      <c r="A6017" s="6" t="s">
        <v>8629</v>
      </c>
      <c r="B6017" s="6" t="s">
        <v>1329</v>
      </c>
      <c r="C6017" s="6" t="s">
        <v>124</v>
      </c>
      <c r="D6017" s="13" t="n">
        <v>45144</v>
      </c>
      <c r="E6017" s="14" t="n">
        <v>3507.11</v>
      </c>
      <c r="F6017" s="14" t="n">
        <v>29957.85</v>
      </c>
      <c r="G6017" s="6" t="s">
        <v>2613</v>
      </c>
    </row>
    <row r="6018" customFormat="false" ht="15" hidden="false" customHeight="true" outlineLevel="0" collapsed="false">
      <c r="A6018" s="6" t="s">
        <v>8630</v>
      </c>
      <c r="B6018" s="6" t="s">
        <v>1331</v>
      </c>
      <c r="C6018" s="6" t="s">
        <v>131</v>
      </c>
      <c r="D6018" s="13" t="n">
        <v>45622</v>
      </c>
      <c r="E6018" s="14" t="n">
        <v>919.17</v>
      </c>
      <c r="F6018" s="14" t="n">
        <v>919.17</v>
      </c>
      <c r="G6018" s="6" t="s">
        <v>2613</v>
      </c>
    </row>
    <row r="6019" customFormat="false" ht="15" hidden="false" customHeight="true" outlineLevel="0" collapsed="false">
      <c r="A6019" s="6" t="s">
        <v>8631</v>
      </c>
      <c r="B6019" s="6" t="s">
        <v>1331</v>
      </c>
      <c r="C6019" s="6" t="s">
        <v>131</v>
      </c>
      <c r="D6019" s="13" t="n">
        <v>45629</v>
      </c>
      <c r="E6019" s="14" t="n">
        <v>869.51</v>
      </c>
      <c r="F6019" s="14" t="n">
        <v>1788.68</v>
      </c>
      <c r="G6019" s="6" t="s">
        <v>2613</v>
      </c>
    </row>
    <row r="6020" customFormat="false" ht="15" hidden="false" customHeight="true" outlineLevel="0" collapsed="false">
      <c r="A6020" s="6" t="s">
        <v>8632</v>
      </c>
      <c r="B6020" s="6" t="s">
        <v>1331</v>
      </c>
      <c r="C6020" s="6" t="s">
        <v>131</v>
      </c>
      <c r="D6020" s="13" t="n">
        <v>45636</v>
      </c>
      <c r="E6020" s="14" t="n">
        <v>507.58</v>
      </c>
      <c r="F6020" s="14" t="n">
        <v>2296.26</v>
      </c>
      <c r="G6020" s="6" t="s">
        <v>2613</v>
      </c>
    </row>
    <row r="6021" customFormat="false" ht="15" hidden="false" customHeight="true" outlineLevel="0" collapsed="false">
      <c r="A6021" s="6" t="s">
        <v>8633</v>
      </c>
      <c r="B6021" s="6" t="s">
        <v>1333</v>
      </c>
      <c r="C6021" s="6" t="s">
        <v>124</v>
      </c>
      <c r="D6021" s="13" t="n">
        <v>45630</v>
      </c>
      <c r="E6021" s="14" t="n">
        <v>4824.75</v>
      </c>
      <c r="F6021" s="14" t="n">
        <v>4824.75</v>
      </c>
      <c r="G6021" s="6" t="s">
        <v>2613</v>
      </c>
    </row>
    <row r="6022" customFormat="false" ht="15" hidden="false" customHeight="true" outlineLevel="0" collapsed="false">
      <c r="A6022" s="6" t="s">
        <v>8634</v>
      </c>
      <c r="B6022" s="6" t="s">
        <v>1333</v>
      </c>
      <c r="C6022" s="6" t="s">
        <v>124</v>
      </c>
      <c r="D6022" s="13" t="n">
        <v>45637</v>
      </c>
      <c r="E6022" s="14" t="n">
        <v>7171.47</v>
      </c>
      <c r="F6022" s="14" t="n">
        <v>11996.22</v>
      </c>
      <c r="G6022" s="6" t="s">
        <v>2613</v>
      </c>
    </row>
    <row r="6023" customFormat="false" ht="15" hidden="false" customHeight="true" outlineLevel="0" collapsed="false">
      <c r="A6023" s="6" t="s">
        <v>8635</v>
      </c>
      <c r="B6023" s="6" t="s">
        <v>1333</v>
      </c>
      <c r="C6023" s="6" t="s">
        <v>124</v>
      </c>
      <c r="D6023" s="13" t="n">
        <v>45644</v>
      </c>
      <c r="E6023" s="14" t="n">
        <v>8917.64</v>
      </c>
      <c r="F6023" s="14" t="n">
        <v>20913.86</v>
      </c>
      <c r="G6023" s="6" t="s">
        <v>2613</v>
      </c>
    </row>
    <row r="6024" customFormat="false" ht="15" hidden="false" customHeight="true" outlineLevel="0" collapsed="false">
      <c r="A6024" s="6" t="s">
        <v>8636</v>
      </c>
      <c r="B6024" s="6" t="s">
        <v>1333</v>
      </c>
      <c r="C6024" s="6" t="s">
        <v>124</v>
      </c>
      <c r="D6024" s="13" t="n">
        <v>45651</v>
      </c>
      <c r="E6024" s="14" t="n">
        <v>9190.35</v>
      </c>
      <c r="F6024" s="14" t="n">
        <v>30104.21</v>
      </c>
      <c r="G6024" s="6" t="s">
        <v>2613</v>
      </c>
    </row>
    <row r="6025" customFormat="false" ht="15" hidden="false" customHeight="true" outlineLevel="0" collapsed="false">
      <c r="A6025" s="6" t="s">
        <v>8637</v>
      </c>
      <c r="B6025" s="6" t="s">
        <v>1335</v>
      </c>
      <c r="C6025" s="6" t="s">
        <v>131</v>
      </c>
      <c r="D6025" s="13" t="n">
        <v>45652</v>
      </c>
      <c r="E6025" s="14" t="n">
        <v>4330.47</v>
      </c>
      <c r="F6025" s="14" t="n">
        <v>4330.47</v>
      </c>
      <c r="G6025" s="6" t="s">
        <v>2613</v>
      </c>
    </row>
    <row r="6026" customFormat="false" ht="15" hidden="false" customHeight="true" outlineLevel="0" collapsed="false">
      <c r="A6026" s="6" t="s">
        <v>8638</v>
      </c>
      <c r="B6026" s="6" t="s">
        <v>1335</v>
      </c>
      <c r="C6026" s="6" t="s">
        <v>131</v>
      </c>
      <c r="D6026" s="13" t="n">
        <v>45659</v>
      </c>
      <c r="E6026" s="14" t="n">
        <v>3980.16</v>
      </c>
      <c r="F6026" s="14" t="n">
        <v>8310.63</v>
      </c>
      <c r="G6026" s="6" t="s">
        <v>2613</v>
      </c>
    </row>
    <row r="6027" customFormat="false" ht="15" hidden="false" customHeight="true" outlineLevel="0" collapsed="false">
      <c r="A6027" s="6" t="s">
        <v>8639</v>
      </c>
      <c r="B6027" s="6" t="s">
        <v>1335</v>
      </c>
      <c r="C6027" s="6" t="s">
        <v>131</v>
      </c>
      <c r="D6027" s="13" t="n">
        <v>45666</v>
      </c>
      <c r="E6027" s="14" t="n">
        <v>2471.23</v>
      </c>
      <c r="F6027" s="14" t="n">
        <v>10781.86</v>
      </c>
      <c r="G6027" s="6" t="s">
        <v>2613</v>
      </c>
    </row>
    <row r="6028" customFormat="false" ht="15" hidden="false" customHeight="true" outlineLevel="0" collapsed="false">
      <c r="A6028" s="6" t="s">
        <v>8640</v>
      </c>
      <c r="B6028" s="6" t="s">
        <v>1335</v>
      </c>
      <c r="C6028" s="6" t="s">
        <v>131</v>
      </c>
      <c r="D6028" s="13" t="n">
        <v>45673</v>
      </c>
      <c r="E6028" s="14" t="n">
        <v>4197.12</v>
      </c>
      <c r="F6028" s="14" t="n">
        <v>14978.98</v>
      </c>
      <c r="G6028" s="6" t="s">
        <v>2613</v>
      </c>
    </row>
    <row r="6029" customFormat="false" ht="15" hidden="false" customHeight="true" outlineLevel="0" collapsed="false">
      <c r="A6029" s="6" t="s">
        <v>8641</v>
      </c>
      <c r="B6029" s="6" t="s">
        <v>1335</v>
      </c>
      <c r="C6029" s="6" t="s">
        <v>131</v>
      </c>
      <c r="D6029" s="13" t="n">
        <v>45680</v>
      </c>
      <c r="E6029" s="14" t="n">
        <v>2949.68</v>
      </c>
      <c r="F6029" s="14" t="n">
        <v>17928.66</v>
      </c>
      <c r="G6029" s="6" t="s">
        <v>2613</v>
      </c>
    </row>
    <row r="6030" customFormat="false" ht="15" hidden="false" customHeight="true" outlineLevel="0" collapsed="false">
      <c r="A6030" s="6" t="s">
        <v>8642</v>
      </c>
      <c r="B6030" s="6" t="s">
        <v>1335</v>
      </c>
      <c r="C6030" s="6" t="s">
        <v>131</v>
      </c>
      <c r="D6030" s="13" t="n">
        <v>45687</v>
      </c>
      <c r="E6030" s="14" t="n">
        <v>2153.03</v>
      </c>
      <c r="F6030" s="14" t="n">
        <v>20081.69</v>
      </c>
      <c r="G6030" s="6" t="s">
        <v>2613</v>
      </c>
    </row>
    <row r="6031" customFormat="false" ht="15" hidden="false" customHeight="true" outlineLevel="0" collapsed="false">
      <c r="A6031" s="6" t="s">
        <v>8643</v>
      </c>
      <c r="B6031" s="6" t="s">
        <v>1335</v>
      </c>
      <c r="C6031" s="6" t="s">
        <v>131</v>
      </c>
      <c r="D6031" s="13" t="n">
        <v>45694</v>
      </c>
      <c r="E6031" s="14" t="n">
        <v>3588.03</v>
      </c>
      <c r="F6031" s="14" t="n">
        <v>23669.72</v>
      </c>
      <c r="G6031" s="6" t="s">
        <v>2613</v>
      </c>
    </row>
    <row r="6032" customFormat="false" ht="15" hidden="false" customHeight="true" outlineLevel="0" collapsed="false">
      <c r="A6032" s="6" t="s">
        <v>8644</v>
      </c>
      <c r="B6032" s="6" t="s">
        <v>1335</v>
      </c>
      <c r="C6032" s="6" t="s">
        <v>131</v>
      </c>
      <c r="D6032" s="13" t="n">
        <v>45701</v>
      </c>
      <c r="E6032" s="14" t="n">
        <v>3238.02</v>
      </c>
      <c r="F6032" s="14" t="n">
        <v>26907.74</v>
      </c>
      <c r="G6032" s="6" t="s">
        <v>2613</v>
      </c>
    </row>
    <row r="6033" customFormat="false" ht="15" hidden="false" customHeight="true" outlineLevel="0" collapsed="false">
      <c r="A6033" s="6" t="s">
        <v>8645</v>
      </c>
      <c r="B6033" s="6" t="s">
        <v>1335</v>
      </c>
      <c r="C6033" s="6" t="s">
        <v>131</v>
      </c>
      <c r="D6033" s="13" t="n">
        <v>45708</v>
      </c>
      <c r="E6033" s="14" t="n">
        <v>4132.69</v>
      </c>
      <c r="F6033" s="14" t="n">
        <v>31040.43</v>
      </c>
      <c r="G6033" s="6" t="s">
        <v>2613</v>
      </c>
    </row>
    <row r="6034" customFormat="false" ht="15" hidden="false" customHeight="true" outlineLevel="0" collapsed="false">
      <c r="A6034" s="6" t="s">
        <v>8646</v>
      </c>
      <c r="B6034" s="6" t="s">
        <v>1335</v>
      </c>
      <c r="C6034" s="6" t="s">
        <v>131</v>
      </c>
      <c r="D6034" s="13" t="n">
        <v>45715</v>
      </c>
      <c r="E6034" s="14" t="n">
        <v>2150.23</v>
      </c>
      <c r="F6034" s="14" t="n">
        <v>33190.66</v>
      </c>
      <c r="G6034" s="6" t="s">
        <v>2613</v>
      </c>
    </row>
    <row r="6035" customFormat="false" ht="15" hidden="false" customHeight="true" outlineLevel="0" collapsed="false">
      <c r="A6035" s="6" t="s">
        <v>8647</v>
      </c>
      <c r="B6035" s="6" t="s">
        <v>1335</v>
      </c>
      <c r="C6035" s="6" t="s">
        <v>131</v>
      </c>
      <c r="D6035" s="13" t="n">
        <v>45722</v>
      </c>
      <c r="E6035" s="14" t="n">
        <v>4487.18</v>
      </c>
      <c r="F6035" s="14" t="n">
        <v>37677.84</v>
      </c>
      <c r="G6035" s="6" t="s">
        <v>2613</v>
      </c>
    </row>
    <row r="6036" customFormat="false" ht="15" hidden="false" customHeight="true" outlineLevel="0" collapsed="false">
      <c r="A6036" s="6" t="s">
        <v>8648</v>
      </c>
      <c r="B6036" s="6" t="s">
        <v>1335</v>
      </c>
      <c r="C6036" s="6" t="s">
        <v>131</v>
      </c>
      <c r="D6036" s="13" t="n">
        <v>45729</v>
      </c>
      <c r="E6036" s="14" t="n">
        <v>1092.26</v>
      </c>
      <c r="F6036" s="14" t="n">
        <v>38770.1</v>
      </c>
      <c r="G6036" s="6" t="s">
        <v>2613</v>
      </c>
    </row>
    <row r="6037" customFormat="false" ht="15" hidden="false" customHeight="true" outlineLevel="0" collapsed="false">
      <c r="A6037" s="6" t="s">
        <v>8649</v>
      </c>
      <c r="B6037" s="6" t="s">
        <v>1337</v>
      </c>
      <c r="C6037" s="6" t="s">
        <v>120</v>
      </c>
      <c r="D6037" s="13" t="n">
        <v>44871</v>
      </c>
      <c r="E6037" s="14" t="n">
        <v>325.16</v>
      </c>
      <c r="F6037" s="14" t="n">
        <v>325.16</v>
      </c>
      <c r="G6037" s="6" t="s">
        <v>2613</v>
      </c>
    </row>
    <row r="6038" customFormat="false" ht="15" hidden="false" customHeight="true" outlineLevel="0" collapsed="false">
      <c r="A6038" s="6" t="s">
        <v>8650</v>
      </c>
      <c r="B6038" s="6" t="s">
        <v>1337</v>
      </c>
      <c r="C6038" s="6" t="s">
        <v>120</v>
      </c>
      <c r="D6038" s="13" t="n">
        <v>44878</v>
      </c>
      <c r="E6038" s="14" t="n">
        <v>436.09</v>
      </c>
      <c r="F6038" s="14" t="n">
        <v>761.25</v>
      </c>
      <c r="G6038" s="6" t="s">
        <v>2613</v>
      </c>
    </row>
    <row r="6039" customFormat="false" ht="15" hidden="false" customHeight="true" outlineLevel="0" collapsed="false">
      <c r="A6039" s="6" t="s">
        <v>8651</v>
      </c>
      <c r="B6039" s="6" t="s">
        <v>1337</v>
      </c>
      <c r="C6039" s="6" t="s">
        <v>120</v>
      </c>
      <c r="D6039" s="13" t="n">
        <v>44885</v>
      </c>
      <c r="E6039" s="14" t="n">
        <v>382</v>
      </c>
      <c r="F6039" s="14" t="n">
        <v>1143.25</v>
      </c>
      <c r="G6039" s="6" t="s">
        <v>2613</v>
      </c>
    </row>
    <row r="6040" customFormat="false" ht="15" hidden="false" customHeight="true" outlineLevel="0" collapsed="false">
      <c r="A6040" s="6" t="s">
        <v>8652</v>
      </c>
      <c r="B6040" s="6" t="s">
        <v>1337</v>
      </c>
      <c r="C6040" s="6" t="s">
        <v>120</v>
      </c>
      <c r="D6040" s="13" t="n">
        <v>44892</v>
      </c>
      <c r="E6040" s="14" t="n">
        <v>414.3</v>
      </c>
      <c r="F6040" s="14" t="n">
        <v>1557.55</v>
      </c>
      <c r="G6040" s="6" t="s">
        <v>2613</v>
      </c>
    </row>
    <row r="6041" customFormat="false" ht="15" hidden="false" customHeight="true" outlineLevel="0" collapsed="false">
      <c r="A6041" s="6" t="s">
        <v>8653</v>
      </c>
      <c r="B6041" s="6" t="s">
        <v>1337</v>
      </c>
      <c r="C6041" s="6" t="s">
        <v>120</v>
      </c>
      <c r="D6041" s="13" t="n">
        <v>44899</v>
      </c>
      <c r="E6041" s="14" t="n">
        <v>213.64</v>
      </c>
      <c r="F6041" s="14" t="n">
        <v>1771.19</v>
      </c>
      <c r="G6041" s="6" t="s">
        <v>2613</v>
      </c>
    </row>
    <row r="6042" customFormat="false" ht="15" hidden="false" customHeight="true" outlineLevel="0" collapsed="false">
      <c r="A6042" s="6" t="s">
        <v>8654</v>
      </c>
      <c r="B6042" s="6" t="s">
        <v>1337</v>
      </c>
      <c r="C6042" s="6" t="s">
        <v>120</v>
      </c>
      <c r="D6042" s="13" t="n">
        <v>44906</v>
      </c>
      <c r="E6042" s="14" t="n">
        <v>474.37</v>
      </c>
      <c r="F6042" s="14" t="n">
        <v>2245.56</v>
      </c>
      <c r="G6042" s="6" t="s">
        <v>2623</v>
      </c>
    </row>
    <row r="6043" customFormat="false" ht="15" hidden="false" customHeight="true" outlineLevel="0" collapsed="false">
      <c r="A6043" s="6" t="s">
        <v>8655</v>
      </c>
      <c r="B6043" s="6" t="s">
        <v>1337</v>
      </c>
      <c r="C6043" s="6" t="s">
        <v>120</v>
      </c>
      <c r="D6043" s="13" t="n">
        <v>44913</v>
      </c>
      <c r="E6043" s="14" t="n">
        <v>439.7</v>
      </c>
      <c r="F6043" s="14" t="n">
        <v>2685.26</v>
      </c>
      <c r="G6043" s="6" t="s">
        <v>2613</v>
      </c>
    </row>
    <row r="6044" customFormat="false" ht="15" hidden="false" customHeight="true" outlineLevel="0" collapsed="false">
      <c r="A6044" s="6" t="s">
        <v>8656</v>
      </c>
      <c r="B6044" s="6" t="s">
        <v>1337</v>
      </c>
      <c r="C6044" s="6" t="s">
        <v>120</v>
      </c>
      <c r="D6044" s="13" t="n">
        <v>44920</v>
      </c>
      <c r="E6044" s="14" t="n">
        <v>242.99</v>
      </c>
      <c r="F6044" s="14" t="n">
        <v>2928.25</v>
      </c>
      <c r="G6044" s="6" t="s">
        <v>2613</v>
      </c>
    </row>
    <row r="6045" customFormat="false" ht="15" hidden="false" customHeight="true" outlineLevel="0" collapsed="false">
      <c r="A6045" s="6" t="s">
        <v>8657</v>
      </c>
      <c r="B6045" s="6" t="s">
        <v>1337</v>
      </c>
      <c r="C6045" s="6" t="s">
        <v>120</v>
      </c>
      <c r="D6045" s="13" t="n">
        <v>44927</v>
      </c>
      <c r="E6045" s="14" t="n">
        <v>414.75</v>
      </c>
      <c r="F6045" s="14" t="n">
        <v>3343</v>
      </c>
      <c r="G6045" s="6" t="s">
        <v>2613</v>
      </c>
    </row>
    <row r="6046" customFormat="false" ht="15" hidden="false" customHeight="true" outlineLevel="0" collapsed="false">
      <c r="A6046" s="6" t="s">
        <v>8658</v>
      </c>
      <c r="B6046" s="6" t="s">
        <v>1337</v>
      </c>
      <c r="C6046" s="6" t="s">
        <v>120</v>
      </c>
      <c r="D6046" s="13" t="n">
        <v>44934</v>
      </c>
      <c r="E6046" s="14" t="n">
        <v>367.5</v>
      </c>
      <c r="F6046" s="14" t="n">
        <v>3710.5</v>
      </c>
      <c r="G6046" s="6" t="s">
        <v>2613</v>
      </c>
    </row>
    <row r="6047" customFormat="false" ht="15" hidden="false" customHeight="true" outlineLevel="0" collapsed="false">
      <c r="A6047" s="6" t="s">
        <v>8659</v>
      </c>
      <c r="B6047" s="6" t="s">
        <v>1337</v>
      </c>
      <c r="C6047" s="6" t="s">
        <v>120</v>
      </c>
      <c r="D6047" s="13" t="n">
        <v>44941</v>
      </c>
      <c r="E6047" s="14" t="n">
        <v>230.04</v>
      </c>
      <c r="F6047" s="14" t="n">
        <v>3940.54</v>
      </c>
      <c r="G6047" s="6" t="s">
        <v>2613</v>
      </c>
    </row>
    <row r="6048" customFormat="false" ht="15" hidden="false" customHeight="true" outlineLevel="0" collapsed="false">
      <c r="A6048" s="6" t="s">
        <v>8660</v>
      </c>
      <c r="B6048" s="6" t="s">
        <v>1337</v>
      </c>
      <c r="C6048" s="6" t="s">
        <v>120</v>
      </c>
      <c r="D6048" s="13" t="n">
        <v>44948</v>
      </c>
      <c r="E6048" s="14" t="n">
        <v>445.67</v>
      </c>
      <c r="F6048" s="14" t="n">
        <v>4386.21</v>
      </c>
      <c r="G6048" s="6" t="s">
        <v>2613</v>
      </c>
    </row>
    <row r="6049" customFormat="false" ht="15" hidden="false" customHeight="true" outlineLevel="0" collapsed="false">
      <c r="A6049" s="6" t="s">
        <v>8661</v>
      </c>
      <c r="B6049" s="6" t="s">
        <v>1337</v>
      </c>
      <c r="C6049" s="6" t="s">
        <v>120</v>
      </c>
      <c r="D6049" s="13" t="n">
        <v>44955</v>
      </c>
      <c r="E6049" s="14" t="n">
        <v>118.54</v>
      </c>
      <c r="F6049" s="14" t="n">
        <v>4504.75</v>
      </c>
      <c r="G6049" s="6" t="s">
        <v>2613</v>
      </c>
    </row>
    <row r="6050" customFormat="false" ht="15" hidden="false" customHeight="true" outlineLevel="0" collapsed="false">
      <c r="A6050" s="6" t="s">
        <v>8662</v>
      </c>
      <c r="B6050" s="6" t="s">
        <v>1339</v>
      </c>
      <c r="C6050" s="6" t="s">
        <v>124</v>
      </c>
      <c r="D6050" s="13" t="n">
        <v>44775</v>
      </c>
      <c r="E6050" s="14" t="n">
        <v>1165.8</v>
      </c>
      <c r="F6050" s="14" t="n">
        <v>1165.8</v>
      </c>
      <c r="G6050" s="6" t="s">
        <v>2613</v>
      </c>
    </row>
    <row r="6051" customFormat="false" ht="15" hidden="false" customHeight="true" outlineLevel="0" collapsed="false">
      <c r="A6051" s="6" t="s">
        <v>8663</v>
      </c>
      <c r="B6051" s="6" t="s">
        <v>1339</v>
      </c>
      <c r="C6051" s="6" t="s">
        <v>124</v>
      </c>
      <c r="D6051" s="13" t="n">
        <v>44782</v>
      </c>
      <c r="E6051" s="14" t="n">
        <v>2396.15</v>
      </c>
      <c r="F6051" s="14" t="n">
        <v>3561.95</v>
      </c>
      <c r="G6051" s="6" t="s">
        <v>2613</v>
      </c>
    </row>
    <row r="6052" customFormat="false" ht="15" hidden="false" customHeight="true" outlineLevel="0" collapsed="false">
      <c r="A6052" s="6" t="s">
        <v>8664</v>
      </c>
      <c r="B6052" s="6" t="s">
        <v>1339</v>
      </c>
      <c r="C6052" s="6" t="s">
        <v>124</v>
      </c>
      <c r="D6052" s="13" t="n">
        <v>44789</v>
      </c>
      <c r="E6052" s="14" t="n">
        <v>2153.95</v>
      </c>
      <c r="F6052" s="14" t="n">
        <v>5715.9</v>
      </c>
      <c r="G6052" s="6" t="s">
        <v>2613</v>
      </c>
    </row>
    <row r="6053" customFormat="false" ht="15" hidden="false" customHeight="true" outlineLevel="0" collapsed="false">
      <c r="A6053" s="6" t="s">
        <v>8665</v>
      </c>
      <c r="B6053" s="6" t="s">
        <v>1339</v>
      </c>
      <c r="C6053" s="6" t="s">
        <v>124</v>
      </c>
      <c r="D6053" s="13" t="n">
        <v>44796</v>
      </c>
      <c r="E6053" s="14" t="n">
        <v>1205.45</v>
      </c>
      <c r="F6053" s="14" t="n">
        <v>6921.35</v>
      </c>
      <c r="G6053" s="6" t="s">
        <v>2613</v>
      </c>
    </row>
    <row r="6054" customFormat="false" ht="15" hidden="false" customHeight="true" outlineLevel="0" collapsed="false">
      <c r="A6054" s="6" t="s">
        <v>8666</v>
      </c>
      <c r="B6054" s="6" t="s">
        <v>1339</v>
      </c>
      <c r="C6054" s="6" t="s">
        <v>124</v>
      </c>
      <c r="D6054" s="13" t="n">
        <v>44803</v>
      </c>
      <c r="E6054" s="14" t="n">
        <v>2128.25</v>
      </c>
      <c r="F6054" s="14" t="n">
        <v>9049.6</v>
      </c>
      <c r="G6054" s="6" t="s">
        <v>2613</v>
      </c>
    </row>
    <row r="6055" customFormat="false" ht="15" hidden="false" customHeight="true" outlineLevel="0" collapsed="false">
      <c r="A6055" s="6" t="s">
        <v>8667</v>
      </c>
      <c r="B6055" s="6" t="s">
        <v>1339</v>
      </c>
      <c r="C6055" s="6" t="s">
        <v>124</v>
      </c>
      <c r="D6055" s="13" t="n">
        <v>44810</v>
      </c>
      <c r="E6055" s="14" t="n">
        <v>1832.7</v>
      </c>
      <c r="F6055" s="14" t="n">
        <v>10882.3</v>
      </c>
      <c r="G6055" s="6" t="s">
        <v>2613</v>
      </c>
    </row>
    <row r="6056" customFormat="false" ht="15" hidden="false" customHeight="true" outlineLevel="0" collapsed="false">
      <c r="A6056" s="6" t="s">
        <v>8668</v>
      </c>
      <c r="B6056" s="6" t="s">
        <v>1339</v>
      </c>
      <c r="C6056" s="6" t="s">
        <v>124</v>
      </c>
      <c r="D6056" s="13" t="n">
        <v>44817</v>
      </c>
      <c r="E6056" s="14" t="n">
        <v>1694.26</v>
      </c>
      <c r="F6056" s="14" t="n">
        <v>12576.56</v>
      </c>
      <c r="G6056" s="6" t="s">
        <v>2613</v>
      </c>
    </row>
    <row r="6057" customFormat="false" ht="15" hidden="false" customHeight="true" outlineLevel="0" collapsed="false">
      <c r="A6057" s="6" t="s">
        <v>8669</v>
      </c>
      <c r="B6057" s="6" t="s">
        <v>1339</v>
      </c>
      <c r="C6057" s="6" t="s">
        <v>124</v>
      </c>
      <c r="D6057" s="13" t="n">
        <v>44824</v>
      </c>
      <c r="E6057" s="14" t="n">
        <v>2129.86</v>
      </c>
      <c r="F6057" s="14" t="n">
        <v>14706.42</v>
      </c>
      <c r="G6057" s="6" t="s">
        <v>2623</v>
      </c>
    </row>
    <row r="6058" customFormat="false" ht="15" hidden="false" customHeight="true" outlineLevel="0" collapsed="false">
      <c r="A6058" s="6" t="s">
        <v>8670</v>
      </c>
      <c r="B6058" s="6" t="s">
        <v>1341</v>
      </c>
      <c r="C6058" s="6" t="s">
        <v>131</v>
      </c>
      <c r="D6058" s="13" t="n">
        <v>45684</v>
      </c>
      <c r="E6058" s="14" t="n">
        <v>7122.47</v>
      </c>
      <c r="F6058" s="14" t="n">
        <v>7122.47</v>
      </c>
      <c r="G6058" s="6" t="s">
        <v>2613</v>
      </c>
    </row>
    <row r="6059" customFormat="false" ht="15" hidden="false" customHeight="true" outlineLevel="0" collapsed="false">
      <c r="A6059" s="6" t="s">
        <v>8671</v>
      </c>
      <c r="B6059" s="6" t="s">
        <v>1341</v>
      </c>
      <c r="C6059" s="6" t="s">
        <v>131</v>
      </c>
      <c r="D6059" s="13" t="n">
        <v>45691</v>
      </c>
      <c r="E6059" s="14" t="n">
        <v>3986.84</v>
      </c>
      <c r="F6059" s="14" t="n">
        <v>11109.31</v>
      </c>
      <c r="G6059" s="6" t="s">
        <v>2613</v>
      </c>
    </row>
    <row r="6060" customFormat="false" ht="15" hidden="false" customHeight="true" outlineLevel="0" collapsed="false">
      <c r="A6060" s="6" t="s">
        <v>8672</v>
      </c>
      <c r="B6060" s="6" t="s">
        <v>1341</v>
      </c>
      <c r="C6060" s="6" t="s">
        <v>131</v>
      </c>
      <c r="D6060" s="13" t="n">
        <v>45698</v>
      </c>
      <c r="E6060" s="14" t="n">
        <v>4943.06</v>
      </c>
      <c r="F6060" s="14" t="n">
        <v>16052.37</v>
      </c>
      <c r="G6060" s="6" t="s">
        <v>2613</v>
      </c>
    </row>
    <row r="6061" customFormat="false" ht="15" hidden="false" customHeight="true" outlineLevel="0" collapsed="false">
      <c r="A6061" s="6" t="s">
        <v>8673</v>
      </c>
      <c r="B6061" s="6" t="s">
        <v>1341</v>
      </c>
      <c r="C6061" s="6" t="s">
        <v>131</v>
      </c>
      <c r="D6061" s="13" t="n">
        <v>45705</v>
      </c>
      <c r="E6061" s="14" t="n">
        <v>3965.97</v>
      </c>
      <c r="F6061" s="14" t="n">
        <v>20018.34</v>
      </c>
      <c r="G6061" s="6" t="s">
        <v>2613</v>
      </c>
    </row>
    <row r="6062" customFormat="false" ht="15" hidden="false" customHeight="true" outlineLevel="0" collapsed="false">
      <c r="A6062" s="6" t="s">
        <v>8674</v>
      </c>
      <c r="B6062" s="6" t="s">
        <v>1341</v>
      </c>
      <c r="C6062" s="6" t="s">
        <v>131</v>
      </c>
      <c r="D6062" s="13" t="n">
        <v>45712</v>
      </c>
      <c r="E6062" s="14" t="n">
        <v>5388.71</v>
      </c>
      <c r="F6062" s="14" t="n">
        <v>25407.05</v>
      </c>
      <c r="G6062" s="6" t="s">
        <v>2613</v>
      </c>
    </row>
    <row r="6063" customFormat="false" ht="15" hidden="false" customHeight="true" outlineLevel="0" collapsed="false">
      <c r="A6063" s="6" t="s">
        <v>8675</v>
      </c>
      <c r="B6063" s="6" t="s">
        <v>1341</v>
      </c>
      <c r="C6063" s="6" t="s">
        <v>131</v>
      </c>
      <c r="D6063" s="13" t="n">
        <v>45719</v>
      </c>
      <c r="E6063" s="14" t="n">
        <v>6332.59</v>
      </c>
      <c r="F6063" s="14" t="n">
        <v>31739.64</v>
      </c>
      <c r="G6063" s="6" t="s">
        <v>2613</v>
      </c>
    </row>
    <row r="6064" customFormat="false" ht="15" hidden="false" customHeight="true" outlineLevel="0" collapsed="false">
      <c r="A6064" s="6" t="s">
        <v>8676</v>
      </c>
      <c r="B6064" s="6" t="s">
        <v>1341</v>
      </c>
      <c r="C6064" s="6" t="s">
        <v>131</v>
      </c>
      <c r="D6064" s="13" t="n">
        <v>45726</v>
      </c>
      <c r="E6064" s="14" t="n">
        <v>9772.81</v>
      </c>
      <c r="F6064" s="14" t="n">
        <v>41512.45</v>
      </c>
      <c r="G6064" s="6" t="s">
        <v>2613</v>
      </c>
    </row>
    <row r="6065" customFormat="false" ht="15" hidden="false" customHeight="true" outlineLevel="0" collapsed="false">
      <c r="A6065" s="6" t="s">
        <v>8677</v>
      </c>
      <c r="B6065" s="6" t="s">
        <v>1343</v>
      </c>
      <c r="C6065" s="6" t="s">
        <v>112</v>
      </c>
      <c r="D6065" s="13" t="n">
        <v>44941</v>
      </c>
      <c r="E6065" s="14" t="n">
        <v>2404.4</v>
      </c>
      <c r="F6065" s="14" t="n">
        <v>2404.4</v>
      </c>
      <c r="G6065" s="6" t="s">
        <v>2613</v>
      </c>
    </row>
    <row r="6066" customFormat="false" ht="15" hidden="false" customHeight="true" outlineLevel="0" collapsed="false">
      <c r="A6066" s="6" t="s">
        <v>8678</v>
      </c>
      <c r="B6066" s="6" t="s">
        <v>1343</v>
      </c>
      <c r="C6066" s="6" t="s">
        <v>112</v>
      </c>
      <c r="D6066" s="13" t="n">
        <v>44948</v>
      </c>
      <c r="E6066" s="14" t="n">
        <v>2814.83</v>
      </c>
      <c r="F6066" s="14" t="n">
        <v>5219.23</v>
      </c>
      <c r="G6066" s="6" t="s">
        <v>2613</v>
      </c>
    </row>
    <row r="6067" customFormat="false" ht="15" hidden="false" customHeight="true" outlineLevel="0" collapsed="false">
      <c r="A6067" s="6" t="s">
        <v>8679</v>
      </c>
      <c r="B6067" s="6" t="s">
        <v>1343</v>
      </c>
      <c r="C6067" s="6" t="s">
        <v>112</v>
      </c>
      <c r="D6067" s="13" t="n">
        <v>44955</v>
      </c>
      <c r="E6067" s="14" t="n">
        <v>1401.53</v>
      </c>
      <c r="F6067" s="14" t="n">
        <v>6620.76</v>
      </c>
      <c r="G6067" s="6" t="s">
        <v>2613</v>
      </c>
    </row>
    <row r="6068" customFormat="false" ht="15" hidden="false" customHeight="true" outlineLevel="0" collapsed="false">
      <c r="A6068" s="6" t="s">
        <v>8680</v>
      </c>
      <c r="B6068" s="6" t="s">
        <v>1343</v>
      </c>
      <c r="C6068" s="6" t="s">
        <v>112</v>
      </c>
      <c r="D6068" s="13" t="n">
        <v>44962</v>
      </c>
      <c r="E6068" s="14" t="n">
        <v>1940.65</v>
      </c>
      <c r="F6068" s="14" t="n">
        <v>8561.41</v>
      </c>
      <c r="G6068" s="6" t="s">
        <v>2613</v>
      </c>
    </row>
    <row r="6069" customFormat="false" ht="15" hidden="false" customHeight="true" outlineLevel="0" collapsed="false">
      <c r="A6069" s="6" t="s">
        <v>8681</v>
      </c>
      <c r="B6069" s="6" t="s">
        <v>1343</v>
      </c>
      <c r="C6069" s="6" t="s">
        <v>112</v>
      </c>
      <c r="D6069" s="13" t="n">
        <v>44969</v>
      </c>
      <c r="E6069" s="14" t="n">
        <v>2094.28</v>
      </c>
      <c r="F6069" s="14" t="n">
        <v>10655.69</v>
      </c>
      <c r="G6069" s="6" t="s">
        <v>2613</v>
      </c>
    </row>
    <row r="6070" customFormat="false" ht="15" hidden="false" customHeight="true" outlineLevel="0" collapsed="false">
      <c r="A6070" s="6" t="s">
        <v>8682</v>
      </c>
      <c r="B6070" s="6" t="s">
        <v>1343</v>
      </c>
      <c r="C6070" s="6" t="s">
        <v>112</v>
      </c>
      <c r="D6070" s="13" t="n">
        <v>44976</v>
      </c>
      <c r="E6070" s="14" t="n">
        <v>1520.39</v>
      </c>
      <c r="F6070" s="14" t="n">
        <v>12176.08</v>
      </c>
      <c r="G6070" s="6" t="s">
        <v>2613</v>
      </c>
    </row>
    <row r="6071" customFormat="false" ht="15" hidden="false" customHeight="true" outlineLevel="0" collapsed="false">
      <c r="A6071" s="6" t="s">
        <v>8683</v>
      </c>
      <c r="B6071" s="6" t="s">
        <v>1343</v>
      </c>
      <c r="C6071" s="6" t="s">
        <v>112</v>
      </c>
      <c r="D6071" s="13" t="n">
        <v>44983</v>
      </c>
      <c r="E6071" s="14" t="n">
        <v>2158.34</v>
      </c>
      <c r="F6071" s="14" t="n">
        <v>14334.42</v>
      </c>
      <c r="G6071" s="6" t="s">
        <v>2623</v>
      </c>
    </row>
    <row r="6072" customFormat="false" ht="15" hidden="false" customHeight="true" outlineLevel="0" collapsed="false">
      <c r="A6072" s="6" t="s">
        <v>8684</v>
      </c>
      <c r="B6072" s="6" t="s">
        <v>1343</v>
      </c>
      <c r="C6072" s="6" t="s">
        <v>112</v>
      </c>
      <c r="D6072" s="13" t="n">
        <v>44990</v>
      </c>
      <c r="E6072" s="14" t="n">
        <v>1587.53</v>
      </c>
      <c r="F6072" s="14" t="n">
        <v>15921.95</v>
      </c>
      <c r="G6072" s="6" t="s">
        <v>2613</v>
      </c>
    </row>
    <row r="6073" customFormat="false" ht="15" hidden="false" customHeight="true" outlineLevel="0" collapsed="false">
      <c r="A6073" s="6" t="s">
        <v>8685</v>
      </c>
      <c r="B6073" s="6" t="s">
        <v>1343</v>
      </c>
      <c r="C6073" s="6" t="s">
        <v>112</v>
      </c>
      <c r="D6073" s="13" t="n">
        <v>44997</v>
      </c>
      <c r="E6073" s="14" t="n">
        <v>2250.49</v>
      </c>
      <c r="F6073" s="14" t="n">
        <v>18172.44</v>
      </c>
      <c r="G6073" s="6" t="s">
        <v>2613</v>
      </c>
    </row>
    <row r="6074" customFormat="false" ht="15" hidden="false" customHeight="true" outlineLevel="0" collapsed="false">
      <c r="A6074" s="6" t="s">
        <v>8686</v>
      </c>
      <c r="B6074" s="6" t="s">
        <v>1343</v>
      </c>
      <c r="C6074" s="6" t="s">
        <v>112</v>
      </c>
      <c r="D6074" s="13" t="n">
        <v>45004</v>
      </c>
      <c r="E6074" s="14" t="n">
        <v>2571.36</v>
      </c>
      <c r="F6074" s="14" t="n">
        <v>20743.8</v>
      </c>
      <c r="G6074" s="6" t="s">
        <v>2613</v>
      </c>
    </row>
    <row r="6075" customFormat="false" ht="15" hidden="false" customHeight="true" outlineLevel="0" collapsed="false">
      <c r="A6075" s="6" t="s">
        <v>8687</v>
      </c>
      <c r="B6075" s="6" t="s">
        <v>1343</v>
      </c>
      <c r="C6075" s="6" t="s">
        <v>112</v>
      </c>
      <c r="D6075" s="13" t="n">
        <v>45011</v>
      </c>
      <c r="E6075" s="14" t="n">
        <v>2387.15</v>
      </c>
      <c r="F6075" s="14" t="n">
        <v>23130.95</v>
      </c>
      <c r="G6075" s="6" t="s">
        <v>2613</v>
      </c>
    </row>
    <row r="6076" customFormat="false" ht="15" hidden="false" customHeight="true" outlineLevel="0" collapsed="false">
      <c r="A6076" s="6" t="s">
        <v>8688</v>
      </c>
      <c r="B6076" s="6" t="s">
        <v>1343</v>
      </c>
      <c r="C6076" s="6" t="s">
        <v>112</v>
      </c>
      <c r="D6076" s="13" t="n">
        <v>45018</v>
      </c>
      <c r="E6076" s="14" t="n">
        <v>3099.59</v>
      </c>
      <c r="F6076" s="14" t="n">
        <v>26230.54</v>
      </c>
      <c r="G6076" s="6" t="s">
        <v>2613</v>
      </c>
    </row>
    <row r="6077" customFormat="false" ht="15" hidden="false" customHeight="true" outlineLevel="0" collapsed="false">
      <c r="A6077" s="6" t="s">
        <v>8689</v>
      </c>
      <c r="B6077" s="6" t="s">
        <v>1343</v>
      </c>
      <c r="C6077" s="6" t="s">
        <v>112</v>
      </c>
      <c r="D6077" s="13" t="n">
        <v>45025</v>
      </c>
      <c r="E6077" s="14" t="n">
        <v>1886.08</v>
      </c>
      <c r="F6077" s="14" t="n">
        <v>28116.62</v>
      </c>
      <c r="G6077" s="6" t="s">
        <v>2613</v>
      </c>
    </row>
    <row r="6078" customFormat="false" ht="15" hidden="false" customHeight="true" outlineLevel="0" collapsed="false">
      <c r="A6078" s="6" t="s">
        <v>8690</v>
      </c>
      <c r="B6078" s="6" t="s">
        <v>1343</v>
      </c>
      <c r="C6078" s="6" t="s">
        <v>112</v>
      </c>
      <c r="D6078" s="13" t="n">
        <v>45032</v>
      </c>
      <c r="E6078" s="14" t="n">
        <v>3181.84</v>
      </c>
      <c r="F6078" s="14" t="n">
        <v>31298.46</v>
      </c>
      <c r="G6078" s="6" t="s">
        <v>2623</v>
      </c>
    </row>
    <row r="6079" customFormat="false" ht="15" hidden="false" customHeight="true" outlineLevel="0" collapsed="false">
      <c r="A6079" s="6" t="s">
        <v>8691</v>
      </c>
      <c r="B6079" s="6" t="s">
        <v>1343</v>
      </c>
      <c r="C6079" s="6" t="s">
        <v>112</v>
      </c>
      <c r="D6079" s="13" t="n">
        <v>45039</v>
      </c>
      <c r="E6079" s="14" t="n">
        <v>2635.75</v>
      </c>
      <c r="F6079" s="14" t="n">
        <v>33934.21</v>
      </c>
      <c r="G6079" s="6" t="s">
        <v>2613</v>
      </c>
    </row>
    <row r="6080" customFormat="false" ht="15" hidden="false" customHeight="true" outlineLevel="0" collapsed="false">
      <c r="A6080" s="6" t="s">
        <v>8692</v>
      </c>
      <c r="B6080" s="6" t="s">
        <v>1343</v>
      </c>
      <c r="C6080" s="6" t="s">
        <v>112</v>
      </c>
      <c r="D6080" s="13" t="n">
        <v>45046</v>
      </c>
      <c r="E6080" s="14" t="n">
        <v>3207.86</v>
      </c>
      <c r="F6080" s="14" t="n">
        <v>37142.07</v>
      </c>
      <c r="G6080" s="6" t="s">
        <v>2613</v>
      </c>
    </row>
    <row r="6081" customFormat="false" ht="15" hidden="false" customHeight="true" outlineLevel="0" collapsed="false">
      <c r="A6081" s="6" t="s">
        <v>8693</v>
      </c>
      <c r="B6081" s="6" t="s">
        <v>1345</v>
      </c>
      <c r="C6081" s="6" t="s">
        <v>116</v>
      </c>
      <c r="D6081" s="13" t="n">
        <v>46115</v>
      </c>
      <c r="E6081" s="14" t="n">
        <v>998.25</v>
      </c>
      <c r="F6081" s="14" t="n">
        <v>998.25</v>
      </c>
      <c r="G6081" s="6" t="s">
        <v>2613</v>
      </c>
    </row>
    <row r="6082" customFormat="false" ht="15" hidden="false" customHeight="true" outlineLevel="0" collapsed="false">
      <c r="A6082" s="6" t="s">
        <v>8694</v>
      </c>
      <c r="B6082" s="6" t="s">
        <v>1345</v>
      </c>
      <c r="C6082" s="6" t="s">
        <v>116</v>
      </c>
      <c r="D6082" s="13" t="n">
        <v>46122</v>
      </c>
      <c r="E6082" s="14" t="n">
        <v>856.74</v>
      </c>
      <c r="F6082" s="14" t="n">
        <v>1854.99</v>
      </c>
      <c r="G6082" s="6" t="s">
        <v>2613</v>
      </c>
    </row>
    <row r="6083" customFormat="false" ht="15" hidden="false" customHeight="true" outlineLevel="0" collapsed="false">
      <c r="A6083" s="6" t="s">
        <v>8695</v>
      </c>
      <c r="B6083" s="6" t="s">
        <v>1345</v>
      </c>
      <c r="C6083" s="6" t="s">
        <v>116</v>
      </c>
      <c r="D6083" s="13" t="n">
        <v>46129</v>
      </c>
      <c r="E6083" s="14" t="n">
        <v>513.85</v>
      </c>
      <c r="F6083" s="14" t="n">
        <v>2368.84</v>
      </c>
      <c r="G6083" s="6" t="s">
        <v>2613</v>
      </c>
    </row>
    <row r="6084" customFormat="false" ht="15" hidden="false" customHeight="true" outlineLevel="0" collapsed="false">
      <c r="A6084" s="6" t="s">
        <v>8696</v>
      </c>
      <c r="B6084" s="6" t="s">
        <v>1345</v>
      </c>
      <c r="C6084" s="6" t="s">
        <v>116</v>
      </c>
      <c r="D6084" s="13" t="n">
        <v>46136</v>
      </c>
      <c r="E6084" s="14" t="n">
        <v>652.98</v>
      </c>
      <c r="F6084" s="14" t="n">
        <v>3021.82</v>
      </c>
      <c r="G6084" s="6" t="s">
        <v>2613</v>
      </c>
    </row>
    <row r="6085" customFormat="false" ht="15" hidden="false" customHeight="true" outlineLevel="0" collapsed="false">
      <c r="A6085" s="6" t="s">
        <v>8697</v>
      </c>
      <c r="B6085" s="6" t="s">
        <v>1345</v>
      </c>
      <c r="C6085" s="6" t="s">
        <v>116</v>
      </c>
      <c r="D6085" s="13" t="n">
        <v>46143</v>
      </c>
      <c r="E6085" s="14" t="n">
        <v>1077.88</v>
      </c>
      <c r="F6085" s="14" t="n">
        <v>4099.7</v>
      </c>
      <c r="G6085" s="6" t="s">
        <v>2613</v>
      </c>
    </row>
    <row r="6086" customFormat="false" ht="15" hidden="false" customHeight="true" outlineLevel="0" collapsed="false">
      <c r="A6086" s="6" t="s">
        <v>8698</v>
      </c>
      <c r="B6086" s="6" t="s">
        <v>1345</v>
      </c>
      <c r="C6086" s="6" t="s">
        <v>116</v>
      </c>
      <c r="D6086" s="13" t="n">
        <v>46150</v>
      </c>
      <c r="E6086" s="14" t="n">
        <v>889.94</v>
      </c>
      <c r="F6086" s="14" t="n">
        <v>4989.64</v>
      </c>
      <c r="G6086" s="6" t="s">
        <v>2613</v>
      </c>
    </row>
    <row r="6087" customFormat="false" ht="15" hidden="false" customHeight="true" outlineLevel="0" collapsed="false">
      <c r="A6087" s="6" t="s">
        <v>8699</v>
      </c>
      <c r="B6087" s="6" t="s">
        <v>1345</v>
      </c>
      <c r="C6087" s="6" t="s">
        <v>116</v>
      </c>
      <c r="D6087" s="13" t="n">
        <v>46157</v>
      </c>
      <c r="E6087" s="14" t="n">
        <v>487.14</v>
      </c>
      <c r="F6087" s="14" t="n">
        <v>5476.78</v>
      </c>
      <c r="G6087" s="6" t="s">
        <v>2613</v>
      </c>
    </row>
    <row r="6088" customFormat="false" ht="15" hidden="false" customHeight="true" outlineLevel="0" collapsed="false">
      <c r="A6088" s="6" t="s">
        <v>8700</v>
      </c>
      <c r="B6088" s="6" t="s">
        <v>1345</v>
      </c>
      <c r="C6088" s="6" t="s">
        <v>116</v>
      </c>
      <c r="D6088" s="13" t="n">
        <v>46164</v>
      </c>
      <c r="E6088" s="14" t="n">
        <v>811.69</v>
      </c>
      <c r="F6088" s="14" t="n">
        <v>6288.47</v>
      </c>
      <c r="G6088" s="6" t="s">
        <v>2613</v>
      </c>
    </row>
    <row r="6089" customFormat="false" ht="15" hidden="false" customHeight="true" outlineLevel="0" collapsed="false">
      <c r="A6089" s="6" t="s">
        <v>8701</v>
      </c>
      <c r="B6089" s="6" t="s">
        <v>1345</v>
      </c>
      <c r="C6089" s="6" t="s">
        <v>116</v>
      </c>
      <c r="D6089" s="13" t="n">
        <v>46171</v>
      </c>
      <c r="E6089" s="14" t="n">
        <v>983.85</v>
      </c>
      <c r="F6089" s="14" t="n">
        <v>7272.32</v>
      </c>
      <c r="G6089" s="6" t="s">
        <v>2613</v>
      </c>
    </row>
    <row r="6090" customFormat="false" ht="15" hidden="false" customHeight="true" outlineLevel="0" collapsed="false">
      <c r="A6090" s="6" t="s">
        <v>8702</v>
      </c>
      <c r="B6090" s="6" t="s">
        <v>1347</v>
      </c>
      <c r="C6090" s="6" t="s">
        <v>128</v>
      </c>
      <c r="D6090" s="13" t="n">
        <v>45670</v>
      </c>
      <c r="E6090" s="14" t="n">
        <v>6884.59</v>
      </c>
      <c r="F6090" s="14" t="n">
        <v>6884.59</v>
      </c>
      <c r="G6090" s="6" t="s">
        <v>2613</v>
      </c>
    </row>
    <row r="6091" customFormat="false" ht="15" hidden="false" customHeight="true" outlineLevel="0" collapsed="false">
      <c r="A6091" s="6" t="s">
        <v>8703</v>
      </c>
      <c r="B6091" s="6" t="s">
        <v>1347</v>
      </c>
      <c r="C6091" s="6" t="s">
        <v>128</v>
      </c>
      <c r="D6091" s="13" t="n">
        <v>45677</v>
      </c>
      <c r="E6091" s="14" t="n">
        <v>3900.5</v>
      </c>
      <c r="F6091" s="14" t="n">
        <v>10785.09</v>
      </c>
      <c r="G6091" s="6" t="s">
        <v>2613</v>
      </c>
    </row>
    <row r="6092" customFormat="false" ht="15" hidden="false" customHeight="true" outlineLevel="0" collapsed="false">
      <c r="A6092" s="6" t="s">
        <v>8704</v>
      </c>
      <c r="B6092" s="6" t="s">
        <v>1349</v>
      </c>
      <c r="C6092" s="6" t="s">
        <v>116</v>
      </c>
      <c r="D6092" s="13" t="n">
        <v>46137</v>
      </c>
      <c r="E6092" s="14" t="n">
        <v>7803.95</v>
      </c>
      <c r="F6092" s="14" t="n">
        <v>7803.95</v>
      </c>
      <c r="G6092" s="6" t="s">
        <v>2613</v>
      </c>
    </row>
    <row r="6093" customFormat="false" ht="15" hidden="false" customHeight="true" outlineLevel="0" collapsed="false">
      <c r="A6093" s="6" t="s">
        <v>8705</v>
      </c>
      <c r="B6093" s="6" t="s">
        <v>1349</v>
      </c>
      <c r="C6093" s="6" t="s">
        <v>116</v>
      </c>
      <c r="D6093" s="13" t="n">
        <v>46144</v>
      </c>
      <c r="E6093" s="14" t="n">
        <v>6943.57</v>
      </c>
      <c r="F6093" s="14" t="n">
        <v>14747.52</v>
      </c>
      <c r="G6093" s="6" t="s">
        <v>2613</v>
      </c>
    </row>
    <row r="6094" customFormat="false" ht="15" hidden="false" customHeight="true" outlineLevel="0" collapsed="false">
      <c r="A6094" s="6" t="s">
        <v>8706</v>
      </c>
      <c r="B6094" s="6" t="s">
        <v>1349</v>
      </c>
      <c r="C6094" s="6" t="s">
        <v>116</v>
      </c>
      <c r="D6094" s="13" t="n">
        <v>46151</v>
      </c>
      <c r="E6094" s="14" t="n">
        <v>5781.34</v>
      </c>
      <c r="F6094" s="14" t="n">
        <v>20528.86</v>
      </c>
      <c r="G6094" s="6" t="s">
        <v>2613</v>
      </c>
    </row>
    <row r="6095" customFormat="false" ht="15" hidden="false" customHeight="true" outlineLevel="0" collapsed="false">
      <c r="A6095" s="6" t="s">
        <v>8707</v>
      </c>
      <c r="B6095" s="6" t="s">
        <v>1349</v>
      </c>
      <c r="C6095" s="6" t="s">
        <v>116</v>
      </c>
      <c r="D6095" s="13" t="n">
        <v>46158</v>
      </c>
      <c r="E6095" s="14" t="n">
        <v>5609.52</v>
      </c>
      <c r="F6095" s="14" t="n">
        <v>26138.38</v>
      </c>
      <c r="G6095" s="6" t="s">
        <v>2613</v>
      </c>
    </row>
    <row r="6096" customFormat="false" ht="15" hidden="false" customHeight="true" outlineLevel="0" collapsed="false">
      <c r="A6096" s="6" t="s">
        <v>8708</v>
      </c>
      <c r="B6096" s="6" t="s">
        <v>1349</v>
      </c>
      <c r="C6096" s="6" t="s">
        <v>116</v>
      </c>
      <c r="D6096" s="13" t="n">
        <v>46165</v>
      </c>
      <c r="E6096" s="14" t="n">
        <v>5100.26</v>
      </c>
      <c r="F6096" s="14" t="n">
        <v>31238.64</v>
      </c>
      <c r="G6096" s="6" t="s">
        <v>2613</v>
      </c>
    </row>
    <row r="6097" customFormat="false" ht="15" hidden="false" customHeight="true" outlineLevel="0" collapsed="false">
      <c r="A6097" s="6" t="s">
        <v>8709</v>
      </c>
      <c r="B6097" s="6" t="s">
        <v>1349</v>
      </c>
      <c r="C6097" s="6" t="s">
        <v>116</v>
      </c>
      <c r="D6097" s="13" t="n">
        <v>46172</v>
      </c>
      <c r="E6097" s="14" t="n">
        <v>6816.16</v>
      </c>
      <c r="F6097" s="14" t="n">
        <v>38054.8</v>
      </c>
      <c r="G6097" s="6" t="s">
        <v>2613</v>
      </c>
    </row>
    <row r="6098" customFormat="false" ht="15" hidden="false" customHeight="true" outlineLevel="0" collapsed="false">
      <c r="A6098" s="6" t="s">
        <v>8710</v>
      </c>
      <c r="B6098" s="6" t="s">
        <v>1349</v>
      </c>
      <c r="C6098" s="6" t="s">
        <v>116</v>
      </c>
      <c r="D6098" s="13" t="n">
        <v>46179</v>
      </c>
      <c r="E6098" s="14" t="n">
        <v>4754.55</v>
      </c>
      <c r="F6098" s="14" t="n">
        <v>42809.35</v>
      </c>
      <c r="G6098" s="6" t="s">
        <v>2613</v>
      </c>
    </row>
    <row r="6099" customFormat="false" ht="15" hidden="false" customHeight="true" outlineLevel="0" collapsed="false">
      <c r="A6099" s="6" t="s">
        <v>8711</v>
      </c>
      <c r="B6099" s="6" t="s">
        <v>1349</v>
      </c>
      <c r="C6099" s="6" t="s">
        <v>116</v>
      </c>
      <c r="D6099" s="13" t="n">
        <v>46186</v>
      </c>
      <c r="E6099" s="14" t="n">
        <v>3512.81</v>
      </c>
      <c r="F6099" s="14" t="n">
        <v>46322.16</v>
      </c>
      <c r="G6099" s="6" t="s">
        <v>2613</v>
      </c>
    </row>
    <row r="6100" customFormat="false" ht="15" hidden="false" customHeight="true" outlineLevel="0" collapsed="false">
      <c r="A6100" s="6" t="s">
        <v>8712</v>
      </c>
      <c r="B6100" s="6" t="s">
        <v>1349</v>
      </c>
      <c r="C6100" s="6" t="s">
        <v>116</v>
      </c>
      <c r="D6100" s="13" t="n">
        <v>46193</v>
      </c>
      <c r="E6100" s="14" t="n">
        <v>4518.12</v>
      </c>
      <c r="F6100" s="14" t="n">
        <v>50840.28</v>
      </c>
      <c r="G6100" s="6" t="s">
        <v>2623</v>
      </c>
    </row>
    <row r="6101" customFormat="false" ht="15" hidden="false" customHeight="true" outlineLevel="0" collapsed="false">
      <c r="A6101" s="6" t="s">
        <v>8713</v>
      </c>
      <c r="B6101" s="6" t="s">
        <v>1349</v>
      </c>
      <c r="C6101" s="6" t="s">
        <v>116</v>
      </c>
      <c r="D6101" s="13" t="n">
        <v>46200</v>
      </c>
      <c r="E6101" s="14" t="n">
        <v>3506.06</v>
      </c>
      <c r="F6101" s="14" t="n">
        <v>54346.34</v>
      </c>
      <c r="G6101" s="6" t="s">
        <v>2613</v>
      </c>
    </row>
    <row r="6102" customFormat="false" ht="15" hidden="false" customHeight="true" outlineLevel="0" collapsed="false">
      <c r="A6102" s="6" t="s">
        <v>8714</v>
      </c>
      <c r="B6102" s="6" t="s">
        <v>1349</v>
      </c>
      <c r="C6102" s="6" t="s">
        <v>116</v>
      </c>
      <c r="D6102" s="13" t="n">
        <v>46207</v>
      </c>
      <c r="E6102" s="14" t="n">
        <v>7780.81</v>
      </c>
      <c r="F6102" s="14" t="n">
        <v>62127.15</v>
      </c>
      <c r="G6102" s="6" t="s">
        <v>2613</v>
      </c>
    </row>
    <row r="6103" customFormat="false" ht="15" hidden="false" customHeight="true" outlineLevel="0" collapsed="false">
      <c r="A6103" s="6" t="s">
        <v>8715</v>
      </c>
      <c r="B6103" s="6" t="s">
        <v>1349</v>
      </c>
      <c r="C6103" s="6" t="s">
        <v>116</v>
      </c>
      <c r="D6103" s="13" t="n">
        <v>46214</v>
      </c>
      <c r="E6103" s="14" t="n">
        <v>5806.14</v>
      </c>
      <c r="F6103" s="14" t="n">
        <v>67933.29</v>
      </c>
      <c r="G6103" s="6" t="s">
        <v>2613</v>
      </c>
    </row>
    <row r="6104" customFormat="false" ht="15" hidden="false" customHeight="true" outlineLevel="0" collapsed="false">
      <c r="A6104" s="6" t="s">
        <v>8716</v>
      </c>
      <c r="B6104" s="6" t="s">
        <v>1349</v>
      </c>
      <c r="C6104" s="6" t="s">
        <v>116</v>
      </c>
      <c r="D6104" s="13" t="n">
        <v>46221</v>
      </c>
      <c r="E6104" s="14" t="n">
        <v>5376.1</v>
      </c>
      <c r="F6104" s="14" t="n">
        <v>73309.39</v>
      </c>
      <c r="G6104" s="6" t="s">
        <v>2623</v>
      </c>
    </row>
    <row r="6105" customFormat="false" ht="15" hidden="false" customHeight="true" outlineLevel="0" collapsed="false">
      <c r="A6105" s="6" t="s">
        <v>8717</v>
      </c>
      <c r="B6105" s="6" t="s">
        <v>1349</v>
      </c>
      <c r="C6105" s="6" t="s">
        <v>116</v>
      </c>
      <c r="D6105" s="13" t="n">
        <v>46228</v>
      </c>
      <c r="E6105" s="14" t="n">
        <v>7162.11</v>
      </c>
      <c r="F6105" s="14" t="n">
        <v>80471.5</v>
      </c>
      <c r="G6105" s="6" t="s">
        <v>2613</v>
      </c>
    </row>
    <row r="6106" customFormat="false" ht="15" hidden="false" customHeight="true" outlineLevel="0" collapsed="false">
      <c r="A6106" s="6" t="s">
        <v>8718</v>
      </c>
      <c r="B6106" s="6" t="s">
        <v>1351</v>
      </c>
      <c r="C6106" s="6" t="s">
        <v>124</v>
      </c>
      <c r="D6106" s="13" t="n">
        <v>44743</v>
      </c>
      <c r="E6106" s="14" t="n">
        <v>1432.4</v>
      </c>
      <c r="F6106" s="14" t="n">
        <v>1432.4</v>
      </c>
      <c r="G6106" s="6" t="s">
        <v>2613</v>
      </c>
    </row>
    <row r="6107" customFormat="false" ht="15" hidden="false" customHeight="true" outlineLevel="0" collapsed="false">
      <c r="A6107" s="6" t="s">
        <v>8719</v>
      </c>
      <c r="B6107" s="6" t="s">
        <v>1351</v>
      </c>
      <c r="C6107" s="6" t="s">
        <v>124</v>
      </c>
      <c r="D6107" s="13" t="n">
        <v>44750</v>
      </c>
      <c r="E6107" s="14" t="n">
        <v>980.73</v>
      </c>
      <c r="F6107" s="14" t="n">
        <v>2413.13</v>
      </c>
      <c r="G6107" s="6" t="s">
        <v>2613</v>
      </c>
    </row>
    <row r="6108" customFormat="false" ht="15" hidden="false" customHeight="true" outlineLevel="0" collapsed="false">
      <c r="A6108" s="6" t="s">
        <v>8720</v>
      </c>
      <c r="B6108" s="6" t="s">
        <v>1351</v>
      </c>
      <c r="C6108" s="6" t="s">
        <v>124</v>
      </c>
      <c r="D6108" s="13" t="n">
        <v>44757</v>
      </c>
      <c r="E6108" s="14" t="n">
        <v>1057.09</v>
      </c>
      <c r="F6108" s="14" t="n">
        <v>3470.22</v>
      </c>
      <c r="G6108" s="6" t="s">
        <v>2623</v>
      </c>
    </row>
    <row r="6109" customFormat="false" ht="15" hidden="false" customHeight="true" outlineLevel="0" collapsed="false">
      <c r="A6109" s="6" t="s">
        <v>8721</v>
      </c>
      <c r="B6109" s="6" t="s">
        <v>1351</v>
      </c>
      <c r="C6109" s="6" t="s">
        <v>124</v>
      </c>
      <c r="D6109" s="13" t="n">
        <v>44764</v>
      </c>
      <c r="E6109" s="14" t="n">
        <v>1864.98</v>
      </c>
      <c r="F6109" s="14" t="n">
        <v>5335.2</v>
      </c>
      <c r="G6109" s="6" t="s">
        <v>2613</v>
      </c>
    </row>
    <row r="6110" customFormat="false" ht="15" hidden="false" customHeight="true" outlineLevel="0" collapsed="false">
      <c r="A6110" s="6" t="s">
        <v>8722</v>
      </c>
      <c r="B6110" s="6" t="s">
        <v>1351</v>
      </c>
      <c r="C6110" s="6" t="s">
        <v>124</v>
      </c>
      <c r="D6110" s="13" t="n">
        <v>44771</v>
      </c>
      <c r="E6110" s="14" t="n">
        <v>2057.58</v>
      </c>
      <c r="F6110" s="14" t="n">
        <v>7392.78</v>
      </c>
      <c r="G6110" s="6" t="s">
        <v>2613</v>
      </c>
    </row>
    <row r="6111" customFormat="false" ht="15" hidden="false" customHeight="true" outlineLevel="0" collapsed="false">
      <c r="A6111" s="6" t="s">
        <v>8723</v>
      </c>
      <c r="B6111" s="6" t="s">
        <v>1351</v>
      </c>
      <c r="C6111" s="6" t="s">
        <v>124</v>
      </c>
      <c r="D6111" s="13" t="n">
        <v>44778</v>
      </c>
      <c r="E6111" s="14" t="n">
        <v>1702.96</v>
      </c>
      <c r="F6111" s="14" t="n">
        <v>9095.74</v>
      </c>
      <c r="G6111" s="6" t="s">
        <v>2613</v>
      </c>
    </row>
    <row r="6112" customFormat="false" ht="15" hidden="false" customHeight="true" outlineLevel="0" collapsed="false">
      <c r="A6112" s="6" t="s">
        <v>8724</v>
      </c>
      <c r="B6112" s="6" t="s">
        <v>1351</v>
      </c>
      <c r="C6112" s="6" t="s">
        <v>124</v>
      </c>
      <c r="D6112" s="13" t="n">
        <v>44785</v>
      </c>
      <c r="E6112" s="14" t="n">
        <v>1451.99</v>
      </c>
      <c r="F6112" s="14" t="n">
        <v>10547.73</v>
      </c>
      <c r="G6112" s="6" t="s">
        <v>2613</v>
      </c>
    </row>
    <row r="6113" customFormat="false" ht="15" hidden="false" customHeight="true" outlineLevel="0" collapsed="false">
      <c r="A6113" s="6" t="s">
        <v>8725</v>
      </c>
      <c r="B6113" s="6" t="s">
        <v>1351</v>
      </c>
      <c r="C6113" s="6" t="s">
        <v>124</v>
      </c>
      <c r="D6113" s="13" t="n">
        <v>44792</v>
      </c>
      <c r="E6113" s="14" t="n">
        <v>2402.27</v>
      </c>
      <c r="F6113" s="14" t="n">
        <v>12950</v>
      </c>
      <c r="G6113" s="6" t="s">
        <v>2613</v>
      </c>
    </row>
    <row r="6114" customFormat="false" ht="15" hidden="false" customHeight="true" outlineLevel="0" collapsed="false">
      <c r="A6114" s="6" t="s">
        <v>8726</v>
      </c>
      <c r="B6114" s="6" t="s">
        <v>1353</v>
      </c>
      <c r="C6114" s="6" t="s">
        <v>131</v>
      </c>
      <c r="D6114" s="13" t="n">
        <v>46064</v>
      </c>
      <c r="E6114" s="14" t="n">
        <v>3102.26</v>
      </c>
      <c r="F6114" s="14" t="n">
        <v>3102.26</v>
      </c>
      <c r="G6114" s="6" t="s">
        <v>2613</v>
      </c>
    </row>
    <row r="6115" customFormat="false" ht="15" hidden="false" customHeight="true" outlineLevel="0" collapsed="false">
      <c r="A6115" s="6" t="s">
        <v>8727</v>
      </c>
      <c r="B6115" s="6" t="s">
        <v>1353</v>
      </c>
      <c r="C6115" s="6" t="s">
        <v>131</v>
      </c>
      <c r="D6115" s="13" t="n">
        <v>46071</v>
      </c>
      <c r="E6115" s="14" t="n">
        <v>3353.74</v>
      </c>
      <c r="F6115" s="14" t="n">
        <v>6456</v>
      </c>
      <c r="G6115" s="6" t="s">
        <v>2613</v>
      </c>
    </row>
    <row r="6116" customFormat="false" ht="15" hidden="false" customHeight="true" outlineLevel="0" collapsed="false">
      <c r="A6116" s="6" t="s">
        <v>8728</v>
      </c>
      <c r="B6116" s="6" t="s">
        <v>1353</v>
      </c>
      <c r="C6116" s="6" t="s">
        <v>131</v>
      </c>
      <c r="D6116" s="13" t="n">
        <v>46078</v>
      </c>
      <c r="E6116" s="14" t="n">
        <v>1328.67</v>
      </c>
      <c r="F6116" s="14" t="n">
        <v>7784.67</v>
      </c>
      <c r="G6116" s="6" t="s">
        <v>2613</v>
      </c>
    </row>
    <row r="6117" customFormat="false" ht="15" hidden="false" customHeight="true" outlineLevel="0" collapsed="false">
      <c r="A6117" s="6" t="s">
        <v>8729</v>
      </c>
      <c r="B6117" s="6" t="s">
        <v>1355</v>
      </c>
      <c r="C6117" s="6" t="s">
        <v>116</v>
      </c>
      <c r="D6117" s="13" t="n">
        <v>45007</v>
      </c>
      <c r="E6117" s="14" t="n">
        <v>4815.47</v>
      </c>
      <c r="F6117" s="14" t="n">
        <v>4815.47</v>
      </c>
      <c r="G6117" s="6" t="s">
        <v>2613</v>
      </c>
    </row>
    <row r="6118" customFormat="false" ht="15" hidden="false" customHeight="true" outlineLevel="0" collapsed="false">
      <c r="A6118" s="6" t="s">
        <v>8730</v>
      </c>
      <c r="B6118" s="6" t="s">
        <v>1355</v>
      </c>
      <c r="C6118" s="6" t="s">
        <v>116</v>
      </c>
      <c r="D6118" s="13" t="n">
        <v>45014</v>
      </c>
      <c r="E6118" s="14" t="n">
        <v>2946.7</v>
      </c>
      <c r="F6118" s="14" t="n">
        <v>7762.17</v>
      </c>
      <c r="G6118" s="6" t="s">
        <v>2613</v>
      </c>
    </row>
    <row r="6119" customFormat="false" ht="15" hidden="false" customHeight="true" outlineLevel="0" collapsed="false">
      <c r="A6119" s="6" t="s">
        <v>8731</v>
      </c>
      <c r="B6119" s="6" t="s">
        <v>1355</v>
      </c>
      <c r="C6119" s="6" t="s">
        <v>116</v>
      </c>
      <c r="D6119" s="13" t="n">
        <v>45021</v>
      </c>
      <c r="E6119" s="14" t="n">
        <v>4786.47</v>
      </c>
      <c r="F6119" s="14" t="n">
        <v>12548.64</v>
      </c>
      <c r="G6119" s="6" t="s">
        <v>2623</v>
      </c>
    </row>
    <row r="6120" customFormat="false" ht="15" hidden="false" customHeight="true" outlineLevel="0" collapsed="false">
      <c r="A6120" s="6" t="s">
        <v>8732</v>
      </c>
      <c r="B6120" s="6" t="s">
        <v>1355</v>
      </c>
      <c r="C6120" s="6" t="s">
        <v>116</v>
      </c>
      <c r="D6120" s="13" t="n">
        <v>45028</v>
      </c>
      <c r="E6120" s="14" t="n">
        <v>4244.89</v>
      </c>
      <c r="F6120" s="14" t="n">
        <v>16793.53</v>
      </c>
      <c r="G6120" s="6" t="s">
        <v>2623</v>
      </c>
    </row>
    <row r="6121" customFormat="false" ht="15" hidden="false" customHeight="true" outlineLevel="0" collapsed="false">
      <c r="A6121" s="6" t="s">
        <v>8733</v>
      </c>
      <c r="B6121" s="6" t="s">
        <v>1355</v>
      </c>
      <c r="C6121" s="6" t="s">
        <v>116</v>
      </c>
      <c r="D6121" s="13" t="n">
        <v>45035</v>
      </c>
      <c r="E6121" s="14" t="n">
        <v>2858.73</v>
      </c>
      <c r="F6121" s="14" t="n">
        <v>19652.26</v>
      </c>
      <c r="G6121" s="6" t="s">
        <v>2613</v>
      </c>
    </row>
    <row r="6122" customFormat="false" ht="15" hidden="false" customHeight="true" outlineLevel="0" collapsed="false">
      <c r="A6122" s="6" t="s">
        <v>8734</v>
      </c>
      <c r="B6122" s="6" t="s">
        <v>1355</v>
      </c>
      <c r="C6122" s="6" t="s">
        <v>116</v>
      </c>
      <c r="D6122" s="13" t="n">
        <v>45042</v>
      </c>
      <c r="E6122" s="14" t="n">
        <v>4496.88</v>
      </c>
      <c r="F6122" s="14" t="n">
        <v>24149.14</v>
      </c>
      <c r="G6122" s="6" t="s">
        <v>2613</v>
      </c>
    </row>
    <row r="6123" customFormat="false" ht="15" hidden="false" customHeight="true" outlineLevel="0" collapsed="false">
      <c r="A6123" s="6" t="s">
        <v>8735</v>
      </c>
      <c r="B6123" s="6" t="s">
        <v>1355</v>
      </c>
      <c r="C6123" s="6" t="s">
        <v>116</v>
      </c>
      <c r="D6123" s="13" t="n">
        <v>45049</v>
      </c>
      <c r="E6123" s="14" t="n">
        <v>3024.15</v>
      </c>
      <c r="F6123" s="14" t="n">
        <v>27173.29</v>
      </c>
      <c r="G6123" s="6" t="s">
        <v>2613</v>
      </c>
    </row>
    <row r="6124" customFormat="false" ht="15" hidden="false" customHeight="true" outlineLevel="0" collapsed="false">
      <c r="A6124" s="6" t="s">
        <v>8736</v>
      </c>
      <c r="B6124" s="6" t="s">
        <v>1355</v>
      </c>
      <c r="C6124" s="6" t="s">
        <v>116</v>
      </c>
      <c r="D6124" s="13" t="n">
        <v>45056</v>
      </c>
      <c r="E6124" s="14" t="n">
        <v>10342.92</v>
      </c>
      <c r="F6124" s="14" t="n">
        <v>37516.21</v>
      </c>
      <c r="G6124" s="6" t="s">
        <v>2613</v>
      </c>
    </row>
    <row r="6125" customFormat="false" ht="15" hidden="false" customHeight="true" outlineLevel="0" collapsed="false">
      <c r="A6125" s="6" t="s">
        <v>8737</v>
      </c>
      <c r="B6125" s="6" t="s">
        <v>1357</v>
      </c>
      <c r="C6125" s="6" t="s">
        <v>112</v>
      </c>
      <c r="D6125" s="13" t="n">
        <v>44589</v>
      </c>
      <c r="E6125" s="14" t="n">
        <v>3665.56</v>
      </c>
      <c r="F6125" s="14" t="n">
        <v>3665.56</v>
      </c>
      <c r="G6125" s="6" t="s">
        <v>2623</v>
      </c>
    </row>
    <row r="6126" customFormat="false" ht="15" hidden="false" customHeight="true" outlineLevel="0" collapsed="false">
      <c r="A6126" s="6" t="s">
        <v>8738</v>
      </c>
      <c r="B6126" s="6" t="s">
        <v>1357</v>
      </c>
      <c r="C6126" s="6" t="s">
        <v>112</v>
      </c>
      <c r="D6126" s="13" t="n">
        <v>44596</v>
      </c>
      <c r="E6126" s="14" t="n">
        <v>4292.97</v>
      </c>
      <c r="F6126" s="14" t="n">
        <v>7958.53</v>
      </c>
      <c r="G6126" s="6" t="s">
        <v>2613</v>
      </c>
    </row>
    <row r="6127" customFormat="false" ht="15" hidden="false" customHeight="true" outlineLevel="0" collapsed="false">
      <c r="A6127" s="6" t="s">
        <v>8739</v>
      </c>
      <c r="B6127" s="6" t="s">
        <v>1357</v>
      </c>
      <c r="C6127" s="6" t="s">
        <v>112</v>
      </c>
      <c r="D6127" s="13" t="n">
        <v>44603</v>
      </c>
      <c r="E6127" s="14" t="n">
        <v>5880.53</v>
      </c>
      <c r="F6127" s="14" t="n">
        <v>13839.06</v>
      </c>
      <c r="G6127" s="6" t="s">
        <v>2613</v>
      </c>
    </row>
    <row r="6128" customFormat="false" ht="15" hidden="false" customHeight="true" outlineLevel="0" collapsed="false">
      <c r="A6128" s="6" t="s">
        <v>8740</v>
      </c>
      <c r="B6128" s="6" t="s">
        <v>1357</v>
      </c>
      <c r="C6128" s="6" t="s">
        <v>112</v>
      </c>
      <c r="D6128" s="13" t="n">
        <v>44610</v>
      </c>
      <c r="E6128" s="14" t="n">
        <v>2628.76</v>
      </c>
      <c r="F6128" s="14" t="n">
        <v>16467.82</v>
      </c>
      <c r="G6128" s="6" t="s">
        <v>2613</v>
      </c>
    </row>
    <row r="6129" customFormat="false" ht="15" hidden="false" customHeight="true" outlineLevel="0" collapsed="false">
      <c r="A6129" s="6" t="s">
        <v>8741</v>
      </c>
      <c r="B6129" s="6" t="s">
        <v>1357</v>
      </c>
      <c r="C6129" s="6" t="s">
        <v>112</v>
      </c>
      <c r="D6129" s="13" t="n">
        <v>44617</v>
      </c>
      <c r="E6129" s="14" t="n">
        <v>3331.76</v>
      </c>
      <c r="F6129" s="14" t="n">
        <v>19799.58</v>
      </c>
      <c r="G6129" s="6" t="s">
        <v>2613</v>
      </c>
    </row>
    <row r="6130" customFormat="false" ht="15" hidden="false" customHeight="true" outlineLevel="0" collapsed="false">
      <c r="A6130" s="6" t="s">
        <v>8742</v>
      </c>
      <c r="B6130" s="6" t="s">
        <v>1357</v>
      </c>
      <c r="C6130" s="6" t="s">
        <v>112</v>
      </c>
      <c r="D6130" s="13" t="n">
        <v>44624</v>
      </c>
      <c r="E6130" s="14" t="n">
        <v>3239.75</v>
      </c>
      <c r="F6130" s="14" t="n">
        <v>23039.33</v>
      </c>
      <c r="G6130" s="6" t="s">
        <v>2613</v>
      </c>
    </row>
    <row r="6131" customFormat="false" ht="15" hidden="false" customHeight="true" outlineLevel="0" collapsed="false">
      <c r="A6131" s="6" t="s">
        <v>8743</v>
      </c>
      <c r="B6131" s="6" t="s">
        <v>1357</v>
      </c>
      <c r="C6131" s="6" t="s">
        <v>112</v>
      </c>
      <c r="D6131" s="13" t="n">
        <v>44631</v>
      </c>
      <c r="E6131" s="14" t="n">
        <v>7133.76</v>
      </c>
      <c r="F6131" s="14" t="n">
        <v>30173.09</v>
      </c>
      <c r="G6131" s="6" t="s">
        <v>2613</v>
      </c>
    </row>
    <row r="6132" customFormat="false" ht="15" hidden="false" customHeight="true" outlineLevel="0" collapsed="false">
      <c r="A6132" s="6" t="s">
        <v>8744</v>
      </c>
      <c r="B6132" s="6" t="s">
        <v>1359</v>
      </c>
      <c r="C6132" s="6" t="s">
        <v>116</v>
      </c>
      <c r="D6132" s="13" t="n">
        <v>44860</v>
      </c>
      <c r="E6132" s="14" t="n">
        <v>766.07</v>
      </c>
      <c r="F6132" s="14" t="n">
        <v>766.07</v>
      </c>
      <c r="G6132" s="6" t="s">
        <v>2613</v>
      </c>
    </row>
    <row r="6133" customFormat="false" ht="15" hidden="false" customHeight="true" outlineLevel="0" collapsed="false">
      <c r="A6133" s="6" t="s">
        <v>8745</v>
      </c>
      <c r="B6133" s="6" t="s">
        <v>1359</v>
      </c>
      <c r="C6133" s="6" t="s">
        <v>116</v>
      </c>
      <c r="D6133" s="13" t="n">
        <v>44867</v>
      </c>
      <c r="E6133" s="14" t="n">
        <v>813.98</v>
      </c>
      <c r="F6133" s="14" t="n">
        <v>1580.05</v>
      </c>
      <c r="G6133" s="6" t="s">
        <v>2613</v>
      </c>
    </row>
    <row r="6134" customFormat="false" ht="15" hidden="false" customHeight="true" outlineLevel="0" collapsed="false">
      <c r="A6134" s="6" t="s">
        <v>8746</v>
      </c>
      <c r="B6134" s="6" t="s">
        <v>1359</v>
      </c>
      <c r="C6134" s="6" t="s">
        <v>116</v>
      </c>
      <c r="D6134" s="13" t="n">
        <v>44874</v>
      </c>
      <c r="E6134" s="14" t="n">
        <v>727.05</v>
      </c>
      <c r="F6134" s="14" t="n">
        <v>2307.1</v>
      </c>
      <c r="G6134" s="6" t="s">
        <v>2613</v>
      </c>
    </row>
    <row r="6135" customFormat="false" ht="15" hidden="false" customHeight="true" outlineLevel="0" collapsed="false">
      <c r="A6135" s="6" t="s">
        <v>8747</v>
      </c>
      <c r="B6135" s="6" t="s">
        <v>1359</v>
      </c>
      <c r="C6135" s="6" t="s">
        <v>116</v>
      </c>
      <c r="D6135" s="13" t="n">
        <v>44881</v>
      </c>
      <c r="E6135" s="14" t="n">
        <v>851.34</v>
      </c>
      <c r="F6135" s="14" t="n">
        <v>3158.44</v>
      </c>
      <c r="G6135" s="6" t="s">
        <v>2613</v>
      </c>
    </row>
    <row r="6136" customFormat="false" ht="15" hidden="false" customHeight="true" outlineLevel="0" collapsed="false">
      <c r="A6136" s="6" t="s">
        <v>8748</v>
      </c>
      <c r="B6136" s="6" t="s">
        <v>1359</v>
      </c>
      <c r="C6136" s="6" t="s">
        <v>116</v>
      </c>
      <c r="D6136" s="13" t="n">
        <v>44888</v>
      </c>
      <c r="E6136" s="14" t="n">
        <v>446.5</v>
      </c>
      <c r="F6136" s="14" t="n">
        <v>3604.94</v>
      </c>
      <c r="G6136" s="6" t="s">
        <v>2613</v>
      </c>
    </row>
    <row r="6137" customFormat="false" ht="15" hidden="false" customHeight="true" outlineLevel="0" collapsed="false">
      <c r="A6137" s="6" t="s">
        <v>8749</v>
      </c>
      <c r="B6137" s="6" t="s">
        <v>1359</v>
      </c>
      <c r="C6137" s="6" t="s">
        <v>116</v>
      </c>
      <c r="D6137" s="13" t="n">
        <v>44895</v>
      </c>
      <c r="E6137" s="14" t="n">
        <v>834.6</v>
      </c>
      <c r="F6137" s="14" t="n">
        <v>4439.54</v>
      </c>
      <c r="G6137" s="6" t="s">
        <v>2613</v>
      </c>
    </row>
    <row r="6138" customFormat="false" ht="15" hidden="false" customHeight="true" outlineLevel="0" collapsed="false">
      <c r="A6138" s="6" t="s">
        <v>8750</v>
      </c>
      <c r="B6138" s="6" t="s">
        <v>1359</v>
      </c>
      <c r="C6138" s="6" t="s">
        <v>116</v>
      </c>
      <c r="D6138" s="13" t="n">
        <v>44902</v>
      </c>
      <c r="E6138" s="14" t="n">
        <v>368.17</v>
      </c>
      <c r="F6138" s="14" t="n">
        <v>4807.71</v>
      </c>
      <c r="G6138" s="6" t="s">
        <v>2613</v>
      </c>
    </row>
    <row r="6139" customFormat="false" ht="15" hidden="false" customHeight="true" outlineLevel="0" collapsed="false">
      <c r="A6139" s="6" t="s">
        <v>8751</v>
      </c>
      <c r="B6139" s="6" t="s">
        <v>1359</v>
      </c>
      <c r="C6139" s="6" t="s">
        <v>116</v>
      </c>
      <c r="D6139" s="13" t="n">
        <v>44909</v>
      </c>
      <c r="E6139" s="14" t="n">
        <v>484.32</v>
      </c>
      <c r="F6139" s="14" t="n">
        <v>5292.03</v>
      </c>
      <c r="G6139" s="6" t="s">
        <v>2623</v>
      </c>
    </row>
    <row r="6140" customFormat="false" ht="15" hidden="false" customHeight="true" outlineLevel="0" collapsed="false">
      <c r="A6140" s="6" t="s">
        <v>8752</v>
      </c>
      <c r="B6140" s="6" t="s">
        <v>1359</v>
      </c>
      <c r="C6140" s="6" t="s">
        <v>116</v>
      </c>
      <c r="D6140" s="13" t="n">
        <v>44916</v>
      </c>
      <c r="E6140" s="14" t="n">
        <v>841.4</v>
      </c>
      <c r="F6140" s="14" t="n">
        <v>6133.43</v>
      </c>
      <c r="G6140" s="6" t="s">
        <v>2613</v>
      </c>
    </row>
    <row r="6141" customFormat="false" ht="15" hidden="false" customHeight="true" outlineLevel="0" collapsed="false">
      <c r="A6141" s="6" t="s">
        <v>8753</v>
      </c>
      <c r="B6141" s="6" t="s">
        <v>1359</v>
      </c>
      <c r="C6141" s="6" t="s">
        <v>116</v>
      </c>
      <c r="D6141" s="13" t="n">
        <v>44923</v>
      </c>
      <c r="E6141" s="14" t="n">
        <v>734.88</v>
      </c>
      <c r="F6141" s="14" t="n">
        <v>6868.31</v>
      </c>
      <c r="G6141" s="6" t="s">
        <v>2613</v>
      </c>
    </row>
    <row r="6142" customFormat="false" ht="15" hidden="false" customHeight="true" outlineLevel="0" collapsed="false">
      <c r="A6142" s="6" t="s">
        <v>8754</v>
      </c>
      <c r="B6142" s="6" t="s">
        <v>1359</v>
      </c>
      <c r="C6142" s="6" t="s">
        <v>116</v>
      </c>
      <c r="D6142" s="13" t="n">
        <v>44930</v>
      </c>
      <c r="E6142" s="14" t="n">
        <v>748</v>
      </c>
      <c r="F6142" s="14" t="n">
        <v>7616.31</v>
      </c>
      <c r="G6142" s="6" t="s">
        <v>2613</v>
      </c>
    </row>
    <row r="6143" customFormat="false" ht="15" hidden="false" customHeight="true" outlineLevel="0" collapsed="false">
      <c r="A6143" s="6" t="s">
        <v>8755</v>
      </c>
      <c r="B6143" s="6" t="s">
        <v>1359</v>
      </c>
      <c r="C6143" s="6" t="s">
        <v>116</v>
      </c>
      <c r="D6143" s="13" t="n">
        <v>44937</v>
      </c>
      <c r="E6143" s="14" t="n">
        <v>454.52</v>
      </c>
      <c r="F6143" s="14" t="n">
        <v>8070.83</v>
      </c>
      <c r="G6143" s="6" t="s">
        <v>2613</v>
      </c>
    </row>
    <row r="6144" customFormat="false" ht="15" hidden="false" customHeight="true" outlineLevel="0" collapsed="false">
      <c r="A6144" s="6" t="s">
        <v>8756</v>
      </c>
      <c r="B6144" s="6" t="s">
        <v>1359</v>
      </c>
      <c r="C6144" s="6" t="s">
        <v>116</v>
      </c>
      <c r="D6144" s="13" t="n">
        <v>44944</v>
      </c>
      <c r="E6144" s="14" t="n">
        <v>448.43</v>
      </c>
      <c r="F6144" s="14" t="n">
        <v>8519.26</v>
      </c>
      <c r="G6144" s="6" t="s">
        <v>2623</v>
      </c>
    </row>
    <row r="6145" customFormat="false" ht="15" hidden="false" customHeight="true" outlineLevel="0" collapsed="false">
      <c r="A6145" s="6" t="s">
        <v>8757</v>
      </c>
      <c r="B6145" s="6" t="s">
        <v>1361</v>
      </c>
      <c r="C6145" s="6" t="s">
        <v>120</v>
      </c>
      <c r="D6145" s="13" t="n">
        <v>45540</v>
      </c>
      <c r="E6145" s="14" t="n">
        <v>4604.62</v>
      </c>
      <c r="F6145" s="14" t="n">
        <v>4604.62</v>
      </c>
      <c r="G6145" s="6" t="s">
        <v>2613</v>
      </c>
    </row>
    <row r="6146" customFormat="false" ht="15" hidden="false" customHeight="true" outlineLevel="0" collapsed="false">
      <c r="A6146" s="6" t="s">
        <v>8758</v>
      </c>
      <c r="B6146" s="6" t="s">
        <v>1361</v>
      </c>
      <c r="C6146" s="6" t="s">
        <v>120</v>
      </c>
      <c r="D6146" s="13" t="n">
        <v>45547</v>
      </c>
      <c r="E6146" s="14" t="n">
        <v>6977.02</v>
      </c>
      <c r="F6146" s="14" t="n">
        <v>11581.64</v>
      </c>
      <c r="G6146" s="6" t="s">
        <v>2613</v>
      </c>
    </row>
    <row r="6147" customFormat="false" ht="15" hidden="false" customHeight="true" outlineLevel="0" collapsed="false">
      <c r="A6147" s="6" t="s">
        <v>8759</v>
      </c>
      <c r="B6147" s="6" t="s">
        <v>1361</v>
      </c>
      <c r="C6147" s="6" t="s">
        <v>120</v>
      </c>
      <c r="D6147" s="13" t="n">
        <v>45554</v>
      </c>
      <c r="E6147" s="14" t="n">
        <v>6352.06</v>
      </c>
      <c r="F6147" s="14" t="n">
        <v>17933.7</v>
      </c>
      <c r="G6147" s="6" t="s">
        <v>2613</v>
      </c>
    </row>
    <row r="6148" customFormat="false" ht="15" hidden="false" customHeight="true" outlineLevel="0" collapsed="false">
      <c r="A6148" s="6" t="s">
        <v>8760</v>
      </c>
      <c r="B6148" s="6" t="s">
        <v>1361</v>
      </c>
      <c r="C6148" s="6" t="s">
        <v>120</v>
      </c>
      <c r="D6148" s="13" t="n">
        <v>45561</v>
      </c>
      <c r="E6148" s="14" t="n">
        <v>5247.96</v>
      </c>
      <c r="F6148" s="14" t="n">
        <v>23181.66</v>
      </c>
      <c r="G6148" s="6" t="s">
        <v>2613</v>
      </c>
    </row>
    <row r="6149" customFormat="false" ht="15" hidden="false" customHeight="true" outlineLevel="0" collapsed="false">
      <c r="A6149" s="6" t="s">
        <v>8761</v>
      </c>
      <c r="B6149" s="6" t="s">
        <v>1361</v>
      </c>
      <c r="C6149" s="6" t="s">
        <v>120</v>
      </c>
      <c r="D6149" s="13" t="n">
        <v>45568</v>
      </c>
      <c r="E6149" s="14" t="n">
        <v>8353.03</v>
      </c>
      <c r="F6149" s="14" t="n">
        <v>31534.69</v>
      </c>
      <c r="G6149" s="6" t="s">
        <v>2613</v>
      </c>
    </row>
    <row r="6150" customFormat="false" ht="15" hidden="false" customHeight="true" outlineLevel="0" collapsed="false">
      <c r="A6150" s="6" t="s">
        <v>8762</v>
      </c>
      <c r="B6150" s="6" t="s">
        <v>1361</v>
      </c>
      <c r="C6150" s="6" t="s">
        <v>120</v>
      </c>
      <c r="D6150" s="13" t="n">
        <v>45575</v>
      </c>
      <c r="E6150" s="14" t="n">
        <v>6258.5</v>
      </c>
      <c r="F6150" s="14" t="n">
        <v>37793.19</v>
      </c>
      <c r="G6150" s="6" t="s">
        <v>2613</v>
      </c>
    </row>
    <row r="6151" customFormat="false" ht="15" hidden="false" customHeight="true" outlineLevel="0" collapsed="false">
      <c r="A6151" s="6" t="s">
        <v>8763</v>
      </c>
      <c r="B6151" s="6" t="s">
        <v>1361</v>
      </c>
      <c r="C6151" s="6" t="s">
        <v>120</v>
      </c>
      <c r="D6151" s="13" t="n">
        <v>45582</v>
      </c>
      <c r="E6151" s="14" t="n">
        <v>10254.02</v>
      </c>
      <c r="F6151" s="14" t="n">
        <v>48047.21</v>
      </c>
      <c r="G6151" s="6" t="s">
        <v>2613</v>
      </c>
    </row>
    <row r="6152" customFormat="false" ht="15" hidden="false" customHeight="true" outlineLevel="0" collapsed="false">
      <c r="A6152" s="6" t="s">
        <v>8764</v>
      </c>
      <c r="B6152" s="6" t="s">
        <v>1361</v>
      </c>
      <c r="C6152" s="6" t="s">
        <v>120</v>
      </c>
      <c r="D6152" s="13" t="n">
        <v>45589</v>
      </c>
      <c r="E6152" s="14" t="n">
        <v>11551.47</v>
      </c>
      <c r="F6152" s="14" t="n">
        <v>59598.68</v>
      </c>
      <c r="G6152" s="6" t="s">
        <v>2613</v>
      </c>
    </row>
    <row r="6153" customFormat="false" ht="15" hidden="false" customHeight="true" outlineLevel="0" collapsed="false">
      <c r="A6153" s="6" t="s">
        <v>8765</v>
      </c>
      <c r="B6153" s="6" t="s">
        <v>1363</v>
      </c>
      <c r="C6153" s="6" t="s">
        <v>120</v>
      </c>
      <c r="D6153" s="13" t="n">
        <v>45759</v>
      </c>
      <c r="E6153" s="14" t="n">
        <v>2536.21</v>
      </c>
      <c r="F6153" s="14" t="n">
        <v>2536.21</v>
      </c>
      <c r="G6153" s="6" t="s">
        <v>2613</v>
      </c>
    </row>
    <row r="6154" customFormat="false" ht="15" hidden="false" customHeight="true" outlineLevel="0" collapsed="false">
      <c r="A6154" s="6" t="s">
        <v>8766</v>
      </c>
      <c r="B6154" s="6" t="s">
        <v>1363</v>
      </c>
      <c r="C6154" s="6" t="s">
        <v>120</v>
      </c>
      <c r="D6154" s="13" t="n">
        <v>45766</v>
      </c>
      <c r="E6154" s="14" t="n">
        <v>1882.65</v>
      </c>
      <c r="F6154" s="14" t="n">
        <v>4418.86</v>
      </c>
      <c r="G6154" s="6" t="s">
        <v>2613</v>
      </c>
    </row>
    <row r="6155" customFormat="false" ht="15" hidden="false" customHeight="true" outlineLevel="0" collapsed="false">
      <c r="A6155" s="6" t="s">
        <v>8767</v>
      </c>
      <c r="B6155" s="6" t="s">
        <v>1363</v>
      </c>
      <c r="C6155" s="6" t="s">
        <v>120</v>
      </c>
      <c r="D6155" s="13" t="n">
        <v>45773</v>
      </c>
      <c r="E6155" s="14" t="n">
        <v>1688.51</v>
      </c>
      <c r="F6155" s="14" t="n">
        <v>6107.37</v>
      </c>
      <c r="G6155" s="6" t="s">
        <v>2613</v>
      </c>
    </row>
    <row r="6156" customFormat="false" ht="15" hidden="false" customHeight="true" outlineLevel="0" collapsed="false">
      <c r="A6156" s="6" t="s">
        <v>8768</v>
      </c>
      <c r="B6156" s="6" t="s">
        <v>1363</v>
      </c>
      <c r="C6156" s="6" t="s">
        <v>120</v>
      </c>
      <c r="D6156" s="13" t="n">
        <v>45780</v>
      </c>
      <c r="E6156" s="14" t="n">
        <v>2096.68</v>
      </c>
      <c r="F6156" s="14" t="n">
        <v>8204.05</v>
      </c>
      <c r="G6156" s="6" t="s">
        <v>2613</v>
      </c>
    </row>
    <row r="6157" customFormat="false" ht="15" hidden="false" customHeight="true" outlineLevel="0" collapsed="false">
      <c r="A6157" s="6" t="s">
        <v>8769</v>
      </c>
      <c r="B6157" s="6" t="s">
        <v>1363</v>
      </c>
      <c r="C6157" s="6" t="s">
        <v>120</v>
      </c>
      <c r="D6157" s="13" t="n">
        <v>45787</v>
      </c>
      <c r="E6157" s="14" t="n">
        <v>2003.91</v>
      </c>
      <c r="F6157" s="14" t="n">
        <v>10207.96</v>
      </c>
      <c r="G6157" s="6" t="s">
        <v>2613</v>
      </c>
    </row>
    <row r="6158" customFormat="false" ht="15" hidden="false" customHeight="true" outlineLevel="0" collapsed="false">
      <c r="A6158" s="6" t="s">
        <v>8770</v>
      </c>
      <c r="B6158" s="6" t="s">
        <v>1363</v>
      </c>
      <c r="C6158" s="6" t="s">
        <v>120</v>
      </c>
      <c r="D6158" s="13" t="n">
        <v>45794</v>
      </c>
      <c r="E6158" s="14" t="n">
        <v>2655.87</v>
      </c>
      <c r="F6158" s="14" t="n">
        <v>12863.83</v>
      </c>
      <c r="G6158" s="6" t="s">
        <v>2613</v>
      </c>
    </row>
    <row r="6159" customFormat="false" ht="15" hidden="false" customHeight="true" outlineLevel="0" collapsed="false">
      <c r="A6159" s="6" t="s">
        <v>8771</v>
      </c>
      <c r="B6159" s="6" t="s">
        <v>1363</v>
      </c>
      <c r="C6159" s="6" t="s">
        <v>120</v>
      </c>
      <c r="D6159" s="13" t="n">
        <v>45801</v>
      </c>
      <c r="E6159" s="14" t="n">
        <v>2322.68</v>
      </c>
      <c r="F6159" s="14" t="n">
        <v>15186.51</v>
      </c>
      <c r="G6159" s="6" t="s">
        <v>2613</v>
      </c>
    </row>
    <row r="6160" customFormat="false" ht="15" hidden="false" customHeight="true" outlineLevel="0" collapsed="false">
      <c r="A6160" s="6" t="s">
        <v>8772</v>
      </c>
      <c r="B6160" s="6" t="s">
        <v>1363</v>
      </c>
      <c r="C6160" s="6" t="s">
        <v>120</v>
      </c>
      <c r="D6160" s="13" t="n">
        <v>45808</v>
      </c>
      <c r="E6160" s="14" t="n">
        <v>1119.11</v>
      </c>
      <c r="F6160" s="14" t="n">
        <v>16305.62</v>
      </c>
      <c r="G6160" s="6" t="s">
        <v>2613</v>
      </c>
    </row>
    <row r="6161" customFormat="false" ht="15" hidden="false" customHeight="true" outlineLevel="0" collapsed="false">
      <c r="A6161" s="6" t="s">
        <v>8773</v>
      </c>
      <c r="B6161" s="6" t="s">
        <v>1365</v>
      </c>
      <c r="C6161" s="6" t="s">
        <v>112</v>
      </c>
      <c r="D6161" s="13" t="n">
        <v>44793</v>
      </c>
      <c r="E6161" s="14" t="n">
        <v>8292.99</v>
      </c>
      <c r="F6161" s="14" t="n">
        <v>8292.99</v>
      </c>
      <c r="G6161" s="6" t="s">
        <v>2613</v>
      </c>
    </row>
    <row r="6162" customFormat="false" ht="15" hidden="false" customHeight="true" outlineLevel="0" collapsed="false">
      <c r="A6162" s="6" t="s">
        <v>8774</v>
      </c>
      <c r="B6162" s="6" t="s">
        <v>1365</v>
      </c>
      <c r="C6162" s="6" t="s">
        <v>112</v>
      </c>
      <c r="D6162" s="13" t="n">
        <v>44800</v>
      </c>
      <c r="E6162" s="14" t="n">
        <v>5060.12</v>
      </c>
      <c r="F6162" s="14" t="n">
        <v>13353.11</v>
      </c>
      <c r="G6162" s="6" t="s">
        <v>2613</v>
      </c>
    </row>
    <row r="6163" customFormat="false" ht="15" hidden="false" customHeight="true" outlineLevel="0" collapsed="false">
      <c r="A6163" s="6" t="s">
        <v>8775</v>
      </c>
      <c r="B6163" s="6" t="s">
        <v>1365</v>
      </c>
      <c r="C6163" s="6" t="s">
        <v>112</v>
      </c>
      <c r="D6163" s="13" t="n">
        <v>44807</v>
      </c>
      <c r="E6163" s="14" t="n">
        <v>4845.77</v>
      </c>
      <c r="F6163" s="14" t="n">
        <v>18198.88</v>
      </c>
      <c r="G6163" s="6" t="s">
        <v>2613</v>
      </c>
    </row>
    <row r="6164" customFormat="false" ht="15" hidden="false" customHeight="true" outlineLevel="0" collapsed="false">
      <c r="A6164" s="6" t="s">
        <v>8776</v>
      </c>
      <c r="B6164" s="6" t="s">
        <v>1365</v>
      </c>
      <c r="C6164" s="6" t="s">
        <v>112</v>
      </c>
      <c r="D6164" s="13" t="n">
        <v>44814</v>
      </c>
      <c r="E6164" s="14" t="n">
        <v>8937.12</v>
      </c>
      <c r="F6164" s="14" t="n">
        <v>27136</v>
      </c>
      <c r="G6164" s="6" t="s">
        <v>2613</v>
      </c>
    </row>
    <row r="6165" customFormat="false" ht="15" hidden="false" customHeight="true" outlineLevel="0" collapsed="false">
      <c r="A6165" s="6" t="s">
        <v>8777</v>
      </c>
      <c r="B6165" s="6" t="s">
        <v>1365</v>
      </c>
      <c r="C6165" s="6" t="s">
        <v>112</v>
      </c>
      <c r="D6165" s="13" t="n">
        <v>44821</v>
      </c>
      <c r="E6165" s="14" t="n">
        <v>9529.14</v>
      </c>
      <c r="F6165" s="14" t="n">
        <v>36665.14</v>
      </c>
      <c r="G6165" s="6" t="s">
        <v>2613</v>
      </c>
    </row>
    <row r="6166" customFormat="false" ht="15" hidden="false" customHeight="true" outlineLevel="0" collapsed="false">
      <c r="A6166" s="6" t="s">
        <v>8778</v>
      </c>
      <c r="B6166" s="6" t="s">
        <v>1365</v>
      </c>
      <c r="C6166" s="6" t="s">
        <v>112</v>
      </c>
      <c r="D6166" s="13" t="n">
        <v>44828</v>
      </c>
      <c r="E6166" s="14" t="n">
        <v>8744</v>
      </c>
      <c r="F6166" s="14" t="n">
        <v>45409.14</v>
      </c>
      <c r="G6166" s="6" t="s">
        <v>2613</v>
      </c>
    </row>
    <row r="6167" customFormat="false" ht="15" hidden="false" customHeight="true" outlineLevel="0" collapsed="false">
      <c r="A6167" s="6" t="s">
        <v>8779</v>
      </c>
      <c r="B6167" s="6" t="s">
        <v>1367</v>
      </c>
      <c r="C6167" s="6" t="s">
        <v>124</v>
      </c>
      <c r="D6167" s="13" t="n">
        <v>44892</v>
      </c>
      <c r="E6167" s="14" t="n">
        <v>2383.77</v>
      </c>
      <c r="F6167" s="14" t="n">
        <v>2383.77</v>
      </c>
      <c r="G6167" s="6" t="s">
        <v>2613</v>
      </c>
    </row>
    <row r="6168" customFormat="false" ht="15" hidden="false" customHeight="true" outlineLevel="0" collapsed="false">
      <c r="A6168" s="6" t="s">
        <v>8780</v>
      </c>
      <c r="B6168" s="6" t="s">
        <v>1367</v>
      </c>
      <c r="C6168" s="6" t="s">
        <v>124</v>
      </c>
      <c r="D6168" s="13" t="n">
        <v>44899</v>
      </c>
      <c r="E6168" s="14" t="n">
        <v>2204.5</v>
      </c>
      <c r="F6168" s="14" t="n">
        <v>4588.27</v>
      </c>
      <c r="G6168" s="6" t="s">
        <v>2613</v>
      </c>
    </row>
    <row r="6169" customFormat="false" ht="15" hidden="false" customHeight="true" outlineLevel="0" collapsed="false">
      <c r="A6169" s="6" t="s">
        <v>8781</v>
      </c>
      <c r="B6169" s="6" t="s">
        <v>1367</v>
      </c>
      <c r="C6169" s="6" t="s">
        <v>124</v>
      </c>
      <c r="D6169" s="13" t="n">
        <v>44906</v>
      </c>
      <c r="E6169" s="14" t="n">
        <v>2995.48</v>
      </c>
      <c r="F6169" s="14" t="n">
        <v>7583.75</v>
      </c>
      <c r="G6169" s="6" t="s">
        <v>2613</v>
      </c>
    </row>
    <row r="6170" customFormat="false" ht="15" hidden="false" customHeight="true" outlineLevel="0" collapsed="false">
      <c r="A6170" s="6" t="s">
        <v>8782</v>
      </c>
      <c r="B6170" s="6" t="s">
        <v>1367</v>
      </c>
      <c r="C6170" s="6" t="s">
        <v>124</v>
      </c>
      <c r="D6170" s="13" t="n">
        <v>44913</v>
      </c>
      <c r="E6170" s="14" t="n">
        <v>3260.73</v>
      </c>
      <c r="F6170" s="14" t="n">
        <v>10844.48</v>
      </c>
      <c r="G6170" s="6" t="s">
        <v>2613</v>
      </c>
    </row>
    <row r="6171" customFormat="false" ht="15" hidden="false" customHeight="true" outlineLevel="0" collapsed="false">
      <c r="A6171" s="6" t="s">
        <v>8783</v>
      </c>
      <c r="B6171" s="6" t="s">
        <v>1367</v>
      </c>
      <c r="C6171" s="6" t="s">
        <v>124</v>
      </c>
      <c r="D6171" s="13" t="n">
        <v>44920</v>
      </c>
      <c r="E6171" s="14" t="n">
        <v>2755.14</v>
      </c>
      <c r="F6171" s="14" t="n">
        <v>13599.62</v>
      </c>
      <c r="G6171" s="6" t="s">
        <v>2613</v>
      </c>
    </row>
    <row r="6172" customFormat="false" ht="15" hidden="false" customHeight="true" outlineLevel="0" collapsed="false">
      <c r="A6172" s="6" t="s">
        <v>8784</v>
      </c>
      <c r="B6172" s="6" t="s">
        <v>1367</v>
      </c>
      <c r="C6172" s="6" t="s">
        <v>124</v>
      </c>
      <c r="D6172" s="13" t="n">
        <v>44927</v>
      </c>
      <c r="E6172" s="14" t="n">
        <v>2784.41</v>
      </c>
      <c r="F6172" s="14" t="n">
        <v>16384.03</v>
      </c>
      <c r="G6172" s="6" t="s">
        <v>2613</v>
      </c>
    </row>
    <row r="6173" customFormat="false" ht="15" hidden="false" customHeight="true" outlineLevel="0" collapsed="false">
      <c r="A6173" s="6" t="s">
        <v>8785</v>
      </c>
      <c r="B6173" s="6" t="s">
        <v>1367</v>
      </c>
      <c r="C6173" s="6" t="s">
        <v>124</v>
      </c>
      <c r="D6173" s="13" t="n">
        <v>44934</v>
      </c>
      <c r="E6173" s="14" t="n">
        <v>2069.41</v>
      </c>
      <c r="F6173" s="14" t="n">
        <v>18453.44</v>
      </c>
      <c r="G6173" s="6" t="s">
        <v>2613</v>
      </c>
    </row>
    <row r="6174" customFormat="false" ht="15" hidden="false" customHeight="true" outlineLevel="0" collapsed="false">
      <c r="A6174" s="6" t="s">
        <v>8786</v>
      </c>
      <c r="B6174" s="6" t="s">
        <v>1367</v>
      </c>
      <c r="C6174" s="6" t="s">
        <v>124</v>
      </c>
      <c r="D6174" s="13" t="n">
        <v>44941</v>
      </c>
      <c r="E6174" s="14" t="n">
        <v>3038.32</v>
      </c>
      <c r="F6174" s="14" t="n">
        <v>21491.76</v>
      </c>
      <c r="G6174" s="6" t="s">
        <v>2613</v>
      </c>
    </row>
    <row r="6175" customFormat="false" ht="15" hidden="false" customHeight="true" outlineLevel="0" collapsed="false">
      <c r="A6175" s="6" t="s">
        <v>8787</v>
      </c>
      <c r="B6175" s="6" t="s">
        <v>1367</v>
      </c>
      <c r="C6175" s="6" t="s">
        <v>124</v>
      </c>
      <c r="D6175" s="13" t="n">
        <v>44948</v>
      </c>
      <c r="E6175" s="14" t="n">
        <v>1402.85</v>
      </c>
      <c r="F6175" s="14" t="n">
        <v>22894.61</v>
      </c>
      <c r="G6175" s="6" t="s">
        <v>2623</v>
      </c>
    </row>
    <row r="6176" customFormat="false" ht="15" hidden="false" customHeight="true" outlineLevel="0" collapsed="false">
      <c r="A6176" s="6" t="s">
        <v>8788</v>
      </c>
      <c r="B6176" s="6" t="s">
        <v>1367</v>
      </c>
      <c r="C6176" s="6" t="s">
        <v>124</v>
      </c>
      <c r="D6176" s="13" t="n">
        <v>44955</v>
      </c>
      <c r="E6176" s="14" t="n">
        <v>2422.49</v>
      </c>
      <c r="F6176" s="14" t="n">
        <v>25317.1</v>
      </c>
      <c r="G6176" s="6" t="s">
        <v>2613</v>
      </c>
    </row>
    <row r="6177" customFormat="false" ht="15" hidden="false" customHeight="true" outlineLevel="0" collapsed="false">
      <c r="A6177" s="6" t="s">
        <v>8789</v>
      </c>
      <c r="B6177" s="6" t="s">
        <v>1367</v>
      </c>
      <c r="C6177" s="6" t="s">
        <v>124</v>
      </c>
      <c r="D6177" s="13" t="n">
        <v>44962</v>
      </c>
      <c r="E6177" s="14" t="n">
        <v>2879.06</v>
      </c>
      <c r="F6177" s="14" t="n">
        <v>28196.16</v>
      </c>
      <c r="G6177" s="6" t="s">
        <v>2613</v>
      </c>
    </row>
    <row r="6178" customFormat="false" ht="15" hidden="false" customHeight="true" outlineLevel="0" collapsed="false">
      <c r="A6178" s="6" t="s">
        <v>8790</v>
      </c>
      <c r="B6178" s="6" t="s">
        <v>1367</v>
      </c>
      <c r="C6178" s="6" t="s">
        <v>124</v>
      </c>
      <c r="D6178" s="13" t="n">
        <v>44969</v>
      </c>
      <c r="E6178" s="14" t="n">
        <v>3253.63</v>
      </c>
      <c r="F6178" s="14" t="n">
        <v>31449.79</v>
      </c>
      <c r="G6178" s="6" t="s">
        <v>2613</v>
      </c>
    </row>
    <row r="6179" customFormat="false" ht="15" hidden="false" customHeight="true" outlineLevel="0" collapsed="false">
      <c r="A6179" s="6" t="s">
        <v>8791</v>
      </c>
      <c r="B6179" s="6" t="s">
        <v>1367</v>
      </c>
      <c r="C6179" s="6" t="s">
        <v>124</v>
      </c>
      <c r="D6179" s="13" t="n">
        <v>44976</v>
      </c>
      <c r="E6179" s="14" t="n">
        <v>2506.82</v>
      </c>
      <c r="F6179" s="14" t="n">
        <v>33956.61</v>
      </c>
      <c r="G6179" s="6" t="s">
        <v>2613</v>
      </c>
    </row>
    <row r="6180" customFormat="false" ht="15" hidden="false" customHeight="true" outlineLevel="0" collapsed="false">
      <c r="A6180" s="6" t="s">
        <v>8792</v>
      </c>
      <c r="B6180" s="6" t="s">
        <v>1367</v>
      </c>
      <c r="C6180" s="6" t="s">
        <v>124</v>
      </c>
      <c r="D6180" s="13" t="n">
        <v>44983</v>
      </c>
      <c r="E6180" s="14" t="n">
        <v>1405.43</v>
      </c>
      <c r="F6180" s="14" t="n">
        <v>35362.04</v>
      </c>
      <c r="G6180" s="6" t="s">
        <v>2613</v>
      </c>
    </row>
    <row r="6181" customFormat="false" ht="15" hidden="false" customHeight="true" outlineLevel="0" collapsed="false">
      <c r="A6181" s="6" t="s">
        <v>8793</v>
      </c>
      <c r="B6181" s="6" t="s">
        <v>1367</v>
      </c>
      <c r="C6181" s="6" t="s">
        <v>124</v>
      </c>
      <c r="D6181" s="13" t="n">
        <v>44990</v>
      </c>
      <c r="E6181" s="14" t="n">
        <v>2832.12</v>
      </c>
      <c r="F6181" s="14" t="n">
        <v>38194.16</v>
      </c>
      <c r="G6181" s="6" t="s">
        <v>2613</v>
      </c>
    </row>
    <row r="6182" customFormat="false" ht="15" hidden="false" customHeight="true" outlineLevel="0" collapsed="false">
      <c r="A6182" s="6" t="s">
        <v>8794</v>
      </c>
      <c r="B6182" s="6" t="s">
        <v>1367</v>
      </c>
      <c r="C6182" s="6" t="s">
        <v>124</v>
      </c>
      <c r="D6182" s="13" t="n">
        <v>44997</v>
      </c>
      <c r="E6182" s="14" t="n">
        <v>1567.02</v>
      </c>
      <c r="F6182" s="14" t="n">
        <v>39761.18</v>
      </c>
      <c r="G6182" s="6" t="s">
        <v>2613</v>
      </c>
    </row>
    <row r="6183" customFormat="false" ht="15" hidden="false" customHeight="true" outlineLevel="0" collapsed="false">
      <c r="A6183" s="6" t="s">
        <v>8795</v>
      </c>
      <c r="B6183" s="6" t="s">
        <v>1367</v>
      </c>
      <c r="C6183" s="6" t="s">
        <v>124</v>
      </c>
      <c r="D6183" s="13" t="n">
        <v>45004</v>
      </c>
      <c r="E6183" s="14" t="n">
        <v>2156.93</v>
      </c>
      <c r="F6183" s="14" t="n">
        <v>41918.11</v>
      </c>
      <c r="G6183" s="6" t="s">
        <v>2623</v>
      </c>
    </row>
    <row r="6184" customFormat="false" ht="15" hidden="false" customHeight="true" outlineLevel="0" collapsed="false">
      <c r="A6184" s="6" t="s">
        <v>8796</v>
      </c>
      <c r="B6184" s="6" t="s">
        <v>1367</v>
      </c>
      <c r="C6184" s="6" t="s">
        <v>124</v>
      </c>
      <c r="D6184" s="13" t="n">
        <v>45011</v>
      </c>
      <c r="E6184" s="14" t="n">
        <v>2480.51</v>
      </c>
      <c r="F6184" s="14" t="n">
        <v>44398.62</v>
      </c>
      <c r="G6184" s="6" t="s">
        <v>2613</v>
      </c>
    </row>
    <row r="6185" customFormat="false" ht="15" hidden="false" customHeight="true" outlineLevel="0" collapsed="false">
      <c r="A6185" s="6" t="s">
        <v>8797</v>
      </c>
      <c r="B6185" s="6" t="s">
        <v>1367</v>
      </c>
      <c r="C6185" s="6" t="s">
        <v>124</v>
      </c>
      <c r="D6185" s="13" t="n">
        <v>45018</v>
      </c>
      <c r="E6185" s="14" t="n">
        <v>1571.43</v>
      </c>
      <c r="F6185" s="14" t="n">
        <v>45970.05</v>
      </c>
      <c r="G6185" s="6" t="s">
        <v>2613</v>
      </c>
    </row>
    <row r="6186" customFormat="false" ht="15" hidden="false" customHeight="true" outlineLevel="0" collapsed="false">
      <c r="A6186" s="6" t="s">
        <v>8798</v>
      </c>
      <c r="B6186" s="6" t="s">
        <v>1367</v>
      </c>
      <c r="C6186" s="6" t="s">
        <v>124</v>
      </c>
      <c r="D6186" s="13" t="n">
        <v>45025</v>
      </c>
      <c r="E6186" s="14" t="n">
        <v>2782.24</v>
      </c>
      <c r="F6186" s="14" t="n">
        <v>48752.29</v>
      </c>
      <c r="G6186" s="6" t="s">
        <v>2613</v>
      </c>
    </row>
    <row r="6187" customFormat="false" ht="15" hidden="false" customHeight="true" outlineLevel="0" collapsed="false">
      <c r="A6187" s="6" t="s">
        <v>8799</v>
      </c>
      <c r="B6187" s="6" t="s">
        <v>1367</v>
      </c>
      <c r="C6187" s="6" t="s">
        <v>124</v>
      </c>
      <c r="D6187" s="13" t="n">
        <v>45032</v>
      </c>
      <c r="E6187" s="14" t="n">
        <v>1837.74</v>
      </c>
      <c r="F6187" s="14" t="n">
        <v>50590.03</v>
      </c>
      <c r="G6187" s="6" t="s">
        <v>2613</v>
      </c>
    </row>
    <row r="6188" customFormat="false" ht="15" hidden="false" customHeight="true" outlineLevel="0" collapsed="false">
      <c r="A6188" s="6" t="s">
        <v>8800</v>
      </c>
      <c r="B6188" s="6" t="s">
        <v>1367</v>
      </c>
      <c r="C6188" s="6" t="s">
        <v>124</v>
      </c>
      <c r="D6188" s="13" t="n">
        <v>45039</v>
      </c>
      <c r="E6188" s="14" t="n">
        <v>712.5</v>
      </c>
      <c r="F6188" s="14" t="n">
        <v>51302.53</v>
      </c>
      <c r="G6188" s="6" t="s">
        <v>2613</v>
      </c>
    </row>
    <row r="6189" customFormat="false" ht="15" hidden="false" customHeight="true" outlineLevel="0" collapsed="false">
      <c r="A6189" s="6" t="s">
        <v>8801</v>
      </c>
      <c r="B6189" s="6" t="s">
        <v>1369</v>
      </c>
      <c r="C6189" s="6" t="s">
        <v>124</v>
      </c>
      <c r="D6189" s="13" t="n">
        <v>45690</v>
      </c>
      <c r="E6189" s="14" t="n">
        <v>787.07</v>
      </c>
      <c r="F6189" s="14" t="n">
        <v>787.07</v>
      </c>
      <c r="G6189" s="6" t="s">
        <v>2623</v>
      </c>
    </row>
    <row r="6190" customFormat="false" ht="15" hidden="false" customHeight="true" outlineLevel="0" collapsed="false">
      <c r="A6190" s="6" t="s">
        <v>8802</v>
      </c>
      <c r="B6190" s="6" t="s">
        <v>1369</v>
      </c>
      <c r="C6190" s="6" t="s">
        <v>124</v>
      </c>
      <c r="D6190" s="13" t="n">
        <v>45697</v>
      </c>
      <c r="E6190" s="14" t="n">
        <v>534.42</v>
      </c>
      <c r="F6190" s="14" t="n">
        <v>1321.49</v>
      </c>
      <c r="G6190" s="6" t="s">
        <v>2613</v>
      </c>
    </row>
    <row r="6191" customFormat="false" ht="15" hidden="false" customHeight="true" outlineLevel="0" collapsed="false">
      <c r="A6191" s="6" t="s">
        <v>8803</v>
      </c>
      <c r="B6191" s="6" t="s">
        <v>1369</v>
      </c>
      <c r="C6191" s="6" t="s">
        <v>124</v>
      </c>
      <c r="D6191" s="13" t="n">
        <v>45704</v>
      </c>
      <c r="E6191" s="14" t="n">
        <v>1099.99</v>
      </c>
      <c r="F6191" s="14" t="n">
        <v>2421.48</v>
      </c>
      <c r="G6191" s="6" t="s">
        <v>2613</v>
      </c>
    </row>
    <row r="6192" customFormat="false" ht="15" hidden="false" customHeight="true" outlineLevel="0" collapsed="false">
      <c r="A6192" s="6" t="s">
        <v>8804</v>
      </c>
      <c r="B6192" s="6" t="s">
        <v>1369</v>
      </c>
      <c r="C6192" s="6" t="s">
        <v>124</v>
      </c>
      <c r="D6192" s="13" t="n">
        <v>45711</v>
      </c>
      <c r="E6192" s="14" t="n">
        <v>710.21</v>
      </c>
      <c r="F6192" s="14" t="n">
        <v>3131.69</v>
      </c>
      <c r="G6192" s="6" t="s">
        <v>2613</v>
      </c>
    </row>
    <row r="6193" customFormat="false" ht="15" hidden="false" customHeight="true" outlineLevel="0" collapsed="false">
      <c r="A6193" s="6" t="s">
        <v>8805</v>
      </c>
      <c r="B6193" s="6" t="s">
        <v>1369</v>
      </c>
      <c r="C6193" s="6" t="s">
        <v>124</v>
      </c>
      <c r="D6193" s="13" t="n">
        <v>45718</v>
      </c>
      <c r="E6193" s="14" t="n">
        <v>818.9</v>
      </c>
      <c r="F6193" s="14" t="n">
        <v>3950.59</v>
      </c>
      <c r="G6193" s="6" t="s">
        <v>2613</v>
      </c>
    </row>
    <row r="6194" customFormat="false" ht="15" hidden="false" customHeight="true" outlineLevel="0" collapsed="false">
      <c r="A6194" s="6" t="s">
        <v>8806</v>
      </c>
      <c r="B6194" s="6" t="s">
        <v>1369</v>
      </c>
      <c r="C6194" s="6" t="s">
        <v>124</v>
      </c>
      <c r="D6194" s="13" t="n">
        <v>45725</v>
      </c>
      <c r="E6194" s="14" t="n">
        <v>1018.31</v>
      </c>
      <c r="F6194" s="14" t="n">
        <v>4968.9</v>
      </c>
      <c r="G6194" s="6" t="s">
        <v>2613</v>
      </c>
    </row>
    <row r="6195" customFormat="false" ht="15" hidden="false" customHeight="true" outlineLevel="0" collapsed="false">
      <c r="A6195" s="6" t="s">
        <v>8807</v>
      </c>
      <c r="B6195" s="6" t="s">
        <v>1369</v>
      </c>
      <c r="C6195" s="6" t="s">
        <v>124</v>
      </c>
      <c r="D6195" s="13" t="n">
        <v>45732</v>
      </c>
      <c r="E6195" s="14" t="n">
        <v>1080.09</v>
      </c>
      <c r="F6195" s="14" t="n">
        <v>6048.99</v>
      </c>
      <c r="G6195" s="6" t="s">
        <v>2613</v>
      </c>
    </row>
    <row r="6196" customFormat="false" ht="15" hidden="false" customHeight="true" outlineLevel="0" collapsed="false">
      <c r="A6196" s="6" t="s">
        <v>8808</v>
      </c>
      <c r="B6196" s="6" t="s">
        <v>1371</v>
      </c>
      <c r="C6196" s="6" t="s">
        <v>112</v>
      </c>
      <c r="D6196" s="13" t="n">
        <v>44876</v>
      </c>
      <c r="E6196" s="14" t="n">
        <v>921.09</v>
      </c>
      <c r="F6196" s="14" t="n">
        <v>921.09</v>
      </c>
      <c r="G6196" s="6" t="s">
        <v>2613</v>
      </c>
    </row>
    <row r="6197" customFormat="false" ht="15" hidden="false" customHeight="true" outlineLevel="0" collapsed="false">
      <c r="A6197" s="6" t="s">
        <v>8809</v>
      </c>
      <c r="B6197" s="6" t="s">
        <v>1371</v>
      </c>
      <c r="C6197" s="6" t="s">
        <v>112</v>
      </c>
      <c r="D6197" s="13" t="n">
        <v>44883</v>
      </c>
      <c r="E6197" s="14" t="n">
        <v>695.11</v>
      </c>
      <c r="F6197" s="14" t="n">
        <v>1616.2</v>
      </c>
      <c r="G6197" s="6" t="s">
        <v>2613</v>
      </c>
    </row>
    <row r="6198" customFormat="false" ht="15" hidden="false" customHeight="true" outlineLevel="0" collapsed="false">
      <c r="A6198" s="6" t="s">
        <v>8810</v>
      </c>
      <c r="B6198" s="6" t="s">
        <v>1371</v>
      </c>
      <c r="C6198" s="6" t="s">
        <v>112</v>
      </c>
      <c r="D6198" s="13" t="n">
        <v>44890</v>
      </c>
      <c r="E6198" s="14" t="n">
        <v>979.62</v>
      </c>
      <c r="F6198" s="14" t="n">
        <v>2595.82</v>
      </c>
      <c r="G6198" s="6" t="s">
        <v>2613</v>
      </c>
    </row>
    <row r="6199" customFormat="false" ht="15" hidden="false" customHeight="true" outlineLevel="0" collapsed="false">
      <c r="A6199" s="6" t="s">
        <v>8811</v>
      </c>
      <c r="B6199" s="6" t="s">
        <v>1371</v>
      </c>
      <c r="C6199" s="6" t="s">
        <v>112</v>
      </c>
      <c r="D6199" s="13" t="n">
        <v>44897</v>
      </c>
      <c r="E6199" s="14" t="n">
        <v>1060.74</v>
      </c>
      <c r="F6199" s="14" t="n">
        <v>3656.56</v>
      </c>
      <c r="G6199" s="6" t="s">
        <v>2623</v>
      </c>
    </row>
    <row r="6200" customFormat="false" ht="15" hidden="false" customHeight="true" outlineLevel="0" collapsed="false">
      <c r="A6200" s="6" t="s">
        <v>8812</v>
      </c>
      <c r="B6200" s="6" t="s">
        <v>1371</v>
      </c>
      <c r="C6200" s="6" t="s">
        <v>112</v>
      </c>
      <c r="D6200" s="13" t="n">
        <v>44904</v>
      </c>
      <c r="E6200" s="14" t="n">
        <v>2044.51</v>
      </c>
      <c r="F6200" s="14" t="n">
        <v>5701.07</v>
      </c>
      <c r="G6200" s="6" t="s">
        <v>2613</v>
      </c>
    </row>
    <row r="6201" customFormat="false" ht="15" hidden="false" customHeight="true" outlineLevel="0" collapsed="false">
      <c r="A6201" s="6" t="s">
        <v>8813</v>
      </c>
      <c r="B6201" s="6" t="s">
        <v>1373</v>
      </c>
      <c r="C6201" s="6" t="s">
        <v>128</v>
      </c>
      <c r="D6201" s="13" t="n">
        <v>44851</v>
      </c>
      <c r="E6201" s="14" t="n">
        <v>539.95</v>
      </c>
      <c r="F6201" s="14" t="n">
        <v>539.95</v>
      </c>
      <c r="G6201" s="6" t="s">
        <v>2613</v>
      </c>
    </row>
    <row r="6202" customFormat="false" ht="15" hidden="false" customHeight="true" outlineLevel="0" collapsed="false">
      <c r="A6202" s="6" t="s">
        <v>8814</v>
      </c>
      <c r="B6202" s="6" t="s">
        <v>1373</v>
      </c>
      <c r="C6202" s="6" t="s">
        <v>128</v>
      </c>
      <c r="D6202" s="13" t="n">
        <v>44858</v>
      </c>
      <c r="E6202" s="14" t="n">
        <v>1071.38</v>
      </c>
      <c r="F6202" s="14" t="n">
        <v>1611.33</v>
      </c>
      <c r="G6202" s="6" t="s">
        <v>2613</v>
      </c>
    </row>
    <row r="6203" customFormat="false" ht="15" hidden="false" customHeight="true" outlineLevel="0" collapsed="false">
      <c r="A6203" s="6" t="s">
        <v>8815</v>
      </c>
      <c r="B6203" s="6" t="s">
        <v>1373</v>
      </c>
      <c r="C6203" s="6" t="s">
        <v>128</v>
      </c>
      <c r="D6203" s="13" t="n">
        <v>44865</v>
      </c>
      <c r="E6203" s="14" t="n">
        <v>1014.1</v>
      </c>
      <c r="F6203" s="14" t="n">
        <v>2625.43</v>
      </c>
      <c r="G6203" s="6" t="s">
        <v>2613</v>
      </c>
    </row>
    <row r="6204" customFormat="false" ht="15" hidden="false" customHeight="true" outlineLevel="0" collapsed="false">
      <c r="A6204" s="6" t="s">
        <v>8816</v>
      </c>
      <c r="B6204" s="6" t="s">
        <v>1373</v>
      </c>
      <c r="C6204" s="6" t="s">
        <v>128</v>
      </c>
      <c r="D6204" s="13" t="n">
        <v>44872</v>
      </c>
      <c r="E6204" s="14" t="n">
        <v>625.76</v>
      </c>
      <c r="F6204" s="14" t="n">
        <v>3251.19</v>
      </c>
      <c r="G6204" s="6" t="s">
        <v>2613</v>
      </c>
    </row>
    <row r="6205" customFormat="false" ht="15" hidden="false" customHeight="true" outlineLevel="0" collapsed="false">
      <c r="A6205" s="6" t="s">
        <v>8817</v>
      </c>
      <c r="B6205" s="6" t="s">
        <v>1373</v>
      </c>
      <c r="C6205" s="6" t="s">
        <v>128</v>
      </c>
      <c r="D6205" s="13" t="n">
        <v>44879</v>
      </c>
      <c r="E6205" s="14" t="n">
        <v>843.53</v>
      </c>
      <c r="F6205" s="14" t="n">
        <v>4094.72</v>
      </c>
      <c r="G6205" s="6" t="s">
        <v>2613</v>
      </c>
    </row>
    <row r="6206" customFormat="false" ht="15" hidden="false" customHeight="true" outlineLevel="0" collapsed="false">
      <c r="A6206" s="6" t="s">
        <v>8818</v>
      </c>
      <c r="B6206" s="6" t="s">
        <v>1373</v>
      </c>
      <c r="C6206" s="6" t="s">
        <v>128</v>
      </c>
      <c r="D6206" s="13" t="n">
        <v>44886</v>
      </c>
      <c r="E6206" s="14" t="n">
        <v>732.34</v>
      </c>
      <c r="F6206" s="14" t="n">
        <v>4827.06</v>
      </c>
      <c r="G6206" s="6" t="s">
        <v>2623</v>
      </c>
    </row>
    <row r="6207" customFormat="false" ht="15" hidden="false" customHeight="true" outlineLevel="0" collapsed="false">
      <c r="A6207" s="6" t="s">
        <v>8819</v>
      </c>
      <c r="B6207" s="6" t="s">
        <v>1373</v>
      </c>
      <c r="C6207" s="6" t="s">
        <v>128</v>
      </c>
      <c r="D6207" s="13" t="n">
        <v>44893</v>
      </c>
      <c r="E6207" s="14" t="n">
        <v>1206</v>
      </c>
      <c r="F6207" s="14" t="n">
        <v>6033.06</v>
      </c>
      <c r="G6207" s="6" t="s">
        <v>2613</v>
      </c>
    </row>
    <row r="6208" customFormat="false" ht="15" hidden="false" customHeight="true" outlineLevel="0" collapsed="false">
      <c r="A6208" s="6" t="s">
        <v>8820</v>
      </c>
      <c r="B6208" s="6" t="s">
        <v>1373</v>
      </c>
      <c r="C6208" s="6" t="s">
        <v>128</v>
      </c>
      <c r="D6208" s="13" t="n">
        <v>44900</v>
      </c>
      <c r="E6208" s="14" t="n">
        <v>552.39</v>
      </c>
      <c r="F6208" s="14" t="n">
        <v>6585.45</v>
      </c>
      <c r="G6208" s="6" t="s">
        <v>2613</v>
      </c>
    </row>
    <row r="6209" customFormat="false" ht="15" hidden="false" customHeight="true" outlineLevel="0" collapsed="false">
      <c r="A6209" s="6" t="s">
        <v>8821</v>
      </c>
      <c r="B6209" s="6" t="s">
        <v>1373</v>
      </c>
      <c r="C6209" s="6" t="s">
        <v>128</v>
      </c>
      <c r="D6209" s="13" t="n">
        <v>44907</v>
      </c>
      <c r="E6209" s="14" t="n">
        <v>1154.03</v>
      </c>
      <c r="F6209" s="14" t="n">
        <v>7739.48</v>
      </c>
      <c r="G6209" s="6" t="s">
        <v>2613</v>
      </c>
    </row>
    <row r="6210" customFormat="false" ht="15" hidden="false" customHeight="true" outlineLevel="0" collapsed="false">
      <c r="A6210" s="6" t="s">
        <v>8822</v>
      </c>
      <c r="B6210" s="6" t="s">
        <v>1373</v>
      </c>
      <c r="C6210" s="6" t="s">
        <v>128</v>
      </c>
      <c r="D6210" s="13" t="n">
        <v>44914</v>
      </c>
      <c r="E6210" s="14" t="n">
        <v>1014.17</v>
      </c>
      <c r="F6210" s="14" t="n">
        <v>8753.65</v>
      </c>
      <c r="G6210" s="6" t="s">
        <v>2613</v>
      </c>
    </row>
    <row r="6211" customFormat="false" ht="15" hidden="false" customHeight="true" outlineLevel="0" collapsed="false">
      <c r="A6211" s="6" t="s">
        <v>8823</v>
      </c>
      <c r="B6211" s="6" t="s">
        <v>1373</v>
      </c>
      <c r="C6211" s="6" t="s">
        <v>128</v>
      </c>
      <c r="D6211" s="13" t="n">
        <v>44921</v>
      </c>
      <c r="E6211" s="14" t="n">
        <v>858.22</v>
      </c>
      <c r="F6211" s="14" t="n">
        <v>9611.87</v>
      </c>
      <c r="G6211" s="6" t="s">
        <v>2613</v>
      </c>
    </row>
    <row r="6212" customFormat="false" ht="15" hidden="false" customHeight="true" outlineLevel="0" collapsed="false">
      <c r="A6212" s="6" t="s">
        <v>8824</v>
      </c>
      <c r="B6212" s="6" t="s">
        <v>1373</v>
      </c>
      <c r="C6212" s="6" t="s">
        <v>128</v>
      </c>
      <c r="D6212" s="13" t="n">
        <v>44928</v>
      </c>
      <c r="E6212" s="14" t="n">
        <v>781.35</v>
      </c>
      <c r="F6212" s="14" t="n">
        <v>10393.22</v>
      </c>
      <c r="G6212" s="6" t="s">
        <v>2613</v>
      </c>
    </row>
    <row r="6213" customFormat="false" ht="15" hidden="false" customHeight="true" outlineLevel="0" collapsed="false">
      <c r="A6213" s="6" t="s">
        <v>8825</v>
      </c>
      <c r="B6213" s="6" t="s">
        <v>1373</v>
      </c>
      <c r="C6213" s="6" t="s">
        <v>128</v>
      </c>
      <c r="D6213" s="13" t="n">
        <v>44935</v>
      </c>
      <c r="E6213" s="14" t="n">
        <v>818.76</v>
      </c>
      <c r="F6213" s="14" t="n">
        <v>11211.98</v>
      </c>
      <c r="G6213" s="6" t="s">
        <v>2613</v>
      </c>
    </row>
    <row r="6214" customFormat="false" ht="15" hidden="false" customHeight="true" outlineLevel="0" collapsed="false">
      <c r="A6214" s="6" t="s">
        <v>8826</v>
      </c>
      <c r="B6214" s="6" t="s">
        <v>1373</v>
      </c>
      <c r="C6214" s="6" t="s">
        <v>128</v>
      </c>
      <c r="D6214" s="13" t="n">
        <v>44942</v>
      </c>
      <c r="E6214" s="14" t="n">
        <v>1123.07</v>
      </c>
      <c r="F6214" s="14" t="n">
        <v>12335.05</v>
      </c>
      <c r="G6214" s="6" t="s">
        <v>2613</v>
      </c>
    </row>
    <row r="6215" customFormat="false" ht="15" hidden="false" customHeight="true" outlineLevel="0" collapsed="false">
      <c r="A6215" s="6" t="s">
        <v>8827</v>
      </c>
      <c r="B6215" s="6" t="s">
        <v>1375</v>
      </c>
      <c r="C6215" s="6" t="s">
        <v>120</v>
      </c>
      <c r="D6215" s="13" t="n">
        <v>44711</v>
      </c>
      <c r="E6215" s="14" t="n">
        <v>574.25</v>
      </c>
      <c r="F6215" s="14" t="n">
        <v>574.25</v>
      </c>
      <c r="G6215" s="6" t="s">
        <v>2613</v>
      </c>
    </row>
    <row r="6216" customFormat="false" ht="15" hidden="false" customHeight="true" outlineLevel="0" collapsed="false">
      <c r="A6216" s="6" t="s">
        <v>8828</v>
      </c>
      <c r="B6216" s="6" t="s">
        <v>1375</v>
      </c>
      <c r="C6216" s="6" t="s">
        <v>120</v>
      </c>
      <c r="D6216" s="13" t="n">
        <v>44718</v>
      </c>
      <c r="E6216" s="14" t="n">
        <v>255.7</v>
      </c>
      <c r="F6216" s="14" t="n">
        <v>829.95</v>
      </c>
      <c r="G6216" s="6" t="s">
        <v>2613</v>
      </c>
    </row>
    <row r="6217" customFormat="false" ht="15" hidden="false" customHeight="true" outlineLevel="0" collapsed="false">
      <c r="A6217" s="6" t="s">
        <v>8829</v>
      </c>
      <c r="B6217" s="6" t="s">
        <v>1375</v>
      </c>
      <c r="C6217" s="6" t="s">
        <v>120</v>
      </c>
      <c r="D6217" s="13" t="n">
        <v>44725</v>
      </c>
      <c r="E6217" s="14" t="n">
        <v>546.85</v>
      </c>
      <c r="F6217" s="14" t="n">
        <v>1376.8</v>
      </c>
      <c r="G6217" s="6" t="s">
        <v>2613</v>
      </c>
    </row>
    <row r="6218" customFormat="false" ht="15" hidden="false" customHeight="true" outlineLevel="0" collapsed="false">
      <c r="A6218" s="6" t="s">
        <v>8830</v>
      </c>
      <c r="B6218" s="6" t="s">
        <v>1375</v>
      </c>
      <c r="C6218" s="6" t="s">
        <v>120</v>
      </c>
      <c r="D6218" s="13" t="n">
        <v>44732</v>
      </c>
      <c r="E6218" s="14" t="n">
        <v>260.3</v>
      </c>
      <c r="F6218" s="14" t="n">
        <v>1637.1</v>
      </c>
      <c r="G6218" s="6" t="s">
        <v>2613</v>
      </c>
    </row>
    <row r="6219" customFormat="false" ht="15" hidden="false" customHeight="true" outlineLevel="0" collapsed="false">
      <c r="A6219" s="6" t="s">
        <v>8831</v>
      </c>
      <c r="B6219" s="6" t="s">
        <v>1375</v>
      </c>
      <c r="C6219" s="6" t="s">
        <v>120</v>
      </c>
      <c r="D6219" s="13" t="n">
        <v>44739</v>
      </c>
      <c r="E6219" s="14" t="n">
        <v>307.31</v>
      </c>
      <c r="F6219" s="14" t="n">
        <v>1944.41</v>
      </c>
      <c r="G6219" s="6" t="s">
        <v>2623</v>
      </c>
    </row>
    <row r="6220" customFormat="false" ht="15" hidden="false" customHeight="true" outlineLevel="0" collapsed="false">
      <c r="A6220" s="6" t="s">
        <v>8832</v>
      </c>
      <c r="B6220" s="6" t="s">
        <v>1375</v>
      </c>
      <c r="C6220" s="6" t="s">
        <v>120</v>
      </c>
      <c r="D6220" s="13" t="n">
        <v>44746</v>
      </c>
      <c r="E6220" s="14" t="n">
        <v>391.75</v>
      </c>
      <c r="F6220" s="14" t="n">
        <v>2336.16</v>
      </c>
      <c r="G6220" s="6" t="s">
        <v>2623</v>
      </c>
    </row>
    <row r="6221" customFormat="false" ht="15" hidden="false" customHeight="true" outlineLevel="0" collapsed="false">
      <c r="A6221" s="6" t="s">
        <v>8833</v>
      </c>
      <c r="B6221" s="6" t="s">
        <v>1375</v>
      </c>
      <c r="C6221" s="6" t="s">
        <v>120</v>
      </c>
      <c r="D6221" s="13" t="n">
        <v>44753</v>
      </c>
      <c r="E6221" s="14" t="n">
        <v>577.47</v>
      </c>
      <c r="F6221" s="14" t="n">
        <v>2913.63</v>
      </c>
      <c r="G6221" s="6" t="s">
        <v>2623</v>
      </c>
    </row>
    <row r="6222" customFormat="false" ht="15" hidden="false" customHeight="true" outlineLevel="0" collapsed="false">
      <c r="A6222" s="6" t="s">
        <v>8834</v>
      </c>
      <c r="B6222" s="6" t="s">
        <v>1377</v>
      </c>
      <c r="C6222" s="6" t="s">
        <v>128</v>
      </c>
      <c r="D6222" s="13" t="n">
        <v>45853</v>
      </c>
      <c r="E6222" s="14" t="n">
        <v>1416.3</v>
      </c>
      <c r="F6222" s="14" t="n">
        <v>1416.3</v>
      </c>
      <c r="G6222" s="6" t="s">
        <v>2613</v>
      </c>
    </row>
    <row r="6223" customFormat="false" ht="15" hidden="false" customHeight="true" outlineLevel="0" collapsed="false">
      <c r="A6223" s="6" t="s">
        <v>8835</v>
      </c>
      <c r="B6223" s="6" t="s">
        <v>1377</v>
      </c>
      <c r="C6223" s="6" t="s">
        <v>128</v>
      </c>
      <c r="D6223" s="13" t="n">
        <v>45860</v>
      </c>
      <c r="E6223" s="14" t="n">
        <v>1641.91</v>
      </c>
      <c r="F6223" s="14" t="n">
        <v>3058.21</v>
      </c>
      <c r="G6223" s="6" t="s">
        <v>2613</v>
      </c>
    </row>
    <row r="6224" customFormat="false" ht="15" hidden="false" customHeight="true" outlineLevel="0" collapsed="false">
      <c r="A6224" s="6" t="s">
        <v>8836</v>
      </c>
      <c r="B6224" s="6" t="s">
        <v>1377</v>
      </c>
      <c r="C6224" s="6" t="s">
        <v>128</v>
      </c>
      <c r="D6224" s="13" t="n">
        <v>45867</v>
      </c>
      <c r="E6224" s="14" t="n">
        <v>1819.57</v>
      </c>
      <c r="F6224" s="14" t="n">
        <v>4877.78</v>
      </c>
      <c r="G6224" s="6" t="s">
        <v>2613</v>
      </c>
    </row>
    <row r="6225" customFormat="false" ht="15" hidden="false" customHeight="true" outlineLevel="0" collapsed="false">
      <c r="A6225" s="6" t="s">
        <v>8837</v>
      </c>
      <c r="B6225" s="6" t="s">
        <v>1377</v>
      </c>
      <c r="C6225" s="6" t="s">
        <v>128</v>
      </c>
      <c r="D6225" s="13" t="n">
        <v>45874</v>
      </c>
      <c r="E6225" s="14" t="n">
        <v>1908.78</v>
      </c>
      <c r="F6225" s="14" t="n">
        <v>6786.56</v>
      </c>
      <c r="G6225" s="6" t="s">
        <v>2613</v>
      </c>
    </row>
    <row r="6226" customFormat="false" ht="15" hidden="false" customHeight="true" outlineLevel="0" collapsed="false">
      <c r="A6226" s="6" t="s">
        <v>8838</v>
      </c>
      <c r="B6226" s="6" t="s">
        <v>1377</v>
      </c>
      <c r="C6226" s="6" t="s">
        <v>128</v>
      </c>
      <c r="D6226" s="13" t="n">
        <v>45881</v>
      </c>
      <c r="E6226" s="14" t="n">
        <v>3328.79</v>
      </c>
      <c r="F6226" s="14" t="n">
        <v>10115.35</v>
      </c>
      <c r="G6226" s="6" t="s">
        <v>2613</v>
      </c>
    </row>
    <row r="6227" customFormat="false" ht="15" hidden="false" customHeight="true" outlineLevel="0" collapsed="false">
      <c r="A6227" s="6" t="s">
        <v>8839</v>
      </c>
      <c r="B6227" s="6" t="s">
        <v>1379</v>
      </c>
      <c r="C6227" s="6" t="s">
        <v>131</v>
      </c>
      <c r="D6227" s="13" t="n">
        <v>45867</v>
      </c>
      <c r="E6227" s="14" t="n">
        <v>1265.83</v>
      </c>
      <c r="F6227" s="14" t="n">
        <v>1265.83</v>
      </c>
      <c r="G6227" s="6" t="s">
        <v>2613</v>
      </c>
    </row>
    <row r="6228" customFormat="false" ht="15" hidden="false" customHeight="true" outlineLevel="0" collapsed="false">
      <c r="A6228" s="6" t="s">
        <v>8840</v>
      </c>
      <c r="B6228" s="6" t="s">
        <v>1379</v>
      </c>
      <c r="C6228" s="6" t="s">
        <v>131</v>
      </c>
      <c r="D6228" s="13" t="n">
        <v>45874</v>
      </c>
      <c r="E6228" s="14" t="n">
        <v>1768.38</v>
      </c>
      <c r="F6228" s="14" t="n">
        <v>3034.21</v>
      </c>
      <c r="G6228" s="6" t="s">
        <v>2623</v>
      </c>
    </row>
    <row r="6229" customFormat="false" ht="15" hidden="false" customHeight="true" outlineLevel="0" collapsed="false">
      <c r="A6229" s="6" t="s">
        <v>8841</v>
      </c>
      <c r="B6229" s="6" t="s">
        <v>1379</v>
      </c>
      <c r="C6229" s="6" t="s">
        <v>131</v>
      </c>
      <c r="D6229" s="13" t="n">
        <v>45881</v>
      </c>
      <c r="E6229" s="14" t="n">
        <v>2039.99</v>
      </c>
      <c r="F6229" s="14" t="n">
        <v>5074.2</v>
      </c>
      <c r="G6229" s="6" t="s">
        <v>2613</v>
      </c>
    </row>
    <row r="6230" customFormat="false" ht="15" hidden="false" customHeight="true" outlineLevel="0" collapsed="false">
      <c r="A6230" s="6" t="s">
        <v>8842</v>
      </c>
      <c r="B6230" s="6" t="s">
        <v>1379</v>
      </c>
      <c r="C6230" s="6" t="s">
        <v>131</v>
      </c>
      <c r="D6230" s="13" t="n">
        <v>45888</v>
      </c>
      <c r="E6230" s="14" t="n">
        <v>2246.89</v>
      </c>
      <c r="F6230" s="14" t="n">
        <v>7321.09</v>
      </c>
      <c r="G6230" s="6" t="s">
        <v>2613</v>
      </c>
    </row>
    <row r="6231" customFormat="false" ht="15" hidden="false" customHeight="true" outlineLevel="0" collapsed="false">
      <c r="A6231" s="6" t="s">
        <v>8843</v>
      </c>
      <c r="B6231" s="6" t="s">
        <v>1379</v>
      </c>
      <c r="C6231" s="6" t="s">
        <v>131</v>
      </c>
      <c r="D6231" s="13" t="n">
        <v>45895</v>
      </c>
      <c r="E6231" s="14" t="n">
        <v>2419.94</v>
      </c>
      <c r="F6231" s="14" t="n">
        <v>9741.03</v>
      </c>
      <c r="G6231" s="6" t="s">
        <v>2613</v>
      </c>
    </row>
    <row r="6232" customFormat="false" ht="15" hidden="false" customHeight="true" outlineLevel="0" collapsed="false">
      <c r="A6232" s="6" t="s">
        <v>8844</v>
      </c>
      <c r="B6232" s="6" t="s">
        <v>1379</v>
      </c>
      <c r="C6232" s="6" t="s">
        <v>131</v>
      </c>
      <c r="D6232" s="13" t="n">
        <v>45902</v>
      </c>
      <c r="E6232" s="14" t="n">
        <v>1467.91</v>
      </c>
      <c r="F6232" s="14" t="n">
        <v>11208.94</v>
      </c>
      <c r="G6232" s="6" t="s">
        <v>2613</v>
      </c>
    </row>
    <row r="6233" customFormat="false" ht="15" hidden="false" customHeight="true" outlineLevel="0" collapsed="false">
      <c r="A6233" s="6" t="s">
        <v>8845</v>
      </c>
      <c r="B6233" s="6" t="s">
        <v>1379</v>
      </c>
      <c r="C6233" s="6" t="s">
        <v>131</v>
      </c>
      <c r="D6233" s="13" t="n">
        <v>45909</v>
      </c>
      <c r="E6233" s="14" t="n">
        <v>2136.52</v>
      </c>
      <c r="F6233" s="14" t="n">
        <v>13345.46</v>
      </c>
      <c r="G6233" s="6" t="s">
        <v>2613</v>
      </c>
    </row>
    <row r="6234" customFormat="false" ht="15" hidden="false" customHeight="true" outlineLevel="0" collapsed="false">
      <c r="A6234" s="6" t="s">
        <v>8846</v>
      </c>
      <c r="B6234" s="6" t="s">
        <v>1379</v>
      </c>
      <c r="C6234" s="6" t="s">
        <v>131</v>
      </c>
      <c r="D6234" s="13" t="n">
        <v>45916</v>
      </c>
      <c r="E6234" s="14" t="n">
        <v>2026.84</v>
      </c>
      <c r="F6234" s="14" t="n">
        <v>15372.3</v>
      </c>
      <c r="G6234" s="6" t="s">
        <v>2613</v>
      </c>
    </row>
    <row r="6235" customFormat="false" ht="15" hidden="false" customHeight="true" outlineLevel="0" collapsed="false">
      <c r="A6235" s="6" t="s">
        <v>8847</v>
      </c>
      <c r="B6235" s="6" t="s">
        <v>1379</v>
      </c>
      <c r="C6235" s="6" t="s">
        <v>131</v>
      </c>
      <c r="D6235" s="13" t="n">
        <v>45923</v>
      </c>
      <c r="E6235" s="14" t="n">
        <v>1500.86</v>
      </c>
      <c r="F6235" s="14" t="n">
        <v>16873.16</v>
      </c>
      <c r="G6235" s="6" t="s">
        <v>2613</v>
      </c>
    </row>
    <row r="6236" customFormat="false" ht="15" hidden="false" customHeight="true" outlineLevel="0" collapsed="false">
      <c r="A6236" s="6" t="s">
        <v>8848</v>
      </c>
      <c r="B6236" s="6" t="s">
        <v>1379</v>
      </c>
      <c r="C6236" s="6" t="s">
        <v>131</v>
      </c>
      <c r="D6236" s="13" t="n">
        <v>45930</v>
      </c>
      <c r="E6236" s="14" t="n">
        <v>2460.72</v>
      </c>
      <c r="F6236" s="14" t="n">
        <v>19333.88</v>
      </c>
      <c r="G6236" s="6" t="s">
        <v>2613</v>
      </c>
    </row>
    <row r="6237" customFormat="false" ht="15" hidden="false" customHeight="true" outlineLevel="0" collapsed="false">
      <c r="A6237" s="6" t="s">
        <v>8849</v>
      </c>
      <c r="B6237" s="6" t="s">
        <v>1379</v>
      </c>
      <c r="C6237" s="6" t="s">
        <v>131</v>
      </c>
      <c r="D6237" s="13" t="n">
        <v>45937</v>
      </c>
      <c r="E6237" s="14" t="n">
        <v>1430.87</v>
      </c>
      <c r="F6237" s="14" t="n">
        <v>20764.75</v>
      </c>
      <c r="G6237" s="6" t="s">
        <v>2613</v>
      </c>
    </row>
    <row r="6238" customFormat="false" ht="15" hidden="false" customHeight="true" outlineLevel="0" collapsed="false">
      <c r="A6238" s="6" t="s">
        <v>8850</v>
      </c>
      <c r="B6238" s="6" t="s">
        <v>1379</v>
      </c>
      <c r="C6238" s="6" t="s">
        <v>131</v>
      </c>
      <c r="D6238" s="13" t="n">
        <v>45944</v>
      </c>
      <c r="E6238" s="14" t="n">
        <v>2780.54</v>
      </c>
      <c r="F6238" s="14" t="n">
        <v>23545.29</v>
      </c>
      <c r="G6238" s="6" t="s">
        <v>2613</v>
      </c>
    </row>
    <row r="6239" customFormat="false" ht="15" hidden="false" customHeight="true" outlineLevel="0" collapsed="false">
      <c r="A6239" s="6" t="s">
        <v>8851</v>
      </c>
      <c r="B6239" s="6" t="s">
        <v>1379</v>
      </c>
      <c r="C6239" s="6" t="s">
        <v>131</v>
      </c>
      <c r="D6239" s="13" t="n">
        <v>45951</v>
      </c>
      <c r="E6239" s="14" t="n">
        <v>2836.31</v>
      </c>
      <c r="F6239" s="14" t="n">
        <v>26381.6</v>
      </c>
      <c r="G6239" s="6" t="s">
        <v>2613</v>
      </c>
    </row>
    <row r="6240" customFormat="false" ht="15" hidden="false" customHeight="true" outlineLevel="0" collapsed="false">
      <c r="A6240" s="6" t="s">
        <v>8852</v>
      </c>
      <c r="B6240" s="6" t="s">
        <v>1379</v>
      </c>
      <c r="C6240" s="6" t="s">
        <v>131</v>
      </c>
      <c r="D6240" s="13" t="n">
        <v>45958</v>
      </c>
      <c r="E6240" s="14" t="n">
        <v>2608.41</v>
      </c>
      <c r="F6240" s="14" t="n">
        <v>28990.01</v>
      </c>
      <c r="G6240" s="6" t="s">
        <v>2613</v>
      </c>
    </row>
    <row r="6241" customFormat="false" ht="15" hidden="false" customHeight="true" outlineLevel="0" collapsed="false">
      <c r="A6241" s="6" t="s">
        <v>8853</v>
      </c>
      <c r="B6241" s="6" t="s">
        <v>1379</v>
      </c>
      <c r="C6241" s="6" t="s">
        <v>131</v>
      </c>
      <c r="D6241" s="13" t="n">
        <v>45965</v>
      </c>
      <c r="E6241" s="14" t="n">
        <v>1857.43</v>
      </c>
      <c r="F6241" s="14" t="n">
        <v>30847.44</v>
      </c>
      <c r="G6241" s="6" t="s">
        <v>2613</v>
      </c>
    </row>
    <row r="6242" customFormat="false" ht="15" hidden="false" customHeight="true" outlineLevel="0" collapsed="false">
      <c r="A6242" s="6" t="s">
        <v>8854</v>
      </c>
      <c r="B6242" s="6" t="s">
        <v>1379</v>
      </c>
      <c r="C6242" s="6" t="s">
        <v>131</v>
      </c>
      <c r="D6242" s="13" t="n">
        <v>45972</v>
      </c>
      <c r="E6242" s="14" t="n">
        <v>2365.88</v>
      </c>
      <c r="F6242" s="14" t="n">
        <v>33213.32</v>
      </c>
      <c r="G6242" s="6" t="s">
        <v>2613</v>
      </c>
    </row>
    <row r="6243" customFormat="false" ht="15" hidden="false" customHeight="true" outlineLevel="0" collapsed="false">
      <c r="A6243" s="6" t="s">
        <v>8855</v>
      </c>
      <c r="B6243" s="6" t="s">
        <v>1379</v>
      </c>
      <c r="C6243" s="6" t="s">
        <v>131</v>
      </c>
      <c r="D6243" s="13" t="n">
        <v>45979</v>
      </c>
      <c r="E6243" s="14" t="n">
        <v>1474.02</v>
      </c>
      <c r="F6243" s="14" t="n">
        <v>34687.34</v>
      </c>
      <c r="G6243" s="6" t="s">
        <v>2613</v>
      </c>
    </row>
    <row r="6244" customFormat="false" ht="15" hidden="false" customHeight="true" outlineLevel="0" collapsed="false">
      <c r="A6244" s="6" t="s">
        <v>8856</v>
      </c>
      <c r="B6244" s="6" t="s">
        <v>1379</v>
      </c>
      <c r="C6244" s="6" t="s">
        <v>131</v>
      </c>
      <c r="D6244" s="13" t="n">
        <v>45986</v>
      </c>
      <c r="E6244" s="14" t="n">
        <v>2830.92</v>
      </c>
      <c r="F6244" s="14" t="n">
        <v>37518.26</v>
      </c>
      <c r="G6244" s="6" t="s">
        <v>2613</v>
      </c>
    </row>
    <row r="6245" customFormat="false" ht="15" hidden="false" customHeight="true" outlineLevel="0" collapsed="false">
      <c r="A6245" s="6" t="s">
        <v>8857</v>
      </c>
      <c r="B6245" s="6" t="s">
        <v>1379</v>
      </c>
      <c r="C6245" s="6" t="s">
        <v>131</v>
      </c>
      <c r="D6245" s="13" t="n">
        <v>45993</v>
      </c>
      <c r="E6245" s="14" t="n">
        <v>2239.51</v>
      </c>
      <c r="F6245" s="14" t="n">
        <v>39757.77</v>
      </c>
      <c r="G6245" s="6" t="s">
        <v>2613</v>
      </c>
    </row>
    <row r="6246" customFormat="false" ht="15" hidden="false" customHeight="true" outlineLevel="0" collapsed="false">
      <c r="A6246" s="6" t="s">
        <v>8858</v>
      </c>
      <c r="B6246" s="6" t="s">
        <v>1379</v>
      </c>
      <c r="C6246" s="6" t="s">
        <v>131</v>
      </c>
      <c r="D6246" s="13" t="n">
        <v>46000</v>
      </c>
      <c r="E6246" s="14" t="n">
        <v>2854.15</v>
      </c>
      <c r="F6246" s="14" t="n">
        <v>42611.92</v>
      </c>
      <c r="G6246" s="6" t="s">
        <v>2613</v>
      </c>
    </row>
    <row r="6247" customFormat="false" ht="15" hidden="false" customHeight="true" outlineLevel="0" collapsed="false">
      <c r="A6247" s="6" t="s">
        <v>8859</v>
      </c>
      <c r="B6247" s="6" t="s">
        <v>1379</v>
      </c>
      <c r="C6247" s="6" t="s">
        <v>131</v>
      </c>
      <c r="D6247" s="13" t="n">
        <v>46007</v>
      </c>
      <c r="E6247" s="14" t="n">
        <v>1946.54</v>
      </c>
      <c r="F6247" s="14" t="n">
        <v>44558.46</v>
      </c>
      <c r="G6247" s="6" t="s">
        <v>2613</v>
      </c>
    </row>
    <row r="6248" customFormat="false" ht="15" hidden="false" customHeight="true" outlineLevel="0" collapsed="false">
      <c r="A6248" s="6" t="s">
        <v>8860</v>
      </c>
      <c r="B6248" s="6" t="s">
        <v>1379</v>
      </c>
      <c r="C6248" s="6" t="s">
        <v>131</v>
      </c>
      <c r="D6248" s="13" t="n">
        <v>46014</v>
      </c>
      <c r="E6248" s="14" t="n">
        <v>1664.95</v>
      </c>
      <c r="F6248" s="14" t="n">
        <v>46223.41</v>
      </c>
      <c r="G6248" s="6" t="s">
        <v>2613</v>
      </c>
    </row>
    <row r="6249" customFormat="false" ht="15" hidden="false" customHeight="true" outlineLevel="0" collapsed="false">
      <c r="A6249" s="6" t="s">
        <v>8861</v>
      </c>
      <c r="B6249" s="6" t="s">
        <v>1379</v>
      </c>
      <c r="C6249" s="6" t="s">
        <v>131</v>
      </c>
      <c r="D6249" s="13" t="n">
        <v>46021</v>
      </c>
      <c r="E6249" s="14" t="n">
        <v>1997.67</v>
      </c>
      <c r="F6249" s="14" t="n">
        <v>48221.08</v>
      </c>
      <c r="G6249" s="6" t="s">
        <v>2613</v>
      </c>
    </row>
    <row r="6250" customFormat="false" ht="15" hidden="false" customHeight="true" outlineLevel="0" collapsed="false">
      <c r="A6250" s="6" t="s">
        <v>8862</v>
      </c>
      <c r="B6250" s="6" t="s">
        <v>1379</v>
      </c>
      <c r="C6250" s="6" t="s">
        <v>131</v>
      </c>
      <c r="D6250" s="13" t="n">
        <v>46028</v>
      </c>
      <c r="E6250" s="14" t="n">
        <v>2306.45</v>
      </c>
      <c r="F6250" s="14" t="n">
        <v>50527.53</v>
      </c>
      <c r="G6250" s="6" t="s">
        <v>2613</v>
      </c>
    </row>
    <row r="6251" customFormat="false" ht="15" hidden="false" customHeight="true" outlineLevel="0" collapsed="false">
      <c r="A6251" s="6" t="s">
        <v>8863</v>
      </c>
      <c r="B6251" s="6" t="s">
        <v>1379</v>
      </c>
      <c r="C6251" s="6" t="s">
        <v>131</v>
      </c>
      <c r="D6251" s="13" t="n">
        <v>46035</v>
      </c>
      <c r="E6251" s="14" t="n">
        <v>2268.43</v>
      </c>
      <c r="F6251" s="14" t="n">
        <v>52795.96</v>
      </c>
      <c r="G6251" s="6" t="s">
        <v>2613</v>
      </c>
    </row>
    <row r="6252" customFormat="false" ht="15" hidden="false" customHeight="true" outlineLevel="0" collapsed="false">
      <c r="A6252" s="6" t="s">
        <v>8864</v>
      </c>
      <c r="B6252" s="6" t="s">
        <v>1379</v>
      </c>
      <c r="C6252" s="6" t="s">
        <v>131</v>
      </c>
      <c r="D6252" s="13" t="n">
        <v>46042</v>
      </c>
      <c r="E6252" s="14" t="n">
        <v>1284.36</v>
      </c>
      <c r="F6252" s="14" t="n">
        <v>54080.32</v>
      </c>
      <c r="G6252" s="6" t="s">
        <v>2613</v>
      </c>
    </row>
    <row r="6253" customFormat="false" ht="15" hidden="false" customHeight="true" outlineLevel="0" collapsed="false">
      <c r="A6253" s="6" t="s">
        <v>8865</v>
      </c>
      <c r="B6253" s="6" t="s">
        <v>1379</v>
      </c>
      <c r="C6253" s="6" t="s">
        <v>131</v>
      </c>
      <c r="D6253" s="13" t="n">
        <v>46049</v>
      </c>
      <c r="E6253" s="14" t="n">
        <v>1402.51</v>
      </c>
      <c r="F6253" s="14" t="n">
        <v>55482.83</v>
      </c>
      <c r="G6253" s="6" t="s">
        <v>2613</v>
      </c>
    </row>
    <row r="6254" customFormat="false" ht="15" hidden="false" customHeight="true" outlineLevel="0" collapsed="false">
      <c r="A6254" s="6" t="s">
        <v>8866</v>
      </c>
      <c r="B6254" s="6" t="s">
        <v>1379</v>
      </c>
      <c r="C6254" s="6" t="s">
        <v>131</v>
      </c>
      <c r="D6254" s="13" t="n">
        <v>46056</v>
      </c>
      <c r="E6254" s="14" t="n">
        <v>1672.43</v>
      </c>
      <c r="F6254" s="14" t="n">
        <v>57155.26</v>
      </c>
      <c r="G6254" s="6" t="s">
        <v>2613</v>
      </c>
    </row>
    <row r="6255" customFormat="false" ht="15" hidden="false" customHeight="true" outlineLevel="0" collapsed="false">
      <c r="A6255" s="6" t="s">
        <v>8867</v>
      </c>
      <c r="B6255" s="6" t="s">
        <v>1381</v>
      </c>
      <c r="C6255" s="6" t="s">
        <v>124</v>
      </c>
      <c r="D6255" s="13" t="n">
        <v>45343</v>
      </c>
      <c r="E6255" s="14" t="n">
        <v>780.26</v>
      </c>
      <c r="F6255" s="14" t="n">
        <v>780.26</v>
      </c>
      <c r="G6255" s="6" t="s">
        <v>2613</v>
      </c>
    </row>
    <row r="6256" customFormat="false" ht="15" hidden="false" customHeight="true" outlineLevel="0" collapsed="false">
      <c r="A6256" s="6" t="s">
        <v>8868</v>
      </c>
      <c r="B6256" s="6" t="s">
        <v>1381</v>
      </c>
      <c r="C6256" s="6" t="s">
        <v>124</v>
      </c>
      <c r="D6256" s="13" t="n">
        <v>45350</v>
      </c>
      <c r="E6256" s="14" t="n">
        <v>1201.55</v>
      </c>
      <c r="F6256" s="14" t="n">
        <v>1981.81</v>
      </c>
      <c r="G6256" s="6" t="s">
        <v>2613</v>
      </c>
    </row>
    <row r="6257" customFormat="false" ht="15" hidden="false" customHeight="true" outlineLevel="0" collapsed="false">
      <c r="A6257" s="6" t="s">
        <v>8869</v>
      </c>
      <c r="B6257" s="6" t="s">
        <v>1381</v>
      </c>
      <c r="C6257" s="6" t="s">
        <v>124</v>
      </c>
      <c r="D6257" s="13" t="n">
        <v>45357</v>
      </c>
      <c r="E6257" s="14" t="n">
        <v>1173.32</v>
      </c>
      <c r="F6257" s="14" t="n">
        <v>3155.13</v>
      </c>
      <c r="G6257" s="6" t="s">
        <v>2613</v>
      </c>
    </row>
    <row r="6258" customFormat="false" ht="15" hidden="false" customHeight="true" outlineLevel="0" collapsed="false">
      <c r="A6258" s="6" t="s">
        <v>8870</v>
      </c>
      <c r="B6258" s="6" t="s">
        <v>1381</v>
      </c>
      <c r="C6258" s="6" t="s">
        <v>124</v>
      </c>
      <c r="D6258" s="13" t="n">
        <v>45364</v>
      </c>
      <c r="E6258" s="14" t="n">
        <v>791.36</v>
      </c>
      <c r="F6258" s="14" t="n">
        <v>3946.49</v>
      </c>
      <c r="G6258" s="6" t="s">
        <v>2613</v>
      </c>
    </row>
    <row r="6259" customFormat="false" ht="15" hidden="false" customHeight="true" outlineLevel="0" collapsed="false">
      <c r="A6259" s="6" t="s">
        <v>8871</v>
      </c>
      <c r="B6259" s="6" t="s">
        <v>1381</v>
      </c>
      <c r="C6259" s="6" t="s">
        <v>124</v>
      </c>
      <c r="D6259" s="13" t="n">
        <v>45371</v>
      </c>
      <c r="E6259" s="14" t="n">
        <v>1330.14</v>
      </c>
      <c r="F6259" s="14" t="n">
        <v>5276.63</v>
      </c>
      <c r="G6259" s="6" t="s">
        <v>2623</v>
      </c>
    </row>
    <row r="6260" customFormat="false" ht="15" hidden="false" customHeight="true" outlineLevel="0" collapsed="false">
      <c r="A6260" s="6" t="s">
        <v>8872</v>
      </c>
      <c r="B6260" s="6" t="s">
        <v>1381</v>
      </c>
      <c r="C6260" s="6" t="s">
        <v>124</v>
      </c>
      <c r="D6260" s="13" t="n">
        <v>45378</v>
      </c>
      <c r="E6260" s="14" t="n">
        <v>995.81</v>
      </c>
      <c r="F6260" s="14" t="n">
        <v>6272.44</v>
      </c>
      <c r="G6260" s="6" t="s">
        <v>2613</v>
      </c>
    </row>
    <row r="6261" customFormat="false" ht="15" hidden="false" customHeight="true" outlineLevel="0" collapsed="false">
      <c r="A6261" s="6" t="s">
        <v>8873</v>
      </c>
      <c r="B6261" s="6" t="s">
        <v>1381</v>
      </c>
      <c r="C6261" s="6" t="s">
        <v>124</v>
      </c>
      <c r="D6261" s="13" t="n">
        <v>45385</v>
      </c>
      <c r="E6261" s="14" t="n">
        <v>1306.57</v>
      </c>
      <c r="F6261" s="14" t="n">
        <v>7579.01</v>
      </c>
      <c r="G6261" s="6" t="s">
        <v>2613</v>
      </c>
    </row>
    <row r="6262" customFormat="false" ht="15" hidden="false" customHeight="true" outlineLevel="0" collapsed="false">
      <c r="A6262" s="6" t="s">
        <v>8874</v>
      </c>
      <c r="B6262" s="6" t="s">
        <v>1383</v>
      </c>
      <c r="C6262" s="6" t="s">
        <v>131</v>
      </c>
      <c r="D6262" s="13" t="n">
        <v>45938</v>
      </c>
      <c r="E6262" s="14" t="n">
        <v>880.46</v>
      </c>
      <c r="F6262" s="14" t="n">
        <v>880.46</v>
      </c>
      <c r="G6262" s="6" t="s">
        <v>2613</v>
      </c>
    </row>
    <row r="6263" customFormat="false" ht="15" hidden="false" customHeight="true" outlineLevel="0" collapsed="false">
      <c r="A6263" s="6" t="s">
        <v>8875</v>
      </c>
      <c r="B6263" s="6" t="s">
        <v>1383</v>
      </c>
      <c r="C6263" s="6" t="s">
        <v>131</v>
      </c>
      <c r="D6263" s="13" t="n">
        <v>45945</v>
      </c>
      <c r="E6263" s="14" t="n">
        <v>840.08</v>
      </c>
      <c r="F6263" s="14" t="n">
        <v>1720.54</v>
      </c>
      <c r="G6263" s="6" t="s">
        <v>2613</v>
      </c>
    </row>
    <row r="6264" customFormat="false" ht="15" hidden="false" customHeight="true" outlineLevel="0" collapsed="false">
      <c r="A6264" s="6" t="s">
        <v>8876</v>
      </c>
      <c r="B6264" s="6" t="s">
        <v>1383</v>
      </c>
      <c r="C6264" s="6" t="s">
        <v>131</v>
      </c>
      <c r="D6264" s="13" t="n">
        <v>45952</v>
      </c>
      <c r="E6264" s="14" t="n">
        <v>1014.33</v>
      </c>
      <c r="F6264" s="14" t="n">
        <v>2734.87</v>
      </c>
      <c r="G6264" s="6" t="s">
        <v>2613</v>
      </c>
    </row>
    <row r="6265" customFormat="false" ht="15" hidden="false" customHeight="true" outlineLevel="0" collapsed="false">
      <c r="A6265" s="6" t="s">
        <v>8877</v>
      </c>
      <c r="B6265" s="6" t="s">
        <v>1383</v>
      </c>
      <c r="C6265" s="6" t="s">
        <v>131</v>
      </c>
      <c r="D6265" s="13" t="n">
        <v>45959</v>
      </c>
      <c r="E6265" s="14" t="n">
        <v>659.74</v>
      </c>
      <c r="F6265" s="14" t="n">
        <v>3394.61</v>
      </c>
      <c r="G6265" s="6" t="s">
        <v>2613</v>
      </c>
    </row>
    <row r="6266" customFormat="false" ht="15" hidden="false" customHeight="true" outlineLevel="0" collapsed="false">
      <c r="A6266" s="6" t="s">
        <v>8878</v>
      </c>
      <c r="B6266" s="6" t="s">
        <v>1383</v>
      </c>
      <c r="C6266" s="6" t="s">
        <v>131</v>
      </c>
      <c r="D6266" s="13" t="n">
        <v>45966</v>
      </c>
      <c r="E6266" s="14" t="n">
        <v>1082.34</v>
      </c>
      <c r="F6266" s="14" t="n">
        <v>4476.95</v>
      </c>
      <c r="G6266" s="6" t="s">
        <v>2613</v>
      </c>
    </row>
    <row r="6267" customFormat="false" ht="15" hidden="false" customHeight="true" outlineLevel="0" collapsed="false">
      <c r="A6267" s="6" t="s">
        <v>8879</v>
      </c>
      <c r="B6267" s="6" t="s">
        <v>1383</v>
      </c>
      <c r="C6267" s="6" t="s">
        <v>131</v>
      </c>
      <c r="D6267" s="13" t="n">
        <v>45973</v>
      </c>
      <c r="E6267" s="14" t="n">
        <v>626.07</v>
      </c>
      <c r="F6267" s="14" t="n">
        <v>5103.02</v>
      </c>
      <c r="G6267" s="6" t="s">
        <v>2613</v>
      </c>
    </row>
    <row r="6268" customFormat="false" ht="15" hidden="false" customHeight="true" outlineLevel="0" collapsed="false">
      <c r="A6268" s="6" t="s">
        <v>8880</v>
      </c>
      <c r="B6268" s="6" t="s">
        <v>1383</v>
      </c>
      <c r="C6268" s="6" t="s">
        <v>131</v>
      </c>
      <c r="D6268" s="13" t="n">
        <v>45980</v>
      </c>
      <c r="E6268" s="14" t="n">
        <v>1982.03</v>
      </c>
      <c r="F6268" s="14" t="n">
        <v>7085.05</v>
      </c>
      <c r="G6268" s="6" t="s">
        <v>2613</v>
      </c>
    </row>
    <row r="6269" customFormat="false" ht="15" hidden="false" customHeight="true" outlineLevel="0" collapsed="false">
      <c r="A6269" s="6" t="s">
        <v>8881</v>
      </c>
      <c r="B6269" s="6" t="s">
        <v>1385</v>
      </c>
      <c r="C6269" s="6" t="s">
        <v>112</v>
      </c>
      <c r="D6269" s="13" t="n">
        <v>44737</v>
      </c>
      <c r="E6269" s="14" t="n">
        <v>7314.27</v>
      </c>
      <c r="F6269" s="14" t="n">
        <v>7314.27</v>
      </c>
      <c r="G6269" s="6" t="s">
        <v>2613</v>
      </c>
    </row>
    <row r="6270" customFormat="false" ht="15" hidden="false" customHeight="true" outlineLevel="0" collapsed="false">
      <c r="A6270" s="6" t="s">
        <v>8882</v>
      </c>
      <c r="B6270" s="6" t="s">
        <v>1385</v>
      </c>
      <c r="C6270" s="6" t="s">
        <v>112</v>
      </c>
      <c r="D6270" s="13" t="n">
        <v>44744</v>
      </c>
      <c r="E6270" s="14" t="n">
        <v>5220.72</v>
      </c>
      <c r="F6270" s="14" t="n">
        <v>12534.99</v>
      </c>
      <c r="G6270" s="6" t="s">
        <v>2613</v>
      </c>
    </row>
    <row r="6271" customFormat="false" ht="15" hidden="false" customHeight="true" outlineLevel="0" collapsed="false">
      <c r="A6271" s="6" t="s">
        <v>8883</v>
      </c>
      <c r="B6271" s="6" t="s">
        <v>1385</v>
      </c>
      <c r="C6271" s="6" t="s">
        <v>112</v>
      </c>
      <c r="D6271" s="13" t="n">
        <v>44751</v>
      </c>
      <c r="E6271" s="14" t="n">
        <v>6773.74</v>
      </c>
      <c r="F6271" s="14" t="n">
        <v>19308.73</v>
      </c>
      <c r="G6271" s="6" t="s">
        <v>2613</v>
      </c>
    </row>
    <row r="6272" customFormat="false" ht="15" hidden="false" customHeight="true" outlineLevel="0" collapsed="false">
      <c r="A6272" s="6" t="s">
        <v>8884</v>
      </c>
      <c r="B6272" s="6" t="s">
        <v>1385</v>
      </c>
      <c r="C6272" s="6" t="s">
        <v>112</v>
      </c>
      <c r="D6272" s="13" t="n">
        <v>44758</v>
      </c>
      <c r="E6272" s="14" t="n">
        <v>3419.54</v>
      </c>
      <c r="F6272" s="14" t="n">
        <v>22728.27</v>
      </c>
      <c r="G6272" s="6" t="s">
        <v>2613</v>
      </c>
    </row>
    <row r="6273" customFormat="false" ht="15" hidden="false" customHeight="true" outlineLevel="0" collapsed="false">
      <c r="A6273" s="6" t="s">
        <v>8885</v>
      </c>
      <c r="B6273" s="6" t="s">
        <v>1385</v>
      </c>
      <c r="C6273" s="6" t="s">
        <v>112</v>
      </c>
      <c r="D6273" s="13" t="n">
        <v>44765</v>
      </c>
      <c r="E6273" s="14" t="n">
        <v>5652.46</v>
      </c>
      <c r="F6273" s="14" t="n">
        <v>28380.73</v>
      </c>
      <c r="G6273" s="6" t="s">
        <v>2613</v>
      </c>
    </row>
    <row r="6274" customFormat="false" ht="15" hidden="false" customHeight="true" outlineLevel="0" collapsed="false">
      <c r="A6274" s="6" t="s">
        <v>8886</v>
      </c>
      <c r="B6274" s="6" t="s">
        <v>1385</v>
      </c>
      <c r="C6274" s="6" t="s">
        <v>112</v>
      </c>
      <c r="D6274" s="13" t="n">
        <v>44772</v>
      </c>
      <c r="E6274" s="14" t="n">
        <v>6710.3</v>
      </c>
      <c r="F6274" s="14" t="n">
        <v>35091.03</v>
      </c>
      <c r="G6274" s="6" t="s">
        <v>2613</v>
      </c>
    </row>
    <row r="6275" customFormat="false" ht="15" hidden="false" customHeight="true" outlineLevel="0" collapsed="false">
      <c r="A6275" s="6" t="s">
        <v>8887</v>
      </c>
      <c r="B6275" s="6" t="s">
        <v>1385</v>
      </c>
      <c r="C6275" s="6" t="s">
        <v>112</v>
      </c>
      <c r="D6275" s="13" t="n">
        <v>44779</v>
      </c>
      <c r="E6275" s="14" t="n">
        <v>5146.37</v>
      </c>
      <c r="F6275" s="14" t="n">
        <v>40237.4</v>
      </c>
      <c r="G6275" s="6" t="s">
        <v>2613</v>
      </c>
    </row>
    <row r="6276" customFormat="false" ht="15" hidden="false" customHeight="true" outlineLevel="0" collapsed="false">
      <c r="A6276" s="6" t="s">
        <v>8888</v>
      </c>
      <c r="B6276" s="6" t="s">
        <v>1385</v>
      </c>
      <c r="C6276" s="6" t="s">
        <v>112</v>
      </c>
      <c r="D6276" s="13" t="n">
        <v>44786</v>
      </c>
      <c r="E6276" s="14" t="n">
        <v>4319.29</v>
      </c>
      <c r="F6276" s="14" t="n">
        <v>44556.69</v>
      </c>
      <c r="G6276" s="6" t="s">
        <v>2623</v>
      </c>
    </row>
    <row r="6277" customFormat="false" ht="15" hidden="false" customHeight="true" outlineLevel="0" collapsed="false">
      <c r="A6277" s="6" t="s">
        <v>8889</v>
      </c>
      <c r="B6277" s="6" t="s">
        <v>1385</v>
      </c>
      <c r="C6277" s="6" t="s">
        <v>112</v>
      </c>
      <c r="D6277" s="13" t="n">
        <v>44793</v>
      </c>
      <c r="E6277" s="14" t="n">
        <v>6569.23</v>
      </c>
      <c r="F6277" s="14" t="n">
        <v>51125.92</v>
      </c>
      <c r="G6277" s="6" t="s">
        <v>2613</v>
      </c>
    </row>
    <row r="6278" customFormat="false" ht="15" hidden="false" customHeight="true" outlineLevel="0" collapsed="false">
      <c r="A6278" s="6" t="s">
        <v>8890</v>
      </c>
      <c r="B6278" s="6" t="s">
        <v>1385</v>
      </c>
      <c r="C6278" s="6" t="s">
        <v>112</v>
      </c>
      <c r="D6278" s="13" t="n">
        <v>44800</v>
      </c>
      <c r="E6278" s="14" t="n">
        <v>5549.62</v>
      </c>
      <c r="F6278" s="14" t="n">
        <v>56675.54</v>
      </c>
      <c r="G6278" s="6" t="s">
        <v>2613</v>
      </c>
    </row>
    <row r="6279" customFormat="false" ht="15" hidden="false" customHeight="true" outlineLevel="0" collapsed="false">
      <c r="A6279" s="6" t="s">
        <v>8891</v>
      </c>
      <c r="B6279" s="6" t="s">
        <v>1387</v>
      </c>
      <c r="C6279" s="6" t="s">
        <v>128</v>
      </c>
      <c r="D6279" s="13" t="n">
        <v>44808</v>
      </c>
      <c r="E6279" s="14" t="n">
        <v>2288.15</v>
      </c>
      <c r="F6279" s="14" t="n">
        <v>2288.15</v>
      </c>
      <c r="G6279" s="6" t="s">
        <v>2623</v>
      </c>
    </row>
    <row r="6280" customFormat="false" ht="15" hidden="false" customHeight="true" outlineLevel="0" collapsed="false">
      <c r="A6280" s="6" t="s">
        <v>8892</v>
      </c>
      <c r="B6280" s="6" t="s">
        <v>1387</v>
      </c>
      <c r="C6280" s="6" t="s">
        <v>128</v>
      </c>
      <c r="D6280" s="13" t="n">
        <v>44815</v>
      </c>
      <c r="E6280" s="14" t="n">
        <v>2887.1</v>
      </c>
      <c r="F6280" s="14" t="n">
        <v>5175.25</v>
      </c>
      <c r="G6280" s="6" t="s">
        <v>2613</v>
      </c>
    </row>
    <row r="6281" customFormat="false" ht="15" hidden="false" customHeight="true" outlineLevel="0" collapsed="false">
      <c r="A6281" s="6" t="s">
        <v>8893</v>
      </c>
      <c r="B6281" s="6" t="s">
        <v>1387</v>
      </c>
      <c r="C6281" s="6" t="s">
        <v>128</v>
      </c>
      <c r="D6281" s="13" t="n">
        <v>44822</v>
      </c>
      <c r="E6281" s="14" t="n">
        <v>2395.35</v>
      </c>
      <c r="F6281" s="14" t="n">
        <v>7570.6</v>
      </c>
      <c r="G6281" s="6" t="s">
        <v>2623</v>
      </c>
    </row>
    <row r="6282" customFormat="false" ht="15" hidden="false" customHeight="true" outlineLevel="0" collapsed="false">
      <c r="A6282" s="6" t="s">
        <v>8894</v>
      </c>
      <c r="B6282" s="6" t="s">
        <v>1387</v>
      </c>
      <c r="C6282" s="6" t="s">
        <v>128</v>
      </c>
      <c r="D6282" s="13" t="n">
        <v>44829</v>
      </c>
      <c r="E6282" s="14" t="n">
        <v>2752.31</v>
      </c>
      <c r="F6282" s="14" t="n">
        <v>10322.91</v>
      </c>
      <c r="G6282" s="6" t="s">
        <v>2613</v>
      </c>
    </row>
    <row r="6283" customFormat="false" ht="15" hidden="false" customHeight="true" outlineLevel="0" collapsed="false">
      <c r="A6283" s="6" t="s">
        <v>8895</v>
      </c>
      <c r="B6283" s="6" t="s">
        <v>1387</v>
      </c>
      <c r="C6283" s="6" t="s">
        <v>128</v>
      </c>
      <c r="D6283" s="13" t="n">
        <v>44836</v>
      </c>
      <c r="E6283" s="14" t="n">
        <v>2767.83</v>
      </c>
      <c r="F6283" s="14" t="n">
        <v>13090.74</v>
      </c>
      <c r="G6283" s="6" t="s">
        <v>2613</v>
      </c>
    </row>
    <row r="6284" customFormat="false" ht="15" hidden="false" customHeight="true" outlineLevel="0" collapsed="false">
      <c r="A6284" s="6" t="s">
        <v>8896</v>
      </c>
      <c r="B6284" s="6" t="s">
        <v>1387</v>
      </c>
      <c r="C6284" s="6" t="s">
        <v>128</v>
      </c>
      <c r="D6284" s="13" t="n">
        <v>44843</v>
      </c>
      <c r="E6284" s="14" t="n">
        <v>1662.51</v>
      </c>
      <c r="F6284" s="14" t="n">
        <v>14753.25</v>
      </c>
      <c r="G6284" s="6" t="s">
        <v>2613</v>
      </c>
    </row>
    <row r="6285" customFormat="false" ht="15" hidden="false" customHeight="true" outlineLevel="0" collapsed="false">
      <c r="A6285" s="6" t="s">
        <v>8897</v>
      </c>
      <c r="B6285" s="6" t="s">
        <v>1387</v>
      </c>
      <c r="C6285" s="6" t="s">
        <v>128</v>
      </c>
      <c r="D6285" s="13" t="n">
        <v>44850</v>
      </c>
      <c r="E6285" s="14" t="n">
        <v>2028.19</v>
      </c>
      <c r="F6285" s="14" t="n">
        <v>16781.44</v>
      </c>
      <c r="G6285" s="6" t="s">
        <v>2613</v>
      </c>
    </row>
    <row r="6286" customFormat="false" ht="15" hidden="false" customHeight="true" outlineLevel="0" collapsed="false">
      <c r="A6286" s="6" t="s">
        <v>8898</v>
      </c>
      <c r="B6286" s="6" t="s">
        <v>1387</v>
      </c>
      <c r="C6286" s="6" t="s">
        <v>128</v>
      </c>
      <c r="D6286" s="13" t="n">
        <v>44857</v>
      </c>
      <c r="E6286" s="14" t="n">
        <v>1576.9</v>
      </c>
      <c r="F6286" s="14" t="n">
        <v>18358.34</v>
      </c>
      <c r="G6286" s="6" t="s">
        <v>2613</v>
      </c>
    </row>
    <row r="6287" customFormat="false" ht="15" hidden="false" customHeight="true" outlineLevel="0" collapsed="false">
      <c r="A6287" s="6" t="s">
        <v>8899</v>
      </c>
      <c r="B6287" s="6" t="s">
        <v>1389</v>
      </c>
      <c r="C6287" s="6" t="s">
        <v>112</v>
      </c>
      <c r="D6287" s="13" t="n">
        <v>44815</v>
      </c>
      <c r="E6287" s="14" t="n">
        <v>1553.28</v>
      </c>
      <c r="F6287" s="14" t="n">
        <v>1553.28</v>
      </c>
      <c r="G6287" s="6" t="s">
        <v>2613</v>
      </c>
    </row>
    <row r="6288" customFormat="false" ht="15" hidden="false" customHeight="true" outlineLevel="0" collapsed="false">
      <c r="A6288" s="6" t="s">
        <v>8900</v>
      </c>
      <c r="B6288" s="6" t="s">
        <v>1389</v>
      </c>
      <c r="C6288" s="6" t="s">
        <v>112</v>
      </c>
      <c r="D6288" s="13" t="n">
        <v>44822</v>
      </c>
      <c r="E6288" s="14" t="n">
        <v>1303.96</v>
      </c>
      <c r="F6288" s="14" t="n">
        <v>2857.24</v>
      </c>
      <c r="G6288" s="6" t="s">
        <v>2613</v>
      </c>
    </row>
    <row r="6289" customFormat="false" ht="15" hidden="false" customHeight="true" outlineLevel="0" collapsed="false">
      <c r="A6289" s="6" t="s">
        <v>8901</v>
      </c>
      <c r="B6289" s="6" t="s">
        <v>1389</v>
      </c>
      <c r="C6289" s="6" t="s">
        <v>112</v>
      </c>
      <c r="D6289" s="13" t="n">
        <v>44829</v>
      </c>
      <c r="E6289" s="14" t="n">
        <v>1741</v>
      </c>
      <c r="F6289" s="14" t="n">
        <v>4598.24</v>
      </c>
      <c r="G6289" s="6" t="s">
        <v>2613</v>
      </c>
    </row>
    <row r="6290" customFormat="false" ht="15" hidden="false" customHeight="true" outlineLevel="0" collapsed="false">
      <c r="A6290" s="6" t="s">
        <v>8902</v>
      </c>
      <c r="B6290" s="6" t="s">
        <v>1389</v>
      </c>
      <c r="C6290" s="6" t="s">
        <v>112</v>
      </c>
      <c r="D6290" s="13" t="n">
        <v>44836</v>
      </c>
      <c r="E6290" s="14" t="n">
        <v>1820.66</v>
      </c>
      <c r="F6290" s="14" t="n">
        <v>6418.9</v>
      </c>
      <c r="G6290" s="6" t="s">
        <v>2613</v>
      </c>
    </row>
    <row r="6291" customFormat="false" ht="15" hidden="false" customHeight="true" outlineLevel="0" collapsed="false">
      <c r="A6291" s="6" t="s">
        <v>8903</v>
      </c>
      <c r="B6291" s="6" t="s">
        <v>1389</v>
      </c>
      <c r="C6291" s="6" t="s">
        <v>112</v>
      </c>
      <c r="D6291" s="13" t="n">
        <v>44843</v>
      </c>
      <c r="E6291" s="14" t="n">
        <v>1699.84</v>
      </c>
      <c r="F6291" s="14" t="n">
        <v>8118.74</v>
      </c>
      <c r="G6291" s="6" t="s">
        <v>2613</v>
      </c>
    </row>
    <row r="6292" customFormat="false" ht="15" hidden="false" customHeight="true" outlineLevel="0" collapsed="false">
      <c r="A6292" s="6" t="s">
        <v>8904</v>
      </c>
      <c r="B6292" s="6" t="s">
        <v>1389</v>
      </c>
      <c r="C6292" s="6" t="s">
        <v>112</v>
      </c>
      <c r="D6292" s="13" t="n">
        <v>44850</v>
      </c>
      <c r="E6292" s="14" t="n">
        <v>1739.76</v>
      </c>
      <c r="F6292" s="14" t="n">
        <v>9858.5</v>
      </c>
      <c r="G6292" s="6" t="s">
        <v>2613</v>
      </c>
    </row>
    <row r="6293" customFormat="false" ht="15" hidden="false" customHeight="true" outlineLevel="0" collapsed="false">
      <c r="A6293" s="6" t="s">
        <v>8905</v>
      </c>
      <c r="B6293" s="6" t="s">
        <v>1389</v>
      </c>
      <c r="C6293" s="6" t="s">
        <v>112</v>
      </c>
      <c r="D6293" s="13" t="n">
        <v>44857</v>
      </c>
      <c r="E6293" s="14" t="n">
        <v>1920.72</v>
      </c>
      <c r="F6293" s="14" t="n">
        <v>11779.22</v>
      </c>
      <c r="G6293" s="6" t="s">
        <v>2623</v>
      </c>
    </row>
    <row r="6294" customFormat="false" ht="15" hidden="false" customHeight="true" outlineLevel="0" collapsed="false">
      <c r="A6294" s="6" t="s">
        <v>8906</v>
      </c>
      <c r="B6294" s="6" t="s">
        <v>1389</v>
      </c>
      <c r="C6294" s="6" t="s">
        <v>112</v>
      </c>
      <c r="D6294" s="13" t="n">
        <v>44864</v>
      </c>
      <c r="E6294" s="14" t="n">
        <v>1390.89</v>
      </c>
      <c r="F6294" s="14" t="n">
        <v>13170.11</v>
      </c>
      <c r="G6294" s="6" t="s">
        <v>2613</v>
      </c>
    </row>
    <row r="6295" customFormat="false" ht="15" hidden="false" customHeight="true" outlineLevel="0" collapsed="false">
      <c r="A6295" s="6" t="s">
        <v>8907</v>
      </c>
      <c r="B6295" s="6" t="s">
        <v>1389</v>
      </c>
      <c r="C6295" s="6" t="s">
        <v>112</v>
      </c>
      <c r="D6295" s="13" t="n">
        <v>44871</v>
      </c>
      <c r="E6295" s="14" t="n">
        <v>1659.77</v>
      </c>
      <c r="F6295" s="14" t="n">
        <v>14829.88</v>
      </c>
      <c r="G6295" s="6" t="s">
        <v>2613</v>
      </c>
    </row>
    <row r="6296" customFormat="false" ht="15" hidden="false" customHeight="true" outlineLevel="0" collapsed="false">
      <c r="A6296" s="6" t="s">
        <v>8908</v>
      </c>
      <c r="B6296" s="6" t="s">
        <v>1389</v>
      </c>
      <c r="C6296" s="6" t="s">
        <v>112</v>
      </c>
      <c r="D6296" s="13" t="n">
        <v>44878</v>
      </c>
      <c r="E6296" s="14" t="n">
        <v>1854.9</v>
      </c>
      <c r="F6296" s="14" t="n">
        <v>16684.78</v>
      </c>
      <c r="G6296" s="6" t="s">
        <v>2613</v>
      </c>
    </row>
    <row r="6297" customFormat="false" ht="15" hidden="false" customHeight="true" outlineLevel="0" collapsed="false">
      <c r="A6297" s="6" t="s">
        <v>8909</v>
      </c>
      <c r="B6297" s="6" t="s">
        <v>1389</v>
      </c>
      <c r="C6297" s="6" t="s">
        <v>112</v>
      </c>
      <c r="D6297" s="13" t="n">
        <v>44885</v>
      </c>
      <c r="E6297" s="14" t="n">
        <v>2177.7</v>
      </c>
      <c r="F6297" s="14" t="n">
        <v>18862.48</v>
      </c>
      <c r="G6297" s="6" t="s">
        <v>2613</v>
      </c>
    </row>
    <row r="6298" customFormat="false" ht="15" hidden="false" customHeight="true" outlineLevel="0" collapsed="false">
      <c r="A6298" s="6" t="s">
        <v>8910</v>
      </c>
      <c r="B6298" s="6" t="s">
        <v>1389</v>
      </c>
      <c r="C6298" s="6" t="s">
        <v>112</v>
      </c>
      <c r="D6298" s="13" t="n">
        <v>44892</v>
      </c>
      <c r="E6298" s="14" t="n">
        <v>2256.86</v>
      </c>
      <c r="F6298" s="14" t="n">
        <v>21119.34</v>
      </c>
      <c r="G6298" s="6" t="s">
        <v>2613</v>
      </c>
    </row>
    <row r="6299" customFormat="false" ht="15" hidden="false" customHeight="true" outlineLevel="0" collapsed="false">
      <c r="A6299" s="6" t="s">
        <v>8911</v>
      </c>
      <c r="B6299" s="6" t="s">
        <v>1389</v>
      </c>
      <c r="C6299" s="6" t="s">
        <v>112</v>
      </c>
      <c r="D6299" s="13" t="n">
        <v>44899</v>
      </c>
      <c r="E6299" s="14" t="n">
        <v>1356.87</v>
      </c>
      <c r="F6299" s="14" t="n">
        <v>22476.21</v>
      </c>
      <c r="G6299" s="6" t="s">
        <v>2613</v>
      </c>
    </row>
    <row r="6300" customFormat="false" ht="15" hidden="false" customHeight="true" outlineLevel="0" collapsed="false">
      <c r="A6300" s="6" t="s">
        <v>8912</v>
      </c>
      <c r="B6300" s="6" t="s">
        <v>1389</v>
      </c>
      <c r="C6300" s="6" t="s">
        <v>112</v>
      </c>
      <c r="D6300" s="13" t="n">
        <v>44906</v>
      </c>
      <c r="E6300" s="14" t="n">
        <v>2147.75</v>
      </c>
      <c r="F6300" s="14" t="n">
        <v>24623.96</v>
      </c>
      <c r="G6300" s="6" t="s">
        <v>2613</v>
      </c>
    </row>
    <row r="6301" customFormat="false" ht="15" hidden="false" customHeight="true" outlineLevel="0" collapsed="false">
      <c r="A6301" s="6" t="s">
        <v>8913</v>
      </c>
      <c r="B6301" s="6" t="s">
        <v>1389</v>
      </c>
      <c r="C6301" s="6" t="s">
        <v>112</v>
      </c>
      <c r="D6301" s="13" t="n">
        <v>44913</v>
      </c>
      <c r="E6301" s="14" t="n">
        <v>1615.19</v>
      </c>
      <c r="F6301" s="14" t="n">
        <v>26239.15</v>
      </c>
      <c r="G6301" s="6" t="s">
        <v>2613</v>
      </c>
    </row>
    <row r="6302" customFormat="false" ht="15" hidden="false" customHeight="true" outlineLevel="0" collapsed="false">
      <c r="A6302" s="6" t="s">
        <v>8914</v>
      </c>
      <c r="B6302" s="6" t="s">
        <v>1389</v>
      </c>
      <c r="C6302" s="6" t="s">
        <v>112</v>
      </c>
      <c r="D6302" s="13" t="n">
        <v>44920</v>
      </c>
      <c r="E6302" s="14" t="n">
        <v>2171.57</v>
      </c>
      <c r="F6302" s="14" t="n">
        <v>28410.72</v>
      </c>
      <c r="G6302" s="6" t="s">
        <v>2613</v>
      </c>
    </row>
    <row r="6303" customFormat="false" ht="15" hidden="false" customHeight="true" outlineLevel="0" collapsed="false">
      <c r="A6303" s="6" t="s">
        <v>8915</v>
      </c>
      <c r="B6303" s="6" t="s">
        <v>1389</v>
      </c>
      <c r="C6303" s="6" t="s">
        <v>112</v>
      </c>
      <c r="D6303" s="13" t="n">
        <v>44927</v>
      </c>
      <c r="E6303" s="14" t="n">
        <v>1758.97</v>
      </c>
      <c r="F6303" s="14" t="n">
        <v>30169.69</v>
      </c>
      <c r="G6303" s="6" t="s">
        <v>2613</v>
      </c>
    </row>
    <row r="6304" customFormat="false" ht="15" hidden="false" customHeight="true" outlineLevel="0" collapsed="false">
      <c r="A6304" s="6" t="s">
        <v>8916</v>
      </c>
      <c r="B6304" s="6" t="s">
        <v>1389</v>
      </c>
      <c r="C6304" s="6" t="s">
        <v>112</v>
      </c>
      <c r="D6304" s="13" t="n">
        <v>44934</v>
      </c>
      <c r="E6304" s="14" t="n">
        <v>1125.48</v>
      </c>
      <c r="F6304" s="14" t="n">
        <v>31295.17</v>
      </c>
      <c r="G6304" s="6" t="s">
        <v>2613</v>
      </c>
    </row>
    <row r="6305" customFormat="false" ht="15" hidden="false" customHeight="true" outlineLevel="0" collapsed="false">
      <c r="A6305" s="6" t="s">
        <v>8917</v>
      </c>
      <c r="B6305" s="6" t="s">
        <v>1389</v>
      </c>
      <c r="C6305" s="6" t="s">
        <v>112</v>
      </c>
      <c r="D6305" s="13" t="n">
        <v>44941</v>
      </c>
      <c r="E6305" s="14" t="n">
        <v>1865.06</v>
      </c>
      <c r="F6305" s="14" t="n">
        <v>33160.23</v>
      </c>
      <c r="G6305" s="6" t="s">
        <v>2613</v>
      </c>
    </row>
    <row r="6306" customFormat="false" ht="15" hidden="false" customHeight="true" outlineLevel="0" collapsed="false">
      <c r="A6306" s="6" t="s">
        <v>8918</v>
      </c>
      <c r="B6306" s="6" t="s">
        <v>1389</v>
      </c>
      <c r="C6306" s="6" t="s">
        <v>112</v>
      </c>
      <c r="D6306" s="13" t="n">
        <v>44948</v>
      </c>
      <c r="E6306" s="14" t="n">
        <v>2353.91</v>
      </c>
      <c r="F6306" s="14" t="n">
        <v>35514.14</v>
      </c>
      <c r="G6306" s="6" t="s">
        <v>2613</v>
      </c>
    </row>
    <row r="6307" customFormat="false" ht="15" hidden="false" customHeight="true" outlineLevel="0" collapsed="false">
      <c r="A6307" s="6" t="s">
        <v>8919</v>
      </c>
      <c r="B6307" s="6" t="s">
        <v>1389</v>
      </c>
      <c r="C6307" s="6" t="s">
        <v>112</v>
      </c>
      <c r="D6307" s="13" t="n">
        <v>44955</v>
      </c>
      <c r="E6307" s="14" t="n">
        <v>1476.48</v>
      </c>
      <c r="F6307" s="14" t="n">
        <v>36990.62</v>
      </c>
      <c r="G6307" s="6" t="s">
        <v>2623</v>
      </c>
    </row>
    <row r="6308" customFormat="false" ht="15" hidden="false" customHeight="true" outlineLevel="0" collapsed="false">
      <c r="A6308" s="6" t="s">
        <v>8920</v>
      </c>
      <c r="B6308" s="6" t="s">
        <v>1389</v>
      </c>
      <c r="C6308" s="6" t="s">
        <v>112</v>
      </c>
      <c r="D6308" s="13" t="n">
        <v>44962</v>
      </c>
      <c r="E6308" s="14" t="n">
        <v>2097.38</v>
      </c>
      <c r="F6308" s="14" t="n">
        <v>39088</v>
      </c>
      <c r="G6308" s="6" t="s">
        <v>2613</v>
      </c>
    </row>
    <row r="6309" customFormat="false" ht="15" hidden="false" customHeight="true" outlineLevel="0" collapsed="false">
      <c r="A6309" s="6" t="s">
        <v>8921</v>
      </c>
      <c r="B6309" s="6" t="s">
        <v>1389</v>
      </c>
      <c r="C6309" s="6" t="s">
        <v>112</v>
      </c>
      <c r="D6309" s="13" t="n">
        <v>44969</v>
      </c>
      <c r="E6309" s="14" t="n">
        <v>2185.07</v>
      </c>
      <c r="F6309" s="14" t="n">
        <v>41273.07</v>
      </c>
      <c r="G6309" s="6" t="s">
        <v>2613</v>
      </c>
    </row>
    <row r="6310" customFormat="false" ht="15" hidden="false" customHeight="true" outlineLevel="0" collapsed="false">
      <c r="A6310" s="6" t="s">
        <v>8922</v>
      </c>
      <c r="B6310" s="6" t="s">
        <v>1389</v>
      </c>
      <c r="C6310" s="6" t="s">
        <v>112</v>
      </c>
      <c r="D6310" s="13" t="n">
        <v>44976</v>
      </c>
      <c r="E6310" s="14" t="n">
        <v>2449.81</v>
      </c>
      <c r="F6310" s="14" t="n">
        <v>43722.88</v>
      </c>
      <c r="G6310" s="6" t="s">
        <v>2623</v>
      </c>
    </row>
    <row r="6311" customFormat="false" ht="15" hidden="false" customHeight="true" outlineLevel="0" collapsed="false">
      <c r="A6311" s="6" t="s">
        <v>8923</v>
      </c>
      <c r="B6311" s="6" t="s">
        <v>1389</v>
      </c>
      <c r="C6311" s="6" t="s">
        <v>112</v>
      </c>
      <c r="D6311" s="13" t="n">
        <v>44983</v>
      </c>
      <c r="E6311" s="14" t="n">
        <v>1309.75</v>
      </c>
      <c r="F6311" s="14" t="n">
        <v>45032.63</v>
      </c>
      <c r="G6311" s="6" t="s">
        <v>2613</v>
      </c>
    </row>
    <row r="6312" customFormat="false" ht="15" hidden="false" customHeight="true" outlineLevel="0" collapsed="false">
      <c r="A6312" s="6" t="s">
        <v>8924</v>
      </c>
      <c r="B6312" s="6" t="s">
        <v>1389</v>
      </c>
      <c r="C6312" s="6" t="s">
        <v>112</v>
      </c>
      <c r="D6312" s="13" t="n">
        <v>44990</v>
      </c>
      <c r="E6312" s="14" t="n">
        <v>2304.34</v>
      </c>
      <c r="F6312" s="14" t="n">
        <v>47336.97</v>
      </c>
      <c r="G6312" s="6" t="s">
        <v>2613</v>
      </c>
    </row>
    <row r="6313" customFormat="false" ht="15" hidden="false" customHeight="true" outlineLevel="0" collapsed="false">
      <c r="A6313" s="6" t="s">
        <v>8925</v>
      </c>
      <c r="B6313" s="6" t="s">
        <v>1389</v>
      </c>
      <c r="C6313" s="6" t="s">
        <v>112</v>
      </c>
      <c r="D6313" s="13" t="n">
        <v>44997</v>
      </c>
      <c r="E6313" s="14" t="n">
        <v>2161.8</v>
      </c>
      <c r="F6313" s="14" t="n">
        <v>49498.77</v>
      </c>
      <c r="G6313" s="6" t="s">
        <v>2613</v>
      </c>
    </row>
    <row r="6314" customFormat="false" ht="15" hidden="false" customHeight="true" outlineLevel="0" collapsed="false">
      <c r="A6314" s="6" t="s">
        <v>8926</v>
      </c>
      <c r="B6314" s="6" t="s">
        <v>1389</v>
      </c>
      <c r="C6314" s="6" t="s">
        <v>112</v>
      </c>
      <c r="D6314" s="13" t="n">
        <v>45004</v>
      </c>
      <c r="E6314" s="14" t="n">
        <v>1630.94</v>
      </c>
      <c r="F6314" s="14" t="n">
        <v>51129.71</v>
      </c>
      <c r="G6314" s="6" t="s">
        <v>2613</v>
      </c>
    </row>
    <row r="6315" customFormat="false" ht="15" hidden="false" customHeight="true" outlineLevel="0" collapsed="false">
      <c r="A6315" s="6" t="s">
        <v>8927</v>
      </c>
      <c r="B6315" s="6" t="s">
        <v>1389</v>
      </c>
      <c r="C6315" s="6" t="s">
        <v>112</v>
      </c>
      <c r="D6315" s="13" t="n">
        <v>45011</v>
      </c>
      <c r="E6315" s="14" t="n">
        <v>2273.23</v>
      </c>
      <c r="F6315" s="14" t="n">
        <v>53402.94</v>
      </c>
      <c r="G6315" s="6" t="s">
        <v>2613</v>
      </c>
    </row>
    <row r="6316" customFormat="false" ht="15" hidden="false" customHeight="true" outlineLevel="0" collapsed="false">
      <c r="A6316" s="6" t="s">
        <v>8928</v>
      </c>
      <c r="B6316" s="6" t="s">
        <v>1391</v>
      </c>
      <c r="C6316" s="6" t="s">
        <v>128</v>
      </c>
      <c r="D6316" s="13" t="n">
        <v>45966</v>
      </c>
      <c r="E6316" s="14" t="n">
        <v>6951.4</v>
      </c>
      <c r="F6316" s="14" t="n">
        <v>6951.4</v>
      </c>
      <c r="G6316" s="6" t="s">
        <v>2613</v>
      </c>
    </row>
    <row r="6317" customFormat="false" ht="15" hidden="false" customHeight="true" outlineLevel="0" collapsed="false">
      <c r="A6317" s="6" t="s">
        <v>8929</v>
      </c>
      <c r="B6317" s="6" t="s">
        <v>1391</v>
      </c>
      <c r="C6317" s="6" t="s">
        <v>128</v>
      </c>
      <c r="D6317" s="13" t="n">
        <v>45973</v>
      </c>
      <c r="E6317" s="14" t="n">
        <v>6739.88</v>
      </c>
      <c r="F6317" s="14" t="n">
        <v>13691.28</v>
      </c>
      <c r="G6317" s="6" t="s">
        <v>2613</v>
      </c>
    </row>
    <row r="6318" customFormat="false" ht="15" hidden="false" customHeight="true" outlineLevel="0" collapsed="false">
      <c r="A6318" s="6" t="s">
        <v>8930</v>
      </c>
      <c r="B6318" s="6" t="s">
        <v>1391</v>
      </c>
      <c r="C6318" s="6" t="s">
        <v>128</v>
      </c>
      <c r="D6318" s="13" t="n">
        <v>45980</v>
      </c>
      <c r="E6318" s="14" t="n">
        <v>8533.65</v>
      </c>
      <c r="F6318" s="14" t="n">
        <v>22224.93</v>
      </c>
      <c r="G6318" s="6" t="s">
        <v>2613</v>
      </c>
    </row>
    <row r="6319" customFormat="false" ht="15" hidden="false" customHeight="true" outlineLevel="0" collapsed="false">
      <c r="A6319" s="6" t="s">
        <v>8931</v>
      </c>
      <c r="B6319" s="6" t="s">
        <v>1391</v>
      </c>
      <c r="C6319" s="6" t="s">
        <v>128</v>
      </c>
      <c r="D6319" s="13" t="n">
        <v>45987</v>
      </c>
      <c r="E6319" s="14" t="n">
        <v>8574.68</v>
      </c>
      <c r="F6319" s="14" t="n">
        <v>30799.61</v>
      </c>
      <c r="G6319" s="6" t="s">
        <v>2613</v>
      </c>
    </row>
    <row r="6320" customFormat="false" ht="15" hidden="false" customHeight="true" outlineLevel="0" collapsed="false">
      <c r="A6320" s="6" t="s">
        <v>8932</v>
      </c>
      <c r="B6320" s="6" t="s">
        <v>1391</v>
      </c>
      <c r="C6320" s="6" t="s">
        <v>128</v>
      </c>
      <c r="D6320" s="13" t="n">
        <v>45994</v>
      </c>
      <c r="E6320" s="14" t="n">
        <v>918.93</v>
      </c>
      <c r="F6320" s="14" t="n">
        <v>31718.54</v>
      </c>
      <c r="G6320" s="6" t="s">
        <v>2623</v>
      </c>
    </row>
    <row r="6321" customFormat="false" ht="15" hidden="false" customHeight="true" outlineLevel="0" collapsed="false">
      <c r="A6321" s="6" t="s">
        <v>8933</v>
      </c>
      <c r="B6321" s="6" t="s">
        <v>1393</v>
      </c>
      <c r="C6321" s="6" t="s">
        <v>112</v>
      </c>
      <c r="D6321" s="13" t="n">
        <v>45897</v>
      </c>
      <c r="E6321" s="14" t="n">
        <v>5858.96</v>
      </c>
      <c r="F6321" s="14" t="n">
        <v>5858.96</v>
      </c>
      <c r="G6321" s="6" t="s">
        <v>2613</v>
      </c>
    </row>
    <row r="6322" customFormat="false" ht="15" hidden="false" customHeight="true" outlineLevel="0" collapsed="false">
      <c r="A6322" s="6" t="s">
        <v>8934</v>
      </c>
      <c r="B6322" s="6" t="s">
        <v>1393</v>
      </c>
      <c r="C6322" s="6" t="s">
        <v>112</v>
      </c>
      <c r="D6322" s="13" t="n">
        <v>45904</v>
      </c>
      <c r="E6322" s="14" t="n">
        <v>3679.16</v>
      </c>
      <c r="F6322" s="14" t="n">
        <v>9538.12</v>
      </c>
      <c r="G6322" s="6" t="s">
        <v>2613</v>
      </c>
    </row>
    <row r="6323" customFormat="false" ht="15" hidden="false" customHeight="true" outlineLevel="0" collapsed="false">
      <c r="A6323" s="6" t="s">
        <v>8935</v>
      </c>
      <c r="B6323" s="6" t="s">
        <v>1393</v>
      </c>
      <c r="C6323" s="6" t="s">
        <v>112</v>
      </c>
      <c r="D6323" s="13" t="n">
        <v>45911</v>
      </c>
      <c r="E6323" s="14" t="n">
        <v>3299.05</v>
      </c>
      <c r="F6323" s="14" t="n">
        <v>12837.17</v>
      </c>
      <c r="G6323" s="6" t="s">
        <v>2613</v>
      </c>
    </row>
    <row r="6324" customFormat="false" ht="15" hidden="false" customHeight="true" outlineLevel="0" collapsed="false">
      <c r="A6324" s="6" t="s">
        <v>8936</v>
      </c>
      <c r="B6324" s="6" t="s">
        <v>1393</v>
      </c>
      <c r="C6324" s="6" t="s">
        <v>112</v>
      </c>
      <c r="D6324" s="13" t="n">
        <v>45918</v>
      </c>
      <c r="E6324" s="14" t="n">
        <v>3718.36</v>
      </c>
      <c r="F6324" s="14" t="n">
        <v>16555.53</v>
      </c>
      <c r="G6324" s="6" t="s">
        <v>2613</v>
      </c>
    </row>
    <row r="6325" customFormat="false" ht="15" hidden="false" customHeight="true" outlineLevel="0" collapsed="false">
      <c r="A6325" s="6" t="s">
        <v>8937</v>
      </c>
      <c r="B6325" s="6" t="s">
        <v>1393</v>
      </c>
      <c r="C6325" s="6" t="s">
        <v>112</v>
      </c>
      <c r="D6325" s="13" t="n">
        <v>45925</v>
      </c>
      <c r="E6325" s="14" t="n">
        <v>4941.19</v>
      </c>
      <c r="F6325" s="14" t="n">
        <v>21496.72</v>
      </c>
      <c r="G6325" s="6" t="s">
        <v>2613</v>
      </c>
    </row>
    <row r="6326" customFormat="false" ht="15" hidden="false" customHeight="true" outlineLevel="0" collapsed="false">
      <c r="A6326" s="6" t="s">
        <v>8938</v>
      </c>
      <c r="B6326" s="6" t="s">
        <v>1393</v>
      </c>
      <c r="C6326" s="6" t="s">
        <v>112</v>
      </c>
      <c r="D6326" s="13" t="n">
        <v>45932</v>
      </c>
      <c r="E6326" s="14" t="n">
        <v>3121.01</v>
      </c>
      <c r="F6326" s="14" t="n">
        <v>24617.73</v>
      </c>
      <c r="G6326" s="6" t="s">
        <v>2623</v>
      </c>
    </row>
    <row r="6327" customFormat="false" ht="15" hidden="false" customHeight="true" outlineLevel="0" collapsed="false">
      <c r="A6327" s="6" t="s">
        <v>8939</v>
      </c>
      <c r="B6327" s="6" t="s">
        <v>1393</v>
      </c>
      <c r="C6327" s="6" t="s">
        <v>112</v>
      </c>
      <c r="D6327" s="13" t="n">
        <v>45939</v>
      </c>
      <c r="E6327" s="14" t="n">
        <v>4021.67</v>
      </c>
      <c r="F6327" s="14" t="n">
        <v>28639.4</v>
      </c>
      <c r="G6327" s="6" t="s">
        <v>2613</v>
      </c>
    </row>
    <row r="6328" customFormat="false" ht="15" hidden="false" customHeight="true" outlineLevel="0" collapsed="false">
      <c r="A6328" s="6" t="s">
        <v>8940</v>
      </c>
      <c r="B6328" s="6" t="s">
        <v>1393</v>
      </c>
      <c r="C6328" s="6" t="s">
        <v>112</v>
      </c>
      <c r="D6328" s="13" t="n">
        <v>45946</v>
      </c>
      <c r="E6328" s="14" t="n">
        <v>4494.66</v>
      </c>
      <c r="F6328" s="14" t="n">
        <v>33134.06</v>
      </c>
      <c r="G6328" s="6" t="s">
        <v>2613</v>
      </c>
    </row>
    <row r="6329" customFormat="false" ht="15" hidden="false" customHeight="true" outlineLevel="0" collapsed="false">
      <c r="A6329" s="6" t="s">
        <v>8941</v>
      </c>
      <c r="B6329" s="6" t="s">
        <v>1393</v>
      </c>
      <c r="C6329" s="6" t="s">
        <v>112</v>
      </c>
      <c r="D6329" s="13" t="n">
        <v>45953</v>
      </c>
      <c r="E6329" s="14" t="n">
        <v>9896.72</v>
      </c>
      <c r="F6329" s="14" t="n">
        <v>43030.78</v>
      </c>
      <c r="G6329" s="6" t="s">
        <v>2623</v>
      </c>
    </row>
    <row r="6330" customFormat="false" ht="15" hidden="false" customHeight="true" outlineLevel="0" collapsed="false">
      <c r="A6330" s="6" t="s">
        <v>8942</v>
      </c>
      <c r="B6330" s="6" t="s">
        <v>1395</v>
      </c>
      <c r="C6330" s="6" t="s">
        <v>112</v>
      </c>
      <c r="D6330" s="13" t="n">
        <v>45363</v>
      </c>
      <c r="E6330" s="14" t="n">
        <v>975.11</v>
      </c>
      <c r="F6330" s="14" t="n">
        <v>975.11</v>
      </c>
      <c r="G6330" s="6" t="s">
        <v>2613</v>
      </c>
    </row>
    <row r="6331" customFormat="false" ht="15" hidden="false" customHeight="true" outlineLevel="0" collapsed="false">
      <c r="A6331" s="6" t="s">
        <v>8943</v>
      </c>
      <c r="B6331" s="6" t="s">
        <v>1395</v>
      </c>
      <c r="C6331" s="6" t="s">
        <v>112</v>
      </c>
      <c r="D6331" s="13" t="n">
        <v>45370</v>
      </c>
      <c r="E6331" s="14" t="n">
        <v>1021.56</v>
      </c>
      <c r="F6331" s="14" t="n">
        <v>1996.67</v>
      </c>
      <c r="G6331" s="6" t="s">
        <v>2613</v>
      </c>
    </row>
    <row r="6332" customFormat="false" ht="15" hidden="false" customHeight="true" outlineLevel="0" collapsed="false">
      <c r="A6332" s="6" t="s">
        <v>8944</v>
      </c>
      <c r="B6332" s="6" t="s">
        <v>1395</v>
      </c>
      <c r="C6332" s="6" t="s">
        <v>112</v>
      </c>
      <c r="D6332" s="13" t="n">
        <v>45377</v>
      </c>
      <c r="E6332" s="14" t="n">
        <v>681.99</v>
      </c>
      <c r="F6332" s="14" t="n">
        <v>2678.66</v>
      </c>
      <c r="G6332" s="6" t="s">
        <v>2613</v>
      </c>
    </row>
    <row r="6333" customFormat="false" ht="15" hidden="false" customHeight="true" outlineLevel="0" collapsed="false">
      <c r="A6333" s="6" t="s">
        <v>8945</v>
      </c>
      <c r="B6333" s="6" t="s">
        <v>1395</v>
      </c>
      <c r="C6333" s="6" t="s">
        <v>112</v>
      </c>
      <c r="D6333" s="13" t="n">
        <v>45384</v>
      </c>
      <c r="E6333" s="14" t="n">
        <v>530.89</v>
      </c>
      <c r="F6333" s="14" t="n">
        <v>3209.55</v>
      </c>
      <c r="G6333" s="6" t="s">
        <v>2623</v>
      </c>
    </row>
    <row r="6334" customFormat="false" ht="15" hidden="false" customHeight="true" outlineLevel="0" collapsed="false">
      <c r="A6334" s="6" t="s">
        <v>8946</v>
      </c>
      <c r="B6334" s="6" t="s">
        <v>1395</v>
      </c>
      <c r="C6334" s="6" t="s">
        <v>112</v>
      </c>
      <c r="D6334" s="13" t="n">
        <v>45391</v>
      </c>
      <c r="E6334" s="14" t="n">
        <v>484.39</v>
      </c>
      <c r="F6334" s="14" t="n">
        <v>3693.94</v>
      </c>
      <c r="G6334" s="6" t="s">
        <v>2613</v>
      </c>
    </row>
    <row r="6335" customFormat="false" ht="15" hidden="false" customHeight="true" outlineLevel="0" collapsed="false">
      <c r="A6335" s="6" t="s">
        <v>8947</v>
      </c>
      <c r="B6335" s="6" t="s">
        <v>1395</v>
      </c>
      <c r="C6335" s="6" t="s">
        <v>112</v>
      </c>
      <c r="D6335" s="13" t="n">
        <v>45398</v>
      </c>
      <c r="E6335" s="14" t="n">
        <v>954.19</v>
      </c>
      <c r="F6335" s="14" t="n">
        <v>4648.13</v>
      </c>
      <c r="G6335" s="6" t="s">
        <v>2613</v>
      </c>
    </row>
    <row r="6336" customFormat="false" ht="15" hidden="false" customHeight="true" outlineLevel="0" collapsed="false">
      <c r="A6336" s="6" t="s">
        <v>8948</v>
      </c>
      <c r="B6336" s="6" t="s">
        <v>1395</v>
      </c>
      <c r="C6336" s="6" t="s">
        <v>112</v>
      </c>
      <c r="D6336" s="13" t="n">
        <v>45405</v>
      </c>
      <c r="E6336" s="14" t="n">
        <v>877.26</v>
      </c>
      <c r="F6336" s="14" t="n">
        <v>5525.39</v>
      </c>
      <c r="G6336" s="6" t="s">
        <v>2613</v>
      </c>
    </row>
    <row r="6337" customFormat="false" ht="15" hidden="false" customHeight="true" outlineLevel="0" collapsed="false">
      <c r="A6337" s="6" t="s">
        <v>8949</v>
      </c>
      <c r="B6337" s="6" t="s">
        <v>1397</v>
      </c>
      <c r="C6337" s="6" t="s">
        <v>116</v>
      </c>
      <c r="D6337" s="13" t="n">
        <v>44796</v>
      </c>
      <c r="E6337" s="14" t="n">
        <v>6287.33</v>
      </c>
      <c r="F6337" s="14" t="n">
        <v>6287.33</v>
      </c>
      <c r="G6337" s="6" t="s">
        <v>2613</v>
      </c>
    </row>
    <row r="6338" customFormat="false" ht="15" hidden="false" customHeight="true" outlineLevel="0" collapsed="false">
      <c r="A6338" s="6" t="s">
        <v>8950</v>
      </c>
      <c r="B6338" s="6" t="s">
        <v>1397</v>
      </c>
      <c r="C6338" s="6" t="s">
        <v>116</v>
      </c>
      <c r="D6338" s="13" t="n">
        <v>44803</v>
      </c>
      <c r="E6338" s="14" t="n">
        <v>4099.01</v>
      </c>
      <c r="F6338" s="14" t="n">
        <v>10386.34</v>
      </c>
      <c r="G6338" s="6" t="s">
        <v>2623</v>
      </c>
    </row>
    <row r="6339" customFormat="false" ht="15" hidden="false" customHeight="true" outlineLevel="0" collapsed="false">
      <c r="A6339" s="6" t="s">
        <v>8951</v>
      </c>
      <c r="B6339" s="6" t="s">
        <v>1397</v>
      </c>
      <c r="C6339" s="6" t="s">
        <v>116</v>
      </c>
      <c r="D6339" s="13" t="n">
        <v>44810</v>
      </c>
      <c r="E6339" s="14" t="n">
        <v>3737.13</v>
      </c>
      <c r="F6339" s="14" t="n">
        <v>14123.47</v>
      </c>
      <c r="G6339" s="6" t="s">
        <v>2613</v>
      </c>
    </row>
    <row r="6340" customFormat="false" ht="15" hidden="false" customHeight="true" outlineLevel="0" collapsed="false">
      <c r="A6340" s="6" t="s">
        <v>8952</v>
      </c>
      <c r="B6340" s="6" t="s">
        <v>1397</v>
      </c>
      <c r="C6340" s="6" t="s">
        <v>116</v>
      </c>
      <c r="D6340" s="13" t="n">
        <v>44817</v>
      </c>
      <c r="E6340" s="14" t="n">
        <v>4984.76</v>
      </c>
      <c r="F6340" s="14" t="n">
        <v>19108.23</v>
      </c>
      <c r="G6340" s="6" t="s">
        <v>2613</v>
      </c>
    </row>
    <row r="6341" customFormat="false" ht="15" hidden="false" customHeight="true" outlineLevel="0" collapsed="false">
      <c r="A6341" s="6" t="s">
        <v>8953</v>
      </c>
      <c r="B6341" s="6" t="s">
        <v>1397</v>
      </c>
      <c r="C6341" s="6" t="s">
        <v>116</v>
      </c>
      <c r="D6341" s="13" t="n">
        <v>44824</v>
      </c>
      <c r="E6341" s="14" t="n">
        <v>4144.01</v>
      </c>
      <c r="F6341" s="14" t="n">
        <v>23252.24</v>
      </c>
      <c r="G6341" s="6" t="s">
        <v>2613</v>
      </c>
    </row>
    <row r="6342" customFormat="false" ht="15" hidden="false" customHeight="true" outlineLevel="0" collapsed="false">
      <c r="A6342" s="6" t="s">
        <v>8954</v>
      </c>
      <c r="B6342" s="6" t="s">
        <v>1397</v>
      </c>
      <c r="C6342" s="6" t="s">
        <v>116</v>
      </c>
      <c r="D6342" s="13" t="n">
        <v>44831</v>
      </c>
      <c r="E6342" s="14" t="n">
        <v>4276.96</v>
      </c>
      <c r="F6342" s="14" t="n">
        <v>27529.2</v>
      </c>
      <c r="G6342" s="6" t="s">
        <v>2613</v>
      </c>
    </row>
    <row r="6343" customFormat="false" ht="15" hidden="false" customHeight="true" outlineLevel="0" collapsed="false">
      <c r="A6343" s="6" t="s">
        <v>8955</v>
      </c>
      <c r="B6343" s="6" t="s">
        <v>1397</v>
      </c>
      <c r="C6343" s="6" t="s">
        <v>116</v>
      </c>
      <c r="D6343" s="13" t="n">
        <v>44838</v>
      </c>
      <c r="E6343" s="14" t="n">
        <v>3021.01</v>
      </c>
      <c r="F6343" s="14" t="n">
        <v>30550.21</v>
      </c>
      <c r="G6343" s="6" t="s">
        <v>2613</v>
      </c>
    </row>
    <row r="6344" customFormat="false" ht="15" hidden="false" customHeight="true" outlineLevel="0" collapsed="false">
      <c r="A6344" s="6" t="s">
        <v>8956</v>
      </c>
      <c r="B6344" s="6" t="s">
        <v>1397</v>
      </c>
      <c r="C6344" s="6" t="s">
        <v>116</v>
      </c>
      <c r="D6344" s="13" t="n">
        <v>44845</v>
      </c>
      <c r="E6344" s="14" t="n">
        <v>7420.61</v>
      </c>
      <c r="F6344" s="14" t="n">
        <v>37970.82</v>
      </c>
      <c r="G6344" s="6" t="s">
        <v>2613</v>
      </c>
    </row>
    <row r="6345" customFormat="false" ht="15" hidden="false" customHeight="true" outlineLevel="0" collapsed="false">
      <c r="A6345" s="6" t="s">
        <v>8957</v>
      </c>
      <c r="B6345" s="6" t="s">
        <v>1399</v>
      </c>
      <c r="C6345" s="6" t="s">
        <v>116</v>
      </c>
      <c r="D6345" s="13" t="n">
        <v>45302</v>
      </c>
      <c r="E6345" s="14" t="n">
        <v>142.12</v>
      </c>
      <c r="F6345" s="14" t="n">
        <v>142.12</v>
      </c>
      <c r="G6345" s="6" t="s">
        <v>2623</v>
      </c>
    </row>
    <row r="6346" customFormat="false" ht="15" hidden="false" customHeight="true" outlineLevel="0" collapsed="false">
      <c r="A6346" s="6" t="s">
        <v>8958</v>
      </c>
      <c r="B6346" s="6" t="s">
        <v>1399</v>
      </c>
      <c r="C6346" s="6" t="s">
        <v>116</v>
      </c>
      <c r="D6346" s="13" t="n">
        <v>45309</v>
      </c>
      <c r="E6346" s="14" t="n">
        <v>146.74</v>
      </c>
      <c r="F6346" s="14" t="n">
        <v>288.86</v>
      </c>
      <c r="G6346" s="6" t="s">
        <v>2613</v>
      </c>
    </row>
    <row r="6347" customFormat="false" ht="15" hidden="false" customHeight="true" outlineLevel="0" collapsed="false">
      <c r="A6347" s="6" t="s">
        <v>8959</v>
      </c>
      <c r="B6347" s="6" t="s">
        <v>1399</v>
      </c>
      <c r="C6347" s="6" t="s">
        <v>116</v>
      </c>
      <c r="D6347" s="13" t="n">
        <v>45316</v>
      </c>
      <c r="E6347" s="14" t="n">
        <v>133.15</v>
      </c>
      <c r="F6347" s="14" t="n">
        <v>422.01</v>
      </c>
      <c r="G6347" s="6" t="s">
        <v>2613</v>
      </c>
    </row>
    <row r="6348" customFormat="false" ht="15" hidden="false" customHeight="true" outlineLevel="0" collapsed="false">
      <c r="A6348" s="6" t="s">
        <v>8960</v>
      </c>
      <c r="B6348" s="6" t="s">
        <v>1399</v>
      </c>
      <c r="C6348" s="6" t="s">
        <v>116</v>
      </c>
      <c r="D6348" s="13" t="n">
        <v>45323</v>
      </c>
      <c r="E6348" s="14" t="n">
        <v>164.62</v>
      </c>
      <c r="F6348" s="14" t="n">
        <v>586.63</v>
      </c>
      <c r="G6348" s="6" t="s">
        <v>2613</v>
      </c>
    </row>
    <row r="6349" customFormat="false" ht="15" hidden="false" customHeight="true" outlineLevel="0" collapsed="false">
      <c r="A6349" s="6" t="s">
        <v>8961</v>
      </c>
      <c r="B6349" s="6" t="s">
        <v>1399</v>
      </c>
      <c r="C6349" s="6" t="s">
        <v>116</v>
      </c>
      <c r="D6349" s="13" t="n">
        <v>45330</v>
      </c>
      <c r="E6349" s="14" t="n">
        <v>163.31</v>
      </c>
      <c r="F6349" s="14" t="n">
        <v>749.94</v>
      </c>
      <c r="G6349" s="6" t="s">
        <v>2613</v>
      </c>
    </row>
    <row r="6350" customFormat="false" ht="15" hidden="false" customHeight="true" outlineLevel="0" collapsed="false">
      <c r="A6350" s="6" t="s">
        <v>8962</v>
      </c>
      <c r="B6350" s="6" t="s">
        <v>1399</v>
      </c>
      <c r="C6350" s="6" t="s">
        <v>116</v>
      </c>
      <c r="D6350" s="13" t="n">
        <v>45337</v>
      </c>
      <c r="E6350" s="14" t="n">
        <v>166.06</v>
      </c>
      <c r="F6350" s="14" t="n">
        <v>916</v>
      </c>
      <c r="G6350" s="6" t="s">
        <v>2623</v>
      </c>
    </row>
    <row r="6351" customFormat="false" ht="15" hidden="false" customHeight="true" outlineLevel="0" collapsed="false">
      <c r="A6351" s="6" t="s">
        <v>8963</v>
      </c>
      <c r="B6351" s="6" t="s">
        <v>1399</v>
      </c>
      <c r="C6351" s="6" t="s">
        <v>116</v>
      </c>
      <c r="D6351" s="13" t="n">
        <v>45344</v>
      </c>
      <c r="E6351" s="14" t="n">
        <v>99.51</v>
      </c>
      <c r="F6351" s="14" t="n">
        <v>1015.51</v>
      </c>
      <c r="G6351" s="6" t="s">
        <v>2613</v>
      </c>
    </row>
    <row r="6352" customFormat="false" ht="15" hidden="false" customHeight="true" outlineLevel="0" collapsed="false">
      <c r="A6352" s="6" t="s">
        <v>8964</v>
      </c>
      <c r="B6352" s="6" t="s">
        <v>1399</v>
      </c>
      <c r="C6352" s="6" t="s">
        <v>116</v>
      </c>
      <c r="D6352" s="13" t="n">
        <v>45351</v>
      </c>
      <c r="E6352" s="14" t="n">
        <v>202.93</v>
      </c>
      <c r="F6352" s="14" t="n">
        <v>1218.44</v>
      </c>
      <c r="G6352" s="6" t="s">
        <v>2613</v>
      </c>
    </row>
    <row r="6353" customFormat="false" ht="15" hidden="false" customHeight="true" outlineLevel="0" collapsed="false">
      <c r="A6353" s="6" t="s">
        <v>8965</v>
      </c>
      <c r="B6353" s="6" t="s">
        <v>1399</v>
      </c>
      <c r="C6353" s="6" t="s">
        <v>116</v>
      </c>
      <c r="D6353" s="13" t="n">
        <v>45358</v>
      </c>
      <c r="E6353" s="14" t="n">
        <v>179.17</v>
      </c>
      <c r="F6353" s="14" t="n">
        <v>1397.61</v>
      </c>
      <c r="G6353" s="6" t="s">
        <v>2613</v>
      </c>
    </row>
    <row r="6354" customFormat="false" ht="15" hidden="false" customHeight="true" outlineLevel="0" collapsed="false">
      <c r="A6354" s="6" t="s">
        <v>8966</v>
      </c>
      <c r="B6354" s="6" t="s">
        <v>1399</v>
      </c>
      <c r="C6354" s="6" t="s">
        <v>116</v>
      </c>
      <c r="D6354" s="13" t="n">
        <v>45365</v>
      </c>
      <c r="E6354" s="14" t="n">
        <v>122.85</v>
      </c>
      <c r="F6354" s="14" t="n">
        <v>1520.46</v>
      </c>
      <c r="G6354" s="6" t="s">
        <v>2623</v>
      </c>
    </row>
    <row r="6355" customFormat="false" ht="15" hidden="false" customHeight="true" outlineLevel="0" collapsed="false">
      <c r="A6355" s="6" t="s">
        <v>8967</v>
      </c>
      <c r="B6355" s="6" t="s">
        <v>1399</v>
      </c>
      <c r="C6355" s="6" t="s">
        <v>116</v>
      </c>
      <c r="D6355" s="13" t="n">
        <v>45372</v>
      </c>
      <c r="E6355" s="14" t="n">
        <v>123.46</v>
      </c>
      <c r="F6355" s="14" t="n">
        <v>1643.92</v>
      </c>
      <c r="G6355" s="6" t="s">
        <v>2613</v>
      </c>
    </row>
    <row r="6356" customFormat="false" ht="15" hidden="false" customHeight="true" outlineLevel="0" collapsed="false">
      <c r="A6356" s="6" t="s">
        <v>8968</v>
      </c>
      <c r="B6356" s="6" t="s">
        <v>1399</v>
      </c>
      <c r="C6356" s="6" t="s">
        <v>116</v>
      </c>
      <c r="D6356" s="13" t="n">
        <v>45379</v>
      </c>
      <c r="E6356" s="14" t="n">
        <v>170.88</v>
      </c>
      <c r="F6356" s="14" t="n">
        <v>1814.8</v>
      </c>
      <c r="G6356" s="6" t="s">
        <v>2613</v>
      </c>
    </row>
    <row r="6357" customFormat="false" ht="15" hidden="false" customHeight="true" outlineLevel="0" collapsed="false">
      <c r="A6357" s="6" t="s">
        <v>8969</v>
      </c>
      <c r="B6357" s="6" t="s">
        <v>1399</v>
      </c>
      <c r="C6357" s="6" t="s">
        <v>116</v>
      </c>
      <c r="D6357" s="13" t="n">
        <v>45386</v>
      </c>
      <c r="E6357" s="14" t="n">
        <v>133.04</v>
      </c>
      <c r="F6357" s="14" t="n">
        <v>1947.84</v>
      </c>
      <c r="G6357" s="6" t="s">
        <v>2613</v>
      </c>
    </row>
    <row r="6358" customFormat="false" ht="15" hidden="false" customHeight="true" outlineLevel="0" collapsed="false">
      <c r="A6358" s="6" t="s">
        <v>8970</v>
      </c>
      <c r="B6358" s="6" t="s">
        <v>1399</v>
      </c>
      <c r="C6358" s="6" t="s">
        <v>116</v>
      </c>
      <c r="D6358" s="13" t="n">
        <v>45393</v>
      </c>
      <c r="E6358" s="14" t="n">
        <v>108.32</v>
      </c>
      <c r="F6358" s="14" t="n">
        <v>2056.16</v>
      </c>
      <c r="G6358" s="6" t="s">
        <v>2613</v>
      </c>
    </row>
    <row r="6359" customFormat="false" ht="15" hidden="false" customHeight="true" outlineLevel="0" collapsed="false">
      <c r="A6359" s="6" t="s">
        <v>8971</v>
      </c>
      <c r="B6359" s="6" t="s">
        <v>1399</v>
      </c>
      <c r="C6359" s="6" t="s">
        <v>116</v>
      </c>
      <c r="D6359" s="13" t="n">
        <v>45400</v>
      </c>
      <c r="E6359" s="14" t="n">
        <v>176.29</v>
      </c>
      <c r="F6359" s="14" t="n">
        <v>2232.45</v>
      </c>
      <c r="G6359" s="6" t="s">
        <v>2613</v>
      </c>
    </row>
    <row r="6360" customFormat="false" ht="15" hidden="false" customHeight="true" outlineLevel="0" collapsed="false">
      <c r="A6360" s="6" t="s">
        <v>8972</v>
      </c>
      <c r="B6360" s="6" t="s">
        <v>1399</v>
      </c>
      <c r="C6360" s="6" t="s">
        <v>116</v>
      </c>
      <c r="D6360" s="13" t="n">
        <v>45407</v>
      </c>
      <c r="E6360" s="14" t="n">
        <v>135.33</v>
      </c>
      <c r="F6360" s="14" t="n">
        <v>2367.78</v>
      </c>
      <c r="G6360" s="6" t="s">
        <v>2613</v>
      </c>
    </row>
    <row r="6361" customFormat="false" ht="15" hidden="false" customHeight="true" outlineLevel="0" collapsed="false">
      <c r="A6361" s="6" t="s">
        <v>8973</v>
      </c>
      <c r="B6361" s="6" t="s">
        <v>1399</v>
      </c>
      <c r="C6361" s="6" t="s">
        <v>116</v>
      </c>
      <c r="D6361" s="13" t="n">
        <v>45414</v>
      </c>
      <c r="E6361" s="14" t="n">
        <v>140.97</v>
      </c>
      <c r="F6361" s="14" t="n">
        <v>2508.75</v>
      </c>
      <c r="G6361" s="6" t="s">
        <v>2613</v>
      </c>
    </row>
    <row r="6362" customFormat="false" ht="15" hidden="false" customHeight="true" outlineLevel="0" collapsed="false">
      <c r="A6362" s="6" t="s">
        <v>8974</v>
      </c>
      <c r="B6362" s="6" t="s">
        <v>1399</v>
      </c>
      <c r="C6362" s="6" t="s">
        <v>116</v>
      </c>
      <c r="D6362" s="13" t="n">
        <v>45421</v>
      </c>
      <c r="E6362" s="14" t="n">
        <v>185.93</v>
      </c>
      <c r="F6362" s="14" t="n">
        <v>2694.68</v>
      </c>
      <c r="G6362" s="6" t="s">
        <v>2613</v>
      </c>
    </row>
    <row r="6363" customFormat="false" ht="15" hidden="false" customHeight="true" outlineLevel="0" collapsed="false">
      <c r="A6363" s="6" t="s">
        <v>8975</v>
      </c>
      <c r="B6363" s="6" t="s">
        <v>1399</v>
      </c>
      <c r="C6363" s="6" t="s">
        <v>116</v>
      </c>
      <c r="D6363" s="13" t="n">
        <v>45428</v>
      </c>
      <c r="E6363" s="14" t="n">
        <v>140.71</v>
      </c>
      <c r="F6363" s="14" t="n">
        <v>2835.39</v>
      </c>
      <c r="G6363" s="6" t="s">
        <v>2613</v>
      </c>
    </row>
    <row r="6364" customFormat="false" ht="15" hidden="false" customHeight="true" outlineLevel="0" collapsed="false">
      <c r="A6364" s="6" t="s">
        <v>8976</v>
      </c>
      <c r="B6364" s="6" t="s">
        <v>1399</v>
      </c>
      <c r="C6364" s="6" t="s">
        <v>116</v>
      </c>
      <c r="D6364" s="13" t="n">
        <v>45435</v>
      </c>
      <c r="E6364" s="14" t="n">
        <v>104.02</v>
      </c>
      <c r="F6364" s="14" t="n">
        <v>2939.41</v>
      </c>
      <c r="G6364" s="6" t="s">
        <v>2613</v>
      </c>
    </row>
    <row r="6365" customFormat="false" ht="15" hidden="false" customHeight="true" outlineLevel="0" collapsed="false">
      <c r="A6365" s="6" t="s">
        <v>8977</v>
      </c>
      <c r="B6365" s="6" t="s">
        <v>1399</v>
      </c>
      <c r="C6365" s="6" t="s">
        <v>116</v>
      </c>
      <c r="D6365" s="13" t="n">
        <v>45442</v>
      </c>
      <c r="E6365" s="14" t="n">
        <v>192.8</v>
      </c>
      <c r="F6365" s="14" t="n">
        <v>3132.21</v>
      </c>
      <c r="G6365" s="6" t="s">
        <v>2613</v>
      </c>
    </row>
    <row r="6366" customFormat="false" ht="15" hidden="false" customHeight="true" outlineLevel="0" collapsed="false">
      <c r="A6366" s="6" t="s">
        <v>8978</v>
      </c>
      <c r="B6366" s="6" t="s">
        <v>1399</v>
      </c>
      <c r="C6366" s="6" t="s">
        <v>116</v>
      </c>
      <c r="D6366" s="13" t="n">
        <v>45449</v>
      </c>
      <c r="E6366" s="14" t="n">
        <v>104.92</v>
      </c>
      <c r="F6366" s="14" t="n">
        <v>3237.13</v>
      </c>
      <c r="G6366" s="6" t="s">
        <v>2613</v>
      </c>
    </row>
    <row r="6367" customFormat="false" ht="15" hidden="false" customHeight="true" outlineLevel="0" collapsed="false">
      <c r="A6367" s="6" t="s">
        <v>8979</v>
      </c>
      <c r="B6367" s="6" t="s">
        <v>1399</v>
      </c>
      <c r="C6367" s="6" t="s">
        <v>116</v>
      </c>
      <c r="D6367" s="13" t="n">
        <v>45456</v>
      </c>
      <c r="E6367" s="14" t="n">
        <v>188.96</v>
      </c>
      <c r="F6367" s="14" t="n">
        <v>3426.09</v>
      </c>
      <c r="G6367" s="6" t="s">
        <v>2613</v>
      </c>
    </row>
    <row r="6368" customFormat="false" ht="15" hidden="false" customHeight="true" outlineLevel="0" collapsed="false">
      <c r="A6368" s="6" t="s">
        <v>8980</v>
      </c>
      <c r="B6368" s="6" t="s">
        <v>1399</v>
      </c>
      <c r="C6368" s="6" t="s">
        <v>116</v>
      </c>
      <c r="D6368" s="13" t="n">
        <v>45463</v>
      </c>
      <c r="E6368" s="14" t="n">
        <v>95.57</v>
      </c>
      <c r="F6368" s="14" t="n">
        <v>3521.66</v>
      </c>
      <c r="G6368" s="6" t="s">
        <v>2613</v>
      </c>
    </row>
    <row r="6369" customFormat="false" ht="15" hidden="false" customHeight="true" outlineLevel="0" collapsed="false">
      <c r="A6369" s="6" t="s">
        <v>8981</v>
      </c>
      <c r="B6369" s="6" t="s">
        <v>1401</v>
      </c>
      <c r="C6369" s="6" t="s">
        <v>116</v>
      </c>
      <c r="D6369" s="13" t="n">
        <v>45601</v>
      </c>
      <c r="E6369" s="14" t="n">
        <v>5294.4</v>
      </c>
      <c r="F6369" s="14" t="n">
        <v>5294.4</v>
      </c>
      <c r="G6369" s="6" t="s">
        <v>2613</v>
      </c>
    </row>
    <row r="6370" customFormat="false" ht="15" hidden="false" customHeight="true" outlineLevel="0" collapsed="false">
      <c r="A6370" s="6" t="s">
        <v>8982</v>
      </c>
      <c r="B6370" s="6" t="s">
        <v>1401</v>
      </c>
      <c r="C6370" s="6" t="s">
        <v>116</v>
      </c>
      <c r="D6370" s="13" t="n">
        <v>45608</v>
      </c>
      <c r="E6370" s="14" t="n">
        <v>3571.95</v>
      </c>
      <c r="F6370" s="14" t="n">
        <v>8866.35</v>
      </c>
      <c r="G6370" s="6" t="s">
        <v>2613</v>
      </c>
    </row>
    <row r="6371" customFormat="false" ht="15" hidden="false" customHeight="true" outlineLevel="0" collapsed="false">
      <c r="A6371" s="6" t="s">
        <v>8983</v>
      </c>
      <c r="B6371" s="6" t="s">
        <v>1401</v>
      </c>
      <c r="C6371" s="6" t="s">
        <v>116</v>
      </c>
      <c r="D6371" s="13" t="n">
        <v>45615</v>
      </c>
      <c r="E6371" s="14" t="n">
        <v>7638.83</v>
      </c>
      <c r="F6371" s="14" t="n">
        <v>16505.18</v>
      </c>
      <c r="G6371" s="6" t="s">
        <v>2613</v>
      </c>
    </row>
    <row r="6372" customFormat="false" ht="15" hidden="false" customHeight="true" outlineLevel="0" collapsed="false">
      <c r="A6372" s="6" t="s">
        <v>8984</v>
      </c>
      <c r="B6372" s="6" t="s">
        <v>1401</v>
      </c>
      <c r="C6372" s="6" t="s">
        <v>116</v>
      </c>
      <c r="D6372" s="13" t="n">
        <v>45622</v>
      </c>
      <c r="E6372" s="14" t="n">
        <v>5234.64</v>
      </c>
      <c r="F6372" s="14" t="n">
        <v>21739.82</v>
      </c>
      <c r="G6372" s="6" t="s">
        <v>2613</v>
      </c>
    </row>
    <row r="6373" customFormat="false" ht="15" hidden="false" customHeight="true" outlineLevel="0" collapsed="false">
      <c r="A6373" s="6" t="s">
        <v>8985</v>
      </c>
      <c r="B6373" s="6" t="s">
        <v>1401</v>
      </c>
      <c r="C6373" s="6" t="s">
        <v>116</v>
      </c>
      <c r="D6373" s="13" t="n">
        <v>45629</v>
      </c>
      <c r="E6373" s="14" t="n">
        <v>4241.08</v>
      </c>
      <c r="F6373" s="14" t="n">
        <v>25980.9</v>
      </c>
      <c r="G6373" s="6" t="s">
        <v>2613</v>
      </c>
    </row>
    <row r="6374" customFormat="false" ht="15" hidden="false" customHeight="true" outlineLevel="0" collapsed="false">
      <c r="A6374" s="6" t="s">
        <v>8986</v>
      </c>
      <c r="B6374" s="6" t="s">
        <v>1401</v>
      </c>
      <c r="C6374" s="6" t="s">
        <v>116</v>
      </c>
      <c r="D6374" s="13" t="n">
        <v>45636</v>
      </c>
      <c r="E6374" s="14" t="n">
        <v>7005.43</v>
      </c>
      <c r="F6374" s="14" t="n">
        <v>32986.33</v>
      </c>
      <c r="G6374" s="6" t="s">
        <v>2613</v>
      </c>
    </row>
    <row r="6375" customFormat="false" ht="15" hidden="false" customHeight="true" outlineLevel="0" collapsed="false">
      <c r="A6375" s="6" t="s">
        <v>8987</v>
      </c>
      <c r="B6375" s="6" t="s">
        <v>1401</v>
      </c>
      <c r="C6375" s="6" t="s">
        <v>116</v>
      </c>
      <c r="D6375" s="13" t="n">
        <v>45643</v>
      </c>
      <c r="E6375" s="14" t="n">
        <v>4622.65</v>
      </c>
      <c r="F6375" s="14" t="n">
        <v>37608.98</v>
      </c>
      <c r="G6375" s="6" t="s">
        <v>2613</v>
      </c>
    </row>
    <row r="6376" customFormat="false" ht="15" hidden="false" customHeight="true" outlineLevel="0" collapsed="false">
      <c r="A6376" s="6" t="s">
        <v>8988</v>
      </c>
      <c r="B6376" s="6" t="s">
        <v>1401</v>
      </c>
      <c r="C6376" s="6" t="s">
        <v>116</v>
      </c>
      <c r="D6376" s="13" t="n">
        <v>45650</v>
      </c>
      <c r="E6376" s="14" t="n">
        <v>8173.01</v>
      </c>
      <c r="F6376" s="14" t="n">
        <v>45781.99</v>
      </c>
      <c r="G6376" s="6" t="s">
        <v>2623</v>
      </c>
    </row>
    <row r="6377" customFormat="false" ht="15" hidden="false" customHeight="true" outlineLevel="0" collapsed="false">
      <c r="A6377" s="6" t="s">
        <v>8989</v>
      </c>
      <c r="B6377" s="6" t="s">
        <v>1403</v>
      </c>
      <c r="C6377" s="6" t="s">
        <v>128</v>
      </c>
      <c r="D6377" s="13" t="n">
        <v>45212</v>
      </c>
      <c r="E6377" s="14" t="n">
        <v>3515.04</v>
      </c>
      <c r="F6377" s="14" t="n">
        <v>3515.04</v>
      </c>
      <c r="G6377" s="6" t="s">
        <v>2613</v>
      </c>
    </row>
    <row r="6378" customFormat="false" ht="15" hidden="false" customHeight="true" outlineLevel="0" collapsed="false">
      <c r="A6378" s="6" t="s">
        <v>8990</v>
      </c>
      <c r="B6378" s="6" t="s">
        <v>1403</v>
      </c>
      <c r="C6378" s="6" t="s">
        <v>128</v>
      </c>
      <c r="D6378" s="13" t="n">
        <v>45219</v>
      </c>
      <c r="E6378" s="14" t="n">
        <v>4876.47</v>
      </c>
      <c r="F6378" s="14" t="n">
        <v>8391.51</v>
      </c>
      <c r="G6378" s="6" t="s">
        <v>2613</v>
      </c>
    </row>
    <row r="6379" customFormat="false" ht="15" hidden="false" customHeight="true" outlineLevel="0" collapsed="false">
      <c r="A6379" s="6" t="s">
        <v>8991</v>
      </c>
      <c r="B6379" s="6" t="s">
        <v>1403</v>
      </c>
      <c r="C6379" s="6" t="s">
        <v>128</v>
      </c>
      <c r="D6379" s="13" t="n">
        <v>45226</v>
      </c>
      <c r="E6379" s="14" t="n">
        <v>5352.36</v>
      </c>
      <c r="F6379" s="14" t="n">
        <v>13743.87</v>
      </c>
      <c r="G6379" s="6" t="s">
        <v>2613</v>
      </c>
    </row>
    <row r="6380" customFormat="false" ht="15" hidden="false" customHeight="true" outlineLevel="0" collapsed="false">
      <c r="A6380" s="6" t="s">
        <v>8992</v>
      </c>
      <c r="B6380" s="6" t="s">
        <v>1403</v>
      </c>
      <c r="C6380" s="6" t="s">
        <v>128</v>
      </c>
      <c r="D6380" s="13" t="n">
        <v>45233</v>
      </c>
      <c r="E6380" s="14" t="n">
        <v>3571.88</v>
      </c>
      <c r="F6380" s="14" t="n">
        <v>17315.75</v>
      </c>
      <c r="G6380" s="6" t="s">
        <v>2613</v>
      </c>
    </row>
    <row r="6381" customFormat="false" ht="15" hidden="false" customHeight="true" outlineLevel="0" collapsed="false">
      <c r="A6381" s="6" t="s">
        <v>8993</v>
      </c>
      <c r="B6381" s="6" t="s">
        <v>1403</v>
      </c>
      <c r="C6381" s="6" t="s">
        <v>128</v>
      </c>
      <c r="D6381" s="13" t="n">
        <v>45240</v>
      </c>
      <c r="E6381" s="14" t="n">
        <v>3891.13</v>
      </c>
      <c r="F6381" s="14" t="n">
        <v>21206.88</v>
      </c>
      <c r="G6381" s="6" t="s">
        <v>2623</v>
      </c>
    </row>
    <row r="6382" customFormat="false" ht="15" hidden="false" customHeight="true" outlineLevel="0" collapsed="false">
      <c r="A6382" s="6" t="s">
        <v>8994</v>
      </c>
      <c r="B6382" s="6" t="s">
        <v>1403</v>
      </c>
      <c r="C6382" s="6" t="s">
        <v>128</v>
      </c>
      <c r="D6382" s="13" t="n">
        <v>45247</v>
      </c>
      <c r="E6382" s="14" t="n">
        <v>4770.59</v>
      </c>
      <c r="F6382" s="14" t="n">
        <v>25977.47</v>
      </c>
      <c r="G6382" s="6" t="s">
        <v>2623</v>
      </c>
    </row>
    <row r="6383" customFormat="false" ht="15" hidden="false" customHeight="true" outlineLevel="0" collapsed="false">
      <c r="A6383" s="6" t="s">
        <v>8995</v>
      </c>
      <c r="B6383" s="6" t="s">
        <v>1403</v>
      </c>
      <c r="C6383" s="6" t="s">
        <v>128</v>
      </c>
      <c r="D6383" s="13" t="n">
        <v>45254</v>
      </c>
      <c r="E6383" s="14" t="n">
        <v>5186.19</v>
      </c>
      <c r="F6383" s="14" t="n">
        <v>31163.66</v>
      </c>
      <c r="G6383" s="6" t="s">
        <v>2613</v>
      </c>
    </row>
    <row r="6384" customFormat="false" ht="15" hidden="false" customHeight="true" outlineLevel="0" collapsed="false">
      <c r="A6384" s="6" t="s">
        <v>8996</v>
      </c>
      <c r="B6384" s="6" t="s">
        <v>1403</v>
      </c>
      <c r="C6384" s="6" t="s">
        <v>128</v>
      </c>
      <c r="D6384" s="13" t="n">
        <v>45261</v>
      </c>
      <c r="E6384" s="14" t="n">
        <v>2942.66</v>
      </c>
      <c r="F6384" s="14" t="n">
        <v>34106.32</v>
      </c>
      <c r="G6384" s="6" t="s">
        <v>2613</v>
      </c>
    </row>
    <row r="6385" customFormat="false" ht="15" hidden="false" customHeight="true" outlineLevel="0" collapsed="false">
      <c r="A6385" s="6" t="s">
        <v>8997</v>
      </c>
      <c r="B6385" s="6" t="s">
        <v>1403</v>
      </c>
      <c r="C6385" s="6" t="s">
        <v>128</v>
      </c>
      <c r="D6385" s="13" t="n">
        <v>45268</v>
      </c>
      <c r="E6385" s="14" t="n">
        <v>3148.96</v>
      </c>
      <c r="F6385" s="14" t="n">
        <v>37255.28</v>
      </c>
      <c r="G6385" s="6" t="s">
        <v>2613</v>
      </c>
    </row>
    <row r="6386" customFormat="false" ht="15" hidden="false" customHeight="true" outlineLevel="0" collapsed="false">
      <c r="A6386" s="6" t="s">
        <v>8998</v>
      </c>
      <c r="B6386" s="6" t="s">
        <v>1403</v>
      </c>
      <c r="C6386" s="6" t="s">
        <v>128</v>
      </c>
      <c r="D6386" s="13" t="n">
        <v>45275</v>
      </c>
      <c r="E6386" s="14" t="n">
        <v>3744.27</v>
      </c>
      <c r="F6386" s="14" t="n">
        <v>40999.55</v>
      </c>
      <c r="G6386" s="6" t="s">
        <v>2613</v>
      </c>
    </row>
    <row r="6387" customFormat="false" ht="15" hidden="false" customHeight="true" outlineLevel="0" collapsed="false">
      <c r="A6387" s="6" t="s">
        <v>8999</v>
      </c>
      <c r="B6387" s="6" t="s">
        <v>1405</v>
      </c>
      <c r="C6387" s="6" t="s">
        <v>124</v>
      </c>
      <c r="D6387" s="13" t="n">
        <v>45328</v>
      </c>
      <c r="E6387" s="14" t="n">
        <v>820.43</v>
      </c>
      <c r="F6387" s="14" t="n">
        <v>820.43</v>
      </c>
      <c r="G6387" s="6" t="s">
        <v>2613</v>
      </c>
    </row>
    <row r="6388" customFormat="false" ht="15" hidden="false" customHeight="true" outlineLevel="0" collapsed="false">
      <c r="A6388" s="6" t="s">
        <v>9000</v>
      </c>
      <c r="B6388" s="6" t="s">
        <v>1405</v>
      </c>
      <c r="C6388" s="6" t="s">
        <v>124</v>
      </c>
      <c r="D6388" s="13" t="n">
        <v>45335</v>
      </c>
      <c r="E6388" s="14" t="n">
        <v>518</v>
      </c>
      <c r="F6388" s="14" t="n">
        <v>1338.43</v>
      </c>
      <c r="G6388" s="6" t="s">
        <v>2613</v>
      </c>
    </row>
    <row r="6389" customFormat="false" ht="15" hidden="false" customHeight="true" outlineLevel="0" collapsed="false">
      <c r="A6389" s="6" t="s">
        <v>9001</v>
      </c>
      <c r="B6389" s="6" t="s">
        <v>1405</v>
      </c>
      <c r="C6389" s="6" t="s">
        <v>124</v>
      </c>
      <c r="D6389" s="13" t="n">
        <v>45342</v>
      </c>
      <c r="E6389" s="14" t="n">
        <v>924.86</v>
      </c>
      <c r="F6389" s="14" t="n">
        <v>2263.29</v>
      </c>
      <c r="G6389" s="6" t="s">
        <v>2613</v>
      </c>
    </row>
    <row r="6390" customFormat="false" ht="15" hidden="false" customHeight="true" outlineLevel="0" collapsed="false">
      <c r="A6390" s="6" t="s">
        <v>9002</v>
      </c>
      <c r="B6390" s="6" t="s">
        <v>1405</v>
      </c>
      <c r="C6390" s="6" t="s">
        <v>124</v>
      </c>
      <c r="D6390" s="13" t="n">
        <v>45349</v>
      </c>
      <c r="E6390" s="14" t="n">
        <v>987.51</v>
      </c>
      <c r="F6390" s="14" t="n">
        <v>3250.8</v>
      </c>
      <c r="G6390" s="6" t="s">
        <v>2613</v>
      </c>
    </row>
    <row r="6391" customFormat="false" ht="15" hidden="false" customHeight="true" outlineLevel="0" collapsed="false">
      <c r="A6391" s="6" t="s">
        <v>9003</v>
      </c>
      <c r="B6391" s="6" t="s">
        <v>1405</v>
      </c>
      <c r="C6391" s="6" t="s">
        <v>124</v>
      </c>
      <c r="D6391" s="13" t="n">
        <v>45356</v>
      </c>
      <c r="E6391" s="14" t="n">
        <v>628.26</v>
      </c>
      <c r="F6391" s="14" t="n">
        <v>3879.06</v>
      </c>
      <c r="G6391" s="6" t="s">
        <v>2613</v>
      </c>
    </row>
    <row r="6392" customFormat="false" ht="15" hidden="false" customHeight="true" outlineLevel="0" collapsed="false">
      <c r="A6392" s="6" t="s">
        <v>9004</v>
      </c>
      <c r="B6392" s="6" t="s">
        <v>1405</v>
      </c>
      <c r="C6392" s="6" t="s">
        <v>124</v>
      </c>
      <c r="D6392" s="13" t="n">
        <v>45363</v>
      </c>
      <c r="E6392" s="14" t="n">
        <v>656.24</v>
      </c>
      <c r="F6392" s="14" t="n">
        <v>4535.3</v>
      </c>
      <c r="G6392" s="6" t="s">
        <v>2613</v>
      </c>
    </row>
    <row r="6393" customFormat="false" ht="15" hidden="false" customHeight="true" outlineLevel="0" collapsed="false">
      <c r="A6393" s="6" t="s">
        <v>9005</v>
      </c>
      <c r="B6393" s="6" t="s">
        <v>1407</v>
      </c>
      <c r="C6393" s="6" t="s">
        <v>128</v>
      </c>
      <c r="D6393" s="13" t="n">
        <v>44938</v>
      </c>
      <c r="E6393" s="14" t="n">
        <v>1754.63</v>
      </c>
      <c r="F6393" s="14" t="n">
        <v>1754.63</v>
      </c>
      <c r="G6393" s="6" t="s">
        <v>2613</v>
      </c>
    </row>
    <row r="6394" customFormat="false" ht="15" hidden="false" customHeight="true" outlineLevel="0" collapsed="false">
      <c r="A6394" s="6" t="s">
        <v>9006</v>
      </c>
      <c r="B6394" s="6" t="s">
        <v>1407</v>
      </c>
      <c r="C6394" s="6" t="s">
        <v>128</v>
      </c>
      <c r="D6394" s="13" t="n">
        <v>44945</v>
      </c>
      <c r="E6394" s="14" t="n">
        <v>773.03</v>
      </c>
      <c r="F6394" s="14" t="n">
        <v>2527.66</v>
      </c>
      <c r="G6394" s="6" t="s">
        <v>2613</v>
      </c>
    </row>
    <row r="6395" customFormat="false" ht="15" hidden="false" customHeight="true" outlineLevel="0" collapsed="false">
      <c r="A6395" s="6" t="s">
        <v>9007</v>
      </c>
      <c r="B6395" s="6" t="s">
        <v>1407</v>
      </c>
      <c r="C6395" s="6" t="s">
        <v>128</v>
      </c>
      <c r="D6395" s="13" t="n">
        <v>44952</v>
      </c>
      <c r="E6395" s="14" t="n">
        <v>1660.05</v>
      </c>
      <c r="F6395" s="14" t="n">
        <v>4187.71</v>
      </c>
      <c r="G6395" s="6" t="s">
        <v>2613</v>
      </c>
    </row>
    <row r="6396" customFormat="false" ht="15" hidden="false" customHeight="true" outlineLevel="0" collapsed="false">
      <c r="A6396" s="6" t="s">
        <v>9008</v>
      </c>
      <c r="B6396" s="6" t="s">
        <v>1407</v>
      </c>
      <c r="C6396" s="6" t="s">
        <v>128</v>
      </c>
      <c r="D6396" s="13" t="n">
        <v>44959</v>
      </c>
      <c r="E6396" s="14" t="n">
        <v>1161.21</v>
      </c>
      <c r="F6396" s="14" t="n">
        <v>5348.92</v>
      </c>
      <c r="G6396" s="6" t="s">
        <v>2613</v>
      </c>
    </row>
    <row r="6397" customFormat="false" ht="15" hidden="false" customHeight="true" outlineLevel="0" collapsed="false">
      <c r="A6397" s="6" t="s">
        <v>9009</v>
      </c>
      <c r="B6397" s="6" t="s">
        <v>1407</v>
      </c>
      <c r="C6397" s="6" t="s">
        <v>128</v>
      </c>
      <c r="D6397" s="13" t="n">
        <v>44966</v>
      </c>
      <c r="E6397" s="14" t="n">
        <v>837.3</v>
      </c>
      <c r="F6397" s="14" t="n">
        <v>6186.22</v>
      </c>
      <c r="G6397" s="6" t="s">
        <v>2613</v>
      </c>
    </row>
    <row r="6398" customFormat="false" ht="15" hidden="false" customHeight="true" outlineLevel="0" collapsed="false">
      <c r="A6398" s="6" t="s">
        <v>9010</v>
      </c>
      <c r="B6398" s="6" t="s">
        <v>1407</v>
      </c>
      <c r="C6398" s="6" t="s">
        <v>128</v>
      </c>
      <c r="D6398" s="13" t="n">
        <v>44973</v>
      </c>
      <c r="E6398" s="14" t="n">
        <v>784.52</v>
      </c>
      <c r="F6398" s="14" t="n">
        <v>6970.74</v>
      </c>
      <c r="G6398" s="6" t="s">
        <v>2623</v>
      </c>
    </row>
    <row r="6399" customFormat="false" ht="15" hidden="false" customHeight="true" outlineLevel="0" collapsed="false">
      <c r="A6399" s="6" t="s">
        <v>9011</v>
      </c>
      <c r="B6399" s="6" t="s">
        <v>1407</v>
      </c>
      <c r="C6399" s="6" t="s">
        <v>128</v>
      </c>
      <c r="D6399" s="13" t="n">
        <v>44980</v>
      </c>
      <c r="E6399" s="14" t="n">
        <v>1229.04</v>
      </c>
      <c r="F6399" s="14" t="n">
        <v>8199.78</v>
      </c>
      <c r="G6399" s="6" t="s">
        <v>2613</v>
      </c>
    </row>
    <row r="6400" customFormat="false" ht="15" hidden="false" customHeight="true" outlineLevel="0" collapsed="false">
      <c r="A6400" s="6" t="s">
        <v>9012</v>
      </c>
      <c r="B6400" s="6" t="s">
        <v>1407</v>
      </c>
      <c r="C6400" s="6" t="s">
        <v>128</v>
      </c>
      <c r="D6400" s="13" t="n">
        <v>44987</v>
      </c>
      <c r="E6400" s="14" t="n">
        <v>778.5</v>
      </c>
      <c r="F6400" s="14" t="n">
        <v>8978.28</v>
      </c>
      <c r="G6400" s="6" t="s">
        <v>2613</v>
      </c>
    </row>
    <row r="6401" customFormat="false" ht="15" hidden="false" customHeight="true" outlineLevel="0" collapsed="false">
      <c r="A6401" s="6" t="s">
        <v>9013</v>
      </c>
      <c r="B6401" s="6" t="s">
        <v>1407</v>
      </c>
      <c r="C6401" s="6" t="s">
        <v>128</v>
      </c>
      <c r="D6401" s="13" t="n">
        <v>44994</v>
      </c>
      <c r="E6401" s="14" t="n">
        <v>1768.64</v>
      </c>
      <c r="F6401" s="14" t="n">
        <v>10746.92</v>
      </c>
      <c r="G6401" s="6" t="s">
        <v>2613</v>
      </c>
    </row>
    <row r="6402" customFormat="false" ht="15" hidden="false" customHeight="true" outlineLevel="0" collapsed="false">
      <c r="A6402" s="6" t="s">
        <v>9014</v>
      </c>
      <c r="B6402" s="6" t="s">
        <v>1407</v>
      </c>
      <c r="C6402" s="6" t="s">
        <v>128</v>
      </c>
      <c r="D6402" s="13" t="n">
        <v>45001</v>
      </c>
      <c r="E6402" s="14" t="n">
        <v>1902.2</v>
      </c>
      <c r="F6402" s="14" t="n">
        <v>12649.12</v>
      </c>
      <c r="G6402" s="6" t="s">
        <v>2613</v>
      </c>
    </row>
    <row r="6403" customFormat="false" ht="15" hidden="false" customHeight="true" outlineLevel="0" collapsed="false">
      <c r="A6403" s="6" t="s">
        <v>9015</v>
      </c>
      <c r="B6403" s="6" t="s">
        <v>1409</v>
      </c>
      <c r="C6403" s="6" t="s">
        <v>112</v>
      </c>
      <c r="D6403" s="13" t="n">
        <v>45751</v>
      </c>
      <c r="E6403" s="14" t="n">
        <v>4474.23</v>
      </c>
      <c r="F6403" s="14" t="n">
        <v>4474.23</v>
      </c>
      <c r="G6403" s="6" t="s">
        <v>2613</v>
      </c>
    </row>
    <row r="6404" customFormat="false" ht="15" hidden="false" customHeight="true" outlineLevel="0" collapsed="false">
      <c r="A6404" s="6" t="s">
        <v>9016</v>
      </c>
      <c r="B6404" s="6" t="s">
        <v>1409</v>
      </c>
      <c r="C6404" s="6" t="s">
        <v>112</v>
      </c>
      <c r="D6404" s="13" t="n">
        <v>45758</v>
      </c>
      <c r="E6404" s="14" t="n">
        <v>2953.37</v>
      </c>
      <c r="F6404" s="14" t="n">
        <v>7427.6</v>
      </c>
      <c r="G6404" s="6" t="s">
        <v>2613</v>
      </c>
    </row>
    <row r="6405" customFormat="false" ht="15" hidden="false" customHeight="true" outlineLevel="0" collapsed="false">
      <c r="A6405" s="6" t="s">
        <v>9017</v>
      </c>
      <c r="B6405" s="6" t="s">
        <v>1409</v>
      </c>
      <c r="C6405" s="6" t="s">
        <v>112</v>
      </c>
      <c r="D6405" s="13" t="n">
        <v>45765</v>
      </c>
      <c r="E6405" s="14" t="n">
        <v>4963.9</v>
      </c>
      <c r="F6405" s="14" t="n">
        <v>12391.5</v>
      </c>
      <c r="G6405" s="6" t="s">
        <v>2613</v>
      </c>
    </row>
    <row r="6406" customFormat="false" ht="15" hidden="false" customHeight="true" outlineLevel="0" collapsed="false">
      <c r="A6406" s="6" t="s">
        <v>9018</v>
      </c>
      <c r="B6406" s="6" t="s">
        <v>1409</v>
      </c>
      <c r="C6406" s="6" t="s">
        <v>112</v>
      </c>
      <c r="D6406" s="13" t="n">
        <v>45772</v>
      </c>
      <c r="E6406" s="14" t="n">
        <v>2168.66</v>
      </c>
      <c r="F6406" s="14" t="n">
        <v>14560.16</v>
      </c>
      <c r="G6406" s="6" t="s">
        <v>2613</v>
      </c>
    </row>
    <row r="6407" customFormat="false" ht="15" hidden="false" customHeight="true" outlineLevel="0" collapsed="false">
      <c r="A6407" s="6" t="s">
        <v>9019</v>
      </c>
      <c r="B6407" s="6" t="s">
        <v>1409</v>
      </c>
      <c r="C6407" s="6" t="s">
        <v>112</v>
      </c>
      <c r="D6407" s="13" t="n">
        <v>45779</v>
      </c>
      <c r="E6407" s="14" t="n">
        <v>3769.31</v>
      </c>
      <c r="F6407" s="14" t="n">
        <v>18329.47</v>
      </c>
      <c r="G6407" s="6" t="s">
        <v>2613</v>
      </c>
    </row>
    <row r="6408" customFormat="false" ht="15" hidden="false" customHeight="true" outlineLevel="0" collapsed="false">
      <c r="A6408" s="6" t="s">
        <v>9020</v>
      </c>
      <c r="B6408" s="6" t="s">
        <v>1409</v>
      </c>
      <c r="C6408" s="6" t="s">
        <v>112</v>
      </c>
      <c r="D6408" s="13" t="n">
        <v>45786</v>
      </c>
      <c r="E6408" s="14" t="n">
        <v>4324.62</v>
      </c>
      <c r="F6408" s="14" t="n">
        <v>22654.09</v>
      </c>
      <c r="G6408" s="6" t="s">
        <v>2613</v>
      </c>
    </row>
    <row r="6409" customFormat="false" ht="15" hidden="false" customHeight="true" outlineLevel="0" collapsed="false">
      <c r="A6409" s="6" t="s">
        <v>9021</v>
      </c>
      <c r="B6409" s="6" t="s">
        <v>1409</v>
      </c>
      <c r="C6409" s="6" t="s">
        <v>112</v>
      </c>
      <c r="D6409" s="13" t="n">
        <v>45793</v>
      </c>
      <c r="E6409" s="14" t="n">
        <v>2328.12</v>
      </c>
      <c r="F6409" s="14" t="n">
        <v>24982.21</v>
      </c>
      <c r="G6409" s="6" t="s">
        <v>2613</v>
      </c>
    </row>
    <row r="6410" customFormat="false" ht="15" hidden="false" customHeight="true" outlineLevel="0" collapsed="false">
      <c r="A6410" s="6" t="s">
        <v>9022</v>
      </c>
      <c r="B6410" s="6" t="s">
        <v>1409</v>
      </c>
      <c r="C6410" s="6" t="s">
        <v>112</v>
      </c>
      <c r="D6410" s="13" t="n">
        <v>45800</v>
      </c>
      <c r="E6410" s="14" t="n">
        <v>3921.37</v>
      </c>
      <c r="F6410" s="14" t="n">
        <v>28903.58</v>
      </c>
      <c r="G6410" s="6" t="s">
        <v>2613</v>
      </c>
    </row>
    <row r="6411" customFormat="false" ht="15" hidden="false" customHeight="true" outlineLevel="0" collapsed="false">
      <c r="A6411" s="6" t="s">
        <v>9023</v>
      </c>
      <c r="B6411" s="6" t="s">
        <v>1409</v>
      </c>
      <c r="C6411" s="6" t="s">
        <v>112</v>
      </c>
      <c r="D6411" s="13" t="n">
        <v>45807</v>
      </c>
      <c r="E6411" s="14" t="n">
        <v>4986.16</v>
      </c>
      <c r="F6411" s="14" t="n">
        <v>33889.74</v>
      </c>
      <c r="G6411" s="6" t="s">
        <v>2613</v>
      </c>
    </row>
    <row r="6412" customFormat="false" ht="15" hidden="false" customHeight="true" outlineLevel="0" collapsed="false">
      <c r="A6412" s="6" t="s">
        <v>9024</v>
      </c>
      <c r="B6412" s="6" t="s">
        <v>1409</v>
      </c>
      <c r="C6412" s="6" t="s">
        <v>112</v>
      </c>
      <c r="D6412" s="13" t="n">
        <v>45814</v>
      </c>
      <c r="E6412" s="14" t="n">
        <v>4159.96</v>
      </c>
      <c r="F6412" s="14" t="n">
        <v>38049.7</v>
      </c>
      <c r="G6412" s="6" t="s">
        <v>2613</v>
      </c>
    </row>
    <row r="6413" customFormat="false" ht="15" hidden="false" customHeight="true" outlineLevel="0" collapsed="false">
      <c r="A6413" s="6" t="s">
        <v>9025</v>
      </c>
      <c r="B6413" s="6" t="s">
        <v>1409</v>
      </c>
      <c r="C6413" s="6" t="s">
        <v>112</v>
      </c>
      <c r="D6413" s="13" t="n">
        <v>45821</v>
      </c>
      <c r="E6413" s="14" t="n">
        <v>3889.58</v>
      </c>
      <c r="F6413" s="14" t="n">
        <v>41939.28</v>
      </c>
      <c r="G6413" s="6" t="s">
        <v>2613</v>
      </c>
    </row>
    <row r="6414" customFormat="false" ht="15" hidden="false" customHeight="true" outlineLevel="0" collapsed="false">
      <c r="A6414" s="6" t="s">
        <v>9026</v>
      </c>
      <c r="B6414" s="6" t="s">
        <v>1409</v>
      </c>
      <c r="C6414" s="6" t="s">
        <v>112</v>
      </c>
      <c r="D6414" s="13" t="n">
        <v>45828</v>
      </c>
      <c r="E6414" s="14" t="n">
        <v>1127.99</v>
      </c>
      <c r="F6414" s="14" t="n">
        <v>43067.27</v>
      </c>
      <c r="G6414" s="6" t="s">
        <v>2613</v>
      </c>
    </row>
    <row r="6415" customFormat="false" ht="15" hidden="false" customHeight="true" outlineLevel="0" collapsed="false">
      <c r="A6415" s="6" t="s">
        <v>9027</v>
      </c>
      <c r="B6415" s="6" t="s">
        <v>1411</v>
      </c>
      <c r="C6415" s="6" t="s">
        <v>124</v>
      </c>
      <c r="D6415" s="13" t="n">
        <v>45448</v>
      </c>
      <c r="E6415" s="14" t="n">
        <v>6360.7</v>
      </c>
      <c r="F6415" s="14" t="n">
        <v>6360.7</v>
      </c>
      <c r="G6415" s="6" t="s">
        <v>2613</v>
      </c>
    </row>
    <row r="6416" customFormat="false" ht="15" hidden="false" customHeight="true" outlineLevel="0" collapsed="false">
      <c r="A6416" s="6" t="s">
        <v>9028</v>
      </c>
      <c r="B6416" s="6" t="s">
        <v>1411</v>
      </c>
      <c r="C6416" s="6" t="s">
        <v>124</v>
      </c>
      <c r="D6416" s="13" t="n">
        <v>45455</v>
      </c>
      <c r="E6416" s="14" t="n">
        <v>6046.05</v>
      </c>
      <c r="F6416" s="14" t="n">
        <v>12406.75</v>
      </c>
      <c r="G6416" s="6" t="s">
        <v>2613</v>
      </c>
    </row>
    <row r="6417" customFormat="false" ht="15" hidden="false" customHeight="true" outlineLevel="0" collapsed="false">
      <c r="A6417" s="6" t="s">
        <v>9029</v>
      </c>
      <c r="B6417" s="6" t="s">
        <v>1411</v>
      </c>
      <c r="C6417" s="6" t="s">
        <v>124</v>
      </c>
      <c r="D6417" s="13" t="n">
        <v>45462</v>
      </c>
      <c r="E6417" s="14" t="n">
        <v>5213.29</v>
      </c>
      <c r="F6417" s="14" t="n">
        <v>17620.04</v>
      </c>
      <c r="G6417" s="6" t="s">
        <v>2613</v>
      </c>
    </row>
    <row r="6418" customFormat="false" ht="15" hidden="false" customHeight="true" outlineLevel="0" collapsed="false">
      <c r="A6418" s="6" t="s">
        <v>9030</v>
      </c>
      <c r="B6418" s="6" t="s">
        <v>1411</v>
      </c>
      <c r="C6418" s="6" t="s">
        <v>124</v>
      </c>
      <c r="D6418" s="13" t="n">
        <v>45469</v>
      </c>
      <c r="E6418" s="14" t="n">
        <v>6040.16</v>
      </c>
      <c r="F6418" s="14" t="n">
        <v>23660.2</v>
      </c>
      <c r="G6418" s="6" t="s">
        <v>2613</v>
      </c>
    </row>
    <row r="6419" customFormat="false" ht="15" hidden="false" customHeight="true" outlineLevel="0" collapsed="false">
      <c r="A6419" s="6" t="s">
        <v>9031</v>
      </c>
      <c r="B6419" s="6" t="s">
        <v>1411</v>
      </c>
      <c r="C6419" s="6" t="s">
        <v>124</v>
      </c>
      <c r="D6419" s="13" t="n">
        <v>45476</v>
      </c>
      <c r="E6419" s="14" t="n">
        <v>4138.21</v>
      </c>
      <c r="F6419" s="14" t="n">
        <v>27798.41</v>
      </c>
      <c r="G6419" s="6" t="s">
        <v>2613</v>
      </c>
    </row>
    <row r="6420" customFormat="false" ht="15" hidden="false" customHeight="true" outlineLevel="0" collapsed="false">
      <c r="A6420" s="6" t="s">
        <v>9032</v>
      </c>
      <c r="B6420" s="6" t="s">
        <v>1411</v>
      </c>
      <c r="C6420" s="6" t="s">
        <v>124</v>
      </c>
      <c r="D6420" s="13" t="n">
        <v>45483</v>
      </c>
      <c r="E6420" s="14" t="n">
        <v>5948.8</v>
      </c>
      <c r="F6420" s="14" t="n">
        <v>33747.21</v>
      </c>
      <c r="G6420" s="6" t="s">
        <v>2613</v>
      </c>
    </row>
    <row r="6421" customFormat="false" ht="15" hidden="false" customHeight="true" outlineLevel="0" collapsed="false">
      <c r="A6421" s="6" t="s">
        <v>9033</v>
      </c>
      <c r="B6421" s="6" t="s">
        <v>1411</v>
      </c>
      <c r="C6421" s="6" t="s">
        <v>124</v>
      </c>
      <c r="D6421" s="13" t="n">
        <v>45490</v>
      </c>
      <c r="E6421" s="14" t="n">
        <v>4866.86</v>
      </c>
      <c r="F6421" s="14" t="n">
        <v>38614.07</v>
      </c>
      <c r="G6421" s="6" t="s">
        <v>2613</v>
      </c>
    </row>
    <row r="6422" customFormat="false" ht="15" hidden="false" customHeight="true" outlineLevel="0" collapsed="false">
      <c r="A6422" s="6" t="s">
        <v>9034</v>
      </c>
      <c r="B6422" s="6" t="s">
        <v>1411</v>
      </c>
      <c r="C6422" s="6" t="s">
        <v>124</v>
      </c>
      <c r="D6422" s="13" t="n">
        <v>45497</v>
      </c>
      <c r="E6422" s="14" t="n">
        <v>4699.44</v>
      </c>
      <c r="F6422" s="14" t="n">
        <v>43313.51</v>
      </c>
      <c r="G6422" s="6" t="s">
        <v>2623</v>
      </c>
    </row>
    <row r="6423" customFormat="false" ht="15" hidden="false" customHeight="true" outlineLevel="0" collapsed="false">
      <c r="A6423" s="6" t="s">
        <v>9035</v>
      </c>
      <c r="B6423" s="6" t="s">
        <v>1413</v>
      </c>
      <c r="C6423" s="6" t="s">
        <v>128</v>
      </c>
      <c r="D6423" s="13" t="n">
        <v>44589</v>
      </c>
      <c r="E6423" s="14" t="n">
        <v>2989.35</v>
      </c>
      <c r="F6423" s="14" t="n">
        <v>2989.35</v>
      </c>
      <c r="G6423" s="6" t="s">
        <v>2613</v>
      </c>
    </row>
    <row r="6424" customFormat="false" ht="15" hidden="false" customHeight="true" outlineLevel="0" collapsed="false">
      <c r="A6424" s="6" t="s">
        <v>9036</v>
      </c>
      <c r="B6424" s="6" t="s">
        <v>1413</v>
      </c>
      <c r="C6424" s="6" t="s">
        <v>128</v>
      </c>
      <c r="D6424" s="13" t="n">
        <v>44596</v>
      </c>
      <c r="E6424" s="14" t="n">
        <v>2095.33</v>
      </c>
      <c r="F6424" s="14" t="n">
        <v>5084.68</v>
      </c>
      <c r="G6424" s="6" t="s">
        <v>2623</v>
      </c>
    </row>
    <row r="6425" customFormat="false" ht="15" hidden="false" customHeight="true" outlineLevel="0" collapsed="false">
      <c r="A6425" s="6" t="s">
        <v>9037</v>
      </c>
      <c r="B6425" s="6" t="s">
        <v>1413</v>
      </c>
      <c r="C6425" s="6" t="s">
        <v>128</v>
      </c>
      <c r="D6425" s="13" t="n">
        <v>44603</v>
      </c>
      <c r="E6425" s="14" t="n">
        <v>2128.1</v>
      </c>
      <c r="F6425" s="14" t="n">
        <v>7212.78</v>
      </c>
      <c r="G6425" s="6" t="s">
        <v>2623</v>
      </c>
    </row>
    <row r="6426" customFormat="false" ht="15" hidden="false" customHeight="true" outlineLevel="0" collapsed="false">
      <c r="A6426" s="6" t="s">
        <v>9038</v>
      </c>
      <c r="B6426" s="6" t="s">
        <v>1413</v>
      </c>
      <c r="C6426" s="6" t="s">
        <v>128</v>
      </c>
      <c r="D6426" s="13" t="n">
        <v>44610</v>
      </c>
      <c r="E6426" s="14" t="n">
        <v>2549.17</v>
      </c>
      <c r="F6426" s="14" t="n">
        <v>9761.95</v>
      </c>
      <c r="G6426" s="6" t="s">
        <v>2613</v>
      </c>
    </row>
    <row r="6427" customFormat="false" ht="15" hidden="false" customHeight="true" outlineLevel="0" collapsed="false">
      <c r="A6427" s="6" t="s">
        <v>9039</v>
      </c>
      <c r="B6427" s="6" t="s">
        <v>1413</v>
      </c>
      <c r="C6427" s="6" t="s">
        <v>128</v>
      </c>
      <c r="D6427" s="13" t="n">
        <v>44617</v>
      </c>
      <c r="E6427" s="14" t="n">
        <v>2385.24</v>
      </c>
      <c r="F6427" s="14" t="n">
        <v>12147.19</v>
      </c>
      <c r="G6427" s="6" t="s">
        <v>2613</v>
      </c>
    </row>
    <row r="6428" customFormat="false" ht="15" hidden="false" customHeight="true" outlineLevel="0" collapsed="false">
      <c r="A6428" s="6" t="s">
        <v>9040</v>
      </c>
      <c r="B6428" s="6" t="s">
        <v>1413</v>
      </c>
      <c r="C6428" s="6" t="s">
        <v>128</v>
      </c>
      <c r="D6428" s="13" t="n">
        <v>44624</v>
      </c>
      <c r="E6428" s="14" t="n">
        <v>3113.58</v>
      </c>
      <c r="F6428" s="14" t="n">
        <v>15260.77</v>
      </c>
      <c r="G6428" s="6" t="s">
        <v>2613</v>
      </c>
    </row>
    <row r="6429" customFormat="false" ht="15" hidden="false" customHeight="true" outlineLevel="0" collapsed="false">
      <c r="A6429" s="6" t="s">
        <v>9041</v>
      </c>
      <c r="B6429" s="6" t="s">
        <v>1413</v>
      </c>
      <c r="C6429" s="6" t="s">
        <v>128</v>
      </c>
      <c r="D6429" s="13" t="n">
        <v>44631</v>
      </c>
      <c r="E6429" s="14" t="n">
        <v>2937.45</v>
      </c>
      <c r="F6429" s="14" t="n">
        <v>18198.22</v>
      </c>
      <c r="G6429" s="6" t="s">
        <v>2613</v>
      </c>
    </row>
    <row r="6430" customFormat="false" ht="15" hidden="false" customHeight="true" outlineLevel="0" collapsed="false">
      <c r="A6430" s="6" t="s">
        <v>9042</v>
      </c>
      <c r="B6430" s="6" t="s">
        <v>1413</v>
      </c>
      <c r="C6430" s="6" t="s">
        <v>128</v>
      </c>
      <c r="D6430" s="13" t="n">
        <v>44638</v>
      </c>
      <c r="E6430" s="14" t="n">
        <v>3034.21</v>
      </c>
      <c r="F6430" s="14" t="n">
        <v>21232.43</v>
      </c>
      <c r="G6430" s="6" t="s">
        <v>2613</v>
      </c>
    </row>
    <row r="6431" customFormat="false" ht="15" hidden="false" customHeight="true" outlineLevel="0" collapsed="false">
      <c r="A6431" s="6" t="s">
        <v>9043</v>
      </c>
      <c r="B6431" s="6" t="s">
        <v>1413</v>
      </c>
      <c r="C6431" s="6" t="s">
        <v>128</v>
      </c>
      <c r="D6431" s="13" t="n">
        <v>44645</v>
      </c>
      <c r="E6431" s="14" t="n">
        <v>2061.51</v>
      </c>
      <c r="F6431" s="14" t="n">
        <v>23293.94</v>
      </c>
      <c r="G6431" s="6" t="s">
        <v>2613</v>
      </c>
    </row>
    <row r="6432" customFormat="false" ht="15" hidden="false" customHeight="true" outlineLevel="0" collapsed="false">
      <c r="A6432" s="6" t="s">
        <v>9044</v>
      </c>
      <c r="B6432" s="6" t="s">
        <v>1413</v>
      </c>
      <c r="C6432" s="6" t="s">
        <v>128</v>
      </c>
      <c r="D6432" s="13" t="n">
        <v>44652</v>
      </c>
      <c r="E6432" s="14" t="n">
        <v>2266.98</v>
      </c>
      <c r="F6432" s="14" t="n">
        <v>25560.92</v>
      </c>
      <c r="G6432" s="6" t="s">
        <v>2613</v>
      </c>
    </row>
    <row r="6433" customFormat="false" ht="15" hidden="false" customHeight="true" outlineLevel="0" collapsed="false">
      <c r="A6433" s="6" t="s">
        <v>9045</v>
      </c>
      <c r="B6433" s="6" t="s">
        <v>1413</v>
      </c>
      <c r="C6433" s="6" t="s">
        <v>128</v>
      </c>
      <c r="D6433" s="13" t="n">
        <v>44659</v>
      </c>
      <c r="E6433" s="14" t="n">
        <v>3881.26</v>
      </c>
      <c r="F6433" s="14" t="n">
        <v>29442.18</v>
      </c>
      <c r="G6433" s="6" t="s">
        <v>2613</v>
      </c>
    </row>
    <row r="6434" customFormat="false" ht="15" hidden="false" customHeight="true" outlineLevel="0" collapsed="false">
      <c r="A6434" s="6" t="s">
        <v>9046</v>
      </c>
      <c r="B6434" s="6" t="s">
        <v>1413</v>
      </c>
      <c r="C6434" s="6" t="s">
        <v>128</v>
      </c>
      <c r="D6434" s="13" t="n">
        <v>44666</v>
      </c>
      <c r="E6434" s="14" t="n">
        <v>1857.73</v>
      </c>
      <c r="F6434" s="14" t="n">
        <v>31299.91</v>
      </c>
      <c r="G6434" s="6" t="s">
        <v>2613</v>
      </c>
    </row>
    <row r="6435" customFormat="false" ht="15" hidden="false" customHeight="true" outlineLevel="0" collapsed="false">
      <c r="A6435" s="6" t="s">
        <v>9047</v>
      </c>
      <c r="B6435" s="6" t="s">
        <v>1413</v>
      </c>
      <c r="C6435" s="6" t="s">
        <v>128</v>
      </c>
      <c r="D6435" s="13" t="n">
        <v>44673</v>
      </c>
      <c r="E6435" s="14" t="n">
        <v>2555.61</v>
      </c>
      <c r="F6435" s="14" t="n">
        <v>33855.52</v>
      </c>
      <c r="G6435" s="6" t="s">
        <v>2613</v>
      </c>
    </row>
    <row r="6436" customFormat="false" ht="15" hidden="false" customHeight="true" outlineLevel="0" collapsed="false">
      <c r="A6436" s="6" t="s">
        <v>9048</v>
      </c>
      <c r="B6436" s="6" t="s">
        <v>1413</v>
      </c>
      <c r="C6436" s="6" t="s">
        <v>128</v>
      </c>
      <c r="D6436" s="13" t="n">
        <v>44680</v>
      </c>
      <c r="E6436" s="14" t="n">
        <v>2458.2</v>
      </c>
      <c r="F6436" s="14" t="n">
        <v>36313.72</v>
      </c>
      <c r="G6436" s="6" t="s">
        <v>2613</v>
      </c>
    </row>
    <row r="6437" customFormat="false" ht="15" hidden="false" customHeight="true" outlineLevel="0" collapsed="false">
      <c r="A6437" s="6" t="s">
        <v>9049</v>
      </c>
      <c r="B6437" s="6" t="s">
        <v>1413</v>
      </c>
      <c r="C6437" s="6" t="s">
        <v>128</v>
      </c>
      <c r="D6437" s="13" t="n">
        <v>44687</v>
      </c>
      <c r="E6437" s="14" t="n">
        <v>1839.88</v>
      </c>
      <c r="F6437" s="14" t="n">
        <v>38153.6</v>
      </c>
      <c r="G6437" s="6" t="s">
        <v>2613</v>
      </c>
    </row>
    <row r="6438" customFormat="false" ht="15" hidden="false" customHeight="true" outlineLevel="0" collapsed="false">
      <c r="A6438" s="6" t="s">
        <v>9050</v>
      </c>
      <c r="B6438" s="6" t="s">
        <v>1413</v>
      </c>
      <c r="C6438" s="6" t="s">
        <v>128</v>
      </c>
      <c r="D6438" s="13" t="n">
        <v>44694</v>
      </c>
      <c r="E6438" s="14" t="n">
        <v>3362.93</v>
      </c>
      <c r="F6438" s="14" t="n">
        <v>41516.53</v>
      </c>
      <c r="G6438" s="6" t="s">
        <v>2613</v>
      </c>
    </row>
    <row r="6439" customFormat="false" ht="15" hidden="false" customHeight="true" outlineLevel="0" collapsed="false">
      <c r="A6439" s="6" t="s">
        <v>9051</v>
      </c>
      <c r="B6439" s="6" t="s">
        <v>1413</v>
      </c>
      <c r="C6439" s="6" t="s">
        <v>128</v>
      </c>
      <c r="D6439" s="13" t="n">
        <v>44701</v>
      </c>
      <c r="E6439" s="14" t="n">
        <v>2349.75</v>
      </c>
      <c r="F6439" s="14" t="n">
        <v>43866.28</v>
      </c>
      <c r="G6439" s="6" t="s">
        <v>2613</v>
      </c>
    </row>
    <row r="6440" customFormat="false" ht="15" hidden="false" customHeight="true" outlineLevel="0" collapsed="false">
      <c r="A6440" s="6" t="s">
        <v>9052</v>
      </c>
      <c r="B6440" s="6" t="s">
        <v>1413</v>
      </c>
      <c r="C6440" s="6" t="s">
        <v>128</v>
      </c>
      <c r="D6440" s="13" t="n">
        <v>44708</v>
      </c>
      <c r="E6440" s="14" t="n">
        <v>3257.37</v>
      </c>
      <c r="F6440" s="14" t="n">
        <v>47123.65</v>
      </c>
      <c r="G6440" s="6" t="s">
        <v>2623</v>
      </c>
    </row>
    <row r="6441" customFormat="false" ht="15" hidden="false" customHeight="true" outlineLevel="0" collapsed="false">
      <c r="A6441" s="6" t="s">
        <v>9053</v>
      </c>
      <c r="B6441" s="6" t="s">
        <v>1413</v>
      </c>
      <c r="C6441" s="6" t="s">
        <v>128</v>
      </c>
      <c r="D6441" s="13" t="n">
        <v>44715</v>
      </c>
      <c r="E6441" s="14" t="n">
        <v>3649.19</v>
      </c>
      <c r="F6441" s="14" t="n">
        <v>50772.84</v>
      </c>
      <c r="G6441" s="6" t="s">
        <v>2613</v>
      </c>
    </row>
    <row r="6442" customFormat="false" ht="15" hidden="false" customHeight="true" outlineLevel="0" collapsed="false">
      <c r="A6442" s="6" t="s">
        <v>9054</v>
      </c>
      <c r="B6442" s="6" t="s">
        <v>1413</v>
      </c>
      <c r="C6442" s="6" t="s">
        <v>128</v>
      </c>
      <c r="D6442" s="13" t="n">
        <v>44722</v>
      </c>
      <c r="E6442" s="14" t="n">
        <v>3553.36</v>
      </c>
      <c r="F6442" s="14" t="n">
        <v>54326.2</v>
      </c>
      <c r="G6442" s="6" t="s">
        <v>2613</v>
      </c>
    </row>
    <row r="6443" customFormat="false" ht="15" hidden="false" customHeight="true" outlineLevel="0" collapsed="false">
      <c r="A6443" s="6" t="s">
        <v>9055</v>
      </c>
      <c r="B6443" s="6" t="s">
        <v>1413</v>
      </c>
      <c r="C6443" s="6" t="s">
        <v>128</v>
      </c>
      <c r="D6443" s="13" t="n">
        <v>44729</v>
      </c>
      <c r="E6443" s="14" t="n">
        <v>2352.38</v>
      </c>
      <c r="F6443" s="14" t="n">
        <v>56678.58</v>
      </c>
      <c r="G6443" s="6" t="s">
        <v>2613</v>
      </c>
    </row>
    <row r="6444" customFormat="false" ht="15" hidden="false" customHeight="true" outlineLevel="0" collapsed="false">
      <c r="A6444" s="6" t="s">
        <v>9056</v>
      </c>
      <c r="B6444" s="6" t="s">
        <v>1413</v>
      </c>
      <c r="C6444" s="6" t="s">
        <v>128</v>
      </c>
      <c r="D6444" s="13" t="n">
        <v>44736</v>
      </c>
      <c r="E6444" s="14" t="n">
        <v>3122.87</v>
      </c>
      <c r="F6444" s="14" t="n">
        <v>59801.45</v>
      </c>
      <c r="G6444" s="6" t="s">
        <v>2613</v>
      </c>
    </row>
    <row r="6445" customFormat="false" ht="15" hidden="false" customHeight="true" outlineLevel="0" collapsed="false">
      <c r="A6445" s="6" t="s">
        <v>9057</v>
      </c>
      <c r="B6445" s="6" t="s">
        <v>1413</v>
      </c>
      <c r="C6445" s="6" t="s">
        <v>128</v>
      </c>
      <c r="D6445" s="13" t="n">
        <v>44743</v>
      </c>
      <c r="E6445" s="14" t="n">
        <v>2263.2</v>
      </c>
      <c r="F6445" s="14" t="n">
        <v>62064.65</v>
      </c>
      <c r="G6445" s="6" t="s">
        <v>2613</v>
      </c>
    </row>
    <row r="6446" customFormat="false" ht="15" hidden="false" customHeight="true" outlineLevel="0" collapsed="false">
      <c r="A6446" s="6" t="s">
        <v>9058</v>
      </c>
      <c r="B6446" s="6" t="s">
        <v>1413</v>
      </c>
      <c r="C6446" s="6" t="s">
        <v>128</v>
      </c>
      <c r="D6446" s="13" t="n">
        <v>44750</v>
      </c>
      <c r="E6446" s="14" t="n">
        <v>2374.45</v>
      </c>
      <c r="F6446" s="14" t="n">
        <v>64439.1</v>
      </c>
      <c r="G6446" s="6" t="s">
        <v>2613</v>
      </c>
    </row>
    <row r="6447" customFormat="false" ht="15" hidden="false" customHeight="true" outlineLevel="0" collapsed="false">
      <c r="A6447" s="6" t="s">
        <v>9059</v>
      </c>
      <c r="B6447" s="6" t="s">
        <v>1413</v>
      </c>
      <c r="C6447" s="6" t="s">
        <v>128</v>
      </c>
      <c r="D6447" s="13" t="n">
        <v>44757</v>
      </c>
      <c r="E6447" s="14" t="n">
        <v>3794.27</v>
      </c>
      <c r="F6447" s="14" t="n">
        <v>68233.37</v>
      </c>
      <c r="G6447" s="6" t="s">
        <v>2613</v>
      </c>
    </row>
    <row r="6448" customFormat="false" ht="15" hidden="false" customHeight="true" outlineLevel="0" collapsed="false">
      <c r="A6448" s="6" t="s">
        <v>9060</v>
      </c>
      <c r="B6448" s="6" t="s">
        <v>1413</v>
      </c>
      <c r="C6448" s="6" t="s">
        <v>128</v>
      </c>
      <c r="D6448" s="13" t="n">
        <v>44764</v>
      </c>
      <c r="E6448" s="14" t="n">
        <v>2005.55</v>
      </c>
      <c r="F6448" s="14" t="n">
        <v>70238.92</v>
      </c>
      <c r="G6448" s="6" t="s">
        <v>2613</v>
      </c>
    </row>
    <row r="6449" customFormat="false" ht="15" hidden="false" customHeight="true" outlineLevel="0" collapsed="false">
      <c r="A6449" s="6" t="s">
        <v>9061</v>
      </c>
      <c r="B6449" s="6" t="s">
        <v>1413</v>
      </c>
      <c r="C6449" s="6" t="s">
        <v>128</v>
      </c>
      <c r="D6449" s="13" t="n">
        <v>44771</v>
      </c>
      <c r="E6449" s="14" t="n">
        <v>1765.48</v>
      </c>
      <c r="F6449" s="14" t="n">
        <v>72004.4</v>
      </c>
      <c r="G6449" s="6" t="s">
        <v>2613</v>
      </c>
    </row>
    <row r="6450" customFormat="false" ht="15" hidden="false" customHeight="true" outlineLevel="0" collapsed="false">
      <c r="A6450" s="6" t="s">
        <v>9062</v>
      </c>
      <c r="B6450" s="6" t="s">
        <v>1413</v>
      </c>
      <c r="C6450" s="6" t="s">
        <v>128</v>
      </c>
      <c r="D6450" s="13" t="n">
        <v>44778</v>
      </c>
      <c r="E6450" s="14" t="n">
        <v>3388.01</v>
      </c>
      <c r="F6450" s="14" t="n">
        <v>75392.41</v>
      </c>
      <c r="G6450" s="6" t="s">
        <v>2613</v>
      </c>
    </row>
    <row r="6451" customFormat="false" ht="15" hidden="false" customHeight="true" outlineLevel="0" collapsed="false">
      <c r="A6451" s="6" t="s">
        <v>9063</v>
      </c>
      <c r="B6451" s="6" t="s">
        <v>1413</v>
      </c>
      <c r="C6451" s="6" t="s">
        <v>128</v>
      </c>
      <c r="D6451" s="13" t="n">
        <v>44785</v>
      </c>
      <c r="E6451" s="14" t="n">
        <v>2228.85</v>
      </c>
      <c r="F6451" s="14" t="n">
        <v>77621.26</v>
      </c>
      <c r="G6451" s="6" t="s">
        <v>2613</v>
      </c>
    </row>
    <row r="6452" customFormat="false" ht="15" hidden="false" customHeight="true" outlineLevel="0" collapsed="false">
      <c r="A6452" s="6" t="s">
        <v>9064</v>
      </c>
      <c r="B6452" s="6" t="s">
        <v>1413</v>
      </c>
      <c r="C6452" s="6" t="s">
        <v>128</v>
      </c>
      <c r="D6452" s="13" t="n">
        <v>44792</v>
      </c>
      <c r="E6452" s="14" t="n">
        <v>3900.61</v>
      </c>
      <c r="F6452" s="14" t="n">
        <v>81521.87</v>
      </c>
      <c r="G6452" s="6" t="s">
        <v>2613</v>
      </c>
    </row>
    <row r="6453" customFormat="false" ht="15" hidden="false" customHeight="true" outlineLevel="0" collapsed="false">
      <c r="A6453" s="6" t="s">
        <v>9065</v>
      </c>
      <c r="B6453" s="6" t="s">
        <v>1413</v>
      </c>
      <c r="C6453" s="6" t="s">
        <v>128</v>
      </c>
      <c r="D6453" s="13" t="n">
        <v>44799</v>
      </c>
      <c r="E6453" s="14" t="n">
        <v>6564.32</v>
      </c>
      <c r="F6453" s="14" t="n">
        <v>88086.19</v>
      </c>
      <c r="G6453" s="6" t="s">
        <v>2613</v>
      </c>
    </row>
    <row r="6454" customFormat="false" ht="15" hidden="false" customHeight="true" outlineLevel="0" collapsed="false">
      <c r="A6454" s="6" t="s">
        <v>9066</v>
      </c>
      <c r="B6454" s="6" t="s">
        <v>1415</v>
      </c>
      <c r="C6454" s="6" t="s">
        <v>116</v>
      </c>
      <c r="D6454" s="13" t="n">
        <v>44810</v>
      </c>
      <c r="E6454" s="14" t="n">
        <v>4323.67</v>
      </c>
      <c r="F6454" s="14" t="n">
        <v>4323.67</v>
      </c>
      <c r="G6454" s="6" t="s">
        <v>2623</v>
      </c>
    </row>
    <row r="6455" customFormat="false" ht="15" hidden="false" customHeight="true" outlineLevel="0" collapsed="false">
      <c r="A6455" s="6" t="s">
        <v>9067</v>
      </c>
      <c r="B6455" s="6" t="s">
        <v>1415</v>
      </c>
      <c r="C6455" s="6" t="s">
        <v>116</v>
      </c>
      <c r="D6455" s="13" t="n">
        <v>44817</v>
      </c>
      <c r="E6455" s="14" t="n">
        <v>4542.56</v>
      </c>
      <c r="F6455" s="14" t="n">
        <v>8866.23</v>
      </c>
      <c r="G6455" s="6" t="s">
        <v>2613</v>
      </c>
    </row>
    <row r="6456" customFormat="false" ht="15" hidden="false" customHeight="true" outlineLevel="0" collapsed="false">
      <c r="A6456" s="6" t="s">
        <v>9068</v>
      </c>
      <c r="B6456" s="6" t="s">
        <v>1415</v>
      </c>
      <c r="C6456" s="6" t="s">
        <v>116</v>
      </c>
      <c r="D6456" s="13" t="n">
        <v>44824</v>
      </c>
      <c r="E6456" s="14" t="n">
        <v>3859.44</v>
      </c>
      <c r="F6456" s="14" t="n">
        <v>12725.67</v>
      </c>
      <c r="G6456" s="6" t="s">
        <v>2623</v>
      </c>
    </row>
    <row r="6457" customFormat="false" ht="15" hidden="false" customHeight="true" outlineLevel="0" collapsed="false">
      <c r="A6457" s="6" t="s">
        <v>9069</v>
      </c>
      <c r="B6457" s="6" t="s">
        <v>1415</v>
      </c>
      <c r="C6457" s="6" t="s">
        <v>116</v>
      </c>
      <c r="D6457" s="13" t="n">
        <v>44831</v>
      </c>
      <c r="E6457" s="14" t="n">
        <v>2872.04</v>
      </c>
      <c r="F6457" s="14" t="n">
        <v>15597.71</v>
      </c>
      <c r="G6457" s="6" t="s">
        <v>2613</v>
      </c>
    </row>
    <row r="6458" customFormat="false" ht="15" hidden="false" customHeight="true" outlineLevel="0" collapsed="false">
      <c r="A6458" s="6" t="s">
        <v>9070</v>
      </c>
      <c r="B6458" s="6" t="s">
        <v>1415</v>
      </c>
      <c r="C6458" s="6" t="s">
        <v>116</v>
      </c>
      <c r="D6458" s="13" t="n">
        <v>44838</v>
      </c>
      <c r="E6458" s="14" t="n">
        <v>5725.67</v>
      </c>
      <c r="F6458" s="14" t="n">
        <v>21323.38</v>
      </c>
      <c r="G6458" s="6" t="s">
        <v>2613</v>
      </c>
    </row>
    <row r="6459" customFormat="false" ht="15" hidden="false" customHeight="true" outlineLevel="0" collapsed="false">
      <c r="A6459" s="6" t="s">
        <v>9071</v>
      </c>
      <c r="B6459" s="6" t="s">
        <v>1415</v>
      </c>
      <c r="C6459" s="6" t="s">
        <v>116</v>
      </c>
      <c r="D6459" s="13" t="n">
        <v>44845</v>
      </c>
      <c r="E6459" s="14" t="n">
        <v>3164.99</v>
      </c>
      <c r="F6459" s="14" t="n">
        <v>24488.37</v>
      </c>
      <c r="G6459" s="6" t="s">
        <v>2613</v>
      </c>
    </row>
    <row r="6460" customFormat="false" ht="15" hidden="false" customHeight="true" outlineLevel="0" collapsed="false">
      <c r="A6460" s="6" t="s">
        <v>9072</v>
      </c>
      <c r="B6460" s="6" t="s">
        <v>1415</v>
      </c>
      <c r="C6460" s="6" t="s">
        <v>116</v>
      </c>
      <c r="D6460" s="13" t="n">
        <v>44852</v>
      </c>
      <c r="E6460" s="14" t="n">
        <v>4498.82</v>
      </c>
      <c r="F6460" s="14" t="n">
        <v>28987.19</v>
      </c>
      <c r="G6460" s="6" t="s">
        <v>2613</v>
      </c>
    </row>
    <row r="6461" customFormat="false" ht="15" hidden="false" customHeight="true" outlineLevel="0" collapsed="false">
      <c r="A6461" s="6" t="s">
        <v>9073</v>
      </c>
      <c r="B6461" s="6" t="s">
        <v>1415</v>
      </c>
      <c r="C6461" s="6" t="s">
        <v>116</v>
      </c>
      <c r="D6461" s="13" t="n">
        <v>44859</v>
      </c>
      <c r="E6461" s="14" t="n">
        <v>5808.11</v>
      </c>
      <c r="F6461" s="14" t="n">
        <v>34795.3</v>
      </c>
      <c r="G6461" s="6" t="s">
        <v>2613</v>
      </c>
    </row>
    <row r="6462" customFormat="false" ht="15" hidden="false" customHeight="true" outlineLevel="0" collapsed="false">
      <c r="A6462" s="6" t="s">
        <v>9074</v>
      </c>
      <c r="B6462" s="6" t="s">
        <v>1415</v>
      </c>
      <c r="C6462" s="6" t="s">
        <v>116</v>
      </c>
      <c r="D6462" s="13" t="n">
        <v>44866</v>
      </c>
      <c r="E6462" s="14" t="n">
        <v>3495.06</v>
      </c>
      <c r="F6462" s="14" t="n">
        <v>38290.36</v>
      </c>
      <c r="G6462" s="6" t="s">
        <v>2613</v>
      </c>
    </row>
    <row r="6463" customFormat="false" ht="15" hidden="false" customHeight="true" outlineLevel="0" collapsed="false">
      <c r="A6463" s="6" t="s">
        <v>9075</v>
      </c>
      <c r="B6463" s="6" t="s">
        <v>1415</v>
      </c>
      <c r="C6463" s="6" t="s">
        <v>116</v>
      </c>
      <c r="D6463" s="13" t="n">
        <v>44873</v>
      </c>
      <c r="E6463" s="14" t="n">
        <v>5455.76</v>
      </c>
      <c r="F6463" s="14" t="n">
        <v>43746.12</v>
      </c>
      <c r="G6463" s="6" t="s">
        <v>2623</v>
      </c>
    </row>
    <row r="6464" customFormat="false" ht="15" hidden="false" customHeight="true" outlineLevel="0" collapsed="false">
      <c r="A6464" s="6" t="s">
        <v>9076</v>
      </c>
      <c r="B6464" s="6" t="s">
        <v>1415</v>
      </c>
      <c r="C6464" s="6" t="s">
        <v>116</v>
      </c>
      <c r="D6464" s="13" t="n">
        <v>44880</v>
      </c>
      <c r="E6464" s="14" t="n">
        <v>4214.36</v>
      </c>
      <c r="F6464" s="14" t="n">
        <v>47960.48</v>
      </c>
      <c r="G6464" s="6" t="s">
        <v>2613</v>
      </c>
    </row>
    <row r="6465" customFormat="false" ht="15" hidden="false" customHeight="true" outlineLevel="0" collapsed="false">
      <c r="A6465" s="6" t="s">
        <v>9077</v>
      </c>
      <c r="B6465" s="6" t="s">
        <v>1415</v>
      </c>
      <c r="C6465" s="6" t="s">
        <v>116</v>
      </c>
      <c r="D6465" s="13" t="n">
        <v>44887</v>
      </c>
      <c r="E6465" s="14" t="n">
        <v>8362.27</v>
      </c>
      <c r="F6465" s="14" t="n">
        <v>56322.75</v>
      </c>
      <c r="G6465" s="6" t="s">
        <v>2613</v>
      </c>
    </row>
    <row r="6466" customFormat="false" ht="15" hidden="false" customHeight="true" outlineLevel="0" collapsed="false">
      <c r="A6466" s="6" t="s">
        <v>9078</v>
      </c>
      <c r="B6466" s="6" t="s">
        <v>1417</v>
      </c>
      <c r="C6466" s="6" t="s">
        <v>124</v>
      </c>
      <c r="D6466" s="13" t="n">
        <v>45840</v>
      </c>
      <c r="E6466" s="14" t="n">
        <v>2941.74</v>
      </c>
      <c r="F6466" s="14" t="n">
        <v>2941.74</v>
      </c>
      <c r="G6466" s="6" t="s">
        <v>2623</v>
      </c>
    </row>
    <row r="6467" customFormat="false" ht="15" hidden="false" customHeight="true" outlineLevel="0" collapsed="false">
      <c r="A6467" s="6" t="s">
        <v>9079</v>
      </c>
      <c r="B6467" s="6" t="s">
        <v>1417</v>
      </c>
      <c r="C6467" s="6" t="s">
        <v>124</v>
      </c>
      <c r="D6467" s="13" t="n">
        <v>45847</v>
      </c>
      <c r="E6467" s="14" t="n">
        <v>2562.74</v>
      </c>
      <c r="F6467" s="14" t="n">
        <v>5504.48</v>
      </c>
      <c r="G6467" s="6" t="s">
        <v>2613</v>
      </c>
    </row>
    <row r="6468" customFormat="false" ht="15" hidden="false" customHeight="true" outlineLevel="0" collapsed="false">
      <c r="A6468" s="6" t="s">
        <v>9080</v>
      </c>
      <c r="B6468" s="6" t="s">
        <v>1417</v>
      </c>
      <c r="C6468" s="6" t="s">
        <v>124</v>
      </c>
      <c r="D6468" s="13" t="n">
        <v>45854</v>
      </c>
      <c r="E6468" s="14" t="n">
        <v>2893.97</v>
      </c>
      <c r="F6468" s="14" t="n">
        <v>8398.45</v>
      </c>
      <c r="G6468" s="6" t="s">
        <v>2613</v>
      </c>
    </row>
    <row r="6469" customFormat="false" ht="15" hidden="false" customHeight="true" outlineLevel="0" collapsed="false">
      <c r="A6469" s="6" t="s">
        <v>9081</v>
      </c>
      <c r="B6469" s="6" t="s">
        <v>1417</v>
      </c>
      <c r="C6469" s="6" t="s">
        <v>124</v>
      </c>
      <c r="D6469" s="13" t="n">
        <v>45861</v>
      </c>
      <c r="E6469" s="14" t="n">
        <v>1975.92</v>
      </c>
      <c r="F6469" s="14" t="n">
        <v>10374.37</v>
      </c>
      <c r="G6469" s="6" t="s">
        <v>2613</v>
      </c>
    </row>
    <row r="6470" customFormat="false" ht="15" hidden="false" customHeight="true" outlineLevel="0" collapsed="false">
      <c r="A6470" s="6" t="s">
        <v>9082</v>
      </c>
      <c r="B6470" s="6" t="s">
        <v>1417</v>
      </c>
      <c r="C6470" s="6" t="s">
        <v>124</v>
      </c>
      <c r="D6470" s="13" t="n">
        <v>45868</v>
      </c>
      <c r="E6470" s="14" t="n">
        <v>1979.61</v>
      </c>
      <c r="F6470" s="14" t="n">
        <v>12353.98</v>
      </c>
      <c r="G6470" s="6" t="s">
        <v>2613</v>
      </c>
    </row>
    <row r="6471" customFormat="false" ht="15" hidden="false" customHeight="true" outlineLevel="0" collapsed="false">
      <c r="A6471" s="6" t="s">
        <v>9083</v>
      </c>
      <c r="B6471" s="6" t="s">
        <v>1417</v>
      </c>
      <c r="C6471" s="6" t="s">
        <v>124</v>
      </c>
      <c r="D6471" s="13" t="n">
        <v>45875</v>
      </c>
      <c r="E6471" s="14" t="n">
        <v>2195.13</v>
      </c>
      <c r="F6471" s="14" t="n">
        <v>14549.11</v>
      </c>
      <c r="G6471" s="6" t="s">
        <v>2613</v>
      </c>
    </row>
    <row r="6472" customFormat="false" ht="15" hidden="false" customHeight="true" outlineLevel="0" collapsed="false">
      <c r="A6472" s="6" t="s">
        <v>9084</v>
      </c>
      <c r="B6472" s="6" t="s">
        <v>1419</v>
      </c>
      <c r="C6472" s="6" t="s">
        <v>112</v>
      </c>
      <c r="D6472" s="13" t="n">
        <v>45182</v>
      </c>
      <c r="E6472" s="14" t="n">
        <v>5443.76</v>
      </c>
      <c r="F6472" s="14" t="n">
        <v>5443.76</v>
      </c>
      <c r="G6472" s="6" t="s">
        <v>2613</v>
      </c>
    </row>
    <row r="6473" customFormat="false" ht="15" hidden="false" customHeight="true" outlineLevel="0" collapsed="false">
      <c r="A6473" s="6" t="s">
        <v>9085</v>
      </c>
      <c r="B6473" s="6" t="s">
        <v>1419</v>
      </c>
      <c r="C6473" s="6" t="s">
        <v>112</v>
      </c>
      <c r="D6473" s="13" t="n">
        <v>45189</v>
      </c>
      <c r="E6473" s="14" t="n">
        <v>7161.38</v>
      </c>
      <c r="F6473" s="14" t="n">
        <v>12605.14</v>
      </c>
      <c r="G6473" s="6" t="s">
        <v>2613</v>
      </c>
    </row>
    <row r="6474" customFormat="false" ht="15" hidden="false" customHeight="true" outlineLevel="0" collapsed="false">
      <c r="A6474" s="6" t="s">
        <v>9086</v>
      </c>
      <c r="B6474" s="6" t="s">
        <v>1419</v>
      </c>
      <c r="C6474" s="6" t="s">
        <v>112</v>
      </c>
      <c r="D6474" s="13" t="n">
        <v>45196</v>
      </c>
      <c r="E6474" s="14" t="n">
        <v>3821.2</v>
      </c>
      <c r="F6474" s="14" t="n">
        <v>16426.34</v>
      </c>
      <c r="G6474" s="6" t="s">
        <v>2613</v>
      </c>
    </row>
    <row r="6475" customFormat="false" ht="15" hidden="false" customHeight="true" outlineLevel="0" collapsed="false">
      <c r="A6475" s="6" t="s">
        <v>9087</v>
      </c>
      <c r="B6475" s="6" t="s">
        <v>1419</v>
      </c>
      <c r="C6475" s="6" t="s">
        <v>112</v>
      </c>
      <c r="D6475" s="13" t="n">
        <v>45203</v>
      </c>
      <c r="E6475" s="14" t="n">
        <v>7404.06</v>
      </c>
      <c r="F6475" s="14" t="n">
        <v>23830.4</v>
      </c>
      <c r="G6475" s="6" t="s">
        <v>2613</v>
      </c>
    </row>
    <row r="6476" customFormat="false" ht="15" hidden="false" customHeight="true" outlineLevel="0" collapsed="false">
      <c r="A6476" s="6" t="s">
        <v>9088</v>
      </c>
      <c r="B6476" s="6" t="s">
        <v>1419</v>
      </c>
      <c r="C6476" s="6" t="s">
        <v>112</v>
      </c>
      <c r="D6476" s="13" t="n">
        <v>45210</v>
      </c>
      <c r="E6476" s="14" t="n">
        <v>6405.11</v>
      </c>
      <c r="F6476" s="14" t="n">
        <v>30235.51</v>
      </c>
      <c r="G6476" s="6" t="s">
        <v>2613</v>
      </c>
    </row>
    <row r="6477" customFormat="false" ht="15" hidden="false" customHeight="true" outlineLevel="0" collapsed="false">
      <c r="A6477" s="6" t="s">
        <v>9089</v>
      </c>
      <c r="B6477" s="6" t="s">
        <v>1419</v>
      </c>
      <c r="C6477" s="6" t="s">
        <v>112</v>
      </c>
      <c r="D6477" s="13" t="n">
        <v>45217</v>
      </c>
      <c r="E6477" s="14" t="n">
        <v>3879.9</v>
      </c>
      <c r="F6477" s="14" t="n">
        <v>34115.41</v>
      </c>
      <c r="G6477" s="6" t="s">
        <v>2623</v>
      </c>
    </row>
    <row r="6478" customFormat="false" ht="15" hidden="false" customHeight="true" outlineLevel="0" collapsed="false">
      <c r="A6478" s="6" t="s">
        <v>9090</v>
      </c>
      <c r="B6478" s="6" t="s">
        <v>1419</v>
      </c>
      <c r="C6478" s="6" t="s">
        <v>112</v>
      </c>
      <c r="D6478" s="13" t="n">
        <v>45224</v>
      </c>
      <c r="E6478" s="14" t="n">
        <v>5563.3</v>
      </c>
      <c r="F6478" s="14" t="n">
        <v>39678.71</v>
      </c>
      <c r="G6478" s="6" t="s">
        <v>2613</v>
      </c>
    </row>
    <row r="6479" customFormat="false" ht="15" hidden="false" customHeight="true" outlineLevel="0" collapsed="false">
      <c r="A6479" s="6" t="s">
        <v>9091</v>
      </c>
      <c r="B6479" s="6" t="s">
        <v>1419</v>
      </c>
      <c r="C6479" s="6" t="s">
        <v>112</v>
      </c>
      <c r="D6479" s="13" t="n">
        <v>45231</v>
      </c>
      <c r="E6479" s="14" t="n">
        <v>3272.62</v>
      </c>
      <c r="F6479" s="14" t="n">
        <v>42951.33</v>
      </c>
      <c r="G6479" s="6" t="s">
        <v>2613</v>
      </c>
    </row>
    <row r="6480" customFormat="false" ht="15" hidden="false" customHeight="true" outlineLevel="0" collapsed="false">
      <c r="A6480" s="6" t="s">
        <v>9092</v>
      </c>
      <c r="B6480" s="6" t="s">
        <v>1421</v>
      </c>
      <c r="C6480" s="6" t="s">
        <v>131</v>
      </c>
      <c r="D6480" s="13" t="n">
        <v>45867</v>
      </c>
      <c r="E6480" s="14" t="n">
        <v>9029.29</v>
      </c>
      <c r="F6480" s="14" t="n">
        <v>9029.29</v>
      </c>
      <c r="G6480" s="6" t="s">
        <v>2613</v>
      </c>
    </row>
    <row r="6481" customFormat="false" ht="15" hidden="false" customHeight="true" outlineLevel="0" collapsed="false">
      <c r="A6481" s="6" t="s">
        <v>9093</v>
      </c>
      <c r="B6481" s="6" t="s">
        <v>1421</v>
      </c>
      <c r="C6481" s="6" t="s">
        <v>131</v>
      </c>
      <c r="D6481" s="13" t="n">
        <v>45874</v>
      </c>
      <c r="E6481" s="14" t="n">
        <v>7952.68</v>
      </c>
      <c r="F6481" s="14" t="n">
        <v>16981.97</v>
      </c>
      <c r="G6481" s="6" t="s">
        <v>2613</v>
      </c>
    </row>
    <row r="6482" customFormat="false" ht="15" hidden="false" customHeight="true" outlineLevel="0" collapsed="false">
      <c r="A6482" s="6" t="s">
        <v>9094</v>
      </c>
      <c r="B6482" s="6" t="s">
        <v>1421</v>
      </c>
      <c r="C6482" s="6" t="s">
        <v>131</v>
      </c>
      <c r="D6482" s="13" t="n">
        <v>45881</v>
      </c>
      <c r="E6482" s="14" t="n">
        <v>9158.72</v>
      </c>
      <c r="F6482" s="14" t="n">
        <v>26140.69</v>
      </c>
      <c r="G6482" s="6" t="s">
        <v>2613</v>
      </c>
    </row>
    <row r="6483" customFormat="false" ht="15" hidden="false" customHeight="true" outlineLevel="0" collapsed="false">
      <c r="A6483" s="6" t="s">
        <v>9095</v>
      </c>
      <c r="B6483" s="6" t="s">
        <v>1421</v>
      </c>
      <c r="C6483" s="6" t="s">
        <v>131</v>
      </c>
      <c r="D6483" s="13" t="n">
        <v>45888</v>
      </c>
      <c r="E6483" s="14" t="n">
        <v>4459.01</v>
      </c>
      <c r="F6483" s="14" t="n">
        <v>30599.7</v>
      </c>
      <c r="G6483" s="6" t="s">
        <v>2613</v>
      </c>
    </row>
    <row r="6484" customFormat="false" ht="15" hidden="false" customHeight="true" outlineLevel="0" collapsed="false">
      <c r="A6484" s="6" t="s">
        <v>9096</v>
      </c>
      <c r="B6484" s="6" t="s">
        <v>1421</v>
      </c>
      <c r="C6484" s="6" t="s">
        <v>131</v>
      </c>
      <c r="D6484" s="13" t="n">
        <v>45895</v>
      </c>
      <c r="E6484" s="14" t="n">
        <v>8929.66</v>
      </c>
      <c r="F6484" s="14" t="n">
        <v>39529.36</v>
      </c>
      <c r="G6484" s="6" t="s">
        <v>2613</v>
      </c>
    </row>
    <row r="6485" customFormat="false" ht="15" hidden="false" customHeight="true" outlineLevel="0" collapsed="false">
      <c r="A6485" s="6" t="s">
        <v>9097</v>
      </c>
      <c r="B6485" s="6" t="s">
        <v>1421</v>
      </c>
      <c r="C6485" s="6" t="s">
        <v>131</v>
      </c>
      <c r="D6485" s="13" t="n">
        <v>45902</v>
      </c>
      <c r="E6485" s="14" t="n">
        <v>6421.37</v>
      </c>
      <c r="F6485" s="14" t="n">
        <v>45950.73</v>
      </c>
      <c r="G6485" s="6" t="s">
        <v>2613</v>
      </c>
    </row>
    <row r="6486" customFormat="false" ht="15" hidden="false" customHeight="true" outlineLevel="0" collapsed="false">
      <c r="A6486" s="6" t="s">
        <v>9098</v>
      </c>
      <c r="B6486" s="6" t="s">
        <v>1421</v>
      </c>
      <c r="C6486" s="6" t="s">
        <v>131</v>
      </c>
      <c r="D6486" s="13" t="n">
        <v>45909</v>
      </c>
      <c r="E6486" s="14" t="n">
        <v>207.46</v>
      </c>
      <c r="F6486" s="14" t="n">
        <v>46158.19</v>
      </c>
      <c r="G6486" s="6" t="s">
        <v>2613</v>
      </c>
    </row>
    <row r="6487" customFormat="false" ht="15" hidden="false" customHeight="true" outlineLevel="0" collapsed="false">
      <c r="A6487" s="6" t="s">
        <v>9099</v>
      </c>
      <c r="B6487" s="6" t="s">
        <v>1423</v>
      </c>
      <c r="C6487" s="6" t="s">
        <v>124</v>
      </c>
      <c r="D6487" s="13" t="n">
        <v>46155</v>
      </c>
      <c r="E6487" s="14" t="n">
        <v>10592.43</v>
      </c>
      <c r="F6487" s="14" t="n">
        <v>10592.43</v>
      </c>
      <c r="G6487" s="6" t="s">
        <v>2613</v>
      </c>
    </row>
    <row r="6488" customFormat="false" ht="15" hidden="false" customHeight="true" outlineLevel="0" collapsed="false">
      <c r="A6488" s="6" t="s">
        <v>9100</v>
      </c>
      <c r="B6488" s="6" t="s">
        <v>1423</v>
      </c>
      <c r="C6488" s="6" t="s">
        <v>124</v>
      </c>
      <c r="D6488" s="13" t="n">
        <v>46162</v>
      </c>
      <c r="E6488" s="14" t="n">
        <v>10556.76</v>
      </c>
      <c r="F6488" s="14" t="n">
        <v>21149.19</v>
      </c>
      <c r="G6488" s="6" t="s">
        <v>2623</v>
      </c>
    </row>
    <row r="6489" customFormat="false" ht="15" hidden="false" customHeight="true" outlineLevel="0" collapsed="false">
      <c r="A6489" s="6" t="s">
        <v>9101</v>
      </c>
      <c r="B6489" s="6" t="s">
        <v>1423</v>
      </c>
      <c r="C6489" s="6" t="s">
        <v>124</v>
      </c>
      <c r="D6489" s="13" t="n">
        <v>46169</v>
      </c>
      <c r="E6489" s="14" t="n">
        <v>8631.27</v>
      </c>
      <c r="F6489" s="14" t="n">
        <v>29780.46</v>
      </c>
      <c r="G6489" s="6" t="s">
        <v>2613</v>
      </c>
    </row>
    <row r="6490" customFormat="false" ht="15" hidden="false" customHeight="true" outlineLevel="0" collapsed="false">
      <c r="A6490" s="6" t="s">
        <v>9102</v>
      </c>
      <c r="B6490" s="6" t="s">
        <v>1423</v>
      </c>
      <c r="C6490" s="6" t="s">
        <v>124</v>
      </c>
      <c r="D6490" s="13" t="n">
        <v>46176</v>
      </c>
      <c r="E6490" s="14" t="n">
        <v>6006.13</v>
      </c>
      <c r="F6490" s="14" t="n">
        <v>35786.59</v>
      </c>
      <c r="G6490" s="6" t="s">
        <v>2613</v>
      </c>
    </row>
    <row r="6491" customFormat="false" ht="15" hidden="false" customHeight="true" outlineLevel="0" collapsed="false">
      <c r="A6491" s="6" t="s">
        <v>9103</v>
      </c>
      <c r="B6491" s="6" t="s">
        <v>1423</v>
      </c>
      <c r="C6491" s="6" t="s">
        <v>124</v>
      </c>
      <c r="D6491" s="13" t="n">
        <v>46183</v>
      </c>
      <c r="E6491" s="14" t="n">
        <v>6300.85</v>
      </c>
      <c r="F6491" s="14" t="n">
        <v>42087.44</v>
      </c>
      <c r="G6491" s="6" t="s">
        <v>2613</v>
      </c>
    </row>
    <row r="6492" customFormat="false" ht="15" hidden="false" customHeight="true" outlineLevel="0" collapsed="false">
      <c r="A6492" s="6" t="s">
        <v>9104</v>
      </c>
      <c r="B6492" s="6" t="s">
        <v>1423</v>
      </c>
      <c r="C6492" s="6" t="s">
        <v>124</v>
      </c>
      <c r="D6492" s="13" t="n">
        <v>46190</v>
      </c>
      <c r="E6492" s="14" t="n">
        <v>6633.12</v>
      </c>
      <c r="F6492" s="14" t="n">
        <v>48720.56</v>
      </c>
      <c r="G6492" s="6" t="s">
        <v>2613</v>
      </c>
    </row>
    <row r="6493" customFormat="false" ht="15" hidden="false" customHeight="true" outlineLevel="0" collapsed="false">
      <c r="A6493" s="6" t="s">
        <v>9105</v>
      </c>
      <c r="B6493" s="6" t="s">
        <v>1423</v>
      </c>
      <c r="C6493" s="6" t="s">
        <v>124</v>
      </c>
      <c r="D6493" s="13" t="n">
        <v>46197</v>
      </c>
      <c r="E6493" s="14" t="n">
        <v>11149.33</v>
      </c>
      <c r="F6493" s="14" t="n">
        <v>59869.89</v>
      </c>
      <c r="G6493" s="6" t="s">
        <v>2613</v>
      </c>
    </row>
    <row r="6494" customFormat="false" ht="15" hidden="false" customHeight="true" outlineLevel="0" collapsed="false">
      <c r="A6494" s="6" t="s">
        <v>9106</v>
      </c>
      <c r="B6494" s="6" t="s">
        <v>1423</v>
      </c>
      <c r="C6494" s="6" t="s">
        <v>124</v>
      </c>
      <c r="D6494" s="13" t="n">
        <v>46204</v>
      </c>
      <c r="E6494" s="14" t="n">
        <v>5696.15</v>
      </c>
      <c r="F6494" s="14" t="n">
        <v>65566.04</v>
      </c>
      <c r="G6494" s="6" t="s">
        <v>2613</v>
      </c>
    </row>
    <row r="6495" customFormat="false" ht="15" hidden="false" customHeight="true" outlineLevel="0" collapsed="false">
      <c r="A6495" s="6" t="s">
        <v>9107</v>
      </c>
      <c r="B6495" s="6" t="s">
        <v>1423</v>
      </c>
      <c r="C6495" s="6" t="s">
        <v>124</v>
      </c>
      <c r="D6495" s="13" t="n">
        <v>46211</v>
      </c>
      <c r="E6495" s="14" t="n">
        <v>6304.22</v>
      </c>
      <c r="F6495" s="14" t="n">
        <v>71870.26</v>
      </c>
      <c r="G6495" s="6" t="s">
        <v>2613</v>
      </c>
    </row>
    <row r="6496" customFormat="false" ht="15" hidden="false" customHeight="true" outlineLevel="0" collapsed="false">
      <c r="A6496" s="6" t="s">
        <v>9108</v>
      </c>
      <c r="B6496" s="6" t="s">
        <v>1423</v>
      </c>
      <c r="C6496" s="6" t="s">
        <v>124</v>
      </c>
      <c r="D6496" s="13" t="n">
        <v>46218</v>
      </c>
      <c r="E6496" s="14" t="n">
        <v>6405.73</v>
      </c>
      <c r="F6496" s="14" t="n">
        <v>78275.99</v>
      </c>
      <c r="G6496" s="6" t="s">
        <v>2613</v>
      </c>
    </row>
    <row r="6497" customFormat="false" ht="15" hidden="false" customHeight="true" outlineLevel="0" collapsed="false">
      <c r="A6497" s="6" t="s">
        <v>9109</v>
      </c>
      <c r="B6497" s="6" t="s">
        <v>1423</v>
      </c>
      <c r="C6497" s="6" t="s">
        <v>124</v>
      </c>
      <c r="D6497" s="13" t="n">
        <v>46225</v>
      </c>
      <c r="E6497" s="14" t="n">
        <v>16070.5</v>
      </c>
      <c r="F6497" s="14" t="n">
        <v>94346.49</v>
      </c>
      <c r="G6497" s="6" t="s">
        <v>2613</v>
      </c>
    </row>
    <row r="6498" customFormat="false" ht="15" hidden="false" customHeight="true" outlineLevel="0" collapsed="false">
      <c r="A6498" s="6" t="s">
        <v>9110</v>
      </c>
      <c r="B6498" s="6" t="s">
        <v>1425</v>
      </c>
      <c r="C6498" s="6" t="s">
        <v>128</v>
      </c>
      <c r="D6498" s="13" t="n">
        <v>44955</v>
      </c>
      <c r="E6498" s="14" t="n">
        <v>6361.54</v>
      </c>
      <c r="F6498" s="14" t="n">
        <v>6361.54</v>
      </c>
      <c r="G6498" s="6" t="s">
        <v>2623</v>
      </c>
    </row>
    <row r="6499" customFormat="false" ht="15" hidden="false" customHeight="true" outlineLevel="0" collapsed="false">
      <c r="A6499" s="6" t="s">
        <v>9111</v>
      </c>
      <c r="B6499" s="6" t="s">
        <v>1425</v>
      </c>
      <c r="C6499" s="6" t="s">
        <v>128</v>
      </c>
      <c r="D6499" s="13" t="n">
        <v>44962</v>
      </c>
      <c r="E6499" s="14" t="n">
        <v>10948.69</v>
      </c>
      <c r="F6499" s="14" t="n">
        <v>17310.23</v>
      </c>
      <c r="G6499" s="6" t="s">
        <v>2613</v>
      </c>
    </row>
    <row r="6500" customFormat="false" ht="15" hidden="false" customHeight="true" outlineLevel="0" collapsed="false">
      <c r="A6500" s="6" t="s">
        <v>9112</v>
      </c>
      <c r="B6500" s="6" t="s">
        <v>1425</v>
      </c>
      <c r="C6500" s="6" t="s">
        <v>128</v>
      </c>
      <c r="D6500" s="13" t="n">
        <v>44969</v>
      </c>
      <c r="E6500" s="14" t="n">
        <v>6240.13</v>
      </c>
      <c r="F6500" s="14" t="n">
        <v>23550.36</v>
      </c>
      <c r="G6500" s="6" t="s">
        <v>2613</v>
      </c>
    </row>
    <row r="6501" customFormat="false" ht="15" hidden="false" customHeight="true" outlineLevel="0" collapsed="false">
      <c r="A6501" s="6" t="s">
        <v>9113</v>
      </c>
      <c r="B6501" s="6" t="s">
        <v>1425</v>
      </c>
      <c r="C6501" s="6" t="s">
        <v>128</v>
      </c>
      <c r="D6501" s="13" t="n">
        <v>44976</v>
      </c>
      <c r="E6501" s="14" t="n">
        <v>5724.96</v>
      </c>
      <c r="F6501" s="14" t="n">
        <v>29275.32</v>
      </c>
      <c r="G6501" s="6" t="s">
        <v>2613</v>
      </c>
    </row>
    <row r="6502" customFormat="false" ht="15" hidden="false" customHeight="true" outlineLevel="0" collapsed="false">
      <c r="A6502" s="6" t="s">
        <v>9114</v>
      </c>
      <c r="B6502" s="6" t="s">
        <v>1425</v>
      </c>
      <c r="C6502" s="6" t="s">
        <v>128</v>
      </c>
      <c r="D6502" s="13" t="n">
        <v>44983</v>
      </c>
      <c r="E6502" s="14" t="n">
        <v>6325.46</v>
      </c>
      <c r="F6502" s="14" t="n">
        <v>35600.78</v>
      </c>
      <c r="G6502" s="6" t="s">
        <v>2623</v>
      </c>
    </row>
    <row r="6503" customFormat="false" ht="15" hidden="false" customHeight="true" outlineLevel="0" collapsed="false">
      <c r="A6503" s="6" t="s">
        <v>9115</v>
      </c>
      <c r="B6503" s="6" t="s">
        <v>1425</v>
      </c>
      <c r="C6503" s="6" t="s">
        <v>128</v>
      </c>
      <c r="D6503" s="13" t="n">
        <v>44990</v>
      </c>
      <c r="E6503" s="14" t="n">
        <v>5220.67</v>
      </c>
      <c r="F6503" s="14" t="n">
        <v>40821.45</v>
      </c>
      <c r="G6503" s="6" t="s">
        <v>2613</v>
      </c>
    </row>
    <row r="6504" customFormat="false" ht="15" hidden="false" customHeight="true" outlineLevel="0" collapsed="false">
      <c r="A6504" s="6" t="s">
        <v>9116</v>
      </c>
      <c r="B6504" s="6" t="s">
        <v>1425</v>
      </c>
      <c r="C6504" s="6" t="s">
        <v>128</v>
      </c>
      <c r="D6504" s="13" t="n">
        <v>44997</v>
      </c>
      <c r="E6504" s="14" t="n">
        <v>7983.76</v>
      </c>
      <c r="F6504" s="14" t="n">
        <v>48805.21</v>
      </c>
      <c r="G6504" s="6" t="s">
        <v>2613</v>
      </c>
    </row>
    <row r="6505" customFormat="false" ht="15" hidden="false" customHeight="true" outlineLevel="0" collapsed="false">
      <c r="A6505" s="6" t="s">
        <v>9117</v>
      </c>
      <c r="B6505" s="6" t="s">
        <v>1425</v>
      </c>
      <c r="C6505" s="6" t="s">
        <v>128</v>
      </c>
      <c r="D6505" s="13" t="n">
        <v>45004</v>
      </c>
      <c r="E6505" s="14" t="n">
        <v>9871.95</v>
      </c>
      <c r="F6505" s="14" t="n">
        <v>58677.16</v>
      </c>
      <c r="G6505" s="6" t="s">
        <v>2623</v>
      </c>
    </row>
    <row r="6506" customFormat="false" ht="15" hidden="false" customHeight="true" outlineLevel="0" collapsed="false">
      <c r="A6506" s="6" t="s">
        <v>9118</v>
      </c>
      <c r="B6506" s="6" t="s">
        <v>1425</v>
      </c>
      <c r="C6506" s="6" t="s">
        <v>128</v>
      </c>
      <c r="D6506" s="13" t="n">
        <v>45011</v>
      </c>
      <c r="E6506" s="14" t="n">
        <v>7931.82</v>
      </c>
      <c r="F6506" s="14" t="n">
        <v>66608.98</v>
      </c>
      <c r="G6506" s="6" t="s">
        <v>2623</v>
      </c>
    </row>
    <row r="6507" customFormat="false" ht="15" hidden="false" customHeight="true" outlineLevel="0" collapsed="false">
      <c r="A6507" s="6" t="s">
        <v>9119</v>
      </c>
      <c r="B6507" s="6" t="s">
        <v>1425</v>
      </c>
      <c r="C6507" s="6" t="s">
        <v>128</v>
      </c>
      <c r="D6507" s="13" t="n">
        <v>45018</v>
      </c>
      <c r="E6507" s="14" t="n">
        <v>11410.14</v>
      </c>
      <c r="F6507" s="14" t="n">
        <v>78019.12</v>
      </c>
      <c r="G6507" s="6" t="s">
        <v>2613</v>
      </c>
    </row>
    <row r="6508" customFormat="false" ht="15" hidden="false" customHeight="true" outlineLevel="0" collapsed="false">
      <c r="A6508" s="6" t="s">
        <v>9120</v>
      </c>
      <c r="B6508" s="6" t="s">
        <v>1425</v>
      </c>
      <c r="C6508" s="6" t="s">
        <v>128</v>
      </c>
      <c r="D6508" s="13" t="n">
        <v>45025</v>
      </c>
      <c r="E6508" s="14" t="n">
        <v>16007.65</v>
      </c>
      <c r="F6508" s="14" t="n">
        <v>94026.77</v>
      </c>
      <c r="G6508" s="6" t="s">
        <v>2613</v>
      </c>
    </row>
    <row r="6509" customFormat="false" ht="15" hidden="false" customHeight="true" outlineLevel="0" collapsed="false">
      <c r="A6509" s="6" t="s">
        <v>9121</v>
      </c>
      <c r="B6509" s="6" t="s">
        <v>1427</v>
      </c>
      <c r="C6509" s="6" t="s">
        <v>112</v>
      </c>
      <c r="D6509" s="13" t="n">
        <v>44741</v>
      </c>
      <c r="E6509" s="14" t="n">
        <v>1198.63</v>
      </c>
      <c r="F6509" s="14" t="n">
        <v>1198.63</v>
      </c>
      <c r="G6509" s="6" t="s">
        <v>2613</v>
      </c>
    </row>
    <row r="6510" customFormat="false" ht="15" hidden="false" customHeight="true" outlineLevel="0" collapsed="false">
      <c r="A6510" s="6" t="s">
        <v>9122</v>
      </c>
      <c r="B6510" s="6" t="s">
        <v>1427</v>
      </c>
      <c r="C6510" s="6" t="s">
        <v>112</v>
      </c>
      <c r="D6510" s="13" t="n">
        <v>44748</v>
      </c>
      <c r="E6510" s="14" t="n">
        <v>734.89</v>
      </c>
      <c r="F6510" s="14" t="n">
        <v>1933.52</v>
      </c>
      <c r="G6510" s="6" t="s">
        <v>2613</v>
      </c>
    </row>
    <row r="6511" customFormat="false" ht="15" hidden="false" customHeight="true" outlineLevel="0" collapsed="false">
      <c r="A6511" s="6" t="s">
        <v>9123</v>
      </c>
      <c r="B6511" s="6" t="s">
        <v>1427</v>
      </c>
      <c r="C6511" s="6" t="s">
        <v>112</v>
      </c>
      <c r="D6511" s="13" t="n">
        <v>44755</v>
      </c>
      <c r="E6511" s="14" t="n">
        <v>1256.73</v>
      </c>
      <c r="F6511" s="14" t="n">
        <v>3190.25</v>
      </c>
      <c r="G6511" s="6" t="s">
        <v>2623</v>
      </c>
    </row>
    <row r="6512" customFormat="false" ht="15" hidden="false" customHeight="true" outlineLevel="0" collapsed="false">
      <c r="A6512" s="6" t="s">
        <v>9124</v>
      </c>
      <c r="B6512" s="6" t="s">
        <v>1427</v>
      </c>
      <c r="C6512" s="6" t="s">
        <v>112</v>
      </c>
      <c r="D6512" s="13" t="n">
        <v>44762</v>
      </c>
      <c r="E6512" s="14" t="n">
        <v>1346.47</v>
      </c>
      <c r="F6512" s="14" t="n">
        <v>4536.72</v>
      </c>
      <c r="G6512" s="6" t="s">
        <v>2613</v>
      </c>
    </row>
    <row r="6513" customFormat="false" ht="15" hidden="false" customHeight="true" outlineLevel="0" collapsed="false">
      <c r="A6513" s="6" t="s">
        <v>9125</v>
      </c>
      <c r="B6513" s="6" t="s">
        <v>1427</v>
      </c>
      <c r="C6513" s="6" t="s">
        <v>112</v>
      </c>
      <c r="D6513" s="13" t="n">
        <v>44769</v>
      </c>
      <c r="E6513" s="14" t="n">
        <v>414.61</v>
      </c>
      <c r="F6513" s="14" t="n">
        <v>4951.33</v>
      </c>
      <c r="G6513" s="6" t="s">
        <v>2613</v>
      </c>
    </row>
    <row r="6514" customFormat="false" ht="15" hidden="false" customHeight="true" outlineLevel="0" collapsed="false">
      <c r="A6514" s="6" t="s">
        <v>9126</v>
      </c>
      <c r="B6514" s="6" t="s">
        <v>1429</v>
      </c>
      <c r="C6514" s="6" t="s">
        <v>131</v>
      </c>
      <c r="D6514" s="13" t="n">
        <v>45972</v>
      </c>
      <c r="E6514" s="14" t="n">
        <v>2408.52</v>
      </c>
      <c r="F6514" s="14" t="n">
        <v>2408.52</v>
      </c>
      <c r="G6514" s="6" t="s">
        <v>2613</v>
      </c>
    </row>
    <row r="6515" customFormat="false" ht="15" hidden="false" customHeight="true" outlineLevel="0" collapsed="false">
      <c r="A6515" s="6" t="s">
        <v>9127</v>
      </c>
      <c r="B6515" s="6" t="s">
        <v>1429</v>
      </c>
      <c r="C6515" s="6" t="s">
        <v>131</v>
      </c>
      <c r="D6515" s="13" t="n">
        <v>45979</v>
      </c>
      <c r="E6515" s="14" t="n">
        <v>4848.53</v>
      </c>
      <c r="F6515" s="14" t="n">
        <v>7257.05</v>
      </c>
      <c r="G6515" s="6" t="s">
        <v>2613</v>
      </c>
    </row>
    <row r="6516" customFormat="false" ht="15" hidden="false" customHeight="true" outlineLevel="0" collapsed="false">
      <c r="A6516" s="6" t="s">
        <v>9128</v>
      </c>
      <c r="B6516" s="6" t="s">
        <v>1429</v>
      </c>
      <c r="C6516" s="6" t="s">
        <v>131</v>
      </c>
      <c r="D6516" s="13" t="n">
        <v>45986</v>
      </c>
      <c r="E6516" s="14" t="n">
        <v>2897.76</v>
      </c>
      <c r="F6516" s="14" t="n">
        <v>10154.81</v>
      </c>
      <c r="G6516" s="6" t="s">
        <v>2613</v>
      </c>
    </row>
    <row r="6517" customFormat="false" ht="15" hidden="false" customHeight="true" outlineLevel="0" collapsed="false">
      <c r="A6517" s="6" t="s">
        <v>9129</v>
      </c>
      <c r="B6517" s="6" t="s">
        <v>1429</v>
      </c>
      <c r="C6517" s="6" t="s">
        <v>131</v>
      </c>
      <c r="D6517" s="13" t="n">
        <v>45993</v>
      </c>
      <c r="E6517" s="14" t="n">
        <v>5055.26</v>
      </c>
      <c r="F6517" s="14" t="n">
        <v>15210.07</v>
      </c>
      <c r="G6517" s="6" t="s">
        <v>2623</v>
      </c>
    </row>
    <row r="6518" customFormat="false" ht="15" hidden="false" customHeight="true" outlineLevel="0" collapsed="false">
      <c r="A6518" s="6" t="s">
        <v>9130</v>
      </c>
      <c r="B6518" s="6" t="s">
        <v>1429</v>
      </c>
      <c r="C6518" s="6" t="s">
        <v>131</v>
      </c>
      <c r="D6518" s="13" t="n">
        <v>46000</v>
      </c>
      <c r="E6518" s="14" t="n">
        <v>3957.21</v>
      </c>
      <c r="F6518" s="14" t="n">
        <v>19167.28</v>
      </c>
      <c r="G6518" s="6" t="s">
        <v>2613</v>
      </c>
    </row>
    <row r="6519" customFormat="false" ht="15" hidden="false" customHeight="true" outlineLevel="0" collapsed="false">
      <c r="A6519" s="6" t="s">
        <v>9131</v>
      </c>
      <c r="B6519" s="6" t="s">
        <v>1429</v>
      </c>
      <c r="C6519" s="6" t="s">
        <v>131</v>
      </c>
      <c r="D6519" s="13" t="n">
        <v>46007</v>
      </c>
      <c r="E6519" s="14" t="n">
        <v>2763.33</v>
      </c>
      <c r="F6519" s="14" t="n">
        <v>21930.61</v>
      </c>
      <c r="G6519" s="6" t="s">
        <v>2613</v>
      </c>
    </row>
    <row r="6520" customFormat="false" ht="15" hidden="false" customHeight="true" outlineLevel="0" collapsed="false">
      <c r="A6520" s="6" t="s">
        <v>9132</v>
      </c>
      <c r="B6520" s="6" t="s">
        <v>1429</v>
      </c>
      <c r="C6520" s="6" t="s">
        <v>131</v>
      </c>
      <c r="D6520" s="13" t="n">
        <v>46014</v>
      </c>
      <c r="E6520" s="14" t="n">
        <v>2513.97</v>
      </c>
      <c r="F6520" s="14" t="n">
        <v>24444.58</v>
      </c>
      <c r="G6520" s="6" t="s">
        <v>2613</v>
      </c>
    </row>
    <row r="6521" customFormat="false" ht="15" hidden="false" customHeight="true" outlineLevel="0" collapsed="false">
      <c r="A6521" s="6" t="s">
        <v>9133</v>
      </c>
      <c r="B6521" s="6" t="s">
        <v>1429</v>
      </c>
      <c r="C6521" s="6" t="s">
        <v>131</v>
      </c>
      <c r="D6521" s="13" t="n">
        <v>46021</v>
      </c>
      <c r="E6521" s="14" t="n">
        <v>4216.33</v>
      </c>
      <c r="F6521" s="14" t="n">
        <v>28660.91</v>
      </c>
      <c r="G6521" s="6" t="s">
        <v>2613</v>
      </c>
    </row>
    <row r="6522" customFormat="false" ht="15" hidden="false" customHeight="true" outlineLevel="0" collapsed="false">
      <c r="A6522" s="6" t="s">
        <v>9134</v>
      </c>
      <c r="B6522" s="6" t="s">
        <v>1429</v>
      </c>
      <c r="C6522" s="6" t="s">
        <v>131</v>
      </c>
      <c r="D6522" s="13" t="n">
        <v>46028</v>
      </c>
      <c r="E6522" s="14" t="n">
        <v>4259</v>
      </c>
      <c r="F6522" s="14" t="n">
        <v>32919.91</v>
      </c>
      <c r="G6522" s="6" t="s">
        <v>2613</v>
      </c>
    </row>
    <row r="6523" customFormat="false" ht="15" hidden="false" customHeight="true" outlineLevel="0" collapsed="false">
      <c r="A6523" s="6" t="s">
        <v>9135</v>
      </c>
      <c r="B6523" s="6" t="s">
        <v>1429</v>
      </c>
      <c r="C6523" s="6" t="s">
        <v>131</v>
      </c>
      <c r="D6523" s="13" t="n">
        <v>46035</v>
      </c>
      <c r="E6523" s="14" t="n">
        <v>4484.48</v>
      </c>
      <c r="F6523" s="14" t="n">
        <v>37404.39</v>
      </c>
      <c r="G6523" s="6" t="s">
        <v>2613</v>
      </c>
    </row>
    <row r="6524" customFormat="false" ht="15" hidden="false" customHeight="true" outlineLevel="0" collapsed="false">
      <c r="A6524" s="6" t="s">
        <v>9136</v>
      </c>
      <c r="B6524" s="6" t="s">
        <v>1431</v>
      </c>
      <c r="C6524" s="6" t="s">
        <v>116</v>
      </c>
      <c r="D6524" s="13" t="n">
        <v>46034</v>
      </c>
      <c r="E6524" s="14" t="n">
        <v>506.66</v>
      </c>
      <c r="F6524" s="14" t="n">
        <v>506.66</v>
      </c>
      <c r="G6524" s="6" t="s">
        <v>2613</v>
      </c>
    </row>
    <row r="6525" customFormat="false" ht="15" hidden="false" customHeight="true" outlineLevel="0" collapsed="false">
      <c r="A6525" s="6" t="s">
        <v>9137</v>
      </c>
      <c r="B6525" s="6" t="s">
        <v>1431</v>
      </c>
      <c r="C6525" s="6" t="s">
        <v>116</v>
      </c>
      <c r="D6525" s="13" t="n">
        <v>46041</v>
      </c>
      <c r="E6525" s="14" t="n">
        <v>511.41</v>
      </c>
      <c r="F6525" s="14" t="n">
        <v>1018.07</v>
      </c>
      <c r="G6525" s="6" t="s">
        <v>2613</v>
      </c>
    </row>
    <row r="6526" customFormat="false" ht="15" hidden="false" customHeight="true" outlineLevel="0" collapsed="false">
      <c r="A6526" s="6" t="s">
        <v>9138</v>
      </c>
      <c r="B6526" s="6" t="s">
        <v>1431</v>
      </c>
      <c r="C6526" s="6" t="s">
        <v>116</v>
      </c>
      <c r="D6526" s="13" t="n">
        <v>46048</v>
      </c>
      <c r="E6526" s="14" t="n">
        <v>285.18</v>
      </c>
      <c r="F6526" s="14" t="n">
        <v>1303.25</v>
      </c>
      <c r="G6526" s="6" t="s">
        <v>2613</v>
      </c>
    </row>
    <row r="6527" customFormat="false" ht="15" hidden="false" customHeight="true" outlineLevel="0" collapsed="false">
      <c r="A6527" s="6" t="s">
        <v>9139</v>
      </c>
      <c r="B6527" s="6" t="s">
        <v>1431</v>
      </c>
      <c r="C6527" s="6" t="s">
        <v>116</v>
      </c>
      <c r="D6527" s="13" t="n">
        <v>46055</v>
      </c>
      <c r="E6527" s="14" t="n">
        <v>505.07</v>
      </c>
      <c r="F6527" s="14" t="n">
        <v>1808.32</v>
      </c>
      <c r="G6527" s="6" t="s">
        <v>2613</v>
      </c>
    </row>
    <row r="6528" customFormat="false" ht="15" hidden="false" customHeight="true" outlineLevel="0" collapsed="false">
      <c r="A6528" s="6" t="s">
        <v>9140</v>
      </c>
      <c r="B6528" s="6" t="s">
        <v>1431</v>
      </c>
      <c r="C6528" s="6" t="s">
        <v>116</v>
      </c>
      <c r="D6528" s="13" t="n">
        <v>46062</v>
      </c>
      <c r="E6528" s="14" t="n">
        <v>376.66</v>
      </c>
      <c r="F6528" s="14" t="n">
        <v>2184.98</v>
      </c>
      <c r="G6528" s="6" t="s">
        <v>2613</v>
      </c>
    </row>
    <row r="6529" customFormat="false" ht="15" hidden="false" customHeight="true" outlineLevel="0" collapsed="false">
      <c r="A6529" s="6" t="s">
        <v>9141</v>
      </c>
      <c r="B6529" s="6" t="s">
        <v>1431</v>
      </c>
      <c r="C6529" s="6" t="s">
        <v>116</v>
      </c>
      <c r="D6529" s="13" t="n">
        <v>46069</v>
      </c>
      <c r="E6529" s="14" t="n">
        <v>512.39</v>
      </c>
      <c r="F6529" s="14" t="n">
        <v>2697.37</v>
      </c>
      <c r="G6529" s="6" t="s">
        <v>2623</v>
      </c>
    </row>
    <row r="6530" customFormat="false" ht="15" hidden="false" customHeight="true" outlineLevel="0" collapsed="false">
      <c r="A6530" s="6" t="s">
        <v>9142</v>
      </c>
      <c r="B6530" s="6" t="s">
        <v>1431</v>
      </c>
      <c r="C6530" s="6" t="s">
        <v>116</v>
      </c>
      <c r="D6530" s="13" t="n">
        <v>46076</v>
      </c>
      <c r="E6530" s="14" t="n">
        <v>493.98</v>
      </c>
      <c r="F6530" s="14" t="n">
        <v>3191.35</v>
      </c>
      <c r="G6530" s="6" t="s">
        <v>2613</v>
      </c>
    </row>
    <row r="6531" customFormat="false" ht="15" hidden="false" customHeight="true" outlineLevel="0" collapsed="false">
      <c r="A6531" s="6" t="s">
        <v>9143</v>
      </c>
      <c r="B6531" s="6" t="s">
        <v>1431</v>
      </c>
      <c r="C6531" s="6" t="s">
        <v>116</v>
      </c>
      <c r="D6531" s="13" t="n">
        <v>46083</v>
      </c>
      <c r="E6531" s="14" t="n">
        <v>307.39</v>
      </c>
      <c r="F6531" s="14" t="n">
        <v>3498.74</v>
      </c>
      <c r="G6531" s="6" t="s">
        <v>2613</v>
      </c>
    </row>
    <row r="6532" customFormat="false" ht="15" hidden="false" customHeight="true" outlineLevel="0" collapsed="false">
      <c r="A6532" s="6" t="s">
        <v>9144</v>
      </c>
      <c r="B6532" s="6" t="s">
        <v>1431</v>
      </c>
      <c r="C6532" s="6" t="s">
        <v>116</v>
      </c>
      <c r="D6532" s="13" t="n">
        <v>46090</v>
      </c>
      <c r="E6532" s="14" t="n">
        <v>421.83</v>
      </c>
      <c r="F6532" s="14" t="n">
        <v>3920.57</v>
      </c>
      <c r="G6532" s="6" t="s">
        <v>2623</v>
      </c>
    </row>
    <row r="6533" customFormat="false" ht="15" hidden="false" customHeight="true" outlineLevel="0" collapsed="false">
      <c r="A6533" s="6" t="s">
        <v>9145</v>
      </c>
      <c r="B6533" s="6" t="s">
        <v>1431</v>
      </c>
      <c r="C6533" s="6" t="s">
        <v>116</v>
      </c>
      <c r="D6533" s="13" t="n">
        <v>46097</v>
      </c>
      <c r="E6533" s="14" t="n">
        <v>301.75</v>
      </c>
      <c r="F6533" s="14" t="n">
        <v>4222.32</v>
      </c>
      <c r="G6533" s="6" t="s">
        <v>2613</v>
      </c>
    </row>
    <row r="6534" customFormat="false" ht="15" hidden="false" customHeight="true" outlineLevel="0" collapsed="false">
      <c r="A6534" s="6" t="s">
        <v>9146</v>
      </c>
      <c r="B6534" s="6" t="s">
        <v>1433</v>
      </c>
      <c r="C6534" s="6" t="s">
        <v>112</v>
      </c>
      <c r="D6534" s="13" t="n">
        <v>44955</v>
      </c>
      <c r="E6534" s="14" t="n">
        <v>3983.1</v>
      </c>
      <c r="F6534" s="14" t="n">
        <v>3983.1</v>
      </c>
      <c r="G6534" s="6" t="s">
        <v>2613</v>
      </c>
    </row>
    <row r="6535" customFormat="false" ht="15" hidden="false" customHeight="true" outlineLevel="0" collapsed="false">
      <c r="A6535" s="6" t="s">
        <v>9147</v>
      </c>
      <c r="B6535" s="6" t="s">
        <v>1433</v>
      </c>
      <c r="C6535" s="6" t="s">
        <v>112</v>
      </c>
      <c r="D6535" s="13" t="n">
        <v>44962</v>
      </c>
      <c r="E6535" s="14" t="n">
        <v>6596.9</v>
      </c>
      <c r="F6535" s="14" t="n">
        <v>10580</v>
      </c>
      <c r="G6535" s="6" t="s">
        <v>2613</v>
      </c>
    </row>
    <row r="6536" customFormat="false" ht="15" hidden="false" customHeight="true" outlineLevel="0" collapsed="false">
      <c r="A6536" s="6" t="s">
        <v>9148</v>
      </c>
      <c r="B6536" s="6" t="s">
        <v>1433</v>
      </c>
      <c r="C6536" s="6" t="s">
        <v>112</v>
      </c>
      <c r="D6536" s="13" t="n">
        <v>44969</v>
      </c>
      <c r="E6536" s="14" t="n">
        <v>5118.02</v>
      </c>
      <c r="F6536" s="14" t="n">
        <v>15698.02</v>
      </c>
      <c r="G6536" s="6" t="s">
        <v>2613</v>
      </c>
    </row>
    <row r="6537" customFormat="false" ht="15" hidden="false" customHeight="true" outlineLevel="0" collapsed="false">
      <c r="A6537" s="6" t="s">
        <v>9149</v>
      </c>
      <c r="B6537" s="6" t="s">
        <v>1433</v>
      </c>
      <c r="C6537" s="6" t="s">
        <v>112</v>
      </c>
      <c r="D6537" s="13" t="n">
        <v>44976</v>
      </c>
      <c r="E6537" s="14" t="n">
        <v>7645.16</v>
      </c>
      <c r="F6537" s="14" t="n">
        <v>23343.18</v>
      </c>
      <c r="G6537" s="6" t="s">
        <v>2613</v>
      </c>
    </row>
    <row r="6538" customFormat="false" ht="15" hidden="false" customHeight="true" outlineLevel="0" collapsed="false">
      <c r="A6538" s="6" t="s">
        <v>9150</v>
      </c>
      <c r="B6538" s="6" t="s">
        <v>1433</v>
      </c>
      <c r="C6538" s="6" t="s">
        <v>112</v>
      </c>
      <c r="D6538" s="13" t="n">
        <v>44983</v>
      </c>
      <c r="E6538" s="14" t="n">
        <v>5128.39</v>
      </c>
      <c r="F6538" s="14" t="n">
        <v>28471.57</v>
      </c>
      <c r="G6538" s="6" t="s">
        <v>2613</v>
      </c>
    </row>
    <row r="6539" customFormat="false" ht="15" hidden="false" customHeight="true" outlineLevel="0" collapsed="false">
      <c r="A6539" s="6" t="s">
        <v>9151</v>
      </c>
      <c r="B6539" s="6" t="s">
        <v>1433</v>
      </c>
      <c r="C6539" s="6" t="s">
        <v>112</v>
      </c>
      <c r="D6539" s="13" t="n">
        <v>44990</v>
      </c>
      <c r="E6539" s="14" t="n">
        <v>5463.55</v>
      </c>
      <c r="F6539" s="14" t="n">
        <v>33935.12</v>
      </c>
      <c r="G6539" s="6" t="s">
        <v>2613</v>
      </c>
    </row>
    <row r="6540" customFormat="false" ht="15" hidden="false" customHeight="true" outlineLevel="0" collapsed="false">
      <c r="A6540" s="6" t="s">
        <v>9152</v>
      </c>
      <c r="B6540" s="6" t="s">
        <v>1433</v>
      </c>
      <c r="C6540" s="6" t="s">
        <v>112</v>
      </c>
      <c r="D6540" s="13" t="n">
        <v>44997</v>
      </c>
      <c r="E6540" s="14" t="n">
        <v>7923.73</v>
      </c>
      <c r="F6540" s="14" t="n">
        <v>41858.85</v>
      </c>
      <c r="G6540" s="6" t="s">
        <v>2613</v>
      </c>
    </row>
    <row r="6541" customFormat="false" ht="15" hidden="false" customHeight="true" outlineLevel="0" collapsed="false">
      <c r="A6541" s="6" t="s">
        <v>9153</v>
      </c>
      <c r="B6541" s="6" t="s">
        <v>1433</v>
      </c>
      <c r="C6541" s="6" t="s">
        <v>112</v>
      </c>
      <c r="D6541" s="13" t="n">
        <v>45004</v>
      </c>
      <c r="E6541" s="14" t="n">
        <v>6034.42</v>
      </c>
      <c r="F6541" s="14" t="n">
        <v>47893.27</v>
      </c>
      <c r="G6541" s="6" t="s">
        <v>2613</v>
      </c>
    </row>
    <row r="6542" customFormat="false" ht="15" hidden="false" customHeight="true" outlineLevel="0" collapsed="false">
      <c r="A6542" s="6" t="s">
        <v>9154</v>
      </c>
      <c r="B6542" s="6" t="s">
        <v>1433</v>
      </c>
      <c r="C6542" s="6" t="s">
        <v>112</v>
      </c>
      <c r="D6542" s="13" t="n">
        <v>45011</v>
      </c>
      <c r="E6542" s="14" t="n">
        <v>3830.08</v>
      </c>
      <c r="F6542" s="14" t="n">
        <v>51723.35</v>
      </c>
      <c r="G6542" s="6" t="s">
        <v>2613</v>
      </c>
    </row>
    <row r="6543" customFormat="false" ht="15" hidden="false" customHeight="true" outlineLevel="0" collapsed="false">
      <c r="A6543" s="6" t="s">
        <v>9155</v>
      </c>
      <c r="B6543" s="6" t="s">
        <v>1433</v>
      </c>
      <c r="C6543" s="6" t="s">
        <v>112</v>
      </c>
      <c r="D6543" s="13" t="n">
        <v>45018</v>
      </c>
      <c r="E6543" s="14" t="n">
        <v>5253.01</v>
      </c>
      <c r="F6543" s="14" t="n">
        <v>56976.36</v>
      </c>
      <c r="G6543" s="6" t="s">
        <v>2613</v>
      </c>
    </row>
    <row r="6544" customFormat="false" ht="15" hidden="false" customHeight="true" outlineLevel="0" collapsed="false">
      <c r="A6544" s="6" t="s">
        <v>9156</v>
      </c>
      <c r="B6544" s="6" t="s">
        <v>1433</v>
      </c>
      <c r="C6544" s="6" t="s">
        <v>112</v>
      </c>
      <c r="D6544" s="13" t="n">
        <v>45025</v>
      </c>
      <c r="E6544" s="14" t="n">
        <v>7528.24</v>
      </c>
      <c r="F6544" s="14" t="n">
        <v>64504.6</v>
      </c>
      <c r="G6544" s="6" t="s">
        <v>2613</v>
      </c>
    </row>
    <row r="6545" customFormat="false" ht="15" hidden="false" customHeight="true" outlineLevel="0" collapsed="false">
      <c r="A6545" s="6" t="s">
        <v>9157</v>
      </c>
      <c r="B6545" s="6" t="s">
        <v>1433</v>
      </c>
      <c r="C6545" s="6" t="s">
        <v>112</v>
      </c>
      <c r="D6545" s="13" t="n">
        <v>45032</v>
      </c>
      <c r="E6545" s="14" t="n">
        <v>7607.32</v>
      </c>
      <c r="F6545" s="14" t="n">
        <v>72111.92</v>
      </c>
      <c r="G6545" s="6" t="s">
        <v>2613</v>
      </c>
    </row>
    <row r="6546" customFormat="false" ht="15" hidden="false" customHeight="true" outlineLevel="0" collapsed="false">
      <c r="A6546" s="6" t="s">
        <v>9158</v>
      </c>
      <c r="B6546" s="6" t="s">
        <v>1433</v>
      </c>
      <c r="C6546" s="6" t="s">
        <v>112</v>
      </c>
      <c r="D6546" s="13" t="n">
        <v>45039</v>
      </c>
      <c r="E6546" s="14" t="n">
        <v>6634.44</v>
      </c>
      <c r="F6546" s="14" t="n">
        <v>78746.36</v>
      </c>
      <c r="G6546" s="6" t="s">
        <v>2613</v>
      </c>
    </row>
    <row r="6547" customFormat="false" ht="15" hidden="false" customHeight="true" outlineLevel="0" collapsed="false">
      <c r="A6547" s="6" t="s">
        <v>9159</v>
      </c>
      <c r="B6547" s="6" t="s">
        <v>1433</v>
      </c>
      <c r="C6547" s="6" t="s">
        <v>112</v>
      </c>
      <c r="D6547" s="13" t="n">
        <v>45046</v>
      </c>
      <c r="E6547" s="14" t="n">
        <v>6129.95</v>
      </c>
      <c r="F6547" s="14" t="n">
        <v>84876.31</v>
      </c>
      <c r="G6547" s="6" t="s">
        <v>2613</v>
      </c>
    </row>
    <row r="6548" customFormat="false" ht="15" hidden="false" customHeight="true" outlineLevel="0" collapsed="false">
      <c r="A6548" s="6" t="s">
        <v>9160</v>
      </c>
      <c r="B6548" s="6" t="s">
        <v>1433</v>
      </c>
      <c r="C6548" s="6" t="s">
        <v>112</v>
      </c>
      <c r="D6548" s="13" t="n">
        <v>45053</v>
      </c>
      <c r="E6548" s="14" t="n">
        <v>5960.1</v>
      </c>
      <c r="F6548" s="14" t="n">
        <v>90836.41</v>
      </c>
      <c r="G6548" s="6" t="s">
        <v>2613</v>
      </c>
    </row>
    <row r="6549" customFormat="false" ht="15" hidden="false" customHeight="true" outlineLevel="0" collapsed="false">
      <c r="A6549" s="6" t="s">
        <v>9161</v>
      </c>
      <c r="B6549" s="6" t="s">
        <v>1433</v>
      </c>
      <c r="C6549" s="6" t="s">
        <v>112</v>
      </c>
      <c r="D6549" s="13" t="n">
        <v>45060</v>
      </c>
      <c r="E6549" s="14" t="n">
        <v>4094.08</v>
      </c>
      <c r="F6549" s="14" t="n">
        <v>94930.49</v>
      </c>
      <c r="G6549" s="6" t="s">
        <v>2623</v>
      </c>
    </row>
    <row r="6550" customFormat="false" ht="15" hidden="false" customHeight="true" outlineLevel="0" collapsed="false">
      <c r="A6550" s="6" t="s">
        <v>9162</v>
      </c>
      <c r="B6550" s="6" t="s">
        <v>1433</v>
      </c>
      <c r="C6550" s="6" t="s">
        <v>112</v>
      </c>
      <c r="D6550" s="13" t="n">
        <v>45067</v>
      </c>
      <c r="E6550" s="14" t="n">
        <v>8595.14</v>
      </c>
      <c r="F6550" s="14" t="n">
        <v>103525.63</v>
      </c>
      <c r="G6550" s="6" t="s">
        <v>2613</v>
      </c>
    </row>
    <row r="6551" customFormat="false" ht="15" hidden="false" customHeight="true" outlineLevel="0" collapsed="false">
      <c r="A6551" s="6" t="s">
        <v>9163</v>
      </c>
      <c r="B6551" s="6" t="s">
        <v>1433</v>
      </c>
      <c r="C6551" s="6" t="s">
        <v>112</v>
      </c>
      <c r="D6551" s="13" t="n">
        <v>45074</v>
      </c>
      <c r="E6551" s="14" t="n">
        <v>4919.3</v>
      </c>
      <c r="F6551" s="14" t="n">
        <v>108444.93</v>
      </c>
      <c r="G6551" s="6" t="s">
        <v>2613</v>
      </c>
    </row>
    <row r="6552" customFormat="false" ht="15" hidden="false" customHeight="true" outlineLevel="0" collapsed="false">
      <c r="A6552" s="6" t="s">
        <v>9164</v>
      </c>
      <c r="B6552" s="6" t="s">
        <v>1433</v>
      </c>
      <c r="C6552" s="6" t="s">
        <v>112</v>
      </c>
      <c r="D6552" s="13" t="n">
        <v>45081</v>
      </c>
      <c r="E6552" s="14" t="n">
        <v>11122.26</v>
      </c>
      <c r="F6552" s="14" t="n">
        <v>119567.19</v>
      </c>
      <c r="G6552" s="6" t="s">
        <v>2613</v>
      </c>
    </row>
    <row r="6553" customFormat="false" ht="15" hidden="false" customHeight="true" outlineLevel="0" collapsed="false">
      <c r="A6553" s="6" t="s">
        <v>9165</v>
      </c>
      <c r="B6553" s="6" t="s">
        <v>1435</v>
      </c>
      <c r="C6553" s="6" t="s">
        <v>120</v>
      </c>
      <c r="D6553" s="13" t="n">
        <v>46168</v>
      </c>
      <c r="E6553" s="14" t="n">
        <v>466.69</v>
      </c>
      <c r="F6553" s="14" t="n">
        <v>466.69</v>
      </c>
      <c r="G6553" s="6" t="s">
        <v>2613</v>
      </c>
    </row>
    <row r="6554" customFormat="false" ht="15" hidden="false" customHeight="true" outlineLevel="0" collapsed="false">
      <c r="A6554" s="6" t="s">
        <v>9166</v>
      </c>
      <c r="B6554" s="6" t="s">
        <v>1435</v>
      </c>
      <c r="C6554" s="6" t="s">
        <v>120</v>
      </c>
      <c r="D6554" s="13" t="n">
        <v>46175</v>
      </c>
      <c r="E6554" s="14" t="n">
        <v>486.46</v>
      </c>
      <c r="F6554" s="14" t="n">
        <v>953.15</v>
      </c>
      <c r="G6554" s="6" t="s">
        <v>2613</v>
      </c>
    </row>
    <row r="6555" customFormat="false" ht="15" hidden="false" customHeight="true" outlineLevel="0" collapsed="false">
      <c r="A6555" s="6" t="s">
        <v>9167</v>
      </c>
      <c r="B6555" s="6" t="s">
        <v>1435</v>
      </c>
      <c r="C6555" s="6" t="s">
        <v>120</v>
      </c>
      <c r="D6555" s="13" t="n">
        <v>46182</v>
      </c>
      <c r="E6555" s="14" t="n">
        <v>638.83</v>
      </c>
      <c r="F6555" s="14" t="n">
        <v>1591.98</v>
      </c>
      <c r="G6555" s="6" t="s">
        <v>2613</v>
      </c>
    </row>
    <row r="6556" customFormat="false" ht="15" hidden="false" customHeight="true" outlineLevel="0" collapsed="false">
      <c r="A6556" s="6" t="s">
        <v>9168</v>
      </c>
      <c r="B6556" s="6" t="s">
        <v>1435</v>
      </c>
      <c r="C6556" s="6" t="s">
        <v>120</v>
      </c>
      <c r="D6556" s="13" t="n">
        <v>46189</v>
      </c>
      <c r="E6556" s="14" t="n">
        <v>481.33</v>
      </c>
      <c r="F6556" s="14" t="n">
        <v>2073.31</v>
      </c>
      <c r="G6556" s="6" t="s">
        <v>2613</v>
      </c>
    </row>
    <row r="6557" customFormat="false" ht="15" hidden="false" customHeight="true" outlineLevel="0" collapsed="false">
      <c r="A6557" s="6" t="s">
        <v>9169</v>
      </c>
      <c r="B6557" s="6" t="s">
        <v>1435</v>
      </c>
      <c r="C6557" s="6" t="s">
        <v>120</v>
      </c>
      <c r="D6557" s="13" t="n">
        <v>46196</v>
      </c>
      <c r="E6557" s="14" t="n">
        <v>786.93</v>
      </c>
      <c r="F6557" s="14" t="n">
        <v>2860.24</v>
      </c>
      <c r="G6557" s="6" t="s">
        <v>2613</v>
      </c>
    </row>
    <row r="6558" customFormat="false" ht="15" hidden="false" customHeight="true" outlineLevel="0" collapsed="false">
      <c r="A6558" s="6" t="s">
        <v>9170</v>
      </c>
      <c r="B6558" s="6" t="s">
        <v>1435</v>
      </c>
      <c r="C6558" s="6" t="s">
        <v>120</v>
      </c>
      <c r="D6558" s="13" t="n">
        <v>46203</v>
      </c>
      <c r="E6558" s="14" t="n">
        <v>473.12</v>
      </c>
      <c r="F6558" s="14" t="n">
        <v>3333.36</v>
      </c>
      <c r="G6558" s="6" t="s">
        <v>2613</v>
      </c>
    </row>
    <row r="6559" customFormat="false" ht="15" hidden="false" customHeight="true" outlineLevel="0" collapsed="false">
      <c r="A6559" s="6" t="s">
        <v>9171</v>
      </c>
      <c r="B6559" s="6" t="s">
        <v>1435</v>
      </c>
      <c r="C6559" s="6" t="s">
        <v>120</v>
      </c>
      <c r="D6559" s="13" t="n">
        <v>46210</v>
      </c>
      <c r="E6559" s="14" t="n">
        <v>528.64</v>
      </c>
      <c r="F6559" s="14" t="n">
        <v>3862</v>
      </c>
      <c r="G6559" s="6" t="s">
        <v>2613</v>
      </c>
    </row>
    <row r="6560" customFormat="false" ht="15" hidden="false" customHeight="true" outlineLevel="0" collapsed="false">
      <c r="A6560" s="6" t="s">
        <v>9172</v>
      </c>
      <c r="B6560" s="6" t="s">
        <v>1435</v>
      </c>
      <c r="C6560" s="6" t="s">
        <v>120</v>
      </c>
      <c r="D6560" s="13" t="n">
        <v>46217</v>
      </c>
      <c r="E6560" s="14" t="n">
        <v>596.01</v>
      </c>
      <c r="F6560" s="14" t="n">
        <v>4458.01</v>
      </c>
      <c r="G6560" s="6" t="s">
        <v>2613</v>
      </c>
    </row>
    <row r="6561" customFormat="false" ht="15" hidden="false" customHeight="true" outlineLevel="0" collapsed="false">
      <c r="A6561" s="6" t="s">
        <v>9173</v>
      </c>
      <c r="B6561" s="6" t="s">
        <v>1435</v>
      </c>
      <c r="C6561" s="6" t="s">
        <v>120</v>
      </c>
      <c r="D6561" s="13" t="n">
        <v>46224</v>
      </c>
      <c r="E6561" s="14" t="n">
        <v>646.55</v>
      </c>
      <c r="F6561" s="14" t="n">
        <v>5104.56</v>
      </c>
      <c r="G6561" s="6" t="s">
        <v>2613</v>
      </c>
    </row>
    <row r="6562" customFormat="false" ht="15" hidden="false" customHeight="true" outlineLevel="0" collapsed="false">
      <c r="A6562" s="6" t="s">
        <v>9174</v>
      </c>
      <c r="B6562" s="6" t="s">
        <v>1435</v>
      </c>
      <c r="C6562" s="6" t="s">
        <v>120</v>
      </c>
      <c r="D6562" s="13" t="n">
        <v>46231</v>
      </c>
      <c r="E6562" s="14" t="n">
        <v>751.09</v>
      </c>
      <c r="F6562" s="14" t="n">
        <v>5855.65</v>
      </c>
      <c r="G6562" s="6" t="s">
        <v>2613</v>
      </c>
    </row>
    <row r="6563" customFormat="false" ht="15" hidden="false" customHeight="true" outlineLevel="0" collapsed="false">
      <c r="A6563" s="6" t="s">
        <v>9175</v>
      </c>
      <c r="B6563" s="6" t="s">
        <v>1435</v>
      </c>
      <c r="C6563" s="6" t="s">
        <v>120</v>
      </c>
      <c r="D6563" s="13" t="n">
        <v>46238</v>
      </c>
      <c r="E6563" s="14" t="n">
        <v>536.91</v>
      </c>
      <c r="F6563" s="14" t="n">
        <v>6392.56</v>
      </c>
      <c r="G6563" s="6" t="s">
        <v>2613</v>
      </c>
    </row>
    <row r="6564" customFormat="false" ht="15" hidden="false" customHeight="true" outlineLevel="0" collapsed="false">
      <c r="A6564" s="6" t="s">
        <v>9176</v>
      </c>
      <c r="B6564" s="6" t="s">
        <v>1435</v>
      </c>
      <c r="C6564" s="6" t="s">
        <v>120</v>
      </c>
      <c r="D6564" s="13" t="n">
        <v>46245</v>
      </c>
      <c r="E6564" s="14" t="n">
        <v>525.77</v>
      </c>
      <c r="F6564" s="14" t="n">
        <v>6918.33</v>
      </c>
      <c r="G6564" s="6" t="s">
        <v>2613</v>
      </c>
    </row>
    <row r="6565" customFormat="false" ht="15" hidden="false" customHeight="true" outlineLevel="0" collapsed="false">
      <c r="A6565" s="6" t="s">
        <v>9177</v>
      </c>
      <c r="B6565" s="6" t="s">
        <v>1437</v>
      </c>
      <c r="C6565" s="6" t="s">
        <v>124</v>
      </c>
      <c r="D6565" s="13" t="n">
        <v>45628</v>
      </c>
      <c r="E6565" s="14" t="n">
        <v>7988.31</v>
      </c>
      <c r="F6565" s="14" t="n">
        <v>7988.31</v>
      </c>
      <c r="G6565" s="6" t="s">
        <v>2613</v>
      </c>
    </row>
    <row r="6566" customFormat="false" ht="15" hidden="false" customHeight="true" outlineLevel="0" collapsed="false">
      <c r="A6566" s="6" t="s">
        <v>9178</v>
      </c>
      <c r="B6566" s="6" t="s">
        <v>1437</v>
      </c>
      <c r="C6566" s="6" t="s">
        <v>124</v>
      </c>
      <c r="D6566" s="13" t="n">
        <v>45635</v>
      </c>
      <c r="E6566" s="14" t="n">
        <v>3840.04</v>
      </c>
      <c r="F6566" s="14" t="n">
        <v>11828.35</v>
      </c>
      <c r="G6566" s="6" t="s">
        <v>2613</v>
      </c>
    </row>
    <row r="6567" customFormat="false" ht="15" hidden="false" customHeight="true" outlineLevel="0" collapsed="false">
      <c r="A6567" s="6" t="s">
        <v>9179</v>
      </c>
      <c r="B6567" s="6" t="s">
        <v>1439</v>
      </c>
      <c r="C6567" s="6" t="s">
        <v>131</v>
      </c>
      <c r="D6567" s="13" t="n">
        <v>44610</v>
      </c>
      <c r="E6567" s="14" t="n">
        <v>5246.13</v>
      </c>
      <c r="F6567" s="14" t="n">
        <v>5246.13</v>
      </c>
      <c r="G6567" s="6" t="s">
        <v>2613</v>
      </c>
    </row>
    <row r="6568" customFormat="false" ht="15" hidden="false" customHeight="true" outlineLevel="0" collapsed="false">
      <c r="A6568" s="6" t="s">
        <v>9180</v>
      </c>
      <c r="B6568" s="6" t="s">
        <v>1439</v>
      </c>
      <c r="C6568" s="6" t="s">
        <v>131</v>
      </c>
      <c r="D6568" s="13" t="n">
        <v>44617</v>
      </c>
      <c r="E6568" s="14" t="n">
        <v>3536.56</v>
      </c>
      <c r="F6568" s="14" t="n">
        <v>8782.69</v>
      </c>
      <c r="G6568" s="6" t="s">
        <v>2613</v>
      </c>
    </row>
    <row r="6569" customFormat="false" ht="15" hidden="false" customHeight="true" outlineLevel="0" collapsed="false">
      <c r="A6569" s="6" t="s">
        <v>9181</v>
      </c>
      <c r="B6569" s="6" t="s">
        <v>1439</v>
      </c>
      <c r="C6569" s="6" t="s">
        <v>131</v>
      </c>
      <c r="D6569" s="13" t="n">
        <v>44624</v>
      </c>
      <c r="E6569" s="14" t="n">
        <v>4415.33</v>
      </c>
      <c r="F6569" s="14" t="n">
        <v>13198.02</v>
      </c>
      <c r="G6569" s="6" t="s">
        <v>2613</v>
      </c>
    </row>
    <row r="6570" customFormat="false" ht="15" hidden="false" customHeight="true" outlineLevel="0" collapsed="false">
      <c r="A6570" s="6" t="s">
        <v>9182</v>
      </c>
      <c r="B6570" s="6" t="s">
        <v>1439</v>
      </c>
      <c r="C6570" s="6" t="s">
        <v>131</v>
      </c>
      <c r="D6570" s="13" t="n">
        <v>44631</v>
      </c>
      <c r="E6570" s="14" t="n">
        <v>4591.94</v>
      </c>
      <c r="F6570" s="14" t="n">
        <v>17789.96</v>
      </c>
      <c r="G6570" s="6" t="s">
        <v>2613</v>
      </c>
    </row>
    <row r="6571" customFormat="false" ht="15" hidden="false" customHeight="true" outlineLevel="0" collapsed="false">
      <c r="A6571" s="6" t="s">
        <v>9183</v>
      </c>
      <c r="B6571" s="6" t="s">
        <v>1439</v>
      </c>
      <c r="C6571" s="6" t="s">
        <v>131</v>
      </c>
      <c r="D6571" s="13" t="n">
        <v>44638</v>
      </c>
      <c r="E6571" s="14" t="n">
        <v>10429.69</v>
      </c>
      <c r="F6571" s="14" t="n">
        <v>28219.65</v>
      </c>
      <c r="G6571" s="6" t="s">
        <v>2613</v>
      </c>
    </row>
    <row r="6572" customFormat="false" ht="15" hidden="false" customHeight="true" outlineLevel="0" collapsed="false">
      <c r="A6572" s="6" t="s">
        <v>9184</v>
      </c>
      <c r="B6572" s="6" t="s">
        <v>1441</v>
      </c>
      <c r="C6572" s="6" t="s">
        <v>116</v>
      </c>
      <c r="D6572" s="13" t="n">
        <v>44846</v>
      </c>
      <c r="E6572" s="14" t="n">
        <v>2530.52</v>
      </c>
      <c r="F6572" s="14" t="n">
        <v>2530.52</v>
      </c>
      <c r="G6572" s="6" t="s">
        <v>2613</v>
      </c>
    </row>
    <row r="6573" customFormat="false" ht="15" hidden="false" customHeight="true" outlineLevel="0" collapsed="false">
      <c r="A6573" s="6" t="s">
        <v>9185</v>
      </c>
      <c r="B6573" s="6" t="s">
        <v>1441</v>
      </c>
      <c r="C6573" s="6" t="s">
        <v>116</v>
      </c>
      <c r="D6573" s="13" t="n">
        <v>44853</v>
      </c>
      <c r="E6573" s="14" t="n">
        <v>3622.96</v>
      </c>
      <c r="F6573" s="14" t="n">
        <v>6153.48</v>
      </c>
      <c r="G6573" s="6" t="s">
        <v>2613</v>
      </c>
    </row>
    <row r="6574" customFormat="false" ht="15" hidden="false" customHeight="true" outlineLevel="0" collapsed="false">
      <c r="A6574" s="6" t="s">
        <v>9186</v>
      </c>
      <c r="B6574" s="6" t="s">
        <v>1441</v>
      </c>
      <c r="C6574" s="6" t="s">
        <v>116</v>
      </c>
      <c r="D6574" s="13" t="n">
        <v>44860</v>
      </c>
      <c r="E6574" s="14" t="n">
        <v>3328.27</v>
      </c>
      <c r="F6574" s="14" t="n">
        <v>9481.75</v>
      </c>
      <c r="G6574" s="6" t="s">
        <v>2613</v>
      </c>
    </row>
    <row r="6575" customFormat="false" ht="15" hidden="false" customHeight="true" outlineLevel="0" collapsed="false">
      <c r="A6575" s="6" t="s">
        <v>9187</v>
      </c>
      <c r="B6575" s="6" t="s">
        <v>1441</v>
      </c>
      <c r="C6575" s="6" t="s">
        <v>116</v>
      </c>
      <c r="D6575" s="13" t="n">
        <v>44867</v>
      </c>
      <c r="E6575" s="14" t="n">
        <v>3317.36</v>
      </c>
      <c r="F6575" s="14" t="n">
        <v>12799.11</v>
      </c>
      <c r="G6575" s="6" t="s">
        <v>2613</v>
      </c>
    </row>
    <row r="6576" customFormat="false" ht="15" hidden="false" customHeight="true" outlineLevel="0" collapsed="false">
      <c r="A6576" s="6" t="s">
        <v>9188</v>
      </c>
      <c r="B6576" s="6" t="s">
        <v>1441</v>
      </c>
      <c r="C6576" s="6" t="s">
        <v>116</v>
      </c>
      <c r="D6576" s="13" t="n">
        <v>44874</v>
      </c>
      <c r="E6576" s="14" t="n">
        <v>3046.81</v>
      </c>
      <c r="F6576" s="14" t="n">
        <v>15845.92</v>
      </c>
      <c r="G6576" s="6" t="s">
        <v>2613</v>
      </c>
    </row>
    <row r="6577" customFormat="false" ht="15" hidden="false" customHeight="true" outlineLevel="0" collapsed="false">
      <c r="A6577" s="6" t="s">
        <v>9189</v>
      </c>
      <c r="B6577" s="6" t="s">
        <v>1441</v>
      </c>
      <c r="C6577" s="6" t="s">
        <v>116</v>
      </c>
      <c r="D6577" s="13" t="n">
        <v>44881</v>
      </c>
      <c r="E6577" s="14" t="n">
        <v>2111.17</v>
      </c>
      <c r="F6577" s="14" t="n">
        <v>17957.09</v>
      </c>
      <c r="G6577" s="6" t="s">
        <v>2613</v>
      </c>
    </row>
    <row r="6578" customFormat="false" ht="15" hidden="false" customHeight="true" outlineLevel="0" collapsed="false">
      <c r="A6578" s="6" t="s">
        <v>9190</v>
      </c>
      <c r="B6578" s="6" t="s">
        <v>1441</v>
      </c>
      <c r="C6578" s="6" t="s">
        <v>116</v>
      </c>
      <c r="D6578" s="13" t="n">
        <v>44888</v>
      </c>
      <c r="E6578" s="14" t="n">
        <v>3110.51</v>
      </c>
      <c r="F6578" s="14" t="n">
        <v>21067.6</v>
      </c>
      <c r="G6578" s="6" t="s">
        <v>2613</v>
      </c>
    </row>
    <row r="6579" customFormat="false" ht="15" hidden="false" customHeight="true" outlineLevel="0" collapsed="false">
      <c r="A6579" s="6" t="s">
        <v>9191</v>
      </c>
      <c r="B6579" s="6" t="s">
        <v>1441</v>
      </c>
      <c r="C6579" s="6" t="s">
        <v>116</v>
      </c>
      <c r="D6579" s="13" t="n">
        <v>44895</v>
      </c>
      <c r="E6579" s="14" t="n">
        <v>1737.5</v>
      </c>
      <c r="F6579" s="14" t="n">
        <v>22805.1</v>
      </c>
      <c r="G6579" s="6" t="s">
        <v>2613</v>
      </c>
    </row>
    <row r="6580" customFormat="false" ht="15" hidden="false" customHeight="true" outlineLevel="0" collapsed="false">
      <c r="A6580" s="6" t="s">
        <v>9192</v>
      </c>
      <c r="B6580" s="6" t="s">
        <v>1441</v>
      </c>
      <c r="C6580" s="6" t="s">
        <v>116</v>
      </c>
      <c r="D6580" s="13" t="n">
        <v>44902</v>
      </c>
      <c r="E6580" s="14" t="n">
        <v>2083.29</v>
      </c>
      <c r="F6580" s="14" t="n">
        <v>24888.39</v>
      </c>
      <c r="G6580" s="6" t="s">
        <v>2613</v>
      </c>
    </row>
    <row r="6581" customFormat="false" ht="15" hidden="false" customHeight="true" outlineLevel="0" collapsed="false">
      <c r="A6581" s="6" t="s">
        <v>9193</v>
      </c>
      <c r="B6581" s="6" t="s">
        <v>1441</v>
      </c>
      <c r="C6581" s="6" t="s">
        <v>116</v>
      </c>
      <c r="D6581" s="13" t="n">
        <v>44909</v>
      </c>
      <c r="E6581" s="14" t="n">
        <v>2300.15</v>
      </c>
      <c r="F6581" s="14" t="n">
        <v>27188.54</v>
      </c>
      <c r="G6581" s="6" t="s">
        <v>2613</v>
      </c>
    </row>
    <row r="6582" customFormat="false" ht="15" hidden="false" customHeight="true" outlineLevel="0" collapsed="false">
      <c r="A6582" s="6" t="s">
        <v>9194</v>
      </c>
      <c r="B6582" s="6" t="s">
        <v>1441</v>
      </c>
      <c r="C6582" s="6" t="s">
        <v>116</v>
      </c>
      <c r="D6582" s="13" t="n">
        <v>44916</v>
      </c>
      <c r="E6582" s="14" t="n">
        <v>3154.4</v>
      </c>
      <c r="F6582" s="14" t="n">
        <v>30342.94</v>
      </c>
      <c r="G6582" s="6" t="s">
        <v>2613</v>
      </c>
    </row>
    <row r="6583" customFormat="false" ht="15" hidden="false" customHeight="true" outlineLevel="0" collapsed="false">
      <c r="A6583" s="6" t="s">
        <v>9195</v>
      </c>
      <c r="B6583" s="6" t="s">
        <v>1441</v>
      </c>
      <c r="C6583" s="6" t="s">
        <v>116</v>
      </c>
      <c r="D6583" s="13" t="n">
        <v>44923</v>
      </c>
      <c r="E6583" s="14" t="n">
        <v>3529.69</v>
      </c>
      <c r="F6583" s="14" t="n">
        <v>33872.63</v>
      </c>
      <c r="G6583" s="6" t="s">
        <v>2613</v>
      </c>
    </row>
    <row r="6584" customFormat="false" ht="15" hidden="false" customHeight="true" outlineLevel="0" collapsed="false">
      <c r="A6584" s="6" t="s">
        <v>9196</v>
      </c>
      <c r="B6584" s="6" t="s">
        <v>1441</v>
      </c>
      <c r="C6584" s="6" t="s">
        <v>116</v>
      </c>
      <c r="D6584" s="13" t="n">
        <v>44930</v>
      </c>
      <c r="E6584" s="14" t="n">
        <v>1566.96</v>
      </c>
      <c r="F6584" s="14" t="n">
        <v>35439.59</v>
      </c>
      <c r="G6584" s="6" t="s">
        <v>2613</v>
      </c>
    </row>
    <row r="6585" customFormat="false" ht="15" hidden="false" customHeight="true" outlineLevel="0" collapsed="false">
      <c r="A6585" s="6" t="s">
        <v>9197</v>
      </c>
      <c r="B6585" s="6" t="s">
        <v>1443</v>
      </c>
      <c r="C6585" s="6" t="s">
        <v>124</v>
      </c>
      <c r="D6585" s="13" t="n">
        <v>45106</v>
      </c>
      <c r="E6585" s="14" t="n">
        <v>8144.27</v>
      </c>
      <c r="F6585" s="14" t="n">
        <v>8144.27</v>
      </c>
      <c r="G6585" s="6" t="s">
        <v>2613</v>
      </c>
    </row>
    <row r="6586" customFormat="false" ht="15" hidden="false" customHeight="true" outlineLevel="0" collapsed="false">
      <c r="A6586" s="6" t="s">
        <v>9198</v>
      </c>
      <c r="B6586" s="6" t="s">
        <v>1443</v>
      </c>
      <c r="C6586" s="6" t="s">
        <v>124</v>
      </c>
      <c r="D6586" s="13" t="n">
        <v>45113</v>
      </c>
      <c r="E6586" s="14" t="n">
        <v>6961.98</v>
      </c>
      <c r="F6586" s="14" t="n">
        <v>15106.25</v>
      </c>
      <c r="G6586" s="6" t="s">
        <v>2613</v>
      </c>
    </row>
    <row r="6587" customFormat="false" ht="15" hidden="false" customHeight="true" outlineLevel="0" collapsed="false">
      <c r="A6587" s="6" t="s">
        <v>9199</v>
      </c>
      <c r="B6587" s="6" t="s">
        <v>1443</v>
      </c>
      <c r="C6587" s="6" t="s">
        <v>124</v>
      </c>
      <c r="D6587" s="13" t="n">
        <v>45120</v>
      </c>
      <c r="E6587" s="14" t="n">
        <v>7920.07</v>
      </c>
      <c r="F6587" s="14" t="n">
        <v>23026.32</v>
      </c>
      <c r="G6587" s="6" t="s">
        <v>2623</v>
      </c>
    </row>
    <row r="6588" customFormat="false" ht="15" hidden="false" customHeight="true" outlineLevel="0" collapsed="false">
      <c r="A6588" s="6" t="s">
        <v>9200</v>
      </c>
      <c r="B6588" s="6" t="s">
        <v>1443</v>
      </c>
      <c r="C6588" s="6" t="s">
        <v>124</v>
      </c>
      <c r="D6588" s="13" t="n">
        <v>45127</v>
      </c>
      <c r="E6588" s="14" t="n">
        <v>6132.44</v>
      </c>
      <c r="F6588" s="14" t="n">
        <v>29158.76</v>
      </c>
      <c r="G6588" s="6" t="s">
        <v>2613</v>
      </c>
    </row>
    <row r="6589" customFormat="false" ht="15" hidden="false" customHeight="true" outlineLevel="0" collapsed="false">
      <c r="A6589" s="6" t="s">
        <v>9201</v>
      </c>
      <c r="B6589" s="6" t="s">
        <v>1443</v>
      </c>
      <c r="C6589" s="6" t="s">
        <v>124</v>
      </c>
      <c r="D6589" s="13" t="n">
        <v>45134</v>
      </c>
      <c r="E6589" s="14" t="n">
        <v>4360.79</v>
      </c>
      <c r="F6589" s="14" t="n">
        <v>33519.55</v>
      </c>
      <c r="G6589" s="6" t="s">
        <v>2623</v>
      </c>
    </row>
    <row r="6590" customFormat="false" ht="15" hidden="false" customHeight="true" outlineLevel="0" collapsed="false">
      <c r="A6590" s="6" t="s">
        <v>9202</v>
      </c>
      <c r="B6590" s="6" t="s">
        <v>1443</v>
      </c>
      <c r="C6590" s="6" t="s">
        <v>124</v>
      </c>
      <c r="D6590" s="13" t="n">
        <v>45141</v>
      </c>
      <c r="E6590" s="14" t="n">
        <v>8133.58</v>
      </c>
      <c r="F6590" s="14" t="n">
        <v>41653.13</v>
      </c>
      <c r="G6590" s="6" t="s">
        <v>2613</v>
      </c>
    </row>
    <row r="6591" customFormat="false" ht="15" hidden="false" customHeight="true" outlineLevel="0" collapsed="false">
      <c r="A6591" s="6" t="s">
        <v>9203</v>
      </c>
      <c r="B6591" s="6" t="s">
        <v>1443</v>
      </c>
      <c r="C6591" s="6" t="s">
        <v>124</v>
      </c>
      <c r="D6591" s="13" t="n">
        <v>45148</v>
      </c>
      <c r="E6591" s="14" t="n">
        <v>5384.89</v>
      </c>
      <c r="F6591" s="14" t="n">
        <v>47038.02</v>
      </c>
      <c r="G6591" s="6" t="s">
        <v>2613</v>
      </c>
    </row>
    <row r="6592" customFormat="false" ht="15" hidden="false" customHeight="true" outlineLevel="0" collapsed="false">
      <c r="A6592" s="6" t="s">
        <v>9204</v>
      </c>
      <c r="B6592" s="6" t="s">
        <v>1445</v>
      </c>
      <c r="C6592" s="6" t="s">
        <v>112</v>
      </c>
      <c r="D6592" s="13" t="n">
        <v>44814</v>
      </c>
      <c r="E6592" s="14" t="n">
        <v>4577.01</v>
      </c>
      <c r="F6592" s="14" t="n">
        <v>4577.01</v>
      </c>
      <c r="G6592" s="6" t="s">
        <v>2613</v>
      </c>
    </row>
    <row r="6593" customFormat="false" ht="15" hidden="false" customHeight="true" outlineLevel="0" collapsed="false">
      <c r="A6593" s="6" t="s">
        <v>9205</v>
      </c>
      <c r="B6593" s="6" t="s">
        <v>1445</v>
      </c>
      <c r="C6593" s="6" t="s">
        <v>112</v>
      </c>
      <c r="D6593" s="13" t="n">
        <v>44821</v>
      </c>
      <c r="E6593" s="14" t="n">
        <v>4070.25</v>
      </c>
      <c r="F6593" s="14" t="n">
        <v>8647.26</v>
      </c>
      <c r="G6593" s="6" t="s">
        <v>2613</v>
      </c>
    </row>
    <row r="6594" customFormat="false" ht="15" hidden="false" customHeight="true" outlineLevel="0" collapsed="false">
      <c r="A6594" s="6" t="s">
        <v>9206</v>
      </c>
      <c r="B6594" s="6" t="s">
        <v>1445</v>
      </c>
      <c r="C6594" s="6" t="s">
        <v>112</v>
      </c>
      <c r="D6594" s="13" t="n">
        <v>44828</v>
      </c>
      <c r="E6594" s="14" t="n">
        <v>5177.65</v>
      </c>
      <c r="F6594" s="14" t="n">
        <v>13824.91</v>
      </c>
      <c r="G6594" s="6" t="s">
        <v>2613</v>
      </c>
    </row>
    <row r="6595" customFormat="false" ht="15" hidden="false" customHeight="true" outlineLevel="0" collapsed="false">
      <c r="A6595" s="6" t="s">
        <v>9207</v>
      </c>
      <c r="B6595" s="6" t="s">
        <v>1445</v>
      </c>
      <c r="C6595" s="6" t="s">
        <v>112</v>
      </c>
      <c r="D6595" s="13" t="n">
        <v>44835</v>
      </c>
      <c r="E6595" s="14" t="n">
        <v>7100.72</v>
      </c>
      <c r="F6595" s="14" t="n">
        <v>20925.63</v>
      </c>
      <c r="G6595" s="6" t="s">
        <v>2623</v>
      </c>
    </row>
    <row r="6596" customFormat="false" ht="15" hidden="false" customHeight="true" outlineLevel="0" collapsed="false">
      <c r="A6596" s="6" t="s">
        <v>9208</v>
      </c>
      <c r="B6596" s="6" t="s">
        <v>1445</v>
      </c>
      <c r="C6596" s="6" t="s">
        <v>112</v>
      </c>
      <c r="D6596" s="13" t="n">
        <v>44842</v>
      </c>
      <c r="E6596" s="14" t="n">
        <v>5003.75</v>
      </c>
      <c r="F6596" s="14" t="n">
        <v>25929.38</v>
      </c>
      <c r="G6596" s="6" t="s">
        <v>2613</v>
      </c>
    </row>
    <row r="6597" customFormat="false" ht="15" hidden="false" customHeight="true" outlineLevel="0" collapsed="false">
      <c r="A6597" s="6" t="s">
        <v>9209</v>
      </c>
      <c r="B6597" s="6" t="s">
        <v>1445</v>
      </c>
      <c r="C6597" s="6" t="s">
        <v>112</v>
      </c>
      <c r="D6597" s="13" t="n">
        <v>44849</v>
      </c>
      <c r="E6597" s="14" t="n">
        <v>5805.19</v>
      </c>
      <c r="F6597" s="14" t="n">
        <v>31734.57</v>
      </c>
      <c r="G6597" s="6" t="s">
        <v>2613</v>
      </c>
    </row>
    <row r="6598" customFormat="false" ht="15" hidden="false" customHeight="true" outlineLevel="0" collapsed="false">
      <c r="A6598" s="6" t="s">
        <v>9210</v>
      </c>
      <c r="B6598" s="6" t="s">
        <v>1445</v>
      </c>
      <c r="C6598" s="6" t="s">
        <v>112</v>
      </c>
      <c r="D6598" s="13" t="n">
        <v>44856</v>
      </c>
      <c r="E6598" s="14" t="n">
        <v>5705.22</v>
      </c>
      <c r="F6598" s="14" t="n">
        <v>37439.79</v>
      </c>
      <c r="G6598" s="6" t="s">
        <v>2613</v>
      </c>
    </row>
    <row r="6599" customFormat="false" ht="15" hidden="false" customHeight="true" outlineLevel="0" collapsed="false">
      <c r="A6599" s="6" t="s">
        <v>9211</v>
      </c>
      <c r="B6599" s="6" t="s">
        <v>1445</v>
      </c>
      <c r="C6599" s="6" t="s">
        <v>112</v>
      </c>
      <c r="D6599" s="13" t="n">
        <v>44863</v>
      </c>
      <c r="E6599" s="14" t="n">
        <v>4079.52</v>
      </c>
      <c r="F6599" s="14" t="n">
        <v>41519.31</v>
      </c>
      <c r="G6599" s="6" t="s">
        <v>2613</v>
      </c>
    </row>
    <row r="6600" customFormat="false" ht="15" hidden="false" customHeight="true" outlineLevel="0" collapsed="false">
      <c r="A6600" s="6" t="s">
        <v>9212</v>
      </c>
      <c r="B6600" s="6" t="s">
        <v>1445</v>
      </c>
      <c r="C6600" s="6" t="s">
        <v>112</v>
      </c>
      <c r="D6600" s="13" t="n">
        <v>44870</v>
      </c>
      <c r="E6600" s="14" t="n">
        <v>5484.44</v>
      </c>
      <c r="F6600" s="14" t="n">
        <v>47003.75</v>
      </c>
      <c r="G6600" s="6" t="s">
        <v>2613</v>
      </c>
    </row>
    <row r="6601" customFormat="false" ht="15" hidden="false" customHeight="true" outlineLevel="0" collapsed="false">
      <c r="A6601" s="6" t="s">
        <v>9213</v>
      </c>
      <c r="B6601" s="6" t="s">
        <v>1445</v>
      </c>
      <c r="C6601" s="6" t="s">
        <v>112</v>
      </c>
      <c r="D6601" s="13" t="n">
        <v>44877</v>
      </c>
      <c r="E6601" s="14" t="n">
        <v>4199.7</v>
      </c>
      <c r="F6601" s="14" t="n">
        <v>51203.45</v>
      </c>
      <c r="G6601" s="6" t="s">
        <v>2613</v>
      </c>
    </row>
    <row r="6602" customFormat="false" ht="15" hidden="false" customHeight="true" outlineLevel="0" collapsed="false">
      <c r="A6602" s="6" t="s">
        <v>9214</v>
      </c>
      <c r="B6602" s="6" t="s">
        <v>1445</v>
      </c>
      <c r="C6602" s="6" t="s">
        <v>112</v>
      </c>
      <c r="D6602" s="13" t="n">
        <v>44884</v>
      </c>
      <c r="E6602" s="14" t="n">
        <v>6077.48</v>
      </c>
      <c r="F6602" s="14" t="n">
        <v>57280.93</v>
      </c>
      <c r="G6602" s="6" t="s">
        <v>2613</v>
      </c>
    </row>
    <row r="6603" customFormat="false" ht="15" hidden="false" customHeight="true" outlineLevel="0" collapsed="false">
      <c r="A6603" s="6" t="s">
        <v>9215</v>
      </c>
      <c r="B6603" s="6" t="s">
        <v>1445</v>
      </c>
      <c r="C6603" s="6" t="s">
        <v>112</v>
      </c>
      <c r="D6603" s="13" t="n">
        <v>44891</v>
      </c>
      <c r="E6603" s="14" t="n">
        <v>4593.97</v>
      </c>
      <c r="F6603" s="14" t="n">
        <v>61874.9</v>
      </c>
      <c r="G6603" s="6" t="s">
        <v>2613</v>
      </c>
    </row>
    <row r="6604" customFormat="false" ht="15" hidden="false" customHeight="true" outlineLevel="0" collapsed="false">
      <c r="A6604" s="6" t="s">
        <v>9216</v>
      </c>
      <c r="B6604" s="6" t="s">
        <v>1445</v>
      </c>
      <c r="C6604" s="6" t="s">
        <v>112</v>
      </c>
      <c r="D6604" s="13" t="n">
        <v>44898</v>
      </c>
      <c r="E6604" s="14" t="n">
        <v>5928.85</v>
      </c>
      <c r="F6604" s="14" t="n">
        <v>67803.75</v>
      </c>
      <c r="G6604" s="6" t="s">
        <v>2613</v>
      </c>
    </row>
    <row r="6605" customFormat="false" ht="15" hidden="false" customHeight="true" outlineLevel="0" collapsed="false">
      <c r="A6605" s="6" t="s">
        <v>9217</v>
      </c>
      <c r="B6605" s="6" t="s">
        <v>1445</v>
      </c>
      <c r="C6605" s="6" t="s">
        <v>112</v>
      </c>
      <c r="D6605" s="13" t="n">
        <v>44905</v>
      </c>
      <c r="E6605" s="14" t="n">
        <v>3681.52</v>
      </c>
      <c r="F6605" s="14" t="n">
        <v>71485.27</v>
      </c>
      <c r="G6605" s="6" t="s">
        <v>2613</v>
      </c>
    </row>
    <row r="6606" customFormat="false" ht="15" hidden="false" customHeight="true" outlineLevel="0" collapsed="false">
      <c r="A6606" s="6" t="s">
        <v>9218</v>
      </c>
      <c r="B6606" s="6" t="s">
        <v>1445</v>
      </c>
      <c r="C6606" s="6" t="s">
        <v>112</v>
      </c>
      <c r="D6606" s="13" t="n">
        <v>44912</v>
      </c>
      <c r="E6606" s="14" t="n">
        <v>5612.5</v>
      </c>
      <c r="F6606" s="14" t="n">
        <v>77097.77</v>
      </c>
      <c r="G6606" s="6" t="s">
        <v>2613</v>
      </c>
    </row>
    <row r="6607" customFormat="false" ht="15" hidden="false" customHeight="true" outlineLevel="0" collapsed="false">
      <c r="A6607" s="6" t="s">
        <v>9219</v>
      </c>
      <c r="B6607" s="6" t="s">
        <v>1445</v>
      </c>
      <c r="C6607" s="6" t="s">
        <v>112</v>
      </c>
      <c r="D6607" s="13" t="n">
        <v>44919</v>
      </c>
      <c r="E6607" s="14" t="n">
        <v>5117.89</v>
      </c>
      <c r="F6607" s="14" t="n">
        <v>82215.66</v>
      </c>
      <c r="G6607" s="6" t="s">
        <v>2613</v>
      </c>
    </row>
    <row r="6608" customFormat="false" ht="15" hidden="false" customHeight="true" outlineLevel="0" collapsed="false">
      <c r="A6608" s="6" t="s">
        <v>9220</v>
      </c>
      <c r="B6608" s="6" t="s">
        <v>1445</v>
      </c>
      <c r="C6608" s="6" t="s">
        <v>112</v>
      </c>
      <c r="D6608" s="13" t="n">
        <v>44926</v>
      </c>
      <c r="E6608" s="14" t="n">
        <v>8440.67</v>
      </c>
      <c r="F6608" s="14" t="n">
        <v>90656.33</v>
      </c>
      <c r="G6608" s="6" t="s">
        <v>2613</v>
      </c>
    </row>
    <row r="6609" customFormat="false" ht="15" hidden="false" customHeight="true" outlineLevel="0" collapsed="false">
      <c r="A6609" s="6" t="s">
        <v>9221</v>
      </c>
      <c r="B6609" s="6" t="s">
        <v>1447</v>
      </c>
      <c r="C6609" s="6" t="s">
        <v>112</v>
      </c>
      <c r="D6609" s="13" t="n">
        <v>46157</v>
      </c>
      <c r="E6609" s="14" t="n">
        <v>4089.9</v>
      </c>
      <c r="F6609" s="14" t="n">
        <v>4089.9</v>
      </c>
      <c r="G6609" s="6" t="s">
        <v>2613</v>
      </c>
    </row>
    <row r="6610" customFormat="false" ht="15" hidden="false" customHeight="true" outlineLevel="0" collapsed="false">
      <c r="A6610" s="6" t="s">
        <v>9222</v>
      </c>
      <c r="B6610" s="6" t="s">
        <v>1447</v>
      </c>
      <c r="C6610" s="6" t="s">
        <v>112</v>
      </c>
      <c r="D6610" s="13" t="n">
        <v>46164</v>
      </c>
      <c r="E6610" s="14" t="n">
        <v>4014.18</v>
      </c>
      <c r="F6610" s="14" t="n">
        <v>8104.08</v>
      </c>
      <c r="G6610" s="6" t="s">
        <v>2613</v>
      </c>
    </row>
    <row r="6611" customFormat="false" ht="15" hidden="false" customHeight="true" outlineLevel="0" collapsed="false">
      <c r="A6611" s="6" t="s">
        <v>9223</v>
      </c>
      <c r="B6611" s="6" t="s">
        <v>1447</v>
      </c>
      <c r="C6611" s="6" t="s">
        <v>112</v>
      </c>
      <c r="D6611" s="13" t="n">
        <v>46171</v>
      </c>
      <c r="E6611" s="14" t="n">
        <v>4116.88</v>
      </c>
      <c r="F6611" s="14" t="n">
        <v>12220.96</v>
      </c>
      <c r="G6611" s="6" t="s">
        <v>2623</v>
      </c>
    </row>
    <row r="6612" customFormat="false" ht="15" hidden="false" customHeight="true" outlineLevel="0" collapsed="false">
      <c r="A6612" s="6" t="s">
        <v>9224</v>
      </c>
      <c r="B6612" s="6" t="s">
        <v>1447</v>
      </c>
      <c r="C6612" s="6" t="s">
        <v>112</v>
      </c>
      <c r="D6612" s="13" t="n">
        <v>46178</v>
      </c>
      <c r="E6612" s="14" t="n">
        <v>3861.95</v>
      </c>
      <c r="F6612" s="14" t="n">
        <v>16082.91</v>
      </c>
      <c r="G6612" s="6" t="s">
        <v>2613</v>
      </c>
    </row>
    <row r="6613" customFormat="false" ht="15" hidden="false" customHeight="true" outlineLevel="0" collapsed="false">
      <c r="A6613" s="6" t="s">
        <v>9225</v>
      </c>
      <c r="B6613" s="6" t="s">
        <v>1447</v>
      </c>
      <c r="C6613" s="6" t="s">
        <v>112</v>
      </c>
      <c r="D6613" s="13" t="n">
        <v>46185</v>
      </c>
      <c r="E6613" s="14" t="n">
        <v>3198.85</v>
      </c>
      <c r="F6613" s="14" t="n">
        <v>19281.76</v>
      </c>
      <c r="G6613" s="6" t="s">
        <v>2613</v>
      </c>
    </row>
    <row r="6614" customFormat="false" ht="15" hidden="false" customHeight="true" outlineLevel="0" collapsed="false">
      <c r="A6614" s="6" t="s">
        <v>9226</v>
      </c>
      <c r="B6614" s="6" t="s">
        <v>1447</v>
      </c>
      <c r="C6614" s="6" t="s">
        <v>112</v>
      </c>
      <c r="D6614" s="13" t="n">
        <v>46192</v>
      </c>
      <c r="E6614" s="14" t="n">
        <v>1978.74</v>
      </c>
      <c r="F6614" s="14" t="n">
        <v>21260.5</v>
      </c>
      <c r="G6614" s="6" t="s">
        <v>2613</v>
      </c>
    </row>
    <row r="6615" customFormat="false" ht="15" hidden="false" customHeight="true" outlineLevel="0" collapsed="false">
      <c r="A6615" s="6" t="s">
        <v>9227</v>
      </c>
      <c r="B6615" s="6" t="s">
        <v>1447</v>
      </c>
      <c r="C6615" s="6" t="s">
        <v>112</v>
      </c>
      <c r="D6615" s="13" t="n">
        <v>46199</v>
      </c>
      <c r="E6615" s="14" t="n">
        <v>4462.1</v>
      </c>
      <c r="F6615" s="14" t="n">
        <v>25722.6</v>
      </c>
      <c r="G6615" s="6" t="s">
        <v>2613</v>
      </c>
    </row>
    <row r="6616" customFormat="false" ht="15" hidden="false" customHeight="true" outlineLevel="0" collapsed="false">
      <c r="A6616" s="6" t="s">
        <v>9228</v>
      </c>
      <c r="B6616" s="6" t="s">
        <v>1447</v>
      </c>
      <c r="C6616" s="6" t="s">
        <v>112</v>
      </c>
      <c r="D6616" s="13" t="n">
        <v>46206</v>
      </c>
      <c r="E6616" s="14" t="n">
        <v>2544.97</v>
      </c>
      <c r="F6616" s="14" t="n">
        <v>28267.57</v>
      </c>
      <c r="G6616" s="6" t="s">
        <v>2613</v>
      </c>
    </row>
    <row r="6617" customFormat="false" ht="15" hidden="false" customHeight="true" outlineLevel="0" collapsed="false">
      <c r="A6617" s="6" t="s">
        <v>9229</v>
      </c>
      <c r="B6617" s="6" t="s">
        <v>1447</v>
      </c>
      <c r="C6617" s="6" t="s">
        <v>112</v>
      </c>
      <c r="D6617" s="13" t="n">
        <v>46213</v>
      </c>
      <c r="E6617" s="14" t="n">
        <v>4276.64</v>
      </c>
      <c r="F6617" s="14" t="n">
        <v>32544.21</v>
      </c>
      <c r="G6617" s="6" t="s">
        <v>2613</v>
      </c>
    </row>
    <row r="6618" customFormat="false" ht="15" hidden="false" customHeight="true" outlineLevel="0" collapsed="false">
      <c r="A6618" s="6" t="s">
        <v>9230</v>
      </c>
      <c r="B6618" s="6" t="s">
        <v>1447</v>
      </c>
      <c r="C6618" s="6" t="s">
        <v>112</v>
      </c>
      <c r="D6618" s="13" t="n">
        <v>46220</v>
      </c>
      <c r="E6618" s="14" t="n">
        <v>4226.01</v>
      </c>
      <c r="F6618" s="14" t="n">
        <v>36770.22</v>
      </c>
      <c r="G6618" s="6" t="s">
        <v>2613</v>
      </c>
    </row>
    <row r="6619" customFormat="false" ht="15" hidden="false" customHeight="true" outlineLevel="0" collapsed="false">
      <c r="A6619" s="6" t="s">
        <v>9231</v>
      </c>
      <c r="B6619" s="6" t="s">
        <v>1447</v>
      </c>
      <c r="C6619" s="6" t="s">
        <v>112</v>
      </c>
      <c r="D6619" s="13" t="n">
        <v>46227</v>
      </c>
      <c r="E6619" s="14" t="n">
        <v>4376.44</v>
      </c>
      <c r="F6619" s="14" t="n">
        <v>41146.66</v>
      </c>
      <c r="G6619" s="6" t="s">
        <v>2613</v>
      </c>
    </row>
    <row r="6620" customFormat="false" ht="15" hidden="false" customHeight="true" outlineLevel="0" collapsed="false">
      <c r="A6620" s="6" t="s">
        <v>9232</v>
      </c>
      <c r="B6620" s="6" t="s">
        <v>1447</v>
      </c>
      <c r="C6620" s="6" t="s">
        <v>112</v>
      </c>
      <c r="D6620" s="13" t="n">
        <v>46234</v>
      </c>
      <c r="E6620" s="14" t="n">
        <v>1409.47</v>
      </c>
      <c r="F6620" s="14" t="n">
        <v>42556.13</v>
      </c>
      <c r="G6620" s="6" t="s">
        <v>2613</v>
      </c>
    </row>
    <row r="6621" customFormat="false" ht="15" hidden="false" customHeight="true" outlineLevel="0" collapsed="false">
      <c r="A6621" s="6" t="s">
        <v>9233</v>
      </c>
      <c r="B6621" s="6" t="s">
        <v>1449</v>
      </c>
      <c r="C6621" s="6" t="s">
        <v>128</v>
      </c>
      <c r="D6621" s="13" t="n">
        <v>45795</v>
      </c>
      <c r="E6621" s="14" t="n">
        <v>5154.21</v>
      </c>
      <c r="F6621" s="14" t="n">
        <v>5154.21</v>
      </c>
      <c r="G6621" s="6" t="s">
        <v>2613</v>
      </c>
    </row>
    <row r="6622" customFormat="false" ht="15" hidden="false" customHeight="true" outlineLevel="0" collapsed="false">
      <c r="A6622" s="6" t="s">
        <v>9234</v>
      </c>
      <c r="B6622" s="6" t="s">
        <v>1449</v>
      </c>
      <c r="C6622" s="6" t="s">
        <v>128</v>
      </c>
      <c r="D6622" s="13" t="n">
        <v>45802</v>
      </c>
      <c r="E6622" s="14" t="n">
        <v>3923.01</v>
      </c>
      <c r="F6622" s="14" t="n">
        <v>9077.22</v>
      </c>
      <c r="G6622" s="6" t="s">
        <v>2623</v>
      </c>
    </row>
    <row r="6623" customFormat="false" ht="15" hidden="false" customHeight="true" outlineLevel="0" collapsed="false">
      <c r="A6623" s="6" t="s">
        <v>9235</v>
      </c>
      <c r="B6623" s="6" t="s">
        <v>1449</v>
      </c>
      <c r="C6623" s="6" t="s">
        <v>128</v>
      </c>
      <c r="D6623" s="13" t="n">
        <v>45809</v>
      </c>
      <c r="E6623" s="14" t="n">
        <v>6780.4</v>
      </c>
      <c r="F6623" s="14" t="n">
        <v>15857.62</v>
      </c>
      <c r="G6623" s="6" t="s">
        <v>2623</v>
      </c>
    </row>
    <row r="6624" customFormat="false" ht="15" hidden="false" customHeight="true" outlineLevel="0" collapsed="false">
      <c r="A6624" s="6" t="s">
        <v>9236</v>
      </c>
      <c r="B6624" s="6" t="s">
        <v>1449</v>
      </c>
      <c r="C6624" s="6" t="s">
        <v>128</v>
      </c>
      <c r="D6624" s="13" t="n">
        <v>45816</v>
      </c>
      <c r="E6624" s="14" t="n">
        <v>6837.02</v>
      </c>
      <c r="F6624" s="14" t="n">
        <v>22694.64</v>
      </c>
      <c r="G6624" s="6" t="s">
        <v>2613</v>
      </c>
    </row>
    <row r="6625" customFormat="false" ht="15" hidden="false" customHeight="true" outlineLevel="0" collapsed="false">
      <c r="A6625" s="6" t="s">
        <v>9237</v>
      </c>
      <c r="B6625" s="6" t="s">
        <v>1449</v>
      </c>
      <c r="C6625" s="6" t="s">
        <v>128</v>
      </c>
      <c r="D6625" s="13" t="n">
        <v>45823</v>
      </c>
      <c r="E6625" s="14" t="n">
        <v>7910.7</v>
      </c>
      <c r="F6625" s="14" t="n">
        <v>30605.34</v>
      </c>
      <c r="G6625" s="6" t="s">
        <v>2613</v>
      </c>
    </row>
    <row r="6626" customFormat="false" ht="15" hidden="false" customHeight="true" outlineLevel="0" collapsed="false">
      <c r="A6626" s="6" t="s">
        <v>9238</v>
      </c>
      <c r="B6626" s="6" t="s">
        <v>1449</v>
      </c>
      <c r="C6626" s="6" t="s">
        <v>128</v>
      </c>
      <c r="D6626" s="13" t="n">
        <v>45830</v>
      </c>
      <c r="E6626" s="14" t="n">
        <v>6268.58</v>
      </c>
      <c r="F6626" s="14" t="n">
        <v>36873.92</v>
      </c>
      <c r="G6626" s="6" t="s">
        <v>2613</v>
      </c>
    </row>
    <row r="6627" customFormat="false" ht="15" hidden="false" customHeight="true" outlineLevel="0" collapsed="false">
      <c r="A6627" s="6" t="s">
        <v>9239</v>
      </c>
      <c r="B6627" s="6" t="s">
        <v>1451</v>
      </c>
      <c r="C6627" s="6" t="s">
        <v>128</v>
      </c>
      <c r="D6627" s="13" t="n">
        <v>45921</v>
      </c>
      <c r="E6627" s="14" t="n">
        <v>8512.04</v>
      </c>
      <c r="F6627" s="14" t="n">
        <v>8512.04</v>
      </c>
      <c r="G6627" s="6" t="s">
        <v>2613</v>
      </c>
    </row>
    <row r="6628" customFormat="false" ht="15" hidden="false" customHeight="true" outlineLevel="0" collapsed="false">
      <c r="A6628" s="6" t="s">
        <v>9240</v>
      </c>
      <c r="B6628" s="6" t="s">
        <v>1451</v>
      </c>
      <c r="C6628" s="6" t="s">
        <v>128</v>
      </c>
      <c r="D6628" s="13" t="n">
        <v>45928</v>
      </c>
      <c r="E6628" s="14" t="n">
        <v>11534.15</v>
      </c>
      <c r="F6628" s="14" t="n">
        <v>20046.19</v>
      </c>
      <c r="G6628" s="6" t="s">
        <v>2613</v>
      </c>
    </row>
    <row r="6629" customFormat="false" ht="15" hidden="false" customHeight="true" outlineLevel="0" collapsed="false">
      <c r="A6629" s="6" t="s">
        <v>9241</v>
      </c>
      <c r="B6629" s="6" t="s">
        <v>1451</v>
      </c>
      <c r="C6629" s="6" t="s">
        <v>128</v>
      </c>
      <c r="D6629" s="13" t="n">
        <v>45935</v>
      </c>
      <c r="E6629" s="14" t="n">
        <v>6277.12</v>
      </c>
      <c r="F6629" s="14" t="n">
        <v>26323.31</v>
      </c>
      <c r="G6629" s="6" t="s">
        <v>2613</v>
      </c>
    </row>
    <row r="6630" customFormat="false" ht="15" hidden="false" customHeight="true" outlineLevel="0" collapsed="false">
      <c r="A6630" s="6" t="s">
        <v>9242</v>
      </c>
      <c r="B6630" s="6" t="s">
        <v>1451</v>
      </c>
      <c r="C6630" s="6" t="s">
        <v>128</v>
      </c>
      <c r="D6630" s="13" t="n">
        <v>45942</v>
      </c>
      <c r="E6630" s="14" t="n">
        <v>9285.08</v>
      </c>
      <c r="F6630" s="14" t="n">
        <v>35608.39</v>
      </c>
      <c r="G6630" s="6" t="s">
        <v>2623</v>
      </c>
    </row>
    <row r="6631" customFormat="false" ht="15" hidden="false" customHeight="true" outlineLevel="0" collapsed="false">
      <c r="A6631" s="6" t="s">
        <v>9243</v>
      </c>
      <c r="B6631" s="6" t="s">
        <v>1451</v>
      </c>
      <c r="C6631" s="6" t="s">
        <v>128</v>
      </c>
      <c r="D6631" s="13" t="n">
        <v>45949</v>
      </c>
      <c r="E6631" s="14" t="n">
        <v>7857.39</v>
      </c>
      <c r="F6631" s="14" t="n">
        <v>43465.78</v>
      </c>
      <c r="G6631" s="6" t="s">
        <v>2623</v>
      </c>
    </row>
    <row r="6632" customFormat="false" ht="15" hidden="false" customHeight="true" outlineLevel="0" collapsed="false">
      <c r="A6632" s="6" t="s">
        <v>9244</v>
      </c>
      <c r="B6632" s="6" t="s">
        <v>1451</v>
      </c>
      <c r="C6632" s="6" t="s">
        <v>128</v>
      </c>
      <c r="D6632" s="13" t="n">
        <v>45956</v>
      </c>
      <c r="E6632" s="14" t="n">
        <v>11340.01</v>
      </c>
      <c r="F6632" s="14" t="n">
        <v>54805.79</v>
      </c>
      <c r="G6632" s="6" t="s">
        <v>2613</v>
      </c>
    </row>
    <row r="6633" customFormat="false" ht="15" hidden="false" customHeight="true" outlineLevel="0" collapsed="false">
      <c r="A6633" s="6" t="s">
        <v>9245</v>
      </c>
      <c r="B6633" s="6" t="s">
        <v>1451</v>
      </c>
      <c r="C6633" s="6" t="s">
        <v>128</v>
      </c>
      <c r="D6633" s="13" t="n">
        <v>45963</v>
      </c>
      <c r="E6633" s="14" t="n">
        <v>9875.83</v>
      </c>
      <c r="F6633" s="14" t="n">
        <v>64681.62</v>
      </c>
      <c r="G6633" s="6" t="s">
        <v>2613</v>
      </c>
    </row>
    <row r="6634" customFormat="false" ht="15" hidden="false" customHeight="true" outlineLevel="0" collapsed="false">
      <c r="A6634" s="6" t="s">
        <v>9246</v>
      </c>
      <c r="B6634" s="6" t="s">
        <v>1451</v>
      </c>
      <c r="C6634" s="6" t="s">
        <v>128</v>
      </c>
      <c r="D6634" s="13" t="n">
        <v>45970</v>
      </c>
      <c r="E6634" s="14" t="n">
        <v>7628.38</v>
      </c>
      <c r="F6634" s="14" t="n">
        <v>72310</v>
      </c>
      <c r="G6634" s="6" t="s">
        <v>2613</v>
      </c>
    </row>
    <row r="6635" customFormat="false" ht="15" hidden="false" customHeight="true" outlineLevel="0" collapsed="false">
      <c r="A6635" s="6" t="s">
        <v>9247</v>
      </c>
      <c r="B6635" s="6" t="s">
        <v>1451</v>
      </c>
      <c r="C6635" s="6" t="s">
        <v>128</v>
      </c>
      <c r="D6635" s="13" t="n">
        <v>45977</v>
      </c>
      <c r="E6635" s="14" t="n">
        <v>10417.45</v>
      </c>
      <c r="F6635" s="14" t="n">
        <v>82727.45</v>
      </c>
      <c r="G6635" s="6" t="s">
        <v>2613</v>
      </c>
    </row>
    <row r="6636" customFormat="false" ht="15" hidden="false" customHeight="true" outlineLevel="0" collapsed="false">
      <c r="A6636" s="6" t="s">
        <v>9248</v>
      </c>
      <c r="B6636" s="6" t="s">
        <v>1451</v>
      </c>
      <c r="C6636" s="6" t="s">
        <v>128</v>
      </c>
      <c r="D6636" s="13" t="n">
        <v>45984</v>
      </c>
      <c r="E6636" s="14" t="n">
        <v>5931.5</v>
      </c>
      <c r="F6636" s="14" t="n">
        <v>88658.95</v>
      </c>
      <c r="G6636" s="6" t="s">
        <v>2613</v>
      </c>
    </row>
    <row r="6637" customFormat="false" ht="15" hidden="false" customHeight="true" outlineLevel="0" collapsed="false">
      <c r="A6637" s="6" t="s">
        <v>9249</v>
      </c>
      <c r="B6637" s="6" t="s">
        <v>1451</v>
      </c>
      <c r="C6637" s="6" t="s">
        <v>128</v>
      </c>
      <c r="D6637" s="13" t="n">
        <v>45991</v>
      </c>
      <c r="E6637" s="14" t="n">
        <v>8606.43</v>
      </c>
      <c r="F6637" s="14" t="n">
        <v>97265.38</v>
      </c>
      <c r="G6637" s="6" t="s">
        <v>2613</v>
      </c>
    </row>
    <row r="6638" customFormat="false" ht="15" hidden="false" customHeight="true" outlineLevel="0" collapsed="false">
      <c r="A6638" s="6" t="s">
        <v>9250</v>
      </c>
      <c r="B6638" s="6" t="s">
        <v>1451</v>
      </c>
      <c r="C6638" s="6" t="s">
        <v>128</v>
      </c>
      <c r="D6638" s="13" t="n">
        <v>45998</v>
      </c>
      <c r="E6638" s="14" t="n">
        <v>3561.05</v>
      </c>
      <c r="F6638" s="14" t="n">
        <v>100826.43</v>
      </c>
      <c r="G6638" s="6" t="s">
        <v>2613</v>
      </c>
    </row>
    <row r="6639" customFormat="false" ht="15" hidden="false" customHeight="true" outlineLevel="0" collapsed="false">
      <c r="A6639" s="6" t="s">
        <v>9251</v>
      </c>
      <c r="B6639" s="6" t="s">
        <v>1453</v>
      </c>
      <c r="C6639" s="6" t="s">
        <v>112</v>
      </c>
      <c r="D6639" s="13" t="n">
        <v>45236</v>
      </c>
      <c r="E6639" s="14" t="n">
        <v>3001.78</v>
      </c>
      <c r="F6639" s="14" t="n">
        <v>3001.78</v>
      </c>
      <c r="G6639" s="6" t="s">
        <v>2613</v>
      </c>
    </row>
    <row r="6640" customFormat="false" ht="15" hidden="false" customHeight="true" outlineLevel="0" collapsed="false">
      <c r="A6640" s="6" t="s">
        <v>9252</v>
      </c>
      <c r="B6640" s="6" t="s">
        <v>1453</v>
      </c>
      <c r="C6640" s="6" t="s">
        <v>112</v>
      </c>
      <c r="D6640" s="13" t="n">
        <v>45243</v>
      </c>
      <c r="E6640" s="14" t="n">
        <v>2322.66</v>
      </c>
      <c r="F6640" s="14" t="n">
        <v>5324.44</v>
      </c>
      <c r="G6640" s="6" t="s">
        <v>2613</v>
      </c>
    </row>
    <row r="6641" customFormat="false" ht="15" hidden="false" customHeight="true" outlineLevel="0" collapsed="false">
      <c r="A6641" s="6" t="s">
        <v>9253</v>
      </c>
      <c r="B6641" s="6" t="s">
        <v>1453</v>
      </c>
      <c r="C6641" s="6" t="s">
        <v>112</v>
      </c>
      <c r="D6641" s="13" t="n">
        <v>45250</v>
      </c>
      <c r="E6641" s="14" t="n">
        <v>3366.81</v>
      </c>
      <c r="F6641" s="14" t="n">
        <v>8691.25</v>
      </c>
      <c r="G6641" s="6" t="s">
        <v>2613</v>
      </c>
    </row>
    <row r="6642" customFormat="false" ht="15" hidden="false" customHeight="true" outlineLevel="0" collapsed="false">
      <c r="A6642" s="6" t="s">
        <v>9254</v>
      </c>
      <c r="B6642" s="6" t="s">
        <v>1453</v>
      </c>
      <c r="C6642" s="6" t="s">
        <v>112</v>
      </c>
      <c r="D6642" s="13" t="n">
        <v>45257</v>
      </c>
      <c r="E6642" s="14" t="n">
        <v>1619.57</v>
      </c>
      <c r="F6642" s="14" t="n">
        <v>10310.82</v>
      </c>
      <c r="G6642" s="6" t="s">
        <v>2613</v>
      </c>
    </row>
    <row r="6643" customFormat="false" ht="15" hidden="false" customHeight="true" outlineLevel="0" collapsed="false">
      <c r="A6643" s="6" t="s">
        <v>9255</v>
      </c>
      <c r="B6643" s="6" t="s">
        <v>1453</v>
      </c>
      <c r="C6643" s="6" t="s">
        <v>112</v>
      </c>
      <c r="D6643" s="13" t="n">
        <v>45264</v>
      </c>
      <c r="E6643" s="14" t="n">
        <v>3183.53</v>
      </c>
      <c r="F6643" s="14" t="n">
        <v>13494.35</v>
      </c>
      <c r="G6643" s="6" t="s">
        <v>2613</v>
      </c>
    </row>
    <row r="6644" customFormat="false" ht="15" hidden="false" customHeight="true" outlineLevel="0" collapsed="false">
      <c r="A6644" s="6" t="s">
        <v>9256</v>
      </c>
      <c r="B6644" s="6" t="s">
        <v>1453</v>
      </c>
      <c r="C6644" s="6" t="s">
        <v>112</v>
      </c>
      <c r="D6644" s="13" t="n">
        <v>45271</v>
      </c>
      <c r="E6644" s="14" t="n">
        <v>3025.27</v>
      </c>
      <c r="F6644" s="14" t="n">
        <v>16519.62</v>
      </c>
      <c r="G6644" s="6" t="s">
        <v>2613</v>
      </c>
    </row>
    <row r="6645" customFormat="false" ht="15" hidden="false" customHeight="true" outlineLevel="0" collapsed="false">
      <c r="A6645" s="6" t="s">
        <v>9257</v>
      </c>
      <c r="B6645" s="6" t="s">
        <v>1453</v>
      </c>
      <c r="C6645" s="6" t="s">
        <v>112</v>
      </c>
      <c r="D6645" s="13" t="n">
        <v>45278</v>
      </c>
      <c r="E6645" s="14" t="n">
        <v>2246.06</v>
      </c>
      <c r="F6645" s="14" t="n">
        <v>18765.68</v>
      </c>
      <c r="G6645" s="6" t="s">
        <v>2613</v>
      </c>
    </row>
    <row r="6646" customFormat="false" ht="15" hidden="false" customHeight="true" outlineLevel="0" collapsed="false">
      <c r="A6646" s="6" t="s">
        <v>9258</v>
      </c>
      <c r="B6646" s="6" t="s">
        <v>1453</v>
      </c>
      <c r="C6646" s="6" t="s">
        <v>112</v>
      </c>
      <c r="D6646" s="13" t="n">
        <v>45285</v>
      </c>
      <c r="E6646" s="14" t="n">
        <v>2408.21</v>
      </c>
      <c r="F6646" s="14" t="n">
        <v>21173.89</v>
      </c>
      <c r="G6646" s="6" t="s">
        <v>2613</v>
      </c>
    </row>
    <row r="6647" customFormat="false" ht="15" hidden="false" customHeight="true" outlineLevel="0" collapsed="false">
      <c r="A6647" s="6" t="s">
        <v>9259</v>
      </c>
      <c r="B6647" s="6" t="s">
        <v>1453</v>
      </c>
      <c r="C6647" s="6" t="s">
        <v>112</v>
      </c>
      <c r="D6647" s="13" t="n">
        <v>45292</v>
      </c>
      <c r="E6647" s="14" t="n">
        <v>1646.78</v>
      </c>
      <c r="F6647" s="14" t="n">
        <v>22820.67</v>
      </c>
      <c r="G6647" s="6" t="s">
        <v>2623</v>
      </c>
    </row>
    <row r="6648" customFormat="false" ht="15" hidden="false" customHeight="true" outlineLevel="0" collapsed="false">
      <c r="A6648" s="6" t="s">
        <v>9260</v>
      </c>
      <c r="B6648" s="6" t="s">
        <v>1453</v>
      </c>
      <c r="C6648" s="6" t="s">
        <v>112</v>
      </c>
      <c r="D6648" s="13" t="n">
        <v>45299</v>
      </c>
      <c r="E6648" s="14" t="n">
        <v>3591.17</v>
      </c>
      <c r="F6648" s="14" t="n">
        <v>26411.84</v>
      </c>
      <c r="G6648" s="6" t="s">
        <v>2613</v>
      </c>
    </row>
    <row r="6649" customFormat="false" ht="15" hidden="false" customHeight="true" outlineLevel="0" collapsed="false">
      <c r="A6649" s="6" t="s">
        <v>9261</v>
      </c>
      <c r="B6649" s="6" t="s">
        <v>1453</v>
      </c>
      <c r="C6649" s="6" t="s">
        <v>112</v>
      </c>
      <c r="D6649" s="13" t="n">
        <v>45306</v>
      </c>
      <c r="E6649" s="14" t="n">
        <v>3049.74</v>
      </c>
      <c r="F6649" s="14" t="n">
        <v>29461.58</v>
      </c>
      <c r="G6649" s="6" t="s">
        <v>2613</v>
      </c>
    </row>
    <row r="6650" customFormat="false" ht="15" hidden="false" customHeight="true" outlineLevel="0" collapsed="false">
      <c r="A6650" s="6" t="s">
        <v>9262</v>
      </c>
      <c r="B6650" s="6" t="s">
        <v>1455</v>
      </c>
      <c r="C6650" s="6" t="s">
        <v>116</v>
      </c>
      <c r="D6650" s="13" t="n">
        <v>46113</v>
      </c>
      <c r="E6650" s="14" t="n">
        <v>1678.09</v>
      </c>
      <c r="F6650" s="14" t="n">
        <v>1678.09</v>
      </c>
      <c r="G6650" s="6" t="s">
        <v>2613</v>
      </c>
    </row>
    <row r="6651" customFormat="false" ht="15" hidden="false" customHeight="true" outlineLevel="0" collapsed="false">
      <c r="A6651" s="6" t="s">
        <v>9263</v>
      </c>
      <c r="B6651" s="6" t="s">
        <v>1455</v>
      </c>
      <c r="C6651" s="6" t="s">
        <v>116</v>
      </c>
      <c r="D6651" s="13" t="n">
        <v>46120</v>
      </c>
      <c r="E6651" s="14" t="n">
        <v>2736.21</v>
      </c>
      <c r="F6651" s="14" t="n">
        <v>4414.3</v>
      </c>
      <c r="G6651" s="6" t="s">
        <v>2623</v>
      </c>
    </row>
    <row r="6652" customFormat="false" ht="15" hidden="false" customHeight="true" outlineLevel="0" collapsed="false">
      <c r="A6652" s="6" t="s">
        <v>9264</v>
      </c>
      <c r="B6652" s="6" t="s">
        <v>1455</v>
      </c>
      <c r="C6652" s="6" t="s">
        <v>116</v>
      </c>
      <c r="D6652" s="13" t="n">
        <v>46127</v>
      </c>
      <c r="E6652" s="14" t="n">
        <v>2099.82</v>
      </c>
      <c r="F6652" s="14" t="n">
        <v>6514.12</v>
      </c>
      <c r="G6652" s="6" t="s">
        <v>2613</v>
      </c>
    </row>
    <row r="6653" customFormat="false" ht="15" hidden="false" customHeight="true" outlineLevel="0" collapsed="false">
      <c r="A6653" s="6" t="s">
        <v>9265</v>
      </c>
      <c r="B6653" s="6" t="s">
        <v>1455</v>
      </c>
      <c r="C6653" s="6" t="s">
        <v>116</v>
      </c>
      <c r="D6653" s="13" t="n">
        <v>46134</v>
      </c>
      <c r="E6653" s="14" t="n">
        <v>2232.96</v>
      </c>
      <c r="F6653" s="14" t="n">
        <v>8747.08</v>
      </c>
      <c r="G6653" s="6" t="s">
        <v>2613</v>
      </c>
    </row>
    <row r="6654" customFormat="false" ht="15" hidden="false" customHeight="true" outlineLevel="0" collapsed="false">
      <c r="A6654" s="6" t="s">
        <v>9266</v>
      </c>
      <c r="B6654" s="6" t="s">
        <v>1455</v>
      </c>
      <c r="C6654" s="6" t="s">
        <v>116</v>
      </c>
      <c r="D6654" s="13" t="n">
        <v>46141</v>
      </c>
      <c r="E6654" s="14" t="n">
        <v>1575.84</v>
      </c>
      <c r="F6654" s="14" t="n">
        <v>10322.92</v>
      </c>
      <c r="G6654" s="6" t="s">
        <v>2613</v>
      </c>
    </row>
    <row r="6655" customFormat="false" ht="15" hidden="false" customHeight="true" outlineLevel="0" collapsed="false">
      <c r="A6655" s="6" t="s">
        <v>9267</v>
      </c>
      <c r="B6655" s="6" t="s">
        <v>1455</v>
      </c>
      <c r="C6655" s="6" t="s">
        <v>116</v>
      </c>
      <c r="D6655" s="13" t="n">
        <v>46148</v>
      </c>
      <c r="E6655" s="14" t="n">
        <v>2260.9</v>
      </c>
      <c r="F6655" s="14" t="n">
        <v>12583.82</v>
      </c>
      <c r="G6655" s="6" t="s">
        <v>2613</v>
      </c>
    </row>
    <row r="6656" customFormat="false" ht="15" hidden="false" customHeight="true" outlineLevel="0" collapsed="false">
      <c r="A6656" s="6" t="s">
        <v>9268</v>
      </c>
      <c r="B6656" s="6" t="s">
        <v>1455</v>
      </c>
      <c r="C6656" s="6" t="s">
        <v>116</v>
      </c>
      <c r="D6656" s="13" t="n">
        <v>46155</v>
      </c>
      <c r="E6656" s="14" t="n">
        <v>3215</v>
      </c>
      <c r="F6656" s="14" t="n">
        <v>15798.82</v>
      </c>
      <c r="G6656" s="6" t="s">
        <v>2613</v>
      </c>
    </row>
    <row r="6657" customFormat="false" ht="15" hidden="false" customHeight="true" outlineLevel="0" collapsed="false">
      <c r="A6657" s="6" t="s">
        <v>9269</v>
      </c>
      <c r="B6657" s="6" t="s">
        <v>1455</v>
      </c>
      <c r="C6657" s="6" t="s">
        <v>116</v>
      </c>
      <c r="D6657" s="13" t="n">
        <v>46162</v>
      </c>
      <c r="E6657" s="14" t="n">
        <v>3270.62</v>
      </c>
      <c r="F6657" s="14" t="n">
        <v>19069.44</v>
      </c>
      <c r="G6657" s="6" t="s">
        <v>2613</v>
      </c>
    </row>
    <row r="6658" customFormat="false" ht="15" hidden="false" customHeight="true" outlineLevel="0" collapsed="false">
      <c r="A6658" s="6" t="s">
        <v>9270</v>
      </c>
      <c r="B6658" s="6" t="s">
        <v>1455</v>
      </c>
      <c r="C6658" s="6" t="s">
        <v>116</v>
      </c>
      <c r="D6658" s="13" t="n">
        <v>46169</v>
      </c>
      <c r="E6658" s="14" t="n">
        <v>2997.27</v>
      </c>
      <c r="F6658" s="14" t="n">
        <v>22066.71</v>
      </c>
      <c r="G6658" s="6" t="s">
        <v>2613</v>
      </c>
    </row>
    <row r="6659" customFormat="false" ht="15" hidden="false" customHeight="true" outlineLevel="0" collapsed="false">
      <c r="A6659" s="6" t="s">
        <v>9271</v>
      </c>
      <c r="B6659" s="6" t="s">
        <v>1455</v>
      </c>
      <c r="C6659" s="6" t="s">
        <v>116</v>
      </c>
      <c r="D6659" s="13" t="n">
        <v>46176</v>
      </c>
      <c r="E6659" s="14" t="n">
        <v>3092.51</v>
      </c>
      <c r="F6659" s="14" t="n">
        <v>25159.22</v>
      </c>
      <c r="G6659" s="6" t="s">
        <v>2613</v>
      </c>
    </row>
    <row r="6660" customFormat="false" ht="15" hidden="false" customHeight="true" outlineLevel="0" collapsed="false">
      <c r="A6660" s="6" t="s">
        <v>9272</v>
      </c>
      <c r="B6660" s="6" t="s">
        <v>1455</v>
      </c>
      <c r="C6660" s="6" t="s">
        <v>116</v>
      </c>
      <c r="D6660" s="13" t="n">
        <v>46183</v>
      </c>
      <c r="E6660" s="14" t="n">
        <v>1704.53</v>
      </c>
      <c r="F6660" s="14" t="n">
        <v>26863.75</v>
      </c>
      <c r="G6660" s="6" t="s">
        <v>2613</v>
      </c>
    </row>
    <row r="6661" customFormat="false" ht="15" hidden="false" customHeight="true" outlineLevel="0" collapsed="false">
      <c r="A6661" s="6" t="s">
        <v>9273</v>
      </c>
      <c r="B6661" s="6" t="s">
        <v>1455</v>
      </c>
      <c r="C6661" s="6" t="s">
        <v>116</v>
      </c>
      <c r="D6661" s="13" t="n">
        <v>46190</v>
      </c>
      <c r="E6661" s="14" t="n">
        <v>1644.23</v>
      </c>
      <c r="F6661" s="14" t="n">
        <v>28507.98</v>
      </c>
      <c r="G6661" s="6" t="s">
        <v>2613</v>
      </c>
    </row>
    <row r="6662" customFormat="false" ht="15" hidden="false" customHeight="true" outlineLevel="0" collapsed="false">
      <c r="A6662" s="6" t="s">
        <v>9274</v>
      </c>
      <c r="B6662" s="6" t="s">
        <v>1457</v>
      </c>
      <c r="C6662" s="6" t="s">
        <v>124</v>
      </c>
      <c r="D6662" s="13" t="n">
        <v>45349</v>
      </c>
      <c r="E6662" s="14" t="n">
        <v>3432.37</v>
      </c>
      <c r="F6662" s="14" t="n">
        <v>3432.37</v>
      </c>
      <c r="G6662" s="6" t="s">
        <v>2613</v>
      </c>
    </row>
    <row r="6663" customFormat="false" ht="15" hidden="false" customHeight="true" outlineLevel="0" collapsed="false">
      <c r="A6663" s="6" t="s">
        <v>9275</v>
      </c>
      <c r="B6663" s="6" t="s">
        <v>1457</v>
      </c>
      <c r="C6663" s="6" t="s">
        <v>124</v>
      </c>
      <c r="D6663" s="13" t="n">
        <v>45356</v>
      </c>
      <c r="E6663" s="14" t="n">
        <v>2605.01</v>
      </c>
      <c r="F6663" s="14" t="n">
        <v>6037.38</v>
      </c>
      <c r="G6663" s="6" t="s">
        <v>2613</v>
      </c>
    </row>
    <row r="6664" customFormat="false" ht="15" hidden="false" customHeight="true" outlineLevel="0" collapsed="false">
      <c r="A6664" s="6" t="s">
        <v>9276</v>
      </c>
      <c r="B6664" s="6" t="s">
        <v>1457</v>
      </c>
      <c r="C6664" s="6" t="s">
        <v>124</v>
      </c>
      <c r="D6664" s="13" t="n">
        <v>45363</v>
      </c>
      <c r="E6664" s="14" t="n">
        <v>1978.58</v>
      </c>
      <c r="F6664" s="14" t="n">
        <v>8015.96</v>
      </c>
      <c r="G6664" s="6" t="s">
        <v>2613</v>
      </c>
    </row>
    <row r="6665" customFormat="false" ht="15" hidden="false" customHeight="true" outlineLevel="0" collapsed="false">
      <c r="A6665" s="6" t="s">
        <v>9277</v>
      </c>
      <c r="B6665" s="6" t="s">
        <v>1457</v>
      </c>
      <c r="C6665" s="6" t="s">
        <v>124</v>
      </c>
      <c r="D6665" s="13" t="n">
        <v>45370</v>
      </c>
      <c r="E6665" s="14" t="n">
        <v>2963.2</v>
      </c>
      <c r="F6665" s="14" t="n">
        <v>10979.16</v>
      </c>
      <c r="G6665" s="6" t="s">
        <v>2613</v>
      </c>
    </row>
    <row r="6666" customFormat="false" ht="15" hidden="false" customHeight="true" outlineLevel="0" collapsed="false">
      <c r="A6666" s="6" t="s">
        <v>9278</v>
      </c>
      <c r="B6666" s="6" t="s">
        <v>1457</v>
      </c>
      <c r="C6666" s="6" t="s">
        <v>124</v>
      </c>
      <c r="D6666" s="13" t="n">
        <v>45377</v>
      </c>
      <c r="E6666" s="14" t="n">
        <v>3738.17</v>
      </c>
      <c r="F6666" s="14" t="n">
        <v>14717.33</v>
      </c>
      <c r="G6666" s="6" t="s">
        <v>2613</v>
      </c>
    </row>
    <row r="6667" customFormat="false" ht="15" hidden="false" customHeight="true" outlineLevel="0" collapsed="false">
      <c r="A6667" s="6" t="s">
        <v>9279</v>
      </c>
      <c r="B6667" s="6" t="s">
        <v>1457</v>
      </c>
      <c r="C6667" s="6" t="s">
        <v>124</v>
      </c>
      <c r="D6667" s="13" t="n">
        <v>45384</v>
      </c>
      <c r="E6667" s="14" t="n">
        <v>2158.07</v>
      </c>
      <c r="F6667" s="14" t="n">
        <v>16875.4</v>
      </c>
      <c r="G6667" s="6" t="s">
        <v>2613</v>
      </c>
    </row>
    <row r="6668" customFormat="false" ht="15" hidden="false" customHeight="true" outlineLevel="0" collapsed="false">
      <c r="A6668" s="6" t="s">
        <v>9280</v>
      </c>
      <c r="B6668" s="6" t="s">
        <v>1459</v>
      </c>
      <c r="C6668" s="6" t="s">
        <v>116</v>
      </c>
      <c r="D6668" s="13" t="n">
        <v>45422</v>
      </c>
      <c r="E6668" s="14" t="n">
        <v>4213.11</v>
      </c>
      <c r="F6668" s="14" t="n">
        <v>4213.11</v>
      </c>
      <c r="G6668" s="6" t="s">
        <v>2613</v>
      </c>
    </row>
    <row r="6669" customFormat="false" ht="15" hidden="false" customHeight="true" outlineLevel="0" collapsed="false">
      <c r="A6669" s="6" t="s">
        <v>9281</v>
      </c>
      <c r="B6669" s="6" t="s">
        <v>1459</v>
      </c>
      <c r="C6669" s="6" t="s">
        <v>116</v>
      </c>
      <c r="D6669" s="13" t="n">
        <v>45429</v>
      </c>
      <c r="E6669" s="14" t="n">
        <v>2872.64</v>
      </c>
      <c r="F6669" s="14" t="n">
        <v>7085.75</v>
      </c>
      <c r="G6669" s="6" t="s">
        <v>2613</v>
      </c>
    </row>
    <row r="6670" customFormat="false" ht="15" hidden="false" customHeight="true" outlineLevel="0" collapsed="false">
      <c r="A6670" s="6" t="s">
        <v>9282</v>
      </c>
      <c r="B6670" s="6" t="s">
        <v>1459</v>
      </c>
      <c r="C6670" s="6" t="s">
        <v>116</v>
      </c>
      <c r="D6670" s="13" t="n">
        <v>45436</v>
      </c>
      <c r="E6670" s="14" t="n">
        <v>2715.32</v>
      </c>
      <c r="F6670" s="14" t="n">
        <v>9801.07</v>
      </c>
      <c r="G6670" s="6" t="s">
        <v>2613</v>
      </c>
    </row>
    <row r="6671" customFormat="false" ht="15" hidden="false" customHeight="true" outlineLevel="0" collapsed="false">
      <c r="A6671" s="6" t="s">
        <v>9283</v>
      </c>
      <c r="B6671" s="6" t="s">
        <v>1459</v>
      </c>
      <c r="C6671" s="6" t="s">
        <v>116</v>
      </c>
      <c r="D6671" s="13" t="n">
        <v>45443</v>
      </c>
      <c r="E6671" s="14" t="n">
        <v>3323.63</v>
      </c>
      <c r="F6671" s="14" t="n">
        <v>13124.7</v>
      </c>
      <c r="G6671" s="6" t="s">
        <v>2613</v>
      </c>
    </row>
    <row r="6672" customFormat="false" ht="15" hidden="false" customHeight="true" outlineLevel="0" collapsed="false">
      <c r="A6672" s="6" t="s">
        <v>9284</v>
      </c>
      <c r="B6672" s="6" t="s">
        <v>1459</v>
      </c>
      <c r="C6672" s="6" t="s">
        <v>116</v>
      </c>
      <c r="D6672" s="13" t="n">
        <v>45450</v>
      </c>
      <c r="E6672" s="14" t="n">
        <v>3350.44</v>
      </c>
      <c r="F6672" s="14" t="n">
        <v>16475.14</v>
      </c>
      <c r="G6672" s="6" t="s">
        <v>2613</v>
      </c>
    </row>
    <row r="6673" customFormat="false" ht="15" hidden="false" customHeight="true" outlineLevel="0" collapsed="false">
      <c r="A6673" s="6" t="s">
        <v>9285</v>
      </c>
      <c r="B6673" s="6" t="s">
        <v>1459</v>
      </c>
      <c r="C6673" s="6" t="s">
        <v>116</v>
      </c>
      <c r="D6673" s="13" t="n">
        <v>45457</v>
      </c>
      <c r="E6673" s="14" t="n">
        <v>3318.61</v>
      </c>
      <c r="F6673" s="14" t="n">
        <v>19793.75</v>
      </c>
      <c r="G6673" s="6" t="s">
        <v>2613</v>
      </c>
    </row>
    <row r="6674" customFormat="false" ht="15" hidden="false" customHeight="true" outlineLevel="0" collapsed="false">
      <c r="A6674" s="6" t="s">
        <v>9286</v>
      </c>
      <c r="B6674" s="6" t="s">
        <v>1459</v>
      </c>
      <c r="C6674" s="6" t="s">
        <v>116</v>
      </c>
      <c r="D6674" s="13" t="n">
        <v>45464</v>
      </c>
      <c r="E6674" s="14" t="n">
        <v>3822.46</v>
      </c>
      <c r="F6674" s="14" t="n">
        <v>23616.21</v>
      </c>
      <c r="G6674" s="6" t="s">
        <v>2613</v>
      </c>
    </row>
    <row r="6675" customFormat="false" ht="15" hidden="false" customHeight="true" outlineLevel="0" collapsed="false">
      <c r="A6675" s="6" t="s">
        <v>9287</v>
      </c>
      <c r="B6675" s="6" t="s">
        <v>1459</v>
      </c>
      <c r="C6675" s="6" t="s">
        <v>116</v>
      </c>
      <c r="D6675" s="13" t="n">
        <v>45471</v>
      </c>
      <c r="E6675" s="14" t="n">
        <v>2475.21</v>
      </c>
      <c r="F6675" s="14" t="n">
        <v>26091.42</v>
      </c>
      <c r="G6675" s="6" t="s">
        <v>2613</v>
      </c>
    </row>
    <row r="6676" customFormat="false" ht="15" hidden="false" customHeight="true" outlineLevel="0" collapsed="false">
      <c r="A6676" s="6" t="s">
        <v>9288</v>
      </c>
      <c r="B6676" s="6" t="s">
        <v>1459</v>
      </c>
      <c r="C6676" s="6" t="s">
        <v>116</v>
      </c>
      <c r="D6676" s="13" t="n">
        <v>45478</v>
      </c>
      <c r="E6676" s="14" t="n">
        <v>3231.45</v>
      </c>
      <c r="F6676" s="14" t="n">
        <v>29322.87</v>
      </c>
      <c r="G6676" s="6" t="s">
        <v>2613</v>
      </c>
    </row>
    <row r="6677" customFormat="false" ht="15" hidden="false" customHeight="true" outlineLevel="0" collapsed="false">
      <c r="A6677" s="6" t="s">
        <v>9289</v>
      </c>
      <c r="B6677" s="6" t="s">
        <v>1459</v>
      </c>
      <c r="C6677" s="6" t="s">
        <v>116</v>
      </c>
      <c r="D6677" s="13" t="n">
        <v>45485</v>
      </c>
      <c r="E6677" s="14" t="n">
        <v>4272.41</v>
      </c>
      <c r="F6677" s="14" t="n">
        <v>33595.28</v>
      </c>
      <c r="G6677" s="6" t="s">
        <v>2613</v>
      </c>
    </row>
    <row r="6678" customFormat="false" ht="15" hidden="false" customHeight="true" outlineLevel="0" collapsed="false">
      <c r="A6678" s="6" t="s">
        <v>9290</v>
      </c>
      <c r="B6678" s="6" t="s">
        <v>1459</v>
      </c>
      <c r="C6678" s="6" t="s">
        <v>116</v>
      </c>
      <c r="D6678" s="13" t="n">
        <v>45492</v>
      </c>
      <c r="E6678" s="14" t="n">
        <v>3011.06</v>
      </c>
      <c r="F6678" s="14" t="n">
        <v>36606.34</v>
      </c>
      <c r="G6678" s="6" t="s">
        <v>2613</v>
      </c>
    </row>
    <row r="6679" customFormat="false" ht="15" hidden="false" customHeight="true" outlineLevel="0" collapsed="false">
      <c r="A6679" s="6" t="s">
        <v>9291</v>
      </c>
      <c r="B6679" s="6" t="s">
        <v>1459</v>
      </c>
      <c r="C6679" s="6" t="s">
        <v>116</v>
      </c>
      <c r="D6679" s="13" t="n">
        <v>45499</v>
      </c>
      <c r="E6679" s="14" t="n">
        <v>3375.48</v>
      </c>
      <c r="F6679" s="14" t="n">
        <v>39981.82</v>
      </c>
      <c r="G6679" s="6" t="s">
        <v>2613</v>
      </c>
    </row>
    <row r="6680" customFormat="false" ht="15" hidden="false" customHeight="true" outlineLevel="0" collapsed="false">
      <c r="A6680" s="6" t="s">
        <v>9292</v>
      </c>
      <c r="B6680" s="6" t="s">
        <v>1459</v>
      </c>
      <c r="C6680" s="6" t="s">
        <v>116</v>
      </c>
      <c r="D6680" s="13" t="n">
        <v>45506</v>
      </c>
      <c r="E6680" s="14" t="n">
        <v>323.08</v>
      </c>
      <c r="F6680" s="14" t="n">
        <v>40304.9</v>
      </c>
      <c r="G6680" s="6" t="s">
        <v>2613</v>
      </c>
    </row>
    <row r="6681" customFormat="false" ht="15" hidden="false" customHeight="true" outlineLevel="0" collapsed="false">
      <c r="A6681" s="6" t="s">
        <v>9293</v>
      </c>
      <c r="B6681" s="6" t="s">
        <v>1461</v>
      </c>
      <c r="C6681" s="6" t="s">
        <v>112</v>
      </c>
      <c r="D6681" s="13" t="n">
        <v>45650</v>
      </c>
      <c r="E6681" s="14" t="n">
        <v>1395.19</v>
      </c>
      <c r="F6681" s="14" t="n">
        <v>1395.19</v>
      </c>
      <c r="G6681" s="6" t="s">
        <v>2613</v>
      </c>
    </row>
    <row r="6682" customFormat="false" ht="15" hidden="false" customHeight="true" outlineLevel="0" collapsed="false">
      <c r="A6682" s="6" t="s">
        <v>9294</v>
      </c>
      <c r="B6682" s="6" t="s">
        <v>1461</v>
      </c>
      <c r="C6682" s="6" t="s">
        <v>112</v>
      </c>
      <c r="D6682" s="13" t="n">
        <v>45657</v>
      </c>
      <c r="E6682" s="14" t="n">
        <v>905.72</v>
      </c>
      <c r="F6682" s="14" t="n">
        <v>2300.91</v>
      </c>
      <c r="G6682" s="6" t="s">
        <v>2623</v>
      </c>
    </row>
    <row r="6683" customFormat="false" ht="15" hidden="false" customHeight="true" outlineLevel="0" collapsed="false">
      <c r="A6683" s="6" t="s">
        <v>9295</v>
      </c>
      <c r="B6683" s="6" t="s">
        <v>1461</v>
      </c>
      <c r="C6683" s="6" t="s">
        <v>112</v>
      </c>
      <c r="D6683" s="13" t="n">
        <v>45664</v>
      </c>
      <c r="E6683" s="14" t="n">
        <v>779.97</v>
      </c>
      <c r="F6683" s="14" t="n">
        <v>3080.88</v>
      </c>
      <c r="G6683" s="6" t="s">
        <v>2623</v>
      </c>
    </row>
    <row r="6684" customFormat="false" ht="15" hidden="false" customHeight="true" outlineLevel="0" collapsed="false">
      <c r="A6684" s="6" t="s">
        <v>9296</v>
      </c>
      <c r="B6684" s="6" t="s">
        <v>1461</v>
      </c>
      <c r="C6684" s="6" t="s">
        <v>112</v>
      </c>
      <c r="D6684" s="13" t="n">
        <v>45671</v>
      </c>
      <c r="E6684" s="14" t="n">
        <v>1082.97</v>
      </c>
      <c r="F6684" s="14" t="n">
        <v>4163.85</v>
      </c>
      <c r="G6684" s="6" t="s">
        <v>2613</v>
      </c>
    </row>
    <row r="6685" customFormat="false" ht="15" hidden="false" customHeight="true" outlineLevel="0" collapsed="false">
      <c r="A6685" s="6" t="s">
        <v>9297</v>
      </c>
      <c r="B6685" s="6" t="s">
        <v>1461</v>
      </c>
      <c r="C6685" s="6" t="s">
        <v>112</v>
      </c>
      <c r="D6685" s="13" t="n">
        <v>45678</v>
      </c>
      <c r="E6685" s="14" t="n">
        <v>1455.92</v>
      </c>
      <c r="F6685" s="14" t="n">
        <v>5619.77</v>
      </c>
      <c r="G6685" s="6" t="s">
        <v>2613</v>
      </c>
    </row>
    <row r="6686" customFormat="false" ht="15" hidden="false" customHeight="true" outlineLevel="0" collapsed="false">
      <c r="A6686" s="6" t="s">
        <v>9298</v>
      </c>
      <c r="B6686" s="6" t="s">
        <v>1461</v>
      </c>
      <c r="C6686" s="6" t="s">
        <v>112</v>
      </c>
      <c r="D6686" s="13" t="n">
        <v>45685</v>
      </c>
      <c r="E6686" s="14" t="n">
        <v>1187.81</v>
      </c>
      <c r="F6686" s="14" t="n">
        <v>6807.58</v>
      </c>
      <c r="G6686" s="6" t="s">
        <v>2613</v>
      </c>
    </row>
    <row r="6687" customFormat="false" ht="15" hidden="false" customHeight="true" outlineLevel="0" collapsed="false">
      <c r="A6687" s="6" t="s">
        <v>9299</v>
      </c>
      <c r="B6687" s="6" t="s">
        <v>1461</v>
      </c>
      <c r="C6687" s="6" t="s">
        <v>112</v>
      </c>
      <c r="D6687" s="13" t="n">
        <v>45692</v>
      </c>
      <c r="E6687" s="14" t="n">
        <v>1524.31</v>
      </c>
      <c r="F6687" s="14" t="n">
        <v>8331.89</v>
      </c>
      <c r="G6687" s="6" t="s">
        <v>2613</v>
      </c>
    </row>
    <row r="6688" customFormat="false" ht="15" hidden="false" customHeight="true" outlineLevel="0" collapsed="false">
      <c r="A6688" s="6" t="s">
        <v>9300</v>
      </c>
      <c r="B6688" s="6" t="s">
        <v>1461</v>
      </c>
      <c r="C6688" s="6" t="s">
        <v>112</v>
      </c>
      <c r="D6688" s="13" t="n">
        <v>45699</v>
      </c>
      <c r="E6688" s="14" t="n">
        <v>1764.38</v>
      </c>
      <c r="F6688" s="14" t="n">
        <v>10096.27</v>
      </c>
      <c r="G6688" s="6" t="s">
        <v>2613</v>
      </c>
    </row>
    <row r="6689" customFormat="false" ht="15" hidden="false" customHeight="true" outlineLevel="0" collapsed="false">
      <c r="A6689" s="6" t="s">
        <v>9301</v>
      </c>
      <c r="B6689" s="6" t="s">
        <v>1461</v>
      </c>
      <c r="C6689" s="6" t="s">
        <v>112</v>
      </c>
      <c r="D6689" s="13" t="n">
        <v>45706</v>
      </c>
      <c r="E6689" s="14" t="n">
        <v>1449.55</v>
      </c>
      <c r="F6689" s="14" t="n">
        <v>11545.82</v>
      </c>
      <c r="G6689" s="6" t="s">
        <v>2613</v>
      </c>
    </row>
    <row r="6690" customFormat="false" ht="15" hidden="false" customHeight="true" outlineLevel="0" collapsed="false">
      <c r="A6690" s="6" t="s">
        <v>9302</v>
      </c>
      <c r="B6690" s="6" t="s">
        <v>1461</v>
      </c>
      <c r="C6690" s="6" t="s">
        <v>112</v>
      </c>
      <c r="D6690" s="13" t="n">
        <v>45713</v>
      </c>
      <c r="E6690" s="14" t="n">
        <v>810.3</v>
      </c>
      <c r="F6690" s="14" t="n">
        <v>12356.12</v>
      </c>
      <c r="G6690" s="6" t="s">
        <v>2613</v>
      </c>
    </row>
    <row r="6691" customFormat="false" ht="15" hidden="false" customHeight="true" outlineLevel="0" collapsed="false">
      <c r="A6691" s="6" t="s">
        <v>9303</v>
      </c>
      <c r="B6691" s="6" t="s">
        <v>1461</v>
      </c>
      <c r="C6691" s="6" t="s">
        <v>112</v>
      </c>
      <c r="D6691" s="13" t="n">
        <v>45720</v>
      </c>
      <c r="E6691" s="14" t="n">
        <v>1742.88</v>
      </c>
      <c r="F6691" s="14" t="n">
        <v>14099</v>
      </c>
      <c r="G6691" s="6" t="s">
        <v>2623</v>
      </c>
    </row>
    <row r="6692" customFormat="false" ht="15" hidden="false" customHeight="true" outlineLevel="0" collapsed="false">
      <c r="A6692" s="6" t="s">
        <v>9304</v>
      </c>
      <c r="B6692" s="6" t="s">
        <v>1461</v>
      </c>
      <c r="C6692" s="6" t="s">
        <v>112</v>
      </c>
      <c r="D6692" s="13" t="n">
        <v>45727</v>
      </c>
      <c r="E6692" s="14" t="n">
        <v>1086.1</v>
      </c>
      <c r="F6692" s="14" t="n">
        <v>15185.1</v>
      </c>
      <c r="G6692" s="6" t="s">
        <v>2623</v>
      </c>
    </row>
    <row r="6693" customFormat="false" ht="15" hidden="false" customHeight="true" outlineLevel="0" collapsed="false">
      <c r="A6693" s="6" t="s">
        <v>9305</v>
      </c>
      <c r="B6693" s="6" t="s">
        <v>1461</v>
      </c>
      <c r="C6693" s="6" t="s">
        <v>112</v>
      </c>
      <c r="D6693" s="13" t="n">
        <v>45734</v>
      </c>
      <c r="E6693" s="14" t="n">
        <v>1309.48</v>
      </c>
      <c r="F6693" s="14" t="n">
        <v>16494.58</v>
      </c>
      <c r="G6693" s="6" t="s">
        <v>2613</v>
      </c>
    </row>
    <row r="6694" customFormat="false" ht="15" hidden="false" customHeight="true" outlineLevel="0" collapsed="false">
      <c r="A6694" s="6" t="s">
        <v>9306</v>
      </c>
      <c r="B6694" s="6" t="s">
        <v>1461</v>
      </c>
      <c r="C6694" s="6" t="s">
        <v>112</v>
      </c>
      <c r="D6694" s="13" t="n">
        <v>45741</v>
      </c>
      <c r="E6694" s="14" t="n">
        <v>1107.68</v>
      </c>
      <c r="F6694" s="14" t="n">
        <v>17602.26</v>
      </c>
      <c r="G6694" s="6" t="s">
        <v>2613</v>
      </c>
    </row>
    <row r="6695" customFormat="false" ht="15" hidden="false" customHeight="true" outlineLevel="0" collapsed="false">
      <c r="A6695" s="6" t="s">
        <v>9307</v>
      </c>
      <c r="B6695" s="6" t="s">
        <v>1461</v>
      </c>
      <c r="C6695" s="6" t="s">
        <v>112</v>
      </c>
      <c r="D6695" s="13" t="n">
        <v>45748</v>
      </c>
      <c r="E6695" s="14" t="n">
        <v>1782.75</v>
      </c>
      <c r="F6695" s="14" t="n">
        <v>19385.01</v>
      </c>
      <c r="G6695" s="6" t="s">
        <v>2613</v>
      </c>
    </row>
    <row r="6696" customFormat="false" ht="15" hidden="false" customHeight="true" outlineLevel="0" collapsed="false">
      <c r="A6696" s="6" t="s">
        <v>9308</v>
      </c>
      <c r="B6696" s="6" t="s">
        <v>1463</v>
      </c>
      <c r="C6696" s="6" t="s">
        <v>124</v>
      </c>
      <c r="D6696" s="13" t="n">
        <v>45176</v>
      </c>
      <c r="E6696" s="14" t="n">
        <v>5642.5</v>
      </c>
      <c r="F6696" s="14" t="n">
        <v>5642.5</v>
      </c>
      <c r="G6696" s="6" t="s">
        <v>2613</v>
      </c>
    </row>
    <row r="6697" customFormat="false" ht="15" hidden="false" customHeight="true" outlineLevel="0" collapsed="false">
      <c r="A6697" s="6" t="s">
        <v>9309</v>
      </c>
      <c r="B6697" s="6" t="s">
        <v>1463</v>
      </c>
      <c r="C6697" s="6" t="s">
        <v>124</v>
      </c>
      <c r="D6697" s="13" t="n">
        <v>45183</v>
      </c>
      <c r="E6697" s="14" t="n">
        <v>2643.41</v>
      </c>
      <c r="F6697" s="14" t="n">
        <v>8285.91</v>
      </c>
      <c r="G6697" s="6" t="s">
        <v>2613</v>
      </c>
    </row>
    <row r="6698" customFormat="false" ht="15" hidden="false" customHeight="true" outlineLevel="0" collapsed="false">
      <c r="A6698" s="6" t="s">
        <v>9310</v>
      </c>
      <c r="B6698" s="6" t="s">
        <v>1463</v>
      </c>
      <c r="C6698" s="6" t="s">
        <v>124</v>
      </c>
      <c r="D6698" s="13" t="n">
        <v>45190</v>
      </c>
      <c r="E6698" s="14" t="n">
        <v>3566.17</v>
      </c>
      <c r="F6698" s="14" t="n">
        <v>11852.08</v>
      </c>
      <c r="G6698" s="6" t="s">
        <v>2613</v>
      </c>
    </row>
    <row r="6699" customFormat="false" ht="15" hidden="false" customHeight="true" outlineLevel="0" collapsed="false">
      <c r="A6699" s="6" t="s">
        <v>9311</v>
      </c>
      <c r="B6699" s="6" t="s">
        <v>1463</v>
      </c>
      <c r="C6699" s="6" t="s">
        <v>124</v>
      </c>
      <c r="D6699" s="13" t="n">
        <v>45197</v>
      </c>
      <c r="E6699" s="14" t="n">
        <v>4331.99</v>
      </c>
      <c r="F6699" s="14" t="n">
        <v>16184.07</v>
      </c>
      <c r="G6699" s="6" t="s">
        <v>2613</v>
      </c>
    </row>
    <row r="6700" customFormat="false" ht="15" hidden="false" customHeight="true" outlineLevel="0" collapsed="false">
      <c r="A6700" s="6" t="s">
        <v>9312</v>
      </c>
      <c r="B6700" s="6" t="s">
        <v>1463</v>
      </c>
      <c r="C6700" s="6" t="s">
        <v>124</v>
      </c>
      <c r="D6700" s="13" t="n">
        <v>45204</v>
      </c>
      <c r="E6700" s="14" t="n">
        <v>3860.8</v>
      </c>
      <c r="F6700" s="14" t="n">
        <v>20044.87</v>
      </c>
      <c r="G6700" s="6" t="s">
        <v>2613</v>
      </c>
    </row>
    <row r="6701" customFormat="false" ht="15" hidden="false" customHeight="true" outlineLevel="0" collapsed="false">
      <c r="A6701" s="6" t="s">
        <v>9313</v>
      </c>
      <c r="B6701" s="6" t="s">
        <v>1463</v>
      </c>
      <c r="C6701" s="6" t="s">
        <v>124</v>
      </c>
      <c r="D6701" s="13" t="n">
        <v>45211</v>
      </c>
      <c r="E6701" s="14" t="n">
        <v>5087.24</v>
      </c>
      <c r="F6701" s="14" t="n">
        <v>25132.11</v>
      </c>
      <c r="G6701" s="6" t="s">
        <v>2613</v>
      </c>
    </row>
    <row r="6702" customFormat="false" ht="15" hidden="false" customHeight="true" outlineLevel="0" collapsed="false">
      <c r="A6702" s="6" t="s">
        <v>9314</v>
      </c>
      <c r="B6702" s="6" t="s">
        <v>1463</v>
      </c>
      <c r="C6702" s="6" t="s">
        <v>124</v>
      </c>
      <c r="D6702" s="13" t="n">
        <v>45218</v>
      </c>
      <c r="E6702" s="14" t="n">
        <v>3317.4</v>
      </c>
      <c r="F6702" s="14" t="n">
        <v>28449.51</v>
      </c>
      <c r="G6702" s="6" t="s">
        <v>2613</v>
      </c>
    </row>
    <row r="6703" customFormat="false" ht="15" hidden="false" customHeight="true" outlineLevel="0" collapsed="false">
      <c r="A6703" s="6" t="s">
        <v>9315</v>
      </c>
      <c r="B6703" s="6" t="s">
        <v>1463</v>
      </c>
      <c r="C6703" s="6" t="s">
        <v>124</v>
      </c>
      <c r="D6703" s="13" t="n">
        <v>45225</v>
      </c>
      <c r="E6703" s="14" t="n">
        <v>4362.96</v>
      </c>
      <c r="F6703" s="14" t="n">
        <v>32812.47</v>
      </c>
      <c r="G6703" s="6" t="s">
        <v>2613</v>
      </c>
    </row>
    <row r="6704" customFormat="false" ht="15" hidden="false" customHeight="true" outlineLevel="0" collapsed="false">
      <c r="A6704" s="6" t="s">
        <v>9316</v>
      </c>
      <c r="B6704" s="6" t="s">
        <v>1465</v>
      </c>
      <c r="C6704" s="6" t="s">
        <v>128</v>
      </c>
      <c r="D6704" s="13" t="n">
        <v>44574</v>
      </c>
      <c r="E6704" s="14" t="n">
        <v>3212.71</v>
      </c>
      <c r="F6704" s="14" t="n">
        <v>3212.71</v>
      </c>
      <c r="G6704" s="6" t="s">
        <v>2613</v>
      </c>
    </row>
    <row r="6705" customFormat="false" ht="15" hidden="false" customHeight="true" outlineLevel="0" collapsed="false">
      <c r="A6705" s="6" t="s">
        <v>9317</v>
      </c>
      <c r="B6705" s="6" t="s">
        <v>1465</v>
      </c>
      <c r="C6705" s="6" t="s">
        <v>128</v>
      </c>
      <c r="D6705" s="13" t="n">
        <v>44581</v>
      </c>
      <c r="E6705" s="14" t="n">
        <v>4993.26</v>
      </c>
      <c r="F6705" s="14" t="n">
        <v>8205.97</v>
      </c>
      <c r="G6705" s="6" t="s">
        <v>2613</v>
      </c>
    </row>
    <row r="6706" customFormat="false" ht="15" hidden="false" customHeight="true" outlineLevel="0" collapsed="false">
      <c r="A6706" s="6" t="s">
        <v>9318</v>
      </c>
      <c r="B6706" s="6" t="s">
        <v>1465</v>
      </c>
      <c r="C6706" s="6" t="s">
        <v>128</v>
      </c>
      <c r="D6706" s="13" t="n">
        <v>44588</v>
      </c>
      <c r="E6706" s="14" t="n">
        <v>3410.77</v>
      </c>
      <c r="F6706" s="14" t="n">
        <v>11616.74</v>
      </c>
      <c r="G6706" s="6" t="s">
        <v>2613</v>
      </c>
    </row>
    <row r="6707" customFormat="false" ht="15" hidden="false" customHeight="true" outlineLevel="0" collapsed="false">
      <c r="A6707" s="6" t="s">
        <v>9319</v>
      </c>
      <c r="B6707" s="6" t="s">
        <v>1465</v>
      </c>
      <c r="C6707" s="6" t="s">
        <v>128</v>
      </c>
      <c r="D6707" s="13" t="n">
        <v>44595</v>
      </c>
      <c r="E6707" s="14" t="n">
        <v>6290.73</v>
      </c>
      <c r="F6707" s="14" t="n">
        <v>17907.47</v>
      </c>
      <c r="G6707" s="6" t="s">
        <v>2613</v>
      </c>
    </row>
    <row r="6708" customFormat="false" ht="15" hidden="false" customHeight="true" outlineLevel="0" collapsed="false">
      <c r="A6708" s="6" t="s">
        <v>9320</v>
      </c>
      <c r="B6708" s="6" t="s">
        <v>1465</v>
      </c>
      <c r="C6708" s="6" t="s">
        <v>128</v>
      </c>
      <c r="D6708" s="13" t="n">
        <v>44602</v>
      </c>
      <c r="E6708" s="14" t="n">
        <v>5746.38</v>
      </c>
      <c r="F6708" s="14" t="n">
        <v>23653.85</v>
      </c>
      <c r="G6708" s="6" t="s">
        <v>2613</v>
      </c>
    </row>
    <row r="6709" customFormat="false" ht="15" hidden="false" customHeight="true" outlineLevel="0" collapsed="false">
      <c r="A6709" s="6" t="s">
        <v>9321</v>
      </c>
      <c r="B6709" s="6" t="s">
        <v>1465</v>
      </c>
      <c r="C6709" s="6" t="s">
        <v>128</v>
      </c>
      <c r="D6709" s="13" t="n">
        <v>44609</v>
      </c>
      <c r="E6709" s="14" t="n">
        <v>2858.48</v>
      </c>
      <c r="F6709" s="14" t="n">
        <v>26512.33</v>
      </c>
      <c r="G6709" s="6" t="s">
        <v>2613</v>
      </c>
    </row>
    <row r="6710" customFormat="false" ht="15" hidden="false" customHeight="true" outlineLevel="0" collapsed="false">
      <c r="A6710" s="6" t="s">
        <v>9322</v>
      </c>
      <c r="B6710" s="6" t="s">
        <v>1465</v>
      </c>
      <c r="C6710" s="6" t="s">
        <v>128</v>
      </c>
      <c r="D6710" s="13" t="n">
        <v>44616</v>
      </c>
      <c r="E6710" s="14" t="n">
        <v>6381.48</v>
      </c>
      <c r="F6710" s="14" t="n">
        <v>32893.81</v>
      </c>
      <c r="G6710" s="6" t="s">
        <v>2613</v>
      </c>
    </row>
    <row r="6711" customFormat="false" ht="15" hidden="false" customHeight="true" outlineLevel="0" collapsed="false">
      <c r="A6711" s="6" t="s">
        <v>9323</v>
      </c>
      <c r="B6711" s="6" t="s">
        <v>1465</v>
      </c>
      <c r="C6711" s="6" t="s">
        <v>128</v>
      </c>
      <c r="D6711" s="13" t="n">
        <v>44623</v>
      </c>
      <c r="E6711" s="14" t="n">
        <v>3288.3</v>
      </c>
      <c r="F6711" s="14" t="n">
        <v>36182.11</v>
      </c>
      <c r="G6711" s="6" t="s">
        <v>2613</v>
      </c>
    </row>
    <row r="6712" customFormat="false" ht="15" hidden="false" customHeight="true" outlineLevel="0" collapsed="false">
      <c r="A6712" s="6" t="s">
        <v>9324</v>
      </c>
      <c r="B6712" s="6" t="s">
        <v>1465</v>
      </c>
      <c r="C6712" s="6" t="s">
        <v>128</v>
      </c>
      <c r="D6712" s="13" t="n">
        <v>44630</v>
      </c>
      <c r="E6712" s="14" t="n">
        <v>3685.02</v>
      </c>
      <c r="F6712" s="14" t="n">
        <v>39867.13</v>
      </c>
      <c r="G6712" s="6" t="s">
        <v>2623</v>
      </c>
    </row>
    <row r="6713" customFormat="false" ht="15" hidden="false" customHeight="true" outlineLevel="0" collapsed="false">
      <c r="A6713" s="6" t="s">
        <v>9325</v>
      </c>
      <c r="B6713" s="6" t="s">
        <v>1465</v>
      </c>
      <c r="C6713" s="6" t="s">
        <v>128</v>
      </c>
      <c r="D6713" s="13" t="n">
        <v>44637</v>
      </c>
      <c r="E6713" s="14" t="n">
        <v>3566.53</v>
      </c>
      <c r="F6713" s="14" t="n">
        <v>43433.66</v>
      </c>
      <c r="G6713" s="6" t="s">
        <v>2613</v>
      </c>
    </row>
    <row r="6714" customFormat="false" ht="15" hidden="false" customHeight="true" outlineLevel="0" collapsed="false">
      <c r="A6714" s="6" t="s">
        <v>9326</v>
      </c>
      <c r="B6714" s="6" t="s">
        <v>1465</v>
      </c>
      <c r="C6714" s="6" t="s">
        <v>128</v>
      </c>
      <c r="D6714" s="13" t="n">
        <v>44644</v>
      </c>
      <c r="E6714" s="14" t="n">
        <v>4025.78</v>
      </c>
      <c r="F6714" s="14" t="n">
        <v>47459.44</v>
      </c>
      <c r="G6714" s="6" t="s">
        <v>2613</v>
      </c>
    </row>
    <row r="6715" customFormat="false" ht="15" hidden="false" customHeight="true" outlineLevel="0" collapsed="false">
      <c r="A6715" s="6" t="s">
        <v>9327</v>
      </c>
      <c r="B6715" s="6" t="s">
        <v>1465</v>
      </c>
      <c r="C6715" s="6" t="s">
        <v>128</v>
      </c>
      <c r="D6715" s="13" t="n">
        <v>44651</v>
      </c>
      <c r="E6715" s="14" t="n">
        <v>9201.86</v>
      </c>
      <c r="F6715" s="14" t="n">
        <v>56661.3</v>
      </c>
      <c r="G6715" s="6" t="s">
        <v>2623</v>
      </c>
    </row>
    <row r="6716" customFormat="false" ht="15" hidden="false" customHeight="true" outlineLevel="0" collapsed="false">
      <c r="A6716" s="6" t="s">
        <v>9328</v>
      </c>
      <c r="B6716" s="6" t="s">
        <v>1467</v>
      </c>
      <c r="C6716" s="6" t="s">
        <v>124</v>
      </c>
      <c r="D6716" s="13" t="n">
        <v>44936</v>
      </c>
      <c r="E6716" s="14" t="n">
        <v>1309.08</v>
      </c>
      <c r="F6716" s="14" t="n">
        <v>1309.08</v>
      </c>
      <c r="G6716" s="6" t="s">
        <v>2613</v>
      </c>
    </row>
    <row r="6717" customFormat="false" ht="15" hidden="false" customHeight="true" outlineLevel="0" collapsed="false">
      <c r="A6717" s="6" t="s">
        <v>9329</v>
      </c>
      <c r="B6717" s="6" t="s">
        <v>1467</v>
      </c>
      <c r="C6717" s="6" t="s">
        <v>124</v>
      </c>
      <c r="D6717" s="13" t="n">
        <v>44943</v>
      </c>
      <c r="E6717" s="14" t="n">
        <v>1915.94</v>
      </c>
      <c r="F6717" s="14" t="n">
        <v>3225.02</v>
      </c>
      <c r="G6717" s="6" t="s">
        <v>2613</v>
      </c>
    </row>
    <row r="6718" customFormat="false" ht="15" hidden="false" customHeight="true" outlineLevel="0" collapsed="false">
      <c r="A6718" s="6" t="s">
        <v>9330</v>
      </c>
      <c r="B6718" s="6" t="s">
        <v>1467</v>
      </c>
      <c r="C6718" s="6" t="s">
        <v>124</v>
      </c>
      <c r="D6718" s="13" t="n">
        <v>44950</v>
      </c>
      <c r="E6718" s="14" t="n">
        <v>991.88</v>
      </c>
      <c r="F6718" s="14" t="n">
        <v>4216.9</v>
      </c>
      <c r="G6718" s="6" t="s">
        <v>2613</v>
      </c>
    </row>
    <row r="6719" customFormat="false" ht="15" hidden="false" customHeight="true" outlineLevel="0" collapsed="false">
      <c r="A6719" s="6" t="s">
        <v>9331</v>
      </c>
      <c r="B6719" s="6" t="s">
        <v>1467</v>
      </c>
      <c r="C6719" s="6" t="s">
        <v>124</v>
      </c>
      <c r="D6719" s="13" t="n">
        <v>44957</v>
      </c>
      <c r="E6719" s="14" t="n">
        <v>1491.21</v>
      </c>
      <c r="F6719" s="14" t="n">
        <v>5708.11</v>
      </c>
      <c r="G6719" s="6" t="s">
        <v>2613</v>
      </c>
    </row>
    <row r="6720" customFormat="false" ht="15" hidden="false" customHeight="true" outlineLevel="0" collapsed="false">
      <c r="A6720" s="6" t="s">
        <v>9332</v>
      </c>
      <c r="B6720" s="6" t="s">
        <v>1467</v>
      </c>
      <c r="C6720" s="6" t="s">
        <v>124</v>
      </c>
      <c r="D6720" s="13" t="n">
        <v>44964</v>
      </c>
      <c r="E6720" s="14" t="n">
        <v>1842.91</v>
      </c>
      <c r="F6720" s="14" t="n">
        <v>7551.02</v>
      </c>
      <c r="G6720" s="6" t="s">
        <v>2623</v>
      </c>
    </row>
    <row r="6721" customFormat="false" ht="15" hidden="false" customHeight="true" outlineLevel="0" collapsed="false">
      <c r="A6721" s="6" t="s">
        <v>9333</v>
      </c>
      <c r="B6721" s="6" t="s">
        <v>1469</v>
      </c>
      <c r="C6721" s="6" t="s">
        <v>120</v>
      </c>
      <c r="D6721" s="13" t="n">
        <v>45478</v>
      </c>
      <c r="E6721" s="14" t="n">
        <v>10035.84</v>
      </c>
      <c r="F6721" s="14" t="n">
        <v>10035.84</v>
      </c>
      <c r="G6721" s="6" t="s">
        <v>2613</v>
      </c>
    </row>
    <row r="6722" customFormat="false" ht="15" hidden="false" customHeight="true" outlineLevel="0" collapsed="false">
      <c r="A6722" s="6" t="s">
        <v>9334</v>
      </c>
      <c r="B6722" s="6" t="s">
        <v>1469</v>
      </c>
      <c r="C6722" s="6" t="s">
        <v>120</v>
      </c>
      <c r="D6722" s="13" t="n">
        <v>45485</v>
      </c>
      <c r="E6722" s="14" t="n">
        <v>5489.89</v>
      </c>
      <c r="F6722" s="14" t="n">
        <v>15525.73</v>
      </c>
      <c r="G6722" s="6" t="s">
        <v>2613</v>
      </c>
    </row>
    <row r="6723" customFormat="false" ht="15" hidden="false" customHeight="true" outlineLevel="0" collapsed="false">
      <c r="A6723" s="6" t="s">
        <v>9335</v>
      </c>
      <c r="B6723" s="6" t="s">
        <v>1471</v>
      </c>
      <c r="C6723" s="6" t="s">
        <v>112</v>
      </c>
      <c r="D6723" s="13" t="n">
        <v>46168</v>
      </c>
      <c r="E6723" s="14" t="n">
        <v>6768.48</v>
      </c>
      <c r="F6723" s="14" t="n">
        <v>6768.48</v>
      </c>
      <c r="G6723" s="6" t="s">
        <v>2613</v>
      </c>
    </row>
    <row r="6724" customFormat="false" ht="15" hidden="false" customHeight="true" outlineLevel="0" collapsed="false">
      <c r="A6724" s="6" t="s">
        <v>9336</v>
      </c>
      <c r="B6724" s="6" t="s">
        <v>1471</v>
      </c>
      <c r="C6724" s="6" t="s">
        <v>112</v>
      </c>
      <c r="D6724" s="13" t="n">
        <v>46175</v>
      </c>
      <c r="E6724" s="14" t="n">
        <v>4292.53</v>
      </c>
      <c r="F6724" s="14" t="n">
        <v>11061.01</v>
      </c>
      <c r="G6724" s="6" t="s">
        <v>2613</v>
      </c>
    </row>
    <row r="6725" customFormat="false" ht="15" hidden="false" customHeight="true" outlineLevel="0" collapsed="false">
      <c r="A6725" s="6" t="s">
        <v>9337</v>
      </c>
      <c r="B6725" s="6" t="s">
        <v>1471</v>
      </c>
      <c r="C6725" s="6" t="s">
        <v>112</v>
      </c>
      <c r="D6725" s="13" t="n">
        <v>46182</v>
      </c>
      <c r="E6725" s="14" t="n">
        <v>5138.68</v>
      </c>
      <c r="F6725" s="14" t="n">
        <v>16199.69</v>
      </c>
      <c r="G6725" s="6" t="s">
        <v>2613</v>
      </c>
    </row>
    <row r="6726" customFormat="false" ht="15" hidden="false" customHeight="true" outlineLevel="0" collapsed="false">
      <c r="A6726" s="6" t="s">
        <v>9338</v>
      </c>
      <c r="B6726" s="6" t="s">
        <v>1471</v>
      </c>
      <c r="C6726" s="6" t="s">
        <v>112</v>
      </c>
      <c r="D6726" s="13" t="n">
        <v>46189</v>
      </c>
      <c r="E6726" s="14" t="n">
        <v>5309.24</v>
      </c>
      <c r="F6726" s="14" t="n">
        <v>21508.93</v>
      </c>
      <c r="G6726" s="6" t="s">
        <v>2613</v>
      </c>
    </row>
    <row r="6727" customFormat="false" ht="15" hidden="false" customHeight="true" outlineLevel="0" collapsed="false">
      <c r="A6727" s="6" t="s">
        <v>9339</v>
      </c>
      <c r="B6727" s="6" t="s">
        <v>1471</v>
      </c>
      <c r="C6727" s="6" t="s">
        <v>112</v>
      </c>
      <c r="D6727" s="13" t="n">
        <v>46196</v>
      </c>
      <c r="E6727" s="14" t="n">
        <v>3686.35</v>
      </c>
      <c r="F6727" s="14" t="n">
        <v>25195.28</v>
      </c>
      <c r="G6727" s="6" t="s">
        <v>2613</v>
      </c>
    </row>
    <row r="6728" customFormat="false" ht="15" hidden="false" customHeight="true" outlineLevel="0" collapsed="false">
      <c r="A6728" s="6" t="s">
        <v>9340</v>
      </c>
      <c r="B6728" s="6" t="s">
        <v>1471</v>
      </c>
      <c r="C6728" s="6" t="s">
        <v>112</v>
      </c>
      <c r="D6728" s="13" t="n">
        <v>46203</v>
      </c>
      <c r="E6728" s="14" t="n">
        <v>6128.05</v>
      </c>
      <c r="F6728" s="14" t="n">
        <v>31323.33</v>
      </c>
      <c r="G6728" s="6" t="s">
        <v>2613</v>
      </c>
    </row>
    <row r="6729" customFormat="false" ht="15" hidden="false" customHeight="true" outlineLevel="0" collapsed="false">
      <c r="A6729" s="6" t="s">
        <v>9341</v>
      </c>
      <c r="B6729" s="6" t="s">
        <v>1471</v>
      </c>
      <c r="C6729" s="6" t="s">
        <v>112</v>
      </c>
      <c r="D6729" s="13" t="n">
        <v>46210</v>
      </c>
      <c r="E6729" s="14" t="n">
        <v>3519.68</v>
      </c>
      <c r="F6729" s="14" t="n">
        <v>34843.01</v>
      </c>
      <c r="G6729" s="6" t="s">
        <v>2613</v>
      </c>
    </row>
    <row r="6730" customFormat="false" ht="15" hidden="false" customHeight="true" outlineLevel="0" collapsed="false">
      <c r="A6730" s="6" t="s">
        <v>9342</v>
      </c>
      <c r="B6730" s="6" t="s">
        <v>1471</v>
      </c>
      <c r="C6730" s="6" t="s">
        <v>112</v>
      </c>
      <c r="D6730" s="13" t="n">
        <v>46217</v>
      </c>
      <c r="E6730" s="14" t="n">
        <v>6988.2</v>
      </c>
      <c r="F6730" s="14" t="n">
        <v>41831.21</v>
      </c>
      <c r="G6730" s="6" t="s">
        <v>2613</v>
      </c>
    </row>
    <row r="6731" customFormat="false" ht="15" hidden="false" customHeight="true" outlineLevel="0" collapsed="false">
      <c r="A6731" s="6" t="s">
        <v>9343</v>
      </c>
      <c r="B6731" s="6" t="s">
        <v>1471</v>
      </c>
      <c r="C6731" s="6" t="s">
        <v>112</v>
      </c>
      <c r="D6731" s="13" t="n">
        <v>46224</v>
      </c>
      <c r="E6731" s="14" t="n">
        <v>10861.77</v>
      </c>
      <c r="F6731" s="14" t="n">
        <v>52692.98</v>
      </c>
      <c r="G6731" s="6" t="s">
        <v>2613</v>
      </c>
    </row>
    <row r="6732" customFormat="false" ht="15" hidden="false" customHeight="true" outlineLevel="0" collapsed="false">
      <c r="A6732" s="6" t="s">
        <v>9344</v>
      </c>
      <c r="B6732" s="6" t="s">
        <v>1473</v>
      </c>
      <c r="C6732" s="6" t="s">
        <v>120</v>
      </c>
      <c r="D6732" s="13" t="n">
        <v>45576</v>
      </c>
      <c r="E6732" s="14" t="n">
        <v>588.37</v>
      </c>
      <c r="F6732" s="14" t="n">
        <v>588.37</v>
      </c>
      <c r="G6732" s="6" t="s">
        <v>2613</v>
      </c>
    </row>
    <row r="6733" customFormat="false" ht="15" hidden="false" customHeight="true" outlineLevel="0" collapsed="false">
      <c r="A6733" s="6" t="s">
        <v>9345</v>
      </c>
      <c r="B6733" s="6" t="s">
        <v>1473</v>
      </c>
      <c r="C6733" s="6" t="s">
        <v>120</v>
      </c>
      <c r="D6733" s="13" t="n">
        <v>45583</v>
      </c>
      <c r="E6733" s="14" t="n">
        <v>933.53</v>
      </c>
      <c r="F6733" s="14" t="n">
        <v>1521.9</v>
      </c>
      <c r="G6733" s="6" t="s">
        <v>2613</v>
      </c>
    </row>
    <row r="6734" customFormat="false" ht="15" hidden="false" customHeight="true" outlineLevel="0" collapsed="false">
      <c r="A6734" s="6" t="s">
        <v>9346</v>
      </c>
      <c r="B6734" s="6" t="s">
        <v>1473</v>
      </c>
      <c r="C6734" s="6" t="s">
        <v>120</v>
      </c>
      <c r="D6734" s="13" t="n">
        <v>45590</v>
      </c>
      <c r="E6734" s="14" t="n">
        <v>833.8</v>
      </c>
      <c r="F6734" s="14" t="n">
        <v>2355.7</v>
      </c>
      <c r="G6734" s="6" t="s">
        <v>2613</v>
      </c>
    </row>
    <row r="6735" customFormat="false" ht="15" hidden="false" customHeight="true" outlineLevel="0" collapsed="false">
      <c r="A6735" s="6" t="s">
        <v>9347</v>
      </c>
      <c r="B6735" s="6" t="s">
        <v>1473</v>
      </c>
      <c r="C6735" s="6" t="s">
        <v>120</v>
      </c>
      <c r="D6735" s="13" t="n">
        <v>45597</v>
      </c>
      <c r="E6735" s="14" t="n">
        <v>603.55</v>
      </c>
      <c r="F6735" s="14" t="n">
        <v>2959.25</v>
      </c>
      <c r="G6735" s="6" t="s">
        <v>2613</v>
      </c>
    </row>
    <row r="6736" customFormat="false" ht="15" hidden="false" customHeight="true" outlineLevel="0" collapsed="false">
      <c r="A6736" s="6" t="s">
        <v>9348</v>
      </c>
      <c r="B6736" s="6" t="s">
        <v>1473</v>
      </c>
      <c r="C6736" s="6" t="s">
        <v>120</v>
      </c>
      <c r="D6736" s="13" t="n">
        <v>45604</v>
      </c>
      <c r="E6736" s="14" t="n">
        <v>986.08</v>
      </c>
      <c r="F6736" s="14" t="n">
        <v>3945.33</v>
      </c>
      <c r="G6736" s="6" t="s">
        <v>2613</v>
      </c>
    </row>
    <row r="6737" customFormat="false" ht="15" hidden="false" customHeight="true" outlineLevel="0" collapsed="false">
      <c r="A6737" s="6" t="s">
        <v>9349</v>
      </c>
      <c r="B6737" s="6" t="s">
        <v>1473</v>
      </c>
      <c r="C6737" s="6" t="s">
        <v>120</v>
      </c>
      <c r="D6737" s="13" t="n">
        <v>45611</v>
      </c>
      <c r="E6737" s="14" t="n">
        <v>567.67</v>
      </c>
      <c r="F6737" s="14" t="n">
        <v>4513</v>
      </c>
      <c r="G6737" s="6" t="s">
        <v>2613</v>
      </c>
    </row>
    <row r="6738" customFormat="false" ht="15" hidden="false" customHeight="true" outlineLevel="0" collapsed="false">
      <c r="A6738" s="6" t="s">
        <v>9350</v>
      </c>
      <c r="B6738" s="6" t="s">
        <v>1473</v>
      </c>
      <c r="C6738" s="6" t="s">
        <v>120</v>
      </c>
      <c r="D6738" s="13" t="n">
        <v>45618</v>
      </c>
      <c r="E6738" s="14" t="n">
        <v>830.97</v>
      </c>
      <c r="F6738" s="14" t="n">
        <v>5343.97</v>
      </c>
      <c r="G6738" s="6" t="s">
        <v>2613</v>
      </c>
    </row>
    <row r="6739" customFormat="false" ht="15" hidden="false" customHeight="true" outlineLevel="0" collapsed="false">
      <c r="A6739" s="6" t="s">
        <v>9351</v>
      </c>
      <c r="B6739" s="6" t="s">
        <v>1473</v>
      </c>
      <c r="C6739" s="6" t="s">
        <v>120</v>
      </c>
      <c r="D6739" s="13" t="n">
        <v>45625</v>
      </c>
      <c r="E6739" s="14" t="n">
        <v>472.62</v>
      </c>
      <c r="F6739" s="14" t="n">
        <v>5816.59</v>
      </c>
      <c r="G6739" s="6" t="s">
        <v>2613</v>
      </c>
    </row>
    <row r="6740" customFormat="false" ht="15" hidden="false" customHeight="true" outlineLevel="0" collapsed="false">
      <c r="A6740" s="6" t="s">
        <v>9352</v>
      </c>
      <c r="B6740" s="6" t="s">
        <v>1473</v>
      </c>
      <c r="C6740" s="6" t="s">
        <v>120</v>
      </c>
      <c r="D6740" s="13" t="n">
        <v>45632</v>
      </c>
      <c r="E6740" s="14" t="n">
        <v>813.42</v>
      </c>
      <c r="F6740" s="14" t="n">
        <v>6630.01</v>
      </c>
      <c r="G6740" s="6" t="s">
        <v>2613</v>
      </c>
    </row>
    <row r="6741" customFormat="false" ht="15" hidden="false" customHeight="true" outlineLevel="0" collapsed="false">
      <c r="A6741" s="6" t="s">
        <v>9353</v>
      </c>
      <c r="B6741" s="6" t="s">
        <v>1473</v>
      </c>
      <c r="C6741" s="6" t="s">
        <v>120</v>
      </c>
      <c r="D6741" s="13" t="n">
        <v>45639</v>
      </c>
      <c r="E6741" s="14" t="n">
        <v>650.1</v>
      </c>
      <c r="F6741" s="14" t="n">
        <v>7280.11</v>
      </c>
      <c r="G6741" s="6" t="s">
        <v>2613</v>
      </c>
    </row>
    <row r="6742" customFormat="false" ht="15" hidden="false" customHeight="true" outlineLevel="0" collapsed="false">
      <c r="A6742" s="6" t="s">
        <v>9354</v>
      </c>
      <c r="B6742" s="6" t="s">
        <v>1473</v>
      </c>
      <c r="C6742" s="6" t="s">
        <v>120</v>
      </c>
      <c r="D6742" s="13" t="n">
        <v>45646</v>
      </c>
      <c r="E6742" s="14" t="n">
        <v>960.53</v>
      </c>
      <c r="F6742" s="14" t="n">
        <v>8240.64</v>
      </c>
      <c r="G6742" s="6" t="s">
        <v>2613</v>
      </c>
    </row>
    <row r="6743" customFormat="false" ht="15" hidden="false" customHeight="true" outlineLevel="0" collapsed="false">
      <c r="A6743" s="6" t="s">
        <v>9355</v>
      </c>
      <c r="B6743" s="6" t="s">
        <v>1473</v>
      </c>
      <c r="C6743" s="6" t="s">
        <v>120</v>
      </c>
      <c r="D6743" s="13" t="n">
        <v>45653</v>
      </c>
      <c r="E6743" s="14" t="n">
        <v>561.93</v>
      </c>
      <c r="F6743" s="14" t="n">
        <v>8802.57</v>
      </c>
      <c r="G6743" s="6" t="s">
        <v>2613</v>
      </c>
    </row>
    <row r="6744" customFormat="false" ht="15" hidden="false" customHeight="true" outlineLevel="0" collapsed="false">
      <c r="A6744" s="6" t="s">
        <v>9356</v>
      </c>
      <c r="B6744" s="6" t="s">
        <v>1473</v>
      </c>
      <c r="C6744" s="6" t="s">
        <v>120</v>
      </c>
      <c r="D6744" s="13" t="n">
        <v>45660</v>
      </c>
      <c r="E6744" s="14" t="n">
        <v>892.89</v>
      </c>
      <c r="F6744" s="14" t="n">
        <v>9695.46</v>
      </c>
      <c r="G6744" s="6" t="s">
        <v>2613</v>
      </c>
    </row>
    <row r="6745" customFormat="false" ht="15" hidden="false" customHeight="true" outlineLevel="0" collapsed="false">
      <c r="A6745" s="6" t="s">
        <v>9357</v>
      </c>
      <c r="B6745" s="6" t="s">
        <v>1473</v>
      </c>
      <c r="C6745" s="6" t="s">
        <v>120</v>
      </c>
      <c r="D6745" s="13" t="n">
        <v>45667</v>
      </c>
      <c r="E6745" s="14" t="n">
        <v>815.42</v>
      </c>
      <c r="F6745" s="14" t="n">
        <v>10510.88</v>
      </c>
      <c r="G6745" s="6" t="s">
        <v>2613</v>
      </c>
    </row>
    <row r="6746" customFormat="false" ht="15" hidden="false" customHeight="true" outlineLevel="0" collapsed="false">
      <c r="A6746" s="6" t="s">
        <v>9358</v>
      </c>
      <c r="B6746" s="6" t="s">
        <v>1473</v>
      </c>
      <c r="C6746" s="6" t="s">
        <v>120</v>
      </c>
      <c r="D6746" s="13" t="n">
        <v>45674</v>
      </c>
      <c r="E6746" s="14" t="n">
        <v>978.91</v>
      </c>
      <c r="F6746" s="14" t="n">
        <v>11489.79</v>
      </c>
      <c r="G6746" s="6" t="s">
        <v>2613</v>
      </c>
    </row>
    <row r="6747" customFormat="false" ht="15" hidden="false" customHeight="true" outlineLevel="0" collapsed="false">
      <c r="A6747" s="6" t="s">
        <v>9359</v>
      </c>
      <c r="B6747" s="6" t="s">
        <v>1473</v>
      </c>
      <c r="C6747" s="6" t="s">
        <v>120</v>
      </c>
      <c r="D6747" s="13" t="n">
        <v>45681</v>
      </c>
      <c r="E6747" s="14" t="n">
        <v>801.54</v>
      </c>
      <c r="F6747" s="14" t="n">
        <v>12291.33</v>
      </c>
      <c r="G6747" s="6" t="s">
        <v>2613</v>
      </c>
    </row>
    <row r="6748" customFormat="false" ht="15" hidden="false" customHeight="true" outlineLevel="0" collapsed="false">
      <c r="A6748" s="6" t="s">
        <v>9360</v>
      </c>
      <c r="B6748" s="6" t="s">
        <v>1473</v>
      </c>
      <c r="C6748" s="6" t="s">
        <v>120</v>
      </c>
      <c r="D6748" s="13" t="n">
        <v>45688</v>
      </c>
      <c r="E6748" s="14" t="n">
        <v>433.41</v>
      </c>
      <c r="F6748" s="14" t="n">
        <v>12724.74</v>
      </c>
      <c r="G6748" s="6" t="s">
        <v>2613</v>
      </c>
    </row>
    <row r="6749" customFormat="false" ht="15" hidden="false" customHeight="true" outlineLevel="0" collapsed="false">
      <c r="A6749" s="6" t="s">
        <v>9361</v>
      </c>
      <c r="B6749" s="6" t="s">
        <v>1473</v>
      </c>
      <c r="C6749" s="6" t="s">
        <v>120</v>
      </c>
      <c r="D6749" s="13" t="n">
        <v>45695</v>
      </c>
      <c r="E6749" s="14" t="n">
        <v>65.15</v>
      </c>
      <c r="F6749" s="14" t="n">
        <v>12789.89</v>
      </c>
      <c r="G6749" s="6" t="s">
        <v>2613</v>
      </c>
    </row>
    <row r="6750" customFormat="false" ht="15" hidden="false" customHeight="true" outlineLevel="0" collapsed="false">
      <c r="A6750" s="6" t="s">
        <v>9362</v>
      </c>
      <c r="B6750" s="6" t="s">
        <v>1475</v>
      </c>
      <c r="C6750" s="6" t="s">
        <v>131</v>
      </c>
      <c r="D6750" s="13" t="n">
        <v>44978</v>
      </c>
      <c r="E6750" s="14" t="n">
        <v>6535.39</v>
      </c>
      <c r="F6750" s="14" t="n">
        <v>6535.39</v>
      </c>
      <c r="G6750" s="6" t="s">
        <v>2613</v>
      </c>
    </row>
    <row r="6751" customFormat="false" ht="15" hidden="false" customHeight="true" outlineLevel="0" collapsed="false">
      <c r="A6751" s="6" t="s">
        <v>9363</v>
      </c>
      <c r="B6751" s="6" t="s">
        <v>1475</v>
      </c>
      <c r="C6751" s="6" t="s">
        <v>131</v>
      </c>
      <c r="D6751" s="13" t="n">
        <v>44985</v>
      </c>
      <c r="E6751" s="14" t="n">
        <v>6025.31</v>
      </c>
      <c r="F6751" s="14" t="n">
        <v>12560.7</v>
      </c>
      <c r="G6751" s="6" t="s">
        <v>2613</v>
      </c>
    </row>
    <row r="6752" customFormat="false" ht="15" hidden="false" customHeight="true" outlineLevel="0" collapsed="false">
      <c r="A6752" s="6" t="s">
        <v>9364</v>
      </c>
      <c r="B6752" s="6" t="s">
        <v>1475</v>
      </c>
      <c r="C6752" s="6" t="s">
        <v>131</v>
      </c>
      <c r="D6752" s="13" t="n">
        <v>44992</v>
      </c>
      <c r="E6752" s="14" t="n">
        <v>4734.49</v>
      </c>
      <c r="F6752" s="14" t="n">
        <v>17295.19</v>
      </c>
      <c r="G6752" s="6" t="s">
        <v>2623</v>
      </c>
    </row>
    <row r="6753" customFormat="false" ht="15" hidden="false" customHeight="true" outlineLevel="0" collapsed="false">
      <c r="A6753" s="6" t="s">
        <v>9365</v>
      </c>
      <c r="B6753" s="6" t="s">
        <v>1475</v>
      </c>
      <c r="C6753" s="6" t="s">
        <v>131</v>
      </c>
      <c r="D6753" s="13" t="n">
        <v>44999</v>
      </c>
      <c r="E6753" s="14" t="n">
        <v>5718.84</v>
      </c>
      <c r="F6753" s="14" t="n">
        <v>23014.03</v>
      </c>
      <c r="G6753" s="6" t="s">
        <v>2613</v>
      </c>
    </row>
    <row r="6754" customFormat="false" ht="15" hidden="false" customHeight="true" outlineLevel="0" collapsed="false">
      <c r="A6754" s="6" t="s">
        <v>9366</v>
      </c>
      <c r="B6754" s="6" t="s">
        <v>1475</v>
      </c>
      <c r="C6754" s="6" t="s">
        <v>131</v>
      </c>
      <c r="D6754" s="13" t="n">
        <v>45006</v>
      </c>
      <c r="E6754" s="14" t="n">
        <v>2984.68</v>
      </c>
      <c r="F6754" s="14" t="n">
        <v>25998.71</v>
      </c>
      <c r="G6754" s="6" t="s">
        <v>2613</v>
      </c>
    </row>
    <row r="6755" customFormat="false" ht="15" hidden="false" customHeight="true" outlineLevel="0" collapsed="false">
      <c r="A6755" s="6" t="s">
        <v>9367</v>
      </c>
      <c r="B6755" s="6" t="s">
        <v>1475</v>
      </c>
      <c r="C6755" s="6" t="s">
        <v>131</v>
      </c>
      <c r="D6755" s="13" t="n">
        <v>45013</v>
      </c>
      <c r="E6755" s="14" t="n">
        <v>5103.12</v>
      </c>
      <c r="F6755" s="14" t="n">
        <v>31101.83</v>
      </c>
      <c r="G6755" s="6" t="s">
        <v>2613</v>
      </c>
    </row>
    <row r="6756" customFormat="false" ht="15" hidden="false" customHeight="true" outlineLevel="0" collapsed="false">
      <c r="A6756" s="6" t="s">
        <v>9368</v>
      </c>
      <c r="B6756" s="6" t="s">
        <v>1475</v>
      </c>
      <c r="C6756" s="6" t="s">
        <v>131</v>
      </c>
      <c r="D6756" s="13" t="n">
        <v>45020</v>
      </c>
      <c r="E6756" s="14" t="n">
        <v>6472.76</v>
      </c>
      <c r="F6756" s="14" t="n">
        <v>37574.59</v>
      </c>
      <c r="G6756" s="6" t="s">
        <v>2613</v>
      </c>
    </row>
    <row r="6757" customFormat="false" ht="15" hidden="false" customHeight="true" outlineLevel="0" collapsed="false">
      <c r="A6757" s="6" t="s">
        <v>9369</v>
      </c>
      <c r="B6757" s="6" t="s">
        <v>1475</v>
      </c>
      <c r="C6757" s="6" t="s">
        <v>131</v>
      </c>
      <c r="D6757" s="13" t="n">
        <v>45027</v>
      </c>
      <c r="E6757" s="14" t="n">
        <v>2978.86</v>
      </c>
      <c r="F6757" s="14" t="n">
        <v>40553.45</v>
      </c>
      <c r="G6757" s="6" t="s">
        <v>2613</v>
      </c>
    </row>
    <row r="6758" customFormat="false" ht="15" hidden="false" customHeight="true" outlineLevel="0" collapsed="false">
      <c r="A6758" s="6" t="s">
        <v>9370</v>
      </c>
      <c r="B6758" s="6" t="s">
        <v>1475</v>
      </c>
      <c r="C6758" s="6" t="s">
        <v>131</v>
      </c>
      <c r="D6758" s="13" t="n">
        <v>45034</v>
      </c>
      <c r="E6758" s="14" t="n">
        <v>3266.78</v>
      </c>
      <c r="F6758" s="14" t="n">
        <v>43820.23</v>
      </c>
      <c r="G6758" s="6" t="s">
        <v>2613</v>
      </c>
    </row>
    <row r="6759" customFormat="false" ht="15" hidden="false" customHeight="true" outlineLevel="0" collapsed="false">
      <c r="A6759" s="6" t="s">
        <v>9371</v>
      </c>
      <c r="B6759" s="6" t="s">
        <v>1475</v>
      </c>
      <c r="C6759" s="6" t="s">
        <v>131</v>
      </c>
      <c r="D6759" s="13" t="n">
        <v>45041</v>
      </c>
      <c r="E6759" s="14" t="n">
        <v>3173.29</v>
      </c>
      <c r="F6759" s="14" t="n">
        <v>46993.52</v>
      </c>
      <c r="G6759" s="6" t="s">
        <v>2613</v>
      </c>
    </row>
    <row r="6760" customFormat="false" ht="15" hidden="false" customHeight="true" outlineLevel="0" collapsed="false">
      <c r="A6760" s="6" t="s">
        <v>9372</v>
      </c>
      <c r="B6760" s="6" t="s">
        <v>1475</v>
      </c>
      <c r="C6760" s="6" t="s">
        <v>131</v>
      </c>
      <c r="D6760" s="13" t="n">
        <v>45048</v>
      </c>
      <c r="E6760" s="14" t="n">
        <v>5921.08</v>
      </c>
      <c r="F6760" s="14" t="n">
        <v>52914.6</v>
      </c>
      <c r="G6760" s="6" t="s">
        <v>2613</v>
      </c>
    </row>
    <row r="6761" customFormat="false" ht="15" hidden="false" customHeight="true" outlineLevel="0" collapsed="false">
      <c r="A6761" s="6" t="s">
        <v>9373</v>
      </c>
      <c r="B6761" s="6" t="s">
        <v>1475</v>
      </c>
      <c r="C6761" s="6" t="s">
        <v>131</v>
      </c>
      <c r="D6761" s="13" t="n">
        <v>45055</v>
      </c>
      <c r="E6761" s="14" t="n">
        <v>6511.4</v>
      </c>
      <c r="F6761" s="14" t="n">
        <v>59426</v>
      </c>
      <c r="G6761" s="6" t="s">
        <v>2613</v>
      </c>
    </row>
    <row r="6762" customFormat="false" ht="15" hidden="false" customHeight="true" outlineLevel="0" collapsed="false">
      <c r="A6762" s="6" t="s">
        <v>9374</v>
      </c>
      <c r="B6762" s="6" t="s">
        <v>1475</v>
      </c>
      <c r="C6762" s="6" t="s">
        <v>131</v>
      </c>
      <c r="D6762" s="13" t="n">
        <v>45062</v>
      </c>
      <c r="E6762" s="14" t="n">
        <v>3121.33</v>
      </c>
      <c r="F6762" s="14" t="n">
        <v>62547.33</v>
      </c>
      <c r="G6762" s="6" t="s">
        <v>2613</v>
      </c>
    </row>
    <row r="6763" customFormat="false" ht="15" hidden="false" customHeight="true" outlineLevel="0" collapsed="false">
      <c r="A6763" s="6" t="s">
        <v>9375</v>
      </c>
      <c r="B6763" s="6" t="s">
        <v>1475</v>
      </c>
      <c r="C6763" s="6" t="s">
        <v>131</v>
      </c>
      <c r="D6763" s="13" t="n">
        <v>45069</v>
      </c>
      <c r="E6763" s="14" t="n">
        <v>6048.49</v>
      </c>
      <c r="F6763" s="14" t="n">
        <v>68595.82</v>
      </c>
      <c r="G6763" s="6" t="s">
        <v>2613</v>
      </c>
    </row>
    <row r="6764" customFormat="false" ht="15" hidden="false" customHeight="true" outlineLevel="0" collapsed="false">
      <c r="A6764" s="6" t="s">
        <v>9376</v>
      </c>
      <c r="B6764" s="6" t="s">
        <v>1475</v>
      </c>
      <c r="C6764" s="6" t="s">
        <v>131</v>
      </c>
      <c r="D6764" s="13" t="n">
        <v>45076</v>
      </c>
      <c r="E6764" s="14" t="n">
        <v>4292.26</v>
      </c>
      <c r="F6764" s="14" t="n">
        <v>72888.08</v>
      </c>
      <c r="G6764" s="6" t="s">
        <v>2613</v>
      </c>
    </row>
    <row r="6765" customFormat="false" ht="15" hidden="false" customHeight="true" outlineLevel="0" collapsed="false">
      <c r="A6765" s="6" t="s">
        <v>9377</v>
      </c>
      <c r="B6765" s="6" t="s">
        <v>1475</v>
      </c>
      <c r="C6765" s="6" t="s">
        <v>131</v>
      </c>
      <c r="D6765" s="13" t="n">
        <v>45083</v>
      </c>
      <c r="E6765" s="14" t="n">
        <v>4086.98</v>
      </c>
      <c r="F6765" s="14" t="n">
        <v>76975.06</v>
      </c>
      <c r="G6765" s="6" t="s">
        <v>2613</v>
      </c>
    </row>
    <row r="6766" customFormat="false" ht="15" hidden="false" customHeight="true" outlineLevel="0" collapsed="false">
      <c r="A6766" s="6" t="s">
        <v>9378</v>
      </c>
      <c r="B6766" s="6" t="s">
        <v>1475</v>
      </c>
      <c r="C6766" s="6" t="s">
        <v>131</v>
      </c>
      <c r="D6766" s="13" t="n">
        <v>45090</v>
      </c>
      <c r="E6766" s="14" t="n">
        <v>4099.1</v>
      </c>
      <c r="F6766" s="14" t="n">
        <v>81074.16</v>
      </c>
      <c r="G6766" s="6" t="s">
        <v>2623</v>
      </c>
    </row>
    <row r="6767" customFormat="false" ht="15" hidden="false" customHeight="true" outlineLevel="0" collapsed="false">
      <c r="A6767" s="6" t="s">
        <v>9379</v>
      </c>
      <c r="B6767" s="6" t="s">
        <v>1475</v>
      </c>
      <c r="C6767" s="6" t="s">
        <v>131</v>
      </c>
      <c r="D6767" s="13" t="n">
        <v>45097</v>
      </c>
      <c r="E6767" s="14" t="n">
        <v>3438.22</v>
      </c>
      <c r="F6767" s="14" t="n">
        <v>84512.38</v>
      </c>
      <c r="G6767" s="6" t="s">
        <v>2613</v>
      </c>
    </row>
    <row r="6768" customFormat="false" ht="15" hidden="false" customHeight="true" outlineLevel="0" collapsed="false">
      <c r="A6768" s="6" t="s">
        <v>9380</v>
      </c>
      <c r="B6768" s="6" t="s">
        <v>1475</v>
      </c>
      <c r="C6768" s="6" t="s">
        <v>131</v>
      </c>
      <c r="D6768" s="13" t="n">
        <v>45104</v>
      </c>
      <c r="E6768" s="14" t="n">
        <v>4925.65</v>
      </c>
      <c r="F6768" s="14" t="n">
        <v>89438.03</v>
      </c>
      <c r="G6768" s="6" t="s">
        <v>2613</v>
      </c>
    </row>
    <row r="6769" customFormat="false" ht="15" hidden="false" customHeight="true" outlineLevel="0" collapsed="false">
      <c r="A6769" s="6" t="s">
        <v>9381</v>
      </c>
      <c r="B6769" s="6" t="s">
        <v>1477</v>
      </c>
      <c r="C6769" s="6" t="s">
        <v>112</v>
      </c>
      <c r="D6769" s="13" t="n">
        <v>44583</v>
      </c>
      <c r="E6769" s="14" t="n">
        <v>3214.59</v>
      </c>
      <c r="F6769" s="14" t="n">
        <v>3214.59</v>
      </c>
      <c r="G6769" s="6" t="s">
        <v>2613</v>
      </c>
    </row>
    <row r="6770" customFormat="false" ht="15" hidden="false" customHeight="true" outlineLevel="0" collapsed="false">
      <c r="A6770" s="6" t="s">
        <v>9382</v>
      </c>
      <c r="B6770" s="6" t="s">
        <v>1477</v>
      </c>
      <c r="C6770" s="6" t="s">
        <v>112</v>
      </c>
      <c r="D6770" s="13" t="n">
        <v>44590</v>
      </c>
      <c r="E6770" s="14" t="n">
        <v>3552.08</v>
      </c>
      <c r="F6770" s="14" t="n">
        <v>6766.67</v>
      </c>
      <c r="G6770" s="6" t="s">
        <v>2613</v>
      </c>
    </row>
    <row r="6771" customFormat="false" ht="15" hidden="false" customHeight="true" outlineLevel="0" collapsed="false">
      <c r="A6771" s="6" t="s">
        <v>9383</v>
      </c>
      <c r="B6771" s="6" t="s">
        <v>1477</v>
      </c>
      <c r="C6771" s="6" t="s">
        <v>112</v>
      </c>
      <c r="D6771" s="13" t="n">
        <v>44597</v>
      </c>
      <c r="E6771" s="14" t="n">
        <v>4446.31</v>
      </c>
      <c r="F6771" s="14" t="n">
        <v>11212.98</v>
      </c>
      <c r="G6771" s="6" t="s">
        <v>2613</v>
      </c>
    </row>
    <row r="6772" customFormat="false" ht="15" hidden="false" customHeight="true" outlineLevel="0" collapsed="false">
      <c r="A6772" s="6" t="s">
        <v>9384</v>
      </c>
      <c r="B6772" s="6" t="s">
        <v>1477</v>
      </c>
      <c r="C6772" s="6" t="s">
        <v>112</v>
      </c>
      <c r="D6772" s="13" t="n">
        <v>44604</v>
      </c>
      <c r="E6772" s="14" t="n">
        <v>4125.63</v>
      </c>
      <c r="F6772" s="14" t="n">
        <v>15338.61</v>
      </c>
      <c r="G6772" s="6" t="s">
        <v>2613</v>
      </c>
    </row>
    <row r="6773" customFormat="false" ht="15" hidden="false" customHeight="true" outlineLevel="0" collapsed="false">
      <c r="A6773" s="6" t="s">
        <v>9385</v>
      </c>
      <c r="B6773" s="6" t="s">
        <v>1477</v>
      </c>
      <c r="C6773" s="6" t="s">
        <v>112</v>
      </c>
      <c r="D6773" s="13" t="n">
        <v>44611</v>
      </c>
      <c r="E6773" s="14" t="n">
        <v>2562.72</v>
      </c>
      <c r="F6773" s="14" t="n">
        <v>17901.33</v>
      </c>
      <c r="G6773" s="6" t="s">
        <v>2613</v>
      </c>
    </row>
    <row r="6774" customFormat="false" ht="15" hidden="false" customHeight="true" outlineLevel="0" collapsed="false">
      <c r="A6774" s="6" t="s">
        <v>9386</v>
      </c>
      <c r="B6774" s="6" t="s">
        <v>1477</v>
      </c>
      <c r="C6774" s="6" t="s">
        <v>112</v>
      </c>
      <c r="D6774" s="13" t="n">
        <v>44618</v>
      </c>
      <c r="E6774" s="14" t="n">
        <v>2733.36</v>
      </c>
      <c r="F6774" s="14" t="n">
        <v>20634.69</v>
      </c>
      <c r="G6774" s="6" t="s">
        <v>2613</v>
      </c>
    </row>
    <row r="6775" customFormat="false" ht="15" hidden="false" customHeight="true" outlineLevel="0" collapsed="false">
      <c r="A6775" s="6" t="s">
        <v>9387</v>
      </c>
      <c r="B6775" s="6" t="s">
        <v>1477</v>
      </c>
      <c r="C6775" s="6" t="s">
        <v>112</v>
      </c>
      <c r="D6775" s="13" t="n">
        <v>44625</v>
      </c>
      <c r="E6775" s="14" t="n">
        <v>4629.08</v>
      </c>
      <c r="F6775" s="14" t="n">
        <v>25263.77</v>
      </c>
      <c r="G6775" s="6" t="s">
        <v>2623</v>
      </c>
    </row>
    <row r="6776" customFormat="false" ht="15" hidden="false" customHeight="true" outlineLevel="0" collapsed="false">
      <c r="A6776" s="6" t="s">
        <v>9388</v>
      </c>
      <c r="B6776" s="6" t="s">
        <v>1479</v>
      </c>
      <c r="C6776" s="6" t="s">
        <v>124</v>
      </c>
      <c r="D6776" s="13" t="n">
        <v>45403</v>
      </c>
      <c r="E6776" s="14" t="n">
        <v>3622.34</v>
      </c>
      <c r="F6776" s="14" t="n">
        <v>3622.34</v>
      </c>
      <c r="G6776" s="6" t="s">
        <v>2613</v>
      </c>
    </row>
    <row r="6777" customFormat="false" ht="15" hidden="false" customHeight="true" outlineLevel="0" collapsed="false">
      <c r="A6777" s="6" t="s">
        <v>9389</v>
      </c>
      <c r="B6777" s="6" t="s">
        <v>1479</v>
      </c>
      <c r="C6777" s="6" t="s">
        <v>124</v>
      </c>
      <c r="D6777" s="13" t="n">
        <v>45410</v>
      </c>
      <c r="E6777" s="14" t="n">
        <v>1807.1</v>
      </c>
      <c r="F6777" s="14" t="n">
        <v>5429.44</v>
      </c>
      <c r="G6777" s="6" t="s">
        <v>2613</v>
      </c>
    </row>
    <row r="6778" customFormat="false" ht="15" hidden="false" customHeight="true" outlineLevel="0" collapsed="false">
      <c r="A6778" s="6" t="s">
        <v>9390</v>
      </c>
      <c r="B6778" s="6" t="s">
        <v>1479</v>
      </c>
      <c r="C6778" s="6" t="s">
        <v>124</v>
      </c>
      <c r="D6778" s="13" t="n">
        <v>45417</v>
      </c>
      <c r="E6778" s="14" t="n">
        <v>1833.1</v>
      </c>
      <c r="F6778" s="14" t="n">
        <v>7262.54</v>
      </c>
      <c r="G6778" s="6" t="s">
        <v>2613</v>
      </c>
    </row>
    <row r="6779" customFormat="false" ht="15" hidden="false" customHeight="true" outlineLevel="0" collapsed="false">
      <c r="A6779" s="6" t="s">
        <v>9391</v>
      </c>
      <c r="B6779" s="6" t="s">
        <v>1479</v>
      </c>
      <c r="C6779" s="6" t="s">
        <v>124</v>
      </c>
      <c r="D6779" s="13" t="n">
        <v>45424</v>
      </c>
      <c r="E6779" s="14" t="n">
        <v>1977.29</v>
      </c>
      <c r="F6779" s="14" t="n">
        <v>9239.83</v>
      </c>
      <c r="G6779" s="6" t="s">
        <v>2613</v>
      </c>
    </row>
    <row r="6780" customFormat="false" ht="15" hidden="false" customHeight="true" outlineLevel="0" collapsed="false">
      <c r="A6780" s="6" t="s">
        <v>9392</v>
      </c>
      <c r="B6780" s="6" t="s">
        <v>1479</v>
      </c>
      <c r="C6780" s="6" t="s">
        <v>124</v>
      </c>
      <c r="D6780" s="13" t="n">
        <v>45431</v>
      </c>
      <c r="E6780" s="14" t="n">
        <v>1839.91</v>
      </c>
      <c r="F6780" s="14" t="n">
        <v>11079.74</v>
      </c>
      <c r="G6780" s="6" t="s">
        <v>2613</v>
      </c>
    </row>
    <row r="6781" customFormat="false" ht="15" hidden="false" customHeight="true" outlineLevel="0" collapsed="false">
      <c r="A6781" s="6" t="s">
        <v>9393</v>
      </c>
      <c r="B6781" s="6" t="s">
        <v>1479</v>
      </c>
      <c r="C6781" s="6" t="s">
        <v>124</v>
      </c>
      <c r="D6781" s="13" t="n">
        <v>45438</v>
      </c>
      <c r="E6781" s="14" t="n">
        <v>3751.99</v>
      </c>
      <c r="F6781" s="14" t="n">
        <v>14831.73</v>
      </c>
      <c r="G6781" s="6" t="s">
        <v>2613</v>
      </c>
    </row>
    <row r="6782" customFormat="false" ht="15" hidden="false" customHeight="true" outlineLevel="0" collapsed="false">
      <c r="A6782" s="6" t="s">
        <v>9394</v>
      </c>
      <c r="B6782" s="6" t="s">
        <v>1479</v>
      </c>
      <c r="C6782" s="6" t="s">
        <v>124</v>
      </c>
      <c r="D6782" s="13" t="n">
        <v>45445</v>
      </c>
      <c r="E6782" s="14" t="n">
        <v>1814.69</v>
      </c>
      <c r="F6782" s="14" t="n">
        <v>16646.42</v>
      </c>
      <c r="G6782" s="6" t="s">
        <v>2613</v>
      </c>
    </row>
    <row r="6783" customFormat="false" ht="15" hidden="false" customHeight="true" outlineLevel="0" collapsed="false">
      <c r="A6783" s="6" t="s">
        <v>9395</v>
      </c>
      <c r="B6783" s="6" t="s">
        <v>1479</v>
      </c>
      <c r="C6783" s="6" t="s">
        <v>124</v>
      </c>
      <c r="D6783" s="13" t="n">
        <v>45452</v>
      </c>
      <c r="E6783" s="14" t="n">
        <v>3041.38</v>
      </c>
      <c r="F6783" s="14" t="n">
        <v>19687.8</v>
      </c>
      <c r="G6783" s="6" t="s">
        <v>2623</v>
      </c>
    </row>
    <row r="6784" customFormat="false" ht="15" hidden="false" customHeight="true" outlineLevel="0" collapsed="false">
      <c r="A6784" s="6" t="s">
        <v>9396</v>
      </c>
      <c r="B6784" s="6" t="s">
        <v>1479</v>
      </c>
      <c r="C6784" s="6" t="s">
        <v>124</v>
      </c>
      <c r="D6784" s="13" t="n">
        <v>45459</v>
      </c>
      <c r="E6784" s="14" t="n">
        <v>4028.47</v>
      </c>
      <c r="F6784" s="14" t="n">
        <v>23716.27</v>
      </c>
      <c r="G6784" s="6" t="s">
        <v>2623</v>
      </c>
    </row>
    <row r="6785" customFormat="false" ht="15" hidden="false" customHeight="true" outlineLevel="0" collapsed="false">
      <c r="A6785" s="6" t="s">
        <v>9397</v>
      </c>
      <c r="B6785" s="6" t="s">
        <v>1479</v>
      </c>
      <c r="C6785" s="6" t="s">
        <v>124</v>
      </c>
      <c r="D6785" s="13" t="n">
        <v>45466</v>
      </c>
      <c r="E6785" s="14" t="n">
        <v>2368.18</v>
      </c>
      <c r="F6785" s="14" t="n">
        <v>26084.45</v>
      </c>
      <c r="G6785" s="6" t="s">
        <v>2613</v>
      </c>
    </row>
    <row r="6786" customFormat="false" ht="15" hidden="false" customHeight="true" outlineLevel="0" collapsed="false">
      <c r="A6786" s="6" t="s">
        <v>9398</v>
      </c>
      <c r="B6786" s="6" t="s">
        <v>1479</v>
      </c>
      <c r="C6786" s="6" t="s">
        <v>124</v>
      </c>
      <c r="D6786" s="13" t="n">
        <v>45473</v>
      </c>
      <c r="E6786" s="14" t="n">
        <v>2373.47</v>
      </c>
      <c r="F6786" s="14" t="n">
        <v>28457.92</v>
      </c>
      <c r="G6786" s="6" t="s">
        <v>2613</v>
      </c>
    </row>
    <row r="6787" customFormat="false" ht="15" hidden="false" customHeight="true" outlineLevel="0" collapsed="false">
      <c r="A6787" s="6" t="s">
        <v>9399</v>
      </c>
      <c r="B6787" s="6" t="s">
        <v>1479</v>
      </c>
      <c r="C6787" s="6" t="s">
        <v>124</v>
      </c>
      <c r="D6787" s="13" t="n">
        <v>45480</v>
      </c>
      <c r="E6787" s="14" t="n">
        <v>2690.96</v>
      </c>
      <c r="F6787" s="14" t="n">
        <v>31148.88</v>
      </c>
      <c r="G6787" s="6" t="s">
        <v>2613</v>
      </c>
    </row>
    <row r="6788" customFormat="false" ht="15" hidden="false" customHeight="true" outlineLevel="0" collapsed="false">
      <c r="A6788" s="6" t="s">
        <v>9400</v>
      </c>
      <c r="B6788" s="6" t="s">
        <v>1479</v>
      </c>
      <c r="C6788" s="6" t="s">
        <v>124</v>
      </c>
      <c r="D6788" s="13" t="n">
        <v>45487</v>
      </c>
      <c r="E6788" s="14" t="n">
        <v>3074.9</v>
      </c>
      <c r="F6788" s="14" t="n">
        <v>34223.78</v>
      </c>
      <c r="G6788" s="6" t="s">
        <v>2613</v>
      </c>
    </row>
    <row r="6789" customFormat="false" ht="15" hidden="false" customHeight="true" outlineLevel="0" collapsed="false">
      <c r="A6789" s="6" t="s">
        <v>9401</v>
      </c>
      <c r="B6789" s="6" t="s">
        <v>1479</v>
      </c>
      <c r="C6789" s="6" t="s">
        <v>124</v>
      </c>
      <c r="D6789" s="13" t="n">
        <v>45494</v>
      </c>
      <c r="E6789" s="14" t="n">
        <v>3353.56</v>
      </c>
      <c r="F6789" s="14" t="n">
        <v>37577.34</v>
      </c>
      <c r="G6789" s="6" t="s">
        <v>2613</v>
      </c>
    </row>
    <row r="6790" customFormat="false" ht="15" hidden="false" customHeight="true" outlineLevel="0" collapsed="false">
      <c r="A6790" s="6" t="s">
        <v>9402</v>
      </c>
      <c r="B6790" s="6" t="s">
        <v>1479</v>
      </c>
      <c r="C6790" s="6" t="s">
        <v>124</v>
      </c>
      <c r="D6790" s="13" t="n">
        <v>45501</v>
      </c>
      <c r="E6790" s="14" t="n">
        <v>3810.72</v>
      </c>
      <c r="F6790" s="14" t="n">
        <v>41388.06</v>
      </c>
      <c r="G6790" s="6" t="s">
        <v>2613</v>
      </c>
    </row>
    <row r="6791" customFormat="false" ht="15" hidden="false" customHeight="true" outlineLevel="0" collapsed="false">
      <c r="A6791" s="6" t="s">
        <v>9403</v>
      </c>
      <c r="B6791" s="6" t="s">
        <v>1479</v>
      </c>
      <c r="C6791" s="6" t="s">
        <v>124</v>
      </c>
      <c r="D6791" s="13" t="n">
        <v>45508</v>
      </c>
      <c r="E6791" s="14" t="n">
        <v>3211.42</v>
      </c>
      <c r="F6791" s="14" t="n">
        <v>44599.48</v>
      </c>
      <c r="G6791" s="6" t="s">
        <v>2623</v>
      </c>
    </row>
    <row r="6792" customFormat="false" ht="15" hidden="false" customHeight="true" outlineLevel="0" collapsed="false">
      <c r="A6792" s="6" t="s">
        <v>9404</v>
      </c>
      <c r="B6792" s="6" t="s">
        <v>1479</v>
      </c>
      <c r="C6792" s="6" t="s">
        <v>124</v>
      </c>
      <c r="D6792" s="13" t="n">
        <v>45515</v>
      </c>
      <c r="E6792" s="14" t="n">
        <v>6412.8</v>
      </c>
      <c r="F6792" s="14" t="n">
        <v>51012.28</v>
      </c>
      <c r="G6792" s="6" t="s">
        <v>2613</v>
      </c>
    </row>
    <row r="6793" customFormat="false" ht="15" hidden="false" customHeight="true" outlineLevel="0" collapsed="false">
      <c r="A6793" s="6" t="s">
        <v>9405</v>
      </c>
      <c r="B6793" s="6" t="s">
        <v>1481</v>
      </c>
      <c r="C6793" s="6" t="s">
        <v>112</v>
      </c>
      <c r="D6793" s="13" t="n">
        <v>44978</v>
      </c>
      <c r="E6793" s="14" t="n">
        <v>337.35</v>
      </c>
      <c r="F6793" s="14" t="n">
        <v>337.35</v>
      </c>
      <c r="G6793" s="6" t="s">
        <v>2613</v>
      </c>
    </row>
    <row r="6794" customFormat="false" ht="15" hidden="false" customHeight="true" outlineLevel="0" collapsed="false">
      <c r="A6794" s="6" t="s">
        <v>9406</v>
      </c>
      <c r="B6794" s="6" t="s">
        <v>1481</v>
      </c>
      <c r="C6794" s="6" t="s">
        <v>112</v>
      </c>
      <c r="D6794" s="13" t="n">
        <v>44985</v>
      </c>
      <c r="E6794" s="14" t="n">
        <v>405.49</v>
      </c>
      <c r="F6794" s="14" t="n">
        <v>742.84</v>
      </c>
      <c r="G6794" s="6" t="s">
        <v>2613</v>
      </c>
    </row>
    <row r="6795" customFormat="false" ht="15" hidden="false" customHeight="true" outlineLevel="0" collapsed="false">
      <c r="A6795" s="6" t="s">
        <v>9407</v>
      </c>
      <c r="B6795" s="6" t="s">
        <v>1481</v>
      </c>
      <c r="C6795" s="6" t="s">
        <v>112</v>
      </c>
      <c r="D6795" s="13" t="n">
        <v>44992</v>
      </c>
      <c r="E6795" s="14" t="n">
        <v>385.65</v>
      </c>
      <c r="F6795" s="14" t="n">
        <v>1128.49</v>
      </c>
      <c r="G6795" s="6" t="s">
        <v>2613</v>
      </c>
    </row>
    <row r="6796" customFormat="false" ht="15" hidden="false" customHeight="true" outlineLevel="0" collapsed="false">
      <c r="A6796" s="6" t="s">
        <v>9408</v>
      </c>
      <c r="B6796" s="6" t="s">
        <v>1483</v>
      </c>
      <c r="C6796" s="6" t="s">
        <v>131</v>
      </c>
      <c r="D6796" s="13" t="n">
        <v>45578</v>
      </c>
      <c r="E6796" s="14" t="n">
        <v>341.36</v>
      </c>
      <c r="F6796" s="14" t="n">
        <v>341.36</v>
      </c>
      <c r="G6796" s="6" t="s">
        <v>2613</v>
      </c>
    </row>
    <row r="6797" customFormat="false" ht="15" hidden="false" customHeight="true" outlineLevel="0" collapsed="false">
      <c r="A6797" s="6" t="s">
        <v>9409</v>
      </c>
      <c r="B6797" s="6" t="s">
        <v>1483</v>
      </c>
      <c r="C6797" s="6" t="s">
        <v>131</v>
      </c>
      <c r="D6797" s="13" t="n">
        <v>45585</v>
      </c>
      <c r="E6797" s="14" t="n">
        <v>467.49</v>
      </c>
      <c r="F6797" s="14" t="n">
        <v>808.85</v>
      </c>
      <c r="G6797" s="6" t="s">
        <v>2613</v>
      </c>
    </row>
    <row r="6798" customFormat="false" ht="15" hidden="false" customHeight="true" outlineLevel="0" collapsed="false">
      <c r="A6798" s="6" t="s">
        <v>9410</v>
      </c>
      <c r="B6798" s="6" t="s">
        <v>1483</v>
      </c>
      <c r="C6798" s="6" t="s">
        <v>131</v>
      </c>
      <c r="D6798" s="13" t="n">
        <v>45592</v>
      </c>
      <c r="E6798" s="14" t="n">
        <v>268.89</v>
      </c>
      <c r="F6798" s="14" t="n">
        <v>1077.74</v>
      </c>
      <c r="G6798" s="6" t="s">
        <v>2613</v>
      </c>
    </row>
    <row r="6799" customFormat="false" ht="15" hidden="false" customHeight="true" outlineLevel="0" collapsed="false">
      <c r="A6799" s="6" t="s">
        <v>9411</v>
      </c>
      <c r="B6799" s="6" t="s">
        <v>1483</v>
      </c>
      <c r="C6799" s="6" t="s">
        <v>131</v>
      </c>
      <c r="D6799" s="13" t="n">
        <v>45599</v>
      </c>
      <c r="E6799" s="14" t="n">
        <v>442.66</v>
      </c>
      <c r="F6799" s="14" t="n">
        <v>1520.4</v>
      </c>
      <c r="G6799" s="6" t="s">
        <v>2613</v>
      </c>
    </row>
    <row r="6800" customFormat="false" ht="15" hidden="false" customHeight="true" outlineLevel="0" collapsed="false">
      <c r="A6800" s="6" t="s">
        <v>9412</v>
      </c>
      <c r="B6800" s="6" t="s">
        <v>1483</v>
      </c>
      <c r="C6800" s="6" t="s">
        <v>131</v>
      </c>
      <c r="D6800" s="13" t="n">
        <v>45606</v>
      </c>
      <c r="E6800" s="14" t="n">
        <v>488.94</v>
      </c>
      <c r="F6800" s="14" t="n">
        <v>2009.34</v>
      </c>
      <c r="G6800" s="6" t="s">
        <v>2613</v>
      </c>
    </row>
    <row r="6801" customFormat="false" ht="15" hidden="false" customHeight="true" outlineLevel="0" collapsed="false">
      <c r="A6801" s="6" t="s">
        <v>9413</v>
      </c>
      <c r="B6801" s="6" t="s">
        <v>1483</v>
      </c>
      <c r="C6801" s="6" t="s">
        <v>131</v>
      </c>
      <c r="D6801" s="13" t="n">
        <v>45613</v>
      </c>
      <c r="E6801" s="14" t="n">
        <v>330.3</v>
      </c>
      <c r="F6801" s="14" t="n">
        <v>2339.64</v>
      </c>
      <c r="G6801" s="6" t="s">
        <v>2623</v>
      </c>
    </row>
    <row r="6802" customFormat="false" ht="15" hidden="false" customHeight="true" outlineLevel="0" collapsed="false">
      <c r="A6802" s="6" t="s">
        <v>9414</v>
      </c>
      <c r="B6802" s="6" t="s">
        <v>1483</v>
      </c>
      <c r="C6802" s="6" t="s">
        <v>131</v>
      </c>
      <c r="D6802" s="13" t="n">
        <v>45620</v>
      </c>
      <c r="E6802" s="14" t="n">
        <v>442.86</v>
      </c>
      <c r="F6802" s="14" t="n">
        <v>2782.5</v>
      </c>
      <c r="G6802" s="6" t="s">
        <v>2613</v>
      </c>
    </row>
    <row r="6803" customFormat="false" ht="15" hidden="false" customHeight="true" outlineLevel="0" collapsed="false">
      <c r="A6803" s="6" t="s">
        <v>9415</v>
      </c>
      <c r="B6803" s="6" t="s">
        <v>1483</v>
      </c>
      <c r="C6803" s="6" t="s">
        <v>131</v>
      </c>
      <c r="D6803" s="13" t="n">
        <v>45627</v>
      </c>
      <c r="E6803" s="14" t="n">
        <v>604.74</v>
      </c>
      <c r="F6803" s="14" t="n">
        <v>3387.24</v>
      </c>
      <c r="G6803" s="6" t="s">
        <v>2613</v>
      </c>
    </row>
    <row r="6804" customFormat="false" ht="15" hidden="false" customHeight="true" outlineLevel="0" collapsed="false">
      <c r="A6804" s="6" t="s">
        <v>9416</v>
      </c>
      <c r="B6804" s="6" t="s">
        <v>1485</v>
      </c>
      <c r="C6804" s="6" t="s">
        <v>128</v>
      </c>
      <c r="D6804" s="13" t="n">
        <v>45791</v>
      </c>
      <c r="E6804" s="14" t="n">
        <v>2178.78</v>
      </c>
      <c r="F6804" s="14" t="n">
        <v>2178.78</v>
      </c>
      <c r="G6804" s="6" t="s">
        <v>2613</v>
      </c>
    </row>
    <row r="6805" customFormat="false" ht="15" hidden="false" customHeight="true" outlineLevel="0" collapsed="false">
      <c r="A6805" s="6" t="s">
        <v>9417</v>
      </c>
      <c r="B6805" s="6" t="s">
        <v>1485</v>
      </c>
      <c r="C6805" s="6" t="s">
        <v>128</v>
      </c>
      <c r="D6805" s="13" t="n">
        <v>45798</v>
      </c>
      <c r="E6805" s="14" t="n">
        <v>2001.62</v>
      </c>
      <c r="F6805" s="14" t="n">
        <v>4180.4</v>
      </c>
      <c r="G6805" s="6" t="s">
        <v>2613</v>
      </c>
    </row>
    <row r="6806" customFormat="false" ht="15" hidden="false" customHeight="true" outlineLevel="0" collapsed="false">
      <c r="A6806" s="6" t="s">
        <v>9418</v>
      </c>
      <c r="B6806" s="6" t="s">
        <v>1485</v>
      </c>
      <c r="C6806" s="6" t="s">
        <v>128</v>
      </c>
      <c r="D6806" s="13" t="n">
        <v>45805</v>
      </c>
      <c r="E6806" s="14" t="n">
        <v>2818.78</v>
      </c>
      <c r="F6806" s="14" t="n">
        <v>6999.18</v>
      </c>
      <c r="G6806" s="6" t="s">
        <v>2613</v>
      </c>
    </row>
    <row r="6807" customFormat="false" ht="15" hidden="false" customHeight="true" outlineLevel="0" collapsed="false">
      <c r="A6807" s="6" t="s">
        <v>9419</v>
      </c>
      <c r="B6807" s="6" t="s">
        <v>1485</v>
      </c>
      <c r="C6807" s="6" t="s">
        <v>128</v>
      </c>
      <c r="D6807" s="13" t="n">
        <v>45812</v>
      </c>
      <c r="E6807" s="14" t="n">
        <v>3895.84</v>
      </c>
      <c r="F6807" s="14" t="n">
        <v>10895.02</v>
      </c>
      <c r="G6807" s="6" t="s">
        <v>2613</v>
      </c>
    </row>
    <row r="6808" customFormat="false" ht="15" hidden="false" customHeight="true" outlineLevel="0" collapsed="false">
      <c r="A6808" s="6" t="s">
        <v>9420</v>
      </c>
      <c r="B6808" s="6" t="s">
        <v>1485</v>
      </c>
      <c r="C6808" s="6" t="s">
        <v>128</v>
      </c>
      <c r="D6808" s="13" t="n">
        <v>45819</v>
      </c>
      <c r="E6808" s="14" t="n">
        <v>2918.85</v>
      </c>
      <c r="F6808" s="14" t="n">
        <v>13813.87</v>
      </c>
      <c r="G6808" s="6" t="s">
        <v>2613</v>
      </c>
    </row>
    <row r="6809" customFormat="false" ht="15" hidden="false" customHeight="true" outlineLevel="0" collapsed="false">
      <c r="A6809" s="6" t="s">
        <v>9421</v>
      </c>
      <c r="B6809" s="6" t="s">
        <v>1485</v>
      </c>
      <c r="C6809" s="6" t="s">
        <v>128</v>
      </c>
      <c r="D6809" s="13" t="n">
        <v>45826</v>
      </c>
      <c r="E6809" s="14" t="n">
        <v>3222.62</v>
      </c>
      <c r="F6809" s="14" t="n">
        <v>17036.49</v>
      </c>
      <c r="G6809" s="6" t="s">
        <v>2623</v>
      </c>
    </row>
    <row r="6810" customFormat="false" ht="15" hidden="false" customHeight="true" outlineLevel="0" collapsed="false">
      <c r="A6810" s="6" t="s">
        <v>9422</v>
      </c>
      <c r="B6810" s="6" t="s">
        <v>1485</v>
      </c>
      <c r="C6810" s="6" t="s">
        <v>128</v>
      </c>
      <c r="D6810" s="13" t="n">
        <v>45833</v>
      </c>
      <c r="E6810" s="14" t="n">
        <v>1897.22</v>
      </c>
      <c r="F6810" s="14" t="n">
        <v>18933.71</v>
      </c>
      <c r="G6810" s="6" t="s">
        <v>2613</v>
      </c>
    </row>
    <row r="6811" customFormat="false" ht="15" hidden="false" customHeight="true" outlineLevel="0" collapsed="false">
      <c r="A6811" s="6" t="s">
        <v>9423</v>
      </c>
      <c r="B6811" s="6" t="s">
        <v>1485</v>
      </c>
      <c r="C6811" s="6" t="s">
        <v>128</v>
      </c>
      <c r="D6811" s="13" t="n">
        <v>45840</v>
      </c>
      <c r="E6811" s="14" t="n">
        <v>3468.57</v>
      </c>
      <c r="F6811" s="14" t="n">
        <v>22402.28</v>
      </c>
      <c r="G6811" s="6" t="s">
        <v>2613</v>
      </c>
    </row>
    <row r="6812" customFormat="false" ht="15" hidden="false" customHeight="true" outlineLevel="0" collapsed="false">
      <c r="A6812" s="6" t="s">
        <v>9424</v>
      </c>
      <c r="B6812" s="6" t="s">
        <v>1485</v>
      </c>
      <c r="C6812" s="6" t="s">
        <v>128</v>
      </c>
      <c r="D6812" s="13" t="n">
        <v>45847</v>
      </c>
      <c r="E6812" s="14" t="n">
        <v>5663.64</v>
      </c>
      <c r="F6812" s="14" t="n">
        <v>28065.92</v>
      </c>
      <c r="G6812" s="6" t="s">
        <v>2613</v>
      </c>
    </row>
    <row r="6813" customFormat="false" ht="15" hidden="false" customHeight="true" outlineLevel="0" collapsed="false">
      <c r="A6813" s="6" t="s">
        <v>9425</v>
      </c>
      <c r="B6813" s="6" t="s">
        <v>1487</v>
      </c>
      <c r="C6813" s="6" t="s">
        <v>124</v>
      </c>
      <c r="D6813" s="13" t="n">
        <v>45472</v>
      </c>
      <c r="E6813" s="14" t="n">
        <v>949.36</v>
      </c>
      <c r="F6813" s="14" t="n">
        <v>949.36</v>
      </c>
      <c r="G6813" s="6" t="s">
        <v>2613</v>
      </c>
    </row>
    <row r="6814" customFormat="false" ht="15" hidden="false" customHeight="true" outlineLevel="0" collapsed="false">
      <c r="A6814" s="6" t="s">
        <v>9426</v>
      </c>
      <c r="B6814" s="6" t="s">
        <v>1487</v>
      </c>
      <c r="C6814" s="6" t="s">
        <v>124</v>
      </c>
      <c r="D6814" s="13" t="n">
        <v>45479</v>
      </c>
      <c r="E6814" s="14" t="n">
        <v>870.02</v>
      </c>
      <c r="F6814" s="14" t="n">
        <v>1819.38</v>
      </c>
      <c r="G6814" s="6" t="s">
        <v>2613</v>
      </c>
    </row>
    <row r="6815" customFormat="false" ht="15" hidden="false" customHeight="true" outlineLevel="0" collapsed="false">
      <c r="A6815" s="6" t="s">
        <v>9427</v>
      </c>
      <c r="B6815" s="6" t="s">
        <v>1487</v>
      </c>
      <c r="C6815" s="6" t="s">
        <v>124</v>
      </c>
      <c r="D6815" s="13" t="n">
        <v>45486</v>
      </c>
      <c r="E6815" s="14" t="n">
        <v>448.68</v>
      </c>
      <c r="F6815" s="14" t="n">
        <v>2268.06</v>
      </c>
      <c r="G6815" s="6" t="s">
        <v>2613</v>
      </c>
    </row>
    <row r="6816" customFormat="false" ht="15" hidden="false" customHeight="true" outlineLevel="0" collapsed="false">
      <c r="A6816" s="6" t="s">
        <v>9428</v>
      </c>
      <c r="B6816" s="6" t="s">
        <v>1487</v>
      </c>
      <c r="C6816" s="6" t="s">
        <v>124</v>
      </c>
      <c r="D6816" s="13" t="n">
        <v>45493</v>
      </c>
      <c r="E6816" s="14" t="n">
        <v>737.82</v>
      </c>
      <c r="F6816" s="14" t="n">
        <v>3005.88</v>
      </c>
      <c r="G6816" s="6" t="s">
        <v>2613</v>
      </c>
    </row>
    <row r="6817" customFormat="false" ht="15" hidden="false" customHeight="true" outlineLevel="0" collapsed="false">
      <c r="A6817" s="6" t="s">
        <v>9429</v>
      </c>
      <c r="B6817" s="6" t="s">
        <v>1487</v>
      </c>
      <c r="C6817" s="6" t="s">
        <v>124</v>
      </c>
      <c r="D6817" s="13" t="n">
        <v>45500</v>
      </c>
      <c r="E6817" s="14" t="n">
        <v>518.59</v>
      </c>
      <c r="F6817" s="14" t="n">
        <v>3524.47</v>
      </c>
      <c r="G6817" s="6" t="s">
        <v>2613</v>
      </c>
    </row>
    <row r="6818" customFormat="false" ht="15" hidden="false" customHeight="true" outlineLevel="0" collapsed="false">
      <c r="A6818" s="6" t="s">
        <v>9430</v>
      </c>
      <c r="B6818" s="6" t="s">
        <v>1487</v>
      </c>
      <c r="C6818" s="6" t="s">
        <v>124</v>
      </c>
      <c r="D6818" s="13" t="n">
        <v>45507</v>
      </c>
      <c r="E6818" s="14" t="n">
        <v>535.3</v>
      </c>
      <c r="F6818" s="14" t="n">
        <v>4059.77</v>
      </c>
      <c r="G6818" s="6" t="s">
        <v>2613</v>
      </c>
    </row>
    <row r="6819" customFormat="false" ht="15" hidden="false" customHeight="true" outlineLevel="0" collapsed="false">
      <c r="A6819" s="6" t="s">
        <v>9431</v>
      </c>
      <c r="B6819" s="6" t="s">
        <v>1487</v>
      </c>
      <c r="C6819" s="6" t="s">
        <v>124</v>
      </c>
      <c r="D6819" s="13" t="n">
        <v>45514</v>
      </c>
      <c r="E6819" s="14" t="n">
        <v>590.22</v>
      </c>
      <c r="F6819" s="14" t="n">
        <v>4649.99</v>
      </c>
      <c r="G6819" s="6" t="s">
        <v>2613</v>
      </c>
    </row>
    <row r="6820" customFormat="false" ht="15" hidden="false" customHeight="true" outlineLevel="0" collapsed="false">
      <c r="A6820" s="6" t="s">
        <v>9432</v>
      </c>
      <c r="B6820" s="6" t="s">
        <v>1487</v>
      </c>
      <c r="C6820" s="6" t="s">
        <v>124</v>
      </c>
      <c r="D6820" s="13" t="n">
        <v>45521</v>
      </c>
      <c r="E6820" s="14" t="n">
        <v>930.78</v>
      </c>
      <c r="F6820" s="14" t="n">
        <v>5580.77</v>
      </c>
      <c r="G6820" s="6" t="s">
        <v>2623</v>
      </c>
    </row>
    <row r="6821" customFormat="false" ht="15" hidden="false" customHeight="true" outlineLevel="0" collapsed="false">
      <c r="A6821" s="6" t="s">
        <v>9433</v>
      </c>
      <c r="B6821" s="6" t="s">
        <v>1489</v>
      </c>
      <c r="C6821" s="6" t="s">
        <v>124</v>
      </c>
      <c r="D6821" s="13" t="n">
        <v>46074</v>
      </c>
      <c r="E6821" s="14" t="n">
        <v>1649.6</v>
      </c>
      <c r="F6821" s="14" t="n">
        <v>1649.6</v>
      </c>
      <c r="G6821" s="6" t="s">
        <v>2613</v>
      </c>
    </row>
    <row r="6822" customFormat="false" ht="15" hidden="false" customHeight="true" outlineLevel="0" collapsed="false">
      <c r="A6822" s="6" t="s">
        <v>9434</v>
      </c>
      <c r="B6822" s="6" t="s">
        <v>1489</v>
      </c>
      <c r="C6822" s="6" t="s">
        <v>124</v>
      </c>
      <c r="D6822" s="13" t="n">
        <v>46081</v>
      </c>
      <c r="E6822" s="14" t="n">
        <v>1485.44</v>
      </c>
      <c r="F6822" s="14" t="n">
        <v>3135.04</v>
      </c>
      <c r="G6822" s="6" t="s">
        <v>2613</v>
      </c>
    </row>
    <row r="6823" customFormat="false" ht="15" hidden="false" customHeight="true" outlineLevel="0" collapsed="false">
      <c r="A6823" s="6" t="s">
        <v>9435</v>
      </c>
      <c r="B6823" s="6" t="s">
        <v>1489</v>
      </c>
      <c r="C6823" s="6" t="s">
        <v>124</v>
      </c>
      <c r="D6823" s="13" t="n">
        <v>46088</v>
      </c>
      <c r="E6823" s="14" t="n">
        <v>2182.79</v>
      </c>
      <c r="F6823" s="14" t="n">
        <v>5317.83</v>
      </c>
      <c r="G6823" s="6" t="s">
        <v>2613</v>
      </c>
    </row>
    <row r="6824" customFormat="false" ht="15" hidden="false" customHeight="true" outlineLevel="0" collapsed="false">
      <c r="A6824" s="6" t="s">
        <v>9436</v>
      </c>
      <c r="B6824" s="6" t="s">
        <v>1489</v>
      </c>
      <c r="C6824" s="6" t="s">
        <v>124</v>
      </c>
      <c r="D6824" s="13" t="n">
        <v>46095</v>
      </c>
      <c r="E6824" s="14" t="n">
        <v>1494.18</v>
      </c>
      <c r="F6824" s="14" t="n">
        <v>6812.01</v>
      </c>
      <c r="G6824" s="6" t="s">
        <v>2613</v>
      </c>
    </row>
    <row r="6825" customFormat="false" ht="15" hidden="false" customHeight="true" outlineLevel="0" collapsed="false">
      <c r="A6825" s="6" t="s">
        <v>9437</v>
      </c>
      <c r="B6825" s="6" t="s">
        <v>1489</v>
      </c>
      <c r="C6825" s="6" t="s">
        <v>124</v>
      </c>
      <c r="D6825" s="13" t="n">
        <v>46102</v>
      </c>
      <c r="E6825" s="14" t="n">
        <v>1397.75</v>
      </c>
      <c r="F6825" s="14" t="n">
        <v>8209.76</v>
      </c>
      <c r="G6825" s="6" t="s">
        <v>2613</v>
      </c>
    </row>
    <row r="6826" customFormat="false" ht="15" hidden="false" customHeight="true" outlineLevel="0" collapsed="false">
      <c r="A6826" s="6" t="s">
        <v>9438</v>
      </c>
      <c r="B6826" s="6" t="s">
        <v>1489</v>
      </c>
      <c r="C6826" s="6" t="s">
        <v>124</v>
      </c>
      <c r="D6826" s="13" t="n">
        <v>46109</v>
      </c>
      <c r="E6826" s="14" t="n">
        <v>1687.15</v>
      </c>
      <c r="F6826" s="14" t="n">
        <v>9896.91</v>
      </c>
      <c r="G6826" s="6" t="s">
        <v>2613</v>
      </c>
    </row>
    <row r="6827" customFormat="false" ht="15" hidden="false" customHeight="true" outlineLevel="0" collapsed="false">
      <c r="A6827" s="6" t="s">
        <v>9439</v>
      </c>
      <c r="B6827" s="6" t="s">
        <v>1489</v>
      </c>
      <c r="C6827" s="6" t="s">
        <v>124</v>
      </c>
      <c r="D6827" s="13" t="n">
        <v>46116</v>
      </c>
      <c r="E6827" s="14" t="n">
        <v>1387.62</v>
      </c>
      <c r="F6827" s="14" t="n">
        <v>11284.53</v>
      </c>
      <c r="G6827" s="6" t="s">
        <v>2613</v>
      </c>
    </row>
    <row r="6828" customFormat="false" ht="15" hidden="false" customHeight="true" outlineLevel="0" collapsed="false">
      <c r="A6828" s="6" t="s">
        <v>9440</v>
      </c>
      <c r="B6828" s="6" t="s">
        <v>1489</v>
      </c>
      <c r="C6828" s="6" t="s">
        <v>124</v>
      </c>
      <c r="D6828" s="13" t="n">
        <v>46123</v>
      </c>
      <c r="E6828" s="14" t="n">
        <v>1312.01</v>
      </c>
      <c r="F6828" s="14" t="n">
        <v>12596.54</v>
      </c>
      <c r="G6828" s="6" t="s">
        <v>2613</v>
      </c>
    </row>
    <row r="6829" customFormat="false" ht="15" hidden="false" customHeight="true" outlineLevel="0" collapsed="false">
      <c r="A6829" s="6" t="s">
        <v>9441</v>
      </c>
      <c r="B6829" s="6" t="s">
        <v>1489</v>
      </c>
      <c r="C6829" s="6" t="s">
        <v>124</v>
      </c>
      <c r="D6829" s="13" t="n">
        <v>46130</v>
      </c>
      <c r="E6829" s="14" t="n">
        <v>1565.86</v>
      </c>
      <c r="F6829" s="14" t="n">
        <v>14162.4</v>
      </c>
      <c r="G6829" s="6" t="s">
        <v>2613</v>
      </c>
    </row>
    <row r="6830" customFormat="false" ht="15" hidden="false" customHeight="true" outlineLevel="0" collapsed="false">
      <c r="A6830" s="6" t="s">
        <v>9442</v>
      </c>
      <c r="B6830" s="6" t="s">
        <v>1489</v>
      </c>
      <c r="C6830" s="6" t="s">
        <v>124</v>
      </c>
      <c r="D6830" s="13" t="n">
        <v>46137</v>
      </c>
      <c r="E6830" s="14" t="n">
        <v>2013.77</v>
      </c>
      <c r="F6830" s="14" t="n">
        <v>16176.17</v>
      </c>
      <c r="G6830" s="6" t="s">
        <v>2623</v>
      </c>
    </row>
    <row r="6831" customFormat="false" ht="15" hidden="false" customHeight="true" outlineLevel="0" collapsed="false">
      <c r="A6831" s="6" t="s">
        <v>9443</v>
      </c>
      <c r="B6831" s="6" t="s">
        <v>1491</v>
      </c>
      <c r="C6831" s="6" t="s">
        <v>131</v>
      </c>
      <c r="D6831" s="13" t="n">
        <v>44581</v>
      </c>
      <c r="E6831" s="14" t="n">
        <v>2162.31</v>
      </c>
      <c r="F6831" s="14" t="n">
        <v>2162.31</v>
      </c>
      <c r="G6831" s="6" t="s">
        <v>2623</v>
      </c>
    </row>
    <row r="6832" customFormat="false" ht="15" hidden="false" customHeight="true" outlineLevel="0" collapsed="false">
      <c r="A6832" s="6" t="s">
        <v>9444</v>
      </c>
      <c r="B6832" s="6" t="s">
        <v>1491</v>
      </c>
      <c r="C6832" s="6" t="s">
        <v>131</v>
      </c>
      <c r="D6832" s="13" t="n">
        <v>44588</v>
      </c>
      <c r="E6832" s="14" t="n">
        <v>2565.07</v>
      </c>
      <c r="F6832" s="14" t="n">
        <v>4727.38</v>
      </c>
      <c r="G6832" s="6" t="s">
        <v>2613</v>
      </c>
    </row>
    <row r="6833" customFormat="false" ht="15" hidden="false" customHeight="true" outlineLevel="0" collapsed="false">
      <c r="A6833" s="6" t="s">
        <v>9445</v>
      </c>
      <c r="B6833" s="6" t="s">
        <v>1491</v>
      </c>
      <c r="C6833" s="6" t="s">
        <v>131</v>
      </c>
      <c r="D6833" s="13" t="n">
        <v>44595</v>
      </c>
      <c r="E6833" s="14" t="n">
        <v>2234.89</v>
      </c>
      <c r="F6833" s="14" t="n">
        <v>6962.27</v>
      </c>
      <c r="G6833" s="6" t="s">
        <v>2613</v>
      </c>
    </row>
    <row r="6834" customFormat="false" ht="15" hidden="false" customHeight="true" outlineLevel="0" collapsed="false">
      <c r="A6834" s="6" t="s">
        <v>9446</v>
      </c>
      <c r="B6834" s="6" t="s">
        <v>1491</v>
      </c>
      <c r="C6834" s="6" t="s">
        <v>131</v>
      </c>
      <c r="D6834" s="13" t="n">
        <v>44602</v>
      </c>
      <c r="E6834" s="14" t="n">
        <v>2065.35</v>
      </c>
      <c r="F6834" s="14" t="n">
        <v>9027.62</v>
      </c>
      <c r="G6834" s="6" t="s">
        <v>2613</v>
      </c>
    </row>
    <row r="6835" customFormat="false" ht="15" hidden="false" customHeight="true" outlineLevel="0" collapsed="false">
      <c r="A6835" s="6" t="s">
        <v>9447</v>
      </c>
      <c r="B6835" s="6" t="s">
        <v>1491</v>
      </c>
      <c r="C6835" s="6" t="s">
        <v>131</v>
      </c>
      <c r="D6835" s="13" t="n">
        <v>44609</v>
      </c>
      <c r="E6835" s="14" t="n">
        <v>3347.9</v>
      </c>
      <c r="F6835" s="14" t="n">
        <v>12375.52</v>
      </c>
      <c r="G6835" s="6" t="s">
        <v>2613</v>
      </c>
    </row>
    <row r="6836" customFormat="false" ht="15" hidden="false" customHeight="true" outlineLevel="0" collapsed="false">
      <c r="A6836" s="6" t="s">
        <v>9448</v>
      </c>
      <c r="B6836" s="6" t="s">
        <v>1491</v>
      </c>
      <c r="C6836" s="6" t="s">
        <v>131</v>
      </c>
      <c r="D6836" s="13" t="n">
        <v>44616</v>
      </c>
      <c r="E6836" s="14" t="n">
        <v>3310.95</v>
      </c>
      <c r="F6836" s="14" t="n">
        <v>15686.47</v>
      </c>
      <c r="G6836" s="6" t="s">
        <v>2613</v>
      </c>
    </row>
    <row r="6837" customFormat="false" ht="15" hidden="false" customHeight="true" outlineLevel="0" collapsed="false">
      <c r="A6837" s="6" t="s">
        <v>9449</v>
      </c>
      <c r="B6837" s="6" t="s">
        <v>1491</v>
      </c>
      <c r="C6837" s="6" t="s">
        <v>131</v>
      </c>
      <c r="D6837" s="13" t="n">
        <v>44623</v>
      </c>
      <c r="E6837" s="14" t="n">
        <v>4040.52</v>
      </c>
      <c r="F6837" s="14" t="n">
        <v>19726.99</v>
      </c>
      <c r="G6837" s="6" t="s">
        <v>2613</v>
      </c>
    </row>
    <row r="6838" customFormat="false" ht="15" hidden="false" customHeight="true" outlineLevel="0" collapsed="false">
      <c r="A6838" s="6" t="s">
        <v>9450</v>
      </c>
      <c r="B6838" s="6" t="s">
        <v>1491</v>
      </c>
      <c r="C6838" s="6" t="s">
        <v>131</v>
      </c>
      <c r="D6838" s="13" t="n">
        <v>44630</v>
      </c>
      <c r="E6838" s="14" t="n">
        <v>2332.1</v>
      </c>
      <c r="F6838" s="14" t="n">
        <v>22059.09</v>
      </c>
      <c r="G6838" s="6" t="s">
        <v>2613</v>
      </c>
    </row>
    <row r="6839" customFormat="false" ht="15" hidden="false" customHeight="true" outlineLevel="0" collapsed="false">
      <c r="A6839" s="6" t="s">
        <v>9451</v>
      </c>
      <c r="B6839" s="6" t="s">
        <v>1491</v>
      </c>
      <c r="C6839" s="6" t="s">
        <v>131</v>
      </c>
      <c r="D6839" s="13" t="n">
        <v>44637</v>
      </c>
      <c r="E6839" s="14" t="n">
        <v>3029.12</v>
      </c>
      <c r="F6839" s="14" t="n">
        <v>25088.21</v>
      </c>
      <c r="G6839" s="6" t="s">
        <v>2613</v>
      </c>
    </row>
    <row r="6840" customFormat="false" ht="15" hidden="false" customHeight="true" outlineLevel="0" collapsed="false">
      <c r="A6840" s="6" t="s">
        <v>9452</v>
      </c>
      <c r="B6840" s="6" t="s">
        <v>1491</v>
      </c>
      <c r="C6840" s="6" t="s">
        <v>131</v>
      </c>
      <c r="D6840" s="13" t="n">
        <v>44644</v>
      </c>
      <c r="E6840" s="14" t="n">
        <v>2288.18</v>
      </c>
      <c r="F6840" s="14" t="n">
        <v>27376.39</v>
      </c>
      <c r="G6840" s="6" t="s">
        <v>2613</v>
      </c>
    </row>
    <row r="6841" customFormat="false" ht="15" hidden="false" customHeight="true" outlineLevel="0" collapsed="false">
      <c r="A6841" s="6" t="s">
        <v>9453</v>
      </c>
      <c r="B6841" s="6" t="s">
        <v>1491</v>
      </c>
      <c r="C6841" s="6" t="s">
        <v>131</v>
      </c>
      <c r="D6841" s="13" t="n">
        <v>44651</v>
      </c>
      <c r="E6841" s="14" t="n">
        <v>2645.74</v>
      </c>
      <c r="F6841" s="14" t="n">
        <v>30022.13</v>
      </c>
      <c r="G6841" s="6" t="s">
        <v>2613</v>
      </c>
    </row>
    <row r="6842" customFormat="false" ht="15" hidden="false" customHeight="true" outlineLevel="0" collapsed="false">
      <c r="A6842" s="6" t="s">
        <v>9454</v>
      </c>
      <c r="B6842" s="6" t="s">
        <v>1491</v>
      </c>
      <c r="C6842" s="6" t="s">
        <v>131</v>
      </c>
      <c r="D6842" s="13" t="n">
        <v>44658</v>
      </c>
      <c r="E6842" s="14" t="n">
        <v>3961.62</v>
      </c>
      <c r="F6842" s="14" t="n">
        <v>33983.75</v>
      </c>
      <c r="G6842" s="6" t="s">
        <v>2613</v>
      </c>
    </row>
    <row r="6843" customFormat="false" ht="15" hidden="false" customHeight="true" outlineLevel="0" collapsed="false">
      <c r="A6843" s="6" t="s">
        <v>9455</v>
      </c>
      <c r="B6843" s="6" t="s">
        <v>1491</v>
      </c>
      <c r="C6843" s="6" t="s">
        <v>131</v>
      </c>
      <c r="D6843" s="13" t="n">
        <v>44665</v>
      </c>
      <c r="E6843" s="14" t="n">
        <v>3719.68</v>
      </c>
      <c r="F6843" s="14" t="n">
        <v>37703.43</v>
      </c>
      <c r="G6843" s="6" t="s">
        <v>2613</v>
      </c>
    </row>
    <row r="6844" customFormat="false" ht="15" hidden="false" customHeight="true" outlineLevel="0" collapsed="false">
      <c r="A6844" s="6" t="s">
        <v>9456</v>
      </c>
      <c r="B6844" s="6" t="s">
        <v>1491</v>
      </c>
      <c r="C6844" s="6" t="s">
        <v>131</v>
      </c>
      <c r="D6844" s="13" t="n">
        <v>44672</v>
      </c>
      <c r="E6844" s="14" t="n">
        <v>2330.28</v>
      </c>
      <c r="F6844" s="14" t="n">
        <v>40033.71</v>
      </c>
      <c r="G6844" s="6" t="s">
        <v>2613</v>
      </c>
    </row>
    <row r="6845" customFormat="false" ht="15" hidden="false" customHeight="true" outlineLevel="0" collapsed="false">
      <c r="A6845" s="6" t="s">
        <v>9457</v>
      </c>
      <c r="B6845" s="6" t="s">
        <v>1491</v>
      </c>
      <c r="C6845" s="6" t="s">
        <v>131</v>
      </c>
      <c r="D6845" s="13" t="n">
        <v>44679</v>
      </c>
      <c r="E6845" s="14" t="n">
        <v>3855.99</v>
      </c>
      <c r="F6845" s="14" t="n">
        <v>43889.7</v>
      </c>
      <c r="G6845" s="6" t="s">
        <v>2613</v>
      </c>
    </row>
    <row r="6846" customFormat="false" ht="15" hidden="false" customHeight="true" outlineLevel="0" collapsed="false">
      <c r="A6846" s="6" t="s">
        <v>9458</v>
      </c>
      <c r="B6846" s="6" t="s">
        <v>1491</v>
      </c>
      <c r="C6846" s="6" t="s">
        <v>131</v>
      </c>
      <c r="D6846" s="13" t="n">
        <v>44686</v>
      </c>
      <c r="E6846" s="14" t="n">
        <v>3372.18</v>
      </c>
      <c r="F6846" s="14" t="n">
        <v>47261.88</v>
      </c>
      <c r="G6846" s="6" t="s">
        <v>2613</v>
      </c>
    </row>
    <row r="6847" customFormat="false" ht="15" hidden="false" customHeight="true" outlineLevel="0" collapsed="false">
      <c r="A6847" s="6" t="s">
        <v>9459</v>
      </c>
      <c r="B6847" s="6" t="s">
        <v>1491</v>
      </c>
      <c r="C6847" s="6" t="s">
        <v>131</v>
      </c>
      <c r="D6847" s="13" t="n">
        <v>44693</v>
      </c>
      <c r="E6847" s="14" t="n">
        <v>2969.6</v>
      </c>
      <c r="F6847" s="14" t="n">
        <v>50231.48</v>
      </c>
      <c r="G6847" s="6" t="s">
        <v>2613</v>
      </c>
    </row>
    <row r="6848" customFormat="false" ht="15" hidden="false" customHeight="true" outlineLevel="0" collapsed="false">
      <c r="A6848" s="6" t="s">
        <v>9460</v>
      </c>
      <c r="B6848" s="6" t="s">
        <v>1491</v>
      </c>
      <c r="C6848" s="6" t="s">
        <v>131</v>
      </c>
      <c r="D6848" s="13" t="n">
        <v>44700</v>
      </c>
      <c r="E6848" s="14" t="n">
        <v>2058.5</v>
      </c>
      <c r="F6848" s="14" t="n">
        <v>52289.98</v>
      </c>
      <c r="G6848" s="6" t="s">
        <v>2613</v>
      </c>
    </row>
    <row r="6849" customFormat="false" ht="15" hidden="false" customHeight="true" outlineLevel="0" collapsed="false">
      <c r="A6849" s="6" t="s">
        <v>9461</v>
      </c>
      <c r="B6849" s="6" t="s">
        <v>1491</v>
      </c>
      <c r="C6849" s="6" t="s">
        <v>131</v>
      </c>
      <c r="D6849" s="13" t="n">
        <v>44707</v>
      </c>
      <c r="E6849" s="14" t="n">
        <v>3318.8</v>
      </c>
      <c r="F6849" s="14" t="n">
        <v>55608.78</v>
      </c>
      <c r="G6849" s="6" t="s">
        <v>2623</v>
      </c>
    </row>
    <row r="6850" customFormat="false" ht="15" hidden="false" customHeight="true" outlineLevel="0" collapsed="false">
      <c r="A6850" s="6" t="s">
        <v>9462</v>
      </c>
      <c r="B6850" s="6" t="s">
        <v>1491</v>
      </c>
      <c r="C6850" s="6" t="s">
        <v>131</v>
      </c>
      <c r="D6850" s="13" t="n">
        <v>44714</v>
      </c>
      <c r="E6850" s="14" t="n">
        <v>1950.41</v>
      </c>
      <c r="F6850" s="14" t="n">
        <v>57559.19</v>
      </c>
      <c r="G6850" s="6" t="s">
        <v>2613</v>
      </c>
    </row>
    <row r="6851" customFormat="false" ht="15" hidden="false" customHeight="true" outlineLevel="0" collapsed="false">
      <c r="A6851" s="6" t="s">
        <v>9463</v>
      </c>
      <c r="B6851" s="6" t="s">
        <v>1491</v>
      </c>
      <c r="C6851" s="6" t="s">
        <v>131</v>
      </c>
      <c r="D6851" s="13" t="n">
        <v>44721</v>
      </c>
      <c r="E6851" s="14" t="n">
        <v>1733.65</v>
      </c>
      <c r="F6851" s="14" t="n">
        <v>59292.84</v>
      </c>
      <c r="G6851" s="6" t="s">
        <v>2613</v>
      </c>
    </row>
    <row r="6852" customFormat="false" ht="15" hidden="false" customHeight="true" outlineLevel="0" collapsed="false">
      <c r="A6852" s="6" t="s">
        <v>9464</v>
      </c>
      <c r="B6852" s="6" t="s">
        <v>1491</v>
      </c>
      <c r="C6852" s="6" t="s">
        <v>131</v>
      </c>
      <c r="D6852" s="13" t="n">
        <v>44728</v>
      </c>
      <c r="E6852" s="14" t="n">
        <v>2169.91</v>
      </c>
      <c r="F6852" s="14" t="n">
        <v>61462.75</v>
      </c>
      <c r="G6852" s="6" t="s">
        <v>2613</v>
      </c>
    </row>
    <row r="6853" customFormat="false" ht="15" hidden="false" customHeight="true" outlineLevel="0" collapsed="false">
      <c r="A6853" s="6" t="s">
        <v>9465</v>
      </c>
      <c r="B6853" s="6" t="s">
        <v>1491</v>
      </c>
      <c r="C6853" s="6" t="s">
        <v>131</v>
      </c>
      <c r="D6853" s="13" t="n">
        <v>44735</v>
      </c>
      <c r="E6853" s="14" t="n">
        <v>4982.07</v>
      </c>
      <c r="F6853" s="14" t="n">
        <v>66444.82</v>
      </c>
      <c r="G6853" s="6" t="s">
        <v>2613</v>
      </c>
    </row>
    <row r="6854" customFormat="false" ht="15" hidden="false" customHeight="true" outlineLevel="0" collapsed="false">
      <c r="A6854" s="6" t="s">
        <v>9466</v>
      </c>
      <c r="B6854" s="6" t="s">
        <v>1493</v>
      </c>
      <c r="C6854" s="6" t="s">
        <v>120</v>
      </c>
      <c r="D6854" s="13" t="n">
        <v>45226</v>
      </c>
      <c r="E6854" s="14" t="n">
        <v>857.01</v>
      </c>
      <c r="F6854" s="14" t="n">
        <v>857.01</v>
      </c>
      <c r="G6854" s="6" t="s">
        <v>2613</v>
      </c>
    </row>
    <row r="6855" customFormat="false" ht="15" hidden="false" customHeight="true" outlineLevel="0" collapsed="false">
      <c r="A6855" s="6" t="s">
        <v>9467</v>
      </c>
      <c r="B6855" s="6" t="s">
        <v>1493</v>
      </c>
      <c r="C6855" s="6" t="s">
        <v>120</v>
      </c>
      <c r="D6855" s="13" t="n">
        <v>45233</v>
      </c>
      <c r="E6855" s="14" t="n">
        <v>1385.3</v>
      </c>
      <c r="F6855" s="14" t="n">
        <v>2242.31</v>
      </c>
      <c r="G6855" s="6" t="s">
        <v>2623</v>
      </c>
    </row>
    <row r="6856" customFormat="false" ht="15" hidden="false" customHeight="true" outlineLevel="0" collapsed="false">
      <c r="A6856" s="6" t="s">
        <v>9468</v>
      </c>
      <c r="B6856" s="6" t="s">
        <v>1493</v>
      </c>
      <c r="C6856" s="6" t="s">
        <v>120</v>
      </c>
      <c r="D6856" s="13" t="n">
        <v>45240</v>
      </c>
      <c r="E6856" s="14" t="n">
        <v>1409.93</v>
      </c>
      <c r="F6856" s="14" t="n">
        <v>3652.24</v>
      </c>
      <c r="G6856" s="6" t="s">
        <v>2613</v>
      </c>
    </row>
    <row r="6857" customFormat="false" ht="15" hidden="false" customHeight="true" outlineLevel="0" collapsed="false">
      <c r="A6857" s="6" t="s">
        <v>9469</v>
      </c>
      <c r="B6857" s="6" t="s">
        <v>1493</v>
      </c>
      <c r="C6857" s="6" t="s">
        <v>120</v>
      </c>
      <c r="D6857" s="13" t="n">
        <v>45247</v>
      </c>
      <c r="E6857" s="14" t="n">
        <v>1109.11</v>
      </c>
      <c r="F6857" s="14" t="n">
        <v>4761.35</v>
      </c>
      <c r="G6857" s="6" t="s">
        <v>2613</v>
      </c>
    </row>
    <row r="6858" customFormat="false" ht="15" hidden="false" customHeight="true" outlineLevel="0" collapsed="false">
      <c r="A6858" s="6" t="s">
        <v>9470</v>
      </c>
      <c r="B6858" s="6" t="s">
        <v>1493</v>
      </c>
      <c r="C6858" s="6" t="s">
        <v>120</v>
      </c>
      <c r="D6858" s="13" t="n">
        <v>45254</v>
      </c>
      <c r="E6858" s="14" t="n">
        <v>689.36</v>
      </c>
      <c r="F6858" s="14" t="n">
        <v>5450.71</v>
      </c>
      <c r="G6858" s="6" t="s">
        <v>2613</v>
      </c>
    </row>
    <row r="6859" customFormat="false" ht="15" hidden="false" customHeight="true" outlineLevel="0" collapsed="false">
      <c r="A6859" s="6" t="s">
        <v>9471</v>
      </c>
      <c r="B6859" s="6" t="s">
        <v>1493</v>
      </c>
      <c r="C6859" s="6" t="s">
        <v>120</v>
      </c>
      <c r="D6859" s="13" t="n">
        <v>45261</v>
      </c>
      <c r="E6859" s="14" t="n">
        <v>816.98</v>
      </c>
      <c r="F6859" s="14" t="n">
        <v>6267.69</v>
      </c>
      <c r="G6859" s="6" t="s">
        <v>2623</v>
      </c>
    </row>
    <row r="6860" customFormat="false" ht="15" hidden="false" customHeight="true" outlineLevel="0" collapsed="false">
      <c r="A6860" s="6" t="s">
        <v>9472</v>
      </c>
      <c r="B6860" s="6" t="s">
        <v>1493</v>
      </c>
      <c r="C6860" s="6" t="s">
        <v>120</v>
      </c>
      <c r="D6860" s="13" t="n">
        <v>45268</v>
      </c>
      <c r="E6860" s="14" t="n">
        <v>1233.81</v>
      </c>
      <c r="F6860" s="14" t="n">
        <v>7501.5</v>
      </c>
      <c r="G6860" s="6" t="s">
        <v>2613</v>
      </c>
    </row>
    <row r="6861" customFormat="false" ht="15" hidden="false" customHeight="true" outlineLevel="0" collapsed="false">
      <c r="A6861" s="6" t="s">
        <v>9473</v>
      </c>
      <c r="B6861" s="6" t="s">
        <v>1493</v>
      </c>
      <c r="C6861" s="6" t="s">
        <v>120</v>
      </c>
      <c r="D6861" s="13" t="n">
        <v>45275</v>
      </c>
      <c r="E6861" s="14" t="n">
        <v>870.15</v>
      </c>
      <c r="F6861" s="14" t="n">
        <v>8371.65</v>
      </c>
      <c r="G6861" s="6" t="s">
        <v>2613</v>
      </c>
    </row>
    <row r="6862" customFormat="false" ht="15" hidden="false" customHeight="true" outlineLevel="0" collapsed="false">
      <c r="A6862" s="6" t="s">
        <v>9474</v>
      </c>
      <c r="B6862" s="6" t="s">
        <v>1493</v>
      </c>
      <c r="C6862" s="6" t="s">
        <v>120</v>
      </c>
      <c r="D6862" s="13" t="n">
        <v>45282</v>
      </c>
      <c r="E6862" s="14" t="n">
        <v>1197.48</v>
      </c>
      <c r="F6862" s="14" t="n">
        <v>9569.13</v>
      </c>
      <c r="G6862" s="6" t="s">
        <v>2613</v>
      </c>
    </row>
    <row r="6863" customFormat="false" ht="15" hidden="false" customHeight="true" outlineLevel="0" collapsed="false">
      <c r="A6863" s="6" t="s">
        <v>9475</v>
      </c>
      <c r="B6863" s="6" t="s">
        <v>1493</v>
      </c>
      <c r="C6863" s="6" t="s">
        <v>120</v>
      </c>
      <c r="D6863" s="13" t="n">
        <v>45289</v>
      </c>
      <c r="E6863" s="14" t="n">
        <v>1268.93</v>
      </c>
      <c r="F6863" s="14" t="n">
        <v>10838.06</v>
      </c>
      <c r="G6863" s="6" t="s">
        <v>2613</v>
      </c>
    </row>
    <row r="6864" customFormat="false" ht="15" hidden="false" customHeight="true" outlineLevel="0" collapsed="false">
      <c r="A6864" s="6" t="s">
        <v>9476</v>
      </c>
      <c r="B6864" s="6" t="s">
        <v>1493</v>
      </c>
      <c r="C6864" s="6" t="s">
        <v>120</v>
      </c>
      <c r="D6864" s="13" t="n">
        <v>45296</v>
      </c>
      <c r="E6864" s="14" t="n">
        <v>1240.61</v>
      </c>
      <c r="F6864" s="14" t="n">
        <v>12078.67</v>
      </c>
      <c r="G6864" s="6" t="s">
        <v>2613</v>
      </c>
    </row>
    <row r="6865" customFormat="false" ht="15" hidden="false" customHeight="true" outlineLevel="0" collapsed="false">
      <c r="A6865" s="6" t="s">
        <v>9477</v>
      </c>
      <c r="B6865" s="6" t="s">
        <v>1493</v>
      </c>
      <c r="C6865" s="6" t="s">
        <v>120</v>
      </c>
      <c r="D6865" s="13" t="n">
        <v>45303</v>
      </c>
      <c r="E6865" s="14" t="n">
        <v>738.86</v>
      </c>
      <c r="F6865" s="14" t="n">
        <v>12817.53</v>
      </c>
      <c r="G6865" s="6" t="s">
        <v>2613</v>
      </c>
    </row>
    <row r="6866" customFormat="false" ht="15" hidden="false" customHeight="true" outlineLevel="0" collapsed="false">
      <c r="A6866" s="6" t="s">
        <v>9478</v>
      </c>
      <c r="B6866" s="6" t="s">
        <v>1493</v>
      </c>
      <c r="C6866" s="6" t="s">
        <v>120</v>
      </c>
      <c r="D6866" s="13" t="n">
        <v>45310</v>
      </c>
      <c r="E6866" s="14" t="n">
        <v>1023.7</v>
      </c>
      <c r="F6866" s="14" t="n">
        <v>13841.23</v>
      </c>
      <c r="G6866" s="6" t="s">
        <v>2613</v>
      </c>
    </row>
    <row r="6867" customFormat="false" ht="15" hidden="false" customHeight="true" outlineLevel="0" collapsed="false">
      <c r="A6867" s="6" t="s">
        <v>9479</v>
      </c>
      <c r="B6867" s="6" t="s">
        <v>1493</v>
      </c>
      <c r="C6867" s="6" t="s">
        <v>120</v>
      </c>
      <c r="D6867" s="13" t="n">
        <v>45317</v>
      </c>
      <c r="E6867" s="14" t="n">
        <v>694.4</v>
      </c>
      <c r="F6867" s="14" t="n">
        <v>14535.63</v>
      </c>
      <c r="G6867" s="6" t="s">
        <v>2613</v>
      </c>
    </row>
    <row r="6868" customFormat="false" ht="15" hidden="false" customHeight="true" outlineLevel="0" collapsed="false">
      <c r="A6868" s="6" t="s">
        <v>9480</v>
      </c>
      <c r="B6868" s="6" t="s">
        <v>1493</v>
      </c>
      <c r="C6868" s="6" t="s">
        <v>120</v>
      </c>
      <c r="D6868" s="13" t="n">
        <v>45324</v>
      </c>
      <c r="E6868" s="14" t="n">
        <v>1237.97</v>
      </c>
      <c r="F6868" s="14" t="n">
        <v>15773.6</v>
      </c>
      <c r="G6868" s="6" t="s">
        <v>2613</v>
      </c>
    </row>
    <row r="6869" customFormat="false" ht="15" hidden="false" customHeight="true" outlineLevel="0" collapsed="false">
      <c r="A6869" s="6" t="s">
        <v>9481</v>
      </c>
      <c r="B6869" s="6" t="s">
        <v>1495</v>
      </c>
      <c r="C6869" s="6" t="s">
        <v>112</v>
      </c>
      <c r="D6869" s="13" t="n">
        <v>44639</v>
      </c>
      <c r="E6869" s="14" t="n">
        <v>5394.28</v>
      </c>
      <c r="F6869" s="14" t="n">
        <v>5394.28</v>
      </c>
      <c r="G6869" s="6" t="s">
        <v>2613</v>
      </c>
    </row>
    <row r="6870" customFormat="false" ht="15" hidden="false" customHeight="true" outlineLevel="0" collapsed="false">
      <c r="A6870" s="6" t="s">
        <v>9482</v>
      </c>
      <c r="B6870" s="6" t="s">
        <v>1495</v>
      </c>
      <c r="C6870" s="6" t="s">
        <v>112</v>
      </c>
      <c r="D6870" s="13" t="n">
        <v>44646</v>
      </c>
      <c r="E6870" s="14" t="n">
        <v>3475.79</v>
      </c>
      <c r="F6870" s="14" t="n">
        <v>8870.07</v>
      </c>
      <c r="G6870" s="6" t="s">
        <v>2613</v>
      </c>
    </row>
    <row r="6871" customFormat="false" ht="15" hidden="false" customHeight="true" outlineLevel="0" collapsed="false">
      <c r="A6871" s="6" t="s">
        <v>9483</v>
      </c>
      <c r="B6871" s="6" t="s">
        <v>1495</v>
      </c>
      <c r="C6871" s="6" t="s">
        <v>112</v>
      </c>
      <c r="D6871" s="13" t="n">
        <v>44653</v>
      </c>
      <c r="E6871" s="14" t="n">
        <v>5802.69</v>
      </c>
      <c r="F6871" s="14" t="n">
        <v>14672.76</v>
      </c>
      <c r="G6871" s="6" t="s">
        <v>2623</v>
      </c>
    </row>
    <row r="6872" customFormat="false" ht="15" hidden="false" customHeight="true" outlineLevel="0" collapsed="false">
      <c r="A6872" s="6" t="s">
        <v>9484</v>
      </c>
      <c r="B6872" s="6" t="s">
        <v>1495</v>
      </c>
      <c r="C6872" s="6" t="s">
        <v>112</v>
      </c>
      <c r="D6872" s="13" t="n">
        <v>44660</v>
      </c>
      <c r="E6872" s="14" t="n">
        <v>4801.46</v>
      </c>
      <c r="F6872" s="14" t="n">
        <v>19474.22</v>
      </c>
      <c r="G6872" s="6" t="s">
        <v>2613</v>
      </c>
    </row>
    <row r="6873" customFormat="false" ht="15" hidden="false" customHeight="true" outlineLevel="0" collapsed="false">
      <c r="A6873" s="6" t="s">
        <v>9485</v>
      </c>
      <c r="B6873" s="6" t="s">
        <v>1495</v>
      </c>
      <c r="C6873" s="6" t="s">
        <v>112</v>
      </c>
      <c r="D6873" s="13" t="n">
        <v>44667</v>
      </c>
      <c r="E6873" s="14" t="n">
        <v>5064.78</v>
      </c>
      <c r="F6873" s="14" t="n">
        <v>24539</v>
      </c>
      <c r="G6873" s="6" t="s">
        <v>2613</v>
      </c>
    </row>
    <row r="6874" customFormat="false" ht="15" hidden="false" customHeight="true" outlineLevel="0" collapsed="false">
      <c r="A6874" s="6" t="s">
        <v>9486</v>
      </c>
      <c r="B6874" s="6" t="s">
        <v>1497</v>
      </c>
      <c r="C6874" s="6" t="s">
        <v>116</v>
      </c>
      <c r="D6874" s="13" t="n">
        <v>44573</v>
      </c>
      <c r="E6874" s="14" t="n">
        <v>182.9</v>
      </c>
      <c r="F6874" s="14" t="n">
        <v>182.9</v>
      </c>
      <c r="G6874" s="6" t="s">
        <v>2613</v>
      </c>
    </row>
    <row r="6875" customFormat="false" ht="15" hidden="false" customHeight="true" outlineLevel="0" collapsed="false">
      <c r="A6875" s="6" t="s">
        <v>9487</v>
      </c>
      <c r="B6875" s="6" t="s">
        <v>1497</v>
      </c>
      <c r="C6875" s="6" t="s">
        <v>116</v>
      </c>
      <c r="D6875" s="13" t="n">
        <v>44580</v>
      </c>
      <c r="E6875" s="14" t="n">
        <v>200.03</v>
      </c>
      <c r="F6875" s="14" t="n">
        <v>382.93</v>
      </c>
      <c r="G6875" s="6" t="s">
        <v>2613</v>
      </c>
    </row>
    <row r="6876" customFormat="false" ht="15" hidden="false" customHeight="true" outlineLevel="0" collapsed="false">
      <c r="A6876" s="6" t="s">
        <v>9488</v>
      </c>
      <c r="B6876" s="6" t="s">
        <v>1497</v>
      </c>
      <c r="C6876" s="6" t="s">
        <v>116</v>
      </c>
      <c r="D6876" s="13" t="n">
        <v>44587</v>
      </c>
      <c r="E6876" s="14" t="n">
        <v>312.55</v>
      </c>
      <c r="F6876" s="14" t="n">
        <v>695.48</v>
      </c>
      <c r="G6876" s="6" t="s">
        <v>2613</v>
      </c>
    </row>
    <row r="6877" customFormat="false" ht="15" hidden="false" customHeight="true" outlineLevel="0" collapsed="false">
      <c r="A6877" s="6" t="s">
        <v>9489</v>
      </c>
      <c r="B6877" s="6" t="s">
        <v>1497</v>
      </c>
      <c r="C6877" s="6" t="s">
        <v>116</v>
      </c>
      <c r="D6877" s="13" t="n">
        <v>44594</v>
      </c>
      <c r="E6877" s="14" t="n">
        <v>222.49</v>
      </c>
      <c r="F6877" s="14" t="n">
        <v>917.97</v>
      </c>
      <c r="G6877" s="6" t="s">
        <v>2613</v>
      </c>
    </row>
    <row r="6878" customFormat="false" ht="15" hidden="false" customHeight="true" outlineLevel="0" collapsed="false">
      <c r="A6878" s="6" t="s">
        <v>9490</v>
      </c>
      <c r="B6878" s="6" t="s">
        <v>1497</v>
      </c>
      <c r="C6878" s="6" t="s">
        <v>116</v>
      </c>
      <c r="D6878" s="13" t="n">
        <v>44601</v>
      </c>
      <c r="E6878" s="14" t="n">
        <v>313.49</v>
      </c>
      <c r="F6878" s="14" t="n">
        <v>1231.46</v>
      </c>
      <c r="G6878" s="6" t="s">
        <v>2613</v>
      </c>
    </row>
    <row r="6879" customFormat="false" ht="15" hidden="false" customHeight="true" outlineLevel="0" collapsed="false">
      <c r="A6879" s="6" t="s">
        <v>9491</v>
      </c>
      <c r="B6879" s="6" t="s">
        <v>1497</v>
      </c>
      <c r="C6879" s="6" t="s">
        <v>116</v>
      </c>
      <c r="D6879" s="13" t="n">
        <v>44608</v>
      </c>
      <c r="E6879" s="14" t="n">
        <v>342.77</v>
      </c>
      <c r="F6879" s="14" t="n">
        <v>1574.23</v>
      </c>
      <c r="G6879" s="6" t="s">
        <v>2613</v>
      </c>
    </row>
    <row r="6880" customFormat="false" ht="15" hidden="false" customHeight="true" outlineLevel="0" collapsed="false">
      <c r="A6880" s="6" t="s">
        <v>9492</v>
      </c>
      <c r="B6880" s="6" t="s">
        <v>1497</v>
      </c>
      <c r="C6880" s="6" t="s">
        <v>116</v>
      </c>
      <c r="D6880" s="13" t="n">
        <v>44615</v>
      </c>
      <c r="E6880" s="14" t="n">
        <v>233.5</v>
      </c>
      <c r="F6880" s="14" t="n">
        <v>1807.73</v>
      </c>
      <c r="G6880" s="6" t="s">
        <v>2623</v>
      </c>
    </row>
    <row r="6881" customFormat="false" ht="15" hidden="false" customHeight="true" outlineLevel="0" collapsed="false">
      <c r="A6881" s="6" t="s">
        <v>9493</v>
      </c>
      <c r="B6881" s="6" t="s">
        <v>1497</v>
      </c>
      <c r="C6881" s="6" t="s">
        <v>116</v>
      </c>
      <c r="D6881" s="13" t="n">
        <v>44622</v>
      </c>
      <c r="E6881" s="14" t="n">
        <v>266.08</v>
      </c>
      <c r="F6881" s="14" t="n">
        <v>2073.81</v>
      </c>
      <c r="G6881" s="6" t="s">
        <v>2613</v>
      </c>
    </row>
    <row r="6882" customFormat="false" ht="15" hidden="false" customHeight="true" outlineLevel="0" collapsed="false">
      <c r="A6882" s="6" t="s">
        <v>9494</v>
      </c>
      <c r="B6882" s="6" t="s">
        <v>1497</v>
      </c>
      <c r="C6882" s="6" t="s">
        <v>116</v>
      </c>
      <c r="D6882" s="13" t="n">
        <v>44629</v>
      </c>
      <c r="E6882" s="14" t="n">
        <v>270.37</v>
      </c>
      <c r="F6882" s="14" t="n">
        <v>2344.18</v>
      </c>
      <c r="G6882" s="6" t="s">
        <v>2613</v>
      </c>
    </row>
    <row r="6883" customFormat="false" ht="15" hidden="false" customHeight="true" outlineLevel="0" collapsed="false">
      <c r="A6883" s="6" t="s">
        <v>9495</v>
      </c>
      <c r="B6883" s="6" t="s">
        <v>1497</v>
      </c>
      <c r="C6883" s="6" t="s">
        <v>116</v>
      </c>
      <c r="D6883" s="13" t="n">
        <v>44636</v>
      </c>
      <c r="E6883" s="14" t="n">
        <v>192.74</v>
      </c>
      <c r="F6883" s="14" t="n">
        <v>2536.92</v>
      </c>
      <c r="G6883" s="6" t="s">
        <v>2613</v>
      </c>
    </row>
    <row r="6884" customFormat="false" ht="15" hidden="false" customHeight="true" outlineLevel="0" collapsed="false">
      <c r="A6884" s="6" t="s">
        <v>9496</v>
      </c>
      <c r="B6884" s="6" t="s">
        <v>1497</v>
      </c>
      <c r="C6884" s="6" t="s">
        <v>116</v>
      </c>
      <c r="D6884" s="13" t="n">
        <v>44643</v>
      </c>
      <c r="E6884" s="14" t="n">
        <v>194.5</v>
      </c>
      <c r="F6884" s="14" t="n">
        <v>2731.42</v>
      </c>
      <c r="G6884" s="6" t="s">
        <v>2613</v>
      </c>
    </row>
    <row r="6885" customFormat="false" ht="15" hidden="false" customHeight="true" outlineLevel="0" collapsed="false">
      <c r="A6885" s="6" t="s">
        <v>9497</v>
      </c>
      <c r="B6885" s="6" t="s">
        <v>1497</v>
      </c>
      <c r="C6885" s="6" t="s">
        <v>116</v>
      </c>
      <c r="D6885" s="13" t="n">
        <v>44650</v>
      </c>
      <c r="E6885" s="14" t="n">
        <v>283.78</v>
      </c>
      <c r="F6885" s="14" t="n">
        <v>3015.2</v>
      </c>
      <c r="G6885" s="6" t="s">
        <v>2613</v>
      </c>
    </row>
    <row r="6886" customFormat="false" ht="15" hidden="false" customHeight="true" outlineLevel="0" collapsed="false">
      <c r="A6886" s="6" t="s">
        <v>9498</v>
      </c>
      <c r="B6886" s="6" t="s">
        <v>1499</v>
      </c>
      <c r="C6886" s="6" t="s">
        <v>131</v>
      </c>
      <c r="D6886" s="13" t="n">
        <v>46084</v>
      </c>
      <c r="E6886" s="14" t="n">
        <v>3360.06</v>
      </c>
      <c r="F6886" s="14" t="n">
        <v>3360.06</v>
      </c>
      <c r="G6886" s="6" t="s">
        <v>2613</v>
      </c>
    </row>
    <row r="6887" customFormat="false" ht="15" hidden="false" customHeight="true" outlineLevel="0" collapsed="false">
      <c r="A6887" s="6" t="s">
        <v>9499</v>
      </c>
      <c r="B6887" s="6" t="s">
        <v>1499</v>
      </c>
      <c r="C6887" s="6" t="s">
        <v>131</v>
      </c>
      <c r="D6887" s="13" t="n">
        <v>46091</v>
      </c>
      <c r="E6887" s="14" t="n">
        <v>4256.11</v>
      </c>
      <c r="F6887" s="14" t="n">
        <v>7616.17</v>
      </c>
      <c r="G6887" s="6" t="s">
        <v>2613</v>
      </c>
    </row>
    <row r="6888" customFormat="false" ht="15" hidden="false" customHeight="true" outlineLevel="0" collapsed="false">
      <c r="A6888" s="6" t="s">
        <v>9500</v>
      </c>
      <c r="B6888" s="6" t="s">
        <v>1499</v>
      </c>
      <c r="C6888" s="6" t="s">
        <v>131</v>
      </c>
      <c r="D6888" s="13" t="n">
        <v>46098</v>
      </c>
      <c r="E6888" s="14" t="n">
        <v>3025.04</v>
      </c>
      <c r="F6888" s="14" t="n">
        <v>10641.21</v>
      </c>
      <c r="G6888" s="6" t="s">
        <v>2613</v>
      </c>
    </row>
    <row r="6889" customFormat="false" ht="15" hidden="false" customHeight="true" outlineLevel="0" collapsed="false">
      <c r="A6889" s="6" t="s">
        <v>9501</v>
      </c>
      <c r="B6889" s="6" t="s">
        <v>1499</v>
      </c>
      <c r="C6889" s="6" t="s">
        <v>131</v>
      </c>
      <c r="D6889" s="13" t="n">
        <v>46105</v>
      </c>
      <c r="E6889" s="14" t="n">
        <v>4818.01</v>
      </c>
      <c r="F6889" s="14" t="n">
        <v>15459.22</v>
      </c>
      <c r="G6889" s="6" t="s">
        <v>2613</v>
      </c>
    </row>
    <row r="6890" customFormat="false" ht="15" hidden="false" customHeight="true" outlineLevel="0" collapsed="false">
      <c r="A6890" s="6" t="s">
        <v>9502</v>
      </c>
      <c r="B6890" s="6" t="s">
        <v>1499</v>
      </c>
      <c r="C6890" s="6" t="s">
        <v>131</v>
      </c>
      <c r="D6890" s="13" t="n">
        <v>46112</v>
      </c>
      <c r="E6890" s="14" t="n">
        <v>3053.29</v>
      </c>
      <c r="F6890" s="14" t="n">
        <v>18512.51</v>
      </c>
      <c r="G6890" s="6" t="s">
        <v>2613</v>
      </c>
    </row>
    <row r="6891" customFormat="false" ht="15" hidden="false" customHeight="true" outlineLevel="0" collapsed="false">
      <c r="A6891" s="6" t="s">
        <v>9503</v>
      </c>
      <c r="B6891" s="6" t="s">
        <v>1499</v>
      </c>
      <c r="C6891" s="6" t="s">
        <v>131</v>
      </c>
      <c r="D6891" s="13" t="n">
        <v>46119</v>
      </c>
      <c r="E6891" s="14" t="n">
        <v>3072.1</v>
      </c>
      <c r="F6891" s="14" t="n">
        <v>21584.61</v>
      </c>
      <c r="G6891" s="6" t="s">
        <v>2613</v>
      </c>
    </row>
    <row r="6892" customFormat="false" ht="15" hidden="false" customHeight="true" outlineLevel="0" collapsed="false">
      <c r="A6892" s="6" t="s">
        <v>9504</v>
      </c>
      <c r="B6892" s="6" t="s">
        <v>1499</v>
      </c>
      <c r="C6892" s="6" t="s">
        <v>131</v>
      </c>
      <c r="D6892" s="13" t="n">
        <v>46126</v>
      </c>
      <c r="E6892" s="14" t="n">
        <v>5191.15</v>
      </c>
      <c r="F6892" s="14" t="n">
        <v>26775.76</v>
      </c>
      <c r="G6892" s="6" t="s">
        <v>2613</v>
      </c>
    </row>
    <row r="6893" customFormat="false" ht="15" hidden="false" customHeight="true" outlineLevel="0" collapsed="false">
      <c r="A6893" s="6" t="s">
        <v>9505</v>
      </c>
      <c r="B6893" s="6" t="s">
        <v>1499</v>
      </c>
      <c r="C6893" s="6" t="s">
        <v>131</v>
      </c>
      <c r="D6893" s="13" t="n">
        <v>46133</v>
      </c>
      <c r="E6893" s="14" t="n">
        <v>2687.98</v>
      </c>
      <c r="F6893" s="14" t="n">
        <v>29463.74</v>
      </c>
      <c r="G6893" s="6" t="s">
        <v>2613</v>
      </c>
    </row>
    <row r="6894" customFormat="false" ht="15" hidden="false" customHeight="true" outlineLevel="0" collapsed="false">
      <c r="A6894" s="6" t="s">
        <v>9506</v>
      </c>
      <c r="B6894" s="6" t="s">
        <v>1499</v>
      </c>
      <c r="C6894" s="6" t="s">
        <v>131</v>
      </c>
      <c r="D6894" s="13" t="n">
        <v>46140</v>
      </c>
      <c r="E6894" s="14" t="n">
        <v>4219.81</v>
      </c>
      <c r="F6894" s="14" t="n">
        <v>33683.55</v>
      </c>
      <c r="G6894" s="6" t="s">
        <v>2613</v>
      </c>
    </row>
    <row r="6895" customFormat="false" ht="15" hidden="false" customHeight="true" outlineLevel="0" collapsed="false">
      <c r="A6895" s="6" t="s">
        <v>9507</v>
      </c>
      <c r="B6895" s="6" t="s">
        <v>1499</v>
      </c>
      <c r="C6895" s="6" t="s">
        <v>131</v>
      </c>
      <c r="D6895" s="13" t="n">
        <v>46147</v>
      </c>
      <c r="E6895" s="14" t="n">
        <v>4055.35</v>
      </c>
      <c r="F6895" s="14" t="n">
        <v>37738.9</v>
      </c>
      <c r="G6895" s="6" t="s">
        <v>2613</v>
      </c>
    </row>
    <row r="6896" customFormat="false" ht="15" hidden="false" customHeight="true" outlineLevel="0" collapsed="false">
      <c r="A6896" s="6" t="s">
        <v>9508</v>
      </c>
      <c r="B6896" s="6" t="s">
        <v>1499</v>
      </c>
      <c r="C6896" s="6" t="s">
        <v>131</v>
      </c>
      <c r="D6896" s="13" t="n">
        <v>46154</v>
      </c>
      <c r="E6896" s="14" t="n">
        <v>4456.14</v>
      </c>
      <c r="F6896" s="14" t="n">
        <v>42195.04</v>
      </c>
      <c r="G6896" s="6" t="s">
        <v>2613</v>
      </c>
    </row>
    <row r="6897" customFormat="false" ht="15" hidden="false" customHeight="true" outlineLevel="0" collapsed="false">
      <c r="A6897" s="6" t="s">
        <v>9509</v>
      </c>
      <c r="B6897" s="6" t="s">
        <v>1499</v>
      </c>
      <c r="C6897" s="6" t="s">
        <v>131</v>
      </c>
      <c r="D6897" s="13" t="n">
        <v>46161</v>
      </c>
      <c r="E6897" s="14" t="n">
        <v>3410.49</v>
      </c>
      <c r="F6897" s="14" t="n">
        <v>45605.53</v>
      </c>
      <c r="G6897" s="6" t="s">
        <v>2613</v>
      </c>
    </row>
    <row r="6898" customFormat="false" ht="15" hidden="false" customHeight="true" outlineLevel="0" collapsed="false">
      <c r="A6898" s="6" t="s">
        <v>9510</v>
      </c>
      <c r="B6898" s="6" t="s">
        <v>1499</v>
      </c>
      <c r="C6898" s="6" t="s">
        <v>131</v>
      </c>
      <c r="D6898" s="13" t="n">
        <v>46168</v>
      </c>
      <c r="E6898" s="14" t="n">
        <v>5316.24</v>
      </c>
      <c r="F6898" s="14" t="n">
        <v>50921.77</v>
      </c>
      <c r="G6898" s="6" t="s">
        <v>2613</v>
      </c>
    </row>
    <row r="6899" customFormat="false" ht="15" hidden="false" customHeight="true" outlineLevel="0" collapsed="false">
      <c r="A6899" s="6" t="s">
        <v>9511</v>
      </c>
      <c r="B6899" s="6" t="s">
        <v>1499</v>
      </c>
      <c r="C6899" s="6" t="s">
        <v>131</v>
      </c>
      <c r="D6899" s="13" t="n">
        <v>46175</v>
      </c>
      <c r="E6899" s="14" t="n">
        <v>4364.09</v>
      </c>
      <c r="F6899" s="14" t="n">
        <v>55285.86</v>
      </c>
      <c r="G6899" s="6" t="s">
        <v>2623</v>
      </c>
    </row>
    <row r="6900" customFormat="false" ht="15" hidden="false" customHeight="true" outlineLevel="0" collapsed="false">
      <c r="A6900" s="6" t="s">
        <v>9512</v>
      </c>
      <c r="B6900" s="6" t="s">
        <v>1501</v>
      </c>
      <c r="C6900" s="6" t="s">
        <v>131</v>
      </c>
      <c r="D6900" s="13" t="n">
        <v>45191</v>
      </c>
      <c r="E6900" s="14" t="n">
        <v>2995.66</v>
      </c>
      <c r="F6900" s="14" t="n">
        <v>2995.66</v>
      </c>
      <c r="G6900" s="6" t="s">
        <v>2613</v>
      </c>
    </row>
    <row r="6901" customFormat="false" ht="15" hidden="false" customHeight="true" outlineLevel="0" collapsed="false">
      <c r="A6901" s="6" t="s">
        <v>9513</v>
      </c>
      <c r="B6901" s="6" t="s">
        <v>1501</v>
      </c>
      <c r="C6901" s="6" t="s">
        <v>131</v>
      </c>
      <c r="D6901" s="13" t="n">
        <v>45198</v>
      </c>
      <c r="E6901" s="14" t="n">
        <v>1732.01</v>
      </c>
      <c r="F6901" s="14" t="n">
        <v>4727.67</v>
      </c>
      <c r="G6901" s="6" t="s">
        <v>2613</v>
      </c>
    </row>
    <row r="6902" customFormat="false" ht="15" hidden="false" customHeight="true" outlineLevel="0" collapsed="false">
      <c r="A6902" s="6" t="s">
        <v>9514</v>
      </c>
      <c r="B6902" s="6" t="s">
        <v>1501</v>
      </c>
      <c r="C6902" s="6" t="s">
        <v>131</v>
      </c>
      <c r="D6902" s="13" t="n">
        <v>45205</v>
      </c>
      <c r="E6902" s="14" t="n">
        <v>2301.01</v>
      </c>
      <c r="F6902" s="14" t="n">
        <v>7028.68</v>
      </c>
      <c r="G6902" s="6" t="s">
        <v>2613</v>
      </c>
    </row>
    <row r="6903" customFormat="false" ht="15" hidden="false" customHeight="true" outlineLevel="0" collapsed="false">
      <c r="A6903" s="6" t="s">
        <v>9515</v>
      </c>
      <c r="B6903" s="6" t="s">
        <v>1501</v>
      </c>
      <c r="C6903" s="6" t="s">
        <v>131</v>
      </c>
      <c r="D6903" s="13" t="n">
        <v>45212</v>
      </c>
      <c r="E6903" s="14" t="n">
        <v>2359.15</v>
      </c>
      <c r="F6903" s="14" t="n">
        <v>9387.83</v>
      </c>
      <c r="G6903" s="6" t="s">
        <v>2613</v>
      </c>
    </row>
    <row r="6904" customFormat="false" ht="15" hidden="false" customHeight="true" outlineLevel="0" collapsed="false">
      <c r="A6904" s="6" t="s">
        <v>9516</v>
      </c>
      <c r="B6904" s="6" t="s">
        <v>1501</v>
      </c>
      <c r="C6904" s="6" t="s">
        <v>131</v>
      </c>
      <c r="D6904" s="13" t="n">
        <v>45219</v>
      </c>
      <c r="E6904" s="14" t="n">
        <v>2896.18</v>
      </c>
      <c r="F6904" s="14" t="n">
        <v>12284.01</v>
      </c>
      <c r="G6904" s="6" t="s">
        <v>2613</v>
      </c>
    </row>
    <row r="6905" customFormat="false" ht="15" hidden="false" customHeight="true" outlineLevel="0" collapsed="false">
      <c r="A6905" s="6" t="s">
        <v>9517</v>
      </c>
      <c r="B6905" s="6" t="s">
        <v>1501</v>
      </c>
      <c r="C6905" s="6" t="s">
        <v>131</v>
      </c>
      <c r="D6905" s="13" t="n">
        <v>45226</v>
      </c>
      <c r="E6905" s="14" t="n">
        <v>3151.99</v>
      </c>
      <c r="F6905" s="14" t="n">
        <v>15436</v>
      </c>
      <c r="G6905" s="6" t="s">
        <v>2613</v>
      </c>
    </row>
    <row r="6906" customFormat="false" ht="15" hidden="false" customHeight="true" outlineLevel="0" collapsed="false">
      <c r="A6906" s="6" t="s">
        <v>9518</v>
      </c>
      <c r="B6906" s="6" t="s">
        <v>1501</v>
      </c>
      <c r="C6906" s="6" t="s">
        <v>131</v>
      </c>
      <c r="D6906" s="13" t="n">
        <v>45233</v>
      </c>
      <c r="E6906" s="14" t="n">
        <v>2280.41</v>
      </c>
      <c r="F6906" s="14" t="n">
        <v>17716.41</v>
      </c>
      <c r="G6906" s="6" t="s">
        <v>2613</v>
      </c>
    </row>
    <row r="6907" customFormat="false" ht="15" hidden="false" customHeight="true" outlineLevel="0" collapsed="false">
      <c r="A6907" s="6" t="s">
        <v>9519</v>
      </c>
      <c r="B6907" s="6" t="s">
        <v>1501</v>
      </c>
      <c r="C6907" s="6" t="s">
        <v>131</v>
      </c>
      <c r="D6907" s="13" t="n">
        <v>45240</v>
      </c>
      <c r="E6907" s="14" t="n">
        <v>1282.99</v>
      </c>
      <c r="F6907" s="14" t="n">
        <v>18999.4</v>
      </c>
      <c r="G6907" s="6" t="s">
        <v>2613</v>
      </c>
    </row>
    <row r="6908" customFormat="false" ht="15" hidden="false" customHeight="true" outlineLevel="0" collapsed="false">
      <c r="A6908" s="6" t="s">
        <v>9520</v>
      </c>
      <c r="B6908" s="6" t="s">
        <v>1503</v>
      </c>
      <c r="C6908" s="6" t="s">
        <v>112</v>
      </c>
      <c r="D6908" s="13" t="n">
        <v>45092</v>
      </c>
      <c r="E6908" s="14" t="n">
        <v>8240.21</v>
      </c>
      <c r="F6908" s="14" t="n">
        <v>8240.21</v>
      </c>
      <c r="G6908" s="6" t="s">
        <v>2613</v>
      </c>
    </row>
    <row r="6909" customFormat="false" ht="15" hidden="false" customHeight="true" outlineLevel="0" collapsed="false">
      <c r="A6909" s="6" t="s">
        <v>9521</v>
      </c>
      <c r="B6909" s="6" t="s">
        <v>1503</v>
      </c>
      <c r="C6909" s="6" t="s">
        <v>112</v>
      </c>
      <c r="D6909" s="13" t="n">
        <v>45099</v>
      </c>
      <c r="E6909" s="14" t="n">
        <v>10339.44</v>
      </c>
      <c r="F6909" s="14" t="n">
        <v>18579.65</v>
      </c>
      <c r="G6909" s="6" t="s">
        <v>2613</v>
      </c>
    </row>
    <row r="6910" customFormat="false" ht="15" hidden="false" customHeight="true" outlineLevel="0" collapsed="false">
      <c r="A6910" s="6" t="s">
        <v>9522</v>
      </c>
      <c r="B6910" s="6" t="s">
        <v>1503</v>
      </c>
      <c r="C6910" s="6" t="s">
        <v>112</v>
      </c>
      <c r="D6910" s="13" t="n">
        <v>45106</v>
      </c>
      <c r="E6910" s="14" t="n">
        <v>12640.61</v>
      </c>
      <c r="F6910" s="14" t="n">
        <v>31220.26</v>
      </c>
      <c r="G6910" s="6" t="s">
        <v>2613</v>
      </c>
    </row>
    <row r="6911" customFormat="false" ht="15" hidden="false" customHeight="true" outlineLevel="0" collapsed="false">
      <c r="A6911" s="6" t="s">
        <v>9523</v>
      </c>
      <c r="B6911" s="6" t="s">
        <v>1503</v>
      </c>
      <c r="C6911" s="6" t="s">
        <v>112</v>
      </c>
      <c r="D6911" s="13" t="n">
        <v>45113</v>
      </c>
      <c r="E6911" s="14" t="n">
        <v>6043.91</v>
      </c>
      <c r="F6911" s="14" t="n">
        <v>37264.17</v>
      </c>
      <c r="G6911" s="6" t="s">
        <v>2613</v>
      </c>
    </row>
    <row r="6912" customFormat="false" ht="15" hidden="false" customHeight="true" outlineLevel="0" collapsed="false">
      <c r="A6912" s="6" t="s">
        <v>9524</v>
      </c>
      <c r="B6912" s="6" t="s">
        <v>1503</v>
      </c>
      <c r="C6912" s="6" t="s">
        <v>112</v>
      </c>
      <c r="D6912" s="13" t="n">
        <v>45120</v>
      </c>
      <c r="E6912" s="14" t="n">
        <v>11508.43</v>
      </c>
      <c r="F6912" s="14" t="n">
        <v>48772.6</v>
      </c>
      <c r="G6912" s="6" t="s">
        <v>2613</v>
      </c>
    </row>
    <row r="6913" customFormat="false" ht="15" hidden="false" customHeight="true" outlineLevel="0" collapsed="false">
      <c r="A6913" s="6" t="s">
        <v>9525</v>
      </c>
      <c r="B6913" s="6" t="s">
        <v>1505</v>
      </c>
      <c r="C6913" s="6" t="s">
        <v>131</v>
      </c>
      <c r="D6913" s="13" t="n">
        <v>44981</v>
      </c>
      <c r="E6913" s="14" t="n">
        <v>3897.4</v>
      </c>
      <c r="F6913" s="14" t="n">
        <v>3897.4</v>
      </c>
      <c r="G6913" s="6" t="s">
        <v>2623</v>
      </c>
    </row>
    <row r="6914" customFormat="false" ht="15" hidden="false" customHeight="true" outlineLevel="0" collapsed="false">
      <c r="A6914" s="6" t="s">
        <v>9526</v>
      </c>
      <c r="B6914" s="6" t="s">
        <v>1505</v>
      </c>
      <c r="C6914" s="6" t="s">
        <v>131</v>
      </c>
      <c r="D6914" s="13" t="n">
        <v>44988</v>
      </c>
      <c r="E6914" s="14" t="n">
        <v>3997.07</v>
      </c>
      <c r="F6914" s="14" t="n">
        <v>7894.47</v>
      </c>
      <c r="G6914" s="6" t="s">
        <v>2613</v>
      </c>
    </row>
    <row r="6915" customFormat="false" ht="15" hidden="false" customHeight="true" outlineLevel="0" collapsed="false">
      <c r="A6915" s="6" t="s">
        <v>9527</v>
      </c>
      <c r="B6915" s="6" t="s">
        <v>1505</v>
      </c>
      <c r="C6915" s="6" t="s">
        <v>131</v>
      </c>
      <c r="D6915" s="13" t="n">
        <v>44995</v>
      </c>
      <c r="E6915" s="14" t="n">
        <v>2781.15</v>
      </c>
      <c r="F6915" s="14" t="n">
        <v>10675.62</v>
      </c>
      <c r="G6915" s="6" t="s">
        <v>2613</v>
      </c>
    </row>
    <row r="6916" customFormat="false" ht="15" hidden="false" customHeight="true" outlineLevel="0" collapsed="false">
      <c r="A6916" s="6" t="s">
        <v>9528</v>
      </c>
      <c r="B6916" s="6" t="s">
        <v>1505</v>
      </c>
      <c r="C6916" s="6" t="s">
        <v>131</v>
      </c>
      <c r="D6916" s="13" t="n">
        <v>45002</v>
      </c>
      <c r="E6916" s="14" t="n">
        <v>2081.73</v>
      </c>
      <c r="F6916" s="14" t="n">
        <v>12757.35</v>
      </c>
      <c r="G6916" s="6" t="s">
        <v>2613</v>
      </c>
    </row>
    <row r="6917" customFormat="false" ht="15" hidden="false" customHeight="true" outlineLevel="0" collapsed="false">
      <c r="A6917" s="6" t="s">
        <v>9529</v>
      </c>
      <c r="B6917" s="6" t="s">
        <v>1505</v>
      </c>
      <c r="C6917" s="6" t="s">
        <v>131</v>
      </c>
      <c r="D6917" s="13" t="n">
        <v>45009</v>
      </c>
      <c r="E6917" s="14" t="n">
        <v>4048.1</v>
      </c>
      <c r="F6917" s="14" t="n">
        <v>16805.45</v>
      </c>
      <c r="G6917" s="6" t="s">
        <v>2613</v>
      </c>
    </row>
    <row r="6918" customFormat="false" ht="15" hidden="false" customHeight="true" outlineLevel="0" collapsed="false">
      <c r="A6918" s="6" t="s">
        <v>9530</v>
      </c>
      <c r="B6918" s="6" t="s">
        <v>1505</v>
      </c>
      <c r="C6918" s="6" t="s">
        <v>131</v>
      </c>
      <c r="D6918" s="13" t="n">
        <v>45016</v>
      </c>
      <c r="E6918" s="14" t="n">
        <v>3517.26</v>
      </c>
      <c r="F6918" s="14" t="n">
        <v>20322.71</v>
      </c>
      <c r="G6918" s="6" t="s">
        <v>2613</v>
      </c>
    </row>
    <row r="6919" customFormat="false" ht="15" hidden="false" customHeight="true" outlineLevel="0" collapsed="false">
      <c r="A6919" s="6" t="s">
        <v>9531</v>
      </c>
      <c r="B6919" s="6" t="s">
        <v>1505</v>
      </c>
      <c r="C6919" s="6" t="s">
        <v>131</v>
      </c>
      <c r="D6919" s="13" t="n">
        <v>45023</v>
      </c>
      <c r="E6919" s="14" t="n">
        <v>2520.23</v>
      </c>
      <c r="F6919" s="14" t="n">
        <v>22842.94</v>
      </c>
      <c r="G6919" s="6" t="s">
        <v>2613</v>
      </c>
    </row>
    <row r="6920" customFormat="false" ht="15" hidden="false" customHeight="true" outlineLevel="0" collapsed="false">
      <c r="A6920" s="6" t="s">
        <v>9532</v>
      </c>
      <c r="B6920" s="6" t="s">
        <v>1505</v>
      </c>
      <c r="C6920" s="6" t="s">
        <v>131</v>
      </c>
      <c r="D6920" s="13" t="n">
        <v>45030</v>
      </c>
      <c r="E6920" s="14" t="n">
        <v>4111.66</v>
      </c>
      <c r="F6920" s="14" t="n">
        <v>26954.6</v>
      </c>
      <c r="G6920" s="6" t="s">
        <v>2613</v>
      </c>
    </row>
    <row r="6921" customFormat="false" ht="15" hidden="false" customHeight="true" outlineLevel="0" collapsed="false">
      <c r="A6921" s="6" t="s">
        <v>9533</v>
      </c>
      <c r="B6921" s="6" t="s">
        <v>1505</v>
      </c>
      <c r="C6921" s="6" t="s">
        <v>131</v>
      </c>
      <c r="D6921" s="13" t="n">
        <v>45037</v>
      </c>
      <c r="E6921" s="14" t="n">
        <v>2629.82</v>
      </c>
      <c r="F6921" s="14" t="n">
        <v>29584.42</v>
      </c>
      <c r="G6921" s="6" t="s">
        <v>2613</v>
      </c>
    </row>
    <row r="6922" customFormat="false" ht="15" hidden="false" customHeight="true" outlineLevel="0" collapsed="false">
      <c r="A6922" s="6" t="s">
        <v>9534</v>
      </c>
      <c r="B6922" s="6" t="s">
        <v>1505</v>
      </c>
      <c r="C6922" s="6" t="s">
        <v>131</v>
      </c>
      <c r="D6922" s="13" t="n">
        <v>45044</v>
      </c>
      <c r="E6922" s="14" t="n">
        <v>2718.09</v>
      </c>
      <c r="F6922" s="14" t="n">
        <v>32302.51</v>
      </c>
      <c r="G6922" s="6" t="s">
        <v>2613</v>
      </c>
    </row>
    <row r="6923" customFormat="false" ht="15" hidden="false" customHeight="true" outlineLevel="0" collapsed="false">
      <c r="A6923" s="6" t="s">
        <v>9535</v>
      </c>
      <c r="B6923" s="6" t="s">
        <v>1505</v>
      </c>
      <c r="C6923" s="6" t="s">
        <v>131</v>
      </c>
      <c r="D6923" s="13" t="n">
        <v>45051</v>
      </c>
      <c r="E6923" s="14" t="n">
        <v>2083.98</v>
      </c>
      <c r="F6923" s="14" t="n">
        <v>34386.49</v>
      </c>
      <c r="G6923" s="6" t="s">
        <v>2613</v>
      </c>
    </row>
    <row r="6924" customFormat="false" ht="15" hidden="false" customHeight="true" outlineLevel="0" collapsed="false">
      <c r="A6924" s="6" t="s">
        <v>9536</v>
      </c>
      <c r="B6924" s="6" t="s">
        <v>1505</v>
      </c>
      <c r="C6924" s="6" t="s">
        <v>131</v>
      </c>
      <c r="D6924" s="13" t="n">
        <v>45058</v>
      </c>
      <c r="E6924" s="14" t="n">
        <v>2463.79</v>
      </c>
      <c r="F6924" s="14" t="n">
        <v>36850.28</v>
      </c>
      <c r="G6924" s="6" t="s">
        <v>2613</v>
      </c>
    </row>
    <row r="6925" customFormat="false" ht="15" hidden="false" customHeight="true" outlineLevel="0" collapsed="false">
      <c r="A6925" s="6" t="s">
        <v>9537</v>
      </c>
      <c r="B6925" s="6" t="s">
        <v>1505</v>
      </c>
      <c r="C6925" s="6" t="s">
        <v>131</v>
      </c>
      <c r="D6925" s="13" t="n">
        <v>45065</v>
      </c>
      <c r="E6925" s="14" t="n">
        <v>1853.11</v>
      </c>
      <c r="F6925" s="14" t="n">
        <v>38703.39</v>
      </c>
      <c r="G6925" s="6" t="s">
        <v>2623</v>
      </c>
    </row>
    <row r="6926" customFormat="false" ht="15" hidden="false" customHeight="true" outlineLevel="0" collapsed="false">
      <c r="A6926" s="6" t="s">
        <v>9538</v>
      </c>
      <c r="B6926" s="6" t="s">
        <v>1505</v>
      </c>
      <c r="C6926" s="6" t="s">
        <v>131</v>
      </c>
      <c r="D6926" s="13" t="n">
        <v>45072</v>
      </c>
      <c r="E6926" s="14" t="n">
        <v>3123.43</v>
      </c>
      <c r="F6926" s="14" t="n">
        <v>41826.82</v>
      </c>
      <c r="G6926" s="6" t="s">
        <v>2613</v>
      </c>
    </row>
    <row r="6927" customFormat="false" ht="15" hidden="false" customHeight="true" outlineLevel="0" collapsed="false">
      <c r="A6927" s="6" t="s">
        <v>9539</v>
      </c>
      <c r="B6927" s="6" t="s">
        <v>1505</v>
      </c>
      <c r="C6927" s="6" t="s">
        <v>131</v>
      </c>
      <c r="D6927" s="13" t="n">
        <v>45079</v>
      </c>
      <c r="E6927" s="14" t="n">
        <v>4150.11</v>
      </c>
      <c r="F6927" s="14" t="n">
        <v>45976.93</v>
      </c>
      <c r="G6927" s="6" t="s">
        <v>2613</v>
      </c>
    </row>
    <row r="6928" customFormat="false" ht="15" hidden="false" customHeight="true" outlineLevel="0" collapsed="false">
      <c r="A6928" s="6" t="s">
        <v>9540</v>
      </c>
      <c r="B6928" s="6" t="s">
        <v>1507</v>
      </c>
      <c r="C6928" s="6" t="s">
        <v>124</v>
      </c>
      <c r="D6928" s="13" t="n">
        <v>45188</v>
      </c>
      <c r="E6928" s="14" t="n">
        <v>3301.4</v>
      </c>
      <c r="F6928" s="14" t="n">
        <v>3301.4</v>
      </c>
      <c r="G6928" s="6" t="s">
        <v>2613</v>
      </c>
    </row>
    <row r="6929" customFormat="false" ht="15" hidden="false" customHeight="true" outlineLevel="0" collapsed="false">
      <c r="A6929" s="6" t="s">
        <v>9541</v>
      </c>
      <c r="B6929" s="6" t="s">
        <v>1507</v>
      </c>
      <c r="C6929" s="6" t="s">
        <v>124</v>
      </c>
      <c r="D6929" s="13" t="n">
        <v>45195</v>
      </c>
      <c r="E6929" s="14" t="n">
        <v>2579.77</v>
      </c>
      <c r="F6929" s="14" t="n">
        <v>5881.17</v>
      </c>
      <c r="G6929" s="6" t="s">
        <v>2613</v>
      </c>
    </row>
    <row r="6930" customFormat="false" ht="15" hidden="false" customHeight="true" outlineLevel="0" collapsed="false">
      <c r="A6930" s="6" t="s">
        <v>9542</v>
      </c>
      <c r="B6930" s="6" t="s">
        <v>1507</v>
      </c>
      <c r="C6930" s="6" t="s">
        <v>124</v>
      </c>
      <c r="D6930" s="13" t="n">
        <v>45202</v>
      </c>
      <c r="E6930" s="14" t="n">
        <v>3940.85</v>
      </c>
      <c r="F6930" s="14" t="n">
        <v>9822.02</v>
      </c>
      <c r="G6930" s="6" t="s">
        <v>2613</v>
      </c>
    </row>
    <row r="6931" customFormat="false" ht="15" hidden="false" customHeight="true" outlineLevel="0" collapsed="false">
      <c r="A6931" s="6" t="s">
        <v>9543</v>
      </c>
      <c r="B6931" s="6" t="s">
        <v>1507</v>
      </c>
      <c r="C6931" s="6" t="s">
        <v>124</v>
      </c>
      <c r="D6931" s="13" t="n">
        <v>45209</v>
      </c>
      <c r="E6931" s="14" t="n">
        <v>3154.8</v>
      </c>
      <c r="F6931" s="14" t="n">
        <v>12976.82</v>
      </c>
      <c r="G6931" s="6" t="s">
        <v>2613</v>
      </c>
    </row>
    <row r="6932" customFormat="false" ht="15" hidden="false" customHeight="true" outlineLevel="0" collapsed="false">
      <c r="A6932" s="6" t="s">
        <v>9544</v>
      </c>
      <c r="B6932" s="6" t="s">
        <v>1507</v>
      </c>
      <c r="C6932" s="6" t="s">
        <v>124</v>
      </c>
      <c r="D6932" s="13" t="n">
        <v>45216</v>
      </c>
      <c r="E6932" s="14" t="n">
        <v>4310.96</v>
      </c>
      <c r="F6932" s="14" t="n">
        <v>17287.78</v>
      </c>
      <c r="G6932" s="6" t="s">
        <v>2623</v>
      </c>
    </row>
    <row r="6933" customFormat="false" ht="15" hidden="false" customHeight="true" outlineLevel="0" collapsed="false">
      <c r="A6933" s="6" t="s">
        <v>9545</v>
      </c>
      <c r="B6933" s="6" t="s">
        <v>1507</v>
      </c>
      <c r="C6933" s="6" t="s">
        <v>124</v>
      </c>
      <c r="D6933" s="13" t="n">
        <v>45223</v>
      </c>
      <c r="E6933" s="14" t="n">
        <v>3762.07</v>
      </c>
      <c r="F6933" s="14" t="n">
        <v>21049.85</v>
      </c>
      <c r="G6933" s="6" t="s">
        <v>2613</v>
      </c>
    </row>
    <row r="6934" customFormat="false" ht="15" hidden="false" customHeight="true" outlineLevel="0" collapsed="false">
      <c r="A6934" s="6" t="s">
        <v>9546</v>
      </c>
      <c r="B6934" s="6" t="s">
        <v>1507</v>
      </c>
      <c r="C6934" s="6" t="s">
        <v>124</v>
      </c>
      <c r="D6934" s="13" t="n">
        <v>45230</v>
      </c>
      <c r="E6934" s="14" t="n">
        <v>3610.84</v>
      </c>
      <c r="F6934" s="14" t="n">
        <v>24660.69</v>
      </c>
      <c r="G6934" s="6" t="s">
        <v>2613</v>
      </c>
    </row>
    <row r="6935" customFormat="false" ht="15" hidden="false" customHeight="true" outlineLevel="0" collapsed="false">
      <c r="A6935" s="6" t="s">
        <v>9547</v>
      </c>
      <c r="B6935" s="6" t="s">
        <v>1509</v>
      </c>
      <c r="C6935" s="6" t="s">
        <v>131</v>
      </c>
      <c r="D6935" s="13" t="n">
        <v>45411</v>
      </c>
      <c r="E6935" s="14" t="n">
        <v>296.14</v>
      </c>
      <c r="F6935" s="14" t="n">
        <v>296.14</v>
      </c>
      <c r="G6935" s="6" t="s">
        <v>2613</v>
      </c>
    </row>
    <row r="6936" customFormat="false" ht="15" hidden="false" customHeight="true" outlineLevel="0" collapsed="false">
      <c r="A6936" s="6" t="s">
        <v>9548</v>
      </c>
      <c r="B6936" s="6" t="s">
        <v>1509</v>
      </c>
      <c r="C6936" s="6" t="s">
        <v>131</v>
      </c>
      <c r="D6936" s="13" t="n">
        <v>45418</v>
      </c>
      <c r="E6936" s="14" t="n">
        <v>264.73</v>
      </c>
      <c r="F6936" s="14" t="n">
        <v>560.87</v>
      </c>
      <c r="G6936" s="6" t="s">
        <v>2613</v>
      </c>
    </row>
    <row r="6937" customFormat="false" ht="15" hidden="false" customHeight="true" outlineLevel="0" collapsed="false">
      <c r="A6937" s="6" t="s">
        <v>9549</v>
      </c>
      <c r="B6937" s="6" t="s">
        <v>1509</v>
      </c>
      <c r="C6937" s="6" t="s">
        <v>131</v>
      </c>
      <c r="D6937" s="13" t="n">
        <v>45425</v>
      </c>
      <c r="E6937" s="14" t="n">
        <v>199.66</v>
      </c>
      <c r="F6937" s="14" t="n">
        <v>760.53</v>
      </c>
      <c r="G6937" s="6" t="s">
        <v>2613</v>
      </c>
    </row>
    <row r="6938" customFormat="false" ht="15" hidden="false" customHeight="true" outlineLevel="0" collapsed="false">
      <c r="A6938" s="6" t="s">
        <v>9550</v>
      </c>
      <c r="B6938" s="6" t="s">
        <v>1509</v>
      </c>
      <c r="C6938" s="6" t="s">
        <v>131</v>
      </c>
      <c r="D6938" s="13" t="n">
        <v>45432</v>
      </c>
      <c r="E6938" s="14" t="n">
        <v>313.21</v>
      </c>
      <c r="F6938" s="14" t="n">
        <v>1073.74</v>
      </c>
      <c r="G6938" s="6" t="s">
        <v>2613</v>
      </c>
    </row>
    <row r="6939" customFormat="false" ht="15" hidden="false" customHeight="true" outlineLevel="0" collapsed="false">
      <c r="A6939" s="6" t="s">
        <v>9551</v>
      </c>
      <c r="B6939" s="6" t="s">
        <v>1509</v>
      </c>
      <c r="C6939" s="6" t="s">
        <v>131</v>
      </c>
      <c r="D6939" s="13" t="n">
        <v>45439</v>
      </c>
      <c r="E6939" s="14" t="n">
        <v>168.04</v>
      </c>
      <c r="F6939" s="14" t="n">
        <v>1241.78</v>
      </c>
      <c r="G6939" s="6" t="s">
        <v>2613</v>
      </c>
    </row>
    <row r="6940" customFormat="false" ht="15" hidden="false" customHeight="true" outlineLevel="0" collapsed="false">
      <c r="A6940" s="6" t="s">
        <v>9552</v>
      </c>
      <c r="B6940" s="6" t="s">
        <v>1509</v>
      </c>
      <c r="C6940" s="6" t="s">
        <v>131</v>
      </c>
      <c r="D6940" s="13" t="n">
        <v>45446</v>
      </c>
      <c r="E6940" s="14" t="n">
        <v>272.49</v>
      </c>
      <c r="F6940" s="14" t="n">
        <v>1514.27</v>
      </c>
      <c r="G6940" s="6" t="s">
        <v>2613</v>
      </c>
    </row>
    <row r="6941" customFormat="false" ht="15" hidden="false" customHeight="true" outlineLevel="0" collapsed="false">
      <c r="A6941" s="6" t="s">
        <v>9553</v>
      </c>
      <c r="B6941" s="6" t="s">
        <v>1509</v>
      </c>
      <c r="C6941" s="6" t="s">
        <v>131</v>
      </c>
      <c r="D6941" s="13" t="n">
        <v>45453</v>
      </c>
      <c r="E6941" s="14" t="n">
        <v>242.72</v>
      </c>
      <c r="F6941" s="14" t="n">
        <v>1756.99</v>
      </c>
      <c r="G6941" s="6" t="s">
        <v>2623</v>
      </c>
    </row>
    <row r="6942" customFormat="false" ht="15" hidden="false" customHeight="true" outlineLevel="0" collapsed="false">
      <c r="A6942" s="6" t="s">
        <v>9554</v>
      </c>
      <c r="B6942" s="6" t="s">
        <v>1509</v>
      </c>
      <c r="C6942" s="6" t="s">
        <v>131</v>
      </c>
      <c r="D6942" s="13" t="n">
        <v>45460</v>
      </c>
      <c r="E6942" s="14" t="n">
        <v>278.45</v>
      </c>
      <c r="F6942" s="14" t="n">
        <v>2035.44</v>
      </c>
      <c r="G6942" s="6" t="s">
        <v>2613</v>
      </c>
    </row>
    <row r="6943" customFormat="false" ht="15" hidden="false" customHeight="true" outlineLevel="0" collapsed="false">
      <c r="A6943" s="6" t="s">
        <v>9555</v>
      </c>
      <c r="B6943" s="6" t="s">
        <v>1509</v>
      </c>
      <c r="C6943" s="6" t="s">
        <v>131</v>
      </c>
      <c r="D6943" s="13" t="n">
        <v>45467</v>
      </c>
      <c r="E6943" s="14" t="n">
        <v>331.9</v>
      </c>
      <c r="F6943" s="14" t="n">
        <v>2367.34</v>
      </c>
      <c r="G6943" s="6" t="s">
        <v>2613</v>
      </c>
    </row>
    <row r="6944" customFormat="false" ht="15" hidden="false" customHeight="true" outlineLevel="0" collapsed="false">
      <c r="A6944" s="6" t="s">
        <v>9556</v>
      </c>
      <c r="B6944" s="6" t="s">
        <v>1509</v>
      </c>
      <c r="C6944" s="6" t="s">
        <v>131</v>
      </c>
      <c r="D6944" s="13" t="n">
        <v>45474</v>
      </c>
      <c r="E6944" s="14" t="n">
        <v>337.51</v>
      </c>
      <c r="F6944" s="14" t="n">
        <v>2704.85</v>
      </c>
      <c r="G6944" s="6" t="s">
        <v>2613</v>
      </c>
    </row>
    <row r="6945" customFormat="false" ht="15" hidden="false" customHeight="true" outlineLevel="0" collapsed="false">
      <c r="A6945" s="6" t="s">
        <v>9557</v>
      </c>
      <c r="B6945" s="6" t="s">
        <v>1509</v>
      </c>
      <c r="C6945" s="6" t="s">
        <v>131</v>
      </c>
      <c r="D6945" s="13" t="n">
        <v>45481</v>
      </c>
      <c r="E6945" s="14" t="n">
        <v>181.53</v>
      </c>
      <c r="F6945" s="14" t="n">
        <v>2886.38</v>
      </c>
      <c r="G6945" s="6" t="s">
        <v>2613</v>
      </c>
    </row>
    <row r="6946" customFormat="false" ht="15" hidden="false" customHeight="true" outlineLevel="0" collapsed="false">
      <c r="A6946" s="6" t="s">
        <v>9558</v>
      </c>
      <c r="B6946" s="6" t="s">
        <v>1509</v>
      </c>
      <c r="C6946" s="6" t="s">
        <v>131</v>
      </c>
      <c r="D6946" s="13" t="n">
        <v>45488</v>
      </c>
      <c r="E6946" s="14" t="n">
        <v>356.93</v>
      </c>
      <c r="F6946" s="14" t="n">
        <v>3243.31</v>
      </c>
      <c r="G6946" s="6" t="s">
        <v>2613</v>
      </c>
    </row>
    <row r="6947" customFormat="false" ht="15" hidden="false" customHeight="true" outlineLevel="0" collapsed="false">
      <c r="A6947" s="6" t="s">
        <v>9559</v>
      </c>
      <c r="B6947" s="6" t="s">
        <v>1509</v>
      </c>
      <c r="C6947" s="6" t="s">
        <v>131</v>
      </c>
      <c r="D6947" s="13" t="n">
        <v>45495</v>
      </c>
      <c r="E6947" s="14" t="n">
        <v>176.31</v>
      </c>
      <c r="F6947" s="14" t="n">
        <v>3419.62</v>
      </c>
      <c r="G6947" s="6" t="s">
        <v>2613</v>
      </c>
    </row>
    <row r="6948" customFormat="false" ht="15" hidden="false" customHeight="true" outlineLevel="0" collapsed="false">
      <c r="A6948" s="6" t="s">
        <v>9560</v>
      </c>
      <c r="B6948" s="6" t="s">
        <v>1509</v>
      </c>
      <c r="C6948" s="6" t="s">
        <v>131</v>
      </c>
      <c r="D6948" s="13" t="n">
        <v>45502</v>
      </c>
      <c r="E6948" s="14" t="n">
        <v>170.17</v>
      </c>
      <c r="F6948" s="14" t="n">
        <v>3589.79</v>
      </c>
      <c r="G6948" s="6" t="s">
        <v>2613</v>
      </c>
    </row>
    <row r="6949" customFormat="false" ht="15" hidden="false" customHeight="true" outlineLevel="0" collapsed="false">
      <c r="A6949" s="6" t="s">
        <v>9561</v>
      </c>
      <c r="B6949" s="6" t="s">
        <v>1511</v>
      </c>
      <c r="C6949" s="6" t="s">
        <v>128</v>
      </c>
      <c r="D6949" s="13" t="n">
        <v>44598</v>
      </c>
      <c r="E6949" s="14" t="n">
        <v>5880.34</v>
      </c>
      <c r="F6949" s="14" t="n">
        <v>5880.34</v>
      </c>
      <c r="G6949" s="6" t="s">
        <v>2613</v>
      </c>
    </row>
    <row r="6950" customFormat="false" ht="15" hidden="false" customHeight="true" outlineLevel="0" collapsed="false">
      <c r="A6950" s="6" t="s">
        <v>9562</v>
      </c>
      <c r="B6950" s="6" t="s">
        <v>1511</v>
      </c>
      <c r="C6950" s="6" t="s">
        <v>128</v>
      </c>
      <c r="D6950" s="13" t="n">
        <v>44605</v>
      </c>
      <c r="E6950" s="14" t="n">
        <v>4238.16</v>
      </c>
      <c r="F6950" s="14" t="n">
        <v>10118.5</v>
      </c>
      <c r="G6950" s="6" t="s">
        <v>2623</v>
      </c>
    </row>
    <row r="6951" customFormat="false" ht="15" hidden="false" customHeight="true" outlineLevel="0" collapsed="false">
      <c r="A6951" s="6" t="s">
        <v>9563</v>
      </c>
      <c r="B6951" s="6" t="s">
        <v>1511</v>
      </c>
      <c r="C6951" s="6" t="s">
        <v>128</v>
      </c>
      <c r="D6951" s="13" t="n">
        <v>44612</v>
      </c>
      <c r="E6951" s="14" t="n">
        <v>4600.37</v>
      </c>
      <c r="F6951" s="14" t="n">
        <v>14718.87</v>
      </c>
      <c r="G6951" s="6" t="s">
        <v>2613</v>
      </c>
    </row>
    <row r="6952" customFormat="false" ht="15" hidden="false" customHeight="true" outlineLevel="0" collapsed="false">
      <c r="A6952" s="6" t="s">
        <v>9564</v>
      </c>
      <c r="B6952" s="6" t="s">
        <v>1511</v>
      </c>
      <c r="C6952" s="6" t="s">
        <v>128</v>
      </c>
      <c r="D6952" s="13" t="n">
        <v>44619</v>
      </c>
      <c r="E6952" s="14" t="n">
        <v>6397.23</v>
      </c>
      <c r="F6952" s="14" t="n">
        <v>21116.1</v>
      </c>
      <c r="G6952" s="6" t="s">
        <v>2623</v>
      </c>
    </row>
    <row r="6953" customFormat="false" ht="15" hidden="false" customHeight="true" outlineLevel="0" collapsed="false">
      <c r="A6953" s="6" t="s">
        <v>9565</v>
      </c>
      <c r="B6953" s="6" t="s">
        <v>1511</v>
      </c>
      <c r="C6953" s="6" t="s">
        <v>128</v>
      </c>
      <c r="D6953" s="13" t="n">
        <v>44626</v>
      </c>
      <c r="E6953" s="14" t="n">
        <v>5959.5</v>
      </c>
      <c r="F6953" s="14" t="n">
        <v>27075.6</v>
      </c>
      <c r="G6953" s="6" t="s">
        <v>2613</v>
      </c>
    </row>
    <row r="6954" customFormat="false" ht="15" hidden="false" customHeight="true" outlineLevel="0" collapsed="false">
      <c r="A6954" s="6" t="s">
        <v>9566</v>
      </c>
      <c r="B6954" s="6" t="s">
        <v>1511</v>
      </c>
      <c r="C6954" s="6" t="s">
        <v>128</v>
      </c>
      <c r="D6954" s="13" t="n">
        <v>44633</v>
      </c>
      <c r="E6954" s="14" t="n">
        <v>3888.39</v>
      </c>
      <c r="F6954" s="14" t="n">
        <v>30963.99</v>
      </c>
      <c r="G6954" s="6" t="s">
        <v>2613</v>
      </c>
    </row>
    <row r="6955" customFormat="false" ht="15" hidden="false" customHeight="true" outlineLevel="0" collapsed="false">
      <c r="A6955" s="6" t="s">
        <v>9567</v>
      </c>
      <c r="B6955" s="6" t="s">
        <v>1511</v>
      </c>
      <c r="C6955" s="6" t="s">
        <v>128</v>
      </c>
      <c r="D6955" s="13" t="n">
        <v>44640</v>
      </c>
      <c r="E6955" s="14" t="n">
        <v>6074.94</v>
      </c>
      <c r="F6955" s="14" t="n">
        <v>37038.93</v>
      </c>
      <c r="G6955" s="6" t="s">
        <v>2613</v>
      </c>
    </row>
    <row r="6956" customFormat="false" ht="15" hidden="false" customHeight="true" outlineLevel="0" collapsed="false">
      <c r="A6956" s="6" t="s">
        <v>9568</v>
      </c>
      <c r="B6956" s="6" t="s">
        <v>1513</v>
      </c>
      <c r="C6956" s="6" t="s">
        <v>131</v>
      </c>
      <c r="D6956" s="13" t="n">
        <v>44960</v>
      </c>
      <c r="E6956" s="14" t="n">
        <v>1755.52</v>
      </c>
      <c r="F6956" s="14" t="n">
        <v>1755.52</v>
      </c>
      <c r="G6956" s="6" t="s">
        <v>2613</v>
      </c>
    </row>
    <row r="6957" customFormat="false" ht="15" hidden="false" customHeight="true" outlineLevel="0" collapsed="false">
      <c r="A6957" s="6" t="s">
        <v>9569</v>
      </c>
      <c r="B6957" s="6" t="s">
        <v>1513</v>
      </c>
      <c r="C6957" s="6" t="s">
        <v>131</v>
      </c>
      <c r="D6957" s="13" t="n">
        <v>44967</v>
      </c>
      <c r="E6957" s="14" t="n">
        <v>2137.49</v>
      </c>
      <c r="F6957" s="14" t="n">
        <v>3893.01</v>
      </c>
      <c r="G6957" s="6" t="s">
        <v>2613</v>
      </c>
    </row>
    <row r="6958" customFormat="false" ht="15" hidden="false" customHeight="true" outlineLevel="0" collapsed="false">
      <c r="A6958" s="6" t="s">
        <v>9570</v>
      </c>
      <c r="B6958" s="6" t="s">
        <v>1513</v>
      </c>
      <c r="C6958" s="6" t="s">
        <v>131</v>
      </c>
      <c r="D6958" s="13" t="n">
        <v>44974</v>
      </c>
      <c r="E6958" s="14" t="n">
        <v>1860.31</v>
      </c>
      <c r="F6958" s="14" t="n">
        <v>5753.32</v>
      </c>
      <c r="G6958" s="6" t="s">
        <v>2613</v>
      </c>
    </row>
    <row r="6959" customFormat="false" ht="15" hidden="false" customHeight="true" outlineLevel="0" collapsed="false">
      <c r="A6959" s="6" t="s">
        <v>9571</v>
      </c>
      <c r="B6959" s="6" t="s">
        <v>1513</v>
      </c>
      <c r="C6959" s="6" t="s">
        <v>131</v>
      </c>
      <c r="D6959" s="13" t="n">
        <v>44981</v>
      </c>
      <c r="E6959" s="14" t="n">
        <v>1998.39</v>
      </c>
      <c r="F6959" s="14" t="n">
        <v>7751.71</v>
      </c>
      <c r="G6959" s="6" t="s">
        <v>2613</v>
      </c>
    </row>
    <row r="6960" customFormat="false" ht="15" hidden="false" customHeight="true" outlineLevel="0" collapsed="false">
      <c r="A6960" s="6" t="s">
        <v>9572</v>
      </c>
      <c r="B6960" s="6" t="s">
        <v>1513</v>
      </c>
      <c r="C6960" s="6" t="s">
        <v>131</v>
      </c>
      <c r="D6960" s="13" t="n">
        <v>44988</v>
      </c>
      <c r="E6960" s="14" t="n">
        <v>3051.03</v>
      </c>
      <c r="F6960" s="14" t="n">
        <v>10802.74</v>
      </c>
      <c r="G6960" s="6" t="s">
        <v>2613</v>
      </c>
    </row>
    <row r="6961" customFormat="false" ht="15" hidden="false" customHeight="true" outlineLevel="0" collapsed="false">
      <c r="A6961" s="6" t="s">
        <v>9573</v>
      </c>
      <c r="B6961" s="6" t="s">
        <v>1513</v>
      </c>
      <c r="C6961" s="6" t="s">
        <v>131</v>
      </c>
      <c r="D6961" s="13" t="n">
        <v>44995</v>
      </c>
      <c r="E6961" s="14" t="n">
        <v>1466.93</v>
      </c>
      <c r="F6961" s="14" t="n">
        <v>12269.67</v>
      </c>
      <c r="G6961" s="6" t="s">
        <v>2613</v>
      </c>
    </row>
    <row r="6962" customFormat="false" ht="15" hidden="false" customHeight="true" outlineLevel="0" collapsed="false">
      <c r="A6962" s="6" t="s">
        <v>9574</v>
      </c>
      <c r="B6962" s="6" t="s">
        <v>1513</v>
      </c>
      <c r="C6962" s="6" t="s">
        <v>131</v>
      </c>
      <c r="D6962" s="13" t="n">
        <v>45002</v>
      </c>
      <c r="E6962" s="14" t="n">
        <v>2672.39</v>
      </c>
      <c r="F6962" s="14" t="n">
        <v>14942.06</v>
      </c>
      <c r="G6962" s="6" t="s">
        <v>2613</v>
      </c>
    </row>
    <row r="6963" customFormat="false" ht="15" hidden="false" customHeight="true" outlineLevel="0" collapsed="false">
      <c r="A6963" s="6" t="s">
        <v>9575</v>
      </c>
      <c r="B6963" s="6" t="s">
        <v>1513</v>
      </c>
      <c r="C6963" s="6" t="s">
        <v>131</v>
      </c>
      <c r="D6963" s="13" t="n">
        <v>45009</v>
      </c>
      <c r="E6963" s="14" t="n">
        <v>2580.64</v>
      </c>
      <c r="F6963" s="14" t="n">
        <v>17522.7</v>
      </c>
      <c r="G6963" s="6" t="s">
        <v>2613</v>
      </c>
    </row>
    <row r="6964" customFormat="false" ht="15" hidden="false" customHeight="true" outlineLevel="0" collapsed="false">
      <c r="A6964" s="6" t="s">
        <v>9576</v>
      </c>
      <c r="B6964" s="6" t="s">
        <v>1513</v>
      </c>
      <c r="C6964" s="6" t="s">
        <v>131</v>
      </c>
      <c r="D6964" s="13" t="n">
        <v>45016</v>
      </c>
      <c r="E6964" s="14" t="n">
        <v>1709.01</v>
      </c>
      <c r="F6964" s="14" t="n">
        <v>19231.71</v>
      </c>
      <c r="G6964" s="6" t="s">
        <v>2613</v>
      </c>
    </row>
    <row r="6965" customFormat="false" ht="15" hidden="false" customHeight="true" outlineLevel="0" collapsed="false">
      <c r="A6965" s="6" t="s">
        <v>9577</v>
      </c>
      <c r="B6965" s="6" t="s">
        <v>1513</v>
      </c>
      <c r="C6965" s="6" t="s">
        <v>131</v>
      </c>
      <c r="D6965" s="13" t="n">
        <v>45023</v>
      </c>
      <c r="E6965" s="14" t="n">
        <v>2702.57</v>
      </c>
      <c r="F6965" s="14" t="n">
        <v>21934.28</v>
      </c>
      <c r="G6965" s="6" t="s">
        <v>2613</v>
      </c>
    </row>
    <row r="6966" customFormat="false" ht="15" hidden="false" customHeight="true" outlineLevel="0" collapsed="false">
      <c r="A6966" s="6" t="s">
        <v>9578</v>
      </c>
      <c r="B6966" s="6" t="s">
        <v>1513</v>
      </c>
      <c r="C6966" s="6" t="s">
        <v>131</v>
      </c>
      <c r="D6966" s="13" t="n">
        <v>45030</v>
      </c>
      <c r="E6966" s="14" t="n">
        <v>2436.3</v>
      </c>
      <c r="F6966" s="14" t="n">
        <v>24370.58</v>
      </c>
      <c r="G6966" s="6" t="s">
        <v>2613</v>
      </c>
    </row>
    <row r="6967" customFormat="false" ht="15" hidden="false" customHeight="true" outlineLevel="0" collapsed="false">
      <c r="A6967" s="6" t="s">
        <v>9579</v>
      </c>
      <c r="B6967" s="6" t="s">
        <v>1513</v>
      </c>
      <c r="C6967" s="6" t="s">
        <v>131</v>
      </c>
      <c r="D6967" s="13" t="n">
        <v>45037</v>
      </c>
      <c r="E6967" s="14" t="n">
        <v>2281.15</v>
      </c>
      <c r="F6967" s="14" t="n">
        <v>26651.73</v>
      </c>
      <c r="G6967" s="6" t="s">
        <v>2613</v>
      </c>
    </row>
    <row r="6968" customFormat="false" ht="15" hidden="false" customHeight="true" outlineLevel="0" collapsed="false">
      <c r="A6968" s="6" t="s">
        <v>9580</v>
      </c>
      <c r="B6968" s="6" t="s">
        <v>1513</v>
      </c>
      <c r="C6968" s="6" t="s">
        <v>131</v>
      </c>
      <c r="D6968" s="13" t="n">
        <v>45044</v>
      </c>
      <c r="E6968" s="14" t="n">
        <v>2270.92</v>
      </c>
      <c r="F6968" s="14" t="n">
        <v>28922.65</v>
      </c>
      <c r="G6968" s="6" t="s">
        <v>2613</v>
      </c>
    </row>
    <row r="6969" customFormat="false" ht="15" hidden="false" customHeight="true" outlineLevel="0" collapsed="false">
      <c r="A6969" s="6" t="s">
        <v>9581</v>
      </c>
      <c r="B6969" s="6" t="s">
        <v>1513</v>
      </c>
      <c r="C6969" s="6" t="s">
        <v>131</v>
      </c>
      <c r="D6969" s="13" t="n">
        <v>45051</v>
      </c>
      <c r="E6969" s="14" t="n">
        <v>1537.57</v>
      </c>
      <c r="F6969" s="14" t="n">
        <v>30460.22</v>
      </c>
      <c r="G6969" s="6" t="s">
        <v>2613</v>
      </c>
    </row>
    <row r="6970" customFormat="false" ht="15" hidden="false" customHeight="true" outlineLevel="0" collapsed="false">
      <c r="A6970" s="6" t="s">
        <v>9582</v>
      </c>
      <c r="B6970" s="6" t="s">
        <v>1513</v>
      </c>
      <c r="C6970" s="6" t="s">
        <v>131</v>
      </c>
      <c r="D6970" s="13" t="n">
        <v>45058</v>
      </c>
      <c r="E6970" s="14" t="n">
        <v>1786.65</v>
      </c>
      <c r="F6970" s="14" t="n">
        <v>32246.87</v>
      </c>
      <c r="G6970" s="6" t="s">
        <v>2613</v>
      </c>
    </row>
    <row r="6971" customFormat="false" ht="15" hidden="false" customHeight="true" outlineLevel="0" collapsed="false">
      <c r="A6971" s="6" t="s">
        <v>9583</v>
      </c>
      <c r="B6971" s="6" t="s">
        <v>1513</v>
      </c>
      <c r="C6971" s="6" t="s">
        <v>131</v>
      </c>
      <c r="D6971" s="13" t="n">
        <v>45065</v>
      </c>
      <c r="E6971" s="14" t="n">
        <v>1649.46</v>
      </c>
      <c r="F6971" s="14" t="n">
        <v>33896.33</v>
      </c>
      <c r="G6971" s="6" t="s">
        <v>2613</v>
      </c>
    </row>
    <row r="6972" customFormat="false" ht="15" hidden="false" customHeight="true" outlineLevel="0" collapsed="false">
      <c r="A6972" s="6" t="s">
        <v>9584</v>
      </c>
      <c r="B6972" s="6" t="s">
        <v>1513</v>
      </c>
      <c r="C6972" s="6" t="s">
        <v>131</v>
      </c>
      <c r="D6972" s="13" t="n">
        <v>45072</v>
      </c>
      <c r="E6972" s="14" t="n">
        <v>1403.05</v>
      </c>
      <c r="F6972" s="14" t="n">
        <v>35299.38</v>
      </c>
      <c r="G6972" s="6" t="s">
        <v>2613</v>
      </c>
    </row>
    <row r="6973" customFormat="false" ht="15" hidden="false" customHeight="true" outlineLevel="0" collapsed="false">
      <c r="A6973" s="6" t="s">
        <v>9585</v>
      </c>
      <c r="B6973" s="6" t="s">
        <v>1513</v>
      </c>
      <c r="C6973" s="6" t="s">
        <v>131</v>
      </c>
      <c r="D6973" s="13" t="n">
        <v>45079</v>
      </c>
      <c r="E6973" s="14" t="n">
        <v>5114.79</v>
      </c>
      <c r="F6973" s="14" t="n">
        <v>40414.17</v>
      </c>
      <c r="G6973" s="6" t="s">
        <v>2613</v>
      </c>
    </row>
    <row r="6974" customFormat="false" ht="15" hidden="false" customHeight="true" outlineLevel="0" collapsed="false">
      <c r="A6974" s="6" t="s">
        <v>9586</v>
      </c>
      <c r="B6974" s="6" t="s">
        <v>1515</v>
      </c>
      <c r="C6974" s="6" t="s">
        <v>124</v>
      </c>
      <c r="D6974" s="13" t="n">
        <v>45394</v>
      </c>
      <c r="E6974" s="14" t="n">
        <v>1456.25</v>
      </c>
      <c r="F6974" s="14" t="n">
        <v>1456.25</v>
      </c>
      <c r="G6974" s="6" t="s">
        <v>2613</v>
      </c>
    </row>
    <row r="6975" customFormat="false" ht="15" hidden="false" customHeight="true" outlineLevel="0" collapsed="false">
      <c r="A6975" s="6" t="s">
        <v>9587</v>
      </c>
      <c r="B6975" s="6" t="s">
        <v>1515</v>
      </c>
      <c r="C6975" s="6" t="s">
        <v>124</v>
      </c>
      <c r="D6975" s="13" t="n">
        <v>45401</v>
      </c>
      <c r="E6975" s="14" t="n">
        <v>1481.27</v>
      </c>
      <c r="F6975" s="14" t="n">
        <v>2937.52</v>
      </c>
      <c r="G6975" s="6" t="s">
        <v>2613</v>
      </c>
    </row>
    <row r="6976" customFormat="false" ht="15" hidden="false" customHeight="true" outlineLevel="0" collapsed="false">
      <c r="A6976" s="6" t="s">
        <v>9588</v>
      </c>
      <c r="B6976" s="6" t="s">
        <v>1515</v>
      </c>
      <c r="C6976" s="6" t="s">
        <v>124</v>
      </c>
      <c r="D6976" s="13" t="n">
        <v>45408</v>
      </c>
      <c r="E6976" s="14" t="n">
        <v>1792.08</v>
      </c>
      <c r="F6976" s="14" t="n">
        <v>4729.6</v>
      </c>
      <c r="G6976" s="6" t="s">
        <v>2613</v>
      </c>
    </row>
    <row r="6977" customFormat="false" ht="15" hidden="false" customHeight="true" outlineLevel="0" collapsed="false">
      <c r="A6977" s="6" t="s">
        <v>9589</v>
      </c>
      <c r="B6977" s="6" t="s">
        <v>1515</v>
      </c>
      <c r="C6977" s="6" t="s">
        <v>124</v>
      </c>
      <c r="D6977" s="13" t="n">
        <v>45415</v>
      </c>
      <c r="E6977" s="14" t="n">
        <v>1700.8</v>
      </c>
      <c r="F6977" s="14" t="n">
        <v>6430.4</v>
      </c>
      <c r="G6977" s="6" t="s">
        <v>2613</v>
      </c>
    </row>
    <row r="6978" customFormat="false" ht="15" hidden="false" customHeight="true" outlineLevel="0" collapsed="false">
      <c r="A6978" s="6" t="s">
        <v>9590</v>
      </c>
      <c r="B6978" s="6" t="s">
        <v>1515</v>
      </c>
      <c r="C6978" s="6" t="s">
        <v>124</v>
      </c>
      <c r="D6978" s="13" t="n">
        <v>45422</v>
      </c>
      <c r="E6978" s="14" t="n">
        <v>1261.21</v>
      </c>
      <c r="F6978" s="14" t="n">
        <v>7691.61</v>
      </c>
      <c r="G6978" s="6" t="s">
        <v>2613</v>
      </c>
    </row>
    <row r="6979" customFormat="false" ht="15" hidden="false" customHeight="true" outlineLevel="0" collapsed="false">
      <c r="A6979" s="6" t="s">
        <v>9591</v>
      </c>
      <c r="B6979" s="6" t="s">
        <v>1515</v>
      </c>
      <c r="C6979" s="6" t="s">
        <v>124</v>
      </c>
      <c r="D6979" s="13" t="n">
        <v>45429</v>
      </c>
      <c r="E6979" s="14" t="n">
        <v>1081.32</v>
      </c>
      <c r="F6979" s="14" t="n">
        <v>8772.93</v>
      </c>
      <c r="G6979" s="6" t="s">
        <v>2613</v>
      </c>
    </row>
    <row r="6980" customFormat="false" ht="15" hidden="false" customHeight="true" outlineLevel="0" collapsed="false">
      <c r="A6980" s="6" t="s">
        <v>9592</v>
      </c>
      <c r="B6980" s="6" t="s">
        <v>1515</v>
      </c>
      <c r="C6980" s="6" t="s">
        <v>124</v>
      </c>
      <c r="D6980" s="13" t="n">
        <v>45436</v>
      </c>
      <c r="E6980" s="14" t="n">
        <v>1170.92</v>
      </c>
      <c r="F6980" s="14" t="n">
        <v>9943.85</v>
      </c>
      <c r="G6980" s="6" t="s">
        <v>2613</v>
      </c>
    </row>
    <row r="6981" customFormat="false" ht="15" hidden="false" customHeight="true" outlineLevel="0" collapsed="false">
      <c r="A6981" s="6" t="s">
        <v>9593</v>
      </c>
      <c r="B6981" s="6" t="s">
        <v>1515</v>
      </c>
      <c r="C6981" s="6" t="s">
        <v>124</v>
      </c>
      <c r="D6981" s="13" t="n">
        <v>45443</v>
      </c>
      <c r="E6981" s="14" t="n">
        <v>1127.87</v>
      </c>
      <c r="F6981" s="14" t="n">
        <v>11071.72</v>
      </c>
      <c r="G6981" s="6" t="s">
        <v>2613</v>
      </c>
    </row>
    <row r="6982" customFormat="false" ht="15" hidden="false" customHeight="true" outlineLevel="0" collapsed="false">
      <c r="A6982" s="6" t="s">
        <v>9594</v>
      </c>
      <c r="B6982" s="6" t="s">
        <v>1515</v>
      </c>
      <c r="C6982" s="6" t="s">
        <v>124</v>
      </c>
      <c r="D6982" s="13" t="n">
        <v>45450</v>
      </c>
      <c r="E6982" s="14" t="n">
        <v>1420.7</v>
      </c>
      <c r="F6982" s="14" t="n">
        <v>12492.42</v>
      </c>
      <c r="G6982" s="6" t="s">
        <v>2613</v>
      </c>
    </row>
    <row r="6983" customFormat="false" ht="15" hidden="false" customHeight="true" outlineLevel="0" collapsed="false">
      <c r="A6983" s="6" t="s">
        <v>9595</v>
      </c>
      <c r="B6983" s="6" t="s">
        <v>1515</v>
      </c>
      <c r="C6983" s="6" t="s">
        <v>124</v>
      </c>
      <c r="D6983" s="13" t="n">
        <v>45457</v>
      </c>
      <c r="E6983" s="14" t="n">
        <v>800.36</v>
      </c>
      <c r="F6983" s="14" t="n">
        <v>13292.78</v>
      </c>
      <c r="G6983" s="6" t="s">
        <v>2613</v>
      </c>
    </row>
    <row r="6984" customFormat="false" ht="15" hidden="false" customHeight="true" outlineLevel="0" collapsed="false">
      <c r="A6984" s="6" t="s">
        <v>9596</v>
      </c>
      <c r="B6984" s="6" t="s">
        <v>1515</v>
      </c>
      <c r="C6984" s="6" t="s">
        <v>124</v>
      </c>
      <c r="D6984" s="13" t="n">
        <v>45464</v>
      </c>
      <c r="E6984" s="14" t="n">
        <v>934.22</v>
      </c>
      <c r="F6984" s="14" t="n">
        <v>14227</v>
      </c>
      <c r="G6984" s="6" t="s">
        <v>2613</v>
      </c>
    </row>
    <row r="6985" customFormat="false" ht="15" hidden="false" customHeight="true" outlineLevel="0" collapsed="false">
      <c r="A6985" s="6" t="s">
        <v>9597</v>
      </c>
      <c r="B6985" s="6" t="s">
        <v>1515</v>
      </c>
      <c r="C6985" s="6" t="s">
        <v>124</v>
      </c>
      <c r="D6985" s="13" t="n">
        <v>45471</v>
      </c>
      <c r="E6985" s="14" t="n">
        <v>1526.34</v>
      </c>
      <c r="F6985" s="14" t="n">
        <v>15753.34</v>
      </c>
      <c r="G6985" s="6" t="s">
        <v>2613</v>
      </c>
    </row>
    <row r="6986" customFormat="false" ht="15" hidden="false" customHeight="true" outlineLevel="0" collapsed="false">
      <c r="A6986" s="6" t="s">
        <v>9598</v>
      </c>
      <c r="B6986" s="6" t="s">
        <v>1515</v>
      </c>
      <c r="C6986" s="6" t="s">
        <v>124</v>
      </c>
      <c r="D6986" s="13" t="n">
        <v>45478</v>
      </c>
      <c r="E6986" s="14" t="n">
        <v>1266.41</v>
      </c>
      <c r="F6986" s="14" t="n">
        <v>17019.75</v>
      </c>
      <c r="G6986" s="6" t="s">
        <v>2613</v>
      </c>
    </row>
    <row r="6987" customFormat="false" ht="15" hidden="false" customHeight="true" outlineLevel="0" collapsed="false">
      <c r="A6987" s="6" t="s">
        <v>9599</v>
      </c>
      <c r="B6987" s="6" t="s">
        <v>1515</v>
      </c>
      <c r="C6987" s="6" t="s">
        <v>124</v>
      </c>
      <c r="D6987" s="13" t="n">
        <v>45485</v>
      </c>
      <c r="E6987" s="14" t="n">
        <v>1296.24</v>
      </c>
      <c r="F6987" s="14" t="n">
        <v>18315.99</v>
      </c>
      <c r="G6987" s="6" t="s">
        <v>2613</v>
      </c>
    </row>
    <row r="6988" customFormat="false" ht="15" hidden="false" customHeight="true" outlineLevel="0" collapsed="false">
      <c r="A6988" s="6" t="s">
        <v>9600</v>
      </c>
      <c r="B6988" s="6" t="s">
        <v>1515</v>
      </c>
      <c r="C6988" s="6" t="s">
        <v>124</v>
      </c>
      <c r="D6988" s="13" t="n">
        <v>45492</v>
      </c>
      <c r="E6988" s="14" t="n">
        <v>1087.46</v>
      </c>
      <c r="F6988" s="14" t="n">
        <v>19403.45</v>
      </c>
      <c r="G6988" s="6" t="s">
        <v>2613</v>
      </c>
    </row>
    <row r="6989" customFormat="false" ht="15" hidden="false" customHeight="true" outlineLevel="0" collapsed="false">
      <c r="A6989" s="6" t="s">
        <v>9601</v>
      </c>
      <c r="B6989" s="6" t="s">
        <v>1517</v>
      </c>
      <c r="C6989" s="6" t="s">
        <v>116</v>
      </c>
      <c r="D6989" s="13" t="n">
        <v>45875</v>
      </c>
      <c r="E6989" s="14" t="n">
        <v>6358.46</v>
      </c>
      <c r="F6989" s="14" t="n">
        <v>6358.46</v>
      </c>
      <c r="G6989" s="6" t="s">
        <v>2613</v>
      </c>
    </row>
    <row r="6990" customFormat="false" ht="15" hidden="false" customHeight="true" outlineLevel="0" collapsed="false">
      <c r="A6990" s="6" t="s">
        <v>9602</v>
      </c>
      <c r="B6990" s="6" t="s">
        <v>1517</v>
      </c>
      <c r="C6990" s="6" t="s">
        <v>116</v>
      </c>
      <c r="D6990" s="13" t="n">
        <v>45882</v>
      </c>
      <c r="E6990" s="14" t="n">
        <v>8469.06</v>
      </c>
      <c r="F6990" s="14" t="n">
        <v>14827.52</v>
      </c>
      <c r="G6990" s="6" t="s">
        <v>2613</v>
      </c>
    </row>
    <row r="6991" customFormat="false" ht="15" hidden="false" customHeight="true" outlineLevel="0" collapsed="false">
      <c r="A6991" s="6" t="s">
        <v>9603</v>
      </c>
      <c r="B6991" s="6" t="s">
        <v>1517</v>
      </c>
      <c r="C6991" s="6" t="s">
        <v>116</v>
      </c>
      <c r="D6991" s="13" t="n">
        <v>45889</v>
      </c>
      <c r="E6991" s="14" t="n">
        <v>7096.16</v>
      </c>
      <c r="F6991" s="14" t="n">
        <v>21923.68</v>
      </c>
      <c r="G6991" s="6" t="s">
        <v>2623</v>
      </c>
    </row>
    <row r="6992" customFormat="false" ht="15" hidden="false" customHeight="true" outlineLevel="0" collapsed="false">
      <c r="A6992" s="6" t="s">
        <v>9604</v>
      </c>
      <c r="B6992" s="6" t="s">
        <v>1517</v>
      </c>
      <c r="C6992" s="6" t="s">
        <v>116</v>
      </c>
      <c r="D6992" s="13" t="n">
        <v>45896</v>
      </c>
      <c r="E6992" s="14" t="n">
        <v>7524.86</v>
      </c>
      <c r="F6992" s="14" t="n">
        <v>29448.54</v>
      </c>
      <c r="G6992" s="6" t="s">
        <v>2613</v>
      </c>
    </row>
    <row r="6993" customFormat="false" ht="15" hidden="false" customHeight="true" outlineLevel="0" collapsed="false">
      <c r="A6993" s="6" t="s">
        <v>9605</v>
      </c>
      <c r="B6993" s="6" t="s">
        <v>1517</v>
      </c>
      <c r="C6993" s="6" t="s">
        <v>116</v>
      </c>
      <c r="D6993" s="13" t="n">
        <v>45903</v>
      </c>
      <c r="E6993" s="14" t="n">
        <v>5195.22</v>
      </c>
      <c r="F6993" s="14" t="n">
        <v>34643.76</v>
      </c>
      <c r="G6993" s="6" t="s">
        <v>2613</v>
      </c>
    </row>
    <row r="6994" customFormat="false" ht="15" hidden="false" customHeight="true" outlineLevel="0" collapsed="false">
      <c r="A6994" s="6" t="s">
        <v>9606</v>
      </c>
      <c r="B6994" s="6" t="s">
        <v>1517</v>
      </c>
      <c r="C6994" s="6" t="s">
        <v>116</v>
      </c>
      <c r="D6994" s="13" t="n">
        <v>45910</v>
      </c>
      <c r="E6994" s="14" t="n">
        <v>1978.02</v>
      </c>
      <c r="F6994" s="14" t="n">
        <v>36621.78</v>
      </c>
      <c r="G6994" s="6" t="s">
        <v>2613</v>
      </c>
    </row>
    <row r="6995" customFormat="false" ht="15" hidden="false" customHeight="true" outlineLevel="0" collapsed="false">
      <c r="A6995" s="6" t="s">
        <v>9607</v>
      </c>
      <c r="B6995" s="6" t="s">
        <v>1519</v>
      </c>
      <c r="C6995" s="6" t="s">
        <v>128</v>
      </c>
      <c r="D6995" s="13" t="n">
        <v>44687</v>
      </c>
      <c r="E6995" s="14" t="n">
        <v>7341.49</v>
      </c>
      <c r="F6995" s="14" t="n">
        <v>7341.49</v>
      </c>
      <c r="G6995" s="6" t="s">
        <v>2613</v>
      </c>
    </row>
    <row r="6996" customFormat="false" ht="15" hidden="false" customHeight="true" outlineLevel="0" collapsed="false">
      <c r="A6996" s="6" t="s">
        <v>9608</v>
      </c>
      <c r="B6996" s="6" t="s">
        <v>1519</v>
      </c>
      <c r="C6996" s="6" t="s">
        <v>128</v>
      </c>
      <c r="D6996" s="13" t="n">
        <v>44694</v>
      </c>
      <c r="E6996" s="14" t="n">
        <v>8520.16</v>
      </c>
      <c r="F6996" s="14" t="n">
        <v>15861.65</v>
      </c>
      <c r="G6996" s="6" t="s">
        <v>2613</v>
      </c>
    </row>
    <row r="6997" customFormat="false" ht="15" hidden="false" customHeight="true" outlineLevel="0" collapsed="false">
      <c r="A6997" s="6" t="s">
        <v>9609</v>
      </c>
      <c r="B6997" s="6" t="s">
        <v>1519</v>
      </c>
      <c r="C6997" s="6" t="s">
        <v>128</v>
      </c>
      <c r="D6997" s="13" t="n">
        <v>44701</v>
      </c>
      <c r="E6997" s="14" t="n">
        <v>6730.01</v>
      </c>
      <c r="F6997" s="14" t="n">
        <v>22591.66</v>
      </c>
      <c r="G6997" s="6" t="s">
        <v>2613</v>
      </c>
    </row>
    <row r="6998" customFormat="false" ht="15" hidden="false" customHeight="true" outlineLevel="0" collapsed="false">
      <c r="A6998" s="6" t="s">
        <v>9610</v>
      </c>
      <c r="B6998" s="6" t="s">
        <v>1519</v>
      </c>
      <c r="C6998" s="6" t="s">
        <v>128</v>
      </c>
      <c r="D6998" s="13" t="n">
        <v>44708</v>
      </c>
      <c r="E6998" s="14" t="n">
        <v>7315.86</v>
      </c>
      <c r="F6998" s="14" t="n">
        <v>29907.52</v>
      </c>
      <c r="G6998" s="6" t="s">
        <v>2613</v>
      </c>
    </row>
    <row r="6999" customFormat="false" ht="15" hidden="false" customHeight="true" outlineLevel="0" collapsed="false">
      <c r="A6999" s="6" t="s">
        <v>9611</v>
      </c>
      <c r="B6999" s="6" t="s">
        <v>1519</v>
      </c>
      <c r="C6999" s="6" t="s">
        <v>128</v>
      </c>
      <c r="D6999" s="13" t="n">
        <v>44715</v>
      </c>
      <c r="E6999" s="14" t="n">
        <v>6953.22</v>
      </c>
      <c r="F6999" s="14" t="n">
        <v>36860.74</v>
      </c>
      <c r="G6999" s="6" t="s">
        <v>2613</v>
      </c>
    </row>
    <row r="7000" customFormat="false" ht="15" hidden="false" customHeight="true" outlineLevel="0" collapsed="false">
      <c r="A7000" s="6" t="s">
        <v>9612</v>
      </c>
      <c r="B7000" s="6" t="s">
        <v>1519</v>
      </c>
      <c r="C7000" s="6" t="s">
        <v>128</v>
      </c>
      <c r="D7000" s="13" t="n">
        <v>44722</v>
      </c>
      <c r="E7000" s="14" t="n">
        <v>6841.13</v>
      </c>
      <c r="F7000" s="14" t="n">
        <v>43701.87</v>
      </c>
      <c r="G7000" s="6" t="s">
        <v>2623</v>
      </c>
    </row>
    <row r="7001" customFormat="false" ht="15" hidden="false" customHeight="true" outlineLevel="0" collapsed="false">
      <c r="A7001" s="6" t="s">
        <v>9613</v>
      </c>
      <c r="B7001" s="6" t="s">
        <v>1521</v>
      </c>
      <c r="C7001" s="6" t="s">
        <v>116</v>
      </c>
      <c r="D7001" s="13" t="n">
        <v>45863</v>
      </c>
      <c r="E7001" s="14" t="n">
        <v>3140.8</v>
      </c>
      <c r="F7001" s="14" t="n">
        <v>3140.8</v>
      </c>
      <c r="G7001" s="6" t="s">
        <v>2613</v>
      </c>
    </row>
    <row r="7002" customFormat="false" ht="15" hidden="false" customHeight="true" outlineLevel="0" collapsed="false">
      <c r="A7002" s="6" t="s">
        <v>9614</v>
      </c>
      <c r="B7002" s="6" t="s">
        <v>1521</v>
      </c>
      <c r="C7002" s="6" t="s">
        <v>116</v>
      </c>
      <c r="D7002" s="13" t="n">
        <v>45870</v>
      </c>
      <c r="E7002" s="14" t="n">
        <v>2057.5</v>
      </c>
      <c r="F7002" s="14" t="n">
        <v>5198.3</v>
      </c>
      <c r="G7002" s="6" t="s">
        <v>2613</v>
      </c>
    </row>
    <row r="7003" customFormat="false" ht="15" hidden="false" customHeight="true" outlineLevel="0" collapsed="false">
      <c r="A7003" s="6" t="s">
        <v>9615</v>
      </c>
      <c r="B7003" s="6" t="s">
        <v>1521</v>
      </c>
      <c r="C7003" s="6" t="s">
        <v>116</v>
      </c>
      <c r="D7003" s="13" t="n">
        <v>45877</v>
      </c>
      <c r="E7003" s="14" t="n">
        <v>3382.58</v>
      </c>
      <c r="F7003" s="14" t="n">
        <v>8580.88</v>
      </c>
      <c r="G7003" s="6" t="s">
        <v>2613</v>
      </c>
    </row>
    <row r="7004" customFormat="false" ht="15" hidden="false" customHeight="true" outlineLevel="0" collapsed="false">
      <c r="A7004" s="6" t="s">
        <v>9616</v>
      </c>
      <c r="B7004" s="6" t="s">
        <v>1521</v>
      </c>
      <c r="C7004" s="6" t="s">
        <v>116</v>
      </c>
      <c r="D7004" s="13" t="n">
        <v>45884</v>
      </c>
      <c r="E7004" s="14" t="n">
        <v>3374.19</v>
      </c>
      <c r="F7004" s="14" t="n">
        <v>11955.07</v>
      </c>
      <c r="G7004" s="6" t="s">
        <v>2613</v>
      </c>
    </row>
    <row r="7005" customFormat="false" ht="15" hidden="false" customHeight="true" outlineLevel="0" collapsed="false">
      <c r="A7005" s="6" t="s">
        <v>9617</v>
      </c>
      <c r="B7005" s="6" t="s">
        <v>1521</v>
      </c>
      <c r="C7005" s="6" t="s">
        <v>116</v>
      </c>
      <c r="D7005" s="13" t="n">
        <v>45891</v>
      </c>
      <c r="E7005" s="14" t="n">
        <v>3714.52</v>
      </c>
      <c r="F7005" s="14" t="n">
        <v>15669.59</v>
      </c>
      <c r="G7005" s="6" t="s">
        <v>2623</v>
      </c>
    </row>
    <row r="7006" customFormat="false" ht="15" hidden="false" customHeight="true" outlineLevel="0" collapsed="false">
      <c r="A7006" s="6" t="s">
        <v>9618</v>
      </c>
      <c r="B7006" s="6" t="s">
        <v>1521</v>
      </c>
      <c r="C7006" s="6" t="s">
        <v>116</v>
      </c>
      <c r="D7006" s="13" t="n">
        <v>45898</v>
      </c>
      <c r="E7006" s="14" t="n">
        <v>3673.07</v>
      </c>
      <c r="F7006" s="14" t="n">
        <v>19342.66</v>
      </c>
      <c r="G7006" s="6" t="s">
        <v>2613</v>
      </c>
    </row>
    <row r="7007" customFormat="false" ht="15" hidden="false" customHeight="true" outlineLevel="0" collapsed="false">
      <c r="A7007" s="6" t="s">
        <v>9619</v>
      </c>
      <c r="B7007" s="6" t="s">
        <v>1521</v>
      </c>
      <c r="C7007" s="6" t="s">
        <v>116</v>
      </c>
      <c r="D7007" s="13" t="n">
        <v>45905</v>
      </c>
      <c r="E7007" s="14" t="n">
        <v>1880.22</v>
      </c>
      <c r="F7007" s="14" t="n">
        <v>21222.88</v>
      </c>
      <c r="G7007" s="6" t="s">
        <v>2613</v>
      </c>
    </row>
    <row r="7008" customFormat="false" ht="15" hidden="false" customHeight="true" outlineLevel="0" collapsed="false">
      <c r="A7008" s="6" t="s">
        <v>9620</v>
      </c>
      <c r="B7008" s="6" t="s">
        <v>1521</v>
      </c>
      <c r="C7008" s="6" t="s">
        <v>116</v>
      </c>
      <c r="D7008" s="13" t="n">
        <v>45912</v>
      </c>
      <c r="E7008" s="14" t="n">
        <v>2989.57</v>
      </c>
      <c r="F7008" s="14" t="n">
        <v>24212.45</v>
      </c>
      <c r="G7008" s="6" t="s">
        <v>2623</v>
      </c>
    </row>
    <row r="7009" customFormat="false" ht="15" hidden="false" customHeight="true" outlineLevel="0" collapsed="false">
      <c r="A7009" s="6" t="s">
        <v>9621</v>
      </c>
      <c r="B7009" s="6" t="s">
        <v>1523</v>
      </c>
      <c r="C7009" s="6" t="s">
        <v>124</v>
      </c>
      <c r="D7009" s="13" t="n">
        <v>45702</v>
      </c>
      <c r="E7009" s="14" t="n">
        <v>356.76</v>
      </c>
      <c r="F7009" s="14" t="n">
        <v>356.76</v>
      </c>
      <c r="G7009" s="6" t="s">
        <v>2613</v>
      </c>
    </row>
    <row r="7010" customFormat="false" ht="15" hidden="false" customHeight="true" outlineLevel="0" collapsed="false">
      <c r="A7010" s="6" t="s">
        <v>9622</v>
      </c>
      <c r="B7010" s="6" t="s">
        <v>1523</v>
      </c>
      <c r="C7010" s="6" t="s">
        <v>124</v>
      </c>
      <c r="D7010" s="13" t="n">
        <v>45709</v>
      </c>
      <c r="E7010" s="14" t="n">
        <v>491.77</v>
      </c>
      <c r="F7010" s="14" t="n">
        <v>848.53</v>
      </c>
      <c r="G7010" s="6" t="s">
        <v>2613</v>
      </c>
    </row>
    <row r="7011" customFormat="false" ht="15" hidden="false" customHeight="true" outlineLevel="0" collapsed="false">
      <c r="A7011" s="6" t="s">
        <v>9623</v>
      </c>
      <c r="B7011" s="6" t="s">
        <v>1523</v>
      </c>
      <c r="C7011" s="6" t="s">
        <v>124</v>
      </c>
      <c r="D7011" s="13" t="n">
        <v>45716</v>
      </c>
      <c r="E7011" s="14" t="n">
        <v>491.28</v>
      </c>
      <c r="F7011" s="14" t="n">
        <v>1339.81</v>
      </c>
      <c r="G7011" s="6" t="s">
        <v>2613</v>
      </c>
    </row>
    <row r="7012" customFormat="false" ht="15" hidden="false" customHeight="true" outlineLevel="0" collapsed="false">
      <c r="A7012" s="6" t="s">
        <v>9624</v>
      </c>
      <c r="B7012" s="6" t="s">
        <v>1523</v>
      </c>
      <c r="C7012" s="6" t="s">
        <v>124</v>
      </c>
      <c r="D7012" s="13" t="n">
        <v>45723</v>
      </c>
      <c r="E7012" s="14" t="n">
        <v>419.15</v>
      </c>
      <c r="F7012" s="14" t="n">
        <v>1758.96</v>
      </c>
      <c r="G7012" s="6" t="s">
        <v>2623</v>
      </c>
    </row>
    <row r="7013" customFormat="false" ht="15" hidden="false" customHeight="true" outlineLevel="0" collapsed="false">
      <c r="A7013" s="6" t="s">
        <v>9625</v>
      </c>
      <c r="B7013" s="6" t="s">
        <v>1523</v>
      </c>
      <c r="C7013" s="6" t="s">
        <v>124</v>
      </c>
      <c r="D7013" s="13" t="n">
        <v>45730</v>
      </c>
      <c r="E7013" s="14" t="n">
        <v>509.56</v>
      </c>
      <c r="F7013" s="14" t="n">
        <v>2268.52</v>
      </c>
      <c r="G7013" s="6" t="s">
        <v>2623</v>
      </c>
    </row>
    <row r="7014" customFormat="false" ht="15" hidden="false" customHeight="true" outlineLevel="0" collapsed="false">
      <c r="A7014" s="6" t="s">
        <v>9626</v>
      </c>
      <c r="B7014" s="6" t="s">
        <v>1523</v>
      </c>
      <c r="C7014" s="6" t="s">
        <v>124</v>
      </c>
      <c r="D7014" s="13" t="n">
        <v>45737</v>
      </c>
      <c r="E7014" s="14" t="n">
        <v>431.92</v>
      </c>
      <c r="F7014" s="14" t="n">
        <v>2700.44</v>
      </c>
      <c r="G7014" s="6" t="s">
        <v>2613</v>
      </c>
    </row>
    <row r="7015" customFormat="false" ht="15" hidden="false" customHeight="true" outlineLevel="0" collapsed="false">
      <c r="A7015" s="6" t="s">
        <v>9627</v>
      </c>
      <c r="B7015" s="6" t="s">
        <v>1523</v>
      </c>
      <c r="C7015" s="6" t="s">
        <v>124</v>
      </c>
      <c r="D7015" s="13" t="n">
        <v>45744</v>
      </c>
      <c r="E7015" s="14" t="n">
        <v>474.86</v>
      </c>
      <c r="F7015" s="14" t="n">
        <v>3175.3</v>
      </c>
      <c r="G7015" s="6" t="s">
        <v>2613</v>
      </c>
    </row>
    <row r="7016" customFormat="false" ht="15" hidden="false" customHeight="true" outlineLevel="0" collapsed="false">
      <c r="A7016" s="6" t="s">
        <v>9628</v>
      </c>
      <c r="B7016" s="6" t="s">
        <v>1523</v>
      </c>
      <c r="C7016" s="6" t="s">
        <v>124</v>
      </c>
      <c r="D7016" s="13" t="n">
        <v>45751</v>
      </c>
      <c r="E7016" s="14" t="n">
        <v>533.61</v>
      </c>
      <c r="F7016" s="14" t="n">
        <v>3708.91</v>
      </c>
      <c r="G7016" s="6" t="s">
        <v>2613</v>
      </c>
    </row>
    <row r="7017" customFormat="false" ht="15" hidden="false" customHeight="true" outlineLevel="0" collapsed="false">
      <c r="A7017" s="6" t="s">
        <v>9629</v>
      </c>
      <c r="B7017" s="6" t="s">
        <v>1523</v>
      </c>
      <c r="C7017" s="6" t="s">
        <v>124</v>
      </c>
      <c r="D7017" s="13" t="n">
        <v>45758</v>
      </c>
      <c r="E7017" s="14" t="n">
        <v>207.14</v>
      </c>
      <c r="F7017" s="14" t="n">
        <v>3916.05</v>
      </c>
      <c r="G7017" s="6" t="s">
        <v>2613</v>
      </c>
    </row>
    <row r="7018" customFormat="false" ht="15" hidden="false" customHeight="true" outlineLevel="0" collapsed="false">
      <c r="A7018" s="6" t="s">
        <v>9630</v>
      </c>
      <c r="B7018" s="6" t="s">
        <v>1525</v>
      </c>
      <c r="C7018" s="6" t="s">
        <v>116</v>
      </c>
      <c r="D7018" s="13" t="n">
        <v>45015</v>
      </c>
      <c r="E7018" s="14" t="n">
        <v>5138.94</v>
      </c>
      <c r="F7018" s="14" t="n">
        <v>5138.94</v>
      </c>
      <c r="G7018" s="6" t="s">
        <v>2613</v>
      </c>
    </row>
    <row r="7019" customFormat="false" ht="15" hidden="false" customHeight="true" outlineLevel="0" collapsed="false">
      <c r="A7019" s="6" t="s">
        <v>9631</v>
      </c>
      <c r="B7019" s="6" t="s">
        <v>1525</v>
      </c>
      <c r="C7019" s="6" t="s">
        <v>116</v>
      </c>
      <c r="D7019" s="13" t="n">
        <v>45022</v>
      </c>
      <c r="E7019" s="14" t="n">
        <v>5642.77</v>
      </c>
      <c r="F7019" s="14" t="n">
        <v>10781.71</v>
      </c>
      <c r="G7019" s="6" t="s">
        <v>2613</v>
      </c>
    </row>
    <row r="7020" customFormat="false" ht="15" hidden="false" customHeight="true" outlineLevel="0" collapsed="false">
      <c r="A7020" s="6" t="s">
        <v>9632</v>
      </c>
      <c r="B7020" s="6" t="s">
        <v>1525</v>
      </c>
      <c r="C7020" s="6" t="s">
        <v>116</v>
      </c>
      <c r="D7020" s="13" t="n">
        <v>45029</v>
      </c>
      <c r="E7020" s="14" t="n">
        <v>6153.78</v>
      </c>
      <c r="F7020" s="14" t="n">
        <v>16935.49</v>
      </c>
      <c r="G7020" s="6" t="s">
        <v>2613</v>
      </c>
    </row>
    <row r="7021" customFormat="false" ht="15" hidden="false" customHeight="true" outlineLevel="0" collapsed="false">
      <c r="A7021" s="6" t="s">
        <v>9633</v>
      </c>
      <c r="B7021" s="6" t="s">
        <v>1525</v>
      </c>
      <c r="C7021" s="6" t="s">
        <v>116</v>
      </c>
      <c r="D7021" s="13" t="n">
        <v>45036</v>
      </c>
      <c r="E7021" s="14" t="n">
        <v>5182</v>
      </c>
      <c r="F7021" s="14" t="n">
        <v>22117.49</v>
      </c>
      <c r="G7021" s="6" t="s">
        <v>2613</v>
      </c>
    </row>
    <row r="7022" customFormat="false" ht="15" hidden="false" customHeight="true" outlineLevel="0" collapsed="false">
      <c r="A7022" s="6" t="s">
        <v>9634</v>
      </c>
      <c r="B7022" s="6" t="s">
        <v>1525</v>
      </c>
      <c r="C7022" s="6" t="s">
        <v>116</v>
      </c>
      <c r="D7022" s="13" t="n">
        <v>45043</v>
      </c>
      <c r="E7022" s="14" t="n">
        <v>5085.92</v>
      </c>
      <c r="F7022" s="14" t="n">
        <v>27203.41</v>
      </c>
      <c r="G7022" s="6" t="s">
        <v>2613</v>
      </c>
    </row>
    <row r="7023" customFormat="false" ht="15" hidden="false" customHeight="true" outlineLevel="0" collapsed="false">
      <c r="A7023" s="6" t="s">
        <v>9635</v>
      </c>
      <c r="B7023" s="6" t="s">
        <v>1525</v>
      </c>
      <c r="C7023" s="6" t="s">
        <v>116</v>
      </c>
      <c r="D7023" s="13" t="n">
        <v>45050</v>
      </c>
      <c r="E7023" s="14" t="n">
        <v>5536.87</v>
      </c>
      <c r="F7023" s="14" t="n">
        <v>32740.28</v>
      </c>
      <c r="G7023" s="6" t="s">
        <v>2613</v>
      </c>
    </row>
    <row r="7024" customFormat="false" ht="15" hidden="false" customHeight="true" outlineLevel="0" collapsed="false">
      <c r="A7024" s="6" t="s">
        <v>9636</v>
      </c>
      <c r="B7024" s="6" t="s">
        <v>1525</v>
      </c>
      <c r="C7024" s="6" t="s">
        <v>116</v>
      </c>
      <c r="D7024" s="13" t="n">
        <v>45057</v>
      </c>
      <c r="E7024" s="14" t="n">
        <v>5431.86</v>
      </c>
      <c r="F7024" s="14" t="n">
        <v>38172.14</v>
      </c>
      <c r="G7024" s="6" t="s">
        <v>2613</v>
      </c>
    </row>
    <row r="7025" customFormat="false" ht="15" hidden="false" customHeight="true" outlineLevel="0" collapsed="false">
      <c r="A7025" s="6" t="s">
        <v>9637</v>
      </c>
      <c r="B7025" s="6" t="s">
        <v>1525</v>
      </c>
      <c r="C7025" s="6" t="s">
        <v>116</v>
      </c>
      <c r="D7025" s="13" t="n">
        <v>45064</v>
      </c>
      <c r="E7025" s="14" t="n">
        <v>2954.85</v>
      </c>
      <c r="F7025" s="14" t="n">
        <v>41126.99</v>
      </c>
      <c r="G7025" s="6" t="s">
        <v>2613</v>
      </c>
    </row>
    <row r="7026" customFormat="false" ht="15" hidden="false" customHeight="true" outlineLevel="0" collapsed="false">
      <c r="A7026" s="6" t="s">
        <v>9638</v>
      </c>
      <c r="B7026" s="6" t="s">
        <v>1525</v>
      </c>
      <c r="C7026" s="6" t="s">
        <v>116</v>
      </c>
      <c r="D7026" s="13" t="n">
        <v>45071</v>
      </c>
      <c r="E7026" s="14" t="n">
        <v>4681.51</v>
      </c>
      <c r="F7026" s="14" t="n">
        <v>45808.5</v>
      </c>
      <c r="G7026" s="6" t="s">
        <v>2613</v>
      </c>
    </row>
    <row r="7027" customFormat="false" ht="15" hidden="false" customHeight="true" outlineLevel="0" collapsed="false">
      <c r="A7027" s="6" t="s">
        <v>9639</v>
      </c>
      <c r="B7027" s="6" t="s">
        <v>1525</v>
      </c>
      <c r="C7027" s="6" t="s">
        <v>116</v>
      </c>
      <c r="D7027" s="13" t="n">
        <v>45078</v>
      </c>
      <c r="E7027" s="14" t="n">
        <v>6402.11</v>
      </c>
      <c r="F7027" s="14" t="n">
        <v>52210.61</v>
      </c>
      <c r="G7027" s="6" t="s">
        <v>2613</v>
      </c>
    </row>
    <row r="7028" customFormat="false" ht="15" hidden="false" customHeight="true" outlineLevel="0" collapsed="false">
      <c r="A7028" s="6" t="s">
        <v>9640</v>
      </c>
      <c r="B7028" s="6" t="s">
        <v>1525</v>
      </c>
      <c r="C7028" s="6" t="s">
        <v>116</v>
      </c>
      <c r="D7028" s="13" t="n">
        <v>45085</v>
      </c>
      <c r="E7028" s="14" t="n">
        <v>3935.91</v>
      </c>
      <c r="F7028" s="14" t="n">
        <v>56146.52</v>
      </c>
      <c r="G7028" s="6" t="s">
        <v>2613</v>
      </c>
    </row>
    <row r="7029" customFormat="false" ht="15" hidden="false" customHeight="true" outlineLevel="0" collapsed="false">
      <c r="A7029" s="6" t="s">
        <v>9641</v>
      </c>
      <c r="B7029" s="6" t="s">
        <v>1525</v>
      </c>
      <c r="C7029" s="6" t="s">
        <v>116</v>
      </c>
      <c r="D7029" s="13" t="n">
        <v>45092</v>
      </c>
      <c r="E7029" s="14" t="n">
        <v>2979.74</v>
      </c>
      <c r="F7029" s="14" t="n">
        <v>59126.26</v>
      </c>
      <c r="G7029" s="6" t="s">
        <v>2613</v>
      </c>
    </row>
    <row r="7030" customFormat="false" ht="15" hidden="false" customHeight="true" outlineLevel="0" collapsed="false">
      <c r="A7030" s="6" t="s">
        <v>9642</v>
      </c>
      <c r="B7030" s="6" t="s">
        <v>1525</v>
      </c>
      <c r="C7030" s="6" t="s">
        <v>116</v>
      </c>
      <c r="D7030" s="13" t="n">
        <v>45099</v>
      </c>
      <c r="E7030" s="14" t="n">
        <v>3169.35</v>
      </c>
      <c r="F7030" s="14" t="n">
        <v>62295.61</v>
      </c>
      <c r="G7030" s="6" t="s">
        <v>2613</v>
      </c>
    </row>
    <row r="7031" customFormat="false" ht="15" hidden="false" customHeight="true" outlineLevel="0" collapsed="false">
      <c r="A7031" s="6" t="s">
        <v>9643</v>
      </c>
      <c r="B7031" s="6" t="s">
        <v>1525</v>
      </c>
      <c r="C7031" s="6" t="s">
        <v>116</v>
      </c>
      <c r="D7031" s="13" t="n">
        <v>45106</v>
      </c>
      <c r="E7031" s="14" t="n">
        <v>3631.96</v>
      </c>
      <c r="F7031" s="14" t="n">
        <v>65927.57</v>
      </c>
      <c r="G7031" s="6" t="s">
        <v>2613</v>
      </c>
    </row>
    <row r="7032" customFormat="false" ht="15" hidden="false" customHeight="true" outlineLevel="0" collapsed="false">
      <c r="A7032" s="6" t="s">
        <v>9644</v>
      </c>
      <c r="B7032" s="6" t="s">
        <v>1525</v>
      </c>
      <c r="C7032" s="6" t="s">
        <v>116</v>
      </c>
      <c r="D7032" s="13" t="n">
        <v>45113</v>
      </c>
      <c r="E7032" s="14" t="n">
        <v>3787.55</v>
      </c>
      <c r="F7032" s="14" t="n">
        <v>69715.12</v>
      </c>
      <c r="G7032" s="6" t="s">
        <v>2613</v>
      </c>
    </row>
    <row r="7033" customFormat="false" ht="15" hidden="false" customHeight="true" outlineLevel="0" collapsed="false">
      <c r="A7033" s="6" t="s">
        <v>9645</v>
      </c>
      <c r="B7033" s="6" t="s">
        <v>1527</v>
      </c>
      <c r="C7033" s="6" t="s">
        <v>112</v>
      </c>
      <c r="D7033" s="13" t="n">
        <v>45762</v>
      </c>
      <c r="E7033" s="14" t="n">
        <v>5109.78</v>
      </c>
      <c r="F7033" s="14" t="n">
        <v>5109.78</v>
      </c>
      <c r="G7033" s="6" t="s">
        <v>2613</v>
      </c>
    </row>
    <row r="7034" customFormat="false" ht="15" hidden="false" customHeight="true" outlineLevel="0" collapsed="false">
      <c r="A7034" s="6" t="s">
        <v>9646</v>
      </c>
      <c r="B7034" s="6" t="s">
        <v>1527</v>
      </c>
      <c r="C7034" s="6" t="s">
        <v>112</v>
      </c>
      <c r="D7034" s="13" t="n">
        <v>45769</v>
      </c>
      <c r="E7034" s="14" t="n">
        <v>3420.2</v>
      </c>
      <c r="F7034" s="14" t="n">
        <v>8529.98</v>
      </c>
      <c r="G7034" s="6" t="s">
        <v>2613</v>
      </c>
    </row>
    <row r="7035" customFormat="false" ht="15" hidden="false" customHeight="true" outlineLevel="0" collapsed="false">
      <c r="A7035" s="6" t="s">
        <v>9647</v>
      </c>
      <c r="B7035" s="6" t="s">
        <v>1527</v>
      </c>
      <c r="C7035" s="6" t="s">
        <v>112</v>
      </c>
      <c r="D7035" s="13" t="n">
        <v>45776</v>
      </c>
      <c r="E7035" s="14" t="n">
        <v>4180.86</v>
      </c>
      <c r="F7035" s="14" t="n">
        <v>12710.84</v>
      </c>
      <c r="G7035" s="6" t="s">
        <v>2613</v>
      </c>
    </row>
    <row r="7036" customFormat="false" ht="15" hidden="false" customHeight="true" outlineLevel="0" collapsed="false">
      <c r="A7036" s="6" t="s">
        <v>9648</v>
      </c>
      <c r="B7036" s="6" t="s">
        <v>1527</v>
      </c>
      <c r="C7036" s="6" t="s">
        <v>112</v>
      </c>
      <c r="D7036" s="13" t="n">
        <v>45783</v>
      </c>
      <c r="E7036" s="14" t="n">
        <v>6616.59</v>
      </c>
      <c r="F7036" s="14" t="n">
        <v>19327.43</v>
      </c>
      <c r="G7036" s="6" t="s">
        <v>2613</v>
      </c>
    </row>
    <row r="7037" customFormat="false" ht="15" hidden="false" customHeight="true" outlineLevel="0" collapsed="false">
      <c r="A7037" s="6" t="s">
        <v>9649</v>
      </c>
      <c r="B7037" s="6" t="s">
        <v>1527</v>
      </c>
      <c r="C7037" s="6" t="s">
        <v>112</v>
      </c>
      <c r="D7037" s="13" t="n">
        <v>45790</v>
      </c>
      <c r="E7037" s="14" t="n">
        <v>4713.15</v>
      </c>
      <c r="F7037" s="14" t="n">
        <v>24040.58</v>
      </c>
      <c r="G7037" s="6" t="s">
        <v>2613</v>
      </c>
    </row>
    <row r="7038" customFormat="false" ht="15" hidden="false" customHeight="true" outlineLevel="0" collapsed="false">
      <c r="A7038" s="6" t="s">
        <v>9650</v>
      </c>
      <c r="B7038" s="6" t="s">
        <v>1527</v>
      </c>
      <c r="C7038" s="6" t="s">
        <v>112</v>
      </c>
      <c r="D7038" s="13" t="n">
        <v>45797</v>
      </c>
      <c r="E7038" s="14" t="n">
        <v>4314.03</v>
      </c>
      <c r="F7038" s="14" t="n">
        <v>28354.61</v>
      </c>
      <c r="G7038" s="6" t="s">
        <v>2613</v>
      </c>
    </row>
    <row r="7039" customFormat="false" ht="15" hidden="false" customHeight="true" outlineLevel="0" collapsed="false">
      <c r="A7039" s="6" t="s">
        <v>9651</v>
      </c>
      <c r="B7039" s="6" t="s">
        <v>1527</v>
      </c>
      <c r="C7039" s="6" t="s">
        <v>112</v>
      </c>
      <c r="D7039" s="13" t="n">
        <v>45804</v>
      </c>
      <c r="E7039" s="14" t="n">
        <v>5638.37</v>
      </c>
      <c r="F7039" s="14" t="n">
        <v>33992.98</v>
      </c>
      <c r="G7039" s="6" t="s">
        <v>2613</v>
      </c>
    </row>
    <row r="7040" customFormat="false" ht="15" hidden="false" customHeight="true" outlineLevel="0" collapsed="false">
      <c r="A7040" s="6" t="s">
        <v>9652</v>
      </c>
      <c r="B7040" s="6" t="s">
        <v>1527</v>
      </c>
      <c r="C7040" s="6" t="s">
        <v>112</v>
      </c>
      <c r="D7040" s="13" t="n">
        <v>45811</v>
      </c>
      <c r="E7040" s="14" t="n">
        <v>7087.76</v>
      </c>
      <c r="F7040" s="14" t="n">
        <v>41080.74</v>
      </c>
      <c r="G7040" s="6" t="s">
        <v>2613</v>
      </c>
    </row>
    <row r="7041" customFormat="false" ht="15" hidden="false" customHeight="true" outlineLevel="0" collapsed="false">
      <c r="A7041" s="6" t="s">
        <v>9653</v>
      </c>
      <c r="B7041" s="6" t="s">
        <v>1527</v>
      </c>
      <c r="C7041" s="6" t="s">
        <v>112</v>
      </c>
      <c r="D7041" s="13" t="n">
        <v>45818</v>
      </c>
      <c r="E7041" s="14" t="n">
        <v>6680.9</v>
      </c>
      <c r="F7041" s="14" t="n">
        <v>47761.64</v>
      </c>
      <c r="G7041" s="6" t="s">
        <v>2613</v>
      </c>
    </row>
    <row r="7042" customFormat="false" ht="15" hidden="false" customHeight="true" outlineLevel="0" collapsed="false">
      <c r="A7042" s="6" t="s">
        <v>9654</v>
      </c>
      <c r="B7042" s="6" t="s">
        <v>1527</v>
      </c>
      <c r="C7042" s="6" t="s">
        <v>112</v>
      </c>
      <c r="D7042" s="13" t="n">
        <v>45825</v>
      </c>
      <c r="E7042" s="14" t="n">
        <v>6837.65</v>
      </c>
      <c r="F7042" s="14" t="n">
        <v>54599.29</v>
      </c>
      <c r="G7042" s="6" t="s">
        <v>2613</v>
      </c>
    </row>
    <row r="7043" customFormat="false" ht="15" hidden="false" customHeight="true" outlineLevel="0" collapsed="false">
      <c r="A7043" s="6" t="s">
        <v>9655</v>
      </c>
      <c r="B7043" s="6" t="s">
        <v>1527</v>
      </c>
      <c r="C7043" s="6" t="s">
        <v>112</v>
      </c>
      <c r="D7043" s="13" t="n">
        <v>45832</v>
      </c>
      <c r="E7043" s="14" t="n">
        <v>6659.61</v>
      </c>
      <c r="F7043" s="14" t="n">
        <v>61258.9</v>
      </c>
      <c r="G7043" s="6" t="s">
        <v>2623</v>
      </c>
    </row>
    <row r="7044" customFormat="false" ht="15" hidden="false" customHeight="true" outlineLevel="0" collapsed="false">
      <c r="A7044" s="6" t="s">
        <v>9656</v>
      </c>
      <c r="B7044" s="6" t="s">
        <v>1527</v>
      </c>
      <c r="C7044" s="6" t="s">
        <v>112</v>
      </c>
      <c r="D7044" s="13" t="n">
        <v>45839</v>
      </c>
      <c r="E7044" s="14" t="n">
        <v>4120.44</v>
      </c>
      <c r="F7044" s="14" t="n">
        <v>65379.34</v>
      </c>
      <c r="G7044" s="6" t="s">
        <v>2613</v>
      </c>
    </row>
    <row r="7045" customFormat="false" ht="15" hidden="false" customHeight="true" outlineLevel="0" collapsed="false">
      <c r="A7045" s="6" t="s">
        <v>9657</v>
      </c>
      <c r="B7045" s="6" t="s">
        <v>1527</v>
      </c>
      <c r="C7045" s="6" t="s">
        <v>112</v>
      </c>
      <c r="D7045" s="13" t="n">
        <v>45846</v>
      </c>
      <c r="E7045" s="14" t="n">
        <v>3796.38</v>
      </c>
      <c r="F7045" s="14" t="n">
        <v>69175.72</v>
      </c>
      <c r="G7045" s="6" t="s">
        <v>2613</v>
      </c>
    </row>
    <row r="7046" customFormat="false" ht="15" hidden="false" customHeight="true" outlineLevel="0" collapsed="false">
      <c r="A7046" s="6" t="s">
        <v>9658</v>
      </c>
      <c r="B7046" s="6" t="s">
        <v>1529</v>
      </c>
      <c r="C7046" s="6" t="s">
        <v>116</v>
      </c>
      <c r="D7046" s="13" t="n">
        <v>45939</v>
      </c>
      <c r="E7046" s="14" t="n">
        <v>3190.48</v>
      </c>
      <c r="F7046" s="14" t="n">
        <v>3190.48</v>
      </c>
      <c r="G7046" s="6" t="s">
        <v>2613</v>
      </c>
    </row>
    <row r="7047" customFormat="false" ht="15" hidden="false" customHeight="true" outlineLevel="0" collapsed="false">
      <c r="A7047" s="6" t="s">
        <v>9659</v>
      </c>
      <c r="B7047" s="6" t="s">
        <v>1529</v>
      </c>
      <c r="C7047" s="6" t="s">
        <v>116</v>
      </c>
      <c r="D7047" s="13" t="n">
        <v>45946</v>
      </c>
      <c r="E7047" s="14" t="n">
        <v>4889.78</v>
      </c>
      <c r="F7047" s="14" t="n">
        <v>8080.26</v>
      </c>
      <c r="G7047" s="6" t="s">
        <v>2613</v>
      </c>
    </row>
    <row r="7048" customFormat="false" ht="15" hidden="false" customHeight="true" outlineLevel="0" collapsed="false">
      <c r="A7048" s="6" t="s">
        <v>9660</v>
      </c>
      <c r="B7048" s="6" t="s">
        <v>1529</v>
      </c>
      <c r="C7048" s="6" t="s">
        <v>116</v>
      </c>
      <c r="D7048" s="13" t="n">
        <v>45953</v>
      </c>
      <c r="E7048" s="14" t="n">
        <v>5454.02</v>
      </c>
      <c r="F7048" s="14" t="n">
        <v>13534.28</v>
      </c>
      <c r="G7048" s="6" t="s">
        <v>2613</v>
      </c>
    </row>
    <row r="7049" customFormat="false" ht="15" hidden="false" customHeight="true" outlineLevel="0" collapsed="false">
      <c r="A7049" s="6" t="s">
        <v>9661</v>
      </c>
      <c r="B7049" s="6" t="s">
        <v>1529</v>
      </c>
      <c r="C7049" s="6" t="s">
        <v>116</v>
      </c>
      <c r="D7049" s="13" t="n">
        <v>45960</v>
      </c>
      <c r="E7049" s="14" t="n">
        <v>5899.08</v>
      </c>
      <c r="F7049" s="14" t="n">
        <v>19433.36</v>
      </c>
      <c r="G7049" s="6" t="s">
        <v>2613</v>
      </c>
    </row>
    <row r="7050" customFormat="false" ht="15" hidden="false" customHeight="true" outlineLevel="0" collapsed="false">
      <c r="A7050" s="6" t="s">
        <v>9662</v>
      </c>
      <c r="B7050" s="6" t="s">
        <v>1529</v>
      </c>
      <c r="C7050" s="6" t="s">
        <v>116</v>
      </c>
      <c r="D7050" s="13" t="n">
        <v>45967</v>
      </c>
      <c r="E7050" s="14" t="n">
        <v>4175.59</v>
      </c>
      <c r="F7050" s="14" t="n">
        <v>23608.95</v>
      </c>
      <c r="G7050" s="6" t="s">
        <v>2613</v>
      </c>
    </row>
    <row r="7051" customFormat="false" ht="15" hidden="false" customHeight="true" outlineLevel="0" collapsed="false">
      <c r="A7051" s="6" t="s">
        <v>9663</v>
      </c>
      <c r="B7051" s="6" t="s">
        <v>1529</v>
      </c>
      <c r="C7051" s="6" t="s">
        <v>116</v>
      </c>
      <c r="D7051" s="13" t="n">
        <v>45974</v>
      </c>
      <c r="E7051" s="14" t="n">
        <v>3936.66</v>
      </c>
      <c r="F7051" s="14" t="n">
        <v>27545.61</v>
      </c>
      <c r="G7051" s="6" t="s">
        <v>2613</v>
      </c>
    </row>
    <row r="7052" customFormat="false" ht="15" hidden="false" customHeight="true" outlineLevel="0" collapsed="false">
      <c r="A7052" s="6" t="s">
        <v>9664</v>
      </c>
      <c r="B7052" s="6" t="s">
        <v>1529</v>
      </c>
      <c r="C7052" s="6" t="s">
        <v>116</v>
      </c>
      <c r="D7052" s="13" t="n">
        <v>45981</v>
      </c>
      <c r="E7052" s="14" t="n">
        <v>5868.39</v>
      </c>
      <c r="F7052" s="14" t="n">
        <v>33414</v>
      </c>
      <c r="G7052" s="6" t="s">
        <v>2613</v>
      </c>
    </row>
    <row r="7053" customFormat="false" ht="15" hidden="false" customHeight="true" outlineLevel="0" collapsed="false">
      <c r="A7053" s="6" t="s">
        <v>9665</v>
      </c>
      <c r="B7053" s="6" t="s">
        <v>1529</v>
      </c>
      <c r="C7053" s="6" t="s">
        <v>116</v>
      </c>
      <c r="D7053" s="13" t="n">
        <v>45988</v>
      </c>
      <c r="E7053" s="14" t="n">
        <v>3925.13</v>
      </c>
      <c r="F7053" s="14" t="n">
        <v>37339.13</v>
      </c>
      <c r="G7053" s="6" t="s">
        <v>2613</v>
      </c>
    </row>
    <row r="7054" customFormat="false" ht="15" hidden="false" customHeight="true" outlineLevel="0" collapsed="false">
      <c r="A7054" s="6" t="s">
        <v>9666</v>
      </c>
      <c r="B7054" s="6" t="s">
        <v>1531</v>
      </c>
      <c r="C7054" s="6" t="s">
        <v>124</v>
      </c>
      <c r="D7054" s="13" t="n">
        <v>44993</v>
      </c>
      <c r="E7054" s="14" t="n">
        <v>5736.66</v>
      </c>
      <c r="F7054" s="14" t="n">
        <v>5736.66</v>
      </c>
      <c r="G7054" s="6" t="s">
        <v>2613</v>
      </c>
    </row>
    <row r="7055" customFormat="false" ht="15" hidden="false" customHeight="true" outlineLevel="0" collapsed="false">
      <c r="A7055" s="6" t="s">
        <v>9667</v>
      </c>
      <c r="B7055" s="6" t="s">
        <v>1531</v>
      </c>
      <c r="C7055" s="6" t="s">
        <v>124</v>
      </c>
      <c r="D7055" s="13" t="n">
        <v>45000</v>
      </c>
      <c r="E7055" s="14" t="n">
        <v>4091.78</v>
      </c>
      <c r="F7055" s="14" t="n">
        <v>9828.44</v>
      </c>
      <c r="G7055" s="6" t="s">
        <v>2613</v>
      </c>
    </row>
    <row r="7056" customFormat="false" ht="15" hidden="false" customHeight="true" outlineLevel="0" collapsed="false">
      <c r="A7056" s="6" t="s">
        <v>9668</v>
      </c>
      <c r="B7056" s="6" t="s">
        <v>1531</v>
      </c>
      <c r="C7056" s="6" t="s">
        <v>124</v>
      </c>
      <c r="D7056" s="13" t="n">
        <v>45007</v>
      </c>
      <c r="E7056" s="14" t="n">
        <v>3935.84</v>
      </c>
      <c r="F7056" s="14" t="n">
        <v>13764.28</v>
      </c>
      <c r="G7056" s="6" t="s">
        <v>2613</v>
      </c>
    </row>
    <row r="7057" customFormat="false" ht="15" hidden="false" customHeight="true" outlineLevel="0" collapsed="false">
      <c r="A7057" s="6" t="s">
        <v>9669</v>
      </c>
      <c r="B7057" s="6" t="s">
        <v>1531</v>
      </c>
      <c r="C7057" s="6" t="s">
        <v>124</v>
      </c>
      <c r="D7057" s="13" t="n">
        <v>45014</v>
      </c>
      <c r="E7057" s="14" t="n">
        <v>3976.66</v>
      </c>
      <c r="F7057" s="14" t="n">
        <v>17740.94</v>
      </c>
      <c r="G7057" s="6" t="s">
        <v>2613</v>
      </c>
    </row>
    <row r="7058" customFormat="false" ht="15" hidden="false" customHeight="true" outlineLevel="0" collapsed="false">
      <c r="A7058" s="6" t="s">
        <v>9670</v>
      </c>
      <c r="B7058" s="6" t="s">
        <v>1531</v>
      </c>
      <c r="C7058" s="6" t="s">
        <v>124</v>
      </c>
      <c r="D7058" s="13" t="n">
        <v>45021</v>
      </c>
      <c r="E7058" s="14" t="n">
        <v>2990.68</v>
      </c>
      <c r="F7058" s="14" t="n">
        <v>20731.62</v>
      </c>
      <c r="G7058" s="6" t="s">
        <v>2613</v>
      </c>
    </row>
    <row r="7059" customFormat="false" ht="15" hidden="false" customHeight="true" outlineLevel="0" collapsed="false">
      <c r="A7059" s="6" t="s">
        <v>9671</v>
      </c>
      <c r="B7059" s="6" t="s">
        <v>1531</v>
      </c>
      <c r="C7059" s="6" t="s">
        <v>124</v>
      </c>
      <c r="D7059" s="13" t="n">
        <v>45028</v>
      </c>
      <c r="E7059" s="14" t="n">
        <v>3656.86</v>
      </c>
      <c r="F7059" s="14" t="n">
        <v>24388.48</v>
      </c>
      <c r="G7059" s="6" t="s">
        <v>2613</v>
      </c>
    </row>
    <row r="7060" customFormat="false" ht="15" hidden="false" customHeight="true" outlineLevel="0" collapsed="false">
      <c r="A7060" s="6" t="s">
        <v>9672</v>
      </c>
      <c r="B7060" s="6" t="s">
        <v>1531</v>
      </c>
      <c r="C7060" s="6" t="s">
        <v>124</v>
      </c>
      <c r="D7060" s="13" t="n">
        <v>45035</v>
      </c>
      <c r="E7060" s="14" t="n">
        <v>6033.19</v>
      </c>
      <c r="F7060" s="14" t="n">
        <v>30421.67</v>
      </c>
      <c r="G7060" s="6" t="s">
        <v>2613</v>
      </c>
    </row>
    <row r="7061" customFormat="false" ht="15" hidden="false" customHeight="true" outlineLevel="0" collapsed="false">
      <c r="A7061" s="6" t="s">
        <v>9673</v>
      </c>
      <c r="B7061" s="6" t="s">
        <v>1531</v>
      </c>
      <c r="C7061" s="6" t="s">
        <v>124</v>
      </c>
      <c r="D7061" s="13" t="n">
        <v>45042</v>
      </c>
      <c r="E7061" s="14" t="n">
        <v>2923.53</v>
      </c>
      <c r="F7061" s="14" t="n">
        <v>33345.2</v>
      </c>
      <c r="G7061" s="6" t="s">
        <v>2623</v>
      </c>
    </row>
    <row r="7062" customFormat="false" ht="15" hidden="false" customHeight="true" outlineLevel="0" collapsed="false">
      <c r="A7062" s="6" t="s">
        <v>9674</v>
      </c>
      <c r="B7062" s="6" t="s">
        <v>1531</v>
      </c>
      <c r="C7062" s="6" t="s">
        <v>124</v>
      </c>
      <c r="D7062" s="13" t="n">
        <v>45049</v>
      </c>
      <c r="E7062" s="14" t="n">
        <v>2742.02</v>
      </c>
      <c r="F7062" s="14" t="n">
        <v>36087.22</v>
      </c>
      <c r="G7062" s="6" t="s">
        <v>2613</v>
      </c>
    </row>
    <row r="7063" customFormat="false" ht="15" hidden="false" customHeight="true" outlineLevel="0" collapsed="false">
      <c r="A7063" s="6" t="s">
        <v>9675</v>
      </c>
      <c r="B7063" s="6" t="s">
        <v>1531</v>
      </c>
      <c r="C7063" s="6" t="s">
        <v>124</v>
      </c>
      <c r="D7063" s="13" t="n">
        <v>45056</v>
      </c>
      <c r="E7063" s="14" t="n">
        <v>3289.82</v>
      </c>
      <c r="F7063" s="14" t="n">
        <v>39377.04</v>
      </c>
      <c r="G7063" s="6" t="s">
        <v>2613</v>
      </c>
    </row>
    <row r="7064" customFormat="false" ht="15" hidden="false" customHeight="true" outlineLevel="0" collapsed="false">
      <c r="A7064" s="6" t="s">
        <v>9676</v>
      </c>
      <c r="B7064" s="6" t="s">
        <v>1531</v>
      </c>
      <c r="C7064" s="6" t="s">
        <v>124</v>
      </c>
      <c r="D7064" s="13" t="n">
        <v>45063</v>
      </c>
      <c r="E7064" s="14" t="n">
        <v>10028.6</v>
      </c>
      <c r="F7064" s="14" t="n">
        <v>49405.64</v>
      </c>
      <c r="G7064" s="6" t="s">
        <v>2623</v>
      </c>
    </row>
    <row r="7065" customFormat="false" ht="15" hidden="false" customHeight="true" outlineLevel="0" collapsed="false">
      <c r="A7065" s="6" t="s">
        <v>9677</v>
      </c>
      <c r="B7065" s="6" t="s">
        <v>1533</v>
      </c>
      <c r="C7065" s="6" t="s">
        <v>128</v>
      </c>
      <c r="D7065" s="13" t="n">
        <v>45360</v>
      </c>
      <c r="E7065" s="14" t="n">
        <v>10861.11</v>
      </c>
      <c r="F7065" s="14" t="n">
        <v>10861.11</v>
      </c>
      <c r="G7065" s="6" t="s">
        <v>2613</v>
      </c>
    </row>
    <row r="7066" customFormat="false" ht="15" hidden="false" customHeight="true" outlineLevel="0" collapsed="false">
      <c r="A7066" s="6" t="s">
        <v>9678</v>
      </c>
      <c r="B7066" s="6" t="s">
        <v>1533</v>
      </c>
      <c r="C7066" s="6" t="s">
        <v>128</v>
      </c>
      <c r="D7066" s="13" t="n">
        <v>45367</v>
      </c>
      <c r="E7066" s="14" t="n">
        <v>7722.96</v>
      </c>
      <c r="F7066" s="14" t="n">
        <v>18584.07</v>
      </c>
      <c r="G7066" s="6" t="s">
        <v>2613</v>
      </c>
    </row>
    <row r="7067" customFormat="false" ht="15" hidden="false" customHeight="true" outlineLevel="0" collapsed="false">
      <c r="A7067" s="6" t="s">
        <v>9679</v>
      </c>
      <c r="B7067" s="6" t="s">
        <v>1533</v>
      </c>
      <c r="C7067" s="6" t="s">
        <v>128</v>
      </c>
      <c r="D7067" s="13" t="n">
        <v>45374</v>
      </c>
      <c r="E7067" s="14" t="n">
        <v>9718.53</v>
      </c>
      <c r="F7067" s="14" t="n">
        <v>28302.6</v>
      </c>
      <c r="G7067" s="6" t="s">
        <v>2623</v>
      </c>
    </row>
    <row r="7068" customFormat="false" ht="15" hidden="false" customHeight="true" outlineLevel="0" collapsed="false">
      <c r="A7068" s="6" t="s">
        <v>9680</v>
      </c>
      <c r="B7068" s="6" t="s">
        <v>1533</v>
      </c>
      <c r="C7068" s="6" t="s">
        <v>128</v>
      </c>
      <c r="D7068" s="13" t="n">
        <v>45381</v>
      </c>
      <c r="E7068" s="14" t="n">
        <v>12199.78</v>
      </c>
      <c r="F7068" s="14" t="n">
        <v>40502.38</v>
      </c>
      <c r="G7068" s="6" t="s">
        <v>2613</v>
      </c>
    </row>
    <row r="7069" customFormat="false" ht="15" hidden="false" customHeight="true" outlineLevel="0" collapsed="false">
      <c r="A7069" s="6" t="s">
        <v>9681</v>
      </c>
      <c r="B7069" s="6" t="s">
        <v>1535</v>
      </c>
      <c r="C7069" s="6" t="s">
        <v>128</v>
      </c>
      <c r="D7069" s="13" t="n">
        <v>45868</v>
      </c>
      <c r="E7069" s="14" t="n">
        <v>1476.93</v>
      </c>
      <c r="F7069" s="14" t="n">
        <v>1476.93</v>
      </c>
      <c r="G7069" s="6" t="s">
        <v>2613</v>
      </c>
    </row>
    <row r="7070" customFormat="false" ht="15" hidden="false" customHeight="true" outlineLevel="0" collapsed="false">
      <c r="A7070" s="6" t="s">
        <v>9682</v>
      </c>
      <c r="B7070" s="6" t="s">
        <v>1535</v>
      </c>
      <c r="C7070" s="6" t="s">
        <v>128</v>
      </c>
      <c r="D7070" s="13" t="n">
        <v>45875</v>
      </c>
      <c r="E7070" s="14" t="n">
        <v>2529.49</v>
      </c>
      <c r="F7070" s="14" t="n">
        <v>4006.42</v>
      </c>
      <c r="G7070" s="6" t="s">
        <v>2613</v>
      </c>
    </row>
    <row r="7071" customFormat="false" ht="15" hidden="false" customHeight="true" outlineLevel="0" collapsed="false">
      <c r="A7071" s="6" t="s">
        <v>9683</v>
      </c>
      <c r="B7071" s="6" t="s">
        <v>1535</v>
      </c>
      <c r="C7071" s="6" t="s">
        <v>128</v>
      </c>
      <c r="D7071" s="13" t="n">
        <v>45882</v>
      </c>
      <c r="E7071" s="14" t="n">
        <v>1775.5</v>
      </c>
      <c r="F7071" s="14" t="n">
        <v>5781.92</v>
      </c>
      <c r="G7071" s="6" t="s">
        <v>2613</v>
      </c>
    </row>
    <row r="7072" customFormat="false" ht="15" hidden="false" customHeight="true" outlineLevel="0" collapsed="false">
      <c r="A7072" s="6" t="s">
        <v>9684</v>
      </c>
      <c r="B7072" s="6" t="s">
        <v>1535</v>
      </c>
      <c r="C7072" s="6" t="s">
        <v>128</v>
      </c>
      <c r="D7072" s="13" t="n">
        <v>45889</v>
      </c>
      <c r="E7072" s="14" t="n">
        <v>1778.24</v>
      </c>
      <c r="F7072" s="14" t="n">
        <v>7560.16</v>
      </c>
      <c r="G7072" s="6" t="s">
        <v>2613</v>
      </c>
    </row>
    <row r="7073" customFormat="false" ht="15" hidden="false" customHeight="true" outlineLevel="0" collapsed="false">
      <c r="A7073" s="6" t="s">
        <v>9685</v>
      </c>
      <c r="B7073" s="6" t="s">
        <v>1535</v>
      </c>
      <c r="C7073" s="6" t="s">
        <v>128</v>
      </c>
      <c r="D7073" s="13" t="n">
        <v>45896</v>
      </c>
      <c r="E7073" s="14" t="n">
        <v>2291.8</v>
      </c>
      <c r="F7073" s="14" t="n">
        <v>9851.96</v>
      </c>
      <c r="G7073" s="6" t="s">
        <v>2613</v>
      </c>
    </row>
    <row r="7074" customFormat="false" ht="15" hidden="false" customHeight="true" outlineLevel="0" collapsed="false">
      <c r="A7074" s="6" t="s">
        <v>9686</v>
      </c>
      <c r="B7074" s="6" t="s">
        <v>1535</v>
      </c>
      <c r="C7074" s="6" t="s">
        <v>128</v>
      </c>
      <c r="D7074" s="13" t="n">
        <v>45903</v>
      </c>
      <c r="E7074" s="14" t="n">
        <v>2136.21</v>
      </c>
      <c r="F7074" s="14" t="n">
        <v>11988.17</v>
      </c>
      <c r="G7074" s="6" t="s">
        <v>2613</v>
      </c>
    </row>
    <row r="7075" customFormat="false" ht="15" hidden="false" customHeight="true" outlineLevel="0" collapsed="false">
      <c r="A7075" s="6" t="s">
        <v>9687</v>
      </c>
      <c r="B7075" s="6" t="s">
        <v>1535</v>
      </c>
      <c r="C7075" s="6" t="s">
        <v>128</v>
      </c>
      <c r="D7075" s="13" t="n">
        <v>45910</v>
      </c>
      <c r="E7075" s="14" t="n">
        <v>2246</v>
      </c>
      <c r="F7075" s="14" t="n">
        <v>14234.17</v>
      </c>
      <c r="G7075" s="6" t="s">
        <v>2623</v>
      </c>
    </row>
    <row r="7076" customFormat="false" ht="15" hidden="false" customHeight="true" outlineLevel="0" collapsed="false">
      <c r="A7076" s="6" t="s">
        <v>9688</v>
      </c>
      <c r="B7076" s="6" t="s">
        <v>1535</v>
      </c>
      <c r="C7076" s="6" t="s">
        <v>128</v>
      </c>
      <c r="D7076" s="13" t="n">
        <v>45917</v>
      </c>
      <c r="E7076" s="14" t="n">
        <v>1685.3</v>
      </c>
      <c r="F7076" s="14" t="n">
        <v>15919.47</v>
      </c>
      <c r="G7076" s="6" t="s">
        <v>2613</v>
      </c>
    </row>
    <row r="7077" customFormat="false" ht="15" hidden="false" customHeight="true" outlineLevel="0" collapsed="false">
      <c r="A7077" s="6" t="s">
        <v>9689</v>
      </c>
      <c r="B7077" s="6" t="s">
        <v>1535</v>
      </c>
      <c r="C7077" s="6" t="s">
        <v>128</v>
      </c>
      <c r="D7077" s="13" t="n">
        <v>45924</v>
      </c>
      <c r="E7077" s="14" t="n">
        <v>2167.66</v>
      </c>
      <c r="F7077" s="14" t="n">
        <v>18087.13</v>
      </c>
      <c r="G7077" s="6" t="s">
        <v>2613</v>
      </c>
    </row>
    <row r="7078" customFormat="false" ht="15" hidden="false" customHeight="true" outlineLevel="0" collapsed="false">
      <c r="A7078" s="6" t="s">
        <v>9690</v>
      </c>
      <c r="B7078" s="6" t="s">
        <v>1535</v>
      </c>
      <c r="C7078" s="6" t="s">
        <v>128</v>
      </c>
      <c r="D7078" s="13" t="n">
        <v>45931</v>
      </c>
      <c r="E7078" s="14" t="n">
        <v>1750.37</v>
      </c>
      <c r="F7078" s="14" t="n">
        <v>19837.5</v>
      </c>
      <c r="G7078" s="6" t="s">
        <v>2613</v>
      </c>
    </row>
    <row r="7079" customFormat="false" ht="15" hidden="false" customHeight="true" outlineLevel="0" collapsed="false">
      <c r="A7079" s="6" t="s">
        <v>9691</v>
      </c>
      <c r="B7079" s="6" t="s">
        <v>1535</v>
      </c>
      <c r="C7079" s="6" t="s">
        <v>128</v>
      </c>
      <c r="D7079" s="13" t="n">
        <v>45938</v>
      </c>
      <c r="E7079" s="14" t="n">
        <v>1481.67</v>
      </c>
      <c r="F7079" s="14" t="n">
        <v>21319.17</v>
      </c>
      <c r="G7079" s="6" t="s">
        <v>2613</v>
      </c>
    </row>
    <row r="7080" customFormat="false" ht="15" hidden="false" customHeight="true" outlineLevel="0" collapsed="false">
      <c r="A7080" s="6" t="s">
        <v>9692</v>
      </c>
      <c r="B7080" s="6" t="s">
        <v>1535</v>
      </c>
      <c r="C7080" s="6" t="s">
        <v>128</v>
      </c>
      <c r="D7080" s="13" t="n">
        <v>45945</v>
      </c>
      <c r="E7080" s="14" t="n">
        <v>3009.09</v>
      </c>
      <c r="F7080" s="14" t="n">
        <v>24328.26</v>
      </c>
      <c r="G7080" s="6" t="s">
        <v>2613</v>
      </c>
    </row>
    <row r="7081" customFormat="false" ht="15" hidden="false" customHeight="true" outlineLevel="0" collapsed="false">
      <c r="A7081" s="6" t="s">
        <v>9693</v>
      </c>
      <c r="B7081" s="6" t="s">
        <v>1535</v>
      </c>
      <c r="C7081" s="6" t="s">
        <v>128</v>
      </c>
      <c r="D7081" s="13" t="n">
        <v>45952</v>
      </c>
      <c r="E7081" s="14" t="n">
        <v>2745.1</v>
      </c>
      <c r="F7081" s="14" t="n">
        <v>27073.36</v>
      </c>
      <c r="G7081" s="6" t="s">
        <v>2613</v>
      </c>
    </row>
    <row r="7082" customFormat="false" ht="15" hidden="false" customHeight="true" outlineLevel="0" collapsed="false">
      <c r="A7082" s="6" t="s">
        <v>9694</v>
      </c>
      <c r="B7082" s="6" t="s">
        <v>1535</v>
      </c>
      <c r="C7082" s="6" t="s">
        <v>128</v>
      </c>
      <c r="D7082" s="13" t="n">
        <v>45959</v>
      </c>
      <c r="E7082" s="14" t="n">
        <v>2583.63</v>
      </c>
      <c r="F7082" s="14" t="n">
        <v>29656.99</v>
      </c>
      <c r="G7082" s="6" t="s">
        <v>2613</v>
      </c>
    </row>
    <row r="7083" customFormat="false" ht="15" hidden="false" customHeight="true" outlineLevel="0" collapsed="false">
      <c r="A7083" s="6" t="s">
        <v>9695</v>
      </c>
      <c r="B7083" s="6" t="s">
        <v>1535</v>
      </c>
      <c r="C7083" s="6" t="s">
        <v>128</v>
      </c>
      <c r="D7083" s="13" t="n">
        <v>45966</v>
      </c>
      <c r="E7083" s="14" t="n">
        <v>1558.02</v>
      </c>
      <c r="F7083" s="14" t="n">
        <v>31215.01</v>
      </c>
      <c r="G7083" s="6" t="s">
        <v>2613</v>
      </c>
    </row>
    <row r="7084" customFormat="false" ht="15" hidden="false" customHeight="true" outlineLevel="0" collapsed="false">
      <c r="A7084" s="6" t="s">
        <v>9696</v>
      </c>
      <c r="B7084" s="6" t="s">
        <v>1535</v>
      </c>
      <c r="C7084" s="6" t="s">
        <v>128</v>
      </c>
      <c r="D7084" s="13" t="n">
        <v>45973</v>
      </c>
      <c r="E7084" s="14" t="n">
        <v>2794.84</v>
      </c>
      <c r="F7084" s="14" t="n">
        <v>34009.85</v>
      </c>
      <c r="G7084" s="6" t="s">
        <v>2613</v>
      </c>
    </row>
    <row r="7085" customFormat="false" ht="15" hidden="false" customHeight="true" outlineLevel="0" collapsed="false">
      <c r="A7085" s="6" t="s">
        <v>9697</v>
      </c>
      <c r="B7085" s="6" t="s">
        <v>1535</v>
      </c>
      <c r="C7085" s="6" t="s">
        <v>128</v>
      </c>
      <c r="D7085" s="13" t="n">
        <v>45980</v>
      </c>
      <c r="E7085" s="14" t="n">
        <v>2469.97</v>
      </c>
      <c r="F7085" s="14" t="n">
        <v>36479.82</v>
      </c>
      <c r="G7085" s="6" t="s">
        <v>2613</v>
      </c>
    </row>
    <row r="7086" customFormat="false" ht="15" hidden="false" customHeight="true" outlineLevel="0" collapsed="false">
      <c r="A7086" s="6" t="s">
        <v>9698</v>
      </c>
      <c r="B7086" s="6" t="s">
        <v>1535</v>
      </c>
      <c r="C7086" s="6" t="s">
        <v>128</v>
      </c>
      <c r="D7086" s="13" t="n">
        <v>45987</v>
      </c>
      <c r="E7086" s="14" t="n">
        <v>2345.87</v>
      </c>
      <c r="F7086" s="14" t="n">
        <v>38825.69</v>
      </c>
      <c r="G7086" s="6" t="s">
        <v>2613</v>
      </c>
    </row>
    <row r="7087" customFormat="false" ht="15" hidden="false" customHeight="true" outlineLevel="0" collapsed="false">
      <c r="A7087" s="6" t="s">
        <v>9699</v>
      </c>
      <c r="B7087" s="6" t="s">
        <v>1535</v>
      </c>
      <c r="C7087" s="6" t="s">
        <v>128</v>
      </c>
      <c r="D7087" s="13" t="n">
        <v>45994</v>
      </c>
      <c r="E7087" s="14" t="n">
        <v>1451.5</v>
      </c>
      <c r="F7087" s="14" t="n">
        <v>40277.19</v>
      </c>
      <c r="G7087" s="6" t="s">
        <v>2613</v>
      </c>
    </row>
    <row r="7088" customFormat="false" ht="15" hidden="false" customHeight="true" outlineLevel="0" collapsed="false">
      <c r="A7088" s="6" t="s">
        <v>9700</v>
      </c>
      <c r="B7088" s="6" t="s">
        <v>1535</v>
      </c>
      <c r="C7088" s="6" t="s">
        <v>128</v>
      </c>
      <c r="D7088" s="13" t="n">
        <v>46001</v>
      </c>
      <c r="E7088" s="14" t="n">
        <v>2277.89</v>
      </c>
      <c r="F7088" s="14" t="n">
        <v>42555.08</v>
      </c>
      <c r="G7088" s="6" t="s">
        <v>2623</v>
      </c>
    </row>
    <row r="7089" customFormat="false" ht="15" hidden="false" customHeight="true" outlineLevel="0" collapsed="false">
      <c r="A7089" s="6" t="s">
        <v>9701</v>
      </c>
      <c r="B7089" s="6" t="s">
        <v>1535</v>
      </c>
      <c r="C7089" s="6" t="s">
        <v>128</v>
      </c>
      <c r="D7089" s="13" t="n">
        <v>46008</v>
      </c>
      <c r="E7089" s="14" t="n">
        <v>1704.56</v>
      </c>
      <c r="F7089" s="14" t="n">
        <v>44259.64</v>
      </c>
      <c r="G7089" s="6" t="s">
        <v>2613</v>
      </c>
    </row>
    <row r="7090" customFormat="false" ht="15" hidden="false" customHeight="true" outlineLevel="0" collapsed="false">
      <c r="A7090" s="6" t="s">
        <v>9702</v>
      </c>
      <c r="B7090" s="6" t="s">
        <v>1535</v>
      </c>
      <c r="C7090" s="6" t="s">
        <v>128</v>
      </c>
      <c r="D7090" s="13" t="n">
        <v>46015</v>
      </c>
      <c r="E7090" s="14" t="n">
        <v>2963.55</v>
      </c>
      <c r="F7090" s="14" t="n">
        <v>47223.19</v>
      </c>
      <c r="G7090" s="6" t="s">
        <v>2613</v>
      </c>
    </row>
    <row r="7091" customFormat="false" ht="15" hidden="false" customHeight="true" outlineLevel="0" collapsed="false">
      <c r="A7091" s="6" t="s">
        <v>9703</v>
      </c>
      <c r="B7091" s="6" t="s">
        <v>1535</v>
      </c>
      <c r="C7091" s="6" t="s">
        <v>128</v>
      </c>
      <c r="D7091" s="13" t="n">
        <v>46022</v>
      </c>
      <c r="E7091" s="14" t="n">
        <v>1977.47</v>
      </c>
      <c r="F7091" s="14" t="n">
        <v>49200.66</v>
      </c>
      <c r="G7091" s="6" t="s">
        <v>2613</v>
      </c>
    </row>
    <row r="7092" customFormat="false" ht="15" hidden="false" customHeight="true" outlineLevel="0" collapsed="false">
      <c r="A7092" s="6" t="s">
        <v>9704</v>
      </c>
      <c r="B7092" s="6" t="s">
        <v>1535</v>
      </c>
      <c r="C7092" s="6" t="s">
        <v>128</v>
      </c>
      <c r="D7092" s="13" t="n">
        <v>46029</v>
      </c>
      <c r="E7092" s="14" t="n">
        <v>1821.21</v>
      </c>
      <c r="F7092" s="14" t="n">
        <v>51021.87</v>
      </c>
      <c r="G7092" s="6" t="s">
        <v>2613</v>
      </c>
    </row>
    <row r="7093" customFormat="false" ht="15" hidden="false" customHeight="true" outlineLevel="0" collapsed="false">
      <c r="A7093" s="6" t="s">
        <v>9705</v>
      </c>
      <c r="B7093" s="6" t="s">
        <v>1535</v>
      </c>
      <c r="C7093" s="6" t="s">
        <v>128</v>
      </c>
      <c r="D7093" s="13" t="n">
        <v>46036</v>
      </c>
      <c r="E7093" s="14" t="n">
        <v>2084.88</v>
      </c>
      <c r="F7093" s="14" t="n">
        <v>53106.75</v>
      </c>
      <c r="G7093" s="6" t="s">
        <v>2613</v>
      </c>
    </row>
    <row r="7094" customFormat="false" ht="15" hidden="false" customHeight="true" outlineLevel="0" collapsed="false">
      <c r="A7094" s="6" t="s">
        <v>9706</v>
      </c>
      <c r="B7094" s="6" t="s">
        <v>1535</v>
      </c>
      <c r="C7094" s="6" t="s">
        <v>128</v>
      </c>
      <c r="D7094" s="13" t="n">
        <v>46043</v>
      </c>
      <c r="E7094" s="14" t="n">
        <v>3034.06</v>
      </c>
      <c r="F7094" s="14" t="n">
        <v>56140.81</v>
      </c>
      <c r="G7094" s="6" t="s">
        <v>2613</v>
      </c>
    </row>
    <row r="7095" customFormat="false" ht="15" hidden="false" customHeight="true" outlineLevel="0" collapsed="false">
      <c r="A7095" s="6" t="s">
        <v>9707</v>
      </c>
      <c r="B7095" s="6" t="s">
        <v>1535</v>
      </c>
      <c r="C7095" s="6" t="s">
        <v>128</v>
      </c>
      <c r="D7095" s="13" t="n">
        <v>46050</v>
      </c>
      <c r="E7095" s="14" t="n">
        <v>2243.68</v>
      </c>
      <c r="F7095" s="14" t="n">
        <v>58384.49</v>
      </c>
      <c r="G7095" s="6" t="s">
        <v>2613</v>
      </c>
    </row>
    <row r="7096" customFormat="false" ht="15" hidden="false" customHeight="true" outlineLevel="0" collapsed="false">
      <c r="A7096" s="6" t="s">
        <v>9708</v>
      </c>
      <c r="B7096" s="6" t="s">
        <v>1535</v>
      </c>
      <c r="C7096" s="6" t="s">
        <v>128</v>
      </c>
      <c r="D7096" s="13" t="n">
        <v>46057</v>
      </c>
      <c r="E7096" s="14" t="n">
        <v>3066.43</v>
      </c>
      <c r="F7096" s="14" t="n">
        <v>61450.92</v>
      </c>
      <c r="G7096" s="6" t="s">
        <v>2613</v>
      </c>
    </row>
    <row r="7097" customFormat="false" ht="15" hidden="false" customHeight="true" outlineLevel="0" collapsed="false">
      <c r="A7097" s="6" t="s">
        <v>9709</v>
      </c>
      <c r="B7097" s="6" t="s">
        <v>1535</v>
      </c>
      <c r="C7097" s="6" t="s">
        <v>128</v>
      </c>
      <c r="D7097" s="13" t="n">
        <v>46064</v>
      </c>
      <c r="E7097" s="14" t="n">
        <v>7226.5</v>
      </c>
      <c r="F7097" s="14" t="n">
        <v>68677.42</v>
      </c>
      <c r="G7097" s="6" t="s">
        <v>2623</v>
      </c>
    </row>
    <row r="7098" customFormat="false" ht="15" hidden="false" customHeight="true" outlineLevel="0" collapsed="false">
      <c r="A7098" s="6" t="s">
        <v>9710</v>
      </c>
      <c r="B7098" s="6" t="s">
        <v>1537</v>
      </c>
      <c r="C7098" s="6" t="s">
        <v>128</v>
      </c>
      <c r="D7098" s="13" t="n">
        <v>45298</v>
      </c>
      <c r="E7098" s="14" t="n">
        <v>4821.96</v>
      </c>
      <c r="F7098" s="14" t="n">
        <v>4821.96</v>
      </c>
      <c r="G7098" s="6" t="s">
        <v>2613</v>
      </c>
    </row>
    <row r="7099" customFormat="false" ht="15" hidden="false" customHeight="true" outlineLevel="0" collapsed="false">
      <c r="A7099" s="6" t="s">
        <v>9711</v>
      </c>
      <c r="B7099" s="6" t="s">
        <v>1537</v>
      </c>
      <c r="C7099" s="6" t="s">
        <v>128</v>
      </c>
      <c r="D7099" s="13" t="n">
        <v>45305</v>
      </c>
      <c r="E7099" s="14" t="n">
        <v>5819.34</v>
      </c>
      <c r="F7099" s="14" t="n">
        <v>10641.3</v>
      </c>
      <c r="G7099" s="6" t="s">
        <v>2613</v>
      </c>
    </row>
    <row r="7100" customFormat="false" ht="15" hidden="false" customHeight="true" outlineLevel="0" collapsed="false">
      <c r="A7100" s="6" t="s">
        <v>9712</v>
      </c>
      <c r="B7100" s="6" t="s">
        <v>1537</v>
      </c>
      <c r="C7100" s="6" t="s">
        <v>128</v>
      </c>
      <c r="D7100" s="13" t="n">
        <v>45312</v>
      </c>
      <c r="E7100" s="14" t="n">
        <v>8074.75</v>
      </c>
      <c r="F7100" s="14" t="n">
        <v>18716.05</v>
      </c>
      <c r="G7100" s="6" t="s">
        <v>2613</v>
      </c>
    </row>
    <row r="7101" customFormat="false" ht="15" hidden="false" customHeight="true" outlineLevel="0" collapsed="false">
      <c r="A7101" s="6" t="s">
        <v>9713</v>
      </c>
      <c r="B7101" s="6" t="s">
        <v>1537</v>
      </c>
      <c r="C7101" s="6" t="s">
        <v>128</v>
      </c>
      <c r="D7101" s="13" t="n">
        <v>45319</v>
      </c>
      <c r="E7101" s="14" t="n">
        <v>4109.93</v>
      </c>
      <c r="F7101" s="14" t="n">
        <v>22825.98</v>
      </c>
      <c r="G7101" s="6" t="s">
        <v>2613</v>
      </c>
    </row>
    <row r="7102" customFormat="false" ht="15" hidden="false" customHeight="true" outlineLevel="0" collapsed="false">
      <c r="A7102" s="6" t="s">
        <v>9714</v>
      </c>
      <c r="B7102" s="6" t="s">
        <v>1537</v>
      </c>
      <c r="C7102" s="6" t="s">
        <v>128</v>
      </c>
      <c r="D7102" s="13" t="n">
        <v>45326</v>
      </c>
      <c r="E7102" s="14" t="n">
        <v>8314.75</v>
      </c>
      <c r="F7102" s="14" t="n">
        <v>31140.73</v>
      </c>
      <c r="G7102" s="6" t="s">
        <v>2613</v>
      </c>
    </row>
    <row r="7103" customFormat="false" ht="15" hidden="false" customHeight="true" outlineLevel="0" collapsed="false">
      <c r="A7103" s="6" t="s">
        <v>9715</v>
      </c>
      <c r="B7103" s="6" t="s">
        <v>1537</v>
      </c>
      <c r="C7103" s="6" t="s">
        <v>128</v>
      </c>
      <c r="D7103" s="13" t="n">
        <v>45333</v>
      </c>
      <c r="E7103" s="14" t="n">
        <v>8087.47</v>
      </c>
      <c r="F7103" s="14" t="n">
        <v>39228.2</v>
      </c>
      <c r="G7103" s="6" t="s">
        <v>2613</v>
      </c>
    </row>
    <row r="7104" customFormat="false" ht="15" hidden="false" customHeight="true" outlineLevel="0" collapsed="false">
      <c r="A7104" s="6" t="s">
        <v>9716</v>
      </c>
      <c r="B7104" s="6" t="s">
        <v>1537</v>
      </c>
      <c r="C7104" s="6" t="s">
        <v>128</v>
      </c>
      <c r="D7104" s="13" t="n">
        <v>45340</v>
      </c>
      <c r="E7104" s="14" t="n">
        <v>8906.63</v>
      </c>
      <c r="F7104" s="14" t="n">
        <v>48134.83</v>
      </c>
      <c r="G7104" s="6" t="s">
        <v>2613</v>
      </c>
    </row>
    <row r="7105" customFormat="false" ht="15" hidden="false" customHeight="true" outlineLevel="0" collapsed="false">
      <c r="A7105" s="6" t="s">
        <v>9717</v>
      </c>
      <c r="B7105" s="6" t="s">
        <v>1537</v>
      </c>
      <c r="C7105" s="6" t="s">
        <v>128</v>
      </c>
      <c r="D7105" s="13" t="n">
        <v>45347</v>
      </c>
      <c r="E7105" s="14" t="n">
        <v>5606.82</v>
      </c>
      <c r="F7105" s="14" t="n">
        <v>53741.65</v>
      </c>
      <c r="G7105" s="6" t="s">
        <v>2623</v>
      </c>
    </row>
    <row r="7106" customFormat="false" ht="15" hidden="false" customHeight="true" outlineLevel="0" collapsed="false">
      <c r="A7106" s="6" t="s">
        <v>9718</v>
      </c>
      <c r="B7106" s="6" t="s">
        <v>1537</v>
      </c>
      <c r="C7106" s="6" t="s">
        <v>128</v>
      </c>
      <c r="D7106" s="13" t="n">
        <v>45354</v>
      </c>
      <c r="E7106" s="14" t="n">
        <v>4419.18</v>
      </c>
      <c r="F7106" s="14" t="n">
        <v>58160.83</v>
      </c>
      <c r="G7106" s="6" t="s">
        <v>2613</v>
      </c>
    </row>
    <row r="7107" customFormat="false" ht="15" hidden="false" customHeight="true" outlineLevel="0" collapsed="false">
      <c r="A7107" s="6" t="s">
        <v>9719</v>
      </c>
      <c r="B7107" s="6" t="s">
        <v>1539</v>
      </c>
      <c r="C7107" s="6" t="s">
        <v>116</v>
      </c>
      <c r="D7107" s="13" t="n">
        <v>45184</v>
      </c>
      <c r="E7107" s="14" t="n">
        <v>6189.3</v>
      </c>
      <c r="F7107" s="14" t="n">
        <v>6189.3</v>
      </c>
      <c r="G7107" s="6" t="s">
        <v>2613</v>
      </c>
    </row>
    <row r="7108" customFormat="false" ht="15" hidden="false" customHeight="true" outlineLevel="0" collapsed="false">
      <c r="A7108" s="6" t="s">
        <v>9720</v>
      </c>
      <c r="B7108" s="6" t="s">
        <v>1539</v>
      </c>
      <c r="C7108" s="6" t="s">
        <v>116</v>
      </c>
      <c r="D7108" s="13" t="n">
        <v>45191</v>
      </c>
      <c r="E7108" s="14" t="n">
        <v>6993.44</v>
      </c>
      <c r="F7108" s="14" t="n">
        <v>13182.74</v>
      </c>
      <c r="G7108" s="6" t="s">
        <v>2613</v>
      </c>
    </row>
    <row r="7109" customFormat="false" ht="15" hidden="false" customHeight="true" outlineLevel="0" collapsed="false">
      <c r="A7109" s="6" t="s">
        <v>9721</v>
      </c>
      <c r="B7109" s="6" t="s">
        <v>1539</v>
      </c>
      <c r="C7109" s="6" t="s">
        <v>116</v>
      </c>
      <c r="D7109" s="13" t="n">
        <v>45198</v>
      </c>
      <c r="E7109" s="14" t="n">
        <v>9370.79</v>
      </c>
      <c r="F7109" s="14" t="n">
        <v>22553.53</v>
      </c>
      <c r="G7109" s="6" t="s">
        <v>2623</v>
      </c>
    </row>
    <row r="7110" customFormat="false" ht="15" hidden="false" customHeight="true" outlineLevel="0" collapsed="false">
      <c r="A7110" s="6" t="s">
        <v>9722</v>
      </c>
      <c r="B7110" s="6" t="s">
        <v>1539</v>
      </c>
      <c r="C7110" s="6" t="s">
        <v>116</v>
      </c>
      <c r="D7110" s="13" t="n">
        <v>45205</v>
      </c>
      <c r="E7110" s="14" t="n">
        <v>9041.64</v>
      </c>
      <c r="F7110" s="14" t="n">
        <v>31595.17</v>
      </c>
      <c r="G7110" s="6" t="s">
        <v>2613</v>
      </c>
    </row>
    <row r="7111" customFormat="false" ht="15" hidden="false" customHeight="true" outlineLevel="0" collapsed="false">
      <c r="A7111" s="6" t="s">
        <v>9723</v>
      </c>
      <c r="B7111" s="6" t="s">
        <v>1539</v>
      </c>
      <c r="C7111" s="6" t="s">
        <v>116</v>
      </c>
      <c r="D7111" s="13" t="n">
        <v>45212</v>
      </c>
      <c r="E7111" s="14" t="n">
        <v>7739.91</v>
      </c>
      <c r="F7111" s="14" t="n">
        <v>39335.08</v>
      </c>
      <c r="G7111" s="6" t="s">
        <v>2613</v>
      </c>
    </row>
    <row r="7112" customFormat="false" ht="15" hidden="false" customHeight="true" outlineLevel="0" collapsed="false">
      <c r="A7112" s="6" t="s">
        <v>9724</v>
      </c>
      <c r="B7112" s="6" t="s">
        <v>1541</v>
      </c>
      <c r="C7112" s="6" t="s">
        <v>116</v>
      </c>
      <c r="D7112" s="13" t="n">
        <v>44585</v>
      </c>
      <c r="E7112" s="14" t="n">
        <v>1321.39</v>
      </c>
      <c r="F7112" s="14" t="n">
        <v>1321.39</v>
      </c>
      <c r="G7112" s="6" t="s">
        <v>2613</v>
      </c>
    </row>
    <row r="7113" customFormat="false" ht="15" hidden="false" customHeight="true" outlineLevel="0" collapsed="false">
      <c r="A7113" s="6" t="s">
        <v>9725</v>
      </c>
      <c r="B7113" s="6" t="s">
        <v>1541</v>
      </c>
      <c r="C7113" s="6" t="s">
        <v>116</v>
      </c>
      <c r="D7113" s="13" t="n">
        <v>44592</v>
      </c>
      <c r="E7113" s="14" t="n">
        <v>1787.48</v>
      </c>
      <c r="F7113" s="14" t="n">
        <v>3108.87</v>
      </c>
      <c r="G7113" s="6" t="s">
        <v>2613</v>
      </c>
    </row>
    <row r="7114" customFormat="false" ht="15" hidden="false" customHeight="true" outlineLevel="0" collapsed="false">
      <c r="A7114" s="6" t="s">
        <v>9726</v>
      </c>
      <c r="B7114" s="6" t="s">
        <v>1541</v>
      </c>
      <c r="C7114" s="6" t="s">
        <v>116</v>
      </c>
      <c r="D7114" s="13" t="n">
        <v>44599</v>
      </c>
      <c r="E7114" s="14" t="n">
        <v>1612.9</v>
      </c>
      <c r="F7114" s="14" t="n">
        <v>4721.77</v>
      </c>
      <c r="G7114" s="6" t="s">
        <v>2623</v>
      </c>
    </row>
    <row r="7115" customFormat="false" ht="15" hidden="false" customHeight="true" outlineLevel="0" collapsed="false">
      <c r="A7115" s="6" t="s">
        <v>9727</v>
      </c>
      <c r="B7115" s="6" t="s">
        <v>1541</v>
      </c>
      <c r="C7115" s="6" t="s">
        <v>116</v>
      </c>
      <c r="D7115" s="13" t="n">
        <v>44606</v>
      </c>
      <c r="E7115" s="14" t="n">
        <v>1631.41</v>
      </c>
      <c r="F7115" s="14" t="n">
        <v>6353.18</v>
      </c>
      <c r="G7115" s="6" t="s">
        <v>2613</v>
      </c>
    </row>
    <row r="7116" customFormat="false" ht="15" hidden="false" customHeight="true" outlineLevel="0" collapsed="false">
      <c r="A7116" s="6" t="s">
        <v>9728</v>
      </c>
      <c r="B7116" s="6" t="s">
        <v>1541</v>
      </c>
      <c r="C7116" s="6" t="s">
        <v>116</v>
      </c>
      <c r="D7116" s="13" t="n">
        <v>44613</v>
      </c>
      <c r="E7116" s="14" t="n">
        <v>1023</v>
      </c>
      <c r="F7116" s="14" t="n">
        <v>7376.18</v>
      </c>
      <c r="G7116" s="6" t="s">
        <v>2623</v>
      </c>
    </row>
    <row r="7117" customFormat="false" ht="15" hidden="false" customHeight="true" outlineLevel="0" collapsed="false">
      <c r="A7117" s="6" t="s">
        <v>9729</v>
      </c>
      <c r="B7117" s="6" t="s">
        <v>1541</v>
      </c>
      <c r="C7117" s="6" t="s">
        <v>116</v>
      </c>
      <c r="D7117" s="13" t="n">
        <v>44620</v>
      </c>
      <c r="E7117" s="14" t="n">
        <v>2195.3</v>
      </c>
      <c r="F7117" s="14" t="n">
        <v>9571.48</v>
      </c>
      <c r="G7117" s="6" t="s">
        <v>2613</v>
      </c>
    </row>
    <row r="7118" customFormat="false" ht="15" hidden="false" customHeight="true" outlineLevel="0" collapsed="false">
      <c r="A7118" s="6" t="s">
        <v>9730</v>
      </c>
      <c r="B7118" s="6" t="s">
        <v>1543</v>
      </c>
      <c r="C7118" s="6" t="s">
        <v>124</v>
      </c>
      <c r="D7118" s="13" t="n">
        <v>44781</v>
      </c>
      <c r="E7118" s="14" t="n">
        <v>1320.91</v>
      </c>
      <c r="F7118" s="14" t="n">
        <v>1320.91</v>
      </c>
      <c r="G7118" s="6" t="s">
        <v>2623</v>
      </c>
    </row>
    <row r="7119" customFormat="false" ht="15" hidden="false" customHeight="true" outlineLevel="0" collapsed="false">
      <c r="A7119" s="6" t="s">
        <v>9731</v>
      </c>
      <c r="B7119" s="6" t="s">
        <v>1543</v>
      </c>
      <c r="C7119" s="6" t="s">
        <v>124</v>
      </c>
      <c r="D7119" s="13" t="n">
        <v>44788</v>
      </c>
      <c r="E7119" s="14" t="n">
        <v>1028.88</v>
      </c>
      <c r="F7119" s="14" t="n">
        <v>2349.79</v>
      </c>
      <c r="G7119" s="6" t="s">
        <v>2623</v>
      </c>
    </row>
    <row r="7120" customFormat="false" ht="15" hidden="false" customHeight="true" outlineLevel="0" collapsed="false">
      <c r="A7120" s="6" t="s">
        <v>9732</v>
      </c>
      <c r="B7120" s="6" t="s">
        <v>1543</v>
      </c>
      <c r="C7120" s="6" t="s">
        <v>124</v>
      </c>
      <c r="D7120" s="13" t="n">
        <v>44795</v>
      </c>
      <c r="E7120" s="14" t="n">
        <v>1212.53</v>
      </c>
      <c r="F7120" s="14" t="n">
        <v>3562.32</v>
      </c>
      <c r="G7120" s="6" t="s">
        <v>2613</v>
      </c>
    </row>
    <row r="7121" customFormat="false" ht="15" hidden="false" customHeight="true" outlineLevel="0" collapsed="false">
      <c r="A7121" s="6" t="s">
        <v>9733</v>
      </c>
      <c r="B7121" s="6" t="s">
        <v>1543</v>
      </c>
      <c r="C7121" s="6" t="s">
        <v>124</v>
      </c>
      <c r="D7121" s="13" t="n">
        <v>44802</v>
      </c>
      <c r="E7121" s="14" t="n">
        <v>912.85</v>
      </c>
      <c r="F7121" s="14" t="n">
        <v>4475.17</v>
      </c>
      <c r="G7121" s="6" t="s">
        <v>2613</v>
      </c>
    </row>
    <row r="7122" customFormat="false" ht="15" hidden="false" customHeight="true" outlineLevel="0" collapsed="false">
      <c r="A7122" s="6" t="s">
        <v>9734</v>
      </c>
      <c r="B7122" s="6" t="s">
        <v>1543</v>
      </c>
      <c r="C7122" s="6" t="s">
        <v>124</v>
      </c>
      <c r="D7122" s="13" t="n">
        <v>44809</v>
      </c>
      <c r="E7122" s="14" t="n">
        <v>921.88</v>
      </c>
      <c r="F7122" s="14" t="n">
        <v>5397.05</v>
      </c>
      <c r="G7122" s="6" t="s">
        <v>2613</v>
      </c>
    </row>
    <row r="7123" customFormat="false" ht="15" hidden="false" customHeight="true" outlineLevel="0" collapsed="false">
      <c r="A7123" s="6" t="s">
        <v>9735</v>
      </c>
      <c r="B7123" s="6" t="s">
        <v>1543</v>
      </c>
      <c r="C7123" s="6" t="s">
        <v>124</v>
      </c>
      <c r="D7123" s="13" t="n">
        <v>44816</v>
      </c>
      <c r="E7123" s="14" t="n">
        <v>684.9</v>
      </c>
      <c r="F7123" s="14" t="n">
        <v>6081.95</v>
      </c>
      <c r="G7123" s="6" t="s">
        <v>2613</v>
      </c>
    </row>
    <row r="7124" customFormat="false" ht="15" hidden="false" customHeight="true" outlineLevel="0" collapsed="false">
      <c r="A7124" s="6" t="s">
        <v>9736</v>
      </c>
      <c r="B7124" s="6" t="s">
        <v>1543</v>
      </c>
      <c r="C7124" s="6" t="s">
        <v>124</v>
      </c>
      <c r="D7124" s="13" t="n">
        <v>44823</v>
      </c>
      <c r="E7124" s="14" t="n">
        <v>1195.73</v>
      </c>
      <c r="F7124" s="14" t="n">
        <v>7277.68</v>
      </c>
      <c r="G7124" s="6" t="s">
        <v>2623</v>
      </c>
    </row>
    <row r="7125" customFormat="false" ht="15" hidden="false" customHeight="true" outlineLevel="0" collapsed="false">
      <c r="A7125" s="6" t="s">
        <v>9737</v>
      </c>
      <c r="B7125" s="6" t="s">
        <v>1543</v>
      </c>
      <c r="C7125" s="6" t="s">
        <v>124</v>
      </c>
      <c r="D7125" s="13" t="n">
        <v>44830</v>
      </c>
      <c r="E7125" s="14" t="n">
        <v>1376.6</v>
      </c>
      <c r="F7125" s="14" t="n">
        <v>8654.28</v>
      </c>
      <c r="G7125" s="6" t="s">
        <v>2613</v>
      </c>
    </row>
    <row r="7126" customFormat="false" ht="15" hidden="false" customHeight="true" outlineLevel="0" collapsed="false">
      <c r="A7126" s="6" t="s">
        <v>9738</v>
      </c>
      <c r="B7126" s="6" t="s">
        <v>1543</v>
      </c>
      <c r="C7126" s="6" t="s">
        <v>124</v>
      </c>
      <c r="D7126" s="13" t="n">
        <v>44837</v>
      </c>
      <c r="E7126" s="14" t="n">
        <v>1199.87</v>
      </c>
      <c r="F7126" s="14" t="n">
        <v>9854.15</v>
      </c>
      <c r="G7126" s="6" t="s">
        <v>2613</v>
      </c>
    </row>
    <row r="7127" customFormat="false" ht="15" hidden="false" customHeight="true" outlineLevel="0" collapsed="false">
      <c r="A7127" s="6" t="s">
        <v>9739</v>
      </c>
      <c r="B7127" s="6" t="s">
        <v>1543</v>
      </c>
      <c r="C7127" s="6" t="s">
        <v>124</v>
      </c>
      <c r="D7127" s="13" t="n">
        <v>44844</v>
      </c>
      <c r="E7127" s="14" t="n">
        <v>1329.61</v>
      </c>
      <c r="F7127" s="14" t="n">
        <v>11183.76</v>
      </c>
      <c r="G7127" s="6" t="s">
        <v>2623</v>
      </c>
    </row>
    <row r="7128" customFormat="false" ht="15" hidden="false" customHeight="true" outlineLevel="0" collapsed="false">
      <c r="A7128" s="6" t="s">
        <v>9740</v>
      </c>
      <c r="B7128" s="6" t="s">
        <v>1543</v>
      </c>
      <c r="C7128" s="6" t="s">
        <v>124</v>
      </c>
      <c r="D7128" s="13" t="n">
        <v>44851</v>
      </c>
      <c r="E7128" s="14" t="n">
        <v>545.82</v>
      </c>
      <c r="F7128" s="14" t="n">
        <v>11729.58</v>
      </c>
      <c r="G7128" s="6" t="s">
        <v>2613</v>
      </c>
    </row>
    <row r="7129" customFormat="false" ht="15" hidden="false" customHeight="true" outlineLevel="0" collapsed="false">
      <c r="A7129" s="6" t="s">
        <v>9741</v>
      </c>
      <c r="B7129" s="6" t="s">
        <v>1545</v>
      </c>
      <c r="C7129" s="6" t="s">
        <v>116</v>
      </c>
      <c r="D7129" s="13" t="n">
        <v>45984</v>
      </c>
      <c r="E7129" s="14" t="n">
        <v>198.32</v>
      </c>
      <c r="F7129" s="14" t="n">
        <v>198.32</v>
      </c>
      <c r="G7129" s="6" t="s">
        <v>2613</v>
      </c>
    </row>
    <row r="7130" customFormat="false" ht="15" hidden="false" customHeight="true" outlineLevel="0" collapsed="false">
      <c r="A7130" s="6" t="s">
        <v>9742</v>
      </c>
      <c r="B7130" s="6" t="s">
        <v>1545</v>
      </c>
      <c r="C7130" s="6" t="s">
        <v>116</v>
      </c>
      <c r="D7130" s="13" t="n">
        <v>45991</v>
      </c>
      <c r="E7130" s="14" t="n">
        <v>407.78</v>
      </c>
      <c r="F7130" s="14" t="n">
        <v>606.1</v>
      </c>
      <c r="G7130" s="6" t="s">
        <v>2613</v>
      </c>
    </row>
    <row r="7131" customFormat="false" ht="15" hidden="false" customHeight="true" outlineLevel="0" collapsed="false">
      <c r="A7131" s="6" t="s">
        <v>9743</v>
      </c>
      <c r="B7131" s="6" t="s">
        <v>1545</v>
      </c>
      <c r="C7131" s="6" t="s">
        <v>116</v>
      </c>
      <c r="D7131" s="13" t="n">
        <v>45998</v>
      </c>
      <c r="E7131" s="14" t="n">
        <v>384.56</v>
      </c>
      <c r="F7131" s="14" t="n">
        <v>990.66</v>
      </c>
      <c r="G7131" s="6" t="s">
        <v>2623</v>
      </c>
    </row>
    <row r="7132" customFormat="false" ht="15" hidden="false" customHeight="true" outlineLevel="0" collapsed="false">
      <c r="A7132" s="6" t="s">
        <v>9744</v>
      </c>
      <c r="B7132" s="6" t="s">
        <v>1545</v>
      </c>
      <c r="C7132" s="6" t="s">
        <v>116</v>
      </c>
      <c r="D7132" s="13" t="n">
        <v>46005</v>
      </c>
      <c r="E7132" s="14" t="n">
        <v>396.77</v>
      </c>
      <c r="F7132" s="14" t="n">
        <v>1387.43</v>
      </c>
      <c r="G7132" s="6" t="s">
        <v>2623</v>
      </c>
    </row>
    <row r="7133" customFormat="false" ht="15" hidden="false" customHeight="true" outlineLevel="0" collapsed="false">
      <c r="A7133" s="6" t="s">
        <v>9745</v>
      </c>
      <c r="B7133" s="6" t="s">
        <v>1545</v>
      </c>
      <c r="C7133" s="6" t="s">
        <v>116</v>
      </c>
      <c r="D7133" s="13" t="n">
        <v>46012</v>
      </c>
      <c r="E7133" s="14" t="n">
        <v>298.91</v>
      </c>
      <c r="F7133" s="14" t="n">
        <v>1686.34</v>
      </c>
      <c r="G7133" s="6" t="s">
        <v>2623</v>
      </c>
    </row>
    <row r="7134" customFormat="false" ht="15" hidden="false" customHeight="true" outlineLevel="0" collapsed="false">
      <c r="A7134" s="6" t="s">
        <v>9746</v>
      </c>
      <c r="B7134" s="6" t="s">
        <v>1545</v>
      </c>
      <c r="C7134" s="6" t="s">
        <v>116</v>
      </c>
      <c r="D7134" s="13" t="n">
        <v>46019</v>
      </c>
      <c r="E7134" s="14" t="n">
        <v>274.71</v>
      </c>
      <c r="F7134" s="14" t="n">
        <v>1961.05</v>
      </c>
      <c r="G7134" s="6" t="s">
        <v>2613</v>
      </c>
    </row>
    <row r="7135" customFormat="false" ht="15" hidden="false" customHeight="true" outlineLevel="0" collapsed="false">
      <c r="A7135" s="6" t="s">
        <v>9747</v>
      </c>
      <c r="B7135" s="6" t="s">
        <v>1545</v>
      </c>
      <c r="C7135" s="6" t="s">
        <v>116</v>
      </c>
      <c r="D7135" s="13" t="n">
        <v>46026</v>
      </c>
      <c r="E7135" s="14" t="n">
        <v>383.95</v>
      </c>
      <c r="F7135" s="14" t="n">
        <v>2345</v>
      </c>
      <c r="G7135" s="6" t="s">
        <v>2613</v>
      </c>
    </row>
    <row r="7136" customFormat="false" ht="15" hidden="false" customHeight="true" outlineLevel="0" collapsed="false">
      <c r="A7136" s="6" t="s">
        <v>9748</v>
      </c>
      <c r="B7136" s="6" t="s">
        <v>1545</v>
      </c>
      <c r="C7136" s="6" t="s">
        <v>116</v>
      </c>
      <c r="D7136" s="13" t="n">
        <v>46033</v>
      </c>
      <c r="E7136" s="14" t="n">
        <v>234.36</v>
      </c>
      <c r="F7136" s="14" t="n">
        <v>2579.36</v>
      </c>
      <c r="G7136" s="6" t="s">
        <v>2623</v>
      </c>
    </row>
    <row r="7137" customFormat="false" ht="15" hidden="false" customHeight="true" outlineLevel="0" collapsed="false">
      <c r="A7137" s="6" t="s">
        <v>9749</v>
      </c>
      <c r="B7137" s="6" t="s">
        <v>1547</v>
      </c>
      <c r="C7137" s="6" t="s">
        <v>124</v>
      </c>
      <c r="D7137" s="13" t="n">
        <v>45771</v>
      </c>
      <c r="E7137" s="14" t="n">
        <v>770.55</v>
      </c>
      <c r="F7137" s="14" t="n">
        <v>770.55</v>
      </c>
      <c r="G7137" s="6" t="s">
        <v>2613</v>
      </c>
    </row>
    <row r="7138" customFormat="false" ht="15" hidden="false" customHeight="true" outlineLevel="0" collapsed="false">
      <c r="A7138" s="6" t="s">
        <v>9750</v>
      </c>
      <c r="B7138" s="6" t="s">
        <v>1547</v>
      </c>
      <c r="C7138" s="6" t="s">
        <v>124</v>
      </c>
      <c r="D7138" s="13" t="n">
        <v>45778</v>
      </c>
      <c r="E7138" s="14" t="n">
        <v>1358.05</v>
      </c>
      <c r="F7138" s="14" t="n">
        <v>2128.6</v>
      </c>
      <c r="G7138" s="6" t="s">
        <v>2623</v>
      </c>
    </row>
    <row r="7139" customFormat="false" ht="15" hidden="false" customHeight="true" outlineLevel="0" collapsed="false">
      <c r="A7139" s="6" t="s">
        <v>9751</v>
      </c>
      <c r="B7139" s="6" t="s">
        <v>1547</v>
      </c>
      <c r="C7139" s="6" t="s">
        <v>124</v>
      </c>
      <c r="D7139" s="13" t="n">
        <v>45785</v>
      </c>
      <c r="E7139" s="14" t="n">
        <v>1366.02</v>
      </c>
      <c r="F7139" s="14" t="n">
        <v>3494.62</v>
      </c>
      <c r="G7139" s="6" t="s">
        <v>2613</v>
      </c>
    </row>
    <row r="7140" customFormat="false" ht="15" hidden="false" customHeight="true" outlineLevel="0" collapsed="false">
      <c r="A7140" s="6" t="s">
        <v>9752</v>
      </c>
      <c r="B7140" s="6" t="s">
        <v>1547</v>
      </c>
      <c r="C7140" s="6" t="s">
        <v>124</v>
      </c>
      <c r="D7140" s="13" t="n">
        <v>45792</v>
      </c>
      <c r="E7140" s="14" t="n">
        <v>769.74</v>
      </c>
      <c r="F7140" s="14" t="n">
        <v>4264.36</v>
      </c>
      <c r="G7140" s="6" t="s">
        <v>2623</v>
      </c>
    </row>
    <row r="7141" customFormat="false" ht="15" hidden="false" customHeight="true" outlineLevel="0" collapsed="false">
      <c r="A7141" s="6" t="s">
        <v>9753</v>
      </c>
      <c r="B7141" s="6" t="s">
        <v>1547</v>
      </c>
      <c r="C7141" s="6" t="s">
        <v>124</v>
      </c>
      <c r="D7141" s="13" t="n">
        <v>45799</v>
      </c>
      <c r="E7141" s="14" t="n">
        <v>1457.76</v>
      </c>
      <c r="F7141" s="14" t="n">
        <v>5722.12</v>
      </c>
      <c r="G7141" s="6" t="s">
        <v>2613</v>
      </c>
    </row>
    <row r="7142" customFormat="false" ht="15" hidden="false" customHeight="true" outlineLevel="0" collapsed="false">
      <c r="A7142" s="6" t="s">
        <v>9754</v>
      </c>
      <c r="B7142" s="6" t="s">
        <v>1547</v>
      </c>
      <c r="C7142" s="6" t="s">
        <v>124</v>
      </c>
      <c r="D7142" s="13" t="n">
        <v>45806</v>
      </c>
      <c r="E7142" s="14" t="n">
        <v>1021.43</v>
      </c>
      <c r="F7142" s="14" t="n">
        <v>6743.55</v>
      </c>
      <c r="G7142" s="6" t="s">
        <v>2613</v>
      </c>
    </row>
    <row r="7143" customFormat="false" ht="15" hidden="false" customHeight="true" outlineLevel="0" collapsed="false">
      <c r="A7143" s="6" t="s">
        <v>9755</v>
      </c>
      <c r="B7143" s="6" t="s">
        <v>1547</v>
      </c>
      <c r="C7143" s="6" t="s">
        <v>124</v>
      </c>
      <c r="D7143" s="13" t="n">
        <v>45813</v>
      </c>
      <c r="E7143" s="14" t="n">
        <v>822.58</v>
      </c>
      <c r="F7143" s="14" t="n">
        <v>7566.13</v>
      </c>
      <c r="G7143" s="6" t="s">
        <v>2613</v>
      </c>
    </row>
    <row r="7144" customFormat="false" ht="15" hidden="false" customHeight="true" outlineLevel="0" collapsed="false">
      <c r="A7144" s="6" t="s">
        <v>9756</v>
      </c>
      <c r="B7144" s="6" t="s">
        <v>1547</v>
      </c>
      <c r="C7144" s="6" t="s">
        <v>124</v>
      </c>
      <c r="D7144" s="13" t="n">
        <v>45820</v>
      </c>
      <c r="E7144" s="14" t="n">
        <v>893.42</v>
      </c>
      <c r="F7144" s="14" t="n">
        <v>8459.55</v>
      </c>
      <c r="G7144" s="6" t="s">
        <v>2613</v>
      </c>
    </row>
    <row r="7145" customFormat="false" ht="15" hidden="false" customHeight="true" outlineLevel="0" collapsed="false">
      <c r="A7145" s="6" t="s">
        <v>9757</v>
      </c>
      <c r="B7145" s="6" t="s">
        <v>1547</v>
      </c>
      <c r="C7145" s="6" t="s">
        <v>124</v>
      </c>
      <c r="D7145" s="13" t="n">
        <v>45827</v>
      </c>
      <c r="E7145" s="14" t="n">
        <v>1091.1</v>
      </c>
      <c r="F7145" s="14" t="n">
        <v>9550.65</v>
      </c>
      <c r="G7145" s="6" t="s">
        <v>2613</v>
      </c>
    </row>
    <row r="7146" customFormat="false" ht="15" hidden="false" customHeight="true" outlineLevel="0" collapsed="false">
      <c r="A7146" s="6" t="s">
        <v>9758</v>
      </c>
      <c r="B7146" s="6" t="s">
        <v>1547</v>
      </c>
      <c r="C7146" s="6" t="s">
        <v>124</v>
      </c>
      <c r="D7146" s="13" t="n">
        <v>45834</v>
      </c>
      <c r="E7146" s="14" t="n">
        <v>1494.91</v>
      </c>
      <c r="F7146" s="14" t="n">
        <v>11045.56</v>
      </c>
      <c r="G7146" s="6" t="s">
        <v>2613</v>
      </c>
    </row>
    <row r="7147" customFormat="false" ht="15" hidden="false" customHeight="true" outlineLevel="0" collapsed="false">
      <c r="A7147" s="6" t="s">
        <v>9759</v>
      </c>
      <c r="B7147" s="6" t="s">
        <v>1547</v>
      </c>
      <c r="C7147" s="6" t="s">
        <v>124</v>
      </c>
      <c r="D7147" s="13" t="n">
        <v>45841</v>
      </c>
      <c r="E7147" s="14" t="n">
        <v>1433.37</v>
      </c>
      <c r="F7147" s="14" t="n">
        <v>12478.93</v>
      </c>
      <c r="G7147" s="6" t="s">
        <v>2613</v>
      </c>
    </row>
    <row r="7148" customFormat="false" ht="15" hidden="false" customHeight="true" outlineLevel="0" collapsed="false">
      <c r="A7148" s="6" t="s">
        <v>9760</v>
      </c>
      <c r="B7148" s="6" t="s">
        <v>1547</v>
      </c>
      <c r="C7148" s="6" t="s">
        <v>124</v>
      </c>
      <c r="D7148" s="13" t="n">
        <v>45848</v>
      </c>
      <c r="E7148" s="14" t="n">
        <v>1529.51</v>
      </c>
      <c r="F7148" s="14" t="n">
        <v>14008.44</v>
      </c>
      <c r="G7148" s="6" t="s">
        <v>2613</v>
      </c>
    </row>
    <row r="7149" customFormat="false" ht="15" hidden="false" customHeight="true" outlineLevel="0" collapsed="false">
      <c r="A7149" s="6" t="s">
        <v>9761</v>
      </c>
      <c r="B7149" s="6" t="s">
        <v>1547</v>
      </c>
      <c r="C7149" s="6" t="s">
        <v>124</v>
      </c>
      <c r="D7149" s="13" t="n">
        <v>45855</v>
      </c>
      <c r="E7149" s="14" t="n">
        <v>998.77</v>
      </c>
      <c r="F7149" s="14" t="n">
        <v>15007.21</v>
      </c>
      <c r="G7149" s="6" t="s">
        <v>2613</v>
      </c>
    </row>
    <row r="7150" customFormat="false" ht="15" hidden="false" customHeight="true" outlineLevel="0" collapsed="false">
      <c r="A7150" s="6" t="s">
        <v>9762</v>
      </c>
      <c r="B7150" s="6" t="s">
        <v>1547</v>
      </c>
      <c r="C7150" s="6" t="s">
        <v>124</v>
      </c>
      <c r="D7150" s="13" t="n">
        <v>45862</v>
      </c>
      <c r="E7150" s="14" t="n">
        <v>1019.04</v>
      </c>
      <c r="F7150" s="14" t="n">
        <v>16026.25</v>
      </c>
      <c r="G7150" s="6" t="s">
        <v>2613</v>
      </c>
    </row>
    <row r="7151" customFormat="false" ht="15" hidden="false" customHeight="true" outlineLevel="0" collapsed="false">
      <c r="A7151" s="6" t="s">
        <v>9763</v>
      </c>
      <c r="B7151" s="6" t="s">
        <v>1547</v>
      </c>
      <c r="C7151" s="6" t="s">
        <v>124</v>
      </c>
      <c r="D7151" s="13" t="n">
        <v>45869</v>
      </c>
      <c r="E7151" s="14" t="n">
        <v>2097.06</v>
      </c>
      <c r="F7151" s="14" t="n">
        <v>18123.31</v>
      </c>
      <c r="G7151" s="6" t="s">
        <v>2613</v>
      </c>
    </row>
    <row r="7152" customFormat="false" ht="15" hidden="false" customHeight="true" outlineLevel="0" collapsed="false">
      <c r="A7152" s="6" t="s">
        <v>9764</v>
      </c>
      <c r="B7152" s="6" t="s">
        <v>1549</v>
      </c>
      <c r="C7152" s="6" t="s">
        <v>120</v>
      </c>
      <c r="D7152" s="13" t="n">
        <v>45763</v>
      </c>
      <c r="E7152" s="14" t="n">
        <v>11893.19</v>
      </c>
      <c r="F7152" s="14" t="n">
        <v>11893.19</v>
      </c>
      <c r="G7152" s="6" t="s">
        <v>2613</v>
      </c>
    </row>
    <row r="7153" customFormat="false" ht="15" hidden="false" customHeight="true" outlineLevel="0" collapsed="false">
      <c r="A7153" s="6" t="s">
        <v>9765</v>
      </c>
      <c r="B7153" s="6" t="s">
        <v>1549</v>
      </c>
      <c r="C7153" s="6" t="s">
        <v>120</v>
      </c>
      <c r="D7153" s="13" t="n">
        <v>45770</v>
      </c>
      <c r="E7153" s="14" t="n">
        <v>9699.02</v>
      </c>
      <c r="F7153" s="14" t="n">
        <v>21592.21</v>
      </c>
      <c r="G7153" s="6" t="s">
        <v>2613</v>
      </c>
    </row>
    <row r="7154" customFormat="false" ht="15" hidden="false" customHeight="true" outlineLevel="0" collapsed="false">
      <c r="A7154" s="6" t="s">
        <v>9766</v>
      </c>
      <c r="B7154" s="6" t="s">
        <v>1549</v>
      </c>
      <c r="C7154" s="6" t="s">
        <v>120</v>
      </c>
      <c r="D7154" s="13" t="n">
        <v>45777</v>
      </c>
      <c r="E7154" s="14" t="n">
        <v>12452.76</v>
      </c>
      <c r="F7154" s="14" t="n">
        <v>34044.97</v>
      </c>
      <c r="G7154" s="6" t="s">
        <v>2613</v>
      </c>
    </row>
    <row r="7155" customFormat="false" ht="15" hidden="false" customHeight="true" outlineLevel="0" collapsed="false">
      <c r="A7155" s="6" t="s">
        <v>9767</v>
      </c>
      <c r="B7155" s="6" t="s">
        <v>1549</v>
      </c>
      <c r="C7155" s="6" t="s">
        <v>120</v>
      </c>
      <c r="D7155" s="13" t="n">
        <v>45784</v>
      </c>
      <c r="E7155" s="14" t="n">
        <v>10486.12</v>
      </c>
      <c r="F7155" s="14" t="n">
        <v>44531.09</v>
      </c>
      <c r="G7155" s="6" t="s">
        <v>2613</v>
      </c>
    </row>
    <row r="7156" customFormat="false" ht="15" hidden="false" customHeight="true" outlineLevel="0" collapsed="false">
      <c r="A7156" s="6" t="s">
        <v>9768</v>
      </c>
      <c r="B7156" s="6" t="s">
        <v>1549</v>
      </c>
      <c r="C7156" s="6" t="s">
        <v>120</v>
      </c>
      <c r="D7156" s="13" t="n">
        <v>45791</v>
      </c>
      <c r="E7156" s="14" t="n">
        <v>5012.19</v>
      </c>
      <c r="F7156" s="14" t="n">
        <v>49543.28</v>
      </c>
      <c r="G7156" s="6" t="s">
        <v>2613</v>
      </c>
    </row>
    <row r="7157" customFormat="false" ht="15" hidden="false" customHeight="true" outlineLevel="0" collapsed="false">
      <c r="A7157" s="6" t="s">
        <v>9769</v>
      </c>
      <c r="B7157" s="6" t="s">
        <v>1551</v>
      </c>
      <c r="C7157" s="6" t="s">
        <v>128</v>
      </c>
      <c r="D7157" s="13" t="n">
        <v>45721</v>
      </c>
      <c r="E7157" s="14" t="n">
        <v>3497.21</v>
      </c>
      <c r="F7157" s="14" t="n">
        <v>3497.21</v>
      </c>
      <c r="G7157" s="6" t="s">
        <v>2613</v>
      </c>
    </row>
    <row r="7158" customFormat="false" ht="15" hidden="false" customHeight="true" outlineLevel="0" collapsed="false">
      <c r="A7158" s="6" t="s">
        <v>9770</v>
      </c>
      <c r="B7158" s="6" t="s">
        <v>1551</v>
      </c>
      <c r="C7158" s="6" t="s">
        <v>128</v>
      </c>
      <c r="D7158" s="13" t="n">
        <v>45728</v>
      </c>
      <c r="E7158" s="14" t="n">
        <v>2096.68</v>
      </c>
      <c r="F7158" s="14" t="n">
        <v>5593.89</v>
      </c>
      <c r="G7158" s="6" t="s">
        <v>2613</v>
      </c>
    </row>
    <row r="7159" customFormat="false" ht="15" hidden="false" customHeight="true" outlineLevel="0" collapsed="false">
      <c r="A7159" s="6" t="s">
        <v>9771</v>
      </c>
      <c r="B7159" s="6" t="s">
        <v>1551</v>
      </c>
      <c r="C7159" s="6" t="s">
        <v>128</v>
      </c>
      <c r="D7159" s="13" t="n">
        <v>45735</v>
      </c>
      <c r="E7159" s="14" t="n">
        <v>3747.39</v>
      </c>
      <c r="F7159" s="14" t="n">
        <v>9341.28</v>
      </c>
      <c r="G7159" s="6" t="s">
        <v>2613</v>
      </c>
    </row>
    <row r="7160" customFormat="false" ht="15" hidden="false" customHeight="true" outlineLevel="0" collapsed="false">
      <c r="A7160" s="6" t="s">
        <v>9772</v>
      </c>
      <c r="B7160" s="6" t="s">
        <v>1551</v>
      </c>
      <c r="C7160" s="6" t="s">
        <v>128</v>
      </c>
      <c r="D7160" s="13" t="n">
        <v>45742</v>
      </c>
      <c r="E7160" s="14" t="n">
        <v>3163.57</v>
      </c>
      <c r="F7160" s="14" t="n">
        <v>12504.85</v>
      </c>
      <c r="G7160" s="6" t="s">
        <v>2613</v>
      </c>
    </row>
    <row r="7161" customFormat="false" ht="15" hidden="false" customHeight="true" outlineLevel="0" collapsed="false">
      <c r="A7161" s="6" t="s">
        <v>9773</v>
      </c>
      <c r="B7161" s="6" t="s">
        <v>1551</v>
      </c>
      <c r="C7161" s="6" t="s">
        <v>128</v>
      </c>
      <c r="D7161" s="13" t="n">
        <v>45749</v>
      </c>
      <c r="E7161" s="14" t="n">
        <v>2425.7</v>
      </c>
      <c r="F7161" s="14" t="n">
        <v>14930.55</v>
      </c>
      <c r="G7161" s="6" t="s">
        <v>2613</v>
      </c>
    </row>
    <row r="7162" customFormat="false" ht="15" hidden="false" customHeight="true" outlineLevel="0" collapsed="false">
      <c r="A7162" s="6" t="s">
        <v>9774</v>
      </c>
      <c r="B7162" s="6" t="s">
        <v>1551</v>
      </c>
      <c r="C7162" s="6" t="s">
        <v>128</v>
      </c>
      <c r="D7162" s="13" t="n">
        <v>45756</v>
      </c>
      <c r="E7162" s="14" t="n">
        <v>3540.47</v>
      </c>
      <c r="F7162" s="14" t="n">
        <v>18471.02</v>
      </c>
      <c r="G7162" s="6" t="s">
        <v>2613</v>
      </c>
    </row>
    <row r="7163" customFormat="false" ht="15" hidden="false" customHeight="true" outlineLevel="0" collapsed="false">
      <c r="A7163" s="6" t="s">
        <v>9775</v>
      </c>
      <c r="B7163" s="6" t="s">
        <v>1551</v>
      </c>
      <c r="C7163" s="6" t="s">
        <v>128</v>
      </c>
      <c r="D7163" s="13" t="n">
        <v>45763</v>
      </c>
      <c r="E7163" s="14" t="n">
        <v>2308.05</v>
      </c>
      <c r="F7163" s="14" t="n">
        <v>20779.07</v>
      </c>
      <c r="G7163" s="6" t="s">
        <v>2613</v>
      </c>
    </row>
    <row r="7164" customFormat="false" ht="15" hidden="false" customHeight="true" outlineLevel="0" collapsed="false">
      <c r="A7164" s="6" t="s">
        <v>9776</v>
      </c>
      <c r="B7164" s="6" t="s">
        <v>1551</v>
      </c>
      <c r="C7164" s="6" t="s">
        <v>128</v>
      </c>
      <c r="D7164" s="13" t="n">
        <v>45770</v>
      </c>
      <c r="E7164" s="14" t="n">
        <v>3344.62</v>
      </c>
      <c r="F7164" s="14" t="n">
        <v>24123.69</v>
      </c>
      <c r="G7164" s="6" t="s">
        <v>2613</v>
      </c>
    </row>
    <row r="7165" customFormat="false" ht="15" hidden="false" customHeight="true" outlineLevel="0" collapsed="false">
      <c r="A7165" s="6" t="s">
        <v>9777</v>
      </c>
      <c r="B7165" s="6" t="s">
        <v>1551</v>
      </c>
      <c r="C7165" s="6" t="s">
        <v>128</v>
      </c>
      <c r="D7165" s="13" t="n">
        <v>45777</v>
      </c>
      <c r="E7165" s="14" t="n">
        <v>3760.83</v>
      </c>
      <c r="F7165" s="14" t="n">
        <v>27884.52</v>
      </c>
      <c r="G7165" s="6" t="s">
        <v>2613</v>
      </c>
    </row>
    <row r="7166" customFormat="false" ht="15" hidden="false" customHeight="true" outlineLevel="0" collapsed="false">
      <c r="A7166" s="6" t="s">
        <v>9778</v>
      </c>
      <c r="B7166" s="6" t="s">
        <v>1551</v>
      </c>
      <c r="C7166" s="6" t="s">
        <v>128</v>
      </c>
      <c r="D7166" s="13" t="n">
        <v>45784</v>
      </c>
      <c r="E7166" s="14" t="n">
        <v>3924.4</v>
      </c>
      <c r="F7166" s="14" t="n">
        <v>31808.92</v>
      </c>
      <c r="G7166" s="6" t="s">
        <v>2613</v>
      </c>
    </row>
    <row r="7167" customFormat="false" ht="15" hidden="false" customHeight="true" outlineLevel="0" collapsed="false">
      <c r="A7167" s="6" t="s">
        <v>9779</v>
      </c>
      <c r="B7167" s="6" t="s">
        <v>1551</v>
      </c>
      <c r="C7167" s="6" t="s">
        <v>128</v>
      </c>
      <c r="D7167" s="13" t="n">
        <v>45791</v>
      </c>
      <c r="E7167" s="14" t="n">
        <v>2642.04</v>
      </c>
      <c r="F7167" s="14" t="n">
        <v>34450.96</v>
      </c>
      <c r="G7167" s="6" t="s">
        <v>2613</v>
      </c>
    </row>
    <row r="7168" customFormat="false" ht="15" hidden="false" customHeight="true" outlineLevel="0" collapsed="false">
      <c r="A7168" s="6" t="s">
        <v>9780</v>
      </c>
      <c r="B7168" s="6" t="s">
        <v>1551</v>
      </c>
      <c r="C7168" s="6" t="s">
        <v>128</v>
      </c>
      <c r="D7168" s="13" t="n">
        <v>45798</v>
      </c>
      <c r="E7168" s="14" t="n">
        <v>3272.91</v>
      </c>
      <c r="F7168" s="14" t="n">
        <v>37723.87</v>
      </c>
      <c r="G7168" s="6" t="s">
        <v>2613</v>
      </c>
    </row>
    <row r="7169" customFormat="false" ht="15" hidden="false" customHeight="true" outlineLevel="0" collapsed="false">
      <c r="A7169" s="6" t="s">
        <v>9781</v>
      </c>
      <c r="B7169" s="6" t="s">
        <v>1551</v>
      </c>
      <c r="C7169" s="6" t="s">
        <v>128</v>
      </c>
      <c r="D7169" s="13" t="n">
        <v>45805</v>
      </c>
      <c r="E7169" s="14" t="n">
        <v>3028.69</v>
      </c>
      <c r="F7169" s="14" t="n">
        <v>40752.56</v>
      </c>
      <c r="G7169" s="6" t="s">
        <v>2613</v>
      </c>
    </row>
    <row r="7170" customFormat="false" ht="15" hidden="false" customHeight="true" outlineLevel="0" collapsed="false">
      <c r="A7170" s="6" t="s">
        <v>9782</v>
      </c>
      <c r="B7170" s="6" t="s">
        <v>1551</v>
      </c>
      <c r="C7170" s="6" t="s">
        <v>128</v>
      </c>
      <c r="D7170" s="13" t="n">
        <v>45812</v>
      </c>
      <c r="E7170" s="14" t="n">
        <v>3348.64</v>
      </c>
      <c r="F7170" s="14" t="n">
        <v>44101.2</v>
      </c>
      <c r="G7170" s="6" t="s">
        <v>2613</v>
      </c>
    </row>
    <row r="7171" customFormat="false" ht="15" hidden="false" customHeight="true" outlineLevel="0" collapsed="false">
      <c r="A7171" s="6" t="s">
        <v>9783</v>
      </c>
      <c r="B7171" s="6" t="s">
        <v>1551</v>
      </c>
      <c r="C7171" s="6" t="s">
        <v>128</v>
      </c>
      <c r="D7171" s="13" t="n">
        <v>45819</v>
      </c>
      <c r="E7171" s="14" t="n">
        <v>2096.2</v>
      </c>
      <c r="F7171" s="14" t="n">
        <v>46197.4</v>
      </c>
      <c r="G7171" s="6" t="s">
        <v>2613</v>
      </c>
    </row>
    <row r="7172" customFormat="false" ht="15" hidden="false" customHeight="true" outlineLevel="0" collapsed="false">
      <c r="A7172" s="6" t="s">
        <v>9784</v>
      </c>
      <c r="B7172" s="6" t="s">
        <v>1553</v>
      </c>
      <c r="C7172" s="6" t="s">
        <v>128</v>
      </c>
      <c r="D7172" s="13" t="n">
        <v>44736</v>
      </c>
      <c r="E7172" s="14" t="n">
        <v>4194.02</v>
      </c>
      <c r="F7172" s="14" t="n">
        <v>4194.02</v>
      </c>
      <c r="G7172" s="6" t="s">
        <v>2613</v>
      </c>
    </row>
    <row r="7173" customFormat="false" ht="15" hidden="false" customHeight="true" outlineLevel="0" collapsed="false">
      <c r="A7173" s="6" t="s">
        <v>9785</v>
      </c>
      <c r="B7173" s="6" t="s">
        <v>1553</v>
      </c>
      <c r="C7173" s="6" t="s">
        <v>128</v>
      </c>
      <c r="D7173" s="13" t="n">
        <v>44743</v>
      </c>
      <c r="E7173" s="14" t="n">
        <v>5114.22</v>
      </c>
      <c r="F7173" s="14" t="n">
        <v>9308.24</v>
      </c>
      <c r="G7173" s="6" t="s">
        <v>2613</v>
      </c>
    </row>
    <row r="7174" customFormat="false" ht="15" hidden="false" customHeight="true" outlineLevel="0" collapsed="false">
      <c r="A7174" s="6" t="s">
        <v>9786</v>
      </c>
      <c r="B7174" s="6" t="s">
        <v>1553</v>
      </c>
      <c r="C7174" s="6" t="s">
        <v>128</v>
      </c>
      <c r="D7174" s="13" t="n">
        <v>44750</v>
      </c>
      <c r="E7174" s="14" t="n">
        <v>3899.94</v>
      </c>
      <c r="F7174" s="14" t="n">
        <v>13208.18</v>
      </c>
      <c r="G7174" s="6" t="s">
        <v>2613</v>
      </c>
    </row>
    <row r="7175" customFormat="false" ht="15" hidden="false" customHeight="true" outlineLevel="0" collapsed="false">
      <c r="A7175" s="6" t="s">
        <v>9787</v>
      </c>
      <c r="B7175" s="6" t="s">
        <v>1553</v>
      </c>
      <c r="C7175" s="6" t="s">
        <v>128</v>
      </c>
      <c r="D7175" s="13" t="n">
        <v>44757</v>
      </c>
      <c r="E7175" s="14" t="n">
        <v>3071.27</v>
      </c>
      <c r="F7175" s="14" t="n">
        <v>16279.45</v>
      </c>
      <c r="G7175" s="6" t="s">
        <v>2613</v>
      </c>
    </row>
    <row r="7176" customFormat="false" ht="15" hidden="false" customHeight="true" outlineLevel="0" collapsed="false">
      <c r="A7176" s="6" t="s">
        <v>9788</v>
      </c>
      <c r="B7176" s="6" t="s">
        <v>1553</v>
      </c>
      <c r="C7176" s="6" t="s">
        <v>128</v>
      </c>
      <c r="D7176" s="13" t="n">
        <v>44764</v>
      </c>
      <c r="E7176" s="14" t="n">
        <v>3116.87</v>
      </c>
      <c r="F7176" s="14" t="n">
        <v>19396.32</v>
      </c>
      <c r="G7176" s="6" t="s">
        <v>2613</v>
      </c>
    </row>
    <row r="7177" customFormat="false" ht="15" hidden="false" customHeight="true" outlineLevel="0" collapsed="false">
      <c r="A7177" s="6" t="s">
        <v>9789</v>
      </c>
      <c r="B7177" s="6" t="s">
        <v>1553</v>
      </c>
      <c r="C7177" s="6" t="s">
        <v>128</v>
      </c>
      <c r="D7177" s="13" t="n">
        <v>44771</v>
      </c>
      <c r="E7177" s="14" t="n">
        <v>3759.1</v>
      </c>
      <c r="F7177" s="14" t="n">
        <v>23155.42</v>
      </c>
      <c r="G7177" s="6" t="s">
        <v>2613</v>
      </c>
    </row>
    <row r="7178" customFormat="false" ht="15" hidden="false" customHeight="true" outlineLevel="0" collapsed="false">
      <c r="A7178" s="6" t="s">
        <v>9790</v>
      </c>
      <c r="B7178" s="6" t="s">
        <v>1553</v>
      </c>
      <c r="C7178" s="6" t="s">
        <v>128</v>
      </c>
      <c r="D7178" s="13" t="n">
        <v>44778</v>
      </c>
      <c r="E7178" s="14" t="n">
        <v>4265.87</v>
      </c>
      <c r="F7178" s="14" t="n">
        <v>27421.29</v>
      </c>
      <c r="G7178" s="6" t="s">
        <v>2623</v>
      </c>
    </row>
    <row r="7179" customFormat="false" ht="15" hidden="false" customHeight="true" outlineLevel="0" collapsed="false">
      <c r="A7179" s="6" t="s">
        <v>9791</v>
      </c>
      <c r="B7179" s="6" t="s">
        <v>1553</v>
      </c>
      <c r="C7179" s="6" t="s">
        <v>128</v>
      </c>
      <c r="D7179" s="13" t="n">
        <v>44785</v>
      </c>
      <c r="E7179" s="14" t="n">
        <v>4614.76</v>
      </c>
      <c r="F7179" s="14" t="n">
        <v>32036.05</v>
      </c>
      <c r="G7179" s="6" t="s">
        <v>2613</v>
      </c>
    </row>
    <row r="7180" customFormat="false" ht="15" hidden="false" customHeight="true" outlineLevel="0" collapsed="false">
      <c r="A7180" s="6" t="s">
        <v>9792</v>
      </c>
      <c r="B7180" s="6" t="s">
        <v>1553</v>
      </c>
      <c r="C7180" s="6" t="s">
        <v>128</v>
      </c>
      <c r="D7180" s="13" t="n">
        <v>44792</v>
      </c>
      <c r="E7180" s="14" t="n">
        <v>3873.92</v>
      </c>
      <c r="F7180" s="14" t="n">
        <v>35909.97</v>
      </c>
      <c r="G7180" s="6" t="s">
        <v>2613</v>
      </c>
    </row>
    <row r="7181" customFormat="false" ht="15" hidden="false" customHeight="true" outlineLevel="0" collapsed="false">
      <c r="A7181" s="6" t="s">
        <v>9793</v>
      </c>
      <c r="B7181" s="6" t="s">
        <v>1553</v>
      </c>
      <c r="C7181" s="6" t="s">
        <v>128</v>
      </c>
      <c r="D7181" s="13" t="n">
        <v>44799</v>
      </c>
      <c r="E7181" s="14" t="n">
        <v>3669.43</v>
      </c>
      <c r="F7181" s="14" t="n">
        <v>39579.4</v>
      </c>
      <c r="G7181" s="6" t="s">
        <v>2613</v>
      </c>
    </row>
    <row r="7182" customFormat="false" ht="15" hidden="false" customHeight="true" outlineLevel="0" collapsed="false">
      <c r="A7182" s="6" t="s">
        <v>9794</v>
      </c>
      <c r="B7182" s="6" t="s">
        <v>1553</v>
      </c>
      <c r="C7182" s="6" t="s">
        <v>128</v>
      </c>
      <c r="D7182" s="13" t="n">
        <v>44806</v>
      </c>
      <c r="E7182" s="14" t="n">
        <v>4106.98</v>
      </c>
      <c r="F7182" s="14" t="n">
        <v>43686.38</v>
      </c>
      <c r="G7182" s="6" t="s">
        <v>2613</v>
      </c>
    </row>
    <row r="7183" customFormat="false" ht="15" hidden="false" customHeight="true" outlineLevel="0" collapsed="false">
      <c r="A7183" s="6" t="s">
        <v>9795</v>
      </c>
      <c r="B7183" s="6" t="s">
        <v>1553</v>
      </c>
      <c r="C7183" s="6" t="s">
        <v>128</v>
      </c>
      <c r="D7183" s="13" t="n">
        <v>44813</v>
      </c>
      <c r="E7183" s="14" t="n">
        <v>4536.96</v>
      </c>
      <c r="F7183" s="14" t="n">
        <v>48223.34</v>
      </c>
      <c r="G7183" s="6" t="s">
        <v>2613</v>
      </c>
    </row>
    <row r="7184" customFormat="false" ht="15" hidden="false" customHeight="true" outlineLevel="0" collapsed="false">
      <c r="A7184" s="6" t="s">
        <v>9796</v>
      </c>
      <c r="B7184" s="6" t="s">
        <v>1553</v>
      </c>
      <c r="C7184" s="6" t="s">
        <v>128</v>
      </c>
      <c r="D7184" s="13" t="n">
        <v>44820</v>
      </c>
      <c r="E7184" s="14" t="n">
        <v>636.64</v>
      </c>
      <c r="F7184" s="14" t="n">
        <v>48859.98</v>
      </c>
      <c r="G7184" s="6" t="s">
        <v>2623</v>
      </c>
    </row>
    <row r="7185" customFormat="false" ht="15" hidden="false" customHeight="true" outlineLevel="0" collapsed="false">
      <c r="A7185" s="6" t="s">
        <v>9797</v>
      </c>
      <c r="B7185" s="6" t="s">
        <v>1555</v>
      </c>
      <c r="C7185" s="6" t="s">
        <v>112</v>
      </c>
      <c r="D7185" s="13" t="n">
        <v>44995</v>
      </c>
      <c r="E7185" s="14" t="n">
        <v>7362.61</v>
      </c>
      <c r="F7185" s="14" t="n">
        <v>7362.61</v>
      </c>
      <c r="G7185" s="6" t="s">
        <v>2613</v>
      </c>
    </row>
    <row r="7186" customFormat="false" ht="15" hidden="false" customHeight="true" outlineLevel="0" collapsed="false">
      <c r="A7186" s="6" t="s">
        <v>9798</v>
      </c>
      <c r="B7186" s="6" t="s">
        <v>1555</v>
      </c>
      <c r="C7186" s="6" t="s">
        <v>112</v>
      </c>
      <c r="D7186" s="13" t="n">
        <v>45002</v>
      </c>
      <c r="E7186" s="14" t="n">
        <v>9523.83</v>
      </c>
      <c r="F7186" s="14" t="n">
        <v>16886.44</v>
      </c>
      <c r="G7186" s="6" t="s">
        <v>2623</v>
      </c>
    </row>
    <row r="7187" customFormat="false" ht="15" hidden="false" customHeight="true" outlineLevel="0" collapsed="false">
      <c r="A7187" s="6" t="s">
        <v>9799</v>
      </c>
      <c r="B7187" s="6" t="s">
        <v>1555</v>
      </c>
      <c r="C7187" s="6" t="s">
        <v>112</v>
      </c>
      <c r="D7187" s="13" t="n">
        <v>45009</v>
      </c>
      <c r="E7187" s="14" t="n">
        <v>5095.65</v>
      </c>
      <c r="F7187" s="14" t="n">
        <v>21982.09</v>
      </c>
      <c r="G7187" s="6" t="s">
        <v>2613</v>
      </c>
    </row>
    <row r="7188" customFormat="false" ht="15" hidden="false" customHeight="true" outlineLevel="0" collapsed="false">
      <c r="A7188" s="6" t="s">
        <v>9800</v>
      </c>
      <c r="B7188" s="6" t="s">
        <v>1555</v>
      </c>
      <c r="C7188" s="6" t="s">
        <v>112</v>
      </c>
      <c r="D7188" s="13" t="n">
        <v>45016</v>
      </c>
      <c r="E7188" s="14" t="n">
        <v>7073.79</v>
      </c>
      <c r="F7188" s="14" t="n">
        <v>29055.88</v>
      </c>
      <c r="G7188" s="6" t="s">
        <v>2613</v>
      </c>
    </row>
    <row r="7189" customFormat="false" ht="15" hidden="false" customHeight="true" outlineLevel="0" collapsed="false">
      <c r="A7189" s="6" t="s">
        <v>9801</v>
      </c>
      <c r="B7189" s="6" t="s">
        <v>1555</v>
      </c>
      <c r="C7189" s="6" t="s">
        <v>112</v>
      </c>
      <c r="D7189" s="13" t="n">
        <v>45023</v>
      </c>
      <c r="E7189" s="14" t="n">
        <v>7859.02</v>
      </c>
      <c r="F7189" s="14" t="n">
        <v>36914.9</v>
      </c>
      <c r="G7189" s="6" t="s">
        <v>2613</v>
      </c>
    </row>
    <row r="7190" customFormat="false" ht="15" hidden="false" customHeight="true" outlineLevel="0" collapsed="false">
      <c r="A7190" s="6" t="s">
        <v>9802</v>
      </c>
      <c r="B7190" s="6" t="s">
        <v>1555</v>
      </c>
      <c r="C7190" s="6" t="s">
        <v>112</v>
      </c>
      <c r="D7190" s="13" t="n">
        <v>45030</v>
      </c>
      <c r="E7190" s="14" t="n">
        <v>8290.34</v>
      </c>
      <c r="F7190" s="14" t="n">
        <v>45205.24</v>
      </c>
      <c r="G7190" s="6" t="s">
        <v>2613</v>
      </c>
    </row>
    <row r="7191" customFormat="false" ht="15" hidden="false" customHeight="true" outlineLevel="0" collapsed="false">
      <c r="A7191" s="6" t="s">
        <v>9803</v>
      </c>
      <c r="B7191" s="6" t="s">
        <v>1557</v>
      </c>
      <c r="C7191" s="6" t="s">
        <v>116</v>
      </c>
      <c r="D7191" s="13" t="n">
        <v>45474</v>
      </c>
      <c r="E7191" s="14" t="n">
        <v>5465.7</v>
      </c>
      <c r="F7191" s="14" t="n">
        <v>5465.7</v>
      </c>
      <c r="G7191" s="6" t="s">
        <v>2613</v>
      </c>
    </row>
    <row r="7192" customFormat="false" ht="15" hidden="false" customHeight="true" outlineLevel="0" collapsed="false">
      <c r="A7192" s="6" t="s">
        <v>9804</v>
      </c>
      <c r="B7192" s="6" t="s">
        <v>1557</v>
      </c>
      <c r="C7192" s="6" t="s">
        <v>116</v>
      </c>
      <c r="D7192" s="13" t="n">
        <v>45481</v>
      </c>
      <c r="E7192" s="14" t="n">
        <v>7061.76</v>
      </c>
      <c r="F7192" s="14" t="n">
        <v>12527.46</v>
      </c>
      <c r="G7192" s="6" t="s">
        <v>2613</v>
      </c>
    </row>
    <row r="7193" customFormat="false" ht="15" hidden="false" customHeight="true" outlineLevel="0" collapsed="false">
      <c r="A7193" s="6" t="s">
        <v>9805</v>
      </c>
      <c r="B7193" s="6" t="s">
        <v>1557</v>
      </c>
      <c r="C7193" s="6" t="s">
        <v>116</v>
      </c>
      <c r="D7193" s="13" t="n">
        <v>45488</v>
      </c>
      <c r="E7193" s="14" t="n">
        <v>4862.1</v>
      </c>
      <c r="F7193" s="14" t="n">
        <v>17389.56</v>
      </c>
      <c r="G7193" s="6" t="s">
        <v>2613</v>
      </c>
    </row>
    <row r="7194" customFormat="false" ht="15" hidden="false" customHeight="true" outlineLevel="0" collapsed="false">
      <c r="A7194" s="6" t="s">
        <v>9806</v>
      </c>
      <c r="B7194" s="6" t="s">
        <v>1557</v>
      </c>
      <c r="C7194" s="6" t="s">
        <v>116</v>
      </c>
      <c r="D7194" s="13" t="n">
        <v>45495</v>
      </c>
      <c r="E7194" s="14" t="n">
        <v>5564.42</v>
      </c>
      <c r="F7194" s="14" t="n">
        <v>22953.98</v>
      </c>
      <c r="G7194" s="6" t="s">
        <v>2613</v>
      </c>
    </row>
    <row r="7195" customFormat="false" ht="15" hidden="false" customHeight="true" outlineLevel="0" collapsed="false">
      <c r="A7195" s="6" t="s">
        <v>9807</v>
      </c>
      <c r="B7195" s="6" t="s">
        <v>1557</v>
      </c>
      <c r="C7195" s="6" t="s">
        <v>116</v>
      </c>
      <c r="D7195" s="13" t="n">
        <v>45502</v>
      </c>
      <c r="E7195" s="14" t="n">
        <v>10277.15</v>
      </c>
      <c r="F7195" s="14" t="n">
        <v>33231.13</v>
      </c>
      <c r="G7195" s="6" t="s">
        <v>2613</v>
      </c>
    </row>
    <row r="7196" customFormat="false" ht="15" hidden="false" customHeight="true" outlineLevel="0" collapsed="false">
      <c r="A7196" s="6" t="s">
        <v>9808</v>
      </c>
      <c r="B7196" s="6" t="s">
        <v>1559</v>
      </c>
      <c r="C7196" s="6" t="s">
        <v>116</v>
      </c>
      <c r="D7196" s="13" t="n">
        <v>45930</v>
      </c>
      <c r="E7196" s="14" t="n">
        <v>1146.76</v>
      </c>
      <c r="F7196" s="14" t="n">
        <v>1146.76</v>
      </c>
      <c r="G7196" s="6" t="s">
        <v>2613</v>
      </c>
    </row>
    <row r="7197" customFormat="false" ht="15" hidden="false" customHeight="true" outlineLevel="0" collapsed="false">
      <c r="A7197" s="6" t="s">
        <v>9809</v>
      </c>
      <c r="B7197" s="6" t="s">
        <v>1559</v>
      </c>
      <c r="C7197" s="6" t="s">
        <v>116</v>
      </c>
      <c r="D7197" s="13" t="n">
        <v>45937</v>
      </c>
      <c r="E7197" s="14" t="n">
        <v>2044.84</v>
      </c>
      <c r="F7197" s="14" t="n">
        <v>3191.6</v>
      </c>
      <c r="G7197" s="6" t="s">
        <v>2613</v>
      </c>
    </row>
    <row r="7198" customFormat="false" ht="15" hidden="false" customHeight="true" outlineLevel="0" collapsed="false">
      <c r="A7198" s="6" t="s">
        <v>9810</v>
      </c>
      <c r="B7198" s="6" t="s">
        <v>1559</v>
      </c>
      <c r="C7198" s="6" t="s">
        <v>116</v>
      </c>
      <c r="D7198" s="13" t="n">
        <v>45944</v>
      </c>
      <c r="E7198" s="14" t="n">
        <v>1621.5</v>
      </c>
      <c r="F7198" s="14" t="n">
        <v>4813.1</v>
      </c>
      <c r="G7198" s="6" t="s">
        <v>2623</v>
      </c>
    </row>
    <row r="7199" customFormat="false" ht="15" hidden="false" customHeight="true" outlineLevel="0" collapsed="false">
      <c r="A7199" s="6" t="s">
        <v>9811</v>
      </c>
      <c r="B7199" s="6" t="s">
        <v>1559</v>
      </c>
      <c r="C7199" s="6" t="s">
        <v>116</v>
      </c>
      <c r="D7199" s="13" t="n">
        <v>45951</v>
      </c>
      <c r="E7199" s="14" t="n">
        <v>1428.02</v>
      </c>
      <c r="F7199" s="14" t="n">
        <v>6241.12</v>
      </c>
      <c r="G7199" s="6" t="s">
        <v>2613</v>
      </c>
    </row>
    <row r="7200" customFormat="false" ht="15" hidden="false" customHeight="true" outlineLevel="0" collapsed="false">
      <c r="A7200" s="6" t="s">
        <v>9812</v>
      </c>
      <c r="B7200" s="6" t="s">
        <v>1559</v>
      </c>
      <c r="C7200" s="6" t="s">
        <v>116</v>
      </c>
      <c r="D7200" s="13" t="n">
        <v>45958</v>
      </c>
      <c r="E7200" s="14" t="n">
        <v>954.78</v>
      </c>
      <c r="F7200" s="14" t="n">
        <v>7195.9</v>
      </c>
      <c r="G7200" s="6" t="s">
        <v>2613</v>
      </c>
    </row>
    <row r="7201" customFormat="false" ht="15" hidden="false" customHeight="true" outlineLevel="0" collapsed="false">
      <c r="A7201" s="6" t="s">
        <v>9813</v>
      </c>
      <c r="B7201" s="6" t="s">
        <v>1559</v>
      </c>
      <c r="C7201" s="6" t="s">
        <v>116</v>
      </c>
      <c r="D7201" s="13" t="n">
        <v>45965</v>
      </c>
      <c r="E7201" s="14" t="n">
        <v>1601.24</v>
      </c>
      <c r="F7201" s="14" t="n">
        <v>8797.14</v>
      </c>
      <c r="G7201" s="6" t="s">
        <v>2613</v>
      </c>
    </row>
    <row r="7202" customFormat="false" ht="15" hidden="false" customHeight="true" outlineLevel="0" collapsed="false">
      <c r="A7202" s="6" t="s">
        <v>9814</v>
      </c>
      <c r="B7202" s="6" t="s">
        <v>1559</v>
      </c>
      <c r="C7202" s="6" t="s">
        <v>116</v>
      </c>
      <c r="D7202" s="13" t="n">
        <v>45972</v>
      </c>
      <c r="E7202" s="14" t="n">
        <v>1194.96</v>
      </c>
      <c r="F7202" s="14" t="n">
        <v>9992.1</v>
      </c>
      <c r="G7202" s="6" t="s">
        <v>2613</v>
      </c>
    </row>
    <row r="7203" customFormat="false" ht="15" hidden="false" customHeight="true" outlineLevel="0" collapsed="false">
      <c r="A7203" s="6" t="s">
        <v>9815</v>
      </c>
      <c r="B7203" s="6" t="s">
        <v>1559</v>
      </c>
      <c r="C7203" s="6" t="s">
        <v>116</v>
      </c>
      <c r="D7203" s="13" t="n">
        <v>45979</v>
      </c>
      <c r="E7203" s="14" t="n">
        <v>2318.48</v>
      </c>
      <c r="F7203" s="14" t="n">
        <v>12310.58</v>
      </c>
      <c r="G7203" s="6" t="s">
        <v>2613</v>
      </c>
    </row>
    <row r="7204" customFormat="false" ht="15" hidden="false" customHeight="true" outlineLevel="0" collapsed="false">
      <c r="A7204" s="6" t="s">
        <v>9816</v>
      </c>
      <c r="B7204" s="6" t="s">
        <v>1561</v>
      </c>
      <c r="C7204" s="6" t="s">
        <v>124</v>
      </c>
      <c r="D7204" s="13" t="n">
        <v>44638</v>
      </c>
      <c r="E7204" s="14" t="n">
        <v>3080.07</v>
      </c>
      <c r="F7204" s="14" t="n">
        <v>3080.07</v>
      </c>
      <c r="G7204" s="6" t="s">
        <v>2613</v>
      </c>
    </row>
    <row r="7205" customFormat="false" ht="15" hidden="false" customHeight="true" outlineLevel="0" collapsed="false">
      <c r="A7205" s="6" t="s">
        <v>9817</v>
      </c>
      <c r="B7205" s="6" t="s">
        <v>1563</v>
      </c>
      <c r="C7205" s="6" t="s">
        <v>120</v>
      </c>
      <c r="D7205" s="13" t="n">
        <v>45722</v>
      </c>
      <c r="E7205" s="14" t="n">
        <v>1996</v>
      </c>
      <c r="F7205" s="14" t="n">
        <v>1996</v>
      </c>
      <c r="G7205" s="6" t="s">
        <v>2623</v>
      </c>
    </row>
    <row r="7206" customFormat="false" ht="15" hidden="false" customHeight="true" outlineLevel="0" collapsed="false">
      <c r="A7206" s="6" t="s">
        <v>9818</v>
      </c>
      <c r="B7206" s="6" t="s">
        <v>1563</v>
      </c>
      <c r="C7206" s="6" t="s">
        <v>120</v>
      </c>
      <c r="D7206" s="13" t="n">
        <v>45729</v>
      </c>
      <c r="E7206" s="14" t="n">
        <v>1954.46</v>
      </c>
      <c r="F7206" s="14" t="n">
        <v>3950.46</v>
      </c>
      <c r="G7206" s="6" t="s">
        <v>2613</v>
      </c>
    </row>
    <row r="7207" customFormat="false" ht="15" hidden="false" customHeight="true" outlineLevel="0" collapsed="false">
      <c r="A7207" s="6" t="s">
        <v>9819</v>
      </c>
      <c r="B7207" s="6" t="s">
        <v>1563</v>
      </c>
      <c r="C7207" s="6" t="s">
        <v>120</v>
      </c>
      <c r="D7207" s="13" t="n">
        <v>45736</v>
      </c>
      <c r="E7207" s="14" t="n">
        <v>3214.35</v>
      </c>
      <c r="F7207" s="14" t="n">
        <v>7164.81</v>
      </c>
      <c r="G7207" s="6" t="s">
        <v>2623</v>
      </c>
    </row>
    <row r="7208" customFormat="false" ht="15" hidden="false" customHeight="true" outlineLevel="0" collapsed="false">
      <c r="A7208" s="6" t="s">
        <v>9820</v>
      </c>
      <c r="B7208" s="6" t="s">
        <v>1563</v>
      </c>
      <c r="C7208" s="6" t="s">
        <v>120</v>
      </c>
      <c r="D7208" s="13" t="n">
        <v>45743</v>
      </c>
      <c r="E7208" s="14" t="n">
        <v>4150.89</v>
      </c>
      <c r="F7208" s="14" t="n">
        <v>11315.7</v>
      </c>
      <c r="G7208" s="6" t="s">
        <v>2613</v>
      </c>
    </row>
    <row r="7209" customFormat="false" ht="15" hidden="false" customHeight="true" outlineLevel="0" collapsed="false">
      <c r="A7209" s="6" t="s">
        <v>9821</v>
      </c>
      <c r="B7209" s="6" t="s">
        <v>1563</v>
      </c>
      <c r="C7209" s="6" t="s">
        <v>120</v>
      </c>
      <c r="D7209" s="13" t="n">
        <v>45750</v>
      </c>
      <c r="E7209" s="14" t="n">
        <v>2002.02</v>
      </c>
      <c r="F7209" s="14" t="n">
        <v>13317.72</v>
      </c>
      <c r="G7209" s="6" t="s">
        <v>2613</v>
      </c>
    </row>
    <row r="7210" customFormat="false" ht="15" hidden="false" customHeight="true" outlineLevel="0" collapsed="false">
      <c r="A7210" s="6" t="s">
        <v>9822</v>
      </c>
      <c r="B7210" s="6" t="s">
        <v>1563</v>
      </c>
      <c r="C7210" s="6" t="s">
        <v>120</v>
      </c>
      <c r="D7210" s="13" t="n">
        <v>45757</v>
      </c>
      <c r="E7210" s="14" t="n">
        <v>4106.48</v>
      </c>
      <c r="F7210" s="14" t="n">
        <v>17424.2</v>
      </c>
      <c r="G7210" s="6" t="s">
        <v>2613</v>
      </c>
    </row>
    <row r="7211" customFormat="false" ht="15" hidden="false" customHeight="true" outlineLevel="0" collapsed="false">
      <c r="A7211" s="6" t="s">
        <v>9823</v>
      </c>
      <c r="B7211" s="6" t="s">
        <v>1563</v>
      </c>
      <c r="C7211" s="6" t="s">
        <v>120</v>
      </c>
      <c r="D7211" s="13" t="n">
        <v>45764</v>
      </c>
      <c r="E7211" s="14" t="n">
        <v>3475.89</v>
      </c>
      <c r="F7211" s="14" t="n">
        <v>20900.09</v>
      </c>
      <c r="G7211" s="6" t="s">
        <v>2613</v>
      </c>
    </row>
    <row r="7212" customFormat="false" ht="15" hidden="false" customHeight="true" outlineLevel="0" collapsed="false">
      <c r="A7212" s="6" t="s">
        <v>9824</v>
      </c>
      <c r="B7212" s="6" t="s">
        <v>1563</v>
      </c>
      <c r="C7212" s="6" t="s">
        <v>120</v>
      </c>
      <c r="D7212" s="13" t="n">
        <v>45771</v>
      </c>
      <c r="E7212" s="14" t="n">
        <v>1982.74</v>
      </c>
      <c r="F7212" s="14" t="n">
        <v>22882.83</v>
      </c>
      <c r="G7212" s="6" t="s">
        <v>2623</v>
      </c>
    </row>
    <row r="7213" customFormat="false" ht="15" hidden="false" customHeight="true" outlineLevel="0" collapsed="false">
      <c r="A7213" s="6" t="s">
        <v>9825</v>
      </c>
      <c r="B7213" s="6" t="s">
        <v>1563</v>
      </c>
      <c r="C7213" s="6" t="s">
        <v>120</v>
      </c>
      <c r="D7213" s="13" t="n">
        <v>45778</v>
      </c>
      <c r="E7213" s="14" t="n">
        <v>3804.45</v>
      </c>
      <c r="F7213" s="14" t="n">
        <v>26687.28</v>
      </c>
      <c r="G7213" s="6" t="s">
        <v>2613</v>
      </c>
    </row>
    <row r="7214" customFormat="false" ht="15" hidden="false" customHeight="true" outlineLevel="0" collapsed="false">
      <c r="A7214" s="6" t="s">
        <v>9826</v>
      </c>
      <c r="B7214" s="6" t="s">
        <v>1563</v>
      </c>
      <c r="C7214" s="6" t="s">
        <v>120</v>
      </c>
      <c r="D7214" s="13" t="n">
        <v>45785</v>
      </c>
      <c r="E7214" s="14" t="n">
        <v>3981.25</v>
      </c>
      <c r="F7214" s="14" t="n">
        <v>30668.53</v>
      </c>
      <c r="G7214" s="6" t="s">
        <v>2613</v>
      </c>
    </row>
    <row r="7215" customFormat="false" ht="15" hidden="false" customHeight="true" outlineLevel="0" collapsed="false">
      <c r="A7215" s="6" t="s">
        <v>9827</v>
      </c>
      <c r="B7215" s="6" t="s">
        <v>1563</v>
      </c>
      <c r="C7215" s="6" t="s">
        <v>120</v>
      </c>
      <c r="D7215" s="13" t="n">
        <v>45792</v>
      </c>
      <c r="E7215" s="14" t="n">
        <v>1877.1</v>
      </c>
      <c r="F7215" s="14" t="n">
        <v>32545.63</v>
      </c>
      <c r="G7215" s="6" t="s">
        <v>2613</v>
      </c>
    </row>
    <row r="7216" customFormat="false" ht="15" hidden="false" customHeight="true" outlineLevel="0" collapsed="false">
      <c r="A7216" s="6" t="s">
        <v>9828</v>
      </c>
      <c r="B7216" s="6" t="s">
        <v>1563</v>
      </c>
      <c r="C7216" s="6" t="s">
        <v>120</v>
      </c>
      <c r="D7216" s="13" t="n">
        <v>45799</v>
      </c>
      <c r="E7216" s="14" t="n">
        <v>3762.49</v>
      </c>
      <c r="F7216" s="14" t="n">
        <v>36308.12</v>
      </c>
      <c r="G7216" s="6" t="s">
        <v>2613</v>
      </c>
    </row>
    <row r="7217" customFormat="false" ht="15" hidden="false" customHeight="true" outlineLevel="0" collapsed="false">
      <c r="A7217" s="6" t="s">
        <v>9829</v>
      </c>
      <c r="B7217" s="6" t="s">
        <v>1563</v>
      </c>
      <c r="C7217" s="6" t="s">
        <v>120</v>
      </c>
      <c r="D7217" s="13" t="n">
        <v>45806</v>
      </c>
      <c r="E7217" s="14" t="n">
        <v>2777.6</v>
      </c>
      <c r="F7217" s="14" t="n">
        <v>39085.72</v>
      </c>
      <c r="G7217" s="6" t="s">
        <v>2613</v>
      </c>
    </row>
    <row r="7218" customFormat="false" ht="15" hidden="false" customHeight="true" outlineLevel="0" collapsed="false">
      <c r="A7218" s="6" t="s">
        <v>9830</v>
      </c>
      <c r="B7218" s="6" t="s">
        <v>1563</v>
      </c>
      <c r="C7218" s="6" t="s">
        <v>120</v>
      </c>
      <c r="D7218" s="13" t="n">
        <v>45813</v>
      </c>
      <c r="E7218" s="14" t="n">
        <v>3965.25</v>
      </c>
      <c r="F7218" s="14" t="n">
        <v>43050.97</v>
      </c>
      <c r="G7218" s="6" t="s">
        <v>2613</v>
      </c>
    </row>
    <row r="7219" customFormat="false" ht="15" hidden="false" customHeight="true" outlineLevel="0" collapsed="false">
      <c r="A7219" s="6" t="s">
        <v>9831</v>
      </c>
      <c r="B7219" s="6" t="s">
        <v>1563</v>
      </c>
      <c r="C7219" s="6" t="s">
        <v>120</v>
      </c>
      <c r="D7219" s="13" t="n">
        <v>45820</v>
      </c>
      <c r="E7219" s="14" t="n">
        <v>3565.41</v>
      </c>
      <c r="F7219" s="14" t="n">
        <v>46616.38</v>
      </c>
      <c r="G7219" s="6" t="s">
        <v>2623</v>
      </c>
    </row>
    <row r="7220" customFormat="false" ht="15" hidden="false" customHeight="true" outlineLevel="0" collapsed="false">
      <c r="A7220" s="6" t="s">
        <v>9832</v>
      </c>
      <c r="B7220" s="6" t="s">
        <v>1563</v>
      </c>
      <c r="C7220" s="6" t="s">
        <v>120</v>
      </c>
      <c r="D7220" s="13" t="n">
        <v>45827</v>
      </c>
      <c r="E7220" s="14" t="n">
        <v>3262.79</v>
      </c>
      <c r="F7220" s="14" t="n">
        <v>49879.17</v>
      </c>
      <c r="G7220" s="6" t="s">
        <v>2623</v>
      </c>
    </row>
    <row r="7221" customFormat="false" ht="15" hidden="false" customHeight="true" outlineLevel="0" collapsed="false">
      <c r="A7221" s="6" t="s">
        <v>9833</v>
      </c>
      <c r="B7221" s="6" t="s">
        <v>1563</v>
      </c>
      <c r="C7221" s="6" t="s">
        <v>120</v>
      </c>
      <c r="D7221" s="13" t="n">
        <v>45834</v>
      </c>
      <c r="E7221" s="14" t="n">
        <v>2480.04</v>
      </c>
      <c r="F7221" s="14" t="n">
        <v>52359.21</v>
      </c>
      <c r="G7221" s="6" t="s">
        <v>2613</v>
      </c>
    </row>
    <row r="7222" customFormat="false" ht="15" hidden="false" customHeight="true" outlineLevel="0" collapsed="false">
      <c r="A7222" s="6" t="s">
        <v>9834</v>
      </c>
      <c r="B7222" s="6" t="s">
        <v>1563</v>
      </c>
      <c r="C7222" s="6" t="s">
        <v>120</v>
      </c>
      <c r="D7222" s="13" t="n">
        <v>45841</v>
      </c>
      <c r="E7222" s="14" t="n">
        <v>1193.71</v>
      </c>
      <c r="F7222" s="14" t="n">
        <v>53552.92</v>
      </c>
      <c r="G7222" s="6" t="s">
        <v>2613</v>
      </c>
    </row>
    <row r="7223" customFormat="false" ht="15" hidden="false" customHeight="true" outlineLevel="0" collapsed="false">
      <c r="A7223" s="6" t="s">
        <v>9835</v>
      </c>
      <c r="B7223" s="6" t="s">
        <v>1565</v>
      </c>
      <c r="C7223" s="6" t="s">
        <v>116</v>
      </c>
      <c r="D7223" s="13" t="n">
        <v>45440</v>
      </c>
      <c r="E7223" s="14" t="n">
        <v>4905.4</v>
      </c>
      <c r="F7223" s="14" t="n">
        <v>4905.4</v>
      </c>
      <c r="G7223" s="6" t="s">
        <v>2623</v>
      </c>
    </row>
    <row r="7224" customFormat="false" ht="15" hidden="false" customHeight="true" outlineLevel="0" collapsed="false">
      <c r="A7224" s="6" t="s">
        <v>9836</v>
      </c>
      <c r="B7224" s="6" t="s">
        <v>1565</v>
      </c>
      <c r="C7224" s="6" t="s">
        <v>116</v>
      </c>
      <c r="D7224" s="13" t="n">
        <v>45447</v>
      </c>
      <c r="E7224" s="14" t="n">
        <v>4489.53</v>
      </c>
      <c r="F7224" s="14" t="n">
        <v>9394.93</v>
      </c>
      <c r="G7224" s="6" t="s">
        <v>2613</v>
      </c>
    </row>
    <row r="7225" customFormat="false" ht="15" hidden="false" customHeight="true" outlineLevel="0" collapsed="false">
      <c r="A7225" s="6" t="s">
        <v>9837</v>
      </c>
      <c r="B7225" s="6" t="s">
        <v>1565</v>
      </c>
      <c r="C7225" s="6" t="s">
        <v>116</v>
      </c>
      <c r="D7225" s="13" t="n">
        <v>45454</v>
      </c>
      <c r="E7225" s="14" t="n">
        <v>2403.22</v>
      </c>
      <c r="F7225" s="14" t="n">
        <v>11798.15</v>
      </c>
      <c r="G7225" s="6" t="s">
        <v>2613</v>
      </c>
    </row>
    <row r="7226" customFormat="false" ht="15" hidden="false" customHeight="true" outlineLevel="0" collapsed="false">
      <c r="A7226" s="6" t="s">
        <v>9838</v>
      </c>
      <c r="B7226" s="6" t="s">
        <v>1565</v>
      </c>
      <c r="C7226" s="6" t="s">
        <v>116</v>
      </c>
      <c r="D7226" s="13" t="n">
        <v>45461</v>
      </c>
      <c r="E7226" s="14" t="n">
        <v>3202.13</v>
      </c>
      <c r="F7226" s="14" t="n">
        <v>15000.28</v>
      </c>
      <c r="G7226" s="6" t="s">
        <v>2623</v>
      </c>
    </row>
    <row r="7227" customFormat="false" ht="15" hidden="false" customHeight="true" outlineLevel="0" collapsed="false">
      <c r="A7227" s="6" t="s">
        <v>9839</v>
      </c>
      <c r="B7227" s="6" t="s">
        <v>1565</v>
      </c>
      <c r="C7227" s="6" t="s">
        <v>116</v>
      </c>
      <c r="D7227" s="13" t="n">
        <v>45468</v>
      </c>
      <c r="E7227" s="14" t="n">
        <v>4347.75</v>
      </c>
      <c r="F7227" s="14" t="n">
        <v>19348.03</v>
      </c>
      <c r="G7227" s="6" t="s">
        <v>2623</v>
      </c>
    </row>
    <row r="7228" customFormat="false" ht="15" hidden="false" customHeight="true" outlineLevel="0" collapsed="false">
      <c r="A7228" s="6" t="s">
        <v>9840</v>
      </c>
      <c r="B7228" s="6" t="s">
        <v>1565</v>
      </c>
      <c r="C7228" s="6" t="s">
        <v>116</v>
      </c>
      <c r="D7228" s="13" t="n">
        <v>45475</v>
      </c>
      <c r="E7228" s="14" t="n">
        <v>4106.45</v>
      </c>
      <c r="F7228" s="14" t="n">
        <v>23454.48</v>
      </c>
      <c r="G7228" s="6" t="s">
        <v>2623</v>
      </c>
    </row>
    <row r="7229" customFormat="false" ht="15" hidden="false" customHeight="true" outlineLevel="0" collapsed="false">
      <c r="A7229" s="6" t="s">
        <v>9841</v>
      </c>
      <c r="B7229" s="6" t="s">
        <v>1565</v>
      </c>
      <c r="C7229" s="6" t="s">
        <v>116</v>
      </c>
      <c r="D7229" s="13" t="n">
        <v>45482</v>
      </c>
      <c r="E7229" s="14" t="n">
        <v>3522.74</v>
      </c>
      <c r="F7229" s="14" t="n">
        <v>26977.22</v>
      </c>
      <c r="G7229" s="6" t="s">
        <v>2613</v>
      </c>
    </row>
    <row r="7230" customFormat="false" ht="15" hidden="false" customHeight="true" outlineLevel="0" collapsed="false">
      <c r="A7230" s="6" t="s">
        <v>9842</v>
      </c>
      <c r="B7230" s="6" t="s">
        <v>1565</v>
      </c>
      <c r="C7230" s="6" t="s">
        <v>116</v>
      </c>
      <c r="D7230" s="13" t="n">
        <v>45489</v>
      </c>
      <c r="E7230" s="14" t="n">
        <v>2503.74</v>
      </c>
      <c r="F7230" s="14" t="n">
        <v>29480.96</v>
      </c>
      <c r="G7230" s="6" t="s">
        <v>2613</v>
      </c>
    </row>
    <row r="7231" customFormat="false" ht="15" hidden="false" customHeight="true" outlineLevel="0" collapsed="false">
      <c r="A7231" s="6" t="s">
        <v>9843</v>
      </c>
      <c r="B7231" s="6" t="s">
        <v>1565</v>
      </c>
      <c r="C7231" s="6" t="s">
        <v>116</v>
      </c>
      <c r="D7231" s="13" t="n">
        <v>45496</v>
      </c>
      <c r="E7231" s="14" t="n">
        <v>3770.09</v>
      </c>
      <c r="F7231" s="14" t="n">
        <v>33251.05</v>
      </c>
      <c r="G7231" s="6" t="s">
        <v>2613</v>
      </c>
    </row>
    <row r="7232" customFormat="false" ht="15" hidden="false" customHeight="true" outlineLevel="0" collapsed="false">
      <c r="A7232" s="6" t="s">
        <v>9844</v>
      </c>
      <c r="B7232" s="6" t="s">
        <v>1565</v>
      </c>
      <c r="C7232" s="6" t="s">
        <v>116</v>
      </c>
      <c r="D7232" s="13" t="n">
        <v>45503</v>
      </c>
      <c r="E7232" s="14" t="n">
        <v>4518.55</v>
      </c>
      <c r="F7232" s="14" t="n">
        <v>37769.6</v>
      </c>
      <c r="G7232" s="6" t="s">
        <v>2623</v>
      </c>
    </row>
    <row r="7233" customFormat="false" ht="15" hidden="false" customHeight="true" outlineLevel="0" collapsed="false">
      <c r="A7233" s="6" t="s">
        <v>9845</v>
      </c>
      <c r="B7233" s="6" t="s">
        <v>1565</v>
      </c>
      <c r="C7233" s="6" t="s">
        <v>116</v>
      </c>
      <c r="D7233" s="13" t="n">
        <v>45510</v>
      </c>
      <c r="E7233" s="14" t="n">
        <v>2504.1</v>
      </c>
      <c r="F7233" s="14" t="n">
        <v>40273.7</v>
      </c>
      <c r="G7233" s="6" t="s">
        <v>2613</v>
      </c>
    </row>
    <row r="7234" customFormat="false" ht="15" hidden="false" customHeight="true" outlineLevel="0" collapsed="false">
      <c r="A7234" s="6" t="s">
        <v>9846</v>
      </c>
      <c r="B7234" s="6" t="s">
        <v>1565</v>
      </c>
      <c r="C7234" s="6" t="s">
        <v>116</v>
      </c>
      <c r="D7234" s="13" t="n">
        <v>45517</v>
      </c>
      <c r="E7234" s="14" t="n">
        <v>4013.44</v>
      </c>
      <c r="F7234" s="14" t="n">
        <v>44287.14</v>
      </c>
      <c r="G7234" s="6" t="s">
        <v>2623</v>
      </c>
    </row>
    <row r="7235" customFormat="false" ht="15" hidden="false" customHeight="true" outlineLevel="0" collapsed="false">
      <c r="A7235" s="6" t="s">
        <v>9847</v>
      </c>
      <c r="B7235" s="6" t="s">
        <v>1565</v>
      </c>
      <c r="C7235" s="6" t="s">
        <v>116</v>
      </c>
      <c r="D7235" s="13" t="n">
        <v>45524</v>
      </c>
      <c r="E7235" s="14" t="n">
        <v>4866.59</v>
      </c>
      <c r="F7235" s="14" t="n">
        <v>49153.73</v>
      </c>
      <c r="G7235" s="6" t="s">
        <v>2613</v>
      </c>
    </row>
    <row r="7236" customFormat="false" ht="15" hidden="false" customHeight="true" outlineLevel="0" collapsed="false">
      <c r="A7236" s="6" t="s">
        <v>9848</v>
      </c>
      <c r="B7236" s="6" t="s">
        <v>1565</v>
      </c>
      <c r="C7236" s="6" t="s">
        <v>116</v>
      </c>
      <c r="D7236" s="13" t="n">
        <v>45531</v>
      </c>
      <c r="E7236" s="14" t="n">
        <v>4392.43</v>
      </c>
      <c r="F7236" s="14" t="n">
        <v>53546.16</v>
      </c>
      <c r="G7236" s="6" t="s">
        <v>2623</v>
      </c>
    </row>
    <row r="7237" customFormat="false" ht="15" hidden="false" customHeight="true" outlineLevel="0" collapsed="false">
      <c r="A7237" s="6" t="s">
        <v>9849</v>
      </c>
      <c r="B7237" s="6" t="s">
        <v>1565</v>
      </c>
      <c r="C7237" s="6" t="s">
        <v>116</v>
      </c>
      <c r="D7237" s="13" t="n">
        <v>45538</v>
      </c>
      <c r="E7237" s="14" t="n">
        <v>2381.51</v>
      </c>
      <c r="F7237" s="14" t="n">
        <v>55927.67</v>
      </c>
      <c r="G7237" s="6" t="s">
        <v>2613</v>
      </c>
    </row>
    <row r="7238" customFormat="false" ht="15" hidden="false" customHeight="true" outlineLevel="0" collapsed="false">
      <c r="A7238" s="6" t="s">
        <v>9850</v>
      </c>
      <c r="B7238" s="6" t="s">
        <v>1565</v>
      </c>
      <c r="C7238" s="6" t="s">
        <v>116</v>
      </c>
      <c r="D7238" s="13" t="n">
        <v>45545</v>
      </c>
      <c r="E7238" s="14" t="n">
        <v>3630.52</v>
      </c>
      <c r="F7238" s="14" t="n">
        <v>59558.19</v>
      </c>
      <c r="G7238" s="6" t="s">
        <v>2613</v>
      </c>
    </row>
    <row r="7239" customFormat="false" ht="15" hidden="false" customHeight="true" outlineLevel="0" collapsed="false">
      <c r="A7239" s="6" t="s">
        <v>9851</v>
      </c>
      <c r="B7239" s="6" t="s">
        <v>1565</v>
      </c>
      <c r="C7239" s="6" t="s">
        <v>116</v>
      </c>
      <c r="D7239" s="13" t="n">
        <v>45552</v>
      </c>
      <c r="E7239" s="14" t="n">
        <v>2967.14</v>
      </c>
      <c r="F7239" s="14" t="n">
        <v>62525.33</v>
      </c>
      <c r="G7239" s="6" t="s">
        <v>2613</v>
      </c>
    </row>
    <row r="7240" customFormat="false" ht="15" hidden="false" customHeight="true" outlineLevel="0" collapsed="false">
      <c r="A7240" s="6" t="s">
        <v>9852</v>
      </c>
      <c r="B7240" s="6" t="s">
        <v>1565</v>
      </c>
      <c r="C7240" s="6" t="s">
        <v>116</v>
      </c>
      <c r="D7240" s="13" t="n">
        <v>45559</v>
      </c>
      <c r="E7240" s="14" t="n">
        <v>3491.82</v>
      </c>
      <c r="F7240" s="14" t="n">
        <v>66017.15</v>
      </c>
      <c r="G7240" s="6" t="s">
        <v>2613</v>
      </c>
    </row>
    <row r="7241" customFormat="false" ht="15" hidden="false" customHeight="true" outlineLevel="0" collapsed="false">
      <c r="A7241" s="6" t="s">
        <v>9853</v>
      </c>
      <c r="B7241" s="6" t="s">
        <v>1565</v>
      </c>
      <c r="C7241" s="6" t="s">
        <v>116</v>
      </c>
      <c r="D7241" s="13" t="n">
        <v>45566</v>
      </c>
      <c r="E7241" s="14" t="n">
        <v>4306.46</v>
      </c>
      <c r="F7241" s="14" t="n">
        <v>70323.61</v>
      </c>
      <c r="G7241" s="6" t="s">
        <v>2613</v>
      </c>
    </row>
    <row r="7242" customFormat="false" ht="15" hidden="false" customHeight="true" outlineLevel="0" collapsed="false">
      <c r="A7242" s="6" t="s">
        <v>9854</v>
      </c>
      <c r="B7242" s="6" t="s">
        <v>1565</v>
      </c>
      <c r="C7242" s="6" t="s">
        <v>116</v>
      </c>
      <c r="D7242" s="13" t="n">
        <v>45573</v>
      </c>
      <c r="E7242" s="14" t="n">
        <v>4864.06</v>
      </c>
      <c r="F7242" s="14" t="n">
        <v>75187.67</v>
      </c>
      <c r="G7242" s="6" t="s">
        <v>2613</v>
      </c>
    </row>
    <row r="7243" customFormat="false" ht="15" hidden="false" customHeight="true" outlineLevel="0" collapsed="false">
      <c r="A7243" s="6" t="s">
        <v>9855</v>
      </c>
      <c r="B7243" s="6" t="s">
        <v>1565</v>
      </c>
      <c r="C7243" s="6" t="s">
        <v>116</v>
      </c>
      <c r="D7243" s="13" t="n">
        <v>45580</v>
      </c>
      <c r="E7243" s="14" t="n">
        <v>3563.93</v>
      </c>
      <c r="F7243" s="14" t="n">
        <v>78751.6</v>
      </c>
      <c r="G7243" s="6" t="s">
        <v>2613</v>
      </c>
    </row>
    <row r="7244" customFormat="false" ht="15" hidden="false" customHeight="true" outlineLevel="0" collapsed="false">
      <c r="A7244" s="6" t="s">
        <v>9856</v>
      </c>
      <c r="B7244" s="6" t="s">
        <v>1565</v>
      </c>
      <c r="C7244" s="6" t="s">
        <v>116</v>
      </c>
      <c r="D7244" s="13" t="n">
        <v>45587</v>
      </c>
      <c r="E7244" s="14" t="n">
        <v>2954.39</v>
      </c>
      <c r="F7244" s="14" t="n">
        <v>81705.99</v>
      </c>
      <c r="G7244" s="6" t="s">
        <v>2613</v>
      </c>
    </row>
    <row r="7245" customFormat="false" ht="15" hidden="false" customHeight="true" outlineLevel="0" collapsed="false">
      <c r="A7245" s="6" t="s">
        <v>9857</v>
      </c>
      <c r="B7245" s="6" t="s">
        <v>1565</v>
      </c>
      <c r="C7245" s="6" t="s">
        <v>116</v>
      </c>
      <c r="D7245" s="13" t="n">
        <v>45594</v>
      </c>
      <c r="E7245" s="14" t="n">
        <v>3832.96</v>
      </c>
      <c r="F7245" s="14" t="n">
        <v>85538.95</v>
      </c>
      <c r="G7245" s="6" t="s">
        <v>2613</v>
      </c>
    </row>
    <row r="7246" customFormat="false" ht="15" hidden="false" customHeight="true" outlineLevel="0" collapsed="false">
      <c r="A7246" s="6" t="s">
        <v>9858</v>
      </c>
      <c r="B7246" s="6" t="s">
        <v>1565</v>
      </c>
      <c r="C7246" s="6" t="s">
        <v>116</v>
      </c>
      <c r="D7246" s="13" t="n">
        <v>45601</v>
      </c>
      <c r="E7246" s="14" t="n">
        <v>4351.74</v>
      </c>
      <c r="F7246" s="14" t="n">
        <v>89890.69</v>
      </c>
      <c r="G7246" s="6" t="s">
        <v>2623</v>
      </c>
    </row>
    <row r="7247" customFormat="false" ht="15" hidden="false" customHeight="true" outlineLevel="0" collapsed="false">
      <c r="A7247" s="6" t="s">
        <v>9859</v>
      </c>
      <c r="B7247" s="6" t="s">
        <v>1565</v>
      </c>
      <c r="C7247" s="6" t="s">
        <v>116</v>
      </c>
      <c r="D7247" s="13" t="n">
        <v>45608</v>
      </c>
      <c r="E7247" s="14" t="n">
        <v>4717.6</v>
      </c>
      <c r="F7247" s="14" t="n">
        <v>94608.29</v>
      </c>
      <c r="G7247" s="6" t="s">
        <v>2613</v>
      </c>
    </row>
    <row r="7248" customFormat="false" ht="15" hidden="false" customHeight="true" outlineLevel="0" collapsed="false">
      <c r="A7248" s="6" t="s">
        <v>9860</v>
      </c>
      <c r="B7248" s="6" t="s">
        <v>1565</v>
      </c>
      <c r="C7248" s="6" t="s">
        <v>116</v>
      </c>
      <c r="D7248" s="13" t="n">
        <v>45615</v>
      </c>
      <c r="E7248" s="14" t="n">
        <v>3859.75</v>
      </c>
      <c r="F7248" s="14" t="n">
        <v>98468.04</v>
      </c>
      <c r="G7248" s="6" t="s">
        <v>2613</v>
      </c>
    </row>
    <row r="7249" customFormat="false" ht="15" hidden="false" customHeight="true" outlineLevel="0" collapsed="false">
      <c r="A7249" s="6" t="s">
        <v>9861</v>
      </c>
      <c r="B7249" s="6" t="s">
        <v>1565</v>
      </c>
      <c r="C7249" s="6" t="s">
        <v>116</v>
      </c>
      <c r="D7249" s="13" t="n">
        <v>45622</v>
      </c>
      <c r="E7249" s="14" t="n">
        <v>4909.65</v>
      </c>
      <c r="F7249" s="14" t="n">
        <v>103377.69</v>
      </c>
      <c r="G7249" s="6" t="s">
        <v>2613</v>
      </c>
    </row>
    <row r="7250" customFormat="false" ht="15" hidden="false" customHeight="true" outlineLevel="0" collapsed="false">
      <c r="A7250" s="6" t="s">
        <v>9862</v>
      </c>
      <c r="B7250" s="6" t="s">
        <v>1565</v>
      </c>
      <c r="C7250" s="6" t="s">
        <v>116</v>
      </c>
      <c r="D7250" s="13" t="n">
        <v>45629</v>
      </c>
      <c r="E7250" s="14" t="n">
        <v>2685.29</v>
      </c>
      <c r="F7250" s="14" t="n">
        <v>106062.98</v>
      </c>
      <c r="G7250" s="6" t="s">
        <v>2613</v>
      </c>
    </row>
    <row r="7251" customFormat="false" ht="15" hidden="false" customHeight="true" outlineLevel="0" collapsed="false">
      <c r="A7251" s="6" t="s">
        <v>9863</v>
      </c>
      <c r="B7251" s="6" t="s">
        <v>1567</v>
      </c>
      <c r="C7251" s="6" t="s">
        <v>116</v>
      </c>
      <c r="D7251" s="13" t="n">
        <v>45456</v>
      </c>
      <c r="E7251" s="14" t="n">
        <v>2449.64</v>
      </c>
      <c r="F7251" s="14" t="n">
        <v>2449.64</v>
      </c>
      <c r="G7251" s="6" t="s">
        <v>2613</v>
      </c>
    </row>
    <row r="7252" customFormat="false" ht="15" hidden="false" customHeight="true" outlineLevel="0" collapsed="false">
      <c r="A7252" s="6" t="s">
        <v>9864</v>
      </c>
      <c r="B7252" s="6" t="s">
        <v>1567</v>
      </c>
      <c r="C7252" s="6" t="s">
        <v>116</v>
      </c>
      <c r="D7252" s="13" t="n">
        <v>45463</v>
      </c>
      <c r="E7252" s="14" t="n">
        <v>4693.13</v>
      </c>
      <c r="F7252" s="14" t="n">
        <v>7142.77</v>
      </c>
      <c r="G7252" s="6" t="s">
        <v>2613</v>
      </c>
    </row>
    <row r="7253" customFormat="false" ht="15" hidden="false" customHeight="true" outlineLevel="0" collapsed="false">
      <c r="A7253" s="6" t="s">
        <v>9865</v>
      </c>
      <c r="B7253" s="6" t="s">
        <v>1567</v>
      </c>
      <c r="C7253" s="6" t="s">
        <v>116</v>
      </c>
      <c r="D7253" s="13" t="n">
        <v>45470</v>
      </c>
      <c r="E7253" s="14" t="n">
        <v>5245.78</v>
      </c>
      <c r="F7253" s="14" t="n">
        <v>12388.55</v>
      </c>
      <c r="G7253" s="6" t="s">
        <v>2613</v>
      </c>
    </row>
    <row r="7254" customFormat="false" ht="15" hidden="false" customHeight="true" outlineLevel="0" collapsed="false">
      <c r="A7254" s="6" t="s">
        <v>9866</v>
      </c>
      <c r="B7254" s="6" t="s">
        <v>1567</v>
      </c>
      <c r="C7254" s="6" t="s">
        <v>116</v>
      </c>
      <c r="D7254" s="13" t="n">
        <v>45477</v>
      </c>
      <c r="E7254" s="14" t="n">
        <v>4218.57</v>
      </c>
      <c r="F7254" s="14" t="n">
        <v>16607.12</v>
      </c>
      <c r="G7254" s="6" t="s">
        <v>2613</v>
      </c>
    </row>
    <row r="7255" customFormat="false" ht="15" hidden="false" customHeight="true" outlineLevel="0" collapsed="false">
      <c r="A7255" s="6" t="s">
        <v>9867</v>
      </c>
      <c r="B7255" s="6" t="s">
        <v>1567</v>
      </c>
      <c r="C7255" s="6" t="s">
        <v>116</v>
      </c>
      <c r="D7255" s="13" t="n">
        <v>45484</v>
      </c>
      <c r="E7255" s="14" t="n">
        <v>4930.98</v>
      </c>
      <c r="F7255" s="14" t="n">
        <v>21538.1</v>
      </c>
      <c r="G7255" s="6" t="s">
        <v>2623</v>
      </c>
    </row>
    <row r="7256" customFormat="false" ht="15" hidden="false" customHeight="true" outlineLevel="0" collapsed="false">
      <c r="A7256" s="6" t="s">
        <v>9868</v>
      </c>
      <c r="B7256" s="6" t="s">
        <v>1567</v>
      </c>
      <c r="C7256" s="6" t="s">
        <v>116</v>
      </c>
      <c r="D7256" s="13" t="n">
        <v>45491</v>
      </c>
      <c r="E7256" s="14" t="n">
        <v>4149.59</v>
      </c>
      <c r="F7256" s="14" t="n">
        <v>25687.69</v>
      </c>
      <c r="G7256" s="6" t="s">
        <v>2613</v>
      </c>
    </row>
    <row r="7257" customFormat="false" ht="15" hidden="false" customHeight="true" outlineLevel="0" collapsed="false">
      <c r="A7257" s="6" t="s">
        <v>9869</v>
      </c>
      <c r="B7257" s="6" t="s">
        <v>1567</v>
      </c>
      <c r="C7257" s="6" t="s">
        <v>116</v>
      </c>
      <c r="D7257" s="13" t="n">
        <v>45498</v>
      </c>
      <c r="E7257" s="14" t="n">
        <v>566.11</v>
      </c>
      <c r="F7257" s="14" t="n">
        <v>26253.8</v>
      </c>
      <c r="G7257" s="6" t="s">
        <v>2613</v>
      </c>
    </row>
    <row r="7258" customFormat="false" ht="15" hidden="false" customHeight="true" outlineLevel="0" collapsed="false">
      <c r="A7258" s="6" t="s">
        <v>9870</v>
      </c>
      <c r="B7258" s="6" t="s">
        <v>1569</v>
      </c>
      <c r="C7258" s="6" t="s">
        <v>112</v>
      </c>
      <c r="D7258" s="13" t="n">
        <v>45793</v>
      </c>
      <c r="E7258" s="14" t="n">
        <v>3259.82</v>
      </c>
      <c r="F7258" s="14" t="n">
        <v>3259.82</v>
      </c>
      <c r="G7258" s="6" t="s">
        <v>2613</v>
      </c>
    </row>
    <row r="7259" customFormat="false" ht="15" hidden="false" customHeight="true" outlineLevel="0" collapsed="false">
      <c r="A7259" s="6" t="s">
        <v>9871</v>
      </c>
      <c r="B7259" s="6" t="s">
        <v>1569</v>
      </c>
      <c r="C7259" s="6" t="s">
        <v>112</v>
      </c>
      <c r="D7259" s="13" t="n">
        <v>45800</v>
      </c>
      <c r="E7259" s="14" t="n">
        <v>4015.4</v>
      </c>
      <c r="F7259" s="14" t="n">
        <v>7275.22</v>
      </c>
      <c r="G7259" s="6" t="s">
        <v>2613</v>
      </c>
    </row>
    <row r="7260" customFormat="false" ht="15" hidden="false" customHeight="true" outlineLevel="0" collapsed="false">
      <c r="A7260" s="6" t="s">
        <v>9872</v>
      </c>
      <c r="B7260" s="6" t="s">
        <v>1569</v>
      </c>
      <c r="C7260" s="6" t="s">
        <v>112</v>
      </c>
      <c r="D7260" s="13" t="n">
        <v>45807</v>
      </c>
      <c r="E7260" s="14" t="n">
        <v>3444.59</v>
      </c>
      <c r="F7260" s="14" t="n">
        <v>10719.81</v>
      </c>
      <c r="G7260" s="6" t="s">
        <v>2613</v>
      </c>
    </row>
    <row r="7261" customFormat="false" ht="15" hidden="false" customHeight="true" outlineLevel="0" collapsed="false">
      <c r="A7261" s="6" t="s">
        <v>9873</v>
      </c>
      <c r="B7261" s="6" t="s">
        <v>1569</v>
      </c>
      <c r="C7261" s="6" t="s">
        <v>112</v>
      </c>
      <c r="D7261" s="13" t="n">
        <v>45814</v>
      </c>
      <c r="E7261" s="14" t="n">
        <v>4116.58</v>
      </c>
      <c r="F7261" s="14" t="n">
        <v>14836.39</v>
      </c>
      <c r="G7261" s="6" t="s">
        <v>2613</v>
      </c>
    </row>
    <row r="7262" customFormat="false" ht="15" hidden="false" customHeight="true" outlineLevel="0" collapsed="false">
      <c r="A7262" s="6" t="s">
        <v>9874</v>
      </c>
      <c r="B7262" s="6" t="s">
        <v>1569</v>
      </c>
      <c r="C7262" s="6" t="s">
        <v>112</v>
      </c>
      <c r="D7262" s="13" t="n">
        <v>45821</v>
      </c>
      <c r="E7262" s="14" t="n">
        <v>3249.26</v>
      </c>
      <c r="F7262" s="14" t="n">
        <v>18085.65</v>
      </c>
      <c r="G7262" s="6" t="s">
        <v>2613</v>
      </c>
    </row>
    <row r="7263" customFormat="false" ht="15" hidden="false" customHeight="true" outlineLevel="0" collapsed="false">
      <c r="A7263" s="6" t="s">
        <v>9875</v>
      </c>
      <c r="B7263" s="6" t="s">
        <v>1569</v>
      </c>
      <c r="C7263" s="6" t="s">
        <v>112</v>
      </c>
      <c r="D7263" s="13" t="n">
        <v>45828</v>
      </c>
      <c r="E7263" s="14" t="n">
        <v>3047.2</v>
      </c>
      <c r="F7263" s="14" t="n">
        <v>21132.85</v>
      </c>
      <c r="G7263" s="6" t="s">
        <v>2613</v>
      </c>
    </row>
    <row r="7264" customFormat="false" ht="15" hidden="false" customHeight="true" outlineLevel="0" collapsed="false">
      <c r="A7264" s="6" t="s">
        <v>9876</v>
      </c>
      <c r="B7264" s="6" t="s">
        <v>1569</v>
      </c>
      <c r="C7264" s="6" t="s">
        <v>112</v>
      </c>
      <c r="D7264" s="13" t="n">
        <v>45835</v>
      </c>
      <c r="E7264" s="14" t="n">
        <v>5069.3</v>
      </c>
      <c r="F7264" s="14" t="n">
        <v>26202.15</v>
      </c>
      <c r="G7264" s="6" t="s">
        <v>2613</v>
      </c>
    </row>
    <row r="7265" customFormat="false" ht="15" hidden="false" customHeight="true" outlineLevel="0" collapsed="false">
      <c r="A7265" s="6" t="s">
        <v>9877</v>
      </c>
      <c r="B7265" s="6" t="s">
        <v>1569</v>
      </c>
      <c r="C7265" s="6" t="s">
        <v>112</v>
      </c>
      <c r="D7265" s="13" t="n">
        <v>45842</v>
      </c>
      <c r="E7265" s="14" t="n">
        <v>2923.03</v>
      </c>
      <c r="F7265" s="14" t="n">
        <v>29125.18</v>
      </c>
      <c r="G7265" s="6" t="s">
        <v>2613</v>
      </c>
    </row>
    <row r="7266" customFormat="false" ht="15" hidden="false" customHeight="true" outlineLevel="0" collapsed="false">
      <c r="A7266" s="6" t="s">
        <v>9878</v>
      </c>
      <c r="B7266" s="6" t="s">
        <v>1571</v>
      </c>
      <c r="C7266" s="6" t="s">
        <v>124</v>
      </c>
      <c r="D7266" s="13" t="n">
        <v>44656</v>
      </c>
      <c r="E7266" s="14" t="n">
        <v>1463.44</v>
      </c>
      <c r="F7266" s="14" t="n">
        <v>1463.44</v>
      </c>
      <c r="G7266" s="6" t="s">
        <v>2613</v>
      </c>
    </row>
    <row r="7267" customFormat="false" ht="15" hidden="false" customHeight="true" outlineLevel="0" collapsed="false">
      <c r="A7267" s="6" t="s">
        <v>9879</v>
      </c>
      <c r="B7267" s="6" t="s">
        <v>1571</v>
      </c>
      <c r="C7267" s="6" t="s">
        <v>124</v>
      </c>
      <c r="D7267" s="13" t="n">
        <v>44663</v>
      </c>
      <c r="E7267" s="14" t="n">
        <v>1656.2</v>
      </c>
      <c r="F7267" s="14" t="n">
        <v>3119.64</v>
      </c>
      <c r="G7267" s="6" t="s">
        <v>2623</v>
      </c>
    </row>
    <row r="7268" customFormat="false" ht="15" hidden="false" customHeight="true" outlineLevel="0" collapsed="false">
      <c r="A7268" s="6" t="s">
        <v>9880</v>
      </c>
      <c r="B7268" s="6" t="s">
        <v>1571</v>
      </c>
      <c r="C7268" s="6" t="s">
        <v>124</v>
      </c>
      <c r="D7268" s="13" t="n">
        <v>44670</v>
      </c>
      <c r="E7268" s="14" t="n">
        <v>1634.91</v>
      </c>
      <c r="F7268" s="14" t="n">
        <v>4754.55</v>
      </c>
      <c r="G7268" s="6" t="s">
        <v>2613</v>
      </c>
    </row>
    <row r="7269" customFormat="false" ht="15" hidden="false" customHeight="true" outlineLevel="0" collapsed="false">
      <c r="A7269" s="6" t="s">
        <v>9881</v>
      </c>
      <c r="B7269" s="6" t="s">
        <v>1571</v>
      </c>
      <c r="C7269" s="6" t="s">
        <v>124</v>
      </c>
      <c r="D7269" s="13" t="n">
        <v>44677</v>
      </c>
      <c r="E7269" s="14" t="n">
        <v>1778.05</v>
      </c>
      <c r="F7269" s="14" t="n">
        <v>6532.6</v>
      </c>
      <c r="G7269" s="6" t="s">
        <v>2613</v>
      </c>
    </row>
    <row r="7270" customFormat="false" ht="15" hidden="false" customHeight="true" outlineLevel="0" collapsed="false">
      <c r="A7270" s="6" t="s">
        <v>9882</v>
      </c>
      <c r="B7270" s="6" t="s">
        <v>1571</v>
      </c>
      <c r="C7270" s="6" t="s">
        <v>124</v>
      </c>
      <c r="D7270" s="13" t="n">
        <v>44684</v>
      </c>
      <c r="E7270" s="14" t="n">
        <v>969.47</v>
      </c>
      <c r="F7270" s="14" t="n">
        <v>7502.07</v>
      </c>
      <c r="G7270" s="6" t="s">
        <v>2623</v>
      </c>
    </row>
    <row r="7271" customFormat="false" ht="15" hidden="false" customHeight="true" outlineLevel="0" collapsed="false">
      <c r="A7271" s="6" t="s">
        <v>9883</v>
      </c>
      <c r="B7271" s="6" t="s">
        <v>1571</v>
      </c>
      <c r="C7271" s="6" t="s">
        <v>124</v>
      </c>
      <c r="D7271" s="13" t="n">
        <v>44691</v>
      </c>
      <c r="E7271" s="14" t="n">
        <v>1511.93</v>
      </c>
      <c r="F7271" s="14" t="n">
        <v>9014</v>
      </c>
      <c r="G7271" s="6" t="s">
        <v>2613</v>
      </c>
    </row>
    <row r="7272" customFormat="false" ht="15" hidden="false" customHeight="true" outlineLevel="0" collapsed="false">
      <c r="A7272" s="6" t="s">
        <v>9884</v>
      </c>
      <c r="B7272" s="6" t="s">
        <v>1571</v>
      </c>
      <c r="C7272" s="6" t="s">
        <v>124</v>
      </c>
      <c r="D7272" s="13" t="n">
        <v>44698</v>
      </c>
      <c r="E7272" s="14" t="n">
        <v>1410.01</v>
      </c>
      <c r="F7272" s="14" t="n">
        <v>10424.01</v>
      </c>
      <c r="G7272" s="6" t="s">
        <v>2613</v>
      </c>
    </row>
    <row r="7273" customFormat="false" ht="15" hidden="false" customHeight="true" outlineLevel="0" collapsed="false">
      <c r="A7273" s="6" t="s">
        <v>9885</v>
      </c>
      <c r="B7273" s="6" t="s">
        <v>1573</v>
      </c>
      <c r="C7273" s="6" t="s">
        <v>112</v>
      </c>
      <c r="D7273" s="13" t="n">
        <v>44962</v>
      </c>
      <c r="E7273" s="14" t="n">
        <v>4699.68</v>
      </c>
      <c r="F7273" s="14" t="n">
        <v>4699.68</v>
      </c>
      <c r="G7273" s="6" t="s">
        <v>2613</v>
      </c>
    </row>
    <row r="7274" customFormat="false" ht="15" hidden="false" customHeight="true" outlineLevel="0" collapsed="false">
      <c r="A7274" s="6" t="s">
        <v>9886</v>
      </c>
      <c r="B7274" s="6" t="s">
        <v>1573</v>
      </c>
      <c r="C7274" s="6" t="s">
        <v>112</v>
      </c>
      <c r="D7274" s="13" t="n">
        <v>44969</v>
      </c>
      <c r="E7274" s="14" t="n">
        <v>3889.48</v>
      </c>
      <c r="F7274" s="14" t="n">
        <v>8589.16</v>
      </c>
      <c r="G7274" s="6" t="s">
        <v>2613</v>
      </c>
    </row>
    <row r="7275" customFormat="false" ht="15" hidden="false" customHeight="true" outlineLevel="0" collapsed="false">
      <c r="A7275" s="6" t="s">
        <v>9887</v>
      </c>
      <c r="B7275" s="6" t="s">
        <v>1573</v>
      </c>
      <c r="C7275" s="6" t="s">
        <v>112</v>
      </c>
      <c r="D7275" s="13" t="n">
        <v>44976</v>
      </c>
      <c r="E7275" s="14" t="n">
        <v>5557.69</v>
      </c>
      <c r="F7275" s="14" t="n">
        <v>14146.85</v>
      </c>
      <c r="G7275" s="6" t="s">
        <v>2613</v>
      </c>
    </row>
    <row r="7276" customFormat="false" ht="15" hidden="false" customHeight="true" outlineLevel="0" collapsed="false">
      <c r="A7276" s="6" t="s">
        <v>9888</v>
      </c>
      <c r="B7276" s="6" t="s">
        <v>1573</v>
      </c>
      <c r="C7276" s="6" t="s">
        <v>112</v>
      </c>
      <c r="D7276" s="13" t="n">
        <v>44983</v>
      </c>
      <c r="E7276" s="14" t="n">
        <v>5574.13</v>
      </c>
      <c r="F7276" s="14" t="n">
        <v>19720.98</v>
      </c>
      <c r="G7276" s="6" t="s">
        <v>2613</v>
      </c>
    </row>
    <row r="7277" customFormat="false" ht="15" hidden="false" customHeight="true" outlineLevel="0" collapsed="false">
      <c r="A7277" s="6" t="s">
        <v>9889</v>
      </c>
      <c r="B7277" s="6" t="s">
        <v>1573</v>
      </c>
      <c r="C7277" s="6" t="s">
        <v>112</v>
      </c>
      <c r="D7277" s="13" t="n">
        <v>44990</v>
      </c>
      <c r="E7277" s="14" t="n">
        <v>5488.7</v>
      </c>
      <c r="F7277" s="14" t="n">
        <v>25209.68</v>
      </c>
      <c r="G7277" s="6" t="s">
        <v>2613</v>
      </c>
    </row>
    <row r="7278" customFormat="false" ht="15" hidden="false" customHeight="true" outlineLevel="0" collapsed="false">
      <c r="A7278" s="6" t="s">
        <v>9890</v>
      </c>
      <c r="B7278" s="6" t="s">
        <v>1573</v>
      </c>
      <c r="C7278" s="6" t="s">
        <v>112</v>
      </c>
      <c r="D7278" s="13" t="n">
        <v>44997</v>
      </c>
      <c r="E7278" s="14" t="n">
        <v>6898.29</v>
      </c>
      <c r="F7278" s="14" t="n">
        <v>32107.97</v>
      </c>
      <c r="G7278" s="6" t="s">
        <v>2613</v>
      </c>
    </row>
    <row r="7279" customFormat="false" ht="15" hidden="false" customHeight="true" outlineLevel="0" collapsed="false">
      <c r="A7279" s="6" t="s">
        <v>9891</v>
      </c>
      <c r="B7279" s="6" t="s">
        <v>1573</v>
      </c>
      <c r="C7279" s="6" t="s">
        <v>112</v>
      </c>
      <c r="D7279" s="13" t="n">
        <v>45004</v>
      </c>
      <c r="E7279" s="14" t="n">
        <v>5235.96</v>
      </c>
      <c r="F7279" s="14" t="n">
        <v>37343.93</v>
      </c>
      <c r="G7279" s="6" t="s">
        <v>2613</v>
      </c>
    </row>
    <row r="7280" customFormat="false" ht="15" hidden="false" customHeight="true" outlineLevel="0" collapsed="false">
      <c r="A7280" s="6" t="s">
        <v>9892</v>
      </c>
      <c r="B7280" s="6" t="s">
        <v>1575</v>
      </c>
      <c r="C7280" s="6" t="s">
        <v>128</v>
      </c>
      <c r="D7280" s="13" t="n">
        <v>44777</v>
      </c>
      <c r="E7280" s="14" t="n">
        <v>3149.56</v>
      </c>
      <c r="F7280" s="14" t="n">
        <v>3149.56</v>
      </c>
      <c r="G7280" s="6" t="s">
        <v>2623</v>
      </c>
    </row>
    <row r="7281" customFormat="false" ht="15" hidden="false" customHeight="true" outlineLevel="0" collapsed="false">
      <c r="A7281" s="6" t="s">
        <v>9893</v>
      </c>
      <c r="B7281" s="6" t="s">
        <v>1575</v>
      </c>
      <c r="C7281" s="6" t="s">
        <v>128</v>
      </c>
      <c r="D7281" s="13" t="n">
        <v>44784</v>
      </c>
      <c r="E7281" s="14" t="n">
        <v>4602.18</v>
      </c>
      <c r="F7281" s="14" t="n">
        <v>7751.74</v>
      </c>
      <c r="G7281" s="6" t="s">
        <v>2613</v>
      </c>
    </row>
    <row r="7282" customFormat="false" ht="15" hidden="false" customHeight="true" outlineLevel="0" collapsed="false">
      <c r="A7282" s="6" t="s">
        <v>9894</v>
      </c>
      <c r="B7282" s="6" t="s">
        <v>1575</v>
      </c>
      <c r="C7282" s="6" t="s">
        <v>128</v>
      </c>
      <c r="D7282" s="13" t="n">
        <v>44791</v>
      </c>
      <c r="E7282" s="14" t="n">
        <v>2710.91</v>
      </c>
      <c r="F7282" s="14" t="n">
        <v>10462.65</v>
      </c>
      <c r="G7282" s="6" t="s">
        <v>2613</v>
      </c>
    </row>
    <row r="7283" customFormat="false" ht="15" hidden="false" customHeight="true" outlineLevel="0" collapsed="false">
      <c r="A7283" s="6" t="s">
        <v>9895</v>
      </c>
      <c r="B7283" s="6" t="s">
        <v>1575</v>
      </c>
      <c r="C7283" s="6" t="s">
        <v>128</v>
      </c>
      <c r="D7283" s="13" t="n">
        <v>44798</v>
      </c>
      <c r="E7283" s="14" t="n">
        <v>4862.54</v>
      </c>
      <c r="F7283" s="14" t="n">
        <v>15325.19</v>
      </c>
      <c r="G7283" s="6" t="s">
        <v>2613</v>
      </c>
    </row>
    <row r="7284" customFormat="false" ht="15" hidden="false" customHeight="true" outlineLevel="0" collapsed="false">
      <c r="A7284" s="6" t="s">
        <v>9896</v>
      </c>
      <c r="B7284" s="6" t="s">
        <v>1575</v>
      </c>
      <c r="C7284" s="6" t="s">
        <v>128</v>
      </c>
      <c r="D7284" s="13" t="n">
        <v>44805</v>
      </c>
      <c r="E7284" s="14" t="n">
        <v>2626.19</v>
      </c>
      <c r="F7284" s="14" t="n">
        <v>17951.38</v>
      </c>
      <c r="G7284" s="6" t="s">
        <v>2613</v>
      </c>
    </row>
    <row r="7285" customFormat="false" ht="15" hidden="false" customHeight="true" outlineLevel="0" collapsed="false">
      <c r="A7285" s="6" t="s">
        <v>9897</v>
      </c>
      <c r="B7285" s="6" t="s">
        <v>1575</v>
      </c>
      <c r="C7285" s="6" t="s">
        <v>128</v>
      </c>
      <c r="D7285" s="13" t="n">
        <v>44812</v>
      </c>
      <c r="E7285" s="14" t="n">
        <v>3853.01</v>
      </c>
      <c r="F7285" s="14" t="n">
        <v>21804.39</v>
      </c>
      <c r="G7285" s="6" t="s">
        <v>2613</v>
      </c>
    </row>
    <row r="7286" customFormat="false" ht="15" hidden="false" customHeight="true" outlineLevel="0" collapsed="false">
      <c r="A7286" s="6" t="s">
        <v>9898</v>
      </c>
      <c r="B7286" s="6" t="s">
        <v>1575</v>
      </c>
      <c r="C7286" s="6" t="s">
        <v>128</v>
      </c>
      <c r="D7286" s="13" t="n">
        <v>44819</v>
      </c>
      <c r="E7286" s="14" t="n">
        <v>3316.79</v>
      </c>
      <c r="F7286" s="14" t="n">
        <v>25121.18</v>
      </c>
      <c r="G7286" s="6" t="s">
        <v>2623</v>
      </c>
    </row>
    <row r="7287" customFormat="false" ht="15" hidden="false" customHeight="true" outlineLevel="0" collapsed="false">
      <c r="A7287" s="6" t="s">
        <v>9899</v>
      </c>
      <c r="B7287" s="6" t="s">
        <v>1577</v>
      </c>
      <c r="C7287" s="6" t="s">
        <v>124</v>
      </c>
      <c r="D7287" s="13" t="n">
        <v>44628</v>
      </c>
      <c r="E7287" s="14" t="n">
        <v>5682.05</v>
      </c>
      <c r="F7287" s="14" t="n">
        <v>5682.05</v>
      </c>
      <c r="G7287" s="6" t="s">
        <v>2623</v>
      </c>
    </row>
    <row r="7288" customFormat="false" ht="15" hidden="false" customHeight="true" outlineLevel="0" collapsed="false">
      <c r="A7288" s="6" t="s">
        <v>9900</v>
      </c>
      <c r="B7288" s="6" t="s">
        <v>1577</v>
      </c>
      <c r="C7288" s="6" t="s">
        <v>124</v>
      </c>
      <c r="D7288" s="13" t="n">
        <v>44635</v>
      </c>
      <c r="E7288" s="14" t="n">
        <v>3725.74</v>
      </c>
      <c r="F7288" s="14" t="n">
        <v>9407.79</v>
      </c>
      <c r="G7288" s="6" t="s">
        <v>2613</v>
      </c>
    </row>
    <row r="7289" customFormat="false" ht="15" hidden="false" customHeight="true" outlineLevel="0" collapsed="false">
      <c r="A7289" s="6" t="s">
        <v>9901</v>
      </c>
      <c r="B7289" s="6" t="s">
        <v>1577</v>
      </c>
      <c r="C7289" s="6" t="s">
        <v>124</v>
      </c>
      <c r="D7289" s="13" t="n">
        <v>44642</v>
      </c>
      <c r="E7289" s="14" t="n">
        <v>5889.77</v>
      </c>
      <c r="F7289" s="14" t="n">
        <v>15297.56</v>
      </c>
      <c r="G7289" s="6" t="s">
        <v>2613</v>
      </c>
    </row>
    <row r="7290" customFormat="false" ht="15" hidden="false" customHeight="true" outlineLevel="0" collapsed="false">
      <c r="A7290" s="6" t="s">
        <v>9902</v>
      </c>
      <c r="B7290" s="6" t="s">
        <v>1577</v>
      </c>
      <c r="C7290" s="6" t="s">
        <v>124</v>
      </c>
      <c r="D7290" s="13" t="n">
        <v>44649</v>
      </c>
      <c r="E7290" s="14" t="n">
        <v>3829.79</v>
      </c>
      <c r="F7290" s="14" t="n">
        <v>19127.35</v>
      </c>
      <c r="G7290" s="6" t="s">
        <v>2613</v>
      </c>
    </row>
    <row r="7291" customFormat="false" ht="15" hidden="false" customHeight="true" outlineLevel="0" collapsed="false">
      <c r="A7291" s="6" t="s">
        <v>9903</v>
      </c>
      <c r="B7291" s="6" t="s">
        <v>1577</v>
      </c>
      <c r="C7291" s="6" t="s">
        <v>124</v>
      </c>
      <c r="D7291" s="13" t="n">
        <v>44656</v>
      </c>
      <c r="E7291" s="14" t="n">
        <v>4836.84</v>
      </c>
      <c r="F7291" s="14" t="n">
        <v>23964.19</v>
      </c>
      <c r="G7291" s="6" t="s">
        <v>2613</v>
      </c>
    </row>
    <row r="7292" customFormat="false" ht="15" hidden="false" customHeight="true" outlineLevel="0" collapsed="false">
      <c r="A7292" s="6" t="s">
        <v>9904</v>
      </c>
      <c r="B7292" s="6" t="s">
        <v>1577</v>
      </c>
      <c r="C7292" s="6" t="s">
        <v>124</v>
      </c>
      <c r="D7292" s="13" t="n">
        <v>44663</v>
      </c>
      <c r="E7292" s="14" t="n">
        <v>3108.91</v>
      </c>
      <c r="F7292" s="14" t="n">
        <v>27073.1</v>
      </c>
      <c r="G7292" s="6" t="s">
        <v>2613</v>
      </c>
    </row>
    <row r="7293" customFormat="false" ht="15" hidden="false" customHeight="true" outlineLevel="0" collapsed="false">
      <c r="A7293" s="6" t="s">
        <v>9905</v>
      </c>
      <c r="B7293" s="6" t="s">
        <v>1577</v>
      </c>
      <c r="C7293" s="6" t="s">
        <v>124</v>
      </c>
      <c r="D7293" s="13" t="n">
        <v>44670</v>
      </c>
      <c r="E7293" s="14" t="n">
        <v>5360.83</v>
      </c>
      <c r="F7293" s="14" t="n">
        <v>32433.93</v>
      </c>
      <c r="G7293" s="6" t="s">
        <v>2623</v>
      </c>
    </row>
    <row r="7294" customFormat="false" ht="15" hidden="false" customHeight="true" outlineLevel="0" collapsed="false">
      <c r="A7294" s="6" t="s">
        <v>9906</v>
      </c>
      <c r="B7294" s="6" t="s">
        <v>1577</v>
      </c>
      <c r="C7294" s="6" t="s">
        <v>124</v>
      </c>
      <c r="D7294" s="13" t="n">
        <v>44677</v>
      </c>
      <c r="E7294" s="14" t="n">
        <v>3045.89</v>
      </c>
      <c r="F7294" s="14" t="n">
        <v>35479.82</v>
      </c>
      <c r="G7294" s="6" t="s">
        <v>2613</v>
      </c>
    </row>
    <row r="7295" customFormat="false" ht="15" hidden="false" customHeight="true" outlineLevel="0" collapsed="false">
      <c r="A7295" s="6" t="s">
        <v>9907</v>
      </c>
      <c r="B7295" s="6" t="s">
        <v>1579</v>
      </c>
      <c r="C7295" s="6" t="s">
        <v>120</v>
      </c>
      <c r="D7295" s="13" t="n">
        <v>45818</v>
      </c>
      <c r="E7295" s="14" t="n">
        <v>3564.41</v>
      </c>
      <c r="F7295" s="14" t="n">
        <v>3564.41</v>
      </c>
      <c r="G7295" s="6" t="s">
        <v>2613</v>
      </c>
    </row>
    <row r="7296" customFormat="false" ht="15" hidden="false" customHeight="true" outlineLevel="0" collapsed="false">
      <c r="A7296" s="6" t="s">
        <v>9908</v>
      </c>
      <c r="B7296" s="6" t="s">
        <v>1579</v>
      </c>
      <c r="C7296" s="6" t="s">
        <v>120</v>
      </c>
      <c r="D7296" s="13" t="n">
        <v>45825</v>
      </c>
      <c r="E7296" s="14" t="n">
        <v>3935.33</v>
      </c>
      <c r="F7296" s="14" t="n">
        <v>7499.74</v>
      </c>
      <c r="G7296" s="6" t="s">
        <v>2613</v>
      </c>
    </row>
    <row r="7297" customFormat="false" ht="15" hidden="false" customHeight="true" outlineLevel="0" collapsed="false">
      <c r="A7297" s="6" t="s">
        <v>9909</v>
      </c>
      <c r="B7297" s="6" t="s">
        <v>1579</v>
      </c>
      <c r="C7297" s="6" t="s">
        <v>120</v>
      </c>
      <c r="D7297" s="13" t="n">
        <v>45832</v>
      </c>
      <c r="E7297" s="14" t="n">
        <v>4066.31</v>
      </c>
      <c r="F7297" s="14" t="n">
        <v>11566.05</v>
      </c>
      <c r="G7297" s="6" t="s">
        <v>2613</v>
      </c>
    </row>
    <row r="7298" customFormat="false" ht="15" hidden="false" customHeight="true" outlineLevel="0" collapsed="false">
      <c r="A7298" s="6" t="s">
        <v>9910</v>
      </c>
      <c r="B7298" s="6" t="s">
        <v>1579</v>
      </c>
      <c r="C7298" s="6" t="s">
        <v>120</v>
      </c>
      <c r="D7298" s="13" t="n">
        <v>45839</v>
      </c>
      <c r="E7298" s="14" t="n">
        <v>2313.17</v>
      </c>
      <c r="F7298" s="14" t="n">
        <v>13879.22</v>
      </c>
      <c r="G7298" s="6" t="s">
        <v>2613</v>
      </c>
    </row>
    <row r="7299" customFormat="false" ht="15" hidden="false" customHeight="true" outlineLevel="0" collapsed="false">
      <c r="A7299" s="6" t="s">
        <v>9911</v>
      </c>
      <c r="B7299" s="6" t="s">
        <v>1579</v>
      </c>
      <c r="C7299" s="6" t="s">
        <v>120</v>
      </c>
      <c r="D7299" s="13" t="n">
        <v>45846</v>
      </c>
      <c r="E7299" s="14" t="n">
        <v>3604.88</v>
      </c>
      <c r="F7299" s="14" t="n">
        <v>17484.1</v>
      </c>
      <c r="G7299" s="6" t="s">
        <v>2613</v>
      </c>
    </row>
    <row r="7300" customFormat="false" ht="15" hidden="false" customHeight="true" outlineLevel="0" collapsed="false">
      <c r="A7300" s="6" t="s">
        <v>9912</v>
      </c>
      <c r="B7300" s="6" t="s">
        <v>1579</v>
      </c>
      <c r="C7300" s="6" t="s">
        <v>120</v>
      </c>
      <c r="D7300" s="13" t="n">
        <v>45853</v>
      </c>
      <c r="E7300" s="14" t="n">
        <v>2005.49</v>
      </c>
      <c r="F7300" s="14" t="n">
        <v>19489.59</v>
      </c>
      <c r="G7300" s="6" t="s">
        <v>2613</v>
      </c>
    </row>
    <row r="7301" customFormat="false" ht="15" hidden="false" customHeight="true" outlineLevel="0" collapsed="false">
      <c r="A7301" s="6" t="s">
        <v>9913</v>
      </c>
      <c r="B7301" s="6" t="s">
        <v>1579</v>
      </c>
      <c r="C7301" s="6" t="s">
        <v>120</v>
      </c>
      <c r="D7301" s="13" t="n">
        <v>45860</v>
      </c>
      <c r="E7301" s="14" t="n">
        <v>3243.84</v>
      </c>
      <c r="F7301" s="14" t="n">
        <v>22733.43</v>
      </c>
      <c r="G7301" s="6" t="s">
        <v>2613</v>
      </c>
    </row>
    <row r="7302" customFormat="false" ht="15" hidden="false" customHeight="true" outlineLevel="0" collapsed="false">
      <c r="A7302" s="6" t="s">
        <v>9914</v>
      </c>
      <c r="B7302" s="6" t="s">
        <v>1579</v>
      </c>
      <c r="C7302" s="6" t="s">
        <v>120</v>
      </c>
      <c r="D7302" s="13" t="n">
        <v>45867</v>
      </c>
      <c r="E7302" s="14" t="n">
        <v>934.48</v>
      </c>
      <c r="F7302" s="14" t="n">
        <v>23667.91</v>
      </c>
      <c r="G7302" s="6" t="s">
        <v>2613</v>
      </c>
    </row>
    <row r="7303" customFormat="false" ht="15" hidden="false" customHeight="true" outlineLevel="0" collapsed="false">
      <c r="A7303" s="6" t="s">
        <v>9915</v>
      </c>
      <c r="B7303" s="6" t="s">
        <v>1581</v>
      </c>
      <c r="C7303" s="6" t="s">
        <v>116</v>
      </c>
      <c r="D7303" s="13" t="n">
        <v>45195</v>
      </c>
      <c r="E7303" s="14" t="n">
        <v>9658.65</v>
      </c>
      <c r="F7303" s="14" t="n">
        <v>9658.65</v>
      </c>
      <c r="G7303" s="6" t="s">
        <v>2613</v>
      </c>
    </row>
    <row r="7304" customFormat="false" ht="15" hidden="false" customHeight="true" outlineLevel="0" collapsed="false">
      <c r="A7304" s="6" t="s">
        <v>9916</v>
      </c>
      <c r="B7304" s="6" t="s">
        <v>1581</v>
      </c>
      <c r="C7304" s="6" t="s">
        <v>116</v>
      </c>
      <c r="D7304" s="13" t="n">
        <v>45202</v>
      </c>
      <c r="E7304" s="14" t="n">
        <v>10523.91</v>
      </c>
      <c r="F7304" s="14" t="n">
        <v>20182.56</v>
      </c>
      <c r="G7304" s="6" t="s">
        <v>2623</v>
      </c>
    </row>
    <row r="7305" customFormat="false" ht="15" hidden="false" customHeight="true" outlineLevel="0" collapsed="false">
      <c r="A7305" s="6" t="s">
        <v>9917</v>
      </c>
      <c r="B7305" s="6" t="s">
        <v>1581</v>
      </c>
      <c r="C7305" s="6" t="s">
        <v>116</v>
      </c>
      <c r="D7305" s="13" t="n">
        <v>45209</v>
      </c>
      <c r="E7305" s="14" t="n">
        <v>7480.29</v>
      </c>
      <c r="F7305" s="14" t="n">
        <v>27662.85</v>
      </c>
      <c r="G7305" s="6" t="s">
        <v>2613</v>
      </c>
    </row>
    <row r="7306" customFormat="false" ht="15" hidden="false" customHeight="true" outlineLevel="0" collapsed="false">
      <c r="A7306" s="6" t="s">
        <v>9918</v>
      </c>
      <c r="B7306" s="6" t="s">
        <v>1581</v>
      </c>
      <c r="C7306" s="6" t="s">
        <v>116</v>
      </c>
      <c r="D7306" s="13" t="n">
        <v>45216</v>
      </c>
      <c r="E7306" s="14" t="n">
        <v>8423</v>
      </c>
      <c r="F7306" s="14" t="n">
        <v>36085.85</v>
      </c>
      <c r="G7306" s="6" t="s">
        <v>2623</v>
      </c>
    </row>
    <row r="7307" customFormat="false" ht="15" hidden="false" customHeight="true" outlineLevel="0" collapsed="false">
      <c r="A7307" s="6" t="s">
        <v>9919</v>
      </c>
      <c r="B7307" s="6" t="s">
        <v>1581</v>
      </c>
      <c r="C7307" s="6" t="s">
        <v>116</v>
      </c>
      <c r="D7307" s="13" t="n">
        <v>45223</v>
      </c>
      <c r="E7307" s="14" t="n">
        <v>6705.68</v>
      </c>
      <c r="F7307" s="14" t="n">
        <v>42791.53</v>
      </c>
      <c r="G7307" s="6" t="s">
        <v>2613</v>
      </c>
    </row>
    <row r="7308" customFormat="false" ht="15" hidden="false" customHeight="true" outlineLevel="0" collapsed="false">
      <c r="A7308" s="6" t="s">
        <v>9920</v>
      </c>
      <c r="B7308" s="6" t="s">
        <v>1581</v>
      </c>
      <c r="C7308" s="6" t="s">
        <v>116</v>
      </c>
      <c r="D7308" s="13" t="n">
        <v>45230</v>
      </c>
      <c r="E7308" s="14" t="n">
        <v>8124.73</v>
      </c>
      <c r="F7308" s="14" t="n">
        <v>50916.26</v>
      </c>
      <c r="G7308" s="6" t="s">
        <v>2613</v>
      </c>
    </row>
    <row r="7309" customFormat="false" ht="15" hidden="false" customHeight="true" outlineLevel="0" collapsed="false">
      <c r="A7309" s="6" t="s">
        <v>9921</v>
      </c>
      <c r="B7309" s="6" t="s">
        <v>1581</v>
      </c>
      <c r="C7309" s="6" t="s">
        <v>116</v>
      </c>
      <c r="D7309" s="13" t="n">
        <v>45237</v>
      </c>
      <c r="E7309" s="14" t="n">
        <v>7544.58</v>
      </c>
      <c r="F7309" s="14" t="n">
        <v>58460.84</v>
      </c>
      <c r="G7309" s="6" t="s">
        <v>2613</v>
      </c>
    </row>
    <row r="7310" customFormat="false" ht="15" hidden="false" customHeight="true" outlineLevel="0" collapsed="false">
      <c r="A7310" s="6" t="s">
        <v>9922</v>
      </c>
      <c r="B7310" s="6" t="s">
        <v>1581</v>
      </c>
      <c r="C7310" s="6" t="s">
        <v>116</v>
      </c>
      <c r="D7310" s="13" t="n">
        <v>45244</v>
      </c>
      <c r="E7310" s="14" t="n">
        <v>9456</v>
      </c>
      <c r="F7310" s="14" t="n">
        <v>67916.84</v>
      </c>
      <c r="G7310" s="6" t="s">
        <v>2613</v>
      </c>
    </row>
    <row r="7311" customFormat="false" ht="15" hidden="false" customHeight="true" outlineLevel="0" collapsed="false">
      <c r="A7311" s="6" t="s">
        <v>9923</v>
      </c>
      <c r="B7311" s="6" t="s">
        <v>1581</v>
      </c>
      <c r="C7311" s="6" t="s">
        <v>116</v>
      </c>
      <c r="D7311" s="13" t="n">
        <v>45251</v>
      </c>
      <c r="E7311" s="14" t="n">
        <v>7488.46</v>
      </c>
      <c r="F7311" s="14" t="n">
        <v>75405.3</v>
      </c>
      <c r="G7311" s="6" t="s">
        <v>2613</v>
      </c>
    </row>
    <row r="7312" customFormat="false" ht="15" hidden="false" customHeight="true" outlineLevel="0" collapsed="false">
      <c r="A7312" s="6" t="s">
        <v>9924</v>
      </c>
      <c r="B7312" s="6" t="s">
        <v>1581</v>
      </c>
      <c r="C7312" s="6" t="s">
        <v>116</v>
      </c>
      <c r="D7312" s="13" t="n">
        <v>45258</v>
      </c>
      <c r="E7312" s="14" t="n">
        <v>7693</v>
      </c>
      <c r="F7312" s="14" t="n">
        <v>83098.3</v>
      </c>
      <c r="G7312" s="6" t="s">
        <v>2613</v>
      </c>
    </row>
    <row r="7313" customFormat="false" ht="15" hidden="false" customHeight="true" outlineLevel="0" collapsed="false">
      <c r="A7313" s="6" t="s">
        <v>9925</v>
      </c>
      <c r="B7313" s="6" t="s">
        <v>1581</v>
      </c>
      <c r="C7313" s="6" t="s">
        <v>116</v>
      </c>
      <c r="D7313" s="13" t="n">
        <v>45265</v>
      </c>
      <c r="E7313" s="14" t="n">
        <v>7639.93</v>
      </c>
      <c r="F7313" s="14" t="n">
        <v>90738.23</v>
      </c>
      <c r="G7313" s="6" t="s">
        <v>2623</v>
      </c>
    </row>
    <row r="7314" customFormat="false" ht="15" hidden="false" customHeight="true" outlineLevel="0" collapsed="false">
      <c r="A7314" s="6" t="s">
        <v>9926</v>
      </c>
      <c r="B7314" s="6" t="s">
        <v>1581</v>
      </c>
      <c r="C7314" s="6" t="s">
        <v>116</v>
      </c>
      <c r="D7314" s="13" t="n">
        <v>45272</v>
      </c>
      <c r="E7314" s="14" t="n">
        <v>5236.57</v>
      </c>
      <c r="F7314" s="14" t="n">
        <v>95974.8</v>
      </c>
      <c r="G7314" s="6" t="s">
        <v>2613</v>
      </c>
    </row>
    <row r="7315" customFormat="false" ht="15" hidden="false" customHeight="true" outlineLevel="0" collapsed="false">
      <c r="A7315" s="6" t="s">
        <v>9927</v>
      </c>
      <c r="B7315" s="6" t="s">
        <v>1583</v>
      </c>
      <c r="C7315" s="6" t="s">
        <v>116</v>
      </c>
      <c r="D7315" s="13" t="n">
        <v>45869</v>
      </c>
      <c r="E7315" s="14" t="n">
        <v>548.66</v>
      </c>
      <c r="F7315" s="14" t="n">
        <v>548.66</v>
      </c>
      <c r="G7315" s="6" t="s">
        <v>2613</v>
      </c>
    </row>
    <row r="7316" customFormat="false" ht="15" hidden="false" customHeight="true" outlineLevel="0" collapsed="false">
      <c r="A7316" s="6" t="s">
        <v>9928</v>
      </c>
      <c r="B7316" s="6" t="s">
        <v>1583</v>
      </c>
      <c r="C7316" s="6" t="s">
        <v>116</v>
      </c>
      <c r="D7316" s="13" t="n">
        <v>45876</v>
      </c>
      <c r="E7316" s="14" t="n">
        <v>608.88</v>
      </c>
      <c r="F7316" s="14" t="n">
        <v>1157.54</v>
      </c>
      <c r="G7316" s="6" t="s">
        <v>2613</v>
      </c>
    </row>
    <row r="7317" customFormat="false" ht="15" hidden="false" customHeight="true" outlineLevel="0" collapsed="false">
      <c r="A7317" s="6" t="s">
        <v>9929</v>
      </c>
      <c r="B7317" s="6" t="s">
        <v>1583</v>
      </c>
      <c r="C7317" s="6" t="s">
        <v>116</v>
      </c>
      <c r="D7317" s="13" t="n">
        <v>45883</v>
      </c>
      <c r="E7317" s="14" t="n">
        <v>713.84</v>
      </c>
      <c r="F7317" s="14" t="n">
        <v>1871.38</v>
      </c>
      <c r="G7317" s="6" t="s">
        <v>2613</v>
      </c>
    </row>
    <row r="7318" customFormat="false" ht="15" hidden="false" customHeight="true" outlineLevel="0" collapsed="false">
      <c r="A7318" s="6" t="s">
        <v>9930</v>
      </c>
      <c r="B7318" s="6" t="s">
        <v>1583</v>
      </c>
      <c r="C7318" s="6" t="s">
        <v>116</v>
      </c>
      <c r="D7318" s="13" t="n">
        <v>45890</v>
      </c>
      <c r="E7318" s="14" t="n">
        <v>469.36</v>
      </c>
      <c r="F7318" s="14" t="n">
        <v>2340.74</v>
      </c>
      <c r="G7318" s="6" t="s">
        <v>2613</v>
      </c>
    </row>
    <row r="7319" customFormat="false" ht="15" hidden="false" customHeight="true" outlineLevel="0" collapsed="false">
      <c r="A7319" s="6" t="s">
        <v>9931</v>
      </c>
      <c r="B7319" s="6" t="s">
        <v>1583</v>
      </c>
      <c r="C7319" s="6" t="s">
        <v>116</v>
      </c>
      <c r="D7319" s="13" t="n">
        <v>45897</v>
      </c>
      <c r="E7319" s="14" t="n">
        <v>557.59</v>
      </c>
      <c r="F7319" s="14" t="n">
        <v>2898.33</v>
      </c>
      <c r="G7319" s="6" t="s">
        <v>2613</v>
      </c>
    </row>
    <row r="7320" customFormat="false" ht="15" hidden="false" customHeight="true" outlineLevel="0" collapsed="false">
      <c r="A7320" s="6" t="s">
        <v>9932</v>
      </c>
      <c r="B7320" s="6" t="s">
        <v>1583</v>
      </c>
      <c r="C7320" s="6" t="s">
        <v>116</v>
      </c>
      <c r="D7320" s="13" t="n">
        <v>45904</v>
      </c>
      <c r="E7320" s="14" t="n">
        <v>479.1</v>
      </c>
      <c r="F7320" s="14" t="n">
        <v>3377.43</v>
      </c>
      <c r="G7320" s="6" t="s">
        <v>2613</v>
      </c>
    </row>
    <row r="7321" customFormat="false" ht="15" hidden="false" customHeight="true" outlineLevel="0" collapsed="false">
      <c r="A7321" s="6" t="s">
        <v>9933</v>
      </c>
      <c r="B7321" s="6" t="s">
        <v>1583</v>
      </c>
      <c r="C7321" s="6" t="s">
        <v>116</v>
      </c>
      <c r="D7321" s="13" t="n">
        <v>45911</v>
      </c>
      <c r="E7321" s="14" t="n">
        <v>338.93</v>
      </c>
      <c r="F7321" s="14" t="n">
        <v>3716.36</v>
      </c>
      <c r="G7321" s="6" t="s">
        <v>2613</v>
      </c>
    </row>
    <row r="7322" customFormat="false" ht="15" hidden="false" customHeight="true" outlineLevel="0" collapsed="false">
      <c r="A7322" s="6" t="s">
        <v>9934</v>
      </c>
      <c r="B7322" s="6" t="s">
        <v>1583</v>
      </c>
      <c r="C7322" s="6" t="s">
        <v>116</v>
      </c>
      <c r="D7322" s="13" t="n">
        <v>45918</v>
      </c>
      <c r="E7322" s="14" t="n">
        <v>417.08</v>
      </c>
      <c r="F7322" s="14" t="n">
        <v>4133.44</v>
      </c>
      <c r="G7322" s="6" t="s">
        <v>2613</v>
      </c>
    </row>
    <row r="7323" customFormat="false" ht="15" hidden="false" customHeight="true" outlineLevel="0" collapsed="false">
      <c r="A7323" s="6" t="s">
        <v>9935</v>
      </c>
      <c r="B7323" s="6" t="s">
        <v>1583</v>
      </c>
      <c r="C7323" s="6" t="s">
        <v>116</v>
      </c>
      <c r="D7323" s="13" t="n">
        <v>45925</v>
      </c>
      <c r="E7323" s="14" t="n">
        <v>737.09</v>
      </c>
      <c r="F7323" s="14" t="n">
        <v>4870.53</v>
      </c>
      <c r="G7323" s="6" t="s">
        <v>2613</v>
      </c>
    </row>
    <row r="7324" customFormat="false" ht="15" hidden="false" customHeight="true" outlineLevel="0" collapsed="false">
      <c r="A7324" s="6" t="s">
        <v>9936</v>
      </c>
      <c r="B7324" s="6" t="s">
        <v>1583</v>
      </c>
      <c r="C7324" s="6" t="s">
        <v>116</v>
      </c>
      <c r="D7324" s="13" t="n">
        <v>45932</v>
      </c>
      <c r="E7324" s="14" t="n">
        <v>469.45</v>
      </c>
      <c r="F7324" s="14" t="n">
        <v>5339.98</v>
      </c>
      <c r="G7324" s="6" t="s">
        <v>2623</v>
      </c>
    </row>
    <row r="7325" customFormat="false" ht="15" hidden="false" customHeight="true" outlineLevel="0" collapsed="false">
      <c r="A7325" s="6" t="s">
        <v>9937</v>
      </c>
      <c r="B7325" s="6" t="s">
        <v>1583</v>
      </c>
      <c r="C7325" s="6" t="s">
        <v>116</v>
      </c>
      <c r="D7325" s="13" t="n">
        <v>45939</v>
      </c>
      <c r="E7325" s="14" t="n">
        <v>798.9</v>
      </c>
      <c r="F7325" s="14" t="n">
        <v>6138.88</v>
      </c>
      <c r="G7325" s="6" t="s">
        <v>2623</v>
      </c>
    </row>
    <row r="7326" customFormat="false" ht="15" hidden="false" customHeight="true" outlineLevel="0" collapsed="false">
      <c r="A7326" s="6" t="s">
        <v>9938</v>
      </c>
      <c r="B7326" s="6" t="s">
        <v>1585</v>
      </c>
      <c r="C7326" s="6" t="s">
        <v>112</v>
      </c>
      <c r="D7326" s="13" t="n">
        <v>45766</v>
      </c>
      <c r="E7326" s="14" t="n">
        <v>2312.88</v>
      </c>
      <c r="F7326" s="14" t="n">
        <v>2312.88</v>
      </c>
      <c r="G7326" s="6" t="s">
        <v>2613</v>
      </c>
    </row>
    <row r="7327" customFormat="false" ht="15" hidden="false" customHeight="true" outlineLevel="0" collapsed="false">
      <c r="A7327" s="6" t="s">
        <v>9939</v>
      </c>
      <c r="B7327" s="6" t="s">
        <v>1585</v>
      </c>
      <c r="C7327" s="6" t="s">
        <v>112</v>
      </c>
      <c r="D7327" s="13" t="n">
        <v>45773</v>
      </c>
      <c r="E7327" s="14" t="n">
        <v>1648.15</v>
      </c>
      <c r="F7327" s="14" t="n">
        <v>3961.03</v>
      </c>
      <c r="G7327" s="6" t="s">
        <v>2613</v>
      </c>
    </row>
    <row r="7328" customFormat="false" ht="15" hidden="false" customHeight="true" outlineLevel="0" collapsed="false">
      <c r="A7328" s="6" t="s">
        <v>9940</v>
      </c>
      <c r="B7328" s="6" t="s">
        <v>1585</v>
      </c>
      <c r="C7328" s="6" t="s">
        <v>112</v>
      </c>
      <c r="D7328" s="13" t="n">
        <v>45780</v>
      </c>
      <c r="E7328" s="14" t="n">
        <v>1335.29</v>
      </c>
      <c r="F7328" s="14" t="n">
        <v>5296.32</v>
      </c>
      <c r="G7328" s="6" t="s">
        <v>2613</v>
      </c>
    </row>
    <row r="7329" customFormat="false" ht="15" hidden="false" customHeight="true" outlineLevel="0" collapsed="false">
      <c r="A7329" s="6" t="s">
        <v>9941</v>
      </c>
      <c r="B7329" s="6" t="s">
        <v>1585</v>
      </c>
      <c r="C7329" s="6" t="s">
        <v>112</v>
      </c>
      <c r="D7329" s="13" t="n">
        <v>45787</v>
      </c>
      <c r="E7329" s="14" t="n">
        <v>1444.24</v>
      </c>
      <c r="F7329" s="14" t="n">
        <v>6740.56</v>
      </c>
      <c r="G7329" s="6" t="s">
        <v>2613</v>
      </c>
    </row>
    <row r="7330" customFormat="false" ht="15" hidden="false" customHeight="true" outlineLevel="0" collapsed="false">
      <c r="A7330" s="6" t="s">
        <v>9942</v>
      </c>
      <c r="B7330" s="6" t="s">
        <v>1585</v>
      </c>
      <c r="C7330" s="6" t="s">
        <v>112</v>
      </c>
      <c r="D7330" s="13" t="n">
        <v>45794</v>
      </c>
      <c r="E7330" s="14" t="n">
        <v>1418.63</v>
      </c>
      <c r="F7330" s="14" t="n">
        <v>8159.19</v>
      </c>
      <c r="G7330" s="6" t="s">
        <v>2613</v>
      </c>
    </row>
    <row r="7331" customFormat="false" ht="15" hidden="false" customHeight="true" outlineLevel="0" collapsed="false">
      <c r="A7331" s="6" t="s">
        <v>9943</v>
      </c>
      <c r="B7331" s="6" t="s">
        <v>1585</v>
      </c>
      <c r="C7331" s="6" t="s">
        <v>112</v>
      </c>
      <c r="D7331" s="13" t="n">
        <v>45801</v>
      </c>
      <c r="E7331" s="14" t="n">
        <v>2255.55</v>
      </c>
      <c r="F7331" s="14" t="n">
        <v>10414.74</v>
      </c>
      <c r="G7331" s="6" t="s">
        <v>2613</v>
      </c>
    </row>
    <row r="7332" customFormat="false" ht="15" hidden="false" customHeight="true" outlineLevel="0" collapsed="false">
      <c r="A7332" s="6" t="s">
        <v>9944</v>
      </c>
      <c r="B7332" s="6" t="s">
        <v>1585</v>
      </c>
      <c r="C7332" s="6" t="s">
        <v>112</v>
      </c>
      <c r="D7332" s="13" t="n">
        <v>45808</v>
      </c>
      <c r="E7332" s="14" t="n">
        <v>1520.1</v>
      </c>
      <c r="F7332" s="14" t="n">
        <v>11934.84</v>
      </c>
      <c r="G7332" s="6" t="s">
        <v>2613</v>
      </c>
    </row>
    <row r="7333" customFormat="false" ht="15" hidden="false" customHeight="true" outlineLevel="0" collapsed="false">
      <c r="A7333" s="6" t="s">
        <v>9945</v>
      </c>
      <c r="B7333" s="6" t="s">
        <v>1585</v>
      </c>
      <c r="C7333" s="6" t="s">
        <v>112</v>
      </c>
      <c r="D7333" s="13" t="n">
        <v>45815</v>
      </c>
      <c r="E7333" s="14" t="n">
        <v>1419.53</v>
      </c>
      <c r="F7333" s="14" t="n">
        <v>13354.37</v>
      </c>
      <c r="G7333" s="6" t="s">
        <v>2623</v>
      </c>
    </row>
    <row r="7334" customFormat="false" ht="15" hidden="false" customHeight="true" outlineLevel="0" collapsed="false">
      <c r="A7334" s="6" t="s">
        <v>9946</v>
      </c>
      <c r="B7334" s="6" t="s">
        <v>1585</v>
      </c>
      <c r="C7334" s="6" t="s">
        <v>112</v>
      </c>
      <c r="D7334" s="13" t="n">
        <v>45822</v>
      </c>
      <c r="E7334" s="14" t="n">
        <v>2029.54</v>
      </c>
      <c r="F7334" s="14" t="n">
        <v>15383.91</v>
      </c>
      <c r="G7334" s="6" t="s">
        <v>2613</v>
      </c>
    </row>
    <row r="7335" customFormat="false" ht="15" hidden="false" customHeight="true" outlineLevel="0" collapsed="false">
      <c r="A7335" s="6" t="s">
        <v>9947</v>
      </c>
      <c r="B7335" s="6" t="s">
        <v>1585</v>
      </c>
      <c r="C7335" s="6" t="s">
        <v>112</v>
      </c>
      <c r="D7335" s="13" t="n">
        <v>45829</v>
      </c>
      <c r="E7335" s="14" t="n">
        <v>1298.43</v>
      </c>
      <c r="F7335" s="14" t="n">
        <v>16682.34</v>
      </c>
      <c r="G7335" s="6" t="s">
        <v>2613</v>
      </c>
    </row>
    <row r="7336" customFormat="false" ht="15" hidden="false" customHeight="true" outlineLevel="0" collapsed="false">
      <c r="A7336" s="6" t="s">
        <v>9948</v>
      </c>
      <c r="B7336" s="6" t="s">
        <v>1585</v>
      </c>
      <c r="C7336" s="6" t="s">
        <v>112</v>
      </c>
      <c r="D7336" s="13" t="n">
        <v>45836</v>
      </c>
      <c r="E7336" s="14" t="n">
        <v>3393.54</v>
      </c>
      <c r="F7336" s="14" t="n">
        <v>20075.88</v>
      </c>
      <c r="G7336" s="6" t="s">
        <v>2623</v>
      </c>
    </row>
    <row r="7337" customFormat="false" ht="15" hidden="false" customHeight="true" outlineLevel="0" collapsed="false">
      <c r="A7337" s="6" t="s">
        <v>9949</v>
      </c>
      <c r="B7337" s="6" t="s">
        <v>1587</v>
      </c>
      <c r="C7337" s="6" t="s">
        <v>112</v>
      </c>
      <c r="D7337" s="13" t="n">
        <v>44853</v>
      </c>
      <c r="E7337" s="14" t="n">
        <v>901.86</v>
      </c>
      <c r="F7337" s="14" t="n">
        <v>901.86</v>
      </c>
      <c r="G7337" s="6" t="s">
        <v>2613</v>
      </c>
    </row>
    <row r="7338" customFormat="false" ht="15" hidden="false" customHeight="true" outlineLevel="0" collapsed="false">
      <c r="A7338" s="6" t="s">
        <v>9950</v>
      </c>
      <c r="B7338" s="6" t="s">
        <v>1587</v>
      </c>
      <c r="C7338" s="6" t="s">
        <v>112</v>
      </c>
      <c r="D7338" s="13" t="n">
        <v>44860</v>
      </c>
      <c r="E7338" s="14" t="n">
        <v>1807.59</v>
      </c>
      <c r="F7338" s="14" t="n">
        <v>2709.45</v>
      </c>
      <c r="G7338" s="6" t="s">
        <v>2613</v>
      </c>
    </row>
    <row r="7339" customFormat="false" ht="15" hidden="false" customHeight="true" outlineLevel="0" collapsed="false">
      <c r="A7339" s="6" t="s">
        <v>9951</v>
      </c>
      <c r="B7339" s="6" t="s">
        <v>1587</v>
      </c>
      <c r="C7339" s="6" t="s">
        <v>112</v>
      </c>
      <c r="D7339" s="13" t="n">
        <v>44867</v>
      </c>
      <c r="E7339" s="14" t="n">
        <v>936.57</v>
      </c>
      <c r="F7339" s="14" t="n">
        <v>3646.02</v>
      </c>
      <c r="G7339" s="6" t="s">
        <v>2613</v>
      </c>
    </row>
    <row r="7340" customFormat="false" ht="15" hidden="false" customHeight="true" outlineLevel="0" collapsed="false">
      <c r="A7340" s="6" t="s">
        <v>9952</v>
      </c>
      <c r="B7340" s="6" t="s">
        <v>1587</v>
      </c>
      <c r="C7340" s="6" t="s">
        <v>112</v>
      </c>
      <c r="D7340" s="13" t="n">
        <v>44874</v>
      </c>
      <c r="E7340" s="14" t="n">
        <v>1444.19</v>
      </c>
      <c r="F7340" s="14" t="n">
        <v>5090.21</v>
      </c>
      <c r="G7340" s="6" t="s">
        <v>2613</v>
      </c>
    </row>
    <row r="7341" customFormat="false" ht="15" hidden="false" customHeight="true" outlineLevel="0" collapsed="false">
      <c r="A7341" s="6" t="s">
        <v>9953</v>
      </c>
      <c r="B7341" s="6" t="s">
        <v>1587</v>
      </c>
      <c r="C7341" s="6" t="s">
        <v>112</v>
      </c>
      <c r="D7341" s="13" t="n">
        <v>44881</v>
      </c>
      <c r="E7341" s="14" t="n">
        <v>1220.19</v>
      </c>
      <c r="F7341" s="14" t="n">
        <v>6310.4</v>
      </c>
      <c r="G7341" s="6" t="s">
        <v>2613</v>
      </c>
    </row>
    <row r="7342" customFormat="false" ht="15" hidden="false" customHeight="true" outlineLevel="0" collapsed="false">
      <c r="A7342" s="6" t="s">
        <v>9954</v>
      </c>
      <c r="B7342" s="6" t="s">
        <v>1587</v>
      </c>
      <c r="C7342" s="6" t="s">
        <v>112</v>
      </c>
      <c r="D7342" s="13" t="n">
        <v>44888</v>
      </c>
      <c r="E7342" s="14" t="n">
        <v>1733.06</v>
      </c>
      <c r="F7342" s="14" t="n">
        <v>8043.46</v>
      </c>
      <c r="G7342" s="6" t="s">
        <v>2613</v>
      </c>
    </row>
    <row r="7343" customFormat="false" ht="15" hidden="false" customHeight="true" outlineLevel="0" collapsed="false">
      <c r="A7343" s="6" t="s">
        <v>9955</v>
      </c>
      <c r="B7343" s="6" t="s">
        <v>1587</v>
      </c>
      <c r="C7343" s="6" t="s">
        <v>112</v>
      </c>
      <c r="D7343" s="13" t="n">
        <v>44895</v>
      </c>
      <c r="E7343" s="14" t="n">
        <v>1235.02</v>
      </c>
      <c r="F7343" s="14" t="n">
        <v>9278.48</v>
      </c>
      <c r="G7343" s="6" t="s">
        <v>2613</v>
      </c>
    </row>
    <row r="7344" customFormat="false" ht="15" hidden="false" customHeight="true" outlineLevel="0" collapsed="false">
      <c r="A7344" s="6" t="s">
        <v>9956</v>
      </c>
      <c r="B7344" s="6" t="s">
        <v>1587</v>
      </c>
      <c r="C7344" s="6" t="s">
        <v>112</v>
      </c>
      <c r="D7344" s="13" t="n">
        <v>44902</v>
      </c>
      <c r="E7344" s="14" t="n">
        <v>1691</v>
      </c>
      <c r="F7344" s="14" t="n">
        <v>10969.48</v>
      </c>
      <c r="G7344" s="6" t="s">
        <v>2613</v>
      </c>
    </row>
    <row r="7345" customFormat="false" ht="15" hidden="false" customHeight="true" outlineLevel="0" collapsed="false">
      <c r="A7345" s="6" t="s">
        <v>9957</v>
      </c>
      <c r="B7345" s="6" t="s">
        <v>1587</v>
      </c>
      <c r="C7345" s="6" t="s">
        <v>112</v>
      </c>
      <c r="D7345" s="13" t="n">
        <v>44909</v>
      </c>
      <c r="E7345" s="14" t="n">
        <v>1854.53</v>
      </c>
      <c r="F7345" s="14" t="n">
        <v>12824.01</v>
      </c>
      <c r="G7345" s="6" t="s">
        <v>2613</v>
      </c>
    </row>
    <row r="7346" customFormat="false" ht="15" hidden="false" customHeight="true" outlineLevel="0" collapsed="false">
      <c r="A7346" s="6" t="s">
        <v>9958</v>
      </c>
      <c r="B7346" s="6" t="s">
        <v>1587</v>
      </c>
      <c r="C7346" s="6" t="s">
        <v>112</v>
      </c>
      <c r="D7346" s="13" t="n">
        <v>44916</v>
      </c>
      <c r="E7346" s="14" t="n">
        <v>1056.6</v>
      </c>
      <c r="F7346" s="14" t="n">
        <v>13880.61</v>
      </c>
      <c r="G7346" s="6" t="s">
        <v>2613</v>
      </c>
    </row>
    <row r="7347" customFormat="false" ht="15" hidden="false" customHeight="true" outlineLevel="0" collapsed="false">
      <c r="A7347" s="6" t="s">
        <v>9959</v>
      </c>
      <c r="B7347" s="6" t="s">
        <v>1587</v>
      </c>
      <c r="C7347" s="6" t="s">
        <v>112</v>
      </c>
      <c r="D7347" s="13" t="n">
        <v>44923</v>
      </c>
      <c r="E7347" s="14" t="n">
        <v>856.76</v>
      </c>
      <c r="F7347" s="14" t="n">
        <v>14737.37</v>
      </c>
      <c r="G7347" s="6" t="s">
        <v>2613</v>
      </c>
    </row>
    <row r="7348" customFormat="false" ht="15" hidden="false" customHeight="true" outlineLevel="0" collapsed="false">
      <c r="A7348" s="6" t="s">
        <v>9960</v>
      </c>
      <c r="B7348" s="6" t="s">
        <v>1587</v>
      </c>
      <c r="C7348" s="6" t="s">
        <v>112</v>
      </c>
      <c r="D7348" s="13" t="n">
        <v>44930</v>
      </c>
      <c r="E7348" s="14" t="n">
        <v>1424.79</v>
      </c>
      <c r="F7348" s="14" t="n">
        <v>16162.16</v>
      </c>
      <c r="G7348" s="6" t="s">
        <v>2613</v>
      </c>
    </row>
    <row r="7349" customFormat="false" ht="15" hidden="false" customHeight="true" outlineLevel="0" collapsed="false">
      <c r="A7349" s="6" t="s">
        <v>9961</v>
      </c>
      <c r="B7349" s="6" t="s">
        <v>1589</v>
      </c>
      <c r="C7349" s="6" t="s">
        <v>120</v>
      </c>
      <c r="D7349" s="13" t="n">
        <v>45031</v>
      </c>
      <c r="E7349" s="14" t="n">
        <v>970.04</v>
      </c>
      <c r="F7349" s="14" t="n">
        <v>970.04</v>
      </c>
      <c r="G7349" s="6" t="s">
        <v>2623</v>
      </c>
    </row>
    <row r="7350" customFormat="false" ht="15" hidden="false" customHeight="true" outlineLevel="0" collapsed="false">
      <c r="A7350" s="6" t="s">
        <v>9962</v>
      </c>
      <c r="B7350" s="6" t="s">
        <v>1589</v>
      </c>
      <c r="C7350" s="6" t="s">
        <v>120</v>
      </c>
      <c r="D7350" s="13" t="n">
        <v>45038</v>
      </c>
      <c r="E7350" s="14" t="n">
        <v>1000.44</v>
      </c>
      <c r="F7350" s="14" t="n">
        <v>1970.48</v>
      </c>
      <c r="G7350" s="6" t="s">
        <v>2613</v>
      </c>
    </row>
    <row r="7351" customFormat="false" ht="15" hidden="false" customHeight="true" outlineLevel="0" collapsed="false">
      <c r="A7351" s="6" t="s">
        <v>9963</v>
      </c>
      <c r="B7351" s="6" t="s">
        <v>1589</v>
      </c>
      <c r="C7351" s="6" t="s">
        <v>120</v>
      </c>
      <c r="D7351" s="13" t="n">
        <v>45045</v>
      </c>
      <c r="E7351" s="14" t="n">
        <v>954.32</v>
      </c>
      <c r="F7351" s="14" t="n">
        <v>2924.8</v>
      </c>
      <c r="G7351" s="6" t="s">
        <v>2613</v>
      </c>
    </row>
    <row r="7352" customFormat="false" ht="15" hidden="false" customHeight="true" outlineLevel="0" collapsed="false">
      <c r="A7352" s="6" t="s">
        <v>9964</v>
      </c>
      <c r="B7352" s="6" t="s">
        <v>1589</v>
      </c>
      <c r="C7352" s="6" t="s">
        <v>120</v>
      </c>
      <c r="D7352" s="13" t="n">
        <v>45052</v>
      </c>
      <c r="E7352" s="14" t="n">
        <v>608.7</v>
      </c>
      <c r="F7352" s="14" t="n">
        <v>3533.5</v>
      </c>
      <c r="G7352" s="6" t="s">
        <v>2613</v>
      </c>
    </row>
    <row r="7353" customFormat="false" ht="15" hidden="false" customHeight="true" outlineLevel="0" collapsed="false">
      <c r="A7353" s="6" t="s">
        <v>9965</v>
      </c>
      <c r="B7353" s="6" t="s">
        <v>1589</v>
      </c>
      <c r="C7353" s="6" t="s">
        <v>120</v>
      </c>
      <c r="D7353" s="13" t="n">
        <v>45059</v>
      </c>
      <c r="E7353" s="14" t="n">
        <v>1140.57</v>
      </c>
      <c r="F7353" s="14" t="n">
        <v>4674.07</v>
      </c>
      <c r="G7353" s="6" t="s">
        <v>2613</v>
      </c>
    </row>
    <row r="7354" customFormat="false" ht="15" hidden="false" customHeight="true" outlineLevel="0" collapsed="false">
      <c r="A7354" s="6" t="s">
        <v>9966</v>
      </c>
      <c r="B7354" s="6" t="s">
        <v>1589</v>
      </c>
      <c r="C7354" s="6" t="s">
        <v>120</v>
      </c>
      <c r="D7354" s="13" t="n">
        <v>45066</v>
      </c>
      <c r="E7354" s="14" t="n">
        <v>700.3</v>
      </c>
      <c r="F7354" s="14" t="n">
        <v>5374.37</v>
      </c>
      <c r="G7354" s="6" t="s">
        <v>2613</v>
      </c>
    </row>
    <row r="7355" customFormat="false" ht="15" hidden="false" customHeight="true" outlineLevel="0" collapsed="false">
      <c r="A7355" s="6" t="s">
        <v>9967</v>
      </c>
      <c r="B7355" s="6" t="s">
        <v>1591</v>
      </c>
      <c r="C7355" s="6" t="s">
        <v>120</v>
      </c>
      <c r="D7355" s="13" t="n">
        <v>44861</v>
      </c>
      <c r="E7355" s="14" t="n">
        <v>1965.4</v>
      </c>
      <c r="F7355" s="14" t="n">
        <v>1965.4</v>
      </c>
      <c r="G7355" s="6" t="s">
        <v>2613</v>
      </c>
    </row>
    <row r="7356" customFormat="false" ht="15" hidden="false" customHeight="true" outlineLevel="0" collapsed="false">
      <c r="A7356" s="6" t="s">
        <v>9968</v>
      </c>
      <c r="B7356" s="6" t="s">
        <v>1591</v>
      </c>
      <c r="C7356" s="6" t="s">
        <v>120</v>
      </c>
      <c r="D7356" s="13" t="n">
        <v>44868</v>
      </c>
      <c r="E7356" s="14" t="n">
        <v>2219.52</v>
      </c>
      <c r="F7356" s="14" t="n">
        <v>4184.92</v>
      </c>
      <c r="G7356" s="6" t="s">
        <v>2613</v>
      </c>
    </row>
    <row r="7357" customFormat="false" ht="15" hidden="false" customHeight="true" outlineLevel="0" collapsed="false">
      <c r="A7357" s="6" t="s">
        <v>9969</v>
      </c>
      <c r="B7357" s="6" t="s">
        <v>1591</v>
      </c>
      <c r="C7357" s="6" t="s">
        <v>120</v>
      </c>
      <c r="D7357" s="13" t="n">
        <v>44875</v>
      </c>
      <c r="E7357" s="14" t="n">
        <v>1264.75</v>
      </c>
      <c r="F7357" s="14" t="n">
        <v>5449.67</v>
      </c>
      <c r="G7357" s="6" t="s">
        <v>2613</v>
      </c>
    </row>
    <row r="7358" customFormat="false" ht="15" hidden="false" customHeight="true" outlineLevel="0" collapsed="false">
      <c r="A7358" s="6" t="s">
        <v>9970</v>
      </c>
      <c r="B7358" s="6" t="s">
        <v>1591</v>
      </c>
      <c r="C7358" s="6" t="s">
        <v>120</v>
      </c>
      <c r="D7358" s="13" t="n">
        <v>44882</v>
      </c>
      <c r="E7358" s="14" t="n">
        <v>1799.98</v>
      </c>
      <c r="F7358" s="14" t="n">
        <v>7249.65</v>
      </c>
      <c r="G7358" s="6" t="s">
        <v>2613</v>
      </c>
    </row>
    <row r="7359" customFormat="false" ht="15" hidden="false" customHeight="true" outlineLevel="0" collapsed="false">
      <c r="A7359" s="6" t="s">
        <v>9971</v>
      </c>
      <c r="B7359" s="6" t="s">
        <v>1591</v>
      </c>
      <c r="C7359" s="6" t="s">
        <v>120</v>
      </c>
      <c r="D7359" s="13" t="n">
        <v>44889</v>
      </c>
      <c r="E7359" s="14" t="n">
        <v>2140.67</v>
      </c>
      <c r="F7359" s="14" t="n">
        <v>9390.32</v>
      </c>
      <c r="G7359" s="6" t="s">
        <v>2613</v>
      </c>
    </row>
    <row r="7360" customFormat="false" ht="15" hidden="false" customHeight="true" outlineLevel="0" collapsed="false">
      <c r="A7360" s="6" t="s">
        <v>9972</v>
      </c>
      <c r="B7360" s="6" t="s">
        <v>1591</v>
      </c>
      <c r="C7360" s="6" t="s">
        <v>120</v>
      </c>
      <c r="D7360" s="13" t="n">
        <v>44896</v>
      </c>
      <c r="E7360" s="14" t="n">
        <v>1060.63</v>
      </c>
      <c r="F7360" s="14" t="n">
        <v>10450.95</v>
      </c>
      <c r="G7360" s="6" t="s">
        <v>2613</v>
      </c>
    </row>
    <row r="7361" customFormat="false" ht="15" hidden="false" customHeight="true" outlineLevel="0" collapsed="false">
      <c r="A7361" s="6" t="s">
        <v>9973</v>
      </c>
      <c r="B7361" s="6" t="s">
        <v>1591</v>
      </c>
      <c r="C7361" s="6" t="s">
        <v>120</v>
      </c>
      <c r="D7361" s="13" t="n">
        <v>44903</v>
      </c>
      <c r="E7361" s="14" t="n">
        <v>1335.79</v>
      </c>
      <c r="F7361" s="14" t="n">
        <v>11786.74</v>
      </c>
      <c r="G7361" s="6" t="s">
        <v>2613</v>
      </c>
    </row>
    <row r="7362" customFormat="false" ht="15" hidden="false" customHeight="true" outlineLevel="0" collapsed="false">
      <c r="A7362" s="6" t="s">
        <v>9974</v>
      </c>
      <c r="B7362" s="6" t="s">
        <v>1591</v>
      </c>
      <c r="C7362" s="6" t="s">
        <v>120</v>
      </c>
      <c r="D7362" s="13" t="n">
        <v>44910</v>
      </c>
      <c r="E7362" s="14" t="n">
        <v>1062.07</v>
      </c>
      <c r="F7362" s="14" t="n">
        <v>12848.81</v>
      </c>
      <c r="G7362" s="6" t="s">
        <v>2613</v>
      </c>
    </row>
    <row r="7363" customFormat="false" ht="15" hidden="false" customHeight="true" outlineLevel="0" collapsed="false">
      <c r="A7363" s="6" t="s">
        <v>9975</v>
      </c>
      <c r="B7363" s="6" t="s">
        <v>1593</v>
      </c>
      <c r="C7363" s="6" t="s">
        <v>124</v>
      </c>
      <c r="D7363" s="13" t="n">
        <v>45430</v>
      </c>
      <c r="E7363" s="14" t="n">
        <v>4803.66</v>
      </c>
      <c r="F7363" s="14" t="n">
        <v>4803.66</v>
      </c>
      <c r="G7363" s="6" t="s">
        <v>2613</v>
      </c>
    </row>
    <row r="7364" customFormat="false" ht="15" hidden="false" customHeight="true" outlineLevel="0" collapsed="false">
      <c r="A7364" s="6" t="s">
        <v>9976</v>
      </c>
      <c r="B7364" s="6" t="s">
        <v>1593</v>
      </c>
      <c r="C7364" s="6" t="s">
        <v>124</v>
      </c>
      <c r="D7364" s="13" t="n">
        <v>45437</v>
      </c>
      <c r="E7364" s="14" t="n">
        <v>6135.58</v>
      </c>
      <c r="F7364" s="14" t="n">
        <v>10939.24</v>
      </c>
      <c r="G7364" s="6" t="s">
        <v>2613</v>
      </c>
    </row>
    <row r="7365" customFormat="false" ht="15" hidden="false" customHeight="true" outlineLevel="0" collapsed="false">
      <c r="A7365" s="6" t="s">
        <v>9977</v>
      </c>
      <c r="B7365" s="6" t="s">
        <v>1593</v>
      </c>
      <c r="C7365" s="6" t="s">
        <v>124</v>
      </c>
      <c r="D7365" s="13" t="n">
        <v>45444</v>
      </c>
      <c r="E7365" s="14" t="n">
        <v>3584.96</v>
      </c>
      <c r="F7365" s="14" t="n">
        <v>14524.2</v>
      </c>
      <c r="G7365" s="6" t="s">
        <v>2623</v>
      </c>
    </row>
    <row r="7366" customFormat="false" ht="15" hidden="false" customHeight="true" outlineLevel="0" collapsed="false">
      <c r="A7366" s="6" t="s">
        <v>9978</v>
      </c>
      <c r="B7366" s="6" t="s">
        <v>1593</v>
      </c>
      <c r="C7366" s="6" t="s">
        <v>124</v>
      </c>
      <c r="D7366" s="13" t="n">
        <v>45451</v>
      </c>
      <c r="E7366" s="14" t="n">
        <v>5816.96</v>
      </c>
      <c r="F7366" s="14" t="n">
        <v>20341.16</v>
      </c>
      <c r="G7366" s="6" t="s">
        <v>2613</v>
      </c>
    </row>
    <row r="7367" customFormat="false" ht="15" hidden="false" customHeight="true" outlineLevel="0" collapsed="false">
      <c r="A7367" s="6" t="s">
        <v>9979</v>
      </c>
      <c r="B7367" s="6" t="s">
        <v>1593</v>
      </c>
      <c r="C7367" s="6" t="s">
        <v>124</v>
      </c>
      <c r="D7367" s="13" t="n">
        <v>45458</v>
      </c>
      <c r="E7367" s="14" t="n">
        <v>6895.96</v>
      </c>
      <c r="F7367" s="14" t="n">
        <v>27237.12</v>
      </c>
      <c r="G7367" s="6" t="s">
        <v>2613</v>
      </c>
    </row>
    <row r="7368" customFormat="false" ht="15" hidden="false" customHeight="true" outlineLevel="0" collapsed="false">
      <c r="A7368" s="6" t="s">
        <v>9980</v>
      </c>
      <c r="B7368" s="6" t="s">
        <v>1593</v>
      </c>
      <c r="C7368" s="6" t="s">
        <v>124</v>
      </c>
      <c r="D7368" s="13" t="n">
        <v>45465</v>
      </c>
      <c r="E7368" s="14" t="n">
        <v>5383.78</v>
      </c>
      <c r="F7368" s="14" t="n">
        <v>32620.9</v>
      </c>
      <c r="G7368" s="6" t="s">
        <v>2623</v>
      </c>
    </row>
    <row r="7369" customFormat="false" ht="15" hidden="false" customHeight="true" outlineLevel="0" collapsed="false">
      <c r="A7369" s="6" t="s">
        <v>9981</v>
      </c>
      <c r="B7369" s="6" t="s">
        <v>1593</v>
      </c>
      <c r="C7369" s="6" t="s">
        <v>124</v>
      </c>
      <c r="D7369" s="13" t="n">
        <v>45472</v>
      </c>
      <c r="E7369" s="14" t="n">
        <v>6197.37</v>
      </c>
      <c r="F7369" s="14" t="n">
        <v>38818.27</v>
      </c>
      <c r="G7369" s="6" t="s">
        <v>2613</v>
      </c>
    </row>
    <row r="7370" customFormat="false" ht="15" hidden="false" customHeight="true" outlineLevel="0" collapsed="false">
      <c r="A7370" s="6" t="s">
        <v>9982</v>
      </c>
      <c r="B7370" s="6" t="s">
        <v>1593</v>
      </c>
      <c r="C7370" s="6" t="s">
        <v>124</v>
      </c>
      <c r="D7370" s="13" t="n">
        <v>45479</v>
      </c>
      <c r="E7370" s="14" t="n">
        <v>6033.97</v>
      </c>
      <c r="F7370" s="14" t="n">
        <v>44852.24</v>
      </c>
      <c r="G7370" s="6" t="s">
        <v>2613</v>
      </c>
    </row>
    <row r="7371" customFormat="false" ht="15" hidden="false" customHeight="true" outlineLevel="0" collapsed="false">
      <c r="A7371" s="6" t="s">
        <v>9983</v>
      </c>
      <c r="B7371" s="6" t="s">
        <v>1593</v>
      </c>
      <c r="C7371" s="6" t="s">
        <v>124</v>
      </c>
      <c r="D7371" s="13" t="n">
        <v>45486</v>
      </c>
      <c r="E7371" s="14" t="n">
        <v>4370.54</v>
      </c>
      <c r="F7371" s="14" t="n">
        <v>49222.78</v>
      </c>
      <c r="G7371" s="6" t="s">
        <v>2613</v>
      </c>
    </row>
    <row r="7372" customFormat="false" ht="15" hidden="false" customHeight="true" outlineLevel="0" collapsed="false">
      <c r="A7372" s="6" t="s">
        <v>9984</v>
      </c>
      <c r="B7372" s="6" t="s">
        <v>1593</v>
      </c>
      <c r="C7372" s="6" t="s">
        <v>124</v>
      </c>
      <c r="D7372" s="13" t="n">
        <v>45493</v>
      </c>
      <c r="E7372" s="14" t="n">
        <v>5006.37</v>
      </c>
      <c r="F7372" s="14" t="n">
        <v>54229.15</v>
      </c>
      <c r="G7372" s="6" t="s">
        <v>2613</v>
      </c>
    </row>
    <row r="7373" customFormat="false" ht="15" hidden="false" customHeight="true" outlineLevel="0" collapsed="false">
      <c r="A7373" s="6" t="s">
        <v>9985</v>
      </c>
      <c r="B7373" s="6" t="s">
        <v>1593</v>
      </c>
      <c r="C7373" s="6" t="s">
        <v>124</v>
      </c>
      <c r="D7373" s="13" t="n">
        <v>45500</v>
      </c>
      <c r="E7373" s="14" t="n">
        <v>6274.48</v>
      </c>
      <c r="F7373" s="14" t="n">
        <v>60503.63</v>
      </c>
      <c r="G7373" s="6" t="s">
        <v>2613</v>
      </c>
    </row>
    <row r="7374" customFormat="false" ht="15" hidden="false" customHeight="true" outlineLevel="0" collapsed="false">
      <c r="A7374" s="6" t="s">
        <v>9986</v>
      </c>
      <c r="B7374" s="6" t="s">
        <v>1593</v>
      </c>
      <c r="C7374" s="6" t="s">
        <v>124</v>
      </c>
      <c r="D7374" s="13" t="n">
        <v>45507</v>
      </c>
      <c r="E7374" s="14" t="n">
        <v>4987.02</v>
      </c>
      <c r="F7374" s="14" t="n">
        <v>65490.65</v>
      </c>
      <c r="G7374" s="6" t="s">
        <v>2613</v>
      </c>
    </row>
    <row r="7375" customFormat="false" ht="15" hidden="false" customHeight="true" outlineLevel="0" collapsed="false">
      <c r="A7375" s="6" t="s">
        <v>9987</v>
      </c>
      <c r="B7375" s="6" t="s">
        <v>1593</v>
      </c>
      <c r="C7375" s="6" t="s">
        <v>124</v>
      </c>
      <c r="D7375" s="13" t="n">
        <v>45514</v>
      </c>
      <c r="E7375" s="14" t="n">
        <v>6067.6</v>
      </c>
      <c r="F7375" s="14" t="n">
        <v>71558.25</v>
      </c>
      <c r="G7375" s="6" t="s">
        <v>2613</v>
      </c>
    </row>
    <row r="7376" customFormat="false" ht="15" hidden="false" customHeight="true" outlineLevel="0" collapsed="false">
      <c r="A7376" s="6" t="s">
        <v>9988</v>
      </c>
      <c r="B7376" s="6" t="s">
        <v>1593</v>
      </c>
      <c r="C7376" s="6" t="s">
        <v>124</v>
      </c>
      <c r="D7376" s="13" t="n">
        <v>45521</v>
      </c>
      <c r="E7376" s="14" t="n">
        <v>4371.28</v>
      </c>
      <c r="F7376" s="14" t="n">
        <v>75929.53</v>
      </c>
      <c r="G7376" s="6" t="s">
        <v>2613</v>
      </c>
    </row>
    <row r="7377" customFormat="false" ht="15" hidden="false" customHeight="true" outlineLevel="0" collapsed="false">
      <c r="A7377" s="6" t="s">
        <v>9989</v>
      </c>
      <c r="B7377" s="6" t="s">
        <v>1593</v>
      </c>
      <c r="C7377" s="6" t="s">
        <v>124</v>
      </c>
      <c r="D7377" s="13" t="n">
        <v>45528</v>
      </c>
      <c r="E7377" s="14" t="n">
        <v>6292.92</v>
      </c>
      <c r="F7377" s="14" t="n">
        <v>82222.45</v>
      </c>
      <c r="G7377" s="6" t="s">
        <v>2613</v>
      </c>
    </row>
    <row r="7378" customFormat="false" ht="15" hidden="false" customHeight="true" outlineLevel="0" collapsed="false">
      <c r="A7378" s="6" t="s">
        <v>9990</v>
      </c>
      <c r="B7378" s="6" t="s">
        <v>1593</v>
      </c>
      <c r="C7378" s="6" t="s">
        <v>124</v>
      </c>
      <c r="D7378" s="13" t="n">
        <v>45535</v>
      </c>
      <c r="E7378" s="14" t="n">
        <v>5547.7</v>
      </c>
      <c r="F7378" s="14" t="n">
        <v>87770.15</v>
      </c>
      <c r="G7378" s="6" t="s">
        <v>2613</v>
      </c>
    </row>
    <row r="7379" customFormat="false" ht="15" hidden="false" customHeight="true" outlineLevel="0" collapsed="false">
      <c r="A7379" s="6" t="s">
        <v>9991</v>
      </c>
      <c r="B7379" s="6" t="s">
        <v>1595</v>
      </c>
      <c r="C7379" s="6" t="s">
        <v>116</v>
      </c>
      <c r="D7379" s="13" t="n">
        <v>44880</v>
      </c>
      <c r="E7379" s="14" t="n">
        <v>2128.27</v>
      </c>
      <c r="F7379" s="14" t="n">
        <v>2128.27</v>
      </c>
      <c r="G7379" s="6" t="s">
        <v>2613</v>
      </c>
    </row>
    <row r="7380" customFormat="false" ht="15" hidden="false" customHeight="true" outlineLevel="0" collapsed="false">
      <c r="A7380" s="6" t="s">
        <v>9992</v>
      </c>
      <c r="B7380" s="6" t="s">
        <v>1595</v>
      </c>
      <c r="C7380" s="6" t="s">
        <v>116</v>
      </c>
      <c r="D7380" s="13" t="n">
        <v>44887</v>
      </c>
      <c r="E7380" s="14" t="n">
        <v>2679.97</v>
      </c>
      <c r="F7380" s="14" t="n">
        <v>4808.24</v>
      </c>
      <c r="G7380" s="6" t="s">
        <v>2613</v>
      </c>
    </row>
    <row r="7381" customFormat="false" ht="15" hidden="false" customHeight="true" outlineLevel="0" collapsed="false">
      <c r="A7381" s="6" t="s">
        <v>9993</v>
      </c>
      <c r="B7381" s="6" t="s">
        <v>1595</v>
      </c>
      <c r="C7381" s="6" t="s">
        <v>116</v>
      </c>
      <c r="D7381" s="13" t="n">
        <v>44894</v>
      </c>
      <c r="E7381" s="14" t="n">
        <v>4102.52</v>
      </c>
      <c r="F7381" s="14" t="n">
        <v>8910.76</v>
      </c>
      <c r="G7381" s="6" t="s">
        <v>2613</v>
      </c>
    </row>
    <row r="7382" customFormat="false" ht="15" hidden="false" customHeight="true" outlineLevel="0" collapsed="false">
      <c r="A7382" s="6" t="s">
        <v>9994</v>
      </c>
      <c r="B7382" s="6" t="s">
        <v>1595</v>
      </c>
      <c r="C7382" s="6" t="s">
        <v>116</v>
      </c>
      <c r="D7382" s="13" t="n">
        <v>44901</v>
      </c>
      <c r="E7382" s="14" t="n">
        <v>4047.11</v>
      </c>
      <c r="F7382" s="14" t="n">
        <v>12957.87</v>
      </c>
      <c r="G7382" s="6" t="s">
        <v>2613</v>
      </c>
    </row>
    <row r="7383" customFormat="false" ht="15" hidden="false" customHeight="true" outlineLevel="0" collapsed="false">
      <c r="A7383" s="6" t="s">
        <v>9995</v>
      </c>
      <c r="B7383" s="6" t="s">
        <v>1595</v>
      </c>
      <c r="C7383" s="6" t="s">
        <v>116</v>
      </c>
      <c r="D7383" s="13" t="n">
        <v>44908</v>
      </c>
      <c r="E7383" s="14" t="n">
        <v>3897.73</v>
      </c>
      <c r="F7383" s="14" t="n">
        <v>16855.6</v>
      </c>
      <c r="G7383" s="6" t="s">
        <v>2613</v>
      </c>
    </row>
    <row r="7384" customFormat="false" ht="15" hidden="false" customHeight="true" outlineLevel="0" collapsed="false">
      <c r="A7384" s="6" t="s">
        <v>9996</v>
      </c>
      <c r="B7384" s="6" t="s">
        <v>1595</v>
      </c>
      <c r="C7384" s="6" t="s">
        <v>116</v>
      </c>
      <c r="D7384" s="13" t="n">
        <v>44915</v>
      </c>
      <c r="E7384" s="14" t="n">
        <v>3914.3</v>
      </c>
      <c r="F7384" s="14" t="n">
        <v>20769.9</v>
      </c>
      <c r="G7384" s="6" t="s">
        <v>2623</v>
      </c>
    </row>
    <row r="7385" customFormat="false" ht="15" hidden="false" customHeight="true" outlineLevel="0" collapsed="false">
      <c r="A7385" s="6" t="s">
        <v>9997</v>
      </c>
      <c r="B7385" s="6" t="s">
        <v>1595</v>
      </c>
      <c r="C7385" s="6" t="s">
        <v>116</v>
      </c>
      <c r="D7385" s="13" t="n">
        <v>44922</v>
      </c>
      <c r="E7385" s="14" t="n">
        <v>2406.17</v>
      </c>
      <c r="F7385" s="14" t="n">
        <v>23176.07</v>
      </c>
      <c r="G7385" s="6" t="s">
        <v>2613</v>
      </c>
    </row>
    <row r="7386" customFormat="false" ht="15" hidden="false" customHeight="true" outlineLevel="0" collapsed="false">
      <c r="A7386" s="6" t="s">
        <v>9998</v>
      </c>
      <c r="B7386" s="6" t="s">
        <v>1595</v>
      </c>
      <c r="C7386" s="6" t="s">
        <v>116</v>
      </c>
      <c r="D7386" s="13" t="n">
        <v>44929</v>
      </c>
      <c r="E7386" s="14" t="n">
        <v>3635.21</v>
      </c>
      <c r="F7386" s="14" t="n">
        <v>26811.28</v>
      </c>
      <c r="G7386" s="6" t="s">
        <v>2613</v>
      </c>
    </row>
    <row r="7387" customFormat="false" ht="15" hidden="false" customHeight="true" outlineLevel="0" collapsed="false">
      <c r="A7387" s="6" t="s">
        <v>9999</v>
      </c>
      <c r="B7387" s="6" t="s">
        <v>1595</v>
      </c>
      <c r="C7387" s="6" t="s">
        <v>116</v>
      </c>
      <c r="D7387" s="13" t="n">
        <v>44936</v>
      </c>
      <c r="E7387" s="14" t="n">
        <v>3494.75</v>
      </c>
      <c r="F7387" s="14" t="n">
        <v>30306.03</v>
      </c>
      <c r="G7387" s="6" t="s">
        <v>2613</v>
      </c>
    </row>
    <row r="7388" customFormat="false" ht="15" hidden="false" customHeight="true" outlineLevel="0" collapsed="false">
      <c r="A7388" s="6" t="s">
        <v>10000</v>
      </c>
      <c r="B7388" s="6" t="s">
        <v>1597</v>
      </c>
      <c r="C7388" s="6" t="s">
        <v>124</v>
      </c>
      <c r="D7388" s="13" t="n">
        <v>45414</v>
      </c>
      <c r="E7388" s="14" t="n">
        <v>10410.73</v>
      </c>
      <c r="F7388" s="14" t="n">
        <v>10410.73</v>
      </c>
      <c r="G7388" s="6" t="s">
        <v>2613</v>
      </c>
    </row>
    <row r="7389" customFormat="false" ht="15" hidden="false" customHeight="true" outlineLevel="0" collapsed="false">
      <c r="A7389" s="6" t="s">
        <v>10001</v>
      </c>
      <c r="B7389" s="6" t="s">
        <v>1597</v>
      </c>
      <c r="C7389" s="6" t="s">
        <v>124</v>
      </c>
      <c r="D7389" s="13" t="n">
        <v>45421</v>
      </c>
      <c r="E7389" s="14" t="n">
        <v>10014.31</v>
      </c>
      <c r="F7389" s="14" t="n">
        <v>20425.04</v>
      </c>
      <c r="G7389" s="6" t="s">
        <v>2613</v>
      </c>
    </row>
    <row r="7390" customFormat="false" ht="15" hidden="false" customHeight="true" outlineLevel="0" collapsed="false">
      <c r="A7390" s="6" t="s">
        <v>10002</v>
      </c>
      <c r="B7390" s="6" t="s">
        <v>1597</v>
      </c>
      <c r="C7390" s="6" t="s">
        <v>124</v>
      </c>
      <c r="D7390" s="13" t="n">
        <v>45428</v>
      </c>
      <c r="E7390" s="14" t="n">
        <v>5064.58</v>
      </c>
      <c r="F7390" s="14" t="n">
        <v>25489.62</v>
      </c>
      <c r="G7390" s="6" t="s">
        <v>2613</v>
      </c>
    </row>
    <row r="7391" customFormat="false" ht="15" hidden="false" customHeight="true" outlineLevel="0" collapsed="false">
      <c r="A7391" s="6" t="s">
        <v>10003</v>
      </c>
      <c r="B7391" s="6" t="s">
        <v>1597</v>
      </c>
      <c r="C7391" s="6" t="s">
        <v>124</v>
      </c>
      <c r="D7391" s="13" t="n">
        <v>45435</v>
      </c>
      <c r="E7391" s="14" t="n">
        <v>8502.27</v>
      </c>
      <c r="F7391" s="14" t="n">
        <v>33991.89</v>
      </c>
      <c r="G7391" s="6" t="s">
        <v>2623</v>
      </c>
    </row>
    <row r="7392" customFormat="false" ht="15" hidden="false" customHeight="true" outlineLevel="0" collapsed="false">
      <c r="A7392" s="6" t="s">
        <v>10004</v>
      </c>
      <c r="B7392" s="6" t="s">
        <v>1597</v>
      </c>
      <c r="C7392" s="6" t="s">
        <v>124</v>
      </c>
      <c r="D7392" s="13" t="n">
        <v>45442</v>
      </c>
      <c r="E7392" s="14" t="n">
        <v>3501.4</v>
      </c>
      <c r="F7392" s="14" t="n">
        <v>37493.29</v>
      </c>
      <c r="G7392" s="6" t="s">
        <v>2613</v>
      </c>
    </row>
    <row r="7393" customFormat="false" ht="15" hidden="false" customHeight="true" outlineLevel="0" collapsed="false">
      <c r="A7393" s="6" t="s">
        <v>10005</v>
      </c>
      <c r="B7393" s="6" t="s">
        <v>1599</v>
      </c>
      <c r="C7393" s="6" t="s">
        <v>120</v>
      </c>
      <c r="D7393" s="13" t="n">
        <v>45141</v>
      </c>
      <c r="E7393" s="14" t="n">
        <v>5555.03</v>
      </c>
      <c r="F7393" s="14" t="n">
        <v>5555.03</v>
      </c>
      <c r="G7393" s="6" t="s">
        <v>2613</v>
      </c>
    </row>
    <row r="7394" customFormat="false" ht="15" hidden="false" customHeight="true" outlineLevel="0" collapsed="false">
      <c r="A7394" s="6" t="s">
        <v>10006</v>
      </c>
      <c r="B7394" s="6" t="s">
        <v>1599</v>
      </c>
      <c r="C7394" s="6" t="s">
        <v>120</v>
      </c>
      <c r="D7394" s="13" t="n">
        <v>45148</v>
      </c>
      <c r="E7394" s="14" t="n">
        <v>4019.74</v>
      </c>
      <c r="F7394" s="14" t="n">
        <v>9574.77</v>
      </c>
      <c r="G7394" s="6" t="s">
        <v>2613</v>
      </c>
    </row>
    <row r="7395" customFormat="false" ht="15" hidden="false" customHeight="true" outlineLevel="0" collapsed="false">
      <c r="A7395" s="6" t="s">
        <v>10007</v>
      </c>
      <c r="B7395" s="6" t="s">
        <v>1599</v>
      </c>
      <c r="C7395" s="6" t="s">
        <v>120</v>
      </c>
      <c r="D7395" s="13" t="n">
        <v>45155</v>
      </c>
      <c r="E7395" s="14" t="n">
        <v>4615.5</v>
      </c>
      <c r="F7395" s="14" t="n">
        <v>14190.27</v>
      </c>
      <c r="G7395" s="6" t="s">
        <v>2613</v>
      </c>
    </row>
    <row r="7396" customFormat="false" ht="15" hidden="false" customHeight="true" outlineLevel="0" collapsed="false">
      <c r="A7396" s="6" t="s">
        <v>10008</v>
      </c>
      <c r="B7396" s="6" t="s">
        <v>1599</v>
      </c>
      <c r="C7396" s="6" t="s">
        <v>120</v>
      </c>
      <c r="D7396" s="13" t="n">
        <v>45162</v>
      </c>
      <c r="E7396" s="14" t="n">
        <v>4870.92</v>
      </c>
      <c r="F7396" s="14" t="n">
        <v>19061.19</v>
      </c>
      <c r="G7396" s="6" t="s">
        <v>2613</v>
      </c>
    </row>
    <row r="7397" customFormat="false" ht="15" hidden="false" customHeight="true" outlineLevel="0" collapsed="false">
      <c r="A7397" s="6" t="s">
        <v>10009</v>
      </c>
      <c r="B7397" s="6" t="s">
        <v>1599</v>
      </c>
      <c r="C7397" s="6" t="s">
        <v>120</v>
      </c>
      <c r="D7397" s="13" t="n">
        <v>45169</v>
      </c>
      <c r="E7397" s="14" t="n">
        <v>5604.32</v>
      </c>
      <c r="F7397" s="14" t="n">
        <v>24665.51</v>
      </c>
      <c r="G7397" s="6" t="s">
        <v>2613</v>
      </c>
    </row>
    <row r="7398" customFormat="false" ht="15" hidden="false" customHeight="true" outlineLevel="0" collapsed="false">
      <c r="A7398" s="6" t="s">
        <v>10010</v>
      </c>
      <c r="B7398" s="6" t="s">
        <v>1599</v>
      </c>
      <c r="C7398" s="6" t="s">
        <v>120</v>
      </c>
      <c r="D7398" s="13" t="n">
        <v>45176</v>
      </c>
      <c r="E7398" s="14" t="n">
        <v>3864.91</v>
      </c>
      <c r="F7398" s="14" t="n">
        <v>28530.42</v>
      </c>
      <c r="G7398" s="6" t="s">
        <v>2613</v>
      </c>
    </row>
    <row r="7399" customFormat="false" ht="15" hidden="false" customHeight="true" outlineLevel="0" collapsed="false">
      <c r="A7399" s="6" t="s">
        <v>10011</v>
      </c>
      <c r="B7399" s="6" t="s">
        <v>1599</v>
      </c>
      <c r="C7399" s="6" t="s">
        <v>120</v>
      </c>
      <c r="D7399" s="13" t="n">
        <v>45183</v>
      </c>
      <c r="E7399" s="14" t="n">
        <v>3814.86</v>
      </c>
      <c r="F7399" s="14" t="n">
        <v>32345.28</v>
      </c>
      <c r="G7399" s="6" t="s">
        <v>2613</v>
      </c>
    </row>
    <row r="7400" customFormat="false" ht="15" hidden="false" customHeight="true" outlineLevel="0" collapsed="false">
      <c r="A7400" s="6" t="s">
        <v>10012</v>
      </c>
      <c r="B7400" s="6" t="s">
        <v>1599</v>
      </c>
      <c r="C7400" s="6" t="s">
        <v>120</v>
      </c>
      <c r="D7400" s="13" t="n">
        <v>45190</v>
      </c>
      <c r="E7400" s="14" t="n">
        <v>5074.58</v>
      </c>
      <c r="F7400" s="14" t="n">
        <v>37419.86</v>
      </c>
      <c r="G7400" s="6" t="s">
        <v>2613</v>
      </c>
    </row>
    <row r="7401" customFormat="false" ht="15" hidden="false" customHeight="true" outlineLevel="0" collapsed="false">
      <c r="A7401" s="6" t="s">
        <v>10013</v>
      </c>
      <c r="B7401" s="6" t="s">
        <v>1599</v>
      </c>
      <c r="C7401" s="6" t="s">
        <v>120</v>
      </c>
      <c r="D7401" s="13" t="n">
        <v>45197</v>
      </c>
      <c r="E7401" s="14" t="n">
        <v>4730.72</v>
      </c>
      <c r="F7401" s="14" t="n">
        <v>42150.58</v>
      </c>
      <c r="G7401" s="6" t="s">
        <v>2613</v>
      </c>
    </row>
    <row r="7402" customFormat="false" ht="15" hidden="false" customHeight="true" outlineLevel="0" collapsed="false">
      <c r="A7402" s="6" t="s">
        <v>10014</v>
      </c>
      <c r="B7402" s="6" t="s">
        <v>1599</v>
      </c>
      <c r="C7402" s="6" t="s">
        <v>120</v>
      </c>
      <c r="D7402" s="13" t="n">
        <v>45204</v>
      </c>
      <c r="E7402" s="14" t="n">
        <v>2458.75</v>
      </c>
      <c r="F7402" s="14" t="n">
        <v>44609.33</v>
      </c>
      <c r="G7402" s="6" t="s">
        <v>2613</v>
      </c>
    </row>
    <row r="7403" customFormat="false" ht="15" hidden="false" customHeight="true" outlineLevel="0" collapsed="false">
      <c r="A7403" s="6" t="s">
        <v>10015</v>
      </c>
      <c r="B7403" s="6" t="s">
        <v>1601</v>
      </c>
      <c r="C7403" s="6" t="s">
        <v>116</v>
      </c>
      <c r="D7403" s="13" t="n">
        <v>45945</v>
      </c>
      <c r="E7403" s="14" t="n">
        <v>2198.05</v>
      </c>
      <c r="F7403" s="14" t="n">
        <v>2198.05</v>
      </c>
      <c r="G7403" s="6" t="s">
        <v>2613</v>
      </c>
    </row>
    <row r="7404" customFormat="false" ht="15" hidden="false" customHeight="true" outlineLevel="0" collapsed="false">
      <c r="A7404" s="6" t="s">
        <v>10016</v>
      </c>
      <c r="B7404" s="6" t="s">
        <v>1601</v>
      </c>
      <c r="C7404" s="6" t="s">
        <v>116</v>
      </c>
      <c r="D7404" s="13" t="n">
        <v>45952</v>
      </c>
      <c r="E7404" s="14" t="n">
        <v>2929.21</v>
      </c>
      <c r="F7404" s="14" t="n">
        <v>5127.26</v>
      </c>
      <c r="G7404" s="6" t="s">
        <v>2613</v>
      </c>
    </row>
    <row r="7405" customFormat="false" ht="15" hidden="false" customHeight="true" outlineLevel="0" collapsed="false">
      <c r="A7405" s="6" t="s">
        <v>10017</v>
      </c>
      <c r="B7405" s="6" t="s">
        <v>1601</v>
      </c>
      <c r="C7405" s="6" t="s">
        <v>116</v>
      </c>
      <c r="D7405" s="13" t="n">
        <v>45959</v>
      </c>
      <c r="E7405" s="14" t="n">
        <v>3379.14</v>
      </c>
      <c r="F7405" s="14" t="n">
        <v>8506.4</v>
      </c>
      <c r="G7405" s="6" t="s">
        <v>2613</v>
      </c>
    </row>
    <row r="7406" customFormat="false" ht="15" hidden="false" customHeight="true" outlineLevel="0" collapsed="false">
      <c r="A7406" s="6" t="s">
        <v>10018</v>
      </c>
      <c r="B7406" s="6" t="s">
        <v>1601</v>
      </c>
      <c r="C7406" s="6" t="s">
        <v>116</v>
      </c>
      <c r="D7406" s="13" t="n">
        <v>45966</v>
      </c>
      <c r="E7406" s="14" t="n">
        <v>2682.63</v>
      </c>
      <c r="F7406" s="14" t="n">
        <v>11189.03</v>
      </c>
      <c r="G7406" s="6" t="s">
        <v>2623</v>
      </c>
    </row>
    <row r="7407" customFormat="false" ht="15" hidden="false" customHeight="true" outlineLevel="0" collapsed="false">
      <c r="A7407" s="6" t="s">
        <v>10019</v>
      </c>
      <c r="B7407" s="6" t="s">
        <v>1601</v>
      </c>
      <c r="C7407" s="6" t="s">
        <v>116</v>
      </c>
      <c r="D7407" s="13" t="n">
        <v>45973</v>
      </c>
      <c r="E7407" s="14" t="n">
        <v>2986.8</v>
      </c>
      <c r="F7407" s="14" t="n">
        <v>14175.83</v>
      </c>
      <c r="G7407" s="6" t="s">
        <v>2613</v>
      </c>
    </row>
    <row r="7408" customFormat="false" ht="15" hidden="false" customHeight="true" outlineLevel="0" collapsed="false">
      <c r="A7408" s="6" t="s">
        <v>10020</v>
      </c>
      <c r="B7408" s="6" t="s">
        <v>1601</v>
      </c>
      <c r="C7408" s="6" t="s">
        <v>116</v>
      </c>
      <c r="D7408" s="13" t="n">
        <v>45980</v>
      </c>
      <c r="E7408" s="14" t="n">
        <v>2526.69</v>
      </c>
      <c r="F7408" s="14" t="n">
        <v>16702.52</v>
      </c>
      <c r="G7408" s="6" t="s">
        <v>2613</v>
      </c>
    </row>
    <row r="7409" customFormat="false" ht="15" hidden="false" customHeight="true" outlineLevel="0" collapsed="false">
      <c r="A7409" s="6" t="s">
        <v>10021</v>
      </c>
      <c r="B7409" s="6" t="s">
        <v>1601</v>
      </c>
      <c r="C7409" s="6" t="s">
        <v>116</v>
      </c>
      <c r="D7409" s="13" t="n">
        <v>45987</v>
      </c>
      <c r="E7409" s="14" t="n">
        <v>4054.31</v>
      </c>
      <c r="F7409" s="14" t="n">
        <v>20756.83</v>
      </c>
      <c r="G7409" s="6" t="s">
        <v>2623</v>
      </c>
    </row>
    <row r="7410" customFormat="false" ht="15" hidden="false" customHeight="true" outlineLevel="0" collapsed="false">
      <c r="A7410" s="6" t="s">
        <v>10022</v>
      </c>
      <c r="B7410" s="6" t="s">
        <v>1601</v>
      </c>
      <c r="C7410" s="6" t="s">
        <v>116</v>
      </c>
      <c r="D7410" s="13" t="n">
        <v>45994</v>
      </c>
      <c r="E7410" s="14" t="n">
        <v>3324.59</v>
      </c>
      <c r="F7410" s="14" t="n">
        <v>24081.42</v>
      </c>
      <c r="G7410" s="6" t="s">
        <v>2613</v>
      </c>
    </row>
    <row r="7411" customFormat="false" ht="15" hidden="false" customHeight="true" outlineLevel="0" collapsed="false">
      <c r="A7411" s="6" t="s">
        <v>10023</v>
      </c>
      <c r="B7411" s="6" t="s">
        <v>1601</v>
      </c>
      <c r="C7411" s="6" t="s">
        <v>116</v>
      </c>
      <c r="D7411" s="13" t="n">
        <v>46001</v>
      </c>
      <c r="E7411" s="14" t="n">
        <v>4059.84</v>
      </c>
      <c r="F7411" s="14" t="n">
        <v>28141.26</v>
      </c>
      <c r="G7411" s="6" t="s">
        <v>2613</v>
      </c>
    </row>
    <row r="7412" customFormat="false" ht="15" hidden="false" customHeight="true" outlineLevel="0" collapsed="false">
      <c r="A7412" s="6" t="s">
        <v>10024</v>
      </c>
      <c r="B7412" s="6" t="s">
        <v>1601</v>
      </c>
      <c r="C7412" s="6" t="s">
        <v>116</v>
      </c>
      <c r="D7412" s="13" t="n">
        <v>46008</v>
      </c>
      <c r="E7412" s="14" t="n">
        <v>4141</v>
      </c>
      <c r="F7412" s="14" t="n">
        <v>32282.26</v>
      </c>
      <c r="G7412" s="6" t="s">
        <v>2613</v>
      </c>
    </row>
    <row r="7413" customFormat="false" ht="15" hidden="false" customHeight="true" outlineLevel="0" collapsed="false">
      <c r="A7413" s="6" t="s">
        <v>10025</v>
      </c>
      <c r="B7413" s="6" t="s">
        <v>1601</v>
      </c>
      <c r="C7413" s="6" t="s">
        <v>116</v>
      </c>
      <c r="D7413" s="13" t="n">
        <v>46015</v>
      </c>
      <c r="E7413" s="14" t="n">
        <v>3856.04</v>
      </c>
      <c r="F7413" s="14" t="n">
        <v>36138.3</v>
      </c>
      <c r="G7413" s="6" t="s">
        <v>2613</v>
      </c>
    </row>
    <row r="7414" customFormat="false" ht="15" hidden="false" customHeight="true" outlineLevel="0" collapsed="false">
      <c r="A7414" s="6" t="s">
        <v>10026</v>
      </c>
      <c r="B7414" s="6" t="s">
        <v>1601</v>
      </c>
      <c r="C7414" s="6" t="s">
        <v>116</v>
      </c>
      <c r="D7414" s="13" t="n">
        <v>46022</v>
      </c>
      <c r="E7414" s="14" t="n">
        <v>3118.67</v>
      </c>
      <c r="F7414" s="14" t="n">
        <v>39256.97</v>
      </c>
      <c r="G7414" s="6" t="s">
        <v>2613</v>
      </c>
    </row>
    <row r="7415" customFormat="false" ht="15" hidden="false" customHeight="true" outlineLevel="0" collapsed="false">
      <c r="A7415" s="6" t="s">
        <v>10027</v>
      </c>
      <c r="B7415" s="6" t="s">
        <v>1601</v>
      </c>
      <c r="C7415" s="6" t="s">
        <v>116</v>
      </c>
      <c r="D7415" s="13" t="n">
        <v>46029</v>
      </c>
      <c r="E7415" s="14" t="n">
        <v>4030.63</v>
      </c>
      <c r="F7415" s="14" t="n">
        <v>43287.6</v>
      </c>
      <c r="G7415" s="6" t="s">
        <v>2613</v>
      </c>
    </row>
    <row r="7416" customFormat="false" ht="15" hidden="false" customHeight="true" outlineLevel="0" collapsed="false">
      <c r="A7416" s="6" t="s">
        <v>10028</v>
      </c>
      <c r="B7416" s="6" t="s">
        <v>1601</v>
      </c>
      <c r="C7416" s="6" t="s">
        <v>116</v>
      </c>
      <c r="D7416" s="13" t="n">
        <v>46036</v>
      </c>
      <c r="E7416" s="14" t="n">
        <v>3634.86</v>
      </c>
      <c r="F7416" s="14" t="n">
        <v>46922.46</v>
      </c>
      <c r="G7416" s="6" t="s">
        <v>2613</v>
      </c>
    </row>
    <row r="7417" customFormat="false" ht="15" hidden="false" customHeight="true" outlineLevel="0" collapsed="false">
      <c r="A7417" s="6" t="s">
        <v>10029</v>
      </c>
      <c r="B7417" s="6" t="s">
        <v>1601</v>
      </c>
      <c r="C7417" s="6" t="s">
        <v>116</v>
      </c>
      <c r="D7417" s="13" t="n">
        <v>46043</v>
      </c>
      <c r="E7417" s="14" t="n">
        <v>104.86</v>
      </c>
      <c r="F7417" s="14" t="n">
        <v>47027.32</v>
      </c>
      <c r="G7417" s="6" t="s">
        <v>2623</v>
      </c>
    </row>
    <row r="7418" customFormat="false" ht="15" hidden="false" customHeight="true" outlineLevel="0" collapsed="false">
      <c r="A7418" s="6" t="s">
        <v>10030</v>
      </c>
      <c r="B7418" s="6" t="s">
        <v>1603</v>
      </c>
      <c r="C7418" s="6" t="s">
        <v>120</v>
      </c>
      <c r="D7418" s="13" t="n">
        <v>45820</v>
      </c>
      <c r="E7418" s="14" t="n">
        <v>3528.96</v>
      </c>
      <c r="F7418" s="14" t="n">
        <v>3528.96</v>
      </c>
      <c r="G7418" s="6" t="s">
        <v>2613</v>
      </c>
    </row>
    <row r="7419" customFormat="false" ht="15" hidden="false" customHeight="true" outlineLevel="0" collapsed="false">
      <c r="A7419" s="6" t="s">
        <v>10031</v>
      </c>
      <c r="B7419" s="6" t="s">
        <v>1603</v>
      </c>
      <c r="C7419" s="6" t="s">
        <v>120</v>
      </c>
      <c r="D7419" s="13" t="n">
        <v>45827</v>
      </c>
      <c r="E7419" s="14" t="n">
        <v>4978.51</v>
      </c>
      <c r="F7419" s="14" t="n">
        <v>8507.47</v>
      </c>
      <c r="G7419" s="6" t="s">
        <v>2613</v>
      </c>
    </row>
    <row r="7420" customFormat="false" ht="15" hidden="false" customHeight="true" outlineLevel="0" collapsed="false">
      <c r="A7420" s="6" t="s">
        <v>10032</v>
      </c>
      <c r="B7420" s="6" t="s">
        <v>1603</v>
      </c>
      <c r="C7420" s="6" t="s">
        <v>120</v>
      </c>
      <c r="D7420" s="13" t="n">
        <v>45834</v>
      </c>
      <c r="E7420" s="14" t="n">
        <v>2623.05</v>
      </c>
      <c r="F7420" s="14" t="n">
        <v>11130.52</v>
      </c>
      <c r="G7420" s="6" t="s">
        <v>2613</v>
      </c>
    </row>
    <row r="7421" customFormat="false" ht="15" hidden="false" customHeight="true" outlineLevel="0" collapsed="false">
      <c r="A7421" s="6" t="s">
        <v>10033</v>
      </c>
      <c r="B7421" s="6" t="s">
        <v>1603</v>
      </c>
      <c r="C7421" s="6" t="s">
        <v>120</v>
      </c>
      <c r="D7421" s="13" t="n">
        <v>45841</v>
      </c>
      <c r="E7421" s="14" t="n">
        <v>3505.27</v>
      </c>
      <c r="F7421" s="14" t="n">
        <v>14635.79</v>
      </c>
      <c r="G7421" s="6" t="s">
        <v>2613</v>
      </c>
    </row>
    <row r="7422" customFormat="false" ht="15" hidden="false" customHeight="true" outlineLevel="0" collapsed="false">
      <c r="A7422" s="6" t="s">
        <v>10034</v>
      </c>
      <c r="B7422" s="6" t="s">
        <v>1603</v>
      </c>
      <c r="C7422" s="6" t="s">
        <v>120</v>
      </c>
      <c r="D7422" s="13" t="n">
        <v>45848</v>
      </c>
      <c r="E7422" s="14" t="n">
        <v>2658.38</v>
      </c>
      <c r="F7422" s="14" t="n">
        <v>17294.17</v>
      </c>
      <c r="G7422" s="6" t="s">
        <v>2623</v>
      </c>
    </row>
    <row r="7423" customFormat="false" ht="15" hidden="false" customHeight="true" outlineLevel="0" collapsed="false">
      <c r="A7423" s="6" t="s">
        <v>10035</v>
      </c>
      <c r="B7423" s="6" t="s">
        <v>1603</v>
      </c>
      <c r="C7423" s="6" t="s">
        <v>120</v>
      </c>
      <c r="D7423" s="13" t="n">
        <v>45855</v>
      </c>
      <c r="E7423" s="14" t="n">
        <v>3865.21</v>
      </c>
      <c r="F7423" s="14" t="n">
        <v>21159.38</v>
      </c>
      <c r="G7423" s="6" t="s">
        <v>2613</v>
      </c>
    </row>
    <row r="7424" customFormat="false" ht="15" hidden="false" customHeight="true" outlineLevel="0" collapsed="false">
      <c r="A7424" s="6" t="s">
        <v>10036</v>
      </c>
      <c r="B7424" s="6" t="s">
        <v>1603</v>
      </c>
      <c r="C7424" s="6" t="s">
        <v>120</v>
      </c>
      <c r="D7424" s="13" t="n">
        <v>45862</v>
      </c>
      <c r="E7424" s="14" t="n">
        <v>3129.57</v>
      </c>
      <c r="F7424" s="14" t="n">
        <v>24288.95</v>
      </c>
      <c r="G7424" s="6" t="s">
        <v>2613</v>
      </c>
    </row>
    <row r="7425" customFormat="false" ht="15" hidden="false" customHeight="true" outlineLevel="0" collapsed="false">
      <c r="A7425" s="6" t="s">
        <v>10037</v>
      </c>
      <c r="B7425" s="6" t="s">
        <v>1603</v>
      </c>
      <c r="C7425" s="6" t="s">
        <v>120</v>
      </c>
      <c r="D7425" s="13" t="n">
        <v>45869</v>
      </c>
      <c r="E7425" s="14" t="n">
        <v>5051.03</v>
      </c>
      <c r="F7425" s="14" t="n">
        <v>29339.98</v>
      </c>
      <c r="G7425" s="6" t="s">
        <v>2613</v>
      </c>
    </row>
    <row r="7426" customFormat="false" ht="15" hidden="false" customHeight="true" outlineLevel="0" collapsed="false">
      <c r="A7426" s="6" t="s">
        <v>10038</v>
      </c>
      <c r="B7426" s="6" t="s">
        <v>1605</v>
      </c>
      <c r="C7426" s="6" t="s">
        <v>124</v>
      </c>
      <c r="D7426" s="13" t="n">
        <v>44577</v>
      </c>
      <c r="E7426" s="14" t="n">
        <v>3266.28</v>
      </c>
      <c r="F7426" s="14" t="n">
        <v>3266.28</v>
      </c>
      <c r="G7426" s="6" t="s">
        <v>2613</v>
      </c>
    </row>
    <row r="7427" customFormat="false" ht="15" hidden="false" customHeight="true" outlineLevel="0" collapsed="false">
      <c r="A7427" s="6" t="s">
        <v>10039</v>
      </c>
      <c r="B7427" s="6" t="s">
        <v>1605</v>
      </c>
      <c r="C7427" s="6" t="s">
        <v>124</v>
      </c>
      <c r="D7427" s="13" t="n">
        <v>44584</v>
      </c>
      <c r="E7427" s="14" t="n">
        <v>1554</v>
      </c>
      <c r="F7427" s="14" t="n">
        <v>4820.28</v>
      </c>
      <c r="G7427" s="6" t="s">
        <v>2613</v>
      </c>
    </row>
    <row r="7428" customFormat="false" ht="15" hidden="false" customHeight="true" outlineLevel="0" collapsed="false">
      <c r="A7428" s="6" t="s">
        <v>10040</v>
      </c>
      <c r="B7428" s="6" t="s">
        <v>1605</v>
      </c>
      <c r="C7428" s="6" t="s">
        <v>124</v>
      </c>
      <c r="D7428" s="13" t="n">
        <v>44591</v>
      </c>
      <c r="E7428" s="14" t="n">
        <v>1597.88</v>
      </c>
      <c r="F7428" s="14" t="n">
        <v>6418.16</v>
      </c>
      <c r="G7428" s="6" t="s">
        <v>2613</v>
      </c>
    </row>
    <row r="7429" customFormat="false" ht="15" hidden="false" customHeight="true" outlineLevel="0" collapsed="false">
      <c r="A7429" s="6" t="s">
        <v>10041</v>
      </c>
      <c r="B7429" s="6" t="s">
        <v>1605</v>
      </c>
      <c r="C7429" s="6" t="s">
        <v>124</v>
      </c>
      <c r="D7429" s="13" t="n">
        <v>44598</v>
      </c>
      <c r="E7429" s="14" t="n">
        <v>2851.53</v>
      </c>
      <c r="F7429" s="14" t="n">
        <v>9269.69</v>
      </c>
      <c r="G7429" s="6" t="s">
        <v>2613</v>
      </c>
    </row>
    <row r="7430" customFormat="false" ht="15" hidden="false" customHeight="true" outlineLevel="0" collapsed="false">
      <c r="A7430" s="6" t="s">
        <v>10042</v>
      </c>
      <c r="B7430" s="6" t="s">
        <v>1605</v>
      </c>
      <c r="C7430" s="6" t="s">
        <v>124</v>
      </c>
      <c r="D7430" s="13" t="n">
        <v>44605</v>
      </c>
      <c r="E7430" s="14" t="n">
        <v>3335.92</v>
      </c>
      <c r="F7430" s="14" t="n">
        <v>12605.61</v>
      </c>
      <c r="G7430" s="6" t="s">
        <v>2613</v>
      </c>
    </row>
    <row r="7431" customFormat="false" ht="15" hidden="false" customHeight="true" outlineLevel="0" collapsed="false">
      <c r="A7431" s="6" t="s">
        <v>10043</v>
      </c>
      <c r="B7431" s="6" t="s">
        <v>1605</v>
      </c>
      <c r="C7431" s="6" t="s">
        <v>124</v>
      </c>
      <c r="D7431" s="13" t="n">
        <v>44612</v>
      </c>
      <c r="E7431" s="14" t="n">
        <v>3133.94</v>
      </c>
      <c r="F7431" s="14" t="n">
        <v>15739.55</v>
      </c>
      <c r="G7431" s="6" t="s">
        <v>2613</v>
      </c>
    </row>
    <row r="7432" customFormat="false" ht="15" hidden="false" customHeight="true" outlineLevel="0" collapsed="false">
      <c r="A7432" s="6" t="s">
        <v>10044</v>
      </c>
      <c r="B7432" s="6" t="s">
        <v>1605</v>
      </c>
      <c r="C7432" s="6" t="s">
        <v>124</v>
      </c>
      <c r="D7432" s="13" t="n">
        <v>44619</v>
      </c>
      <c r="E7432" s="14" t="n">
        <v>3239.08</v>
      </c>
      <c r="F7432" s="14" t="n">
        <v>18978.63</v>
      </c>
      <c r="G7432" s="6" t="s">
        <v>2613</v>
      </c>
    </row>
    <row r="7433" customFormat="false" ht="15" hidden="false" customHeight="true" outlineLevel="0" collapsed="false">
      <c r="A7433" s="6" t="s">
        <v>10045</v>
      </c>
      <c r="B7433" s="6" t="s">
        <v>1605</v>
      </c>
      <c r="C7433" s="6" t="s">
        <v>124</v>
      </c>
      <c r="D7433" s="13" t="n">
        <v>44626</v>
      </c>
      <c r="E7433" s="14" t="n">
        <v>3485.4</v>
      </c>
      <c r="F7433" s="14" t="n">
        <v>22464.03</v>
      </c>
      <c r="G7433" s="6" t="s">
        <v>2613</v>
      </c>
    </row>
    <row r="7434" customFormat="false" ht="15" hidden="false" customHeight="true" outlineLevel="0" collapsed="false">
      <c r="A7434" s="6" t="s">
        <v>10046</v>
      </c>
      <c r="B7434" s="6" t="s">
        <v>1605</v>
      </c>
      <c r="C7434" s="6" t="s">
        <v>124</v>
      </c>
      <c r="D7434" s="13" t="n">
        <v>44633</v>
      </c>
      <c r="E7434" s="14" t="n">
        <v>3197.95</v>
      </c>
      <c r="F7434" s="14" t="n">
        <v>25661.98</v>
      </c>
      <c r="G7434" s="6" t="s">
        <v>2613</v>
      </c>
    </row>
    <row r="7435" customFormat="false" ht="15" hidden="false" customHeight="true" outlineLevel="0" collapsed="false">
      <c r="A7435" s="6" t="s">
        <v>10047</v>
      </c>
      <c r="B7435" s="6" t="s">
        <v>1605</v>
      </c>
      <c r="C7435" s="6" t="s">
        <v>124</v>
      </c>
      <c r="D7435" s="13" t="n">
        <v>44640</v>
      </c>
      <c r="E7435" s="14" t="n">
        <v>2261.86</v>
      </c>
      <c r="F7435" s="14" t="n">
        <v>27923.84</v>
      </c>
      <c r="G7435" s="6" t="s">
        <v>2613</v>
      </c>
    </row>
    <row r="7436" customFormat="false" ht="15" hidden="false" customHeight="true" outlineLevel="0" collapsed="false">
      <c r="A7436" s="6" t="s">
        <v>10048</v>
      </c>
      <c r="B7436" s="6" t="s">
        <v>1605</v>
      </c>
      <c r="C7436" s="6" t="s">
        <v>124</v>
      </c>
      <c r="D7436" s="13" t="n">
        <v>44647</v>
      </c>
      <c r="E7436" s="14" t="n">
        <v>2518.8</v>
      </c>
      <c r="F7436" s="14" t="n">
        <v>30442.64</v>
      </c>
      <c r="G7436" s="6" t="s">
        <v>2613</v>
      </c>
    </row>
    <row r="7437" customFormat="false" ht="15" hidden="false" customHeight="true" outlineLevel="0" collapsed="false">
      <c r="A7437" s="6" t="s">
        <v>10049</v>
      </c>
      <c r="B7437" s="6" t="s">
        <v>1605</v>
      </c>
      <c r="C7437" s="6" t="s">
        <v>124</v>
      </c>
      <c r="D7437" s="13" t="n">
        <v>44654</v>
      </c>
      <c r="E7437" s="14" t="n">
        <v>2882.43</v>
      </c>
      <c r="F7437" s="14" t="n">
        <v>33325.07</v>
      </c>
      <c r="G7437" s="6" t="s">
        <v>2613</v>
      </c>
    </row>
    <row r="7438" customFormat="false" ht="15" hidden="false" customHeight="true" outlineLevel="0" collapsed="false">
      <c r="A7438" s="6" t="s">
        <v>10050</v>
      </c>
      <c r="B7438" s="6" t="s">
        <v>1605</v>
      </c>
      <c r="C7438" s="6" t="s">
        <v>124</v>
      </c>
      <c r="D7438" s="13" t="n">
        <v>44661</v>
      </c>
      <c r="E7438" s="14" t="n">
        <v>2497.31</v>
      </c>
      <c r="F7438" s="14" t="n">
        <v>35822.38</v>
      </c>
      <c r="G7438" s="6" t="s">
        <v>2613</v>
      </c>
    </row>
    <row r="7439" customFormat="false" ht="15" hidden="false" customHeight="true" outlineLevel="0" collapsed="false">
      <c r="A7439" s="6" t="s">
        <v>10051</v>
      </c>
      <c r="B7439" s="6" t="s">
        <v>1605</v>
      </c>
      <c r="C7439" s="6" t="s">
        <v>124</v>
      </c>
      <c r="D7439" s="13" t="n">
        <v>44668</v>
      </c>
      <c r="E7439" s="14" t="n">
        <v>1671.44</v>
      </c>
      <c r="F7439" s="14" t="n">
        <v>37493.82</v>
      </c>
      <c r="G7439" s="6" t="s">
        <v>2613</v>
      </c>
    </row>
    <row r="7440" customFormat="false" ht="15" hidden="false" customHeight="true" outlineLevel="0" collapsed="false">
      <c r="A7440" s="6" t="s">
        <v>10052</v>
      </c>
      <c r="B7440" s="6" t="s">
        <v>1605</v>
      </c>
      <c r="C7440" s="6" t="s">
        <v>124</v>
      </c>
      <c r="D7440" s="13" t="n">
        <v>44675</v>
      </c>
      <c r="E7440" s="14" t="n">
        <v>1517.32</v>
      </c>
      <c r="F7440" s="14" t="n">
        <v>39011.14</v>
      </c>
      <c r="G7440" s="6" t="s">
        <v>2613</v>
      </c>
    </row>
    <row r="7441" customFormat="false" ht="15" hidden="false" customHeight="true" outlineLevel="0" collapsed="false">
      <c r="A7441" s="6" t="s">
        <v>10053</v>
      </c>
      <c r="B7441" s="6" t="s">
        <v>1605</v>
      </c>
      <c r="C7441" s="6" t="s">
        <v>124</v>
      </c>
      <c r="D7441" s="13" t="n">
        <v>44682</v>
      </c>
      <c r="E7441" s="14" t="n">
        <v>2854.11</v>
      </c>
      <c r="F7441" s="14" t="n">
        <v>41865.25</v>
      </c>
      <c r="G7441" s="6" t="s">
        <v>2613</v>
      </c>
    </row>
    <row r="7442" customFormat="false" ht="15" hidden="false" customHeight="true" outlineLevel="0" collapsed="false">
      <c r="A7442" s="6" t="s">
        <v>10054</v>
      </c>
      <c r="B7442" s="6" t="s">
        <v>1605</v>
      </c>
      <c r="C7442" s="6" t="s">
        <v>124</v>
      </c>
      <c r="D7442" s="13" t="n">
        <v>44689</v>
      </c>
      <c r="E7442" s="14" t="n">
        <v>2071.9</v>
      </c>
      <c r="F7442" s="14" t="n">
        <v>43937.15</v>
      </c>
      <c r="G7442" s="6" t="s">
        <v>2613</v>
      </c>
    </row>
    <row r="7443" customFormat="false" ht="15" hidden="false" customHeight="true" outlineLevel="0" collapsed="false">
      <c r="A7443" s="6" t="s">
        <v>10055</v>
      </c>
      <c r="B7443" s="6" t="s">
        <v>1605</v>
      </c>
      <c r="C7443" s="6" t="s">
        <v>124</v>
      </c>
      <c r="D7443" s="13" t="n">
        <v>44696</v>
      </c>
      <c r="E7443" s="14" t="n">
        <v>3331.67</v>
      </c>
      <c r="F7443" s="14" t="n">
        <v>47268.82</v>
      </c>
      <c r="G7443" s="6" t="s">
        <v>2613</v>
      </c>
    </row>
    <row r="7444" customFormat="false" ht="15" hidden="false" customHeight="true" outlineLevel="0" collapsed="false">
      <c r="A7444" s="6" t="s">
        <v>10056</v>
      </c>
      <c r="B7444" s="6" t="s">
        <v>1605</v>
      </c>
      <c r="C7444" s="6" t="s">
        <v>124</v>
      </c>
      <c r="D7444" s="13" t="n">
        <v>44703</v>
      </c>
      <c r="E7444" s="14" t="n">
        <v>2624.36</v>
      </c>
      <c r="F7444" s="14" t="n">
        <v>49893.18</v>
      </c>
      <c r="G7444" s="6" t="s">
        <v>2613</v>
      </c>
    </row>
    <row r="7445" customFormat="false" ht="15" hidden="false" customHeight="true" outlineLevel="0" collapsed="false">
      <c r="A7445" s="6" t="s">
        <v>10057</v>
      </c>
      <c r="B7445" s="6" t="s">
        <v>1605</v>
      </c>
      <c r="C7445" s="6" t="s">
        <v>124</v>
      </c>
      <c r="D7445" s="13" t="n">
        <v>44710</v>
      </c>
      <c r="E7445" s="14" t="n">
        <v>2338.41</v>
      </c>
      <c r="F7445" s="14" t="n">
        <v>52231.59</v>
      </c>
      <c r="G7445" s="6" t="s">
        <v>2613</v>
      </c>
    </row>
    <row r="7446" customFormat="false" ht="15" hidden="false" customHeight="true" outlineLevel="0" collapsed="false">
      <c r="A7446" s="6" t="s">
        <v>10058</v>
      </c>
      <c r="B7446" s="6" t="s">
        <v>1605</v>
      </c>
      <c r="C7446" s="6" t="s">
        <v>124</v>
      </c>
      <c r="D7446" s="13" t="n">
        <v>44717</v>
      </c>
      <c r="E7446" s="14" t="n">
        <v>2763.66</v>
      </c>
      <c r="F7446" s="14" t="n">
        <v>54995.25</v>
      </c>
      <c r="G7446" s="6" t="s">
        <v>2613</v>
      </c>
    </row>
    <row r="7447" customFormat="false" ht="15" hidden="false" customHeight="true" outlineLevel="0" collapsed="false">
      <c r="A7447" s="6" t="s">
        <v>10059</v>
      </c>
      <c r="B7447" s="6" t="s">
        <v>1607</v>
      </c>
      <c r="C7447" s="6" t="s">
        <v>116</v>
      </c>
      <c r="D7447" s="13" t="n">
        <v>44727</v>
      </c>
      <c r="E7447" s="14" t="n">
        <v>4938.49</v>
      </c>
      <c r="F7447" s="14" t="n">
        <v>4938.49</v>
      </c>
      <c r="G7447" s="6" t="s">
        <v>2613</v>
      </c>
    </row>
    <row r="7448" customFormat="false" ht="15" hidden="false" customHeight="true" outlineLevel="0" collapsed="false">
      <c r="A7448" s="6" t="s">
        <v>10060</v>
      </c>
      <c r="B7448" s="6" t="s">
        <v>1607</v>
      </c>
      <c r="C7448" s="6" t="s">
        <v>116</v>
      </c>
      <c r="D7448" s="13" t="n">
        <v>44734</v>
      </c>
      <c r="E7448" s="14" t="n">
        <v>6649.89</v>
      </c>
      <c r="F7448" s="14" t="n">
        <v>11588.38</v>
      </c>
      <c r="G7448" s="6" t="s">
        <v>2613</v>
      </c>
    </row>
    <row r="7449" customFormat="false" ht="15" hidden="false" customHeight="true" outlineLevel="0" collapsed="false">
      <c r="A7449" s="6" t="s">
        <v>10061</v>
      </c>
      <c r="B7449" s="6" t="s">
        <v>1607</v>
      </c>
      <c r="C7449" s="6" t="s">
        <v>116</v>
      </c>
      <c r="D7449" s="13" t="n">
        <v>44741</v>
      </c>
      <c r="E7449" s="14" t="n">
        <v>6233.87</v>
      </c>
      <c r="F7449" s="14" t="n">
        <v>17822.25</v>
      </c>
      <c r="G7449" s="6" t="s">
        <v>2613</v>
      </c>
    </row>
    <row r="7450" customFormat="false" ht="15" hidden="false" customHeight="true" outlineLevel="0" collapsed="false">
      <c r="A7450" s="6" t="s">
        <v>10062</v>
      </c>
      <c r="B7450" s="6" t="s">
        <v>1607</v>
      </c>
      <c r="C7450" s="6" t="s">
        <v>116</v>
      </c>
      <c r="D7450" s="13" t="n">
        <v>44748</v>
      </c>
      <c r="E7450" s="14" t="n">
        <v>3504.37</v>
      </c>
      <c r="F7450" s="14" t="n">
        <v>21326.62</v>
      </c>
      <c r="G7450" s="6" t="s">
        <v>2613</v>
      </c>
    </row>
    <row r="7451" customFormat="false" ht="15" hidden="false" customHeight="true" outlineLevel="0" collapsed="false">
      <c r="A7451" s="6" t="s">
        <v>10063</v>
      </c>
      <c r="B7451" s="6" t="s">
        <v>1607</v>
      </c>
      <c r="C7451" s="6" t="s">
        <v>116</v>
      </c>
      <c r="D7451" s="13" t="n">
        <v>44755</v>
      </c>
      <c r="E7451" s="14" t="n">
        <v>4182.4</v>
      </c>
      <c r="F7451" s="14" t="n">
        <v>25509.02</v>
      </c>
      <c r="G7451" s="6" t="s">
        <v>2613</v>
      </c>
    </row>
    <row r="7452" customFormat="false" ht="15" hidden="false" customHeight="true" outlineLevel="0" collapsed="false">
      <c r="A7452" s="6" t="s">
        <v>10064</v>
      </c>
      <c r="B7452" s="6" t="s">
        <v>1607</v>
      </c>
      <c r="C7452" s="6" t="s">
        <v>116</v>
      </c>
      <c r="D7452" s="13" t="n">
        <v>44762</v>
      </c>
      <c r="E7452" s="14" t="n">
        <v>5449.28</v>
      </c>
      <c r="F7452" s="14" t="n">
        <v>30958.3</v>
      </c>
      <c r="G7452" s="6" t="s">
        <v>2613</v>
      </c>
    </row>
    <row r="7453" customFormat="false" ht="15" hidden="false" customHeight="true" outlineLevel="0" collapsed="false">
      <c r="A7453" s="6" t="s">
        <v>10065</v>
      </c>
      <c r="B7453" s="6" t="s">
        <v>1607</v>
      </c>
      <c r="C7453" s="6" t="s">
        <v>116</v>
      </c>
      <c r="D7453" s="13" t="n">
        <v>44769</v>
      </c>
      <c r="E7453" s="14" t="n">
        <v>6395.37</v>
      </c>
      <c r="F7453" s="14" t="n">
        <v>37353.67</v>
      </c>
      <c r="G7453" s="6" t="s">
        <v>2623</v>
      </c>
    </row>
    <row r="7454" customFormat="false" ht="15" hidden="false" customHeight="true" outlineLevel="0" collapsed="false">
      <c r="A7454" s="6" t="s">
        <v>10066</v>
      </c>
      <c r="B7454" s="6" t="s">
        <v>1607</v>
      </c>
      <c r="C7454" s="6" t="s">
        <v>116</v>
      </c>
      <c r="D7454" s="13" t="n">
        <v>44776</v>
      </c>
      <c r="E7454" s="14" t="n">
        <v>5909.35</v>
      </c>
      <c r="F7454" s="14" t="n">
        <v>43263.02</v>
      </c>
      <c r="G7454" s="6" t="s">
        <v>2613</v>
      </c>
    </row>
    <row r="7455" customFormat="false" ht="15" hidden="false" customHeight="true" outlineLevel="0" collapsed="false">
      <c r="A7455" s="6" t="s">
        <v>10067</v>
      </c>
      <c r="B7455" s="6" t="s">
        <v>1609</v>
      </c>
      <c r="C7455" s="6" t="s">
        <v>112</v>
      </c>
      <c r="D7455" s="13" t="n">
        <v>44960</v>
      </c>
      <c r="E7455" s="14" t="n">
        <v>879.11</v>
      </c>
      <c r="F7455" s="14" t="n">
        <v>879.11</v>
      </c>
      <c r="G7455" s="6" t="s">
        <v>2613</v>
      </c>
    </row>
    <row r="7456" customFormat="false" ht="15" hidden="false" customHeight="true" outlineLevel="0" collapsed="false">
      <c r="A7456" s="6" t="s">
        <v>10068</v>
      </c>
      <c r="B7456" s="6" t="s">
        <v>1609</v>
      </c>
      <c r="C7456" s="6" t="s">
        <v>112</v>
      </c>
      <c r="D7456" s="13" t="n">
        <v>44967</v>
      </c>
      <c r="E7456" s="14" t="n">
        <v>1053.2</v>
      </c>
      <c r="F7456" s="14" t="n">
        <v>1932.31</v>
      </c>
      <c r="G7456" s="6" t="s">
        <v>2613</v>
      </c>
    </row>
    <row r="7457" customFormat="false" ht="15" hidden="false" customHeight="true" outlineLevel="0" collapsed="false">
      <c r="A7457" s="6" t="s">
        <v>10069</v>
      </c>
      <c r="B7457" s="6" t="s">
        <v>1609</v>
      </c>
      <c r="C7457" s="6" t="s">
        <v>112</v>
      </c>
      <c r="D7457" s="13" t="n">
        <v>44974</v>
      </c>
      <c r="E7457" s="14" t="n">
        <v>945.9</v>
      </c>
      <c r="F7457" s="14" t="n">
        <v>2878.21</v>
      </c>
      <c r="G7457" s="6" t="s">
        <v>2623</v>
      </c>
    </row>
    <row r="7458" customFormat="false" ht="15" hidden="false" customHeight="true" outlineLevel="0" collapsed="false">
      <c r="A7458" s="6" t="s">
        <v>10070</v>
      </c>
      <c r="B7458" s="6" t="s">
        <v>1609</v>
      </c>
      <c r="C7458" s="6" t="s">
        <v>112</v>
      </c>
      <c r="D7458" s="13" t="n">
        <v>44981</v>
      </c>
      <c r="E7458" s="14" t="n">
        <v>679.7</v>
      </c>
      <c r="F7458" s="14" t="n">
        <v>3557.91</v>
      </c>
      <c r="G7458" s="6" t="s">
        <v>2613</v>
      </c>
    </row>
    <row r="7459" customFormat="false" ht="15" hidden="false" customHeight="true" outlineLevel="0" collapsed="false">
      <c r="A7459" s="6" t="s">
        <v>10071</v>
      </c>
      <c r="B7459" s="6" t="s">
        <v>1609</v>
      </c>
      <c r="C7459" s="6" t="s">
        <v>112</v>
      </c>
      <c r="D7459" s="13" t="n">
        <v>44988</v>
      </c>
      <c r="E7459" s="14" t="n">
        <v>732.09</v>
      </c>
      <c r="F7459" s="14" t="n">
        <v>4290</v>
      </c>
      <c r="G7459" s="6" t="s">
        <v>2613</v>
      </c>
    </row>
    <row r="7460" customFormat="false" ht="15" hidden="false" customHeight="true" outlineLevel="0" collapsed="false">
      <c r="A7460" s="6" t="s">
        <v>10072</v>
      </c>
      <c r="B7460" s="6" t="s">
        <v>1609</v>
      </c>
      <c r="C7460" s="6" t="s">
        <v>112</v>
      </c>
      <c r="D7460" s="13" t="n">
        <v>44995</v>
      </c>
      <c r="E7460" s="14" t="n">
        <v>1442.87</v>
      </c>
      <c r="F7460" s="14" t="n">
        <v>5732.87</v>
      </c>
      <c r="G7460" s="6" t="s">
        <v>2613</v>
      </c>
    </row>
    <row r="7461" customFormat="false" ht="15" hidden="false" customHeight="true" outlineLevel="0" collapsed="false">
      <c r="A7461" s="6" t="s">
        <v>10073</v>
      </c>
      <c r="B7461" s="6" t="s">
        <v>1609</v>
      </c>
      <c r="C7461" s="6" t="s">
        <v>112</v>
      </c>
      <c r="D7461" s="13" t="n">
        <v>45002</v>
      </c>
      <c r="E7461" s="14" t="n">
        <v>1027.52</v>
      </c>
      <c r="F7461" s="14" t="n">
        <v>6760.39</v>
      </c>
      <c r="G7461" s="6" t="s">
        <v>2613</v>
      </c>
    </row>
    <row r="7462" customFormat="false" ht="15" hidden="false" customHeight="true" outlineLevel="0" collapsed="false">
      <c r="A7462" s="6" t="s">
        <v>10074</v>
      </c>
      <c r="B7462" s="6" t="s">
        <v>1609</v>
      </c>
      <c r="C7462" s="6" t="s">
        <v>112</v>
      </c>
      <c r="D7462" s="13" t="n">
        <v>45009</v>
      </c>
      <c r="E7462" s="14" t="n">
        <v>1343.54</v>
      </c>
      <c r="F7462" s="14" t="n">
        <v>8103.93</v>
      </c>
      <c r="G7462" s="6" t="s">
        <v>2613</v>
      </c>
    </row>
    <row r="7463" customFormat="false" ht="15" hidden="false" customHeight="true" outlineLevel="0" collapsed="false">
      <c r="A7463" s="6" t="s">
        <v>10075</v>
      </c>
      <c r="B7463" s="6" t="s">
        <v>1609</v>
      </c>
      <c r="C7463" s="6" t="s">
        <v>112</v>
      </c>
      <c r="D7463" s="13" t="n">
        <v>45016</v>
      </c>
      <c r="E7463" s="14" t="n">
        <v>1550.14</v>
      </c>
      <c r="F7463" s="14" t="n">
        <v>9654.07</v>
      </c>
      <c r="G7463" s="6" t="s">
        <v>2623</v>
      </c>
    </row>
    <row r="7464" customFormat="false" ht="15" hidden="false" customHeight="true" outlineLevel="0" collapsed="false">
      <c r="A7464" s="6" t="s">
        <v>10076</v>
      </c>
      <c r="B7464" s="6" t="s">
        <v>1611</v>
      </c>
      <c r="C7464" s="6" t="s">
        <v>128</v>
      </c>
      <c r="D7464" s="13" t="n">
        <v>45559</v>
      </c>
      <c r="E7464" s="14" t="n">
        <v>7089.88</v>
      </c>
      <c r="F7464" s="14" t="n">
        <v>7089.88</v>
      </c>
      <c r="G7464" s="6" t="s">
        <v>2613</v>
      </c>
    </row>
    <row r="7465" customFormat="false" ht="15" hidden="false" customHeight="true" outlineLevel="0" collapsed="false">
      <c r="A7465" s="6" t="s">
        <v>10077</v>
      </c>
      <c r="B7465" s="6" t="s">
        <v>1611</v>
      </c>
      <c r="C7465" s="6" t="s">
        <v>128</v>
      </c>
      <c r="D7465" s="13" t="n">
        <v>45566</v>
      </c>
      <c r="E7465" s="14" t="n">
        <v>9428.27</v>
      </c>
      <c r="F7465" s="14" t="n">
        <v>16518.15</v>
      </c>
      <c r="G7465" s="6" t="s">
        <v>2613</v>
      </c>
    </row>
    <row r="7466" customFormat="false" ht="15" hidden="false" customHeight="true" outlineLevel="0" collapsed="false">
      <c r="A7466" s="6" t="s">
        <v>10078</v>
      </c>
      <c r="B7466" s="6" t="s">
        <v>1611</v>
      </c>
      <c r="C7466" s="6" t="s">
        <v>128</v>
      </c>
      <c r="D7466" s="13" t="n">
        <v>45573</v>
      </c>
      <c r="E7466" s="14" t="n">
        <v>10488.37</v>
      </c>
      <c r="F7466" s="14" t="n">
        <v>27006.52</v>
      </c>
      <c r="G7466" s="6" t="s">
        <v>2613</v>
      </c>
    </row>
    <row r="7467" customFormat="false" ht="15" hidden="false" customHeight="true" outlineLevel="0" collapsed="false">
      <c r="A7467" s="6" t="s">
        <v>10079</v>
      </c>
      <c r="B7467" s="6" t="s">
        <v>1611</v>
      </c>
      <c r="C7467" s="6" t="s">
        <v>128</v>
      </c>
      <c r="D7467" s="13" t="n">
        <v>45580</v>
      </c>
      <c r="E7467" s="14" t="n">
        <v>6911.82</v>
      </c>
      <c r="F7467" s="14" t="n">
        <v>33918.34</v>
      </c>
      <c r="G7467" s="6" t="s">
        <v>2613</v>
      </c>
    </row>
    <row r="7468" customFormat="false" ht="15" hidden="false" customHeight="true" outlineLevel="0" collapsed="false">
      <c r="A7468" s="6" t="s">
        <v>10080</v>
      </c>
      <c r="B7468" s="6" t="s">
        <v>1611</v>
      </c>
      <c r="C7468" s="6" t="s">
        <v>128</v>
      </c>
      <c r="D7468" s="13" t="n">
        <v>45587</v>
      </c>
      <c r="E7468" s="14" t="n">
        <v>13047.59</v>
      </c>
      <c r="F7468" s="14" t="n">
        <v>46965.93</v>
      </c>
      <c r="G7468" s="6" t="s">
        <v>2613</v>
      </c>
    </row>
    <row r="7469" customFormat="false" ht="15" hidden="false" customHeight="true" outlineLevel="0" collapsed="false">
      <c r="A7469" s="6" t="s">
        <v>10081</v>
      </c>
      <c r="B7469" s="6" t="s">
        <v>1611</v>
      </c>
      <c r="C7469" s="6" t="s">
        <v>128</v>
      </c>
      <c r="D7469" s="13" t="n">
        <v>45594</v>
      </c>
      <c r="E7469" s="14" t="n">
        <v>9155.05</v>
      </c>
      <c r="F7469" s="14" t="n">
        <v>56120.98</v>
      </c>
      <c r="G7469" s="6" t="s">
        <v>2613</v>
      </c>
    </row>
    <row r="7470" customFormat="false" ht="15" hidden="false" customHeight="true" outlineLevel="0" collapsed="false">
      <c r="A7470" s="6" t="s">
        <v>10082</v>
      </c>
      <c r="B7470" s="6" t="s">
        <v>1611</v>
      </c>
      <c r="C7470" s="6" t="s">
        <v>128</v>
      </c>
      <c r="D7470" s="13" t="n">
        <v>45601</v>
      </c>
      <c r="E7470" s="14" t="n">
        <v>10521.12</v>
      </c>
      <c r="F7470" s="14" t="n">
        <v>66642.1</v>
      </c>
      <c r="G7470" s="6" t="s">
        <v>2613</v>
      </c>
    </row>
    <row r="7471" customFormat="false" ht="15" hidden="false" customHeight="true" outlineLevel="0" collapsed="false">
      <c r="A7471" s="6" t="s">
        <v>10083</v>
      </c>
      <c r="B7471" s="6" t="s">
        <v>1611</v>
      </c>
      <c r="C7471" s="6" t="s">
        <v>128</v>
      </c>
      <c r="D7471" s="13" t="n">
        <v>45608</v>
      </c>
      <c r="E7471" s="14" t="n">
        <v>7529.55</v>
      </c>
      <c r="F7471" s="14" t="n">
        <v>74171.65</v>
      </c>
      <c r="G7471" s="6" t="s">
        <v>2623</v>
      </c>
    </row>
    <row r="7472" customFormat="false" ht="15" hidden="false" customHeight="true" outlineLevel="0" collapsed="false">
      <c r="A7472" s="6" t="s">
        <v>10084</v>
      </c>
      <c r="B7472" s="6" t="s">
        <v>1611</v>
      </c>
      <c r="C7472" s="6" t="s">
        <v>128</v>
      </c>
      <c r="D7472" s="13" t="n">
        <v>45615</v>
      </c>
      <c r="E7472" s="14" t="n">
        <v>13404.97</v>
      </c>
      <c r="F7472" s="14" t="n">
        <v>87576.62</v>
      </c>
      <c r="G7472" s="6" t="s">
        <v>2613</v>
      </c>
    </row>
    <row r="7473" customFormat="false" ht="15" hidden="false" customHeight="true" outlineLevel="0" collapsed="false">
      <c r="A7473" s="6" t="s">
        <v>10085</v>
      </c>
      <c r="B7473" s="6" t="s">
        <v>1611</v>
      </c>
      <c r="C7473" s="6" t="s">
        <v>128</v>
      </c>
      <c r="D7473" s="13" t="n">
        <v>45622</v>
      </c>
      <c r="E7473" s="14" t="n">
        <v>15870.5</v>
      </c>
      <c r="F7473" s="14" t="n">
        <v>103447.12</v>
      </c>
      <c r="G7473" s="6" t="s">
        <v>2613</v>
      </c>
    </row>
    <row r="7474" customFormat="false" ht="15" hidden="false" customHeight="true" outlineLevel="0" collapsed="false">
      <c r="A7474" s="6" t="s">
        <v>10086</v>
      </c>
      <c r="B7474" s="6" t="s">
        <v>1613</v>
      </c>
      <c r="C7474" s="6" t="s">
        <v>120</v>
      </c>
      <c r="D7474" s="13" t="n">
        <v>45315</v>
      </c>
      <c r="E7474" s="14" t="n">
        <v>1531.04</v>
      </c>
      <c r="F7474" s="14" t="n">
        <v>1531.04</v>
      </c>
      <c r="G7474" s="6" t="s">
        <v>2613</v>
      </c>
    </row>
    <row r="7475" customFormat="false" ht="15" hidden="false" customHeight="true" outlineLevel="0" collapsed="false">
      <c r="A7475" s="6" t="s">
        <v>10087</v>
      </c>
      <c r="B7475" s="6" t="s">
        <v>1613</v>
      </c>
      <c r="C7475" s="6" t="s">
        <v>120</v>
      </c>
      <c r="D7475" s="13" t="n">
        <v>45322</v>
      </c>
      <c r="E7475" s="14" t="n">
        <v>1741.46</v>
      </c>
      <c r="F7475" s="14" t="n">
        <v>3272.5</v>
      </c>
      <c r="G7475" s="6" t="s">
        <v>2613</v>
      </c>
    </row>
    <row r="7476" customFormat="false" ht="15" hidden="false" customHeight="true" outlineLevel="0" collapsed="false">
      <c r="A7476" s="6" t="s">
        <v>10088</v>
      </c>
      <c r="B7476" s="6" t="s">
        <v>1613</v>
      </c>
      <c r="C7476" s="6" t="s">
        <v>120</v>
      </c>
      <c r="D7476" s="13" t="n">
        <v>45329</v>
      </c>
      <c r="E7476" s="14" t="n">
        <v>1047.84</v>
      </c>
      <c r="F7476" s="14" t="n">
        <v>4320.34</v>
      </c>
      <c r="G7476" s="6" t="s">
        <v>2613</v>
      </c>
    </row>
    <row r="7477" customFormat="false" ht="15" hidden="false" customHeight="true" outlineLevel="0" collapsed="false">
      <c r="A7477" s="6" t="s">
        <v>10089</v>
      </c>
      <c r="B7477" s="6" t="s">
        <v>1613</v>
      </c>
      <c r="C7477" s="6" t="s">
        <v>120</v>
      </c>
      <c r="D7477" s="13" t="n">
        <v>45336</v>
      </c>
      <c r="E7477" s="14" t="n">
        <v>1028.02</v>
      </c>
      <c r="F7477" s="14" t="n">
        <v>5348.36</v>
      </c>
      <c r="G7477" s="6" t="s">
        <v>2613</v>
      </c>
    </row>
    <row r="7478" customFormat="false" ht="15" hidden="false" customHeight="true" outlineLevel="0" collapsed="false">
      <c r="A7478" s="6" t="s">
        <v>10090</v>
      </c>
      <c r="B7478" s="6" t="s">
        <v>1613</v>
      </c>
      <c r="C7478" s="6" t="s">
        <v>120</v>
      </c>
      <c r="D7478" s="13" t="n">
        <v>45343</v>
      </c>
      <c r="E7478" s="14" t="n">
        <v>1759.54</v>
      </c>
      <c r="F7478" s="14" t="n">
        <v>7107.9</v>
      </c>
      <c r="G7478" s="6" t="s">
        <v>2613</v>
      </c>
    </row>
    <row r="7479" customFormat="false" ht="15" hidden="false" customHeight="true" outlineLevel="0" collapsed="false">
      <c r="A7479" s="6" t="s">
        <v>10091</v>
      </c>
      <c r="B7479" s="6" t="s">
        <v>1613</v>
      </c>
      <c r="C7479" s="6" t="s">
        <v>120</v>
      </c>
      <c r="D7479" s="13" t="n">
        <v>45350</v>
      </c>
      <c r="E7479" s="14" t="n">
        <v>1509.21</v>
      </c>
      <c r="F7479" s="14" t="n">
        <v>8617.11</v>
      </c>
      <c r="G7479" s="6" t="s">
        <v>2623</v>
      </c>
    </row>
    <row r="7480" customFormat="false" ht="15" hidden="false" customHeight="true" outlineLevel="0" collapsed="false">
      <c r="A7480" s="6" t="s">
        <v>10092</v>
      </c>
      <c r="B7480" s="6" t="s">
        <v>1613</v>
      </c>
      <c r="C7480" s="6" t="s">
        <v>120</v>
      </c>
      <c r="D7480" s="13" t="n">
        <v>45357</v>
      </c>
      <c r="E7480" s="14" t="n">
        <v>1244.94</v>
      </c>
      <c r="F7480" s="14" t="n">
        <v>9862.05</v>
      </c>
      <c r="G7480" s="6" t="s">
        <v>2613</v>
      </c>
    </row>
    <row r="7481" customFormat="false" ht="15" hidden="false" customHeight="true" outlineLevel="0" collapsed="false">
      <c r="A7481" s="6" t="s">
        <v>10093</v>
      </c>
      <c r="B7481" s="6" t="s">
        <v>1613</v>
      </c>
      <c r="C7481" s="6" t="s">
        <v>120</v>
      </c>
      <c r="D7481" s="13" t="n">
        <v>45364</v>
      </c>
      <c r="E7481" s="14" t="n">
        <v>1935.01</v>
      </c>
      <c r="F7481" s="14" t="n">
        <v>11797.06</v>
      </c>
      <c r="G7481" s="6" t="s">
        <v>2613</v>
      </c>
    </row>
    <row r="7482" customFormat="false" ht="15" hidden="false" customHeight="true" outlineLevel="0" collapsed="false">
      <c r="A7482" s="6" t="s">
        <v>10094</v>
      </c>
      <c r="B7482" s="6" t="s">
        <v>1613</v>
      </c>
      <c r="C7482" s="6" t="s">
        <v>120</v>
      </c>
      <c r="D7482" s="13" t="n">
        <v>45371</v>
      </c>
      <c r="E7482" s="14" t="n">
        <v>1168.08</v>
      </c>
      <c r="F7482" s="14" t="n">
        <v>12965.14</v>
      </c>
      <c r="G7482" s="6" t="s">
        <v>2613</v>
      </c>
    </row>
    <row r="7483" customFormat="false" ht="15" hidden="false" customHeight="true" outlineLevel="0" collapsed="false">
      <c r="A7483" s="6" t="s">
        <v>10095</v>
      </c>
      <c r="B7483" s="6" t="s">
        <v>1615</v>
      </c>
      <c r="C7483" s="6" t="s">
        <v>116</v>
      </c>
      <c r="D7483" s="13" t="n">
        <v>45782</v>
      </c>
      <c r="E7483" s="14" t="n">
        <v>225.07</v>
      </c>
      <c r="F7483" s="14" t="n">
        <v>225.07</v>
      </c>
      <c r="G7483" s="6" t="s">
        <v>2623</v>
      </c>
    </row>
    <row r="7484" customFormat="false" ht="15" hidden="false" customHeight="true" outlineLevel="0" collapsed="false">
      <c r="A7484" s="6" t="s">
        <v>10096</v>
      </c>
      <c r="B7484" s="6" t="s">
        <v>1615</v>
      </c>
      <c r="C7484" s="6" t="s">
        <v>116</v>
      </c>
      <c r="D7484" s="13" t="n">
        <v>45789</v>
      </c>
      <c r="E7484" s="14" t="n">
        <v>251.03</v>
      </c>
      <c r="F7484" s="14" t="n">
        <v>476.1</v>
      </c>
      <c r="G7484" s="6" t="s">
        <v>2613</v>
      </c>
    </row>
    <row r="7485" customFormat="false" ht="15" hidden="false" customHeight="true" outlineLevel="0" collapsed="false">
      <c r="A7485" s="6" t="s">
        <v>10097</v>
      </c>
      <c r="B7485" s="6" t="s">
        <v>1615</v>
      </c>
      <c r="C7485" s="6" t="s">
        <v>116</v>
      </c>
      <c r="D7485" s="13" t="n">
        <v>45796</v>
      </c>
      <c r="E7485" s="14" t="n">
        <v>181.66</v>
      </c>
      <c r="F7485" s="14" t="n">
        <v>657.76</v>
      </c>
      <c r="G7485" s="6" t="s">
        <v>2613</v>
      </c>
    </row>
    <row r="7486" customFormat="false" ht="15" hidden="false" customHeight="true" outlineLevel="0" collapsed="false">
      <c r="A7486" s="6" t="s">
        <v>10098</v>
      </c>
      <c r="B7486" s="6" t="s">
        <v>1615</v>
      </c>
      <c r="C7486" s="6" t="s">
        <v>116</v>
      </c>
      <c r="D7486" s="13" t="n">
        <v>45803</v>
      </c>
      <c r="E7486" s="14" t="n">
        <v>363.85</v>
      </c>
      <c r="F7486" s="14" t="n">
        <v>1021.61</v>
      </c>
      <c r="G7486" s="6" t="s">
        <v>2613</v>
      </c>
    </row>
    <row r="7487" customFormat="false" ht="15" hidden="false" customHeight="true" outlineLevel="0" collapsed="false">
      <c r="A7487" s="6" t="s">
        <v>10099</v>
      </c>
      <c r="B7487" s="6" t="s">
        <v>1615</v>
      </c>
      <c r="C7487" s="6" t="s">
        <v>116</v>
      </c>
      <c r="D7487" s="13" t="n">
        <v>45810</v>
      </c>
      <c r="E7487" s="14" t="n">
        <v>235.09</v>
      </c>
      <c r="F7487" s="14" t="n">
        <v>1256.7</v>
      </c>
      <c r="G7487" s="6" t="s">
        <v>2613</v>
      </c>
    </row>
    <row r="7488" customFormat="false" ht="15" hidden="false" customHeight="true" outlineLevel="0" collapsed="false">
      <c r="A7488" s="6" t="s">
        <v>10100</v>
      </c>
      <c r="B7488" s="6" t="s">
        <v>1615</v>
      </c>
      <c r="C7488" s="6" t="s">
        <v>116</v>
      </c>
      <c r="D7488" s="13" t="n">
        <v>45817</v>
      </c>
      <c r="E7488" s="14" t="n">
        <v>221.37</v>
      </c>
      <c r="F7488" s="14" t="n">
        <v>1478.07</v>
      </c>
      <c r="G7488" s="6" t="s">
        <v>2613</v>
      </c>
    </row>
    <row r="7489" customFormat="false" ht="15" hidden="false" customHeight="true" outlineLevel="0" collapsed="false">
      <c r="A7489" s="6" t="s">
        <v>10101</v>
      </c>
      <c r="B7489" s="6" t="s">
        <v>1615</v>
      </c>
      <c r="C7489" s="6" t="s">
        <v>116</v>
      </c>
      <c r="D7489" s="13" t="n">
        <v>45824</v>
      </c>
      <c r="E7489" s="14" t="n">
        <v>272.56</v>
      </c>
      <c r="F7489" s="14" t="n">
        <v>1750.63</v>
      </c>
      <c r="G7489" s="6" t="s">
        <v>2613</v>
      </c>
    </row>
    <row r="7490" customFormat="false" ht="15" hidden="false" customHeight="true" outlineLevel="0" collapsed="false">
      <c r="A7490" s="6" t="s">
        <v>10102</v>
      </c>
      <c r="B7490" s="6" t="s">
        <v>1615</v>
      </c>
      <c r="C7490" s="6" t="s">
        <v>116</v>
      </c>
      <c r="D7490" s="13" t="n">
        <v>45831</v>
      </c>
      <c r="E7490" s="14" t="n">
        <v>372.91</v>
      </c>
      <c r="F7490" s="14" t="n">
        <v>2123.54</v>
      </c>
      <c r="G7490" s="6" t="s">
        <v>2613</v>
      </c>
    </row>
    <row r="7491" customFormat="false" ht="15" hidden="false" customHeight="true" outlineLevel="0" collapsed="false">
      <c r="A7491" s="6" t="s">
        <v>10103</v>
      </c>
      <c r="B7491" s="6" t="s">
        <v>1615</v>
      </c>
      <c r="C7491" s="6" t="s">
        <v>116</v>
      </c>
      <c r="D7491" s="13" t="n">
        <v>45838</v>
      </c>
      <c r="E7491" s="14" t="n">
        <v>294.32</v>
      </c>
      <c r="F7491" s="14" t="n">
        <v>2417.86</v>
      </c>
      <c r="G7491" s="6" t="s">
        <v>2613</v>
      </c>
    </row>
    <row r="7492" customFormat="false" ht="15" hidden="false" customHeight="true" outlineLevel="0" collapsed="false">
      <c r="A7492" s="6" t="s">
        <v>10104</v>
      </c>
      <c r="B7492" s="6" t="s">
        <v>1615</v>
      </c>
      <c r="C7492" s="6" t="s">
        <v>116</v>
      </c>
      <c r="D7492" s="13" t="n">
        <v>45845</v>
      </c>
      <c r="E7492" s="14" t="n">
        <v>366.36</v>
      </c>
      <c r="F7492" s="14" t="n">
        <v>2784.22</v>
      </c>
      <c r="G7492" s="6" t="s">
        <v>2613</v>
      </c>
    </row>
    <row r="7493" customFormat="false" ht="15" hidden="false" customHeight="true" outlineLevel="0" collapsed="false">
      <c r="A7493" s="6" t="s">
        <v>10105</v>
      </c>
      <c r="B7493" s="6" t="s">
        <v>1615</v>
      </c>
      <c r="C7493" s="6" t="s">
        <v>116</v>
      </c>
      <c r="D7493" s="13" t="n">
        <v>45852</v>
      </c>
      <c r="E7493" s="14" t="n">
        <v>311.03</v>
      </c>
      <c r="F7493" s="14" t="n">
        <v>3095.25</v>
      </c>
      <c r="G7493" s="6" t="s">
        <v>2613</v>
      </c>
    </row>
    <row r="7494" customFormat="false" ht="15" hidden="false" customHeight="true" outlineLevel="0" collapsed="false">
      <c r="A7494" s="6" t="s">
        <v>10106</v>
      </c>
      <c r="B7494" s="6" t="s">
        <v>1615</v>
      </c>
      <c r="C7494" s="6" t="s">
        <v>116</v>
      </c>
      <c r="D7494" s="13" t="n">
        <v>45859</v>
      </c>
      <c r="E7494" s="14" t="n">
        <v>218.06</v>
      </c>
      <c r="F7494" s="14" t="n">
        <v>3313.31</v>
      </c>
      <c r="G7494" s="6" t="s">
        <v>2613</v>
      </c>
    </row>
    <row r="7495" customFormat="false" ht="15" hidden="false" customHeight="true" outlineLevel="0" collapsed="false">
      <c r="A7495" s="6" t="s">
        <v>10107</v>
      </c>
      <c r="B7495" s="6" t="s">
        <v>1615</v>
      </c>
      <c r="C7495" s="6" t="s">
        <v>116</v>
      </c>
      <c r="D7495" s="13" t="n">
        <v>45866</v>
      </c>
      <c r="E7495" s="14" t="n">
        <v>357.09</v>
      </c>
      <c r="F7495" s="14" t="n">
        <v>3670.4</v>
      </c>
      <c r="G7495" s="6" t="s">
        <v>2613</v>
      </c>
    </row>
    <row r="7496" customFormat="false" ht="15" hidden="false" customHeight="true" outlineLevel="0" collapsed="false">
      <c r="A7496" s="6" t="s">
        <v>10108</v>
      </c>
      <c r="B7496" s="6" t="s">
        <v>1615</v>
      </c>
      <c r="C7496" s="6" t="s">
        <v>116</v>
      </c>
      <c r="D7496" s="13" t="n">
        <v>45873</v>
      </c>
      <c r="E7496" s="14" t="n">
        <v>345.61</v>
      </c>
      <c r="F7496" s="14" t="n">
        <v>4016.01</v>
      </c>
      <c r="G7496" s="6" t="s">
        <v>2613</v>
      </c>
    </row>
    <row r="7497" customFormat="false" ht="15" hidden="false" customHeight="true" outlineLevel="0" collapsed="false">
      <c r="A7497" s="6" t="s">
        <v>10109</v>
      </c>
      <c r="B7497" s="6" t="s">
        <v>1615</v>
      </c>
      <c r="C7497" s="6" t="s">
        <v>116</v>
      </c>
      <c r="D7497" s="13" t="n">
        <v>45880</v>
      </c>
      <c r="E7497" s="14" t="n">
        <v>182.79</v>
      </c>
      <c r="F7497" s="14" t="n">
        <v>4198.8</v>
      </c>
      <c r="G7497" s="6" t="s">
        <v>2613</v>
      </c>
    </row>
    <row r="7498" customFormat="false" ht="15" hidden="false" customHeight="true" outlineLevel="0" collapsed="false">
      <c r="A7498" s="6" t="s">
        <v>10110</v>
      </c>
      <c r="B7498" s="6" t="s">
        <v>1617</v>
      </c>
      <c r="C7498" s="6" t="s">
        <v>112</v>
      </c>
      <c r="D7498" s="13" t="n">
        <v>44694</v>
      </c>
      <c r="E7498" s="14" t="n">
        <v>2112.99</v>
      </c>
      <c r="F7498" s="14" t="n">
        <v>2112.99</v>
      </c>
      <c r="G7498" s="6" t="s">
        <v>2623</v>
      </c>
    </row>
    <row r="7499" customFormat="false" ht="15" hidden="false" customHeight="true" outlineLevel="0" collapsed="false">
      <c r="A7499" s="6" t="s">
        <v>10111</v>
      </c>
      <c r="B7499" s="6" t="s">
        <v>1617</v>
      </c>
      <c r="C7499" s="6" t="s">
        <v>112</v>
      </c>
      <c r="D7499" s="13" t="n">
        <v>44701</v>
      </c>
      <c r="E7499" s="14" t="n">
        <v>2101.51</v>
      </c>
      <c r="F7499" s="14" t="n">
        <v>4214.5</v>
      </c>
      <c r="G7499" s="6" t="s">
        <v>2613</v>
      </c>
    </row>
    <row r="7500" customFormat="false" ht="15" hidden="false" customHeight="true" outlineLevel="0" collapsed="false">
      <c r="A7500" s="6" t="s">
        <v>10112</v>
      </c>
      <c r="B7500" s="6" t="s">
        <v>1617</v>
      </c>
      <c r="C7500" s="6" t="s">
        <v>112</v>
      </c>
      <c r="D7500" s="13" t="n">
        <v>44708</v>
      </c>
      <c r="E7500" s="14" t="n">
        <v>2099.75</v>
      </c>
      <c r="F7500" s="14" t="n">
        <v>6314.25</v>
      </c>
      <c r="G7500" s="6" t="s">
        <v>2613</v>
      </c>
    </row>
    <row r="7501" customFormat="false" ht="15" hidden="false" customHeight="true" outlineLevel="0" collapsed="false">
      <c r="A7501" s="6" t="s">
        <v>10113</v>
      </c>
      <c r="B7501" s="6" t="s">
        <v>1617</v>
      </c>
      <c r="C7501" s="6" t="s">
        <v>112</v>
      </c>
      <c r="D7501" s="13" t="n">
        <v>44715</v>
      </c>
      <c r="E7501" s="14" t="n">
        <v>2452.04</v>
      </c>
      <c r="F7501" s="14" t="n">
        <v>8766.29</v>
      </c>
      <c r="G7501" s="6" t="s">
        <v>2613</v>
      </c>
    </row>
    <row r="7502" customFormat="false" ht="15" hidden="false" customHeight="true" outlineLevel="0" collapsed="false">
      <c r="A7502" s="6" t="s">
        <v>10114</v>
      </c>
      <c r="B7502" s="6" t="s">
        <v>1617</v>
      </c>
      <c r="C7502" s="6" t="s">
        <v>112</v>
      </c>
      <c r="D7502" s="13" t="n">
        <v>44722</v>
      </c>
      <c r="E7502" s="14" t="n">
        <v>3365.52</v>
      </c>
      <c r="F7502" s="14" t="n">
        <v>12131.81</v>
      </c>
      <c r="G7502" s="6" t="s">
        <v>2623</v>
      </c>
    </row>
    <row r="7503" customFormat="false" ht="15" hidden="false" customHeight="true" outlineLevel="0" collapsed="false">
      <c r="A7503" s="6" t="s">
        <v>10115</v>
      </c>
      <c r="B7503" s="6" t="s">
        <v>1617</v>
      </c>
      <c r="C7503" s="6" t="s">
        <v>112</v>
      </c>
      <c r="D7503" s="13" t="n">
        <v>44729</v>
      </c>
      <c r="E7503" s="14" t="n">
        <v>3509.42</v>
      </c>
      <c r="F7503" s="14" t="n">
        <v>15641.23</v>
      </c>
      <c r="G7503" s="6" t="s">
        <v>2613</v>
      </c>
    </row>
    <row r="7504" customFormat="false" ht="15" hidden="false" customHeight="true" outlineLevel="0" collapsed="false">
      <c r="A7504" s="6" t="s">
        <v>10116</v>
      </c>
      <c r="B7504" s="6" t="s">
        <v>1617</v>
      </c>
      <c r="C7504" s="6" t="s">
        <v>112</v>
      </c>
      <c r="D7504" s="13" t="n">
        <v>44736</v>
      </c>
      <c r="E7504" s="14" t="n">
        <v>3704.57</v>
      </c>
      <c r="F7504" s="14" t="n">
        <v>19345.8</v>
      </c>
      <c r="G7504" s="6" t="s">
        <v>2613</v>
      </c>
    </row>
    <row r="7505" customFormat="false" ht="15" hidden="false" customHeight="true" outlineLevel="0" collapsed="false">
      <c r="A7505" s="6" t="s">
        <v>10117</v>
      </c>
      <c r="B7505" s="6" t="s">
        <v>1617</v>
      </c>
      <c r="C7505" s="6" t="s">
        <v>112</v>
      </c>
      <c r="D7505" s="13" t="n">
        <v>44743</v>
      </c>
      <c r="E7505" s="14" t="n">
        <v>4090.68</v>
      </c>
      <c r="F7505" s="14" t="n">
        <v>23436.48</v>
      </c>
      <c r="G7505" s="6" t="s">
        <v>2623</v>
      </c>
    </row>
    <row r="7506" customFormat="false" ht="15" hidden="false" customHeight="true" outlineLevel="0" collapsed="false">
      <c r="A7506" s="6" t="s">
        <v>10118</v>
      </c>
      <c r="B7506" s="6" t="s">
        <v>1617</v>
      </c>
      <c r="C7506" s="6" t="s">
        <v>112</v>
      </c>
      <c r="D7506" s="13" t="n">
        <v>44750</v>
      </c>
      <c r="E7506" s="14" t="n">
        <v>3227</v>
      </c>
      <c r="F7506" s="14" t="n">
        <v>26663.48</v>
      </c>
      <c r="G7506" s="6" t="s">
        <v>2613</v>
      </c>
    </row>
    <row r="7507" customFormat="false" ht="15" hidden="false" customHeight="true" outlineLevel="0" collapsed="false">
      <c r="A7507" s="6" t="s">
        <v>10119</v>
      </c>
      <c r="B7507" s="6" t="s">
        <v>1617</v>
      </c>
      <c r="C7507" s="6" t="s">
        <v>112</v>
      </c>
      <c r="D7507" s="13" t="n">
        <v>44757</v>
      </c>
      <c r="E7507" s="14" t="n">
        <v>3445.67</v>
      </c>
      <c r="F7507" s="14" t="n">
        <v>30109.15</v>
      </c>
      <c r="G7507" s="6" t="s">
        <v>2613</v>
      </c>
    </row>
    <row r="7508" customFormat="false" ht="15" hidden="false" customHeight="true" outlineLevel="0" collapsed="false">
      <c r="A7508" s="6" t="s">
        <v>10120</v>
      </c>
      <c r="B7508" s="6" t="s">
        <v>1617</v>
      </c>
      <c r="C7508" s="6" t="s">
        <v>112</v>
      </c>
      <c r="D7508" s="13" t="n">
        <v>44764</v>
      </c>
      <c r="E7508" s="14" t="n">
        <v>2301.27</v>
      </c>
      <c r="F7508" s="14" t="n">
        <v>32410.42</v>
      </c>
      <c r="G7508" s="6" t="s">
        <v>2613</v>
      </c>
    </row>
    <row r="7509" customFormat="false" ht="15" hidden="false" customHeight="true" outlineLevel="0" collapsed="false">
      <c r="A7509" s="6" t="s">
        <v>10121</v>
      </c>
      <c r="B7509" s="6" t="s">
        <v>1619</v>
      </c>
      <c r="C7509" s="6" t="s">
        <v>128</v>
      </c>
      <c r="D7509" s="13" t="n">
        <v>45812</v>
      </c>
      <c r="E7509" s="14" t="n">
        <v>872.69</v>
      </c>
      <c r="F7509" s="14" t="n">
        <v>872.69</v>
      </c>
      <c r="G7509" s="6" t="s">
        <v>2613</v>
      </c>
    </row>
    <row r="7510" customFormat="false" ht="15" hidden="false" customHeight="true" outlineLevel="0" collapsed="false">
      <c r="A7510" s="6" t="s">
        <v>10122</v>
      </c>
      <c r="B7510" s="6" t="s">
        <v>1619</v>
      </c>
      <c r="C7510" s="6" t="s">
        <v>128</v>
      </c>
      <c r="D7510" s="13" t="n">
        <v>45819</v>
      </c>
      <c r="E7510" s="14" t="n">
        <v>710.73</v>
      </c>
      <c r="F7510" s="14" t="n">
        <v>1583.42</v>
      </c>
      <c r="G7510" s="6" t="s">
        <v>2613</v>
      </c>
    </row>
    <row r="7511" customFormat="false" ht="15" hidden="false" customHeight="true" outlineLevel="0" collapsed="false">
      <c r="A7511" s="6" t="s">
        <v>10123</v>
      </c>
      <c r="B7511" s="6" t="s">
        <v>1619</v>
      </c>
      <c r="C7511" s="6" t="s">
        <v>128</v>
      </c>
      <c r="D7511" s="13" t="n">
        <v>45826</v>
      </c>
      <c r="E7511" s="14" t="n">
        <v>525.71</v>
      </c>
      <c r="F7511" s="14" t="n">
        <v>2109.13</v>
      </c>
      <c r="G7511" s="6" t="s">
        <v>2613</v>
      </c>
    </row>
    <row r="7512" customFormat="false" ht="15" hidden="false" customHeight="true" outlineLevel="0" collapsed="false">
      <c r="A7512" s="6" t="s">
        <v>10124</v>
      </c>
      <c r="B7512" s="6" t="s">
        <v>1619</v>
      </c>
      <c r="C7512" s="6" t="s">
        <v>128</v>
      </c>
      <c r="D7512" s="13" t="n">
        <v>45833</v>
      </c>
      <c r="E7512" s="14" t="n">
        <v>618.09</v>
      </c>
      <c r="F7512" s="14" t="n">
        <v>2727.22</v>
      </c>
      <c r="G7512" s="6" t="s">
        <v>2613</v>
      </c>
    </row>
    <row r="7513" customFormat="false" ht="15" hidden="false" customHeight="true" outlineLevel="0" collapsed="false">
      <c r="A7513" s="6" t="s">
        <v>10125</v>
      </c>
      <c r="B7513" s="6" t="s">
        <v>1619</v>
      </c>
      <c r="C7513" s="6" t="s">
        <v>128</v>
      </c>
      <c r="D7513" s="13" t="n">
        <v>45840</v>
      </c>
      <c r="E7513" s="14" t="n">
        <v>1088.88</v>
      </c>
      <c r="F7513" s="14" t="n">
        <v>3816.1</v>
      </c>
      <c r="G7513" s="6" t="s">
        <v>2613</v>
      </c>
    </row>
    <row r="7514" customFormat="false" ht="15" hidden="false" customHeight="true" outlineLevel="0" collapsed="false">
      <c r="A7514" s="6" t="s">
        <v>10126</v>
      </c>
      <c r="B7514" s="6" t="s">
        <v>1619</v>
      </c>
      <c r="C7514" s="6" t="s">
        <v>128</v>
      </c>
      <c r="D7514" s="13" t="n">
        <v>45847</v>
      </c>
      <c r="E7514" s="14" t="n">
        <v>1189.42</v>
      </c>
      <c r="F7514" s="14" t="n">
        <v>5005.52</v>
      </c>
      <c r="G7514" s="6" t="s">
        <v>2613</v>
      </c>
    </row>
    <row r="7515" customFormat="false" ht="15" hidden="false" customHeight="true" outlineLevel="0" collapsed="false">
      <c r="A7515" s="6" t="s">
        <v>10127</v>
      </c>
      <c r="B7515" s="6" t="s">
        <v>1619</v>
      </c>
      <c r="C7515" s="6" t="s">
        <v>128</v>
      </c>
      <c r="D7515" s="13" t="n">
        <v>45854</v>
      </c>
      <c r="E7515" s="14" t="n">
        <v>1001.9</v>
      </c>
      <c r="F7515" s="14" t="n">
        <v>6007.42</v>
      </c>
      <c r="G7515" s="6" t="s">
        <v>2613</v>
      </c>
    </row>
    <row r="7516" customFormat="false" ht="15" hidden="false" customHeight="true" outlineLevel="0" collapsed="false">
      <c r="A7516" s="6" t="s">
        <v>10128</v>
      </c>
      <c r="B7516" s="6" t="s">
        <v>1619</v>
      </c>
      <c r="C7516" s="6" t="s">
        <v>128</v>
      </c>
      <c r="D7516" s="13" t="n">
        <v>45861</v>
      </c>
      <c r="E7516" s="14" t="n">
        <v>828.08</v>
      </c>
      <c r="F7516" s="14" t="n">
        <v>6835.5</v>
      </c>
      <c r="G7516" s="6" t="s">
        <v>2613</v>
      </c>
    </row>
    <row r="7517" customFormat="false" ht="15" hidden="false" customHeight="true" outlineLevel="0" collapsed="false">
      <c r="A7517" s="6" t="s">
        <v>10129</v>
      </c>
      <c r="B7517" s="6" t="s">
        <v>1619</v>
      </c>
      <c r="C7517" s="6" t="s">
        <v>128</v>
      </c>
      <c r="D7517" s="13" t="n">
        <v>45868</v>
      </c>
      <c r="E7517" s="14" t="n">
        <v>989.51</v>
      </c>
      <c r="F7517" s="14" t="n">
        <v>7825.01</v>
      </c>
      <c r="G7517" s="6" t="s">
        <v>2613</v>
      </c>
    </row>
    <row r="7518" customFormat="false" ht="15" hidden="false" customHeight="true" outlineLevel="0" collapsed="false">
      <c r="A7518" s="6" t="s">
        <v>10130</v>
      </c>
      <c r="B7518" s="6" t="s">
        <v>1619</v>
      </c>
      <c r="C7518" s="6" t="s">
        <v>128</v>
      </c>
      <c r="D7518" s="13" t="n">
        <v>45875</v>
      </c>
      <c r="E7518" s="14" t="n">
        <v>574.19</v>
      </c>
      <c r="F7518" s="14" t="n">
        <v>8399.2</v>
      </c>
      <c r="G7518" s="6" t="s">
        <v>2623</v>
      </c>
    </row>
    <row r="7519" customFormat="false" ht="15" hidden="false" customHeight="true" outlineLevel="0" collapsed="false">
      <c r="A7519" s="6" t="s">
        <v>10131</v>
      </c>
      <c r="B7519" s="6" t="s">
        <v>1619</v>
      </c>
      <c r="C7519" s="6" t="s">
        <v>128</v>
      </c>
      <c r="D7519" s="13" t="n">
        <v>45882</v>
      </c>
      <c r="E7519" s="14" t="n">
        <v>690.72</v>
      </c>
      <c r="F7519" s="14" t="n">
        <v>9089.92</v>
      </c>
      <c r="G7519" s="6" t="s">
        <v>2613</v>
      </c>
    </row>
    <row r="7520" customFormat="false" ht="15" hidden="false" customHeight="true" outlineLevel="0" collapsed="false">
      <c r="A7520" s="6" t="s">
        <v>10132</v>
      </c>
      <c r="B7520" s="6" t="s">
        <v>1619</v>
      </c>
      <c r="C7520" s="6" t="s">
        <v>128</v>
      </c>
      <c r="D7520" s="13" t="n">
        <v>45889</v>
      </c>
      <c r="E7520" s="14" t="n">
        <v>995.58</v>
      </c>
      <c r="F7520" s="14" t="n">
        <v>10085.5</v>
      </c>
      <c r="G7520" s="6" t="s">
        <v>2613</v>
      </c>
    </row>
    <row r="7521" customFormat="false" ht="15" hidden="false" customHeight="true" outlineLevel="0" collapsed="false">
      <c r="A7521" s="6" t="s">
        <v>10133</v>
      </c>
      <c r="B7521" s="6" t="s">
        <v>1619</v>
      </c>
      <c r="C7521" s="6" t="s">
        <v>128</v>
      </c>
      <c r="D7521" s="13" t="n">
        <v>45896</v>
      </c>
      <c r="E7521" s="14" t="n">
        <v>761.6</v>
      </c>
      <c r="F7521" s="14" t="n">
        <v>10847.1</v>
      </c>
      <c r="G7521" s="6" t="s">
        <v>2613</v>
      </c>
    </row>
    <row r="7522" customFormat="false" ht="15" hidden="false" customHeight="true" outlineLevel="0" collapsed="false">
      <c r="A7522" s="6" t="s">
        <v>10134</v>
      </c>
      <c r="B7522" s="6" t="s">
        <v>1619</v>
      </c>
      <c r="C7522" s="6" t="s">
        <v>128</v>
      </c>
      <c r="D7522" s="13" t="n">
        <v>45903</v>
      </c>
      <c r="E7522" s="14" t="n">
        <v>973.89</v>
      </c>
      <c r="F7522" s="14" t="n">
        <v>11820.99</v>
      </c>
      <c r="G7522" s="6" t="s">
        <v>2613</v>
      </c>
    </row>
    <row r="7523" customFormat="false" ht="15" hidden="false" customHeight="true" outlineLevel="0" collapsed="false">
      <c r="A7523" s="6" t="s">
        <v>10135</v>
      </c>
      <c r="B7523" s="6" t="s">
        <v>1619</v>
      </c>
      <c r="C7523" s="6" t="s">
        <v>128</v>
      </c>
      <c r="D7523" s="13" t="n">
        <v>45910</v>
      </c>
      <c r="E7523" s="14" t="n">
        <v>1022.56</v>
      </c>
      <c r="F7523" s="14" t="n">
        <v>12843.55</v>
      </c>
      <c r="G7523" s="6" t="s">
        <v>2613</v>
      </c>
    </row>
    <row r="7524" customFormat="false" ht="15" hidden="false" customHeight="true" outlineLevel="0" collapsed="false">
      <c r="A7524" s="6" t="s">
        <v>10136</v>
      </c>
      <c r="B7524" s="6" t="s">
        <v>1621</v>
      </c>
      <c r="C7524" s="6" t="s">
        <v>120</v>
      </c>
      <c r="D7524" s="13" t="n">
        <v>44587</v>
      </c>
      <c r="E7524" s="14" t="n">
        <v>376.8</v>
      </c>
      <c r="F7524" s="14" t="n">
        <v>376.8</v>
      </c>
      <c r="G7524" s="6" t="s">
        <v>2613</v>
      </c>
    </row>
    <row r="7525" customFormat="false" ht="15" hidden="false" customHeight="true" outlineLevel="0" collapsed="false">
      <c r="A7525" s="6" t="s">
        <v>10137</v>
      </c>
      <c r="B7525" s="6" t="s">
        <v>1621</v>
      </c>
      <c r="C7525" s="6" t="s">
        <v>120</v>
      </c>
      <c r="D7525" s="13" t="n">
        <v>44594</v>
      </c>
      <c r="E7525" s="14" t="n">
        <v>480.36</v>
      </c>
      <c r="F7525" s="14" t="n">
        <v>857.16</v>
      </c>
      <c r="G7525" s="6" t="s">
        <v>2613</v>
      </c>
    </row>
    <row r="7526" customFormat="false" ht="15" hidden="false" customHeight="true" outlineLevel="0" collapsed="false">
      <c r="A7526" s="6" t="s">
        <v>10138</v>
      </c>
      <c r="B7526" s="6" t="s">
        <v>1621</v>
      </c>
      <c r="C7526" s="6" t="s">
        <v>120</v>
      </c>
      <c r="D7526" s="13" t="n">
        <v>44601</v>
      </c>
      <c r="E7526" s="14" t="n">
        <v>521.9</v>
      </c>
      <c r="F7526" s="14" t="n">
        <v>1379.06</v>
      </c>
      <c r="G7526" s="6" t="s">
        <v>2613</v>
      </c>
    </row>
    <row r="7527" customFormat="false" ht="15" hidden="false" customHeight="true" outlineLevel="0" collapsed="false">
      <c r="A7527" s="6" t="s">
        <v>10139</v>
      </c>
      <c r="B7527" s="6" t="s">
        <v>1621</v>
      </c>
      <c r="C7527" s="6" t="s">
        <v>120</v>
      </c>
      <c r="D7527" s="13" t="n">
        <v>44608</v>
      </c>
      <c r="E7527" s="14" t="n">
        <v>441.12</v>
      </c>
      <c r="F7527" s="14" t="n">
        <v>1820.18</v>
      </c>
      <c r="G7527" s="6" t="s">
        <v>2613</v>
      </c>
    </row>
    <row r="7528" customFormat="false" ht="15" hidden="false" customHeight="true" outlineLevel="0" collapsed="false">
      <c r="A7528" s="6" t="s">
        <v>10140</v>
      </c>
      <c r="B7528" s="6" t="s">
        <v>1621</v>
      </c>
      <c r="C7528" s="6" t="s">
        <v>120</v>
      </c>
      <c r="D7528" s="13" t="n">
        <v>44615</v>
      </c>
      <c r="E7528" s="14" t="n">
        <v>546.06</v>
      </c>
      <c r="F7528" s="14" t="n">
        <v>2366.24</v>
      </c>
      <c r="G7528" s="6" t="s">
        <v>2613</v>
      </c>
    </row>
    <row r="7529" customFormat="false" ht="15" hidden="false" customHeight="true" outlineLevel="0" collapsed="false">
      <c r="A7529" s="6" t="s">
        <v>10141</v>
      </c>
      <c r="B7529" s="6" t="s">
        <v>1621</v>
      </c>
      <c r="C7529" s="6" t="s">
        <v>120</v>
      </c>
      <c r="D7529" s="13" t="n">
        <v>44622</v>
      </c>
      <c r="E7529" s="14" t="n">
        <v>349.74</v>
      </c>
      <c r="F7529" s="14" t="n">
        <v>2715.98</v>
      </c>
      <c r="G7529" s="6" t="s">
        <v>2613</v>
      </c>
    </row>
    <row r="7530" customFormat="false" ht="15" hidden="false" customHeight="true" outlineLevel="0" collapsed="false">
      <c r="A7530" s="6" t="s">
        <v>10142</v>
      </c>
      <c r="B7530" s="6" t="s">
        <v>1621</v>
      </c>
      <c r="C7530" s="6" t="s">
        <v>120</v>
      </c>
      <c r="D7530" s="13" t="n">
        <v>44629</v>
      </c>
      <c r="E7530" s="14" t="n">
        <v>479.04</v>
      </c>
      <c r="F7530" s="14" t="n">
        <v>3195.02</v>
      </c>
      <c r="G7530" s="6" t="s">
        <v>2613</v>
      </c>
    </row>
    <row r="7531" customFormat="false" ht="15" hidden="false" customHeight="true" outlineLevel="0" collapsed="false">
      <c r="A7531" s="6" t="s">
        <v>10143</v>
      </c>
      <c r="B7531" s="6" t="s">
        <v>1621</v>
      </c>
      <c r="C7531" s="6" t="s">
        <v>120</v>
      </c>
      <c r="D7531" s="13" t="n">
        <v>44636</v>
      </c>
      <c r="E7531" s="14" t="n">
        <v>77.71</v>
      </c>
      <c r="F7531" s="14" t="n">
        <v>3272.73</v>
      </c>
      <c r="G7531" s="6" t="s">
        <v>2613</v>
      </c>
    </row>
    <row r="7532" customFormat="false" ht="15" hidden="false" customHeight="true" outlineLevel="0" collapsed="false">
      <c r="A7532" s="6" t="s">
        <v>10144</v>
      </c>
      <c r="B7532" s="6" t="s">
        <v>1623</v>
      </c>
      <c r="C7532" s="6" t="s">
        <v>128</v>
      </c>
      <c r="D7532" s="13" t="n">
        <v>45866</v>
      </c>
      <c r="E7532" s="14" t="n">
        <v>6708.44</v>
      </c>
      <c r="F7532" s="14" t="n">
        <v>6708.44</v>
      </c>
      <c r="G7532" s="6" t="s">
        <v>2613</v>
      </c>
    </row>
    <row r="7533" customFormat="false" ht="15" hidden="false" customHeight="true" outlineLevel="0" collapsed="false">
      <c r="A7533" s="6" t="s">
        <v>10145</v>
      </c>
      <c r="B7533" s="6" t="s">
        <v>1623</v>
      </c>
      <c r="C7533" s="6" t="s">
        <v>128</v>
      </c>
      <c r="D7533" s="13" t="n">
        <v>45873</v>
      </c>
      <c r="E7533" s="14" t="n">
        <v>3278.17</v>
      </c>
      <c r="F7533" s="14" t="n">
        <v>9986.61</v>
      </c>
      <c r="G7533" s="6" t="s">
        <v>2613</v>
      </c>
    </row>
    <row r="7534" customFormat="false" ht="15" hidden="false" customHeight="true" outlineLevel="0" collapsed="false">
      <c r="A7534" s="6" t="s">
        <v>10146</v>
      </c>
      <c r="B7534" s="6" t="s">
        <v>1623</v>
      </c>
      <c r="C7534" s="6" t="s">
        <v>128</v>
      </c>
      <c r="D7534" s="13" t="n">
        <v>45880</v>
      </c>
      <c r="E7534" s="14" t="n">
        <v>7177.75</v>
      </c>
      <c r="F7534" s="14" t="n">
        <v>17164.36</v>
      </c>
      <c r="G7534" s="6" t="s">
        <v>2613</v>
      </c>
    </row>
    <row r="7535" customFormat="false" ht="15" hidden="false" customHeight="true" outlineLevel="0" collapsed="false">
      <c r="A7535" s="6" t="s">
        <v>10147</v>
      </c>
      <c r="B7535" s="6" t="s">
        <v>1623</v>
      </c>
      <c r="C7535" s="6" t="s">
        <v>128</v>
      </c>
      <c r="D7535" s="13" t="n">
        <v>45887</v>
      </c>
      <c r="E7535" s="14" t="n">
        <v>6118.58</v>
      </c>
      <c r="F7535" s="14" t="n">
        <v>23282.94</v>
      </c>
      <c r="G7535" s="6" t="s">
        <v>2613</v>
      </c>
    </row>
    <row r="7536" customFormat="false" ht="15" hidden="false" customHeight="true" outlineLevel="0" collapsed="false">
      <c r="A7536" s="6" t="s">
        <v>10148</v>
      </c>
      <c r="B7536" s="6" t="s">
        <v>1623</v>
      </c>
      <c r="C7536" s="6" t="s">
        <v>128</v>
      </c>
      <c r="D7536" s="13" t="n">
        <v>45894</v>
      </c>
      <c r="E7536" s="14" t="n">
        <v>3224.19</v>
      </c>
      <c r="F7536" s="14" t="n">
        <v>26507.13</v>
      </c>
      <c r="G7536" s="6" t="s">
        <v>2613</v>
      </c>
    </row>
    <row r="7537" customFormat="false" ht="15" hidden="false" customHeight="true" outlineLevel="0" collapsed="false">
      <c r="A7537" s="6" t="s">
        <v>10149</v>
      </c>
      <c r="B7537" s="6" t="s">
        <v>1625</v>
      </c>
      <c r="C7537" s="6" t="s">
        <v>120</v>
      </c>
      <c r="D7537" s="13" t="n">
        <v>44639</v>
      </c>
      <c r="E7537" s="14" t="n">
        <v>642.32</v>
      </c>
      <c r="F7537" s="14" t="n">
        <v>642.32</v>
      </c>
      <c r="G7537" s="6" t="s">
        <v>2623</v>
      </c>
    </row>
    <row r="7538" customFormat="false" ht="15" hidden="false" customHeight="true" outlineLevel="0" collapsed="false">
      <c r="A7538" s="6" t="s">
        <v>10150</v>
      </c>
      <c r="B7538" s="6" t="s">
        <v>1625</v>
      </c>
      <c r="C7538" s="6" t="s">
        <v>120</v>
      </c>
      <c r="D7538" s="13" t="n">
        <v>44646</v>
      </c>
      <c r="E7538" s="14" t="n">
        <v>520.63</v>
      </c>
      <c r="F7538" s="14" t="n">
        <v>1162.95</v>
      </c>
      <c r="G7538" s="6" t="s">
        <v>2623</v>
      </c>
    </row>
    <row r="7539" customFormat="false" ht="15" hidden="false" customHeight="true" outlineLevel="0" collapsed="false">
      <c r="A7539" s="6" t="s">
        <v>10151</v>
      </c>
      <c r="B7539" s="6" t="s">
        <v>1625</v>
      </c>
      <c r="C7539" s="6" t="s">
        <v>120</v>
      </c>
      <c r="D7539" s="13" t="n">
        <v>44653</v>
      </c>
      <c r="E7539" s="14" t="n">
        <v>480.97</v>
      </c>
      <c r="F7539" s="14" t="n">
        <v>1643.92</v>
      </c>
      <c r="G7539" s="6" t="s">
        <v>2613</v>
      </c>
    </row>
    <row r="7540" customFormat="false" ht="15" hidden="false" customHeight="true" outlineLevel="0" collapsed="false">
      <c r="A7540" s="6" t="s">
        <v>10152</v>
      </c>
      <c r="B7540" s="6" t="s">
        <v>1625</v>
      </c>
      <c r="C7540" s="6" t="s">
        <v>120</v>
      </c>
      <c r="D7540" s="13" t="n">
        <v>44660</v>
      </c>
      <c r="E7540" s="14" t="n">
        <v>702.58</v>
      </c>
      <c r="F7540" s="14" t="n">
        <v>2346.5</v>
      </c>
      <c r="G7540" s="6" t="s">
        <v>2613</v>
      </c>
    </row>
    <row r="7541" customFormat="false" ht="15" hidden="false" customHeight="true" outlineLevel="0" collapsed="false">
      <c r="A7541" s="6" t="s">
        <v>10153</v>
      </c>
      <c r="B7541" s="6" t="s">
        <v>1625</v>
      </c>
      <c r="C7541" s="6" t="s">
        <v>120</v>
      </c>
      <c r="D7541" s="13" t="n">
        <v>44667</v>
      </c>
      <c r="E7541" s="14" t="n">
        <v>611.02</v>
      </c>
      <c r="F7541" s="14" t="n">
        <v>2957.52</v>
      </c>
      <c r="G7541" s="6" t="s">
        <v>2613</v>
      </c>
    </row>
    <row r="7542" customFormat="false" ht="15" hidden="false" customHeight="true" outlineLevel="0" collapsed="false">
      <c r="A7542" s="6" t="s">
        <v>10154</v>
      </c>
      <c r="B7542" s="6" t="s">
        <v>1625</v>
      </c>
      <c r="C7542" s="6" t="s">
        <v>120</v>
      </c>
      <c r="D7542" s="13" t="n">
        <v>44674</v>
      </c>
      <c r="E7542" s="14" t="n">
        <v>496.36</v>
      </c>
      <c r="F7542" s="14" t="n">
        <v>3453.88</v>
      </c>
      <c r="G7542" s="6" t="s">
        <v>2613</v>
      </c>
    </row>
    <row r="7543" customFormat="false" ht="15" hidden="false" customHeight="true" outlineLevel="0" collapsed="false">
      <c r="A7543" s="6" t="s">
        <v>10155</v>
      </c>
      <c r="B7543" s="6" t="s">
        <v>1625</v>
      </c>
      <c r="C7543" s="6" t="s">
        <v>120</v>
      </c>
      <c r="D7543" s="13" t="n">
        <v>44681</v>
      </c>
      <c r="E7543" s="14" t="n">
        <v>407.54</v>
      </c>
      <c r="F7543" s="14" t="n">
        <v>3861.42</v>
      </c>
      <c r="G7543" s="6" t="s">
        <v>2613</v>
      </c>
    </row>
    <row r="7544" customFormat="false" ht="15" hidden="false" customHeight="true" outlineLevel="0" collapsed="false">
      <c r="A7544" s="6" t="s">
        <v>10156</v>
      </c>
      <c r="B7544" s="6" t="s">
        <v>1625</v>
      </c>
      <c r="C7544" s="6" t="s">
        <v>120</v>
      </c>
      <c r="D7544" s="13" t="n">
        <v>44688</v>
      </c>
      <c r="E7544" s="14" t="n">
        <v>524.98</v>
      </c>
      <c r="F7544" s="14" t="n">
        <v>4386.4</v>
      </c>
      <c r="G7544" s="6" t="s">
        <v>2613</v>
      </c>
    </row>
    <row r="7545" customFormat="false" ht="15" hidden="false" customHeight="true" outlineLevel="0" collapsed="false">
      <c r="A7545" s="6" t="s">
        <v>10157</v>
      </c>
      <c r="B7545" s="6" t="s">
        <v>1625</v>
      </c>
      <c r="C7545" s="6" t="s">
        <v>120</v>
      </c>
      <c r="D7545" s="13" t="n">
        <v>44695</v>
      </c>
      <c r="E7545" s="14" t="n">
        <v>675.08</v>
      </c>
      <c r="F7545" s="14" t="n">
        <v>5061.48</v>
      </c>
      <c r="G7545" s="6" t="s">
        <v>2613</v>
      </c>
    </row>
    <row r="7546" customFormat="false" ht="15" hidden="false" customHeight="true" outlineLevel="0" collapsed="false">
      <c r="A7546" s="6" t="s">
        <v>10158</v>
      </c>
      <c r="B7546" s="6" t="s">
        <v>1625</v>
      </c>
      <c r="C7546" s="6" t="s">
        <v>120</v>
      </c>
      <c r="D7546" s="13" t="n">
        <v>44702</v>
      </c>
      <c r="E7546" s="14" t="n">
        <v>659.77</v>
      </c>
      <c r="F7546" s="14" t="n">
        <v>5721.25</v>
      </c>
      <c r="G7546" s="6" t="s">
        <v>2613</v>
      </c>
    </row>
    <row r="7547" customFormat="false" ht="15" hidden="false" customHeight="true" outlineLevel="0" collapsed="false">
      <c r="A7547" s="6" t="s">
        <v>10159</v>
      </c>
      <c r="B7547" s="6" t="s">
        <v>1625</v>
      </c>
      <c r="C7547" s="6" t="s">
        <v>120</v>
      </c>
      <c r="D7547" s="13" t="n">
        <v>44709</v>
      </c>
      <c r="E7547" s="14" t="n">
        <v>449.16</v>
      </c>
      <c r="F7547" s="14" t="n">
        <v>6170.41</v>
      </c>
      <c r="G7547" s="6" t="s">
        <v>2613</v>
      </c>
    </row>
    <row r="7548" customFormat="false" ht="15" hidden="false" customHeight="true" outlineLevel="0" collapsed="false">
      <c r="A7548" s="6" t="s">
        <v>10160</v>
      </c>
      <c r="B7548" s="6" t="s">
        <v>1625</v>
      </c>
      <c r="C7548" s="6" t="s">
        <v>120</v>
      </c>
      <c r="D7548" s="13" t="n">
        <v>44716</v>
      </c>
      <c r="E7548" s="14" t="n">
        <v>727.72</v>
      </c>
      <c r="F7548" s="14" t="n">
        <v>6898.13</v>
      </c>
      <c r="G7548" s="6" t="s">
        <v>2613</v>
      </c>
    </row>
    <row r="7549" customFormat="false" ht="15" hidden="false" customHeight="true" outlineLevel="0" collapsed="false">
      <c r="A7549" s="6" t="s">
        <v>10161</v>
      </c>
      <c r="B7549" s="6" t="s">
        <v>1625</v>
      </c>
      <c r="C7549" s="6" t="s">
        <v>120</v>
      </c>
      <c r="D7549" s="13" t="n">
        <v>44723</v>
      </c>
      <c r="E7549" s="14" t="n">
        <v>516.19</v>
      </c>
      <c r="F7549" s="14" t="n">
        <v>7414.32</v>
      </c>
      <c r="G7549" s="6" t="s">
        <v>2613</v>
      </c>
    </row>
    <row r="7550" customFormat="false" ht="15" hidden="false" customHeight="true" outlineLevel="0" collapsed="false">
      <c r="A7550" s="6" t="s">
        <v>10162</v>
      </c>
      <c r="B7550" s="6" t="s">
        <v>1625</v>
      </c>
      <c r="C7550" s="6" t="s">
        <v>120</v>
      </c>
      <c r="D7550" s="13" t="n">
        <v>44730</v>
      </c>
      <c r="E7550" s="14" t="n">
        <v>722.06</v>
      </c>
      <c r="F7550" s="14" t="n">
        <v>8136.38</v>
      </c>
      <c r="G7550" s="6" t="s">
        <v>2613</v>
      </c>
    </row>
    <row r="7551" customFormat="false" ht="15" hidden="false" customHeight="true" outlineLevel="0" collapsed="false">
      <c r="A7551" s="6" t="s">
        <v>10163</v>
      </c>
      <c r="B7551" s="6" t="s">
        <v>1625</v>
      </c>
      <c r="C7551" s="6" t="s">
        <v>120</v>
      </c>
      <c r="D7551" s="13" t="n">
        <v>44737</v>
      </c>
      <c r="E7551" s="14" t="n">
        <v>348.05</v>
      </c>
      <c r="F7551" s="14" t="n">
        <v>8484.43</v>
      </c>
      <c r="G7551" s="6" t="s">
        <v>2613</v>
      </c>
    </row>
    <row r="7552" customFormat="false" ht="15" hidden="false" customHeight="true" outlineLevel="0" collapsed="false">
      <c r="A7552" s="6" t="s">
        <v>10164</v>
      </c>
      <c r="B7552" s="6" t="s">
        <v>1625</v>
      </c>
      <c r="C7552" s="6" t="s">
        <v>120</v>
      </c>
      <c r="D7552" s="13" t="n">
        <v>44744</v>
      </c>
      <c r="E7552" s="14" t="n">
        <v>368.13</v>
      </c>
      <c r="F7552" s="14" t="n">
        <v>8852.56</v>
      </c>
      <c r="G7552" s="6" t="s">
        <v>2623</v>
      </c>
    </row>
    <row r="7553" customFormat="false" ht="15" hidden="false" customHeight="true" outlineLevel="0" collapsed="false">
      <c r="A7553" s="6" t="s">
        <v>10165</v>
      </c>
      <c r="B7553" s="6" t="s">
        <v>1625</v>
      </c>
      <c r="C7553" s="6" t="s">
        <v>120</v>
      </c>
      <c r="D7553" s="13" t="n">
        <v>44751</v>
      </c>
      <c r="E7553" s="14" t="n">
        <v>366.1</v>
      </c>
      <c r="F7553" s="14" t="n">
        <v>9218.66</v>
      </c>
      <c r="G7553" s="6" t="s">
        <v>2613</v>
      </c>
    </row>
    <row r="7554" customFormat="false" ht="15" hidden="false" customHeight="true" outlineLevel="0" collapsed="false">
      <c r="A7554" s="6" t="s">
        <v>10166</v>
      </c>
      <c r="B7554" s="6" t="s">
        <v>1625</v>
      </c>
      <c r="C7554" s="6" t="s">
        <v>120</v>
      </c>
      <c r="D7554" s="13" t="n">
        <v>44758</v>
      </c>
      <c r="E7554" s="14" t="n">
        <v>610.75</v>
      </c>
      <c r="F7554" s="14" t="n">
        <v>9829.41</v>
      </c>
      <c r="G7554" s="6" t="s">
        <v>2623</v>
      </c>
    </row>
    <row r="7555" customFormat="false" ht="15" hidden="false" customHeight="true" outlineLevel="0" collapsed="false">
      <c r="A7555" s="6" t="s">
        <v>10167</v>
      </c>
      <c r="B7555" s="6" t="s">
        <v>1625</v>
      </c>
      <c r="C7555" s="6" t="s">
        <v>120</v>
      </c>
      <c r="D7555" s="13" t="n">
        <v>44765</v>
      </c>
      <c r="E7555" s="14" t="n">
        <v>544.47</v>
      </c>
      <c r="F7555" s="14" t="n">
        <v>10373.88</v>
      </c>
      <c r="G7555" s="6" t="s">
        <v>2613</v>
      </c>
    </row>
    <row r="7556" customFormat="false" ht="15" hidden="false" customHeight="true" outlineLevel="0" collapsed="false">
      <c r="A7556" s="6" t="s">
        <v>10168</v>
      </c>
      <c r="B7556" s="6" t="s">
        <v>1625</v>
      </c>
      <c r="C7556" s="6" t="s">
        <v>120</v>
      </c>
      <c r="D7556" s="13" t="n">
        <v>44772</v>
      </c>
      <c r="E7556" s="14" t="n">
        <v>343.8</v>
      </c>
      <c r="F7556" s="14" t="n">
        <v>10717.68</v>
      </c>
      <c r="G7556" s="6" t="s">
        <v>2613</v>
      </c>
    </row>
    <row r="7557" customFormat="false" ht="15" hidden="false" customHeight="true" outlineLevel="0" collapsed="false">
      <c r="A7557" s="6" t="s">
        <v>10169</v>
      </c>
      <c r="B7557" s="6" t="s">
        <v>1625</v>
      </c>
      <c r="C7557" s="6" t="s">
        <v>120</v>
      </c>
      <c r="D7557" s="13" t="n">
        <v>44779</v>
      </c>
      <c r="E7557" s="14" t="n">
        <v>731.64</v>
      </c>
      <c r="F7557" s="14" t="n">
        <v>11449.32</v>
      </c>
      <c r="G7557" s="6" t="s">
        <v>2613</v>
      </c>
    </row>
    <row r="7558" customFormat="false" ht="15" hidden="false" customHeight="true" outlineLevel="0" collapsed="false">
      <c r="A7558" s="6" t="s">
        <v>10170</v>
      </c>
      <c r="B7558" s="6" t="s">
        <v>1625</v>
      </c>
      <c r="C7558" s="6" t="s">
        <v>120</v>
      </c>
      <c r="D7558" s="13" t="n">
        <v>44786</v>
      </c>
      <c r="E7558" s="14" t="n">
        <v>362.65</v>
      </c>
      <c r="F7558" s="14" t="n">
        <v>11811.97</v>
      </c>
      <c r="G7558" s="6" t="s">
        <v>2613</v>
      </c>
    </row>
    <row r="7559" customFormat="false" ht="15" hidden="false" customHeight="true" outlineLevel="0" collapsed="false">
      <c r="A7559" s="6" t="s">
        <v>10171</v>
      </c>
      <c r="B7559" s="6" t="s">
        <v>1625</v>
      </c>
      <c r="C7559" s="6" t="s">
        <v>120</v>
      </c>
      <c r="D7559" s="13" t="n">
        <v>44793</v>
      </c>
      <c r="E7559" s="14" t="n">
        <v>790.4</v>
      </c>
      <c r="F7559" s="14" t="n">
        <v>12602.37</v>
      </c>
      <c r="G7559" s="6" t="s">
        <v>2613</v>
      </c>
    </row>
    <row r="7560" customFormat="false" ht="15" hidden="false" customHeight="true" outlineLevel="0" collapsed="false">
      <c r="A7560" s="6" t="s">
        <v>10172</v>
      </c>
      <c r="B7560" s="6" t="s">
        <v>1625</v>
      </c>
      <c r="C7560" s="6" t="s">
        <v>120</v>
      </c>
      <c r="D7560" s="13" t="n">
        <v>44800</v>
      </c>
      <c r="E7560" s="14" t="n">
        <v>661.11</v>
      </c>
      <c r="F7560" s="14" t="n">
        <v>13263.48</v>
      </c>
      <c r="G7560" s="6" t="s">
        <v>2613</v>
      </c>
    </row>
    <row r="7561" customFormat="false" ht="15" hidden="false" customHeight="true" outlineLevel="0" collapsed="false">
      <c r="A7561" s="6" t="s">
        <v>10173</v>
      </c>
      <c r="B7561" s="6" t="s">
        <v>1625</v>
      </c>
      <c r="C7561" s="6" t="s">
        <v>120</v>
      </c>
      <c r="D7561" s="13" t="n">
        <v>44807</v>
      </c>
      <c r="E7561" s="14" t="n">
        <v>495.07</v>
      </c>
      <c r="F7561" s="14" t="n">
        <v>13758.55</v>
      </c>
      <c r="G7561" s="6" t="s">
        <v>2613</v>
      </c>
    </row>
    <row r="7562" customFormat="false" ht="15" hidden="false" customHeight="true" outlineLevel="0" collapsed="false">
      <c r="A7562" s="6" t="s">
        <v>10174</v>
      </c>
      <c r="B7562" s="6" t="s">
        <v>1625</v>
      </c>
      <c r="C7562" s="6" t="s">
        <v>120</v>
      </c>
      <c r="D7562" s="13" t="n">
        <v>44814</v>
      </c>
      <c r="E7562" s="14" t="n">
        <v>615.99</v>
      </c>
      <c r="F7562" s="14" t="n">
        <v>14374.54</v>
      </c>
      <c r="G7562" s="6" t="s">
        <v>2613</v>
      </c>
    </row>
    <row r="7563" customFormat="false" ht="15" hidden="false" customHeight="true" outlineLevel="0" collapsed="false">
      <c r="A7563" s="6" t="s">
        <v>10175</v>
      </c>
      <c r="B7563" s="6" t="s">
        <v>1625</v>
      </c>
      <c r="C7563" s="6" t="s">
        <v>120</v>
      </c>
      <c r="D7563" s="13" t="n">
        <v>44821</v>
      </c>
      <c r="E7563" s="14" t="n">
        <v>653.77</v>
      </c>
      <c r="F7563" s="14" t="n">
        <v>15028.31</v>
      </c>
      <c r="G7563" s="6" t="s">
        <v>2613</v>
      </c>
    </row>
    <row r="7564" customFormat="false" ht="15" hidden="false" customHeight="true" outlineLevel="0" collapsed="false">
      <c r="A7564" s="6" t="s">
        <v>10176</v>
      </c>
      <c r="B7564" s="6" t="s">
        <v>1625</v>
      </c>
      <c r="C7564" s="6" t="s">
        <v>120</v>
      </c>
      <c r="D7564" s="13" t="n">
        <v>44828</v>
      </c>
      <c r="E7564" s="14" t="n">
        <v>447.17</v>
      </c>
      <c r="F7564" s="14" t="n">
        <v>15475.48</v>
      </c>
      <c r="G7564" s="6" t="s">
        <v>2613</v>
      </c>
    </row>
    <row r="7565" customFormat="false" ht="15" hidden="false" customHeight="true" outlineLevel="0" collapsed="false">
      <c r="A7565" s="6" t="s">
        <v>10177</v>
      </c>
      <c r="B7565" s="6" t="s">
        <v>1625</v>
      </c>
      <c r="C7565" s="6" t="s">
        <v>120</v>
      </c>
      <c r="D7565" s="13" t="n">
        <v>44835</v>
      </c>
      <c r="E7565" s="14" t="n">
        <v>664.42</v>
      </c>
      <c r="F7565" s="14" t="n">
        <v>16139.9</v>
      </c>
      <c r="G7565" s="6" t="s">
        <v>2613</v>
      </c>
    </row>
    <row r="7566" customFormat="false" ht="15" hidden="false" customHeight="true" outlineLevel="0" collapsed="false">
      <c r="A7566" s="6" t="s">
        <v>10178</v>
      </c>
      <c r="B7566" s="6" t="s">
        <v>1625</v>
      </c>
      <c r="C7566" s="6" t="s">
        <v>120</v>
      </c>
      <c r="D7566" s="13" t="n">
        <v>44842</v>
      </c>
      <c r="E7566" s="14" t="n">
        <v>532.51</v>
      </c>
      <c r="F7566" s="14" t="n">
        <v>16672.41</v>
      </c>
      <c r="G7566" s="6" t="s">
        <v>2623</v>
      </c>
    </row>
    <row r="7567" customFormat="false" ht="15" hidden="false" customHeight="true" outlineLevel="0" collapsed="false">
      <c r="A7567" s="6" t="s">
        <v>10179</v>
      </c>
      <c r="B7567" s="6" t="s">
        <v>1625</v>
      </c>
      <c r="C7567" s="6" t="s">
        <v>120</v>
      </c>
      <c r="D7567" s="13" t="n">
        <v>44849</v>
      </c>
      <c r="E7567" s="14" t="n">
        <v>693.64</v>
      </c>
      <c r="F7567" s="14" t="n">
        <v>17366.05</v>
      </c>
      <c r="G7567" s="6" t="s">
        <v>2613</v>
      </c>
    </row>
    <row r="7568" customFormat="false" ht="15" hidden="false" customHeight="true" outlineLevel="0" collapsed="false">
      <c r="A7568" s="6" t="s">
        <v>10180</v>
      </c>
      <c r="B7568" s="6" t="s">
        <v>1625</v>
      </c>
      <c r="C7568" s="6" t="s">
        <v>120</v>
      </c>
      <c r="D7568" s="13" t="n">
        <v>44856</v>
      </c>
      <c r="E7568" s="14" t="n">
        <v>585.72</v>
      </c>
      <c r="F7568" s="14" t="n">
        <v>17951.77</v>
      </c>
      <c r="G7568" s="6" t="s">
        <v>2613</v>
      </c>
    </row>
    <row r="7569" customFormat="false" ht="15" hidden="false" customHeight="true" outlineLevel="0" collapsed="false">
      <c r="A7569" s="6" t="s">
        <v>10181</v>
      </c>
      <c r="B7569" s="6" t="s">
        <v>1625</v>
      </c>
      <c r="C7569" s="6" t="s">
        <v>120</v>
      </c>
      <c r="D7569" s="13" t="n">
        <v>44863</v>
      </c>
      <c r="E7569" s="14" t="n">
        <v>868.37</v>
      </c>
      <c r="F7569" s="14" t="n">
        <v>18820.14</v>
      </c>
      <c r="G7569" s="6" t="s">
        <v>2613</v>
      </c>
    </row>
    <row r="7570" customFormat="false" ht="15" hidden="false" customHeight="true" outlineLevel="0" collapsed="false">
      <c r="A7570" s="6" t="s">
        <v>10182</v>
      </c>
      <c r="B7570" s="6" t="s">
        <v>1627</v>
      </c>
      <c r="C7570" s="6" t="s">
        <v>112</v>
      </c>
      <c r="D7570" s="13" t="n">
        <v>44576</v>
      </c>
      <c r="E7570" s="14" t="n">
        <v>4837.89</v>
      </c>
      <c r="F7570" s="14" t="n">
        <v>4837.89</v>
      </c>
      <c r="G7570" s="6" t="s">
        <v>2613</v>
      </c>
    </row>
    <row r="7571" customFormat="false" ht="15" hidden="false" customHeight="true" outlineLevel="0" collapsed="false">
      <c r="A7571" s="6" t="s">
        <v>10183</v>
      </c>
      <c r="B7571" s="6" t="s">
        <v>1627</v>
      </c>
      <c r="C7571" s="6" t="s">
        <v>112</v>
      </c>
      <c r="D7571" s="13" t="n">
        <v>44583</v>
      </c>
      <c r="E7571" s="14" t="n">
        <v>8043.29</v>
      </c>
      <c r="F7571" s="14" t="n">
        <v>12881.18</v>
      </c>
      <c r="G7571" s="6" t="s">
        <v>2623</v>
      </c>
    </row>
    <row r="7572" customFormat="false" ht="15" hidden="false" customHeight="true" outlineLevel="0" collapsed="false">
      <c r="A7572" s="6" t="s">
        <v>10184</v>
      </c>
      <c r="B7572" s="6" t="s">
        <v>1627</v>
      </c>
      <c r="C7572" s="6" t="s">
        <v>112</v>
      </c>
      <c r="D7572" s="13" t="n">
        <v>44590</v>
      </c>
      <c r="E7572" s="14" t="n">
        <v>8623.24</v>
      </c>
      <c r="F7572" s="14" t="n">
        <v>21504.42</v>
      </c>
      <c r="G7572" s="6" t="s">
        <v>2613</v>
      </c>
    </row>
    <row r="7573" customFormat="false" ht="15" hidden="false" customHeight="true" outlineLevel="0" collapsed="false">
      <c r="A7573" s="6" t="s">
        <v>10185</v>
      </c>
      <c r="B7573" s="6" t="s">
        <v>1627</v>
      </c>
      <c r="C7573" s="6" t="s">
        <v>112</v>
      </c>
      <c r="D7573" s="13" t="n">
        <v>44597</v>
      </c>
      <c r="E7573" s="14" t="n">
        <v>8460.69</v>
      </c>
      <c r="F7573" s="14" t="n">
        <v>29965.11</v>
      </c>
      <c r="G7573" s="6" t="s">
        <v>2613</v>
      </c>
    </row>
    <row r="7574" customFormat="false" ht="15" hidden="false" customHeight="true" outlineLevel="0" collapsed="false">
      <c r="A7574" s="6" t="s">
        <v>10186</v>
      </c>
      <c r="B7574" s="6" t="s">
        <v>1627</v>
      </c>
      <c r="C7574" s="6" t="s">
        <v>112</v>
      </c>
      <c r="D7574" s="13" t="n">
        <v>44604</v>
      </c>
      <c r="E7574" s="14" t="n">
        <v>7437.58</v>
      </c>
      <c r="F7574" s="14" t="n">
        <v>37402.69</v>
      </c>
      <c r="G7574" s="6" t="s">
        <v>2623</v>
      </c>
    </row>
    <row r="7575" customFormat="false" ht="15" hidden="false" customHeight="true" outlineLevel="0" collapsed="false">
      <c r="A7575" s="6" t="s">
        <v>10187</v>
      </c>
      <c r="B7575" s="6" t="s">
        <v>1627</v>
      </c>
      <c r="C7575" s="6" t="s">
        <v>112</v>
      </c>
      <c r="D7575" s="13" t="n">
        <v>44611</v>
      </c>
      <c r="E7575" s="14" t="n">
        <v>6795.33</v>
      </c>
      <c r="F7575" s="14" t="n">
        <v>44198.02</v>
      </c>
      <c r="G7575" s="6" t="s">
        <v>2613</v>
      </c>
    </row>
    <row r="7576" customFormat="false" ht="15" hidden="false" customHeight="true" outlineLevel="0" collapsed="false">
      <c r="A7576" s="6" t="s">
        <v>10188</v>
      </c>
      <c r="B7576" s="6" t="s">
        <v>1627</v>
      </c>
      <c r="C7576" s="6" t="s">
        <v>112</v>
      </c>
      <c r="D7576" s="13" t="n">
        <v>44618</v>
      </c>
      <c r="E7576" s="14" t="n">
        <v>4750.71</v>
      </c>
      <c r="F7576" s="14" t="n">
        <v>48948.73</v>
      </c>
      <c r="G7576" s="6" t="s">
        <v>2613</v>
      </c>
    </row>
    <row r="7577" customFormat="false" ht="15" hidden="false" customHeight="true" outlineLevel="0" collapsed="false">
      <c r="A7577" s="6" t="s">
        <v>10189</v>
      </c>
      <c r="B7577" s="6" t="s">
        <v>1627</v>
      </c>
      <c r="C7577" s="6" t="s">
        <v>112</v>
      </c>
      <c r="D7577" s="13" t="n">
        <v>44625</v>
      </c>
      <c r="E7577" s="14" t="n">
        <v>6251.68</v>
      </c>
      <c r="F7577" s="14" t="n">
        <v>55200.41</v>
      </c>
      <c r="G7577" s="6" t="s">
        <v>2613</v>
      </c>
    </row>
    <row r="7578" customFormat="false" ht="15" hidden="false" customHeight="true" outlineLevel="0" collapsed="false">
      <c r="A7578" s="6" t="s">
        <v>10190</v>
      </c>
      <c r="B7578" s="6" t="s">
        <v>1627</v>
      </c>
      <c r="C7578" s="6" t="s">
        <v>112</v>
      </c>
      <c r="D7578" s="13" t="n">
        <v>44632</v>
      </c>
      <c r="E7578" s="14" t="n">
        <v>4211.53</v>
      </c>
      <c r="F7578" s="14" t="n">
        <v>59411.94</v>
      </c>
      <c r="G7578" s="6" t="s">
        <v>2613</v>
      </c>
    </row>
    <row r="7579" customFormat="false" ht="15" hidden="false" customHeight="true" outlineLevel="0" collapsed="false">
      <c r="A7579" s="6" t="s">
        <v>10191</v>
      </c>
      <c r="B7579" s="6" t="s">
        <v>1627</v>
      </c>
      <c r="C7579" s="6" t="s">
        <v>112</v>
      </c>
      <c r="D7579" s="13" t="n">
        <v>44639</v>
      </c>
      <c r="E7579" s="14" t="n">
        <v>4361.74</v>
      </c>
      <c r="F7579" s="14" t="n">
        <v>63773.68</v>
      </c>
      <c r="G7579" s="6" t="s">
        <v>2613</v>
      </c>
    </row>
    <row r="7580" customFormat="false" ht="15" hidden="false" customHeight="true" outlineLevel="0" collapsed="false">
      <c r="A7580" s="6" t="s">
        <v>10192</v>
      </c>
      <c r="B7580" s="6" t="s">
        <v>1627</v>
      </c>
      <c r="C7580" s="6" t="s">
        <v>112</v>
      </c>
      <c r="D7580" s="13" t="n">
        <v>44646</v>
      </c>
      <c r="E7580" s="14" t="n">
        <v>7066.54</v>
      </c>
      <c r="F7580" s="14" t="n">
        <v>70840.22</v>
      </c>
      <c r="G7580" s="6" t="s">
        <v>2613</v>
      </c>
    </row>
    <row r="7581" customFormat="false" ht="15" hidden="false" customHeight="true" outlineLevel="0" collapsed="false">
      <c r="A7581" s="6" t="s">
        <v>10193</v>
      </c>
      <c r="B7581" s="6" t="s">
        <v>1627</v>
      </c>
      <c r="C7581" s="6" t="s">
        <v>112</v>
      </c>
      <c r="D7581" s="13" t="n">
        <v>44653</v>
      </c>
      <c r="E7581" s="14" t="n">
        <v>6104.76</v>
      </c>
      <c r="F7581" s="14" t="n">
        <v>76944.98</v>
      </c>
      <c r="G7581" s="6" t="s">
        <v>2613</v>
      </c>
    </row>
    <row r="7582" customFormat="false" ht="15" hidden="false" customHeight="true" outlineLevel="0" collapsed="false">
      <c r="A7582" s="6" t="s">
        <v>10194</v>
      </c>
      <c r="B7582" s="6" t="s">
        <v>1627</v>
      </c>
      <c r="C7582" s="6" t="s">
        <v>112</v>
      </c>
      <c r="D7582" s="13" t="n">
        <v>44660</v>
      </c>
      <c r="E7582" s="14" t="n">
        <v>8045.04</v>
      </c>
      <c r="F7582" s="14" t="n">
        <v>84990.02</v>
      </c>
      <c r="G7582" s="6" t="s">
        <v>2613</v>
      </c>
    </row>
    <row r="7583" customFormat="false" ht="15" hidden="false" customHeight="true" outlineLevel="0" collapsed="false">
      <c r="A7583" s="6" t="s">
        <v>10195</v>
      </c>
      <c r="B7583" s="6" t="s">
        <v>1627</v>
      </c>
      <c r="C7583" s="6" t="s">
        <v>112</v>
      </c>
      <c r="D7583" s="13" t="n">
        <v>44667</v>
      </c>
      <c r="E7583" s="14" t="n">
        <v>7516.29</v>
      </c>
      <c r="F7583" s="14" t="n">
        <v>92506.31</v>
      </c>
      <c r="G7583" s="6" t="s">
        <v>2613</v>
      </c>
    </row>
    <row r="7584" customFormat="false" ht="15" hidden="false" customHeight="true" outlineLevel="0" collapsed="false">
      <c r="A7584" s="6" t="s">
        <v>10196</v>
      </c>
      <c r="B7584" s="6" t="s">
        <v>1627</v>
      </c>
      <c r="C7584" s="6" t="s">
        <v>112</v>
      </c>
      <c r="D7584" s="13" t="n">
        <v>44674</v>
      </c>
      <c r="E7584" s="14" t="n">
        <v>981.85</v>
      </c>
      <c r="F7584" s="14" t="n">
        <v>93488.16</v>
      </c>
      <c r="G7584" s="6" t="s">
        <v>2613</v>
      </c>
    </row>
    <row r="7585" customFormat="false" ht="15" hidden="false" customHeight="true" outlineLevel="0" collapsed="false">
      <c r="A7585" s="6" t="s">
        <v>10197</v>
      </c>
      <c r="B7585" s="6" t="s">
        <v>1629</v>
      </c>
      <c r="C7585" s="6" t="s">
        <v>124</v>
      </c>
      <c r="D7585" s="13" t="n">
        <v>45052</v>
      </c>
      <c r="E7585" s="14" t="n">
        <v>5038.42</v>
      </c>
      <c r="F7585" s="14" t="n">
        <v>5038.42</v>
      </c>
      <c r="G7585" s="6" t="s">
        <v>2613</v>
      </c>
    </row>
    <row r="7586" customFormat="false" ht="15" hidden="false" customHeight="true" outlineLevel="0" collapsed="false">
      <c r="A7586" s="6" t="s">
        <v>10198</v>
      </c>
      <c r="B7586" s="6" t="s">
        <v>1629</v>
      </c>
      <c r="C7586" s="6" t="s">
        <v>124</v>
      </c>
      <c r="D7586" s="13" t="n">
        <v>45059</v>
      </c>
      <c r="E7586" s="14" t="n">
        <v>2983.52</v>
      </c>
      <c r="F7586" s="14" t="n">
        <v>8021.94</v>
      </c>
      <c r="G7586" s="6" t="s">
        <v>2613</v>
      </c>
    </row>
    <row r="7587" customFormat="false" ht="15" hidden="false" customHeight="true" outlineLevel="0" collapsed="false">
      <c r="A7587" s="6" t="s">
        <v>10199</v>
      </c>
      <c r="B7587" s="6" t="s">
        <v>1629</v>
      </c>
      <c r="C7587" s="6" t="s">
        <v>124</v>
      </c>
      <c r="D7587" s="13" t="n">
        <v>45066</v>
      </c>
      <c r="E7587" s="14" t="n">
        <v>5801.57</v>
      </c>
      <c r="F7587" s="14" t="n">
        <v>13823.51</v>
      </c>
      <c r="G7587" s="6" t="s">
        <v>2613</v>
      </c>
    </row>
    <row r="7588" customFormat="false" ht="15" hidden="false" customHeight="true" outlineLevel="0" collapsed="false">
      <c r="A7588" s="6" t="s">
        <v>10200</v>
      </c>
      <c r="B7588" s="6" t="s">
        <v>1629</v>
      </c>
      <c r="C7588" s="6" t="s">
        <v>124</v>
      </c>
      <c r="D7588" s="13" t="n">
        <v>45073</v>
      </c>
      <c r="E7588" s="14" t="n">
        <v>3245.93</v>
      </c>
      <c r="F7588" s="14" t="n">
        <v>17069.44</v>
      </c>
      <c r="G7588" s="6" t="s">
        <v>2613</v>
      </c>
    </row>
    <row r="7589" customFormat="false" ht="15" hidden="false" customHeight="true" outlineLevel="0" collapsed="false">
      <c r="A7589" s="6" t="s">
        <v>10201</v>
      </c>
      <c r="B7589" s="6" t="s">
        <v>1629</v>
      </c>
      <c r="C7589" s="6" t="s">
        <v>124</v>
      </c>
      <c r="D7589" s="13" t="n">
        <v>45080</v>
      </c>
      <c r="E7589" s="14" t="n">
        <v>3283.08</v>
      </c>
      <c r="F7589" s="14" t="n">
        <v>20352.52</v>
      </c>
      <c r="G7589" s="6" t="s">
        <v>2613</v>
      </c>
    </row>
    <row r="7590" customFormat="false" ht="15" hidden="false" customHeight="true" outlineLevel="0" collapsed="false">
      <c r="A7590" s="6" t="s">
        <v>10202</v>
      </c>
      <c r="B7590" s="6" t="s">
        <v>1629</v>
      </c>
      <c r="C7590" s="6" t="s">
        <v>124</v>
      </c>
      <c r="D7590" s="13" t="n">
        <v>45087</v>
      </c>
      <c r="E7590" s="14" t="n">
        <v>4184.84</v>
      </c>
      <c r="F7590" s="14" t="n">
        <v>24537.36</v>
      </c>
      <c r="G7590" s="6" t="s">
        <v>2613</v>
      </c>
    </row>
    <row r="7591" customFormat="false" ht="15" hidden="false" customHeight="true" outlineLevel="0" collapsed="false">
      <c r="A7591" s="6" t="s">
        <v>10203</v>
      </c>
      <c r="B7591" s="6" t="s">
        <v>1629</v>
      </c>
      <c r="C7591" s="6" t="s">
        <v>124</v>
      </c>
      <c r="D7591" s="13" t="n">
        <v>45094</v>
      </c>
      <c r="E7591" s="14" t="n">
        <v>4503.96</v>
      </c>
      <c r="F7591" s="14" t="n">
        <v>29041.32</v>
      </c>
      <c r="G7591" s="6" t="s">
        <v>2613</v>
      </c>
    </row>
    <row r="7592" customFormat="false" ht="15" hidden="false" customHeight="true" outlineLevel="0" collapsed="false">
      <c r="A7592" s="6" t="s">
        <v>10204</v>
      </c>
      <c r="B7592" s="6" t="s">
        <v>1629</v>
      </c>
      <c r="C7592" s="6" t="s">
        <v>124</v>
      </c>
      <c r="D7592" s="13" t="n">
        <v>45101</v>
      </c>
      <c r="E7592" s="14" t="n">
        <v>2710.78</v>
      </c>
      <c r="F7592" s="14" t="n">
        <v>31752.1</v>
      </c>
      <c r="G7592" s="6" t="s">
        <v>2613</v>
      </c>
    </row>
    <row r="7593" customFormat="false" ht="15" hidden="false" customHeight="true" outlineLevel="0" collapsed="false">
      <c r="A7593" s="6" t="s">
        <v>10205</v>
      </c>
      <c r="B7593" s="6" t="s">
        <v>1629</v>
      </c>
      <c r="C7593" s="6" t="s">
        <v>124</v>
      </c>
      <c r="D7593" s="13" t="n">
        <v>45108</v>
      </c>
      <c r="E7593" s="14" t="n">
        <v>3364.34</v>
      </c>
      <c r="F7593" s="14" t="n">
        <v>35116.44</v>
      </c>
      <c r="G7593" s="6" t="s">
        <v>2613</v>
      </c>
    </row>
    <row r="7594" customFormat="false" ht="15" hidden="false" customHeight="true" outlineLevel="0" collapsed="false">
      <c r="A7594" s="6" t="s">
        <v>10206</v>
      </c>
      <c r="B7594" s="6" t="s">
        <v>1629</v>
      </c>
      <c r="C7594" s="6" t="s">
        <v>124</v>
      </c>
      <c r="D7594" s="13" t="n">
        <v>45115</v>
      </c>
      <c r="E7594" s="14" t="n">
        <v>2975.84</v>
      </c>
      <c r="F7594" s="14" t="n">
        <v>38092.28</v>
      </c>
      <c r="G7594" s="6" t="s">
        <v>2613</v>
      </c>
    </row>
    <row r="7595" customFormat="false" ht="15" hidden="false" customHeight="true" outlineLevel="0" collapsed="false">
      <c r="A7595" s="6" t="s">
        <v>10207</v>
      </c>
      <c r="B7595" s="6" t="s">
        <v>1629</v>
      </c>
      <c r="C7595" s="6" t="s">
        <v>124</v>
      </c>
      <c r="D7595" s="13" t="n">
        <v>45122</v>
      </c>
      <c r="E7595" s="14" t="n">
        <v>5580.51</v>
      </c>
      <c r="F7595" s="14" t="n">
        <v>43672.79</v>
      </c>
      <c r="G7595" s="6" t="s">
        <v>2613</v>
      </c>
    </row>
    <row r="7596" customFormat="false" ht="15" hidden="false" customHeight="true" outlineLevel="0" collapsed="false">
      <c r="A7596" s="6" t="s">
        <v>10208</v>
      </c>
      <c r="B7596" s="6" t="s">
        <v>1629</v>
      </c>
      <c r="C7596" s="6" t="s">
        <v>124</v>
      </c>
      <c r="D7596" s="13" t="n">
        <v>45129</v>
      </c>
      <c r="E7596" s="14" t="n">
        <v>9745.5</v>
      </c>
      <c r="F7596" s="14" t="n">
        <v>53418.29</v>
      </c>
      <c r="G7596" s="6" t="s">
        <v>2613</v>
      </c>
    </row>
    <row r="7597" customFormat="false" ht="15" hidden="false" customHeight="true" outlineLevel="0" collapsed="false">
      <c r="A7597" s="6" t="s">
        <v>10209</v>
      </c>
      <c r="B7597" s="6" t="s">
        <v>1631</v>
      </c>
      <c r="C7597" s="6" t="s">
        <v>131</v>
      </c>
      <c r="D7597" s="13" t="n">
        <v>45843</v>
      </c>
      <c r="E7597" s="14" t="n">
        <v>6479.49</v>
      </c>
      <c r="F7597" s="14" t="n">
        <v>6479.49</v>
      </c>
      <c r="G7597" s="6" t="s">
        <v>2613</v>
      </c>
    </row>
    <row r="7598" customFormat="false" ht="15" hidden="false" customHeight="true" outlineLevel="0" collapsed="false">
      <c r="A7598" s="6" t="s">
        <v>10210</v>
      </c>
      <c r="B7598" s="6" t="s">
        <v>1631</v>
      </c>
      <c r="C7598" s="6" t="s">
        <v>131</v>
      </c>
      <c r="D7598" s="13" t="n">
        <v>45850</v>
      </c>
      <c r="E7598" s="14" t="n">
        <v>8680.37</v>
      </c>
      <c r="F7598" s="14" t="n">
        <v>15159.86</v>
      </c>
      <c r="G7598" s="6" t="s">
        <v>2613</v>
      </c>
    </row>
    <row r="7599" customFormat="false" ht="15" hidden="false" customHeight="true" outlineLevel="0" collapsed="false">
      <c r="A7599" s="6" t="s">
        <v>10211</v>
      </c>
      <c r="B7599" s="6" t="s">
        <v>1631</v>
      </c>
      <c r="C7599" s="6" t="s">
        <v>131</v>
      </c>
      <c r="D7599" s="13" t="n">
        <v>45857</v>
      </c>
      <c r="E7599" s="14" t="n">
        <v>4241.47</v>
      </c>
      <c r="F7599" s="14" t="n">
        <v>19401.33</v>
      </c>
      <c r="G7599" s="6" t="s">
        <v>2613</v>
      </c>
    </row>
    <row r="7600" customFormat="false" ht="15" hidden="false" customHeight="true" outlineLevel="0" collapsed="false">
      <c r="A7600" s="6" t="s">
        <v>10212</v>
      </c>
      <c r="B7600" s="6" t="s">
        <v>1631</v>
      </c>
      <c r="C7600" s="6" t="s">
        <v>131</v>
      </c>
      <c r="D7600" s="13" t="n">
        <v>45864</v>
      </c>
      <c r="E7600" s="14" t="n">
        <v>9097.38</v>
      </c>
      <c r="F7600" s="14" t="n">
        <v>28498.71</v>
      </c>
      <c r="G7600" s="6" t="s">
        <v>2613</v>
      </c>
    </row>
    <row r="7601" customFormat="false" ht="15" hidden="false" customHeight="true" outlineLevel="0" collapsed="false">
      <c r="A7601" s="6" t="s">
        <v>10213</v>
      </c>
      <c r="B7601" s="6" t="s">
        <v>1631</v>
      </c>
      <c r="C7601" s="6" t="s">
        <v>131</v>
      </c>
      <c r="D7601" s="13" t="n">
        <v>45871</v>
      </c>
      <c r="E7601" s="14" t="n">
        <v>8166.46</v>
      </c>
      <c r="F7601" s="14" t="n">
        <v>36665.17</v>
      </c>
      <c r="G7601" s="6" t="s">
        <v>2623</v>
      </c>
    </row>
    <row r="7602" customFormat="false" ht="15" hidden="false" customHeight="true" outlineLevel="0" collapsed="false">
      <c r="A7602" s="6" t="s">
        <v>10214</v>
      </c>
      <c r="B7602" s="6" t="s">
        <v>1631</v>
      </c>
      <c r="C7602" s="6" t="s">
        <v>131</v>
      </c>
      <c r="D7602" s="13" t="n">
        <v>45878</v>
      </c>
      <c r="E7602" s="14" t="n">
        <v>4265.49</v>
      </c>
      <c r="F7602" s="14" t="n">
        <v>40930.66</v>
      </c>
      <c r="G7602" s="6" t="s">
        <v>2623</v>
      </c>
    </row>
    <row r="7603" customFormat="false" ht="15" hidden="false" customHeight="true" outlineLevel="0" collapsed="false">
      <c r="A7603" s="6" t="s">
        <v>10215</v>
      </c>
      <c r="B7603" s="6" t="s">
        <v>1631</v>
      </c>
      <c r="C7603" s="6" t="s">
        <v>131</v>
      </c>
      <c r="D7603" s="13" t="n">
        <v>45885</v>
      </c>
      <c r="E7603" s="14" t="n">
        <v>7994.22</v>
      </c>
      <c r="F7603" s="14" t="n">
        <v>48924.88</v>
      </c>
      <c r="G7603" s="6" t="s">
        <v>2613</v>
      </c>
    </row>
    <row r="7604" customFormat="false" ht="15" hidden="false" customHeight="true" outlineLevel="0" collapsed="false">
      <c r="A7604" s="6" t="s">
        <v>10216</v>
      </c>
      <c r="B7604" s="6" t="s">
        <v>1631</v>
      </c>
      <c r="C7604" s="6" t="s">
        <v>131</v>
      </c>
      <c r="D7604" s="13" t="n">
        <v>45892</v>
      </c>
      <c r="E7604" s="14" t="n">
        <v>4788.04</v>
      </c>
      <c r="F7604" s="14" t="n">
        <v>53712.92</v>
      </c>
      <c r="G7604" s="6" t="s">
        <v>2613</v>
      </c>
    </row>
    <row r="7605" customFormat="false" ht="15" hidden="false" customHeight="true" outlineLevel="0" collapsed="false">
      <c r="A7605" s="6" t="s">
        <v>10217</v>
      </c>
      <c r="B7605" s="6" t="s">
        <v>1631</v>
      </c>
      <c r="C7605" s="6" t="s">
        <v>131</v>
      </c>
      <c r="D7605" s="13" t="n">
        <v>45899</v>
      </c>
      <c r="E7605" s="14" t="n">
        <v>8986.86</v>
      </c>
      <c r="F7605" s="14" t="n">
        <v>62699.78</v>
      </c>
      <c r="G7605" s="6" t="s">
        <v>2613</v>
      </c>
    </row>
    <row r="7606" customFormat="false" ht="15" hidden="false" customHeight="true" outlineLevel="0" collapsed="false">
      <c r="A7606" s="6" t="s">
        <v>10218</v>
      </c>
      <c r="B7606" s="6" t="s">
        <v>1631</v>
      </c>
      <c r="C7606" s="6" t="s">
        <v>131</v>
      </c>
      <c r="D7606" s="13" t="n">
        <v>45906</v>
      </c>
      <c r="E7606" s="14" t="n">
        <v>5909.32</v>
      </c>
      <c r="F7606" s="14" t="n">
        <v>68609.1</v>
      </c>
      <c r="G7606" s="6" t="s">
        <v>2613</v>
      </c>
    </row>
    <row r="7607" customFormat="false" ht="15" hidden="false" customHeight="true" outlineLevel="0" collapsed="false">
      <c r="A7607" s="6" t="s">
        <v>10219</v>
      </c>
      <c r="B7607" s="6" t="s">
        <v>1631</v>
      </c>
      <c r="C7607" s="6" t="s">
        <v>131</v>
      </c>
      <c r="D7607" s="13" t="n">
        <v>45913</v>
      </c>
      <c r="E7607" s="14" t="n">
        <v>5136.54</v>
      </c>
      <c r="F7607" s="14" t="n">
        <v>73745.64</v>
      </c>
      <c r="G7607" s="6" t="s">
        <v>2623</v>
      </c>
    </row>
    <row r="7608" customFormat="false" ht="15" hidden="false" customHeight="true" outlineLevel="0" collapsed="false">
      <c r="A7608" s="6" t="s">
        <v>10220</v>
      </c>
      <c r="B7608" s="6" t="s">
        <v>1631</v>
      </c>
      <c r="C7608" s="6" t="s">
        <v>131</v>
      </c>
      <c r="D7608" s="13" t="n">
        <v>45920</v>
      </c>
      <c r="E7608" s="14" t="n">
        <v>8609.33</v>
      </c>
      <c r="F7608" s="14" t="n">
        <v>82354.97</v>
      </c>
      <c r="G7608" s="6" t="s">
        <v>2613</v>
      </c>
    </row>
    <row r="7609" customFormat="false" ht="15" hidden="false" customHeight="true" outlineLevel="0" collapsed="false">
      <c r="A7609" s="6" t="s">
        <v>10221</v>
      </c>
      <c r="B7609" s="6" t="s">
        <v>1631</v>
      </c>
      <c r="C7609" s="6" t="s">
        <v>131</v>
      </c>
      <c r="D7609" s="13" t="n">
        <v>45927</v>
      </c>
      <c r="E7609" s="14" t="n">
        <v>9299.18</v>
      </c>
      <c r="F7609" s="14" t="n">
        <v>91654.15</v>
      </c>
      <c r="G7609" s="6" t="s">
        <v>2613</v>
      </c>
    </row>
    <row r="7610" customFormat="false" ht="15" hidden="false" customHeight="true" outlineLevel="0" collapsed="false">
      <c r="A7610" s="6" t="s">
        <v>10222</v>
      </c>
      <c r="B7610" s="6" t="s">
        <v>1631</v>
      </c>
      <c r="C7610" s="6" t="s">
        <v>131</v>
      </c>
      <c r="D7610" s="13" t="n">
        <v>45934</v>
      </c>
      <c r="E7610" s="14" t="n">
        <v>4128.79</v>
      </c>
      <c r="F7610" s="14" t="n">
        <v>95782.94</v>
      </c>
      <c r="G7610" s="6" t="s">
        <v>2613</v>
      </c>
    </row>
    <row r="7611" customFormat="false" ht="15" hidden="false" customHeight="true" outlineLevel="0" collapsed="false">
      <c r="A7611" s="6" t="s">
        <v>10223</v>
      </c>
      <c r="B7611" s="6" t="s">
        <v>1633</v>
      </c>
      <c r="C7611" s="6" t="s">
        <v>112</v>
      </c>
      <c r="D7611" s="13" t="n">
        <v>46040</v>
      </c>
      <c r="E7611" s="14" t="n">
        <v>3813.43</v>
      </c>
      <c r="F7611" s="14" t="n">
        <v>3813.43</v>
      </c>
      <c r="G7611" s="6" t="s">
        <v>2613</v>
      </c>
    </row>
    <row r="7612" customFormat="false" ht="15" hidden="false" customHeight="true" outlineLevel="0" collapsed="false">
      <c r="A7612" s="6" t="s">
        <v>10224</v>
      </c>
      <c r="B7612" s="6" t="s">
        <v>1633</v>
      </c>
      <c r="C7612" s="6" t="s">
        <v>112</v>
      </c>
      <c r="D7612" s="13" t="n">
        <v>46047</v>
      </c>
      <c r="E7612" s="14" t="n">
        <v>3610.58</v>
      </c>
      <c r="F7612" s="14" t="n">
        <v>7424.01</v>
      </c>
      <c r="G7612" s="6" t="s">
        <v>2613</v>
      </c>
    </row>
    <row r="7613" customFormat="false" ht="15" hidden="false" customHeight="true" outlineLevel="0" collapsed="false">
      <c r="A7613" s="6" t="s">
        <v>10225</v>
      </c>
      <c r="B7613" s="6" t="s">
        <v>1633</v>
      </c>
      <c r="C7613" s="6" t="s">
        <v>112</v>
      </c>
      <c r="D7613" s="13" t="n">
        <v>46054</v>
      </c>
      <c r="E7613" s="14" t="n">
        <v>4496.78</v>
      </c>
      <c r="F7613" s="14" t="n">
        <v>11920.79</v>
      </c>
      <c r="G7613" s="6" t="s">
        <v>2613</v>
      </c>
    </row>
    <row r="7614" customFormat="false" ht="15" hidden="false" customHeight="true" outlineLevel="0" collapsed="false">
      <c r="A7614" s="6" t="s">
        <v>10226</v>
      </c>
      <c r="B7614" s="6" t="s">
        <v>1633</v>
      </c>
      <c r="C7614" s="6" t="s">
        <v>112</v>
      </c>
      <c r="D7614" s="13" t="n">
        <v>46061</v>
      </c>
      <c r="E7614" s="14" t="n">
        <v>3941.32</v>
      </c>
      <c r="F7614" s="14" t="n">
        <v>15862.11</v>
      </c>
      <c r="G7614" s="6" t="s">
        <v>2613</v>
      </c>
    </row>
    <row r="7615" customFormat="false" ht="15" hidden="false" customHeight="true" outlineLevel="0" collapsed="false">
      <c r="A7615" s="6" t="s">
        <v>10227</v>
      </c>
      <c r="B7615" s="6" t="s">
        <v>1633</v>
      </c>
      <c r="C7615" s="6" t="s">
        <v>112</v>
      </c>
      <c r="D7615" s="13" t="n">
        <v>46068</v>
      </c>
      <c r="E7615" s="14" t="n">
        <v>3904.47</v>
      </c>
      <c r="F7615" s="14" t="n">
        <v>19766.58</v>
      </c>
      <c r="G7615" s="6" t="s">
        <v>2613</v>
      </c>
    </row>
    <row r="7616" customFormat="false" ht="15" hidden="false" customHeight="true" outlineLevel="0" collapsed="false">
      <c r="A7616" s="6" t="s">
        <v>10228</v>
      </c>
      <c r="B7616" s="6" t="s">
        <v>1633</v>
      </c>
      <c r="C7616" s="6" t="s">
        <v>112</v>
      </c>
      <c r="D7616" s="13" t="n">
        <v>46075</v>
      </c>
      <c r="E7616" s="14" t="n">
        <v>4322.81</v>
      </c>
      <c r="F7616" s="14" t="n">
        <v>24089.39</v>
      </c>
      <c r="G7616" s="6" t="s">
        <v>2613</v>
      </c>
    </row>
    <row r="7617" customFormat="false" ht="15" hidden="false" customHeight="true" outlineLevel="0" collapsed="false">
      <c r="A7617" s="6" t="s">
        <v>10229</v>
      </c>
      <c r="B7617" s="6" t="s">
        <v>1633</v>
      </c>
      <c r="C7617" s="6" t="s">
        <v>112</v>
      </c>
      <c r="D7617" s="13" t="n">
        <v>46082</v>
      </c>
      <c r="E7617" s="14" t="n">
        <v>730.87</v>
      </c>
      <c r="F7617" s="14" t="n">
        <v>24820.26</v>
      </c>
      <c r="G7617" s="6" t="s">
        <v>2623</v>
      </c>
    </row>
    <row r="7618" customFormat="false" ht="15" hidden="false" customHeight="true" outlineLevel="0" collapsed="false">
      <c r="A7618" s="6" t="s">
        <v>10230</v>
      </c>
      <c r="B7618" s="6" t="s">
        <v>1635</v>
      </c>
      <c r="C7618" s="6" t="s">
        <v>112</v>
      </c>
      <c r="D7618" s="13" t="n">
        <v>45923</v>
      </c>
      <c r="E7618" s="14" t="n">
        <v>4051.5</v>
      </c>
      <c r="F7618" s="14" t="n">
        <v>4051.5</v>
      </c>
      <c r="G7618" s="6" t="s">
        <v>2613</v>
      </c>
    </row>
    <row r="7619" customFormat="false" ht="15" hidden="false" customHeight="true" outlineLevel="0" collapsed="false">
      <c r="A7619" s="6" t="s">
        <v>10231</v>
      </c>
      <c r="B7619" s="6" t="s">
        <v>1635</v>
      </c>
      <c r="C7619" s="6" t="s">
        <v>112</v>
      </c>
      <c r="D7619" s="13" t="n">
        <v>45930</v>
      </c>
      <c r="E7619" s="14" t="n">
        <v>3716.13</v>
      </c>
      <c r="F7619" s="14" t="n">
        <v>7767.63</v>
      </c>
      <c r="G7619" s="6" t="s">
        <v>2613</v>
      </c>
    </row>
    <row r="7620" customFormat="false" ht="15" hidden="false" customHeight="true" outlineLevel="0" collapsed="false">
      <c r="A7620" s="6" t="s">
        <v>10232</v>
      </c>
      <c r="B7620" s="6" t="s">
        <v>1635</v>
      </c>
      <c r="C7620" s="6" t="s">
        <v>112</v>
      </c>
      <c r="D7620" s="13" t="n">
        <v>45937</v>
      </c>
      <c r="E7620" s="14" t="n">
        <v>2230.22</v>
      </c>
      <c r="F7620" s="14" t="n">
        <v>9997.85</v>
      </c>
      <c r="G7620" s="6" t="s">
        <v>2613</v>
      </c>
    </row>
    <row r="7621" customFormat="false" ht="15" hidden="false" customHeight="true" outlineLevel="0" collapsed="false">
      <c r="A7621" s="6" t="s">
        <v>10233</v>
      </c>
      <c r="B7621" s="6" t="s">
        <v>1635</v>
      </c>
      <c r="C7621" s="6" t="s">
        <v>112</v>
      </c>
      <c r="D7621" s="13" t="n">
        <v>45944</v>
      </c>
      <c r="E7621" s="14" t="n">
        <v>3042.56</v>
      </c>
      <c r="F7621" s="14" t="n">
        <v>13040.41</v>
      </c>
      <c r="G7621" s="6" t="s">
        <v>2613</v>
      </c>
    </row>
    <row r="7622" customFormat="false" ht="15" hidden="false" customHeight="true" outlineLevel="0" collapsed="false">
      <c r="A7622" s="6" t="s">
        <v>10234</v>
      </c>
      <c r="B7622" s="6" t="s">
        <v>1635</v>
      </c>
      <c r="C7622" s="6" t="s">
        <v>112</v>
      </c>
      <c r="D7622" s="13" t="n">
        <v>45951</v>
      </c>
      <c r="E7622" s="14" t="n">
        <v>3798.42</v>
      </c>
      <c r="F7622" s="14" t="n">
        <v>16838.83</v>
      </c>
      <c r="G7622" s="6" t="s">
        <v>2623</v>
      </c>
    </row>
    <row r="7623" customFormat="false" ht="15" hidden="false" customHeight="true" outlineLevel="0" collapsed="false">
      <c r="A7623" s="6" t="s">
        <v>10235</v>
      </c>
      <c r="B7623" s="6" t="s">
        <v>1635</v>
      </c>
      <c r="C7623" s="6" t="s">
        <v>112</v>
      </c>
      <c r="D7623" s="13" t="n">
        <v>45958</v>
      </c>
      <c r="E7623" s="14" t="n">
        <v>3951.13</v>
      </c>
      <c r="F7623" s="14" t="n">
        <v>20789.96</v>
      </c>
      <c r="G7623" s="6" t="s">
        <v>2613</v>
      </c>
    </row>
    <row r="7624" customFormat="false" ht="15" hidden="false" customHeight="true" outlineLevel="0" collapsed="false">
      <c r="A7624" s="6" t="s">
        <v>10236</v>
      </c>
      <c r="B7624" s="6" t="s">
        <v>1635</v>
      </c>
      <c r="C7624" s="6" t="s">
        <v>112</v>
      </c>
      <c r="D7624" s="13" t="n">
        <v>45965</v>
      </c>
      <c r="E7624" s="14" t="n">
        <v>1786.86</v>
      </c>
      <c r="F7624" s="14" t="n">
        <v>22576.82</v>
      </c>
      <c r="G7624" s="6" t="s">
        <v>2613</v>
      </c>
    </row>
    <row r="7625" customFormat="false" ht="15" hidden="false" customHeight="true" outlineLevel="0" collapsed="false">
      <c r="A7625" s="6" t="s">
        <v>10237</v>
      </c>
      <c r="B7625" s="6" t="s">
        <v>1635</v>
      </c>
      <c r="C7625" s="6" t="s">
        <v>112</v>
      </c>
      <c r="D7625" s="13" t="n">
        <v>45972</v>
      </c>
      <c r="E7625" s="14" t="n">
        <v>2348.27</v>
      </c>
      <c r="F7625" s="14" t="n">
        <v>24925.09</v>
      </c>
      <c r="G7625" s="6" t="s">
        <v>2613</v>
      </c>
    </row>
    <row r="7626" customFormat="false" ht="15" hidden="false" customHeight="true" outlineLevel="0" collapsed="false">
      <c r="A7626" s="6" t="s">
        <v>10238</v>
      </c>
      <c r="B7626" s="6" t="s">
        <v>1635</v>
      </c>
      <c r="C7626" s="6" t="s">
        <v>112</v>
      </c>
      <c r="D7626" s="13" t="n">
        <v>45979</v>
      </c>
      <c r="E7626" s="14" t="n">
        <v>2634.27</v>
      </c>
      <c r="F7626" s="14" t="n">
        <v>27559.36</v>
      </c>
      <c r="G7626" s="6" t="s">
        <v>2613</v>
      </c>
    </row>
    <row r="7627" customFormat="false" ht="15" hidden="false" customHeight="true" outlineLevel="0" collapsed="false">
      <c r="A7627" s="6" t="s">
        <v>10239</v>
      </c>
      <c r="B7627" s="6" t="s">
        <v>1635</v>
      </c>
      <c r="C7627" s="6" t="s">
        <v>112</v>
      </c>
      <c r="D7627" s="13" t="n">
        <v>45986</v>
      </c>
      <c r="E7627" s="14" t="n">
        <v>2063.26</v>
      </c>
      <c r="F7627" s="14" t="n">
        <v>29622.62</v>
      </c>
      <c r="G7627" s="6" t="s">
        <v>2613</v>
      </c>
    </row>
    <row r="7628" customFormat="false" ht="15" hidden="false" customHeight="true" outlineLevel="0" collapsed="false">
      <c r="A7628" s="6" t="s">
        <v>10240</v>
      </c>
      <c r="B7628" s="6" t="s">
        <v>1635</v>
      </c>
      <c r="C7628" s="6" t="s">
        <v>112</v>
      </c>
      <c r="D7628" s="13" t="n">
        <v>45993</v>
      </c>
      <c r="E7628" s="14" t="n">
        <v>3073.72</v>
      </c>
      <c r="F7628" s="14" t="n">
        <v>32696.34</v>
      </c>
      <c r="G7628" s="6" t="s">
        <v>2613</v>
      </c>
    </row>
    <row r="7629" customFormat="false" ht="15" hidden="false" customHeight="true" outlineLevel="0" collapsed="false">
      <c r="A7629" s="6" t="s">
        <v>10241</v>
      </c>
      <c r="B7629" s="6" t="s">
        <v>1635</v>
      </c>
      <c r="C7629" s="6" t="s">
        <v>112</v>
      </c>
      <c r="D7629" s="13" t="n">
        <v>46000</v>
      </c>
      <c r="E7629" s="14" t="n">
        <v>2830.82</v>
      </c>
      <c r="F7629" s="14" t="n">
        <v>35527.16</v>
      </c>
      <c r="G7629" s="6" t="s">
        <v>2613</v>
      </c>
    </row>
    <row r="7630" customFormat="false" ht="15" hidden="false" customHeight="true" outlineLevel="0" collapsed="false">
      <c r="A7630" s="6" t="s">
        <v>10242</v>
      </c>
      <c r="B7630" s="6" t="s">
        <v>1635</v>
      </c>
      <c r="C7630" s="6" t="s">
        <v>112</v>
      </c>
      <c r="D7630" s="13" t="n">
        <v>46007</v>
      </c>
      <c r="E7630" s="14" t="n">
        <v>3214.93</v>
      </c>
      <c r="F7630" s="14" t="n">
        <v>38742.09</v>
      </c>
      <c r="G7630" s="6" t="s">
        <v>2613</v>
      </c>
    </row>
    <row r="7631" customFormat="false" ht="15" hidden="false" customHeight="true" outlineLevel="0" collapsed="false">
      <c r="A7631" s="6" t="s">
        <v>10243</v>
      </c>
      <c r="B7631" s="6" t="s">
        <v>1635</v>
      </c>
      <c r="C7631" s="6" t="s">
        <v>112</v>
      </c>
      <c r="D7631" s="13" t="n">
        <v>46014</v>
      </c>
      <c r="E7631" s="14" t="n">
        <v>1878.17</v>
      </c>
      <c r="F7631" s="14" t="n">
        <v>40620.26</v>
      </c>
      <c r="G7631" s="6" t="s">
        <v>2613</v>
      </c>
    </row>
    <row r="7632" customFormat="false" ht="15" hidden="false" customHeight="true" outlineLevel="0" collapsed="false">
      <c r="A7632" s="6" t="s">
        <v>10244</v>
      </c>
      <c r="B7632" s="6" t="s">
        <v>1637</v>
      </c>
      <c r="C7632" s="6" t="s">
        <v>120</v>
      </c>
      <c r="D7632" s="13" t="n">
        <v>46044</v>
      </c>
      <c r="E7632" s="14" t="n">
        <v>5256.32</v>
      </c>
      <c r="F7632" s="14" t="n">
        <v>5256.32</v>
      </c>
      <c r="G7632" s="6" t="s">
        <v>2613</v>
      </c>
    </row>
    <row r="7633" customFormat="false" ht="15" hidden="false" customHeight="true" outlineLevel="0" collapsed="false">
      <c r="A7633" s="6" t="s">
        <v>10245</v>
      </c>
      <c r="B7633" s="6" t="s">
        <v>1637</v>
      </c>
      <c r="C7633" s="6" t="s">
        <v>120</v>
      </c>
      <c r="D7633" s="13" t="n">
        <v>46051</v>
      </c>
      <c r="E7633" s="14" t="n">
        <v>3599.63</v>
      </c>
      <c r="F7633" s="14" t="n">
        <v>8855.95</v>
      </c>
      <c r="G7633" s="6" t="s">
        <v>2613</v>
      </c>
    </row>
    <row r="7634" customFormat="false" ht="15" hidden="false" customHeight="true" outlineLevel="0" collapsed="false">
      <c r="A7634" s="6" t="s">
        <v>10246</v>
      </c>
      <c r="B7634" s="6" t="s">
        <v>1637</v>
      </c>
      <c r="C7634" s="6" t="s">
        <v>120</v>
      </c>
      <c r="D7634" s="13" t="n">
        <v>46058</v>
      </c>
      <c r="E7634" s="14" t="n">
        <v>3309.12</v>
      </c>
      <c r="F7634" s="14" t="n">
        <v>12165.07</v>
      </c>
      <c r="G7634" s="6" t="s">
        <v>2613</v>
      </c>
    </row>
    <row r="7635" customFormat="false" ht="15" hidden="false" customHeight="true" outlineLevel="0" collapsed="false">
      <c r="A7635" s="6" t="s">
        <v>10247</v>
      </c>
      <c r="B7635" s="6" t="s">
        <v>1637</v>
      </c>
      <c r="C7635" s="6" t="s">
        <v>120</v>
      </c>
      <c r="D7635" s="13" t="n">
        <v>46065</v>
      </c>
      <c r="E7635" s="14" t="n">
        <v>2785.58</v>
      </c>
      <c r="F7635" s="14" t="n">
        <v>14950.65</v>
      </c>
      <c r="G7635" s="6" t="s">
        <v>2613</v>
      </c>
    </row>
    <row r="7636" customFormat="false" ht="15" hidden="false" customHeight="true" outlineLevel="0" collapsed="false">
      <c r="A7636" s="6" t="s">
        <v>10248</v>
      </c>
      <c r="B7636" s="6" t="s">
        <v>1637</v>
      </c>
      <c r="C7636" s="6" t="s">
        <v>120</v>
      </c>
      <c r="D7636" s="13" t="n">
        <v>46072</v>
      </c>
      <c r="E7636" s="14" t="n">
        <v>4027.27</v>
      </c>
      <c r="F7636" s="14" t="n">
        <v>18977.92</v>
      </c>
      <c r="G7636" s="6" t="s">
        <v>2613</v>
      </c>
    </row>
    <row r="7637" customFormat="false" ht="15" hidden="false" customHeight="true" outlineLevel="0" collapsed="false">
      <c r="A7637" s="6" t="s">
        <v>10249</v>
      </c>
      <c r="B7637" s="6" t="s">
        <v>1637</v>
      </c>
      <c r="C7637" s="6" t="s">
        <v>120</v>
      </c>
      <c r="D7637" s="13" t="n">
        <v>46079</v>
      </c>
      <c r="E7637" s="14" t="n">
        <v>4393.83</v>
      </c>
      <c r="F7637" s="14" t="n">
        <v>23371.75</v>
      </c>
      <c r="G7637" s="6" t="s">
        <v>2613</v>
      </c>
    </row>
    <row r="7638" customFormat="false" ht="15" hidden="false" customHeight="true" outlineLevel="0" collapsed="false">
      <c r="A7638" s="6" t="s">
        <v>10250</v>
      </c>
      <c r="B7638" s="6" t="s">
        <v>1637</v>
      </c>
      <c r="C7638" s="6" t="s">
        <v>120</v>
      </c>
      <c r="D7638" s="13" t="n">
        <v>46086</v>
      </c>
      <c r="E7638" s="14" t="n">
        <v>3770.43</v>
      </c>
      <c r="F7638" s="14" t="n">
        <v>27142.18</v>
      </c>
      <c r="G7638" s="6" t="s">
        <v>2613</v>
      </c>
    </row>
    <row r="7639" customFormat="false" ht="15" hidden="false" customHeight="true" outlineLevel="0" collapsed="false">
      <c r="A7639" s="6" t="s">
        <v>10251</v>
      </c>
      <c r="B7639" s="6" t="s">
        <v>1637</v>
      </c>
      <c r="C7639" s="6" t="s">
        <v>120</v>
      </c>
      <c r="D7639" s="13" t="n">
        <v>46093</v>
      </c>
      <c r="E7639" s="14" t="n">
        <v>3239.98</v>
      </c>
      <c r="F7639" s="14" t="n">
        <v>30382.16</v>
      </c>
      <c r="G7639" s="6" t="s">
        <v>2613</v>
      </c>
    </row>
    <row r="7640" customFormat="false" ht="15" hidden="false" customHeight="true" outlineLevel="0" collapsed="false">
      <c r="A7640" s="6" t="s">
        <v>10252</v>
      </c>
      <c r="B7640" s="6" t="s">
        <v>1637</v>
      </c>
      <c r="C7640" s="6" t="s">
        <v>120</v>
      </c>
      <c r="D7640" s="13" t="n">
        <v>46100</v>
      </c>
      <c r="E7640" s="14" t="n">
        <v>3475.79</v>
      </c>
      <c r="F7640" s="14" t="n">
        <v>33857.95</v>
      </c>
      <c r="G7640" s="6" t="s">
        <v>2613</v>
      </c>
    </row>
    <row r="7641" customFormat="false" ht="15" hidden="false" customHeight="true" outlineLevel="0" collapsed="false">
      <c r="A7641" s="6" t="s">
        <v>10253</v>
      </c>
      <c r="B7641" s="6" t="s">
        <v>1637</v>
      </c>
      <c r="C7641" s="6" t="s">
        <v>120</v>
      </c>
      <c r="D7641" s="13" t="n">
        <v>46107</v>
      </c>
      <c r="E7641" s="14" t="n">
        <v>3574.85</v>
      </c>
      <c r="F7641" s="14" t="n">
        <v>37432.8</v>
      </c>
      <c r="G7641" s="6" t="s">
        <v>2613</v>
      </c>
    </row>
    <row r="7642" customFormat="false" ht="15" hidden="false" customHeight="true" outlineLevel="0" collapsed="false">
      <c r="A7642" s="6" t="s">
        <v>10254</v>
      </c>
      <c r="B7642" s="6" t="s">
        <v>1637</v>
      </c>
      <c r="C7642" s="6" t="s">
        <v>120</v>
      </c>
      <c r="D7642" s="13" t="n">
        <v>46114</v>
      </c>
      <c r="E7642" s="14" t="n">
        <v>3342.49</v>
      </c>
      <c r="F7642" s="14" t="n">
        <v>40775.29</v>
      </c>
      <c r="G7642" s="6" t="s">
        <v>2613</v>
      </c>
    </row>
    <row r="7643" customFormat="false" ht="15" hidden="false" customHeight="true" outlineLevel="0" collapsed="false">
      <c r="A7643" s="6" t="s">
        <v>10255</v>
      </c>
      <c r="B7643" s="6" t="s">
        <v>1637</v>
      </c>
      <c r="C7643" s="6" t="s">
        <v>120</v>
      </c>
      <c r="D7643" s="13" t="n">
        <v>46121</v>
      </c>
      <c r="E7643" s="14" t="n">
        <v>3767.82</v>
      </c>
      <c r="F7643" s="14" t="n">
        <v>44543.11</v>
      </c>
      <c r="G7643" s="6" t="s">
        <v>2613</v>
      </c>
    </row>
    <row r="7644" customFormat="false" ht="15" hidden="false" customHeight="true" outlineLevel="0" collapsed="false">
      <c r="A7644" s="6" t="s">
        <v>10256</v>
      </c>
      <c r="B7644" s="6" t="s">
        <v>1637</v>
      </c>
      <c r="C7644" s="6" t="s">
        <v>120</v>
      </c>
      <c r="D7644" s="13" t="n">
        <v>46128</v>
      </c>
      <c r="E7644" s="14" t="n">
        <v>4026.67</v>
      </c>
      <c r="F7644" s="14" t="n">
        <v>48569.78</v>
      </c>
      <c r="G7644" s="6" t="s">
        <v>2613</v>
      </c>
    </row>
    <row r="7645" customFormat="false" ht="15" hidden="false" customHeight="true" outlineLevel="0" collapsed="false">
      <c r="A7645" s="6" t="s">
        <v>10257</v>
      </c>
      <c r="B7645" s="6" t="s">
        <v>1637</v>
      </c>
      <c r="C7645" s="6" t="s">
        <v>120</v>
      </c>
      <c r="D7645" s="13" t="n">
        <v>46135</v>
      </c>
      <c r="E7645" s="14" t="n">
        <v>3984.08</v>
      </c>
      <c r="F7645" s="14" t="n">
        <v>52553.86</v>
      </c>
      <c r="G7645" s="6" t="s">
        <v>2613</v>
      </c>
    </row>
    <row r="7646" customFormat="false" ht="15" hidden="false" customHeight="true" outlineLevel="0" collapsed="false">
      <c r="A7646" s="6" t="s">
        <v>10258</v>
      </c>
      <c r="B7646" s="6" t="s">
        <v>1637</v>
      </c>
      <c r="C7646" s="6" t="s">
        <v>120</v>
      </c>
      <c r="D7646" s="13" t="n">
        <v>46142</v>
      </c>
      <c r="E7646" s="14" t="n">
        <v>4044.49</v>
      </c>
      <c r="F7646" s="14" t="n">
        <v>56598.35</v>
      </c>
      <c r="G7646" s="6" t="s">
        <v>2613</v>
      </c>
    </row>
    <row r="7647" customFormat="false" ht="15" hidden="false" customHeight="true" outlineLevel="0" collapsed="false">
      <c r="A7647" s="6" t="s">
        <v>10259</v>
      </c>
      <c r="B7647" s="6" t="s">
        <v>1637</v>
      </c>
      <c r="C7647" s="6" t="s">
        <v>120</v>
      </c>
      <c r="D7647" s="13" t="n">
        <v>46149</v>
      </c>
      <c r="E7647" s="14" t="n">
        <v>3585.23</v>
      </c>
      <c r="F7647" s="14" t="n">
        <v>60183.58</v>
      </c>
      <c r="G7647" s="6" t="s">
        <v>2613</v>
      </c>
    </row>
    <row r="7648" customFormat="false" ht="15" hidden="false" customHeight="true" outlineLevel="0" collapsed="false">
      <c r="A7648" s="6" t="s">
        <v>10260</v>
      </c>
      <c r="B7648" s="6" t="s">
        <v>1637</v>
      </c>
      <c r="C7648" s="6" t="s">
        <v>120</v>
      </c>
      <c r="D7648" s="13" t="n">
        <v>46156</v>
      </c>
      <c r="E7648" s="14" t="n">
        <v>3088.44</v>
      </c>
      <c r="F7648" s="14" t="n">
        <v>63272.02</v>
      </c>
      <c r="G7648" s="6" t="s">
        <v>2613</v>
      </c>
    </row>
    <row r="7649" customFormat="false" ht="15" hidden="false" customHeight="true" outlineLevel="0" collapsed="false">
      <c r="A7649" s="6" t="s">
        <v>10261</v>
      </c>
      <c r="B7649" s="6" t="s">
        <v>1637</v>
      </c>
      <c r="C7649" s="6" t="s">
        <v>120</v>
      </c>
      <c r="D7649" s="13" t="n">
        <v>46163</v>
      </c>
      <c r="E7649" s="14" t="n">
        <v>5332.88</v>
      </c>
      <c r="F7649" s="14" t="n">
        <v>68604.9</v>
      </c>
      <c r="G7649" s="6" t="s">
        <v>2613</v>
      </c>
    </row>
    <row r="7650" customFormat="false" ht="15" hidden="false" customHeight="true" outlineLevel="0" collapsed="false">
      <c r="A7650" s="6" t="s">
        <v>10262</v>
      </c>
      <c r="B7650" s="6" t="s">
        <v>1637</v>
      </c>
      <c r="C7650" s="6" t="s">
        <v>120</v>
      </c>
      <c r="D7650" s="13" t="n">
        <v>46170</v>
      </c>
      <c r="E7650" s="14" t="n">
        <v>4353.06</v>
      </c>
      <c r="F7650" s="14" t="n">
        <v>72957.96</v>
      </c>
      <c r="G7650" s="6" t="s">
        <v>2623</v>
      </c>
    </row>
    <row r="7651" customFormat="false" ht="15" hidden="false" customHeight="true" outlineLevel="0" collapsed="false">
      <c r="A7651" s="6" t="s">
        <v>10263</v>
      </c>
      <c r="B7651" s="6" t="s">
        <v>1637</v>
      </c>
      <c r="C7651" s="6" t="s">
        <v>120</v>
      </c>
      <c r="D7651" s="13" t="n">
        <v>46177</v>
      </c>
      <c r="E7651" s="14" t="n">
        <v>4296.26</v>
      </c>
      <c r="F7651" s="14" t="n">
        <v>77254.22</v>
      </c>
      <c r="G7651" s="6" t="s">
        <v>2613</v>
      </c>
    </row>
    <row r="7652" customFormat="false" ht="15" hidden="false" customHeight="true" outlineLevel="0" collapsed="false">
      <c r="A7652" s="6" t="s">
        <v>10264</v>
      </c>
      <c r="B7652" s="6" t="s">
        <v>1637</v>
      </c>
      <c r="C7652" s="6" t="s">
        <v>120</v>
      </c>
      <c r="D7652" s="13" t="n">
        <v>46184</v>
      </c>
      <c r="E7652" s="14" t="n">
        <v>3393.93</v>
      </c>
      <c r="F7652" s="14" t="n">
        <v>80648.15</v>
      </c>
      <c r="G7652" s="6" t="s">
        <v>2613</v>
      </c>
    </row>
    <row r="7653" customFormat="false" ht="15" hidden="false" customHeight="true" outlineLevel="0" collapsed="false">
      <c r="A7653" s="6" t="s">
        <v>10265</v>
      </c>
      <c r="B7653" s="6" t="s">
        <v>1637</v>
      </c>
      <c r="C7653" s="6" t="s">
        <v>120</v>
      </c>
      <c r="D7653" s="13" t="n">
        <v>46191</v>
      </c>
      <c r="E7653" s="14" t="n">
        <v>4783.14</v>
      </c>
      <c r="F7653" s="14" t="n">
        <v>85431.29</v>
      </c>
      <c r="G7653" s="6" t="s">
        <v>2613</v>
      </c>
    </row>
    <row r="7654" customFormat="false" ht="15" hidden="false" customHeight="true" outlineLevel="0" collapsed="false">
      <c r="A7654" s="6" t="s">
        <v>10266</v>
      </c>
      <c r="B7654" s="6" t="s">
        <v>1637</v>
      </c>
      <c r="C7654" s="6" t="s">
        <v>120</v>
      </c>
      <c r="D7654" s="13" t="n">
        <v>46198</v>
      </c>
      <c r="E7654" s="14" t="n">
        <v>4645.29</v>
      </c>
      <c r="F7654" s="14" t="n">
        <v>90076.58</v>
      </c>
      <c r="G7654" s="6" t="s">
        <v>2613</v>
      </c>
    </row>
    <row r="7655" customFormat="false" ht="15" hidden="false" customHeight="true" outlineLevel="0" collapsed="false">
      <c r="A7655" s="6" t="s">
        <v>10267</v>
      </c>
      <c r="B7655" s="6" t="s">
        <v>1637</v>
      </c>
      <c r="C7655" s="6" t="s">
        <v>120</v>
      </c>
      <c r="D7655" s="13" t="n">
        <v>46205</v>
      </c>
      <c r="E7655" s="14" t="n">
        <v>5393.39</v>
      </c>
      <c r="F7655" s="14" t="n">
        <v>95469.97</v>
      </c>
      <c r="G7655" s="6" t="s">
        <v>2613</v>
      </c>
    </row>
    <row r="7656" customFormat="false" ht="15" hidden="false" customHeight="true" outlineLevel="0" collapsed="false">
      <c r="A7656" s="6" t="s">
        <v>10268</v>
      </c>
      <c r="B7656" s="6" t="s">
        <v>1637</v>
      </c>
      <c r="C7656" s="6" t="s">
        <v>120</v>
      </c>
      <c r="D7656" s="13" t="n">
        <v>46212</v>
      </c>
      <c r="E7656" s="14" t="n">
        <v>3394.45</v>
      </c>
      <c r="F7656" s="14" t="n">
        <v>98864.42</v>
      </c>
      <c r="G7656" s="6" t="s">
        <v>2613</v>
      </c>
    </row>
    <row r="7657" customFormat="false" ht="15" hidden="false" customHeight="true" outlineLevel="0" collapsed="false">
      <c r="A7657" s="6" t="s">
        <v>10269</v>
      </c>
      <c r="B7657" s="6" t="s">
        <v>1637</v>
      </c>
      <c r="C7657" s="6" t="s">
        <v>120</v>
      </c>
      <c r="D7657" s="13" t="n">
        <v>46219</v>
      </c>
      <c r="E7657" s="14" t="n">
        <v>12137.42</v>
      </c>
      <c r="F7657" s="14" t="n">
        <v>111001.84</v>
      </c>
      <c r="G7657" s="6" t="s">
        <v>2613</v>
      </c>
    </row>
    <row r="7658" customFormat="false" ht="15" hidden="false" customHeight="true" outlineLevel="0" collapsed="false">
      <c r="A7658" s="6" t="s">
        <v>10270</v>
      </c>
      <c r="B7658" s="6" t="s">
        <v>1639</v>
      </c>
      <c r="C7658" s="6" t="s">
        <v>128</v>
      </c>
      <c r="D7658" s="13" t="n">
        <v>44927</v>
      </c>
      <c r="E7658" s="14" t="n">
        <v>3007.19</v>
      </c>
      <c r="F7658" s="14" t="n">
        <v>3007.19</v>
      </c>
      <c r="G7658" s="6" t="s">
        <v>2613</v>
      </c>
    </row>
    <row r="7659" customFormat="false" ht="15" hidden="false" customHeight="true" outlineLevel="0" collapsed="false">
      <c r="A7659" s="6" t="s">
        <v>10271</v>
      </c>
      <c r="B7659" s="6" t="s">
        <v>1639</v>
      </c>
      <c r="C7659" s="6" t="s">
        <v>128</v>
      </c>
      <c r="D7659" s="13" t="n">
        <v>44934</v>
      </c>
      <c r="E7659" s="14" t="n">
        <v>2632.44</v>
      </c>
      <c r="F7659" s="14" t="n">
        <v>5639.63</v>
      </c>
      <c r="G7659" s="6" t="s">
        <v>2613</v>
      </c>
    </row>
    <row r="7660" customFormat="false" ht="15" hidden="false" customHeight="true" outlineLevel="0" collapsed="false">
      <c r="A7660" s="6" t="s">
        <v>10272</v>
      </c>
      <c r="B7660" s="6" t="s">
        <v>1639</v>
      </c>
      <c r="C7660" s="6" t="s">
        <v>128</v>
      </c>
      <c r="D7660" s="13" t="n">
        <v>44941</v>
      </c>
      <c r="E7660" s="14" t="n">
        <v>3030.29</v>
      </c>
      <c r="F7660" s="14" t="n">
        <v>8669.92</v>
      </c>
      <c r="G7660" s="6" t="s">
        <v>2613</v>
      </c>
    </row>
    <row r="7661" customFormat="false" ht="15" hidden="false" customHeight="true" outlineLevel="0" collapsed="false">
      <c r="A7661" s="6" t="s">
        <v>10273</v>
      </c>
      <c r="B7661" s="6" t="s">
        <v>1639</v>
      </c>
      <c r="C7661" s="6" t="s">
        <v>128</v>
      </c>
      <c r="D7661" s="13" t="n">
        <v>44948</v>
      </c>
      <c r="E7661" s="14" t="n">
        <v>4447.47</v>
      </c>
      <c r="F7661" s="14" t="n">
        <v>13117.39</v>
      </c>
      <c r="G7661" s="6" t="s">
        <v>2613</v>
      </c>
    </row>
    <row r="7662" customFormat="false" ht="15" hidden="false" customHeight="true" outlineLevel="0" collapsed="false">
      <c r="A7662" s="6" t="s">
        <v>10274</v>
      </c>
      <c r="B7662" s="6" t="s">
        <v>1639</v>
      </c>
      <c r="C7662" s="6" t="s">
        <v>128</v>
      </c>
      <c r="D7662" s="13" t="n">
        <v>44955</v>
      </c>
      <c r="E7662" s="14" t="n">
        <v>2614.51</v>
      </c>
      <c r="F7662" s="14" t="n">
        <v>15731.9</v>
      </c>
      <c r="G7662" s="6" t="s">
        <v>2613</v>
      </c>
    </row>
    <row r="7663" customFormat="false" ht="15" hidden="false" customHeight="true" outlineLevel="0" collapsed="false">
      <c r="A7663" s="6" t="s">
        <v>10275</v>
      </c>
      <c r="B7663" s="6" t="s">
        <v>1639</v>
      </c>
      <c r="C7663" s="6" t="s">
        <v>128</v>
      </c>
      <c r="D7663" s="13" t="n">
        <v>44962</v>
      </c>
      <c r="E7663" s="14" t="n">
        <v>3211.22</v>
      </c>
      <c r="F7663" s="14" t="n">
        <v>18943.12</v>
      </c>
      <c r="G7663" s="6" t="s">
        <v>2613</v>
      </c>
    </row>
    <row r="7664" customFormat="false" ht="15" hidden="false" customHeight="true" outlineLevel="0" collapsed="false">
      <c r="A7664" s="6" t="s">
        <v>10276</v>
      </c>
      <c r="B7664" s="6" t="s">
        <v>1639</v>
      </c>
      <c r="C7664" s="6" t="s">
        <v>128</v>
      </c>
      <c r="D7664" s="13" t="n">
        <v>44969</v>
      </c>
      <c r="E7664" s="14" t="n">
        <v>5444.66</v>
      </c>
      <c r="F7664" s="14" t="n">
        <v>24387.78</v>
      </c>
      <c r="G7664" s="6" t="s">
        <v>2613</v>
      </c>
    </row>
    <row r="7665" customFormat="false" ht="15" hidden="false" customHeight="true" outlineLevel="0" collapsed="false">
      <c r="A7665" s="6" t="s">
        <v>10277</v>
      </c>
      <c r="B7665" s="6" t="s">
        <v>1639</v>
      </c>
      <c r="C7665" s="6" t="s">
        <v>128</v>
      </c>
      <c r="D7665" s="13" t="n">
        <v>44976</v>
      </c>
      <c r="E7665" s="14" t="n">
        <v>4404.04</v>
      </c>
      <c r="F7665" s="14" t="n">
        <v>28791.82</v>
      </c>
      <c r="G7665" s="6" t="s">
        <v>2613</v>
      </c>
    </row>
    <row r="7666" customFormat="false" ht="15" hidden="false" customHeight="true" outlineLevel="0" collapsed="false">
      <c r="A7666" s="6" t="s">
        <v>10278</v>
      </c>
      <c r="B7666" s="6" t="s">
        <v>1639</v>
      </c>
      <c r="C7666" s="6" t="s">
        <v>128</v>
      </c>
      <c r="D7666" s="13" t="n">
        <v>44983</v>
      </c>
      <c r="E7666" s="14" t="n">
        <v>5055.23</v>
      </c>
      <c r="F7666" s="14" t="n">
        <v>33847.05</v>
      </c>
      <c r="G7666" s="6" t="s">
        <v>2613</v>
      </c>
    </row>
    <row r="7667" customFormat="false" ht="15" hidden="false" customHeight="true" outlineLevel="0" collapsed="false">
      <c r="A7667" s="6" t="s">
        <v>10279</v>
      </c>
      <c r="B7667" s="6" t="s">
        <v>1639</v>
      </c>
      <c r="C7667" s="6" t="s">
        <v>128</v>
      </c>
      <c r="D7667" s="13" t="n">
        <v>44990</v>
      </c>
      <c r="E7667" s="14" t="n">
        <v>7226.51</v>
      </c>
      <c r="F7667" s="14" t="n">
        <v>41073.56</v>
      </c>
      <c r="G7667" s="6" t="s">
        <v>2613</v>
      </c>
    </row>
    <row r="7668" customFormat="false" ht="15" hidden="false" customHeight="true" outlineLevel="0" collapsed="false">
      <c r="A7668" s="6" t="s">
        <v>10280</v>
      </c>
      <c r="B7668" s="6" t="s">
        <v>1641</v>
      </c>
      <c r="C7668" s="6" t="s">
        <v>131</v>
      </c>
      <c r="D7668" s="13" t="n">
        <v>45980</v>
      </c>
      <c r="E7668" s="14" t="n">
        <v>14260.13</v>
      </c>
      <c r="F7668" s="14" t="n">
        <v>14260.13</v>
      </c>
      <c r="G7668" s="6" t="s">
        <v>2623</v>
      </c>
    </row>
    <row r="7669" customFormat="false" ht="15" hidden="false" customHeight="true" outlineLevel="0" collapsed="false">
      <c r="A7669" s="6" t="s">
        <v>10281</v>
      </c>
      <c r="B7669" s="6" t="s">
        <v>1641</v>
      </c>
      <c r="C7669" s="6" t="s">
        <v>131</v>
      </c>
      <c r="D7669" s="13" t="n">
        <v>45987</v>
      </c>
      <c r="E7669" s="14" t="n">
        <v>7651.9</v>
      </c>
      <c r="F7669" s="14" t="n">
        <v>21912.03</v>
      </c>
      <c r="G7669" s="6" t="s">
        <v>2613</v>
      </c>
    </row>
    <row r="7670" customFormat="false" ht="15" hidden="false" customHeight="true" outlineLevel="0" collapsed="false">
      <c r="A7670" s="6" t="s">
        <v>10282</v>
      </c>
      <c r="B7670" s="6" t="s">
        <v>1641</v>
      </c>
      <c r="C7670" s="6" t="s">
        <v>131</v>
      </c>
      <c r="D7670" s="13" t="n">
        <v>45994</v>
      </c>
      <c r="E7670" s="14" t="n">
        <v>8688.48</v>
      </c>
      <c r="F7670" s="14" t="n">
        <v>30600.51</v>
      </c>
      <c r="G7670" s="6" t="s">
        <v>2613</v>
      </c>
    </row>
    <row r="7671" customFormat="false" ht="15" hidden="false" customHeight="true" outlineLevel="0" collapsed="false">
      <c r="A7671" s="6" t="s">
        <v>10283</v>
      </c>
      <c r="B7671" s="6" t="s">
        <v>1641</v>
      </c>
      <c r="C7671" s="6" t="s">
        <v>131</v>
      </c>
      <c r="D7671" s="13" t="n">
        <v>46001</v>
      </c>
      <c r="E7671" s="14" t="n">
        <v>10319.1</v>
      </c>
      <c r="F7671" s="14" t="n">
        <v>40919.61</v>
      </c>
      <c r="G7671" s="6" t="s">
        <v>2613</v>
      </c>
    </row>
    <row r="7672" customFormat="false" ht="15" hidden="false" customHeight="true" outlineLevel="0" collapsed="false">
      <c r="A7672" s="6" t="s">
        <v>10284</v>
      </c>
      <c r="B7672" s="6" t="s">
        <v>1643</v>
      </c>
      <c r="C7672" s="6" t="s">
        <v>116</v>
      </c>
      <c r="D7672" s="13" t="n">
        <v>45246</v>
      </c>
      <c r="E7672" s="14" t="n">
        <v>3205.9</v>
      </c>
      <c r="F7672" s="14" t="n">
        <v>3205.9</v>
      </c>
      <c r="G7672" s="6" t="s">
        <v>2613</v>
      </c>
    </row>
    <row r="7673" customFormat="false" ht="15" hidden="false" customHeight="true" outlineLevel="0" collapsed="false">
      <c r="A7673" s="6" t="s">
        <v>10285</v>
      </c>
      <c r="B7673" s="6" t="s">
        <v>1643</v>
      </c>
      <c r="C7673" s="6" t="s">
        <v>116</v>
      </c>
      <c r="D7673" s="13" t="n">
        <v>45253</v>
      </c>
      <c r="E7673" s="14" t="n">
        <v>1939.42</v>
      </c>
      <c r="F7673" s="14" t="n">
        <v>5145.32</v>
      </c>
      <c r="G7673" s="6" t="s">
        <v>2613</v>
      </c>
    </row>
    <row r="7674" customFormat="false" ht="15" hidden="false" customHeight="true" outlineLevel="0" collapsed="false">
      <c r="A7674" s="6" t="s">
        <v>10286</v>
      </c>
      <c r="B7674" s="6" t="s">
        <v>1643</v>
      </c>
      <c r="C7674" s="6" t="s">
        <v>116</v>
      </c>
      <c r="D7674" s="13" t="n">
        <v>45260</v>
      </c>
      <c r="E7674" s="14" t="n">
        <v>2882.51</v>
      </c>
      <c r="F7674" s="14" t="n">
        <v>8027.83</v>
      </c>
      <c r="G7674" s="6" t="s">
        <v>2613</v>
      </c>
    </row>
    <row r="7675" customFormat="false" ht="15" hidden="false" customHeight="true" outlineLevel="0" collapsed="false">
      <c r="A7675" s="6" t="s">
        <v>10287</v>
      </c>
      <c r="B7675" s="6" t="s">
        <v>1643</v>
      </c>
      <c r="C7675" s="6" t="s">
        <v>116</v>
      </c>
      <c r="D7675" s="13" t="n">
        <v>45267</v>
      </c>
      <c r="E7675" s="14" t="n">
        <v>3519.03</v>
      </c>
      <c r="F7675" s="14" t="n">
        <v>11546.86</v>
      </c>
      <c r="G7675" s="6" t="s">
        <v>2613</v>
      </c>
    </row>
    <row r="7676" customFormat="false" ht="15" hidden="false" customHeight="true" outlineLevel="0" collapsed="false">
      <c r="A7676" s="6" t="s">
        <v>10288</v>
      </c>
      <c r="B7676" s="6" t="s">
        <v>1643</v>
      </c>
      <c r="C7676" s="6" t="s">
        <v>116</v>
      </c>
      <c r="D7676" s="13" t="n">
        <v>45274</v>
      </c>
      <c r="E7676" s="14" t="n">
        <v>2031.62</v>
      </c>
      <c r="F7676" s="14" t="n">
        <v>13578.48</v>
      </c>
      <c r="G7676" s="6" t="s">
        <v>2613</v>
      </c>
    </row>
    <row r="7677" customFormat="false" ht="15" hidden="false" customHeight="true" outlineLevel="0" collapsed="false">
      <c r="A7677" s="6" t="s">
        <v>10289</v>
      </c>
      <c r="B7677" s="6" t="s">
        <v>1643</v>
      </c>
      <c r="C7677" s="6" t="s">
        <v>116</v>
      </c>
      <c r="D7677" s="13" t="n">
        <v>45281</v>
      </c>
      <c r="E7677" s="14" t="n">
        <v>2204.52</v>
      </c>
      <c r="F7677" s="14" t="n">
        <v>15783</v>
      </c>
      <c r="G7677" s="6" t="s">
        <v>2613</v>
      </c>
    </row>
    <row r="7678" customFormat="false" ht="15" hidden="false" customHeight="true" outlineLevel="0" collapsed="false">
      <c r="A7678" s="6" t="s">
        <v>10290</v>
      </c>
      <c r="B7678" s="6" t="s">
        <v>1643</v>
      </c>
      <c r="C7678" s="6" t="s">
        <v>116</v>
      </c>
      <c r="D7678" s="13" t="n">
        <v>45288</v>
      </c>
      <c r="E7678" s="14" t="n">
        <v>3457.2</v>
      </c>
      <c r="F7678" s="14" t="n">
        <v>19240.2</v>
      </c>
      <c r="G7678" s="6" t="s">
        <v>2613</v>
      </c>
    </row>
    <row r="7679" customFormat="false" ht="15" hidden="false" customHeight="true" outlineLevel="0" collapsed="false">
      <c r="A7679" s="6" t="s">
        <v>10291</v>
      </c>
      <c r="B7679" s="6" t="s">
        <v>1643</v>
      </c>
      <c r="C7679" s="6" t="s">
        <v>116</v>
      </c>
      <c r="D7679" s="13" t="n">
        <v>45295</v>
      </c>
      <c r="E7679" s="14" t="n">
        <v>2028.42</v>
      </c>
      <c r="F7679" s="14" t="n">
        <v>21268.62</v>
      </c>
      <c r="G7679" s="6" t="s">
        <v>2613</v>
      </c>
    </row>
    <row r="7680" customFormat="false" ht="15" hidden="false" customHeight="true" outlineLevel="0" collapsed="false">
      <c r="A7680" s="6" t="s">
        <v>10292</v>
      </c>
      <c r="B7680" s="6" t="s">
        <v>1643</v>
      </c>
      <c r="C7680" s="6" t="s">
        <v>116</v>
      </c>
      <c r="D7680" s="13" t="n">
        <v>45302</v>
      </c>
      <c r="E7680" s="14" t="n">
        <v>1871.55</v>
      </c>
      <c r="F7680" s="14" t="n">
        <v>23140.17</v>
      </c>
      <c r="G7680" s="6" t="s">
        <v>2623</v>
      </c>
    </row>
    <row r="7681" customFormat="false" ht="15" hidden="false" customHeight="true" outlineLevel="0" collapsed="false">
      <c r="A7681" s="6" t="s">
        <v>10293</v>
      </c>
      <c r="B7681" s="6" t="s">
        <v>1643</v>
      </c>
      <c r="C7681" s="6" t="s">
        <v>116</v>
      </c>
      <c r="D7681" s="13" t="n">
        <v>45309</v>
      </c>
      <c r="E7681" s="14" t="n">
        <v>2420.33</v>
      </c>
      <c r="F7681" s="14" t="n">
        <v>25560.5</v>
      </c>
      <c r="G7681" s="6" t="s">
        <v>2613</v>
      </c>
    </row>
    <row r="7682" customFormat="false" ht="15" hidden="false" customHeight="true" outlineLevel="0" collapsed="false">
      <c r="A7682" s="6" t="s">
        <v>10294</v>
      </c>
      <c r="B7682" s="6" t="s">
        <v>1643</v>
      </c>
      <c r="C7682" s="6" t="s">
        <v>116</v>
      </c>
      <c r="D7682" s="13" t="n">
        <v>45316</v>
      </c>
      <c r="E7682" s="14" t="n">
        <v>2048.55</v>
      </c>
      <c r="F7682" s="14" t="n">
        <v>27609.05</v>
      </c>
      <c r="G7682" s="6" t="s">
        <v>2613</v>
      </c>
    </row>
    <row r="7683" customFormat="false" ht="15" hidden="false" customHeight="true" outlineLevel="0" collapsed="false">
      <c r="A7683" s="6" t="s">
        <v>10295</v>
      </c>
      <c r="B7683" s="6" t="s">
        <v>1643</v>
      </c>
      <c r="C7683" s="6" t="s">
        <v>116</v>
      </c>
      <c r="D7683" s="13" t="n">
        <v>45323</v>
      </c>
      <c r="E7683" s="14" t="n">
        <v>2391.24</v>
      </c>
      <c r="F7683" s="14" t="n">
        <v>30000.29</v>
      </c>
      <c r="G7683" s="6" t="s">
        <v>2613</v>
      </c>
    </row>
    <row r="7684" customFormat="false" ht="15" hidden="false" customHeight="true" outlineLevel="0" collapsed="false">
      <c r="A7684" s="6" t="s">
        <v>10296</v>
      </c>
      <c r="B7684" s="6" t="s">
        <v>1643</v>
      </c>
      <c r="C7684" s="6" t="s">
        <v>116</v>
      </c>
      <c r="D7684" s="13" t="n">
        <v>45330</v>
      </c>
      <c r="E7684" s="14" t="n">
        <v>5321.79</v>
      </c>
      <c r="F7684" s="14" t="n">
        <v>35322.08</v>
      </c>
      <c r="G7684" s="6" t="s">
        <v>2613</v>
      </c>
    </row>
    <row r="7685" customFormat="false" ht="15" hidden="false" customHeight="true" outlineLevel="0" collapsed="false">
      <c r="A7685" s="6" t="s">
        <v>10297</v>
      </c>
      <c r="B7685" s="6" t="s">
        <v>1645</v>
      </c>
      <c r="C7685" s="6" t="s">
        <v>120</v>
      </c>
      <c r="D7685" s="13" t="n">
        <v>45273</v>
      </c>
      <c r="E7685" s="14" t="n">
        <v>4211.94</v>
      </c>
      <c r="F7685" s="14" t="n">
        <v>4211.94</v>
      </c>
      <c r="G7685" s="6" t="s">
        <v>2613</v>
      </c>
    </row>
    <row r="7686" customFormat="false" ht="15" hidden="false" customHeight="true" outlineLevel="0" collapsed="false">
      <c r="A7686" s="6" t="s">
        <v>10298</v>
      </c>
      <c r="B7686" s="6" t="s">
        <v>1645</v>
      </c>
      <c r="C7686" s="6" t="s">
        <v>120</v>
      </c>
      <c r="D7686" s="13" t="n">
        <v>45280</v>
      </c>
      <c r="E7686" s="14" t="n">
        <v>4253.86</v>
      </c>
      <c r="F7686" s="14" t="n">
        <v>8465.8</v>
      </c>
      <c r="G7686" s="6" t="s">
        <v>2613</v>
      </c>
    </row>
    <row r="7687" customFormat="false" ht="15" hidden="false" customHeight="true" outlineLevel="0" collapsed="false">
      <c r="A7687" s="6" t="s">
        <v>10299</v>
      </c>
      <c r="B7687" s="6" t="s">
        <v>1645</v>
      </c>
      <c r="C7687" s="6" t="s">
        <v>120</v>
      </c>
      <c r="D7687" s="13" t="n">
        <v>45287</v>
      </c>
      <c r="E7687" s="14" t="n">
        <v>3429.66</v>
      </c>
      <c r="F7687" s="14" t="n">
        <v>11895.46</v>
      </c>
      <c r="G7687" s="6" t="s">
        <v>2613</v>
      </c>
    </row>
    <row r="7688" customFormat="false" ht="15" hidden="false" customHeight="true" outlineLevel="0" collapsed="false">
      <c r="A7688" s="6" t="s">
        <v>10300</v>
      </c>
      <c r="B7688" s="6" t="s">
        <v>1645</v>
      </c>
      <c r="C7688" s="6" t="s">
        <v>120</v>
      </c>
      <c r="D7688" s="13" t="n">
        <v>45294</v>
      </c>
      <c r="E7688" s="14" t="n">
        <v>3799.5</v>
      </c>
      <c r="F7688" s="14" t="n">
        <v>15694.96</v>
      </c>
      <c r="G7688" s="6" t="s">
        <v>2613</v>
      </c>
    </row>
    <row r="7689" customFormat="false" ht="15" hidden="false" customHeight="true" outlineLevel="0" collapsed="false">
      <c r="A7689" s="6" t="s">
        <v>10301</v>
      </c>
      <c r="B7689" s="6" t="s">
        <v>1645</v>
      </c>
      <c r="C7689" s="6" t="s">
        <v>120</v>
      </c>
      <c r="D7689" s="13" t="n">
        <v>45301</v>
      </c>
      <c r="E7689" s="14" t="n">
        <v>3540.52</v>
      </c>
      <c r="F7689" s="14" t="n">
        <v>19235.48</v>
      </c>
      <c r="G7689" s="6" t="s">
        <v>2613</v>
      </c>
    </row>
    <row r="7690" customFormat="false" ht="15" hidden="false" customHeight="true" outlineLevel="0" collapsed="false">
      <c r="A7690" s="6" t="s">
        <v>10302</v>
      </c>
      <c r="B7690" s="6" t="s">
        <v>1645</v>
      </c>
      <c r="C7690" s="6" t="s">
        <v>120</v>
      </c>
      <c r="D7690" s="13" t="n">
        <v>45308</v>
      </c>
      <c r="E7690" s="14" t="n">
        <v>2937.19</v>
      </c>
      <c r="F7690" s="14" t="n">
        <v>22172.67</v>
      </c>
      <c r="G7690" s="6" t="s">
        <v>2623</v>
      </c>
    </row>
    <row r="7691" customFormat="false" ht="15" hidden="false" customHeight="true" outlineLevel="0" collapsed="false">
      <c r="A7691" s="6" t="s">
        <v>10303</v>
      </c>
      <c r="B7691" s="6" t="s">
        <v>1645</v>
      </c>
      <c r="C7691" s="6" t="s">
        <v>120</v>
      </c>
      <c r="D7691" s="13" t="n">
        <v>45315</v>
      </c>
      <c r="E7691" s="14" t="n">
        <v>4679.39</v>
      </c>
      <c r="F7691" s="14" t="n">
        <v>26852.06</v>
      </c>
      <c r="G7691" s="6" t="s">
        <v>2613</v>
      </c>
    </row>
    <row r="7692" customFormat="false" ht="15" hidden="false" customHeight="true" outlineLevel="0" collapsed="false">
      <c r="A7692" s="6" t="s">
        <v>10304</v>
      </c>
      <c r="B7692" s="6" t="s">
        <v>1645</v>
      </c>
      <c r="C7692" s="6" t="s">
        <v>120</v>
      </c>
      <c r="D7692" s="13" t="n">
        <v>45322</v>
      </c>
      <c r="E7692" s="14" t="n">
        <v>2514.54</v>
      </c>
      <c r="F7692" s="14" t="n">
        <v>29366.6</v>
      </c>
      <c r="G7692" s="6" t="s">
        <v>2613</v>
      </c>
    </row>
    <row r="7693" customFormat="false" ht="15" hidden="false" customHeight="true" outlineLevel="0" collapsed="false">
      <c r="A7693" s="6" t="s">
        <v>10305</v>
      </c>
      <c r="B7693" s="6" t="s">
        <v>1647</v>
      </c>
      <c r="C7693" s="6" t="s">
        <v>124</v>
      </c>
      <c r="D7693" s="13" t="n">
        <v>45096</v>
      </c>
      <c r="E7693" s="14" t="n">
        <v>3730.63</v>
      </c>
      <c r="F7693" s="14" t="n">
        <v>3730.63</v>
      </c>
      <c r="G7693" s="6" t="s">
        <v>2613</v>
      </c>
    </row>
    <row r="7694" customFormat="false" ht="15" hidden="false" customHeight="true" outlineLevel="0" collapsed="false">
      <c r="A7694" s="6" t="s">
        <v>10306</v>
      </c>
      <c r="B7694" s="6" t="s">
        <v>1647</v>
      </c>
      <c r="C7694" s="6" t="s">
        <v>124</v>
      </c>
      <c r="D7694" s="13" t="n">
        <v>45103</v>
      </c>
      <c r="E7694" s="14" t="n">
        <v>2213.23</v>
      </c>
      <c r="F7694" s="14" t="n">
        <v>5943.86</v>
      </c>
      <c r="G7694" s="6" t="s">
        <v>2613</v>
      </c>
    </row>
    <row r="7695" customFormat="false" ht="15" hidden="false" customHeight="true" outlineLevel="0" collapsed="false">
      <c r="A7695" s="6" t="s">
        <v>10307</v>
      </c>
      <c r="B7695" s="6" t="s">
        <v>1647</v>
      </c>
      <c r="C7695" s="6" t="s">
        <v>124</v>
      </c>
      <c r="D7695" s="13" t="n">
        <v>45110</v>
      </c>
      <c r="E7695" s="14" t="n">
        <v>4094.01</v>
      </c>
      <c r="F7695" s="14" t="n">
        <v>10037.87</v>
      </c>
      <c r="G7695" s="6" t="s">
        <v>2613</v>
      </c>
    </row>
    <row r="7696" customFormat="false" ht="15" hidden="false" customHeight="true" outlineLevel="0" collapsed="false">
      <c r="A7696" s="6" t="s">
        <v>10308</v>
      </c>
      <c r="B7696" s="6" t="s">
        <v>1647</v>
      </c>
      <c r="C7696" s="6" t="s">
        <v>124</v>
      </c>
      <c r="D7696" s="13" t="n">
        <v>45117</v>
      </c>
      <c r="E7696" s="14" t="n">
        <v>2393.88</v>
      </c>
      <c r="F7696" s="14" t="n">
        <v>12431.75</v>
      </c>
      <c r="G7696" s="6" t="s">
        <v>2613</v>
      </c>
    </row>
    <row r="7697" customFormat="false" ht="15" hidden="false" customHeight="true" outlineLevel="0" collapsed="false">
      <c r="A7697" s="6" t="s">
        <v>10309</v>
      </c>
      <c r="B7697" s="6" t="s">
        <v>1647</v>
      </c>
      <c r="C7697" s="6" t="s">
        <v>124</v>
      </c>
      <c r="D7697" s="13" t="n">
        <v>45124</v>
      </c>
      <c r="E7697" s="14" t="n">
        <v>2874.2</v>
      </c>
      <c r="F7697" s="14" t="n">
        <v>15305.95</v>
      </c>
      <c r="G7697" s="6" t="s">
        <v>2623</v>
      </c>
    </row>
    <row r="7698" customFormat="false" ht="15" hidden="false" customHeight="true" outlineLevel="0" collapsed="false">
      <c r="A7698" s="6" t="s">
        <v>10310</v>
      </c>
      <c r="B7698" s="6" t="s">
        <v>1647</v>
      </c>
      <c r="C7698" s="6" t="s">
        <v>124</v>
      </c>
      <c r="D7698" s="13" t="n">
        <v>45131</v>
      </c>
      <c r="E7698" s="14" t="n">
        <v>3877.92</v>
      </c>
      <c r="F7698" s="14" t="n">
        <v>19183.87</v>
      </c>
      <c r="G7698" s="6" t="s">
        <v>2613</v>
      </c>
    </row>
    <row r="7699" customFormat="false" ht="15" hidden="false" customHeight="true" outlineLevel="0" collapsed="false">
      <c r="A7699" s="6" t="s">
        <v>10311</v>
      </c>
      <c r="B7699" s="6" t="s">
        <v>1647</v>
      </c>
      <c r="C7699" s="6" t="s">
        <v>124</v>
      </c>
      <c r="D7699" s="13" t="n">
        <v>45138</v>
      </c>
      <c r="E7699" s="14" t="n">
        <v>3278.58</v>
      </c>
      <c r="F7699" s="14" t="n">
        <v>22462.45</v>
      </c>
      <c r="G7699" s="6" t="s">
        <v>2613</v>
      </c>
    </row>
    <row r="7700" customFormat="false" ht="15" hidden="false" customHeight="true" outlineLevel="0" collapsed="false">
      <c r="A7700" s="6" t="s">
        <v>10312</v>
      </c>
      <c r="B7700" s="6" t="s">
        <v>1647</v>
      </c>
      <c r="C7700" s="6" t="s">
        <v>124</v>
      </c>
      <c r="D7700" s="13" t="n">
        <v>45145</v>
      </c>
      <c r="E7700" s="14" t="n">
        <v>2884.76</v>
      </c>
      <c r="F7700" s="14" t="n">
        <v>25347.21</v>
      </c>
      <c r="G7700" s="6" t="s">
        <v>2613</v>
      </c>
    </row>
    <row r="7701" customFormat="false" ht="15" hidden="false" customHeight="true" outlineLevel="0" collapsed="false">
      <c r="A7701" s="6" t="s">
        <v>10313</v>
      </c>
      <c r="B7701" s="6" t="s">
        <v>1647</v>
      </c>
      <c r="C7701" s="6" t="s">
        <v>124</v>
      </c>
      <c r="D7701" s="13" t="n">
        <v>45152</v>
      </c>
      <c r="E7701" s="14" t="n">
        <v>1968.82</v>
      </c>
      <c r="F7701" s="14" t="n">
        <v>27316.03</v>
      </c>
      <c r="G7701" s="6" t="s">
        <v>2613</v>
      </c>
    </row>
    <row r="7702" customFormat="false" ht="15" hidden="false" customHeight="true" outlineLevel="0" collapsed="false">
      <c r="A7702" s="6" t="s">
        <v>10314</v>
      </c>
      <c r="B7702" s="6" t="s">
        <v>1647</v>
      </c>
      <c r="C7702" s="6" t="s">
        <v>124</v>
      </c>
      <c r="D7702" s="13" t="n">
        <v>45159</v>
      </c>
      <c r="E7702" s="14" t="n">
        <v>3092.71</v>
      </c>
      <c r="F7702" s="14" t="n">
        <v>30408.74</v>
      </c>
      <c r="G7702" s="6" t="s">
        <v>2613</v>
      </c>
    </row>
    <row r="7703" customFormat="false" ht="15" hidden="false" customHeight="true" outlineLevel="0" collapsed="false">
      <c r="A7703" s="6" t="s">
        <v>10315</v>
      </c>
      <c r="B7703" s="6" t="s">
        <v>1649</v>
      </c>
      <c r="C7703" s="6" t="s">
        <v>131</v>
      </c>
      <c r="D7703" s="13" t="n">
        <v>46126</v>
      </c>
      <c r="E7703" s="14" t="n">
        <v>2989.01</v>
      </c>
      <c r="F7703" s="14" t="n">
        <v>2989.01</v>
      </c>
      <c r="G7703" s="6" t="s">
        <v>2613</v>
      </c>
    </row>
    <row r="7704" customFormat="false" ht="15" hidden="false" customHeight="true" outlineLevel="0" collapsed="false">
      <c r="A7704" s="6" t="s">
        <v>10316</v>
      </c>
      <c r="B7704" s="6" t="s">
        <v>1649</v>
      </c>
      <c r="C7704" s="6" t="s">
        <v>131</v>
      </c>
      <c r="D7704" s="13" t="n">
        <v>46133</v>
      </c>
      <c r="E7704" s="14" t="n">
        <v>2474.23</v>
      </c>
      <c r="F7704" s="14" t="n">
        <v>5463.24</v>
      </c>
      <c r="G7704" s="6" t="s">
        <v>2613</v>
      </c>
    </row>
    <row r="7705" customFormat="false" ht="15" hidden="false" customHeight="true" outlineLevel="0" collapsed="false">
      <c r="A7705" s="6" t="s">
        <v>10317</v>
      </c>
      <c r="B7705" s="6" t="s">
        <v>1649</v>
      </c>
      <c r="C7705" s="6" t="s">
        <v>131</v>
      </c>
      <c r="D7705" s="13" t="n">
        <v>46140</v>
      </c>
      <c r="E7705" s="14" t="n">
        <v>2005.4</v>
      </c>
      <c r="F7705" s="14" t="n">
        <v>7468.64</v>
      </c>
      <c r="G7705" s="6" t="s">
        <v>2613</v>
      </c>
    </row>
    <row r="7706" customFormat="false" ht="15" hidden="false" customHeight="true" outlineLevel="0" collapsed="false">
      <c r="A7706" s="6" t="s">
        <v>10318</v>
      </c>
      <c r="B7706" s="6" t="s">
        <v>1649</v>
      </c>
      <c r="C7706" s="6" t="s">
        <v>131</v>
      </c>
      <c r="D7706" s="13" t="n">
        <v>46147</v>
      </c>
      <c r="E7706" s="14" t="n">
        <v>3193.56</v>
      </c>
      <c r="F7706" s="14" t="n">
        <v>10662.2</v>
      </c>
      <c r="G7706" s="6" t="s">
        <v>2613</v>
      </c>
    </row>
    <row r="7707" customFormat="false" ht="15" hidden="false" customHeight="true" outlineLevel="0" collapsed="false">
      <c r="A7707" s="6" t="s">
        <v>10319</v>
      </c>
      <c r="B7707" s="6" t="s">
        <v>1649</v>
      </c>
      <c r="C7707" s="6" t="s">
        <v>131</v>
      </c>
      <c r="D7707" s="13" t="n">
        <v>46154</v>
      </c>
      <c r="E7707" s="14" t="n">
        <v>2652.61</v>
      </c>
      <c r="F7707" s="14" t="n">
        <v>13314.81</v>
      </c>
      <c r="G7707" s="6" t="s">
        <v>2623</v>
      </c>
    </row>
    <row r="7708" customFormat="false" ht="15" hidden="false" customHeight="true" outlineLevel="0" collapsed="false">
      <c r="A7708" s="6" t="s">
        <v>10320</v>
      </c>
      <c r="B7708" s="6" t="s">
        <v>1649</v>
      </c>
      <c r="C7708" s="6" t="s">
        <v>131</v>
      </c>
      <c r="D7708" s="13" t="n">
        <v>46161</v>
      </c>
      <c r="E7708" s="14" t="n">
        <v>2120.43</v>
      </c>
      <c r="F7708" s="14" t="n">
        <v>15435.24</v>
      </c>
      <c r="G7708" s="6" t="s">
        <v>2613</v>
      </c>
    </row>
    <row r="7709" customFormat="false" ht="15" hidden="false" customHeight="true" outlineLevel="0" collapsed="false">
      <c r="A7709" s="6" t="s">
        <v>10321</v>
      </c>
      <c r="B7709" s="6" t="s">
        <v>1649</v>
      </c>
      <c r="C7709" s="6" t="s">
        <v>131</v>
      </c>
      <c r="D7709" s="13" t="n">
        <v>46168</v>
      </c>
      <c r="E7709" s="14" t="n">
        <v>2180</v>
      </c>
      <c r="F7709" s="14" t="n">
        <v>17615.24</v>
      </c>
      <c r="G7709" s="6" t="s">
        <v>2613</v>
      </c>
    </row>
    <row r="7710" customFormat="false" ht="15" hidden="false" customHeight="true" outlineLevel="0" collapsed="false">
      <c r="A7710" s="6" t="s">
        <v>10322</v>
      </c>
      <c r="B7710" s="6" t="s">
        <v>1649</v>
      </c>
      <c r="C7710" s="6" t="s">
        <v>131</v>
      </c>
      <c r="D7710" s="13" t="n">
        <v>46175</v>
      </c>
      <c r="E7710" s="14" t="n">
        <v>3048.18</v>
      </c>
      <c r="F7710" s="14" t="n">
        <v>20663.42</v>
      </c>
      <c r="G7710" s="6" t="s">
        <v>2613</v>
      </c>
    </row>
    <row r="7711" customFormat="false" ht="15" hidden="false" customHeight="true" outlineLevel="0" collapsed="false">
      <c r="A7711" s="6" t="s">
        <v>10323</v>
      </c>
      <c r="B7711" s="6" t="s">
        <v>1649</v>
      </c>
      <c r="C7711" s="6" t="s">
        <v>131</v>
      </c>
      <c r="D7711" s="13" t="n">
        <v>46182</v>
      </c>
      <c r="E7711" s="14" t="n">
        <v>1753.68</v>
      </c>
      <c r="F7711" s="14" t="n">
        <v>22417.1</v>
      </c>
      <c r="G7711" s="6" t="s">
        <v>2613</v>
      </c>
    </row>
    <row r="7712" customFormat="false" ht="15" hidden="false" customHeight="true" outlineLevel="0" collapsed="false">
      <c r="A7712" s="6" t="s">
        <v>10324</v>
      </c>
      <c r="B7712" s="6" t="s">
        <v>1649</v>
      </c>
      <c r="C7712" s="6" t="s">
        <v>131</v>
      </c>
      <c r="D7712" s="13" t="n">
        <v>46189</v>
      </c>
      <c r="E7712" s="14" t="n">
        <v>1623.66</v>
      </c>
      <c r="F7712" s="14" t="n">
        <v>24040.76</v>
      </c>
      <c r="G7712" s="6" t="s">
        <v>2613</v>
      </c>
    </row>
    <row r="7713" customFormat="false" ht="15" hidden="false" customHeight="true" outlineLevel="0" collapsed="false">
      <c r="A7713" s="6" t="s">
        <v>10325</v>
      </c>
      <c r="B7713" s="6" t="s">
        <v>1649</v>
      </c>
      <c r="C7713" s="6" t="s">
        <v>131</v>
      </c>
      <c r="D7713" s="13" t="n">
        <v>46196</v>
      </c>
      <c r="E7713" s="14" t="n">
        <v>2313.82</v>
      </c>
      <c r="F7713" s="14" t="n">
        <v>26354.58</v>
      </c>
      <c r="G7713" s="6" t="s">
        <v>2613</v>
      </c>
    </row>
    <row r="7714" customFormat="false" ht="15" hidden="false" customHeight="true" outlineLevel="0" collapsed="false">
      <c r="A7714" s="6" t="s">
        <v>10326</v>
      </c>
      <c r="B7714" s="6" t="s">
        <v>1649</v>
      </c>
      <c r="C7714" s="6" t="s">
        <v>131</v>
      </c>
      <c r="D7714" s="13" t="n">
        <v>46203</v>
      </c>
      <c r="E7714" s="14" t="n">
        <v>2257.34</v>
      </c>
      <c r="F7714" s="14" t="n">
        <v>28611.92</v>
      </c>
      <c r="G7714" s="6" t="s">
        <v>2613</v>
      </c>
    </row>
    <row r="7715" customFormat="false" ht="15" hidden="false" customHeight="true" outlineLevel="0" collapsed="false">
      <c r="A7715" s="6" t="s">
        <v>10327</v>
      </c>
      <c r="B7715" s="6" t="s">
        <v>1649</v>
      </c>
      <c r="C7715" s="6" t="s">
        <v>131</v>
      </c>
      <c r="D7715" s="13" t="n">
        <v>46210</v>
      </c>
      <c r="E7715" s="14" t="n">
        <v>2569.57</v>
      </c>
      <c r="F7715" s="14" t="n">
        <v>31181.49</v>
      </c>
      <c r="G7715" s="6" t="s">
        <v>2623</v>
      </c>
    </row>
    <row r="7716" customFormat="false" ht="15" hidden="false" customHeight="true" outlineLevel="0" collapsed="false">
      <c r="A7716" s="6" t="s">
        <v>10328</v>
      </c>
      <c r="B7716" s="6" t="s">
        <v>1649</v>
      </c>
      <c r="C7716" s="6" t="s">
        <v>131</v>
      </c>
      <c r="D7716" s="13" t="n">
        <v>46217</v>
      </c>
      <c r="E7716" s="14" t="n">
        <v>2781.66</v>
      </c>
      <c r="F7716" s="14" t="n">
        <v>33963.15</v>
      </c>
      <c r="G7716" s="6" t="s">
        <v>2613</v>
      </c>
    </row>
    <row r="7717" customFormat="false" ht="15" hidden="false" customHeight="true" outlineLevel="0" collapsed="false">
      <c r="A7717" s="6" t="s">
        <v>10329</v>
      </c>
      <c r="B7717" s="6" t="s">
        <v>1649</v>
      </c>
      <c r="C7717" s="6" t="s">
        <v>131</v>
      </c>
      <c r="D7717" s="13" t="n">
        <v>46224</v>
      </c>
      <c r="E7717" s="14" t="n">
        <v>1466.83</v>
      </c>
      <c r="F7717" s="14" t="n">
        <v>35429.98</v>
      </c>
      <c r="G7717" s="6" t="s">
        <v>2613</v>
      </c>
    </row>
    <row r="7718" customFormat="false" ht="15" hidden="false" customHeight="true" outlineLevel="0" collapsed="false">
      <c r="A7718" s="6" t="s">
        <v>10330</v>
      </c>
      <c r="B7718" s="6" t="s">
        <v>1649</v>
      </c>
      <c r="C7718" s="6" t="s">
        <v>131</v>
      </c>
      <c r="D7718" s="13" t="n">
        <v>46231</v>
      </c>
      <c r="E7718" s="14" t="n">
        <v>2458.68</v>
      </c>
      <c r="F7718" s="14" t="n">
        <v>37888.66</v>
      </c>
      <c r="G7718" s="6" t="s">
        <v>2613</v>
      </c>
    </row>
    <row r="7719" customFormat="false" ht="15" hidden="false" customHeight="true" outlineLevel="0" collapsed="false">
      <c r="A7719" s="6" t="s">
        <v>10331</v>
      </c>
      <c r="B7719" s="6" t="s">
        <v>1651</v>
      </c>
      <c r="C7719" s="6" t="s">
        <v>112</v>
      </c>
      <c r="D7719" s="13" t="n">
        <v>45767</v>
      </c>
      <c r="E7719" s="14" t="n">
        <v>4071.4</v>
      </c>
      <c r="F7719" s="14" t="n">
        <v>4071.4</v>
      </c>
      <c r="G7719" s="6" t="s">
        <v>2613</v>
      </c>
    </row>
    <row r="7720" customFormat="false" ht="15" hidden="false" customHeight="true" outlineLevel="0" collapsed="false">
      <c r="A7720" s="6" t="s">
        <v>10332</v>
      </c>
      <c r="B7720" s="6" t="s">
        <v>1651</v>
      </c>
      <c r="C7720" s="6" t="s">
        <v>112</v>
      </c>
      <c r="D7720" s="13" t="n">
        <v>45774</v>
      </c>
      <c r="E7720" s="14" t="n">
        <v>3385.73</v>
      </c>
      <c r="F7720" s="14" t="n">
        <v>7457.13</v>
      </c>
      <c r="G7720" s="6" t="s">
        <v>2613</v>
      </c>
    </row>
    <row r="7721" customFormat="false" ht="15" hidden="false" customHeight="true" outlineLevel="0" collapsed="false">
      <c r="A7721" s="6" t="s">
        <v>10333</v>
      </c>
      <c r="B7721" s="6" t="s">
        <v>1651</v>
      </c>
      <c r="C7721" s="6" t="s">
        <v>112</v>
      </c>
      <c r="D7721" s="13" t="n">
        <v>45781</v>
      </c>
      <c r="E7721" s="14" t="n">
        <v>2528.16</v>
      </c>
      <c r="F7721" s="14" t="n">
        <v>9985.29</v>
      </c>
      <c r="G7721" s="6" t="s">
        <v>2613</v>
      </c>
    </row>
    <row r="7722" customFormat="false" ht="15" hidden="false" customHeight="true" outlineLevel="0" collapsed="false">
      <c r="A7722" s="6" t="s">
        <v>10334</v>
      </c>
      <c r="B7722" s="6" t="s">
        <v>1651</v>
      </c>
      <c r="C7722" s="6" t="s">
        <v>112</v>
      </c>
      <c r="D7722" s="13" t="n">
        <v>45788</v>
      </c>
      <c r="E7722" s="14" t="n">
        <v>3560.28</v>
      </c>
      <c r="F7722" s="14" t="n">
        <v>13545.57</v>
      </c>
      <c r="G7722" s="6" t="s">
        <v>2613</v>
      </c>
    </row>
    <row r="7723" customFormat="false" ht="15" hidden="false" customHeight="true" outlineLevel="0" collapsed="false">
      <c r="A7723" s="6" t="s">
        <v>10335</v>
      </c>
      <c r="B7723" s="6" t="s">
        <v>1651</v>
      </c>
      <c r="C7723" s="6" t="s">
        <v>112</v>
      </c>
      <c r="D7723" s="13" t="n">
        <v>45795</v>
      </c>
      <c r="E7723" s="14" t="n">
        <v>4833.73</v>
      </c>
      <c r="F7723" s="14" t="n">
        <v>18379.3</v>
      </c>
      <c r="G7723" s="6" t="s">
        <v>2613</v>
      </c>
    </row>
    <row r="7724" customFormat="false" ht="15" hidden="false" customHeight="true" outlineLevel="0" collapsed="false">
      <c r="A7724" s="6" t="s">
        <v>10336</v>
      </c>
      <c r="B7724" s="6" t="s">
        <v>1651</v>
      </c>
      <c r="C7724" s="6" t="s">
        <v>112</v>
      </c>
      <c r="D7724" s="13" t="n">
        <v>45802</v>
      </c>
      <c r="E7724" s="14" t="n">
        <v>4557.86</v>
      </c>
      <c r="F7724" s="14" t="n">
        <v>22937.16</v>
      </c>
      <c r="G7724" s="6" t="s">
        <v>2613</v>
      </c>
    </row>
    <row r="7725" customFormat="false" ht="15" hidden="false" customHeight="true" outlineLevel="0" collapsed="false">
      <c r="A7725" s="6" t="s">
        <v>10337</v>
      </c>
      <c r="B7725" s="6" t="s">
        <v>1651</v>
      </c>
      <c r="C7725" s="6" t="s">
        <v>112</v>
      </c>
      <c r="D7725" s="13" t="n">
        <v>45809</v>
      </c>
      <c r="E7725" s="14" t="n">
        <v>2817.43</v>
      </c>
      <c r="F7725" s="14" t="n">
        <v>25754.59</v>
      </c>
      <c r="G7725" s="6" t="s">
        <v>2613</v>
      </c>
    </row>
    <row r="7726" customFormat="false" ht="15" hidden="false" customHeight="true" outlineLevel="0" collapsed="false">
      <c r="A7726" s="6" t="s">
        <v>10338</v>
      </c>
      <c r="B7726" s="6" t="s">
        <v>1651</v>
      </c>
      <c r="C7726" s="6" t="s">
        <v>112</v>
      </c>
      <c r="D7726" s="13" t="n">
        <v>45816</v>
      </c>
      <c r="E7726" s="14" t="n">
        <v>2518.95</v>
      </c>
      <c r="F7726" s="14" t="n">
        <v>28273.54</v>
      </c>
      <c r="G7726" s="6" t="s">
        <v>2613</v>
      </c>
    </row>
    <row r="7727" customFormat="false" ht="15" hidden="false" customHeight="true" outlineLevel="0" collapsed="false">
      <c r="A7727" s="6" t="s">
        <v>10339</v>
      </c>
      <c r="B7727" s="6" t="s">
        <v>1651</v>
      </c>
      <c r="C7727" s="6" t="s">
        <v>112</v>
      </c>
      <c r="D7727" s="13" t="n">
        <v>45823</v>
      </c>
      <c r="E7727" s="14" t="n">
        <v>4196.51</v>
      </c>
      <c r="F7727" s="14" t="n">
        <v>32470.05</v>
      </c>
      <c r="G7727" s="6" t="s">
        <v>2623</v>
      </c>
    </row>
    <row r="7728" customFormat="false" ht="15" hidden="false" customHeight="true" outlineLevel="0" collapsed="false">
      <c r="A7728" s="6" t="s">
        <v>10340</v>
      </c>
      <c r="B7728" s="6" t="s">
        <v>1651</v>
      </c>
      <c r="C7728" s="6" t="s">
        <v>112</v>
      </c>
      <c r="D7728" s="13" t="n">
        <v>45830</v>
      </c>
      <c r="E7728" s="14" t="n">
        <v>4077.1</v>
      </c>
      <c r="F7728" s="14" t="n">
        <v>36547.15</v>
      </c>
      <c r="G7728" s="6" t="s">
        <v>2623</v>
      </c>
    </row>
    <row r="7729" customFormat="false" ht="15" hidden="false" customHeight="true" outlineLevel="0" collapsed="false">
      <c r="A7729" s="6" t="s">
        <v>10341</v>
      </c>
      <c r="B7729" s="6" t="s">
        <v>1653</v>
      </c>
      <c r="C7729" s="6" t="s">
        <v>128</v>
      </c>
      <c r="D7729" s="13" t="n">
        <v>45960</v>
      </c>
      <c r="E7729" s="14" t="n">
        <v>4486.53</v>
      </c>
      <c r="F7729" s="14" t="n">
        <v>4486.53</v>
      </c>
      <c r="G7729" s="6" t="s">
        <v>2623</v>
      </c>
    </row>
    <row r="7730" customFormat="false" ht="15" hidden="false" customHeight="true" outlineLevel="0" collapsed="false">
      <c r="A7730" s="6" t="s">
        <v>10342</v>
      </c>
      <c r="B7730" s="6" t="s">
        <v>1653</v>
      </c>
      <c r="C7730" s="6" t="s">
        <v>128</v>
      </c>
      <c r="D7730" s="13" t="n">
        <v>45967</v>
      </c>
      <c r="E7730" s="14" t="n">
        <v>4605.98</v>
      </c>
      <c r="F7730" s="14" t="n">
        <v>9092.51</v>
      </c>
      <c r="G7730" s="6" t="s">
        <v>2613</v>
      </c>
    </row>
    <row r="7731" customFormat="false" ht="15" hidden="false" customHeight="true" outlineLevel="0" collapsed="false">
      <c r="A7731" s="6" t="s">
        <v>10343</v>
      </c>
      <c r="B7731" s="6" t="s">
        <v>1653</v>
      </c>
      <c r="C7731" s="6" t="s">
        <v>128</v>
      </c>
      <c r="D7731" s="13" t="n">
        <v>45974</v>
      </c>
      <c r="E7731" s="14" t="n">
        <v>6238.29</v>
      </c>
      <c r="F7731" s="14" t="n">
        <v>15330.8</v>
      </c>
      <c r="G7731" s="6" t="s">
        <v>2623</v>
      </c>
    </row>
    <row r="7732" customFormat="false" ht="15" hidden="false" customHeight="true" outlineLevel="0" collapsed="false">
      <c r="A7732" s="6" t="s">
        <v>10344</v>
      </c>
      <c r="B7732" s="6" t="s">
        <v>1653</v>
      </c>
      <c r="C7732" s="6" t="s">
        <v>128</v>
      </c>
      <c r="D7732" s="13" t="n">
        <v>45981</v>
      </c>
      <c r="E7732" s="14" t="n">
        <v>7236.69</v>
      </c>
      <c r="F7732" s="14" t="n">
        <v>22567.49</v>
      </c>
      <c r="G7732" s="6" t="s">
        <v>2613</v>
      </c>
    </row>
    <row r="7733" customFormat="false" ht="15" hidden="false" customHeight="true" outlineLevel="0" collapsed="false">
      <c r="A7733" s="6" t="s">
        <v>10345</v>
      </c>
      <c r="B7733" s="6" t="s">
        <v>1653</v>
      </c>
      <c r="C7733" s="6" t="s">
        <v>128</v>
      </c>
      <c r="D7733" s="13" t="n">
        <v>45988</v>
      </c>
      <c r="E7733" s="14" t="n">
        <v>6984.24</v>
      </c>
      <c r="F7733" s="14" t="n">
        <v>29551.73</v>
      </c>
      <c r="G7733" s="6" t="s">
        <v>2613</v>
      </c>
    </row>
    <row r="7734" customFormat="false" ht="15" hidden="false" customHeight="true" outlineLevel="0" collapsed="false">
      <c r="A7734" s="6" t="s">
        <v>10346</v>
      </c>
      <c r="B7734" s="6" t="s">
        <v>1653</v>
      </c>
      <c r="C7734" s="6" t="s">
        <v>128</v>
      </c>
      <c r="D7734" s="13" t="n">
        <v>45995</v>
      </c>
      <c r="E7734" s="14" t="n">
        <v>7680.86</v>
      </c>
      <c r="F7734" s="14" t="n">
        <v>37232.59</v>
      </c>
      <c r="G7734" s="6" t="s">
        <v>2613</v>
      </c>
    </row>
    <row r="7735" customFormat="false" ht="15" hidden="false" customHeight="true" outlineLevel="0" collapsed="false">
      <c r="A7735" s="6" t="s">
        <v>10347</v>
      </c>
      <c r="B7735" s="6" t="s">
        <v>1653</v>
      </c>
      <c r="C7735" s="6" t="s">
        <v>128</v>
      </c>
      <c r="D7735" s="13" t="n">
        <v>46002</v>
      </c>
      <c r="E7735" s="14" t="n">
        <v>4915.44</v>
      </c>
      <c r="F7735" s="14" t="n">
        <v>42148.03</v>
      </c>
      <c r="G7735" s="6" t="s">
        <v>2613</v>
      </c>
    </row>
    <row r="7736" customFormat="false" ht="15" hidden="false" customHeight="true" outlineLevel="0" collapsed="false">
      <c r="A7736" s="6" t="s">
        <v>10348</v>
      </c>
      <c r="B7736" s="6" t="s">
        <v>1653</v>
      </c>
      <c r="C7736" s="6" t="s">
        <v>128</v>
      </c>
      <c r="D7736" s="13" t="n">
        <v>46009</v>
      </c>
      <c r="E7736" s="14" t="n">
        <v>5545.38</v>
      </c>
      <c r="F7736" s="14" t="n">
        <v>47693.41</v>
      </c>
      <c r="G7736" s="6" t="s">
        <v>2623</v>
      </c>
    </row>
    <row r="7737" customFormat="false" ht="15" hidden="false" customHeight="true" outlineLevel="0" collapsed="false">
      <c r="A7737" s="6" t="s">
        <v>10349</v>
      </c>
      <c r="B7737" s="6" t="s">
        <v>1653</v>
      </c>
      <c r="C7737" s="6" t="s">
        <v>128</v>
      </c>
      <c r="D7737" s="13" t="n">
        <v>46016</v>
      </c>
      <c r="E7737" s="14" t="n">
        <v>9026.94</v>
      </c>
      <c r="F7737" s="14" t="n">
        <v>56720.35</v>
      </c>
      <c r="G7737" s="6" t="s">
        <v>2623</v>
      </c>
    </row>
    <row r="7738" customFormat="false" ht="15" hidden="false" customHeight="true" outlineLevel="0" collapsed="false">
      <c r="A7738" s="6" t="s">
        <v>10350</v>
      </c>
      <c r="B7738" s="6" t="s">
        <v>1653</v>
      </c>
      <c r="C7738" s="6" t="s">
        <v>128</v>
      </c>
      <c r="D7738" s="13" t="n">
        <v>46023</v>
      </c>
      <c r="E7738" s="14" t="n">
        <v>7925.56</v>
      </c>
      <c r="F7738" s="14" t="n">
        <v>64645.91</v>
      </c>
      <c r="G7738" s="6" t="s">
        <v>2613</v>
      </c>
    </row>
    <row r="7739" customFormat="false" ht="15" hidden="false" customHeight="true" outlineLevel="0" collapsed="false">
      <c r="A7739" s="6" t="s">
        <v>10351</v>
      </c>
      <c r="B7739" s="6" t="s">
        <v>1653</v>
      </c>
      <c r="C7739" s="6" t="s">
        <v>128</v>
      </c>
      <c r="D7739" s="13" t="n">
        <v>46030</v>
      </c>
      <c r="E7739" s="14" t="n">
        <v>6761.87</v>
      </c>
      <c r="F7739" s="14" t="n">
        <v>71407.78</v>
      </c>
      <c r="G7739" s="6" t="s">
        <v>2613</v>
      </c>
    </row>
    <row r="7740" customFormat="false" ht="15" hidden="false" customHeight="true" outlineLevel="0" collapsed="false">
      <c r="A7740" s="6" t="s">
        <v>10352</v>
      </c>
      <c r="B7740" s="6" t="s">
        <v>1655</v>
      </c>
      <c r="C7740" s="6" t="s">
        <v>116</v>
      </c>
      <c r="D7740" s="13" t="n">
        <v>45387</v>
      </c>
      <c r="E7740" s="14" t="n">
        <v>3479.55</v>
      </c>
      <c r="F7740" s="14" t="n">
        <v>3479.55</v>
      </c>
      <c r="G7740" s="6" t="s">
        <v>2613</v>
      </c>
    </row>
    <row r="7741" customFormat="false" ht="15" hidden="false" customHeight="true" outlineLevel="0" collapsed="false">
      <c r="A7741" s="6" t="s">
        <v>10353</v>
      </c>
      <c r="B7741" s="6" t="s">
        <v>1655</v>
      </c>
      <c r="C7741" s="6" t="s">
        <v>116</v>
      </c>
      <c r="D7741" s="13" t="n">
        <v>45394</v>
      </c>
      <c r="E7741" s="14" t="n">
        <v>3600.95</v>
      </c>
      <c r="F7741" s="14" t="n">
        <v>7080.5</v>
      </c>
      <c r="G7741" s="6" t="s">
        <v>2613</v>
      </c>
    </row>
    <row r="7742" customFormat="false" ht="15" hidden="false" customHeight="true" outlineLevel="0" collapsed="false">
      <c r="A7742" s="6" t="s">
        <v>10354</v>
      </c>
      <c r="B7742" s="6" t="s">
        <v>1655</v>
      </c>
      <c r="C7742" s="6" t="s">
        <v>116</v>
      </c>
      <c r="D7742" s="13" t="n">
        <v>45401</v>
      </c>
      <c r="E7742" s="14" t="n">
        <v>5174.29</v>
      </c>
      <c r="F7742" s="14" t="n">
        <v>12254.79</v>
      </c>
      <c r="G7742" s="6" t="s">
        <v>2613</v>
      </c>
    </row>
    <row r="7743" customFormat="false" ht="15" hidden="false" customHeight="true" outlineLevel="0" collapsed="false">
      <c r="A7743" s="6" t="s">
        <v>10355</v>
      </c>
      <c r="B7743" s="6" t="s">
        <v>1655</v>
      </c>
      <c r="C7743" s="6" t="s">
        <v>116</v>
      </c>
      <c r="D7743" s="13" t="n">
        <v>45408</v>
      </c>
      <c r="E7743" s="14" t="n">
        <v>4079.64</v>
      </c>
      <c r="F7743" s="14" t="n">
        <v>16334.43</v>
      </c>
      <c r="G7743" s="6" t="s">
        <v>2613</v>
      </c>
    </row>
    <row r="7744" customFormat="false" ht="15" hidden="false" customHeight="true" outlineLevel="0" collapsed="false">
      <c r="A7744" s="6" t="s">
        <v>10356</v>
      </c>
      <c r="B7744" s="6" t="s">
        <v>1655</v>
      </c>
      <c r="C7744" s="6" t="s">
        <v>116</v>
      </c>
      <c r="D7744" s="13" t="n">
        <v>45415</v>
      </c>
      <c r="E7744" s="14" t="n">
        <v>5035.47</v>
      </c>
      <c r="F7744" s="14" t="n">
        <v>21369.9</v>
      </c>
      <c r="G7744" s="6" t="s">
        <v>2613</v>
      </c>
    </row>
    <row r="7745" customFormat="false" ht="15" hidden="false" customHeight="true" outlineLevel="0" collapsed="false">
      <c r="A7745" s="6" t="s">
        <v>10357</v>
      </c>
      <c r="B7745" s="6" t="s">
        <v>1655</v>
      </c>
      <c r="C7745" s="6" t="s">
        <v>116</v>
      </c>
      <c r="D7745" s="13" t="n">
        <v>45422</v>
      </c>
      <c r="E7745" s="14" t="n">
        <v>2884.44</v>
      </c>
      <c r="F7745" s="14" t="n">
        <v>24254.34</v>
      </c>
      <c r="G7745" s="6" t="s">
        <v>2613</v>
      </c>
    </row>
    <row r="7746" customFormat="false" ht="15" hidden="false" customHeight="true" outlineLevel="0" collapsed="false">
      <c r="A7746" s="6" t="s">
        <v>10358</v>
      </c>
      <c r="B7746" s="6" t="s">
        <v>1655</v>
      </c>
      <c r="C7746" s="6" t="s">
        <v>116</v>
      </c>
      <c r="D7746" s="13" t="n">
        <v>45429</v>
      </c>
      <c r="E7746" s="14" t="n">
        <v>3157.06</v>
      </c>
      <c r="F7746" s="14" t="n">
        <v>27411.4</v>
      </c>
      <c r="G7746" s="6" t="s">
        <v>2613</v>
      </c>
    </row>
    <row r="7747" customFormat="false" ht="15" hidden="false" customHeight="true" outlineLevel="0" collapsed="false">
      <c r="A7747" s="6" t="s">
        <v>10359</v>
      </c>
      <c r="B7747" s="6" t="s">
        <v>1655</v>
      </c>
      <c r="C7747" s="6" t="s">
        <v>116</v>
      </c>
      <c r="D7747" s="13" t="n">
        <v>45436</v>
      </c>
      <c r="E7747" s="14" t="n">
        <v>4550.33</v>
      </c>
      <c r="F7747" s="14" t="n">
        <v>31961.73</v>
      </c>
      <c r="G7747" s="6" t="s">
        <v>2623</v>
      </c>
    </row>
    <row r="7748" customFormat="false" ht="15" hidden="false" customHeight="true" outlineLevel="0" collapsed="false">
      <c r="A7748" s="6" t="s">
        <v>10360</v>
      </c>
      <c r="B7748" s="6" t="s">
        <v>1655</v>
      </c>
      <c r="C7748" s="6" t="s">
        <v>116</v>
      </c>
      <c r="D7748" s="13" t="n">
        <v>45443</v>
      </c>
      <c r="E7748" s="14" t="n">
        <v>2908.08</v>
      </c>
      <c r="F7748" s="14" t="n">
        <v>34869.81</v>
      </c>
      <c r="G7748" s="6" t="s">
        <v>2613</v>
      </c>
    </row>
    <row r="7749" customFormat="false" ht="15" hidden="false" customHeight="true" outlineLevel="0" collapsed="false">
      <c r="A7749" s="6" t="s">
        <v>10361</v>
      </c>
      <c r="B7749" s="6" t="s">
        <v>1655</v>
      </c>
      <c r="C7749" s="6" t="s">
        <v>116</v>
      </c>
      <c r="D7749" s="13" t="n">
        <v>45450</v>
      </c>
      <c r="E7749" s="14" t="n">
        <v>4577.66</v>
      </c>
      <c r="F7749" s="14" t="n">
        <v>39447.47</v>
      </c>
      <c r="G7749" s="6" t="s">
        <v>2613</v>
      </c>
    </row>
    <row r="7750" customFormat="false" ht="15" hidden="false" customHeight="true" outlineLevel="0" collapsed="false">
      <c r="A7750" s="6" t="s">
        <v>10362</v>
      </c>
      <c r="B7750" s="6" t="s">
        <v>1655</v>
      </c>
      <c r="C7750" s="6" t="s">
        <v>116</v>
      </c>
      <c r="D7750" s="13" t="n">
        <v>45457</v>
      </c>
      <c r="E7750" s="14" t="n">
        <v>3249.81</v>
      </c>
      <c r="F7750" s="14" t="n">
        <v>42697.28</v>
      </c>
      <c r="G7750" s="6" t="s">
        <v>2623</v>
      </c>
    </row>
    <row r="7751" customFormat="false" ht="15" hidden="false" customHeight="true" outlineLevel="0" collapsed="false">
      <c r="A7751" s="6" t="s">
        <v>10363</v>
      </c>
      <c r="B7751" s="6" t="s">
        <v>1655</v>
      </c>
      <c r="C7751" s="6" t="s">
        <v>116</v>
      </c>
      <c r="D7751" s="13" t="n">
        <v>45464</v>
      </c>
      <c r="E7751" s="14" t="n">
        <v>5285.32</v>
      </c>
      <c r="F7751" s="14" t="n">
        <v>47982.6</v>
      </c>
      <c r="G7751" s="6" t="s">
        <v>2613</v>
      </c>
    </row>
    <row r="7752" customFormat="false" ht="15" hidden="false" customHeight="true" outlineLevel="0" collapsed="false">
      <c r="A7752" s="6" t="s">
        <v>10364</v>
      </c>
      <c r="B7752" s="6" t="s">
        <v>1655</v>
      </c>
      <c r="C7752" s="6" t="s">
        <v>116</v>
      </c>
      <c r="D7752" s="13" t="n">
        <v>45471</v>
      </c>
      <c r="E7752" s="14" t="n">
        <v>9261.91</v>
      </c>
      <c r="F7752" s="14" t="n">
        <v>57244.51</v>
      </c>
      <c r="G7752" s="6" t="s">
        <v>2613</v>
      </c>
    </row>
    <row r="7753" customFormat="false" ht="15" hidden="false" customHeight="true" outlineLevel="0" collapsed="false">
      <c r="A7753" s="6" t="s">
        <v>10365</v>
      </c>
      <c r="B7753" s="6" t="s">
        <v>1657</v>
      </c>
      <c r="C7753" s="6" t="s">
        <v>124</v>
      </c>
      <c r="D7753" s="13" t="n">
        <v>44633</v>
      </c>
      <c r="E7753" s="14" t="n">
        <v>3283.71</v>
      </c>
      <c r="F7753" s="14" t="n">
        <v>3283.71</v>
      </c>
      <c r="G7753" s="6" t="s">
        <v>2623</v>
      </c>
    </row>
    <row r="7754" customFormat="false" ht="15" hidden="false" customHeight="true" outlineLevel="0" collapsed="false">
      <c r="A7754" s="6" t="s">
        <v>10366</v>
      </c>
      <c r="B7754" s="6" t="s">
        <v>1657</v>
      </c>
      <c r="C7754" s="6" t="s">
        <v>124</v>
      </c>
      <c r="D7754" s="13" t="n">
        <v>44640</v>
      </c>
      <c r="E7754" s="14" t="n">
        <v>3437.29</v>
      </c>
      <c r="F7754" s="14" t="n">
        <v>6721</v>
      </c>
      <c r="G7754" s="6" t="s">
        <v>2613</v>
      </c>
    </row>
    <row r="7755" customFormat="false" ht="15" hidden="false" customHeight="true" outlineLevel="0" collapsed="false">
      <c r="A7755" s="6" t="s">
        <v>10367</v>
      </c>
      <c r="B7755" s="6" t="s">
        <v>1657</v>
      </c>
      <c r="C7755" s="6" t="s">
        <v>124</v>
      </c>
      <c r="D7755" s="13" t="n">
        <v>44647</v>
      </c>
      <c r="E7755" s="14" t="n">
        <v>1994.19</v>
      </c>
      <c r="F7755" s="14" t="n">
        <v>8715.19</v>
      </c>
      <c r="G7755" s="6" t="s">
        <v>2613</v>
      </c>
    </row>
    <row r="7756" customFormat="false" ht="15" hidden="false" customHeight="true" outlineLevel="0" collapsed="false">
      <c r="A7756" s="6" t="s">
        <v>10368</v>
      </c>
      <c r="B7756" s="6" t="s">
        <v>1657</v>
      </c>
      <c r="C7756" s="6" t="s">
        <v>124</v>
      </c>
      <c r="D7756" s="13" t="n">
        <v>44654</v>
      </c>
      <c r="E7756" s="14" t="n">
        <v>2656.63</v>
      </c>
      <c r="F7756" s="14" t="n">
        <v>11371.82</v>
      </c>
      <c r="G7756" s="6" t="s">
        <v>2613</v>
      </c>
    </row>
    <row r="7757" customFormat="false" ht="15" hidden="false" customHeight="true" outlineLevel="0" collapsed="false">
      <c r="A7757" s="6" t="s">
        <v>10369</v>
      </c>
      <c r="B7757" s="6" t="s">
        <v>1657</v>
      </c>
      <c r="C7757" s="6" t="s">
        <v>124</v>
      </c>
      <c r="D7757" s="13" t="n">
        <v>44661</v>
      </c>
      <c r="E7757" s="14" t="n">
        <v>1736.74</v>
      </c>
      <c r="F7757" s="14" t="n">
        <v>13108.56</v>
      </c>
      <c r="G7757" s="6" t="s">
        <v>2613</v>
      </c>
    </row>
    <row r="7758" customFormat="false" ht="15" hidden="false" customHeight="true" outlineLevel="0" collapsed="false">
      <c r="A7758" s="6" t="s">
        <v>10370</v>
      </c>
      <c r="B7758" s="6" t="s">
        <v>1657</v>
      </c>
      <c r="C7758" s="6" t="s">
        <v>124</v>
      </c>
      <c r="D7758" s="13" t="n">
        <v>44668</v>
      </c>
      <c r="E7758" s="14" t="n">
        <v>3264.48</v>
      </c>
      <c r="F7758" s="14" t="n">
        <v>16373.04</v>
      </c>
      <c r="G7758" s="6" t="s">
        <v>2613</v>
      </c>
    </row>
    <row r="7759" customFormat="false" ht="15" hidden="false" customHeight="true" outlineLevel="0" collapsed="false">
      <c r="A7759" s="6" t="s">
        <v>10371</v>
      </c>
      <c r="B7759" s="6" t="s">
        <v>1657</v>
      </c>
      <c r="C7759" s="6" t="s">
        <v>124</v>
      </c>
      <c r="D7759" s="13" t="n">
        <v>44675</v>
      </c>
      <c r="E7759" s="14" t="n">
        <v>3647.64</v>
      </c>
      <c r="F7759" s="14" t="n">
        <v>20020.68</v>
      </c>
      <c r="G7759" s="6" t="s">
        <v>2613</v>
      </c>
    </row>
    <row r="7760" customFormat="false" ht="15" hidden="false" customHeight="true" outlineLevel="0" collapsed="false">
      <c r="A7760" s="6" t="s">
        <v>10372</v>
      </c>
      <c r="B7760" s="6" t="s">
        <v>1659</v>
      </c>
      <c r="C7760" s="6" t="s">
        <v>131</v>
      </c>
      <c r="D7760" s="13" t="n">
        <v>45293</v>
      </c>
      <c r="E7760" s="14" t="n">
        <v>2285.5</v>
      </c>
      <c r="F7760" s="14" t="n">
        <v>2285.5</v>
      </c>
      <c r="G7760" s="6" t="s">
        <v>2613</v>
      </c>
    </row>
    <row r="7761" customFormat="false" ht="15" hidden="false" customHeight="true" outlineLevel="0" collapsed="false">
      <c r="A7761" s="6" t="s">
        <v>10373</v>
      </c>
      <c r="B7761" s="6" t="s">
        <v>1659</v>
      </c>
      <c r="C7761" s="6" t="s">
        <v>131</v>
      </c>
      <c r="D7761" s="13" t="n">
        <v>45300</v>
      </c>
      <c r="E7761" s="14" t="n">
        <v>2673.75</v>
      </c>
      <c r="F7761" s="14" t="n">
        <v>4959.25</v>
      </c>
      <c r="G7761" s="6" t="s">
        <v>2613</v>
      </c>
    </row>
    <row r="7762" customFormat="false" ht="15" hidden="false" customHeight="true" outlineLevel="0" collapsed="false">
      <c r="A7762" s="6" t="s">
        <v>10374</v>
      </c>
      <c r="B7762" s="6" t="s">
        <v>1659</v>
      </c>
      <c r="C7762" s="6" t="s">
        <v>131</v>
      </c>
      <c r="D7762" s="13" t="n">
        <v>45307</v>
      </c>
      <c r="E7762" s="14" t="n">
        <v>1879.7</v>
      </c>
      <c r="F7762" s="14" t="n">
        <v>6838.95</v>
      </c>
      <c r="G7762" s="6" t="s">
        <v>2613</v>
      </c>
    </row>
    <row r="7763" customFormat="false" ht="15" hidden="false" customHeight="true" outlineLevel="0" collapsed="false">
      <c r="A7763" s="6" t="s">
        <v>10375</v>
      </c>
      <c r="B7763" s="6" t="s">
        <v>1659</v>
      </c>
      <c r="C7763" s="6" t="s">
        <v>131</v>
      </c>
      <c r="D7763" s="13" t="n">
        <v>45314</v>
      </c>
      <c r="E7763" s="14" t="n">
        <v>1587.24</v>
      </c>
      <c r="F7763" s="14" t="n">
        <v>8426.19</v>
      </c>
      <c r="G7763" s="6" t="s">
        <v>2613</v>
      </c>
    </row>
    <row r="7764" customFormat="false" ht="15" hidden="false" customHeight="true" outlineLevel="0" collapsed="false">
      <c r="A7764" s="6" t="s">
        <v>10376</v>
      </c>
      <c r="B7764" s="6" t="s">
        <v>1659</v>
      </c>
      <c r="C7764" s="6" t="s">
        <v>131</v>
      </c>
      <c r="D7764" s="13" t="n">
        <v>45321</v>
      </c>
      <c r="E7764" s="14" t="n">
        <v>2405.45</v>
      </c>
      <c r="F7764" s="14" t="n">
        <v>10831.64</v>
      </c>
      <c r="G7764" s="6" t="s">
        <v>2613</v>
      </c>
    </row>
    <row r="7765" customFormat="false" ht="15" hidden="false" customHeight="true" outlineLevel="0" collapsed="false">
      <c r="A7765" s="6" t="s">
        <v>10377</v>
      </c>
      <c r="B7765" s="6" t="s">
        <v>1659</v>
      </c>
      <c r="C7765" s="6" t="s">
        <v>131</v>
      </c>
      <c r="D7765" s="13" t="n">
        <v>45328</v>
      </c>
      <c r="E7765" s="14" t="n">
        <v>2213.88</v>
      </c>
      <c r="F7765" s="14" t="n">
        <v>13045.52</v>
      </c>
      <c r="G7765" s="6" t="s">
        <v>2613</v>
      </c>
    </row>
    <row r="7766" customFormat="false" ht="15" hidden="false" customHeight="true" outlineLevel="0" collapsed="false">
      <c r="A7766" s="6" t="s">
        <v>10378</v>
      </c>
      <c r="B7766" s="6" t="s">
        <v>1659</v>
      </c>
      <c r="C7766" s="6" t="s">
        <v>131</v>
      </c>
      <c r="D7766" s="13" t="n">
        <v>45335</v>
      </c>
      <c r="E7766" s="14" t="n">
        <v>1667.69</v>
      </c>
      <c r="F7766" s="14" t="n">
        <v>14713.21</v>
      </c>
      <c r="G7766" s="6" t="s">
        <v>2613</v>
      </c>
    </row>
    <row r="7767" customFormat="false" ht="15" hidden="false" customHeight="true" outlineLevel="0" collapsed="false">
      <c r="A7767" s="6" t="s">
        <v>10379</v>
      </c>
      <c r="B7767" s="6" t="s">
        <v>1659</v>
      </c>
      <c r="C7767" s="6" t="s">
        <v>131</v>
      </c>
      <c r="D7767" s="13" t="n">
        <v>45342</v>
      </c>
      <c r="E7767" s="14" t="n">
        <v>1882.86</v>
      </c>
      <c r="F7767" s="14" t="n">
        <v>16596.07</v>
      </c>
      <c r="G7767" s="6" t="s">
        <v>2613</v>
      </c>
    </row>
    <row r="7768" customFormat="false" ht="15" hidden="false" customHeight="true" outlineLevel="0" collapsed="false">
      <c r="A7768" s="6" t="s">
        <v>10380</v>
      </c>
      <c r="B7768" s="6" t="s">
        <v>1659</v>
      </c>
      <c r="C7768" s="6" t="s">
        <v>131</v>
      </c>
      <c r="D7768" s="13" t="n">
        <v>45349</v>
      </c>
      <c r="E7768" s="14" t="n">
        <v>1294.3</v>
      </c>
      <c r="F7768" s="14" t="n">
        <v>17890.37</v>
      </c>
      <c r="G7768" s="6" t="s">
        <v>2613</v>
      </c>
    </row>
    <row r="7769" customFormat="false" ht="15" hidden="false" customHeight="true" outlineLevel="0" collapsed="false">
      <c r="A7769" s="6" t="s">
        <v>10381</v>
      </c>
      <c r="B7769" s="6" t="s">
        <v>1659</v>
      </c>
      <c r="C7769" s="6" t="s">
        <v>131</v>
      </c>
      <c r="D7769" s="13" t="n">
        <v>45356</v>
      </c>
      <c r="E7769" s="14" t="n">
        <v>2384.9</v>
      </c>
      <c r="F7769" s="14" t="n">
        <v>20275.27</v>
      </c>
      <c r="G7769" s="6" t="s">
        <v>2613</v>
      </c>
    </row>
    <row r="7770" customFormat="false" ht="15" hidden="false" customHeight="true" outlineLevel="0" collapsed="false">
      <c r="A7770" s="6" t="s">
        <v>10382</v>
      </c>
      <c r="B7770" s="6" t="s">
        <v>1659</v>
      </c>
      <c r="C7770" s="6" t="s">
        <v>131</v>
      </c>
      <c r="D7770" s="13" t="n">
        <v>45363</v>
      </c>
      <c r="E7770" s="14" t="n">
        <v>2137.44</v>
      </c>
      <c r="F7770" s="14" t="n">
        <v>22412.71</v>
      </c>
      <c r="G7770" s="6" t="s">
        <v>2613</v>
      </c>
    </row>
    <row r="7771" customFormat="false" ht="15" hidden="false" customHeight="true" outlineLevel="0" collapsed="false">
      <c r="A7771" s="6" t="s">
        <v>10383</v>
      </c>
      <c r="B7771" s="6" t="s">
        <v>1659</v>
      </c>
      <c r="C7771" s="6" t="s">
        <v>131</v>
      </c>
      <c r="D7771" s="13" t="n">
        <v>45370</v>
      </c>
      <c r="E7771" s="14" t="n">
        <v>1641.66</v>
      </c>
      <c r="F7771" s="14" t="n">
        <v>24054.37</v>
      </c>
      <c r="G7771" s="6" t="s">
        <v>2613</v>
      </c>
    </row>
    <row r="7772" customFormat="false" ht="15" hidden="false" customHeight="true" outlineLevel="0" collapsed="false">
      <c r="A7772" s="6" t="s">
        <v>10384</v>
      </c>
      <c r="B7772" s="6" t="s">
        <v>1659</v>
      </c>
      <c r="C7772" s="6" t="s">
        <v>131</v>
      </c>
      <c r="D7772" s="13" t="n">
        <v>45377</v>
      </c>
      <c r="E7772" s="14" t="n">
        <v>1734.25</v>
      </c>
      <c r="F7772" s="14" t="n">
        <v>25788.62</v>
      </c>
      <c r="G7772" s="6" t="s">
        <v>2613</v>
      </c>
    </row>
    <row r="7773" customFormat="false" ht="15" hidden="false" customHeight="true" outlineLevel="0" collapsed="false">
      <c r="A7773" s="6" t="s">
        <v>10385</v>
      </c>
      <c r="B7773" s="6" t="s">
        <v>1659</v>
      </c>
      <c r="C7773" s="6" t="s">
        <v>131</v>
      </c>
      <c r="D7773" s="13" t="n">
        <v>45384</v>
      </c>
      <c r="E7773" s="14" t="n">
        <v>1389.07</v>
      </c>
      <c r="F7773" s="14" t="n">
        <v>27177.69</v>
      </c>
      <c r="G7773" s="6" t="s">
        <v>2613</v>
      </c>
    </row>
    <row r="7774" customFormat="false" ht="15" hidden="false" customHeight="true" outlineLevel="0" collapsed="false">
      <c r="A7774" s="6" t="s">
        <v>10386</v>
      </c>
      <c r="B7774" s="6" t="s">
        <v>1659</v>
      </c>
      <c r="C7774" s="6" t="s">
        <v>131</v>
      </c>
      <c r="D7774" s="13" t="n">
        <v>45391</v>
      </c>
      <c r="E7774" s="14" t="n">
        <v>1695.4</v>
      </c>
      <c r="F7774" s="14" t="n">
        <v>28873.09</v>
      </c>
      <c r="G7774" s="6" t="s">
        <v>2613</v>
      </c>
    </row>
    <row r="7775" customFormat="false" ht="15" hidden="false" customHeight="true" outlineLevel="0" collapsed="false">
      <c r="A7775" s="6" t="s">
        <v>10387</v>
      </c>
      <c r="B7775" s="6" t="s">
        <v>1659</v>
      </c>
      <c r="C7775" s="6" t="s">
        <v>131</v>
      </c>
      <c r="D7775" s="13" t="n">
        <v>45398</v>
      </c>
      <c r="E7775" s="14" t="n">
        <v>2102.9</v>
      </c>
      <c r="F7775" s="14" t="n">
        <v>30975.99</v>
      </c>
      <c r="G7775" s="6" t="s">
        <v>2613</v>
      </c>
    </row>
    <row r="7776" customFormat="false" ht="15" hidden="false" customHeight="true" outlineLevel="0" collapsed="false">
      <c r="A7776" s="6" t="s">
        <v>10388</v>
      </c>
      <c r="B7776" s="6" t="s">
        <v>1659</v>
      </c>
      <c r="C7776" s="6" t="s">
        <v>131</v>
      </c>
      <c r="D7776" s="13" t="n">
        <v>45405</v>
      </c>
      <c r="E7776" s="14" t="n">
        <v>1944.76</v>
      </c>
      <c r="F7776" s="14" t="n">
        <v>32920.75</v>
      </c>
      <c r="G7776" s="6" t="s">
        <v>2613</v>
      </c>
    </row>
    <row r="7777" customFormat="false" ht="15" hidden="false" customHeight="true" outlineLevel="0" collapsed="false">
      <c r="A7777" s="6" t="s">
        <v>10389</v>
      </c>
      <c r="B7777" s="6" t="s">
        <v>1659</v>
      </c>
      <c r="C7777" s="6" t="s">
        <v>131</v>
      </c>
      <c r="D7777" s="13" t="n">
        <v>45412</v>
      </c>
      <c r="E7777" s="14" t="n">
        <v>1863.19</v>
      </c>
      <c r="F7777" s="14" t="n">
        <v>34783.94</v>
      </c>
      <c r="G7777" s="6" t="s">
        <v>2613</v>
      </c>
    </row>
    <row r="7778" customFormat="false" ht="15" hidden="false" customHeight="true" outlineLevel="0" collapsed="false">
      <c r="A7778" s="6" t="s">
        <v>10390</v>
      </c>
      <c r="B7778" s="6" t="s">
        <v>1659</v>
      </c>
      <c r="C7778" s="6" t="s">
        <v>131</v>
      </c>
      <c r="D7778" s="13" t="n">
        <v>45419</v>
      </c>
      <c r="E7778" s="14" t="n">
        <v>1349.44</v>
      </c>
      <c r="F7778" s="14" t="n">
        <v>36133.38</v>
      </c>
      <c r="G7778" s="6" t="s">
        <v>2613</v>
      </c>
    </row>
    <row r="7779" customFormat="false" ht="15" hidden="false" customHeight="true" outlineLevel="0" collapsed="false">
      <c r="A7779" s="6" t="s">
        <v>10391</v>
      </c>
      <c r="B7779" s="6" t="s">
        <v>1659</v>
      </c>
      <c r="C7779" s="6" t="s">
        <v>131</v>
      </c>
      <c r="D7779" s="13" t="n">
        <v>45426</v>
      </c>
      <c r="E7779" s="14" t="n">
        <v>1948.67</v>
      </c>
      <c r="F7779" s="14" t="n">
        <v>38082.05</v>
      </c>
      <c r="G7779" s="6" t="s">
        <v>2613</v>
      </c>
    </row>
    <row r="7780" customFormat="false" ht="15" hidden="false" customHeight="true" outlineLevel="0" collapsed="false">
      <c r="A7780" s="6" t="s">
        <v>10392</v>
      </c>
      <c r="B7780" s="6" t="s">
        <v>1659</v>
      </c>
      <c r="C7780" s="6" t="s">
        <v>131</v>
      </c>
      <c r="D7780" s="13" t="n">
        <v>45433</v>
      </c>
      <c r="E7780" s="14" t="n">
        <v>1388.44</v>
      </c>
      <c r="F7780" s="14" t="n">
        <v>39470.49</v>
      </c>
      <c r="G7780" s="6" t="s">
        <v>2613</v>
      </c>
    </row>
    <row r="7781" customFormat="false" ht="15" hidden="false" customHeight="true" outlineLevel="0" collapsed="false">
      <c r="A7781" s="6" t="s">
        <v>10393</v>
      </c>
      <c r="B7781" s="6" t="s">
        <v>1659</v>
      </c>
      <c r="C7781" s="6" t="s">
        <v>131</v>
      </c>
      <c r="D7781" s="13" t="n">
        <v>45440</v>
      </c>
      <c r="E7781" s="14" t="n">
        <v>2078.93</v>
      </c>
      <c r="F7781" s="14" t="n">
        <v>41549.42</v>
      </c>
      <c r="G7781" s="6" t="s">
        <v>2613</v>
      </c>
    </row>
    <row r="7782" customFormat="false" ht="15" hidden="false" customHeight="true" outlineLevel="0" collapsed="false">
      <c r="A7782" s="6" t="s">
        <v>10394</v>
      </c>
      <c r="B7782" s="6" t="s">
        <v>1659</v>
      </c>
      <c r="C7782" s="6" t="s">
        <v>131</v>
      </c>
      <c r="D7782" s="13" t="n">
        <v>45447</v>
      </c>
      <c r="E7782" s="14" t="n">
        <v>1377.7</v>
      </c>
      <c r="F7782" s="14" t="n">
        <v>42927.12</v>
      </c>
      <c r="G7782" s="6" t="s">
        <v>2613</v>
      </c>
    </row>
    <row r="7783" customFormat="false" ht="15" hidden="false" customHeight="true" outlineLevel="0" collapsed="false">
      <c r="A7783" s="6" t="s">
        <v>10395</v>
      </c>
      <c r="B7783" s="6" t="s">
        <v>1659</v>
      </c>
      <c r="C7783" s="6" t="s">
        <v>131</v>
      </c>
      <c r="D7783" s="13" t="n">
        <v>45454</v>
      </c>
      <c r="E7783" s="14" t="n">
        <v>3802.57</v>
      </c>
      <c r="F7783" s="14" t="n">
        <v>46729.69</v>
      </c>
      <c r="G7783" s="6" t="s">
        <v>2613</v>
      </c>
    </row>
    <row r="7784" customFormat="false" ht="15" hidden="false" customHeight="true" outlineLevel="0" collapsed="false">
      <c r="A7784" s="6" t="s">
        <v>10396</v>
      </c>
      <c r="B7784" s="6" t="s">
        <v>1661</v>
      </c>
      <c r="C7784" s="6" t="s">
        <v>124</v>
      </c>
      <c r="D7784" s="13" t="n">
        <v>44664</v>
      </c>
      <c r="E7784" s="14" t="n">
        <v>1798.75</v>
      </c>
      <c r="F7784" s="14" t="n">
        <v>1798.75</v>
      </c>
      <c r="G7784" s="6" t="s">
        <v>2613</v>
      </c>
    </row>
    <row r="7785" customFormat="false" ht="15" hidden="false" customHeight="true" outlineLevel="0" collapsed="false">
      <c r="A7785" s="6" t="s">
        <v>10397</v>
      </c>
      <c r="B7785" s="6" t="s">
        <v>1661</v>
      </c>
      <c r="C7785" s="6" t="s">
        <v>124</v>
      </c>
      <c r="D7785" s="13" t="n">
        <v>44671</v>
      </c>
      <c r="E7785" s="14" t="n">
        <v>1891.4</v>
      </c>
      <c r="F7785" s="14" t="n">
        <v>3690.15</v>
      </c>
      <c r="G7785" s="6" t="s">
        <v>2613</v>
      </c>
    </row>
    <row r="7786" customFormat="false" ht="15" hidden="false" customHeight="true" outlineLevel="0" collapsed="false">
      <c r="A7786" s="6" t="s">
        <v>10398</v>
      </c>
      <c r="B7786" s="6" t="s">
        <v>1661</v>
      </c>
      <c r="C7786" s="6" t="s">
        <v>124</v>
      </c>
      <c r="D7786" s="13" t="n">
        <v>44678</v>
      </c>
      <c r="E7786" s="14" t="n">
        <v>1415.06</v>
      </c>
      <c r="F7786" s="14" t="n">
        <v>5105.21</v>
      </c>
      <c r="G7786" s="6" t="s">
        <v>2623</v>
      </c>
    </row>
    <row r="7787" customFormat="false" ht="15" hidden="false" customHeight="true" outlineLevel="0" collapsed="false">
      <c r="A7787" s="6" t="s">
        <v>10399</v>
      </c>
      <c r="B7787" s="6" t="s">
        <v>1661</v>
      </c>
      <c r="C7787" s="6" t="s">
        <v>124</v>
      </c>
      <c r="D7787" s="13" t="n">
        <v>44685</v>
      </c>
      <c r="E7787" s="14" t="n">
        <v>1310.37</v>
      </c>
      <c r="F7787" s="14" t="n">
        <v>6415.58</v>
      </c>
      <c r="G7787" s="6" t="s">
        <v>2613</v>
      </c>
    </row>
    <row r="7788" customFormat="false" ht="15" hidden="false" customHeight="true" outlineLevel="0" collapsed="false">
      <c r="A7788" s="6" t="s">
        <v>10400</v>
      </c>
      <c r="B7788" s="6" t="s">
        <v>1661</v>
      </c>
      <c r="C7788" s="6" t="s">
        <v>124</v>
      </c>
      <c r="D7788" s="13" t="n">
        <v>44692</v>
      </c>
      <c r="E7788" s="14" t="n">
        <v>1415.66</v>
      </c>
      <c r="F7788" s="14" t="n">
        <v>7831.24</v>
      </c>
      <c r="G7788" s="6" t="s">
        <v>2613</v>
      </c>
    </row>
    <row r="7789" customFormat="false" ht="15" hidden="false" customHeight="true" outlineLevel="0" collapsed="false">
      <c r="A7789" s="6" t="s">
        <v>10401</v>
      </c>
      <c r="B7789" s="6" t="s">
        <v>1661</v>
      </c>
      <c r="C7789" s="6" t="s">
        <v>124</v>
      </c>
      <c r="D7789" s="13" t="n">
        <v>44699</v>
      </c>
      <c r="E7789" s="14" t="n">
        <v>1194.83</v>
      </c>
      <c r="F7789" s="14" t="n">
        <v>9026.07</v>
      </c>
      <c r="G7789" s="6" t="s">
        <v>2613</v>
      </c>
    </row>
    <row r="7790" customFormat="false" ht="15" hidden="false" customHeight="true" outlineLevel="0" collapsed="false">
      <c r="A7790" s="6" t="s">
        <v>10402</v>
      </c>
      <c r="B7790" s="6" t="s">
        <v>1661</v>
      </c>
      <c r="C7790" s="6" t="s">
        <v>124</v>
      </c>
      <c r="D7790" s="13" t="n">
        <v>44706</v>
      </c>
      <c r="E7790" s="14" t="n">
        <v>1310.04</v>
      </c>
      <c r="F7790" s="14" t="n">
        <v>10336.11</v>
      </c>
      <c r="G7790" s="6" t="s">
        <v>2613</v>
      </c>
    </row>
    <row r="7791" customFormat="false" ht="15" hidden="false" customHeight="true" outlineLevel="0" collapsed="false">
      <c r="A7791" s="6" t="s">
        <v>10403</v>
      </c>
      <c r="B7791" s="6" t="s">
        <v>1661</v>
      </c>
      <c r="C7791" s="6" t="s">
        <v>124</v>
      </c>
      <c r="D7791" s="13" t="n">
        <v>44713</v>
      </c>
      <c r="E7791" s="14" t="n">
        <v>1028.17</v>
      </c>
      <c r="F7791" s="14" t="n">
        <v>11364.28</v>
      </c>
      <c r="G7791" s="6" t="s">
        <v>2613</v>
      </c>
    </row>
    <row r="7792" customFormat="false" ht="15" hidden="false" customHeight="true" outlineLevel="0" collapsed="false">
      <c r="A7792" s="6" t="s">
        <v>10404</v>
      </c>
      <c r="B7792" s="6" t="s">
        <v>1661</v>
      </c>
      <c r="C7792" s="6" t="s">
        <v>124</v>
      </c>
      <c r="D7792" s="13" t="n">
        <v>44720</v>
      </c>
      <c r="E7792" s="14" t="n">
        <v>1913.56</v>
      </c>
      <c r="F7792" s="14" t="n">
        <v>13277.84</v>
      </c>
      <c r="G7792" s="6" t="s">
        <v>2613</v>
      </c>
    </row>
    <row r="7793" customFormat="false" ht="15" hidden="false" customHeight="true" outlineLevel="0" collapsed="false">
      <c r="A7793" s="6" t="s">
        <v>10405</v>
      </c>
      <c r="B7793" s="6" t="s">
        <v>1661</v>
      </c>
      <c r="C7793" s="6" t="s">
        <v>124</v>
      </c>
      <c r="D7793" s="13" t="n">
        <v>44727</v>
      </c>
      <c r="E7793" s="14" t="n">
        <v>1156.44</v>
      </c>
      <c r="F7793" s="14" t="n">
        <v>14434.28</v>
      </c>
      <c r="G7793" s="6" t="s">
        <v>2613</v>
      </c>
    </row>
    <row r="7794" customFormat="false" ht="15" hidden="false" customHeight="true" outlineLevel="0" collapsed="false">
      <c r="A7794" s="6" t="s">
        <v>10406</v>
      </c>
      <c r="B7794" s="6" t="s">
        <v>1661</v>
      </c>
      <c r="C7794" s="6" t="s">
        <v>124</v>
      </c>
      <c r="D7794" s="13" t="n">
        <v>44734</v>
      </c>
      <c r="E7794" s="14" t="n">
        <v>1407.32</v>
      </c>
      <c r="F7794" s="14" t="n">
        <v>15841.6</v>
      </c>
      <c r="G7794" s="6" t="s">
        <v>2613</v>
      </c>
    </row>
    <row r="7795" customFormat="false" ht="15" hidden="false" customHeight="true" outlineLevel="0" collapsed="false">
      <c r="A7795" s="6" t="s">
        <v>10407</v>
      </c>
      <c r="B7795" s="6" t="s">
        <v>1661</v>
      </c>
      <c r="C7795" s="6" t="s">
        <v>124</v>
      </c>
      <c r="D7795" s="13" t="n">
        <v>44741</v>
      </c>
      <c r="E7795" s="14" t="n">
        <v>1222.32</v>
      </c>
      <c r="F7795" s="14" t="n">
        <v>17063.92</v>
      </c>
      <c r="G7795" s="6" t="s">
        <v>2613</v>
      </c>
    </row>
    <row r="7796" customFormat="false" ht="15" hidden="false" customHeight="true" outlineLevel="0" collapsed="false">
      <c r="A7796" s="6" t="s">
        <v>10408</v>
      </c>
      <c r="B7796" s="6" t="s">
        <v>1661</v>
      </c>
      <c r="C7796" s="6" t="s">
        <v>124</v>
      </c>
      <c r="D7796" s="13" t="n">
        <v>44748</v>
      </c>
      <c r="E7796" s="14" t="n">
        <v>2177.88</v>
      </c>
      <c r="F7796" s="14" t="n">
        <v>19241.8</v>
      </c>
      <c r="G7796" s="6" t="s">
        <v>2613</v>
      </c>
    </row>
    <row r="7797" customFormat="false" ht="15" hidden="false" customHeight="true" outlineLevel="0" collapsed="false">
      <c r="A7797" s="6" t="s">
        <v>10409</v>
      </c>
      <c r="B7797" s="6" t="s">
        <v>1661</v>
      </c>
      <c r="C7797" s="6" t="s">
        <v>124</v>
      </c>
      <c r="D7797" s="13" t="n">
        <v>44755</v>
      </c>
      <c r="E7797" s="14" t="n">
        <v>1197.85</v>
      </c>
      <c r="F7797" s="14" t="n">
        <v>20439.65</v>
      </c>
      <c r="G7797" s="6" t="s">
        <v>2613</v>
      </c>
    </row>
    <row r="7798" customFormat="false" ht="15" hidden="false" customHeight="true" outlineLevel="0" collapsed="false">
      <c r="A7798" s="6" t="s">
        <v>10410</v>
      </c>
      <c r="B7798" s="6" t="s">
        <v>1661</v>
      </c>
      <c r="C7798" s="6" t="s">
        <v>124</v>
      </c>
      <c r="D7798" s="13" t="n">
        <v>44762</v>
      </c>
      <c r="E7798" s="14" t="n">
        <v>1266.33</v>
      </c>
      <c r="F7798" s="14" t="n">
        <v>21705.98</v>
      </c>
      <c r="G7798" s="6" t="s">
        <v>2623</v>
      </c>
    </row>
    <row r="7799" customFormat="false" ht="15" hidden="false" customHeight="true" outlineLevel="0" collapsed="false">
      <c r="A7799" s="6" t="s">
        <v>10411</v>
      </c>
      <c r="B7799" s="6" t="s">
        <v>1661</v>
      </c>
      <c r="C7799" s="6" t="s">
        <v>124</v>
      </c>
      <c r="D7799" s="13" t="n">
        <v>44769</v>
      </c>
      <c r="E7799" s="14" t="n">
        <v>1251.72</v>
      </c>
      <c r="F7799" s="14" t="n">
        <v>22957.7</v>
      </c>
      <c r="G7799" s="6" t="s">
        <v>2613</v>
      </c>
    </row>
    <row r="7800" customFormat="false" ht="15" hidden="false" customHeight="true" outlineLevel="0" collapsed="false">
      <c r="A7800" s="6" t="s">
        <v>10412</v>
      </c>
      <c r="B7800" s="6" t="s">
        <v>1661</v>
      </c>
      <c r="C7800" s="6" t="s">
        <v>124</v>
      </c>
      <c r="D7800" s="13" t="n">
        <v>44776</v>
      </c>
      <c r="E7800" s="14" t="n">
        <v>1612.62</v>
      </c>
      <c r="F7800" s="14" t="n">
        <v>24570.32</v>
      </c>
      <c r="G7800" s="6" t="s">
        <v>2613</v>
      </c>
    </row>
    <row r="7801" customFormat="false" ht="15" hidden="false" customHeight="true" outlineLevel="0" collapsed="false">
      <c r="A7801" s="6" t="s">
        <v>10413</v>
      </c>
      <c r="B7801" s="6" t="s">
        <v>1661</v>
      </c>
      <c r="C7801" s="6" t="s">
        <v>124</v>
      </c>
      <c r="D7801" s="13" t="n">
        <v>44783</v>
      </c>
      <c r="E7801" s="14" t="n">
        <v>3586.21</v>
      </c>
      <c r="F7801" s="14" t="n">
        <v>28156.53</v>
      </c>
      <c r="G7801" s="6" t="s">
        <v>2613</v>
      </c>
    </row>
    <row r="7802" customFormat="false" ht="15" hidden="false" customHeight="true" outlineLevel="0" collapsed="false">
      <c r="A7802" s="6" t="s">
        <v>10414</v>
      </c>
      <c r="B7802" s="6" t="s">
        <v>1663</v>
      </c>
      <c r="C7802" s="6" t="s">
        <v>124</v>
      </c>
      <c r="D7802" s="13" t="n">
        <v>45881</v>
      </c>
      <c r="E7802" s="14" t="n">
        <v>1709.31</v>
      </c>
      <c r="F7802" s="14" t="n">
        <v>1709.31</v>
      </c>
      <c r="G7802" s="6" t="s">
        <v>2623</v>
      </c>
    </row>
    <row r="7803" customFormat="false" ht="15" hidden="false" customHeight="true" outlineLevel="0" collapsed="false">
      <c r="A7803" s="6" t="s">
        <v>10415</v>
      </c>
      <c r="B7803" s="6" t="s">
        <v>1663</v>
      </c>
      <c r="C7803" s="6" t="s">
        <v>124</v>
      </c>
      <c r="D7803" s="13" t="n">
        <v>45888</v>
      </c>
      <c r="E7803" s="14" t="n">
        <v>1299.13</v>
      </c>
      <c r="F7803" s="14" t="n">
        <v>3008.44</v>
      </c>
      <c r="G7803" s="6" t="s">
        <v>2613</v>
      </c>
    </row>
    <row r="7804" customFormat="false" ht="15" hidden="false" customHeight="true" outlineLevel="0" collapsed="false">
      <c r="A7804" s="6" t="s">
        <v>10416</v>
      </c>
      <c r="B7804" s="6" t="s">
        <v>1663</v>
      </c>
      <c r="C7804" s="6" t="s">
        <v>124</v>
      </c>
      <c r="D7804" s="13" t="n">
        <v>45895</v>
      </c>
      <c r="E7804" s="14" t="n">
        <v>1776.64</v>
      </c>
      <c r="F7804" s="14" t="n">
        <v>4785.08</v>
      </c>
      <c r="G7804" s="6" t="s">
        <v>2613</v>
      </c>
    </row>
    <row r="7805" customFormat="false" ht="15" hidden="false" customHeight="true" outlineLevel="0" collapsed="false">
      <c r="A7805" s="6" t="s">
        <v>10417</v>
      </c>
      <c r="B7805" s="6" t="s">
        <v>1663</v>
      </c>
      <c r="C7805" s="6" t="s">
        <v>124</v>
      </c>
      <c r="D7805" s="13" t="n">
        <v>45902</v>
      </c>
      <c r="E7805" s="14" t="n">
        <v>2023.67</v>
      </c>
      <c r="F7805" s="14" t="n">
        <v>6808.75</v>
      </c>
      <c r="G7805" s="6" t="s">
        <v>2613</v>
      </c>
    </row>
    <row r="7806" customFormat="false" ht="15" hidden="false" customHeight="true" outlineLevel="0" collapsed="false">
      <c r="A7806" s="6" t="s">
        <v>10418</v>
      </c>
      <c r="B7806" s="6" t="s">
        <v>1663</v>
      </c>
      <c r="C7806" s="6" t="s">
        <v>124</v>
      </c>
      <c r="D7806" s="13" t="n">
        <v>45909</v>
      </c>
      <c r="E7806" s="14" t="n">
        <v>1595.08</v>
      </c>
      <c r="F7806" s="14" t="n">
        <v>8403.83</v>
      </c>
      <c r="G7806" s="6" t="s">
        <v>2613</v>
      </c>
    </row>
    <row r="7807" customFormat="false" ht="15" hidden="false" customHeight="true" outlineLevel="0" collapsed="false">
      <c r="A7807" s="6" t="s">
        <v>10419</v>
      </c>
      <c r="B7807" s="6" t="s">
        <v>1663</v>
      </c>
      <c r="C7807" s="6" t="s">
        <v>124</v>
      </c>
      <c r="D7807" s="13" t="n">
        <v>45916</v>
      </c>
      <c r="E7807" s="14" t="n">
        <v>1089.22</v>
      </c>
      <c r="F7807" s="14" t="n">
        <v>9493.05</v>
      </c>
      <c r="G7807" s="6" t="s">
        <v>2613</v>
      </c>
    </row>
    <row r="7808" customFormat="false" ht="15" hidden="false" customHeight="true" outlineLevel="0" collapsed="false">
      <c r="A7808" s="6" t="s">
        <v>10420</v>
      </c>
      <c r="B7808" s="6" t="s">
        <v>1663</v>
      </c>
      <c r="C7808" s="6" t="s">
        <v>124</v>
      </c>
      <c r="D7808" s="13" t="n">
        <v>45923</v>
      </c>
      <c r="E7808" s="14" t="n">
        <v>1345.16</v>
      </c>
      <c r="F7808" s="14" t="n">
        <v>10838.21</v>
      </c>
      <c r="G7808" s="6" t="s">
        <v>2613</v>
      </c>
    </row>
    <row r="7809" customFormat="false" ht="15" hidden="false" customHeight="true" outlineLevel="0" collapsed="false">
      <c r="A7809" s="6" t="s">
        <v>10421</v>
      </c>
      <c r="B7809" s="6" t="s">
        <v>1663</v>
      </c>
      <c r="C7809" s="6" t="s">
        <v>124</v>
      </c>
      <c r="D7809" s="13" t="n">
        <v>45930</v>
      </c>
      <c r="E7809" s="14" t="n">
        <v>1031.2</v>
      </c>
      <c r="F7809" s="14" t="n">
        <v>11869.41</v>
      </c>
      <c r="G7809" s="6" t="s">
        <v>2613</v>
      </c>
    </row>
    <row r="7810" customFormat="false" ht="15" hidden="false" customHeight="true" outlineLevel="0" collapsed="false">
      <c r="A7810" s="6" t="s">
        <v>10422</v>
      </c>
      <c r="B7810" s="6" t="s">
        <v>1665</v>
      </c>
      <c r="C7810" s="6" t="s">
        <v>112</v>
      </c>
      <c r="D7810" s="13" t="n">
        <v>45551</v>
      </c>
      <c r="E7810" s="14" t="n">
        <v>810.44</v>
      </c>
      <c r="F7810" s="14" t="n">
        <v>810.44</v>
      </c>
      <c r="G7810" s="6" t="s">
        <v>2613</v>
      </c>
    </row>
    <row r="7811" customFormat="false" ht="15" hidden="false" customHeight="true" outlineLevel="0" collapsed="false">
      <c r="A7811" s="6" t="s">
        <v>10423</v>
      </c>
      <c r="B7811" s="6" t="s">
        <v>1665</v>
      </c>
      <c r="C7811" s="6" t="s">
        <v>112</v>
      </c>
      <c r="D7811" s="13" t="n">
        <v>45558</v>
      </c>
      <c r="E7811" s="14" t="n">
        <v>1399.77</v>
      </c>
      <c r="F7811" s="14" t="n">
        <v>2210.21</v>
      </c>
      <c r="G7811" s="6" t="s">
        <v>2613</v>
      </c>
    </row>
    <row r="7812" customFormat="false" ht="15" hidden="false" customHeight="true" outlineLevel="0" collapsed="false">
      <c r="A7812" s="6" t="s">
        <v>10424</v>
      </c>
      <c r="B7812" s="6" t="s">
        <v>1665</v>
      </c>
      <c r="C7812" s="6" t="s">
        <v>112</v>
      </c>
      <c r="D7812" s="13" t="n">
        <v>45565</v>
      </c>
      <c r="E7812" s="14" t="n">
        <v>1641.18</v>
      </c>
      <c r="F7812" s="14" t="n">
        <v>3851.39</v>
      </c>
      <c r="G7812" s="6" t="s">
        <v>2613</v>
      </c>
    </row>
    <row r="7813" customFormat="false" ht="15" hidden="false" customHeight="true" outlineLevel="0" collapsed="false">
      <c r="A7813" s="6" t="s">
        <v>10425</v>
      </c>
      <c r="B7813" s="6" t="s">
        <v>1665</v>
      </c>
      <c r="C7813" s="6" t="s">
        <v>112</v>
      </c>
      <c r="D7813" s="13" t="n">
        <v>45572</v>
      </c>
      <c r="E7813" s="14" t="n">
        <v>1546.33</v>
      </c>
      <c r="F7813" s="14" t="n">
        <v>5397.72</v>
      </c>
      <c r="G7813" s="6" t="s">
        <v>2613</v>
      </c>
    </row>
    <row r="7814" customFormat="false" ht="15" hidden="false" customHeight="true" outlineLevel="0" collapsed="false">
      <c r="A7814" s="6" t="s">
        <v>10426</v>
      </c>
      <c r="B7814" s="6" t="s">
        <v>1665</v>
      </c>
      <c r="C7814" s="6" t="s">
        <v>112</v>
      </c>
      <c r="D7814" s="13" t="n">
        <v>45579</v>
      </c>
      <c r="E7814" s="14" t="n">
        <v>1381.02</v>
      </c>
      <c r="F7814" s="14" t="n">
        <v>6778.74</v>
      </c>
      <c r="G7814" s="6" t="s">
        <v>2613</v>
      </c>
    </row>
    <row r="7815" customFormat="false" ht="15" hidden="false" customHeight="true" outlineLevel="0" collapsed="false">
      <c r="A7815" s="6" t="s">
        <v>10427</v>
      </c>
      <c r="B7815" s="6" t="s">
        <v>1665</v>
      </c>
      <c r="C7815" s="6" t="s">
        <v>112</v>
      </c>
      <c r="D7815" s="13" t="n">
        <v>45586</v>
      </c>
      <c r="E7815" s="14" t="n">
        <v>1431.29</v>
      </c>
      <c r="F7815" s="14" t="n">
        <v>8210.03</v>
      </c>
      <c r="G7815" s="6" t="s">
        <v>2613</v>
      </c>
    </row>
    <row r="7816" customFormat="false" ht="15" hidden="false" customHeight="true" outlineLevel="0" collapsed="false">
      <c r="A7816" s="6" t="s">
        <v>10428</v>
      </c>
      <c r="B7816" s="6" t="s">
        <v>1665</v>
      </c>
      <c r="C7816" s="6" t="s">
        <v>112</v>
      </c>
      <c r="D7816" s="13" t="n">
        <v>45593</v>
      </c>
      <c r="E7816" s="14" t="n">
        <v>1229.57</v>
      </c>
      <c r="F7816" s="14" t="n">
        <v>9439.6</v>
      </c>
      <c r="G7816" s="6" t="s">
        <v>2613</v>
      </c>
    </row>
    <row r="7817" customFormat="false" ht="15" hidden="false" customHeight="true" outlineLevel="0" collapsed="false">
      <c r="A7817" s="6" t="s">
        <v>10429</v>
      </c>
      <c r="B7817" s="6" t="s">
        <v>1665</v>
      </c>
      <c r="C7817" s="6" t="s">
        <v>112</v>
      </c>
      <c r="D7817" s="13" t="n">
        <v>45600</v>
      </c>
      <c r="E7817" s="14" t="n">
        <v>237.19</v>
      </c>
      <c r="F7817" s="14" t="n">
        <v>9676.79</v>
      </c>
      <c r="G7817" s="6" t="s">
        <v>2613</v>
      </c>
    </row>
    <row r="7818" customFormat="false" ht="15" hidden="false" customHeight="true" outlineLevel="0" collapsed="false">
      <c r="A7818" s="6" t="s">
        <v>10430</v>
      </c>
      <c r="B7818" s="6" t="s">
        <v>1667</v>
      </c>
      <c r="C7818" s="6" t="s">
        <v>120</v>
      </c>
      <c r="D7818" s="13" t="n">
        <v>45256</v>
      </c>
      <c r="E7818" s="14" t="n">
        <v>1005.92</v>
      </c>
      <c r="F7818" s="14" t="n">
        <v>1005.92</v>
      </c>
      <c r="G7818" s="6" t="s">
        <v>2613</v>
      </c>
    </row>
    <row r="7819" customFormat="false" ht="15" hidden="false" customHeight="true" outlineLevel="0" collapsed="false">
      <c r="A7819" s="6" t="s">
        <v>10431</v>
      </c>
      <c r="B7819" s="6" t="s">
        <v>1667</v>
      </c>
      <c r="C7819" s="6" t="s">
        <v>120</v>
      </c>
      <c r="D7819" s="13" t="n">
        <v>45263</v>
      </c>
      <c r="E7819" s="14" t="n">
        <v>868.51</v>
      </c>
      <c r="F7819" s="14" t="n">
        <v>1874.43</v>
      </c>
      <c r="G7819" s="6" t="s">
        <v>2613</v>
      </c>
    </row>
    <row r="7820" customFormat="false" ht="15" hidden="false" customHeight="true" outlineLevel="0" collapsed="false">
      <c r="A7820" s="6" t="s">
        <v>10432</v>
      </c>
      <c r="B7820" s="6" t="s">
        <v>1667</v>
      </c>
      <c r="C7820" s="6" t="s">
        <v>120</v>
      </c>
      <c r="D7820" s="13" t="n">
        <v>45270</v>
      </c>
      <c r="E7820" s="14" t="n">
        <v>1142.98</v>
      </c>
      <c r="F7820" s="14" t="n">
        <v>3017.41</v>
      </c>
      <c r="G7820" s="6" t="s">
        <v>2613</v>
      </c>
    </row>
    <row r="7821" customFormat="false" ht="15" hidden="false" customHeight="true" outlineLevel="0" collapsed="false">
      <c r="A7821" s="6" t="s">
        <v>10433</v>
      </c>
      <c r="B7821" s="6" t="s">
        <v>1667</v>
      </c>
      <c r="C7821" s="6" t="s">
        <v>120</v>
      </c>
      <c r="D7821" s="13" t="n">
        <v>45277</v>
      </c>
      <c r="E7821" s="14" t="n">
        <v>799.63</v>
      </c>
      <c r="F7821" s="14" t="n">
        <v>3817.04</v>
      </c>
      <c r="G7821" s="6" t="s">
        <v>2613</v>
      </c>
    </row>
    <row r="7822" customFormat="false" ht="15" hidden="false" customHeight="true" outlineLevel="0" collapsed="false">
      <c r="A7822" s="6" t="s">
        <v>10434</v>
      </c>
      <c r="B7822" s="6" t="s">
        <v>1667</v>
      </c>
      <c r="C7822" s="6" t="s">
        <v>120</v>
      </c>
      <c r="D7822" s="13" t="n">
        <v>45284</v>
      </c>
      <c r="E7822" s="14" t="n">
        <v>934.3</v>
      </c>
      <c r="F7822" s="14" t="n">
        <v>4751.34</v>
      </c>
      <c r="G7822" s="6" t="s">
        <v>2613</v>
      </c>
    </row>
    <row r="7823" customFormat="false" ht="15" hidden="false" customHeight="true" outlineLevel="0" collapsed="false">
      <c r="A7823" s="6" t="s">
        <v>10435</v>
      </c>
      <c r="B7823" s="6" t="s">
        <v>1667</v>
      </c>
      <c r="C7823" s="6" t="s">
        <v>120</v>
      </c>
      <c r="D7823" s="13" t="n">
        <v>45291</v>
      </c>
      <c r="E7823" s="14" t="n">
        <v>1154.53</v>
      </c>
      <c r="F7823" s="14" t="n">
        <v>5905.87</v>
      </c>
      <c r="G7823" s="6" t="s">
        <v>2613</v>
      </c>
    </row>
    <row r="7824" customFormat="false" ht="15" hidden="false" customHeight="true" outlineLevel="0" collapsed="false">
      <c r="A7824" s="6" t="s">
        <v>10436</v>
      </c>
      <c r="B7824" s="6" t="s">
        <v>1667</v>
      </c>
      <c r="C7824" s="6" t="s">
        <v>120</v>
      </c>
      <c r="D7824" s="13" t="n">
        <v>45298</v>
      </c>
      <c r="E7824" s="14" t="n">
        <v>781.86</v>
      </c>
      <c r="F7824" s="14" t="n">
        <v>6687.73</v>
      </c>
      <c r="G7824" s="6" t="s">
        <v>2613</v>
      </c>
    </row>
    <row r="7825" customFormat="false" ht="15" hidden="false" customHeight="true" outlineLevel="0" collapsed="false">
      <c r="A7825" s="6" t="s">
        <v>10437</v>
      </c>
      <c r="B7825" s="6" t="s">
        <v>1667</v>
      </c>
      <c r="C7825" s="6" t="s">
        <v>120</v>
      </c>
      <c r="D7825" s="13" t="n">
        <v>45305</v>
      </c>
      <c r="E7825" s="14" t="n">
        <v>73.54</v>
      </c>
      <c r="F7825" s="14" t="n">
        <v>6761.27</v>
      </c>
      <c r="G7825" s="6" t="s">
        <v>2613</v>
      </c>
    </row>
    <row r="7826" customFormat="false" ht="15" hidden="false" customHeight="true" outlineLevel="0" collapsed="false">
      <c r="A7826" s="6" t="s">
        <v>10438</v>
      </c>
      <c r="B7826" s="6" t="s">
        <v>1669</v>
      </c>
      <c r="C7826" s="6" t="s">
        <v>116</v>
      </c>
      <c r="D7826" s="13" t="n">
        <v>45426</v>
      </c>
      <c r="E7826" s="14" t="n">
        <v>3602.76</v>
      </c>
      <c r="F7826" s="14" t="n">
        <v>3602.76</v>
      </c>
      <c r="G7826" s="6" t="s">
        <v>2613</v>
      </c>
    </row>
    <row r="7827" customFormat="false" ht="15" hidden="false" customHeight="true" outlineLevel="0" collapsed="false">
      <c r="A7827" s="6" t="s">
        <v>10439</v>
      </c>
      <c r="B7827" s="6" t="s">
        <v>1669</v>
      </c>
      <c r="C7827" s="6" t="s">
        <v>116</v>
      </c>
      <c r="D7827" s="13" t="n">
        <v>45433</v>
      </c>
      <c r="E7827" s="14" t="n">
        <v>4679.21</v>
      </c>
      <c r="F7827" s="14" t="n">
        <v>8281.97</v>
      </c>
      <c r="G7827" s="6" t="s">
        <v>2623</v>
      </c>
    </row>
    <row r="7828" customFormat="false" ht="15" hidden="false" customHeight="true" outlineLevel="0" collapsed="false">
      <c r="A7828" s="6" t="s">
        <v>10440</v>
      </c>
      <c r="B7828" s="6" t="s">
        <v>1669</v>
      </c>
      <c r="C7828" s="6" t="s">
        <v>116</v>
      </c>
      <c r="D7828" s="13" t="n">
        <v>45440</v>
      </c>
      <c r="E7828" s="14" t="n">
        <v>5915.2</v>
      </c>
      <c r="F7828" s="14" t="n">
        <v>14197.17</v>
      </c>
      <c r="G7828" s="6" t="s">
        <v>2613</v>
      </c>
    </row>
    <row r="7829" customFormat="false" ht="15" hidden="false" customHeight="true" outlineLevel="0" collapsed="false">
      <c r="A7829" s="6" t="s">
        <v>10441</v>
      </c>
      <c r="B7829" s="6" t="s">
        <v>1669</v>
      </c>
      <c r="C7829" s="6" t="s">
        <v>116</v>
      </c>
      <c r="D7829" s="13" t="n">
        <v>45447</v>
      </c>
      <c r="E7829" s="14" t="n">
        <v>5966.44</v>
      </c>
      <c r="F7829" s="14" t="n">
        <v>20163.61</v>
      </c>
      <c r="G7829" s="6" t="s">
        <v>2613</v>
      </c>
    </row>
    <row r="7830" customFormat="false" ht="15" hidden="false" customHeight="true" outlineLevel="0" collapsed="false">
      <c r="A7830" s="6" t="s">
        <v>10442</v>
      </c>
      <c r="B7830" s="6" t="s">
        <v>1669</v>
      </c>
      <c r="C7830" s="6" t="s">
        <v>116</v>
      </c>
      <c r="D7830" s="13" t="n">
        <v>45454</v>
      </c>
      <c r="E7830" s="14" t="n">
        <v>5204.6</v>
      </c>
      <c r="F7830" s="14" t="n">
        <v>25368.21</v>
      </c>
      <c r="G7830" s="6" t="s">
        <v>2613</v>
      </c>
    </row>
    <row r="7831" customFormat="false" ht="15" hidden="false" customHeight="true" outlineLevel="0" collapsed="false">
      <c r="A7831" s="6" t="s">
        <v>10443</v>
      </c>
      <c r="B7831" s="6" t="s">
        <v>1669</v>
      </c>
      <c r="C7831" s="6" t="s">
        <v>116</v>
      </c>
      <c r="D7831" s="13" t="n">
        <v>45461</v>
      </c>
      <c r="E7831" s="14" t="n">
        <v>2990.96</v>
      </c>
      <c r="F7831" s="14" t="n">
        <v>28359.17</v>
      </c>
      <c r="G7831" s="6" t="s">
        <v>2613</v>
      </c>
    </row>
    <row r="7832" customFormat="false" ht="15" hidden="false" customHeight="true" outlineLevel="0" collapsed="false">
      <c r="A7832" s="6" t="s">
        <v>10444</v>
      </c>
      <c r="B7832" s="6" t="s">
        <v>1669</v>
      </c>
      <c r="C7832" s="6" t="s">
        <v>116</v>
      </c>
      <c r="D7832" s="13" t="n">
        <v>45468</v>
      </c>
      <c r="E7832" s="14" t="n">
        <v>6319.35</v>
      </c>
      <c r="F7832" s="14" t="n">
        <v>34678.52</v>
      </c>
      <c r="G7832" s="6" t="s">
        <v>2613</v>
      </c>
    </row>
    <row r="7833" customFormat="false" ht="15" hidden="false" customHeight="true" outlineLevel="0" collapsed="false">
      <c r="A7833" s="6" t="s">
        <v>10445</v>
      </c>
      <c r="B7833" s="6" t="s">
        <v>1669</v>
      </c>
      <c r="C7833" s="6" t="s">
        <v>116</v>
      </c>
      <c r="D7833" s="13" t="n">
        <v>45475</v>
      </c>
      <c r="E7833" s="14" t="n">
        <v>2543.21</v>
      </c>
      <c r="F7833" s="14" t="n">
        <v>37221.73</v>
      </c>
      <c r="G7833" s="6" t="s">
        <v>2613</v>
      </c>
    </row>
    <row r="7834" customFormat="false" ht="15" hidden="false" customHeight="true" outlineLevel="0" collapsed="false">
      <c r="A7834" s="6" t="s">
        <v>10446</v>
      </c>
      <c r="B7834" s="6" t="s">
        <v>1671</v>
      </c>
      <c r="C7834" s="6" t="s">
        <v>116</v>
      </c>
      <c r="D7834" s="13" t="n">
        <v>45984</v>
      </c>
      <c r="E7834" s="14" t="n">
        <v>3005</v>
      </c>
      <c r="F7834" s="14" t="n">
        <v>3005</v>
      </c>
      <c r="G7834" s="6" t="s">
        <v>2613</v>
      </c>
    </row>
    <row r="7835" customFormat="false" ht="15" hidden="false" customHeight="true" outlineLevel="0" collapsed="false">
      <c r="A7835" s="6" t="s">
        <v>10447</v>
      </c>
      <c r="B7835" s="6" t="s">
        <v>1671</v>
      </c>
      <c r="C7835" s="6" t="s">
        <v>116</v>
      </c>
      <c r="D7835" s="13" t="n">
        <v>45991</v>
      </c>
      <c r="E7835" s="14" t="n">
        <v>2362.08</v>
      </c>
      <c r="F7835" s="14" t="n">
        <v>5367.08</v>
      </c>
      <c r="G7835" s="6" t="s">
        <v>2613</v>
      </c>
    </row>
    <row r="7836" customFormat="false" ht="15" hidden="false" customHeight="true" outlineLevel="0" collapsed="false">
      <c r="A7836" s="6" t="s">
        <v>10448</v>
      </c>
      <c r="B7836" s="6" t="s">
        <v>1671</v>
      </c>
      <c r="C7836" s="6" t="s">
        <v>116</v>
      </c>
      <c r="D7836" s="13" t="n">
        <v>45998</v>
      </c>
      <c r="E7836" s="14" t="n">
        <v>2089.55</v>
      </c>
      <c r="F7836" s="14" t="n">
        <v>7456.63</v>
      </c>
      <c r="G7836" s="6" t="s">
        <v>2613</v>
      </c>
    </row>
    <row r="7837" customFormat="false" ht="15" hidden="false" customHeight="true" outlineLevel="0" collapsed="false">
      <c r="A7837" s="6" t="s">
        <v>10449</v>
      </c>
      <c r="B7837" s="6" t="s">
        <v>1671</v>
      </c>
      <c r="C7837" s="6" t="s">
        <v>116</v>
      </c>
      <c r="D7837" s="13" t="n">
        <v>46005</v>
      </c>
      <c r="E7837" s="14" t="n">
        <v>2912.05</v>
      </c>
      <c r="F7837" s="14" t="n">
        <v>10368.68</v>
      </c>
      <c r="G7837" s="6" t="s">
        <v>2623</v>
      </c>
    </row>
    <row r="7838" customFormat="false" ht="15" hidden="false" customHeight="true" outlineLevel="0" collapsed="false">
      <c r="A7838" s="6" t="s">
        <v>10450</v>
      </c>
      <c r="B7838" s="6" t="s">
        <v>1671</v>
      </c>
      <c r="C7838" s="6" t="s">
        <v>116</v>
      </c>
      <c r="D7838" s="13" t="n">
        <v>46012</v>
      </c>
      <c r="E7838" s="14" t="n">
        <v>2786.1</v>
      </c>
      <c r="F7838" s="14" t="n">
        <v>13154.78</v>
      </c>
      <c r="G7838" s="6" t="s">
        <v>2613</v>
      </c>
    </row>
    <row r="7839" customFormat="false" ht="15" hidden="false" customHeight="true" outlineLevel="0" collapsed="false">
      <c r="A7839" s="6" t="s">
        <v>10451</v>
      </c>
      <c r="B7839" s="6" t="s">
        <v>1671</v>
      </c>
      <c r="C7839" s="6" t="s">
        <v>116</v>
      </c>
      <c r="D7839" s="13" t="n">
        <v>46019</v>
      </c>
      <c r="E7839" s="14" t="n">
        <v>1921.62</v>
      </c>
      <c r="F7839" s="14" t="n">
        <v>15076.4</v>
      </c>
      <c r="G7839" s="6" t="s">
        <v>2613</v>
      </c>
    </row>
    <row r="7840" customFormat="false" ht="15" hidden="false" customHeight="true" outlineLevel="0" collapsed="false">
      <c r="A7840" s="6" t="s">
        <v>10452</v>
      </c>
      <c r="B7840" s="6" t="s">
        <v>1671</v>
      </c>
      <c r="C7840" s="6" t="s">
        <v>116</v>
      </c>
      <c r="D7840" s="13" t="n">
        <v>46026</v>
      </c>
      <c r="E7840" s="14" t="n">
        <v>2616</v>
      </c>
      <c r="F7840" s="14" t="n">
        <v>17692.4</v>
      </c>
      <c r="G7840" s="6" t="s">
        <v>2613</v>
      </c>
    </row>
    <row r="7841" customFormat="false" ht="15" hidden="false" customHeight="true" outlineLevel="0" collapsed="false">
      <c r="A7841" s="6" t="s">
        <v>10453</v>
      </c>
      <c r="B7841" s="6" t="s">
        <v>1671</v>
      </c>
      <c r="C7841" s="6" t="s">
        <v>116</v>
      </c>
      <c r="D7841" s="13" t="n">
        <v>46033</v>
      </c>
      <c r="E7841" s="14" t="n">
        <v>2171.14</v>
      </c>
      <c r="F7841" s="14" t="n">
        <v>19863.54</v>
      </c>
      <c r="G7841" s="6" t="s">
        <v>2613</v>
      </c>
    </row>
    <row r="7842" customFormat="false" ht="15" hidden="false" customHeight="true" outlineLevel="0" collapsed="false">
      <c r="A7842" s="6" t="s">
        <v>10454</v>
      </c>
      <c r="B7842" s="6" t="s">
        <v>1671</v>
      </c>
      <c r="C7842" s="6" t="s">
        <v>116</v>
      </c>
      <c r="D7842" s="13" t="n">
        <v>46040</v>
      </c>
      <c r="E7842" s="14" t="n">
        <v>2426.57</v>
      </c>
      <c r="F7842" s="14" t="n">
        <v>22290.11</v>
      </c>
      <c r="G7842" s="6" t="s">
        <v>2613</v>
      </c>
    </row>
    <row r="7843" customFormat="false" ht="15" hidden="false" customHeight="true" outlineLevel="0" collapsed="false">
      <c r="A7843" s="6" t="s">
        <v>10455</v>
      </c>
      <c r="B7843" s="6" t="s">
        <v>1671</v>
      </c>
      <c r="C7843" s="6" t="s">
        <v>116</v>
      </c>
      <c r="D7843" s="13" t="n">
        <v>46047</v>
      </c>
      <c r="E7843" s="14" t="n">
        <v>2267.01</v>
      </c>
      <c r="F7843" s="14" t="n">
        <v>24557.12</v>
      </c>
      <c r="G7843" s="6" t="s">
        <v>2613</v>
      </c>
    </row>
    <row r="7844" customFormat="false" ht="15" hidden="false" customHeight="true" outlineLevel="0" collapsed="false">
      <c r="A7844" s="6" t="s">
        <v>10456</v>
      </c>
      <c r="B7844" s="6" t="s">
        <v>1671</v>
      </c>
      <c r="C7844" s="6" t="s">
        <v>116</v>
      </c>
      <c r="D7844" s="13" t="n">
        <v>46054</v>
      </c>
      <c r="E7844" s="14" t="n">
        <v>3131.3</v>
      </c>
      <c r="F7844" s="14" t="n">
        <v>27688.42</v>
      </c>
      <c r="G7844" s="6" t="s">
        <v>2613</v>
      </c>
    </row>
    <row r="7845" customFormat="false" ht="15" hidden="false" customHeight="true" outlineLevel="0" collapsed="false">
      <c r="A7845" s="6" t="s">
        <v>10457</v>
      </c>
      <c r="B7845" s="6" t="s">
        <v>1671</v>
      </c>
      <c r="C7845" s="6" t="s">
        <v>116</v>
      </c>
      <c r="D7845" s="13" t="n">
        <v>46061</v>
      </c>
      <c r="E7845" s="14" t="n">
        <v>3227.11</v>
      </c>
      <c r="F7845" s="14" t="n">
        <v>30915.53</v>
      </c>
      <c r="G7845" s="6" t="s">
        <v>2613</v>
      </c>
    </row>
    <row r="7846" customFormat="false" ht="15" hidden="false" customHeight="true" outlineLevel="0" collapsed="false">
      <c r="A7846" s="6" t="s">
        <v>10458</v>
      </c>
      <c r="B7846" s="6" t="s">
        <v>1671</v>
      </c>
      <c r="C7846" s="6" t="s">
        <v>116</v>
      </c>
      <c r="D7846" s="13" t="n">
        <v>46068</v>
      </c>
      <c r="E7846" s="14" t="n">
        <v>3060.24</v>
      </c>
      <c r="F7846" s="14" t="n">
        <v>33975.77</v>
      </c>
      <c r="G7846" s="6" t="s">
        <v>2613</v>
      </c>
    </row>
    <row r="7847" customFormat="false" ht="15" hidden="false" customHeight="true" outlineLevel="0" collapsed="false">
      <c r="A7847" s="6" t="s">
        <v>10459</v>
      </c>
      <c r="B7847" s="6" t="s">
        <v>1671</v>
      </c>
      <c r="C7847" s="6" t="s">
        <v>116</v>
      </c>
      <c r="D7847" s="13" t="n">
        <v>46075</v>
      </c>
      <c r="E7847" s="14" t="n">
        <v>3098.47</v>
      </c>
      <c r="F7847" s="14" t="n">
        <v>37074.24</v>
      </c>
      <c r="G7847" s="6" t="s">
        <v>2613</v>
      </c>
    </row>
    <row r="7848" customFormat="false" ht="15" hidden="false" customHeight="true" outlineLevel="0" collapsed="false">
      <c r="A7848" s="6" t="s">
        <v>10460</v>
      </c>
      <c r="B7848" s="6" t="s">
        <v>1671</v>
      </c>
      <c r="C7848" s="6" t="s">
        <v>116</v>
      </c>
      <c r="D7848" s="13" t="n">
        <v>46082</v>
      </c>
      <c r="E7848" s="14" t="n">
        <v>1873.52</v>
      </c>
      <c r="F7848" s="14" t="n">
        <v>38947.76</v>
      </c>
      <c r="G7848" s="6" t="s">
        <v>2613</v>
      </c>
    </row>
    <row r="7849" customFormat="false" ht="15" hidden="false" customHeight="true" outlineLevel="0" collapsed="false">
      <c r="A7849" s="6" t="s">
        <v>10461</v>
      </c>
      <c r="B7849" s="6" t="s">
        <v>1671</v>
      </c>
      <c r="C7849" s="6" t="s">
        <v>116</v>
      </c>
      <c r="D7849" s="13" t="n">
        <v>46089</v>
      </c>
      <c r="E7849" s="14" t="n">
        <v>1733.51</v>
      </c>
      <c r="F7849" s="14" t="n">
        <v>40681.27</v>
      </c>
      <c r="G7849" s="6" t="s">
        <v>2613</v>
      </c>
    </row>
    <row r="7850" customFormat="false" ht="15" hidden="false" customHeight="true" outlineLevel="0" collapsed="false">
      <c r="A7850" s="6" t="s">
        <v>10462</v>
      </c>
      <c r="B7850" s="6" t="s">
        <v>1671</v>
      </c>
      <c r="C7850" s="6" t="s">
        <v>116</v>
      </c>
      <c r="D7850" s="13" t="n">
        <v>46096</v>
      </c>
      <c r="E7850" s="14" t="n">
        <v>3312.3</v>
      </c>
      <c r="F7850" s="14" t="n">
        <v>43993.57</v>
      </c>
      <c r="G7850" s="6" t="s">
        <v>2613</v>
      </c>
    </row>
    <row r="7851" customFormat="false" ht="15" hidden="false" customHeight="true" outlineLevel="0" collapsed="false">
      <c r="A7851" s="6" t="s">
        <v>10463</v>
      </c>
      <c r="B7851" s="6" t="s">
        <v>1671</v>
      </c>
      <c r="C7851" s="6" t="s">
        <v>116</v>
      </c>
      <c r="D7851" s="13" t="n">
        <v>46103</v>
      </c>
      <c r="E7851" s="14" t="n">
        <v>2299.63</v>
      </c>
      <c r="F7851" s="14" t="n">
        <v>46293.2</v>
      </c>
      <c r="G7851" s="6" t="s">
        <v>2613</v>
      </c>
    </row>
    <row r="7852" customFormat="false" ht="15" hidden="false" customHeight="true" outlineLevel="0" collapsed="false">
      <c r="A7852" s="6" t="s">
        <v>10464</v>
      </c>
      <c r="B7852" s="6" t="s">
        <v>1671</v>
      </c>
      <c r="C7852" s="6" t="s">
        <v>116</v>
      </c>
      <c r="D7852" s="13" t="n">
        <v>46110</v>
      </c>
      <c r="E7852" s="14" t="n">
        <v>3065.59</v>
      </c>
      <c r="F7852" s="14" t="n">
        <v>49358.79</v>
      </c>
      <c r="G7852" s="6" t="s">
        <v>2613</v>
      </c>
    </row>
    <row r="7853" customFormat="false" ht="15" hidden="false" customHeight="true" outlineLevel="0" collapsed="false">
      <c r="A7853" s="6" t="s">
        <v>10465</v>
      </c>
      <c r="B7853" s="6" t="s">
        <v>1671</v>
      </c>
      <c r="C7853" s="6" t="s">
        <v>116</v>
      </c>
      <c r="D7853" s="13" t="n">
        <v>46117</v>
      </c>
      <c r="E7853" s="14" t="n">
        <v>1808.53</v>
      </c>
      <c r="F7853" s="14" t="n">
        <v>51167.32</v>
      </c>
      <c r="G7853" s="6" t="s">
        <v>2613</v>
      </c>
    </row>
    <row r="7854" customFormat="false" ht="15" hidden="false" customHeight="true" outlineLevel="0" collapsed="false">
      <c r="A7854" s="6" t="s">
        <v>10466</v>
      </c>
      <c r="B7854" s="6" t="s">
        <v>1671</v>
      </c>
      <c r="C7854" s="6" t="s">
        <v>116</v>
      </c>
      <c r="D7854" s="13" t="n">
        <v>46124</v>
      </c>
      <c r="E7854" s="14" t="n">
        <v>2067.21</v>
      </c>
      <c r="F7854" s="14" t="n">
        <v>53234.53</v>
      </c>
      <c r="G7854" s="6" t="s">
        <v>2613</v>
      </c>
    </row>
    <row r="7855" customFormat="false" ht="15" hidden="false" customHeight="true" outlineLevel="0" collapsed="false">
      <c r="A7855" s="6" t="s">
        <v>10467</v>
      </c>
      <c r="B7855" s="6" t="s">
        <v>1673</v>
      </c>
      <c r="C7855" s="6" t="s">
        <v>120</v>
      </c>
      <c r="D7855" s="13" t="n">
        <v>45378</v>
      </c>
      <c r="E7855" s="14" t="n">
        <v>6454.97</v>
      </c>
      <c r="F7855" s="14" t="n">
        <v>6454.97</v>
      </c>
      <c r="G7855" s="6" t="s">
        <v>2623</v>
      </c>
    </row>
    <row r="7856" customFormat="false" ht="15" hidden="false" customHeight="true" outlineLevel="0" collapsed="false">
      <c r="A7856" s="6" t="s">
        <v>10468</v>
      </c>
      <c r="B7856" s="6" t="s">
        <v>1673</v>
      </c>
      <c r="C7856" s="6" t="s">
        <v>120</v>
      </c>
      <c r="D7856" s="13" t="n">
        <v>45385</v>
      </c>
      <c r="E7856" s="14" t="n">
        <v>5580.53</v>
      </c>
      <c r="F7856" s="14" t="n">
        <v>12035.5</v>
      </c>
      <c r="G7856" s="6" t="s">
        <v>2613</v>
      </c>
    </row>
    <row r="7857" customFormat="false" ht="15" hidden="false" customHeight="true" outlineLevel="0" collapsed="false">
      <c r="A7857" s="6" t="s">
        <v>10469</v>
      </c>
      <c r="B7857" s="6" t="s">
        <v>1673</v>
      </c>
      <c r="C7857" s="6" t="s">
        <v>120</v>
      </c>
      <c r="D7857" s="13" t="n">
        <v>45392</v>
      </c>
      <c r="E7857" s="14" t="n">
        <v>5835.58</v>
      </c>
      <c r="F7857" s="14" t="n">
        <v>17871.08</v>
      </c>
      <c r="G7857" s="6" t="s">
        <v>2613</v>
      </c>
    </row>
    <row r="7858" customFormat="false" ht="15" hidden="false" customHeight="true" outlineLevel="0" collapsed="false">
      <c r="A7858" s="6" t="s">
        <v>10470</v>
      </c>
      <c r="B7858" s="6" t="s">
        <v>1673</v>
      </c>
      <c r="C7858" s="6" t="s">
        <v>120</v>
      </c>
      <c r="D7858" s="13" t="n">
        <v>45399</v>
      </c>
      <c r="E7858" s="14" t="n">
        <v>6198.31</v>
      </c>
      <c r="F7858" s="14" t="n">
        <v>24069.39</v>
      </c>
      <c r="G7858" s="6" t="s">
        <v>2613</v>
      </c>
    </row>
    <row r="7859" customFormat="false" ht="15" hidden="false" customHeight="true" outlineLevel="0" collapsed="false">
      <c r="A7859" s="6" t="s">
        <v>10471</v>
      </c>
      <c r="B7859" s="6" t="s">
        <v>1673</v>
      </c>
      <c r="C7859" s="6" t="s">
        <v>120</v>
      </c>
      <c r="D7859" s="13" t="n">
        <v>45406</v>
      </c>
      <c r="E7859" s="14" t="n">
        <v>4676.45</v>
      </c>
      <c r="F7859" s="14" t="n">
        <v>28745.84</v>
      </c>
      <c r="G7859" s="6" t="s">
        <v>2613</v>
      </c>
    </row>
    <row r="7860" customFormat="false" ht="15" hidden="false" customHeight="true" outlineLevel="0" collapsed="false">
      <c r="A7860" s="6" t="s">
        <v>10472</v>
      </c>
      <c r="B7860" s="6" t="s">
        <v>1673</v>
      </c>
      <c r="C7860" s="6" t="s">
        <v>120</v>
      </c>
      <c r="D7860" s="13" t="n">
        <v>45413</v>
      </c>
      <c r="E7860" s="14" t="n">
        <v>9581.93</v>
      </c>
      <c r="F7860" s="14" t="n">
        <v>38327.77</v>
      </c>
      <c r="G7860" s="6" t="s">
        <v>2613</v>
      </c>
    </row>
    <row r="7861" customFormat="false" ht="15" hidden="false" customHeight="true" outlineLevel="0" collapsed="false">
      <c r="A7861" s="6" t="s">
        <v>10473</v>
      </c>
      <c r="B7861" s="6" t="s">
        <v>1673</v>
      </c>
      <c r="C7861" s="6" t="s">
        <v>120</v>
      </c>
      <c r="D7861" s="13" t="n">
        <v>45420</v>
      </c>
      <c r="E7861" s="14" t="n">
        <v>7852.03</v>
      </c>
      <c r="F7861" s="14" t="n">
        <v>46179.8</v>
      </c>
      <c r="G7861" s="6" t="s">
        <v>2613</v>
      </c>
    </row>
    <row r="7862" customFormat="false" ht="15" hidden="false" customHeight="true" outlineLevel="0" collapsed="false">
      <c r="A7862" s="6" t="s">
        <v>10474</v>
      </c>
      <c r="B7862" s="6" t="s">
        <v>1673</v>
      </c>
      <c r="C7862" s="6" t="s">
        <v>120</v>
      </c>
      <c r="D7862" s="13" t="n">
        <v>45427</v>
      </c>
      <c r="E7862" s="14" t="n">
        <v>8662.17</v>
      </c>
      <c r="F7862" s="14" t="n">
        <v>54841.97</v>
      </c>
      <c r="G7862" s="6" t="s">
        <v>2613</v>
      </c>
    </row>
    <row r="7863" customFormat="false" ht="15" hidden="false" customHeight="true" outlineLevel="0" collapsed="false">
      <c r="A7863" s="6" t="s">
        <v>10475</v>
      </c>
      <c r="B7863" s="6" t="s">
        <v>1673</v>
      </c>
      <c r="C7863" s="6" t="s">
        <v>120</v>
      </c>
      <c r="D7863" s="13" t="n">
        <v>45434</v>
      </c>
      <c r="E7863" s="14" t="n">
        <v>10697.64</v>
      </c>
      <c r="F7863" s="14" t="n">
        <v>65539.61</v>
      </c>
      <c r="G7863" s="6" t="s">
        <v>2613</v>
      </c>
    </row>
    <row r="7864" customFormat="false" ht="15" hidden="false" customHeight="true" outlineLevel="0" collapsed="false">
      <c r="A7864" s="6" t="s">
        <v>10476</v>
      </c>
      <c r="B7864" s="6" t="s">
        <v>1675</v>
      </c>
      <c r="C7864" s="6" t="s">
        <v>131</v>
      </c>
      <c r="D7864" s="13" t="n">
        <v>46103</v>
      </c>
      <c r="E7864" s="14" t="n">
        <v>4335.52</v>
      </c>
      <c r="F7864" s="14" t="n">
        <v>4335.52</v>
      </c>
      <c r="G7864" s="6" t="s">
        <v>2613</v>
      </c>
    </row>
    <row r="7865" customFormat="false" ht="15" hidden="false" customHeight="true" outlineLevel="0" collapsed="false">
      <c r="A7865" s="6" t="s">
        <v>10477</v>
      </c>
      <c r="B7865" s="6" t="s">
        <v>1675</v>
      </c>
      <c r="C7865" s="6" t="s">
        <v>131</v>
      </c>
      <c r="D7865" s="13" t="n">
        <v>46110</v>
      </c>
      <c r="E7865" s="14" t="n">
        <v>4136.84</v>
      </c>
      <c r="F7865" s="14" t="n">
        <v>8472.36</v>
      </c>
      <c r="G7865" s="6" t="s">
        <v>2613</v>
      </c>
    </row>
    <row r="7866" customFormat="false" ht="15" hidden="false" customHeight="true" outlineLevel="0" collapsed="false">
      <c r="A7866" s="6" t="s">
        <v>10478</v>
      </c>
      <c r="B7866" s="6" t="s">
        <v>1675</v>
      </c>
      <c r="C7866" s="6" t="s">
        <v>131</v>
      </c>
      <c r="D7866" s="13" t="n">
        <v>46117</v>
      </c>
      <c r="E7866" s="14" t="n">
        <v>3219.28</v>
      </c>
      <c r="F7866" s="14" t="n">
        <v>11691.64</v>
      </c>
      <c r="G7866" s="6" t="s">
        <v>2613</v>
      </c>
    </row>
    <row r="7867" customFormat="false" ht="15" hidden="false" customHeight="true" outlineLevel="0" collapsed="false">
      <c r="A7867" s="6" t="s">
        <v>10479</v>
      </c>
      <c r="B7867" s="6" t="s">
        <v>1675</v>
      </c>
      <c r="C7867" s="6" t="s">
        <v>131</v>
      </c>
      <c r="D7867" s="13" t="n">
        <v>46124</v>
      </c>
      <c r="E7867" s="14" t="n">
        <v>5001.42</v>
      </c>
      <c r="F7867" s="14" t="n">
        <v>16693.06</v>
      </c>
      <c r="G7867" s="6" t="s">
        <v>2613</v>
      </c>
    </row>
    <row r="7868" customFormat="false" ht="15" hidden="false" customHeight="true" outlineLevel="0" collapsed="false">
      <c r="A7868" s="6" t="s">
        <v>10480</v>
      </c>
      <c r="B7868" s="6" t="s">
        <v>1675</v>
      </c>
      <c r="C7868" s="6" t="s">
        <v>131</v>
      </c>
      <c r="D7868" s="13" t="n">
        <v>46131</v>
      </c>
      <c r="E7868" s="14" t="n">
        <v>3755.32</v>
      </c>
      <c r="F7868" s="14" t="n">
        <v>20448.38</v>
      </c>
      <c r="G7868" s="6" t="s">
        <v>2623</v>
      </c>
    </row>
    <row r="7869" customFormat="false" ht="15" hidden="false" customHeight="true" outlineLevel="0" collapsed="false">
      <c r="A7869" s="6" t="s">
        <v>10481</v>
      </c>
      <c r="B7869" s="6" t="s">
        <v>1675</v>
      </c>
      <c r="C7869" s="6" t="s">
        <v>131</v>
      </c>
      <c r="D7869" s="13" t="n">
        <v>46138</v>
      </c>
      <c r="E7869" s="14" t="n">
        <v>2853.88</v>
      </c>
      <c r="F7869" s="14" t="n">
        <v>23302.26</v>
      </c>
      <c r="G7869" s="6" t="s">
        <v>2613</v>
      </c>
    </row>
    <row r="7870" customFormat="false" ht="15" hidden="false" customHeight="true" outlineLevel="0" collapsed="false">
      <c r="A7870" s="6" t="s">
        <v>10482</v>
      </c>
      <c r="B7870" s="6" t="s">
        <v>1675</v>
      </c>
      <c r="C7870" s="6" t="s">
        <v>131</v>
      </c>
      <c r="D7870" s="13" t="n">
        <v>46145</v>
      </c>
      <c r="E7870" s="14" t="n">
        <v>2813.19</v>
      </c>
      <c r="F7870" s="14" t="n">
        <v>26115.45</v>
      </c>
      <c r="G7870" s="6" t="s">
        <v>2613</v>
      </c>
    </row>
    <row r="7871" customFormat="false" ht="15" hidden="false" customHeight="true" outlineLevel="0" collapsed="false">
      <c r="A7871" s="6" t="s">
        <v>10483</v>
      </c>
      <c r="B7871" s="6" t="s">
        <v>1677</v>
      </c>
      <c r="C7871" s="6" t="s">
        <v>124</v>
      </c>
      <c r="D7871" s="13" t="n">
        <v>44840</v>
      </c>
      <c r="E7871" s="14" t="n">
        <v>3124.33</v>
      </c>
      <c r="F7871" s="14" t="n">
        <v>3124.33</v>
      </c>
      <c r="G7871" s="6" t="s">
        <v>2613</v>
      </c>
    </row>
    <row r="7872" customFormat="false" ht="15" hidden="false" customHeight="true" outlineLevel="0" collapsed="false">
      <c r="A7872" s="6" t="s">
        <v>10484</v>
      </c>
      <c r="B7872" s="6" t="s">
        <v>1677</v>
      </c>
      <c r="C7872" s="6" t="s">
        <v>124</v>
      </c>
      <c r="D7872" s="13" t="n">
        <v>44847</v>
      </c>
      <c r="E7872" s="14" t="n">
        <v>1775.87</v>
      </c>
      <c r="F7872" s="14" t="n">
        <v>4900.2</v>
      </c>
      <c r="G7872" s="6" t="s">
        <v>2613</v>
      </c>
    </row>
    <row r="7873" customFormat="false" ht="15" hidden="false" customHeight="true" outlineLevel="0" collapsed="false">
      <c r="A7873" s="6" t="s">
        <v>10485</v>
      </c>
      <c r="B7873" s="6" t="s">
        <v>1677</v>
      </c>
      <c r="C7873" s="6" t="s">
        <v>124</v>
      </c>
      <c r="D7873" s="13" t="n">
        <v>44854</v>
      </c>
      <c r="E7873" s="14" t="n">
        <v>3428.53</v>
      </c>
      <c r="F7873" s="14" t="n">
        <v>8328.73</v>
      </c>
      <c r="G7873" s="6" t="s">
        <v>2613</v>
      </c>
    </row>
    <row r="7874" customFormat="false" ht="15" hidden="false" customHeight="true" outlineLevel="0" collapsed="false">
      <c r="A7874" s="6" t="s">
        <v>10486</v>
      </c>
      <c r="B7874" s="6" t="s">
        <v>1677</v>
      </c>
      <c r="C7874" s="6" t="s">
        <v>124</v>
      </c>
      <c r="D7874" s="13" t="n">
        <v>44861</v>
      </c>
      <c r="E7874" s="14" t="n">
        <v>2060.9</v>
      </c>
      <c r="F7874" s="14" t="n">
        <v>10389.63</v>
      </c>
      <c r="G7874" s="6" t="s">
        <v>2613</v>
      </c>
    </row>
    <row r="7875" customFormat="false" ht="15" hidden="false" customHeight="true" outlineLevel="0" collapsed="false">
      <c r="A7875" s="6" t="s">
        <v>10487</v>
      </c>
      <c r="B7875" s="6" t="s">
        <v>1677</v>
      </c>
      <c r="C7875" s="6" t="s">
        <v>124</v>
      </c>
      <c r="D7875" s="13" t="n">
        <v>44868</v>
      </c>
      <c r="E7875" s="14" t="n">
        <v>2444.37</v>
      </c>
      <c r="F7875" s="14" t="n">
        <v>12834</v>
      </c>
      <c r="G7875" s="6" t="s">
        <v>2613</v>
      </c>
    </row>
    <row r="7876" customFormat="false" ht="15" hidden="false" customHeight="true" outlineLevel="0" collapsed="false">
      <c r="A7876" s="6" t="s">
        <v>10488</v>
      </c>
      <c r="B7876" s="6" t="s">
        <v>1677</v>
      </c>
      <c r="C7876" s="6" t="s">
        <v>124</v>
      </c>
      <c r="D7876" s="13" t="n">
        <v>44875</v>
      </c>
      <c r="E7876" s="14" t="n">
        <v>1966.84</v>
      </c>
      <c r="F7876" s="14" t="n">
        <v>14800.84</v>
      </c>
      <c r="G7876" s="6" t="s">
        <v>2613</v>
      </c>
    </row>
    <row r="7877" customFormat="false" ht="15" hidden="false" customHeight="true" outlineLevel="0" collapsed="false">
      <c r="A7877" s="6" t="s">
        <v>10489</v>
      </c>
      <c r="B7877" s="6" t="s">
        <v>1677</v>
      </c>
      <c r="C7877" s="6" t="s">
        <v>124</v>
      </c>
      <c r="D7877" s="13" t="n">
        <v>44882</v>
      </c>
      <c r="E7877" s="14" t="n">
        <v>2235.82</v>
      </c>
      <c r="F7877" s="14" t="n">
        <v>17036.66</v>
      </c>
      <c r="G7877" s="6" t="s">
        <v>2613</v>
      </c>
    </row>
    <row r="7878" customFormat="false" ht="15" hidden="false" customHeight="true" outlineLevel="0" collapsed="false">
      <c r="A7878" s="6" t="s">
        <v>10490</v>
      </c>
      <c r="B7878" s="6" t="s">
        <v>1677</v>
      </c>
      <c r="C7878" s="6" t="s">
        <v>124</v>
      </c>
      <c r="D7878" s="13" t="n">
        <v>44889</v>
      </c>
      <c r="E7878" s="14" t="n">
        <v>1776.05</v>
      </c>
      <c r="F7878" s="14" t="n">
        <v>18812.71</v>
      </c>
      <c r="G7878" s="6" t="s">
        <v>2613</v>
      </c>
    </row>
    <row r="7879" customFormat="false" ht="15" hidden="false" customHeight="true" outlineLevel="0" collapsed="false">
      <c r="A7879" s="6" t="s">
        <v>10491</v>
      </c>
      <c r="B7879" s="6" t="s">
        <v>1677</v>
      </c>
      <c r="C7879" s="6" t="s">
        <v>124</v>
      </c>
      <c r="D7879" s="13" t="n">
        <v>44896</v>
      </c>
      <c r="E7879" s="14" t="n">
        <v>2943.05</v>
      </c>
      <c r="F7879" s="14" t="n">
        <v>21755.76</v>
      </c>
      <c r="G7879" s="6" t="s">
        <v>2613</v>
      </c>
    </row>
    <row r="7880" customFormat="false" ht="15" hidden="false" customHeight="true" outlineLevel="0" collapsed="false">
      <c r="A7880" s="6" t="s">
        <v>10492</v>
      </c>
      <c r="B7880" s="6" t="s">
        <v>1677</v>
      </c>
      <c r="C7880" s="6" t="s">
        <v>124</v>
      </c>
      <c r="D7880" s="13" t="n">
        <v>44903</v>
      </c>
      <c r="E7880" s="14" t="n">
        <v>2142.79</v>
      </c>
      <c r="F7880" s="14" t="n">
        <v>23898.55</v>
      </c>
      <c r="G7880" s="6" t="s">
        <v>2613</v>
      </c>
    </row>
    <row r="7881" customFormat="false" ht="15" hidden="false" customHeight="true" outlineLevel="0" collapsed="false">
      <c r="A7881" s="6" t="s">
        <v>10493</v>
      </c>
      <c r="B7881" s="6" t="s">
        <v>1677</v>
      </c>
      <c r="C7881" s="6" t="s">
        <v>124</v>
      </c>
      <c r="D7881" s="13" t="n">
        <v>44910</v>
      </c>
      <c r="E7881" s="14" t="n">
        <v>3623.07</v>
      </c>
      <c r="F7881" s="14" t="n">
        <v>27521.62</v>
      </c>
      <c r="G7881" s="6" t="s">
        <v>2613</v>
      </c>
    </row>
    <row r="7882" customFormat="false" ht="15" hidden="false" customHeight="true" outlineLevel="0" collapsed="false">
      <c r="A7882" s="6" t="s">
        <v>10494</v>
      </c>
      <c r="B7882" s="6" t="s">
        <v>1677</v>
      </c>
      <c r="C7882" s="6" t="s">
        <v>124</v>
      </c>
      <c r="D7882" s="13" t="n">
        <v>44917</v>
      </c>
      <c r="E7882" s="14" t="n">
        <v>2147.62</v>
      </c>
      <c r="F7882" s="14" t="n">
        <v>29669.24</v>
      </c>
      <c r="G7882" s="6" t="s">
        <v>2613</v>
      </c>
    </row>
    <row r="7883" customFormat="false" ht="15" hidden="false" customHeight="true" outlineLevel="0" collapsed="false">
      <c r="A7883" s="6" t="s">
        <v>10495</v>
      </c>
      <c r="B7883" s="6" t="s">
        <v>1677</v>
      </c>
      <c r="C7883" s="6" t="s">
        <v>124</v>
      </c>
      <c r="D7883" s="13" t="n">
        <v>44924</v>
      </c>
      <c r="E7883" s="14" t="n">
        <v>2983.74</v>
      </c>
      <c r="F7883" s="14" t="n">
        <v>32652.98</v>
      </c>
      <c r="G7883" s="6" t="s">
        <v>2613</v>
      </c>
    </row>
    <row r="7884" customFormat="false" ht="15" hidden="false" customHeight="true" outlineLevel="0" collapsed="false">
      <c r="A7884" s="6" t="s">
        <v>10496</v>
      </c>
      <c r="B7884" s="6" t="s">
        <v>1677</v>
      </c>
      <c r="C7884" s="6" t="s">
        <v>124</v>
      </c>
      <c r="D7884" s="13" t="n">
        <v>44931</v>
      </c>
      <c r="E7884" s="14" t="n">
        <v>2166.05</v>
      </c>
      <c r="F7884" s="14" t="n">
        <v>34819.03</v>
      </c>
      <c r="G7884" s="6" t="s">
        <v>2613</v>
      </c>
    </row>
    <row r="7885" customFormat="false" ht="15" hidden="false" customHeight="true" outlineLevel="0" collapsed="false">
      <c r="A7885" s="6" t="s">
        <v>10497</v>
      </c>
      <c r="B7885" s="6" t="s">
        <v>1677</v>
      </c>
      <c r="C7885" s="6" t="s">
        <v>124</v>
      </c>
      <c r="D7885" s="13" t="n">
        <v>44938</v>
      </c>
      <c r="E7885" s="14" t="n">
        <v>3164.23</v>
      </c>
      <c r="F7885" s="14" t="n">
        <v>37983.26</v>
      </c>
      <c r="G7885" s="6" t="s">
        <v>2623</v>
      </c>
    </row>
    <row r="7886" customFormat="false" ht="15" hidden="false" customHeight="true" outlineLevel="0" collapsed="false">
      <c r="A7886" s="6" t="s">
        <v>10498</v>
      </c>
      <c r="B7886" s="6" t="s">
        <v>1677</v>
      </c>
      <c r="C7886" s="6" t="s">
        <v>124</v>
      </c>
      <c r="D7886" s="13" t="n">
        <v>44945</v>
      </c>
      <c r="E7886" s="14" t="n">
        <v>2842.29</v>
      </c>
      <c r="F7886" s="14" t="n">
        <v>40825.55</v>
      </c>
      <c r="G7886" s="6" t="s">
        <v>2613</v>
      </c>
    </row>
    <row r="7887" customFormat="false" ht="15" hidden="false" customHeight="true" outlineLevel="0" collapsed="false">
      <c r="A7887" s="6" t="s">
        <v>10499</v>
      </c>
      <c r="B7887" s="6" t="s">
        <v>1677</v>
      </c>
      <c r="C7887" s="6" t="s">
        <v>124</v>
      </c>
      <c r="D7887" s="13" t="n">
        <v>44952</v>
      </c>
      <c r="E7887" s="14" t="n">
        <v>2316.54</v>
      </c>
      <c r="F7887" s="14" t="n">
        <v>43142.09</v>
      </c>
      <c r="G7887" s="6" t="s">
        <v>2613</v>
      </c>
    </row>
    <row r="7888" customFormat="false" ht="15" hidden="false" customHeight="true" outlineLevel="0" collapsed="false">
      <c r="A7888" s="6" t="s">
        <v>10500</v>
      </c>
      <c r="B7888" s="6" t="s">
        <v>1677</v>
      </c>
      <c r="C7888" s="6" t="s">
        <v>124</v>
      </c>
      <c r="D7888" s="13" t="n">
        <v>44959</v>
      </c>
      <c r="E7888" s="14" t="n">
        <v>1769.14</v>
      </c>
      <c r="F7888" s="14" t="n">
        <v>44911.23</v>
      </c>
      <c r="G7888" s="6" t="s">
        <v>2613</v>
      </c>
    </row>
    <row r="7889" customFormat="false" ht="15" hidden="false" customHeight="true" outlineLevel="0" collapsed="false">
      <c r="A7889" s="6" t="s">
        <v>10501</v>
      </c>
      <c r="B7889" s="6" t="s">
        <v>1677</v>
      </c>
      <c r="C7889" s="6" t="s">
        <v>124</v>
      </c>
      <c r="D7889" s="13" t="n">
        <v>44966</v>
      </c>
      <c r="E7889" s="14" t="n">
        <v>2660.99</v>
      </c>
      <c r="F7889" s="14" t="n">
        <v>47572.22</v>
      </c>
      <c r="G7889" s="6" t="s">
        <v>2613</v>
      </c>
    </row>
    <row r="7890" customFormat="false" ht="15" hidden="false" customHeight="true" outlineLevel="0" collapsed="false">
      <c r="A7890" s="6" t="s">
        <v>10502</v>
      </c>
      <c r="B7890" s="6" t="s">
        <v>1677</v>
      </c>
      <c r="C7890" s="6" t="s">
        <v>124</v>
      </c>
      <c r="D7890" s="13" t="n">
        <v>44973</v>
      </c>
      <c r="E7890" s="14" t="n">
        <v>3639.59</v>
      </c>
      <c r="F7890" s="14" t="n">
        <v>51211.81</v>
      </c>
      <c r="G7890" s="6" t="s">
        <v>2613</v>
      </c>
    </row>
    <row r="7891" customFormat="false" ht="15" hidden="false" customHeight="true" outlineLevel="0" collapsed="false">
      <c r="A7891" s="6" t="s">
        <v>10503</v>
      </c>
      <c r="B7891" s="6" t="s">
        <v>1677</v>
      </c>
      <c r="C7891" s="6" t="s">
        <v>124</v>
      </c>
      <c r="D7891" s="13" t="n">
        <v>44980</v>
      </c>
      <c r="E7891" s="14" t="n">
        <v>2154.38</v>
      </c>
      <c r="F7891" s="14" t="n">
        <v>53366.19</v>
      </c>
      <c r="G7891" s="6" t="s">
        <v>2613</v>
      </c>
    </row>
    <row r="7892" customFormat="false" ht="15" hidden="false" customHeight="true" outlineLevel="0" collapsed="false">
      <c r="A7892" s="6" t="s">
        <v>10504</v>
      </c>
      <c r="B7892" s="6" t="s">
        <v>1677</v>
      </c>
      <c r="C7892" s="6" t="s">
        <v>124</v>
      </c>
      <c r="D7892" s="13" t="n">
        <v>44987</v>
      </c>
      <c r="E7892" s="14" t="n">
        <v>2789.77</v>
      </c>
      <c r="F7892" s="14" t="n">
        <v>56155.96</v>
      </c>
      <c r="G7892" s="6" t="s">
        <v>2613</v>
      </c>
    </row>
    <row r="7893" customFormat="false" ht="15" hidden="false" customHeight="true" outlineLevel="0" collapsed="false">
      <c r="A7893" s="6" t="s">
        <v>10505</v>
      </c>
      <c r="B7893" s="6" t="s">
        <v>1677</v>
      </c>
      <c r="C7893" s="6" t="s">
        <v>124</v>
      </c>
      <c r="D7893" s="13" t="n">
        <v>44994</v>
      </c>
      <c r="E7893" s="14" t="n">
        <v>2619.42</v>
      </c>
      <c r="F7893" s="14" t="n">
        <v>58775.38</v>
      </c>
      <c r="G7893" s="6" t="s">
        <v>2613</v>
      </c>
    </row>
    <row r="7894" customFormat="false" ht="15" hidden="false" customHeight="true" outlineLevel="0" collapsed="false">
      <c r="A7894" s="6" t="s">
        <v>10506</v>
      </c>
      <c r="B7894" s="6" t="s">
        <v>1677</v>
      </c>
      <c r="C7894" s="6" t="s">
        <v>124</v>
      </c>
      <c r="D7894" s="13" t="n">
        <v>45001</v>
      </c>
      <c r="E7894" s="14" t="n">
        <v>4343.5</v>
      </c>
      <c r="F7894" s="14" t="n">
        <v>63118.88</v>
      </c>
      <c r="G7894" s="6" t="s">
        <v>2613</v>
      </c>
    </row>
    <row r="7895" customFormat="false" ht="15" hidden="false" customHeight="true" outlineLevel="0" collapsed="false">
      <c r="A7895" s="6" t="s">
        <v>10507</v>
      </c>
      <c r="B7895" s="6" t="s">
        <v>1679</v>
      </c>
      <c r="C7895" s="6" t="s">
        <v>131</v>
      </c>
      <c r="D7895" s="13" t="n">
        <v>44683</v>
      </c>
      <c r="E7895" s="14" t="n">
        <v>2873.4</v>
      </c>
      <c r="F7895" s="14" t="n">
        <v>2873.4</v>
      </c>
      <c r="G7895" s="6" t="s">
        <v>2623</v>
      </c>
    </row>
    <row r="7896" customFormat="false" ht="15" hidden="false" customHeight="true" outlineLevel="0" collapsed="false">
      <c r="A7896" s="6" t="s">
        <v>10508</v>
      </c>
      <c r="B7896" s="6" t="s">
        <v>1679</v>
      </c>
      <c r="C7896" s="6" t="s">
        <v>131</v>
      </c>
      <c r="D7896" s="13" t="n">
        <v>44690</v>
      </c>
      <c r="E7896" s="14" t="n">
        <v>4179.79</v>
      </c>
      <c r="F7896" s="14" t="n">
        <v>7053.19</v>
      </c>
      <c r="G7896" s="6" t="s">
        <v>2613</v>
      </c>
    </row>
    <row r="7897" customFormat="false" ht="15" hidden="false" customHeight="true" outlineLevel="0" collapsed="false">
      <c r="A7897" s="6" t="s">
        <v>10509</v>
      </c>
      <c r="B7897" s="6" t="s">
        <v>1679</v>
      </c>
      <c r="C7897" s="6" t="s">
        <v>131</v>
      </c>
      <c r="D7897" s="13" t="n">
        <v>44697</v>
      </c>
      <c r="E7897" s="14" t="n">
        <v>1966.54</v>
      </c>
      <c r="F7897" s="14" t="n">
        <v>9019.73</v>
      </c>
      <c r="G7897" s="6" t="s">
        <v>2613</v>
      </c>
    </row>
    <row r="7898" customFormat="false" ht="15" hidden="false" customHeight="true" outlineLevel="0" collapsed="false">
      <c r="A7898" s="6" t="s">
        <v>10510</v>
      </c>
      <c r="B7898" s="6" t="s">
        <v>1679</v>
      </c>
      <c r="C7898" s="6" t="s">
        <v>131</v>
      </c>
      <c r="D7898" s="13" t="n">
        <v>44704</v>
      </c>
      <c r="E7898" s="14" t="n">
        <v>2867.8</v>
      </c>
      <c r="F7898" s="14" t="n">
        <v>11887.53</v>
      </c>
      <c r="G7898" s="6" t="s">
        <v>2613</v>
      </c>
    </row>
    <row r="7899" customFormat="false" ht="15" hidden="false" customHeight="true" outlineLevel="0" collapsed="false">
      <c r="A7899" s="6" t="s">
        <v>10511</v>
      </c>
      <c r="B7899" s="6" t="s">
        <v>1679</v>
      </c>
      <c r="C7899" s="6" t="s">
        <v>131</v>
      </c>
      <c r="D7899" s="13" t="n">
        <v>44711</v>
      </c>
      <c r="E7899" s="14" t="n">
        <v>2356.42</v>
      </c>
      <c r="F7899" s="14" t="n">
        <v>14243.95</v>
      </c>
      <c r="G7899" s="6" t="s">
        <v>2613</v>
      </c>
    </row>
    <row r="7900" customFormat="false" ht="15" hidden="false" customHeight="true" outlineLevel="0" collapsed="false">
      <c r="A7900" s="6" t="s">
        <v>10512</v>
      </c>
      <c r="B7900" s="6" t="s">
        <v>1679</v>
      </c>
      <c r="C7900" s="6" t="s">
        <v>131</v>
      </c>
      <c r="D7900" s="13" t="n">
        <v>44718</v>
      </c>
      <c r="E7900" s="14" t="n">
        <v>4403.12</v>
      </c>
      <c r="F7900" s="14" t="n">
        <v>18647.07</v>
      </c>
      <c r="G7900" s="6" t="s">
        <v>2623</v>
      </c>
    </row>
    <row r="7901" customFormat="false" ht="15" hidden="false" customHeight="true" outlineLevel="0" collapsed="false">
      <c r="A7901" s="6" t="s">
        <v>10513</v>
      </c>
      <c r="B7901" s="6" t="s">
        <v>1679</v>
      </c>
      <c r="C7901" s="6" t="s">
        <v>131</v>
      </c>
      <c r="D7901" s="13" t="n">
        <v>44725</v>
      </c>
      <c r="E7901" s="14" t="n">
        <v>3494.08</v>
      </c>
      <c r="F7901" s="14" t="n">
        <v>22141.15</v>
      </c>
      <c r="G7901" s="6" t="s">
        <v>2613</v>
      </c>
    </row>
    <row r="7902" customFormat="false" ht="15" hidden="false" customHeight="true" outlineLevel="0" collapsed="false">
      <c r="A7902" s="6" t="s">
        <v>10514</v>
      </c>
      <c r="B7902" s="6" t="s">
        <v>1681</v>
      </c>
      <c r="C7902" s="6" t="s">
        <v>116</v>
      </c>
      <c r="D7902" s="13" t="n">
        <v>45669</v>
      </c>
      <c r="E7902" s="14" t="n">
        <v>2864.16</v>
      </c>
      <c r="F7902" s="14" t="n">
        <v>2864.16</v>
      </c>
      <c r="G7902" s="6" t="s">
        <v>2623</v>
      </c>
    </row>
    <row r="7903" customFormat="false" ht="15" hidden="false" customHeight="true" outlineLevel="0" collapsed="false">
      <c r="A7903" s="6" t="s">
        <v>10515</v>
      </c>
      <c r="B7903" s="6" t="s">
        <v>1681</v>
      </c>
      <c r="C7903" s="6" t="s">
        <v>116</v>
      </c>
      <c r="D7903" s="13" t="n">
        <v>45676</v>
      </c>
      <c r="E7903" s="14" t="n">
        <v>5344.3</v>
      </c>
      <c r="F7903" s="14" t="n">
        <v>8208.46</v>
      </c>
      <c r="G7903" s="6" t="s">
        <v>2613</v>
      </c>
    </row>
    <row r="7904" customFormat="false" ht="15" hidden="false" customHeight="true" outlineLevel="0" collapsed="false">
      <c r="A7904" s="6" t="s">
        <v>10516</v>
      </c>
      <c r="B7904" s="6" t="s">
        <v>1681</v>
      </c>
      <c r="C7904" s="6" t="s">
        <v>116</v>
      </c>
      <c r="D7904" s="13" t="n">
        <v>45683</v>
      </c>
      <c r="E7904" s="14" t="n">
        <v>3200.61</v>
      </c>
      <c r="F7904" s="14" t="n">
        <v>11409.07</v>
      </c>
      <c r="G7904" s="6" t="s">
        <v>2613</v>
      </c>
    </row>
    <row r="7905" customFormat="false" ht="15" hidden="false" customHeight="true" outlineLevel="0" collapsed="false">
      <c r="A7905" s="6" t="s">
        <v>10517</v>
      </c>
      <c r="B7905" s="6" t="s">
        <v>1681</v>
      </c>
      <c r="C7905" s="6" t="s">
        <v>116</v>
      </c>
      <c r="D7905" s="13" t="n">
        <v>45690</v>
      </c>
      <c r="E7905" s="14" t="n">
        <v>5388.66</v>
      </c>
      <c r="F7905" s="14" t="n">
        <v>16797.73</v>
      </c>
      <c r="G7905" s="6" t="s">
        <v>2613</v>
      </c>
    </row>
    <row r="7906" customFormat="false" ht="15" hidden="false" customHeight="true" outlineLevel="0" collapsed="false">
      <c r="A7906" s="6" t="s">
        <v>10518</v>
      </c>
      <c r="B7906" s="6" t="s">
        <v>1681</v>
      </c>
      <c r="C7906" s="6" t="s">
        <v>116</v>
      </c>
      <c r="D7906" s="13" t="n">
        <v>45697</v>
      </c>
      <c r="E7906" s="14" t="n">
        <v>5210.82</v>
      </c>
      <c r="F7906" s="14" t="n">
        <v>22008.55</v>
      </c>
      <c r="G7906" s="6" t="s">
        <v>2613</v>
      </c>
    </row>
    <row r="7907" customFormat="false" ht="15" hidden="false" customHeight="true" outlineLevel="0" collapsed="false">
      <c r="A7907" s="6" t="s">
        <v>10519</v>
      </c>
      <c r="B7907" s="6" t="s">
        <v>1681</v>
      </c>
      <c r="C7907" s="6" t="s">
        <v>116</v>
      </c>
      <c r="D7907" s="13" t="n">
        <v>45704</v>
      </c>
      <c r="E7907" s="14" t="n">
        <v>3501.57</v>
      </c>
      <c r="F7907" s="14" t="n">
        <v>25510.12</v>
      </c>
      <c r="G7907" s="6" t="s">
        <v>2613</v>
      </c>
    </row>
    <row r="7908" customFormat="false" ht="15" hidden="false" customHeight="true" outlineLevel="0" collapsed="false">
      <c r="A7908" s="6" t="s">
        <v>10520</v>
      </c>
      <c r="B7908" s="6" t="s">
        <v>1681</v>
      </c>
      <c r="C7908" s="6" t="s">
        <v>116</v>
      </c>
      <c r="D7908" s="13" t="n">
        <v>45711</v>
      </c>
      <c r="E7908" s="14" t="n">
        <v>3054.22</v>
      </c>
      <c r="F7908" s="14" t="n">
        <v>28564.34</v>
      </c>
      <c r="G7908" s="6" t="s">
        <v>2623</v>
      </c>
    </row>
    <row r="7909" customFormat="false" ht="15" hidden="false" customHeight="true" outlineLevel="0" collapsed="false">
      <c r="A7909" s="6" t="s">
        <v>10521</v>
      </c>
      <c r="B7909" s="6" t="s">
        <v>1681</v>
      </c>
      <c r="C7909" s="6" t="s">
        <v>116</v>
      </c>
      <c r="D7909" s="13" t="n">
        <v>45718</v>
      </c>
      <c r="E7909" s="14" t="n">
        <v>3991.57</v>
      </c>
      <c r="F7909" s="14" t="n">
        <v>32555.91</v>
      </c>
      <c r="G7909" s="6" t="s">
        <v>2613</v>
      </c>
    </row>
    <row r="7910" customFormat="false" ht="15" hidden="false" customHeight="true" outlineLevel="0" collapsed="false">
      <c r="A7910" s="6" t="s">
        <v>10522</v>
      </c>
      <c r="B7910" s="6" t="s">
        <v>1681</v>
      </c>
      <c r="C7910" s="6" t="s">
        <v>116</v>
      </c>
      <c r="D7910" s="13" t="n">
        <v>45725</v>
      </c>
      <c r="E7910" s="14" t="n">
        <v>5079.11</v>
      </c>
      <c r="F7910" s="14" t="n">
        <v>37635.02</v>
      </c>
      <c r="G7910" s="6" t="s">
        <v>2613</v>
      </c>
    </row>
    <row r="7911" customFormat="false" ht="15" hidden="false" customHeight="true" outlineLevel="0" collapsed="false">
      <c r="A7911" s="6" t="s">
        <v>10523</v>
      </c>
      <c r="B7911" s="6" t="s">
        <v>1681</v>
      </c>
      <c r="C7911" s="6" t="s">
        <v>116</v>
      </c>
      <c r="D7911" s="13" t="n">
        <v>45732</v>
      </c>
      <c r="E7911" s="14" t="n">
        <v>3198.71</v>
      </c>
      <c r="F7911" s="14" t="n">
        <v>40833.73</v>
      </c>
      <c r="G7911" s="6" t="s">
        <v>2613</v>
      </c>
    </row>
    <row r="7912" customFormat="false" ht="15" hidden="false" customHeight="true" outlineLevel="0" collapsed="false">
      <c r="A7912" s="6" t="s">
        <v>10524</v>
      </c>
      <c r="B7912" s="6" t="s">
        <v>1681</v>
      </c>
      <c r="C7912" s="6" t="s">
        <v>116</v>
      </c>
      <c r="D7912" s="13" t="n">
        <v>45739</v>
      </c>
      <c r="E7912" s="14" t="n">
        <v>4840.78</v>
      </c>
      <c r="F7912" s="14" t="n">
        <v>45674.51</v>
      </c>
      <c r="G7912" s="6" t="s">
        <v>2613</v>
      </c>
    </row>
    <row r="7913" customFormat="false" ht="15" hidden="false" customHeight="true" outlineLevel="0" collapsed="false">
      <c r="A7913" s="6" t="s">
        <v>10525</v>
      </c>
      <c r="B7913" s="6" t="s">
        <v>1681</v>
      </c>
      <c r="C7913" s="6" t="s">
        <v>116</v>
      </c>
      <c r="D7913" s="13" t="n">
        <v>45746</v>
      </c>
      <c r="E7913" s="14" t="n">
        <v>3330.41</v>
      </c>
      <c r="F7913" s="14" t="n">
        <v>49004.92</v>
      </c>
      <c r="G7913" s="6" t="s">
        <v>2613</v>
      </c>
    </row>
    <row r="7914" customFormat="false" ht="15" hidden="false" customHeight="true" outlineLevel="0" collapsed="false">
      <c r="A7914" s="6" t="s">
        <v>10526</v>
      </c>
      <c r="B7914" s="6" t="s">
        <v>1681</v>
      </c>
      <c r="C7914" s="6" t="s">
        <v>116</v>
      </c>
      <c r="D7914" s="13" t="n">
        <v>45753</v>
      </c>
      <c r="E7914" s="14" t="n">
        <v>3257.74</v>
      </c>
      <c r="F7914" s="14" t="n">
        <v>52262.66</v>
      </c>
      <c r="G7914" s="6" t="s">
        <v>2613</v>
      </c>
    </row>
    <row r="7915" customFormat="false" ht="15" hidden="false" customHeight="true" outlineLevel="0" collapsed="false">
      <c r="A7915" s="6" t="s">
        <v>10527</v>
      </c>
      <c r="B7915" s="6" t="s">
        <v>1681</v>
      </c>
      <c r="C7915" s="6" t="s">
        <v>116</v>
      </c>
      <c r="D7915" s="13" t="n">
        <v>45760</v>
      </c>
      <c r="E7915" s="14" t="n">
        <v>5739.67</v>
      </c>
      <c r="F7915" s="14" t="n">
        <v>58002.33</v>
      </c>
      <c r="G7915" s="6" t="s">
        <v>2613</v>
      </c>
    </row>
    <row r="7916" customFormat="false" ht="15" hidden="false" customHeight="true" outlineLevel="0" collapsed="false">
      <c r="A7916" s="6" t="s">
        <v>10528</v>
      </c>
      <c r="B7916" s="6" t="s">
        <v>1681</v>
      </c>
      <c r="C7916" s="6" t="s">
        <v>116</v>
      </c>
      <c r="D7916" s="13" t="n">
        <v>45767</v>
      </c>
      <c r="E7916" s="14" t="n">
        <v>3844.12</v>
      </c>
      <c r="F7916" s="14" t="n">
        <v>61846.45</v>
      </c>
      <c r="G7916" s="6" t="s">
        <v>2613</v>
      </c>
    </row>
    <row r="7917" customFormat="false" ht="15" hidden="false" customHeight="true" outlineLevel="0" collapsed="false">
      <c r="A7917" s="6" t="s">
        <v>10529</v>
      </c>
      <c r="B7917" s="6" t="s">
        <v>1681</v>
      </c>
      <c r="C7917" s="6" t="s">
        <v>116</v>
      </c>
      <c r="D7917" s="13" t="n">
        <v>45774</v>
      </c>
      <c r="E7917" s="14" t="n">
        <v>3413.08</v>
      </c>
      <c r="F7917" s="14" t="n">
        <v>65259.53</v>
      </c>
      <c r="G7917" s="6" t="s">
        <v>2623</v>
      </c>
    </row>
    <row r="7918" customFormat="false" ht="15" hidden="false" customHeight="true" outlineLevel="0" collapsed="false">
      <c r="A7918" s="6" t="s">
        <v>10530</v>
      </c>
      <c r="B7918" s="6" t="s">
        <v>1681</v>
      </c>
      <c r="C7918" s="6" t="s">
        <v>116</v>
      </c>
      <c r="D7918" s="13" t="n">
        <v>45781</v>
      </c>
      <c r="E7918" s="14" t="n">
        <v>6950.6</v>
      </c>
      <c r="F7918" s="14" t="n">
        <v>72210.13</v>
      </c>
      <c r="G7918" s="6" t="s">
        <v>2613</v>
      </c>
    </row>
    <row r="7919" customFormat="false" ht="15" hidden="false" customHeight="true" outlineLevel="0" collapsed="false">
      <c r="A7919" s="6" t="s">
        <v>10531</v>
      </c>
      <c r="B7919" s="6" t="s">
        <v>1683</v>
      </c>
      <c r="C7919" s="6" t="s">
        <v>120</v>
      </c>
      <c r="D7919" s="13" t="n">
        <v>44613</v>
      </c>
      <c r="E7919" s="14" t="n">
        <v>2764.04</v>
      </c>
      <c r="F7919" s="14" t="n">
        <v>2764.04</v>
      </c>
      <c r="G7919" s="6" t="s">
        <v>2613</v>
      </c>
    </row>
    <row r="7920" customFormat="false" ht="15" hidden="false" customHeight="true" outlineLevel="0" collapsed="false">
      <c r="A7920" s="6" t="s">
        <v>10532</v>
      </c>
      <c r="B7920" s="6" t="s">
        <v>1683</v>
      </c>
      <c r="C7920" s="6" t="s">
        <v>120</v>
      </c>
      <c r="D7920" s="13" t="n">
        <v>44620</v>
      </c>
      <c r="E7920" s="14" t="n">
        <v>2218.18</v>
      </c>
      <c r="F7920" s="14" t="n">
        <v>4982.22</v>
      </c>
      <c r="G7920" s="6" t="s">
        <v>2613</v>
      </c>
    </row>
    <row r="7921" customFormat="false" ht="15" hidden="false" customHeight="true" outlineLevel="0" collapsed="false">
      <c r="A7921" s="6" t="s">
        <v>10533</v>
      </c>
      <c r="B7921" s="6" t="s">
        <v>1683</v>
      </c>
      <c r="C7921" s="6" t="s">
        <v>120</v>
      </c>
      <c r="D7921" s="13" t="n">
        <v>44627</v>
      </c>
      <c r="E7921" s="14" t="n">
        <v>2496.11</v>
      </c>
      <c r="F7921" s="14" t="n">
        <v>7478.33</v>
      </c>
      <c r="G7921" s="6" t="s">
        <v>2613</v>
      </c>
    </row>
    <row r="7922" customFormat="false" ht="15" hidden="false" customHeight="true" outlineLevel="0" collapsed="false">
      <c r="A7922" s="6" t="s">
        <v>10534</v>
      </c>
      <c r="B7922" s="6" t="s">
        <v>1683</v>
      </c>
      <c r="C7922" s="6" t="s">
        <v>120</v>
      </c>
      <c r="D7922" s="13" t="n">
        <v>44634</v>
      </c>
      <c r="E7922" s="14" t="n">
        <v>2178.39</v>
      </c>
      <c r="F7922" s="14" t="n">
        <v>9656.72</v>
      </c>
      <c r="G7922" s="6" t="s">
        <v>2613</v>
      </c>
    </row>
    <row r="7923" customFormat="false" ht="15" hidden="false" customHeight="true" outlineLevel="0" collapsed="false">
      <c r="A7923" s="6" t="s">
        <v>10535</v>
      </c>
      <c r="B7923" s="6" t="s">
        <v>1683</v>
      </c>
      <c r="C7923" s="6" t="s">
        <v>120</v>
      </c>
      <c r="D7923" s="13" t="n">
        <v>44641</v>
      </c>
      <c r="E7923" s="14" t="n">
        <v>2679.2</v>
      </c>
      <c r="F7923" s="14" t="n">
        <v>12335.92</v>
      </c>
      <c r="G7923" s="6" t="s">
        <v>2613</v>
      </c>
    </row>
    <row r="7924" customFormat="false" ht="15" hidden="false" customHeight="true" outlineLevel="0" collapsed="false">
      <c r="A7924" s="6" t="s">
        <v>10536</v>
      </c>
      <c r="B7924" s="6" t="s">
        <v>1683</v>
      </c>
      <c r="C7924" s="6" t="s">
        <v>120</v>
      </c>
      <c r="D7924" s="13" t="n">
        <v>44648</v>
      </c>
      <c r="E7924" s="14" t="n">
        <v>2590.17</v>
      </c>
      <c r="F7924" s="14" t="n">
        <v>14926.09</v>
      </c>
      <c r="G7924" s="6" t="s">
        <v>2613</v>
      </c>
    </row>
    <row r="7925" customFormat="false" ht="15" hidden="false" customHeight="true" outlineLevel="0" collapsed="false">
      <c r="A7925" s="6" t="s">
        <v>10537</v>
      </c>
      <c r="B7925" s="6" t="s">
        <v>1683</v>
      </c>
      <c r="C7925" s="6" t="s">
        <v>120</v>
      </c>
      <c r="D7925" s="13" t="n">
        <v>44655</v>
      </c>
      <c r="E7925" s="14" t="n">
        <v>1886.83</v>
      </c>
      <c r="F7925" s="14" t="n">
        <v>16812.92</v>
      </c>
      <c r="G7925" s="6" t="s">
        <v>2613</v>
      </c>
    </row>
    <row r="7926" customFormat="false" ht="15" hidden="false" customHeight="true" outlineLevel="0" collapsed="false">
      <c r="A7926" s="6" t="s">
        <v>10538</v>
      </c>
      <c r="B7926" s="6" t="s">
        <v>1683</v>
      </c>
      <c r="C7926" s="6" t="s">
        <v>120</v>
      </c>
      <c r="D7926" s="13" t="n">
        <v>44662</v>
      </c>
      <c r="E7926" s="14" t="n">
        <v>2602.99</v>
      </c>
      <c r="F7926" s="14" t="n">
        <v>19415.91</v>
      </c>
      <c r="G7926" s="6" t="s">
        <v>2613</v>
      </c>
    </row>
    <row r="7927" customFormat="false" ht="15" hidden="false" customHeight="true" outlineLevel="0" collapsed="false">
      <c r="A7927" s="6" t="s">
        <v>10539</v>
      </c>
      <c r="B7927" s="6" t="s">
        <v>1683</v>
      </c>
      <c r="C7927" s="6" t="s">
        <v>120</v>
      </c>
      <c r="D7927" s="13" t="n">
        <v>44669</v>
      </c>
      <c r="E7927" s="14" t="n">
        <v>1726.25</v>
      </c>
      <c r="F7927" s="14" t="n">
        <v>21142.16</v>
      </c>
      <c r="G7927" s="6" t="s">
        <v>2613</v>
      </c>
    </row>
    <row r="7928" customFormat="false" ht="15" hidden="false" customHeight="true" outlineLevel="0" collapsed="false">
      <c r="A7928" s="6" t="s">
        <v>10540</v>
      </c>
      <c r="B7928" s="6" t="s">
        <v>1683</v>
      </c>
      <c r="C7928" s="6" t="s">
        <v>120</v>
      </c>
      <c r="D7928" s="13" t="n">
        <v>44676</v>
      </c>
      <c r="E7928" s="14" t="n">
        <v>901.76</v>
      </c>
      <c r="F7928" s="14" t="n">
        <v>22043.92</v>
      </c>
      <c r="G7928" s="6" t="s">
        <v>2613</v>
      </c>
    </row>
    <row r="7929" customFormat="false" ht="15" hidden="false" customHeight="true" outlineLevel="0" collapsed="false">
      <c r="A7929" s="6" t="s">
        <v>10541</v>
      </c>
      <c r="B7929" s="6" t="s">
        <v>1685</v>
      </c>
      <c r="C7929" s="6" t="s">
        <v>124</v>
      </c>
      <c r="D7929" s="13" t="n">
        <v>44848</v>
      </c>
      <c r="E7929" s="14" t="n">
        <v>1089.55</v>
      </c>
      <c r="F7929" s="14" t="n">
        <v>1089.55</v>
      </c>
      <c r="G7929" s="6" t="s">
        <v>2613</v>
      </c>
    </row>
    <row r="7930" customFormat="false" ht="15" hidden="false" customHeight="true" outlineLevel="0" collapsed="false">
      <c r="A7930" s="6" t="s">
        <v>10542</v>
      </c>
      <c r="B7930" s="6" t="s">
        <v>1685</v>
      </c>
      <c r="C7930" s="6" t="s">
        <v>124</v>
      </c>
      <c r="D7930" s="13" t="n">
        <v>44855</v>
      </c>
      <c r="E7930" s="14" t="n">
        <v>1171.68</v>
      </c>
      <c r="F7930" s="14" t="n">
        <v>2261.23</v>
      </c>
      <c r="G7930" s="6" t="s">
        <v>2613</v>
      </c>
    </row>
    <row r="7931" customFormat="false" ht="15" hidden="false" customHeight="true" outlineLevel="0" collapsed="false">
      <c r="A7931" s="6" t="s">
        <v>10543</v>
      </c>
      <c r="B7931" s="6" t="s">
        <v>1685</v>
      </c>
      <c r="C7931" s="6" t="s">
        <v>124</v>
      </c>
      <c r="D7931" s="13" t="n">
        <v>44862</v>
      </c>
      <c r="E7931" s="14" t="n">
        <v>1579.59</v>
      </c>
      <c r="F7931" s="14" t="n">
        <v>3840.82</v>
      </c>
      <c r="G7931" s="6" t="s">
        <v>2613</v>
      </c>
    </row>
    <row r="7932" customFormat="false" ht="15" hidden="false" customHeight="true" outlineLevel="0" collapsed="false">
      <c r="A7932" s="6" t="s">
        <v>10544</v>
      </c>
      <c r="B7932" s="6" t="s">
        <v>1685</v>
      </c>
      <c r="C7932" s="6" t="s">
        <v>124</v>
      </c>
      <c r="D7932" s="13" t="n">
        <v>44869</v>
      </c>
      <c r="E7932" s="14" t="n">
        <v>1433.85</v>
      </c>
      <c r="F7932" s="14" t="n">
        <v>5274.67</v>
      </c>
      <c r="G7932" s="6" t="s">
        <v>2613</v>
      </c>
    </row>
    <row r="7933" customFormat="false" ht="15" hidden="false" customHeight="true" outlineLevel="0" collapsed="false">
      <c r="A7933" s="6" t="s">
        <v>10545</v>
      </c>
      <c r="B7933" s="6" t="s">
        <v>1685</v>
      </c>
      <c r="C7933" s="6" t="s">
        <v>124</v>
      </c>
      <c r="D7933" s="13" t="n">
        <v>44876</v>
      </c>
      <c r="E7933" s="14" t="n">
        <v>1358.7</v>
      </c>
      <c r="F7933" s="14" t="n">
        <v>6633.37</v>
      </c>
      <c r="G7933" s="6" t="s">
        <v>2613</v>
      </c>
    </row>
    <row r="7934" customFormat="false" ht="15" hidden="false" customHeight="true" outlineLevel="0" collapsed="false">
      <c r="A7934" s="6" t="s">
        <v>10546</v>
      </c>
      <c r="B7934" s="6" t="s">
        <v>1685</v>
      </c>
      <c r="C7934" s="6" t="s">
        <v>124</v>
      </c>
      <c r="D7934" s="13" t="n">
        <v>44883</v>
      </c>
      <c r="E7934" s="14" t="n">
        <v>1505.24</v>
      </c>
      <c r="F7934" s="14" t="n">
        <v>8138.61</v>
      </c>
      <c r="G7934" s="6" t="s">
        <v>2613</v>
      </c>
    </row>
    <row r="7935" customFormat="false" ht="15" hidden="false" customHeight="true" outlineLevel="0" collapsed="false">
      <c r="A7935" s="6" t="s">
        <v>10547</v>
      </c>
      <c r="B7935" s="6" t="s">
        <v>1685</v>
      </c>
      <c r="C7935" s="6" t="s">
        <v>124</v>
      </c>
      <c r="D7935" s="13" t="n">
        <v>44890</v>
      </c>
      <c r="E7935" s="14" t="n">
        <v>1768.82</v>
      </c>
      <c r="F7935" s="14" t="n">
        <v>9907.43</v>
      </c>
      <c r="G7935" s="6" t="s">
        <v>2613</v>
      </c>
    </row>
    <row r="7936" customFormat="false" ht="15" hidden="false" customHeight="true" outlineLevel="0" collapsed="false">
      <c r="A7936" s="6" t="s">
        <v>10548</v>
      </c>
      <c r="B7936" s="6" t="s">
        <v>1687</v>
      </c>
      <c r="C7936" s="6" t="s">
        <v>112</v>
      </c>
      <c r="D7936" s="13" t="n">
        <v>44622</v>
      </c>
      <c r="E7936" s="14" t="n">
        <v>5414.52</v>
      </c>
      <c r="F7936" s="14" t="n">
        <v>5414.52</v>
      </c>
      <c r="G7936" s="6" t="s">
        <v>2613</v>
      </c>
    </row>
    <row r="7937" customFormat="false" ht="15" hidden="false" customHeight="true" outlineLevel="0" collapsed="false">
      <c r="A7937" s="6" t="s">
        <v>10549</v>
      </c>
      <c r="B7937" s="6" t="s">
        <v>1687</v>
      </c>
      <c r="C7937" s="6" t="s">
        <v>112</v>
      </c>
      <c r="D7937" s="13" t="n">
        <v>44629</v>
      </c>
      <c r="E7937" s="14" t="n">
        <v>7231.94</v>
      </c>
      <c r="F7937" s="14" t="n">
        <v>12646.46</v>
      </c>
      <c r="G7937" s="6" t="s">
        <v>2613</v>
      </c>
    </row>
    <row r="7938" customFormat="false" ht="15" hidden="false" customHeight="true" outlineLevel="0" collapsed="false">
      <c r="A7938" s="6" t="s">
        <v>10550</v>
      </c>
      <c r="B7938" s="6" t="s">
        <v>1687</v>
      </c>
      <c r="C7938" s="6" t="s">
        <v>112</v>
      </c>
      <c r="D7938" s="13" t="n">
        <v>44636</v>
      </c>
      <c r="E7938" s="14" t="n">
        <v>5093.25</v>
      </c>
      <c r="F7938" s="14" t="n">
        <v>17739.71</v>
      </c>
      <c r="G7938" s="6" t="s">
        <v>2613</v>
      </c>
    </row>
    <row r="7939" customFormat="false" ht="15" hidden="false" customHeight="true" outlineLevel="0" collapsed="false">
      <c r="A7939" s="6" t="s">
        <v>10551</v>
      </c>
      <c r="B7939" s="6" t="s">
        <v>1687</v>
      </c>
      <c r="C7939" s="6" t="s">
        <v>112</v>
      </c>
      <c r="D7939" s="13" t="n">
        <v>44643</v>
      </c>
      <c r="E7939" s="14" t="n">
        <v>5231.01</v>
      </c>
      <c r="F7939" s="14" t="n">
        <v>22970.72</v>
      </c>
      <c r="G7939" s="6" t="s">
        <v>2613</v>
      </c>
    </row>
    <row r="7940" customFormat="false" ht="15" hidden="false" customHeight="true" outlineLevel="0" collapsed="false">
      <c r="A7940" s="6" t="s">
        <v>10552</v>
      </c>
      <c r="B7940" s="6" t="s">
        <v>1687</v>
      </c>
      <c r="C7940" s="6" t="s">
        <v>112</v>
      </c>
      <c r="D7940" s="13" t="n">
        <v>44650</v>
      </c>
      <c r="E7940" s="14" t="n">
        <v>3600.24</v>
      </c>
      <c r="F7940" s="14" t="n">
        <v>26570.96</v>
      </c>
      <c r="G7940" s="6" t="s">
        <v>2613</v>
      </c>
    </row>
    <row r="7941" customFormat="false" ht="15" hidden="false" customHeight="true" outlineLevel="0" collapsed="false">
      <c r="A7941" s="6" t="s">
        <v>10553</v>
      </c>
      <c r="B7941" s="6" t="s">
        <v>1689</v>
      </c>
      <c r="C7941" s="6" t="s">
        <v>120</v>
      </c>
      <c r="D7941" s="13" t="n">
        <v>46050</v>
      </c>
      <c r="E7941" s="14" t="n">
        <v>912.11</v>
      </c>
      <c r="F7941" s="14" t="n">
        <v>912.11</v>
      </c>
      <c r="G7941" s="6" t="s">
        <v>2613</v>
      </c>
    </row>
    <row r="7942" customFormat="false" ht="15" hidden="false" customHeight="true" outlineLevel="0" collapsed="false">
      <c r="A7942" s="6" t="s">
        <v>10554</v>
      </c>
      <c r="B7942" s="6" t="s">
        <v>1689</v>
      </c>
      <c r="C7942" s="6" t="s">
        <v>120</v>
      </c>
      <c r="D7942" s="13" t="n">
        <v>46057</v>
      </c>
      <c r="E7942" s="14" t="n">
        <v>706</v>
      </c>
      <c r="F7942" s="14" t="n">
        <v>1618.11</v>
      </c>
      <c r="G7942" s="6" t="s">
        <v>2613</v>
      </c>
    </row>
    <row r="7943" customFormat="false" ht="15" hidden="false" customHeight="true" outlineLevel="0" collapsed="false">
      <c r="A7943" s="6" t="s">
        <v>10555</v>
      </c>
      <c r="B7943" s="6" t="s">
        <v>1689</v>
      </c>
      <c r="C7943" s="6" t="s">
        <v>120</v>
      </c>
      <c r="D7943" s="13" t="n">
        <v>46064</v>
      </c>
      <c r="E7943" s="14" t="n">
        <v>1094.67</v>
      </c>
      <c r="F7943" s="14" t="n">
        <v>2712.78</v>
      </c>
      <c r="G7943" s="6" t="s">
        <v>2613</v>
      </c>
    </row>
    <row r="7944" customFormat="false" ht="15" hidden="false" customHeight="true" outlineLevel="0" collapsed="false">
      <c r="A7944" s="6" t="s">
        <v>10556</v>
      </c>
      <c r="B7944" s="6" t="s">
        <v>1689</v>
      </c>
      <c r="C7944" s="6" t="s">
        <v>120</v>
      </c>
      <c r="D7944" s="13" t="n">
        <v>46071</v>
      </c>
      <c r="E7944" s="14" t="n">
        <v>680.57</v>
      </c>
      <c r="F7944" s="14" t="n">
        <v>3393.35</v>
      </c>
      <c r="G7944" s="6" t="s">
        <v>2613</v>
      </c>
    </row>
    <row r="7945" customFormat="false" ht="15" hidden="false" customHeight="true" outlineLevel="0" collapsed="false">
      <c r="A7945" s="6" t="s">
        <v>10557</v>
      </c>
      <c r="B7945" s="6" t="s">
        <v>1689</v>
      </c>
      <c r="C7945" s="6" t="s">
        <v>120</v>
      </c>
      <c r="D7945" s="13" t="n">
        <v>46078</v>
      </c>
      <c r="E7945" s="14" t="n">
        <v>1100.24</v>
      </c>
      <c r="F7945" s="14" t="n">
        <v>4493.59</v>
      </c>
      <c r="G7945" s="6" t="s">
        <v>2613</v>
      </c>
    </row>
    <row r="7946" customFormat="false" ht="15" hidden="false" customHeight="true" outlineLevel="0" collapsed="false">
      <c r="A7946" s="6" t="s">
        <v>10558</v>
      </c>
      <c r="B7946" s="6" t="s">
        <v>1689</v>
      </c>
      <c r="C7946" s="6" t="s">
        <v>120</v>
      </c>
      <c r="D7946" s="13" t="n">
        <v>46085</v>
      </c>
      <c r="E7946" s="14" t="n">
        <v>953.26</v>
      </c>
      <c r="F7946" s="14" t="n">
        <v>5446.85</v>
      </c>
      <c r="G7946" s="6" t="s">
        <v>2623</v>
      </c>
    </row>
    <row r="7947" customFormat="false" ht="15" hidden="false" customHeight="true" outlineLevel="0" collapsed="false">
      <c r="A7947" s="6" t="s">
        <v>10559</v>
      </c>
      <c r="B7947" s="6" t="s">
        <v>1689</v>
      </c>
      <c r="C7947" s="6" t="s">
        <v>120</v>
      </c>
      <c r="D7947" s="13" t="n">
        <v>46092</v>
      </c>
      <c r="E7947" s="14" t="n">
        <v>685.28</v>
      </c>
      <c r="F7947" s="14" t="n">
        <v>6132.13</v>
      </c>
      <c r="G7947" s="6" t="s">
        <v>2613</v>
      </c>
    </row>
    <row r="7948" customFormat="false" ht="15" hidden="false" customHeight="true" outlineLevel="0" collapsed="false">
      <c r="A7948" s="6" t="s">
        <v>10560</v>
      </c>
      <c r="B7948" s="6" t="s">
        <v>1689</v>
      </c>
      <c r="C7948" s="6" t="s">
        <v>120</v>
      </c>
      <c r="D7948" s="13" t="n">
        <v>46099</v>
      </c>
      <c r="E7948" s="14" t="n">
        <v>1014.78</v>
      </c>
      <c r="F7948" s="14" t="n">
        <v>7146.91</v>
      </c>
      <c r="G7948" s="6" t="s">
        <v>2613</v>
      </c>
    </row>
    <row r="7949" customFormat="false" ht="15" hidden="false" customHeight="true" outlineLevel="0" collapsed="false">
      <c r="A7949" s="6" t="s">
        <v>10561</v>
      </c>
      <c r="B7949" s="6" t="s">
        <v>1689</v>
      </c>
      <c r="C7949" s="6" t="s">
        <v>120</v>
      </c>
      <c r="D7949" s="13" t="n">
        <v>46106</v>
      </c>
      <c r="E7949" s="14" t="n">
        <v>1072.57</v>
      </c>
      <c r="F7949" s="14" t="n">
        <v>8219.48</v>
      </c>
      <c r="G7949" s="6" t="s">
        <v>2613</v>
      </c>
    </row>
    <row r="7950" customFormat="false" ht="15" hidden="false" customHeight="true" outlineLevel="0" collapsed="false">
      <c r="A7950" s="6" t="s">
        <v>10562</v>
      </c>
      <c r="B7950" s="6" t="s">
        <v>1689</v>
      </c>
      <c r="C7950" s="6" t="s">
        <v>120</v>
      </c>
      <c r="D7950" s="13" t="n">
        <v>46113</v>
      </c>
      <c r="E7950" s="14" t="n">
        <v>669.96</v>
      </c>
      <c r="F7950" s="14" t="n">
        <v>8889.44</v>
      </c>
      <c r="G7950" s="6" t="s">
        <v>2613</v>
      </c>
    </row>
    <row r="7951" customFormat="false" ht="15" hidden="false" customHeight="true" outlineLevel="0" collapsed="false">
      <c r="A7951" s="6" t="s">
        <v>10563</v>
      </c>
      <c r="B7951" s="6" t="s">
        <v>1689</v>
      </c>
      <c r="C7951" s="6" t="s">
        <v>120</v>
      </c>
      <c r="D7951" s="13" t="n">
        <v>46120</v>
      </c>
      <c r="E7951" s="14" t="n">
        <v>583.41</v>
      </c>
      <c r="F7951" s="14" t="n">
        <v>9472.85</v>
      </c>
      <c r="G7951" s="6" t="s">
        <v>2613</v>
      </c>
    </row>
    <row r="7952" customFormat="false" ht="15" hidden="false" customHeight="true" outlineLevel="0" collapsed="false">
      <c r="A7952" s="6" t="s">
        <v>10564</v>
      </c>
      <c r="B7952" s="6" t="s">
        <v>1691</v>
      </c>
      <c r="C7952" s="6" t="s">
        <v>116</v>
      </c>
      <c r="D7952" s="13" t="n">
        <v>44835</v>
      </c>
      <c r="E7952" s="14" t="n">
        <v>1427.69</v>
      </c>
      <c r="F7952" s="14" t="n">
        <v>1427.69</v>
      </c>
      <c r="G7952" s="6" t="s">
        <v>2613</v>
      </c>
    </row>
    <row r="7953" customFormat="false" ht="15" hidden="false" customHeight="true" outlineLevel="0" collapsed="false">
      <c r="A7953" s="6" t="s">
        <v>10565</v>
      </c>
      <c r="B7953" s="6" t="s">
        <v>1691</v>
      </c>
      <c r="C7953" s="6" t="s">
        <v>116</v>
      </c>
      <c r="D7953" s="13" t="n">
        <v>44842</v>
      </c>
      <c r="E7953" s="14" t="n">
        <v>1070.13</v>
      </c>
      <c r="F7953" s="14" t="n">
        <v>2497.82</v>
      </c>
      <c r="G7953" s="6" t="s">
        <v>2613</v>
      </c>
    </row>
    <row r="7954" customFormat="false" ht="15" hidden="false" customHeight="true" outlineLevel="0" collapsed="false">
      <c r="A7954" s="6" t="s">
        <v>10566</v>
      </c>
      <c r="B7954" s="6" t="s">
        <v>1691</v>
      </c>
      <c r="C7954" s="6" t="s">
        <v>116</v>
      </c>
      <c r="D7954" s="13" t="n">
        <v>44849</v>
      </c>
      <c r="E7954" s="14" t="n">
        <v>1236.35</v>
      </c>
      <c r="F7954" s="14" t="n">
        <v>3734.17</v>
      </c>
      <c r="G7954" s="6" t="s">
        <v>2613</v>
      </c>
    </row>
    <row r="7955" customFormat="false" ht="15" hidden="false" customHeight="true" outlineLevel="0" collapsed="false">
      <c r="A7955" s="6" t="s">
        <v>10567</v>
      </c>
      <c r="B7955" s="6" t="s">
        <v>1691</v>
      </c>
      <c r="C7955" s="6" t="s">
        <v>116</v>
      </c>
      <c r="D7955" s="13" t="n">
        <v>44856</v>
      </c>
      <c r="E7955" s="14" t="n">
        <v>1500.53</v>
      </c>
      <c r="F7955" s="14" t="n">
        <v>5234.7</v>
      </c>
      <c r="G7955" s="6" t="s">
        <v>2613</v>
      </c>
    </row>
    <row r="7956" customFormat="false" ht="15" hidden="false" customHeight="true" outlineLevel="0" collapsed="false">
      <c r="A7956" s="6" t="s">
        <v>10568</v>
      </c>
      <c r="B7956" s="6" t="s">
        <v>1691</v>
      </c>
      <c r="C7956" s="6" t="s">
        <v>116</v>
      </c>
      <c r="D7956" s="13" t="n">
        <v>44863</v>
      </c>
      <c r="E7956" s="14" t="n">
        <v>1047.33</v>
      </c>
      <c r="F7956" s="14" t="n">
        <v>6282.03</v>
      </c>
      <c r="G7956" s="6" t="s">
        <v>2613</v>
      </c>
    </row>
    <row r="7957" customFormat="false" ht="15" hidden="false" customHeight="true" outlineLevel="0" collapsed="false">
      <c r="A7957" s="6" t="s">
        <v>10569</v>
      </c>
      <c r="B7957" s="6" t="s">
        <v>1691</v>
      </c>
      <c r="C7957" s="6" t="s">
        <v>116</v>
      </c>
      <c r="D7957" s="13" t="n">
        <v>44870</v>
      </c>
      <c r="E7957" s="14" t="n">
        <v>818.59</v>
      </c>
      <c r="F7957" s="14" t="n">
        <v>7100.62</v>
      </c>
      <c r="G7957" s="6" t="s">
        <v>2613</v>
      </c>
    </row>
    <row r="7958" customFormat="false" ht="15" hidden="false" customHeight="true" outlineLevel="0" collapsed="false">
      <c r="A7958" s="6" t="s">
        <v>10570</v>
      </c>
      <c r="B7958" s="6" t="s">
        <v>1691</v>
      </c>
      <c r="C7958" s="6" t="s">
        <v>116</v>
      </c>
      <c r="D7958" s="13" t="n">
        <v>44877</v>
      </c>
      <c r="E7958" s="14" t="n">
        <v>1500.83</v>
      </c>
      <c r="F7958" s="14" t="n">
        <v>8601.45</v>
      </c>
      <c r="G7958" s="6" t="s">
        <v>2613</v>
      </c>
    </row>
    <row r="7959" customFormat="false" ht="15" hidden="false" customHeight="true" outlineLevel="0" collapsed="false">
      <c r="A7959" s="6" t="s">
        <v>10571</v>
      </c>
      <c r="B7959" s="6" t="s">
        <v>1691</v>
      </c>
      <c r="C7959" s="6" t="s">
        <v>116</v>
      </c>
      <c r="D7959" s="13" t="n">
        <v>44884</v>
      </c>
      <c r="E7959" s="14" t="n">
        <v>1034.05</v>
      </c>
      <c r="F7959" s="14" t="n">
        <v>9635.5</v>
      </c>
      <c r="G7959" s="6" t="s">
        <v>2613</v>
      </c>
    </row>
    <row r="7960" customFormat="false" ht="15" hidden="false" customHeight="true" outlineLevel="0" collapsed="false">
      <c r="A7960" s="6" t="s">
        <v>10572</v>
      </c>
      <c r="B7960" s="6" t="s">
        <v>1691</v>
      </c>
      <c r="C7960" s="6" t="s">
        <v>116</v>
      </c>
      <c r="D7960" s="13" t="n">
        <v>44891</v>
      </c>
      <c r="E7960" s="14" t="n">
        <v>1493.64</v>
      </c>
      <c r="F7960" s="14" t="n">
        <v>11129.14</v>
      </c>
      <c r="G7960" s="6" t="s">
        <v>2613</v>
      </c>
    </row>
    <row r="7961" customFormat="false" ht="15" hidden="false" customHeight="true" outlineLevel="0" collapsed="false">
      <c r="A7961" s="6" t="s">
        <v>10573</v>
      </c>
      <c r="B7961" s="6" t="s">
        <v>1691</v>
      </c>
      <c r="C7961" s="6" t="s">
        <v>116</v>
      </c>
      <c r="D7961" s="13" t="n">
        <v>44898</v>
      </c>
      <c r="E7961" s="14" t="n">
        <v>1328.99</v>
      </c>
      <c r="F7961" s="14" t="n">
        <v>12458.13</v>
      </c>
      <c r="G7961" s="6" t="s">
        <v>2613</v>
      </c>
    </row>
    <row r="7962" customFormat="false" ht="15" hidden="false" customHeight="true" outlineLevel="0" collapsed="false">
      <c r="A7962" s="6" t="s">
        <v>10574</v>
      </c>
      <c r="B7962" s="6" t="s">
        <v>1693</v>
      </c>
      <c r="C7962" s="6" t="s">
        <v>131</v>
      </c>
      <c r="D7962" s="13" t="n">
        <v>45752</v>
      </c>
      <c r="E7962" s="14" t="n">
        <v>2236.86</v>
      </c>
      <c r="F7962" s="14" t="n">
        <v>2236.86</v>
      </c>
      <c r="G7962" s="6" t="s">
        <v>2613</v>
      </c>
    </row>
    <row r="7963" customFormat="false" ht="15" hidden="false" customHeight="true" outlineLevel="0" collapsed="false">
      <c r="A7963" s="6" t="s">
        <v>10575</v>
      </c>
      <c r="B7963" s="6" t="s">
        <v>1693</v>
      </c>
      <c r="C7963" s="6" t="s">
        <v>131</v>
      </c>
      <c r="D7963" s="13" t="n">
        <v>45759</v>
      </c>
      <c r="E7963" s="14" t="n">
        <v>1248.69</v>
      </c>
      <c r="F7963" s="14" t="n">
        <v>3485.55</v>
      </c>
      <c r="G7963" s="6" t="s">
        <v>2613</v>
      </c>
    </row>
    <row r="7964" customFormat="false" ht="15" hidden="false" customHeight="true" outlineLevel="0" collapsed="false">
      <c r="A7964" s="6" t="s">
        <v>10576</v>
      </c>
      <c r="B7964" s="6" t="s">
        <v>1693</v>
      </c>
      <c r="C7964" s="6" t="s">
        <v>131</v>
      </c>
      <c r="D7964" s="13" t="n">
        <v>45766</v>
      </c>
      <c r="E7964" s="14" t="n">
        <v>1814.54</v>
      </c>
      <c r="F7964" s="14" t="n">
        <v>5300.09</v>
      </c>
      <c r="G7964" s="6" t="s">
        <v>2613</v>
      </c>
    </row>
    <row r="7965" customFormat="false" ht="15" hidden="false" customHeight="true" outlineLevel="0" collapsed="false">
      <c r="A7965" s="6" t="s">
        <v>10577</v>
      </c>
      <c r="B7965" s="6" t="s">
        <v>1693</v>
      </c>
      <c r="C7965" s="6" t="s">
        <v>131</v>
      </c>
      <c r="D7965" s="13" t="n">
        <v>45773</v>
      </c>
      <c r="E7965" s="14" t="n">
        <v>1457.77</v>
      </c>
      <c r="F7965" s="14" t="n">
        <v>6757.86</v>
      </c>
      <c r="G7965" s="6" t="s">
        <v>2613</v>
      </c>
    </row>
    <row r="7966" customFormat="false" ht="15" hidden="false" customHeight="true" outlineLevel="0" collapsed="false">
      <c r="A7966" s="6" t="s">
        <v>10578</v>
      </c>
      <c r="B7966" s="6" t="s">
        <v>1693</v>
      </c>
      <c r="C7966" s="6" t="s">
        <v>131</v>
      </c>
      <c r="D7966" s="13" t="n">
        <v>45780</v>
      </c>
      <c r="E7966" s="14" t="n">
        <v>1385.22</v>
      </c>
      <c r="F7966" s="14" t="n">
        <v>8143.08</v>
      </c>
      <c r="G7966" s="6" t="s">
        <v>2613</v>
      </c>
    </row>
    <row r="7967" customFormat="false" ht="15" hidden="false" customHeight="true" outlineLevel="0" collapsed="false">
      <c r="A7967" s="6" t="s">
        <v>10579</v>
      </c>
      <c r="B7967" s="6" t="s">
        <v>1695</v>
      </c>
      <c r="C7967" s="6" t="s">
        <v>124</v>
      </c>
      <c r="D7967" s="13" t="n">
        <v>45434</v>
      </c>
      <c r="E7967" s="14" t="n">
        <v>1645.34</v>
      </c>
      <c r="F7967" s="14" t="n">
        <v>1645.34</v>
      </c>
      <c r="G7967" s="6" t="s">
        <v>2613</v>
      </c>
    </row>
    <row r="7968" customFormat="false" ht="15" hidden="false" customHeight="true" outlineLevel="0" collapsed="false">
      <c r="A7968" s="6" t="s">
        <v>10580</v>
      </c>
      <c r="B7968" s="6" t="s">
        <v>1695</v>
      </c>
      <c r="C7968" s="6" t="s">
        <v>124</v>
      </c>
      <c r="D7968" s="13" t="n">
        <v>45441</v>
      </c>
      <c r="E7968" s="14" t="n">
        <v>1608.5</v>
      </c>
      <c r="F7968" s="14" t="n">
        <v>3253.84</v>
      </c>
      <c r="G7968" s="6" t="s">
        <v>2613</v>
      </c>
    </row>
    <row r="7969" customFormat="false" ht="15" hidden="false" customHeight="true" outlineLevel="0" collapsed="false">
      <c r="A7969" s="6" t="s">
        <v>10581</v>
      </c>
      <c r="B7969" s="6" t="s">
        <v>1695</v>
      </c>
      <c r="C7969" s="6" t="s">
        <v>124</v>
      </c>
      <c r="D7969" s="13" t="n">
        <v>45448</v>
      </c>
      <c r="E7969" s="14" t="n">
        <v>2150.29</v>
      </c>
      <c r="F7969" s="14" t="n">
        <v>5404.13</v>
      </c>
      <c r="G7969" s="6" t="s">
        <v>2613</v>
      </c>
    </row>
    <row r="7970" customFormat="false" ht="15" hidden="false" customHeight="true" outlineLevel="0" collapsed="false">
      <c r="A7970" s="6" t="s">
        <v>10582</v>
      </c>
      <c r="B7970" s="6" t="s">
        <v>1695</v>
      </c>
      <c r="C7970" s="6" t="s">
        <v>124</v>
      </c>
      <c r="D7970" s="13" t="n">
        <v>45455</v>
      </c>
      <c r="E7970" s="14" t="n">
        <v>2343.31</v>
      </c>
      <c r="F7970" s="14" t="n">
        <v>7747.44</v>
      </c>
      <c r="G7970" s="6" t="s">
        <v>2613</v>
      </c>
    </row>
    <row r="7971" customFormat="false" ht="15" hidden="false" customHeight="true" outlineLevel="0" collapsed="false">
      <c r="A7971" s="6" t="s">
        <v>10583</v>
      </c>
      <c r="B7971" s="6" t="s">
        <v>1695</v>
      </c>
      <c r="C7971" s="6" t="s">
        <v>124</v>
      </c>
      <c r="D7971" s="13" t="n">
        <v>45462</v>
      </c>
      <c r="E7971" s="14" t="n">
        <v>2053.72</v>
      </c>
      <c r="F7971" s="14" t="n">
        <v>9801.16</v>
      </c>
      <c r="G7971" s="6" t="s">
        <v>2613</v>
      </c>
    </row>
    <row r="7972" customFormat="false" ht="15" hidden="false" customHeight="true" outlineLevel="0" collapsed="false">
      <c r="A7972" s="6" t="s">
        <v>10584</v>
      </c>
      <c r="B7972" s="6" t="s">
        <v>1695</v>
      </c>
      <c r="C7972" s="6" t="s">
        <v>124</v>
      </c>
      <c r="D7972" s="13" t="n">
        <v>45469</v>
      </c>
      <c r="E7972" s="14" t="n">
        <v>1436.78</v>
      </c>
      <c r="F7972" s="14" t="n">
        <v>11237.94</v>
      </c>
      <c r="G7972" s="6" t="s">
        <v>2613</v>
      </c>
    </row>
    <row r="7973" customFormat="false" ht="15" hidden="false" customHeight="true" outlineLevel="0" collapsed="false">
      <c r="A7973" s="6" t="s">
        <v>10585</v>
      </c>
      <c r="B7973" s="6" t="s">
        <v>1695</v>
      </c>
      <c r="C7973" s="6" t="s">
        <v>124</v>
      </c>
      <c r="D7973" s="13" t="n">
        <v>45476</v>
      </c>
      <c r="E7973" s="14" t="n">
        <v>1898.2</v>
      </c>
      <c r="F7973" s="14" t="n">
        <v>13136.14</v>
      </c>
      <c r="G7973" s="6" t="s">
        <v>2613</v>
      </c>
    </row>
    <row r="7974" customFormat="false" ht="15" hidden="false" customHeight="true" outlineLevel="0" collapsed="false">
      <c r="A7974" s="6" t="s">
        <v>10586</v>
      </c>
      <c r="B7974" s="6" t="s">
        <v>1695</v>
      </c>
      <c r="C7974" s="6" t="s">
        <v>124</v>
      </c>
      <c r="D7974" s="13" t="n">
        <v>45483</v>
      </c>
      <c r="E7974" s="14" t="n">
        <v>1957.29</v>
      </c>
      <c r="F7974" s="14" t="n">
        <v>15093.43</v>
      </c>
      <c r="G7974" s="6" t="s">
        <v>2613</v>
      </c>
    </row>
    <row r="7975" customFormat="false" ht="15" hidden="false" customHeight="true" outlineLevel="0" collapsed="false">
      <c r="A7975" s="6" t="s">
        <v>10587</v>
      </c>
      <c r="B7975" s="6" t="s">
        <v>1695</v>
      </c>
      <c r="C7975" s="6" t="s">
        <v>124</v>
      </c>
      <c r="D7975" s="13" t="n">
        <v>45490</v>
      </c>
      <c r="E7975" s="14" t="n">
        <v>2636</v>
      </c>
      <c r="F7975" s="14" t="n">
        <v>17729.43</v>
      </c>
      <c r="G7975" s="6" t="s">
        <v>2613</v>
      </c>
    </row>
    <row r="7976" customFormat="false" ht="15" hidden="false" customHeight="true" outlineLevel="0" collapsed="false">
      <c r="A7976" s="6" t="s">
        <v>10588</v>
      </c>
      <c r="B7976" s="6" t="s">
        <v>1695</v>
      </c>
      <c r="C7976" s="6" t="s">
        <v>124</v>
      </c>
      <c r="D7976" s="13" t="n">
        <v>45497</v>
      </c>
      <c r="E7976" s="14" t="n">
        <v>1547.35</v>
      </c>
      <c r="F7976" s="14" t="n">
        <v>19276.78</v>
      </c>
      <c r="G7976" s="6" t="s">
        <v>2613</v>
      </c>
    </row>
    <row r="7977" customFormat="false" ht="15" hidden="false" customHeight="true" outlineLevel="0" collapsed="false">
      <c r="A7977" s="6" t="s">
        <v>10589</v>
      </c>
      <c r="B7977" s="6" t="s">
        <v>1695</v>
      </c>
      <c r="C7977" s="6" t="s">
        <v>124</v>
      </c>
      <c r="D7977" s="13" t="n">
        <v>45504</v>
      </c>
      <c r="E7977" s="14" t="n">
        <v>1908.98</v>
      </c>
      <c r="F7977" s="14" t="n">
        <v>21185.76</v>
      </c>
      <c r="G7977" s="6" t="s">
        <v>2613</v>
      </c>
    </row>
    <row r="7978" customFormat="false" ht="15" hidden="false" customHeight="true" outlineLevel="0" collapsed="false">
      <c r="A7978" s="6" t="s">
        <v>10590</v>
      </c>
      <c r="B7978" s="6" t="s">
        <v>1695</v>
      </c>
      <c r="C7978" s="6" t="s">
        <v>124</v>
      </c>
      <c r="D7978" s="13" t="n">
        <v>45511</v>
      </c>
      <c r="E7978" s="14" t="n">
        <v>2746.28</v>
      </c>
      <c r="F7978" s="14" t="n">
        <v>23932.04</v>
      </c>
      <c r="G7978" s="6" t="s">
        <v>2613</v>
      </c>
    </row>
    <row r="7979" customFormat="false" ht="15" hidden="false" customHeight="true" outlineLevel="0" collapsed="false">
      <c r="A7979" s="6" t="s">
        <v>10591</v>
      </c>
      <c r="B7979" s="6" t="s">
        <v>1697</v>
      </c>
      <c r="C7979" s="6" t="s">
        <v>124</v>
      </c>
      <c r="D7979" s="13" t="n">
        <v>45704</v>
      </c>
      <c r="E7979" s="14" t="n">
        <v>5436.4</v>
      </c>
      <c r="F7979" s="14" t="n">
        <v>5436.4</v>
      </c>
      <c r="G7979" s="6" t="s">
        <v>2613</v>
      </c>
    </row>
    <row r="7980" customFormat="false" ht="15" hidden="false" customHeight="true" outlineLevel="0" collapsed="false">
      <c r="A7980" s="6" t="s">
        <v>10592</v>
      </c>
      <c r="B7980" s="6" t="s">
        <v>1697</v>
      </c>
      <c r="C7980" s="6" t="s">
        <v>124</v>
      </c>
      <c r="D7980" s="13" t="n">
        <v>45711</v>
      </c>
      <c r="E7980" s="14" t="n">
        <v>4331.11</v>
      </c>
      <c r="F7980" s="14" t="n">
        <v>9767.51</v>
      </c>
      <c r="G7980" s="6" t="s">
        <v>2613</v>
      </c>
    </row>
    <row r="7981" customFormat="false" ht="15" hidden="false" customHeight="true" outlineLevel="0" collapsed="false">
      <c r="A7981" s="6" t="s">
        <v>10593</v>
      </c>
      <c r="B7981" s="6" t="s">
        <v>1697</v>
      </c>
      <c r="C7981" s="6" t="s">
        <v>124</v>
      </c>
      <c r="D7981" s="13" t="n">
        <v>45718</v>
      </c>
      <c r="E7981" s="14" t="n">
        <v>3908.84</v>
      </c>
      <c r="F7981" s="14" t="n">
        <v>13676.35</v>
      </c>
      <c r="G7981" s="6" t="s">
        <v>2613</v>
      </c>
    </row>
    <row r="7982" customFormat="false" ht="15" hidden="false" customHeight="true" outlineLevel="0" collapsed="false">
      <c r="A7982" s="6" t="s">
        <v>10594</v>
      </c>
      <c r="B7982" s="6" t="s">
        <v>1697</v>
      </c>
      <c r="C7982" s="6" t="s">
        <v>124</v>
      </c>
      <c r="D7982" s="13" t="n">
        <v>45725</v>
      </c>
      <c r="E7982" s="14" t="n">
        <v>3604.71</v>
      </c>
      <c r="F7982" s="14" t="n">
        <v>17281.06</v>
      </c>
      <c r="G7982" s="6" t="s">
        <v>2613</v>
      </c>
    </row>
    <row r="7983" customFormat="false" ht="15" hidden="false" customHeight="true" outlineLevel="0" collapsed="false">
      <c r="A7983" s="6" t="s">
        <v>10595</v>
      </c>
      <c r="B7983" s="6" t="s">
        <v>1697</v>
      </c>
      <c r="C7983" s="6" t="s">
        <v>124</v>
      </c>
      <c r="D7983" s="13" t="n">
        <v>45732</v>
      </c>
      <c r="E7983" s="14" t="n">
        <v>3599.17</v>
      </c>
      <c r="F7983" s="14" t="n">
        <v>20880.23</v>
      </c>
      <c r="G7983" s="6" t="s">
        <v>2613</v>
      </c>
    </row>
    <row r="7984" customFormat="false" ht="15" hidden="false" customHeight="true" outlineLevel="0" collapsed="false">
      <c r="A7984" s="6" t="s">
        <v>10596</v>
      </c>
      <c r="B7984" s="6" t="s">
        <v>1697</v>
      </c>
      <c r="C7984" s="6" t="s">
        <v>124</v>
      </c>
      <c r="D7984" s="13" t="n">
        <v>45739</v>
      </c>
      <c r="E7984" s="14" t="n">
        <v>3769.6</v>
      </c>
      <c r="F7984" s="14" t="n">
        <v>24649.83</v>
      </c>
      <c r="G7984" s="6" t="s">
        <v>2613</v>
      </c>
    </row>
    <row r="7985" customFormat="false" ht="15" hidden="false" customHeight="true" outlineLevel="0" collapsed="false">
      <c r="A7985" s="6" t="s">
        <v>10597</v>
      </c>
      <c r="B7985" s="6" t="s">
        <v>1697</v>
      </c>
      <c r="C7985" s="6" t="s">
        <v>124</v>
      </c>
      <c r="D7985" s="13" t="n">
        <v>45746</v>
      </c>
      <c r="E7985" s="14" t="n">
        <v>5557.12</v>
      </c>
      <c r="F7985" s="14" t="n">
        <v>30206.95</v>
      </c>
      <c r="G7985" s="6" t="s">
        <v>2613</v>
      </c>
    </row>
    <row r="7986" customFormat="false" ht="15" hidden="false" customHeight="true" outlineLevel="0" collapsed="false">
      <c r="A7986" s="6" t="s">
        <v>10598</v>
      </c>
      <c r="B7986" s="6" t="s">
        <v>1697</v>
      </c>
      <c r="C7986" s="6" t="s">
        <v>124</v>
      </c>
      <c r="D7986" s="13" t="n">
        <v>45753</v>
      </c>
      <c r="E7986" s="14" t="n">
        <v>4558.91</v>
      </c>
      <c r="F7986" s="14" t="n">
        <v>34765.86</v>
      </c>
      <c r="G7986" s="6" t="s">
        <v>2613</v>
      </c>
    </row>
    <row r="7987" customFormat="false" ht="15" hidden="false" customHeight="true" outlineLevel="0" collapsed="false">
      <c r="A7987" s="6" t="s">
        <v>10599</v>
      </c>
      <c r="B7987" s="6" t="s">
        <v>1699</v>
      </c>
      <c r="C7987" s="6" t="s">
        <v>120</v>
      </c>
      <c r="D7987" s="13" t="n">
        <v>45431</v>
      </c>
      <c r="E7987" s="14" t="n">
        <v>3529.09</v>
      </c>
      <c r="F7987" s="14" t="n">
        <v>3529.09</v>
      </c>
      <c r="G7987" s="6" t="s">
        <v>2613</v>
      </c>
    </row>
    <row r="7988" customFormat="false" ht="15" hidden="false" customHeight="true" outlineLevel="0" collapsed="false">
      <c r="A7988" s="6" t="s">
        <v>10600</v>
      </c>
      <c r="B7988" s="6" t="s">
        <v>1699</v>
      </c>
      <c r="C7988" s="6" t="s">
        <v>120</v>
      </c>
      <c r="D7988" s="13" t="n">
        <v>45438</v>
      </c>
      <c r="E7988" s="14" t="n">
        <v>2746.31</v>
      </c>
      <c r="F7988" s="14" t="n">
        <v>6275.4</v>
      </c>
      <c r="G7988" s="6" t="s">
        <v>2623</v>
      </c>
    </row>
    <row r="7989" customFormat="false" ht="15" hidden="false" customHeight="true" outlineLevel="0" collapsed="false">
      <c r="A7989" s="6" t="s">
        <v>10601</v>
      </c>
      <c r="B7989" s="6" t="s">
        <v>1699</v>
      </c>
      <c r="C7989" s="6" t="s">
        <v>120</v>
      </c>
      <c r="D7989" s="13" t="n">
        <v>45445</v>
      </c>
      <c r="E7989" s="14" t="n">
        <v>3942.09</v>
      </c>
      <c r="F7989" s="14" t="n">
        <v>10217.49</v>
      </c>
      <c r="G7989" s="6" t="s">
        <v>2613</v>
      </c>
    </row>
    <row r="7990" customFormat="false" ht="15" hidden="false" customHeight="true" outlineLevel="0" collapsed="false">
      <c r="A7990" s="6" t="s">
        <v>10602</v>
      </c>
      <c r="B7990" s="6" t="s">
        <v>1699</v>
      </c>
      <c r="C7990" s="6" t="s">
        <v>120</v>
      </c>
      <c r="D7990" s="13" t="n">
        <v>45452</v>
      </c>
      <c r="E7990" s="14" t="n">
        <v>3673.13</v>
      </c>
      <c r="F7990" s="14" t="n">
        <v>13890.62</v>
      </c>
      <c r="G7990" s="6" t="s">
        <v>2613</v>
      </c>
    </row>
    <row r="7991" customFormat="false" ht="15" hidden="false" customHeight="true" outlineLevel="0" collapsed="false">
      <c r="A7991" s="6" t="s">
        <v>10603</v>
      </c>
      <c r="B7991" s="6" t="s">
        <v>1699</v>
      </c>
      <c r="C7991" s="6" t="s">
        <v>120</v>
      </c>
      <c r="D7991" s="13" t="n">
        <v>45459</v>
      </c>
      <c r="E7991" s="14" t="n">
        <v>2486.92</v>
      </c>
      <c r="F7991" s="14" t="n">
        <v>16377.54</v>
      </c>
      <c r="G7991" s="6" t="s">
        <v>2613</v>
      </c>
    </row>
    <row r="7992" customFormat="false" ht="15" hidden="false" customHeight="true" outlineLevel="0" collapsed="false">
      <c r="A7992" s="6" t="s">
        <v>10604</v>
      </c>
      <c r="B7992" s="6" t="s">
        <v>1701</v>
      </c>
      <c r="C7992" s="6" t="s">
        <v>112</v>
      </c>
      <c r="D7992" s="13" t="n">
        <v>45163</v>
      </c>
      <c r="E7992" s="14" t="n">
        <v>4302.11</v>
      </c>
      <c r="F7992" s="14" t="n">
        <v>4302.11</v>
      </c>
      <c r="G7992" s="6" t="s">
        <v>2613</v>
      </c>
    </row>
    <row r="7993" customFormat="false" ht="15" hidden="false" customHeight="true" outlineLevel="0" collapsed="false">
      <c r="A7993" s="6" t="s">
        <v>10605</v>
      </c>
      <c r="B7993" s="6" t="s">
        <v>1701</v>
      </c>
      <c r="C7993" s="6" t="s">
        <v>112</v>
      </c>
      <c r="D7993" s="13" t="n">
        <v>45170</v>
      </c>
      <c r="E7993" s="14" t="n">
        <v>3655.1</v>
      </c>
      <c r="F7993" s="14" t="n">
        <v>7957.21</v>
      </c>
      <c r="G7993" s="6" t="s">
        <v>2613</v>
      </c>
    </row>
    <row r="7994" customFormat="false" ht="15" hidden="false" customHeight="true" outlineLevel="0" collapsed="false">
      <c r="A7994" s="6" t="s">
        <v>10606</v>
      </c>
      <c r="B7994" s="6" t="s">
        <v>1701</v>
      </c>
      <c r="C7994" s="6" t="s">
        <v>112</v>
      </c>
      <c r="D7994" s="13" t="n">
        <v>45177</v>
      </c>
      <c r="E7994" s="14" t="n">
        <v>3762.79</v>
      </c>
      <c r="F7994" s="14" t="n">
        <v>11720</v>
      </c>
      <c r="G7994" s="6" t="s">
        <v>2613</v>
      </c>
    </row>
    <row r="7995" customFormat="false" ht="15" hidden="false" customHeight="true" outlineLevel="0" collapsed="false">
      <c r="A7995" s="6" t="s">
        <v>10607</v>
      </c>
      <c r="B7995" s="6" t="s">
        <v>1701</v>
      </c>
      <c r="C7995" s="6" t="s">
        <v>112</v>
      </c>
      <c r="D7995" s="13" t="n">
        <v>45184</v>
      </c>
      <c r="E7995" s="14" t="n">
        <v>3138.18</v>
      </c>
      <c r="F7995" s="14" t="n">
        <v>14858.18</v>
      </c>
      <c r="G7995" s="6" t="s">
        <v>2613</v>
      </c>
    </row>
    <row r="7996" customFormat="false" ht="15" hidden="false" customHeight="true" outlineLevel="0" collapsed="false">
      <c r="A7996" s="6" t="s">
        <v>10608</v>
      </c>
      <c r="B7996" s="6" t="s">
        <v>1701</v>
      </c>
      <c r="C7996" s="6" t="s">
        <v>112</v>
      </c>
      <c r="D7996" s="13" t="n">
        <v>45191</v>
      </c>
      <c r="E7996" s="14" t="n">
        <v>4813.17</v>
      </c>
      <c r="F7996" s="14" t="n">
        <v>19671.35</v>
      </c>
      <c r="G7996" s="6" t="s">
        <v>2613</v>
      </c>
    </row>
    <row r="7997" customFormat="false" ht="15" hidden="false" customHeight="true" outlineLevel="0" collapsed="false">
      <c r="A7997" s="6" t="s">
        <v>10609</v>
      </c>
      <c r="B7997" s="6" t="s">
        <v>1701</v>
      </c>
      <c r="C7997" s="6" t="s">
        <v>112</v>
      </c>
      <c r="D7997" s="13" t="n">
        <v>45198</v>
      </c>
      <c r="E7997" s="14" t="n">
        <v>3979.97</v>
      </c>
      <c r="F7997" s="14" t="n">
        <v>23651.32</v>
      </c>
      <c r="G7997" s="6" t="s">
        <v>2623</v>
      </c>
    </row>
    <row r="7998" customFormat="false" ht="15" hidden="false" customHeight="true" outlineLevel="0" collapsed="false">
      <c r="A7998" s="6" t="s">
        <v>10610</v>
      </c>
      <c r="B7998" s="6" t="s">
        <v>1701</v>
      </c>
      <c r="C7998" s="6" t="s">
        <v>112</v>
      </c>
      <c r="D7998" s="13" t="n">
        <v>45205</v>
      </c>
      <c r="E7998" s="14" t="n">
        <v>4835.78</v>
      </c>
      <c r="F7998" s="14" t="n">
        <v>28487.1</v>
      </c>
      <c r="G7998" s="6" t="s">
        <v>2613</v>
      </c>
    </row>
    <row r="7999" customFormat="false" ht="15" hidden="false" customHeight="true" outlineLevel="0" collapsed="false">
      <c r="A7999" s="6" t="s">
        <v>10611</v>
      </c>
      <c r="B7999" s="6" t="s">
        <v>1701</v>
      </c>
      <c r="C7999" s="6" t="s">
        <v>112</v>
      </c>
      <c r="D7999" s="13" t="n">
        <v>45212</v>
      </c>
      <c r="E7999" s="14" t="n">
        <v>5246.1</v>
      </c>
      <c r="F7999" s="14" t="n">
        <v>33733.2</v>
      </c>
      <c r="G7999" s="6" t="s">
        <v>2613</v>
      </c>
    </row>
    <row r="8000" customFormat="false" ht="15" hidden="false" customHeight="true" outlineLevel="0" collapsed="false">
      <c r="A8000" s="6" t="s">
        <v>10612</v>
      </c>
      <c r="B8000" s="6" t="s">
        <v>1703</v>
      </c>
      <c r="C8000" s="6" t="s">
        <v>112</v>
      </c>
      <c r="D8000" s="13" t="n">
        <v>45932</v>
      </c>
      <c r="E8000" s="14" t="n">
        <v>257</v>
      </c>
      <c r="F8000" s="14" t="n">
        <v>257</v>
      </c>
      <c r="G8000" s="6" t="s">
        <v>2613</v>
      </c>
    </row>
    <row r="8001" customFormat="false" ht="15" hidden="false" customHeight="true" outlineLevel="0" collapsed="false">
      <c r="A8001" s="6" t="s">
        <v>10613</v>
      </c>
      <c r="B8001" s="6" t="s">
        <v>1703</v>
      </c>
      <c r="C8001" s="6" t="s">
        <v>112</v>
      </c>
      <c r="D8001" s="13" t="n">
        <v>45939</v>
      </c>
      <c r="E8001" s="14" t="n">
        <v>418.01</v>
      </c>
      <c r="F8001" s="14" t="n">
        <v>675.01</v>
      </c>
      <c r="G8001" s="6" t="s">
        <v>2613</v>
      </c>
    </row>
    <row r="8002" customFormat="false" ht="15" hidden="false" customHeight="true" outlineLevel="0" collapsed="false">
      <c r="A8002" s="6" t="s">
        <v>10614</v>
      </c>
      <c r="B8002" s="6" t="s">
        <v>1703</v>
      </c>
      <c r="C8002" s="6" t="s">
        <v>112</v>
      </c>
      <c r="D8002" s="13" t="n">
        <v>45946</v>
      </c>
      <c r="E8002" s="14" t="n">
        <v>460.73</v>
      </c>
      <c r="F8002" s="14" t="n">
        <v>1135.74</v>
      </c>
      <c r="G8002" s="6" t="s">
        <v>2613</v>
      </c>
    </row>
    <row r="8003" customFormat="false" ht="15" hidden="false" customHeight="true" outlineLevel="0" collapsed="false">
      <c r="A8003" s="6" t="s">
        <v>10615</v>
      </c>
      <c r="B8003" s="6" t="s">
        <v>1703</v>
      </c>
      <c r="C8003" s="6" t="s">
        <v>112</v>
      </c>
      <c r="D8003" s="13" t="n">
        <v>45953</v>
      </c>
      <c r="E8003" s="14" t="n">
        <v>540.75</v>
      </c>
      <c r="F8003" s="14" t="n">
        <v>1676.49</v>
      </c>
      <c r="G8003" s="6" t="s">
        <v>2623</v>
      </c>
    </row>
    <row r="8004" customFormat="false" ht="15" hidden="false" customHeight="true" outlineLevel="0" collapsed="false">
      <c r="A8004" s="6" t="s">
        <v>10616</v>
      </c>
      <c r="B8004" s="6" t="s">
        <v>1703</v>
      </c>
      <c r="C8004" s="6" t="s">
        <v>112</v>
      </c>
      <c r="D8004" s="13" t="n">
        <v>45960</v>
      </c>
      <c r="E8004" s="14" t="n">
        <v>264.17</v>
      </c>
      <c r="F8004" s="14" t="n">
        <v>1940.66</v>
      </c>
      <c r="G8004" s="6" t="s">
        <v>2613</v>
      </c>
    </row>
    <row r="8005" customFormat="false" ht="15" hidden="false" customHeight="true" outlineLevel="0" collapsed="false">
      <c r="A8005" s="6" t="s">
        <v>10617</v>
      </c>
      <c r="B8005" s="6" t="s">
        <v>1703</v>
      </c>
      <c r="C8005" s="6" t="s">
        <v>112</v>
      </c>
      <c r="D8005" s="13" t="n">
        <v>45967</v>
      </c>
      <c r="E8005" s="14" t="n">
        <v>385.34</v>
      </c>
      <c r="F8005" s="14" t="n">
        <v>2326</v>
      </c>
      <c r="G8005" s="6" t="s">
        <v>2613</v>
      </c>
    </row>
    <row r="8006" customFormat="false" ht="15" hidden="false" customHeight="true" outlineLevel="0" collapsed="false">
      <c r="A8006" s="6" t="s">
        <v>10618</v>
      </c>
      <c r="B8006" s="6" t="s">
        <v>1705</v>
      </c>
      <c r="C8006" s="6" t="s">
        <v>131</v>
      </c>
      <c r="D8006" s="13" t="n">
        <v>45405</v>
      </c>
      <c r="E8006" s="14" t="n">
        <v>3843.17</v>
      </c>
      <c r="F8006" s="14" t="n">
        <v>3843.17</v>
      </c>
      <c r="G8006" s="6" t="s">
        <v>2613</v>
      </c>
    </row>
    <row r="8007" customFormat="false" ht="15" hidden="false" customHeight="true" outlineLevel="0" collapsed="false">
      <c r="A8007" s="6" t="s">
        <v>10619</v>
      </c>
      <c r="B8007" s="6" t="s">
        <v>1705</v>
      </c>
      <c r="C8007" s="6" t="s">
        <v>131</v>
      </c>
      <c r="D8007" s="13" t="n">
        <v>45412</v>
      </c>
      <c r="E8007" s="14" t="n">
        <v>4972.58</v>
      </c>
      <c r="F8007" s="14" t="n">
        <v>8815.75</v>
      </c>
      <c r="G8007" s="6" t="s">
        <v>2613</v>
      </c>
    </row>
    <row r="8008" customFormat="false" ht="15" hidden="false" customHeight="true" outlineLevel="0" collapsed="false">
      <c r="A8008" s="6" t="s">
        <v>10620</v>
      </c>
      <c r="B8008" s="6" t="s">
        <v>1705</v>
      </c>
      <c r="C8008" s="6" t="s">
        <v>131</v>
      </c>
      <c r="D8008" s="13" t="n">
        <v>45419</v>
      </c>
      <c r="E8008" s="14" t="n">
        <v>5223.71</v>
      </c>
      <c r="F8008" s="14" t="n">
        <v>14039.46</v>
      </c>
      <c r="G8008" s="6" t="s">
        <v>2613</v>
      </c>
    </row>
    <row r="8009" customFormat="false" ht="15" hidden="false" customHeight="true" outlineLevel="0" collapsed="false">
      <c r="A8009" s="6" t="s">
        <v>10621</v>
      </c>
      <c r="B8009" s="6" t="s">
        <v>1705</v>
      </c>
      <c r="C8009" s="6" t="s">
        <v>131</v>
      </c>
      <c r="D8009" s="13" t="n">
        <v>45426</v>
      </c>
      <c r="E8009" s="14" t="n">
        <v>4226.26</v>
      </c>
      <c r="F8009" s="14" t="n">
        <v>18265.72</v>
      </c>
      <c r="G8009" s="6" t="s">
        <v>2613</v>
      </c>
    </row>
    <row r="8010" customFormat="false" ht="15" hidden="false" customHeight="true" outlineLevel="0" collapsed="false">
      <c r="A8010" s="6" t="s">
        <v>10622</v>
      </c>
      <c r="B8010" s="6" t="s">
        <v>1705</v>
      </c>
      <c r="C8010" s="6" t="s">
        <v>131</v>
      </c>
      <c r="D8010" s="13" t="n">
        <v>45433</v>
      </c>
      <c r="E8010" s="14" t="n">
        <v>5437.27</v>
      </c>
      <c r="F8010" s="14" t="n">
        <v>23702.99</v>
      </c>
      <c r="G8010" s="6" t="s">
        <v>2623</v>
      </c>
    </row>
    <row r="8011" customFormat="false" ht="15" hidden="false" customHeight="true" outlineLevel="0" collapsed="false">
      <c r="A8011" s="6" t="s">
        <v>10623</v>
      </c>
      <c r="B8011" s="6" t="s">
        <v>1705</v>
      </c>
      <c r="C8011" s="6" t="s">
        <v>131</v>
      </c>
      <c r="D8011" s="13" t="n">
        <v>45440</v>
      </c>
      <c r="E8011" s="14" t="n">
        <v>4186.97</v>
      </c>
      <c r="F8011" s="14" t="n">
        <v>27889.96</v>
      </c>
      <c r="G8011" s="6" t="s">
        <v>2613</v>
      </c>
    </row>
    <row r="8012" customFormat="false" ht="15" hidden="false" customHeight="true" outlineLevel="0" collapsed="false">
      <c r="A8012" s="6" t="s">
        <v>10624</v>
      </c>
      <c r="B8012" s="6" t="s">
        <v>1705</v>
      </c>
      <c r="C8012" s="6" t="s">
        <v>131</v>
      </c>
      <c r="D8012" s="13" t="n">
        <v>45447</v>
      </c>
      <c r="E8012" s="14" t="n">
        <v>4303.5</v>
      </c>
      <c r="F8012" s="14" t="n">
        <v>32193.46</v>
      </c>
      <c r="G8012" s="6" t="s">
        <v>2613</v>
      </c>
    </row>
    <row r="8013" customFormat="false" ht="15" hidden="false" customHeight="true" outlineLevel="0" collapsed="false">
      <c r="A8013" s="6" t="s">
        <v>10625</v>
      </c>
      <c r="B8013" s="6" t="s">
        <v>1705</v>
      </c>
      <c r="C8013" s="6" t="s">
        <v>131</v>
      </c>
      <c r="D8013" s="13" t="n">
        <v>45454</v>
      </c>
      <c r="E8013" s="14" t="n">
        <v>5094.84</v>
      </c>
      <c r="F8013" s="14" t="n">
        <v>37288.3</v>
      </c>
      <c r="G8013" s="6" t="s">
        <v>2613</v>
      </c>
    </row>
    <row r="8014" customFormat="false" ht="15" hidden="false" customHeight="true" outlineLevel="0" collapsed="false">
      <c r="A8014" s="6" t="s">
        <v>10626</v>
      </c>
      <c r="B8014" s="6" t="s">
        <v>1707</v>
      </c>
      <c r="C8014" s="6" t="s">
        <v>112</v>
      </c>
      <c r="D8014" s="13" t="n">
        <v>45154</v>
      </c>
      <c r="E8014" s="14" t="n">
        <v>4695.37</v>
      </c>
      <c r="F8014" s="14" t="n">
        <v>4695.37</v>
      </c>
      <c r="G8014" s="6" t="s">
        <v>2613</v>
      </c>
    </row>
    <row r="8015" customFormat="false" ht="15" hidden="false" customHeight="true" outlineLevel="0" collapsed="false">
      <c r="A8015" s="6" t="s">
        <v>10627</v>
      </c>
      <c r="B8015" s="6" t="s">
        <v>1707</v>
      </c>
      <c r="C8015" s="6" t="s">
        <v>112</v>
      </c>
      <c r="D8015" s="13" t="n">
        <v>45161</v>
      </c>
      <c r="E8015" s="14" t="n">
        <v>4059.63</v>
      </c>
      <c r="F8015" s="14" t="n">
        <v>8755</v>
      </c>
      <c r="G8015" s="6" t="s">
        <v>2613</v>
      </c>
    </row>
    <row r="8016" customFormat="false" ht="15" hidden="false" customHeight="true" outlineLevel="0" collapsed="false">
      <c r="A8016" s="6" t="s">
        <v>10628</v>
      </c>
      <c r="B8016" s="6" t="s">
        <v>1707</v>
      </c>
      <c r="C8016" s="6" t="s">
        <v>112</v>
      </c>
      <c r="D8016" s="13" t="n">
        <v>45168</v>
      </c>
      <c r="E8016" s="14" t="n">
        <v>4921.39</v>
      </c>
      <c r="F8016" s="14" t="n">
        <v>13676.39</v>
      </c>
      <c r="G8016" s="6" t="s">
        <v>2623</v>
      </c>
    </row>
    <row r="8017" customFormat="false" ht="15" hidden="false" customHeight="true" outlineLevel="0" collapsed="false">
      <c r="A8017" s="6" t="s">
        <v>10629</v>
      </c>
      <c r="B8017" s="6" t="s">
        <v>1707</v>
      </c>
      <c r="C8017" s="6" t="s">
        <v>112</v>
      </c>
      <c r="D8017" s="13" t="n">
        <v>45175</v>
      </c>
      <c r="E8017" s="14" t="n">
        <v>2379.34</v>
      </c>
      <c r="F8017" s="14" t="n">
        <v>16055.73</v>
      </c>
      <c r="G8017" s="6" t="s">
        <v>2623</v>
      </c>
    </row>
    <row r="8018" customFormat="false" ht="15" hidden="false" customHeight="true" outlineLevel="0" collapsed="false">
      <c r="A8018" s="6" t="s">
        <v>10630</v>
      </c>
      <c r="B8018" s="6" t="s">
        <v>1707</v>
      </c>
      <c r="C8018" s="6" t="s">
        <v>112</v>
      </c>
      <c r="D8018" s="13" t="n">
        <v>45182</v>
      </c>
      <c r="E8018" s="14" t="n">
        <v>4806.22</v>
      </c>
      <c r="F8018" s="14" t="n">
        <v>20861.95</v>
      </c>
      <c r="G8018" s="6" t="s">
        <v>2613</v>
      </c>
    </row>
    <row r="8019" customFormat="false" ht="15" hidden="false" customHeight="true" outlineLevel="0" collapsed="false">
      <c r="A8019" s="6" t="s">
        <v>10631</v>
      </c>
      <c r="B8019" s="6" t="s">
        <v>1707</v>
      </c>
      <c r="C8019" s="6" t="s">
        <v>112</v>
      </c>
      <c r="D8019" s="13" t="n">
        <v>45189</v>
      </c>
      <c r="E8019" s="14" t="n">
        <v>3329.25</v>
      </c>
      <c r="F8019" s="14" t="n">
        <v>24191.2</v>
      </c>
      <c r="G8019" s="6" t="s">
        <v>2613</v>
      </c>
    </row>
    <row r="8020" customFormat="false" ht="15" hidden="false" customHeight="true" outlineLevel="0" collapsed="false">
      <c r="A8020" s="6" t="s">
        <v>10632</v>
      </c>
      <c r="B8020" s="6" t="s">
        <v>1707</v>
      </c>
      <c r="C8020" s="6" t="s">
        <v>112</v>
      </c>
      <c r="D8020" s="13" t="n">
        <v>45196</v>
      </c>
      <c r="E8020" s="14" t="n">
        <v>3126.54</v>
      </c>
      <c r="F8020" s="14" t="n">
        <v>27317.74</v>
      </c>
      <c r="G8020" s="6" t="s">
        <v>2613</v>
      </c>
    </row>
    <row r="8021" customFormat="false" ht="15" hidden="false" customHeight="true" outlineLevel="0" collapsed="false">
      <c r="A8021" s="6" t="s">
        <v>10633</v>
      </c>
      <c r="B8021" s="6" t="s">
        <v>1707</v>
      </c>
      <c r="C8021" s="6" t="s">
        <v>112</v>
      </c>
      <c r="D8021" s="13" t="n">
        <v>45203</v>
      </c>
      <c r="E8021" s="14" t="n">
        <v>2847.7</v>
      </c>
      <c r="F8021" s="14" t="n">
        <v>30165.44</v>
      </c>
      <c r="G8021" s="6" t="s">
        <v>2613</v>
      </c>
    </row>
    <row r="8022" customFormat="false" ht="15" hidden="false" customHeight="true" outlineLevel="0" collapsed="false">
      <c r="A8022" s="6" t="s">
        <v>10634</v>
      </c>
      <c r="B8022" s="6" t="s">
        <v>1707</v>
      </c>
      <c r="C8022" s="6" t="s">
        <v>112</v>
      </c>
      <c r="D8022" s="13" t="n">
        <v>45210</v>
      </c>
      <c r="E8022" s="14" t="n">
        <v>2484.28</v>
      </c>
      <c r="F8022" s="14" t="n">
        <v>32649.72</v>
      </c>
      <c r="G8022" s="6" t="s">
        <v>2613</v>
      </c>
    </row>
    <row r="8023" customFormat="false" ht="15" hidden="false" customHeight="true" outlineLevel="0" collapsed="false">
      <c r="A8023" s="6" t="s">
        <v>10635</v>
      </c>
      <c r="B8023" s="6" t="s">
        <v>1707</v>
      </c>
      <c r="C8023" s="6" t="s">
        <v>112</v>
      </c>
      <c r="D8023" s="13" t="n">
        <v>45217</v>
      </c>
      <c r="E8023" s="14" t="n">
        <v>4407.04</v>
      </c>
      <c r="F8023" s="14" t="n">
        <v>37056.76</v>
      </c>
      <c r="G8023" s="6" t="s">
        <v>2613</v>
      </c>
    </row>
    <row r="8024" customFormat="false" ht="15" hidden="false" customHeight="true" outlineLevel="0" collapsed="false">
      <c r="A8024" s="6" t="s">
        <v>10636</v>
      </c>
      <c r="B8024" s="6" t="s">
        <v>1707</v>
      </c>
      <c r="C8024" s="6" t="s">
        <v>112</v>
      </c>
      <c r="D8024" s="13" t="n">
        <v>45224</v>
      </c>
      <c r="E8024" s="14" t="n">
        <v>2989.42</v>
      </c>
      <c r="F8024" s="14" t="n">
        <v>40046.18</v>
      </c>
      <c r="G8024" s="6" t="s">
        <v>2613</v>
      </c>
    </row>
    <row r="8025" customFormat="false" ht="15" hidden="false" customHeight="true" outlineLevel="0" collapsed="false">
      <c r="A8025" s="6" t="s">
        <v>10637</v>
      </c>
      <c r="B8025" s="6" t="s">
        <v>1707</v>
      </c>
      <c r="C8025" s="6" t="s">
        <v>112</v>
      </c>
      <c r="D8025" s="13" t="n">
        <v>45231</v>
      </c>
      <c r="E8025" s="14" t="n">
        <v>3111.51</v>
      </c>
      <c r="F8025" s="14" t="n">
        <v>43157.69</v>
      </c>
      <c r="G8025" s="6" t="s">
        <v>2613</v>
      </c>
    </row>
    <row r="8026" customFormat="false" ht="15" hidden="false" customHeight="true" outlineLevel="0" collapsed="false">
      <c r="A8026" s="6" t="s">
        <v>10638</v>
      </c>
      <c r="B8026" s="6" t="s">
        <v>1707</v>
      </c>
      <c r="C8026" s="6" t="s">
        <v>112</v>
      </c>
      <c r="D8026" s="13" t="n">
        <v>45238</v>
      </c>
      <c r="E8026" s="14" t="n">
        <v>2773.09</v>
      </c>
      <c r="F8026" s="14" t="n">
        <v>45930.78</v>
      </c>
      <c r="G8026" s="6" t="s">
        <v>2613</v>
      </c>
    </row>
    <row r="8027" customFormat="false" ht="15" hidden="false" customHeight="true" outlineLevel="0" collapsed="false">
      <c r="A8027" s="6" t="s">
        <v>10639</v>
      </c>
      <c r="B8027" s="6" t="s">
        <v>1707</v>
      </c>
      <c r="C8027" s="6" t="s">
        <v>112</v>
      </c>
      <c r="D8027" s="13" t="n">
        <v>45245</v>
      </c>
      <c r="E8027" s="14" t="n">
        <v>3051.14</v>
      </c>
      <c r="F8027" s="14" t="n">
        <v>48981.92</v>
      </c>
      <c r="G8027" s="6" t="s">
        <v>2623</v>
      </c>
    </row>
    <row r="8028" customFormat="false" ht="15" hidden="false" customHeight="true" outlineLevel="0" collapsed="false">
      <c r="A8028" s="6" t="s">
        <v>10640</v>
      </c>
      <c r="B8028" s="6" t="s">
        <v>1707</v>
      </c>
      <c r="C8028" s="6" t="s">
        <v>112</v>
      </c>
      <c r="D8028" s="13" t="n">
        <v>45252</v>
      </c>
      <c r="E8028" s="14" t="n">
        <v>6451.63</v>
      </c>
      <c r="F8028" s="14" t="n">
        <v>55433.55</v>
      </c>
      <c r="G8028" s="6" t="s">
        <v>2613</v>
      </c>
    </row>
    <row r="8029" customFormat="false" ht="15" hidden="false" customHeight="true" outlineLevel="0" collapsed="false">
      <c r="A8029" s="6" t="s">
        <v>10641</v>
      </c>
      <c r="B8029" s="6" t="s">
        <v>1709</v>
      </c>
      <c r="C8029" s="6" t="s">
        <v>131</v>
      </c>
      <c r="D8029" s="13" t="n">
        <v>45401</v>
      </c>
      <c r="E8029" s="14" t="n">
        <v>9557.36</v>
      </c>
      <c r="F8029" s="14" t="n">
        <v>9557.36</v>
      </c>
      <c r="G8029" s="6" t="s">
        <v>2613</v>
      </c>
    </row>
    <row r="8030" customFormat="false" ht="15" hidden="false" customHeight="true" outlineLevel="0" collapsed="false">
      <c r="A8030" s="6" t="s">
        <v>10642</v>
      </c>
      <c r="B8030" s="6" t="s">
        <v>1709</v>
      </c>
      <c r="C8030" s="6" t="s">
        <v>131</v>
      </c>
      <c r="D8030" s="13" t="n">
        <v>45408</v>
      </c>
      <c r="E8030" s="14" t="n">
        <v>5005.09</v>
      </c>
      <c r="F8030" s="14" t="n">
        <v>14562.45</v>
      </c>
      <c r="G8030" s="6" t="s">
        <v>2623</v>
      </c>
    </row>
    <row r="8031" customFormat="false" ht="15" hidden="false" customHeight="true" outlineLevel="0" collapsed="false">
      <c r="A8031" s="6" t="s">
        <v>10643</v>
      </c>
      <c r="B8031" s="6" t="s">
        <v>1709</v>
      </c>
      <c r="C8031" s="6" t="s">
        <v>131</v>
      </c>
      <c r="D8031" s="13" t="n">
        <v>45415</v>
      </c>
      <c r="E8031" s="14" t="n">
        <v>5644.67</v>
      </c>
      <c r="F8031" s="14" t="n">
        <v>20207.12</v>
      </c>
      <c r="G8031" s="6" t="s">
        <v>2613</v>
      </c>
    </row>
    <row r="8032" customFormat="false" ht="15" hidden="false" customHeight="true" outlineLevel="0" collapsed="false">
      <c r="A8032" s="6" t="s">
        <v>10644</v>
      </c>
      <c r="B8032" s="6" t="s">
        <v>1709</v>
      </c>
      <c r="C8032" s="6" t="s">
        <v>131</v>
      </c>
      <c r="D8032" s="13" t="n">
        <v>45422</v>
      </c>
      <c r="E8032" s="14" t="n">
        <v>7431.96</v>
      </c>
      <c r="F8032" s="14" t="n">
        <v>27639.08</v>
      </c>
      <c r="G8032" s="6" t="s">
        <v>2613</v>
      </c>
    </row>
    <row r="8033" customFormat="false" ht="15" hidden="false" customHeight="true" outlineLevel="0" collapsed="false">
      <c r="A8033" s="6" t="s">
        <v>10645</v>
      </c>
      <c r="B8033" s="6" t="s">
        <v>1709</v>
      </c>
      <c r="C8033" s="6" t="s">
        <v>131</v>
      </c>
      <c r="D8033" s="13" t="n">
        <v>45429</v>
      </c>
      <c r="E8033" s="14" t="n">
        <v>5276.46</v>
      </c>
      <c r="F8033" s="14" t="n">
        <v>32915.54</v>
      </c>
      <c r="G8033" s="6" t="s">
        <v>2613</v>
      </c>
    </row>
    <row r="8034" customFormat="false" ht="15" hidden="false" customHeight="true" outlineLevel="0" collapsed="false">
      <c r="A8034" s="6" t="s">
        <v>10646</v>
      </c>
      <c r="B8034" s="6" t="s">
        <v>1709</v>
      </c>
      <c r="C8034" s="6" t="s">
        <v>131</v>
      </c>
      <c r="D8034" s="13" t="n">
        <v>45436</v>
      </c>
      <c r="E8034" s="14" t="n">
        <v>5597.55</v>
      </c>
      <c r="F8034" s="14" t="n">
        <v>38513.09</v>
      </c>
      <c r="G8034" s="6" t="s">
        <v>2613</v>
      </c>
    </row>
    <row r="8035" customFormat="false" ht="15" hidden="false" customHeight="true" outlineLevel="0" collapsed="false">
      <c r="A8035" s="6" t="s">
        <v>10647</v>
      </c>
      <c r="B8035" s="6" t="s">
        <v>1709</v>
      </c>
      <c r="C8035" s="6" t="s">
        <v>131</v>
      </c>
      <c r="D8035" s="13" t="n">
        <v>45443</v>
      </c>
      <c r="E8035" s="14" t="n">
        <v>10184.64</v>
      </c>
      <c r="F8035" s="14" t="n">
        <v>48697.73</v>
      </c>
      <c r="G8035" s="6" t="s">
        <v>2613</v>
      </c>
    </row>
    <row r="8036" customFormat="false" ht="15" hidden="false" customHeight="true" outlineLevel="0" collapsed="false">
      <c r="A8036" s="6" t="s">
        <v>10648</v>
      </c>
      <c r="B8036" s="6" t="s">
        <v>1709</v>
      </c>
      <c r="C8036" s="6" t="s">
        <v>131</v>
      </c>
      <c r="D8036" s="13" t="n">
        <v>45450</v>
      </c>
      <c r="E8036" s="14" t="n">
        <v>7603.8</v>
      </c>
      <c r="F8036" s="14" t="n">
        <v>56301.53</v>
      </c>
      <c r="G8036" s="6" t="s">
        <v>2623</v>
      </c>
    </row>
    <row r="8037" customFormat="false" ht="15" hidden="false" customHeight="true" outlineLevel="0" collapsed="false">
      <c r="A8037" s="6" t="s">
        <v>10649</v>
      </c>
      <c r="B8037" s="6" t="s">
        <v>1709</v>
      </c>
      <c r="C8037" s="6" t="s">
        <v>131</v>
      </c>
      <c r="D8037" s="13" t="n">
        <v>45457</v>
      </c>
      <c r="E8037" s="14" t="n">
        <v>5683.04</v>
      </c>
      <c r="F8037" s="14" t="n">
        <v>61984.57</v>
      </c>
      <c r="G8037" s="6" t="s">
        <v>2613</v>
      </c>
    </row>
    <row r="8038" customFormat="false" ht="15" hidden="false" customHeight="true" outlineLevel="0" collapsed="false">
      <c r="A8038" s="6" t="s">
        <v>10650</v>
      </c>
      <c r="B8038" s="6" t="s">
        <v>1709</v>
      </c>
      <c r="C8038" s="6" t="s">
        <v>131</v>
      </c>
      <c r="D8038" s="13" t="n">
        <v>45464</v>
      </c>
      <c r="E8038" s="14" t="n">
        <v>7560.68</v>
      </c>
      <c r="F8038" s="14" t="n">
        <v>69545.25</v>
      </c>
      <c r="G8038" s="6" t="s">
        <v>2613</v>
      </c>
    </row>
    <row r="8039" customFormat="false" ht="15" hidden="false" customHeight="true" outlineLevel="0" collapsed="false">
      <c r="A8039" s="6" t="s">
        <v>10651</v>
      </c>
      <c r="B8039" s="6" t="s">
        <v>1709</v>
      </c>
      <c r="C8039" s="6" t="s">
        <v>131</v>
      </c>
      <c r="D8039" s="13" t="n">
        <v>45471</v>
      </c>
      <c r="E8039" s="14" t="n">
        <v>8214.6</v>
      </c>
      <c r="F8039" s="14" t="n">
        <v>77759.85</v>
      </c>
      <c r="G8039" s="6" t="s">
        <v>2613</v>
      </c>
    </row>
    <row r="8040" customFormat="false" ht="15" hidden="false" customHeight="true" outlineLevel="0" collapsed="false">
      <c r="A8040" s="6" t="s">
        <v>10652</v>
      </c>
      <c r="B8040" s="6" t="s">
        <v>1709</v>
      </c>
      <c r="C8040" s="6" t="s">
        <v>131</v>
      </c>
      <c r="D8040" s="13" t="n">
        <v>45478</v>
      </c>
      <c r="E8040" s="14" t="n">
        <v>7334.14</v>
      </c>
      <c r="F8040" s="14" t="n">
        <v>85093.99</v>
      </c>
      <c r="G8040" s="6" t="s">
        <v>2613</v>
      </c>
    </row>
    <row r="8041" customFormat="false" ht="15" hidden="false" customHeight="true" outlineLevel="0" collapsed="false">
      <c r="A8041" s="6" t="s">
        <v>10653</v>
      </c>
      <c r="B8041" s="6" t="s">
        <v>1709</v>
      </c>
      <c r="C8041" s="6" t="s">
        <v>131</v>
      </c>
      <c r="D8041" s="13" t="n">
        <v>45485</v>
      </c>
      <c r="E8041" s="14" t="n">
        <v>6474.43</v>
      </c>
      <c r="F8041" s="14" t="n">
        <v>91568.42</v>
      </c>
      <c r="G8041" s="6" t="s">
        <v>2613</v>
      </c>
    </row>
    <row r="8042" customFormat="false" ht="15" hidden="false" customHeight="true" outlineLevel="0" collapsed="false">
      <c r="A8042" s="6" t="s">
        <v>10654</v>
      </c>
      <c r="B8042" s="6" t="s">
        <v>1709</v>
      </c>
      <c r="C8042" s="6" t="s">
        <v>131</v>
      </c>
      <c r="D8042" s="13" t="n">
        <v>45492</v>
      </c>
      <c r="E8042" s="14" t="n">
        <v>12024.59</v>
      </c>
      <c r="F8042" s="14" t="n">
        <v>103593.01</v>
      </c>
      <c r="G8042" s="6" t="s">
        <v>2613</v>
      </c>
    </row>
    <row r="8043" customFormat="false" ht="15" hidden="false" customHeight="true" outlineLevel="0" collapsed="false">
      <c r="A8043" s="6" t="s">
        <v>10655</v>
      </c>
      <c r="B8043" s="6" t="s">
        <v>1711</v>
      </c>
      <c r="C8043" s="6" t="s">
        <v>128</v>
      </c>
      <c r="D8043" s="13" t="n">
        <v>45631</v>
      </c>
      <c r="E8043" s="14" t="n">
        <v>2758.05</v>
      </c>
      <c r="F8043" s="14" t="n">
        <v>2758.05</v>
      </c>
      <c r="G8043" s="6" t="s">
        <v>2613</v>
      </c>
    </row>
    <row r="8044" customFormat="false" ht="15" hidden="false" customHeight="true" outlineLevel="0" collapsed="false">
      <c r="A8044" s="6" t="s">
        <v>10656</v>
      </c>
      <c r="B8044" s="6" t="s">
        <v>1711</v>
      </c>
      <c r="C8044" s="6" t="s">
        <v>128</v>
      </c>
      <c r="D8044" s="13" t="n">
        <v>45638</v>
      </c>
      <c r="E8044" s="14" t="n">
        <v>4832.5</v>
      </c>
      <c r="F8044" s="14" t="n">
        <v>7590.55</v>
      </c>
      <c r="G8044" s="6" t="s">
        <v>2613</v>
      </c>
    </row>
    <row r="8045" customFormat="false" ht="15" hidden="false" customHeight="true" outlineLevel="0" collapsed="false">
      <c r="A8045" s="6" t="s">
        <v>10657</v>
      </c>
      <c r="B8045" s="6" t="s">
        <v>1711</v>
      </c>
      <c r="C8045" s="6" t="s">
        <v>128</v>
      </c>
      <c r="D8045" s="13" t="n">
        <v>45645</v>
      </c>
      <c r="E8045" s="14" t="n">
        <v>4127.89</v>
      </c>
      <c r="F8045" s="14" t="n">
        <v>11718.44</v>
      </c>
      <c r="G8045" s="6" t="s">
        <v>2613</v>
      </c>
    </row>
    <row r="8046" customFormat="false" ht="15" hidden="false" customHeight="true" outlineLevel="0" collapsed="false">
      <c r="A8046" s="6" t="s">
        <v>10658</v>
      </c>
      <c r="B8046" s="6" t="s">
        <v>1711</v>
      </c>
      <c r="C8046" s="6" t="s">
        <v>128</v>
      </c>
      <c r="D8046" s="13" t="n">
        <v>45652</v>
      </c>
      <c r="E8046" s="14" t="n">
        <v>2714.78</v>
      </c>
      <c r="F8046" s="14" t="n">
        <v>14433.22</v>
      </c>
      <c r="G8046" s="6" t="s">
        <v>2613</v>
      </c>
    </row>
    <row r="8047" customFormat="false" ht="15" hidden="false" customHeight="true" outlineLevel="0" collapsed="false">
      <c r="A8047" s="6" t="s">
        <v>10659</v>
      </c>
      <c r="B8047" s="6" t="s">
        <v>1711</v>
      </c>
      <c r="C8047" s="6" t="s">
        <v>128</v>
      </c>
      <c r="D8047" s="13" t="n">
        <v>45659</v>
      </c>
      <c r="E8047" s="14" t="n">
        <v>4110.12</v>
      </c>
      <c r="F8047" s="14" t="n">
        <v>18543.34</v>
      </c>
      <c r="G8047" s="6" t="s">
        <v>2613</v>
      </c>
    </row>
    <row r="8048" customFormat="false" ht="15" hidden="false" customHeight="true" outlineLevel="0" collapsed="false">
      <c r="A8048" s="6" t="s">
        <v>10660</v>
      </c>
      <c r="B8048" s="6" t="s">
        <v>1711</v>
      </c>
      <c r="C8048" s="6" t="s">
        <v>128</v>
      </c>
      <c r="D8048" s="13" t="n">
        <v>45666</v>
      </c>
      <c r="E8048" s="14" t="n">
        <v>2697.47</v>
      </c>
      <c r="F8048" s="14" t="n">
        <v>21240.81</v>
      </c>
      <c r="G8048" s="6" t="s">
        <v>2613</v>
      </c>
    </row>
    <row r="8049" customFormat="false" ht="15" hidden="false" customHeight="true" outlineLevel="0" collapsed="false">
      <c r="A8049" s="6" t="s">
        <v>10661</v>
      </c>
      <c r="B8049" s="6" t="s">
        <v>1711</v>
      </c>
      <c r="C8049" s="6" t="s">
        <v>128</v>
      </c>
      <c r="D8049" s="13" t="n">
        <v>45673</v>
      </c>
      <c r="E8049" s="14" t="n">
        <v>4856.63</v>
      </c>
      <c r="F8049" s="14" t="n">
        <v>26097.44</v>
      </c>
      <c r="G8049" s="6" t="s">
        <v>2613</v>
      </c>
    </row>
    <row r="8050" customFormat="false" ht="15" hidden="false" customHeight="true" outlineLevel="0" collapsed="false">
      <c r="A8050" s="6" t="s">
        <v>10662</v>
      </c>
      <c r="B8050" s="6" t="s">
        <v>1711</v>
      </c>
      <c r="C8050" s="6" t="s">
        <v>128</v>
      </c>
      <c r="D8050" s="13" t="n">
        <v>45680</v>
      </c>
      <c r="E8050" s="14" t="n">
        <v>5585.15</v>
      </c>
      <c r="F8050" s="14" t="n">
        <v>31682.59</v>
      </c>
      <c r="G8050" s="6" t="s">
        <v>2613</v>
      </c>
    </row>
    <row r="8051" customFormat="false" ht="15" hidden="false" customHeight="true" outlineLevel="0" collapsed="false">
      <c r="A8051" s="6" t="s">
        <v>10663</v>
      </c>
      <c r="B8051" s="6" t="s">
        <v>1711</v>
      </c>
      <c r="C8051" s="6" t="s">
        <v>128</v>
      </c>
      <c r="D8051" s="13" t="n">
        <v>45687</v>
      </c>
      <c r="E8051" s="14" t="n">
        <v>2612</v>
      </c>
      <c r="F8051" s="14" t="n">
        <v>34294.59</v>
      </c>
      <c r="G8051" s="6" t="s">
        <v>2613</v>
      </c>
    </row>
    <row r="8052" customFormat="false" ht="15" hidden="false" customHeight="true" outlineLevel="0" collapsed="false">
      <c r="A8052" s="6" t="s">
        <v>10664</v>
      </c>
      <c r="B8052" s="6" t="s">
        <v>1711</v>
      </c>
      <c r="C8052" s="6" t="s">
        <v>128</v>
      </c>
      <c r="D8052" s="13" t="n">
        <v>45694</v>
      </c>
      <c r="E8052" s="14" t="n">
        <v>3638.01</v>
      </c>
      <c r="F8052" s="14" t="n">
        <v>37932.6</v>
      </c>
      <c r="G8052" s="6" t="s">
        <v>2613</v>
      </c>
    </row>
    <row r="8053" customFormat="false" ht="15" hidden="false" customHeight="true" outlineLevel="0" collapsed="false">
      <c r="A8053" s="6" t="s">
        <v>10665</v>
      </c>
      <c r="B8053" s="6" t="s">
        <v>1711</v>
      </c>
      <c r="C8053" s="6" t="s">
        <v>128</v>
      </c>
      <c r="D8053" s="13" t="n">
        <v>45701</v>
      </c>
      <c r="E8053" s="14" t="n">
        <v>4658.41</v>
      </c>
      <c r="F8053" s="14" t="n">
        <v>42591.01</v>
      </c>
      <c r="G8053" s="6" t="s">
        <v>2613</v>
      </c>
    </row>
    <row r="8054" customFormat="false" ht="15" hidden="false" customHeight="true" outlineLevel="0" collapsed="false">
      <c r="A8054" s="6" t="s">
        <v>10666</v>
      </c>
      <c r="B8054" s="6" t="s">
        <v>1711</v>
      </c>
      <c r="C8054" s="6" t="s">
        <v>128</v>
      </c>
      <c r="D8054" s="13" t="n">
        <v>45708</v>
      </c>
      <c r="E8054" s="14" t="n">
        <v>2958.18</v>
      </c>
      <c r="F8054" s="14" t="n">
        <v>45549.19</v>
      </c>
      <c r="G8054" s="6" t="s">
        <v>2613</v>
      </c>
    </row>
    <row r="8055" customFormat="false" ht="15" hidden="false" customHeight="true" outlineLevel="0" collapsed="false">
      <c r="A8055" s="6" t="s">
        <v>10667</v>
      </c>
      <c r="B8055" s="6" t="s">
        <v>1711</v>
      </c>
      <c r="C8055" s="6" t="s">
        <v>128</v>
      </c>
      <c r="D8055" s="13" t="n">
        <v>45715</v>
      </c>
      <c r="E8055" s="14" t="n">
        <v>2733.03</v>
      </c>
      <c r="F8055" s="14" t="n">
        <v>48282.22</v>
      </c>
      <c r="G8055" s="6" t="s">
        <v>2613</v>
      </c>
    </row>
    <row r="8056" customFormat="false" ht="15" hidden="false" customHeight="true" outlineLevel="0" collapsed="false">
      <c r="A8056" s="6" t="s">
        <v>10668</v>
      </c>
      <c r="B8056" s="6" t="s">
        <v>1711</v>
      </c>
      <c r="C8056" s="6" t="s">
        <v>128</v>
      </c>
      <c r="D8056" s="13" t="n">
        <v>45722</v>
      </c>
      <c r="E8056" s="14" t="n">
        <v>3589.29</v>
      </c>
      <c r="F8056" s="14" t="n">
        <v>51871.51</v>
      </c>
      <c r="G8056" s="6" t="s">
        <v>2613</v>
      </c>
    </row>
    <row r="8057" customFormat="false" ht="15" hidden="false" customHeight="true" outlineLevel="0" collapsed="false">
      <c r="A8057" s="6" t="s">
        <v>10669</v>
      </c>
      <c r="B8057" s="6" t="s">
        <v>1711</v>
      </c>
      <c r="C8057" s="6" t="s">
        <v>128</v>
      </c>
      <c r="D8057" s="13" t="n">
        <v>45729</v>
      </c>
      <c r="E8057" s="14" t="n">
        <v>5099.41</v>
      </c>
      <c r="F8057" s="14" t="n">
        <v>56970.92</v>
      </c>
      <c r="G8057" s="6" t="s">
        <v>2613</v>
      </c>
    </row>
    <row r="8058" customFormat="false" ht="15" hidden="false" customHeight="true" outlineLevel="0" collapsed="false">
      <c r="A8058" s="6" t="s">
        <v>10670</v>
      </c>
      <c r="B8058" s="6" t="s">
        <v>1711</v>
      </c>
      <c r="C8058" s="6" t="s">
        <v>128</v>
      </c>
      <c r="D8058" s="13" t="n">
        <v>45736</v>
      </c>
      <c r="E8058" s="14" t="n">
        <v>5118.02</v>
      </c>
      <c r="F8058" s="14" t="n">
        <v>62088.94</v>
      </c>
      <c r="G8058" s="6" t="s">
        <v>2613</v>
      </c>
    </row>
    <row r="8059" customFormat="false" ht="15" hidden="false" customHeight="true" outlineLevel="0" collapsed="false">
      <c r="A8059" s="6" t="s">
        <v>10671</v>
      </c>
      <c r="B8059" s="6" t="s">
        <v>1711</v>
      </c>
      <c r="C8059" s="6" t="s">
        <v>128</v>
      </c>
      <c r="D8059" s="13" t="n">
        <v>45743</v>
      </c>
      <c r="E8059" s="14" t="n">
        <v>4760.73</v>
      </c>
      <c r="F8059" s="14" t="n">
        <v>66849.67</v>
      </c>
      <c r="G8059" s="6" t="s">
        <v>2613</v>
      </c>
    </row>
    <row r="8060" customFormat="false" ht="15" hidden="false" customHeight="true" outlineLevel="0" collapsed="false">
      <c r="A8060" s="6" t="s">
        <v>10672</v>
      </c>
      <c r="B8060" s="6" t="s">
        <v>1711</v>
      </c>
      <c r="C8060" s="6" t="s">
        <v>128</v>
      </c>
      <c r="D8060" s="13" t="n">
        <v>45750</v>
      </c>
      <c r="E8060" s="14" t="n">
        <v>2606.5</v>
      </c>
      <c r="F8060" s="14" t="n">
        <v>69456.17</v>
      </c>
      <c r="G8060" s="6" t="s">
        <v>2613</v>
      </c>
    </row>
    <row r="8061" customFormat="false" ht="15" hidden="false" customHeight="true" outlineLevel="0" collapsed="false">
      <c r="A8061" s="6" t="s">
        <v>10673</v>
      </c>
      <c r="B8061" s="6" t="s">
        <v>1711</v>
      </c>
      <c r="C8061" s="6" t="s">
        <v>128</v>
      </c>
      <c r="D8061" s="13" t="n">
        <v>45757</v>
      </c>
      <c r="E8061" s="14" t="n">
        <v>3916.84</v>
      </c>
      <c r="F8061" s="14" t="n">
        <v>73373.01</v>
      </c>
      <c r="G8061" s="6" t="s">
        <v>2613</v>
      </c>
    </row>
    <row r="8062" customFormat="false" ht="15" hidden="false" customHeight="true" outlineLevel="0" collapsed="false">
      <c r="A8062" s="6" t="s">
        <v>10674</v>
      </c>
      <c r="B8062" s="6" t="s">
        <v>1711</v>
      </c>
      <c r="C8062" s="6" t="s">
        <v>128</v>
      </c>
      <c r="D8062" s="13" t="n">
        <v>45764</v>
      </c>
      <c r="E8062" s="14" t="n">
        <v>2694.2</v>
      </c>
      <c r="F8062" s="14" t="n">
        <v>76067.21</v>
      </c>
      <c r="G8062" s="6" t="s">
        <v>2623</v>
      </c>
    </row>
    <row r="8063" customFormat="false" ht="15" hidden="false" customHeight="true" outlineLevel="0" collapsed="false">
      <c r="A8063" s="6" t="s">
        <v>10675</v>
      </c>
      <c r="B8063" s="6" t="s">
        <v>1711</v>
      </c>
      <c r="C8063" s="6" t="s">
        <v>128</v>
      </c>
      <c r="D8063" s="13" t="n">
        <v>45771</v>
      </c>
      <c r="E8063" s="14" t="n">
        <v>8058.51</v>
      </c>
      <c r="F8063" s="14" t="n">
        <v>84125.72</v>
      </c>
      <c r="G8063" s="6" t="s">
        <v>2613</v>
      </c>
    </row>
    <row r="8064" customFormat="false" ht="15" hidden="false" customHeight="true" outlineLevel="0" collapsed="false">
      <c r="A8064" s="6" t="s">
        <v>10676</v>
      </c>
      <c r="B8064" s="6" t="s">
        <v>1713</v>
      </c>
      <c r="C8064" s="6" t="s">
        <v>112</v>
      </c>
      <c r="D8064" s="13" t="n">
        <v>44689</v>
      </c>
      <c r="E8064" s="14" t="n">
        <v>281.82</v>
      </c>
      <c r="F8064" s="14" t="n">
        <v>281.82</v>
      </c>
      <c r="G8064" s="6" t="s">
        <v>2613</v>
      </c>
    </row>
    <row r="8065" customFormat="false" ht="15" hidden="false" customHeight="true" outlineLevel="0" collapsed="false">
      <c r="A8065" s="6" t="s">
        <v>10677</v>
      </c>
      <c r="B8065" s="6" t="s">
        <v>1713</v>
      </c>
      <c r="C8065" s="6" t="s">
        <v>112</v>
      </c>
      <c r="D8065" s="13" t="n">
        <v>44696</v>
      </c>
      <c r="E8065" s="14" t="n">
        <v>333.95</v>
      </c>
      <c r="F8065" s="14" t="n">
        <v>615.77</v>
      </c>
      <c r="G8065" s="6" t="s">
        <v>2623</v>
      </c>
    </row>
    <row r="8066" customFormat="false" ht="15" hidden="false" customHeight="true" outlineLevel="0" collapsed="false">
      <c r="A8066" s="6" t="s">
        <v>10678</v>
      </c>
      <c r="B8066" s="6" t="s">
        <v>1713</v>
      </c>
      <c r="C8066" s="6" t="s">
        <v>112</v>
      </c>
      <c r="D8066" s="13" t="n">
        <v>44703</v>
      </c>
      <c r="E8066" s="14" t="n">
        <v>187.31</v>
      </c>
      <c r="F8066" s="14" t="n">
        <v>803.08</v>
      </c>
      <c r="G8066" s="6" t="s">
        <v>2613</v>
      </c>
    </row>
    <row r="8067" customFormat="false" ht="15" hidden="false" customHeight="true" outlineLevel="0" collapsed="false">
      <c r="A8067" s="6" t="s">
        <v>10679</v>
      </c>
      <c r="B8067" s="6" t="s">
        <v>1713</v>
      </c>
      <c r="C8067" s="6" t="s">
        <v>112</v>
      </c>
      <c r="D8067" s="13" t="n">
        <v>44710</v>
      </c>
      <c r="E8067" s="14" t="n">
        <v>350.08</v>
      </c>
      <c r="F8067" s="14" t="n">
        <v>1153.16</v>
      </c>
      <c r="G8067" s="6" t="s">
        <v>2613</v>
      </c>
    </row>
    <row r="8068" customFormat="false" ht="15" hidden="false" customHeight="true" outlineLevel="0" collapsed="false">
      <c r="A8068" s="6" t="s">
        <v>10680</v>
      </c>
      <c r="B8068" s="6" t="s">
        <v>1713</v>
      </c>
      <c r="C8068" s="6" t="s">
        <v>112</v>
      </c>
      <c r="D8068" s="13" t="n">
        <v>44717</v>
      </c>
      <c r="E8068" s="14" t="n">
        <v>305.13</v>
      </c>
      <c r="F8068" s="14" t="n">
        <v>1458.29</v>
      </c>
      <c r="G8068" s="6" t="s">
        <v>2613</v>
      </c>
    </row>
    <row r="8069" customFormat="false" ht="15" hidden="false" customHeight="true" outlineLevel="0" collapsed="false">
      <c r="A8069" s="6" t="s">
        <v>10681</v>
      </c>
      <c r="B8069" s="6" t="s">
        <v>1713</v>
      </c>
      <c r="C8069" s="6" t="s">
        <v>112</v>
      </c>
      <c r="D8069" s="13" t="n">
        <v>44724</v>
      </c>
      <c r="E8069" s="14" t="n">
        <v>249.65</v>
      </c>
      <c r="F8069" s="14" t="n">
        <v>1707.94</v>
      </c>
      <c r="G8069" s="6" t="s">
        <v>2613</v>
      </c>
    </row>
    <row r="8070" customFormat="false" ht="15" hidden="false" customHeight="true" outlineLevel="0" collapsed="false">
      <c r="A8070" s="6" t="s">
        <v>10682</v>
      </c>
      <c r="B8070" s="6" t="s">
        <v>1713</v>
      </c>
      <c r="C8070" s="6" t="s">
        <v>112</v>
      </c>
      <c r="D8070" s="13" t="n">
        <v>44731</v>
      </c>
      <c r="E8070" s="14" t="n">
        <v>350.32</v>
      </c>
      <c r="F8070" s="14" t="n">
        <v>2058.26</v>
      </c>
      <c r="G8070" s="6" t="s">
        <v>2613</v>
      </c>
    </row>
    <row r="8071" customFormat="false" ht="15" hidden="false" customHeight="true" outlineLevel="0" collapsed="false">
      <c r="A8071" s="6" t="s">
        <v>10683</v>
      </c>
      <c r="B8071" s="6" t="s">
        <v>1713</v>
      </c>
      <c r="C8071" s="6" t="s">
        <v>112</v>
      </c>
      <c r="D8071" s="13" t="n">
        <v>44738</v>
      </c>
      <c r="E8071" s="14" t="n">
        <v>231.93</v>
      </c>
      <c r="F8071" s="14" t="n">
        <v>2290.19</v>
      </c>
      <c r="G8071" s="6" t="s">
        <v>2613</v>
      </c>
    </row>
    <row r="8072" customFormat="false" ht="15" hidden="false" customHeight="true" outlineLevel="0" collapsed="false">
      <c r="A8072" s="6" t="s">
        <v>10684</v>
      </c>
      <c r="B8072" s="6" t="s">
        <v>1713</v>
      </c>
      <c r="C8072" s="6" t="s">
        <v>112</v>
      </c>
      <c r="D8072" s="13" t="n">
        <v>44745</v>
      </c>
      <c r="E8072" s="14" t="n">
        <v>252.63</v>
      </c>
      <c r="F8072" s="14" t="n">
        <v>2542.82</v>
      </c>
      <c r="G8072" s="6" t="s">
        <v>2613</v>
      </c>
    </row>
    <row r="8073" customFormat="false" ht="15" hidden="false" customHeight="true" outlineLevel="0" collapsed="false">
      <c r="A8073" s="6" t="s">
        <v>10685</v>
      </c>
      <c r="B8073" s="6" t="s">
        <v>1713</v>
      </c>
      <c r="C8073" s="6" t="s">
        <v>112</v>
      </c>
      <c r="D8073" s="13" t="n">
        <v>44752</v>
      </c>
      <c r="E8073" s="14" t="n">
        <v>204.28</v>
      </c>
      <c r="F8073" s="14" t="n">
        <v>2747.1</v>
      </c>
      <c r="G8073" s="6" t="s">
        <v>2613</v>
      </c>
    </row>
    <row r="8074" customFormat="false" ht="15" hidden="false" customHeight="true" outlineLevel="0" collapsed="false">
      <c r="A8074" s="6" t="s">
        <v>10686</v>
      </c>
      <c r="B8074" s="6" t="s">
        <v>1713</v>
      </c>
      <c r="C8074" s="6" t="s">
        <v>112</v>
      </c>
      <c r="D8074" s="13" t="n">
        <v>44759</v>
      </c>
      <c r="E8074" s="14" t="n">
        <v>404.89</v>
      </c>
      <c r="F8074" s="14" t="n">
        <v>3151.99</v>
      </c>
      <c r="G8074" s="6" t="s">
        <v>2613</v>
      </c>
    </row>
    <row r="8075" customFormat="false" ht="15" hidden="false" customHeight="true" outlineLevel="0" collapsed="false">
      <c r="A8075" s="6" t="s">
        <v>10687</v>
      </c>
      <c r="B8075" s="6" t="s">
        <v>1713</v>
      </c>
      <c r="C8075" s="6" t="s">
        <v>112</v>
      </c>
      <c r="D8075" s="13" t="n">
        <v>44766</v>
      </c>
      <c r="E8075" s="14" t="n">
        <v>199.25</v>
      </c>
      <c r="F8075" s="14" t="n">
        <v>3351.24</v>
      </c>
      <c r="G8075" s="6" t="s">
        <v>2613</v>
      </c>
    </row>
    <row r="8076" customFormat="false" ht="15" hidden="false" customHeight="true" outlineLevel="0" collapsed="false">
      <c r="A8076" s="6" t="s">
        <v>10688</v>
      </c>
      <c r="B8076" s="6" t="s">
        <v>1713</v>
      </c>
      <c r="C8076" s="6" t="s">
        <v>112</v>
      </c>
      <c r="D8076" s="13" t="n">
        <v>44773</v>
      </c>
      <c r="E8076" s="14" t="n">
        <v>320.36</v>
      </c>
      <c r="F8076" s="14" t="n">
        <v>3671.6</v>
      </c>
      <c r="G8076" s="6" t="s">
        <v>2613</v>
      </c>
    </row>
    <row r="8077" customFormat="false" ht="15" hidden="false" customHeight="true" outlineLevel="0" collapsed="false">
      <c r="A8077" s="6" t="s">
        <v>10689</v>
      </c>
      <c r="B8077" s="6" t="s">
        <v>1713</v>
      </c>
      <c r="C8077" s="6" t="s">
        <v>112</v>
      </c>
      <c r="D8077" s="13" t="n">
        <v>44780</v>
      </c>
      <c r="E8077" s="14" t="n">
        <v>238.86</v>
      </c>
      <c r="F8077" s="14" t="n">
        <v>3910.46</v>
      </c>
      <c r="G8077" s="6" t="s">
        <v>2613</v>
      </c>
    </row>
    <row r="8078" customFormat="false" ht="15" hidden="false" customHeight="true" outlineLevel="0" collapsed="false">
      <c r="A8078" s="6" t="s">
        <v>10690</v>
      </c>
      <c r="B8078" s="6" t="s">
        <v>1713</v>
      </c>
      <c r="C8078" s="6" t="s">
        <v>112</v>
      </c>
      <c r="D8078" s="13" t="n">
        <v>44787</v>
      </c>
      <c r="E8078" s="14" t="n">
        <v>274.11</v>
      </c>
      <c r="F8078" s="14" t="n">
        <v>4184.57</v>
      </c>
      <c r="G8078" s="6" t="s">
        <v>2613</v>
      </c>
    </row>
    <row r="8079" customFormat="false" ht="15" hidden="false" customHeight="true" outlineLevel="0" collapsed="false">
      <c r="A8079" s="6" t="s">
        <v>10691</v>
      </c>
      <c r="B8079" s="6" t="s">
        <v>1713</v>
      </c>
      <c r="C8079" s="6" t="s">
        <v>112</v>
      </c>
      <c r="D8079" s="13" t="n">
        <v>44794</v>
      </c>
      <c r="E8079" s="14" t="n">
        <v>395.77</v>
      </c>
      <c r="F8079" s="14" t="n">
        <v>4580.34</v>
      </c>
      <c r="G8079" s="6" t="s">
        <v>2613</v>
      </c>
    </row>
    <row r="8080" customFormat="false" ht="15" hidden="false" customHeight="true" outlineLevel="0" collapsed="false">
      <c r="A8080" s="6" t="s">
        <v>10692</v>
      </c>
      <c r="B8080" s="6" t="s">
        <v>1713</v>
      </c>
      <c r="C8080" s="6" t="s">
        <v>112</v>
      </c>
      <c r="D8080" s="13" t="n">
        <v>44801</v>
      </c>
      <c r="E8080" s="14" t="n">
        <v>364.95</v>
      </c>
      <c r="F8080" s="14" t="n">
        <v>4945.29</v>
      </c>
      <c r="G8080" s="6" t="s">
        <v>2623</v>
      </c>
    </row>
    <row r="8081" customFormat="false" ht="15" hidden="false" customHeight="true" outlineLevel="0" collapsed="false">
      <c r="A8081" s="6" t="s">
        <v>10693</v>
      </c>
      <c r="B8081" s="6" t="s">
        <v>1713</v>
      </c>
      <c r="C8081" s="6" t="s">
        <v>112</v>
      </c>
      <c r="D8081" s="13" t="n">
        <v>44808</v>
      </c>
      <c r="E8081" s="14" t="n">
        <v>404.41</v>
      </c>
      <c r="F8081" s="14" t="n">
        <v>5349.7</v>
      </c>
      <c r="G8081" s="6" t="s">
        <v>2613</v>
      </c>
    </row>
    <row r="8082" customFormat="false" ht="15" hidden="false" customHeight="true" outlineLevel="0" collapsed="false">
      <c r="A8082" s="6" t="s">
        <v>10694</v>
      </c>
      <c r="B8082" s="6" t="s">
        <v>1713</v>
      </c>
      <c r="C8082" s="6" t="s">
        <v>112</v>
      </c>
      <c r="D8082" s="13" t="n">
        <v>44815</v>
      </c>
      <c r="E8082" s="14" t="n">
        <v>351.91</v>
      </c>
      <c r="F8082" s="14" t="n">
        <v>5701.61</v>
      </c>
      <c r="G8082" s="6" t="s">
        <v>2613</v>
      </c>
    </row>
    <row r="8083" customFormat="false" ht="15" hidden="false" customHeight="true" outlineLevel="0" collapsed="false">
      <c r="A8083" s="6" t="s">
        <v>10695</v>
      </c>
      <c r="B8083" s="6" t="s">
        <v>1713</v>
      </c>
      <c r="C8083" s="6" t="s">
        <v>112</v>
      </c>
      <c r="D8083" s="13" t="n">
        <v>44822</v>
      </c>
      <c r="E8083" s="14" t="n">
        <v>265.55</v>
      </c>
      <c r="F8083" s="14" t="n">
        <v>5967.16</v>
      </c>
      <c r="G8083" s="6" t="s">
        <v>2613</v>
      </c>
    </row>
    <row r="8084" customFormat="false" ht="15" hidden="false" customHeight="true" outlineLevel="0" collapsed="false">
      <c r="A8084" s="6" t="s">
        <v>10696</v>
      </c>
      <c r="B8084" s="6" t="s">
        <v>1713</v>
      </c>
      <c r="C8084" s="6" t="s">
        <v>112</v>
      </c>
      <c r="D8084" s="13" t="n">
        <v>44829</v>
      </c>
      <c r="E8084" s="14" t="n">
        <v>180.22</v>
      </c>
      <c r="F8084" s="14" t="n">
        <v>6147.38</v>
      </c>
      <c r="G8084" s="6" t="s">
        <v>2613</v>
      </c>
    </row>
    <row r="8085" customFormat="false" ht="15" hidden="false" customHeight="true" outlineLevel="0" collapsed="false">
      <c r="A8085" s="6" t="s">
        <v>10697</v>
      </c>
      <c r="B8085" s="6" t="s">
        <v>1713</v>
      </c>
      <c r="C8085" s="6" t="s">
        <v>112</v>
      </c>
      <c r="D8085" s="13" t="n">
        <v>44836</v>
      </c>
      <c r="E8085" s="14" t="n">
        <v>384.79</v>
      </c>
      <c r="F8085" s="14" t="n">
        <v>6532.17</v>
      </c>
      <c r="G8085" s="6" t="s">
        <v>2613</v>
      </c>
    </row>
    <row r="8086" customFormat="false" ht="15" hidden="false" customHeight="true" outlineLevel="0" collapsed="false">
      <c r="A8086" s="6" t="s">
        <v>10698</v>
      </c>
      <c r="B8086" s="6" t="s">
        <v>1713</v>
      </c>
      <c r="C8086" s="6" t="s">
        <v>112</v>
      </c>
      <c r="D8086" s="13" t="n">
        <v>44843</v>
      </c>
      <c r="E8086" s="14" t="n">
        <v>346.86</v>
      </c>
      <c r="F8086" s="14" t="n">
        <v>6879.03</v>
      </c>
      <c r="G8086" s="6" t="s">
        <v>2613</v>
      </c>
    </row>
    <row r="8087" customFormat="false" ht="15" hidden="false" customHeight="true" outlineLevel="0" collapsed="false">
      <c r="A8087" s="6" t="s">
        <v>10699</v>
      </c>
      <c r="B8087" s="6" t="s">
        <v>1713</v>
      </c>
      <c r="C8087" s="6" t="s">
        <v>112</v>
      </c>
      <c r="D8087" s="13" t="n">
        <v>44850</v>
      </c>
      <c r="E8087" s="14" t="n">
        <v>213.76</v>
      </c>
      <c r="F8087" s="14" t="n">
        <v>7092.79</v>
      </c>
      <c r="G8087" s="6" t="s">
        <v>2613</v>
      </c>
    </row>
    <row r="8088" customFormat="false" ht="15" hidden="false" customHeight="true" outlineLevel="0" collapsed="false">
      <c r="A8088" s="6" t="s">
        <v>10700</v>
      </c>
      <c r="B8088" s="6" t="s">
        <v>1713</v>
      </c>
      <c r="C8088" s="6" t="s">
        <v>112</v>
      </c>
      <c r="D8088" s="13" t="n">
        <v>44857</v>
      </c>
      <c r="E8088" s="14" t="n">
        <v>364.09</v>
      </c>
      <c r="F8088" s="14" t="n">
        <v>7456.88</v>
      </c>
      <c r="G8088" s="6" t="s">
        <v>2613</v>
      </c>
    </row>
    <row r="8089" customFormat="false" ht="15" hidden="false" customHeight="true" outlineLevel="0" collapsed="false">
      <c r="A8089" s="6" t="s">
        <v>10701</v>
      </c>
      <c r="B8089" s="6" t="s">
        <v>1713</v>
      </c>
      <c r="C8089" s="6" t="s">
        <v>112</v>
      </c>
      <c r="D8089" s="13" t="n">
        <v>44864</v>
      </c>
      <c r="E8089" s="14" t="n">
        <v>301.96</v>
      </c>
      <c r="F8089" s="14" t="n">
        <v>7758.84</v>
      </c>
      <c r="G8089" s="6" t="s">
        <v>2613</v>
      </c>
    </row>
    <row r="8090" customFormat="false" ht="15" hidden="false" customHeight="true" outlineLevel="0" collapsed="false">
      <c r="A8090" s="6" t="s">
        <v>10702</v>
      </c>
      <c r="B8090" s="6" t="s">
        <v>1713</v>
      </c>
      <c r="C8090" s="6" t="s">
        <v>112</v>
      </c>
      <c r="D8090" s="13" t="n">
        <v>44871</v>
      </c>
      <c r="E8090" s="14" t="n">
        <v>294.42</v>
      </c>
      <c r="F8090" s="14" t="n">
        <v>8053.26</v>
      </c>
      <c r="G8090" s="6" t="s">
        <v>2613</v>
      </c>
    </row>
    <row r="8091" customFormat="false" ht="15" hidden="false" customHeight="true" outlineLevel="0" collapsed="false">
      <c r="A8091" s="6" t="s">
        <v>10703</v>
      </c>
      <c r="B8091" s="6" t="s">
        <v>1713</v>
      </c>
      <c r="C8091" s="6" t="s">
        <v>112</v>
      </c>
      <c r="D8091" s="13" t="n">
        <v>44878</v>
      </c>
      <c r="E8091" s="14" t="n">
        <v>337.54</v>
      </c>
      <c r="F8091" s="14" t="n">
        <v>8390.8</v>
      </c>
      <c r="G8091" s="6" t="s">
        <v>2613</v>
      </c>
    </row>
    <row r="8092" customFormat="false" ht="15" hidden="false" customHeight="true" outlineLevel="0" collapsed="false">
      <c r="A8092" s="6" t="s">
        <v>10704</v>
      </c>
      <c r="B8092" s="6" t="s">
        <v>1713</v>
      </c>
      <c r="C8092" s="6" t="s">
        <v>112</v>
      </c>
      <c r="D8092" s="13" t="n">
        <v>44885</v>
      </c>
      <c r="E8092" s="14" t="n">
        <v>293.43</v>
      </c>
      <c r="F8092" s="14" t="n">
        <v>8684.23</v>
      </c>
      <c r="G8092" s="6" t="s">
        <v>2613</v>
      </c>
    </row>
    <row r="8093" customFormat="false" ht="15" hidden="false" customHeight="true" outlineLevel="0" collapsed="false">
      <c r="A8093" s="6" t="s">
        <v>10705</v>
      </c>
      <c r="B8093" s="6" t="s">
        <v>1713</v>
      </c>
      <c r="C8093" s="6" t="s">
        <v>112</v>
      </c>
      <c r="D8093" s="13" t="n">
        <v>44892</v>
      </c>
      <c r="E8093" s="14" t="n">
        <v>270.62</v>
      </c>
      <c r="F8093" s="14" t="n">
        <v>8954.85</v>
      </c>
      <c r="G8093" s="6" t="s">
        <v>2613</v>
      </c>
    </row>
    <row r="8094" customFormat="false" ht="15" hidden="false" customHeight="true" outlineLevel="0" collapsed="false">
      <c r="A8094" s="6" t="s">
        <v>10706</v>
      </c>
      <c r="B8094" s="6" t="s">
        <v>1713</v>
      </c>
      <c r="C8094" s="6" t="s">
        <v>112</v>
      </c>
      <c r="D8094" s="13" t="n">
        <v>44899</v>
      </c>
      <c r="E8094" s="14" t="n">
        <v>265.67</v>
      </c>
      <c r="F8094" s="14" t="n">
        <v>9220.52</v>
      </c>
      <c r="G8094" s="6" t="s">
        <v>2613</v>
      </c>
    </row>
    <row r="8095" customFormat="false" ht="15" hidden="false" customHeight="true" outlineLevel="0" collapsed="false">
      <c r="A8095" s="6" t="s">
        <v>10707</v>
      </c>
      <c r="B8095" s="6" t="s">
        <v>1713</v>
      </c>
      <c r="C8095" s="6" t="s">
        <v>112</v>
      </c>
      <c r="D8095" s="13" t="n">
        <v>44906</v>
      </c>
      <c r="E8095" s="14" t="n">
        <v>359.17</v>
      </c>
      <c r="F8095" s="14" t="n">
        <v>9579.69</v>
      </c>
      <c r="G8095" s="6" t="s">
        <v>2613</v>
      </c>
    </row>
    <row r="8096" customFormat="false" ht="15" hidden="false" customHeight="true" outlineLevel="0" collapsed="false">
      <c r="A8096" s="6" t="s">
        <v>10708</v>
      </c>
      <c r="B8096" s="6" t="s">
        <v>1713</v>
      </c>
      <c r="C8096" s="6" t="s">
        <v>112</v>
      </c>
      <c r="D8096" s="13" t="n">
        <v>44913</v>
      </c>
      <c r="E8096" s="14" t="n">
        <v>183.33</v>
      </c>
      <c r="F8096" s="14" t="n">
        <v>9763.02</v>
      </c>
      <c r="G8096" s="6" t="s">
        <v>2613</v>
      </c>
    </row>
    <row r="8097" customFormat="false" ht="15" hidden="false" customHeight="true" outlineLevel="0" collapsed="false">
      <c r="A8097" s="6" t="s">
        <v>10709</v>
      </c>
      <c r="B8097" s="6" t="s">
        <v>1713</v>
      </c>
      <c r="C8097" s="6" t="s">
        <v>112</v>
      </c>
      <c r="D8097" s="13" t="n">
        <v>44920</v>
      </c>
      <c r="E8097" s="14" t="n">
        <v>239.82</v>
      </c>
      <c r="F8097" s="14" t="n">
        <v>10002.84</v>
      </c>
      <c r="G8097" s="6" t="s">
        <v>2613</v>
      </c>
    </row>
    <row r="8098" customFormat="false" ht="15" hidden="false" customHeight="true" outlineLevel="0" collapsed="false">
      <c r="A8098" s="6" t="s">
        <v>10710</v>
      </c>
      <c r="B8098" s="6" t="s">
        <v>1713</v>
      </c>
      <c r="C8098" s="6" t="s">
        <v>112</v>
      </c>
      <c r="D8098" s="13" t="n">
        <v>44927</v>
      </c>
      <c r="E8098" s="14" t="n">
        <v>395.18</v>
      </c>
      <c r="F8098" s="14" t="n">
        <v>10398.02</v>
      </c>
      <c r="G8098" s="6" t="s">
        <v>2623</v>
      </c>
    </row>
    <row r="8099" customFormat="false" ht="15" hidden="false" customHeight="true" outlineLevel="0" collapsed="false">
      <c r="A8099" s="6" t="s">
        <v>10711</v>
      </c>
      <c r="B8099" s="6" t="s">
        <v>1713</v>
      </c>
      <c r="C8099" s="6" t="s">
        <v>112</v>
      </c>
      <c r="D8099" s="13" t="n">
        <v>44934</v>
      </c>
      <c r="E8099" s="14" t="n">
        <v>177.08</v>
      </c>
      <c r="F8099" s="14" t="n">
        <v>10575.1</v>
      </c>
      <c r="G8099" s="6" t="s">
        <v>2613</v>
      </c>
    </row>
    <row r="8100" customFormat="false" ht="15" hidden="false" customHeight="true" outlineLevel="0" collapsed="false">
      <c r="A8100" s="6" t="s">
        <v>10712</v>
      </c>
      <c r="B8100" s="6" t="s">
        <v>1713</v>
      </c>
      <c r="C8100" s="6" t="s">
        <v>112</v>
      </c>
      <c r="D8100" s="13" t="n">
        <v>44941</v>
      </c>
      <c r="E8100" s="14" t="n">
        <v>230.28</v>
      </c>
      <c r="F8100" s="14" t="n">
        <v>10805.38</v>
      </c>
      <c r="G8100" s="6" t="s">
        <v>2613</v>
      </c>
    </row>
    <row r="8101" customFormat="false" ht="15" hidden="false" customHeight="true" outlineLevel="0" collapsed="false">
      <c r="A8101" s="6" t="s">
        <v>10713</v>
      </c>
      <c r="B8101" s="6" t="s">
        <v>1713</v>
      </c>
      <c r="C8101" s="6" t="s">
        <v>112</v>
      </c>
      <c r="D8101" s="13" t="n">
        <v>44948</v>
      </c>
      <c r="E8101" s="14" t="n">
        <v>325.12</v>
      </c>
      <c r="F8101" s="14" t="n">
        <v>11130.5</v>
      </c>
      <c r="G8101" s="6" t="s">
        <v>2613</v>
      </c>
    </row>
    <row r="8102" customFormat="false" ht="15" hidden="false" customHeight="true" outlineLevel="0" collapsed="false">
      <c r="A8102" s="6" t="s">
        <v>10714</v>
      </c>
      <c r="B8102" s="6" t="s">
        <v>1713</v>
      </c>
      <c r="C8102" s="6" t="s">
        <v>112</v>
      </c>
      <c r="D8102" s="13" t="n">
        <v>44955</v>
      </c>
      <c r="E8102" s="14" t="n">
        <v>398.65</v>
      </c>
      <c r="F8102" s="14" t="n">
        <v>11529.15</v>
      </c>
      <c r="G8102" s="6" t="s">
        <v>2613</v>
      </c>
    </row>
    <row r="8103" customFormat="false" ht="15" hidden="false" customHeight="true" outlineLevel="0" collapsed="false">
      <c r="A8103" s="6" t="s">
        <v>10715</v>
      </c>
      <c r="B8103" s="6" t="s">
        <v>1713</v>
      </c>
      <c r="C8103" s="6" t="s">
        <v>112</v>
      </c>
      <c r="D8103" s="13" t="n">
        <v>44962</v>
      </c>
      <c r="E8103" s="14" t="n">
        <v>206.59</v>
      </c>
      <c r="F8103" s="14" t="n">
        <v>11735.74</v>
      </c>
      <c r="G8103" s="6" t="s">
        <v>2613</v>
      </c>
    </row>
    <row r="8104" customFormat="false" ht="15" hidden="false" customHeight="true" outlineLevel="0" collapsed="false">
      <c r="A8104" s="6" t="s">
        <v>10716</v>
      </c>
      <c r="B8104" s="6" t="s">
        <v>1713</v>
      </c>
      <c r="C8104" s="6" t="s">
        <v>112</v>
      </c>
      <c r="D8104" s="13" t="n">
        <v>44969</v>
      </c>
      <c r="E8104" s="14" t="n">
        <v>302.33</v>
      </c>
      <c r="F8104" s="14" t="n">
        <v>12038.07</v>
      </c>
      <c r="G8104" s="6" t="s">
        <v>2613</v>
      </c>
    </row>
    <row r="8105" customFormat="false" ht="15" hidden="false" customHeight="true" outlineLevel="0" collapsed="false">
      <c r="A8105" s="6" t="s">
        <v>10717</v>
      </c>
      <c r="B8105" s="6" t="s">
        <v>1715</v>
      </c>
      <c r="C8105" s="6" t="s">
        <v>112</v>
      </c>
      <c r="D8105" s="13" t="n">
        <v>44832</v>
      </c>
      <c r="E8105" s="14" t="n">
        <v>869.05</v>
      </c>
      <c r="F8105" s="14" t="n">
        <v>869.05</v>
      </c>
      <c r="G8105" s="6" t="s">
        <v>2613</v>
      </c>
    </row>
    <row r="8106" customFormat="false" ht="15" hidden="false" customHeight="true" outlineLevel="0" collapsed="false">
      <c r="A8106" s="6" t="s">
        <v>10718</v>
      </c>
      <c r="B8106" s="6" t="s">
        <v>1715</v>
      </c>
      <c r="C8106" s="6" t="s">
        <v>112</v>
      </c>
      <c r="D8106" s="13" t="n">
        <v>44839</v>
      </c>
      <c r="E8106" s="14" t="n">
        <v>974.34</v>
      </c>
      <c r="F8106" s="14" t="n">
        <v>1843.39</v>
      </c>
      <c r="G8106" s="6" t="s">
        <v>2623</v>
      </c>
    </row>
    <row r="8107" customFormat="false" ht="15" hidden="false" customHeight="true" outlineLevel="0" collapsed="false">
      <c r="A8107" s="6" t="s">
        <v>10719</v>
      </c>
      <c r="B8107" s="6" t="s">
        <v>1715</v>
      </c>
      <c r="C8107" s="6" t="s">
        <v>112</v>
      </c>
      <c r="D8107" s="13" t="n">
        <v>44846</v>
      </c>
      <c r="E8107" s="14" t="n">
        <v>777.06</v>
      </c>
      <c r="F8107" s="14" t="n">
        <v>2620.45</v>
      </c>
      <c r="G8107" s="6" t="s">
        <v>2613</v>
      </c>
    </row>
    <row r="8108" customFormat="false" ht="15" hidden="false" customHeight="true" outlineLevel="0" collapsed="false">
      <c r="A8108" s="6" t="s">
        <v>10720</v>
      </c>
      <c r="B8108" s="6" t="s">
        <v>1715</v>
      </c>
      <c r="C8108" s="6" t="s">
        <v>112</v>
      </c>
      <c r="D8108" s="13" t="n">
        <v>44853</v>
      </c>
      <c r="E8108" s="14" t="n">
        <v>1118.58</v>
      </c>
      <c r="F8108" s="14" t="n">
        <v>3739.03</v>
      </c>
      <c r="G8108" s="6" t="s">
        <v>2613</v>
      </c>
    </row>
    <row r="8109" customFormat="false" ht="15" hidden="false" customHeight="true" outlineLevel="0" collapsed="false">
      <c r="A8109" s="6" t="s">
        <v>10721</v>
      </c>
      <c r="B8109" s="6" t="s">
        <v>1715</v>
      </c>
      <c r="C8109" s="6" t="s">
        <v>112</v>
      </c>
      <c r="D8109" s="13" t="n">
        <v>44860</v>
      </c>
      <c r="E8109" s="14" t="n">
        <v>1250.72</v>
      </c>
      <c r="F8109" s="14" t="n">
        <v>4989.75</v>
      </c>
      <c r="G8109" s="6" t="s">
        <v>2613</v>
      </c>
    </row>
    <row r="8110" customFormat="false" ht="15" hidden="false" customHeight="true" outlineLevel="0" collapsed="false">
      <c r="A8110" s="6" t="s">
        <v>10722</v>
      </c>
      <c r="B8110" s="6" t="s">
        <v>1715</v>
      </c>
      <c r="C8110" s="6" t="s">
        <v>112</v>
      </c>
      <c r="D8110" s="13" t="n">
        <v>44867</v>
      </c>
      <c r="E8110" s="14" t="n">
        <v>1112.45</v>
      </c>
      <c r="F8110" s="14" t="n">
        <v>6102.2</v>
      </c>
      <c r="G8110" s="6" t="s">
        <v>2623</v>
      </c>
    </row>
    <row r="8111" customFormat="false" ht="15" hidden="false" customHeight="true" outlineLevel="0" collapsed="false">
      <c r="A8111" s="6" t="s">
        <v>10723</v>
      </c>
      <c r="B8111" s="6" t="s">
        <v>1715</v>
      </c>
      <c r="C8111" s="6" t="s">
        <v>112</v>
      </c>
      <c r="D8111" s="13" t="n">
        <v>44874</v>
      </c>
      <c r="E8111" s="14" t="n">
        <v>1203.37</v>
      </c>
      <c r="F8111" s="14" t="n">
        <v>7305.57</v>
      </c>
      <c r="G8111" s="6" t="s">
        <v>2613</v>
      </c>
    </row>
    <row r="8112" customFormat="false" ht="15" hidden="false" customHeight="true" outlineLevel="0" collapsed="false">
      <c r="A8112" s="6" t="s">
        <v>10724</v>
      </c>
      <c r="B8112" s="6" t="s">
        <v>1715</v>
      </c>
      <c r="C8112" s="6" t="s">
        <v>112</v>
      </c>
      <c r="D8112" s="13" t="n">
        <v>44881</v>
      </c>
      <c r="E8112" s="14" t="n">
        <v>1216.24</v>
      </c>
      <c r="F8112" s="14" t="n">
        <v>8521.81</v>
      </c>
      <c r="G8112" s="6" t="s">
        <v>2613</v>
      </c>
    </row>
    <row r="8113" customFormat="false" ht="15" hidden="false" customHeight="true" outlineLevel="0" collapsed="false">
      <c r="A8113" s="6" t="s">
        <v>10725</v>
      </c>
      <c r="B8113" s="6" t="s">
        <v>1715</v>
      </c>
      <c r="C8113" s="6" t="s">
        <v>112</v>
      </c>
      <c r="D8113" s="13" t="n">
        <v>44888</v>
      </c>
      <c r="E8113" s="14" t="n">
        <v>1114.72</v>
      </c>
      <c r="F8113" s="14" t="n">
        <v>9636.53</v>
      </c>
      <c r="G8113" s="6" t="s">
        <v>2623</v>
      </c>
    </row>
    <row r="8114" customFormat="false" ht="15" hidden="false" customHeight="true" outlineLevel="0" collapsed="false">
      <c r="A8114" s="6" t="s">
        <v>10726</v>
      </c>
      <c r="B8114" s="6" t="s">
        <v>1715</v>
      </c>
      <c r="C8114" s="6" t="s">
        <v>112</v>
      </c>
      <c r="D8114" s="13" t="n">
        <v>44895</v>
      </c>
      <c r="E8114" s="14" t="n">
        <v>933.05</v>
      </c>
      <c r="F8114" s="14" t="n">
        <v>10569.58</v>
      </c>
      <c r="G8114" s="6" t="s">
        <v>2613</v>
      </c>
    </row>
    <row r="8115" customFormat="false" ht="15" hidden="false" customHeight="true" outlineLevel="0" collapsed="false">
      <c r="A8115" s="6" t="s">
        <v>10727</v>
      </c>
      <c r="B8115" s="6" t="s">
        <v>1715</v>
      </c>
      <c r="C8115" s="6" t="s">
        <v>112</v>
      </c>
      <c r="D8115" s="13" t="n">
        <v>44902</v>
      </c>
      <c r="E8115" s="14" t="n">
        <v>1207.35</v>
      </c>
      <c r="F8115" s="14" t="n">
        <v>11776.93</v>
      </c>
      <c r="G8115" s="6" t="s">
        <v>2613</v>
      </c>
    </row>
    <row r="8116" customFormat="false" ht="15" hidden="false" customHeight="true" outlineLevel="0" collapsed="false">
      <c r="A8116" s="6" t="s">
        <v>10728</v>
      </c>
      <c r="B8116" s="6" t="s">
        <v>1715</v>
      </c>
      <c r="C8116" s="6" t="s">
        <v>112</v>
      </c>
      <c r="D8116" s="13" t="n">
        <v>44909</v>
      </c>
      <c r="E8116" s="14" t="n">
        <v>546.46</v>
      </c>
      <c r="F8116" s="14" t="n">
        <v>12323.39</v>
      </c>
      <c r="G8116" s="6" t="s">
        <v>2613</v>
      </c>
    </row>
    <row r="8117" customFormat="false" ht="15" hidden="false" customHeight="true" outlineLevel="0" collapsed="false">
      <c r="A8117" s="6" t="s">
        <v>10729</v>
      </c>
      <c r="B8117" s="6" t="s">
        <v>1715</v>
      </c>
      <c r="C8117" s="6" t="s">
        <v>112</v>
      </c>
      <c r="D8117" s="13" t="n">
        <v>44916</v>
      </c>
      <c r="E8117" s="14" t="n">
        <v>213.55</v>
      </c>
      <c r="F8117" s="14" t="n">
        <v>12536.94</v>
      </c>
      <c r="G8117" s="6" t="s">
        <v>2613</v>
      </c>
    </row>
    <row r="8118" customFormat="false" ht="15" hidden="false" customHeight="true" outlineLevel="0" collapsed="false">
      <c r="A8118" s="6" t="s">
        <v>10730</v>
      </c>
      <c r="B8118" s="6" t="s">
        <v>1717</v>
      </c>
      <c r="C8118" s="6" t="s">
        <v>120</v>
      </c>
      <c r="D8118" s="13" t="n">
        <v>45603</v>
      </c>
      <c r="E8118" s="14" t="n">
        <v>5251.28</v>
      </c>
      <c r="F8118" s="14" t="n">
        <v>5251.28</v>
      </c>
      <c r="G8118" s="6" t="s">
        <v>2613</v>
      </c>
    </row>
    <row r="8119" customFormat="false" ht="15" hidden="false" customHeight="true" outlineLevel="0" collapsed="false">
      <c r="A8119" s="6" t="s">
        <v>10731</v>
      </c>
      <c r="B8119" s="6" t="s">
        <v>1717</v>
      </c>
      <c r="C8119" s="6" t="s">
        <v>120</v>
      </c>
      <c r="D8119" s="13" t="n">
        <v>45610</v>
      </c>
      <c r="E8119" s="14" t="n">
        <v>3081.68</v>
      </c>
      <c r="F8119" s="14" t="n">
        <v>8332.96</v>
      </c>
      <c r="G8119" s="6" t="s">
        <v>2613</v>
      </c>
    </row>
    <row r="8120" customFormat="false" ht="15" hidden="false" customHeight="true" outlineLevel="0" collapsed="false">
      <c r="A8120" s="6" t="s">
        <v>10732</v>
      </c>
      <c r="B8120" s="6" t="s">
        <v>1717</v>
      </c>
      <c r="C8120" s="6" t="s">
        <v>120</v>
      </c>
      <c r="D8120" s="13" t="n">
        <v>45617</v>
      </c>
      <c r="E8120" s="14" t="n">
        <v>5029.2</v>
      </c>
      <c r="F8120" s="14" t="n">
        <v>13362.16</v>
      </c>
      <c r="G8120" s="6" t="s">
        <v>2613</v>
      </c>
    </row>
    <row r="8121" customFormat="false" ht="15" hidden="false" customHeight="true" outlineLevel="0" collapsed="false">
      <c r="A8121" s="6" t="s">
        <v>10733</v>
      </c>
      <c r="B8121" s="6" t="s">
        <v>1717</v>
      </c>
      <c r="C8121" s="6" t="s">
        <v>120</v>
      </c>
      <c r="D8121" s="13" t="n">
        <v>45624</v>
      </c>
      <c r="E8121" s="14" t="n">
        <v>5680.24</v>
      </c>
      <c r="F8121" s="14" t="n">
        <v>19042.4</v>
      </c>
      <c r="G8121" s="6" t="s">
        <v>2613</v>
      </c>
    </row>
    <row r="8122" customFormat="false" ht="15" hidden="false" customHeight="true" outlineLevel="0" collapsed="false">
      <c r="A8122" s="6" t="s">
        <v>10734</v>
      </c>
      <c r="B8122" s="6" t="s">
        <v>1717</v>
      </c>
      <c r="C8122" s="6" t="s">
        <v>120</v>
      </c>
      <c r="D8122" s="13" t="n">
        <v>45631</v>
      </c>
      <c r="E8122" s="14" t="n">
        <v>4780.33</v>
      </c>
      <c r="F8122" s="14" t="n">
        <v>23822.73</v>
      </c>
      <c r="G8122" s="6" t="s">
        <v>2613</v>
      </c>
    </row>
    <row r="8123" customFormat="false" ht="15" hidden="false" customHeight="true" outlineLevel="0" collapsed="false">
      <c r="A8123" s="6" t="s">
        <v>10735</v>
      </c>
      <c r="B8123" s="6" t="s">
        <v>1717</v>
      </c>
      <c r="C8123" s="6" t="s">
        <v>120</v>
      </c>
      <c r="D8123" s="13" t="n">
        <v>45638</v>
      </c>
      <c r="E8123" s="14" t="n">
        <v>3569.35</v>
      </c>
      <c r="F8123" s="14" t="n">
        <v>27392.08</v>
      </c>
      <c r="G8123" s="6" t="s">
        <v>2613</v>
      </c>
    </row>
    <row r="8124" customFormat="false" ht="15" hidden="false" customHeight="true" outlineLevel="0" collapsed="false">
      <c r="A8124" s="6" t="s">
        <v>10736</v>
      </c>
      <c r="B8124" s="6" t="s">
        <v>1719</v>
      </c>
      <c r="C8124" s="6" t="s">
        <v>124</v>
      </c>
      <c r="D8124" s="13" t="n">
        <v>44831</v>
      </c>
      <c r="E8124" s="14" t="n">
        <v>1599.49</v>
      </c>
      <c r="F8124" s="14" t="n">
        <v>1599.49</v>
      </c>
      <c r="G8124" s="6" t="s">
        <v>2613</v>
      </c>
    </row>
    <row r="8125" customFormat="false" ht="15" hidden="false" customHeight="true" outlineLevel="0" collapsed="false">
      <c r="A8125" s="6" t="s">
        <v>10737</v>
      </c>
      <c r="B8125" s="6" t="s">
        <v>1719</v>
      </c>
      <c r="C8125" s="6" t="s">
        <v>124</v>
      </c>
      <c r="D8125" s="13" t="n">
        <v>44838</v>
      </c>
      <c r="E8125" s="14" t="n">
        <v>2077.24</v>
      </c>
      <c r="F8125" s="14" t="n">
        <v>3676.73</v>
      </c>
      <c r="G8125" s="6" t="s">
        <v>2613</v>
      </c>
    </row>
    <row r="8126" customFormat="false" ht="15" hidden="false" customHeight="true" outlineLevel="0" collapsed="false">
      <c r="A8126" s="6" t="s">
        <v>10738</v>
      </c>
      <c r="B8126" s="6" t="s">
        <v>1719</v>
      </c>
      <c r="C8126" s="6" t="s">
        <v>124</v>
      </c>
      <c r="D8126" s="13" t="n">
        <v>44845</v>
      </c>
      <c r="E8126" s="14" t="n">
        <v>1929.22</v>
      </c>
      <c r="F8126" s="14" t="n">
        <v>5605.95</v>
      </c>
      <c r="G8126" s="6" t="s">
        <v>2613</v>
      </c>
    </row>
    <row r="8127" customFormat="false" ht="15" hidden="false" customHeight="true" outlineLevel="0" collapsed="false">
      <c r="A8127" s="6" t="s">
        <v>10739</v>
      </c>
      <c r="B8127" s="6" t="s">
        <v>1719</v>
      </c>
      <c r="C8127" s="6" t="s">
        <v>124</v>
      </c>
      <c r="D8127" s="13" t="n">
        <v>44852</v>
      </c>
      <c r="E8127" s="14" t="n">
        <v>905.06</v>
      </c>
      <c r="F8127" s="14" t="n">
        <v>6511.01</v>
      </c>
      <c r="G8127" s="6" t="s">
        <v>2613</v>
      </c>
    </row>
    <row r="8128" customFormat="false" ht="15" hidden="false" customHeight="true" outlineLevel="0" collapsed="false">
      <c r="A8128" s="6" t="s">
        <v>10740</v>
      </c>
      <c r="B8128" s="6" t="s">
        <v>1719</v>
      </c>
      <c r="C8128" s="6" t="s">
        <v>124</v>
      </c>
      <c r="D8128" s="13" t="n">
        <v>44859</v>
      </c>
      <c r="E8128" s="14" t="n">
        <v>1884.59</v>
      </c>
      <c r="F8128" s="14" t="n">
        <v>8395.6</v>
      </c>
      <c r="G8128" s="6" t="s">
        <v>2613</v>
      </c>
    </row>
    <row r="8129" customFormat="false" ht="15" hidden="false" customHeight="true" outlineLevel="0" collapsed="false">
      <c r="A8129" s="6" t="s">
        <v>10741</v>
      </c>
      <c r="B8129" s="6" t="s">
        <v>1719</v>
      </c>
      <c r="C8129" s="6" t="s">
        <v>124</v>
      </c>
      <c r="D8129" s="13" t="n">
        <v>44866</v>
      </c>
      <c r="E8129" s="14" t="n">
        <v>1792.23</v>
      </c>
      <c r="F8129" s="14" t="n">
        <v>10187.83</v>
      </c>
      <c r="G8129" s="6" t="s">
        <v>2613</v>
      </c>
    </row>
    <row r="8130" customFormat="false" ht="15" hidden="false" customHeight="true" outlineLevel="0" collapsed="false">
      <c r="A8130" s="6" t="s">
        <v>10742</v>
      </c>
      <c r="B8130" s="6" t="s">
        <v>1719</v>
      </c>
      <c r="C8130" s="6" t="s">
        <v>124</v>
      </c>
      <c r="D8130" s="13" t="n">
        <v>44873</v>
      </c>
      <c r="E8130" s="14" t="n">
        <v>989.14</v>
      </c>
      <c r="F8130" s="14" t="n">
        <v>11176.97</v>
      </c>
      <c r="G8130" s="6" t="s">
        <v>2613</v>
      </c>
    </row>
    <row r="8131" customFormat="false" ht="15" hidden="false" customHeight="true" outlineLevel="0" collapsed="false">
      <c r="A8131" s="6" t="s">
        <v>10743</v>
      </c>
      <c r="B8131" s="6" t="s">
        <v>1719</v>
      </c>
      <c r="C8131" s="6" t="s">
        <v>124</v>
      </c>
      <c r="D8131" s="13" t="n">
        <v>44880</v>
      </c>
      <c r="E8131" s="14" t="n">
        <v>745.5</v>
      </c>
      <c r="F8131" s="14" t="n">
        <v>11922.47</v>
      </c>
      <c r="G8131" s="6" t="s">
        <v>2623</v>
      </c>
    </row>
    <row r="8132" customFormat="false" ht="15" hidden="false" customHeight="true" outlineLevel="0" collapsed="false">
      <c r="A8132" s="6" t="s">
        <v>10744</v>
      </c>
      <c r="B8132" s="6" t="s">
        <v>1721</v>
      </c>
      <c r="C8132" s="6" t="s">
        <v>128</v>
      </c>
      <c r="D8132" s="13" t="n">
        <v>45199</v>
      </c>
      <c r="E8132" s="14" t="n">
        <v>1708.95</v>
      </c>
      <c r="F8132" s="14" t="n">
        <v>1708.95</v>
      </c>
      <c r="G8132" s="6" t="s">
        <v>2613</v>
      </c>
    </row>
    <row r="8133" customFormat="false" ht="15" hidden="false" customHeight="true" outlineLevel="0" collapsed="false">
      <c r="A8133" s="6" t="s">
        <v>10745</v>
      </c>
      <c r="B8133" s="6" t="s">
        <v>1721</v>
      </c>
      <c r="C8133" s="6" t="s">
        <v>128</v>
      </c>
      <c r="D8133" s="13" t="n">
        <v>45206</v>
      </c>
      <c r="E8133" s="14" t="n">
        <v>2573.82</v>
      </c>
      <c r="F8133" s="14" t="n">
        <v>4282.77</v>
      </c>
      <c r="G8133" s="6" t="s">
        <v>2623</v>
      </c>
    </row>
    <row r="8134" customFormat="false" ht="15" hidden="false" customHeight="true" outlineLevel="0" collapsed="false">
      <c r="A8134" s="6" t="s">
        <v>10746</v>
      </c>
      <c r="B8134" s="6" t="s">
        <v>1721</v>
      </c>
      <c r="C8134" s="6" t="s">
        <v>128</v>
      </c>
      <c r="D8134" s="13" t="n">
        <v>45213</v>
      </c>
      <c r="E8134" s="14" t="n">
        <v>2178.6</v>
      </c>
      <c r="F8134" s="14" t="n">
        <v>6461.37</v>
      </c>
      <c r="G8134" s="6" t="s">
        <v>2613</v>
      </c>
    </row>
    <row r="8135" customFormat="false" ht="15" hidden="false" customHeight="true" outlineLevel="0" collapsed="false">
      <c r="A8135" s="6" t="s">
        <v>10747</v>
      </c>
      <c r="B8135" s="6" t="s">
        <v>1721</v>
      </c>
      <c r="C8135" s="6" t="s">
        <v>128</v>
      </c>
      <c r="D8135" s="13" t="n">
        <v>45220</v>
      </c>
      <c r="E8135" s="14" t="n">
        <v>1720.93</v>
      </c>
      <c r="F8135" s="14" t="n">
        <v>8182.3</v>
      </c>
      <c r="G8135" s="6" t="s">
        <v>2613</v>
      </c>
    </row>
    <row r="8136" customFormat="false" ht="15" hidden="false" customHeight="true" outlineLevel="0" collapsed="false">
      <c r="A8136" s="6" t="s">
        <v>10748</v>
      </c>
      <c r="B8136" s="6" t="s">
        <v>1721</v>
      </c>
      <c r="C8136" s="6" t="s">
        <v>128</v>
      </c>
      <c r="D8136" s="13" t="n">
        <v>45227</v>
      </c>
      <c r="E8136" s="14" t="n">
        <v>2172.17</v>
      </c>
      <c r="F8136" s="14" t="n">
        <v>10354.47</v>
      </c>
      <c r="G8136" s="6" t="s">
        <v>2623</v>
      </c>
    </row>
    <row r="8137" customFormat="false" ht="15" hidden="false" customHeight="true" outlineLevel="0" collapsed="false">
      <c r="A8137" s="6" t="s">
        <v>10749</v>
      </c>
      <c r="B8137" s="6" t="s">
        <v>1721</v>
      </c>
      <c r="C8137" s="6" t="s">
        <v>128</v>
      </c>
      <c r="D8137" s="13" t="n">
        <v>45234</v>
      </c>
      <c r="E8137" s="14" t="n">
        <v>2911.01</v>
      </c>
      <c r="F8137" s="14" t="n">
        <v>13265.48</v>
      </c>
      <c r="G8137" s="6" t="s">
        <v>2613</v>
      </c>
    </row>
    <row r="8138" customFormat="false" ht="15" hidden="false" customHeight="true" outlineLevel="0" collapsed="false">
      <c r="A8138" s="6" t="s">
        <v>10750</v>
      </c>
      <c r="B8138" s="6" t="s">
        <v>1721</v>
      </c>
      <c r="C8138" s="6" t="s">
        <v>128</v>
      </c>
      <c r="D8138" s="13" t="n">
        <v>45241</v>
      </c>
      <c r="E8138" s="14" t="n">
        <v>2723.25</v>
      </c>
      <c r="F8138" s="14" t="n">
        <v>15988.73</v>
      </c>
      <c r="G8138" s="6" t="s">
        <v>2613</v>
      </c>
    </row>
    <row r="8139" customFormat="false" ht="15" hidden="false" customHeight="true" outlineLevel="0" collapsed="false">
      <c r="A8139" s="6" t="s">
        <v>10751</v>
      </c>
      <c r="B8139" s="6" t="s">
        <v>1721</v>
      </c>
      <c r="C8139" s="6" t="s">
        <v>128</v>
      </c>
      <c r="D8139" s="13" t="n">
        <v>45248</v>
      </c>
      <c r="E8139" s="14" t="n">
        <v>2119.21</v>
      </c>
      <c r="F8139" s="14" t="n">
        <v>18107.94</v>
      </c>
      <c r="G8139" s="6" t="s">
        <v>2613</v>
      </c>
    </row>
    <row r="8140" customFormat="false" ht="15" hidden="false" customHeight="true" outlineLevel="0" collapsed="false">
      <c r="A8140" s="6" t="s">
        <v>10752</v>
      </c>
      <c r="B8140" s="6" t="s">
        <v>1721</v>
      </c>
      <c r="C8140" s="6" t="s">
        <v>128</v>
      </c>
      <c r="D8140" s="13" t="n">
        <v>45255</v>
      </c>
      <c r="E8140" s="14" t="n">
        <v>2758.33</v>
      </c>
      <c r="F8140" s="14" t="n">
        <v>20866.27</v>
      </c>
      <c r="G8140" s="6" t="s">
        <v>2613</v>
      </c>
    </row>
    <row r="8141" customFormat="false" ht="15" hidden="false" customHeight="true" outlineLevel="0" collapsed="false">
      <c r="A8141" s="6" t="s">
        <v>10753</v>
      </c>
      <c r="B8141" s="6" t="s">
        <v>1721</v>
      </c>
      <c r="C8141" s="6" t="s">
        <v>128</v>
      </c>
      <c r="D8141" s="13" t="n">
        <v>45262</v>
      </c>
      <c r="E8141" s="14" t="n">
        <v>1485.13</v>
      </c>
      <c r="F8141" s="14" t="n">
        <v>22351.4</v>
      </c>
      <c r="G8141" s="6" t="s">
        <v>2613</v>
      </c>
    </row>
    <row r="8142" customFormat="false" ht="15" hidden="false" customHeight="true" outlineLevel="0" collapsed="false">
      <c r="A8142" s="6" t="s">
        <v>10754</v>
      </c>
      <c r="B8142" s="6" t="s">
        <v>1721</v>
      </c>
      <c r="C8142" s="6" t="s">
        <v>128</v>
      </c>
      <c r="D8142" s="13" t="n">
        <v>45269</v>
      </c>
      <c r="E8142" s="14" t="n">
        <v>3164.04</v>
      </c>
      <c r="F8142" s="14" t="n">
        <v>25515.44</v>
      </c>
      <c r="G8142" s="6" t="s">
        <v>2613</v>
      </c>
    </row>
    <row r="8143" customFormat="false" ht="15" hidden="false" customHeight="true" outlineLevel="0" collapsed="false">
      <c r="A8143" s="6" t="s">
        <v>10755</v>
      </c>
      <c r="B8143" s="6" t="s">
        <v>1721</v>
      </c>
      <c r="C8143" s="6" t="s">
        <v>128</v>
      </c>
      <c r="D8143" s="13" t="n">
        <v>45276</v>
      </c>
      <c r="E8143" s="14" t="n">
        <v>2261.55</v>
      </c>
      <c r="F8143" s="14" t="n">
        <v>27776.99</v>
      </c>
      <c r="G8143" s="6" t="s">
        <v>2613</v>
      </c>
    </row>
    <row r="8144" customFormat="false" ht="15" hidden="false" customHeight="true" outlineLevel="0" collapsed="false">
      <c r="A8144" s="6" t="s">
        <v>10756</v>
      </c>
      <c r="B8144" s="6" t="s">
        <v>1721</v>
      </c>
      <c r="C8144" s="6" t="s">
        <v>128</v>
      </c>
      <c r="D8144" s="13" t="n">
        <v>45283</v>
      </c>
      <c r="E8144" s="14" t="n">
        <v>2936.09</v>
      </c>
      <c r="F8144" s="14" t="n">
        <v>30713.08</v>
      </c>
      <c r="G8144" s="6" t="s">
        <v>2613</v>
      </c>
    </row>
    <row r="8145" customFormat="false" ht="15" hidden="false" customHeight="true" outlineLevel="0" collapsed="false">
      <c r="A8145" s="6" t="s">
        <v>10757</v>
      </c>
      <c r="B8145" s="6" t="s">
        <v>1721</v>
      </c>
      <c r="C8145" s="6" t="s">
        <v>128</v>
      </c>
      <c r="D8145" s="13" t="n">
        <v>45290</v>
      </c>
      <c r="E8145" s="14" t="n">
        <v>3036.94</v>
      </c>
      <c r="F8145" s="14" t="n">
        <v>33750.02</v>
      </c>
      <c r="G8145" s="6" t="s">
        <v>2613</v>
      </c>
    </row>
    <row r="8146" customFormat="false" ht="15" hidden="false" customHeight="true" outlineLevel="0" collapsed="false">
      <c r="A8146" s="6" t="s">
        <v>10758</v>
      </c>
      <c r="B8146" s="6" t="s">
        <v>1721</v>
      </c>
      <c r="C8146" s="6" t="s">
        <v>128</v>
      </c>
      <c r="D8146" s="13" t="n">
        <v>45297</v>
      </c>
      <c r="E8146" s="14" t="n">
        <v>2994.85</v>
      </c>
      <c r="F8146" s="14" t="n">
        <v>36744.87</v>
      </c>
      <c r="G8146" s="6" t="s">
        <v>2613</v>
      </c>
    </row>
    <row r="8147" customFormat="false" ht="15" hidden="false" customHeight="true" outlineLevel="0" collapsed="false">
      <c r="A8147" s="6" t="s">
        <v>10759</v>
      </c>
      <c r="B8147" s="6" t="s">
        <v>1723</v>
      </c>
      <c r="C8147" s="6" t="s">
        <v>128</v>
      </c>
      <c r="D8147" s="13" t="n">
        <v>44572</v>
      </c>
      <c r="E8147" s="14" t="n">
        <v>8263.89</v>
      </c>
      <c r="F8147" s="14" t="n">
        <v>8263.89</v>
      </c>
      <c r="G8147" s="6" t="s">
        <v>2613</v>
      </c>
    </row>
    <row r="8148" customFormat="false" ht="15" hidden="false" customHeight="true" outlineLevel="0" collapsed="false">
      <c r="A8148" s="6" t="s">
        <v>10760</v>
      </c>
      <c r="B8148" s="6" t="s">
        <v>1725</v>
      </c>
      <c r="C8148" s="6" t="s">
        <v>116</v>
      </c>
      <c r="D8148" s="13" t="n">
        <v>45407</v>
      </c>
      <c r="E8148" s="14" t="n">
        <v>661.32</v>
      </c>
      <c r="F8148" s="14" t="n">
        <v>661.32</v>
      </c>
      <c r="G8148" s="6" t="s">
        <v>2613</v>
      </c>
    </row>
    <row r="8149" customFormat="false" ht="15" hidden="false" customHeight="true" outlineLevel="0" collapsed="false">
      <c r="A8149" s="6" t="s">
        <v>10761</v>
      </c>
      <c r="B8149" s="6" t="s">
        <v>1725</v>
      </c>
      <c r="C8149" s="6" t="s">
        <v>116</v>
      </c>
      <c r="D8149" s="13" t="n">
        <v>45414</v>
      </c>
      <c r="E8149" s="14" t="n">
        <v>521.91</v>
      </c>
      <c r="F8149" s="14" t="n">
        <v>1183.23</v>
      </c>
      <c r="G8149" s="6" t="s">
        <v>2613</v>
      </c>
    </row>
    <row r="8150" customFormat="false" ht="15" hidden="false" customHeight="true" outlineLevel="0" collapsed="false">
      <c r="A8150" s="6" t="s">
        <v>10762</v>
      </c>
      <c r="B8150" s="6" t="s">
        <v>1725</v>
      </c>
      <c r="C8150" s="6" t="s">
        <v>116</v>
      </c>
      <c r="D8150" s="13" t="n">
        <v>45421</v>
      </c>
      <c r="E8150" s="14" t="n">
        <v>597.57</v>
      </c>
      <c r="F8150" s="14" t="n">
        <v>1780.8</v>
      </c>
      <c r="G8150" s="6" t="s">
        <v>2613</v>
      </c>
    </row>
    <row r="8151" customFormat="false" ht="15" hidden="false" customHeight="true" outlineLevel="0" collapsed="false">
      <c r="A8151" s="6" t="s">
        <v>10763</v>
      </c>
      <c r="B8151" s="6" t="s">
        <v>1725</v>
      </c>
      <c r="C8151" s="6" t="s">
        <v>116</v>
      </c>
      <c r="D8151" s="13" t="n">
        <v>45428</v>
      </c>
      <c r="E8151" s="14" t="n">
        <v>500.91</v>
      </c>
      <c r="F8151" s="14" t="n">
        <v>2281.71</v>
      </c>
      <c r="G8151" s="6" t="s">
        <v>2613</v>
      </c>
    </row>
    <row r="8152" customFormat="false" ht="15" hidden="false" customHeight="true" outlineLevel="0" collapsed="false">
      <c r="A8152" s="6" t="s">
        <v>10764</v>
      </c>
      <c r="B8152" s="6" t="s">
        <v>1725</v>
      </c>
      <c r="C8152" s="6" t="s">
        <v>116</v>
      </c>
      <c r="D8152" s="13" t="n">
        <v>45435</v>
      </c>
      <c r="E8152" s="14" t="n">
        <v>643.84</v>
      </c>
      <c r="F8152" s="14" t="n">
        <v>2925.55</v>
      </c>
      <c r="G8152" s="6" t="s">
        <v>2613</v>
      </c>
    </row>
    <row r="8153" customFormat="false" ht="15" hidden="false" customHeight="true" outlineLevel="0" collapsed="false">
      <c r="A8153" s="6" t="s">
        <v>10765</v>
      </c>
      <c r="B8153" s="6" t="s">
        <v>1725</v>
      </c>
      <c r="C8153" s="6" t="s">
        <v>116</v>
      </c>
      <c r="D8153" s="13" t="n">
        <v>45442</v>
      </c>
      <c r="E8153" s="14" t="n">
        <v>403.04</v>
      </c>
      <c r="F8153" s="14" t="n">
        <v>3328.59</v>
      </c>
      <c r="G8153" s="6" t="s">
        <v>2613</v>
      </c>
    </row>
    <row r="8154" customFormat="false" ht="15" hidden="false" customHeight="true" outlineLevel="0" collapsed="false">
      <c r="A8154" s="6" t="s">
        <v>10766</v>
      </c>
      <c r="B8154" s="6" t="s">
        <v>1725</v>
      </c>
      <c r="C8154" s="6" t="s">
        <v>116</v>
      </c>
      <c r="D8154" s="13" t="n">
        <v>45449</v>
      </c>
      <c r="E8154" s="14" t="n">
        <v>462</v>
      </c>
      <c r="F8154" s="14" t="n">
        <v>3790.59</v>
      </c>
      <c r="G8154" s="6" t="s">
        <v>2613</v>
      </c>
    </row>
    <row r="8155" customFormat="false" ht="15" hidden="false" customHeight="true" outlineLevel="0" collapsed="false">
      <c r="A8155" s="6" t="s">
        <v>10767</v>
      </c>
      <c r="B8155" s="6" t="s">
        <v>1725</v>
      </c>
      <c r="C8155" s="6" t="s">
        <v>116</v>
      </c>
      <c r="D8155" s="13" t="n">
        <v>45456</v>
      </c>
      <c r="E8155" s="14" t="n">
        <v>521.15</v>
      </c>
      <c r="F8155" s="14" t="n">
        <v>4311.74</v>
      </c>
      <c r="G8155" s="6" t="s">
        <v>2613</v>
      </c>
    </row>
    <row r="8156" customFormat="false" ht="15" hidden="false" customHeight="true" outlineLevel="0" collapsed="false">
      <c r="A8156" s="6" t="s">
        <v>10768</v>
      </c>
      <c r="B8156" s="6" t="s">
        <v>1725</v>
      </c>
      <c r="C8156" s="6" t="s">
        <v>116</v>
      </c>
      <c r="D8156" s="13" t="n">
        <v>45463</v>
      </c>
      <c r="E8156" s="14" t="n">
        <v>1155.49</v>
      </c>
      <c r="F8156" s="14" t="n">
        <v>5467.23</v>
      </c>
      <c r="G8156" s="6" t="s">
        <v>2613</v>
      </c>
    </row>
    <row r="8157" customFormat="false" ht="15" hidden="false" customHeight="true" outlineLevel="0" collapsed="false">
      <c r="A8157" s="6" t="s">
        <v>10769</v>
      </c>
      <c r="B8157" s="6" t="s">
        <v>1727</v>
      </c>
      <c r="C8157" s="6" t="s">
        <v>120</v>
      </c>
      <c r="D8157" s="13" t="n">
        <v>45165</v>
      </c>
      <c r="E8157" s="14" t="n">
        <v>10775.7</v>
      </c>
      <c r="F8157" s="14" t="n">
        <v>10775.7</v>
      </c>
      <c r="G8157" s="6" t="s">
        <v>2613</v>
      </c>
    </row>
    <row r="8158" customFormat="false" ht="15" hidden="false" customHeight="true" outlineLevel="0" collapsed="false">
      <c r="A8158" s="6" t="s">
        <v>10770</v>
      </c>
      <c r="B8158" s="6" t="s">
        <v>1727</v>
      </c>
      <c r="C8158" s="6" t="s">
        <v>120</v>
      </c>
      <c r="D8158" s="13" t="n">
        <v>45172</v>
      </c>
      <c r="E8158" s="14" t="n">
        <v>7756.33</v>
      </c>
      <c r="F8158" s="14" t="n">
        <v>18532.03</v>
      </c>
      <c r="G8158" s="6" t="s">
        <v>2613</v>
      </c>
    </row>
    <row r="8159" customFormat="false" ht="15" hidden="false" customHeight="true" outlineLevel="0" collapsed="false">
      <c r="A8159" s="6" t="s">
        <v>10771</v>
      </c>
      <c r="B8159" s="6" t="s">
        <v>1727</v>
      </c>
      <c r="C8159" s="6" t="s">
        <v>120</v>
      </c>
      <c r="D8159" s="13" t="n">
        <v>45179</v>
      </c>
      <c r="E8159" s="14" t="n">
        <v>5727.7</v>
      </c>
      <c r="F8159" s="14" t="n">
        <v>24259.73</v>
      </c>
      <c r="G8159" s="6" t="s">
        <v>2613</v>
      </c>
    </row>
    <row r="8160" customFormat="false" ht="15" hidden="false" customHeight="true" outlineLevel="0" collapsed="false">
      <c r="A8160" s="6" t="s">
        <v>10772</v>
      </c>
      <c r="B8160" s="6" t="s">
        <v>1727</v>
      </c>
      <c r="C8160" s="6" t="s">
        <v>120</v>
      </c>
      <c r="D8160" s="13" t="n">
        <v>45186</v>
      </c>
      <c r="E8160" s="14" t="n">
        <v>5711.35</v>
      </c>
      <c r="F8160" s="14" t="n">
        <v>29971.08</v>
      </c>
      <c r="G8160" s="6" t="s">
        <v>2613</v>
      </c>
    </row>
    <row r="8161" customFormat="false" ht="15" hidden="false" customHeight="true" outlineLevel="0" collapsed="false">
      <c r="A8161" s="6" t="s">
        <v>10773</v>
      </c>
      <c r="B8161" s="6" t="s">
        <v>1727</v>
      </c>
      <c r="C8161" s="6" t="s">
        <v>120</v>
      </c>
      <c r="D8161" s="13" t="n">
        <v>45193</v>
      </c>
      <c r="E8161" s="14" t="n">
        <v>8180.68</v>
      </c>
      <c r="F8161" s="14" t="n">
        <v>38151.76</v>
      </c>
      <c r="G8161" s="6" t="s">
        <v>2613</v>
      </c>
    </row>
    <row r="8162" customFormat="false" ht="15" hidden="false" customHeight="true" outlineLevel="0" collapsed="false">
      <c r="A8162" s="6" t="s">
        <v>10774</v>
      </c>
      <c r="B8162" s="6" t="s">
        <v>1727</v>
      </c>
      <c r="C8162" s="6" t="s">
        <v>120</v>
      </c>
      <c r="D8162" s="13" t="n">
        <v>45200</v>
      </c>
      <c r="E8162" s="14" t="n">
        <v>6410.31</v>
      </c>
      <c r="F8162" s="14" t="n">
        <v>44562.07</v>
      </c>
      <c r="G8162" s="6" t="s">
        <v>2613</v>
      </c>
    </row>
    <row r="8163" customFormat="false" ht="15" hidden="false" customHeight="true" outlineLevel="0" collapsed="false">
      <c r="A8163" s="6" t="s">
        <v>10775</v>
      </c>
      <c r="B8163" s="6" t="s">
        <v>1727</v>
      </c>
      <c r="C8163" s="6" t="s">
        <v>120</v>
      </c>
      <c r="D8163" s="13" t="n">
        <v>45207</v>
      </c>
      <c r="E8163" s="14" t="n">
        <v>7276.23</v>
      </c>
      <c r="F8163" s="14" t="n">
        <v>51838.3</v>
      </c>
      <c r="G8163" s="6" t="s">
        <v>2613</v>
      </c>
    </row>
    <row r="8164" customFormat="false" ht="15" hidden="false" customHeight="true" outlineLevel="0" collapsed="false">
      <c r="A8164" s="6" t="s">
        <v>10776</v>
      </c>
      <c r="B8164" s="6" t="s">
        <v>1727</v>
      </c>
      <c r="C8164" s="6" t="s">
        <v>120</v>
      </c>
      <c r="D8164" s="13" t="n">
        <v>45214</v>
      </c>
      <c r="E8164" s="14" t="n">
        <v>13974.64</v>
      </c>
      <c r="F8164" s="14" t="n">
        <v>65812.94</v>
      </c>
      <c r="G8164" s="6" t="s">
        <v>2613</v>
      </c>
    </row>
    <row r="8165" customFormat="false" ht="15" hidden="false" customHeight="true" outlineLevel="0" collapsed="false">
      <c r="A8165" s="6" t="s">
        <v>10777</v>
      </c>
      <c r="B8165" s="6" t="s">
        <v>1729</v>
      </c>
      <c r="C8165" s="6" t="s">
        <v>131</v>
      </c>
      <c r="D8165" s="13" t="n">
        <v>44992</v>
      </c>
      <c r="E8165" s="14" t="n">
        <v>2768.63</v>
      </c>
      <c r="F8165" s="14" t="n">
        <v>2768.63</v>
      </c>
      <c r="G8165" s="6" t="s">
        <v>2613</v>
      </c>
    </row>
    <row r="8166" customFormat="false" ht="15" hidden="false" customHeight="true" outlineLevel="0" collapsed="false">
      <c r="A8166" s="6" t="s">
        <v>10778</v>
      </c>
      <c r="B8166" s="6" t="s">
        <v>1729</v>
      </c>
      <c r="C8166" s="6" t="s">
        <v>131</v>
      </c>
      <c r="D8166" s="13" t="n">
        <v>44999</v>
      </c>
      <c r="E8166" s="14" t="n">
        <v>3398.21</v>
      </c>
      <c r="F8166" s="14" t="n">
        <v>6166.84</v>
      </c>
      <c r="G8166" s="6" t="s">
        <v>2613</v>
      </c>
    </row>
    <row r="8167" customFormat="false" ht="15" hidden="false" customHeight="true" outlineLevel="0" collapsed="false">
      <c r="A8167" s="6" t="s">
        <v>10779</v>
      </c>
      <c r="B8167" s="6" t="s">
        <v>1729</v>
      </c>
      <c r="C8167" s="6" t="s">
        <v>131</v>
      </c>
      <c r="D8167" s="13" t="n">
        <v>45006</v>
      </c>
      <c r="E8167" s="14" t="n">
        <v>2335.56</v>
      </c>
      <c r="F8167" s="14" t="n">
        <v>8502.4</v>
      </c>
      <c r="G8167" s="6" t="s">
        <v>2613</v>
      </c>
    </row>
    <row r="8168" customFormat="false" ht="15" hidden="false" customHeight="true" outlineLevel="0" collapsed="false">
      <c r="A8168" s="6" t="s">
        <v>10780</v>
      </c>
      <c r="B8168" s="6" t="s">
        <v>1729</v>
      </c>
      <c r="C8168" s="6" t="s">
        <v>131</v>
      </c>
      <c r="D8168" s="13" t="n">
        <v>45013</v>
      </c>
      <c r="E8168" s="14" t="n">
        <v>3194.43</v>
      </c>
      <c r="F8168" s="14" t="n">
        <v>11696.83</v>
      </c>
      <c r="G8168" s="6" t="s">
        <v>2613</v>
      </c>
    </row>
    <row r="8169" customFormat="false" ht="15" hidden="false" customHeight="true" outlineLevel="0" collapsed="false">
      <c r="A8169" s="6" t="s">
        <v>10781</v>
      </c>
      <c r="B8169" s="6" t="s">
        <v>1729</v>
      </c>
      <c r="C8169" s="6" t="s">
        <v>131</v>
      </c>
      <c r="D8169" s="13" t="n">
        <v>45020</v>
      </c>
      <c r="E8169" s="14" t="n">
        <v>4119.65</v>
      </c>
      <c r="F8169" s="14" t="n">
        <v>15816.48</v>
      </c>
      <c r="G8169" s="6" t="s">
        <v>2613</v>
      </c>
    </row>
    <row r="8170" customFormat="false" ht="15" hidden="false" customHeight="true" outlineLevel="0" collapsed="false">
      <c r="A8170" s="6" t="s">
        <v>10782</v>
      </c>
      <c r="B8170" s="6" t="s">
        <v>1729</v>
      </c>
      <c r="C8170" s="6" t="s">
        <v>131</v>
      </c>
      <c r="D8170" s="13" t="n">
        <v>45027</v>
      </c>
      <c r="E8170" s="14" t="n">
        <v>3056.55</v>
      </c>
      <c r="F8170" s="14" t="n">
        <v>18873.03</v>
      </c>
      <c r="G8170" s="6" t="s">
        <v>2613</v>
      </c>
    </row>
    <row r="8171" customFormat="false" ht="15" hidden="false" customHeight="true" outlineLevel="0" collapsed="false">
      <c r="A8171" s="6" t="s">
        <v>10783</v>
      </c>
      <c r="B8171" s="6" t="s">
        <v>1729</v>
      </c>
      <c r="C8171" s="6" t="s">
        <v>131</v>
      </c>
      <c r="D8171" s="13" t="n">
        <v>45034</v>
      </c>
      <c r="E8171" s="14" t="n">
        <v>3056.5</v>
      </c>
      <c r="F8171" s="14" t="n">
        <v>21929.53</v>
      </c>
      <c r="G8171" s="6" t="s">
        <v>2613</v>
      </c>
    </row>
    <row r="8172" customFormat="false" ht="15" hidden="false" customHeight="true" outlineLevel="0" collapsed="false">
      <c r="A8172" s="6" t="s">
        <v>10784</v>
      </c>
      <c r="B8172" s="6" t="s">
        <v>1729</v>
      </c>
      <c r="C8172" s="6" t="s">
        <v>131</v>
      </c>
      <c r="D8172" s="13" t="n">
        <v>45041</v>
      </c>
      <c r="E8172" s="14" t="n">
        <v>4433.4</v>
      </c>
      <c r="F8172" s="14" t="n">
        <v>26362.93</v>
      </c>
      <c r="G8172" s="6" t="s">
        <v>2613</v>
      </c>
    </row>
    <row r="8173" customFormat="false" ht="15" hidden="false" customHeight="true" outlineLevel="0" collapsed="false">
      <c r="A8173" s="6" t="s">
        <v>10785</v>
      </c>
      <c r="B8173" s="6" t="s">
        <v>1729</v>
      </c>
      <c r="C8173" s="6" t="s">
        <v>131</v>
      </c>
      <c r="D8173" s="13" t="n">
        <v>45048</v>
      </c>
      <c r="E8173" s="14" t="n">
        <v>4189.39</v>
      </c>
      <c r="F8173" s="14" t="n">
        <v>30552.32</v>
      </c>
      <c r="G8173" s="6" t="s">
        <v>2613</v>
      </c>
    </row>
    <row r="8174" customFormat="false" ht="15" hidden="false" customHeight="true" outlineLevel="0" collapsed="false">
      <c r="A8174" s="6" t="s">
        <v>10786</v>
      </c>
      <c r="B8174" s="6" t="s">
        <v>1729</v>
      </c>
      <c r="C8174" s="6" t="s">
        <v>131</v>
      </c>
      <c r="D8174" s="13" t="n">
        <v>45055</v>
      </c>
      <c r="E8174" s="14" t="n">
        <v>3355.41</v>
      </c>
      <c r="F8174" s="14" t="n">
        <v>33907.73</v>
      </c>
      <c r="G8174" s="6" t="s">
        <v>2613</v>
      </c>
    </row>
    <row r="8175" customFormat="false" ht="15" hidden="false" customHeight="true" outlineLevel="0" collapsed="false">
      <c r="A8175" s="6" t="s">
        <v>10787</v>
      </c>
      <c r="B8175" s="6" t="s">
        <v>1729</v>
      </c>
      <c r="C8175" s="6" t="s">
        <v>131</v>
      </c>
      <c r="D8175" s="13" t="n">
        <v>45062</v>
      </c>
      <c r="E8175" s="14" t="n">
        <v>3907.41</v>
      </c>
      <c r="F8175" s="14" t="n">
        <v>37815.14</v>
      </c>
      <c r="G8175" s="6" t="s">
        <v>2613</v>
      </c>
    </row>
    <row r="8176" customFormat="false" ht="15" hidden="false" customHeight="true" outlineLevel="0" collapsed="false">
      <c r="A8176" s="6" t="s">
        <v>10788</v>
      </c>
      <c r="B8176" s="6" t="s">
        <v>1729</v>
      </c>
      <c r="C8176" s="6" t="s">
        <v>131</v>
      </c>
      <c r="D8176" s="13" t="n">
        <v>45069</v>
      </c>
      <c r="E8176" s="14" t="n">
        <v>2977.25</v>
      </c>
      <c r="F8176" s="14" t="n">
        <v>40792.39</v>
      </c>
      <c r="G8176" s="6" t="s">
        <v>2613</v>
      </c>
    </row>
    <row r="8177" customFormat="false" ht="15" hidden="false" customHeight="true" outlineLevel="0" collapsed="false">
      <c r="A8177" s="6" t="s">
        <v>10789</v>
      </c>
      <c r="B8177" s="6" t="s">
        <v>1729</v>
      </c>
      <c r="C8177" s="6" t="s">
        <v>131</v>
      </c>
      <c r="D8177" s="13" t="n">
        <v>45076</v>
      </c>
      <c r="E8177" s="14" t="n">
        <v>2370.18</v>
      </c>
      <c r="F8177" s="14" t="n">
        <v>43162.57</v>
      </c>
      <c r="G8177" s="6" t="s">
        <v>2623</v>
      </c>
    </row>
    <row r="8178" customFormat="false" ht="15" hidden="false" customHeight="true" outlineLevel="0" collapsed="false">
      <c r="A8178" s="6" t="s">
        <v>10790</v>
      </c>
      <c r="B8178" s="6" t="s">
        <v>1729</v>
      </c>
      <c r="C8178" s="6" t="s">
        <v>131</v>
      </c>
      <c r="D8178" s="13" t="n">
        <v>45083</v>
      </c>
      <c r="E8178" s="14" t="n">
        <v>4103.25</v>
      </c>
      <c r="F8178" s="14" t="n">
        <v>47265.82</v>
      </c>
      <c r="G8178" s="6" t="s">
        <v>2613</v>
      </c>
    </row>
    <row r="8179" customFormat="false" ht="15" hidden="false" customHeight="true" outlineLevel="0" collapsed="false">
      <c r="A8179" s="6" t="s">
        <v>10791</v>
      </c>
      <c r="B8179" s="6" t="s">
        <v>1729</v>
      </c>
      <c r="C8179" s="6" t="s">
        <v>131</v>
      </c>
      <c r="D8179" s="13" t="n">
        <v>45090</v>
      </c>
      <c r="E8179" s="14" t="n">
        <v>8333</v>
      </c>
      <c r="F8179" s="14" t="n">
        <v>55598.82</v>
      </c>
      <c r="G8179" s="6" t="s">
        <v>2623</v>
      </c>
    </row>
    <row r="8180" customFormat="false" ht="15" hidden="false" customHeight="true" outlineLevel="0" collapsed="false">
      <c r="A8180" s="6" t="s">
        <v>10792</v>
      </c>
      <c r="B8180" s="6" t="s">
        <v>1731</v>
      </c>
      <c r="C8180" s="6" t="s">
        <v>112</v>
      </c>
      <c r="D8180" s="13" t="n">
        <v>45648</v>
      </c>
      <c r="E8180" s="14" t="n">
        <v>9010.8</v>
      </c>
      <c r="F8180" s="14" t="n">
        <v>9010.8</v>
      </c>
      <c r="G8180" s="6" t="s">
        <v>2613</v>
      </c>
    </row>
    <row r="8181" customFormat="false" ht="15" hidden="false" customHeight="true" outlineLevel="0" collapsed="false">
      <c r="A8181" s="6" t="s">
        <v>10793</v>
      </c>
      <c r="B8181" s="6" t="s">
        <v>1731</v>
      </c>
      <c r="C8181" s="6" t="s">
        <v>112</v>
      </c>
      <c r="D8181" s="13" t="n">
        <v>45655</v>
      </c>
      <c r="E8181" s="14" t="n">
        <v>7846.7</v>
      </c>
      <c r="F8181" s="14" t="n">
        <v>16857.5</v>
      </c>
      <c r="G8181" s="6" t="s">
        <v>2613</v>
      </c>
    </row>
    <row r="8182" customFormat="false" ht="15" hidden="false" customHeight="true" outlineLevel="0" collapsed="false">
      <c r="A8182" s="6" t="s">
        <v>10794</v>
      </c>
      <c r="B8182" s="6" t="s">
        <v>1731</v>
      </c>
      <c r="C8182" s="6" t="s">
        <v>112</v>
      </c>
      <c r="D8182" s="13" t="n">
        <v>45662</v>
      </c>
      <c r="E8182" s="14" t="n">
        <v>11888.94</v>
      </c>
      <c r="F8182" s="14" t="n">
        <v>28746.44</v>
      </c>
      <c r="G8182" s="6" t="s">
        <v>2613</v>
      </c>
    </row>
    <row r="8183" customFormat="false" ht="15" hidden="false" customHeight="true" outlineLevel="0" collapsed="false">
      <c r="A8183" s="6" t="s">
        <v>10795</v>
      </c>
      <c r="B8183" s="6" t="s">
        <v>1731</v>
      </c>
      <c r="C8183" s="6" t="s">
        <v>112</v>
      </c>
      <c r="D8183" s="13" t="n">
        <v>45669</v>
      </c>
      <c r="E8183" s="14" t="n">
        <v>9738.39</v>
      </c>
      <c r="F8183" s="14" t="n">
        <v>38484.83</v>
      </c>
      <c r="G8183" s="6" t="s">
        <v>2613</v>
      </c>
    </row>
    <row r="8184" customFormat="false" ht="15" hidden="false" customHeight="true" outlineLevel="0" collapsed="false">
      <c r="A8184" s="6" t="s">
        <v>10796</v>
      </c>
      <c r="B8184" s="6" t="s">
        <v>1731</v>
      </c>
      <c r="C8184" s="6" t="s">
        <v>112</v>
      </c>
      <c r="D8184" s="13" t="n">
        <v>45676</v>
      </c>
      <c r="E8184" s="14" t="n">
        <v>5766.05</v>
      </c>
      <c r="F8184" s="14" t="n">
        <v>44250.88</v>
      </c>
      <c r="G8184" s="6" t="s">
        <v>2613</v>
      </c>
    </row>
    <row r="8185" customFormat="false" ht="15" hidden="false" customHeight="true" outlineLevel="0" collapsed="false">
      <c r="A8185" s="6" t="s">
        <v>10797</v>
      </c>
      <c r="B8185" s="6" t="s">
        <v>1731</v>
      </c>
      <c r="C8185" s="6" t="s">
        <v>112</v>
      </c>
      <c r="D8185" s="13" t="n">
        <v>45683</v>
      </c>
      <c r="E8185" s="14" t="n">
        <v>9000.49</v>
      </c>
      <c r="F8185" s="14" t="n">
        <v>53251.37</v>
      </c>
      <c r="G8185" s="6" t="s">
        <v>2613</v>
      </c>
    </row>
    <row r="8186" customFormat="false" ht="15" hidden="false" customHeight="true" outlineLevel="0" collapsed="false">
      <c r="A8186" s="6" t="s">
        <v>10798</v>
      </c>
      <c r="B8186" s="6" t="s">
        <v>1731</v>
      </c>
      <c r="C8186" s="6" t="s">
        <v>112</v>
      </c>
      <c r="D8186" s="13" t="n">
        <v>45690</v>
      </c>
      <c r="E8186" s="14" t="n">
        <v>10919.22</v>
      </c>
      <c r="F8186" s="14" t="n">
        <v>64170.59</v>
      </c>
      <c r="G8186" s="6" t="s">
        <v>2613</v>
      </c>
    </row>
    <row r="8187" customFormat="false" ht="15" hidden="false" customHeight="true" outlineLevel="0" collapsed="false">
      <c r="A8187" s="6" t="s">
        <v>10799</v>
      </c>
      <c r="B8187" s="6" t="s">
        <v>1731</v>
      </c>
      <c r="C8187" s="6" t="s">
        <v>112</v>
      </c>
      <c r="D8187" s="13" t="n">
        <v>45697</v>
      </c>
      <c r="E8187" s="14" t="n">
        <v>10082.66</v>
      </c>
      <c r="F8187" s="14" t="n">
        <v>74253.25</v>
      </c>
      <c r="G8187" s="6" t="s">
        <v>2613</v>
      </c>
    </row>
    <row r="8188" customFormat="false" ht="15" hidden="false" customHeight="true" outlineLevel="0" collapsed="false">
      <c r="A8188" s="6" t="s">
        <v>10800</v>
      </c>
      <c r="B8188" s="6" t="s">
        <v>1731</v>
      </c>
      <c r="C8188" s="6" t="s">
        <v>112</v>
      </c>
      <c r="D8188" s="13" t="n">
        <v>45704</v>
      </c>
      <c r="E8188" s="14" t="n">
        <v>6459.6</v>
      </c>
      <c r="F8188" s="14" t="n">
        <v>80712.85</v>
      </c>
      <c r="G8188" s="6" t="s">
        <v>2613</v>
      </c>
    </row>
    <row r="8189" customFormat="false" ht="15" hidden="false" customHeight="true" outlineLevel="0" collapsed="false">
      <c r="A8189" s="6" t="s">
        <v>10801</v>
      </c>
      <c r="B8189" s="6" t="s">
        <v>1731</v>
      </c>
      <c r="C8189" s="6" t="s">
        <v>112</v>
      </c>
      <c r="D8189" s="13" t="n">
        <v>45711</v>
      </c>
      <c r="E8189" s="14" t="n">
        <v>10418.01</v>
      </c>
      <c r="F8189" s="14" t="n">
        <v>91130.86</v>
      </c>
      <c r="G8189" s="6" t="s">
        <v>2613</v>
      </c>
    </row>
    <row r="8190" customFormat="false" ht="15" hidden="false" customHeight="true" outlineLevel="0" collapsed="false">
      <c r="A8190" s="6" t="s">
        <v>10802</v>
      </c>
      <c r="B8190" s="6" t="s">
        <v>1733</v>
      </c>
      <c r="C8190" s="6" t="s">
        <v>124</v>
      </c>
      <c r="D8190" s="13" t="n">
        <v>45595</v>
      </c>
      <c r="E8190" s="14" t="n">
        <v>5648.63</v>
      </c>
      <c r="F8190" s="14" t="n">
        <v>5648.63</v>
      </c>
      <c r="G8190" s="6" t="s">
        <v>2613</v>
      </c>
    </row>
    <row r="8191" customFormat="false" ht="15" hidden="false" customHeight="true" outlineLevel="0" collapsed="false">
      <c r="A8191" s="6" t="s">
        <v>10803</v>
      </c>
      <c r="B8191" s="6" t="s">
        <v>1733</v>
      </c>
      <c r="C8191" s="6" t="s">
        <v>124</v>
      </c>
      <c r="D8191" s="13" t="n">
        <v>45602</v>
      </c>
      <c r="E8191" s="14" t="n">
        <v>5544.66</v>
      </c>
      <c r="F8191" s="14" t="n">
        <v>11193.29</v>
      </c>
      <c r="G8191" s="6" t="s">
        <v>2613</v>
      </c>
    </row>
    <row r="8192" customFormat="false" ht="15" hidden="false" customHeight="true" outlineLevel="0" collapsed="false">
      <c r="A8192" s="6" t="s">
        <v>10804</v>
      </c>
      <c r="B8192" s="6" t="s">
        <v>1733</v>
      </c>
      <c r="C8192" s="6" t="s">
        <v>124</v>
      </c>
      <c r="D8192" s="13" t="n">
        <v>45609</v>
      </c>
      <c r="E8192" s="14" t="n">
        <v>4805.27</v>
      </c>
      <c r="F8192" s="14" t="n">
        <v>15998.56</v>
      </c>
      <c r="G8192" s="6" t="s">
        <v>2613</v>
      </c>
    </row>
    <row r="8193" customFormat="false" ht="15" hidden="false" customHeight="true" outlineLevel="0" collapsed="false">
      <c r="A8193" s="6" t="s">
        <v>10805</v>
      </c>
      <c r="B8193" s="6" t="s">
        <v>1733</v>
      </c>
      <c r="C8193" s="6" t="s">
        <v>124</v>
      </c>
      <c r="D8193" s="13" t="n">
        <v>45616</v>
      </c>
      <c r="E8193" s="14" t="n">
        <v>4564.96</v>
      </c>
      <c r="F8193" s="14" t="n">
        <v>20563.52</v>
      </c>
      <c r="G8193" s="6" t="s">
        <v>2613</v>
      </c>
    </row>
    <row r="8194" customFormat="false" ht="15" hidden="false" customHeight="true" outlineLevel="0" collapsed="false">
      <c r="A8194" s="6" t="s">
        <v>10806</v>
      </c>
      <c r="B8194" s="6" t="s">
        <v>1733</v>
      </c>
      <c r="C8194" s="6" t="s">
        <v>124</v>
      </c>
      <c r="D8194" s="13" t="n">
        <v>45623</v>
      </c>
      <c r="E8194" s="14" t="n">
        <v>4265.01</v>
      </c>
      <c r="F8194" s="14" t="n">
        <v>24828.53</v>
      </c>
      <c r="G8194" s="6" t="s">
        <v>2613</v>
      </c>
    </row>
    <row r="8195" customFormat="false" ht="15" hidden="false" customHeight="true" outlineLevel="0" collapsed="false">
      <c r="A8195" s="6" t="s">
        <v>10807</v>
      </c>
      <c r="B8195" s="6" t="s">
        <v>1733</v>
      </c>
      <c r="C8195" s="6" t="s">
        <v>124</v>
      </c>
      <c r="D8195" s="13" t="n">
        <v>45630</v>
      </c>
      <c r="E8195" s="14" t="n">
        <v>4645.13</v>
      </c>
      <c r="F8195" s="14" t="n">
        <v>29473.66</v>
      </c>
      <c r="G8195" s="6" t="s">
        <v>2613</v>
      </c>
    </row>
    <row r="8196" customFormat="false" ht="15" hidden="false" customHeight="true" outlineLevel="0" collapsed="false">
      <c r="A8196" s="6" t="s">
        <v>10808</v>
      </c>
      <c r="B8196" s="6" t="s">
        <v>1733</v>
      </c>
      <c r="C8196" s="6" t="s">
        <v>124</v>
      </c>
      <c r="D8196" s="13" t="n">
        <v>45637</v>
      </c>
      <c r="E8196" s="14" t="n">
        <v>5301.56</v>
      </c>
      <c r="F8196" s="14" t="n">
        <v>34775.22</v>
      </c>
      <c r="G8196" s="6" t="s">
        <v>2613</v>
      </c>
    </row>
    <row r="8197" customFormat="false" ht="15" hidden="false" customHeight="true" outlineLevel="0" collapsed="false">
      <c r="A8197" s="6" t="s">
        <v>10809</v>
      </c>
      <c r="B8197" s="6" t="s">
        <v>1733</v>
      </c>
      <c r="C8197" s="6" t="s">
        <v>124</v>
      </c>
      <c r="D8197" s="13" t="n">
        <v>45644</v>
      </c>
      <c r="E8197" s="14" t="n">
        <v>2738.77</v>
      </c>
      <c r="F8197" s="14" t="n">
        <v>37513.99</v>
      </c>
      <c r="G8197" s="6" t="s">
        <v>2613</v>
      </c>
    </row>
    <row r="8198" customFormat="false" ht="15" hidden="false" customHeight="true" outlineLevel="0" collapsed="false">
      <c r="A8198" s="6" t="s">
        <v>10810</v>
      </c>
      <c r="B8198" s="6" t="s">
        <v>1733</v>
      </c>
      <c r="C8198" s="6" t="s">
        <v>124</v>
      </c>
      <c r="D8198" s="13" t="n">
        <v>45651</v>
      </c>
      <c r="E8198" s="14" t="n">
        <v>3042.4</v>
      </c>
      <c r="F8198" s="14" t="n">
        <v>40556.39</v>
      </c>
      <c r="G8198" s="6" t="s">
        <v>2613</v>
      </c>
    </row>
    <row r="8199" customFormat="false" ht="15" hidden="false" customHeight="true" outlineLevel="0" collapsed="false">
      <c r="A8199" s="6" t="s">
        <v>10811</v>
      </c>
      <c r="B8199" s="6" t="s">
        <v>1733</v>
      </c>
      <c r="C8199" s="6" t="s">
        <v>124</v>
      </c>
      <c r="D8199" s="13" t="n">
        <v>45658</v>
      </c>
      <c r="E8199" s="14" t="n">
        <v>5522.28</v>
      </c>
      <c r="F8199" s="14" t="n">
        <v>46078.67</v>
      </c>
      <c r="G8199" s="6" t="s">
        <v>2613</v>
      </c>
    </row>
    <row r="8200" customFormat="false" ht="15" hidden="false" customHeight="true" outlineLevel="0" collapsed="false">
      <c r="A8200" s="6" t="s">
        <v>10812</v>
      </c>
      <c r="B8200" s="6" t="s">
        <v>1733</v>
      </c>
      <c r="C8200" s="6" t="s">
        <v>124</v>
      </c>
      <c r="D8200" s="13" t="n">
        <v>45665</v>
      </c>
      <c r="E8200" s="14" t="n">
        <v>2866.31</v>
      </c>
      <c r="F8200" s="14" t="n">
        <v>48944.98</v>
      </c>
      <c r="G8200" s="6" t="s">
        <v>2613</v>
      </c>
    </row>
    <row r="8201" customFormat="false" ht="15" hidden="false" customHeight="true" outlineLevel="0" collapsed="false">
      <c r="A8201" s="6" t="s">
        <v>10813</v>
      </c>
      <c r="B8201" s="6" t="s">
        <v>1735</v>
      </c>
      <c r="C8201" s="6" t="s">
        <v>120</v>
      </c>
      <c r="D8201" s="13" t="n">
        <v>45735</v>
      </c>
      <c r="E8201" s="14" t="n">
        <v>2110.71</v>
      </c>
      <c r="F8201" s="14" t="n">
        <v>2110.71</v>
      </c>
      <c r="G8201" s="6" t="s">
        <v>2613</v>
      </c>
    </row>
    <row r="8202" customFormat="false" ht="15" hidden="false" customHeight="true" outlineLevel="0" collapsed="false">
      <c r="A8202" s="6" t="s">
        <v>10814</v>
      </c>
      <c r="B8202" s="6" t="s">
        <v>1735</v>
      </c>
      <c r="C8202" s="6" t="s">
        <v>120</v>
      </c>
      <c r="D8202" s="13" t="n">
        <v>45742</v>
      </c>
      <c r="E8202" s="14" t="n">
        <v>2902.61</v>
      </c>
      <c r="F8202" s="14" t="n">
        <v>5013.32</v>
      </c>
      <c r="G8202" s="6" t="s">
        <v>2613</v>
      </c>
    </row>
    <row r="8203" customFormat="false" ht="15" hidden="false" customHeight="true" outlineLevel="0" collapsed="false">
      <c r="A8203" s="6" t="s">
        <v>10815</v>
      </c>
      <c r="B8203" s="6" t="s">
        <v>1735</v>
      </c>
      <c r="C8203" s="6" t="s">
        <v>120</v>
      </c>
      <c r="D8203" s="13" t="n">
        <v>45749</v>
      </c>
      <c r="E8203" s="14" t="n">
        <v>3698.68</v>
      </c>
      <c r="F8203" s="14" t="n">
        <v>8712</v>
      </c>
      <c r="G8203" s="6" t="s">
        <v>2613</v>
      </c>
    </row>
    <row r="8204" customFormat="false" ht="15" hidden="false" customHeight="true" outlineLevel="0" collapsed="false">
      <c r="A8204" s="6" t="s">
        <v>10816</v>
      </c>
      <c r="B8204" s="6" t="s">
        <v>1735</v>
      </c>
      <c r="C8204" s="6" t="s">
        <v>120</v>
      </c>
      <c r="D8204" s="13" t="n">
        <v>45756</v>
      </c>
      <c r="E8204" s="14" t="n">
        <v>2191.81</v>
      </c>
      <c r="F8204" s="14" t="n">
        <v>10903.81</v>
      </c>
      <c r="G8204" s="6" t="s">
        <v>2613</v>
      </c>
    </row>
    <row r="8205" customFormat="false" ht="15" hidden="false" customHeight="true" outlineLevel="0" collapsed="false">
      <c r="A8205" s="6" t="s">
        <v>10817</v>
      </c>
      <c r="B8205" s="6" t="s">
        <v>1735</v>
      </c>
      <c r="C8205" s="6" t="s">
        <v>120</v>
      </c>
      <c r="D8205" s="13" t="n">
        <v>45763</v>
      </c>
      <c r="E8205" s="14" t="n">
        <v>3965.97</v>
      </c>
      <c r="F8205" s="14" t="n">
        <v>14869.78</v>
      </c>
      <c r="G8205" s="6" t="s">
        <v>2613</v>
      </c>
    </row>
    <row r="8206" customFormat="false" ht="15" hidden="false" customHeight="true" outlineLevel="0" collapsed="false">
      <c r="A8206" s="6" t="s">
        <v>10818</v>
      </c>
      <c r="B8206" s="6" t="s">
        <v>1735</v>
      </c>
      <c r="C8206" s="6" t="s">
        <v>120</v>
      </c>
      <c r="D8206" s="13" t="n">
        <v>45770</v>
      </c>
      <c r="E8206" s="14" t="n">
        <v>3684.69</v>
      </c>
      <c r="F8206" s="14" t="n">
        <v>18554.47</v>
      </c>
      <c r="G8206" s="6" t="s">
        <v>2613</v>
      </c>
    </row>
    <row r="8207" customFormat="false" ht="15" hidden="false" customHeight="true" outlineLevel="0" collapsed="false">
      <c r="A8207" s="6" t="s">
        <v>10819</v>
      </c>
      <c r="B8207" s="6" t="s">
        <v>1735</v>
      </c>
      <c r="C8207" s="6" t="s">
        <v>120</v>
      </c>
      <c r="D8207" s="13" t="n">
        <v>45777</v>
      </c>
      <c r="E8207" s="14" t="n">
        <v>2657.17</v>
      </c>
      <c r="F8207" s="14" t="n">
        <v>21211.64</v>
      </c>
      <c r="G8207" s="6" t="s">
        <v>2613</v>
      </c>
    </row>
    <row r="8208" customFormat="false" ht="15" hidden="false" customHeight="true" outlineLevel="0" collapsed="false">
      <c r="A8208" s="6" t="s">
        <v>10820</v>
      </c>
      <c r="B8208" s="6" t="s">
        <v>1735</v>
      </c>
      <c r="C8208" s="6" t="s">
        <v>120</v>
      </c>
      <c r="D8208" s="13" t="n">
        <v>45784</v>
      </c>
      <c r="E8208" s="14" t="n">
        <v>3290.43</v>
      </c>
      <c r="F8208" s="14" t="n">
        <v>24502.07</v>
      </c>
      <c r="G8208" s="6" t="s">
        <v>2613</v>
      </c>
    </row>
    <row r="8209" customFormat="false" ht="15" hidden="false" customHeight="true" outlineLevel="0" collapsed="false">
      <c r="A8209" s="6" t="s">
        <v>10821</v>
      </c>
      <c r="B8209" s="6" t="s">
        <v>1735</v>
      </c>
      <c r="C8209" s="6" t="s">
        <v>120</v>
      </c>
      <c r="D8209" s="13" t="n">
        <v>45791</v>
      </c>
      <c r="E8209" s="14" t="n">
        <v>2576.71</v>
      </c>
      <c r="F8209" s="14" t="n">
        <v>27078.78</v>
      </c>
      <c r="G8209" s="6" t="s">
        <v>2613</v>
      </c>
    </row>
    <row r="8210" customFormat="false" ht="15" hidden="false" customHeight="true" outlineLevel="0" collapsed="false">
      <c r="A8210" s="6" t="s">
        <v>10822</v>
      </c>
      <c r="B8210" s="6" t="s">
        <v>1735</v>
      </c>
      <c r="C8210" s="6" t="s">
        <v>120</v>
      </c>
      <c r="D8210" s="13" t="n">
        <v>45798</v>
      </c>
      <c r="E8210" s="14" t="n">
        <v>2814.57</v>
      </c>
      <c r="F8210" s="14" t="n">
        <v>29893.35</v>
      </c>
      <c r="G8210" s="6" t="s">
        <v>2613</v>
      </c>
    </row>
    <row r="8211" customFormat="false" ht="15" hidden="false" customHeight="true" outlineLevel="0" collapsed="false">
      <c r="A8211" s="6" t="s">
        <v>10823</v>
      </c>
      <c r="B8211" s="6" t="s">
        <v>1735</v>
      </c>
      <c r="C8211" s="6" t="s">
        <v>120</v>
      </c>
      <c r="D8211" s="13" t="n">
        <v>45805</v>
      </c>
      <c r="E8211" s="14" t="n">
        <v>5731.03</v>
      </c>
      <c r="F8211" s="14" t="n">
        <v>35624.38</v>
      </c>
      <c r="G8211" s="6" t="s">
        <v>2613</v>
      </c>
    </row>
    <row r="8212" customFormat="false" ht="15" hidden="false" customHeight="true" outlineLevel="0" collapsed="false">
      <c r="A8212" s="6" t="s">
        <v>10824</v>
      </c>
      <c r="B8212" s="6" t="s">
        <v>1737</v>
      </c>
      <c r="C8212" s="6" t="s">
        <v>124</v>
      </c>
      <c r="D8212" s="13" t="n">
        <v>46019</v>
      </c>
      <c r="E8212" s="14" t="n">
        <v>1061.46</v>
      </c>
      <c r="F8212" s="14" t="n">
        <v>1061.46</v>
      </c>
      <c r="G8212" s="6" t="s">
        <v>2613</v>
      </c>
    </row>
    <row r="8213" customFormat="false" ht="15" hidden="false" customHeight="true" outlineLevel="0" collapsed="false">
      <c r="A8213" s="6" t="s">
        <v>10825</v>
      </c>
      <c r="B8213" s="6" t="s">
        <v>1737</v>
      </c>
      <c r="C8213" s="6" t="s">
        <v>124</v>
      </c>
      <c r="D8213" s="13" t="n">
        <v>46026</v>
      </c>
      <c r="E8213" s="14" t="n">
        <v>1404.55</v>
      </c>
      <c r="F8213" s="14" t="n">
        <v>2466.01</v>
      </c>
      <c r="G8213" s="6" t="s">
        <v>2613</v>
      </c>
    </row>
    <row r="8214" customFormat="false" ht="15" hidden="false" customHeight="true" outlineLevel="0" collapsed="false">
      <c r="A8214" s="6" t="s">
        <v>10826</v>
      </c>
      <c r="B8214" s="6" t="s">
        <v>1737</v>
      </c>
      <c r="C8214" s="6" t="s">
        <v>124</v>
      </c>
      <c r="D8214" s="13" t="n">
        <v>46033</v>
      </c>
      <c r="E8214" s="14" t="n">
        <v>929.62</v>
      </c>
      <c r="F8214" s="14" t="n">
        <v>3395.63</v>
      </c>
      <c r="G8214" s="6" t="s">
        <v>2613</v>
      </c>
    </row>
    <row r="8215" customFormat="false" ht="15" hidden="false" customHeight="true" outlineLevel="0" collapsed="false">
      <c r="A8215" s="6" t="s">
        <v>10827</v>
      </c>
      <c r="B8215" s="6" t="s">
        <v>1737</v>
      </c>
      <c r="C8215" s="6" t="s">
        <v>124</v>
      </c>
      <c r="D8215" s="13" t="n">
        <v>46040</v>
      </c>
      <c r="E8215" s="14" t="n">
        <v>1692.29</v>
      </c>
      <c r="F8215" s="14" t="n">
        <v>5087.92</v>
      </c>
      <c r="G8215" s="6" t="s">
        <v>2613</v>
      </c>
    </row>
    <row r="8216" customFormat="false" ht="15" hidden="false" customHeight="true" outlineLevel="0" collapsed="false">
      <c r="A8216" s="6" t="s">
        <v>10828</v>
      </c>
      <c r="B8216" s="6" t="s">
        <v>1737</v>
      </c>
      <c r="C8216" s="6" t="s">
        <v>124</v>
      </c>
      <c r="D8216" s="13" t="n">
        <v>46047</v>
      </c>
      <c r="E8216" s="14" t="n">
        <v>972.2</v>
      </c>
      <c r="F8216" s="14" t="n">
        <v>6060.12</v>
      </c>
      <c r="G8216" s="6" t="s">
        <v>2623</v>
      </c>
    </row>
    <row r="8217" customFormat="false" ht="15" hidden="false" customHeight="true" outlineLevel="0" collapsed="false">
      <c r="A8217" s="6" t="s">
        <v>10829</v>
      </c>
      <c r="B8217" s="6" t="s">
        <v>1737</v>
      </c>
      <c r="C8217" s="6" t="s">
        <v>124</v>
      </c>
      <c r="D8217" s="13" t="n">
        <v>46054</v>
      </c>
      <c r="E8217" s="14" t="n">
        <v>1453.9</v>
      </c>
      <c r="F8217" s="14" t="n">
        <v>7514.02</v>
      </c>
      <c r="G8217" s="6" t="s">
        <v>2613</v>
      </c>
    </row>
    <row r="8218" customFormat="false" ht="15" hidden="false" customHeight="true" outlineLevel="0" collapsed="false">
      <c r="A8218" s="6" t="s">
        <v>10830</v>
      </c>
      <c r="B8218" s="6" t="s">
        <v>1737</v>
      </c>
      <c r="C8218" s="6" t="s">
        <v>124</v>
      </c>
      <c r="D8218" s="13" t="n">
        <v>46061</v>
      </c>
      <c r="E8218" s="14" t="n">
        <v>1755.47</v>
      </c>
      <c r="F8218" s="14" t="n">
        <v>9269.49</v>
      </c>
      <c r="G8218" s="6" t="s">
        <v>2623</v>
      </c>
    </row>
    <row r="8219" customFormat="false" ht="15" hidden="false" customHeight="true" outlineLevel="0" collapsed="false">
      <c r="A8219" s="6" t="s">
        <v>10831</v>
      </c>
      <c r="B8219" s="6" t="s">
        <v>1737</v>
      </c>
      <c r="C8219" s="6" t="s">
        <v>124</v>
      </c>
      <c r="D8219" s="13" t="n">
        <v>46068</v>
      </c>
      <c r="E8219" s="14" t="n">
        <v>1643.54</v>
      </c>
      <c r="F8219" s="14" t="n">
        <v>10913.03</v>
      </c>
      <c r="G8219" s="6" t="s">
        <v>2613</v>
      </c>
    </row>
    <row r="8220" customFormat="false" ht="15" hidden="false" customHeight="true" outlineLevel="0" collapsed="false">
      <c r="A8220" s="6" t="s">
        <v>10832</v>
      </c>
      <c r="B8220" s="6" t="s">
        <v>1739</v>
      </c>
      <c r="C8220" s="6" t="s">
        <v>131</v>
      </c>
      <c r="D8220" s="13" t="n">
        <v>45251</v>
      </c>
      <c r="E8220" s="14" t="n">
        <v>5711.96</v>
      </c>
      <c r="F8220" s="14" t="n">
        <v>5711.96</v>
      </c>
      <c r="G8220" s="6" t="s">
        <v>2613</v>
      </c>
    </row>
    <row r="8221" customFormat="false" ht="15" hidden="false" customHeight="true" outlineLevel="0" collapsed="false">
      <c r="A8221" s="6" t="s">
        <v>10833</v>
      </c>
      <c r="B8221" s="6" t="s">
        <v>1739</v>
      </c>
      <c r="C8221" s="6" t="s">
        <v>131</v>
      </c>
      <c r="D8221" s="13" t="n">
        <v>45258</v>
      </c>
      <c r="E8221" s="14" t="n">
        <v>4844.78</v>
      </c>
      <c r="F8221" s="14" t="n">
        <v>10556.74</v>
      </c>
      <c r="G8221" s="6" t="s">
        <v>2613</v>
      </c>
    </row>
    <row r="8222" customFormat="false" ht="15" hidden="false" customHeight="true" outlineLevel="0" collapsed="false">
      <c r="A8222" s="6" t="s">
        <v>10834</v>
      </c>
      <c r="B8222" s="6" t="s">
        <v>1739</v>
      </c>
      <c r="C8222" s="6" t="s">
        <v>131</v>
      </c>
      <c r="D8222" s="13" t="n">
        <v>45265</v>
      </c>
      <c r="E8222" s="14" t="n">
        <v>5017.51</v>
      </c>
      <c r="F8222" s="14" t="n">
        <v>15574.25</v>
      </c>
      <c r="G8222" s="6" t="s">
        <v>2613</v>
      </c>
    </row>
    <row r="8223" customFormat="false" ht="15" hidden="false" customHeight="true" outlineLevel="0" collapsed="false">
      <c r="A8223" s="6" t="s">
        <v>10835</v>
      </c>
      <c r="B8223" s="6" t="s">
        <v>1739</v>
      </c>
      <c r="C8223" s="6" t="s">
        <v>131</v>
      </c>
      <c r="D8223" s="13" t="n">
        <v>45272</v>
      </c>
      <c r="E8223" s="14" t="n">
        <v>5003.49</v>
      </c>
      <c r="F8223" s="14" t="n">
        <v>20577.74</v>
      </c>
      <c r="G8223" s="6" t="s">
        <v>2613</v>
      </c>
    </row>
    <row r="8224" customFormat="false" ht="15" hidden="false" customHeight="true" outlineLevel="0" collapsed="false">
      <c r="A8224" s="6" t="s">
        <v>10836</v>
      </c>
      <c r="B8224" s="6" t="s">
        <v>1739</v>
      </c>
      <c r="C8224" s="6" t="s">
        <v>131</v>
      </c>
      <c r="D8224" s="13" t="n">
        <v>45279</v>
      </c>
      <c r="E8224" s="14" t="n">
        <v>4380.37</v>
      </c>
      <c r="F8224" s="14" t="n">
        <v>24958.11</v>
      </c>
      <c r="G8224" s="6" t="s">
        <v>2613</v>
      </c>
    </row>
    <row r="8225" customFormat="false" ht="15" hidden="false" customHeight="true" outlineLevel="0" collapsed="false">
      <c r="A8225" s="6" t="s">
        <v>10837</v>
      </c>
      <c r="B8225" s="6" t="s">
        <v>1739</v>
      </c>
      <c r="C8225" s="6" t="s">
        <v>131</v>
      </c>
      <c r="D8225" s="13" t="n">
        <v>45286</v>
      </c>
      <c r="E8225" s="14" t="n">
        <v>6009.41</v>
      </c>
      <c r="F8225" s="14" t="n">
        <v>30967.52</v>
      </c>
      <c r="G8225" s="6" t="s">
        <v>2613</v>
      </c>
    </row>
    <row r="8226" customFormat="false" ht="15" hidden="false" customHeight="true" outlineLevel="0" collapsed="false">
      <c r="A8226" s="6" t="s">
        <v>10838</v>
      </c>
      <c r="B8226" s="6" t="s">
        <v>1739</v>
      </c>
      <c r="C8226" s="6" t="s">
        <v>131</v>
      </c>
      <c r="D8226" s="13" t="n">
        <v>45293</v>
      </c>
      <c r="E8226" s="14" t="n">
        <v>4439.75</v>
      </c>
      <c r="F8226" s="14" t="n">
        <v>35407.27</v>
      </c>
      <c r="G8226" s="6" t="s">
        <v>2613</v>
      </c>
    </row>
    <row r="8227" customFormat="false" ht="15" hidden="false" customHeight="true" outlineLevel="0" collapsed="false">
      <c r="A8227" s="6" t="s">
        <v>10839</v>
      </c>
      <c r="B8227" s="6" t="s">
        <v>1739</v>
      </c>
      <c r="C8227" s="6" t="s">
        <v>131</v>
      </c>
      <c r="D8227" s="13" t="n">
        <v>45300</v>
      </c>
      <c r="E8227" s="14" t="n">
        <v>3031.58</v>
      </c>
      <c r="F8227" s="14" t="n">
        <v>38438.85</v>
      </c>
      <c r="G8227" s="6" t="s">
        <v>2613</v>
      </c>
    </row>
    <row r="8228" customFormat="false" ht="15" hidden="false" customHeight="true" outlineLevel="0" collapsed="false">
      <c r="A8228" s="6" t="s">
        <v>10840</v>
      </c>
      <c r="B8228" s="6" t="s">
        <v>1739</v>
      </c>
      <c r="C8228" s="6" t="s">
        <v>131</v>
      </c>
      <c r="D8228" s="13" t="n">
        <v>45307</v>
      </c>
      <c r="E8228" s="14" t="n">
        <v>4964.06</v>
      </c>
      <c r="F8228" s="14" t="n">
        <v>43402.91</v>
      </c>
      <c r="G8228" s="6" t="s">
        <v>2613</v>
      </c>
    </row>
    <row r="8229" customFormat="false" ht="15" hidden="false" customHeight="true" outlineLevel="0" collapsed="false">
      <c r="A8229" s="6" t="s">
        <v>10841</v>
      </c>
      <c r="B8229" s="6" t="s">
        <v>1739</v>
      </c>
      <c r="C8229" s="6" t="s">
        <v>131</v>
      </c>
      <c r="D8229" s="13" t="n">
        <v>45314</v>
      </c>
      <c r="E8229" s="14" t="n">
        <v>4394.72</v>
      </c>
      <c r="F8229" s="14" t="n">
        <v>47797.63</v>
      </c>
      <c r="G8229" s="6" t="s">
        <v>2623</v>
      </c>
    </row>
    <row r="8230" customFormat="false" ht="15" hidden="false" customHeight="true" outlineLevel="0" collapsed="false">
      <c r="A8230" s="6" t="s">
        <v>10842</v>
      </c>
      <c r="B8230" s="6" t="s">
        <v>1739</v>
      </c>
      <c r="C8230" s="6" t="s">
        <v>131</v>
      </c>
      <c r="D8230" s="13" t="n">
        <v>45321</v>
      </c>
      <c r="E8230" s="14" t="n">
        <v>4558.64</v>
      </c>
      <c r="F8230" s="14" t="n">
        <v>52356.27</v>
      </c>
      <c r="G8230" s="6" t="s">
        <v>2613</v>
      </c>
    </row>
    <row r="8231" customFormat="false" ht="15" hidden="false" customHeight="true" outlineLevel="0" collapsed="false">
      <c r="A8231" s="6" t="s">
        <v>10843</v>
      </c>
      <c r="B8231" s="6" t="s">
        <v>1739</v>
      </c>
      <c r="C8231" s="6" t="s">
        <v>131</v>
      </c>
      <c r="D8231" s="13" t="n">
        <v>45328</v>
      </c>
      <c r="E8231" s="14" t="n">
        <v>3991.01</v>
      </c>
      <c r="F8231" s="14" t="n">
        <v>56347.28</v>
      </c>
      <c r="G8231" s="6" t="s">
        <v>2613</v>
      </c>
    </row>
    <row r="8232" customFormat="false" ht="15" hidden="false" customHeight="true" outlineLevel="0" collapsed="false">
      <c r="A8232" s="6" t="s">
        <v>10844</v>
      </c>
      <c r="B8232" s="6" t="s">
        <v>1739</v>
      </c>
      <c r="C8232" s="6" t="s">
        <v>131</v>
      </c>
      <c r="D8232" s="13" t="n">
        <v>45335</v>
      </c>
      <c r="E8232" s="14" t="n">
        <v>5024.54</v>
      </c>
      <c r="F8232" s="14" t="n">
        <v>61371.82</v>
      </c>
      <c r="G8232" s="6" t="s">
        <v>2613</v>
      </c>
    </row>
    <row r="8233" customFormat="false" ht="15" hidden="false" customHeight="true" outlineLevel="0" collapsed="false">
      <c r="A8233" s="6" t="s">
        <v>10845</v>
      </c>
      <c r="B8233" s="6" t="s">
        <v>1739</v>
      </c>
      <c r="C8233" s="6" t="s">
        <v>131</v>
      </c>
      <c r="D8233" s="13" t="n">
        <v>45342</v>
      </c>
      <c r="E8233" s="14" t="n">
        <v>5718.69</v>
      </c>
      <c r="F8233" s="14" t="n">
        <v>67090.51</v>
      </c>
      <c r="G8233" s="6" t="s">
        <v>2613</v>
      </c>
    </row>
    <row r="8234" customFormat="false" ht="15" hidden="false" customHeight="true" outlineLevel="0" collapsed="false">
      <c r="A8234" s="6" t="s">
        <v>10846</v>
      </c>
      <c r="B8234" s="6" t="s">
        <v>1739</v>
      </c>
      <c r="C8234" s="6" t="s">
        <v>131</v>
      </c>
      <c r="D8234" s="13" t="n">
        <v>45349</v>
      </c>
      <c r="E8234" s="14" t="n">
        <v>6095.16</v>
      </c>
      <c r="F8234" s="14" t="n">
        <v>73185.67</v>
      </c>
      <c r="G8234" s="6" t="s">
        <v>2613</v>
      </c>
    </row>
    <row r="8235" customFormat="false" ht="15" hidden="false" customHeight="true" outlineLevel="0" collapsed="false">
      <c r="A8235" s="6" t="s">
        <v>10847</v>
      </c>
      <c r="B8235" s="6" t="s">
        <v>1739</v>
      </c>
      <c r="C8235" s="6" t="s">
        <v>131</v>
      </c>
      <c r="D8235" s="13" t="n">
        <v>45356</v>
      </c>
      <c r="E8235" s="14" t="n">
        <v>2725.5</v>
      </c>
      <c r="F8235" s="14" t="n">
        <v>75911.17</v>
      </c>
      <c r="G8235" s="6" t="s">
        <v>2613</v>
      </c>
    </row>
    <row r="8236" customFormat="false" ht="15" hidden="false" customHeight="true" outlineLevel="0" collapsed="false">
      <c r="A8236" s="6" t="s">
        <v>10848</v>
      </c>
      <c r="B8236" s="6" t="s">
        <v>1739</v>
      </c>
      <c r="C8236" s="6" t="s">
        <v>131</v>
      </c>
      <c r="D8236" s="13" t="n">
        <v>45363</v>
      </c>
      <c r="E8236" s="14" t="n">
        <v>5325.21</v>
      </c>
      <c r="F8236" s="14" t="n">
        <v>81236.38</v>
      </c>
      <c r="G8236" s="6" t="s">
        <v>2613</v>
      </c>
    </row>
    <row r="8237" customFormat="false" ht="15" hidden="false" customHeight="true" outlineLevel="0" collapsed="false">
      <c r="A8237" s="6" t="s">
        <v>10849</v>
      </c>
      <c r="B8237" s="6" t="s">
        <v>1739</v>
      </c>
      <c r="C8237" s="6" t="s">
        <v>131</v>
      </c>
      <c r="D8237" s="13" t="n">
        <v>45370</v>
      </c>
      <c r="E8237" s="14" t="n">
        <v>3086.39</v>
      </c>
      <c r="F8237" s="14" t="n">
        <v>84322.77</v>
      </c>
      <c r="G8237" s="6" t="s">
        <v>2613</v>
      </c>
    </row>
    <row r="8238" customFormat="false" ht="15" hidden="false" customHeight="true" outlineLevel="0" collapsed="false">
      <c r="A8238" s="6" t="s">
        <v>10850</v>
      </c>
      <c r="B8238" s="6" t="s">
        <v>1741</v>
      </c>
      <c r="C8238" s="6" t="s">
        <v>128</v>
      </c>
      <c r="D8238" s="13" t="n">
        <v>45106</v>
      </c>
      <c r="E8238" s="14" t="n">
        <v>2378.57</v>
      </c>
      <c r="F8238" s="14" t="n">
        <v>2378.57</v>
      </c>
      <c r="G8238" s="6" t="s">
        <v>2613</v>
      </c>
    </row>
    <row r="8239" customFormat="false" ht="15" hidden="false" customHeight="true" outlineLevel="0" collapsed="false">
      <c r="A8239" s="6" t="s">
        <v>10851</v>
      </c>
      <c r="B8239" s="6" t="s">
        <v>1741</v>
      </c>
      <c r="C8239" s="6" t="s">
        <v>128</v>
      </c>
      <c r="D8239" s="13" t="n">
        <v>45113</v>
      </c>
      <c r="E8239" s="14" t="n">
        <v>2428.96</v>
      </c>
      <c r="F8239" s="14" t="n">
        <v>4807.53</v>
      </c>
      <c r="G8239" s="6" t="s">
        <v>2613</v>
      </c>
    </row>
    <row r="8240" customFormat="false" ht="15" hidden="false" customHeight="true" outlineLevel="0" collapsed="false">
      <c r="A8240" s="6" t="s">
        <v>10852</v>
      </c>
      <c r="B8240" s="6" t="s">
        <v>1741</v>
      </c>
      <c r="C8240" s="6" t="s">
        <v>128</v>
      </c>
      <c r="D8240" s="13" t="n">
        <v>45120</v>
      </c>
      <c r="E8240" s="14" t="n">
        <v>3875.38</v>
      </c>
      <c r="F8240" s="14" t="n">
        <v>8682.91</v>
      </c>
      <c r="G8240" s="6" t="s">
        <v>2613</v>
      </c>
    </row>
    <row r="8241" customFormat="false" ht="15" hidden="false" customHeight="true" outlineLevel="0" collapsed="false">
      <c r="A8241" s="6" t="s">
        <v>10853</v>
      </c>
      <c r="B8241" s="6" t="s">
        <v>1741</v>
      </c>
      <c r="C8241" s="6" t="s">
        <v>128</v>
      </c>
      <c r="D8241" s="13" t="n">
        <v>45127</v>
      </c>
      <c r="E8241" s="14" t="n">
        <v>3010.45</v>
      </c>
      <c r="F8241" s="14" t="n">
        <v>11693.36</v>
      </c>
      <c r="G8241" s="6" t="s">
        <v>2613</v>
      </c>
    </row>
    <row r="8242" customFormat="false" ht="15" hidden="false" customHeight="true" outlineLevel="0" collapsed="false">
      <c r="A8242" s="6" t="s">
        <v>10854</v>
      </c>
      <c r="B8242" s="6" t="s">
        <v>1741</v>
      </c>
      <c r="C8242" s="6" t="s">
        <v>128</v>
      </c>
      <c r="D8242" s="13" t="n">
        <v>45134</v>
      </c>
      <c r="E8242" s="14" t="n">
        <v>4064.31</v>
      </c>
      <c r="F8242" s="14" t="n">
        <v>15757.67</v>
      </c>
      <c r="G8242" s="6" t="s">
        <v>2613</v>
      </c>
    </row>
    <row r="8243" customFormat="false" ht="15" hidden="false" customHeight="true" outlineLevel="0" collapsed="false">
      <c r="A8243" s="6" t="s">
        <v>10855</v>
      </c>
      <c r="B8243" s="6" t="s">
        <v>1743</v>
      </c>
      <c r="C8243" s="6" t="s">
        <v>120</v>
      </c>
      <c r="D8243" s="13" t="n">
        <v>45989</v>
      </c>
      <c r="E8243" s="14" t="n">
        <v>7460.96</v>
      </c>
      <c r="F8243" s="14" t="n">
        <v>7460.96</v>
      </c>
      <c r="G8243" s="6" t="s">
        <v>2613</v>
      </c>
    </row>
    <row r="8244" customFormat="false" ht="15" hidden="false" customHeight="true" outlineLevel="0" collapsed="false">
      <c r="A8244" s="6" t="s">
        <v>10856</v>
      </c>
      <c r="B8244" s="6" t="s">
        <v>1743</v>
      </c>
      <c r="C8244" s="6" t="s">
        <v>120</v>
      </c>
      <c r="D8244" s="13" t="n">
        <v>45996</v>
      </c>
      <c r="E8244" s="14" t="n">
        <v>7551.99</v>
      </c>
      <c r="F8244" s="14" t="n">
        <v>15012.95</v>
      </c>
      <c r="G8244" s="6" t="s">
        <v>2613</v>
      </c>
    </row>
    <row r="8245" customFormat="false" ht="15" hidden="false" customHeight="true" outlineLevel="0" collapsed="false">
      <c r="A8245" s="6" t="s">
        <v>10857</v>
      </c>
      <c r="B8245" s="6" t="s">
        <v>1743</v>
      </c>
      <c r="C8245" s="6" t="s">
        <v>120</v>
      </c>
      <c r="D8245" s="13" t="n">
        <v>46003</v>
      </c>
      <c r="E8245" s="14" t="n">
        <v>7245.19</v>
      </c>
      <c r="F8245" s="14" t="n">
        <v>22258.14</v>
      </c>
      <c r="G8245" s="6" t="s">
        <v>2613</v>
      </c>
    </row>
    <row r="8246" customFormat="false" ht="15" hidden="false" customHeight="true" outlineLevel="0" collapsed="false">
      <c r="A8246" s="6" t="s">
        <v>10858</v>
      </c>
      <c r="B8246" s="6" t="s">
        <v>1743</v>
      </c>
      <c r="C8246" s="6" t="s">
        <v>120</v>
      </c>
      <c r="D8246" s="13" t="n">
        <v>46010</v>
      </c>
      <c r="E8246" s="14" t="n">
        <v>9648.22</v>
      </c>
      <c r="F8246" s="14" t="n">
        <v>31906.36</v>
      </c>
      <c r="G8246" s="6" t="s">
        <v>2613</v>
      </c>
    </row>
    <row r="8247" customFormat="false" ht="15" hidden="false" customHeight="true" outlineLevel="0" collapsed="false">
      <c r="A8247" s="6" t="s">
        <v>10859</v>
      </c>
      <c r="B8247" s="6" t="s">
        <v>1743</v>
      </c>
      <c r="C8247" s="6" t="s">
        <v>120</v>
      </c>
      <c r="D8247" s="13" t="n">
        <v>46017</v>
      </c>
      <c r="E8247" s="14" t="n">
        <v>8664.18</v>
      </c>
      <c r="F8247" s="14" t="n">
        <v>40570.54</v>
      </c>
      <c r="G8247" s="6" t="s">
        <v>2623</v>
      </c>
    </row>
    <row r="8248" customFormat="false" ht="15" hidden="false" customHeight="true" outlineLevel="0" collapsed="false">
      <c r="A8248" s="6" t="s">
        <v>10860</v>
      </c>
      <c r="B8248" s="6" t="s">
        <v>1743</v>
      </c>
      <c r="C8248" s="6" t="s">
        <v>120</v>
      </c>
      <c r="D8248" s="13" t="n">
        <v>46024</v>
      </c>
      <c r="E8248" s="14" t="n">
        <v>6921.13</v>
      </c>
      <c r="F8248" s="14" t="n">
        <v>47491.67</v>
      </c>
      <c r="G8248" s="6" t="s">
        <v>2613</v>
      </c>
    </row>
    <row r="8249" customFormat="false" ht="15" hidden="false" customHeight="true" outlineLevel="0" collapsed="false">
      <c r="A8249" s="6" t="s">
        <v>10861</v>
      </c>
      <c r="B8249" s="6" t="s">
        <v>1743</v>
      </c>
      <c r="C8249" s="6" t="s">
        <v>120</v>
      </c>
      <c r="D8249" s="13" t="n">
        <v>46031</v>
      </c>
      <c r="E8249" s="14" t="n">
        <v>8995.89</v>
      </c>
      <c r="F8249" s="14" t="n">
        <v>56487.56</v>
      </c>
      <c r="G8249" s="6" t="s">
        <v>2613</v>
      </c>
    </row>
    <row r="8250" customFormat="false" ht="15" hidden="false" customHeight="true" outlineLevel="0" collapsed="false">
      <c r="A8250" s="6" t="s">
        <v>10862</v>
      </c>
      <c r="B8250" s="6" t="s">
        <v>1743</v>
      </c>
      <c r="C8250" s="6" t="s">
        <v>120</v>
      </c>
      <c r="D8250" s="13" t="n">
        <v>46038</v>
      </c>
      <c r="E8250" s="14" t="n">
        <v>4729.38</v>
      </c>
      <c r="F8250" s="14" t="n">
        <v>61216.94</v>
      </c>
      <c r="G8250" s="6" t="s">
        <v>2613</v>
      </c>
    </row>
    <row r="8251" customFormat="false" ht="15" hidden="false" customHeight="true" outlineLevel="0" collapsed="false">
      <c r="A8251" s="6" t="s">
        <v>10863</v>
      </c>
      <c r="B8251" s="6" t="s">
        <v>1743</v>
      </c>
      <c r="C8251" s="6" t="s">
        <v>120</v>
      </c>
      <c r="D8251" s="13" t="n">
        <v>46045</v>
      </c>
      <c r="E8251" s="14" t="n">
        <v>8156.99</v>
      </c>
      <c r="F8251" s="14" t="n">
        <v>69373.93</v>
      </c>
      <c r="G8251" s="6" t="s">
        <v>2613</v>
      </c>
    </row>
    <row r="8252" customFormat="false" ht="15" hidden="false" customHeight="true" outlineLevel="0" collapsed="false">
      <c r="A8252" s="6" t="s">
        <v>10864</v>
      </c>
      <c r="B8252" s="6" t="s">
        <v>1743</v>
      </c>
      <c r="C8252" s="6" t="s">
        <v>120</v>
      </c>
      <c r="D8252" s="13" t="n">
        <v>46052</v>
      </c>
      <c r="E8252" s="14" t="n">
        <v>4509.32</v>
      </c>
      <c r="F8252" s="14" t="n">
        <v>73883.25</v>
      </c>
      <c r="G8252" s="6" t="s">
        <v>2613</v>
      </c>
    </row>
    <row r="8253" customFormat="false" ht="15" hidden="false" customHeight="true" outlineLevel="0" collapsed="false">
      <c r="A8253" s="6" t="s">
        <v>10865</v>
      </c>
      <c r="B8253" s="6" t="s">
        <v>1743</v>
      </c>
      <c r="C8253" s="6" t="s">
        <v>120</v>
      </c>
      <c r="D8253" s="13" t="n">
        <v>46059</v>
      </c>
      <c r="E8253" s="14" t="n">
        <v>4669.96</v>
      </c>
      <c r="F8253" s="14" t="n">
        <v>78553.21</v>
      </c>
      <c r="G8253" s="6" t="s">
        <v>2613</v>
      </c>
    </row>
    <row r="8254" customFormat="false" ht="15" hidden="false" customHeight="true" outlineLevel="0" collapsed="false">
      <c r="A8254" s="6" t="s">
        <v>10866</v>
      </c>
      <c r="B8254" s="6" t="s">
        <v>1745</v>
      </c>
      <c r="C8254" s="6" t="s">
        <v>124</v>
      </c>
      <c r="D8254" s="13" t="n">
        <v>44769</v>
      </c>
      <c r="E8254" s="14" t="n">
        <v>3478.25</v>
      </c>
      <c r="F8254" s="14" t="n">
        <v>3478.25</v>
      </c>
      <c r="G8254" s="6" t="s">
        <v>2613</v>
      </c>
    </row>
    <row r="8255" customFormat="false" ht="15" hidden="false" customHeight="true" outlineLevel="0" collapsed="false">
      <c r="A8255" s="6" t="s">
        <v>10867</v>
      </c>
      <c r="B8255" s="6" t="s">
        <v>1745</v>
      </c>
      <c r="C8255" s="6" t="s">
        <v>124</v>
      </c>
      <c r="D8255" s="13" t="n">
        <v>44776</v>
      </c>
      <c r="E8255" s="14" t="n">
        <v>5373.26</v>
      </c>
      <c r="F8255" s="14" t="n">
        <v>8851.51</v>
      </c>
      <c r="G8255" s="6" t="s">
        <v>2613</v>
      </c>
    </row>
    <row r="8256" customFormat="false" ht="15" hidden="false" customHeight="true" outlineLevel="0" collapsed="false">
      <c r="A8256" s="6" t="s">
        <v>10868</v>
      </c>
      <c r="B8256" s="6" t="s">
        <v>1745</v>
      </c>
      <c r="C8256" s="6" t="s">
        <v>124</v>
      </c>
      <c r="D8256" s="13" t="n">
        <v>44783</v>
      </c>
      <c r="E8256" s="14" t="n">
        <v>5722.29</v>
      </c>
      <c r="F8256" s="14" t="n">
        <v>14573.8</v>
      </c>
      <c r="G8256" s="6" t="s">
        <v>2613</v>
      </c>
    </row>
    <row r="8257" customFormat="false" ht="15" hidden="false" customHeight="true" outlineLevel="0" collapsed="false">
      <c r="A8257" s="6" t="s">
        <v>10869</v>
      </c>
      <c r="B8257" s="6" t="s">
        <v>1745</v>
      </c>
      <c r="C8257" s="6" t="s">
        <v>124</v>
      </c>
      <c r="D8257" s="13" t="n">
        <v>44790</v>
      </c>
      <c r="E8257" s="14" t="n">
        <v>6769.05</v>
      </c>
      <c r="F8257" s="14" t="n">
        <v>21342.85</v>
      </c>
      <c r="G8257" s="6" t="s">
        <v>2613</v>
      </c>
    </row>
    <row r="8258" customFormat="false" ht="15" hidden="false" customHeight="true" outlineLevel="0" collapsed="false">
      <c r="A8258" s="6" t="s">
        <v>10870</v>
      </c>
      <c r="B8258" s="6" t="s">
        <v>1745</v>
      </c>
      <c r="C8258" s="6" t="s">
        <v>124</v>
      </c>
      <c r="D8258" s="13" t="n">
        <v>44797</v>
      </c>
      <c r="E8258" s="14" t="n">
        <v>4659.3</v>
      </c>
      <c r="F8258" s="14" t="n">
        <v>26002.15</v>
      </c>
      <c r="G8258" s="6" t="s">
        <v>2613</v>
      </c>
    </row>
    <row r="8259" customFormat="false" ht="15" hidden="false" customHeight="true" outlineLevel="0" collapsed="false">
      <c r="A8259" s="6" t="s">
        <v>10871</v>
      </c>
      <c r="B8259" s="6" t="s">
        <v>1745</v>
      </c>
      <c r="C8259" s="6" t="s">
        <v>124</v>
      </c>
      <c r="D8259" s="13" t="n">
        <v>44804</v>
      </c>
      <c r="E8259" s="14" t="n">
        <v>7071.9</v>
      </c>
      <c r="F8259" s="14" t="n">
        <v>33074.05</v>
      </c>
      <c r="G8259" s="6" t="s">
        <v>2613</v>
      </c>
    </row>
    <row r="8260" customFormat="false" ht="15" hidden="false" customHeight="true" outlineLevel="0" collapsed="false">
      <c r="A8260" s="6" t="s">
        <v>10872</v>
      </c>
      <c r="B8260" s="6" t="s">
        <v>1745</v>
      </c>
      <c r="C8260" s="6" t="s">
        <v>124</v>
      </c>
      <c r="D8260" s="13" t="n">
        <v>44811</v>
      </c>
      <c r="E8260" s="14" t="n">
        <v>5003.15</v>
      </c>
      <c r="F8260" s="14" t="n">
        <v>38077.2</v>
      </c>
      <c r="G8260" s="6" t="s">
        <v>2613</v>
      </c>
    </row>
    <row r="8261" customFormat="false" ht="15" hidden="false" customHeight="true" outlineLevel="0" collapsed="false">
      <c r="A8261" s="6" t="s">
        <v>10873</v>
      </c>
      <c r="B8261" s="6" t="s">
        <v>1745</v>
      </c>
      <c r="C8261" s="6" t="s">
        <v>124</v>
      </c>
      <c r="D8261" s="13" t="n">
        <v>44818</v>
      </c>
      <c r="E8261" s="14" t="n">
        <v>6590.43</v>
      </c>
      <c r="F8261" s="14" t="n">
        <v>44667.63</v>
      </c>
      <c r="G8261" s="6" t="s">
        <v>2613</v>
      </c>
    </row>
    <row r="8262" customFormat="false" ht="15" hidden="false" customHeight="true" outlineLevel="0" collapsed="false">
      <c r="A8262" s="6" t="s">
        <v>10874</v>
      </c>
      <c r="B8262" s="6" t="s">
        <v>1745</v>
      </c>
      <c r="C8262" s="6" t="s">
        <v>124</v>
      </c>
      <c r="D8262" s="13" t="n">
        <v>44825</v>
      </c>
      <c r="E8262" s="14" t="n">
        <v>5878.63</v>
      </c>
      <c r="F8262" s="14" t="n">
        <v>50546.26</v>
      </c>
      <c r="G8262" s="6" t="s">
        <v>2613</v>
      </c>
    </row>
    <row r="8263" customFormat="false" ht="15" hidden="false" customHeight="true" outlineLevel="0" collapsed="false">
      <c r="A8263" s="6" t="s">
        <v>10875</v>
      </c>
      <c r="B8263" s="6" t="s">
        <v>1745</v>
      </c>
      <c r="C8263" s="6" t="s">
        <v>124</v>
      </c>
      <c r="D8263" s="13" t="n">
        <v>44832</v>
      </c>
      <c r="E8263" s="14" t="n">
        <v>3217.87</v>
      </c>
      <c r="F8263" s="14" t="n">
        <v>53764.13</v>
      </c>
      <c r="G8263" s="6" t="s">
        <v>2623</v>
      </c>
    </row>
    <row r="8264" customFormat="false" ht="15" hidden="false" customHeight="true" outlineLevel="0" collapsed="false">
      <c r="A8264" s="6" t="s">
        <v>10876</v>
      </c>
      <c r="B8264" s="6" t="s">
        <v>1745</v>
      </c>
      <c r="C8264" s="6" t="s">
        <v>124</v>
      </c>
      <c r="D8264" s="13" t="n">
        <v>44839</v>
      </c>
      <c r="E8264" s="14" t="n">
        <v>3552.05</v>
      </c>
      <c r="F8264" s="14" t="n">
        <v>57316.18</v>
      </c>
      <c r="G8264" s="6" t="s">
        <v>2613</v>
      </c>
    </row>
    <row r="8265" customFormat="false" ht="15" hidden="false" customHeight="true" outlineLevel="0" collapsed="false">
      <c r="A8265" s="6" t="s">
        <v>10877</v>
      </c>
      <c r="B8265" s="6" t="s">
        <v>1745</v>
      </c>
      <c r="C8265" s="6" t="s">
        <v>124</v>
      </c>
      <c r="D8265" s="13" t="n">
        <v>44846</v>
      </c>
      <c r="E8265" s="14" t="n">
        <v>3362.06</v>
      </c>
      <c r="F8265" s="14" t="n">
        <v>60678.24</v>
      </c>
      <c r="G8265" s="6" t="s">
        <v>2613</v>
      </c>
    </row>
    <row r="8266" customFormat="false" ht="15" hidden="false" customHeight="true" outlineLevel="0" collapsed="false">
      <c r="A8266" s="6" t="s">
        <v>10878</v>
      </c>
      <c r="B8266" s="6" t="s">
        <v>1747</v>
      </c>
      <c r="C8266" s="6" t="s">
        <v>112</v>
      </c>
      <c r="D8266" s="13" t="n">
        <v>45203</v>
      </c>
      <c r="E8266" s="14" t="n">
        <v>3725.65</v>
      </c>
      <c r="F8266" s="14" t="n">
        <v>3725.65</v>
      </c>
      <c r="G8266" s="6" t="s">
        <v>2613</v>
      </c>
    </row>
    <row r="8267" customFormat="false" ht="15" hidden="false" customHeight="true" outlineLevel="0" collapsed="false">
      <c r="A8267" s="6" t="s">
        <v>10879</v>
      </c>
      <c r="B8267" s="6" t="s">
        <v>1747</v>
      </c>
      <c r="C8267" s="6" t="s">
        <v>112</v>
      </c>
      <c r="D8267" s="13" t="n">
        <v>45210</v>
      </c>
      <c r="E8267" s="14" t="n">
        <v>2494.13</v>
      </c>
      <c r="F8267" s="14" t="n">
        <v>6219.78</v>
      </c>
      <c r="G8267" s="6" t="s">
        <v>2613</v>
      </c>
    </row>
    <row r="8268" customFormat="false" ht="15" hidden="false" customHeight="true" outlineLevel="0" collapsed="false">
      <c r="A8268" s="6" t="s">
        <v>10880</v>
      </c>
      <c r="B8268" s="6" t="s">
        <v>1747</v>
      </c>
      <c r="C8268" s="6" t="s">
        <v>112</v>
      </c>
      <c r="D8268" s="13" t="n">
        <v>45217</v>
      </c>
      <c r="E8268" s="14" t="n">
        <v>2105.13</v>
      </c>
      <c r="F8268" s="14" t="n">
        <v>8324.91</v>
      </c>
      <c r="G8268" s="6" t="s">
        <v>2613</v>
      </c>
    </row>
    <row r="8269" customFormat="false" ht="15" hidden="false" customHeight="true" outlineLevel="0" collapsed="false">
      <c r="A8269" s="6" t="s">
        <v>10881</v>
      </c>
      <c r="B8269" s="6" t="s">
        <v>1747</v>
      </c>
      <c r="C8269" s="6" t="s">
        <v>112</v>
      </c>
      <c r="D8269" s="13" t="n">
        <v>45224</v>
      </c>
      <c r="E8269" s="14" t="n">
        <v>3285.87</v>
      </c>
      <c r="F8269" s="14" t="n">
        <v>11610.78</v>
      </c>
      <c r="G8269" s="6" t="s">
        <v>2613</v>
      </c>
    </row>
    <row r="8270" customFormat="false" ht="15" hidden="false" customHeight="true" outlineLevel="0" collapsed="false">
      <c r="A8270" s="6" t="s">
        <v>10882</v>
      </c>
      <c r="B8270" s="6" t="s">
        <v>1747</v>
      </c>
      <c r="C8270" s="6" t="s">
        <v>112</v>
      </c>
      <c r="D8270" s="13" t="n">
        <v>45231</v>
      </c>
      <c r="E8270" s="14" t="n">
        <v>2572.81</v>
      </c>
      <c r="F8270" s="14" t="n">
        <v>14183.59</v>
      </c>
      <c r="G8270" s="6" t="s">
        <v>2613</v>
      </c>
    </row>
    <row r="8271" customFormat="false" ht="15" hidden="false" customHeight="true" outlineLevel="0" collapsed="false">
      <c r="A8271" s="6" t="s">
        <v>10883</v>
      </c>
      <c r="B8271" s="6" t="s">
        <v>1747</v>
      </c>
      <c r="C8271" s="6" t="s">
        <v>112</v>
      </c>
      <c r="D8271" s="13" t="n">
        <v>45238</v>
      </c>
      <c r="E8271" s="14" t="n">
        <v>1754.36</v>
      </c>
      <c r="F8271" s="14" t="n">
        <v>15937.95</v>
      </c>
      <c r="G8271" s="6" t="s">
        <v>2613</v>
      </c>
    </row>
    <row r="8272" customFormat="false" ht="15" hidden="false" customHeight="true" outlineLevel="0" collapsed="false">
      <c r="A8272" s="6" t="s">
        <v>10884</v>
      </c>
      <c r="B8272" s="6" t="s">
        <v>1747</v>
      </c>
      <c r="C8272" s="6" t="s">
        <v>112</v>
      </c>
      <c r="D8272" s="13" t="n">
        <v>45245</v>
      </c>
      <c r="E8272" s="14" t="n">
        <v>2742.36</v>
      </c>
      <c r="F8272" s="14" t="n">
        <v>18680.31</v>
      </c>
      <c r="G8272" s="6" t="s">
        <v>2623</v>
      </c>
    </row>
    <row r="8273" customFormat="false" ht="15" hidden="false" customHeight="true" outlineLevel="0" collapsed="false">
      <c r="A8273" s="6" t="s">
        <v>10885</v>
      </c>
      <c r="B8273" s="6" t="s">
        <v>1747</v>
      </c>
      <c r="C8273" s="6" t="s">
        <v>112</v>
      </c>
      <c r="D8273" s="13" t="n">
        <v>45252</v>
      </c>
      <c r="E8273" s="14" t="n">
        <v>2910.38</v>
      </c>
      <c r="F8273" s="14" t="n">
        <v>21590.69</v>
      </c>
      <c r="G8273" s="6" t="s">
        <v>2613</v>
      </c>
    </row>
    <row r="8274" customFormat="false" ht="15" hidden="false" customHeight="true" outlineLevel="0" collapsed="false">
      <c r="A8274" s="6" t="s">
        <v>10886</v>
      </c>
      <c r="B8274" s="6" t="s">
        <v>1749</v>
      </c>
      <c r="C8274" s="6" t="s">
        <v>131</v>
      </c>
      <c r="D8274" s="13" t="n">
        <v>45367</v>
      </c>
      <c r="E8274" s="14" t="n">
        <v>10477.26</v>
      </c>
      <c r="F8274" s="14" t="n">
        <v>10477.26</v>
      </c>
      <c r="G8274" s="6" t="s">
        <v>2613</v>
      </c>
    </row>
    <row r="8275" customFormat="false" ht="15" hidden="false" customHeight="true" outlineLevel="0" collapsed="false">
      <c r="A8275" s="6" t="s">
        <v>10887</v>
      </c>
      <c r="B8275" s="6" t="s">
        <v>1749</v>
      </c>
      <c r="C8275" s="6" t="s">
        <v>131</v>
      </c>
      <c r="D8275" s="13" t="n">
        <v>45374</v>
      </c>
      <c r="E8275" s="14" t="n">
        <v>10320.95</v>
      </c>
      <c r="F8275" s="14" t="n">
        <v>20798.21</v>
      </c>
      <c r="G8275" s="6" t="s">
        <v>2613</v>
      </c>
    </row>
    <row r="8276" customFormat="false" ht="15" hidden="false" customHeight="true" outlineLevel="0" collapsed="false">
      <c r="A8276" s="6" t="s">
        <v>10888</v>
      </c>
      <c r="B8276" s="6" t="s">
        <v>1749</v>
      </c>
      <c r="C8276" s="6" t="s">
        <v>131</v>
      </c>
      <c r="D8276" s="13" t="n">
        <v>45381</v>
      </c>
      <c r="E8276" s="14" t="n">
        <v>5998.95</v>
      </c>
      <c r="F8276" s="14" t="n">
        <v>26797.16</v>
      </c>
      <c r="G8276" s="6" t="s">
        <v>2613</v>
      </c>
    </row>
    <row r="8277" customFormat="false" ht="15" hidden="false" customHeight="true" outlineLevel="0" collapsed="false">
      <c r="A8277" s="6" t="s">
        <v>10889</v>
      </c>
      <c r="B8277" s="6" t="s">
        <v>1749</v>
      </c>
      <c r="C8277" s="6" t="s">
        <v>131</v>
      </c>
      <c r="D8277" s="13" t="n">
        <v>45388</v>
      </c>
      <c r="E8277" s="14" t="n">
        <v>9477.54</v>
      </c>
      <c r="F8277" s="14" t="n">
        <v>36274.7</v>
      </c>
      <c r="G8277" s="6" t="s">
        <v>2613</v>
      </c>
    </row>
    <row r="8278" customFormat="false" ht="15" hidden="false" customHeight="true" outlineLevel="0" collapsed="false">
      <c r="A8278" s="6" t="s">
        <v>10890</v>
      </c>
      <c r="B8278" s="6" t="s">
        <v>1749</v>
      </c>
      <c r="C8278" s="6" t="s">
        <v>131</v>
      </c>
      <c r="D8278" s="13" t="n">
        <v>45395</v>
      </c>
      <c r="E8278" s="14" t="n">
        <v>8856.33</v>
      </c>
      <c r="F8278" s="14" t="n">
        <v>45131.03</v>
      </c>
      <c r="G8278" s="6" t="s">
        <v>2613</v>
      </c>
    </row>
    <row r="8279" customFormat="false" ht="15" hidden="false" customHeight="true" outlineLevel="0" collapsed="false">
      <c r="A8279" s="6" t="s">
        <v>10891</v>
      </c>
      <c r="B8279" s="6" t="s">
        <v>1749</v>
      </c>
      <c r="C8279" s="6" t="s">
        <v>131</v>
      </c>
      <c r="D8279" s="13" t="n">
        <v>45402</v>
      </c>
      <c r="E8279" s="14" t="n">
        <v>5416.88</v>
      </c>
      <c r="F8279" s="14" t="n">
        <v>50547.91</v>
      </c>
      <c r="G8279" s="6" t="s">
        <v>2613</v>
      </c>
    </row>
    <row r="8280" customFormat="false" ht="15" hidden="false" customHeight="true" outlineLevel="0" collapsed="false">
      <c r="A8280" s="6" t="s">
        <v>10892</v>
      </c>
      <c r="B8280" s="6" t="s">
        <v>1749</v>
      </c>
      <c r="C8280" s="6" t="s">
        <v>131</v>
      </c>
      <c r="D8280" s="13" t="n">
        <v>45409</v>
      </c>
      <c r="E8280" s="14" t="n">
        <v>9196.87</v>
      </c>
      <c r="F8280" s="14" t="n">
        <v>59744.78</v>
      </c>
      <c r="G8280" s="6" t="s">
        <v>2613</v>
      </c>
    </row>
    <row r="8281" customFormat="false" ht="15" hidden="false" customHeight="true" outlineLevel="0" collapsed="false">
      <c r="A8281" s="6" t="s">
        <v>10893</v>
      </c>
      <c r="B8281" s="6" t="s">
        <v>1749</v>
      </c>
      <c r="C8281" s="6" t="s">
        <v>131</v>
      </c>
      <c r="D8281" s="13" t="n">
        <v>45416</v>
      </c>
      <c r="E8281" s="14" t="n">
        <v>10262.56</v>
      </c>
      <c r="F8281" s="14" t="n">
        <v>70007.34</v>
      </c>
      <c r="G8281" s="6" t="s">
        <v>2613</v>
      </c>
    </row>
    <row r="8282" customFormat="false" ht="15" hidden="false" customHeight="true" outlineLevel="0" collapsed="false">
      <c r="A8282" s="6" t="s">
        <v>10894</v>
      </c>
      <c r="B8282" s="6" t="s">
        <v>1749</v>
      </c>
      <c r="C8282" s="6" t="s">
        <v>131</v>
      </c>
      <c r="D8282" s="13" t="n">
        <v>45423</v>
      </c>
      <c r="E8282" s="14" t="n">
        <v>5945.26</v>
      </c>
      <c r="F8282" s="14" t="n">
        <v>75952.6</v>
      </c>
      <c r="G8282" s="6" t="s">
        <v>2613</v>
      </c>
    </row>
    <row r="8283" customFormat="false" ht="15" hidden="false" customHeight="true" outlineLevel="0" collapsed="false">
      <c r="A8283" s="6" t="s">
        <v>10895</v>
      </c>
      <c r="B8283" s="6" t="s">
        <v>1751</v>
      </c>
      <c r="C8283" s="6" t="s">
        <v>116</v>
      </c>
      <c r="D8283" s="13" t="n">
        <v>45883</v>
      </c>
      <c r="E8283" s="14" t="n">
        <v>1620.32</v>
      </c>
      <c r="F8283" s="14" t="n">
        <v>1620.32</v>
      </c>
      <c r="G8283" s="6" t="s">
        <v>2613</v>
      </c>
    </row>
    <row r="8284" customFormat="false" ht="15" hidden="false" customHeight="true" outlineLevel="0" collapsed="false">
      <c r="A8284" s="6" t="s">
        <v>10896</v>
      </c>
      <c r="B8284" s="6" t="s">
        <v>1751</v>
      </c>
      <c r="C8284" s="6" t="s">
        <v>116</v>
      </c>
      <c r="D8284" s="13" t="n">
        <v>45890</v>
      </c>
      <c r="E8284" s="14" t="n">
        <v>2473.07</v>
      </c>
      <c r="F8284" s="14" t="n">
        <v>4093.39</v>
      </c>
      <c r="G8284" s="6" t="s">
        <v>2613</v>
      </c>
    </row>
    <row r="8285" customFormat="false" ht="15" hidden="false" customHeight="true" outlineLevel="0" collapsed="false">
      <c r="A8285" s="6" t="s">
        <v>10897</v>
      </c>
      <c r="B8285" s="6" t="s">
        <v>1751</v>
      </c>
      <c r="C8285" s="6" t="s">
        <v>116</v>
      </c>
      <c r="D8285" s="13" t="n">
        <v>45897</v>
      </c>
      <c r="E8285" s="14" t="n">
        <v>3120.03</v>
      </c>
      <c r="F8285" s="14" t="n">
        <v>7213.42</v>
      </c>
      <c r="G8285" s="6" t="s">
        <v>2613</v>
      </c>
    </row>
    <row r="8286" customFormat="false" ht="15" hidden="false" customHeight="true" outlineLevel="0" collapsed="false">
      <c r="A8286" s="6" t="s">
        <v>10898</v>
      </c>
      <c r="B8286" s="6" t="s">
        <v>1751</v>
      </c>
      <c r="C8286" s="6" t="s">
        <v>116</v>
      </c>
      <c r="D8286" s="13" t="n">
        <v>45904</v>
      </c>
      <c r="E8286" s="14" t="n">
        <v>2170.98</v>
      </c>
      <c r="F8286" s="14" t="n">
        <v>9384.4</v>
      </c>
      <c r="G8286" s="6" t="s">
        <v>2613</v>
      </c>
    </row>
    <row r="8287" customFormat="false" ht="15" hidden="false" customHeight="true" outlineLevel="0" collapsed="false">
      <c r="A8287" s="6" t="s">
        <v>10899</v>
      </c>
      <c r="B8287" s="6" t="s">
        <v>1751</v>
      </c>
      <c r="C8287" s="6" t="s">
        <v>116</v>
      </c>
      <c r="D8287" s="13" t="n">
        <v>45911</v>
      </c>
      <c r="E8287" s="14" t="n">
        <v>2491.9</v>
      </c>
      <c r="F8287" s="14" t="n">
        <v>11876.3</v>
      </c>
      <c r="G8287" s="6" t="s">
        <v>2613</v>
      </c>
    </row>
    <row r="8288" customFormat="false" ht="15" hidden="false" customHeight="true" outlineLevel="0" collapsed="false">
      <c r="A8288" s="6" t="s">
        <v>10900</v>
      </c>
      <c r="B8288" s="6" t="s">
        <v>1751</v>
      </c>
      <c r="C8288" s="6" t="s">
        <v>116</v>
      </c>
      <c r="D8288" s="13" t="n">
        <v>45918</v>
      </c>
      <c r="E8288" s="14" t="n">
        <v>2027.87</v>
      </c>
      <c r="F8288" s="14" t="n">
        <v>13904.17</v>
      </c>
      <c r="G8288" s="6" t="s">
        <v>2613</v>
      </c>
    </row>
    <row r="8289" customFormat="false" ht="15" hidden="false" customHeight="true" outlineLevel="0" collapsed="false">
      <c r="A8289" s="6" t="s">
        <v>10901</v>
      </c>
      <c r="B8289" s="6" t="s">
        <v>1751</v>
      </c>
      <c r="C8289" s="6" t="s">
        <v>116</v>
      </c>
      <c r="D8289" s="13" t="n">
        <v>45925</v>
      </c>
      <c r="E8289" s="14" t="n">
        <v>2032.35</v>
      </c>
      <c r="F8289" s="14" t="n">
        <v>15936.52</v>
      </c>
      <c r="G8289" s="6" t="s">
        <v>2613</v>
      </c>
    </row>
    <row r="8290" customFormat="false" ht="15" hidden="false" customHeight="true" outlineLevel="0" collapsed="false">
      <c r="A8290" s="6" t="s">
        <v>10902</v>
      </c>
      <c r="B8290" s="6" t="s">
        <v>1751</v>
      </c>
      <c r="C8290" s="6" t="s">
        <v>116</v>
      </c>
      <c r="D8290" s="13" t="n">
        <v>45932</v>
      </c>
      <c r="E8290" s="14" t="n">
        <v>1861.39</v>
      </c>
      <c r="F8290" s="14" t="n">
        <v>17797.91</v>
      </c>
      <c r="G8290" s="6" t="s">
        <v>2613</v>
      </c>
    </row>
    <row r="8291" customFormat="false" ht="15" hidden="false" customHeight="true" outlineLevel="0" collapsed="false">
      <c r="A8291" s="6" t="s">
        <v>10903</v>
      </c>
      <c r="B8291" s="6" t="s">
        <v>1751</v>
      </c>
      <c r="C8291" s="6" t="s">
        <v>116</v>
      </c>
      <c r="D8291" s="13" t="n">
        <v>45939</v>
      </c>
      <c r="E8291" s="14" t="n">
        <v>2529.53</v>
      </c>
      <c r="F8291" s="14" t="n">
        <v>20327.44</v>
      </c>
      <c r="G8291" s="6" t="s">
        <v>2613</v>
      </c>
    </row>
    <row r="8292" customFormat="false" ht="15" hidden="false" customHeight="true" outlineLevel="0" collapsed="false">
      <c r="A8292" s="6" t="s">
        <v>10904</v>
      </c>
      <c r="B8292" s="6" t="s">
        <v>1753</v>
      </c>
      <c r="C8292" s="6" t="s">
        <v>112</v>
      </c>
      <c r="D8292" s="13" t="n">
        <v>45886</v>
      </c>
      <c r="E8292" s="14" t="n">
        <v>1793.53</v>
      </c>
      <c r="F8292" s="14" t="n">
        <v>1793.53</v>
      </c>
      <c r="G8292" s="6" t="s">
        <v>2613</v>
      </c>
    </row>
    <row r="8293" customFormat="false" ht="15" hidden="false" customHeight="true" outlineLevel="0" collapsed="false">
      <c r="A8293" s="6" t="s">
        <v>10905</v>
      </c>
      <c r="B8293" s="6" t="s">
        <v>1753</v>
      </c>
      <c r="C8293" s="6" t="s">
        <v>112</v>
      </c>
      <c r="D8293" s="13" t="n">
        <v>45893</v>
      </c>
      <c r="E8293" s="14" t="n">
        <v>2732.41</v>
      </c>
      <c r="F8293" s="14" t="n">
        <v>4525.94</v>
      </c>
      <c r="G8293" s="6" t="s">
        <v>2613</v>
      </c>
    </row>
    <row r="8294" customFormat="false" ht="15" hidden="false" customHeight="true" outlineLevel="0" collapsed="false">
      <c r="A8294" s="6" t="s">
        <v>10906</v>
      </c>
      <c r="B8294" s="6" t="s">
        <v>1753</v>
      </c>
      <c r="C8294" s="6" t="s">
        <v>112</v>
      </c>
      <c r="D8294" s="13" t="n">
        <v>45900</v>
      </c>
      <c r="E8294" s="14" t="n">
        <v>2840.14</v>
      </c>
      <c r="F8294" s="14" t="n">
        <v>7366.08</v>
      </c>
      <c r="G8294" s="6" t="s">
        <v>2613</v>
      </c>
    </row>
    <row r="8295" customFormat="false" ht="15" hidden="false" customHeight="true" outlineLevel="0" collapsed="false">
      <c r="A8295" s="6" t="s">
        <v>10907</v>
      </c>
      <c r="B8295" s="6" t="s">
        <v>1753</v>
      </c>
      <c r="C8295" s="6" t="s">
        <v>112</v>
      </c>
      <c r="D8295" s="13" t="n">
        <v>45907</v>
      </c>
      <c r="E8295" s="14" t="n">
        <v>3058.18</v>
      </c>
      <c r="F8295" s="14" t="n">
        <v>10424.26</v>
      </c>
      <c r="G8295" s="6" t="s">
        <v>2613</v>
      </c>
    </row>
    <row r="8296" customFormat="false" ht="15" hidden="false" customHeight="true" outlineLevel="0" collapsed="false">
      <c r="A8296" s="6" t="s">
        <v>10908</v>
      </c>
      <c r="B8296" s="6" t="s">
        <v>1753</v>
      </c>
      <c r="C8296" s="6" t="s">
        <v>112</v>
      </c>
      <c r="D8296" s="13" t="n">
        <v>45914</v>
      </c>
      <c r="E8296" s="14" t="n">
        <v>3134.81</v>
      </c>
      <c r="F8296" s="14" t="n">
        <v>13559.07</v>
      </c>
      <c r="G8296" s="6" t="s">
        <v>2613</v>
      </c>
    </row>
    <row r="8297" customFormat="false" ht="15" hidden="false" customHeight="true" outlineLevel="0" collapsed="false">
      <c r="A8297" s="6" t="s">
        <v>10909</v>
      </c>
      <c r="B8297" s="6" t="s">
        <v>1753</v>
      </c>
      <c r="C8297" s="6" t="s">
        <v>112</v>
      </c>
      <c r="D8297" s="13" t="n">
        <v>45921</v>
      </c>
      <c r="E8297" s="14" t="n">
        <v>2636.8</v>
      </c>
      <c r="F8297" s="14" t="n">
        <v>16195.87</v>
      </c>
      <c r="G8297" s="6" t="s">
        <v>2613</v>
      </c>
    </row>
    <row r="8298" customFormat="false" ht="15" hidden="false" customHeight="true" outlineLevel="0" collapsed="false">
      <c r="A8298" s="6" t="s">
        <v>10910</v>
      </c>
      <c r="B8298" s="6" t="s">
        <v>1753</v>
      </c>
      <c r="C8298" s="6" t="s">
        <v>112</v>
      </c>
      <c r="D8298" s="13" t="n">
        <v>45928</v>
      </c>
      <c r="E8298" s="14" t="n">
        <v>43.32</v>
      </c>
      <c r="F8298" s="14" t="n">
        <v>16239.19</v>
      </c>
      <c r="G8298" s="6" t="s">
        <v>2613</v>
      </c>
    </row>
    <row r="8299" customFormat="false" ht="15" hidden="false" customHeight="true" outlineLevel="0" collapsed="false">
      <c r="A8299" s="6" t="s">
        <v>10911</v>
      </c>
      <c r="B8299" s="6" t="s">
        <v>1755</v>
      </c>
      <c r="C8299" s="6" t="s">
        <v>120</v>
      </c>
      <c r="D8299" s="13" t="n">
        <v>44592</v>
      </c>
      <c r="E8299" s="14" t="n">
        <v>1430.2</v>
      </c>
      <c r="F8299" s="14" t="n">
        <v>1430.2</v>
      </c>
      <c r="G8299" s="6" t="s">
        <v>2613</v>
      </c>
    </row>
    <row r="8300" customFormat="false" ht="15" hidden="false" customHeight="true" outlineLevel="0" collapsed="false">
      <c r="A8300" s="6" t="s">
        <v>10912</v>
      </c>
      <c r="B8300" s="6" t="s">
        <v>1755</v>
      </c>
      <c r="C8300" s="6" t="s">
        <v>120</v>
      </c>
      <c r="D8300" s="13" t="n">
        <v>44599</v>
      </c>
      <c r="E8300" s="14" t="n">
        <v>914.33</v>
      </c>
      <c r="F8300" s="14" t="n">
        <v>2344.53</v>
      </c>
      <c r="G8300" s="6" t="s">
        <v>2613</v>
      </c>
    </row>
    <row r="8301" customFormat="false" ht="15" hidden="false" customHeight="true" outlineLevel="0" collapsed="false">
      <c r="A8301" s="6" t="s">
        <v>10913</v>
      </c>
      <c r="B8301" s="6" t="s">
        <v>1755</v>
      </c>
      <c r="C8301" s="6" t="s">
        <v>120</v>
      </c>
      <c r="D8301" s="13" t="n">
        <v>44606</v>
      </c>
      <c r="E8301" s="14" t="n">
        <v>699.28</v>
      </c>
      <c r="F8301" s="14" t="n">
        <v>3043.81</v>
      </c>
      <c r="G8301" s="6" t="s">
        <v>2613</v>
      </c>
    </row>
    <row r="8302" customFormat="false" ht="15" hidden="false" customHeight="true" outlineLevel="0" collapsed="false">
      <c r="A8302" s="6" t="s">
        <v>10914</v>
      </c>
      <c r="B8302" s="6" t="s">
        <v>1755</v>
      </c>
      <c r="C8302" s="6" t="s">
        <v>120</v>
      </c>
      <c r="D8302" s="13" t="n">
        <v>44613</v>
      </c>
      <c r="E8302" s="14" t="n">
        <v>1529.38</v>
      </c>
      <c r="F8302" s="14" t="n">
        <v>4573.19</v>
      </c>
      <c r="G8302" s="6" t="s">
        <v>2613</v>
      </c>
    </row>
    <row r="8303" customFormat="false" ht="15" hidden="false" customHeight="true" outlineLevel="0" collapsed="false">
      <c r="A8303" s="6" t="s">
        <v>10915</v>
      </c>
      <c r="B8303" s="6" t="s">
        <v>1755</v>
      </c>
      <c r="C8303" s="6" t="s">
        <v>120</v>
      </c>
      <c r="D8303" s="13" t="n">
        <v>44620</v>
      </c>
      <c r="E8303" s="14" t="n">
        <v>1083.04</v>
      </c>
      <c r="F8303" s="14" t="n">
        <v>5656.23</v>
      </c>
      <c r="G8303" s="6" t="s">
        <v>2613</v>
      </c>
    </row>
    <row r="8304" customFormat="false" ht="15" hidden="false" customHeight="true" outlineLevel="0" collapsed="false">
      <c r="A8304" s="6" t="s">
        <v>10916</v>
      </c>
      <c r="B8304" s="6" t="s">
        <v>1755</v>
      </c>
      <c r="C8304" s="6" t="s">
        <v>120</v>
      </c>
      <c r="D8304" s="13" t="n">
        <v>44627</v>
      </c>
      <c r="E8304" s="14" t="n">
        <v>1135.99</v>
      </c>
      <c r="F8304" s="14" t="n">
        <v>6792.22</v>
      </c>
      <c r="G8304" s="6" t="s">
        <v>2613</v>
      </c>
    </row>
    <row r="8305" customFormat="false" ht="15" hidden="false" customHeight="true" outlineLevel="0" collapsed="false">
      <c r="A8305" s="6" t="s">
        <v>10917</v>
      </c>
      <c r="B8305" s="6" t="s">
        <v>1755</v>
      </c>
      <c r="C8305" s="6" t="s">
        <v>120</v>
      </c>
      <c r="D8305" s="13" t="n">
        <v>44634</v>
      </c>
      <c r="E8305" s="14" t="n">
        <v>989.98</v>
      </c>
      <c r="F8305" s="14" t="n">
        <v>7782.2</v>
      </c>
      <c r="G8305" s="6" t="s">
        <v>2613</v>
      </c>
    </row>
    <row r="8306" customFormat="false" ht="15" hidden="false" customHeight="true" outlineLevel="0" collapsed="false">
      <c r="A8306" s="6" t="s">
        <v>10918</v>
      </c>
      <c r="B8306" s="6" t="s">
        <v>1755</v>
      </c>
      <c r="C8306" s="6" t="s">
        <v>120</v>
      </c>
      <c r="D8306" s="13" t="n">
        <v>44641</v>
      </c>
      <c r="E8306" s="14" t="n">
        <v>1000.36</v>
      </c>
      <c r="F8306" s="14" t="n">
        <v>8782.56</v>
      </c>
      <c r="G8306" s="6" t="s">
        <v>2613</v>
      </c>
    </row>
    <row r="8307" customFormat="false" ht="15" hidden="false" customHeight="true" outlineLevel="0" collapsed="false">
      <c r="A8307" s="6" t="s">
        <v>10919</v>
      </c>
      <c r="B8307" s="6" t="s">
        <v>1757</v>
      </c>
      <c r="C8307" s="6" t="s">
        <v>124</v>
      </c>
      <c r="D8307" s="13" t="n">
        <v>45377</v>
      </c>
      <c r="E8307" s="14" t="n">
        <v>4342.2</v>
      </c>
      <c r="F8307" s="14" t="n">
        <v>4342.2</v>
      </c>
      <c r="G8307" s="6" t="s">
        <v>2613</v>
      </c>
    </row>
    <row r="8308" customFormat="false" ht="15" hidden="false" customHeight="true" outlineLevel="0" collapsed="false">
      <c r="A8308" s="6" t="s">
        <v>10920</v>
      </c>
      <c r="B8308" s="6" t="s">
        <v>1757</v>
      </c>
      <c r="C8308" s="6" t="s">
        <v>124</v>
      </c>
      <c r="D8308" s="13" t="n">
        <v>45384</v>
      </c>
      <c r="E8308" s="14" t="n">
        <v>6741.54</v>
      </c>
      <c r="F8308" s="14" t="n">
        <v>11083.74</v>
      </c>
      <c r="G8308" s="6" t="s">
        <v>2623</v>
      </c>
    </row>
    <row r="8309" customFormat="false" ht="15" hidden="false" customHeight="true" outlineLevel="0" collapsed="false">
      <c r="A8309" s="6" t="s">
        <v>10921</v>
      </c>
      <c r="B8309" s="6" t="s">
        <v>1757</v>
      </c>
      <c r="C8309" s="6" t="s">
        <v>124</v>
      </c>
      <c r="D8309" s="13" t="n">
        <v>45391</v>
      </c>
      <c r="E8309" s="14" t="n">
        <v>8328.52</v>
      </c>
      <c r="F8309" s="14" t="n">
        <v>19412.26</v>
      </c>
      <c r="G8309" s="6" t="s">
        <v>2613</v>
      </c>
    </row>
    <row r="8310" customFormat="false" ht="15" hidden="false" customHeight="true" outlineLevel="0" collapsed="false">
      <c r="A8310" s="6" t="s">
        <v>10922</v>
      </c>
      <c r="B8310" s="6" t="s">
        <v>1757</v>
      </c>
      <c r="C8310" s="6" t="s">
        <v>124</v>
      </c>
      <c r="D8310" s="13" t="n">
        <v>45398</v>
      </c>
      <c r="E8310" s="14" t="n">
        <v>5788.68</v>
      </c>
      <c r="F8310" s="14" t="n">
        <v>25200.94</v>
      </c>
      <c r="G8310" s="6" t="s">
        <v>2613</v>
      </c>
    </row>
    <row r="8311" customFormat="false" ht="15" hidden="false" customHeight="true" outlineLevel="0" collapsed="false">
      <c r="A8311" s="6" t="s">
        <v>10923</v>
      </c>
      <c r="B8311" s="6" t="s">
        <v>1757</v>
      </c>
      <c r="C8311" s="6" t="s">
        <v>124</v>
      </c>
      <c r="D8311" s="13" t="n">
        <v>45405</v>
      </c>
      <c r="E8311" s="14" t="n">
        <v>5490.28</v>
      </c>
      <c r="F8311" s="14" t="n">
        <v>30691.22</v>
      </c>
      <c r="G8311" s="6" t="s">
        <v>2613</v>
      </c>
    </row>
    <row r="8312" customFormat="false" ht="15" hidden="false" customHeight="true" outlineLevel="0" collapsed="false">
      <c r="A8312" s="6" t="s">
        <v>10924</v>
      </c>
      <c r="B8312" s="6" t="s">
        <v>1757</v>
      </c>
      <c r="C8312" s="6" t="s">
        <v>124</v>
      </c>
      <c r="D8312" s="13" t="n">
        <v>45412</v>
      </c>
      <c r="E8312" s="14" t="n">
        <v>7488.54</v>
      </c>
      <c r="F8312" s="14" t="n">
        <v>38179.76</v>
      </c>
      <c r="G8312" s="6" t="s">
        <v>2613</v>
      </c>
    </row>
    <row r="8313" customFormat="false" ht="15" hidden="false" customHeight="true" outlineLevel="0" collapsed="false">
      <c r="A8313" s="6" t="s">
        <v>10925</v>
      </c>
      <c r="B8313" s="6" t="s">
        <v>1759</v>
      </c>
      <c r="C8313" s="6" t="s">
        <v>124</v>
      </c>
      <c r="D8313" s="13" t="n">
        <v>45734</v>
      </c>
      <c r="E8313" s="14" t="n">
        <v>3122.53</v>
      </c>
      <c r="F8313" s="14" t="n">
        <v>3122.53</v>
      </c>
      <c r="G8313" s="6" t="s">
        <v>2613</v>
      </c>
    </row>
    <row r="8314" customFormat="false" ht="15" hidden="false" customHeight="true" outlineLevel="0" collapsed="false">
      <c r="A8314" s="6" t="s">
        <v>10926</v>
      </c>
      <c r="B8314" s="6" t="s">
        <v>1759</v>
      </c>
      <c r="C8314" s="6" t="s">
        <v>124</v>
      </c>
      <c r="D8314" s="13" t="n">
        <v>45741</v>
      </c>
      <c r="E8314" s="14" t="n">
        <v>1637.5</v>
      </c>
      <c r="F8314" s="14" t="n">
        <v>4760.03</v>
      </c>
      <c r="G8314" s="6" t="s">
        <v>2613</v>
      </c>
    </row>
    <row r="8315" customFormat="false" ht="15" hidden="false" customHeight="true" outlineLevel="0" collapsed="false">
      <c r="A8315" s="6" t="s">
        <v>10927</v>
      </c>
      <c r="B8315" s="6" t="s">
        <v>1759</v>
      </c>
      <c r="C8315" s="6" t="s">
        <v>124</v>
      </c>
      <c r="D8315" s="13" t="n">
        <v>45748</v>
      </c>
      <c r="E8315" s="14" t="n">
        <v>2323.83</v>
      </c>
      <c r="F8315" s="14" t="n">
        <v>7083.86</v>
      </c>
      <c r="G8315" s="6" t="s">
        <v>2613</v>
      </c>
    </row>
    <row r="8316" customFormat="false" ht="15" hidden="false" customHeight="true" outlineLevel="0" collapsed="false">
      <c r="A8316" s="6" t="s">
        <v>10928</v>
      </c>
      <c r="B8316" s="6" t="s">
        <v>1759</v>
      </c>
      <c r="C8316" s="6" t="s">
        <v>124</v>
      </c>
      <c r="D8316" s="13" t="n">
        <v>45755</v>
      </c>
      <c r="E8316" s="14" t="n">
        <v>1849.35</v>
      </c>
      <c r="F8316" s="14" t="n">
        <v>8933.21</v>
      </c>
      <c r="G8316" s="6" t="s">
        <v>2613</v>
      </c>
    </row>
    <row r="8317" customFormat="false" ht="15" hidden="false" customHeight="true" outlineLevel="0" collapsed="false">
      <c r="A8317" s="6" t="s">
        <v>10929</v>
      </c>
      <c r="B8317" s="6" t="s">
        <v>1759</v>
      </c>
      <c r="C8317" s="6" t="s">
        <v>124</v>
      </c>
      <c r="D8317" s="13" t="n">
        <v>45762</v>
      </c>
      <c r="E8317" s="14" t="n">
        <v>2568.42</v>
      </c>
      <c r="F8317" s="14" t="n">
        <v>11501.63</v>
      </c>
      <c r="G8317" s="6" t="s">
        <v>2623</v>
      </c>
    </row>
    <row r="8318" customFormat="false" ht="15" hidden="false" customHeight="true" outlineLevel="0" collapsed="false">
      <c r="A8318" s="6" t="s">
        <v>10930</v>
      </c>
      <c r="B8318" s="6" t="s">
        <v>1759</v>
      </c>
      <c r="C8318" s="6" t="s">
        <v>124</v>
      </c>
      <c r="D8318" s="13" t="n">
        <v>45769</v>
      </c>
      <c r="E8318" s="14" t="n">
        <v>2785.94</v>
      </c>
      <c r="F8318" s="14" t="n">
        <v>14287.57</v>
      </c>
      <c r="G8318" s="6" t="s">
        <v>2613</v>
      </c>
    </row>
    <row r="8319" customFormat="false" ht="15" hidden="false" customHeight="true" outlineLevel="0" collapsed="false">
      <c r="A8319" s="6" t="s">
        <v>10931</v>
      </c>
      <c r="B8319" s="6" t="s">
        <v>1759</v>
      </c>
      <c r="C8319" s="6" t="s">
        <v>124</v>
      </c>
      <c r="D8319" s="13" t="n">
        <v>45776</v>
      </c>
      <c r="E8319" s="14" t="n">
        <v>2403.98</v>
      </c>
      <c r="F8319" s="14" t="n">
        <v>16691.55</v>
      </c>
      <c r="G8319" s="6" t="s">
        <v>2613</v>
      </c>
    </row>
    <row r="8320" customFormat="false" ht="15" hidden="false" customHeight="true" outlineLevel="0" collapsed="false">
      <c r="A8320" s="6" t="s">
        <v>10932</v>
      </c>
      <c r="B8320" s="6" t="s">
        <v>1759</v>
      </c>
      <c r="C8320" s="6" t="s">
        <v>124</v>
      </c>
      <c r="D8320" s="13" t="n">
        <v>45783</v>
      </c>
      <c r="E8320" s="14" t="n">
        <v>2006.23</v>
      </c>
      <c r="F8320" s="14" t="n">
        <v>18697.78</v>
      </c>
      <c r="G8320" s="6" t="s">
        <v>2613</v>
      </c>
    </row>
    <row r="8321" customFormat="false" ht="15" hidden="false" customHeight="true" outlineLevel="0" collapsed="false">
      <c r="A8321" s="6" t="s">
        <v>10933</v>
      </c>
      <c r="B8321" s="6" t="s">
        <v>1759</v>
      </c>
      <c r="C8321" s="6" t="s">
        <v>124</v>
      </c>
      <c r="D8321" s="13" t="n">
        <v>45790</v>
      </c>
      <c r="E8321" s="14" t="n">
        <v>1908.62</v>
      </c>
      <c r="F8321" s="14" t="n">
        <v>20606.4</v>
      </c>
      <c r="G8321" s="6" t="s">
        <v>2613</v>
      </c>
    </row>
    <row r="8322" customFormat="false" ht="15" hidden="false" customHeight="true" outlineLevel="0" collapsed="false">
      <c r="A8322" s="6" t="s">
        <v>10934</v>
      </c>
      <c r="B8322" s="6" t="s">
        <v>1759</v>
      </c>
      <c r="C8322" s="6" t="s">
        <v>124</v>
      </c>
      <c r="D8322" s="13" t="n">
        <v>45797</v>
      </c>
      <c r="E8322" s="14" t="n">
        <v>3646.28</v>
      </c>
      <c r="F8322" s="14" t="n">
        <v>24252.68</v>
      </c>
      <c r="G8322" s="6" t="s">
        <v>2613</v>
      </c>
    </row>
    <row r="8323" customFormat="false" ht="15" hidden="false" customHeight="true" outlineLevel="0" collapsed="false">
      <c r="A8323" s="6" t="s">
        <v>10935</v>
      </c>
      <c r="B8323" s="6" t="s">
        <v>1759</v>
      </c>
      <c r="C8323" s="6" t="s">
        <v>124</v>
      </c>
      <c r="D8323" s="13" t="n">
        <v>45804</v>
      </c>
      <c r="E8323" s="14" t="n">
        <v>1979.11</v>
      </c>
      <c r="F8323" s="14" t="n">
        <v>26231.79</v>
      </c>
      <c r="G8323" s="6" t="s">
        <v>2613</v>
      </c>
    </row>
    <row r="8324" customFormat="false" ht="15" hidden="false" customHeight="true" outlineLevel="0" collapsed="false">
      <c r="A8324" s="6" t="s">
        <v>10936</v>
      </c>
      <c r="B8324" s="6" t="s">
        <v>1759</v>
      </c>
      <c r="C8324" s="6" t="s">
        <v>124</v>
      </c>
      <c r="D8324" s="13" t="n">
        <v>45811</v>
      </c>
      <c r="E8324" s="14" t="n">
        <v>3577.37</v>
      </c>
      <c r="F8324" s="14" t="n">
        <v>29809.16</v>
      </c>
      <c r="G8324" s="6" t="s">
        <v>2623</v>
      </c>
    </row>
    <row r="8325" customFormat="false" ht="15" hidden="false" customHeight="true" outlineLevel="0" collapsed="false">
      <c r="A8325" s="6" t="s">
        <v>10937</v>
      </c>
      <c r="B8325" s="6" t="s">
        <v>1759</v>
      </c>
      <c r="C8325" s="6" t="s">
        <v>124</v>
      </c>
      <c r="D8325" s="13" t="n">
        <v>45818</v>
      </c>
      <c r="E8325" s="14" t="n">
        <v>4953.26</v>
      </c>
      <c r="F8325" s="14" t="n">
        <v>34762.42</v>
      </c>
      <c r="G8325" s="6" t="s">
        <v>2613</v>
      </c>
    </row>
    <row r="8326" customFormat="false" ht="15" hidden="false" customHeight="true" outlineLevel="0" collapsed="false">
      <c r="A8326" s="6" t="s">
        <v>10938</v>
      </c>
      <c r="B8326" s="6" t="s">
        <v>1761</v>
      </c>
      <c r="C8326" s="6" t="s">
        <v>124</v>
      </c>
      <c r="D8326" s="13" t="n">
        <v>46018</v>
      </c>
      <c r="E8326" s="14" t="n">
        <v>3457.5</v>
      </c>
      <c r="F8326" s="14" t="n">
        <v>3457.5</v>
      </c>
      <c r="G8326" s="6" t="s">
        <v>2623</v>
      </c>
    </row>
    <row r="8327" customFormat="false" ht="15" hidden="false" customHeight="true" outlineLevel="0" collapsed="false">
      <c r="A8327" s="6" t="s">
        <v>10939</v>
      </c>
      <c r="B8327" s="6" t="s">
        <v>1761</v>
      </c>
      <c r="C8327" s="6" t="s">
        <v>124</v>
      </c>
      <c r="D8327" s="13" t="n">
        <v>46025</v>
      </c>
      <c r="E8327" s="14" t="n">
        <v>5439.99</v>
      </c>
      <c r="F8327" s="14" t="n">
        <v>8897.49</v>
      </c>
      <c r="G8327" s="6" t="s">
        <v>2613</v>
      </c>
    </row>
    <row r="8328" customFormat="false" ht="15" hidden="false" customHeight="true" outlineLevel="0" collapsed="false">
      <c r="A8328" s="6" t="s">
        <v>10940</v>
      </c>
      <c r="B8328" s="6" t="s">
        <v>1761</v>
      </c>
      <c r="C8328" s="6" t="s">
        <v>124</v>
      </c>
      <c r="D8328" s="13" t="n">
        <v>46032</v>
      </c>
      <c r="E8328" s="14" t="n">
        <v>3307.79</v>
      </c>
      <c r="F8328" s="14" t="n">
        <v>12205.28</v>
      </c>
      <c r="G8328" s="6" t="s">
        <v>2613</v>
      </c>
    </row>
    <row r="8329" customFormat="false" ht="15" hidden="false" customHeight="true" outlineLevel="0" collapsed="false">
      <c r="A8329" s="6" t="s">
        <v>10941</v>
      </c>
      <c r="B8329" s="6" t="s">
        <v>1761</v>
      </c>
      <c r="C8329" s="6" t="s">
        <v>124</v>
      </c>
      <c r="D8329" s="13" t="n">
        <v>46039</v>
      </c>
      <c r="E8329" s="14" t="n">
        <v>3766.45</v>
      </c>
      <c r="F8329" s="14" t="n">
        <v>15971.73</v>
      </c>
      <c r="G8329" s="6" t="s">
        <v>2613</v>
      </c>
    </row>
    <row r="8330" customFormat="false" ht="15" hidden="false" customHeight="true" outlineLevel="0" collapsed="false">
      <c r="A8330" s="6" t="s">
        <v>10942</v>
      </c>
      <c r="B8330" s="6" t="s">
        <v>1761</v>
      </c>
      <c r="C8330" s="6" t="s">
        <v>124</v>
      </c>
      <c r="D8330" s="13" t="n">
        <v>46046</v>
      </c>
      <c r="E8330" s="14" t="n">
        <v>4222.68</v>
      </c>
      <c r="F8330" s="14" t="n">
        <v>20194.41</v>
      </c>
      <c r="G8330" s="6" t="s">
        <v>2613</v>
      </c>
    </row>
    <row r="8331" customFormat="false" ht="15" hidden="false" customHeight="true" outlineLevel="0" collapsed="false">
      <c r="A8331" s="6" t="s">
        <v>10943</v>
      </c>
      <c r="B8331" s="6" t="s">
        <v>1761</v>
      </c>
      <c r="C8331" s="6" t="s">
        <v>124</v>
      </c>
      <c r="D8331" s="13" t="n">
        <v>46053</v>
      </c>
      <c r="E8331" s="14" t="n">
        <v>4825.54</v>
      </c>
      <c r="F8331" s="14" t="n">
        <v>25019.95</v>
      </c>
      <c r="G8331" s="6" t="s">
        <v>2613</v>
      </c>
    </row>
    <row r="8332" customFormat="false" ht="15" hidden="false" customHeight="true" outlineLevel="0" collapsed="false">
      <c r="A8332" s="6" t="s">
        <v>10944</v>
      </c>
      <c r="B8332" s="6" t="s">
        <v>1761</v>
      </c>
      <c r="C8332" s="6" t="s">
        <v>124</v>
      </c>
      <c r="D8332" s="13" t="n">
        <v>46060</v>
      </c>
      <c r="E8332" s="14" t="n">
        <v>2805.1</v>
      </c>
      <c r="F8332" s="14" t="n">
        <v>27825.05</v>
      </c>
      <c r="G8332" s="6" t="s">
        <v>2613</v>
      </c>
    </row>
    <row r="8333" customFormat="false" ht="15" hidden="false" customHeight="true" outlineLevel="0" collapsed="false">
      <c r="A8333" s="6" t="s">
        <v>10945</v>
      </c>
      <c r="B8333" s="6" t="s">
        <v>1761</v>
      </c>
      <c r="C8333" s="6" t="s">
        <v>124</v>
      </c>
      <c r="D8333" s="13" t="n">
        <v>46067</v>
      </c>
      <c r="E8333" s="14" t="n">
        <v>4037.9</v>
      </c>
      <c r="F8333" s="14" t="n">
        <v>31862.95</v>
      </c>
      <c r="G8333" s="6" t="s">
        <v>2613</v>
      </c>
    </row>
    <row r="8334" customFormat="false" ht="15" hidden="false" customHeight="true" outlineLevel="0" collapsed="false">
      <c r="A8334" s="6" t="s">
        <v>10946</v>
      </c>
      <c r="B8334" s="6" t="s">
        <v>1761</v>
      </c>
      <c r="C8334" s="6" t="s">
        <v>124</v>
      </c>
      <c r="D8334" s="13" t="n">
        <v>46074</v>
      </c>
      <c r="E8334" s="14" t="n">
        <v>3625.69</v>
      </c>
      <c r="F8334" s="14" t="n">
        <v>35488.64</v>
      </c>
      <c r="G8334" s="6" t="s">
        <v>2623</v>
      </c>
    </row>
    <row r="8335" customFormat="false" ht="15" hidden="false" customHeight="true" outlineLevel="0" collapsed="false">
      <c r="A8335" s="6" t="s">
        <v>10947</v>
      </c>
      <c r="B8335" s="6" t="s">
        <v>1761</v>
      </c>
      <c r="C8335" s="6" t="s">
        <v>124</v>
      </c>
      <c r="D8335" s="13" t="n">
        <v>46081</v>
      </c>
      <c r="E8335" s="14" t="n">
        <v>6620.73</v>
      </c>
      <c r="F8335" s="14" t="n">
        <v>42109.37</v>
      </c>
      <c r="G8335" s="6" t="s">
        <v>2613</v>
      </c>
    </row>
    <row r="8336" customFormat="false" ht="15" hidden="false" customHeight="true" outlineLevel="0" collapsed="false">
      <c r="A8336" s="6" t="s">
        <v>10948</v>
      </c>
      <c r="B8336" s="6" t="s">
        <v>1763</v>
      </c>
      <c r="C8336" s="6" t="s">
        <v>120</v>
      </c>
      <c r="D8336" s="13" t="n">
        <v>46136</v>
      </c>
      <c r="E8336" s="14" t="n">
        <v>1905.64</v>
      </c>
      <c r="F8336" s="14" t="n">
        <v>1905.64</v>
      </c>
      <c r="G8336" s="6" t="s">
        <v>2623</v>
      </c>
    </row>
    <row r="8337" customFormat="false" ht="15" hidden="false" customHeight="true" outlineLevel="0" collapsed="false">
      <c r="A8337" s="6" t="s">
        <v>10949</v>
      </c>
      <c r="B8337" s="6" t="s">
        <v>1763</v>
      </c>
      <c r="C8337" s="6" t="s">
        <v>120</v>
      </c>
      <c r="D8337" s="13" t="n">
        <v>46143</v>
      </c>
      <c r="E8337" s="14" t="n">
        <v>2070.18</v>
      </c>
      <c r="F8337" s="14" t="n">
        <v>3975.82</v>
      </c>
      <c r="G8337" s="6" t="s">
        <v>2613</v>
      </c>
    </row>
    <row r="8338" customFormat="false" ht="15" hidden="false" customHeight="true" outlineLevel="0" collapsed="false">
      <c r="A8338" s="6" t="s">
        <v>10950</v>
      </c>
      <c r="B8338" s="6" t="s">
        <v>1763</v>
      </c>
      <c r="C8338" s="6" t="s">
        <v>120</v>
      </c>
      <c r="D8338" s="13" t="n">
        <v>46150</v>
      </c>
      <c r="E8338" s="14" t="n">
        <v>2653.38</v>
      </c>
      <c r="F8338" s="14" t="n">
        <v>6629.2</v>
      </c>
      <c r="G8338" s="6" t="s">
        <v>2613</v>
      </c>
    </row>
    <row r="8339" customFormat="false" ht="15" hidden="false" customHeight="true" outlineLevel="0" collapsed="false">
      <c r="A8339" s="6" t="s">
        <v>10951</v>
      </c>
      <c r="B8339" s="6" t="s">
        <v>1763</v>
      </c>
      <c r="C8339" s="6" t="s">
        <v>120</v>
      </c>
      <c r="D8339" s="13" t="n">
        <v>46157</v>
      </c>
      <c r="E8339" s="14" t="n">
        <v>2522.08</v>
      </c>
      <c r="F8339" s="14" t="n">
        <v>9151.28</v>
      </c>
      <c r="G8339" s="6" t="s">
        <v>2623</v>
      </c>
    </row>
    <row r="8340" customFormat="false" ht="15" hidden="false" customHeight="true" outlineLevel="0" collapsed="false">
      <c r="A8340" s="6" t="s">
        <v>10952</v>
      </c>
      <c r="B8340" s="6" t="s">
        <v>1763</v>
      </c>
      <c r="C8340" s="6" t="s">
        <v>120</v>
      </c>
      <c r="D8340" s="13" t="n">
        <v>46164</v>
      </c>
      <c r="E8340" s="14" t="n">
        <v>1859.66</v>
      </c>
      <c r="F8340" s="14" t="n">
        <v>11010.94</v>
      </c>
      <c r="G8340" s="6" t="s">
        <v>2613</v>
      </c>
    </row>
    <row r="8341" customFormat="false" ht="15" hidden="false" customHeight="true" outlineLevel="0" collapsed="false">
      <c r="A8341" s="6" t="s">
        <v>10953</v>
      </c>
      <c r="B8341" s="6" t="s">
        <v>1763</v>
      </c>
      <c r="C8341" s="6" t="s">
        <v>120</v>
      </c>
      <c r="D8341" s="13" t="n">
        <v>46171</v>
      </c>
      <c r="E8341" s="14" t="n">
        <v>3089.36</v>
      </c>
      <c r="F8341" s="14" t="n">
        <v>14100.3</v>
      </c>
      <c r="G8341" s="6" t="s">
        <v>2613</v>
      </c>
    </row>
    <row r="8342" customFormat="false" ht="15" hidden="false" customHeight="true" outlineLevel="0" collapsed="false">
      <c r="A8342" s="6" t="s">
        <v>10954</v>
      </c>
      <c r="B8342" s="6" t="s">
        <v>1763</v>
      </c>
      <c r="C8342" s="6" t="s">
        <v>120</v>
      </c>
      <c r="D8342" s="13" t="n">
        <v>46178</v>
      </c>
      <c r="E8342" s="14" t="n">
        <v>2381.29</v>
      </c>
      <c r="F8342" s="14" t="n">
        <v>16481.59</v>
      </c>
      <c r="G8342" s="6" t="s">
        <v>2613</v>
      </c>
    </row>
    <row r="8343" customFormat="false" ht="15" hidden="false" customHeight="true" outlineLevel="0" collapsed="false">
      <c r="A8343" s="6" t="s">
        <v>10955</v>
      </c>
      <c r="B8343" s="6" t="s">
        <v>1763</v>
      </c>
      <c r="C8343" s="6" t="s">
        <v>120</v>
      </c>
      <c r="D8343" s="13" t="n">
        <v>46185</v>
      </c>
      <c r="E8343" s="14" t="n">
        <v>3079.2</v>
      </c>
      <c r="F8343" s="14" t="n">
        <v>19560.79</v>
      </c>
      <c r="G8343" s="6" t="s">
        <v>2613</v>
      </c>
    </row>
    <row r="8344" customFormat="false" ht="15" hidden="false" customHeight="true" outlineLevel="0" collapsed="false">
      <c r="A8344" s="6" t="s">
        <v>10956</v>
      </c>
      <c r="B8344" s="6" t="s">
        <v>1763</v>
      </c>
      <c r="C8344" s="6" t="s">
        <v>120</v>
      </c>
      <c r="D8344" s="13" t="n">
        <v>46192</v>
      </c>
      <c r="E8344" s="14" t="n">
        <v>1805.43</v>
      </c>
      <c r="F8344" s="14" t="n">
        <v>21366.22</v>
      </c>
      <c r="G8344" s="6" t="s">
        <v>2613</v>
      </c>
    </row>
    <row r="8345" customFormat="false" ht="15" hidden="false" customHeight="true" outlineLevel="0" collapsed="false">
      <c r="A8345" s="6" t="s">
        <v>10957</v>
      </c>
      <c r="B8345" s="6" t="s">
        <v>1763</v>
      </c>
      <c r="C8345" s="6" t="s">
        <v>120</v>
      </c>
      <c r="D8345" s="13" t="n">
        <v>46199</v>
      </c>
      <c r="E8345" s="14" t="n">
        <v>2395.72</v>
      </c>
      <c r="F8345" s="14" t="n">
        <v>23761.94</v>
      </c>
      <c r="G8345" s="6" t="s">
        <v>2613</v>
      </c>
    </row>
    <row r="8346" customFormat="false" ht="15" hidden="false" customHeight="true" outlineLevel="0" collapsed="false">
      <c r="A8346" s="6" t="s">
        <v>10958</v>
      </c>
      <c r="B8346" s="6" t="s">
        <v>1763</v>
      </c>
      <c r="C8346" s="6" t="s">
        <v>120</v>
      </c>
      <c r="D8346" s="13" t="n">
        <v>46206</v>
      </c>
      <c r="E8346" s="14" t="n">
        <v>3148.62</v>
      </c>
      <c r="F8346" s="14" t="n">
        <v>26910.56</v>
      </c>
      <c r="G8346" s="6" t="s">
        <v>2613</v>
      </c>
    </row>
    <row r="8347" customFormat="false" ht="15" hidden="false" customHeight="true" outlineLevel="0" collapsed="false">
      <c r="A8347" s="6" t="s">
        <v>10959</v>
      </c>
      <c r="B8347" s="6" t="s">
        <v>1763</v>
      </c>
      <c r="C8347" s="6" t="s">
        <v>120</v>
      </c>
      <c r="D8347" s="13" t="n">
        <v>46213</v>
      </c>
      <c r="E8347" s="14" t="n">
        <v>1830.85</v>
      </c>
      <c r="F8347" s="14" t="n">
        <v>28741.41</v>
      </c>
      <c r="G8347" s="6" t="s">
        <v>2613</v>
      </c>
    </row>
    <row r="8348" customFormat="false" ht="15" hidden="false" customHeight="true" outlineLevel="0" collapsed="false">
      <c r="A8348" s="6" t="s">
        <v>10960</v>
      </c>
      <c r="B8348" s="6" t="s">
        <v>1765</v>
      </c>
      <c r="C8348" s="6" t="s">
        <v>131</v>
      </c>
      <c r="D8348" s="13" t="n">
        <v>45486</v>
      </c>
      <c r="E8348" s="14" t="n">
        <v>2905.05</v>
      </c>
      <c r="F8348" s="14" t="n">
        <v>2905.05</v>
      </c>
      <c r="G8348" s="6" t="s">
        <v>2613</v>
      </c>
    </row>
    <row r="8349" customFormat="false" ht="15" hidden="false" customHeight="true" outlineLevel="0" collapsed="false">
      <c r="A8349" s="6" t="s">
        <v>10961</v>
      </c>
      <c r="B8349" s="6" t="s">
        <v>1765</v>
      </c>
      <c r="C8349" s="6" t="s">
        <v>131</v>
      </c>
      <c r="D8349" s="13" t="n">
        <v>45493</v>
      </c>
      <c r="E8349" s="14" t="n">
        <v>3052.95</v>
      </c>
      <c r="F8349" s="14" t="n">
        <v>5958</v>
      </c>
      <c r="G8349" s="6" t="s">
        <v>2613</v>
      </c>
    </row>
    <row r="8350" customFormat="false" ht="15" hidden="false" customHeight="true" outlineLevel="0" collapsed="false">
      <c r="A8350" s="6" t="s">
        <v>10962</v>
      </c>
      <c r="B8350" s="6" t="s">
        <v>1765</v>
      </c>
      <c r="C8350" s="6" t="s">
        <v>131</v>
      </c>
      <c r="D8350" s="13" t="n">
        <v>45500</v>
      </c>
      <c r="E8350" s="14" t="n">
        <v>3116.49</v>
      </c>
      <c r="F8350" s="14" t="n">
        <v>9074.49</v>
      </c>
      <c r="G8350" s="6" t="s">
        <v>2613</v>
      </c>
    </row>
    <row r="8351" customFormat="false" ht="15" hidden="false" customHeight="true" outlineLevel="0" collapsed="false">
      <c r="A8351" s="6" t="s">
        <v>10963</v>
      </c>
      <c r="B8351" s="6" t="s">
        <v>1765</v>
      </c>
      <c r="C8351" s="6" t="s">
        <v>131</v>
      </c>
      <c r="D8351" s="13" t="n">
        <v>45507</v>
      </c>
      <c r="E8351" s="14" t="n">
        <v>1563.66</v>
      </c>
      <c r="F8351" s="14" t="n">
        <v>10638.15</v>
      </c>
      <c r="G8351" s="6" t="s">
        <v>2613</v>
      </c>
    </row>
    <row r="8352" customFormat="false" ht="15" hidden="false" customHeight="true" outlineLevel="0" collapsed="false">
      <c r="A8352" s="6" t="s">
        <v>10964</v>
      </c>
      <c r="B8352" s="6" t="s">
        <v>1765</v>
      </c>
      <c r="C8352" s="6" t="s">
        <v>131</v>
      </c>
      <c r="D8352" s="13" t="n">
        <v>45514</v>
      </c>
      <c r="E8352" s="14" t="n">
        <v>1879.61</v>
      </c>
      <c r="F8352" s="14" t="n">
        <v>12517.76</v>
      </c>
      <c r="G8352" s="6" t="s">
        <v>2613</v>
      </c>
    </row>
    <row r="8353" customFormat="false" ht="15" hidden="false" customHeight="true" outlineLevel="0" collapsed="false">
      <c r="A8353" s="6" t="s">
        <v>10965</v>
      </c>
      <c r="B8353" s="6" t="s">
        <v>1765</v>
      </c>
      <c r="C8353" s="6" t="s">
        <v>131</v>
      </c>
      <c r="D8353" s="13" t="n">
        <v>45521</v>
      </c>
      <c r="E8353" s="14" t="n">
        <v>3287.2</v>
      </c>
      <c r="F8353" s="14" t="n">
        <v>15804.96</v>
      </c>
      <c r="G8353" s="6" t="s">
        <v>2613</v>
      </c>
    </row>
    <row r="8354" customFormat="false" ht="15" hidden="false" customHeight="true" outlineLevel="0" collapsed="false">
      <c r="A8354" s="6" t="s">
        <v>10966</v>
      </c>
      <c r="B8354" s="6" t="s">
        <v>1765</v>
      </c>
      <c r="C8354" s="6" t="s">
        <v>131</v>
      </c>
      <c r="D8354" s="13" t="n">
        <v>45528</v>
      </c>
      <c r="E8354" s="14" t="n">
        <v>3242.93</v>
      </c>
      <c r="F8354" s="14" t="n">
        <v>19047.89</v>
      </c>
      <c r="G8354" s="6" t="s">
        <v>2613</v>
      </c>
    </row>
    <row r="8355" customFormat="false" ht="15" hidden="false" customHeight="true" outlineLevel="0" collapsed="false">
      <c r="A8355" s="6" t="s">
        <v>10967</v>
      </c>
      <c r="B8355" s="6" t="s">
        <v>1765</v>
      </c>
      <c r="C8355" s="6" t="s">
        <v>131</v>
      </c>
      <c r="D8355" s="13" t="n">
        <v>45535</v>
      </c>
      <c r="E8355" s="14" t="n">
        <v>2324.43</v>
      </c>
      <c r="F8355" s="14" t="n">
        <v>21372.32</v>
      </c>
      <c r="G8355" s="6" t="s">
        <v>2613</v>
      </c>
    </row>
    <row r="8356" customFormat="false" ht="15" hidden="false" customHeight="true" outlineLevel="0" collapsed="false">
      <c r="A8356" s="6" t="s">
        <v>10968</v>
      </c>
      <c r="B8356" s="6" t="s">
        <v>1765</v>
      </c>
      <c r="C8356" s="6" t="s">
        <v>131</v>
      </c>
      <c r="D8356" s="13" t="n">
        <v>45542</v>
      </c>
      <c r="E8356" s="14" t="n">
        <v>3070.9</v>
      </c>
      <c r="F8356" s="14" t="n">
        <v>24443.22</v>
      </c>
      <c r="G8356" s="6" t="s">
        <v>2613</v>
      </c>
    </row>
    <row r="8357" customFormat="false" ht="15" hidden="false" customHeight="true" outlineLevel="0" collapsed="false">
      <c r="A8357" s="6" t="s">
        <v>10969</v>
      </c>
      <c r="B8357" s="6" t="s">
        <v>1765</v>
      </c>
      <c r="C8357" s="6" t="s">
        <v>131</v>
      </c>
      <c r="D8357" s="13" t="n">
        <v>45549</v>
      </c>
      <c r="E8357" s="14" t="n">
        <v>2679.37</v>
      </c>
      <c r="F8357" s="14" t="n">
        <v>27122.59</v>
      </c>
      <c r="G8357" s="6" t="s">
        <v>2613</v>
      </c>
    </row>
    <row r="8358" customFormat="false" ht="15" hidden="false" customHeight="true" outlineLevel="0" collapsed="false">
      <c r="A8358" s="6" t="s">
        <v>10970</v>
      </c>
      <c r="B8358" s="6" t="s">
        <v>1765</v>
      </c>
      <c r="C8358" s="6" t="s">
        <v>131</v>
      </c>
      <c r="D8358" s="13" t="n">
        <v>45556</v>
      </c>
      <c r="E8358" s="14" t="n">
        <v>1902.56</v>
      </c>
      <c r="F8358" s="14" t="n">
        <v>29025.15</v>
      </c>
      <c r="G8358" s="6" t="s">
        <v>2613</v>
      </c>
    </row>
    <row r="8359" customFormat="false" ht="15" hidden="false" customHeight="true" outlineLevel="0" collapsed="false">
      <c r="A8359" s="6" t="s">
        <v>10971</v>
      </c>
      <c r="B8359" s="6" t="s">
        <v>1765</v>
      </c>
      <c r="C8359" s="6" t="s">
        <v>131</v>
      </c>
      <c r="D8359" s="13" t="n">
        <v>45563</v>
      </c>
      <c r="E8359" s="14" t="n">
        <v>1788.2</v>
      </c>
      <c r="F8359" s="14" t="n">
        <v>30813.35</v>
      </c>
      <c r="G8359" s="6" t="s">
        <v>2613</v>
      </c>
    </row>
    <row r="8360" customFormat="false" ht="15" hidden="false" customHeight="true" outlineLevel="0" collapsed="false">
      <c r="A8360" s="6" t="s">
        <v>10972</v>
      </c>
      <c r="B8360" s="6" t="s">
        <v>1765</v>
      </c>
      <c r="C8360" s="6" t="s">
        <v>131</v>
      </c>
      <c r="D8360" s="13" t="n">
        <v>45570</v>
      </c>
      <c r="E8360" s="14" t="n">
        <v>2257.22</v>
      </c>
      <c r="F8360" s="14" t="n">
        <v>33070.57</v>
      </c>
      <c r="G8360" s="6" t="s">
        <v>2613</v>
      </c>
    </row>
    <row r="8361" customFormat="false" ht="15" hidden="false" customHeight="true" outlineLevel="0" collapsed="false">
      <c r="A8361" s="6" t="s">
        <v>10973</v>
      </c>
      <c r="B8361" s="6" t="s">
        <v>1765</v>
      </c>
      <c r="C8361" s="6" t="s">
        <v>131</v>
      </c>
      <c r="D8361" s="13" t="n">
        <v>45577</v>
      </c>
      <c r="E8361" s="14" t="n">
        <v>2845.72</v>
      </c>
      <c r="F8361" s="14" t="n">
        <v>35916.29</v>
      </c>
      <c r="G8361" s="6" t="s">
        <v>2613</v>
      </c>
    </row>
    <row r="8362" customFormat="false" ht="15" hidden="false" customHeight="true" outlineLevel="0" collapsed="false">
      <c r="A8362" s="6" t="s">
        <v>10974</v>
      </c>
      <c r="B8362" s="6" t="s">
        <v>1765</v>
      </c>
      <c r="C8362" s="6" t="s">
        <v>131</v>
      </c>
      <c r="D8362" s="13" t="n">
        <v>45584</v>
      </c>
      <c r="E8362" s="14" t="n">
        <v>2662.04</v>
      </c>
      <c r="F8362" s="14" t="n">
        <v>38578.33</v>
      </c>
      <c r="G8362" s="6" t="s">
        <v>2613</v>
      </c>
    </row>
    <row r="8363" customFormat="false" ht="15" hidden="false" customHeight="true" outlineLevel="0" collapsed="false">
      <c r="A8363" s="6" t="s">
        <v>10975</v>
      </c>
      <c r="B8363" s="6" t="s">
        <v>1767</v>
      </c>
      <c r="C8363" s="6" t="s">
        <v>120</v>
      </c>
      <c r="D8363" s="13" t="n">
        <v>45013</v>
      </c>
      <c r="E8363" s="14" t="n">
        <v>8395.56</v>
      </c>
      <c r="F8363" s="14" t="n">
        <v>8395.56</v>
      </c>
      <c r="G8363" s="6" t="s">
        <v>2613</v>
      </c>
    </row>
    <row r="8364" customFormat="false" ht="15" hidden="false" customHeight="true" outlineLevel="0" collapsed="false">
      <c r="A8364" s="6" t="s">
        <v>10976</v>
      </c>
      <c r="B8364" s="6" t="s">
        <v>1767</v>
      </c>
      <c r="C8364" s="6" t="s">
        <v>120</v>
      </c>
      <c r="D8364" s="13" t="n">
        <v>45020</v>
      </c>
      <c r="E8364" s="14" t="n">
        <v>7747.47</v>
      </c>
      <c r="F8364" s="14" t="n">
        <v>16143.03</v>
      </c>
      <c r="G8364" s="6" t="s">
        <v>2613</v>
      </c>
    </row>
    <row r="8365" customFormat="false" ht="15" hidden="false" customHeight="true" outlineLevel="0" collapsed="false">
      <c r="A8365" s="6" t="s">
        <v>10977</v>
      </c>
      <c r="B8365" s="6" t="s">
        <v>1767</v>
      </c>
      <c r="C8365" s="6" t="s">
        <v>120</v>
      </c>
      <c r="D8365" s="13" t="n">
        <v>45027</v>
      </c>
      <c r="E8365" s="14" t="n">
        <v>4399.29</v>
      </c>
      <c r="F8365" s="14" t="n">
        <v>20542.32</v>
      </c>
      <c r="G8365" s="6" t="s">
        <v>2623</v>
      </c>
    </row>
    <row r="8366" customFormat="false" ht="15" hidden="false" customHeight="true" outlineLevel="0" collapsed="false">
      <c r="A8366" s="6" t="s">
        <v>10978</v>
      </c>
      <c r="B8366" s="6" t="s">
        <v>1767</v>
      </c>
      <c r="C8366" s="6" t="s">
        <v>120</v>
      </c>
      <c r="D8366" s="13" t="n">
        <v>45034</v>
      </c>
      <c r="E8366" s="14" t="n">
        <v>6483.46</v>
      </c>
      <c r="F8366" s="14" t="n">
        <v>27025.78</v>
      </c>
      <c r="G8366" s="6" t="s">
        <v>2613</v>
      </c>
    </row>
    <row r="8367" customFormat="false" ht="15" hidden="false" customHeight="true" outlineLevel="0" collapsed="false">
      <c r="A8367" s="6" t="s">
        <v>10979</v>
      </c>
      <c r="B8367" s="6" t="s">
        <v>1767</v>
      </c>
      <c r="C8367" s="6" t="s">
        <v>120</v>
      </c>
      <c r="D8367" s="13" t="n">
        <v>45041</v>
      </c>
      <c r="E8367" s="14" t="n">
        <v>7914.12</v>
      </c>
      <c r="F8367" s="14" t="n">
        <v>34939.9</v>
      </c>
      <c r="G8367" s="6" t="s">
        <v>2613</v>
      </c>
    </row>
    <row r="8368" customFormat="false" ht="15" hidden="false" customHeight="true" outlineLevel="0" collapsed="false">
      <c r="A8368" s="6" t="s">
        <v>10980</v>
      </c>
      <c r="B8368" s="6" t="s">
        <v>1767</v>
      </c>
      <c r="C8368" s="6" t="s">
        <v>120</v>
      </c>
      <c r="D8368" s="13" t="n">
        <v>45048</v>
      </c>
      <c r="E8368" s="14" t="n">
        <v>6412.9</v>
      </c>
      <c r="F8368" s="14" t="n">
        <v>41352.8</v>
      </c>
      <c r="G8368" s="6" t="s">
        <v>2613</v>
      </c>
    </row>
    <row r="8369" customFormat="false" ht="15" hidden="false" customHeight="true" outlineLevel="0" collapsed="false">
      <c r="A8369" s="6" t="s">
        <v>10981</v>
      </c>
      <c r="B8369" s="6" t="s">
        <v>1767</v>
      </c>
      <c r="C8369" s="6" t="s">
        <v>120</v>
      </c>
      <c r="D8369" s="13" t="n">
        <v>45055</v>
      </c>
      <c r="E8369" s="14" t="n">
        <v>7488.49</v>
      </c>
      <c r="F8369" s="14" t="n">
        <v>48841.29</v>
      </c>
      <c r="G8369" s="6" t="s">
        <v>2613</v>
      </c>
    </row>
    <row r="8370" customFormat="false" ht="15" hidden="false" customHeight="true" outlineLevel="0" collapsed="false">
      <c r="A8370" s="6" t="s">
        <v>10982</v>
      </c>
      <c r="B8370" s="6" t="s">
        <v>1767</v>
      </c>
      <c r="C8370" s="6" t="s">
        <v>120</v>
      </c>
      <c r="D8370" s="13" t="n">
        <v>45062</v>
      </c>
      <c r="E8370" s="14" t="n">
        <v>4183.09</v>
      </c>
      <c r="F8370" s="14" t="n">
        <v>53024.38</v>
      </c>
      <c r="G8370" s="6" t="s">
        <v>2613</v>
      </c>
    </row>
    <row r="8371" customFormat="false" ht="15" hidden="false" customHeight="true" outlineLevel="0" collapsed="false">
      <c r="A8371" s="6" t="s">
        <v>10983</v>
      </c>
      <c r="B8371" s="6" t="s">
        <v>1767</v>
      </c>
      <c r="C8371" s="6" t="s">
        <v>120</v>
      </c>
      <c r="D8371" s="13" t="n">
        <v>45069</v>
      </c>
      <c r="E8371" s="14" t="n">
        <v>5951.83</v>
      </c>
      <c r="F8371" s="14" t="n">
        <v>58976.21</v>
      </c>
      <c r="G8371" s="6" t="s">
        <v>2613</v>
      </c>
    </row>
    <row r="8372" customFormat="false" ht="15" hidden="false" customHeight="true" outlineLevel="0" collapsed="false">
      <c r="A8372" s="6" t="s">
        <v>10984</v>
      </c>
      <c r="B8372" s="6" t="s">
        <v>1767</v>
      </c>
      <c r="C8372" s="6" t="s">
        <v>120</v>
      </c>
      <c r="D8372" s="13" t="n">
        <v>45076</v>
      </c>
      <c r="E8372" s="14" t="n">
        <v>5896.56</v>
      </c>
      <c r="F8372" s="14" t="n">
        <v>64872.77</v>
      </c>
      <c r="G8372" s="6" t="s">
        <v>2613</v>
      </c>
    </row>
    <row r="8373" customFormat="false" ht="15" hidden="false" customHeight="true" outlineLevel="0" collapsed="false">
      <c r="A8373" s="6" t="s">
        <v>10985</v>
      </c>
      <c r="B8373" s="6" t="s">
        <v>1767</v>
      </c>
      <c r="C8373" s="6" t="s">
        <v>120</v>
      </c>
      <c r="D8373" s="13" t="n">
        <v>45083</v>
      </c>
      <c r="E8373" s="14" t="n">
        <v>5785.24</v>
      </c>
      <c r="F8373" s="14" t="n">
        <v>70658.01</v>
      </c>
      <c r="G8373" s="6" t="s">
        <v>2613</v>
      </c>
    </row>
    <row r="8374" customFormat="false" ht="15" hidden="false" customHeight="true" outlineLevel="0" collapsed="false">
      <c r="A8374" s="6" t="s">
        <v>10986</v>
      </c>
      <c r="B8374" s="6" t="s">
        <v>1767</v>
      </c>
      <c r="C8374" s="6" t="s">
        <v>120</v>
      </c>
      <c r="D8374" s="13" t="n">
        <v>45090</v>
      </c>
      <c r="E8374" s="14" t="n">
        <v>1683.11</v>
      </c>
      <c r="F8374" s="14" t="n">
        <v>72341.12</v>
      </c>
      <c r="G8374" s="6" t="s">
        <v>2613</v>
      </c>
    </row>
    <row r="8375" customFormat="false" ht="15" hidden="false" customHeight="true" outlineLevel="0" collapsed="false">
      <c r="A8375" s="6" t="s">
        <v>10987</v>
      </c>
      <c r="B8375" s="6" t="s">
        <v>1769</v>
      </c>
      <c r="C8375" s="6" t="s">
        <v>124</v>
      </c>
      <c r="D8375" s="13" t="n">
        <v>45962</v>
      </c>
      <c r="E8375" s="14" t="n">
        <v>486.46</v>
      </c>
      <c r="F8375" s="14" t="n">
        <v>486.46</v>
      </c>
      <c r="G8375" s="6" t="s">
        <v>2613</v>
      </c>
    </row>
    <row r="8376" customFormat="false" ht="15" hidden="false" customHeight="true" outlineLevel="0" collapsed="false">
      <c r="A8376" s="6" t="s">
        <v>10988</v>
      </c>
      <c r="B8376" s="6" t="s">
        <v>1769</v>
      </c>
      <c r="C8376" s="6" t="s">
        <v>124</v>
      </c>
      <c r="D8376" s="13" t="n">
        <v>45969</v>
      </c>
      <c r="E8376" s="14" t="n">
        <v>1091.79</v>
      </c>
      <c r="F8376" s="14" t="n">
        <v>1578.25</v>
      </c>
      <c r="G8376" s="6" t="s">
        <v>2613</v>
      </c>
    </row>
    <row r="8377" customFormat="false" ht="15" hidden="false" customHeight="true" outlineLevel="0" collapsed="false">
      <c r="A8377" s="6" t="s">
        <v>10989</v>
      </c>
      <c r="B8377" s="6" t="s">
        <v>1769</v>
      </c>
      <c r="C8377" s="6" t="s">
        <v>124</v>
      </c>
      <c r="D8377" s="13" t="n">
        <v>45976</v>
      </c>
      <c r="E8377" s="14" t="n">
        <v>1028.86</v>
      </c>
      <c r="F8377" s="14" t="n">
        <v>2607.11</v>
      </c>
      <c r="G8377" s="6" t="s">
        <v>2613</v>
      </c>
    </row>
    <row r="8378" customFormat="false" ht="15" hidden="false" customHeight="true" outlineLevel="0" collapsed="false">
      <c r="A8378" s="6" t="s">
        <v>10990</v>
      </c>
      <c r="B8378" s="6" t="s">
        <v>1769</v>
      </c>
      <c r="C8378" s="6" t="s">
        <v>124</v>
      </c>
      <c r="D8378" s="13" t="n">
        <v>45983</v>
      </c>
      <c r="E8378" s="14" t="n">
        <v>487.1</v>
      </c>
      <c r="F8378" s="14" t="n">
        <v>3094.21</v>
      </c>
      <c r="G8378" s="6" t="s">
        <v>2613</v>
      </c>
    </row>
    <row r="8379" customFormat="false" ht="15" hidden="false" customHeight="true" outlineLevel="0" collapsed="false">
      <c r="A8379" s="6" t="s">
        <v>10991</v>
      </c>
      <c r="B8379" s="6" t="s">
        <v>1769</v>
      </c>
      <c r="C8379" s="6" t="s">
        <v>124</v>
      </c>
      <c r="D8379" s="13" t="n">
        <v>45990</v>
      </c>
      <c r="E8379" s="14" t="n">
        <v>942.69</v>
      </c>
      <c r="F8379" s="14" t="n">
        <v>4036.9</v>
      </c>
      <c r="G8379" s="6" t="s">
        <v>2613</v>
      </c>
    </row>
    <row r="8380" customFormat="false" ht="15" hidden="false" customHeight="true" outlineLevel="0" collapsed="false">
      <c r="A8380" s="6" t="s">
        <v>10992</v>
      </c>
      <c r="B8380" s="6" t="s">
        <v>1769</v>
      </c>
      <c r="C8380" s="6" t="s">
        <v>124</v>
      </c>
      <c r="D8380" s="13" t="n">
        <v>45997</v>
      </c>
      <c r="E8380" s="14" t="n">
        <v>596.23</v>
      </c>
      <c r="F8380" s="14" t="n">
        <v>4633.13</v>
      </c>
      <c r="G8380" s="6" t="s">
        <v>2613</v>
      </c>
    </row>
    <row r="8381" customFormat="false" ht="15" hidden="false" customHeight="true" outlineLevel="0" collapsed="false">
      <c r="A8381" s="6" t="s">
        <v>10993</v>
      </c>
      <c r="B8381" s="6" t="s">
        <v>1769</v>
      </c>
      <c r="C8381" s="6" t="s">
        <v>124</v>
      </c>
      <c r="D8381" s="13" t="n">
        <v>46004</v>
      </c>
      <c r="E8381" s="14" t="n">
        <v>895.59</v>
      </c>
      <c r="F8381" s="14" t="n">
        <v>5528.72</v>
      </c>
      <c r="G8381" s="6" t="s">
        <v>2613</v>
      </c>
    </row>
    <row r="8382" customFormat="false" ht="15" hidden="false" customHeight="true" outlineLevel="0" collapsed="false">
      <c r="A8382" s="6" t="s">
        <v>10994</v>
      </c>
      <c r="B8382" s="6" t="s">
        <v>1769</v>
      </c>
      <c r="C8382" s="6" t="s">
        <v>124</v>
      </c>
      <c r="D8382" s="13" t="n">
        <v>46011</v>
      </c>
      <c r="E8382" s="14" t="n">
        <v>523.09</v>
      </c>
      <c r="F8382" s="14" t="n">
        <v>6051.81</v>
      </c>
      <c r="G8382" s="6" t="s">
        <v>2613</v>
      </c>
    </row>
    <row r="8383" customFormat="false" ht="15" hidden="false" customHeight="true" outlineLevel="0" collapsed="false">
      <c r="A8383" s="6" t="s">
        <v>10995</v>
      </c>
      <c r="B8383" s="6" t="s">
        <v>1769</v>
      </c>
      <c r="C8383" s="6" t="s">
        <v>124</v>
      </c>
      <c r="D8383" s="13" t="n">
        <v>46018</v>
      </c>
      <c r="E8383" s="14" t="n">
        <v>1075.7</v>
      </c>
      <c r="F8383" s="14" t="n">
        <v>7127.51</v>
      </c>
      <c r="G8383" s="6" t="s">
        <v>2613</v>
      </c>
    </row>
    <row r="8384" customFormat="false" ht="15" hidden="false" customHeight="true" outlineLevel="0" collapsed="false">
      <c r="A8384" s="6" t="s">
        <v>10996</v>
      </c>
      <c r="B8384" s="6" t="s">
        <v>1769</v>
      </c>
      <c r="C8384" s="6" t="s">
        <v>124</v>
      </c>
      <c r="D8384" s="13" t="n">
        <v>46025</v>
      </c>
      <c r="E8384" s="14" t="n">
        <v>784.54</v>
      </c>
      <c r="F8384" s="14" t="n">
        <v>7912.05</v>
      </c>
      <c r="G8384" s="6" t="s">
        <v>2613</v>
      </c>
    </row>
    <row r="8385" customFormat="false" ht="15" hidden="false" customHeight="true" outlineLevel="0" collapsed="false">
      <c r="A8385" s="6" t="s">
        <v>10997</v>
      </c>
      <c r="B8385" s="6" t="s">
        <v>1769</v>
      </c>
      <c r="C8385" s="6" t="s">
        <v>124</v>
      </c>
      <c r="D8385" s="13" t="n">
        <v>46032</v>
      </c>
      <c r="E8385" s="14" t="n">
        <v>884.25</v>
      </c>
      <c r="F8385" s="14" t="n">
        <v>8796.3</v>
      </c>
      <c r="G8385" s="6" t="s">
        <v>2613</v>
      </c>
    </row>
    <row r="8386" customFormat="false" ht="15" hidden="false" customHeight="true" outlineLevel="0" collapsed="false">
      <c r="A8386" s="6" t="s">
        <v>10998</v>
      </c>
      <c r="B8386" s="6" t="s">
        <v>1771</v>
      </c>
      <c r="C8386" s="6" t="s">
        <v>124</v>
      </c>
      <c r="D8386" s="13" t="n">
        <v>45586</v>
      </c>
      <c r="E8386" s="14" t="n">
        <v>6565.36</v>
      </c>
      <c r="F8386" s="14" t="n">
        <v>6565.36</v>
      </c>
      <c r="G8386" s="6" t="s">
        <v>2613</v>
      </c>
    </row>
    <row r="8387" customFormat="false" ht="15" hidden="false" customHeight="true" outlineLevel="0" collapsed="false">
      <c r="A8387" s="6" t="s">
        <v>10999</v>
      </c>
      <c r="B8387" s="6" t="s">
        <v>1771</v>
      </c>
      <c r="C8387" s="6" t="s">
        <v>124</v>
      </c>
      <c r="D8387" s="13" t="n">
        <v>45593</v>
      </c>
      <c r="E8387" s="14" t="n">
        <v>5242.17</v>
      </c>
      <c r="F8387" s="14" t="n">
        <v>11807.53</v>
      </c>
      <c r="G8387" s="6" t="s">
        <v>2613</v>
      </c>
    </row>
    <row r="8388" customFormat="false" ht="15" hidden="false" customHeight="true" outlineLevel="0" collapsed="false">
      <c r="A8388" s="6" t="s">
        <v>11000</v>
      </c>
      <c r="B8388" s="6" t="s">
        <v>1771</v>
      </c>
      <c r="C8388" s="6" t="s">
        <v>124</v>
      </c>
      <c r="D8388" s="13" t="n">
        <v>45600</v>
      </c>
      <c r="E8388" s="14" t="n">
        <v>3667.64</v>
      </c>
      <c r="F8388" s="14" t="n">
        <v>15475.17</v>
      </c>
      <c r="G8388" s="6" t="s">
        <v>2613</v>
      </c>
    </row>
    <row r="8389" customFormat="false" ht="15" hidden="false" customHeight="true" outlineLevel="0" collapsed="false">
      <c r="A8389" s="6" t="s">
        <v>11001</v>
      </c>
      <c r="B8389" s="6" t="s">
        <v>1771</v>
      </c>
      <c r="C8389" s="6" t="s">
        <v>124</v>
      </c>
      <c r="D8389" s="13" t="n">
        <v>45607</v>
      </c>
      <c r="E8389" s="14" t="n">
        <v>6626.21</v>
      </c>
      <c r="F8389" s="14" t="n">
        <v>22101.38</v>
      </c>
      <c r="G8389" s="6" t="s">
        <v>2613</v>
      </c>
    </row>
    <row r="8390" customFormat="false" ht="15" hidden="false" customHeight="true" outlineLevel="0" collapsed="false">
      <c r="A8390" s="6" t="s">
        <v>11002</v>
      </c>
      <c r="B8390" s="6" t="s">
        <v>1771</v>
      </c>
      <c r="C8390" s="6" t="s">
        <v>124</v>
      </c>
      <c r="D8390" s="13" t="n">
        <v>45614</v>
      </c>
      <c r="E8390" s="14" t="n">
        <v>3833.61</v>
      </c>
      <c r="F8390" s="14" t="n">
        <v>25934.99</v>
      </c>
      <c r="G8390" s="6" t="s">
        <v>2613</v>
      </c>
    </row>
    <row r="8391" customFormat="false" ht="15" hidden="false" customHeight="true" outlineLevel="0" collapsed="false">
      <c r="A8391" s="6" t="s">
        <v>11003</v>
      </c>
      <c r="B8391" s="6" t="s">
        <v>1771</v>
      </c>
      <c r="C8391" s="6" t="s">
        <v>124</v>
      </c>
      <c r="D8391" s="13" t="n">
        <v>45621</v>
      </c>
      <c r="E8391" s="14" t="n">
        <v>5134.19</v>
      </c>
      <c r="F8391" s="14" t="n">
        <v>31069.18</v>
      </c>
      <c r="G8391" s="6" t="s">
        <v>2613</v>
      </c>
    </row>
    <row r="8392" customFormat="false" ht="15" hidden="false" customHeight="true" outlineLevel="0" collapsed="false">
      <c r="A8392" s="6" t="s">
        <v>11004</v>
      </c>
      <c r="B8392" s="6" t="s">
        <v>1771</v>
      </c>
      <c r="C8392" s="6" t="s">
        <v>124</v>
      </c>
      <c r="D8392" s="13" t="n">
        <v>45628</v>
      </c>
      <c r="E8392" s="14" t="n">
        <v>6774.09</v>
      </c>
      <c r="F8392" s="14" t="n">
        <v>37843.27</v>
      </c>
      <c r="G8392" s="6" t="s">
        <v>2613</v>
      </c>
    </row>
    <row r="8393" customFormat="false" ht="15" hidden="false" customHeight="true" outlineLevel="0" collapsed="false">
      <c r="A8393" s="6" t="s">
        <v>11005</v>
      </c>
      <c r="B8393" s="6" t="s">
        <v>1771</v>
      </c>
      <c r="C8393" s="6" t="s">
        <v>124</v>
      </c>
      <c r="D8393" s="13" t="n">
        <v>45635</v>
      </c>
      <c r="E8393" s="14" t="n">
        <v>7537.4</v>
      </c>
      <c r="F8393" s="14" t="n">
        <v>45380.67</v>
      </c>
      <c r="G8393" s="6" t="s">
        <v>2613</v>
      </c>
    </row>
    <row r="8394" customFormat="false" ht="15" hidden="false" customHeight="true" outlineLevel="0" collapsed="false">
      <c r="A8394" s="6" t="s">
        <v>11006</v>
      </c>
      <c r="B8394" s="6" t="s">
        <v>1771</v>
      </c>
      <c r="C8394" s="6" t="s">
        <v>124</v>
      </c>
      <c r="D8394" s="13" t="n">
        <v>45642</v>
      </c>
      <c r="E8394" s="14" t="n">
        <v>4029.95</v>
      </c>
      <c r="F8394" s="14" t="n">
        <v>49410.62</v>
      </c>
      <c r="G8394" s="6" t="s">
        <v>2613</v>
      </c>
    </row>
    <row r="8395" customFormat="false" ht="15" hidden="false" customHeight="true" outlineLevel="0" collapsed="false">
      <c r="A8395" s="6" t="s">
        <v>11007</v>
      </c>
      <c r="B8395" s="6" t="s">
        <v>1771</v>
      </c>
      <c r="C8395" s="6" t="s">
        <v>124</v>
      </c>
      <c r="D8395" s="13" t="n">
        <v>45649</v>
      </c>
      <c r="E8395" s="14" t="n">
        <v>4310.51</v>
      </c>
      <c r="F8395" s="14" t="n">
        <v>53721.13</v>
      </c>
      <c r="G8395" s="6" t="s">
        <v>2613</v>
      </c>
    </row>
    <row r="8396" customFormat="false" ht="15" hidden="false" customHeight="true" outlineLevel="0" collapsed="false">
      <c r="A8396" s="6" t="s">
        <v>11008</v>
      </c>
      <c r="B8396" s="6" t="s">
        <v>1771</v>
      </c>
      <c r="C8396" s="6" t="s">
        <v>124</v>
      </c>
      <c r="D8396" s="13" t="n">
        <v>45656</v>
      </c>
      <c r="E8396" s="14" t="n">
        <v>6645.29</v>
      </c>
      <c r="F8396" s="14" t="n">
        <v>60366.42</v>
      </c>
      <c r="G8396" s="6" t="s">
        <v>2613</v>
      </c>
    </row>
    <row r="8397" customFormat="false" ht="15" hidden="false" customHeight="true" outlineLevel="0" collapsed="false">
      <c r="A8397" s="6" t="s">
        <v>11009</v>
      </c>
      <c r="B8397" s="6" t="s">
        <v>1773</v>
      </c>
      <c r="C8397" s="6" t="s">
        <v>112</v>
      </c>
      <c r="D8397" s="13" t="n">
        <v>45342</v>
      </c>
      <c r="E8397" s="14" t="n">
        <v>2711.07</v>
      </c>
      <c r="F8397" s="14" t="n">
        <v>2711.07</v>
      </c>
      <c r="G8397" s="6" t="s">
        <v>2613</v>
      </c>
    </row>
    <row r="8398" customFormat="false" ht="15" hidden="false" customHeight="true" outlineLevel="0" collapsed="false">
      <c r="A8398" s="6" t="s">
        <v>11010</v>
      </c>
      <c r="B8398" s="6" t="s">
        <v>1773</v>
      </c>
      <c r="C8398" s="6" t="s">
        <v>112</v>
      </c>
      <c r="D8398" s="13" t="n">
        <v>45349</v>
      </c>
      <c r="E8398" s="14" t="n">
        <v>1399.14</v>
      </c>
      <c r="F8398" s="14" t="n">
        <v>4110.21</v>
      </c>
      <c r="G8398" s="6" t="s">
        <v>2613</v>
      </c>
    </row>
    <row r="8399" customFormat="false" ht="15" hidden="false" customHeight="true" outlineLevel="0" collapsed="false">
      <c r="A8399" s="6" t="s">
        <v>11011</v>
      </c>
      <c r="B8399" s="6" t="s">
        <v>1773</v>
      </c>
      <c r="C8399" s="6" t="s">
        <v>112</v>
      </c>
      <c r="D8399" s="13" t="n">
        <v>45356</v>
      </c>
      <c r="E8399" s="14" t="n">
        <v>2611.84</v>
      </c>
      <c r="F8399" s="14" t="n">
        <v>6722.05</v>
      </c>
      <c r="G8399" s="6" t="s">
        <v>2613</v>
      </c>
    </row>
    <row r="8400" customFormat="false" ht="15" hidden="false" customHeight="true" outlineLevel="0" collapsed="false">
      <c r="A8400" s="6" t="s">
        <v>11012</v>
      </c>
      <c r="B8400" s="6" t="s">
        <v>1773</v>
      </c>
      <c r="C8400" s="6" t="s">
        <v>112</v>
      </c>
      <c r="D8400" s="13" t="n">
        <v>45363</v>
      </c>
      <c r="E8400" s="14" t="n">
        <v>2208.79</v>
      </c>
      <c r="F8400" s="14" t="n">
        <v>8930.84</v>
      </c>
      <c r="G8400" s="6" t="s">
        <v>2613</v>
      </c>
    </row>
    <row r="8401" customFormat="false" ht="15" hidden="false" customHeight="true" outlineLevel="0" collapsed="false">
      <c r="A8401" s="6" t="s">
        <v>11013</v>
      </c>
      <c r="B8401" s="6" t="s">
        <v>1773</v>
      </c>
      <c r="C8401" s="6" t="s">
        <v>112</v>
      </c>
      <c r="D8401" s="13" t="n">
        <v>45370</v>
      </c>
      <c r="E8401" s="14" t="n">
        <v>1995.79</v>
      </c>
      <c r="F8401" s="14" t="n">
        <v>10926.63</v>
      </c>
      <c r="G8401" s="6" t="s">
        <v>2613</v>
      </c>
    </row>
    <row r="8402" customFormat="false" ht="15" hidden="false" customHeight="true" outlineLevel="0" collapsed="false">
      <c r="A8402" s="6" t="s">
        <v>11014</v>
      </c>
      <c r="B8402" s="6" t="s">
        <v>1773</v>
      </c>
      <c r="C8402" s="6" t="s">
        <v>112</v>
      </c>
      <c r="D8402" s="13" t="n">
        <v>45377</v>
      </c>
      <c r="E8402" s="14" t="n">
        <v>1963.06</v>
      </c>
      <c r="F8402" s="14" t="n">
        <v>12889.69</v>
      </c>
      <c r="G8402" s="6" t="s">
        <v>2613</v>
      </c>
    </row>
    <row r="8403" customFormat="false" ht="15" hidden="false" customHeight="true" outlineLevel="0" collapsed="false">
      <c r="A8403" s="6" t="s">
        <v>11015</v>
      </c>
      <c r="B8403" s="6" t="s">
        <v>1773</v>
      </c>
      <c r="C8403" s="6" t="s">
        <v>112</v>
      </c>
      <c r="D8403" s="13" t="n">
        <v>45384</v>
      </c>
      <c r="E8403" s="14" t="n">
        <v>2033.94</v>
      </c>
      <c r="F8403" s="14" t="n">
        <v>14923.63</v>
      </c>
      <c r="G8403" s="6" t="s">
        <v>2613</v>
      </c>
    </row>
    <row r="8404" customFormat="false" ht="15" hidden="false" customHeight="true" outlineLevel="0" collapsed="false">
      <c r="A8404" s="6" t="s">
        <v>11016</v>
      </c>
      <c r="B8404" s="6" t="s">
        <v>1773</v>
      </c>
      <c r="C8404" s="6" t="s">
        <v>112</v>
      </c>
      <c r="D8404" s="13" t="n">
        <v>45391</v>
      </c>
      <c r="E8404" s="14" t="n">
        <v>3674.38</v>
      </c>
      <c r="F8404" s="14" t="n">
        <v>18598.01</v>
      </c>
      <c r="G8404" s="6" t="s">
        <v>2613</v>
      </c>
    </row>
    <row r="8405" customFormat="false" ht="15" hidden="false" customHeight="true" outlineLevel="0" collapsed="false">
      <c r="A8405" s="6" t="s">
        <v>11017</v>
      </c>
      <c r="B8405" s="6" t="s">
        <v>1775</v>
      </c>
      <c r="C8405" s="6" t="s">
        <v>112</v>
      </c>
      <c r="D8405" s="13" t="n">
        <v>45754</v>
      </c>
      <c r="E8405" s="14" t="n">
        <v>1243.93</v>
      </c>
      <c r="F8405" s="14" t="n">
        <v>1243.93</v>
      </c>
      <c r="G8405" s="6" t="s">
        <v>2623</v>
      </c>
    </row>
    <row r="8406" customFormat="false" ht="15" hidden="false" customHeight="true" outlineLevel="0" collapsed="false">
      <c r="A8406" s="6" t="s">
        <v>11018</v>
      </c>
      <c r="B8406" s="6" t="s">
        <v>1775</v>
      </c>
      <c r="C8406" s="6" t="s">
        <v>112</v>
      </c>
      <c r="D8406" s="13" t="n">
        <v>45761</v>
      </c>
      <c r="E8406" s="14" t="n">
        <v>897.7</v>
      </c>
      <c r="F8406" s="14" t="n">
        <v>2141.63</v>
      </c>
      <c r="G8406" s="6" t="s">
        <v>2613</v>
      </c>
    </row>
    <row r="8407" customFormat="false" ht="15" hidden="false" customHeight="true" outlineLevel="0" collapsed="false">
      <c r="A8407" s="6" t="s">
        <v>11019</v>
      </c>
      <c r="B8407" s="6" t="s">
        <v>1775</v>
      </c>
      <c r="C8407" s="6" t="s">
        <v>112</v>
      </c>
      <c r="D8407" s="13" t="n">
        <v>45768</v>
      </c>
      <c r="E8407" s="14" t="n">
        <v>1039.01</v>
      </c>
      <c r="F8407" s="14" t="n">
        <v>3180.64</v>
      </c>
      <c r="G8407" s="6" t="s">
        <v>2613</v>
      </c>
    </row>
    <row r="8408" customFormat="false" ht="15" hidden="false" customHeight="true" outlineLevel="0" collapsed="false">
      <c r="A8408" s="6" t="s">
        <v>11020</v>
      </c>
      <c r="B8408" s="6" t="s">
        <v>1775</v>
      </c>
      <c r="C8408" s="6" t="s">
        <v>112</v>
      </c>
      <c r="D8408" s="13" t="n">
        <v>45775</v>
      </c>
      <c r="E8408" s="14" t="n">
        <v>1519.96</v>
      </c>
      <c r="F8408" s="14" t="n">
        <v>4700.6</v>
      </c>
      <c r="G8408" s="6" t="s">
        <v>2613</v>
      </c>
    </row>
    <row r="8409" customFormat="false" ht="15" hidden="false" customHeight="true" outlineLevel="0" collapsed="false">
      <c r="A8409" s="6" t="s">
        <v>11021</v>
      </c>
      <c r="B8409" s="6" t="s">
        <v>1775</v>
      </c>
      <c r="C8409" s="6" t="s">
        <v>112</v>
      </c>
      <c r="D8409" s="13" t="n">
        <v>45782</v>
      </c>
      <c r="E8409" s="14" t="n">
        <v>1688.65</v>
      </c>
      <c r="F8409" s="14" t="n">
        <v>6389.25</v>
      </c>
      <c r="G8409" s="6" t="s">
        <v>2613</v>
      </c>
    </row>
    <row r="8410" customFormat="false" ht="15" hidden="false" customHeight="true" outlineLevel="0" collapsed="false">
      <c r="A8410" s="6" t="s">
        <v>11022</v>
      </c>
      <c r="B8410" s="6" t="s">
        <v>1775</v>
      </c>
      <c r="C8410" s="6" t="s">
        <v>112</v>
      </c>
      <c r="D8410" s="13" t="n">
        <v>45789</v>
      </c>
      <c r="E8410" s="14" t="n">
        <v>1707.19</v>
      </c>
      <c r="F8410" s="14" t="n">
        <v>8096.44</v>
      </c>
      <c r="G8410" s="6" t="s">
        <v>2613</v>
      </c>
    </row>
    <row r="8411" customFormat="false" ht="15" hidden="false" customHeight="true" outlineLevel="0" collapsed="false">
      <c r="A8411" s="6" t="s">
        <v>11023</v>
      </c>
      <c r="B8411" s="6" t="s">
        <v>1775</v>
      </c>
      <c r="C8411" s="6" t="s">
        <v>112</v>
      </c>
      <c r="D8411" s="13" t="n">
        <v>45796</v>
      </c>
      <c r="E8411" s="14" t="n">
        <v>1092.03</v>
      </c>
      <c r="F8411" s="14" t="n">
        <v>9188.47</v>
      </c>
      <c r="G8411" s="6" t="s">
        <v>2613</v>
      </c>
    </row>
    <row r="8412" customFormat="false" ht="15" hidden="false" customHeight="true" outlineLevel="0" collapsed="false">
      <c r="A8412" s="6" t="s">
        <v>11024</v>
      </c>
      <c r="B8412" s="6" t="s">
        <v>1775</v>
      </c>
      <c r="C8412" s="6" t="s">
        <v>112</v>
      </c>
      <c r="D8412" s="13" t="n">
        <v>45803</v>
      </c>
      <c r="E8412" s="14" t="n">
        <v>1204.16</v>
      </c>
      <c r="F8412" s="14" t="n">
        <v>10392.63</v>
      </c>
      <c r="G8412" s="6" t="s">
        <v>2613</v>
      </c>
    </row>
    <row r="8413" customFormat="false" ht="15" hidden="false" customHeight="true" outlineLevel="0" collapsed="false">
      <c r="A8413" s="6" t="s">
        <v>11025</v>
      </c>
      <c r="B8413" s="6" t="s">
        <v>1775</v>
      </c>
      <c r="C8413" s="6" t="s">
        <v>112</v>
      </c>
      <c r="D8413" s="13" t="n">
        <v>45810</v>
      </c>
      <c r="E8413" s="14" t="n">
        <v>1665.9</v>
      </c>
      <c r="F8413" s="14" t="n">
        <v>12058.53</v>
      </c>
      <c r="G8413" s="6" t="s">
        <v>2613</v>
      </c>
    </row>
    <row r="8414" customFormat="false" ht="15" hidden="false" customHeight="true" outlineLevel="0" collapsed="false">
      <c r="A8414" s="6" t="s">
        <v>11026</v>
      </c>
      <c r="B8414" s="6" t="s">
        <v>1775</v>
      </c>
      <c r="C8414" s="6" t="s">
        <v>112</v>
      </c>
      <c r="D8414" s="13" t="n">
        <v>45817</v>
      </c>
      <c r="E8414" s="14" t="n">
        <v>1358.75</v>
      </c>
      <c r="F8414" s="14" t="n">
        <v>13417.28</v>
      </c>
      <c r="G8414" s="6" t="s">
        <v>2613</v>
      </c>
    </row>
    <row r="8415" customFormat="false" ht="15" hidden="false" customHeight="true" outlineLevel="0" collapsed="false">
      <c r="A8415" s="6" t="s">
        <v>11027</v>
      </c>
      <c r="B8415" s="6" t="s">
        <v>1775</v>
      </c>
      <c r="C8415" s="6" t="s">
        <v>112</v>
      </c>
      <c r="D8415" s="13" t="n">
        <v>45824</v>
      </c>
      <c r="E8415" s="14" t="n">
        <v>1123.09</v>
      </c>
      <c r="F8415" s="14" t="n">
        <v>14540.37</v>
      </c>
      <c r="G8415" s="6" t="s">
        <v>2613</v>
      </c>
    </row>
    <row r="8416" customFormat="false" ht="15" hidden="false" customHeight="true" outlineLevel="0" collapsed="false">
      <c r="A8416" s="6" t="s">
        <v>11028</v>
      </c>
      <c r="B8416" s="6" t="s">
        <v>1775</v>
      </c>
      <c r="C8416" s="6" t="s">
        <v>112</v>
      </c>
      <c r="D8416" s="13" t="n">
        <v>45831</v>
      </c>
      <c r="E8416" s="14" t="n">
        <v>775.61</v>
      </c>
      <c r="F8416" s="14" t="n">
        <v>15315.98</v>
      </c>
      <c r="G8416" s="6" t="s">
        <v>2613</v>
      </c>
    </row>
    <row r="8417" customFormat="false" ht="15" hidden="false" customHeight="true" outlineLevel="0" collapsed="false">
      <c r="A8417" s="6" t="s">
        <v>11029</v>
      </c>
      <c r="B8417" s="6" t="s">
        <v>1775</v>
      </c>
      <c r="C8417" s="6" t="s">
        <v>112</v>
      </c>
      <c r="D8417" s="13" t="n">
        <v>45838</v>
      </c>
      <c r="E8417" s="14" t="n">
        <v>1665.67</v>
      </c>
      <c r="F8417" s="14" t="n">
        <v>16981.65</v>
      </c>
      <c r="G8417" s="6" t="s">
        <v>2613</v>
      </c>
    </row>
    <row r="8418" customFormat="false" ht="15" hidden="false" customHeight="true" outlineLevel="0" collapsed="false">
      <c r="A8418" s="6" t="s">
        <v>11030</v>
      </c>
      <c r="B8418" s="6" t="s">
        <v>1775</v>
      </c>
      <c r="C8418" s="6" t="s">
        <v>112</v>
      </c>
      <c r="D8418" s="13" t="n">
        <v>45845</v>
      </c>
      <c r="E8418" s="14" t="n">
        <v>978.38</v>
      </c>
      <c r="F8418" s="14" t="n">
        <v>17960.03</v>
      </c>
      <c r="G8418" s="6" t="s">
        <v>2623</v>
      </c>
    </row>
    <row r="8419" customFormat="false" ht="15" hidden="false" customHeight="true" outlineLevel="0" collapsed="false">
      <c r="A8419" s="6" t="s">
        <v>11031</v>
      </c>
      <c r="B8419" s="6" t="s">
        <v>1775</v>
      </c>
      <c r="C8419" s="6" t="s">
        <v>112</v>
      </c>
      <c r="D8419" s="13" t="n">
        <v>45852</v>
      </c>
      <c r="E8419" s="14" t="n">
        <v>1205.01</v>
      </c>
      <c r="F8419" s="14" t="n">
        <v>19165.04</v>
      </c>
      <c r="G8419" s="6" t="s">
        <v>2613</v>
      </c>
    </row>
    <row r="8420" customFormat="false" ht="15" hidden="false" customHeight="true" outlineLevel="0" collapsed="false">
      <c r="A8420" s="6" t="s">
        <v>11032</v>
      </c>
      <c r="B8420" s="6" t="s">
        <v>1775</v>
      </c>
      <c r="C8420" s="6" t="s">
        <v>112</v>
      </c>
      <c r="D8420" s="13" t="n">
        <v>45859</v>
      </c>
      <c r="E8420" s="14" t="n">
        <v>825.54</v>
      </c>
      <c r="F8420" s="14" t="n">
        <v>19990.58</v>
      </c>
      <c r="G8420" s="6" t="s">
        <v>2613</v>
      </c>
    </row>
    <row r="8421" customFormat="false" ht="15" hidden="false" customHeight="true" outlineLevel="0" collapsed="false">
      <c r="A8421" s="6" t="s">
        <v>11033</v>
      </c>
      <c r="B8421" s="6" t="s">
        <v>1775</v>
      </c>
      <c r="C8421" s="6" t="s">
        <v>112</v>
      </c>
      <c r="D8421" s="13" t="n">
        <v>45866</v>
      </c>
      <c r="E8421" s="14" t="n">
        <v>1619.26</v>
      </c>
      <c r="F8421" s="14" t="n">
        <v>21609.84</v>
      </c>
      <c r="G8421" s="6" t="s">
        <v>2613</v>
      </c>
    </row>
    <row r="8422" customFormat="false" ht="15" hidden="false" customHeight="true" outlineLevel="0" collapsed="false">
      <c r="A8422" s="6" t="s">
        <v>11034</v>
      </c>
      <c r="B8422" s="6" t="s">
        <v>1775</v>
      </c>
      <c r="C8422" s="6" t="s">
        <v>112</v>
      </c>
      <c r="D8422" s="13" t="n">
        <v>45873</v>
      </c>
      <c r="E8422" s="14" t="n">
        <v>1678.89</v>
      </c>
      <c r="F8422" s="14" t="n">
        <v>23288.73</v>
      </c>
      <c r="G8422" s="6" t="s">
        <v>2613</v>
      </c>
    </row>
    <row r="8423" customFormat="false" ht="15" hidden="false" customHeight="true" outlineLevel="0" collapsed="false">
      <c r="A8423" s="6" t="s">
        <v>11035</v>
      </c>
      <c r="B8423" s="6" t="s">
        <v>1775</v>
      </c>
      <c r="C8423" s="6" t="s">
        <v>112</v>
      </c>
      <c r="D8423" s="13" t="n">
        <v>45880</v>
      </c>
      <c r="E8423" s="14" t="n">
        <v>1192.6</v>
      </c>
      <c r="F8423" s="14" t="n">
        <v>24481.33</v>
      </c>
      <c r="G8423" s="6" t="s">
        <v>2613</v>
      </c>
    </row>
    <row r="8424" customFormat="false" ht="15" hidden="false" customHeight="true" outlineLevel="0" collapsed="false">
      <c r="A8424" s="6" t="s">
        <v>11036</v>
      </c>
      <c r="B8424" s="6" t="s">
        <v>1777</v>
      </c>
      <c r="C8424" s="6" t="s">
        <v>131</v>
      </c>
      <c r="D8424" s="13" t="n">
        <v>44725</v>
      </c>
      <c r="E8424" s="14" t="n">
        <v>4724.66</v>
      </c>
      <c r="F8424" s="14" t="n">
        <v>4724.66</v>
      </c>
      <c r="G8424" s="6" t="s">
        <v>2613</v>
      </c>
    </row>
    <row r="8425" customFormat="false" ht="15" hidden="false" customHeight="true" outlineLevel="0" collapsed="false">
      <c r="A8425" s="6" t="s">
        <v>11037</v>
      </c>
      <c r="B8425" s="6" t="s">
        <v>1777</v>
      </c>
      <c r="C8425" s="6" t="s">
        <v>131</v>
      </c>
      <c r="D8425" s="13" t="n">
        <v>44732</v>
      </c>
      <c r="E8425" s="14" t="n">
        <v>5165.94</v>
      </c>
      <c r="F8425" s="14" t="n">
        <v>9890.6</v>
      </c>
      <c r="G8425" s="6" t="s">
        <v>2613</v>
      </c>
    </row>
    <row r="8426" customFormat="false" ht="15" hidden="false" customHeight="true" outlineLevel="0" collapsed="false">
      <c r="A8426" s="6" t="s">
        <v>11038</v>
      </c>
      <c r="B8426" s="6" t="s">
        <v>1777</v>
      </c>
      <c r="C8426" s="6" t="s">
        <v>131</v>
      </c>
      <c r="D8426" s="13" t="n">
        <v>44739</v>
      </c>
      <c r="E8426" s="14" t="n">
        <v>3848.07</v>
      </c>
      <c r="F8426" s="14" t="n">
        <v>13738.67</v>
      </c>
      <c r="G8426" s="6" t="s">
        <v>2613</v>
      </c>
    </row>
    <row r="8427" customFormat="false" ht="15" hidden="false" customHeight="true" outlineLevel="0" collapsed="false">
      <c r="A8427" s="6" t="s">
        <v>11039</v>
      </c>
      <c r="B8427" s="6" t="s">
        <v>1777</v>
      </c>
      <c r="C8427" s="6" t="s">
        <v>131</v>
      </c>
      <c r="D8427" s="13" t="n">
        <v>44746</v>
      </c>
      <c r="E8427" s="14" t="n">
        <v>5918.28</v>
      </c>
      <c r="F8427" s="14" t="n">
        <v>19656.95</v>
      </c>
      <c r="G8427" s="6" t="s">
        <v>2613</v>
      </c>
    </row>
    <row r="8428" customFormat="false" ht="15" hidden="false" customHeight="true" outlineLevel="0" collapsed="false">
      <c r="A8428" s="6" t="s">
        <v>11040</v>
      </c>
      <c r="B8428" s="6" t="s">
        <v>1777</v>
      </c>
      <c r="C8428" s="6" t="s">
        <v>131</v>
      </c>
      <c r="D8428" s="13" t="n">
        <v>44753</v>
      </c>
      <c r="E8428" s="14" t="n">
        <v>3855.89</v>
      </c>
      <c r="F8428" s="14" t="n">
        <v>23512.84</v>
      </c>
      <c r="G8428" s="6" t="s">
        <v>2623</v>
      </c>
    </row>
    <row r="8429" customFormat="false" ht="15" hidden="false" customHeight="true" outlineLevel="0" collapsed="false">
      <c r="A8429" s="6" t="s">
        <v>11041</v>
      </c>
      <c r="B8429" s="6" t="s">
        <v>1777</v>
      </c>
      <c r="C8429" s="6" t="s">
        <v>131</v>
      </c>
      <c r="D8429" s="13" t="n">
        <v>44760</v>
      </c>
      <c r="E8429" s="14" t="n">
        <v>4211.87</v>
      </c>
      <c r="F8429" s="14" t="n">
        <v>27724.71</v>
      </c>
      <c r="G8429" s="6" t="s">
        <v>2613</v>
      </c>
    </row>
    <row r="8430" customFormat="false" ht="15" hidden="false" customHeight="true" outlineLevel="0" collapsed="false">
      <c r="A8430" s="6" t="s">
        <v>11042</v>
      </c>
      <c r="B8430" s="6" t="s">
        <v>1777</v>
      </c>
      <c r="C8430" s="6" t="s">
        <v>131</v>
      </c>
      <c r="D8430" s="13" t="n">
        <v>44767</v>
      </c>
      <c r="E8430" s="14" t="n">
        <v>5825.86</v>
      </c>
      <c r="F8430" s="14" t="n">
        <v>33550.57</v>
      </c>
      <c r="G8430" s="6" t="s">
        <v>2623</v>
      </c>
    </row>
    <row r="8431" customFormat="false" ht="15" hidden="false" customHeight="true" outlineLevel="0" collapsed="false">
      <c r="A8431" s="6" t="s">
        <v>11043</v>
      </c>
      <c r="B8431" s="6" t="s">
        <v>1777</v>
      </c>
      <c r="C8431" s="6" t="s">
        <v>131</v>
      </c>
      <c r="D8431" s="13" t="n">
        <v>44774</v>
      </c>
      <c r="E8431" s="14" t="n">
        <v>3363.83</v>
      </c>
      <c r="F8431" s="14" t="n">
        <v>36914.4</v>
      </c>
      <c r="G8431" s="6" t="s">
        <v>2613</v>
      </c>
    </row>
    <row r="8432" customFormat="false" ht="15" hidden="false" customHeight="true" outlineLevel="0" collapsed="false">
      <c r="A8432" s="6" t="s">
        <v>11044</v>
      </c>
      <c r="B8432" s="6" t="s">
        <v>1777</v>
      </c>
      <c r="C8432" s="6" t="s">
        <v>131</v>
      </c>
      <c r="D8432" s="13" t="n">
        <v>44781</v>
      </c>
      <c r="E8432" s="14" t="n">
        <v>6471.78</v>
      </c>
      <c r="F8432" s="14" t="n">
        <v>43386.18</v>
      </c>
      <c r="G8432" s="6" t="s">
        <v>2613</v>
      </c>
    </row>
    <row r="8433" customFormat="false" ht="15" hidden="false" customHeight="true" outlineLevel="0" collapsed="false">
      <c r="A8433" s="6" t="s">
        <v>11045</v>
      </c>
      <c r="B8433" s="6" t="s">
        <v>1777</v>
      </c>
      <c r="C8433" s="6" t="s">
        <v>131</v>
      </c>
      <c r="D8433" s="13" t="n">
        <v>44788</v>
      </c>
      <c r="E8433" s="14" t="n">
        <v>5518.05</v>
      </c>
      <c r="F8433" s="14" t="n">
        <v>48904.23</v>
      </c>
      <c r="G8433" s="6" t="s">
        <v>2613</v>
      </c>
    </row>
    <row r="8434" customFormat="false" ht="15" hidden="false" customHeight="true" outlineLevel="0" collapsed="false">
      <c r="A8434" s="6" t="s">
        <v>11046</v>
      </c>
      <c r="B8434" s="6" t="s">
        <v>1777</v>
      </c>
      <c r="C8434" s="6" t="s">
        <v>131</v>
      </c>
      <c r="D8434" s="13" t="n">
        <v>44795</v>
      </c>
      <c r="E8434" s="14" t="n">
        <v>3697.32</v>
      </c>
      <c r="F8434" s="14" t="n">
        <v>52601.55</v>
      </c>
      <c r="G8434" s="6" t="s">
        <v>2613</v>
      </c>
    </row>
    <row r="8435" customFormat="false" ht="15" hidden="false" customHeight="true" outlineLevel="0" collapsed="false">
      <c r="A8435" s="6" t="s">
        <v>11047</v>
      </c>
      <c r="B8435" s="6" t="s">
        <v>1777</v>
      </c>
      <c r="C8435" s="6" t="s">
        <v>131</v>
      </c>
      <c r="D8435" s="13" t="n">
        <v>44802</v>
      </c>
      <c r="E8435" s="14" t="n">
        <v>14274.82</v>
      </c>
      <c r="F8435" s="14" t="n">
        <v>66876.37</v>
      </c>
      <c r="G8435" s="6" t="s">
        <v>2613</v>
      </c>
    </row>
    <row r="8436" customFormat="false" ht="15" hidden="false" customHeight="true" outlineLevel="0" collapsed="false">
      <c r="A8436" s="6" t="s">
        <v>11048</v>
      </c>
      <c r="B8436" s="6" t="s">
        <v>1779</v>
      </c>
      <c r="C8436" s="6" t="s">
        <v>116</v>
      </c>
      <c r="D8436" s="13" t="n">
        <v>44850</v>
      </c>
      <c r="E8436" s="14" t="n">
        <v>590.04</v>
      </c>
      <c r="F8436" s="14" t="n">
        <v>590.04</v>
      </c>
      <c r="G8436" s="6" t="s">
        <v>2613</v>
      </c>
    </row>
    <row r="8437" customFormat="false" ht="15" hidden="false" customHeight="true" outlineLevel="0" collapsed="false">
      <c r="A8437" s="6" t="s">
        <v>11049</v>
      </c>
      <c r="B8437" s="6" t="s">
        <v>1779</v>
      </c>
      <c r="C8437" s="6" t="s">
        <v>116</v>
      </c>
      <c r="D8437" s="13" t="n">
        <v>44857</v>
      </c>
      <c r="E8437" s="14" t="n">
        <v>846.58</v>
      </c>
      <c r="F8437" s="14" t="n">
        <v>1436.62</v>
      </c>
      <c r="G8437" s="6" t="s">
        <v>2613</v>
      </c>
    </row>
    <row r="8438" customFormat="false" ht="15" hidden="false" customHeight="true" outlineLevel="0" collapsed="false">
      <c r="A8438" s="6" t="s">
        <v>11050</v>
      </c>
      <c r="B8438" s="6" t="s">
        <v>1779</v>
      </c>
      <c r="C8438" s="6" t="s">
        <v>116</v>
      </c>
      <c r="D8438" s="13" t="n">
        <v>44864</v>
      </c>
      <c r="E8438" s="14" t="n">
        <v>891.02</v>
      </c>
      <c r="F8438" s="14" t="n">
        <v>2327.64</v>
      </c>
      <c r="G8438" s="6" t="s">
        <v>2613</v>
      </c>
    </row>
    <row r="8439" customFormat="false" ht="15" hidden="false" customHeight="true" outlineLevel="0" collapsed="false">
      <c r="A8439" s="6" t="s">
        <v>11051</v>
      </c>
      <c r="B8439" s="6" t="s">
        <v>1779</v>
      </c>
      <c r="C8439" s="6" t="s">
        <v>116</v>
      </c>
      <c r="D8439" s="13" t="n">
        <v>44871</v>
      </c>
      <c r="E8439" s="14" t="n">
        <v>562.47</v>
      </c>
      <c r="F8439" s="14" t="n">
        <v>2890.11</v>
      </c>
      <c r="G8439" s="6" t="s">
        <v>2623</v>
      </c>
    </row>
    <row r="8440" customFormat="false" ht="15" hidden="false" customHeight="true" outlineLevel="0" collapsed="false">
      <c r="A8440" s="6" t="s">
        <v>11052</v>
      </c>
      <c r="B8440" s="6" t="s">
        <v>1779</v>
      </c>
      <c r="C8440" s="6" t="s">
        <v>116</v>
      </c>
      <c r="D8440" s="13" t="n">
        <v>44878</v>
      </c>
      <c r="E8440" s="14" t="n">
        <v>674.69</v>
      </c>
      <c r="F8440" s="14" t="n">
        <v>3564.8</v>
      </c>
      <c r="G8440" s="6" t="s">
        <v>2613</v>
      </c>
    </row>
    <row r="8441" customFormat="false" ht="15" hidden="false" customHeight="true" outlineLevel="0" collapsed="false">
      <c r="A8441" s="6" t="s">
        <v>11053</v>
      </c>
      <c r="B8441" s="6" t="s">
        <v>1779</v>
      </c>
      <c r="C8441" s="6" t="s">
        <v>116</v>
      </c>
      <c r="D8441" s="13" t="n">
        <v>44885</v>
      </c>
      <c r="E8441" s="14" t="n">
        <v>967.7</v>
      </c>
      <c r="F8441" s="14" t="n">
        <v>4532.5</v>
      </c>
      <c r="G8441" s="6" t="s">
        <v>2613</v>
      </c>
    </row>
    <row r="8442" customFormat="false" ht="15" hidden="false" customHeight="true" outlineLevel="0" collapsed="false">
      <c r="A8442" s="6" t="s">
        <v>11054</v>
      </c>
      <c r="B8442" s="6" t="s">
        <v>1779</v>
      </c>
      <c r="C8442" s="6" t="s">
        <v>116</v>
      </c>
      <c r="D8442" s="13" t="n">
        <v>44892</v>
      </c>
      <c r="E8442" s="14" t="n">
        <v>674.46</v>
      </c>
      <c r="F8442" s="14" t="n">
        <v>5206.96</v>
      </c>
      <c r="G8442" s="6" t="s">
        <v>2623</v>
      </c>
    </row>
    <row r="8443" customFormat="false" ht="15" hidden="false" customHeight="true" outlineLevel="0" collapsed="false">
      <c r="A8443" s="6" t="s">
        <v>11055</v>
      </c>
      <c r="B8443" s="6" t="s">
        <v>1779</v>
      </c>
      <c r="C8443" s="6" t="s">
        <v>116</v>
      </c>
      <c r="D8443" s="13" t="n">
        <v>44899</v>
      </c>
      <c r="E8443" s="14" t="n">
        <v>1184.93</v>
      </c>
      <c r="F8443" s="14" t="n">
        <v>6391.89</v>
      </c>
      <c r="G8443" s="6" t="s">
        <v>2613</v>
      </c>
    </row>
    <row r="8444" customFormat="false" ht="15" hidden="false" customHeight="true" outlineLevel="0" collapsed="false">
      <c r="A8444" s="6" t="s">
        <v>11056</v>
      </c>
      <c r="B8444" s="6" t="s">
        <v>1779</v>
      </c>
      <c r="C8444" s="6" t="s">
        <v>116</v>
      </c>
      <c r="D8444" s="13" t="n">
        <v>44906</v>
      </c>
      <c r="E8444" s="14" t="n">
        <v>901.88</v>
      </c>
      <c r="F8444" s="14" t="n">
        <v>7293.77</v>
      </c>
      <c r="G8444" s="6" t="s">
        <v>2613</v>
      </c>
    </row>
    <row r="8445" customFormat="false" ht="15" hidden="false" customHeight="true" outlineLevel="0" collapsed="false">
      <c r="A8445" s="6" t="s">
        <v>11057</v>
      </c>
      <c r="B8445" s="6" t="s">
        <v>1779</v>
      </c>
      <c r="C8445" s="6" t="s">
        <v>116</v>
      </c>
      <c r="D8445" s="13" t="n">
        <v>44913</v>
      </c>
      <c r="E8445" s="14" t="n">
        <v>1862.09</v>
      </c>
      <c r="F8445" s="14" t="n">
        <v>9155.86</v>
      </c>
      <c r="G8445" s="6" t="s">
        <v>2613</v>
      </c>
    </row>
    <row r="8446" customFormat="false" ht="15" hidden="false" customHeight="true" outlineLevel="0" collapsed="false">
      <c r="A8446" s="6" t="s">
        <v>11058</v>
      </c>
      <c r="B8446" s="6" t="s">
        <v>1781</v>
      </c>
      <c r="C8446" s="6" t="s">
        <v>131</v>
      </c>
      <c r="D8446" s="13" t="n">
        <v>46017</v>
      </c>
      <c r="E8446" s="14" t="n">
        <v>1645.98</v>
      </c>
      <c r="F8446" s="14" t="n">
        <v>1645.98</v>
      </c>
      <c r="G8446" s="6" t="s">
        <v>2613</v>
      </c>
    </row>
    <row r="8447" customFormat="false" ht="15" hidden="false" customHeight="true" outlineLevel="0" collapsed="false">
      <c r="A8447" s="6" t="s">
        <v>11059</v>
      </c>
      <c r="B8447" s="6" t="s">
        <v>1781</v>
      </c>
      <c r="C8447" s="6" t="s">
        <v>131</v>
      </c>
      <c r="D8447" s="13" t="n">
        <v>46024</v>
      </c>
      <c r="E8447" s="14" t="n">
        <v>1156.06</v>
      </c>
      <c r="F8447" s="14" t="n">
        <v>2802.04</v>
      </c>
      <c r="G8447" s="6" t="s">
        <v>2613</v>
      </c>
    </row>
    <row r="8448" customFormat="false" ht="15" hidden="false" customHeight="true" outlineLevel="0" collapsed="false">
      <c r="A8448" s="6" t="s">
        <v>11060</v>
      </c>
      <c r="B8448" s="6" t="s">
        <v>1781</v>
      </c>
      <c r="C8448" s="6" t="s">
        <v>131</v>
      </c>
      <c r="D8448" s="13" t="n">
        <v>46031</v>
      </c>
      <c r="E8448" s="14" t="n">
        <v>962.2</v>
      </c>
      <c r="F8448" s="14" t="n">
        <v>3764.24</v>
      </c>
      <c r="G8448" s="6" t="s">
        <v>2613</v>
      </c>
    </row>
    <row r="8449" customFormat="false" ht="15" hidden="false" customHeight="true" outlineLevel="0" collapsed="false">
      <c r="A8449" s="6" t="s">
        <v>11061</v>
      </c>
      <c r="B8449" s="6" t="s">
        <v>1781</v>
      </c>
      <c r="C8449" s="6" t="s">
        <v>131</v>
      </c>
      <c r="D8449" s="13" t="n">
        <v>46038</v>
      </c>
      <c r="E8449" s="14" t="n">
        <v>1315.64</v>
      </c>
      <c r="F8449" s="14" t="n">
        <v>5079.88</v>
      </c>
      <c r="G8449" s="6" t="s">
        <v>2613</v>
      </c>
    </row>
    <row r="8450" customFormat="false" ht="15" hidden="false" customHeight="true" outlineLevel="0" collapsed="false">
      <c r="A8450" s="6" t="s">
        <v>11062</v>
      </c>
      <c r="B8450" s="6" t="s">
        <v>1781</v>
      </c>
      <c r="C8450" s="6" t="s">
        <v>131</v>
      </c>
      <c r="D8450" s="13" t="n">
        <v>46045</v>
      </c>
      <c r="E8450" s="14" t="n">
        <v>1505.45</v>
      </c>
      <c r="F8450" s="14" t="n">
        <v>6585.33</v>
      </c>
      <c r="G8450" s="6" t="s">
        <v>2613</v>
      </c>
    </row>
    <row r="8451" customFormat="false" ht="15" hidden="false" customHeight="true" outlineLevel="0" collapsed="false">
      <c r="A8451" s="6" t="s">
        <v>11063</v>
      </c>
      <c r="B8451" s="6" t="s">
        <v>1781</v>
      </c>
      <c r="C8451" s="6" t="s">
        <v>131</v>
      </c>
      <c r="D8451" s="13" t="n">
        <v>46052</v>
      </c>
      <c r="E8451" s="14" t="n">
        <v>1401.65</v>
      </c>
      <c r="F8451" s="14" t="n">
        <v>7986.98</v>
      </c>
      <c r="G8451" s="6" t="s">
        <v>2613</v>
      </c>
    </row>
    <row r="8452" customFormat="false" ht="15" hidden="false" customHeight="true" outlineLevel="0" collapsed="false">
      <c r="A8452" s="6" t="s">
        <v>11064</v>
      </c>
      <c r="B8452" s="6" t="s">
        <v>1783</v>
      </c>
      <c r="C8452" s="6" t="s">
        <v>128</v>
      </c>
      <c r="D8452" s="13" t="n">
        <v>44625</v>
      </c>
      <c r="E8452" s="14" t="n">
        <v>486.22</v>
      </c>
      <c r="F8452" s="14" t="n">
        <v>486.22</v>
      </c>
      <c r="G8452" s="6" t="s">
        <v>2623</v>
      </c>
    </row>
    <row r="8453" customFormat="false" ht="15" hidden="false" customHeight="true" outlineLevel="0" collapsed="false">
      <c r="A8453" s="6" t="s">
        <v>11065</v>
      </c>
      <c r="B8453" s="6" t="s">
        <v>1783</v>
      </c>
      <c r="C8453" s="6" t="s">
        <v>128</v>
      </c>
      <c r="D8453" s="13" t="n">
        <v>44632</v>
      </c>
      <c r="E8453" s="14" t="n">
        <v>588.12</v>
      </c>
      <c r="F8453" s="14" t="n">
        <v>1074.34</v>
      </c>
      <c r="G8453" s="6" t="s">
        <v>2613</v>
      </c>
    </row>
    <row r="8454" customFormat="false" ht="15" hidden="false" customHeight="true" outlineLevel="0" collapsed="false">
      <c r="A8454" s="6" t="s">
        <v>11066</v>
      </c>
      <c r="B8454" s="6" t="s">
        <v>1783</v>
      </c>
      <c r="C8454" s="6" t="s">
        <v>128</v>
      </c>
      <c r="D8454" s="13" t="n">
        <v>44639</v>
      </c>
      <c r="E8454" s="14" t="n">
        <v>542.29</v>
      </c>
      <c r="F8454" s="14" t="n">
        <v>1616.63</v>
      </c>
      <c r="G8454" s="6" t="s">
        <v>2613</v>
      </c>
    </row>
    <row r="8455" customFormat="false" ht="15" hidden="false" customHeight="true" outlineLevel="0" collapsed="false">
      <c r="A8455" s="6" t="s">
        <v>11067</v>
      </c>
      <c r="B8455" s="6" t="s">
        <v>1783</v>
      </c>
      <c r="C8455" s="6" t="s">
        <v>128</v>
      </c>
      <c r="D8455" s="13" t="n">
        <v>44646</v>
      </c>
      <c r="E8455" s="14" t="n">
        <v>363.63</v>
      </c>
      <c r="F8455" s="14" t="n">
        <v>1980.26</v>
      </c>
      <c r="G8455" s="6" t="s">
        <v>2613</v>
      </c>
    </row>
    <row r="8456" customFormat="false" ht="15" hidden="false" customHeight="true" outlineLevel="0" collapsed="false">
      <c r="A8456" s="6" t="s">
        <v>11068</v>
      </c>
      <c r="B8456" s="6" t="s">
        <v>1783</v>
      </c>
      <c r="C8456" s="6" t="s">
        <v>128</v>
      </c>
      <c r="D8456" s="13" t="n">
        <v>44653</v>
      </c>
      <c r="E8456" s="14" t="n">
        <v>632.69</v>
      </c>
      <c r="F8456" s="14" t="n">
        <v>2612.95</v>
      </c>
      <c r="G8456" s="6" t="s">
        <v>2613</v>
      </c>
    </row>
    <row r="8457" customFormat="false" ht="15" hidden="false" customHeight="true" outlineLevel="0" collapsed="false">
      <c r="A8457" s="6" t="s">
        <v>11069</v>
      </c>
      <c r="B8457" s="6" t="s">
        <v>1783</v>
      </c>
      <c r="C8457" s="6" t="s">
        <v>128</v>
      </c>
      <c r="D8457" s="13" t="n">
        <v>44660</v>
      </c>
      <c r="E8457" s="14" t="n">
        <v>277.34</v>
      </c>
      <c r="F8457" s="14" t="n">
        <v>2890.29</v>
      </c>
      <c r="G8457" s="6" t="s">
        <v>2613</v>
      </c>
    </row>
    <row r="8458" customFormat="false" ht="15" hidden="false" customHeight="true" outlineLevel="0" collapsed="false">
      <c r="A8458" s="6" t="s">
        <v>11070</v>
      </c>
      <c r="B8458" s="6" t="s">
        <v>1783</v>
      </c>
      <c r="C8458" s="6" t="s">
        <v>128</v>
      </c>
      <c r="D8458" s="13" t="n">
        <v>44667</v>
      </c>
      <c r="E8458" s="14" t="n">
        <v>514.18</v>
      </c>
      <c r="F8458" s="14" t="n">
        <v>3404.47</v>
      </c>
      <c r="G8458" s="6" t="s">
        <v>2613</v>
      </c>
    </row>
    <row r="8459" customFormat="false" ht="15" hidden="false" customHeight="true" outlineLevel="0" collapsed="false">
      <c r="A8459" s="6" t="s">
        <v>11071</v>
      </c>
      <c r="B8459" s="6" t="s">
        <v>1783</v>
      </c>
      <c r="C8459" s="6" t="s">
        <v>128</v>
      </c>
      <c r="D8459" s="13" t="n">
        <v>44674</v>
      </c>
      <c r="E8459" s="14" t="n">
        <v>451.33</v>
      </c>
      <c r="F8459" s="14" t="n">
        <v>3855.8</v>
      </c>
      <c r="G8459" s="6" t="s">
        <v>2613</v>
      </c>
    </row>
    <row r="8460" customFormat="false" ht="15" hidden="false" customHeight="true" outlineLevel="0" collapsed="false">
      <c r="A8460" s="6" t="s">
        <v>11072</v>
      </c>
      <c r="B8460" s="6" t="s">
        <v>1783</v>
      </c>
      <c r="C8460" s="6" t="s">
        <v>128</v>
      </c>
      <c r="D8460" s="13" t="n">
        <v>44681</v>
      </c>
      <c r="E8460" s="14" t="n">
        <v>283.59</v>
      </c>
      <c r="F8460" s="14" t="n">
        <v>4139.39</v>
      </c>
      <c r="G8460" s="6" t="s">
        <v>2613</v>
      </c>
    </row>
    <row r="8461" customFormat="false" ht="15" hidden="false" customHeight="true" outlineLevel="0" collapsed="false">
      <c r="A8461" s="6" t="s">
        <v>11073</v>
      </c>
      <c r="B8461" s="6" t="s">
        <v>1785</v>
      </c>
      <c r="C8461" s="6" t="s">
        <v>112</v>
      </c>
      <c r="D8461" s="13" t="n">
        <v>45891</v>
      </c>
      <c r="E8461" s="14" t="n">
        <v>9826</v>
      </c>
      <c r="F8461" s="14" t="n">
        <v>9826</v>
      </c>
      <c r="G8461" s="6" t="s">
        <v>2623</v>
      </c>
    </row>
    <row r="8462" customFormat="false" ht="15" hidden="false" customHeight="true" outlineLevel="0" collapsed="false">
      <c r="A8462" s="6" t="s">
        <v>11074</v>
      </c>
      <c r="B8462" s="6" t="s">
        <v>1785</v>
      </c>
      <c r="C8462" s="6" t="s">
        <v>112</v>
      </c>
      <c r="D8462" s="13" t="n">
        <v>45898</v>
      </c>
      <c r="E8462" s="14" t="n">
        <v>16513.81</v>
      </c>
      <c r="F8462" s="14" t="n">
        <v>26339.81</v>
      </c>
      <c r="G8462" s="6" t="s">
        <v>2613</v>
      </c>
    </row>
    <row r="8463" customFormat="false" ht="15" hidden="false" customHeight="true" outlineLevel="0" collapsed="false">
      <c r="A8463" s="6" t="s">
        <v>11075</v>
      </c>
      <c r="B8463" s="6" t="s">
        <v>1785</v>
      </c>
      <c r="C8463" s="6" t="s">
        <v>112</v>
      </c>
      <c r="D8463" s="13" t="n">
        <v>45905</v>
      </c>
      <c r="E8463" s="14" t="n">
        <v>18111.56</v>
      </c>
      <c r="F8463" s="14" t="n">
        <v>44451.37</v>
      </c>
      <c r="G8463" s="6" t="s">
        <v>2613</v>
      </c>
    </row>
    <row r="8464" customFormat="false" ht="15" hidden="false" customHeight="true" outlineLevel="0" collapsed="false">
      <c r="A8464" s="6" t="s">
        <v>11076</v>
      </c>
      <c r="B8464" s="6" t="s">
        <v>1785</v>
      </c>
      <c r="C8464" s="6" t="s">
        <v>112</v>
      </c>
      <c r="D8464" s="13" t="n">
        <v>45912</v>
      </c>
      <c r="E8464" s="14" t="n">
        <v>17283.39</v>
      </c>
      <c r="F8464" s="14" t="n">
        <v>61734.76</v>
      </c>
      <c r="G8464" s="6" t="s">
        <v>2613</v>
      </c>
    </row>
    <row r="8465" customFormat="false" ht="15" hidden="false" customHeight="true" outlineLevel="0" collapsed="false">
      <c r="A8465" s="6" t="s">
        <v>11077</v>
      </c>
      <c r="B8465" s="6" t="s">
        <v>1785</v>
      </c>
      <c r="C8465" s="6" t="s">
        <v>112</v>
      </c>
      <c r="D8465" s="13" t="n">
        <v>45919</v>
      </c>
      <c r="E8465" s="14" t="n">
        <v>18399.96</v>
      </c>
      <c r="F8465" s="14" t="n">
        <v>80134.72</v>
      </c>
      <c r="G8465" s="6" t="s">
        <v>2613</v>
      </c>
    </row>
    <row r="8466" customFormat="false" ht="15" hidden="false" customHeight="true" outlineLevel="0" collapsed="false">
      <c r="A8466" s="6" t="s">
        <v>11078</v>
      </c>
      <c r="B8466" s="6" t="s">
        <v>1785</v>
      </c>
      <c r="C8466" s="6" t="s">
        <v>112</v>
      </c>
      <c r="D8466" s="13" t="n">
        <v>45926</v>
      </c>
      <c r="E8466" s="14" t="n">
        <v>417.42</v>
      </c>
      <c r="F8466" s="14" t="n">
        <v>80552.14</v>
      </c>
      <c r="G8466" s="6" t="s">
        <v>2613</v>
      </c>
    </row>
    <row r="8467" customFormat="false" ht="15" hidden="false" customHeight="true" outlineLevel="0" collapsed="false">
      <c r="A8467" s="6" t="s">
        <v>11079</v>
      </c>
      <c r="B8467" s="6" t="s">
        <v>1787</v>
      </c>
      <c r="C8467" s="6" t="s">
        <v>124</v>
      </c>
      <c r="D8467" s="13" t="n">
        <v>45906</v>
      </c>
      <c r="E8467" s="14" t="n">
        <v>2427.17</v>
      </c>
      <c r="F8467" s="14" t="n">
        <v>2427.17</v>
      </c>
      <c r="G8467" s="6" t="s">
        <v>2613</v>
      </c>
    </row>
    <row r="8468" customFormat="false" ht="15" hidden="false" customHeight="true" outlineLevel="0" collapsed="false">
      <c r="A8468" s="6" t="s">
        <v>11080</v>
      </c>
      <c r="B8468" s="6" t="s">
        <v>1787</v>
      </c>
      <c r="C8468" s="6" t="s">
        <v>124</v>
      </c>
      <c r="D8468" s="13" t="n">
        <v>45913</v>
      </c>
      <c r="E8468" s="14" t="n">
        <v>1888.45</v>
      </c>
      <c r="F8468" s="14" t="n">
        <v>4315.62</v>
      </c>
      <c r="G8468" s="6" t="s">
        <v>2613</v>
      </c>
    </row>
    <row r="8469" customFormat="false" ht="15" hidden="false" customHeight="true" outlineLevel="0" collapsed="false">
      <c r="A8469" s="6" t="s">
        <v>11081</v>
      </c>
      <c r="B8469" s="6" t="s">
        <v>1787</v>
      </c>
      <c r="C8469" s="6" t="s">
        <v>124</v>
      </c>
      <c r="D8469" s="13" t="n">
        <v>45920</v>
      </c>
      <c r="E8469" s="14" t="n">
        <v>2197.38</v>
      </c>
      <c r="F8469" s="14" t="n">
        <v>6513</v>
      </c>
      <c r="G8469" s="6" t="s">
        <v>2613</v>
      </c>
    </row>
    <row r="8470" customFormat="false" ht="15" hidden="false" customHeight="true" outlineLevel="0" collapsed="false">
      <c r="A8470" s="6" t="s">
        <v>11082</v>
      </c>
      <c r="B8470" s="6" t="s">
        <v>1787</v>
      </c>
      <c r="C8470" s="6" t="s">
        <v>124</v>
      </c>
      <c r="D8470" s="13" t="n">
        <v>45927</v>
      </c>
      <c r="E8470" s="14" t="n">
        <v>1906.64</v>
      </c>
      <c r="F8470" s="14" t="n">
        <v>8419.64</v>
      </c>
      <c r="G8470" s="6" t="s">
        <v>2613</v>
      </c>
    </row>
    <row r="8471" customFormat="false" ht="15" hidden="false" customHeight="true" outlineLevel="0" collapsed="false">
      <c r="A8471" s="6" t="s">
        <v>11083</v>
      </c>
      <c r="B8471" s="6" t="s">
        <v>1787</v>
      </c>
      <c r="C8471" s="6" t="s">
        <v>124</v>
      </c>
      <c r="D8471" s="13" t="n">
        <v>45934</v>
      </c>
      <c r="E8471" s="14" t="n">
        <v>2363.84</v>
      </c>
      <c r="F8471" s="14" t="n">
        <v>10783.48</v>
      </c>
      <c r="G8471" s="6" t="s">
        <v>2613</v>
      </c>
    </row>
    <row r="8472" customFormat="false" ht="15" hidden="false" customHeight="true" outlineLevel="0" collapsed="false">
      <c r="A8472" s="6" t="s">
        <v>11084</v>
      </c>
      <c r="B8472" s="6" t="s">
        <v>1787</v>
      </c>
      <c r="C8472" s="6" t="s">
        <v>124</v>
      </c>
      <c r="D8472" s="13" t="n">
        <v>45941</v>
      </c>
      <c r="E8472" s="14" t="n">
        <v>2181</v>
      </c>
      <c r="F8472" s="14" t="n">
        <v>12964.48</v>
      </c>
      <c r="G8472" s="6" t="s">
        <v>2613</v>
      </c>
    </row>
    <row r="8473" customFormat="false" ht="15" hidden="false" customHeight="true" outlineLevel="0" collapsed="false">
      <c r="A8473" s="6" t="s">
        <v>11085</v>
      </c>
      <c r="B8473" s="6" t="s">
        <v>1787</v>
      </c>
      <c r="C8473" s="6" t="s">
        <v>124</v>
      </c>
      <c r="D8473" s="13" t="n">
        <v>45948</v>
      </c>
      <c r="E8473" s="14" t="n">
        <v>2571.4</v>
      </c>
      <c r="F8473" s="14" t="n">
        <v>15535.88</v>
      </c>
      <c r="G8473" s="6" t="s">
        <v>2613</v>
      </c>
    </row>
    <row r="8474" customFormat="false" ht="15" hidden="false" customHeight="true" outlineLevel="0" collapsed="false">
      <c r="A8474" s="6" t="s">
        <v>11086</v>
      </c>
      <c r="B8474" s="6" t="s">
        <v>1787</v>
      </c>
      <c r="C8474" s="6" t="s">
        <v>124</v>
      </c>
      <c r="D8474" s="13" t="n">
        <v>45955</v>
      </c>
      <c r="E8474" s="14" t="n">
        <v>2160.97</v>
      </c>
      <c r="F8474" s="14" t="n">
        <v>17696.85</v>
      </c>
      <c r="G8474" s="6" t="s">
        <v>2613</v>
      </c>
    </row>
    <row r="8475" customFormat="false" ht="15" hidden="false" customHeight="true" outlineLevel="0" collapsed="false">
      <c r="A8475" s="6" t="s">
        <v>11087</v>
      </c>
      <c r="B8475" s="6" t="s">
        <v>1787</v>
      </c>
      <c r="C8475" s="6" t="s">
        <v>124</v>
      </c>
      <c r="D8475" s="13" t="n">
        <v>45962</v>
      </c>
      <c r="E8475" s="14" t="n">
        <v>1960.67</v>
      </c>
      <c r="F8475" s="14" t="n">
        <v>19657.52</v>
      </c>
      <c r="G8475" s="6" t="s">
        <v>2613</v>
      </c>
    </row>
    <row r="8476" customFormat="false" ht="15" hidden="false" customHeight="true" outlineLevel="0" collapsed="false">
      <c r="A8476" s="6" t="s">
        <v>11088</v>
      </c>
      <c r="B8476" s="6" t="s">
        <v>1787</v>
      </c>
      <c r="C8476" s="6" t="s">
        <v>124</v>
      </c>
      <c r="D8476" s="13" t="n">
        <v>45969</v>
      </c>
      <c r="E8476" s="14" t="n">
        <v>2545.69</v>
      </c>
      <c r="F8476" s="14" t="n">
        <v>22203.21</v>
      </c>
      <c r="G8476" s="6" t="s">
        <v>2613</v>
      </c>
    </row>
    <row r="8477" customFormat="false" ht="15" hidden="false" customHeight="true" outlineLevel="0" collapsed="false">
      <c r="A8477" s="6" t="s">
        <v>11089</v>
      </c>
      <c r="B8477" s="6" t="s">
        <v>1787</v>
      </c>
      <c r="C8477" s="6" t="s">
        <v>124</v>
      </c>
      <c r="D8477" s="13" t="n">
        <v>45976</v>
      </c>
      <c r="E8477" s="14" t="n">
        <v>1354.42</v>
      </c>
      <c r="F8477" s="14" t="n">
        <v>23557.63</v>
      </c>
      <c r="G8477" s="6" t="s">
        <v>2613</v>
      </c>
    </row>
    <row r="8478" customFormat="false" ht="15" hidden="false" customHeight="true" outlineLevel="0" collapsed="false">
      <c r="A8478" s="6" t="s">
        <v>11090</v>
      </c>
      <c r="B8478" s="6" t="s">
        <v>1787</v>
      </c>
      <c r="C8478" s="6" t="s">
        <v>124</v>
      </c>
      <c r="D8478" s="13" t="n">
        <v>45983</v>
      </c>
      <c r="E8478" s="14" t="n">
        <v>2365.71</v>
      </c>
      <c r="F8478" s="14" t="n">
        <v>25923.34</v>
      </c>
      <c r="G8478" s="6" t="s">
        <v>2613</v>
      </c>
    </row>
    <row r="8479" customFormat="false" ht="15" hidden="false" customHeight="true" outlineLevel="0" collapsed="false">
      <c r="A8479" s="6" t="s">
        <v>11091</v>
      </c>
      <c r="B8479" s="6" t="s">
        <v>1787</v>
      </c>
      <c r="C8479" s="6" t="s">
        <v>124</v>
      </c>
      <c r="D8479" s="13" t="n">
        <v>45990</v>
      </c>
      <c r="E8479" s="14" t="n">
        <v>1531.5</v>
      </c>
      <c r="F8479" s="14" t="n">
        <v>27454.84</v>
      </c>
      <c r="G8479" s="6" t="s">
        <v>2613</v>
      </c>
    </row>
    <row r="8480" customFormat="false" ht="15" hidden="false" customHeight="true" outlineLevel="0" collapsed="false">
      <c r="A8480" s="6" t="s">
        <v>11092</v>
      </c>
      <c r="B8480" s="6" t="s">
        <v>1787</v>
      </c>
      <c r="C8480" s="6" t="s">
        <v>124</v>
      </c>
      <c r="D8480" s="13" t="n">
        <v>45997</v>
      </c>
      <c r="E8480" s="14" t="n">
        <v>2245.53</v>
      </c>
      <c r="F8480" s="14" t="n">
        <v>29700.37</v>
      </c>
      <c r="G8480" s="6" t="s">
        <v>2623</v>
      </c>
    </row>
    <row r="8481" customFormat="false" ht="15" hidden="false" customHeight="true" outlineLevel="0" collapsed="false">
      <c r="A8481" s="6" t="s">
        <v>11093</v>
      </c>
      <c r="B8481" s="6" t="s">
        <v>1787</v>
      </c>
      <c r="C8481" s="6" t="s">
        <v>124</v>
      </c>
      <c r="D8481" s="13" t="n">
        <v>46004</v>
      </c>
      <c r="E8481" s="14" t="n">
        <v>1427.42</v>
      </c>
      <c r="F8481" s="14" t="n">
        <v>31127.79</v>
      </c>
      <c r="G8481" s="6" t="s">
        <v>2613</v>
      </c>
    </row>
    <row r="8482" customFormat="false" ht="15" hidden="false" customHeight="true" outlineLevel="0" collapsed="false">
      <c r="A8482" s="6" t="s">
        <v>11094</v>
      </c>
      <c r="B8482" s="6" t="s">
        <v>1787</v>
      </c>
      <c r="C8482" s="6" t="s">
        <v>124</v>
      </c>
      <c r="D8482" s="13" t="n">
        <v>46011</v>
      </c>
      <c r="E8482" s="14" t="n">
        <v>1254.54</v>
      </c>
      <c r="F8482" s="14" t="n">
        <v>32382.33</v>
      </c>
      <c r="G8482" s="6" t="s">
        <v>2613</v>
      </c>
    </row>
    <row r="8483" customFormat="false" ht="15" hidden="false" customHeight="true" outlineLevel="0" collapsed="false">
      <c r="A8483" s="6" t="s">
        <v>11095</v>
      </c>
      <c r="B8483" s="6" t="s">
        <v>1787</v>
      </c>
      <c r="C8483" s="6" t="s">
        <v>124</v>
      </c>
      <c r="D8483" s="13" t="n">
        <v>46018</v>
      </c>
      <c r="E8483" s="14" t="n">
        <v>1606.14</v>
      </c>
      <c r="F8483" s="14" t="n">
        <v>33988.47</v>
      </c>
      <c r="G8483" s="6" t="s">
        <v>2613</v>
      </c>
    </row>
    <row r="8484" customFormat="false" ht="15" hidden="false" customHeight="true" outlineLevel="0" collapsed="false">
      <c r="A8484" s="6" t="s">
        <v>11096</v>
      </c>
      <c r="B8484" s="6" t="s">
        <v>1787</v>
      </c>
      <c r="C8484" s="6" t="s">
        <v>124</v>
      </c>
      <c r="D8484" s="13" t="n">
        <v>46025</v>
      </c>
      <c r="E8484" s="14" t="n">
        <v>1433.75</v>
      </c>
      <c r="F8484" s="14" t="n">
        <v>35422.22</v>
      </c>
      <c r="G8484" s="6" t="s">
        <v>2623</v>
      </c>
    </row>
    <row r="8485" customFormat="false" ht="15" hidden="false" customHeight="true" outlineLevel="0" collapsed="false">
      <c r="A8485" s="6" t="s">
        <v>11097</v>
      </c>
      <c r="B8485" s="6" t="s">
        <v>1789</v>
      </c>
      <c r="C8485" s="6" t="s">
        <v>120</v>
      </c>
      <c r="D8485" s="13" t="n">
        <v>46000</v>
      </c>
      <c r="E8485" s="14" t="n">
        <v>2381.8</v>
      </c>
      <c r="F8485" s="14" t="n">
        <v>2381.8</v>
      </c>
      <c r="G8485" s="6" t="s">
        <v>2613</v>
      </c>
    </row>
    <row r="8486" customFormat="false" ht="15" hidden="false" customHeight="true" outlineLevel="0" collapsed="false">
      <c r="A8486" s="6" t="s">
        <v>11098</v>
      </c>
      <c r="B8486" s="6" t="s">
        <v>1789</v>
      </c>
      <c r="C8486" s="6" t="s">
        <v>120</v>
      </c>
      <c r="D8486" s="13" t="n">
        <v>46007</v>
      </c>
      <c r="E8486" s="14" t="n">
        <v>1876.07</v>
      </c>
      <c r="F8486" s="14" t="n">
        <v>4257.87</v>
      </c>
      <c r="G8486" s="6" t="s">
        <v>2613</v>
      </c>
    </row>
    <row r="8487" customFormat="false" ht="15" hidden="false" customHeight="true" outlineLevel="0" collapsed="false">
      <c r="A8487" s="6" t="s">
        <v>11099</v>
      </c>
      <c r="B8487" s="6" t="s">
        <v>1789</v>
      </c>
      <c r="C8487" s="6" t="s">
        <v>120</v>
      </c>
      <c r="D8487" s="13" t="n">
        <v>46014</v>
      </c>
      <c r="E8487" s="14" t="n">
        <v>3125.87</v>
      </c>
      <c r="F8487" s="14" t="n">
        <v>7383.74</v>
      </c>
      <c r="G8487" s="6" t="s">
        <v>2613</v>
      </c>
    </row>
    <row r="8488" customFormat="false" ht="15" hidden="false" customHeight="true" outlineLevel="0" collapsed="false">
      <c r="A8488" s="6" t="s">
        <v>11100</v>
      </c>
      <c r="B8488" s="6" t="s">
        <v>1789</v>
      </c>
      <c r="C8488" s="6" t="s">
        <v>120</v>
      </c>
      <c r="D8488" s="13" t="n">
        <v>46021</v>
      </c>
      <c r="E8488" s="14" t="n">
        <v>1816.03</v>
      </c>
      <c r="F8488" s="14" t="n">
        <v>9199.77</v>
      </c>
      <c r="G8488" s="6" t="s">
        <v>2613</v>
      </c>
    </row>
    <row r="8489" customFormat="false" ht="15" hidden="false" customHeight="true" outlineLevel="0" collapsed="false">
      <c r="A8489" s="6" t="s">
        <v>11101</v>
      </c>
      <c r="B8489" s="6" t="s">
        <v>1789</v>
      </c>
      <c r="C8489" s="6" t="s">
        <v>120</v>
      </c>
      <c r="D8489" s="13" t="n">
        <v>46028</v>
      </c>
      <c r="E8489" s="14" t="n">
        <v>2747.08</v>
      </c>
      <c r="F8489" s="14" t="n">
        <v>11946.85</v>
      </c>
      <c r="G8489" s="6" t="s">
        <v>2613</v>
      </c>
    </row>
    <row r="8490" customFormat="false" ht="15" hidden="false" customHeight="true" outlineLevel="0" collapsed="false">
      <c r="A8490" s="6" t="s">
        <v>11102</v>
      </c>
      <c r="B8490" s="6" t="s">
        <v>1789</v>
      </c>
      <c r="C8490" s="6" t="s">
        <v>120</v>
      </c>
      <c r="D8490" s="13" t="n">
        <v>46035</v>
      </c>
      <c r="E8490" s="14" t="n">
        <v>1984.47</v>
      </c>
      <c r="F8490" s="14" t="n">
        <v>13931.32</v>
      </c>
      <c r="G8490" s="6" t="s">
        <v>2613</v>
      </c>
    </row>
    <row r="8491" customFormat="false" ht="15" hidden="false" customHeight="true" outlineLevel="0" collapsed="false">
      <c r="A8491" s="6" t="s">
        <v>11103</v>
      </c>
      <c r="B8491" s="6" t="s">
        <v>1789</v>
      </c>
      <c r="C8491" s="6" t="s">
        <v>120</v>
      </c>
      <c r="D8491" s="13" t="n">
        <v>46042</v>
      </c>
      <c r="E8491" s="14" t="n">
        <v>2005.13</v>
      </c>
      <c r="F8491" s="14" t="n">
        <v>15936.45</v>
      </c>
      <c r="G8491" s="6" t="s">
        <v>2613</v>
      </c>
    </row>
    <row r="8492" customFormat="false" ht="15" hidden="false" customHeight="true" outlineLevel="0" collapsed="false">
      <c r="A8492" s="6" t="s">
        <v>11104</v>
      </c>
      <c r="B8492" s="6" t="s">
        <v>1789</v>
      </c>
      <c r="C8492" s="6" t="s">
        <v>120</v>
      </c>
      <c r="D8492" s="13" t="n">
        <v>46049</v>
      </c>
      <c r="E8492" s="14" t="n">
        <v>1705.87</v>
      </c>
      <c r="F8492" s="14" t="n">
        <v>17642.32</v>
      </c>
      <c r="G8492" s="6" t="s">
        <v>2613</v>
      </c>
    </row>
    <row r="8493" customFormat="false" ht="15" hidden="false" customHeight="true" outlineLevel="0" collapsed="false">
      <c r="A8493" s="6" t="s">
        <v>11105</v>
      </c>
      <c r="B8493" s="6" t="s">
        <v>1789</v>
      </c>
      <c r="C8493" s="6" t="s">
        <v>120</v>
      </c>
      <c r="D8493" s="13" t="n">
        <v>46056</v>
      </c>
      <c r="E8493" s="14" t="n">
        <v>3419.7</v>
      </c>
      <c r="F8493" s="14" t="n">
        <v>21062.02</v>
      </c>
      <c r="G8493" s="6" t="s">
        <v>2613</v>
      </c>
    </row>
    <row r="8494" customFormat="false" ht="15" hidden="false" customHeight="true" outlineLevel="0" collapsed="false">
      <c r="A8494" s="6" t="s">
        <v>11106</v>
      </c>
      <c r="B8494" s="6" t="s">
        <v>1789</v>
      </c>
      <c r="C8494" s="6" t="s">
        <v>120</v>
      </c>
      <c r="D8494" s="13" t="n">
        <v>46063</v>
      </c>
      <c r="E8494" s="14" t="n">
        <v>1652.97</v>
      </c>
      <c r="F8494" s="14" t="n">
        <v>22714.99</v>
      </c>
      <c r="G8494" s="6" t="s">
        <v>2613</v>
      </c>
    </row>
    <row r="8495" customFormat="false" ht="15" hidden="false" customHeight="true" outlineLevel="0" collapsed="false">
      <c r="A8495" s="6" t="s">
        <v>11107</v>
      </c>
      <c r="B8495" s="6" t="s">
        <v>1789</v>
      </c>
      <c r="C8495" s="6" t="s">
        <v>120</v>
      </c>
      <c r="D8495" s="13" t="n">
        <v>46070</v>
      </c>
      <c r="E8495" s="14" t="n">
        <v>2211.91</v>
      </c>
      <c r="F8495" s="14" t="n">
        <v>24926.9</v>
      </c>
      <c r="G8495" s="6" t="s">
        <v>2613</v>
      </c>
    </row>
    <row r="8496" customFormat="false" ht="15" hidden="false" customHeight="true" outlineLevel="0" collapsed="false">
      <c r="A8496" s="6" t="s">
        <v>11108</v>
      </c>
      <c r="B8496" s="6" t="s">
        <v>1789</v>
      </c>
      <c r="C8496" s="6" t="s">
        <v>120</v>
      </c>
      <c r="D8496" s="13" t="n">
        <v>46077</v>
      </c>
      <c r="E8496" s="14" t="n">
        <v>1755.35</v>
      </c>
      <c r="F8496" s="14" t="n">
        <v>26682.25</v>
      </c>
      <c r="G8496" s="6" t="s">
        <v>2613</v>
      </c>
    </row>
    <row r="8497" customFormat="false" ht="15" hidden="false" customHeight="true" outlineLevel="0" collapsed="false">
      <c r="A8497" s="6" t="s">
        <v>11109</v>
      </c>
      <c r="B8497" s="6" t="s">
        <v>1789</v>
      </c>
      <c r="C8497" s="6" t="s">
        <v>120</v>
      </c>
      <c r="D8497" s="13" t="n">
        <v>46084</v>
      </c>
      <c r="E8497" s="14" t="n">
        <v>3070.55</v>
      </c>
      <c r="F8497" s="14" t="n">
        <v>29752.8</v>
      </c>
      <c r="G8497" s="6" t="s">
        <v>2613</v>
      </c>
    </row>
    <row r="8498" customFormat="false" ht="15" hidden="false" customHeight="true" outlineLevel="0" collapsed="false">
      <c r="A8498" s="6" t="s">
        <v>11110</v>
      </c>
      <c r="B8498" s="6" t="s">
        <v>1789</v>
      </c>
      <c r="C8498" s="6" t="s">
        <v>120</v>
      </c>
      <c r="D8498" s="13" t="n">
        <v>46091</v>
      </c>
      <c r="E8498" s="14" t="n">
        <v>1905.68</v>
      </c>
      <c r="F8498" s="14" t="n">
        <v>31658.48</v>
      </c>
      <c r="G8498" s="6" t="s">
        <v>2613</v>
      </c>
    </row>
    <row r="8499" customFormat="false" ht="15" hidden="false" customHeight="true" outlineLevel="0" collapsed="false">
      <c r="A8499" s="6" t="s">
        <v>11111</v>
      </c>
      <c r="B8499" s="6" t="s">
        <v>1789</v>
      </c>
      <c r="C8499" s="6" t="s">
        <v>120</v>
      </c>
      <c r="D8499" s="13" t="n">
        <v>46098</v>
      </c>
      <c r="E8499" s="14" t="n">
        <v>1667.66</v>
      </c>
      <c r="F8499" s="14" t="n">
        <v>33326.14</v>
      </c>
      <c r="G8499" s="6" t="s">
        <v>2613</v>
      </c>
    </row>
    <row r="8500" customFormat="false" ht="15" hidden="false" customHeight="true" outlineLevel="0" collapsed="false">
      <c r="A8500" s="6" t="s">
        <v>11112</v>
      </c>
      <c r="B8500" s="6" t="s">
        <v>1789</v>
      </c>
      <c r="C8500" s="6" t="s">
        <v>120</v>
      </c>
      <c r="D8500" s="13" t="n">
        <v>46105</v>
      </c>
      <c r="E8500" s="14" t="n">
        <v>3303.87</v>
      </c>
      <c r="F8500" s="14" t="n">
        <v>36630.01</v>
      </c>
      <c r="G8500" s="6" t="s">
        <v>2613</v>
      </c>
    </row>
    <row r="8501" customFormat="false" ht="15" hidden="false" customHeight="true" outlineLevel="0" collapsed="false">
      <c r="A8501" s="6" t="s">
        <v>11113</v>
      </c>
      <c r="B8501" s="6" t="s">
        <v>1789</v>
      </c>
      <c r="C8501" s="6" t="s">
        <v>120</v>
      </c>
      <c r="D8501" s="13" t="n">
        <v>46112</v>
      </c>
      <c r="E8501" s="14" t="n">
        <v>6807.39</v>
      </c>
      <c r="F8501" s="14" t="n">
        <v>43437.4</v>
      </c>
      <c r="G8501" s="6" t="s">
        <v>2613</v>
      </c>
    </row>
    <row r="8502" customFormat="false" ht="15" hidden="false" customHeight="true" outlineLevel="0" collapsed="false">
      <c r="A8502" s="6" t="s">
        <v>11114</v>
      </c>
      <c r="B8502" s="6" t="s">
        <v>1791</v>
      </c>
      <c r="C8502" s="6" t="s">
        <v>112</v>
      </c>
      <c r="D8502" s="13" t="n">
        <v>45487</v>
      </c>
      <c r="E8502" s="14" t="n">
        <v>2353.49</v>
      </c>
      <c r="F8502" s="14" t="n">
        <v>2353.49</v>
      </c>
      <c r="G8502" s="6" t="s">
        <v>2613</v>
      </c>
    </row>
    <row r="8503" customFormat="false" ht="15" hidden="false" customHeight="true" outlineLevel="0" collapsed="false">
      <c r="A8503" s="6" t="s">
        <v>11115</v>
      </c>
      <c r="B8503" s="6" t="s">
        <v>1791</v>
      </c>
      <c r="C8503" s="6" t="s">
        <v>112</v>
      </c>
      <c r="D8503" s="13" t="n">
        <v>45494</v>
      </c>
      <c r="E8503" s="14" t="n">
        <v>2813.21</v>
      </c>
      <c r="F8503" s="14" t="n">
        <v>5166.7</v>
      </c>
      <c r="G8503" s="6" t="s">
        <v>2613</v>
      </c>
    </row>
    <row r="8504" customFormat="false" ht="15" hidden="false" customHeight="true" outlineLevel="0" collapsed="false">
      <c r="A8504" s="6" t="s">
        <v>11116</v>
      </c>
      <c r="B8504" s="6" t="s">
        <v>1791</v>
      </c>
      <c r="C8504" s="6" t="s">
        <v>112</v>
      </c>
      <c r="D8504" s="13" t="n">
        <v>45501</v>
      </c>
      <c r="E8504" s="14" t="n">
        <v>2481.67</v>
      </c>
      <c r="F8504" s="14" t="n">
        <v>7648.37</v>
      </c>
      <c r="G8504" s="6" t="s">
        <v>2613</v>
      </c>
    </row>
    <row r="8505" customFormat="false" ht="15" hidden="false" customHeight="true" outlineLevel="0" collapsed="false">
      <c r="A8505" s="6" t="s">
        <v>11117</v>
      </c>
      <c r="B8505" s="6" t="s">
        <v>1791</v>
      </c>
      <c r="C8505" s="6" t="s">
        <v>112</v>
      </c>
      <c r="D8505" s="13" t="n">
        <v>45508</v>
      </c>
      <c r="E8505" s="14" t="n">
        <v>2072.98</v>
      </c>
      <c r="F8505" s="14" t="n">
        <v>9721.35</v>
      </c>
      <c r="G8505" s="6" t="s">
        <v>2613</v>
      </c>
    </row>
    <row r="8506" customFormat="false" ht="15" hidden="false" customHeight="true" outlineLevel="0" collapsed="false">
      <c r="A8506" s="6" t="s">
        <v>11118</v>
      </c>
      <c r="B8506" s="6" t="s">
        <v>1791</v>
      </c>
      <c r="C8506" s="6" t="s">
        <v>112</v>
      </c>
      <c r="D8506" s="13" t="n">
        <v>45515</v>
      </c>
      <c r="E8506" s="14" t="n">
        <v>2563.64</v>
      </c>
      <c r="F8506" s="14" t="n">
        <v>12284.99</v>
      </c>
      <c r="G8506" s="6" t="s">
        <v>2613</v>
      </c>
    </row>
    <row r="8507" customFormat="false" ht="15" hidden="false" customHeight="true" outlineLevel="0" collapsed="false">
      <c r="A8507" s="6" t="s">
        <v>11119</v>
      </c>
      <c r="B8507" s="6" t="s">
        <v>1791</v>
      </c>
      <c r="C8507" s="6" t="s">
        <v>112</v>
      </c>
      <c r="D8507" s="13" t="n">
        <v>45522</v>
      </c>
      <c r="E8507" s="14" t="n">
        <v>2747.83</v>
      </c>
      <c r="F8507" s="14" t="n">
        <v>15032.82</v>
      </c>
      <c r="G8507" s="6" t="s">
        <v>2623</v>
      </c>
    </row>
    <row r="8508" customFormat="false" ht="15" hidden="false" customHeight="true" outlineLevel="0" collapsed="false">
      <c r="A8508" s="6" t="s">
        <v>11120</v>
      </c>
      <c r="B8508" s="6" t="s">
        <v>1791</v>
      </c>
      <c r="C8508" s="6" t="s">
        <v>112</v>
      </c>
      <c r="D8508" s="13" t="n">
        <v>45529</v>
      </c>
      <c r="E8508" s="14" t="n">
        <v>1958.71</v>
      </c>
      <c r="F8508" s="14" t="n">
        <v>16991.53</v>
      </c>
      <c r="G8508" s="6" t="s">
        <v>2613</v>
      </c>
    </row>
    <row r="8509" customFormat="false" ht="15" hidden="false" customHeight="true" outlineLevel="0" collapsed="false">
      <c r="A8509" s="6" t="s">
        <v>11121</v>
      </c>
      <c r="B8509" s="6" t="s">
        <v>1791</v>
      </c>
      <c r="C8509" s="6" t="s">
        <v>112</v>
      </c>
      <c r="D8509" s="13" t="n">
        <v>45536</v>
      </c>
      <c r="E8509" s="14" t="n">
        <v>767.89</v>
      </c>
      <c r="F8509" s="14" t="n">
        <v>17759.42</v>
      </c>
      <c r="G8509" s="6" t="s">
        <v>2623</v>
      </c>
    </row>
    <row r="8510" customFormat="false" ht="15" hidden="false" customHeight="true" outlineLevel="0" collapsed="false">
      <c r="A8510" s="6" t="s">
        <v>11122</v>
      </c>
      <c r="B8510" s="6" t="s">
        <v>1793</v>
      </c>
      <c r="C8510" s="6" t="s">
        <v>116</v>
      </c>
      <c r="D8510" s="13" t="n">
        <v>45721</v>
      </c>
      <c r="E8510" s="14" t="n">
        <v>3083.72</v>
      </c>
      <c r="F8510" s="14" t="n">
        <v>3083.72</v>
      </c>
      <c r="G8510" s="6" t="s">
        <v>2623</v>
      </c>
    </row>
    <row r="8511" customFormat="false" ht="15" hidden="false" customHeight="true" outlineLevel="0" collapsed="false">
      <c r="A8511" s="6" t="s">
        <v>11123</v>
      </c>
      <c r="B8511" s="6" t="s">
        <v>1793</v>
      </c>
      <c r="C8511" s="6" t="s">
        <v>116</v>
      </c>
      <c r="D8511" s="13" t="n">
        <v>45728</v>
      </c>
      <c r="E8511" s="14" t="n">
        <v>1882.09</v>
      </c>
      <c r="F8511" s="14" t="n">
        <v>4965.81</v>
      </c>
      <c r="G8511" s="6" t="s">
        <v>2613</v>
      </c>
    </row>
    <row r="8512" customFormat="false" ht="15" hidden="false" customHeight="true" outlineLevel="0" collapsed="false">
      <c r="A8512" s="6" t="s">
        <v>11124</v>
      </c>
      <c r="B8512" s="6" t="s">
        <v>1793</v>
      </c>
      <c r="C8512" s="6" t="s">
        <v>116</v>
      </c>
      <c r="D8512" s="13" t="n">
        <v>45735</v>
      </c>
      <c r="E8512" s="14" t="n">
        <v>1464.58</v>
      </c>
      <c r="F8512" s="14" t="n">
        <v>6430.39</v>
      </c>
      <c r="G8512" s="6" t="s">
        <v>2613</v>
      </c>
    </row>
    <row r="8513" customFormat="false" ht="15" hidden="false" customHeight="true" outlineLevel="0" collapsed="false">
      <c r="A8513" s="6" t="s">
        <v>11125</v>
      </c>
      <c r="B8513" s="6" t="s">
        <v>1793</v>
      </c>
      <c r="C8513" s="6" t="s">
        <v>116</v>
      </c>
      <c r="D8513" s="13" t="n">
        <v>45742</v>
      </c>
      <c r="E8513" s="14" t="n">
        <v>1902.06</v>
      </c>
      <c r="F8513" s="14" t="n">
        <v>8332.45</v>
      </c>
      <c r="G8513" s="6" t="s">
        <v>2613</v>
      </c>
    </row>
    <row r="8514" customFormat="false" ht="15" hidden="false" customHeight="true" outlineLevel="0" collapsed="false">
      <c r="A8514" s="6" t="s">
        <v>11126</v>
      </c>
      <c r="B8514" s="6" t="s">
        <v>1793</v>
      </c>
      <c r="C8514" s="6" t="s">
        <v>116</v>
      </c>
      <c r="D8514" s="13" t="n">
        <v>45749</v>
      </c>
      <c r="E8514" s="14" t="n">
        <v>2245.07</v>
      </c>
      <c r="F8514" s="14" t="n">
        <v>10577.52</v>
      </c>
      <c r="G8514" s="6" t="s">
        <v>2613</v>
      </c>
    </row>
    <row r="8515" customFormat="false" ht="15" hidden="false" customHeight="true" outlineLevel="0" collapsed="false">
      <c r="A8515" s="6" t="s">
        <v>11127</v>
      </c>
      <c r="B8515" s="6" t="s">
        <v>1793</v>
      </c>
      <c r="C8515" s="6" t="s">
        <v>116</v>
      </c>
      <c r="D8515" s="13" t="n">
        <v>45756</v>
      </c>
      <c r="E8515" s="14" t="n">
        <v>2664.81</v>
      </c>
      <c r="F8515" s="14" t="n">
        <v>13242.33</v>
      </c>
      <c r="G8515" s="6" t="s">
        <v>2613</v>
      </c>
    </row>
    <row r="8516" customFormat="false" ht="15" hidden="false" customHeight="true" outlineLevel="0" collapsed="false">
      <c r="A8516" s="6" t="s">
        <v>11128</v>
      </c>
      <c r="B8516" s="6" t="s">
        <v>1793</v>
      </c>
      <c r="C8516" s="6" t="s">
        <v>116</v>
      </c>
      <c r="D8516" s="13" t="n">
        <v>45763</v>
      </c>
      <c r="E8516" s="14" t="n">
        <v>1808.98</v>
      </c>
      <c r="F8516" s="14" t="n">
        <v>15051.31</v>
      </c>
      <c r="G8516" s="6" t="s">
        <v>2613</v>
      </c>
    </row>
    <row r="8517" customFormat="false" ht="15" hidden="false" customHeight="true" outlineLevel="0" collapsed="false">
      <c r="A8517" s="6" t="s">
        <v>11129</v>
      </c>
      <c r="B8517" s="6" t="s">
        <v>1793</v>
      </c>
      <c r="C8517" s="6" t="s">
        <v>116</v>
      </c>
      <c r="D8517" s="13" t="n">
        <v>45770</v>
      </c>
      <c r="E8517" s="14" t="n">
        <v>2623.35</v>
      </c>
      <c r="F8517" s="14" t="n">
        <v>17674.66</v>
      </c>
      <c r="G8517" s="6" t="s">
        <v>2613</v>
      </c>
    </row>
    <row r="8518" customFormat="false" ht="15" hidden="false" customHeight="true" outlineLevel="0" collapsed="false">
      <c r="A8518" s="6" t="s">
        <v>11130</v>
      </c>
      <c r="B8518" s="6" t="s">
        <v>1793</v>
      </c>
      <c r="C8518" s="6" t="s">
        <v>116</v>
      </c>
      <c r="D8518" s="13" t="n">
        <v>45777</v>
      </c>
      <c r="E8518" s="14" t="n">
        <v>2492.39</v>
      </c>
      <c r="F8518" s="14" t="n">
        <v>20167.05</v>
      </c>
      <c r="G8518" s="6" t="s">
        <v>2613</v>
      </c>
    </row>
    <row r="8519" customFormat="false" ht="15" hidden="false" customHeight="true" outlineLevel="0" collapsed="false">
      <c r="A8519" s="6" t="s">
        <v>11131</v>
      </c>
      <c r="B8519" s="6" t="s">
        <v>1793</v>
      </c>
      <c r="C8519" s="6" t="s">
        <v>116</v>
      </c>
      <c r="D8519" s="13" t="n">
        <v>45784</v>
      </c>
      <c r="E8519" s="14" t="n">
        <v>2452.88</v>
      </c>
      <c r="F8519" s="14" t="n">
        <v>22619.93</v>
      </c>
      <c r="G8519" s="6" t="s">
        <v>2613</v>
      </c>
    </row>
    <row r="8520" customFormat="false" ht="15" hidden="false" customHeight="true" outlineLevel="0" collapsed="false">
      <c r="A8520" s="6" t="s">
        <v>11132</v>
      </c>
      <c r="B8520" s="6" t="s">
        <v>1793</v>
      </c>
      <c r="C8520" s="6" t="s">
        <v>116</v>
      </c>
      <c r="D8520" s="13" t="n">
        <v>45791</v>
      </c>
      <c r="E8520" s="14" t="n">
        <v>2640.76</v>
      </c>
      <c r="F8520" s="14" t="n">
        <v>25260.69</v>
      </c>
      <c r="G8520" s="6" t="s">
        <v>2613</v>
      </c>
    </row>
    <row r="8521" customFormat="false" ht="15" hidden="false" customHeight="true" outlineLevel="0" collapsed="false">
      <c r="A8521" s="6" t="s">
        <v>11133</v>
      </c>
      <c r="B8521" s="6" t="s">
        <v>1793</v>
      </c>
      <c r="C8521" s="6" t="s">
        <v>116</v>
      </c>
      <c r="D8521" s="13" t="n">
        <v>45798</v>
      </c>
      <c r="E8521" s="14" t="n">
        <v>1610.54</v>
      </c>
      <c r="F8521" s="14" t="n">
        <v>26871.23</v>
      </c>
      <c r="G8521" s="6" t="s">
        <v>2613</v>
      </c>
    </row>
    <row r="8522" customFormat="false" ht="15" hidden="false" customHeight="true" outlineLevel="0" collapsed="false">
      <c r="A8522" s="6" t="s">
        <v>11134</v>
      </c>
      <c r="B8522" s="6" t="s">
        <v>1795</v>
      </c>
      <c r="C8522" s="6" t="s">
        <v>124</v>
      </c>
      <c r="D8522" s="13" t="n">
        <v>45003</v>
      </c>
      <c r="E8522" s="14" t="n">
        <v>7977.06</v>
      </c>
      <c r="F8522" s="14" t="n">
        <v>7977.06</v>
      </c>
      <c r="G8522" s="6" t="s">
        <v>2613</v>
      </c>
    </row>
    <row r="8523" customFormat="false" ht="15" hidden="false" customHeight="true" outlineLevel="0" collapsed="false">
      <c r="A8523" s="6" t="s">
        <v>11135</v>
      </c>
      <c r="B8523" s="6" t="s">
        <v>1795</v>
      </c>
      <c r="C8523" s="6" t="s">
        <v>124</v>
      </c>
      <c r="D8523" s="13" t="n">
        <v>45010</v>
      </c>
      <c r="E8523" s="14" t="n">
        <v>7106.63</v>
      </c>
      <c r="F8523" s="14" t="n">
        <v>15083.69</v>
      </c>
      <c r="G8523" s="6" t="s">
        <v>2613</v>
      </c>
    </row>
    <row r="8524" customFormat="false" ht="15" hidden="false" customHeight="true" outlineLevel="0" collapsed="false">
      <c r="A8524" s="6" t="s">
        <v>11136</v>
      </c>
      <c r="B8524" s="6" t="s">
        <v>1795</v>
      </c>
      <c r="C8524" s="6" t="s">
        <v>124</v>
      </c>
      <c r="D8524" s="13" t="n">
        <v>45017</v>
      </c>
      <c r="E8524" s="14" t="n">
        <v>6019.66</v>
      </c>
      <c r="F8524" s="14" t="n">
        <v>21103.35</v>
      </c>
      <c r="G8524" s="6" t="s">
        <v>2613</v>
      </c>
    </row>
    <row r="8525" customFormat="false" ht="15" hidden="false" customHeight="true" outlineLevel="0" collapsed="false">
      <c r="A8525" s="6" t="s">
        <v>11137</v>
      </c>
      <c r="B8525" s="6" t="s">
        <v>1795</v>
      </c>
      <c r="C8525" s="6" t="s">
        <v>124</v>
      </c>
      <c r="D8525" s="13" t="n">
        <v>45024</v>
      </c>
      <c r="E8525" s="14" t="n">
        <v>5355.69</v>
      </c>
      <c r="F8525" s="14" t="n">
        <v>26459.04</v>
      </c>
      <c r="G8525" s="6" t="s">
        <v>2613</v>
      </c>
    </row>
    <row r="8526" customFormat="false" ht="15" hidden="false" customHeight="true" outlineLevel="0" collapsed="false">
      <c r="A8526" s="6" t="s">
        <v>11138</v>
      </c>
      <c r="B8526" s="6" t="s">
        <v>1795</v>
      </c>
      <c r="C8526" s="6" t="s">
        <v>124</v>
      </c>
      <c r="D8526" s="13" t="n">
        <v>45031</v>
      </c>
      <c r="E8526" s="14" t="n">
        <v>4409.52</v>
      </c>
      <c r="F8526" s="14" t="n">
        <v>30868.56</v>
      </c>
      <c r="G8526" s="6" t="s">
        <v>2613</v>
      </c>
    </row>
    <row r="8527" customFormat="false" ht="15" hidden="false" customHeight="true" outlineLevel="0" collapsed="false">
      <c r="A8527" s="6" t="s">
        <v>11139</v>
      </c>
      <c r="B8527" s="6" t="s">
        <v>1797</v>
      </c>
      <c r="C8527" s="6" t="s">
        <v>128</v>
      </c>
      <c r="D8527" s="13" t="n">
        <v>45040</v>
      </c>
      <c r="E8527" s="14" t="n">
        <v>1110.99</v>
      </c>
      <c r="F8527" s="14" t="n">
        <v>1110.99</v>
      </c>
      <c r="G8527" s="6" t="s">
        <v>2613</v>
      </c>
    </row>
    <row r="8528" customFormat="false" ht="15" hidden="false" customHeight="true" outlineLevel="0" collapsed="false">
      <c r="A8528" s="6" t="s">
        <v>11140</v>
      </c>
      <c r="B8528" s="6" t="s">
        <v>1797</v>
      </c>
      <c r="C8528" s="6" t="s">
        <v>128</v>
      </c>
      <c r="D8528" s="13" t="n">
        <v>45047</v>
      </c>
      <c r="E8528" s="14" t="n">
        <v>1466.21</v>
      </c>
      <c r="F8528" s="14" t="n">
        <v>2577.2</v>
      </c>
      <c r="G8528" s="6" t="s">
        <v>2613</v>
      </c>
    </row>
    <row r="8529" customFormat="false" ht="15" hidden="false" customHeight="true" outlineLevel="0" collapsed="false">
      <c r="A8529" s="6" t="s">
        <v>11141</v>
      </c>
      <c r="B8529" s="6" t="s">
        <v>1797</v>
      </c>
      <c r="C8529" s="6" t="s">
        <v>128</v>
      </c>
      <c r="D8529" s="13" t="n">
        <v>45054</v>
      </c>
      <c r="E8529" s="14" t="n">
        <v>1655.08</v>
      </c>
      <c r="F8529" s="14" t="n">
        <v>4232.28</v>
      </c>
      <c r="G8529" s="6" t="s">
        <v>2613</v>
      </c>
    </row>
    <row r="8530" customFormat="false" ht="15" hidden="false" customHeight="true" outlineLevel="0" collapsed="false">
      <c r="A8530" s="6" t="s">
        <v>11142</v>
      </c>
      <c r="B8530" s="6" t="s">
        <v>1797</v>
      </c>
      <c r="C8530" s="6" t="s">
        <v>128</v>
      </c>
      <c r="D8530" s="13" t="n">
        <v>45061</v>
      </c>
      <c r="E8530" s="14" t="n">
        <v>1125.54</v>
      </c>
      <c r="F8530" s="14" t="n">
        <v>5357.82</v>
      </c>
      <c r="G8530" s="6" t="s">
        <v>2613</v>
      </c>
    </row>
    <row r="8531" customFormat="false" ht="15" hidden="false" customHeight="true" outlineLevel="0" collapsed="false">
      <c r="A8531" s="6" t="s">
        <v>11143</v>
      </c>
      <c r="B8531" s="6" t="s">
        <v>1797</v>
      </c>
      <c r="C8531" s="6" t="s">
        <v>128</v>
      </c>
      <c r="D8531" s="13" t="n">
        <v>45068</v>
      </c>
      <c r="E8531" s="14" t="n">
        <v>1085.35</v>
      </c>
      <c r="F8531" s="14" t="n">
        <v>6443.17</v>
      </c>
      <c r="G8531" s="6" t="s">
        <v>2613</v>
      </c>
    </row>
    <row r="8532" customFormat="false" ht="15" hidden="false" customHeight="true" outlineLevel="0" collapsed="false">
      <c r="A8532" s="6" t="s">
        <v>11144</v>
      </c>
      <c r="B8532" s="6" t="s">
        <v>1797</v>
      </c>
      <c r="C8532" s="6" t="s">
        <v>128</v>
      </c>
      <c r="D8532" s="13" t="n">
        <v>45075</v>
      </c>
      <c r="E8532" s="14" t="n">
        <v>1312.11</v>
      </c>
      <c r="F8532" s="14" t="n">
        <v>7755.28</v>
      </c>
      <c r="G8532" s="6" t="s">
        <v>2613</v>
      </c>
    </row>
    <row r="8533" customFormat="false" ht="15" hidden="false" customHeight="true" outlineLevel="0" collapsed="false">
      <c r="A8533" s="6" t="s">
        <v>11145</v>
      </c>
      <c r="B8533" s="6" t="s">
        <v>1797</v>
      </c>
      <c r="C8533" s="6" t="s">
        <v>128</v>
      </c>
      <c r="D8533" s="13" t="n">
        <v>45082</v>
      </c>
      <c r="E8533" s="14" t="n">
        <v>984.08</v>
      </c>
      <c r="F8533" s="14" t="n">
        <v>8739.36</v>
      </c>
      <c r="G8533" s="6" t="s">
        <v>2623</v>
      </c>
    </row>
    <row r="8534" customFormat="false" ht="15" hidden="false" customHeight="true" outlineLevel="0" collapsed="false">
      <c r="A8534" s="6" t="s">
        <v>11146</v>
      </c>
      <c r="B8534" s="6" t="s">
        <v>1797</v>
      </c>
      <c r="C8534" s="6" t="s">
        <v>128</v>
      </c>
      <c r="D8534" s="13" t="n">
        <v>45089</v>
      </c>
      <c r="E8534" s="14" t="n">
        <v>1194.52</v>
      </c>
      <c r="F8534" s="14" t="n">
        <v>9933.88</v>
      </c>
      <c r="G8534" s="6" t="s">
        <v>2613</v>
      </c>
    </row>
    <row r="8535" customFormat="false" ht="15" hidden="false" customHeight="true" outlineLevel="0" collapsed="false">
      <c r="A8535" s="6" t="s">
        <v>11147</v>
      </c>
      <c r="B8535" s="6" t="s">
        <v>1797</v>
      </c>
      <c r="C8535" s="6" t="s">
        <v>128</v>
      </c>
      <c r="D8535" s="13" t="n">
        <v>45096</v>
      </c>
      <c r="E8535" s="14" t="n">
        <v>1011.85</v>
      </c>
      <c r="F8535" s="14" t="n">
        <v>10945.73</v>
      </c>
      <c r="G8535" s="6" t="s">
        <v>2623</v>
      </c>
    </row>
    <row r="8536" customFormat="false" ht="15" hidden="false" customHeight="true" outlineLevel="0" collapsed="false">
      <c r="A8536" s="6" t="s">
        <v>11148</v>
      </c>
      <c r="B8536" s="6" t="s">
        <v>1797</v>
      </c>
      <c r="C8536" s="6" t="s">
        <v>128</v>
      </c>
      <c r="D8536" s="13" t="n">
        <v>45103</v>
      </c>
      <c r="E8536" s="14" t="n">
        <v>1745</v>
      </c>
      <c r="F8536" s="14" t="n">
        <v>12690.73</v>
      </c>
      <c r="G8536" s="6" t="s">
        <v>2613</v>
      </c>
    </row>
    <row r="8537" customFormat="false" ht="15" hidden="false" customHeight="true" outlineLevel="0" collapsed="false">
      <c r="A8537" s="6" t="s">
        <v>11149</v>
      </c>
      <c r="B8537" s="6" t="s">
        <v>1797</v>
      </c>
      <c r="C8537" s="6" t="s">
        <v>128</v>
      </c>
      <c r="D8537" s="13" t="n">
        <v>45110</v>
      </c>
      <c r="E8537" s="14" t="n">
        <v>1323.66</v>
      </c>
      <c r="F8537" s="14" t="n">
        <v>14014.39</v>
      </c>
      <c r="G8537" s="6" t="s">
        <v>2613</v>
      </c>
    </row>
    <row r="8538" customFormat="false" ht="15" hidden="false" customHeight="true" outlineLevel="0" collapsed="false">
      <c r="A8538" s="6" t="s">
        <v>11150</v>
      </c>
      <c r="B8538" s="6" t="s">
        <v>1797</v>
      </c>
      <c r="C8538" s="6" t="s">
        <v>128</v>
      </c>
      <c r="D8538" s="13" t="n">
        <v>45117</v>
      </c>
      <c r="E8538" s="14" t="n">
        <v>3929.61</v>
      </c>
      <c r="F8538" s="14" t="n">
        <v>17944</v>
      </c>
      <c r="G8538" s="6" t="s">
        <v>2613</v>
      </c>
    </row>
    <row r="8539" customFormat="false" ht="15" hidden="false" customHeight="true" outlineLevel="0" collapsed="false">
      <c r="A8539" s="6" t="s">
        <v>11151</v>
      </c>
      <c r="B8539" s="6" t="s">
        <v>1799</v>
      </c>
      <c r="C8539" s="6" t="s">
        <v>128</v>
      </c>
      <c r="D8539" s="13" t="n">
        <v>44889</v>
      </c>
      <c r="E8539" s="14" t="n">
        <v>2189.1</v>
      </c>
      <c r="F8539" s="14" t="n">
        <v>2189.1</v>
      </c>
      <c r="G8539" s="6" t="s">
        <v>2613</v>
      </c>
    </row>
    <row r="8540" customFormat="false" ht="15" hidden="false" customHeight="true" outlineLevel="0" collapsed="false">
      <c r="A8540" s="6" t="s">
        <v>11152</v>
      </c>
      <c r="B8540" s="6" t="s">
        <v>1799</v>
      </c>
      <c r="C8540" s="6" t="s">
        <v>128</v>
      </c>
      <c r="D8540" s="13" t="n">
        <v>44896</v>
      </c>
      <c r="E8540" s="14" t="n">
        <v>3294.85</v>
      </c>
      <c r="F8540" s="14" t="n">
        <v>5483.95</v>
      </c>
      <c r="G8540" s="6" t="s">
        <v>2613</v>
      </c>
    </row>
    <row r="8541" customFormat="false" ht="15" hidden="false" customHeight="true" outlineLevel="0" collapsed="false">
      <c r="A8541" s="6" t="s">
        <v>11153</v>
      </c>
      <c r="B8541" s="6" t="s">
        <v>1799</v>
      </c>
      <c r="C8541" s="6" t="s">
        <v>128</v>
      </c>
      <c r="D8541" s="13" t="n">
        <v>44903</v>
      </c>
      <c r="E8541" s="14" t="n">
        <v>4420.47</v>
      </c>
      <c r="F8541" s="14" t="n">
        <v>9904.42</v>
      </c>
      <c r="G8541" s="6" t="s">
        <v>2613</v>
      </c>
    </row>
    <row r="8542" customFormat="false" ht="15" hidden="false" customHeight="true" outlineLevel="0" collapsed="false">
      <c r="A8542" s="6" t="s">
        <v>11154</v>
      </c>
      <c r="B8542" s="6" t="s">
        <v>1799</v>
      </c>
      <c r="C8542" s="6" t="s">
        <v>128</v>
      </c>
      <c r="D8542" s="13" t="n">
        <v>44910</v>
      </c>
      <c r="E8542" s="14" t="n">
        <v>2157.12</v>
      </c>
      <c r="F8542" s="14" t="n">
        <v>12061.54</v>
      </c>
      <c r="G8542" s="6" t="s">
        <v>2623</v>
      </c>
    </row>
    <row r="8543" customFormat="false" ht="15" hidden="false" customHeight="true" outlineLevel="0" collapsed="false">
      <c r="A8543" s="6" t="s">
        <v>11155</v>
      </c>
      <c r="B8543" s="6" t="s">
        <v>1799</v>
      </c>
      <c r="C8543" s="6" t="s">
        <v>128</v>
      </c>
      <c r="D8543" s="13" t="n">
        <v>44917</v>
      </c>
      <c r="E8543" s="14" t="n">
        <v>2612.13</v>
      </c>
      <c r="F8543" s="14" t="n">
        <v>14673.67</v>
      </c>
      <c r="G8543" s="6" t="s">
        <v>2613</v>
      </c>
    </row>
    <row r="8544" customFormat="false" ht="15" hidden="false" customHeight="true" outlineLevel="0" collapsed="false">
      <c r="A8544" s="6" t="s">
        <v>11156</v>
      </c>
      <c r="B8544" s="6" t="s">
        <v>1799</v>
      </c>
      <c r="C8544" s="6" t="s">
        <v>128</v>
      </c>
      <c r="D8544" s="13" t="n">
        <v>44924</v>
      </c>
      <c r="E8544" s="14" t="n">
        <v>4504.99</v>
      </c>
      <c r="F8544" s="14" t="n">
        <v>19178.66</v>
      </c>
      <c r="G8544" s="6" t="s">
        <v>2613</v>
      </c>
    </row>
    <row r="8545" customFormat="false" ht="15" hidden="false" customHeight="true" outlineLevel="0" collapsed="false">
      <c r="A8545" s="6" t="s">
        <v>11157</v>
      </c>
      <c r="B8545" s="6" t="s">
        <v>1799</v>
      </c>
      <c r="C8545" s="6" t="s">
        <v>128</v>
      </c>
      <c r="D8545" s="13" t="n">
        <v>44931</v>
      </c>
      <c r="E8545" s="14" t="n">
        <v>2015.87</v>
      </c>
      <c r="F8545" s="14" t="n">
        <v>21194.53</v>
      </c>
      <c r="G8545" s="6" t="s">
        <v>2613</v>
      </c>
    </row>
    <row r="8546" customFormat="false" ht="15" hidden="false" customHeight="true" outlineLevel="0" collapsed="false">
      <c r="A8546" s="6" t="s">
        <v>11158</v>
      </c>
      <c r="B8546" s="6" t="s">
        <v>1799</v>
      </c>
      <c r="C8546" s="6" t="s">
        <v>128</v>
      </c>
      <c r="D8546" s="13" t="n">
        <v>44938</v>
      </c>
      <c r="E8546" s="14" t="n">
        <v>2543.52</v>
      </c>
      <c r="F8546" s="14" t="n">
        <v>23738.05</v>
      </c>
      <c r="G8546" s="6" t="s">
        <v>2613</v>
      </c>
    </row>
    <row r="8547" customFormat="false" ht="15" hidden="false" customHeight="true" outlineLevel="0" collapsed="false">
      <c r="A8547" s="6" t="s">
        <v>11159</v>
      </c>
      <c r="B8547" s="6" t="s">
        <v>1799</v>
      </c>
      <c r="C8547" s="6" t="s">
        <v>128</v>
      </c>
      <c r="D8547" s="13" t="n">
        <v>44945</v>
      </c>
      <c r="E8547" s="14" t="n">
        <v>5664.15</v>
      </c>
      <c r="F8547" s="14" t="n">
        <v>29402.2</v>
      </c>
      <c r="G8547" s="6" t="s">
        <v>2613</v>
      </c>
    </row>
    <row r="8548" customFormat="false" ht="15" hidden="false" customHeight="true" outlineLevel="0" collapsed="false">
      <c r="A8548" s="6" t="s">
        <v>11160</v>
      </c>
      <c r="B8548" s="6" t="s">
        <v>1801</v>
      </c>
      <c r="C8548" s="6" t="s">
        <v>120</v>
      </c>
      <c r="D8548" s="13" t="n">
        <v>45372</v>
      </c>
      <c r="E8548" s="14" t="n">
        <v>5603.29</v>
      </c>
      <c r="F8548" s="14" t="n">
        <v>5603.29</v>
      </c>
      <c r="G8548" s="6" t="s">
        <v>2613</v>
      </c>
    </row>
    <row r="8549" customFormat="false" ht="15" hidden="false" customHeight="true" outlineLevel="0" collapsed="false">
      <c r="A8549" s="6" t="s">
        <v>11161</v>
      </c>
      <c r="B8549" s="6" t="s">
        <v>1801</v>
      </c>
      <c r="C8549" s="6" t="s">
        <v>120</v>
      </c>
      <c r="D8549" s="13" t="n">
        <v>45379</v>
      </c>
      <c r="E8549" s="14" t="n">
        <v>2890.39</v>
      </c>
      <c r="F8549" s="14" t="n">
        <v>8493.68</v>
      </c>
      <c r="G8549" s="6" t="s">
        <v>2613</v>
      </c>
    </row>
    <row r="8550" customFormat="false" ht="15" hidden="false" customHeight="true" outlineLevel="0" collapsed="false">
      <c r="A8550" s="6" t="s">
        <v>11162</v>
      </c>
      <c r="B8550" s="6" t="s">
        <v>1801</v>
      </c>
      <c r="C8550" s="6" t="s">
        <v>120</v>
      </c>
      <c r="D8550" s="13" t="n">
        <v>45386</v>
      </c>
      <c r="E8550" s="14" t="n">
        <v>3266.08</v>
      </c>
      <c r="F8550" s="14" t="n">
        <v>11759.76</v>
      </c>
      <c r="G8550" s="6" t="s">
        <v>2613</v>
      </c>
    </row>
    <row r="8551" customFormat="false" ht="15" hidden="false" customHeight="true" outlineLevel="0" collapsed="false">
      <c r="A8551" s="6" t="s">
        <v>11163</v>
      </c>
      <c r="B8551" s="6" t="s">
        <v>1801</v>
      </c>
      <c r="C8551" s="6" t="s">
        <v>120</v>
      </c>
      <c r="D8551" s="13" t="n">
        <v>45393</v>
      </c>
      <c r="E8551" s="14" t="n">
        <v>3871.24</v>
      </c>
      <c r="F8551" s="14" t="n">
        <v>15631</v>
      </c>
      <c r="G8551" s="6" t="s">
        <v>2613</v>
      </c>
    </row>
    <row r="8552" customFormat="false" ht="15" hidden="false" customHeight="true" outlineLevel="0" collapsed="false">
      <c r="A8552" s="6" t="s">
        <v>11164</v>
      </c>
      <c r="B8552" s="6" t="s">
        <v>1801</v>
      </c>
      <c r="C8552" s="6" t="s">
        <v>120</v>
      </c>
      <c r="D8552" s="13" t="n">
        <v>45400</v>
      </c>
      <c r="E8552" s="14" t="n">
        <v>2899.14</v>
      </c>
      <c r="F8552" s="14" t="n">
        <v>18530.14</v>
      </c>
      <c r="G8552" s="6" t="s">
        <v>2613</v>
      </c>
    </row>
    <row r="8553" customFormat="false" ht="15" hidden="false" customHeight="true" outlineLevel="0" collapsed="false">
      <c r="A8553" s="6" t="s">
        <v>11165</v>
      </c>
      <c r="B8553" s="6" t="s">
        <v>1801</v>
      </c>
      <c r="C8553" s="6" t="s">
        <v>120</v>
      </c>
      <c r="D8553" s="13" t="n">
        <v>45407</v>
      </c>
      <c r="E8553" s="14" t="n">
        <v>4660.74</v>
      </c>
      <c r="F8553" s="14" t="n">
        <v>23190.88</v>
      </c>
      <c r="G8553" s="6" t="s">
        <v>2613</v>
      </c>
    </row>
    <row r="8554" customFormat="false" ht="15" hidden="false" customHeight="true" outlineLevel="0" collapsed="false">
      <c r="A8554" s="6" t="s">
        <v>11166</v>
      </c>
      <c r="B8554" s="6" t="s">
        <v>1801</v>
      </c>
      <c r="C8554" s="6" t="s">
        <v>120</v>
      </c>
      <c r="D8554" s="13" t="n">
        <v>45414</v>
      </c>
      <c r="E8554" s="14" t="n">
        <v>4614.12</v>
      </c>
      <c r="F8554" s="14" t="n">
        <v>27805</v>
      </c>
      <c r="G8554" s="6" t="s">
        <v>2613</v>
      </c>
    </row>
    <row r="8555" customFormat="false" ht="15" hidden="false" customHeight="true" outlineLevel="0" collapsed="false">
      <c r="A8555" s="6" t="s">
        <v>11167</v>
      </c>
      <c r="B8555" s="6" t="s">
        <v>1801</v>
      </c>
      <c r="C8555" s="6" t="s">
        <v>120</v>
      </c>
      <c r="D8555" s="13" t="n">
        <v>45421</v>
      </c>
      <c r="E8555" s="14" t="n">
        <v>4807.54</v>
      </c>
      <c r="F8555" s="14" t="n">
        <v>32612.54</v>
      </c>
      <c r="G8555" s="6" t="s">
        <v>2613</v>
      </c>
    </row>
    <row r="8556" customFormat="false" ht="15" hidden="false" customHeight="true" outlineLevel="0" collapsed="false">
      <c r="A8556" s="6" t="s">
        <v>11168</v>
      </c>
      <c r="B8556" s="6" t="s">
        <v>1801</v>
      </c>
      <c r="C8556" s="6" t="s">
        <v>120</v>
      </c>
      <c r="D8556" s="13" t="n">
        <v>45428</v>
      </c>
      <c r="E8556" s="14" t="n">
        <v>2890.27</v>
      </c>
      <c r="F8556" s="14" t="n">
        <v>35502.81</v>
      </c>
      <c r="G8556" s="6" t="s">
        <v>2613</v>
      </c>
    </row>
    <row r="8557" customFormat="false" ht="15" hidden="false" customHeight="true" outlineLevel="0" collapsed="false">
      <c r="A8557" s="6" t="s">
        <v>11169</v>
      </c>
      <c r="B8557" s="6" t="s">
        <v>1801</v>
      </c>
      <c r="C8557" s="6" t="s">
        <v>120</v>
      </c>
      <c r="D8557" s="13" t="n">
        <v>45435</v>
      </c>
      <c r="E8557" s="14" t="n">
        <v>2461.86</v>
      </c>
      <c r="F8557" s="14" t="n">
        <v>37964.67</v>
      </c>
      <c r="G8557" s="6" t="s">
        <v>2613</v>
      </c>
    </row>
    <row r="8558" customFormat="false" ht="15" hidden="false" customHeight="true" outlineLevel="0" collapsed="false">
      <c r="A8558" s="6" t="s">
        <v>11170</v>
      </c>
      <c r="B8558" s="6" t="s">
        <v>1801</v>
      </c>
      <c r="C8558" s="6" t="s">
        <v>120</v>
      </c>
      <c r="D8558" s="13" t="n">
        <v>45442</v>
      </c>
      <c r="E8558" s="14" t="n">
        <v>2699.21</v>
      </c>
      <c r="F8558" s="14" t="n">
        <v>40663.88</v>
      </c>
      <c r="G8558" s="6" t="s">
        <v>2623</v>
      </c>
    </row>
    <row r="8559" customFormat="false" ht="15" hidden="false" customHeight="true" outlineLevel="0" collapsed="false">
      <c r="A8559" s="6" t="s">
        <v>11171</v>
      </c>
      <c r="B8559" s="6" t="s">
        <v>1801</v>
      </c>
      <c r="C8559" s="6" t="s">
        <v>120</v>
      </c>
      <c r="D8559" s="13" t="n">
        <v>45449</v>
      </c>
      <c r="E8559" s="14" t="n">
        <v>2963.78</v>
      </c>
      <c r="F8559" s="14" t="n">
        <v>43627.66</v>
      </c>
      <c r="G8559" s="6" t="s">
        <v>2613</v>
      </c>
    </row>
    <row r="8560" customFormat="false" ht="15" hidden="false" customHeight="true" outlineLevel="0" collapsed="false">
      <c r="A8560" s="6" t="s">
        <v>11172</v>
      </c>
      <c r="B8560" s="6" t="s">
        <v>1801</v>
      </c>
      <c r="C8560" s="6" t="s">
        <v>120</v>
      </c>
      <c r="D8560" s="13" t="n">
        <v>45456</v>
      </c>
      <c r="E8560" s="14" t="n">
        <v>4303.4</v>
      </c>
      <c r="F8560" s="14" t="n">
        <v>47931.06</v>
      </c>
      <c r="G8560" s="6" t="s">
        <v>2613</v>
      </c>
    </row>
    <row r="8561" customFormat="false" ht="15" hidden="false" customHeight="true" outlineLevel="0" collapsed="false">
      <c r="A8561" s="6" t="s">
        <v>11173</v>
      </c>
      <c r="B8561" s="6" t="s">
        <v>1801</v>
      </c>
      <c r="C8561" s="6" t="s">
        <v>120</v>
      </c>
      <c r="D8561" s="13" t="n">
        <v>45463</v>
      </c>
      <c r="E8561" s="14" t="n">
        <v>5111.04</v>
      </c>
      <c r="F8561" s="14" t="n">
        <v>53042.1</v>
      </c>
      <c r="G8561" s="6" t="s">
        <v>2613</v>
      </c>
    </row>
    <row r="8562" customFormat="false" ht="15" hidden="false" customHeight="true" outlineLevel="0" collapsed="false">
      <c r="A8562" s="6" t="s">
        <v>11174</v>
      </c>
      <c r="B8562" s="6" t="s">
        <v>1801</v>
      </c>
      <c r="C8562" s="6" t="s">
        <v>120</v>
      </c>
      <c r="D8562" s="13" t="n">
        <v>45470</v>
      </c>
      <c r="E8562" s="14" t="n">
        <v>3836.63</v>
      </c>
      <c r="F8562" s="14" t="n">
        <v>56878.73</v>
      </c>
      <c r="G8562" s="6" t="s">
        <v>2613</v>
      </c>
    </row>
    <row r="8563" customFormat="false" ht="15" hidden="false" customHeight="true" outlineLevel="0" collapsed="false">
      <c r="A8563" s="6" t="s">
        <v>11175</v>
      </c>
      <c r="B8563" s="6" t="s">
        <v>1801</v>
      </c>
      <c r="C8563" s="6" t="s">
        <v>120</v>
      </c>
      <c r="D8563" s="13" t="n">
        <v>45477</v>
      </c>
      <c r="E8563" s="14" t="n">
        <v>5335.95</v>
      </c>
      <c r="F8563" s="14" t="n">
        <v>62214.68</v>
      </c>
      <c r="G8563" s="6" t="s">
        <v>2613</v>
      </c>
    </row>
    <row r="8564" customFormat="false" ht="15" hidden="false" customHeight="true" outlineLevel="0" collapsed="false">
      <c r="A8564" s="6" t="s">
        <v>11176</v>
      </c>
      <c r="B8564" s="6" t="s">
        <v>1801</v>
      </c>
      <c r="C8564" s="6" t="s">
        <v>120</v>
      </c>
      <c r="D8564" s="13" t="n">
        <v>45484</v>
      </c>
      <c r="E8564" s="14" t="n">
        <v>7466.01</v>
      </c>
      <c r="F8564" s="14" t="n">
        <v>69680.69</v>
      </c>
      <c r="G8564" s="6" t="s">
        <v>2613</v>
      </c>
    </row>
    <row r="8565" customFormat="false" ht="15" hidden="false" customHeight="true" outlineLevel="0" collapsed="false">
      <c r="A8565" s="6" t="s">
        <v>11177</v>
      </c>
      <c r="B8565" s="6" t="s">
        <v>1803</v>
      </c>
      <c r="C8565" s="6" t="s">
        <v>131</v>
      </c>
      <c r="D8565" s="13" t="n">
        <v>46069</v>
      </c>
      <c r="E8565" s="14" t="n">
        <v>1721.18</v>
      </c>
      <c r="F8565" s="14" t="n">
        <v>1721.18</v>
      </c>
      <c r="G8565" s="6" t="s">
        <v>2613</v>
      </c>
    </row>
    <row r="8566" customFormat="false" ht="15" hidden="false" customHeight="true" outlineLevel="0" collapsed="false">
      <c r="A8566" s="6" t="s">
        <v>11178</v>
      </c>
      <c r="B8566" s="6" t="s">
        <v>1803</v>
      </c>
      <c r="C8566" s="6" t="s">
        <v>131</v>
      </c>
      <c r="D8566" s="13" t="n">
        <v>46076</v>
      </c>
      <c r="E8566" s="14" t="n">
        <v>2815.46</v>
      </c>
      <c r="F8566" s="14" t="n">
        <v>4536.64</v>
      </c>
      <c r="G8566" s="6" t="s">
        <v>2613</v>
      </c>
    </row>
    <row r="8567" customFormat="false" ht="15" hidden="false" customHeight="true" outlineLevel="0" collapsed="false">
      <c r="A8567" s="6" t="s">
        <v>11179</v>
      </c>
      <c r="B8567" s="6" t="s">
        <v>1803</v>
      </c>
      <c r="C8567" s="6" t="s">
        <v>131</v>
      </c>
      <c r="D8567" s="13" t="n">
        <v>46083</v>
      </c>
      <c r="E8567" s="14" t="n">
        <v>2327.91</v>
      </c>
      <c r="F8567" s="14" t="n">
        <v>6864.55</v>
      </c>
      <c r="G8567" s="6" t="s">
        <v>2613</v>
      </c>
    </row>
    <row r="8568" customFormat="false" ht="15" hidden="false" customHeight="true" outlineLevel="0" collapsed="false">
      <c r="A8568" s="6" t="s">
        <v>11180</v>
      </c>
      <c r="B8568" s="6" t="s">
        <v>1803</v>
      </c>
      <c r="C8568" s="6" t="s">
        <v>131</v>
      </c>
      <c r="D8568" s="13" t="n">
        <v>46090</v>
      </c>
      <c r="E8568" s="14" t="n">
        <v>1704.4</v>
      </c>
      <c r="F8568" s="14" t="n">
        <v>8568.95</v>
      </c>
      <c r="G8568" s="6" t="s">
        <v>2613</v>
      </c>
    </row>
    <row r="8569" customFormat="false" ht="15" hidden="false" customHeight="true" outlineLevel="0" collapsed="false">
      <c r="A8569" s="6" t="s">
        <v>11181</v>
      </c>
      <c r="B8569" s="6" t="s">
        <v>1803</v>
      </c>
      <c r="C8569" s="6" t="s">
        <v>131</v>
      </c>
      <c r="D8569" s="13" t="n">
        <v>46097</v>
      </c>
      <c r="E8569" s="14" t="n">
        <v>3069.67</v>
      </c>
      <c r="F8569" s="14" t="n">
        <v>11638.62</v>
      </c>
      <c r="G8569" s="6" t="s">
        <v>2613</v>
      </c>
    </row>
    <row r="8570" customFormat="false" ht="15" hidden="false" customHeight="true" outlineLevel="0" collapsed="false">
      <c r="A8570" s="6" t="s">
        <v>11182</v>
      </c>
      <c r="B8570" s="6" t="s">
        <v>1803</v>
      </c>
      <c r="C8570" s="6" t="s">
        <v>131</v>
      </c>
      <c r="D8570" s="13" t="n">
        <v>46104</v>
      </c>
      <c r="E8570" s="14" t="n">
        <v>1539.6</v>
      </c>
      <c r="F8570" s="14" t="n">
        <v>13178.22</v>
      </c>
      <c r="G8570" s="6" t="s">
        <v>2613</v>
      </c>
    </row>
    <row r="8571" customFormat="false" ht="15" hidden="false" customHeight="true" outlineLevel="0" collapsed="false">
      <c r="A8571" s="6" t="s">
        <v>11183</v>
      </c>
      <c r="B8571" s="6" t="s">
        <v>1803</v>
      </c>
      <c r="C8571" s="6" t="s">
        <v>131</v>
      </c>
      <c r="D8571" s="13" t="n">
        <v>46111</v>
      </c>
      <c r="E8571" s="14" t="n">
        <v>2323.63</v>
      </c>
      <c r="F8571" s="14" t="n">
        <v>15501.85</v>
      </c>
      <c r="G8571" s="6" t="s">
        <v>2613</v>
      </c>
    </row>
    <row r="8572" customFormat="false" ht="15" hidden="false" customHeight="true" outlineLevel="0" collapsed="false">
      <c r="A8572" s="6" t="s">
        <v>11184</v>
      </c>
      <c r="B8572" s="6" t="s">
        <v>1803</v>
      </c>
      <c r="C8572" s="6" t="s">
        <v>131</v>
      </c>
      <c r="D8572" s="13" t="n">
        <v>46118</v>
      </c>
      <c r="E8572" s="14" t="n">
        <v>2305.62</v>
      </c>
      <c r="F8572" s="14" t="n">
        <v>17807.47</v>
      </c>
      <c r="G8572" s="6" t="s">
        <v>2613</v>
      </c>
    </row>
    <row r="8573" customFormat="false" ht="15" hidden="false" customHeight="true" outlineLevel="0" collapsed="false">
      <c r="A8573" s="6" t="s">
        <v>11185</v>
      </c>
      <c r="B8573" s="6" t="s">
        <v>1805</v>
      </c>
      <c r="C8573" s="6" t="s">
        <v>124</v>
      </c>
      <c r="D8573" s="13" t="n">
        <v>45388</v>
      </c>
      <c r="E8573" s="14" t="n">
        <v>2642.43</v>
      </c>
      <c r="F8573" s="14" t="n">
        <v>2642.43</v>
      </c>
      <c r="G8573" s="6" t="s">
        <v>2613</v>
      </c>
    </row>
    <row r="8574" customFormat="false" ht="15" hidden="false" customHeight="true" outlineLevel="0" collapsed="false">
      <c r="A8574" s="6" t="s">
        <v>11186</v>
      </c>
      <c r="B8574" s="6" t="s">
        <v>1805</v>
      </c>
      <c r="C8574" s="6" t="s">
        <v>124</v>
      </c>
      <c r="D8574" s="13" t="n">
        <v>45395</v>
      </c>
      <c r="E8574" s="14" t="n">
        <v>3698.15</v>
      </c>
      <c r="F8574" s="14" t="n">
        <v>6340.58</v>
      </c>
      <c r="G8574" s="6" t="s">
        <v>2623</v>
      </c>
    </row>
    <row r="8575" customFormat="false" ht="15" hidden="false" customHeight="true" outlineLevel="0" collapsed="false">
      <c r="A8575" s="6" t="s">
        <v>11187</v>
      </c>
      <c r="B8575" s="6" t="s">
        <v>1805</v>
      </c>
      <c r="C8575" s="6" t="s">
        <v>124</v>
      </c>
      <c r="D8575" s="13" t="n">
        <v>45402</v>
      </c>
      <c r="E8575" s="14" t="n">
        <v>4932.53</v>
      </c>
      <c r="F8575" s="14" t="n">
        <v>11273.11</v>
      </c>
      <c r="G8575" s="6" t="s">
        <v>2613</v>
      </c>
    </row>
    <row r="8576" customFormat="false" ht="15" hidden="false" customHeight="true" outlineLevel="0" collapsed="false">
      <c r="A8576" s="6" t="s">
        <v>11188</v>
      </c>
      <c r="B8576" s="6" t="s">
        <v>1805</v>
      </c>
      <c r="C8576" s="6" t="s">
        <v>124</v>
      </c>
      <c r="D8576" s="13" t="n">
        <v>45409</v>
      </c>
      <c r="E8576" s="14" t="n">
        <v>2631.64</v>
      </c>
      <c r="F8576" s="14" t="n">
        <v>13904.75</v>
      </c>
      <c r="G8576" s="6" t="s">
        <v>2623</v>
      </c>
    </row>
    <row r="8577" customFormat="false" ht="15" hidden="false" customHeight="true" outlineLevel="0" collapsed="false">
      <c r="A8577" s="6" t="s">
        <v>11189</v>
      </c>
      <c r="B8577" s="6" t="s">
        <v>1805</v>
      </c>
      <c r="C8577" s="6" t="s">
        <v>124</v>
      </c>
      <c r="D8577" s="13" t="n">
        <v>45416</v>
      </c>
      <c r="E8577" s="14" t="n">
        <v>4029.98</v>
      </c>
      <c r="F8577" s="14" t="n">
        <v>17934.73</v>
      </c>
      <c r="G8577" s="6" t="s">
        <v>2613</v>
      </c>
    </row>
    <row r="8578" customFormat="false" ht="15" hidden="false" customHeight="true" outlineLevel="0" collapsed="false">
      <c r="A8578" s="6" t="s">
        <v>11190</v>
      </c>
      <c r="B8578" s="6" t="s">
        <v>1805</v>
      </c>
      <c r="C8578" s="6" t="s">
        <v>124</v>
      </c>
      <c r="D8578" s="13" t="n">
        <v>45423</v>
      </c>
      <c r="E8578" s="14" t="n">
        <v>4131.32</v>
      </c>
      <c r="F8578" s="14" t="n">
        <v>22066.05</v>
      </c>
      <c r="G8578" s="6" t="s">
        <v>2613</v>
      </c>
    </row>
    <row r="8579" customFormat="false" ht="15" hidden="false" customHeight="true" outlineLevel="0" collapsed="false">
      <c r="A8579" s="6" t="s">
        <v>11191</v>
      </c>
      <c r="B8579" s="6" t="s">
        <v>1805</v>
      </c>
      <c r="C8579" s="6" t="s">
        <v>124</v>
      </c>
      <c r="D8579" s="13" t="n">
        <v>45430</v>
      </c>
      <c r="E8579" s="14" t="n">
        <v>3333.24</v>
      </c>
      <c r="F8579" s="14" t="n">
        <v>25399.29</v>
      </c>
      <c r="G8579" s="6" t="s">
        <v>2613</v>
      </c>
    </row>
    <row r="8580" customFormat="false" ht="15" hidden="false" customHeight="true" outlineLevel="0" collapsed="false">
      <c r="A8580" s="6" t="s">
        <v>11192</v>
      </c>
      <c r="B8580" s="6" t="s">
        <v>1807</v>
      </c>
      <c r="C8580" s="6" t="s">
        <v>116</v>
      </c>
      <c r="D8580" s="13" t="n">
        <v>45661</v>
      </c>
      <c r="E8580" s="14" t="n">
        <v>1626.24</v>
      </c>
      <c r="F8580" s="14" t="n">
        <v>1626.24</v>
      </c>
      <c r="G8580" s="6" t="s">
        <v>2613</v>
      </c>
    </row>
    <row r="8581" customFormat="false" ht="15" hidden="false" customHeight="true" outlineLevel="0" collapsed="false">
      <c r="A8581" s="6" t="s">
        <v>11193</v>
      </c>
      <c r="B8581" s="6" t="s">
        <v>1807</v>
      </c>
      <c r="C8581" s="6" t="s">
        <v>116</v>
      </c>
      <c r="D8581" s="13" t="n">
        <v>45668</v>
      </c>
      <c r="E8581" s="14" t="n">
        <v>1526.25</v>
      </c>
      <c r="F8581" s="14" t="n">
        <v>3152.49</v>
      </c>
      <c r="G8581" s="6" t="s">
        <v>2613</v>
      </c>
    </row>
    <row r="8582" customFormat="false" ht="15" hidden="false" customHeight="true" outlineLevel="0" collapsed="false">
      <c r="A8582" s="6" t="s">
        <v>11194</v>
      </c>
      <c r="B8582" s="6" t="s">
        <v>1807</v>
      </c>
      <c r="C8582" s="6" t="s">
        <v>116</v>
      </c>
      <c r="D8582" s="13" t="n">
        <v>45675</v>
      </c>
      <c r="E8582" s="14" t="n">
        <v>1656.45</v>
      </c>
      <c r="F8582" s="14" t="n">
        <v>4808.94</v>
      </c>
      <c r="G8582" s="6" t="s">
        <v>2613</v>
      </c>
    </row>
    <row r="8583" customFormat="false" ht="15" hidden="false" customHeight="true" outlineLevel="0" collapsed="false">
      <c r="A8583" s="6" t="s">
        <v>11195</v>
      </c>
      <c r="B8583" s="6" t="s">
        <v>1807</v>
      </c>
      <c r="C8583" s="6" t="s">
        <v>116</v>
      </c>
      <c r="D8583" s="13" t="n">
        <v>45682</v>
      </c>
      <c r="E8583" s="14" t="n">
        <v>1025.05</v>
      </c>
      <c r="F8583" s="14" t="n">
        <v>5833.99</v>
      </c>
      <c r="G8583" s="6" t="s">
        <v>2613</v>
      </c>
    </row>
    <row r="8584" customFormat="false" ht="15" hidden="false" customHeight="true" outlineLevel="0" collapsed="false">
      <c r="A8584" s="6" t="s">
        <v>11196</v>
      </c>
      <c r="B8584" s="6" t="s">
        <v>1807</v>
      </c>
      <c r="C8584" s="6" t="s">
        <v>116</v>
      </c>
      <c r="D8584" s="13" t="n">
        <v>45689</v>
      </c>
      <c r="E8584" s="14" t="n">
        <v>2074.69</v>
      </c>
      <c r="F8584" s="14" t="n">
        <v>7908.68</v>
      </c>
      <c r="G8584" s="6" t="s">
        <v>2613</v>
      </c>
    </row>
    <row r="8585" customFormat="false" ht="15" hidden="false" customHeight="true" outlineLevel="0" collapsed="false">
      <c r="A8585" s="6" t="s">
        <v>11197</v>
      </c>
      <c r="B8585" s="6" t="s">
        <v>1807</v>
      </c>
      <c r="C8585" s="6" t="s">
        <v>116</v>
      </c>
      <c r="D8585" s="13" t="n">
        <v>45696</v>
      </c>
      <c r="E8585" s="14" t="n">
        <v>1146.61</v>
      </c>
      <c r="F8585" s="14" t="n">
        <v>9055.29</v>
      </c>
      <c r="G8585" s="6" t="s">
        <v>2613</v>
      </c>
    </row>
    <row r="8586" customFormat="false" ht="15" hidden="false" customHeight="true" outlineLevel="0" collapsed="false">
      <c r="A8586" s="6" t="s">
        <v>11198</v>
      </c>
      <c r="B8586" s="6" t="s">
        <v>1807</v>
      </c>
      <c r="C8586" s="6" t="s">
        <v>116</v>
      </c>
      <c r="D8586" s="13" t="n">
        <v>45703</v>
      </c>
      <c r="E8586" s="14" t="n">
        <v>996.45</v>
      </c>
      <c r="F8586" s="14" t="n">
        <v>10051.74</v>
      </c>
      <c r="G8586" s="6" t="s">
        <v>2613</v>
      </c>
    </row>
    <row r="8587" customFormat="false" ht="15" hidden="false" customHeight="true" outlineLevel="0" collapsed="false">
      <c r="A8587" s="6" t="s">
        <v>11199</v>
      </c>
      <c r="B8587" s="6" t="s">
        <v>1807</v>
      </c>
      <c r="C8587" s="6" t="s">
        <v>116</v>
      </c>
      <c r="D8587" s="13" t="n">
        <v>45710</v>
      </c>
      <c r="E8587" s="14" t="n">
        <v>1217.51</v>
      </c>
      <c r="F8587" s="14" t="n">
        <v>11269.25</v>
      </c>
      <c r="G8587" s="6" t="s">
        <v>2623</v>
      </c>
    </row>
    <row r="8588" customFormat="false" ht="15" hidden="false" customHeight="true" outlineLevel="0" collapsed="false">
      <c r="A8588" s="6" t="s">
        <v>11200</v>
      </c>
      <c r="B8588" s="6" t="s">
        <v>1807</v>
      </c>
      <c r="C8588" s="6" t="s">
        <v>116</v>
      </c>
      <c r="D8588" s="13" t="n">
        <v>45717</v>
      </c>
      <c r="E8588" s="14" t="n">
        <v>1423.35</v>
      </c>
      <c r="F8588" s="14" t="n">
        <v>12692.6</v>
      </c>
      <c r="G8588" s="6" t="s">
        <v>2613</v>
      </c>
    </row>
    <row r="8589" customFormat="false" ht="15" hidden="false" customHeight="true" outlineLevel="0" collapsed="false">
      <c r="A8589" s="6" t="s">
        <v>11201</v>
      </c>
      <c r="B8589" s="6" t="s">
        <v>1807</v>
      </c>
      <c r="C8589" s="6" t="s">
        <v>116</v>
      </c>
      <c r="D8589" s="13" t="n">
        <v>45724</v>
      </c>
      <c r="E8589" s="14" t="n">
        <v>1769.87</v>
      </c>
      <c r="F8589" s="14" t="n">
        <v>14462.47</v>
      </c>
      <c r="G8589" s="6" t="s">
        <v>2613</v>
      </c>
    </row>
    <row r="8590" customFormat="false" ht="15" hidden="false" customHeight="true" outlineLevel="0" collapsed="false">
      <c r="A8590" s="6" t="s">
        <v>11202</v>
      </c>
      <c r="B8590" s="6" t="s">
        <v>1807</v>
      </c>
      <c r="C8590" s="6" t="s">
        <v>116</v>
      </c>
      <c r="D8590" s="13" t="n">
        <v>45731</v>
      </c>
      <c r="E8590" s="14" t="n">
        <v>983.17</v>
      </c>
      <c r="F8590" s="14" t="n">
        <v>15445.64</v>
      </c>
      <c r="G8590" s="6" t="s">
        <v>2613</v>
      </c>
    </row>
    <row r="8591" customFormat="false" ht="15" hidden="false" customHeight="true" outlineLevel="0" collapsed="false">
      <c r="A8591" s="6" t="s">
        <v>11203</v>
      </c>
      <c r="B8591" s="6" t="s">
        <v>1807</v>
      </c>
      <c r="C8591" s="6" t="s">
        <v>116</v>
      </c>
      <c r="D8591" s="13" t="n">
        <v>45738</v>
      </c>
      <c r="E8591" s="14" t="n">
        <v>1817.5</v>
      </c>
      <c r="F8591" s="14" t="n">
        <v>17263.14</v>
      </c>
      <c r="G8591" s="6" t="s">
        <v>2613</v>
      </c>
    </row>
    <row r="8592" customFormat="false" ht="15" hidden="false" customHeight="true" outlineLevel="0" collapsed="false">
      <c r="A8592" s="6" t="s">
        <v>11204</v>
      </c>
      <c r="B8592" s="6" t="s">
        <v>1807</v>
      </c>
      <c r="C8592" s="6" t="s">
        <v>116</v>
      </c>
      <c r="D8592" s="13" t="n">
        <v>45745</v>
      </c>
      <c r="E8592" s="14" t="n">
        <v>1001.94</v>
      </c>
      <c r="F8592" s="14" t="n">
        <v>18265.08</v>
      </c>
      <c r="G8592" s="6" t="s">
        <v>2613</v>
      </c>
    </row>
    <row r="8593" customFormat="false" ht="15" hidden="false" customHeight="true" outlineLevel="0" collapsed="false">
      <c r="A8593" s="6" t="s">
        <v>11205</v>
      </c>
      <c r="B8593" s="6" t="s">
        <v>1807</v>
      </c>
      <c r="C8593" s="6" t="s">
        <v>116</v>
      </c>
      <c r="D8593" s="13" t="n">
        <v>45752</v>
      </c>
      <c r="E8593" s="14" t="n">
        <v>1418.94</v>
      </c>
      <c r="F8593" s="14" t="n">
        <v>19684.02</v>
      </c>
      <c r="G8593" s="6" t="s">
        <v>2613</v>
      </c>
    </row>
    <row r="8594" customFormat="false" ht="15" hidden="false" customHeight="true" outlineLevel="0" collapsed="false">
      <c r="A8594" s="6" t="s">
        <v>11206</v>
      </c>
      <c r="B8594" s="6" t="s">
        <v>1807</v>
      </c>
      <c r="C8594" s="6" t="s">
        <v>116</v>
      </c>
      <c r="D8594" s="13" t="n">
        <v>45759</v>
      </c>
      <c r="E8594" s="14" t="n">
        <v>1631</v>
      </c>
      <c r="F8594" s="14" t="n">
        <v>21315.02</v>
      </c>
      <c r="G8594" s="6" t="s">
        <v>2613</v>
      </c>
    </row>
    <row r="8595" customFormat="false" ht="15" hidden="false" customHeight="true" outlineLevel="0" collapsed="false">
      <c r="A8595" s="6" t="s">
        <v>11207</v>
      </c>
      <c r="B8595" s="6" t="s">
        <v>1807</v>
      </c>
      <c r="C8595" s="6" t="s">
        <v>116</v>
      </c>
      <c r="D8595" s="13" t="n">
        <v>45766</v>
      </c>
      <c r="E8595" s="14" t="n">
        <v>1384.18</v>
      </c>
      <c r="F8595" s="14" t="n">
        <v>22699.2</v>
      </c>
      <c r="G8595" s="6" t="s">
        <v>2613</v>
      </c>
    </row>
    <row r="8596" customFormat="false" ht="15" hidden="false" customHeight="true" outlineLevel="0" collapsed="false">
      <c r="A8596" s="6" t="s">
        <v>11208</v>
      </c>
      <c r="B8596" s="6" t="s">
        <v>1807</v>
      </c>
      <c r="C8596" s="6" t="s">
        <v>116</v>
      </c>
      <c r="D8596" s="13" t="n">
        <v>45773</v>
      </c>
      <c r="E8596" s="14" t="n">
        <v>1200.1</v>
      </c>
      <c r="F8596" s="14" t="n">
        <v>23899.3</v>
      </c>
      <c r="G8596" s="6" t="s">
        <v>2613</v>
      </c>
    </row>
    <row r="8597" customFormat="false" ht="15" hidden="false" customHeight="true" outlineLevel="0" collapsed="false">
      <c r="A8597" s="6" t="s">
        <v>11209</v>
      </c>
      <c r="B8597" s="6" t="s">
        <v>1807</v>
      </c>
      <c r="C8597" s="6" t="s">
        <v>116</v>
      </c>
      <c r="D8597" s="13" t="n">
        <v>45780</v>
      </c>
      <c r="E8597" s="14" t="n">
        <v>1506.25</v>
      </c>
      <c r="F8597" s="14" t="n">
        <v>25405.55</v>
      </c>
      <c r="G8597" s="6" t="s">
        <v>2613</v>
      </c>
    </row>
    <row r="8598" customFormat="false" ht="15" hidden="false" customHeight="true" outlineLevel="0" collapsed="false">
      <c r="A8598" s="6" t="s">
        <v>11210</v>
      </c>
      <c r="B8598" s="6" t="s">
        <v>1807</v>
      </c>
      <c r="C8598" s="6" t="s">
        <v>116</v>
      </c>
      <c r="D8598" s="13" t="n">
        <v>45787</v>
      </c>
      <c r="E8598" s="14" t="n">
        <v>1688.9</v>
      </c>
      <c r="F8598" s="14" t="n">
        <v>27094.45</v>
      </c>
      <c r="G8598" s="6" t="s">
        <v>2613</v>
      </c>
    </row>
    <row r="8599" customFormat="false" ht="15" hidden="false" customHeight="true" outlineLevel="0" collapsed="false">
      <c r="A8599" s="6" t="s">
        <v>11211</v>
      </c>
      <c r="B8599" s="6" t="s">
        <v>1807</v>
      </c>
      <c r="C8599" s="6" t="s">
        <v>116</v>
      </c>
      <c r="D8599" s="13" t="n">
        <v>45794</v>
      </c>
      <c r="E8599" s="14" t="n">
        <v>2020.69</v>
      </c>
      <c r="F8599" s="14" t="n">
        <v>29115.14</v>
      </c>
      <c r="G8599" s="6" t="s">
        <v>2623</v>
      </c>
    </row>
    <row r="8600" customFormat="false" ht="15" hidden="false" customHeight="true" outlineLevel="0" collapsed="false">
      <c r="A8600" s="6" t="s">
        <v>11212</v>
      </c>
      <c r="B8600" s="6" t="s">
        <v>1807</v>
      </c>
      <c r="C8600" s="6" t="s">
        <v>116</v>
      </c>
      <c r="D8600" s="13" t="n">
        <v>45801</v>
      </c>
      <c r="E8600" s="14" t="n">
        <v>939.91</v>
      </c>
      <c r="F8600" s="14" t="n">
        <v>30055.05</v>
      </c>
      <c r="G8600" s="6" t="s">
        <v>2613</v>
      </c>
    </row>
    <row r="8601" customFormat="false" ht="15" hidden="false" customHeight="true" outlineLevel="0" collapsed="false">
      <c r="A8601" s="6" t="s">
        <v>11213</v>
      </c>
      <c r="B8601" s="6" t="s">
        <v>1807</v>
      </c>
      <c r="C8601" s="6" t="s">
        <v>116</v>
      </c>
      <c r="D8601" s="13" t="n">
        <v>45808</v>
      </c>
      <c r="E8601" s="14" t="n">
        <v>1904.04</v>
      </c>
      <c r="F8601" s="14" t="n">
        <v>31959.09</v>
      </c>
      <c r="G8601" s="6" t="s">
        <v>2613</v>
      </c>
    </row>
    <row r="8602" customFormat="false" ht="15" hidden="false" customHeight="true" outlineLevel="0" collapsed="false">
      <c r="A8602" s="6" t="s">
        <v>11214</v>
      </c>
      <c r="B8602" s="6" t="s">
        <v>1807</v>
      </c>
      <c r="C8602" s="6" t="s">
        <v>116</v>
      </c>
      <c r="D8602" s="13" t="n">
        <v>45815</v>
      </c>
      <c r="E8602" s="14" t="n">
        <v>1299.01</v>
      </c>
      <c r="F8602" s="14" t="n">
        <v>33258.1</v>
      </c>
      <c r="G8602" s="6" t="s">
        <v>2613</v>
      </c>
    </row>
    <row r="8603" customFormat="false" ht="15" hidden="false" customHeight="true" outlineLevel="0" collapsed="false">
      <c r="A8603" s="6" t="s">
        <v>11215</v>
      </c>
      <c r="B8603" s="6" t="s">
        <v>1807</v>
      </c>
      <c r="C8603" s="6" t="s">
        <v>116</v>
      </c>
      <c r="D8603" s="13" t="n">
        <v>45822</v>
      </c>
      <c r="E8603" s="14" t="n">
        <v>1189.62</v>
      </c>
      <c r="F8603" s="14" t="n">
        <v>34447.72</v>
      </c>
      <c r="G8603" s="6" t="s">
        <v>2613</v>
      </c>
    </row>
    <row r="8604" customFormat="false" ht="15" hidden="false" customHeight="true" outlineLevel="0" collapsed="false">
      <c r="A8604" s="6" t="s">
        <v>11216</v>
      </c>
      <c r="B8604" s="6" t="s">
        <v>1807</v>
      </c>
      <c r="C8604" s="6" t="s">
        <v>116</v>
      </c>
      <c r="D8604" s="13" t="n">
        <v>45829</v>
      </c>
      <c r="E8604" s="14" t="n">
        <v>1473.86</v>
      </c>
      <c r="F8604" s="14" t="n">
        <v>35921.58</v>
      </c>
      <c r="G8604" s="6" t="s">
        <v>2613</v>
      </c>
    </row>
    <row r="8605" customFormat="false" ht="15" hidden="false" customHeight="true" outlineLevel="0" collapsed="false">
      <c r="A8605" s="6" t="s">
        <v>11217</v>
      </c>
      <c r="B8605" s="6" t="s">
        <v>1807</v>
      </c>
      <c r="C8605" s="6" t="s">
        <v>116</v>
      </c>
      <c r="D8605" s="13" t="n">
        <v>45836</v>
      </c>
      <c r="E8605" s="14" t="n">
        <v>923.16</v>
      </c>
      <c r="F8605" s="14" t="n">
        <v>36844.74</v>
      </c>
      <c r="G8605" s="6" t="s">
        <v>2613</v>
      </c>
    </row>
    <row r="8606" customFormat="false" ht="15" hidden="false" customHeight="true" outlineLevel="0" collapsed="false">
      <c r="A8606" s="6" t="s">
        <v>11218</v>
      </c>
      <c r="B8606" s="6" t="s">
        <v>1807</v>
      </c>
      <c r="C8606" s="6" t="s">
        <v>116</v>
      </c>
      <c r="D8606" s="13" t="n">
        <v>45843</v>
      </c>
      <c r="E8606" s="14" t="n">
        <v>1355.77</v>
      </c>
      <c r="F8606" s="14" t="n">
        <v>38200.51</v>
      </c>
      <c r="G8606" s="6" t="s">
        <v>2613</v>
      </c>
    </row>
    <row r="8607" customFormat="false" ht="15" hidden="false" customHeight="true" outlineLevel="0" collapsed="false">
      <c r="A8607" s="6" t="s">
        <v>11219</v>
      </c>
      <c r="B8607" s="6" t="s">
        <v>1807</v>
      </c>
      <c r="C8607" s="6" t="s">
        <v>116</v>
      </c>
      <c r="D8607" s="13" t="n">
        <v>45850</v>
      </c>
      <c r="E8607" s="14" t="n">
        <v>3847.25</v>
      </c>
      <c r="F8607" s="14" t="n">
        <v>42047.76</v>
      </c>
      <c r="G8607" s="6" t="s">
        <v>2613</v>
      </c>
    </row>
    <row r="8608" customFormat="false" ht="15" hidden="false" customHeight="true" outlineLevel="0" collapsed="false">
      <c r="A8608" s="6" t="s">
        <v>11220</v>
      </c>
      <c r="B8608" s="6" t="s">
        <v>1809</v>
      </c>
      <c r="C8608" s="6" t="s">
        <v>128</v>
      </c>
      <c r="D8608" s="13" t="n">
        <v>45336</v>
      </c>
      <c r="E8608" s="14" t="n">
        <v>489.11</v>
      </c>
      <c r="F8608" s="14" t="n">
        <v>489.11</v>
      </c>
      <c r="G8608" s="6" t="s">
        <v>2613</v>
      </c>
    </row>
    <row r="8609" customFormat="false" ht="15" hidden="false" customHeight="true" outlineLevel="0" collapsed="false">
      <c r="A8609" s="6" t="s">
        <v>11221</v>
      </c>
      <c r="B8609" s="6" t="s">
        <v>1809</v>
      </c>
      <c r="C8609" s="6" t="s">
        <v>128</v>
      </c>
      <c r="D8609" s="13" t="n">
        <v>45343</v>
      </c>
      <c r="E8609" s="14" t="n">
        <v>797.55</v>
      </c>
      <c r="F8609" s="14" t="n">
        <v>1286.66</v>
      </c>
      <c r="G8609" s="6" t="s">
        <v>2613</v>
      </c>
    </row>
    <row r="8610" customFormat="false" ht="15" hidden="false" customHeight="true" outlineLevel="0" collapsed="false">
      <c r="A8610" s="6" t="s">
        <v>11222</v>
      </c>
      <c r="B8610" s="6" t="s">
        <v>1809</v>
      </c>
      <c r="C8610" s="6" t="s">
        <v>128</v>
      </c>
      <c r="D8610" s="13" t="n">
        <v>45350</v>
      </c>
      <c r="E8610" s="14" t="n">
        <v>795.62</v>
      </c>
      <c r="F8610" s="14" t="n">
        <v>2082.28</v>
      </c>
      <c r="G8610" s="6" t="s">
        <v>2613</v>
      </c>
    </row>
    <row r="8611" customFormat="false" ht="15" hidden="false" customHeight="true" outlineLevel="0" collapsed="false">
      <c r="A8611" s="6" t="s">
        <v>11223</v>
      </c>
      <c r="B8611" s="6" t="s">
        <v>1809</v>
      </c>
      <c r="C8611" s="6" t="s">
        <v>128</v>
      </c>
      <c r="D8611" s="13" t="n">
        <v>45357</v>
      </c>
      <c r="E8611" s="14" t="n">
        <v>682.3</v>
      </c>
      <c r="F8611" s="14" t="n">
        <v>2764.58</v>
      </c>
      <c r="G8611" s="6" t="s">
        <v>2623</v>
      </c>
    </row>
    <row r="8612" customFormat="false" ht="15" hidden="false" customHeight="true" outlineLevel="0" collapsed="false">
      <c r="A8612" s="6" t="s">
        <v>11224</v>
      </c>
      <c r="B8612" s="6" t="s">
        <v>1809</v>
      </c>
      <c r="C8612" s="6" t="s">
        <v>128</v>
      </c>
      <c r="D8612" s="13" t="n">
        <v>45364</v>
      </c>
      <c r="E8612" s="14" t="n">
        <v>89.05</v>
      </c>
      <c r="F8612" s="14" t="n">
        <v>2853.63</v>
      </c>
      <c r="G8612" s="6" t="s">
        <v>2613</v>
      </c>
    </row>
    <row r="8613" customFormat="false" ht="15" hidden="false" customHeight="true" outlineLevel="0" collapsed="false">
      <c r="A8613" s="6" t="s">
        <v>11225</v>
      </c>
      <c r="B8613" s="6" t="s">
        <v>1811</v>
      </c>
      <c r="C8613" s="6" t="s">
        <v>128</v>
      </c>
      <c r="D8613" s="13" t="n">
        <v>46149</v>
      </c>
      <c r="E8613" s="14" t="n">
        <v>4235.57</v>
      </c>
      <c r="F8613" s="14" t="n">
        <v>4235.57</v>
      </c>
      <c r="G8613" s="6" t="s">
        <v>2623</v>
      </c>
    </row>
    <row r="8614" customFormat="false" ht="15" hidden="false" customHeight="true" outlineLevel="0" collapsed="false">
      <c r="A8614" s="6" t="s">
        <v>11226</v>
      </c>
      <c r="B8614" s="6" t="s">
        <v>1811</v>
      </c>
      <c r="C8614" s="6" t="s">
        <v>128</v>
      </c>
      <c r="D8614" s="13" t="n">
        <v>46156</v>
      </c>
      <c r="E8614" s="14" t="n">
        <v>2169.77</v>
      </c>
      <c r="F8614" s="14" t="n">
        <v>6405.34</v>
      </c>
      <c r="G8614" s="6" t="s">
        <v>2623</v>
      </c>
    </row>
    <row r="8615" customFormat="false" ht="15" hidden="false" customHeight="true" outlineLevel="0" collapsed="false">
      <c r="A8615" s="6" t="s">
        <v>11227</v>
      </c>
      <c r="B8615" s="6" t="s">
        <v>1811</v>
      </c>
      <c r="C8615" s="6" t="s">
        <v>128</v>
      </c>
      <c r="D8615" s="13" t="n">
        <v>46163</v>
      </c>
      <c r="E8615" s="14" t="n">
        <v>2708.08</v>
      </c>
      <c r="F8615" s="14" t="n">
        <v>9113.42</v>
      </c>
      <c r="G8615" s="6" t="s">
        <v>2613</v>
      </c>
    </row>
    <row r="8616" customFormat="false" ht="15" hidden="false" customHeight="true" outlineLevel="0" collapsed="false">
      <c r="A8616" s="6" t="s">
        <v>11228</v>
      </c>
      <c r="B8616" s="6" t="s">
        <v>1811</v>
      </c>
      <c r="C8616" s="6" t="s">
        <v>128</v>
      </c>
      <c r="D8616" s="13" t="n">
        <v>46170</v>
      </c>
      <c r="E8616" s="14" t="n">
        <v>2941.25</v>
      </c>
      <c r="F8616" s="14" t="n">
        <v>12054.67</v>
      </c>
      <c r="G8616" s="6" t="s">
        <v>2613</v>
      </c>
    </row>
    <row r="8617" customFormat="false" ht="15" hidden="false" customHeight="true" outlineLevel="0" collapsed="false">
      <c r="A8617" s="6" t="s">
        <v>11229</v>
      </c>
      <c r="B8617" s="6" t="s">
        <v>1811</v>
      </c>
      <c r="C8617" s="6" t="s">
        <v>128</v>
      </c>
      <c r="D8617" s="13" t="n">
        <v>46177</v>
      </c>
      <c r="E8617" s="14" t="n">
        <v>4829.46</v>
      </c>
      <c r="F8617" s="14" t="n">
        <v>16884.13</v>
      </c>
      <c r="G8617" s="6" t="s">
        <v>2613</v>
      </c>
    </row>
    <row r="8618" customFormat="false" ht="15" hidden="false" customHeight="true" outlineLevel="0" collapsed="false">
      <c r="A8618" s="6" t="s">
        <v>11230</v>
      </c>
      <c r="B8618" s="6" t="s">
        <v>1811</v>
      </c>
      <c r="C8618" s="6" t="s">
        <v>128</v>
      </c>
      <c r="D8618" s="13" t="n">
        <v>46184</v>
      </c>
      <c r="E8618" s="14" t="n">
        <v>4795.35</v>
      </c>
      <c r="F8618" s="14" t="n">
        <v>21679.48</v>
      </c>
      <c r="G8618" s="6" t="s">
        <v>2613</v>
      </c>
    </row>
    <row r="8619" customFormat="false" ht="15" hidden="false" customHeight="true" outlineLevel="0" collapsed="false">
      <c r="A8619" s="6" t="s">
        <v>11231</v>
      </c>
      <c r="B8619" s="6" t="s">
        <v>1811</v>
      </c>
      <c r="C8619" s="6" t="s">
        <v>128</v>
      </c>
      <c r="D8619" s="13" t="n">
        <v>46191</v>
      </c>
      <c r="E8619" s="14" t="n">
        <v>3304.23</v>
      </c>
      <c r="F8619" s="14" t="n">
        <v>24983.71</v>
      </c>
      <c r="G8619" s="6" t="s">
        <v>2613</v>
      </c>
    </row>
    <row r="8620" customFormat="false" ht="15" hidden="false" customHeight="true" outlineLevel="0" collapsed="false">
      <c r="A8620" s="6" t="s">
        <v>11232</v>
      </c>
      <c r="B8620" s="6" t="s">
        <v>1811</v>
      </c>
      <c r="C8620" s="6" t="s">
        <v>128</v>
      </c>
      <c r="D8620" s="13" t="n">
        <v>46198</v>
      </c>
      <c r="E8620" s="14" t="n">
        <v>4762.29</v>
      </c>
      <c r="F8620" s="14" t="n">
        <v>29746</v>
      </c>
      <c r="G8620" s="6" t="s">
        <v>2613</v>
      </c>
    </row>
    <row r="8621" customFormat="false" ht="15" hidden="false" customHeight="true" outlineLevel="0" collapsed="false">
      <c r="A8621" s="6" t="s">
        <v>11233</v>
      </c>
      <c r="B8621" s="6" t="s">
        <v>1811</v>
      </c>
      <c r="C8621" s="6" t="s">
        <v>128</v>
      </c>
      <c r="D8621" s="13" t="n">
        <v>46205</v>
      </c>
      <c r="E8621" s="14" t="n">
        <v>1552.39</v>
      </c>
      <c r="F8621" s="14" t="n">
        <v>31298.39</v>
      </c>
      <c r="G8621" s="6" t="s">
        <v>2613</v>
      </c>
    </row>
    <row r="8622" customFormat="false" ht="15" hidden="false" customHeight="true" outlineLevel="0" collapsed="false">
      <c r="A8622" s="6" t="s">
        <v>11234</v>
      </c>
      <c r="B8622" s="6" t="s">
        <v>1813</v>
      </c>
      <c r="C8622" s="6" t="s">
        <v>124</v>
      </c>
      <c r="D8622" s="13" t="n">
        <v>45495</v>
      </c>
      <c r="E8622" s="14" t="n">
        <v>2279.32</v>
      </c>
      <c r="F8622" s="14" t="n">
        <v>2279.32</v>
      </c>
      <c r="G8622" s="6" t="s">
        <v>2613</v>
      </c>
    </row>
    <row r="8623" customFormat="false" ht="15" hidden="false" customHeight="true" outlineLevel="0" collapsed="false">
      <c r="A8623" s="6" t="s">
        <v>11235</v>
      </c>
      <c r="B8623" s="6" t="s">
        <v>1813</v>
      </c>
      <c r="C8623" s="6" t="s">
        <v>124</v>
      </c>
      <c r="D8623" s="13" t="n">
        <v>45502</v>
      </c>
      <c r="E8623" s="14" t="n">
        <v>2828.5</v>
      </c>
      <c r="F8623" s="14" t="n">
        <v>5107.82</v>
      </c>
      <c r="G8623" s="6" t="s">
        <v>2613</v>
      </c>
    </row>
    <row r="8624" customFormat="false" ht="15" hidden="false" customHeight="true" outlineLevel="0" collapsed="false">
      <c r="A8624" s="6" t="s">
        <v>11236</v>
      </c>
      <c r="B8624" s="6" t="s">
        <v>1813</v>
      </c>
      <c r="C8624" s="6" t="s">
        <v>124</v>
      </c>
      <c r="D8624" s="13" t="n">
        <v>45509</v>
      </c>
      <c r="E8624" s="14" t="n">
        <v>4658.4</v>
      </c>
      <c r="F8624" s="14" t="n">
        <v>9766.22</v>
      </c>
      <c r="G8624" s="6" t="s">
        <v>2613</v>
      </c>
    </row>
    <row r="8625" customFormat="false" ht="15" hidden="false" customHeight="true" outlineLevel="0" collapsed="false">
      <c r="A8625" s="6" t="s">
        <v>11237</v>
      </c>
      <c r="B8625" s="6" t="s">
        <v>1813</v>
      </c>
      <c r="C8625" s="6" t="s">
        <v>124</v>
      </c>
      <c r="D8625" s="13" t="n">
        <v>45516</v>
      </c>
      <c r="E8625" s="14" t="n">
        <v>3174.97</v>
      </c>
      <c r="F8625" s="14" t="n">
        <v>12941.19</v>
      </c>
      <c r="G8625" s="6" t="s">
        <v>2613</v>
      </c>
    </row>
    <row r="8626" customFormat="false" ht="15" hidden="false" customHeight="true" outlineLevel="0" collapsed="false">
      <c r="A8626" s="6" t="s">
        <v>11238</v>
      </c>
      <c r="B8626" s="6" t="s">
        <v>1813</v>
      </c>
      <c r="C8626" s="6" t="s">
        <v>124</v>
      </c>
      <c r="D8626" s="13" t="n">
        <v>45523</v>
      </c>
      <c r="E8626" s="14" t="n">
        <v>4740.27</v>
      </c>
      <c r="F8626" s="14" t="n">
        <v>17681.46</v>
      </c>
      <c r="G8626" s="6" t="s">
        <v>2613</v>
      </c>
    </row>
    <row r="8627" customFormat="false" ht="15" hidden="false" customHeight="true" outlineLevel="0" collapsed="false">
      <c r="A8627" s="6" t="s">
        <v>11239</v>
      </c>
      <c r="B8627" s="6" t="s">
        <v>1815</v>
      </c>
      <c r="C8627" s="6" t="s">
        <v>112</v>
      </c>
      <c r="D8627" s="13" t="n">
        <v>46150</v>
      </c>
      <c r="E8627" s="14" t="n">
        <v>520.72</v>
      </c>
      <c r="F8627" s="14" t="n">
        <v>520.72</v>
      </c>
      <c r="G8627" s="6" t="s">
        <v>2623</v>
      </c>
    </row>
    <row r="8628" customFormat="false" ht="15" hidden="false" customHeight="true" outlineLevel="0" collapsed="false">
      <c r="A8628" s="6" t="s">
        <v>11240</v>
      </c>
      <c r="B8628" s="6" t="s">
        <v>1815</v>
      </c>
      <c r="C8628" s="6" t="s">
        <v>112</v>
      </c>
      <c r="D8628" s="13" t="n">
        <v>46157</v>
      </c>
      <c r="E8628" s="14" t="n">
        <v>787.63</v>
      </c>
      <c r="F8628" s="14" t="n">
        <v>1308.35</v>
      </c>
      <c r="G8628" s="6" t="s">
        <v>2623</v>
      </c>
    </row>
    <row r="8629" customFormat="false" ht="15" hidden="false" customHeight="true" outlineLevel="0" collapsed="false">
      <c r="A8629" s="6" t="s">
        <v>11241</v>
      </c>
      <c r="B8629" s="6" t="s">
        <v>1815</v>
      </c>
      <c r="C8629" s="6" t="s">
        <v>112</v>
      </c>
      <c r="D8629" s="13" t="n">
        <v>46164</v>
      </c>
      <c r="E8629" s="14" t="n">
        <v>883.11</v>
      </c>
      <c r="F8629" s="14" t="n">
        <v>2191.46</v>
      </c>
      <c r="G8629" s="6" t="s">
        <v>2613</v>
      </c>
    </row>
    <row r="8630" customFormat="false" ht="15" hidden="false" customHeight="true" outlineLevel="0" collapsed="false">
      <c r="A8630" s="6" t="s">
        <v>11242</v>
      </c>
      <c r="B8630" s="6" t="s">
        <v>1815</v>
      </c>
      <c r="C8630" s="6" t="s">
        <v>112</v>
      </c>
      <c r="D8630" s="13" t="n">
        <v>46171</v>
      </c>
      <c r="E8630" s="14" t="n">
        <v>635.34</v>
      </c>
      <c r="F8630" s="14" t="n">
        <v>2826.8</v>
      </c>
      <c r="G8630" s="6" t="s">
        <v>2613</v>
      </c>
    </row>
    <row r="8631" customFormat="false" ht="15" hidden="false" customHeight="true" outlineLevel="0" collapsed="false">
      <c r="A8631" s="6" t="s">
        <v>11243</v>
      </c>
      <c r="B8631" s="6" t="s">
        <v>1815</v>
      </c>
      <c r="C8631" s="6" t="s">
        <v>112</v>
      </c>
      <c r="D8631" s="13" t="n">
        <v>46178</v>
      </c>
      <c r="E8631" s="14" t="n">
        <v>845.89</v>
      </c>
      <c r="F8631" s="14" t="n">
        <v>3672.69</v>
      </c>
      <c r="G8631" s="6" t="s">
        <v>2613</v>
      </c>
    </row>
    <row r="8632" customFormat="false" ht="15" hidden="false" customHeight="true" outlineLevel="0" collapsed="false">
      <c r="A8632" s="6" t="s">
        <v>11244</v>
      </c>
      <c r="B8632" s="6" t="s">
        <v>1815</v>
      </c>
      <c r="C8632" s="6" t="s">
        <v>112</v>
      </c>
      <c r="D8632" s="13" t="n">
        <v>46185</v>
      </c>
      <c r="E8632" s="14" t="n">
        <v>1039.65</v>
      </c>
      <c r="F8632" s="14" t="n">
        <v>4712.34</v>
      </c>
      <c r="G8632" s="6" t="s">
        <v>2613</v>
      </c>
    </row>
    <row r="8633" customFormat="false" ht="15" hidden="false" customHeight="true" outlineLevel="0" collapsed="false">
      <c r="A8633" s="6" t="s">
        <v>11245</v>
      </c>
      <c r="B8633" s="6" t="s">
        <v>1815</v>
      </c>
      <c r="C8633" s="6" t="s">
        <v>112</v>
      </c>
      <c r="D8633" s="13" t="n">
        <v>46192</v>
      </c>
      <c r="E8633" s="14" t="n">
        <v>932.28</v>
      </c>
      <c r="F8633" s="14" t="n">
        <v>5644.62</v>
      </c>
      <c r="G8633" s="6" t="s">
        <v>2613</v>
      </c>
    </row>
    <row r="8634" customFormat="false" ht="15" hidden="false" customHeight="true" outlineLevel="0" collapsed="false">
      <c r="A8634" s="6" t="s">
        <v>11246</v>
      </c>
      <c r="B8634" s="6" t="s">
        <v>1815</v>
      </c>
      <c r="C8634" s="6" t="s">
        <v>112</v>
      </c>
      <c r="D8634" s="13" t="n">
        <v>46199</v>
      </c>
      <c r="E8634" s="14" t="n">
        <v>773.33</v>
      </c>
      <c r="F8634" s="14" t="n">
        <v>6417.95</v>
      </c>
      <c r="G8634" s="6" t="s">
        <v>2613</v>
      </c>
    </row>
    <row r="8635" customFormat="false" ht="15" hidden="false" customHeight="true" outlineLevel="0" collapsed="false">
      <c r="A8635" s="6" t="s">
        <v>11247</v>
      </c>
      <c r="B8635" s="6" t="s">
        <v>1815</v>
      </c>
      <c r="C8635" s="6" t="s">
        <v>112</v>
      </c>
      <c r="D8635" s="13" t="n">
        <v>46206</v>
      </c>
      <c r="E8635" s="14" t="n">
        <v>569.19</v>
      </c>
      <c r="F8635" s="14" t="n">
        <v>6987.14</v>
      </c>
      <c r="G8635" s="6" t="s">
        <v>2613</v>
      </c>
    </row>
    <row r="8636" customFormat="false" ht="15" hidden="false" customHeight="true" outlineLevel="0" collapsed="false">
      <c r="A8636" s="6" t="s">
        <v>11248</v>
      </c>
      <c r="B8636" s="6" t="s">
        <v>1815</v>
      </c>
      <c r="C8636" s="6" t="s">
        <v>112</v>
      </c>
      <c r="D8636" s="13" t="n">
        <v>46213</v>
      </c>
      <c r="E8636" s="14" t="n">
        <v>1555.17</v>
      </c>
      <c r="F8636" s="14" t="n">
        <v>8542.31</v>
      </c>
      <c r="G8636" s="6" t="s">
        <v>2613</v>
      </c>
    </row>
    <row r="8637" customFormat="false" ht="15" hidden="false" customHeight="true" outlineLevel="0" collapsed="false">
      <c r="A8637" s="6" t="s">
        <v>11249</v>
      </c>
      <c r="B8637" s="6" t="s">
        <v>1817</v>
      </c>
      <c r="C8637" s="6" t="s">
        <v>120</v>
      </c>
      <c r="D8637" s="13" t="n">
        <v>44960</v>
      </c>
      <c r="E8637" s="14" t="n">
        <v>4669.3</v>
      </c>
      <c r="F8637" s="14" t="n">
        <v>4669.3</v>
      </c>
      <c r="G8637" s="6" t="s">
        <v>2613</v>
      </c>
    </row>
    <row r="8638" customFormat="false" ht="15" hidden="false" customHeight="true" outlineLevel="0" collapsed="false">
      <c r="A8638" s="6" t="s">
        <v>11250</v>
      </c>
      <c r="B8638" s="6" t="s">
        <v>1817</v>
      </c>
      <c r="C8638" s="6" t="s">
        <v>120</v>
      </c>
      <c r="D8638" s="13" t="n">
        <v>44967</v>
      </c>
      <c r="E8638" s="14" t="n">
        <v>4047.67</v>
      </c>
      <c r="F8638" s="14" t="n">
        <v>8716.97</v>
      </c>
      <c r="G8638" s="6" t="s">
        <v>2623</v>
      </c>
    </row>
    <row r="8639" customFormat="false" ht="15" hidden="false" customHeight="true" outlineLevel="0" collapsed="false">
      <c r="A8639" s="6" t="s">
        <v>11251</v>
      </c>
      <c r="B8639" s="6" t="s">
        <v>1817</v>
      </c>
      <c r="C8639" s="6" t="s">
        <v>120</v>
      </c>
      <c r="D8639" s="13" t="n">
        <v>44974</v>
      </c>
      <c r="E8639" s="14" t="n">
        <v>6525.21</v>
      </c>
      <c r="F8639" s="14" t="n">
        <v>15242.18</v>
      </c>
      <c r="G8639" s="6" t="s">
        <v>2613</v>
      </c>
    </row>
    <row r="8640" customFormat="false" ht="15" hidden="false" customHeight="true" outlineLevel="0" collapsed="false">
      <c r="A8640" s="6" t="s">
        <v>11252</v>
      </c>
      <c r="B8640" s="6" t="s">
        <v>1817</v>
      </c>
      <c r="C8640" s="6" t="s">
        <v>120</v>
      </c>
      <c r="D8640" s="13" t="n">
        <v>44981</v>
      </c>
      <c r="E8640" s="14" t="n">
        <v>6249.5</v>
      </c>
      <c r="F8640" s="14" t="n">
        <v>21491.68</v>
      </c>
      <c r="G8640" s="6" t="s">
        <v>2613</v>
      </c>
    </row>
    <row r="8641" customFormat="false" ht="15" hidden="false" customHeight="true" outlineLevel="0" collapsed="false">
      <c r="A8641" s="6" t="s">
        <v>11253</v>
      </c>
      <c r="B8641" s="6" t="s">
        <v>1817</v>
      </c>
      <c r="C8641" s="6" t="s">
        <v>120</v>
      </c>
      <c r="D8641" s="13" t="n">
        <v>44988</v>
      </c>
      <c r="E8641" s="14" t="n">
        <v>2596.93</v>
      </c>
      <c r="F8641" s="14" t="n">
        <v>24088.61</v>
      </c>
      <c r="G8641" s="6" t="s">
        <v>2623</v>
      </c>
    </row>
    <row r="8642" customFormat="false" ht="15" hidden="false" customHeight="true" outlineLevel="0" collapsed="false">
      <c r="A8642" s="6" t="s">
        <v>11254</v>
      </c>
      <c r="B8642" s="6" t="s">
        <v>1819</v>
      </c>
      <c r="C8642" s="6" t="s">
        <v>116</v>
      </c>
      <c r="D8642" s="13" t="n">
        <v>44743</v>
      </c>
      <c r="E8642" s="14" t="n">
        <v>2063.44</v>
      </c>
      <c r="F8642" s="14" t="n">
        <v>2063.44</v>
      </c>
      <c r="G8642" s="6" t="s">
        <v>2623</v>
      </c>
    </row>
    <row r="8643" customFormat="false" ht="15" hidden="false" customHeight="true" outlineLevel="0" collapsed="false">
      <c r="A8643" s="6" t="s">
        <v>11255</v>
      </c>
      <c r="B8643" s="6" t="s">
        <v>1819</v>
      </c>
      <c r="C8643" s="6" t="s">
        <v>116</v>
      </c>
      <c r="D8643" s="13" t="n">
        <v>44750</v>
      </c>
      <c r="E8643" s="14" t="n">
        <v>1684.89</v>
      </c>
      <c r="F8643" s="14" t="n">
        <v>3748.33</v>
      </c>
      <c r="G8643" s="6" t="s">
        <v>2613</v>
      </c>
    </row>
    <row r="8644" customFormat="false" ht="15" hidden="false" customHeight="true" outlineLevel="0" collapsed="false">
      <c r="A8644" s="6" t="s">
        <v>11256</v>
      </c>
      <c r="B8644" s="6" t="s">
        <v>1819</v>
      </c>
      <c r="C8644" s="6" t="s">
        <v>116</v>
      </c>
      <c r="D8644" s="13" t="n">
        <v>44757</v>
      </c>
      <c r="E8644" s="14" t="n">
        <v>1176.98</v>
      </c>
      <c r="F8644" s="14" t="n">
        <v>4925.31</v>
      </c>
      <c r="G8644" s="6" t="s">
        <v>2613</v>
      </c>
    </row>
    <row r="8645" customFormat="false" ht="15" hidden="false" customHeight="true" outlineLevel="0" collapsed="false">
      <c r="A8645" s="6" t="s">
        <v>11257</v>
      </c>
      <c r="B8645" s="6" t="s">
        <v>1819</v>
      </c>
      <c r="C8645" s="6" t="s">
        <v>116</v>
      </c>
      <c r="D8645" s="13" t="n">
        <v>44764</v>
      </c>
      <c r="E8645" s="14" t="n">
        <v>1790.99</v>
      </c>
      <c r="F8645" s="14" t="n">
        <v>6716.3</v>
      </c>
      <c r="G8645" s="6" t="s">
        <v>2613</v>
      </c>
    </row>
    <row r="8646" customFormat="false" ht="15" hidden="false" customHeight="true" outlineLevel="0" collapsed="false">
      <c r="A8646" s="6" t="s">
        <v>11258</v>
      </c>
      <c r="B8646" s="6" t="s">
        <v>1819</v>
      </c>
      <c r="C8646" s="6" t="s">
        <v>116</v>
      </c>
      <c r="D8646" s="13" t="n">
        <v>44771</v>
      </c>
      <c r="E8646" s="14" t="n">
        <v>1178.4</v>
      </c>
      <c r="F8646" s="14" t="n">
        <v>7894.7</v>
      </c>
      <c r="G8646" s="6" t="s">
        <v>2613</v>
      </c>
    </row>
    <row r="8647" customFormat="false" ht="15" hidden="false" customHeight="true" outlineLevel="0" collapsed="false">
      <c r="A8647" s="6" t="s">
        <v>11259</v>
      </c>
      <c r="B8647" s="6" t="s">
        <v>1819</v>
      </c>
      <c r="C8647" s="6" t="s">
        <v>116</v>
      </c>
      <c r="D8647" s="13" t="n">
        <v>44778</v>
      </c>
      <c r="E8647" s="14" t="n">
        <v>2286.28</v>
      </c>
      <c r="F8647" s="14" t="n">
        <v>10180.98</v>
      </c>
      <c r="G8647" s="6" t="s">
        <v>2613</v>
      </c>
    </row>
    <row r="8648" customFormat="false" ht="15" hidden="false" customHeight="true" outlineLevel="0" collapsed="false">
      <c r="A8648" s="6" t="s">
        <v>11260</v>
      </c>
      <c r="B8648" s="6" t="s">
        <v>1819</v>
      </c>
      <c r="C8648" s="6" t="s">
        <v>116</v>
      </c>
      <c r="D8648" s="13" t="n">
        <v>44785</v>
      </c>
      <c r="E8648" s="14" t="n">
        <v>1920.76</v>
      </c>
      <c r="F8648" s="14" t="n">
        <v>12101.74</v>
      </c>
      <c r="G8648" s="6" t="s">
        <v>2613</v>
      </c>
    </row>
    <row r="8649" customFormat="false" ht="15" hidden="false" customHeight="true" outlineLevel="0" collapsed="false">
      <c r="A8649" s="6" t="s">
        <v>11261</v>
      </c>
      <c r="B8649" s="6" t="s">
        <v>1819</v>
      </c>
      <c r="C8649" s="6" t="s">
        <v>116</v>
      </c>
      <c r="D8649" s="13" t="n">
        <v>44792</v>
      </c>
      <c r="E8649" s="14" t="n">
        <v>1418.85</v>
      </c>
      <c r="F8649" s="14" t="n">
        <v>13520.59</v>
      </c>
      <c r="G8649" s="6" t="s">
        <v>2613</v>
      </c>
    </row>
    <row r="8650" customFormat="false" ht="15" hidden="false" customHeight="true" outlineLevel="0" collapsed="false">
      <c r="A8650" s="6" t="s">
        <v>11262</v>
      </c>
      <c r="B8650" s="6" t="s">
        <v>1819</v>
      </c>
      <c r="C8650" s="6" t="s">
        <v>116</v>
      </c>
      <c r="D8650" s="13" t="n">
        <v>44799</v>
      </c>
      <c r="E8650" s="14" t="n">
        <v>1764.11</v>
      </c>
      <c r="F8650" s="14" t="n">
        <v>15284.7</v>
      </c>
      <c r="G8650" s="6" t="s">
        <v>2613</v>
      </c>
    </row>
    <row r="8651" customFormat="false" ht="15" hidden="false" customHeight="true" outlineLevel="0" collapsed="false">
      <c r="A8651" s="6" t="s">
        <v>11263</v>
      </c>
      <c r="B8651" s="6" t="s">
        <v>1819</v>
      </c>
      <c r="C8651" s="6" t="s">
        <v>116</v>
      </c>
      <c r="D8651" s="13" t="n">
        <v>44806</v>
      </c>
      <c r="E8651" s="14" t="n">
        <v>1294.5</v>
      </c>
      <c r="F8651" s="14" t="n">
        <v>16579.2</v>
      </c>
      <c r="G8651" s="6" t="s">
        <v>2623</v>
      </c>
    </row>
    <row r="8652" customFormat="false" ht="15" hidden="false" customHeight="true" outlineLevel="0" collapsed="false">
      <c r="A8652" s="6" t="s">
        <v>11264</v>
      </c>
      <c r="B8652" s="6" t="s">
        <v>1819</v>
      </c>
      <c r="C8652" s="6" t="s">
        <v>116</v>
      </c>
      <c r="D8652" s="13" t="n">
        <v>44813</v>
      </c>
      <c r="E8652" s="14" t="n">
        <v>1070.78</v>
      </c>
      <c r="F8652" s="14" t="n">
        <v>17649.98</v>
      </c>
      <c r="G8652" s="6" t="s">
        <v>2613</v>
      </c>
    </row>
    <row r="8653" customFormat="false" ht="15" hidden="false" customHeight="true" outlineLevel="0" collapsed="false">
      <c r="A8653" s="6" t="s">
        <v>11265</v>
      </c>
      <c r="B8653" s="6" t="s">
        <v>1819</v>
      </c>
      <c r="C8653" s="6" t="s">
        <v>116</v>
      </c>
      <c r="D8653" s="13" t="n">
        <v>44820</v>
      </c>
      <c r="E8653" s="14" t="n">
        <v>1388.06</v>
      </c>
      <c r="F8653" s="14" t="n">
        <v>19038.04</v>
      </c>
      <c r="G8653" s="6" t="s">
        <v>2613</v>
      </c>
    </row>
    <row r="8654" customFormat="false" ht="15" hidden="false" customHeight="true" outlineLevel="0" collapsed="false">
      <c r="A8654" s="6" t="s">
        <v>11266</v>
      </c>
      <c r="B8654" s="6" t="s">
        <v>1819</v>
      </c>
      <c r="C8654" s="6" t="s">
        <v>116</v>
      </c>
      <c r="D8654" s="13" t="n">
        <v>44827</v>
      </c>
      <c r="E8654" s="14" t="n">
        <v>1103.76</v>
      </c>
      <c r="F8654" s="14" t="n">
        <v>20141.8</v>
      </c>
      <c r="G8654" s="6" t="s">
        <v>2613</v>
      </c>
    </row>
    <row r="8655" customFormat="false" ht="15" hidden="false" customHeight="true" outlineLevel="0" collapsed="false">
      <c r="A8655" s="6" t="s">
        <v>11267</v>
      </c>
      <c r="B8655" s="6" t="s">
        <v>1819</v>
      </c>
      <c r="C8655" s="6" t="s">
        <v>116</v>
      </c>
      <c r="D8655" s="13" t="n">
        <v>44834</v>
      </c>
      <c r="E8655" s="14" t="n">
        <v>2280.7</v>
      </c>
      <c r="F8655" s="14" t="n">
        <v>22422.5</v>
      </c>
      <c r="G8655" s="6" t="s">
        <v>2613</v>
      </c>
    </row>
    <row r="8656" customFormat="false" ht="15" hidden="false" customHeight="true" outlineLevel="0" collapsed="false">
      <c r="A8656" s="6" t="s">
        <v>11268</v>
      </c>
      <c r="B8656" s="6" t="s">
        <v>1819</v>
      </c>
      <c r="C8656" s="6" t="s">
        <v>116</v>
      </c>
      <c r="D8656" s="13" t="n">
        <v>44841</v>
      </c>
      <c r="E8656" s="14" t="n">
        <v>1767.03</v>
      </c>
      <c r="F8656" s="14" t="n">
        <v>24189.53</v>
      </c>
      <c r="G8656" s="6" t="s">
        <v>2613</v>
      </c>
    </row>
    <row r="8657" customFormat="false" ht="15" hidden="false" customHeight="true" outlineLevel="0" collapsed="false">
      <c r="A8657" s="6" t="s">
        <v>11269</v>
      </c>
      <c r="B8657" s="6" t="s">
        <v>1819</v>
      </c>
      <c r="C8657" s="6" t="s">
        <v>116</v>
      </c>
      <c r="D8657" s="13" t="n">
        <v>44848</v>
      </c>
      <c r="E8657" s="14" t="n">
        <v>1022.91</v>
      </c>
      <c r="F8657" s="14" t="n">
        <v>25212.44</v>
      </c>
      <c r="G8657" s="6" t="s">
        <v>2613</v>
      </c>
    </row>
    <row r="8658" customFormat="false" ht="15" hidden="false" customHeight="true" outlineLevel="0" collapsed="false">
      <c r="A8658" s="6" t="s">
        <v>11270</v>
      </c>
      <c r="B8658" s="6" t="s">
        <v>1819</v>
      </c>
      <c r="C8658" s="6" t="s">
        <v>116</v>
      </c>
      <c r="D8658" s="13" t="n">
        <v>44855</v>
      </c>
      <c r="E8658" s="14" t="n">
        <v>2250.76</v>
      </c>
      <c r="F8658" s="14" t="n">
        <v>27463.2</v>
      </c>
      <c r="G8658" s="6" t="s">
        <v>2613</v>
      </c>
    </row>
    <row r="8659" customFormat="false" ht="15" hidden="false" customHeight="true" outlineLevel="0" collapsed="false">
      <c r="A8659" s="6" t="s">
        <v>11271</v>
      </c>
      <c r="B8659" s="6" t="s">
        <v>1819</v>
      </c>
      <c r="C8659" s="6" t="s">
        <v>116</v>
      </c>
      <c r="D8659" s="13" t="n">
        <v>44862</v>
      </c>
      <c r="E8659" s="14" t="n">
        <v>1321.48</v>
      </c>
      <c r="F8659" s="14" t="n">
        <v>28784.68</v>
      </c>
      <c r="G8659" s="6" t="s">
        <v>2613</v>
      </c>
    </row>
    <row r="8660" customFormat="false" ht="15" hidden="false" customHeight="true" outlineLevel="0" collapsed="false">
      <c r="A8660" s="6" t="s">
        <v>11272</v>
      </c>
      <c r="B8660" s="6" t="s">
        <v>1819</v>
      </c>
      <c r="C8660" s="6" t="s">
        <v>116</v>
      </c>
      <c r="D8660" s="13" t="n">
        <v>44869</v>
      </c>
      <c r="E8660" s="14" t="n">
        <v>1165.81</v>
      </c>
      <c r="F8660" s="14" t="n">
        <v>29950.49</v>
      </c>
      <c r="G8660" s="6" t="s">
        <v>2613</v>
      </c>
    </row>
    <row r="8661" customFormat="false" ht="15" hidden="false" customHeight="true" outlineLevel="0" collapsed="false">
      <c r="A8661" s="6" t="s">
        <v>11273</v>
      </c>
      <c r="B8661" s="6" t="s">
        <v>1819</v>
      </c>
      <c r="C8661" s="6" t="s">
        <v>116</v>
      </c>
      <c r="D8661" s="13" t="n">
        <v>44876</v>
      </c>
      <c r="E8661" s="14" t="n">
        <v>1909.96</v>
      </c>
      <c r="F8661" s="14" t="n">
        <v>31860.45</v>
      </c>
      <c r="G8661" s="6" t="s">
        <v>2613</v>
      </c>
    </row>
    <row r="8662" customFormat="false" ht="15" hidden="false" customHeight="true" outlineLevel="0" collapsed="false">
      <c r="A8662" s="6" t="s">
        <v>11274</v>
      </c>
      <c r="B8662" s="6" t="s">
        <v>1819</v>
      </c>
      <c r="C8662" s="6" t="s">
        <v>116</v>
      </c>
      <c r="D8662" s="13" t="n">
        <v>44883</v>
      </c>
      <c r="E8662" s="14" t="n">
        <v>1616.32</v>
      </c>
      <c r="F8662" s="14" t="n">
        <v>33476.77</v>
      </c>
      <c r="G8662" s="6" t="s">
        <v>2613</v>
      </c>
    </row>
    <row r="8663" customFormat="false" ht="15" hidden="false" customHeight="true" outlineLevel="0" collapsed="false">
      <c r="A8663" s="6" t="s">
        <v>11275</v>
      </c>
      <c r="B8663" s="6" t="s">
        <v>1819</v>
      </c>
      <c r="C8663" s="6" t="s">
        <v>116</v>
      </c>
      <c r="D8663" s="13" t="n">
        <v>44890</v>
      </c>
      <c r="E8663" s="14" t="n">
        <v>1567.36</v>
      </c>
      <c r="F8663" s="14" t="n">
        <v>35044.13</v>
      </c>
      <c r="G8663" s="6" t="s">
        <v>2613</v>
      </c>
    </row>
    <row r="8664" customFormat="false" ht="15" hidden="false" customHeight="true" outlineLevel="0" collapsed="false">
      <c r="A8664" s="6" t="s">
        <v>11276</v>
      </c>
      <c r="B8664" s="6" t="s">
        <v>1819</v>
      </c>
      <c r="C8664" s="6" t="s">
        <v>116</v>
      </c>
      <c r="D8664" s="13" t="n">
        <v>44897</v>
      </c>
      <c r="E8664" s="14" t="n">
        <v>1379.96</v>
      </c>
      <c r="F8664" s="14" t="n">
        <v>36424.09</v>
      </c>
      <c r="G8664" s="6" t="s">
        <v>2623</v>
      </c>
    </row>
    <row r="8665" customFormat="false" ht="15" hidden="false" customHeight="true" outlineLevel="0" collapsed="false">
      <c r="A8665" s="6" t="s">
        <v>11277</v>
      </c>
      <c r="B8665" s="6" t="s">
        <v>1819</v>
      </c>
      <c r="C8665" s="6" t="s">
        <v>116</v>
      </c>
      <c r="D8665" s="13" t="n">
        <v>44904</v>
      </c>
      <c r="E8665" s="14" t="n">
        <v>3969.29</v>
      </c>
      <c r="F8665" s="14" t="n">
        <v>40393.38</v>
      </c>
      <c r="G8665" s="6" t="s">
        <v>2613</v>
      </c>
    </row>
    <row r="8666" customFormat="false" ht="15" hidden="false" customHeight="true" outlineLevel="0" collapsed="false">
      <c r="A8666" s="6" t="s">
        <v>11278</v>
      </c>
      <c r="B8666" s="6" t="s">
        <v>1821</v>
      </c>
      <c r="C8666" s="6" t="s">
        <v>124</v>
      </c>
      <c r="D8666" s="13" t="n">
        <v>46131</v>
      </c>
      <c r="E8666" s="14" t="n">
        <v>825.74</v>
      </c>
      <c r="F8666" s="14" t="n">
        <v>825.74</v>
      </c>
      <c r="G8666" s="6" t="s">
        <v>2613</v>
      </c>
    </row>
    <row r="8667" customFormat="false" ht="15" hidden="false" customHeight="true" outlineLevel="0" collapsed="false">
      <c r="A8667" s="6" t="s">
        <v>11279</v>
      </c>
      <c r="B8667" s="6" t="s">
        <v>1821</v>
      </c>
      <c r="C8667" s="6" t="s">
        <v>124</v>
      </c>
      <c r="D8667" s="13" t="n">
        <v>46138</v>
      </c>
      <c r="E8667" s="14" t="n">
        <v>608.92</v>
      </c>
      <c r="F8667" s="14" t="n">
        <v>1434.66</v>
      </c>
      <c r="G8667" s="6" t="s">
        <v>2613</v>
      </c>
    </row>
    <row r="8668" customFormat="false" ht="15" hidden="false" customHeight="true" outlineLevel="0" collapsed="false">
      <c r="A8668" s="6" t="s">
        <v>11280</v>
      </c>
      <c r="B8668" s="6" t="s">
        <v>1821</v>
      </c>
      <c r="C8668" s="6" t="s">
        <v>124</v>
      </c>
      <c r="D8668" s="13" t="n">
        <v>46145</v>
      </c>
      <c r="E8668" s="14" t="n">
        <v>1165.07</v>
      </c>
      <c r="F8668" s="14" t="n">
        <v>2599.73</v>
      </c>
      <c r="G8668" s="6" t="s">
        <v>2613</v>
      </c>
    </row>
    <row r="8669" customFormat="false" ht="15" hidden="false" customHeight="true" outlineLevel="0" collapsed="false">
      <c r="A8669" s="6" t="s">
        <v>11281</v>
      </c>
      <c r="B8669" s="6" t="s">
        <v>1821</v>
      </c>
      <c r="C8669" s="6" t="s">
        <v>124</v>
      </c>
      <c r="D8669" s="13" t="n">
        <v>46152</v>
      </c>
      <c r="E8669" s="14" t="n">
        <v>1039.46</v>
      </c>
      <c r="F8669" s="14" t="n">
        <v>3639.19</v>
      </c>
      <c r="G8669" s="6" t="s">
        <v>2613</v>
      </c>
    </row>
    <row r="8670" customFormat="false" ht="15" hidden="false" customHeight="true" outlineLevel="0" collapsed="false">
      <c r="A8670" s="6" t="s">
        <v>11282</v>
      </c>
      <c r="B8670" s="6" t="s">
        <v>1821</v>
      </c>
      <c r="C8670" s="6" t="s">
        <v>124</v>
      </c>
      <c r="D8670" s="13" t="n">
        <v>46159</v>
      </c>
      <c r="E8670" s="14" t="n">
        <v>686.69</v>
      </c>
      <c r="F8670" s="14" t="n">
        <v>4325.88</v>
      </c>
      <c r="G8670" s="6" t="s">
        <v>2613</v>
      </c>
    </row>
    <row r="8671" customFormat="false" ht="15" hidden="false" customHeight="true" outlineLevel="0" collapsed="false">
      <c r="A8671" s="6" t="s">
        <v>11283</v>
      </c>
      <c r="B8671" s="6" t="s">
        <v>1821</v>
      </c>
      <c r="C8671" s="6" t="s">
        <v>124</v>
      </c>
      <c r="D8671" s="13" t="n">
        <v>46166</v>
      </c>
      <c r="E8671" s="14" t="n">
        <v>1084.87</v>
      </c>
      <c r="F8671" s="14" t="n">
        <v>5410.75</v>
      </c>
      <c r="G8671" s="6" t="s">
        <v>2613</v>
      </c>
    </row>
    <row r="8672" customFormat="false" ht="15" hidden="false" customHeight="true" outlineLevel="0" collapsed="false">
      <c r="A8672" s="6" t="s">
        <v>11284</v>
      </c>
      <c r="B8672" s="6" t="s">
        <v>1821</v>
      </c>
      <c r="C8672" s="6" t="s">
        <v>124</v>
      </c>
      <c r="D8672" s="13" t="n">
        <v>46173</v>
      </c>
      <c r="E8672" s="14" t="n">
        <v>685.2</v>
      </c>
      <c r="F8672" s="14" t="n">
        <v>6095.95</v>
      </c>
      <c r="G8672" s="6" t="s">
        <v>2613</v>
      </c>
    </row>
    <row r="8673" customFormat="false" ht="15" hidden="false" customHeight="true" outlineLevel="0" collapsed="false">
      <c r="A8673" s="6" t="s">
        <v>11285</v>
      </c>
      <c r="B8673" s="6" t="s">
        <v>1821</v>
      </c>
      <c r="C8673" s="6" t="s">
        <v>124</v>
      </c>
      <c r="D8673" s="13" t="n">
        <v>46180</v>
      </c>
      <c r="E8673" s="14" t="n">
        <v>651.35</v>
      </c>
      <c r="F8673" s="14" t="n">
        <v>6747.3</v>
      </c>
      <c r="G8673" s="6" t="s">
        <v>2613</v>
      </c>
    </row>
    <row r="8674" customFormat="false" ht="15" hidden="false" customHeight="true" outlineLevel="0" collapsed="false">
      <c r="A8674" s="6" t="s">
        <v>11286</v>
      </c>
      <c r="B8674" s="6" t="s">
        <v>1823</v>
      </c>
      <c r="C8674" s="6" t="s">
        <v>128</v>
      </c>
      <c r="D8674" s="13" t="n">
        <v>45859</v>
      </c>
      <c r="E8674" s="14" t="n">
        <v>1995.26</v>
      </c>
      <c r="F8674" s="14" t="n">
        <v>1995.26</v>
      </c>
      <c r="G8674" s="6" t="s">
        <v>2613</v>
      </c>
    </row>
    <row r="8675" customFormat="false" ht="15" hidden="false" customHeight="true" outlineLevel="0" collapsed="false">
      <c r="A8675" s="6" t="s">
        <v>11287</v>
      </c>
      <c r="B8675" s="6" t="s">
        <v>1823</v>
      </c>
      <c r="C8675" s="6" t="s">
        <v>128</v>
      </c>
      <c r="D8675" s="13" t="n">
        <v>45866</v>
      </c>
      <c r="E8675" s="14" t="n">
        <v>2576.77</v>
      </c>
      <c r="F8675" s="14" t="n">
        <v>4572.03</v>
      </c>
      <c r="G8675" s="6" t="s">
        <v>2613</v>
      </c>
    </row>
    <row r="8676" customFormat="false" ht="15" hidden="false" customHeight="true" outlineLevel="0" collapsed="false">
      <c r="A8676" s="6" t="s">
        <v>11288</v>
      </c>
      <c r="B8676" s="6" t="s">
        <v>1823</v>
      </c>
      <c r="C8676" s="6" t="s">
        <v>128</v>
      </c>
      <c r="D8676" s="13" t="n">
        <v>45873</v>
      </c>
      <c r="E8676" s="14" t="n">
        <v>4123.97</v>
      </c>
      <c r="F8676" s="14" t="n">
        <v>8696</v>
      </c>
      <c r="G8676" s="6" t="s">
        <v>2613</v>
      </c>
    </row>
    <row r="8677" customFormat="false" ht="15" hidden="false" customHeight="true" outlineLevel="0" collapsed="false">
      <c r="A8677" s="6" t="s">
        <v>11289</v>
      </c>
      <c r="B8677" s="6" t="s">
        <v>1823</v>
      </c>
      <c r="C8677" s="6" t="s">
        <v>128</v>
      </c>
      <c r="D8677" s="13" t="n">
        <v>45880</v>
      </c>
      <c r="E8677" s="14" t="n">
        <v>4471.12</v>
      </c>
      <c r="F8677" s="14" t="n">
        <v>13167.12</v>
      </c>
      <c r="G8677" s="6" t="s">
        <v>2613</v>
      </c>
    </row>
    <row r="8678" customFormat="false" ht="15" hidden="false" customHeight="true" outlineLevel="0" collapsed="false">
      <c r="A8678" s="6" t="s">
        <v>11290</v>
      </c>
      <c r="B8678" s="6" t="s">
        <v>1823</v>
      </c>
      <c r="C8678" s="6" t="s">
        <v>128</v>
      </c>
      <c r="D8678" s="13" t="n">
        <v>45887</v>
      </c>
      <c r="E8678" s="14" t="n">
        <v>3455.96</v>
      </c>
      <c r="F8678" s="14" t="n">
        <v>16623.08</v>
      </c>
      <c r="G8678" s="6" t="s">
        <v>2613</v>
      </c>
    </row>
    <row r="8679" customFormat="false" ht="15" hidden="false" customHeight="true" outlineLevel="0" collapsed="false">
      <c r="A8679" s="6" t="s">
        <v>11291</v>
      </c>
      <c r="B8679" s="6" t="s">
        <v>1823</v>
      </c>
      <c r="C8679" s="6" t="s">
        <v>128</v>
      </c>
      <c r="D8679" s="13" t="n">
        <v>45894</v>
      </c>
      <c r="E8679" s="14" t="n">
        <v>4431.86</v>
      </c>
      <c r="F8679" s="14" t="n">
        <v>21054.94</v>
      </c>
      <c r="G8679" s="6" t="s">
        <v>2613</v>
      </c>
    </row>
    <row r="8680" customFormat="false" ht="15" hidden="false" customHeight="true" outlineLevel="0" collapsed="false">
      <c r="A8680" s="6" t="s">
        <v>11292</v>
      </c>
      <c r="B8680" s="6" t="s">
        <v>1823</v>
      </c>
      <c r="C8680" s="6" t="s">
        <v>128</v>
      </c>
      <c r="D8680" s="13" t="n">
        <v>45901</v>
      </c>
      <c r="E8680" s="14" t="n">
        <v>2215.56</v>
      </c>
      <c r="F8680" s="14" t="n">
        <v>23270.5</v>
      </c>
      <c r="G8680" s="6" t="s">
        <v>2613</v>
      </c>
    </row>
    <row r="8681" customFormat="false" ht="15" hidden="false" customHeight="true" outlineLevel="0" collapsed="false">
      <c r="A8681" s="6" t="s">
        <v>11293</v>
      </c>
      <c r="B8681" s="6" t="s">
        <v>1823</v>
      </c>
      <c r="C8681" s="6" t="s">
        <v>128</v>
      </c>
      <c r="D8681" s="13" t="n">
        <v>45908</v>
      </c>
      <c r="E8681" s="14" t="n">
        <v>2198.69</v>
      </c>
      <c r="F8681" s="14" t="n">
        <v>25469.19</v>
      </c>
      <c r="G8681" s="6" t="s">
        <v>2613</v>
      </c>
    </row>
    <row r="8682" customFormat="false" ht="15" hidden="false" customHeight="true" outlineLevel="0" collapsed="false">
      <c r="A8682" s="6" t="s">
        <v>11294</v>
      </c>
      <c r="B8682" s="6" t="s">
        <v>1823</v>
      </c>
      <c r="C8682" s="6" t="s">
        <v>128</v>
      </c>
      <c r="D8682" s="13" t="n">
        <v>45915</v>
      </c>
      <c r="E8682" s="14" t="n">
        <v>3577.74</v>
      </c>
      <c r="F8682" s="14" t="n">
        <v>29046.93</v>
      </c>
      <c r="G8682" s="6" t="s">
        <v>2613</v>
      </c>
    </row>
    <row r="8683" customFormat="false" ht="15" hidden="false" customHeight="true" outlineLevel="0" collapsed="false">
      <c r="A8683" s="6" t="s">
        <v>11295</v>
      </c>
      <c r="B8683" s="6" t="s">
        <v>1823</v>
      </c>
      <c r="C8683" s="6" t="s">
        <v>128</v>
      </c>
      <c r="D8683" s="13" t="n">
        <v>45922</v>
      </c>
      <c r="E8683" s="14" t="n">
        <v>2765.04</v>
      </c>
      <c r="F8683" s="14" t="n">
        <v>31811.97</v>
      </c>
      <c r="G8683" s="6" t="s">
        <v>2613</v>
      </c>
    </row>
    <row r="8684" customFormat="false" ht="15" hidden="false" customHeight="true" outlineLevel="0" collapsed="false">
      <c r="A8684" s="6" t="s">
        <v>11296</v>
      </c>
      <c r="B8684" s="6" t="s">
        <v>1823</v>
      </c>
      <c r="C8684" s="6" t="s">
        <v>128</v>
      </c>
      <c r="D8684" s="13" t="n">
        <v>45929</v>
      </c>
      <c r="E8684" s="14" t="n">
        <v>2422.29</v>
      </c>
      <c r="F8684" s="14" t="n">
        <v>34234.26</v>
      </c>
      <c r="G8684" s="6" t="s">
        <v>2613</v>
      </c>
    </row>
    <row r="8685" customFormat="false" ht="15" hidden="false" customHeight="true" outlineLevel="0" collapsed="false">
      <c r="A8685" s="6" t="s">
        <v>11297</v>
      </c>
      <c r="B8685" s="6" t="s">
        <v>1823</v>
      </c>
      <c r="C8685" s="6" t="s">
        <v>128</v>
      </c>
      <c r="D8685" s="13" t="n">
        <v>45936</v>
      </c>
      <c r="E8685" s="14" t="n">
        <v>2082.93</v>
      </c>
      <c r="F8685" s="14" t="n">
        <v>36317.19</v>
      </c>
      <c r="G8685" s="6" t="s">
        <v>2613</v>
      </c>
    </row>
    <row r="8686" customFormat="false" ht="15" hidden="false" customHeight="true" outlineLevel="0" collapsed="false">
      <c r="A8686" s="6" t="s">
        <v>11298</v>
      </c>
      <c r="B8686" s="6" t="s">
        <v>1823</v>
      </c>
      <c r="C8686" s="6" t="s">
        <v>128</v>
      </c>
      <c r="D8686" s="13" t="n">
        <v>45943</v>
      </c>
      <c r="E8686" s="14" t="n">
        <v>2040.26</v>
      </c>
      <c r="F8686" s="14" t="n">
        <v>38357.45</v>
      </c>
      <c r="G8686" s="6" t="s">
        <v>2613</v>
      </c>
    </row>
    <row r="8687" customFormat="false" ht="15" hidden="false" customHeight="true" outlineLevel="0" collapsed="false">
      <c r="A8687" s="6" t="s">
        <v>11299</v>
      </c>
      <c r="B8687" s="6" t="s">
        <v>1823</v>
      </c>
      <c r="C8687" s="6" t="s">
        <v>128</v>
      </c>
      <c r="D8687" s="13" t="n">
        <v>45950</v>
      </c>
      <c r="E8687" s="14" t="n">
        <v>2752.53</v>
      </c>
      <c r="F8687" s="14" t="n">
        <v>41109.98</v>
      </c>
      <c r="G8687" s="6" t="s">
        <v>2613</v>
      </c>
    </row>
    <row r="8688" customFormat="false" ht="15" hidden="false" customHeight="true" outlineLevel="0" collapsed="false">
      <c r="A8688" s="6" t="s">
        <v>11300</v>
      </c>
      <c r="B8688" s="6" t="s">
        <v>1823</v>
      </c>
      <c r="C8688" s="6" t="s">
        <v>128</v>
      </c>
      <c r="D8688" s="13" t="n">
        <v>45957</v>
      </c>
      <c r="E8688" s="14" t="n">
        <v>3210.9</v>
      </c>
      <c r="F8688" s="14" t="n">
        <v>44320.88</v>
      </c>
      <c r="G8688" s="6" t="s">
        <v>2613</v>
      </c>
    </row>
    <row r="8689" customFormat="false" ht="15" hidden="false" customHeight="true" outlineLevel="0" collapsed="false">
      <c r="A8689" s="6" t="s">
        <v>11301</v>
      </c>
      <c r="B8689" s="6" t="s">
        <v>1823</v>
      </c>
      <c r="C8689" s="6" t="s">
        <v>128</v>
      </c>
      <c r="D8689" s="13" t="n">
        <v>45964</v>
      </c>
      <c r="E8689" s="14" t="n">
        <v>8582.29</v>
      </c>
      <c r="F8689" s="14" t="n">
        <v>52903.17</v>
      </c>
      <c r="G8689" s="6" t="s">
        <v>2613</v>
      </c>
    </row>
    <row r="8690" customFormat="false" ht="15" hidden="false" customHeight="true" outlineLevel="0" collapsed="false">
      <c r="A8690" s="6" t="s">
        <v>11302</v>
      </c>
      <c r="B8690" s="6" t="s">
        <v>1825</v>
      </c>
      <c r="C8690" s="6" t="s">
        <v>131</v>
      </c>
      <c r="D8690" s="13" t="n">
        <v>44620</v>
      </c>
      <c r="E8690" s="14" t="n">
        <v>5263.34</v>
      </c>
      <c r="F8690" s="14" t="n">
        <v>5263.34</v>
      </c>
      <c r="G8690" s="6" t="s">
        <v>2613</v>
      </c>
    </row>
    <row r="8691" customFormat="false" ht="15" hidden="false" customHeight="true" outlineLevel="0" collapsed="false">
      <c r="A8691" s="6" t="s">
        <v>11303</v>
      </c>
      <c r="B8691" s="6" t="s">
        <v>1825</v>
      </c>
      <c r="C8691" s="6" t="s">
        <v>131</v>
      </c>
      <c r="D8691" s="13" t="n">
        <v>44627</v>
      </c>
      <c r="E8691" s="14" t="n">
        <v>6561.72</v>
      </c>
      <c r="F8691" s="14" t="n">
        <v>11825.06</v>
      </c>
      <c r="G8691" s="6" t="s">
        <v>2613</v>
      </c>
    </row>
    <row r="8692" customFormat="false" ht="15" hidden="false" customHeight="true" outlineLevel="0" collapsed="false">
      <c r="A8692" s="6" t="s">
        <v>11304</v>
      </c>
      <c r="B8692" s="6" t="s">
        <v>1825</v>
      </c>
      <c r="C8692" s="6" t="s">
        <v>131</v>
      </c>
      <c r="D8692" s="13" t="n">
        <v>44634</v>
      </c>
      <c r="E8692" s="14" t="n">
        <v>7417.96</v>
      </c>
      <c r="F8692" s="14" t="n">
        <v>19243.02</v>
      </c>
      <c r="G8692" s="6" t="s">
        <v>2613</v>
      </c>
    </row>
    <row r="8693" customFormat="false" ht="15" hidden="false" customHeight="true" outlineLevel="0" collapsed="false">
      <c r="A8693" s="6" t="s">
        <v>11305</v>
      </c>
      <c r="B8693" s="6" t="s">
        <v>1825</v>
      </c>
      <c r="C8693" s="6" t="s">
        <v>131</v>
      </c>
      <c r="D8693" s="13" t="n">
        <v>44641</v>
      </c>
      <c r="E8693" s="14" t="n">
        <v>4241.78</v>
      </c>
      <c r="F8693" s="14" t="n">
        <v>23484.8</v>
      </c>
      <c r="G8693" s="6" t="s">
        <v>2613</v>
      </c>
    </row>
    <row r="8694" customFormat="false" ht="15" hidden="false" customHeight="true" outlineLevel="0" collapsed="false">
      <c r="A8694" s="6" t="s">
        <v>11306</v>
      </c>
      <c r="B8694" s="6" t="s">
        <v>1825</v>
      </c>
      <c r="C8694" s="6" t="s">
        <v>131</v>
      </c>
      <c r="D8694" s="13" t="n">
        <v>44648</v>
      </c>
      <c r="E8694" s="14" t="n">
        <v>5778.89</v>
      </c>
      <c r="F8694" s="14" t="n">
        <v>29263.69</v>
      </c>
      <c r="G8694" s="6" t="s">
        <v>2613</v>
      </c>
    </row>
    <row r="8695" customFormat="false" ht="15" hidden="false" customHeight="true" outlineLevel="0" collapsed="false">
      <c r="A8695" s="6" t="s">
        <v>11307</v>
      </c>
      <c r="B8695" s="6" t="s">
        <v>1825</v>
      </c>
      <c r="C8695" s="6" t="s">
        <v>131</v>
      </c>
      <c r="D8695" s="13" t="n">
        <v>44655</v>
      </c>
      <c r="E8695" s="14" t="n">
        <v>4134.19</v>
      </c>
      <c r="F8695" s="14" t="n">
        <v>33397.88</v>
      </c>
      <c r="G8695" s="6" t="s">
        <v>2613</v>
      </c>
    </row>
    <row r="8696" customFormat="false" ht="15" hidden="false" customHeight="true" outlineLevel="0" collapsed="false">
      <c r="A8696" s="6" t="s">
        <v>11308</v>
      </c>
      <c r="B8696" s="6" t="s">
        <v>1825</v>
      </c>
      <c r="C8696" s="6" t="s">
        <v>131</v>
      </c>
      <c r="D8696" s="13" t="n">
        <v>44662</v>
      </c>
      <c r="E8696" s="14" t="n">
        <v>7594.92</v>
      </c>
      <c r="F8696" s="14" t="n">
        <v>40992.8</v>
      </c>
      <c r="G8696" s="6" t="s">
        <v>2623</v>
      </c>
    </row>
    <row r="8697" customFormat="false" ht="15" hidden="false" customHeight="true" outlineLevel="0" collapsed="false">
      <c r="A8697" s="6" t="s">
        <v>11309</v>
      </c>
      <c r="B8697" s="6" t="s">
        <v>1825</v>
      </c>
      <c r="C8697" s="6" t="s">
        <v>131</v>
      </c>
      <c r="D8697" s="13" t="n">
        <v>44669</v>
      </c>
      <c r="E8697" s="14" t="n">
        <v>5576.75</v>
      </c>
      <c r="F8697" s="14" t="n">
        <v>46569.55</v>
      </c>
      <c r="G8697" s="6" t="s">
        <v>2613</v>
      </c>
    </row>
    <row r="8698" customFormat="false" ht="15" hidden="false" customHeight="true" outlineLevel="0" collapsed="false">
      <c r="A8698" s="6" t="s">
        <v>11310</v>
      </c>
      <c r="B8698" s="6" t="s">
        <v>1825</v>
      </c>
      <c r="C8698" s="6" t="s">
        <v>131</v>
      </c>
      <c r="D8698" s="13" t="n">
        <v>44676</v>
      </c>
      <c r="E8698" s="14" t="n">
        <v>2529.01</v>
      </c>
      <c r="F8698" s="14" t="n">
        <v>49098.56</v>
      </c>
      <c r="G8698" s="6" t="s">
        <v>2613</v>
      </c>
    </row>
    <row r="8699" customFormat="false" ht="15" hidden="false" customHeight="true" outlineLevel="0" collapsed="false">
      <c r="A8699" s="6" t="s">
        <v>11311</v>
      </c>
      <c r="B8699" s="6" t="s">
        <v>1827</v>
      </c>
      <c r="C8699" s="6" t="s">
        <v>124</v>
      </c>
      <c r="D8699" s="13" t="n">
        <v>45170</v>
      </c>
      <c r="E8699" s="14" t="n">
        <v>3253</v>
      </c>
      <c r="F8699" s="14" t="n">
        <v>3253</v>
      </c>
      <c r="G8699" s="6" t="s">
        <v>2613</v>
      </c>
    </row>
    <row r="8700" customFormat="false" ht="15" hidden="false" customHeight="true" outlineLevel="0" collapsed="false">
      <c r="A8700" s="6" t="s">
        <v>11312</v>
      </c>
      <c r="B8700" s="6" t="s">
        <v>1827</v>
      </c>
      <c r="C8700" s="6" t="s">
        <v>124</v>
      </c>
      <c r="D8700" s="13" t="n">
        <v>45177</v>
      </c>
      <c r="E8700" s="14" t="n">
        <v>3447.59</v>
      </c>
      <c r="F8700" s="14" t="n">
        <v>6700.59</v>
      </c>
      <c r="G8700" s="6" t="s">
        <v>2613</v>
      </c>
    </row>
    <row r="8701" customFormat="false" ht="15" hidden="false" customHeight="true" outlineLevel="0" collapsed="false">
      <c r="A8701" s="6" t="s">
        <v>11313</v>
      </c>
      <c r="B8701" s="6" t="s">
        <v>1827</v>
      </c>
      <c r="C8701" s="6" t="s">
        <v>124</v>
      </c>
      <c r="D8701" s="13" t="n">
        <v>45184</v>
      </c>
      <c r="E8701" s="14" t="n">
        <v>2887.59</v>
      </c>
      <c r="F8701" s="14" t="n">
        <v>9588.18</v>
      </c>
      <c r="G8701" s="6" t="s">
        <v>2613</v>
      </c>
    </row>
    <row r="8702" customFormat="false" ht="15" hidden="false" customHeight="true" outlineLevel="0" collapsed="false">
      <c r="A8702" s="6" t="s">
        <v>11314</v>
      </c>
      <c r="B8702" s="6" t="s">
        <v>1827</v>
      </c>
      <c r="C8702" s="6" t="s">
        <v>124</v>
      </c>
      <c r="D8702" s="13" t="n">
        <v>45191</v>
      </c>
      <c r="E8702" s="14" t="n">
        <v>3730.1</v>
      </c>
      <c r="F8702" s="14" t="n">
        <v>13318.28</v>
      </c>
      <c r="G8702" s="6" t="s">
        <v>2613</v>
      </c>
    </row>
    <row r="8703" customFormat="false" ht="15" hidden="false" customHeight="true" outlineLevel="0" collapsed="false">
      <c r="A8703" s="6" t="s">
        <v>11315</v>
      </c>
      <c r="B8703" s="6" t="s">
        <v>1827</v>
      </c>
      <c r="C8703" s="6" t="s">
        <v>124</v>
      </c>
      <c r="D8703" s="13" t="n">
        <v>45198</v>
      </c>
      <c r="E8703" s="14" t="n">
        <v>4351.58</v>
      </c>
      <c r="F8703" s="14" t="n">
        <v>17669.86</v>
      </c>
      <c r="G8703" s="6" t="s">
        <v>2613</v>
      </c>
    </row>
    <row r="8704" customFormat="false" ht="15" hidden="false" customHeight="true" outlineLevel="0" collapsed="false">
      <c r="A8704" s="6" t="s">
        <v>11316</v>
      </c>
      <c r="B8704" s="6" t="s">
        <v>1827</v>
      </c>
      <c r="C8704" s="6" t="s">
        <v>124</v>
      </c>
      <c r="D8704" s="13" t="n">
        <v>45205</v>
      </c>
      <c r="E8704" s="14" t="n">
        <v>4925.38</v>
      </c>
      <c r="F8704" s="14" t="n">
        <v>22595.24</v>
      </c>
      <c r="G8704" s="6" t="s">
        <v>2613</v>
      </c>
    </row>
    <row r="8705" customFormat="false" ht="15" hidden="false" customHeight="true" outlineLevel="0" collapsed="false">
      <c r="A8705" s="6" t="s">
        <v>11317</v>
      </c>
      <c r="B8705" s="6" t="s">
        <v>1827</v>
      </c>
      <c r="C8705" s="6" t="s">
        <v>124</v>
      </c>
      <c r="D8705" s="13" t="n">
        <v>45212</v>
      </c>
      <c r="E8705" s="14" t="n">
        <v>2680.06</v>
      </c>
      <c r="F8705" s="14" t="n">
        <v>25275.3</v>
      </c>
      <c r="G8705" s="6" t="s">
        <v>2613</v>
      </c>
    </row>
    <row r="8706" customFormat="false" ht="15" hidden="false" customHeight="true" outlineLevel="0" collapsed="false">
      <c r="A8706" s="6" t="s">
        <v>11318</v>
      </c>
      <c r="B8706" s="6" t="s">
        <v>1827</v>
      </c>
      <c r="C8706" s="6" t="s">
        <v>124</v>
      </c>
      <c r="D8706" s="13" t="n">
        <v>45219</v>
      </c>
      <c r="E8706" s="14" t="n">
        <v>4119.09</v>
      </c>
      <c r="F8706" s="14" t="n">
        <v>29394.39</v>
      </c>
      <c r="G8706" s="6" t="s">
        <v>2613</v>
      </c>
    </row>
    <row r="8707" customFormat="false" ht="15" hidden="false" customHeight="true" outlineLevel="0" collapsed="false">
      <c r="A8707" s="6" t="s">
        <v>11319</v>
      </c>
      <c r="B8707" s="6" t="s">
        <v>1829</v>
      </c>
      <c r="C8707" s="6" t="s">
        <v>131</v>
      </c>
      <c r="D8707" s="13" t="n">
        <v>45852</v>
      </c>
      <c r="E8707" s="14" t="n">
        <v>5132.58</v>
      </c>
      <c r="F8707" s="14" t="n">
        <v>5132.58</v>
      </c>
      <c r="G8707" s="6" t="s">
        <v>2613</v>
      </c>
    </row>
    <row r="8708" customFormat="false" ht="15" hidden="false" customHeight="true" outlineLevel="0" collapsed="false">
      <c r="A8708" s="6" t="s">
        <v>11320</v>
      </c>
      <c r="B8708" s="6" t="s">
        <v>1829</v>
      </c>
      <c r="C8708" s="6" t="s">
        <v>131</v>
      </c>
      <c r="D8708" s="13" t="n">
        <v>45859</v>
      </c>
      <c r="E8708" s="14" t="n">
        <v>5963.6</v>
      </c>
      <c r="F8708" s="14" t="n">
        <v>11096.18</v>
      </c>
      <c r="G8708" s="6" t="s">
        <v>2613</v>
      </c>
    </row>
    <row r="8709" customFormat="false" ht="15" hidden="false" customHeight="true" outlineLevel="0" collapsed="false">
      <c r="A8709" s="6" t="s">
        <v>11321</v>
      </c>
      <c r="B8709" s="6" t="s">
        <v>1829</v>
      </c>
      <c r="C8709" s="6" t="s">
        <v>131</v>
      </c>
      <c r="D8709" s="13" t="n">
        <v>45866</v>
      </c>
      <c r="E8709" s="14" t="n">
        <v>4881.96</v>
      </c>
      <c r="F8709" s="14" t="n">
        <v>15978.14</v>
      </c>
      <c r="G8709" s="6" t="s">
        <v>2613</v>
      </c>
    </row>
    <row r="8710" customFormat="false" ht="15" hidden="false" customHeight="true" outlineLevel="0" collapsed="false">
      <c r="A8710" s="6" t="s">
        <v>11322</v>
      </c>
      <c r="B8710" s="6" t="s">
        <v>1829</v>
      </c>
      <c r="C8710" s="6" t="s">
        <v>131</v>
      </c>
      <c r="D8710" s="13" t="n">
        <v>45873</v>
      </c>
      <c r="E8710" s="14" t="n">
        <v>2982.3</v>
      </c>
      <c r="F8710" s="14" t="n">
        <v>18960.44</v>
      </c>
      <c r="G8710" s="6" t="s">
        <v>2613</v>
      </c>
    </row>
    <row r="8711" customFormat="false" ht="15" hidden="false" customHeight="true" outlineLevel="0" collapsed="false">
      <c r="A8711" s="6" t="s">
        <v>11323</v>
      </c>
      <c r="B8711" s="6" t="s">
        <v>1829</v>
      </c>
      <c r="C8711" s="6" t="s">
        <v>131</v>
      </c>
      <c r="D8711" s="13" t="n">
        <v>45880</v>
      </c>
      <c r="E8711" s="14" t="n">
        <v>5978.57</v>
      </c>
      <c r="F8711" s="14" t="n">
        <v>24939.01</v>
      </c>
      <c r="G8711" s="6" t="s">
        <v>2613</v>
      </c>
    </row>
    <row r="8712" customFormat="false" ht="15" hidden="false" customHeight="true" outlineLevel="0" collapsed="false">
      <c r="A8712" s="6" t="s">
        <v>11324</v>
      </c>
      <c r="B8712" s="6" t="s">
        <v>1829</v>
      </c>
      <c r="C8712" s="6" t="s">
        <v>131</v>
      </c>
      <c r="D8712" s="13" t="n">
        <v>45887</v>
      </c>
      <c r="E8712" s="14" t="n">
        <v>5286.3</v>
      </c>
      <c r="F8712" s="14" t="n">
        <v>30225.31</v>
      </c>
      <c r="G8712" s="6" t="s">
        <v>2613</v>
      </c>
    </row>
    <row r="8713" customFormat="false" ht="15" hidden="false" customHeight="true" outlineLevel="0" collapsed="false">
      <c r="A8713" s="6" t="s">
        <v>11325</v>
      </c>
      <c r="B8713" s="6" t="s">
        <v>1829</v>
      </c>
      <c r="C8713" s="6" t="s">
        <v>131</v>
      </c>
      <c r="D8713" s="13" t="n">
        <v>45894</v>
      </c>
      <c r="E8713" s="14" t="n">
        <v>3160.47</v>
      </c>
      <c r="F8713" s="14" t="n">
        <v>33385.78</v>
      </c>
      <c r="G8713" s="6" t="s">
        <v>2613</v>
      </c>
    </row>
    <row r="8714" customFormat="false" ht="15" hidden="false" customHeight="true" outlineLevel="0" collapsed="false">
      <c r="A8714" s="6" t="s">
        <v>11326</v>
      </c>
      <c r="B8714" s="6" t="s">
        <v>1829</v>
      </c>
      <c r="C8714" s="6" t="s">
        <v>131</v>
      </c>
      <c r="D8714" s="13" t="n">
        <v>45901</v>
      </c>
      <c r="E8714" s="14" t="n">
        <v>5126.7</v>
      </c>
      <c r="F8714" s="14" t="n">
        <v>38512.48</v>
      </c>
      <c r="G8714" s="6" t="s">
        <v>2613</v>
      </c>
    </row>
    <row r="8715" customFormat="false" ht="15" hidden="false" customHeight="true" outlineLevel="0" collapsed="false">
      <c r="A8715" s="6" t="s">
        <v>11327</v>
      </c>
      <c r="B8715" s="6" t="s">
        <v>1829</v>
      </c>
      <c r="C8715" s="6" t="s">
        <v>131</v>
      </c>
      <c r="D8715" s="13" t="n">
        <v>45908</v>
      </c>
      <c r="E8715" s="14" t="n">
        <v>5827.39</v>
      </c>
      <c r="F8715" s="14" t="n">
        <v>44339.87</v>
      </c>
      <c r="G8715" s="6" t="s">
        <v>2613</v>
      </c>
    </row>
    <row r="8716" customFormat="false" ht="15" hidden="false" customHeight="true" outlineLevel="0" collapsed="false">
      <c r="A8716" s="6" t="s">
        <v>11328</v>
      </c>
      <c r="B8716" s="6" t="s">
        <v>1829</v>
      </c>
      <c r="C8716" s="6" t="s">
        <v>131</v>
      </c>
      <c r="D8716" s="13" t="n">
        <v>45915</v>
      </c>
      <c r="E8716" s="14" t="n">
        <v>3690.47</v>
      </c>
      <c r="F8716" s="14" t="n">
        <v>48030.34</v>
      </c>
      <c r="G8716" s="6" t="s">
        <v>2613</v>
      </c>
    </row>
    <row r="8717" customFormat="false" ht="15" hidden="false" customHeight="true" outlineLevel="0" collapsed="false">
      <c r="A8717" s="6" t="s">
        <v>11329</v>
      </c>
      <c r="B8717" s="6" t="s">
        <v>1831</v>
      </c>
      <c r="C8717" s="6" t="s">
        <v>128</v>
      </c>
      <c r="D8717" s="13" t="n">
        <v>46005</v>
      </c>
      <c r="E8717" s="14" t="n">
        <v>2848.16</v>
      </c>
      <c r="F8717" s="14" t="n">
        <v>2848.16</v>
      </c>
      <c r="G8717" s="6" t="s">
        <v>2613</v>
      </c>
    </row>
    <row r="8718" customFormat="false" ht="15" hidden="false" customHeight="true" outlineLevel="0" collapsed="false">
      <c r="A8718" s="6" t="s">
        <v>11330</v>
      </c>
      <c r="B8718" s="6" t="s">
        <v>1831</v>
      </c>
      <c r="C8718" s="6" t="s">
        <v>128</v>
      </c>
      <c r="D8718" s="13" t="n">
        <v>46012</v>
      </c>
      <c r="E8718" s="14" t="n">
        <v>4427.06</v>
      </c>
      <c r="F8718" s="14" t="n">
        <v>7275.22</v>
      </c>
      <c r="G8718" s="6" t="s">
        <v>2613</v>
      </c>
    </row>
    <row r="8719" customFormat="false" ht="15" hidden="false" customHeight="true" outlineLevel="0" collapsed="false">
      <c r="A8719" s="6" t="s">
        <v>11331</v>
      </c>
      <c r="B8719" s="6" t="s">
        <v>1831</v>
      </c>
      <c r="C8719" s="6" t="s">
        <v>128</v>
      </c>
      <c r="D8719" s="13" t="n">
        <v>46019</v>
      </c>
      <c r="E8719" s="14" t="n">
        <v>3538.14</v>
      </c>
      <c r="F8719" s="14" t="n">
        <v>10813.36</v>
      </c>
      <c r="G8719" s="6" t="s">
        <v>2613</v>
      </c>
    </row>
    <row r="8720" customFormat="false" ht="15" hidden="false" customHeight="true" outlineLevel="0" collapsed="false">
      <c r="A8720" s="6" t="s">
        <v>11332</v>
      </c>
      <c r="B8720" s="6" t="s">
        <v>1831</v>
      </c>
      <c r="C8720" s="6" t="s">
        <v>128</v>
      </c>
      <c r="D8720" s="13" t="n">
        <v>46026</v>
      </c>
      <c r="E8720" s="14" t="n">
        <v>3419.54</v>
      </c>
      <c r="F8720" s="14" t="n">
        <v>14232.9</v>
      </c>
      <c r="G8720" s="6" t="s">
        <v>2623</v>
      </c>
    </row>
    <row r="8721" customFormat="false" ht="15" hidden="false" customHeight="true" outlineLevel="0" collapsed="false">
      <c r="A8721" s="6" t="s">
        <v>11333</v>
      </c>
      <c r="B8721" s="6" t="s">
        <v>1831</v>
      </c>
      <c r="C8721" s="6" t="s">
        <v>128</v>
      </c>
      <c r="D8721" s="13" t="n">
        <v>46033</v>
      </c>
      <c r="E8721" s="14" t="n">
        <v>2171.44</v>
      </c>
      <c r="F8721" s="14" t="n">
        <v>16404.34</v>
      </c>
      <c r="G8721" s="6" t="s">
        <v>2613</v>
      </c>
    </row>
    <row r="8722" customFormat="false" ht="15" hidden="false" customHeight="true" outlineLevel="0" collapsed="false">
      <c r="A8722" s="6" t="s">
        <v>11334</v>
      </c>
      <c r="B8722" s="6" t="s">
        <v>1831</v>
      </c>
      <c r="C8722" s="6" t="s">
        <v>128</v>
      </c>
      <c r="D8722" s="13" t="n">
        <v>46040</v>
      </c>
      <c r="E8722" s="14" t="n">
        <v>3996.29</v>
      </c>
      <c r="F8722" s="14" t="n">
        <v>20400.63</v>
      </c>
      <c r="G8722" s="6" t="s">
        <v>2613</v>
      </c>
    </row>
    <row r="8723" customFormat="false" ht="15" hidden="false" customHeight="true" outlineLevel="0" collapsed="false">
      <c r="A8723" s="6" t="s">
        <v>11335</v>
      </c>
      <c r="B8723" s="6" t="s">
        <v>1831</v>
      </c>
      <c r="C8723" s="6" t="s">
        <v>128</v>
      </c>
      <c r="D8723" s="13" t="n">
        <v>46047</v>
      </c>
      <c r="E8723" s="14" t="n">
        <v>2812.45</v>
      </c>
      <c r="F8723" s="14" t="n">
        <v>23213.08</v>
      </c>
      <c r="G8723" s="6" t="s">
        <v>2613</v>
      </c>
    </row>
    <row r="8724" customFormat="false" ht="15" hidden="false" customHeight="true" outlineLevel="0" collapsed="false">
      <c r="A8724" s="6" t="s">
        <v>11336</v>
      </c>
      <c r="B8724" s="6" t="s">
        <v>1831</v>
      </c>
      <c r="C8724" s="6" t="s">
        <v>128</v>
      </c>
      <c r="D8724" s="13" t="n">
        <v>46054</v>
      </c>
      <c r="E8724" s="14" t="n">
        <v>3899.88</v>
      </c>
      <c r="F8724" s="14" t="n">
        <v>27112.96</v>
      </c>
      <c r="G8724" s="6" t="s">
        <v>2613</v>
      </c>
    </row>
    <row r="8725" customFormat="false" ht="15" hidden="false" customHeight="true" outlineLevel="0" collapsed="false">
      <c r="A8725" s="6" t="s">
        <v>11337</v>
      </c>
      <c r="B8725" s="6" t="s">
        <v>1831</v>
      </c>
      <c r="C8725" s="6" t="s">
        <v>128</v>
      </c>
      <c r="D8725" s="13" t="n">
        <v>46061</v>
      </c>
      <c r="E8725" s="14" t="n">
        <v>4214.67</v>
      </c>
      <c r="F8725" s="14" t="n">
        <v>31327.63</v>
      </c>
      <c r="G8725" s="6" t="s">
        <v>2613</v>
      </c>
    </row>
    <row r="8726" customFormat="false" ht="15" hidden="false" customHeight="true" outlineLevel="0" collapsed="false">
      <c r="A8726" s="6" t="s">
        <v>11338</v>
      </c>
      <c r="B8726" s="6" t="s">
        <v>1831</v>
      </c>
      <c r="C8726" s="6" t="s">
        <v>128</v>
      </c>
      <c r="D8726" s="13" t="n">
        <v>46068</v>
      </c>
      <c r="E8726" s="14" t="n">
        <v>3128.47</v>
      </c>
      <c r="F8726" s="14" t="n">
        <v>34456.1</v>
      </c>
      <c r="G8726" s="6" t="s">
        <v>2613</v>
      </c>
    </row>
    <row r="8727" customFormat="false" ht="15" hidden="false" customHeight="true" outlineLevel="0" collapsed="false">
      <c r="A8727" s="6" t="s">
        <v>11339</v>
      </c>
      <c r="B8727" s="6" t="s">
        <v>1831</v>
      </c>
      <c r="C8727" s="6" t="s">
        <v>128</v>
      </c>
      <c r="D8727" s="13" t="n">
        <v>46075</v>
      </c>
      <c r="E8727" s="14" t="n">
        <v>4485.77</v>
      </c>
      <c r="F8727" s="14" t="n">
        <v>38941.87</v>
      </c>
      <c r="G8727" s="6" t="s">
        <v>2613</v>
      </c>
    </row>
    <row r="8728" customFormat="false" ht="15" hidden="false" customHeight="true" outlineLevel="0" collapsed="false">
      <c r="A8728" s="6" t="s">
        <v>11340</v>
      </c>
      <c r="B8728" s="6" t="s">
        <v>1831</v>
      </c>
      <c r="C8728" s="6" t="s">
        <v>128</v>
      </c>
      <c r="D8728" s="13" t="n">
        <v>46082</v>
      </c>
      <c r="E8728" s="14" t="n">
        <v>2694.61</v>
      </c>
      <c r="F8728" s="14" t="n">
        <v>41636.48</v>
      </c>
      <c r="G8728" s="6" t="s">
        <v>2613</v>
      </c>
    </row>
    <row r="8729" customFormat="false" ht="15" hidden="false" customHeight="true" outlineLevel="0" collapsed="false">
      <c r="A8729" s="6" t="s">
        <v>11341</v>
      </c>
      <c r="B8729" s="6" t="s">
        <v>1831</v>
      </c>
      <c r="C8729" s="6" t="s">
        <v>128</v>
      </c>
      <c r="D8729" s="13" t="n">
        <v>46089</v>
      </c>
      <c r="E8729" s="14" t="n">
        <v>4309.52</v>
      </c>
      <c r="F8729" s="14" t="n">
        <v>45946</v>
      </c>
      <c r="G8729" s="6" t="s">
        <v>2613</v>
      </c>
    </row>
    <row r="8730" customFormat="false" ht="15" hidden="false" customHeight="true" outlineLevel="0" collapsed="false">
      <c r="A8730" s="6" t="s">
        <v>11342</v>
      </c>
      <c r="B8730" s="6" t="s">
        <v>1831</v>
      </c>
      <c r="C8730" s="6" t="s">
        <v>128</v>
      </c>
      <c r="D8730" s="13" t="n">
        <v>46096</v>
      </c>
      <c r="E8730" s="14" t="n">
        <v>3305.56</v>
      </c>
      <c r="F8730" s="14" t="n">
        <v>49251.56</v>
      </c>
      <c r="G8730" s="6" t="s">
        <v>2613</v>
      </c>
    </row>
    <row r="8731" customFormat="false" ht="15" hidden="false" customHeight="true" outlineLevel="0" collapsed="false">
      <c r="A8731" s="6" t="s">
        <v>11343</v>
      </c>
      <c r="B8731" s="6" t="s">
        <v>1831</v>
      </c>
      <c r="C8731" s="6" t="s">
        <v>128</v>
      </c>
      <c r="D8731" s="13" t="n">
        <v>46103</v>
      </c>
      <c r="E8731" s="14" t="n">
        <v>3691.87</v>
      </c>
      <c r="F8731" s="14" t="n">
        <v>52943.43</v>
      </c>
      <c r="G8731" s="6" t="s">
        <v>2613</v>
      </c>
    </row>
    <row r="8732" customFormat="false" ht="15" hidden="false" customHeight="true" outlineLevel="0" collapsed="false">
      <c r="A8732" s="6" t="s">
        <v>11344</v>
      </c>
      <c r="B8732" s="6" t="s">
        <v>1831</v>
      </c>
      <c r="C8732" s="6" t="s">
        <v>128</v>
      </c>
      <c r="D8732" s="13" t="n">
        <v>46110</v>
      </c>
      <c r="E8732" s="14" t="n">
        <v>2199.34</v>
      </c>
      <c r="F8732" s="14" t="n">
        <v>55142.77</v>
      </c>
      <c r="G8732" s="6" t="s">
        <v>2613</v>
      </c>
    </row>
    <row r="8733" customFormat="false" ht="15" hidden="false" customHeight="true" outlineLevel="0" collapsed="false">
      <c r="A8733" s="6" t="s">
        <v>11345</v>
      </c>
      <c r="B8733" s="6" t="s">
        <v>1831</v>
      </c>
      <c r="C8733" s="6" t="s">
        <v>128</v>
      </c>
      <c r="D8733" s="13" t="n">
        <v>46117</v>
      </c>
      <c r="E8733" s="14" t="n">
        <v>4058.17</v>
      </c>
      <c r="F8733" s="14" t="n">
        <v>59200.94</v>
      </c>
      <c r="G8733" s="6" t="s">
        <v>2613</v>
      </c>
    </row>
    <row r="8734" customFormat="false" ht="15" hidden="false" customHeight="true" outlineLevel="0" collapsed="false">
      <c r="A8734" s="6" t="s">
        <v>11346</v>
      </c>
      <c r="B8734" s="6" t="s">
        <v>1831</v>
      </c>
      <c r="C8734" s="6" t="s">
        <v>128</v>
      </c>
      <c r="D8734" s="13" t="n">
        <v>46124</v>
      </c>
      <c r="E8734" s="14" t="n">
        <v>3095.88</v>
      </c>
      <c r="F8734" s="14" t="n">
        <v>62296.82</v>
      </c>
      <c r="G8734" s="6" t="s">
        <v>2613</v>
      </c>
    </row>
    <row r="8735" customFormat="false" ht="15" hidden="false" customHeight="true" outlineLevel="0" collapsed="false">
      <c r="A8735" s="6" t="s">
        <v>11347</v>
      </c>
      <c r="B8735" s="6" t="s">
        <v>1831</v>
      </c>
      <c r="C8735" s="6" t="s">
        <v>128</v>
      </c>
      <c r="D8735" s="13" t="n">
        <v>46131</v>
      </c>
      <c r="E8735" s="14" t="n">
        <v>4587.72</v>
      </c>
      <c r="F8735" s="14" t="n">
        <v>66884.54</v>
      </c>
      <c r="G8735" s="6" t="s">
        <v>2613</v>
      </c>
    </row>
    <row r="8736" customFormat="false" ht="15" hidden="false" customHeight="true" outlineLevel="0" collapsed="false">
      <c r="A8736" s="6" t="s">
        <v>11348</v>
      </c>
      <c r="B8736" s="6" t="s">
        <v>1831</v>
      </c>
      <c r="C8736" s="6" t="s">
        <v>128</v>
      </c>
      <c r="D8736" s="13" t="n">
        <v>46138</v>
      </c>
      <c r="E8736" s="14" t="n">
        <v>4215.38</v>
      </c>
      <c r="F8736" s="14" t="n">
        <v>71099.92</v>
      </c>
      <c r="G8736" s="6" t="s">
        <v>2613</v>
      </c>
    </row>
    <row r="8737" customFormat="false" ht="15" hidden="false" customHeight="true" outlineLevel="0" collapsed="false">
      <c r="A8737" s="6" t="s">
        <v>11349</v>
      </c>
      <c r="B8737" s="6" t="s">
        <v>1831</v>
      </c>
      <c r="C8737" s="6" t="s">
        <v>128</v>
      </c>
      <c r="D8737" s="13" t="n">
        <v>46145</v>
      </c>
      <c r="E8737" s="14" t="n">
        <v>2534.72</v>
      </c>
      <c r="F8737" s="14" t="n">
        <v>73634.64</v>
      </c>
      <c r="G8737" s="6" t="s">
        <v>2613</v>
      </c>
    </row>
    <row r="8738" customFormat="false" ht="15" hidden="false" customHeight="true" outlineLevel="0" collapsed="false">
      <c r="A8738" s="6" t="s">
        <v>11350</v>
      </c>
      <c r="B8738" s="6" t="s">
        <v>1831</v>
      </c>
      <c r="C8738" s="6" t="s">
        <v>128</v>
      </c>
      <c r="D8738" s="13" t="n">
        <v>46152</v>
      </c>
      <c r="E8738" s="14" t="n">
        <v>5367.1</v>
      </c>
      <c r="F8738" s="14" t="n">
        <v>79001.74</v>
      </c>
      <c r="G8738" s="6" t="s">
        <v>2613</v>
      </c>
    </row>
    <row r="8739" customFormat="false" ht="15" hidden="false" customHeight="true" outlineLevel="0" collapsed="false">
      <c r="A8739" s="6" t="s">
        <v>11351</v>
      </c>
      <c r="B8739" s="6" t="s">
        <v>1833</v>
      </c>
      <c r="C8739" s="6" t="s">
        <v>131</v>
      </c>
      <c r="D8739" s="13" t="n">
        <v>44617</v>
      </c>
      <c r="E8739" s="14" t="n">
        <v>2976.34</v>
      </c>
      <c r="F8739" s="14" t="n">
        <v>2976.34</v>
      </c>
      <c r="G8739" s="6" t="s">
        <v>2623</v>
      </c>
    </row>
    <row r="8740" customFormat="false" ht="15" hidden="false" customHeight="true" outlineLevel="0" collapsed="false">
      <c r="A8740" s="6" t="s">
        <v>11352</v>
      </c>
      <c r="B8740" s="6" t="s">
        <v>1833</v>
      </c>
      <c r="C8740" s="6" t="s">
        <v>131</v>
      </c>
      <c r="D8740" s="13" t="n">
        <v>44624</v>
      </c>
      <c r="E8740" s="14" t="n">
        <v>2430.62</v>
      </c>
      <c r="F8740" s="14" t="n">
        <v>5406.96</v>
      </c>
      <c r="G8740" s="6" t="s">
        <v>2613</v>
      </c>
    </row>
    <row r="8741" customFormat="false" ht="15" hidden="false" customHeight="true" outlineLevel="0" collapsed="false">
      <c r="A8741" s="6" t="s">
        <v>11353</v>
      </c>
      <c r="B8741" s="6" t="s">
        <v>1833</v>
      </c>
      <c r="C8741" s="6" t="s">
        <v>131</v>
      </c>
      <c r="D8741" s="13" t="n">
        <v>44631</v>
      </c>
      <c r="E8741" s="14" t="n">
        <v>2652.72</v>
      </c>
      <c r="F8741" s="14" t="n">
        <v>8059.68</v>
      </c>
      <c r="G8741" s="6" t="s">
        <v>2613</v>
      </c>
    </row>
    <row r="8742" customFormat="false" ht="15" hidden="false" customHeight="true" outlineLevel="0" collapsed="false">
      <c r="A8742" s="6" t="s">
        <v>11354</v>
      </c>
      <c r="B8742" s="6" t="s">
        <v>1833</v>
      </c>
      <c r="C8742" s="6" t="s">
        <v>131</v>
      </c>
      <c r="D8742" s="13" t="n">
        <v>44638</v>
      </c>
      <c r="E8742" s="14" t="n">
        <v>2608.88</v>
      </c>
      <c r="F8742" s="14" t="n">
        <v>10668.56</v>
      </c>
      <c r="G8742" s="6" t="s">
        <v>2623</v>
      </c>
    </row>
    <row r="8743" customFormat="false" ht="15" hidden="false" customHeight="true" outlineLevel="0" collapsed="false">
      <c r="A8743" s="6" t="s">
        <v>11355</v>
      </c>
      <c r="B8743" s="6" t="s">
        <v>1833</v>
      </c>
      <c r="C8743" s="6" t="s">
        <v>131</v>
      </c>
      <c r="D8743" s="13" t="n">
        <v>44645</v>
      </c>
      <c r="E8743" s="14" t="n">
        <v>2689.96</v>
      </c>
      <c r="F8743" s="14" t="n">
        <v>13358.52</v>
      </c>
      <c r="G8743" s="6" t="s">
        <v>2613</v>
      </c>
    </row>
    <row r="8744" customFormat="false" ht="15" hidden="false" customHeight="true" outlineLevel="0" collapsed="false">
      <c r="A8744" s="6" t="s">
        <v>11356</v>
      </c>
      <c r="B8744" s="6" t="s">
        <v>1833</v>
      </c>
      <c r="C8744" s="6" t="s">
        <v>131</v>
      </c>
      <c r="D8744" s="13" t="n">
        <v>44652</v>
      </c>
      <c r="E8744" s="14" t="n">
        <v>1999.1</v>
      </c>
      <c r="F8744" s="14" t="n">
        <v>15357.62</v>
      </c>
      <c r="G8744" s="6" t="s">
        <v>2613</v>
      </c>
    </row>
    <row r="8745" customFormat="false" ht="15" hidden="false" customHeight="true" outlineLevel="0" collapsed="false">
      <c r="A8745" s="6" t="s">
        <v>11357</v>
      </c>
      <c r="B8745" s="6" t="s">
        <v>1833</v>
      </c>
      <c r="C8745" s="6" t="s">
        <v>131</v>
      </c>
      <c r="D8745" s="13" t="n">
        <v>44659</v>
      </c>
      <c r="E8745" s="14" t="n">
        <v>2075.27</v>
      </c>
      <c r="F8745" s="14" t="n">
        <v>17432.89</v>
      </c>
      <c r="G8745" s="6" t="s">
        <v>2613</v>
      </c>
    </row>
    <row r="8746" customFormat="false" ht="15" hidden="false" customHeight="true" outlineLevel="0" collapsed="false">
      <c r="A8746" s="6" t="s">
        <v>11358</v>
      </c>
      <c r="B8746" s="6" t="s">
        <v>1833</v>
      </c>
      <c r="C8746" s="6" t="s">
        <v>131</v>
      </c>
      <c r="D8746" s="13" t="n">
        <v>44666</v>
      </c>
      <c r="E8746" s="14" t="n">
        <v>2638.15</v>
      </c>
      <c r="F8746" s="14" t="n">
        <v>20071.04</v>
      </c>
      <c r="G8746" s="6" t="s">
        <v>2613</v>
      </c>
    </row>
    <row r="8747" customFormat="false" ht="15" hidden="false" customHeight="true" outlineLevel="0" collapsed="false">
      <c r="A8747" s="6" t="s">
        <v>11359</v>
      </c>
      <c r="B8747" s="6" t="s">
        <v>1833</v>
      </c>
      <c r="C8747" s="6" t="s">
        <v>131</v>
      </c>
      <c r="D8747" s="13" t="n">
        <v>44673</v>
      </c>
      <c r="E8747" s="14" t="n">
        <v>2568.17</v>
      </c>
      <c r="F8747" s="14" t="n">
        <v>22639.21</v>
      </c>
      <c r="G8747" s="6" t="s">
        <v>2613</v>
      </c>
    </row>
    <row r="8748" customFormat="false" ht="15" hidden="false" customHeight="true" outlineLevel="0" collapsed="false">
      <c r="A8748" s="6" t="s">
        <v>11360</v>
      </c>
      <c r="B8748" s="6" t="s">
        <v>1833</v>
      </c>
      <c r="C8748" s="6" t="s">
        <v>131</v>
      </c>
      <c r="D8748" s="13" t="n">
        <v>44680</v>
      </c>
      <c r="E8748" s="14" t="n">
        <v>1427.17</v>
      </c>
      <c r="F8748" s="14" t="n">
        <v>24066.38</v>
      </c>
      <c r="G8748" s="6" t="s">
        <v>2613</v>
      </c>
    </row>
    <row r="8749" customFormat="false" ht="15" hidden="false" customHeight="true" outlineLevel="0" collapsed="false">
      <c r="A8749" s="6" t="s">
        <v>11361</v>
      </c>
      <c r="B8749" s="6" t="s">
        <v>1833</v>
      </c>
      <c r="C8749" s="6" t="s">
        <v>131</v>
      </c>
      <c r="D8749" s="13" t="n">
        <v>44687</v>
      </c>
      <c r="E8749" s="14" t="n">
        <v>2754.19</v>
      </c>
      <c r="F8749" s="14" t="n">
        <v>26820.57</v>
      </c>
      <c r="G8749" s="6" t="s">
        <v>2623</v>
      </c>
    </row>
    <row r="8750" customFormat="false" ht="15" hidden="false" customHeight="true" outlineLevel="0" collapsed="false">
      <c r="A8750" s="6" t="s">
        <v>11362</v>
      </c>
      <c r="B8750" s="6" t="s">
        <v>1833</v>
      </c>
      <c r="C8750" s="6" t="s">
        <v>131</v>
      </c>
      <c r="D8750" s="13" t="n">
        <v>44694</v>
      </c>
      <c r="E8750" s="14" t="n">
        <v>1057.26</v>
      </c>
      <c r="F8750" s="14" t="n">
        <v>27877.83</v>
      </c>
      <c r="G8750" s="6" t="s">
        <v>2613</v>
      </c>
    </row>
    <row r="8751" customFormat="false" ht="15" hidden="false" customHeight="true" outlineLevel="0" collapsed="false">
      <c r="A8751" s="6" t="s">
        <v>11363</v>
      </c>
      <c r="B8751" s="6" t="s">
        <v>1835</v>
      </c>
      <c r="C8751" s="6" t="s">
        <v>116</v>
      </c>
      <c r="D8751" s="13" t="n">
        <v>45717</v>
      </c>
      <c r="E8751" s="14" t="n">
        <v>3097.75</v>
      </c>
      <c r="F8751" s="14" t="n">
        <v>3097.75</v>
      </c>
      <c r="G8751" s="6" t="s">
        <v>2613</v>
      </c>
    </row>
    <row r="8752" customFormat="false" ht="15" hidden="false" customHeight="true" outlineLevel="0" collapsed="false">
      <c r="A8752" s="6" t="s">
        <v>11364</v>
      </c>
      <c r="B8752" s="6" t="s">
        <v>1835</v>
      </c>
      <c r="C8752" s="6" t="s">
        <v>116</v>
      </c>
      <c r="D8752" s="13" t="n">
        <v>45724</v>
      </c>
      <c r="E8752" s="14" t="n">
        <v>2695.03</v>
      </c>
      <c r="F8752" s="14" t="n">
        <v>5792.78</v>
      </c>
      <c r="G8752" s="6" t="s">
        <v>2613</v>
      </c>
    </row>
    <row r="8753" customFormat="false" ht="15" hidden="false" customHeight="true" outlineLevel="0" collapsed="false">
      <c r="A8753" s="6" t="s">
        <v>11365</v>
      </c>
      <c r="B8753" s="6" t="s">
        <v>1835</v>
      </c>
      <c r="C8753" s="6" t="s">
        <v>116</v>
      </c>
      <c r="D8753" s="13" t="n">
        <v>45731</v>
      </c>
      <c r="E8753" s="14" t="n">
        <v>3312.93</v>
      </c>
      <c r="F8753" s="14" t="n">
        <v>9105.71</v>
      </c>
      <c r="G8753" s="6" t="s">
        <v>2613</v>
      </c>
    </row>
    <row r="8754" customFormat="false" ht="15" hidden="false" customHeight="true" outlineLevel="0" collapsed="false">
      <c r="A8754" s="6" t="s">
        <v>11366</v>
      </c>
      <c r="B8754" s="6" t="s">
        <v>1835</v>
      </c>
      <c r="C8754" s="6" t="s">
        <v>116</v>
      </c>
      <c r="D8754" s="13" t="n">
        <v>45738</v>
      </c>
      <c r="E8754" s="14" t="n">
        <v>4667.26</v>
      </c>
      <c r="F8754" s="14" t="n">
        <v>13772.97</v>
      </c>
      <c r="G8754" s="6" t="s">
        <v>2613</v>
      </c>
    </row>
    <row r="8755" customFormat="false" ht="15" hidden="false" customHeight="true" outlineLevel="0" collapsed="false">
      <c r="A8755" s="6" t="s">
        <v>11367</v>
      </c>
      <c r="B8755" s="6" t="s">
        <v>1835</v>
      </c>
      <c r="C8755" s="6" t="s">
        <v>116</v>
      </c>
      <c r="D8755" s="13" t="n">
        <v>45745</v>
      </c>
      <c r="E8755" s="14" t="n">
        <v>3979.85</v>
      </c>
      <c r="F8755" s="14" t="n">
        <v>17752.82</v>
      </c>
      <c r="G8755" s="6" t="s">
        <v>2613</v>
      </c>
    </row>
    <row r="8756" customFormat="false" ht="15" hidden="false" customHeight="true" outlineLevel="0" collapsed="false">
      <c r="A8756" s="6" t="s">
        <v>11368</v>
      </c>
      <c r="B8756" s="6" t="s">
        <v>1835</v>
      </c>
      <c r="C8756" s="6" t="s">
        <v>116</v>
      </c>
      <c r="D8756" s="13" t="n">
        <v>45752</v>
      </c>
      <c r="E8756" s="14" t="n">
        <v>4509.73</v>
      </c>
      <c r="F8756" s="14" t="n">
        <v>22262.55</v>
      </c>
      <c r="G8756" s="6" t="s">
        <v>2613</v>
      </c>
    </row>
    <row r="8757" customFormat="false" ht="15" hidden="false" customHeight="true" outlineLevel="0" collapsed="false">
      <c r="A8757" s="6" t="s">
        <v>11369</v>
      </c>
      <c r="B8757" s="6" t="s">
        <v>1835</v>
      </c>
      <c r="C8757" s="6" t="s">
        <v>116</v>
      </c>
      <c r="D8757" s="13" t="n">
        <v>45759</v>
      </c>
      <c r="E8757" s="14" t="n">
        <v>5402.8</v>
      </c>
      <c r="F8757" s="14" t="n">
        <v>27665.35</v>
      </c>
      <c r="G8757" s="6" t="s">
        <v>2613</v>
      </c>
    </row>
    <row r="8758" customFormat="false" ht="15" hidden="false" customHeight="true" outlineLevel="0" collapsed="false">
      <c r="A8758" s="6" t="s">
        <v>11370</v>
      </c>
      <c r="B8758" s="6" t="s">
        <v>1835</v>
      </c>
      <c r="C8758" s="6" t="s">
        <v>116</v>
      </c>
      <c r="D8758" s="13" t="n">
        <v>45766</v>
      </c>
      <c r="E8758" s="14" t="n">
        <v>3491.63</v>
      </c>
      <c r="F8758" s="14" t="n">
        <v>31156.98</v>
      </c>
      <c r="G8758" s="6" t="s">
        <v>2613</v>
      </c>
    </row>
    <row r="8759" customFormat="false" ht="15" hidden="false" customHeight="true" outlineLevel="0" collapsed="false">
      <c r="A8759" s="6" t="s">
        <v>11371</v>
      </c>
      <c r="B8759" s="6" t="s">
        <v>1835</v>
      </c>
      <c r="C8759" s="6" t="s">
        <v>116</v>
      </c>
      <c r="D8759" s="13" t="n">
        <v>45773</v>
      </c>
      <c r="E8759" s="14" t="n">
        <v>4437.01</v>
      </c>
      <c r="F8759" s="14" t="n">
        <v>35593.99</v>
      </c>
      <c r="G8759" s="6" t="s">
        <v>2613</v>
      </c>
    </row>
    <row r="8760" customFormat="false" ht="15" hidden="false" customHeight="true" outlineLevel="0" collapsed="false">
      <c r="A8760" s="6" t="s">
        <v>11372</v>
      </c>
      <c r="B8760" s="6" t="s">
        <v>1835</v>
      </c>
      <c r="C8760" s="6" t="s">
        <v>116</v>
      </c>
      <c r="D8760" s="13" t="n">
        <v>45780</v>
      </c>
      <c r="E8760" s="14" t="n">
        <v>2689.29</v>
      </c>
      <c r="F8760" s="14" t="n">
        <v>38283.28</v>
      </c>
      <c r="G8760" s="6" t="s">
        <v>2613</v>
      </c>
    </row>
    <row r="8761" customFormat="false" ht="15" hidden="false" customHeight="true" outlineLevel="0" collapsed="false">
      <c r="A8761" s="6" t="s">
        <v>11373</v>
      </c>
      <c r="B8761" s="6" t="s">
        <v>1835</v>
      </c>
      <c r="C8761" s="6" t="s">
        <v>116</v>
      </c>
      <c r="D8761" s="13" t="n">
        <v>45787</v>
      </c>
      <c r="E8761" s="14" t="n">
        <v>4244.08</v>
      </c>
      <c r="F8761" s="14" t="n">
        <v>42527.36</v>
      </c>
      <c r="G8761" s="6" t="s">
        <v>2613</v>
      </c>
    </row>
    <row r="8762" customFormat="false" ht="15" hidden="false" customHeight="true" outlineLevel="0" collapsed="false">
      <c r="A8762" s="6" t="s">
        <v>11374</v>
      </c>
      <c r="B8762" s="6" t="s">
        <v>1835</v>
      </c>
      <c r="C8762" s="6" t="s">
        <v>116</v>
      </c>
      <c r="D8762" s="13" t="n">
        <v>45794</v>
      </c>
      <c r="E8762" s="14" t="n">
        <v>2522.96</v>
      </c>
      <c r="F8762" s="14" t="n">
        <v>45050.32</v>
      </c>
      <c r="G8762" s="6" t="s">
        <v>2613</v>
      </c>
    </row>
    <row r="8763" customFormat="false" ht="15" hidden="false" customHeight="true" outlineLevel="0" collapsed="false">
      <c r="A8763" s="6" t="s">
        <v>11375</v>
      </c>
      <c r="B8763" s="6" t="s">
        <v>1835</v>
      </c>
      <c r="C8763" s="6" t="s">
        <v>116</v>
      </c>
      <c r="D8763" s="13" t="n">
        <v>45801</v>
      </c>
      <c r="E8763" s="14" t="n">
        <v>2721.33</v>
      </c>
      <c r="F8763" s="14" t="n">
        <v>47771.65</v>
      </c>
      <c r="G8763" s="6" t="s">
        <v>2613</v>
      </c>
    </row>
    <row r="8764" customFormat="false" ht="15" hidden="false" customHeight="true" outlineLevel="0" collapsed="false">
      <c r="A8764" s="6" t="s">
        <v>11376</v>
      </c>
      <c r="B8764" s="6" t="s">
        <v>1835</v>
      </c>
      <c r="C8764" s="6" t="s">
        <v>116</v>
      </c>
      <c r="D8764" s="13" t="n">
        <v>45808</v>
      </c>
      <c r="E8764" s="14" t="n">
        <v>9494.54</v>
      </c>
      <c r="F8764" s="14" t="n">
        <v>57266.19</v>
      </c>
      <c r="G8764" s="6" t="s">
        <v>2613</v>
      </c>
    </row>
    <row r="8765" customFormat="false" ht="15" hidden="false" customHeight="true" outlineLevel="0" collapsed="false">
      <c r="A8765" s="6" t="s">
        <v>11377</v>
      </c>
      <c r="B8765" s="6" t="s">
        <v>1837</v>
      </c>
      <c r="C8765" s="6" t="s">
        <v>120</v>
      </c>
      <c r="D8765" s="13" t="n">
        <v>45982</v>
      </c>
      <c r="E8765" s="14" t="n">
        <v>4458</v>
      </c>
      <c r="F8765" s="14" t="n">
        <v>4458</v>
      </c>
      <c r="G8765" s="6" t="s">
        <v>2613</v>
      </c>
    </row>
    <row r="8766" customFormat="false" ht="15" hidden="false" customHeight="true" outlineLevel="0" collapsed="false">
      <c r="A8766" s="6" t="s">
        <v>11378</v>
      </c>
      <c r="B8766" s="6" t="s">
        <v>1837</v>
      </c>
      <c r="C8766" s="6" t="s">
        <v>120</v>
      </c>
      <c r="D8766" s="13" t="n">
        <v>45989</v>
      </c>
      <c r="E8766" s="14" t="n">
        <v>6317.47</v>
      </c>
      <c r="F8766" s="14" t="n">
        <v>10775.47</v>
      </c>
      <c r="G8766" s="6" t="s">
        <v>2613</v>
      </c>
    </row>
    <row r="8767" customFormat="false" ht="15" hidden="false" customHeight="true" outlineLevel="0" collapsed="false">
      <c r="A8767" s="6" t="s">
        <v>11379</v>
      </c>
      <c r="B8767" s="6" t="s">
        <v>1837</v>
      </c>
      <c r="C8767" s="6" t="s">
        <v>120</v>
      </c>
      <c r="D8767" s="13" t="n">
        <v>45996</v>
      </c>
      <c r="E8767" s="14" t="n">
        <v>3100.18</v>
      </c>
      <c r="F8767" s="14" t="n">
        <v>13875.65</v>
      </c>
      <c r="G8767" s="6" t="s">
        <v>2613</v>
      </c>
    </row>
    <row r="8768" customFormat="false" ht="15" hidden="false" customHeight="true" outlineLevel="0" collapsed="false">
      <c r="A8768" s="6" t="s">
        <v>11380</v>
      </c>
      <c r="B8768" s="6" t="s">
        <v>1837</v>
      </c>
      <c r="C8768" s="6" t="s">
        <v>120</v>
      </c>
      <c r="D8768" s="13" t="n">
        <v>46003</v>
      </c>
      <c r="E8768" s="14" t="n">
        <v>4499.73</v>
      </c>
      <c r="F8768" s="14" t="n">
        <v>18375.38</v>
      </c>
      <c r="G8768" s="6" t="s">
        <v>2623</v>
      </c>
    </row>
    <row r="8769" customFormat="false" ht="15" hidden="false" customHeight="true" outlineLevel="0" collapsed="false">
      <c r="A8769" s="6" t="s">
        <v>11381</v>
      </c>
      <c r="B8769" s="6" t="s">
        <v>1837</v>
      </c>
      <c r="C8769" s="6" t="s">
        <v>120</v>
      </c>
      <c r="D8769" s="13" t="n">
        <v>46010</v>
      </c>
      <c r="E8769" s="14" t="n">
        <v>3775.22</v>
      </c>
      <c r="F8769" s="14" t="n">
        <v>22150.6</v>
      </c>
      <c r="G8769" s="6" t="s">
        <v>2613</v>
      </c>
    </row>
    <row r="8770" customFormat="false" ht="15" hidden="false" customHeight="true" outlineLevel="0" collapsed="false">
      <c r="A8770" s="6" t="s">
        <v>11382</v>
      </c>
      <c r="B8770" s="6" t="s">
        <v>1837</v>
      </c>
      <c r="C8770" s="6" t="s">
        <v>120</v>
      </c>
      <c r="D8770" s="13" t="n">
        <v>46017</v>
      </c>
      <c r="E8770" s="14" t="n">
        <v>5042.41</v>
      </c>
      <c r="F8770" s="14" t="n">
        <v>27193.01</v>
      </c>
      <c r="G8770" s="6" t="s">
        <v>2623</v>
      </c>
    </row>
    <row r="8771" customFormat="false" ht="15" hidden="false" customHeight="true" outlineLevel="0" collapsed="false">
      <c r="A8771" s="6" t="s">
        <v>11383</v>
      </c>
      <c r="B8771" s="6" t="s">
        <v>1837</v>
      </c>
      <c r="C8771" s="6" t="s">
        <v>120</v>
      </c>
      <c r="D8771" s="13" t="n">
        <v>46024</v>
      </c>
      <c r="E8771" s="14" t="n">
        <v>6045.6</v>
      </c>
      <c r="F8771" s="14" t="n">
        <v>33238.61</v>
      </c>
      <c r="G8771" s="6" t="s">
        <v>2613</v>
      </c>
    </row>
    <row r="8772" customFormat="false" ht="15" hidden="false" customHeight="true" outlineLevel="0" collapsed="false">
      <c r="A8772" s="6" t="s">
        <v>11384</v>
      </c>
      <c r="B8772" s="6" t="s">
        <v>1839</v>
      </c>
      <c r="C8772" s="6" t="s">
        <v>116</v>
      </c>
      <c r="D8772" s="13" t="n">
        <v>44777</v>
      </c>
      <c r="E8772" s="14" t="n">
        <v>4981.25</v>
      </c>
      <c r="F8772" s="14" t="n">
        <v>4981.25</v>
      </c>
      <c r="G8772" s="6" t="s">
        <v>2613</v>
      </c>
    </row>
    <row r="8773" customFormat="false" ht="15" hidden="false" customHeight="true" outlineLevel="0" collapsed="false">
      <c r="A8773" s="6" t="s">
        <v>11385</v>
      </c>
      <c r="B8773" s="6" t="s">
        <v>1839</v>
      </c>
      <c r="C8773" s="6" t="s">
        <v>116</v>
      </c>
      <c r="D8773" s="13" t="n">
        <v>44784</v>
      </c>
      <c r="E8773" s="14" t="n">
        <v>6815.09</v>
      </c>
      <c r="F8773" s="14" t="n">
        <v>11796.34</v>
      </c>
      <c r="G8773" s="6" t="s">
        <v>2613</v>
      </c>
    </row>
    <row r="8774" customFormat="false" ht="15" hidden="false" customHeight="true" outlineLevel="0" collapsed="false">
      <c r="A8774" s="6" t="s">
        <v>11386</v>
      </c>
      <c r="B8774" s="6" t="s">
        <v>1839</v>
      </c>
      <c r="C8774" s="6" t="s">
        <v>116</v>
      </c>
      <c r="D8774" s="13" t="n">
        <v>44791</v>
      </c>
      <c r="E8774" s="14" t="n">
        <v>5386.02</v>
      </c>
      <c r="F8774" s="14" t="n">
        <v>17182.36</v>
      </c>
      <c r="G8774" s="6" t="s">
        <v>2613</v>
      </c>
    </row>
    <row r="8775" customFormat="false" ht="15" hidden="false" customHeight="true" outlineLevel="0" collapsed="false">
      <c r="A8775" s="6" t="s">
        <v>11387</v>
      </c>
      <c r="B8775" s="6" t="s">
        <v>1839</v>
      </c>
      <c r="C8775" s="6" t="s">
        <v>116</v>
      </c>
      <c r="D8775" s="13" t="n">
        <v>44798</v>
      </c>
      <c r="E8775" s="14" t="n">
        <v>8481.22</v>
      </c>
      <c r="F8775" s="14" t="n">
        <v>25663.58</v>
      </c>
      <c r="G8775" s="6" t="s">
        <v>2613</v>
      </c>
    </row>
    <row r="8776" customFormat="false" ht="15" hidden="false" customHeight="true" outlineLevel="0" collapsed="false">
      <c r="A8776" s="6" t="s">
        <v>11388</v>
      </c>
      <c r="B8776" s="6" t="s">
        <v>1839</v>
      </c>
      <c r="C8776" s="6" t="s">
        <v>116</v>
      </c>
      <c r="D8776" s="13" t="n">
        <v>44805</v>
      </c>
      <c r="E8776" s="14" t="n">
        <v>8333.93</v>
      </c>
      <c r="F8776" s="14" t="n">
        <v>33997.51</v>
      </c>
      <c r="G8776" s="6" t="s">
        <v>2613</v>
      </c>
    </row>
    <row r="8777" customFormat="false" ht="15" hidden="false" customHeight="true" outlineLevel="0" collapsed="false">
      <c r="A8777" s="6" t="s">
        <v>11389</v>
      </c>
      <c r="B8777" s="6" t="s">
        <v>1839</v>
      </c>
      <c r="C8777" s="6" t="s">
        <v>116</v>
      </c>
      <c r="D8777" s="13" t="n">
        <v>44812</v>
      </c>
      <c r="E8777" s="14" t="n">
        <v>5066.06</v>
      </c>
      <c r="F8777" s="14" t="n">
        <v>39063.57</v>
      </c>
      <c r="G8777" s="6" t="s">
        <v>2613</v>
      </c>
    </row>
    <row r="8778" customFormat="false" ht="15" hidden="false" customHeight="true" outlineLevel="0" collapsed="false">
      <c r="A8778" s="6" t="s">
        <v>11390</v>
      </c>
      <c r="B8778" s="6" t="s">
        <v>1839</v>
      </c>
      <c r="C8778" s="6" t="s">
        <v>116</v>
      </c>
      <c r="D8778" s="13" t="n">
        <v>44819</v>
      </c>
      <c r="E8778" s="14" t="n">
        <v>6388.7</v>
      </c>
      <c r="F8778" s="14" t="n">
        <v>45452.27</v>
      </c>
      <c r="G8778" s="6" t="s">
        <v>2613</v>
      </c>
    </row>
    <row r="8779" customFormat="false" ht="15" hidden="false" customHeight="true" outlineLevel="0" collapsed="false">
      <c r="A8779" s="6" t="s">
        <v>11391</v>
      </c>
      <c r="B8779" s="6" t="s">
        <v>1839</v>
      </c>
      <c r="C8779" s="6" t="s">
        <v>116</v>
      </c>
      <c r="D8779" s="13" t="n">
        <v>44826</v>
      </c>
      <c r="E8779" s="14" t="n">
        <v>5021.05</v>
      </c>
      <c r="F8779" s="14" t="n">
        <v>50473.32</v>
      </c>
      <c r="G8779" s="6" t="s">
        <v>2613</v>
      </c>
    </row>
    <row r="8780" customFormat="false" ht="15" hidden="false" customHeight="true" outlineLevel="0" collapsed="false">
      <c r="A8780" s="6" t="s">
        <v>11392</v>
      </c>
      <c r="B8780" s="6" t="s">
        <v>1839</v>
      </c>
      <c r="C8780" s="6" t="s">
        <v>116</v>
      </c>
      <c r="D8780" s="13" t="n">
        <v>44833</v>
      </c>
      <c r="E8780" s="14" t="n">
        <v>6939.72</v>
      </c>
      <c r="F8780" s="14" t="n">
        <v>57413.04</v>
      </c>
      <c r="G8780" s="6" t="s">
        <v>2613</v>
      </c>
    </row>
    <row r="8781" customFormat="false" ht="15" hidden="false" customHeight="true" outlineLevel="0" collapsed="false">
      <c r="A8781" s="6" t="s">
        <v>11393</v>
      </c>
      <c r="B8781" s="6" t="s">
        <v>1839</v>
      </c>
      <c r="C8781" s="6" t="s">
        <v>116</v>
      </c>
      <c r="D8781" s="13" t="n">
        <v>44840</v>
      </c>
      <c r="E8781" s="14" t="n">
        <v>7441.93</v>
      </c>
      <c r="F8781" s="14" t="n">
        <v>64854.97</v>
      </c>
      <c r="G8781" s="6" t="s">
        <v>2613</v>
      </c>
    </row>
    <row r="8782" customFormat="false" ht="15" hidden="false" customHeight="true" outlineLevel="0" collapsed="false">
      <c r="A8782" s="6" t="s">
        <v>11394</v>
      </c>
      <c r="B8782" s="6" t="s">
        <v>1839</v>
      </c>
      <c r="C8782" s="6" t="s">
        <v>116</v>
      </c>
      <c r="D8782" s="13" t="n">
        <v>44847</v>
      </c>
      <c r="E8782" s="14" t="n">
        <v>4340.32</v>
      </c>
      <c r="F8782" s="14" t="n">
        <v>69195.29</v>
      </c>
      <c r="G8782" s="6" t="s">
        <v>2613</v>
      </c>
    </row>
    <row r="8783" customFormat="false" ht="15" hidden="false" customHeight="true" outlineLevel="0" collapsed="false">
      <c r="A8783" s="6" t="s">
        <v>11395</v>
      </c>
      <c r="B8783" s="6" t="s">
        <v>1839</v>
      </c>
      <c r="C8783" s="6" t="s">
        <v>116</v>
      </c>
      <c r="D8783" s="13" t="n">
        <v>44854</v>
      </c>
      <c r="E8783" s="14" t="n">
        <v>4356.31</v>
      </c>
      <c r="F8783" s="14" t="n">
        <v>73551.6</v>
      </c>
      <c r="G8783" s="6" t="s">
        <v>2613</v>
      </c>
    </row>
    <row r="8784" customFormat="false" ht="15" hidden="false" customHeight="true" outlineLevel="0" collapsed="false">
      <c r="A8784" s="6" t="s">
        <v>11396</v>
      </c>
      <c r="B8784" s="6" t="s">
        <v>1839</v>
      </c>
      <c r="C8784" s="6" t="s">
        <v>116</v>
      </c>
      <c r="D8784" s="13" t="n">
        <v>44861</v>
      </c>
      <c r="E8784" s="14" t="n">
        <v>8656.3</v>
      </c>
      <c r="F8784" s="14" t="n">
        <v>82207.9</v>
      </c>
      <c r="G8784" s="6" t="s">
        <v>2613</v>
      </c>
    </row>
    <row r="8785" customFormat="false" ht="15" hidden="false" customHeight="true" outlineLevel="0" collapsed="false">
      <c r="A8785" s="6" t="s">
        <v>11397</v>
      </c>
      <c r="B8785" s="6" t="s">
        <v>1839</v>
      </c>
      <c r="C8785" s="6" t="s">
        <v>116</v>
      </c>
      <c r="D8785" s="13" t="n">
        <v>44868</v>
      </c>
      <c r="E8785" s="14" t="n">
        <v>5915.16</v>
      </c>
      <c r="F8785" s="14" t="n">
        <v>88123.06</v>
      </c>
      <c r="G8785" s="6" t="s">
        <v>2623</v>
      </c>
    </row>
    <row r="8786" customFormat="false" ht="15" hidden="false" customHeight="true" outlineLevel="0" collapsed="false">
      <c r="A8786" s="6" t="s">
        <v>11398</v>
      </c>
      <c r="B8786" s="6" t="s">
        <v>1839</v>
      </c>
      <c r="C8786" s="6" t="s">
        <v>116</v>
      </c>
      <c r="D8786" s="13" t="n">
        <v>44875</v>
      </c>
      <c r="E8786" s="14" t="n">
        <v>7330.71</v>
      </c>
      <c r="F8786" s="14" t="n">
        <v>95453.77</v>
      </c>
      <c r="G8786" s="6" t="s">
        <v>2623</v>
      </c>
    </row>
    <row r="8787" customFormat="false" ht="15" hidden="false" customHeight="true" outlineLevel="0" collapsed="false">
      <c r="A8787" s="6" t="s">
        <v>11399</v>
      </c>
      <c r="B8787" s="6" t="s">
        <v>1839</v>
      </c>
      <c r="C8787" s="6" t="s">
        <v>116</v>
      </c>
      <c r="D8787" s="13" t="n">
        <v>44882</v>
      </c>
      <c r="E8787" s="14" t="n">
        <v>6598.39</v>
      </c>
      <c r="F8787" s="14" t="n">
        <v>102052.16</v>
      </c>
      <c r="G8787" s="6" t="s">
        <v>2613</v>
      </c>
    </row>
    <row r="8788" customFormat="false" ht="15" hidden="false" customHeight="true" outlineLevel="0" collapsed="false">
      <c r="A8788" s="6" t="s">
        <v>11400</v>
      </c>
      <c r="B8788" s="6" t="s">
        <v>1839</v>
      </c>
      <c r="C8788" s="6" t="s">
        <v>116</v>
      </c>
      <c r="D8788" s="13" t="n">
        <v>44889</v>
      </c>
      <c r="E8788" s="14" t="n">
        <v>8001.54</v>
      </c>
      <c r="F8788" s="14" t="n">
        <v>110053.7</v>
      </c>
      <c r="G8788" s="6" t="s">
        <v>2613</v>
      </c>
    </row>
    <row r="8789" customFormat="false" ht="15" hidden="false" customHeight="true" outlineLevel="0" collapsed="false">
      <c r="A8789" s="6" t="s">
        <v>11401</v>
      </c>
      <c r="B8789" s="6" t="s">
        <v>1839</v>
      </c>
      <c r="C8789" s="6" t="s">
        <v>116</v>
      </c>
      <c r="D8789" s="13" t="n">
        <v>44896</v>
      </c>
      <c r="E8789" s="14" t="n">
        <v>3110.82</v>
      </c>
      <c r="F8789" s="14" t="n">
        <v>113164.52</v>
      </c>
      <c r="G8789" s="6" t="s">
        <v>2613</v>
      </c>
    </row>
    <row r="8790" customFormat="false" ht="15" hidden="false" customHeight="true" outlineLevel="0" collapsed="false">
      <c r="A8790" s="6" t="s">
        <v>11402</v>
      </c>
      <c r="B8790" s="6" t="s">
        <v>1841</v>
      </c>
      <c r="C8790" s="6" t="s">
        <v>131</v>
      </c>
      <c r="D8790" s="13" t="n">
        <v>45298</v>
      </c>
      <c r="E8790" s="14" t="n">
        <v>1862.4</v>
      </c>
      <c r="F8790" s="14" t="n">
        <v>1862.4</v>
      </c>
      <c r="G8790" s="6" t="s">
        <v>2613</v>
      </c>
    </row>
    <row r="8791" customFormat="false" ht="15" hidden="false" customHeight="true" outlineLevel="0" collapsed="false">
      <c r="A8791" s="6" t="s">
        <v>11403</v>
      </c>
      <c r="B8791" s="6" t="s">
        <v>1841</v>
      </c>
      <c r="C8791" s="6" t="s">
        <v>131</v>
      </c>
      <c r="D8791" s="13" t="n">
        <v>45305</v>
      </c>
      <c r="E8791" s="14" t="n">
        <v>4145.3</v>
      </c>
      <c r="F8791" s="14" t="n">
        <v>6007.7</v>
      </c>
      <c r="G8791" s="6" t="s">
        <v>2613</v>
      </c>
    </row>
    <row r="8792" customFormat="false" ht="15" hidden="false" customHeight="true" outlineLevel="0" collapsed="false">
      <c r="A8792" s="6" t="s">
        <v>11404</v>
      </c>
      <c r="B8792" s="6" t="s">
        <v>1841</v>
      </c>
      <c r="C8792" s="6" t="s">
        <v>131</v>
      </c>
      <c r="D8792" s="13" t="n">
        <v>45312</v>
      </c>
      <c r="E8792" s="14" t="n">
        <v>2962</v>
      </c>
      <c r="F8792" s="14" t="n">
        <v>8969.7</v>
      </c>
      <c r="G8792" s="6" t="s">
        <v>2613</v>
      </c>
    </row>
    <row r="8793" customFormat="false" ht="15" hidden="false" customHeight="true" outlineLevel="0" collapsed="false">
      <c r="A8793" s="6" t="s">
        <v>11405</v>
      </c>
      <c r="B8793" s="6" t="s">
        <v>1841</v>
      </c>
      <c r="C8793" s="6" t="s">
        <v>131</v>
      </c>
      <c r="D8793" s="13" t="n">
        <v>45319</v>
      </c>
      <c r="E8793" s="14" t="n">
        <v>2258.24</v>
      </c>
      <c r="F8793" s="14" t="n">
        <v>11227.94</v>
      </c>
      <c r="G8793" s="6" t="s">
        <v>2613</v>
      </c>
    </row>
    <row r="8794" customFormat="false" ht="15" hidden="false" customHeight="true" outlineLevel="0" collapsed="false">
      <c r="A8794" s="6" t="s">
        <v>11406</v>
      </c>
      <c r="B8794" s="6" t="s">
        <v>1841</v>
      </c>
      <c r="C8794" s="6" t="s">
        <v>131</v>
      </c>
      <c r="D8794" s="13" t="n">
        <v>45326</v>
      </c>
      <c r="E8794" s="14" t="n">
        <v>2789.03</v>
      </c>
      <c r="F8794" s="14" t="n">
        <v>14016.97</v>
      </c>
      <c r="G8794" s="6" t="s">
        <v>2613</v>
      </c>
    </row>
    <row r="8795" customFormat="false" ht="15" hidden="false" customHeight="true" outlineLevel="0" collapsed="false">
      <c r="A8795" s="6" t="s">
        <v>11407</v>
      </c>
      <c r="B8795" s="6" t="s">
        <v>1841</v>
      </c>
      <c r="C8795" s="6" t="s">
        <v>131</v>
      </c>
      <c r="D8795" s="13" t="n">
        <v>45333</v>
      </c>
      <c r="E8795" s="14" t="n">
        <v>2350.13</v>
      </c>
      <c r="F8795" s="14" t="n">
        <v>16367.1</v>
      </c>
      <c r="G8795" s="6" t="s">
        <v>2613</v>
      </c>
    </row>
    <row r="8796" customFormat="false" ht="15" hidden="false" customHeight="true" outlineLevel="0" collapsed="false">
      <c r="A8796" s="6" t="s">
        <v>11408</v>
      </c>
      <c r="B8796" s="6" t="s">
        <v>1841</v>
      </c>
      <c r="C8796" s="6" t="s">
        <v>131</v>
      </c>
      <c r="D8796" s="13" t="n">
        <v>45340</v>
      </c>
      <c r="E8796" s="14" t="n">
        <v>3061.12</v>
      </c>
      <c r="F8796" s="14" t="n">
        <v>19428.22</v>
      </c>
      <c r="G8796" s="6" t="s">
        <v>2623</v>
      </c>
    </row>
    <row r="8797" customFormat="false" ht="15" hidden="false" customHeight="true" outlineLevel="0" collapsed="false">
      <c r="A8797" s="6" t="s">
        <v>11409</v>
      </c>
      <c r="B8797" s="6" t="s">
        <v>1841</v>
      </c>
      <c r="C8797" s="6" t="s">
        <v>131</v>
      </c>
      <c r="D8797" s="13" t="n">
        <v>45347</v>
      </c>
      <c r="E8797" s="14" t="n">
        <v>3760.5</v>
      </c>
      <c r="F8797" s="14" t="n">
        <v>23188.72</v>
      </c>
      <c r="G8797" s="6" t="s">
        <v>2613</v>
      </c>
    </row>
    <row r="8798" customFormat="false" ht="15" hidden="false" customHeight="true" outlineLevel="0" collapsed="false">
      <c r="A8798" s="6" t="s">
        <v>11410</v>
      </c>
      <c r="B8798" s="6" t="s">
        <v>1841</v>
      </c>
      <c r="C8798" s="6" t="s">
        <v>131</v>
      </c>
      <c r="D8798" s="13" t="n">
        <v>45354</v>
      </c>
      <c r="E8798" s="14" t="n">
        <v>2600.89</v>
      </c>
      <c r="F8798" s="14" t="n">
        <v>25789.61</v>
      </c>
      <c r="G8798" s="6" t="s">
        <v>2613</v>
      </c>
    </row>
    <row r="8799" customFormat="false" ht="15" hidden="false" customHeight="true" outlineLevel="0" collapsed="false">
      <c r="A8799" s="6" t="s">
        <v>11411</v>
      </c>
      <c r="B8799" s="6" t="s">
        <v>1841</v>
      </c>
      <c r="C8799" s="6" t="s">
        <v>131</v>
      </c>
      <c r="D8799" s="13" t="n">
        <v>45361</v>
      </c>
      <c r="E8799" s="14" t="n">
        <v>3257.42</v>
      </c>
      <c r="F8799" s="14" t="n">
        <v>29047.03</v>
      </c>
      <c r="G8799" s="6" t="s">
        <v>2613</v>
      </c>
    </row>
    <row r="8800" customFormat="false" ht="15" hidden="false" customHeight="true" outlineLevel="0" collapsed="false">
      <c r="A8800" s="6" t="s">
        <v>11412</v>
      </c>
      <c r="B8800" s="6" t="s">
        <v>1841</v>
      </c>
      <c r="C8800" s="6" t="s">
        <v>131</v>
      </c>
      <c r="D8800" s="13" t="n">
        <v>45368</v>
      </c>
      <c r="E8800" s="14" t="n">
        <v>2963.08</v>
      </c>
      <c r="F8800" s="14" t="n">
        <v>32010.11</v>
      </c>
      <c r="G8800" s="6" t="s">
        <v>2613</v>
      </c>
    </row>
    <row r="8801" customFormat="false" ht="15" hidden="false" customHeight="true" outlineLevel="0" collapsed="false">
      <c r="A8801" s="6" t="s">
        <v>11413</v>
      </c>
      <c r="B8801" s="6" t="s">
        <v>1841</v>
      </c>
      <c r="C8801" s="6" t="s">
        <v>131</v>
      </c>
      <c r="D8801" s="13" t="n">
        <v>45375</v>
      </c>
      <c r="E8801" s="14" t="n">
        <v>2931.38</v>
      </c>
      <c r="F8801" s="14" t="n">
        <v>34941.49</v>
      </c>
      <c r="G8801" s="6" t="s">
        <v>2613</v>
      </c>
    </row>
    <row r="8802" customFormat="false" ht="15" hidden="false" customHeight="true" outlineLevel="0" collapsed="false">
      <c r="A8802" s="6" t="s">
        <v>11414</v>
      </c>
      <c r="B8802" s="6" t="s">
        <v>1841</v>
      </c>
      <c r="C8802" s="6" t="s">
        <v>131</v>
      </c>
      <c r="D8802" s="13" t="n">
        <v>45382</v>
      </c>
      <c r="E8802" s="14" t="n">
        <v>3213.19</v>
      </c>
      <c r="F8802" s="14" t="n">
        <v>38154.68</v>
      </c>
      <c r="G8802" s="6" t="s">
        <v>2613</v>
      </c>
    </row>
    <row r="8803" customFormat="false" ht="15" hidden="false" customHeight="true" outlineLevel="0" collapsed="false">
      <c r="A8803" s="6" t="s">
        <v>11415</v>
      </c>
      <c r="B8803" s="6" t="s">
        <v>1841</v>
      </c>
      <c r="C8803" s="6" t="s">
        <v>131</v>
      </c>
      <c r="D8803" s="13" t="n">
        <v>45389</v>
      </c>
      <c r="E8803" s="14" t="n">
        <v>2697.02</v>
      </c>
      <c r="F8803" s="14" t="n">
        <v>40851.7</v>
      </c>
      <c r="G8803" s="6" t="s">
        <v>2613</v>
      </c>
    </row>
    <row r="8804" customFormat="false" ht="15" hidden="false" customHeight="true" outlineLevel="0" collapsed="false">
      <c r="A8804" s="6" t="s">
        <v>11416</v>
      </c>
      <c r="B8804" s="6" t="s">
        <v>1841</v>
      </c>
      <c r="C8804" s="6" t="s">
        <v>131</v>
      </c>
      <c r="D8804" s="13" t="n">
        <v>45396</v>
      </c>
      <c r="E8804" s="14" t="n">
        <v>3231.72</v>
      </c>
      <c r="F8804" s="14" t="n">
        <v>44083.42</v>
      </c>
      <c r="G8804" s="6" t="s">
        <v>2613</v>
      </c>
    </row>
    <row r="8805" customFormat="false" ht="15" hidden="false" customHeight="true" outlineLevel="0" collapsed="false">
      <c r="A8805" s="6" t="s">
        <v>11417</v>
      </c>
      <c r="B8805" s="6" t="s">
        <v>1841</v>
      </c>
      <c r="C8805" s="6" t="s">
        <v>131</v>
      </c>
      <c r="D8805" s="13" t="n">
        <v>45403</v>
      </c>
      <c r="E8805" s="14" t="n">
        <v>1987.98</v>
      </c>
      <c r="F8805" s="14" t="n">
        <v>46071.4</v>
      </c>
      <c r="G8805" s="6" t="s">
        <v>2613</v>
      </c>
    </row>
    <row r="8806" customFormat="false" ht="15" hidden="false" customHeight="true" outlineLevel="0" collapsed="false">
      <c r="A8806" s="6" t="s">
        <v>11418</v>
      </c>
      <c r="B8806" s="6" t="s">
        <v>1841</v>
      </c>
      <c r="C8806" s="6" t="s">
        <v>131</v>
      </c>
      <c r="D8806" s="13" t="n">
        <v>45410</v>
      </c>
      <c r="E8806" s="14" t="n">
        <v>3808.7</v>
      </c>
      <c r="F8806" s="14" t="n">
        <v>49880.1</v>
      </c>
      <c r="G8806" s="6" t="s">
        <v>2613</v>
      </c>
    </row>
    <row r="8807" customFormat="false" ht="15" hidden="false" customHeight="true" outlineLevel="0" collapsed="false">
      <c r="A8807" s="6" t="s">
        <v>11419</v>
      </c>
      <c r="B8807" s="6" t="s">
        <v>1841</v>
      </c>
      <c r="C8807" s="6" t="s">
        <v>131</v>
      </c>
      <c r="D8807" s="13" t="n">
        <v>45417</v>
      </c>
      <c r="E8807" s="14" t="n">
        <v>2921.82</v>
      </c>
      <c r="F8807" s="14" t="n">
        <v>52801.92</v>
      </c>
      <c r="G8807" s="6" t="s">
        <v>2613</v>
      </c>
    </row>
    <row r="8808" customFormat="false" ht="15" hidden="false" customHeight="true" outlineLevel="0" collapsed="false">
      <c r="A8808" s="6" t="s">
        <v>11420</v>
      </c>
      <c r="B8808" s="6" t="s">
        <v>1841</v>
      </c>
      <c r="C8808" s="6" t="s">
        <v>131</v>
      </c>
      <c r="D8808" s="13" t="n">
        <v>45424</v>
      </c>
      <c r="E8808" s="14" t="n">
        <v>2002.67</v>
      </c>
      <c r="F8808" s="14" t="n">
        <v>54804.59</v>
      </c>
      <c r="G8808" s="6" t="s">
        <v>2613</v>
      </c>
    </row>
    <row r="8809" customFormat="false" ht="15" hidden="false" customHeight="true" outlineLevel="0" collapsed="false">
      <c r="A8809" s="6" t="s">
        <v>11421</v>
      </c>
      <c r="B8809" s="6" t="s">
        <v>1841</v>
      </c>
      <c r="C8809" s="6" t="s">
        <v>131</v>
      </c>
      <c r="D8809" s="13" t="n">
        <v>45431</v>
      </c>
      <c r="E8809" s="14" t="n">
        <v>2350.63</v>
      </c>
      <c r="F8809" s="14" t="n">
        <v>57155.22</v>
      </c>
      <c r="G8809" s="6" t="s">
        <v>2613</v>
      </c>
    </row>
    <row r="8810" customFormat="false" ht="15" hidden="false" customHeight="true" outlineLevel="0" collapsed="false">
      <c r="A8810" s="6" t="s">
        <v>11422</v>
      </c>
      <c r="B8810" s="6" t="s">
        <v>1841</v>
      </c>
      <c r="C8810" s="6" t="s">
        <v>131</v>
      </c>
      <c r="D8810" s="13" t="n">
        <v>45438</v>
      </c>
      <c r="E8810" s="14" t="n">
        <v>4067.2</v>
      </c>
      <c r="F8810" s="14" t="n">
        <v>61222.42</v>
      </c>
      <c r="G8810" s="6" t="s">
        <v>2623</v>
      </c>
    </row>
    <row r="8811" customFormat="false" ht="15" hidden="false" customHeight="true" outlineLevel="0" collapsed="false">
      <c r="A8811" s="6" t="s">
        <v>11423</v>
      </c>
      <c r="B8811" s="6" t="s">
        <v>1841</v>
      </c>
      <c r="C8811" s="6" t="s">
        <v>131</v>
      </c>
      <c r="D8811" s="13" t="n">
        <v>45445</v>
      </c>
      <c r="E8811" s="14" t="n">
        <v>3551.8</v>
      </c>
      <c r="F8811" s="14" t="n">
        <v>64774.22</v>
      </c>
      <c r="G8811" s="6" t="s">
        <v>2613</v>
      </c>
    </row>
    <row r="8812" customFormat="false" ht="15" hidden="false" customHeight="true" outlineLevel="0" collapsed="false">
      <c r="A8812" s="6" t="s">
        <v>11424</v>
      </c>
      <c r="B8812" s="6" t="s">
        <v>1841</v>
      </c>
      <c r="C8812" s="6" t="s">
        <v>131</v>
      </c>
      <c r="D8812" s="13" t="n">
        <v>45452</v>
      </c>
      <c r="E8812" s="14" t="n">
        <v>4161.76</v>
      </c>
      <c r="F8812" s="14" t="n">
        <v>68935.98</v>
      </c>
      <c r="G8812" s="6" t="s">
        <v>2613</v>
      </c>
    </row>
    <row r="8813" customFormat="false" ht="15" hidden="false" customHeight="true" outlineLevel="0" collapsed="false">
      <c r="A8813" s="6" t="s">
        <v>11425</v>
      </c>
      <c r="B8813" s="6" t="s">
        <v>1841</v>
      </c>
      <c r="C8813" s="6" t="s">
        <v>131</v>
      </c>
      <c r="D8813" s="13" t="n">
        <v>45459</v>
      </c>
      <c r="E8813" s="14" t="n">
        <v>3411.84</v>
      </c>
      <c r="F8813" s="14" t="n">
        <v>72347.82</v>
      </c>
      <c r="G8813" s="6" t="s">
        <v>2613</v>
      </c>
    </row>
    <row r="8814" customFormat="false" ht="15" hidden="false" customHeight="true" outlineLevel="0" collapsed="false">
      <c r="A8814" s="6" t="s">
        <v>11426</v>
      </c>
      <c r="B8814" s="6" t="s">
        <v>1841</v>
      </c>
      <c r="C8814" s="6" t="s">
        <v>131</v>
      </c>
      <c r="D8814" s="13" t="n">
        <v>45466</v>
      </c>
      <c r="E8814" s="14" t="n">
        <v>2077.05</v>
      </c>
      <c r="F8814" s="14" t="n">
        <v>74424.87</v>
      </c>
      <c r="G8814" s="6" t="s">
        <v>2613</v>
      </c>
    </row>
    <row r="8815" customFormat="false" ht="15" hidden="false" customHeight="true" outlineLevel="0" collapsed="false">
      <c r="A8815" s="6" t="s">
        <v>11427</v>
      </c>
      <c r="B8815" s="6" t="s">
        <v>1841</v>
      </c>
      <c r="C8815" s="6" t="s">
        <v>131</v>
      </c>
      <c r="D8815" s="13" t="n">
        <v>45473</v>
      </c>
      <c r="E8815" s="14" t="n">
        <v>4129.6</v>
      </c>
      <c r="F8815" s="14" t="n">
        <v>78554.47</v>
      </c>
      <c r="G8815" s="6" t="s">
        <v>2613</v>
      </c>
    </row>
    <row r="8816" customFormat="false" ht="15" hidden="false" customHeight="true" outlineLevel="0" collapsed="false">
      <c r="A8816" s="6" t="s">
        <v>11428</v>
      </c>
      <c r="B8816" s="6" t="s">
        <v>1841</v>
      </c>
      <c r="C8816" s="6" t="s">
        <v>131</v>
      </c>
      <c r="D8816" s="13" t="n">
        <v>45480</v>
      </c>
      <c r="E8816" s="14" t="n">
        <v>3891.48</v>
      </c>
      <c r="F8816" s="14" t="n">
        <v>82445.95</v>
      </c>
      <c r="G8816" s="6" t="s">
        <v>2613</v>
      </c>
    </row>
    <row r="8817" customFormat="false" ht="15" hidden="false" customHeight="true" outlineLevel="0" collapsed="false">
      <c r="A8817" s="6" t="s">
        <v>11429</v>
      </c>
      <c r="B8817" s="6" t="s">
        <v>1841</v>
      </c>
      <c r="C8817" s="6" t="s">
        <v>131</v>
      </c>
      <c r="D8817" s="13" t="n">
        <v>45487</v>
      </c>
      <c r="E8817" s="14" t="n">
        <v>1898.44</v>
      </c>
      <c r="F8817" s="14" t="n">
        <v>84344.39</v>
      </c>
      <c r="G8817" s="6" t="s">
        <v>2623</v>
      </c>
    </row>
    <row r="8818" customFormat="false" ht="15" hidden="false" customHeight="true" outlineLevel="0" collapsed="false">
      <c r="A8818" s="6" t="s">
        <v>11430</v>
      </c>
      <c r="B8818" s="6" t="s">
        <v>1841</v>
      </c>
      <c r="C8818" s="6" t="s">
        <v>131</v>
      </c>
      <c r="D8818" s="13" t="n">
        <v>45494</v>
      </c>
      <c r="E8818" s="14" t="n">
        <v>3813.09</v>
      </c>
      <c r="F8818" s="14" t="n">
        <v>88157.48</v>
      </c>
      <c r="G8818" s="6" t="s">
        <v>2623</v>
      </c>
    </row>
    <row r="8819" customFormat="false" ht="15" hidden="false" customHeight="true" outlineLevel="0" collapsed="false">
      <c r="A8819" s="6" t="s">
        <v>11431</v>
      </c>
      <c r="B8819" s="6" t="s">
        <v>1843</v>
      </c>
      <c r="C8819" s="6" t="s">
        <v>124</v>
      </c>
      <c r="D8819" s="13" t="n">
        <v>45026</v>
      </c>
      <c r="E8819" s="14" t="n">
        <v>4545.83</v>
      </c>
      <c r="F8819" s="14" t="n">
        <v>4545.83</v>
      </c>
      <c r="G8819" s="6" t="s">
        <v>2613</v>
      </c>
    </row>
    <row r="8820" customFormat="false" ht="15" hidden="false" customHeight="true" outlineLevel="0" collapsed="false">
      <c r="A8820" s="6" t="s">
        <v>11432</v>
      </c>
      <c r="B8820" s="6" t="s">
        <v>1843</v>
      </c>
      <c r="C8820" s="6" t="s">
        <v>124</v>
      </c>
      <c r="D8820" s="13" t="n">
        <v>45033</v>
      </c>
      <c r="E8820" s="14" t="n">
        <v>8082.15</v>
      </c>
      <c r="F8820" s="14" t="n">
        <v>12627.98</v>
      </c>
      <c r="G8820" s="6" t="s">
        <v>2613</v>
      </c>
    </row>
    <row r="8821" customFormat="false" ht="15" hidden="false" customHeight="true" outlineLevel="0" collapsed="false">
      <c r="A8821" s="6" t="s">
        <v>11433</v>
      </c>
      <c r="B8821" s="6" t="s">
        <v>1843</v>
      </c>
      <c r="C8821" s="6" t="s">
        <v>124</v>
      </c>
      <c r="D8821" s="13" t="n">
        <v>45040</v>
      </c>
      <c r="E8821" s="14" t="n">
        <v>6274.87</v>
      </c>
      <c r="F8821" s="14" t="n">
        <v>18902.85</v>
      </c>
      <c r="G8821" s="6" t="s">
        <v>2613</v>
      </c>
    </row>
    <row r="8822" customFormat="false" ht="15" hidden="false" customHeight="true" outlineLevel="0" collapsed="false">
      <c r="A8822" s="6" t="s">
        <v>11434</v>
      </c>
      <c r="B8822" s="6" t="s">
        <v>1843</v>
      </c>
      <c r="C8822" s="6" t="s">
        <v>124</v>
      </c>
      <c r="D8822" s="13" t="n">
        <v>45047</v>
      </c>
      <c r="E8822" s="14" t="n">
        <v>4548.2</v>
      </c>
      <c r="F8822" s="14" t="n">
        <v>23451.05</v>
      </c>
      <c r="G8822" s="6" t="s">
        <v>2613</v>
      </c>
    </row>
    <row r="8823" customFormat="false" ht="15" hidden="false" customHeight="true" outlineLevel="0" collapsed="false">
      <c r="A8823" s="6" t="s">
        <v>11435</v>
      </c>
      <c r="B8823" s="6" t="s">
        <v>1843</v>
      </c>
      <c r="C8823" s="6" t="s">
        <v>124</v>
      </c>
      <c r="D8823" s="13" t="n">
        <v>45054</v>
      </c>
      <c r="E8823" s="14" t="n">
        <v>7234.91</v>
      </c>
      <c r="F8823" s="14" t="n">
        <v>30685.96</v>
      </c>
      <c r="G8823" s="6" t="s">
        <v>2613</v>
      </c>
    </row>
    <row r="8824" customFormat="false" ht="15" hidden="false" customHeight="true" outlineLevel="0" collapsed="false">
      <c r="A8824" s="6" t="s">
        <v>11436</v>
      </c>
      <c r="B8824" s="6" t="s">
        <v>1843</v>
      </c>
      <c r="C8824" s="6" t="s">
        <v>124</v>
      </c>
      <c r="D8824" s="13" t="n">
        <v>45061</v>
      </c>
      <c r="E8824" s="14" t="n">
        <v>7463.01</v>
      </c>
      <c r="F8824" s="14" t="n">
        <v>38148.97</v>
      </c>
      <c r="G8824" s="6" t="s">
        <v>2613</v>
      </c>
    </row>
    <row r="8825" customFormat="false" ht="15" hidden="false" customHeight="true" outlineLevel="0" collapsed="false">
      <c r="A8825" s="6" t="s">
        <v>11437</v>
      </c>
      <c r="B8825" s="6" t="s">
        <v>1843</v>
      </c>
      <c r="C8825" s="6" t="s">
        <v>124</v>
      </c>
      <c r="D8825" s="13" t="n">
        <v>45068</v>
      </c>
      <c r="E8825" s="14" t="n">
        <v>5422.4</v>
      </c>
      <c r="F8825" s="14" t="n">
        <v>43571.37</v>
      </c>
      <c r="G8825" s="6" t="s">
        <v>2613</v>
      </c>
    </row>
    <row r="8826" customFormat="false" ht="15" hidden="false" customHeight="true" outlineLevel="0" collapsed="false">
      <c r="A8826" s="6" t="s">
        <v>11438</v>
      </c>
      <c r="B8826" s="6" t="s">
        <v>1843</v>
      </c>
      <c r="C8826" s="6" t="s">
        <v>124</v>
      </c>
      <c r="D8826" s="13" t="n">
        <v>45075</v>
      </c>
      <c r="E8826" s="14" t="n">
        <v>6029.32</v>
      </c>
      <c r="F8826" s="14" t="n">
        <v>49600.69</v>
      </c>
      <c r="G8826" s="6" t="s">
        <v>2623</v>
      </c>
    </row>
    <row r="8827" customFormat="false" ht="15" hidden="false" customHeight="true" outlineLevel="0" collapsed="false">
      <c r="A8827" s="6" t="s">
        <v>11439</v>
      </c>
      <c r="B8827" s="6" t="s">
        <v>1843</v>
      </c>
      <c r="C8827" s="6" t="s">
        <v>124</v>
      </c>
      <c r="D8827" s="13" t="n">
        <v>45082</v>
      </c>
      <c r="E8827" s="14" t="n">
        <v>6746</v>
      </c>
      <c r="F8827" s="14" t="n">
        <v>56346.69</v>
      </c>
      <c r="G8827" s="6" t="s">
        <v>2613</v>
      </c>
    </row>
    <row r="8828" customFormat="false" ht="15" hidden="false" customHeight="true" outlineLevel="0" collapsed="false">
      <c r="A8828" s="6" t="s">
        <v>11440</v>
      </c>
      <c r="B8828" s="6" t="s">
        <v>1843</v>
      </c>
      <c r="C8828" s="6" t="s">
        <v>124</v>
      </c>
      <c r="D8828" s="13" t="n">
        <v>45089</v>
      </c>
      <c r="E8828" s="14" t="n">
        <v>6416.54</v>
      </c>
      <c r="F8828" s="14" t="n">
        <v>62763.23</v>
      </c>
      <c r="G8828" s="6" t="s">
        <v>2613</v>
      </c>
    </row>
    <row r="8829" customFormat="false" ht="15" hidden="false" customHeight="true" outlineLevel="0" collapsed="false">
      <c r="A8829" s="6" t="s">
        <v>11441</v>
      </c>
      <c r="B8829" s="6" t="s">
        <v>1843</v>
      </c>
      <c r="C8829" s="6" t="s">
        <v>124</v>
      </c>
      <c r="D8829" s="13" t="n">
        <v>45096</v>
      </c>
      <c r="E8829" s="14" t="n">
        <v>6019.57</v>
      </c>
      <c r="F8829" s="14" t="n">
        <v>68782.8</v>
      </c>
      <c r="G8829" s="6" t="s">
        <v>2613</v>
      </c>
    </row>
    <row r="8830" customFormat="false" ht="15" hidden="false" customHeight="true" outlineLevel="0" collapsed="false">
      <c r="A8830" s="6" t="s">
        <v>11442</v>
      </c>
      <c r="B8830" s="6" t="s">
        <v>1843</v>
      </c>
      <c r="C8830" s="6" t="s">
        <v>124</v>
      </c>
      <c r="D8830" s="13" t="n">
        <v>45103</v>
      </c>
      <c r="E8830" s="14" t="n">
        <v>4042.89</v>
      </c>
      <c r="F8830" s="14" t="n">
        <v>72825.69</v>
      </c>
      <c r="G8830" s="6" t="s">
        <v>2613</v>
      </c>
    </row>
    <row r="8831" customFormat="false" ht="15" hidden="false" customHeight="true" outlineLevel="0" collapsed="false">
      <c r="A8831" s="6" t="s">
        <v>11443</v>
      </c>
      <c r="B8831" s="6" t="s">
        <v>1843</v>
      </c>
      <c r="C8831" s="6" t="s">
        <v>124</v>
      </c>
      <c r="D8831" s="13" t="n">
        <v>45110</v>
      </c>
      <c r="E8831" s="14" t="n">
        <v>4490.97</v>
      </c>
      <c r="F8831" s="14" t="n">
        <v>77316.66</v>
      </c>
      <c r="G8831" s="6" t="s">
        <v>2613</v>
      </c>
    </row>
    <row r="8832" customFormat="false" ht="15" hidden="false" customHeight="true" outlineLevel="0" collapsed="false">
      <c r="A8832" s="6" t="s">
        <v>11444</v>
      </c>
      <c r="B8832" s="6" t="s">
        <v>1843</v>
      </c>
      <c r="C8832" s="6" t="s">
        <v>124</v>
      </c>
      <c r="D8832" s="13" t="n">
        <v>45117</v>
      </c>
      <c r="E8832" s="14" t="n">
        <v>9032.38</v>
      </c>
      <c r="F8832" s="14" t="n">
        <v>86349.04</v>
      </c>
      <c r="G8832" s="6" t="s">
        <v>2613</v>
      </c>
    </row>
    <row r="8833" customFormat="false" ht="15" hidden="false" customHeight="true" outlineLevel="0" collapsed="false">
      <c r="A8833" s="6" t="s">
        <v>11445</v>
      </c>
      <c r="B8833" s="6" t="s">
        <v>1845</v>
      </c>
      <c r="C8833" s="6" t="s">
        <v>116</v>
      </c>
      <c r="D8833" s="13" t="n">
        <v>45313</v>
      </c>
      <c r="E8833" s="14" t="n">
        <v>549.78</v>
      </c>
      <c r="F8833" s="14" t="n">
        <v>549.78</v>
      </c>
      <c r="G8833" s="6" t="s">
        <v>2613</v>
      </c>
    </row>
    <row r="8834" customFormat="false" ht="15" hidden="false" customHeight="true" outlineLevel="0" collapsed="false">
      <c r="A8834" s="6" t="s">
        <v>11446</v>
      </c>
      <c r="B8834" s="6" t="s">
        <v>1845</v>
      </c>
      <c r="C8834" s="6" t="s">
        <v>116</v>
      </c>
      <c r="D8834" s="13" t="n">
        <v>45320</v>
      </c>
      <c r="E8834" s="14" t="n">
        <v>818.64</v>
      </c>
      <c r="F8834" s="14" t="n">
        <v>1368.42</v>
      </c>
      <c r="G8834" s="6" t="s">
        <v>2613</v>
      </c>
    </row>
    <row r="8835" customFormat="false" ht="15" hidden="false" customHeight="true" outlineLevel="0" collapsed="false">
      <c r="A8835" s="6" t="s">
        <v>11447</v>
      </c>
      <c r="B8835" s="6" t="s">
        <v>1845</v>
      </c>
      <c r="C8835" s="6" t="s">
        <v>116</v>
      </c>
      <c r="D8835" s="13" t="n">
        <v>45327</v>
      </c>
      <c r="E8835" s="14" t="n">
        <v>558.72</v>
      </c>
      <c r="F8835" s="14" t="n">
        <v>1927.14</v>
      </c>
      <c r="G8835" s="6" t="s">
        <v>2613</v>
      </c>
    </row>
    <row r="8836" customFormat="false" ht="15" hidden="false" customHeight="true" outlineLevel="0" collapsed="false">
      <c r="A8836" s="6" t="s">
        <v>11448</v>
      </c>
      <c r="B8836" s="6" t="s">
        <v>1845</v>
      </c>
      <c r="C8836" s="6" t="s">
        <v>116</v>
      </c>
      <c r="D8836" s="13" t="n">
        <v>45334</v>
      </c>
      <c r="E8836" s="14" t="n">
        <v>586.71</v>
      </c>
      <c r="F8836" s="14" t="n">
        <v>2513.85</v>
      </c>
      <c r="G8836" s="6" t="s">
        <v>2613</v>
      </c>
    </row>
    <row r="8837" customFormat="false" ht="15" hidden="false" customHeight="true" outlineLevel="0" collapsed="false">
      <c r="A8837" s="6" t="s">
        <v>11449</v>
      </c>
      <c r="B8837" s="6" t="s">
        <v>1845</v>
      </c>
      <c r="C8837" s="6" t="s">
        <v>116</v>
      </c>
      <c r="D8837" s="13" t="n">
        <v>45341</v>
      </c>
      <c r="E8837" s="14" t="n">
        <v>484.96</v>
      </c>
      <c r="F8837" s="14" t="n">
        <v>2998.81</v>
      </c>
      <c r="G8837" s="6" t="s">
        <v>2613</v>
      </c>
    </row>
    <row r="8838" customFormat="false" ht="15" hidden="false" customHeight="true" outlineLevel="0" collapsed="false">
      <c r="A8838" s="6" t="s">
        <v>11450</v>
      </c>
      <c r="B8838" s="6" t="s">
        <v>1845</v>
      </c>
      <c r="C8838" s="6" t="s">
        <v>116</v>
      </c>
      <c r="D8838" s="13" t="n">
        <v>45348</v>
      </c>
      <c r="E8838" s="14" t="n">
        <v>1109.97</v>
      </c>
      <c r="F8838" s="14" t="n">
        <v>4108.78</v>
      </c>
      <c r="G8838" s="6" t="s">
        <v>2613</v>
      </c>
    </row>
    <row r="8839" customFormat="false" ht="15" hidden="false" customHeight="true" outlineLevel="0" collapsed="false">
      <c r="A8839" s="6" t="s">
        <v>11451</v>
      </c>
      <c r="B8839" s="6" t="s">
        <v>1845</v>
      </c>
      <c r="C8839" s="6" t="s">
        <v>116</v>
      </c>
      <c r="D8839" s="13" t="n">
        <v>45355</v>
      </c>
      <c r="E8839" s="14" t="n">
        <v>629.75</v>
      </c>
      <c r="F8839" s="14" t="n">
        <v>4738.53</v>
      </c>
      <c r="G8839" s="6" t="s">
        <v>2623</v>
      </c>
    </row>
    <row r="8840" customFormat="false" ht="15" hidden="false" customHeight="true" outlineLevel="0" collapsed="false">
      <c r="A8840" s="6" t="s">
        <v>11452</v>
      </c>
      <c r="B8840" s="6" t="s">
        <v>1845</v>
      </c>
      <c r="C8840" s="6" t="s">
        <v>116</v>
      </c>
      <c r="D8840" s="13" t="n">
        <v>45362</v>
      </c>
      <c r="E8840" s="14" t="n">
        <v>950.91</v>
      </c>
      <c r="F8840" s="14" t="n">
        <v>5689.44</v>
      </c>
      <c r="G8840" s="6" t="s">
        <v>2613</v>
      </c>
    </row>
    <row r="8841" customFormat="false" ht="15" hidden="false" customHeight="true" outlineLevel="0" collapsed="false">
      <c r="A8841" s="6" t="s">
        <v>11453</v>
      </c>
      <c r="B8841" s="6" t="s">
        <v>1845</v>
      </c>
      <c r="C8841" s="6" t="s">
        <v>116</v>
      </c>
      <c r="D8841" s="13" t="n">
        <v>45369</v>
      </c>
      <c r="E8841" s="14" t="n">
        <v>478.57</v>
      </c>
      <c r="F8841" s="14" t="n">
        <v>6168.01</v>
      </c>
      <c r="G8841" s="6" t="s">
        <v>2613</v>
      </c>
    </row>
    <row r="8842" customFormat="false" ht="15" hidden="false" customHeight="true" outlineLevel="0" collapsed="false">
      <c r="A8842" s="6" t="s">
        <v>11454</v>
      </c>
      <c r="B8842" s="6" t="s">
        <v>1845</v>
      </c>
      <c r="C8842" s="6" t="s">
        <v>116</v>
      </c>
      <c r="D8842" s="13" t="n">
        <v>45376</v>
      </c>
      <c r="E8842" s="14" t="n">
        <v>902.49</v>
      </c>
      <c r="F8842" s="14" t="n">
        <v>7070.5</v>
      </c>
      <c r="G8842" s="6" t="s">
        <v>2613</v>
      </c>
    </row>
    <row r="8843" customFormat="false" ht="15" hidden="false" customHeight="true" outlineLevel="0" collapsed="false">
      <c r="A8843" s="6" t="s">
        <v>11455</v>
      </c>
      <c r="B8843" s="6" t="s">
        <v>1845</v>
      </c>
      <c r="C8843" s="6" t="s">
        <v>116</v>
      </c>
      <c r="D8843" s="13" t="n">
        <v>45383</v>
      </c>
      <c r="E8843" s="14" t="n">
        <v>1034.4</v>
      </c>
      <c r="F8843" s="14" t="n">
        <v>8104.9</v>
      </c>
      <c r="G8843" s="6" t="s">
        <v>2613</v>
      </c>
    </row>
    <row r="8844" customFormat="false" ht="15" hidden="false" customHeight="true" outlineLevel="0" collapsed="false">
      <c r="A8844" s="6" t="s">
        <v>11456</v>
      </c>
      <c r="B8844" s="6" t="s">
        <v>1845</v>
      </c>
      <c r="C8844" s="6" t="s">
        <v>116</v>
      </c>
      <c r="D8844" s="13" t="n">
        <v>45390</v>
      </c>
      <c r="E8844" s="14" t="n">
        <v>602.33</v>
      </c>
      <c r="F8844" s="14" t="n">
        <v>8707.23</v>
      </c>
      <c r="G8844" s="6" t="s">
        <v>2613</v>
      </c>
    </row>
    <row r="8845" customFormat="false" ht="15" hidden="false" customHeight="true" outlineLevel="0" collapsed="false">
      <c r="A8845" s="6" t="s">
        <v>11457</v>
      </c>
      <c r="B8845" s="6" t="s">
        <v>1845</v>
      </c>
      <c r="C8845" s="6" t="s">
        <v>116</v>
      </c>
      <c r="D8845" s="13" t="n">
        <v>45397</v>
      </c>
      <c r="E8845" s="14" t="n">
        <v>989.72</v>
      </c>
      <c r="F8845" s="14" t="n">
        <v>9696.95</v>
      </c>
      <c r="G8845" s="6" t="s">
        <v>2613</v>
      </c>
    </row>
    <row r="8846" customFormat="false" ht="15" hidden="false" customHeight="true" outlineLevel="0" collapsed="false">
      <c r="A8846" s="6" t="s">
        <v>11458</v>
      </c>
      <c r="B8846" s="6" t="s">
        <v>1845</v>
      </c>
      <c r="C8846" s="6" t="s">
        <v>116</v>
      </c>
      <c r="D8846" s="13" t="n">
        <v>45404</v>
      </c>
      <c r="E8846" s="14" t="n">
        <v>1100.16</v>
      </c>
      <c r="F8846" s="14" t="n">
        <v>10797.11</v>
      </c>
      <c r="G8846" s="6" t="s">
        <v>2613</v>
      </c>
    </row>
    <row r="8847" customFormat="false" ht="15" hidden="false" customHeight="true" outlineLevel="0" collapsed="false">
      <c r="A8847" s="6" t="s">
        <v>11459</v>
      </c>
      <c r="B8847" s="6" t="s">
        <v>1845</v>
      </c>
      <c r="C8847" s="6" t="s">
        <v>116</v>
      </c>
      <c r="D8847" s="13" t="n">
        <v>45411</v>
      </c>
      <c r="E8847" s="14" t="n">
        <v>1122.42</v>
      </c>
      <c r="F8847" s="14" t="n">
        <v>11919.53</v>
      </c>
      <c r="G8847" s="6" t="s">
        <v>2613</v>
      </c>
    </row>
    <row r="8848" customFormat="false" ht="15" hidden="false" customHeight="true" outlineLevel="0" collapsed="false">
      <c r="A8848" s="6" t="s">
        <v>11460</v>
      </c>
      <c r="B8848" s="6" t="s">
        <v>1847</v>
      </c>
      <c r="C8848" s="6" t="s">
        <v>128</v>
      </c>
      <c r="D8848" s="13" t="n">
        <v>45712</v>
      </c>
      <c r="E8848" s="14" t="n">
        <v>588.27</v>
      </c>
      <c r="F8848" s="14" t="n">
        <v>588.27</v>
      </c>
      <c r="G8848" s="6" t="s">
        <v>2613</v>
      </c>
    </row>
    <row r="8849" customFormat="false" ht="15" hidden="false" customHeight="true" outlineLevel="0" collapsed="false">
      <c r="A8849" s="6" t="s">
        <v>11461</v>
      </c>
      <c r="B8849" s="6" t="s">
        <v>1847</v>
      </c>
      <c r="C8849" s="6" t="s">
        <v>128</v>
      </c>
      <c r="D8849" s="13" t="n">
        <v>45719</v>
      </c>
      <c r="E8849" s="14" t="n">
        <v>582.22</v>
      </c>
      <c r="F8849" s="14" t="n">
        <v>1170.49</v>
      </c>
      <c r="G8849" s="6" t="s">
        <v>2613</v>
      </c>
    </row>
    <row r="8850" customFormat="false" ht="15" hidden="false" customHeight="true" outlineLevel="0" collapsed="false">
      <c r="A8850" s="6" t="s">
        <v>11462</v>
      </c>
      <c r="B8850" s="6" t="s">
        <v>1847</v>
      </c>
      <c r="C8850" s="6" t="s">
        <v>128</v>
      </c>
      <c r="D8850" s="13" t="n">
        <v>45726</v>
      </c>
      <c r="E8850" s="14" t="n">
        <v>1286.09</v>
      </c>
      <c r="F8850" s="14" t="n">
        <v>2456.58</v>
      </c>
      <c r="G8850" s="6" t="s">
        <v>2623</v>
      </c>
    </row>
    <row r="8851" customFormat="false" ht="15" hidden="false" customHeight="true" outlineLevel="0" collapsed="false">
      <c r="A8851" s="6" t="s">
        <v>11463</v>
      </c>
      <c r="B8851" s="6" t="s">
        <v>1847</v>
      </c>
      <c r="C8851" s="6" t="s">
        <v>128</v>
      </c>
      <c r="D8851" s="13" t="n">
        <v>45733</v>
      </c>
      <c r="E8851" s="14" t="n">
        <v>595.72</v>
      </c>
      <c r="F8851" s="14" t="n">
        <v>3052.3</v>
      </c>
      <c r="G8851" s="6" t="s">
        <v>2623</v>
      </c>
    </row>
    <row r="8852" customFormat="false" ht="15" hidden="false" customHeight="true" outlineLevel="0" collapsed="false">
      <c r="A8852" s="6" t="s">
        <v>11464</v>
      </c>
      <c r="B8852" s="6" t="s">
        <v>1847</v>
      </c>
      <c r="C8852" s="6" t="s">
        <v>128</v>
      </c>
      <c r="D8852" s="13" t="n">
        <v>45740</v>
      </c>
      <c r="E8852" s="14" t="n">
        <v>884.03</v>
      </c>
      <c r="F8852" s="14" t="n">
        <v>3936.33</v>
      </c>
      <c r="G8852" s="6" t="s">
        <v>2613</v>
      </c>
    </row>
    <row r="8853" customFormat="false" ht="15" hidden="false" customHeight="true" outlineLevel="0" collapsed="false">
      <c r="A8853" s="6" t="s">
        <v>11465</v>
      </c>
      <c r="B8853" s="6" t="s">
        <v>1847</v>
      </c>
      <c r="C8853" s="6" t="s">
        <v>128</v>
      </c>
      <c r="D8853" s="13" t="n">
        <v>45747</v>
      </c>
      <c r="E8853" s="14" t="n">
        <v>584.43</v>
      </c>
      <c r="F8853" s="14" t="n">
        <v>4520.76</v>
      </c>
      <c r="G8853" s="6" t="s">
        <v>2613</v>
      </c>
    </row>
    <row r="8854" customFormat="false" ht="15" hidden="false" customHeight="true" outlineLevel="0" collapsed="false">
      <c r="A8854" s="6" t="s">
        <v>11466</v>
      </c>
      <c r="B8854" s="6" t="s">
        <v>1847</v>
      </c>
      <c r="C8854" s="6" t="s">
        <v>128</v>
      </c>
      <c r="D8854" s="13" t="n">
        <v>45754</v>
      </c>
      <c r="E8854" s="14" t="n">
        <v>803.78</v>
      </c>
      <c r="F8854" s="14" t="n">
        <v>5324.54</v>
      </c>
      <c r="G8854" s="6" t="s">
        <v>2613</v>
      </c>
    </row>
    <row r="8855" customFormat="false" ht="15" hidden="false" customHeight="true" outlineLevel="0" collapsed="false">
      <c r="A8855" s="6" t="s">
        <v>11467</v>
      </c>
      <c r="B8855" s="6" t="s">
        <v>1847</v>
      </c>
      <c r="C8855" s="6" t="s">
        <v>128</v>
      </c>
      <c r="D8855" s="13" t="n">
        <v>45761</v>
      </c>
      <c r="E8855" s="14" t="n">
        <v>837.79</v>
      </c>
      <c r="F8855" s="14" t="n">
        <v>6162.33</v>
      </c>
      <c r="G8855" s="6" t="s">
        <v>2623</v>
      </c>
    </row>
    <row r="8856" customFormat="false" ht="15" hidden="false" customHeight="true" outlineLevel="0" collapsed="false">
      <c r="A8856" s="6" t="s">
        <v>11468</v>
      </c>
      <c r="B8856" s="6" t="s">
        <v>1847</v>
      </c>
      <c r="C8856" s="6" t="s">
        <v>128</v>
      </c>
      <c r="D8856" s="13" t="n">
        <v>45768</v>
      </c>
      <c r="E8856" s="14" t="n">
        <v>836.17</v>
      </c>
      <c r="F8856" s="14" t="n">
        <v>6998.5</v>
      </c>
      <c r="G8856" s="6" t="s">
        <v>2613</v>
      </c>
    </row>
    <row r="8857" customFormat="false" ht="15" hidden="false" customHeight="true" outlineLevel="0" collapsed="false">
      <c r="A8857" s="6" t="s">
        <v>11469</v>
      </c>
      <c r="B8857" s="6" t="s">
        <v>1847</v>
      </c>
      <c r="C8857" s="6" t="s">
        <v>128</v>
      </c>
      <c r="D8857" s="13" t="n">
        <v>45775</v>
      </c>
      <c r="E8857" s="14" t="n">
        <v>960.61</v>
      </c>
      <c r="F8857" s="14" t="n">
        <v>7959.11</v>
      </c>
      <c r="G8857" s="6" t="s">
        <v>2613</v>
      </c>
    </row>
    <row r="8858" customFormat="false" ht="15" hidden="false" customHeight="true" outlineLevel="0" collapsed="false">
      <c r="A8858" s="6" t="s">
        <v>11470</v>
      </c>
      <c r="B8858" s="6" t="s">
        <v>1847</v>
      </c>
      <c r="C8858" s="6" t="s">
        <v>128</v>
      </c>
      <c r="D8858" s="13" t="n">
        <v>45782</v>
      </c>
      <c r="E8858" s="14" t="n">
        <v>1030.58</v>
      </c>
      <c r="F8858" s="14" t="n">
        <v>8989.69</v>
      </c>
      <c r="G8858" s="6" t="s">
        <v>2613</v>
      </c>
    </row>
    <row r="8859" customFormat="false" ht="15" hidden="false" customHeight="true" outlineLevel="0" collapsed="false">
      <c r="A8859" s="6" t="s">
        <v>11471</v>
      </c>
      <c r="B8859" s="6" t="s">
        <v>1847</v>
      </c>
      <c r="C8859" s="6" t="s">
        <v>128</v>
      </c>
      <c r="D8859" s="13" t="n">
        <v>45789</v>
      </c>
      <c r="E8859" s="14" t="n">
        <v>2632.43</v>
      </c>
      <c r="F8859" s="14" t="n">
        <v>11622.12</v>
      </c>
      <c r="G8859" s="6" t="s">
        <v>2613</v>
      </c>
    </row>
    <row r="8860" customFormat="false" ht="15" hidden="false" customHeight="true" outlineLevel="0" collapsed="false">
      <c r="A8860" s="6" t="s">
        <v>11472</v>
      </c>
      <c r="B8860" s="6" t="s">
        <v>1849</v>
      </c>
      <c r="C8860" s="6" t="s">
        <v>128</v>
      </c>
      <c r="D8860" s="13" t="n">
        <v>45742</v>
      </c>
      <c r="E8860" s="14" t="n">
        <v>1478.14</v>
      </c>
      <c r="F8860" s="14" t="n">
        <v>1478.14</v>
      </c>
      <c r="G8860" s="6" t="s">
        <v>2613</v>
      </c>
    </row>
    <row r="8861" customFormat="false" ht="15" hidden="false" customHeight="true" outlineLevel="0" collapsed="false">
      <c r="A8861" s="6" t="s">
        <v>11473</v>
      </c>
      <c r="B8861" s="6" t="s">
        <v>1849</v>
      </c>
      <c r="C8861" s="6" t="s">
        <v>128</v>
      </c>
      <c r="D8861" s="13" t="n">
        <v>45749</v>
      </c>
      <c r="E8861" s="14" t="n">
        <v>870.6</v>
      </c>
      <c r="F8861" s="14" t="n">
        <v>2348.74</v>
      </c>
      <c r="G8861" s="6" t="s">
        <v>2613</v>
      </c>
    </row>
    <row r="8862" customFormat="false" ht="15" hidden="false" customHeight="true" outlineLevel="0" collapsed="false">
      <c r="A8862" s="6" t="s">
        <v>11474</v>
      </c>
      <c r="B8862" s="6" t="s">
        <v>1849</v>
      </c>
      <c r="C8862" s="6" t="s">
        <v>128</v>
      </c>
      <c r="D8862" s="13" t="n">
        <v>45756</v>
      </c>
      <c r="E8862" s="14" t="n">
        <v>1455.72</v>
      </c>
      <c r="F8862" s="14" t="n">
        <v>3804.46</v>
      </c>
      <c r="G8862" s="6" t="s">
        <v>2613</v>
      </c>
    </row>
    <row r="8863" customFormat="false" ht="15" hidden="false" customHeight="true" outlineLevel="0" collapsed="false">
      <c r="A8863" s="6" t="s">
        <v>11475</v>
      </c>
      <c r="B8863" s="6" t="s">
        <v>1849</v>
      </c>
      <c r="C8863" s="6" t="s">
        <v>128</v>
      </c>
      <c r="D8863" s="13" t="n">
        <v>45763</v>
      </c>
      <c r="E8863" s="14" t="n">
        <v>1445.53</v>
      </c>
      <c r="F8863" s="14" t="n">
        <v>5249.99</v>
      </c>
      <c r="G8863" s="6" t="s">
        <v>2613</v>
      </c>
    </row>
    <row r="8864" customFormat="false" ht="15" hidden="false" customHeight="true" outlineLevel="0" collapsed="false">
      <c r="A8864" s="6" t="s">
        <v>11476</v>
      </c>
      <c r="B8864" s="6" t="s">
        <v>1849</v>
      </c>
      <c r="C8864" s="6" t="s">
        <v>128</v>
      </c>
      <c r="D8864" s="13" t="n">
        <v>45770</v>
      </c>
      <c r="E8864" s="14" t="n">
        <v>881.57</v>
      </c>
      <c r="F8864" s="14" t="n">
        <v>6131.56</v>
      </c>
      <c r="G8864" s="6" t="s">
        <v>2613</v>
      </c>
    </row>
    <row r="8865" customFormat="false" ht="15" hidden="false" customHeight="true" outlineLevel="0" collapsed="false">
      <c r="A8865" s="6" t="s">
        <v>11477</v>
      </c>
      <c r="B8865" s="6" t="s">
        <v>1849</v>
      </c>
      <c r="C8865" s="6" t="s">
        <v>128</v>
      </c>
      <c r="D8865" s="13" t="n">
        <v>45777</v>
      </c>
      <c r="E8865" s="14" t="n">
        <v>1300.33</v>
      </c>
      <c r="F8865" s="14" t="n">
        <v>7431.89</v>
      </c>
      <c r="G8865" s="6" t="s">
        <v>2623</v>
      </c>
    </row>
    <row r="8866" customFormat="false" ht="15" hidden="false" customHeight="true" outlineLevel="0" collapsed="false">
      <c r="A8866" s="6" t="s">
        <v>11478</v>
      </c>
      <c r="B8866" s="6" t="s">
        <v>1849</v>
      </c>
      <c r="C8866" s="6" t="s">
        <v>128</v>
      </c>
      <c r="D8866" s="13" t="n">
        <v>45784</v>
      </c>
      <c r="E8866" s="14" t="n">
        <v>1250.96</v>
      </c>
      <c r="F8866" s="14" t="n">
        <v>8682.85</v>
      </c>
      <c r="G8866" s="6" t="s">
        <v>2613</v>
      </c>
    </row>
    <row r="8867" customFormat="false" ht="15" hidden="false" customHeight="true" outlineLevel="0" collapsed="false">
      <c r="A8867" s="6" t="s">
        <v>11479</v>
      </c>
      <c r="B8867" s="6" t="s">
        <v>1849</v>
      </c>
      <c r="C8867" s="6" t="s">
        <v>128</v>
      </c>
      <c r="D8867" s="13" t="n">
        <v>45791</v>
      </c>
      <c r="E8867" s="14" t="n">
        <v>1730.99</v>
      </c>
      <c r="F8867" s="14" t="n">
        <v>10413.84</v>
      </c>
      <c r="G8867" s="6" t="s">
        <v>2613</v>
      </c>
    </row>
    <row r="8868" customFormat="false" ht="15" hidden="false" customHeight="true" outlineLevel="0" collapsed="false">
      <c r="A8868" s="6" t="s">
        <v>11480</v>
      </c>
      <c r="B8868" s="6" t="s">
        <v>1849</v>
      </c>
      <c r="C8868" s="6" t="s">
        <v>128</v>
      </c>
      <c r="D8868" s="13" t="n">
        <v>45798</v>
      </c>
      <c r="E8868" s="14" t="n">
        <v>1383.47</v>
      </c>
      <c r="F8868" s="14" t="n">
        <v>11797.31</v>
      </c>
      <c r="G8868" s="6" t="s">
        <v>2613</v>
      </c>
    </row>
    <row r="8869" customFormat="false" ht="15" hidden="false" customHeight="true" outlineLevel="0" collapsed="false">
      <c r="A8869" s="6" t="s">
        <v>11481</v>
      </c>
      <c r="B8869" s="6" t="s">
        <v>1849</v>
      </c>
      <c r="C8869" s="6" t="s">
        <v>128</v>
      </c>
      <c r="D8869" s="13" t="n">
        <v>45805</v>
      </c>
      <c r="E8869" s="14" t="n">
        <v>1668.23</v>
      </c>
      <c r="F8869" s="14" t="n">
        <v>13465.54</v>
      </c>
      <c r="G8869" s="6" t="s">
        <v>2613</v>
      </c>
    </row>
    <row r="8870" customFormat="false" ht="15" hidden="false" customHeight="true" outlineLevel="0" collapsed="false">
      <c r="A8870" s="6" t="s">
        <v>11482</v>
      </c>
      <c r="B8870" s="6" t="s">
        <v>1849</v>
      </c>
      <c r="C8870" s="6" t="s">
        <v>128</v>
      </c>
      <c r="D8870" s="13" t="n">
        <v>45812</v>
      </c>
      <c r="E8870" s="14" t="n">
        <v>1701.58</v>
      </c>
      <c r="F8870" s="14" t="n">
        <v>15167.12</v>
      </c>
      <c r="G8870" s="6" t="s">
        <v>2613</v>
      </c>
    </row>
    <row r="8871" customFormat="false" ht="15" hidden="false" customHeight="true" outlineLevel="0" collapsed="false">
      <c r="A8871" s="6" t="s">
        <v>11483</v>
      </c>
      <c r="B8871" s="6" t="s">
        <v>1849</v>
      </c>
      <c r="C8871" s="6" t="s">
        <v>128</v>
      </c>
      <c r="D8871" s="13" t="n">
        <v>45819</v>
      </c>
      <c r="E8871" s="14" t="n">
        <v>1054.16</v>
      </c>
      <c r="F8871" s="14" t="n">
        <v>16221.28</v>
      </c>
      <c r="G8871" s="6" t="s">
        <v>2613</v>
      </c>
    </row>
    <row r="8872" customFormat="false" ht="15" hidden="false" customHeight="true" outlineLevel="0" collapsed="false">
      <c r="A8872" s="6" t="s">
        <v>11484</v>
      </c>
      <c r="B8872" s="6" t="s">
        <v>1849</v>
      </c>
      <c r="C8872" s="6" t="s">
        <v>128</v>
      </c>
      <c r="D8872" s="13" t="n">
        <v>45826</v>
      </c>
      <c r="E8872" s="14" t="n">
        <v>922.69</v>
      </c>
      <c r="F8872" s="14" t="n">
        <v>17143.97</v>
      </c>
      <c r="G8872" s="6" t="s">
        <v>2613</v>
      </c>
    </row>
    <row r="8873" customFormat="false" ht="15" hidden="false" customHeight="true" outlineLevel="0" collapsed="false">
      <c r="A8873" s="6" t="s">
        <v>11485</v>
      </c>
      <c r="B8873" s="6" t="s">
        <v>1849</v>
      </c>
      <c r="C8873" s="6" t="s">
        <v>128</v>
      </c>
      <c r="D8873" s="13" t="n">
        <v>45833</v>
      </c>
      <c r="E8873" s="14" t="n">
        <v>1617.45</v>
      </c>
      <c r="F8873" s="14" t="n">
        <v>18761.42</v>
      </c>
      <c r="G8873" s="6" t="s">
        <v>2613</v>
      </c>
    </row>
    <row r="8874" customFormat="false" ht="15" hidden="false" customHeight="true" outlineLevel="0" collapsed="false">
      <c r="A8874" s="6" t="s">
        <v>11486</v>
      </c>
      <c r="B8874" s="6" t="s">
        <v>1849</v>
      </c>
      <c r="C8874" s="6" t="s">
        <v>128</v>
      </c>
      <c r="D8874" s="13" t="n">
        <v>45840</v>
      </c>
      <c r="E8874" s="14" t="n">
        <v>1112.13</v>
      </c>
      <c r="F8874" s="14" t="n">
        <v>19873.55</v>
      </c>
      <c r="G8874" s="6" t="s">
        <v>2613</v>
      </c>
    </row>
    <row r="8875" customFormat="false" ht="15" hidden="false" customHeight="true" outlineLevel="0" collapsed="false">
      <c r="A8875" s="6" t="s">
        <v>11487</v>
      </c>
      <c r="B8875" s="6" t="s">
        <v>1849</v>
      </c>
      <c r="C8875" s="6" t="s">
        <v>128</v>
      </c>
      <c r="D8875" s="13" t="n">
        <v>45847</v>
      </c>
      <c r="E8875" s="14" t="n">
        <v>90.47</v>
      </c>
      <c r="F8875" s="14" t="n">
        <v>19964.02</v>
      </c>
      <c r="G8875" s="6" t="s">
        <v>2623</v>
      </c>
    </row>
    <row r="8876" customFormat="false" ht="15" hidden="false" customHeight="true" outlineLevel="0" collapsed="false">
      <c r="A8876" s="6" t="s">
        <v>11488</v>
      </c>
      <c r="B8876" s="6" t="s">
        <v>1851</v>
      </c>
      <c r="C8876" s="6" t="s">
        <v>120</v>
      </c>
      <c r="D8876" s="13" t="n">
        <v>45021</v>
      </c>
      <c r="E8876" s="14" t="n">
        <v>1805.65</v>
      </c>
      <c r="F8876" s="14" t="n">
        <v>1805.65</v>
      </c>
      <c r="G8876" s="6" t="s">
        <v>2623</v>
      </c>
    </row>
    <row r="8877" customFormat="false" ht="15" hidden="false" customHeight="true" outlineLevel="0" collapsed="false">
      <c r="A8877" s="6" t="s">
        <v>11489</v>
      </c>
      <c r="B8877" s="6" t="s">
        <v>1851</v>
      </c>
      <c r="C8877" s="6" t="s">
        <v>120</v>
      </c>
      <c r="D8877" s="13" t="n">
        <v>45028</v>
      </c>
      <c r="E8877" s="14" t="n">
        <v>1392.03</v>
      </c>
      <c r="F8877" s="14" t="n">
        <v>3197.68</v>
      </c>
      <c r="G8877" s="6" t="s">
        <v>2613</v>
      </c>
    </row>
    <row r="8878" customFormat="false" ht="15" hidden="false" customHeight="true" outlineLevel="0" collapsed="false">
      <c r="A8878" s="6" t="s">
        <v>11490</v>
      </c>
      <c r="B8878" s="6" t="s">
        <v>1851</v>
      </c>
      <c r="C8878" s="6" t="s">
        <v>120</v>
      </c>
      <c r="D8878" s="13" t="n">
        <v>45035</v>
      </c>
      <c r="E8878" s="14" t="n">
        <v>2414.78</v>
      </c>
      <c r="F8878" s="14" t="n">
        <v>5612.46</v>
      </c>
      <c r="G8878" s="6" t="s">
        <v>2613</v>
      </c>
    </row>
    <row r="8879" customFormat="false" ht="15" hidden="false" customHeight="true" outlineLevel="0" collapsed="false">
      <c r="A8879" s="6" t="s">
        <v>11491</v>
      </c>
      <c r="B8879" s="6" t="s">
        <v>1851</v>
      </c>
      <c r="C8879" s="6" t="s">
        <v>120</v>
      </c>
      <c r="D8879" s="13" t="n">
        <v>45042</v>
      </c>
      <c r="E8879" s="14" t="n">
        <v>1808.65</v>
      </c>
      <c r="F8879" s="14" t="n">
        <v>7421.11</v>
      </c>
      <c r="G8879" s="6" t="s">
        <v>2613</v>
      </c>
    </row>
    <row r="8880" customFormat="false" ht="15" hidden="false" customHeight="true" outlineLevel="0" collapsed="false">
      <c r="A8880" s="6" t="s">
        <v>11492</v>
      </c>
      <c r="B8880" s="6" t="s">
        <v>1851</v>
      </c>
      <c r="C8880" s="6" t="s">
        <v>120</v>
      </c>
      <c r="D8880" s="13" t="n">
        <v>45049</v>
      </c>
      <c r="E8880" s="14" t="n">
        <v>1066.6</v>
      </c>
      <c r="F8880" s="14" t="n">
        <v>8487.71</v>
      </c>
      <c r="G8880" s="6" t="s">
        <v>2613</v>
      </c>
    </row>
    <row r="8881" customFormat="false" ht="15" hidden="false" customHeight="true" outlineLevel="0" collapsed="false">
      <c r="A8881" s="6" t="s">
        <v>11493</v>
      </c>
      <c r="B8881" s="6" t="s">
        <v>1851</v>
      </c>
      <c r="C8881" s="6" t="s">
        <v>120</v>
      </c>
      <c r="D8881" s="13" t="n">
        <v>45056</v>
      </c>
      <c r="E8881" s="14" t="n">
        <v>1720.22</v>
      </c>
      <c r="F8881" s="14" t="n">
        <v>10207.93</v>
      </c>
      <c r="G8881" s="6" t="s">
        <v>2613</v>
      </c>
    </row>
    <row r="8882" customFormat="false" ht="15" hidden="false" customHeight="true" outlineLevel="0" collapsed="false">
      <c r="A8882" s="6" t="s">
        <v>11494</v>
      </c>
      <c r="B8882" s="6" t="s">
        <v>1851</v>
      </c>
      <c r="C8882" s="6" t="s">
        <v>120</v>
      </c>
      <c r="D8882" s="13" t="n">
        <v>45063</v>
      </c>
      <c r="E8882" s="14" t="n">
        <v>1665.1</v>
      </c>
      <c r="F8882" s="14" t="n">
        <v>11873.03</v>
      </c>
      <c r="G8882" s="6" t="s">
        <v>2613</v>
      </c>
    </row>
    <row r="8883" customFormat="false" ht="15" hidden="false" customHeight="true" outlineLevel="0" collapsed="false">
      <c r="A8883" s="6" t="s">
        <v>11495</v>
      </c>
      <c r="B8883" s="6" t="s">
        <v>1851</v>
      </c>
      <c r="C8883" s="6" t="s">
        <v>120</v>
      </c>
      <c r="D8883" s="13" t="n">
        <v>45070</v>
      </c>
      <c r="E8883" s="14" t="n">
        <v>2253.74</v>
      </c>
      <c r="F8883" s="14" t="n">
        <v>14126.77</v>
      </c>
      <c r="G8883" s="6" t="s">
        <v>2613</v>
      </c>
    </row>
    <row r="8884" customFormat="false" ht="15" hidden="false" customHeight="true" outlineLevel="0" collapsed="false">
      <c r="A8884" s="6" t="s">
        <v>11496</v>
      </c>
      <c r="B8884" s="6" t="s">
        <v>1851</v>
      </c>
      <c r="C8884" s="6" t="s">
        <v>120</v>
      </c>
      <c r="D8884" s="13" t="n">
        <v>45077</v>
      </c>
      <c r="E8884" s="14" t="n">
        <v>2326.37</v>
      </c>
      <c r="F8884" s="14" t="n">
        <v>16453.14</v>
      </c>
      <c r="G8884" s="6" t="s">
        <v>2613</v>
      </c>
    </row>
    <row r="8885" customFormat="false" ht="15" hidden="false" customHeight="true" outlineLevel="0" collapsed="false">
      <c r="A8885" s="6" t="s">
        <v>11497</v>
      </c>
      <c r="B8885" s="6" t="s">
        <v>1851</v>
      </c>
      <c r="C8885" s="6" t="s">
        <v>120</v>
      </c>
      <c r="D8885" s="13" t="n">
        <v>45084</v>
      </c>
      <c r="E8885" s="14" t="n">
        <v>2453.97</v>
      </c>
      <c r="F8885" s="14" t="n">
        <v>18907.11</v>
      </c>
      <c r="G8885" s="6" t="s">
        <v>2613</v>
      </c>
    </row>
    <row r="8886" customFormat="false" ht="15" hidden="false" customHeight="true" outlineLevel="0" collapsed="false">
      <c r="A8886" s="6" t="s">
        <v>11498</v>
      </c>
      <c r="B8886" s="6" t="s">
        <v>1851</v>
      </c>
      <c r="C8886" s="6" t="s">
        <v>120</v>
      </c>
      <c r="D8886" s="13" t="n">
        <v>45091</v>
      </c>
      <c r="E8886" s="14" t="n">
        <v>2227.74</v>
      </c>
      <c r="F8886" s="14" t="n">
        <v>21134.85</v>
      </c>
      <c r="G8886" s="6" t="s">
        <v>2613</v>
      </c>
    </row>
    <row r="8887" customFormat="false" ht="15" hidden="false" customHeight="true" outlineLevel="0" collapsed="false">
      <c r="A8887" s="6" t="s">
        <v>11499</v>
      </c>
      <c r="B8887" s="6" t="s">
        <v>1853</v>
      </c>
      <c r="C8887" s="6" t="s">
        <v>131</v>
      </c>
      <c r="D8887" s="13" t="n">
        <v>44749</v>
      </c>
      <c r="E8887" s="14" t="n">
        <v>3461.02</v>
      </c>
      <c r="F8887" s="14" t="n">
        <v>3461.02</v>
      </c>
      <c r="G8887" s="6" t="s">
        <v>2613</v>
      </c>
    </row>
    <row r="8888" customFormat="false" ht="15" hidden="false" customHeight="true" outlineLevel="0" collapsed="false">
      <c r="A8888" s="6" t="s">
        <v>11500</v>
      </c>
      <c r="B8888" s="6" t="s">
        <v>1853</v>
      </c>
      <c r="C8888" s="6" t="s">
        <v>131</v>
      </c>
      <c r="D8888" s="13" t="n">
        <v>44756</v>
      </c>
      <c r="E8888" s="14" t="n">
        <v>3746.86</v>
      </c>
      <c r="F8888" s="14" t="n">
        <v>7207.88</v>
      </c>
      <c r="G8888" s="6" t="s">
        <v>2623</v>
      </c>
    </row>
    <row r="8889" customFormat="false" ht="15" hidden="false" customHeight="true" outlineLevel="0" collapsed="false">
      <c r="A8889" s="6" t="s">
        <v>11501</v>
      </c>
      <c r="B8889" s="6" t="s">
        <v>1853</v>
      </c>
      <c r="C8889" s="6" t="s">
        <v>131</v>
      </c>
      <c r="D8889" s="13" t="n">
        <v>44763</v>
      </c>
      <c r="E8889" s="14" t="n">
        <v>3046.11</v>
      </c>
      <c r="F8889" s="14" t="n">
        <v>10253.99</v>
      </c>
      <c r="G8889" s="6" t="s">
        <v>2613</v>
      </c>
    </row>
    <row r="8890" customFormat="false" ht="15" hidden="false" customHeight="true" outlineLevel="0" collapsed="false">
      <c r="A8890" s="6" t="s">
        <v>11502</v>
      </c>
      <c r="B8890" s="6" t="s">
        <v>1853</v>
      </c>
      <c r="C8890" s="6" t="s">
        <v>131</v>
      </c>
      <c r="D8890" s="13" t="n">
        <v>44770</v>
      </c>
      <c r="E8890" s="14" t="n">
        <v>3352.69</v>
      </c>
      <c r="F8890" s="14" t="n">
        <v>13606.68</v>
      </c>
      <c r="G8890" s="6" t="s">
        <v>2613</v>
      </c>
    </row>
    <row r="8891" customFormat="false" ht="15" hidden="false" customHeight="true" outlineLevel="0" collapsed="false">
      <c r="A8891" s="6" t="s">
        <v>11503</v>
      </c>
      <c r="B8891" s="6" t="s">
        <v>1853</v>
      </c>
      <c r="C8891" s="6" t="s">
        <v>131</v>
      </c>
      <c r="D8891" s="13" t="n">
        <v>44777</v>
      </c>
      <c r="E8891" s="14" t="n">
        <v>4687.13</v>
      </c>
      <c r="F8891" s="14" t="n">
        <v>18293.81</v>
      </c>
      <c r="G8891" s="6" t="s">
        <v>2613</v>
      </c>
    </row>
    <row r="8892" customFormat="false" ht="15" hidden="false" customHeight="true" outlineLevel="0" collapsed="false">
      <c r="A8892" s="6" t="s">
        <v>11504</v>
      </c>
      <c r="B8892" s="6" t="s">
        <v>1853</v>
      </c>
      <c r="C8892" s="6" t="s">
        <v>131</v>
      </c>
      <c r="D8892" s="13" t="n">
        <v>44784</v>
      </c>
      <c r="E8892" s="14" t="n">
        <v>4669.62</v>
      </c>
      <c r="F8892" s="14" t="n">
        <v>22963.43</v>
      </c>
      <c r="G8892" s="6" t="s">
        <v>2613</v>
      </c>
    </row>
    <row r="8893" customFormat="false" ht="15" hidden="false" customHeight="true" outlineLevel="0" collapsed="false">
      <c r="A8893" s="6" t="s">
        <v>11505</v>
      </c>
      <c r="B8893" s="6" t="s">
        <v>1853</v>
      </c>
      <c r="C8893" s="6" t="s">
        <v>131</v>
      </c>
      <c r="D8893" s="13" t="n">
        <v>44791</v>
      </c>
      <c r="E8893" s="14" t="n">
        <v>5042.9</v>
      </c>
      <c r="F8893" s="14" t="n">
        <v>28006.33</v>
      </c>
      <c r="G8893" s="6" t="s">
        <v>2623</v>
      </c>
    </row>
    <row r="8894" customFormat="false" ht="15" hidden="false" customHeight="true" outlineLevel="0" collapsed="false">
      <c r="A8894" s="6" t="s">
        <v>11506</v>
      </c>
      <c r="B8894" s="6" t="s">
        <v>1853</v>
      </c>
      <c r="C8894" s="6" t="s">
        <v>131</v>
      </c>
      <c r="D8894" s="13" t="n">
        <v>44798</v>
      </c>
      <c r="E8894" s="14" t="n">
        <v>3809.59</v>
      </c>
      <c r="F8894" s="14" t="n">
        <v>31815.92</v>
      </c>
      <c r="G8894" s="6" t="s">
        <v>2613</v>
      </c>
    </row>
    <row r="8895" customFormat="false" ht="15" hidden="false" customHeight="true" outlineLevel="0" collapsed="false">
      <c r="A8895" s="6" t="s">
        <v>11507</v>
      </c>
      <c r="B8895" s="6" t="s">
        <v>1853</v>
      </c>
      <c r="C8895" s="6" t="s">
        <v>131</v>
      </c>
      <c r="D8895" s="13" t="n">
        <v>44805</v>
      </c>
      <c r="E8895" s="14" t="n">
        <v>3193.86</v>
      </c>
      <c r="F8895" s="14" t="n">
        <v>35009.78</v>
      </c>
      <c r="G8895" s="6" t="s">
        <v>2613</v>
      </c>
    </row>
    <row r="8896" customFormat="false" ht="15" hidden="false" customHeight="true" outlineLevel="0" collapsed="false">
      <c r="A8896" s="6" t="s">
        <v>11508</v>
      </c>
      <c r="B8896" s="6" t="s">
        <v>1853</v>
      </c>
      <c r="C8896" s="6" t="s">
        <v>131</v>
      </c>
      <c r="D8896" s="13" t="n">
        <v>44812</v>
      </c>
      <c r="E8896" s="14" t="n">
        <v>1066.2</v>
      </c>
      <c r="F8896" s="14" t="n">
        <v>36075.98</v>
      </c>
      <c r="G8896" s="6" t="s">
        <v>2613</v>
      </c>
    </row>
    <row r="8897" customFormat="false" ht="15" hidden="false" customHeight="true" outlineLevel="0" collapsed="false">
      <c r="A8897" s="6" t="s">
        <v>11509</v>
      </c>
      <c r="B8897" s="6" t="s">
        <v>1855</v>
      </c>
      <c r="C8897" s="6" t="s">
        <v>112</v>
      </c>
      <c r="D8897" s="13" t="n">
        <v>44584</v>
      </c>
      <c r="E8897" s="14" t="n">
        <v>2992.7</v>
      </c>
      <c r="F8897" s="14" t="n">
        <v>2992.7</v>
      </c>
      <c r="G8897" s="6" t="s">
        <v>2613</v>
      </c>
    </row>
    <row r="8898" customFormat="false" ht="15" hidden="false" customHeight="true" outlineLevel="0" collapsed="false">
      <c r="A8898" s="6" t="s">
        <v>11510</v>
      </c>
      <c r="B8898" s="6" t="s">
        <v>1855</v>
      </c>
      <c r="C8898" s="6" t="s">
        <v>112</v>
      </c>
      <c r="D8898" s="13" t="n">
        <v>44591</v>
      </c>
      <c r="E8898" s="14" t="n">
        <v>2031.48</v>
      </c>
      <c r="F8898" s="14" t="n">
        <v>5024.18</v>
      </c>
      <c r="G8898" s="6" t="s">
        <v>2613</v>
      </c>
    </row>
    <row r="8899" customFormat="false" ht="15" hidden="false" customHeight="true" outlineLevel="0" collapsed="false">
      <c r="A8899" s="6" t="s">
        <v>11511</v>
      </c>
      <c r="B8899" s="6" t="s">
        <v>1855</v>
      </c>
      <c r="C8899" s="6" t="s">
        <v>112</v>
      </c>
      <c r="D8899" s="13" t="n">
        <v>44598</v>
      </c>
      <c r="E8899" s="14" t="n">
        <v>3431.3</v>
      </c>
      <c r="F8899" s="14" t="n">
        <v>8455.48</v>
      </c>
      <c r="G8899" s="6" t="s">
        <v>2613</v>
      </c>
    </row>
    <row r="8900" customFormat="false" ht="15" hidden="false" customHeight="true" outlineLevel="0" collapsed="false">
      <c r="A8900" s="6" t="s">
        <v>11512</v>
      </c>
      <c r="B8900" s="6" t="s">
        <v>1855</v>
      </c>
      <c r="C8900" s="6" t="s">
        <v>112</v>
      </c>
      <c r="D8900" s="13" t="n">
        <v>44605</v>
      </c>
      <c r="E8900" s="14" t="n">
        <v>3310.18</v>
      </c>
      <c r="F8900" s="14" t="n">
        <v>11765.66</v>
      </c>
      <c r="G8900" s="6" t="s">
        <v>2613</v>
      </c>
    </row>
    <row r="8901" customFormat="false" ht="15" hidden="false" customHeight="true" outlineLevel="0" collapsed="false">
      <c r="A8901" s="6" t="s">
        <v>11513</v>
      </c>
      <c r="B8901" s="6" t="s">
        <v>1855</v>
      </c>
      <c r="C8901" s="6" t="s">
        <v>112</v>
      </c>
      <c r="D8901" s="13" t="n">
        <v>44612</v>
      </c>
      <c r="E8901" s="14" t="n">
        <v>1874.69</v>
      </c>
      <c r="F8901" s="14" t="n">
        <v>13640.35</v>
      </c>
      <c r="G8901" s="6" t="s">
        <v>2613</v>
      </c>
    </row>
    <row r="8902" customFormat="false" ht="15" hidden="false" customHeight="true" outlineLevel="0" collapsed="false">
      <c r="A8902" s="6" t="s">
        <v>11514</v>
      </c>
      <c r="B8902" s="6" t="s">
        <v>1855</v>
      </c>
      <c r="C8902" s="6" t="s">
        <v>112</v>
      </c>
      <c r="D8902" s="13" t="n">
        <v>44619</v>
      </c>
      <c r="E8902" s="14" t="n">
        <v>3085.16</v>
      </c>
      <c r="F8902" s="14" t="n">
        <v>16725.51</v>
      </c>
      <c r="G8902" s="6" t="s">
        <v>2613</v>
      </c>
    </row>
    <row r="8903" customFormat="false" ht="15" hidden="false" customHeight="true" outlineLevel="0" collapsed="false">
      <c r="A8903" s="6" t="s">
        <v>11515</v>
      </c>
      <c r="B8903" s="6" t="s">
        <v>1855</v>
      </c>
      <c r="C8903" s="6" t="s">
        <v>112</v>
      </c>
      <c r="D8903" s="13" t="n">
        <v>44626</v>
      </c>
      <c r="E8903" s="14" t="n">
        <v>2119.34</v>
      </c>
      <c r="F8903" s="14" t="n">
        <v>18844.85</v>
      </c>
      <c r="G8903" s="6" t="s">
        <v>2613</v>
      </c>
    </row>
    <row r="8904" customFormat="false" ht="15" hidden="false" customHeight="true" outlineLevel="0" collapsed="false">
      <c r="A8904" s="6" t="s">
        <v>11516</v>
      </c>
      <c r="B8904" s="6" t="s">
        <v>1855</v>
      </c>
      <c r="C8904" s="6" t="s">
        <v>112</v>
      </c>
      <c r="D8904" s="13" t="n">
        <v>44633</v>
      </c>
      <c r="E8904" s="14" t="n">
        <v>2467.49</v>
      </c>
      <c r="F8904" s="14" t="n">
        <v>21312.34</v>
      </c>
      <c r="G8904" s="6" t="s">
        <v>2613</v>
      </c>
    </row>
    <row r="8905" customFormat="false" ht="15" hidden="false" customHeight="true" outlineLevel="0" collapsed="false">
      <c r="A8905" s="6" t="s">
        <v>11517</v>
      </c>
      <c r="B8905" s="6" t="s">
        <v>1855</v>
      </c>
      <c r="C8905" s="6" t="s">
        <v>112</v>
      </c>
      <c r="D8905" s="13" t="n">
        <v>44640</v>
      </c>
      <c r="E8905" s="14" t="n">
        <v>6546.73</v>
      </c>
      <c r="F8905" s="14" t="n">
        <v>27859.07</v>
      </c>
      <c r="G8905" s="6" t="s">
        <v>2613</v>
      </c>
    </row>
    <row r="8906" customFormat="false" ht="15" hidden="false" customHeight="true" outlineLevel="0" collapsed="false">
      <c r="A8906" s="6" t="s">
        <v>11518</v>
      </c>
      <c r="B8906" s="6" t="s">
        <v>1857</v>
      </c>
      <c r="C8906" s="6" t="s">
        <v>131</v>
      </c>
      <c r="D8906" s="13" t="n">
        <v>46172</v>
      </c>
      <c r="E8906" s="14" t="n">
        <v>7356.15</v>
      </c>
      <c r="F8906" s="14" t="n">
        <v>7356.15</v>
      </c>
      <c r="G8906" s="6" t="s">
        <v>2613</v>
      </c>
    </row>
    <row r="8907" customFormat="false" ht="15" hidden="false" customHeight="true" outlineLevel="0" collapsed="false">
      <c r="A8907" s="6" t="s">
        <v>11519</v>
      </c>
      <c r="B8907" s="6" t="s">
        <v>1857</v>
      </c>
      <c r="C8907" s="6" t="s">
        <v>131</v>
      </c>
      <c r="D8907" s="13" t="n">
        <v>46179</v>
      </c>
      <c r="E8907" s="14" t="n">
        <v>7472.69</v>
      </c>
      <c r="F8907" s="14" t="n">
        <v>14828.84</v>
      </c>
      <c r="G8907" s="6" t="s">
        <v>2613</v>
      </c>
    </row>
    <row r="8908" customFormat="false" ht="15" hidden="false" customHeight="true" outlineLevel="0" collapsed="false">
      <c r="A8908" s="6" t="s">
        <v>11520</v>
      </c>
      <c r="B8908" s="6" t="s">
        <v>1857</v>
      </c>
      <c r="C8908" s="6" t="s">
        <v>131</v>
      </c>
      <c r="D8908" s="13" t="n">
        <v>46186</v>
      </c>
      <c r="E8908" s="14" t="n">
        <v>6383.12</v>
      </c>
      <c r="F8908" s="14" t="n">
        <v>21211.96</v>
      </c>
      <c r="G8908" s="6" t="s">
        <v>2613</v>
      </c>
    </row>
    <row r="8909" customFormat="false" ht="15" hidden="false" customHeight="true" outlineLevel="0" collapsed="false">
      <c r="A8909" s="6" t="s">
        <v>11521</v>
      </c>
      <c r="B8909" s="6" t="s">
        <v>1857</v>
      </c>
      <c r="C8909" s="6" t="s">
        <v>131</v>
      </c>
      <c r="D8909" s="13" t="n">
        <v>46193</v>
      </c>
      <c r="E8909" s="14" t="n">
        <v>7312.7</v>
      </c>
      <c r="F8909" s="14" t="n">
        <v>28524.66</v>
      </c>
      <c r="G8909" s="6" t="s">
        <v>2613</v>
      </c>
    </row>
    <row r="8910" customFormat="false" ht="15" hidden="false" customHeight="true" outlineLevel="0" collapsed="false">
      <c r="A8910" s="6" t="s">
        <v>11522</v>
      </c>
      <c r="B8910" s="6" t="s">
        <v>1857</v>
      </c>
      <c r="C8910" s="6" t="s">
        <v>131</v>
      </c>
      <c r="D8910" s="13" t="n">
        <v>46200</v>
      </c>
      <c r="E8910" s="14" t="n">
        <v>9916.68</v>
      </c>
      <c r="F8910" s="14" t="n">
        <v>38441.34</v>
      </c>
      <c r="G8910" s="6" t="s">
        <v>2613</v>
      </c>
    </row>
    <row r="8911" customFormat="false" ht="15" hidden="false" customHeight="true" outlineLevel="0" collapsed="false">
      <c r="A8911" s="6" t="s">
        <v>11523</v>
      </c>
      <c r="B8911" s="6" t="s">
        <v>1857</v>
      </c>
      <c r="C8911" s="6" t="s">
        <v>131</v>
      </c>
      <c r="D8911" s="13" t="n">
        <v>46207</v>
      </c>
      <c r="E8911" s="14" t="n">
        <v>7899.67</v>
      </c>
      <c r="F8911" s="14" t="n">
        <v>46341.01</v>
      </c>
      <c r="G8911" s="6" t="s">
        <v>2613</v>
      </c>
    </row>
    <row r="8912" customFormat="false" ht="15" hidden="false" customHeight="true" outlineLevel="0" collapsed="false">
      <c r="A8912" s="6" t="s">
        <v>11524</v>
      </c>
      <c r="B8912" s="6" t="s">
        <v>1857</v>
      </c>
      <c r="C8912" s="6" t="s">
        <v>131</v>
      </c>
      <c r="D8912" s="13" t="n">
        <v>46214</v>
      </c>
      <c r="E8912" s="14" t="n">
        <v>8114.94</v>
      </c>
      <c r="F8912" s="14" t="n">
        <v>54455.95</v>
      </c>
      <c r="G8912" s="6" t="s">
        <v>2613</v>
      </c>
    </row>
    <row r="8913" customFormat="false" ht="15" hidden="false" customHeight="true" outlineLevel="0" collapsed="false">
      <c r="A8913" s="6" t="s">
        <v>11525</v>
      </c>
      <c r="B8913" s="6" t="s">
        <v>1857</v>
      </c>
      <c r="C8913" s="6" t="s">
        <v>131</v>
      </c>
      <c r="D8913" s="13" t="n">
        <v>46221</v>
      </c>
      <c r="E8913" s="14" t="n">
        <v>8780.76</v>
      </c>
      <c r="F8913" s="14" t="n">
        <v>63236.71</v>
      </c>
      <c r="G8913" s="6" t="s">
        <v>2613</v>
      </c>
    </row>
    <row r="8914" customFormat="false" ht="15" hidden="false" customHeight="true" outlineLevel="0" collapsed="false">
      <c r="A8914" s="6" t="s">
        <v>11526</v>
      </c>
      <c r="B8914" s="6" t="s">
        <v>1857</v>
      </c>
      <c r="C8914" s="6" t="s">
        <v>131</v>
      </c>
      <c r="D8914" s="13" t="n">
        <v>46228</v>
      </c>
      <c r="E8914" s="14" t="n">
        <v>9950.95</v>
      </c>
      <c r="F8914" s="14" t="n">
        <v>73187.66</v>
      </c>
      <c r="G8914" s="6" t="s">
        <v>2613</v>
      </c>
    </row>
    <row r="8915" customFormat="false" ht="15" hidden="false" customHeight="true" outlineLevel="0" collapsed="false">
      <c r="A8915" s="6" t="s">
        <v>11527</v>
      </c>
      <c r="B8915" s="6" t="s">
        <v>1857</v>
      </c>
      <c r="C8915" s="6" t="s">
        <v>131</v>
      </c>
      <c r="D8915" s="13" t="n">
        <v>46235</v>
      </c>
      <c r="E8915" s="14" t="n">
        <v>6401.17</v>
      </c>
      <c r="F8915" s="14" t="n">
        <v>79588.83</v>
      </c>
      <c r="G8915" s="6" t="s">
        <v>2623</v>
      </c>
    </row>
    <row r="8916" customFormat="false" ht="15" hidden="false" customHeight="true" outlineLevel="0" collapsed="false">
      <c r="A8916" s="6" t="s">
        <v>11528</v>
      </c>
      <c r="B8916" s="6" t="s">
        <v>1859</v>
      </c>
      <c r="C8916" s="6" t="s">
        <v>128</v>
      </c>
      <c r="D8916" s="13" t="n">
        <v>45086</v>
      </c>
      <c r="E8916" s="14" t="n">
        <v>2310.27</v>
      </c>
      <c r="F8916" s="14" t="n">
        <v>2310.27</v>
      </c>
      <c r="G8916" s="6" t="s">
        <v>2613</v>
      </c>
    </row>
    <row r="8917" customFormat="false" ht="15" hidden="false" customHeight="true" outlineLevel="0" collapsed="false">
      <c r="A8917" s="6" t="s">
        <v>11529</v>
      </c>
      <c r="B8917" s="6" t="s">
        <v>1859</v>
      </c>
      <c r="C8917" s="6" t="s">
        <v>128</v>
      </c>
      <c r="D8917" s="13" t="n">
        <v>45093</v>
      </c>
      <c r="E8917" s="14" t="n">
        <v>3227.53</v>
      </c>
      <c r="F8917" s="14" t="n">
        <v>5537.8</v>
      </c>
      <c r="G8917" s="6" t="s">
        <v>2613</v>
      </c>
    </row>
    <row r="8918" customFormat="false" ht="15" hidden="false" customHeight="true" outlineLevel="0" collapsed="false">
      <c r="A8918" s="6" t="s">
        <v>11530</v>
      </c>
      <c r="B8918" s="6" t="s">
        <v>1859</v>
      </c>
      <c r="C8918" s="6" t="s">
        <v>128</v>
      </c>
      <c r="D8918" s="13" t="n">
        <v>45100</v>
      </c>
      <c r="E8918" s="14" t="n">
        <v>4238.41</v>
      </c>
      <c r="F8918" s="14" t="n">
        <v>9776.21</v>
      </c>
      <c r="G8918" s="6" t="s">
        <v>2613</v>
      </c>
    </row>
    <row r="8919" customFormat="false" ht="15" hidden="false" customHeight="true" outlineLevel="0" collapsed="false">
      <c r="A8919" s="6" t="s">
        <v>11531</v>
      </c>
      <c r="B8919" s="6" t="s">
        <v>1859</v>
      </c>
      <c r="C8919" s="6" t="s">
        <v>128</v>
      </c>
      <c r="D8919" s="13" t="n">
        <v>45107</v>
      </c>
      <c r="E8919" s="14" t="n">
        <v>2377.72</v>
      </c>
      <c r="F8919" s="14" t="n">
        <v>12153.93</v>
      </c>
      <c r="G8919" s="6" t="s">
        <v>2613</v>
      </c>
    </row>
    <row r="8920" customFormat="false" ht="15" hidden="false" customHeight="true" outlineLevel="0" collapsed="false">
      <c r="A8920" s="6" t="s">
        <v>11532</v>
      </c>
      <c r="B8920" s="6" t="s">
        <v>1859</v>
      </c>
      <c r="C8920" s="6" t="s">
        <v>128</v>
      </c>
      <c r="D8920" s="13" t="n">
        <v>45114</v>
      </c>
      <c r="E8920" s="14" t="n">
        <v>4501.34</v>
      </c>
      <c r="F8920" s="14" t="n">
        <v>16655.27</v>
      </c>
      <c r="G8920" s="6" t="s">
        <v>2613</v>
      </c>
    </row>
    <row r="8921" customFormat="false" ht="15" hidden="false" customHeight="true" outlineLevel="0" collapsed="false">
      <c r="A8921" s="6" t="s">
        <v>11533</v>
      </c>
      <c r="B8921" s="6" t="s">
        <v>1859</v>
      </c>
      <c r="C8921" s="6" t="s">
        <v>128</v>
      </c>
      <c r="D8921" s="13" t="n">
        <v>45121</v>
      </c>
      <c r="E8921" s="14" t="n">
        <v>2637.72</v>
      </c>
      <c r="F8921" s="14" t="n">
        <v>19292.99</v>
      </c>
      <c r="G8921" s="6" t="s">
        <v>2613</v>
      </c>
    </row>
    <row r="8922" customFormat="false" ht="15" hidden="false" customHeight="true" outlineLevel="0" collapsed="false">
      <c r="A8922" s="6" t="s">
        <v>11534</v>
      </c>
      <c r="B8922" s="6" t="s">
        <v>1859</v>
      </c>
      <c r="C8922" s="6" t="s">
        <v>128</v>
      </c>
      <c r="D8922" s="13" t="n">
        <v>45128</v>
      </c>
      <c r="E8922" s="14" t="n">
        <v>4243.79</v>
      </c>
      <c r="F8922" s="14" t="n">
        <v>23536.78</v>
      </c>
      <c r="G8922" s="6" t="s">
        <v>2613</v>
      </c>
    </row>
    <row r="8923" customFormat="false" ht="15" hidden="false" customHeight="true" outlineLevel="0" collapsed="false">
      <c r="A8923" s="6" t="s">
        <v>11535</v>
      </c>
      <c r="B8923" s="6" t="s">
        <v>1859</v>
      </c>
      <c r="C8923" s="6" t="s">
        <v>128</v>
      </c>
      <c r="D8923" s="13" t="n">
        <v>45135</v>
      </c>
      <c r="E8923" s="14" t="n">
        <v>2307.06</v>
      </c>
      <c r="F8923" s="14" t="n">
        <v>25843.84</v>
      </c>
      <c r="G8923" s="6" t="s">
        <v>2613</v>
      </c>
    </row>
    <row r="8924" customFormat="false" ht="15" hidden="false" customHeight="true" outlineLevel="0" collapsed="false">
      <c r="A8924" s="6" t="s">
        <v>11536</v>
      </c>
      <c r="B8924" s="6" t="s">
        <v>1859</v>
      </c>
      <c r="C8924" s="6" t="s">
        <v>128</v>
      </c>
      <c r="D8924" s="13" t="n">
        <v>45142</v>
      </c>
      <c r="E8924" s="14" t="n">
        <v>4529.35</v>
      </c>
      <c r="F8924" s="14" t="n">
        <v>30373.19</v>
      </c>
      <c r="G8924" s="6" t="s">
        <v>2613</v>
      </c>
    </row>
    <row r="8925" customFormat="false" ht="15" hidden="false" customHeight="true" outlineLevel="0" collapsed="false">
      <c r="A8925" s="6" t="s">
        <v>11537</v>
      </c>
      <c r="B8925" s="6" t="s">
        <v>1859</v>
      </c>
      <c r="C8925" s="6" t="s">
        <v>128</v>
      </c>
      <c r="D8925" s="13" t="n">
        <v>45149</v>
      </c>
      <c r="E8925" s="14" t="n">
        <v>2683.98</v>
      </c>
      <c r="F8925" s="14" t="n">
        <v>33057.17</v>
      </c>
      <c r="G8925" s="6" t="s">
        <v>2613</v>
      </c>
    </row>
    <row r="8926" customFormat="false" ht="15" hidden="false" customHeight="true" outlineLevel="0" collapsed="false">
      <c r="A8926" s="6" t="s">
        <v>11538</v>
      </c>
      <c r="B8926" s="6" t="s">
        <v>1859</v>
      </c>
      <c r="C8926" s="6" t="s">
        <v>128</v>
      </c>
      <c r="D8926" s="13" t="n">
        <v>45156</v>
      </c>
      <c r="E8926" s="14" t="n">
        <v>3866.52</v>
      </c>
      <c r="F8926" s="14" t="n">
        <v>36923.69</v>
      </c>
      <c r="G8926" s="6" t="s">
        <v>2613</v>
      </c>
    </row>
    <row r="8927" customFormat="false" ht="15" hidden="false" customHeight="true" outlineLevel="0" collapsed="false">
      <c r="A8927" s="6" t="s">
        <v>11539</v>
      </c>
      <c r="B8927" s="6" t="s">
        <v>1861</v>
      </c>
      <c r="C8927" s="6" t="s">
        <v>116</v>
      </c>
      <c r="D8927" s="13" t="n">
        <v>45314</v>
      </c>
      <c r="E8927" s="14" t="n">
        <v>5710.28</v>
      </c>
      <c r="F8927" s="14" t="n">
        <v>5710.28</v>
      </c>
      <c r="G8927" s="6" t="s">
        <v>2613</v>
      </c>
    </row>
    <row r="8928" customFormat="false" ht="15" hidden="false" customHeight="true" outlineLevel="0" collapsed="false">
      <c r="A8928" s="6" t="s">
        <v>11540</v>
      </c>
      <c r="B8928" s="6" t="s">
        <v>1861</v>
      </c>
      <c r="C8928" s="6" t="s">
        <v>116</v>
      </c>
      <c r="D8928" s="13" t="n">
        <v>45321</v>
      </c>
      <c r="E8928" s="14" t="n">
        <v>6457.56</v>
      </c>
      <c r="F8928" s="14" t="n">
        <v>12167.84</v>
      </c>
      <c r="G8928" s="6" t="s">
        <v>2613</v>
      </c>
    </row>
    <row r="8929" customFormat="false" ht="15" hidden="false" customHeight="true" outlineLevel="0" collapsed="false">
      <c r="A8929" s="6" t="s">
        <v>11541</v>
      </c>
      <c r="B8929" s="6" t="s">
        <v>1861</v>
      </c>
      <c r="C8929" s="6" t="s">
        <v>116</v>
      </c>
      <c r="D8929" s="13" t="n">
        <v>45328</v>
      </c>
      <c r="E8929" s="14" t="n">
        <v>6430.59</v>
      </c>
      <c r="F8929" s="14" t="n">
        <v>18598.43</v>
      </c>
      <c r="G8929" s="6" t="s">
        <v>2613</v>
      </c>
    </row>
    <row r="8930" customFormat="false" ht="15" hidden="false" customHeight="true" outlineLevel="0" collapsed="false">
      <c r="A8930" s="6" t="s">
        <v>11542</v>
      </c>
      <c r="B8930" s="6" t="s">
        <v>1861</v>
      </c>
      <c r="C8930" s="6" t="s">
        <v>116</v>
      </c>
      <c r="D8930" s="13" t="n">
        <v>45335</v>
      </c>
      <c r="E8930" s="14" t="n">
        <v>3733.23</v>
      </c>
      <c r="F8930" s="14" t="n">
        <v>22331.66</v>
      </c>
      <c r="G8930" s="6" t="s">
        <v>2613</v>
      </c>
    </row>
    <row r="8931" customFormat="false" ht="15" hidden="false" customHeight="true" outlineLevel="0" collapsed="false">
      <c r="A8931" s="6" t="s">
        <v>11543</v>
      </c>
      <c r="B8931" s="6" t="s">
        <v>1861</v>
      </c>
      <c r="C8931" s="6" t="s">
        <v>116</v>
      </c>
      <c r="D8931" s="13" t="n">
        <v>45342</v>
      </c>
      <c r="E8931" s="14" t="n">
        <v>6052.09</v>
      </c>
      <c r="F8931" s="14" t="n">
        <v>28383.75</v>
      </c>
      <c r="G8931" s="6" t="s">
        <v>2613</v>
      </c>
    </row>
    <row r="8932" customFormat="false" ht="15" hidden="false" customHeight="true" outlineLevel="0" collapsed="false">
      <c r="A8932" s="6" t="s">
        <v>11544</v>
      </c>
      <c r="B8932" s="6" t="s">
        <v>1863</v>
      </c>
      <c r="C8932" s="6" t="s">
        <v>116</v>
      </c>
      <c r="D8932" s="13" t="n">
        <v>45363</v>
      </c>
      <c r="E8932" s="14" t="n">
        <v>3863.22</v>
      </c>
      <c r="F8932" s="14" t="n">
        <v>3863.22</v>
      </c>
      <c r="G8932" s="6" t="s">
        <v>2613</v>
      </c>
    </row>
    <row r="8933" customFormat="false" ht="15" hidden="false" customHeight="true" outlineLevel="0" collapsed="false">
      <c r="A8933" s="6" t="s">
        <v>11545</v>
      </c>
      <c r="B8933" s="6" t="s">
        <v>1863</v>
      </c>
      <c r="C8933" s="6" t="s">
        <v>116</v>
      </c>
      <c r="D8933" s="13" t="n">
        <v>45370</v>
      </c>
      <c r="E8933" s="14" t="n">
        <v>3921.07</v>
      </c>
      <c r="F8933" s="14" t="n">
        <v>7784.29</v>
      </c>
      <c r="G8933" s="6" t="s">
        <v>2613</v>
      </c>
    </row>
    <row r="8934" customFormat="false" ht="15" hidden="false" customHeight="true" outlineLevel="0" collapsed="false">
      <c r="A8934" s="6" t="s">
        <v>11546</v>
      </c>
      <c r="B8934" s="6" t="s">
        <v>1863</v>
      </c>
      <c r="C8934" s="6" t="s">
        <v>116</v>
      </c>
      <c r="D8934" s="13" t="n">
        <v>45377</v>
      </c>
      <c r="E8934" s="14" t="n">
        <v>2096.53</v>
      </c>
      <c r="F8934" s="14" t="n">
        <v>9880.82</v>
      </c>
      <c r="G8934" s="6" t="s">
        <v>2613</v>
      </c>
    </row>
    <row r="8935" customFormat="false" ht="15" hidden="false" customHeight="true" outlineLevel="0" collapsed="false">
      <c r="A8935" s="6" t="s">
        <v>11547</v>
      </c>
      <c r="B8935" s="6" t="s">
        <v>1863</v>
      </c>
      <c r="C8935" s="6" t="s">
        <v>116</v>
      </c>
      <c r="D8935" s="13" t="n">
        <v>45384</v>
      </c>
      <c r="E8935" s="14" t="n">
        <v>2696.28</v>
      </c>
      <c r="F8935" s="14" t="n">
        <v>12577.1</v>
      </c>
      <c r="G8935" s="6" t="s">
        <v>2613</v>
      </c>
    </row>
    <row r="8936" customFormat="false" ht="15" hidden="false" customHeight="true" outlineLevel="0" collapsed="false">
      <c r="A8936" s="6" t="s">
        <v>11548</v>
      </c>
      <c r="B8936" s="6" t="s">
        <v>1863</v>
      </c>
      <c r="C8936" s="6" t="s">
        <v>116</v>
      </c>
      <c r="D8936" s="13" t="n">
        <v>45391</v>
      </c>
      <c r="E8936" s="14" t="n">
        <v>2503.23</v>
      </c>
      <c r="F8936" s="14" t="n">
        <v>15080.33</v>
      </c>
      <c r="G8936" s="6" t="s">
        <v>2613</v>
      </c>
    </row>
    <row r="8937" customFormat="false" ht="15" hidden="false" customHeight="true" outlineLevel="0" collapsed="false">
      <c r="A8937" s="6" t="s">
        <v>11549</v>
      </c>
      <c r="B8937" s="6" t="s">
        <v>1863</v>
      </c>
      <c r="C8937" s="6" t="s">
        <v>116</v>
      </c>
      <c r="D8937" s="13" t="n">
        <v>45398</v>
      </c>
      <c r="E8937" s="14" t="n">
        <v>4071.53</v>
      </c>
      <c r="F8937" s="14" t="n">
        <v>19151.86</v>
      </c>
      <c r="G8937" s="6" t="s">
        <v>2613</v>
      </c>
    </row>
    <row r="8938" customFormat="false" ht="15" hidden="false" customHeight="true" outlineLevel="0" collapsed="false">
      <c r="A8938" s="6" t="s">
        <v>11550</v>
      </c>
      <c r="B8938" s="6" t="s">
        <v>1863</v>
      </c>
      <c r="C8938" s="6" t="s">
        <v>116</v>
      </c>
      <c r="D8938" s="13" t="n">
        <v>45405</v>
      </c>
      <c r="E8938" s="14" t="n">
        <v>2127.28</v>
      </c>
      <c r="F8938" s="14" t="n">
        <v>21279.14</v>
      </c>
      <c r="G8938" s="6" t="s">
        <v>2613</v>
      </c>
    </row>
    <row r="8939" customFormat="false" ht="15" hidden="false" customHeight="true" outlineLevel="0" collapsed="false">
      <c r="A8939" s="6" t="s">
        <v>11551</v>
      </c>
      <c r="B8939" s="6" t="s">
        <v>1863</v>
      </c>
      <c r="C8939" s="6" t="s">
        <v>116</v>
      </c>
      <c r="D8939" s="13" t="n">
        <v>45412</v>
      </c>
      <c r="E8939" s="14" t="n">
        <v>3228.03</v>
      </c>
      <c r="F8939" s="14" t="n">
        <v>24507.17</v>
      </c>
      <c r="G8939" s="6" t="s">
        <v>2613</v>
      </c>
    </row>
    <row r="8940" customFormat="false" ht="15" hidden="false" customHeight="true" outlineLevel="0" collapsed="false">
      <c r="A8940" s="6" t="s">
        <v>11552</v>
      </c>
      <c r="B8940" s="6" t="s">
        <v>1863</v>
      </c>
      <c r="C8940" s="6" t="s">
        <v>116</v>
      </c>
      <c r="D8940" s="13" t="n">
        <v>45419</v>
      </c>
      <c r="E8940" s="14" t="n">
        <v>3036.56</v>
      </c>
      <c r="F8940" s="14" t="n">
        <v>27543.73</v>
      </c>
      <c r="G8940" s="6" t="s">
        <v>2613</v>
      </c>
    </row>
    <row r="8941" customFormat="false" ht="15" hidden="false" customHeight="true" outlineLevel="0" collapsed="false">
      <c r="A8941" s="6" t="s">
        <v>11553</v>
      </c>
      <c r="B8941" s="6" t="s">
        <v>1863</v>
      </c>
      <c r="C8941" s="6" t="s">
        <v>116</v>
      </c>
      <c r="D8941" s="13" t="n">
        <v>45426</v>
      </c>
      <c r="E8941" s="14" t="n">
        <v>7277.09</v>
      </c>
      <c r="F8941" s="14" t="n">
        <v>34820.82</v>
      </c>
      <c r="G8941" s="6" t="s">
        <v>2613</v>
      </c>
    </row>
    <row r="8942" customFormat="false" ht="15" hidden="false" customHeight="true" outlineLevel="0" collapsed="false">
      <c r="A8942" s="6" t="s">
        <v>11554</v>
      </c>
      <c r="B8942" s="6" t="s">
        <v>1865</v>
      </c>
      <c r="C8942" s="6" t="s">
        <v>112</v>
      </c>
      <c r="D8942" s="13" t="n">
        <v>46024</v>
      </c>
      <c r="E8942" s="14" t="n">
        <v>1098.08</v>
      </c>
      <c r="F8942" s="14" t="n">
        <v>1098.08</v>
      </c>
      <c r="G8942" s="6" t="s">
        <v>2613</v>
      </c>
    </row>
    <row r="8943" customFormat="false" ht="15" hidden="false" customHeight="true" outlineLevel="0" collapsed="false">
      <c r="A8943" s="6" t="s">
        <v>11555</v>
      </c>
      <c r="B8943" s="6" t="s">
        <v>1865</v>
      </c>
      <c r="C8943" s="6" t="s">
        <v>112</v>
      </c>
      <c r="D8943" s="13" t="n">
        <v>46031</v>
      </c>
      <c r="E8943" s="14" t="n">
        <v>1075.02</v>
      </c>
      <c r="F8943" s="14" t="n">
        <v>2173.1</v>
      </c>
      <c r="G8943" s="6" t="s">
        <v>2623</v>
      </c>
    </row>
    <row r="8944" customFormat="false" ht="15" hidden="false" customHeight="true" outlineLevel="0" collapsed="false">
      <c r="A8944" s="6" t="s">
        <v>11556</v>
      </c>
      <c r="B8944" s="6" t="s">
        <v>1865</v>
      </c>
      <c r="C8944" s="6" t="s">
        <v>112</v>
      </c>
      <c r="D8944" s="13" t="n">
        <v>46038</v>
      </c>
      <c r="E8944" s="14" t="n">
        <v>711.48</v>
      </c>
      <c r="F8944" s="14" t="n">
        <v>2884.58</v>
      </c>
      <c r="G8944" s="6" t="s">
        <v>2613</v>
      </c>
    </row>
    <row r="8945" customFormat="false" ht="15" hidden="false" customHeight="true" outlineLevel="0" collapsed="false">
      <c r="A8945" s="6" t="s">
        <v>11557</v>
      </c>
      <c r="B8945" s="6" t="s">
        <v>1865</v>
      </c>
      <c r="C8945" s="6" t="s">
        <v>112</v>
      </c>
      <c r="D8945" s="13" t="n">
        <v>46045</v>
      </c>
      <c r="E8945" s="14" t="n">
        <v>813.99</v>
      </c>
      <c r="F8945" s="14" t="n">
        <v>3698.57</v>
      </c>
      <c r="G8945" s="6" t="s">
        <v>2613</v>
      </c>
    </row>
    <row r="8946" customFormat="false" ht="15" hidden="false" customHeight="true" outlineLevel="0" collapsed="false">
      <c r="A8946" s="6" t="s">
        <v>11558</v>
      </c>
      <c r="B8946" s="6" t="s">
        <v>1865</v>
      </c>
      <c r="C8946" s="6" t="s">
        <v>112</v>
      </c>
      <c r="D8946" s="13" t="n">
        <v>46052</v>
      </c>
      <c r="E8946" s="14" t="n">
        <v>1299.7</v>
      </c>
      <c r="F8946" s="14" t="n">
        <v>4998.27</v>
      </c>
      <c r="G8946" s="6" t="s">
        <v>2613</v>
      </c>
    </row>
    <row r="8947" customFormat="false" ht="15" hidden="false" customHeight="true" outlineLevel="0" collapsed="false">
      <c r="A8947" s="6" t="s">
        <v>11559</v>
      </c>
      <c r="B8947" s="6" t="s">
        <v>1867</v>
      </c>
      <c r="C8947" s="6" t="s">
        <v>128</v>
      </c>
      <c r="D8947" s="13" t="n">
        <v>44644</v>
      </c>
      <c r="E8947" s="14" t="n">
        <v>3860.44</v>
      </c>
      <c r="F8947" s="14" t="n">
        <v>3860.44</v>
      </c>
      <c r="G8947" s="6" t="s">
        <v>2613</v>
      </c>
    </row>
    <row r="8948" customFormat="false" ht="15" hidden="false" customHeight="true" outlineLevel="0" collapsed="false">
      <c r="A8948" s="6" t="s">
        <v>11560</v>
      </c>
      <c r="B8948" s="6" t="s">
        <v>1867</v>
      </c>
      <c r="C8948" s="6" t="s">
        <v>128</v>
      </c>
      <c r="D8948" s="13" t="n">
        <v>44651</v>
      </c>
      <c r="E8948" s="14" t="n">
        <v>6647.03</v>
      </c>
      <c r="F8948" s="14" t="n">
        <v>10507.47</v>
      </c>
      <c r="G8948" s="6" t="s">
        <v>2613</v>
      </c>
    </row>
    <row r="8949" customFormat="false" ht="15" hidden="false" customHeight="true" outlineLevel="0" collapsed="false">
      <c r="A8949" s="6" t="s">
        <v>11561</v>
      </c>
      <c r="B8949" s="6" t="s">
        <v>1867</v>
      </c>
      <c r="C8949" s="6" t="s">
        <v>128</v>
      </c>
      <c r="D8949" s="13" t="n">
        <v>44658</v>
      </c>
      <c r="E8949" s="14" t="n">
        <v>6488.88</v>
      </c>
      <c r="F8949" s="14" t="n">
        <v>16996.35</v>
      </c>
      <c r="G8949" s="6" t="s">
        <v>2613</v>
      </c>
    </row>
    <row r="8950" customFormat="false" ht="15" hidden="false" customHeight="true" outlineLevel="0" collapsed="false">
      <c r="A8950" s="6" t="s">
        <v>11562</v>
      </c>
      <c r="B8950" s="6" t="s">
        <v>1867</v>
      </c>
      <c r="C8950" s="6" t="s">
        <v>128</v>
      </c>
      <c r="D8950" s="13" t="n">
        <v>44665</v>
      </c>
      <c r="E8950" s="14" t="n">
        <v>3947.63</v>
      </c>
      <c r="F8950" s="14" t="n">
        <v>20943.98</v>
      </c>
      <c r="G8950" s="6" t="s">
        <v>2613</v>
      </c>
    </row>
    <row r="8951" customFormat="false" ht="15" hidden="false" customHeight="true" outlineLevel="0" collapsed="false">
      <c r="A8951" s="6" t="s">
        <v>11563</v>
      </c>
      <c r="B8951" s="6" t="s">
        <v>1867</v>
      </c>
      <c r="C8951" s="6" t="s">
        <v>128</v>
      </c>
      <c r="D8951" s="13" t="n">
        <v>44672</v>
      </c>
      <c r="E8951" s="14" t="n">
        <v>4400.69</v>
      </c>
      <c r="F8951" s="14" t="n">
        <v>25344.67</v>
      </c>
      <c r="G8951" s="6" t="s">
        <v>2613</v>
      </c>
    </row>
    <row r="8952" customFormat="false" ht="15" hidden="false" customHeight="true" outlineLevel="0" collapsed="false">
      <c r="A8952" s="6" t="s">
        <v>11564</v>
      </c>
      <c r="B8952" s="6" t="s">
        <v>1867</v>
      </c>
      <c r="C8952" s="6" t="s">
        <v>128</v>
      </c>
      <c r="D8952" s="13" t="n">
        <v>44679</v>
      </c>
      <c r="E8952" s="14" t="n">
        <v>3306.5</v>
      </c>
      <c r="F8952" s="14" t="n">
        <v>28651.17</v>
      </c>
      <c r="G8952" s="6" t="s">
        <v>2613</v>
      </c>
    </row>
    <row r="8953" customFormat="false" ht="15" hidden="false" customHeight="true" outlineLevel="0" collapsed="false">
      <c r="A8953" s="6" t="s">
        <v>11565</v>
      </c>
      <c r="B8953" s="6" t="s">
        <v>1867</v>
      </c>
      <c r="C8953" s="6" t="s">
        <v>128</v>
      </c>
      <c r="D8953" s="13" t="n">
        <v>44686</v>
      </c>
      <c r="E8953" s="14" t="n">
        <v>6465.07</v>
      </c>
      <c r="F8953" s="14" t="n">
        <v>35116.24</v>
      </c>
      <c r="G8953" s="6" t="s">
        <v>2613</v>
      </c>
    </row>
    <row r="8954" customFormat="false" ht="15" hidden="false" customHeight="true" outlineLevel="0" collapsed="false">
      <c r="A8954" s="6" t="s">
        <v>11566</v>
      </c>
      <c r="B8954" s="6" t="s">
        <v>1867</v>
      </c>
      <c r="C8954" s="6" t="s">
        <v>128</v>
      </c>
      <c r="D8954" s="13" t="n">
        <v>44693</v>
      </c>
      <c r="E8954" s="14" t="n">
        <v>6578.33</v>
      </c>
      <c r="F8954" s="14" t="n">
        <v>41694.57</v>
      </c>
      <c r="G8954" s="6" t="s">
        <v>2613</v>
      </c>
    </row>
    <row r="8955" customFormat="false" ht="15" hidden="false" customHeight="true" outlineLevel="0" collapsed="false">
      <c r="A8955" s="6" t="s">
        <v>11567</v>
      </c>
      <c r="B8955" s="6" t="s">
        <v>1867</v>
      </c>
      <c r="C8955" s="6" t="s">
        <v>128</v>
      </c>
      <c r="D8955" s="13" t="n">
        <v>44700</v>
      </c>
      <c r="E8955" s="14" t="n">
        <v>5500.73</v>
      </c>
      <c r="F8955" s="14" t="n">
        <v>47195.3</v>
      </c>
      <c r="G8955" s="6" t="s">
        <v>2613</v>
      </c>
    </row>
    <row r="8956" customFormat="false" ht="15" hidden="false" customHeight="true" outlineLevel="0" collapsed="false">
      <c r="A8956" s="6" t="s">
        <v>11568</v>
      </c>
      <c r="B8956" s="6" t="s">
        <v>1867</v>
      </c>
      <c r="C8956" s="6" t="s">
        <v>128</v>
      </c>
      <c r="D8956" s="13" t="n">
        <v>44707</v>
      </c>
      <c r="E8956" s="14" t="n">
        <v>989.04</v>
      </c>
      <c r="F8956" s="14" t="n">
        <v>48184.34</v>
      </c>
      <c r="G8956" s="6" t="s">
        <v>2623</v>
      </c>
    </row>
    <row r="8957" customFormat="false" ht="15" hidden="false" customHeight="true" outlineLevel="0" collapsed="false">
      <c r="A8957" s="6" t="s">
        <v>11569</v>
      </c>
      <c r="B8957" s="6" t="s">
        <v>1869</v>
      </c>
      <c r="C8957" s="6" t="s">
        <v>124</v>
      </c>
      <c r="D8957" s="13" t="n">
        <v>46023</v>
      </c>
      <c r="E8957" s="14" t="n">
        <v>2512.04</v>
      </c>
      <c r="F8957" s="14" t="n">
        <v>2512.04</v>
      </c>
      <c r="G8957" s="6" t="s">
        <v>2613</v>
      </c>
    </row>
    <row r="8958" customFormat="false" ht="15" hidden="false" customHeight="true" outlineLevel="0" collapsed="false">
      <c r="A8958" s="6" t="s">
        <v>11570</v>
      </c>
      <c r="B8958" s="6" t="s">
        <v>1869</v>
      </c>
      <c r="C8958" s="6" t="s">
        <v>124</v>
      </c>
      <c r="D8958" s="13" t="n">
        <v>46030</v>
      </c>
      <c r="E8958" s="14" t="n">
        <v>3470.08</v>
      </c>
      <c r="F8958" s="14" t="n">
        <v>5982.12</v>
      </c>
      <c r="G8958" s="6" t="s">
        <v>2613</v>
      </c>
    </row>
    <row r="8959" customFormat="false" ht="15" hidden="false" customHeight="true" outlineLevel="0" collapsed="false">
      <c r="A8959" s="6" t="s">
        <v>11571</v>
      </c>
      <c r="B8959" s="6" t="s">
        <v>1869</v>
      </c>
      <c r="C8959" s="6" t="s">
        <v>124</v>
      </c>
      <c r="D8959" s="13" t="n">
        <v>46037</v>
      </c>
      <c r="E8959" s="14" t="n">
        <v>1811.61</v>
      </c>
      <c r="F8959" s="14" t="n">
        <v>7793.73</v>
      </c>
      <c r="G8959" s="6" t="s">
        <v>2613</v>
      </c>
    </row>
    <row r="8960" customFormat="false" ht="15" hidden="false" customHeight="true" outlineLevel="0" collapsed="false">
      <c r="A8960" s="6" t="s">
        <v>11572</v>
      </c>
      <c r="B8960" s="6" t="s">
        <v>1869</v>
      </c>
      <c r="C8960" s="6" t="s">
        <v>124</v>
      </c>
      <c r="D8960" s="13" t="n">
        <v>46044</v>
      </c>
      <c r="E8960" s="14" t="n">
        <v>2688.98</v>
      </c>
      <c r="F8960" s="14" t="n">
        <v>10482.71</v>
      </c>
      <c r="G8960" s="6" t="s">
        <v>2613</v>
      </c>
    </row>
    <row r="8961" customFormat="false" ht="15" hidden="false" customHeight="true" outlineLevel="0" collapsed="false">
      <c r="A8961" s="6" t="s">
        <v>11573</v>
      </c>
      <c r="B8961" s="6" t="s">
        <v>1869</v>
      </c>
      <c r="C8961" s="6" t="s">
        <v>124</v>
      </c>
      <c r="D8961" s="13" t="n">
        <v>46051</v>
      </c>
      <c r="E8961" s="14" t="n">
        <v>2617.88</v>
      </c>
      <c r="F8961" s="14" t="n">
        <v>13100.59</v>
      </c>
      <c r="G8961" s="6" t="s">
        <v>2613</v>
      </c>
    </row>
    <row r="8962" customFormat="false" ht="15" hidden="false" customHeight="true" outlineLevel="0" collapsed="false">
      <c r="A8962" s="6" t="s">
        <v>11574</v>
      </c>
      <c r="B8962" s="6" t="s">
        <v>1869</v>
      </c>
      <c r="C8962" s="6" t="s">
        <v>124</v>
      </c>
      <c r="D8962" s="13" t="n">
        <v>46058</v>
      </c>
      <c r="E8962" s="14" t="n">
        <v>2103.86</v>
      </c>
      <c r="F8962" s="14" t="n">
        <v>15204.45</v>
      </c>
      <c r="G8962" s="6" t="s">
        <v>2613</v>
      </c>
    </row>
    <row r="8963" customFormat="false" ht="15" hidden="false" customHeight="true" outlineLevel="0" collapsed="false">
      <c r="A8963" s="6" t="s">
        <v>11575</v>
      </c>
      <c r="B8963" s="6" t="s">
        <v>1869</v>
      </c>
      <c r="C8963" s="6" t="s">
        <v>124</v>
      </c>
      <c r="D8963" s="13" t="n">
        <v>46065</v>
      </c>
      <c r="E8963" s="14" t="n">
        <v>3495.82</v>
      </c>
      <c r="F8963" s="14" t="n">
        <v>18700.27</v>
      </c>
      <c r="G8963" s="6" t="s">
        <v>2613</v>
      </c>
    </row>
    <row r="8964" customFormat="false" ht="15" hidden="false" customHeight="true" outlineLevel="0" collapsed="false">
      <c r="A8964" s="6" t="s">
        <v>11576</v>
      </c>
      <c r="B8964" s="6" t="s">
        <v>1869</v>
      </c>
      <c r="C8964" s="6" t="s">
        <v>124</v>
      </c>
      <c r="D8964" s="13" t="n">
        <v>46072</v>
      </c>
      <c r="E8964" s="14" t="n">
        <v>3001.18</v>
      </c>
      <c r="F8964" s="14" t="n">
        <v>21701.45</v>
      </c>
      <c r="G8964" s="6" t="s">
        <v>2613</v>
      </c>
    </row>
    <row r="8965" customFormat="false" ht="15" hidden="false" customHeight="true" outlineLevel="0" collapsed="false">
      <c r="A8965" s="6" t="s">
        <v>11577</v>
      </c>
      <c r="B8965" s="6" t="s">
        <v>1869</v>
      </c>
      <c r="C8965" s="6" t="s">
        <v>124</v>
      </c>
      <c r="D8965" s="13" t="n">
        <v>46079</v>
      </c>
      <c r="E8965" s="14" t="n">
        <v>3095.35</v>
      </c>
      <c r="F8965" s="14" t="n">
        <v>24796.8</v>
      </c>
      <c r="G8965" s="6" t="s">
        <v>2613</v>
      </c>
    </row>
    <row r="8966" customFormat="false" ht="15" hidden="false" customHeight="true" outlineLevel="0" collapsed="false">
      <c r="A8966" s="6" t="s">
        <v>11578</v>
      </c>
      <c r="B8966" s="6" t="s">
        <v>1869</v>
      </c>
      <c r="C8966" s="6" t="s">
        <v>124</v>
      </c>
      <c r="D8966" s="13" t="n">
        <v>46086</v>
      </c>
      <c r="E8966" s="14" t="n">
        <v>2549.44</v>
      </c>
      <c r="F8966" s="14" t="n">
        <v>27346.24</v>
      </c>
      <c r="G8966" s="6" t="s">
        <v>2613</v>
      </c>
    </row>
    <row r="8967" customFormat="false" ht="15" hidden="false" customHeight="true" outlineLevel="0" collapsed="false">
      <c r="A8967" s="6" t="s">
        <v>11579</v>
      </c>
      <c r="B8967" s="6" t="s">
        <v>1869</v>
      </c>
      <c r="C8967" s="6" t="s">
        <v>124</v>
      </c>
      <c r="D8967" s="13" t="n">
        <v>46093</v>
      </c>
      <c r="E8967" s="14" t="n">
        <v>2358.46</v>
      </c>
      <c r="F8967" s="14" t="n">
        <v>29704.7</v>
      </c>
      <c r="G8967" s="6" t="s">
        <v>2613</v>
      </c>
    </row>
    <row r="8968" customFormat="false" ht="15" hidden="false" customHeight="true" outlineLevel="0" collapsed="false">
      <c r="A8968" s="6" t="s">
        <v>11580</v>
      </c>
      <c r="B8968" s="6" t="s">
        <v>1869</v>
      </c>
      <c r="C8968" s="6" t="s">
        <v>124</v>
      </c>
      <c r="D8968" s="13" t="n">
        <v>46100</v>
      </c>
      <c r="E8968" s="14" t="n">
        <v>2785.58</v>
      </c>
      <c r="F8968" s="14" t="n">
        <v>32490.28</v>
      </c>
      <c r="G8968" s="6" t="s">
        <v>2613</v>
      </c>
    </row>
    <row r="8969" customFormat="false" ht="15" hidden="false" customHeight="true" outlineLevel="0" collapsed="false">
      <c r="A8969" s="6" t="s">
        <v>11581</v>
      </c>
      <c r="B8969" s="6" t="s">
        <v>1869</v>
      </c>
      <c r="C8969" s="6" t="s">
        <v>124</v>
      </c>
      <c r="D8969" s="13" t="n">
        <v>46107</v>
      </c>
      <c r="E8969" s="14" t="n">
        <v>3185.7</v>
      </c>
      <c r="F8969" s="14" t="n">
        <v>35675.98</v>
      </c>
      <c r="G8969" s="6" t="s">
        <v>2613</v>
      </c>
    </row>
    <row r="8970" customFormat="false" ht="15" hidden="false" customHeight="true" outlineLevel="0" collapsed="false">
      <c r="A8970" s="6" t="s">
        <v>11582</v>
      </c>
      <c r="B8970" s="6" t="s">
        <v>1869</v>
      </c>
      <c r="C8970" s="6" t="s">
        <v>124</v>
      </c>
      <c r="D8970" s="13" t="n">
        <v>46114</v>
      </c>
      <c r="E8970" s="14" t="n">
        <v>2432.35</v>
      </c>
      <c r="F8970" s="14" t="n">
        <v>38108.33</v>
      </c>
      <c r="G8970" s="6" t="s">
        <v>2613</v>
      </c>
    </row>
    <row r="8971" customFormat="false" ht="15" hidden="false" customHeight="true" outlineLevel="0" collapsed="false">
      <c r="A8971" s="6" t="s">
        <v>11583</v>
      </c>
      <c r="B8971" s="6" t="s">
        <v>1869</v>
      </c>
      <c r="C8971" s="6" t="s">
        <v>124</v>
      </c>
      <c r="D8971" s="13" t="n">
        <v>46121</v>
      </c>
      <c r="E8971" s="14" t="n">
        <v>1886.04</v>
      </c>
      <c r="F8971" s="14" t="n">
        <v>39994.37</v>
      </c>
      <c r="G8971" s="6" t="s">
        <v>2613</v>
      </c>
    </row>
    <row r="8972" customFormat="false" ht="15" hidden="false" customHeight="true" outlineLevel="0" collapsed="false">
      <c r="A8972" s="6" t="s">
        <v>11584</v>
      </c>
      <c r="B8972" s="6" t="s">
        <v>1869</v>
      </c>
      <c r="C8972" s="6" t="s">
        <v>124</v>
      </c>
      <c r="D8972" s="13" t="n">
        <v>46128</v>
      </c>
      <c r="E8972" s="14" t="n">
        <v>3468.41</v>
      </c>
      <c r="F8972" s="14" t="n">
        <v>43462.78</v>
      </c>
      <c r="G8972" s="6" t="s">
        <v>2613</v>
      </c>
    </row>
    <row r="8973" customFormat="false" ht="15" hidden="false" customHeight="true" outlineLevel="0" collapsed="false">
      <c r="A8973" s="6" t="s">
        <v>11585</v>
      </c>
      <c r="B8973" s="6" t="s">
        <v>1869</v>
      </c>
      <c r="C8973" s="6" t="s">
        <v>124</v>
      </c>
      <c r="D8973" s="13" t="n">
        <v>46135</v>
      </c>
      <c r="E8973" s="14" t="n">
        <v>2762.44</v>
      </c>
      <c r="F8973" s="14" t="n">
        <v>46225.22</v>
      </c>
      <c r="G8973" s="6" t="s">
        <v>2613</v>
      </c>
    </row>
    <row r="8974" customFormat="false" ht="15" hidden="false" customHeight="true" outlineLevel="0" collapsed="false">
      <c r="A8974" s="6" t="s">
        <v>11586</v>
      </c>
      <c r="B8974" s="6" t="s">
        <v>1869</v>
      </c>
      <c r="C8974" s="6" t="s">
        <v>124</v>
      </c>
      <c r="D8974" s="13" t="n">
        <v>46142</v>
      </c>
      <c r="E8974" s="14" t="n">
        <v>3387.74</v>
      </c>
      <c r="F8974" s="14" t="n">
        <v>49612.96</v>
      </c>
      <c r="G8974" s="6" t="s">
        <v>2613</v>
      </c>
    </row>
    <row r="8975" customFormat="false" ht="15" hidden="false" customHeight="true" outlineLevel="0" collapsed="false">
      <c r="A8975" s="6" t="s">
        <v>11587</v>
      </c>
      <c r="B8975" s="6" t="s">
        <v>1869</v>
      </c>
      <c r="C8975" s="6" t="s">
        <v>124</v>
      </c>
      <c r="D8975" s="13" t="n">
        <v>46149</v>
      </c>
      <c r="E8975" s="14" t="n">
        <v>2142.4</v>
      </c>
      <c r="F8975" s="14" t="n">
        <v>51755.36</v>
      </c>
      <c r="G8975" s="6" t="s">
        <v>2613</v>
      </c>
    </row>
    <row r="8976" customFormat="false" ht="15" hidden="false" customHeight="true" outlineLevel="0" collapsed="false">
      <c r="A8976" s="6" t="s">
        <v>11588</v>
      </c>
      <c r="B8976" s="6" t="s">
        <v>1869</v>
      </c>
      <c r="C8976" s="6" t="s">
        <v>124</v>
      </c>
      <c r="D8976" s="13" t="n">
        <v>46156</v>
      </c>
      <c r="E8976" s="14" t="n">
        <v>3937.93</v>
      </c>
      <c r="F8976" s="14" t="n">
        <v>55693.29</v>
      </c>
      <c r="G8976" s="6" t="s">
        <v>2613</v>
      </c>
    </row>
    <row r="8977" customFormat="false" ht="15" hidden="false" customHeight="true" outlineLevel="0" collapsed="false">
      <c r="A8977" s="6" t="s">
        <v>11589</v>
      </c>
      <c r="B8977" s="6" t="s">
        <v>1869</v>
      </c>
      <c r="C8977" s="6" t="s">
        <v>124</v>
      </c>
      <c r="D8977" s="13" t="n">
        <v>46163</v>
      </c>
      <c r="E8977" s="14" t="n">
        <v>7345.55</v>
      </c>
      <c r="F8977" s="14" t="n">
        <v>63038.84</v>
      </c>
      <c r="G8977" s="6" t="s">
        <v>2613</v>
      </c>
    </row>
    <row r="8978" customFormat="false" ht="15" hidden="false" customHeight="true" outlineLevel="0" collapsed="false">
      <c r="A8978" s="6" t="s">
        <v>11590</v>
      </c>
      <c r="B8978" s="6" t="s">
        <v>1871</v>
      </c>
      <c r="C8978" s="6" t="s">
        <v>131</v>
      </c>
      <c r="D8978" s="13" t="n">
        <v>45515</v>
      </c>
      <c r="E8978" s="14" t="n">
        <v>783.76</v>
      </c>
      <c r="F8978" s="14" t="n">
        <v>783.76</v>
      </c>
      <c r="G8978" s="6" t="s">
        <v>2613</v>
      </c>
    </row>
    <row r="8979" customFormat="false" ht="15" hidden="false" customHeight="true" outlineLevel="0" collapsed="false">
      <c r="A8979" s="6" t="s">
        <v>11591</v>
      </c>
      <c r="B8979" s="6" t="s">
        <v>1871</v>
      </c>
      <c r="C8979" s="6" t="s">
        <v>131</v>
      </c>
      <c r="D8979" s="13" t="n">
        <v>45522</v>
      </c>
      <c r="E8979" s="14" t="n">
        <v>423.83</v>
      </c>
      <c r="F8979" s="14" t="n">
        <v>1207.59</v>
      </c>
      <c r="G8979" s="6" t="s">
        <v>2623</v>
      </c>
    </row>
    <row r="8980" customFormat="false" ht="15" hidden="false" customHeight="true" outlineLevel="0" collapsed="false">
      <c r="A8980" s="6" t="s">
        <v>11592</v>
      </c>
      <c r="B8980" s="6" t="s">
        <v>1871</v>
      </c>
      <c r="C8980" s="6" t="s">
        <v>131</v>
      </c>
      <c r="D8980" s="13" t="n">
        <v>45529</v>
      </c>
      <c r="E8980" s="14" t="n">
        <v>612.8</v>
      </c>
      <c r="F8980" s="14" t="n">
        <v>1820.39</v>
      </c>
      <c r="G8980" s="6" t="s">
        <v>2613</v>
      </c>
    </row>
    <row r="8981" customFormat="false" ht="15" hidden="false" customHeight="true" outlineLevel="0" collapsed="false">
      <c r="A8981" s="6" t="s">
        <v>11593</v>
      </c>
      <c r="B8981" s="6" t="s">
        <v>1871</v>
      </c>
      <c r="C8981" s="6" t="s">
        <v>131</v>
      </c>
      <c r="D8981" s="13" t="n">
        <v>45536</v>
      </c>
      <c r="E8981" s="14" t="n">
        <v>486.62</v>
      </c>
      <c r="F8981" s="14" t="n">
        <v>2307.01</v>
      </c>
      <c r="G8981" s="6" t="s">
        <v>2623</v>
      </c>
    </row>
    <row r="8982" customFormat="false" ht="15" hidden="false" customHeight="true" outlineLevel="0" collapsed="false">
      <c r="A8982" s="6" t="s">
        <v>11594</v>
      </c>
      <c r="B8982" s="6" t="s">
        <v>1871</v>
      </c>
      <c r="C8982" s="6" t="s">
        <v>131</v>
      </c>
      <c r="D8982" s="13" t="n">
        <v>45543</v>
      </c>
      <c r="E8982" s="14" t="n">
        <v>545</v>
      </c>
      <c r="F8982" s="14" t="n">
        <v>2852.01</v>
      </c>
      <c r="G8982" s="6" t="s">
        <v>2613</v>
      </c>
    </row>
    <row r="8983" customFormat="false" ht="15" hidden="false" customHeight="true" outlineLevel="0" collapsed="false">
      <c r="A8983" s="6" t="s">
        <v>11595</v>
      </c>
      <c r="B8983" s="6" t="s">
        <v>1871</v>
      </c>
      <c r="C8983" s="6" t="s">
        <v>131</v>
      </c>
      <c r="D8983" s="13" t="n">
        <v>45550</v>
      </c>
      <c r="E8983" s="14" t="n">
        <v>419.67</v>
      </c>
      <c r="F8983" s="14" t="n">
        <v>3271.68</v>
      </c>
      <c r="G8983" s="6" t="s">
        <v>2613</v>
      </c>
    </row>
    <row r="8984" customFormat="false" ht="15" hidden="false" customHeight="true" outlineLevel="0" collapsed="false">
      <c r="A8984" s="6" t="s">
        <v>11596</v>
      </c>
      <c r="B8984" s="6" t="s">
        <v>1871</v>
      </c>
      <c r="C8984" s="6" t="s">
        <v>131</v>
      </c>
      <c r="D8984" s="13" t="n">
        <v>45557</v>
      </c>
      <c r="E8984" s="14" t="n">
        <v>428.27</v>
      </c>
      <c r="F8984" s="14" t="n">
        <v>3699.95</v>
      </c>
      <c r="G8984" s="6" t="s">
        <v>2623</v>
      </c>
    </row>
    <row r="8985" customFormat="false" ht="15" hidden="false" customHeight="true" outlineLevel="0" collapsed="false">
      <c r="A8985" s="6" t="s">
        <v>11597</v>
      </c>
      <c r="B8985" s="6" t="s">
        <v>1871</v>
      </c>
      <c r="C8985" s="6" t="s">
        <v>131</v>
      </c>
      <c r="D8985" s="13" t="n">
        <v>45564</v>
      </c>
      <c r="E8985" s="14" t="n">
        <v>642.67</v>
      </c>
      <c r="F8985" s="14" t="n">
        <v>4342.62</v>
      </c>
      <c r="G8985" s="6" t="s">
        <v>2613</v>
      </c>
    </row>
    <row r="8986" customFormat="false" ht="15" hidden="false" customHeight="true" outlineLevel="0" collapsed="false">
      <c r="A8986" s="6" t="s">
        <v>11598</v>
      </c>
      <c r="B8986" s="6" t="s">
        <v>1871</v>
      </c>
      <c r="C8986" s="6" t="s">
        <v>131</v>
      </c>
      <c r="D8986" s="13" t="n">
        <v>45571</v>
      </c>
      <c r="E8986" s="14" t="n">
        <v>691.3</v>
      </c>
      <c r="F8986" s="14" t="n">
        <v>5033.92</v>
      </c>
      <c r="G8986" s="6" t="s">
        <v>2613</v>
      </c>
    </row>
    <row r="8987" customFormat="false" ht="15" hidden="false" customHeight="true" outlineLevel="0" collapsed="false">
      <c r="A8987" s="6" t="s">
        <v>11599</v>
      </c>
      <c r="B8987" s="6" t="s">
        <v>1871</v>
      </c>
      <c r="C8987" s="6" t="s">
        <v>131</v>
      </c>
      <c r="D8987" s="13" t="n">
        <v>45578</v>
      </c>
      <c r="E8987" s="14" t="n">
        <v>708.13</v>
      </c>
      <c r="F8987" s="14" t="n">
        <v>5742.05</v>
      </c>
      <c r="G8987" s="6" t="s">
        <v>2613</v>
      </c>
    </row>
    <row r="8988" customFormat="false" ht="15" hidden="false" customHeight="true" outlineLevel="0" collapsed="false">
      <c r="A8988" s="6" t="s">
        <v>11600</v>
      </c>
      <c r="B8988" s="6" t="s">
        <v>1873</v>
      </c>
      <c r="C8988" s="6" t="s">
        <v>131</v>
      </c>
      <c r="D8988" s="13" t="n">
        <v>44895</v>
      </c>
      <c r="E8988" s="14" t="n">
        <v>1107.82</v>
      </c>
      <c r="F8988" s="14" t="n">
        <v>1107.82</v>
      </c>
      <c r="G8988" s="6" t="s">
        <v>2613</v>
      </c>
    </row>
    <row r="8989" customFormat="false" ht="15" hidden="false" customHeight="true" outlineLevel="0" collapsed="false">
      <c r="A8989" s="6" t="s">
        <v>11601</v>
      </c>
      <c r="B8989" s="6" t="s">
        <v>1873</v>
      </c>
      <c r="C8989" s="6" t="s">
        <v>131</v>
      </c>
      <c r="D8989" s="13" t="n">
        <v>44902</v>
      </c>
      <c r="E8989" s="14" t="n">
        <v>600.51</v>
      </c>
      <c r="F8989" s="14" t="n">
        <v>1708.33</v>
      </c>
      <c r="G8989" s="6" t="s">
        <v>2613</v>
      </c>
    </row>
    <row r="8990" customFormat="false" ht="15" hidden="false" customHeight="true" outlineLevel="0" collapsed="false">
      <c r="A8990" s="6" t="s">
        <v>11602</v>
      </c>
      <c r="B8990" s="6" t="s">
        <v>1873</v>
      </c>
      <c r="C8990" s="6" t="s">
        <v>131</v>
      </c>
      <c r="D8990" s="13" t="n">
        <v>44909</v>
      </c>
      <c r="E8990" s="14" t="n">
        <v>674.04</v>
      </c>
      <c r="F8990" s="14" t="n">
        <v>2382.37</v>
      </c>
      <c r="G8990" s="6" t="s">
        <v>2613</v>
      </c>
    </row>
    <row r="8991" customFormat="false" ht="15" hidden="false" customHeight="true" outlineLevel="0" collapsed="false">
      <c r="A8991" s="6" t="s">
        <v>11603</v>
      </c>
      <c r="B8991" s="6" t="s">
        <v>1873</v>
      </c>
      <c r="C8991" s="6" t="s">
        <v>131</v>
      </c>
      <c r="D8991" s="13" t="n">
        <v>44916</v>
      </c>
      <c r="E8991" s="14" t="n">
        <v>1027.4</v>
      </c>
      <c r="F8991" s="14" t="n">
        <v>3409.77</v>
      </c>
      <c r="G8991" s="6" t="s">
        <v>2613</v>
      </c>
    </row>
    <row r="8992" customFormat="false" ht="15" hidden="false" customHeight="true" outlineLevel="0" collapsed="false">
      <c r="A8992" s="6" t="s">
        <v>11604</v>
      </c>
      <c r="B8992" s="6" t="s">
        <v>1873</v>
      </c>
      <c r="C8992" s="6" t="s">
        <v>131</v>
      </c>
      <c r="D8992" s="13" t="n">
        <v>44923</v>
      </c>
      <c r="E8992" s="14" t="n">
        <v>1048.52</v>
      </c>
      <c r="F8992" s="14" t="n">
        <v>4458.29</v>
      </c>
      <c r="G8992" s="6" t="s">
        <v>2613</v>
      </c>
    </row>
    <row r="8993" customFormat="false" ht="15" hidden="false" customHeight="true" outlineLevel="0" collapsed="false">
      <c r="A8993" s="6" t="s">
        <v>11605</v>
      </c>
      <c r="B8993" s="6" t="s">
        <v>1873</v>
      </c>
      <c r="C8993" s="6" t="s">
        <v>131</v>
      </c>
      <c r="D8993" s="13" t="n">
        <v>44930</v>
      </c>
      <c r="E8993" s="14" t="n">
        <v>939.54</v>
      </c>
      <c r="F8993" s="14" t="n">
        <v>5397.83</v>
      </c>
      <c r="G8993" s="6" t="s">
        <v>2613</v>
      </c>
    </row>
    <row r="8994" customFormat="false" ht="15" hidden="false" customHeight="true" outlineLevel="0" collapsed="false">
      <c r="A8994" s="6" t="s">
        <v>11606</v>
      </c>
      <c r="B8994" s="6" t="s">
        <v>1873</v>
      </c>
      <c r="C8994" s="6" t="s">
        <v>131</v>
      </c>
      <c r="D8994" s="13" t="n">
        <v>44937</v>
      </c>
      <c r="E8994" s="14" t="n">
        <v>1018.31</v>
      </c>
      <c r="F8994" s="14" t="n">
        <v>6416.14</v>
      </c>
      <c r="G8994" s="6" t="s">
        <v>2613</v>
      </c>
    </row>
    <row r="8995" customFormat="false" ht="15" hidden="false" customHeight="true" outlineLevel="0" collapsed="false">
      <c r="A8995" s="6" t="s">
        <v>11607</v>
      </c>
      <c r="B8995" s="6" t="s">
        <v>1873</v>
      </c>
      <c r="C8995" s="6" t="s">
        <v>131</v>
      </c>
      <c r="D8995" s="13" t="n">
        <v>44944</v>
      </c>
      <c r="E8995" s="14" t="n">
        <v>439.61</v>
      </c>
      <c r="F8995" s="14" t="n">
        <v>6855.75</v>
      </c>
      <c r="G8995" s="6" t="s">
        <v>2613</v>
      </c>
    </row>
    <row r="8996" customFormat="false" ht="15" hidden="false" customHeight="true" outlineLevel="0" collapsed="false">
      <c r="A8996" s="6" t="s">
        <v>11608</v>
      </c>
      <c r="B8996" s="6" t="s">
        <v>1875</v>
      </c>
      <c r="C8996" s="6" t="s">
        <v>116</v>
      </c>
      <c r="D8996" s="13" t="n">
        <v>45702</v>
      </c>
      <c r="E8996" s="14" t="n">
        <v>752.04</v>
      </c>
      <c r="F8996" s="14" t="n">
        <v>752.04</v>
      </c>
      <c r="G8996" s="6" t="s">
        <v>2613</v>
      </c>
    </row>
    <row r="8997" customFormat="false" ht="15" hidden="false" customHeight="true" outlineLevel="0" collapsed="false">
      <c r="A8997" s="6" t="s">
        <v>11609</v>
      </c>
      <c r="B8997" s="6" t="s">
        <v>1875</v>
      </c>
      <c r="C8997" s="6" t="s">
        <v>116</v>
      </c>
      <c r="D8997" s="13" t="n">
        <v>45709</v>
      </c>
      <c r="E8997" s="14" t="n">
        <v>808.35</v>
      </c>
      <c r="F8997" s="14" t="n">
        <v>1560.39</v>
      </c>
      <c r="G8997" s="6" t="s">
        <v>2613</v>
      </c>
    </row>
    <row r="8998" customFormat="false" ht="15" hidden="false" customHeight="true" outlineLevel="0" collapsed="false">
      <c r="A8998" s="6" t="s">
        <v>11610</v>
      </c>
      <c r="B8998" s="6" t="s">
        <v>1875</v>
      </c>
      <c r="C8998" s="6" t="s">
        <v>116</v>
      </c>
      <c r="D8998" s="13" t="n">
        <v>45716</v>
      </c>
      <c r="E8998" s="14" t="n">
        <v>961.46</v>
      </c>
      <c r="F8998" s="14" t="n">
        <v>2521.85</v>
      </c>
      <c r="G8998" s="6" t="s">
        <v>2613</v>
      </c>
    </row>
    <row r="8999" customFormat="false" ht="15" hidden="false" customHeight="true" outlineLevel="0" collapsed="false">
      <c r="A8999" s="6" t="s">
        <v>11611</v>
      </c>
      <c r="B8999" s="6" t="s">
        <v>1875</v>
      </c>
      <c r="C8999" s="6" t="s">
        <v>116</v>
      </c>
      <c r="D8999" s="13" t="n">
        <v>45723</v>
      </c>
      <c r="E8999" s="14" t="n">
        <v>747.13</v>
      </c>
      <c r="F8999" s="14" t="n">
        <v>3268.98</v>
      </c>
      <c r="G8999" s="6" t="s">
        <v>2613</v>
      </c>
    </row>
    <row r="9000" customFormat="false" ht="15" hidden="false" customHeight="true" outlineLevel="0" collapsed="false">
      <c r="A9000" s="6" t="s">
        <v>11612</v>
      </c>
      <c r="B9000" s="6" t="s">
        <v>1875</v>
      </c>
      <c r="C9000" s="6" t="s">
        <v>116</v>
      </c>
      <c r="D9000" s="13" t="n">
        <v>45730</v>
      </c>
      <c r="E9000" s="14" t="n">
        <v>752.68</v>
      </c>
      <c r="F9000" s="14" t="n">
        <v>4021.66</v>
      </c>
      <c r="G9000" s="6" t="s">
        <v>2613</v>
      </c>
    </row>
    <row r="9001" customFormat="false" ht="15" hidden="false" customHeight="true" outlineLevel="0" collapsed="false">
      <c r="A9001" s="6" t="s">
        <v>11613</v>
      </c>
      <c r="B9001" s="6" t="s">
        <v>1875</v>
      </c>
      <c r="C9001" s="6" t="s">
        <v>116</v>
      </c>
      <c r="D9001" s="13" t="n">
        <v>45737</v>
      </c>
      <c r="E9001" s="14" t="n">
        <v>496.29</v>
      </c>
      <c r="F9001" s="14" t="n">
        <v>4517.95</v>
      </c>
      <c r="G9001" s="6" t="s">
        <v>2613</v>
      </c>
    </row>
    <row r="9002" customFormat="false" ht="15" hidden="false" customHeight="true" outlineLevel="0" collapsed="false">
      <c r="A9002" s="6" t="s">
        <v>11614</v>
      </c>
      <c r="B9002" s="6" t="s">
        <v>1875</v>
      </c>
      <c r="C9002" s="6" t="s">
        <v>116</v>
      </c>
      <c r="D9002" s="13" t="n">
        <v>45744</v>
      </c>
      <c r="E9002" s="14" t="n">
        <v>1019.3</v>
      </c>
      <c r="F9002" s="14" t="n">
        <v>5537.25</v>
      </c>
      <c r="G9002" s="6" t="s">
        <v>2613</v>
      </c>
    </row>
    <row r="9003" customFormat="false" ht="15" hidden="false" customHeight="true" outlineLevel="0" collapsed="false">
      <c r="A9003" s="6" t="s">
        <v>11615</v>
      </c>
      <c r="B9003" s="6" t="s">
        <v>1875</v>
      </c>
      <c r="C9003" s="6" t="s">
        <v>116</v>
      </c>
      <c r="D9003" s="13" t="n">
        <v>45751</v>
      </c>
      <c r="E9003" s="14" t="n">
        <v>584.13</v>
      </c>
      <c r="F9003" s="14" t="n">
        <v>6121.38</v>
      </c>
      <c r="G9003" s="6" t="s">
        <v>2613</v>
      </c>
    </row>
    <row r="9004" customFormat="false" ht="15" hidden="false" customHeight="true" outlineLevel="0" collapsed="false">
      <c r="A9004" s="6" t="s">
        <v>11616</v>
      </c>
      <c r="B9004" s="6" t="s">
        <v>1875</v>
      </c>
      <c r="C9004" s="6" t="s">
        <v>116</v>
      </c>
      <c r="D9004" s="13" t="n">
        <v>45758</v>
      </c>
      <c r="E9004" s="14" t="n">
        <v>1075.09</v>
      </c>
      <c r="F9004" s="14" t="n">
        <v>7196.47</v>
      </c>
      <c r="G9004" s="6" t="s">
        <v>2613</v>
      </c>
    </row>
    <row r="9005" customFormat="false" ht="15" hidden="false" customHeight="true" outlineLevel="0" collapsed="false">
      <c r="A9005" s="6" t="s">
        <v>11617</v>
      </c>
      <c r="B9005" s="6" t="s">
        <v>1875</v>
      </c>
      <c r="C9005" s="6" t="s">
        <v>116</v>
      </c>
      <c r="D9005" s="13" t="n">
        <v>45765</v>
      </c>
      <c r="E9005" s="14" t="n">
        <v>597.84</v>
      </c>
      <c r="F9005" s="14" t="n">
        <v>7794.31</v>
      </c>
      <c r="G9005" s="6" t="s">
        <v>2613</v>
      </c>
    </row>
    <row r="9006" customFormat="false" ht="15" hidden="false" customHeight="true" outlineLevel="0" collapsed="false">
      <c r="A9006" s="6" t="s">
        <v>11618</v>
      </c>
      <c r="B9006" s="6" t="s">
        <v>1875</v>
      </c>
      <c r="C9006" s="6" t="s">
        <v>116</v>
      </c>
      <c r="D9006" s="13" t="n">
        <v>45772</v>
      </c>
      <c r="E9006" s="14" t="n">
        <v>775.96</v>
      </c>
      <c r="F9006" s="14" t="n">
        <v>8570.27</v>
      </c>
      <c r="G9006" s="6" t="s">
        <v>2613</v>
      </c>
    </row>
    <row r="9007" customFormat="false" ht="15" hidden="false" customHeight="true" outlineLevel="0" collapsed="false">
      <c r="A9007" s="6" t="s">
        <v>11619</v>
      </c>
      <c r="B9007" s="6" t="s">
        <v>1875</v>
      </c>
      <c r="C9007" s="6" t="s">
        <v>116</v>
      </c>
      <c r="D9007" s="13" t="n">
        <v>45779</v>
      </c>
      <c r="E9007" s="14" t="n">
        <v>645.39</v>
      </c>
      <c r="F9007" s="14" t="n">
        <v>9215.66</v>
      </c>
      <c r="G9007" s="6" t="s">
        <v>2613</v>
      </c>
    </row>
    <row r="9008" customFormat="false" ht="15" hidden="false" customHeight="true" outlineLevel="0" collapsed="false">
      <c r="A9008" s="6" t="s">
        <v>11620</v>
      </c>
      <c r="B9008" s="6" t="s">
        <v>1875</v>
      </c>
      <c r="C9008" s="6" t="s">
        <v>116</v>
      </c>
      <c r="D9008" s="13" t="n">
        <v>45786</v>
      </c>
      <c r="E9008" s="14" t="n">
        <v>1265.53</v>
      </c>
      <c r="F9008" s="14" t="n">
        <v>10481.19</v>
      </c>
      <c r="G9008" s="6" t="s">
        <v>2613</v>
      </c>
    </row>
    <row r="9009" customFormat="false" ht="15" hidden="false" customHeight="true" outlineLevel="0" collapsed="false">
      <c r="A9009" s="6" t="s">
        <v>11621</v>
      </c>
      <c r="B9009" s="6" t="s">
        <v>1877</v>
      </c>
      <c r="C9009" s="6" t="s">
        <v>120</v>
      </c>
      <c r="D9009" s="13" t="n">
        <v>45457</v>
      </c>
      <c r="E9009" s="14" t="n">
        <v>121.65</v>
      </c>
      <c r="F9009" s="14" t="n">
        <v>121.65</v>
      </c>
      <c r="G9009" s="6" t="s">
        <v>2613</v>
      </c>
    </row>
    <row r="9010" customFormat="false" ht="15" hidden="false" customHeight="true" outlineLevel="0" collapsed="false">
      <c r="A9010" s="6" t="s">
        <v>11622</v>
      </c>
      <c r="B9010" s="6" t="s">
        <v>1877</v>
      </c>
      <c r="C9010" s="6" t="s">
        <v>120</v>
      </c>
      <c r="D9010" s="13" t="n">
        <v>45464</v>
      </c>
      <c r="E9010" s="14" t="n">
        <v>163.95</v>
      </c>
      <c r="F9010" s="14" t="n">
        <v>285.6</v>
      </c>
      <c r="G9010" s="6" t="s">
        <v>2613</v>
      </c>
    </row>
    <row r="9011" customFormat="false" ht="15" hidden="false" customHeight="true" outlineLevel="0" collapsed="false">
      <c r="A9011" s="6" t="s">
        <v>11623</v>
      </c>
      <c r="B9011" s="6" t="s">
        <v>1877</v>
      </c>
      <c r="C9011" s="6" t="s">
        <v>120</v>
      </c>
      <c r="D9011" s="13" t="n">
        <v>45471</v>
      </c>
      <c r="E9011" s="14" t="n">
        <v>101.67</v>
      </c>
      <c r="F9011" s="14" t="n">
        <v>387.27</v>
      </c>
      <c r="G9011" s="6" t="s">
        <v>2613</v>
      </c>
    </row>
    <row r="9012" customFormat="false" ht="15" hidden="false" customHeight="true" outlineLevel="0" collapsed="false">
      <c r="A9012" s="6" t="s">
        <v>11624</v>
      </c>
      <c r="B9012" s="6" t="s">
        <v>1877</v>
      </c>
      <c r="C9012" s="6" t="s">
        <v>120</v>
      </c>
      <c r="D9012" s="13" t="n">
        <v>45478</v>
      </c>
      <c r="E9012" s="14" t="n">
        <v>78.08</v>
      </c>
      <c r="F9012" s="14" t="n">
        <v>465.35</v>
      </c>
      <c r="G9012" s="6" t="s">
        <v>2613</v>
      </c>
    </row>
    <row r="9013" customFormat="false" ht="15" hidden="false" customHeight="true" outlineLevel="0" collapsed="false">
      <c r="A9013" s="6" t="s">
        <v>11625</v>
      </c>
      <c r="B9013" s="6" t="s">
        <v>1877</v>
      </c>
      <c r="C9013" s="6" t="s">
        <v>120</v>
      </c>
      <c r="D9013" s="13" t="n">
        <v>45485</v>
      </c>
      <c r="E9013" s="14" t="n">
        <v>121.52</v>
      </c>
      <c r="F9013" s="14" t="n">
        <v>586.87</v>
      </c>
      <c r="G9013" s="6" t="s">
        <v>2613</v>
      </c>
    </row>
    <row r="9014" customFormat="false" ht="15" hidden="false" customHeight="true" outlineLevel="0" collapsed="false">
      <c r="A9014" s="6" t="s">
        <v>11626</v>
      </c>
      <c r="B9014" s="6" t="s">
        <v>1877</v>
      </c>
      <c r="C9014" s="6" t="s">
        <v>120</v>
      </c>
      <c r="D9014" s="13" t="n">
        <v>45492</v>
      </c>
      <c r="E9014" s="14" t="n">
        <v>158.19</v>
      </c>
      <c r="F9014" s="14" t="n">
        <v>745.06</v>
      </c>
      <c r="G9014" s="6" t="s">
        <v>2613</v>
      </c>
    </row>
    <row r="9015" customFormat="false" ht="15" hidden="false" customHeight="true" outlineLevel="0" collapsed="false">
      <c r="A9015" s="6" t="s">
        <v>11627</v>
      </c>
      <c r="B9015" s="6" t="s">
        <v>1877</v>
      </c>
      <c r="C9015" s="6" t="s">
        <v>120</v>
      </c>
      <c r="D9015" s="13" t="n">
        <v>45499</v>
      </c>
      <c r="E9015" s="14" t="n">
        <v>79.04</v>
      </c>
      <c r="F9015" s="14" t="n">
        <v>824.1</v>
      </c>
      <c r="G9015" s="6" t="s">
        <v>2613</v>
      </c>
    </row>
    <row r="9016" customFormat="false" ht="15" hidden="false" customHeight="true" outlineLevel="0" collapsed="false">
      <c r="A9016" s="6" t="s">
        <v>11628</v>
      </c>
      <c r="B9016" s="6" t="s">
        <v>1877</v>
      </c>
      <c r="C9016" s="6" t="s">
        <v>120</v>
      </c>
      <c r="D9016" s="13" t="n">
        <v>45506</v>
      </c>
      <c r="E9016" s="14" t="n">
        <v>108.53</v>
      </c>
      <c r="F9016" s="14" t="n">
        <v>932.63</v>
      </c>
      <c r="G9016" s="6" t="s">
        <v>2613</v>
      </c>
    </row>
    <row r="9017" customFormat="false" ht="15" hidden="false" customHeight="true" outlineLevel="0" collapsed="false">
      <c r="A9017" s="6" t="s">
        <v>11629</v>
      </c>
      <c r="B9017" s="6" t="s">
        <v>1877</v>
      </c>
      <c r="C9017" s="6" t="s">
        <v>120</v>
      </c>
      <c r="D9017" s="13" t="n">
        <v>45513</v>
      </c>
      <c r="E9017" s="14" t="n">
        <v>74.77</v>
      </c>
      <c r="F9017" s="14" t="n">
        <v>1007.4</v>
      </c>
      <c r="G9017" s="6" t="s">
        <v>2613</v>
      </c>
    </row>
    <row r="9018" customFormat="false" ht="15" hidden="false" customHeight="true" outlineLevel="0" collapsed="false">
      <c r="A9018" s="6" t="s">
        <v>11630</v>
      </c>
      <c r="B9018" s="6" t="s">
        <v>1877</v>
      </c>
      <c r="C9018" s="6" t="s">
        <v>120</v>
      </c>
      <c r="D9018" s="13" t="n">
        <v>45520</v>
      </c>
      <c r="E9018" s="14" t="n">
        <v>155.5</v>
      </c>
      <c r="F9018" s="14" t="n">
        <v>1162.9</v>
      </c>
      <c r="G9018" s="6" t="s">
        <v>2623</v>
      </c>
    </row>
    <row r="9019" customFormat="false" ht="15" hidden="false" customHeight="true" outlineLevel="0" collapsed="false">
      <c r="A9019" s="6" t="s">
        <v>11631</v>
      </c>
      <c r="B9019" s="6" t="s">
        <v>1877</v>
      </c>
      <c r="C9019" s="6" t="s">
        <v>120</v>
      </c>
      <c r="D9019" s="13" t="n">
        <v>45527</v>
      </c>
      <c r="E9019" s="14" t="n">
        <v>121.84</v>
      </c>
      <c r="F9019" s="14" t="n">
        <v>1284.74</v>
      </c>
      <c r="G9019" s="6" t="s">
        <v>2613</v>
      </c>
    </row>
    <row r="9020" customFormat="false" ht="15" hidden="false" customHeight="true" outlineLevel="0" collapsed="false">
      <c r="A9020" s="6" t="s">
        <v>11632</v>
      </c>
      <c r="B9020" s="6" t="s">
        <v>1877</v>
      </c>
      <c r="C9020" s="6" t="s">
        <v>120</v>
      </c>
      <c r="D9020" s="13" t="n">
        <v>45534</v>
      </c>
      <c r="E9020" s="14" t="n">
        <v>104.4</v>
      </c>
      <c r="F9020" s="14" t="n">
        <v>1389.14</v>
      </c>
      <c r="G9020" s="6" t="s">
        <v>2613</v>
      </c>
    </row>
    <row r="9021" customFormat="false" ht="15" hidden="false" customHeight="true" outlineLevel="0" collapsed="false">
      <c r="A9021" s="6" t="s">
        <v>11633</v>
      </c>
      <c r="B9021" s="6" t="s">
        <v>1877</v>
      </c>
      <c r="C9021" s="6" t="s">
        <v>120</v>
      </c>
      <c r="D9021" s="13" t="n">
        <v>45541</v>
      </c>
      <c r="E9021" s="14" t="n">
        <v>110.47</v>
      </c>
      <c r="F9021" s="14" t="n">
        <v>1499.61</v>
      </c>
      <c r="G9021" s="6" t="s">
        <v>2613</v>
      </c>
    </row>
    <row r="9022" customFormat="false" ht="15" hidden="false" customHeight="true" outlineLevel="0" collapsed="false">
      <c r="A9022" s="6" t="s">
        <v>11634</v>
      </c>
      <c r="B9022" s="6" t="s">
        <v>1877</v>
      </c>
      <c r="C9022" s="6" t="s">
        <v>120</v>
      </c>
      <c r="D9022" s="13" t="n">
        <v>45548</v>
      </c>
      <c r="E9022" s="14" t="n">
        <v>148.69</v>
      </c>
      <c r="F9022" s="14" t="n">
        <v>1648.3</v>
      </c>
      <c r="G9022" s="6" t="s">
        <v>2623</v>
      </c>
    </row>
    <row r="9023" customFormat="false" ht="15" hidden="false" customHeight="true" outlineLevel="0" collapsed="false">
      <c r="A9023" s="6" t="s">
        <v>11635</v>
      </c>
      <c r="B9023" s="6" t="s">
        <v>1877</v>
      </c>
      <c r="C9023" s="6" t="s">
        <v>120</v>
      </c>
      <c r="D9023" s="13" t="n">
        <v>45555</v>
      </c>
      <c r="E9023" s="14" t="n">
        <v>152.97</v>
      </c>
      <c r="F9023" s="14" t="n">
        <v>1801.27</v>
      </c>
      <c r="G9023" s="6" t="s">
        <v>2613</v>
      </c>
    </row>
    <row r="9024" customFormat="false" ht="15" hidden="false" customHeight="true" outlineLevel="0" collapsed="false">
      <c r="A9024" s="6" t="s">
        <v>11636</v>
      </c>
      <c r="B9024" s="6" t="s">
        <v>1877</v>
      </c>
      <c r="C9024" s="6" t="s">
        <v>120</v>
      </c>
      <c r="D9024" s="13" t="n">
        <v>45562</v>
      </c>
      <c r="E9024" s="14" t="n">
        <v>108.56</v>
      </c>
      <c r="F9024" s="14" t="n">
        <v>1909.83</v>
      </c>
      <c r="G9024" s="6" t="s">
        <v>2613</v>
      </c>
    </row>
    <row r="9025" customFormat="false" ht="15" hidden="false" customHeight="true" outlineLevel="0" collapsed="false">
      <c r="A9025" s="6" t="s">
        <v>11637</v>
      </c>
      <c r="B9025" s="6" t="s">
        <v>1877</v>
      </c>
      <c r="C9025" s="6" t="s">
        <v>120</v>
      </c>
      <c r="D9025" s="13" t="n">
        <v>45569</v>
      </c>
      <c r="E9025" s="14" t="n">
        <v>165.49</v>
      </c>
      <c r="F9025" s="14" t="n">
        <v>2075.32</v>
      </c>
      <c r="G9025" s="6" t="s">
        <v>2613</v>
      </c>
    </row>
    <row r="9026" customFormat="false" ht="15" hidden="false" customHeight="true" outlineLevel="0" collapsed="false">
      <c r="A9026" s="6" t="s">
        <v>11638</v>
      </c>
      <c r="B9026" s="6" t="s">
        <v>1877</v>
      </c>
      <c r="C9026" s="6" t="s">
        <v>120</v>
      </c>
      <c r="D9026" s="13" t="n">
        <v>45576</v>
      </c>
      <c r="E9026" s="14" t="n">
        <v>107.57</v>
      </c>
      <c r="F9026" s="14" t="n">
        <v>2182.89</v>
      </c>
      <c r="G9026" s="6" t="s">
        <v>2623</v>
      </c>
    </row>
    <row r="9027" customFormat="false" ht="15" hidden="false" customHeight="true" outlineLevel="0" collapsed="false">
      <c r="A9027" s="6" t="s">
        <v>11639</v>
      </c>
      <c r="B9027" s="6" t="s">
        <v>1877</v>
      </c>
      <c r="C9027" s="6" t="s">
        <v>120</v>
      </c>
      <c r="D9027" s="13" t="n">
        <v>45583</v>
      </c>
      <c r="E9027" s="14" t="n">
        <v>117.05</v>
      </c>
      <c r="F9027" s="14" t="n">
        <v>2299.94</v>
      </c>
      <c r="G9027" s="6" t="s">
        <v>2613</v>
      </c>
    </row>
    <row r="9028" customFormat="false" ht="15" hidden="false" customHeight="true" outlineLevel="0" collapsed="false">
      <c r="A9028" s="6" t="s">
        <v>11640</v>
      </c>
      <c r="B9028" s="6" t="s">
        <v>1877</v>
      </c>
      <c r="C9028" s="6" t="s">
        <v>120</v>
      </c>
      <c r="D9028" s="13" t="n">
        <v>45590</v>
      </c>
      <c r="E9028" s="14" t="n">
        <v>158.57</v>
      </c>
      <c r="F9028" s="14" t="n">
        <v>2458.51</v>
      </c>
      <c r="G9028" s="6" t="s">
        <v>2613</v>
      </c>
    </row>
    <row r="9029" customFormat="false" ht="15" hidden="false" customHeight="true" outlineLevel="0" collapsed="false">
      <c r="A9029" s="6" t="s">
        <v>11641</v>
      </c>
      <c r="B9029" s="6" t="s">
        <v>1877</v>
      </c>
      <c r="C9029" s="6" t="s">
        <v>120</v>
      </c>
      <c r="D9029" s="13" t="n">
        <v>45597</v>
      </c>
      <c r="E9029" s="14" t="n">
        <v>67.93</v>
      </c>
      <c r="F9029" s="14" t="n">
        <v>2526.44</v>
      </c>
      <c r="G9029" s="6" t="s">
        <v>2613</v>
      </c>
    </row>
    <row r="9030" customFormat="false" ht="15" hidden="false" customHeight="true" outlineLevel="0" collapsed="false">
      <c r="A9030" s="6" t="s">
        <v>11642</v>
      </c>
      <c r="B9030" s="6" t="s">
        <v>1879</v>
      </c>
      <c r="C9030" s="6" t="s">
        <v>120</v>
      </c>
      <c r="D9030" s="13" t="n">
        <v>44744</v>
      </c>
      <c r="E9030" s="14" t="n">
        <v>2811.33</v>
      </c>
      <c r="F9030" s="14" t="n">
        <v>2811.33</v>
      </c>
      <c r="G9030" s="6" t="s">
        <v>2623</v>
      </c>
    </row>
    <row r="9031" customFormat="false" ht="15" hidden="false" customHeight="true" outlineLevel="0" collapsed="false">
      <c r="A9031" s="6" t="s">
        <v>11643</v>
      </c>
      <c r="B9031" s="6" t="s">
        <v>1879</v>
      </c>
      <c r="C9031" s="6" t="s">
        <v>120</v>
      </c>
      <c r="D9031" s="13" t="n">
        <v>44751</v>
      </c>
      <c r="E9031" s="14" t="n">
        <v>3306.8</v>
      </c>
      <c r="F9031" s="14" t="n">
        <v>6118.13</v>
      </c>
      <c r="G9031" s="6" t="s">
        <v>2613</v>
      </c>
    </row>
    <row r="9032" customFormat="false" ht="15" hidden="false" customHeight="true" outlineLevel="0" collapsed="false">
      <c r="A9032" s="6" t="s">
        <v>11644</v>
      </c>
      <c r="B9032" s="6" t="s">
        <v>1879</v>
      </c>
      <c r="C9032" s="6" t="s">
        <v>120</v>
      </c>
      <c r="D9032" s="13" t="n">
        <v>44758</v>
      </c>
      <c r="E9032" s="14" t="n">
        <v>2413.42</v>
      </c>
      <c r="F9032" s="14" t="n">
        <v>8531.55</v>
      </c>
      <c r="G9032" s="6" t="s">
        <v>2623</v>
      </c>
    </row>
    <row r="9033" customFormat="false" ht="15" hidden="false" customHeight="true" outlineLevel="0" collapsed="false">
      <c r="A9033" s="6" t="s">
        <v>11645</v>
      </c>
      <c r="B9033" s="6" t="s">
        <v>1879</v>
      </c>
      <c r="C9033" s="6" t="s">
        <v>120</v>
      </c>
      <c r="D9033" s="13" t="n">
        <v>44765</v>
      </c>
      <c r="E9033" s="14" t="n">
        <v>3513.67</v>
      </c>
      <c r="F9033" s="14" t="n">
        <v>12045.22</v>
      </c>
      <c r="G9033" s="6" t="s">
        <v>2613</v>
      </c>
    </row>
    <row r="9034" customFormat="false" ht="15" hidden="false" customHeight="true" outlineLevel="0" collapsed="false">
      <c r="A9034" s="6" t="s">
        <v>11646</v>
      </c>
      <c r="B9034" s="6" t="s">
        <v>1879</v>
      </c>
      <c r="C9034" s="6" t="s">
        <v>120</v>
      </c>
      <c r="D9034" s="13" t="n">
        <v>44772</v>
      </c>
      <c r="E9034" s="14" t="n">
        <v>3196.74</v>
      </c>
      <c r="F9034" s="14" t="n">
        <v>15241.96</v>
      </c>
      <c r="G9034" s="6" t="s">
        <v>2613</v>
      </c>
    </row>
    <row r="9035" customFormat="false" ht="15" hidden="false" customHeight="true" outlineLevel="0" collapsed="false">
      <c r="A9035" s="6" t="s">
        <v>11647</v>
      </c>
      <c r="B9035" s="6" t="s">
        <v>1879</v>
      </c>
      <c r="C9035" s="6" t="s">
        <v>120</v>
      </c>
      <c r="D9035" s="13" t="n">
        <v>44779</v>
      </c>
      <c r="E9035" s="14" t="n">
        <v>5599.36</v>
      </c>
      <c r="F9035" s="14" t="n">
        <v>20841.32</v>
      </c>
      <c r="G9035" s="6" t="s">
        <v>2613</v>
      </c>
    </row>
    <row r="9036" customFormat="false" ht="15" hidden="false" customHeight="true" outlineLevel="0" collapsed="false">
      <c r="A9036" s="6" t="s">
        <v>11648</v>
      </c>
      <c r="B9036" s="6" t="s">
        <v>1881</v>
      </c>
      <c r="C9036" s="6" t="s">
        <v>116</v>
      </c>
      <c r="D9036" s="13" t="n">
        <v>45691</v>
      </c>
      <c r="E9036" s="14" t="n">
        <v>4218.84</v>
      </c>
      <c r="F9036" s="14" t="n">
        <v>4218.84</v>
      </c>
      <c r="G9036" s="6" t="s">
        <v>2613</v>
      </c>
    </row>
    <row r="9037" customFormat="false" ht="15" hidden="false" customHeight="true" outlineLevel="0" collapsed="false">
      <c r="A9037" s="6" t="s">
        <v>11649</v>
      </c>
      <c r="B9037" s="6" t="s">
        <v>1881</v>
      </c>
      <c r="C9037" s="6" t="s">
        <v>116</v>
      </c>
      <c r="D9037" s="13" t="n">
        <v>45698</v>
      </c>
      <c r="E9037" s="14" t="n">
        <v>2823.83</v>
      </c>
      <c r="F9037" s="14" t="n">
        <v>7042.67</v>
      </c>
      <c r="G9037" s="6" t="s">
        <v>2613</v>
      </c>
    </row>
    <row r="9038" customFormat="false" ht="15" hidden="false" customHeight="true" outlineLevel="0" collapsed="false">
      <c r="A9038" s="6" t="s">
        <v>11650</v>
      </c>
      <c r="B9038" s="6" t="s">
        <v>1881</v>
      </c>
      <c r="C9038" s="6" t="s">
        <v>116</v>
      </c>
      <c r="D9038" s="13" t="n">
        <v>45705</v>
      </c>
      <c r="E9038" s="14" t="n">
        <v>3640.03</v>
      </c>
      <c r="F9038" s="14" t="n">
        <v>10682.7</v>
      </c>
      <c r="G9038" s="6" t="s">
        <v>2613</v>
      </c>
    </row>
    <row r="9039" customFormat="false" ht="15" hidden="false" customHeight="true" outlineLevel="0" collapsed="false">
      <c r="A9039" s="6" t="s">
        <v>11651</v>
      </c>
      <c r="B9039" s="6" t="s">
        <v>1881</v>
      </c>
      <c r="C9039" s="6" t="s">
        <v>116</v>
      </c>
      <c r="D9039" s="13" t="n">
        <v>45712</v>
      </c>
      <c r="E9039" s="14" t="n">
        <v>3374.58</v>
      </c>
      <c r="F9039" s="14" t="n">
        <v>14057.28</v>
      </c>
      <c r="G9039" s="6" t="s">
        <v>2623</v>
      </c>
    </row>
    <row r="9040" customFormat="false" ht="15" hidden="false" customHeight="true" outlineLevel="0" collapsed="false">
      <c r="A9040" s="6" t="s">
        <v>11652</v>
      </c>
      <c r="B9040" s="6" t="s">
        <v>1881</v>
      </c>
      <c r="C9040" s="6" t="s">
        <v>116</v>
      </c>
      <c r="D9040" s="13" t="n">
        <v>45719</v>
      </c>
      <c r="E9040" s="14" t="n">
        <v>2458.42</v>
      </c>
      <c r="F9040" s="14" t="n">
        <v>16515.7</v>
      </c>
      <c r="G9040" s="6" t="s">
        <v>2613</v>
      </c>
    </row>
    <row r="9041" customFormat="false" ht="15" hidden="false" customHeight="true" outlineLevel="0" collapsed="false">
      <c r="A9041" s="6" t="s">
        <v>11653</v>
      </c>
      <c r="B9041" s="6" t="s">
        <v>1881</v>
      </c>
      <c r="C9041" s="6" t="s">
        <v>116</v>
      </c>
      <c r="D9041" s="13" t="n">
        <v>45726</v>
      </c>
      <c r="E9041" s="14" t="n">
        <v>5246.23</v>
      </c>
      <c r="F9041" s="14" t="n">
        <v>21761.93</v>
      </c>
      <c r="G9041" s="6" t="s">
        <v>2623</v>
      </c>
    </row>
    <row r="9042" customFormat="false" ht="15" hidden="false" customHeight="true" outlineLevel="0" collapsed="false">
      <c r="A9042" s="6" t="s">
        <v>11654</v>
      </c>
      <c r="B9042" s="6" t="s">
        <v>1881</v>
      </c>
      <c r="C9042" s="6" t="s">
        <v>116</v>
      </c>
      <c r="D9042" s="13" t="n">
        <v>45733</v>
      </c>
      <c r="E9042" s="14" t="n">
        <v>3817.59</v>
      </c>
      <c r="F9042" s="14" t="n">
        <v>25579.52</v>
      </c>
      <c r="G9042" s="6" t="s">
        <v>2613</v>
      </c>
    </row>
    <row r="9043" customFormat="false" ht="15" hidden="false" customHeight="true" outlineLevel="0" collapsed="false">
      <c r="A9043" s="6" t="s">
        <v>11655</v>
      </c>
      <c r="B9043" s="6" t="s">
        <v>1881</v>
      </c>
      <c r="C9043" s="6" t="s">
        <v>116</v>
      </c>
      <c r="D9043" s="13" t="n">
        <v>45740</v>
      </c>
      <c r="E9043" s="14" t="n">
        <v>3903.34</v>
      </c>
      <c r="F9043" s="14" t="n">
        <v>29482.86</v>
      </c>
      <c r="G9043" s="6" t="s">
        <v>2613</v>
      </c>
    </row>
    <row r="9044" customFormat="false" ht="15" hidden="false" customHeight="true" outlineLevel="0" collapsed="false">
      <c r="A9044" s="6" t="s">
        <v>11656</v>
      </c>
      <c r="B9044" s="6" t="s">
        <v>1881</v>
      </c>
      <c r="C9044" s="6" t="s">
        <v>116</v>
      </c>
      <c r="D9044" s="13" t="n">
        <v>45747</v>
      </c>
      <c r="E9044" s="14" t="n">
        <v>5749.77</v>
      </c>
      <c r="F9044" s="14" t="n">
        <v>35232.63</v>
      </c>
      <c r="G9044" s="6" t="s">
        <v>2623</v>
      </c>
    </row>
    <row r="9045" customFormat="false" ht="15" hidden="false" customHeight="true" outlineLevel="0" collapsed="false">
      <c r="A9045" s="6" t="s">
        <v>11657</v>
      </c>
      <c r="B9045" s="6" t="s">
        <v>1883</v>
      </c>
      <c r="C9045" s="6" t="s">
        <v>116</v>
      </c>
      <c r="D9045" s="13" t="n">
        <v>45834</v>
      </c>
      <c r="E9045" s="14" t="n">
        <v>514.92</v>
      </c>
      <c r="F9045" s="14" t="n">
        <v>514.92</v>
      </c>
      <c r="G9045" s="6" t="s">
        <v>2613</v>
      </c>
    </row>
    <row r="9046" customFormat="false" ht="15" hidden="false" customHeight="true" outlineLevel="0" collapsed="false">
      <c r="A9046" s="6" t="s">
        <v>11658</v>
      </c>
      <c r="B9046" s="6" t="s">
        <v>1883</v>
      </c>
      <c r="C9046" s="6" t="s">
        <v>116</v>
      </c>
      <c r="D9046" s="13" t="n">
        <v>45841</v>
      </c>
      <c r="E9046" s="14" t="n">
        <v>488.71</v>
      </c>
      <c r="F9046" s="14" t="n">
        <v>1003.63</v>
      </c>
      <c r="G9046" s="6" t="s">
        <v>2613</v>
      </c>
    </row>
    <row r="9047" customFormat="false" ht="15" hidden="false" customHeight="true" outlineLevel="0" collapsed="false">
      <c r="A9047" s="6" t="s">
        <v>11659</v>
      </c>
      <c r="B9047" s="6" t="s">
        <v>1883</v>
      </c>
      <c r="C9047" s="6" t="s">
        <v>116</v>
      </c>
      <c r="D9047" s="13" t="n">
        <v>45848</v>
      </c>
      <c r="E9047" s="14" t="n">
        <v>489.68</v>
      </c>
      <c r="F9047" s="14" t="n">
        <v>1493.31</v>
      </c>
      <c r="G9047" s="6" t="s">
        <v>2613</v>
      </c>
    </row>
    <row r="9048" customFormat="false" ht="15" hidden="false" customHeight="true" outlineLevel="0" collapsed="false">
      <c r="A9048" s="6" t="s">
        <v>11660</v>
      </c>
      <c r="B9048" s="6" t="s">
        <v>1883</v>
      </c>
      <c r="C9048" s="6" t="s">
        <v>116</v>
      </c>
      <c r="D9048" s="13" t="n">
        <v>45855</v>
      </c>
      <c r="E9048" s="14" t="n">
        <v>362.08</v>
      </c>
      <c r="F9048" s="14" t="n">
        <v>1855.39</v>
      </c>
      <c r="G9048" s="6" t="s">
        <v>2613</v>
      </c>
    </row>
    <row r="9049" customFormat="false" ht="15" hidden="false" customHeight="true" outlineLevel="0" collapsed="false">
      <c r="A9049" s="6" t="s">
        <v>11661</v>
      </c>
      <c r="B9049" s="6" t="s">
        <v>1883</v>
      </c>
      <c r="C9049" s="6" t="s">
        <v>116</v>
      </c>
      <c r="D9049" s="13" t="n">
        <v>45862</v>
      </c>
      <c r="E9049" s="14" t="n">
        <v>421.59</v>
      </c>
      <c r="F9049" s="14" t="n">
        <v>2276.98</v>
      </c>
      <c r="G9049" s="6" t="s">
        <v>2613</v>
      </c>
    </row>
    <row r="9050" customFormat="false" ht="15" hidden="false" customHeight="true" outlineLevel="0" collapsed="false">
      <c r="A9050" s="6" t="s">
        <v>11662</v>
      </c>
      <c r="B9050" s="6" t="s">
        <v>1883</v>
      </c>
      <c r="C9050" s="6" t="s">
        <v>116</v>
      </c>
      <c r="D9050" s="13" t="n">
        <v>45869</v>
      </c>
      <c r="E9050" s="14" t="n">
        <v>476.54</v>
      </c>
      <c r="F9050" s="14" t="n">
        <v>2753.52</v>
      </c>
      <c r="G9050" s="6" t="s">
        <v>2613</v>
      </c>
    </row>
    <row r="9051" customFormat="false" ht="15" hidden="false" customHeight="true" outlineLevel="0" collapsed="false">
      <c r="A9051" s="6" t="s">
        <v>11663</v>
      </c>
      <c r="B9051" s="6" t="s">
        <v>1883</v>
      </c>
      <c r="C9051" s="6" t="s">
        <v>116</v>
      </c>
      <c r="D9051" s="13" t="n">
        <v>45876</v>
      </c>
      <c r="E9051" s="14" t="n">
        <v>206.2</v>
      </c>
      <c r="F9051" s="14" t="n">
        <v>2959.72</v>
      </c>
      <c r="G9051" s="6" t="s">
        <v>2613</v>
      </c>
    </row>
    <row r="9052" customFormat="false" ht="15" hidden="false" customHeight="true" outlineLevel="0" collapsed="false">
      <c r="A9052" s="6" t="s">
        <v>11664</v>
      </c>
      <c r="B9052" s="6" t="s">
        <v>1885</v>
      </c>
      <c r="C9052" s="6" t="s">
        <v>120</v>
      </c>
      <c r="D9052" s="13" t="n">
        <v>45897</v>
      </c>
      <c r="E9052" s="14" t="n">
        <v>1038.04</v>
      </c>
      <c r="F9052" s="14" t="n">
        <v>1038.04</v>
      </c>
      <c r="G9052" s="6" t="s">
        <v>2613</v>
      </c>
    </row>
    <row r="9053" customFormat="false" ht="15" hidden="false" customHeight="true" outlineLevel="0" collapsed="false">
      <c r="A9053" s="6" t="s">
        <v>11665</v>
      </c>
      <c r="B9053" s="6" t="s">
        <v>1885</v>
      </c>
      <c r="C9053" s="6" t="s">
        <v>120</v>
      </c>
      <c r="D9053" s="13" t="n">
        <v>45904</v>
      </c>
      <c r="E9053" s="14" t="n">
        <v>1374.42</v>
      </c>
      <c r="F9053" s="14" t="n">
        <v>2412.46</v>
      </c>
      <c r="G9053" s="6" t="s">
        <v>2613</v>
      </c>
    </row>
    <row r="9054" customFormat="false" ht="15" hidden="false" customHeight="true" outlineLevel="0" collapsed="false">
      <c r="A9054" s="6" t="s">
        <v>11666</v>
      </c>
      <c r="B9054" s="6" t="s">
        <v>1885</v>
      </c>
      <c r="C9054" s="6" t="s">
        <v>120</v>
      </c>
      <c r="D9054" s="13" t="n">
        <v>45911</v>
      </c>
      <c r="E9054" s="14" t="n">
        <v>936.67</v>
      </c>
      <c r="F9054" s="14" t="n">
        <v>3349.13</v>
      </c>
      <c r="G9054" s="6" t="s">
        <v>2613</v>
      </c>
    </row>
    <row r="9055" customFormat="false" ht="15" hidden="false" customHeight="true" outlineLevel="0" collapsed="false">
      <c r="A9055" s="6" t="s">
        <v>11667</v>
      </c>
      <c r="B9055" s="6" t="s">
        <v>1885</v>
      </c>
      <c r="C9055" s="6" t="s">
        <v>120</v>
      </c>
      <c r="D9055" s="13" t="n">
        <v>45918</v>
      </c>
      <c r="E9055" s="14" t="n">
        <v>1381.92</v>
      </c>
      <c r="F9055" s="14" t="n">
        <v>4731.05</v>
      </c>
      <c r="G9055" s="6" t="s">
        <v>2613</v>
      </c>
    </row>
    <row r="9056" customFormat="false" ht="15" hidden="false" customHeight="true" outlineLevel="0" collapsed="false">
      <c r="A9056" s="6" t="s">
        <v>11668</v>
      </c>
      <c r="B9056" s="6" t="s">
        <v>1885</v>
      </c>
      <c r="C9056" s="6" t="s">
        <v>120</v>
      </c>
      <c r="D9056" s="13" t="n">
        <v>45925</v>
      </c>
      <c r="E9056" s="14" t="n">
        <v>757.91</v>
      </c>
      <c r="F9056" s="14" t="n">
        <v>5488.96</v>
      </c>
      <c r="G9056" s="6" t="s">
        <v>2613</v>
      </c>
    </row>
    <row r="9057" customFormat="false" ht="15" hidden="false" customHeight="true" outlineLevel="0" collapsed="false">
      <c r="A9057" s="6" t="s">
        <v>11669</v>
      </c>
      <c r="B9057" s="6" t="s">
        <v>1885</v>
      </c>
      <c r="C9057" s="6" t="s">
        <v>120</v>
      </c>
      <c r="D9057" s="13" t="n">
        <v>45932</v>
      </c>
      <c r="E9057" s="14" t="n">
        <v>843.1</v>
      </c>
      <c r="F9057" s="14" t="n">
        <v>6332.06</v>
      </c>
      <c r="G9057" s="6" t="s">
        <v>2613</v>
      </c>
    </row>
    <row r="9058" customFormat="false" ht="15" hidden="false" customHeight="true" outlineLevel="0" collapsed="false">
      <c r="A9058" s="6" t="s">
        <v>11670</v>
      </c>
      <c r="B9058" s="6" t="s">
        <v>1885</v>
      </c>
      <c r="C9058" s="6" t="s">
        <v>120</v>
      </c>
      <c r="D9058" s="13" t="n">
        <v>45939</v>
      </c>
      <c r="E9058" s="14" t="n">
        <v>1376.59</v>
      </c>
      <c r="F9058" s="14" t="n">
        <v>7708.65</v>
      </c>
      <c r="G9058" s="6" t="s">
        <v>2613</v>
      </c>
    </row>
    <row r="9059" customFormat="false" ht="15" hidden="false" customHeight="true" outlineLevel="0" collapsed="false">
      <c r="A9059" s="6" t="s">
        <v>11671</v>
      </c>
      <c r="B9059" s="6" t="s">
        <v>1885</v>
      </c>
      <c r="C9059" s="6" t="s">
        <v>120</v>
      </c>
      <c r="D9059" s="13" t="n">
        <v>45946</v>
      </c>
      <c r="E9059" s="14" t="n">
        <v>880.97</v>
      </c>
      <c r="F9059" s="14" t="n">
        <v>8589.62</v>
      </c>
      <c r="G9059" s="6" t="s">
        <v>2613</v>
      </c>
    </row>
    <row r="9060" customFormat="false" ht="15" hidden="false" customHeight="true" outlineLevel="0" collapsed="false">
      <c r="A9060" s="6" t="s">
        <v>11672</v>
      </c>
      <c r="B9060" s="6" t="s">
        <v>1885</v>
      </c>
      <c r="C9060" s="6" t="s">
        <v>120</v>
      </c>
      <c r="D9060" s="13" t="n">
        <v>45953</v>
      </c>
      <c r="E9060" s="14" t="n">
        <v>1055.38</v>
      </c>
      <c r="F9060" s="14" t="n">
        <v>9645</v>
      </c>
      <c r="G9060" s="6" t="s">
        <v>2613</v>
      </c>
    </row>
    <row r="9061" customFormat="false" ht="15" hidden="false" customHeight="true" outlineLevel="0" collapsed="false">
      <c r="A9061" s="6" t="s">
        <v>11673</v>
      </c>
      <c r="B9061" s="6" t="s">
        <v>1885</v>
      </c>
      <c r="C9061" s="6" t="s">
        <v>120</v>
      </c>
      <c r="D9061" s="13" t="n">
        <v>45960</v>
      </c>
      <c r="E9061" s="14" t="n">
        <v>1341.15</v>
      </c>
      <c r="F9061" s="14" t="n">
        <v>10986.15</v>
      </c>
      <c r="G9061" s="6" t="s">
        <v>2613</v>
      </c>
    </row>
    <row r="9062" customFormat="false" ht="15" hidden="false" customHeight="true" outlineLevel="0" collapsed="false">
      <c r="A9062" s="6" t="s">
        <v>11674</v>
      </c>
      <c r="B9062" s="6" t="s">
        <v>1885</v>
      </c>
      <c r="C9062" s="6" t="s">
        <v>120</v>
      </c>
      <c r="D9062" s="13" t="n">
        <v>45967</v>
      </c>
      <c r="E9062" s="14" t="n">
        <v>1291.84</v>
      </c>
      <c r="F9062" s="14" t="n">
        <v>12277.99</v>
      </c>
      <c r="G9062" s="6" t="s">
        <v>2613</v>
      </c>
    </row>
    <row r="9063" customFormat="false" ht="15" hidden="false" customHeight="true" outlineLevel="0" collapsed="false">
      <c r="A9063" s="6" t="s">
        <v>11675</v>
      </c>
      <c r="B9063" s="6" t="s">
        <v>1885</v>
      </c>
      <c r="C9063" s="6" t="s">
        <v>120</v>
      </c>
      <c r="D9063" s="13" t="n">
        <v>45974</v>
      </c>
      <c r="E9063" s="14" t="n">
        <v>1154.13</v>
      </c>
      <c r="F9063" s="14" t="n">
        <v>13432.12</v>
      </c>
      <c r="G9063" s="6" t="s">
        <v>2613</v>
      </c>
    </row>
    <row r="9064" customFormat="false" ht="15" hidden="false" customHeight="true" outlineLevel="0" collapsed="false">
      <c r="A9064" s="6" t="s">
        <v>11676</v>
      </c>
      <c r="B9064" s="6" t="s">
        <v>1885</v>
      </c>
      <c r="C9064" s="6" t="s">
        <v>120</v>
      </c>
      <c r="D9064" s="13" t="n">
        <v>45981</v>
      </c>
      <c r="E9064" s="14" t="n">
        <v>1484.07</v>
      </c>
      <c r="F9064" s="14" t="n">
        <v>14916.19</v>
      </c>
      <c r="G9064" s="6" t="s">
        <v>2613</v>
      </c>
    </row>
    <row r="9065" customFormat="false" ht="15" hidden="false" customHeight="true" outlineLevel="0" collapsed="false">
      <c r="A9065" s="6" t="s">
        <v>11677</v>
      </c>
      <c r="B9065" s="6" t="s">
        <v>1885</v>
      </c>
      <c r="C9065" s="6" t="s">
        <v>120</v>
      </c>
      <c r="D9065" s="13" t="n">
        <v>45988</v>
      </c>
      <c r="E9065" s="14" t="n">
        <v>678.68</v>
      </c>
      <c r="F9065" s="14" t="n">
        <v>15594.87</v>
      </c>
      <c r="G9065" s="6" t="s">
        <v>2613</v>
      </c>
    </row>
    <row r="9066" customFormat="false" ht="15" hidden="false" customHeight="true" outlineLevel="0" collapsed="false">
      <c r="A9066" s="6" t="s">
        <v>11678</v>
      </c>
      <c r="B9066" s="6" t="s">
        <v>1885</v>
      </c>
      <c r="C9066" s="6" t="s">
        <v>120</v>
      </c>
      <c r="D9066" s="13" t="n">
        <v>45995</v>
      </c>
      <c r="E9066" s="14" t="n">
        <v>983.23</v>
      </c>
      <c r="F9066" s="14" t="n">
        <v>16578.1</v>
      </c>
      <c r="G9066" s="6" t="s">
        <v>2613</v>
      </c>
    </row>
    <row r="9067" customFormat="false" ht="15" hidden="false" customHeight="true" outlineLevel="0" collapsed="false">
      <c r="A9067" s="6" t="s">
        <v>11679</v>
      </c>
      <c r="B9067" s="6" t="s">
        <v>1885</v>
      </c>
      <c r="C9067" s="6" t="s">
        <v>120</v>
      </c>
      <c r="D9067" s="13" t="n">
        <v>46002</v>
      </c>
      <c r="E9067" s="14" t="n">
        <v>1401.19</v>
      </c>
      <c r="F9067" s="14" t="n">
        <v>17979.29</v>
      </c>
      <c r="G9067" s="6" t="s">
        <v>2613</v>
      </c>
    </row>
    <row r="9068" customFormat="false" ht="15" hidden="false" customHeight="true" outlineLevel="0" collapsed="false">
      <c r="A9068" s="6" t="s">
        <v>11680</v>
      </c>
      <c r="B9068" s="6" t="s">
        <v>1885</v>
      </c>
      <c r="C9068" s="6" t="s">
        <v>120</v>
      </c>
      <c r="D9068" s="13" t="n">
        <v>46009</v>
      </c>
      <c r="E9068" s="14" t="n">
        <v>1212.7</v>
      </c>
      <c r="F9068" s="14" t="n">
        <v>19191.99</v>
      </c>
      <c r="G9068" s="6" t="s">
        <v>2623</v>
      </c>
    </row>
    <row r="9069" customFormat="false" ht="15" hidden="false" customHeight="true" outlineLevel="0" collapsed="false">
      <c r="A9069" s="6" t="s">
        <v>11681</v>
      </c>
      <c r="B9069" s="6" t="s">
        <v>1885</v>
      </c>
      <c r="C9069" s="6" t="s">
        <v>120</v>
      </c>
      <c r="D9069" s="13" t="n">
        <v>46016</v>
      </c>
      <c r="E9069" s="14" t="n">
        <v>1000.92</v>
      </c>
      <c r="F9069" s="14" t="n">
        <v>20192.91</v>
      </c>
      <c r="G9069" s="6" t="s">
        <v>2613</v>
      </c>
    </row>
    <row r="9070" customFormat="false" ht="15" hidden="false" customHeight="true" outlineLevel="0" collapsed="false">
      <c r="A9070" s="6" t="s">
        <v>11682</v>
      </c>
      <c r="B9070" s="6" t="s">
        <v>1885</v>
      </c>
      <c r="C9070" s="6" t="s">
        <v>120</v>
      </c>
      <c r="D9070" s="13" t="n">
        <v>46023</v>
      </c>
      <c r="E9070" s="14" t="n">
        <v>1324.99</v>
      </c>
      <c r="F9070" s="14" t="n">
        <v>21517.9</v>
      </c>
      <c r="G9070" s="6" t="s">
        <v>2613</v>
      </c>
    </row>
    <row r="9071" customFormat="false" ht="15" hidden="false" customHeight="true" outlineLevel="0" collapsed="false">
      <c r="A9071" s="6" t="s">
        <v>11683</v>
      </c>
      <c r="B9071" s="6" t="s">
        <v>1885</v>
      </c>
      <c r="C9071" s="6" t="s">
        <v>120</v>
      </c>
      <c r="D9071" s="13" t="n">
        <v>46030</v>
      </c>
      <c r="E9071" s="14" t="n">
        <v>745.26</v>
      </c>
      <c r="F9071" s="14" t="n">
        <v>22263.16</v>
      </c>
      <c r="G9071" s="6" t="s">
        <v>2613</v>
      </c>
    </row>
    <row r="9072" customFormat="false" ht="15" hidden="false" customHeight="true" outlineLevel="0" collapsed="false">
      <c r="A9072" s="6" t="s">
        <v>11684</v>
      </c>
      <c r="B9072" s="6" t="s">
        <v>1885</v>
      </c>
      <c r="C9072" s="6" t="s">
        <v>120</v>
      </c>
      <c r="D9072" s="13" t="n">
        <v>46037</v>
      </c>
      <c r="E9072" s="14" t="n">
        <v>1339.72</v>
      </c>
      <c r="F9072" s="14" t="n">
        <v>23602.88</v>
      </c>
      <c r="G9072" s="6" t="s">
        <v>2613</v>
      </c>
    </row>
    <row r="9073" customFormat="false" ht="15" hidden="false" customHeight="true" outlineLevel="0" collapsed="false">
      <c r="A9073" s="6" t="s">
        <v>11685</v>
      </c>
      <c r="B9073" s="6" t="s">
        <v>1887</v>
      </c>
      <c r="C9073" s="6" t="s">
        <v>128</v>
      </c>
      <c r="D9073" s="13" t="n">
        <v>45246</v>
      </c>
      <c r="E9073" s="14" t="n">
        <v>4387.86</v>
      </c>
      <c r="F9073" s="14" t="n">
        <v>4387.86</v>
      </c>
      <c r="G9073" s="6" t="s">
        <v>2613</v>
      </c>
    </row>
    <row r="9074" customFormat="false" ht="15" hidden="false" customHeight="true" outlineLevel="0" collapsed="false">
      <c r="A9074" s="6" t="s">
        <v>11686</v>
      </c>
      <c r="B9074" s="6" t="s">
        <v>1887</v>
      </c>
      <c r="C9074" s="6" t="s">
        <v>128</v>
      </c>
      <c r="D9074" s="13" t="n">
        <v>45253</v>
      </c>
      <c r="E9074" s="14" t="n">
        <v>3383.34</v>
      </c>
      <c r="F9074" s="14" t="n">
        <v>7771.2</v>
      </c>
      <c r="G9074" s="6" t="s">
        <v>2613</v>
      </c>
    </row>
    <row r="9075" customFormat="false" ht="15" hidden="false" customHeight="true" outlineLevel="0" collapsed="false">
      <c r="A9075" s="6" t="s">
        <v>11687</v>
      </c>
      <c r="B9075" s="6" t="s">
        <v>1887</v>
      </c>
      <c r="C9075" s="6" t="s">
        <v>128</v>
      </c>
      <c r="D9075" s="13" t="n">
        <v>45260</v>
      </c>
      <c r="E9075" s="14" t="n">
        <v>3580.96</v>
      </c>
      <c r="F9075" s="14" t="n">
        <v>11352.16</v>
      </c>
      <c r="G9075" s="6" t="s">
        <v>2613</v>
      </c>
    </row>
    <row r="9076" customFormat="false" ht="15" hidden="false" customHeight="true" outlineLevel="0" collapsed="false">
      <c r="A9076" s="6" t="s">
        <v>11688</v>
      </c>
      <c r="B9076" s="6" t="s">
        <v>1887</v>
      </c>
      <c r="C9076" s="6" t="s">
        <v>128</v>
      </c>
      <c r="D9076" s="13" t="n">
        <v>45267</v>
      </c>
      <c r="E9076" s="14" t="n">
        <v>4987.72</v>
      </c>
      <c r="F9076" s="14" t="n">
        <v>16339.88</v>
      </c>
      <c r="G9076" s="6" t="s">
        <v>2613</v>
      </c>
    </row>
    <row r="9077" customFormat="false" ht="15" hidden="false" customHeight="true" outlineLevel="0" collapsed="false">
      <c r="A9077" s="6" t="s">
        <v>11689</v>
      </c>
      <c r="B9077" s="6" t="s">
        <v>1887</v>
      </c>
      <c r="C9077" s="6" t="s">
        <v>128</v>
      </c>
      <c r="D9077" s="13" t="n">
        <v>45274</v>
      </c>
      <c r="E9077" s="14" t="n">
        <v>5540.38</v>
      </c>
      <c r="F9077" s="14" t="n">
        <v>21880.26</v>
      </c>
      <c r="G9077" s="6" t="s">
        <v>2623</v>
      </c>
    </row>
    <row r="9078" customFormat="false" ht="15" hidden="false" customHeight="true" outlineLevel="0" collapsed="false">
      <c r="A9078" s="6" t="s">
        <v>11690</v>
      </c>
      <c r="B9078" s="6" t="s">
        <v>1887</v>
      </c>
      <c r="C9078" s="6" t="s">
        <v>128</v>
      </c>
      <c r="D9078" s="13" t="n">
        <v>45281</v>
      </c>
      <c r="E9078" s="14" t="n">
        <v>5746.5</v>
      </c>
      <c r="F9078" s="14" t="n">
        <v>27626.76</v>
      </c>
      <c r="G9078" s="6" t="s">
        <v>2613</v>
      </c>
    </row>
    <row r="9079" customFormat="false" ht="15" hidden="false" customHeight="true" outlineLevel="0" collapsed="false">
      <c r="A9079" s="6" t="s">
        <v>11691</v>
      </c>
      <c r="B9079" s="6" t="s">
        <v>1887</v>
      </c>
      <c r="C9079" s="6" t="s">
        <v>128</v>
      </c>
      <c r="D9079" s="13" t="n">
        <v>45288</v>
      </c>
      <c r="E9079" s="14" t="n">
        <v>4254.45</v>
      </c>
      <c r="F9079" s="14" t="n">
        <v>31881.21</v>
      </c>
      <c r="G9079" s="6" t="s">
        <v>2613</v>
      </c>
    </row>
    <row r="9080" customFormat="false" ht="15" hidden="false" customHeight="true" outlineLevel="0" collapsed="false">
      <c r="A9080" s="6" t="s">
        <v>11692</v>
      </c>
      <c r="B9080" s="6" t="s">
        <v>1887</v>
      </c>
      <c r="C9080" s="6" t="s">
        <v>128</v>
      </c>
      <c r="D9080" s="13" t="n">
        <v>45295</v>
      </c>
      <c r="E9080" s="14" t="n">
        <v>1669.16</v>
      </c>
      <c r="F9080" s="14" t="n">
        <v>33550.37</v>
      </c>
      <c r="G9080" s="6" t="s">
        <v>2613</v>
      </c>
    </row>
    <row r="9081" customFormat="false" ht="15" hidden="false" customHeight="true" outlineLevel="0" collapsed="false">
      <c r="A9081" s="6" t="s">
        <v>11693</v>
      </c>
      <c r="B9081" s="6" t="s">
        <v>1889</v>
      </c>
      <c r="C9081" s="6" t="s">
        <v>128</v>
      </c>
      <c r="D9081" s="13" t="n">
        <v>45750</v>
      </c>
      <c r="E9081" s="14" t="n">
        <v>4008</v>
      </c>
      <c r="F9081" s="14" t="n">
        <v>4008</v>
      </c>
      <c r="G9081" s="6" t="s">
        <v>2613</v>
      </c>
    </row>
    <row r="9082" customFormat="false" ht="15" hidden="false" customHeight="true" outlineLevel="0" collapsed="false">
      <c r="A9082" s="6" t="s">
        <v>11694</v>
      </c>
      <c r="B9082" s="6" t="s">
        <v>1889</v>
      </c>
      <c r="C9082" s="6" t="s">
        <v>128</v>
      </c>
      <c r="D9082" s="13" t="n">
        <v>45757</v>
      </c>
      <c r="E9082" s="14" t="n">
        <v>5028.39</v>
      </c>
      <c r="F9082" s="14" t="n">
        <v>9036.39</v>
      </c>
      <c r="G9082" s="6" t="s">
        <v>2613</v>
      </c>
    </row>
    <row r="9083" customFormat="false" ht="15" hidden="false" customHeight="true" outlineLevel="0" collapsed="false">
      <c r="A9083" s="6" t="s">
        <v>11695</v>
      </c>
      <c r="B9083" s="6" t="s">
        <v>1889</v>
      </c>
      <c r="C9083" s="6" t="s">
        <v>128</v>
      </c>
      <c r="D9083" s="13" t="n">
        <v>45764</v>
      </c>
      <c r="E9083" s="14" t="n">
        <v>5850.64</v>
      </c>
      <c r="F9083" s="14" t="n">
        <v>14887.03</v>
      </c>
      <c r="G9083" s="6" t="s">
        <v>2613</v>
      </c>
    </row>
    <row r="9084" customFormat="false" ht="15" hidden="false" customHeight="true" outlineLevel="0" collapsed="false">
      <c r="A9084" s="6" t="s">
        <v>11696</v>
      </c>
      <c r="B9084" s="6" t="s">
        <v>1889</v>
      </c>
      <c r="C9084" s="6" t="s">
        <v>128</v>
      </c>
      <c r="D9084" s="13" t="n">
        <v>45771</v>
      </c>
      <c r="E9084" s="14" t="n">
        <v>6688.4</v>
      </c>
      <c r="F9084" s="14" t="n">
        <v>21575.43</v>
      </c>
      <c r="G9084" s="6" t="s">
        <v>2623</v>
      </c>
    </row>
    <row r="9085" customFormat="false" ht="15" hidden="false" customHeight="true" outlineLevel="0" collapsed="false">
      <c r="A9085" s="6" t="s">
        <v>11697</v>
      </c>
      <c r="B9085" s="6" t="s">
        <v>1889</v>
      </c>
      <c r="C9085" s="6" t="s">
        <v>128</v>
      </c>
      <c r="D9085" s="13" t="n">
        <v>45778</v>
      </c>
      <c r="E9085" s="14" t="n">
        <v>6303.9</v>
      </c>
      <c r="F9085" s="14" t="n">
        <v>27879.33</v>
      </c>
      <c r="G9085" s="6" t="s">
        <v>2613</v>
      </c>
    </row>
    <row r="9086" customFormat="false" ht="15" hidden="false" customHeight="true" outlineLevel="0" collapsed="false">
      <c r="A9086" s="6" t="s">
        <v>11698</v>
      </c>
      <c r="B9086" s="6" t="s">
        <v>1889</v>
      </c>
      <c r="C9086" s="6" t="s">
        <v>128</v>
      </c>
      <c r="D9086" s="13" t="n">
        <v>45785</v>
      </c>
      <c r="E9086" s="14" t="n">
        <v>3749.69</v>
      </c>
      <c r="F9086" s="14" t="n">
        <v>31629.02</v>
      </c>
      <c r="G9086" s="6" t="s">
        <v>2613</v>
      </c>
    </row>
    <row r="9087" customFormat="false" ht="15" hidden="false" customHeight="true" outlineLevel="0" collapsed="false">
      <c r="A9087" s="6" t="s">
        <v>11699</v>
      </c>
      <c r="B9087" s="6" t="s">
        <v>1889</v>
      </c>
      <c r="C9087" s="6" t="s">
        <v>128</v>
      </c>
      <c r="D9087" s="13" t="n">
        <v>45792</v>
      </c>
      <c r="E9087" s="14" t="n">
        <v>4237.93</v>
      </c>
      <c r="F9087" s="14" t="n">
        <v>35866.95</v>
      </c>
      <c r="G9087" s="6" t="s">
        <v>2613</v>
      </c>
    </row>
    <row r="9088" customFormat="false" ht="15" hidden="false" customHeight="true" outlineLevel="0" collapsed="false">
      <c r="A9088" s="6" t="s">
        <v>11700</v>
      </c>
      <c r="B9088" s="6" t="s">
        <v>1889</v>
      </c>
      <c r="C9088" s="6" t="s">
        <v>128</v>
      </c>
      <c r="D9088" s="13" t="n">
        <v>45799</v>
      </c>
      <c r="E9088" s="14" t="n">
        <v>7174.49</v>
      </c>
      <c r="F9088" s="14" t="n">
        <v>43041.44</v>
      </c>
      <c r="G9088" s="6" t="s">
        <v>2613</v>
      </c>
    </row>
    <row r="9089" customFormat="false" ht="15" hidden="false" customHeight="true" outlineLevel="0" collapsed="false">
      <c r="A9089" s="6" t="s">
        <v>11701</v>
      </c>
      <c r="B9089" s="6" t="s">
        <v>1889</v>
      </c>
      <c r="C9089" s="6" t="s">
        <v>128</v>
      </c>
      <c r="D9089" s="13" t="n">
        <v>45806</v>
      </c>
      <c r="E9089" s="14" t="n">
        <v>7026.73</v>
      </c>
      <c r="F9089" s="14" t="n">
        <v>50068.17</v>
      </c>
      <c r="G9089" s="6" t="s">
        <v>2623</v>
      </c>
    </row>
    <row r="9090" customFormat="false" ht="15" hidden="false" customHeight="true" outlineLevel="0" collapsed="false">
      <c r="A9090" s="6" t="s">
        <v>11702</v>
      </c>
      <c r="B9090" s="6" t="s">
        <v>1889</v>
      </c>
      <c r="C9090" s="6" t="s">
        <v>128</v>
      </c>
      <c r="D9090" s="13" t="n">
        <v>45813</v>
      </c>
      <c r="E9090" s="14" t="n">
        <v>6688.99</v>
      </c>
      <c r="F9090" s="14" t="n">
        <v>56757.16</v>
      </c>
      <c r="G9090" s="6" t="s">
        <v>2613</v>
      </c>
    </row>
    <row r="9091" customFormat="false" ht="15" hidden="false" customHeight="true" outlineLevel="0" collapsed="false">
      <c r="A9091" s="6" t="s">
        <v>11703</v>
      </c>
      <c r="B9091" s="6" t="s">
        <v>1889</v>
      </c>
      <c r="C9091" s="6" t="s">
        <v>128</v>
      </c>
      <c r="D9091" s="13" t="n">
        <v>45820</v>
      </c>
      <c r="E9091" s="14" t="n">
        <v>5890.98</v>
      </c>
      <c r="F9091" s="14" t="n">
        <v>62648.14</v>
      </c>
      <c r="G9091" s="6" t="s">
        <v>2613</v>
      </c>
    </row>
    <row r="9092" customFormat="false" ht="15" hidden="false" customHeight="true" outlineLevel="0" collapsed="false">
      <c r="A9092" s="6" t="s">
        <v>11704</v>
      </c>
      <c r="B9092" s="6" t="s">
        <v>1891</v>
      </c>
      <c r="C9092" s="6" t="s">
        <v>128</v>
      </c>
      <c r="D9092" s="13" t="n">
        <v>45815</v>
      </c>
      <c r="E9092" s="14" t="n">
        <v>9366.24</v>
      </c>
      <c r="F9092" s="14" t="n">
        <v>9366.24</v>
      </c>
      <c r="G9092" s="6" t="s">
        <v>2623</v>
      </c>
    </row>
    <row r="9093" customFormat="false" ht="15" hidden="false" customHeight="true" outlineLevel="0" collapsed="false">
      <c r="A9093" s="6" t="s">
        <v>11705</v>
      </c>
      <c r="B9093" s="6" t="s">
        <v>1891</v>
      </c>
      <c r="C9093" s="6" t="s">
        <v>128</v>
      </c>
      <c r="D9093" s="13" t="n">
        <v>45822</v>
      </c>
      <c r="E9093" s="14" t="n">
        <v>8207.34</v>
      </c>
      <c r="F9093" s="14" t="n">
        <v>17573.58</v>
      </c>
      <c r="G9093" s="6" t="s">
        <v>2613</v>
      </c>
    </row>
    <row r="9094" customFormat="false" ht="15" hidden="false" customHeight="true" outlineLevel="0" collapsed="false">
      <c r="A9094" s="6" t="s">
        <v>11706</v>
      </c>
      <c r="B9094" s="6" t="s">
        <v>1891</v>
      </c>
      <c r="C9094" s="6" t="s">
        <v>128</v>
      </c>
      <c r="D9094" s="13" t="n">
        <v>45829</v>
      </c>
      <c r="E9094" s="14" t="n">
        <v>10703.38</v>
      </c>
      <c r="F9094" s="14" t="n">
        <v>28276.96</v>
      </c>
      <c r="G9094" s="6" t="s">
        <v>2613</v>
      </c>
    </row>
    <row r="9095" customFormat="false" ht="15" hidden="false" customHeight="true" outlineLevel="0" collapsed="false">
      <c r="A9095" s="6" t="s">
        <v>11707</v>
      </c>
      <c r="B9095" s="6" t="s">
        <v>1891</v>
      </c>
      <c r="C9095" s="6" t="s">
        <v>128</v>
      </c>
      <c r="D9095" s="13" t="n">
        <v>45836</v>
      </c>
      <c r="E9095" s="14" t="n">
        <v>13059.4</v>
      </c>
      <c r="F9095" s="14" t="n">
        <v>41336.36</v>
      </c>
      <c r="G9095" s="6" t="s">
        <v>2613</v>
      </c>
    </row>
    <row r="9096" customFormat="false" ht="15" hidden="false" customHeight="true" outlineLevel="0" collapsed="false">
      <c r="A9096" s="6" t="s">
        <v>11708</v>
      </c>
      <c r="B9096" s="6" t="s">
        <v>1891</v>
      </c>
      <c r="C9096" s="6" t="s">
        <v>128</v>
      </c>
      <c r="D9096" s="13" t="n">
        <v>45843</v>
      </c>
      <c r="E9096" s="14" t="n">
        <v>12714.37</v>
      </c>
      <c r="F9096" s="14" t="n">
        <v>54050.73</v>
      </c>
      <c r="G9096" s="6" t="s">
        <v>2613</v>
      </c>
    </row>
    <row r="9097" customFormat="false" ht="15" hidden="false" customHeight="true" outlineLevel="0" collapsed="false">
      <c r="A9097" s="6" t="s">
        <v>11709</v>
      </c>
      <c r="B9097" s="6" t="s">
        <v>1891</v>
      </c>
      <c r="C9097" s="6" t="s">
        <v>128</v>
      </c>
      <c r="D9097" s="13" t="n">
        <v>45850</v>
      </c>
      <c r="E9097" s="14" t="n">
        <v>14466.68</v>
      </c>
      <c r="F9097" s="14" t="n">
        <v>68517.41</v>
      </c>
      <c r="G9097" s="6" t="s">
        <v>2623</v>
      </c>
    </row>
    <row r="9098" customFormat="false" ht="15" hidden="false" customHeight="true" outlineLevel="0" collapsed="false">
      <c r="A9098" s="6" t="s">
        <v>11710</v>
      </c>
      <c r="B9098" s="6" t="s">
        <v>1891</v>
      </c>
      <c r="C9098" s="6" t="s">
        <v>128</v>
      </c>
      <c r="D9098" s="13" t="n">
        <v>45857</v>
      </c>
      <c r="E9098" s="14" t="n">
        <v>10473.56</v>
      </c>
      <c r="F9098" s="14" t="n">
        <v>78990.97</v>
      </c>
      <c r="G9098" s="6" t="s">
        <v>2613</v>
      </c>
    </row>
    <row r="9099" customFormat="false" ht="15" hidden="false" customHeight="true" outlineLevel="0" collapsed="false">
      <c r="A9099" s="6" t="s">
        <v>11711</v>
      </c>
      <c r="B9099" s="6" t="s">
        <v>1891</v>
      </c>
      <c r="C9099" s="6" t="s">
        <v>128</v>
      </c>
      <c r="D9099" s="13" t="n">
        <v>45864</v>
      </c>
      <c r="E9099" s="14" t="n">
        <v>11088.39</v>
      </c>
      <c r="F9099" s="14" t="n">
        <v>90079.36</v>
      </c>
      <c r="G9099" s="6" t="s">
        <v>2613</v>
      </c>
    </row>
    <row r="9100" customFormat="false" ht="15" hidden="false" customHeight="true" outlineLevel="0" collapsed="false">
      <c r="A9100" s="6" t="s">
        <v>11712</v>
      </c>
      <c r="B9100" s="6" t="s">
        <v>1891</v>
      </c>
      <c r="C9100" s="6" t="s">
        <v>128</v>
      </c>
      <c r="D9100" s="13" t="n">
        <v>45871</v>
      </c>
      <c r="E9100" s="14" t="n">
        <v>13837.2</v>
      </c>
      <c r="F9100" s="14" t="n">
        <v>103916.56</v>
      </c>
      <c r="G9100" s="6" t="s">
        <v>2613</v>
      </c>
    </row>
    <row r="9101" customFormat="false" ht="15" hidden="false" customHeight="true" outlineLevel="0" collapsed="false">
      <c r="A9101" s="6" t="s">
        <v>11713</v>
      </c>
      <c r="B9101" s="6" t="s">
        <v>1891</v>
      </c>
      <c r="C9101" s="6" t="s">
        <v>128</v>
      </c>
      <c r="D9101" s="13" t="n">
        <v>45878</v>
      </c>
      <c r="E9101" s="14" t="n">
        <v>7052.9</v>
      </c>
      <c r="F9101" s="14" t="n">
        <v>110969.46</v>
      </c>
      <c r="G9101" s="6" t="s">
        <v>2613</v>
      </c>
    </row>
    <row r="9102" customFormat="false" ht="15" hidden="false" customHeight="true" outlineLevel="0" collapsed="false">
      <c r="A9102" s="6" t="s">
        <v>11714</v>
      </c>
      <c r="B9102" s="6" t="s">
        <v>1893</v>
      </c>
      <c r="C9102" s="6" t="s">
        <v>116</v>
      </c>
      <c r="D9102" s="13" t="n">
        <v>45169</v>
      </c>
      <c r="E9102" s="14" t="n">
        <v>6516.7</v>
      </c>
      <c r="F9102" s="14" t="n">
        <v>6516.7</v>
      </c>
      <c r="G9102" s="6" t="s">
        <v>2613</v>
      </c>
    </row>
    <row r="9103" customFormat="false" ht="15" hidden="false" customHeight="true" outlineLevel="0" collapsed="false">
      <c r="A9103" s="6" t="s">
        <v>11715</v>
      </c>
      <c r="B9103" s="6" t="s">
        <v>1893</v>
      </c>
      <c r="C9103" s="6" t="s">
        <v>116</v>
      </c>
      <c r="D9103" s="13" t="n">
        <v>45176</v>
      </c>
      <c r="E9103" s="14" t="n">
        <v>6847.82</v>
      </c>
      <c r="F9103" s="14" t="n">
        <v>13364.52</v>
      </c>
      <c r="G9103" s="6" t="s">
        <v>2613</v>
      </c>
    </row>
    <row r="9104" customFormat="false" ht="15" hidden="false" customHeight="true" outlineLevel="0" collapsed="false">
      <c r="A9104" s="6" t="s">
        <v>11716</v>
      </c>
      <c r="B9104" s="6" t="s">
        <v>1893</v>
      </c>
      <c r="C9104" s="6" t="s">
        <v>116</v>
      </c>
      <c r="D9104" s="13" t="n">
        <v>45183</v>
      </c>
      <c r="E9104" s="14" t="n">
        <v>3009.14</v>
      </c>
      <c r="F9104" s="14" t="n">
        <v>16373.66</v>
      </c>
      <c r="G9104" s="6" t="s">
        <v>2613</v>
      </c>
    </row>
    <row r="9105" customFormat="false" ht="15" hidden="false" customHeight="true" outlineLevel="0" collapsed="false">
      <c r="A9105" s="6" t="s">
        <v>11717</v>
      </c>
      <c r="B9105" s="6" t="s">
        <v>1893</v>
      </c>
      <c r="C9105" s="6" t="s">
        <v>116</v>
      </c>
      <c r="D9105" s="13" t="n">
        <v>45190</v>
      </c>
      <c r="E9105" s="14" t="n">
        <v>6687.16</v>
      </c>
      <c r="F9105" s="14" t="n">
        <v>23060.82</v>
      </c>
      <c r="G9105" s="6" t="s">
        <v>2613</v>
      </c>
    </row>
    <row r="9106" customFormat="false" ht="15" hidden="false" customHeight="true" outlineLevel="0" collapsed="false">
      <c r="A9106" s="6" t="s">
        <v>11718</v>
      </c>
      <c r="B9106" s="6" t="s">
        <v>1893</v>
      </c>
      <c r="C9106" s="6" t="s">
        <v>116</v>
      </c>
      <c r="D9106" s="13" t="n">
        <v>45197</v>
      </c>
      <c r="E9106" s="14" t="n">
        <v>6724.72</v>
      </c>
      <c r="F9106" s="14" t="n">
        <v>29785.54</v>
      </c>
      <c r="G9106" s="6" t="s">
        <v>2613</v>
      </c>
    </row>
    <row r="9107" customFormat="false" ht="15" hidden="false" customHeight="true" outlineLevel="0" collapsed="false">
      <c r="A9107" s="6" t="s">
        <v>11719</v>
      </c>
      <c r="B9107" s="6" t="s">
        <v>1893</v>
      </c>
      <c r="C9107" s="6" t="s">
        <v>116</v>
      </c>
      <c r="D9107" s="13" t="n">
        <v>45204</v>
      </c>
      <c r="E9107" s="14" t="n">
        <v>6916.62</v>
      </c>
      <c r="F9107" s="14" t="n">
        <v>36702.16</v>
      </c>
      <c r="G9107" s="6" t="s">
        <v>2613</v>
      </c>
    </row>
    <row r="9108" customFormat="false" ht="15" hidden="false" customHeight="true" outlineLevel="0" collapsed="false">
      <c r="A9108" s="6" t="s">
        <v>11720</v>
      </c>
      <c r="B9108" s="6" t="s">
        <v>1893</v>
      </c>
      <c r="C9108" s="6" t="s">
        <v>116</v>
      </c>
      <c r="D9108" s="13" t="n">
        <v>45211</v>
      </c>
      <c r="E9108" s="14" t="n">
        <v>6544.8</v>
      </c>
      <c r="F9108" s="14" t="n">
        <v>43246.96</v>
      </c>
      <c r="G9108" s="6" t="s">
        <v>2623</v>
      </c>
    </row>
    <row r="9109" customFormat="false" ht="15" hidden="false" customHeight="true" outlineLevel="0" collapsed="false">
      <c r="A9109" s="6" t="s">
        <v>11721</v>
      </c>
      <c r="B9109" s="6" t="s">
        <v>1893</v>
      </c>
      <c r="C9109" s="6" t="s">
        <v>116</v>
      </c>
      <c r="D9109" s="13" t="n">
        <v>45218</v>
      </c>
      <c r="E9109" s="14" t="n">
        <v>4301.81</v>
      </c>
      <c r="F9109" s="14" t="n">
        <v>47548.77</v>
      </c>
      <c r="G9109" s="6" t="s">
        <v>2613</v>
      </c>
    </row>
    <row r="9110" customFormat="false" ht="15" hidden="false" customHeight="true" outlineLevel="0" collapsed="false">
      <c r="A9110" s="6" t="s">
        <v>11722</v>
      </c>
      <c r="B9110" s="6" t="s">
        <v>1893</v>
      </c>
      <c r="C9110" s="6" t="s">
        <v>116</v>
      </c>
      <c r="D9110" s="13" t="n">
        <v>45225</v>
      </c>
      <c r="E9110" s="14" t="n">
        <v>3718.16</v>
      </c>
      <c r="F9110" s="14" t="n">
        <v>51266.93</v>
      </c>
      <c r="G9110" s="6" t="s">
        <v>2613</v>
      </c>
    </row>
    <row r="9111" customFormat="false" ht="15" hidden="false" customHeight="true" outlineLevel="0" collapsed="false">
      <c r="A9111" s="6" t="s">
        <v>11723</v>
      </c>
      <c r="B9111" s="6" t="s">
        <v>1893</v>
      </c>
      <c r="C9111" s="6" t="s">
        <v>116</v>
      </c>
      <c r="D9111" s="13" t="n">
        <v>45232</v>
      </c>
      <c r="E9111" s="14" t="n">
        <v>5639.06</v>
      </c>
      <c r="F9111" s="14" t="n">
        <v>56905.99</v>
      </c>
      <c r="G9111" s="6" t="s">
        <v>2623</v>
      </c>
    </row>
    <row r="9112" customFormat="false" ht="15" hidden="false" customHeight="true" outlineLevel="0" collapsed="false">
      <c r="A9112" s="6" t="s">
        <v>11724</v>
      </c>
      <c r="B9112" s="6" t="s">
        <v>1893</v>
      </c>
      <c r="C9112" s="6" t="s">
        <v>116</v>
      </c>
      <c r="D9112" s="13" t="n">
        <v>45239</v>
      </c>
      <c r="E9112" s="14" t="n">
        <v>5777.92</v>
      </c>
      <c r="F9112" s="14" t="n">
        <v>62683.91</v>
      </c>
      <c r="G9112" s="6" t="s">
        <v>2613</v>
      </c>
    </row>
    <row r="9113" customFormat="false" ht="15" hidden="false" customHeight="true" outlineLevel="0" collapsed="false">
      <c r="A9113" s="6" t="s">
        <v>11725</v>
      </c>
      <c r="B9113" s="6" t="s">
        <v>1893</v>
      </c>
      <c r="C9113" s="6" t="s">
        <v>116</v>
      </c>
      <c r="D9113" s="13" t="n">
        <v>45246</v>
      </c>
      <c r="E9113" s="14" t="n">
        <v>2144.88</v>
      </c>
      <c r="F9113" s="14" t="n">
        <v>64828.79</v>
      </c>
      <c r="G9113" s="6" t="s">
        <v>2613</v>
      </c>
    </row>
    <row r="9114" customFormat="false" ht="15" hidden="false" customHeight="true" outlineLevel="0" collapsed="false">
      <c r="A9114" s="6" t="s">
        <v>11726</v>
      </c>
      <c r="B9114" s="6" t="s">
        <v>1895</v>
      </c>
      <c r="C9114" s="6" t="s">
        <v>128</v>
      </c>
      <c r="D9114" s="13" t="n">
        <v>45939</v>
      </c>
      <c r="E9114" s="14" t="n">
        <v>3207.17</v>
      </c>
      <c r="F9114" s="14" t="n">
        <v>3207.17</v>
      </c>
      <c r="G9114" s="6" t="s">
        <v>2613</v>
      </c>
    </row>
    <row r="9115" customFormat="false" ht="15" hidden="false" customHeight="true" outlineLevel="0" collapsed="false">
      <c r="A9115" s="6" t="s">
        <v>11727</v>
      </c>
      <c r="B9115" s="6" t="s">
        <v>1895</v>
      </c>
      <c r="C9115" s="6" t="s">
        <v>128</v>
      </c>
      <c r="D9115" s="13" t="n">
        <v>45946</v>
      </c>
      <c r="E9115" s="14" t="n">
        <v>2271.72</v>
      </c>
      <c r="F9115" s="14" t="n">
        <v>5478.89</v>
      </c>
      <c r="G9115" s="6" t="s">
        <v>2613</v>
      </c>
    </row>
    <row r="9116" customFormat="false" ht="15" hidden="false" customHeight="true" outlineLevel="0" collapsed="false">
      <c r="A9116" s="6" t="s">
        <v>11728</v>
      </c>
      <c r="B9116" s="6" t="s">
        <v>1895</v>
      </c>
      <c r="C9116" s="6" t="s">
        <v>128</v>
      </c>
      <c r="D9116" s="13" t="n">
        <v>45953</v>
      </c>
      <c r="E9116" s="14" t="n">
        <v>1735.94</v>
      </c>
      <c r="F9116" s="14" t="n">
        <v>7214.83</v>
      </c>
      <c r="G9116" s="6" t="s">
        <v>2613</v>
      </c>
    </row>
    <row r="9117" customFormat="false" ht="15" hidden="false" customHeight="true" outlineLevel="0" collapsed="false">
      <c r="A9117" s="6" t="s">
        <v>11729</v>
      </c>
      <c r="B9117" s="6" t="s">
        <v>1895</v>
      </c>
      <c r="C9117" s="6" t="s">
        <v>128</v>
      </c>
      <c r="D9117" s="13" t="n">
        <v>45960</v>
      </c>
      <c r="E9117" s="14" t="n">
        <v>3274.77</v>
      </c>
      <c r="F9117" s="14" t="n">
        <v>10489.6</v>
      </c>
      <c r="G9117" s="6" t="s">
        <v>2613</v>
      </c>
    </row>
    <row r="9118" customFormat="false" ht="15" hidden="false" customHeight="true" outlineLevel="0" collapsed="false">
      <c r="A9118" s="6" t="s">
        <v>11730</v>
      </c>
      <c r="B9118" s="6" t="s">
        <v>1895</v>
      </c>
      <c r="C9118" s="6" t="s">
        <v>128</v>
      </c>
      <c r="D9118" s="13" t="n">
        <v>45967</v>
      </c>
      <c r="E9118" s="14" t="n">
        <v>1590.97</v>
      </c>
      <c r="F9118" s="14" t="n">
        <v>12080.57</v>
      </c>
      <c r="G9118" s="6" t="s">
        <v>2613</v>
      </c>
    </row>
    <row r="9119" customFormat="false" ht="15" hidden="false" customHeight="true" outlineLevel="0" collapsed="false">
      <c r="A9119" s="6" t="s">
        <v>11731</v>
      </c>
      <c r="B9119" s="6" t="s">
        <v>1895</v>
      </c>
      <c r="C9119" s="6" t="s">
        <v>128</v>
      </c>
      <c r="D9119" s="13" t="n">
        <v>45974</v>
      </c>
      <c r="E9119" s="14" t="n">
        <v>2380.92</v>
      </c>
      <c r="F9119" s="14" t="n">
        <v>14461.49</v>
      </c>
      <c r="G9119" s="6" t="s">
        <v>2613</v>
      </c>
    </row>
    <row r="9120" customFormat="false" ht="15" hidden="false" customHeight="true" outlineLevel="0" collapsed="false">
      <c r="A9120" s="6" t="s">
        <v>11732</v>
      </c>
      <c r="B9120" s="6" t="s">
        <v>1895</v>
      </c>
      <c r="C9120" s="6" t="s">
        <v>128</v>
      </c>
      <c r="D9120" s="13" t="n">
        <v>45981</v>
      </c>
      <c r="E9120" s="14" t="n">
        <v>2680.37</v>
      </c>
      <c r="F9120" s="14" t="n">
        <v>17141.86</v>
      </c>
      <c r="G9120" s="6" t="s">
        <v>2613</v>
      </c>
    </row>
    <row r="9121" customFormat="false" ht="15" hidden="false" customHeight="true" outlineLevel="0" collapsed="false">
      <c r="A9121" s="6" t="s">
        <v>11733</v>
      </c>
      <c r="B9121" s="6" t="s">
        <v>1897</v>
      </c>
      <c r="C9121" s="6" t="s">
        <v>120</v>
      </c>
      <c r="D9121" s="13" t="n">
        <v>45470</v>
      </c>
      <c r="E9121" s="14" t="n">
        <v>6604.28</v>
      </c>
      <c r="F9121" s="14" t="n">
        <v>6604.28</v>
      </c>
      <c r="G9121" s="6" t="s">
        <v>2613</v>
      </c>
    </row>
    <row r="9122" customFormat="false" ht="15" hidden="false" customHeight="true" outlineLevel="0" collapsed="false">
      <c r="A9122" s="6" t="s">
        <v>11734</v>
      </c>
      <c r="B9122" s="6" t="s">
        <v>1897</v>
      </c>
      <c r="C9122" s="6" t="s">
        <v>120</v>
      </c>
      <c r="D9122" s="13" t="n">
        <v>45477</v>
      </c>
      <c r="E9122" s="14" t="n">
        <v>6061</v>
      </c>
      <c r="F9122" s="14" t="n">
        <v>12665.28</v>
      </c>
      <c r="G9122" s="6" t="s">
        <v>2613</v>
      </c>
    </row>
    <row r="9123" customFormat="false" ht="15" hidden="false" customHeight="true" outlineLevel="0" collapsed="false">
      <c r="A9123" s="6" t="s">
        <v>11735</v>
      </c>
      <c r="B9123" s="6" t="s">
        <v>1897</v>
      </c>
      <c r="C9123" s="6" t="s">
        <v>120</v>
      </c>
      <c r="D9123" s="13" t="n">
        <v>45484</v>
      </c>
      <c r="E9123" s="14" t="n">
        <v>5198.33</v>
      </c>
      <c r="F9123" s="14" t="n">
        <v>17863.61</v>
      </c>
      <c r="G9123" s="6" t="s">
        <v>2613</v>
      </c>
    </row>
    <row r="9124" customFormat="false" ht="15" hidden="false" customHeight="true" outlineLevel="0" collapsed="false">
      <c r="A9124" s="6" t="s">
        <v>11736</v>
      </c>
      <c r="B9124" s="6" t="s">
        <v>1897</v>
      </c>
      <c r="C9124" s="6" t="s">
        <v>120</v>
      </c>
      <c r="D9124" s="13" t="n">
        <v>45491</v>
      </c>
      <c r="E9124" s="14" t="n">
        <v>3683.77</v>
      </c>
      <c r="F9124" s="14" t="n">
        <v>21547.38</v>
      </c>
      <c r="G9124" s="6" t="s">
        <v>2613</v>
      </c>
    </row>
    <row r="9125" customFormat="false" ht="15" hidden="false" customHeight="true" outlineLevel="0" collapsed="false">
      <c r="A9125" s="6" t="s">
        <v>11737</v>
      </c>
      <c r="B9125" s="6" t="s">
        <v>1897</v>
      </c>
      <c r="C9125" s="6" t="s">
        <v>120</v>
      </c>
      <c r="D9125" s="13" t="n">
        <v>45498</v>
      </c>
      <c r="E9125" s="14" t="n">
        <v>6552.79</v>
      </c>
      <c r="F9125" s="14" t="n">
        <v>28100.17</v>
      </c>
      <c r="G9125" s="6" t="s">
        <v>2613</v>
      </c>
    </row>
    <row r="9126" customFormat="false" ht="15" hidden="false" customHeight="true" outlineLevel="0" collapsed="false">
      <c r="A9126" s="6" t="s">
        <v>11738</v>
      </c>
      <c r="B9126" s="6" t="s">
        <v>1897</v>
      </c>
      <c r="C9126" s="6" t="s">
        <v>120</v>
      </c>
      <c r="D9126" s="13" t="n">
        <v>45505</v>
      </c>
      <c r="E9126" s="14" t="n">
        <v>3789.21</v>
      </c>
      <c r="F9126" s="14" t="n">
        <v>31889.38</v>
      </c>
      <c r="G9126" s="6" t="s">
        <v>2623</v>
      </c>
    </row>
    <row r="9127" customFormat="false" ht="15" hidden="false" customHeight="true" outlineLevel="0" collapsed="false">
      <c r="A9127" s="6" t="s">
        <v>11739</v>
      </c>
      <c r="B9127" s="6" t="s">
        <v>1897</v>
      </c>
      <c r="C9127" s="6" t="s">
        <v>120</v>
      </c>
      <c r="D9127" s="13" t="n">
        <v>45512</v>
      </c>
      <c r="E9127" s="14" t="n">
        <v>6287.32</v>
      </c>
      <c r="F9127" s="14" t="n">
        <v>38176.7</v>
      </c>
      <c r="G9127" s="6" t="s">
        <v>2613</v>
      </c>
    </row>
    <row r="9128" customFormat="false" ht="15" hidden="false" customHeight="true" outlineLevel="0" collapsed="false">
      <c r="A9128" s="6" t="s">
        <v>11740</v>
      </c>
      <c r="B9128" s="6" t="s">
        <v>1897</v>
      </c>
      <c r="C9128" s="6" t="s">
        <v>120</v>
      </c>
      <c r="D9128" s="13" t="n">
        <v>45519</v>
      </c>
      <c r="E9128" s="14" t="n">
        <v>3338.59</v>
      </c>
      <c r="F9128" s="14" t="n">
        <v>41515.29</v>
      </c>
      <c r="G9128" s="6" t="s">
        <v>2613</v>
      </c>
    </row>
    <row r="9129" customFormat="false" ht="15" hidden="false" customHeight="true" outlineLevel="0" collapsed="false">
      <c r="A9129" s="6" t="s">
        <v>11741</v>
      </c>
      <c r="B9129" s="6" t="s">
        <v>1897</v>
      </c>
      <c r="C9129" s="6" t="s">
        <v>120</v>
      </c>
      <c r="D9129" s="13" t="n">
        <v>45526</v>
      </c>
      <c r="E9129" s="14" t="n">
        <v>3087.49</v>
      </c>
      <c r="F9129" s="14" t="n">
        <v>44602.78</v>
      </c>
      <c r="G9129" s="6" t="s">
        <v>2613</v>
      </c>
    </row>
    <row r="9130" customFormat="false" ht="15" hidden="false" customHeight="true" outlineLevel="0" collapsed="false">
      <c r="A9130" s="6" t="s">
        <v>11742</v>
      </c>
      <c r="B9130" s="6" t="s">
        <v>1897</v>
      </c>
      <c r="C9130" s="6" t="s">
        <v>120</v>
      </c>
      <c r="D9130" s="13" t="n">
        <v>45533</v>
      </c>
      <c r="E9130" s="14" t="n">
        <v>3780.95</v>
      </c>
      <c r="F9130" s="14" t="n">
        <v>48383.73</v>
      </c>
      <c r="G9130" s="6" t="s">
        <v>2613</v>
      </c>
    </row>
    <row r="9131" customFormat="false" ht="15" hidden="false" customHeight="true" outlineLevel="0" collapsed="false">
      <c r="A9131" s="6" t="s">
        <v>11743</v>
      </c>
      <c r="B9131" s="6" t="s">
        <v>1897</v>
      </c>
      <c r="C9131" s="6" t="s">
        <v>120</v>
      </c>
      <c r="D9131" s="13" t="n">
        <v>45540</v>
      </c>
      <c r="E9131" s="14" t="n">
        <v>5209.2</v>
      </c>
      <c r="F9131" s="14" t="n">
        <v>53592.93</v>
      </c>
      <c r="G9131" s="6" t="s">
        <v>2613</v>
      </c>
    </row>
    <row r="9132" customFormat="false" ht="15" hidden="false" customHeight="true" outlineLevel="0" collapsed="false">
      <c r="A9132" s="6" t="s">
        <v>11744</v>
      </c>
      <c r="B9132" s="6" t="s">
        <v>1897</v>
      </c>
      <c r="C9132" s="6" t="s">
        <v>120</v>
      </c>
      <c r="D9132" s="13" t="n">
        <v>45547</v>
      </c>
      <c r="E9132" s="14" t="n">
        <v>6690</v>
      </c>
      <c r="F9132" s="14" t="n">
        <v>60282.93</v>
      </c>
      <c r="G9132" s="6" t="s">
        <v>2613</v>
      </c>
    </row>
    <row r="9133" customFormat="false" ht="15" hidden="false" customHeight="true" outlineLevel="0" collapsed="false">
      <c r="A9133" s="6" t="s">
        <v>11745</v>
      </c>
      <c r="B9133" s="6" t="s">
        <v>1897</v>
      </c>
      <c r="C9133" s="6" t="s">
        <v>120</v>
      </c>
      <c r="D9133" s="13" t="n">
        <v>45554</v>
      </c>
      <c r="E9133" s="14" t="n">
        <v>4317.96</v>
      </c>
      <c r="F9133" s="14" t="n">
        <v>64600.89</v>
      </c>
      <c r="G9133" s="6" t="s">
        <v>2613</v>
      </c>
    </row>
    <row r="9134" customFormat="false" ht="15" hidden="false" customHeight="true" outlineLevel="0" collapsed="false">
      <c r="A9134" s="6" t="s">
        <v>11746</v>
      </c>
      <c r="B9134" s="6" t="s">
        <v>1897</v>
      </c>
      <c r="C9134" s="6" t="s">
        <v>120</v>
      </c>
      <c r="D9134" s="13" t="n">
        <v>45561</v>
      </c>
      <c r="E9134" s="14" t="n">
        <v>4430.12</v>
      </c>
      <c r="F9134" s="14" t="n">
        <v>69031.01</v>
      </c>
      <c r="G9134" s="6" t="s">
        <v>2613</v>
      </c>
    </row>
    <row r="9135" customFormat="false" ht="15" hidden="false" customHeight="true" outlineLevel="0" collapsed="false">
      <c r="A9135" s="6" t="s">
        <v>11747</v>
      </c>
      <c r="B9135" s="6" t="s">
        <v>1897</v>
      </c>
      <c r="C9135" s="6" t="s">
        <v>120</v>
      </c>
      <c r="D9135" s="13" t="n">
        <v>45568</v>
      </c>
      <c r="E9135" s="14" t="n">
        <v>4367.96</v>
      </c>
      <c r="F9135" s="14" t="n">
        <v>73398.97</v>
      </c>
      <c r="G9135" s="6" t="s">
        <v>2613</v>
      </c>
    </row>
    <row r="9136" customFormat="false" ht="15" hidden="false" customHeight="true" outlineLevel="0" collapsed="false">
      <c r="A9136" s="6" t="s">
        <v>11748</v>
      </c>
      <c r="B9136" s="6" t="s">
        <v>1897</v>
      </c>
      <c r="C9136" s="6" t="s">
        <v>120</v>
      </c>
      <c r="D9136" s="13" t="n">
        <v>45575</v>
      </c>
      <c r="E9136" s="14" t="n">
        <v>7389.76</v>
      </c>
      <c r="F9136" s="14" t="n">
        <v>80788.73</v>
      </c>
      <c r="G9136" s="6" t="s">
        <v>2613</v>
      </c>
    </row>
    <row r="9137" customFormat="false" ht="15" hidden="false" customHeight="true" outlineLevel="0" collapsed="false">
      <c r="A9137" s="6" t="s">
        <v>11749</v>
      </c>
      <c r="B9137" s="6" t="s">
        <v>1899</v>
      </c>
      <c r="C9137" s="6" t="s">
        <v>124</v>
      </c>
      <c r="D9137" s="13" t="n">
        <v>46012</v>
      </c>
      <c r="E9137" s="14" t="n">
        <v>475.12</v>
      </c>
      <c r="F9137" s="14" t="n">
        <v>475.12</v>
      </c>
      <c r="G9137" s="6" t="s">
        <v>2613</v>
      </c>
    </row>
    <row r="9138" customFormat="false" ht="15" hidden="false" customHeight="true" outlineLevel="0" collapsed="false">
      <c r="A9138" s="6" t="s">
        <v>11750</v>
      </c>
      <c r="B9138" s="6" t="s">
        <v>1899</v>
      </c>
      <c r="C9138" s="6" t="s">
        <v>124</v>
      </c>
      <c r="D9138" s="13" t="n">
        <v>46019</v>
      </c>
      <c r="E9138" s="14" t="n">
        <v>950.94</v>
      </c>
      <c r="F9138" s="14" t="n">
        <v>1426.06</v>
      </c>
      <c r="G9138" s="6" t="s">
        <v>2613</v>
      </c>
    </row>
    <row r="9139" customFormat="false" ht="15" hidden="false" customHeight="true" outlineLevel="0" collapsed="false">
      <c r="A9139" s="6" t="s">
        <v>11751</v>
      </c>
      <c r="B9139" s="6" t="s">
        <v>1899</v>
      </c>
      <c r="C9139" s="6" t="s">
        <v>124</v>
      </c>
      <c r="D9139" s="13" t="n">
        <v>46026</v>
      </c>
      <c r="E9139" s="14" t="n">
        <v>684.38</v>
      </c>
      <c r="F9139" s="14" t="n">
        <v>2110.44</v>
      </c>
      <c r="G9139" s="6" t="s">
        <v>2613</v>
      </c>
    </row>
    <row r="9140" customFormat="false" ht="15" hidden="false" customHeight="true" outlineLevel="0" collapsed="false">
      <c r="A9140" s="6" t="s">
        <v>11752</v>
      </c>
      <c r="B9140" s="6" t="s">
        <v>1899</v>
      </c>
      <c r="C9140" s="6" t="s">
        <v>124</v>
      </c>
      <c r="D9140" s="13" t="n">
        <v>46033</v>
      </c>
      <c r="E9140" s="14" t="n">
        <v>813.8</v>
      </c>
      <c r="F9140" s="14" t="n">
        <v>2924.24</v>
      </c>
      <c r="G9140" s="6" t="s">
        <v>2613</v>
      </c>
    </row>
    <row r="9141" customFormat="false" ht="15" hidden="false" customHeight="true" outlineLevel="0" collapsed="false">
      <c r="A9141" s="6" t="s">
        <v>11753</v>
      </c>
      <c r="B9141" s="6" t="s">
        <v>1899</v>
      </c>
      <c r="C9141" s="6" t="s">
        <v>124</v>
      </c>
      <c r="D9141" s="13" t="n">
        <v>46040</v>
      </c>
      <c r="E9141" s="14" t="n">
        <v>555.61</v>
      </c>
      <c r="F9141" s="14" t="n">
        <v>3479.85</v>
      </c>
      <c r="G9141" s="6" t="s">
        <v>2613</v>
      </c>
    </row>
    <row r="9142" customFormat="false" ht="15" hidden="false" customHeight="true" outlineLevel="0" collapsed="false">
      <c r="A9142" s="6" t="s">
        <v>11754</v>
      </c>
      <c r="B9142" s="6" t="s">
        <v>1899</v>
      </c>
      <c r="C9142" s="6" t="s">
        <v>124</v>
      </c>
      <c r="D9142" s="13" t="n">
        <v>46047</v>
      </c>
      <c r="E9142" s="14" t="n">
        <v>1022.18</v>
      </c>
      <c r="F9142" s="14" t="n">
        <v>4502.03</v>
      </c>
      <c r="G9142" s="6" t="s">
        <v>2613</v>
      </c>
    </row>
    <row r="9143" customFormat="false" ht="15" hidden="false" customHeight="true" outlineLevel="0" collapsed="false">
      <c r="A9143" s="6" t="s">
        <v>11755</v>
      </c>
      <c r="B9143" s="6" t="s">
        <v>1901</v>
      </c>
      <c r="C9143" s="6" t="s">
        <v>131</v>
      </c>
      <c r="D9143" s="13" t="n">
        <v>45675</v>
      </c>
      <c r="E9143" s="14" t="n">
        <v>1369.28</v>
      </c>
      <c r="F9143" s="14" t="n">
        <v>1369.28</v>
      </c>
      <c r="G9143" s="6" t="s">
        <v>2613</v>
      </c>
    </row>
    <row r="9144" customFormat="false" ht="15" hidden="false" customHeight="true" outlineLevel="0" collapsed="false">
      <c r="A9144" s="6" t="s">
        <v>11756</v>
      </c>
      <c r="B9144" s="6" t="s">
        <v>1901</v>
      </c>
      <c r="C9144" s="6" t="s">
        <v>131</v>
      </c>
      <c r="D9144" s="13" t="n">
        <v>45682</v>
      </c>
      <c r="E9144" s="14" t="n">
        <v>2628.74</v>
      </c>
      <c r="F9144" s="14" t="n">
        <v>3998.02</v>
      </c>
      <c r="G9144" s="6" t="s">
        <v>2613</v>
      </c>
    </row>
    <row r="9145" customFormat="false" ht="15" hidden="false" customHeight="true" outlineLevel="0" collapsed="false">
      <c r="A9145" s="6" t="s">
        <v>11757</v>
      </c>
      <c r="B9145" s="6" t="s">
        <v>1901</v>
      </c>
      <c r="C9145" s="6" t="s">
        <v>131</v>
      </c>
      <c r="D9145" s="13" t="n">
        <v>45689</v>
      </c>
      <c r="E9145" s="14" t="n">
        <v>1480.26</v>
      </c>
      <c r="F9145" s="14" t="n">
        <v>5478.28</v>
      </c>
      <c r="G9145" s="6" t="s">
        <v>2623</v>
      </c>
    </row>
    <row r="9146" customFormat="false" ht="15" hidden="false" customHeight="true" outlineLevel="0" collapsed="false">
      <c r="A9146" s="6" t="s">
        <v>11758</v>
      </c>
      <c r="B9146" s="6" t="s">
        <v>1901</v>
      </c>
      <c r="C9146" s="6" t="s">
        <v>131</v>
      </c>
      <c r="D9146" s="13" t="n">
        <v>45696</v>
      </c>
      <c r="E9146" s="14" t="n">
        <v>2632.95</v>
      </c>
      <c r="F9146" s="14" t="n">
        <v>8111.23</v>
      </c>
      <c r="G9146" s="6" t="s">
        <v>2613</v>
      </c>
    </row>
    <row r="9147" customFormat="false" ht="15" hidden="false" customHeight="true" outlineLevel="0" collapsed="false">
      <c r="A9147" s="6" t="s">
        <v>11759</v>
      </c>
      <c r="B9147" s="6" t="s">
        <v>1901</v>
      </c>
      <c r="C9147" s="6" t="s">
        <v>131</v>
      </c>
      <c r="D9147" s="13" t="n">
        <v>45703</v>
      </c>
      <c r="E9147" s="14" t="n">
        <v>2072.16</v>
      </c>
      <c r="F9147" s="14" t="n">
        <v>10183.39</v>
      </c>
      <c r="G9147" s="6" t="s">
        <v>2613</v>
      </c>
    </row>
    <row r="9148" customFormat="false" ht="15" hidden="false" customHeight="true" outlineLevel="0" collapsed="false">
      <c r="A9148" s="6" t="s">
        <v>11760</v>
      </c>
      <c r="B9148" s="6" t="s">
        <v>1901</v>
      </c>
      <c r="C9148" s="6" t="s">
        <v>131</v>
      </c>
      <c r="D9148" s="13" t="n">
        <v>45710</v>
      </c>
      <c r="E9148" s="14" t="n">
        <v>1427.24</v>
      </c>
      <c r="F9148" s="14" t="n">
        <v>11610.63</v>
      </c>
      <c r="G9148" s="6" t="s">
        <v>2613</v>
      </c>
    </row>
    <row r="9149" customFormat="false" ht="15" hidden="false" customHeight="true" outlineLevel="0" collapsed="false">
      <c r="A9149" s="6" t="s">
        <v>11761</v>
      </c>
      <c r="B9149" s="6" t="s">
        <v>1901</v>
      </c>
      <c r="C9149" s="6" t="s">
        <v>131</v>
      </c>
      <c r="D9149" s="13" t="n">
        <v>45717</v>
      </c>
      <c r="E9149" s="14" t="n">
        <v>2632.9</v>
      </c>
      <c r="F9149" s="14" t="n">
        <v>14243.53</v>
      </c>
      <c r="G9149" s="6" t="s">
        <v>2613</v>
      </c>
    </row>
    <row r="9150" customFormat="false" ht="15" hidden="false" customHeight="true" outlineLevel="0" collapsed="false">
      <c r="A9150" s="6" t="s">
        <v>11762</v>
      </c>
      <c r="B9150" s="6" t="s">
        <v>1903</v>
      </c>
      <c r="C9150" s="6" t="s">
        <v>124</v>
      </c>
      <c r="D9150" s="13" t="n">
        <v>44628</v>
      </c>
      <c r="E9150" s="14" t="n">
        <v>3166.38</v>
      </c>
      <c r="F9150" s="14" t="n">
        <v>3166.38</v>
      </c>
      <c r="G9150" s="6" t="s">
        <v>2613</v>
      </c>
    </row>
    <row r="9151" customFormat="false" ht="15" hidden="false" customHeight="true" outlineLevel="0" collapsed="false">
      <c r="A9151" s="6" t="s">
        <v>11763</v>
      </c>
      <c r="B9151" s="6" t="s">
        <v>1903</v>
      </c>
      <c r="C9151" s="6" t="s">
        <v>124</v>
      </c>
      <c r="D9151" s="13" t="n">
        <v>44635</v>
      </c>
      <c r="E9151" s="14" t="n">
        <v>3022.7</v>
      </c>
      <c r="F9151" s="14" t="n">
        <v>6189.08</v>
      </c>
      <c r="G9151" s="6" t="s">
        <v>2613</v>
      </c>
    </row>
    <row r="9152" customFormat="false" ht="15" hidden="false" customHeight="true" outlineLevel="0" collapsed="false">
      <c r="A9152" s="6" t="s">
        <v>11764</v>
      </c>
      <c r="B9152" s="6" t="s">
        <v>1903</v>
      </c>
      <c r="C9152" s="6" t="s">
        <v>124</v>
      </c>
      <c r="D9152" s="13" t="n">
        <v>44642</v>
      </c>
      <c r="E9152" s="14" t="n">
        <v>2568.36</v>
      </c>
      <c r="F9152" s="14" t="n">
        <v>8757.44</v>
      </c>
      <c r="G9152" s="6" t="s">
        <v>2613</v>
      </c>
    </row>
    <row r="9153" customFormat="false" ht="15" hidden="false" customHeight="true" outlineLevel="0" collapsed="false">
      <c r="A9153" s="6" t="s">
        <v>11765</v>
      </c>
      <c r="B9153" s="6" t="s">
        <v>1903</v>
      </c>
      <c r="C9153" s="6" t="s">
        <v>124</v>
      </c>
      <c r="D9153" s="13" t="n">
        <v>44649</v>
      </c>
      <c r="E9153" s="14" t="n">
        <v>4302.93</v>
      </c>
      <c r="F9153" s="14" t="n">
        <v>13060.37</v>
      </c>
      <c r="G9153" s="6" t="s">
        <v>2623</v>
      </c>
    </row>
    <row r="9154" customFormat="false" ht="15" hidden="false" customHeight="true" outlineLevel="0" collapsed="false">
      <c r="A9154" s="6" t="s">
        <v>11766</v>
      </c>
      <c r="B9154" s="6" t="s">
        <v>1903</v>
      </c>
      <c r="C9154" s="6" t="s">
        <v>124</v>
      </c>
      <c r="D9154" s="13" t="n">
        <v>44656</v>
      </c>
      <c r="E9154" s="14" t="n">
        <v>2698.16</v>
      </c>
      <c r="F9154" s="14" t="n">
        <v>15758.53</v>
      </c>
      <c r="G9154" s="6" t="s">
        <v>2613</v>
      </c>
    </row>
    <row r="9155" customFormat="false" ht="15" hidden="false" customHeight="true" outlineLevel="0" collapsed="false">
      <c r="A9155" s="6" t="s">
        <v>11767</v>
      </c>
      <c r="B9155" s="6" t="s">
        <v>1905</v>
      </c>
      <c r="C9155" s="6" t="s">
        <v>128</v>
      </c>
      <c r="D9155" s="13" t="n">
        <v>45900</v>
      </c>
      <c r="E9155" s="14" t="n">
        <v>1677.46</v>
      </c>
      <c r="F9155" s="14" t="n">
        <v>1677.46</v>
      </c>
      <c r="G9155" s="6" t="s">
        <v>2613</v>
      </c>
    </row>
    <row r="9156" customFormat="false" ht="15" hidden="false" customHeight="true" outlineLevel="0" collapsed="false">
      <c r="A9156" s="6" t="s">
        <v>11768</v>
      </c>
      <c r="B9156" s="6" t="s">
        <v>1905</v>
      </c>
      <c r="C9156" s="6" t="s">
        <v>128</v>
      </c>
      <c r="D9156" s="13" t="n">
        <v>45907</v>
      </c>
      <c r="E9156" s="14" t="n">
        <v>1545.11</v>
      </c>
      <c r="F9156" s="14" t="n">
        <v>3222.57</v>
      </c>
      <c r="G9156" s="6" t="s">
        <v>2623</v>
      </c>
    </row>
    <row r="9157" customFormat="false" ht="15" hidden="false" customHeight="true" outlineLevel="0" collapsed="false">
      <c r="A9157" s="6" t="s">
        <v>11769</v>
      </c>
      <c r="B9157" s="6" t="s">
        <v>1905</v>
      </c>
      <c r="C9157" s="6" t="s">
        <v>128</v>
      </c>
      <c r="D9157" s="13" t="n">
        <v>45914</v>
      </c>
      <c r="E9157" s="14" t="n">
        <v>1060.47</v>
      </c>
      <c r="F9157" s="14" t="n">
        <v>4283.04</v>
      </c>
      <c r="G9157" s="6" t="s">
        <v>2613</v>
      </c>
    </row>
    <row r="9158" customFormat="false" ht="15" hidden="false" customHeight="true" outlineLevel="0" collapsed="false">
      <c r="A9158" s="6" t="s">
        <v>11770</v>
      </c>
      <c r="B9158" s="6" t="s">
        <v>1905</v>
      </c>
      <c r="C9158" s="6" t="s">
        <v>128</v>
      </c>
      <c r="D9158" s="13" t="n">
        <v>45921</v>
      </c>
      <c r="E9158" s="14" t="n">
        <v>1351.85</v>
      </c>
      <c r="F9158" s="14" t="n">
        <v>5634.89</v>
      </c>
      <c r="G9158" s="6" t="s">
        <v>2613</v>
      </c>
    </row>
    <row r="9159" customFormat="false" ht="15" hidden="false" customHeight="true" outlineLevel="0" collapsed="false">
      <c r="A9159" s="6" t="s">
        <v>11771</v>
      </c>
      <c r="B9159" s="6" t="s">
        <v>1905</v>
      </c>
      <c r="C9159" s="6" t="s">
        <v>128</v>
      </c>
      <c r="D9159" s="13" t="n">
        <v>45928</v>
      </c>
      <c r="E9159" s="14" t="n">
        <v>1287.54</v>
      </c>
      <c r="F9159" s="14" t="n">
        <v>6922.43</v>
      </c>
      <c r="G9159" s="6" t="s">
        <v>2623</v>
      </c>
    </row>
    <row r="9160" customFormat="false" ht="15" hidden="false" customHeight="true" outlineLevel="0" collapsed="false">
      <c r="A9160" s="6" t="s">
        <v>11772</v>
      </c>
      <c r="B9160" s="6" t="s">
        <v>1905</v>
      </c>
      <c r="C9160" s="6" t="s">
        <v>128</v>
      </c>
      <c r="D9160" s="13" t="n">
        <v>45935</v>
      </c>
      <c r="E9160" s="14" t="n">
        <v>924.46</v>
      </c>
      <c r="F9160" s="14" t="n">
        <v>7846.89</v>
      </c>
      <c r="G9160" s="6" t="s">
        <v>2613</v>
      </c>
    </row>
    <row r="9161" customFormat="false" ht="15" hidden="false" customHeight="true" outlineLevel="0" collapsed="false">
      <c r="A9161" s="6" t="s">
        <v>11773</v>
      </c>
      <c r="B9161" s="6" t="s">
        <v>1905</v>
      </c>
      <c r="C9161" s="6" t="s">
        <v>128</v>
      </c>
      <c r="D9161" s="13" t="n">
        <v>45942</v>
      </c>
      <c r="E9161" s="14" t="n">
        <v>1578.5</v>
      </c>
      <c r="F9161" s="14" t="n">
        <v>9425.39</v>
      </c>
      <c r="G9161" s="6" t="s">
        <v>2613</v>
      </c>
    </row>
    <row r="9162" customFormat="false" ht="15" hidden="false" customHeight="true" outlineLevel="0" collapsed="false">
      <c r="A9162" s="6" t="s">
        <v>11774</v>
      </c>
      <c r="B9162" s="6" t="s">
        <v>1905</v>
      </c>
      <c r="C9162" s="6" t="s">
        <v>128</v>
      </c>
      <c r="D9162" s="13" t="n">
        <v>45949</v>
      </c>
      <c r="E9162" s="14" t="n">
        <v>925.23</v>
      </c>
      <c r="F9162" s="14" t="n">
        <v>10350.62</v>
      </c>
      <c r="G9162" s="6" t="s">
        <v>2613</v>
      </c>
    </row>
    <row r="9163" customFormat="false" ht="15" hidden="false" customHeight="true" outlineLevel="0" collapsed="false">
      <c r="A9163" s="6" t="s">
        <v>11775</v>
      </c>
      <c r="B9163" s="6" t="s">
        <v>1905</v>
      </c>
      <c r="C9163" s="6" t="s">
        <v>128</v>
      </c>
      <c r="D9163" s="13" t="n">
        <v>45956</v>
      </c>
      <c r="E9163" s="14" t="n">
        <v>1652.75</v>
      </c>
      <c r="F9163" s="14" t="n">
        <v>12003.37</v>
      </c>
      <c r="G9163" s="6" t="s">
        <v>2613</v>
      </c>
    </row>
    <row r="9164" customFormat="false" ht="15" hidden="false" customHeight="true" outlineLevel="0" collapsed="false">
      <c r="A9164" s="6" t="s">
        <v>11776</v>
      </c>
      <c r="B9164" s="6" t="s">
        <v>1905</v>
      </c>
      <c r="C9164" s="6" t="s">
        <v>128</v>
      </c>
      <c r="D9164" s="13" t="n">
        <v>45963</v>
      </c>
      <c r="E9164" s="14" t="n">
        <v>1765.66</v>
      </c>
      <c r="F9164" s="14" t="n">
        <v>13769.03</v>
      </c>
      <c r="G9164" s="6" t="s">
        <v>2623</v>
      </c>
    </row>
    <row r="9165" customFormat="false" ht="15" hidden="false" customHeight="true" outlineLevel="0" collapsed="false">
      <c r="A9165" s="6" t="s">
        <v>11777</v>
      </c>
      <c r="B9165" s="6" t="s">
        <v>1905</v>
      </c>
      <c r="C9165" s="6" t="s">
        <v>128</v>
      </c>
      <c r="D9165" s="13" t="n">
        <v>45970</v>
      </c>
      <c r="E9165" s="14" t="n">
        <v>1540.2</v>
      </c>
      <c r="F9165" s="14" t="n">
        <v>15309.23</v>
      </c>
      <c r="G9165" s="6" t="s">
        <v>2613</v>
      </c>
    </row>
    <row r="9166" customFormat="false" ht="15" hidden="false" customHeight="true" outlineLevel="0" collapsed="false">
      <c r="A9166" s="6" t="s">
        <v>11778</v>
      </c>
      <c r="B9166" s="6" t="s">
        <v>1905</v>
      </c>
      <c r="C9166" s="6" t="s">
        <v>128</v>
      </c>
      <c r="D9166" s="13" t="n">
        <v>45977</v>
      </c>
      <c r="E9166" s="14" t="n">
        <v>835.72</v>
      </c>
      <c r="F9166" s="14" t="n">
        <v>16144.95</v>
      </c>
      <c r="G9166" s="6" t="s">
        <v>2613</v>
      </c>
    </row>
    <row r="9167" customFormat="false" ht="15" hidden="false" customHeight="true" outlineLevel="0" collapsed="false">
      <c r="A9167" s="6" t="s">
        <v>11779</v>
      </c>
      <c r="B9167" s="6" t="s">
        <v>1905</v>
      </c>
      <c r="C9167" s="6" t="s">
        <v>128</v>
      </c>
      <c r="D9167" s="13" t="n">
        <v>45984</v>
      </c>
      <c r="E9167" s="14" t="n">
        <v>952.5</v>
      </c>
      <c r="F9167" s="14" t="n">
        <v>17097.45</v>
      </c>
      <c r="G9167" s="6" t="s">
        <v>2613</v>
      </c>
    </row>
    <row r="9168" customFormat="false" ht="15" hidden="false" customHeight="true" outlineLevel="0" collapsed="false">
      <c r="A9168" s="6" t="s">
        <v>11780</v>
      </c>
      <c r="B9168" s="6" t="s">
        <v>1905</v>
      </c>
      <c r="C9168" s="6" t="s">
        <v>128</v>
      </c>
      <c r="D9168" s="13" t="n">
        <v>45991</v>
      </c>
      <c r="E9168" s="14" t="n">
        <v>1374.2</v>
      </c>
      <c r="F9168" s="14" t="n">
        <v>18471.65</v>
      </c>
      <c r="G9168" s="6" t="s">
        <v>2613</v>
      </c>
    </row>
    <row r="9169" customFormat="false" ht="15" hidden="false" customHeight="true" outlineLevel="0" collapsed="false">
      <c r="A9169" s="6" t="s">
        <v>11781</v>
      </c>
      <c r="B9169" s="6" t="s">
        <v>1907</v>
      </c>
      <c r="C9169" s="6" t="s">
        <v>124</v>
      </c>
      <c r="D9169" s="13" t="n">
        <v>44710</v>
      </c>
      <c r="E9169" s="14" t="n">
        <v>6232.38</v>
      </c>
      <c r="F9169" s="14" t="n">
        <v>6232.38</v>
      </c>
      <c r="G9169" s="6" t="s">
        <v>2613</v>
      </c>
    </row>
    <row r="9170" customFormat="false" ht="15" hidden="false" customHeight="true" outlineLevel="0" collapsed="false">
      <c r="A9170" s="6" t="s">
        <v>11782</v>
      </c>
      <c r="B9170" s="6" t="s">
        <v>1907</v>
      </c>
      <c r="C9170" s="6" t="s">
        <v>124</v>
      </c>
      <c r="D9170" s="13" t="n">
        <v>44717</v>
      </c>
      <c r="E9170" s="14" t="n">
        <v>5163.88</v>
      </c>
      <c r="F9170" s="14" t="n">
        <v>11396.26</v>
      </c>
      <c r="G9170" s="6" t="s">
        <v>2613</v>
      </c>
    </row>
    <row r="9171" customFormat="false" ht="15" hidden="false" customHeight="true" outlineLevel="0" collapsed="false">
      <c r="A9171" s="6" t="s">
        <v>11783</v>
      </c>
      <c r="B9171" s="6" t="s">
        <v>1907</v>
      </c>
      <c r="C9171" s="6" t="s">
        <v>124</v>
      </c>
      <c r="D9171" s="13" t="n">
        <v>44724</v>
      </c>
      <c r="E9171" s="14" t="n">
        <v>4414.34</v>
      </c>
      <c r="F9171" s="14" t="n">
        <v>15810.6</v>
      </c>
      <c r="G9171" s="6" t="s">
        <v>2613</v>
      </c>
    </row>
    <row r="9172" customFormat="false" ht="15" hidden="false" customHeight="true" outlineLevel="0" collapsed="false">
      <c r="A9172" s="6" t="s">
        <v>11784</v>
      </c>
      <c r="B9172" s="6" t="s">
        <v>1907</v>
      </c>
      <c r="C9172" s="6" t="s">
        <v>124</v>
      </c>
      <c r="D9172" s="13" t="n">
        <v>44731</v>
      </c>
      <c r="E9172" s="14" t="n">
        <v>6902.22</v>
      </c>
      <c r="F9172" s="14" t="n">
        <v>22712.82</v>
      </c>
      <c r="G9172" s="6" t="s">
        <v>2613</v>
      </c>
    </row>
    <row r="9173" customFormat="false" ht="15" hidden="false" customHeight="true" outlineLevel="0" collapsed="false">
      <c r="A9173" s="6" t="s">
        <v>11785</v>
      </c>
      <c r="B9173" s="6" t="s">
        <v>1907</v>
      </c>
      <c r="C9173" s="6" t="s">
        <v>124</v>
      </c>
      <c r="D9173" s="13" t="n">
        <v>44738</v>
      </c>
      <c r="E9173" s="14" t="n">
        <v>5075.77</v>
      </c>
      <c r="F9173" s="14" t="n">
        <v>27788.59</v>
      </c>
      <c r="G9173" s="6" t="s">
        <v>2623</v>
      </c>
    </row>
    <row r="9174" customFormat="false" ht="15" hidden="false" customHeight="true" outlineLevel="0" collapsed="false">
      <c r="A9174" s="6" t="s">
        <v>11786</v>
      </c>
      <c r="B9174" s="6" t="s">
        <v>1907</v>
      </c>
      <c r="C9174" s="6" t="s">
        <v>124</v>
      </c>
      <c r="D9174" s="13" t="n">
        <v>44745</v>
      </c>
      <c r="E9174" s="14" t="n">
        <v>5896.76</v>
      </c>
      <c r="F9174" s="14" t="n">
        <v>33685.35</v>
      </c>
      <c r="G9174" s="6" t="s">
        <v>2613</v>
      </c>
    </row>
    <row r="9175" customFormat="false" ht="15" hidden="false" customHeight="true" outlineLevel="0" collapsed="false">
      <c r="A9175" s="6" t="s">
        <v>11787</v>
      </c>
      <c r="B9175" s="6" t="s">
        <v>1909</v>
      </c>
      <c r="C9175" s="6" t="s">
        <v>120</v>
      </c>
      <c r="D9175" s="13" t="n">
        <v>45802</v>
      </c>
      <c r="E9175" s="14" t="n">
        <v>4592.86</v>
      </c>
      <c r="F9175" s="14" t="n">
        <v>4592.86</v>
      </c>
      <c r="G9175" s="6" t="s">
        <v>2613</v>
      </c>
    </row>
    <row r="9176" customFormat="false" ht="15" hidden="false" customHeight="true" outlineLevel="0" collapsed="false">
      <c r="A9176" s="6" t="s">
        <v>11788</v>
      </c>
      <c r="B9176" s="6" t="s">
        <v>1909</v>
      </c>
      <c r="C9176" s="6" t="s">
        <v>120</v>
      </c>
      <c r="D9176" s="13" t="n">
        <v>45809</v>
      </c>
      <c r="E9176" s="14" t="n">
        <v>2094.21</v>
      </c>
      <c r="F9176" s="14" t="n">
        <v>6687.07</v>
      </c>
      <c r="G9176" s="6" t="s">
        <v>2613</v>
      </c>
    </row>
    <row r="9177" customFormat="false" ht="15" hidden="false" customHeight="true" outlineLevel="0" collapsed="false">
      <c r="A9177" s="6" t="s">
        <v>11789</v>
      </c>
      <c r="B9177" s="6" t="s">
        <v>1909</v>
      </c>
      <c r="C9177" s="6" t="s">
        <v>120</v>
      </c>
      <c r="D9177" s="13" t="n">
        <v>45816</v>
      </c>
      <c r="E9177" s="14" t="n">
        <v>4518.93</v>
      </c>
      <c r="F9177" s="14" t="n">
        <v>11206</v>
      </c>
      <c r="G9177" s="6" t="s">
        <v>2613</v>
      </c>
    </row>
    <row r="9178" customFormat="false" ht="15" hidden="false" customHeight="true" outlineLevel="0" collapsed="false">
      <c r="A9178" s="6" t="s">
        <v>11790</v>
      </c>
      <c r="B9178" s="6" t="s">
        <v>1909</v>
      </c>
      <c r="C9178" s="6" t="s">
        <v>120</v>
      </c>
      <c r="D9178" s="13" t="n">
        <v>45823</v>
      </c>
      <c r="E9178" s="14" t="n">
        <v>3758.39</v>
      </c>
      <c r="F9178" s="14" t="n">
        <v>14964.39</v>
      </c>
      <c r="G9178" s="6" t="s">
        <v>2613</v>
      </c>
    </row>
    <row r="9179" customFormat="false" ht="15" hidden="false" customHeight="true" outlineLevel="0" collapsed="false">
      <c r="A9179" s="6" t="s">
        <v>11791</v>
      </c>
      <c r="B9179" s="6" t="s">
        <v>1909</v>
      </c>
      <c r="C9179" s="6" t="s">
        <v>120</v>
      </c>
      <c r="D9179" s="13" t="n">
        <v>45830</v>
      </c>
      <c r="E9179" s="14" t="n">
        <v>3669.52</v>
      </c>
      <c r="F9179" s="14" t="n">
        <v>18633.91</v>
      </c>
      <c r="G9179" s="6" t="s">
        <v>2613</v>
      </c>
    </row>
    <row r="9180" customFormat="false" ht="15" hidden="false" customHeight="true" outlineLevel="0" collapsed="false">
      <c r="A9180" s="6" t="s">
        <v>11792</v>
      </c>
      <c r="B9180" s="6" t="s">
        <v>1909</v>
      </c>
      <c r="C9180" s="6" t="s">
        <v>120</v>
      </c>
      <c r="D9180" s="13" t="n">
        <v>45837</v>
      </c>
      <c r="E9180" s="14" t="n">
        <v>4383.18</v>
      </c>
      <c r="F9180" s="14" t="n">
        <v>23017.09</v>
      </c>
      <c r="G9180" s="6" t="s">
        <v>2613</v>
      </c>
    </row>
    <row r="9181" customFormat="false" ht="15" hidden="false" customHeight="true" outlineLevel="0" collapsed="false">
      <c r="A9181" s="6" t="s">
        <v>11793</v>
      </c>
      <c r="B9181" s="6" t="s">
        <v>1909</v>
      </c>
      <c r="C9181" s="6" t="s">
        <v>120</v>
      </c>
      <c r="D9181" s="13" t="n">
        <v>45844</v>
      </c>
      <c r="E9181" s="14" t="n">
        <v>3226.38</v>
      </c>
      <c r="F9181" s="14" t="n">
        <v>26243.47</v>
      </c>
      <c r="G9181" s="6" t="s">
        <v>2623</v>
      </c>
    </row>
    <row r="9182" customFormat="false" ht="15" hidden="false" customHeight="true" outlineLevel="0" collapsed="false">
      <c r="A9182" s="6" t="s">
        <v>11794</v>
      </c>
      <c r="B9182" s="6" t="s">
        <v>1909</v>
      </c>
      <c r="C9182" s="6" t="s">
        <v>120</v>
      </c>
      <c r="D9182" s="13" t="n">
        <v>45851</v>
      </c>
      <c r="E9182" s="14" t="n">
        <v>3201.14</v>
      </c>
      <c r="F9182" s="14" t="n">
        <v>29444.61</v>
      </c>
      <c r="G9182" s="6" t="s">
        <v>2613</v>
      </c>
    </row>
    <row r="9183" customFormat="false" ht="15" hidden="false" customHeight="true" outlineLevel="0" collapsed="false">
      <c r="A9183" s="6" t="s">
        <v>11795</v>
      </c>
      <c r="B9183" s="6" t="s">
        <v>1909</v>
      </c>
      <c r="C9183" s="6" t="s">
        <v>120</v>
      </c>
      <c r="D9183" s="13" t="n">
        <v>45858</v>
      </c>
      <c r="E9183" s="14" t="n">
        <v>3702.44</v>
      </c>
      <c r="F9183" s="14" t="n">
        <v>33147.05</v>
      </c>
      <c r="G9183" s="6" t="s">
        <v>2613</v>
      </c>
    </row>
    <row r="9184" customFormat="false" ht="15" hidden="false" customHeight="true" outlineLevel="0" collapsed="false">
      <c r="A9184" s="6" t="s">
        <v>11796</v>
      </c>
      <c r="B9184" s="6" t="s">
        <v>1909</v>
      </c>
      <c r="C9184" s="6" t="s">
        <v>120</v>
      </c>
      <c r="D9184" s="13" t="n">
        <v>45865</v>
      </c>
      <c r="E9184" s="14" t="n">
        <v>1271.48</v>
      </c>
      <c r="F9184" s="14" t="n">
        <v>34418.53</v>
      </c>
      <c r="G9184" s="6" t="s">
        <v>2623</v>
      </c>
    </row>
    <row r="9185" customFormat="false" ht="15" hidden="false" customHeight="true" outlineLevel="0" collapsed="false">
      <c r="A9185" s="6" t="s">
        <v>11797</v>
      </c>
      <c r="B9185" s="6" t="s">
        <v>1911</v>
      </c>
      <c r="C9185" s="6" t="s">
        <v>131</v>
      </c>
      <c r="D9185" s="13" t="n">
        <v>45338</v>
      </c>
      <c r="E9185" s="14" t="n">
        <v>4790.58</v>
      </c>
      <c r="F9185" s="14" t="n">
        <v>4790.58</v>
      </c>
      <c r="G9185" s="6" t="s">
        <v>2613</v>
      </c>
    </row>
    <row r="9186" customFormat="false" ht="15" hidden="false" customHeight="true" outlineLevel="0" collapsed="false">
      <c r="A9186" s="6" t="s">
        <v>11798</v>
      </c>
      <c r="B9186" s="6" t="s">
        <v>1911</v>
      </c>
      <c r="C9186" s="6" t="s">
        <v>131</v>
      </c>
      <c r="D9186" s="13" t="n">
        <v>45345</v>
      </c>
      <c r="E9186" s="14" t="n">
        <v>3480.09</v>
      </c>
      <c r="F9186" s="14" t="n">
        <v>8270.67</v>
      </c>
      <c r="G9186" s="6" t="s">
        <v>2613</v>
      </c>
    </row>
    <row r="9187" customFormat="false" ht="15" hidden="false" customHeight="true" outlineLevel="0" collapsed="false">
      <c r="A9187" s="6" t="s">
        <v>11799</v>
      </c>
      <c r="B9187" s="6" t="s">
        <v>1911</v>
      </c>
      <c r="C9187" s="6" t="s">
        <v>131</v>
      </c>
      <c r="D9187" s="13" t="n">
        <v>45352</v>
      </c>
      <c r="E9187" s="14" t="n">
        <v>5623.46</v>
      </c>
      <c r="F9187" s="14" t="n">
        <v>13894.13</v>
      </c>
      <c r="G9187" s="6" t="s">
        <v>2613</v>
      </c>
    </row>
    <row r="9188" customFormat="false" ht="15" hidden="false" customHeight="true" outlineLevel="0" collapsed="false">
      <c r="A9188" s="6" t="s">
        <v>11800</v>
      </c>
      <c r="B9188" s="6" t="s">
        <v>1911</v>
      </c>
      <c r="C9188" s="6" t="s">
        <v>131</v>
      </c>
      <c r="D9188" s="13" t="n">
        <v>45359</v>
      </c>
      <c r="E9188" s="14" t="n">
        <v>3414.46</v>
      </c>
      <c r="F9188" s="14" t="n">
        <v>17308.59</v>
      </c>
      <c r="G9188" s="6" t="s">
        <v>2613</v>
      </c>
    </row>
    <row r="9189" customFormat="false" ht="15" hidden="false" customHeight="true" outlineLevel="0" collapsed="false">
      <c r="A9189" s="6" t="s">
        <v>11801</v>
      </c>
      <c r="B9189" s="6" t="s">
        <v>1911</v>
      </c>
      <c r="C9189" s="6" t="s">
        <v>131</v>
      </c>
      <c r="D9189" s="13" t="n">
        <v>45366</v>
      </c>
      <c r="E9189" s="14" t="n">
        <v>7349.91</v>
      </c>
      <c r="F9189" s="14" t="n">
        <v>24658.5</v>
      </c>
      <c r="G9189" s="6" t="s">
        <v>2613</v>
      </c>
    </row>
    <row r="9190" customFormat="false" ht="15" hidden="false" customHeight="true" outlineLevel="0" collapsed="false">
      <c r="A9190" s="6" t="s">
        <v>11802</v>
      </c>
      <c r="B9190" s="6" t="s">
        <v>1911</v>
      </c>
      <c r="C9190" s="6" t="s">
        <v>131</v>
      </c>
      <c r="D9190" s="13" t="n">
        <v>45373</v>
      </c>
      <c r="E9190" s="14" t="n">
        <v>4195.39</v>
      </c>
      <c r="F9190" s="14" t="n">
        <v>28853.89</v>
      </c>
      <c r="G9190" s="6" t="s">
        <v>2613</v>
      </c>
    </row>
    <row r="9191" customFormat="false" ht="15" hidden="false" customHeight="true" outlineLevel="0" collapsed="false">
      <c r="A9191" s="6" t="s">
        <v>11803</v>
      </c>
      <c r="B9191" s="6" t="s">
        <v>1911</v>
      </c>
      <c r="C9191" s="6" t="s">
        <v>131</v>
      </c>
      <c r="D9191" s="13" t="n">
        <v>45380</v>
      </c>
      <c r="E9191" s="14" t="n">
        <v>6877.98</v>
      </c>
      <c r="F9191" s="14" t="n">
        <v>35731.87</v>
      </c>
      <c r="G9191" s="6" t="s">
        <v>2613</v>
      </c>
    </row>
    <row r="9192" customFormat="false" ht="15" hidden="false" customHeight="true" outlineLevel="0" collapsed="false">
      <c r="A9192" s="6" t="s">
        <v>11804</v>
      </c>
      <c r="B9192" s="6" t="s">
        <v>1911</v>
      </c>
      <c r="C9192" s="6" t="s">
        <v>131</v>
      </c>
      <c r="D9192" s="13" t="n">
        <v>45387</v>
      </c>
      <c r="E9192" s="14" t="n">
        <v>7588.36</v>
      </c>
      <c r="F9192" s="14" t="n">
        <v>43320.23</v>
      </c>
      <c r="G9192" s="6" t="s">
        <v>2613</v>
      </c>
    </row>
    <row r="9193" customFormat="false" ht="15" hidden="false" customHeight="true" outlineLevel="0" collapsed="false">
      <c r="A9193" s="6" t="s">
        <v>11805</v>
      </c>
      <c r="B9193" s="6" t="s">
        <v>1913</v>
      </c>
      <c r="C9193" s="6" t="s">
        <v>112</v>
      </c>
      <c r="D9193" s="13" t="n">
        <v>45516</v>
      </c>
      <c r="E9193" s="14" t="n">
        <v>6975.33</v>
      </c>
      <c r="F9193" s="14" t="n">
        <v>6975.33</v>
      </c>
      <c r="G9193" s="6" t="s">
        <v>2613</v>
      </c>
    </row>
    <row r="9194" customFormat="false" ht="15" hidden="false" customHeight="true" outlineLevel="0" collapsed="false">
      <c r="A9194" s="6" t="s">
        <v>11806</v>
      </c>
      <c r="B9194" s="6" t="s">
        <v>1913</v>
      </c>
      <c r="C9194" s="6" t="s">
        <v>112</v>
      </c>
      <c r="D9194" s="13" t="n">
        <v>45523</v>
      </c>
      <c r="E9194" s="14" t="n">
        <v>5268.14</v>
      </c>
      <c r="F9194" s="14" t="n">
        <v>12243.47</v>
      </c>
      <c r="G9194" s="6" t="s">
        <v>2613</v>
      </c>
    </row>
    <row r="9195" customFormat="false" ht="15" hidden="false" customHeight="true" outlineLevel="0" collapsed="false">
      <c r="A9195" s="6" t="s">
        <v>11807</v>
      </c>
      <c r="B9195" s="6" t="s">
        <v>1913</v>
      </c>
      <c r="C9195" s="6" t="s">
        <v>112</v>
      </c>
      <c r="D9195" s="13" t="n">
        <v>45530</v>
      </c>
      <c r="E9195" s="14" t="n">
        <v>5763.22</v>
      </c>
      <c r="F9195" s="14" t="n">
        <v>18006.69</v>
      </c>
      <c r="G9195" s="6" t="s">
        <v>2613</v>
      </c>
    </row>
    <row r="9196" customFormat="false" ht="15" hidden="false" customHeight="true" outlineLevel="0" collapsed="false">
      <c r="A9196" s="6" t="s">
        <v>11808</v>
      </c>
      <c r="B9196" s="6" t="s">
        <v>1913</v>
      </c>
      <c r="C9196" s="6" t="s">
        <v>112</v>
      </c>
      <c r="D9196" s="13" t="n">
        <v>45537</v>
      </c>
      <c r="E9196" s="14" t="n">
        <v>4731.47</v>
      </c>
      <c r="F9196" s="14" t="n">
        <v>22738.16</v>
      </c>
      <c r="G9196" s="6" t="s">
        <v>2613</v>
      </c>
    </row>
    <row r="9197" customFormat="false" ht="15" hidden="false" customHeight="true" outlineLevel="0" collapsed="false">
      <c r="A9197" s="6" t="s">
        <v>11809</v>
      </c>
      <c r="B9197" s="6" t="s">
        <v>1913</v>
      </c>
      <c r="C9197" s="6" t="s">
        <v>112</v>
      </c>
      <c r="D9197" s="13" t="n">
        <v>45544</v>
      </c>
      <c r="E9197" s="14" t="n">
        <v>4546.78</v>
      </c>
      <c r="F9197" s="14" t="n">
        <v>27284.94</v>
      </c>
      <c r="G9197" s="6" t="s">
        <v>2613</v>
      </c>
    </row>
    <row r="9198" customFormat="false" ht="15" hidden="false" customHeight="true" outlineLevel="0" collapsed="false">
      <c r="A9198" s="6" t="s">
        <v>11810</v>
      </c>
      <c r="B9198" s="6" t="s">
        <v>1913</v>
      </c>
      <c r="C9198" s="6" t="s">
        <v>112</v>
      </c>
      <c r="D9198" s="13" t="n">
        <v>45551</v>
      </c>
      <c r="E9198" s="14" t="n">
        <v>6087.97</v>
      </c>
      <c r="F9198" s="14" t="n">
        <v>33372.91</v>
      </c>
      <c r="G9198" s="6" t="s">
        <v>2613</v>
      </c>
    </row>
    <row r="9199" customFormat="false" ht="15" hidden="false" customHeight="true" outlineLevel="0" collapsed="false">
      <c r="A9199" s="6" t="s">
        <v>11811</v>
      </c>
      <c r="B9199" s="6" t="s">
        <v>1913</v>
      </c>
      <c r="C9199" s="6" t="s">
        <v>112</v>
      </c>
      <c r="D9199" s="13" t="n">
        <v>45558</v>
      </c>
      <c r="E9199" s="14" t="n">
        <v>5558.11</v>
      </c>
      <c r="F9199" s="14" t="n">
        <v>38931.02</v>
      </c>
      <c r="G9199" s="6" t="s">
        <v>2613</v>
      </c>
    </row>
    <row r="9200" customFormat="false" ht="15" hidden="false" customHeight="true" outlineLevel="0" collapsed="false">
      <c r="A9200" s="6" t="s">
        <v>11812</v>
      </c>
      <c r="B9200" s="6" t="s">
        <v>1913</v>
      </c>
      <c r="C9200" s="6" t="s">
        <v>112</v>
      </c>
      <c r="D9200" s="13" t="n">
        <v>45565</v>
      </c>
      <c r="E9200" s="14" t="n">
        <v>5050.04</v>
      </c>
      <c r="F9200" s="14" t="n">
        <v>43981.06</v>
      </c>
      <c r="G9200" s="6" t="s">
        <v>2613</v>
      </c>
    </row>
    <row r="9201" customFormat="false" ht="15" hidden="false" customHeight="true" outlineLevel="0" collapsed="false">
      <c r="A9201" s="6" t="s">
        <v>11813</v>
      </c>
      <c r="B9201" s="6" t="s">
        <v>1913</v>
      </c>
      <c r="C9201" s="6" t="s">
        <v>112</v>
      </c>
      <c r="D9201" s="13" t="n">
        <v>45572</v>
      </c>
      <c r="E9201" s="14" t="n">
        <v>4717.52</v>
      </c>
      <c r="F9201" s="14" t="n">
        <v>48698.58</v>
      </c>
      <c r="G9201" s="6" t="s">
        <v>2613</v>
      </c>
    </row>
    <row r="9202" customFormat="false" ht="15" hidden="false" customHeight="true" outlineLevel="0" collapsed="false">
      <c r="A9202" s="6" t="s">
        <v>11814</v>
      </c>
      <c r="B9202" s="6" t="s">
        <v>1913</v>
      </c>
      <c r="C9202" s="6" t="s">
        <v>112</v>
      </c>
      <c r="D9202" s="13" t="n">
        <v>45579</v>
      </c>
      <c r="E9202" s="14" t="n">
        <v>4209.78</v>
      </c>
      <c r="F9202" s="14" t="n">
        <v>52908.36</v>
      </c>
      <c r="G9202" s="6" t="s">
        <v>2613</v>
      </c>
    </row>
    <row r="9203" customFormat="false" ht="15" hidden="false" customHeight="true" outlineLevel="0" collapsed="false">
      <c r="A9203" s="6" t="s">
        <v>11815</v>
      </c>
      <c r="B9203" s="6" t="s">
        <v>1915</v>
      </c>
      <c r="C9203" s="6" t="s">
        <v>112</v>
      </c>
      <c r="D9203" s="13" t="n">
        <v>46153</v>
      </c>
      <c r="E9203" s="14" t="n">
        <v>2199.28</v>
      </c>
      <c r="F9203" s="14" t="n">
        <v>2199.28</v>
      </c>
      <c r="G9203" s="6" t="s">
        <v>2613</v>
      </c>
    </row>
    <row r="9204" customFormat="false" ht="15" hidden="false" customHeight="true" outlineLevel="0" collapsed="false">
      <c r="A9204" s="6" t="s">
        <v>11816</v>
      </c>
      <c r="B9204" s="6" t="s">
        <v>1915</v>
      </c>
      <c r="C9204" s="6" t="s">
        <v>112</v>
      </c>
      <c r="D9204" s="13" t="n">
        <v>46160</v>
      </c>
      <c r="E9204" s="14" t="n">
        <v>2753.49</v>
      </c>
      <c r="F9204" s="14" t="n">
        <v>4952.77</v>
      </c>
      <c r="G9204" s="6" t="s">
        <v>2613</v>
      </c>
    </row>
    <row r="9205" customFormat="false" ht="15" hidden="false" customHeight="true" outlineLevel="0" collapsed="false">
      <c r="A9205" s="6" t="s">
        <v>11817</v>
      </c>
      <c r="B9205" s="6" t="s">
        <v>1915</v>
      </c>
      <c r="C9205" s="6" t="s">
        <v>112</v>
      </c>
      <c r="D9205" s="13" t="n">
        <v>46167</v>
      </c>
      <c r="E9205" s="14" t="n">
        <v>3906.77</v>
      </c>
      <c r="F9205" s="14" t="n">
        <v>8859.54</v>
      </c>
      <c r="G9205" s="6" t="s">
        <v>2613</v>
      </c>
    </row>
    <row r="9206" customFormat="false" ht="15" hidden="false" customHeight="true" outlineLevel="0" collapsed="false">
      <c r="A9206" s="6" t="s">
        <v>11818</v>
      </c>
      <c r="B9206" s="6" t="s">
        <v>1915</v>
      </c>
      <c r="C9206" s="6" t="s">
        <v>112</v>
      </c>
      <c r="D9206" s="13" t="n">
        <v>46174</v>
      </c>
      <c r="E9206" s="14" t="n">
        <v>3512.41</v>
      </c>
      <c r="F9206" s="14" t="n">
        <v>12371.95</v>
      </c>
      <c r="G9206" s="6" t="s">
        <v>2623</v>
      </c>
    </row>
    <row r="9207" customFormat="false" ht="15" hidden="false" customHeight="true" outlineLevel="0" collapsed="false">
      <c r="A9207" s="6" t="s">
        <v>11819</v>
      </c>
      <c r="B9207" s="6" t="s">
        <v>1915</v>
      </c>
      <c r="C9207" s="6" t="s">
        <v>112</v>
      </c>
      <c r="D9207" s="13" t="n">
        <v>46181</v>
      </c>
      <c r="E9207" s="14" t="n">
        <v>3807.07</v>
      </c>
      <c r="F9207" s="14" t="n">
        <v>16179.02</v>
      </c>
      <c r="G9207" s="6" t="s">
        <v>2613</v>
      </c>
    </row>
    <row r="9208" customFormat="false" ht="15" hidden="false" customHeight="true" outlineLevel="0" collapsed="false">
      <c r="A9208" s="6" t="s">
        <v>11820</v>
      </c>
      <c r="B9208" s="6" t="s">
        <v>1915</v>
      </c>
      <c r="C9208" s="6" t="s">
        <v>112</v>
      </c>
      <c r="D9208" s="13" t="n">
        <v>46188</v>
      </c>
      <c r="E9208" s="14" t="n">
        <v>2515.37</v>
      </c>
      <c r="F9208" s="14" t="n">
        <v>18694.39</v>
      </c>
      <c r="G9208" s="6" t="s">
        <v>2613</v>
      </c>
    </row>
    <row r="9209" customFormat="false" ht="15" hidden="false" customHeight="true" outlineLevel="0" collapsed="false">
      <c r="A9209" s="6" t="s">
        <v>11821</v>
      </c>
      <c r="B9209" s="6" t="s">
        <v>1915</v>
      </c>
      <c r="C9209" s="6" t="s">
        <v>112</v>
      </c>
      <c r="D9209" s="13" t="n">
        <v>46195</v>
      </c>
      <c r="E9209" s="14" t="n">
        <v>2359.37</v>
      </c>
      <c r="F9209" s="14" t="n">
        <v>21053.76</v>
      </c>
      <c r="G9209" s="6" t="s">
        <v>2613</v>
      </c>
    </row>
    <row r="9210" customFormat="false" ht="15" hidden="false" customHeight="true" outlineLevel="0" collapsed="false">
      <c r="A9210" s="6" t="s">
        <v>11822</v>
      </c>
      <c r="B9210" s="6" t="s">
        <v>1917</v>
      </c>
      <c r="C9210" s="6" t="s">
        <v>116</v>
      </c>
      <c r="D9210" s="13" t="n">
        <v>45183</v>
      </c>
      <c r="E9210" s="14" t="n">
        <v>6214.32</v>
      </c>
      <c r="F9210" s="14" t="n">
        <v>6214.32</v>
      </c>
      <c r="G9210" s="6" t="s">
        <v>2613</v>
      </c>
    </row>
    <row r="9211" customFormat="false" ht="15" hidden="false" customHeight="true" outlineLevel="0" collapsed="false">
      <c r="A9211" s="6" t="s">
        <v>11823</v>
      </c>
      <c r="B9211" s="6" t="s">
        <v>1917</v>
      </c>
      <c r="C9211" s="6" t="s">
        <v>116</v>
      </c>
      <c r="D9211" s="13" t="n">
        <v>45190</v>
      </c>
      <c r="E9211" s="14" t="n">
        <v>4168.59</v>
      </c>
      <c r="F9211" s="14" t="n">
        <v>10382.91</v>
      </c>
      <c r="G9211" s="6" t="s">
        <v>2613</v>
      </c>
    </row>
    <row r="9212" customFormat="false" ht="15" hidden="false" customHeight="true" outlineLevel="0" collapsed="false">
      <c r="A9212" s="6" t="s">
        <v>11824</v>
      </c>
      <c r="B9212" s="6" t="s">
        <v>1917</v>
      </c>
      <c r="C9212" s="6" t="s">
        <v>116</v>
      </c>
      <c r="D9212" s="13" t="n">
        <v>45197</v>
      </c>
      <c r="E9212" s="14" t="n">
        <v>3536.52</v>
      </c>
      <c r="F9212" s="14" t="n">
        <v>13919.43</v>
      </c>
      <c r="G9212" s="6" t="s">
        <v>2613</v>
      </c>
    </row>
    <row r="9213" customFormat="false" ht="15" hidden="false" customHeight="true" outlineLevel="0" collapsed="false">
      <c r="A9213" s="6" t="s">
        <v>11825</v>
      </c>
      <c r="B9213" s="6" t="s">
        <v>1917</v>
      </c>
      <c r="C9213" s="6" t="s">
        <v>116</v>
      </c>
      <c r="D9213" s="13" t="n">
        <v>45204</v>
      </c>
      <c r="E9213" s="14" t="n">
        <v>7320.52</v>
      </c>
      <c r="F9213" s="14" t="n">
        <v>21239.95</v>
      </c>
      <c r="G9213" s="6" t="s">
        <v>2613</v>
      </c>
    </row>
    <row r="9214" customFormat="false" ht="15" hidden="false" customHeight="true" outlineLevel="0" collapsed="false">
      <c r="A9214" s="6" t="s">
        <v>11826</v>
      </c>
      <c r="B9214" s="6" t="s">
        <v>1917</v>
      </c>
      <c r="C9214" s="6" t="s">
        <v>116</v>
      </c>
      <c r="D9214" s="13" t="n">
        <v>45211</v>
      </c>
      <c r="E9214" s="14" t="n">
        <v>5024.57</v>
      </c>
      <c r="F9214" s="14" t="n">
        <v>26264.52</v>
      </c>
      <c r="G9214" s="6" t="s">
        <v>2613</v>
      </c>
    </row>
    <row r="9215" customFormat="false" ht="15" hidden="false" customHeight="true" outlineLevel="0" collapsed="false">
      <c r="A9215" s="6" t="s">
        <v>11827</v>
      </c>
      <c r="B9215" s="6" t="s">
        <v>1919</v>
      </c>
      <c r="C9215" s="6" t="s">
        <v>131</v>
      </c>
      <c r="D9215" s="13" t="n">
        <v>44929</v>
      </c>
      <c r="E9215" s="14" t="n">
        <v>2232.19</v>
      </c>
      <c r="F9215" s="14" t="n">
        <v>2232.19</v>
      </c>
      <c r="G9215" s="6" t="s">
        <v>2623</v>
      </c>
    </row>
    <row r="9216" customFormat="false" ht="15" hidden="false" customHeight="true" outlineLevel="0" collapsed="false">
      <c r="A9216" s="6" t="s">
        <v>11828</v>
      </c>
      <c r="B9216" s="6" t="s">
        <v>1919</v>
      </c>
      <c r="C9216" s="6" t="s">
        <v>131</v>
      </c>
      <c r="D9216" s="13" t="n">
        <v>44936</v>
      </c>
      <c r="E9216" s="14" t="n">
        <v>2518.15</v>
      </c>
      <c r="F9216" s="14" t="n">
        <v>4750.34</v>
      </c>
      <c r="G9216" s="6" t="s">
        <v>2613</v>
      </c>
    </row>
    <row r="9217" customFormat="false" ht="15" hidden="false" customHeight="true" outlineLevel="0" collapsed="false">
      <c r="A9217" s="6" t="s">
        <v>11829</v>
      </c>
      <c r="B9217" s="6" t="s">
        <v>1919</v>
      </c>
      <c r="C9217" s="6" t="s">
        <v>131</v>
      </c>
      <c r="D9217" s="13" t="n">
        <v>44943</v>
      </c>
      <c r="E9217" s="14" t="n">
        <v>1892.49</v>
      </c>
      <c r="F9217" s="14" t="n">
        <v>6642.83</v>
      </c>
      <c r="G9217" s="6" t="s">
        <v>2613</v>
      </c>
    </row>
    <row r="9218" customFormat="false" ht="15" hidden="false" customHeight="true" outlineLevel="0" collapsed="false">
      <c r="A9218" s="6" t="s">
        <v>11830</v>
      </c>
      <c r="B9218" s="6" t="s">
        <v>1919</v>
      </c>
      <c r="C9218" s="6" t="s">
        <v>131</v>
      </c>
      <c r="D9218" s="13" t="n">
        <v>44950</v>
      </c>
      <c r="E9218" s="14" t="n">
        <v>2285.9</v>
      </c>
      <c r="F9218" s="14" t="n">
        <v>8928.73</v>
      </c>
      <c r="G9218" s="6" t="s">
        <v>2623</v>
      </c>
    </row>
    <row r="9219" customFormat="false" ht="15" hidden="false" customHeight="true" outlineLevel="0" collapsed="false">
      <c r="A9219" s="6" t="s">
        <v>11831</v>
      </c>
      <c r="B9219" s="6" t="s">
        <v>1919</v>
      </c>
      <c r="C9219" s="6" t="s">
        <v>131</v>
      </c>
      <c r="D9219" s="13" t="n">
        <v>44957</v>
      </c>
      <c r="E9219" s="14" t="n">
        <v>1332.29</v>
      </c>
      <c r="F9219" s="14" t="n">
        <v>10261.02</v>
      </c>
      <c r="G9219" s="6" t="s">
        <v>2613</v>
      </c>
    </row>
    <row r="9220" customFormat="false" ht="15" hidden="false" customHeight="true" outlineLevel="0" collapsed="false">
      <c r="A9220" s="6" t="s">
        <v>11832</v>
      </c>
      <c r="B9220" s="6" t="s">
        <v>1919</v>
      </c>
      <c r="C9220" s="6" t="s">
        <v>131</v>
      </c>
      <c r="D9220" s="13" t="n">
        <v>44964</v>
      </c>
      <c r="E9220" s="14" t="n">
        <v>2106.62</v>
      </c>
      <c r="F9220" s="14" t="n">
        <v>12367.64</v>
      </c>
      <c r="G9220" s="6" t="s">
        <v>2613</v>
      </c>
    </row>
    <row r="9221" customFormat="false" ht="15" hidden="false" customHeight="true" outlineLevel="0" collapsed="false">
      <c r="A9221" s="6" t="s">
        <v>11833</v>
      </c>
      <c r="B9221" s="6" t="s">
        <v>1919</v>
      </c>
      <c r="C9221" s="6" t="s">
        <v>131</v>
      </c>
      <c r="D9221" s="13" t="n">
        <v>44971</v>
      </c>
      <c r="E9221" s="14" t="n">
        <v>1437.98</v>
      </c>
      <c r="F9221" s="14" t="n">
        <v>13805.62</v>
      </c>
      <c r="G9221" s="6" t="s">
        <v>2613</v>
      </c>
    </row>
    <row r="9222" customFormat="false" ht="15" hidden="false" customHeight="true" outlineLevel="0" collapsed="false">
      <c r="A9222" s="6" t="s">
        <v>11834</v>
      </c>
      <c r="B9222" s="6" t="s">
        <v>1919</v>
      </c>
      <c r="C9222" s="6" t="s">
        <v>131</v>
      </c>
      <c r="D9222" s="13" t="n">
        <v>44978</v>
      </c>
      <c r="E9222" s="14" t="n">
        <v>2410.08</v>
      </c>
      <c r="F9222" s="14" t="n">
        <v>16215.7</v>
      </c>
      <c r="G9222" s="6" t="s">
        <v>2613</v>
      </c>
    </row>
    <row r="9223" customFormat="false" ht="15" hidden="false" customHeight="true" outlineLevel="0" collapsed="false">
      <c r="A9223" s="6" t="s">
        <v>11835</v>
      </c>
      <c r="B9223" s="6" t="s">
        <v>1919</v>
      </c>
      <c r="C9223" s="6" t="s">
        <v>131</v>
      </c>
      <c r="D9223" s="13" t="n">
        <v>44985</v>
      </c>
      <c r="E9223" s="14" t="n">
        <v>1843.33</v>
      </c>
      <c r="F9223" s="14" t="n">
        <v>18059.03</v>
      </c>
      <c r="G9223" s="6" t="s">
        <v>2613</v>
      </c>
    </row>
    <row r="9224" customFormat="false" ht="15" hidden="false" customHeight="true" outlineLevel="0" collapsed="false">
      <c r="A9224" s="6" t="s">
        <v>11836</v>
      </c>
      <c r="B9224" s="6" t="s">
        <v>1919</v>
      </c>
      <c r="C9224" s="6" t="s">
        <v>131</v>
      </c>
      <c r="D9224" s="13" t="n">
        <v>44992</v>
      </c>
      <c r="E9224" s="14" t="n">
        <v>1434.21</v>
      </c>
      <c r="F9224" s="14" t="n">
        <v>19493.24</v>
      </c>
      <c r="G9224" s="6" t="s">
        <v>2613</v>
      </c>
    </row>
    <row r="9225" customFormat="false" ht="15" hidden="false" customHeight="true" outlineLevel="0" collapsed="false">
      <c r="A9225" s="6" t="s">
        <v>11837</v>
      </c>
      <c r="B9225" s="6" t="s">
        <v>1919</v>
      </c>
      <c r="C9225" s="6" t="s">
        <v>131</v>
      </c>
      <c r="D9225" s="13" t="n">
        <v>44999</v>
      </c>
      <c r="E9225" s="14" t="n">
        <v>1435.27</v>
      </c>
      <c r="F9225" s="14" t="n">
        <v>20928.51</v>
      </c>
      <c r="G9225" s="6" t="s">
        <v>2613</v>
      </c>
    </row>
    <row r="9226" customFormat="false" ht="15" hidden="false" customHeight="true" outlineLevel="0" collapsed="false">
      <c r="A9226" s="6" t="s">
        <v>11838</v>
      </c>
      <c r="B9226" s="6" t="s">
        <v>1919</v>
      </c>
      <c r="C9226" s="6" t="s">
        <v>131</v>
      </c>
      <c r="D9226" s="13" t="n">
        <v>45006</v>
      </c>
      <c r="E9226" s="14" t="n">
        <v>1481.39</v>
      </c>
      <c r="F9226" s="14" t="n">
        <v>22409.9</v>
      </c>
      <c r="G9226" s="6" t="s">
        <v>2613</v>
      </c>
    </row>
    <row r="9227" customFormat="false" ht="15" hidden="false" customHeight="true" outlineLevel="0" collapsed="false">
      <c r="A9227" s="6" t="s">
        <v>11839</v>
      </c>
      <c r="B9227" s="6" t="s">
        <v>1919</v>
      </c>
      <c r="C9227" s="6" t="s">
        <v>131</v>
      </c>
      <c r="D9227" s="13" t="n">
        <v>45013</v>
      </c>
      <c r="E9227" s="14" t="n">
        <v>2556.88</v>
      </c>
      <c r="F9227" s="14" t="n">
        <v>24966.78</v>
      </c>
      <c r="G9227" s="6" t="s">
        <v>2613</v>
      </c>
    </row>
    <row r="9228" customFormat="false" ht="15" hidden="false" customHeight="true" outlineLevel="0" collapsed="false">
      <c r="A9228" s="6" t="s">
        <v>11840</v>
      </c>
      <c r="B9228" s="6" t="s">
        <v>1919</v>
      </c>
      <c r="C9228" s="6" t="s">
        <v>131</v>
      </c>
      <c r="D9228" s="13" t="n">
        <v>45020</v>
      </c>
      <c r="E9228" s="14" t="n">
        <v>1686.09</v>
      </c>
      <c r="F9228" s="14" t="n">
        <v>26652.87</v>
      </c>
      <c r="G9228" s="6" t="s">
        <v>2613</v>
      </c>
    </row>
    <row r="9229" customFormat="false" ht="15" hidden="false" customHeight="true" outlineLevel="0" collapsed="false">
      <c r="A9229" s="6" t="s">
        <v>11841</v>
      </c>
      <c r="B9229" s="6" t="s">
        <v>1919</v>
      </c>
      <c r="C9229" s="6" t="s">
        <v>131</v>
      </c>
      <c r="D9229" s="13" t="n">
        <v>45027</v>
      </c>
      <c r="E9229" s="14" t="n">
        <v>2503.78</v>
      </c>
      <c r="F9229" s="14" t="n">
        <v>29156.65</v>
      </c>
      <c r="G9229" s="6" t="s">
        <v>2613</v>
      </c>
    </row>
    <row r="9230" customFormat="false" ht="15" hidden="false" customHeight="true" outlineLevel="0" collapsed="false">
      <c r="A9230" s="6" t="s">
        <v>11842</v>
      </c>
      <c r="B9230" s="6" t="s">
        <v>1919</v>
      </c>
      <c r="C9230" s="6" t="s">
        <v>131</v>
      </c>
      <c r="D9230" s="13" t="n">
        <v>45034</v>
      </c>
      <c r="E9230" s="14" t="n">
        <v>1632.77</v>
      </c>
      <c r="F9230" s="14" t="n">
        <v>30789.42</v>
      </c>
      <c r="G9230" s="6" t="s">
        <v>2613</v>
      </c>
    </row>
    <row r="9231" customFormat="false" ht="15" hidden="false" customHeight="true" outlineLevel="0" collapsed="false">
      <c r="A9231" s="6" t="s">
        <v>11843</v>
      </c>
      <c r="B9231" s="6" t="s">
        <v>1919</v>
      </c>
      <c r="C9231" s="6" t="s">
        <v>131</v>
      </c>
      <c r="D9231" s="13" t="n">
        <v>45041</v>
      </c>
      <c r="E9231" s="14" t="n">
        <v>2461.88</v>
      </c>
      <c r="F9231" s="14" t="n">
        <v>33251.3</v>
      </c>
      <c r="G9231" s="6" t="s">
        <v>2613</v>
      </c>
    </row>
    <row r="9232" customFormat="false" ht="15" hidden="false" customHeight="true" outlineLevel="0" collapsed="false">
      <c r="A9232" s="6" t="s">
        <v>11844</v>
      </c>
      <c r="B9232" s="6" t="s">
        <v>1919</v>
      </c>
      <c r="C9232" s="6" t="s">
        <v>131</v>
      </c>
      <c r="D9232" s="13" t="n">
        <v>45048</v>
      </c>
      <c r="E9232" s="14" t="n">
        <v>1587.79</v>
      </c>
      <c r="F9232" s="14" t="n">
        <v>34839.09</v>
      </c>
      <c r="G9232" s="6" t="s">
        <v>2613</v>
      </c>
    </row>
    <row r="9233" customFormat="false" ht="15" hidden="false" customHeight="true" outlineLevel="0" collapsed="false">
      <c r="A9233" s="6" t="s">
        <v>11845</v>
      </c>
      <c r="B9233" s="6" t="s">
        <v>1919</v>
      </c>
      <c r="C9233" s="6" t="s">
        <v>131</v>
      </c>
      <c r="D9233" s="13" t="n">
        <v>45055</v>
      </c>
      <c r="E9233" s="14" t="n">
        <v>5888.81</v>
      </c>
      <c r="F9233" s="14" t="n">
        <v>40727.9</v>
      </c>
      <c r="G9233" s="6" t="s">
        <v>2613</v>
      </c>
    </row>
    <row r="9234" customFormat="false" ht="15" hidden="false" customHeight="true" outlineLevel="0" collapsed="false">
      <c r="A9234" s="6" t="s">
        <v>11846</v>
      </c>
      <c r="B9234" s="6" t="s">
        <v>1921</v>
      </c>
      <c r="C9234" s="6" t="s">
        <v>112</v>
      </c>
      <c r="D9234" s="13" t="n">
        <v>46018</v>
      </c>
      <c r="E9234" s="14" t="n">
        <v>944.3</v>
      </c>
      <c r="F9234" s="14" t="n">
        <v>944.3</v>
      </c>
      <c r="G9234" s="6" t="s">
        <v>2623</v>
      </c>
    </row>
    <row r="9235" customFormat="false" ht="15" hidden="false" customHeight="true" outlineLevel="0" collapsed="false">
      <c r="A9235" s="6" t="s">
        <v>11847</v>
      </c>
      <c r="B9235" s="6" t="s">
        <v>1921</v>
      </c>
      <c r="C9235" s="6" t="s">
        <v>112</v>
      </c>
      <c r="D9235" s="13" t="n">
        <v>46025</v>
      </c>
      <c r="E9235" s="14" t="n">
        <v>1301.42</v>
      </c>
      <c r="F9235" s="14" t="n">
        <v>2245.72</v>
      </c>
      <c r="G9235" s="6" t="s">
        <v>2613</v>
      </c>
    </row>
    <row r="9236" customFormat="false" ht="15" hidden="false" customHeight="true" outlineLevel="0" collapsed="false">
      <c r="A9236" s="6" t="s">
        <v>11848</v>
      </c>
      <c r="B9236" s="6" t="s">
        <v>1921</v>
      </c>
      <c r="C9236" s="6" t="s">
        <v>112</v>
      </c>
      <c r="D9236" s="13" t="n">
        <v>46032</v>
      </c>
      <c r="E9236" s="14" t="n">
        <v>760.61</v>
      </c>
      <c r="F9236" s="14" t="n">
        <v>3006.33</v>
      </c>
      <c r="G9236" s="6" t="s">
        <v>2613</v>
      </c>
    </row>
    <row r="9237" customFormat="false" ht="15" hidden="false" customHeight="true" outlineLevel="0" collapsed="false">
      <c r="A9237" s="6" t="s">
        <v>11849</v>
      </c>
      <c r="B9237" s="6" t="s">
        <v>1921</v>
      </c>
      <c r="C9237" s="6" t="s">
        <v>112</v>
      </c>
      <c r="D9237" s="13" t="n">
        <v>46039</v>
      </c>
      <c r="E9237" s="14" t="n">
        <v>1649.28</v>
      </c>
      <c r="F9237" s="14" t="n">
        <v>4655.61</v>
      </c>
      <c r="G9237" s="6" t="s">
        <v>2623</v>
      </c>
    </row>
    <row r="9238" customFormat="false" ht="15" hidden="false" customHeight="true" outlineLevel="0" collapsed="false">
      <c r="A9238" s="6" t="s">
        <v>11850</v>
      </c>
      <c r="B9238" s="6" t="s">
        <v>1921</v>
      </c>
      <c r="C9238" s="6" t="s">
        <v>112</v>
      </c>
      <c r="D9238" s="13" t="n">
        <v>46046</v>
      </c>
      <c r="E9238" s="14" t="n">
        <v>1255.81</v>
      </c>
      <c r="F9238" s="14" t="n">
        <v>5911.42</v>
      </c>
      <c r="G9238" s="6" t="s">
        <v>2613</v>
      </c>
    </row>
    <row r="9239" customFormat="false" ht="15" hidden="false" customHeight="true" outlineLevel="0" collapsed="false">
      <c r="A9239" s="6" t="s">
        <v>11851</v>
      </c>
      <c r="B9239" s="6" t="s">
        <v>1921</v>
      </c>
      <c r="C9239" s="6" t="s">
        <v>112</v>
      </c>
      <c r="D9239" s="13" t="n">
        <v>46053</v>
      </c>
      <c r="E9239" s="14" t="n">
        <v>795.39</v>
      </c>
      <c r="F9239" s="14" t="n">
        <v>6706.81</v>
      </c>
      <c r="G9239" s="6" t="s">
        <v>2613</v>
      </c>
    </row>
    <row r="9240" customFormat="false" ht="15" hidden="false" customHeight="true" outlineLevel="0" collapsed="false">
      <c r="A9240" s="6" t="s">
        <v>11852</v>
      </c>
      <c r="B9240" s="6" t="s">
        <v>1921</v>
      </c>
      <c r="C9240" s="6" t="s">
        <v>112</v>
      </c>
      <c r="D9240" s="13" t="n">
        <v>46060</v>
      </c>
      <c r="E9240" s="14" t="n">
        <v>1126.97</v>
      </c>
      <c r="F9240" s="14" t="n">
        <v>7833.78</v>
      </c>
      <c r="G9240" s="6" t="s">
        <v>2613</v>
      </c>
    </row>
    <row r="9241" customFormat="false" ht="15" hidden="false" customHeight="true" outlineLevel="0" collapsed="false">
      <c r="A9241" s="6" t="s">
        <v>11853</v>
      </c>
      <c r="B9241" s="6" t="s">
        <v>1921</v>
      </c>
      <c r="C9241" s="6" t="s">
        <v>112</v>
      </c>
      <c r="D9241" s="13" t="n">
        <v>46067</v>
      </c>
      <c r="E9241" s="14" t="n">
        <v>1863.35</v>
      </c>
      <c r="F9241" s="14" t="n">
        <v>9697.13</v>
      </c>
      <c r="G9241" s="6" t="s">
        <v>2613</v>
      </c>
    </row>
    <row r="9242" customFormat="false" ht="15" hidden="false" customHeight="true" outlineLevel="0" collapsed="false">
      <c r="A9242" s="6" t="s">
        <v>11854</v>
      </c>
      <c r="B9242" s="6" t="s">
        <v>1923</v>
      </c>
      <c r="C9242" s="6" t="s">
        <v>112</v>
      </c>
      <c r="D9242" s="13" t="n">
        <v>44992</v>
      </c>
      <c r="E9242" s="14" t="n">
        <v>3673.98</v>
      </c>
      <c r="F9242" s="14" t="n">
        <v>3673.98</v>
      </c>
      <c r="G9242" s="6" t="s">
        <v>2613</v>
      </c>
    </row>
    <row r="9243" customFormat="false" ht="15" hidden="false" customHeight="true" outlineLevel="0" collapsed="false">
      <c r="A9243" s="6" t="s">
        <v>11855</v>
      </c>
      <c r="B9243" s="6" t="s">
        <v>1923</v>
      </c>
      <c r="C9243" s="6" t="s">
        <v>112</v>
      </c>
      <c r="D9243" s="13" t="n">
        <v>44999</v>
      </c>
      <c r="E9243" s="14" t="n">
        <v>6023.95</v>
      </c>
      <c r="F9243" s="14" t="n">
        <v>9697.93</v>
      </c>
      <c r="G9243" s="6" t="s">
        <v>2613</v>
      </c>
    </row>
    <row r="9244" customFormat="false" ht="15" hidden="false" customHeight="true" outlineLevel="0" collapsed="false">
      <c r="A9244" s="6" t="s">
        <v>11856</v>
      </c>
      <c r="B9244" s="6" t="s">
        <v>1923</v>
      </c>
      <c r="C9244" s="6" t="s">
        <v>112</v>
      </c>
      <c r="D9244" s="13" t="n">
        <v>45006</v>
      </c>
      <c r="E9244" s="14" t="n">
        <v>3002.81</v>
      </c>
      <c r="F9244" s="14" t="n">
        <v>12700.74</v>
      </c>
      <c r="G9244" s="6" t="s">
        <v>2613</v>
      </c>
    </row>
    <row r="9245" customFormat="false" ht="15" hidden="false" customHeight="true" outlineLevel="0" collapsed="false">
      <c r="A9245" s="6" t="s">
        <v>11857</v>
      </c>
      <c r="B9245" s="6" t="s">
        <v>1923</v>
      </c>
      <c r="C9245" s="6" t="s">
        <v>112</v>
      </c>
      <c r="D9245" s="13" t="n">
        <v>45013</v>
      </c>
      <c r="E9245" s="14" t="n">
        <v>6260.01</v>
      </c>
      <c r="F9245" s="14" t="n">
        <v>18960.75</v>
      </c>
      <c r="G9245" s="6" t="s">
        <v>2613</v>
      </c>
    </row>
    <row r="9246" customFormat="false" ht="15" hidden="false" customHeight="true" outlineLevel="0" collapsed="false">
      <c r="A9246" s="6" t="s">
        <v>11858</v>
      </c>
      <c r="B9246" s="6" t="s">
        <v>1923</v>
      </c>
      <c r="C9246" s="6" t="s">
        <v>112</v>
      </c>
      <c r="D9246" s="13" t="n">
        <v>45020</v>
      </c>
      <c r="E9246" s="14" t="n">
        <v>6501.86</v>
      </c>
      <c r="F9246" s="14" t="n">
        <v>25462.61</v>
      </c>
      <c r="G9246" s="6" t="s">
        <v>2613</v>
      </c>
    </row>
    <row r="9247" customFormat="false" ht="15" hidden="false" customHeight="true" outlineLevel="0" collapsed="false">
      <c r="A9247" s="6" t="s">
        <v>11859</v>
      </c>
      <c r="B9247" s="6" t="s">
        <v>1923</v>
      </c>
      <c r="C9247" s="6" t="s">
        <v>112</v>
      </c>
      <c r="D9247" s="13" t="n">
        <v>45027</v>
      </c>
      <c r="E9247" s="14" t="n">
        <v>3119.51</v>
      </c>
      <c r="F9247" s="14" t="n">
        <v>28582.12</v>
      </c>
      <c r="G9247" s="6" t="s">
        <v>2613</v>
      </c>
    </row>
    <row r="9248" customFormat="false" ht="15" hidden="false" customHeight="true" outlineLevel="0" collapsed="false">
      <c r="A9248" s="6" t="s">
        <v>11860</v>
      </c>
      <c r="B9248" s="6" t="s">
        <v>1923</v>
      </c>
      <c r="C9248" s="6" t="s">
        <v>112</v>
      </c>
      <c r="D9248" s="13" t="n">
        <v>45034</v>
      </c>
      <c r="E9248" s="14" t="n">
        <v>3614.78</v>
      </c>
      <c r="F9248" s="14" t="n">
        <v>32196.9</v>
      </c>
      <c r="G9248" s="6" t="s">
        <v>2613</v>
      </c>
    </row>
    <row r="9249" customFormat="false" ht="15" hidden="false" customHeight="true" outlineLevel="0" collapsed="false">
      <c r="A9249" s="6" t="s">
        <v>11861</v>
      </c>
      <c r="B9249" s="6" t="s">
        <v>1923</v>
      </c>
      <c r="C9249" s="6" t="s">
        <v>112</v>
      </c>
      <c r="D9249" s="13" t="n">
        <v>45041</v>
      </c>
      <c r="E9249" s="14" t="n">
        <v>5159.15</v>
      </c>
      <c r="F9249" s="14" t="n">
        <v>37356.05</v>
      </c>
      <c r="G9249" s="6" t="s">
        <v>2613</v>
      </c>
    </row>
    <row r="9250" customFormat="false" ht="15" hidden="false" customHeight="true" outlineLevel="0" collapsed="false">
      <c r="A9250" s="6" t="s">
        <v>11862</v>
      </c>
      <c r="B9250" s="6" t="s">
        <v>1925</v>
      </c>
      <c r="C9250" s="6" t="s">
        <v>128</v>
      </c>
      <c r="D9250" s="13" t="n">
        <v>45078</v>
      </c>
      <c r="E9250" s="14" t="n">
        <v>2606.79</v>
      </c>
      <c r="F9250" s="14" t="n">
        <v>2606.79</v>
      </c>
      <c r="G9250" s="6" t="s">
        <v>2613</v>
      </c>
    </row>
    <row r="9251" customFormat="false" ht="15" hidden="false" customHeight="true" outlineLevel="0" collapsed="false">
      <c r="A9251" s="6" t="s">
        <v>11863</v>
      </c>
      <c r="B9251" s="6" t="s">
        <v>1925</v>
      </c>
      <c r="C9251" s="6" t="s">
        <v>128</v>
      </c>
      <c r="D9251" s="13" t="n">
        <v>45085</v>
      </c>
      <c r="E9251" s="14" t="n">
        <v>3316.95</v>
      </c>
      <c r="F9251" s="14" t="n">
        <v>5923.74</v>
      </c>
      <c r="G9251" s="6" t="s">
        <v>2623</v>
      </c>
    </row>
    <row r="9252" customFormat="false" ht="15" hidden="false" customHeight="true" outlineLevel="0" collapsed="false">
      <c r="A9252" s="6" t="s">
        <v>11864</v>
      </c>
      <c r="B9252" s="6" t="s">
        <v>1925</v>
      </c>
      <c r="C9252" s="6" t="s">
        <v>128</v>
      </c>
      <c r="D9252" s="13" t="n">
        <v>45092</v>
      </c>
      <c r="E9252" s="14" t="n">
        <v>3193.09</v>
      </c>
      <c r="F9252" s="14" t="n">
        <v>9116.83</v>
      </c>
      <c r="G9252" s="6" t="s">
        <v>2613</v>
      </c>
    </row>
    <row r="9253" customFormat="false" ht="15" hidden="false" customHeight="true" outlineLevel="0" collapsed="false">
      <c r="A9253" s="6" t="s">
        <v>11865</v>
      </c>
      <c r="B9253" s="6" t="s">
        <v>1925</v>
      </c>
      <c r="C9253" s="6" t="s">
        <v>128</v>
      </c>
      <c r="D9253" s="13" t="n">
        <v>45099</v>
      </c>
      <c r="E9253" s="14" t="n">
        <v>2215.33</v>
      </c>
      <c r="F9253" s="14" t="n">
        <v>11332.16</v>
      </c>
      <c r="G9253" s="6" t="s">
        <v>2623</v>
      </c>
    </row>
    <row r="9254" customFormat="false" ht="15" hidden="false" customHeight="true" outlineLevel="0" collapsed="false">
      <c r="A9254" s="6" t="s">
        <v>11866</v>
      </c>
      <c r="B9254" s="6" t="s">
        <v>1925</v>
      </c>
      <c r="C9254" s="6" t="s">
        <v>128</v>
      </c>
      <c r="D9254" s="13" t="n">
        <v>45106</v>
      </c>
      <c r="E9254" s="14" t="n">
        <v>2845.88</v>
      </c>
      <c r="F9254" s="14" t="n">
        <v>14178.04</v>
      </c>
      <c r="G9254" s="6" t="s">
        <v>2613</v>
      </c>
    </row>
    <row r="9255" customFormat="false" ht="15" hidden="false" customHeight="true" outlineLevel="0" collapsed="false">
      <c r="A9255" s="6" t="s">
        <v>11867</v>
      </c>
      <c r="B9255" s="6" t="s">
        <v>1925</v>
      </c>
      <c r="C9255" s="6" t="s">
        <v>128</v>
      </c>
      <c r="D9255" s="13" t="n">
        <v>45113</v>
      </c>
      <c r="E9255" s="14" t="n">
        <v>2914.95</v>
      </c>
      <c r="F9255" s="14" t="n">
        <v>17092.99</v>
      </c>
      <c r="G9255" s="6" t="s">
        <v>2613</v>
      </c>
    </row>
    <row r="9256" customFormat="false" ht="15" hidden="false" customHeight="true" outlineLevel="0" collapsed="false">
      <c r="A9256" s="6" t="s">
        <v>11868</v>
      </c>
      <c r="B9256" s="6" t="s">
        <v>1925</v>
      </c>
      <c r="C9256" s="6" t="s">
        <v>128</v>
      </c>
      <c r="D9256" s="13" t="n">
        <v>45120</v>
      </c>
      <c r="E9256" s="14" t="n">
        <v>2830.2</v>
      </c>
      <c r="F9256" s="14" t="n">
        <v>19923.19</v>
      </c>
      <c r="G9256" s="6" t="s">
        <v>2613</v>
      </c>
    </row>
    <row r="9257" customFormat="false" ht="15" hidden="false" customHeight="true" outlineLevel="0" collapsed="false">
      <c r="A9257" s="6" t="s">
        <v>11869</v>
      </c>
      <c r="B9257" s="6" t="s">
        <v>1925</v>
      </c>
      <c r="C9257" s="6" t="s">
        <v>128</v>
      </c>
      <c r="D9257" s="13" t="n">
        <v>45127</v>
      </c>
      <c r="E9257" s="14" t="n">
        <v>1751.58</v>
      </c>
      <c r="F9257" s="14" t="n">
        <v>21674.77</v>
      </c>
      <c r="G9257" s="6" t="s">
        <v>2623</v>
      </c>
    </row>
    <row r="9258" customFormat="false" ht="15" hidden="false" customHeight="true" outlineLevel="0" collapsed="false">
      <c r="A9258" s="6" t="s">
        <v>11870</v>
      </c>
      <c r="B9258" s="6" t="s">
        <v>1925</v>
      </c>
      <c r="C9258" s="6" t="s">
        <v>128</v>
      </c>
      <c r="D9258" s="13" t="n">
        <v>45134</v>
      </c>
      <c r="E9258" s="14" t="n">
        <v>2189.08</v>
      </c>
      <c r="F9258" s="14" t="n">
        <v>23863.85</v>
      </c>
      <c r="G9258" s="6" t="s">
        <v>2613</v>
      </c>
    </row>
    <row r="9259" customFormat="false" ht="15" hidden="false" customHeight="true" outlineLevel="0" collapsed="false">
      <c r="A9259" s="6" t="s">
        <v>11871</v>
      </c>
      <c r="B9259" s="6" t="s">
        <v>1925</v>
      </c>
      <c r="C9259" s="6" t="s">
        <v>128</v>
      </c>
      <c r="D9259" s="13" t="n">
        <v>45141</v>
      </c>
      <c r="E9259" s="14" t="n">
        <v>1684.88</v>
      </c>
      <c r="F9259" s="14" t="n">
        <v>25548.73</v>
      </c>
      <c r="G9259" s="6" t="s">
        <v>2623</v>
      </c>
    </row>
    <row r="9260" customFormat="false" ht="15" hidden="false" customHeight="true" outlineLevel="0" collapsed="false">
      <c r="A9260" s="6" t="s">
        <v>11872</v>
      </c>
      <c r="B9260" s="6" t="s">
        <v>1925</v>
      </c>
      <c r="C9260" s="6" t="s">
        <v>128</v>
      </c>
      <c r="D9260" s="13" t="n">
        <v>45148</v>
      </c>
      <c r="E9260" s="14" t="n">
        <v>1836.68</v>
      </c>
      <c r="F9260" s="14" t="n">
        <v>27385.41</v>
      </c>
      <c r="G9260" s="6" t="s">
        <v>2613</v>
      </c>
    </row>
    <row r="9261" customFormat="false" ht="15" hidden="false" customHeight="true" outlineLevel="0" collapsed="false">
      <c r="A9261" s="6" t="s">
        <v>11873</v>
      </c>
      <c r="B9261" s="6" t="s">
        <v>1925</v>
      </c>
      <c r="C9261" s="6" t="s">
        <v>128</v>
      </c>
      <c r="D9261" s="13" t="n">
        <v>45155</v>
      </c>
      <c r="E9261" s="14" t="n">
        <v>2703.99</v>
      </c>
      <c r="F9261" s="14" t="n">
        <v>30089.4</v>
      </c>
      <c r="G9261" s="6" t="s">
        <v>2613</v>
      </c>
    </row>
    <row r="9262" customFormat="false" ht="15" hidden="false" customHeight="true" outlineLevel="0" collapsed="false">
      <c r="A9262" s="6" t="s">
        <v>11874</v>
      </c>
      <c r="B9262" s="6" t="s">
        <v>1925</v>
      </c>
      <c r="C9262" s="6" t="s">
        <v>128</v>
      </c>
      <c r="D9262" s="13" t="n">
        <v>45162</v>
      </c>
      <c r="E9262" s="14" t="n">
        <v>1636.62</v>
      </c>
      <c r="F9262" s="14" t="n">
        <v>31726.02</v>
      </c>
      <c r="G9262" s="6" t="s">
        <v>2613</v>
      </c>
    </row>
    <row r="9263" customFormat="false" ht="15" hidden="false" customHeight="true" outlineLevel="0" collapsed="false">
      <c r="A9263" s="6" t="s">
        <v>11875</v>
      </c>
      <c r="B9263" s="6" t="s">
        <v>1925</v>
      </c>
      <c r="C9263" s="6" t="s">
        <v>128</v>
      </c>
      <c r="D9263" s="13" t="n">
        <v>45169</v>
      </c>
      <c r="E9263" s="14" t="n">
        <v>2760.98</v>
      </c>
      <c r="F9263" s="14" t="n">
        <v>34487</v>
      </c>
      <c r="G9263" s="6" t="s">
        <v>2613</v>
      </c>
    </row>
    <row r="9264" customFormat="false" ht="15" hidden="false" customHeight="true" outlineLevel="0" collapsed="false">
      <c r="A9264" s="6" t="s">
        <v>11876</v>
      </c>
      <c r="B9264" s="6" t="s">
        <v>1925</v>
      </c>
      <c r="C9264" s="6" t="s">
        <v>128</v>
      </c>
      <c r="D9264" s="13" t="n">
        <v>45176</v>
      </c>
      <c r="E9264" s="14" t="n">
        <v>1922.45</v>
      </c>
      <c r="F9264" s="14" t="n">
        <v>36409.45</v>
      </c>
      <c r="G9264" s="6" t="s">
        <v>2623</v>
      </c>
    </row>
    <row r="9265" customFormat="false" ht="15" hidden="false" customHeight="true" outlineLevel="0" collapsed="false">
      <c r="A9265" s="6" t="s">
        <v>11877</v>
      </c>
      <c r="B9265" s="6" t="s">
        <v>1927</v>
      </c>
      <c r="C9265" s="6" t="s">
        <v>131</v>
      </c>
      <c r="D9265" s="13" t="n">
        <v>44615</v>
      </c>
      <c r="E9265" s="14" t="n">
        <v>6999.29</v>
      </c>
      <c r="F9265" s="14" t="n">
        <v>6999.29</v>
      </c>
      <c r="G9265" s="6" t="s">
        <v>2613</v>
      </c>
    </row>
    <row r="9266" customFormat="false" ht="15" hidden="false" customHeight="true" outlineLevel="0" collapsed="false">
      <c r="A9266" s="6" t="s">
        <v>11878</v>
      </c>
      <c r="B9266" s="6" t="s">
        <v>1927</v>
      </c>
      <c r="C9266" s="6" t="s">
        <v>131</v>
      </c>
      <c r="D9266" s="13" t="n">
        <v>44622</v>
      </c>
      <c r="E9266" s="14" t="n">
        <v>10948.79</v>
      </c>
      <c r="F9266" s="14" t="n">
        <v>17948.08</v>
      </c>
      <c r="G9266" s="6" t="s">
        <v>2613</v>
      </c>
    </row>
    <row r="9267" customFormat="false" ht="15" hidden="false" customHeight="true" outlineLevel="0" collapsed="false">
      <c r="A9267" s="6" t="s">
        <v>11879</v>
      </c>
      <c r="B9267" s="6" t="s">
        <v>1927</v>
      </c>
      <c r="C9267" s="6" t="s">
        <v>131</v>
      </c>
      <c r="D9267" s="13" t="n">
        <v>44629</v>
      </c>
      <c r="E9267" s="14" t="n">
        <v>7788.73</v>
      </c>
      <c r="F9267" s="14" t="n">
        <v>25736.81</v>
      </c>
      <c r="G9267" s="6" t="s">
        <v>2613</v>
      </c>
    </row>
    <row r="9268" customFormat="false" ht="15" hidden="false" customHeight="true" outlineLevel="0" collapsed="false">
      <c r="A9268" s="6" t="s">
        <v>11880</v>
      </c>
      <c r="B9268" s="6" t="s">
        <v>1927</v>
      </c>
      <c r="C9268" s="6" t="s">
        <v>131</v>
      </c>
      <c r="D9268" s="13" t="n">
        <v>44636</v>
      </c>
      <c r="E9268" s="14" t="n">
        <v>10939.52</v>
      </c>
      <c r="F9268" s="14" t="n">
        <v>36676.33</v>
      </c>
      <c r="G9268" s="6" t="s">
        <v>2613</v>
      </c>
    </row>
    <row r="9269" customFormat="false" ht="15" hidden="false" customHeight="true" outlineLevel="0" collapsed="false">
      <c r="A9269" s="6" t="s">
        <v>11881</v>
      </c>
      <c r="B9269" s="6" t="s">
        <v>1927</v>
      </c>
      <c r="C9269" s="6" t="s">
        <v>131</v>
      </c>
      <c r="D9269" s="13" t="n">
        <v>44643</v>
      </c>
      <c r="E9269" s="14" t="n">
        <v>10291.63</v>
      </c>
      <c r="F9269" s="14" t="n">
        <v>46967.96</v>
      </c>
      <c r="G9269" s="6" t="s">
        <v>2613</v>
      </c>
    </row>
    <row r="9270" customFormat="false" ht="15" hidden="false" customHeight="true" outlineLevel="0" collapsed="false">
      <c r="A9270" s="6" t="s">
        <v>11882</v>
      </c>
      <c r="B9270" s="6" t="s">
        <v>1927</v>
      </c>
      <c r="C9270" s="6" t="s">
        <v>131</v>
      </c>
      <c r="D9270" s="13" t="n">
        <v>44650</v>
      </c>
      <c r="E9270" s="14" t="n">
        <v>8223.24</v>
      </c>
      <c r="F9270" s="14" t="n">
        <v>55191.2</v>
      </c>
      <c r="G9270" s="6" t="s">
        <v>2623</v>
      </c>
    </row>
    <row r="9271" customFormat="false" ht="15" hidden="false" customHeight="true" outlineLevel="0" collapsed="false">
      <c r="A9271" s="6" t="s">
        <v>11883</v>
      </c>
      <c r="B9271" s="6" t="s">
        <v>1927</v>
      </c>
      <c r="C9271" s="6" t="s">
        <v>131</v>
      </c>
      <c r="D9271" s="13" t="n">
        <v>44657</v>
      </c>
      <c r="E9271" s="14" t="n">
        <v>5825.83</v>
      </c>
      <c r="F9271" s="14" t="n">
        <v>61017.03</v>
      </c>
      <c r="G9271" s="6" t="s">
        <v>2613</v>
      </c>
    </row>
    <row r="9272" customFormat="false" ht="15" hidden="false" customHeight="true" outlineLevel="0" collapsed="false">
      <c r="A9272" s="6" t="s">
        <v>11884</v>
      </c>
      <c r="B9272" s="6" t="s">
        <v>1927</v>
      </c>
      <c r="C9272" s="6" t="s">
        <v>131</v>
      </c>
      <c r="D9272" s="13" t="n">
        <v>44664</v>
      </c>
      <c r="E9272" s="14" t="n">
        <v>8642.15</v>
      </c>
      <c r="F9272" s="14" t="n">
        <v>69659.18</v>
      </c>
      <c r="G9272" s="6" t="s">
        <v>2623</v>
      </c>
    </row>
    <row r="9273" customFormat="false" ht="15" hidden="false" customHeight="true" outlineLevel="0" collapsed="false">
      <c r="A9273" s="6" t="s">
        <v>11885</v>
      </c>
      <c r="B9273" s="6" t="s">
        <v>1927</v>
      </c>
      <c r="C9273" s="6" t="s">
        <v>131</v>
      </c>
      <c r="D9273" s="13" t="n">
        <v>44671</v>
      </c>
      <c r="E9273" s="14" t="n">
        <v>6720.03</v>
      </c>
      <c r="F9273" s="14" t="n">
        <v>76379.21</v>
      </c>
      <c r="G9273" s="6" t="s">
        <v>2623</v>
      </c>
    </row>
    <row r="9274" customFormat="false" ht="15" hidden="false" customHeight="true" outlineLevel="0" collapsed="false">
      <c r="A9274" s="6" t="s">
        <v>11886</v>
      </c>
      <c r="B9274" s="6" t="s">
        <v>1929</v>
      </c>
      <c r="C9274" s="6" t="s">
        <v>124</v>
      </c>
      <c r="D9274" s="13" t="n">
        <v>45260</v>
      </c>
      <c r="E9274" s="14" t="n">
        <v>2420.24</v>
      </c>
      <c r="F9274" s="14" t="n">
        <v>2420.24</v>
      </c>
      <c r="G9274" s="6" t="s">
        <v>2613</v>
      </c>
    </row>
    <row r="9275" customFormat="false" ht="15" hidden="false" customHeight="true" outlineLevel="0" collapsed="false">
      <c r="A9275" s="6" t="s">
        <v>11887</v>
      </c>
      <c r="B9275" s="6" t="s">
        <v>1929</v>
      </c>
      <c r="C9275" s="6" t="s">
        <v>124</v>
      </c>
      <c r="D9275" s="13" t="n">
        <v>45267</v>
      </c>
      <c r="E9275" s="14" t="n">
        <v>2996.92</v>
      </c>
      <c r="F9275" s="14" t="n">
        <v>5417.16</v>
      </c>
      <c r="G9275" s="6" t="s">
        <v>2613</v>
      </c>
    </row>
    <row r="9276" customFormat="false" ht="15" hidden="false" customHeight="true" outlineLevel="0" collapsed="false">
      <c r="A9276" s="6" t="s">
        <v>11888</v>
      </c>
      <c r="B9276" s="6" t="s">
        <v>1929</v>
      </c>
      <c r="C9276" s="6" t="s">
        <v>124</v>
      </c>
      <c r="D9276" s="13" t="n">
        <v>45274</v>
      </c>
      <c r="E9276" s="14" t="n">
        <v>2187.17</v>
      </c>
      <c r="F9276" s="14" t="n">
        <v>7604.33</v>
      </c>
      <c r="G9276" s="6" t="s">
        <v>2613</v>
      </c>
    </row>
    <row r="9277" customFormat="false" ht="15" hidden="false" customHeight="true" outlineLevel="0" collapsed="false">
      <c r="A9277" s="6" t="s">
        <v>11889</v>
      </c>
      <c r="B9277" s="6" t="s">
        <v>1929</v>
      </c>
      <c r="C9277" s="6" t="s">
        <v>124</v>
      </c>
      <c r="D9277" s="13" t="n">
        <v>45281</v>
      </c>
      <c r="E9277" s="14" t="n">
        <v>2137.06</v>
      </c>
      <c r="F9277" s="14" t="n">
        <v>9741.39</v>
      </c>
      <c r="G9277" s="6" t="s">
        <v>2613</v>
      </c>
    </row>
    <row r="9278" customFormat="false" ht="15" hidden="false" customHeight="true" outlineLevel="0" collapsed="false">
      <c r="A9278" s="6" t="s">
        <v>11890</v>
      </c>
      <c r="B9278" s="6" t="s">
        <v>1929</v>
      </c>
      <c r="C9278" s="6" t="s">
        <v>124</v>
      </c>
      <c r="D9278" s="13" t="n">
        <v>45288</v>
      </c>
      <c r="E9278" s="14" t="n">
        <v>3131.65</v>
      </c>
      <c r="F9278" s="14" t="n">
        <v>12873.04</v>
      </c>
      <c r="G9278" s="6" t="s">
        <v>2623</v>
      </c>
    </row>
    <row r="9279" customFormat="false" ht="15" hidden="false" customHeight="true" outlineLevel="0" collapsed="false">
      <c r="A9279" s="6" t="s">
        <v>11891</v>
      </c>
      <c r="B9279" s="6" t="s">
        <v>1929</v>
      </c>
      <c r="C9279" s="6" t="s">
        <v>124</v>
      </c>
      <c r="D9279" s="13" t="n">
        <v>45295</v>
      </c>
      <c r="E9279" s="14" t="n">
        <v>3080.58</v>
      </c>
      <c r="F9279" s="14" t="n">
        <v>15953.62</v>
      </c>
      <c r="G9279" s="6" t="s">
        <v>2613</v>
      </c>
    </row>
    <row r="9280" customFormat="false" ht="15" hidden="false" customHeight="true" outlineLevel="0" collapsed="false">
      <c r="A9280" s="6" t="s">
        <v>11892</v>
      </c>
      <c r="B9280" s="6" t="s">
        <v>1929</v>
      </c>
      <c r="C9280" s="6" t="s">
        <v>124</v>
      </c>
      <c r="D9280" s="13" t="n">
        <v>45302</v>
      </c>
      <c r="E9280" s="14" t="n">
        <v>2957.22</v>
      </c>
      <c r="F9280" s="14" t="n">
        <v>18910.84</v>
      </c>
      <c r="G9280" s="6" t="s">
        <v>2613</v>
      </c>
    </row>
    <row r="9281" customFormat="false" ht="15" hidden="false" customHeight="true" outlineLevel="0" collapsed="false">
      <c r="A9281" s="6" t="s">
        <v>11893</v>
      </c>
      <c r="B9281" s="6" t="s">
        <v>1929</v>
      </c>
      <c r="C9281" s="6" t="s">
        <v>124</v>
      </c>
      <c r="D9281" s="13" t="n">
        <v>45309</v>
      </c>
      <c r="E9281" s="14" t="n">
        <v>4290.34</v>
      </c>
      <c r="F9281" s="14" t="n">
        <v>23201.18</v>
      </c>
      <c r="G9281" s="6" t="s">
        <v>2613</v>
      </c>
    </row>
    <row r="9282" customFormat="false" ht="15" hidden="false" customHeight="true" outlineLevel="0" collapsed="false">
      <c r="A9282" s="6" t="s">
        <v>11894</v>
      </c>
      <c r="B9282" s="6" t="s">
        <v>1931</v>
      </c>
      <c r="C9282" s="6" t="s">
        <v>131</v>
      </c>
      <c r="D9282" s="13" t="n">
        <v>45748</v>
      </c>
      <c r="E9282" s="14" t="n">
        <v>3372.41</v>
      </c>
      <c r="F9282" s="14" t="n">
        <v>3372.41</v>
      </c>
      <c r="G9282" s="6" t="s">
        <v>2613</v>
      </c>
    </row>
    <row r="9283" customFormat="false" ht="15" hidden="false" customHeight="true" outlineLevel="0" collapsed="false">
      <c r="A9283" s="6" t="s">
        <v>11895</v>
      </c>
      <c r="B9283" s="6" t="s">
        <v>1931</v>
      </c>
      <c r="C9283" s="6" t="s">
        <v>131</v>
      </c>
      <c r="D9283" s="13" t="n">
        <v>45755</v>
      </c>
      <c r="E9283" s="14" t="n">
        <v>2497.8</v>
      </c>
      <c r="F9283" s="14" t="n">
        <v>5870.21</v>
      </c>
      <c r="G9283" s="6" t="s">
        <v>2613</v>
      </c>
    </row>
    <row r="9284" customFormat="false" ht="15" hidden="false" customHeight="true" outlineLevel="0" collapsed="false">
      <c r="A9284" s="6" t="s">
        <v>11896</v>
      </c>
      <c r="B9284" s="6" t="s">
        <v>1931</v>
      </c>
      <c r="C9284" s="6" t="s">
        <v>131</v>
      </c>
      <c r="D9284" s="13" t="n">
        <v>45762</v>
      </c>
      <c r="E9284" s="14" t="n">
        <v>2953.55</v>
      </c>
      <c r="F9284" s="14" t="n">
        <v>8823.76</v>
      </c>
      <c r="G9284" s="6" t="s">
        <v>2613</v>
      </c>
    </row>
    <row r="9285" customFormat="false" ht="15" hidden="false" customHeight="true" outlineLevel="0" collapsed="false">
      <c r="A9285" s="6" t="s">
        <v>11897</v>
      </c>
      <c r="B9285" s="6" t="s">
        <v>1931</v>
      </c>
      <c r="C9285" s="6" t="s">
        <v>131</v>
      </c>
      <c r="D9285" s="13" t="n">
        <v>45769</v>
      </c>
      <c r="E9285" s="14" t="n">
        <v>2543.62</v>
      </c>
      <c r="F9285" s="14" t="n">
        <v>11367.38</v>
      </c>
      <c r="G9285" s="6" t="s">
        <v>2613</v>
      </c>
    </row>
    <row r="9286" customFormat="false" ht="15" hidden="false" customHeight="true" outlineLevel="0" collapsed="false">
      <c r="A9286" s="6" t="s">
        <v>11898</v>
      </c>
      <c r="B9286" s="6" t="s">
        <v>1931</v>
      </c>
      <c r="C9286" s="6" t="s">
        <v>131</v>
      </c>
      <c r="D9286" s="13" t="n">
        <v>45776</v>
      </c>
      <c r="E9286" s="14" t="n">
        <v>2553.74</v>
      </c>
      <c r="F9286" s="14" t="n">
        <v>13921.12</v>
      </c>
      <c r="G9286" s="6" t="s">
        <v>2613</v>
      </c>
    </row>
    <row r="9287" customFormat="false" ht="15" hidden="false" customHeight="true" outlineLevel="0" collapsed="false">
      <c r="A9287" s="6" t="s">
        <v>11899</v>
      </c>
      <c r="B9287" s="6" t="s">
        <v>1931</v>
      </c>
      <c r="C9287" s="6" t="s">
        <v>131</v>
      </c>
      <c r="D9287" s="13" t="n">
        <v>45783</v>
      </c>
      <c r="E9287" s="14" t="n">
        <v>2255.77</v>
      </c>
      <c r="F9287" s="14" t="n">
        <v>16176.89</v>
      </c>
      <c r="G9287" s="6" t="s">
        <v>2613</v>
      </c>
    </row>
    <row r="9288" customFormat="false" ht="15" hidden="false" customHeight="true" outlineLevel="0" collapsed="false">
      <c r="A9288" s="6" t="s">
        <v>11900</v>
      </c>
      <c r="B9288" s="6" t="s">
        <v>1931</v>
      </c>
      <c r="C9288" s="6" t="s">
        <v>131</v>
      </c>
      <c r="D9288" s="13" t="n">
        <v>45790</v>
      </c>
      <c r="E9288" s="14" t="n">
        <v>2725.13</v>
      </c>
      <c r="F9288" s="14" t="n">
        <v>18902.02</v>
      </c>
      <c r="G9288" s="6" t="s">
        <v>2613</v>
      </c>
    </row>
    <row r="9289" customFormat="false" ht="15" hidden="false" customHeight="true" outlineLevel="0" collapsed="false">
      <c r="A9289" s="6" t="s">
        <v>11901</v>
      </c>
      <c r="B9289" s="6" t="s">
        <v>1931</v>
      </c>
      <c r="C9289" s="6" t="s">
        <v>131</v>
      </c>
      <c r="D9289" s="13" t="n">
        <v>45797</v>
      </c>
      <c r="E9289" s="14" t="n">
        <v>1949.08</v>
      </c>
      <c r="F9289" s="14" t="n">
        <v>20851.1</v>
      </c>
      <c r="G9289" s="6" t="s">
        <v>2623</v>
      </c>
    </row>
    <row r="9290" customFormat="false" ht="15" hidden="false" customHeight="true" outlineLevel="0" collapsed="false">
      <c r="A9290" s="6" t="s">
        <v>11902</v>
      </c>
      <c r="B9290" s="6" t="s">
        <v>1931</v>
      </c>
      <c r="C9290" s="6" t="s">
        <v>131</v>
      </c>
      <c r="D9290" s="13" t="n">
        <v>45804</v>
      </c>
      <c r="E9290" s="14" t="n">
        <v>1983.67</v>
      </c>
      <c r="F9290" s="14" t="n">
        <v>22834.77</v>
      </c>
      <c r="G9290" s="6" t="s">
        <v>2613</v>
      </c>
    </row>
    <row r="9291" customFormat="false" ht="15" hidden="false" customHeight="true" outlineLevel="0" collapsed="false">
      <c r="A9291" s="6" t="s">
        <v>11903</v>
      </c>
      <c r="B9291" s="6" t="s">
        <v>1931</v>
      </c>
      <c r="C9291" s="6" t="s">
        <v>131</v>
      </c>
      <c r="D9291" s="13" t="n">
        <v>45811</v>
      </c>
      <c r="E9291" s="14" t="n">
        <v>1978.24</v>
      </c>
      <c r="F9291" s="14" t="n">
        <v>24813.01</v>
      </c>
      <c r="G9291" s="6" t="s">
        <v>2613</v>
      </c>
    </row>
    <row r="9292" customFormat="false" ht="15" hidden="false" customHeight="true" outlineLevel="0" collapsed="false">
      <c r="A9292" s="6" t="s">
        <v>11904</v>
      </c>
      <c r="B9292" s="6" t="s">
        <v>1931</v>
      </c>
      <c r="C9292" s="6" t="s">
        <v>131</v>
      </c>
      <c r="D9292" s="13" t="n">
        <v>45818</v>
      </c>
      <c r="E9292" s="14" t="n">
        <v>2088.16</v>
      </c>
      <c r="F9292" s="14" t="n">
        <v>26901.17</v>
      </c>
      <c r="G9292" s="6" t="s">
        <v>2613</v>
      </c>
    </row>
    <row r="9293" customFormat="false" ht="15" hidden="false" customHeight="true" outlineLevel="0" collapsed="false">
      <c r="A9293" s="6" t="s">
        <v>11905</v>
      </c>
      <c r="B9293" s="6" t="s">
        <v>1931</v>
      </c>
      <c r="C9293" s="6" t="s">
        <v>131</v>
      </c>
      <c r="D9293" s="13" t="n">
        <v>45825</v>
      </c>
      <c r="E9293" s="14" t="n">
        <v>3049.13</v>
      </c>
      <c r="F9293" s="14" t="n">
        <v>29950.3</v>
      </c>
      <c r="G9293" s="6" t="s">
        <v>2613</v>
      </c>
    </row>
    <row r="9294" customFormat="false" ht="15" hidden="false" customHeight="true" outlineLevel="0" collapsed="false">
      <c r="A9294" s="6" t="s">
        <v>11906</v>
      </c>
      <c r="B9294" s="6" t="s">
        <v>1931</v>
      </c>
      <c r="C9294" s="6" t="s">
        <v>131</v>
      </c>
      <c r="D9294" s="13" t="n">
        <v>45832</v>
      </c>
      <c r="E9294" s="14" t="n">
        <v>2928.1</v>
      </c>
      <c r="F9294" s="14" t="n">
        <v>32878.4</v>
      </c>
      <c r="G9294" s="6" t="s">
        <v>2613</v>
      </c>
    </row>
    <row r="9295" customFormat="false" ht="15" hidden="false" customHeight="true" outlineLevel="0" collapsed="false">
      <c r="A9295" s="6" t="s">
        <v>11907</v>
      </c>
      <c r="B9295" s="6" t="s">
        <v>1931</v>
      </c>
      <c r="C9295" s="6" t="s">
        <v>131</v>
      </c>
      <c r="D9295" s="13" t="n">
        <v>45839</v>
      </c>
      <c r="E9295" s="14" t="n">
        <v>1998.73</v>
      </c>
      <c r="F9295" s="14" t="n">
        <v>34877.13</v>
      </c>
      <c r="G9295" s="6" t="s">
        <v>2613</v>
      </c>
    </row>
    <row r="9296" customFormat="false" ht="15" hidden="false" customHeight="true" outlineLevel="0" collapsed="false">
      <c r="A9296" s="6" t="s">
        <v>11908</v>
      </c>
      <c r="B9296" s="6" t="s">
        <v>1931</v>
      </c>
      <c r="C9296" s="6" t="s">
        <v>131</v>
      </c>
      <c r="D9296" s="13" t="n">
        <v>45846</v>
      </c>
      <c r="E9296" s="14" t="n">
        <v>2442.14</v>
      </c>
      <c r="F9296" s="14" t="n">
        <v>37319.27</v>
      </c>
      <c r="G9296" s="6" t="s">
        <v>2623</v>
      </c>
    </row>
    <row r="9297" customFormat="false" ht="15" hidden="false" customHeight="true" outlineLevel="0" collapsed="false">
      <c r="A9297" s="6" t="s">
        <v>11909</v>
      </c>
      <c r="B9297" s="6" t="s">
        <v>1931</v>
      </c>
      <c r="C9297" s="6" t="s">
        <v>131</v>
      </c>
      <c r="D9297" s="13" t="n">
        <v>45853</v>
      </c>
      <c r="E9297" s="14" t="n">
        <v>1551.74</v>
      </c>
      <c r="F9297" s="14" t="n">
        <v>38871.01</v>
      </c>
      <c r="G9297" s="6" t="s">
        <v>2613</v>
      </c>
    </row>
    <row r="9298" customFormat="false" ht="15" hidden="false" customHeight="true" outlineLevel="0" collapsed="false">
      <c r="A9298" s="6" t="s">
        <v>11910</v>
      </c>
      <c r="B9298" s="6" t="s">
        <v>1931</v>
      </c>
      <c r="C9298" s="6" t="s">
        <v>131</v>
      </c>
      <c r="D9298" s="13" t="n">
        <v>45860</v>
      </c>
      <c r="E9298" s="14" t="n">
        <v>2375.78</v>
      </c>
      <c r="F9298" s="14" t="n">
        <v>41246.79</v>
      </c>
      <c r="G9298" s="6" t="s">
        <v>2613</v>
      </c>
    </row>
    <row r="9299" customFormat="false" ht="15" hidden="false" customHeight="true" outlineLevel="0" collapsed="false">
      <c r="A9299" s="6" t="s">
        <v>11911</v>
      </c>
      <c r="B9299" s="6" t="s">
        <v>1931</v>
      </c>
      <c r="C9299" s="6" t="s">
        <v>131</v>
      </c>
      <c r="D9299" s="13" t="n">
        <v>45867</v>
      </c>
      <c r="E9299" s="14" t="n">
        <v>1807.67</v>
      </c>
      <c r="F9299" s="14" t="n">
        <v>43054.46</v>
      </c>
      <c r="G9299" s="6" t="s">
        <v>2613</v>
      </c>
    </row>
    <row r="9300" customFormat="false" ht="15" hidden="false" customHeight="true" outlineLevel="0" collapsed="false">
      <c r="A9300" s="6" t="s">
        <v>11912</v>
      </c>
      <c r="B9300" s="6" t="s">
        <v>1931</v>
      </c>
      <c r="C9300" s="6" t="s">
        <v>131</v>
      </c>
      <c r="D9300" s="13" t="n">
        <v>45874</v>
      </c>
      <c r="E9300" s="14" t="n">
        <v>2262.18</v>
      </c>
      <c r="F9300" s="14" t="n">
        <v>45316.64</v>
      </c>
      <c r="G9300" s="6" t="s">
        <v>2613</v>
      </c>
    </row>
    <row r="9301" customFormat="false" ht="15" hidden="false" customHeight="true" outlineLevel="0" collapsed="false">
      <c r="A9301" s="6" t="s">
        <v>11913</v>
      </c>
      <c r="B9301" s="6" t="s">
        <v>1931</v>
      </c>
      <c r="C9301" s="6" t="s">
        <v>131</v>
      </c>
      <c r="D9301" s="13" t="n">
        <v>45881</v>
      </c>
      <c r="E9301" s="14" t="n">
        <v>2180.94</v>
      </c>
      <c r="F9301" s="14" t="n">
        <v>47497.58</v>
      </c>
      <c r="G9301" s="6" t="s">
        <v>2613</v>
      </c>
    </row>
    <row r="9302" customFormat="false" ht="15" hidden="false" customHeight="true" outlineLevel="0" collapsed="false">
      <c r="A9302" s="6" t="s">
        <v>11914</v>
      </c>
      <c r="B9302" s="6" t="s">
        <v>1931</v>
      </c>
      <c r="C9302" s="6" t="s">
        <v>131</v>
      </c>
      <c r="D9302" s="13" t="n">
        <v>45888</v>
      </c>
      <c r="E9302" s="14" t="n">
        <v>2485</v>
      </c>
      <c r="F9302" s="14" t="n">
        <v>49982.58</v>
      </c>
      <c r="G9302" s="6" t="s">
        <v>2613</v>
      </c>
    </row>
    <row r="9303" customFormat="false" ht="15" hidden="false" customHeight="true" outlineLevel="0" collapsed="false">
      <c r="A9303" s="6" t="s">
        <v>11915</v>
      </c>
      <c r="B9303" s="6" t="s">
        <v>1931</v>
      </c>
      <c r="C9303" s="6" t="s">
        <v>131</v>
      </c>
      <c r="D9303" s="13" t="n">
        <v>45895</v>
      </c>
      <c r="E9303" s="14" t="n">
        <v>4130.15</v>
      </c>
      <c r="F9303" s="14" t="n">
        <v>54112.73</v>
      </c>
      <c r="G9303" s="6" t="s">
        <v>2613</v>
      </c>
    </row>
    <row r="9304" customFormat="false" ht="15" hidden="false" customHeight="true" outlineLevel="0" collapsed="false">
      <c r="A9304" s="6" t="s">
        <v>11916</v>
      </c>
      <c r="B9304" s="6" t="s">
        <v>1933</v>
      </c>
      <c r="C9304" s="6" t="s">
        <v>120</v>
      </c>
      <c r="D9304" s="13" t="n">
        <v>44811</v>
      </c>
      <c r="E9304" s="14" t="n">
        <v>1681.04</v>
      </c>
      <c r="F9304" s="14" t="n">
        <v>1681.04</v>
      </c>
      <c r="G9304" s="6" t="s">
        <v>2613</v>
      </c>
    </row>
    <row r="9305" customFormat="false" ht="15" hidden="false" customHeight="true" outlineLevel="0" collapsed="false">
      <c r="A9305" s="6" t="s">
        <v>11917</v>
      </c>
      <c r="B9305" s="6" t="s">
        <v>1933</v>
      </c>
      <c r="C9305" s="6" t="s">
        <v>120</v>
      </c>
      <c r="D9305" s="13" t="n">
        <v>44818</v>
      </c>
      <c r="E9305" s="14" t="n">
        <v>2421.43</v>
      </c>
      <c r="F9305" s="14" t="n">
        <v>4102.47</v>
      </c>
      <c r="G9305" s="6" t="s">
        <v>2623</v>
      </c>
    </row>
    <row r="9306" customFormat="false" ht="15" hidden="false" customHeight="true" outlineLevel="0" collapsed="false">
      <c r="A9306" s="6" t="s">
        <v>11918</v>
      </c>
      <c r="B9306" s="6" t="s">
        <v>1933</v>
      </c>
      <c r="C9306" s="6" t="s">
        <v>120</v>
      </c>
      <c r="D9306" s="13" t="n">
        <v>44825</v>
      </c>
      <c r="E9306" s="14" t="n">
        <v>2921.88</v>
      </c>
      <c r="F9306" s="14" t="n">
        <v>7024.35</v>
      </c>
      <c r="G9306" s="6" t="s">
        <v>2613</v>
      </c>
    </row>
    <row r="9307" customFormat="false" ht="15" hidden="false" customHeight="true" outlineLevel="0" collapsed="false">
      <c r="A9307" s="6" t="s">
        <v>11919</v>
      </c>
      <c r="B9307" s="6" t="s">
        <v>1933</v>
      </c>
      <c r="C9307" s="6" t="s">
        <v>120</v>
      </c>
      <c r="D9307" s="13" t="n">
        <v>44832</v>
      </c>
      <c r="E9307" s="14" t="n">
        <v>3224.86</v>
      </c>
      <c r="F9307" s="14" t="n">
        <v>10249.21</v>
      </c>
      <c r="G9307" s="6" t="s">
        <v>2613</v>
      </c>
    </row>
    <row r="9308" customFormat="false" ht="15" hidden="false" customHeight="true" outlineLevel="0" collapsed="false">
      <c r="A9308" s="6" t="s">
        <v>11920</v>
      </c>
      <c r="B9308" s="6" t="s">
        <v>1933</v>
      </c>
      <c r="C9308" s="6" t="s">
        <v>120</v>
      </c>
      <c r="D9308" s="13" t="n">
        <v>44839</v>
      </c>
      <c r="E9308" s="14" t="n">
        <v>2349.64</v>
      </c>
      <c r="F9308" s="14" t="n">
        <v>12598.85</v>
      </c>
      <c r="G9308" s="6" t="s">
        <v>2613</v>
      </c>
    </row>
    <row r="9309" customFormat="false" ht="15" hidden="false" customHeight="true" outlineLevel="0" collapsed="false">
      <c r="A9309" s="6" t="s">
        <v>11921</v>
      </c>
      <c r="B9309" s="6" t="s">
        <v>1933</v>
      </c>
      <c r="C9309" s="6" t="s">
        <v>120</v>
      </c>
      <c r="D9309" s="13" t="n">
        <v>44846</v>
      </c>
      <c r="E9309" s="14" t="n">
        <v>2194.5</v>
      </c>
      <c r="F9309" s="14" t="n">
        <v>14793.35</v>
      </c>
      <c r="G9309" s="6" t="s">
        <v>2613</v>
      </c>
    </row>
    <row r="9310" customFormat="false" ht="15" hidden="false" customHeight="true" outlineLevel="0" collapsed="false">
      <c r="A9310" s="6" t="s">
        <v>11922</v>
      </c>
      <c r="B9310" s="6" t="s">
        <v>1933</v>
      </c>
      <c r="C9310" s="6" t="s">
        <v>120</v>
      </c>
      <c r="D9310" s="13" t="n">
        <v>44853</v>
      </c>
      <c r="E9310" s="14" t="n">
        <v>3572.29</v>
      </c>
      <c r="F9310" s="14" t="n">
        <v>18365.64</v>
      </c>
      <c r="G9310" s="6" t="s">
        <v>2613</v>
      </c>
    </row>
    <row r="9311" customFormat="false" ht="15" hidden="false" customHeight="true" outlineLevel="0" collapsed="false">
      <c r="A9311" s="6" t="s">
        <v>11923</v>
      </c>
      <c r="B9311" s="6" t="s">
        <v>1933</v>
      </c>
      <c r="C9311" s="6" t="s">
        <v>120</v>
      </c>
      <c r="D9311" s="13" t="n">
        <v>44860</v>
      </c>
      <c r="E9311" s="14" t="n">
        <v>2471.33</v>
      </c>
      <c r="F9311" s="14" t="n">
        <v>20836.97</v>
      </c>
      <c r="G9311" s="6" t="s">
        <v>2613</v>
      </c>
    </row>
    <row r="9312" customFormat="false" ht="15" hidden="false" customHeight="true" outlineLevel="0" collapsed="false">
      <c r="A9312" s="6" t="s">
        <v>11924</v>
      </c>
      <c r="B9312" s="6" t="s">
        <v>1933</v>
      </c>
      <c r="C9312" s="6" t="s">
        <v>120</v>
      </c>
      <c r="D9312" s="13" t="n">
        <v>44867</v>
      </c>
      <c r="E9312" s="14" t="n">
        <v>2431.6</v>
      </c>
      <c r="F9312" s="14" t="n">
        <v>23268.57</v>
      </c>
      <c r="G9312" s="6" t="s">
        <v>2613</v>
      </c>
    </row>
    <row r="9313" customFormat="false" ht="15" hidden="false" customHeight="true" outlineLevel="0" collapsed="false">
      <c r="A9313" s="6" t="s">
        <v>11925</v>
      </c>
      <c r="B9313" s="6" t="s">
        <v>1933</v>
      </c>
      <c r="C9313" s="6" t="s">
        <v>120</v>
      </c>
      <c r="D9313" s="13" t="n">
        <v>44874</v>
      </c>
      <c r="E9313" s="14" t="n">
        <v>3604.86</v>
      </c>
      <c r="F9313" s="14" t="n">
        <v>26873.43</v>
      </c>
      <c r="G9313" s="6" t="s">
        <v>2613</v>
      </c>
    </row>
    <row r="9314" customFormat="false" ht="15" hidden="false" customHeight="true" outlineLevel="0" collapsed="false">
      <c r="A9314" s="6" t="s">
        <v>11926</v>
      </c>
      <c r="B9314" s="6" t="s">
        <v>1933</v>
      </c>
      <c r="C9314" s="6" t="s">
        <v>120</v>
      </c>
      <c r="D9314" s="13" t="n">
        <v>44881</v>
      </c>
      <c r="E9314" s="14" t="n">
        <v>3703.99</v>
      </c>
      <c r="F9314" s="14" t="n">
        <v>30577.42</v>
      </c>
      <c r="G9314" s="6" t="s">
        <v>2613</v>
      </c>
    </row>
    <row r="9315" customFormat="false" ht="15" hidden="false" customHeight="true" outlineLevel="0" collapsed="false">
      <c r="A9315" s="6" t="s">
        <v>11927</v>
      </c>
      <c r="B9315" s="6" t="s">
        <v>1933</v>
      </c>
      <c r="C9315" s="6" t="s">
        <v>120</v>
      </c>
      <c r="D9315" s="13" t="n">
        <v>44888</v>
      </c>
      <c r="E9315" s="14" t="n">
        <v>2690</v>
      </c>
      <c r="F9315" s="14" t="n">
        <v>33267.42</v>
      </c>
      <c r="G9315" s="6" t="s">
        <v>2623</v>
      </c>
    </row>
    <row r="9316" customFormat="false" ht="15" hidden="false" customHeight="true" outlineLevel="0" collapsed="false">
      <c r="A9316" s="6" t="s">
        <v>11928</v>
      </c>
      <c r="B9316" s="6" t="s">
        <v>1933</v>
      </c>
      <c r="C9316" s="6" t="s">
        <v>120</v>
      </c>
      <c r="D9316" s="13" t="n">
        <v>44895</v>
      </c>
      <c r="E9316" s="14" t="n">
        <v>2188.7</v>
      </c>
      <c r="F9316" s="14" t="n">
        <v>35456.12</v>
      </c>
      <c r="G9316" s="6" t="s">
        <v>2623</v>
      </c>
    </row>
    <row r="9317" customFormat="false" ht="15" hidden="false" customHeight="true" outlineLevel="0" collapsed="false">
      <c r="A9317" s="6" t="s">
        <v>11929</v>
      </c>
      <c r="B9317" s="6" t="s">
        <v>1933</v>
      </c>
      <c r="C9317" s="6" t="s">
        <v>120</v>
      </c>
      <c r="D9317" s="13" t="n">
        <v>44902</v>
      </c>
      <c r="E9317" s="14" t="n">
        <v>2238.52</v>
      </c>
      <c r="F9317" s="14" t="n">
        <v>37694.64</v>
      </c>
      <c r="G9317" s="6" t="s">
        <v>2613</v>
      </c>
    </row>
    <row r="9318" customFormat="false" ht="15" hidden="false" customHeight="true" outlineLevel="0" collapsed="false">
      <c r="A9318" s="6" t="s">
        <v>11930</v>
      </c>
      <c r="B9318" s="6" t="s">
        <v>1933</v>
      </c>
      <c r="C9318" s="6" t="s">
        <v>120</v>
      </c>
      <c r="D9318" s="13" t="n">
        <v>44909</v>
      </c>
      <c r="E9318" s="14" t="n">
        <v>2660.73</v>
      </c>
      <c r="F9318" s="14" t="n">
        <v>40355.37</v>
      </c>
      <c r="G9318" s="6" t="s">
        <v>2613</v>
      </c>
    </row>
    <row r="9319" customFormat="false" ht="15" hidden="false" customHeight="true" outlineLevel="0" collapsed="false">
      <c r="A9319" s="6" t="s">
        <v>11931</v>
      </c>
      <c r="B9319" s="6" t="s">
        <v>1935</v>
      </c>
      <c r="C9319" s="6" t="s">
        <v>131</v>
      </c>
      <c r="D9319" s="13" t="n">
        <v>44745</v>
      </c>
      <c r="E9319" s="14" t="n">
        <v>3230.09</v>
      </c>
      <c r="F9319" s="14" t="n">
        <v>3230.09</v>
      </c>
      <c r="G9319" s="6" t="s">
        <v>2613</v>
      </c>
    </row>
    <row r="9320" customFormat="false" ht="15" hidden="false" customHeight="true" outlineLevel="0" collapsed="false">
      <c r="A9320" s="6" t="s">
        <v>11932</v>
      </c>
      <c r="B9320" s="6" t="s">
        <v>1935</v>
      </c>
      <c r="C9320" s="6" t="s">
        <v>131</v>
      </c>
      <c r="D9320" s="13" t="n">
        <v>44752</v>
      </c>
      <c r="E9320" s="14" t="n">
        <v>2889.38</v>
      </c>
      <c r="F9320" s="14" t="n">
        <v>6119.47</v>
      </c>
      <c r="G9320" s="6" t="s">
        <v>2613</v>
      </c>
    </row>
    <row r="9321" customFormat="false" ht="15" hidden="false" customHeight="true" outlineLevel="0" collapsed="false">
      <c r="A9321" s="6" t="s">
        <v>11933</v>
      </c>
      <c r="B9321" s="6" t="s">
        <v>1935</v>
      </c>
      <c r="C9321" s="6" t="s">
        <v>131</v>
      </c>
      <c r="D9321" s="13" t="n">
        <v>44759</v>
      </c>
      <c r="E9321" s="14" t="n">
        <v>2249.65</v>
      </c>
      <c r="F9321" s="14" t="n">
        <v>8369.12</v>
      </c>
      <c r="G9321" s="6" t="s">
        <v>2613</v>
      </c>
    </row>
    <row r="9322" customFormat="false" ht="15" hidden="false" customHeight="true" outlineLevel="0" collapsed="false">
      <c r="A9322" s="6" t="s">
        <v>11934</v>
      </c>
      <c r="B9322" s="6" t="s">
        <v>1935</v>
      </c>
      <c r="C9322" s="6" t="s">
        <v>131</v>
      </c>
      <c r="D9322" s="13" t="n">
        <v>44766</v>
      </c>
      <c r="E9322" s="14" t="n">
        <v>3592.45</v>
      </c>
      <c r="F9322" s="14" t="n">
        <v>11961.57</v>
      </c>
      <c r="G9322" s="6" t="s">
        <v>2613</v>
      </c>
    </row>
    <row r="9323" customFormat="false" ht="15" hidden="false" customHeight="true" outlineLevel="0" collapsed="false">
      <c r="A9323" s="6" t="s">
        <v>11935</v>
      </c>
      <c r="B9323" s="6" t="s">
        <v>1935</v>
      </c>
      <c r="C9323" s="6" t="s">
        <v>131</v>
      </c>
      <c r="D9323" s="13" t="n">
        <v>44773</v>
      </c>
      <c r="E9323" s="14" t="n">
        <v>2357.45</v>
      </c>
      <c r="F9323" s="14" t="n">
        <v>14319.02</v>
      </c>
      <c r="G9323" s="6" t="s">
        <v>2613</v>
      </c>
    </row>
    <row r="9324" customFormat="false" ht="15" hidden="false" customHeight="true" outlineLevel="0" collapsed="false">
      <c r="A9324" s="6" t="s">
        <v>11936</v>
      </c>
      <c r="B9324" s="6" t="s">
        <v>1935</v>
      </c>
      <c r="C9324" s="6" t="s">
        <v>131</v>
      </c>
      <c r="D9324" s="13" t="n">
        <v>44780</v>
      </c>
      <c r="E9324" s="14" t="n">
        <v>1967.88</v>
      </c>
      <c r="F9324" s="14" t="n">
        <v>16286.9</v>
      </c>
      <c r="G9324" s="6" t="s">
        <v>2613</v>
      </c>
    </row>
    <row r="9325" customFormat="false" ht="15" hidden="false" customHeight="true" outlineLevel="0" collapsed="false">
      <c r="A9325" s="6" t="s">
        <v>11937</v>
      </c>
      <c r="B9325" s="6" t="s">
        <v>1935</v>
      </c>
      <c r="C9325" s="6" t="s">
        <v>131</v>
      </c>
      <c r="D9325" s="13" t="n">
        <v>44787</v>
      </c>
      <c r="E9325" s="14" t="n">
        <v>3977.33</v>
      </c>
      <c r="F9325" s="14" t="n">
        <v>20264.23</v>
      </c>
      <c r="G9325" s="6" t="s">
        <v>2613</v>
      </c>
    </row>
    <row r="9326" customFormat="false" ht="15" hidden="false" customHeight="true" outlineLevel="0" collapsed="false">
      <c r="A9326" s="6" t="s">
        <v>11938</v>
      </c>
      <c r="B9326" s="6" t="s">
        <v>1935</v>
      </c>
      <c r="C9326" s="6" t="s">
        <v>131</v>
      </c>
      <c r="D9326" s="13" t="n">
        <v>44794</v>
      </c>
      <c r="E9326" s="14" t="n">
        <v>3760.33</v>
      </c>
      <c r="F9326" s="14" t="n">
        <v>24024.56</v>
      </c>
      <c r="G9326" s="6" t="s">
        <v>2613</v>
      </c>
    </row>
    <row r="9327" customFormat="false" ht="15" hidden="false" customHeight="true" outlineLevel="0" collapsed="false">
      <c r="A9327" s="6" t="s">
        <v>11939</v>
      </c>
      <c r="B9327" s="6" t="s">
        <v>1935</v>
      </c>
      <c r="C9327" s="6" t="s">
        <v>131</v>
      </c>
      <c r="D9327" s="13" t="n">
        <v>44801</v>
      </c>
      <c r="E9327" s="14" t="n">
        <v>3587.77</v>
      </c>
      <c r="F9327" s="14" t="n">
        <v>27612.33</v>
      </c>
      <c r="G9327" s="6" t="s">
        <v>2613</v>
      </c>
    </row>
    <row r="9328" customFormat="false" ht="15" hidden="false" customHeight="true" outlineLevel="0" collapsed="false">
      <c r="A9328" s="6" t="s">
        <v>11940</v>
      </c>
      <c r="B9328" s="6" t="s">
        <v>1935</v>
      </c>
      <c r="C9328" s="6" t="s">
        <v>131</v>
      </c>
      <c r="D9328" s="13" t="n">
        <v>44808</v>
      </c>
      <c r="E9328" s="14" t="n">
        <v>2590.62</v>
      </c>
      <c r="F9328" s="14" t="n">
        <v>30202.95</v>
      </c>
      <c r="G9328" s="6" t="s">
        <v>2613</v>
      </c>
    </row>
    <row r="9329" customFormat="false" ht="15" hidden="false" customHeight="true" outlineLevel="0" collapsed="false">
      <c r="A9329" s="6" t="s">
        <v>11941</v>
      </c>
      <c r="B9329" s="6" t="s">
        <v>1935</v>
      </c>
      <c r="C9329" s="6" t="s">
        <v>131</v>
      </c>
      <c r="D9329" s="13" t="n">
        <v>44815</v>
      </c>
      <c r="E9329" s="14" t="n">
        <v>1866.75</v>
      </c>
      <c r="F9329" s="14" t="n">
        <v>32069.7</v>
      </c>
      <c r="G9329" s="6" t="s">
        <v>2613</v>
      </c>
    </row>
    <row r="9330" customFormat="false" ht="15" hidden="false" customHeight="true" outlineLevel="0" collapsed="false">
      <c r="A9330" s="6" t="s">
        <v>11942</v>
      </c>
      <c r="B9330" s="6" t="s">
        <v>1935</v>
      </c>
      <c r="C9330" s="6" t="s">
        <v>131</v>
      </c>
      <c r="D9330" s="13" t="n">
        <v>44822</v>
      </c>
      <c r="E9330" s="14" t="n">
        <v>3680.23</v>
      </c>
      <c r="F9330" s="14" t="n">
        <v>35749.93</v>
      </c>
      <c r="G9330" s="6" t="s">
        <v>2613</v>
      </c>
    </row>
    <row r="9331" customFormat="false" ht="15" hidden="false" customHeight="true" outlineLevel="0" collapsed="false">
      <c r="A9331" s="6" t="s">
        <v>11943</v>
      </c>
      <c r="B9331" s="6" t="s">
        <v>1935</v>
      </c>
      <c r="C9331" s="6" t="s">
        <v>131</v>
      </c>
      <c r="D9331" s="13" t="n">
        <v>44829</v>
      </c>
      <c r="E9331" s="14" t="n">
        <v>1788.22</v>
      </c>
      <c r="F9331" s="14" t="n">
        <v>37538.15</v>
      </c>
      <c r="G9331" s="6" t="s">
        <v>2613</v>
      </c>
    </row>
    <row r="9332" customFormat="false" ht="15" hidden="false" customHeight="true" outlineLevel="0" collapsed="false">
      <c r="A9332" s="6" t="s">
        <v>11944</v>
      </c>
      <c r="B9332" s="6" t="s">
        <v>1935</v>
      </c>
      <c r="C9332" s="6" t="s">
        <v>131</v>
      </c>
      <c r="D9332" s="13" t="n">
        <v>44836</v>
      </c>
      <c r="E9332" s="14" t="n">
        <v>2187.37</v>
      </c>
      <c r="F9332" s="14" t="n">
        <v>39725.52</v>
      </c>
      <c r="G9332" s="6" t="s">
        <v>2623</v>
      </c>
    </row>
    <row r="9333" customFormat="false" ht="15" hidden="false" customHeight="true" outlineLevel="0" collapsed="false">
      <c r="A9333" s="6" t="s">
        <v>11945</v>
      </c>
      <c r="B9333" s="6" t="s">
        <v>1935</v>
      </c>
      <c r="C9333" s="6" t="s">
        <v>131</v>
      </c>
      <c r="D9333" s="13" t="n">
        <v>44843</v>
      </c>
      <c r="E9333" s="14" t="n">
        <v>3398.38</v>
      </c>
      <c r="F9333" s="14" t="n">
        <v>43123.9</v>
      </c>
      <c r="G9333" s="6" t="s">
        <v>2613</v>
      </c>
    </row>
    <row r="9334" customFormat="false" ht="15" hidden="false" customHeight="true" outlineLevel="0" collapsed="false">
      <c r="A9334" s="6" t="s">
        <v>11946</v>
      </c>
      <c r="B9334" s="6" t="s">
        <v>1935</v>
      </c>
      <c r="C9334" s="6" t="s">
        <v>131</v>
      </c>
      <c r="D9334" s="13" t="n">
        <v>44850</v>
      </c>
      <c r="E9334" s="14" t="n">
        <v>2680.41</v>
      </c>
      <c r="F9334" s="14" t="n">
        <v>45804.31</v>
      </c>
      <c r="G9334" s="6" t="s">
        <v>2613</v>
      </c>
    </row>
    <row r="9335" customFormat="false" ht="15" hidden="false" customHeight="true" outlineLevel="0" collapsed="false">
      <c r="A9335" s="6" t="s">
        <v>11947</v>
      </c>
      <c r="B9335" s="6" t="s">
        <v>1935</v>
      </c>
      <c r="C9335" s="6" t="s">
        <v>131</v>
      </c>
      <c r="D9335" s="13" t="n">
        <v>44857</v>
      </c>
      <c r="E9335" s="14" t="n">
        <v>2574.54</v>
      </c>
      <c r="F9335" s="14" t="n">
        <v>48378.85</v>
      </c>
      <c r="G9335" s="6" t="s">
        <v>2613</v>
      </c>
    </row>
    <row r="9336" customFormat="false" ht="15" hidden="false" customHeight="true" outlineLevel="0" collapsed="false">
      <c r="A9336" s="6" t="s">
        <v>11948</v>
      </c>
      <c r="B9336" s="6" t="s">
        <v>1935</v>
      </c>
      <c r="C9336" s="6" t="s">
        <v>131</v>
      </c>
      <c r="D9336" s="13" t="n">
        <v>44864</v>
      </c>
      <c r="E9336" s="14" t="n">
        <v>1899.84</v>
      </c>
      <c r="F9336" s="14" t="n">
        <v>50278.69</v>
      </c>
      <c r="G9336" s="6" t="s">
        <v>2613</v>
      </c>
    </row>
    <row r="9337" customFormat="false" ht="15" hidden="false" customHeight="true" outlineLevel="0" collapsed="false">
      <c r="A9337" s="6" t="s">
        <v>11949</v>
      </c>
      <c r="B9337" s="6" t="s">
        <v>1935</v>
      </c>
      <c r="C9337" s="6" t="s">
        <v>131</v>
      </c>
      <c r="D9337" s="13" t="n">
        <v>44871</v>
      </c>
      <c r="E9337" s="14" t="n">
        <v>3345.16</v>
      </c>
      <c r="F9337" s="14" t="n">
        <v>53623.85</v>
      </c>
      <c r="G9337" s="6" t="s">
        <v>2613</v>
      </c>
    </row>
    <row r="9338" customFormat="false" ht="15" hidden="false" customHeight="true" outlineLevel="0" collapsed="false">
      <c r="A9338" s="6" t="s">
        <v>11950</v>
      </c>
      <c r="B9338" s="6" t="s">
        <v>1935</v>
      </c>
      <c r="C9338" s="6" t="s">
        <v>131</v>
      </c>
      <c r="D9338" s="13" t="n">
        <v>44878</v>
      </c>
      <c r="E9338" s="14" t="n">
        <v>3805.07</v>
      </c>
      <c r="F9338" s="14" t="n">
        <v>57428.92</v>
      </c>
      <c r="G9338" s="6" t="s">
        <v>2613</v>
      </c>
    </row>
    <row r="9339" customFormat="false" ht="15" hidden="false" customHeight="true" outlineLevel="0" collapsed="false">
      <c r="A9339" s="6" t="s">
        <v>11951</v>
      </c>
      <c r="B9339" s="6" t="s">
        <v>1935</v>
      </c>
      <c r="C9339" s="6" t="s">
        <v>131</v>
      </c>
      <c r="D9339" s="13" t="n">
        <v>44885</v>
      </c>
      <c r="E9339" s="14" t="n">
        <v>1783.08</v>
      </c>
      <c r="F9339" s="14" t="n">
        <v>59212</v>
      </c>
      <c r="G9339" s="6" t="s">
        <v>2613</v>
      </c>
    </row>
    <row r="9340" customFormat="false" ht="15" hidden="false" customHeight="true" outlineLevel="0" collapsed="false">
      <c r="A9340" s="6" t="s">
        <v>11952</v>
      </c>
      <c r="B9340" s="6" t="s">
        <v>1935</v>
      </c>
      <c r="C9340" s="6" t="s">
        <v>131</v>
      </c>
      <c r="D9340" s="13" t="n">
        <v>44892</v>
      </c>
      <c r="E9340" s="14" t="n">
        <v>2961.58</v>
      </c>
      <c r="F9340" s="14" t="n">
        <v>62173.58</v>
      </c>
      <c r="G9340" s="6" t="s">
        <v>2613</v>
      </c>
    </row>
    <row r="9341" customFormat="false" ht="15" hidden="false" customHeight="true" outlineLevel="0" collapsed="false">
      <c r="A9341" s="6" t="s">
        <v>11953</v>
      </c>
      <c r="B9341" s="6" t="s">
        <v>1935</v>
      </c>
      <c r="C9341" s="6" t="s">
        <v>131</v>
      </c>
      <c r="D9341" s="13" t="n">
        <v>44899</v>
      </c>
      <c r="E9341" s="14" t="n">
        <v>4466.57</v>
      </c>
      <c r="F9341" s="14" t="n">
        <v>66640.15</v>
      </c>
      <c r="G9341" s="6" t="s">
        <v>2613</v>
      </c>
    </row>
    <row r="9342" customFormat="false" ht="15" hidden="false" customHeight="true" outlineLevel="0" collapsed="false">
      <c r="A9342" s="6" t="s">
        <v>11954</v>
      </c>
      <c r="B9342" s="6" t="s">
        <v>1937</v>
      </c>
      <c r="C9342" s="6" t="s">
        <v>131</v>
      </c>
      <c r="D9342" s="13" t="n">
        <v>46022</v>
      </c>
      <c r="E9342" s="14" t="n">
        <v>385.57</v>
      </c>
      <c r="F9342" s="14" t="n">
        <v>385.57</v>
      </c>
      <c r="G9342" s="6" t="s">
        <v>2613</v>
      </c>
    </row>
    <row r="9343" customFormat="false" ht="15" hidden="false" customHeight="true" outlineLevel="0" collapsed="false">
      <c r="A9343" s="6" t="s">
        <v>11955</v>
      </c>
      <c r="B9343" s="6" t="s">
        <v>1937</v>
      </c>
      <c r="C9343" s="6" t="s">
        <v>131</v>
      </c>
      <c r="D9343" s="13" t="n">
        <v>46029</v>
      </c>
      <c r="E9343" s="14" t="n">
        <v>296.97</v>
      </c>
      <c r="F9343" s="14" t="n">
        <v>682.54</v>
      </c>
      <c r="G9343" s="6" t="s">
        <v>2613</v>
      </c>
    </row>
    <row r="9344" customFormat="false" ht="15" hidden="false" customHeight="true" outlineLevel="0" collapsed="false">
      <c r="A9344" s="6" t="s">
        <v>11956</v>
      </c>
      <c r="B9344" s="6" t="s">
        <v>1937</v>
      </c>
      <c r="C9344" s="6" t="s">
        <v>131</v>
      </c>
      <c r="D9344" s="13" t="n">
        <v>46036</v>
      </c>
      <c r="E9344" s="14" t="n">
        <v>337.9</v>
      </c>
      <c r="F9344" s="14" t="n">
        <v>1020.44</v>
      </c>
      <c r="G9344" s="6" t="s">
        <v>2613</v>
      </c>
    </row>
    <row r="9345" customFormat="false" ht="15" hidden="false" customHeight="true" outlineLevel="0" collapsed="false">
      <c r="A9345" s="6" t="s">
        <v>11957</v>
      </c>
      <c r="B9345" s="6" t="s">
        <v>1937</v>
      </c>
      <c r="C9345" s="6" t="s">
        <v>131</v>
      </c>
      <c r="D9345" s="13" t="n">
        <v>46043</v>
      </c>
      <c r="E9345" s="14" t="n">
        <v>254.82</v>
      </c>
      <c r="F9345" s="14" t="n">
        <v>1275.26</v>
      </c>
      <c r="G9345" s="6" t="s">
        <v>2623</v>
      </c>
    </row>
    <row r="9346" customFormat="false" ht="15" hidden="false" customHeight="true" outlineLevel="0" collapsed="false">
      <c r="A9346" s="6" t="s">
        <v>11958</v>
      </c>
      <c r="B9346" s="6" t="s">
        <v>1937</v>
      </c>
      <c r="C9346" s="6" t="s">
        <v>131</v>
      </c>
      <c r="D9346" s="13" t="n">
        <v>46050</v>
      </c>
      <c r="E9346" s="14" t="n">
        <v>428.02</v>
      </c>
      <c r="F9346" s="14" t="n">
        <v>1703.28</v>
      </c>
      <c r="G9346" s="6" t="s">
        <v>2613</v>
      </c>
    </row>
    <row r="9347" customFormat="false" ht="15" hidden="false" customHeight="true" outlineLevel="0" collapsed="false">
      <c r="A9347" s="6" t="s">
        <v>11959</v>
      </c>
      <c r="B9347" s="6" t="s">
        <v>1937</v>
      </c>
      <c r="C9347" s="6" t="s">
        <v>131</v>
      </c>
      <c r="D9347" s="13" t="n">
        <v>46057</v>
      </c>
      <c r="E9347" s="14" t="n">
        <v>456.91</v>
      </c>
      <c r="F9347" s="14" t="n">
        <v>2160.19</v>
      </c>
      <c r="G9347" s="6" t="s">
        <v>2613</v>
      </c>
    </row>
    <row r="9348" customFormat="false" ht="15" hidden="false" customHeight="true" outlineLevel="0" collapsed="false">
      <c r="A9348" s="6" t="s">
        <v>11960</v>
      </c>
      <c r="B9348" s="6" t="s">
        <v>1937</v>
      </c>
      <c r="C9348" s="6" t="s">
        <v>131</v>
      </c>
      <c r="D9348" s="13" t="n">
        <v>46064</v>
      </c>
      <c r="E9348" s="14" t="n">
        <v>316.66</v>
      </c>
      <c r="F9348" s="14" t="n">
        <v>2476.85</v>
      </c>
      <c r="G9348" s="6" t="s">
        <v>2613</v>
      </c>
    </row>
    <row r="9349" customFormat="false" ht="15" hidden="false" customHeight="true" outlineLevel="0" collapsed="false">
      <c r="A9349" s="6" t="s">
        <v>11961</v>
      </c>
      <c r="B9349" s="6" t="s">
        <v>1937</v>
      </c>
      <c r="C9349" s="6" t="s">
        <v>131</v>
      </c>
      <c r="D9349" s="13" t="n">
        <v>46071</v>
      </c>
      <c r="E9349" s="14" t="n">
        <v>351.36</v>
      </c>
      <c r="F9349" s="14" t="n">
        <v>2828.21</v>
      </c>
      <c r="G9349" s="6" t="s">
        <v>2613</v>
      </c>
    </row>
    <row r="9350" customFormat="false" ht="15" hidden="false" customHeight="true" outlineLevel="0" collapsed="false">
      <c r="A9350" s="6" t="s">
        <v>11962</v>
      </c>
      <c r="B9350" s="6" t="s">
        <v>1937</v>
      </c>
      <c r="C9350" s="6" t="s">
        <v>131</v>
      </c>
      <c r="D9350" s="13" t="n">
        <v>46078</v>
      </c>
      <c r="E9350" s="14" t="n">
        <v>217.4</v>
      </c>
      <c r="F9350" s="14" t="n">
        <v>3045.61</v>
      </c>
      <c r="G9350" s="6" t="s">
        <v>2623</v>
      </c>
    </row>
    <row r="9351" customFormat="false" ht="15" hidden="false" customHeight="true" outlineLevel="0" collapsed="false">
      <c r="A9351" s="6" t="s">
        <v>11963</v>
      </c>
      <c r="B9351" s="6" t="s">
        <v>1937</v>
      </c>
      <c r="C9351" s="6" t="s">
        <v>131</v>
      </c>
      <c r="D9351" s="13" t="n">
        <v>46085</v>
      </c>
      <c r="E9351" s="14" t="n">
        <v>334.21</v>
      </c>
      <c r="F9351" s="14" t="n">
        <v>3379.82</v>
      </c>
      <c r="G9351" s="6" t="s">
        <v>2613</v>
      </c>
    </row>
    <row r="9352" customFormat="false" ht="15" hidden="false" customHeight="true" outlineLevel="0" collapsed="false">
      <c r="A9352" s="6" t="s">
        <v>11964</v>
      </c>
      <c r="B9352" s="6" t="s">
        <v>1937</v>
      </c>
      <c r="C9352" s="6" t="s">
        <v>131</v>
      </c>
      <c r="D9352" s="13" t="n">
        <v>46092</v>
      </c>
      <c r="E9352" s="14" t="n">
        <v>470.23</v>
      </c>
      <c r="F9352" s="14" t="n">
        <v>3850.05</v>
      </c>
      <c r="G9352" s="6" t="s">
        <v>2613</v>
      </c>
    </row>
    <row r="9353" customFormat="false" ht="15" hidden="false" customHeight="true" outlineLevel="0" collapsed="false">
      <c r="A9353" s="6" t="s">
        <v>11965</v>
      </c>
      <c r="B9353" s="6" t="s">
        <v>1937</v>
      </c>
      <c r="C9353" s="6" t="s">
        <v>131</v>
      </c>
      <c r="D9353" s="13" t="n">
        <v>46099</v>
      </c>
      <c r="E9353" s="14" t="n">
        <v>421.3</v>
      </c>
      <c r="F9353" s="14" t="n">
        <v>4271.35</v>
      </c>
      <c r="G9353" s="6" t="s">
        <v>2623</v>
      </c>
    </row>
    <row r="9354" customFormat="false" ht="15" hidden="false" customHeight="true" outlineLevel="0" collapsed="false">
      <c r="A9354" s="6" t="s">
        <v>11966</v>
      </c>
      <c r="B9354" s="6" t="s">
        <v>1937</v>
      </c>
      <c r="C9354" s="6" t="s">
        <v>131</v>
      </c>
      <c r="D9354" s="13" t="n">
        <v>46106</v>
      </c>
      <c r="E9354" s="14" t="n">
        <v>500.02</v>
      </c>
      <c r="F9354" s="14" t="n">
        <v>4771.37</v>
      </c>
      <c r="G9354" s="6" t="s">
        <v>2613</v>
      </c>
    </row>
    <row r="9355" customFormat="false" ht="15" hidden="false" customHeight="true" outlineLevel="0" collapsed="false">
      <c r="A9355" s="6" t="s">
        <v>11967</v>
      </c>
      <c r="B9355" s="6" t="s">
        <v>1937</v>
      </c>
      <c r="C9355" s="6" t="s">
        <v>131</v>
      </c>
      <c r="D9355" s="13" t="n">
        <v>46113</v>
      </c>
      <c r="E9355" s="14" t="n">
        <v>302.98</v>
      </c>
      <c r="F9355" s="14" t="n">
        <v>5074.35</v>
      </c>
      <c r="G9355" s="6" t="s">
        <v>2613</v>
      </c>
    </row>
    <row r="9356" customFormat="false" ht="15" hidden="false" customHeight="true" outlineLevel="0" collapsed="false">
      <c r="A9356" s="6" t="s">
        <v>11968</v>
      </c>
      <c r="B9356" s="6" t="s">
        <v>1937</v>
      </c>
      <c r="C9356" s="6" t="s">
        <v>131</v>
      </c>
      <c r="D9356" s="13" t="n">
        <v>46120</v>
      </c>
      <c r="E9356" s="14" t="n">
        <v>439.87</v>
      </c>
      <c r="F9356" s="14" t="n">
        <v>5514.22</v>
      </c>
      <c r="G9356" s="6" t="s">
        <v>2613</v>
      </c>
    </row>
    <row r="9357" customFormat="false" ht="15" hidden="false" customHeight="true" outlineLevel="0" collapsed="false">
      <c r="A9357" s="6" t="s">
        <v>11969</v>
      </c>
      <c r="B9357" s="6" t="s">
        <v>1937</v>
      </c>
      <c r="C9357" s="6" t="s">
        <v>131</v>
      </c>
      <c r="D9357" s="13" t="n">
        <v>46127</v>
      </c>
      <c r="E9357" s="14" t="n">
        <v>306.68</v>
      </c>
      <c r="F9357" s="14" t="n">
        <v>5820.9</v>
      </c>
      <c r="G9357" s="6" t="s">
        <v>2613</v>
      </c>
    </row>
    <row r="9358" customFormat="false" ht="15" hidden="false" customHeight="true" outlineLevel="0" collapsed="false">
      <c r="A9358" s="6" t="s">
        <v>11970</v>
      </c>
      <c r="B9358" s="6" t="s">
        <v>1937</v>
      </c>
      <c r="C9358" s="6" t="s">
        <v>131</v>
      </c>
      <c r="D9358" s="13" t="n">
        <v>46134</v>
      </c>
      <c r="E9358" s="14" t="n">
        <v>304.99</v>
      </c>
      <c r="F9358" s="14" t="n">
        <v>6125.89</v>
      </c>
      <c r="G9358" s="6" t="s">
        <v>2613</v>
      </c>
    </row>
    <row r="9359" customFormat="false" ht="15" hidden="false" customHeight="true" outlineLevel="0" collapsed="false">
      <c r="A9359" s="6" t="s">
        <v>11971</v>
      </c>
      <c r="B9359" s="6" t="s">
        <v>1937</v>
      </c>
      <c r="C9359" s="6" t="s">
        <v>131</v>
      </c>
      <c r="D9359" s="13" t="n">
        <v>46141</v>
      </c>
      <c r="E9359" s="14" t="n">
        <v>332.61</v>
      </c>
      <c r="F9359" s="14" t="n">
        <v>6458.5</v>
      </c>
      <c r="G9359" s="6" t="s">
        <v>2613</v>
      </c>
    </row>
    <row r="9360" customFormat="false" ht="15" hidden="false" customHeight="true" outlineLevel="0" collapsed="false">
      <c r="A9360" s="6" t="s">
        <v>11972</v>
      </c>
      <c r="B9360" s="6" t="s">
        <v>1937</v>
      </c>
      <c r="C9360" s="6" t="s">
        <v>131</v>
      </c>
      <c r="D9360" s="13" t="n">
        <v>46148</v>
      </c>
      <c r="E9360" s="14" t="n">
        <v>355.43</v>
      </c>
      <c r="F9360" s="14" t="n">
        <v>6813.93</v>
      </c>
      <c r="G9360" s="6" t="s">
        <v>2613</v>
      </c>
    </row>
    <row r="9361" customFormat="false" ht="15" hidden="false" customHeight="true" outlineLevel="0" collapsed="false">
      <c r="A9361" s="6" t="s">
        <v>11973</v>
      </c>
      <c r="B9361" s="6" t="s">
        <v>1939</v>
      </c>
      <c r="C9361" s="6" t="s">
        <v>116</v>
      </c>
      <c r="D9361" s="13" t="n">
        <v>44595</v>
      </c>
      <c r="E9361" s="14" t="n">
        <v>2404.6</v>
      </c>
      <c r="F9361" s="14" t="n">
        <v>2404.6</v>
      </c>
      <c r="G9361" s="6" t="s">
        <v>2613</v>
      </c>
    </row>
    <row r="9362" customFormat="false" ht="15" hidden="false" customHeight="true" outlineLevel="0" collapsed="false">
      <c r="A9362" s="6" t="s">
        <v>11974</v>
      </c>
      <c r="B9362" s="6" t="s">
        <v>1939</v>
      </c>
      <c r="C9362" s="6" t="s">
        <v>116</v>
      </c>
      <c r="D9362" s="13" t="n">
        <v>44602</v>
      </c>
      <c r="E9362" s="14" t="n">
        <v>3868.38</v>
      </c>
      <c r="F9362" s="14" t="n">
        <v>6272.98</v>
      </c>
      <c r="G9362" s="6" t="s">
        <v>2613</v>
      </c>
    </row>
    <row r="9363" customFormat="false" ht="15" hidden="false" customHeight="true" outlineLevel="0" collapsed="false">
      <c r="A9363" s="6" t="s">
        <v>11975</v>
      </c>
      <c r="B9363" s="6" t="s">
        <v>1939</v>
      </c>
      <c r="C9363" s="6" t="s">
        <v>116</v>
      </c>
      <c r="D9363" s="13" t="n">
        <v>44609</v>
      </c>
      <c r="E9363" s="14" t="n">
        <v>3065.04</v>
      </c>
      <c r="F9363" s="14" t="n">
        <v>9338.02</v>
      </c>
      <c r="G9363" s="6" t="s">
        <v>2613</v>
      </c>
    </row>
    <row r="9364" customFormat="false" ht="15" hidden="false" customHeight="true" outlineLevel="0" collapsed="false">
      <c r="A9364" s="6" t="s">
        <v>11976</v>
      </c>
      <c r="B9364" s="6" t="s">
        <v>1939</v>
      </c>
      <c r="C9364" s="6" t="s">
        <v>116</v>
      </c>
      <c r="D9364" s="13" t="n">
        <v>44616</v>
      </c>
      <c r="E9364" s="14" t="n">
        <v>2324.17</v>
      </c>
      <c r="F9364" s="14" t="n">
        <v>11662.19</v>
      </c>
      <c r="G9364" s="6" t="s">
        <v>2613</v>
      </c>
    </row>
    <row r="9365" customFormat="false" ht="15" hidden="false" customHeight="true" outlineLevel="0" collapsed="false">
      <c r="A9365" s="6" t="s">
        <v>11977</v>
      </c>
      <c r="B9365" s="6" t="s">
        <v>1939</v>
      </c>
      <c r="C9365" s="6" t="s">
        <v>116</v>
      </c>
      <c r="D9365" s="13" t="n">
        <v>44623</v>
      </c>
      <c r="E9365" s="14" t="n">
        <v>2228.55</v>
      </c>
      <c r="F9365" s="14" t="n">
        <v>13890.74</v>
      </c>
      <c r="G9365" s="6" t="s">
        <v>2613</v>
      </c>
    </row>
    <row r="9366" customFormat="false" ht="15" hidden="false" customHeight="true" outlineLevel="0" collapsed="false">
      <c r="A9366" s="6" t="s">
        <v>11978</v>
      </c>
      <c r="B9366" s="6" t="s">
        <v>1939</v>
      </c>
      <c r="C9366" s="6" t="s">
        <v>116</v>
      </c>
      <c r="D9366" s="13" t="n">
        <v>44630</v>
      </c>
      <c r="E9366" s="14" t="n">
        <v>4928.09</v>
      </c>
      <c r="F9366" s="14" t="n">
        <v>18818.83</v>
      </c>
      <c r="G9366" s="6" t="s">
        <v>2613</v>
      </c>
    </row>
    <row r="9367" customFormat="false" ht="15" hidden="false" customHeight="true" outlineLevel="0" collapsed="false">
      <c r="A9367" s="6" t="s">
        <v>11979</v>
      </c>
      <c r="B9367" s="6" t="s">
        <v>1939</v>
      </c>
      <c r="C9367" s="6" t="s">
        <v>116</v>
      </c>
      <c r="D9367" s="13" t="n">
        <v>44637</v>
      </c>
      <c r="E9367" s="14" t="n">
        <v>3708.67</v>
      </c>
      <c r="F9367" s="14" t="n">
        <v>22527.5</v>
      </c>
      <c r="G9367" s="6" t="s">
        <v>2613</v>
      </c>
    </row>
    <row r="9368" customFormat="false" ht="15" hidden="false" customHeight="true" outlineLevel="0" collapsed="false">
      <c r="A9368" s="6" t="s">
        <v>11980</v>
      </c>
      <c r="B9368" s="6" t="s">
        <v>1939</v>
      </c>
      <c r="C9368" s="6" t="s">
        <v>116</v>
      </c>
      <c r="D9368" s="13" t="n">
        <v>44644</v>
      </c>
      <c r="E9368" s="14" t="n">
        <v>2366.35</v>
      </c>
      <c r="F9368" s="14" t="n">
        <v>24893.85</v>
      </c>
      <c r="G9368" s="6" t="s">
        <v>2613</v>
      </c>
    </row>
    <row r="9369" customFormat="false" ht="15" hidden="false" customHeight="true" outlineLevel="0" collapsed="false">
      <c r="A9369" s="6" t="s">
        <v>11981</v>
      </c>
      <c r="B9369" s="6" t="s">
        <v>1939</v>
      </c>
      <c r="C9369" s="6" t="s">
        <v>116</v>
      </c>
      <c r="D9369" s="13" t="n">
        <v>44651</v>
      </c>
      <c r="E9369" s="14" t="n">
        <v>2925.79</v>
      </c>
      <c r="F9369" s="14" t="n">
        <v>27819.64</v>
      </c>
      <c r="G9369" s="6" t="s">
        <v>2613</v>
      </c>
    </row>
    <row r="9370" customFormat="false" ht="15" hidden="false" customHeight="true" outlineLevel="0" collapsed="false">
      <c r="A9370" s="6" t="s">
        <v>11982</v>
      </c>
      <c r="B9370" s="6" t="s">
        <v>1939</v>
      </c>
      <c r="C9370" s="6" t="s">
        <v>116</v>
      </c>
      <c r="D9370" s="13" t="n">
        <v>44658</v>
      </c>
      <c r="E9370" s="14" t="n">
        <v>4623.66</v>
      </c>
      <c r="F9370" s="14" t="n">
        <v>32443.3</v>
      </c>
      <c r="G9370" s="6" t="s">
        <v>2613</v>
      </c>
    </row>
    <row r="9371" customFormat="false" ht="15" hidden="false" customHeight="true" outlineLevel="0" collapsed="false">
      <c r="A9371" s="6" t="s">
        <v>11983</v>
      </c>
      <c r="B9371" s="6" t="s">
        <v>1939</v>
      </c>
      <c r="C9371" s="6" t="s">
        <v>116</v>
      </c>
      <c r="D9371" s="13" t="n">
        <v>44665</v>
      </c>
      <c r="E9371" s="14" t="n">
        <v>4368.36</v>
      </c>
      <c r="F9371" s="14" t="n">
        <v>36811.66</v>
      </c>
      <c r="G9371" s="6" t="s">
        <v>2613</v>
      </c>
    </row>
    <row r="9372" customFormat="false" ht="15" hidden="false" customHeight="true" outlineLevel="0" collapsed="false">
      <c r="A9372" s="6" t="s">
        <v>11984</v>
      </c>
      <c r="B9372" s="6" t="s">
        <v>1939</v>
      </c>
      <c r="C9372" s="6" t="s">
        <v>116</v>
      </c>
      <c r="D9372" s="13" t="n">
        <v>44672</v>
      </c>
      <c r="E9372" s="14" t="n">
        <v>3101</v>
      </c>
      <c r="F9372" s="14" t="n">
        <v>39912.66</v>
      </c>
      <c r="G9372" s="6" t="s">
        <v>2613</v>
      </c>
    </row>
    <row r="9373" customFormat="false" ht="15" hidden="false" customHeight="true" outlineLevel="0" collapsed="false">
      <c r="A9373" s="6" t="s">
        <v>11985</v>
      </c>
      <c r="B9373" s="6" t="s">
        <v>1939</v>
      </c>
      <c r="C9373" s="6" t="s">
        <v>116</v>
      </c>
      <c r="D9373" s="13" t="n">
        <v>44679</v>
      </c>
      <c r="E9373" s="14" t="n">
        <v>4920.71</v>
      </c>
      <c r="F9373" s="14" t="n">
        <v>44833.37</v>
      </c>
      <c r="G9373" s="6" t="s">
        <v>2613</v>
      </c>
    </row>
    <row r="9374" customFormat="false" ht="15" hidden="false" customHeight="true" outlineLevel="0" collapsed="false">
      <c r="A9374" s="6" t="s">
        <v>11986</v>
      </c>
      <c r="B9374" s="6" t="s">
        <v>1939</v>
      </c>
      <c r="C9374" s="6" t="s">
        <v>116</v>
      </c>
      <c r="D9374" s="13" t="n">
        <v>44686</v>
      </c>
      <c r="E9374" s="14" t="n">
        <v>3639.76</v>
      </c>
      <c r="F9374" s="14" t="n">
        <v>48473.13</v>
      </c>
      <c r="G9374" s="6" t="s">
        <v>2613</v>
      </c>
    </row>
    <row r="9375" customFormat="false" ht="15" hidden="false" customHeight="true" outlineLevel="0" collapsed="false">
      <c r="A9375" s="6" t="s">
        <v>11987</v>
      </c>
      <c r="B9375" s="6" t="s">
        <v>1939</v>
      </c>
      <c r="C9375" s="6" t="s">
        <v>116</v>
      </c>
      <c r="D9375" s="13" t="n">
        <v>44693</v>
      </c>
      <c r="E9375" s="14" t="n">
        <v>3475.14</v>
      </c>
      <c r="F9375" s="14" t="n">
        <v>51948.27</v>
      </c>
      <c r="G9375" s="6" t="s">
        <v>2613</v>
      </c>
    </row>
    <row r="9376" customFormat="false" ht="15" hidden="false" customHeight="true" outlineLevel="0" collapsed="false">
      <c r="A9376" s="6" t="s">
        <v>11988</v>
      </c>
      <c r="B9376" s="6" t="s">
        <v>1939</v>
      </c>
      <c r="C9376" s="6" t="s">
        <v>116</v>
      </c>
      <c r="D9376" s="13" t="n">
        <v>44700</v>
      </c>
      <c r="E9376" s="14" t="n">
        <v>4394.46</v>
      </c>
      <c r="F9376" s="14" t="n">
        <v>56342.73</v>
      </c>
      <c r="G9376" s="6" t="s">
        <v>2613</v>
      </c>
    </row>
    <row r="9377" customFormat="false" ht="15" hidden="false" customHeight="true" outlineLevel="0" collapsed="false">
      <c r="A9377" s="6" t="s">
        <v>11989</v>
      </c>
      <c r="B9377" s="6" t="s">
        <v>1939</v>
      </c>
      <c r="C9377" s="6" t="s">
        <v>116</v>
      </c>
      <c r="D9377" s="13" t="n">
        <v>44707</v>
      </c>
      <c r="E9377" s="14" t="n">
        <v>4534.68</v>
      </c>
      <c r="F9377" s="14" t="n">
        <v>60877.41</v>
      </c>
      <c r="G9377" s="6" t="s">
        <v>2613</v>
      </c>
    </row>
    <row r="9378" customFormat="false" ht="15" hidden="false" customHeight="true" outlineLevel="0" collapsed="false">
      <c r="A9378" s="6" t="s">
        <v>11990</v>
      </c>
      <c r="B9378" s="6" t="s">
        <v>1939</v>
      </c>
      <c r="C9378" s="6" t="s">
        <v>116</v>
      </c>
      <c r="D9378" s="13" t="n">
        <v>44714</v>
      </c>
      <c r="E9378" s="14" t="n">
        <v>3729.8</v>
      </c>
      <c r="F9378" s="14" t="n">
        <v>64607.21</v>
      </c>
      <c r="G9378" s="6" t="s">
        <v>2613</v>
      </c>
    </row>
    <row r="9379" customFormat="false" ht="15" hidden="false" customHeight="true" outlineLevel="0" collapsed="false">
      <c r="A9379" s="6" t="s">
        <v>11991</v>
      </c>
      <c r="B9379" s="6" t="s">
        <v>1939</v>
      </c>
      <c r="C9379" s="6" t="s">
        <v>116</v>
      </c>
      <c r="D9379" s="13" t="n">
        <v>44721</v>
      </c>
      <c r="E9379" s="14" t="n">
        <v>3971.45</v>
      </c>
      <c r="F9379" s="14" t="n">
        <v>68578.66</v>
      </c>
      <c r="G9379" s="6" t="s">
        <v>2623</v>
      </c>
    </row>
    <row r="9380" customFormat="false" ht="15" hidden="false" customHeight="true" outlineLevel="0" collapsed="false">
      <c r="A9380" s="6" t="s">
        <v>11992</v>
      </c>
      <c r="B9380" s="6" t="s">
        <v>1939</v>
      </c>
      <c r="C9380" s="6" t="s">
        <v>116</v>
      </c>
      <c r="D9380" s="13" t="n">
        <v>44728</v>
      </c>
      <c r="E9380" s="14" t="n">
        <v>2503.45</v>
      </c>
      <c r="F9380" s="14" t="n">
        <v>71082.11</v>
      </c>
      <c r="G9380" s="6" t="s">
        <v>2613</v>
      </c>
    </row>
    <row r="9381" customFormat="false" ht="15" hidden="false" customHeight="true" outlineLevel="0" collapsed="false">
      <c r="A9381" s="6" t="s">
        <v>11993</v>
      </c>
      <c r="B9381" s="6" t="s">
        <v>1939</v>
      </c>
      <c r="C9381" s="6" t="s">
        <v>116</v>
      </c>
      <c r="D9381" s="13" t="n">
        <v>44735</v>
      </c>
      <c r="E9381" s="14" t="n">
        <v>3179.19</v>
      </c>
      <c r="F9381" s="14" t="n">
        <v>74261.3</v>
      </c>
      <c r="G9381" s="6" t="s">
        <v>2613</v>
      </c>
    </row>
    <row r="9382" customFormat="false" ht="15" hidden="false" customHeight="true" outlineLevel="0" collapsed="false">
      <c r="A9382" s="6" t="s">
        <v>11994</v>
      </c>
      <c r="B9382" s="6" t="s">
        <v>1939</v>
      </c>
      <c r="C9382" s="6" t="s">
        <v>116</v>
      </c>
      <c r="D9382" s="13" t="n">
        <v>44742</v>
      </c>
      <c r="E9382" s="14" t="n">
        <v>4791.47</v>
      </c>
      <c r="F9382" s="14" t="n">
        <v>79052.77</v>
      </c>
      <c r="G9382" s="6" t="s">
        <v>2613</v>
      </c>
    </row>
    <row r="9383" customFormat="false" ht="15" hidden="false" customHeight="true" outlineLevel="0" collapsed="false">
      <c r="A9383" s="6" t="s">
        <v>11995</v>
      </c>
      <c r="B9383" s="6" t="s">
        <v>1939</v>
      </c>
      <c r="C9383" s="6" t="s">
        <v>116</v>
      </c>
      <c r="D9383" s="13" t="n">
        <v>44749</v>
      </c>
      <c r="E9383" s="14" t="n">
        <v>4445.91</v>
      </c>
      <c r="F9383" s="14" t="n">
        <v>83498.68</v>
      </c>
      <c r="G9383" s="6" t="s">
        <v>2613</v>
      </c>
    </row>
    <row r="9384" customFormat="false" ht="15" hidden="false" customHeight="true" outlineLevel="0" collapsed="false">
      <c r="A9384" s="6" t="s">
        <v>11996</v>
      </c>
      <c r="B9384" s="6" t="s">
        <v>1939</v>
      </c>
      <c r="C9384" s="6" t="s">
        <v>116</v>
      </c>
      <c r="D9384" s="13" t="n">
        <v>44756</v>
      </c>
      <c r="E9384" s="14" t="n">
        <v>1027.58</v>
      </c>
      <c r="F9384" s="14" t="n">
        <v>84526.26</v>
      </c>
      <c r="G9384" s="6" t="s">
        <v>2613</v>
      </c>
    </row>
    <row r="9385" customFormat="false" ht="15" hidden="false" customHeight="true" outlineLevel="0" collapsed="false">
      <c r="A9385" s="6" t="s">
        <v>11997</v>
      </c>
      <c r="B9385" s="6" t="s">
        <v>1941</v>
      </c>
      <c r="C9385" s="6" t="s">
        <v>131</v>
      </c>
      <c r="D9385" s="13" t="n">
        <v>46046</v>
      </c>
      <c r="E9385" s="14" t="n">
        <v>2730.76</v>
      </c>
      <c r="F9385" s="14" t="n">
        <v>2730.76</v>
      </c>
      <c r="G9385" s="6" t="s">
        <v>2613</v>
      </c>
    </row>
    <row r="9386" customFormat="false" ht="15" hidden="false" customHeight="true" outlineLevel="0" collapsed="false">
      <c r="A9386" s="6" t="s">
        <v>11998</v>
      </c>
      <c r="B9386" s="6" t="s">
        <v>1941</v>
      </c>
      <c r="C9386" s="6" t="s">
        <v>131</v>
      </c>
      <c r="D9386" s="13" t="n">
        <v>46053</v>
      </c>
      <c r="E9386" s="14" t="n">
        <v>2400.78</v>
      </c>
      <c r="F9386" s="14" t="n">
        <v>5131.54</v>
      </c>
      <c r="G9386" s="6" t="s">
        <v>2623</v>
      </c>
    </row>
    <row r="9387" customFormat="false" ht="15" hidden="false" customHeight="true" outlineLevel="0" collapsed="false">
      <c r="A9387" s="6" t="s">
        <v>11999</v>
      </c>
      <c r="B9387" s="6" t="s">
        <v>1941</v>
      </c>
      <c r="C9387" s="6" t="s">
        <v>131</v>
      </c>
      <c r="D9387" s="13" t="n">
        <v>46060</v>
      </c>
      <c r="E9387" s="14" t="n">
        <v>3463.78</v>
      </c>
      <c r="F9387" s="14" t="n">
        <v>8595.32</v>
      </c>
      <c r="G9387" s="6" t="s">
        <v>2613</v>
      </c>
    </row>
    <row r="9388" customFormat="false" ht="15" hidden="false" customHeight="true" outlineLevel="0" collapsed="false">
      <c r="A9388" s="6" t="s">
        <v>12000</v>
      </c>
      <c r="B9388" s="6" t="s">
        <v>1941</v>
      </c>
      <c r="C9388" s="6" t="s">
        <v>131</v>
      </c>
      <c r="D9388" s="13" t="n">
        <v>46067</v>
      </c>
      <c r="E9388" s="14" t="n">
        <v>2329.37</v>
      </c>
      <c r="F9388" s="14" t="n">
        <v>10924.69</v>
      </c>
      <c r="G9388" s="6" t="s">
        <v>2613</v>
      </c>
    </row>
    <row r="9389" customFormat="false" ht="15" hidden="false" customHeight="true" outlineLevel="0" collapsed="false">
      <c r="A9389" s="6" t="s">
        <v>12001</v>
      </c>
      <c r="B9389" s="6" t="s">
        <v>1941</v>
      </c>
      <c r="C9389" s="6" t="s">
        <v>131</v>
      </c>
      <c r="D9389" s="13" t="n">
        <v>46074</v>
      </c>
      <c r="E9389" s="14" t="n">
        <v>3535.42</v>
      </c>
      <c r="F9389" s="14" t="n">
        <v>14460.11</v>
      </c>
      <c r="G9389" s="6" t="s">
        <v>2613</v>
      </c>
    </row>
    <row r="9390" customFormat="false" ht="15" hidden="false" customHeight="true" outlineLevel="0" collapsed="false">
      <c r="A9390" s="6" t="s">
        <v>12002</v>
      </c>
      <c r="B9390" s="6" t="s">
        <v>1941</v>
      </c>
      <c r="C9390" s="6" t="s">
        <v>131</v>
      </c>
      <c r="D9390" s="13" t="n">
        <v>46081</v>
      </c>
      <c r="E9390" s="14" t="n">
        <v>3305.79</v>
      </c>
      <c r="F9390" s="14" t="n">
        <v>17765.9</v>
      </c>
      <c r="G9390" s="6" t="s">
        <v>2613</v>
      </c>
    </row>
    <row r="9391" customFormat="false" ht="15" hidden="false" customHeight="true" outlineLevel="0" collapsed="false">
      <c r="A9391" s="6" t="s">
        <v>12003</v>
      </c>
      <c r="B9391" s="6" t="s">
        <v>1941</v>
      </c>
      <c r="C9391" s="6" t="s">
        <v>131</v>
      </c>
      <c r="D9391" s="13" t="n">
        <v>46088</v>
      </c>
      <c r="E9391" s="14" t="n">
        <v>3104.08</v>
      </c>
      <c r="F9391" s="14" t="n">
        <v>20869.98</v>
      </c>
      <c r="G9391" s="6" t="s">
        <v>2613</v>
      </c>
    </row>
    <row r="9392" customFormat="false" ht="15" hidden="false" customHeight="true" outlineLevel="0" collapsed="false">
      <c r="A9392" s="6" t="s">
        <v>12004</v>
      </c>
      <c r="B9392" s="6" t="s">
        <v>1941</v>
      </c>
      <c r="C9392" s="6" t="s">
        <v>131</v>
      </c>
      <c r="D9392" s="13" t="n">
        <v>46095</v>
      </c>
      <c r="E9392" s="14" t="n">
        <v>3190.51</v>
      </c>
      <c r="F9392" s="14" t="n">
        <v>24060.49</v>
      </c>
      <c r="G9392" s="6" t="s">
        <v>2613</v>
      </c>
    </row>
    <row r="9393" customFormat="false" ht="15" hidden="false" customHeight="true" outlineLevel="0" collapsed="false">
      <c r="A9393" s="6" t="s">
        <v>12005</v>
      </c>
      <c r="B9393" s="6" t="s">
        <v>1941</v>
      </c>
      <c r="C9393" s="6" t="s">
        <v>131</v>
      </c>
      <c r="D9393" s="13" t="n">
        <v>46102</v>
      </c>
      <c r="E9393" s="14" t="n">
        <v>3123.01</v>
      </c>
      <c r="F9393" s="14" t="n">
        <v>27183.5</v>
      </c>
      <c r="G9393" s="6" t="s">
        <v>2613</v>
      </c>
    </row>
    <row r="9394" customFormat="false" ht="15" hidden="false" customHeight="true" outlineLevel="0" collapsed="false">
      <c r="A9394" s="6" t="s">
        <v>12006</v>
      </c>
      <c r="B9394" s="6" t="s">
        <v>1941</v>
      </c>
      <c r="C9394" s="6" t="s">
        <v>131</v>
      </c>
      <c r="D9394" s="13" t="n">
        <v>46109</v>
      </c>
      <c r="E9394" s="14" t="n">
        <v>2550.92</v>
      </c>
      <c r="F9394" s="14" t="n">
        <v>29734.42</v>
      </c>
      <c r="G9394" s="6" t="s">
        <v>2613</v>
      </c>
    </row>
    <row r="9395" customFormat="false" ht="15" hidden="false" customHeight="true" outlineLevel="0" collapsed="false">
      <c r="A9395" s="6" t="s">
        <v>12007</v>
      </c>
      <c r="B9395" s="6" t="s">
        <v>1941</v>
      </c>
      <c r="C9395" s="6" t="s">
        <v>131</v>
      </c>
      <c r="D9395" s="13" t="n">
        <v>46116</v>
      </c>
      <c r="E9395" s="14" t="n">
        <v>3217.45</v>
      </c>
      <c r="F9395" s="14" t="n">
        <v>32951.87</v>
      </c>
      <c r="G9395" s="6" t="s">
        <v>2613</v>
      </c>
    </row>
    <row r="9396" customFormat="false" ht="15" hidden="false" customHeight="true" outlineLevel="0" collapsed="false">
      <c r="A9396" s="6" t="s">
        <v>12008</v>
      </c>
      <c r="B9396" s="6" t="s">
        <v>1941</v>
      </c>
      <c r="C9396" s="6" t="s">
        <v>131</v>
      </c>
      <c r="D9396" s="13" t="n">
        <v>46123</v>
      </c>
      <c r="E9396" s="14" t="n">
        <v>3431.31</v>
      </c>
      <c r="F9396" s="14" t="n">
        <v>36383.18</v>
      </c>
      <c r="G9396" s="6" t="s">
        <v>2613</v>
      </c>
    </row>
    <row r="9397" customFormat="false" ht="15" hidden="false" customHeight="true" outlineLevel="0" collapsed="false">
      <c r="A9397" s="6" t="s">
        <v>12009</v>
      </c>
      <c r="B9397" s="6" t="s">
        <v>1941</v>
      </c>
      <c r="C9397" s="6" t="s">
        <v>131</v>
      </c>
      <c r="D9397" s="13" t="n">
        <v>46130</v>
      </c>
      <c r="E9397" s="14" t="n">
        <v>3118.78</v>
      </c>
      <c r="F9397" s="14" t="n">
        <v>39501.96</v>
      </c>
      <c r="G9397" s="6" t="s">
        <v>2613</v>
      </c>
    </row>
    <row r="9398" customFormat="false" ht="15" hidden="false" customHeight="true" outlineLevel="0" collapsed="false">
      <c r="A9398" s="6" t="s">
        <v>12010</v>
      </c>
      <c r="B9398" s="6" t="s">
        <v>1941</v>
      </c>
      <c r="C9398" s="6" t="s">
        <v>131</v>
      </c>
      <c r="D9398" s="13" t="n">
        <v>46137</v>
      </c>
      <c r="E9398" s="14" t="n">
        <v>1923.73</v>
      </c>
      <c r="F9398" s="14" t="n">
        <v>41425.69</v>
      </c>
      <c r="G9398" s="6" t="s">
        <v>2613</v>
      </c>
    </row>
    <row r="9399" customFormat="false" ht="15" hidden="false" customHeight="true" outlineLevel="0" collapsed="false">
      <c r="A9399" s="6" t="s">
        <v>12011</v>
      </c>
      <c r="B9399" s="6" t="s">
        <v>1941</v>
      </c>
      <c r="C9399" s="6" t="s">
        <v>131</v>
      </c>
      <c r="D9399" s="13" t="n">
        <v>46144</v>
      </c>
      <c r="E9399" s="14" t="n">
        <v>3028.68</v>
      </c>
      <c r="F9399" s="14" t="n">
        <v>44454.37</v>
      </c>
      <c r="G9399" s="6" t="s">
        <v>2613</v>
      </c>
    </row>
    <row r="9400" customFormat="false" ht="15" hidden="false" customHeight="true" outlineLevel="0" collapsed="false">
      <c r="A9400" s="6" t="s">
        <v>12012</v>
      </c>
      <c r="B9400" s="6" t="s">
        <v>1941</v>
      </c>
      <c r="C9400" s="6" t="s">
        <v>131</v>
      </c>
      <c r="D9400" s="13" t="n">
        <v>46151</v>
      </c>
      <c r="E9400" s="14" t="n">
        <v>2145.31</v>
      </c>
      <c r="F9400" s="14" t="n">
        <v>46599.68</v>
      </c>
      <c r="G9400" s="6" t="s">
        <v>2613</v>
      </c>
    </row>
    <row r="9401" customFormat="false" ht="15" hidden="false" customHeight="true" outlineLevel="0" collapsed="false">
      <c r="A9401" s="6" t="s">
        <v>12013</v>
      </c>
      <c r="B9401" s="6" t="s">
        <v>1941</v>
      </c>
      <c r="C9401" s="6" t="s">
        <v>131</v>
      </c>
      <c r="D9401" s="13" t="n">
        <v>46158</v>
      </c>
      <c r="E9401" s="14" t="n">
        <v>3542.53</v>
      </c>
      <c r="F9401" s="14" t="n">
        <v>50142.21</v>
      </c>
      <c r="G9401" s="6" t="s">
        <v>2613</v>
      </c>
    </row>
    <row r="9402" customFormat="false" ht="15" hidden="false" customHeight="true" outlineLevel="0" collapsed="false">
      <c r="A9402" s="6" t="s">
        <v>12014</v>
      </c>
      <c r="B9402" s="6" t="s">
        <v>1941</v>
      </c>
      <c r="C9402" s="6" t="s">
        <v>131</v>
      </c>
      <c r="D9402" s="13" t="n">
        <v>46165</v>
      </c>
      <c r="E9402" s="14" t="n">
        <v>1553.29</v>
      </c>
      <c r="F9402" s="14" t="n">
        <v>51695.5</v>
      </c>
      <c r="G9402" s="6" t="s">
        <v>2613</v>
      </c>
    </row>
    <row r="9403" customFormat="false" ht="15" hidden="false" customHeight="true" outlineLevel="0" collapsed="false">
      <c r="A9403" s="6" t="s">
        <v>12015</v>
      </c>
      <c r="B9403" s="6" t="s">
        <v>1941</v>
      </c>
      <c r="C9403" s="6" t="s">
        <v>131</v>
      </c>
      <c r="D9403" s="13" t="n">
        <v>46172</v>
      </c>
      <c r="E9403" s="14" t="n">
        <v>2697.12</v>
      </c>
      <c r="F9403" s="14" t="n">
        <v>54392.62</v>
      </c>
      <c r="G9403" s="6" t="s">
        <v>2613</v>
      </c>
    </row>
    <row r="9404" customFormat="false" ht="15" hidden="false" customHeight="true" outlineLevel="0" collapsed="false">
      <c r="A9404" s="6" t="s">
        <v>12016</v>
      </c>
      <c r="B9404" s="6" t="s">
        <v>1941</v>
      </c>
      <c r="C9404" s="6" t="s">
        <v>131</v>
      </c>
      <c r="D9404" s="13" t="n">
        <v>46179</v>
      </c>
      <c r="E9404" s="14" t="n">
        <v>1846.15</v>
      </c>
      <c r="F9404" s="14" t="n">
        <v>56238.77</v>
      </c>
      <c r="G9404" s="6" t="s">
        <v>2613</v>
      </c>
    </row>
    <row r="9405" customFormat="false" ht="15" hidden="false" customHeight="true" outlineLevel="0" collapsed="false">
      <c r="A9405" s="6" t="s">
        <v>12017</v>
      </c>
      <c r="B9405" s="6" t="s">
        <v>1941</v>
      </c>
      <c r="C9405" s="6" t="s">
        <v>131</v>
      </c>
      <c r="D9405" s="13" t="n">
        <v>46186</v>
      </c>
      <c r="E9405" s="14" t="n">
        <v>2231.63</v>
      </c>
      <c r="F9405" s="14" t="n">
        <v>58470.4</v>
      </c>
      <c r="G9405" s="6" t="s">
        <v>2623</v>
      </c>
    </row>
    <row r="9406" customFormat="false" ht="15" hidden="false" customHeight="true" outlineLevel="0" collapsed="false">
      <c r="A9406" s="6" t="s">
        <v>12018</v>
      </c>
      <c r="B9406" s="6" t="s">
        <v>1941</v>
      </c>
      <c r="C9406" s="6" t="s">
        <v>131</v>
      </c>
      <c r="D9406" s="13" t="n">
        <v>46193</v>
      </c>
      <c r="E9406" s="14" t="n">
        <v>1721.67</v>
      </c>
      <c r="F9406" s="14" t="n">
        <v>60192.07</v>
      </c>
      <c r="G9406" s="6" t="s">
        <v>2613</v>
      </c>
    </row>
    <row r="9407" customFormat="false" ht="15" hidden="false" customHeight="true" outlineLevel="0" collapsed="false">
      <c r="A9407" s="6" t="s">
        <v>12019</v>
      </c>
      <c r="B9407" s="6" t="s">
        <v>1941</v>
      </c>
      <c r="C9407" s="6" t="s">
        <v>131</v>
      </c>
      <c r="D9407" s="13" t="n">
        <v>46200</v>
      </c>
      <c r="E9407" s="14" t="n">
        <v>3130.1</v>
      </c>
      <c r="F9407" s="14" t="n">
        <v>63322.17</v>
      </c>
      <c r="G9407" s="6" t="s">
        <v>2613</v>
      </c>
    </row>
    <row r="9408" customFormat="false" ht="15" hidden="false" customHeight="true" outlineLevel="0" collapsed="false">
      <c r="A9408" s="6" t="s">
        <v>12020</v>
      </c>
      <c r="B9408" s="6" t="s">
        <v>1941</v>
      </c>
      <c r="C9408" s="6" t="s">
        <v>131</v>
      </c>
      <c r="D9408" s="13" t="n">
        <v>46207</v>
      </c>
      <c r="E9408" s="14" t="n">
        <v>2676.73</v>
      </c>
      <c r="F9408" s="14" t="n">
        <v>65998.9</v>
      </c>
      <c r="G9408" s="6" t="s">
        <v>2613</v>
      </c>
    </row>
    <row r="9409" customFormat="false" ht="15" hidden="false" customHeight="true" outlineLevel="0" collapsed="false">
      <c r="A9409" s="6" t="s">
        <v>12021</v>
      </c>
      <c r="B9409" s="6" t="s">
        <v>1941</v>
      </c>
      <c r="C9409" s="6" t="s">
        <v>131</v>
      </c>
      <c r="D9409" s="13" t="n">
        <v>46214</v>
      </c>
      <c r="E9409" s="14" t="n">
        <v>1885.18</v>
      </c>
      <c r="F9409" s="14" t="n">
        <v>67884.08</v>
      </c>
      <c r="G9409" s="6" t="s">
        <v>2613</v>
      </c>
    </row>
    <row r="9410" customFormat="false" ht="15" hidden="false" customHeight="true" outlineLevel="0" collapsed="false">
      <c r="A9410" s="6" t="s">
        <v>12022</v>
      </c>
      <c r="B9410" s="6" t="s">
        <v>1941</v>
      </c>
      <c r="C9410" s="6" t="s">
        <v>131</v>
      </c>
      <c r="D9410" s="13" t="n">
        <v>46221</v>
      </c>
      <c r="E9410" s="14" t="n">
        <v>1575.71</v>
      </c>
      <c r="F9410" s="14" t="n">
        <v>69459.79</v>
      </c>
      <c r="G9410" s="6" t="s">
        <v>2623</v>
      </c>
    </row>
    <row r="9411" customFormat="false" ht="15" hidden="false" customHeight="true" outlineLevel="0" collapsed="false">
      <c r="A9411" s="6" t="s">
        <v>12023</v>
      </c>
      <c r="B9411" s="6" t="s">
        <v>1943</v>
      </c>
      <c r="C9411" s="6" t="s">
        <v>124</v>
      </c>
      <c r="D9411" s="13" t="n">
        <v>45509</v>
      </c>
      <c r="E9411" s="14" t="n">
        <v>6009.68</v>
      </c>
      <c r="F9411" s="14" t="n">
        <v>6009.68</v>
      </c>
      <c r="G9411" s="6" t="s">
        <v>2613</v>
      </c>
    </row>
    <row r="9412" customFormat="false" ht="15" hidden="false" customHeight="true" outlineLevel="0" collapsed="false">
      <c r="A9412" s="6" t="s">
        <v>12024</v>
      </c>
      <c r="B9412" s="6" t="s">
        <v>1943</v>
      </c>
      <c r="C9412" s="6" t="s">
        <v>124</v>
      </c>
      <c r="D9412" s="13" t="n">
        <v>45516</v>
      </c>
      <c r="E9412" s="14" t="n">
        <v>3521.35</v>
      </c>
      <c r="F9412" s="14" t="n">
        <v>9531.03</v>
      </c>
      <c r="G9412" s="6" t="s">
        <v>2613</v>
      </c>
    </row>
    <row r="9413" customFormat="false" ht="15" hidden="false" customHeight="true" outlineLevel="0" collapsed="false">
      <c r="A9413" s="6" t="s">
        <v>12025</v>
      </c>
      <c r="B9413" s="6" t="s">
        <v>1943</v>
      </c>
      <c r="C9413" s="6" t="s">
        <v>124</v>
      </c>
      <c r="D9413" s="13" t="n">
        <v>45523</v>
      </c>
      <c r="E9413" s="14" t="n">
        <v>5847.47</v>
      </c>
      <c r="F9413" s="14" t="n">
        <v>15378.5</v>
      </c>
      <c r="G9413" s="6" t="s">
        <v>2613</v>
      </c>
    </row>
    <row r="9414" customFormat="false" ht="15" hidden="false" customHeight="true" outlineLevel="0" collapsed="false">
      <c r="A9414" s="6" t="s">
        <v>12026</v>
      </c>
      <c r="B9414" s="6" t="s">
        <v>1943</v>
      </c>
      <c r="C9414" s="6" t="s">
        <v>124</v>
      </c>
      <c r="D9414" s="13" t="n">
        <v>45530</v>
      </c>
      <c r="E9414" s="14" t="n">
        <v>3741.8</v>
      </c>
      <c r="F9414" s="14" t="n">
        <v>19120.3</v>
      </c>
      <c r="G9414" s="6" t="s">
        <v>2613</v>
      </c>
    </row>
    <row r="9415" customFormat="false" ht="15" hidden="false" customHeight="true" outlineLevel="0" collapsed="false">
      <c r="A9415" s="6" t="s">
        <v>12027</v>
      </c>
      <c r="B9415" s="6" t="s">
        <v>1943</v>
      </c>
      <c r="C9415" s="6" t="s">
        <v>124</v>
      </c>
      <c r="D9415" s="13" t="n">
        <v>45537</v>
      </c>
      <c r="E9415" s="14" t="n">
        <v>4871.51</v>
      </c>
      <c r="F9415" s="14" t="n">
        <v>23991.81</v>
      </c>
      <c r="G9415" s="6" t="s">
        <v>2613</v>
      </c>
    </row>
    <row r="9416" customFormat="false" ht="15" hidden="false" customHeight="true" outlineLevel="0" collapsed="false">
      <c r="A9416" s="6" t="s">
        <v>12028</v>
      </c>
      <c r="B9416" s="6" t="s">
        <v>1943</v>
      </c>
      <c r="C9416" s="6" t="s">
        <v>124</v>
      </c>
      <c r="D9416" s="13" t="n">
        <v>45544</v>
      </c>
      <c r="E9416" s="14" t="n">
        <v>5974.94</v>
      </c>
      <c r="F9416" s="14" t="n">
        <v>29966.75</v>
      </c>
      <c r="G9416" s="6" t="s">
        <v>2613</v>
      </c>
    </row>
    <row r="9417" customFormat="false" ht="15" hidden="false" customHeight="true" outlineLevel="0" collapsed="false">
      <c r="A9417" s="6" t="s">
        <v>12029</v>
      </c>
      <c r="B9417" s="6" t="s">
        <v>1943</v>
      </c>
      <c r="C9417" s="6" t="s">
        <v>124</v>
      </c>
      <c r="D9417" s="13" t="n">
        <v>45551</v>
      </c>
      <c r="E9417" s="14" t="n">
        <v>3073.32</v>
      </c>
      <c r="F9417" s="14" t="n">
        <v>33040.07</v>
      </c>
      <c r="G9417" s="6" t="s">
        <v>2623</v>
      </c>
    </row>
    <row r="9418" customFormat="false" ht="15" hidden="false" customHeight="true" outlineLevel="0" collapsed="false">
      <c r="A9418" s="6" t="s">
        <v>12030</v>
      </c>
      <c r="B9418" s="6" t="s">
        <v>1943</v>
      </c>
      <c r="C9418" s="6" t="s">
        <v>124</v>
      </c>
      <c r="D9418" s="13" t="n">
        <v>45558</v>
      </c>
      <c r="E9418" s="14" t="n">
        <v>6812.42</v>
      </c>
      <c r="F9418" s="14" t="n">
        <v>39852.49</v>
      </c>
      <c r="G9418" s="6" t="s">
        <v>2613</v>
      </c>
    </row>
    <row r="9419" customFormat="false" ht="15" hidden="false" customHeight="true" outlineLevel="0" collapsed="false">
      <c r="A9419" s="6" t="s">
        <v>12031</v>
      </c>
      <c r="B9419" s="6" t="s">
        <v>1945</v>
      </c>
      <c r="C9419" s="6" t="s">
        <v>128</v>
      </c>
      <c r="D9419" s="13" t="n">
        <v>46110</v>
      </c>
      <c r="E9419" s="14" t="n">
        <v>3421.47</v>
      </c>
      <c r="F9419" s="14" t="n">
        <v>3421.47</v>
      </c>
      <c r="G9419" s="6" t="s">
        <v>2613</v>
      </c>
    </row>
    <row r="9420" customFormat="false" ht="15" hidden="false" customHeight="true" outlineLevel="0" collapsed="false">
      <c r="A9420" s="6" t="s">
        <v>12032</v>
      </c>
      <c r="B9420" s="6" t="s">
        <v>1945</v>
      </c>
      <c r="C9420" s="6" t="s">
        <v>128</v>
      </c>
      <c r="D9420" s="13" t="n">
        <v>46117</v>
      </c>
      <c r="E9420" s="14" t="n">
        <v>2135.08</v>
      </c>
      <c r="F9420" s="14" t="n">
        <v>5556.55</v>
      </c>
      <c r="G9420" s="6" t="s">
        <v>2613</v>
      </c>
    </row>
    <row r="9421" customFormat="false" ht="15" hidden="false" customHeight="true" outlineLevel="0" collapsed="false">
      <c r="A9421" s="6" t="s">
        <v>12033</v>
      </c>
      <c r="B9421" s="6" t="s">
        <v>1945</v>
      </c>
      <c r="C9421" s="6" t="s">
        <v>128</v>
      </c>
      <c r="D9421" s="13" t="n">
        <v>46124</v>
      </c>
      <c r="E9421" s="14" t="n">
        <v>1887.93</v>
      </c>
      <c r="F9421" s="14" t="n">
        <v>7444.48</v>
      </c>
      <c r="G9421" s="6" t="s">
        <v>2613</v>
      </c>
    </row>
    <row r="9422" customFormat="false" ht="15" hidden="false" customHeight="true" outlineLevel="0" collapsed="false">
      <c r="A9422" s="6" t="s">
        <v>12034</v>
      </c>
      <c r="B9422" s="6" t="s">
        <v>1945</v>
      </c>
      <c r="C9422" s="6" t="s">
        <v>128</v>
      </c>
      <c r="D9422" s="13" t="n">
        <v>46131</v>
      </c>
      <c r="E9422" s="14" t="n">
        <v>2473.68</v>
      </c>
      <c r="F9422" s="14" t="n">
        <v>9918.16</v>
      </c>
      <c r="G9422" s="6" t="s">
        <v>2613</v>
      </c>
    </row>
    <row r="9423" customFormat="false" ht="15" hidden="false" customHeight="true" outlineLevel="0" collapsed="false">
      <c r="A9423" s="6" t="s">
        <v>12035</v>
      </c>
      <c r="B9423" s="6" t="s">
        <v>1945</v>
      </c>
      <c r="C9423" s="6" t="s">
        <v>128</v>
      </c>
      <c r="D9423" s="13" t="n">
        <v>46138</v>
      </c>
      <c r="E9423" s="14" t="n">
        <v>2694.15</v>
      </c>
      <c r="F9423" s="14" t="n">
        <v>12612.31</v>
      </c>
      <c r="G9423" s="6" t="s">
        <v>2613</v>
      </c>
    </row>
    <row r="9424" customFormat="false" ht="15" hidden="false" customHeight="true" outlineLevel="0" collapsed="false">
      <c r="A9424" s="6" t="s">
        <v>12036</v>
      </c>
      <c r="B9424" s="6" t="s">
        <v>1945</v>
      </c>
      <c r="C9424" s="6" t="s">
        <v>128</v>
      </c>
      <c r="D9424" s="13" t="n">
        <v>46145</v>
      </c>
      <c r="E9424" s="14" t="n">
        <v>3514.49</v>
      </c>
      <c r="F9424" s="14" t="n">
        <v>16126.8</v>
      </c>
      <c r="G9424" s="6" t="s">
        <v>2613</v>
      </c>
    </row>
    <row r="9425" customFormat="false" ht="15" hidden="false" customHeight="true" outlineLevel="0" collapsed="false">
      <c r="A9425" s="6" t="s">
        <v>12037</v>
      </c>
      <c r="B9425" s="6" t="s">
        <v>1945</v>
      </c>
      <c r="C9425" s="6" t="s">
        <v>128</v>
      </c>
      <c r="D9425" s="13" t="n">
        <v>46152</v>
      </c>
      <c r="E9425" s="14" t="n">
        <v>2420.77</v>
      </c>
      <c r="F9425" s="14" t="n">
        <v>18547.57</v>
      </c>
      <c r="G9425" s="6" t="s">
        <v>2623</v>
      </c>
    </row>
    <row r="9426" customFormat="false" ht="15" hidden="false" customHeight="true" outlineLevel="0" collapsed="false">
      <c r="A9426" s="6" t="s">
        <v>12038</v>
      </c>
      <c r="B9426" s="6" t="s">
        <v>1945</v>
      </c>
      <c r="C9426" s="6" t="s">
        <v>128</v>
      </c>
      <c r="D9426" s="13" t="n">
        <v>46159</v>
      </c>
      <c r="E9426" s="14" t="n">
        <v>2556.28</v>
      </c>
      <c r="F9426" s="14" t="n">
        <v>21103.85</v>
      </c>
      <c r="G9426" s="6" t="s">
        <v>2613</v>
      </c>
    </row>
    <row r="9427" customFormat="false" ht="15" hidden="false" customHeight="true" outlineLevel="0" collapsed="false">
      <c r="A9427" s="6" t="s">
        <v>12039</v>
      </c>
      <c r="B9427" s="6" t="s">
        <v>1945</v>
      </c>
      <c r="C9427" s="6" t="s">
        <v>128</v>
      </c>
      <c r="D9427" s="13" t="n">
        <v>46166</v>
      </c>
      <c r="E9427" s="14" t="n">
        <v>3367.58</v>
      </c>
      <c r="F9427" s="14" t="n">
        <v>24471.43</v>
      </c>
      <c r="G9427" s="6" t="s">
        <v>2613</v>
      </c>
    </row>
    <row r="9428" customFormat="false" ht="15" hidden="false" customHeight="true" outlineLevel="0" collapsed="false">
      <c r="A9428" s="6" t="s">
        <v>12040</v>
      </c>
      <c r="B9428" s="6" t="s">
        <v>1945</v>
      </c>
      <c r="C9428" s="6" t="s">
        <v>128</v>
      </c>
      <c r="D9428" s="13" t="n">
        <v>46173</v>
      </c>
      <c r="E9428" s="14" t="n">
        <v>2389.72</v>
      </c>
      <c r="F9428" s="14" t="n">
        <v>26861.15</v>
      </c>
      <c r="G9428" s="6" t="s">
        <v>2613</v>
      </c>
    </row>
    <row r="9429" customFormat="false" ht="15" hidden="false" customHeight="true" outlineLevel="0" collapsed="false">
      <c r="A9429" s="6" t="s">
        <v>12041</v>
      </c>
      <c r="B9429" s="6" t="s">
        <v>1945</v>
      </c>
      <c r="C9429" s="6" t="s">
        <v>128</v>
      </c>
      <c r="D9429" s="13" t="n">
        <v>46180</v>
      </c>
      <c r="E9429" s="14" t="n">
        <v>2456.72</v>
      </c>
      <c r="F9429" s="14" t="n">
        <v>29317.87</v>
      </c>
      <c r="G9429" s="6" t="s">
        <v>2613</v>
      </c>
    </row>
    <row r="9430" customFormat="false" ht="15" hidden="false" customHeight="true" outlineLevel="0" collapsed="false">
      <c r="A9430" s="6" t="s">
        <v>12042</v>
      </c>
      <c r="B9430" s="6" t="s">
        <v>1945</v>
      </c>
      <c r="C9430" s="6" t="s">
        <v>128</v>
      </c>
      <c r="D9430" s="13" t="n">
        <v>46187</v>
      </c>
      <c r="E9430" s="14" t="n">
        <v>2978.33</v>
      </c>
      <c r="F9430" s="14" t="n">
        <v>32296.2</v>
      </c>
      <c r="G9430" s="6" t="s">
        <v>2623</v>
      </c>
    </row>
    <row r="9431" customFormat="false" ht="15" hidden="false" customHeight="true" outlineLevel="0" collapsed="false">
      <c r="A9431" s="6" t="s">
        <v>12043</v>
      </c>
      <c r="B9431" s="6" t="s">
        <v>1945</v>
      </c>
      <c r="C9431" s="6" t="s">
        <v>128</v>
      </c>
      <c r="D9431" s="13" t="n">
        <v>46194</v>
      </c>
      <c r="E9431" s="14" t="n">
        <v>2813.65</v>
      </c>
      <c r="F9431" s="14" t="n">
        <v>35109.85</v>
      </c>
      <c r="G9431" s="6" t="s">
        <v>2613</v>
      </c>
    </row>
    <row r="9432" customFormat="false" ht="15" hidden="false" customHeight="true" outlineLevel="0" collapsed="false">
      <c r="A9432" s="6" t="s">
        <v>12044</v>
      </c>
      <c r="B9432" s="6" t="s">
        <v>1945</v>
      </c>
      <c r="C9432" s="6" t="s">
        <v>128</v>
      </c>
      <c r="D9432" s="13" t="n">
        <v>46201</v>
      </c>
      <c r="E9432" s="14" t="n">
        <v>1780.26</v>
      </c>
      <c r="F9432" s="14" t="n">
        <v>36890.11</v>
      </c>
      <c r="G9432" s="6" t="s">
        <v>2613</v>
      </c>
    </row>
    <row r="9433" customFormat="false" ht="15" hidden="false" customHeight="true" outlineLevel="0" collapsed="false">
      <c r="A9433" s="6" t="s">
        <v>12045</v>
      </c>
      <c r="B9433" s="6" t="s">
        <v>1945</v>
      </c>
      <c r="C9433" s="6" t="s">
        <v>128</v>
      </c>
      <c r="D9433" s="13" t="n">
        <v>46208</v>
      </c>
      <c r="E9433" s="14" t="n">
        <v>2131.91</v>
      </c>
      <c r="F9433" s="14" t="n">
        <v>39022.02</v>
      </c>
      <c r="G9433" s="6" t="s">
        <v>2613</v>
      </c>
    </row>
    <row r="9434" customFormat="false" ht="15" hidden="false" customHeight="true" outlineLevel="0" collapsed="false">
      <c r="A9434" s="6" t="s">
        <v>12046</v>
      </c>
      <c r="B9434" s="6" t="s">
        <v>1945</v>
      </c>
      <c r="C9434" s="6" t="s">
        <v>128</v>
      </c>
      <c r="D9434" s="13" t="n">
        <v>46215</v>
      </c>
      <c r="E9434" s="14" t="n">
        <v>2295.92</v>
      </c>
      <c r="F9434" s="14" t="n">
        <v>41317.94</v>
      </c>
      <c r="G9434" s="6" t="s">
        <v>2613</v>
      </c>
    </row>
    <row r="9435" customFormat="false" ht="15" hidden="false" customHeight="true" outlineLevel="0" collapsed="false">
      <c r="A9435" s="6" t="s">
        <v>12047</v>
      </c>
      <c r="B9435" s="6" t="s">
        <v>1945</v>
      </c>
      <c r="C9435" s="6" t="s">
        <v>128</v>
      </c>
      <c r="D9435" s="13" t="n">
        <v>46222</v>
      </c>
      <c r="E9435" s="14" t="n">
        <v>3248.58</v>
      </c>
      <c r="F9435" s="14" t="n">
        <v>44566.52</v>
      </c>
      <c r="G9435" s="6" t="s">
        <v>2613</v>
      </c>
    </row>
    <row r="9436" customFormat="false" ht="15" hidden="false" customHeight="true" outlineLevel="0" collapsed="false">
      <c r="A9436" s="6" t="s">
        <v>12048</v>
      </c>
      <c r="B9436" s="6" t="s">
        <v>1945</v>
      </c>
      <c r="C9436" s="6" t="s">
        <v>128</v>
      </c>
      <c r="D9436" s="13" t="n">
        <v>46229</v>
      </c>
      <c r="E9436" s="14" t="n">
        <v>2262.15</v>
      </c>
      <c r="F9436" s="14" t="n">
        <v>46828.67</v>
      </c>
      <c r="G9436" s="6" t="s">
        <v>2613</v>
      </c>
    </row>
    <row r="9437" customFormat="false" ht="15" hidden="false" customHeight="true" outlineLevel="0" collapsed="false">
      <c r="A9437" s="6" t="s">
        <v>12049</v>
      </c>
      <c r="B9437" s="6" t="s">
        <v>1945</v>
      </c>
      <c r="C9437" s="6" t="s">
        <v>128</v>
      </c>
      <c r="D9437" s="13" t="n">
        <v>46236</v>
      </c>
      <c r="E9437" s="14" t="n">
        <v>1876.69</v>
      </c>
      <c r="F9437" s="14" t="n">
        <v>48705.36</v>
      </c>
      <c r="G9437" s="6" t="s">
        <v>2613</v>
      </c>
    </row>
    <row r="9438" customFormat="false" ht="15" hidden="false" customHeight="true" outlineLevel="0" collapsed="false">
      <c r="A9438" s="6" t="s">
        <v>12050</v>
      </c>
      <c r="B9438" s="6" t="s">
        <v>1945</v>
      </c>
      <c r="C9438" s="6" t="s">
        <v>128</v>
      </c>
      <c r="D9438" s="13" t="n">
        <v>46243</v>
      </c>
      <c r="E9438" s="14" t="n">
        <v>3600.27</v>
      </c>
      <c r="F9438" s="14" t="n">
        <v>52305.63</v>
      </c>
      <c r="G9438" s="6" t="s">
        <v>2613</v>
      </c>
    </row>
    <row r="9439" customFormat="false" ht="15" hidden="false" customHeight="true" outlineLevel="0" collapsed="false">
      <c r="A9439" s="6" t="s">
        <v>12051</v>
      </c>
      <c r="B9439" s="6" t="s">
        <v>1947</v>
      </c>
      <c r="C9439" s="6" t="s">
        <v>116</v>
      </c>
      <c r="D9439" s="13" t="n">
        <v>45063</v>
      </c>
      <c r="E9439" s="14" t="n">
        <v>1233.75</v>
      </c>
      <c r="F9439" s="14" t="n">
        <v>1233.75</v>
      </c>
      <c r="G9439" s="6" t="s">
        <v>2613</v>
      </c>
    </row>
    <row r="9440" customFormat="false" ht="15" hidden="false" customHeight="true" outlineLevel="0" collapsed="false">
      <c r="A9440" s="6" t="s">
        <v>12052</v>
      </c>
      <c r="B9440" s="6" t="s">
        <v>1947</v>
      </c>
      <c r="C9440" s="6" t="s">
        <v>116</v>
      </c>
      <c r="D9440" s="13" t="n">
        <v>45070</v>
      </c>
      <c r="E9440" s="14" t="n">
        <v>990.52</v>
      </c>
      <c r="F9440" s="14" t="n">
        <v>2224.27</v>
      </c>
      <c r="G9440" s="6" t="s">
        <v>2613</v>
      </c>
    </row>
    <row r="9441" customFormat="false" ht="15" hidden="false" customHeight="true" outlineLevel="0" collapsed="false">
      <c r="A9441" s="6" t="s">
        <v>12053</v>
      </c>
      <c r="B9441" s="6" t="s">
        <v>1947</v>
      </c>
      <c r="C9441" s="6" t="s">
        <v>116</v>
      </c>
      <c r="D9441" s="13" t="n">
        <v>45077</v>
      </c>
      <c r="E9441" s="14" t="n">
        <v>824.1</v>
      </c>
      <c r="F9441" s="14" t="n">
        <v>3048.37</v>
      </c>
      <c r="G9441" s="6" t="s">
        <v>2613</v>
      </c>
    </row>
    <row r="9442" customFormat="false" ht="15" hidden="false" customHeight="true" outlineLevel="0" collapsed="false">
      <c r="A9442" s="6" t="s">
        <v>12054</v>
      </c>
      <c r="B9442" s="6" t="s">
        <v>1947</v>
      </c>
      <c r="C9442" s="6" t="s">
        <v>116</v>
      </c>
      <c r="D9442" s="13" t="n">
        <v>45084</v>
      </c>
      <c r="E9442" s="14" t="n">
        <v>1212.09</v>
      </c>
      <c r="F9442" s="14" t="n">
        <v>4260.46</v>
      </c>
      <c r="G9442" s="6" t="s">
        <v>2613</v>
      </c>
    </row>
    <row r="9443" customFormat="false" ht="15" hidden="false" customHeight="true" outlineLevel="0" collapsed="false">
      <c r="A9443" s="6" t="s">
        <v>12055</v>
      </c>
      <c r="B9443" s="6" t="s">
        <v>1947</v>
      </c>
      <c r="C9443" s="6" t="s">
        <v>116</v>
      </c>
      <c r="D9443" s="13" t="n">
        <v>45091</v>
      </c>
      <c r="E9443" s="14" t="n">
        <v>683.98</v>
      </c>
      <c r="F9443" s="14" t="n">
        <v>4944.44</v>
      </c>
      <c r="G9443" s="6" t="s">
        <v>2613</v>
      </c>
    </row>
    <row r="9444" customFormat="false" ht="15" hidden="false" customHeight="true" outlineLevel="0" collapsed="false">
      <c r="A9444" s="6" t="s">
        <v>12056</v>
      </c>
      <c r="B9444" s="6" t="s">
        <v>1947</v>
      </c>
      <c r="C9444" s="6" t="s">
        <v>116</v>
      </c>
      <c r="D9444" s="13" t="n">
        <v>45098</v>
      </c>
      <c r="E9444" s="14" t="n">
        <v>733.12</v>
      </c>
      <c r="F9444" s="14" t="n">
        <v>5677.56</v>
      </c>
      <c r="G9444" s="6" t="s">
        <v>2613</v>
      </c>
    </row>
    <row r="9445" customFormat="false" ht="15" hidden="false" customHeight="true" outlineLevel="0" collapsed="false">
      <c r="A9445" s="6" t="s">
        <v>12057</v>
      </c>
      <c r="B9445" s="6" t="s">
        <v>1947</v>
      </c>
      <c r="C9445" s="6" t="s">
        <v>116</v>
      </c>
      <c r="D9445" s="13" t="n">
        <v>45105</v>
      </c>
      <c r="E9445" s="14" t="n">
        <v>993.41</v>
      </c>
      <c r="F9445" s="14" t="n">
        <v>6670.97</v>
      </c>
      <c r="G9445" s="6" t="s">
        <v>2613</v>
      </c>
    </row>
    <row r="9446" customFormat="false" ht="15" hidden="false" customHeight="true" outlineLevel="0" collapsed="false">
      <c r="A9446" s="6" t="s">
        <v>12058</v>
      </c>
      <c r="B9446" s="6" t="s">
        <v>1947</v>
      </c>
      <c r="C9446" s="6" t="s">
        <v>116</v>
      </c>
      <c r="D9446" s="13" t="n">
        <v>45112</v>
      </c>
      <c r="E9446" s="14" t="n">
        <v>914.19</v>
      </c>
      <c r="F9446" s="14" t="n">
        <v>7585.16</v>
      </c>
      <c r="G9446" s="6" t="s">
        <v>2613</v>
      </c>
    </row>
    <row r="9447" customFormat="false" ht="15" hidden="false" customHeight="true" outlineLevel="0" collapsed="false">
      <c r="A9447" s="6" t="s">
        <v>12059</v>
      </c>
      <c r="B9447" s="6" t="s">
        <v>1947</v>
      </c>
      <c r="C9447" s="6" t="s">
        <v>116</v>
      </c>
      <c r="D9447" s="13" t="n">
        <v>45119</v>
      </c>
      <c r="E9447" s="14" t="n">
        <v>1192.18</v>
      </c>
      <c r="F9447" s="14" t="n">
        <v>8777.34</v>
      </c>
      <c r="G9447" s="6" t="s">
        <v>2613</v>
      </c>
    </row>
    <row r="9448" customFormat="false" ht="15" hidden="false" customHeight="true" outlineLevel="0" collapsed="false">
      <c r="A9448" s="6" t="s">
        <v>12060</v>
      </c>
      <c r="B9448" s="6" t="s">
        <v>1947</v>
      </c>
      <c r="C9448" s="6" t="s">
        <v>116</v>
      </c>
      <c r="D9448" s="13" t="n">
        <v>45126</v>
      </c>
      <c r="E9448" s="14" t="n">
        <v>1234.67</v>
      </c>
      <c r="F9448" s="14" t="n">
        <v>10012.01</v>
      </c>
      <c r="G9448" s="6" t="s">
        <v>2613</v>
      </c>
    </row>
    <row r="9449" customFormat="false" ht="15" hidden="false" customHeight="true" outlineLevel="0" collapsed="false">
      <c r="A9449" s="6" t="s">
        <v>12061</v>
      </c>
      <c r="B9449" s="6" t="s">
        <v>1947</v>
      </c>
      <c r="C9449" s="6" t="s">
        <v>116</v>
      </c>
      <c r="D9449" s="13" t="n">
        <v>45133</v>
      </c>
      <c r="E9449" s="14" t="n">
        <v>1230.42</v>
      </c>
      <c r="F9449" s="14" t="n">
        <v>11242.43</v>
      </c>
      <c r="G9449" s="6" t="s">
        <v>2613</v>
      </c>
    </row>
    <row r="9450" customFormat="false" ht="15" hidden="false" customHeight="true" outlineLevel="0" collapsed="false">
      <c r="A9450" s="6" t="s">
        <v>12062</v>
      </c>
      <c r="B9450" s="6" t="s">
        <v>1949</v>
      </c>
      <c r="C9450" s="6" t="s">
        <v>112</v>
      </c>
      <c r="D9450" s="13" t="n">
        <v>44834</v>
      </c>
      <c r="E9450" s="14" t="n">
        <v>2569.6</v>
      </c>
      <c r="F9450" s="14" t="n">
        <v>2569.6</v>
      </c>
      <c r="G9450" s="6" t="s">
        <v>2613</v>
      </c>
    </row>
    <row r="9451" customFormat="false" ht="15" hidden="false" customHeight="true" outlineLevel="0" collapsed="false">
      <c r="A9451" s="6" t="s">
        <v>12063</v>
      </c>
      <c r="B9451" s="6" t="s">
        <v>1949</v>
      </c>
      <c r="C9451" s="6" t="s">
        <v>112</v>
      </c>
      <c r="D9451" s="13" t="n">
        <v>44841</v>
      </c>
      <c r="E9451" s="14" t="n">
        <v>3012.29</v>
      </c>
      <c r="F9451" s="14" t="n">
        <v>5581.89</v>
      </c>
      <c r="G9451" s="6" t="s">
        <v>2613</v>
      </c>
    </row>
    <row r="9452" customFormat="false" ht="15" hidden="false" customHeight="true" outlineLevel="0" collapsed="false">
      <c r="A9452" s="6" t="s">
        <v>12064</v>
      </c>
      <c r="B9452" s="6" t="s">
        <v>1949</v>
      </c>
      <c r="C9452" s="6" t="s">
        <v>112</v>
      </c>
      <c r="D9452" s="13" t="n">
        <v>44848</v>
      </c>
      <c r="E9452" s="14" t="n">
        <v>2158.01</v>
      </c>
      <c r="F9452" s="14" t="n">
        <v>7739.9</v>
      </c>
      <c r="G9452" s="6" t="s">
        <v>2613</v>
      </c>
    </row>
    <row r="9453" customFormat="false" ht="15" hidden="false" customHeight="true" outlineLevel="0" collapsed="false">
      <c r="A9453" s="6" t="s">
        <v>12065</v>
      </c>
      <c r="B9453" s="6" t="s">
        <v>1949</v>
      </c>
      <c r="C9453" s="6" t="s">
        <v>112</v>
      </c>
      <c r="D9453" s="13" t="n">
        <v>44855</v>
      </c>
      <c r="E9453" s="14" t="n">
        <v>2810.64</v>
      </c>
      <c r="F9453" s="14" t="n">
        <v>10550.54</v>
      </c>
      <c r="G9453" s="6" t="s">
        <v>2613</v>
      </c>
    </row>
    <row r="9454" customFormat="false" ht="15" hidden="false" customHeight="true" outlineLevel="0" collapsed="false">
      <c r="A9454" s="6" t="s">
        <v>12066</v>
      </c>
      <c r="B9454" s="6" t="s">
        <v>1949</v>
      </c>
      <c r="C9454" s="6" t="s">
        <v>112</v>
      </c>
      <c r="D9454" s="13" t="n">
        <v>44862</v>
      </c>
      <c r="E9454" s="14" t="n">
        <v>2214.72</v>
      </c>
      <c r="F9454" s="14" t="n">
        <v>12765.26</v>
      </c>
      <c r="G9454" s="6" t="s">
        <v>2613</v>
      </c>
    </row>
    <row r="9455" customFormat="false" ht="15" hidden="false" customHeight="true" outlineLevel="0" collapsed="false">
      <c r="A9455" s="6" t="s">
        <v>12067</v>
      </c>
      <c r="B9455" s="6" t="s">
        <v>1949</v>
      </c>
      <c r="C9455" s="6" t="s">
        <v>112</v>
      </c>
      <c r="D9455" s="13" t="n">
        <v>44869</v>
      </c>
      <c r="E9455" s="14" t="n">
        <v>1930.14</v>
      </c>
      <c r="F9455" s="14" t="n">
        <v>14695.4</v>
      </c>
      <c r="G9455" s="6" t="s">
        <v>2613</v>
      </c>
    </row>
    <row r="9456" customFormat="false" ht="15" hidden="false" customHeight="true" outlineLevel="0" collapsed="false">
      <c r="A9456" s="6" t="s">
        <v>12068</v>
      </c>
      <c r="B9456" s="6" t="s">
        <v>1949</v>
      </c>
      <c r="C9456" s="6" t="s">
        <v>112</v>
      </c>
      <c r="D9456" s="13" t="n">
        <v>44876</v>
      </c>
      <c r="E9456" s="14" t="n">
        <v>1512.85</v>
      </c>
      <c r="F9456" s="14" t="n">
        <v>16208.25</v>
      </c>
      <c r="G9456" s="6" t="s">
        <v>2613</v>
      </c>
    </row>
    <row r="9457" customFormat="false" ht="15" hidden="false" customHeight="true" outlineLevel="0" collapsed="false">
      <c r="A9457" s="6" t="s">
        <v>12069</v>
      </c>
      <c r="B9457" s="6" t="s">
        <v>1949</v>
      </c>
      <c r="C9457" s="6" t="s">
        <v>112</v>
      </c>
      <c r="D9457" s="13" t="n">
        <v>44883</v>
      </c>
      <c r="E9457" s="14" t="n">
        <v>1548.01</v>
      </c>
      <c r="F9457" s="14" t="n">
        <v>17756.26</v>
      </c>
      <c r="G9457" s="6" t="s">
        <v>2613</v>
      </c>
    </row>
    <row r="9458" customFormat="false" ht="15" hidden="false" customHeight="true" outlineLevel="0" collapsed="false">
      <c r="A9458" s="6" t="s">
        <v>12070</v>
      </c>
      <c r="B9458" s="6" t="s">
        <v>1951</v>
      </c>
      <c r="C9458" s="6" t="s">
        <v>124</v>
      </c>
      <c r="D9458" s="13" t="n">
        <v>45116</v>
      </c>
      <c r="E9458" s="14" t="n">
        <v>3507.79</v>
      </c>
      <c r="F9458" s="14" t="n">
        <v>3507.79</v>
      </c>
      <c r="G9458" s="6" t="s">
        <v>2613</v>
      </c>
    </row>
    <row r="9459" customFormat="false" ht="15" hidden="false" customHeight="true" outlineLevel="0" collapsed="false">
      <c r="A9459" s="6" t="s">
        <v>12071</v>
      </c>
      <c r="B9459" s="6" t="s">
        <v>1951</v>
      </c>
      <c r="C9459" s="6" t="s">
        <v>124</v>
      </c>
      <c r="D9459" s="13" t="n">
        <v>45123</v>
      </c>
      <c r="E9459" s="14" t="n">
        <v>3207.5</v>
      </c>
      <c r="F9459" s="14" t="n">
        <v>6715.29</v>
      </c>
      <c r="G9459" s="6" t="s">
        <v>2613</v>
      </c>
    </row>
    <row r="9460" customFormat="false" ht="15" hidden="false" customHeight="true" outlineLevel="0" collapsed="false">
      <c r="A9460" s="6" t="s">
        <v>12072</v>
      </c>
      <c r="B9460" s="6" t="s">
        <v>1951</v>
      </c>
      <c r="C9460" s="6" t="s">
        <v>124</v>
      </c>
      <c r="D9460" s="13" t="n">
        <v>45130</v>
      </c>
      <c r="E9460" s="14" t="n">
        <v>3621.57</v>
      </c>
      <c r="F9460" s="14" t="n">
        <v>10336.86</v>
      </c>
      <c r="G9460" s="6" t="s">
        <v>2613</v>
      </c>
    </row>
    <row r="9461" customFormat="false" ht="15" hidden="false" customHeight="true" outlineLevel="0" collapsed="false">
      <c r="A9461" s="6" t="s">
        <v>12073</v>
      </c>
      <c r="B9461" s="6" t="s">
        <v>1951</v>
      </c>
      <c r="C9461" s="6" t="s">
        <v>124</v>
      </c>
      <c r="D9461" s="13" t="n">
        <v>45137</v>
      </c>
      <c r="E9461" s="14" t="n">
        <v>2392.26</v>
      </c>
      <c r="F9461" s="14" t="n">
        <v>12729.12</v>
      </c>
      <c r="G9461" s="6" t="s">
        <v>2613</v>
      </c>
    </row>
    <row r="9462" customFormat="false" ht="15" hidden="false" customHeight="true" outlineLevel="0" collapsed="false">
      <c r="A9462" s="6" t="s">
        <v>12074</v>
      </c>
      <c r="B9462" s="6" t="s">
        <v>1951</v>
      </c>
      <c r="C9462" s="6" t="s">
        <v>124</v>
      </c>
      <c r="D9462" s="13" t="n">
        <v>45144</v>
      </c>
      <c r="E9462" s="14" t="n">
        <v>3517.95</v>
      </c>
      <c r="F9462" s="14" t="n">
        <v>16247.07</v>
      </c>
      <c r="G9462" s="6" t="s">
        <v>2623</v>
      </c>
    </row>
    <row r="9463" customFormat="false" ht="15" hidden="false" customHeight="true" outlineLevel="0" collapsed="false">
      <c r="A9463" s="6" t="s">
        <v>12075</v>
      </c>
      <c r="B9463" s="6" t="s">
        <v>1951</v>
      </c>
      <c r="C9463" s="6" t="s">
        <v>124</v>
      </c>
      <c r="D9463" s="13" t="n">
        <v>45151</v>
      </c>
      <c r="E9463" s="14" t="n">
        <v>2575.85</v>
      </c>
      <c r="F9463" s="14" t="n">
        <v>18822.92</v>
      </c>
      <c r="G9463" s="6" t="s">
        <v>2613</v>
      </c>
    </row>
    <row r="9464" customFormat="false" ht="15" hidden="false" customHeight="true" outlineLevel="0" collapsed="false">
      <c r="A9464" s="6" t="s">
        <v>12076</v>
      </c>
      <c r="B9464" s="6" t="s">
        <v>1951</v>
      </c>
      <c r="C9464" s="6" t="s">
        <v>124</v>
      </c>
      <c r="D9464" s="13" t="n">
        <v>45158</v>
      </c>
      <c r="E9464" s="14" t="n">
        <v>3010.65</v>
      </c>
      <c r="F9464" s="14" t="n">
        <v>21833.57</v>
      </c>
      <c r="G9464" s="6" t="s">
        <v>2613</v>
      </c>
    </row>
    <row r="9465" customFormat="false" ht="15" hidden="false" customHeight="true" outlineLevel="0" collapsed="false">
      <c r="A9465" s="6" t="s">
        <v>12077</v>
      </c>
      <c r="B9465" s="6" t="s">
        <v>1951</v>
      </c>
      <c r="C9465" s="6" t="s">
        <v>124</v>
      </c>
      <c r="D9465" s="13" t="n">
        <v>45165</v>
      </c>
      <c r="E9465" s="14" t="n">
        <v>2365.46</v>
      </c>
      <c r="F9465" s="14" t="n">
        <v>24199.03</v>
      </c>
      <c r="G9465" s="6" t="s">
        <v>2613</v>
      </c>
    </row>
    <row r="9466" customFormat="false" ht="15" hidden="false" customHeight="true" outlineLevel="0" collapsed="false">
      <c r="A9466" s="6" t="s">
        <v>12078</v>
      </c>
      <c r="B9466" s="6" t="s">
        <v>1951</v>
      </c>
      <c r="C9466" s="6" t="s">
        <v>124</v>
      </c>
      <c r="D9466" s="13" t="n">
        <v>45172</v>
      </c>
      <c r="E9466" s="14" t="n">
        <v>1906.41</v>
      </c>
      <c r="F9466" s="14" t="n">
        <v>26105.44</v>
      </c>
      <c r="G9466" s="6" t="s">
        <v>2613</v>
      </c>
    </row>
    <row r="9467" customFormat="false" ht="15" hidden="false" customHeight="true" outlineLevel="0" collapsed="false">
      <c r="A9467" s="6" t="s">
        <v>12079</v>
      </c>
      <c r="B9467" s="6" t="s">
        <v>1953</v>
      </c>
      <c r="C9467" s="6" t="s">
        <v>128</v>
      </c>
      <c r="D9467" s="13" t="n">
        <v>45854</v>
      </c>
      <c r="E9467" s="14" t="n">
        <v>12037.1</v>
      </c>
      <c r="F9467" s="14" t="n">
        <v>12037.1</v>
      </c>
      <c r="G9467" s="6" t="s">
        <v>2613</v>
      </c>
    </row>
    <row r="9468" customFormat="false" ht="15" hidden="false" customHeight="true" outlineLevel="0" collapsed="false">
      <c r="A9468" s="6" t="s">
        <v>12080</v>
      </c>
      <c r="B9468" s="6" t="s">
        <v>1953</v>
      </c>
      <c r="C9468" s="6" t="s">
        <v>128</v>
      </c>
      <c r="D9468" s="13" t="n">
        <v>45861</v>
      </c>
      <c r="E9468" s="14" t="n">
        <v>12218.03</v>
      </c>
      <c r="F9468" s="14" t="n">
        <v>24255.13</v>
      </c>
      <c r="G9468" s="6" t="s">
        <v>2613</v>
      </c>
    </row>
    <row r="9469" customFormat="false" ht="15" hidden="false" customHeight="true" outlineLevel="0" collapsed="false">
      <c r="A9469" s="6" t="s">
        <v>12081</v>
      </c>
      <c r="B9469" s="6" t="s">
        <v>1953</v>
      </c>
      <c r="C9469" s="6" t="s">
        <v>128</v>
      </c>
      <c r="D9469" s="13" t="n">
        <v>45868</v>
      </c>
      <c r="E9469" s="14" t="n">
        <v>6992.82</v>
      </c>
      <c r="F9469" s="14" t="n">
        <v>31247.95</v>
      </c>
      <c r="G9469" s="6" t="s">
        <v>2613</v>
      </c>
    </row>
    <row r="9470" customFormat="false" ht="15" hidden="false" customHeight="true" outlineLevel="0" collapsed="false">
      <c r="A9470" s="6" t="s">
        <v>12082</v>
      </c>
      <c r="B9470" s="6" t="s">
        <v>1953</v>
      </c>
      <c r="C9470" s="6" t="s">
        <v>128</v>
      </c>
      <c r="D9470" s="13" t="n">
        <v>45875</v>
      </c>
      <c r="E9470" s="14" t="n">
        <v>11960.28</v>
      </c>
      <c r="F9470" s="14" t="n">
        <v>43208.23</v>
      </c>
      <c r="G9470" s="6" t="s">
        <v>2613</v>
      </c>
    </row>
    <row r="9471" customFormat="false" ht="15" hidden="false" customHeight="true" outlineLevel="0" collapsed="false">
      <c r="A9471" s="6" t="s">
        <v>12083</v>
      </c>
      <c r="B9471" s="6" t="s">
        <v>1953</v>
      </c>
      <c r="C9471" s="6" t="s">
        <v>128</v>
      </c>
      <c r="D9471" s="13" t="n">
        <v>45882</v>
      </c>
      <c r="E9471" s="14" t="n">
        <v>8461.28</v>
      </c>
      <c r="F9471" s="14" t="n">
        <v>51669.51</v>
      </c>
      <c r="G9471" s="6" t="s">
        <v>2613</v>
      </c>
    </row>
    <row r="9472" customFormat="false" ht="15" hidden="false" customHeight="true" outlineLevel="0" collapsed="false">
      <c r="A9472" s="6" t="s">
        <v>12084</v>
      </c>
      <c r="B9472" s="6" t="s">
        <v>1955</v>
      </c>
      <c r="C9472" s="6" t="s">
        <v>131</v>
      </c>
      <c r="D9472" s="13" t="n">
        <v>45653</v>
      </c>
      <c r="E9472" s="14" t="n">
        <v>4065.37</v>
      </c>
      <c r="F9472" s="14" t="n">
        <v>4065.37</v>
      </c>
      <c r="G9472" s="6" t="s">
        <v>2613</v>
      </c>
    </row>
    <row r="9473" customFormat="false" ht="15" hidden="false" customHeight="true" outlineLevel="0" collapsed="false">
      <c r="A9473" s="6" t="s">
        <v>12085</v>
      </c>
      <c r="B9473" s="6" t="s">
        <v>1955</v>
      </c>
      <c r="C9473" s="6" t="s">
        <v>131</v>
      </c>
      <c r="D9473" s="13" t="n">
        <v>45660</v>
      </c>
      <c r="E9473" s="14" t="n">
        <v>4798.7</v>
      </c>
      <c r="F9473" s="14" t="n">
        <v>8864.07</v>
      </c>
      <c r="G9473" s="6" t="s">
        <v>2613</v>
      </c>
    </row>
    <row r="9474" customFormat="false" ht="15" hidden="false" customHeight="true" outlineLevel="0" collapsed="false">
      <c r="A9474" s="6" t="s">
        <v>12086</v>
      </c>
      <c r="B9474" s="6" t="s">
        <v>1955</v>
      </c>
      <c r="C9474" s="6" t="s">
        <v>131</v>
      </c>
      <c r="D9474" s="13" t="n">
        <v>45667</v>
      </c>
      <c r="E9474" s="14" t="n">
        <v>4277.37</v>
      </c>
      <c r="F9474" s="14" t="n">
        <v>13141.44</v>
      </c>
      <c r="G9474" s="6" t="s">
        <v>2623</v>
      </c>
    </row>
    <row r="9475" customFormat="false" ht="15" hidden="false" customHeight="true" outlineLevel="0" collapsed="false">
      <c r="A9475" s="6" t="s">
        <v>12087</v>
      </c>
      <c r="B9475" s="6" t="s">
        <v>1955</v>
      </c>
      <c r="C9475" s="6" t="s">
        <v>131</v>
      </c>
      <c r="D9475" s="13" t="n">
        <v>45674</v>
      </c>
      <c r="E9475" s="14" t="n">
        <v>3727.66</v>
      </c>
      <c r="F9475" s="14" t="n">
        <v>16869.1</v>
      </c>
      <c r="G9475" s="6" t="s">
        <v>2613</v>
      </c>
    </row>
    <row r="9476" customFormat="false" ht="15" hidden="false" customHeight="true" outlineLevel="0" collapsed="false">
      <c r="A9476" s="6" t="s">
        <v>12088</v>
      </c>
      <c r="B9476" s="6" t="s">
        <v>1955</v>
      </c>
      <c r="C9476" s="6" t="s">
        <v>131</v>
      </c>
      <c r="D9476" s="13" t="n">
        <v>45681</v>
      </c>
      <c r="E9476" s="14" t="n">
        <v>3738.56</v>
      </c>
      <c r="F9476" s="14" t="n">
        <v>20607.66</v>
      </c>
      <c r="G9476" s="6" t="s">
        <v>2613</v>
      </c>
    </row>
    <row r="9477" customFormat="false" ht="15" hidden="false" customHeight="true" outlineLevel="0" collapsed="false">
      <c r="A9477" s="6" t="s">
        <v>12089</v>
      </c>
      <c r="B9477" s="6" t="s">
        <v>1955</v>
      </c>
      <c r="C9477" s="6" t="s">
        <v>131</v>
      </c>
      <c r="D9477" s="13" t="n">
        <v>45688</v>
      </c>
      <c r="E9477" s="14" t="n">
        <v>52.11</v>
      </c>
      <c r="F9477" s="14" t="n">
        <v>20659.77</v>
      </c>
      <c r="G9477" s="6" t="s">
        <v>2613</v>
      </c>
    </row>
    <row r="9478" customFormat="false" ht="15" hidden="false" customHeight="true" outlineLevel="0" collapsed="false">
      <c r="A9478" s="6" t="s">
        <v>12090</v>
      </c>
      <c r="B9478" s="6" t="s">
        <v>1957</v>
      </c>
      <c r="C9478" s="6" t="s">
        <v>128</v>
      </c>
      <c r="D9478" s="13" t="n">
        <v>45276</v>
      </c>
      <c r="E9478" s="14" t="n">
        <v>1071.86</v>
      </c>
      <c r="F9478" s="14" t="n">
        <v>1071.86</v>
      </c>
      <c r="G9478" s="6" t="s">
        <v>2613</v>
      </c>
    </row>
    <row r="9479" customFormat="false" ht="15" hidden="false" customHeight="true" outlineLevel="0" collapsed="false">
      <c r="A9479" s="6" t="s">
        <v>12091</v>
      </c>
      <c r="B9479" s="6" t="s">
        <v>1957</v>
      </c>
      <c r="C9479" s="6" t="s">
        <v>128</v>
      </c>
      <c r="D9479" s="13" t="n">
        <v>45283</v>
      </c>
      <c r="E9479" s="14" t="n">
        <v>657.5</v>
      </c>
      <c r="F9479" s="14" t="n">
        <v>1729.36</v>
      </c>
      <c r="G9479" s="6" t="s">
        <v>2623</v>
      </c>
    </row>
    <row r="9480" customFormat="false" ht="15" hidden="false" customHeight="true" outlineLevel="0" collapsed="false">
      <c r="A9480" s="6" t="s">
        <v>12092</v>
      </c>
      <c r="B9480" s="6" t="s">
        <v>1957</v>
      </c>
      <c r="C9480" s="6" t="s">
        <v>128</v>
      </c>
      <c r="D9480" s="13" t="n">
        <v>45290</v>
      </c>
      <c r="E9480" s="14" t="n">
        <v>888.32</v>
      </c>
      <c r="F9480" s="14" t="n">
        <v>2617.68</v>
      </c>
      <c r="G9480" s="6" t="s">
        <v>2613</v>
      </c>
    </row>
    <row r="9481" customFormat="false" ht="15" hidden="false" customHeight="true" outlineLevel="0" collapsed="false">
      <c r="A9481" s="6" t="s">
        <v>12093</v>
      </c>
      <c r="B9481" s="6" t="s">
        <v>1957</v>
      </c>
      <c r="C9481" s="6" t="s">
        <v>128</v>
      </c>
      <c r="D9481" s="13" t="n">
        <v>45297</v>
      </c>
      <c r="E9481" s="14" t="n">
        <v>1113.44</v>
      </c>
      <c r="F9481" s="14" t="n">
        <v>3731.12</v>
      </c>
      <c r="G9481" s="6" t="s">
        <v>2613</v>
      </c>
    </row>
    <row r="9482" customFormat="false" ht="15" hidden="false" customHeight="true" outlineLevel="0" collapsed="false">
      <c r="A9482" s="6" t="s">
        <v>12094</v>
      </c>
      <c r="B9482" s="6" t="s">
        <v>1957</v>
      </c>
      <c r="C9482" s="6" t="s">
        <v>128</v>
      </c>
      <c r="D9482" s="13" t="n">
        <v>45304</v>
      </c>
      <c r="E9482" s="14" t="n">
        <v>1039.62</v>
      </c>
      <c r="F9482" s="14" t="n">
        <v>4770.74</v>
      </c>
      <c r="G9482" s="6" t="s">
        <v>2613</v>
      </c>
    </row>
    <row r="9483" customFormat="false" ht="15" hidden="false" customHeight="true" outlineLevel="0" collapsed="false">
      <c r="A9483" s="6" t="s">
        <v>12095</v>
      </c>
      <c r="B9483" s="6" t="s">
        <v>1957</v>
      </c>
      <c r="C9483" s="6" t="s">
        <v>128</v>
      </c>
      <c r="D9483" s="13" t="n">
        <v>45311</v>
      </c>
      <c r="E9483" s="14" t="n">
        <v>863.87</v>
      </c>
      <c r="F9483" s="14" t="n">
        <v>5634.61</v>
      </c>
      <c r="G9483" s="6" t="s">
        <v>2613</v>
      </c>
    </row>
    <row r="9484" customFormat="false" ht="15" hidden="false" customHeight="true" outlineLevel="0" collapsed="false">
      <c r="A9484" s="6" t="s">
        <v>12096</v>
      </c>
      <c r="B9484" s="6" t="s">
        <v>1957</v>
      </c>
      <c r="C9484" s="6" t="s">
        <v>128</v>
      </c>
      <c r="D9484" s="13" t="n">
        <v>45318</v>
      </c>
      <c r="E9484" s="14" t="n">
        <v>1303.72</v>
      </c>
      <c r="F9484" s="14" t="n">
        <v>6938.33</v>
      </c>
      <c r="G9484" s="6" t="s">
        <v>2613</v>
      </c>
    </row>
    <row r="9485" customFormat="false" ht="15" hidden="false" customHeight="true" outlineLevel="0" collapsed="false">
      <c r="A9485" s="6" t="s">
        <v>12097</v>
      </c>
      <c r="B9485" s="6" t="s">
        <v>1957</v>
      </c>
      <c r="C9485" s="6" t="s">
        <v>128</v>
      </c>
      <c r="D9485" s="13" t="n">
        <v>45325</v>
      </c>
      <c r="E9485" s="14" t="n">
        <v>914.63</v>
      </c>
      <c r="F9485" s="14" t="n">
        <v>7852.96</v>
      </c>
      <c r="G9485" s="6" t="s">
        <v>2613</v>
      </c>
    </row>
    <row r="9486" customFormat="false" ht="15" hidden="false" customHeight="true" outlineLevel="0" collapsed="false">
      <c r="A9486" s="6" t="s">
        <v>12098</v>
      </c>
      <c r="B9486" s="6" t="s">
        <v>1957</v>
      </c>
      <c r="C9486" s="6" t="s">
        <v>128</v>
      </c>
      <c r="D9486" s="13" t="n">
        <v>45332</v>
      </c>
      <c r="E9486" s="14" t="n">
        <v>574.01</v>
      </c>
      <c r="F9486" s="14" t="n">
        <v>8426.97</v>
      </c>
      <c r="G9486" s="6" t="s">
        <v>2613</v>
      </c>
    </row>
    <row r="9487" customFormat="false" ht="15" hidden="false" customHeight="true" outlineLevel="0" collapsed="false">
      <c r="A9487" s="6" t="s">
        <v>12099</v>
      </c>
      <c r="B9487" s="6" t="s">
        <v>1959</v>
      </c>
      <c r="C9487" s="6" t="s">
        <v>128</v>
      </c>
      <c r="D9487" s="13" t="n">
        <v>44869</v>
      </c>
      <c r="E9487" s="14" t="n">
        <v>1170.59</v>
      </c>
      <c r="F9487" s="14" t="n">
        <v>1170.59</v>
      </c>
      <c r="G9487" s="6" t="s">
        <v>2613</v>
      </c>
    </row>
    <row r="9488" customFormat="false" ht="15" hidden="false" customHeight="true" outlineLevel="0" collapsed="false">
      <c r="A9488" s="6" t="s">
        <v>12100</v>
      </c>
      <c r="B9488" s="6" t="s">
        <v>1959</v>
      </c>
      <c r="C9488" s="6" t="s">
        <v>128</v>
      </c>
      <c r="D9488" s="13" t="n">
        <v>44876</v>
      </c>
      <c r="E9488" s="14" t="n">
        <v>1706.51</v>
      </c>
      <c r="F9488" s="14" t="n">
        <v>2877.1</v>
      </c>
      <c r="G9488" s="6" t="s">
        <v>2613</v>
      </c>
    </row>
    <row r="9489" customFormat="false" ht="15" hidden="false" customHeight="true" outlineLevel="0" collapsed="false">
      <c r="A9489" s="6" t="s">
        <v>12101</v>
      </c>
      <c r="B9489" s="6" t="s">
        <v>1959</v>
      </c>
      <c r="C9489" s="6" t="s">
        <v>128</v>
      </c>
      <c r="D9489" s="13" t="n">
        <v>44883</v>
      </c>
      <c r="E9489" s="14" t="n">
        <v>2149.44</v>
      </c>
      <c r="F9489" s="14" t="n">
        <v>5026.54</v>
      </c>
      <c r="G9489" s="6" t="s">
        <v>2613</v>
      </c>
    </row>
    <row r="9490" customFormat="false" ht="15" hidden="false" customHeight="true" outlineLevel="0" collapsed="false">
      <c r="A9490" s="6" t="s">
        <v>12102</v>
      </c>
      <c r="B9490" s="6" t="s">
        <v>1959</v>
      </c>
      <c r="C9490" s="6" t="s">
        <v>128</v>
      </c>
      <c r="D9490" s="13" t="n">
        <v>44890</v>
      </c>
      <c r="E9490" s="14" t="n">
        <v>1239.57</v>
      </c>
      <c r="F9490" s="14" t="n">
        <v>6266.11</v>
      </c>
      <c r="G9490" s="6" t="s">
        <v>2613</v>
      </c>
    </row>
    <row r="9491" customFormat="false" ht="15" hidden="false" customHeight="true" outlineLevel="0" collapsed="false">
      <c r="A9491" s="6" t="s">
        <v>12103</v>
      </c>
      <c r="B9491" s="6" t="s">
        <v>1959</v>
      </c>
      <c r="C9491" s="6" t="s">
        <v>128</v>
      </c>
      <c r="D9491" s="13" t="n">
        <v>44897</v>
      </c>
      <c r="E9491" s="14" t="n">
        <v>1510.25</v>
      </c>
      <c r="F9491" s="14" t="n">
        <v>7776.36</v>
      </c>
      <c r="G9491" s="6" t="s">
        <v>2613</v>
      </c>
    </row>
    <row r="9492" customFormat="false" ht="15" hidden="false" customHeight="true" outlineLevel="0" collapsed="false">
      <c r="A9492" s="6" t="s">
        <v>12104</v>
      </c>
      <c r="B9492" s="6" t="s">
        <v>1959</v>
      </c>
      <c r="C9492" s="6" t="s">
        <v>128</v>
      </c>
      <c r="D9492" s="13" t="n">
        <v>44904</v>
      </c>
      <c r="E9492" s="14" t="n">
        <v>1306.06</v>
      </c>
      <c r="F9492" s="14" t="n">
        <v>9082.42</v>
      </c>
      <c r="G9492" s="6" t="s">
        <v>2613</v>
      </c>
    </row>
    <row r="9493" customFormat="false" ht="15" hidden="false" customHeight="true" outlineLevel="0" collapsed="false">
      <c r="A9493" s="6" t="s">
        <v>12105</v>
      </c>
      <c r="B9493" s="6" t="s">
        <v>1959</v>
      </c>
      <c r="C9493" s="6" t="s">
        <v>128</v>
      </c>
      <c r="D9493" s="13" t="n">
        <v>44911</v>
      </c>
      <c r="E9493" s="14" t="n">
        <v>1746.06</v>
      </c>
      <c r="F9493" s="14" t="n">
        <v>10828.48</v>
      </c>
      <c r="G9493" s="6" t="s">
        <v>2623</v>
      </c>
    </row>
    <row r="9494" customFormat="false" ht="15" hidden="false" customHeight="true" outlineLevel="0" collapsed="false">
      <c r="A9494" s="6" t="s">
        <v>12106</v>
      </c>
      <c r="B9494" s="6" t="s">
        <v>1959</v>
      </c>
      <c r="C9494" s="6" t="s">
        <v>128</v>
      </c>
      <c r="D9494" s="13" t="n">
        <v>44918</v>
      </c>
      <c r="E9494" s="14" t="n">
        <v>1694</v>
      </c>
      <c r="F9494" s="14" t="n">
        <v>12522.48</v>
      </c>
      <c r="G9494" s="6" t="s">
        <v>2613</v>
      </c>
    </row>
    <row r="9495" customFormat="false" ht="15" hidden="false" customHeight="true" outlineLevel="0" collapsed="false">
      <c r="A9495" s="6" t="s">
        <v>12107</v>
      </c>
      <c r="B9495" s="6" t="s">
        <v>1959</v>
      </c>
      <c r="C9495" s="6" t="s">
        <v>128</v>
      </c>
      <c r="D9495" s="13" t="n">
        <v>44925</v>
      </c>
      <c r="E9495" s="14" t="n">
        <v>1994.26</v>
      </c>
      <c r="F9495" s="14" t="n">
        <v>14516.74</v>
      </c>
      <c r="G9495" s="6" t="s">
        <v>2613</v>
      </c>
    </row>
    <row r="9496" customFormat="false" ht="15" hidden="false" customHeight="true" outlineLevel="0" collapsed="false">
      <c r="A9496" s="6" t="s">
        <v>12108</v>
      </c>
      <c r="B9496" s="6" t="s">
        <v>1959</v>
      </c>
      <c r="C9496" s="6" t="s">
        <v>128</v>
      </c>
      <c r="D9496" s="13" t="n">
        <v>44932</v>
      </c>
      <c r="E9496" s="14" t="n">
        <v>1442.38</v>
      </c>
      <c r="F9496" s="14" t="n">
        <v>15959.12</v>
      </c>
      <c r="G9496" s="6" t="s">
        <v>2613</v>
      </c>
    </row>
    <row r="9497" customFormat="false" ht="15" hidden="false" customHeight="true" outlineLevel="0" collapsed="false">
      <c r="A9497" s="6" t="s">
        <v>12109</v>
      </c>
      <c r="B9497" s="6" t="s">
        <v>1959</v>
      </c>
      <c r="C9497" s="6" t="s">
        <v>128</v>
      </c>
      <c r="D9497" s="13" t="n">
        <v>44939</v>
      </c>
      <c r="E9497" s="14" t="n">
        <v>1819.25</v>
      </c>
      <c r="F9497" s="14" t="n">
        <v>17778.37</v>
      </c>
      <c r="G9497" s="6" t="s">
        <v>2613</v>
      </c>
    </row>
    <row r="9498" customFormat="false" ht="15" hidden="false" customHeight="true" outlineLevel="0" collapsed="false">
      <c r="A9498" s="6" t="s">
        <v>12110</v>
      </c>
      <c r="B9498" s="6" t="s">
        <v>1959</v>
      </c>
      <c r="C9498" s="6" t="s">
        <v>128</v>
      </c>
      <c r="D9498" s="13" t="n">
        <v>44946</v>
      </c>
      <c r="E9498" s="14" t="n">
        <v>1581.96</v>
      </c>
      <c r="F9498" s="14" t="n">
        <v>19360.33</v>
      </c>
      <c r="G9498" s="6" t="s">
        <v>2613</v>
      </c>
    </row>
    <row r="9499" customFormat="false" ht="15" hidden="false" customHeight="true" outlineLevel="0" collapsed="false">
      <c r="A9499" s="6" t="s">
        <v>12111</v>
      </c>
      <c r="B9499" s="6" t="s">
        <v>1959</v>
      </c>
      <c r="C9499" s="6" t="s">
        <v>128</v>
      </c>
      <c r="D9499" s="13" t="n">
        <v>44953</v>
      </c>
      <c r="E9499" s="14" t="n">
        <v>1254.23</v>
      </c>
      <c r="F9499" s="14" t="n">
        <v>20614.56</v>
      </c>
      <c r="G9499" s="6" t="s">
        <v>2623</v>
      </c>
    </row>
    <row r="9500" customFormat="false" ht="15" hidden="false" customHeight="true" outlineLevel="0" collapsed="false">
      <c r="A9500" s="6" t="s">
        <v>12112</v>
      </c>
      <c r="B9500" s="6" t="s">
        <v>1959</v>
      </c>
      <c r="C9500" s="6" t="s">
        <v>128</v>
      </c>
      <c r="D9500" s="13" t="n">
        <v>44960</v>
      </c>
      <c r="E9500" s="14" t="n">
        <v>1930.01</v>
      </c>
      <c r="F9500" s="14" t="n">
        <v>22544.57</v>
      </c>
      <c r="G9500" s="6" t="s">
        <v>2623</v>
      </c>
    </row>
    <row r="9501" customFormat="false" ht="15" hidden="false" customHeight="true" outlineLevel="0" collapsed="false">
      <c r="A9501" s="6" t="s">
        <v>12113</v>
      </c>
      <c r="B9501" s="6" t="s">
        <v>1959</v>
      </c>
      <c r="C9501" s="6" t="s">
        <v>128</v>
      </c>
      <c r="D9501" s="13" t="n">
        <v>44967</v>
      </c>
      <c r="E9501" s="14" t="n">
        <v>1831.27</v>
      </c>
      <c r="F9501" s="14" t="n">
        <v>24375.84</v>
      </c>
      <c r="G9501" s="6" t="s">
        <v>2613</v>
      </c>
    </row>
    <row r="9502" customFormat="false" ht="15" hidden="false" customHeight="true" outlineLevel="0" collapsed="false">
      <c r="A9502" s="6" t="s">
        <v>12114</v>
      </c>
      <c r="B9502" s="6" t="s">
        <v>1959</v>
      </c>
      <c r="C9502" s="6" t="s">
        <v>128</v>
      </c>
      <c r="D9502" s="13" t="n">
        <v>44974</v>
      </c>
      <c r="E9502" s="14" t="n">
        <v>2197.89</v>
      </c>
      <c r="F9502" s="14" t="n">
        <v>26573.73</v>
      </c>
      <c r="G9502" s="6" t="s">
        <v>2613</v>
      </c>
    </row>
    <row r="9503" customFormat="false" ht="15" hidden="false" customHeight="true" outlineLevel="0" collapsed="false">
      <c r="A9503" s="6" t="s">
        <v>12115</v>
      </c>
      <c r="B9503" s="6" t="s">
        <v>1959</v>
      </c>
      <c r="C9503" s="6" t="s">
        <v>128</v>
      </c>
      <c r="D9503" s="13" t="n">
        <v>44981</v>
      </c>
      <c r="E9503" s="14" t="n">
        <v>1465.56</v>
      </c>
      <c r="F9503" s="14" t="n">
        <v>28039.29</v>
      </c>
      <c r="G9503" s="6" t="s">
        <v>2613</v>
      </c>
    </row>
    <row r="9504" customFormat="false" ht="15" hidden="false" customHeight="true" outlineLevel="0" collapsed="false">
      <c r="A9504" s="6" t="s">
        <v>12116</v>
      </c>
      <c r="B9504" s="6" t="s">
        <v>1959</v>
      </c>
      <c r="C9504" s="6" t="s">
        <v>128</v>
      </c>
      <c r="D9504" s="13" t="n">
        <v>44988</v>
      </c>
      <c r="E9504" s="14" t="n">
        <v>1137.86</v>
      </c>
      <c r="F9504" s="14" t="n">
        <v>29177.15</v>
      </c>
      <c r="G9504" s="6" t="s">
        <v>2613</v>
      </c>
    </row>
    <row r="9505" customFormat="false" ht="15" hidden="false" customHeight="true" outlineLevel="0" collapsed="false">
      <c r="A9505" s="6" t="s">
        <v>12117</v>
      </c>
      <c r="B9505" s="6" t="s">
        <v>1961</v>
      </c>
      <c r="C9505" s="6" t="s">
        <v>116</v>
      </c>
      <c r="D9505" s="13" t="n">
        <v>45117</v>
      </c>
      <c r="E9505" s="14" t="n">
        <v>3465.38</v>
      </c>
      <c r="F9505" s="14" t="n">
        <v>3465.38</v>
      </c>
      <c r="G9505" s="6" t="s">
        <v>2613</v>
      </c>
    </row>
    <row r="9506" customFormat="false" ht="15" hidden="false" customHeight="true" outlineLevel="0" collapsed="false">
      <c r="A9506" s="6" t="s">
        <v>12118</v>
      </c>
      <c r="B9506" s="6" t="s">
        <v>1961</v>
      </c>
      <c r="C9506" s="6" t="s">
        <v>116</v>
      </c>
      <c r="D9506" s="13" t="n">
        <v>45124</v>
      </c>
      <c r="E9506" s="14" t="n">
        <v>3209.41</v>
      </c>
      <c r="F9506" s="14" t="n">
        <v>6674.79</v>
      </c>
      <c r="G9506" s="6" t="s">
        <v>2623</v>
      </c>
    </row>
    <row r="9507" customFormat="false" ht="15" hidden="false" customHeight="true" outlineLevel="0" collapsed="false">
      <c r="A9507" s="6" t="s">
        <v>12119</v>
      </c>
      <c r="B9507" s="6" t="s">
        <v>1961</v>
      </c>
      <c r="C9507" s="6" t="s">
        <v>116</v>
      </c>
      <c r="D9507" s="13" t="n">
        <v>45131</v>
      </c>
      <c r="E9507" s="14" t="n">
        <v>3714.16</v>
      </c>
      <c r="F9507" s="14" t="n">
        <v>10388.95</v>
      </c>
      <c r="G9507" s="6" t="s">
        <v>2613</v>
      </c>
    </row>
    <row r="9508" customFormat="false" ht="15" hidden="false" customHeight="true" outlineLevel="0" collapsed="false">
      <c r="A9508" s="6" t="s">
        <v>12120</v>
      </c>
      <c r="B9508" s="6" t="s">
        <v>1961</v>
      </c>
      <c r="C9508" s="6" t="s">
        <v>116</v>
      </c>
      <c r="D9508" s="13" t="n">
        <v>45138</v>
      </c>
      <c r="E9508" s="14" t="n">
        <v>4472.94</v>
      </c>
      <c r="F9508" s="14" t="n">
        <v>14861.89</v>
      </c>
      <c r="G9508" s="6" t="s">
        <v>2613</v>
      </c>
    </row>
    <row r="9509" customFormat="false" ht="15" hidden="false" customHeight="true" outlineLevel="0" collapsed="false">
      <c r="A9509" s="6" t="s">
        <v>12121</v>
      </c>
      <c r="B9509" s="6" t="s">
        <v>1961</v>
      </c>
      <c r="C9509" s="6" t="s">
        <v>116</v>
      </c>
      <c r="D9509" s="13" t="n">
        <v>45145</v>
      </c>
      <c r="E9509" s="14" t="n">
        <v>4872.34</v>
      </c>
      <c r="F9509" s="14" t="n">
        <v>19734.23</v>
      </c>
      <c r="G9509" s="6" t="s">
        <v>2613</v>
      </c>
    </row>
    <row r="9510" customFormat="false" ht="15" hidden="false" customHeight="true" outlineLevel="0" collapsed="false">
      <c r="A9510" s="6" t="s">
        <v>12122</v>
      </c>
      <c r="B9510" s="6" t="s">
        <v>1961</v>
      </c>
      <c r="C9510" s="6" t="s">
        <v>116</v>
      </c>
      <c r="D9510" s="13" t="n">
        <v>45152</v>
      </c>
      <c r="E9510" s="14" t="n">
        <v>12143.61</v>
      </c>
      <c r="F9510" s="14" t="n">
        <v>31877.84</v>
      </c>
      <c r="G9510" s="6" t="s">
        <v>2623</v>
      </c>
    </row>
    <row r="9511" customFormat="false" ht="15" hidden="false" customHeight="true" outlineLevel="0" collapsed="false">
      <c r="A9511" s="6" t="s">
        <v>12123</v>
      </c>
      <c r="B9511" s="6" t="s">
        <v>1963</v>
      </c>
      <c r="C9511" s="6" t="s">
        <v>124</v>
      </c>
      <c r="D9511" s="13" t="n">
        <v>45141</v>
      </c>
      <c r="E9511" s="14" t="n">
        <v>4087.99</v>
      </c>
      <c r="F9511" s="14" t="n">
        <v>4087.99</v>
      </c>
      <c r="G9511" s="6" t="s">
        <v>2613</v>
      </c>
    </row>
    <row r="9512" customFormat="false" ht="15" hidden="false" customHeight="true" outlineLevel="0" collapsed="false">
      <c r="A9512" s="6" t="s">
        <v>12124</v>
      </c>
      <c r="B9512" s="6" t="s">
        <v>1963</v>
      </c>
      <c r="C9512" s="6" t="s">
        <v>124</v>
      </c>
      <c r="D9512" s="13" t="n">
        <v>45148</v>
      </c>
      <c r="E9512" s="14" t="n">
        <v>3615.41</v>
      </c>
      <c r="F9512" s="14" t="n">
        <v>7703.4</v>
      </c>
      <c r="G9512" s="6" t="s">
        <v>2623</v>
      </c>
    </row>
    <row r="9513" customFormat="false" ht="15" hidden="false" customHeight="true" outlineLevel="0" collapsed="false">
      <c r="A9513" s="6" t="s">
        <v>12125</v>
      </c>
      <c r="B9513" s="6" t="s">
        <v>1963</v>
      </c>
      <c r="C9513" s="6" t="s">
        <v>124</v>
      </c>
      <c r="D9513" s="13" t="n">
        <v>45155</v>
      </c>
      <c r="E9513" s="14" t="n">
        <v>2507.97</v>
      </c>
      <c r="F9513" s="14" t="n">
        <v>10211.37</v>
      </c>
      <c r="G9513" s="6" t="s">
        <v>2623</v>
      </c>
    </row>
    <row r="9514" customFormat="false" ht="15" hidden="false" customHeight="true" outlineLevel="0" collapsed="false">
      <c r="A9514" s="6" t="s">
        <v>12126</v>
      </c>
      <c r="B9514" s="6" t="s">
        <v>1963</v>
      </c>
      <c r="C9514" s="6" t="s">
        <v>124</v>
      </c>
      <c r="D9514" s="13" t="n">
        <v>45162</v>
      </c>
      <c r="E9514" s="14" t="n">
        <v>3082.17</v>
      </c>
      <c r="F9514" s="14" t="n">
        <v>13293.54</v>
      </c>
      <c r="G9514" s="6" t="s">
        <v>2613</v>
      </c>
    </row>
    <row r="9515" customFormat="false" ht="15" hidden="false" customHeight="true" outlineLevel="0" collapsed="false">
      <c r="A9515" s="6" t="s">
        <v>12127</v>
      </c>
      <c r="B9515" s="6" t="s">
        <v>1963</v>
      </c>
      <c r="C9515" s="6" t="s">
        <v>124</v>
      </c>
      <c r="D9515" s="13" t="n">
        <v>45169</v>
      </c>
      <c r="E9515" s="14" t="n">
        <v>4025.02</v>
      </c>
      <c r="F9515" s="14" t="n">
        <v>17318.56</v>
      </c>
      <c r="G9515" s="6" t="s">
        <v>2613</v>
      </c>
    </row>
    <row r="9516" customFormat="false" ht="15" hidden="false" customHeight="true" outlineLevel="0" collapsed="false">
      <c r="A9516" s="6" t="s">
        <v>12128</v>
      </c>
      <c r="B9516" s="6" t="s">
        <v>1963</v>
      </c>
      <c r="C9516" s="6" t="s">
        <v>124</v>
      </c>
      <c r="D9516" s="13" t="n">
        <v>45176</v>
      </c>
      <c r="E9516" s="14" t="n">
        <v>2952.28</v>
      </c>
      <c r="F9516" s="14" t="n">
        <v>20270.84</v>
      </c>
      <c r="G9516" s="6" t="s">
        <v>2613</v>
      </c>
    </row>
    <row r="9517" customFormat="false" ht="15" hidden="false" customHeight="true" outlineLevel="0" collapsed="false">
      <c r="A9517" s="6" t="s">
        <v>12129</v>
      </c>
      <c r="B9517" s="6" t="s">
        <v>1963</v>
      </c>
      <c r="C9517" s="6" t="s">
        <v>124</v>
      </c>
      <c r="D9517" s="13" t="n">
        <v>45183</v>
      </c>
      <c r="E9517" s="14" t="n">
        <v>2268.81</v>
      </c>
      <c r="F9517" s="14" t="n">
        <v>22539.65</v>
      </c>
      <c r="G9517" s="6" t="s">
        <v>2613</v>
      </c>
    </row>
    <row r="9518" customFormat="false" ht="15" hidden="false" customHeight="true" outlineLevel="0" collapsed="false">
      <c r="A9518" s="6" t="s">
        <v>12130</v>
      </c>
      <c r="B9518" s="6" t="s">
        <v>1963</v>
      </c>
      <c r="C9518" s="6" t="s">
        <v>124</v>
      </c>
      <c r="D9518" s="13" t="n">
        <v>45190</v>
      </c>
      <c r="E9518" s="14" t="n">
        <v>3972.27</v>
      </c>
      <c r="F9518" s="14" t="n">
        <v>26511.92</v>
      </c>
      <c r="G9518" s="6" t="s">
        <v>2613</v>
      </c>
    </row>
    <row r="9519" customFormat="false" ht="15" hidden="false" customHeight="true" outlineLevel="0" collapsed="false">
      <c r="A9519" s="6" t="s">
        <v>12131</v>
      </c>
      <c r="B9519" s="6" t="s">
        <v>1963</v>
      </c>
      <c r="C9519" s="6" t="s">
        <v>124</v>
      </c>
      <c r="D9519" s="13" t="n">
        <v>45197</v>
      </c>
      <c r="E9519" s="14" t="n">
        <v>3878.46</v>
      </c>
      <c r="F9519" s="14" t="n">
        <v>30390.38</v>
      </c>
      <c r="G9519" s="6" t="s">
        <v>2613</v>
      </c>
    </row>
    <row r="9520" customFormat="false" ht="15" hidden="false" customHeight="true" outlineLevel="0" collapsed="false">
      <c r="A9520" s="6" t="s">
        <v>12132</v>
      </c>
      <c r="B9520" s="6" t="s">
        <v>1963</v>
      </c>
      <c r="C9520" s="6" t="s">
        <v>124</v>
      </c>
      <c r="D9520" s="13" t="n">
        <v>45204</v>
      </c>
      <c r="E9520" s="14" t="n">
        <v>4528.3</v>
      </c>
      <c r="F9520" s="14" t="n">
        <v>34918.68</v>
      </c>
      <c r="G9520" s="6" t="s">
        <v>2613</v>
      </c>
    </row>
    <row r="9521" customFormat="false" ht="15" hidden="false" customHeight="true" outlineLevel="0" collapsed="false">
      <c r="A9521" s="6" t="s">
        <v>12133</v>
      </c>
      <c r="B9521" s="6" t="s">
        <v>1963</v>
      </c>
      <c r="C9521" s="6" t="s">
        <v>124</v>
      </c>
      <c r="D9521" s="13" t="n">
        <v>45211</v>
      </c>
      <c r="E9521" s="14" t="n">
        <v>2659.09</v>
      </c>
      <c r="F9521" s="14" t="n">
        <v>37577.77</v>
      </c>
      <c r="G9521" s="6" t="s">
        <v>2613</v>
      </c>
    </row>
    <row r="9522" customFormat="false" ht="15" hidden="false" customHeight="true" outlineLevel="0" collapsed="false">
      <c r="A9522" s="6" t="s">
        <v>12134</v>
      </c>
      <c r="B9522" s="6" t="s">
        <v>1963</v>
      </c>
      <c r="C9522" s="6" t="s">
        <v>124</v>
      </c>
      <c r="D9522" s="13" t="n">
        <v>45218</v>
      </c>
      <c r="E9522" s="14" t="n">
        <v>2112.46</v>
      </c>
      <c r="F9522" s="14" t="n">
        <v>39690.23</v>
      </c>
      <c r="G9522" s="6" t="s">
        <v>2613</v>
      </c>
    </row>
    <row r="9523" customFormat="false" ht="15" hidden="false" customHeight="true" outlineLevel="0" collapsed="false">
      <c r="A9523" s="6" t="s">
        <v>12135</v>
      </c>
      <c r="B9523" s="6" t="s">
        <v>1965</v>
      </c>
      <c r="C9523" s="6" t="s">
        <v>116</v>
      </c>
      <c r="D9523" s="13" t="n">
        <v>45463</v>
      </c>
      <c r="E9523" s="14" t="n">
        <v>5290.15</v>
      </c>
      <c r="F9523" s="14" t="n">
        <v>5290.15</v>
      </c>
      <c r="G9523" s="6" t="s">
        <v>2613</v>
      </c>
    </row>
    <row r="9524" customFormat="false" ht="15" hidden="false" customHeight="true" outlineLevel="0" collapsed="false">
      <c r="A9524" s="6" t="s">
        <v>12136</v>
      </c>
      <c r="B9524" s="6" t="s">
        <v>1965</v>
      </c>
      <c r="C9524" s="6" t="s">
        <v>116</v>
      </c>
      <c r="D9524" s="13" t="n">
        <v>45470</v>
      </c>
      <c r="E9524" s="14" t="n">
        <v>6287.67</v>
      </c>
      <c r="F9524" s="14" t="n">
        <v>11577.82</v>
      </c>
      <c r="G9524" s="6" t="s">
        <v>2613</v>
      </c>
    </row>
    <row r="9525" customFormat="false" ht="15" hidden="false" customHeight="true" outlineLevel="0" collapsed="false">
      <c r="A9525" s="6" t="s">
        <v>12137</v>
      </c>
      <c r="B9525" s="6" t="s">
        <v>1965</v>
      </c>
      <c r="C9525" s="6" t="s">
        <v>116</v>
      </c>
      <c r="D9525" s="13" t="n">
        <v>45477</v>
      </c>
      <c r="E9525" s="14" t="n">
        <v>4868.9</v>
      </c>
      <c r="F9525" s="14" t="n">
        <v>16446.72</v>
      </c>
      <c r="G9525" s="6" t="s">
        <v>2623</v>
      </c>
    </row>
    <row r="9526" customFormat="false" ht="15" hidden="false" customHeight="true" outlineLevel="0" collapsed="false">
      <c r="A9526" s="6" t="s">
        <v>12138</v>
      </c>
      <c r="B9526" s="6" t="s">
        <v>1965</v>
      </c>
      <c r="C9526" s="6" t="s">
        <v>116</v>
      </c>
      <c r="D9526" s="13" t="n">
        <v>45484</v>
      </c>
      <c r="E9526" s="14" t="n">
        <v>5190.85</v>
      </c>
      <c r="F9526" s="14" t="n">
        <v>21637.57</v>
      </c>
      <c r="G9526" s="6" t="s">
        <v>2613</v>
      </c>
    </row>
    <row r="9527" customFormat="false" ht="15" hidden="false" customHeight="true" outlineLevel="0" collapsed="false">
      <c r="A9527" s="6" t="s">
        <v>12139</v>
      </c>
      <c r="B9527" s="6" t="s">
        <v>1965</v>
      </c>
      <c r="C9527" s="6" t="s">
        <v>116</v>
      </c>
      <c r="D9527" s="13" t="n">
        <v>45491</v>
      </c>
      <c r="E9527" s="14" t="n">
        <v>5084.45</v>
      </c>
      <c r="F9527" s="14" t="n">
        <v>26722.02</v>
      </c>
      <c r="G9527" s="6" t="s">
        <v>2613</v>
      </c>
    </row>
    <row r="9528" customFormat="false" ht="15" hidden="false" customHeight="true" outlineLevel="0" collapsed="false">
      <c r="A9528" s="6" t="s">
        <v>12140</v>
      </c>
      <c r="B9528" s="6" t="s">
        <v>1965</v>
      </c>
      <c r="C9528" s="6" t="s">
        <v>116</v>
      </c>
      <c r="D9528" s="13" t="n">
        <v>45498</v>
      </c>
      <c r="E9528" s="14" t="n">
        <v>4154.73</v>
      </c>
      <c r="F9528" s="14" t="n">
        <v>30876.75</v>
      </c>
      <c r="G9528" s="6" t="s">
        <v>2613</v>
      </c>
    </row>
    <row r="9529" customFormat="false" ht="15" hidden="false" customHeight="true" outlineLevel="0" collapsed="false">
      <c r="A9529" s="6" t="s">
        <v>12141</v>
      </c>
      <c r="B9529" s="6" t="s">
        <v>1965</v>
      </c>
      <c r="C9529" s="6" t="s">
        <v>116</v>
      </c>
      <c r="D9529" s="13" t="n">
        <v>45505</v>
      </c>
      <c r="E9529" s="14" t="n">
        <v>4644.59</v>
      </c>
      <c r="F9529" s="14" t="n">
        <v>35521.34</v>
      </c>
      <c r="G9529" s="6" t="s">
        <v>2613</v>
      </c>
    </row>
    <row r="9530" customFormat="false" ht="15" hidden="false" customHeight="true" outlineLevel="0" collapsed="false">
      <c r="A9530" s="6" t="s">
        <v>12142</v>
      </c>
      <c r="B9530" s="6" t="s">
        <v>1967</v>
      </c>
      <c r="C9530" s="6" t="s">
        <v>128</v>
      </c>
      <c r="D9530" s="13" t="n">
        <v>45737</v>
      </c>
      <c r="E9530" s="14" t="n">
        <v>2339.31</v>
      </c>
      <c r="F9530" s="14" t="n">
        <v>2339.31</v>
      </c>
      <c r="G9530" s="6" t="s">
        <v>2613</v>
      </c>
    </row>
    <row r="9531" customFormat="false" ht="15" hidden="false" customHeight="true" outlineLevel="0" collapsed="false">
      <c r="A9531" s="6" t="s">
        <v>12143</v>
      </c>
      <c r="B9531" s="6" t="s">
        <v>1967</v>
      </c>
      <c r="C9531" s="6" t="s">
        <v>128</v>
      </c>
      <c r="D9531" s="13" t="n">
        <v>45744</v>
      </c>
      <c r="E9531" s="14" t="n">
        <v>2787.34</v>
      </c>
      <c r="F9531" s="14" t="n">
        <v>5126.65</v>
      </c>
      <c r="G9531" s="6" t="s">
        <v>2613</v>
      </c>
    </row>
    <row r="9532" customFormat="false" ht="15" hidden="false" customHeight="true" outlineLevel="0" collapsed="false">
      <c r="A9532" s="6" t="s">
        <v>12144</v>
      </c>
      <c r="B9532" s="6" t="s">
        <v>1967</v>
      </c>
      <c r="C9532" s="6" t="s">
        <v>128</v>
      </c>
      <c r="D9532" s="13" t="n">
        <v>45751</v>
      </c>
      <c r="E9532" s="14" t="n">
        <v>2083.37</v>
      </c>
      <c r="F9532" s="14" t="n">
        <v>7210.02</v>
      </c>
      <c r="G9532" s="6" t="s">
        <v>2613</v>
      </c>
    </row>
    <row r="9533" customFormat="false" ht="15" hidden="false" customHeight="true" outlineLevel="0" collapsed="false">
      <c r="A9533" s="6" t="s">
        <v>12145</v>
      </c>
      <c r="B9533" s="6" t="s">
        <v>1967</v>
      </c>
      <c r="C9533" s="6" t="s">
        <v>128</v>
      </c>
      <c r="D9533" s="13" t="n">
        <v>45758</v>
      </c>
      <c r="E9533" s="14" t="n">
        <v>3128.55</v>
      </c>
      <c r="F9533" s="14" t="n">
        <v>10338.57</v>
      </c>
      <c r="G9533" s="6" t="s">
        <v>2613</v>
      </c>
    </row>
    <row r="9534" customFormat="false" ht="15" hidden="false" customHeight="true" outlineLevel="0" collapsed="false">
      <c r="A9534" s="6" t="s">
        <v>12146</v>
      </c>
      <c r="B9534" s="6" t="s">
        <v>1967</v>
      </c>
      <c r="C9534" s="6" t="s">
        <v>128</v>
      </c>
      <c r="D9534" s="13" t="n">
        <v>45765</v>
      </c>
      <c r="E9534" s="14" t="n">
        <v>2054.47</v>
      </c>
      <c r="F9534" s="14" t="n">
        <v>12393.04</v>
      </c>
      <c r="G9534" s="6" t="s">
        <v>2613</v>
      </c>
    </row>
    <row r="9535" customFormat="false" ht="15" hidden="false" customHeight="true" outlineLevel="0" collapsed="false">
      <c r="A9535" s="6" t="s">
        <v>12147</v>
      </c>
      <c r="B9535" s="6" t="s">
        <v>1967</v>
      </c>
      <c r="C9535" s="6" t="s">
        <v>128</v>
      </c>
      <c r="D9535" s="13" t="n">
        <v>45772</v>
      </c>
      <c r="E9535" s="14" t="n">
        <v>2216.26</v>
      </c>
      <c r="F9535" s="14" t="n">
        <v>14609.3</v>
      </c>
      <c r="G9535" s="6" t="s">
        <v>2613</v>
      </c>
    </row>
    <row r="9536" customFormat="false" ht="15" hidden="false" customHeight="true" outlineLevel="0" collapsed="false">
      <c r="A9536" s="6" t="s">
        <v>12148</v>
      </c>
      <c r="B9536" s="6" t="s">
        <v>1967</v>
      </c>
      <c r="C9536" s="6" t="s">
        <v>128</v>
      </c>
      <c r="D9536" s="13" t="n">
        <v>45779</v>
      </c>
      <c r="E9536" s="14" t="n">
        <v>1922.17</v>
      </c>
      <c r="F9536" s="14" t="n">
        <v>16531.47</v>
      </c>
      <c r="G9536" s="6" t="s">
        <v>2613</v>
      </c>
    </row>
    <row r="9537" customFormat="false" ht="15" hidden="false" customHeight="true" outlineLevel="0" collapsed="false">
      <c r="A9537" s="6" t="s">
        <v>12149</v>
      </c>
      <c r="B9537" s="6" t="s">
        <v>1967</v>
      </c>
      <c r="C9537" s="6" t="s">
        <v>128</v>
      </c>
      <c r="D9537" s="13" t="n">
        <v>45786</v>
      </c>
      <c r="E9537" s="14" t="n">
        <v>2268.99</v>
      </c>
      <c r="F9537" s="14" t="n">
        <v>18800.46</v>
      </c>
      <c r="G9537" s="6" t="s">
        <v>2623</v>
      </c>
    </row>
    <row r="9538" customFormat="false" ht="15" hidden="false" customHeight="true" outlineLevel="0" collapsed="false">
      <c r="A9538" s="6" t="s">
        <v>12150</v>
      </c>
      <c r="B9538" s="6" t="s">
        <v>1967</v>
      </c>
      <c r="C9538" s="6" t="s">
        <v>128</v>
      </c>
      <c r="D9538" s="13" t="n">
        <v>45793</v>
      </c>
      <c r="E9538" s="14" t="n">
        <v>4286.13</v>
      </c>
      <c r="F9538" s="14" t="n">
        <v>23086.59</v>
      </c>
      <c r="G9538" s="6" t="s">
        <v>2613</v>
      </c>
    </row>
    <row r="9539" customFormat="false" ht="15" hidden="false" customHeight="true" outlineLevel="0" collapsed="false">
      <c r="A9539" s="6" t="s">
        <v>12151</v>
      </c>
      <c r="B9539" s="6" t="s">
        <v>1969</v>
      </c>
      <c r="C9539" s="6" t="s">
        <v>124</v>
      </c>
      <c r="D9539" s="13" t="n">
        <v>45772</v>
      </c>
      <c r="E9539" s="14" t="n">
        <v>2772.68</v>
      </c>
      <c r="F9539" s="14" t="n">
        <v>2772.68</v>
      </c>
      <c r="G9539" s="6" t="s">
        <v>2613</v>
      </c>
    </row>
    <row r="9540" customFormat="false" ht="15" hidden="false" customHeight="true" outlineLevel="0" collapsed="false">
      <c r="A9540" s="6" t="s">
        <v>12152</v>
      </c>
      <c r="B9540" s="6" t="s">
        <v>1969</v>
      </c>
      <c r="C9540" s="6" t="s">
        <v>124</v>
      </c>
      <c r="D9540" s="13" t="n">
        <v>45779</v>
      </c>
      <c r="E9540" s="14" t="n">
        <v>2910.29</v>
      </c>
      <c r="F9540" s="14" t="n">
        <v>5682.97</v>
      </c>
      <c r="G9540" s="6" t="s">
        <v>2613</v>
      </c>
    </row>
    <row r="9541" customFormat="false" ht="15" hidden="false" customHeight="true" outlineLevel="0" collapsed="false">
      <c r="A9541" s="6" t="s">
        <v>12153</v>
      </c>
      <c r="B9541" s="6" t="s">
        <v>1969</v>
      </c>
      <c r="C9541" s="6" t="s">
        <v>124</v>
      </c>
      <c r="D9541" s="13" t="n">
        <v>45786</v>
      </c>
      <c r="E9541" s="14" t="n">
        <v>3206.92</v>
      </c>
      <c r="F9541" s="14" t="n">
        <v>8889.89</v>
      </c>
      <c r="G9541" s="6" t="s">
        <v>2613</v>
      </c>
    </row>
    <row r="9542" customFormat="false" ht="15" hidden="false" customHeight="true" outlineLevel="0" collapsed="false">
      <c r="A9542" s="6" t="s">
        <v>12154</v>
      </c>
      <c r="B9542" s="6" t="s">
        <v>1969</v>
      </c>
      <c r="C9542" s="6" t="s">
        <v>124</v>
      </c>
      <c r="D9542" s="13" t="n">
        <v>45793</v>
      </c>
      <c r="E9542" s="14" t="n">
        <v>3925.14</v>
      </c>
      <c r="F9542" s="14" t="n">
        <v>12815.03</v>
      </c>
      <c r="G9542" s="6" t="s">
        <v>2613</v>
      </c>
    </row>
    <row r="9543" customFormat="false" ht="15" hidden="false" customHeight="true" outlineLevel="0" collapsed="false">
      <c r="A9543" s="6" t="s">
        <v>12155</v>
      </c>
      <c r="B9543" s="6" t="s">
        <v>1969</v>
      </c>
      <c r="C9543" s="6" t="s">
        <v>124</v>
      </c>
      <c r="D9543" s="13" t="n">
        <v>45800</v>
      </c>
      <c r="E9543" s="14" t="n">
        <v>2252.73</v>
      </c>
      <c r="F9543" s="14" t="n">
        <v>15067.76</v>
      </c>
      <c r="G9543" s="6" t="s">
        <v>2613</v>
      </c>
    </row>
    <row r="9544" customFormat="false" ht="15" hidden="false" customHeight="true" outlineLevel="0" collapsed="false">
      <c r="A9544" s="6" t="s">
        <v>12156</v>
      </c>
      <c r="B9544" s="6" t="s">
        <v>1969</v>
      </c>
      <c r="C9544" s="6" t="s">
        <v>124</v>
      </c>
      <c r="D9544" s="13" t="n">
        <v>45807</v>
      </c>
      <c r="E9544" s="14" t="n">
        <v>2617.89</v>
      </c>
      <c r="F9544" s="14" t="n">
        <v>17685.65</v>
      </c>
      <c r="G9544" s="6" t="s">
        <v>2613</v>
      </c>
    </row>
    <row r="9545" customFormat="false" ht="15" hidden="false" customHeight="true" outlineLevel="0" collapsed="false">
      <c r="A9545" s="6" t="s">
        <v>12157</v>
      </c>
      <c r="B9545" s="6" t="s">
        <v>1969</v>
      </c>
      <c r="C9545" s="6" t="s">
        <v>124</v>
      </c>
      <c r="D9545" s="13" t="n">
        <v>45814</v>
      </c>
      <c r="E9545" s="14" t="n">
        <v>2376.58</v>
      </c>
      <c r="F9545" s="14" t="n">
        <v>20062.23</v>
      </c>
      <c r="G9545" s="6" t="s">
        <v>2613</v>
      </c>
    </row>
    <row r="9546" customFormat="false" ht="15" hidden="false" customHeight="true" outlineLevel="0" collapsed="false">
      <c r="A9546" s="6" t="s">
        <v>12158</v>
      </c>
      <c r="B9546" s="6" t="s">
        <v>1969</v>
      </c>
      <c r="C9546" s="6" t="s">
        <v>124</v>
      </c>
      <c r="D9546" s="13" t="n">
        <v>45821</v>
      </c>
      <c r="E9546" s="14" t="n">
        <v>3998.61</v>
      </c>
      <c r="F9546" s="14" t="n">
        <v>24060.84</v>
      </c>
      <c r="G9546" s="6" t="s">
        <v>2613</v>
      </c>
    </row>
    <row r="9547" customFormat="false" ht="15" hidden="false" customHeight="true" outlineLevel="0" collapsed="false">
      <c r="A9547" s="6" t="s">
        <v>12159</v>
      </c>
      <c r="B9547" s="6" t="s">
        <v>1971</v>
      </c>
      <c r="C9547" s="6" t="s">
        <v>131</v>
      </c>
      <c r="D9547" s="13" t="n">
        <v>45188</v>
      </c>
      <c r="E9547" s="14" t="n">
        <v>3478.3</v>
      </c>
      <c r="F9547" s="14" t="n">
        <v>3478.3</v>
      </c>
      <c r="G9547" s="6" t="s">
        <v>2613</v>
      </c>
    </row>
    <row r="9548" customFormat="false" ht="15" hidden="false" customHeight="true" outlineLevel="0" collapsed="false">
      <c r="A9548" s="6" t="s">
        <v>12160</v>
      </c>
      <c r="B9548" s="6" t="s">
        <v>1971</v>
      </c>
      <c r="C9548" s="6" t="s">
        <v>131</v>
      </c>
      <c r="D9548" s="13" t="n">
        <v>45195</v>
      </c>
      <c r="E9548" s="14" t="n">
        <v>3154</v>
      </c>
      <c r="F9548" s="14" t="n">
        <v>6632.3</v>
      </c>
      <c r="G9548" s="6" t="s">
        <v>2613</v>
      </c>
    </row>
    <row r="9549" customFormat="false" ht="15" hidden="false" customHeight="true" outlineLevel="0" collapsed="false">
      <c r="A9549" s="6" t="s">
        <v>12161</v>
      </c>
      <c r="B9549" s="6" t="s">
        <v>1971</v>
      </c>
      <c r="C9549" s="6" t="s">
        <v>131</v>
      </c>
      <c r="D9549" s="13" t="n">
        <v>45202</v>
      </c>
      <c r="E9549" s="14" t="n">
        <v>5243.34</v>
      </c>
      <c r="F9549" s="14" t="n">
        <v>11875.64</v>
      </c>
      <c r="G9549" s="6" t="s">
        <v>2613</v>
      </c>
    </row>
    <row r="9550" customFormat="false" ht="15" hidden="false" customHeight="true" outlineLevel="0" collapsed="false">
      <c r="A9550" s="6" t="s">
        <v>12162</v>
      </c>
      <c r="B9550" s="6" t="s">
        <v>1971</v>
      </c>
      <c r="C9550" s="6" t="s">
        <v>131</v>
      </c>
      <c r="D9550" s="13" t="n">
        <v>45209</v>
      </c>
      <c r="E9550" s="14" t="n">
        <v>2689.49</v>
      </c>
      <c r="F9550" s="14" t="n">
        <v>14565.13</v>
      </c>
      <c r="G9550" s="6" t="s">
        <v>2613</v>
      </c>
    </row>
    <row r="9551" customFormat="false" ht="15" hidden="false" customHeight="true" outlineLevel="0" collapsed="false">
      <c r="A9551" s="6" t="s">
        <v>12163</v>
      </c>
      <c r="B9551" s="6" t="s">
        <v>1971</v>
      </c>
      <c r="C9551" s="6" t="s">
        <v>131</v>
      </c>
      <c r="D9551" s="13" t="n">
        <v>45216</v>
      </c>
      <c r="E9551" s="14" t="n">
        <v>4530.85</v>
      </c>
      <c r="F9551" s="14" t="n">
        <v>19095.98</v>
      </c>
      <c r="G9551" s="6" t="s">
        <v>2613</v>
      </c>
    </row>
    <row r="9552" customFormat="false" ht="15" hidden="false" customHeight="true" outlineLevel="0" collapsed="false">
      <c r="A9552" s="6" t="s">
        <v>12164</v>
      </c>
      <c r="B9552" s="6" t="s">
        <v>1971</v>
      </c>
      <c r="C9552" s="6" t="s">
        <v>131</v>
      </c>
      <c r="D9552" s="13" t="n">
        <v>45223</v>
      </c>
      <c r="E9552" s="14" t="n">
        <v>2686.1</v>
      </c>
      <c r="F9552" s="14" t="n">
        <v>21782.08</v>
      </c>
      <c r="G9552" s="6" t="s">
        <v>2613</v>
      </c>
    </row>
    <row r="9553" customFormat="false" ht="15" hidden="false" customHeight="true" outlineLevel="0" collapsed="false">
      <c r="A9553" s="6" t="s">
        <v>12165</v>
      </c>
      <c r="B9553" s="6" t="s">
        <v>1971</v>
      </c>
      <c r="C9553" s="6" t="s">
        <v>131</v>
      </c>
      <c r="D9553" s="13" t="n">
        <v>45230</v>
      </c>
      <c r="E9553" s="14" t="n">
        <v>3284.05</v>
      </c>
      <c r="F9553" s="14" t="n">
        <v>25066.13</v>
      </c>
      <c r="G9553" s="6" t="s">
        <v>2613</v>
      </c>
    </row>
    <row r="9554" customFormat="false" ht="15" hidden="false" customHeight="true" outlineLevel="0" collapsed="false">
      <c r="A9554" s="6" t="s">
        <v>12166</v>
      </c>
      <c r="B9554" s="6" t="s">
        <v>1971</v>
      </c>
      <c r="C9554" s="6" t="s">
        <v>131</v>
      </c>
      <c r="D9554" s="13" t="n">
        <v>45237</v>
      </c>
      <c r="E9554" s="14" t="n">
        <v>5744.29</v>
      </c>
      <c r="F9554" s="14" t="n">
        <v>30810.42</v>
      </c>
      <c r="G9554" s="6" t="s">
        <v>2613</v>
      </c>
    </row>
    <row r="9555" customFormat="false" ht="15" hidden="false" customHeight="true" outlineLevel="0" collapsed="false">
      <c r="A9555" s="6" t="s">
        <v>12167</v>
      </c>
      <c r="B9555" s="6" t="s">
        <v>1971</v>
      </c>
      <c r="C9555" s="6" t="s">
        <v>131</v>
      </c>
      <c r="D9555" s="13" t="n">
        <v>45244</v>
      </c>
      <c r="E9555" s="14" t="n">
        <v>4541.71</v>
      </c>
      <c r="F9555" s="14" t="n">
        <v>35352.13</v>
      </c>
      <c r="G9555" s="6" t="s">
        <v>2613</v>
      </c>
    </row>
    <row r="9556" customFormat="false" ht="15" hidden="false" customHeight="true" outlineLevel="0" collapsed="false">
      <c r="A9556" s="6" t="s">
        <v>12168</v>
      </c>
      <c r="B9556" s="6" t="s">
        <v>1971</v>
      </c>
      <c r="C9556" s="6" t="s">
        <v>131</v>
      </c>
      <c r="D9556" s="13" t="n">
        <v>45251</v>
      </c>
      <c r="E9556" s="14" t="n">
        <v>5820.86</v>
      </c>
      <c r="F9556" s="14" t="n">
        <v>41172.99</v>
      </c>
      <c r="G9556" s="6" t="s">
        <v>2623</v>
      </c>
    </row>
    <row r="9557" customFormat="false" ht="15" hidden="false" customHeight="true" outlineLevel="0" collapsed="false">
      <c r="A9557" s="6" t="s">
        <v>12169</v>
      </c>
      <c r="B9557" s="6" t="s">
        <v>1971</v>
      </c>
      <c r="C9557" s="6" t="s">
        <v>131</v>
      </c>
      <c r="D9557" s="13" t="n">
        <v>45258</v>
      </c>
      <c r="E9557" s="14" t="n">
        <v>8051.02</v>
      </c>
      <c r="F9557" s="14" t="n">
        <v>49224.01</v>
      </c>
      <c r="G9557" s="6" t="s">
        <v>2613</v>
      </c>
    </row>
    <row r="9558" customFormat="false" ht="15" hidden="false" customHeight="true" outlineLevel="0" collapsed="false">
      <c r="A9558" s="6" t="s">
        <v>12170</v>
      </c>
      <c r="B9558" s="6" t="s">
        <v>1973</v>
      </c>
      <c r="C9558" s="6" t="s">
        <v>120</v>
      </c>
      <c r="D9558" s="13" t="n">
        <v>45813</v>
      </c>
      <c r="E9558" s="14" t="n">
        <v>887.47</v>
      </c>
      <c r="F9558" s="14" t="n">
        <v>887.47</v>
      </c>
      <c r="G9558" s="6" t="s">
        <v>2613</v>
      </c>
    </row>
    <row r="9559" customFormat="false" ht="15" hidden="false" customHeight="true" outlineLevel="0" collapsed="false">
      <c r="A9559" s="6" t="s">
        <v>12171</v>
      </c>
      <c r="B9559" s="6" t="s">
        <v>1973</v>
      </c>
      <c r="C9559" s="6" t="s">
        <v>120</v>
      </c>
      <c r="D9559" s="13" t="n">
        <v>45820</v>
      </c>
      <c r="E9559" s="14" t="n">
        <v>1449.14</v>
      </c>
      <c r="F9559" s="14" t="n">
        <v>2336.61</v>
      </c>
      <c r="G9559" s="6" t="s">
        <v>2613</v>
      </c>
    </row>
    <row r="9560" customFormat="false" ht="15" hidden="false" customHeight="true" outlineLevel="0" collapsed="false">
      <c r="A9560" s="6" t="s">
        <v>12172</v>
      </c>
      <c r="B9560" s="6" t="s">
        <v>1973</v>
      </c>
      <c r="C9560" s="6" t="s">
        <v>120</v>
      </c>
      <c r="D9560" s="13" t="n">
        <v>45827</v>
      </c>
      <c r="E9560" s="14" t="n">
        <v>1536.67</v>
      </c>
      <c r="F9560" s="14" t="n">
        <v>3873.28</v>
      </c>
      <c r="G9560" s="6" t="s">
        <v>2613</v>
      </c>
    </row>
    <row r="9561" customFormat="false" ht="15" hidden="false" customHeight="true" outlineLevel="0" collapsed="false">
      <c r="A9561" s="6" t="s">
        <v>12173</v>
      </c>
      <c r="B9561" s="6" t="s">
        <v>1973</v>
      </c>
      <c r="C9561" s="6" t="s">
        <v>120</v>
      </c>
      <c r="D9561" s="13" t="n">
        <v>45834</v>
      </c>
      <c r="E9561" s="14" t="n">
        <v>1251.92</v>
      </c>
      <c r="F9561" s="14" t="n">
        <v>5125.2</v>
      </c>
      <c r="G9561" s="6" t="s">
        <v>2613</v>
      </c>
    </row>
    <row r="9562" customFormat="false" ht="15" hidden="false" customHeight="true" outlineLevel="0" collapsed="false">
      <c r="A9562" s="6" t="s">
        <v>12174</v>
      </c>
      <c r="B9562" s="6" t="s">
        <v>1973</v>
      </c>
      <c r="C9562" s="6" t="s">
        <v>120</v>
      </c>
      <c r="D9562" s="13" t="n">
        <v>45841</v>
      </c>
      <c r="E9562" s="14" t="n">
        <v>1406.91</v>
      </c>
      <c r="F9562" s="14" t="n">
        <v>6532.11</v>
      </c>
      <c r="G9562" s="6" t="s">
        <v>2613</v>
      </c>
    </row>
    <row r="9563" customFormat="false" ht="15" hidden="false" customHeight="true" outlineLevel="0" collapsed="false">
      <c r="A9563" s="6" t="s">
        <v>12175</v>
      </c>
      <c r="B9563" s="6" t="s">
        <v>1973</v>
      </c>
      <c r="C9563" s="6" t="s">
        <v>120</v>
      </c>
      <c r="D9563" s="13" t="n">
        <v>45848</v>
      </c>
      <c r="E9563" s="14" t="n">
        <v>1495.33</v>
      </c>
      <c r="F9563" s="14" t="n">
        <v>8027.44</v>
      </c>
      <c r="G9563" s="6" t="s">
        <v>2613</v>
      </c>
    </row>
    <row r="9564" customFormat="false" ht="15" hidden="false" customHeight="true" outlineLevel="0" collapsed="false">
      <c r="A9564" s="6" t="s">
        <v>12176</v>
      </c>
      <c r="B9564" s="6" t="s">
        <v>1973</v>
      </c>
      <c r="C9564" s="6" t="s">
        <v>120</v>
      </c>
      <c r="D9564" s="13" t="n">
        <v>45855</v>
      </c>
      <c r="E9564" s="14" t="n">
        <v>1211</v>
      </c>
      <c r="F9564" s="14" t="n">
        <v>9238.44</v>
      </c>
      <c r="G9564" s="6" t="s">
        <v>2623</v>
      </c>
    </row>
    <row r="9565" customFormat="false" ht="15" hidden="false" customHeight="true" outlineLevel="0" collapsed="false">
      <c r="A9565" s="6" t="s">
        <v>12177</v>
      </c>
      <c r="B9565" s="6" t="s">
        <v>1973</v>
      </c>
      <c r="C9565" s="6" t="s">
        <v>120</v>
      </c>
      <c r="D9565" s="13" t="n">
        <v>45862</v>
      </c>
      <c r="E9565" s="14" t="n">
        <v>1117.35</v>
      </c>
      <c r="F9565" s="14" t="n">
        <v>10355.79</v>
      </c>
      <c r="G9565" s="6" t="s">
        <v>2613</v>
      </c>
    </row>
    <row r="9566" customFormat="false" ht="15" hidden="false" customHeight="true" outlineLevel="0" collapsed="false">
      <c r="A9566" s="6" t="s">
        <v>12178</v>
      </c>
      <c r="B9566" s="6" t="s">
        <v>1973</v>
      </c>
      <c r="C9566" s="6" t="s">
        <v>120</v>
      </c>
      <c r="D9566" s="13" t="n">
        <v>45869</v>
      </c>
      <c r="E9566" s="14" t="n">
        <v>269.05</v>
      </c>
      <c r="F9566" s="14" t="n">
        <v>10624.84</v>
      </c>
      <c r="G9566" s="6" t="s">
        <v>2623</v>
      </c>
    </row>
    <row r="9567" customFormat="false" ht="15" hidden="false" customHeight="true" outlineLevel="0" collapsed="false">
      <c r="A9567" s="6" t="s">
        <v>12179</v>
      </c>
      <c r="B9567" s="6" t="s">
        <v>1975</v>
      </c>
      <c r="C9567" s="6" t="s">
        <v>112</v>
      </c>
      <c r="D9567" s="13" t="n">
        <v>46169</v>
      </c>
      <c r="E9567" s="14" t="n">
        <v>3995.56</v>
      </c>
      <c r="F9567" s="14" t="n">
        <v>3995.56</v>
      </c>
      <c r="G9567" s="6" t="s">
        <v>2613</v>
      </c>
    </row>
    <row r="9568" customFormat="false" ht="15" hidden="false" customHeight="true" outlineLevel="0" collapsed="false">
      <c r="A9568" s="6" t="s">
        <v>12180</v>
      </c>
      <c r="B9568" s="6" t="s">
        <v>1975</v>
      </c>
      <c r="C9568" s="6" t="s">
        <v>112</v>
      </c>
      <c r="D9568" s="13" t="n">
        <v>46176</v>
      </c>
      <c r="E9568" s="14" t="n">
        <v>7561.24</v>
      </c>
      <c r="F9568" s="14" t="n">
        <v>11556.8</v>
      </c>
      <c r="G9568" s="6" t="s">
        <v>2613</v>
      </c>
    </row>
    <row r="9569" customFormat="false" ht="15" hidden="false" customHeight="true" outlineLevel="0" collapsed="false">
      <c r="A9569" s="6" t="s">
        <v>12181</v>
      </c>
      <c r="B9569" s="6" t="s">
        <v>1975</v>
      </c>
      <c r="C9569" s="6" t="s">
        <v>112</v>
      </c>
      <c r="D9569" s="13" t="n">
        <v>46183</v>
      </c>
      <c r="E9569" s="14" t="n">
        <v>4341.63</v>
      </c>
      <c r="F9569" s="14" t="n">
        <v>15898.43</v>
      </c>
      <c r="G9569" s="6" t="s">
        <v>2613</v>
      </c>
    </row>
    <row r="9570" customFormat="false" ht="15" hidden="false" customHeight="true" outlineLevel="0" collapsed="false">
      <c r="A9570" s="6" t="s">
        <v>12182</v>
      </c>
      <c r="B9570" s="6" t="s">
        <v>1975</v>
      </c>
      <c r="C9570" s="6" t="s">
        <v>112</v>
      </c>
      <c r="D9570" s="13" t="n">
        <v>46190</v>
      </c>
      <c r="E9570" s="14" t="n">
        <v>5051.28</v>
      </c>
      <c r="F9570" s="14" t="n">
        <v>20949.71</v>
      </c>
      <c r="G9570" s="6" t="s">
        <v>2613</v>
      </c>
    </row>
    <row r="9571" customFormat="false" ht="15" hidden="false" customHeight="true" outlineLevel="0" collapsed="false">
      <c r="A9571" s="6" t="s">
        <v>12183</v>
      </c>
      <c r="B9571" s="6" t="s">
        <v>1975</v>
      </c>
      <c r="C9571" s="6" t="s">
        <v>112</v>
      </c>
      <c r="D9571" s="13" t="n">
        <v>46197</v>
      </c>
      <c r="E9571" s="14" t="n">
        <v>4292.14</v>
      </c>
      <c r="F9571" s="14" t="n">
        <v>25241.85</v>
      </c>
      <c r="G9571" s="6" t="s">
        <v>2613</v>
      </c>
    </row>
    <row r="9572" customFormat="false" ht="15" hidden="false" customHeight="true" outlineLevel="0" collapsed="false">
      <c r="A9572" s="6" t="s">
        <v>12184</v>
      </c>
      <c r="B9572" s="6" t="s">
        <v>1975</v>
      </c>
      <c r="C9572" s="6" t="s">
        <v>112</v>
      </c>
      <c r="D9572" s="13" t="n">
        <v>46204</v>
      </c>
      <c r="E9572" s="14" t="n">
        <v>6907.66</v>
      </c>
      <c r="F9572" s="14" t="n">
        <v>32149.51</v>
      </c>
      <c r="G9572" s="6" t="s">
        <v>2613</v>
      </c>
    </row>
    <row r="9573" customFormat="false" ht="15" hidden="false" customHeight="true" outlineLevel="0" collapsed="false">
      <c r="A9573" s="6" t="s">
        <v>12185</v>
      </c>
      <c r="B9573" s="6" t="s">
        <v>1975</v>
      </c>
      <c r="C9573" s="6" t="s">
        <v>112</v>
      </c>
      <c r="D9573" s="13" t="n">
        <v>46211</v>
      </c>
      <c r="E9573" s="14" t="n">
        <v>4607.42</v>
      </c>
      <c r="F9573" s="14" t="n">
        <v>36756.93</v>
      </c>
      <c r="G9573" s="6" t="s">
        <v>2613</v>
      </c>
    </row>
    <row r="9574" customFormat="false" ht="15" hidden="false" customHeight="true" outlineLevel="0" collapsed="false">
      <c r="A9574" s="6" t="s">
        <v>12186</v>
      </c>
      <c r="B9574" s="6" t="s">
        <v>1975</v>
      </c>
      <c r="C9574" s="6" t="s">
        <v>112</v>
      </c>
      <c r="D9574" s="13" t="n">
        <v>46218</v>
      </c>
      <c r="E9574" s="14" t="n">
        <v>8811.13</v>
      </c>
      <c r="F9574" s="14" t="n">
        <v>45568.06</v>
      </c>
      <c r="G9574" s="6" t="s">
        <v>2613</v>
      </c>
    </row>
    <row r="9575" customFormat="false" ht="15" hidden="false" customHeight="true" outlineLevel="0" collapsed="false">
      <c r="A9575" s="6" t="s">
        <v>12187</v>
      </c>
      <c r="B9575" s="6" t="s">
        <v>1975</v>
      </c>
      <c r="C9575" s="6" t="s">
        <v>112</v>
      </c>
      <c r="D9575" s="13" t="n">
        <v>46225</v>
      </c>
      <c r="E9575" s="14" t="n">
        <v>5286.57</v>
      </c>
      <c r="F9575" s="14" t="n">
        <v>50854.63</v>
      </c>
      <c r="G9575" s="6" t="s">
        <v>2613</v>
      </c>
    </row>
    <row r="9576" customFormat="false" ht="15" hidden="false" customHeight="true" outlineLevel="0" collapsed="false">
      <c r="A9576" s="6" t="s">
        <v>12188</v>
      </c>
      <c r="B9576" s="6" t="s">
        <v>1975</v>
      </c>
      <c r="C9576" s="6" t="s">
        <v>112</v>
      </c>
      <c r="D9576" s="13" t="n">
        <v>46232</v>
      </c>
      <c r="E9576" s="14" t="n">
        <v>8819.75</v>
      </c>
      <c r="F9576" s="14" t="n">
        <v>59674.38</v>
      </c>
      <c r="G9576" s="6" t="s">
        <v>2613</v>
      </c>
    </row>
    <row r="9577" customFormat="false" ht="15" hidden="false" customHeight="true" outlineLevel="0" collapsed="false">
      <c r="A9577" s="6" t="s">
        <v>12189</v>
      </c>
      <c r="B9577" s="6" t="s">
        <v>1975</v>
      </c>
      <c r="C9577" s="6" t="s">
        <v>112</v>
      </c>
      <c r="D9577" s="13" t="n">
        <v>46239</v>
      </c>
      <c r="E9577" s="14" t="n">
        <v>6394.79</v>
      </c>
      <c r="F9577" s="14" t="n">
        <v>66069.17</v>
      </c>
      <c r="G9577" s="6" t="s">
        <v>2613</v>
      </c>
    </row>
    <row r="9578" customFormat="false" ht="15" hidden="false" customHeight="true" outlineLevel="0" collapsed="false">
      <c r="A9578" s="6" t="s">
        <v>12190</v>
      </c>
      <c r="B9578" s="6" t="s">
        <v>1975</v>
      </c>
      <c r="C9578" s="6" t="s">
        <v>112</v>
      </c>
      <c r="D9578" s="13" t="n">
        <v>46246</v>
      </c>
      <c r="E9578" s="14" t="n">
        <v>12043.07</v>
      </c>
      <c r="F9578" s="14" t="n">
        <v>78112.24</v>
      </c>
      <c r="G9578" s="6" t="s">
        <v>2613</v>
      </c>
    </row>
    <row r="9579" customFormat="false" ht="15" hidden="false" customHeight="true" outlineLevel="0" collapsed="false">
      <c r="A9579" s="6" t="s">
        <v>12191</v>
      </c>
      <c r="B9579" s="6" t="s">
        <v>1977</v>
      </c>
      <c r="C9579" s="6" t="s">
        <v>124</v>
      </c>
      <c r="D9579" s="13" t="n">
        <v>44940</v>
      </c>
      <c r="E9579" s="14" t="n">
        <v>2225.21</v>
      </c>
      <c r="F9579" s="14" t="n">
        <v>2225.21</v>
      </c>
      <c r="G9579" s="6" t="s">
        <v>2613</v>
      </c>
    </row>
    <row r="9580" customFormat="false" ht="15" hidden="false" customHeight="true" outlineLevel="0" collapsed="false">
      <c r="A9580" s="6" t="s">
        <v>12192</v>
      </c>
      <c r="B9580" s="6" t="s">
        <v>1977</v>
      </c>
      <c r="C9580" s="6" t="s">
        <v>124</v>
      </c>
      <c r="D9580" s="13" t="n">
        <v>44947</v>
      </c>
      <c r="E9580" s="14" t="n">
        <v>2089.38</v>
      </c>
      <c r="F9580" s="14" t="n">
        <v>4314.59</v>
      </c>
      <c r="G9580" s="6" t="s">
        <v>2613</v>
      </c>
    </row>
    <row r="9581" customFormat="false" ht="15" hidden="false" customHeight="true" outlineLevel="0" collapsed="false">
      <c r="A9581" s="6" t="s">
        <v>12193</v>
      </c>
      <c r="B9581" s="6" t="s">
        <v>1977</v>
      </c>
      <c r="C9581" s="6" t="s">
        <v>124</v>
      </c>
      <c r="D9581" s="13" t="n">
        <v>44954</v>
      </c>
      <c r="E9581" s="14" t="n">
        <v>2604.4</v>
      </c>
      <c r="F9581" s="14" t="n">
        <v>6918.99</v>
      </c>
      <c r="G9581" s="6" t="s">
        <v>2613</v>
      </c>
    </row>
    <row r="9582" customFormat="false" ht="15" hidden="false" customHeight="true" outlineLevel="0" collapsed="false">
      <c r="A9582" s="6" t="s">
        <v>12194</v>
      </c>
      <c r="B9582" s="6" t="s">
        <v>1977</v>
      </c>
      <c r="C9582" s="6" t="s">
        <v>124</v>
      </c>
      <c r="D9582" s="13" t="n">
        <v>44961</v>
      </c>
      <c r="E9582" s="14" t="n">
        <v>2358.83</v>
      </c>
      <c r="F9582" s="14" t="n">
        <v>9277.82</v>
      </c>
      <c r="G9582" s="6" t="s">
        <v>2613</v>
      </c>
    </row>
    <row r="9583" customFormat="false" ht="15" hidden="false" customHeight="true" outlineLevel="0" collapsed="false">
      <c r="A9583" s="6" t="s">
        <v>12195</v>
      </c>
      <c r="B9583" s="6" t="s">
        <v>1977</v>
      </c>
      <c r="C9583" s="6" t="s">
        <v>124</v>
      </c>
      <c r="D9583" s="13" t="n">
        <v>44968</v>
      </c>
      <c r="E9583" s="14" t="n">
        <v>1760.46</v>
      </c>
      <c r="F9583" s="14" t="n">
        <v>11038.28</v>
      </c>
      <c r="G9583" s="6" t="s">
        <v>2613</v>
      </c>
    </row>
    <row r="9584" customFormat="false" ht="15" hidden="false" customHeight="true" outlineLevel="0" collapsed="false">
      <c r="A9584" s="6" t="s">
        <v>12196</v>
      </c>
      <c r="B9584" s="6" t="s">
        <v>1977</v>
      </c>
      <c r="C9584" s="6" t="s">
        <v>124</v>
      </c>
      <c r="D9584" s="13" t="n">
        <v>44975</v>
      </c>
      <c r="E9584" s="14" t="n">
        <v>1258.86</v>
      </c>
      <c r="F9584" s="14" t="n">
        <v>12297.14</v>
      </c>
      <c r="G9584" s="6" t="s">
        <v>2613</v>
      </c>
    </row>
    <row r="9585" customFormat="false" ht="15" hidden="false" customHeight="true" outlineLevel="0" collapsed="false">
      <c r="A9585" s="6" t="s">
        <v>12197</v>
      </c>
      <c r="B9585" s="6" t="s">
        <v>1977</v>
      </c>
      <c r="C9585" s="6" t="s">
        <v>124</v>
      </c>
      <c r="D9585" s="13" t="n">
        <v>44982</v>
      </c>
      <c r="E9585" s="14" t="n">
        <v>1947.12</v>
      </c>
      <c r="F9585" s="14" t="n">
        <v>14244.26</v>
      </c>
      <c r="G9585" s="6" t="s">
        <v>2623</v>
      </c>
    </row>
    <row r="9586" customFormat="false" ht="15" hidden="false" customHeight="true" outlineLevel="0" collapsed="false">
      <c r="A9586" s="6" t="s">
        <v>12198</v>
      </c>
      <c r="B9586" s="6" t="s">
        <v>1977</v>
      </c>
      <c r="C9586" s="6" t="s">
        <v>124</v>
      </c>
      <c r="D9586" s="13" t="n">
        <v>44989</v>
      </c>
      <c r="E9586" s="14" t="n">
        <v>2079.76</v>
      </c>
      <c r="F9586" s="14" t="n">
        <v>16324.02</v>
      </c>
      <c r="G9586" s="6" t="s">
        <v>2613</v>
      </c>
    </row>
    <row r="9587" customFormat="false" ht="15" hidden="false" customHeight="true" outlineLevel="0" collapsed="false">
      <c r="A9587" s="6" t="s">
        <v>12199</v>
      </c>
      <c r="B9587" s="6" t="s">
        <v>1977</v>
      </c>
      <c r="C9587" s="6" t="s">
        <v>124</v>
      </c>
      <c r="D9587" s="13" t="n">
        <v>44996</v>
      </c>
      <c r="E9587" s="14" t="n">
        <v>2335.61</v>
      </c>
      <c r="F9587" s="14" t="n">
        <v>18659.63</v>
      </c>
      <c r="G9587" s="6" t="s">
        <v>2613</v>
      </c>
    </row>
    <row r="9588" customFormat="false" ht="15" hidden="false" customHeight="true" outlineLevel="0" collapsed="false">
      <c r="A9588" s="6" t="s">
        <v>12200</v>
      </c>
      <c r="B9588" s="6" t="s">
        <v>1979</v>
      </c>
      <c r="C9588" s="6" t="s">
        <v>116</v>
      </c>
      <c r="D9588" s="13" t="n">
        <v>45609</v>
      </c>
      <c r="E9588" s="14" t="n">
        <v>7823.72</v>
      </c>
      <c r="F9588" s="14" t="n">
        <v>7823.72</v>
      </c>
      <c r="G9588" s="6" t="s">
        <v>2623</v>
      </c>
    </row>
    <row r="9589" customFormat="false" ht="15" hidden="false" customHeight="true" outlineLevel="0" collapsed="false">
      <c r="A9589" s="6" t="s">
        <v>12201</v>
      </c>
      <c r="B9589" s="6" t="s">
        <v>1979</v>
      </c>
      <c r="C9589" s="6" t="s">
        <v>116</v>
      </c>
      <c r="D9589" s="13" t="n">
        <v>45616</v>
      </c>
      <c r="E9589" s="14" t="n">
        <v>3921.66</v>
      </c>
      <c r="F9589" s="14" t="n">
        <v>11745.38</v>
      </c>
      <c r="G9589" s="6" t="s">
        <v>2613</v>
      </c>
    </row>
    <row r="9590" customFormat="false" ht="15" hidden="false" customHeight="true" outlineLevel="0" collapsed="false">
      <c r="A9590" s="6" t="s">
        <v>12202</v>
      </c>
      <c r="B9590" s="6" t="s">
        <v>1981</v>
      </c>
      <c r="C9590" s="6" t="s">
        <v>116</v>
      </c>
      <c r="D9590" s="13" t="n">
        <v>45737</v>
      </c>
      <c r="E9590" s="14" t="n">
        <v>4232.31</v>
      </c>
      <c r="F9590" s="14" t="n">
        <v>4232.31</v>
      </c>
      <c r="G9590" s="6" t="s">
        <v>2613</v>
      </c>
    </row>
    <row r="9591" customFormat="false" ht="15" hidden="false" customHeight="true" outlineLevel="0" collapsed="false">
      <c r="A9591" s="6" t="s">
        <v>12203</v>
      </c>
      <c r="B9591" s="6" t="s">
        <v>1981</v>
      </c>
      <c r="C9591" s="6" t="s">
        <v>116</v>
      </c>
      <c r="D9591" s="13" t="n">
        <v>45744</v>
      </c>
      <c r="E9591" s="14" t="n">
        <v>4139.22</v>
      </c>
      <c r="F9591" s="14" t="n">
        <v>8371.53</v>
      </c>
      <c r="G9591" s="6" t="s">
        <v>2613</v>
      </c>
    </row>
    <row r="9592" customFormat="false" ht="15" hidden="false" customHeight="true" outlineLevel="0" collapsed="false">
      <c r="A9592" s="6" t="s">
        <v>12204</v>
      </c>
      <c r="B9592" s="6" t="s">
        <v>1981</v>
      </c>
      <c r="C9592" s="6" t="s">
        <v>116</v>
      </c>
      <c r="D9592" s="13" t="n">
        <v>45751</v>
      </c>
      <c r="E9592" s="14" t="n">
        <v>4320.83</v>
      </c>
      <c r="F9592" s="14" t="n">
        <v>12692.36</v>
      </c>
      <c r="G9592" s="6" t="s">
        <v>2613</v>
      </c>
    </row>
    <row r="9593" customFormat="false" ht="15" hidden="false" customHeight="true" outlineLevel="0" collapsed="false">
      <c r="A9593" s="6" t="s">
        <v>12205</v>
      </c>
      <c r="B9593" s="6" t="s">
        <v>1981</v>
      </c>
      <c r="C9593" s="6" t="s">
        <v>116</v>
      </c>
      <c r="D9593" s="13" t="n">
        <v>45758</v>
      </c>
      <c r="E9593" s="14" t="n">
        <v>8442.05</v>
      </c>
      <c r="F9593" s="14" t="n">
        <v>21134.41</v>
      </c>
      <c r="G9593" s="6" t="s">
        <v>2613</v>
      </c>
    </row>
    <row r="9594" customFormat="false" ht="15" hidden="false" customHeight="true" outlineLevel="0" collapsed="false">
      <c r="A9594" s="6" t="s">
        <v>12206</v>
      </c>
      <c r="B9594" s="6" t="s">
        <v>1981</v>
      </c>
      <c r="C9594" s="6" t="s">
        <v>116</v>
      </c>
      <c r="D9594" s="13" t="n">
        <v>45765</v>
      </c>
      <c r="E9594" s="14" t="n">
        <v>4006.93</v>
      </c>
      <c r="F9594" s="14" t="n">
        <v>25141.34</v>
      </c>
      <c r="G9594" s="6" t="s">
        <v>2613</v>
      </c>
    </row>
    <row r="9595" customFormat="false" ht="15" hidden="false" customHeight="true" outlineLevel="0" collapsed="false">
      <c r="A9595" s="6" t="s">
        <v>12207</v>
      </c>
      <c r="B9595" s="6" t="s">
        <v>1981</v>
      </c>
      <c r="C9595" s="6" t="s">
        <v>116</v>
      </c>
      <c r="D9595" s="13" t="n">
        <v>45772</v>
      </c>
      <c r="E9595" s="14" t="n">
        <v>8142.42</v>
      </c>
      <c r="F9595" s="14" t="n">
        <v>33283.76</v>
      </c>
      <c r="G9595" s="6" t="s">
        <v>2613</v>
      </c>
    </row>
    <row r="9596" customFormat="false" ht="15" hidden="false" customHeight="true" outlineLevel="0" collapsed="false">
      <c r="A9596" s="6" t="s">
        <v>12208</v>
      </c>
      <c r="B9596" s="6" t="s">
        <v>1981</v>
      </c>
      <c r="C9596" s="6" t="s">
        <v>116</v>
      </c>
      <c r="D9596" s="13" t="n">
        <v>45779</v>
      </c>
      <c r="E9596" s="14" t="n">
        <v>8966.19</v>
      </c>
      <c r="F9596" s="14" t="n">
        <v>42249.95</v>
      </c>
      <c r="G9596" s="6" t="s">
        <v>2613</v>
      </c>
    </row>
    <row r="9597" customFormat="false" ht="15" hidden="false" customHeight="true" outlineLevel="0" collapsed="false">
      <c r="A9597" s="6" t="s">
        <v>12209</v>
      </c>
      <c r="B9597" s="6" t="s">
        <v>1981</v>
      </c>
      <c r="C9597" s="6" t="s">
        <v>116</v>
      </c>
      <c r="D9597" s="13" t="n">
        <v>45786</v>
      </c>
      <c r="E9597" s="14" t="n">
        <v>8050.48</v>
      </c>
      <c r="F9597" s="14" t="n">
        <v>50300.43</v>
      </c>
      <c r="G9597" s="6" t="s">
        <v>2613</v>
      </c>
    </row>
    <row r="9598" customFormat="false" ht="15" hidden="false" customHeight="true" outlineLevel="0" collapsed="false">
      <c r="A9598" s="6" t="s">
        <v>12210</v>
      </c>
      <c r="B9598" s="6" t="s">
        <v>1981</v>
      </c>
      <c r="C9598" s="6" t="s">
        <v>116</v>
      </c>
      <c r="D9598" s="13" t="n">
        <v>45793</v>
      </c>
      <c r="E9598" s="14" t="n">
        <v>9335.5</v>
      </c>
      <c r="F9598" s="14" t="n">
        <v>59635.93</v>
      </c>
      <c r="G9598" s="6" t="s">
        <v>2613</v>
      </c>
    </row>
    <row r="9599" customFormat="false" ht="15" hidden="false" customHeight="true" outlineLevel="0" collapsed="false">
      <c r="A9599" s="6" t="s">
        <v>12211</v>
      </c>
      <c r="B9599" s="6" t="s">
        <v>1983</v>
      </c>
      <c r="C9599" s="6" t="s">
        <v>124</v>
      </c>
      <c r="D9599" s="13" t="n">
        <v>45439</v>
      </c>
      <c r="E9599" s="14" t="n">
        <v>5200.83</v>
      </c>
      <c r="F9599" s="14" t="n">
        <v>5200.83</v>
      </c>
      <c r="G9599" s="6" t="s">
        <v>2613</v>
      </c>
    </row>
    <row r="9600" customFormat="false" ht="15" hidden="false" customHeight="true" outlineLevel="0" collapsed="false">
      <c r="A9600" s="6" t="s">
        <v>12212</v>
      </c>
      <c r="B9600" s="6" t="s">
        <v>1983</v>
      </c>
      <c r="C9600" s="6" t="s">
        <v>124</v>
      </c>
      <c r="D9600" s="13" t="n">
        <v>45446</v>
      </c>
      <c r="E9600" s="14" t="n">
        <v>6205.34</v>
      </c>
      <c r="F9600" s="14" t="n">
        <v>11406.17</v>
      </c>
      <c r="G9600" s="6" t="s">
        <v>2623</v>
      </c>
    </row>
    <row r="9601" customFormat="false" ht="15" hidden="false" customHeight="true" outlineLevel="0" collapsed="false">
      <c r="A9601" s="6" t="s">
        <v>12213</v>
      </c>
      <c r="B9601" s="6" t="s">
        <v>1983</v>
      </c>
      <c r="C9601" s="6" t="s">
        <v>124</v>
      </c>
      <c r="D9601" s="13" t="n">
        <v>45453</v>
      </c>
      <c r="E9601" s="14" t="n">
        <v>5651.6</v>
      </c>
      <c r="F9601" s="14" t="n">
        <v>17057.77</v>
      </c>
      <c r="G9601" s="6" t="s">
        <v>2613</v>
      </c>
    </row>
    <row r="9602" customFormat="false" ht="15" hidden="false" customHeight="true" outlineLevel="0" collapsed="false">
      <c r="A9602" s="6" t="s">
        <v>12214</v>
      </c>
      <c r="B9602" s="6" t="s">
        <v>1983</v>
      </c>
      <c r="C9602" s="6" t="s">
        <v>124</v>
      </c>
      <c r="D9602" s="13" t="n">
        <v>45460</v>
      </c>
      <c r="E9602" s="14" t="n">
        <v>4277.58</v>
      </c>
      <c r="F9602" s="14" t="n">
        <v>21335.35</v>
      </c>
      <c r="G9602" s="6" t="s">
        <v>2613</v>
      </c>
    </row>
    <row r="9603" customFormat="false" ht="15" hidden="false" customHeight="true" outlineLevel="0" collapsed="false">
      <c r="A9603" s="6" t="s">
        <v>12215</v>
      </c>
      <c r="B9603" s="6" t="s">
        <v>1983</v>
      </c>
      <c r="C9603" s="6" t="s">
        <v>124</v>
      </c>
      <c r="D9603" s="13" t="n">
        <v>45467</v>
      </c>
      <c r="E9603" s="14" t="n">
        <v>4945.78</v>
      </c>
      <c r="F9603" s="14" t="n">
        <v>26281.13</v>
      </c>
      <c r="G9603" s="6" t="s">
        <v>2613</v>
      </c>
    </row>
    <row r="9604" customFormat="false" ht="15" hidden="false" customHeight="true" outlineLevel="0" collapsed="false">
      <c r="A9604" s="6" t="s">
        <v>12216</v>
      </c>
      <c r="B9604" s="6" t="s">
        <v>1983</v>
      </c>
      <c r="C9604" s="6" t="s">
        <v>124</v>
      </c>
      <c r="D9604" s="13" t="n">
        <v>45474</v>
      </c>
      <c r="E9604" s="14" t="n">
        <v>3484.38</v>
      </c>
      <c r="F9604" s="14" t="n">
        <v>29765.51</v>
      </c>
      <c r="G9604" s="6" t="s">
        <v>2613</v>
      </c>
    </row>
    <row r="9605" customFormat="false" ht="15" hidden="false" customHeight="true" outlineLevel="0" collapsed="false">
      <c r="A9605" s="6" t="s">
        <v>12217</v>
      </c>
      <c r="B9605" s="6" t="s">
        <v>1983</v>
      </c>
      <c r="C9605" s="6" t="s">
        <v>124</v>
      </c>
      <c r="D9605" s="13" t="n">
        <v>45481</v>
      </c>
      <c r="E9605" s="14" t="n">
        <v>4000.39</v>
      </c>
      <c r="F9605" s="14" t="n">
        <v>33765.9</v>
      </c>
      <c r="G9605" s="6" t="s">
        <v>2613</v>
      </c>
    </row>
    <row r="9606" customFormat="false" ht="15" hidden="false" customHeight="true" outlineLevel="0" collapsed="false">
      <c r="A9606" s="6" t="s">
        <v>12218</v>
      </c>
      <c r="B9606" s="6" t="s">
        <v>1983</v>
      </c>
      <c r="C9606" s="6" t="s">
        <v>124</v>
      </c>
      <c r="D9606" s="13" t="n">
        <v>45488</v>
      </c>
      <c r="E9606" s="14" t="n">
        <v>5311.8</v>
      </c>
      <c r="F9606" s="14" t="n">
        <v>39077.7</v>
      </c>
      <c r="G9606" s="6" t="s">
        <v>2613</v>
      </c>
    </row>
    <row r="9607" customFormat="false" ht="15" hidden="false" customHeight="true" outlineLevel="0" collapsed="false">
      <c r="A9607" s="6" t="s">
        <v>12219</v>
      </c>
      <c r="B9607" s="6" t="s">
        <v>1983</v>
      </c>
      <c r="C9607" s="6" t="s">
        <v>124</v>
      </c>
      <c r="D9607" s="13" t="n">
        <v>45495</v>
      </c>
      <c r="E9607" s="14" t="n">
        <v>5380.92</v>
      </c>
      <c r="F9607" s="14" t="n">
        <v>44458.62</v>
      </c>
      <c r="G9607" s="6" t="s">
        <v>2613</v>
      </c>
    </row>
    <row r="9608" customFormat="false" ht="15" hidden="false" customHeight="true" outlineLevel="0" collapsed="false">
      <c r="A9608" s="6" t="s">
        <v>12220</v>
      </c>
      <c r="B9608" s="6" t="s">
        <v>1985</v>
      </c>
      <c r="C9608" s="6" t="s">
        <v>128</v>
      </c>
      <c r="D9608" s="13" t="n">
        <v>45839</v>
      </c>
      <c r="E9608" s="14" t="n">
        <v>3295.57</v>
      </c>
      <c r="F9608" s="14" t="n">
        <v>3295.57</v>
      </c>
      <c r="G9608" s="6" t="s">
        <v>2613</v>
      </c>
    </row>
    <row r="9609" customFormat="false" ht="15" hidden="false" customHeight="true" outlineLevel="0" collapsed="false">
      <c r="A9609" s="6" t="s">
        <v>12221</v>
      </c>
      <c r="B9609" s="6" t="s">
        <v>1985</v>
      </c>
      <c r="C9609" s="6" t="s">
        <v>128</v>
      </c>
      <c r="D9609" s="13" t="n">
        <v>45846</v>
      </c>
      <c r="E9609" s="14" t="n">
        <v>2228.25</v>
      </c>
      <c r="F9609" s="14" t="n">
        <v>5523.82</v>
      </c>
      <c r="G9609" s="6" t="s">
        <v>2613</v>
      </c>
    </row>
    <row r="9610" customFormat="false" ht="15" hidden="false" customHeight="true" outlineLevel="0" collapsed="false">
      <c r="A9610" s="6" t="s">
        <v>12222</v>
      </c>
      <c r="B9610" s="6" t="s">
        <v>1985</v>
      </c>
      <c r="C9610" s="6" t="s">
        <v>128</v>
      </c>
      <c r="D9610" s="13" t="n">
        <v>45853</v>
      </c>
      <c r="E9610" s="14" t="n">
        <v>1774.43</v>
      </c>
      <c r="F9610" s="14" t="n">
        <v>7298.25</v>
      </c>
      <c r="G9610" s="6" t="s">
        <v>2613</v>
      </c>
    </row>
    <row r="9611" customFormat="false" ht="15" hidden="false" customHeight="true" outlineLevel="0" collapsed="false">
      <c r="A9611" s="6" t="s">
        <v>12223</v>
      </c>
      <c r="B9611" s="6" t="s">
        <v>1985</v>
      </c>
      <c r="C9611" s="6" t="s">
        <v>128</v>
      </c>
      <c r="D9611" s="13" t="n">
        <v>45860</v>
      </c>
      <c r="E9611" s="14" t="n">
        <v>2421.77</v>
      </c>
      <c r="F9611" s="14" t="n">
        <v>9720.02</v>
      </c>
      <c r="G9611" s="6" t="s">
        <v>2613</v>
      </c>
    </row>
    <row r="9612" customFormat="false" ht="15" hidden="false" customHeight="true" outlineLevel="0" collapsed="false">
      <c r="A9612" s="6" t="s">
        <v>12224</v>
      </c>
      <c r="B9612" s="6" t="s">
        <v>1985</v>
      </c>
      <c r="C9612" s="6" t="s">
        <v>128</v>
      </c>
      <c r="D9612" s="13" t="n">
        <v>45867</v>
      </c>
      <c r="E9612" s="14" t="n">
        <v>2835.12</v>
      </c>
      <c r="F9612" s="14" t="n">
        <v>12555.14</v>
      </c>
      <c r="G9612" s="6" t="s">
        <v>2613</v>
      </c>
    </row>
    <row r="9613" customFormat="false" ht="15" hidden="false" customHeight="true" outlineLevel="0" collapsed="false">
      <c r="A9613" s="6" t="s">
        <v>12225</v>
      </c>
      <c r="B9613" s="6" t="s">
        <v>1985</v>
      </c>
      <c r="C9613" s="6" t="s">
        <v>128</v>
      </c>
      <c r="D9613" s="13" t="n">
        <v>45874</v>
      </c>
      <c r="E9613" s="14" t="n">
        <v>3071.68</v>
      </c>
      <c r="F9613" s="14" t="n">
        <v>15626.82</v>
      </c>
      <c r="G9613" s="6" t="s">
        <v>2613</v>
      </c>
    </row>
    <row r="9614" customFormat="false" ht="15" hidden="false" customHeight="true" outlineLevel="0" collapsed="false">
      <c r="A9614" s="6" t="s">
        <v>12226</v>
      </c>
      <c r="B9614" s="6" t="s">
        <v>1985</v>
      </c>
      <c r="C9614" s="6" t="s">
        <v>128</v>
      </c>
      <c r="D9614" s="13" t="n">
        <v>45881</v>
      </c>
      <c r="E9614" s="14" t="n">
        <v>1783.33</v>
      </c>
      <c r="F9614" s="14" t="n">
        <v>17410.15</v>
      </c>
      <c r="G9614" s="6" t="s">
        <v>2623</v>
      </c>
    </row>
    <row r="9615" customFormat="false" ht="15" hidden="false" customHeight="true" outlineLevel="0" collapsed="false">
      <c r="A9615" s="6" t="s">
        <v>12227</v>
      </c>
      <c r="B9615" s="6" t="s">
        <v>1985</v>
      </c>
      <c r="C9615" s="6" t="s">
        <v>128</v>
      </c>
      <c r="D9615" s="13" t="n">
        <v>45888</v>
      </c>
      <c r="E9615" s="14" t="n">
        <v>1456.06</v>
      </c>
      <c r="F9615" s="14" t="n">
        <v>18866.21</v>
      </c>
      <c r="G9615" s="6" t="s">
        <v>2613</v>
      </c>
    </row>
    <row r="9616" customFormat="false" ht="15" hidden="false" customHeight="true" outlineLevel="0" collapsed="false">
      <c r="A9616" s="6" t="s">
        <v>12228</v>
      </c>
      <c r="B9616" s="6" t="s">
        <v>1987</v>
      </c>
      <c r="C9616" s="6" t="s">
        <v>120</v>
      </c>
      <c r="D9616" s="13" t="n">
        <v>44598</v>
      </c>
      <c r="E9616" s="14" t="n">
        <v>4654.45</v>
      </c>
      <c r="F9616" s="14" t="n">
        <v>4654.45</v>
      </c>
      <c r="G9616" s="6" t="s">
        <v>2613</v>
      </c>
    </row>
    <row r="9617" customFormat="false" ht="15" hidden="false" customHeight="true" outlineLevel="0" collapsed="false">
      <c r="A9617" s="6" t="s">
        <v>12229</v>
      </c>
      <c r="B9617" s="6" t="s">
        <v>1987</v>
      </c>
      <c r="C9617" s="6" t="s">
        <v>120</v>
      </c>
      <c r="D9617" s="13" t="n">
        <v>44605</v>
      </c>
      <c r="E9617" s="14" t="n">
        <v>5044.13</v>
      </c>
      <c r="F9617" s="14" t="n">
        <v>9698.58</v>
      </c>
      <c r="G9617" s="6" t="s">
        <v>2613</v>
      </c>
    </row>
    <row r="9618" customFormat="false" ht="15" hidden="false" customHeight="true" outlineLevel="0" collapsed="false">
      <c r="A9618" s="6" t="s">
        <v>12230</v>
      </c>
      <c r="B9618" s="6" t="s">
        <v>1987</v>
      </c>
      <c r="C9618" s="6" t="s">
        <v>120</v>
      </c>
      <c r="D9618" s="13" t="n">
        <v>44612</v>
      </c>
      <c r="E9618" s="14" t="n">
        <v>2705.09</v>
      </c>
      <c r="F9618" s="14" t="n">
        <v>12403.67</v>
      </c>
      <c r="G9618" s="6" t="s">
        <v>2613</v>
      </c>
    </row>
    <row r="9619" customFormat="false" ht="15" hidden="false" customHeight="true" outlineLevel="0" collapsed="false">
      <c r="A9619" s="6" t="s">
        <v>12231</v>
      </c>
      <c r="B9619" s="6" t="s">
        <v>1987</v>
      </c>
      <c r="C9619" s="6" t="s">
        <v>120</v>
      </c>
      <c r="D9619" s="13" t="n">
        <v>44619</v>
      </c>
      <c r="E9619" s="14" t="n">
        <v>3684.16</v>
      </c>
      <c r="F9619" s="14" t="n">
        <v>16087.83</v>
      </c>
      <c r="G9619" s="6" t="s">
        <v>2613</v>
      </c>
    </row>
    <row r="9620" customFormat="false" ht="15" hidden="false" customHeight="true" outlineLevel="0" collapsed="false">
      <c r="A9620" s="6" t="s">
        <v>12232</v>
      </c>
      <c r="B9620" s="6" t="s">
        <v>1987</v>
      </c>
      <c r="C9620" s="6" t="s">
        <v>120</v>
      </c>
      <c r="D9620" s="13" t="n">
        <v>44626</v>
      </c>
      <c r="E9620" s="14" t="n">
        <v>4180.58</v>
      </c>
      <c r="F9620" s="14" t="n">
        <v>20268.41</v>
      </c>
      <c r="G9620" s="6" t="s">
        <v>2613</v>
      </c>
    </row>
    <row r="9621" customFormat="false" ht="15" hidden="false" customHeight="true" outlineLevel="0" collapsed="false">
      <c r="A9621" s="6" t="s">
        <v>12233</v>
      </c>
      <c r="B9621" s="6" t="s">
        <v>1987</v>
      </c>
      <c r="C9621" s="6" t="s">
        <v>120</v>
      </c>
      <c r="D9621" s="13" t="n">
        <v>44633</v>
      </c>
      <c r="E9621" s="14" t="n">
        <v>4918.9</v>
      </c>
      <c r="F9621" s="14" t="n">
        <v>25187.31</v>
      </c>
      <c r="G9621" s="6" t="s">
        <v>2613</v>
      </c>
    </row>
    <row r="9622" customFormat="false" ht="15" hidden="false" customHeight="true" outlineLevel="0" collapsed="false">
      <c r="A9622" s="6" t="s">
        <v>12234</v>
      </c>
      <c r="B9622" s="6" t="s">
        <v>1987</v>
      </c>
      <c r="C9622" s="6" t="s">
        <v>120</v>
      </c>
      <c r="D9622" s="13" t="n">
        <v>44640</v>
      </c>
      <c r="E9622" s="14" t="n">
        <v>4122.09</v>
      </c>
      <c r="F9622" s="14" t="n">
        <v>29309.4</v>
      </c>
      <c r="G9622" s="6" t="s">
        <v>2613</v>
      </c>
    </row>
    <row r="9623" customFormat="false" ht="15" hidden="false" customHeight="true" outlineLevel="0" collapsed="false">
      <c r="A9623" s="6" t="s">
        <v>12235</v>
      </c>
      <c r="B9623" s="6" t="s">
        <v>1987</v>
      </c>
      <c r="C9623" s="6" t="s">
        <v>120</v>
      </c>
      <c r="D9623" s="13" t="n">
        <v>44647</v>
      </c>
      <c r="E9623" s="14" t="n">
        <v>5480.26</v>
      </c>
      <c r="F9623" s="14" t="n">
        <v>34789.66</v>
      </c>
      <c r="G9623" s="6" t="s">
        <v>2613</v>
      </c>
    </row>
    <row r="9624" customFormat="false" ht="15" hidden="false" customHeight="true" outlineLevel="0" collapsed="false">
      <c r="A9624" s="6" t="s">
        <v>12236</v>
      </c>
      <c r="B9624" s="6" t="s">
        <v>1987</v>
      </c>
      <c r="C9624" s="6" t="s">
        <v>120</v>
      </c>
      <c r="D9624" s="13" t="n">
        <v>44654</v>
      </c>
      <c r="E9624" s="14" t="n">
        <v>4356.7</v>
      </c>
      <c r="F9624" s="14" t="n">
        <v>39146.36</v>
      </c>
      <c r="G9624" s="6" t="s">
        <v>2613</v>
      </c>
    </row>
    <row r="9625" customFormat="false" ht="15" hidden="false" customHeight="true" outlineLevel="0" collapsed="false">
      <c r="A9625" s="6" t="s">
        <v>12237</v>
      </c>
      <c r="B9625" s="6" t="s">
        <v>1987</v>
      </c>
      <c r="C9625" s="6" t="s">
        <v>120</v>
      </c>
      <c r="D9625" s="13" t="n">
        <v>44661</v>
      </c>
      <c r="E9625" s="14" t="n">
        <v>4977.58</v>
      </c>
      <c r="F9625" s="14" t="n">
        <v>44123.94</v>
      </c>
      <c r="G9625" s="6" t="s">
        <v>2613</v>
      </c>
    </row>
    <row r="9626" customFormat="false" ht="15" hidden="false" customHeight="true" outlineLevel="0" collapsed="false">
      <c r="A9626" s="6" t="s">
        <v>12238</v>
      </c>
      <c r="B9626" s="6" t="s">
        <v>1987</v>
      </c>
      <c r="C9626" s="6" t="s">
        <v>120</v>
      </c>
      <c r="D9626" s="13" t="n">
        <v>44668</v>
      </c>
      <c r="E9626" s="14" t="n">
        <v>431.54</v>
      </c>
      <c r="F9626" s="14" t="n">
        <v>44555.48</v>
      </c>
      <c r="G9626" s="6" t="s">
        <v>2613</v>
      </c>
    </row>
    <row r="9627" customFormat="false" ht="15" hidden="false" customHeight="true" outlineLevel="0" collapsed="false">
      <c r="A9627" s="6" t="s">
        <v>12239</v>
      </c>
      <c r="B9627" s="6" t="s">
        <v>1989</v>
      </c>
      <c r="C9627" s="6" t="s">
        <v>112</v>
      </c>
      <c r="D9627" s="13" t="n">
        <v>44839</v>
      </c>
      <c r="E9627" s="14" t="n">
        <v>778.4</v>
      </c>
      <c r="F9627" s="14" t="n">
        <v>778.4</v>
      </c>
      <c r="G9627" s="6" t="s">
        <v>2613</v>
      </c>
    </row>
    <row r="9628" customFormat="false" ht="15" hidden="false" customHeight="true" outlineLevel="0" collapsed="false">
      <c r="A9628" s="6" t="s">
        <v>12240</v>
      </c>
      <c r="B9628" s="6" t="s">
        <v>1989</v>
      </c>
      <c r="C9628" s="6" t="s">
        <v>112</v>
      </c>
      <c r="D9628" s="13" t="n">
        <v>44846</v>
      </c>
      <c r="E9628" s="14" t="n">
        <v>805.97</v>
      </c>
      <c r="F9628" s="14" t="n">
        <v>1584.37</v>
      </c>
      <c r="G9628" s="6" t="s">
        <v>2613</v>
      </c>
    </row>
    <row r="9629" customFormat="false" ht="15" hidden="false" customHeight="true" outlineLevel="0" collapsed="false">
      <c r="A9629" s="6" t="s">
        <v>12241</v>
      </c>
      <c r="B9629" s="6" t="s">
        <v>1989</v>
      </c>
      <c r="C9629" s="6" t="s">
        <v>112</v>
      </c>
      <c r="D9629" s="13" t="n">
        <v>44853</v>
      </c>
      <c r="E9629" s="14" t="n">
        <v>781.74</v>
      </c>
      <c r="F9629" s="14" t="n">
        <v>2366.11</v>
      </c>
      <c r="G9629" s="6" t="s">
        <v>2613</v>
      </c>
    </row>
    <row r="9630" customFormat="false" ht="15" hidden="false" customHeight="true" outlineLevel="0" collapsed="false">
      <c r="A9630" s="6" t="s">
        <v>12242</v>
      </c>
      <c r="B9630" s="6" t="s">
        <v>1989</v>
      </c>
      <c r="C9630" s="6" t="s">
        <v>112</v>
      </c>
      <c r="D9630" s="13" t="n">
        <v>44860</v>
      </c>
      <c r="E9630" s="14" t="n">
        <v>988.94</v>
      </c>
      <c r="F9630" s="14" t="n">
        <v>3355.05</v>
      </c>
      <c r="G9630" s="6" t="s">
        <v>2623</v>
      </c>
    </row>
    <row r="9631" customFormat="false" ht="15" hidden="false" customHeight="true" outlineLevel="0" collapsed="false">
      <c r="A9631" s="6" t="s">
        <v>12243</v>
      </c>
      <c r="B9631" s="6" t="s">
        <v>1989</v>
      </c>
      <c r="C9631" s="6" t="s">
        <v>112</v>
      </c>
      <c r="D9631" s="13" t="n">
        <v>44867</v>
      </c>
      <c r="E9631" s="14" t="n">
        <v>1102.31</v>
      </c>
      <c r="F9631" s="14" t="n">
        <v>4457.36</v>
      </c>
      <c r="G9631" s="6" t="s">
        <v>2613</v>
      </c>
    </row>
    <row r="9632" customFormat="false" ht="15" hidden="false" customHeight="true" outlineLevel="0" collapsed="false">
      <c r="A9632" s="6" t="s">
        <v>12244</v>
      </c>
      <c r="B9632" s="6" t="s">
        <v>1989</v>
      </c>
      <c r="C9632" s="6" t="s">
        <v>112</v>
      </c>
      <c r="D9632" s="13" t="n">
        <v>44874</v>
      </c>
      <c r="E9632" s="14" t="n">
        <v>1103.59</v>
      </c>
      <c r="F9632" s="14" t="n">
        <v>5560.95</v>
      </c>
      <c r="G9632" s="6" t="s">
        <v>2613</v>
      </c>
    </row>
    <row r="9633" customFormat="false" ht="15" hidden="false" customHeight="true" outlineLevel="0" collapsed="false">
      <c r="A9633" s="6" t="s">
        <v>12245</v>
      </c>
      <c r="B9633" s="6" t="s">
        <v>1989</v>
      </c>
      <c r="C9633" s="6" t="s">
        <v>112</v>
      </c>
      <c r="D9633" s="13" t="n">
        <v>44881</v>
      </c>
      <c r="E9633" s="14" t="n">
        <v>1171</v>
      </c>
      <c r="F9633" s="14" t="n">
        <v>6731.95</v>
      </c>
      <c r="G9633" s="6" t="s">
        <v>2613</v>
      </c>
    </row>
    <row r="9634" customFormat="false" ht="15" hidden="false" customHeight="true" outlineLevel="0" collapsed="false">
      <c r="A9634" s="6" t="s">
        <v>12246</v>
      </c>
      <c r="B9634" s="6" t="s">
        <v>1989</v>
      </c>
      <c r="C9634" s="6" t="s">
        <v>112</v>
      </c>
      <c r="D9634" s="13" t="n">
        <v>44888</v>
      </c>
      <c r="E9634" s="14" t="n">
        <v>1940.81</v>
      </c>
      <c r="F9634" s="14" t="n">
        <v>8672.76</v>
      </c>
      <c r="G9634" s="6" t="s">
        <v>2613</v>
      </c>
    </row>
    <row r="9635" customFormat="false" ht="15" hidden="false" customHeight="true" outlineLevel="0" collapsed="false">
      <c r="A9635" s="6" t="s">
        <v>12247</v>
      </c>
      <c r="B9635" s="6" t="s">
        <v>1991</v>
      </c>
      <c r="C9635" s="6" t="s">
        <v>112</v>
      </c>
      <c r="D9635" s="13" t="n">
        <v>45126</v>
      </c>
      <c r="E9635" s="14" t="n">
        <v>1660.41</v>
      </c>
      <c r="F9635" s="14" t="n">
        <v>1660.41</v>
      </c>
      <c r="G9635" s="6" t="s">
        <v>2613</v>
      </c>
    </row>
    <row r="9636" customFormat="false" ht="15" hidden="false" customHeight="true" outlineLevel="0" collapsed="false">
      <c r="A9636" s="6" t="s">
        <v>12248</v>
      </c>
      <c r="B9636" s="6" t="s">
        <v>1991</v>
      </c>
      <c r="C9636" s="6" t="s">
        <v>112</v>
      </c>
      <c r="D9636" s="13" t="n">
        <v>45133</v>
      </c>
      <c r="E9636" s="14" t="n">
        <v>2113.12</v>
      </c>
      <c r="F9636" s="14" t="n">
        <v>3773.53</v>
      </c>
      <c r="G9636" s="6" t="s">
        <v>2613</v>
      </c>
    </row>
    <row r="9637" customFormat="false" ht="15" hidden="false" customHeight="true" outlineLevel="0" collapsed="false">
      <c r="A9637" s="6" t="s">
        <v>12249</v>
      </c>
      <c r="B9637" s="6" t="s">
        <v>1991</v>
      </c>
      <c r="C9637" s="6" t="s">
        <v>112</v>
      </c>
      <c r="D9637" s="13" t="n">
        <v>45140</v>
      </c>
      <c r="E9637" s="14" t="n">
        <v>1383.56</v>
      </c>
      <c r="F9637" s="14" t="n">
        <v>5157.09</v>
      </c>
      <c r="G9637" s="6" t="s">
        <v>2613</v>
      </c>
    </row>
    <row r="9638" customFormat="false" ht="15" hidden="false" customHeight="true" outlineLevel="0" collapsed="false">
      <c r="A9638" s="6" t="s">
        <v>12250</v>
      </c>
      <c r="B9638" s="6" t="s">
        <v>1991</v>
      </c>
      <c r="C9638" s="6" t="s">
        <v>112</v>
      </c>
      <c r="D9638" s="13" t="n">
        <v>45147</v>
      </c>
      <c r="E9638" s="14" t="n">
        <v>2269.91</v>
      </c>
      <c r="F9638" s="14" t="n">
        <v>7427</v>
      </c>
      <c r="G9638" s="6" t="s">
        <v>2613</v>
      </c>
    </row>
    <row r="9639" customFormat="false" ht="15" hidden="false" customHeight="true" outlineLevel="0" collapsed="false">
      <c r="A9639" s="6" t="s">
        <v>12251</v>
      </c>
      <c r="B9639" s="6" t="s">
        <v>1991</v>
      </c>
      <c r="C9639" s="6" t="s">
        <v>112</v>
      </c>
      <c r="D9639" s="13" t="n">
        <v>45154</v>
      </c>
      <c r="E9639" s="14" t="n">
        <v>1163.92</v>
      </c>
      <c r="F9639" s="14" t="n">
        <v>8590.92</v>
      </c>
      <c r="G9639" s="6" t="s">
        <v>2623</v>
      </c>
    </row>
    <row r="9640" customFormat="false" ht="15" hidden="false" customHeight="true" outlineLevel="0" collapsed="false">
      <c r="A9640" s="6" t="s">
        <v>12252</v>
      </c>
      <c r="B9640" s="6" t="s">
        <v>1991</v>
      </c>
      <c r="C9640" s="6" t="s">
        <v>112</v>
      </c>
      <c r="D9640" s="13" t="n">
        <v>45161</v>
      </c>
      <c r="E9640" s="14" t="n">
        <v>1379.67</v>
      </c>
      <c r="F9640" s="14" t="n">
        <v>9970.59</v>
      </c>
      <c r="G9640" s="6" t="s">
        <v>2613</v>
      </c>
    </row>
    <row r="9641" customFormat="false" ht="15" hidden="false" customHeight="true" outlineLevel="0" collapsed="false">
      <c r="A9641" s="6" t="s">
        <v>12253</v>
      </c>
      <c r="B9641" s="6" t="s">
        <v>1991</v>
      </c>
      <c r="C9641" s="6" t="s">
        <v>112</v>
      </c>
      <c r="D9641" s="13" t="n">
        <v>45168</v>
      </c>
      <c r="E9641" s="14" t="n">
        <v>1570.39</v>
      </c>
      <c r="F9641" s="14" t="n">
        <v>11540.98</v>
      </c>
      <c r="G9641" s="6" t="s">
        <v>2613</v>
      </c>
    </row>
    <row r="9642" customFormat="false" ht="15" hidden="false" customHeight="true" outlineLevel="0" collapsed="false">
      <c r="A9642" s="6" t="s">
        <v>12254</v>
      </c>
      <c r="B9642" s="6" t="s">
        <v>1991</v>
      </c>
      <c r="C9642" s="6" t="s">
        <v>112</v>
      </c>
      <c r="D9642" s="13" t="n">
        <v>45175</v>
      </c>
      <c r="E9642" s="14" t="n">
        <v>2298.47</v>
      </c>
      <c r="F9642" s="14" t="n">
        <v>13839.45</v>
      </c>
      <c r="G9642" s="6" t="s">
        <v>2613</v>
      </c>
    </row>
    <row r="9643" customFormat="false" ht="15" hidden="false" customHeight="true" outlineLevel="0" collapsed="false">
      <c r="A9643" s="6" t="s">
        <v>12255</v>
      </c>
      <c r="B9643" s="6" t="s">
        <v>1991</v>
      </c>
      <c r="C9643" s="6" t="s">
        <v>112</v>
      </c>
      <c r="D9643" s="13" t="n">
        <v>45182</v>
      </c>
      <c r="E9643" s="14" t="n">
        <v>2373.33</v>
      </c>
      <c r="F9643" s="14" t="n">
        <v>16212.78</v>
      </c>
      <c r="G9643" s="6" t="s">
        <v>2613</v>
      </c>
    </row>
    <row r="9644" customFormat="false" ht="15" hidden="false" customHeight="true" outlineLevel="0" collapsed="false">
      <c r="A9644" s="6" t="s">
        <v>12256</v>
      </c>
      <c r="B9644" s="6" t="s">
        <v>1991</v>
      </c>
      <c r="C9644" s="6" t="s">
        <v>112</v>
      </c>
      <c r="D9644" s="13" t="n">
        <v>45189</v>
      </c>
      <c r="E9644" s="14" t="n">
        <v>2227.99</v>
      </c>
      <c r="F9644" s="14" t="n">
        <v>18440.77</v>
      </c>
      <c r="G9644" s="6" t="s">
        <v>2613</v>
      </c>
    </row>
    <row r="9645" customFormat="false" ht="15" hidden="false" customHeight="true" outlineLevel="0" collapsed="false">
      <c r="A9645" s="6" t="s">
        <v>12257</v>
      </c>
      <c r="B9645" s="6" t="s">
        <v>1991</v>
      </c>
      <c r="C9645" s="6" t="s">
        <v>112</v>
      </c>
      <c r="D9645" s="13" t="n">
        <v>45196</v>
      </c>
      <c r="E9645" s="14" t="n">
        <v>1586.04</v>
      </c>
      <c r="F9645" s="14" t="n">
        <v>20026.81</v>
      </c>
      <c r="G9645" s="6" t="s">
        <v>2623</v>
      </c>
    </row>
    <row r="9646" customFormat="false" ht="15" hidden="false" customHeight="true" outlineLevel="0" collapsed="false">
      <c r="A9646" s="6" t="s">
        <v>12258</v>
      </c>
      <c r="B9646" s="6" t="s">
        <v>1991</v>
      </c>
      <c r="C9646" s="6" t="s">
        <v>112</v>
      </c>
      <c r="D9646" s="13" t="n">
        <v>45203</v>
      </c>
      <c r="E9646" s="14" t="n">
        <v>3047.6</v>
      </c>
      <c r="F9646" s="14" t="n">
        <v>23074.41</v>
      </c>
      <c r="G9646" s="6" t="s">
        <v>2613</v>
      </c>
    </row>
    <row r="9647" customFormat="false" ht="15" hidden="false" customHeight="true" outlineLevel="0" collapsed="false">
      <c r="A9647" s="6" t="s">
        <v>12259</v>
      </c>
      <c r="B9647" s="6" t="s">
        <v>1993</v>
      </c>
      <c r="C9647" s="6" t="s">
        <v>124</v>
      </c>
      <c r="D9647" s="13" t="n">
        <v>45191</v>
      </c>
      <c r="E9647" s="14" t="n">
        <v>2938.85</v>
      </c>
      <c r="F9647" s="14" t="n">
        <v>2938.85</v>
      </c>
      <c r="G9647" s="6" t="s">
        <v>2613</v>
      </c>
    </row>
    <row r="9648" customFormat="false" ht="15" hidden="false" customHeight="true" outlineLevel="0" collapsed="false">
      <c r="A9648" s="6" t="s">
        <v>12260</v>
      </c>
      <c r="B9648" s="6" t="s">
        <v>1993</v>
      </c>
      <c r="C9648" s="6" t="s">
        <v>124</v>
      </c>
      <c r="D9648" s="13" t="n">
        <v>45198</v>
      </c>
      <c r="E9648" s="14" t="n">
        <v>2243.41</v>
      </c>
      <c r="F9648" s="14" t="n">
        <v>5182.26</v>
      </c>
      <c r="G9648" s="6" t="s">
        <v>2613</v>
      </c>
    </row>
    <row r="9649" customFormat="false" ht="15" hidden="false" customHeight="true" outlineLevel="0" collapsed="false">
      <c r="A9649" s="6" t="s">
        <v>12261</v>
      </c>
      <c r="B9649" s="6" t="s">
        <v>1993</v>
      </c>
      <c r="C9649" s="6" t="s">
        <v>124</v>
      </c>
      <c r="D9649" s="13" t="n">
        <v>45205</v>
      </c>
      <c r="E9649" s="14" t="n">
        <v>1693.65</v>
      </c>
      <c r="F9649" s="14" t="n">
        <v>6875.91</v>
      </c>
      <c r="G9649" s="6" t="s">
        <v>2613</v>
      </c>
    </row>
    <row r="9650" customFormat="false" ht="15" hidden="false" customHeight="true" outlineLevel="0" collapsed="false">
      <c r="A9650" s="6" t="s">
        <v>12262</v>
      </c>
      <c r="B9650" s="6" t="s">
        <v>1993</v>
      </c>
      <c r="C9650" s="6" t="s">
        <v>124</v>
      </c>
      <c r="D9650" s="13" t="n">
        <v>45212</v>
      </c>
      <c r="E9650" s="14" t="n">
        <v>2304.62</v>
      </c>
      <c r="F9650" s="14" t="n">
        <v>9180.53</v>
      </c>
      <c r="G9650" s="6" t="s">
        <v>2613</v>
      </c>
    </row>
    <row r="9651" customFormat="false" ht="15" hidden="false" customHeight="true" outlineLevel="0" collapsed="false">
      <c r="A9651" s="6" t="s">
        <v>12263</v>
      </c>
      <c r="B9651" s="6" t="s">
        <v>1993</v>
      </c>
      <c r="C9651" s="6" t="s">
        <v>124</v>
      </c>
      <c r="D9651" s="13" t="n">
        <v>45219</v>
      </c>
      <c r="E9651" s="14" t="n">
        <v>2619.86</v>
      </c>
      <c r="F9651" s="14" t="n">
        <v>11800.39</v>
      </c>
      <c r="G9651" s="6" t="s">
        <v>2623</v>
      </c>
    </row>
    <row r="9652" customFormat="false" ht="15" hidden="false" customHeight="true" outlineLevel="0" collapsed="false">
      <c r="A9652" s="6" t="s">
        <v>12264</v>
      </c>
      <c r="B9652" s="6" t="s">
        <v>1993</v>
      </c>
      <c r="C9652" s="6" t="s">
        <v>124</v>
      </c>
      <c r="D9652" s="13" t="n">
        <v>45226</v>
      </c>
      <c r="E9652" s="14" t="n">
        <v>1504.56</v>
      </c>
      <c r="F9652" s="14" t="n">
        <v>13304.95</v>
      </c>
      <c r="G9652" s="6" t="s">
        <v>2623</v>
      </c>
    </row>
    <row r="9653" customFormat="false" ht="15" hidden="false" customHeight="true" outlineLevel="0" collapsed="false">
      <c r="A9653" s="6" t="s">
        <v>12265</v>
      </c>
      <c r="B9653" s="6" t="s">
        <v>1993</v>
      </c>
      <c r="C9653" s="6" t="s">
        <v>124</v>
      </c>
      <c r="D9653" s="13" t="n">
        <v>45233</v>
      </c>
      <c r="E9653" s="14" t="n">
        <v>1388.24</v>
      </c>
      <c r="F9653" s="14" t="n">
        <v>14693.19</v>
      </c>
      <c r="G9653" s="6" t="s">
        <v>2613</v>
      </c>
    </row>
    <row r="9654" customFormat="false" ht="15" hidden="false" customHeight="true" outlineLevel="0" collapsed="false">
      <c r="A9654" s="6" t="s">
        <v>12266</v>
      </c>
      <c r="B9654" s="6" t="s">
        <v>1993</v>
      </c>
      <c r="C9654" s="6" t="s">
        <v>124</v>
      </c>
      <c r="D9654" s="13" t="n">
        <v>45240</v>
      </c>
      <c r="E9654" s="14" t="n">
        <v>1984.14</v>
      </c>
      <c r="F9654" s="14" t="n">
        <v>16677.33</v>
      </c>
      <c r="G9654" s="6" t="s">
        <v>2613</v>
      </c>
    </row>
    <row r="9655" customFormat="false" ht="15" hidden="false" customHeight="true" outlineLevel="0" collapsed="false">
      <c r="A9655" s="6" t="s">
        <v>12267</v>
      </c>
      <c r="B9655" s="6" t="s">
        <v>1993</v>
      </c>
      <c r="C9655" s="6" t="s">
        <v>124</v>
      </c>
      <c r="D9655" s="13" t="n">
        <v>45247</v>
      </c>
      <c r="E9655" s="14" t="n">
        <v>1598.4</v>
      </c>
      <c r="F9655" s="14" t="n">
        <v>18275.73</v>
      </c>
      <c r="G9655" s="6" t="s">
        <v>2613</v>
      </c>
    </row>
    <row r="9656" customFormat="false" ht="15" hidden="false" customHeight="true" outlineLevel="0" collapsed="false">
      <c r="A9656" s="6" t="s">
        <v>12268</v>
      </c>
      <c r="B9656" s="6" t="s">
        <v>1993</v>
      </c>
      <c r="C9656" s="6" t="s">
        <v>124</v>
      </c>
      <c r="D9656" s="13" t="n">
        <v>45254</v>
      </c>
      <c r="E9656" s="14" t="n">
        <v>3053.41</v>
      </c>
      <c r="F9656" s="14" t="n">
        <v>21329.14</v>
      </c>
      <c r="G9656" s="6" t="s">
        <v>2613</v>
      </c>
    </row>
    <row r="9657" customFormat="false" ht="15" hidden="false" customHeight="true" outlineLevel="0" collapsed="false">
      <c r="A9657" s="6" t="s">
        <v>12269</v>
      </c>
      <c r="B9657" s="6" t="s">
        <v>1993</v>
      </c>
      <c r="C9657" s="6" t="s">
        <v>124</v>
      </c>
      <c r="D9657" s="13" t="n">
        <v>45261</v>
      </c>
      <c r="E9657" s="14" t="n">
        <v>2393.42</v>
      </c>
      <c r="F9657" s="14" t="n">
        <v>23722.56</v>
      </c>
      <c r="G9657" s="6" t="s">
        <v>2613</v>
      </c>
    </row>
    <row r="9658" customFormat="false" ht="15" hidden="false" customHeight="true" outlineLevel="0" collapsed="false">
      <c r="A9658" s="6" t="s">
        <v>12270</v>
      </c>
      <c r="B9658" s="6" t="s">
        <v>1993</v>
      </c>
      <c r="C9658" s="6" t="s">
        <v>124</v>
      </c>
      <c r="D9658" s="13" t="n">
        <v>45268</v>
      </c>
      <c r="E9658" s="14" t="n">
        <v>2733.58</v>
      </c>
      <c r="F9658" s="14" t="n">
        <v>26456.14</v>
      </c>
      <c r="G9658" s="6" t="s">
        <v>2613</v>
      </c>
    </row>
    <row r="9659" customFormat="false" ht="15" hidden="false" customHeight="true" outlineLevel="0" collapsed="false">
      <c r="A9659" s="6" t="s">
        <v>12271</v>
      </c>
      <c r="B9659" s="6" t="s">
        <v>1993</v>
      </c>
      <c r="C9659" s="6" t="s">
        <v>124</v>
      </c>
      <c r="D9659" s="13" t="n">
        <v>45275</v>
      </c>
      <c r="E9659" s="14" t="n">
        <v>1946.93</v>
      </c>
      <c r="F9659" s="14" t="n">
        <v>28403.07</v>
      </c>
      <c r="G9659" s="6" t="s">
        <v>2613</v>
      </c>
    </row>
    <row r="9660" customFormat="false" ht="15" hidden="false" customHeight="true" outlineLevel="0" collapsed="false">
      <c r="A9660" s="6" t="s">
        <v>12272</v>
      </c>
      <c r="B9660" s="6" t="s">
        <v>1993</v>
      </c>
      <c r="C9660" s="6" t="s">
        <v>124</v>
      </c>
      <c r="D9660" s="13" t="n">
        <v>45282</v>
      </c>
      <c r="E9660" s="14" t="n">
        <v>3016.67</v>
      </c>
      <c r="F9660" s="14" t="n">
        <v>31419.74</v>
      </c>
      <c r="G9660" s="6" t="s">
        <v>2613</v>
      </c>
    </row>
    <row r="9661" customFormat="false" ht="15" hidden="false" customHeight="true" outlineLevel="0" collapsed="false">
      <c r="A9661" s="6" t="s">
        <v>12273</v>
      </c>
      <c r="B9661" s="6" t="s">
        <v>1993</v>
      </c>
      <c r="C9661" s="6" t="s">
        <v>124</v>
      </c>
      <c r="D9661" s="13" t="n">
        <v>45289</v>
      </c>
      <c r="E9661" s="14" t="n">
        <v>2838.97</v>
      </c>
      <c r="F9661" s="14" t="n">
        <v>34258.71</v>
      </c>
      <c r="G9661" s="6" t="s">
        <v>2613</v>
      </c>
    </row>
    <row r="9662" customFormat="false" ht="15" hidden="false" customHeight="true" outlineLevel="0" collapsed="false">
      <c r="A9662" s="6" t="s">
        <v>12274</v>
      </c>
      <c r="B9662" s="6" t="s">
        <v>1993</v>
      </c>
      <c r="C9662" s="6" t="s">
        <v>124</v>
      </c>
      <c r="D9662" s="13" t="n">
        <v>45296</v>
      </c>
      <c r="E9662" s="14" t="n">
        <v>2043.94</v>
      </c>
      <c r="F9662" s="14" t="n">
        <v>36302.65</v>
      </c>
      <c r="G9662" s="6" t="s">
        <v>2613</v>
      </c>
    </row>
    <row r="9663" customFormat="false" ht="15" hidden="false" customHeight="true" outlineLevel="0" collapsed="false">
      <c r="A9663" s="6" t="s">
        <v>12275</v>
      </c>
      <c r="B9663" s="6" t="s">
        <v>1993</v>
      </c>
      <c r="C9663" s="6" t="s">
        <v>124</v>
      </c>
      <c r="D9663" s="13" t="n">
        <v>45303</v>
      </c>
      <c r="E9663" s="14" t="n">
        <v>1839.89</v>
      </c>
      <c r="F9663" s="14" t="n">
        <v>38142.54</v>
      </c>
      <c r="G9663" s="6" t="s">
        <v>2613</v>
      </c>
    </row>
    <row r="9664" customFormat="false" ht="15" hidden="false" customHeight="true" outlineLevel="0" collapsed="false">
      <c r="A9664" s="6" t="s">
        <v>12276</v>
      </c>
      <c r="B9664" s="6" t="s">
        <v>1993</v>
      </c>
      <c r="C9664" s="6" t="s">
        <v>124</v>
      </c>
      <c r="D9664" s="13" t="n">
        <v>45310</v>
      </c>
      <c r="E9664" s="14" t="n">
        <v>2247.41</v>
      </c>
      <c r="F9664" s="14" t="n">
        <v>40389.95</v>
      </c>
      <c r="G9664" s="6" t="s">
        <v>2613</v>
      </c>
    </row>
    <row r="9665" customFormat="false" ht="15" hidden="false" customHeight="true" outlineLevel="0" collapsed="false">
      <c r="A9665" s="6" t="s">
        <v>12277</v>
      </c>
      <c r="B9665" s="6" t="s">
        <v>1993</v>
      </c>
      <c r="C9665" s="6" t="s">
        <v>124</v>
      </c>
      <c r="D9665" s="13" t="n">
        <v>45317</v>
      </c>
      <c r="E9665" s="14" t="n">
        <v>2639.75</v>
      </c>
      <c r="F9665" s="14" t="n">
        <v>43029.7</v>
      </c>
      <c r="G9665" s="6" t="s">
        <v>2613</v>
      </c>
    </row>
    <row r="9666" customFormat="false" ht="15" hidden="false" customHeight="true" outlineLevel="0" collapsed="false">
      <c r="A9666" s="6" t="s">
        <v>12278</v>
      </c>
      <c r="B9666" s="6" t="s">
        <v>1993</v>
      </c>
      <c r="C9666" s="6" t="s">
        <v>124</v>
      </c>
      <c r="D9666" s="13" t="n">
        <v>45324</v>
      </c>
      <c r="E9666" s="14" t="n">
        <v>2410.78</v>
      </c>
      <c r="F9666" s="14" t="n">
        <v>45440.48</v>
      </c>
      <c r="G9666" s="6" t="s">
        <v>2613</v>
      </c>
    </row>
    <row r="9667" customFormat="false" ht="15" hidden="false" customHeight="true" outlineLevel="0" collapsed="false">
      <c r="A9667" s="6" t="s">
        <v>12279</v>
      </c>
      <c r="B9667" s="6" t="s">
        <v>1993</v>
      </c>
      <c r="C9667" s="6" t="s">
        <v>124</v>
      </c>
      <c r="D9667" s="13" t="n">
        <v>45331</v>
      </c>
      <c r="E9667" s="14" t="n">
        <v>1830.99</v>
      </c>
      <c r="F9667" s="14" t="n">
        <v>47271.47</v>
      </c>
      <c r="G9667" s="6" t="s">
        <v>2613</v>
      </c>
    </row>
    <row r="9668" customFormat="false" ht="15" hidden="false" customHeight="true" outlineLevel="0" collapsed="false">
      <c r="A9668" s="6" t="s">
        <v>12280</v>
      </c>
      <c r="B9668" s="6" t="s">
        <v>1993</v>
      </c>
      <c r="C9668" s="6" t="s">
        <v>124</v>
      </c>
      <c r="D9668" s="13" t="n">
        <v>45338</v>
      </c>
      <c r="E9668" s="14" t="n">
        <v>2433.43</v>
      </c>
      <c r="F9668" s="14" t="n">
        <v>49704.9</v>
      </c>
      <c r="G9668" s="6" t="s">
        <v>2613</v>
      </c>
    </row>
    <row r="9669" customFormat="false" ht="15" hidden="false" customHeight="true" outlineLevel="0" collapsed="false">
      <c r="A9669" s="6" t="s">
        <v>12281</v>
      </c>
      <c r="B9669" s="6" t="s">
        <v>1993</v>
      </c>
      <c r="C9669" s="6" t="s">
        <v>124</v>
      </c>
      <c r="D9669" s="13" t="n">
        <v>45345</v>
      </c>
      <c r="E9669" s="14" t="n">
        <v>1518.06</v>
      </c>
      <c r="F9669" s="14" t="n">
        <v>51222.96</v>
      </c>
      <c r="G9669" s="6" t="s">
        <v>2613</v>
      </c>
    </row>
    <row r="9670" customFormat="false" ht="15" hidden="false" customHeight="true" outlineLevel="0" collapsed="false">
      <c r="A9670" s="6" t="s">
        <v>12282</v>
      </c>
      <c r="B9670" s="6" t="s">
        <v>1993</v>
      </c>
      <c r="C9670" s="6" t="s">
        <v>124</v>
      </c>
      <c r="D9670" s="13" t="n">
        <v>45352</v>
      </c>
      <c r="E9670" s="14" t="n">
        <v>3012.45</v>
      </c>
      <c r="F9670" s="14" t="n">
        <v>54235.41</v>
      </c>
      <c r="G9670" s="6" t="s">
        <v>2613</v>
      </c>
    </row>
    <row r="9671" customFormat="false" ht="15" hidden="false" customHeight="true" outlineLevel="0" collapsed="false">
      <c r="A9671" s="6" t="s">
        <v>12283</v>
      </c>
      <c r="B9671" s="6" t="s">
        <v>1993</v>
      </c>
      <c r="C9671" s="6" t="s">
        <v>124</v>
      </c>
      <c r="D9671" s="13" t="n">
        <v>45359</v>
      </c>
      <c r="E9671" s="14" t="n">
        <v>2639.8</v>
      </c>
      <c r="F9671" s="14" t="n">
        <v>56875.21</v>
      </c>
      <c r="G9671" s="6" t="s">
        <v>2613</v>
      </c>
    </row>
    <row r="9672" customFormat="false" ht="15" hidden="false" customHeight="true" outlineLevel="0" collapsed="false">
      <c r="A9672" s="6" t="s">
        <v>12284</v>
      </c>
      <c r="B9672" s="6" t="s">
        <v>1993</v>
      </c>
      <c r="C9672" s="6" t="s">
        <v>124</v>
      </c>
      <c r="D9672" s="13" t="n">
        <v>45366</v>
      </c>
      <c r="E9672" s="14" t="n">
        <v>1893.5</v>
      </c>
      <c r="F9672" s="14" t="n">
        <v>58768.71</v>
      </c>
      <c r="G9672" s="6" t="s">
        <v>2613</v>
      </c>
    </row>
    <row r="9673" customFormat="false" ht="15" hidden="false" customHeight="true" outlineLevel="0" collapsed="false">
      <c r="A9673" s="6" t="s">
        <v>12285</v>
      </c>
      <c r="B9673" s="6" t="s">
        <v>1993</v>
      </c>
      <c r="C9673" s="6" t="s">
        <v>124</v>
      </c>
      <c r="D9673" s="13" t="n">
        <v>45373</v>
      </c>
      <c r="E9673" s="14" t="n">
        <v>1754.52</v>
      </c>
      <c r="F9673" s="14" t="n">
        <v>60523.23</v>
      </c>
      <c r="G9673" s="6" t="s">
        <v>2613</v>
      </c>
    </row>
    <row r="9674" customFormat="false" ht="15" hidden="false" customHeight="true" outlineLevel="0" collapsed="false">
      <c r="A9674" s="6" t="s">
        <v>12286</v>
      </c>
      <c r="B9674" s="6" t="s">
        <v>1993</v>
      </c>
      <c r="C9674" s="6" t="s">
        <v>124</v>
      </c>
      <c r="D9674" s="13" t="n">
        <v>45380</v>
      </c>
      <c r="E9674" s="14" t="n">
        <v>776.82</v>
      </c>
      <c r="F9674" s="14" t="n">
        <v>61300.05</v>
      </c>
      <c r="G9674" s="6" t="s">
        <v>2613</v>
      </c>
    </row>
    <row r="9675" customFormat="false" ht="15" hidden="false" customHeight="true" outlineLevel="0" collapsed="false">
      <c r="A9675" s="6" t="s">
        <v>12287</v>
      </c>
      <c r="B9675" s="6" t="s">
        <v>1995</v>
      </c>
      <c r="C9675" s="6" t="s">
        <v>128</v>
      </c>
      <c r="D9675" s="13" t="n">
        <v>45659</v>
      </c>
      <c r="E9675" s="14" t="n">
        <v>7328.57</v>
      </c>
      <c r="F9675" s="14" t="n">
        <v>7328.57</v>
      </c>
      <c r="G9675" s="6" t="s">
        <v>2613</v>
      </c>
    </row>
    <row r="9676" customFormat="false" ht="15" hidden="false" customHeight="true" outlineLevel="0" collapsed="false">
      <c r="A9676" s="6" t="s">
        <v>12288</v>
      </c>
      <c r="B9676" s="6" t="s">
        <v>1995</v>
      </c>
      <c r="C9676" s="6" t="s">
        <v>128</v>
      </c>
      <c r="D9676" s="13" t="n">
        <v>45666</v>
      </c>
      <c r="E9676" s="14" t="n">
        <v>8512.5</v>
      </c>
      <c r="F9676" s="14" t="n">
        <v>15841.07</v>
      </c>
      <c r="G9676" s="6" t="s">
        <v>2613</v>
      </c>
    </row>
    <row r="9677" customFormat="false" ht="15" hidden="false" customHeight="true" outlineLevel="0" collapsed="false">
      <c r="A9677" s="6" t="s">
        <v>12289</v>
      </c>
      <c r="B9677" s="6" t="s">
        <v>1995</v>
      </c>
      <c r="C9677" s="6" t="s">
        <v>128</v>
      </c>
      <c r="D9677" s="13" t="n">
        <v>45673</v>
      </c>
      <c r="E9677" s="14" t="n">
        <v>4879.44</v>
      </c>
      <c r="F9677" s="14" t="n">
        <v>20720.51</v>
      </c>
      <c r="G9677" s="6" t="s">
        <v>2613</v>
      </c>
    </row>
    <row r="9678" customFormat="false" ht="15" hidden="false" customHeight="true" outlineLevel="0" collapsed="false">
      <c r="A9678" s="6" t="s">
        <v>12290</v>
      </c>
      <c r="B9678" s="6" t="s">
        <v>1995</v>
      </c>
      <c r="C9678" s="6" t="s">
        <v>128</v>
      </c>
      <c r="D9678" s="13" t="n">
        <v>45680</v>
      </c>
      <c r="E9678" s="14" t="n">
        <v>4741.63</v>
      </c>
      <c r="F9678" s="14" t="n">
        <v>25462.14</v>
      </c>
      <c r="G9678" s="6" t="s">
        <v>2613</v>
      </c>
    </row>
    <row r="9679" customFormat="false" ht="15" hidden="false" customHeight="true" outlineLevel="0" collapsed="false">
      <c r="A9679" s="6" t="s">
        <v>12291</v>
      </c>
      <c r="B9679" s="6" t="s">
        <v>1995</v>
      </c>
      <c r="C9679" s="6" t="s">
        <v>128</v>
      </c>
      <c r="D9679" s="13" t="n">
        <v>45687</v>
      </c>
      <c r="E9679" s="14" t="n">
        <v>5636.21</v>
      </c>
      <c r="F9679" s="14" t="n">
        <v>31098.35</v>
      </c>
      <c r="G9679" s="6" t="s">
        <v>2613</v>
      </c>
    </row>
    <row r="9680" customFormat="false" ht="15" hidden="false" customHeight="true" outlineLevel="0" collapsed="false">
      <c r="A9680" s="6" t="s">
        <v>12292</v>
      </c>
      <c r="B9680" s="6" t="s">
        <v>1995</v>
      </c>
      <c r="C9680" s="6" t="s">
        <v>128</v>
      </c>
      <c r="D9680" s="13" t="n">
        <v>45694</v>
      </c>
      <c r="E9680" s="14" t="n">
        <v>9249.71</v>
      </c>
      <c r="F9680" s="14" t="n">
        <v>40348.06</v>
      </c>
      <c r="G9680" s="6" t="s">
        <v>2613</v>
      </c>
    </row>
    <row r="9681" customFormat="false" ht="15" hidden="false" customHeight="true" outlineLevel="0" collapsed="false">
      <c r="A9681" s="6" t="s">
        <v>12293</v>
      </c>
      <c r="B9681" s="6" t="s">
        <v>1995</v>
      </c>
      <c r="C9681" s="6" t="s">
        <v>128</v>
      </c>
      <c r="D9681" s="13" t="n">
        <v>45701</v>
      </c>
      <c r="E9681" s="14" t="n">
        <v>6709.88</v>
      </c>
      <c r="F9681" s="14" t="n">
        <v>47057.94</v>
      </c>
      <c r="G9681" s="6" t="s">
        <v>2613</v>
      </c>
    </row>
    <row r="9682" customFormat="false" ht="15" hidden="false" customHeight="true" outlineLevel="0" collapsed="false">
      <c r="A9682" s="6" t="s">
        <v>12294</v>
      </c>
      <c r="B9682" s="6" t="s">
        <v>1995</v>
      </c>
      <c r="C9682" s="6" t="s">
        <v>128</v>
      </c>
      <c r="D9682" s="13" t="n">
        <v>45708</v>
      </c>
      <c r="E9682" s="14" t="n">
        <v>11799.29</v>
      </c>
      <c r="F9682" s="14" t="n">
        <v>58857.23</v>
      </c>
      <c r="G9682" s="6" t="s">
        <v>2613</v>
      </c>
    </row>
    <row r="9683" customFormat="false" ht="15" hidden="false" customHeight="true" outlineLevel="0" collapsed="false">
      <c r="A9683" s="6" t="s">
        <v>12295</v>
      </c>
      <c r="B9683" s="6" t="s">
        <v>1997</v>
      </c>
      <c r="C9683" s="6" t="s">
        <v>120</v>
      </c>
      <c r="D9683" s="13" t="n">
        <v>45019</v>
      </c>
      <c r="E9683" s="14" t="n">
        <v>972</v>
      </c>
      <c r="F9683" s="14" t="n">
        <v>972</v>
      </c>
      <c r="G9683" s="6" t="s">
        <v>2613</v>
      </c>
    </row>
    <row r="9684" customFormat="false" ht="15" hidden="false" customHeight="true" outlineLevel="0" collapsed="false">
      <c r="A9684" s="6" t="s">
        <v>12296</v>
      </c>
      <c r="B9684" s="6" t="s">
        <v>1997</v>
      </c>
      <c r="C9684" s="6" t="s">
        <v>120</v>
      </c>
      <c r="D9684" s="13" t="n">
        <v>45026</v>
      </c>
      <c r="E9684" s="14" t="n">
        <v>1304.97</v>
      </c>
      <c r="F9684" s="14" t="n">
        <v>2276.97</v>
      </c>
      <c r="G9684" s="6" t="s">
        <v>2613</v>
      </c>
    </row>
    <row r="9685" customFormat="false" ht="15" hidden="false" customHeight="true" outlineLevel="0" collapsed="false">
      <c r="A9685" s="6" t="s">
        <v>12297</v>
      </c>
      <c r="B9685" s="6" t="s">
        <v>1997</v>
      </c>
      <c r="C9685" s="6" t="s">
        <v>120</v>
      </c>
      <c r="D9685" s="13" t="n">
        <v>45033</v>
      </c>
      <c r="E9685" s="14" t="n">
        <v>1133.46</v>
      </c>
      <c r="F9685" s="14" t="n">
        <v>3410.43</v>
      </c>
      <c r="G9685" s="6" t="s">
        <v>2613</v>
      </c>
    </row>
    <row r="9686" customFormat="false" ht="15" hidden="false" customHeight="true" outlineLevel="0" collapsed="false">
      <c r="A9686" s="6" t="s">
        <v>12298</v>
      </c>
      <c r="B9686" s="6" t="s">
        <v>1997</v>
      </c>
      <c r="C9686" s="6" t="s">
        <v>120</v>
      </c>
      <c r="D9686" s="13" t="n">
        <v>45040</v>
      </c>
      <c r="E9686" s="14" t="n">
        <v>1711.61</v>
      </c>
      <c r="F9686" s="14" t="n">
        <v>5122.04</v>
      </c>
      <c r="G9686" s="6" t="s">
        <v>2613</v>
      </c>
    </row>
    <row r="9687" customFormat="false" ht="15" hidden="false" customHeight="true" outlineLevel="0" collapsed="false">
      <c r="A9687" s="6" t="s">
        <v>12299</v>
      </c>
      <c r="B9687" s="6" t="s">
        <v>1997</v>
      </c>
      <c r="C9687" s="6" t="s">
        <v>120</v>
      </c>
      <c r="D9687" s="13" t="n">
        <v>45047</v>
      </c>
      <c r="E9687" s="14" t="n">
        <v>1400.44</v>
      </c>
      <c r="F9687" s="14" t="n">
        <v>6522.48</v>
      </c>
      <c r="G9687" s="6" t="s">
        <v>2613</v>
      </c>
    </row>
    <row r="9688" customFormat="false" ht="15" hidden="false" customHeight="true" outlineLevel="0" collapsed="false">
      <c r="A9688" s="6" t="s">
        <v>12300</v>
      </c>
      <c r="B9688" s="6" t="s">
        <v>1997</v>
      </c>
      <c r="C9688" s="6" t="s">
        <v>120</v>
      </c>
      <c r="D9688" s="13" t="n">
        <v>45054</v>
      </c>
      <c r="E9688" s="14" t="n">
        <v>1297.17</v>
      </c>
      <c r="F9688" s="14" t="n">
        <v>7819.65</v>
      </c>
      <c r="G9688" s="6" t="s">
        <v>2613</v>
      </c>
    </row>
    <row r="9689" customFormat="false" ht="15" hidden="false" customHeight="true" outlineLevel="0" collapsed="false">
      <c r="A9689" s="6" t="s">
        <v>12301</v>
      </c>
      <c r="B9689" s="6" t="s">
        <v>1997</v>
      </c>
      <c r="C9689" s="6" t="s">
        <v>120</v>
      </c>
      <c r="D9689" s="13" t="n">
        <v>45061</v>
      </c>
      <c r="E9689" s="14" t="n">
        <v>1040.47</v>
      </c>
      <c r="F9689" s="14" t="n">
        <v>8860.12</v>
      </c>
      <c r="G9689" s="6" t="s">
        <v>2613</v>
      </c>
    </row>
    <row r="9690" customFormat="false" ht="15" hidden="false" customHeight="true" outlineLevel="0" collapsed="false">
      <c r="A9690" s="6" t="s">
        <v>12302</v>
      </c>
      <c r="B9690" s="6" t="s">
        <v>1997</v>
      </c>
      <c r="C9690" s="6" t="s">
        <v>120</v>
      </c>
      <c r="D9690" s="13" t="n">
        <v>45068</v>
      </c>
      <c r="E9690" s="14" t="n">
        <v>2032.6</v>
      </c>
      <c r="F9690" s="14" t="n">
        <v>10892.72</v>
      </c>
      <c r="G9690" s="6" t="s">
        <v>2623</v>
      </c>
    </row>
    <row r="9691" customFormat="false" ht="15" hidden="false" customHeight="true" outlineLevel="0" collapsed="false">
      <c r="A9691" s="6" t="s">
        <v>12303</v>
      </c>
      <c r="B9691" s="6" t="s">
        <v>1997</v>
      </c>
      <c r="C9691" s="6" t="s">
        <v>120</v>
      </c>
      <c r="D9691" s="13" t="n">
        <v>45075</v>
      </c>
      <c r="E9691" s="14" t="n">
        <v>1108.24</v>
      </c>
      <c r="F9691" s="14" t="n">
        <v>12000.96</v>
      </c>
      <c r="G9691" s="6" t="s">
        <v>2613</v>
      </c>
    </row>
    <row r="9692" customFormat="false" ht="15" hidden="false" customHeight="true" outlineLevel="0" collapsed="false">
      <c r="A9692" s="6" t="s">
        <v>12304</v>
      </c>
      <c r="B9692" s="6" t="s">
        <v>1997</v>
      </c>
      <c r="C9692" s="6" t="s">
        <v>120</v>
      </c>
      <c r="D9692" s="13" t="n">
        <v>45082</v>
      </c>
      <c r="E9692" s="14" t="n">
        <v>1240.72</v>
      </c>
      <c r="F9692" s="14" t="n">
        <v>13241.68</v>
      </c>
      <c r="G9692" s="6" t="s">
        <v>2613</v>
      </c>
    </row>
    <row r="9693" customFormat="false" ht="15" hidden="false" customHeight="true" outlineLevel="0" collapsed="false">
      <c r="A9693" s="6" t="s">
        <v>12305</v>
      </c>
      <c r="B9693" s="6" t="s">
        <v>1997</v>
      </c>
      <c r="C9693" s="6" t="s">
        <v>120</v>
      </c>
      <c r="D9693" s="13" t="n">
        <v>45089</v>
      </c>
      <c r="E9693" s="14" t="n">
        <v>4223.73</v>
      </c>
      <c r="F9693" s="14" t="n">
        <v>17465.41</v>
      </c>
      <c r="G9693" s="6" t="s">
        <v>2613</v>
      </c>
    </row>
    <row r="9694" customFormat="false" ht="15" hidden="false" customHeight="true" outlineLevel="0" collapsed="false">
      <c r="A9694" s="6" t="s">
        <v>12306</v>
      </c>
      <c r="B9694" s="6" t="s">
        <v>1999</v>
      </c>
      <c r="C9694" s="6" t="s">
        <v>128</v>
      </c>
      <c r="D9694" s="13" t="n">
        <v>45032</v>
      </c>
      <c r="E9694" s="14" t="n">
        <v>2161.66</v>
      </c>
      <c r="F9694" s="14" t="n">
        <v>2161.66</v>
      </c>
      <c r="G9694" s="6" t="s">
        <v>2613</v>
      </c>
    </row>
    <row r="9695" customFormat="false" ht="15" hidden="false" customHeight="true" outlineLevel="0" collapsed="false">
      <c r="A9695" s="6" t="s">
        <v>12307</v>
      </c>
      <c r="B9695" s="6" t="s">
        <v>1999</v>
      </c>
      <c r="C9695" s="6" t="s">
        <v>128</v>
      </c>
      <c r="D9695" s="13" t="n">
        <v>45039</v>
      </c>
      <c r="E9695" s="14" t="n">
        <v>2242.14</v>
      </c>
      <c r="F9695" s="14" t="n">
        <v>4403.8</v>
      </c>
      <c r="G9695" s="6" t="s">
        <v>2613</v>
      </c>
    </row>
    <row r="9696" customFormat="false" ht="15" hidden="false" customHeight="true" outlineLevel="0" collapsed="false">
      <c r="A9696" s="6" t="s">
        <v>12308</v>
      </c>
      <c r="B9696" s="6" t="s">
        <v>1999</v>
      </c>
      <c r="C9696" s="6" t="s">
        <v>128</v>
      </c>
      <c r="D9696" s="13" t="n">
        <v>45046</v>
      </c>
      <c r="E9696" s="14" t="n">
        <v>2257.42</v>
      </c>
      <c r="F9696" s="14" t="n">
        <v>6661.22</v>
      </c>
      <c r="G9696" s="6" t="s">
        <v>2613</v>
      </c>
    </row>
    <row r="9697" customFormat="false" ht="15" hidden="false" customHeight="true" outlineLevel="0" collapsed="false">
      <c r="A9697" s="6" t="s">
        <v>12309</v>
      </c>
      <c r="B9697" s="6" t="s">
        <v>1999</v>
      </c>
      <c r="C9697" s="6" t="s">
        <v>128</v>
      </c>
      <c r="D9697" s="13" t="n">
        <v>45053</v>
      </c>
      <c r="E9697" s="14" t="n">
        <v>1420.17</v>
      </c>
      <c r="F9697" s="14" t="n">
        <v>8081.39</v>
      </c>
      <c r="G9697" s="6" t="s">
        <v>2613</v>
      </c>
    </row>
    <row r="9698" customFormat="false" ht="15" hidden="false" customHeight="true" outlineLevel="0" collapsed="false">
      <c r="A9698" s="6" t="s">
        <v>12310</v>
      </c>
      <c r="B9698" s="6" t="s">
        <v>1999</v>
      </c>
      <c r="C9698" s="6" t="s">
        <v>128</v>
      </c>
      <c r="D9698" s="13" t="n">
        <v>45060</v>
      </c>
      <c r="E9698" s="14" t="n">
        <v>2179.45</v>
      </c>
      <c r="F9698" s="14" t="n">
        <v>10260.84</v>
      </c>
      <c r="G9698" s="6" t="s">
        <v>2613</v>
      </c>
    </row>
    <row r="9699" customFormat="false" ht="15" hidden="false" customHeight="true" outlineLevel="0" collapsed="false">
      <c r="A9699" s="6" t="s">
        <v>12311</v>
      </c>
      <c r="B9699" s="6" t="s">
        <v>1999</v>
      </c>
      <c r="C9699" s="6" t="s">
        <v>128</v>
      </c>
      <c r="D9699" s="13" t="n">
        <v>45067</v>
      </c>
      <c r="E9699" s="14" t="n">
        <v>2747.27</v>
      </c>
      <c r="F9699" s="14" t="n">
        <v>13008.11</v>
      </c>
      <c r="G9699" s="6" t="s">
        <v>2613</v>
      </c>
    </row>
    <row r="9700" customFormat="false" ht="15" hidden="false" customHeight="true" outlineLevel="0" collapsed="false">
      <c r="A9700" s="6" t="s">
        <v>12312</v>
      </c>
      <c r="B9700" s="6" t="s">
        <v>2001</v>
      </c>
      <c r="C9700" s="6" t="s">
        <v>124</v>
      </c>
      <c r="D9700" s="13" t="n">
        <v>45574</v>
      </c>
      <c r="E9700" s="14" t="n">
        <v>526.67</v>
      </c>
      <c r="F9700" s="14" t="n">
        <v>526.67</v>
      </c>
      <c r="G9700" s="6" t="s">
        <v>2613</v>
      </c>
    </row>
    <row r="9701" customFormat="false" ht="15" hidden="false" customHeight="true" outlineLevel="0" collapsed="false">
      <c r="A9701" s="6" t="s">
        <v>12313</v>
      </c>
      <c r="B9701" s="6" t="s">
        <v>2001</v>
      </c>
      <c r="C9701" s="6" t="s">
        <v>124</v>
      </c>
      <c r="D9701" s="13" t="n">
        <v>45581</v>
      </c>
      <c r="E9701" s="14" t="n">
        <v>638.86</v>
      </c>
      <c r="F9701" s="14" t="n">
        <v>1165.53</v>
      </c>
      <c r="G9701" s="6" t="s">
        <v>2613</v>
      </c>
    </row>
    <row r="9702" customFormat="false" ht="15" hidden="false" customHeight="true" outlineLevel="0" collapsed="false">
      <c r="A9702" s="6" t="s">
        <v>12314</v>
      </c>
      <c r="B9702" s="6" t="s">
        <v>2001</v>
      </c>
      <c r="C9702" s="6" t="s">
        <v>124</v>
      </c>
      <c r="D9702" s="13" t="n">
        <v>45588</v>
      </c>
      <c r="E9702" s="14" t="n">
        <v>620.2</v>
      </c>
      <c r="F9702" s="14" t="n">
        <v>1785.73</v>
      </c>
      <c r="G9702" s="6" t="s">
        <v>2613</v>
      </c>
    </row>
    <row r="9703" customFormat="false" ht="15" hidden="false" customHeight="true" outlineLevel="0" collapsed="false">
      <c r="A9703" s="6" t="s">
        <v>12315</v>
      </c>
      <c r="B9703" s="6" t="s">
        <v>2001</v>
      </c>
      <c r="C9703" s="6" t="s">
        <v>124</v>
      </c>
      <c r="D9703" s="13" t="n">
        <v>45595</v>
      </c>
      <c r="E9703" s="14" t="n">
        <v>709.81</v>
      </c>
      <c r="F9703" s="14" t="n">
        <v>2495.54</v>
      </c>
      <c r="G9703" s="6" t="s">
        <v>2613</v>
      </c>
    </row>
    <row r="9704" customFormat="false" ht="15" hidden="false" customHeight="true" outlineLevel="0" collapsed="false">
      <c r="A9704" s="6" t="s">
        <v>12316</v>
      </c>
      <c r="B9704" s="6" t="s">
        <v>2001</v>
      </c>
      <c r="C9704" s="6" t="s">
        <v>124</v>
      </c>
      <c r="D9704" s="13" t="n">
        <v>45602</v>
      </c>
      <c r="E9704" s="14" t="n">
        <v>1112.5</v>
      </c>
      <c r="F9704" s="14" t="n">
        <v>3608.04</v>
      </c>
      <c r="G9704" s="6" t="s">
        <v>2613</v>
      </c>
    </row>
    <row r="9705" customFormat="false" ht="15" hidden="false" customHeight="true" outlineLevel="0" collapsed="false">
      <c r="A9705" s="6" t="s">
        <v>12317</v>
      </c>
      <c r="B9705" s="6" t="s">
        <v>2001</v>
      </c>
      <c r="C9705" s="6" t="s">
        <v>124</v>
      </c>
      <c r="D9705" s="13" t="n">
        <v>45609</v>
      </c>
      <c r="E9705" s="14" t="n">
        <v>688.84</v>
      </c>
      <c r="F9705" s="14" t="n">
        <v>4296.88</v>
      </c>
      <c r="G9705" s="6" t="s">
        <v>2613</v>
      </c>
    </row>
    <row r="9706" customFormat="false" ht="15" hidden="false" customHeight="true" outlineLevel="0" collapsed="false">
      <c r="A9706" s="6" t="s">
        <v>12318</v>
      </c>
      <c r="B9706" s="6" t="s">
        <v>2001</v>
      </c>
      <c r="C9706" s="6" t="s">
        <v>124</v>
      </c>
      <c r="D9706" s="13" t="n">
        <v>45616</v>
      </c>
      <c r="E9706" s="14" t="n">
        <v>574.78</v>
      </c>
      <c r="F9706" s="14" t="n">
        <v>4871.66</v>
      </c>
      <c r="G9706" s="6" t="s">
        <v>2613</v>
      </c>
    </row>
    <row r="9707" customFormat="false" ht="15" hidden="false" customHeight="true" outlineLevel="0" collapsed="false">
      <c r="A9707" s="6" t="s">
        <v>12319</v>
      </c>
      <c r="B9707" s="6" t="s">
        <v>2001</v>
      </c>
      <c r="C9707" s="6" t="s">
        <v>124</v>
      </c>
      <c r="D9707" s="13" t="n">
        <v>45623</v>
      </c>
      <c r="E9707" s="14" t="n">
        <v>1752.83</v>
      </c>
      <c r="F9707" s="14" t="n">
        <v>6624.49</v>
      </c>
      <c r="G9707" s="6" t="s">
        <v>2613</v>
      </c>
    </row>
    <row r="9708" customFormat="false" ht="15" hidden="false" customHeight="true" outlineLevel="0" collapsed="false">
      <c r="A9708" s="6" t="s">
        <v>12320</v>
      </c>
      <c r="B9708" s="6" t="s">
        <v>2003</v>
      </c>
      <c r="C9708" s="6" t="s">
        <v>131</v>
      </c>
      <c r="D9708" s="13" t="n">
        <v>45393</v>
      </c>
      <c r="E9708" s="14" t="n">
        <v>3660.46</v>
      </c>
      <c r="F9708" s="14" t="n">
        <v>3660.46</v>
      </c>
      <c r="G9708" s="6" t="s">
        <v>2613</v>
      </c>
    </row>
    <row r="9709" customFormat="false" ht="15" hidden="false" customHeight="true" outlineLevel="0" collapsed="false">
      <c r="A9709" s="6" t="s">
        <v>12321</v>
      </c>
      <c r="B9709" s="6" t="s">
        <v>2003</v>
      </c>
      <c r="C9709" s="6" t="s">
        <v>131</v>
      </c>
      <c r="D9709" s="13" t="n">
        <v>45400</v>
      </c>
      <c r="E9709" s="14" t="n">
        <v>1611.52</v>
      </c>
      <c r="F9709" s="14" t="n">
        <v>5271.98</v>
      </c>
      <c r="G9709" s="6" t="s">
        <v>2613</v>
      </c>
    </row>
    <row r="9710" customFormat="false" ht="15" hidden="false" customHeight="true" outlineLevel="0" collapsed="false">
      <c r="A9710" s="6" t="s">
        <v>12322</v>
      </c>
      <c r="B9710" s="6" t="s">
        <v>2003</v>
      </c>
      <c r="C9710" s="6" t="s">
        <v>131</v>
      </c>
      <c r="D9710" s="13" t="n">
        <v>45407</v>
      </c>
      <c r="E9710" s="14" t="n">
        <v>2534.57</v>
      </c>
      <c r="F9710" s="14" t="n">
        <v>7806.55</v>
      </c>
      <c r="G9710" s="6" t="s">
        <v>2613</v>
      </c>
    </row>
    <row r="9711" customFormat="false" ht="15" hidden="false" customHeight="true" outlineLevel="0" collapsed="false">
      <c r="A9711" s="6" t="s">
        <v>12323</v>
      </c>
      <c r="B9711" s="6" t="s">
        <v>2003</v>
      </c>
      <c r="C9711" s="6" t="s">
        <v>131</v>
      </c>
      <c r="D9711" s="13" t="n">
        <v>45414</v>
      </c>
      <c r="E9711" s="14" t="n">
        <v>1879.35</v>
      </c>
      <c r="F9711" s="14" t="n">
        <v>9685.9</v>
      </c>
      <c r="G9711" s="6" t="s">
        <v>2613</v>
      </c>
    </row>
    <row r="9712" customFormat="false" ht="15" hidden="false" customHeight="true" outlineLevel="0" collapsed="false">
      <c r="A9712" s="6" t="s">
        <v>12324</v>
      </c>
      <c r="B9712" s="6" t="s">
        <v>2003</v>
      </c>
      <c r="C9712" s="6" t="s">
        <v>131</v>
      </c>
      <c r="D9712" s="13" t="n">
        <v>45421</v>
      </c>
      <c r="E9712" s="14" t="n">
        <v>2746.64</v>
      </c>
      <c r="F9712" s="14" t="n">
        <v>12432.54</v>
      </c>
      <c r="G9712" s="6" t="s">
        <v>2613</v>
      </c>
    </row>
    <row r="9713" customFormat="false" ht="15" hidden="false" customHeight="true" outlineLevel="0" collapsed="false">
      <c r="A9713" s="6" t="s">
        <v>12325</v>
      </c>
      <c r="B9713" s="6" t="s">
        <v>2003</v>
      </c>
      <c r="C9713" s="6" t="s">
        <v>131</v>
      </c>
      <c r="D9713" s="13" t="n">
        <v>45428</v>
      </c>
      <c r="E9713" s="14" t="n">
        <v>3414.12</v>
      </c>
      <c r="F9713" s="14" t="n">
        <v>15846.66</v>
      </c>
      <c r="G9713" s="6" t="s">
        <v>2613</v>
      </c>
    </row>
    <row r="9714" customFormat="false" ht="15" hidden="false" customHeight="true" outlineLevel="0" collapsed="false">
      <c r="A9714" s="6" t="s">
        <v>12326</v>
      </c>
      <c r="B9714" s="6" t="s">
        <v>2003</v>
      </c>
      <c r="C9714" s="6" t="s">
        <v>131</v>
      </c>
      <c r="D9714" s="13" t="n">
        <v>45435</v>
      </c>
      <c r="E9714" s="14" t="n">
        <v>3037.9</v>
      </c>
      <c r="F9714" s="14" t="n">
        <v>18884.56</v>
      </c>
      <c r="G9714" s="6" t="s">
        <v>2613</v>
      </c>
    </row>
    <row r="9715" customFormat="false" ht="15" hidden="false" customHeight="true" outlineLevel="0" collapsed="false">
      <c r="A9715" s="6" t="s">
        <v>12327</v>
      </c>
      <c r="B9715" s="6" t="s">
        <v>2003</v>
      </c>
      <c r="C9715" s="6" t="s">
        <v>131</v>
      </c>
      <c r="D9715" s="13" t="n">
        <v>45442</v>
      </c>
      <c r="E9715" s="14" t="n">
        <v>1840.62</v>
      </c>
      <c r="F9715" s="14" t="n">
        <v>20725.18</v>
      </c>
      <c r="G9715" s="6" t="s">
        <v>2613</v>
      </c>
    </row>
    <row r="9716" customFormat="false" ht="15" hidden="false" customHeight="true" outlineLevel="0" collapsed="false">
      <c r="A9716" s="6" t="s">
        <v>12328</v>
      </c>
      <c r="B9716" s="6" t="s">
        <v>2003</v>
      </c>
      <c r="C9716" s="6" t="s">
        <v>131</v>
      </c>
      <c r="D9716" s="13" t="n">
        <v>45449</v>
      </c>
      <c r="E9716" s="14" t="n">
        <v>2034.21</v>
      </c>
      <c r="F9716" s="14" t="n">
        <v>22759.39</v>
      </c>
      <c r="G9716" s="6" t="s">
        <v>2613</v>
      </c>
    </row>
    <row r="9717" customFormat="false" ht="15" hidden="false" customHeight="true" outlineLevel="0" collapsed="false">
      <c r="A9717" s="6" t="s">
        <v>12329</v>
      </c>
      <c r="B9717" s="6" t="s">
        <v>2003</v>
      </c>
      <c r="C9717" s="6" t="s">
        <v>131</v>
      </c>
      <c r="D9717" s="13" t="n">
        <v>45456</v>
      </c>
      <c r="E9717" s="14" t="n">
        <v>2462.84</v>
      </c>
      <c r="F9717" s="14" t="n">
        <v>25222.23</v>
      </c>
      <c r="G9717" s="6" t="s">
        <v>2613</v>
      </c>
    </row>
    <row r="9718" customFormat="false" ht="15" hidden="false" customHeight="true" outlineLevel="0" collapsed="false">
      <c r="A9718" s="6" t="s">
        <v>12330</v>
      </c>
      <c r="B9718" s="6" t="s">
        <v>2003</v>
      </c>
      <c r="C9718" s="6" t="s">
        <v>131</v>
      </c>
      <c r="D9718" s="13" t="n">
        <v>45463</v>
      </c>
      <c r="E9718" s="14" t="n">
        <v>1933.84</v>
      </c>
      <c r="F9718" s="14" t="n">
        <v>27156.07</v>
      </c>
      <c r="G9718" s="6" t="s">
        <v>2613</v>
      </c>
    </row>
    <row r="9719" customFormat="false" ht="15" hidden="false" customHeight="true" outlineLevel="0" collapsed="false">
      <c r="A9719" s="6" t="s">
        <v>12331</v>
      </c>
      <c r="B9719" s="6" t="s">
        <v>2003</v>
      </c>
      <c r="C9719" s="6" t="s">
        <v>131</v>
      </c>
      <c r="D9719" s="13" t="n">
        <v>45470</v>
      </c>
      <c r="E9719" s="14" t="n">
        <v>2137.9</v>
      </c>
      <c r="F9719" s="14" t="n">
        <v>29293.97</v>
      </c>
      <c r="G9719" s="6" t="s">
        <v>2613</v>
      </c>
    </row>
    <row r="9720" customFormat="false" ht="15" hidden="false" customHeight="true" outlineLevel="0" collapsed="false">
      <c r="A9720" s="6" t="s">
        <v>12332</v>
      </c>
      <c r="B9720" s="6" t="s">
        <v>2003</v>
      </c>
      <c r="C9720" s="6" t="s">
        <v>131</v>
      </c>
      <c r="D9720" s="13" t="n">
        <v>45477</v>
      </c>
      <c r="E9720" s="14" t="n">
        <v>2486.77</v>
      </c>
      <c r="F9720" s="14" t="n">
        <v>31780.74</v>
      </c>
      <c r="G9720" s="6" t="s">
        <v>2613</v>
      </c>
    </row>
    <row r="9721" customFormat="false" ht="15" hidden="false" customHeight="true" outlineLevel="0" collapsed="false">
      <c r="A9721" s="6" t="s">
        <v>12333</v>
      </c>
      <c r="B9721" s="6" t="s">
        <v>2003</v>
      </c>
      <c r="C9721" s="6" t="s">
        <v>131</v>
      </c>
      <c r="D9721" s="13" t="n">
        <v>45484</v>
      </c>
      <c r="E9721" s="14" t="n">
        <v>2040.48</v>
      </c>
      <c r="F9721" s="14" t="n">
        <v>33821.22</v>
      </c>
      <c r="G9721" s="6" t="s">
        <v>2613</v>
      </c>
    </row>
    <row r="9722" customFormat="false" ht="15" hidden="false" customHeight="true" outlineLevel="0" collapsed="false">
      <c r="A9722" s="6" t="s">
        <v>12334</v>
      </c>
      <c r="B9722" s="6" t="s">
        <v>2003</v>
      </c>
      <c r="C9722" s="6" t="s">
        <v>131</v>
      </c>
      <c r="D9722" s="13" t="n">
        <v>45491</v>
      </c>
      <c r="E9722" s="14" t="n">
        <v>3382.49</v>
      </c>
      <c r="F9722" s="14" t="n">
        <v>37203.71</v>
      </c>
      <c r="G9722" s="6" t="s">
        <v>2613</v>
      </c>
    </row>
    <row r="9723" customFormat="false" ht="15" hidden="false" customHeight="true" outlineLevel="0" collapsed="false">
      <c r="A9723" s="6" t="s">
        <v>12335</v>
      </c>
      <c r="B9723" s="6" t="s">
        <v>2003</v>
      </c>
      <c r="C9723" s="6" t="s">
        <v>131</v>
      </c>
      <c r="D9723" s="13" t="n">
        <v>45498</v>
      </c>
      <c r="E9723" s="14" t="n">
        <v>3110.78</v>
      </c>
      <c r="F9723" s="14" t="n">
        <v>40314.49</v>
      </c>
      <c r="G9723" s="6" t="s">
        <v>2613</v>
      </c>
    </row>
    <row r="9724" customFormat="false" ht="15" hidden="false" customHeight="true" outlineLevel="0" collapsed="false">
      <c r="A9724" s="6" t="s">
        <v>12336</v>
      </c>
      <c r="B9724" s="6" t="s">
        <v>2003</v>
      </c>
      <c r="C9724" s="6" t="s">
        <v>131</v>
      </c>
      <c r="D9724" s="13" t="n">
        <v>45505</v>
      </c>
      <c r="E9724" s="14" t="n">
        <v>2824</v>
      </c>
      <c r="F9724" s="14" t="n">
        <v>43138.49</v>
      </c>
      <c r="G9724" s="6" t="s">
        <v>2613</v>
      </c>
    </row>
    <row r="9725" customFormat="false" ht="15" hidden="false" customHeight="true" outlineLevel="0" collapsed="false">
      <c r="A9725" s="6" t="s">
        <v>12337</v>
      </c>
      <c r="B9725" s="6" t="s">
        <v>2003</v>
      </c>
      <c r="C9725" s="6" t="s">
        <v>131</v>
      </c>
      <c r="D9725" s="13" t="n">
        <v>45512</v>
      </c>
      <c r="E9725" s="14" t="n">
        <v>2789.53</v>
      </c>
      <c r="F9725" s="14" t="n">
        <v>45928.02</v>
      </c>
      <c r="G9725" s="6" t="s">
        <v>2613</v>
      </c>
    </row>
    <row r="9726" customFormat="false" ht="15" hidden="false" customHeight="true" outlineLevel="0" collapsed="false">
      <c r="A9726" s="6" t="s">
        <v>12338</v>
      </c>
      <c r="B9726" s="6" t="s">
        <v>2003</v>
      </c>
      <c r="C9726" s="6" t="s">
        <v>131</v>
      </c>
      <c r="D9726" s="13" t="n">
        <v>45519</v>
      </c>
      <c r="E9726" s="14" t="n">
        <v>1662.59</v>
      </c>
      <c r="F9726" s="14" t="n">
        <v>47590.61</v>
      </c>
      <c r="G9726" s="6" t="s">
        <v>2613</v>
      </c>
    </row>
    <row r="9727" customFormat="false" ht="15" hidden="false" customHeight="true" outlineLevel="0" collapsed="false">
      <c r="A9727" s="6" t="s">
        <v>12339</v>
      </c>
      <c r="B9727" s="6" t="s">
        <v>2003</v>
      </c>
      <c r="C9727" s="6" t="s">
        <v>131</v>
      </c>
      <c r="D9727" s="13" t="n">
        <v>45526</v>
      </c>
      <c r="E9727" s="14" t="n">
        <v>2980.19</v>
      </c>
      <c r="F9727" s="14" t="n">
        <v>50570.8</v>
      </c>
      <c r="G9727" s="6" t="s">
        <v>2613</v>
      </c>
    </row>
    <row r="9728" customFormat="false" ht="15" hidden="false" customHeight="true" outlineLevel="0" collapsed="false">
      <c r="A9728" s="6" t="s">
        <v>12340</v>
      </c>
      <c r="B9728" s="6" t="s">
        <v>2003</v>
      </c>
      <c r="C9728" s="6" t="s">
        <v>131</v>
      </c>
      <c r="D9728" s="13" t="n">
        <v>45533</v>
      </c>
      <c r="E9728" s="14" t="n">
        <v>3460.59</v>
      </c>
      <c r="F9728" s="14" t="n">
        <v>54031.39</v>
      </c>
      <c r="G9728" s="6" t="s">
        <v>2613</v>
      </c>
    </row>
    <row r="9729" customFormat="false" ht="15" hidden="false" customHeight="true" outlineLevel="0" collapsed="false">
      <c r="A9729" s="6" t="s">
        <v>12341</v>
      </c>
      <c r="B9729" s="6" t="s">
        <v>2003</v>
      </c>
      <c r="C9729" s="6" t="s">
        <v>131</v>
      </c>
      <c r="D9729" s="13" t="n">
        <v>45540</v>
      </c>
      <c r="E9729" s="14" t="n">
        <v>3674.24</v>
      </c>
      <c r="F9729" s="14" t="n">
        <v>57705.63</v>
      </c>
      <c r="G9729" s="6" t="s">
        <v>2623</v>
      </c>
    </row>
    <row r="9730" customFormat="false" ht="15" hidden="false" customHeight="true" outlineLevel="0" collapsed="false">
      <c r="A9730" s="6" t="s">
        <v>12342</v>
      </c>
      <c r="B9730" s="6" t="s">
        <v>2003</v>
      </c>
      <c r="C9730" s="6" t="s">
        <v>131</v>
      </c>
      <c r="D9730" s="13" t="n">
        <v>45547</v>
      </c>
      <c r="E9730" s="14" t="n">
        <v>2012.78</v>
      </c>
      <c r="F9730" s="14" t="n">
        <v>59718.41</v>
      </c>
      <c r="G9730" s="6" t="s">
        <v>2613</v>
      </c>
    </row>
    <row r="9731" customFormat="false" ht="15" hidden="false" customHeight="true" outlineLevel="0" collapsed="false">
      <c r="A9731" s="6" t="s">
        <v>12343</v>
      </c>
      <c r="B9731" s="6" t="s">
        <v>2003</v>
      </c>
      <c r="C9731" s="6" t="s">
        <v>131</v>
      </c>
      <c r="D9731" s="13" t="n">
        <v>45554</v>
      </c>
      <c r="E9731" s="14" t="n">
        <v>2144.32</v>
      </c>
      <c r="F9731" s="14" t="n">
        <v>61862.73</v>
      </c>
      <c r="G9731" s="6" t="s">
        <v>2613</v>
      </c>
    </row>
    <row r="9732" customFormat="false" ht="15" hidden="false" customHeight="true" outlineLevel="0" collapsed="false">
      <c r="A9732" s="6" t="s">
        <v>12344</v>
      </c>
      <c r="B9732" s="6" t="s">
        <v>2003</v>
      </c>
      <c r="C9732" s="6" t="s">
        <v>131</v>
      </c>
      <c r="D9732" s="13" t="n">
        <v>45561</v>
      </c>
      <c r="E9732" s="14" t="n">
        <v>2686.25</v>
      </c>
      <c r="F9732" s="14" t="n">
        <v>64548.98</v>
      </c>
      <c r="G9732" s="6" t="s">
        <v>2613</v>
      </c>
    </row>
    <row r="9733" customFormat="false" ht="15" hidden="false" customHeight="true" outlineLevel="0" collapsed="false">
      <c r="A9733" s="6" t="s">
        <v>12345</v>
      </c>
      <c r="B9733" s="6" t="s">
        <v>2003</v>
      </c>
      <c r="C9733" s="6" t="s">
        <v>131</v>
      </c>
      <c r="D9733" s="13" t="n">
        <v>45568</v>
      </c>
      <c r="E9733" s="14" t="n">
        <v>4136.87</v>
      </c>
      <c r="F9733" s="14" t="n">
        <v>68685.85</v>
      </c>
      <c r="G9733" s="6" t="s">
        <v>2613</v>
      </c>
    </row>
    <row r="9734" customFormat="false" ht="15" hidden="false" customHeight="true" outlineLevel="0" collapsed="false">
      <c r="A9734" s="6" t="s">
        <v>12346</v>
      </c>
      <c r="B9734" s="6" t="s">
        <v>2005</v>
      </c>
      <c r="C9734" s="6" t="s">
        <v>128</v>
      </c>
      <c r="D9734" s="13" t="n">
        <v>45365</v>
      </c>
      <c r="E9734" s="14" t="n">
        <v>5183.69</v>
      </c>
      <c r="F9734" s="14" t="n">
        <v>5183.69</v>
      </c>
      <c r="G9734" s="6" t="s">
        <v>2613</v>
      </c>
    </row>
    <row r="9735" customFormat="false" ht="15" hidden="false" customHeight="true" outlineLevel="0" collapsed="false">
      <c r="A9735" s="6" t="s">
        <v>12347</v>
      </c>
      <c r="B9735" s="6" t="s">
        <v>2005</v>
      </c>
      <c r="C9735" s="6" t="s">
        <v>128</v>
      </c>
      <c r="D9735" s="13" t="n">
        <v>45372</v>
      </c>
      <c r="E9735" s="14" t="n">
        <v>5275.3</v>
      </c>
      <c r="F9735" s="14" t="n">
        <v>10458.99</v>
      </c>
      <c r="G9735" s="6" t="s">
        <v>2613</v>
      </c>
    </row>
    <row r="9736" customFormat="false" ht="15" hidden="false" customHeight="true" outlineLevel="0" collapsed="false">
      <c r="A9736" s="6" t="s">
        <v>12348</v>
      </c>
      <c r="B9736" s="6" t="s">
        <v>2005</v>
      </c>
      <c r="C9736" s="6" t="s">
        <v>128</v>
      </c>
      <c r="D9736" s="13" t="n">
        <v>45379</v>
      </c>
      <c r="E9736" s="14" t="n">
        <v>3113.62</v>
      </c>
      <c r="F9736" s="14" t="n">
        <v>13572.61</v>
      </c>
      <c r="G9736" s="6" t="s">
        <v>2613</v>
      </c>
    </row>
    <row r="9737" customFormat="false" ht="15" hidden="false" customHeight="true" outlineLevel="0" collapsed="false">
      <c r="A9737" s="6" t="s">
        <v>12349</v>
      </c>
      <c r="B9737" s="6" t="s">
        <v>2007</v>
      </c>
      <c r="C9737" s="6" t="s">
        <v>116</v>
      </c>
      <c r="D9737" s="13" t="n">
        <v>45700</v>
      </c>
      <c r="E9737" s="14" t="n">
        <v>5903.55</v>
      </c>
      <c r="F9737" s="14" t="n">
        <v>5903.55</v>
      </c>
      <c r="G9737" s="6" t="s">
        <v>2613</v>
      </c>
    </row>
    <row r="9738" customFormat="false" ht="15" hidden="false" customHeight="true" outlineLevel="0" collapsed="false">
      <c r="A9738" s="6" t="s">
        <v>12350</v>
      </c>
      <c r="B9738" s="6" t="s">
        <v>2007</v>
      </c>
      <c r="C9738" s="6" t="s">
        <v>116</v>
      </c>
      <c r="D9738" s="13" t="n">
        <v>45707</v>
      </c>
      <c r="E9738" s="14" t="n">
        <v>3674.34</v>
      </c>
      <c r="F9738" s="14" t="n">
        <v>9577.89</v>
      </c>
      <c r="G9738" s="6" t="s">
        <v>2613</v>
      </c>
    </row>
    <row r="9739" customFormat="false" ht="15" hidden="false" customHeight="true" outlineLevel="0" collapsed="false">
      <c r="A9739" s="6" t="s">
        <v>12351</v>
      </c>
      <c r="B9739" s="6" t="s">
        <v>2007</v>
      </c>
      <c r="C9739" s="6" t="s">
        <v>116</v>
      </c>
      <c r="D9739" s="13" t="n">
        <v>45714</v>
      </c>
      <c r="E9739" s="14" t="n">
        <v>5908.42</v>
      </c>
      <c r="F9739" s="14" t="n">
        <v>15486.31</v>
      </c>
      <c r="G9739" s="6" t="s">
        <v>2613</v>
      </c>
    </row>
    <row r="9740" customFormat="false" ht="15" hidden="false" customHeight="true" outlineLevel="0" collapsed="false">
      <c r="A9740" s="6" t="s">
        <v>12352</v>
      </c>
      <c r="B9740" s="6" t="s">
        <v>2007</v>
      </c>
      <c r="C9740" s="6" t="s">
        <v>116</v>
      </c>
      <c r="D9740" s="13" t="n">
        <v>45721</v>
      </c>
      <c r="E9740" s="14" t="n">
        <v>3813.37</v>
      </c>
      <c r="F9740" s="14" t="n">
        <v>19299.68</v>
      </c>
      <c r="G9740" s="6" t="s">
        <v>2613</v>
      </c>
    </row>
    <row r="9741" customFormat="false" ht="15" hidden="false" customHeight="true" outlineLevel="0" collapsed="false">
      <c r="A9741" s="6" t="s">
        <v>12353</v>
      </c>
      <c r="B9741" s="6" t="s">
        <v>2007</v>
      </c>
      <c r="C9741" s="6" t="s">
        <v>116</v>
      </c>
      <c r="D9741" s="13" t="n">
        <v>45728</v>
      </c>
      <c r="E9741" s="14" t="n">
        <v>5177.82</v>
      </c>
      <c r="F9741" s="14" t="n">
        <v>24477.5</v>
      </c>
      <c r="G9741" s="6" t="s">
        <v>2613</v>
      </c>
    </row>
    <row r="9742" customFormat="false" ht="15" hidden="false" customHeight="true" outlineLevel="0" collapsed="false">
      <c r="A9742" s="6" t="s">
        <v>12354</v>
      </c>
      <c r="B9742" s="6" t="s">
        <v>2007</v>
      </c>
      <c r="C9742" s="6" t="s">
        <v>116</v>
      </c>
      <c r="D9742" s="13" t="n">
        <v>45735</v>
      </c>
      <c r="E9742" s="14" t="n">
        <v>5105.35</v>
      </c>
      <c r="F9742" s="14" t="n">
        <v>29582.85</v>
      </c>
      <c r="G9742" s="6" t="s">
        <v>2613</v>
      </c>
    </row>
    <row r="9743" customFormat="false" ht="15" hidden="false" customHeight="true" outlineLevel="0" collapsed="false">
      <c r="A9743" s="6" t="s">
        <v>12355</v>
      </c>
      <c r="B9743" s="6" t="s">
        <v>2007</v>
      </c>
      <c r="C9743" s="6" t="s">
        <v>116</v>
      </c>
      <c r="D9743" s="13" t="n">
        <v>45742</v>
      </c>
      <c r="E9743" s="14" t="n">
        <v>4138.58</v>
      </c>
      <c r="F9743" s="14" t="n">
        <v>33721.43</v>
      </c>
      <c r="G9743" s="6" t="s">
        <v>2613</v>
      </c>
    </row>
    <row r="9744" customFormat="false" ht="15" hidden="false" customHeight="true" outlineLevel="0" collapsed="false">
      <c r="A9744" s="6" t="s">
        <v>12356</v>
      </c>
      <c r="B9744" s="6" t="s">
        <v>2007</v>
      </c>
      <c r="C9744" s="6" t="s">
        <v>116</v>
      </c>
      <c r="D9744" s="13" t="n">
        <v>45749</v>
      </c>
      <c r="E9744" s="14" t="n">
        <v>5256.18</v>
      </c>
      <c r="F9744" s="14" t="n">
        <v>38977.61</v>
      </c>
      <c r="G9744" s="6" t="s">
        <v>2613</v>
      </c>
    </row>
    <row r="9745" customFormat="false" ht="15" hidden="false" customHeight="true" outlineLevel="0" collapsed="false">
      <c r="A9745" s="6" t="s">
        <v>12357</v>
      </c>
      <c r="B9745" s="6" t="s">
        <v>2007</v>
      </c>
      <c r="C9745" s="6" t="s">
        <v>116</v>
      </c>
      <c r="D9745" s="13" t="n">
        <v>45756</v>
      </c>
      <c r="E9745" s="14" t="n">
        <v>5525.96</v>
      </c>
      <c r="F9745" s="14" t="n">
        <v>44503.57</v>
      </c>
      <c r="G9745" s="6" t="s">
        <v>2613</v>
      </c>
    </row>
    <row r="9746" customFormat="false" ht="15" hidden="false" customHeight="true" outlineLevel="0" collapsed="false">
      <c r="A9746" s="6" t="s">
        <v>12358</v>
      </c>
      <c r="B9746" s="6" t="s">
        <v>2007</v>
      </c>
      <c r="C9746" s="6" t="s">
        <v>116</v>
      </c>
      <c r="D9746" s="13" t="n">
        <v>45763</v>
      </c>
      <c r="E9746" s="14" t="n">
        <v>4958.08</v>
      </c>
      <c r="F9746" s="14" t="n">
        <v>49461.65</v>
      </c>
      <c r="G9746" s="6" t="s">
        <v>2613</v>
      </c>
    </row>
    <row r="9747" customFormat="false" ht="15" hidden="false" customHeight="true" outlineLevel="0" collapsed="false">
      <c r="A9747" s="6" t="s">
        <v>12359</v>
      </c>
      <c r="B9747" s="6" t="s">
        <v>2007</v>
      </c>
      <c r="C9747" s="6" t="s">
        <v>116</v>
      </c>
      <c r="D9747" s="13" t="n">
        <v>45770</v>
      </c>
      <c r="E9747" s="14" t="n">
        <v>3668.32</v>
      </c>
      <c r="F9747" s="14" t="n">
        <v>53129.97</v>
      </c>
      <c r="G9747" s="6" t="s">
        <v>2613</v>
      </c>
    </row>
    <row r="9748" customFormat="false" ht="15" hidden="false" customHeight="true" outlineLevel="0" collapsed="false">
      <c r="A9748" s="6" t="s">
        <v>12360</v>
      </c>
      <c r="B9748" s="6" t="s">
        <v>2007</v>
      </c>
      <c r="C9748" s="6" t="s">
        <v>116</v>
      </c>
      <c r="D9748" s="13" t="n">
        <v>45777</v>
      </c>
      <c r="E9748" s="14" t="n">
        <v>13818.06</v>
      </c>
      <c r="F9748" s="14" t="n">
        <v>66948.03</v>
      </c>
      <c r="G9748" s="6" t="s">
        <v>2613</v>
      </c>
    </row>
    <row r="9749" customFormat="false" ht="15" hidden="false" customHeight="true" outlineLevel="0" collapsed="false">
      <c r="A9749" s="6" t="s">
        <v>12361</v>
      </c>
      <c r="B9749" s="6" t="s">
        <v>2009</v>
      </c>
      <c r="C9749" s="6" t="s">
        <v>124</v>
      </c>
      <c r="D9749" s="13" t="n">
        <v>46180</v>
      </c>
      <c r="E9749" s="14" t="n">
        <v>538.9</v>
      </c>
      <c r="F9749" s="14" t="n">
        <v>538.9</v>
      </c>
      <c r="G9749" s="6" t="s">
        <v>2613</v>
      </c>
    </row>
    <row r="9750" customFormat="false" ht="15" hidden="false" customHeight="true" outlineLevel="0" collapsed="false">
      <c r="A9750" s="6" t="s">
        <v>12362</v>
      </c>
      <c r="B9750" s="6" t="s">
        <v>2009</v>
      </c>
      <c r="C9750" s="6" t="s">
        <v>124</v>
      </c>
      <c r="D9750" s="13" t="n">
        <v>46187</v>
      </c>
      <c r="E9750" s="14" t="n">
        <v>810.53</v>
      </c>
      <c r="F9750" s="14" t="n">
        <v>1349.43</v>
      </c>
      <c r="G9750" s="6" t="s">
        <v>2613</v>
      </c>
    </row>
    <row r="9751" customFormat="false" ht="15" hidden="false" customHeight="true" outlineLevel="0" collapsed="false">
      <c r="A9751" s="6" t="s">
        <v>12363</v>
      </c>
      <c r="B9751" s="6" t="s">
        <v>2009</v>
      </c>
      <c r="C9751" s="6" t="s">
        <v>124</v>
      </c>
      <c r="D9751" s="13" t="n">
        <v>46194</v>
      </c>
      <c r="E9751" s="14" t="n">
        <v>655.45</v>
      </c>
      <c r="F9751" s="14" t="n">
        <v>2004.88</v>
      </c>
      <c r="G9751" s="6" t="s">
        <v>2613</v>
      </c>
    </row>
    <row r="9752" customFormat="false" ht="15" hidden="false" customHeight="true" outlineLevel="0" collapsed="false">
      <c r="A9752" s="6" t="s">
        <v>12364</v>
      </c>
      <c r="B9752" s="6" t="s">
        <v>2009</v>
      </c>
      <c r="C9752" s="6" t="s">
        <v>124</v>
      </c>
      <c r="D9752" s="13" t="n">
        <v>46201</v>
      </c>
      <c r="E9752" s="14" t="n">
        <v>440.86</v>
      </c>
      <c r="F9752" s="14" t="n">
        <v>2445.74</v>
      </c>
      <c r="G9752" s="6" t="s">
        <v>2623</v>
      </c>
    </row>
    <row r="9753" customFormat="false" ht="15" hidden="false" customHeight="true" outlineLevel="0" collapsed="false">
      <c r="A9753" s="6" t="s">
        <v>12365</v>
      </c>
      <c r="B9753" s="6" t="s">
        <v>2009</v>
      </c>
      <c r="C9753" s="6" t="s">
        <v>124</v>
      </c>
      <c r="D9753" s="13" t="n">
        <v>46208</v>
      </c>
      <c r="E9753" s="14" t="n">
        <v>471.72</v>
      </c>
      <c r="F9753" s="14" t="n">
        <v>2917.46</v>
      </c>
      <c r="G9753" s="6" t="s">
        <v>2613</v>
      </c>
    </row>
    <row r="9754" customFormat="false" ht="15" hidden="false" customHeight="true" outlineLevel="0" collapsed="false">
      <c r="A9754" s="6" t="s">
        <v>12366</v>
      </c>
      <c r="B9754" s="6" t="s">
        <v>2009</v>
      </c>
      <c r="C9754" s="6" t="s">
        <v>124</v>
      </c>
      <c r="D9754" s="13" t="n">
        <v>46215</v>
      </c>
      <c r="E9754" s="14" t="n">
        <v>614.78</v>
      </c>
      <c r="F9754" s="14" t="n">
        <v>3532.24</v>
      </c>
      <c r="G9754" s="6" t="s">
        <v>2613</v>
      </c>
    </row>
    <row r="9755" customFormat="false" ht="15" hidden="false" customHeight="true" outlineLevel="0" collapsed="false">
      <c r="A9755" s="6" t="s">
        <v>12367</v>
      </c>
      <c r="B9755" s="6" t="s">
        <v>2009</v>
      </c>
      <c r="C9755" s="6" t="s">
        <v>124</v>
      </c>
      <c r="D9755" s="13" t="n">
        <v>46222</v>
      </c>
      <c r="E9755" s="14" t="n">
        <v>425.36</v>
      </c>
      <c r="F9755" s="14" t="n">
        <v>3957.6</v>
      </c>
      <c r="G9755" s="6" t="s">
        <v>2613</v>
      </c>
    </row>
    <row r="9756" customFormat="false" ht="15" hidden="false" customHeight="true" outlineLevel="0" collapsed="false">
      <c r="A9756" s="6" t="s">
        <v>12368</v>
      </c>
      <c r="B9756" s="6" t="s">
        <v>2009</v>
      </c>
      <c r="C9756" s="6" t="s">
        <v>124</v>
      </c>
      <c r="D9756" s="13" t="n">
        <v>46229</v>
      </c>
      <c r="E9756" s="14" t="n">
        <v>850.11</v>
      </c>
      <c r="F9756" s="14" t="n">
        <v>4807.71</v>
      </c>
      <c r="G9756" s="6" t="s">
        <v>2613</v>
      </c>
    </row>
    <row r="9757" customFormat="false" ht="15" hidden="false" customHeight="true" outlineLevel="0" collapsed="false">
      <c r="A9757" s="6" t="s">
        <v>12369</v>
      </c>
      <c r="B9757" s="6" t="s">
        <v>2009</v>
      </c>
      <c r="C9757" s="6" t="s">
        <v>124</v>
      </c>
      <c r="D9757" s="13" t="n">
        <v>46236</v>
      </c>
      <c r="E9757" s="14" t="n">
        <v>567.61</v>
      </c>
      <c r="F9757" s="14" t="n">
        <v>5375.32</v>
      </c>
      <c r="G9757" s="6" t="s">
        <v>2613</v>
      </c>
    </row>
    <row r="9758" customFormat="false" ht="15" hidden="false" customHeight="true" outlineLevel="0" collapsed="false">
      <c r="A9758" s="6" t="s">
        <v>12370</v>
      </c>
      <c r="B9758" s="6" t="s">
        <v>2009</v>
      </c>
      <c r="C9758" s="6" t="s">
        <v>124</v>
      </c>
      <c r="D9758" s="13" t="n">
        <v>46243</v>
      </c>
      <c r="E9758" s="14" t="n">
        <v>855.08</v>
      </c>
      <c r="F9758" s="14" t="n">
        <v>6230.4</v>
      </c>
      <c r="G9758" s="6" t="s">
        <v>2613</v>
      </c>
    </row>
    <row r="9759" customFormat="false" ht="15" hidden="false" customHeight="true" outlineLevel="0" collapsed="false">
      <c r="A9759" s="6" t="s">
        <v>12371</v>
      </c>
      <c r="B9759" s="6" t="s">
        <v>2011</v>
      </c>
      <c r="C9759" s="6" t="s">
        <v>128</v>
      </c>
      <c r="D9759" s="13" t="n">
        <v>45081</v>
      </c>
      <c r="E9759" s="14" t="n">
        <v>421</v>
      </c>
      <c r="F9759" s="14" t="n">
        <v>421</v>
      </c>
      <c r="G9759" s="6" t="s">
        <v>2613</v>
      </c>
    </row>
    <row r="9760" customFormat="false" ht="15" hidden="false" customHeight="true" outlineLevel="0" collapsed="false">
      <c r="A9760" s="6" t="s">
        <v>12372</v>
      </c>
      <c r="B9760" s="6" t="s">
        <v>2011</v>
      </c>
      <c r="C9760" s="6" t="s">
        <v>128</v>
      </c>
      <c r="D9760" s="13" t="n">
        <v>45088</v>
      </c>
      <c r="E9760" s="14" t="n">
        <v>948.1</v>
      </c>
      <c r="F9760" s="14" t="n">
        <v>1369.1</v>
      </c>
      <c r="G9760" s="6" t="s">
        <v>2613</v>
      </c>
    </row>
    <row r="9761" customFormat="false" ht="15" hidden="false" customHeight="true" outlineLevel="0" collapsed="false">
      <c r="A9761" s="6" t="s">
        <v>12373</v>
      </c>
      <c r="B9761" s="6" t="s">
        <v>2011</v>
      </c>
      <c r="C9761" s="6" t="s">
        <v>128</v>
      </c>
      <c r="D9761" s="13" t="n">
        <v>45095</v>
      </c>
      <c r="E9761" s="14" t="n">
        <v>723.46</v>
      </c>
      <c r="F9761" s="14" t="n">
        <v>2092.56</v>
      </c>
      <c r="G9761" s="6" t="s">
        <v>2623</v>
      </c>
    </row>
    <row r="9762" customFormat="false" ht="15" hidden="false" customHeight="true" outlineLevel="0" collapsed="false">
      <c r="A9762" s="6" t="s">
        <v>12374</v>
      </c>
      <c r="B9762" s="6" t="s">
        <v>2011</v>
      </c>
      <c r="C9762" s="6" t="s">
        <v>128</v>
      </c>
      <c r="D9762" s="13" t="n">
        <v>45102</v>
      </c>
      <c r="E9762" s="14" t="n">
        <v>948.35</v>
      </c>
      <c r="F9762" s="14" t="n">
        <v>3040.91</v>
      </c>
      <c r="G9762" s="6" t="s">
        <v>2613</v>
      </c>
    </row>
    <row r="9763" customFormat="false" ht="15" hidden="false" customHeight="true" outlineLevel="0" collapsed="false">
      <c r="A9763" s="6" t="s">
        <v>12375</v>
      </c>
      <c r="B9763" s="6" t="s">
        <v>2011</v>
      </c>
      <c r="C9763" s="6" t="s">
        <v>128</v>
      </c>
      <c r="D9763" s="13" t="n">
        <v>45109</v>
      </c>
      <c r="E9763" s="14" t="n">
        <v>701.34</v>
      </c>
      <c r="F9763" s="14" t="n">
        <v>3742.25</v>
      </c>
      <c r="G9763" s="6" t="s">
        <v>2613</v>
      </c>
    </row>
    <row r="9764" customFormat="false" ht="15" hidden="false" customHeight="true" outlineLevel="0" collapsed="false">
      <c r="A9764" s="6" t="s">
        <v>12376</v>
      </c>
      <c r="B9764" s="6" t="s">
        <v>2011</v>
      </c>
      <c r="C9764" s="6" t="s">
        <v>128</v>
      </c>
      <c r="D9764" s="13" t="n">
        <v>45116</v>
      </c>
      <c r="E9764" s="14" t="n">
        <v>619.78</v>
      </c>
      <c r="F9764" s="14" t="n">
        <v>4362.03</v>
      </c>
      <c r="G9764" s="6" t="s">
        <v>2613</v>
      </c>
    </row>
    <row r="9765" customFormat="false" ht="15" hidden="false" customHeight="true" outlineLevel="0" collapsed="false">
      <c r="A9765" s="6" t="s">
        <v>12377</v>
      </c>
      <c r="B9765" s="6" t="s">
        <v>2011</v>
      </c>
      <c r="C9765" s="6" t="s">
        <v>128</v>
      </c>
      <c r="D9765" s="13" t="n">
        <v>45123</v>
      </c>
      <c r="E9765" s="14" t="n">
        <v>724.34</v>
      </c>
      <c r="F9765" s="14" t="n">
        <v>5086.37</v>
      </c>
      <c r="G9765" s="6" t="s">
        <v>2613</v>
      </c>
    </row>
    <row r="9766" customFormat="false" ht="15" hidden="false" customHeight="true" outlineLevel="0" collapsed="false">
      <c r="A9766" s="6" t="s">
        <v>12378</v>
      </c>
      <c r="B9766" s="6" t="s">
        <v>2011</v>
      </c>
      <c r="C9766" s="6" t="s">
        <v>128</v>
      </c>
      <c r="D9766" s="13" t="n">
        <v>45130</v>
      </c>
      <c r="E9766" s="14" t="n">
        <v>391.52</v>
      </c>
      <c r="F9766" s="14" t="n">
        <v>5477.89</v>
      </c>
      <c r="G9766" s="6" t="s">
        <v>2613</v>
      </c>
    </row>
    <row r="9767" customFormat="false" ht="15" hidden="false" customHeight="true" outlineLevel="0" collapsed="false">
      <c r="A9767" s="6" t="s">
        <v>12379</v>
      </c>
      <c r="B9767" s="6" t="s">
        <v>2013</v>
      </c>
      <c r="C9767" s="6" t="s">
        <v>124</v>
      </c>
      <c r="D9767" s="13" t="n">
        <v>44924</v>
      </c>
      <c r="E9767" s="14" t="n">
        <v>2284.88</v>
      </c>
      <c r="F9767" s="14" t="n">
        <v>2284.88</v>
      </c>
      <c r="G9767" s="6" t="s">
        <v>2613</v>
      </c>
    </row>
    <row r="9768" customFormat="false" ht="15" hidden="false" customHeight="true" outlineLevel="0" collapsed="false">
      <c r="A9768" s="6" t="s">
        <v>12380</v>
      </c>
      <c r="B9768" s="6" t="s">
        <v>2013</v>
      </c>
      <c r="C9768" s="6" t="s">
        <v>124</v>
      </c>
      <c r="D9768" s="13" t="n">
        <v>44931</v>
      </c>
      <c r="E9768" s="14" t="n">
        <v>3478.54</v>
      </c>
      <c r="F9768" s="14" t="n">
        <v>5763.42</v>
      </c>
      <c r="G9768" s="6" t="s">
        <v>2613</v>
      </c>
    </row>
    <row r="9769" customFormat="false" ht="15" hidden="false" customHeight="true" outlineLevel="0" collapsed="false">
      <c r="A9769" s="6" t="s">
        <v>12381</v>
      </c>
      <c r="B9769" s="6" t="s">
        <v>2013</v>
      </c>
      <c r="C9769" s="6" t="s">
        <v>124</v>
      </c>
      <c r="D9769" s="13" t="n">
        <v>44938</v>
      </c>
      <c r="E9769" s="14" t="n">
        <v>3338.38</v>
      </c>
      <c r="F9769" s="14" t="n">
        <v>9101.8</v>
      </c>
      <c r="G9769" s="6" t="s">
        <v>2613</v>
      </c>
    </row>
    <row r="9770" customFormat="false" ht="15" hidden="false" customHeight="true" outlineLevel="0" collapsed="false">
      <c r="A9770" s="6" t="s">
        <v>12382</v>
      </c>
      <c r="B9770" s="6" t="s">
        <v>2013</v>
      </c>
      <c r="C9770" s="6" t="s">
        <v>124</v>
      </c>
      <c r="D9770" s="13" t="n">
        <v>44945</v>
      </c>
      <c r="E9770" s="14" t="n">
        <v>2449.71</v>
      </c>
      <c r="F9770" s="14" t="n">
        <v>11551.51</v>
      </c>
      <c r="G9770" s="6" t="s">
        <v>2613</v>
      </c>
    </row>
    <row r="9771" customFormat="false" ht="15" hidden="false" customHeight="true" outlineLevel="0" collapsed="false">
      <c r="A9771" s="6" t="s">
        <v>12383</v>
      </c>
      <c r="B9771" s="6" t="s">
        <v>2013</v>
      </c>
      <c r="C9771" s="6" t="s">
        <v>124</v>
      </c>
      <c r="D9771" s="13" t="n">
        <v>44952</v>
      </c>
      <c r="E9771" s="14" t="n">
        <v>3020.35</v>
      </c>
      <c r="F9771" s="14" t="n">
        <v>14571.86</v>
      </c>
      <c r="G9771" s="6" t="s">
        <v>2613</v>
      </c>
    </row>
    <row r="9772" customFormat="false" ht="15" hidden="false" customHeight="true" outlineLevel="0" collapsed="false">
      <c r="A9772" s="6" t="s">
        <v>12384</v>
      </c>
      <c r="B9772" s="6" t="s">
        <v>2013</v>
      </c>
      <c r="C9772" s="6" t="s">
        <v>124</v>
      </c>
      <c r="D9772" s="13" t="n">
        <v>44959</v>
      </c>
      <c r="E9772" s="14" t="n">
        <v>3346.08</v>
      </c>
      <c r="F9772" s="14" t="n">
        <v>17917.94</v>
      </c>
      <c r="G9772" s="6" t="s">
        <v>2613</v>
      </c>
    </row>
    <row r="9773" customFormat="false" ht="15" hidden="false" customHeight="true" outlineLevel="0" collapsed="false">
      <c r="A9773" s="6" t="s">
        <v>12385</v>
      </c>
      <c r="B9773" s="6" t="s">
        <v>2013</v>
      </c>
      <c r="C9773" s="6" t="s">
        <v>124</v>
      </c>
      <c r="D9773" s="13" t="n">
        <v>44966</v>
      </c>
      <c r="E9773" s="14" t="n">
        <v>1900.06</v>
      </c>
      <c r="F9773" s="14" t="n">
        <v>19818</v>
      </c>
      <c r="G9773" s="6" t="s">
        <v>2613</v>
      </c>
    </row>
    <row r="9774" customFormat="false" ht="15" hidden="false" customHeight="true" outlineLevel="0" collapsed="false">
      <c r="A9774" s="6" t="s">
        <v>12386</v>
      </c>
      <c r="B9774" s="6" t="s">
        <v>2013</v>
      </c>
      <c r="C9774" s="6" t="s">
        <v>124</v>
      </c>
      <c r="D9774" s="13" t="n">
        <v>44973</v>
      </c>
      <c r="E9774" s="14" t="n">
        <v>2489.74</v>
      </c>
      <c r="F9774" s="14" t="n">
        <v>22307.74</v>
      </c>
      <c r="G9774" s="6" t="s">
        <v>2623</v>
      </c>
    </row>
    <row r="9775" customFormat="false" ht="15" hidden="false" customHeight="true" outlineLevel="0" collapsed="false">
      <c r="A9775" s="6" t="s">
        <v>12387</v>
      </c>
      <c r="B9775" s="6" t="s">
        <v>2013</v>
      </c>
      <c r="C9775" s="6" t="s">
        <v>124</v>
      </c>
      <c r="D9775" s="13" t="n">
        <v>44980</v>
      </c>
      <c r="E9775" s="14" t="n">
        <v>1739.62</v>
      </c>
      <c r="F9775" s="14" t="n">
        <v>24047.36</v>
      </c>
      <c r="G9775" s="6" t="s">
        <v>2613</v>
      </c>
    </row>
    <row r="9776" customFormat="false" ht="15" hidden="false" customHeight="true" outlineLevel="0" collapsed="false">
      <c r="A9776" s="6" t="s">
        <v>12388</v>
      </c>
      <c r="B9776" s="6" t="s">
        <v>2013</v>
      </c>
      <c r="C9776" s="6" t="s">
        <v>124</v>
      </c>
      <c r="D9776" s="13" t="n">
        <v>44987</v>
      </c>
      <c r="E9776" s="14" t="n">
        <v>2869.44</v>
      </c>
      <c r="F9776" s="14" t="n">
        <v>26916.8</v>
      </c>
      <c r="G9776" s="6" t="s">
        <v>2623</v>
      </c>
    </row>
    <row r="9777" customFormat="false" ht="15" hidden="false" customHeight="true" outlineLevel="0" collapsed="false">
      <c r="A9777" s="6" t="s">
        <v>12389</v>
      </c>
      <c r="B9777" s="6" t="s">
        <v>2013</v>
      </c>
      <c r="C9777" s="6" t="s">
        <v>124</v>
      </c>
      <c r="D9777" s="13" t="n">
        <v>44994</v>
      </c>
      <c r="E9777" s="14" t="n">
        <v>3446.68</v>
      </c>
      <c r="F9777" s="14" t="n">
        <v>30363.48</v>
      </c>
      <c r="G9777" s="6" t="s">
        <v>2613</v>
      </c>
    </row>
    <row r="9778" customFormat="false" ht="15" hidden="false" customHeight="true" outlineLevel="0" collapsed="false">
      <c r="A9778" s="6" t="s">
        <v>12390</v>
      </c>
      <c r="B9778" s="6" t="s">
        <v>2013</v>
      </c>
      <c r="C9778" s="6" t="s">
        <v>124</v>
      </c>
      <c r="D9778" s="13" t="n">
        <v>45001</v>
      </c>
      <c r="E9778" s="14" t="n">
        <v>1920.43</v>
      </c>
      <c r="F9778" s="14" t="n">
        <v>32283.91</v>
      </c>
      <c r="G9778" s="6" t="s">
        <v>2613</v>
      </c>
    </row>
    <row r="9779" customFormat="false" ht="15" hidden="false" customHeight="true" outlineLevel="0" collapsed="false">
      <c r="A9779" s="6" t="s">
        <v>12391</v>
      </c>
      <c r="B9779" s="6" t="s">
        <v>2013</v>
      </c>
      <c r="C9779" s="6" t="s">
        <v>124</v>
      </c>
      <c r="D9779" s="13" t="n">
        <v>45008</v>
      </c>
      <c r="E9779" s="14" t="n">
        <v>2974.6</v>
      </c>
      <c r="F9779" s="14" t="n">
        <v>35258.51</v>
      </c>
      <c r="G9779" s="6" t="s">
        <v>2613</v>
      </c>
    </row>
    <row r="9780" customFormat="false" ht="15" hidden="false" customHeight="true" outlineLevel="0" collapsed="false">
      <c r="A9780" s="6" t="s">
        <v>12392</v>
      </c>
      <c r="B9780" s="6" t="s">
        <v>2013</v>
      </c>
      <c r="C9780" s="6" t="s">
        <v>124</v>
      </c>
      <c r="D9780" s="13" t="n">
        <v>45015</v>
      </c>
      <c r="E9780" s="14" t="n">
        <v>1516.49</v>
      </c>
      <c r="F9780" s="14" t="n">
        <v>36775</v>
      </c>
      <c r="G9780" s="6" t="s">
        <v>2613</v>
      </c>
    </row>
    <row r="9781" customFormat="false" ht="15" hidden="false" customHeight="true" outlineLevel="0" collapsed="false">
      <c r="A9781" s="6" t="s">
        <v>12393</v>
      </c>
      <c r="B9781" s="6" t="s">
        <v>2013</v>
      </c>
      <c r="C9781" s="6" t="s">
        <v>124</v>
      </c>
      <c r="D9781" s="13" t="n">
        <v>45022</v>
      </c>
      <c r="E9781" s="14" t="n">
        <v>2359.35</v>
      </c>
      <c r="F9781" s="14" t="n">
        <v>39134.35</v>
      </c>
      <c r="G9781" s="6" t="s">
        <v>2613</v>
      </c>
    </row>
    <row r="9782" customFormat="false" ht="15" hidden="false" customHeight="true" outlineLevel="0" collapsed="false">
      <c r="A9782" s="6" t="s">
        <v>12394</v>
      </c>
      <c r="B9782" s="6" t="s">
        <v>2013</v>
      </c>
      <c r="C9782" s="6" t="s">
        <v>124</v>
      </c>
      <c r="D9782" s="13" t="n">
        <v>45029</v>
      </c>
      <c r="E9782" s="14" t="n">
        <v>2528.92</v>
      </c>
      <c r="F9782" s="14" t="n">
        <v>41663.27</v>
      </c>
      <c r="G9782" s="6" t="s">
        <v>2613</v>
      </c>
    </row>
    <row r="9783" customFormat="false" ht="15" hidden="false" customHeight="true" outlineLevel="0" collapsed="false">
      <c r="A9783" s="6" t="s">
        <v>12395</v>
      </c>
      <c r="B9783" s="6" t="s">
        <v>2013</v>
      </c>
      <c r="C9783" s="6" t="s">
        <v>124</v>
      </c>
      <c r="D9783" s="13" t="n">
        <v>45036</v>
      </c>
      <c r="E9783" s="14" t="n">
        <v>3250.58</v>
      </c>
      <c r="F9783" s="14" t="n">
        <v>44913.85</v>
      </c>
      <c r="G9783" s="6" t="s">
        <v>2613</v>
      </c>
    </row>
    <row r="9784" customFormat="false" ht="15" hidden="false" customHeight="true" outlineLevel="0" collapsed="false">
      <c r="A9784" s="6" t="s">
        <v>12396</v>
      </c>
      <c r="B9784" s="6" t="s">
        <v>2013</v>
      </c>
      <c r="C9784" s="6" t="s">
        <v>124</v>
      </c>
      <c r="D9784" s="13" t="n">
        <v>45043</v>
      </c>
      <c r="E9784" s="14" t="n">
        <v>2351.49</v>
      </c>
      <c r="F9784" s="14" t="n">
        <v>47265.34</v>
      </c>
      <c r="G9784" s="6" t="s">
        <v>2623</v>
      </c>
    </row>
    <row r="9785" customFormat="false" ht="15" hidden="false" customHeight="true" outlineLevel="0" collapsed="false">
      <c r="A9785" s="6" t="s">
        <v>12397</v>
      </c>
      <c r="B9785" s="6" t="s">
        <v>2013</v>
      </c>
      <c r="C9785" s="6" t="s">
        <v>124</v>
      </c>
      <c r="D9785" s="13" t="n">
        <v>45050</v>
      </c>
      <c r="E9785" s="14" t="n">
        <v>2975.94</v>
      </c>
      <c r="F9785" s="14" t="n">
        <v>50241.28</v>
      </c>
      <c r="G9785" s="6" t="s">
        <v>2613</v>
      </c>
    </row>
    <row r="9786" customFormat="false" ht="15" hidden="false" customHeight="true" outlineLevel="0" collapsed="false">
      <c r="A9786" s="6" t="s">
        <v>12398</v>
      </c>
      <c r="B9786" s="6" t="s">
        <v>2015</v>
      </c>
      <c r="C9786" s="6" t="s">
        <v>131</v>
      </c>
      <c r="D9786" s="13" t="n">
        <v>45004</v>
      </c>
      <c r="E9786" s="14" t="n">
        <v>1600.79</v>
      </c>
      <c r="F9786" s="14" t="n">
        <v>1600.79</v>
      </c>
      <c r="G9786" s="6" t="s">
        <v>2613</v>
      </c>
    </row>
    <row r="9787" customFormat="false" ht="15" hidden="false" customHeight="true" outlineLevel="0" collapsed="false">
      <c r="A9787" s="6" t="s">
        <v>12399</v>
      </c>
      <c r="B9787" s="6" t="s">
        <v>2015</v>
      </c>
      <c r="C9787" s="6" t="s">
        <v>131</v>
      </c>
      <c r="D9787" s="13" t="n">
        <v>45011</v>
      </c>
      <c r="E9787" s="14" t="n">
        <v>938.27</v>
      </c>
      <c r="F9787" s="14" t="n">
        <v>2539.06</v>
      </c>
      <c r="G9787" s="6" t="s">
        <v>2613</v>
      </c>
    </row>
    <row r="9788" customFormat="false" ht="15" hidden="false" customHeight="true" outlineLevel="0" collapsed="false">
      <c r="A9788" s="6" t="s">
        <v>12400</v>
      </c>
      <c r="B9788" s="6" t="s">
        <v>2015</v>
      </c>
      <c r="C9788" s="6" t="s">
        <v>131</v>
      </c>
      <c r="D9788" s="13" t="n">
        <v>45018</v>
      </c>
      <c r="E9788" s="14" t="n">
        <v>843.37</v>
      </c>
      <c r="F9788" s="14" t="n">
        <v>3382.43</v>
      </c>
      <c r="G9788" s="6" t="s">
        <v>2613</v>
      </c>
    </row>
    <row r="9789" customFormat="false" ht="15" hidden="false" customHeight="true" outlineLevel="0" collapsed="false">
      <c r="A9789" s="6" t="s">
        <v>12401</v>
      </c>
      <c r="B9789" s="6" t="s">
        <v>2015</v>
      </c>
      <c r="C9789" s="6" t="s">
        <v>131</v>
      </c>
      <c r="D9789" s="13" t="n">
        <v>45025</v>
      </c>
      <c r="E9789" s="14" t="n">
        <v>1138.92</v>
      </c>
      <c r="F9789" s="14" t="n">
        <v>4521.35</v>
      </c>
      <c r="G9789" s="6" t="s">
        <v>2613</v>
      </c>
    </row>
    <row r="9790" customFormat="false" ht="15" hidden="false" customHeight="true" outlineLevel="0" collapsed="false">
      <c r="A9790" s="6" t="s">
        <v>12402</v>
      </c>
      <c r="B9790" s="6" t="s">
        <v>2015</v>
      </c>
      <c r="C9790" s="6" t="s">
        <v>131</v>
      </c>
      <c r="D9790" s="13" t="n">
        <v>45032</v>
      </c>
      <c r="E9790" s="14" t="n">
        <v>1293.09</v>
      </c>
      <c r="F9790" s="14" t="n">
        <v>5814.44</v>
      </c>
      <c r="G9790" s="6" t="s">
        <v>2613</v>
      </c>
    </row>
    <row r="9791" customFormat="false" ht="15" hidden="false" customHeight="true" outlineLevel="0" collapsed="false">
      <c r="A9791" s="6" t="s">
        <v>12403</v>
      </c>
      <c r="B9791" s="6" t="s">
        <v>2015</v>
      </c>
      <c r="C9791" s="6" t="s">
        <v>131</v>
      </c>
      <c r="D9791" s="13" t="n">
        <v>45039</v>
      </c>
      <c r="E9791" s="14" t="n">
        <v>1391.7</v>
      </c>
      <c r="F9791" s="14" t="n">
        <v>7206.14</v>
      </c>
      <c r="G9791" s="6" t="s">
        <v>2613</v>
      </c>
    </row>
    <row r="9792" customFormat="false" ht="15" hidden="false" customHeight="true" outlineLevel="0" collapsed="false">
      <c r="A9792" s="6" t="s">
        <v>12404</v>
      </c>
      <c r="B9792" s="6" t="s">
        <v>2015</v>
      </c>
      <c r="C9792" s="6" t="s">
        <v>131</v>
      </c>
      <c r="D9792" s="13" t="n">
        <v>45046</v>
      </c>
      <c r="E9792" s="14" t="n">
        <v>1050.48</v>
      </c>
      <c r="F9792" s="14" t="n">
        <v>8256.62</v>
      </c>
      <c r="G9792" s="6" t="s">
        <v>2613</v>
      </c>
    </row>
    <row r="9793" customFormat="false" ht="15" hidden="false" customHeight="true" outlineLevel="0" collapsed="false">
      <c r="A9793" s="6" t="s">
        <v>12405</v>
      </c>
      <c r="B9793" s="6" t="s">
        <v>2015</v>
      </c>
      <c r="C9793" s="6" t="s">
        <v>131</v>
      </c>
      <c r="D9793" s="13" t="n">
        <v>45053</v>
      </c>
      <c r="E9793" s="14" t="n">
        <v>931.19</v>
      </c>
      <c r="F9793" s="14" t="n">
        <v>9187.81</v>
      </c>
      <c r="G9793" s="6" t="s">
        <v>2613</v>
      </c>
    </row>
    <row r="9794" customFormat="false" ht="15" hidden="false" customHeight="true" outlineLevel="0" collapsed="false">
      <c r="A9794" s="6" t="s">
        <v>12406</v>
      </c>
      <c r="B9794" s="6" t="s">
        <v>2015</v>
      </c>
      <c r="C9794" s="6" t="s">
        <v>131</v>
      </c>
      <c r="D9794" s="13" t="n">
        <v>45060</v>
      </c>
      <c r="E9794" s="14" t="n">
        <v>1097.08</v>
      </c>
      <c r="F9794" s="14" t="n">
        <v>10284.89</v>
      </c>
      <c r="G9794" s="6" t="s">
        <v>2613</v>
      </c>
    </row>
    <row r="9795" customFormat="false" ht="15" hidden="false" customHeight="true" outlineLevel="0" collapsed="false">
      <c r="A9795" s="6" t="s">
        <v>12407</v>
      </c>
      <c r="B9795" s="6" t="s">
        <v>2015</v>
      </c>
      <c r="C9795" s="6" t="s">
        <v>131</v>
      </c>
      <c r="D9795" s="13" t="n">
        <v>45067</v>
      </c>
      <c r="E9795" s="14" t="n">
        <v>1042.49</v>
      </c>
      <c r="F9795" s="14" t="n">
        <v>11327.38</v>
      </c>
      <c r="G9795" s="6" t="s">
        <v>2613</v>
      </c>
    </row>
    <row r="9796" customFormat="false" ht="15" hidden="false" customHeight="true" outlineLevel="0" collapsed="false">
      <c r="A9796" s="6" t="s">
        <v>12408</v>
      </c>
      <c r="B9796" s="6" t="s">
        <v>2015</v>
      </c>
      <c r="C9796" s="6" t="s">
        <v>131</v>
      </c>
      <c r="D9796" s="13" t="n">
        <v>45074</v>
      </c>
      <c r="E9796" s="14" t="n">
        <v>1224.67</v>
      </c>
      <c r="F9796" s="14" t="n">
        <v>12552.05</v>
      </c>
      <c r="G9796" s="6" t="s">
        <v>2613</v>
      </c>
    </row>
    <row r="9797" customFormat="false" ht="15" hidden="false" customHeight="true" outlineLevel="0" collapsed="false">
      <c r="A9797" s="6" t="s">
        <v>12409</v>
      </c>
      <c r="B9797" s="6" t="s">
        <v>2015</v>
      </c>
      <c r="C9797" s="6" t="s">
        <v>131</v>
      </c>
      <c r="D9797" s="13" t="n">
        <v>45081</v>
      </c>
      <c r="E9797" s="14" t="n">
        <v>1095.4</v>
      </c>
      <c r="F9797" s="14" t="n">
        <v>13647.45</v>
      </c>
      <c r="G9797" s="6" t="s">
        <v>2623</v>
      </c>
    </row>
    <row r="9798" customFormat="false" ht="15" hidden="false" customHeight="true" outlineLevel="0" collapsed="false">
      <c r="A9798" s="6" t="s">
        <v>12410</v>
      </c>
      <c r="B9798" s="6" t="s">
        <v>2015</v>
      </c>
      <c r="C9798" s="6" t="s">
        <v>131</v>
      </c>
      <c r="D9798" s="13" t="n">
        <v>45088</v>
      </c>
      <c r="E9798" s="14" t="n">
        <v>1013.62</v>
      </c>
      <c r="F9798" s="14" t="n">
        <v>14661.07</v>
      </c>
      <c r="G9798" s="6" t="s">
        <v>2613</v>
      </c>
    </row>
    <row r="9799" customFormat="false" ht="15" hidden="false" customHeight="true" outlineLevel="0" collapsed="false">
      <c r="A9799" s="6" t="s">
        <v>12411</v>
      </c>
      <c r="B9799" s="6" t="s">
        <v>2015</v>
      </c>
      <c r="C9799" s="6" t="s">
        <v>131</v>
      </c>
      <c r="D9799" s="13" t="n">
        <v>45095</v>
      </c>
      <c r="E9799" s="14" t="n">
        <v>1366.96</v>
      </c>
      <c r="F9799" s="14" t="n">
        <v>16028.03</v>
      </c>
      <c r="G9799" s="6" t="s">
        <v>2613</v>
      </c>
    </row>
    <row r="9800" customFormat="false" ht="15" hidden="false" customHeight="true" outlineLevel="0" collapsed="false">
      <c r="A9800" s="6" t="s">
        <v>12412</v>
      </c>
      <c r="B9800" s="6" t="s">
        <v>2015</v>
      </c>
      <c r="C9800" s="6" t="s">
        <v>131</v>
      </c>
      <c r="D9800" s="13" t="n">
        <v>45102</v>
      </c>
      <c r="E9800" s="14" t="n">
        <v>1096.07</v>
      </c>
      <c r="F9800" s="14" t="n">
        <v>17124.1</v>
      </c>
      <c r="G9800" s="6" t="s">
        <v>2613</v>
      </c>
    </row>
    <row r="9801" customFormat="false" ht="15" hidden="false" customHeight="true" outlineLevel="0" collapsed="false">
      <c r="A9801" s="6" t="s">
        <v>12413</v>
      </c>
      <c r="B9801" s="6" t="s">
        <v>2015</v>
      </c>
      <c r="C9801" s="6" t="s">
        <v>131</v>
      </c>
      <c r="D9801" s="13" t="n">
        <v>45109</v>
      </c>
      <c r="E9801" s="14" t="n">
        <v>982.52</v>
      </c>
      <c r="F9801" s="14" t="n">
        <v>18106.62</v>
      </c>
      <c r="G9801" s="6" t="s">
        <v>2623</v>
      </c>
    </row>
    <row r="9802" customFormat="false" ht="15" hidden="false" customHeight="true" outlineLevel="0" collapsed="false">
      <c r="A9802" s="6" t="s">
        <v>12414</v>
      </c>
      <c r="B9802" s="6" t="s">
        <v>2015</v>
      </c>
      <c r="C9802" s="6" t="s">
        <v>131</v>
      </c>
      <c r="D9802" s="13" t="n">
        <v>45116</v>
      </c>
      <c r="E9802" s="14" t="n">
        <v>1275.34</v>
      </c>
      <c r="F9802" s="14" t="n">
        <v>19381.96</v>
      </c>
      <c r="G9802" s="6" t="s">
        <v>2613</v>
      </c>
    </row>
    <row r="9803" customFormat="false" ht="15" hidden="false" customHeight="true" outlineLevel="0" collapsed="false">
      <c r="A9803" s="6" t="s">
        <v>12415</v>
      </c>
      <c r="B9803" s="6" t="s">
        <v>2015</v>
      </c>
      <c r="C9803" s="6" t="s">
        <v>131</v>
      </c>
      <c r="D9803" s="13" t="n">
        <v>45123</v>
      </c>
      <c r="E9803" s="14" t="n">
        <v>1400.37</v>
      </c>
      <c r="F9803" s="14" t="n">
        <v>20782.33</v>
      </c>
      <c r="G9803" s="6" t="s">
        <v>2613</v>
      </c>
    </row>
    <row r="9804" customFormat="false" ht="15" hidden="false" customHeight="true" outlineLevel="0" collapsed="false">
      <c r="A9804" s="6" t="s">
        <v>12416</v>
      </c>
      <c r="B9804" s="6" t="s">
        <v>2015</v>
      </c>
      <c r="C9804" s="6" t="s">
        <v>131</v>
      </c>
      <c r="D9804" s="13" t="n">
        <v>45130</v>
      </c>
      <c r="E9804" s="14" t="n">
        <v>1143.65</v>
      </c>
      <c r="F9804" s="14" t="n">
        <v>21925.98</v>
      </c>
      <c r="G9804" s="6" t="s">
        <v>2613</v>
      </c>
    </row>
    <row r="9805" customFormat="false" ht="15" hidden="false" customHeight="true" outlineLevel="0" collapsed="false">
      <c r="A9805" s="6" t="s">
        <v>12417</v>
      </c>
      <c r="B9805" s="6" t="s">
        <v>2015</v>
      </c>
      <c r="C9805" s="6" t="s">
        <v>131</v>
      </c>
      <c r="D9805" s="13" t="n">
        <v>45137</v>
      </c>
      <c r="E9805" s="14" t="n">
        <v>693.97</v>
      </c>
      <c r="F9805" s="14" t="n">
        <v>22619.95</v>
      </c>
      <c r="G9805" s="6" t="s">
        <v>2613</v>
      </c>
    </row>
    <row r="9806" customFormat="false" ht="15" hidden="false" customHeight="true" outlineLevel="0" collapsed="false">
      <c r="A9806" s="6" t="s">
        <v>12418</v>
      </c>
      <c r="B9806" s="6" t="s">
        <v>2015</v>
      </c>
      <c r="C9806" s="6" t="s">
        <v>131</v>
      </c>
      <c r="D9806" s="13" t="n">
        <v>45144</v>
      </c>
      <c r="E9806" s="14" t="n">
        <v>1312.72</v>
      </c>
      <c r="F9806" s="14" t="n">
        <v>23932.67</v>
      </c>
      <c r="G9806" s="6" t="s">
        <v>2613</v>
      </c>
    </row>
    <row r="9807" customFormat="false" ht="15" hidden="false" customHeight="true" outlineLevel="0" collapsed="false">
      <c r="A9807" s="6" t="s">
        <v>12419</v>
      </c>
      <c r="B9807" s="6" t="s">
        <v>2015</v>
      </c>
      <c r="C9807" s="6" t="s">
        <v>131</v>
      </c>
      <c r="D9807" s="13" t="n">
        <v>45151</v>
      </c>
      <c r="E9807" s="14" t="n">
        <v>1250.18</v>
      </c>
      <c r="F9807" s="14" t="n">
        <v>25182.85</v>
      </c>
      <c r="G9807" s="6" t="s">
        <v>2613</v>
      </c>
    </row>
    <row r="9808" customFormat="false" ht="15" hidden="false" customHeight="true" outlineLevel="0" collapsed="false">
      <c r="A9808" s="6" t="s">
        <v>12420</v>
      </c>
      <c r="B9808" s="6" t="s">
        <v>2015</v>
      </c>
      <c r="C9808" s="6" t="s">
        <v>131</v>
      </c>
      <c r="D9808" s="13" t="n">
        <v>45158</v>
      </c>
      <c r="E9808" s="14" t="n">
        <v>897.35</v>
      </c>
      <c r="F9808" s="14" t="n">
        <v>26080.2</v>
      </c>
      <c r="G9808" s="6" t="s">
        <v>2613</v>
      </c>
    </row>
    <row r="9809" customFormat="false" ht="15" hidden="false" customHeight="true" outlineLevel="0" collapsed="false">
      <c r="A9809" s="6" t="s">
        <v>12421</v>
      </c>
      <c r="B9809" s="6" t="s">
        <v>2015</v>
      </c>
      <c r="C9809" s="6" t="s">
        <v>131</v>
      </c>
      <c r="D9809" s="13" t="n">
        <v>45165</v>
      </c>
      <c r="E9809" s="14" t="n">
        <v>994.5</v>
      </c>
      <c r="F9809" s="14" t="n">
        <v>27074.7</v>
      </c>
      <c r="G9809" s="6" t="s">
        <v>2623</v>
      </c>
    </row>
    <row r="9810" customFormat="false" ht="15" hidden="false" customHeight="true" outlineLevel="0" collapsed="false">
      <c r="A9810" s="6" t="s">
        <v>12422</v>
      </c>
      <c r="B9810" s="6" t="s">
        <v>2015</v>
      </c>
      <c r="C9810" s="6" t="s">
        <v>131</v>
      </c>
      <c r="D9810" s="13" t="n">
        <v>45172</v>
      </c>
      <c r="E9810" s="14" t="n">
        <v>1093.84</v>
      </c>
      <c r="F9810" s="14" t="n">
        <v>28168.54</v>
      </c>
      <c r="G9810" s="6" t="s">
        <v>2613</v>
      </c>
    </row>
    <row r="9811" customFormat="false" ht="15" hidden="false" customHeight="true" outlineLevel="0" collapsed="false">
      <c r="A9811" s="6" t="s">
        <v>12423</v>
      </c>
      <c r="B9811" s="6" t="s">
        <v>2015</v>
      </c>
      <c r="C9811" s="6" t="s">
        <v>131</v>
      </c>
      <c r="D9811" s="13" t="n">
        <v>45179</v>
      </c>
      <c r="E9811" s="14" t="n">
        <v>945.72</v>
      </c>
      <c r="F9811" s="14" t="n">
        <v>29114.26</v>
      </c>
      <c r="G9811" s="6" t="s">
        <v>2613</v>
      </c>
    </row>
    <row r="9812" customFormat="false" ht="15" hidden="false" customHeight="true" outlineLevel="0" collapsed="false">
      <c r="A9812" s="6" t="s">
        <v>12424</v>
      </c>
      <c r="B9812" s="6" t="s">
        <v>2015</v>
      </c>
      <c r="C9812" s="6" t="s">
        <v>131</v>
      </c>
      <c r="D9812" s="13" t="n">
        <v>45186</v>
      </c>
      <c r="E9812" s="14" t="n">
        <v>1884.51</v>
      </c>
      <c r="F9812" s="14" t="n">
        <v>30998.77</v>
      </c>
      <c r="G9812" s="6" t="s">
        <v>2623</v>
      </c>
    </row>
    <row r="9813" customFormat="false" ht="15" hidden="false" customHeight="true" outlineLevel="0" collapsed="false">
      <c r="A9813" s="6" t="s">
        <v>12425</v>
      </c>
      <c r="B9813" s="6" t="s">
        <v>2017</v>
      </c>
      <c r="C9813" s="6" t="s">
        <v>124</v>
      </c>
      <c r="D9813" s="13" t="n">
        <v>45076</v>
      </c>
      <c r="E9813" s="14" t="n">
        <v>3944.22</v>
      </c>
      <c r="F9813" s="14" t="n">
        <v>3944.22</v>
      </c>
      <c r="G9813" s="6" t="s">
        <v>2613</v>
      </c>
    </row>
    <row r="9814" customFormat="false" ht="15" hidden="false" customHeight="true" outlineLevel="0" collapsed="false">
      <c r="A9814" s="6" t="s">
        <v>12426</v>
      </c>
      <c r="B9814" s="6" t="s">
        <v>2017</v>
      </c>
      <c r="C9814" s="6" t="s">
        <v>124</v>
      </c>
      <c r="D9814" s="13" t="n">
        <v>45083</v>
      </c>
      <c r="E9814" s="14" t="n">
        <v>3305.77</v>
      </c>
      <c r="F9814" s="14" t="n">
        <v>7249.99</v>
      </c>
      <c r="G9814" s="6" t="s">
        <v>2613</v>
      </c>
    </row>
    <row r="9815" customFormat="false" ht="15" hidden="false" customHeight="true" outlineLevel="0" collapsed="false">
      <c r="A9815" s="6" t="s">
        <v>12427</v>
      </c>
      <c r="B9815" s="6" t="s">
        <v>2017</v>
      </c>
      <c r="C9815" s="6" t="s">
        <v>124</v>
      </c>
      <c r="D9815" s="13" t="n">
        <v>45090</v>
      </c>
      <c r="E9815" s="14" t="n">
        <v>3498.13</v>
      </c>
      <c r="F9815" s="14" t="n">
        <v>10748.12</v>
      </c>
      <c r="G9815" s="6" t="s">
        <v>2613</v>
      </c>
    </row>
    <row r="9816" customFormat="false" ht="15" hidden="false" customHeight="true" outlineLevel="0" collapsed="false">
      <c r="A9816" s="6" t="s">
        <v>12428</v>
      </c>
      <c r="B9816" s="6" t="s">
        <v>2017</v>
      </c>
      <c r="C9816" s="6" t="s">
        <v>124</v>
      </c>
      <c r="D9816" s="13" t="n">
        <v>45097</v>
      </c>
      <c r="E9816" s="14" t="n">
        <v>2761.84</v>
      </c>
      <c r="F9816" s="14" t="n">
        <v>13509.96</v>
      </c>
      <c r="G9816" s="6" t="s">
        <v>2623</v>
      </c>
    </row>
    <row r="9817" customFormat="false" ht="15" hidden="false" customHeight="true" outlineLevel="0" collapsed="false">
      <c r="A9817" s="6" t="s">
        <v>12429</v>
      </c>
      <c r="B9817" s="6" t="s">
        <v>2017</v>
      </c>
      <c r="C9817" s="6" t="s">
        <v>124</v>
      </c>
      <c r="D9817" s="13" t="n">
        <v>45104</v>
      </c>
      <c r="E9817" s="14" t="n">
        <v>3548.69</v>
      </c>
      <c r="F9817" s="14" t="n">
        <v>17058.65</v>
      </c>
      <c r="G9817" s="6" t="s">
        <v>2613</v>
      </c>
    </row>
    <row r="9818" customFormat="false" ht="15" hidden="false" customHeight="true" outlineLevel="0" collapsed="false">
      <c r="A9818" s="6" t="s">
        <v>12430</v>
      </c>
      <c r="B9818" s="6" t="s">
        <v>2017</v>
      </c>
      <c r="C9818" s="6" t="s">
        <v>124</v>
      </c>
      <c r="D9818" s="13" t="n">
        <v>45111</v>
      </c>
      <c r="E9818" s="14" t="n">
        <v>2517.67</v>
      </c>
      <c r="F9818" s="14" t="n">
        <v>19576.32</v>
      </c>
      <c r="G9818" s="6" t="s">
        <v>2613</v>
      </c>
    </row>
    <row r="9819" customFormat="false" ht="15" hidden="false" customHeight="true" outlineLevel="0" collapsed="false">
      <c r="A9819" s="6" t="s">
        <v>12431</v>
      </c>
      <c r="B9819" s="6" t="s">
        <v>2017</v>
      </c>
      <c r="C9819" s="6" t="s">
        <v>124</v>
      </c>
      <c r="D9819" s="13" t="n">
        <v>45118</v>
      </c>
      <c r="E9819" s="14" t="n">
        <v>2596.68</v>
      </c>
      <c r="F9819" s="14" t="n">
        <v>22173</v>
      </c>
      <c r="G9819" s="6" t="s">
        <v>2613</v>
      </c>
    </row>
    <row r="9820" customFormat="false" ht="15" hidden="false" customHeight="true" outlineLevel="0" collapsed="false">
      <c r="A9820" s="6" t="s">
        <v>12432</v>
      </c>
      <c r="B9820" s="6" t="s">
        <v>2017</v>
      </c>
      <c r="C9820" s="6" t="s">
        <v>124</v>
      </c>
      <c r="D9820" s="13" t="n">
        <v>45125</v>
      </c>
      <c r="E9820" s="14" t="n">
        <v>3974.89</v>
      </c>
      <c r="F9820" s="14" t="n">
        <v>26147.89</v>
      </c>
      <c r="G9820" s="6" t="s">
        <v>2613</v>
      </c>
    </row>
    <row r="9821" customFormat="false" ht="15" hidden="false" customHeight="true" outlineLevel="0" collapsed="false">
      <c r="A9821" s="6" t="s">
        <v>12433</v>
      </c>
      <c r="B9821" s="6" t="s">
        <v>2017</v>
      </c>
      <c r="C9821" s="6" t="s">
        <v>124</v>
      </c>
      <c r="D9821" s="13" t="n">
        <v>45132</v>
      </c>
      <c r="E9821" s="14" t="n">
        <v>1780.86</v>
      </c>
      <c r="F9821" s="14" t="n">
        <v>27928.75</v>
      </c>
      <c r="G9821" s="6" t="s">
        <v>2613</v>
      </c>
    </row>
    <row r="9822" customFormat="false" ht="15" hidden="false" customHeight="true" outlineLevel="0" collapsed="false">
      <c r="A9822" s="6" t="s">
        <v>12434</v>
      </c>
      <c r="B9822" s="6" t="s">
        <v>2017</v>
      </c>
      <c r="C9822" s="6" t="s">
        <v>124</v>
      </c>
      <c r="D9822" s="13" t="n">
        <v>45139</v>
      </c>
      <c r="E9822" s="14" t="n">
        <v>635.73</v>
      </c>
      <c r="F9822" s="14" t="n">
        <v>28564.48</v>
      </c>
      <c r="G9822" s="6" t="s">
        <v>2613</v>
      </c>
    </row>
    <row r="9823" customFormat="false" ht="15" hidden="false" customHeight="true" outlineLevel="0" collapsed="false">
      <c r="A9823" s="6" t="s">
        <v>12435</v>
      </c>
      <c r="B9823" s="6" t="s">
        <v>2019</v>
      </c>
      <c r="C9823" s="6" t="s">
        <v>116</v>
      </c>
      <c r="D9823" s="13" t="n">
        <v>45895</v>
      </c>
      <c r="E9823" s="14" t="n">
        <v>6821.42</v>
      </c>
      <c r="F9823" s="14" t="n">
        <v>6821.42</v>
      </c>
      <c r="G9823" s="6" t="s">
        <v>2613</v>
      </c>
    </row>
    <row r="9824" customFormat="false" ht="15" hidden="false" customHeight="true" outlineLevel="0" collapsed="false">
      <c r="A9824" s="6" t="s">
        <v>12436</v>
      </c>
      <c r="B9824" s="6" t="s">
        <v>2019</v>
      </c>
      <c r="C9824" s="6" t="s">
        <v>116</v>
      </c>
      <c r="D9824" s="13" t="n">
        <v>45902</v>
      </c>
      <c r="E9824" s="14" t="n">
        <v>4465.23</v>
      </c>
      <c r="F9824" s="14" t="n">
        <v>11286.65</v>
      </c>
      <c r="G9824" s="6" t="s">
        <v>2613</v>
      </c>
    </row>
    <row r="9825" customFormat="false" ht="15" hidden="false" customHeight="true" outlineLevel="0" collapsed="false">
      <c r="A9825" s="6" t="s">
        <v>12437</v>
      </c>
      <c r="B9825" s="6" t="s">
        <v>2019</v>
      </c>
      <c r="C9825" s="6" t="s">
        <v>116</v>
      </c>
      <c r="D9825" s="13" t="n">
        <v>45909</v>
      </c>
      <c r="E9825" s="14" t="n">
        <v>3072.88</v>
      </c>
      <c r="F9825" s="14" t="n">
        <v>14359.53</v>
      </c>
      <c r="G9825" s="6" t="s">
        <v>2613</v>
      </c>
    </row>
    <row r="9826" customFormat="false" ht="15" hidden="false" customHeight="true" outlineLevel="0" collapsed="false">
      <c r="A9826" s="6" t="s">
        <v>12438</v>
      </c>
      <c r="B9826" s="6" t="s">
        <v>2019</v>
      </c>
      <c r="C9826" s="6" t="s">
        <v>116</v>
      </c>
      <c r="D9826" s="13" t="n">
        <v>45916</v>
      </c>
      <c r="E9826" s="14" t="n">
        <v>6272.32</v>
      </c>
      <c r="F9826" s="14" t="n">
        <v>20631.85</v>
      </c>
      <c r="G9826" s="6" t="s">
        <v>2613</v>
      </c>
    </row>
    <row r="9827" customFormat="false" ht="15" hidden="false" customHeight="true" outlineLevel="0" collapsed="false">
      <c r="A9827" s="6" t="s">
        <v>12439</v>
      </c>
      <c r="B9827" s="6" t="s">
        <v>2019</v>
      </c>
      <c r="C9827" s="6" t="s">
        <v>116</v>
      </c>
      <c r="D9827" s="13" t="n">
        <v>45923</v>
      </c>
      <c r="E9827" s="14" t="n">
        <v>4822.72</v>
      </c>
      <c r="F9827" s="14" t="n">
        <v>25454.57</v>
      </c>
      <c r="G9827" s="6" t="s">
        <v>2613</v>
      </c>
    </row>
    <row r="9828" customFormat="false" ht="15" hidden="false" customHeight="true" outlineLevel="0" collapsed="false">
      <c r="A9828" s="6" t="s">
        <v>12440</v>
      </c>
      <c r="B9828" s="6" t="s">
        <v>2019</v>
      </c>
      <c r="C9828" s="6" t="s">
        <v>116</v>
      </c>
      <c r="D9828" s="13" t="n">
        <v>45930</v>
      </c>
      <c r="E9828" s="14" t="n">
        <v>5153.23</v>
      </c>
      <c r="F9828" s="14" t="n">
        <v>30607.8</v>
      </c>
      <c r="G9828" s="6" t="s">
        <v>2613</v>
      </c>
    </row>
    <row r="9829" customFormat="false" ht="15" hidden="false" customHeight="true" outlineLevel="0" collapsed="false">
      <c r="A9829" s="6" t="s">
        <v>12441</v>
      </c>
      <c r="B9829" s="6" t="s">
        <v>2019</v>
      </c>
      <c r="C9829" s="6" t="s">
        <v>116</v>
      </c>
      <c r="D9829" s="13" t="n">
        <v>45937</v>
      </c>
      <c r="E9829" s="14" t="n">
        <v>3542.14</v>
      </c>
      <c r="F9829" s="14" t="n">
        <v>34149.94</v>
      </c>
      <c r="G9829" s="6" t="s">
        <v>2613</v>
      </c>
    </row>
    <row r="9830" customFormat="false" ht="15" hidden="false" customHeight="true" outlineLevel="0" collapsed="false">
      <c r="A9830" s="6" t="s">
        <v>12442</v>
      </c>
      <c r="B9830" s="6" t="s">
        <v>2021</v>
      </c>
      <c r="C9830" s="6" t="s">
        <v>128</v>
      </c>
      <c r="D9830" s="13" t="n">
        <v>44660</v>
      </c>
      <c r="E9830" s="14" t="n">
        <v>3147.01</v>
      </c>
      <c r="F9830" s="14" t="n">
        <v>3147.01</v>
      </c>
      <c r="G9830" s="6" t="s">
        <v>2613</v>
      </c>
    </row>
    <row r="9831" customFormat="false" ht="15" hidden="false" customHeight="true" outlineLevel="0" collapsed="false">
      <c r="A9831" s="6" t="s">
        <v>12443</v>
      </c>
      <c r="B9831" s="6" t="s">
        <v>2021</v>
      </c>
      <c r="C9831" s="6" t="s">
        <v>128</v>
      </c>
      <c r="D9831" s="13" t="n">
        <v>44667</v>
      </c>
      <c r="E9831" s="14" t="n">
        <v>1900.84</v>
      </c>
      <c r="F9831" s="14" t="n">
        <v>5047.85</v>
      </c>
      <c r="G9831" s="6" t="s">
        <v>2613</v>
      </c>
    </row>
    <row r="9832" customFormat="false" ht="15" hidden="false" customHeight="true" outlineLevel="0" collapsed="false">
      <c r="A9832" s="6" t="s">
        <v>12444</v>
      </c>
      <c r="B9832" s="6" t="s">
        <v>2021</v>
      </c>
      <c r="C9832" s="6" t="s">
        <v>128</v>
      </c>
      <c r="D9832" s="13" t="n">
        <v>44674</v>
      </c>
      <c r="E9832" s="14" t="n">
        <v>2785.93</v>
      </c>
      <c r="F9832" s="14" t="n">
        <v>7833.78</v>
      </c>
      <c r="G9832" s="6" t="s">
        <v>2613</v>
      </c>
    </row>
    <row r="9833" customFormat="false" ht="15" hidden="false" customHeight="true" outlineLevel="0" collapsed="false">
      <c r="A9833" s="6" t="s">
        <v>12445</v>
      </c>
      <c r="B9833" s="6" t="s">
        <v>2021</v>
      </c>
      <c r="C9833" s="6" t="s">
        <v>128</v>
      </c>
      <c r="D9833" s="13" t="n">
        <v>44681</v>
      </c>
      <c r="E9833" s="14" t="n">
        <v>2662.28</v>
      </c>
      <c r="F9833" s="14" t="n">
        <v>10496.06</v>
      </c>
      <c r="G9833" s="6" t="s">
        <v>2613</v>
      </c>
    </row>
    <row r="9834" customFormat="false" ht="15" hidden="false" customHeight="true" outlineLevel="0" collapsed="false">
      <c r="A9834" s="6" t="s">
        <v>12446</v>
      </c>
      <c r="B9834" s="6" t="s">
        <v>2021</v>
      </c>
      <c r="C9834" s="6" t="s">
        <v>128</v>
      </c>
      <c r="D9834" s="13" t="n">
        <v>44688</v>
      </c>
      <c r="E9834" s="14" t="n">
        <v>2679.53</v>
      </c>
      <c r="F9834" s="14" t="n">
        <v>13175.59</v>
      </c>
      <c r="G9834" s="6" t="s">
        <v>2613</v>
      </c>
    </row>
    <row r="9835" customFormat="false" ht="15" hidden="false" customHeight="true" outlineLevel="0" collapsed="false">
      <c r="A9835" s="6" t="s">
        <v>12447</v>
      </c>
      <c r="B9835" s="6" t="s">
        <v>2021</v>
      </c>
      <c r="C9835" s="6" t="s">
        <v>128</v>
      </c>
      <c r="D9835" s="13" t="n">
        <v>44695</v>
      </c>
      <c r="E9835" s="14" t="n">
        <v>3305.95</v>
      </c>
      <c r="F9835" s="14" t="n">
        <v>16481.54</v>
      </c>
      <c r="G9835" s="6" t="s">
        <v>2613</v>
      </c>
    </row>
    <row r="9836" customFormat="false" ht="15" hidden="false" customHeight="true" outlineLevel="0" collapsed="false">
      <c r="A9836" s="6" t="s">
        <v>12448</v>
      </c>
      <c r="B9836" s="6" t="s">
        <v>2023</v>
      </c>
      <c r="C9836" s="6" t="s">
        <v>112</v>
      </c>
      <c r="D9836" s="13" t="n">
        <v>45268</v>
      </c>
      <c r="E9836" s="14" t="n">
        <v>1121.75</v>
      </c>
      <c r="F9836" s="14" t="n">
        <v>1121.75</v>
      </c>
      <c r="G9836" s="6" t="s">
        <v>2613</v>
      </c>
    </row>
    <row r="9837" customFormat="false" ht="15" hidden="false" customHeight="true" outlineLevel="0" collapsed="false">
      <c r="A9837" s="6" t="s">
        <v>12449</v>
      </c>
      <c r="B9837" s="6" t="s">
        <v>2023</v>
      </c>
      <c r="C9837" s="6" t="s">
        <v>112</v>
      </c>
      <c r="D9837" s="13" t="n">
        <v>45275</v>
      </c>
      <c r="E9837" s="14" t="n">
        <v>1426.7</v>
      </c>
      <c r="F9837" s="14" t="n">
        <v>2548.45</v>
      </c>
      <c r="G9837" s="6" t="s">
        <v>2613</v>
      </c>
    </row>
    <row r="9838" customFormat="false" ht="15" hidden="false" customHeight="true" outlineLevel="0" collapsed="false">
      <c r="A9838" s="6" t="s">
        <v>12450</v>
      </c>
      <c r="B9838" s="6" t="s">
        <v>2023</v>
      </c>
      <c r="C9838" s="6" t="s">
        <v>112</v>
      </c>
      <c r="D9838" s="13" t="n">
        <v>45282</v>
      </c>
      <c r="E9838" s="14" t="n">
        <v>801.58</v>
      </c>
      <c r="F9838" s="14" t="n">
        <v>3350.03</v>
      </c>
      <c r="G9838" s="6" t="s">
        <v>2613</v>
      </c>
    </row>
    <row r="9839" customFormat="false" ht="15" hidden="false" customHeight="true" outlineLevel="0" collapsed="false">
      <c r="A9839" s="6" t="s">
        <v>12451</v>
      </c>
      <c r="B9839" s="6" t="s">
        <v>2023</v>
      </c>
      <c r="C9839" s="6" t="s">
        <v>112</v>
      </c>
      <c r="D9839" s="13" t="n">
        <v>45289</v>
      </c>
      <c r="E9839" s="14" t="n">
        <v>798.8</v>
      </c>
      <c r="F9839" s="14" t="n">
        <v>4148.83</v>
      </c>
      <c r="G9839" s="6" t="s">
        <v>2613</v>
      </c>
    </row>
    <row r="9840" customFormat="false" ht="15" hidden="false" customHeight="true" outlineLevel="0" collapsed="false">
      <c r="A9840" s="6" t="s">
        <v>12452</v>
      </c>
      <c r="B9840" s="6" t="s">
        <v>2023</v>
      </c>
      <c r="C9840" s="6" t="s">
        <v>112</v>
      </c>
      <c r="D9840" s="13" t="n">
        <v>45296</v>
      </c>
      <c r="E9840" s="14" t="n">
        <v>1310.34</v>
      </c>
      <c r="F9840" s="14" t="n">
        <v>5459.17</v>
      </c>
      <c r="G9840" s="6" t="s">
        <v>2613</v>
      </c>
    </row>
    <row r="9841" customFormat="false" ht="15" hidden="false" customHeight="true" outlineLevel="0" collapsed="false">
      <c r="A9841" s="6" t="s">
        <v>12453</v>
      </c>
      <c r="B9841" s="6" t="s">
        <v>2023</v>
      </c>
      <c r="C9841" s="6" t="s">
        <v>112</v>
      </c>
      <c r="D9841" s="13" t="n">
        <v>45303</v>
      </c>
      <c r="E9841" s="14" t="n">
        <v>1544.51</v>
      </c>
      <c r="F9841" s="14" t="n">
        <v>7003.68</v>
      </c>
      <c r="G9841" s="6" t="s">
        <v>2623</v>
      </c>
    </row>
    <row r="9842" customFormat="false" ht="15" hidden="false" customHeight="true" outlineLevel="0" collapsed="false">
      <c r="A9842" s="6" t="s">
        <v>12454</v>
      </c>
      <c r="B9842" s="6" t="s">
        <v>2023</v>
      </c>
      <c r="C9842" s="6" t="s">
        <v>112</v>
      </c>
      <c r="D9842" s="13" t="n">
        <v>45310</v>
      </c>
      <c r="E9842" s="14" t="n">
        <v>856.43</v>
      </c>
      <c r="F9842" s="14" t="n">
        <v>7860.11</v>
      </c>
      <c r="G9842" s="6" t="s">
        <v>2613</v>
      </c>
    </row>
    <row r="9843" customFormat="false" ht="15" hidden="false" customHeight="true" outlineLevel="0" collapsed="false">
      <c r="A9843" s="6" t="s">
        <v>12455</v>
      </c>
      <c r="B9843" s="6" t="s">
        <v>2023</v>
      </c>
      <c r="C9843" s="6" t="s">
        <v>112</v>
      </c>
      <c r="D9843" s="13" t="n">
        <v>45317</v>
      </c>
      <c r="E9843" s="14" t="n">
        <v>1486.45</v>
      </c>
      <c r="F9843" s="14" t="n">
        <v>9346.56</v>
      </c>
      <c r="G9843" s="6" t="s">
        <v>2613</v>
      </c>
    </row>
    <row r="9844" customFormat="false" ht="15" hidden="false" customHeight="true" outlineLevel="0" collapsed="false">
      <c r="A9844" s="6" t="s">
        <v>12456</v>
      </c>
      <c r="B9844" s="6" t="s">
        <v>2023</v>
      </c>
      <c r="C9844" s="6" t="s">
        <v>112</v>
      </c>
      <c r="D9844" s="13" t="n">
        <v>45324</v>
      </c>
      <c r="E9844" s="14" t="n">
        <v>891.86</v>
      </c>
      <c r="F9844" s="14" t="n">
        <v>10238.42</v>
      </c>
      <c r="G9844" s="6" t="s">
        <v>2613</v>
      </c>
    </row>
    <row r="9845" customFormat="false" ht="15" hidden="false" customHeight="true" outlineLevel="0" collapsed="false">
      <c r="A9845" s="6" t="s">
        <v>12457</v>
      </c>
      <c r="B9845" s="6" t="s">
        <v>2023</v>
      </c>
      <c r="C9845" s="6" t="s">
        <v>112</v>
      </c>
      <c r="D9845" s="13" t="n">
        <v>45331</v>
      </c>
      <c r="E9845" s="14" t="n">
        <v>956.04</v>
      </c>
      <c r="F9845" s="14" t="n">
        <v>11194.46</v>
      </c>
      <c r="G9845" s="6" t="s">
        <v>2613</v>
      </c>
    </row>
    <row r="9846" customFormat="false" ht="15" hidden="false" customHeight="true" outlineLevel="0" collapsed="false">
      <c r="A9846" s="6" t="s">
        <v>12458</v>
      </c>
      <c r="B9846" s="6" t="s">
        <v>2023</v>
      </c>
      <c r="C9846" s="6" t="s">
        <v>112</v>
      </c>
      <c r="D9846" s="13" t="n">
        <v>45338</v>
      </c>
      <c r="E9846" s="14" t="n">
        <v>1178.34</v>
      </c>
      <c r="F9846" s="14" t="n">
        <v>12372.8</v>
      </c>
      <c r="G9846" s="6" t="s">
        <v>2623</v>
      </c>
    </row>
    <row r="9847" customFormat="false" ht="15" hidden="false" customHeight="true" outlineLevel="0" collapsed="false">
      <c r="A9847" s="6" t="s">
        <v>12459</v>
      </c>
      <c r="B9847" s="6" t="s">
        <v>2023</v>
      </c>
      <c r="C9847" s="6" t="s">
        <v>112</v>
      </c>
      <c r="D9847" s="13" t="n">
        <v>45345</v>
      </c>
      <c r="E9847" s="14" t="n">
        <v>993.04</v>
      </c>
      <c r="F9847" s="14" t="n">
        <v>13365.84</v>
      </c>
      <c r="G9847" s="6" t="s">
        <v>2613</v>
      </c>
    </row>
    <row r="9848" customFormat="false" ht="15" hidden="false" customHeight="true" outlineLevel="0" collapsed="false">
      <c r="A9848" s="6" t="s">
        <v>12460</v>
      </c>
      <c r="B9848" s="6" t="s">
        <v>2023</v>
      </c>
      <c r="C9848" s="6" t="s">
        <v>112</v>
      </c>
      <c r="D9848" s="13" t="n">
        <v>45352</v>
      </c>
      <c r="E9848" s="14" t="n">
        <v>961.44</v>
      </c>
      <c r="F9848" s="14" t="n">
        <v>14327.28</v>
      </c>
      <c r="G9848" s="6" t="s">
        <v>2613</v>
      </c>
    </row>
    <row r="9849" customFormat="false" ht="15" hidden="false" customHeight="true" outlineLevel="0" collapsed="false">
      <c r="A9849" s="6" t="s">
        <v>12461</v>
      </c>
      <c r="B9849" s="6" t="s">
        <v>2023</v>
      </c>
      <c r="C9849" s="6" t="s">
        <v>112</v>
      </c>
      <c r="D9849" s="13" t="n">
        <v>45359</v>
      </c>
      <c r="E9849" s="14" t="n">
        <v>1142.23</v>
      </c>
      <c r="F9849" s="14" t="n">
        <v>15469.51</v>
      </c>
      <c r="G9849" s="6" t="s">
        <v>2613</v>
      </c>
    </row>
    <row r="9850" customFormat="false" ht="15" hidden="false" customHeight="true" outlineLevel="0" collapsed="false">
      <c r="A9850" s="6" t="s">
        <v>12462</v>
      </c>
      <c r="B9850" s="6" t="s">
        <v>2023</v>
      </c>
      <c r="C9850" s="6" t="s">
        <v>112</v>
      </c>
      <c r="D9850" s="13" t="n">
        <v>45366</v>
      </c>
      <c r="E9850" s="14" t="n">
        <v>3757.15</v>
      </c>
      <c r="F9850" s="14" t="n">
        <v>19226.66</v>
      </c>
      <c r="G9850" s="6" t="s">
        <v>2613</v>
      </c>
    </row>
    <row r="9851" customFormat="false" ht="15" hidden="false" customHeight="true" outlineLevel="0" collapsed="false">
      <c r="A9851" s="6" t="s">
        <v>12463</v>
      </c>
      <c r="B9851" s="6" t="s">
        <v>2025</v>
      </c>
      <c r="C9851" s="6" t="s">
        <v>120</v>
      </c>
      <c r="D9851" s="13" t="n">
        <v>45571</v>
      </c>
      <c r="E9851" s="14" t="n">
        <v>5189.03</v>
      </c>
      <c r="F9851" s="14" t="n">
        <v>5189.03</v>
      </c>
      <c r="G9851" s="6" t="s">
        <v>2613</v>
      </c>
    </row>
    <row r="9852" customFormat="false" ht="15" hidden="false" customHeight="true" outlineLevel="0" collapsed="false">
      <c r="A9852" s="6" t="s">
        <v>12464</v>
      </c>
      <c r="B9852" s="6" t="s">
        <v>2025</v>
      </c>
      <c r="C9852" s="6" t="s">
        <v>120</v>
      </c>
      <c r="D9852" s="13" t="n">
        <v>45578</v>
      </c>
      <c r="E9852" s="14" t="n">
        <v>6006.39</v>
      </c>
      <c r="F9852" s="14" t="n">
        <v>11195.42</v>
      </c>
      <c r="G9852" s="6" t="s">
        <v>2613</v>
      </c>
    </row>
    <row r="9853" customFormat="false" ht="15" hidden="false" customHeight="true" outlineLevel="0" collapsed="false">
      <c r="A9853" s="6" t="s">
        <v>12465</v>
      </c>
      <c r="B9853" s="6" t="s">
        <v>2025</v>
      </c>
      <c r="C9853" s="6" t="s">
        <v>120</v>
      </c>
      <c r="D9853" s="13" t="n">
        <v>45585</v>
      </c>
      <c r="E9853" s="14" t="n">
        <v>6162.39</v>
      </c>
      <c r="F9853" s="14" t="n">
        <v>17357.81</v>
      </c>
      <c r="G9853" s="6" t="s">
        <v>2613</v>
      </c>
    </row>
    <row r="9854" customFormat="false" ht="15" hidden="false" customHeight="true" outlineLevel="0" collapsed="false">
      <c r="A9854" s="6" t="s">
        <v>12466</v>
      </c>
      <c r="B9854" s="6" t="s">
        <v>2025</v>
      </c>
      <c r="C9854" s="6" t="s">
        <v>120</v>
      </c>
      <c r="D9854" s="13" t="n">
        <v>45592</v>
      </c>
      <c r="E9854" s="14" t="n">
        <v>3830.96</v>
      </c>
      <c r="F9854" s="14" t="n">
        <v>21188.77</v>
      </c>
      <c r="G9854" s="6" t="s">
        <v>2613</v>
      </c>
    </row>
    <row r="9855" customFormat="false" ht="15" hidden="false" customHeight="true" outlineLevel="0" collapsed="false">
      <c r="A9855" s="6" t="s">
        <v>12467</v>
      </c>
      <c r="B9855" s="6" t="s">
        <v>2025</v>
      </c>
      <c r="C9855" s="6" t="s">
        <v>120</v>
      </c>
      <c r="D9855" s="13" t="n">
        <v>45599</v>
      </c>
      <c r="E9855" s="14" t="n">
        <v>6460.52</v>
      </c>
      <c r="F9855" s="14" t="n">
        <v>27649.29</v>
      </c>
      <c r="G9855" s="6" t="s">
        <v>2613</v>
      </c>
    </row>
    <row r="9856" customFormat="false" ht="15" hidden="false" customHeight="true" outlineLevel="0" collapsed="false">
      <c r="A9856" s="6" t="s">
        <v>12468</v>
      </c>
      <c r="B9856" s="6" t="s">
        <v>2025</v>
      </c>
      <c r="C9856" s="6" t="s">
        <v>120</v>
      </c>
      <c r="D9856" s="13" t="n">
        <v>45606</v>
      </c>
      <c r="E9856" s="14" t="n">
        <v>5300.67</v>
      </c>
      <c r="F9856" s="14" t="n">
        <v>32949.96</v>
      </c>
      <c r="G9856" s="6" t="s">
        <v>2613</v>
      </c>
    </row>
    <row r="9857" customFormat="false" ht="15" hidden="false" customHeight="true" outlineLevel="0" collapsed="false">
      <c r="A9857" s="6" t="s">
        <v>12469</v>
      </c>
      <c r="B9857" s="6" t="s">
        <v>2027</v>
      </c>
      <c r="C9857" s="6" t="s">
        <v>120</v>
      </c>
      <c r="D9857" s="13" t="n">
        <v>45455</v>
      </c>
      <c r="E9857" s="14" t="n">
        <v>3303.38</v>
      </c>
      <c r="F9857" s="14" t="n">
        <v>3303.38</v>
      </c>
      <c r="G9857" s="6" t="s">
        <v>2613</v>
      </c>
    </row>
    <row r="9858" customFormat="false" ht="15" hidden="false" customHeight="true" outlineLevel="0" collapsed="false">
      <c r="A9858" s="6" t="s">
        <v>12470</v>
      </c>
      <c r="B9858" s="6" t="s">
        <v>2027</v>
      </c>
      <c r="C9858" s="6" t="s">
        <v>120</v>
      </c>
      <c r="D9858" s="13" t="n">
        <v>45462</v>
      </c>
      <c r="E9858" s="14" t="n">
        <v>5165.3</v>
      </c>
      <c r="F9858" s="14" t="n">
        <v>8468.68</v>
      </c>
      <c r="G9858" s="6" t="s">
        <v>2613</v>
      </c>
    </row>
    <row r="9859" customFormat="false" ht="15" hidden="false" customHeight="true" outlineLevel="0" collapsed="false">
      <c r="A9859" s="6" t="s">
        <v>12471</v>
      </c>
      <c r="B9859" s="6" t="s">
        <v>2027</v>
      </c>
      <c r="C9859" s="6" t="s">
        <v>120</v>
      </c>
      <c r="D9859" s="13" t="n">
        <v>45469</v>
      </c>
      <c r="E9859" s="14" t="n">
        <v>4374.26</v>
      </c>
      <c r="F9859" s="14" t="n">
        <v>12842.94</v>
      </c>
      <c r="G9859" s="6" t="s">
        <v>2613</v>
      </c>
    </row>
    <row r="9860" customFormat="false" ht="15" hidden="false" customHeight="true" outlineLevel="0" collapsed="false">
      <c r="A9860" s="6" t="s">
        <v>12472</v>
      </c>
      <c r="B9860" s="6" t="s">
        <v>2027</v>
      </c>
      <c r="C9860" s="6" t="s">
        <v>120</v>
      </c>
      <c r="D9860" s="13" t="n">
        <v>45476</v>
      </c>
      <c r="E9860" s="14" t="n">
        <v>4035.49</v>
      </c>
      <c r="F9860" s="14" t="n">
        <v>16878.43</v>
      </c>
      <c r="G9860" s="6" t="s">
        <v>2613</v>
      </c>
    </row>
    <row r="9861" customFormat="false" ht="15" hidden="false" customHeight="true" outlineLevel="0" collapsed="false">
      <c r="A9861" s="6" t="s">
        <v>12473</v>
      </c>
      <c r="B9861" s="6" t="s">
        <v>2027</v>
      </c>
      <c r="C9861" s="6" t="s">
        <v>120</v>
      </c>
      <c r="D9861" s="13" t="n">
        <v>45483</v>
      </c>
      <c r="E9861" s="14" t="n">
        <v>2998.16</v>
      </c>
      <c r="F9861" s="14" t="n">
        <v>19876.59</v>
      </c>
      <c r="G9861" s="6" t="s">
        <v>2613</v>
      </c>
    </row>
    <row r="9862" customFormat="false" ht="15" hidden="false" customHeight="true" outlineLevel="0" collapsed="false">
      <c r="A9862" s="6" t="s">
        <v>12474</v>
      </c>
      <c r="B9862" s="6" t="s">
        <v>2027</v>
      </c>
      <c r="C9862" s="6" t="s">
        <v>120</v>
      </c>
      <c r="D9862" s="13" t="n">
        <v>45490</v>
      </c>
      <c r="E9862" s="14" t="n">
        <v>4163.21</v>
      </c>
      <c r="F9862" s="14" t="n">
        <v>24039.8</v>
      </c>
      <c r="G9862" s="6" t="s">
        <v>2613</v>
      </c>
    </row>
    <row r="9863" customFormat="false" ht="15" hidden="false" customHeight="true" outlineLevel="0" collapsed="false">
      <c r="A9863" s="6" t="s">
        <v>12475</v>
      </c>
      <c r="B9863" s="6" t="s">
        <v>2027</v>
      </c>
      <c r="C9863" s="6" t="s">
        <v>120</v>
      </c>
      <c r="D9863" s="13" t="n">
        <v>45497</v>
      </c>
      <c r="E9863" s="14" t="n">
        <v>3176.03</v>
      </c>
      <c r="F9863" s="14" t="n">
        <v>27215.83</v>
      </c>
      <c r="G9863" s="6" t="s">
        <v>2613</v>
      </c>
    </row>
    <row r="9864" customFormat="false" ht="15" hidden="false" customHeight="true" outlineLevel="0" collapsed="false">
      <c r="A9864" s="6" t="s">
        <v>12476</v>
      </c>
      <c r="B9864" s="6" t="s">
        <v>2027</v>
      </c>
      <c r="C9864" s="6" t="s">
        <v>120</v>
      </c>
      <c r="D9864" s="13" t="n">
        <v>45504</v>
      </c>
      <c r="E9864" s="14" t="n">
        <v>4708.64</v>
      </c>
      <c r="F9864" s="14" t="n">
        <v>31924.47</v>
      </c>
      <c r="G9864" s="6" t="s">
        <v>2613</v>
      </c>
    </row>
    <row r="9865" customFormat="false" ht="15" hidden="false" customHeight="true" outlineLevel="0" collapsed="false">
      <c r="A9865" s="6" t="s">
        <v>12477</v>
      </c>
      <c r="B9865" s="6" t="s">
        <v>2029</v>
      </c>
      <c r="C9865" s="6" t="s">
        <v>120</v>
      </c>
      <c r="D9865" s="13" t="n">
        <v>45918</v>
      </c>
      <c r="E9865" s="14" t="n">
        <v>5523.56</v>
      </c>
      <c r="F9865" s="14" t="n">
        <v>5523.56</v>
      </c>
      <c r="G9865" s="6" t="s">
        <v>2613</v>
      </c>
    </row>
    <row r="9866" customFormat="false" ht="15" hidden="false" customHeight="true" outlineLevel="0" collapsed="false">
      <c r="A9866" s="6" t="s">
        <v>12478</v>
      </c>
      <c r="B9866" s="6" t="s">
        <v>2029</v>
      </c>
      <c r="C9866" s="6" t="s">
        <v>120</v>
      </c>
      <c r="D9866" s="13" t="n">
        <v>45925</v>
      </c>
      <c r="E9866" s="14" t="n">
        <v>3515.63</v>
      </c>
      <c r="F9866" s="14" t="n">
        <v>9039.19</v>
      </c>
      <c r="G9866" s="6" t="s">
        <v>2613</v>
      </c>
    </row>
    <row r="9867" customFormat="false" ht="15" hidden="false" customHeight="true" outlineLevel="0" collapsed="false">
      <c r="A9867" s="6" t="s">
        <v>12479</v>
      </c>
      <c r="B9867" s="6" t="s">
        <v>2029</v>
      </c>
      <c r="C9867" s="6" t="s">
        <v>120</v>
      </c>
      <c r="D9867" s="13" t="n">
        <v>45932</v>
      </c>
      <c r="E9867" s="14" t="n">
        <v>5091.21</v>
      </c>
      <c r="F9867" s="14" t="n">
        <v>14130.4</v>
      </c>
      <c r="G9867" s="6" t="s">
        <v>2613</v>
      </c>
    </row>
    <row r="9868" customFormat="false" ht="15" hidden="false" customHeight="true" outlineLevel="0" collapsed="false">
      <c r="A9868" s="6" t="s">
        <v>12480</v>
      </c>
      <c r="B9868" s="6" t="s">
        <v>2029</v>
      </c>
      <c r="C9868" s="6" t="s">
        <v>120</v>
      </c>
      <c r="D9868" s="13" t="n">
        <v>45939</v>
      </c>
      <c r="E9868" s="14" t="n">
        <v>6060.32</v>
      </c>
      <c r="F9868" s="14" t="n">
        <v>20190.72</v>
      </c>
      <c r="G9868" s="6" t="s">
        <v>2613</v>
      </c>
    </row>
    <row r="9869" customFormat="false" ht="15" hidden="false" customHeight="true" outlineLevel="0" collapsed="false">
      <c r="A9869" s="6" t="s">
        <v>12481</v>
      </c>
      <c r="B9869" s="6" t="s">
        <v>2029</v>
      </c>
      <c r="C9869" s="6" t="s">
        <v>120</v>
      </c>
      <c r="D9869" s="13" t="n">
        <v>45946</v>
      </c>
      <c r="E9869" s="14" t="n">
        <v>5902.2</v>
      </c>
      <c r="F9869" s="14" t="n">
        <v>26092.92</v>
      </c>
      <c r="G9869" s="6" t="s">
        <v>2613</v>
      </c>
    </row>
    <row r="9870" customFormat="false" ht="15" hidden="false" customHeight="true" outlineLevel="0" collapsed="false">
      <c r="A9870" s="6" t="s">
        <v>12482</v>
      </c>
      <c r="B9870" s="6" t="s">
        <v>2029</v>
      </c>
      <c r="C9870" s="6" t="s">
        <v>120</v>
      </c>
      <c r="D9870" s="13" t="n">
        <v>45953</v>
      </c>
      <c r="E9870" s="14" t="n">
        <v>3347.65</v>
      </c>
      <c r="F9870" s="14" t="n">
        <v>29440.57</v>
      </c>
      <c r="G9870" s="6" t="s">
        <v>2613</v>
      </c>
    </row>
    <row r="9871" customFormat="false" ht="15" hidden="false" customHeight="true" outlineLevel="0" collapsed="false">
      <c r="A9871" s="6" t="s">
        <v>12483</v>
      </c>
      <c r="B9871" s="6" t="s">
        <v>2029</v>
      </c>
      <c r="C9871" s="6" t="s">
        <v>120</v>
      </c>
      <c r="D9871" s="13" t="n">
        <v>45960</v>
      </c>
      <c r="E9871" s="14" t="n">
        <v>5667.17</v>
      </c>
      <c r="F9871" s="14" t="n">
        <v>35107.74</v>
      </c>
      <c r="G9871" s="6" t="s">
        <v>2613</v>
      </c>
    </row>
    <row r="9872" customFormat="false" ht="15" hidden="false" customHeight="true" outlineLevel="0" collapsed="false">
      <c r="A9872" s="6" t="s">
        <v>12484</v>
      </c>
      <c r="B9872" s="6" t="s">
        <v>2029</v>
      </c>
      <c r="C9872" s="6" t="s">
        <v>120</v>
      </c>
      <c r="D9872" s="13" t="n">
        <v>45967</v>
      </c>
      <c r="E9872" s="14" t="n">
        <v>4114.09</v>
      </c>
      <c r="F9872" s="14" t="n">
        <v>39221.83</v>
      </c>
      <c r="G9872" s="6" t="s">
        <v>2613</v>
      </c>
    </row>
    <row r="9873" customFormat="false" ht="15" hidden="false" customHeight="true" outlineLevel="0" collapsed="false">
      <c r="A9873" s="6" t="s">
        <v>12485</v>
      </c>
      <c r="B9873" s="6" t="s">
        <v>2029</v>
      </c>
      <c r="C9873" s="6" t="s">
        <v>120</v>
      </c>
      <c r="D9873" s="13" t="n">
        <v>45974</v>
      </c>
      <c r="E9873" s="14" t="n">
        <v>6151.43</v>
      </c>
      <c r="F9873" s="14" t="n">
        <v>45373.26</v>
      </c>
      <c r="G9873" s="6" t="s">
        <v>2623</v>
      </c>
    </row>
    <row r="9874" customFormat="false" ht="15" hidden="false" customHeight="true" outlineLevel="0" collapsed="false">
      <c r="A9874" s="6" t="s">
        <v>12486</v>
      </c>
      <c r="B9874" s="6" t="s">
        <v>2029</v>
      </c>
      <c r="C9874" s="6" t="s">
        <v>120</v>
      </c>
      <c r="D9874" s="13" t="n">
        <v>45981</v>
      </c>
      <c r="E9874" s="14" t="n">
        <v>3258.13</v>
      </c>
      <c r="F9874" s="14" t="n">
        <v>48631.39</v>
      </c>
      <c r="G9874" s="6" t="s">
        <v>2613</v>
      </c>
    </row>
    <row r="9875" customFormat="false" ht="15" hidden="false" customHeight="true" outlineLevel="0" collapsed="false">
      <c r="A9875" s="6" t="s">
        <v>12487</v>
      </c>
      <c r="B9875" s="6" t="s">
        <v>2029</v>
      </c>
      <c r="C9875" s="6" t="s">
        <v>120</v>
      </c>
      <c r="D9875" s="13" t="n">
        <v>45988</v>
      </c>
      <c r="E9875" s="14" t="n">
        <v>5212.53</v>
      </c>
      <c r="F9875" s="14" t="n">
        <v>53843.92</v>
      </c>
      <c r="G9875" s="6" t="s">
        <v>2613</v>
      </c>
    </row>
    <row r="9876" customFormat="false" ht="15" hidden="false" customHeight="true" outlineLevel="0" collapsed="false">
      <c r="A9876" s="6" t="s">
        <v>12488</v>
      </c>
      <c r="B9876" s="6" t="s">
        <v>2029</v>
      </c>
      <c r="C9876" s="6" t="s">
        <v>120</v>
      </c>
      <c r="D9876" s="13" t="n">
        <v>45995</v>
      </c>
      <c r="E9876" s="14" t="n">
        <v>3500.57</v>
      </c>
      <c r="F9876" s="14" t="n">
        <v>57344.49</v>
      </c>
      <c r="G9876" s="6" t="s">
        <v>2623</v>
      </c>
    </row>
    <row r="9877" customFormat="false" ht="15" hidden="false" customHeight="true" outlineLevel="0" collapsed="false">
      <c r="A9877" s="6" t="s">
        <v>12489</v>
      </c>
      <c r="B9877" s="6" t="s">
        <v>2029</v>
      </c>
      <c r="C9877" s="6" t="s">
        <v>120</v>
      </c>
      <c r="D9877" s="13" t="n">
        <v>46002</v>
      </c>
      <c r="E9877" s="14" t="n">
        <v>4997.87</v>
      </c>
      <c r="F9877" s="14" t="n">
        <v>62342.36</v>
      </c>
      <c r="G9877" s="6" t="s">
        <v>2613</v>
      </c>
    </row>
    <row r="9878" customFormat="false" ht="15" hidden="false" customHeight="true" outlineLevel="0" collapsed="false">
      <c r="A9878" s="6" t="s">
        <v>12490</v>
      </c>
      <c r="B9878" s="6" t="s">
        <v>2029</v>
      </c>
      <c r="C9878" s="6" t="s">
        <v>120</v>
      </c>
      <c r="D9878" s="13" t="n">
        <v>46009</v>
      </c>
      <c r="E9878" s="14" t="n">
        <v>6144.67</v>
      </c>
      <c r="F9878" s="14" t="n">
        <v>68487.03</v>
      </c>
      <c r="G9878" s="6" t="s">
        <v>2613</v>
      </c>
    </row>
    <row r="9879" customFormat="false" ht="15" hidden="false" customHeight="true" outlineLevel="0" collapsed="false">
      <c r="A9879" s="6" t="s">
        <v>12491</v>
      </c>
      <c r="B9879" s="6" t="s">
        <v>2029</v>
      </c>
      <c r="C9879" s="6" t="s">
        <v>120</v>
      </c>
      <c r="D9879" s="13" t="n">
        <v>46016</v>
      </c>
      <c r="E9879" s="14" t="n">
        <v>5533.78</v>
      </c>
      <c r="F9879" s="14" t="n">
        <v>74020.81</v>
      </c>
      <c r="G9879" s="6" t="s">
        <v>2613</v>
      </c>
    </row>
    <row r="9880" customFormat="false" ht="15" hidden="false" customHeight="true" outlineLevel="0" collapsed="false">
      <c r="A9880" s="6" t="s">
        <v>12492</v>
      </c>
      <c r="B9880" s="6" t="s">
        <v>2031</v>
      </c>
      <c r="C9880" s="6" t="s">
        <v>112</v>
      </c>
      <c r="D9880" s="13" t="n">
        <v>45517</v>
      </c>
      <c r="E9880" s="14" t="n">
        <v>1061.55</v>
      </c>
      <c r="F9880" s="14" t="n">
        <v>1061.55</v>
      </c>
      <c r="G9880" s="6" t="s">
        <v>2613</v>
      </c>
    </row>
    <row r="9881" customFormat="false" ht="15" hidden="false" customHeight="true" outlineLevel="0" collapsed="false">
      <c r="A9881" s="6" t="s">
        <v>12493</v>
      </c>
      <c r="B9881" s="6" t="s">
        <v>2031</v>
      </c>
      <c r="C9881" s="6" t="s">
        <v>112</v>
      </c>
      <c r="D9881" s="13" t="n">
        <v>45524</v>
      </c>
      <c r="E9881" s="14" t="n">
        <v>1686.24</v>
      </c>
      <c r="F9881" s="14" t="n">
        <v>2747.79</v>
      </c>
      <c r="G9881" s="6" t="s">
        <v>2613</v>
      </c>
    </row>
    <row r="9882" customFormat="false" ht="15" hidden="false" customHeight="true" outlineLevel="0" collapsed="false">
      <c r="A9882" s="6" t="s">
        <v>12494</v>
      </c>
      <c r="B9882" s="6" t="s">
        <v>2031</v>
      </c>
      <c r="C9882" s="6" t="s">
        <v>112</v>
      </c>
      <c r="D9882" s="13" t="n">
        <v>45531</v>
      </c>
      <c r="E9882" s="14" t="n">
        <v>1032.11</v>
      </c>
      <c r="F9882" s="14" t="n">
        <v>3779.9</v>
      </c>
      <c r="G9882" s="6" t="s">
        <v>2613</v>
      </c>
    </row>
    <row r="9883" customFormat="false" ht="15" hidden="false" customHeight="true" outlineLevel="0" collapsed="false">
      <c r="A9883" s="6" t="s">
        <v>12495</v>
      </c>
      <c r="B9883" s="6" t="s">
        <v>2031</v>
      </c>
      <c r="C9883" s="6" t="s">
        <v>112</v>
      </c>
      <c r="D9883" s="13" t="n">
        <v>45538</v>
      </c>
      <c r="E9883" s="14" t="n">
        <v>1317.16</v>
      </c>
      <c r="F9883" s="14" t="n">
        <v>5097.06</v>
      </c>
      <c r="G9883" s="6" t="s">
        <v>2623</v>
      </c>
    </row>
    <row r="9884" customFormat="false" ht="15" hidden="false" customHeight="true" outlineLevel="0" collapsed="false">
      <c r="A9884" s="6" t="s">
        <v>12496</v>
      </c>
      <c r="B9884" s="6" t="s">
        <v>2031</v>
      </c>
      <c r="C9884" s="6" t="s">
        <v>112</v>
      </c>
      <c r="D9884" s="13" t="n">
        <v>45545</v>
      </c>
      <c r="E9884" s="14" t="n">
        <v>1074.46</v>
      </c>
      <c r="F9884" s="14" t="n">
        <v>6171.52</v>
      </c>
      <c r="G9884" s="6" t="s">
        <v>2623</v>
      </c>
    </row>
    <row r="9885" customFormat="false" ht="15" hidden="false" customHeight="true" outlineLevel="0" collapsed="false">
      <c r="A9885" s="6" t="s">
        <v>12497</v>
      </c>
      <c r="B9885" s="6" t="s">
        <v>2031</v>
      </c>
      <c r="C9885" s="6" t="s">
        <v>112</v>
      </c>
      <c r="D9885" s="13" t="n">
        <v>45552</v>
      </c>
      <c r="E9885" s="14" t="n">
        <v>2077.11</v>
      </c>
      <c r="F9885" s="14" t="n">
        <v>8248.63</v>
      </c>
      <c r="G9885" s="6" t="s">
        <v>2613</v>
      </c>
    </row>
    <row r="9886" customFormat="false" ht="15" hidden="false" customHeight="true" outlineLevel="0" collapsed="false">
      <c r="A9886" s="6" t="s">
        <v>12498</v>
      </c>
      <c r="B9886" s="6" t="s">
        <v>2031</v>
      </c>
      <c r="C9886" s="6" t="s">
        <v>112</v>
      </c>
      <c r="D9886" s="13" t="n">
        <v>45559</v>
      </c>
      <c r="E9886" s="14" t="n">
        <v>965.5</v>
      </c>
      <c r="F9886" s="14" t="n">
        <v>9214.13</v>
      </c>
      <c r="G9886" s="6" t="s">
        <v>2613</v>
      </c>
    </row>
    <row r="9887" customFormat="false" ht="15" hidden="false" customHeight="true" outlineLevel="0" collapsed="false">
      <c r="A9887" s="6" t="s">
        <v>12499</v>
      </c>
      <c r="B9887" s="6" t="s">
        <v>2031</v>
      </c>
      <c r="C9887" s="6" t="s">
        <v>112</v>
      </c>
      <c r="D9887" s="13" t="n">
        <v>45566</v>
      </c>
      <c r="E9887" s="14" t="n">
        <v>1963.25</v>
      </c>
      <c r="F9887" s="14" t="n">
        <v>11177.38</v>
      </c>
      <c r="G9887" s="6" t="s">
        <v>2613</v>
      </c>
    </row>
    <row r="9888" customFormat="false" ht="15" hidden="false" customHeight="true" outlineLevel="0" collapsed="false">
      <c r="A9888" s="6" t="s">
        <v>12500</v>
      </c>
      <c r="B9888" s="6" t="s">
        <v>2031</v>
      </c>
      <c r="C9888" s="6" t="s">
        <v>112</v>
      </c>
      <c r="D9888" s="13" t="n">
        <v>45573</v>
      </c>
      <c r="E9888" s="14" t="n">
        <v>1072.37</v>
      </c>
      <c r="F9888" s="14" t="n">
        <v>12249.75</v>
      </c>
      <c r="G9888" s="6" t="s">
        <v>2613</v>
      </c>
    </row>
    <row r="9889" customFormat="false" ht="15" hidden="false" customHeight="true" outlineLevel="0" collapsed="false">
      <c r="A9889" s="6" t="s">
        <v>12501</v>
      </c>
      <c r="B9889" s="6" t="s">
        <v>2031</v>
      </c>
      <c r="C9889" s="6" t="s">
        <v>112</v>
      </c>
      <c r="D9889" s="13" t="n">
        <v>45580</v>
      </c>
      <c r="E9889" s="14" t="n">
        <v>1286.08</v>
      </c>
      <c r="F9889" s="14" t="n">
        <v>13535.83</v>
      </c>
      <c r="G9889" s="6" t="s">
        <v>2613</v>
      </c>
    </row>
    <row r="9890" customFormat="false" ht="15" hidden="false" customHeight="true" outlineLevel="0" collapsed="false">
      <c r="A9890" s="6" t="s">
        <v>12502</v>
      </c>
      <c r="B9890" s="6" t="s">
        <v>2031</v>
      </c>
      <c r="C9890" s="6" t="s">
        <v>112</v>
      </c>
      <c r="D9890" s="13" t="n">
        <v>45587</v>
      </c>
      <c r="E9890" s="14" t="n">
        <v>1874.45</v>
      </c>
      <c r="F9890" s="14" t="n">
        <v>15410.28</v>
      </c>
      <c r="G9890" s="6" t="s">
        <v>2623</v>
      </c>
    </row>
    <row r="9891" customFormat="false" ht="15" hidden="false" customHeight="true" outlineLevel="0" collapsed="false">
      <c r="A9891" s="6" t="s">
        <v>12503</v>
      </c>
      <c r="B9891" s="6" t="s">
        <v>2031</v>
      </c>
      <c r="C9891" s="6" t="s">
        <v>112</v>
      </c>
      <c r="D9891" s="13" t="n">
        <v>45594</v>
      </c>
      <c r="E9891" s="14" t="n">
        <v>1208.44</v>
      </c>
      <c r="F9891" s="14" t="n">
        <v>16618.72</v>
      </c>
      <c r="G9891" s="6" t="s">
        <v>2613</v>
      </c>
    </row>
    <row r="9892" customFormat="false" ht="15" hidden="false" customHeight="true" outlineLevel="0" collapsed="false">
      <c r="A9892" s="6" t="s">
        <v>12504</v>
      </c>
      <c r="B9892" s="6" t="s">
        <v>2031</v>
      </c>
      <c r="C9892" s="6" t="s">
        <v>112</v>
      </c>
      <c r="D9892" s="13" t="n">
        <v>45601</v>
      </c>
      <c r="E9892" s="14" t="n">
        <v>3266.77</v>
      </c>
      <c r="F9892" s="14" t="n">
        <v>19885.49</v>
      </c>
      <c r="G9892" s="6" t="s">
        <v>2613</v>
      </c>
    </row>
    <row r="9893" customFormat="false" ht="15" hidden="false" customHeight="true" outlineLevel="0" collapsed="false">
      <c r="A9893" s="6" t="s">
        <v>12505</v>
      </c>
      <c r="B9893" s="6" t="s">
        <v>2033</v>
      </c>
      <c r="C9893" s="6" t="s">
        <v>120</v>
      </c>
      <c r="D9893" s="13" t="n">
        <v>45770</v>
      </c>
      <c r="E9893" s="14" t="n">
        <v>2341.29</v>
      </c>
      <c r="F9893" s="14" t="n">
        <v>2341.29</v>
      </c>
      <c r="G9893" s="6" t="s">
        <v>2613</v>
      </c>
    </row>
    <row r="9894" customFormat="false" ht="15" hidden="false" customHeight="true" outlineLevel="0" collapsed="false">
      <c r="A9894" s="6" t="s">
        <v>12506</v>
      </c>
      <c r="B9894" s="6" t="s">
        <v>2033</v>
      </c>
      <c r="C9894" s="6" t="s">
        <v>120</v>
      </c>
      <c r="D9894" s="13" t="n">
        <v>45777</v>
      </c>
      <c r="E9894" s="14" t="n">
        <v>2807.15</v>
      </c>
      <c r="F9894" s="14" t="n">
        <v>5148.44</v>
      </c>
      <c r="G9894" s="6" t="s">
        <v>2613</v>
      </c>
    </row>
    <row r="9895" customFormat="false" ht="15" hidden="false" customHeight="true" outlineLevel="0" collapsed="false">
      <c r="A9895" s="6" t="s">
        <v>12507</v>
      </c>
      <c r="B9895" s="6" t="s">
        <v>2033</v>
      </c>
      <c r="C9895" s="6" t="s">
        <v>120</v>
      </c>
      <c r="D9895" s="13" t="n">
        <v>45784</v>
      </c>
      <c r="E9895" s="14" t="n">
        <v>2565.82</v>
      </c>
      <c r="F9895" s="14" t="n">
        <v>7714.26</v>
      </c>
      <c r="G9895" s="6" t="s">
        <v>2613</v>
      </c>
    </row>
    <row r="9896" customFormat="false" ht="15" hidden="false" customHeight="true" outlineLevel="0" collapsed="false">
      <c r="A9896" s="6" t="s">
        <v>12508</v>
      </c>
      <c r="B9896" s="6" t="s">
        <v>2033</v>
      </c>
      <c r="C9896" s="6" t="s">
        <v>120</v>
      </c>
      <c r="D9896" s="13" t="n">
        <v>45791</v>
      </c>
      <c r="E9896" s="14" t="n">
        <v>2924.79</v>
      </c>
      <c r="F9896" s="14" t="n">
        <v>10639.05</v>
      </c>
      <c r="G9896" s="6" t="s">
        <v>2623</v>
      </c>
    </row>
    <row r="9897" customFormat="false" ht="15" hidden="false" customHeight="true" outlineLevel="0" collapsed="false">
      <c r="A9897" s="6" t="s">
        <v>12509</v>
      </c>
      <c r="B9897" s="6" t="s">
        <v>2033</v>
      </c>
      <c r="C9897" s="6" t="s">
        <v>120</v>
      </c>
      <c r="D9897" s="13" t="n">
        <v>45798</v>
      </c>
      <c r="E9897" s="14" t="n">
        <v>2358.08</v>
      </c>
      <c r="F9897" s="14" t="n">
        <v>12997.13</v>
      </c>
      <c r="G9897" s="6" t="s">
        <v>2613</v>
      </c>
    </row>
    <row r="9898" customFormat="false" ht="15" hidden="false" customHeight="true" outlineLevel="0" collapsed="false">
      <c r="A9898" s="6" t="s">
        <v>12510</v>
      </c>
      <c r="B9898" s="6" t="s">
        <v>2033</v>
      </c>
      <c r="C9898" s="6" t="s">
        <v>120</v>
      </c>
      <c r="D9898" s="13" t="n">
        <v>45805</v>
      </c>
      <c r="E9898" s="14" t="n">
        <v>3714.64</v>
      </c>
      <c r="F9898" s="14" t="n">
        <v>16711.77</v>
      </c>
      <c r="G9898" s="6" t="s">
        <v>2613</v>
      </c>
    </row>
    <row r="9899" customFormat="false" ht="15" hidden="false" customHeight="true" outlineLevel="0" collapsed="false">
      <c r="A9899" s="6" t="s">
        <v>12511</v>
      </c>
      <c r="B9899" s="6" t="s">
        <v>2033</v>
      </c>
      <c r="C9899" s="6" t="s">
        <v>120</v>
      </c>
      <c r="D9899" s="13" t="n">
        <v>45812</v>
      </c>
      <c r="E9899" s="14" t="n">
        <v>4213.53</v>
      </c>
      <c r="F9899" s="14" t="n">
        <v>20925.3</v>
      </c>
      <c r="G9899" s="6" t="s">
        <v>2613</v>
      </c>
    </row>
    <row r="9900" customFormat="false" ht="15" hidden="false" customHeight="true" outlineLevel="0" collapsed="false">
      <c r="A9900" s="6" t="s">
        <v>12512</v>
      </c>
      <c r="B9900" s="6" t="s">
        <v>2033</v>
      </c>
      <c r="C9900" s="6" t="s">
        <v>120</v>
      </c>
      <c r="D9900" s="13" t="n">
        <v>45819</v>
      </c>
      <c r="E9900" s="14" t="n">
        <v>5078.66</v>
      </c>
      <c r="F9900" s="14" t="n">
        <v>26003.96</v>
      </c>
      <c r="G9900" s="6" t="s">
        <v>2613</v>
      </c>
    </row>
    <row r="9901" customFormat="false" ht="15" hidden="false" customHeight="true" outlineLevel="0" collapsed="false">
      <c r="A9901" s="6" t="s">
        <v>12513</v>
      </c>
      <c r="B9901" s="6" t="s">
        <v>2035</v>
      </c>
      <c r="C9901" s="6" t="s">
        <v>116</v>
      </c>
      <c r="D9901" s="13" t="n">
        <v>45646</v>
      </c>
      <c r="E9901" s="14" t="n">
        <v>13866.65</v>
      </c>
      <c r="F9901" s="14" t="n">
        <v>13866.65</v>
      </c>
      <c r="G9901" s="6" t="s">
        <v>2613</v>
      </c>
    </row>
    <row r="9902" customFormat="false" ht="15" hidden="false" customHeight="true" outlineLevel="0" collapsed="false">
      <c r="A9902" s="6" t="s">
        <v>12514</v>
      </c>
      <c r="B9902" s="6" t="s">
        <v>2035</v>
      </c>
      <c r="C9902" s="6" t="s">
        <v>116</v>
      </c>
      <c r="D9902" s="13" t="n">
        <v>45653</v>
      </c>
      <c r="E9902" s="14" t="n">
        <v>8324.35</v>
      </c>
      <c r="F9902" s="14" t="n">
        <v>22191</v>
      </c>
      <c r="G9902" s="6" t="s">
        <v>2613</v>
      </c>
    </row>
    <row r="9903" customFormat="false" ht="15" hidden="false" customHeight="true" outlineLevel="0" collapsed="false">
      <c r="A9903" s="6" t="s">
        <v>12515</v>
      </c>
      <c r="B9903" s="6" t="s">
        <v>2035</v>
      </c>
      <c r="C9903" s="6" t="s">
        <v>116</v>
      </c>
      <c r="D9903" s="13" t="n">
        <v>45660</v>
      </c>
      <c r="E9903" s="14" t="n">
        <v>7321.21</v>
      </c>
      <c r="F9903" s="14" t="n">
        <v>29512.21</v>
      </c>
      <c r="G9903" s="6" t="s">
        <v>2613</v>
      </c>
    </row>
    <row r="9904" customFormat="false" ht="15" hidden="false" customHeight="true" outlineLevel="0" collapsed="false">
      <c r="A9904" s="6" t="s">
        <v>12516</v>
      </c>
      <c r="B9904" s="6" t="s">
        <v>2035</v>
      </c>
      <c r="C9904" s="6" t="s">
        <v>116</v>
      </c>
      <c r="D9904" s="13" t="n">
        <v>45667</v>
      </c>
      <c r="E9904" s="14" t="n">
        <v>12370.94</v>
      </c>
      <c r="F9904" s="14" t="n">
        <v>41883.15</v>
      </c>
      <c r="G9904" s="6" t="s">
        <v>2613</v>
      </c>
    </row>
    <row r="9905" customFormat="false" ht="15" hidden="false" customHeight="true" outlineLevel="0" collapsed="false">
      <c r="A9905" s="6" t="s">
        <v>12517</v>
      </c>
      <c r="B9905" s="6" t="s">
        <v>2035</v>
      </c>
      <c r="C9905" s="6" t="s">
        <v>116</v>
      </c>
      <c r="D9905" s="13" t="n">
        <v>45674</v>
      </c>
      <c r="E9905" s="14" t="n">
        <v>10475.02</v>
      </c>
      <c r="F9905" s="14" t="n">
        <v>52358.17</v>
      </c>
      <c r="G9905" s="6" t="s">
        <v>2613</v>
      </c>
    </row>
    <row r="9906" customFormat="false" ht="15" hidden="false" customHeight="true" outlineLevel="0" collapsed="false">
      <c r="A9906" s="6" t="s">
        <v>12518</v>
      </c>
      <c r="B9906" s="6" t="s">
        <v>2037</v>
      </c>
      <c r="C9906" s="6" t="s">
        <v>120</v>
      </c>
      <c r="D9906" s="13" t="n">
        <v>46083</v>
      </c>
      <c r="E9906" s="14" t="n">
        <v>1970.83</v>
      </c>
      <c r="F9906" s="14" t="n">
        <v>1970.83</v>
      </c>
      <c r="G9906" s="6" t="s">
        <v>2623</v>
      </c>
    </row>
    <row r="9907" customFormat="false" ht="15" hidden="false" customHeight="true" outlineLevel="0" collapsed="false">
      <c r="A9907" s="6" t="s">
        <v>12519</v>
      </c>
      <c r="B9907" s="6" t="s">
        <v>2037</v>
      </c>
      <c r="C9907" s="6" t="s">
        <v>120</v>
      </c>
      <c r="D9907" s="13" t="n">
        <v>46090</v>
      </c>
      <c r="E9907" s="14" t="n">
        <v>2423.1</v>
      </c>
      <c r="F9907" s="14" t="n">
        <v>4393.93</v>
      </c>
      <c r="G9907" s="6" t="s">
        <v>2613</v>
      </c>
    </row>
    <row r="9908" customFormat="false" ht="15" hidden="false" customHeight="true" outlineLevel="0" collapsed="false">
      <c r="A9908" s="6" t="s">
        <v>12520</v>
      </c>
      <c r="B9908" s="6" t="s">
        <v>2037</v>
      </c>
      <c r="C9908" s="6" t="s">
        <v>120</v>
      </c>
      <c r="D9908" s="13" t="n">
        <v>46097</v>
      </c>
      <c r="E9908" s="14" t="n">
        <v>1902.59</v>
      </c>
      <c r="F9908" s="14" t="n">
        <v>6296.52</v>
      </c>
      <c r="G9908" s="6" t="s">
        <v>2613</v>
      </c>
    </row>
    <row r="9909" customFormat="false" ht="15" hidden="false" customHeight="true" outlineLevel="0" collapsed="false">
      <c r="A9909" s="6" t="s">
        <v>12521</v>
      </c>
      <c r="B9909" s="6" t="s">
        <v>2037</v>
      </c>
      <c r="C9909" s="6" t="s">
        <v>120</v>
      </c>
      <c r="D9909" s="13" t="n">
        <v>46104</v>
      </c>
      <c r="E9909" s="14" t="n">
        <v>1449.84</v>
      </c>
      <c r="F9909" s="14" t="n">
        <v>7746.36</v>
      </c>
      <c r="G9909" s="6" t="s">
        <v>2613</v>
      </c>
    </row>
    <row r="9910" customFormat="false" ht="15" hidden="false" customHeight="true" outlineLevel="0" collapsed="false">
      <c r="A9910" s="6" t="s">
        <v>12522</v>
      </c>
      <c r="B9910" s="6" t="s">
        <v>2037</v>
      </c>
      <c r="C9910" s="6" t="s">
        <v>120</v>
      </c>
      <c r="D9910" s="13" t="n">
        <v>46111</v>
      </c>
      <c r="E9910" s="14" t="n">
        <v>1423.61</v>
      </c>
      <c r="F9910" s="14" t="n">
        <v>9169.97</v>
      </c>
      <c r="G9910" s="6" t="s">
        <v>2613</v>
      </c>
    </row>
    <row r="9911" customFormat="false" ht="15" hidden="false" customHeight="true" outlineLevel="0" collapsed="false">
      <c r="A9911" s="6" t="s">
        <v>12523</v>
      </c>
      <c r="B9911" s="6" t="s">
        <v>2037</v>
      </c>
      <c r="C9911" s="6" t="s">
        <v>120</v>
      </c>
      <c r="D9911" s="13" t="n">
        <v>46118</v>
      </c>
      <c r="E9911" s="14" t="n">
        <v>2131.44</v>
      </c>
      <c r="F9911" s="14" t="n">
        <v>11301.41</v>
      </c>
      <c r="G9911" s="6" t="s">
        <v>2613</v>
      </c>
    </row>
    <row r="9912" customFormat="false" ht="15" hidden="false" customHeight="true" outlineLevel="0" collapsed="false">
      <c r="A9912" s="6" t="s">
        <v>12524</v>
      </c>
      <c r="B9912" s="6" t="s">
        <v>2037</v>
      </c>
      <c r="C9912" s="6" t="s">
        <v>120</v>
      </c>
      <c r="D9912" s="13" t="n">
        <v>46125</v>
      </c>
      <c r="E9912" s="14" t="n">
        <v>2009.93</v>
      </c>
      <c r="F9912" s="14" t="n">
        <v>13311.34</v>
      </c>
      <c r="G9912" s="6" t="s">
        <v>2613</v>
      </c>
    </row>
    <row r="9913" customFormat="false" ht="15" hidden="false" customHeight="true" outlineLevel="0" collapsed="false">
      <c r="A9913" s="6" t="s">
        <v>12525</v>
      </c>
      <c r="B9913" s="6" t="s">
        <v>2037</v>
      </c>
      <c r="C9913" s="6" t="s">
        <v>120</v>
      </c>
      <c r="D9913" s="13" t="n">
        <v>46132</v>
      </c>
      <c r="E9913" s="14" t="n">
        <v>2653.41</v>
      </c>
      <c r="F9913" s="14" t="n">
        <v>15964.75</v>
      </c>
      <c r="G9913" s="6" t="s">
        <v>2613</v>
      </c>
    </row>
    <row r="9914" customFormat="false" ht="15" hidden="false" customHeight="true" outlineLevel="0" collapsed="false">
      <c r="A9914" s="6" t="s">
        <v>12526</v>
      </c>
      <c r="B9914" s="6" t="s">
        <v>2037</v>
      </c>
      <c r="C9914" s="6" t="s">
        <v>120</v>
      </c>
      <c r="D9914" s="13" t="n">
        <v>46139</v>
      </c>
      <c r="E9914" s="14" t="n">
        <v>1760.05</v>
      </c>
      <c r="F9914" s="14" t="n">
        <v>17724.8</v>
      </c>
      <c r="G9914" s="6" t="s">
        <v>2613</v>
      </c>
    </row>
    <row r="9915" customFormat="false" ht="15" hidden="false" customHeight="true" outlineLevel="0" collapsed="false">
      <c r="A9915" s="6" t="s">
        <v>12527</v>
      </c>
      <c r="B9915" s="6" t="s">
        <v>2037</v>
      </c>
      <c r="C9915" s="6" t="s">
        <v>120</v>
      </c>
      <c r="D9915" s="13" t="n">
        <v>46146</v>
      </c>
      <c r="E9915" s="14" t="n">
        <v>2306.16</v>
      </c>
      <c r="F9915" s="14" t="n">
        <v>20030.96</v>
      </c>
      <c r="G9915" s="6" t="s">
        <v>2623</v>
      </c>
    </row>
    <row r="9916" customFormat="false" ht="15" hidden="false" customHeight="true" outlineLevel="0" collapsed="false">
      <c r="A9916" s="6" t="s">
        <v>12528</v>
      </c>
      <c r="B9916" s="6" t="s">
        <v>2037</v>
      </c>
      <c r="C9916" s="6" t="s">
        <v>120</v>
      </c>
      <c r="D9916" s="13" t="n">
        <v>46153</v>
      </c>
      <c r="E9916" s="14" t="n">
        <v>1488.2</v>
      </c>
      <c r="F9916" s="14" t="n">
        <v>21519.16</v>
      </c>
      <c r="G9916" s="6" t="s">
        <v>2613</v>
      </c>
    </row>
    <row r="9917" customFormat="false" ht="15" hidden="false" customHeight="true" outlineLevel="0" collapsed="false">
      <c r="A9917" s="6" t="s">
        <v>12529</v>
      </c>
      <c r="B9917" s="6" t="s">
        <v>2037</v>
      </c>
      <c r="C9917" s="6" t="s">
        <v>120</v>
      </c>
      <c r="D9917" s="13" t="n">
        <v>46160</v>
      </c>
      <c r="E9917" s="14" t="n">
        <v>1620.35</v>
      </c>
      <c r="F9917" s="14" t="n">
        <v>23139.51</v>
      </c>
      <c r="G9917" s="6" t="s">
        <v>2613</v>
      </c>
    </row>
    <row r="9918" customFormat="false" ht="15" hidden="false" customHeight="true" outlineLevel="0" collapsed="false">
      <c r="A9918" s="6" t="s">
        <v>12530</v>
      </c>
      <c r="B9918" s="6" t="s">
        <v>2037</v>
      </c>
      <c r="C9918" s="6" t="s">
        <v>120</v>
      </c>
      <c r="D9918" s="13" t="n">
        <v>46167</v>
      </c>
      <c r="E9918" s="14" t="n">
        <v>2178.48</v>
      </c>
      <c r="F9918" s="14" t="n">
        <v>25317.99</v>
      </c>
      <c r="G9918" s="6" t="s">
        <v>2613</v>
      </c>
    </row>
    <row r="9919" customFormat="false" ht="15" hidden="false" customHeight="true" outlineLevel="0" collapsed="false">
      <c r="A9919" s="6" t="s">
        <v>12531</v>
      </c>
      <c r="B9919" s="6" t="s">
        <v>2037</v>
      </c>
      <c r="C9919" s="6" t="s">
        <v>120</v>
      </c>
      <c r="D9919" s="13" t="n">
        <v>46174</v>
      </c>
      <c r="E9919" s="14" t="n">
        <v>2193.86</v>
      </c>
      <c r="F9919" s="14" t="n">
        <v>27511.85</v>
      </c>
      <c r="G9919" s="6" t="s">
        <v>2613</v>
      </c>
    </row>
    <row r="9920" customFormat="false" ht="15" hidden="false" customHeight="true" outlineLevel="0" collapsed="false">
      <c r="A9920" s="6" t="s">
        <v>12532</v>
      </c>
      <c r="B9920" s="6" t="s">
        <v>2037</v>
      </c>
      <c r="C9920" s="6" t="s">
        <v>120</v>
      </c>
      <c r="D9920" s="13" t="n">
        <v>46181</v>
      </c>
      <c r="E9920" s="14" t="n">
        <v>2524.78</v>
      </c>
      <c r="F9920" s="14" t="n">
        <v>30036.63</v>
      </c>
      <c r="G9920" s="6" t="s">
        <v>2613</v>
      </c>
    </row>
    <row r="9921" customFormat="false" ht="15" hidden="false" customHeight="true" outlineLevel="0" collapsed="false">
      <c r="A9921" s="6" t="s">
        <v>12533</v>
      </c>
      <c r="B9921" s="6" t="s">
        <v>2037</v>
      </c>
      <c r="C9921" s="6" t="s">
        <v>120</v>
      </c>
      <c r="D9921" s="13" t="n">
        <v>46188</v>
      </c>
      <c r="E9921" s="14" t="n">
        <v>1872.18</v>
      </c>
      <c r="F9921" s="14" t="n">
        <v>31908.81</v>
      </c>
      <c r="G9921" s="6" t="s">
        <v>2613</v>
      </c>
    </row>
    <row r="9922" customFormat="false" ht="15" hidden="false" customHeight="true" outlineLevel="0" collapsed="false">
      <c r="A9922" s="6" t="s">
        <v>12534</v>
      </c>
      <c r="B9922" s="6" t="s">
        <v>2037</v>
      </c>
      <c r="C9922" s="6" t="s">
        <v>120</v>
      </c>
      <c r="D9922" s="13" t="n">
        <v>46195</v>
      </c>
      <c r="E9922" s="14" t="n">
        <v>1704.31</v>
      </c>
      <c r="F9922" s="14" t="n">
        <v>33613.12</v>
      </c>
      <c r="G9922" s="6" t="s">
        <v>2613</v>
      </c>
    </row>
    <row r="9923" customFormat="false" ht="15" hidden="false" customHeight="true" outlineLevel="0" collapsed="false">
      <c r="A9923" s="6" t="s">
        <v>12535</v>
      </c>
      <c r="B9923" s="6" t="s">
        <v>2037</v>
      </c>
      <c r="C9923" s="6" t="s">
        <v>120</v>
      </c>
      <c r="D9923" s="13" t="n">
        <v>46202</v>
      </c>
      <c r="E9923" s="14" t="n">
        <v>2672.23</v>
      </c>
      <c r="F9923" s="14" t="n">
        <v>36285.35</v>
      </c>
      <c r="G9923" s="6" t="s">
        <v>2613</v>
      </c>
    </row>
    <row r="9924" customFormat="false" ht="15" hidden="false" customHeight="true" outlineLevel="0" collapsed="false">
      <c r="A9924" s="6" t="s">
        <v>12536</v>
      </c>
      <c r="B9924" s="6" t="s">
        <v>2037</v>
      </c>
      <c r="C9924" s="6" t="s">
        <v>120</v>
      </c>
      <c r="D9924" s="13" t="n">
        <v>46209</v>
      </c>
      <c r="E9924" s="14" t="n">
        <v>2317.18</v>
      </c>
      <c r="F9924" s="14" t="n">
        <v>38602.53</v>
      </c>
      <c r="G9924" s="6" t="s">
        <v>2613</v>
      </c>
    </row>
    <row r="9925" customFormat="false" ht="15" hidden="false" customHeight="true" outlineLevel="0" collapsed="false">
      <c r="A9925" s="6" t="s">
        <v>12537</v>
      </c>
      <c r="B9925" s="6" t="s">
        <v>2037</v>
      </c>
      <c r="C9925" s="6" t="s">
        <v>120</v>
      </c>
      <c r="D9925" s="13" t="n">
        <v>46216</v>
      </c>
      <c r="E9925" s="14" t="n">
        <v>1903.24</v>
      </c>
      <c r="F9925" s="14" t="n">
        <v>40505.77</v>
      </c>
      <c r="G9925" s="6" t="s">
        <v>2613</v>
      </c>
    </row>
    <row r="9926" customFormat="false" ht="15" hidden="false" customHeight="true" outlineLevel="0" collapsed="false">
      <c r="A9926" s="6" t="s">
        <v>12538</v>
      </c>
      <c r="B9926" s="6" t="s">
        <v>2037</v>
      </c>
      <c r="C9926" s="6" t="s">
        <v>120</v>
      </c>
      <c r="D9926" s="13" t="n">
        <v>46223</v>
      </c>
      <c r="E9926" s="14" t="n">
        <v>2861.7</v>
      </c>
      <c r="F9926" s="14" t="n">
        <v>43367.47</v>
      </c>
      <c r="G9926" s="6" t="s">
        <v>2613</v>
      </c>
    </row>
    <row r="9927" customFormat="false" ht="15" hidden="false" customHeight="true" outlineLevel="0" collapsed="false">
      <c r="A9927" s="6" t="s">
        <v>12539</v>
      </c>
      <c r="B9927" s="6" t="s">
        <v>2037</v>
      </c>
      <c r="C9927" s="6" t="s">
        <v>120</v>
      </c>
      <c r="D9927" s="13" t="n">
        <v>46230</v>
      </c>
      <c r="E9927" s="14" t="n">
        <v>2235.85</v>
      </c>
      <c r="F9927" s="14" t="n">
        <v>45603.32</v>
      </c>
      <c r="G9927" s="6" t="s">
        <v>2623</v>
      </c>
    </row>
    <row r="9928" customFormat="false" ht="15" hidden="false" customHeight="true" outlineLevel="0" collapsed="false">
      <c r="A9928" s="6" t="s">
        <v>12540</v>
      </c>
      <c r="B9928" s="6" t="s">
        <v>2037</v>
      </c>
      <c r="C9928" s="6" t="s">
        <v>120</v>
      </c>
      <c r="D9928" s="13" t="n">
        <v>46237</v>
      </c>
      <c r="E9928" s="14" t="n">
        <v>2278.96</v>
      </c>
      <c r="F9928" s="14" t="n">
        <v>47882.28</v>
      </c>
      <c r="G9928" s="6" t="s">
        <v>2613</v>
      </c>
    </row>
    <row r="9929" customFormat="false" ht="15" hidden="false" customHeight="true" outlineLevel="0" collapsed="false">
      <c r="A9929" s="6" t="s">
        <v>12541</v>
      </c>
      <c r="B9929" s="6" t="s">
        <v>2037</v>
      </c>
      <c r="C9929" s="6" t="s">
        <v>120</v>
      </c>
      <c r="D9929" s="13" t="n">
        <v>46244</v>
      </c>
      <c r="E9929" s="14" t="n">
        <v>7100.35</v>
      </c>
      <c r="F9929" s="14" t="n">
        <v>54982.63</v>
      </c>
      <c r="G9929" s="6" t="s">
        <v>2613</v>
      </c>
    </row>
    <row r="9930" customFormat="false" ht="15" hidden="false" customHeight="true" outlineLevel="0" collapsed="false">
      <c r="A9930" s="6" t="s">
        <v>12542</v>
      </c>
      <c r="B9930" s="6" t="s">
        <v>2039</v>
      </c>
      <c r="C9930" s="6" t="s">
        <v>120</v>
      </c>
      <c r="D9930" s="13" t="n">
        <v>45442</v>
      </c>
      <c r="E9930" s="14" t="n">
        <v>2606.01</v>
      </c>
      <c r="F9930" s="14" t="n">
        <v>2606.01</v>
      </c>
      <c r="G9930" s="6" t="s">
        <v>2613</v>
      </c>
    </row>
    <row r="9931" customFormat="false" ht="15" hidden="false" customHeight="true" outlineLevel="0" collapsed="false">
      <c r="A9931" s="6" t="s">
        <v>12543</v>
      </c>
      <c r="B9931" s="6" t="s">
        <v>2039</v>
      </c>
      <c r="C9931" s="6" t="s">
        <v>120</v>
      </c>
      <c r="D9931" s="13" t="n">
        <v>45449</v>
      </c>
      <c r="E9931" s="14" t="n">
        <v>3811.26</v>
      </c>
      <c r="F9931" s="14" t="n">
        <v>6417.27</v>
      </c>
      <c r="G9931" s="6" t="s">
        <v>2613</v>
      </c>
    </row>
    <row r="9932" customFormat="false" ht="15" hidden="false" customHeight="true" outlineLevel="0" collapsed="false">
      <c r="A9932" s="6" t="s">
        <v>12544</v>
      </c>
      <c r="B9932" s="6" t="s">
        <v>2039</v>
      </c>
      <c r="C9932" s="6" t="s">
        <v>120</v>
      </c>
      <c r="D9932" s="13" t="n">
        <v>45456</v>
      </c>
      <c r="E9932" s="14" t="n">
        <v>2579.67</v>
      </c>
      <c r="F9932" s="14" t="n">
        <v>8996.94</v>
      </c>
      <c r="G9932" s="6" t="s">
        <v>2613</v>
      </c>
    </row>
    <row r="9933" customFormat="false" ht="15" hidden="false" customHeight="true" outlineLevel="0" collapsed="false">
      <c r="A9933" s="6" t="s">
        <v>12545</v>
      </c>
      <c r="B9933" s="6" t="s">
        <v>2039</v>
      </c>
      <c r="C9933" s="6" t="s">
        <v>120</v>
      </c>
      <c r="D9933" s="13" t="n">
        <v>45463</v>
      </c>
      <c r="E9933" s="14" t="n">
        <v>2612.19</v>
      </c>
      <c r="F9933" s="14" t="n">
        <v>11609.13</v>
      </c>
      <c r="G9933" s="6" t="s">
        <v>2623</v>
      </c>
    </row>
    <row r="9934" customFormat="false" ht="15" hidden="false" customHeight="true" outlineLevel="0" collapsed="false">
      <c r="A9934" s="6" t="s">
        <v>12546</v>
      </c>
      <c r="B9934" s="6" t="s">
        <v>2039</v>
      </c>
      <c r="C9934" s="6" t="s">
        <v>120</v>
      </c>
      <c r="D9934" s="13" t="n">
        <v>45470</v>
      </c>
      <c r="E9934" s="14" t="n">
        <v>2194.75</v>
      </c>
      <c r="F9934" s="14" t="n">
        <v>13803.88</v>
      </c>
      <c r="G9934" s="6" t="s">
        <v>2613</v>
      </c>
    </row>
    <row r="9935" customFormat="false" ht="15" hidden="false" customHeight="true" outlineLevel="0" collapsed="false">
      <c r="A9935" s="6" t="s">
        <v>12547</v>
      </c>
      <c r="B9935" s="6" t="s">
        <v>2039</v>
      </c>
      <c r="C9935" s="6" t="s">
        <v>120</v>
      </c>
      <c r="D9935" s="13" t="n">
        <v>45477</v>
      </c>
      <c r="E9935" s="14" t="n">
        <v>2858.83</v>
      </c>
      <c r="F9935" s="14" t="n">
        <v>16662.71</v>
      </c>
      <c r="G9935" s="6" t="s">
        <v>2613</v>
      </c>
    </row>
    <row r="9936" customFormat="false" ht="15" hidden="false" customHeight="true" outlineLevel="0" collapsed="false">
      <c r="A9936" s="6" t="s">
        <v>12548</v>
      </c>
      <c r="B9936" s="6" t="s">
        <v>2039</v>
      </c>
      <c r="C9936" s="6" t="s">
        <v>120</v>
      </c>
      <c r="D9936" s="13" t="n">
        <v>45484</v>
      </c>
      <c r="E9936" s="14" t="n">
        <v>3681.74</v>
      </c>
      <c r="F9936" s="14" t="n">
        <v>20344.45</v>
      </c>
      <c r="G9936" s="6" t="s">
        <v>2613</v>
      </c>
    </row>
    <row r="9937" customFormat="false" ht="15" hidden="false" customHeight="true" outlineLevel="0" collapsed="false">
      <c r="A9937" s="6" t="s">
        <v>12549</v>
      </c>
      <c r="B9937" s="6" t="s">
        <v>2039</v>
      </c>
      <c r="C9937" s="6" t="s">
        <v>120</v>
      </c>
      <c r="D9937" s="13" t="n">
        <v>45491</v>
      </c>
      <c r="E9937" s="14" t="n">
        <v>2087.65</v>
      </c>
      <c r="F9937" s="14" t="n">
        <v>22432.1</v>
      </c>
      <c r="G9937" s="6" t="s">
        <v>2613</v>
      </c>
    </row>
    <row r="9938" customFormat="false" ht="15" hidden="false" customHeight="true" outlineLevel="0" collapsed="false">
      <c r="A9938" s="6" t="s">
        <v>12550</v>
      </c>
      <c r="B9938" s="6" t="s">
        <v>2039</v>
      </c>
      <c r="C9938" s="6" t="s">
        <v>120</v>
      </c>
      <c r="D9938" s="13" t="n">
        <v>45498</v>
      </c>
      <c r="E9938" s="14" t="n">
        <v>3644.89</v>
      </c>
      <c r="F9938" s="14" t="n">
        <v>26076.99</v>
      </c>
      <c r="G9938" s="6" t="s">
        <v>2613</v>
      </c>
    </row>
    <row r="9939" customFormat="false" ht="15" hidden="false" customHeight="true" outlineLevel="0" collapsed="false">
      <c r="A9939" s="6" t="s">
        <v>12551</v>
      </c>
      <c r="B9939" s="6" t="s">
        <v>2039</v>
      </c>
      <c r="C9939" s="6" t="s">
        <v>120</v>
      </c>
      <c r="D9939" s="13" t="n">
        <v>45505</v>
      </c>
      <c r="E9939" s="14" t="n">
        <v>2144.03</v>
      </c>
      <c r="F9939" s="14" t="n">
        <v>28221.02</v>
      </c>
      <c r="G9939" s="6" t="s">
        <v>2613</v>
      </c>
    </row>
    <row r="9940" customFormat="false" ht="15" hidden="false" customHeight="true" outlineLevel="0" collapsed="false">
      <c r="A9940" s="6" t="s">
        <v>12552</v>
      </c>
      <c r="B9940" s="6" t="s">
        <v>2039</v>
      </c>
      <c r="C9940" s="6" t="s">
        <v>120</v>
      </c>
      <c r="D9940" s="13" t="n">
        <v>45512</v>
      </c>
      <c r="E9940" s="14" t="n">
        <v>2652.66</v>
      </c>
      <c r="F9940" s="14" t="n">
        <v>30873.68</v>
      </c>
      <c r="G9940" s="6" t="s">
        <v>2613</v>
      </c>
    </row>
    <row r="9941" customFormat="false" ht="15" hidden="false" customHeight="true" outlineLevel="0" collapsed="false">
      <c r="A9941" s="6" t="s">
        <v>12553</v>
      </c>
      <c r="B9941" s="6" t="s">
        <v>2039</v>
      </c>
      <c r="C9941" s="6" t="s">
        <v>120</v>
      </c>
      <c r="D9941" s="13" t="n">
        <v>45519</v>
      </c>
      <c r="E9941" s="14" t="n">
        <v>4041.68</v>
      </c>
      <c r="F9941" s="14" t="n">
        <v>34915.36</v>
      </c>
      <c r="G9941" s="6" t="s">
        <v>2613</v>
      </c>
    </row>
    <row r="9942" customFormat="false" ht="15" hidden="false" customHeight="true" outlineLevel="0" collapsed="false">
      <c r="A9942" s="6" t="s">
        <v>12554</v>
      </c>
      <c r="B9942" s="6" t="s">
        <v>2039</v>
      </c>
      <c r="C9942" s="6" t="s">
        <v>120</v>
      </c>
      <c r="D9942" s="13" t="n">
        <v>45526</v>
      </c>
      <c r="E9942" s="14" t="n">
        <v>4057.26</v>
      </c>
      <c r="F9942" s="14" t="n">
        <v>38972.62</v>
      </c>
      <c r="G9942" s="6" t="s">
        <v>2613</v>
      </c>
    </row>
    <row r="9943" customFormat="false" ht="15" hidden="false" customHeight="true" outlineLevel="0" collapsed="false">
      <c r="A9943" s="6" t="s">
        <v>12555</v>
      </c>
      <c r="B9943" s="6" t="s">
        <v>2039</v>
      </c>
      <c r="C9943" s="6" t="s">
        <v>120</v>
      </c>
      <c r="D9943" s="13" t="n">
        <v>45533</v>
      </c>
      <c r="E9943" s="14" t="n">
        <v>2274.06</v>
      </c>
      <c r="F9943" s="14" t="n">
        <v>41246.68</v>
      </c>
      <c r="G9943" s="6" t="s">
        <v>2613</v>
      </c>
    </row>
    <row r="9944" customFormat="false" ht="15" hidden="false" customHeight="true" outlineLevel="0" collapsed="false">
      <c r="A9944" s="6" t="s">
        <v>12556</v>
      </c>
      <c r="B9944" s="6" t="s">
        <v>2039</v>
      </c>
      <c r="C9944" s="6" t="s">
        <v>120</v>
      </c>
      <c r="D9944" s="13" t="n">
        <v>45540</v>
      </c>
      <c r="E9944" s="14" t="n">
        <v>3956.85</v>
      </c>
      <c r="F9944" s="14" t="n">
        <v>45203.53</v>
      </c>
      <c r="G9944" s="6" t="s">
        <v>2613</v>
      </c>
    </row>
    <row r="9945" customFormat="false" ht="15" hidden="false" customHeight="true" outlineLevel="0" collapsed="false">
      <c r="A9945" s="6" t="s">
        <v>12557</v>
      </c>
      <c r="B9945" s="6" t="s">
        <v>2039</v>
      </c>
      <c r="C9945" s="6" t="s">
        <v>120</v>
      </c>
      <c r="D9945" s="13" t="n">
        <v>45547</v>
      </c>
      <c r="E9945" s="14" t="n">
        <v>1909.69</v>
      </c>
      <c r="F9945" s="14" t="n">
        <v>47113.22</v>
      </c>
      <c r="G9945" s="6" t="s">
        <v>2613</v>
      </c>
    </row>
    <row r="9946" customFormat="false" ht="15" hidden="false" customHeight="true" outlineLevel="0" collapsed="false">
      <c r="A9946" s="6" t="s">
        <v>12558</v>
      </c>
      <c r="B9946" s="6" t="s">
        <v>2039</v>
      </c>
      <c r="C9946" s="6" t="s">
        <v>120</v>
      </c>
      <c r="D9946" s="13" t="n">
        <v>45554</v>
      </c>
      <c r="E9946" s="14" t="n">
        <v>4085.8</v>
      </c>
      <c r="F9946" s="14" t="n">
        <v>51199.02</v>
      </c>
      <c r="G9946" s="6" t="s">
        <v>2613</v>
      </c>
    </row>
    <row r="9947" customFormat="false" ht="15" hidden="false" customHeight="true" outlineLevel="0" collapsed="false">
      <c r="A9947" s="6" t="s">
        <v>12559</v>
      </c>
      <c r="B9947" s="6" t="s">
        <v>2039</v>
      </c>
      <c r="C9947" s="6" t="s">
        <v>120</v>
      </c>
      <c r="D9947" s="13" t="n">
        <v>45561</v>
      </c>
      <c r="E9947" s="14" t="n">
        <v>2366.51</v>
      </c>
      <c r="F9947" s="14" t="n">
        <v>53565.53</v>
      </c>
      <c r="G9947" s="6" t="s">
        <v>2613</v>
      </c>
    </row>
    <row r="9948" customFormat="false" ht="15" hidden="false" customHeight="true" outlineLevel="0" collapsed="false">
      <c r="A9948" s="6" t="s">
        <v>12560</v>
      </c>
      <c r="B9948" s="6" t="s">
        <v>2039</v>
      </c>
      <c r="C9948" s="6" t="s">
        <v>120</v>
      </c>
      <c r="D9948" s="13" t="n">
        <v>45568</v>
      </c>
      <c r="E9948" s="14" t="n">
        <v>2641.2</v>
      </c>
      <c r="F9948" s="14" t="n">
        <v>56206.73</v>
      </c>
      <c r="G9948" s="6" t="s">
        <v>2613</v>
      </c>
    </row>
    <row r="9949" customFormat="false" ht="15" hidden="false" customHeight="true" outlineLevel="0" collapsed="false">
      <c r="A9949" s="6" t="s">
        <v>12561</v>
      </c>
      <c r="B9949" s="6" t="s">
        <v>2039</v>
      </c>
      <c r="C9949" s="6" t="s">
        <v>120</v>
      </c>
      <c r="D9949" s="13" t="n">
        <v>45575</v>
      </c>
      <c r="E9949" s="14" t="n">
        <v>3912.25</v>
      </c>
      <c r="F9949" s="14" t="n">
        <v>60118.98</v>
      </c>
      <c r="G9949" s="6" t="s">
        <v>2613</v>
      </c>
    </row>
    <row r="9950" customFormat="false" ht="15" hidden="false" customHeight="true" outlineLevel="0" collapsed="false">
      <c r="A9950" s="6" t="s">
        <v>12562</v>
      </c>
      <c r="B9950" s="6" t="s">
        <v>2039</v>
      </c>
      <c r="C9950" s="6" t="s">
        <v>120</v>
      </c>
      <c r="D9950" s="13" t="n">
        <v>45582</v>
      </c>
      <c r="E9950" s="14" t="n">
        <v>2831.09</v>
      </c>
      <c r="F9950" s="14" t="n">
        <v>62950.07</v>
      </c>
      <c r="G9950" s="6" t="s">
        <v>2613</v>
      </c>
    </row>
    <row r="9951" customFormat="false" ht="15" hidden="false" customHeight="true" outlineLevel="0" collapsed="false">
      <c r="A9951" s="6" t="s">
        <v>12563</v>
      </c>
      <c r="B9951" s="6" t="s">
        <v>2039</v>
      </c>
      <c r="C9951" s="6" t="s">
        <v>120</v>
      </c>
      <c r="D9951" s="13" t="n">
        <v>45589</v>
      </c>
      <c r="E9951" s="14" t="n">
        <v>2085.51</v>
      </c>
      <c r="F9951" s="14" t="n">
        <v>65035.58</v>
      </c>
      <c r="G9951" s="6" t="s">
        <v>2613</v>
      </c>
    </row>
    <row r="9952" customFormat="false" ht="15" hidden="false" customHeight="true" outlineLevel="0" collapsed="false">
      <c r="A9952" s="6" t="s">
        <v>12564</v>
      </c>
      <c r="B9952" s="6" t="s">
        <v>2039</v>
      </c>
      <c r="C9952" s="6" t="s">
        <v>120</v>
      </c>
      <c r="D9952" s="13" t="n">
        <v>45596</v>
      </c>
      <c r="E9952" s="14" t="n">
        <v>4076.08</v>
      </c>
      <c r="F9952" s="14" t="n">
        <v>69111.66</v>
      </c>
      <c r="G9952" s="6" t="s">
        <v>2613</v>
      </c>
    </row>
    <row r="9953" customFormat="false" ht="15" hidden="false" customHeight="true" outlineLevel="0" collapsed="false">
      <c r="A9953" s="6" t="s">
        <v>12565</v>
      </c>
      <c r="B9953" s="6" t="s">
        <v>2039</v>
      </c>
      <c r="C9953" s="6" t="s">
        <v>120</v>
      </c>
      <c r="D9953" s="13" t="n">
        <v>45603</v>
      </c>
      <c r="E9953" s="14" t="n">
        <v>2277.83</v>
      </c>
      <c r="F9953" s="14" t="n">
        <v>71389.49</v>
      </c>
      <c r="G9953" s="6" t="s">
        <v>2613</v>
      </c>
    </row>
    <row r="9954" customFormat="false" ht="15" hidden="false" customHeight="true" outlineLevel="0" collapsed="false">
      <c r="A9954" s="6" t="s">
        <v>12566</v>
      </c>
      <c r="B9954" s="6" t="s">
        <v>2039</v>
      </c>
      <c r="C9954" s="6" t="s">
        <v>120</v>
      </c>
      <c r="D9954" s="13" t="n">
        <v>45610</v>
      </c>
      <c r="E9954" s="14" t="n">
        <v>4007.95</v>
      </c>
      <c r="F9954" s="14" t="n">
        <v>75397.44</v>
      </c>
      <c r="G9954" s="6" t="s">
        <v>2613</v>
      </c>
    </row>
    <row r="9955" customFormat="false" ht="15" hidden="false" customHeight="true" outlineLevel="0" collapsed="false">
      <c r="A9955" s="6" t="s">
        <v>12567</v>
      </c>
      <c r="B9955" s="6" t="s">
        <v>2039</v>
      </c>
      <c r="C9955" s="6" t="s">
        <v>120</v>
      </c>
      <c r="D9955" s="13" t="n">
        <v>45617</v>
      </c>
      <c r="E9955" s="14" t="n">
        <v>4110.07</v>
      </c>
      <c r="F9955" s="14" t="n">
        <v>79507.51</v>
      </c>
      <c r="G9955" s="6" t="s">
        <v>2613</v>
      </c>
    </row>
    <row r="9956" customFormat="false" ht="15" hidden="false" customHeight="true" outlineLevel="0" collapsed="false">
      <c r="A9956" s="6" t="s">
        <v>12568</v>
      </c>
      <c r="B9956" s="6" t="s">
        <v>2039</v>
      </c>
      <c r="C9956" s="6" t="s">
        <v>120</v>
      </c>
      <c r="D9956" s="13" t="n">
        <v>45624</v>
      </c>
      <c r="E9956" s="14" t="n">
        <v>2782.41</v>
      </c>
      <c r="F9956" s="14" t="n">
        <v>82289.92</v>
      </c>
      <c r="G9956" s="6" t="s">
        <v>2623</v>
      </c>
    </row>
    <row r="9957" customFormat="false" ht="15" hidden="false" customHeight="true" outlineLevel="0" collapsed="false">
      <c r="A9957" s="6" t="s">
        <v>12569</v>
      </c>
      <c r="B9957" s="6" t="s">
        <v>2039</v>
      </c>
      <c r="C9957" s="6" t="s">
        <v>120</v>
      </c>
      <c r="D9957" s="13" t="n">
        <v>45631</v>
      </c>
      <c r="E9957" s="14" t="n">
        <v>3751.34</v>
      </c>
      <c r="F9957" s="14" t="n">
        <v>86041.26</v>
      </c>
      <c r="G9957" s="6" t="s">
        <v>2613</v>
      </c>
    </row>
    <row r="9958" customFormat="false" ht="15" hidden="false" customHeight="true" outlineLevel="0" collapsed="false">
      <c r="A9958" s="6" t="s">
        <v>12570</v>
      </c>
      <c r="B9958" s="6" t="s">
        <v>2039</v>
      </c>
      <c r="C9958" s="6" t="s">
        <v>120</v>
      </c>
      <c r="D9958" s="13" t="n">
        <v>45638</v>
      </c>
      <c r="E9958" s="14" t="n">
        <v>3603.85</v>
      </c>
      <c r="F9958" s="14" t="n">
        <v>89645.11</v>
      </c>
      <c r="G9958" s="6" t="s">
        <v>2613</v>
      </c>
    </row>
    <row r="9959" customFormat="false" ht="15" hidden="false" customHeight="true" outlineLevel="0" collapsed="false">
      <c r="A9959" s="6" t="s">
        <v>12571</v>
      </c>
      <c r="B9959" s="6" t="s">
        <v>2039</v>
      </c>
      <c r="C9959" s="6" t="s">
        <v>120</v>
      </c>
      <c r="D9959" s="13" t="n">
        <v>45645</v>
      </c>
      <c r="E9959" s="14" t="n">
        <v>3711.12</v>
      </c>
      <c r="F9959" s="14" t="n">
        <v>93356.23</v>
      </c>
      <c r="G9959" s="6" t="s">
        <v>2613</v>
      </c>
    </row>
    <row r="9960" customFormat="false" ht="15" hidden="false" customHeight="true" outlineLevel="0" collapsed="false">
      <c r="A9960" s="6" t="s">
        <v>12572</v>
      </c>
      <c r="B9960" s="6" t="s">
        <v>2039</v>
      </c>
      <c r="C9960" s="6" t="s">
        <v>120</v>
      </c>
      <c r="D9960" s="13" t="n">
        <v>45652</v>
      </c>
      <c r="E9960" s="14" t="n">
        <v>1863.21</v>
      </c>
      <c r="F9960" s="14" t="n">
        <v>95219.44</v>
      </c>
      <c r="G9960" s="6" t="s">
        <v>2613</v>
      </c>
    </row>
    <row r="9961" customFormat="false" ht="15" hidden="false" customHeight="true" outlineLevel="0" collapsed="false">
      <c r="A9961" s="6" t="s">
        <v>12573</v>
      </c>
      <c r="B9961" s="6" t="s">
        <v>2039</v>
      </c>
      <c r="C9961" s="6" t="s">
        <v>120</v>
      </c>
      <c r="D9961" s="13" t="n">
        <v>45659</v>
      </c>
      <c r="E9961" s="14" t="n">
        <v>3505.69</v>
      </c>
      <c r="F9961" s="14" t="n">
        <v>98725.13</v>
      </c>
      <c r="G9961" s="6" t="s">
        <v>2613</v>
      </c>
    </row>
    <row r="9962" customFormat="false" ht="15" hidden="false" customHeight="true" outlineLevel="0" collapsed="false">
      <c r="A9962" s="6" t="s">
        <v>12574</v>
      </c>
      <c r="B9962" s="6" t="s">
        <v>2039</v>
      </c>
      <c r="C9962" s="6" t="s">
        <v>120</v>
      </c>
      <c r="D9962" s="13" t="n">
        <v>45666</v>
      </c>
      <c r="E9962" s="14" t="n">
        <v>1981.43</v>
      </c>
      <c r="F9962" s="14" t="n">
        <v>100706.56</v>
      </c>
      <c r="G9962" s="6" t="s">
        <v>2623</v>
      </c>
    </row>
    <row r="9963" customFormat="false" ht="15" hidden="false" customHeight="true" outlineLevel="0" collapsed="false">
      <c r="A9963" s="6" t="s">
        <v>12575</v>
      </c>
      <c r="B9963" s="6" t="s">
        <v>2039</v>
      </c>
      <c r="C9963" s="6" t="s">
        <v>120</v>
      </c>
      <c r="D9963" s="13" t="n">
        <v>45673</v>
      </c>
      <c r="E9963" s="14" t="n">
        <v>3967.16</v>
      </c>
      <c r="F9963" s="14" t="n">
        <v>104673.72</v>
      </c>
      <c r="G9963" s="6" t="s">
        <v>2613</v>
      </c>
    </row>
    <row r="9964" customFormat="false" ht="15" hidden="false" customHeight="true" outlineLevel="0" collapsed="false">
      <c r="A9964" s="6" t="s">
        <v>12576</v>
      </c>
      <c r="B9964" s="6" t="s">
        <v>2039</v>
      </c>
      <c r="C9964" s="6" t="s">
        <v>120</v>
      </c>
      <c r="D9964" s="13" t="n">
        <v>45680</v>
      </c>
      <c r="E9964" s="14" t="n">
        <v>3127.34</v>
      </c>
      <c r="F9964" s="14" t="n">
        <v>107801.06</v>
      </c>
      <c r="G9964" s="6" t="s">
        <v>2613</v>
      </c>
    </row>
    <row r="9965" customFormat="false" ht="15" hidden="false" customHeight="true" outlineLevel="0" collapsed="false">
      <c r="A9965" s="6" t="s">
        <v>12577</v>
      </c>
      <c r="B9965" s="6" t="s">
        <v>2039</v>
      </c>
      <c r="C9965" s="6" t="s">
        <v>120</v>
      </c>
      <c r="D9965" s="13" t="n">
        <v>45687</v>
      </c>
      <c r="E9965" s="14" t="n">
        <v>2014.95</v>
      </c>
      <c r="F9965" s="14" t="n">
        <v>109816.01</v>
      </c>
      <c r="G9965" s="6" t="s">
        <v>2613</v>
      </c>
    </row>
    <row r="9966" customFormat="false" ht="15" hidden="false" customHeight="true" outlineLevel="0" collapsed="false">
      <c r="A9966" s="6" t="s">
        <v>12578</v>
      </c>
      <c r="B9966" s="6" t="s">
        <v>2039</v>
      </c>
      <c r="C9966" s="6" t="s">
        <v>120</v>
      </c>
      <c r="D9966" s="13" t="n">
        <v>45694</v>
      </c>
      <c r="E9966" s="14" t="n">
        <v>2882.81</v>
      </c>
      <c r="F9966" s="14" t="n">
        <v>112698.82</v>
      </c>
      <c r="G9966" s="6" t="s">
        <v>2613</v>
      </c>
    </row>
    <row r="9967" customFormat="false" ht="15" hidden="false" customHeight="true" outlineLevel="0" collapsed="false">
      <c r="A9967" s="6" t="s">
        <v>12579</v>
      </c>
      <c r="B9967" s="6" t="s">
        <v>2039</v>
      </c>
      <c r="C9967" s="6" t="s">
        <v>120</v>
      </c>
      <c r="D9967" s="13" t="n">
        <v>45701</v>
      </c>
      <c r="E9967" s="14" t="n">
        <v>2725.57</v>
      </c>
      <c r="F9967" s="14" t="n">
        <v>115424.39</v>
      </c>
      <c r="G9967" s="6" t="s">
        <v>2613</v>
      </c>
    </row>
    <row r="9968" customFormat="false" ht="15" hidden="false" customHeight="true" outlineLevel="0" collapsed="false">
      <c r="A9968" s="6" t="s">
        <v>12580</v>
      </c>
      <c r="B9968" s="6" t="s">
        <v>2039</v>
      </c>
      <c r="C9968" s="6" t="s">
        <v>120</v>
      </c>
      <c r="D9968" s="13" t="n">
        <v>45708</v>
      </c>
      <c r="E9968" s="14" t="n">
        <v>1902.04</v>
      </c>
      <c r="F9968" s="14" t="n">
        <v>117326.43</v>
      </c>
      <c r="G9968" s="6" t="s">
        <v>2613</v>
      </c>
    </row>
    <row r="9969" customFormat="false" ht="15" hidden="false" customHeight="true" outlineLevel="0" collapsed="false">
      <c r="A9969" s="6" t="s">
        <v>12581</v>
      </c>
      <c r="B9969" s="6" t="s">
        <v>2039</v>
      </c>
      <c r="C9969" s="6" t="s">
        <v>120</v>
      </c>
      <c r="D9969" s="13" t="n">
        <v>45715</v>
      </c>
      <c r="E9969" s="14" t="n">
        <v>2114.79</v>
      </c>
      <c r="F9969" s="14" t="n">
        <v>119441.22</v>
      </c>
      <c r="G9969" s="6" t="s">
        <v>2613</v>
      </c>
    </row>
    <row r="9970" customFormat="false" ht="15" hidden="false" customHeight="true" outlineLevel="0" collapsed="false">
      <c r="A9970" s="6" t="s">
        <v>12582</v>
      </c>
      <c r="B9970" s="6" t="s">
        <v>2041</v>
      </c>
      <c r="C9970" s="6" t="s">
        <v>116</v>
      </c>
      <c r="D9970" s="13" t="n">
        <v>46130</v>
      </c>
      <c r="E9970" s="14" t="n">
        <v>323.57</v>
      </c>
      <c r="F9970" s="14" t="n">
        <v>323.57</v>
      </c>
      <c r="G9970" s="6" t="s">
        <v>2613</v>
      </c>
    </row>
    <row r="9971" customFormat="false" ht="15" hidden="false" customHeight="true" outlineLevel="0" collapsed="false">
      <c r="A9971" s="6" t="s">
        <v>12583</v>
      </c>
      <c r="B9971" s="6" t="s">
        <v>2041</v>
      </c>
      <c r="C9971" s="6" t="s">
        <v>116</v>
      </c>
      <c r="D9971" s="13" t="n">
        <v>46137</v>
      </c>
      <c r="E9971" s="14" t="n">
        <v>366.48</v>
      </c>
      <c r="F9971" s="14" t="n">
        <v>690.05</v>
      </c>
      <c r="G9971" s="6" t="s">
        <v>2623</v>
      </c>
    </row>
    <row r="9972" customFormat="false" ht="15" hidden="false" customHeight="true" outlineLevel="0" collapsed="false">
      <c r="A9972" s="6" t="s">
        <v>12584</v>
      </c>
      <c r="B9972" s="6" t="s">
        <v>2041</v>
      </c>
      <c r="C9972" s="6" t="s">
        <v>116</v>
      </c>
      <c r="D9972" s="13" t="n">
        <v>46144</v>
      </c>
      <c r="E9972" s="14" t="n">
        <v>443.76</v>
      </c>
      <c r="F9972" s="14" t="n">
        <v>1133.81</v>
      </c>
      <c r="G9972" s="6" t="s">
        <v>2623</v>
      </c>
    </row>
    <row r="9973" customFormat="false" ht="15" hidden="false" customHeight="true" outlineLevel="0" collapsed="false">
      <c r="A9973" s="6" t="s">
        <v>12585</v>
      </c>
      <c r="B9973" s="6" t="s">
        <v>2041</v>
      </c>
      <c r="C9973" s="6" t="s">
        <v>116</v>
      </c>
      <c r="D9973" s="13" t="n">
        <v>46151</v>
      </c>
      <c r="E9973" s="14" t="n">
        <v>522.54</v>
      </c>
      <c r="F9973" s="14" t="n">
        <v>1656.35</v>
      </c>
      <c r="G9973" s="6" t="s">
        <v>2613</v>
      </c>
    </row>
    <row r="9974" customFormat="false" ht="15" hidden="false" customHeight="true" outlineLevel="0" collapsed="false">
      <c r="A9974" s="6" t="s">
        <v>12586</v>
      </c>
      <c r="B9974" s="6" t="s">
        <v>2041</v>
      </c>
      <c r="C9974" s="6" t="s">
        <v>116</v>
      </c>
      <c r="D9974" s="13" t="n">
        <v>46158</v>
      </c>
      <c r="E9974" s="14" t="n">
        <v>548.17</v>
      </c>
      <c r="F9974" s="14" t="n">
        <v>2204.52</v>
      </c>
      <c r="G9974" s="6" t="s">
        <v>2613</v>
      </c>
    </row>
    <row r="9975" customFormat="false" ht="15" hidden="false" customHeight="true" outlineLevel="0" collapsed="false">
      <c r="A9975" s="6" t="s">
        <v>12587</v>
      </c>
      <c r="B9975" s="6" t="s">
        <v>2041</v>
      </c>
      <c r="C9975" s="6" t="s">
        <v>116</v>
      </c>
      <c r="D9975" s="13" t="n">
        <v>46165</v>
      </c>
      <c r="E9975" s="14" t="n">
        <v>371.29</v>
      </c>
      <c r="F9975" s="14" t="n">
        <v>2575.81</v>
      </c>
      <c r="G9975" s="6" t="s">
        <v>2613</v>
      </c>
    </row>
    <row r="9976" customFormat="false" ht="15" hidden="false" customHeight="true" outlineLevel="0" collapsed="false">
      <c r="A9976" s="6" t="s">
        <v>12588</v>
      </c>
      <c r="B9976" s="6" t="s">
        <v>2041</v>
      </c>
      <c r="C9976" s="6" t="s">
        <v>116</v>
      </c>
      <c r="D9976" s="13" t="n">
        <v>46172</v>
      </c>
      <c r="E9976" s="14" t="n">
        <v>381.22</v>
      </c>
      <c r="F9976" s="14" t="n">
        <v>2957.03</v>
      </c>
      <c r="G9976" s="6" t="s">
        <v>2613</v>
      </c>
    </row>
    <row r="9977" customFormat="false" ht="15" hidden="false" customHeight="true" outlineLevel="0" collapsed="false">
      <c r="A9977" s="6" t="s">
        <v>12589</v>
      </c>
      <c r="B9977" s="6" t="s">
        <v>2041</v>
      </c>
      <c r="C9977" s="6" t="s">
        <v>116</v>
      </c>
      <c r="D9977" s="13" t="n">
        <v>46179</v>
      </c>
      <c r="E9977" s="14" t="n">
        <v>882.07</v>
      </c>
      <c r="F9977" s="14" t="n">
        <v>3839.1</v>
      </c>
      <c r="G9977" s="6" t="s">
        <v>2613</v>
      </c>
    </row>
    <row r="9978" customFormat="false" ht="15" hidden="false" customHeight="true" outlineLevel="0" collapsed="false">
      <c r="A9978" s="6" t="s">
        <v>12590</v>
      </c>
      <c r="B9978" s="6" t="s">
        <v>2043</v>
      </c>
      <c r="C9978" s="6" t="s">
        <v>112</v>
      </c>
      <c r="D9978" s="13" t="n">
        <v>45490</v>
      </c>
      <c r="E9978" s="14" t="n">
        <v>3096.36</v>
      </c>
      <c r="F9978" s="14" t="n">
        <v>3096.36</v>
      </c>
      <c r="G9978" s="6" t="s">
        <v>2613</v>
      </c>
    </row>
    <row r="9979" customFormat="false" ht="15" hidden="false" customHeight="true" outlineLevel="0" collapsed="false">
      <c r="A9979" s="6" t="s">
        <v>12591</v>
      </c>
      <c r="B9979" s="6" t="s">
        <v>2043</v>
      </c>
      <c r="C9979" s="6" t="s">
        <v>112</v>
      </c>
      <c r="D9979" s="13" t="n">
        <v>45497</v>
      </c>
      <c r="E9979" s="14" t="n">
        <v>3074.96</v>
      </c>
      <c r="F9979" s="14" t="n">
        <v>6171.32</v>
      </c>
      <c r="G9979" s="6" t="s">
        <v>2613</v>
      </c>
    </row>
    <row r="9980" customFormat="false" ht="15" hidden="false" customHeight="true" outlineLevel="0" collapsed="false">
      <c r="A9980" s="6" t="s">
        <v>12592</v>
      </c>
      <c r="B9980" s="6" t="s">
        <v>2043</v>
      </c>
      <c r="C9980" s="6" t="s">
        <v>112</v>
      </c>
      <c r="D9980" s="13" t="n">
        <v>45504</v>
      </c>
      <c r="E9980" s="14" t="n">
        <v>2725.39</v>
      </c>
      <c r="F9980" s="14" t="n">
        <v>8896.71</v>
      </c>
      <c r="G9980" s="6" t="s">
        <v>2613</v>
      </c>
    </row>
    <row r="9981" customFormat="false" ht="15" hidden="false" customHeight="true" outlineLevel="0" collapsed="false">
      <c r="A9981" s="6" t="s">
        <v>12593</v>
      </c>
      <c r="B9981" s="6" t="s">
        <v>2043</v>
      </c>
      <c r="C9981" s="6" t="s">
        <v>112</v>
      </c>
      <c r="D9981" s="13" t="n">
        <v>45511</v>
      </c>
      <c r="E9981" s="14" t="n">
        <v>2358.12</v>
      </c>
      <c r="F9981" s="14" t="n">
        <v>11254.83</v>
      </c>
      <c r="G9981" s="6" t="s">
        <v>2623</v>
      </c>
    </row>
    <row r="9982" customFormat="false" ht="15" hidden="false" customHeight="true" outlineLevel="0" collapsed="false">
      <c r="A9982" s="6" t="s">
        <v>12594</v>
      </c>
      <c r="B9982" s="6" t="s">
        <v>2043</v>
      </c>
      <c r="C9982" s="6" t="s">
        <v>112</v>
      </c>
      <c r="D9982" s="13" t="n">
        <v>45518</v>
      </c>
      <c r="E9982" s="14" t="n">
        <v>2617.8</v>
      </c>
      <c r="F9982" s="14" t="n">
        <v>13872.63</v>
      </c>
      <c r="G9982" s="6" t="s">
        <v>2613</v>
      </c>
    </row>
    <row r="9983" customFormat="false" ht="15" hidden="false" customHeight="true" outlineLevel="0" collapsed="false">
      <c r="A9983" s="6" t="s">
        <v>12595</v>
      </c>
      <c r="B9983" s="6" t="s">
        <v>2043</v>
      </c>
      <c r="C9983" s="6" t="s">
        <v>112</v>
      </c>
      <c r="D9983" s="13" t="n">
        <v>45525</v>
      </c>
      <c r="E9983" s="14" t="n">
        <v>2245.13</v>
      </c>
      <c r="F9983" s="14" t="n">
        <v>16117.76</v>
      </c>
      <c r="G9983" s="6" t="s">
        <v>2613</v>
      </c>
    </row>
    <row r="9984" customFormat="false" ht="15" hidden="false" customHeight="true" outlineLevel="0" collapsed="false">
      <c r="A9984" s="6" t="s">
        <v>12596</v>
      </c>
      <c r="B9984" s="6" t="s">
        <v>2043</v>
      </c>
      <c r="C9984" s="6" t="s">
        <v>112</v>
      </c>
      <c r="D9984" s="13" t="n">
        <v>45532</v>
      </c>
      <c r="E9984" s="14" t="n">
        <v>3977.26</v>
      </c>
      <c r="F9984" s="14" t="n">
        <v>20095.02</v>
      </c>
      <c r="G9984" s="6" t="s">
        <v>2613</v>
      </c>
    </row>
    <row r="9985" customFormat="false" ht="15" hidden="false" customHeight="true" outlineLevel="0" collapsed="false">
      <c r="A9985" s="6" t="s">
        <v>12597</v>
      </c>
      <c r="B9985" s="6" t="s">
        <v>2043</v>
      </c>
      <c r="C9985" s="6" t="s">
        <v>112</v>
      </c>
      <c r="D9985" s="13" t="n">
        <v>45539</v>
      </c>
      <c r="E9985" s="14" t="n">
        <v>2776.36</v>
      </c>
      <c r="F9985" s="14" t="n">
        <v>22871.38</v>
      </c>
      <c r="G9985" s="6" t="s">
        <v>2613</v>
      </c>
    </row>
    <row r="9986" customFormat="false" ht="15" hidden="false" customHeight="true" outlineLevel="0" collapsed="false">
      <c r="A9986" s="6" t="s">
        <v>12598</v>
      </c>
      <c r="B9986" s="6" t="s">
        <v>2043</v>
      </c>
      <c r="C9986" s="6" t="s">
        <v>112</v>
      </c>
      <c r="D9986" s="13" t="n">
        <v>45546</v>
      </c>
      <c r="E9986" s="14" t="n">
        <v>3937.49</v>
      </c>
      <c r="F9986" s="14" t="n">
        <v>26808.87</v>
      </c>
      <c r="G9986" s="6" t="s">
        <v>2613</v>
      </c>
    </row>
    <row r="9987" customFormat="false" ht="15" hidden="false" customHeight="true" outlineLevel="0" collapsed="false">
      <c r="A9987" s="6" t="s">
        <v>12599</v>
      </c>
      <c r="B9987" s="6" t="s">
        <v>2043</v>
      </c>
      <c r="C9987" s="6" t="s">
        <v>112</v>
      </c>
      <c r="D9987" s="13" t="n">
        <v>45553</v>
      </c>
      <c r="E9987" s="14" t="n">
        <v>2730.3</v>
      </c>
      <c r="F9987" s="14" t="n">
        <v>29539.17</v>
      </c>
      <c r="G9987" s="6" t="s">
        <v>2623</v>
      </c>
    </row>
    <row r="9988" customFormat="false" ht="15" hidden="false" customHeight="true" outlineLevel="0" collapsed="false">
      <c r="A9988" s="6" t="s">
        <v>12600</v>
      </c>
      <c r="B9988" s="6" t="s">
        <v>2043</v>
      </c>
      <c r="C9988" s="6" t="s">
        <v>112</v>
      </c>
      <c r="D9988" s="13" t="n">
        <v>45560</v>
      </c>
      <c r="E9988" s="14" t="n">
        <v>3231.93</v>
      </c>
      <c r="F9988" s="14" t="n">
        <v>32771.1</v>
      </c>
      <c r="G9988" s="6" t="s">
        <v>2613</v>
      </c>
    </row>
    <row r="9989" customFormat="false" ht="15" hidden="false" customHeight="true" outlineLevel="0" collapsed="false">
      <c r="A9989" s="6" t="s">
        <v>12601</v>
      </c>
      <c r="B9989" s="6" t="s">
        <v>2043</v>
      </c>
      <c r="C9989" s="6" t="s">
        <v>112</v>
      </c>
      <c r="D9989" s="13" t="n">
        <v>45567</v>
      </c>
      <c r="E9989" s="14" t="n">
        <v>4040.24</v>
      </c>
      <c r="F9989" s="14" t="n">
        <v>36811.34</v>
      </c>
      <c r="G9989" s="6" t="s">
        <v>2613</v>
      </c>
    </row>
    <row r="9990" customFormat="false" ht="15" hidden="false" customHeight="true" outlineLevel="0" collapsed="false">
      <c r="A9990" s="6" t="s">
        <v>12602</v>
      </c>
      <c r="B9990" s="6" t="s">
        <v>2043</v>
      </c>
      <c r="C9990" s="6" t="s">
        <v>112</v>
      </c>
      <c r="D9990" s="13" t="n">
        <v>45574</v>
      </c>
      <c r="E9990" s="14" t="n">
        <v>4027.26</v>
      </c>
      <c r="F9990" s="14" t="n">
        <v>40838.6</v>
      </c>
      <c r="G9990" s="6" t="s">
        <v>2613</v>
      </c>
    </row>
    <row r="9991" customFormat="false" ht="15" hidden="false" customHeight="true" outlineLevel="0" collapsed="false">
      <c r="A9991" s="6" t="s">
        <v>12603</v>
      </c>
      <c r="B9991" s="6" t="s">
        <v>2043</v>
      </c>
      <c r="C9991" s="6" t="s">
        <v>112</v>
      </c>
      <c r="D9991" s="13" t="n">
        <v>45581</v>
      </c>
      <c r="E9991" s="14" t="n">
        <v>3154.65</v>
      </c>
      <c r="F9991" s="14" t="n">
        <v>43993.25</v>
      </c>
      <c r="G9991" s="6" t="s">
        <v>2613</v>
      </c>
    </row>
    <row r="9992" customFormat="false" ht="15" hidden="false" customHeight="true" outlineLevel="0" collapsed="false">
      <c r="A9992" s="6" t="s">
        <v>12604</v>
      </c>
      <c r="B9992" s="6" t="s">
        <v>2043</v>
      </c>
      <c r="C9992" s="6" t="s">
        <v>112</v>
      </c>
      <c r="D9992" s="13" t="n">
        <v>45588</v>
      </c>
      <c r="E9992" s="14" t="n">
        <v>5960.36</v>
      </c>
      <c r="F9992" s="14" t="n">
        <v>49953.61</v>
      </c>
      <c r="G9992" s="6" t="s">
        <v>2613</v>
      </c>
    </row>
    <row r="9993" customFormat="false" ht="15" hidden="false" customHeight="true" outlineLevel="0" collapsed="false">
      <c r="A9993" s="6" t="s">
        <v>12605</v>
      </c>
      <c r="B9993" s="6" t="s">
        <v>2045</v>
      </c>
      <c r="C9993" s="6" t="s">
        <v>131</v>
      </c>
      <c r="D9993" s="13" t="n">
        <v>45928</v>
      </c>
      <c r="E9993" s="14" t="n">
        <v>643.84</v>
      </c>
      <c r="F9993" s="14" t="n">
        <v>643.84</v>
      </c>
      <c r="G9993" s="6" t="s">
        <v>2613</v>
      </c>
    </row>
    <row r="9994" customFormat="false" ht="15" hidden="false" customHeight="true" outlineLevel="0" collapsed="false">
      <c r="A9994" s="6" t="s">
        <v>12606</v>
      </c>
      <c r="B9994" s="6" t="s">
        <v>2045</v>
      </c>
      <c r="C9994" s="6" t="s">
        <v>131</v>
      </c>
      <c r="D9994" s="13" t="n">
        <v>45935</v>
      </c>
      <c r="E9994" s="14" t="n">
        <v>618.26</v>
      </c>
      <c r="F9994" s="14" t="n">
        <v>1262.1</v>
      </c>
      <c r="G9994" s="6" t="s">
        <v>2613</v>
      </c>
    </row>
    <row r="9995" customFormat="false" ht="15" hidden="false" customHeight="true" outlineLevel="0" collapsed="false">
      <c r="A9995" s="6" t="s">
        <v>12607</v>
      </c>
      <c r="B9995" s="6" t="s">
        <v>2045</v>
      </c>
      <c r="C9995" s="6" t="s">
        <v>131</v>
      </c>
      <c r="D9995" s="13" t="n">
        <v>45942</v>
      </c>
      <c r="E9995" s="14" t="n">
        <v>873.55</v>
      </c>
      <c r="F9995" s="14" t="n">
        <v>2135.65</v>
      </c>
      <c r="G9995" s="6" t="s">
        <v>2613</v>
      </c>
    </row>
    <row r="9996" customFormat="false" ht="15" hidden="false" customHeight="true" outlineLevel="0" collapsed="false">
      <c r="A9996" s="6" t="s">
        <v>12608</v>
      </c>
      <c r="B9996" s="6" t="s">
        <v>2045</v>
      </c>
      <c r="C9996" s="6" t="s">
        <v>131</v>
      </c>
      <c r="D9996" s="13" t="n">
        <v>45949</v>
      </c>
      <c r="E9996" s="14" t="n">
        <v>538.12</v>
      </c>
      <c r="F9996" s="14" t="n">
        <v>2673.77</v>
      </c>
      <c r="G9996" s="6" t="s">
        <v>2613</v>
      </c>
    </row>
    <row r="9997" customFormat="false" ht="15" hidden="false" customHeight="true" outlineLevel="0" collapsed="false">
      <c r="A9997" s="6" t="s">
        <v>12609</v>
      </c>
      <c r="B9997" s="6" t="s">
        <v>2045</v>
      </c>
      <c r="C9997" s="6" t="s">
        <v>131</v>
      </c>
      <c r="D9997" s="13" t="n">
        <v>45956</v>
      </c>
      <c r="E9997" s="14" t="n">
        <v>995.95</v>
      </c>
      <c r="F9997" s="14" t="n">
        <v>3669.72</v>
      </c>
      <c r="G9997" s="6" t="s">
        <v>2613</v>
      </c>
    </row>
    <row r="9998" customFormat="false" ht="15" hidden="false" customHeight="true" outlineLevel="0" collapsed="false">
      <c r="A9998" s="6" t="s">
        <v>12610</v>
      </c>
      <c r="B9998" s="6" t="s">
        <v>2045</v>
      </c>
      <c r="C9998" s="6" t="s">
        <v>131</v>
      </c>
      <c r="D9998" s="13" t="n">
        <v>45963</v>
      </c>
      <c r="E9998" s="14" t="n">
        <v>897.2</v>
      </c>
      <c r="F9998" s="14" t="n">
        <v>4566.92</v>
      </c>
      <c r="G9998" s="6" t="s">
        <v>2613</v>
      </c>
    </row>
    <row r="9999" customFormat="false" ht="15" hidden="false" customHeight="true" outlineLevel="0" collapsed="false">
      <c r="A9999" s="6" t="s">
        <v>12611</v>
      </c>
      <c r="B9999" s="6" t="s">
        <v>2045</v>
      </c>
      <c r="C9999" s="6" t="s">
        <v>131</v>
      </c>
      <c r="D9999" s="13" t="n">
        <v>45970</v>
      </c>
      <c r="E9999" s="14" t="n">
        <v>657.85</v>
      </c>
      <c r="F9999" s="14" t="n">
        <v>5224.77</v>
      </c>
      <c r="G9999" s="6" t="s">
        <v>2613</v>
      </c>
    </row>
    <row r="10000" customFormat="false" ht="15" hidden="false" customHeight="true" outlineLevel="0" collapsed="false">
      <c r="A10000" s="6" t="s">
        <v>12612</v>
      </c>
      <c r="B10000" s="6" t="s">
        <v>2045</v>
      </c>
      <c r="C10000" s="6" t="s">
        <v>131</v>
      </c>
      <c r="D10000" s="13" t="n">
        <v>45977</v>
      </c>
      <c r="E10000" s="14" t="n">
        <v>1167.37</v>
      </c>
      <c r="F10000" s="14" t="n">
        <v>6392.14</v>
      </c>
      <c r="G10000" s="6" t="s">
        <v>2613</v>
      </c>
    </row>
    <row r="10001" customFormat="false" ht="15" hidden="false" customHeight="true" outlineLevel="0" collapsed="false">
      <c r="A10001" s="6" t="s">
        <v>12613</v>
      </c>
      <c r="B10001" s="6" t="s">
        <v>2047</v>
      </c>
      <c r="C10001" s="6" t="s">
        <v>128</v>
      </c>
      <c r="D10001" s="13" t="n">
        <v>44818</v>
      </c>
      <c r="E10001" s="14" t="n">
        <v>5366.91</v>
      </c>
      <c r="F10001" s="14" t="n">
        <v>5366.91</v>
      </c>
      <c r="G10001" s="6" t="s">
        <v>2613</v>
      </c>
    </row>
    <row r="10002" customFormat="false" ht="15" hidden="false" customHeight="true" outlineLevel="0" collapsed="false">
      <c r="A10002" s="6" t="s">
        <v>12614</v>
      </c>
      <c r="B10002" s="6" t="s">
        <v>2047</v>
      </c>
      <c r="C10002" s="6" t="s">
        <v>128</v>
      </c>
      <c r="D10002" s="13" t="n">
        <v>44825</v>
      </c>
      <c r="E10002" s="14" t="n">
        <v>5201.11</v>
      </c>
      <c r="F10002" s="14" t="n">
        <v>10568.02</v>
      </c>
      <c r="G10002" s="6" t="s">
        <v>2613</v>
      </c>
    </row>
    <row r="10003" customFormat="false" ht="15" hidden="false" customHeight="true" outlineLevel="0" collapsed="false">
      <c r="A10003" s="6" t="s">
        <v>12615</v>
      </c>
      <c r="B10003" s="6" t="s">
        <v>2047</v>
      </c>
      <c r="C10003" s="6" t="s">
        <v>128</v>
      </c>
      <c r="D10003" s="13" t="n">
        <v>44832</v>
      </c>
      <c r="E10003" s="14" t="n">
        <v>5138.46</v>
      </c>
      <c r="F10003" s="14" t="n">
        <v>15706.48</v>
      </c>
      <c r="G10003" s="6" t="s">
        <v>2613</v>
      </c>
    </row>
    <row r="10004" customFormat="false" ht="15" hidden="false" customHeight="true" outlineLevel="0" collapsed="false">
      <c r="A10004" s="6" t="s">
        <v>12616</v>
      </c>
      <c r="B10004" s="6" t="s">
        <v>2047</v>
      </c>
      <c r="C10004" s="6" t="s">
        <v>128</v>
      </c>
      <c r="D10004" s="13" t="n">
        <v>44839</v>
      </c>
      <c r="E10004" s="14" t="n">
        <v>5506.13</v>
      </c>
      <c r="F10004" s="14" t="n">
        <v>21212.61</v>
      </c>
      <c r="G10004" s="6" t="s">
        <v>2613</v>
      </c>
    </row>
    <row r="10005" customFormat="false" ht="15" hidden="false" customHeight="true" outlineLevel="0" collapsed="false">
      <c r="A10005" s="6" t="s">
        <v>12617</v>
      </c>
      <c r="B10005" s="6" t="s">
        <v>2047</v>
      </c>
      <c r="C10005" s="6" t="s">
        <v>128</v>
      </c>
      <c r="D10005" s="13" t="n">
        <v>44846</v>
      </c>
      <c r="E10005" s="14" t="n">
        <v>3827.26</v>
      </c>
      <c r="F10005" s="14" t="n">
        <v>25039.87</v>
      </c>
      <c r="G10005" s="6" t="s">
        <v>2613</v>
      </c>
    </row>
    <row r="10006" customFormat="false" ht="15" hidden="false" customHeight="true" outlineLevel="0" collapsed="false">
      <c r="A10006" s="6" t="s">
        <v>12618</v>
      </c>
      <c r="B10006" s="6" t="s">
        <v>2047</v>
      </c>
      <c r="C10006" s="6" t="s">
        <v>128</v>
      </c>
      <c r="D10006" s="13" t="n">
        <v>44853</v>
      </c>
      <c r="E10006" s="14" t="n">
        <v>3158.94</v>
      </c>
      <c r="F10006" s="14" t="n">
        <v>28198.81</v>
      </c>
      <c r="G10006" s="6" t="s">
        <v>2623</v>
      </c>
    </row>
    <row r="10007" customFormat="false" ht="15" hidden="false" customHeight="true" outlineLevel="0" collapsed="false">
      <c r="A10007" s="6" t="s">
        <v>12619</v>
      </c>
      <c r="B10007" s="6" t="s">
        <v>2047</v>
      </c>
      <c r="C10007" s="6" t="s">
        <v>128</v>
      </c>
      <c r="D10007" s="13" t="n">
        <v>44860</v>
      </c>
      <c r="E10007" s="14" t="n">
        <v>4110.84</v>
      </c>
      <c r="F10007" s="14" t="n">
        <v>32309.65</v>
      </c>
      <c r="G10007" s="6" t="s">
        <v>2613</v>
      </c>
    </row>
    <row r="10008" customFormat="false" ht="15" hidden="false" customHeight="true" outlineLevel="0" collapsed="false">
      <c r="A10008" s="6" t="s">
        <v>12620</v>
      </c>
      <c r="B10008" s="6" t="s">
        <v>2047</v>
      </c>
      <c r="C10008" s="6" t="s">
        <v>128</v>
      </c>
      <c r="D10008" s="13" t="n">
        <v>44867</v>
      </c>
      <c r="E10008" s="14" t="n">
        <v>4918.66</v>
      </c>
      <c r="F10008" s="14" t="n">
        <v>37228.31</v>
      </c>
      <c r="G10008" s="6" t="s">
        <v>2613</v>
      </c>
    </row>
    <row r="10009" customFormat="false" ht="15" hidden="false" customHeight="true" outlineLevel="0" collapsed="false">
      <c r="A10009" s="6" t="s">
        <v>12621</v>
      </c>
      <c r="B10009" s="6" t="s">
        <v>2047</v>
      </c>
      <c r="C10009" s="6" t="s">
        <v>128</v>
      </c>
      <c r="D10009" s="13" t="n">
        <v>44874</v>
      </c>
      <c r="E10009" s="14" t="n">
        <v>2711.62</v>
      </c>
      <c r="F10009" s="14" t="n">
        <v>39939.93</v>
      </c>
      <c r="G10009" s="6" t="s">
        <v>2613</v>
      </c>
    </row>
    <row r="10010" customFormat="false" ht="15" hidden="false" customHeight="true" outlineLevel="0" collapsed="false">
      <c r="A10010" s="6" t="s">
        <v>12622</v>
      </c>
      <c r="B10010" s="6" t="s">
        <v>2047</v>
      </c>
      <c r="C10010" s="6" t="s">
        <v>128</v>
      </c>
      <c r="D10010" s="13" t="n">
        <v>44881</v>
      </c>
      <c r="E10010" s="14" t="n">
        <v>4936.54</v>
      </c>
      <c r="F10010" s="14" t="n">
        <v>44876.47</v>
      </c>
      <c r="G10010" s="6" t="s">
        <v>2613</v>
      </c>
    </row>
    <row r="10011" customFormat="false" ht="15" hidden="false" customHeight="true" outlineLevel="0" collapsed="false">
      <c r="A10011" s="6" t="s">
        <v>12623</v>
      </c>
      <c r="B10011" s="6" t="s">
        <v>2047</v>
      </c>
      <c r="C10011" s="6" t="s">
        <v>128</v>
      </c>
      <c r="D10011" s="13" t="n">
        <v>44888</v>
      </c>
      <c r="E10011" s="14" t="n">
        <v>3928.42</v>
      </c>
      <c r="F10011" s="14" t="n">
        <v>48804.89</v>
      </c>
      <c r="G10011" s="6" t="s">
        <v>2613</v>
      </c>
    </row>
    <row r="10012" customFormat="false" ht="15" hidden="false" customHeight="true" outlineLevel="0" collapsed="false">
      <c r="A10012" s="6" t="s">
        <v>12624</v>
      </c>
      <c r="B10012" s="6" t="s">
        <v>2047</v>
      </c>
      <c r="C10012" s="6" t="s">
        <v>128</v>
      </c>
      <c r="D10012" s="13" t="n">
        <v>44895</v>
      </c>
      <c r="E10012" s="14" t="n">
        <v>4918.12</v>
      </c>
      <c r="F10012" s="14" t="n">
        <v>53723.01</v>
      </c>
      <c r="G10012" s="6" t="s">
        <v>2613</v>
      </c>
    </row>
    <row r="10013" customFormat="false" ht="15" hidden="false" customHeight="true" outlineLevel="0" collapsed="false">
      <c r="A10013" s="6" t="s">
        <v>12625</v>
      </c>
      <c r="B10013" s="6" t="s">
        <v>2047</v>
      </c>
      <c r="C10013" s="6" t="s">
        <v>128</v>
      </c>
      <c r="D10013" s="13" t="n">
        <v>44902</v>
      </c>
      <c r="E10013" s="14" t="n">
        <v>5785.11</v>
      </c>
      <c r="F10013" s="14" t="n">
        <v>59508.12</v>
      </c>
      <c r="G10013" s="6" t="s">
        <v>2613</v>
      </c>
    </row>
    <row r="10014" customFormat="false" ht="15" hidden="false" customHeight="true" outlineLevel="0" collapsed="false">
      <c r="A10014" s="6" t="s">
        <v>12626</v>
      </c>
      <c r="B10014" s="6" t="s">
        <v>2047</v>
      </c>
      <c r="C10014" s="6" t="s">
        <v>128</v>
      </c>
      <c r="D10014" s="13" t="n">
        <v>44909</v>
      </c>
      <c r="E10014" s="14" t="n">
        <v>3357.67</v>
      </c>
      <c r="F10014" s="14" t="n">
        <v>62865.79</v>
      </c>
      <c r="G10014" s="6" t="s">
        <v>2613</v>
      </c>
    </row>
    <row r="10015" customFormat="false" ht="15" hidden="false" customHeight="true" outlineLevel="0" collapsed="false">
      <c r="A10015" s="6" t="s">
        <v>12627</v>
      </c>
      <c r="B10015" s="6" t="s">
        <v>2047</v>
      </c>
      <c r="C10015" s="6" t="s">
        <v>128</v>
      </c>
      <c r="D10015" s="13" t="n">
        <v>44916</v>
      </c>
      <c r="E10015" s="14" t="n">
        <v>5189.47</v>
      </c>
      <c r="F10015" s="14" t="n">
        <v>68055.26</v>
      </c>
      <c r="G10015" s="6" t="s">
        <v>2613</v>
      </c>
    </row>
    <row r="10016" customFormat="false" ht="15" hidden="false" customHeight="true" outlineLevel="0" collapsed="false">
      <c r="A10016" s="6" t="s">
        <v>12628</v>
      </c>
      <c r="B10016" s="6" t="s">
        <v>2047</v>
      </c>
      <c r="C10016" s="6" t="s">
        <v>128</v>
      </c>
      <c r="D10016" s="13" t="n">
        <v>44923</v>
      </c>
      <c r="E10016" s="14" t="n">
        <v>3682.08</v>
      </c>
      <c r="F10016" s="14" t="n">
        <v>71737.34</v>
      </c>
      <c r="G10016" s="6" t="s">
        <v>2613</v>
      </c>
    </row>
    <row r="10017" customFormat="false" ht="15" hidden="false" customHeight="true" outlineLevel="0" collapsed="false">
      <c r="A10017" s="6" t="s">
        <v>12629</v>
      </c>
      <c r="B10017" s="6" t="s">
        <v>2049</v>
      </c>
      <c r="C10017" s="6" t="s">
        <v>120</v>
      </c>
      <c r="D10017" s="13" t="n">
        <v>44679</v>
      </c>
      <c r="E10017" s="14" t="n">
        <v>5819.28</v>
      </c>
      <c r="F10017" s="14" t="n">
        <v>5819.28</v>
      </c>
      <c r="G10017" s="6" t="s">
        <v>2613</v>
      </c>
    </row>
    <row r="10018" customFormat="false" ht="15" hidden="false" customHeight="true" outlineLevel="0" collapsed="false">
      <c r="A10018" s="6" t="s">
        <v>12630</v>
      </c>
      <c r="B10018" s="6" t="s">
        <v>2049</v>
      </c>
      <c r="C10018" s="6" t="s">
        <v>120</v>
      </c>
      <c r="D10018" s="13" t="n">
        <v>44686</v>
      </c>
      <c r="E10018" s="14" t="n">
        <v>4167.3</v>
      </c>
      <c r="F10018" s="14" t="n">
        <v>9986.58</v>
      </c>
      <c r="G10018" s="6" t="s">
        <v>2613</v>
      </c>
    </row>
    <row r="10019" customFormat="false" ht="15" hidden="false" customHeight="true" outlineLevel="0" collapsed="false">
      <c r="A10019" s="6" t="s">
        <v>12631</v>
      </c>
      <c r="B10019" s="6" t="s">
        <v>2049</v>
      </c>
      <c r="C10019" s="6" t="s">
        <v>120</v>
      </c>
      <c r="D10019" s="13" t="n">
        <v>44693</v>
      </c>
      <c r="E10019" s="14" t="n">
        <v>5098.76</v>
      </c>
      <c r="F10019" s="14" t="n">
        <v>15085.34</v>
      </c>
      <c r="G10019" s="6" t="s">
        <v>2613</v>
      </c>
    </row>
    <row r="10020" customFormat="false" ht="15" hidden="false" customHeight="true" outlineLevel="0" collapsed="false">
      <c r="A10020" s="6" t="s">
        <v>12632</v>
      </c>
      <c r="B10020" s="6" t="s">
        <v>2049</v>
      </c>
      <c r="C10020" s="6" t="s">
        <v>120</v>
      </c>
      <c r="D10020" s="13" t="n">
        <v>44700</v>
      </c>
      <c r="E10020" s="14" t="n">
        <v>3657.48</v>
      </c>
      <c r="F10020" s="14" t="n">
        <v>18742.82</v>
      </c>
      <c r="G10020" s="6" t="s">
        <v>2613</v>
      </c>
    </row>
    <row r="10021" customFormat="false" ht="15" hidden="false" customHeight="true" outlineLevel="0" collapsed="false">
      <c r="A10021" s="6" t="s">
        <v>12633</v>
      </c>
      <c r="B10021" s="6" t="s">
        <v>2049</v>
      </c>
      <c r="C10021" s="6" t="s">
        <v>120</v>
      </c>
      <c r="D10021" s="13" t="n">
        <v>44707</v>
      </c>
      <c r="E10021" s="14" t="n">
        <v>3509.75</v>
      </c>
      <c r="F10021" s="14" t="n">
        <v>22252.57</v>
      </c>
      <c r="G10021" s="6" t="s">
        <v>2613</v>
      </c>
    </row>
    <row r="10022" customFormat="false" ht="15" hidden="false" customHeight="true" outlineLevel="0" collapsed="false">
      <c r="A10022" s="6" t="s">
        <v>12634</v>
      </c>
      <c r="B10022" s="6" t="s">
        <v>2049</v>
      </c>
      <c r="C10022" s="6" t="s">
        <v>120</v>
      </c>
      <c r="D10022" s="13" t="n">
        <v>44714</v>
      </c>
      <c r="E10022" s="14" t="n">
        <v>3543.78</v>
      </c>
      <c r="F10022" s="14" t="n">
        <v>25796.35</v>
      </c>
      <c r="G10022" s="6" t="s">
        <v>2613</v>
      </c>
    </row>
    <row r="10023" customFormat="false" ht="15" hidden="false" customHeight="true" outlineLevel="0" collapsed="false">
      <c r="A10023" s="6" t="s">
        <v>12635</v>
      </c>
      <c r="B10023" s="6" t="s">
        <v>2049</v>
      </c>
      <c r="C10023" s="6" t="s">
        <v>120</v>
      </c>
      <c r="D10023" s="13" t="n">
        <v>44721</v>
      </c>
      <c r="E10023" s="14" t="n">
        <v>4065.62</v>
      </c>
      <c r="F10023" s="14" t="n">
        <v>29861.97</v>
      </c>
      <c r="G10023" s="6" t="s">
        <v>2613</v>
      </c>
    </row>
    <row r="10024" customFormat="false" ht="15" hidden="false" customHeight="true" outlineLevel="0" collapsed="false">
      <c r="A10024" s="6" t="s">
        <v>12636</v>
      </c>
      <c r="B10024" s="6" t="s">
        <v>2049</v>
      </c>
      <c r="C10024" s="6" t="s">
        <v>120</v>
      </c>
      <c r="D10024" s="13" t="n">
        <v>44728</v>
      </c>
      <c r="E10024" s="14" t="n">
        <v>6228.15</v>
      </c>
      <c r="F10024" s="14" t="n">
        <v>36090.12</v>
      </c>
      <c r="G10024" s="6" t="s">
        <v>2613</v>
      </c>
    </row>
    <row r="10025" customFormat="false" ht="15" hidden="false" customHeight="true" outlineLevel="0" collapsed="false">
      <c r="A10025" s="6" t="s">
        <v>12637</v>
      </c>
      <c r="B10025" s="6" t="s">
        <v>2049</v>
      </c>
      <c r="C10025" s="6" t="s">
        <v>120</v>
      </c>
      <c r="D10025" s="13" t="n">
        <v>44735</v>
      </c>
      <c r="E10025" s="14" t="n">
        <v>5939.61</v>
      </c>
      <c r="F10025" s="14" t="n">
        <v>42029.73</v>
      </c>
      <c r="G10025" s="6" t="s">
        <v>2613</v>
      </c>
    </row>
    <row r="10026" customFormat="false" ht="15" hidden="false" customHeight="true" outlineLevel="0" collapsed="false">
      <c r="A10026" s="6" t="s">
        <v>12638</v>
      </c>
      <c r="B10026" s="6" t="s">
        <v>2049</v>
      </c>
      <c r="C10026" s="6" t="s">
        <v>120</v>
      </c>
      <c r="D10026" s="13" t="n">
        <v>44742</v>
      </c>
      <c r="E10026" s="14" t="n">
        <v>3374.19</v>
      </c>
      <c r="F10026" s="14" t="n">
        <v>45403.92</v>
      </c>
      <c r="G10026" s="6" t="s">
        <v>2623</v>
      </c>
    </row>
    <row r="10027" customFormat="false" ht="15" hidden="false" customHeight="true" outlineLevel="0" collapsed="false">
      <c r="A10027" s="6" t="s">
        <v>12639</v>
      </c>
      <c r="B10027" s="6" t="s">
        <v>2049</v>
      </c>
      <c r="C10027" s="6" t="s">
        <v>120</v>
      </c>
      <c r="D10027" s="13" t="n">
        <v>44749</v>
      </c>
      <c r="E10027" s="14" t="n">
        <v>3277.26</v>
      </c>
      <c r="F10027" s="14" t="n">
        <v>48681.18</v>
      </c>
      <c r="G10027" s="6" t="s">
        <v>2613</v>
      </c>
    </row>
    <row r="10028" customFormat="false" ht="15" hidden="false" customHeight="true" outlineLevel="0" collapsed="false">
      <c r="A10028" s="6" t="s">
        <v>12640</v>
      </c>
      <c r="B10028" s="6" t="s">
        <v>2049</v>
      </c>
      <c r="C10028" s="6" t="s">
        <v>120</v>
      </c>
      <c r="D10028" s="13" t="n">
        <v>44756</v>
      </c>
      <c r="E10028" s="14" t="n">
        <v>5883.77</v>
      </c>
      <c r="F10028" s="14" t="n">
        <v>54564.95</v>
      </c>
      <c r="G10028" s="6" t="s">
        <v>2613</v>
      </c>
    </row>
    <row r="10029" customFormat="false" ht="15" hidden="false" customHeight="true" outlineLevel="0" collapsed="false">
      <c r="A10029" s="6" t="s">
        <v>12641</v>
      </c>
      <c r="B10029" s="6" t="s">
        <v>2051</v>
      </c>
      <c r="C10029" s="6" t="s">
        <v>124</v>
      </c>
      <c r="D10029" s="13" t="n">
        <v>45280</v>
      </c>
      <c r="E10029" s="14" t="n">
        <v>8654.01</v>
      </c>
      <c r="F10029" s="14" t="n">
        <v>8654.01</v>
      </c>
      <c r="G10029" s="6" t="s">
        <v>2613</v>
      </c>
    </row>
    <row r="10030" customFormat="false" ht="15" hidden="false" customHeight="true" outlineLevel="0" collapsed="false">
      <c r="A10030" s="6" t="s">
        <v>12642</v>
      </c>
      <c r="B10030" s="6" t="s">
        <v>2051</v>
      </c>
      <c r="C10030" s="6" t="s">
        <v>124</v>
      </c>
      <c r="D10030" s="13" t="n">
        <v>45287</v>
      </c>
      <c r="E10030" s="14" t="n">
        <v>7667.97</v>
      </c>
      <c r="F10030" s="14" t="n">
        <v>16321.98</v>
      </c>
      <c r="G10030" s="6" t="s">
        <v>2613</v>
      </c>
    </row>
    <row r="10031" customFormat="false" ht="15" hidden="false" customHeight="true" outlineLevel="0" collapsed="false">
      <c r="A10031" s="6" t="s">
        <v>12643</v>
      </c>
      <c r="B10031" s="6" t="s">
        <v>2051</v>
      </c>
      <c r="C10031" s="6" t="s">
        <v>124</v>
      </c>
      <c r="D10031" s="13" t="n">
        <v>45294</v>
      </c>
      <c r="E10031" s="14" t="n">
        <v>5937.96</v>
      </c>
      <c r="F10031" s="14" t="n">
        <v>22259.94</v>
      </c>
      <c r="G10031" s="6" t="s">
        <v>2613</v>
      </c>
    </row>
    <row r="10032" customFormat="false" ht="15" hidden="false" customHeight="true" outlineLevel="0" collapsed="false">
      <c r="A10032" s="6" t="s">
        <v>12644</v>
      </c>
      <c r="B10032" s="6" t="s">
        <v>2051</v>
      </c>
      <c r="C10032" s="6" t="s">
        <v>124</v>
      </c>
      <c r="D10032" s="13" t="n">
        <v>45301</v>
      </c>
      <c r="E10032" s="14" t="n">
        <v>5954.13</v>
      </c>
      <c r="F10032" s="14" t="n">
        <v>28214.07</v>
      </c>
      <c r="G10032" s="6" t="s">
        <v>2613</v>
      </c>
    </row>
    <row r="10033" customFormat="false" ht="15" hidden="false" customHeight="true" outlineLevel="0" collapsed="false">
      <c r="A10033" s="6" t="s">
        <v>12645</v>
      </c>
      <c r="B10033" s="6" t="s">
        <v>2051</v>
      </c>
      <c r="C10033" s="6" t="s">
        <v>124</v>
      </c>
      <c r="D10033" s="13" t="n">
        <v>45308</v>
      </c>
      <c r="E10033" s="14" t="n">
        <v>7659.94</v>
      </c>
      <c r="F10033" s="14" t="n">
        <v>35874.01</v>
      </c>
      <c r="G10033" s="6" t="s">
        <v>2613</v>
      </c>
    </row>
    <row r="10034" customFormat="false" ht="15" hidden="false" customHeight="true" outlineLevel="0" collapsed="false">
      <c r="A10034" s="6" t="s">
        <v>12646</v>
      </c>
      <c r="B10034" s="6" t="s">
        <v>2051</v>
      </c>
      <c r="C10034" s="6" t="s">
        <v>124</v>
      </c>
      <c r="D10034" s="13" t="n">
        <v>45315</v>
      </c>
      <c r="E10034" s="14" t="n">
        <v>5879.91</v>
      </c>
      <c r="F10034" s="14" t="n">
        <v>41753.92</v>
      </c>
      <c r="G10034" s="6" t="s">
        <v>2613</v>
      </c>
    </row>
    <row r="10035" customFormat="false" ht="15" hidden="false" customHeight="true" outlineLevel="0" collapsed="false">
      <c r="A10035" s="6" t="s">
        <v>12647</v>
      </c>
      <c r="B10035" s="6" t="s">
        <v>2053</v>
      </c>
      <c r="C10035" s="6" t="s">
        <v>116</v>
      </c>
      <c r="D10035" s="13" t="n">
        <v>45985</v>
      </c>
      <c r="E10035" s="14" t="n">
        <v>3391.53</v>
      </c>
      <c r="F10035" s="14" t="n">
        <v>3391.53</v>
      </c>
      <c r="G10035" s="6" t="s">
        <v>2613</v>
      </c>
    </row>
    <row r="10036" customFormat="false" ht="15" hidden="false" customHeight="true" outlineLevel="0" collapsed="false">
      <c r="A10036" s="6" t="s">
        <v>12648</v>
      </c>
      <c r="B10036" s="6" t="s">
        <v>2053</v>
      </c>
      <c r="C10036" s="6" t="s">
        <v>116</v>
      </c>
      <c r="D10036" s="13" t="n">
        <v>45992</v>
      </c>
      <c r="E10036" s="14" t="n">
        <v>3263.92</v>
      </c>
      <c r="F10036" s="14" t="n">
        <v>6655.45</v>
      </c>
      <c r="G10036" s="6" t="s">
        <v>2613</v>
      </c>
    </row>
    <row r="10037" customFormat="false" ht="15" hidden="false" customHeight="true" outlineLevel="0" collapsed="false">
      <c r="A10037" s="6" t="s">
        <v>12649</v>
      </c>
      <c r="B10037" s="6" t="s">
        <v>2053</v>
      </c>
      <c r="C10037" s="6" t="s">
        <v>116</v>
      </c>
      <c r="D10037" s="13" t="n">
        <v>45999</v>
      </c>
      <c r="E10037" s="14" t="n">
        <v>6444.94</v>
      </c>
      <c r="F10037" s="14" t="n">
        <v>13100.39</v>
      </c>
      <c r="G10037" s="6" t="s">
        <v>2613</v>
      </c>
    </row>
    <row r="10038" customFormat="false" ht="15" hidden="false" customHeight="true" outlineLevel="0" collapsed="false">
      <c r="A10038" s="6" t="s">
        <v>12650</v>
      </c>
      <c r="B10038" s="6" t="s">
        <v>2053</v>
      </c>
      <c r="C10038" s="6" t="s">
        <v>116</v>
      </c>
      <c r="D10038" s="13" t="n">
        <v>46006</v>
      </c>
      <c r="E10038" s="14" t="n">
        <v>4844.65</v>
      </c>
      <c r="F10038" s="14" t="n">
        <v>17945.04</v>
      </c>
      <c r="G10038" s="6" t="s">
        <v>2613</v>
      </c>
    </row>
    <row r="10039" customFormat="false" ht="15" hidden="false" customHeight="true" outlineLevel="0" collapsed="false">
      <c r="A10039" s="6" t="s">
        <v>12651</v>
      </c>
      <c r="B10039" s="6" t="s">
        <v>2053</v>
      </c>
      <c r="C10039" s="6" t="s">
        <v>116</v>
      </c>
      <c r="D10039" s="13" t="n">
        <v>46013</v>
      </c>
      <c r="E10039" s="14" t="n">
        <v>5737.14</v>
      </c>
      <c r="F10039" s="14" t="n">
        <v>23682.18</v>
      </c>
      <c r="G10039" s="6" t="s">
        <v>2613</v>
      </c>
    </row>
    <row r="10040" customFormat="false" ht="15" hidden="false" customHeight="true" outlineLevel="0" collapsed="false">
      <c r="A10040" s="6" t="s">
        <v>12652</v>
      </c>
      <c r="B10040" s="6" t="s">
        <v>2053</v>
      </c>
      <c r="C10040" s="6" t="s">
        <v>116</v>
      </c>
      <c r="D10040" s="13" t="n">
        <v>46020</v>
      </c>
      <c r="E10040" s="14" t="n">
        <v>3041.53</v>
      </c>
      <c r="F10040" s="14" t="n">
        <v>26723.71</v>
      </c>
      <c r="G10040" s="6" t="s">
        <v>2613</v>
      </c>
    </row>
    <row r="10041" customFormat="false" ht="15" hidden="false" customHeight="true" outlineLevel="0" collapsed="false">
      <c r="A10041" s="6" t="s">
        <v>12653</v>
      </c>
      <c r="B10041" s="6" t="s">
        <v>2053</v>
      </c>
      <c r="C10041" s="6" t="s">
        <v>116</v>
      </c>
      <c r="D10041" s="13" t="n">
        <v>46027</v>
      </c>
      <c r="E10041" s="14" t="n">
        <v>5221.8</v>
      </c>
      <c r="F10041" s="14" t="n">
        <v>31945.51</v>
      </c>
      <c r="G10041" s="6" t="s">
        <v>2613</v>
      </c>
    </row>
    <row r="10042" customFormat="false" ht="15" hidden="false" customHeight="true" outlineLevel="0" collapsed="false">
      <c r="A10042" s="6" t="s">
        <v>12654</v>
      </c>
      <c r="B10042" s="6" t="s">
        <v>2053</v>
      </c>
      <c r="C10042" s="6" t="s">
        <v>116</v>
      </c>
      <c r="D10042" s="13" t="n">
        <v>46034</v>
      </c>
      <c r="E10042" s="14" t="n">
        <v>4243.28</v>
      </c>
      <c r="F10042" s="14" t="n">
        <v>36188.79</v>
      </c>
      <c r="G10042" s="6" t="s">
        <v>2613</v>
      </c>
    </row>
    <row r="10043" customFormat="false" ht="15" hidden="false" customHeight="true" outlineLevel="0" collapsed="false">
      <c r="A10043" s="6" t="s">
        <v>12655</v>
      </c>
      <c r="B10043" s="6" t="s">
        <v>2053</v>
      </c>
      <c r="C10043" s="6" t="s">
        <v>116</v>
      </c>
      <c r="D10043" s="13" t="n">
        <v>46041</v>
      </c>
      <c r="E10043" s="14" t="n">
        <v>7225.29</v>
      </c>
      <c r="F10043" s="14" t="n">
        <v>43414.08</v>
      </c>
      <c r="G10043" s="6" t="s">
        <v>2613</v>
      </c>
    </row>
    <row r="10044" customFormat="false" ht="15" hidden="false" customHeight="true" outlineLevel="0" collapsed="false">
      <c r="A10044" s="6" t="s">
        <v>12656</v>
      </c>
      <c r="B10044" s="6" t="s">
        <v>2055</v>
      </c>
      <c r="C10044" s="6" t="s">
        <v>120</v>
      </c>
      <c r="D10044" s="13" t="n">
        <v>44800</v>
      </c>
      <c r="E10044" s="14" t="n">
        <v>1983.57</v>
      </c>
      <c r="F10044" s="14" t="n">
        <v>1983.57</v>
      </c>
      <c r="G10044" s="6" t="s">
        <v>2613</v>
      </c>
    </row>
    <row r="10045" customFormat="false" ht="15" hidden="false" customHeight="true" outlineLevel="0" collapsed="false">
      <c r="A10045" s="6" t="s">
        <v>12657</v>
      </c>
      <c r="B10045" s="6" t="s">
        <v>2055</v>
      </c>
      <c r="C10045" s="6" t="s">
        <v>120</v>
      </c>
      <c r="D10045" s="13" t="n">
        <v>44807</v>
      </c>
      <c r="E10045" s="14" t="n">
        <v>1132.08</v>
      </c>
      <c r="F10045" s="14" t="n">
        <v>3115.65</v>
      </c>
      <c r="G10045" s="6" t="s">
        <v>2613</v>
      </c>
    </row>
    <row r="10046" customFormat="false" ht="15" hidden="false" customHeight="true" outlineLevel="0" collapsed="false">
      <c r="A10046" s="6" t="s">
        <v>12658</v>
      </c>
      <c r="B10046" s="6" t="s">
        <v>2055</v>
      </c>
      <c r="C10046" s="6" t="s">
        <v>120</v>
      </c>
      <c r="D10046" s="13" t="n">
        <v>44814</v>
      </c>
      <c r="E10046" s="14" t="n">
        <v>1940.12</v>
      </c>
      <c r="F10046" s="14" t="n">
        <v>5055.77</v>
      </c>
      <c r="G10046" s="6" t="s">
        <v>2613</v>
      </c>
    </row>
    <row r="10047" customFormat="false" ht="15" hidden="false" customHeight="true" outlineLevel="0" collapsed="false">
      <c r="A10047" s="6" t="s">
        <v>12659</v>
      </c>
      <c r="B10047" s="6" t="s">
        <v>2055</v>
      </c>
      <c r="C10047" s="6" t="s">
        <v>120</v>
      </c>
      <c r="D10047" s="13" t="n">
        <v>44821</v>
      </c>
      <c r="E10047" s="14" t="n">
        <v>1474.43</v>
      </c>
      <c r="F10047" s="14" t="n">
        <v>6530.2</v>
      </c>
      <c r="G10047" s="6" t="s">
        <v>2613</v>
      </c>
    </row>
    <row r="10048" customFormat="false" ht="15" hidden="false" customHeight="true" outlineLevel="0" collapsed="false">
      <c r="A10048" s="6" t="s">
        <v>12660</v>
      </c>
      <c r="B10048" s="6" t="s">
        <v>2055</v>
      </c>
      <c r="C10048" s="6" t="s">
        <v>120</v>
      </c>
      <c r="D10048" s="13" t="n">
        <v>44828</v>
      </c>
      <c r="E10048" s="14" t="n">
        <v>1762.82</v>
      </c>
      <c r="F10048" s="14" t="n">
        <v>8293.02</v>
      </c>
      <c r="G10048" s="6" t="s">
        <v>2613</v>
      </c>
    </row>
    <row r="10049" customFormat="false" ht="15" hidden="false" customHeight="true" outlineLevel="0" collapsed="false">
      <c r="A10049" s="6" t="s">
        <v>12661</v>
      </c>
      <c r="B10049" s="6" t="s">
        <v>2055</v>
      </c>
      <c r="C10049" s="6" t="s">
        <v>120</v>
      </c>
      <c r="D10049" s="13" t="n">
        <v>44835</v>
      </c>
      <c r="E10049" s="14" t="n">
        <v>947.84</v>
      </c>
      <c r="F10049" s="14" t="n">
        <v>9240.86</v>
      </c>
      <c r="G10049" s="6" t="s">
        <v>2623</v>
      </c>
    </row>
    <row r="10050" customFormat="false" ht="15" hidden="false" customHeight="true" outlineLevel="0" collapsed="false">
      <c r="A10050" s="6" t="s">
        <v>12662</v>
      </c>
      <c r="B10050" s="6" t="s">
        <v>2055</v>
      </c>
      <c r="C10050" s="6" t="s">
        <v>120</v>
      </c>
      <c r="D10050" s="13" t="n">
        <v>44842</v>
      </c>
      <c r="E10050" s="14" t="n">
        <v>1613.83</v>
      </c>
      <c r="F10050" s="14" t="n">
        <v>10854.69</v>
      </c>
      <c r="G10050" s="6" t="s">
        <v>2613</v>
      </c>
    </row>
    <row r="10051" customFormat="false" ht="15" hidden="false" customHeight="true" outlineLevel="0" collapsed="false">
      <c r="A10051" s="6" t="s">
        <v>12663</v>
      </c>
      <c r="B10051" s="6" t="s">
        <v>2055</v>
      </c>
      <c r="C10051" s="6" t="s">
        <v>120</v>
      </c>
      <c r="D10051" s="13" t="n">
        <v>44849</v>
      </c>
      <c r="E10051" s="14" t="n">
        <v>1141.01</v>
      </c>
      <c r="F10051" s="14" t="n">
        <v>11995.7</v>
      </c>
      <c r="G10051" s="6" t="s">
        <v>2613</v>
      </c>
    </row>
    <row r="10052" customFormat="false" ht="15" hidden="false" customHeight="true" outlineLevel="0" collapsed="false">
      <c r="A10052" s="6" t="s">
        <v>12664</v>
      </c>
      <c r="B10052" s="6" t="s">
        <v>2057</v>
      </c>
      <c r="C10052" s="6" t="s">
        <v>116</v>
      </c>
      <c r="D10052" s="13" t="n">
        <v>44886</v>
      </c>
      <c r="E10052" s="14" t="n">
        <v>2397.5</v>
      </c>
      <c r="F10052" s="14" t="n">
        <v>2397.5</v>
      </c>
      <c r="G10052" s="6" t="s">
        <v>2613</v>
      </c>
    </row>
    <row r="10053" customFormat="false" ht="15" hidden="false" customHeight="true" outlineLevel="0" collapsed="false">
      <c r="A10053" s="6" t="s">
        <v>12665</v>
      </c>
      <c r="B10053" s="6" t="s">
        <v>2057</v>
      </c>
      <c r="C10053" s="6" t="s">
        <v>116</v>
      </c>
      <c r="D10053" s="13" t="n">
        <v>44893</v>
      </c>
      <c r="E10053" s="14" t="n">
        <v>1761.48</v>
      </c>
      <c r="F10053" s="14" t="n">
        <v>4158.98</v>
      </c>
      <c r="G10053" s="6" t="s">
        <v>2623</v>
      </c>
    </row>
    <row r="10054" customFormat="false" ht="15" hidden="false" customHeight="true" outlineLevel="0" collapsed="false">
      <c r="A10054" s="6" t="s">
        <v>12666</v>
      </c>
      <c r="B10054" s="6" t="s">
        <v>2057</v>
      </c>
      <c r="C10054" s="6" t="s">
        <v>116</v>
      </c>
      <c r="D10054" s="13" t="n">
        <v>44900</v>
      </c>
      <c r="E10054" s="14" t="n">
        <v>2052.19</v>
      </c>
      <c r="F10054" s="14" t="n">
        <v>6211.17</v>
      </c>
      <c r="G10054" s="6" t="s">
        <v>2613</v>
      </c>
    </row>
    <row r="10055" customFormat="false" ht="15" hidden="false" customHeight="true" outlineLevel="0" collapsed="false">
      <c r="A10055" s="6" t="s">
        <v>12667</v>
      </c>
      <c r="B10055" s="6" t="s">
        <v>2057</v>
      </c>
      <c r="C10055" s="6" t="s">
        <v>116</v>
      </c>
      <c r="D10055" s="13" t="n">
        <v>44907</v>
      </c>
      <c r="E10055" s="14" t="n">
        <v>2024.64</v>
      </c>
      <c r="F10055" s="14" t="n">
        <v>8235.81</v>
      </c>
      <c r="G10055" s="6" t="s">
        <v>2623</v>
      </c>
    </row>
    <row r="10056" customFormat="false" ht="15" hidden="false" customHeight="true" outlineLevel="0" collapsed="false">
      <c r="A10056" s="6" t="s">
        <v>12668</v>
      </c>
      <c r="B10056" s="6" t="s">
        <v>2057</v>
      </c>
      <c r="C10056" s="6" t="s">
        <v>116</v>
      </c>
      <c r="D10056" s="13" t="n">
        <v>44914</v>
      </c>
      <c r="E10056" s="14" t="n">
        <v>1713.43</v>
      </c>
      <c r="F10056" s="14" t="n">
        <v>9949.24</v>
      </c>
      <c r="G10056" s="6" t="s">
        <v>2613</v>
      </c>
    </row>
    <row r="10057" customFormat="false" ht="15" hidden="false" customHeight="true" outlineLevel="0" collapsed="false">
      <c r="A10057" s="6" t="s">
        <v>12669</v>
      </c>
      <c r="B10057" s="6" t="s">
        <v>2057</v>
      </c>
      <c r="C10057" s="6" t="s">
        <v>116</v>
      </c>
      <c r="D10057" s="13" t="n">
        <v>44921</v>
      </c>
      <c r="E10057" s="14" t="n">
        <v>2917.25</v>
      </c>
      <c r="F10057" s="14" t="n">
        <v>12866.49</v>
      </c>
      <c r="G10057" s="6" t="s">
        <v>2613</v>
      </c>
    </row>
    <row r="10058" customFormat="false" ht="15" hidden="false" customHeight="true" outlineLevel="0" collapsed="false">
      <c r="A10058" s="6" t="s">
        <v>12670</v>
      </c>
      <c r="B10058" s="6" t="s">
        <v>2057</v>
      </c>
      <c r="C10058" s="6" t="s">
        <v>116</v>
      </c>
      <c r="D10058" s="13" t="n">
        <v>44928</v>
      </c>
      <c r="E10058" s="14" t="n">
        <v>1921.67</v>
      </c>
      <c r="F10058" s="14" t="n">
        <v>14788.16</v>
      </c>
      <c r="G10058" s="6" t="s">
        <v>2623</v>
      </c>
    </row>
    <row r="10059" customFormat="false" ht="15" hidden="false" customHeight="true" outlineLevel="0" collapsed="false">
      <c r="A10059" s="6" t="s">
        <v>12671</v>
      </c>
      <c r="B10059" s="6" t="s">
        <v>2057</v>
      </c>
      <c r="C10059" s="6" t="s">
        <v>116</v>
      </c>
      <c r="D10059" s="13" t="n">
        <v>44935</v>
      </c>
      <c r="E10059" s="14" t="n">
        <v>2667.74</v>
      </c>
      <c r="F10059" s="14" t="n">
        <v>17455.9</v>
      </c>
      <c r="G10059" s="6" t="s">
        <v>2613</v>
      </c>
    </row>
    <row r="10060" customFormat="false" ht="15" hidden="false" customHeight="true" outlineLevel="0" collapsed="false">
      <c r="A10060" s="6" t="s">
        <v>12672</v>
      </c>
      <c r="B10060" s="6" t="s">
        <v>2057</v>
      </c>
      <c r="C10060" s="6" t="s">
        <v>116</v>
      </c>
      <c r="D10060" s="13" t="n">
        <v>44942</v>
      </c>
      <c r="E10060" s="14" t="n">
        <v>1897.18</v>
      </c>
      <c r="F10060" s="14" t="n">
        <v>19353.08</v>
      </c>
      <c r="G10060" s="6" t="s">
        <v>2613</v>
      </c>
    </row>
    <row r="10061" customFormat="false" ht="15" hidden="false" customHeight="true" outlineLevel="0" collapsed="false">
      <c r="A10061" s="6" t="s">
        <v>12673</v>
      </c>
      <c r="B10061" s="6" t="s">
        <v>2057</v>
      </c>
      <c r="C10061" s="6" t="s">
        <v>116</v>
      </c>
      <c r="D10061" s="13" t="n">
        <v>44949</v>
      </c>
      <c r="E10061" s="14" t="n">
        <v>2064.92</v>
      </c>
      <c r="F10061" s="14" t="n">
        <v>21418</v>
      </c>
      <c r="G10061" s="6" t="s">
        <v>2613</v>
      </c>
    </row>
    <row r="10062" customFormat="false" ht="15" hidden="false" customHeight="true" outlineLevel="0" collapsed="false">
      <c r="A10062" s="6" t="s">
        <v>12674</v>
      </c>
      <c r="B10062" s="6" t="s">
        <v>2057</v>
      </c>
      <c r="C10062" s="6" t="s">
        <v>116</v>
      </c>
      <c r="D10062" s="13" t="n">
        <v>44956</v>
      </c>
      <c r="E10062" s="14" t="n">
        <v>2899.47</v>
      </c>
      <c r="F10062" s="14" t="n">
        <v>24317.47</v>
      </c>
      <c r="G10062" s="6" t="s">
        <v>2613</v>
      </c>
    </row>
    <row r="10063" customFormat="false" ht="15" hidden="false" customHeight="true" outlineLevel="0" collapsed="false">
      <c r="A10063" s="6" t="s">
        <v>12675</v>
      </c>
      <c r="B10063" s="6" t="s">
        <v>2057</v>
      </c>
      <c r="C10063" s="6" t="s">
        <v>116</v>
      </c>
      <c r="D10063" s="13" t="n">
        <v>44963</v>
      </c>
      <c r="E10063" s="14" t="n">
        <v>2037.05</v>
      </c>
      <c r="F10063" s="14" t="n">
        <v>26354.52</v>
      </c>
      <c r="G10063" s="6" t="s">
        <v>2613</v>
      </c>
    </row>
    <row r="10064" customFormat="false" ht="15" hidden="false" customHeight="true" outlineLevel="0" collapsed="false">
      <c r="A10064" s="6" t="s">
        <v>12676</v>
      </c>
      <c r="B10064" s="6" t="s">
        <v>2057</v>
      </c>
      <c r="C10064" s="6" t="s">
        <v>116</v>
      </c>
      <c r="D10064" s="13" t="n">
        <v>44970</v>
      </c>
      <c r="E10064" s="14" t="n">
        <v>2640.5</v>
      </c>
      <c r="F10064" s="14" t="n">
        <v>28995.02</v>
      </c>
      <c r="G10064" s="6" t="s">
        <v>2613</v>
      </c>
    </row>
    <row r="10065" customFormat="false" ht="15" hidden="false" customHeight="true" outlineLevel="0" collapsed="false">
      <c r="A10065" s="6" t="s">
        <v>12677</v>
      </c>
      <c r="B10065" s="6" t="s">
        <v>2057</v>
      </c>
      <c r="C10065" s="6" t="s">
        <v>116</v>
      </c>
      <c r="D10065" s="13" t="n">
        <v>44977</v>
      </c>
      <c r="E10065" s="14" t="n">
        <v>2599.3</v>
      </c>
      <c r="F10065" s="14" t="n">
        <v>31594.32</v>
      </c>
      <c r="G10065" s="6" t="s">
        <v>2613</v>
      </c>
    </row>
    <row r="10066" customFormat="false" ht="15" hidden="false" customHeight="true" outlineLevel="0" collapsed="false">
      <c r="A10066" s="6" t="s">
        <v>12678</v>
      </c>
      <c r="B10066" s="6" t="s">
        <v>2057</v>
      </c>
      <c r="C10066" s="6" t="s">
        <v>116</v>
      </c>
      <c r="D10066" s="13" t="n">
        <v>44984</v>
      </c>
      <c r="E10066" s="14" t="n">
        <v>1336.14</v>
      </c>
      <c r="F10066" s="14" t="n">
        <v>32930.46</v>
      </c>
      <c r="G10066" s="6" t="s">
        <v>2613</v>
      </c>
    </row>
    <row r="10067" customFormat="false" ht="15" hidden="false" customHeight="true" outlineLevel="0" collapsed="false">
      <c r="A10067" s="6" t="s">
        <v>12679</v>
      </c>
      <c r="B10067" s="6" t="s">
        <v>2057</v>
      </c>
      <c r="C10067" s="6" t="s">
        <v>116</v>
      </c>
      <c r="D10067" s="13" t="n">
        <v>44991</v>
      </c>
      <c r="E10067" s="14" t="n">
        <v>2915.65</v>
      </c>
      <c r="F10067" s="14" t="n">
        <v>35846.11</v>
      </c>
      <c r="G10067" s="6" t="s">
        <v>2613</v>
      </c>
    </row>
    <row r="10068" customFormat="false" ht="15" hidden="false" customHeight="true" outlineLevel="0" collapsed="false">
      <c r="A10068" s="6" t="s">
        <v>12680</v>
      </c>
      <c r="B10068" s="6" t="s">
        <v>2057</v>
      </c>
      <c r="C10068" s="6" t="s">
        <v>116</v>
      </c>
      <c r="D10068" s="13" t="n">
        <v>44998</v>
      </c>
      <c r="E10068" s="14" t="n">
        <v>2940.48</v>
      </c>
      <c r="F10068" s="14" t="n">
        <v>38786.59</v>
      </c>
      <c r="G10068" s="6" t="s">
        <v>2613</v>
      </c>
    </row>
    <row r="10069" customFormat="false" ht="15" hidden="false" customHeight="true" outlineLevel="0" collapsed="false">
      <c r="A10069" s="6" t="s">
        <v>12681</v>
      </c>
      <c r="B10069" s="6" t="s">
        <v>2057</v>
      </c>
      <c r="C10069" s="6" t="s">
        <v>116</v>
      </c>
      <c r="D10069" s="13" t="n">
        <v>45005</v>
      </c>
      <c r="E10069" s="14" t="n">
        <v>889.97</v>
      </c>
      <c r="F10069" s="14" t="n">
        <v>39676.56</v>
      </c>
      <c r="G10069" s="6" t="s">
        <v>2613</v>
      </c>
    </row>
    <row r="10070" customFormat="false" ht="15" hidden="false" customHeight="true" outlineLevel="0" collapsed="false">
      <c r="A10070" s="6" t="s">
        <v>12682</v>
      </c>
      <c r="B10070" s="6" t="s">
        <v>2059</v>
      </c>
      <c r="C10070" s="6" t="s">
        <v>112</v>
      </c>
      <c r="D10070" s="13" t="n">
        <v>45498</v>
      </c>
      <c r="E10070" s="14" t="n">
        <v>392.18</v>
      </c>
      <c r="F10070" s="14" t="n">
        <v>392.18</v>
      </c>
      <c r="G10070" s="6" t="s">
        <v>2613</v>
      </c>
    </row>
    <row r="10071" customFormat="false" ht="15" hidden="false" customHeight="true" outlineLevel="0" collapsed="false">
      <c r="A10071" s="6" t="s">
        <v>12683</v>
      </c>
      <c r="B10071" s="6" t="s">
        <v>2059</v>
      </c>
      <c r="C10071" s="6" t="s">
        <v>112</v>
      </c>
      <c r="D10071" s="13" t="n">
        <v>45505</v>
      </c>
      <c r="E10071" s="14" t="n">
        <v>280.27</v>
      </c>
      <c r="F10071" s="14" t="n">
        <v>672.45</v>
      </c>
      <c r="G10071" s="6" t="s">
        <v>2613</v>
      </c>
    </row>
    <row r="10072" customFormat="false" ht="15" hidden="false" customHeight="true" outlineLevel="0" collapsed="false">
      <c r="A10072" s="6" t="s">
        <v>12684</v>
      </c>
      <c r="B10072" s="6" t="s">
        <v>2059</v>
      </c>
      <c r="C10072" s="6" t="s">
        <v>112</v>
      </c>
      <c r="D10072" s="13" t="n">
        <v>45512</v>
      </c>
      <c r="E10072" s="14" t="n">
        <v>332.89</v>
      </c>
      <c r="F10072" s="14" t="n">
        <v>1005.34</v>
      </c>
      <c r="G10072" s="6" t="s">
        <v>2613</v>
      </c>
    </row>
    <row r="10073" customFormat="false" ht="15" hidden="false" customHeight="true" outlineLevel="0" collapsed="false">
      <c r="A10073" s="6" t="s">
        <v>12685</v>
      </c>
      <c r="B10073" s="6" t="s">
        <v>2059</v>
      </c>
      <c r="C10073" s="6" t="s">
        <v>112</v>
      </c>
      <c r="D10073" s="13" t="n">
        <v>45519</v>
      </c>
      <c r="E10073" s="14" t="n">
        <v>363.54</v>
      </c>
      <c r="F10073" s="14" t="n">
        <v>1368.88</v>
      </c>
      <c r="G10073" s="6" t="s">
        <v>2613</v>
      </c>
    </row>
    <row r="10074" customFormat="false" ht="15" hidden="false" customHeight="true" outlineLevel="0" collapsed="false">
      <c r="A10074" s="6" t="s">
        <v>12686</v>
      </c>
      <c r="B10074" s="6" t="s">
        <v>2059</v>
      </c>
      <c r="C10074" s="6" t="s">
        <v>112</v>
      </c>
      <c r="D10074" s="13" t="n">
        <v>45526</v>
      </c>
      <c r="E10074" s="14" t="n">
        <v>346.79</v>
      </c>
      <c r="F10074" s="14" t="n">
        <v>1715.67</v>
      </c>
      <c r="G10074" s="6" t="s">
        <v>2613</v>
      </c>
    </row>
    <row r="10075" customFormat="false" ht="15" hidden="false" customHeight="true" outlineLevel="0" collapsed="false">
      <c r="A10075" s="6" t="s">
        <v>12687</v>
      </c>
      <c r="B10075" s="6" t="s">
        <v>2059</v>
      </c>
      <c r="C10075" s="6" t="s">
        <v>112</v>
      </c>
      <c r="D10075" s="13" t="n">
        <v>45533</v>
      </c>
      <c r="E10075" s="14" t="n">
        <v>321.68</v>
      </c>
      <c r="F10075" s="14" t="n">
        <v>2037.35</v>
      </c>
      <c r="G10075" s="6" t="s">
        <v>2613</v>
      </c>
    </row>
    <row r="10076" customFormat="false" ht="15" hidden="false" customHeight="true" outlineLevel="0" collapsed="false">
      <c r="A10076" s="6" t="s">
        <v>12688</v>
      </c>
      <c r="B10076" s="6" t="s">
        <v>2059</v>
      </c>
      <c r="C10076" s="6" t="s">
        <v>112</v>
      </c>
      <c r="D10076" s="13" t="n">
        <v>45540</v>
      </c>
      <c r="E10076" s="14" t="n">
        <v>364.7</v>
      </c>
      <c r="F10076" s="14" t="n">
        <v>2402.05</v>
      </c>
      <c r="G10076" s="6" t="s">
        <v>2613</v>
      </c>
    </row>
    <row r="10077" customFormat="false" ht="15" hidden="false" customHeight="true" outlineLevel="0" collapsed="false">
      <c r="A10077" s="6" t="s">
        <v>12689</v>
      </c>
      <c r="B10077" s="6" t="s">
        <v>2059</v>
      </c>
      <c r="C10077" s="6" t="s">
        <v>112</v>
      </c>
      <c r="D10077" s="13" t="n">
        <v>45547</v>
      </c>
      <c r="E10077" s="14" t="n">
        <v>407.43</v>
      </c>
      <c r="F10077" s="14" t="n">
        <v>2809.48</v>
      </c>
      <c r="G10077" s="6" t="s">
        <v>2613</v>
      </c>
    </row>
    <row r="10078" customFormat="false" ht="15" hidden="false" customHeight="true" outlineLevel="0" collapsed="false">
      <c r="A10078" s="6" t="s">
        <v>12690</v>
      </c>
      <c r="B10078" s="6" t="s">
        <v>2059</v>
      </c>
      <c r="C10078" s="6" t="s">
        <v>112</v>
      </c>
      <c r="D10078" s="13" t="n">
        <v>45554</v>
      </c>
      <c r="E10078" s="14" t="n">
        <v>18.37</v>
      </c>
      <c r="F10078" s="14" t="n">
        <v>2827.85</v>
      </c>
      <c r="G10078" s="6" t="s">
        <v>2613</v>
      </c>
    </row>
    <row r="10079" customFormat="false" ht="15" hidden="false" customHeight="true" outlineLevel="0" collapsed="false">
      <c r="A10079" s="6" t="s">
        <v>12691</v>
      </c>
      <c r="B10079" s="6" t="s">
        <v>2061</v>
      </c>
      <c r="C10079" s="6" t="s">
        <v>112</v>
      </c>
      <c r="D10079" s="13" t="n">
        <v>46104</v>
      </c>
      <c r="E10079" s="14" t="n">
        <v>2233.95</v>
      </c>
      <c r="F10079" s="14" t="n">
        <v>2233.95</v>
      </c>
      <c r="G10079" s="6" t="s">
        <v>2613</v>
      </c>
    </row>
    <row r="10080" customFormat="false" ht="15" hidden="false" customHeight="true" outlineLevel="0" collapsed="false">
      <c r="A10080" s="6" t="s">
        <v>12692</v>
      </c>
      <c r="B10080" s="6" t="s">
        <v>2061</v>
      </c>
      <c r="C10080" s="6" t="s">
        <v>112</v>
      </c>
      <c r="D10080" s="13" t="n">
        <v>46111</v>
      </c>
      <c r="E10080" s="14" t="n">
        <v>1144.84</v>
      </c>
      <c r="F10080" s="14" t="n">
        <v>3378.79</v>
      </c>
      <c r="G10080" s="6" t="s">
        <v>2623</v>
      </c>
    </row>
    <row r="10081" customFormat="false" ht="15" hidden="false" customHeight="true" outlineLevel="0" collapsed="false">
      <c r="A10081" s="6" t="s">
        <v>12693</v>
      </c>
      <c r="B10081" s="6" t="s">
        <v>2061</v>
      </c>
      <c r="C10081" s="6" t="s">
        <v>112</v>
      </c>
      <c r="D10081" s="13" t="n">
        <v>46118</v>
      </c>
      <c r="E10081" s="14" t="n">
        <v>1957.03</v>
      </c>
      <c r="F10081" s="14" t="n">
        <v>5335.82</v>
      </c>
      <c r="G10081" s="6" t="s">
        <v>2613</v>
      </c>
    </row>
    <row r="10082" customFormat="false" ht="15" hidden="false" customHeight="true" outlineLevel="0" collapsed="false">
      <c r="A10082" s="6" t="s">
        <v>12694</v>
      </c>
      <c r="B10082" s="6" t="s">
        <v>2061</v>
      </c>
      <c r="C10082" s="6" t="s">
        <v>112</v>
      </c>
      <c r="D10082" s="13" t="n">
        <v>46125</v>
      </c>
      <c r="E10082" s="14" t="n">
        <v>2137.27</v>
      </c>
      <c r="F10082" s="14" t="n">
        <v>7473.09</v>
      </c>
      <c r="G10082" s="6" t="s">
        <v>2613</v>
      </c>
    </row>
    <row r="10083" customFormat="false" ht="15" hidden="false" customHeight="true" outlineLevel="0" collapsed="false">
      <c r="A10083" s="6" t="s">
        <v>12695</v>
      </c>
      <c r="B10083" s="6" t="s">
        <v>2061</v>
      </c>
      <c r="C10083" s="6" t="s">
        <v>112</v>
      </c>
      <c r="D10083" s="13" t="n">
        <v>46132</v>
      </c>
      <c r="E10083" s="14" t="n">
        <v>843.41</v>
      </c>
      <c r="F10083" s="14" t="n">
        <v>8316.5</v>
      </c>
      <c r="G10083" s="6" t="s">
        <v>2623</v>
      </c>
    </row>
    <row r="10084" customFormat="false" ht="15" hidden="false" customHeight="true" outlineLevel="0" collapsed="false">
      <c r="A10084" s="6" t="s">
        <v>12696</v>
      </c>
      <c r="B10084" s="6" t="s">
        <v>2063</v>
      </c>
      <c r="C10084" s="6" t="s">
        <v>131</v>
      </c>
      <c r="D10084" s="13" t="n">
        <v>45422</v>
      </c>
      <c r="E10084" s="14" t="n">
        <v>1805.77</v>
      </c>
      <c r="F10084" s="14" t="n">
        <v>1805.77</v>
      </c>
      <c r="G10084" s="6" t="s">
        <v>2613</v>
      </c>
    </row>
    <row r="10085" customFormat="false" ht="15" hidden="false" customHeight="true" outlineLevel="0" collapsed="false">
      <c r="A10085" s="6" t="s">
        <v>12697</v>
      </c>
      <c r="B10085" s="6" t="s">
        <v>2063</v>
      </c>
      <c r="C10085" s="6" t="s">
        <v>131</v>
      </c>
      <c r="D10085" s="13" t="n">
        <v>45429</v>
      </c>
      <c r="E10085" s="14" t="n">
        <v>1894.89</v>
      </c>
      <c r="F10085" s="14" t="n">
        <v>3700.66</v>
      </c>
      <c r="G10085" s="6" t="s">
        <v>2613</v>
      </c>
    </row>
    <row r="10086" customFormat="false" ht="15" hidden="false" customHeight="true" outlineLevel="0" collapsed="false">
      <c r="A10086" s="6" t="s">
        <v>12698</v>
      </c>
      <c r="B10086" s="6" t="s">
        <v>2063</v>
      </c>
      <c r="C10086" s="6" t="s">
        <v>131</v>
      </c>
      <c r="D10086" s="13" t="n">
        <v>45436</v>
      </c>
      <c r="E10086" s="14" t="n">
        <v>2059.52</v>
      </c>
      <c r="F10086" s="14" t="n">
        <v>5760.18</v>
      </c>
      <c r="G10086" s="6" t="s">
        <v>2613</v>
      </c>
    </row>
    <row r="10087" customFormat="false" ht="15" hidden="false" customHeight="true" outlineLevel="0" collapsed="false">
      <c r="A10087" s="6" t="s">
        <v>12699</v>
      </c>
      <c r="B10087" s="6" t="s">
        <v>2063</v>
      </c>
      <c r="C10087" s="6" t="s">
        <v>131</v>
      </c>
      <c r="D10087" s="13" t="n">
        <v>45443</v>
      </c>
      <c r="E10087" s="14" t="n">
        <v>1275.74</v>
      </c>
      <c r="F10087" s="14" t="n">
        <v>7035.92</v>
      </c>
      <c r="G10087" s="6" t="s">
        <v>2613</v>
      </c>
    </row>
    <row r="10088" customFormat="false" ht="15" hidden="false" customHeight="true" outlineLevel="0" collapsed="false">
      <c r="A10088" s="6" t="s">
        <v>12700</v>
      </c>
      <c r="B10088" s="6" t="s">
        <v>2063</v>
      </c>
      <c r="C10088" s="6" t="s">
        <v>131</v>
      </c>
      <c r="D10088" s="13" t="n">
        <v>45450</v>
      </c>
      <c r="E10088" s="14" t="n">
        <v>2795.32</v>
      </c>
      <c r="F10088" s="14" t="n">
        <v>9831.24</v>
      </c>
      <c r="G10088" s="6" t="s">
        <v>2613</v>
      </c>
    </row>
    <row r="10089" customFormat="false" ht="15" hidden="false" customHeight="true" outlineLevel="0" collapsed="false">
      <c r="A10089" s="6" t="s">
        <v>12701</v>
      </c>
      <c r="B10089" s="6" t="s">
        <v>2063</v>
      </c>
      <c r="C10089" s="6" t="s">
        <v>131</v>
      </c>
      <c r="D10089" s="13" t="n">
        <v>45457</v>
      </c>
      <c r="E10089" s="14" t="n">
        <v>2577.35</v>
      </c>
      <c r="F10089" s="14" t="n">
        <v>12408.59</v>
      </c>
      <c r="G10089" s="6" t="s">
        <v>2613</v>
      </c>
    </row>
    <row r="10090" customFormat="false" ht="15" hidden="false" customHeight="true" outlineLevel="0" collapsed="false">
      <c r="A10090" s="6" t="s">
        <v>12702</v>
      </c>
      <c r="B10090" s="6" t="s">
        <v>2063</v>
      </c>
      <c r="C10090" s="6" t="s">
        <v>131</v>
      </c>
      <c r="D10090" s="13" t="n">
        <v>45464</v>
      </c>
      <c r="E10090" s="14" t="n">
        <v>2034.74</v>
      </c>
      <c r="F10090" s="14" t="n">
        <v>14443.33</v>
      </c>
      <c r="G10090" s="6" t="s">
        <v>2613</v>
      </c>
    </row>
    <row r="10091" customFormat="false" ht="15" hidden="false" customHeight="true" outlineLevel="0" collapsed="false">
      <c r="A10091" s="6" t="s">
        <v>12703</v>
      </c>
      <c r="B10091" s="6" t="s">
        <v>2063</v>
      </c>
      <c r="C10091" s="6" t="s">
        <v>131</v>
      </c>
      <c r="D10091" s="13" t="n">
        <v>45471</v>
      </c>
      <c r="E10091" s="14" t="n">
        <v>2501</v>
      </c>
      <c r="F10091" s="14" t="n">
        <v>16944.33</v>
      </c>
      <c r="G10091" s="6" t="s">
        <v>2613</v>
      </c>
    </row>
    <row r="10092" customFormat="false" ht="15" hidden="false" customHeight="true" outlineLevel="0" collapsed="false">
      <c r="A10092" s="6" t="s">
        <v>12704</v>
      </c>
      <c r="B10092" s="6" t="s">
        <v>2065</v>
      </c>
      <c r="C10092" s="6" t="s">
        <v>116</v>
      </c>
      <c r="D10092" s="13" t="n">
        <v>44916</v>
      </c>
      <c r="E10092" s="14" t="n">
        <v>526.62</v>
      </c>
      <c r="F10092" s="14" t="n">
        <v>526.62</v>
      </c>
      <c r="G10092" s="6" t="s">
        <v>2613</v>
      </c>
    </row>
    <row r="10093" customFormat="false" ht="15" hidden="false" customHeight="true" outlineLevel="0" collapsed="false">
      <c r="A10093" s="6" t="s">
        <v>12705</v>
      </c>
      <c r="B10093" s="6" t="s">
        <v>2065</v>
      </c>
      <c r="C10093" s="6" t="s">
        <v>116</v>
      </c>
      <c r="D10093" s="13" t="n">
        <v>44923</v>
      </c>
      <c r="E10093" s="14" t="n">
        <v>565.72</v>
      </c>
      <c r="F10093" s="14" t="n">
        <v>1092.34</v>
      </c>
      <c r="G10093" s="6" t="s">
        <v>2613</v>
      </c>
    </row>
    <row r="10094" customFormat="false" ht="15" hidden="false" customHeight="true" outlineLevel="0" collapsed="false">
      <c r="A10094" s="6" t="s">
        <v>12706</v>
      </c>
      <c r="B10094" s="6" t="s">
        <v>2065</v>
      </c>
      <c r="C10094" s="6" t="s">
        <v>116</v>
      </c>
      <c r="D10094" s="13" t="n">
        <v>44930</v>
      </c>
      <c r="E10094" s="14" t="n">
        <v>445.48</v>
      </c>
      <c r="F10094" s="14" t="n">
        <v>1537.82</v>
      </c>
      <c r="G10094" s="6" t="s">
        <v>2613</v>
      </c>
    </row>
    <row r="10095" customFormat="false" ht="15" hidden="false" customHeight="true" outlineLevel="0" collapsed="false">
      <c r="A10095" s="6" t="s">
        <v>12707</v>
      </c>
      <c r="B10095" s="6" t="s">
        <v>2065</v>
      </c>
      <c r="C10095" s="6" t="s">
        <v>116</v>
      </c>
      <c r="D10095" s="13" t="n">
        <v>44937</v>
      </c>
      <c r="E10095" s="14" t="n">
        <v>406.09</v>
      </c>
      <c r="F10095" s="14" t="n">
        <v>1943.91</v>
      </c>
      <c r="G10095" s="6" t="s">
        <v>2613</v>
      </c>
    </row>
    <row r="10096" customFormat="false" ht="15" hidden="false" customHeight="true" outlineLevel="0" collapsed="false">
      <c r="A10096" s="6" t="s">
        <v>12708</v>
      </c>
      <c r="B10096" s="6" t="s">
        <v>2065</v>
      </c>
      <c r="C10096" s="6" t="s">
        <v>116</v>
      </c>
      <c r="D10096" s="13" t="n">
        <v>44944</v>
      </c>
      <c r="E10096" s="14" t="n">
        <v>436.57</v>
      </c>
      <c r="F10096" s="14" t="n">
        <v>2380.48</v>
      </c>
      <c r="G10096" s="6" t="s">
        <v>2613</v>
      </c>
    </row>
    <row r="10097" customFormat="false" ht="15" hidden="false" customHeight="true" outlineLevel="0" collapsed="false">
      <c r="A10097" s="6" t="s">
        <v>12709</v>
      </c>
      <c r="B10097" s="6" t="s">
        <v>2065</v>
      </c>
      <c r="C10097" s="6" t="s">
        <v>116</v>
      </c>
      <c r="D10097" s="13" t="n">
        <v>44951</v>
      </c>
      <c r="E10097" s="14" t="n">
        <v>159.52</v>
      </c>
      <c r="F10097" s="14" t="n">
        <v>2540</v>
      </c>
      <c r="G10097" s="6" t="s">
        <v>2613</v>
      </c>
    </row>
    <row r="10098" customFormat="false" ht="15" hidden="false" customHeight="true" outlineLevel="0" collapsed="false">
      <c r="A10098" s="6" t="s">
        <v>12710</v>
      </c>
      <c r="B10098" s="6" t="s">
        <v>2067</v>
      </c>
      <c r="C10098" s="6" t="s">
        <v>124</v>
      </c>
      <c r="D10098" s="13" t="n">
        <v>44710</v>
      </c>
      <c r="E10098" s="14" t="n">
        <v>401.45</v>
      </c>
      <c r="F10098" s="14" t="n">
        <v>401.45</v>
      </c>
      <c r="G10098" s="6" t="s">
        <v>2613</v>
      </c>
    </row>
    <row r="10099" customFormat="false" ht="15" hidden="false" customHeight="true" outlineLevel="0" collapsed="false">
      <c r="A10099" s="6" t="s">
        <v>12711</v>
      </c>
      <c r="B10099" s="6" t="s">
        <v>2067</v>
      </c>
      <c r="C10099" s="6" t="s">
        <v>124</v>
      </c>
      <c r="D10099" s="13" t="n">
        <v>44717</v>
      </c>
      <c r="E10099" s="14" t="n">
        <v>365.58</v>
      </c>
      <c r="F10099" s="14" t="n">
        <v>767.03</v>
      </c>
      <c r="G10099" s="6" t="s">
        <v>2613</v>
      </c>
    </row>
    <row r="10100" customFormat="false" ht="15" hidden="false" customHeight="true" outlineLevel="0" collapsed="false">
      <c r="A10100" s="6" t="s">
        <v>12712</v>
      </c>
      <c r="B10100" s="6" t="s">
        <v>2067</v>
      </c>
      <c r="C10100" s="6" t="s">
        <v>124</v>
      </c>
      <c r="D10100" s="13" t="n">
        <v>44724</v>
      </c>
      <c r="E10100" s="14" t="n">
        <v>370.19</v>
      </c>
      <c r="F10100" s="14" t="n">
        <v>1137.22</v>
      </c>
      <c r="G10100" s="6" t="s">
        <v>2613</v>
      </c>
    </row>
    <row r="10101" customFormat="false" ht="15" hidden="false" customHeight="true" outlineLevel="0" collapsed="false">
      <c r="A10101" s="6" t="s">
        <v>12713</v>
      </c>
      <c r="B10101" s="6" t="s">
        <v>2067</v>
      </c>
      <c r="C10101" s="6" t="s">
        <v>124</v>
      </c>
      <c r="D10101" s="13" t="n">
        <v>44731</v>
      </c>
      <c r="E10101" s="14" t="n">
        <v>272.16</v>
      </c>
      <c r="F10101" s="14" t="n">
        <v>1409.38</v>
      </c>
      <c r="G10101" s="6" t="s">
        <v>2613</v>
      </c>
    </row>
    <row r="10102" customFormat="false" ht="15" hidden="false" customHeight="true" outlineLevel="0" collapsed="false">
      <c r="A10102" s="6" t="s">
        <v>12714</v>
      </c>
      <c r="B10102" s="6" t="s">
        <v>2067</v>
      </c>
      <c r="C10102" s="6" t="s">
        <v>124</v>
      </c>
      <c r="D10102" s="13" t="n">
        <v>44738</v>
      </c>
      <c r="E10102" s="14" t="n">
        <v>337.87</v>
      </c>
      <c r="F10102" s="14" t="n">
        <v>1747.25</v>
      </c>
      <c r="G10102" s="6" t="s">
        <v>2613</v>
      </c>
    </row>
    <row r="10103" customFormat="false" ht="15" hidden="false" customHeight="true" outlineLevel="0" collapsed="false">
      <c r="A10103" s="6" t="s">
        <v>12715</v>
      </c>
      <c r="B10103" s="6" t="s">
        <v>2067</v>
      </c>
      <c r="C10103" s="6" t="s">
        <v>124</v>
      </c>
      <c r="D10103" s="13" t="n">
        <v>44745</v>
      </c>
      <c r="E10103" s="14" t="n">
        <v>447.36</v>
      </c>
      <c r="F10103" s="14" t="n">
        <v>2194.61</v>
      </c>
      <c r="G10103" s="6" t="s">
        <v>2613</v>
      </c>
    </row>
    <row r="10104" customFormat="false" ht="15" hidden="false" customHeight="true" outlineLevel="0" collapsed="false">
      <c r="A10104" s="6" t="s">
        <v>12716</v>
      </c>
      <c r="B10104" s="6" t="s">
        <v>2067</v>
      </c>
      <c r="C10104" s="6" t="s">
        <v>124</v>
      </c>
      <c r="D10104" s="13" t="n">
        <v>44752</v>
      </c>
      <c r="E10104" s="14" t="n">
        <v>340.99</v>
      </c>
      <c r="F10104" s="14" t="n">
        <v>2535.6</v>
      </c>
      <c r="G10104" s="6" t="s">
        <v>2613</v>
      </c>
    </row>
    <row r="10105" customFormat="false" ht="15" hidden="false" customHeight="true" outlineLevel="0" collapsed="false">
      <c r="A10105" s="6" t="s">
        <v>12717</v>
      </c>
      <c r="B10105" s="6" t="s">
        <v>2067</v>
      </c>
      <c r="C10105" s="6" t="s">
        <v>124</v>
      </c>
      <c r="D10105" s="13" t="n">
        <v>44759</v>
      </c>
      <c r="E10105" s="14" t="n">
        <v>399.34</v>
      </c>
      <c r="F10105" s="14" t="n">
        <v>2934.94</v>
      </c>
      <c r="G10105" s="6" t="s">
        <v>2613</v>
      </c>
    </row>
    <row r="10106" customFormat="false" ht="15" hidden="false" customHeight="true" outlineLevel="0" collapsed="false">
      <c r="A10106" s="6" t="s">
        <v>12718</v>
      </c>
      <c r="B10106" s="6" t="s">
        <v>2067</v>
      </c>
      <c r="C10106" s="6" t="s">
        <v>124</v>
      </c>
      <c r="D10106" s="13" t="n">
        <v>44766</v>
      </c>
      <c r="E10106" s="14" t="n">
        <v>286.53</v>
      </c>
      <c r="F10106" s="14" t="n">
        <v>3221.47</v>
      </c>
      <c r="G10106" s="6" t="s">
        <v>2613</v>
      </c>
    </row>
    <row r="10107" customFormat="false" ht="15" hidden="false" customHeight="true" outlineLevel="0" collapsed="false">
      <c r="A10107" s="6" t="s">
        <v>12719</v>
      </c>
      <c r="B10107" s="6" t="s">
        <v>2067</v>
      </c>
      <c r="C10107" s="6" t="s">
        <v>124</v>
      </c>
      <c r="D10107" s="13" t="n">
        <v>44773</v>
      </c>
      <c r="E10107" s="14" t="n">
        <v>396.83</v>
      </c>
      <c r="F10107" s="14" t="n">
        <v>3618.3</v>
      </c>
      <c r="G10107" s="6" t="s">
        <v>2613</v>
      </c>
    </row>
    <row r="10108" customFormat="false" ht="15" hidden="false" customHeight="true" outlineLevel="0" collapsed="false">
      <c r="A10108" s="6" t="s">
        <v>12720</v>
      </c>
      <c r="B10108" s="6" t="s">
        <v>2067</v>
      </c>
      <c r="C10108" s="6" t="s">
        <v>124</v>
      </c>
      <c r="D10108" s="13" t="n">
        <v>44780</v>
      </c>
      <c r="E10108" s="14" t="n">
        <v>285.44</v>
      </c>
      <c r="F10108" s="14" t="n">
        <v>3903.74</v>
      </c>
      <c r="G10108" s="6" t="s">
        <v>2613</v>
      </c>
    </row>
    <row r="10109" customFormat="false" ht="15" hidden="false" customHeight="true" outlineLevel="0" collapsed="false">
      <c r="A10109" s="6" t="s">
        <v>12721</v>
      </c>
      <c r="B10109" s="6" t="s">
        <v>2067</v>
      </c>
      <c r="C10109" s="6" t="s">
        <v>124</v>
      </c>
      <c r="D10109" s="13" t="n">
        <v>44787</v>
      </c>
      <c r="E10109" s="14" t="n">
        <v>301.52</v>
      </c>
      <c r="F10109" s="14" t="n">
        <v>4205.26</v>
      </c>
      <c r="G10109" s="6" t="s">
        <v>2613</v>
      </c>
    </row>
    <row r="10110" customFormat="false" ht="15" hidden="false" customHeight="true" outlineLevel="0" collapsed="false">
      <c r="A10110" s="6" t="s">
        <v>12722</v>
      </c>
      <c r="B10110" s="6" t="s">
        <v>2067</v>
      </c>
      <c r="C10110" s="6" t="s">
        <v>124</v>
      </c>
      <c r="D10110" s="13" t="n">
        <v>44794</v>
      </c>
      <c r="E10110" s="14" t="n">
        <v>406.62</v>
      </c>
      <c r="F10110" s="14" t="n">
        <v>4611.88</v>
      </c>
      <c r="G10110" s="6" t="s">
        <v>2613</v>
      </c>
    </row>
    <row r="10111" customFormat="false" ht="15" hidden="false" customHeight="true" outlineLevel="0" collapsed="false">
      <c r="A10111" s="6" t="s">
        <v>12723</v>
      </c>
      <c r="B10111" s="6" t="s">
        <v>2067</v>
      </c>
      <c r="C10111" s="6" t="s">
        <v>124</v>
      </c>
      <c r="D10111" s="13" t="n">
        <v>44801</v>
      </c>
      <c r="E10111" s="14" t="n">
        <v>458.83</v>
      </c>
      <c r="F10111" s="14" t="n">
        <v>5070.71</v>
      </c>
      <c r="G10111" s="6" t="s">
        <v>2613</v>
      </c>
    </row>
    <row r="10112" customFormat="false" ht="15" hidden="false" customHeight="true" outlineLevel="0" collapsed="false">
      <c r="A10112" s="6" t="s">
        <v>12724</v>
      </c>
      <c r="B10112" s="6" t="s">
        <v>2067</v>
      </c>
      <c r="C10112" s="6" t="s">
        <v>124</v>
      </c>
      <c r="D10112" s="13" t="n">
        <v>44808</v>
      </c>
      <c r="E10112" s="14" t="n">
        <v>45.92</v>
      </c>
      <c r="F10112" s="14" t="n">
        <v>5116.63</v>
      </c>
      <c r="G10112" s="6" t="s">
        <v>2623</v>
      </c>
    </row>
    <row r="10113" customFormat="false" ht="15" hidden="false" customHeight="true" outlineLevel="0" collapsed="false">
      <c r="A10113" s="6" t="s">
        <v>12725</v>
      </c>
      <c r="B10113" s="6" t="s">
        <v>2069</v>
      </c>
      <c r="C10113" s="6" t="s">
        <v>124</v>
      </c>
      <c r="D10113" s="13" t="n">
        <v>46046</v>
      </c>
      <c r="E10113" s="14" t="n">
        <v>130.51</v>
      </c>
      <c r="F10113" s="14" t="n">
        <v>130.51</v>
      </c>
      <c r="G10113" s="6" t="s">
        <v>2613</v>
      </c>
    </row>
    <row r="10114" customFormat="false" ht="15" hidden="false" customHeight="true" outlineLevel="0" collapsed="false">
      <c r="A10114" s="6" t="s">
        <v>12726</v>
      </c>
      <c r="B10114" s="6" t="s">
        <v>2069</v>
      </c>
      <c r="C10114" s="6" t="s">
        <v>124</v>
      </c>
      <c r="D10114" s="13" t="n">
        <v>46053</v>
      </c>
      <c r="E10114" s="14" t="n">
        <v>71.75</v>
      </c>
      <c r="F10114" s="14" t="n">
        <v>202.26</v>
      </c>
      <c r="G10114" s="6" t="s">
        <v>2613</v>
      </c>
    </row>
    <row r="10115" customFormat="false" ht="15" hidden="false" customHeight="true" outlineLevel="0" collapsed="false">
      <c r="A10115" s="6" t="s">
        <v>12727</v>
      </c>
      <c r="B10115" s="6" t="s">
        <v>2069</v>
      </c>
      <c r="C10115" s="6" t="s">
        <v>124</v>
      </c>
      <c r="D10115" s="13" t="n">
        <v>46060</v>
      </c>
      <c r="E10115" s="14" t="n">
        <v>155.54</v>
      </c>
      <c r="F10115" s="14" t="n">
        <v>357.8</v>
      </c>
      <c r="G10115" s="6" t="s">
        <v>2613</v>
      </c>
    </row>
    <row r="10116" customFormat="false" ht="15" hidden="false" customHeight="true" outlineLevel="0" collapsed="false">
      <c r="A10116" s="6" t="s">
        <v>12728</v>
      </c>
      <c r="B10116" s="6" t="s">
        <v>2069</v>
      </c>
      <c r="C10116" s="6" t="s">
        <v>124</v>
      </c>
      <c r="D10116" s="13" t="n">
        <v>46067</v>
      </c>
      <c r="E10116" s="14" t="n">
        <v>104.75</v>
      </c>
      <c r="F10116" s="14" t="n">
        <v>462.55</v>
      </c>
      <c r="G10116" s="6" t="s">
        <v>2613</v>
      </c>
    </row>
    <row r="10117" customFormat="false" ht="15" hidden="false" customHeight="true" outlineLevel="0" collapsed="false">
      <c r="A10117" s="6" t="s">
        <v>12729</v>
      </c>
      <c r="B10117" s="6" t="s">
        <v>2069</v>
      </c>
      <c r="C10117" s="6" t="s">
        <v>124</v>
      </c>
      <c r="D10117" s="13" t="n">
        <v>46074</v>
      </c>
      <c r="E10117" s="14" t="n">
        <v>158.04</v>
      </c>
      <c r="F10117" s="14" t="n">
        <v>620.59</v>
      </c>
      <c r="G10117" s="6" t="s">
        <v>2613</v>
      </c>
    </row>
    <row r="10118" customFormat="false" ht="15" hidden="false" customHeight="true" outlineLevel="0" collapsed="false">
      <c r="A10118" s="6" t="s">
        <v>12730</v>
      </c>
      <c r="B10118" s="6" t="s">
        <v>2069</v>
      </c>
      <c r="C10118" s="6" t="s">
        <v>124</v>
      </c>
      <c r="D10118" s="13" t="n">
        <v>46081</v>
      </c>
      <c r="E10118" s="14" t="n">
        <v>109.66</v>
      </c>
      <c r="F10118" s="14" t="n">
        <v>730.25</v>
      </c>
      <c r="G10118" s="6" t="s">
        <v>2613</v>
      </c>
    </row>
    <row r="10119" customFormat="false" ht="15" hidden="false" customHeight="true" outlineLevel="0" collapsed="false">
      <c r="A10119" s="6" t="s">
        <v>12731</v>
      </c>
      <c r="B10119" s="6" t="s">
        <v>2069</v>
      </c>
      <c r="C10119" s="6" t="s">
        <v>124</v>
      </c>
      <c r="D10119" s="13" t="n">
        <v>46088</v>
      </c>
      <c r="E10119" s="14" t="n">
        <v>71.19</v>
      </c>
      <c r="F10119" s="14" t="n">
        <v>801.44</v>
      </c>
      <c r="G10119" s="6" t="s">
        <v>2613</v>
      </c>
    </row>
    <row r="10120" customFormat="false" ht="15" hidden="false" customHeight="true" outlineLevel="0" collapsed="false">
      <c r="A10120" s="6" t="s">
        <v>12732</v>
      </c>
      <c r="B10120" s="6" t="s">
        <v>2069</v>
      </c>
      <c r="C10120" s="6" t="s">
        <v>124</v>
      </c>
      <c r="D10120" s="13" t="n">
        <v>46095</v>
      </c>
      <c r="E10120" s="14" t="n">
        <v>160.86</v>
      </c>
      <c r="F10120" s="14" t="n">
        <v>962.3</v>
      </c>
      <c r="G10120" s="6" t="s">
        <v>2613</v>
      </c>
    </row>
    <row r="10121" customFormat="false" ht="15" hidden="false" customHeight="true" outlineLevel="0" collapsed="false">
      <c r="A10121" s="6" t="s">
        <v>12733</v>
      </c>
      <c r="B10121" s="6" t="s">
        <v>2069</v>
      </c>
      <c r="C10121" s="6" t="s">
        <v>124</v>
      </c>
      <c r="D10121" s="13" t="n">
        <v>46102</v>
      </c>
      <c r="E10121" s="14" t="n">
        <v>142.19</v>
      </c>
      <c r="F10121" s="14" t="n">
        <v>1104.49</v>
      </c>
      <c r="G10121" s="6" t="s">
        <v>2613</v>
      </c>
    </row>
    <row r="10122" customFormat="false" ht="15" hidden="false" customHeight="true" outlineLevel="0" collapsed="false">
      <c r="A10122" s="6" t="s">
        <v>12734</v>
      </c>
      <c r="B10122" s="6" t="s">
        <v>2069</v>
      </c>
      <c r="C10122" s="6" t="s">
        <v>124</v>
      </c>
      <c r="D10122" s="13" t="n">
        <v>46109</v>
      </c>
      <c r="E10122" s="14" t="n">
        <v>69.64</v>
      </c>
      <c r="F10122" s="14" t="n">
        <v>1174.13</v>
      </c>
      <c r="G10122" s="6" t="s">
        <v>2613</v>
      </c>
    </row>
    <row r="10123" customFormat="false" ht="15" hidden="false" customHeight="true" outlineLevel="0" collapsed="false">
      <c r="A10123" s="6" t="s">
        <v>12735</v>
      </c>
      <c r="B10123" s="6" t="s">
        <v>2069</v>
      </c>
      <c r="C10123" s="6" t="s">
        <v>124</v>
      </c>
      <c r="D10123" s="13" t="n">
        <v>46116</v>
      </c>
      <c r="E10123" s="14" t="n">
        <v>123.85</v>
      </c>
      <c r="F10123" s="14" t="n">
        <v>1297.98</v>
      </c>
      <c r="G10123" s="6" t="s">
        <v>2613</v>
      </c>
    </row>
    <row r="10124" customFormat="false" ht="15" hidden="false" customHeight="true" outlineLevel="0" collapsed="false">
      <c r="A10124" s="6" t="s">
        <v>12736</v>
      </c>
      <c r="B10124" s="6" t="s">
        <v>2069</v>
      </c>
      <c r="C10124" s="6" t="s">
        <v>124</v>
      </c>
      <c r="D10124" s="13" t="n">
        <v>46123</v>
      </c>
      <c r="E10124" s="14" t="n">
        <v>69.66</v>
      </c>
      <c r="F10124" s="14" t="n">
        <v>1367.64</v>
      </c>
      <c r="G10124" s="6" t="s">
        <v>2613</v>
      </c>
    </row>
    <row r="10125" customFormat="false" ht="15" hidden="false" customHeight="true" outlineLevel="0" collapsed="false">
      <c r="A10125" s="6" t="s">
        <v>12737</v>
      </c>
      <c r="B10125" s="6" t="s">
        <v>2069</v>
      </c>
      <c r="C10125" s="6" t="s">
        <v>124</v>
      </c>
      <c r="D10125" s="13" t="n">
        <v>46130</v>
      </c>
      <c r="E10125" s="14" t="n">
        <v>129.77</v>
      </c>
      <c r="F10125" s="14" t="n">
        <v>1497.41</v>
      </c>
      <c r="G10125" s="6" t="s">
        <v>2623</v>
      </c>
    </row>
    <row r="10126" customFormat="false" ht="15" hidden="false" customHeight="true" outlineLevel="0" collapsed="false">
      <c r="A10126" s="6" t="s">
        <v>12738</v>
      </c>
      <c r="B10126" s="6" t="s">
        <v>2069</v>
      </c>
      <c r="C10126" s="6" t="s">
        <v>124</v>
      </c>
      <c r="D10126" s="13" t="n">
        <v>46137</v>
      </c>
      <c r="E10126" s="14" t="n">
        <v>149.99</v>
      </c>
      <c r="F10126" s="14" t="n">
        <v>1647.4</v>
      </c>
      <c r="G10126" s="6" t="s">
        <v>2613</v>
      </c>
    </row>
    <row r="10127" customFormat="false" ht="15" hidden="false" customHeight="true" outlineLevel="0" collapsed="false">
      <c r="A10127" s="6" t="s">
        <v>12739</v>
      </c>
      <c r="B10127" s="6" t="s">
        <v>2069</v>
      </c>
      <c r="C10127" s="6" t="s">
        <v>124</v>
      </c>
      <c r="D10127" s="13" t="n">
        <v>46144</v>
      </c>
      <c r="E10127" s="14" t="n">
        <v>115.53</v>
      </c>
      <c r="F10127" s="14" t="n">
        <v>1762.93</v>
      </c>
      <c r="G10127" s="6" t="s">
        <v>2613</v>
      </c>
    </row>
    <row r="10128" customFormat="false" ht="15" hidden="false" customHeight="true" outlineLevel="0" collapsed="false">
      <c r="A10128" s="6" t="s">
        <v>12740</v>
      </c>
      <c r="B10128" s="6" t="s">
        <v>2069</v>
      </c>
      <c r="C10128" s="6" t="s">
        <v>124</v>
      </c>
      <c r="D10128" s="13" t="n">
        <v>46151</v>
      </c>
      <c r="E10128" s="14" t="n">
        <v>84.88</v>
      </c>
      <c r="F10128" s="14" t="n">
        <v>1847.81</v>
      </c>
      <c r="G10128" s="6" t="s">
        <v>2623</v>
      </c>
    </row>
    <row r="10129" customFormat="false" ht="15" hidden="false" customHeight="true" outlineLevel="0" collapsed="false">
      <c r="A10129" s="6" t="s">
        <v>12741</v>
      </c>
      <c r="B10129" s="6" t="s">
        <v>2069</v>
      </c>
      <c r="C10129" s="6" t="s">
        <v>124</v>
      </c>
      <c r="D10129" s="13" t="n">
        <v>46158</v>
      </c>
      <c r="E10129" s="14" t="n">
        <v>155.24</v>
      </c>
      <c r="F10129" s="14" t="n">
        <v>2003.05</v>
      </c>
      <c r="G10129" s="6" t="s">
        <v>2613</v>
      </c>
    </row>
    <row r="10130" customFormat="false" ht="15" hidden="false" customHeight="true" outlineLevel="0" collapsed="false">
      <c r="A10130" s="6" t="s">
        <v>12742</v>
      </c>
      <c r="B10130" s="6" t="s">
        <v>2069</v>
      </c>
      <c r="C10130" s="6" t="s">
        <v>124</v>
      </c>
      <c r="D10130" s="13" t="n">
        <v>46165</v>
      </c>
      <c r="E10130" s="14" t="n">
        <v>131</v>
      </c>
      <c r="F10130" s="14" t="n">
        <v>2134.05</v>
      </c>
      <c r="G10130" s="6" t="s">
        <v>2613</v>
      </c>
    </row>
    <row r="10131" customFormat="false" ht="15" hidden="false" customHeight="true" outlineLevel="0" collapsed="false">
      <c r="A10131" s="6" t="s">
        <v>12743</v>
      </c>
      <c r="B10131" s="6" t="s">
        <v>2069</v>
      </c>
      <c r="C10131" s="6" t="s">
        <v>124</v>
      </c>
      <c r="D10131" s="13" t="n">
        <v>46172</v>
      </c>
      <c r="E10131" s="14" t="n">
        <v>112.33</v>
      </c>
      <c r="F10131" s="14" t="n">
        <v>2246.38</v>
      </c>
      <c r="G10131" s="6" t="s">
        <v>2613</v>
      </c>
    </row>
    <row r="10132" customFormat="false" ht="15" hidden="false" customHeight="true" outlineLevel="0" collapsed="false">
      <c r="A10132" s="6" t="s">
        <v>12744</v>
      </c>
      <c r="B10132" s="6" t="s">
        <v>2069</v>
      </c>
      <c r="C10132" s="6" t="s">
        <v>124</v>
      </c>
      <c r="D10132" s="13" t="n">
        <v>46179</v>
      </c>
      <c r="E10132" s="14" t="n">
        <v>115.18</v>
      </c>
      <c r="F10132" s="14" t="n">
        <v>2361.56</v>
      </c>
      <c r="G10132" s="6" t="s">
        <v>2623</v>
      </c>
    </row>
    <row r="10133" customFormat="false" ht="15" hidden="false" customHeight="true" outlineLevel="0" collapsed="false">
      <c r="A10133" s="6" t="s">
        <v>12745</v>
      </c>
      <c r="B10133" s="6" t="s">
        <v>2069</v>
      </c>
      <c r="C10133" s="6" t="s">
        <v>124</v>
      </c>
      <c r="D10133" s="13" t="n">
        <v>46186</v>
      </c>
      <c r="E10133" s="14" t="n">
        <v>65.34</v>
      </c>
      <c r="F10133" s="14" t="n">
        <v>2426.9</v>
      </c>
      <c r="G10133" s="6" t="s">
        <v>2613</v>
      </c>
    </row>
    <row r="10134" customFormat="false" ht="15" hidden="false" customHeight="true" outlineLevel="0" collapsed="false">
      <c r="A10134" s="6" t="s">
        <v>12746</v>
      </c>
      <c r="B10134" s="6" t="s">
        <v>2071</v>
      </c>
      <c r="C10134" s="6" t="s">
        <v>128</v>
      </c>
      <c r="D10134" s="13" t="n">
        <v>45797</v>
      </c>
      <c r="E10134" s="14" t="n">
        <v>1563.74</v>
      </c>
      <c r="F10134" s="14" t="n">
        <v>1563.74</v>
      </c>
      <c r="G10134" s="6" t="s">
        <v>2613</v>
      </c>
    </row>
    <row r="10135" customFormat="false" ht="15" hidden="false" customHeight="true" outlineLevel="0" collapsed="false">
      <c r="A10135" s="6" t="s">
        <v>12747</v>
      </c>
      <c r="B10135" s="6" t="s">
        <v>2071</v>
      </c>
      <c r="C10135" s="6" t="s">
        <v>128</v>
      </c>
      <c r="D10135" s="13" t="n">
        <v>45804</v>
      </c>
      <c r="E10135" s="14" t="n">
        <v>1913.61</v>
      </c>
      <c r="F10135" s="14" t="n">
        <v>3477.35</v>
      </c>
      <c r="G10135" s="6" t="s">
        <v>2613</v>
      </c>
    </row>
    <row r="10136" customFormat="false" ht="15" hidden="false" customHeight="true" outlineLevel="0" collapsed="false">
      <c r="A10136" s="6" t="s">
        <v>12748</v>
      </c>
      <c r="B10136" s="6" t="s">
        <v>2071</v>
      </c>
      <c r="C10136" s="6" t="s">
        <v>128</v>
      </c>
      <c r="D10136" s="13" t="n">
        <v>45811</v>
      </c>
      <c r="E10136" s="14" t="n">
        <v>2702.03</v>
      </c>
      <c r="F10136" s="14" t="n">
        <v>6179.38</v>
      </c>
      <c r="G10136" s="6" t="s">
        <v>2613</v>
      </c>
    </row>
    <row r="10137" customFormat="false" ht="15" hidden="false" customHeight="true" outlineLevel="0" collapsed="false">
      <c r="A10137" s="6" t="s">
        <v>12749</v>
      </c>
      <c r="B10137" s="6" t="s">
        <v>2071</v>
      </c>
      <c r="C10137" s="6" t="s">
        <v>128</v>
      </c>
      <c r="D10137" s="13" t="n">
        <v>45818</v>
      </c>
      <c r="E10137" s="14" t="n">
        <v>3111.02</v>
      </c>
      <c r="F10137" s="14" t="n">
        <v>9290.4</v>
      </c>
      <c r="G10137" s="6" t="s">
        <v>2613</v>
      </c>
    </row>
    <row r="10138" customFormat="false" ht="15" hidden="false" customHeight="true" outlineLevel="0" collapsed="false">
      <c r="A10138" s="6" t="s">
        <v>12750</v>
      </c>
      <c r="B10138" s="6" t="s">
        <v>2071</v>
      </c>
      <c r="C10138" s="6" t="s">
        <v>128</v>
      </c>
      <c r="D10138" s="13" t="n">
        <v>45825</v>
      </c>
      <c r="E10138" s="14" t="n">
        <v>3497.52</v>
      </c>
      <c r="F10138" s="14" t="n">
        <v>12787.92</v>
      </c>
      <c r="G10138" s="6" t="s">
        <v>2613</v>
      </c>
    </row>
    <row r="10139" customFormat="false" ht="15" hidden="false" customHeight="true" outlineLevel="0" collapsed="false">
      <c r="A10139" s="6" t="s">
        <v>12751</v>
      </c>
      <c r="B10139" s="6" t="s">
        <v>2071</v>
      </c>
      <c r="C10139" s="6" t="s">
        <v>128</v>
      </c>
      <c r="D10139" s="13" t="n">
        <v>45832</v>
      </c>
      <c r="E10139" s="14" t="n">
        <v>1807.14</v>
      </c>
      <c r="F10139" s="14" t="n">
        <v>14595.06</v>
      </c>
      <c r="G10139" s="6" t="s">
        <v>2613</v>
      </c>
    </row>
    <row r="10140" customFormat="false" ht="15" hidden="false" customHeight="true" outlineLevel="0" collapsed="false">
      <c r="A10140" s="6" t="s">
        <v>12752</v>
      </c>
      <c r="B10140" s="6" t="s">
        <v>2071</v>
      </c>
      <c r="C10140" s="6" t="s">
        <v>128</v>
      </c>
      <c r="D10140" s="13" t="n">
        <v>45839</v>
      </c>
      <c r="E10140" s="14" t="n">
        <v>3146.79</v>
      </c>
      <c r="F10140" s="14" t="n">
        <v>17741.85</v>
      </c>
      <c r="G10140" s="6" t="s">
        <v>2613</v>
      </c>
    </row>
    <row r="10141" customFormat="false" ht="15" hidden="false" customHeight="true" outlineLevel="0" collapsed="false">
      <c r="A10141" s="6" t="s">
        <v>12753</v>
      </c>
      <c r="B10141" s="6" t="s">
        <v>2071</v>
      </c>
      <c r="C10141" s="6" t="s">
        <v>128</v>
      </c>
      <c r="D10141" s="13" t="n">
        <v>45846</v>
      </c>
      <c r="E10141" s="14" t="n">
        <v>2353.17</v>
      </c>
      <c r="F10141" s="14" t="n">
        <v>20095.02</v>
      </c>
      <c r="G10141" s="6" t="s">
        <v>2613</v>
      </c>
    </row>
    <row r="10142" customFormat="false" ht="15" hidden="false" customHeight="true" outlineLevel="0" collapsed="false">
      <c r="A10142" s="6" t="s">
        <v>12754</v>
      </c>
      <c r="B10142" s="6" t="s">
        <v>2073</v>
      </c>
      <c r="C10142" s="6" t="s">
        <v>120</v>
      </c>
      <c r="D10142" s="13" t="n">
        <v>45289</v>
      </c>
      <c r="E10142" s="14" t="n">
        <v>4019.48</v>
      </c>
      <c r="F10142" s="14" t="n">
        <v>4019.48</v>
      </c>
      <c r="G10142" s="6" t="s">
        <v>2613</v>
      </c>
    </row>
    <row r="10143" customFormat="false" ht="15" hidden="false" customHeight="true" outlineLevel="0" collapsed="false">
      <c r="A10143" s="6" t="s">
        <v>12755</v>
      </c>
      <c r="B10143" s="6" t="s">
        <v>2073</v>
      </c>
      <c r="C10143" s="6" t="s">
        <v>120</v>
      </c>
      <c r="D10143" s="13" t="n">
        <v>45296</v>
      </c>
      <c r="E10143" s="14" t="n">
        <v>4770.19</v>
      </c>
      <c r="F10143" s="14" t="n">
        <v>8789.67</v>
      </c>
      <c r="G10143" s="6" t="s">
        <v>2613</v>
      </c>
    </row>
    <row r="10144" customFormat="false" ht="15" hidden="false" customHeight="true" outlineLevel="0" collapsed="false">
      <c r="A10144" s="6" t="s">
        <v>12756</v>
      </c>
      <c r="B10144" s="6" t="s">
        <v>2073</v>
      </c>
      <c r="C10144" s="6" t="s">
        <v>120</v>
      </c>
      <c r="D10144" s="13" t="n">
        <v>45303</v>
      </c>
      <c r="E10144" s="14" t="n">
        <v>5987.8</v>
      </c>
      <c r="F10144" s="14" t="n">
        <v>14777.47</v>
      </c>
      <c r="G10144" s="6" t="s">
        <v>2613</v>
      </c>
    </row>
    <row r="10145" customFormat="false" ht="15" hidden="false" customHeight="true" outlineLevel="0" collapsed="false">
      <c r="A10145" s="6" t="s">
        <v>12757</v>
      </c>
      <c r="B10145" s="6" t="s">
        <v>2073</v>
      </c>
      <c r="C10145" s="6" t="s">
        <v>120</v>
      </c>
      <c r="D10145" s="13" t="n">
        <v>45310</v>
      </c>
      <c r="E10145" s="14" t="n">
        <v>4410.69</v>
      </c>
      <c r="F10145" s="14" t="n">
        <v>19188.16</v>
      </c>
      <c r="G10145" s="6" t="s">
        <v>2613</v>
      </c>
    </row>
    <row r="10146" customFormat="false" ht="15" hidden="false" customHeight="true" outlineLevel="0" collapsed="false">
      <c r="A10146" s="6" t="s">
        <v>12758</v>
      </c>
      <c r="B10146" s="6" t="s">
        <v>2073</v>
      </c>
      <c r="C10146" s="6" t="s">
        <v>120</v>
      </c>
      <c r="D10146" s="13" t="n">
        <v>45317</v>
      </c>
      <c r="E10146" s="14" t="n">
        <v>6110.17</v>
      </c>
      <c r="F10146" s="14" t="n">
        <v>25298.33</v>
      </c>
      <c r="G10146" s="6" t="s">
        <v>2613</v>
      </c>
    </row>
    <row r="10147" customFormat="false" ht="15" hidden="false" customHeight="true" outlineLevel="0" collapsed="false">
      <c r="A10147" s="6" t="s">
        <v>12759</v>
      </c>
      <c r="B10147" s="6" t="s">
        <v>2073</v>
      </c>
      <c r="C10147" s="6" t="s">
        <v>120</v>
      </c>
      <c r="D10147" s="13" t="n">
        <v>45324</v>
      </c>
      <c r="E10147" s="14" t="n">
        <v>5824</v>
      </c>
      <c r="F10147" s="14" t="n">
        <v>31122.33</v>
      </c>
      <c r="G10147" s="6" t="s">
        <v>2613</v>
      </c>
    </row>
    <row r="10148" customFormat="false" ht="15" hidden="false" customHeight="true" outlineLevel="0" collapsed="false">
      <c r="A10148" s="6" t="s">
        <v>12760</v>
      </c>
      <c r="B10148" s="6" t="s">
        <v>2073</v>
      </c>
      <c r="C10148" s="6" t="s">
        <v>120</v>
      </c>
      <c r="D10148" s="13" t="n">
        <v>45331</v>
      </c>
      <c r="E10148" s="14" t="n">
        <v>5915.72</v>
      </c>
      <c r="F10148" s="14" t="n">
        <v>37038.05</v>
      </c>
      <c r="G10148" s="6" t="s">
        <v>2613</v>
      </c>
    </row>
    <row r="10149" customFormat="false" ht="15" hidden="false" customHeight="true" outlineLevel="0" collapsed="false">
      <c r="A10149" s="6" t="s">
        <v>12761</v>
      </c>
      <c r="B10149" s="6" t="s">
        <v>2073</v>
      </c>
      <c r="C10149" s="6" t="s">
        <v>120</v>
      </c>
      <c r="D10149" s="13" t="n">
        <v>45338</v>
      </c>
      <c r="E10149" s="14" t="n">
        <v>4847.54</v>
      </c>
      <c r="F10149" s="14" t="n">
        <v>41885.59</v>
      </c>
      <c r="G10149" s="6" t="s">
        <v>2613</v>
      </c>
    </row>
    <row r="10150" customFormat="false" ht="15" hidden="false" customHeight="true" outlineLevel="0" collapsed="false">
      <c r="A10150" s="6" t="s">
        <v>12762</v>
      </c>
      <c r="B10150" s="6" t="s">
        <v>2073</v>
      </c>
      <c r="C10150" s="6" t="s">
        <v>120</v>
      </c>
      <c r="D10150" s="13" t="n">
        <v>45345</v>
      </c>
      <c r="E10150" s="14" t="n">
        <v>4643.74</v>
      </c>
      <c r="F10150" s="14" t="n">
        <v>46529.33</v>
      </c>
      <c r="G10150" s="6" t="s">
        <v>2613</v>
      </c>
    </row>
    <row r="10151" customFormat="false" ht="15" hidden="false" customHeight="true" outlineLevel="0" collapsed="false">
      <c r="A10151" s="6" t="s">
        <v>12763</v>
      </c>
      <c r="B10151" s="6" t="s">
        <v>2073</v>
      </c>
      <c r="C10151" s="6" t="s">
        <v>120</v>
      </c>
      <c r="D10151" s="13" t="n">
        <v>45352</v>
      </c>
      <c r="E10151" s="14" t="n">
        <v>6407.1</v>
      </c>
      <c r="F10151" s="14" t="n">
        <v>52936.43</v>
      </c>
      <c r="G10151" s="6" t="s">
        <v>2613</v>
      </c>
    </row>
    <row r="10152" customFormat="false" ht="15" hidden="false" customHeight="true" outlineLevel="0" collapsed="false">
      <c r="A10152" s="6" t="s">
        <v>12764</v>
      </c>
      <c r="B10152" s="6" t="s">
        <v>2073</v>
      </c>
      <c r="C10152" s="6" t="s">
        <v>120</v>
      </c>
      <c r="D10152" s="13" t="n">
        <v>45359</v>
      </c>
      <c r="E10152" s="14" t="n">
        <v>6707.09</v>
      </c>
      <c r="F10152" s="14" t="n">
        <v>59643.52</v>
      </c>
      <c r="G10152" s="6" t="s">
        <v>2613</v>
      </c>
    </row>
    <row r="10153" customFormat="false" ht="15" hidden="false" customHeight="true" outlineLevel="0" collapsed="false">
      <c r="A10153" s="6" t="s">
        <v>12765</v>
      </c>
      <c r="B10153" s="6" t="s">
        <v>2073</v>
      </c>
      <c r="C10153" s="6" t="s">
        <v>120</v>
      </c>
      <c r="D10153" s="13" t="n">
        <v>45366</v>
      </c>
      <c r="E10153" s="14" t="n">
        <v>6105.8</v>
      </c>
      <c r="F10153" s="14" t="n">
        <v>65749.32</v>
      </c>
      <c r="G10153" s="6" t="s">
        <v>2613</v>
      </c>
    </row>
    <row r="10154" customFormat="false" ht="15" hidden="false" customHeight="true" outlineLevel="0" collapsed="false">
      <c r="A10154" s="6" t="s">
        <v>12766</v>
      </c>
      <c r="B10154" s="6" t="s">
        <v>2073</v>
      </c>
      <c r="C10154" s="6" t="s">
        <v>120</v>
      </c>
      <c r="D10154" s="13" t="n">
        <v>45373</v>
      </c>
      <c r="E10154" s="14" t="n">
        <v>4627.01</v>
      </c>
      <c r="F10154" s="14" t="n">
        <v>70376.33</v>
      </c>
      <c r="G10154" s="6" t="s">
        <v>2613</v>
      </c>
    </row>
    <row r="10155" customFormat="false" ht="15" hidden="false" customHeight="true" outlineLevel="0" collapsed="false">
      <c r="A10155" s="6" t="s">
        <v>12767</v>
      </c>
      <c r="B10155" s="6" t="s">
        <v>2073</v>
      </c>
      <c r="C10155" s="6" t="s">
        <v>120</v>
      </c>
      <c r="D10155" s="13" t="n">
        <v>45380</v>
      </c>
      <c r="E10155" s="14" t="n">
        <v>6240.23</v>
      </c>
      <c r="F10155" s="14" t="n">
        <v>76616.56</v>
      </c>
      <c r="G10155" s="6" t="s">
        <v>2613</v>
      </c>
    </row>
    <row r="10156" customFormat="false" ht="15" hidden="false" customHeight="true" outlineLevel="0" collapsed="false">
      <c r="A10156" s="6" t="s">
        <v>12768</v>
      </c>
      <c r="B10156" s="6" t="s">
        <v>2073</v>
      </c>
      <c r="C10156" s="6" t="s">
        <v>120</v>
      </c>
      <c r="D10156" s="13" t="n">
        <v>45387</v>
      </c>
      <c r="E10156" s="14" t="n">
        <v>4105.69</v>
      </c>
      <c r="F10156" s="14" t="n">
        <v>80722.25</v>
      </c>
      <c r="G10156" s="6" t="s">
        <v>2613</v>
      </c>
    </row>
    <row r="10157" customFormat="false" ht="15" hidden="false" customHeight="true" outlineLevel="0" collapsed="false">
      <c r="A10157" s="6" t="s">
        <v>12769</v>
      </c>
      <c r="B10157" s="6" t="s">
        <v>2073</v>
      </c>
      <c r="C10157" s="6" t="s">
        <v>120</v>
      </c>
      <c r="D10157" s="13" t="n">
        <v>45394</v>
      </c>
      <c r="E10157" s="14" t="n">
        <v>13208.42</v>
      </c>
      <c r="F10157" s="14" t="n">
        <v>93930.67</v>
      </c>
      <c r="G10157" s="6" t="s">
        <v>2613</v>
      </c>
    </row>
    <row r="10158" customFormat="false" ht="15" hidden="false" customHeight="true" outlineLevel="0" collapsed="false">
      <c r="A10158" s="6" t="s">
        <v>12770</v>
      </c>
      <c r="B10158" s="6" t="s">
        <v>2075</v>
      </c>
      <c r="C10158" s="6" t="s">
        <v>112</v>
      </c>
      <c r="D10158" s="13" t="n">
        <v>45429</v>
      </c>
      <c r="E10158" s="14" t="n">
        <v>2750.82</v>
      </c>
      <c r="F10158" s="14" t="n">
        <v>2750.82</v>
      </c>
      <c r="G10158" s="6" t="s">
        <v>2613</v>
      </c>
    </row>
    <row r="10159" customFormat="false" ht="15" hidden="false" customHeight="true" outlineLevel="0" collapsed="false">
      <c r="A10159" s="6" t="s">
        <v>12771</v>
      </c>
      <c r="B10159" s="6" t="s">
        <v>2075</v>
      </c>
      <c r="C10159" s="6" t="s">
        <v>112</v>
      </c>
      <c r="D10159" s="13" t="n">
        <v>45436</v>
      </c>
      <c r="E10159" s="14" t="n">
        <v>2254.81</v>
      </c>
      <c r="F10159" s="14" t="n">
        <v>5005.63</v>
      </c>
      <c r="G10159" s="6" t="s">
        <v>2613</v>
      </c>
    </row>
    <row r="10160" customFormat="false" ht="15" hidden="false" customHeight="true" outlineLevel="0" collapsed="false">
      <c r="A10160" s="6" t="s">
        <v>12772</v>
      </c>
      <c r="B10160" s="6" t="s">
        <v>2075</v>
      </c>
      <c r="C10160" s="6" t="s">
        <v>112</v>
      </c>
      <c r="D10160" s="13" t="n">
        <v>45443</v>
      </c>
      <c r="E10160" s="14" t="n">
        <v>2849.58</v>
      </c>
      <c r="F10160" s="14" t="n">
        <v>7855.21</v>
      </c>
      <c r="G10160" s="6" t="s">
        <v>2613</v>
      </c>
    </row>
    <row r="10161" customFormat="false" ht="15" hidden="false" customHeight="true" outlineLevel="0" collapsed="false">
      <c r="A10161" s="6" t="s">
        <v>12773</v>
      </c>
      <c r="B10161" s="6" t="s">
        <v>2075</v>
      </c>
      <c r="C10161" s="6" t="s">
        <v>112</v>
      </c>
      <c r="D10161" s="13" t="n">
        <v>45450</v>
      </c>
      <c r="E10161" s="14" t="n">
        <v>3741.39</v>
      </c>
      <c r="F10161" s="14" t="n">
        <v>11596.6</v>
      </c>
      <c r="G10161" s="6" t="s">
        <v>2623</v>
      </c>
    </row>
    <row r="10162" customFormat="false" ht="15" hidden="false" customHeight="true" outlineLevel="0" collapsed="false">
      <c r="A10162" s="6" t="s">
        <v>12774</v>
      </c>
      <c r="B10162" s="6" t="s">
        <v>2075</v>
      </c>
      <c r="C10162" s="6" t="s">
        <v>112</v>
      </c>
      <c r="D10162" s="13" t="n">
        <v>45457</v>
      </c>
      <c r="E10162" s="14" t="n">
        <v>3983.55</v>
      </c>
      <c r="F10162" s="14" t="n">
        <v>15580.15</v>
      </c>
      <c r="G10162" s="6" t="s">
        <v>2613</v>
      </c>
    </row>
    <row r="10163" customFormat="false" ht="15" hidden="false" customHeight="true" outlineLevel="0" collapsed="false">
      <c r="A10163" s="6" t="s">
        <v>12775</v>
      </c>
      <c r="B10163" s="6" t="s">
        <v>2075</v>
      </c>
      <c r="C10163" s="6" t="s">
        <v>112</v>
      </c>
      <c r="D10163" s="13" t="n">
        <v>45464</v>
      </c>
      <c r="E10163" s="14" t="n">
        <v>3623.4</v>
      </c>
      <c r="F10163" s="14" t="n">
        <v>19203.55</v>
      </c>
      <c r="G10163" s="6" t="s">
        <v>2613</v>
      </c>
    </row>
    <row r="10164" customFormat="false" ht="15" hidden="false" customHeight="true" outlineLevel="0" collapsed="false">
      <c r="A10164" s="6" t="s">
        <v>12776</v>
      </c>
      <c r="B10164" s="6" t="s">
        <v>2075</v>
      </c>
      <c r="C10164" s="6" t="s">
        <v>112</v>
      </c>
      <c r="D10164" s="13" t="n">
        <v>45471</v>
      </c>
      <c r="E10164" s="14" t="n">
        <v>4388.76</v>
      </c>
      <c r="F10164" s="14" t="n">
        <v>23592.31</v>
      </c>
      <c r="G10164" s="6" t="s">
        <v>2613</v>
      </c>
    </row>
    <row r="10165" customFormat="false" ht="15" hidden="false" customHeight="true" outlineLevel="0" collapsed="false">
      <c r="A10165" s="6" t="s">
        <v>12777</v>
      </c>
      <c r="B10165" s="6" t="s">
        <v>2075</v>
      </c>
      <c r="C10165" s="6" t="s">
        <v>112</v>
      </c>
      <c r="D10165" s="13" t="n">
        <v>45478</v>
      </c>
      <c r="E10165" s="14" t="n">
        <v>2821.26</v>
      </c>
      <c r="F10165" s="14" t="n">
        <v>26413.57</v>
      </c>
      <c r="G10165" s="6" t="s">
        <v>2613</v>
      </c>
    </row>
    <row r="10166" customFormat="false" ht="15" hidden="false" customHeight="true" outlineLevel="0" collapsed="false">
      <c r="A10166" s="6" t="s">
        <v>12778</v>
      </c>
      <c r="B10166" s="6" t="s">
        <v>2075</v>
      </c>
      <c r="C10166" s="6" t="s">
        <v>112</v>
      </c>
      <c r="D10166" s="13" t="n">
        <v>45485</v>
      </c>
      <c r="E10166" s="14" t="n">
        <v>5795.1</v>
      </c>
      <c r="F10166" s="14" t="n">
        <v>32208.67</v>
      </c>
      <c r="G10166" s="6" t="s">
        <v>2613</v>
      </c>
    </row>
    <row r="10167" customFormat="false" ht="15" hidden="false" customHeight="true" outlineLevel="0" collapsed="false">
      <c r="A10167" s="6" t="s">
        <v>12779</v>
      </c>
      <c r="B10167" s="6" t="s">
        <v>2077</v>
      </c>
      <c r="C10167" s="6" t="s">
        <v>131</v>
      </c>
      <c r="D10167" s="13" t="n">
        <v>45394</v>
      </c>
      <c r="E10167" s="14" t="n">
        <v>980.91</v>
      </c>
      <c r="F10167" s="14" t="n">
        <v>980.91</v>
      </c>
      <c r="G10167" s="6" t="s">
        <v>2613</v>
      </c>
    </row>
    <row r="10168" customFormat="false" ht="15" hidden="false" customHeight="true" outlineLevel="0" collapsed="false">
      <c r="A10168" s="6" t="s">
        <v>12780</v>
      </c>
      <c r="B10168" s="6" t="s">
        <v>2077</v>
      </c>
      <c r="C10168" s="6" t="s">
        <v>131</v>
      </c>
      <c r="D10168" s="13" t="n">
        <v>45401</v>
      </c>
      <c r="E10168" s="14" t="n">
        <v>903.49</v>
      </c>
      <c r="F10168" s="14" t="n">
        <v>1884.4</v>
      </c>
      <c r="G10168" s="6" t="s">
        <v>2613</v>
      </c>
    </row>
    <row r="10169" customFormat="false" ht="15" hidden="false" customHeight="true" outlineLevel="0" collapsed="false">
      <c r="A10169" s="6" t="s">
        <v>12781</v>
      </c>
      <c r="B10169" s="6" t="s">
        <v>2077</v>
      </c>
      <c r="C10169" s="6" t="s">
        <v>131</v>
      </c>
      <c r="D10169" s="13" t="n">
        <v>45408</v>
      </c>
      <c r="E10169" s="14" t="n">
        <v>1785.34</v>
      </c>
      <c r="F10169" s="14" t="n">
        <v>3669.74</v>
      </c>
      <c r="G10169" s="6" t="s">
        <v>2613</v>
      </c>
    </row>
    <row r="10170" customFormat="false" ht="15" hidden="false" customHeight="true" outlineLevel="0" collapsed="false">
      <c r="A10170" s="6" t="s">
        <v>12782</v>
      </c>
      <c r="B10170" s="6" t="s">
        <v>2077</v>
      </c>
      <c r="C10170" s="6" t="s">
        <v>131</v>
      </c>
      <c r="D10170" s="13" t="n">
        <v>45415</v>
      </c>
      <c r="E10170" s="14" t="n">
        <v>919.26</v>
      </c>
      <c r="F10170" s="14" t="n">
        <v>4589</v>
      </c>
      <c r="G10170" s="6" t="s">
        <v>2613</v>
      </c>
    </row>
    <row r="10171" customFormat="false" ht="15" hidden="false" customHeight="true" outlineLevel="0" collapsed="false">
      <c r="A10171" s="6" t="s">
        <v>12783</v>
      </c>
      <c r="B10171" s="6" t="s">
        <v>2077</v>
      </c>
      <c r="C10171" s="6" t="s">
        <v>131</v>
      </c>
      <c r="D10171" s="13" t="n">
        <v>45422</v>
      </c>
      <c r="E10171" s="14" t="n">
        <v>1233.17</v>
      </c>
      <c r="F10171" s="14" t="n">
        <v>5822.17</v>
      </c>
      <c r="G10171" s="6" t="s">
        <v>2613</v>
      </c>
    </row>
    <row r="10172" customFormat="false" ht="15" hidden="false" customHeight="true" outlineLevel="0" collapsed="false">
      <c r="A10172" s="6" t="s">
        <v>12784</v>
      </c>
      <c r="B10172" s="6" t="s">
        <v>2077</v>
      </c>
      <c r="C10172" s="6" t="s">
        <v>131</v>
      </c>
      <c r="D10172" s="13" t="n">
        <v>45429</v>
      </c>
      <c r="E10172" s="14" t="n">
        <v>1946.69</v>
      </c>
      <c r="F10172" s="14" t="n">
        <v>7768.86</v>
      </c>
      <c r="G10172" s="6" t="s">
        <v>2613</v>
      </c>
    </row>
    <row r="10173" customFormat="false" ht="15" hidden="false" customHeight="true" outlineLevel="0" collapsed="false">
      <c r="A10173" s="6" t="s">
        <v>12785</v>
      </c>
      <c r="B10173" s="6" t="s">
        <v>2079</v>
      </c>
      <c r="C10173" s="6" t="s">
        <v>112</v>
      </c>
      <c r="D10173" s="13" t="n">
        <v>45556</v>
      </c>
      <c r="E10173" s="14" t="n">
        <v>4481.59</v>
      </c>
      <c r="F10173" s="14" t="n">
        <v>4481.59</v>
      </c>
      <c r="G10173" s="6" t="s">
        <v>2613</v>
      </c>
    </row>
    <row r="10174" customFormat="false" ht="15" hidden="false" customHeight="true" outlineLevel="0" collapsed="false">
      <c r="A10174" s="6" t="s">
        <v>12786</v>
      </c>
      <c r="B10174" s="6" t="s">
        <v>2079</v>
      </c>
      <c r="C10174" s="6" t="s">
        <v>112</v>
      </c>
      <c r="D10174" s="13" t="n">
        <v>45563</v>
      </c>
      <c r="E10174" s="14" t="n">
        <v>3013.91</v>
      </c>
      <c r="F10174" s="14" t="n">
        <v>7495.5</v>
      </c>
      <c r="G10174" s="6" t="s">
        <v>2613</v>
      </c>
    </row>
    <row r="10175" customFormat="false" ht="15" hidden="false" customHeight="true" outlineLevel="0" collapsed="false">
      <c r="A10175" s="6" t="s">
        <v>12787</v>
      </c>
      <c r="B10175" s="6" t="s">
        <v>2079</v>
      </c>
      <c r="C10175" s="6" t="s">
        <v>112</v>
      </c>
      <c r="D10175" s="13" t="n">
        <v>45570</v>
      </c>
      <c r="E10175" s="14" t="n">
        <v>2996.77</v>
      </c>
      <c r="F10175" s="14" t="n">
        <v>10492.27</v>
      </c>
      <c r="G10175" s="6" t="s">
        <v>2613</v>
      </c>
    </row>
    <row r="10176" customFormat="false" ht="15" hidden="false" customHeight="true" outlineLevel="0" collapsed="false">
      <c r="A10176" s="6" t="s">
        <v>12788</v>
      </c>
      <c r="B10176" s="6" t="s">
        <v>2079</v>
      </c>
      <c r="C10176" s="6" t="s">
        <v>112</v>
      </c>
      <c r="D10176" s="13" t="n">
        <v>45577</v>
      </c>
      <c r="E10176" s="14" t="n">
        <v>3822.55</v>
      </c>
      <c r="F10176" s="14" t="n">
        <v>14314.82</v>
      </c>
      <c r="G10176" s="6" t="s">
        <v>2613</v>
      </c>
    </row>
    <row r="10177" customFormat="false" ht="15" hidden="false" customHeight="true" outlineLevel="0" collapsed="false">
      <c r="A10177" s="6" t="s">
        <v>12789</v>
      </c>
      <c r="B10177" s="6" t="s">
        <v>2079</v>
      </c>
      <c r="C10177" s="6" t="s">
        <v>112</v>
      </c>
      <c r="D10177" s="13" t="n">
        <v>45584</v>
      </c>
      <c r="E10177" s="14" t="n">
        <v>3887.99</v>
      </c>
      <c r="F10177" s="14" t="n">
        <v>18202.81</v>
      </c>
      <c r="G10177" s="6" t="s">
        <v>2613</v>
      </c>
    </row>
    <row r="10178" customFormat="false" ht="15" hidden="false" customHeight="true" outlineLevel="0" collapsed="false">
      <c r="A10178" s="6" t="s">
        <v>12790</v>
      </c>
      <c r="B10178" s="6" t="s">
        <v>2079</v>
      </c>
      <c r="C10178" s="6" t="s">
        <v>112</v>
      </c>
      <c r="D10178" s="13" t="n">
        <v>45591</v>
      </c>
      <c r="E10178" s="14" t="n">
        <v>4555.73</v>
      </c>
      <c r="F10178" s="14" t="n">
        <v>22758.54</v>
      </c>
      <c r="G10178" s="6" t="s">
        <v>2613</v>
      </c>
    </row>
    <row r="10179" customFormat="false" ht="15" hidden="false" customHeight="true" outlineLevel="0" collapsed="false">
      <c r="A10179" s="6" t="s">
        <v>12791</v>
      </c>
      <c r="B10179" s="6" t="s">
        <v>2079</v>
      </c>
      <c r="C10179" s="6" t="s">
        <v>112</v>
      </c>
      <c r="D10179" s="13" t="n">
        <v>45598</v>
      </c>
      <c r="E10179" s="14" t="n">
        <v>2976.94</v>
      </c>
      <c r="F10179" s="14" t="n">
        <v>25735.48</v>
      </c>
      <c r="G10179" s="6" t="s">
        <v>2613</v>
      </c>
    </row>
    <row r="10180" customFormat="false" ht="15" hidden="false" customHeight="true" outlineLevel="0" collapsed="false">
      <c r="A10180" s="6" t="s">
        <v>12792</v>
      </c>
      <c r="B10180" s="6" t="s">
        <v>2079</v>
      </c>
      <c r="C10180" s="6" t="s">
        <v>112</v>
      </c>
      <c r="D10180" s="13" t="n">
        <v>45605</v>
      </c>
      <c r="E10180" s="14" t="n">
        <v>4005.99</v>
      </c>
      <c r="F10180" s="14" t="n">
        <v>29741.47</v>
      </c>
      <c r="G10180" s="6" t="s">
        <v>2613</v>
      </c>
    </row>
    <row r="10181" customFormat="false" ht="15" hidden="false" customHeight="true" outlineLevel="0" collapsed="false">
      <c r="A10181" s="6" t="s">
        <v>12793</v>
      </c>
      <c r="B10181" s="6" t="s">
        <v>2079</v>
      </c>
      <c r="C10181" s="6" t="s">
        <v>112</v>
      </c>
      <c r="D10181" s="13" t="n">
        <v>45612</v>
      </c>
      <c r="E10181" s="14" t="n">
        <v>3238.79</v>
      </c>
      <c r="F10181" s="14" t="n">
        <v>32980.26</v>
      </c>
      <c r="G10181" s="6" t="s">
        <v>2613</v>
      </c>
    </row>
    <row r="10182" customFormat="false" ht="15" hidden="false" customHeight="true" outlineLevel="0" collapsed="false">
      <c r="A10182" s="6" t="s">
        <v>12794</v>
      </c>
      <c r="B10182" s="6" t="s">
        <v>2079</v>
      </c>
      <c r="C10182" s="6" t="s">
        <v>112</v>
      </c>
      <c r="D10182" s="13" t="n">
        <v>45619</v>
      </c>
      <c r="E10182" s="14" t="n">
        <v>3301.32</v>
      </c>
      <c r="F10182" s="14" t="n">
        <v>36281.58</v>
      </c>
      <c r="G10182" s="6" t="s">
        <v>2613</v>
      </c>
    </row>
    <row r="10183" customFormat="false" ht="15" hidden="false" customHeight="true" outlineLevel="0" collapsed="false">
      <c r="A10183" s="6" t="s">
        <v>12795</v>
      </c>
      <c r="B10183" s="6" t="s">
        <v>2079</v>
      </c>
      <c r="C10183" s="6" t="s">
        <v>112</v>
      </c>
      <c r="D10183" s="13" t="n">
        <v>45626</v>
      </c>
      <c r="E10183" s="14" t="n">
        <v>13715.25</v>
      </c>
      <c r="F10183" s="14" t="n">
        <v>49996.83</v>
      </c>
      <c r="G10183" s="6" t="s">
        <v>2613</v>
      </c>
    </row>
    <row r="10184" customFormat="false" ht="15" hidden="false" customHeight="true" outlineLevel="0" collapsed="false">
      <c r="A10184" s="6" t="s">
        <v>12796</v>
      </c>
      <c r="B10184" s="6" t="s">
        <v>2081</v>
      </c>
      <c r="C10184" s="6" t="s">
        <v>131</v>
      </c>
      <c r="D10184" s="13" t="n">
        <v>45749</v>
      </c>
      <c r="E10184" s="14" t="n">
        <v>3224.89</v>
      </c>
      <c r="F10184" s="14" t="n">
        <v>3224.89</v>
      </c>
      <c r="G10184" s="6" t="s">
        <v>2613</v>
      </c>
    </row>
    <row r="10185" customFormat="false" ht="15" hidden="false" customHeight="true" outlineLevel="0" collapsed="false">
      <c r="A10185" s="6" t="s">
        <v>12797</v>
      </c>
      <c r="B10185" s="6" t="s">
        <v>2081</v>
      </c>
      <c r="C10185" s="6" t="s">
        <v>131</v>
      </c>
      <c r="D10185" s="13" t="n">
        <v>45756</v>
      </c>
      <c r="E10185" s="14" t="n">
        <v>3395.13</v>
      </c>
      <c r="F10185" s="14" t="n">
        <v>6620.02</v>
      </c>
      <c r="G10185" s="6" t="s">
        <v>2613</v>
      </c>
    </row>
    <row r="10186" customFormat="false" ht="15" hidden="false" customHeight="true" outlineLevel="0" collapsed="false">
      <c r="A10186" s="6" t="s">
        <v>12798</v>
      </c>
      <c r="B10186" s="6" t="s">
        <v>2081</v>
      </c>
      <c r="C10186" s="6" t="s">
        <v>131</v>
      </c>
      <c r="D10186" s="13" t="n">
        <v>45763</v>
      </c>
      <c r="E10186" s="14" t="n">
        <v>2531.1</v>
      </c>
      <c r="F10186" s="14" t="n">
        <v>9151.12</v>
      </c>
      <c r="G10186" s="6" t="s">
        <v>2613</v>
      </c>
    </row>
    <row r="10187" customFormat="false" ht="15" hidden="false" customHeight="true" outlineLevel="0" collapsed="false">
      <c r="A10187" s="6" t="s">
        <v>12799</v>
      </c>
      <c r="B10187" s="6" t="s">
        <v>2081</v>
      </c>
      <c r="C10187" s="6" t="s">
        <v>131</v>
      </c>
      <c r="D10187" s="13" t="n">
        <v>45770</v>
      </c>
      <c r="E10187" s="14" t="n">
        <v>2260.96</v>
      </c>
      <c r="F10187" s="14" t="n">
        <v>11412.08</v>
      </c>
      <c r="G10187" s="6" t="s">
        <v>2613</v>
      </c>
    </row>
    <row r="10188" customFormat="false" ht="15" hidden="false" customHeight="true" outlineLevel="0" collapsed="false">
      <c r="A10188" s="6" t="s">
        <v>12800</v>
      </c>
      <c r="B10188" s="6" t="s">
        <v>2081</v>
      </c>
      <c r="C10188" s="6" t="s">
        <v>131</v>
      </c>
      <c r="D10188" s="13" t="n">
        <v>45777</v>
      </c>
      <c r="E10188" s="14" t="n">
        <v>1922.9</v>
      </c>
      <c r="F10188" s="14" t="n">
        <v>13334.98</v>
      </c>
      <c r="G10188" s="6" t="s">
        <v>2613</v>
      </c>
    </row>
    <row r="10189" customFormat="false" ht="15" hidden="false" customHeight="true" outlineLevel="0" collapsed="false">
      <c r="A10189" s="6" t="s">
        <v>12801</v>
      </c>
      <c r="B10189" s="6" t="s">
        <v>2081</v>
      </c>
      <c r="C10189" s="6" t="s">
        <v>131</v>
      </c>
      <c r="D10189" s="13" t="n">
        <v>45784</v>
      </c>
      <c r="E10189" s="14" t="n">
        <v>2739.76</v>
      </c>
      <c r="F10189" s="14" t="n">
        <v>16074.74</v>
      </c>
      <c r="G10189" s="6" t="s">
        <v>2613</v>
      </c>
    </row>
    <row r="10190" customFormat="false" ht="15" hidden="false" customHeight="true" outlineLevel="0" collapsed="false">
      <c r="A10190" s="6" t="s">
        <v>12802</v>
      </c>
      <c r="B10190" s="6" t="s">
        <v>2081</v>
      </c>
      <c r="C10190" s="6" t="s">
        <v>131</v>
      </c>
      <c r="D10190" s="13" t="n">
        <v>45791</v>
      </c>
      <c r="E10190" s="14" t="n">
        <v>3051.75</v>
      </c>
      <c r="F10190" s="14" t="n">
        <v>19126.49</v>
      </c>
      <c r="G10190" s="6" t="s">
        <v>2623</v>
      </c>
    </row>
    <row r="10191" customFormat="false" ht="15" hidden="false" customHeight="true" outlineLevel="0" collapsed="false">
      <c r="A10191" s="6" t="s">
        <v>12803</v>
      </c>
      <c r="B10191" s="6" t="s">
        <v>2081</v>
      </c>
      <c r="C10191" s="6" t="s">
        <v>131</v>
      </c>
      <c r="D10191" s="13" t="n">
        <v>45798</v>
      </c>
      <c r="E10191" s="14" t="n">
        <v>2884.57</v>
      </c>
      <c r="F10191" s="14" t="n">
        <v>22011.06</v>
      </c>
      <c r="G10191" s="6" t="s">
        <v>2623</v>
      </c>
    </row>
    <row r="10192" customFormat="false" ht="15" hidden="false" customHeight="true" outlineLevel="0" collapsed="false">
      <c r="A10192" s="6" t="s">
        <v>12804</v>
      </c>
      <c r="B10192" s="6" t="s">
        <v>2081</v>
      </c>
      <c r="C10192" s="6" t="s">
        <v>131</v>
      </c>
      <c r="D10192" s="13" t="n">
        <v>45805</v>
      </c>
      <c r="E10192" s="14" t="n">
        <v>1761.8</v>
      </c>
      <c r="F10192" s="14" t="n">
        <v>23772.86</v>
      </c>
      <c r="G10192" s="6" t="s">
        <v>2613</v>
      </c>
    </row>
    <row r="10193" customFormat="false" ht="15" hidden="false" customHeight="true" outlineLevel="0" collapsed="false">
      <c r="A10193" s="6" t="s">
        <v>12805</v>
      </c>
      <c r="B10193" s="6" t="s">
        <v>2081</v>
      </c>
      <c r="C10193" s="6" t="s">
        <v>131</v>
      </c>
      <c r="D10193" s="13" t="n">
        <v>45812</v>
      </c>
      <c r="E10193" s="14" t="n">
        <v>2947.15</v>
      </c>
      <c r="F10193" s="14" t="n">
        <v>26720.01</v>
      </c>
      <c r="G10193" s="6" t="s">
        <v>2613</v>
      </c>
    </row>
    <row r="10194" customFormat="false" ht="15" hidden="false" customHeight="true" outlineLevel="0" collapsed="false">
      <c r="A10194" s="6" t="s">
        <v>12806</v>
      </c>
      <c r="B10194" s="6" t="s">
        <v>2081</v>
      </c>
      <c r="C10194" s="6" t="s">
        <v>131</v>
      </c>
      <c r="D10194" s="13" t="n">
        <v>45819</v>
      </c>
      <c r="E10194" s="14" t="n">
        <v>2698.5</v>
      </c>
      <c r="F10194" s="14" t="n">
        <v>29418.51</v>
      </c>
      <c r="G10194" s="6" t="s">
        <v>2613</v>
      </c>
    </row>
    <row r="10195" customFormat="false" ht="15" hidden="false" customHeight="true" outlineLevel="0" collapsed="false">
      <c r="A10195" s="6" t="s">
        <v>12807</v>
      </c>
      <c r="B10195" s="6" t="s">
        <v>2081</v>
      </c>
      <c r="C10195" s="6" t="s">
        <v>131</v>
      </c>
      <c r="D10195" s="13" t="n">
        <v>45826</v>
      </c>
      <c r="E10195" s="14" t="n">
        <v>3129.68</v>
      </c>
      <c r="F10195" s="14" t="n">
        <v>32548.19</v>
      </c>
      <c r="G10195" s="6" t="s">
        <v>2613</v>
      </c>
    </row>
    <row r="10196" customFormat="false" ht="15" hidden="false" customHeight="true" outlineLevel="0" collapsed="false">
      <c r="A10196" s="6" t="s">
        <v>12808</v>
      </c>
      <c r="B10196" s="6" t="s">
        <v>2081</v>
      </c>
      <c r="C10196" s="6" t="s">
        <v>131</v>
      </c>
      <c r="D10196" s="13" t="n">
        <v>45833</v>
      </c>
      <c r="E10196" s="14" t="n">
        <v>3285.68</v>
      </c>
      <c r="F10196" s="14" t="n">
        <v>35833.87</v>
      </c>
      <c r="G10196" s="6" t="s">
        <v>2623</v>
      </c>
    </row>
    <row r="10197" customFormat="false" ht="15" hidden="false" customHeight="true" outlineLevel="0" collapsed="false">
      <c r="A10197" s="6" t="s">
        <v>12809</v>
      </c>
      <c r="B10197" s="6" t="s">
        <v>2081</v>
      </c>
      <c r="C10197" s="6" t="s">
        <v>131</v>
      </c>
      <c r="D10197" s="13" t="n">
        <v>45840</v>
      </c>
      <c r="E10197" s="14" t="n">
        <v>3147.98</v>
      </c>
      <c r="F10197" s="14" t="n">
        <v>38981.85</v>
      </c>
      <c r="G10197" s="6" t="s">
        <v>2613</v>
      </c>
    </row>
    <row r="10198" customFormat="false" ht="15" hidden="false" customHeight="true" outlineLevel="0" collapsed="false">
      <c r="A10198" s="6" t="s">
        <v>12810</v>
      </c>
      <c r="B10198" s="6" t="s">
        <v>2081</v>
      </c>
      <c r="C10198" s="6" t="s">
        <v>131</v>
      </c>
      <c r="D10198" s="13" t="n">
        <v>45847</v>
      </c>
      <c r="E10198" s="14" t="n">
        <v>2467.82</v>
      </c>
      <c r="F10198" s="14" t="n">
        <v>41449.67</v>
      </c>
      <c r="G10198" s="6" t="s">
        <v>2613</v>
      </c>
    </row>
    <row r="10199" customFormat="false" ht="15" hidden="false" customHeight="true" outlineLevel="0" collapsed="false">
      <c r="A10199" s="6" t="s">
        <v>12811</v>
      </c>
      <c r="B10199" s="6" t="s">
        <v>2081</v>
      </c>
      <c r="C10199" s="6" t="s">
        <v>131</v>
      </c>
      <c r="D10199" s="13" t="n">
        <v>45854</v>
      </c>
      <c r="E10199" s="14" t="n">
        <v>2684.18</v>
      </c>
      <c r="F10199" s="14" t="n">
        <v>44133.85</v>
      </c>
      <c r="G10199" s="6" t="s">
        <v>2613</v>
      </c>
    </row>
    <row r="10200" customFormat="false" ht="15" hidden="false" customHeight="true" outlineLevel="0" collapsed="false">
      <c r="A10200" s="6" t="s">
        <v>12812</v>
      </c>
      <c r="B10200" s="6" t="s">
        <v>2081</v>
      </c>
      <c r="C10200" s="6" t="s">
        <v>131</v>
      </c>
      <c r="D10200" s="13" t="n">
        <v>45861</v>
      </c>
      <c r="E10200" s="14" t="n">
        <v>3319.59</v>
      </c>
      <c r="F10200" s="14" t="n">
        <v>47453.44</v>
      </c>
      <c r="G10200" s="6" t="s">
        <v>2613</v>
      </c>
    </row>
    <row r="10201" customFormat="false" ht="15" hidden="false" customHeight="true" outlineLevel="0" collapsed="false">
      <c r="A10201" s="6" t="s">
        <v>12813</v>
      </c>
      <c r="B10201" s="6" t="s">
        <v>2081</v>
      </c>
      <c r="C10201" s="6" t="s">
        <v>131</v>
      </c>
      <c r="D10201" s="13" t="n">
        <v>45868</v>
      </c>
      <c r="E10201" s="14" t="n">
        <v>1895.96</v>
      </c>
      <c r="F10201" s="14" t="n">
        <v>49349.4</v>
      </c>
      <c r="G10201" s="6" t="s">
        <v>2613</v>
      </c>
    </row>
    <row r="10202" customFormat="false" ht="15" hidden="false" customHeight="true" outlineLevel="0" collapsed="false">
      <c r="A10202" s="6" t="s">
        <v>12814</v>
      </c>
      <c r="B10202" s="6" t="s">
        <v>2081</v>
      </c>
      <c r="C10202" s="6" t="s">
        <v>131</v>
      </c>
      <c r="D10202" s="13" t="n">
        <v>45875</v>
      </c>
      <c r="E10202" s="14" t="n">
        <v>3141.53</v>
      </c>
      <c r="F10202" s="14" t="n">
        <v>52490.93</v>
      </c>
      <c r="G10202" s="6" t="s">
        <v>2613</v>
      </c>
    </row>
    <row r="10203" customFormat="false" ht="15" hidden="false" customHeight="true" outlineLevel="0" collapsed="false">
      <c r="A10203" s="6" t="s">
        <v>12815</v>
      </c>
      <c r="B10203" s="6" t="s">
        <v>2081</v>
      </c>
      <c r="C10203" s="6" t="s">
        <v>131</v>
      </c>
      <c r="D10203" s="13" t="n">
        <v>45882</v>
      </c>
      <c r="E10203" s="14" t="n">
        <v>1587.92</v>
      </c>
      <c r="F10203" s="14" t="n">
        <v>54078.85</v>
      </c>
      <c r="G10203" s="6" t="s">
        <v>2613</v>
      </c>
    </row>
    <row r="10204" customFormat="false" ht="15" hidden="false" customHeight="true" outlineLevel="0" collapsed="false">
      <c r="A10204" s="6" t="s">
        <v>12816</v>
      </c>
      <c r="B10204" s="6" t="s">
        <v>2083</v>
      </c>
      <c r="C10204" s="6" t="s">
        <v>116</v>
      </c>
      <c r="D10204" s="13" t="n">
        <v>45325</v>
      </c>
      <c r="E10204" s="14" t="n">
        <v>6580.71</v>
      </c>
      <c r="F10204" s="14" t="n">
        <v>6580.71</v>
      </c>
      <c r="G10204" s="6" t="s">
        <v>2613</v>
      </c>
    </row>
    <row r="10205" customFormat="false" ht="15" hidden="false" customHeight="true" outlineLevel="0" collapsed="false">
      <c r="A10205" s="6" t="s">
        <v>12817</v>
      </c>
      <c r="B10205" s="6" t="s">
        <v>2083</v>
      </c>
      <c r="C10205" s="6" t="s">
        <v>116</v>
      </c>
      <c r="D10205" s="13" t="n">
        <v>45332</v>
      </c>
      <c r="E10205" s="14" t="n">
        <v>4207.9</v>
      </c>
      <c r="F10205" s="14" t="n">
        <v>10788.61</v>
      </c>
      <c r="G10205" s="6" t="s">
        <v>2613</v>
      </c>
    </row>
    <row r="10206" customFormat="false" ht="15" hidden="false" customHeight="true" outlineLevel="0" collapsed="false">
      <c r="A10206" s="6" t="s">
        <v>12818</v>
      </c>
      <c r="B10206" s="6" t="s">
        <v>2083</v>
      </c>
      <c r="C10206" s="6" t="s">
        <v>116</v>
      </c>
      <c r="D10206" s="13" t="n">
        <v>45339</v>
      </c>
      <c r="E10206" s="14" t="n">
        <v>5835.46</v>
      </c>
      <c r="F10206" s="14" t="n">
        <v>16624.07</v>
      </c>
      <c r="G10206" s="6" t="s">
        <v>2613</v>
      </c>
    </row>
    <row r="10207" customFormat="false" ht="15" hidden="false" customHeight="true" outlineLevel="0" collapsed="false">
      <c r="A10207" s="6" t="s">
        <v>12819</v>
      </c>
      <c r="B10207" s="6" t="s">
        <v>2083</v>
      </c>
      <c r="C10207" s="6" t="s">
        <v>116</v>
      </c>
      <c r="D10207" s="13" t="n">
        <v>45346</v>
      </c>
      <c r="E10207" s="14" t="n">
        <v>4271.23</v>
      </c>
      <c r="F10207" s="14" t="n">
        <v>20895.3</v>
      </c>
      <c r="G10207" s="6" t="s">
        <v>2613</v>
      </c>
    </row>
    <row r="10208" customFormat="false" ht="15" hidden="false" customHeight="true" outlineLevel="0" collapsed="false">
      <c r="A10208" s="6" t="s">
        <v>12820</v>
      </c>
      <c r="B10208" s="6" t="s">
        <v>2083</v>
      </c>
      <c r="C10208" s="6" t="s">
        <v>116</v>
      </c>
      <c r="D10208" s="13" t="n">
        <v>45353</v>
      </c>
      <c r="E10208" s="14" t="n">
        <v>6734.77</v>
      </c>
      <c r="F10208" s="14" t="n">
        <v>27630.07</v>
      </c>
      <c r="G10208" s="6" t="s">
        <v>2613</v>
      </c>
    </row>
    <row r="10209" customFormat="false" ht="15" hidden="false" customHeight="true" outlineLevel="0" collapsed="false">
      <c r="A10209" s="6" t="s">
        <v>12821</v>
      </c>
      <c r="B10209" s="6" t="s">
        <v>2083</v>
      </c>
      <c r="C10209" s="6" t="s">
        <v>116</v>
      </c>
      <c r="D10209" s="13" t="n">
        <v>45360</v>
      </c>
      <c r="E10209" s="14" t="n">
        <v>7061.85</v>
      </c>
      <c r="F10209" s="14" t="n">
        <v>34691.92</v>
      </c>
      <c r="G10209" s="6" t="s">
        <v>2623</v>
      </c>
    </row>
    <row r="10210" customFormat="false" ht="15" hidden="false" customHeight="true" outlineLevel="0" collapsed="false">
      <c r="A10210" s="6" t="s">
        <v>12822</v>
      </c>
      <c r="B10210" s="6" t="s">
        <v>2083</v>
      </c>
      <c r="C10210" s="6" t="s">
        <v>116</v>
      </c>
      <c r="D10210" s="13" t="n">
        <v>45367</v>
      </c>
      <c r="E10210" s="14" t="n">
        <v>3767.64</v>
      </c>
      <c r="F10210" s="14" t="n">
        <v>38459.56</v>
      </c>
      <c r="G10210" s="6" t="s">
        <v>2613</v>
      </c>
    </row>
    <row r="10211" customFormat="false" ht="15" hidden="false" customHeight="true" outlineLevel="0" collapsed="false">
      <c r="A10211" s="6" t="s">
        <v>12823</v>
      </c>
      <c r="B10211" s="6" t="s">
        <v>2083</v>
      </c>
      <c r="C10211" s="6" t="s">
        <v>116</v>
      </c>
      <c r="D10211" s="13" t="n">
        <v>45374</v>
      </c>
      <c r="E10211" s="14" t="n">
        <v>3981.42</v>
      </c>
      <c r="F10211" s="14" t="n">
        <v>42440.98</v>
      </c>
      <c r="G10211" s="6" t="s">
        <v>2613</v>
      </c>
    </row>
    <row r="10212" customFormat="false" ht="15" hidden="false" customHeight="true" outlineLevel="0" collapsed="false">
      <c r="A10212" s="6" t="s">
        <v>12824</v>
      </c>
      <c r="B10212" s="6" t="s">
        <v>2083</v>
      </c>
      <c r="C10212" s="6" t="s">
        <v>116</v>
      </c>
      <c r="D10212" s="13" t="n">
        <v>45381</v>
      </c>
      <c r="E10212" s="14" t="n">
        <v>6265.6</v>
      </c>
      <c r="F10212" s="14" t="n">
        <v>48706.58</v>
      </c>
      <c r="G10212" s="6" t="s">
        <v>2613</v>
      </c>
    </row>
    <row r="10213" customFormat="false" ht="15" hidden="false" customHeight="true" outlineLevel="0" collapsed="false">
      <c r="A10213" s="6" t="s">
        <v>12825</v>
      </c>
      <c r="B10213" s="6" t="s">
        <v>2083</v>
      </c>
      <c r="C10213" s="6" t="s">
        <v>116</v>
      </c>
      <c r="D10213" s="13" t="n">
        <v>45388</v>
      </c>
      <c r="E10213" s="14" t="n">
        <v>2050.12</v>
      </c>
      <c r="F10213" s="14" t="n">
        <v>50756.7</v>
      </c>
      <c r="G10213" s="6" t="s">
        <v>2613</v>
      </c>
    </row>
    <row r="10214" customFormat="false" ht="15" hidden="false" customHeight="true" outlineLevel="0" collapsed="false">
      <c r="A10214" s="6" t="s">
        <v>12826</v>
      </c>
      <c r="B10214" s="6" t="s">
        <v>2085</v>
      </c>
      <c r="C10214" s="6" t="s">
        <v>116</v>
      </c>
      <c r="D10214" s="13" t="n">
        <v>45353</v>
      </c>
      <c r="E10214" s="14" t="n">
        <v>3770.83</v>
      </c>
      <c r="F10214" s="14" t="n">
        <v>3770.83</v>
      </c>
      <c r="G10214" s="6" t="s">
        <v>2613</v>
      </c>
    </row>
    <row r="10215" customFormat="false" ht="15" hidden="false" customHeight="true" outlineLevel="0" collapsed="false">
      <c r="A10215" s="6" t="s">
        <v>12827</v>
      </c>
      <c r="B10215" s="6" t="s">
        <v>2085</v>
      </c>
      <c r="C10215" s="6" t="s">
        <v>116</v>
      </c>
      <c r="D10215" s="13" t="n">
        <v>45360</v>
      </c>
      <c r="E10215" s="14" t="n">
        <v>3848.03</v>
      </c>
      <c r="F10215" s="14" t="n">
        <v>7618.86</v>
      </c>
      <c r="G10215" s="6" t="s">
        <v>2613</v>
      </c>
    </row>
    <row r="10216" customFormat="false" ht="15" hidden="false" customHeight="true" outlineLevel="0" collapsed="false">
      <c r="A10216" s="6" t="s">
        <v>12828</v>
      </c>
      <c r="B10216" s="6" t="s">
        <v>2085</v>
      </c>
      <c r="C10216" s="6" t="s">
        <v>116</v>
      </c>
      <c r="D10216" s="13" t="n">
        <v>45367</v>
      </c>
      <c r="E10216" s="14" t="n">
        <v>3488.26</v>
      </c>
      <c r="F10216" s="14" t="n">
        <v>11107.12</v>
      </c>
      <c r="G10216" s="6" t="s">
        <v>2613</v>
      </c>
    </row>
    <row r="10217" customFormat="false" ht="15" hidden="false" customHeight="true" outlineLevel="0" collapsed="false">
      <c r="A10217" s="6" t="s">
        <v>12829</v>
      </c>
      <c r="B10217" s="6" t="s">
        <v>2085</v>
      </c>
      <c r="C10217" s="6" t="s">
        <v>116</v>
      </c>
      <c r="D10217" s="13" t="n">
        <v>45374</v>
      </c>
      <c r="E10217" s="14" t="n">
        <v>1945.98</v>
      </c>
      <c r="F10217" s="14" t="n">
        <v>13053.1</v>
      </c>
      <c r="G10217" s="6" t="s">
        <v>2623</v>
      </c>
    </row>
    <row r="10218" customFormat="false" ht="15" hidden="false" customHeight="true" outlineLevel="0" collapsed="false">
      <c r="A10218" s="6" t="s">
        <v>12830</v>
      </c>
      <c r="B10218" s="6" t="s">
        <v>2085</v>
      </c>
      <c r="C10218" s="6" t="s">
        <v>116</v>
      </c>
      <c r="D10218" s="13" t="n">
        <v>45381</v>
      </c>
      <c r="E10218" s="14" t="n">
        <v>3746.46</v>
      </c>
      <c r="F10218" s="14" t="n">
        <v>16799.56</v>
      </c>
      <c r="G10218" s="6" t="s">
        <v>2613</v>
      </c>
    </row>
    <row r="10219" customFormat="false" ht="15" hidden="false" customHeight="true" outlineLevel="0" collapsed="false">
      <c r="A10219" s="6" t="s">
        <v>12831</v>
      </c>
      <c r="B10219" s="6" t="s">
        <v>2085</v>
      </c>
      <c r="C10219" s="6" t="s">
        <v>116</v>
      </c>
      <c r="D10219" s="13" t="n">
        <v>45388</v>
      </c>
      <c r="E10219" s="14" t="n">
        <v>3100.13</v>
      </c>
      <c r="F10219" s="14" t="n">
        <v>19899.69</v>
      </c>
      <c r="G10219" s="6" t="s">
        <v>2613</v>
      </c>
    </row>
    <row r="10220" customFormat="false" ht="15" hidden="false" customHeight="true" outlineLevel="0" collapsed="false">
      <c r="A10220" s="6" t="s">
        <v>12832</v>
      </c>
      <c r="B10220" s="6" t="s">
        <v>2085</v>
      </c>
      <c r="C10220" s="6" t="s">
        <v>116</v>
      </c>
      <c r="D10220" s="13" t="n">
        <v>45395</v>
      </c>
      <c r="E10220" s="14" t="n">
        <v>1948.01</v>
      </c>
      <c r="F10220" s="14" t="n">
        <v>21847.7</v>
      </c>
      <c r="G10220" s="6" t="s">
        <v>2613</v>
      </c>
    </row>
    <row r="10221" customFormat="false" ht="15" hidden="false" customHeight="true" outlineLevel="0" collapsed="false">
      <c r="A10221" s="6" t="s">
        <v>12833</v>
      </c>
      <c r="B10221" s="6" t="s">
        <v>2085</v>
      </c>
      <c r="C10221" s="6" t="s">
        <v>116</v>
      </c>
      <c r="D10221" s="13" t="n">
        <v>45402</v>
      </c>
      <c r="E10221" s="14" t="n">
        <v>3703.64</v>
      </c>
      <c r="F10221" s="14" t="n">
        <v>25551.34</v>
      </c>
      <c r="G10221" s="6" t="s">
        <v>2613</v>
      </c>
    </row>
    <row r="10222" customFormat="false" ht="15" hidden="false" customHeight="true" outlineLevel="0" collapsed="false">
      <c r="A10222" s="6" t="s">
        <v>12834</v>
      </c>
      <c r="B10222" s="6" t="s">
        <v>2085</v>
      </c>
      <c r="C10222" s="6" t="s">
        <v>116</v>
      </c>
      <c r="D10222" s="13" t="n">
        <v>45409</v>
      </c>
      <c r="E10222" s="14" t="n">
        <v>2284.43</v>
      </c>
      <c r="F10222" s="14" t="n">
        <v>27835.77</v>
      </c>
      <c r="G10222" s="6" t="s">
        <v>2613</v>
      </c>
    </row>
    <row r="10223" customFormat="false" ht="15" hidden="false" customHeight="true" outlineLevel="0" collapsed="false">
      <c r="A10223" s="6" t="s">
        <v>12835</v>
      </c>
      <c r="B10223" s="6" t="s">
        <v>2085</v>
      </c>
      <c r="C10223" s="6" t="s">
        <v>116</v>
      </c>
      <c r="D10223" s="13" t="n">
        <v>45416</v>
      </c>
      <c r="E10223" s="14" t="n">
        <v>2454.26</v>
      </c>
      <c r="F10223" s="14" t="n">
        <v>30290.03</v>
      </c>
      <c r="G10223" s="6" t="s">
        <v>2613</v>
      </c>
    </row>
    <row r="10224" customFormat="false" ht="15" hidden="false" customHeight="true" outlineLevel="0" collapsed="false">
      <c r="A10224" s="6" t="s">
        <v>12836</v>
      </c>
      <c r="B10224" s="6" t="s">
        <v>2085</v>
      </c>
      <c r="C10224" s="6" t="s">
        <v>116</v>
      </c>
      <c r="D10224" s="13" t="n">
        <v>45423</v>
      </c>
      <c r="E10224" s="14" t="n">
        <v>2030.49</v>
      </c>
      <c r="F10224" s="14" t="n">
        <v>32320.52</v>
      </c>
      <c r="G10224" s="6" t="s">
        <v>2613</v>
      </c>
    </row>
    <row r="10225" customFormat="false" ht="15" hidden="false" customHeight="true" outlineLevel="0" collapsed="false">
      <c r="A10225" s="6" t="s">
        <v>12837</v>
      </c>
      <c r="B10225" s="6" t="s">
        <v>2085</v>
      </c>
      <c r="C10225" s="6" t="s">
        <v>116</v>
      </c>
      <c r="D10225" s="13" t="n">
        <v>45430</v>
      </c>
      <c r="E10225" s="14" t="n">
        <v>4041.09</v>
      </c>
      <c r="F10225" s="14" t="n">
        <v>36361.61</v>
      </c>
      <c r="G10225" s="6" t="s">
        <v>2613</v>
      </c>
    </row>
    <row r="10226" customFormat="false" ht="15" hidden="false" customHeight="true" outlineLevel="0" collapsed="false">
      <c r="A10226" s="6" t="s">
        <v>12838</v>
      </c>
      <c r="B10226" s="6" t="s">
        <v>2085</v>
      </c>
      <c r="C10226" s="6" t="s">
        <v>116</v>
      </c>
      <c r="D10226" s="13" t="n">
        <v>45437</v>
      </c>
      <c r="E10226" s="14" t="n">
        <v>3361.7</v>
      </c>
      <c r="F10226" s="14" t="n">
        <v>39723.31</v>
      </c>
      <c r="G10226" s="6" t="s">
        <v>2613</v>
      </c>
    </row>
    <row r="10227" customFormat="false" ht="15" hidden="false" customHeight="true" outlineLevel="0" collapsed="false">
      <c r="A10227" s="6" t="s">
        <v>12839</v>
      </c>
      <c r="B10227" s="6" t="s">
        <v>2085</v>
      </c>
      <c r="C10227" s="6" t="s">
        <v>116</v>
      </c>
      <c r="D10227" s="13" t="n">
        <v>45444</v>
      </c>
      <c r="E10227" s="14" t="n">
        <v>2793.57</v>
      </c>
      <c r="F10227" s="14" t="n">
        <v>42516.88</v>
      </c>
      <c r="G10227" s="6" t="s">
        <v>2613</v>
      </c>
    </row>
    <row r="10228" customFormat="false" ht="15" hidden="false" customHeight="true" outlineLevel="0" collapsed="false">
      <c r="A10228" s="6" t="s">
        <v>12840</v>
      </c>
      <c r="B10228" s="6" t="s">
        <v>2085</v>
      </c>
      <c r="C10228" s="6" t="s">
        <v>116</v>
      </c>
      <c r="D10228" s="13" t="n">
        <v>45451</v>
      </c>
      <c r="E10228" s="14" t="n">
        <v>3055.76</v>
      </c>
      <c r="F10228" s="14" t="n">
        <v>45572.64</v>
      </c>
      <c r="G10228" s="6" t="s">
        <v>2623</v>
      </c>
    </row>
    <row r="10229" customFormat="false" ht="15" hidden="false" customHeight="true" outlineLevel="0" collapsed="false">
      <c r="A10229" s="6" t="s">
        <v>12841</v>
      </c>
      <c r="B10229" s="6" t="s">
        <v>2087</v>
      </c>
      <c r="C10229" s="6" t="s">
        <v>128</v>
      </c>
      <c r="D10229" s="13" t="n">
        <v>45305</v>
      </c>
      <c r="E10229" s="14" t="n">
        <v>711.31</v>
      </c>
      <c r="F10229" s="14" t="n">
        <v>711.31</v>
      </c>
      <c r="G10229" s="6" t="s">
        <v>2613</v>
      </c>
    </row>
    <row r="10230" customFormat="false" ht="15" hidden="false" customHeight="true" outlineLevel="0" collapsed="false">
      <c r="A10230" s="6" t="s">
        <v>12842</v>
      </c>
      <c r="B10230" s="6" t="s">
        <v>2089</v>
      </c>
      <c r="C10230" s="6" t="s">
        <v>128</v>
      </c>
      <c r="D10230" s="13" t="n">
        <v>45692</v>
      </c>
      <c r="E10230" s="14" t="n">
        <v>4826.87</v>
      </c>
      <c r="F10230" s="14" t="n">
        <v>4826.87</v>
      </c>
      <c r="G10230" s="6" t="s">
        <v>2613</v>
      </c>
    </row>
    <row r="10231" customFormat="false" ht="15" hidden="false" customHeight="true" outlineLevel="0" collapsed="false">
      <c r="A10231" s="6" t="s">
        <v>12843</v>
      </c>
      <c r="B10231" s="6" t="s">
        <v>2089</v>
      </c>
      <c r="C10231" s="6" t="s">
        <v>128</v>
      </c>
      <c r="D10231" s="13" t="n">
        <v>45699</v>
      </c>
      <c r="E10231" s="14" t="n">
        <v>4714.27</v>
      </c>
      <c r="F10231" s="14" t="n">
        <v>9541.14</v>
      </c>
      <c r="G10231" s="6" t="s">
        <v>2613</v>
      </c>
    </row>
    <row r="10232" customFormat="false" ht="15" hidden="false" customHeight="true" outlineLevel="0" collapsed="false">
      <c r="A10232" s="6" t="s">
        <v>12844</v>
      </c>
      <c r="B10232" s="6" t="s">
        <v>2089</v>
      </c>
      <c r="C10232" s="6" t="s">
        <v>128</v>
      </c>
      <c r="D10232" s="13" t="n">
        <v>45706</v>
      </c>
      <c r="E10232" s="14" t="n">
        <v>3737.56</v>
      </c>
      <c r="F10232" s="14" t="n">
        <v>13278.7</v>
      </c>
      <c r="G10232" s="6" t="s">
        <v>2613</v>
      </c>
    </row>
    <row r="10233" customFormat="false" ht="15" hidden="false" customHeight="true" outlineLevel="0" collapsed="false">
      <c r="A10233" s="6" t="s">
        <v>12845</v>
      </c>
      <c r="B10233" s="6" t="s">
        <v>2089</v>
      </c>
      <c r="C10233" s="6" t="s">
        <v>128</v>
      </c>
      <c r="D10233" s="13" t="n">
        <v>45713</v>
      </c>
      <c r="E10233" s="14" t="n">
        <v>3873.97</v>
      </c>
      <c r="F10233" s="14" t="n">
        <v>17152.67</v>
      </c>
      <c r="G10233" s="6" t="s">
        <v>2613</v>
      </c>
    </row>
    <row r="10234" customFormat="false" ht="15" hidden="false" customHeight="true" outlineLevel="0" collapsed="false">
      <c r="A10234" s="6" t="s">
        <v>12846</v>
      </c>
      <c r="B10234" s="6" t="s">
        <v>2089</v>
      </c>
      <c r="C10234" s="6" t="s">
        <v>128</v>
      </c>
      <c r="D10234" s="13" t="n">
        <v>45720</v>
      </c>
      <c r="E10234" s="14" t="n">
        <v>6263.56</v>
      </c>
      <c r="F10234" s="14" t="n">
        <v>23416.23</v>
      </c>
      <c r="G10234" s="6" t="s">
        <v>2613</v>
      </c>
    </row>
    <row r="10235" customFormat="false" ht="15" hidden="false" customHeight="true" outlineLevel="0" collapsed="false">
      <c r="A10235" s="6" t="s">
        <v>12847</v>
      </c>
      <c r="B10235" s="6" t="s">
        <v>2089</v>
      </c>
      <c r="C10235" s="6" t="s">
        <v>128</v>
      </c>
      <c r="D10235" s="13" t="n">
        <v>45727</v>
      </c>
      <c r="E10235" s="14" t="n">
        <v>5961.6</v>
      </c>
      <c r="F10235" s="14" t="n">
        <v>29377.83</v>
      </c>
      <c r="G10235" s="6" t="s">
        <v>2613</v>
      </c>
    </row>
    <row r="10236" customFormat="false" ht="15" hidden="false" customHeight="true" outlineLevel="0" collapsed="false">
      <c r="A10236" s="6" t="s">
        <v>12848</v>
      </c>
      <c r="B10236" s="6" t="s">
        <v>2089</v>
      </c>
      <c r="C10236" s="6" t="s">
        <v>128</v>
      </c>
      <c r="D10236" s="13" t="n">
        <v>45734</v>
      </c>
      <c r="E10236" s="14" t="n">
        <v>5607.73</v>
      </c>
      <c r="F10236" s="14" t="n">
        <v>34985.56</v>
      </c>
      <c r="G10236" s="6" t="s">
        <v>2613</v>
      </c>
    </row>
    <row r="10237" customFormat="false" ht="15" hidden="false" customHeight="true" outlineLevel="0" collapsed="false">
      <c r="A10237" s="6" t="s">
        <v>12849</v>
      </c>
      <c r="B10237" s="6" t="s">
        <v>2089</v>
      </c>
      <c r="C10237" s="6" t="s">
        <v>128</v>
      </c>
      <c r="D10237" s="13" t="n">
        <v>45741</v>
      </c>
      <c r="E10237" s="14" t="n">
        <v>4625.83</v>
      </c>
      <c r="F10237" s="14" t="n">
        <v>39611.39</v>
      </c>
      <c r="G10237" s="6" t="s">
        <v>2613</v>
      </c>
    </row>
    <row r="10238" customFormat="false" ht="15" hidden="false" customHeight="true" outlineLevel="0" collapsed="false">
      <c r="A10238" s="6" t="s">
        <v>12850</v>
      </c>
      <c r="B10238" s="6" t="s">
        <v>2089</v>
      </c>
      <c r="C10238" s="6" t="s">
        <v>128</v>
      </c>
      <c r="D10238" s="13" t="n">
        <v>45748</v>
      </c>
      <c r="E10238" s="14" t="n">
        <v>10706.09</v>
      </c>
      <c r="F10238" s="14" t="n">
        <v>50317.48</v>
      </c>
      <c r="G10238" s="6" t="s">
        <v>2613</v>
      </c>
    </row>
    <row r="10239" customFormat="false" ht="15" hidden="false" customHeight="true" outlineLevel="0" collapsed="false">
      <c r="A10239" s="6" t="s">
        <v>12851</v>
      </c>
      <c r="B10239" s="6" t="s">
        <v>2091</v>
      </c>
      <c r="C10239" s="6" t="s">
        <v>128</v>
      </c>
      <c r="D10239" s="13" t="n">
        <v>44901</v>
      </c>
      <c r="E10239" s="14" t="n">
        <v>6509.96</v>
      </c>
      <c r="F10239" s="14" t="n">
        <v>6509.96</v>
      </c>
      <c r="G10239" s="6" t="s">
        <v>2613</v>
      </c>
    </row>
    <row r="10240" customFormat="false" ht="15" hidden="false" customHeight="true" outlineLevel="0" collapsed="false">
      <c r="A10240" s="6" t="s">
        <v>12852</v>
      </c>
      <c r="B10240" s="6" t="s">
        <v>2091</v>
      </c>
      <c r="C10240" s="6" t="s">
        <v>128</v>
      </c>
      <c r="D10240" s="13" t="n">
        <v>44908</v>
      </c>
      <c r="E10240" s="14" t="n">
        <v>4893.2</v>
      </c>
      <c r="F10240" s="14" t="n">
        <v>11403.16</v>
      </c>
      <c r="G10240" s="6" t="s">
        <v>2613</v>
      </c>
    </row>
    <row r="10241" customFormat="false" ht="15" hidden="false" customHeight="true" outlineLevel="0" collapsed="false">
      <c r="A10241" s="6" t="s">
        <v>12853</v>
      </c>
      <c r="B10241" s="6" t="s">
        <v>2091</v>
      </c>
      <c r="C10241" s="6" t="s">
        <v>128</v>
      </c>
      <c r="D10241" s="13" t="n">
        <v>44915</v>
      </c>
      <c r="E10241" s="14" t="n">
        <v>6812.97</v>
      </c>
      <c r="F10241" s="14" t="n">
        <v>18216.13</v>
      </c>
      <c r="G10241" s="6" t="s">
        <v>2613</v>
      </c>
    </row>
    <row r="10242" customFormat="false" ht="15" hidden="false" customHeight="true" outlineLevel="0" collapsed="false">
      <c r="A10242" s="6" t="s">
        <v>12854</v>
      </c>
      <c r="B10242" s="6" t="s">
        <v>2091</v>
      </c>
      <c r="C10242" s="6" t="s">
        <v>128</v>
      </c>
      <c r="D10242" s="13" t="n">
        <v>44922</v>
      </c>
      <c r="E10242" s="14" t="n">
        <v>5734.33</v>
      </c>
      <c r="F10242" s="14" t="n">
        <v>23950.46</v>
      </c>
      <c r="G10242" s="6" t="s">
        <v>2613</v>
      </c>
    </row>
    <row r="10243" customFormat="false" ht="15" hidden="false" customHeight="true" outlineLevel="0" collapsed="false">
      <c r="A10243" s="6" t="s">
        <v>12855</v>
      </c>
      <c r="B10243" s="6" t="s">
        <v>2091</v>
      </c>
      <c r="C10243" s="6" t="s">
        <v>128</v>
      </c>
      <c r="D10243" s="13" t="n">
        <v>44929</v>
      </c>
      <c r="E10243" s="14" t="n">
        <v>6797.28</v>
      </c>
      <c r="F10243" s="14" t="n">
        <v>30747.74</v>
      </c>
      <c r="G10243" s="6" t="s">
        <v>2613</v>
      </c>
    </row>
    <row r="10244" customFormat="false" ht="15" hidden="false" customHeight="true" outlineLevel="0" collapsed="false">
      <c r="A10244" s="6" t="s">
        <v>12856</v>
      </c>
      <c r="B10244" s="6" t="s">
        <v>2091</v>
      </c>
      <c r="C10244" s="6" t="s">
        <v>128</v>
      </c>
      <c r="D10244" s="13" t="n">
        <v>44936</v>
      </c>
      <c r="E10244" s="14" t="n">
        <v>6188.75</v>
      </c>
      <c r="F10244" s="14" t="n">
        <v>36936.49</v>
      </c>
      <c r="G10244" s="6" t="s">
        <v>2613</v>
      </c>
    </row>
    <row r="10245" customFormat="false" ht="15" hidden="false" customHeight="true" outlineLevel="0" collapsed="false">
      <c r="A10245" s="6" t="s">
        <v>12857</v>
      </c>
      <c r="B10245" s="6" t="s">
        <v>2091</v>
      </c>
      <c r="C10245" s="6" t="s">
        <v>128</v>
      </c>
      <c r="D10245" s="13" t="n">
        <v>44943</v>
      </c>
      <c r="E10245" s="14" t="n">
        <v>5680.48</v>
      </c>
      <c r="F10245" s="14" t="n">
        <v>42616.97</v>
      </c>
      <c r="G10245" s="6" t="s">
        <v>2623</v>
      </c>
    </row>
    <row r="10246" customFormat="false" ht="15" hidden="false" customHeight="true" outlineLevel="0" collapsed="false">
      <c r="A10246" s="6" t="s">
        <v>12858</v>
      </c>
      <c r="B10246" s="6" t="s">
        <v>2091</v>
      </c>
      <c r="C10246" s="6" t="s">
        <v>128</v>
      </c>
      <c r="D10246" s="13" t="n">
        <v>44950</v>
      </c>
      <c r="E10246" s="14" t="n">
        <v>7010.26</v>
      </c>
      <c r="F10246" s="14" t="n">
        <v>49627.23</v>
      </c>
      <c r="G10246" s="6" t="s">
        <v>2613</v>
      </c>
    </row>
    <row r="10247" customFormat="false" ht="15" hidden="false" customHeight="true" outlineLevel="0" collapsed="false">
      <c r="A10247" s="6" t="s">
        <v>12859</v>
      </c>
      <c r="B10247" s="6" t="s">
        <v>2091</v>
      </c>
      <c r="C10247" s="6" t="s">
        <v>128</v>
      </c>
      <c r="D10247" s="13" t="n">
        <v>44957</v>
      </c>
      <c r="E10247" s="14" t="n">
        <v>11392.25</v>
      </c>
      <c r="F10247" s="14" t="n">
        <v>61019.48</v>
      </c>
      <c r="G10247" s="6" t="s">
        <v>2613</v>
      </c>
    </row>
    <row r="10248" customFormat="false" ht="15" hidden="false" customHeight="true" outlineLevel="0" collapsed="false">
      <c r="A10248" s="6" t="s">
        <v>12860</v>
      </c>
      <c r="B10248" s="6" t="s">
        <v>2093</v>
      </c>
      <c r="C10248" s="6" t="s">
        <v>128</v>
      </c>
      <c r="D10248" s="13" t="n">
        <v>44822</v>
      </c>
      <c r="E10248" s="14" t="n">
        <v>2966.16</v>
      </c>
      <c r="F10248" s="14" t="n">
        <v>2966.16</v>
      </c>
      <c r="G10248" s="6" t="s">
        <v>2613</v>
      </c>
    </row>
    <row r="10249" customFormat="false" ht="15" hidden="false" customHeight="true" outlineLevel="0" collapsed="false">
      <c r="A10249" s="6" t="s">
        <v>12861</v>
      </c>
      <c r="B10249" s="6" t="s">
        <v>2093</v>
      </c>
      <c r="C10249" s="6" t="s">
        <v>128</v>
      </c>
      <c r="D10249" s="13" t="n">
        <v>44829</v>
      </c>
      <c r="E10249" s="14" t="n">
        <v>2721.31</v>
      </c>
      <c r="F10249" s="14" t="n">
        <v>5687.47</v>
      </c>
      <c r="G10249" s="6" t="s">
        <v>2613</v>
      </c>
    </row>
    <row r="10250" customFormat="false" ht="15" hidden="false" customHeight="true" outlineLevel="0" collapsed="false">
      <c r="A10250" s="6" t="s">
        <v>12862</v>
      </c>
      <c r="B10250" s="6" t="s">
        <v>2093</v>
      </c>
      <c r="C10250" s="6" t="s">
        <v>128</v>
      </c>
      <c r="D10250" s="13" t="n">
        <v>44836</v>
      </c>
      <c r="E10250" s="14" t="n">
        <v>5175.02</v>
      </c>
      <c r="F10250" s="14" t="n">
        <v>10862.49</v>
      </c>
      <c r="G10250" s="6" t="s">
        <v>2623</v>
      </c>
    </row>
    <row r="10251" customFormat="false" ht="15" hidden="false" customHeight="true" outlineLevel="0" collapsed="false">
      <c r="A10251" s="6" t="s">
        <v>12863</v>
      </c>
      <c r="B10251" s="6" t="s">
        <v>2093</v>
      </c>
      <c r="C10251" s="6" t="s">
        <v>128</v>
      </c>
      <c r="D10251" s="13" t="n">
        <v>44843</v>
      </c>
      <c r="E10251" s="14" t="n">
        <v>2557.33</v>
      </c>
      <c r="F10251" s="14" t="n">
        <v>13419.82</v>
      </c>
      <c r="G10251" s="6" t="s">
        <v>2613</v>
      </c>
    </row>
    <row r="10252" customFormat="false" ht="15" hidden="false" customHeight="true" outlineLevel="0" collapsed="false">
      <c r="A10252" s="6" t="s">
        <v>12864</v>
      </c>
      <c r="B10252" s="6" t="s">
        <v>2093</v>
      </c>
      <c r="C10252" s="6" t="s">
        <v>128</v>
      </c>
      <c r="D10252" s="13" t="n">
        <v>44850</v>
      </c>
      <c r="E10252" s="14" t="n">
        <v>2796.03</v>
      </c>
      <c r="F10252" s="14" t="n">
        <v>16215.85</v>
      </c>
      <c r="G10252" s="6" t="s">
        <v>2613</v>
      </c>
    </row>
    <row r="10253" customFormat="false" ht="15" hidden="false" customHeight="true" outlineLevel="0" collapsed="false">
      <c r="A10253" s="6" t="s">
        <v>12865</v>
      </c>
      <c r="B10253" s="6" t="s">
        <v>2093</v>
      </c>
      <c r="C10253" s="6" t="s">
        <v>128</v>
      </c>
      <c r="D10253" s="13" t="n">
        <v>44857</v>
      </c>
      <c r="E10253" s="14" t="n">
        <v>3631.78</v>
      </c>
      <c r="F10253" s="14" t="n">
        <v>19847.63</v>
      </c>
      <c r="G10253" s="6" t="s">
        <v>2613</v>
      </c>
    </row>
    <row r="10254" customFormat="false" ht="15" hidden="false" customHeight="true" outlineLevel="0" collapsed="false">
      <c r="A10254" s="6" t="s">
        <v>12866</v>
      </c>
      <c r="B10254" s="6" t="s">
        <v>2093</v>
      </c>
      <c r="C10254" s="6" t="s">
        <v>128</v>
      </c>
      <c r="D10254" s="13" t="n">
        <v>44864</v>
      </c>
      <c r="E10254" s="14" t="n">
        <v>4781.39</v>
      </c>
      <c r="F10254" s="14" t="n">
        <v>24629.02</v>
      </c>
      <c r="G10254" s="6" t="s">
        <v>2613</v>
      </c>
    </row>
    <row r="10255" customFormat="false" ht="15" hidden="false" customHeight="true" outlineLevel="0" collapsed="false">
      <c r="A10255" s="6" t="s">
        <v>12867</v>
      </c>
      <c r="B10255" s="6" t="s">
        <v>2093</v>
      </c>
      <c r="C10255" s="6" t="s">
        <v>128</v>
      </c>
      <c r="D10255" s="13" t="n">
        <v>44871</v>
      </c>
      <c r="E10255" s="14" t="n">
        <v>3106.16</v>
      </c>
      <c r="F10255" s="14" t="n">
        <v>27735.18</v>
      </c>
      <c r="G10255" s="6" t="s">
        <v>2613</v>
      </c>
    </row>
    <row r="10256" customFormat="false" ht="15" hidden="false" customHeight="true" outlineLevel="0" collapsed="false">
      <c r="A10256" s="6" t="s">
        <v>12868</v>
      </c>
      <c r="B10256" s="6" t="s">
        <v>2093</v>
      </c>
      <c r="C10256" s="6" t="s">
        <v>128</v>
      </c>
      <c r="D10256" s="13" t="n">
        <v>44878</v>
      </c>
      <c r="E10256" s="14" t="n">
        <v>3153.05</v>
      </c>
      <c r="F10256" s="14" t="n">
        <v>30888.23</v>
      </c>
      <c r="G10256" s="6" t="s">
        <v>2613</v>
      </c>
    </row>
    <row r="10257" customFormat="false" ht="15" hidden="false" customHeight="true" outlineLevel="0" collapsed="false">
      <c r="A10257" s="6" t="s">
        <v>12869</v>
      </c>
      <c r="B10257" s="6" t="s">
        <v>2093</v>
      </c>
      <c r="C10257" s="6" t="s">
        <v>128</v>
      </c>
      <c r="D10257" s="13" t="n">
        <v>44885</v>
      </c>
      <c r="E10257" s="14" t="n">
        <v>2402.1</v>
      </c>
      <c r="F10257" s="14" t="n">
        <v>33290.33</v>
      </c>
      <c r="G10257" s="6" t="s">
        <v>2613</v>
      </c>
    </row>
    <row r="10258" customFormat="false" ht="15" hidden="false" customHeight="true" outlineLevel="0" collapsed="false">
      <c r="A10258" s="6" t="s">
        <v>12870</v>
      </c>
      <c r="B10258" s="6" t="s">
        <v>2093</v>
      </c>
      <c r="C10258" s="6" t="s">
        <v>128</v>
      </c>
      <c r="D10258" s="13" t="n">
        <v>44892</v>
      </c>
      <c r="E10258" s="14" t="n">
        <v>5140.29</v>
      </c>
      <c r="F10258" s="14" t="n">
        <v>38430.62</v>
      </c>
      <c r="G10258" s="6" t="s">
        <v>2613</v>
      </c>
    </row>
    <row r="10259" customFormat="false" ht="15" hidden="false" customHeight="true" outlineLevel="0" collapsed="false">
      <c r="A10259" s="6" t="s">
        <v>12871</v>
      </c>
      <c r="B10259" s="6" t="s">
        <v>2093</v>
      </c>
      <c r="C10259" s="6" t="s">
        <v>128</v>
      </c>
      <c r="D10259" s="13" t="n">
        <v>44899</v>
      </c>
      <c r="E10259" s="14" t="n">
        <v>8831.82</v>
      </c>
      <c r="F10259" s="14" t="n">
        <v>47262.44</v>
      </c>
      <c r="G10259" s="6" t="s">
        <v>2613</v>
      </c>
    </row>
    <row r="10260" customFormat="false" ht="15" hidden="false" customHeight="true" outlineLevel="0" collapsed="false">
      <c r="A10260" s="6" t="s">
        <v>12872</v>
      </c>
      <c r="B10260" s="6" t="s">
        <v>2095</v>
      </c>
      <c r="C10260" s="6" t="s">
        <v>124</v>
      </c>
      <c r="D10260" s="13" t="n">
        <v>46120</v>
      </c>
      <c r="E10260" s="14" t="n">
        <v>1021.8</v>
      </c>
      <c r="F10260" s="14" t="n">
        <v>1021.8</v>
      </c>
      <c r="G10260" s="6" t="s">
        <v>2613</v>
      </c>
    </row>
    <row r="10261" customFormat="false" ht="15" hidden="false" customHeight="true" outlineLevel="0" collapsed="false">
      <c r="A10261" s="6" t="s">
        <v>12873</v>
      </c>
      <c r="B10261" s="6" t="s">
        <v>2095</v>
      </c>
      <c r="C10261" s="6" t="s">
        <v>124</v>
      </c>
      <c r="D10261" s="13" t="n">
        <v>46127</v>
      </c>
      <c r="E10261" s="14" t="n">
        <v>626.75</v>
      </c>
      <c r="F10261" s="14" t="n">
        <v>1648.55</v>
      </c>
      <c r="G10261" s="6" t="s">
        <v>2613</v>
      </c>
    </row>
    <row r="10262" customFormat="false" ht="15" hidden="false" customHeight="true" outlineLevel="0" collapsed="false">
      <c r="A10262" s="6" t="s">
        <v>12874</v>
      </c>
      <c r="B10262" s="6" t="s">
        <v>2095</v>
      </c>
      <c r="C10262" s="6" t="s">
        <v>124</v>
      </c>
      <c r="D10262" s="13" t="n">
        <v>46134</v>
      </c>
      <c r="E10262" s="14" t="n">
        <v>901.09</v>
      </c>
      <c r="F10262" s="14" t="n">
        <v>2549.64</v>
      </c>
      <c r="G10262" s="6" t="s">
        <v>2613</v>
      </c>
    </row>
    <row r="10263" customFormat="false" ht="15" hidden="false" customHeight="true" outlineLevel="0" collapsed="false">
      <c r="A10263" s="6" t="s">
        <v>12875</v>
      </c>
      <c r="B10263" s="6" t="s">
        <v>2095</v>
      </c>
      <c r="C10263" s="6" t="s">
        <v>124</v>
      </c>
      <c r="D10263" s="13" t="n">
        <v>46141</v>
      </c>
      <c r="E10263" s="14" t="n">
        <v>702.39</v>
      </c>
      <c r="F10263" s="14" t="n">
        <v>3252.03</v>
      </c>
      <c r="G10263" s="6" t="s">
        <v>2613</v>
      </c>
    </row>
    <row r="10264" customFormat="false" ht="15" hidden="false" customHeight="true" outlineLevel="0" collapsed="false">
      <c r="A10264" s="6" t="s">
        <v>12876</v>
      </c>
      <c r="B10264" s="6" t="s">
        <v>2095</v>
      </c>
      <c r="C10264" s="6" t="s">
        <v>124</v>
      </c>
      <c r="D10264" s="13" t="n">
        <v>46148</v>
      </c>
      <c r="E10264" s="14" t="n">
        <v>752.64</v>
      </c>
      <c r="F10264" s="14" t="n">
        <v>4004.67</v>
      </c>
      <c r="G10264" s="6" t="s">
        <v>2613</v>
      </c>
    </row>
    <row r="10265" customFormat="false" ht="15" hidden="false" customHeight="true" outlineLevel="0" collapsed="false">
      <c r="A10265" s="6" t="s">
        <v>12877</v>
      </c>
      <c r="B10265" s="6" t="s">
        <v>2095</v>
      </c>
      <c r="C10265" s="6" t="s">
        <v>124</v>
      </c>
      <c r="D10265" s="13" t="n">
        <v>46155</v>
      </c>
      <c r="E10265" s="14" t="n">
        <v>1336.83</v>
      </c>
      <c r="F10265" s="14" t="n">
        <v>5341.5</v>
      </c>
      <c r="G10265" s="6" t="s">
        <v>2613</v>
      </c>
    </row>
    <row r="10266" customFormat="false" ht="15" hidden="false" customHeight="true" outlineLevel="0" collapsed="false">
      <c r="A10266" s="6" t="s">
        <v>12878</v>
      </c>
      <c r="B10266" s="6" t="s">
        <v>2095</v>
      </c>
      <c r="C10266" s="6" t="s">
        <v>124</v>
      </c>
      <c r="D10266" s="13" t="n">
        <v>46162</v>
      </c>
      <c r="E10266" s="14" t="n">
        <v>1192.03</v>
      </c>
      <c r="F10266" s="14" t="n">
        <v>6533.53</v>
      </c>
      <c r="G10266" s="6" t="s">
        <v>2613</v>
      </c>
    </row>
    <row r="10267" customFormat="false" ht="15" hidden="false" customHeight="true" outlineLevel="0" collapsed="false">
      <c r="A10267" s="6" t="s">
        <v>12879</v>
      </c>
      <c r="B10267" s="6" t="s">
        <v>2095</v>
      </c>
      <c r="C10267" s="6" t="s">
        <v>124</v>
      </c>
      <c r="D10267" s="13" t="n">
        <v>46169</v>
      </c>
      <c r="E10267" s="14" t="n">
        <v>1406.49</v>
      </c>
      <c r="F10267" s="14" t="n">
        <v>7940.02</v>
      </c>
      <c r="G10267" s="6" t="s">
        <v>2613</v>
      </c>
    </row>
    <row r="10268" customFormat="false" ht="15" hidden="false" customHeight="true" outlineLevel="0" collapsed="false">
      <c r="A10268" s="6" t="s">
        <v>12880</v>
      </c>
      <c r="B10268" s="6" t="s">
        <v>2097</v>
      </c>
      <c r="C10268" s="6" t="s">
        <v>124</v>
      </c>
      <c r="D10268" s="13" t="n">
        <v>44934</v>
      </c>
      <c r="E10268" s="14" t="n">
        <v>1315.15</v>
      </c>
      <c r="F10268" s="14" t="n">
        <v>1315.15</v>
      </c>
      <c r="G10268" s="6" t="s">
        <v>2613</v>
      </c>
    </row>
    <row r="10269" customFormat="false" ht="15" hidden="false" customHeight="true" outlineLevel="0" collapsed="false">
      <c r="A10269" s="6" t="s">
        <v>12881</v>
      </c>
      <c r="B10269" s="6" t="s">
        <v>2097</v>
      </c>
      <c r="C10269" s="6" t="s">
        <v>124</v>
      </c>
      <c r="D10269" s="13" t="n">
        <v>44941</v>
      </c>
      <c r="E10269" s="14" t="n">
        <v>1588.93</v>
      </c>
      <c r="F10269" s="14" t="n">
        <v>2904.08</v>
      </c>
      <c r="G10269" s="6" t="s">
        <v>2623</v>
      </c>
    </row>
    <row r="10270" customFormat="false" ht="15" hidden="false" customHeight="true" outlineLevel="0" collapsed="false">
      <c r="A10270" s="6" t="s">
        <v>12882</v>
      </c>
      <c r="B10270" s="6" t="s">
        <v>2097</v>
      </c>
      <c r="C10270" s="6" t="s">
        <v>124</v>
      </c>
      <c r="D10270" s="13" t="n">
        <v>44948</v>
      </c>
      <c r="E10270" s="14" t="n">
        <v>2528.37</v>
      </c>
      <c r="F10270" s="14" t="n">
        <v>5432.45</v>
      </c>
      <c r="G10270" s="6" t="s">
        <v>2613</v>
      </c>
    </row>
    <row r="10271" customFormat="false" ht="15" hidden="false" customHeight="true" outlineLevel="0" collapsed="false">
      <c r="A10271" s="6" t="s">
        <v>12883</v>
      </c>
      <c r="B10271" s="6" t="s">
        <v>2097</v>
      </c>
      <c r="C10271" s="6" t="s">
        <v>124</v>
      </c>
      <c r="D10271" s="13" t="n">
        <v>44955</v>
      </c>
      <c r="E10271" s="14" t="n">
        <v>1260.87</v>
      </c>
      <c r="F10271" s="14" t="n">
        <v>6693.32</v>
      </c>
      <c r="G10271" s="6" t="s">
        <v>2613</v>
      </c>
    </row>
    <row r="10272" customFormat="false" ht="15" hidden="false" customHeight="true" outlineLevel="0" collapsed="false">
      <c r="A10272" s="6" t="s">
        <v>12884</v>
      </c>
      <c r="B10272" s="6" t="s">
        <v>2097</v>
      </c>
      <c r="C10272" s="6" t="s">
        <v>124</v>
      </c>
      <c r="D10272" s="13" t="n">
        <v>44962</v>
      </c>
      <c r="E10272" s="14" t="n">
        <v>2548.91</v>
      </c>
      <c r="F10272" s="14" t="n">
        <v>9242.23</v>
      </c>
      <c r="G10272" s="6" t="s">
        <v>2613</v>
      </c>
    </row>
    <row r="10273" customFormat="false" ht="15" hidden="false" customHeight="true" outlineLevel="0" collapsed="false">
      <c r="A10273" s="6" t="s">
        <v>12885</v>
      </c>
      <c r="B10273" s="6" t="s">
        <v>2097</v>
      </c>
      <c r="C10273" s="6" t="s">
        <v>124</v>
      </c>
      <c r="D10273" s="13" t="n">
        <v>44969</v>
      </c>
      <c r="E10273" s="14" t="n">
        <v>2645.76</v>
      </c>
      <c r="F10273" s="14" t="n">
        <v>11887.99</v>
      </c>
      <c r="G10273" s="6" t="s">
        <v>2613</v>
      </c>
    </row>
    <row r="10274" customFormat="false" ht="15" hidden="false" customHeight="true" outlineLevel="0" collapsed="false">
      <c r="A10274" s="6" t="s">
        <v>12886</v>
      </c>
      <c r="B10274" s="6" t="s">
        <v>2097</v>
      </c>
      <c r="C10274" s="6" t="s">
        <v>124</v>
      </c>
      <c r="D10274" s="13" t="n">
        <v>44976</v>
      </c>
      <c r="E10274" s="14" t="n">
        <v>1467.51</v>
      </c>
      <c r="F10274" s="14" t="n">
        <v>13355.5</v>
      </c>
      <c r="G10274" s="6" t="s">
        <v>2613</v>
      </c>
    </row>
    <row r="10275" customFormat="false" ht="15" hidden="false" customHeight="true" outlineLevel="0" collapsed="false">
      <c r="A10275" s="6" t="s">
        <v>12887</v>
      </c>
      <c r="B10275" s="6" t="s">
        <v>2097</v>
      </c>
      <c r="C10275" s="6" t="s">
        <v>124</v>
      </c>
      <c r="D10275" s="13" t="n">
        <v>44983</v>
      </c>
      <c r="E10275" s="14" t="n">
        <v>3047.82</v>
      </c>
      <c r="F10275" s="14" t="n">
        <v>16403.32</v>
      </c>
      <c r="G10275" s="6" t="s">
        <v>2613</v>
      </c>
    </row>
    <row r="10276" customFormat="false" ht="15" hidden="false" customHeight="true" outlineLevel="0" collapsed="false">
      <c r="A10276" s="6" t="s">
        <v>12888</v>
      </c>
      <c r="B10276" s="6" t="s">
        <v>2099</v>
      </c>
      <c r="C10276" s="6" t="s">
        <v>116</v>
      </c>
      <c r="D10276" s="13" t="n">
        <v>45784</v>
      </c>
      <c r="E10276" s="14" t="n">
        <v>1626.48</v>
      </c>
      <c r="F10276" s="14" t="n">
        <v>1626.48</v>
      </c>
      <c r="G10276" s="6" t="s">
        <v>2613</v>
      </c>
    </row>
    <row r="10277" customFormat="false" ht="15" hidden="false" customHeight="true" outlineLevel="0" collapsed="false">
      <c r="A10277" s="6" t="s">
        <v>12889</v>
      </c>
      <c r="B10277" s="6" t="s">
        <v>2099</v>
      </c>
      <c r="C10277" s="6" t="s">
        <v>116</v>
      </c>
      <c r="D10277" s="13" t="n">
        <v>45791</v>
      </c>
      <c r="E10277" s="14" t="n">
        <v>2064.6</v>
      </c>
      <c r="F10277" s="14" t="n">
        <v>3691.08</v>
      </c>
      <c r="G10277" s="6" t="s">
        <v>2613</v>
      </c>
    </row>
    <row r="10278" customFormat="false" ht="15" hidden="false" customHeight="true" outlineLevel="0" collapsed="false">
      <c r="A10278" s="6" t="s">
        <v>12890</v>
      </c>
      <c r="B10278" s="6" t="s">
        <v>2099</v>
      </c>
      <c r="C10278" s="6" t="s">
        <v>116</v>
      </c>
      <c r="D10278" s="13" t="n">
        <v>45798</v>
      </c>
      <c r="E10278" s="14" t="n">
        <v>1827.7</v>
      </c>
      <c r="F10278" s="14" t="n">
        <v>5518.78</v>
      </c>
      <c r="G10278" s="6" t="s">
        <v>2613</v>
      </c>
    </row>
    <row r="10279" customFormat="false" ht="15" hidden="false" customHeight="true" outlineLevel="0" collapsed="false">
      <c r="A10279" s="6" t="s">
        <v>12891</v>
      </c>
      <c r="B10279" s="6" t="s">
        <v>2099</v>
      </c>
      <c r="C10279" s="6" t="s">
        <v>116</v>
      </c>
      <c r="D10279" s="13" t="n">
        <v>45805</v>
      </c>
      <c r="E10279" s="14" t="n">
        <v>1284.37</v>
      </c>
      <c r="F10279" s="14" t="n">
        <v>6803.15</v>
      </c>
      <c r="G10279" s="6" t="s">
        <v>2613</v>
      </c>
    </row>
    <row r="10280" customFormat="false" ht="15" hidden="false" customHeight="true" outlineLevel="0" collapsed="false">
      <c r="A10280" s="6" t="s">
        <v>12892</v>
      </c>
      <c r="B10280" s="6" t="s">
        <v>2099</v>
      </c>
      <c r="C10280" s="6" t="s">
        <v>116</v>
      </c>
      <c r="D10280" s="13" t="n">
        <v>45812</v>
      </c>
      <c r="E10280" s="14" t="n">
        <v>1171.93</v>
      </c>
      <c r="F10280" s="14" t="n">
        <v>7975.08</v>
      </c>
      <c r="G10280" s="6" t="s">
        <v>2613</v>
      </c>
    </row>
    <row r="10281" customFormat="false" ht="15" hidden="false" customHeight="true" outlineLevel="0" collapsed="false">
      <c r="A10281" s="6" t="s">
        <v>12893</v>
      </c>
      <c r="B10281" s="6" t="s">
        <v>2099</v>
      </c>
      <c r="C10281" s="6" t="s">
        <v>116</v>
      </c>
      <c r="D10281" s="13" t="n">
        <v>45819</v>
      </c>
      <c r="E10281" s="14" t="n">
        <v>2121.72</v>
      </c>
      <c r="F10281" s="14" t="n">
        <v>10096.8</v>
      </c>
      <c r="G10281" s="6" t="s">
        <v>2613</v>
      </c>
    </row>
    <row r="10282" customFormat="false" ht="15" hidden="false" customHeight="true" outlineLevel="0" collapsed="false">
      <c r="A10282" s="6" t="s">
        <v>12894</v>
      </c>
      <c r="B10282" s="6" t="s">
        <v>2099</v>
      </c>
      <c r="C10282" s="6" t="s">
        <v>116</v>
      </c>
      <c r="D10282" s="13" t="n">
        <v>45826</v>
      </c>
      <c r="E10282" s="14" t="n">
        <v>1291.85</v>
      </c>
      <c r="F10282" s="14" t="n">
        <v>11388.65</v>
      </c>
      <c r="G10282" s="6" t="s">
        <v>2613</v>
      </c>
    </row>
    <row r="10283" customFormat="false" ht="15" hidden="false" customHeight="true" outlineLevel="0" collapsed="false">
      <c r="A10283" s="6" t="s">
        <v>12895</v>
      </c>
      <c r="B10283" s="6" t="s">
        <v>2099</v>
      </c>
      <c r="C10283" s="6" t="s">
        <v>116</v>
      </c>
      <c r="D10283" s="13" t="n">
        <v>45833</v>
      </c>
      <c r="E10283" s="14" t="n">
        <v>1293.2</v>
      </c>
      <c r="F10283" s="14" t="n">
        <v>12681.85</v>
      </c>
      <c r="G10283" s="6" t="s">
        <v>2613</v>
      </c>
    </row>
    <row r="10284" customFormat="false" ht="15" hidden="false" customHeight="true" outlineLevel="0" collapsed="false">
      <c r="A10284" s="6" t="s">
        <v>12896</v>
      </c>
      <c r="B10284" s="6" t="s">
        <v>2099</v>
      </c>
      <c r="C10284" s="6" t="s">
        <v>116</v>
      </c>
      <c r="D10284" s="13" t="n">
        <v>45840</v>
      </c>
      <c r="E10284" s="14" t="n">
        <v>1258.46</v>
      </c>
      <c r="F10284" s="14" t="n">
        <v>13940.31</v>
      </c>
      <c r="G10284" s="6" t="s">
        <v>2613</v>
      </c>
    </row>
    <row r="10285" customFormat="false" ht="15" hidden="false" customHeight="true" outlineLevel="0" collapsed="false">
      <c r="A10285" s="6" t="s">
        <v>12897</v>
      </c>
      <c r="B10285" s="6" t="s">
        <v>2099</v>
      </c>
      <c r="C10285" s="6" t="s">
        <v>116</v>
      </c>
      <c r="D10285" s="13" t="n">
        <v>45847</v>
      </c>
      <c r="E10285" s="14" t="n">
        <v>1784.24</v>
      </c>
      <c r="F10285" s="14" t="n">
        <v>15724.55</v>
      </c>
      <c r="G10285" s="6" t="s">
        <v>2613</v>
      </c>
    </row>
    <row r="10286" customFormat="false" ht="15" hidden="false" customHeight="true" outlineLevel="0" collapsed="false">
      <c r="A10286" s="6" t="s">
        <v>12898</v>
      </c>
      <c r="B10286" s="6" t="s">
        <v>2099</v>
      </c>
      <c r="C10286" s="6" t="s">
        <v>116</v>
      </c>
      <c r="D10286" s="13" t="n">
        <v>45854</v>
      </c>
      <c r="E10286" s="14" t="n">
        <v>1059.25</v>
      </c>
      <c r="F10286" s="14" t="n">
        <v>16783.8</v>
      </c>
      <c r="G10286" s="6" t="s">
        <v>2613</v>
      </c>
    </row>
    <row r="10287" customFormat="false" ht="15" hidden="false" customHeight="true" outlineLevel="0" collapsed="false">
      <c r="A10287" s="6" t="s">
        <v>12899</v>
      </c>
      <c r="B10287" s="6" t="s">
        <v>2099</v>
      </c>
      <c r="C10287" s="6" t="s">
        <v>116</v>
      </c>
      <c r="D10287" s="13" t="n">
        <v>45861</v>
      </c>
      <c r="E10287" s="14" t="n">
        <v>2042.84</v>
      </c>
      <c r="F10287" s="14" t="n">
        <v>18826.64</v>
      </c>
      <c r="G10287" s="6" t="s">
        <v>2623</v>
      </c>
    </row>
    <row r="10288" customFormat="false" ht="15" hidden="false" customHeight="true" outlineLevel="0" collapsed="false">
      <c r="A10288" s="6" t="s">
        <v>12900</v>
      </c>
      <c r="B10288" s="6" t="s">
        <v>2099</v>
      </c>
      <c r="C10288" s="6" t="s">
        <v>116</v>
      </c>
      <c r="D10288" s="13" t="n">
        <v>45868</v>
      </c>
      <c r="E10288" s="14" t="n">
        <v>3488.69</v>
      </c>
      <c r="F10288" s="14" t="n">
        <v>22315.33</v>
      </c>
      <c r="G10288" s="6" t="s">
        <v>2613</v>
      </c>
    </row>
    <row r="10289" customFormat="false" ht="15" hidden="false" customHeight="true" outlineLevel="0" collapsed="false">
      <c r="A10289" s="6" t="s">
        <v>12901</v>
      </c>
      <c r="B10289" s="6" t="s">
        <v>2101</v>
      </c>
      <c r="C10289" s="6" t="s">
        <v>116</v>
      </c>
      <c r="D10289" s="13" t="n">
        <v>45753</v>
      </c>
      <c r="E10289" s="14" t="n">
        <v>6910.2</v>
      </c>
      <c r="F10289" s="14" t="n">
        <v>6910.2</v>
      </c>
      <c r="G10289" s="6" t="s">
        <v>2613</v>
      </c>
    </row>
    <row r="10290" customFormat="false" ht="15" hidden="false" customHeight="true" outlineLevel="0" collapsed="false">
      <c r="A10290" s="6" t="s">
        <v>12902</v>
      </c>
      <c r="B10290" s="6" t="s">
        <v>2101</v>
      </c>
      <c r="C10290" s="6" t="s">
        <v>116</v>
      </c>
      <c r="D10290" s="13" t="n">
        <v>45760</v>
      </c>
      <c r="E10290" s="14" t="n">
        <v>5241.16</v>
      </c>
      <c r="F10290" s="14" t="n">
        <v>12151.36</v>
      </c>
      <c r="G10290" s="6" t="s">
        <v>2613</v>
      </c>
    </row>
    <row r="10291" customFormat="false" ht="15" hidden="false" customHeight="true" outlineLevel="0" collapsed="false">
      <c r="A10291" s="6" t="s">
        <v>12903</v>
      </c>
      <c r="B10291" s="6" t="s">
        <v>2101</v>
      </c>
      <c r="C10291" s="6" t="s">
        <v>116</v>
      </c>
      <c r="D10291" s="13" t="n">
        <v>45767</v>
      </c>
      <c r="E10291" s="14" t="n">
        <v>3981.1</v>
      </c>
      <c r="F10291" s="14" t="n">
        <v>16132.46</v>
      </c>
      <c r="G10291" s="6" t="s">
        <v>2623</v>
      </c>
    </row>
    <row r="10292" customFormat="false" ht="15" hidden="false" customHeight="true" outlineLevel="0" collapsed="false">
      <c r="A10292" s="6" t="s">
        <v>12904</v>
      </c>
      <c r="B10292" s="6" t="s">
        <v>2101</v>
      </c>
      <c r="C10292" s="6" t="s">
        <v>116</v>
      </c>
      <c r="D10292" s="13" t="n">
        <v>45774</v>
      </c>
      <c r="E10292" s="14" t="n">
        <v>6014.76</v>
      </c>
      <c r="F10292" s="14" t="n">
        <v>22147.22</v>
      </c>
      <c r="G10292" s="6" t="s">
        <v>2613</v>
      </c>
    </row>
    <row r="10293" customFormat="false" ht="15" hidden="false" customHeight="true" outlineLevel="0" collapsed="false">
      <c r="A10293" s="6" t="s">
        <v>12905</v>
      </c>
      <c r="B10293" s="6" t="s">
        <v>2101</v>
      </c>
      <c r="C10293" s="6" t="s">
        <v>116</v>
      </c>
      <c r="D10293" s="13" t="n">
        <v>45781</v>
      </c>
      <c r="E10293" s="14" t="n">
        <v>6933.09</v>
      </c>
      <c r="F10293" s="14" t="n">
        <v>29080.31</v>
      </c>
      <c r="G10293" s="6" t="s">
        <v>2613</v>
      </c>
    </row>
    <row r="10294" customFormat="false" ht="15" hidden="false" customHeight="true" outlineLevel="0" collapsed="false">
      <c r="A10294" s="6" t="s">
        <v>12906</v>
      </c>
      <c r="B10294" s="6" t="s">
        <v>2101</v>
      </c>
      <c r="C10294" s="6" t="s">
        <v>116</v>
      </c>
      <c r="D10294" s="13" t="n">
        <v>45788</v>
      </c>
      <c r="E10294" s="14" t="n">
        <v>5549.45</v>
      </c>
      <c r="F10294" s="14" t="n">
        <v>34629.76</v>
      </c>
      <c r="G10294" s="6" t="s">
        <v>2613</v>
      </c>
    </row>
    <row r="10295" customFormat="false" ht="15" hidden="false" customHeight="true" outlineLevel="0" collapsed="false">
      <c r="A10295" s="6" t="s">
        <v>12907</v>
      </c>
      <c r="B10295" s="6" t="s">
        <v>2101</v>
      </c>
      <c r="C10295" s="6" t="s">
        <v>116</v>
      </c>
      <c r="D10295" s="13" t="n">
        <v>45795</v>
      </c>
      <c r="E10295" s="14" t="n">
        <v>8534.28</v>
      </c>
      <c r="F10295" s="14" t="n">
        <v>43164.04</v>
      </c>
      <c r="G10295" s="6" t="s">
        <v>2613</v>
      </c>
    </row>
    <row r="10296" customFormat="false" ht="15" hidden="false" customHeight="true" outlineLevel="0" collapsed="false">
      <c r="A10296" s="6" t="s">
        <v>12908</v>
      </c>
      <c r="B10296" s="6" t="s">
        <v>2103</v>
      </c>
      <c r="C10296" s="6" t="s">
        <v>120</v>
      </c>
      <c r="D10296" s="13" t="n">
        <v>46143</v>
      </c>
      <c r="E10296" s="14" t="n">
        <v>2092.29</v>
      </c>
      <c r="F10296" s="14" t="n">
        <v>2092.29</v>
      </c>
      <c r="G10296" s="6" t="s">
        <v>2613</v>
      </c>
    </row>
    <row r="10297" customFormat="false" ht="15" hidden="false" customHeight="true" outlineLevel="0" collapsed="false">
      <c r="A10297" s="6" t="s">
        <v>12909</v>
      </c>
      <c r="B10297" s="6" t="s">
        <v>2103</v>
      </c>
      <c r="C10297" s="6" t="s">
        <v>120</v>
      </c>
      <c r="D10297" s="13" t="n">
        <v>46150</v>
      </c>
      <c r="E10297" s="14" t="n">
        <v>3651.08</v>
      </c>
      <c r="F10297" s="14" t="n">
        <v>5743.37</v>
      </c>
      <c r="G10297" s="6" t="s">
        <v>2623</v>
      </c>
    </row>
    <row r="10298" customFormat="false" ht="15" hidden="false" customHeight="true" outlineLevel="0" collapsed="false">
      <c r="A10298" s="6" t="s">
        <v>12910</v>
      </c>
      <c r="B10298" s="6" t="s">
        <v>2103</v>
      </c>
      <c r="C10298" s="6" t="s">
        <v>120</v>
      </c>
      <c r="D10298" s="13" t="n">
        <v>46157</v>
      </c>
      <c r="E10298" s="14" t="n">
        <v>4207.04</v>
      </c>
      <c r="F10298" s="14" t="n">
        <v>9950.41</v>
      </c>
      <c r="G10298" s="6" t="s">
        <v>2613</v>
      </c>
    </row>
    <row r="10299" customFormat="false" ht="15" hidden="false" customHeight="true" outlineLevel="0" collapsed="false">
      <c r="A10299" s="6" t="s">
        <v>12911</v>
      </c>
      <c r="B10299" s="6" t="s">
        <v>2103</v>
      </c>
      <c r="C10299" s="6" t="s">
        <v>120</v>
      </c>
      <c r="D10299" s="13" t="n">
        <v>46164</v>
      </c>
      <c r="E10299" s="14" t="n">
        <v>2828.63</v>
      </c>
      <c r="F10299" s="14" t="n">
        <v>12779.04</v>
      </c>
      <c r="G10299" s="6" t="s">
        <v>2613</v>
      </c>
    </row>
    <row r="10300" customFormat="false" ht="15" hidden="false" customHeight="true" outlineLevel="0" collapsed="false">
      <c r="A10300" s="6" t="s">
        <v>12912</v>
      </c>
      <c r="B10300" s="6" t="s">
        <v>2103</v>
      </c>
      <c r="C10300" s="6" t="s">
        <v>120</v>
      </c>
      <c r="D10300" s="13" t="n">
        <v>46171</v>
      </c>
      <c r="E10300" s="14" t="n">
        <v>4116.67</v>
      </c>
      <c r="F10300" s="14" t="n">
        <v>16895.71</v>
      </c>
      <c r="G10300" s="6" t="s">
        <v>2613</v>
      </c>
    </row>
    <row r="10301" customFormat="false" ht="15" hidden="false" customHeight="true" outlineLevel="0" collapsed="false">
      <c r="A10301" s="6" t="s">
        <v>12913</v>
      </c>
      <c r="B10301" s="6" t="s">
        <v>2103</v>
      </c>
      <c r="C10301" s="6" t="s">
        <v>120</v>
      </c>
      <c r="D10301" s="13" t="n">
        <v>46178</v>
      </c>
      <c r="E10301" s="14" t="n">
        <v>3079.53</v>
      </c>
      <c r="F10301" s="14" t="n">
        <v>19975.24</v>
      </c>
      <c r="G10301" s="6" t="s">
        <v>2613</v>
      </c>
    </row>
    <row r="10302" customFormat="false" ht="15" hidden="false" customHeight="true" outlineLevel="0" collapsed="false">
      <c r="A10302" s="6" t="s">
        <v>12914</v>
      </c>
      <c r="B10302" s="6" t="s">
        <v>2103</v>
      </c>
      <c r="C10302" s="6" t="s">
        <v>120</v>
      </c>
      <c r="D10302" s="13" t="n">
        <v>46185</v>
      </c>
      <c r="E10302" s="14" t="n">
        <v>2337.76</v>
      </c>
      <c r="F10302" s="14" t="n">
        <v>22313</v>
      </c>
      <c r="G10302" s="6" t="s">
        <v>2613</v>
      </c>
    </row>
    <row r="10303" customFormat="false" ht="15" hidden="false" customHeight="true" outlineLevel="0" collapsed="false">
      <c r="A10303" s="6" t="s">
        <v>12915</v>
      </c>
      <c r="B10303" s="6" t="s">
        <v>2103</v>
      </c>
      <c r="C10303" s="6" t="s">
        <v>120</v>
      </c>
      <c r="D10303" s="13" t="n">
        <v>46192</v>
      </c>
      <c r="E10303" s="14" t="n">
        <v>4326.08</v>
      </c>
      <c r="F10303" s="14" t="n">
        <v>26639.08</v>
      </c>
      <c r="G10303" s="6" t="s">
        <v>2613</v>
      </c>
    </row>
    <row r="10304" customFormat="false" ht="15" hidden="false" customHeight="true" outlineLevel="0" collapsed="false">
      <c r="A10304" s="6" t="s">
        <v>12916</v>
      </c>
      <c r="B10304" s="6" t="s">
        <v>2103</v>
      </c>
      <c r="C10304" s="6" t="s">
        <v>120</v>
      </c>
      <c r="D10304" s="13" t="n">
        <v>46199</v>
      </c>
      <c r="E10304" s="14" t="n">
        <v>4100.85</v>
      </c>
      <c r="F10304" s="14" t="n">
        <v>30739.93</v>
      </c>
      <c r="G10304" s="6" t="s">
        <v>2613</v>
      </c>
    </row>
    <row r="10305" customFormat="false" ht="15" hidden="false" customHeight="true" outlineLevel="0" collapsed="false">
      <c r="A10305" s="6" t="s">
        <v>12917</v>
      </c>
      <c r="B10305" s="6" t="s">
        <v>2103</v>
      </c>
      <c r="C10305" s="6" t="s">
        <v>120</v>
      </c>
      <c r="D10305" s="13" t="n">
        <v>46206</v>
      </c>
      <c r="E10305" s="14" t="n">
        <v>3025.21</v>
      </c>
      <c r="F10305" s="14" t="n">
        <v>33765.14</v>
      </c>
      <c r="G10305" s="6" t="s">
        <v>2623</v>
      </c>
    </row>
    <row r="10306" customFormat="false" ht="15" hidden="false" customHeight="true" outlineLevel="0" collapsed="false">
      <c r="A10306" s="6" t="s">
        <v>12918</v>
      </c>
      <c r="B10306" s="6" t="s">
        <v>2103</v>
      </c>
      <c r="C10306" s="6" t="s">
        <v>120</v>
      </c>
      <c r="D10306" s="13" t="n">
        <v>46213</v>
      </c>
      <c r="E10306" s="14" t="n">
        <v>3196.81</v>
      </c>
      <c r="F10306" s="14" t="n">
        <v>36961.95</v>
      </c>
      <c r="G10306" s="6" t="s">
        <v>2613</v>
      </c>
    </row>
    <row r="10307" customFormat="false" ht="15" hidden="false" customHeight="true" outlineLevel="0" collapsed="false">
      <c r="A10307" s="6" t="s">
        <v>12919</v>
      </c>
      <c r="B10307" s="6" t="s">
        <v>2103</v>
      </c>
      <c r="C10307" s="6" t="s">
        <v>120</v>
      </c>
      <c r="D10307" s="13" t="n">
        <v>46220</v>
      </c>
      <c r="E10307" s="14" t="n">
        <v>4252.76</v>
      </c>
      <c r="F10307" s="14" t="n">
        <v>41214.71</v>
      </c>
      <c r="G10307" s="6" t="s">
        <v>2613</v>
      </c>
    </row>
    <row r="10308" customFormat="false" ht="15" hidden="false" customHeight="true" outlineLevel="0" collapsed="false">
      <c r="A10308" s="6" t="s">
        <v>12920</v>
      </c>
      <c r="B10308" s="6" t="s">
        <v>2105</v>
      </c>
      <c r="C10308" s="6" t="s">
        <v>131</v>
      </c>
      <c r="D10308" s="13" t="n">
        <v>45392</v>
      </c>
      <c r="E10308" s="14" t="n">
        <v>220.49</v>
      </c>
      <c r="F10308" s="14" t="n">
        <v>220.49</v>
      </c>
      <c r="G10308" s="6" t="s">
        <v>2613</v>
      </c>
    </row>
    <row r="10309" customFormat="false" ht="15" hidden="false" customHeight="true" outlineLevel="0" collapsed="false">
      <c r="A10309" s="6" t="s">
        <v>12921</v>
      </c>
      <c r="B10309" s="6" t="s">
        <v>2105</v>
      </c>
      <c r="C10309" s="6" t="s">
        <v>131</v>
      </c>
      <c r="D10309" s="13" t="n">
        <v>45399</v>
      </c>
      <c r="E10309" s="14" t="n">
        <v>430.64</v>
      </c>
      <c r="F10309" s="14" t="n">
        <v>651.13</v>
      </c>
      <c r="G10309" s="6" t="s">
        <v>2613</v>
      </c>
    </row>
    <row r="10310" customFormat="false" ht="15" hidden="false" customHeight="true" outlineLevel="0" collapsed="false">
      <c r="A10310" s="6" t="s">
        <v>12922</v>
      </c>
      <c r="B10310" s="6" t="s">
        <v>2105</v>
      </c>
      <c r="C10310" s="6" t="s">
        <v>131</v>
      </c>
      <c r="D10310" s="13" t="n">
        <v>45406</v>
      </c>
      <c r="E10310" s="14" t="n">
        <v>360.2</v>
      </c>
      <c r="F10310" s="14" t="n">
        <v>1011.33</v>
      </c>
      <c r="G10310" s="6" t="s">
        <v>2613</v>
      </c>
    </row>
    <row r="10311" customFormat="false" ht="15" hidden="false" customHeight="true" outlineLevel="0" collapsed="false">
      <c r="A10311" s="6" t="s">
        <v>12923</v>
      </c>
      <c r="B10311" s="6" t="s">
        <v>2105</v>
      </c>
      <c r="C10311" s="6" t="s">
        <v>131</v>
      </c>
      <c r="D10311" s="13" t="n">
        <v>45413</v>
      </c>
      <c r="E10311" s="14" t="n">
        <v>485.08</v>
      </c>
      <c r="F10311" s="14" t="n">
        <v>1496.41</v>
      </c>
      <c r="G10311" s="6" t="s">
        <v>2613</v>
      </c>
    </row>
    <row r="10312" customFormat="false" ht="15" hidden="false" customHeight="true" outlineLevel="0" collapsed="false">
      <c r="A10312" s="6" t="s">
        <v>12924</v>
      </c>
      <c r="B10312" s="6" t="s">
        <v>2105</v>
      </c>
      <c r="C10312" s="6" t="s">
        <v>131</v>
      </c>
      <c r="D10312" s="13" t="n">
        <v>45420</v>
      </c>
      <c r="E10312" s="14" t="n">
        <v>286.49</v>
      </c>
      <c r="F10312" s="14" t="n">
        <v>1782.9</v>
      </c>
      <c r="G10312" s="6" t="s">
        <v>2613</v>
      </c>
    </row>
    <row r="10313" customFormat="false" ht="15" hidden="false" customHeight="true" outlineLevel="0" collapsed="false">
      <c r="A10313" s="6" t="s">
        <v>12925</v>
      </c>
      <c r="B10313" s="6" t="s">
        <v>2105</v>
      </c>
      <c r="C10313" s="6" t="s">
        <v>131</v>
      </c>
      <c r="D10313" s="13" t="n">
        <v>45427</v>
      </c>
      <c r="E10313" s="14" t="n">
        <v>469</v>
      </c>
      <c r="F10313" s="14" t="n">
        <v>2251.9</v>
      </c>
      <c r="G10313" s="6" t="s">
        <v>2613</v>
      </c>
    </row>
    <row r="10314" customFormat="false" ht="15" hidden="false" customHeight="true" outlineLevel="0" collapsed="false">
      <c r="A10314" s="6" t="s">
        <v>12926</v>
      </c>
      <c r="B10314" s="6" t="s">
        <v>2105</v>
      </c>
      <c r="C10314" s="6" t="s">
        <v>131</v>
      </c>
      <c r="D10314" s="13" t="n">
        <v>45434</v>
      </c>
      <c r="E10314" s="14" t="n">
        <v>363.41</v>
      </c>
      <c r="F10314" s="14" t="n">
        <v>2615.31</v>
      </c>
      <c r="G10314" s="6" t="s">
        <v>2613</v>
      </c>
    </row>
    <row r="10315" customFormat="false" ht="15" hidden="false" customHeight="true" outlineLevel="0" collapsed="false">
      <c r="A10315" s="6" t="s">
        <v>12927</v>
      </c>
      <c r="B10315" s="6" t="s">
        <v>2105</v>
      </c>
      <c r="C10315" s="6" t="s">
        <v>131</v>
      </c>
      <c r="D10315" s="13" t="n">
        <v>45441</v>
      </c>
      <c r="E10315" s="14" t="n">
        <v>469.64</v>
      </c>
      <c r="F10315" s="14" t="n">
        <v>3084.95</v>
      </c>
      <c r="G10315" s="6" t="s">
        <v>2613</v>
      </c>
    </row>
    <row r="10316" customFormat="false" ht="15" hidden="false" customHeight="true" outlineLevel="0" collapsed="false">
      <c r="A10316" s="6" t="s">
        <v>12928</v>
      </c>
      <c r="B10316" s="6" t="s">
        <v>2105</v>
      </c>
      <c r="C10316" s="6" t="s">
        <v>131</v>
      </c>
      <c r="D10316" s="13" t="n">
        <v>45448</v>
      </c>
      <c r="E10316" s="14" t="n">
        <v>179.7</v>
      </c>
      <c r="F10316" s="14" t="n">
        <v>3264.65</v>
      </c>
      <c r="G10316" s="6" t="s">
        <v>2613</v>
      </c>
    </row>
    <row r="10317" customFormat="false" ht="15" hidden="false" customHeight="true" outlineLevel="0" collapsed="false">
      <c r="A10317" s="6" t="s">
        <v>12929</v>
      </c>
      <c r="B10317" s="6" t="s">
        <v>2107</v>
      </c>
      <c r="C10317" s="6" t="s">
        <v>116</v>
      </c>
      <c r="D10317" s="13" t="n">
        <v>45908</v>
      </c>
      <c r="E10317" s="14" t="n">
        <v>2205.42</v>
      </c>
      <c r="F10317" s="14" t="n">
        <v>2205.42</v>
      </c>
      <c r="G10317" s="6" t="s">
        <v>2613</v>
      </c>
    </row>
    <row r="10318" customFormat="false" ht="15" hidden="false" customHeight="true" outlineLevel="0" collapsed="false">
      <c r="A10318" s="6" t="s">
        <v>12930</v>
      </c>
      <c r="B10318" s="6" t="s">
        <v>2107</v>
      </c>
      <c r="C10318" s="6" t="s">
        <v>116</v>
      </c>
      <c r="D10318" s="13" t="n">
        <v>45915</v>
      </c>
      <c r="E10318" s="14" t="n">
        <v>2847.95</v>
      </c>
      <c r="F10318" s="14" t="n">
        <v>5053.37</v>
      </c>
      <c r="G10318" s="6" t="s">
        <v>2613</v>
      </c>
    </row>
    <row r="10319" customFormat="false" ht="15" hidden="false" customHeight="true" outlineLevel="0" collapsed="false">
      <c r="A10319" s="6" t="s">
        <v>12931</v>
      </c>
      <c r="B10319" s="6" t="s">
        <v>2107</v>
      </c>
      <c r="C10319" s="6" t="s">
        <v>116</v>
      </c>
      <c r="D10319" s="13" t="n">
        <v>45922</v>
      </c>
      <c r="E10319" s="14" t="n">
        <v>3201.48</v>
      </c>
      <c r="F10319" s="14" t="n">
        <v>8254.85</v>
      </c>
      <c r="G10319" s="6" t="s">
        <v>2613</v>
      </c>
    </row>
    <row r="10320" customFormat="false" ht="15" hidden="false" customHeight="true" outlineLevel="0" collapsed="false">
      <c r="A10320" s="6" t="s">
        <v>12932</v>
      </c>
      <c r="B10320" s="6" t="s">
        <v>2107</v>
      </c>
      <c r="C10320" s="6" t="s">
        <v>116</v>
      </c>
      <c r="D10320" s="13" t="n">
        <v>45929</v>
      </c>
      <c r="E10320" s="14" t="n">
        <v>1777.09</v>
      </c>
      <c r="F10320" s="14" t="n">
        <v>10031.94</v>
      </c>
      <c r="G10320" s="6" t="s">
        <v>2613</v>
      </c>
    </row>
    <row r="10321" customFormat="false" ht="15" hidden="false" customHeight="true" outlineLevel="0" collapsed="false">
      <c r="A10321" s="6" t="s">
        <v>12933</v>
      </c>
      <c r="B10321" s="6" t="s">
        <v>2107</v>
      </c>
      <c r="C10321" s="6" t="s">
        <v>116</v>
      </c>
      <c r="D10321" s="13" t="n">
        <v>45936</v>
      </c>
      <c r="E10321" s="14" t="n">
        <v>1640.32</v>
      </c>
      <c r="F10321" s="14" t="n">
        <v>11672.26</v>
      </c>
      <c r="G10321" s="6" t="s">
        <v>2613</v>
      </c>
    </row>
    <row r="10322" customFormat="false" ht="15" hidden="false" customHeight="true" outlineLevel="0" collapsed="false">
      <c r="A10322" s="6" t="s">
        <v>12934</v>
      </c>
      <c r="B10322" s="6" t="s">
        <v>2107</v>
      </c>
      <c r="C10322" s="6" t="s">
        <v>116</v>
      </c>
      <c r="D10322" s="13" t="n">
        <v>45943</v>
      </c>
      <c r="E10322" s="14" t="n">
        <v>2996.79</v>
      </c>
      <c r="F10322" s="14" t="n">
        <v>14669.05</v>
      </c>
      <c r="G10322" s="6" t="s">
        <v>2613</v>
      </c>
    </row>
    <row r="10323" customFormat="false" ht="15" hidden="false" customHeight="true" outlineLevel="0" collapsed="false">
      <c r="A10323" s="6" t="s">
        <v>12935</v>
      </c>
      <c r="B10323" s="6" t="s">
        <v>2107</v>
      </c>
      <c r="C10323" s="6" t="s">
        <v>116</v>
      </c>
      <c r="D10323" s="13" t="n">
        <v>45950</v>
      </c>
      <c r="E10323" s="14" t="n">
        <v>2344.95</v>
      </c>
      <c r="F10323" s="14" t="n">
        <v>17014</v>
      </c>
      <c r="G10323" s="6" t="s">
        <v>2613</v>
      </c>
    </row>
    <row r="10324" customFormat="false" ht="15" hidden="false" customHeight="true" outlineLevel="0" collapsed="false">
      <c r="A10324" s="6" t="s">
        <v>12936</v>
      </c>
      <c r="B10324" s="6" t="s">
        <v>2107</v>
      </c>
      <c r="C10324" s="6" t="s">
        <v>116</v>
      </c>
      <c r="D10324" s="13" t="n">
        <v>45957</v>
      </c>
      <c r="E10324" s="14" t="n">
        <v>2494.74</v>
      </c>
      <c r="F10324" s="14" t="n">
        <v>19508.74</v>
      </c>
      <c r="G10324" s="6" t="s">
        <v>2613</v>
      </c>
    </row>
    <row r="10325" customFormat="false" ht="15" hidden="false" customHeight="true" outlineLevel="0" collapsed="false">
      <c r="A10325" s="6" t="s">
        <v>12937</v>
      </c>
      <c r="B10325" s="6" t="s">
        <v>2107</v>
      </c>
      <c r="C10325" s="6" t="s">
        <v>116</v>
      </c>
      <c r="D10325" s="13" t="n">
        <v>45964</v>
      </c>
      <c r="E10325" s="14" t="n">
        <v>2979.08</v>
      </c>
      <c r="F10325" s="14" t="n">
        <v>22487.82</v>
      </c>
      <c r="G10325" s="6" t="s">
        <v>2623</v>
      </c>
    </row>
    <row r="10326" customFormat="false" ht="15" hidden="false" customHeight="true" outlineLevel="0" collapsed="false">
      <c r="A10326" s="6" t="s">
        <v>12938</v>
      </c>
      <c r="B10326" s="6" t="s">
        <v>2109</v>
      </c>
      <c r="C10326" s="6" t="s">
        <v>120</v>
      </c>
      <c r="D10326" s="13" t="n">
        <v>45253</v>
      </c>
      <c r="E10326" s="14" t="n">
        <v>3521.4</v>
      </c>
      <c r="F10326" s="14" t="n">
        <v>3521.4</v>
      </c>
      <c r="G10326" s="6" t="s">
        <v>2613</v>
      </c>
    </row>
    <row r="10327" customFormat="false" ht="15" hidden="false" customHeight="true" outlineLevel="0" collapsed="false">
      <c r="A10327" s="6" t="s">
        <v>12939</v>
      </c>
      <c r="B10327" s="6" t="s">
        <v>2109</v>
      </c>
      <c r="C10327" s="6" t="s">
        <v>120</v>
      </c>
      <c r="D10327" s="13" t="n">
        <v>45260</v>
      </c>
      <c r="E10327" s="14" t="n">
        <v>2709.74</v>
      </c>
      <c r="F10327" s="14" t="n">
        <v>6231.14</v>
      </c>
      <c r="G10327" s="6" t="s">
        <v>2613</v>
      </c>
    </row>
    <row r="10328" customFormat="false" ht="15" hidden="false" customHeight="true" outlineLevel="0" collapsed="false">
      <c r="A10328" s="6" t="s">
        <v>12940</v>
      </c>
      <c r="B10328" s="6" t="s">
        <v>2109</v>
      </c>
      <c r="C10328" s="6" t="s">
        <v>120</v>
      </c>
      <c r="D10328" s="13" t="n">
        <v>45267</v>
      </c>
      <c r="E10328" s="14" t="n">
        <v>4474.24</v>
      </c>
      <c r="F10328" s="14" t="n">
        <v>10705.38</v>
      </c>
      <c r="G10328" s="6" t="s">
        <v>2613</v>
      </c>
    </row>
    <row r="10329" customFormat="false" ht="15" hidden="false" customHeight="true" outlineLevel="0" collapsed="false">
      <c r="A10329" s="6" t="s">
        <v>12941</v>
      </c>
      <c r="B10329" s="6" t="s">
        <v>2109</v>
      </c>
      <c r="C10329" s="6" t="s">
        <v>120</v>
      </c>
      <c r="D10329" s="13" t="n">
        <v>45274</v>
      </c>
      <c r="E10329" s="14" t="n">
        <v>2681.7</v>
      </c>
      <c r="F10329" s="14" t="n">
        <v>13387.08</v>
      </c>
      <c r="G10329" s="6" t="s">
        <v>2613</v>
      </c>
    </row>
    <row r="10330" customFormat="false" ht="15" hidden="false" customHeight="true" outlineLevel="0" collapsed="false">
      <c r="A10330" s="6" t="s">
        <v>12942</v>
      </c>
      <c r="B10330" s="6" t="s">
        <v>2109</v>
      </c>
      <c r="C10330" s="6" t="s">
        <v>120</v>
      </c>
      <c r="D10330" s="13" t="n">
        <v>45281</v>
      </c>
      <c r="E10330" s="14" t="n">
        <v>3655.45</v>
      </c>
      <c r="F10330" s="14" t="n">
        <v>17042.53</v>
      </c>
      <c r="G10330" s="6" t="s">
        <v>2613</v>
      </c>
    </row>
    <row r="10331" customFormat="false" ht="15" hidden="false" customHeight="true" outlineLevel="0" collapsed="false">
      <c r="A10331" s="6" t="s">
        <v>12943</v>
      </c>
      <c r="B10331" s="6" t="s">
        <v>2109</v>
      </c>
      <c r="C10331" s="6" t="s">
        <v>120</v>
      </c>
      <c r="D10331" s="13" t="n">
        <v>45288</v>
      </c>
      <c r="E10331" s="14" t="n">
        <v>5111.65</v>
      </c>
      <c r="F10331" s="14" t="n">
        <v>22154.18</v>
      </c>
      <c r="G10331" s="6" t="s">
        <v>2613</v>
      </c>
    </row>
    <row r="10332" customFormat="false" ht="15" hidden="false" customHeight="true" outlineLevel="0" collapsed="false">
      <c r="A10332" s="6" t="s">
        <v>12944</v>
      </c>
      <c r="B10332" s="6" t="s">
        <v>2109</v>
      </c>
      <c r="C10332" s="6" t="s">
        <v>120</v>
      </c>
      <c r="D10332" s="13" t="n">
        <v>45295</v>
      </c>
      <c r="E10332" s="14" t="n">
        <v>5817.85</v>
      </c>
      <c r="F10332" s="14" t="n">
        <v>27972.03</v>
      </c>
      <c r="G10332" s="6" t="s">
        <v>2613</v>
      </c>
    </row>
    <row r="10333" customFormat="false" ht="15" hidden="false" customHeight="true" outlineLevel="0" collapsed="false">
      <c r="A10333" s="6" t="s">
        <v>12945</v>
      </c>
      <c r="B10333" s="6" t="s">
        <v>2109</v>
      </c>
      <c r="C10333" s="6" t="s">
        <v>120</v>
      </c>
      <c r="D10333" s="13" t="n">
        <v>45302</v>
      </c>
      <c r="E10333" s="14" t="n">
        <v>6913.52</v>
      </c>
      <c r="F10333" s="14" t="n">
        <v>34885.55</v>
      </c>
      <c r="G10333" s="6" t="s">
        <v>2613</v>
      </c>
    </row>
    <row r="10334" customFormat="false" ht="15" hidden="false" customHeight="true" outlineLevel="0" collapsed="false">
      <c r="A10334" s="6" t="s">
        <v>12946</v>
      </c>
      <c r="B10334" s="6" t="s">
        <v>2111</v>
      </c>
      <c r="C10334" s="6" t="s">
        <v>120</v>
      </c>
      <c r="D10334" s="13" t="n">
        <v>45481</v>
      </c>
      <c r="E10334" s="14" t="n">
        <v>337.54</v>
      </c>
      <c r="F10334" s="14" t="n">
        <v>337.54</v>
      </c>
      <c r="G10334" s="6" t="s">
        <v>2623</v>
      </c>
    </row>
    <row r="10335" customFormat="false" ht="15" hidden="false" customHeight="true" outlineLevel="0" collapsed="false">
      <c r="A10335" s="6" t="s">
        <v>12947</v>
      </c>
      <c r="B10335" s="6" t="s">
        <v>2111</v>
      </c>
      <c r="C10335" s="6" t="s">
        <v>120</v>
      </c>
      <c r="D10335" s="13" t="n">
        <v>45488</v>
      </c>
      <c r="E10335" s="14" t="n">
        <v>476.41</v>
      </c>
      <c r="F10335" s="14" t="n">
        <v>813.95</v>
      </c>
      <c r="G10335" s="6" t="s">
        <v>2613</v>
      </c>
    </row>
    <row r="10336" customFormat="false" ht="15" hidden="false" customHeight="true" outlineLevel="0" collapsed="false">
      <c r="A10336" s="6" t="s">
        <v>12948</v>
      </c>
      <c r="B10336" s="6" t="s">
        <v>2111</v>
      </c>
      <c r="C10336" s="6" t="s">
        <v>120</v>
      </c>
      <c r="D10336" s="13" t="n">
        <v>45495</v>
      </c>
      <c r="E10336" s="14" t="n">
        <v>582.69</v>
      </c>
      <c r="F10336" s="14" t="n">
        <v>1396.64</v>
      </c>
      <c r="G10336" s="6" t="s">
        <v>2613</v>
      </c>
    </row>
    <row r="10337" customFormat="false" ht="15" hidden="false" customHeight="true" outlineLevel="0" collapsed="false">
      <c r="A10337" s="6" t="s">
        <v>12949</v>
      </c>
      <c r="B10337" s="6" t="s">
        <v>2111</v>
      </c>
      <c r="C10337" s="6" t="s">
        <v>120</v>
      </c>
      <c r="D10337" s="13" t="n">
        <v>45502</v>
      </c>
      <c r="E10337" s="14" t="n">
        <v>346.9</v>
      </c>
      <c r="F10337" s="14" t="n">
        <v>1743.54</v>
      </c>
      <c r="G10337" s="6" t="s">
        <v>2613</v>
      </c>
    </row>
    <row r="10338" customFormat="false" ht="15" hidden="false" customHeight="true" outlineLevel="0" collapsed="false">
      <c r="A10338" s="6" t="s">
        <v>12950</v>
      </c>
      <c r="B10338" s="6" t="s">
        <v>2111</v>
      </c>
      <c r="C10338" s="6" t="s">
        <v>120</v>
      </c>
      <c r="D10338" s="13" t="n">
        <v>45509</v>
      </c>
      <c r="E10338" s="14" t="n">
        <v>278.57</v>
      </c>
      <c r="F10338" s="14" t="n">
        <v>2022.11</v>
      </c>
      <c r="G10338" s="6" t="s">
        <v>2613</v>
      </c>
    </row>
    <row r="10339" customFormat="false" ht="15" hidden="false" customHeight="true" outlineLevel="0" collapsed="false">
      <c r="A10339" s="6" t="s">
        <v>12951</v>
      </c>
      <c r="B10339" s="6" t="s">
        <v>2111</v>
      </c>
      <c r="C10339" s="6" t="s">
        <v>120</v>
      </c>
      <c r="D10339" s="13" t="n">
        <v>45516</v>
      </c>
      <c r="E10339" s="14" t="n">
        <v>383.69</v>
      </c>
      <c r="F10339" s="14" t="n">
        <v>2405.8</v>
      </c>
      <c r="G10339" s="6" t="s">
        <v>2613</v>
      </c>
    </row>
    <row r="10340" customFormat="false" ht="15" hidden="false" customHeight="true" outlineLevel="0" collapsed="false">
      <c r="A10340" s="6" t="s">
        <v>12952</v>
      </c>
      <c r="B10340" s="6" t="s">
        <v>2111</v>
      </c>
      <c r="C10340" s="6" t="s">
        <v>120</v>
      </c>
      <c r="D10340" s="13" t="n">
        <v>45523</v>
      </c>
      <c r="E10340" s="14" t="n">
        <v>348.14</v>
      </c>
      <c r="F10340" s="14" t="n">
        <v>2753.94</v>
      </c>
      <c r="G10340" s="6" t="s">
        <v>2613</v>
      </c>
    </row>
    <row r="10341" customFormat="false" ht="15" hidden="false" customHeight="true" outlineLevel="0" collapsed="false">
      <c r="A10341" s="6" t="s">
        <v>12953</v>
      </c>
      <c r="B10341" s="6" t="s">
        <v>2111</v>
      </c>
      <c r="C10341" s="6" t="s">
        <v>120</v>
      </c>
      <c r="D10341" s="13" t="n">
        <v>45530</v>
      </c>
      <c r="E10341" s="14" t="n">
        <v>381.54</v>
      </c>
      <c r="F10341" s="14" t="n">
        <v>3135.48</v>
      </c>
      <c r="G10341" s="6" t="s">
        <v>2613</v>
      </c>
    </row>
    <row r="10342" customFormat="false" ht="15" hidden="false" customHeight="true" outlineLevel="0" collapsed="false">
      <c r="A10342" s="6" t="s">
        <v>12954</v>
      </c>
      <c r="B10342" s="6" t="s">
        <v>2111</v>
      </c>
      <c r="C10342" s="6" t="s">
        <v>120</v>
      </c>
      <c r="D10342" s="13" t="n">
        <v>45537</v>
      </c>
      <c r="E10342" s="14" t="n">
        <v>419.83</v>
      </c>
      <c r="F10342" s="14" t="n">
        <v>3555.31</v>
      </c>
      <c r="G10342" s="6" t="s">
        <v>2623</v>
      </c>
    </row>
    <row r="10343" customFormat="false" ht="15" hidden="false" customHeight="true" outlineLevel="0" collapsed="false">
      <c r="A10343" s="6" t="s">
        <v>12955</v>
      </c>
      <c r="B10343" s="6" t="s">
        <v>2111</v>
      </c>
      <c r="C10343" s="6" t="s">
        <v>120</v>
      </c>
      <c r="D10343" s="13" t="n">
        <v>45544</v>
      </c>
      <c r="E10343" s="14" t="n">
        <v>287.39</v>
      </c>
      <c r="F10343" s="14" t="n">
        <v>3842.7</v>
      </c>
      <c r="G10343" s="6" t="s">
        <v>2623</v>
      </c>
    </row>
    <row r="10344" customFormat="false" ht="15" hidden="false" customHeight="true" outlineLevel="0" collapsed="false">
      <c r="A10344" s="6" t="s">
        <v>12956</v>
      </c>
      <c r="B10344" s="6" t="s">
        <v>2111</v>
      </c>
      <c r="C10344" s="6" t="s">
        <v>120</v>
      </c>
      <c r="D10344" s="13" t="n">
        <v>45551</v>
      </c>
      <c r="E10344" s="14" t="n">
        <v>1127.92</v>
      </c>
      <c r="F10344" s="14" t="n">
        <v>4970.62</v>
      </c>
      <c r="G10344" s="6" t="s">
        <v>2613</v>
      </c>
    </row>
    <row r="10345" customFormat="false" ht="15" hidden="false" customHeight="true" outlineLevel="0" collapsed="false">
      <c r="A10345" s="6" t="s">
        <v>12957</v>
      </c>
      <c r="B10345" s="6" t="s">
        <v>2113</v>
      </c>
      <c r="C10345" s="6" t="s">
        <v>112</v>
      </c>
      <c r="D10345" s="13" t="n">
        <v>44665</v>
      </c>
      <c r="E10345" s="14" t="n">
        <v>5462.37</v>
      </c>
      <c r="F10345" s="14" t="n">
        <v>5462.37</v>
      </c>
      <c r="G10345" s="6" t="s">
        <v>2613</v>
      </c>
    </row>
    <row r="10346" customFormat="false" ht="15" hidden="false" customHeight="true" outlineLevel="0" collapsed="false">
      <c r="A10346" s="6" t="s">
        <v>12958</v>
      </c>
      <c r="B10346" s="6" t="s">
        <v>2113</v>
      </c>
      <c r="C10346" s="6" t="s">
        <v>112</v>
      </c>
      <c r="D10346" s="13" t="n">
        <v>44672</v>
      </c>
      <c r="E10346" s="14" t="n">
        <v>2742.59</v>
      </c>
      <c r="F10346" s="14" t="n">
        <v>8204.96</v>
      </c>
      <c r="G10346" s="6" t="s">
        <v>2613</v>
      </c>
    </row>
    <row r="10347" customFormat="false" ht="15" hidden="false" customHeight="true" outlineLevel="0" collapsed="false">
      <c r="A10347" s="6" t="s">
        <v>12959</v>
      </c>
      <c r="B10347" s="6" t="s">
        <v>2113</v>
      </c>
      <c r="C10347" s="6" t="s">
        <v>112</v>
      </c>
      <c r="D10347" s="13" t="n">
        <v>44679</v>
      </c>
      <c r="E10347" s="14" t="n">
        <v>5342.38</v>
      </c>
      <c r="F10347" s="14" t="n">
        <v>13547.34</v>
      </c>
      <c r="G10347" s="6" t="s">
        <v>2613</v>
      </c>
    </row>
    <row r="10348" customFormat="false" ht="15" hidden="false" customHeight="true" outlineLevel="0" collapsed="false">
      <c r="A10348" s="6" t="s">
        <v>12960</v>
      </c>
      <c r="B10348" s="6" t="s">
        <v>2113</v>
      </c>
      <c r="C10348" s="6" t="s">
        <v>112</v>
      </c>
      <c r="D10348" s="13" t="n">
        <v>44686</v>
      </c>
      <c r="E10348" s="14" t="n">
        <v>5031.63</v>
      </c>
      <c r="F10348" s="14" t="n">
        <v>18578.97</v>
      </c>
      <c r="G10348" s="6" t="s">
        <v>2613</v>
      </c>
    </row>
    <row r="10349" customFormat="false" ht="15" hidden="false" customHeight="true" outlineLevel="0" collapsed="false">
      <c r="A10349" s="6" t="s">
        <v>12961</v>
      </c>
      <c r="B10349" s="6" t="s">
        <v>2113</v>
      </c>
      <c r="C10349" s="6" t="s">
        <v>112</v>
      </c>
      <c r="D10349" s="13" t="n">
        <v>44693</v>
      </c>
      <c r="E10349" s="14" t="n">
        <v>2750.63</v>
      </c>
      <c r="F10349" s="14" t="n">
        <v>21329.6</v>
      </c>
      <c r="G10349" s="6" t="s">
        <v>2623</v>
      </c>
    </row>
    <row r="10350" customFormat="false" ht="15" hidden="false" customHeight="true" outlineLevel="0" collapsed="false">
      <c r="A10350" s="6" t="s">
        <v>12962</v>
      </c>
      <c r="B10350" s="6" t="s">
        <v>2113</v>
      </c>
      <c r="C10350" s="6" t="s">
        <v>112</v>
      </c>
      <c r="D10350" s="13" t="n">
        <v>44700</v>
      </c>
      <c r="E10350" s="14" t="n">
        <v>3523.19</v>
      </c>
      <c r="F10350" s="14" t="n">
        <v>24852.79</v>
      </c>
      <c r="G10350" s="6" t="s">
        <v>2613</v>
      </c>
    </row>
    <row r="10351" customFormat="false" ht="15" hidden="false" customHeight="true" outlineLevel="0" collapsed="false">
      <c r="A10351" s="6" t="s">
        <v>12963</v>
      </c>
      <c r="B10351" s="6" t="s">
        <v>2113</v>
      </c>
      <c r="C10351" s="6" t="s">
        <v>112</v>
      </c>
      <c r="D10351" s="13" t="n">
        <v>44707</v>
      </c>
      <c r="E10351" s="14" t="n">
        <v>4563.49</v>
      </c>
      <c r="F10351" s="14" t="n">
        <v>29416.28</v>
      </c>
      <c r="G10351" s="6" t="s">
        <v>2613</v>
      </c>
    </row>
    <row r="10352" customFormat="false" ht="15" hidden="false" customHeight="true" outlineLevel="0" collapsed="false">
      <c r="A10352" s="6" t="s">
        <v>12964</v>
      </c>
      <c r="B10352" s="6" t="s">
        <v>2113</v>
      </c>
      <c r="C10352" s="6" t="s">
        <v>112</v>
      </c>
      <c r="D10352" s="13" t="n">
        <v>44714</v>
      </c>
      <c r="E10352" s="14" t="n">
        <v>4217.15</v>
      </c>
      <c r="F10352" s="14" t="n">
        <v>33633.43</v>
      </c>
      <c r="G10352" s="6" t="s">
        <v>2613</v>
      </c>
    </row>
    <row r="10353" customFormat="false" ht="15" hidden="false" customHeight="true" outlineLevel="0" collapsed="false">
      <c r="A10353" s="6" t="s">
        <v>12965</v>
      </c>
      <c r="B10353" s="6" t="s">
        <v>2113</v>
      </c>
      <c r="C10353" s="6" t="s">
        <v>112</v>
      </c>
      <c r="D10353" s="13" t="n">
        <v>44721</v>
      </c>
      <c r="E10353" s="14" t="n">
        <v>5282.54</v>
      </c>
      <c r="F10353" s="14" t="n">
        <v>38915.97</v>
      </c>
      <c r="G10353" s="6" t="s">
        <v>2613</v>
      </c>
    </row>
    <row r="10354" customFormat="false" ht="15" hidden="false" customHeight="true" outlineLevel="0" collapsed="false">
      <c r="A10354" s="6" t="s">
        <v>12966</v>
      </c>
      <c r="B10354" s="6" t="s">
        <v>2113</v>
      </c>
      <c r="C10354" s="6" t="s">
        <v>112</v>
      </c>
      <c r="D10354" s="13" t="n">
        <v>44728</v>
      </c>
      <c r="E10354" s="14" t="n">
        <v>4577.67</v>
      </c>
      <c r="F10354" s="14" t="n">
        <v>43493.64</v>
      </c>
      <c r="G10354" s="6" t="s">
        <v>2613</v>
      </c>
    </row>
    <row r="10355" customFormat="false" ht="15" hidden="false" customHeight="true" outlineLevel="0" collapsed="false">
      <c r="A10355" s="6" t="s">
        <v>12967</v>
      </c>
      <c r="B10355" s="6" t="s">
        <v>2113</v>
      </c>
      <c r="C10355" s="6" t="s">
        <v>112</v>
      </c>
      <c r="D10355" s="13" t="n">
        <v>44735</v>
      </c>
      <c r="E10355" s="14" t="n">
        <v>4914.62</v>
      </c>
      <c r="F10355" s="14" t="n">
        <v>48408.26</v>
      </c>
      <c r="G10355" s="6" t="s">
        <v>2613</v>
      </c>
    </row>
    <row r="10356" customFormat="false" ht="15" hidden="false" customHeight="true" outlineLevel="0" collapsed="false">
      <c r="A10356" s="6" t="s">
        <v>12968</v>
      </c>
      <c r="B10356" s="6" t="s">
        <v>2113</v>
      </c>
      <c r="C10356" s="6" t="s">
        <v>112</v>
      </c>
      <c r="D10356" s="13" t="n">
        <v>44742</v>
      </c>
      <c r="E10356" s="14" t="n">
        <v>2357.09</v>
      </c>
      <c r="F10356" s="14" t="n">
        <v>50765.35</v>
      </c>
      <c r="G10356" s="6" t="s">
        <v>2613</v>
      </c>
    </row>
    <row r="10357" customFormat="false" ht="15" hidden="false" customHeight="true" outlineLevel="0" collapsed="false">
      <c r="A10357" s="6" t="s">
        <v>12969</v>
      </c>
      <c r="B10357" s="6" t="s">
        <v>2115</v>
      </c>
      <c r="C10357" s="6" t="s">
        <v>120</v>
      </c>
      <c r="D10357" s="13" t="n">
        <v>45503</v>
      </c>
      <c r="E10357" s="14" t="n">
        <v>1765.97</v>
      </c>
      <c r="F10357" s="14" t="n">
        <v>1765.97</v>
      </c>
      <c r="G10357" s="6" t="s">
        <v>2613</v>
      </c>
    </row>
    <row r="10358" customFormat="false" ht="15" hidden="false" customHeight="true" outlineLevel="0" collapsed="false">
      <c r="A10358" s="6" t="s">
        <v>12970</v>
      </c>
      <c r="B10358" s="6" t="s">
        <v>2115</v>
      </c>
      <c r="C10358" s="6" t="s">
        <v>120</v>
      </c>
      <c r="D10358" s="13" t="n">
        <v>45510</v>
      </c>
      <c r="E10358" s="14" t="n">
        <v>2174.39</v>
      </c>
      <c r="F10358" s="14" t="n">
        <v>3940.36</v>
      </c>
      <c r="G10358" s="6" t="s">
        <v>2613</v>
      </c>
    </row>
    <row r="10359" customFormat="false" ht="15" hidden="false" customHeight="true" outlineLevel="0" collapsed="false">
      <c r="A10359" s="6" t="s">
        <v>12971</v>
      </c>
      <c r="B10359" s="6" t="s">
        <v>2115</v>
      </c>
      <c r="C10359" s="6" t="s">
        <v>120</v>
      </c>
      <c r="D10359" s="13" t="n">
        <v>45517</v>
      </c>
      <c r="E10359" s="14" t="n">
        <v>1933.68</v>
      </c>
      <c r="F10359" s="14" t="n">
        <v>5874.04</v>
      </c>
      <c r="G10359" s="6" t="s">
        <v>2613</v>
      </c>
    </row>
    <row r="10360" customFormat="false" ht="15" hidden="false" customHeight="true" outlineLevel="0" collapsed="false">
      <c r="A10360" s="6" t="s">
        <v>12972</v>
      </c>
      <c r="B10360" s="6" t="s">
        <v>2115</v>
      </c>
      <c r="C10360" s="6" t="s">
        <v>120</v>
      </c>
      <c r="D10360" s="13" t="n">
        <v>45524</v>
      </c>
      <c r="E10360" s="14" t="n">
        <v>2434.83</v>
      </c>
      <c r="F10360" s="14" t="n">
        <v>8308.87</v>
      </c>
      <c r="G10360" s="6" t="s">
        <v>2613</v>
      </c>
    </row>
    <row r="10361" customFormat="false" ht="15" hidden="false" customHeight="true" outlineLevel="0" collapsed="false">
      <c r="A10361" s="6" t="s">
        <v>12973</v>
      </c>
      <c r="B10361" s="6" t="s">
        <v>2115</v>
      </c>
      <c r="C10361" s="6" t="s">
        <v>120</v>
      </c>
      <c r="D10361" s="13" t="n">
        <v>45531</v>
      </c>
      <c r="E10361" s="14" t="n">
        <v>3745.97</v>
      </c>
      <c r="F10361" s="14" t="n">
        <v>12054.84</v>
      </c>
      <c r="G10361" s="6" t="s">
        <v>2613</v>
      </c>
    </row>
    <row r="10362" customFormat="false" ht="15" hidden="false" customHeight="true" outlineLevel="0" collapsed="false">
      <c r="A10362" s="6" t="s">
        <v>12974</v>
      </c>
      <c r="B10362" s="6" t="s">
        <v>2115</v>
      </c>
      <c r="C10362" s="6" t="s">
        <v>120</v>
      </c>
      <c r="D10362" s="13" t="n">
        <v>45538</v>
      </c>
      <c r="E10362" s="14" t="n">
        <v>1861.38</v>
      </c>
      <c r="F10362" s="14" t="n">
        <v>13916.22</v>
      </c>
      <c r="G10362" s="6" t="s">
        <v>2613</v>
      </c>
    </row>
    <row r="10363" customFormat="false" ht="15" hidden="false" customHeight="true" outlineLevel="0" collapsed="false">
      <c r="A10363" s="6" t="s">
        <v>12975</v>
      </c>
      <c r="B10363" s="6" t="s">
        <v>2115</v>
      </c>
      <c r="C10363" s="6" t="s">
        <v>120</v>
      </c>
      <c r="D10363" s="13" t="n">
        <v>45545</v>
      </c>
      <c r="E10363" s="14" t="n">
        <v>2690.59</v>
      </c>
      <c r="F10363" s="14" t="n">
        <v>16606.81</v>
      </c>
      <c r="G10363" s="6" t="s">
        <v>2613</v>
      </c>
    </row>
    <row r="10364" customFormat="false" ht="15" hidden="false" customHeight="true" outlineLevel="0" collapsed="false">
      <c r="A10364" s="6" t="s">
        <v>12976</v>
      </c>
      <c r="B10364" s="6" t="s">
        <v>2115</v>
      </c>
      <c r="C10364" s="6" t="s">
        <v>120</v>
      </c>
      <c r="D10364" s="13" t="n">
        <v>45552</v>
      </c>
      <c r="E10364" s="14" t="n">
        <v>2298.69</v>
      </c>
      <c r="F10364" s="14" t="n">
        <v>18905.5</v>
      </c>
      <c r="G10364" s="6" t="s">
        <v>2613</v>
      </c>
    </row>
    <row r="10365" customFormat="false" ht="15" hidden="false" customHeight="true" outlineLevel="0" collapsed="false">
      <c r="A10365" s="6" t="s">
        <v>12977</v>
      </c>
      <c r="B10365" s="6" t="s">
        <v>2115</v>
      </c>
      <c r="C10365" s="6" t="s">
        <v>120</v>
      </c>
      <c r="D10365" s="13" t="n">
        <v>45559</v>
      </c>
      <c r="E10365" s="14" t="n">
        <v>3677.79</v>
      </c>
      <c r="F10365" s="14" t="n">
        <v>22583.29</v>
      </c>
      <c r="G10365" s="6" t="s">
        <v>2623</v>
      </c>
    </row>
    <row r="10366" customFormat="false" ht="15" hidden="false" customHeight="true" outlineLevel="0" collapsed="false">
      <c r="A10366" s="6" t="s">
        <v>12978</v>
      </c>
      <c r="B10366" s="6" t="s">
        <v>2115</v>
      </c>
      <c r="C10366" s="6" t="s">
        <v>120</v>
      </c>
      <c r="D10366" s="13" t="n">
        <v>45566</v>
      </c>
      <c r="E10366" s="14" t="n">
        <v>3818.34</v>
      </c>
      <c r="F10366" s="14" t="n">
        <v>26401.63</v>
      </c>
      <c r="G10366" s="6" t="s">
        <v>2613</v>
      </c>
    </row>
    <row r="10367" customFormat="false" ht="15" hidden="false" customHeight="true" outlineLevel="0" collapsed="false">
      <c r="A10367" s="6" t="s">
        <v>12979</v>
      </c>
      <c r="B10367" s="6" t="s">
        <v>2115</v>
      </c>
      <c r="C10367" s="6" t="s">
        <v>120</v>
      </c>
      <c r="D10367" s="13" t="n">
        <v>45573</v>
      </c>
      <c r="E10367" s="14" t="n">
        <v>2571.24</v>
      </c>
      <c r="F10367" s="14" t="n">
        <v>28972.87</v>
      </c>
      <c r="G10367" s="6" t="s">
        <v>2613</v>
      </c>
    </row>
    <row r="10368" customFormat="false" ht="15" hidden="false" customHeight="true" outlineLevel="0" collapsed="false">
      <c r="A10368" s="6" t="s">
        <v>12980</v>
      </c>
      <c r="B10368" s="6" t="s">
        <v>2115</v>
      </c>
      <c r="C10368" s="6" t="s">
        <v>120</v>
      </c>
      <c r="D10368" s="13" t="n">
        <v>45580</v>
      </c>
      <c r="E10368" s="14" t="n">
        <v>3183.74</v>
      </c>
      <c r="F10368" s="14" t="n">
        <v>32156.61</v>
      </c>
      <c r="G10368" s="6" t="s">
        <v>2613</v>
      </c>
    </row>
    <row r="10369" customFormat="false" ht="15" hidden="false" customHeight="true" outlineLevel="0" collapsed="false">
      <c r="A10369" s="6" t="s">
        <v>12981</v>
      </c>
      <c r="B10369" s="6" t="s">
        <v>2115</v>
      </c>
      <c r="C10369" s="6" t="s">
        <v>120</v>
      </c>
      <c r="D10369" s="13" t="n">
        <v>45587</v>
      </c>
      <c r="E10369" s="14" t="n">
        <v>4089.8</v>
      </c>
      <c r="F10369" s="14" t="n">
        <v>36246.41</v>
      </c>
      <c r="G10369" s="6" t="s">
        <v>2613</v>
      </c>
    </row>
    <row r="10370" customFormat="false" ht="15" hidden="false" customHeight="true" outlineLevel="0" collapsed="false">
      <c r="A10370" s="6" t="s">
        <v>12982</v>
      </c>
      <c r="B10370" s="6" t="s">
        <v>2117</v>
      </c>
      <c r="C10370" s="6" t="s">
        <v>112</v>
      </c>
      <c r="D10370" s="13" t="n">
        <v>46044</v>
      </c>
      <c r="E10370" s="14" t="n">
        <v>4543.01</v>
      </c>
      <c r="F10370" s="14" t="n">
        <v>4543.01</v>
      </c>
      <c r="G10370" s="6" t="s">
        <v>2613</v>
      </c>
    </row>
    <row r="10371" customFormat="false" ht="15" hidden="false" customHeight="true" outlineLevel="0" collapsed="false">
      <c r="A10371" s="6" t="s">
        <v>12983</v>
      </c>
      <c r="B10371" s="6" t="s">
        <v>2117</v>
      </c>
      <c r="C10371" s="6" t="s">
        <v>112</v>
      </c>
      <c r="D10371" s="13" t="n">
        <v>46051</v>
      </c>
      <c r="E10371" s="14" t="n">
        <v>4155.72</v>
      </c>
      <c r="F10371" s="14" t="n">
        <v>8698.73</v>
      </c>
      <c r="G10371" s="6" t="s">
        <v>2613</v>
      </c>
    </row>
    <row r="10372" customFormat="false" ht="15" hidden="false" customHeight="true" outlineLevel="0" collapsed="false">
      <c r="A10372" s="6" t="s">
        <v>12984</v>
      </c>
      <c r="B10372" s="6" t="s">
        <v>2117</v>
      </c>
      <c r="C10372" s="6" t="s">
        <v>112</v>
      </c>
      <c r="D10372" s="13" t="n">
        <v>46058</v>
      </c>
      <c r="E10372" s="14" t="n">
        <v>4118.13</v>
      </c>
      <c r="F10372" s="14" t="n">
        <v>12816.86</v>
      </c>
      <c r="G10372" s="6" t="s">
        <v>2623</v>
      </c>
    </row>
    <row r="10373" customFormat="false" ht="15" hidden="false" customHeight="true" outlineLevel="0" collapsed="false">
      <c r="A10373" s="6" t="s">
        <v>12985</v>
      </c>
      <c r="B10373" s="6" t="s">
        <v>2117</v>
      </c>
      <c r="C10373" s="6" t="s">
        <v>112</v>
      </c>
      <c r="D10373" s="13" t="n">
        <v>46065</v>
      </c>
      <c r="E10373" s="14" t="n">
        <v>5799.65</v>
      </c>
      <c r="F10373" s="14" t="n">
        <v>18616.51</v>
      </c>
      <c r="G10373" s="6" t="s">
        <v>2613</v>
      </c>
    </row>
    <row r="10374" customFormat="false" ht="15" hidden="false" customHeight="true" outlineLevel="0" collapsed="false">
      <c r="A10374" s="6" t="s">
        <v>12986</v>
      </c>
      <c r="B10374" s="6" t="s">
        <v>2117</v>
      </c>
      <c r="C10374" s="6" t="s">
        <v>112</v>
      </c>
      <c r="D10374" s="13" t="n">
        <v>46072</v>
      </c>
      <c r="E10374" s="14" t="n">
        <v>7475.76</v>
      </c>
      <c r="F10374" s="14" t="n">
        <v>26092.27</v>
      </c>
      <c r="G10374" s="6" t="s">
        <v>2613</v>
      </c>
    </row>
    <row r="10375" customFormat="false" ht="15" hidden="false" customHeight="true" outlineLevel="0" collapsed="false">
      <c r="A10375" s="6" t="s">
        <v>12987</v>
      </c>
      <c r="B10375" s="6" t="s">
        <v>2117</v>
      </c>
      <c r="C10375" s="6" t="s">
        <v>112</v>
      </c>
      <c r="D10375" s="13" t="n">
        <v>46079</v>
      </c>
      <c r="E10375" s="14" t="n">
        <v>4697.92</v>
      </c>
      <c r="F10375" s="14" t="n">
        <v>30790.19</v>
      </c>
      <c r="G10375" s="6" t="s">
        <v>2613</v>
      </c>
    </row>
    <row r="10376" customFormat="false" ht="15" hidden="false" customHeight="true" outlineLevel="0" collapsed="false">
      <c r="A10376" s="6" t="s">
        <v>12988</v>
      </c>
      <c r="B10376" s="6" t="s">
        <v>2117</v>
      </c>
      <c r="C10376" s="6" t="s">
        <v>112</v>
      </c>
      <c r="D10376" s="13" t="n">
        <v>46086</v>
      </c>
      <c r="E10376" s="14" t="n">
        <v>5325.21</v>
      </c>
      <c r="F10376" s="14" t="n">
        <v>36115.4</v>
      </c>
      <c r="G10376" s="6" t="s">
        <v>2613</v>
      </c>
    </row>
    <row r="10377" customFormat="false" ht="15" hidden="false" customHeight="true" outlineLevel="0" collapsed="false">
      <c r="A10377" s="6" t="s">
        <v>12989</v>
      </c>
      <c r="B10377" s="6" t="s">
        <v>2117</v>
      </c>
      <c r="C10377" s="6" t="s">
        <v>112</v>
      </c>
      <c r="D10377" s="13" t="n">
        <v>46093</v>
      </c>
      <c r="E10377" s="14" t="n">
        <v>3552.28</v>
      </c>
      <c r="F10377" s="14" t="n">
        <v>39667.68</v>
      </c>
      <c r="G10377" s="6" t="s">
        <v>2613</v>
      </c>
    </row>
    <row r="10378" customFormat="false" ht="15" hidden="false" customHeight="true" outlineLevel="0" collapsed="false">
      <c r="A10378" s="6" t="s">
        <v>12990</v>
      </c>
      <c r="B10378" s="6" t="s">
        <v>2117</v>
      </c>
      <c r="C10378" s="6" t="s">
        <v>112</v>
      </c>
      <c r="D10378" s="13" t="n">
        <v>46100</v>
      </c>
      <c r="E10378" s="14" t="n">
        <v>6114.67</v>
      </c>
      <c r="F10378" s="14" t="n">
        <v>45782.35</v>
      </c>
      <c r="G10378" s="6" t="s">
        <v>2613</v>
      </c>
    </row>
    <row r="10379" customFormat="false" ht="15" hidden="false" customHeight="true" outlineLevel="0" collapsed="false">
      <c r="A10379" s="6" t="s">
        <v>12991</v>
      </c>
      <c r="B10379" s="6" t="s">
        <v>2117</v>
      </c>
      <c r="C10379" s="6" t="s">
        <v>112</v>
      </c>
      <c r="D10379" s="13" t="n">
        <v>46107</v>
      </c>
      <c r="E10379" s="14" t="n">
        <v>4182.24</v>
      </c>
      <c r="F10379" s="14" t="n">
        <v>49964.59</v>
      </c>
      <c r="G10379" s="6" t="s">
        <v>2613</v>
      </c>
    </row>
    <row r="10380" customFormat="false" ht="15" hidden="false" customHeight="true" outlineLevel="0" collapsed="false">
      <c r="A10380" s="6" t="s">
        <v>12992</v>
      </c>
      <c r="B10380" s="6" t="s">
        <v>2117</v>
      </c>
      <c r="C10380" s="6" t="s">
        <v>112</v>
      </c>
      <c r="D10380" s="13" t="n">
        <v>46114</v>
      </c>
      <c r="E10380" s="14" t="n">
        <v>4543.79</v>
      </c>
      <c r="F10380" s="14" t="n">
        <v>54508.38</v>
      </c>
      <c r="G10380" s="6" t="s">
        <v>2623</v>
      </c>
    </row>
    <row r="10381" customFormat="false" ht="15" hidden="false" customHeight="true" outlineLevel="0" collapsed="false">
      <c r="A10381" s="6" t="s">
        <v>12993</v>
      </c>
      <c r="B10381" s="6" t="s">
        <v>2117</v>
      </c>
      <c r="C10381" s="6" t="s">
        <v>112</v>
      </c>
      <c r="D10381" s="13" t="n">
        <v>46121</v>
      </c>
      <c r="E10381" s="14" t="n">
        <v>11720.85</v>
      </c>
      <c r="F10381" s="14" t="n">
        <v>66229.23</v>
      </c>
      <c r="G10381" s="6" t="s">
        <v>2613</v>
      </c>
    </row>
    <row r="10382" customFormat="false" ht="15" hidden="false" customHeight="true" outlineLevel="0" collapsed="false">
      <c r="A10382" s="6" t="s">
        <v>12994</v>
      </c>
      <c r="B10382" s="6" t="s">
        <v>2119</v>
      </c>
      <c r="C10382" s="6" t="s">
        <v>120</v>
      </c>
      <c r="D10382" s="13" t="n">
        <v>45415</v>
      </c>
      <c r="E10382" s="14" t="n">
        <v>6853.2</v>
      </c>
      <c r="F10382" s="14" t="n">
        <v>6853.2</v>
      </c>
      <c r="G10382" s="6" t="s">
        <v>2613</v>
      </c>
    </row>
    <row r="10383" customFormat="false" ht="15" hidden="false" customHeight="true" outlineLevel="0" collapsed="false">
      <c r="A10383" s="6" t="s">
        <v>12995</v>
      </c>
      <c r="B10383" s="6" t="s">
        <v>2119</v>
      </c>
      <c r="C10383" s="6" t="s">
        <v>120</v>
      </c>
      <c r="D10383" s="13" t="n">
        <v>45422</v>
      </c>
      <c r="E10383" s="14" t="n">
        <v>9416.11</v>
      </c>
      <c r="F10383" s="14" t="n">
        <v>16269.31</v>
      </c>
      <c r="G10383" s="6" t="s">
        <v>2613</v>
      </c>
    </row>
    <row r="10384" customFormat="false" ht="15" hidden="false" customHeight="true" outlineLevel="0" collapsed="false">
      <c r="A10384" s="6" t="s">
        <v>12996</v>
      </c>
      <c r="B10384" s="6" t="s">
        <v>2119</v>
      </c>
      <c r="C10384" s="6" t="s">
        <v>120</v>
      </c>
      <c r="D10384" s="13" t="n">
        <v>45429</v>
      </c>
      <c r="E10384" s="14" t="n">
        <v>8894.9</v>
      </c>
      <c r="F10384" s="14" t="n">
        <v>25164.21</v>
      </c>
      <c r="G10384" s="6" t="s">
        <v>2613</v>
      </c>
    </row>
    <row r="10385" customFormat="false" ht="15" hidden="false" customHeight="true" outlineLevel="0" collapsed="false">
      <c r="A10385" s="6" t="s">
        <v>12997</v>
      </c>
      <c r="B10385" s="6" t="s">
        <v>2119</v>
      </c>
      <c r="C10385" s="6" t="s">
        <v>120</v>
      </c>
      <c r="D10385" s="13" t="n">
        <v>45436</v>
      </c>
      <c r="E10385" s="14" t="n">
        <v>9008.42</v>
      </c>
      <c r="F10385" s="14" t="n">
        <v>34172.63</v>
      </c>
      <c r="G10385" s="6" t="s">
        <v>2613</v>
      </c>
    </row>
    <row r="10386" customFormat="false" ht="15" hidden="false" customHeight="true" outlineLevel="0" collapsed="false">
      <c r="A10386" s="6" t="s">
        <v>12998</v>
      </c>
      <c r="B10386" s="6" t="s">
        <v>2119</v>
      </c>
      <c r="C10386" s="6" t="s">
        <v>120</v>
      </c>
      <c r="D10386" s="13" t="n">
        <v>45443</v>
      </c>
      <c r="E10386" s="14" t="n">
        <v>9423.69</v>
      </c>
      <c r="F10386" s="14" t="n">
        <v>43596.32</v>
      </c>
      <c r="G10386" s="6" t="s">
        <v>2613</v>
      </c>
    </row>
    <row r="10387" customFormat="false" ht="15" hidden="false" customHeight="true" outlineLevel="0" collapsed="false">
      <c r="A10387" s="6" t="s">
        <v>12999</v>
      </c>
      <c r="B10387" s="6" t="s">
        <v>2119</v>
      </c>
      <c r="C10387" s="6" t="s">
        <v>120</v>
      </c>
      <c r="D10387" s="13" t="n">
        <v>45450</v>
      </c>
      <c r="E10387" s="14" t="n">
        <v>9158.8</v>
      </c>
      <c r="F10387" s="14" t="n">
        <v>52755.12</v>
      </c>
      <c r="G10387" s="6" t="s">
        <v>2613</v>
      </c>
    </row>
    <row r="10388" customFormat="false" ht="15" hidden="false" customHeight="true" outlineLevel="0" collapsed="false">
      <c r="A10388" s="6" t="s">
        <v>13000</v>
      </c>
      <c r="B10388" s="6" t="s">
        <v>2119</v>
      </c>
      <c r="C10388" s="6" t="s">
        <v>120</v>
      </c>
      <c r="D10388" s="13" t="n">
        <v>45457</v>
      </c>
      <c r="E10388" s="14" t="n">
        <v>6591.82</v>
      </c>
      <c r="F10388" s="14" t="n">
        <v>59346.94</v>
      </c>
      <c r="G10388" s="6" t="s">
        <v>2613</v>
      </c>
    </row>
    <row r="10389" customFormat="false" ht="15" hidden="false" customHeight="true" outlineLevel="0" collapsed="false">
      <c r="A10389" s="6" t="s">
        <v>13001</v>
      </c>
      <c r="B10389" s="6" t="s">
        <v>2119</v>
      </c>
      <c r="C10389" s="6" t="s">
        <v>120</v>
      </c>
      <c r="D10389" s="13" t="n">
        <v>45464</v>
      </c>
      <c r="E10389" s="14" t="n">
        <v>7743.11</v>
      </c>
      <c r="F10389" s="14" t="n">
        <v>67090.05</v>
      </c>
      <c r="G10389" s="6" t="s">
        <v>2613</v>
      </c>
    </row>
    <row r="10390" customFormat="false" ht="15" hidden="false" customHeight="true" outlineLevel="0" collapsed="false">
      <c r="A10390" s="6" t="s">
        <v>13002</v>
      </c>
      <c r="B10390" s="6" t="s">
        <v>2119</v>
      </c>
      <c r="C10390" s="6" t="s">
        <v>120</v>
      </c>
      <c r="D10390" s="13" t="n">
        <v>45471</v>
      </c>
      <c r="E10390" s="14" t="n">
        <v>1259.61</v>
      </c>
      <c r="F10390" s="14" t="n">
        <v>68349.66</v>
      </c>
      <c r="G10390" s="6" t="s">
        <v>2613</v>
      </c>
    </row>
    <row r="10391" customFormat="false" ht="15" hidden="false" customHeight="true" outlineLevel="0" collapsed="false">
      <c r="A10391" s="6" t="s">
        <v>13003</v>
      </c>
      <c r="B10391" s="6" t="s">
        <v>2121</v>
      </c>
      <c r="C10391" s="6" t="s">
        <v>120</v>
      </c>
      <c r="D10391" s="13" t="n">
        <v>45141</v>
      </c>
      <c r="E10391" s="14" t="n">
        <v>11229.72</v>
      </c>
      <c r="F10391" s="14" t="n">
        <v>11229.72</v>
      </c>
      <c r="G10391" s="6" t="s">
        <v>2613</v>
      </c>
    </row>
    <row r="10392" customFormat="false" ht="15" hidden="false" customHeight="true" outlineLevel="0" collapsed="false">
      <c r="A10392" s="6" t="s">
        <v>13004</v>
      </c>
      <c r="B10392" s="6" t="s">
        <v>2121</v>
      </c>
      <c r="C10392" s="6" t="s">
        <v>120</v>
      </c>
      <c r="D10392" s="13" t="n">
        <v>45148</v>
      </c>
      <c r="E10392" s="14" t="n">
        <v>8587.38</v>
      </c>
      <c r="F10392" s="14" t="n">
        <v>19817.1</v>
      </c>
      <c r="G10392" s="6" t="s">
        <v>2613</v>
      </c>
    </row>
    <row r="10393" customFormat="false" ht="15" hidden="false" customHeight="true" outlineLevel="0" collapsed="false">
      <c r="A10393" s="6" t="s">
        <v>13005</v>
      </c>
      <c r="B10393" s="6" t="s">
        <v>2121</v>
      </c>
      <c r="C10393" s="6" t="s">
        <v>120</v>
      </c>
      <c r="D10393" s="13" t="n">
        <v>45155</v>
      </c>
      <c r="E10393" s="14" t="n">
        <v>5486.49</v>
      </c>
      <c r="F10393" s="14" t="n">
        <v>25303.59</v>
      </c>
      <c r="G10393" s="6" t="s">
        <v>2613</v>
      </c>
    </row>
    <row r="10394" customFormat="false" ht="15" hidden="false" customHeight="true" outlineLevel="0" collapsed="false">
      <c r="A10394" s="6" t="s">
        <v>13006</v>
      </c>
      <c r="B10394" s="6" t="s">
        <v>2121</v>
      </c>
      <c r="C10394" s="6" t="s">
        <v>120</v>
      </c>
      <c r="D10394" s="13" t="n">
        <v>45162</v>
      </c>
      <c r="E10394" s="14" t="n">
        <v>11219.65</v>
      </c>
      <c r="F10394" s="14" t="n">
        <v>36523.24</v>
      </c>
      <c r="G10394" s="6" t="s">
        <v>2613</v>
      </c>
    </row>
    <row r="10395" customFormat="false" ht="15" hidden="false" customHeight="true" outlineLevel="0" collapsed="false">
      <c r="A10395" s="6" t="s">
        <v>13007</v>
      </c>
      <c r="B10395" s="6" t="s">
        <v>2121</v>
      </c>
      <c r="C10395" s="6" t="s">
        <v>120</v>
      </c>
      <c r="D10395" s="13" t="n">
        <v>45169</v>
      </c>
      <c r="E10395" s="14" t="n">
        <v>7805.46</v>
      </c>
      <c r="F10395" s="14" t="n">
        <v>44328.7</v>
      </c>
      <c r="G10395" s="6" t="s">
        <v>2613</v>
      </c>
    </row>
    <row r="10396" customFormat="false" ht="15" hidden="false" customHeight="true" outlineLevel="0" collapsed="false">
      <c r="A10396" s="6" t="s">
        <v>13008</v>
      </c>
      <c r="B10396" s="6" t="s">
        <v>2121</v>
      </c>
      <c r="C10396" s="6" t="s">
        <v>120</v>
      </c>
      <c r="D10396" s="13" t="n">
        <v>45176</v>
      </c>
      <c r="E10396" s="14" t="n">
        <v>6929.64</v>
      </c>
      <c r="F10396" s="14" t="n">
        <v>51258.34</v>
      </c>
      <c r="G10396" s="6" t="s">
        <v>2613</v>
      </c>
    </row>
    <row r="10397" customFormat="false" ht="15" hidden="false" customHeight="true" outlineLevel="0" collapsed="false">
      <c r="A10397" s="6" t="s">
        <v>13009</v>
      </c>
      <c r="B10397" s="6" t="s">
        <v>2121</v>
      </c>
      <c r="C10397" s="6" t="s">
        <v>120</v>
      </c>
      <c r="D10397" s="13" t="n">
        <v>45183</v>
      </c>
      <c r="E10397" s="14" t="n">
        <v>8228.65</v>
      </c>
      <c r="F10397" s="14" t="n">
        <v>59486.99</v>
      </c>
      <c r="G10397" s="6" t="s">
        <v>2613</v>
      </c>
    </row>
    <row r="10398" customFormat="false" ht="15" hidden="false" customHeight="true" outlineLevel="0" collapsed="false">
      <c r="A10398" s="6" t="s">
        <v>13010</v>
      </c>
      <c r="B10398" s="6" t="s">
        <v>2121</v>
      </c>
      <c r="C10398" s="6" t="s">
        <v>120</v>
      </c>
      <c r="D10398" s="13" t="n">
        <v>45190</v>
      </c>
      <c r="E10398" s="14" t="n">
        <v>8659.92</v>
      </c>
      <c r="F10398" s="14" t="n">
        <v>68146.91</v>
      </c>
      <c r="G10398" s="6" t="s">
        <v>2613</v>
      </c>
    </row>
    <row r="10399" customFormat="false" ht="15" hidden="false" customHeight="true" outlineLevel="0" collapsed="false">
      <c r="A10399" s="6" t="s">
        <v>13011</v>
      </c>
      <c r="B10399" s="6" t="s">
        <v>2121</v>
      </c>
      <c r="C10399" s="6" t="s">
        <v>120</v>
      </c>
      <c r="D10399" s="13" t="n">
        <v>45197</v>
      </c>
      <c r="E10399" s="14" t="n">
        <v>5488.76</v>
      </c>
      <c r="F10399" s="14" t="n">
        <v>73635.67</v>
      </c>
      <c r="G10399" s="6" t="s">
        <v>2613</v>
      </c>
    </row>
    <row r="10400" customFormat="false" ht="15" hidden="false" customHeight="true" outlineLevel="0" collapsed="false">
      <c r="A10400" s="6" t="s">
        <v>13012</v>
      </c>
      <c r="B10400" s="6" t="s">
        <v>2121</v>
      </c>
      <c r="C10400" s="6" t="s">
        <v>120</v>
      </c>
      <c r="D10400" s="13" t="n">
        <v>45204</v>
      </c>
      <c r="E10400" s="14" t="n">
        <v>8811.47</v>
      </c>
      <c r="F10400" s="14" t="n">
        <v>82447.14</v>
      </c>
      <c r="G10400" s="6" t="s">
        <v>2613</v>
      </c>
    </row>
    <row r="10401" customFormat="false" ht="15" hidden="false" customHeight="true" outlineLevel="0" collapsed="false">
      <c r="A10401" s="6" t="s">
        <v>13013</v>
      </c>
      <c r="B10401" s="6" t="s">
        <v>2123</v>
      </c>
      <c r="C10401" s="6" t="s">
        <v>128</v>
      </c>
      <c r="D10401" s="13" t="n">
        <v>46114</v>
      </c>
      <c r="E10401" s="14" t="n">
        <v>2417.18</v>
      </c>
      <c r="F10401" s="14" t="n">
        <v>2417.18</v>
      </c>
      <c r="G10401" s="6" t="s">
        <v>2613</v>
      </c>
    </row>
    <row r="10402" customFormat="false" ht="15" hidden="false" customHeight="true" outlineLevel="0" collapsed="false">
      <c r="A10402" s="6" t="s">
        <v>13014</v>
      </c>
      <c r="B10402" s="6" t="s">
        <v>2123</v>
      </c>
      <c r="C10402" s="6" t="s">
        <v>128</v>
      </c>
      <c r="D10402" s="13" t="n">
        <v>46121</v>
      </c>
      <c r="E10402" s="14" t="n">
        <v>2680.36</v>
      </c>
      <c r="F10402" s="14" t="n">
        <v>5097.54</v>
      </c>
      <c r="G10402" s="6" t="s">
        <v>2613</v>
      </c>
    </row>
    <row r="10403" customFormat="false" ht="15" hidden="false" customHeight="true" outlineLevel="0" collapsed="false">
      <c r="A10403" s="6" t="s">
        <v>13015</v>
      </c>
      <c r="B10403" s="6" t="s">
        <v>2123</v>
      </c>
      <c r="C10403" s="6" t="s">
        <v>128</v>
      </c>
      <c r="D10403" s="13" t="n">
        <v>46128</v>
      </c>
      <c r="E10403" s="14" t="n">
        <v>3979.78</v>
      </c>
      <c r="F10403" s="14" t="n">
        <v>9077.32</v>
      </c>
      <c r="G10403" s="6" t="s">
        <v>2613</v>
      </c>
    </row>
    <row r="10404" customFormat="false" ht="15" hidden="false" customHeight="true" outlineLevel="0" collapsed="false">
      <c r="A10404" s="6" t="s">
        <v>13016</v>
      </c>
      <c r="B10404" s="6" t="s">
        <v>2123</v>
      </c>
      <c r="C10404" s="6" t="s">
        <v>128</v>
      </c>
      <c r="D10404" s="13" t="n">
        <v>46135</v>
      </c>
      <c r="E10404" s="14" t="n">
        <v>3215.28</v>
      </c>
      <c r="F10404" s="14" t="n">
        <v>12292.6</v>
      </c>
      <c r="G10404" s="6" t="s">
        <v>2613</v>
      </c>
    </row>
    <row r="10405" customFormat="false" ht="15" hidden="false" customHeight="true" outlineLevel="0" collapsed="false">
      <c r="A10405" s="6" t="s">
        <v>13017</v>
      </c>
      <c r="B10405" s="6" t="s">
        <v>2123</v>
      </c>
      <c r="C10405" s="6" t="s">
        <v>128</v>
      </c>
      <c r="D10405" s="13" t="n">
        <v>46142</v>
      </c>
      <c r="E10405" s="14" t="n">
        <v>3567.17</v>
      </c>
      <c r="F10405" s="14" t="n">
        <v>15859.77</v>
      </c>
      <c r="G10405" s="6" t="s">
        <v>2613</v>
      </c>
    </row>
    <row r="10406" customFormat="false" ht="15" hidden="false" customHeight="true" outlineLevel="0" collapsed="false">
      <c r="A10406" s="6" t="s">
        <v>13018</v>
      </c>
      <c r="B10406" s="6" t="s">
        <v>2123</v>
      </c>
      <c r="C10406" s="6" t="s">
        <v>128</v>
      </c>
      <c r="D10406" s="13" t="n">
        <v>46149</v>
      </c>
      <c r="E10406" s="14" t="n">
        <v>3438.03</v>
      </c>
      <c r="F10406" s="14" t="n">
        <v>19297.8</v>
      </c>
      <c r="G10406" s="6" t="s">
        <v>2613</v>
      </c>
    </row>
    <row r="10407" customFormat="false" ht="15" hidden="false" customHeight="true" outlineLevel="0" collapsed="false">
      <c r="A10407" s="6" t="s">
        <v>13019</v>
      </c>
      <c r="B10407" s="6" t="s">
        <v>2123</v>
      </c>
      <c r="C10407" s="6" t="s">
        <v>128</v>
      </c>
      <c r="D10407" s="13" t="n">
        <v>46156</v>
      </c>
      <c r="E10407" s="14" t="n">
        <v>1843.91</v>
      </c>
      <c r="F10407" s="14" t="n">
        <v>21141.71</v>
      </c>
      <c r="G10407" s="6" t="s">
        <v>2613</v>
      </c>
    </row>
    <row r="10408" customFormat="false" ht="15" hidden="false" customHeight="true" outlineLevel="0" collapsed="false">
      <c r="A10408" s="6" t="s">
        <v>13020</v>
      </c>
      <c r="B10408" s="6" t="s">
        <v>2123</v>
      </c>
      <c r="C10408" s="6" t="s">
        <v>128</v>
      </c>
      <c r="D10408" s="13" t="n">
        <v>46163</v>
      </c>
      <c r="E10408" s="14" t="n">
        <v>2233.54</v>
      </c>
      <c r="F10408" s="14" t="n">
        <v>23375.25</v>
      </c>
      <c r="G10408" s="6" t="s">
        <v>2613</v>
      </c>
    </row>
    <row r="10409" customFormat="false" ht="15" hidden="false" customHeight="true" outlineLevel="0" collapsed="false">
      <c r="A10409" s="6" t="s">
        <v>13021</v>
      </c>
      <c r="B10409" s="6" t="s">
        <v>2123</v>
      </c>
      <c r="C10409" s="6" t="s">
        <v>128</v>
      </c>
      <c r="D10409" s="13" t="n">
        <v>46170</v>
      </c>
      <c r="E10409" s="14" t="n">
        <v>3547.78</v>
      </c>
      <c r="F10409" s="14" t="n">
        <v>26923.03</v>
      </c>
      <c r="G10409" s="6" t="s">
        <v>2613</v>
      </c>
    </row>
    <row r="10410" customFormat="false" ht="15" hidden="false" customHeight="true" outlineLevel="0" collapsed="false">
      <c r="A10410" s="6" t="s">
        <v>13022</v>
      </c>
      <c r="B10410" s="6" t="s">
        <v>2123</v>
      </c>
      <c r="C10410" s="6" t="s">
        <v>128</v>
      </c>
      <c r="D10410" s="13" t="n">
        <v>46177</v>
      </c>
      <c r="E10410" s="14" t="n">
        <v>3072.55</v>
      </c>
      <c r="F10410" s="14" t="n">
        <v>29995.58</v>
      </c>
      <c r="G10410" s="6" t="s">
        <v>2613</v>
      </c>
    </row>
    <row r="10411" customFormat="false" ht="15" hidden="false" customHeight="true" outlineLevel="0" collapsed="false">
      <c r="A10411" s="6" t="s">
        <v>13023</v>
      </c>
      <c r="B10411" s="6" t="s">
        <v>2123</v>
      </c>
      <c r="C10411" s="6" t="s">
        <v>128</v>
      </c>
      <c r="D10411" s="13" t="n">
        <v>46184</v>
      </c>
      <c r="E10411" s="14" t="n">
        <v>3846.4</v>
      </c>
      <c r="F10411" s="14" t="n">
        <v>33841.98</v>
      </c>
      <c r="G10411" s="6" t="s">
        <v>2613</v>
      </c>
    </row>
    <row r="10412" customFormat="false" ht="15" hidden="false" customHeight="true" outlineLevel="0" collapsed="false">
      <c r="A10412" s="6" t="s">
        <v>13024</v>
      </c>
      <c r="B10412" s="6" t="s">
        <v>2123</v>
      </c>
      <c r="C10412" s="6" t="s">
        <v>128</v>
      </c>
      <c r="D10412" s="13" t="n">
        <v>46191</v>
      </c>
      <c r="E10412" s="14" t="n">
        <v>2310.17</v>
      </c>
      <c r="F10412" s="14" t="n">
        <v>36152.15</v>
      </c>
      <c r="G10412" s="6" t="s">
        <v>2613</v>
      </c>
    </row>
    <row r="10413" customFormat="false" ht="15" hidden="false" customHeight="true" outlineLevel="0" collapsed="false">
      <c r="A10413" s="6" t="s">
        <v>13025</v>
      </c>
      <c r="B10413" s="6" t="s">
        <v>2123</v>
      </c>
      <c r="C10413" s="6" t="s">
        <v>128</v>
      </c>
      <c r="D10413" s="13" t="n">
        <v>46198</v>
      </c>
      <c r="E10413" s="14" t="n">
        <v>2081.06</v>
      </c>
      <c r="F10413" s="14" t="n">
        <v>38233.21</v>
      </c>
      <c r="G10413" s="6" t="s">
        <v>2613</v>
      </c>
    </row>
    <row r="10414" customFormat="false" ht="15" hidden="false" customHeight="true" outlineLevel="0" collapsed="false">
      <c r="A10414" s="6" t="s">
        <v>13026</v>
      </c>
      <c r="B10414" s="6" t="s">
        <v>2123</v>
      </c>
      <c r="C10414" s="6" t="s">
        <v>128</v>
      </c>
      <c r="D10414" s="13" t="n">
        <v>46205</v>
      </c>
      <c r="E10414" s="14" t="n">
        <v>2359.04</v>
      </c>
      <c r="F10414" s="14" t="n">
        <v>40592.25</v>
      </c>
      <c r="G10414" s="6" t="s">
        <v>2613</v>
      </c>
    </row>
    <row r="10415" customFormat="false" ht="15" hidden="false" customHeight="true" outlineLevel="0" collapsed="false">
      <c r="A10415" s="6" t="s">
        <v>13027</v>
      </c>
      <c r="B10415" s="6" t="s">
        <v>2123</v>
      </c>
      <c r="C10415" s="6" t="s">
        <v>128</v>
      </c>
      <c r="D10415" s="13" t="n">
        <v>46212</v>
      </c>
      <c r="E10415" s="14" t="n">
        <v>1954.12</v>
      </c>
      <c r="F10415" s="14" t="n">
        <v>42546.37</v>
      </c>
      <c r="G10415" s="6" t="s">
        <v>2613</v>
      </c>
    </row>
    <row r="10416" customFormat="false" ht="15" hidden="false" customHeight="true" outlineLevel="0" collapsed="false">
      <c r="A10416" s="6" t="s">
        <v>13028</v>
      </c>
      <c r="B10416" s="6" t="s">
        <v>2123</v>
      </c>
      <c r="C10416" s="6" t="s">
        <v>128</v>
      </c>
      <c r="D10416" s="13" t="n">
        <v>46219</v>
      </c>
      <c r="E10416" s="14" t="n">
        <v>2151.45</v>
      </c>
      <c r="F10416" s="14" t="n">
        <v>44697.82</v>
      </c>
      <c r="G10416" s="6" t="s">
        <v>2623</v>
      </c>
    </row>
    <row r="10417" customFormat="false" ht="15" hidden="false" customHeight="true" outlineLevel="0" collapsed="false">
      <c r="A10417" s="6" t="s">
        <v>13029</v>
      </c>
      <c r="B10417" s="6" t="s">
        <v>2123</v>
      </c>
      <c r="C10417" s="6" t="s">
        <v>128</v>
      </c>
      <c r="D10417" s="13" t="n">
        <v>46226</v>
      </c>
      <c r="E10417" s="14" t="n">
        <v>2686.89</v>
      </c>
      <c r="F10417" s="14" t="n">
        <v>47384.71</v>
      </c>
      <c r="G10417" s="6" t="s">
        <v>2613</v>
      </c>
    </row>
    <row r="10418" customFormat="false" ht="15" hidden="false" customHeight="true" outlineLevel="0" collapsed="false">
      <c r="A10418" s="6" t="s">
        <v>13030</v>
      </c>
      <c r="B10418" s="6" t="s">
        <v>2123</v>
      </c>
      <c r="C10418" s="6" t="s">
        <v>128</v>
      </c>
      <c r="D10418" s="13" t="n">
        <v>46233</v>
      </c>
      <c r="E10418" s="14" t="n">
        <v>2273.48</v>
      </c>
      <c r="F10418" s="14" t="n">
        <v>49658.19</v>
      </c>
      <c r="G10418" s="6" t="s">
        <v>2613</v>
      </c>
    </row>
    <row r="10419" customFormat="false" ht="15" hidden="false" customHeight="true" outlineLevel="0" collapsed="false">
      <c r="A10419" s="6" t="s">
        <v>13031</v>
      </c>
      <c r="B10419" s="6" t="s">
        <v>2123</v>
      </c>
      <c r="C10419" s="6" t="s">
        <v>128</v>
      </c>
      <c r="D10419" s="13" t="n">
        <v>46240</v>
      </c>
      <c r="E10419" s="14" t="n">
        <v>3573.53</v>
      </c>
      <c r="F10419" s="14" t="n">
        <v>53231.72</v>
      </c>
      <c r="G10419" s="6" t="s">
        <v>2613</v>
      </c>
    </row>
    <row r="10420" customFormat="false" ht="15" hidden="false" customHeight="true" outlineLevel="0" collapsed="false">
      <c r="A10420" s="6" t="s">
        <v>13032</v>
      </c>
      <c r="B10420" s="6" t="s">
        <v>2123</v>
      </c>
      <c r="C10420" s="6" t="s">
        <v>128</v>
      </c>
      <c r="D10420" s="13" t="n">
        <v>46247</v>
      </c>
      <c r="E10420" s="14" t="n">
        <v>3887.36</v>
      </c>
      <c r="F10420" s="14" t="n">
        <v>57119.08</v>
      </c>
      <c r="G10420" s="6" t="s">
        <v>2613</v>
      </c>
    </row>
    <row r="10421" customFormat="false" ht="15" hidden="false" customHeight="true" outlineLevel="0" collapsed="false">
      <c r="A10421" s="6" t="s">
        <v>13033</v>
      </c>
      <c r="B10421" s="6" t="s">
        <v>2125</v>
      </c>
      <c r="C10421" s="6" t="s">
        <v>120</v>
      </c>
      <c r="D10421" s="13" t="n">
        <v>46123</v>
      </c>
      <c r="E10421" s="14" t="n">
        <v>8354.13</v>
      </c>
      <c r="F10421" s="14" t="n">
        <v>8354.13</v>
      </c>
      <c r="G10421" s="6" t="s">
        <v>2613</v>
      </c>
    </row>
    <row r="10422" customFormat="false" ht="15" hidden="false" customHeight="true" outlineLevel="0" collapsed="false">
      <c r="A10422" s="6" t="s">
        <v>13034</v>
      </c>
      <c r="B10422" s="6" t="s">
        <v>2125</v>
      </c>
      <c r="C10422" s="6" t="s">
        <v>120</v>
      </c>
      <c r="D10422" s="13" t="n">
        <v>46130</v>
      </c>
      <c r="E10422" s="14" t="n">
        <v>5933.49</v>
      </c>
      <c r="F10422" s="14" t="n">
        <v>14287.62</v>
      </c>
      <c r="G10422" s="6" t="s">
        <v>2613</v>
      </c>
    </row>
    <row r="10423" customFormat="false" ht="15" hidden="false" customHeight="true" outlineLevel="0" collapsed="false">
      <c r="A10423" s="6" t="s">
        <v>13035</v>
      </c>
      <c r="B10423" s="6" t="s">
        <v>2125</v>
      </c>
      <c r="C10423" s="6" t="s">
        <v>120</v>
      </c>
      <c r="D10423" s="13" t="n">
        <v>46137</v>
      </c>
      <c r="E10423" s="14" t="n">
        <v>5486.04</v>
      </c>
      <c r="F10423" s="14" t="n">
        <v>19773.66</v>
      </c>
      <c r="G10423" s="6" t="s">
        <v>2613</v>
      </c>
    </row>
    <row r="10424" customFormat="false" ht="15" hidden="false" customHeight="true" outlineLevel="0" collapsed="false">
      <c r="A10424" s="6" t="s">
        <v>13036</v>
      </c>
      <c r="B10424" s="6" t="s">
        <v>2125</v>
      </c>
      <c r="C10424" s="6" t="s">
        <v>120</v>
      </c>
      <c r="D10424" s="13" t="n">
        <v>46144</v>
      </c>
      <c r="E10424" s="14" t="n">
        <v>8097.52</v>
      </c>
      <c r="F10424" s="14" t="n">
        <v>27871.18</v>
      </c>
      <c r="G10424" s="6" t="s">
        <v>2613</v>
      </c>
    </row>
    <row r="10425" customFormat="false" ht="15" hidden="false" customHeight="true" outlineLevel="0" collapsed="false">
      <c r="A10425" s="6" t="s">
        <v>13037</v>
      </c>
      <c r="B10425" s="6" t="s">
        <v>2125</v>
      </c>
      <c r="C10425" s="6" t="s">
        <v>120</v>
      </c>
      <c r="D10425" s="13" t="n">
        <v>46151</v>
      </c>
      <c r="E10425" s="14" t="n">
        <v>5667.43</v>
      </c>
      <c r="F10425" s="14" t="n">
        <v>33538.61</v>
      </c>
      <c r="G10425" s="6" t="s">
        <v>2613</v>
      </c>
    </row>
    <row r="10426" customFormat="false" ht="15" hidden="false" customHeight="true" outlineLevel="0" collapsed="false">
      <c r="A10426" s="6" t="s">
        <v>13038</v>
      </c>
      <c r="B10426" s="6" t="s">
        <v>2125</v>
      </c>
      <c r="C10426" s="6" t="s">
        <v>120</v>
      </c>
      <c r="D10426" s="13" t="n">
        <v>46158</v>
      </c>
      <c r="E10426" s="14" t="n">
        <v>5586.65</v>
      </c>
      <c r="F10426" s="14" t="n">
        <v>39125.26</v>
      </c>
      <c r="G10426" s="6" t="s">
        <v>2613</v>
      </c>
    </row>
    <row r="10427" customFormat="false" ht="15" hidden="false" customHeight="true" outlineLevel="0" collapsed="false">
      <c r="A10427" s="6" t="s">
        <v>13039</v>
      </c>
      <c r="B10427" s="6" t="s">
        <v>2125</v>
      </c>
      <c r="C10427" s="6" t="s">
        <v>120</v>
      </c>
      <c r="D10427" s="13" t="n">
        <v>46165</v>
      </c>
      <c r="E10427" s="14" t="n">
        <v>7456.65</v>
      </c>
      <c r="F10427" s="14" t="n">
        <v>46581.91</v>
      </c>
      <c r="G10427" s="6" t="s">
        <v>2613</v>
      </c>
    </row>
    <row r="10428" customFormat="false" ht="15" hidden="false" customHeight="true" outlineLevel="0" collapsed="false">
      <c r="A10428" s="6" t="s">
        <v>13040</v>
      </c>
      <c r="B10428" s="6" t="s">
        <v>2125</v>
      </c>
      <c r="C10428" s="6" t="s">
        <v>120</v>
      </c>
      <c r="D10428" s="13" t="n">
        <v>46172</v>
      </c>
      <c r="E10428" s="14" t="n">
        <v>4316.58</v>
      </c>
      <c r="F10428" s="14" t="n">
        <v>50898.49</v>
      </c>
      <c r="G10428" s="6" t="s">
        <v>2613</v>
      </c>
    </row>
    <row r="10429" customFormat="false" ht="15" hidden="false" customHeight="true" outlineLevel="0" collapsed="false">
      <c r="A10429" s="6" t="s">
        <v>13041</v>
      </c>
      <c r="B10429" s="6" t="s">
        <v>2125</v>
      </c>
      <c r="C10429" s="6" t="s">
        <v>120</v>
      </c>
      <c r="D10429" s="13" t="n">
        <v>46179</v>
      </c>
      <c r="E10429" s="14" t="n">
        <v>4506.34</v>
      </c>
      <c r="F10429" s="14" t="n">
        <v>55404.83</v>
      </c>
      <c r="G10429" s="6" t="s">
        <v>2623</v>
      </c>
    </row>
    <row r="10430" customFormat="false" ht="15" hidden="false" customHeight="true" outlineLevel="0" collapsed="false">
      <c r="A10430" s="6" t="s">
        <v>13042</v>
      </c>
      <c r="B10430" s="6" t="s">
        <v>2125</v>
      </c>
      <c r="C10430" s="6" t="s">
        <v>120</v>
      </c>
      <c r="D10430" s="13" t="n">
        <v>46186</v>
      </c>
      <c r="E10430" s="14" t="n">
        <v>7037.7</v>
      </c>
      <c r="F10430" s="14" t="n">
        <v>62442.53</v>
      </c>
      <c r="G10430" s="6" t="s">
        <v>2613</v>
      </c>
    </row>
    <row r="10431" customFormat="false" ht="15" hidden="false" customHeight="true" outlineLevel="0" collapsed="false">
      <c r="A10431" s="6" t="s">
        <v>13043</v>
      </c>
      <c r="B10431" s="6" t="s">
        <v>2125</v>
      </c>
      <c r="C10431" s="6" t="s">
        <v>120</v>
      </c>
      <c r="D10431" s="13" t="n">
        <v>46193</v>
      </c>
      <c r="E10431" s="14" t="n">
        <v>4075.22</v>
      </c>
      <c r="F10431" s="14" t="n">
        <v>66517.75</v>
      </c>
      <c r="G10431" s="6" t="s">
        <v>2613</v>
      </c>
    </row>
    <row r="10432" customFormat="false" ht="15" hidden="false" customHeight="true" outlineLevel="0" collapsed="false">
      <c r="A10432" s="6" t="s">
        <v>13044</v>
      </c>
      <c r="B10432" s="6" t="s">
        <v>2125</v>
      </c>
      <c r="C10432" s="6" t="s">
        <v>120</v>
      </c>
      <c r="D10432" s="13" t="n">
        <v>46200</v>
      </c>
      <c r="E10432" s="14" t="n">
        <v>12152.54</v>
      </c>
      <c r="F10432" s="14" t="n">
        <v>78670.29</v>
      </c>
      <c r="G10432" s="6" t="s">
        <v>2613</v>
      </c>
    </row>
    <row r="10433" customFormat="false" ht="15" hidden="false" customHeight="true" outlineLevel="0" collapsed="false">
      <c r="A10433" s="6" t="s">
        <v>13045</v>
      </c>
      <c r="B10433" s="6" t="s">
        <v>2127</v>
      </c>
      <c r="C10433" s="6" t="s">
        <v>124</v>
      </c>
      <c r="D10433" s="13" t="n">
        <v>45111</v>
      </c>
      <c r="E10433" s="14" t="n">
        <v>4864.24</v>
      </c>
      <c r="F10433" s="14" t="n">
        <v>4864.24</v>
      </c>
      <c r="G10433" s="6" t="s">
        <v>2613</v>
      </c>
    </row>
    <row r="10434" customFormat="false" ht="15" hidden="false" customHeight="true" outlineLevel="0" collapsed="false">
      <c r="A10434" s="6" t="s">
        <v>13046</v>
      </c>
      <c r="B10434" s="6" t="s">
        <v>2127</v>
      </c>
      <c r="C10434" s="6" t="s">
        <v>124</v>
      </c>
      <c r="D10434" s="13" t="n">
        <v>45118</v>
      </c>
      <c r="E10434" s="14" t="n">
        <v>5505.2</v>
      </c>
      <c r="F10434" s="14" t="n">
        <v>10369.44</v>
      </c>
      <c r="G10434" s="6" t="s">
        <v>2613</v>
      </c>
    </row>
    <row r="10435" customFormat="false" ht="15" hidden="false" customHeight="true" outlineLevel="0" collapsed="false">
      <c r="A10435" s="6" t="s">
        <v>13047</v>
      </c>
      <c r="B10435" s="6" t="s">
        <v>2127</v>
      </c>
      <c r="C10435" s="6" t="s">
        <v>124</v>
      </c>
      <c r="D10435" s="13" t="n">
        <v>45125</v>
      </c>
      <c r="E10435" s="14" t="n">
        <v>4768.95</v>
      </c>
      <c r="F10435" s="14" t="n">
        <v>15138.39</v>
      </c>
      <c r="G10435" s="6" t="s">
        <v>2613</v>
      </c>
    </row>
    <row r="10436" customFormat="false" ht="15" hidden="false" customHeight="true" outlineLevel="0" collapsed="false">
      <c r="A10436" s="6" t="s">
        <v>13048</v>
      </c>
      <c r="B10436" s="6" t="s">
        <v>2127</v>
      </c>
      <c r="C10436" s="6" t="s">
        <v>124</v>
      </c>
      <c r="D10436" s="13" t="n">
        <v>45132</v>
      </c>
      <c r="E10436" s="14" t="n">
        <v>4155.18</v>
      </c>
      <c r="F10436" s="14" t="n">
        <v>19293.57</v>
      </c>
      <c r="G10436" s="6" t="s">
        <v>2613</v>
      </c>
    </row>
    <row r="10437" customFormat="false" ht="15" hidden="false" customHeight="true" outlineLevel="0" collapsed="false">
      <c r="A10437" s="6" t="s">
        <v>13049</v>
      </c>
      <c r="B10437" s="6" t="s">
        <v>2127</v>
      </c>
      <c r="C10437" s="6" t="s">
        <v>124</v>
      </c>
      <c r="D10437" s="13" t="n">
        <v>45139</v>
      </c>
      <c r="E10437" s="14" t="n">
        <v>3379.73</v>
      </c>
      <c r="F10437" s="14" t="n">
        <v>22673.3</v>
      </c>
      <c r="G10437" s="6" t="s">
        <v>2613</v>
      </c>
    </row>
    <row r="10438" customFormat="false" ht="15" hidden="false" customHeight="true" outlineLevel="0" collapsed="false">
      <c r="A10438" s="6" t="s">
        <v>13050</v>
      </c>
      <c r="B10438" s="6" t="s">
        <v>2127</v>
      </c>
      <c r="C10438" s="6" t="s">
        <v>124</v>
      </c>
      <c r="D10438" s="13" t="n">
        <v>45146</v>
      </c>
      <c r="E10438" s="14" t="n">
        <v>2770.12</v>
      </c>
      <c r="F10438" s="14" t="n">
        <v>25443.42</v>
      </c>
      <c r="G10438" s="6" t="s">
        <v>2613</v>
      </c>
    </row>
    <row r="10439" customFormat="false" ht="15" hidden="false" customHeight="true" outlineLevel="0" collapsed="false">
      <c r="A10439" s="6" t="s">
        <v>13051</v>
      </c>
      <c r="B10439" s="6" t="s">
        <v>2127</v>
      </c>
      <c r="C10439" s="6" t="s">
        <v>124</v>
      </c>
      <c r="D10439" s="13" t="n">
        <v>45153</v>
      </c>
      <c r="E10439" s="14" t="n">
        <v>5432.24</v>
      </c>
      <c r="F10439" s="14" t="n">
        <v>30875.66</v>
      </c>
      <c r="G10439" s="6" t="s">
        <v>2613</v>
      </c>
    </row>
    <row r="10440" customFormat="false" ht="15" hidden="false" customHeight="true" outlineLevel="0" collapsed="false">
      <c r="A10440" s="6" t="s">
        <v>13052</v>
      </c>
      <c r="B10440" s="6" t="s">
        <v>2127</v>
      </c>
      <c r="C10440" s="6" t="s">
        <v>124</v>
      </c>
      <c r="D10440" s="13" t="n">
        <v>45160</v>
      </c>
      <c r="E10440" s="14" t="n">
        <v>830.25</v>
      </c>
      <c r="F10440" s="14" t="n">
        <v>31705.91</v>
      </c>
      <c r="G10440" s="6" t="s">
        <v>2613</v>
      </c>
    </row>
    <row r="10441" customFormat="false" ht="15" hidden="false" customHeight="true" outlineLevel="0" collapsed="false">
      <c r="A10441" s="6" t="s">
        <v>13053</v>
      </c>
      <c r="B10441" s="6" t="s">
        <v>2129</v>
      </c>
      <c r="C10441" s="6" t="s">
        <v>128</v>
      </c>
      <c r="D10441" s="13" t="n">
        <v>46132</v>
      </c>
      <c r="E10441" s="14" t="n">
        <v>1669.37</v>
      </c>
      <c r="F10441" s="14" t="n">
        <v>1669.37</v>
      </c>
      <c r="G10441" s="6" t="s">
        <v>2613</v>
      </c>
    </row>
    <row r="10442" customFormat="false" ht="15" hidden="false" customHeight="true" outlineLevel="0" collapsed="false">
      <c r="A10442" s="6" t="s">
        <v>13054</v>
      </c>
      <c r="B10442" s="6" t="s">
        <v>2129</v>
      </c>
      <c r="C10442" s="6" t="s">
        <v>128</v>
      </c>
      <c r="D10442" s="13" t="n">
        <v>46139</v>
      </c>
      <c r="E10442" s="14" t="n">
        <v>1662.43</v>
      </c>
      <c r="F10442" s="14" t="n">
        <v>3331.8</v>
      </c>
      <c r="G10442" s="6" t="s">
        <v>2613</v>
      </c>
    </row>
    <row r="10443" customFormat="false" ht="15" hidden="false" customHeight="true" outlineLevel="0" collapsed="false">
      <c r="A10443" s="6" t="s">
        <v>13055</v>
      </c>
      <c r="B10443" s="6" t="s">
        <v>2129</v>
      </c>
      <c r="C10443" s="6" t="s">
        <v>128</v>
      </c>
      <c r="D10443" s="13" t="n">
        <v>46146</v>
      </c>
      <c r="E10443" s="14" t="n">
        <v>1785.68</v>
      </c>
      <c r="F10443" s="14" t="n">
        <v>5117.48</v>
      </c>
      <c r="G10443" s="6" t="s">
        <v>2623</v>
      </c>
    </row>
    <row r="10444" customFormat="false" ht="15" hidden="false" customHeight="true" outlineLevel="0" collapsed="false">
      <c r="A10444" s="6" t="s">
        <v>13056</v>
      </c>
      <c r="B10444" s="6" t="s">
        <v>2129</v>
      </c>
      <c r="C10444" s="6" t="s">
        <v>128</v>
      </c>
      <c r="D10444" s="13" t="n">
        <v>46153</v>
      </c>
      <c r="E10444" s="14" t="n">
        <v>1112.38</v>
      </c>
      <c r="F10444" s="14" t="n">
        <v>6229.86</v>
      </c>
      <c r="G10444" s="6" t="s">
        <v>2613</v>
      </c>
    </row>
    <row r="10445" customFormat="false" ht="15" hidden="false" customHeight="true" outlineLevel="0" collapsed="false">
      <c r="A10445" s="6" t="s">
        <v>13057</v>
      </c>
      <c r="B10445" s="6" t="s">
        <v>2129</v>
      </c>
      <c r="C10445" s="6" t="s">
        <v>128</v>
      </c>
      <c r="D10445" s="13" t="n">
        <v>46160</v>
      </c>
      <c r="E10445" s="14" t="n">
        <v>1728.1</v>
      </c>
      <c r="F10445" s="14" t="n">
        <v>7957.96</v>
      </c>
      <c r="G10445" s="6" t="s">
        <v>2613</v>
      </c>
    </row>
    <row r="10446" customFormat="false" ht="15" hidden="false" customHeight="true" outlineLevel="0" collapsed="false">
      <c r="A10446" s="6" t="s">
        <v>13058</v>
      </c>
      <c r="B10446" s="6" t="s">
        <v>2129</v>
      </c>
      <c r="C10446" s="6" t="s">
        <v>128</v>
      </c>
      <c r="D10446" s="13" t="n">
        <v>46167</v>
      </c>
      <c r="E10446" s="14" t="n">
        <v>1377.96</v>
      </c>
      <c r="F10446" s="14" t="n">
        <v>9335.92</v>
      </c>
      <c r="G10446" s="6" t="s">
        <v>2623</v>
      </c>
    </row>
    <row r="10447" customFormat="false" ht="15" hidden="false" customHeight="true" outlineLevel="0" collapsed="false">
      <c r="A10447" s="6" t="s">
        <v>13059</v>
      </c>
      <c r="B10447" s="6" t="s">
        <v>2129</v>
      </c>
      <c r="C10447" s="6" t="s">
        <v>128</v>
      </c>
      <c r="D10447" s="13" t="n">
        <v>46174</v>
      </c>
      <c r="E10447" s="14" t="n">
        <v>2011.94</v>
      </c>
      <c r="F10447" s="14" t="n">
        <v>11347.86</v>
      </c>
      <c r="G10447" s="6" t="s">
        <v>2613</v>
      </c>
    </row>
    <row r="10448" customFormat="false" ht="15" hidden="false" customHeight="true" outlineLevel="0" collapsed="false">
      <c r="A10448" s="6" t="s">
        <v>13060</v>
      </c>
      <c r="B10448" s="6" t="s">
        <v>2129</v>
      </c>
      <c r="C10448" s="6" t="s">
        <v>128</v>
      </c>
      <c r="D10448" s="13" t="n">
        <v>46181</v>
      </c>
      <c r="E10448" s="14" t="n">
        <v>1425.23</v>
      </c>
      <c r="F10448" s="14" t="n">
        <v>12773.09</v>
      </c>
      <c r="G10448" s="6" t="s">
        <v>2613</v>
      </c>
    </row>
    <row r="10449" customFormat="false" ht="15" hidden="false" customHeight="true" outlineLevel="0" collapsed="false">
      <c r="A10449" s="6" t="s">
        <v>13061</v>
      </c>
      <c r="B10449" s="6" t="s">
        <v>2129</v>
      </c>
      <c r="C10449" s="6" t="s">
        <v>128</v>
      </c>
      <c r="D10449" s="13" t="n">
        <v>46188</v>
      </c>
      <c r="E10449" s="14" t="n">
        <v>1272.82</v>
      </c>
      <c r="F10449" s="14" t="n">
        <v>14045.91</v>
      </c>
      <c r="G10449" s="6" t="s">
        <v>2613</v>
      </c>
    </row>
    <row r="10450" customFormat="false" ht="15" hidden="false" customHeight="true" outlineLevel="0" collapsed="false">
      <c r="A10450" s="6" t="s">
        <v>13062</v>
      </c>
      <c r="B10450" s="6" t="s">
        <v>2129</v>
      </c>
      <c r="C10450" s="6" t="s">
        <v>128</v>
      </c>
      <c r="D10450" s="13" t="n">
        <v>46195</v>
      </c>
      <c r="E10450" s="14" t="n">
        <v>2189.16</v>
      </c>
      <c r="F10450" s="14" t="n">
        <v>16235.07</v>
      </c>
      <c r="G10450" s="6" t="s">
        <v>2623</v>
      </c>
    </row>
    <row r="10451" customFormat="false" ht="15" hidden="false" customHeight="true" outlineLevel="0" collapsed="false">
      <c r="A10451" s="6" t="s">
        <v>13063</v>
      </c>
      <c r="B10451" s="6" t="s">
        <v>2131</v>
      </c>
      <c r="C10451" s="6" t="s">
        <v>116</v>
      </c>
      <c r="D10451" s="13" t="n">
        <v>46035</v>
      </c>
      <c r="E10451" s="14" t="n">
        <v>7033.53</v>
      </c>
      <c r="F10451" s="14" t="n">
        <v>7033.53</v>
      </c>
      <c r="G10451" s="6" t="s">
        <v>2613</v>
      </c>
    </row>
    <row r="10452" customFormat="false" ht="15" hidden="false" customHeight="true" outlineLevel="0" collapsed="false">
      <c r="A10452" s="6" t="s">
        <v>13064</v>
      </c>
      <c r="B10452" s="6" t="s">
        <v>2131</v>
      </c>
      <c r="C10452" s="6" t="s">
        <v>116</v>
      </c>
      <c r="D10452" s="13" t="n">
        <v>46042</v>
      </c>
      <c r="E10452" s="14" t="n">
        <v>7695.46</v>
      </c>
      <c r="F10452" s="14" t="n">
        <v>14728.99</v>
      </c>
      <c r="G10452" s="6" t="s">
        <v>2613</v>
      </c>
    </row>
    <row r="10453" customFormat="false" ht="15" hidden="false" customHeight="true" outlineLevel="0" collapsed="false">
      <c r="A10453" s="6" t="s">
        <v>13065</v>
      </c>
      <c r="B10453" s="6" t="s">
        <v>2131</v>
      </c>
      <c r="C10453" s="6" t="s">
        <v>116</v>
      </c>
      <c r="D10453" s="13" t="n">
        <v>46049</v>
      </c>
      <c r="E10453" s="14" t="n">
        <v>5439.8</v>
      </c>
      <c r="F10453" s="14" t="n">
        <v>20168.79</v>
      </c>
      <c r="G10453" s="6" t="s">
        <v>2613</v>
      </c>
    </row>
    <row r="10454" customFormat="false" ht="15" hidden="false" customHeight="true" outlineLevel="0" collapsed="false">
      <c r="A10454" s="6" t="s">
        <v>13066</v>
      </c>
      <c r="B10454" s="6" t="s">
        <v>2131</v>
      </c>
      <c r="C10454" s="6" t="s">
        <v>116</v>
      </c>
      <c r="D10454" s="13" t="n">
        <v>46056</v>
      </c>
      <c r="E10454" s="14" t="n">
        <v>7701.16</v>
      </c>
      <c r="F10454" s="14" t="n">
        <v>27869.95</v>
      </c>
      <c r="G10454" s="6" t="s">
        <v>2613</v>
      </c>
    </row>
    <row r="10455" customFormat="false" ht="15" hidden="false" customHeight="true" outlineLevel="0" collapsed="false">
      <c r="A10455" s="6" t="s">
        <v>13067</v>
      </c>
      <c r="B10455" s="6" t="s">
        <v>2131</v>
      </c>
      <c r="C10455" s="6" t="s">
        <v>116</v>
      </c>
      <c r="D10455" s="13" t="n">
        <v>46063</v>
      </c>
      <c r="E10455" s="14" t="n">
        <v>2739.89</v>
      </c>
      <c r="F10455" s="14" t="n">
        <v>30609.84</v>
      </c>
      <c r="G10455" s="6" t="s">
        <v>2613</v>
      </c>
    </row>
    <row r="10456" customFormat="false" ht="15" hidden="false" customHeight="true" outlineLevel="0" collapsed="false">
      <c r="A10456" s="6" t="s">
        <v>13068</v>
      </c>
      <c r="B10456" s="6" t="s">
        <v>2133</v>
      </c>
      <c r="C10456" s="6" t="s">
        <v>120</v>
      </c>
      <c r="D10456" s="13" t="n">
        <v>45443</v>
      </c>
      <c r="E10456" s="14" t="n">
        <v>2614.44</v>
      </c>
      <c r="F10456" s="14" t="n">
        <v>2614.44</v>
      </c>
      <c r="G10456" s="6" t="s">
        <v>2613</v>
      </c>
    </row>
    <row r="10457" customFormat="false" ht="15" hidden="false" customHeight="true" outlineLevel="0" collapsed="false">
      <c r="A10457" s="6" t="s">
        <v>13069</v>
      </c>
      <c r="B10457" s="6" t="s">
        <v>2133</v>
      </c>
      <c r="C10457" s="6" t="s">
        <v>120</v>
      </c>
      <c r="D10457" s="13" t="n">
        <v>45450</v>
      </c>
      <c r="E10457" s="14" t="n">
        <v>2829.18</v>
      </c>
      <c r="F10457" s="14" t="n">
        <v>5443.62</v>
      </c>
      <c r="G10457" s="6" t="s">
        <v>2613</v>
      </c>
    </row>
    <row r="10458" customFormat="false" ht="15" hidden="false" customHeight="true" outlineLevel="0" collapsed="false">
      <c r="A10458" s="6" t="s">
        <v>13070</v>
      </c>
      <c r="B10458" s="6" t="s">
        <v>2133</v>
      </c>
      <c r="C10458" s="6" t="s">
        <v>120</v>
      </c>
      <c r="D10458" s="13" t="n">
        <v>45457</v>
      </c>
      <c r="E10458" s="14" t="n">
        <v>1954.53</v>
      </c>
      <c r="F10458" s="14" t="n">
        <v>7398.15</v>
      </c>
      <c r="G10458" s="6" t="s">
        <v>2613</v>
      </c>
    </row>
    <row r="10459" customFormat="false" ht="15" hidden="false" customHeight="true" outlineLevel="0" collapsed="false">
      <c r="A10459" s="6" t="s">
        <v>13071</v>
      </c>
      <c r="B10459" s="6" t="s">
        <v>2133</v>
      </c>
      <c r="C10459" s="6" t="s">
        <v>120</v>
      </c>
      <c r="D10459" s="13" t="n">
        <v>45464</v>
      </c>
      <c r="E10459" s="14" t="n">
        <v>2613.62</v>
      </c>
      <c r="F10459" s="14" t="n">
        <v>10011.77</v>
      </c>
      <c r="G10459" s="6" t="s">
        <v>2613</v>
      </c>
    </row>
    <row r="10460" customFormat="false" ht="15" hidden="false" customHeight="true" outlineLevel="0" collapsed="false">
      <c r="A10460" s="6" t="s">
        <v>13072</v>
      </c>
      <c r="B10460" s="6" t="s">
        <v>2133</v>
      </c>
      <c r="C10460" s="6" t="s">
        <v>120</v>
      </c>
      <c r="D10460" s="13" t="n">
        <v>45471</v>
      </c>
      <c r="E10460" s="14" t="n">
        <v>3137.07</v>
      </c>
      <c r="F10460" s="14" t="n">
        <v>13148.84</v>
      </c>
      <c r="G10460" s="6" t="s">
        <v>2613</v>
      </c>
    </row>
    <row r="10461" customFormat="false" ht="15" hidden="false" customHeight="true" outlineLevel="0" collapsed="false">
      <c r="A10461" s="6" t="s">
        <v>13073</v>
      </c>
      <c r="B10461" s="6" t="s">
        <v>2133</v>
      </c>
      <c r="C10461" s="6" t="s">
        <v>120</v>
      </c>
      <c r="D10461" s="13" t="n">
        <v>45478</v>
      </c>
      <c r="E10461" s="14" t="n">
        <v>2460.51</v>
      </c>
      <c r="F10461" s="14" t="n">
        <v>15609.35</v>
      </c>
      <c r="G10461" s="6" t="s">
        <v>2613</v>
      </c>
    </row>
    <row r="10462" customFormat="false" ht="15" hidden="false" customHeight="true" outlineLevel="0" collapsed="false">
      <c r="A10462" s="6" t="s">
        <v>13074</v>
      </c>
      <c r="B10462" s="6" t="s">
        <v>2133</v>
      </c>
      <c r="C10462" s="6" t="s">
        <v>120</v>
      </c>
      <c r="D10462" s="13" t="n">
        <v>45485</v>
      </c>
      <c r="E10462" s="14" t="n">
        <v>2675.95</v>
      </c>
      <c r="F10462" s="14" t="n">
        <v>18285.3</v>
      </c>
      <c r="G10462" s="6" t="s">
        <v>2613</v>
      </c>
    </row>
    <row r="10463" customFormat="false" ht="15" hidden="false" customHeight="true" outlineLevel="0" collapsed="false">
      <c r="A10463" s="6" t="s">
        <v>13075</v>
      </c>
      <c r="B10463" s="6" t="s">
        <v>2133</v>
      </c>
      <c r="C10463" s="6" t="s">
        <v>120</v>
      </c>
      <c r="D10463" s="13" t="n">
        <v>45492</v>
      </c>
      <c r="E10463" s="14" t="n">
        <v>3610.12</v>
      </c>
      <c r="F10463" s="14" t="n">
        <v>21895.42</v>
      </c>
      <c r="G10463" s="6" t="s">
        <v>2613</v>
      </c>
    </row>
    <row r="10464" customFormat="false" ht="15" hidden="false" customHeight="true" outlineLevel="0" collapsed="false">
      <c r="A10464" s="6" t="s">
        <v>13076</v>
      </c>
      <c r="B10464" s="6" t="s">
        <v>2133</v>
      </c>
      <c r="C10464" s="6" t="s">
        <v>120</v>
      </c>
      <c r="D10464" s="13" t="n">
        <v>45499</v>
      </c>
      <c r="E10464" s="14" t="n">
        <v>2431</v>
      </c>
      <c r="F10464" s="14" t="n">
        <v>24326.42</v>
      </c>
      <c r="G10464" s="6" t="s">
        <v>2613</v>
      </c>
    </row>
    <row r="10465" customFormat="false" ht="15" hidden="false" customHeight="true" outlineLevel="0" collapsed="false">
      <c r="A10465" s="6" t="s">
        <v>13077</v>
      </c>
      <c r="B10465" s="6" t="s">
        <v>2133</v>
      </c>
      <c r="C10465" s="6" t="s">
        <v>120</v>
      </c>
      <c r="D10465" s="13" t="n">
        <v>45506</v>
      </c>
      <c r="E10465" s="14" t="n">
        <v>2295.55</v>
      </c>
      <c r="F10465" s="14" t="n">
        <v>26621.97</v>
      </c>
      <c r="G10465" s="6" t="s">
        <v>2613</v>
      </c>
    </row>
    <row r="10466" customFormat="false" ht="15" hidden="false" customHeight="true" outlineLevel="0" collapsed="false">
      <c r="A10466" s="6" t="s">
        <v>13078</v>
      </c>
      <c r="B10466" s="6" t="s">
        <v>2133</v>
      </c>
      <c r="C10466" s="6" t="s">
        <v>120</v>
      </c>
      <c r="D10466" s="13" t="n">
        <v>45513</v>
      </c>
      <c r="E10466" s="14" t="n">
        <v>1700.71</v>
      </c>
      <c r="F10466" s="14" t="n">
        <v>28322.68</v>
      </c>
      <c r="G10466" s="6" t="s">
        <v>2613</v>
      </c>
    </row>
    <row r="10467" customFormat="false" ht="15" hidden="false" customHeight="true" outlineLevel="0" collapsed="false">
      <c r="A10467" s="6" t="s">
        <v>13079</v>
      </c>
      <c r="B10467" s="6" t="s">
        <v>2133</v>
      </c>
      <c r="C10467" s="6" t="s">
        <v>120</v>
      </c>
      <c r="D10467" s="13" t="n">
        <v>45520</v>
      </c>
      <c r="E10467" s="14" t="n">
        <v>1922.68</v>
      </c>
      <c r="F10467" s="14" t="n">
        <v>30245.36</v>
      </c>
      <c r="G10467" s="6" t="s">
        <v>2613</v>
      </c>
    </row>
    <row r="10468" customFormat="false" ht="15" hidden="false" customHeight="true" outlineLevel="0" collapsed="false">
      <c r="A10468" s="6" t="s">
        <v>13080</v>
      </c>
      <c r="B10468" s="6" t="s">
        <v>2133</v>
      </c>
      <c r="C10468" s="6" t="s">
        <v>120</v>
      </c>
      <c r="D10468" s="13" t="n">
        <v>45527</v>
      </c>
      <c r="E10468" s="14" t="n">
        <v>5613.86</v>
      </c>
      <c r="F10468" s="14" t="n">
        <v>35859.22</v>
      </c>
      <c r="G10468" s="6" t="s">
        <v>2613</v>
      </c>
    </row>
    <row r="10469" customFormat="false" ht="15" hidden="false" customHeight="true" outlineLevel="0" collapsed="false">
      <c r="A10469" s="6" t="s">
        <v>13081</v>
      </c>
      <c r="B10469" s="6" t="s">
        <v>2135</v>
      </c>
      <c r="C10469" s="6" t="s">
        <v>124</v>
      </c>
      <c r="D10469" s="13" t="n">
        <v>45827</v>
      </c>
      <c r="E10469" s="14" t="n">
        <v>808.91</v>
      </c>
      <c r="F10469" s="14" t="n">
        <v>808.91</v>
      </c>
      <c r="G10469" s="6" t="s">
        <v>2613</v>
      </c>
    </row>
    <row r="10470" customFormat="false" ht="15" hidden="false" customHeight="true" outlineLevel="0" collapsed="false">
      <c r="A10470" s="6" t="s">
        <v>13082</v>
      </c>
      <c r="B10470" s="6" t="s">
        <v>2135</v>
      </c>
      <c r="C10470" s="6" t="s">
        <v>124</v>
      </c>
      <c r="D10470" s="13" t="n">
        <v>45834</v>
      </c>
      <c r="E10470" s="14" t="n">
        <v>910.13</v>
      </c>
      <c r="F10470" s="14" t="n">
        <v>1719.04</v>
      </c>
      <c r="G10470" s="6" t="s">
        <v>2623</v>
      </c>
    </row>
    <row r="10471" customFormat="false" ht="15" hidden="false" customHeight="true" outlineLevel="0" collapsed="false">
      <c r="A10471" s="6" t="s">
        <v>13083</v>
      </c>
      <c r="B10471" s="6" t="s">
        <v>2135</v>
      </c>
      <c r="C10471" s="6" t="s">
        <v>124</v>
      </c>
      <c r="D10471" s="13" t="n">
        <v>45841</v>
      </c>
      <c r="E10471" s="14" t="n">
        <v>1192.19</v>
      </c>
      <c r="F10471" s="14" t="n">
        <v>2911.23</v>
      </c>
      <c r="G10471" s="6" t="s">
        <v>2613</v>
      </c>
    </row>
    <row r="10472" customFormat="false" ht="15" hidden="false" customHeight="true" outlineLevel="0" collapsed="false">
      <c r="A10472" s="6" t="s">
        <v>13084</v>
      </c>
      <c r="B10472" s="6" t="s">
        <v>2135</v>
      </c>
      <c r="C10472" s="6" t="s">
        <v>124</v>
      </c>
      <c r="D10472" s="13" t="n">
        <v>45848</v>
      </c>
      <c r="E10472" s="14" t="n">
        <v>804.14</v>
      </c>
      <c r="F10472" s="14" t="n">
        <v>3715.37</v>
      </c>
      <c r="G10472" s="6" t="s">
        <v>2613</v>
      </c>
    </row>
    <row r="10473" customFormat="false" ht="15" hidden="false" customHeight="true" outlineLevel="0" collapsed="false">
      <c r="A10473" s="6" t="s">
        <v>13085</v>
      </c>
      <c r="B10473" s="6" t="s">
        <v>2135</v>
      </c>
      <c r="C10473" s="6" t="s">
        <v>124</v>
      </c>
      <c r="D10473" s="13" t="n">
        <v>45855</v>
      </c>
      <c r="E10473" s="14" t="n">
        <v>1490.84</v>
      </c>
      <c r="F10473" s="14" t="n">
        <v>5206.21</v>
      </c>
      <c r="G10473" s="6" t="s">
        <v>2613</v>
      </c>
    </row>
    <row r="10474" customFormat="false" ht="15" hidden="false" customHeight="true" outlineLevel="0" collapsed="false">
      <c r="A10474" s="6" t="s">
        <v>13086</v>
      </c>
      <c r="B10474" s="6" t="s">
        <v>2135</v>
      </c>
      <c r="C10474" s="6" t="s">
        <v>124</v>
      </c>
      <c r="D10474" s="13" t="n">
        <v>45862</v>
      </c>
      <c r="E10474" s="14" t="n">
        <v>1113.47</v>
      </c>
      <c r="F10474" s="14" t="n">
        <v>6319.68</v>
      </c>
      <c r="G10474" s="6" t="s">
        <v>2613</v>
      </c>
    </row>
    <row r="10475" customFormat="false" ht="15" hidden="false" customHeight="true" outlineLevel="0" collapsed="false">
      <c r="A10475" s="6" t="s">
        <v>13087</v>
      </c>
      <c r="B10475" s="6" t="s">
        <v>2135</v>
      </c>
      <c r="C10475" s="6" t="s">
        <v>124</v>
      </c>
      <c r="D10475" s="13" t="n">
        <v>45869</v>
      </c>
      <c r="E10475" s="14" t="n">
        <v>1302.88</v>
      </c>
      <c r="F10475" s="14" t="n">
        <v>7622.56</v>
      </c>
      <c r="G10475" s="6" t="s">
        <v>2613</v>
      </c>
    </row>
    <row r="10476" customFormat="false" ht="15" hidden="false" customHeight="true" outlineLevel="0" collapsed="false">
      <c r="A10476" s="6" t="s">
        <v>13088</v>
      </c>
      <c r="B10476" s="6" t="s">
        <v>2135</v>
      </c>
      <c r="C10476" s="6" t="s">
        <v>124</v>
      </c>
      <c r="D10476" s="13" t="n">
        <v>45876</v>
      </c>
      <c r="E10476" s="14" t="n">
        <v>1452.7</v>
      </c>
      <c r="F10476" s="14" t="n">
        <v>9075.26</v>
      </c>
      <c r="G10476" s="6" t="s">
        <v>2613</v>
      </c>
    </row>
    <row r="10477" customFormat="false" ht="15" hidden="false" customHeight="true" outlineLevel="0" collapsed="false">
      <c r="A10477" s="6" t="s">
        <v>13089</v>
      </c>
      <c r="B10477" s="6" t="s">
        <v>2137</v>
      </c>
      <c r="C10477" s="6" t="s">
        <v>120</v>
      </c>
      <c r="D10477" s="13" t="n">
        <v>45116</v>
      </c>
      <c r="E10477" s="14" t="n">
        <v>4788.37</v>
      </c>
      <c r="F10477" s="14" t="n">
        <v>4788.37</v>
      </c>
      <c r="G10477" s="6" t="s">
        <v>2613</v>
      </c>
    </row>
    <row r="10478" customFormat="false" ht="15" hidden="false" customHeight="true" outlineLevel="0" collapsed="false">
      <c r="A10478" s="6" t="s">
        <v>13090</v>
      </c>
      <c r="B10478" s="6" t="s">
        <v>2137</v>
      </c>
      <c r="C10478" s="6" t="s">
        <v>120</v>
      </c>
      <c r="D10478" s="13" t="n">
        <v>45123</v>
      </c>
      <c r="E10478" s="14" t="n">
        <v>6060.14</v>
      </c>
      <c r="F10478" s="14" t="n">
        <v>10848.51</v>
      </c>
      <c r="G10478" s="6" t="s">
        <v>2613</v>
      </c>
    </row>
    <row r="10479" customFormat="false" ht="15" hidden="false" customHeight="true" outlineLevel="0" collapsed="false">
      <c r="A10479" s="6" t="s">
        <v>13091</v>
      </c>
      <c r="B10479" s="6" t="s">
        <v>2137</v>
      </c>
      <c r="C10479" s="6" t="s">
        <v>120</v>
      </c>
      <c r="D10479" s="13" t="n">
        <v>45130</v>
      </c>
      <c r="E10479" s="14" t="n">
        <v>5559.71</v>
      </c>
      <c r="F10479" s="14" t="n">
        <v>16408.22</v>
      </c>
      <c r="G10479" s="6" t="s">
        <v>2613</v>
      </c>
    </row>
    <row r="10480" customFormat="false" ht="15" hidden="false" customHeight="true" outlineLevel="0" collapsed="false">
      <c r="A10480" s="6" t="s">
        <v>13092</v>
      </c>
      <c r="B10480" s="6" t="s">
        <v>2137</v>
      </c>
      <c r="C10480" s="6" t="s">
        <v>120</v>
      </c>
      <c r="D10480" s="13" t="n">
        <v>45137</v>
      </c>
      <c r="E10480" s="14" t="n">
        <v>6008.32</v>
      </c>
      <c r="F10480" s="14" t="n">
        <v>22416.54</v>
      </c>
      <c r="G10480" s="6" t="s">
        <v>2613</v>
      </c>
    </row>
    <row r="10481" customFormat="false" ht="15" hidden="false" customHeight="true" outlineLevel="0" collapsed="false">
      <c r="A10481" s="6" t="s">
        <v>13093</v>
      </c>
      <c r="B10481" s="6" t="s">
        <v>2137</v>
      </c>
      <c r="C10481" s="6" t="s">
        <v>120</v>
      </c>
      <c r="D10481" s="13" t="n">
        <v>45144</v>
      </c>
      <c r="E10481" s="14" t="n">
        <v>5340.96</v>
      </c>
      <c r="F10481" s="14" t="n">
        <v>27757.5</v>
      </c>
      <c r="G10481" s="6" t="s">
        <v>2613</v>
      </c>
    </row>
    <row r="10482" customFormat="false" ht="15" hidden="false" customHeight="true" outlineLevel="0" collapsed="false">
      <c r="A10482" s="6" t="s">
        <v>13094</v>
      </c>
      <c r="B10482" s="6" t="s">
        <v>2137</v>
      </c>
      <c r="C10482" s="6" t="s">
        <v>120</v>
      </c>
      <c r="D10482" s="13" t="n">
        <v>45151</v>
      </c>
      <c r="E10482" s="14" t="n">
        <v>5603.43</v>
      </c>
      <c r="F10482" s="14" t="n">
        <v>33360.93</v>
      </c>
      <c r="G10482" s="6" t="s">
        <v>2613</v>
      </c>
    </row>
    <row r="10483" customFormat="false" ht="15" hidden="false" customHeight="true" outlineLevel="0" collapsed="false">
      <c r="A10483" s="6" t="s">
        <v>13095</v>
      </c>
      <c r="B10483" s="6" t="s">
        <v>2137</v>
      </c>
      <c r="C10483" s="6" t="s">
        <v>120</v>
      </c>
      <c r="D10483" s="13" t="n">
        <v>45158</v>
      </c>
      <c r="E10483" s="14" t="n">
        <v>2826.66</v>
      </c>
      <c r="F10483" s="14" t="n">
        <v>36187.59</v>
      </c>
      <c r="G10483" s="6" t="s">
        <v>2613</v>
      </c>
    </row>
    <row r="10484" customFormat="false" ht="15" hidden="false" customHeight="true" outlineLevel="0" collapsed="false">
      <c r="A10484" s="6" t="s">
        <v>13096</v>
      </c>
      <c r="B10484" s="6" t="s">
        <v>2139</v>
      </c>
      <c r="C10484" s="6" t="s">
        <v>128</v>
      </c>
      <c r="D10484" s="13" t="n">
        <v>45918</v>
      </c>
      <c r="E10484" s="14" t="n">
        <v>3759.03</v>
      </c>
      <c r="F10484" s="14" t="n">
        <v>3759.03</v>
      </c>
      <c r="G10484" s="6" t="s">
        <v>2613</v>
      </c>
    </row>
    <row r="10485" customFormat="false" ht="15" hidden="false" customHeight="true" outlineLevel="0" collapsed="false">
      <c r="A10485" s="6" t="s">
        <v>13097</v>
      </c>
      <c r="B10485" s="6" t="s">
        <v>2139</v>
      </c>
      <c r="C10485" s="6" t="s">
        <v>128</v>
      </c>
      <c r="D10485" s="13" t="n">
        <v>45925</v>
      </c>
      <c r="E10485" s="14" t="n">
        <v>7022.39</v>
      </c>
      <c r="F10485" s="14" t="n">
        <v>10781.42</v>
      </c>
      <c r="G10485" s="6" t="s">
        <v>2613</v>
      </c>
    </row>
    <row r="10486" customFormat="false" ht="15" hidden="false" customHeight="true" outlineLevel="0" collapsed="false">
      <c r="A10486" s="6" t="s">
        <v>13098</v>
      </c>
      <c r="B10486" s="6" t="s">
        <v>2139</v>
      </c>
      <c r="C10486" s="6" t="s">
        <v>128</v>
      </c>
      <c r="D10486" s="13" t="n">
        <v>45932</v>
      </c>
      <c r="E10486" s="14" t="n">
        <v>4520.03</v>
      </c>
      <c r="F10486" s="14" t="n">
        <v>15301.45</v>
      </c>
      <c r="G10486" s="6" t="s">
        <v>2623</v>
      </c>
    </row>
    <row r="10487" customFormat="false" ht="15" hidden="false" customHeight="true" outlineLevel="0" collapsed="false">
      <c r="A10487" s="6" t="s">
        <v>13099</v>
      </c>
      <c r="B10487" s="6" t="s">
        <v>2139</v>
      </c>
      <c r="C10487" s="6" t="s">
        <v>128</v>
      </c>
      <c r="D10487" s="13" t="n">
        <v>45939</v>
      </c>
      <c r="E10487" s="14" t="n">
        <v>4227.8</v>
      </c>
      <c r="F10487" s="14" t="n">
        <v>19529.25</v>
      </c>
      <c r="G10487" s="6" t="s">
        <v>2613</v>
      </c>
    </row>
    <row r="10488" customFormat="false" ht="15" hidden="false" customHeight="true" outlineLevel="0" collapsed="false">
      <c r="A10488" s="6" t="s">
        <v>13100</v>
      </c>
      <c r="B10488" s="6" t="s">
        <v>2139</v>
      </c>
      <c r="C10488" s="6" t="s">
        <v>128</v>
      </c>
      <c r="D10488" s="13" t="n">
        <v>45946</v>
      </c>
      <c r="E10488" s="14" t="n">
        <v>5021.59</v>
      </c>
      <c r="F10488" s="14" t="n">
        <v>24550.84</v>
      </c>
      <c r="G10488" s="6" t="s">
        <v>2613</v>
      </c>
    </row>
    <row r="10489" customFormat="false" ht="15" hidden="false" customHeight="true" outlineLevel="0" collapsed="false">
      <c r="A10489" s="6" t="s">
        <v>13101</v>
      </c>
      <c r="B10489" s="6" t="s">
        <v>2139</v>
      </c>
      <c r="C10489" s="6" t="s">
        <v>128</v>
      </c>
      <c r="D10489" s="13" t="n">
        <v>45953</v>
      </c>
      <c r="E10489" s="14" t="n">
        <v>3859.41</v>
      </c>
      <c r="F10489" s="14" t="n">
        <v>28410.25</v>
      </c>
      <c r="G10489" s="6" t="s">
        <v>2613</v>
      </c>
    </row>
    <row r="10490" customFormat="false" ht="15" hidden="false" customHeight="true" outlineLevel="0" collapsed="false">
      <c r="A10490" s="6" t="s">
        <v>13102</v>
      </c>
      <c r="B10490" s="6" t="s">
        <v>2139</v>
      </c>
      <c r="C10490" s="6" t="s">
        <v>128</v>
      </c>
      <c r="D10490" s="13" t="n">
        <v>45960</v>
      </c>
      <c r="E10490" s="14" t="n">
        <v>5317.99</v>
      </c>
      <c r="F10490" s="14" t="n">
        <v>33728.24</v>
      </c>
      <c r="G10490" s="6" t="s">
        <v>2613</v>
      </c>
    </row>
    <row r="10491" customFormat="false" ht="15" hidden="false" customHeight="true" outlineLevel="0" collapsed="false">
      <c r="A10491" s="6" t="s">
        <v>13103</v>
      </c>
      <c r="B10491" s="6" t="s">
        <v>2139</v>
      </c>
      <c r="C10491" s="6" t="s">
        <v>128</v>
      </c>
      <c r="D10491" s="13" t="n">
        <v>45967</v>
      </c>
      <c r="E10491" s="14" t="n">
        <v>4479.49</v>
      </c>
      <c r="F10491" s="14" t="n">
        <v>38207.73</v>
      </c>
      <c r="G10491" s="6" t="s">
        <v>2623</v>
      </c>
    </row>
    <row r="10492" customFormat="false" ht="15" hidden="false" customHeight="true" outlineLevel="0" collapsed="false">
      <c r="A10492" s="6" t="s">
        <v>13104</v>
      </c>
      <c r="B10492" s="6" t="s">
        <v>2139</v>
      </c>
      <c r="C10492" s="6" t="s">
        <v>128</v>
      </c>
      <c r="D10492" s="13" t="n">
        <v>45974</v>
      </c>
      <c r="E10492" s="14" t="n">
        <v>6216.17</v>
      </c>
      <c r="F10492" s="14" t="n">
        <v>44423.9</v>
      </c>
      <c r="G10492" s="6" t="s">
        <v>2613</v>
      </c>
    </row>
    <row r="10493" customFormat="false" ht="15" hidden="false" customHeight="true" outlineLevel="0" collapsed="false">
      <c r="A10493" s="6" t="s">
        <v>13105</v>
      </c>
      <c r="B10493" s="6" t="s">
        <v>2139</v>
      </c>
      <c r="C10493" s="6" t="s">
        <v>128</v>
      </c>
      <c r="D10493" s="13" t="n">
        <v>45981</v>
      </c>
      <c r="E10493" s="14" t="n">
        <v>4512.59</v>
      </c>
      <c r="F10493" s="14" t="n">
        <v>48936.49</v>
      </c>
      <c r="G10493" s="6" t="s">
        <v>2613</v>
      </c>
    </row>
    <row r="10494" customFormat="false" ht="15" hidden="false" customHeight="true" outlineLevel="0" collapsed="false">
      <c r="A10494" s="6" t="s">
        <v>13106</v>
      </c>
      <c r="B10494" s="6" t="s">
        <v>2139</v>
      </c>
      <c r="C10494" s="6" t="s">
        <v>128</v>
      </c>
      <c r="D10494" s="13" t="n">
        <v>45988</v>
      </c>
      <c r="E10494" s="14" t="n">
        <v>4767.99</v>
      </c>
      <c r="F10494" s="14" t="n">
        <v>53704.48</v>
      </c>
      <c r="G10494" s="6" t="s">
        <v>2613</v>
      </c>
    </row>
    <row r="10495" customFormat="false" ht="15" hidden="false" customHeight="true" outlineLevel="0" collapsed="false">
      <c r="A10495" s="6" t="s">
        <v>13107</v>
      </c>
      <c r="B10495" s="6" t="s">
        <v>2139</v>
      </c>
      <c r="C10495" s="6" t="s">
        <v>128</v>
      </c>
      <c r="D10495" s="13" t="n">
        <v>45995</v>
      </c>
      <c r="E10495" s="14" t="n">
        <v>12130.12</v>
      </c>
      <c r="F10495" s="14" t="n">
        <v>65834.6</v>
      </c>
      <c r="G10495" s="6" t="s">
        <v>2623</v>
      </c>
    </row>
    <row r="10496" customFormat="false" ht="15" hidden="false" customHeight="true" outlineLevel="0" collapsed="false">
      <c r="A10496" s="6" t="s">
        <v>13108</v>
      </c>
      <c r="B10496" s="6" t="s">
        <v>2141</v>
      </c>
      <c r="C10496" s="6" t="s">
        <v>128</v>
      </c>
      <c r="D10496" s="13" t="n">
        <v>46040</v>
      </c>
      <c r="E10496" s="14" t="n">
        <v>3819.63</v>
      </c>
      <c r="F10496" s="14" t="n">
        <v>3819.63</v>
      </c>
      <c r="G10496" s="6" t="s">
        <v>2613</v>
      </c>
    </row>
    <row r="10497" customFormat="false" ht="15" hidden="false" customHeight="true" outlineLevel="0" collapsed="false">
      <c r="A10497" s="6" t="s">
        <v>13109</v>
      </c>
      <c r="B10497" s="6" t="s">
        <v>2141</v>
      </c>
      <c r="C10497" s="6" t="s">
        <v>128</v>
      </c>
      <c r="D10497" s="13" t="n">
        <v>46047</v>
      </c>
      <c r="E10497" s="14" t="n">
        <v>3472.69</v>
      </c>
      <c r="F10497" s="14" t="n">
        <v>7292.32</v>
      </c>
      <c r="G10497" s="6" t="s">
        <v>2613</v>
      </c>
    </row>
    <row r="10498" customFormat="false" ht="15" hidden="false" customHeight="true" outlineLevel="0" collapsed="false">
      <c r="A10498" s="6" t="s">
        <v>13110</v>
      </c>
      <c r="B10498" s="6" t="s">
        <v>2141</v>
      </c>
      <c r="C10498" s="6" t="s">
        <v>128</v>
      </c>
      <c r="D10498" s="13" t="n">
        <v>46054</v>
      </c>
      <c r="E10498" s="14" t="n">
        <v>2303.66</v>
      </c>
      <c r="F10498" s="14" t="n">
        <v>9595.98</v>
      </c>
      <c r="G10498" s="6" t="s">
        <v>2613</v>
      </c>
    </row>
    <row r="10499" customFormat="false" ht="15" hidden="false" customHeight="true" outlineLevel="0" collapsed="false">
      <c r="A10499" s="6" t="s">
        <v>13111</v>
      </c>
      <c r="B10499" s="6" t="s">
        <v>2141</v>
      </c>
      <c r="C10499" s="6" t="s">
        <v>128</v>
      </c>
      <c r="D10499" s="13" t="n">
        <v>46061</v>
      </c>
      <c r="E10499" s="14" t="n">
        <v>2927.86</v>
      </c>
      <c r="F10499" s="14" t="n">
        <v>12523.84</v>
      </c>
      <c r="G10499" s="6" t="s">
        <v>2613</v>
      </c>
    </row>
    <row r="10500" customFormat="false" ht="15" hidden="false" customHeight="true" outlineLevel="0" collapsed="false">
      <c r="A10500" s="6" t="s">
        <v>13112</v>
      </c>
      <c r="B10500" s="6" t="s">
        <v>2143</v>
      </c>
      <c r="C10500" s="6" t="s">
        <v>131</v>
      </c>
      <c r="D10500" s="13" t="n">
        <v>46109</v>
      </c>
      <c r="E10500" s="14" t="n">
        <v>4913.9</v>
      </c>
      <c r="F10500" s="14" t="n">
        <v>4913.9</v>
      </c>
      <c r="G10500" s="6" t="s">
        <v>2613</v>
      </c>
    </row>
    <row r="10501" customFormat="false" ht="15" hidden="false" customHeight="true" outlineLevel="0" collapsed="false">
      <c r="A10501" s="6" t="s">
        <v>13113</v>
      </c>
      <c r="B10501" s="6" t="s">
        <v>2143</v>
      </c>
      <c r="C10501" s="6" t="s">
        <v>131</v>
      </c>
      <c r="D10501" s="13" t="n">
        <v>46116</v>
      </c>
      <c r="E10501" s="14" t="n">
        <v>4634.46</v>
      </c>
      <c r="F10501" s="14" t="n">
        <v>9548.36</v>
      </c>
      <c r="G10501" s="6" t="s">
        <v>2613</v>
      </c>
    </row>
    <row r="10502" customFormat="false" ht="15" hidden="false" customHeight="true" outlineLevel="0" collapsed="false">
      <c r="A10502" s="6" t="s">
        <v>13114</v>
      </c>
      <c r="B10502" s="6" t="s">
        <v>2143</v>
      </c>
      <c r="C10502" s="6" t="s">
        <v>131</v>
      </c>
      <c r="D10502" s="13" t="n">
        <v>46123</v>
      </c>
      <c r="E10502" s="14" t="n">
        <v>3828.14</v>
      </c>
      <c r="F10502" s="14" t="n">
        <v>13376.5</v>
      </c>
      <c r="G10502" s="6" t="s">
        <v>2613</v>
      </c>
    </row>
    <row r="10503" customFormat="false" ht="15" hidden="false" customHeight="true" outlineLevel="0" collapsed="false">
      <c r="A10503" s="6" t="s">
        <v>13115</v>
      </c>
      <c r="B10503" s="6" t="s">
        <v>2143</v>
      </c>
      <c r="C10503" s="6" t="s">
        <v>131</v>
      </c>
      <c r="D10503" s="13" t="n">
        <v>46130</v>
      </c>
      <c r="E10503" s="14" t="n">
        <v>3521.29</v>
      </c>
      <c r="F10503" s="14" t="n">
        <v>16897.79</v>
      </c>
      <c r="G10503" s="6" t="s">
        <v>2613</v>
      </c>
    </row>
    <row r="10504" customFormat="false" ht="15" hidden="false" customHeight="true" outlineLevel="0" collapsed="false">
      <c r="A10504" s="6" t="s">
        <v>13116</v>
      </c>
      <c r="B10504" s="6" t="s">
        <v>2143</v>
      </c>
      <c r="C10504" s="6" t="s">
        <v>131</v>
      </c>
      <c r="D10504" s="13" t="n">
        <v>46137</v>
      </c>
      <c r="E10504" s="14" t="n">
        <v>2824.64</v>
      </c>
      <c r="F10504" s="14" t="n">
        <v>19722.43</v>
      </c>
      <c r="G10504" s="6" t="s">
        <v>2613</v>
      </c>
    </row>
    <row r="10505" customFormat="false" ht="15" hidden="false" customHeight="true" outlineLevel="0" collapsed="false">
      <c r="A10505" s="6" t="s">
        <v>13117</v>
      </c>
      <c r="B10505" s="6" t="s">
        <v>2143</v>
      </c>
      <c r="C10505" s="6" t="s">
        <v>131</v>
      </c>
      <c r="D10505" s="13" t="n">
        <v>46144</v>
      </c>
      <c r="E10505" s="14" t="n">
        <v>3299.7</v>
      </c>
      <c r="F10505" s="14" t="n">
        <v>23022.13</v>
      </c>
      <c r="G10505" s="6" t="s">
        <v>2623</v>
      </c>
    </row>
    <row r="10506" customFormat="false" ht="15" hidden="false" customHeight="true" outlineLevel="0" collapsed="false">
      <c r="A10506" s="6" t="s">
        <v>13118</v>
      </c>
      <c r="B10506" s="6" t="s">
        <v>2143</v>
      </c>
      <c r="C10506" s="6" t="s">
        <v>131</v>
      </c>
      <c r="D10506" s="13" t="n">
        <v>46151</v>
      </c>
      <c r="E10506" s="14" t="n">
        <v>2676.48</v>
      </c>
      <c r="F10506" s="14" t="n">
        <v>25698.61</v>
      </c>
      <c r="G10506" s="6" t="s">
        <v>2623</v>
      </c>
    </row>
    <row r="10507" customFormat="false" ht="15" hidden="false" customHeight="true" outlineLevel="0" collapsed="false">
      <c r="A10507" s="6" t="s">
        <v>13119</v>
      </c>
      <c r="B10507" s="6" t="s">
        <v>2143</v>
      </c>
      <c r="C10507" s="6" t="s">
        <v>131</v>
      </c>
      <c r="D10507" s="13" t="n">
        <v>46158</v>
      </c>
      <c r="E10507" s="14" t="n">
        <v>3589.99</v>
      </c>
      <c r="F10507" s="14" t="n">
        <v>29288.6</v>
      </c>
      <c r="G10507" s="6" t="s">
        <v>2613</v>
      </c>
    </row>
    <row r="10508" customFormat="false" ht="15" hidden="false" customHeight="true" outlineLevel="0" collapsed="false">
      <c r="A10508" s="6" t="s">
        <v>13120</v>
      </c>
      <c r="B10508" s="6" t="s">
        <v>2143</v>
      </c>
      <c r="C10508" s="6" t="s">
        <v>131</v>
      </c>
      <c r="D10508" s="13" t="n">
        <v>46165</v>
      </c>
      <c r="E10508" s="14" t="n">
        <v>4621.28</v>
      </c>
      <c r="F10508" s="14" t="n">
        <v>33909.88</v>
      </c>
      <c r="G10508" s="6" t="s">
        <v>2613</v>
      </c>
    </row>
    <row r="10509" customFormat="false" ht="15" hidden="false" customHeight="true" outlineLevel="0" collapsed="false">
      <c r="A10509" s="6" t="s">
        <v>13121</v>
      </c>
      <c r="B10509" s="6" t="s">
        <v>2145</v>
      </c>
      <c r="C10509" s="6" t="s">
        <v>131</v>
      </c>
      <c r="D10509" s="13" t="n">
        <v>44708</v>
      </c>
      <c r="E10509" s="14" t="n">
        <v>10085.56</v>
      </c>
      <c r="F10509" s="14" t="n">
        <v>10085.56</v>
      </c>
      <c r="G10509" s="6" t="s">
        <v>2613</v>
      </c>
    </row>
    <row r="10510" customFormat="false" ht="15" hidden="false" customHeight="true" outlineLevel="0" collapsed="false">
      <c r="A10510" s="6" t="s">
        <v>13122</v>
      </c>
      <c r="B10510" s="6" t="s">
        <v>2145</v>
      </c>
      <c r="C10510" s="6" t="s">
        <v>131</v>
      </c>
      <c r="D10510" s="13" t="n">
        <v>44715</v>
      </c>
      <c r="E10510" s="14" t="n">
        <v>11170.95</v>
      </c>
      <c r="F10510" s="14" t="n">
        <v>21256.51</v>
      </c>
      <c r="G10510" s="6" t="s">
        <v>2623</v>
      </c>
    </row>
    <row r="10511" customFormat="false" ht="15" hidden="false" customHeight="true" outlineLevel="0" collapsed="false">
      <c r="A10511" s="6" t="s">
        <v>13123</v>
      </c>
      <c r="B10511" s="6" t="s">
        <v>2145</v>
      </c>
      <c r="C10511" s="6" t="s">
        <v>131</v>
      </c>
      <c r="D10511" s="13" t="n">
        <v>44722</v>
      </c>
      <c r="E10511" s="14" t="n">
        <v>13308.98</v>
      </c>
      <c r="F10511" s="14" t="n">
        <v>34565.49</v>
      </c>
      <c r="G10511" s="6" t="s">
        <v>2613</v>
      </c>
    </row>
    <row r="10512" customFormat="false" ht="15" hidden="false" customHeight="true" outlineLevel="0" collapsed="false">
      <c r="A10512" s="6" t="s">
        <v>13124</v>
      </c>
      <c r="B10512" s="6" t="s">
        <v>2145</v>
      </c>
      <c r="C10512" s="6" t="s">
        <v>131</v>
      </c>
      <c r="D10512" s="13" t="n">
        <v>44729</v>
      </c>
      <c r="E10512" s="14" t="n">
        <v>13191.01</v>
      </c>
      <c r="F10512" s="14" t="n">
        <v>47756.5</v>
      </c>
      <c r="G10512" s="6" t="s">
        <v>2613</v>
      </c>
    </row>
    <row r="10513" customFormat="false" ht="15" hidden="false" customHeight="true" outlineLevel="0" collapsed="false">
      <c r="A10513" s="6" t="s">
        <v>13125</v>
      </c>
      <c r="B10513" s="6" t="s">
        <v>2145</v>
      </c>
      <c r="C10513" s="6" t="s">
        <v>131</v>
      </c>
      <c r="D10513" s="13" t="n">
        <v>44736</v>
      </c>
      <c r="E10513" s="14" t="n">
        <v>14293.39</v>
      </c>
      <c r="F10513" s="14" t="n">
        <v>62049.89</v>
      </c>
      <c r="G10513" s="6" t="s">
        <v>2613</v>
      </c>
    </row>
    <row r="10514" customFormat="false" ht="15" hidden="false" customHeight="true" outlineLevel="0" collapsed="false">
      <c r="A10514" s="6" t="s">
        <v>13126</v>
      </c>
      <c r="B10514" s="6" t="s">
        <v>2145</v>
      </c>
      <c r="C10514" s="6" t="s">
        <v>131</v>
      </c>
      <c r="D10514" s="13" t="n">
        <v>44743</v>
      </c>
      <c r="E10514" s="14" t="n">
        <v>11224.02</v>
      </c>
      <c r="F10514" s="14" t="n">
        <v>73273.91</v>
      </c>
      <c r="G10514" s="6" t="s">
        <v>2613</v>
      </c>
    </row>
    <row r="10515" customFormat="false" ht="15" hidden="false" customHeight="true" outlineLevel="0" collapsed="false">
      <c r="A10515" s="6" t="s">
        <v>13127</v>
      </c>
      <c r="B10515" s="6" t="s">
        <v>2145</v>
      </c>
      <c r="C10515" s="6" t="s">
        <v>131</v>
      </c>
      <c r="D10515" s="13" t="n">
        <v>44750</v>
      </c>
      <c r="E10515" s="14" t="n">
        <v>9691.34</v>
      </c>
      <c r="F10515" s="14" t="n">
        <v>82965.25</v>
      </c>
      <c r="G10515" s="6" t="s">
        <v>2613</v>
      </c>
    </row>
    <row r="10516" customFormat="false" ht="15" hidden="false" customHeight="true" outlineLevel="0" collapsed="false">
      <c r="A10516" s="6" t="s">
        <v>13128</v>
      </c>
      <c r="B10516" s="6" t="s">
        <v>2145</v>
      </c>
      <c r="C10516" s="6" t="s">
        <v>131</v>
      </c>
      <c r="D10516" s="13" t="n">
        <v>44757</v>
      </c>
      <c r="E10516" s="14" t="n">
        <v>12112.17</v>
      </c>
      <c r="F10516" s="14" t="n">
        <v>95077.42</v>
      </c>
      <c r="G10516" s="6" t="s">
        <v>2613</v>
      </c>
    </row>
    <row r="10517" customFormat="false" ht="15" hidden="false" customHeight="true" outlineLevel="0" collapsed="false">
      <c r="A10517" s="6" t="s">
        <v>13129</v>
      </c>
      <c r="B10517" s="6" t="s">
        <v>2145</v>
      </c>
      <c r="C10517" s="6" t="s">
        <v>131</v>
      </c>
      <c r="D10517" s="13" t="n">
        <v>44764</v>
      </c>
      <c r="E10517" s="14" t="n">
        <v>9874.58</v>
      </c>
      <c r="F10517" s="14" t="n">
        <v>104952</v>
      </c>
      <c r="G10517" s="6" t="s">
        <v>2613</v>
      </c>
    </row>
    <row r="10518" customFormat="false" ht="15" hidden="false" customHeight="true" outlineLevel="0" collapsed="false">
      <c r="A10518" s="6" t="s">
        <v>13130</v>
      </c>
      <c r="B10518" s="6" t="s">
        <v>2145</v>
      </c>
      <c r="C10518" s="6" t="s">
        <v>131</v>
      </c>
      <c r="D10518" s="13" t="n">
        <v>44771</v>
      </c>
      <c r="E10518" s="14" t="n">
        <v>13758.47</v>
      </c>
      <c r="F10518" s="14" t="n">
        <v>118710.47</v>
      </c>
      <c r="G10518" s="6" t="s">
        <v>2613</v>
      </c>
    </row>
    <row r="10519" customFormat="false" ht="15" hidden="false" customHeight="true" outlineLevel="0" collapsed="false">
      <c r="A10519" s="6" t="s">
        <v>13131</v>
      </c>
      <c r="B10519" s="6" t="s">
        <v>2145</v>
      </c>
      <c r="C10519" s="6" t="s">
        <v>131</v>
      </c>
      <c r="D10519" s="13" t="n">
        <v>44778</v>
      </c>
      <c r="E10519" s="14" t="n">
        <v>20156.78</v>
      </c>
      <c r="F10519" s="14" t="n">
        <v>138867.25</v>
      </c>
      <c r="G10519" s="6" t="s">
        <v>2613</v>
      </c>
    </row>
    <row r="10520" customFormat="false" ht="15" hidden="false" customHeight="true" outlineLevel="0" collapsed="false">
      <c r="A10520" s="6" t="s">
        <v>13132</v>
      </c>
      <c r="B10520" s="6" t="s">
        <v>2147</v>
      </c>
      <c r="C10520" s="6" t="s">
        <v>120</v>
      </c>
      <c r="D10520" s="13" t="n">
        <v>45877</v>
      </c>
      <c r="E10520" s="14" t="n">
        <v>3145.93</v>
      </c>
      <c r="F10520" s="14" t="n">
        <v>3145.93</v>
      </c>
      <c r="G10520" s="6" t="s">
        <v>2613</v>
      </c>
    </row>
    <row r="10521" customFormat="false" ht="15" hidden="false" customHeight="true" outlineLevel="0" collapsed="false">
      <c r="A10521" s="6" t="s">
        <v>13133</v>
      </c>
      <c r="B10521" s="6" t="s">
        <v>2147</v>
      </c>
      <c r="C10521" s="6" t="s">
        <v>120</v>
      </c>
      <c r="D10521" s="13" t="n">
        <v>45884</v>
      </c>
      <c r="E10521" s="14" t="n">
        <v>3616.27</v>
      </c>
      <c r="F10521" s="14" t="n">
        <v>6762.2</v>
      </c>
      <c r="G10521" s="6" t="s">
        <v>2623</v>
      </c>
    </row>
    <row r="10522" customFormat="false" ht="15" hidden="false" customHeight="true" outlineLevel="0" collapsed="false">
      <c r="A10522" s="6" t="s">
        <v>13134</v>
      </c>
      <c r="B10522" s="6" t="s">
        <v>2147</v>
      </c>
      <c r="C10522" s="6" t="s">
        <v>120</v>
      </c>
      <c r="D10522" s="13" t="n">
        <v>45891</v>
      </c>
      <c r="E10522" s="14" t="n">
        <v>1994.85</v>
      </c>
      <c r="F10522" s="14" t="n">
        <v>8757.05</v>
      </c>
      <c r="G10522" s="6" t="s">
        <v>2613</v>
      </c>
    </row>
    <row r="10523" customFormat="false" ht="15" hidden="false" customHeight="true" outlineLevel="0" collapsed="false">
      <c r="A10523" s="6" t="s">
        <v>13135</v>
      </c>
      <c r="B10523" s="6" t="s">
        <v>2147</v>
      </c>
      <c r="C10523" s="6" t="s">
        <v>120</v>
      </c>
      <c r="D10523" s="13" t="n">
        <v>45898</v>
      </c>
      <c r="E10523" s="14" t="n">
        <v>1917.72</v>
      </c>
      <c r="F10523" s="14" t="n">
        <v>10674.77</v>
      </c>
      <c r="G10523" s="6" t="s">
        <v>2613</v>
      </c>
    </row>
    <row r="10524" customFormat="false" ht="15" hidden="false" customHeight="true" outlineLevel="0" collapsed="false">
      <c r="A10524" s="6" t="s">
        <v>13136</v>
      </c>
      <c r="B10524" s="6" t="s">
        <v>2147</v>
      </c>
      <c r="C10524" s="6" t="s">
        <v>120</v>
      </c>
      <c r="D10524" s="13" t="n">
        <v>45905</v>
      </c>
      <c r="E10524" s="14" t="n">
        <v>3027.79</v>
      </c>
      <c r="F10524" s="14" t="n">
        <v>13702.56</v>
      </c>
      <c r="G10524" s="6" t="s">
        <v>2613</v>
      </c>
    </row>
    <row r="10525" customFormat="false" ht="15" hidden="false" customHeight="true" outlineLevel="0" collapsed="false">
      <c r="A10525" s="6" t="s">
        <v>13137</v>
      </c>
      <c r="B10525" s="6" t="s">
        <v>2147</v>
      </c>
      <c r="C10525" s="6" t="s">
        <v>120</v>
      </c>
      <c r="D10525" s="13" t="n">
        <v>45912</v>
      </c>
      <c r="E10525" s="14" t="n">
        <v>4177.6</v>
      </c>
      <c r="F10525" s="14" t="n">
        <v>17880.16</v>
      </c>
      <c r="G10525" s="6" t="s">
        <v>2613</v>
      </c>
    </row>
    <row r="10526" customFormat="false" ht="15" hidden="false" customHeight="true" outlineLevel="0" collapsed="false">
      <c r="A10526" s="6" t="s">
        <v>13138</v>
      </c>
      <c r="B10526" s="6" t="s">
        <v>2147</v>
      </c>
      <c r="C10526" s="6" t="s">
        <v>120</v>
      </c>
      <c r="D10526" s="13" t="n">
        <v>45919</v>
      </c>
      <c r="E10526" s="14" t="n">
        <v>3291.1</v>
      </c>
      <c r="F10526" s="14" t="n">
        <v>21171.26</v>
      </c>
      <c r="G10526" s="6" t="s">
        <v>2613</v>
      </c>
    </row>
    <row r="10527" customFormat="false" ht="15" hidden="false" customHeight="true" outlineLevel="0" collapsed="false">
      <c r="A10527" s="6" t="s">
        <v>13139</v>
      </c>
      <c r="B10527" s="6" t="s">
        <v>2147</v>
      </c>
      <c r="C10527" s="6" t="s">
        <v>120</v>
      </c>
      <c r="D10527" s="13" t="n">
        <v>45926</v>
      </c>
      <c r="E10527" s="14" t="n">
        <v>2538.66</v>
      </c>
      <c r="F10527" s="14" t="n">
        <v>23709.92</v>
      </c>
      <c r="G10527" s="6" t="s">
        <v>2613</v>
      </c>
    </row>
    <row r="10528" customFormat="false" ht="15" hidden="false" customHeight="true" outlineLevel="0" collapsed="false">
      <c r="A10528" s="6" t="s">
        <v>13140</v>
      </c>
      <c r="B10528" s="6" t="s">
        <v>2147</v>
      </c>
      <c r="C10528" s="6" t="s">
        <v>120</v>
      </c>
      <c r="D10528" s="13" t="n">
        <v>45933</v>
      </c>
      <c r="E10528" s="14" t="n">
        <v>3320.36</v>
      </c>
      <c r="F10528" s="14" t="n">
        <v>27030.28</v>
      </c>
      <c r="G10528" s="6" t="s">
        <v>2613</v>
      </c>
    </row>
    <row r="10529" customFormat="false" ht="15" hidden="false" customHeight="true" outlineLevel="0" collapsed="false">
      <c r="A10529" s="6" t="s">
        <v>13141</v>
      </c>
      <c r="B10529" s="6" t="s">
        <v>2147</v>
      </c>
      <c r="C10529" s="6" t="s">
        <v>120</v>
      </c>
      <c r="D10529" s="13" t="n">
        <v>45940</v>
      </c>
      <c r="E10529" s="14" t="n">
        <v>2647.37</v>
      </c>
      <c r="F10529" s="14" t="n">
        <v>29677.65</v>
      </c>
      <c r="G10529" s="6" t="s">
        <v>2613</v>
      </c>
    </row>
    <row r="10530" customFormat="false" ht="15" hidden="false" customHeight="true" outlineLevel="0" collapsed="false">
      <c r="A10530" s="6" t="s">
        <v>13142</v>
      </c>
      <c r="B10530" s="6" t="s">
        <v>2147</v>
      </c>
      <c r="C10530" s="6" t="s">
        <v>120</v>
      </c>
      <c r="D10530" s="13" t="n">
        <v>45947</v>
      </c>
      <c r="E10530" s="14" t="n">
        <v>1943.08</v>
      </c>
      <c r="F10530" s="14" t="n">
        <v>31620.73</v>
      </c>
      <c r="G10530" s="6" t="s">
        <v>2613</v>
      </c>
    </row>
    <row r="10531" customFormat="false" ht="15" hidden="false" customHeight="true" outlineLevel="0" collapsed="false">
      <c r="A10531" s="6" t="s">
        <v>13143</v>
      </c>
      <c r="B10531" s="6" t="s">
        <v>2147</v>
      </c>
      <c r="C10531" s="6" t="s">
        <v>120</v>
      </c>
      <c r="D10531" s="13" t="n">
        <v>45954</v>
      </c>
      <c r="E10531" s="14" t="n">
        <v>2035.78</v>
      </c>
      <c r="F10531" s="14" t="n">
        <v>33656.51</v>
      </c>
      <c r="G10531" s="6" t="s">
        <v>2613</v>
      </c>
    </row>
    <row r="10532" customFormat="false" ht="15" hidden="false" customHeight="true" outlineLevel="0" collapsed="false">
      <c r="A10532" s="6" t="s">
        <v>13144</v>
      </c>
      <c r="B10532" s="6" t="s">
        <v>2147</v>
      </c>
      <c r="C10532" s="6" t="s">
        <v>120</v>
      </c>
      <c r="D10532" s="13" t="n">
        <v>45961</v>
      </c>
      <c r="E10532" s="14" t="n">
        <v>3380.72</v>
      </c>
      <c r="F10532" s="14" t="n">
        <v>37037.23</v>
      </c>
      <c r="G10532" s="6" t="s">
        <v>2613</v>
      </c>
    </row>
    <row r="10533" customFormat="false" ht="15" hidden="false" customHeight="true" outlineLevel="0" collapsed="false">
      <c r="A10533" s="6" t="s">
        <v>13145</v>
      </c>
      <c r="B10533" s="6" t="s">
        <v>2147</v>
      </c>
      <c r="C10533" s="6" t="s">
        <v>120</v>
      </c>
      <c r="D10533" s="13" t="n">
        <v>45968</v>
      </c>
      <c r="E10533" s="14" t="n">
        <v>3388.51</v>
      </c>
      <c r="F10533" s="14" t="n">
        <v>40425.74</v>
      </c>
      <c r="G10533" s="6" t="s">
        <v>2613</v>
      </c>
    </row>
    <row r="10534" customFormat="false" ht="15" hidden="false" customHeight="true" outlineLevel="0" collapsed="false">
      <c r="A10534" s="6" t="s">
        <v>13146</v>
      </c>
      <c r="B10534" s="6" t="s">
        <v>2147</v>
      </c>
      <c r="C10534" s="6" t="s">
        <v>120</v>
      </c>
      <c r="D10534" s="13" t="n">
        <v>45975</v>
      </c>
      <c r="E10534" s="14" t="n">
        <v>4183.3</v>
      </c>
      <c r="F10534" s="14" t="n">
        <v>44609.04</v>
      </c>
      <c r="G10534" s="6" t="s">
        <v>2613</v>
      </c>
    </row>
    <row r="10535" customFormat="false" ht="15" hidden="false" customHeight="true" outlineLevel="0" collapsed="false">
      <c r="A10535" s="6" t="s">
        <v>13147</v>
      </c>
      <c r="B10535" s="6" t="s">
        <v>2147</v>
      </c>
      <c r="C10535" s="6" t="s">
        <v>120</v>
      </c>
      <c r="D10535" s="13" t="n">
        <v>45982</v>
      </c>
      <c r="E10535" s="14" t="n">
        <v>4720.07</v>
      </c>
      <c r="F10535" s="14" t="n">
        <v>49329.11</v>
      </c>
      <c r="G10535" s="6" t="s">
        <v>2613</v>
      </c>
    </row>
    <row r="10536" customFormat="false" ht="15" hidden="false" customHeight="true" outlineLevel="0" collapsed="false">
      <c r="A10536" s="6" t="s">
        <v>13148</v>
      </c>
      <c r="B10536" s="6" t="s">
        <v>2149</v>
      </c>
      <c r="C10536" s="6" t="s">
        <v>128</v>
      </c>
      <c r="D10536" s="13" t="n">
        <v>44706</v>
      </c>
      <c r="E10536" s="14" t="n">
        <v>2405.7</v>
      </c>
      <c r="F10536" s="14" t="n">
        <v>2405.7</v>
      </c>
      <c r="G10536" s="6" t="s">
        <v>2613</v>
      </c>
    </row>
    <row r="10537" customFormat="false" ht="15" hidden="false" customHeight="true" outlineLevel="0" collapsed="false">
      <c r="A10537" s="6" t="s">
        <v>13149</v>
      </c>
      <c r="B10537" s="6" t="s">
        <v>2149</v>
      </c>
      <c r="C10537" s="6" t="s">
        <v>128</v>
      </c>
      <c r="D10537" s="13" t="n">
        <v>44713</v>
      </c>
      <c r="E10537" s="14" t="n">
        <v>1230.22</v>
      </c>
      <c r="F10537" s="14" t="n">
        <v>3635.92</v>
      </c>
      <c r="G10537" s="6" t="s">
        <v>2613</v>
      </c>
    </row>
    <row r="10538" customFormat="false" ht="15" hidden="false" customHeight="true" outlineLevel="0" collapsed="false">
      <c r="A10538" s="6" t="s">
        <v>13150</v>
      </c>
      <c r="B10538" s="6" t="s">
        <v>2149</v>
      </c>
      <c r="C10538" s="6" t="s">
        <v>128</v>
      </c>
      <c r="D10538" s="13" t="n">
        <v>44720</v>
      </c>
      <c r="E10538" s="14" t="n">
        <v>1092.28</v>
      </c>
      <c r="F10538" s="14" t="n">
        <v>4728.2</v>
      </c>
      <c r="G10538" s="6" t="s">
        <v>2613</v>
      </c>
    </row>
    <row r="10539" customFormat="false" ht="15" hidden="false" customHeight="true" outlineLevel="0" collapsed="false">
      <c r="A10539" s="6" t="s">
        <v>13151</v>
      </c>
      <c r="B10539" s="6" t="s">
        <v>2149</v>
      </c>
      <c r="C10539" s="6" t="s">
        <v>128</v>
      </c>
      <c r="D10539" s="13" t="n">
        <v>44727</v>
      </c>
      <c r="E10539" s="14" t="n">
        <v>1940.76</v>
      </c>
      <c r="F10539" s="14" t="n">
        <v>6668.96</v>
      </c>
      <c r="G10539" s="6" t="s">
        <v>2613</v>
      </c>
    </row>
    <row r="10540" customFormat="false" ht="15" hidden="false" customHeight="true" outlineLevel="0" collapsed="false">
      <c r="A10540" s="6" t="s">
        <v>13152</v>
      </c>
      <c r="B10540" s="6" t="s">
        <v>2149</v>
      </c>
      <c r="C10540" s="6" t="s">
        <v>128</v>
      </c>
      <c r="D10540" s="13" t="n">
        <v>44734</v>
      </c>
      <c r="E10540" s="14" t="n">
        <v>1975.12</v>
      </c>
      <c r="F10540" s="14" t="n">
        <v>8644.08</v>
      </c>
      <c r="G10540" s="6" t="s">
        <v>2613</v>
      </c>
    </row>
    <row r="10541" customFormat="false" ht="15" hidden="false" customHeight="true" outlineLevel="0" collapsed="false">
      <c r="A10541" s="6" t="s">
        <v>13153</v>
      </c>
      <c r="B10541" s="6" t="s">
        <v>2149</v>
      </c>
      <c r="C10541" s="6" t="s">
        <v>128</v>
      </c>
      <c r="D10541" s="13" t="n">
        <v>44741</v>
      </c>
      <c r="E10541" s="14" t="n">
        <v>2161.04</v>
      </c>
      <c r="F10541" s="14" t="n">
        <v>10805.12</v>
      </c>
      <c r="G10541" s="6" t="s">
        <v>2613</v>
      </c>
    </row>
    <row r="10542" customFormat="false" ht="15" hidden="false" customHeight="true" outlineLevel="0" collapsed="false">
      <c r="A10542" s="6" t="s">
        <v>13154</v>
      </c>
      <c r="B10542" s="6" t="s">
        <v>2149</v>
      </c>
      <c r="C10542" s="6" t="s">
        <v>128</v>
      </c>
      <c r="D10542" s="13" t="n">
        <v>44748</v>
      </c>
      <c r="E10542" s="14" t="n">
        <v>2021.9</v>
      </c>
      <c r="F10542" s="14" t="n">
        <v>12827.02</v>
      </c>
      <c r="G10542" s="6" t="s">
        <v>2613</v>
      </c>
    </row>
    <row r="10543" customFormat="false" ht="15" hidden="false" customHeight="true" outlineLevel="0" collapsed="false">
      <c r="A10543" s="6" t="s">
        <v>13155</v>
      </c>
      <c r="B10543" s="6" t="s">
        <v>2149</v>
      </c>
      <c r="C10543" s="6" t="s">
        <v>128</v>
      </c>
      <c r="D10543" s="13" t="n">
        <v>44755</v>
      </c>
      <c r="E10543" s="14" t="n">
        <v>2456.71</v>
      </c>
      <c r="F10543" s="14" t="n">
        <v>15283.73</v>
      </c>
      <c r="G10543" s="6" t="s">
        <v>2613</v>
      </c>
    </row>
    <row r="10544" customFormat="false" ht="15" hidden="false" customHeight="true" outlineLevel="0" collapsed="false">
      <c r="A10544" s="6" t="s">
        <v>13156</v>
      </c>
      <c r="B10544" s="6" t="s">
        <v>2149</v>
      </c>
      <c r="C10544" s="6" t="s">
        <v>128</v>
      </c>
      <c r="D10544" s="13" t="n">
        <v>44762</v>
      </c>
      <c r="E10544" s="14" t="n">
        <v>1869.87</v>
      </c>
      <c r="F10544" s="14" t="n">
        <v>17153.6</v>
      </c>
      <c r="G10544" s="6" t="s">
        <v>2623</v>
      </c>
    </row>
    <row r="10545" customFormat="false" ht="15" hidden="false" customHeight="true" outlineLevel="0" collapsed="false">
      <c r="A10545" s="6" t="s">
        <v>13157</v>
      </c>
      <c r="B10545" s="6" t="s">
        <v>2149</v>
      </c>
      <c r="C10545" s="6" t="s">
        <v>128</v>
      </c>
      <c r="D10545" s="13" t="n">
        <v>44769</v>
      </c>
      <c r="E10545" s="14" t="n">
        <v>1531.49</v>
      </c>
      <c r="F10545" s="14" t="n">
        <v>18685.09</v>
      </c>
      <c r="G10545" s="6" t="s">
        <v>2613</v>
      </c>
    </row>
    <row r="10546" customFormat="false" ht="15" hidden="false" customHeight="true" outlineLevel="0" collapsed="false">
      <c r="A10546" s="6" t="s">
        <v>13158</v>
      </c>
      <c r="B10546" s="6" t="s">
        <v>2149</v>
      </c>
      <c r="C10546" s="6" t="s">
        <v>128</v>
      </c>
      <c r="D10546" s="13" t="n">
        <v>44776</v>
      </c>
      <c r="E10546" s="14" t="n">
        <v>2228.03</v>
      </c>
      <c r="F10546" s="14" t="n">
        <v>20913.12</v>
      </c>
      <c r="G10546" s="6" t="s">
        <v>2613</v>
      </c>
    </row>
    <row r="10547" customFormat="false" ht="15" hidden="false" customHeight="true" outlineLevel="0" collapsed="false">
      <c r="A10547" s="6" t="s">
        <v>13159</v>
      </c>
      <c r="B10547" s="6" t="s">
        <v>2149</v>
      </c>
      <c r="C10547" s="6" t="s">
        <v>128</v>
      </c>
      <c r="D10547" s="13" t="n">
        <v>44783</v>
      </c>
      <c r="E10547" s="14" t="n">
        <v>2330.22</v>
      </c>
      <c r="F10547" s="14" t="n">
        <v>23243.34</v>
      </c>
      <c r="G10547" s="6" t="s">
        <v>2613</v>
      </c>
    </row>
    <row r="10548" customFormat="false" ht="15" hidden="false" customHeight="true" outlineLevel="0" collapsed="false">
      <c r="A10548" s="6" t="s">
        <v>13160</v>
      </c>
      <c r="B10548" s="6" t="s">
        <v>2149</v>
      </c>
      <c r="C10548" s="6" t="s">
        <v>128</v>
      </c>
      <c r="D10548" s="13" t="n">
        <v>44790</v>
      </c>
      <c r="E10548" s="14" t="n">
        <v>1936.17</v>
      </c>
      <c r="F10548" s="14" t="n">
        <v>25179.51</v>
      </c>
      <c r="G10548" s="6" t="s">
        <v>2613</v>
      </c>
    </row>
    <row r="10549" customFormat="false" ht="15" hidden="false" customHeight="true" outlineLevel="0" collapsed="false">
      <c r="A10549" s="6" t="s">
        <v>13161</v>
      </c>
      <c r="B10549" s="6" t="s">
        <v>2149</v>
      </c>
      <c r="C10549" s="6" t="s">
        <v>128</v>
      </c>
      <c r="D10549" s="13" t="n">
        <v>44797</v>
      </c>
      <c r="E10549" s="14" t="n">
        <v>1238.93</v>
      </c>
      <c r="F10549" s="14" t="n">
        <v>26418.44</v>
      </c>
      <c r="G10549" s="6" t="s">
        <v>2613</v>
      </c>
    </row>
    <row r="10550" customFormat="false" ht="15" hidden="false" customHeight="true" outlineLevel="0" collapsed="false">
      <c r="A10550" s="6" t="s">
        <v>13162</v>
      </c>
      <c r="B10550" s="6" t="s">
        <v>2149</v>
      </c>
      <c r="C10550" s="6" t="s">
        <v>128</v>
      </c>
      <c r="D10550" s="13" t="n">
        <v>44804</v>
      </c>
      <c r="E10550" s="14" t="n">
        <v>41.17</v>
      </c>
      <c r="F10550" s="14" t="n">
        <v>26459.61</v>
      </c>
      <c r="G10550" s="6" t="s">
        <v>2613</v>
      </c>
    </row>
    <row r="10551" customFormat="false" ht="15" hidden="false" customHeight="true" outlineLevel="0" collapsed="false">
      <c r="A10551" s="6" t="s">
        <v>13163</v>
      </c>
      <c r="B10551" s="6" t="s">
        <v>2151</v>
      </c>
      <c r="C10551" s="6" t="s">
        <v>120</v>
      </c>
      <c r="D10551" s="13" t="n">
        <v>46136</v>
      </c>
      <c r="E10551" s="14" t="n">
        <v>9007.26</v>
      </c>
      <c r="F10551" s="14" t="n">
        <v>9007.26</v>
      </c>
      <c r="G10551" s="6" t="s">
        <v>2613</v>
      </c>
    </row>
    <row r="10552" customFormat="false" ht="15" hidden="false" customHeight="true" outlineLevel="0" collapsed="false">
      <c r="A10552" s="6" t="s">
        <v>13164</v>
      </c>
      <c r="B10552" s="6" t="s">
        <v>2151</v>
      </c>
      <c r="C10552" s="6" t="s">
        <v>120</v>
      </c>
      <c r="D10552" s="13" t="n">
        <v>46143</v>
      </c>
      <c r="E10552" s="14" t="n">
        <v>10420.56</v>
      </c>
      <c r="F10552" s="14" t="n">
        <v>19427.82</v>
      </c>
      <c r="G10552" s="6" t="s">
        <v>2613</v>
      </c>
    </row>
    <row r="10553" customFormat="false" ht="15" hidden="false" customHeight="true" outlineLevel="0" collapsed="false">
      <c r="A10553" s="6" t="s">
        <v>13165</v>
      </c>
      <c r="B10553" s="6" t="s">
        <v>2151</v>
      </c>
      <c r="C10553" s="6" t="s">
        <v>120</v>
      </c>
      <c r="D10553" s="13" t="n">
        <v>46150</v>
      </c>
      <c r="E10553" s="14" t="n">
        <v>7780.79</v>
      </c>
      <c r="F10553" s="14" t="n">
        <v>27208.61</v>
      </c>
      <c r="G10553" s="6" t="s">
        <v>2613</v>
      </c>
    </row>
    <row r="10554" customFormat="false" ht="15" hidden="false" customHeight="true" outlineLevel="0" collapsed="false">
      <c r="A10554" s="6" t="s">
        <v>13166</v>
      </c>
      <c r="B10554" s="6" t="s">
        <v>2151</v>
      </c>
      <c r="C10554" s="6" t="s">
        <v>120</v>
      </c>
      <c r="D10554" s="13" t="n">
        <v>46157</v>
      </c>
      <c r="E10554" s="14" t="n">
        <v>8884.1</v>
      </c>
      <c r="F10554" s="14" t="n">
        <v>36092.71</v>
      </c>
      <c r="G10554" s="6" t="s">
        <v>2613</v>
      </c>
    </row>
    <row r="10555" customFormat="false" ht="15" hidden="false" customHeight="true" outlineLevel="0" collapsed="false">
      <c r="A10555" s="6" t="s">
        <v>13167</v>
      </c>
      <c r="B10555" s="6" t="s">
        <v>2151</v>
      </c>
      <c r="C10555" s="6" t="s">
        <v>120</v>
      </c>
      <c r="D10555" s="13" t="n">
        <v>46164</v>
      </c>
      <c r="E10555" s="14" t="n">
        <v>8521.64</v>
      </c>
      <c r="F10555" s="14" t="n">
        <v>44614.35</v>
      </c>
      <c r="G10555" s="6" t="s">
        <v>2613</v>
      </c>
    </row>
    <row r="10556" customFormat="false" ht="15" hidden="false" customHeight="true" outlineLevel="0" collapsed="false">
      <c r="A10556" s="6" t="s">
        <v>13168</v>
      </c>
      <c r="B10556" s="6" t="s">
        <v>2151</v>
      </c>
      <c r="C10556" s="6" t="s">
        <v>120</v>
      </c>
      <c r="D10556" s="13" t="n">
        <v>46171</v>
      </c>
      <c r="E10556" s="14" t="n">
        <v>8328.03</v>
      </c>
      <c r="F10556" s="14" t="n">
        <v>52942.38</v>
      </c>
      <c r="G10556" s="6" t="s">
        <v>2613</v>
      </c>
    </row>
    <row r="10557" customFormat="false" ht="15" hidden="false" customHeight="true" outlineLevel="0" collapsed="false">
      <c r="A10557" s="6" t="s">
        <v>13169</v>
      </c>
      <c r="B10557" s="6" t="s">
        <v>2151</v>
      </c>
      <c r="C10557" s="6" t="s">
        <v>120</v>
      </c>
      <c r="D10557" s="13" t="n">
        <v>46178</v>
      </c>
      <c r="E10557" s="14" t="n">
        <v>7395.53</v>
      </c>
      <c r="F10557" s="14" t="n">
        <v>60337.91</v>
      </c>
      <c r="G10557" s="6" t="s">
        <v>2613</v>
      </c>
    </row>
    <row r="10558" customFormat="false" ht="15" hidden="false" customHeight="true" outlineLevel="0" collapsed="false">
      <c r="A10558" s="6" t="s">
        <v>13170</v>
      </c>
      <c r="B10558" s="6" t="s">
        <v>2151</v>
      </c>
      <c r="C10558" s="6" t="s">
        <v>120</v>
      </c>
      <c r="D10558" s="13" t="n">
        <v>46185</v>
      </c>
      <c r="E10558" s="14" t="n">
        <v>2562.9</v>
      </c>
      <c r="F10558" s="14" t="n">
        <v>62900.81</v>
      </c>
      <c r="G10558" s="6" t="s">
        <v>2613</v>
      </c>
    </row>
    <row r="10559" customFormat="false" ht="15" hidden="false" customHeight="true" outlineLevel="0" collapsed="false">
      <c r="A10559" s="6" t="s">
        <v>13171</v>
      </c>
      <c r="B10559" s="6" t="s">
        <v>2153</v>
      </c>
      <c r="C10559" s="6" t="s">
        <v>124</v>
      </c>
      <c r="D10559" s="13" t="n">
        <v>45306</v>
      </c>
      <c r="E10559" s="14" t="n">
        <v>11848.93</v>
      </c>
      <c r="F10559" s="14" t="n">
        <v>11848.93</v>
      </c>
      <c r="G10559" s="6" t="s">
        <v>2613</v>
      </c>
    </row>
    <row r="10560" customFormat="false" ht="15" hidden="false" customHeight="true" outlineLevel="0" collapsed="false">
      <c r="A10560" s="6" t="s">
        <v>13172</v>
      </c>
      <c r="B10560" s="6" t="s">
        <v>2153</v>
      </c>
      <c r="C10560" s="6" t="s">
        <v>124</v>
      </c>
      <c r="D10560" s="13" t="n">
        <v>45313</v>
      </c>
      <c r="E10560" s="14" t="n">
        <v>7227.68</v>
      </c>
      <c r="F10560" s="14" t="n">
        <v>19076.61</v>
      </c>
      <c r="G10560" s="6" t="s">
        <v>2613</v>
      </c>
    </row>
    <row r="10561" customFormat="false" ht="15" hidden="false" customHeight="true" outlineLevel="0" collapsed="false">
      <c r="A10561" s="6" t="s">
        <v>13173</v>
      </c>
      <c r="B10561" s="6" t="s">
        <v>2153</v>
      </c>
      <c r="C10561" s="6" t="s">
        <v>124</v>
      </c>
      <c r="D10561" s="13" t="n">
        <v>45320</v>
      </c>
      <c r="E10561" s="14" t="n">
        <v>13495.4</v>
      </c>
      <c r="F10561" s="14" t="n">
        <v>32572.01</v>
      </c>
      <c r="G10561" s="6" t="s">
        <v>2613</v>
      </c>
    </row>
    <row r="10562" customFormat="false" ht="15" hidden="false" customHeight="true" outlineLevel="0" collapsed="false">
      <c r="A10562" s="6" t="s">
        <v>13174</v>
      </c>
      <c r="B10562" s="6" t="s">
        <v>2153</v>
      </c>
      <c r="C10562" s="6" t="s">
        <v>124</v>
      </c>
      <c r="D10562" s="13" t="n">
        <v>45327</v>
      </c>
      <c r="E10562" s="14" t="n">
        <v>12026.26</v>
      </c>
      <c r="F10562" s="14" t="n">
        <v>44598.27</v>
      </c>
      <c r="G10562" s="6" t="s">
        <v>2613</v>
      </c>
    </row>
    <row r="10563" customFormat="false" ht="15" hidden="false" customHeight="true" outlineLevel="0" collapsed="false">
      <c r="A10563" s="6" t="s">
        <v>13175</v>
      </c>
      <c r="B10563" s="6" t="s">
        <v>2153</v>
      </c>
      <c r="C10563" s="6" t="s">
        <v>124</v>
      </c>
      <c r="D10563" s="13" t="n">
        <v>45334</v>
      </c>
      <c r="E10563" s="14" t="n">
        <v>8988.29</v>
      </c>
      <c r="F10563" s="14" t="n">
        <v>53586.56</v>
      </c>
      <c r="G10563" s="6" t="s">
        <v>2623</v>
      </c>
    </row>
    <row r="10564" customFormat="false" ht="15" hidden="false" customHeight="true" outlineLevel="0" collapsed="false">
      <c r="A10564" s="6" t="s">
        <v>13176</v>
      </c>
      <c r="B10564" s="6" t="s">
        <v>2153</v>
      </c>
      <c r="C10564" s="6" t="s">
        <v>124</v>
      </c>
      <c r="D10564" s="13" t="n">
        <v>45341</v>
      </c>
      <c r="E10564" s="14" t="n">
        <v>10353.37</v>
      </c>
      <c r="F10564" s="14" t="n">
        <v>63939.93</v>
      </c>
      <c r="G10564" s="6" t="s">
        <v>2613</v>
      </c>
    </row>
    <row r="10565" customFormat="false" ht="15" hidden="false" customHeight="true" outlineLevel="0" collapsed="false">
      <c r="A10565" s="6" t="s">
        <v>13177</v>
      </c>
      <c r="B10565" s="6" t="s">
        <v>2153</v>
      </c>
      <c r="C10565" s="6" t="s">
        <v>124</v>
      </c>
      <c r="D10565" s="13" t="n">
        <v>45348</v>
      </c>
      <c r="E10565" s="14" t="n">
        <v>11489.89</v>
      </c>
      <c r="F10565" s="14" t="n">
        <v>75429.82</v>
      </c>
      <c r="G10565" s="6" t="s">
        <v>2613</v>
      </c>
    </row>
    <row r="10566" customFormat="false" ht="15" hidden="false" customHeight="true" outlineLevel="0" collapsed="false">
      <c r="A10566" s="6" t="s">
        <v>13178</v>
      </c>
      <c r="B10566" s="6" t="s">
        <v>2153</v>
      </c>
      <c r="C10566" s="6" t="s">
        <v>124</v>
      </c>
      <c r="D10566" s="13" t="n">
        <v>45355</v>
      </c>
      <c r="E10566" s="14" t="n">
        <v>14201.89</v>
      </c>
      <c r="F10566" s="14" t="n">
        <v>89631.71</v>
      </c>
      <c r="G10566" s="6" t="s">
        <v>2613</v>
      </c>
    </row>
    <row r="10567" customFormat="false" ht="15" hidden="false" customHeight="true" outlineLevel="0" collapsed="false">
      <c r="A10567" s="6" t="s">
        <v>13179</v>
      </c>
      <c r="B10567" s="6" t="s">
        <v>2153</v>
      </c>
      <c r="C10567" s="6" t="s">
        <v>124</v>
      </c>
      <c r="D10567" s="13" t="n">
        <v>45362</v>
      </c>
      <c r="E10567" s="14" t="n">
        <v>7625.68</v>
      </c>
      <c r="F10567" s="14" t="n">
        <v>97257.39</v>
      </c>
      <c r="G10567" s="6" t="s">
        <v>2613</v>
      </c>
    </row>
    <row r="10568" customFormat="false" ht="15" hidden="false" customHeight="true" outlineLevel="0" collapsed="false">
      <c r="A10568" s="6" t="s">
        <v>13180</v>
      </c>
      <c r="B10568" s="6" t="s">
        <v>2155</v>
      </c>
      <c r="C10568" s="6" t="s">
        <v>112</v>
      </c>
      <c r="D10568" s="13" t="n">
        <v>45098</v>
      </c>
      <c r="E10568" s="14" t="n">
        <v>1774.03</v>
      </c>
      <c r="F10568" s="14" t="n">
        <v>1774.03</v>
      </c>
      <c r="G10568" s="6" t="s">
        <v>2623</v>
      </c>
    </row>
    <row r="10569" customFormat="false" ht="15" hidden="false" customHeight="true" outlineLevel="0" collapsed="false">
      <c r="A10569" s="6" t="s">
        <v>13181</v>
      </c>
      <c r="B10569" s="6" t="s">
        <v>2155</v>
      </c>
      <c r="C10569" s="6" t="s">
        <v>112</v>
      </c>
      <c r="D10569" s="13" t="n">
        <v>45105</v>
      </c>
      <c r="E10569" s="14" t="n">
        <v>1776.8</v>
      </c>
      <c r="F10569" s="14" t="n">
        <v>3550.83</v>
      </c>
      <c r="G10569" s="6" t="s">
        <v>2613</v>
      </c>
    </row>
    <row r="10570" customFormat="false" ht="15" hidden="false" customHeight="true" outlineLevel="0" collapsed="false">
      <c r="A10570" s="6" t="s">
        <v>13182</v>
      </c>
      <c r="B10570" s="6" t="s">
        <v>2155</v>
      </c>
      <c r="C10570" s="6" t="s">
        <v>112</v>
      </c>
      <c r="D10570" s="13" t="n">
        <v>45112</v>
      </c>
      <c r="E10570" s="14" t="n">
        <v>1839.6</v>
      </c>
      <c r="F10570" s="14" t="n">
        <v>5390.43</v>
      </c>
      <c r="G10570" s="6" t="s">
        <v>2613</v>
      </c>
    </row>
    <row r="10571" customFormat="false" ht="15" hidden="false" customHeight="true" outlineLevel="0" collapsed="false">
      <c r="A10571" s="6" t="s">
        <v>13183</v>
      </c>
      <c r="B10571" s="6" t="s">
        <v>2155</v>
      </c>
      <c r="C10571" s="6" t="s">
        <v>112</v>
      </c>
      <c r="D10571" s="13" t="n">
        <v>45119</v>
      </c>
      <c r="E10571" s="14" t="n">
        <v>1700.05</v>
      </c>
      <c r="F10571" s="14" t="n">
        <v>7090.48</v>
      </c>
      <c r="G10571" s="6" t="s">
        <v>2623</v>
      </c>
    </row>
    <row r="10572" customFormat="false" ht="15" hidden="false" customHeight="true" outlineLevel="0" collapsed="false">
      <c r="A10572" s="6" t="s">
        <v>13184</v>
      </c>
      <c r="B10572" s="6" t="s">
        <v>2155</v>
      </c>
      <c r="C10572" s="6" t="s">
        <v>112</v>
      </c>
      <c r="D10572" s="13" t="n">
        <v>45126</v>
      </c>
      <c r="E10572" s="14" t="n">
        <v>1879.14</v>
      </c>
      <c r="F10572" s="14" t="n">
        <v>8969.62</v>
      </c>
      <c r="G10572" s="6" t="s">
        <v>2613</v>
      </c>
    </row>
    <row r="10573" customFormat="false" ht="15" hidden="false" customHeight="true" outlineLevel="0" collapsed="false">
      <c r="A10573" s="6" t="s">
        <v>13185</v>
      </c>
      <c r="B10573" s="6" t="s">
        <v>2155</v>
      </c>
      <c r="C10573" s="6" t="s">
        <v>112</v>
      </c>
      <c r="D10573" s="13" t="n">
        <v>45133</v>
      </c>
      <c r="E10573" s="14" t="n">
        <v>1707.41</v>
      </c>
      <c r="F10573" s="14" t="n">
        <v>10677.03</v>
      </c>
      <c r="G10573" s="6" t="s">
        <v>2613</v>
      </c>
    </row>
    <row r="10574" customFormat="false" ht="15" hidden="false" customHeight="true" outlineLevel="0" collapsed="false">
      <c r="A10574" s="6" t="s">
        <v>13186</v>
      </c>
      <c r="B10574" s="6" t="s">
        <v>2155</v>
      </c>
      <c r="C10574" s="6" t="s">
        <v>112</v>
      </c>
      <c r="D10574" s="13" t="n">
        <v>45140</v>
      </c>
      <c r="E10574" s="14" t="n">
        <v>2590.8</v>
      </c>
      <c r="F10574" s="14" t="n">
        <v>13267.83</v>
      </c>
      <c r="G10574" s="6" t="s">
        <v>2613</v>
      </c>
    </row>
    <row r="10575" customFormat="false" ht="15" hidden="false" customHeight="true" outlineLevel="0" collapsed="false">
      <c r="A10575" s="6" t="s">
        <v>13187</v>
      </c>
      <c r="B10575" s="6" t="s">
        <v>2155</v>
      </c>
      <c r="C10575" s="6" t="s">
        <v>112</v>
      </c>
      <c r="D10575" s="13" t="n">
        <v>45147</v>
      </c>
      <c r="E10575" s="14" t="n">
        <v>2466.94</v>
      </c>
      <c r="F10575" s="14" t="n">
        <v>15734.77</v>
      </c>
      <c r="G10575" s="6" t="s">
        <v>2613</v>
      </c>
    </row>
    <row r="10576" customFormat="false" ht="15" hidden="false" customHeight="true" outlineLevel="0" collapsed="false">
      <c r="A10576" s="6" t="s">
        <v>13188</v>
      </c>
      <c r="B10576" s="6" t="s">
        <v>2155</v>
      </c>
      <c r="C10576" s="6" t="s">
        <v>112</v>
      </c>
      <c r="D10576" s="13" t="n">
        <v>45154</v>
      </c>
      <c r="E10576" s="14" t="n">
        <v>1194.35</v>
      </c>
      <c r="F10576" s="14" t="n">
        <v>16929.12</v>
      </c>
      <c r="G10576" s="6" t="s">
        <v>2613</v>
      </c>
    </row>
    <row r="10577" customFormat="false" ht="15" hidden="false" customHeight="true" outlineLevel="0" collapsed="false">
      <c r="A10577" s="6" t="s">
        <v>13189</v>
      </c>
      <c r="B10577" s="6" t="s">
        <v>2155</v>
      </c>
      <c r="C10577" s="6" t="s">
        <v>112</v>
      </c>
      <c r="D10577" s="13" t="n">
        <v>45161</v>
      </c>
      <c r="E10577" s="14" t="n">
        <v>2279.86</v>
      </c>
      <c r="F10577" s="14" t="n">
        <v>19208.98</v>
      </c>
      <c r="G10577" s="6" t="s">
        <v>2613</v>
      </c>
    </row>
    <row r="10578" customFormat="false" ht="15" hidden="false" customHeight="true" outlineLevel="0" collapsed="false">
      <c r="A10578" s="6" t="s">
        <v>13190</v>
      </c>
      <c r="B10578" s="6" t="s">
        <v>2155</v>
      </c>
      <c r="C10578" s="6" t="s">
        <v>112</v>
      </c>
      <c r="D10578" s="13" t="n">
        <v>45168</v>
      </c>
      <c r="E10578" s="14" t="n">
        <v>2116.86</v>
      </c>
      <c r="F10578" s="14" t="n">
        <v>21325.84</v>
      </c>
      <c r="G10578" s="6" t="s">
        <v>2613</v>
      </c>
    </row>
    <row r="10579" customFormat="false" ht="15" hidden="false" customHeight="true" outlineLevel="0" collapsed="false">
      <c r="A10579" s="6" t="s">
        <v>13191</v>
      </c>
      <c r="B10579" s="6" t="s">
        <v>2155</v>
      </c>
      <c r="C10579" s="6" t="s">
        <v>112</v>
      </c>
      <c r="D10579" s="13" t="n">
        <v>45175</v>
      </c>
      <c r="E10579" s="14" t="n">
        <v>1356.84</v>
      </c>
      <c r="F10579" s="14" t="n">
        <v>22682.68</v>
      </c>
      <c r="G10579" s="6" t="s">
        <v>2613</v>
      </c>
    </row>
    <row r="10580" customFormat="false" ht="15" hidden="false" customHeight="true" outlineLevel="0" collapsed="false">
      <c r="A10580" s="6" t="s">
        <v>13192</v>
      </c>
      <c r="B10580" s="6" t="s">
        <v>2155</v>
      </c>
      <c r="C10580" s="6" t="s">
        <v>112</v>
      </c>
      <c r="D10580" s="13" t="n">
        <v>45182</v>
      </c>
      <c r="E10580" s="14" t="n">
        <v>2558.18</v>
      </c>
      <c r="F10580" s="14" t="n">
        <v>25240.86</v>
      </c>
      <c r="G10580" s="6" t="s">
        <v>2613</v>
      </c>
    </row>
    <row r="10581" customFormat="false" ht="15" hidden="false" customHeight="true" outlineLevel="0" collapsed="false">
      <c r="A10581" s="6" t="s">
        <v>13193</v>
      </c>
      <c r="B10581" s="6" t="s">
        <v>2155</v>
      </c>
      <c r="C10581" s="6" t="s">
        <v>112</v>
      </c>
      <c r="D10581" s="13" t="n">
        <v>45189</v>
      </c>
      <c r="E10581" s="14" t="n">
        <v>1295.3</v>
      </c>
      <c r="F10581" s="14" t="n">
        <v>26536.16</v>
      </c>
      <c r="G10581" s="6" t="s">
        <v>2613</v>
      </c>
    </row>
    <row r="10582" customFormat="false" ht="15" hidden="false" customHeight="true" outlineLevel="0" collapsed="false">
      <c r="A10582" s="6" t="s">
        <v>13194</v>
      </c>
      <c r="B10582" s="6" t="s">
        <v>2155</v>
      </c>
      <c r="C10582" s="6" t="s">
        <v>112</v>
      </c>
      <c r="D10582" s="13" t="n">
        <v>45196</v>
      </c>
      <c r="E10582" s="14" t="n">
        <v>2449.41</v>
      </c>
      <c r="F10582" s="14" t="n">
        <v>28985.57</v>
      </c>
      <c r="G10582" s="6" t="s">
        <v>2613</v>
      </c>
    </row>
    <row r="10583" customFormat="false" ht="15" hidden="false" customHeight="true" outlineLevel="0" collapsed="false">
      <c r="A10583" s="6" t="s">
        <v>13195</v>
      </c>
      <c r="B10583" s="6" t="s">
        <v>2155</v>
      </c>
      <c r="C10583" s="6" t="s">
        <v>112</v>
      </c>
      <c r="D10583" s="13" t="n">
        <v>45203</v>
      </c>
      <c r="E10583" s="14" t="n">
        <v>866.63</v>
      </c>
      <c r="F10583" s="14" t="n">
        <v>29852.2</v>
      </c>
      <c r="G10583" s="6" t="s">
        <v>2613</v>
      </c>
    </row>
    <row r="10584" customFormat="false" ht="15" hidden="false" customHeight="true" outlineLevel="0" collapsed="false">
      <c r="A10584" s="6" t="s">
        <v>13196</v>
      </c>
      <c r="B10584" s="6" t="s">
        <v>2157</v>
      </c>
      <c r="C10584" s="6" t="s">
        <v>116</v>
      </c>
      <c r="D10584" s="13" t="n">
        <v>44940</v>
      </c>
      <c r="E10584" s="14" t="n">
        <v>438.41</v>
      </c>
      <c r="F10584" s="14" t="n">
        <v>438.41</v>
      </c>
      <c r="G10584" s="6" t="s">
        <v>2613</v>
      </c>
    </row>
    <row r="10585" customFormat="false" ht="15" hidden="false" customHeight="true" outlineLevel="0" collapsed="false">
      <c r="A10585" s="6" t="s">
        <v>13197</v>
      </c>
      <c r="B10585" s="6" t="s">
        <v>2157</v>
      </c>
      <c r="C10585" s="6" t="s">
        <v>116</v>
      </c>
      <c r="D10585" s="13" t="n">
        <v>44947</v>
      </c>
      <c r="E10585" s="14" t="n">
        <v>873.98</v>
      </c>
      <c r="F10585" s="14" t="n">
        <v>1312.39</v>
      </c>
      <c r="G10585" s="6" t="s">
        <v>2613</v>
      </c>
    </row>
    <row r="10586" customFormat="false" ht="15" hidden="false" customHeight="true" outlineLevel="0" collapsed="false">
      <c r="A10586" s="6" t="s">
        <v>13198</v>
      </c>
      <c r="B10586" s="6" t="s">
        <v>2157</v>
      </c>
      <c r="C10586" s="6" t="s">
        <v>116</v>
      </c>
      <c r="D10586" s="13" t="n">
        <v>44954</v>
      </c>
      <c r="E10586" s="14" t="n">
        <v>925.8</v>
      </c>
      <c r="F10586" s="14" t="n">
        <v>2238.19</v>
      </c>
      <c r="G10586" s="6" t="s">
        <v>2613</v>
      </c>
    </row>
    <row r="10587" customFormat="false" ht="15" hidden="false" customHeight="true" outlineLevel="0" collapsed="false">
      <c r="A10587" s="6" t="s">
        <v>13199</v>
      </c>
      <c r="B10587" s="6" t="s">
        <v>2157</v>
      </c>
      <c r="C10587" s="6" t="s">
        <v>116</v>
      </c>
      <c r="D10587" s="13" t="n">
        <v>44961</v>
      </c>
      <c r="E10587" s="14" t="n">
        <v>706.89</v>
      </c>
      <c r="F10587" s="14" t="n">
        <v>2945.08</v>
      </c>
      <c r="G10587" s="6" t="s">
        <v>2613</v>
      </c>
    </row>
    <row r="10588" customFormat="false" ht="15" hidden="false" customHeight="true" outlineLevel="0" collapsed="false">
      <c r="A10588" s="6" t="s">
        <v>13200</v>
      </c>
      <c r="B10588" s="6" t="s">
        <v>2157</v>
      </c>
      <c r="C10588" s="6" t="s">
        <v>116</v>
      </c>
      <c r="D10588" s="13" t="n">
        <v>44968</v>
      </c>
      <c r="E10588" s="14" t="n">
        <v>659.14</v>
      </c>
      <c r="F10588" s="14" t="n">
        <v>3604.22</v>
      </c>
      <c r="G10588" s="6" t="s">
        <v>2613</v>
      </c>
    </row>
    <row r="10589" customFormat="false" ht="15" hidden="false" customHeight="true" outlineLevel="0" collapsed="false">
      <c r="A10589" s="6" t="s">
        <v>13201</v>
      </c>
      <c r="B10589" s="6" t="s">
        <v>2157</v>
      </c>
      <c r="C10589" s="6" t="s">
        <v>116</v>
      </c>
      <c r="D10589" s="13" t="n">
        <v>44975</v>
      </c>
      <c r="E10589" s="14" t="n">
        <v>667.51</v>
      </c>
      <c r="F10589" s="14" t="n">
        <v>4271.73</v>
      </c>
      <c r="G10589" s="6" t="s">
        <v>2613</v>
      </c>
    </row>
    <row r="10590" customFormat="false" ht="15" hidden="false" customHeight="true" outlineLevel="0" collapsed="false">
      <c r="A10590" s="6" t="s">
        <v>13202</v>
      </c>
      <c r="B10590" s="6" t="s">
        <v>2159</v>
      </c>
      <c r="C10590" s="6" t="s">
        <v>116</v>
      </c>
      <c r="D10590" s="13" t="n">
        <v>45624</v>
      </c>
      <c r="E10590" s="14" t="n">
        <v>4163.25</v>
      </c>
      <c r="F10590" s="14" t="n">
        <v>4163.25</v>
      </c>
      <c r="G10590" s="6" t="s">
        <v>2613</v>
      </c>
    </row>
    <row r="10591" customFormat="false" ht="15" hidden="false" customHeight="true" outlineLevel="0" collapsed="false">
      <c r="A10591" s="6" t="s">
        <v>13203</v>
      </c>
      <c r="B10591" s="6" t="s">
        <v>2159</v>
      </c>
      <c r="C10591" s="6" t="s">
        <v>116</v>
      </c>
      <c r="D10591" s="13" t="n">
        <v>45631</v>
      </c>
      <c r="E10591" s="14" t="n">
        <v>4627.93</v>
      </c>
      <c r="F10591" s="14" t="n">
        <v>8791.18</v>
      </c>
      <c r="G10591" s="6" t="s">
        <v>2613</v>
      </c>
    </row>
    <row r="10592" customFormat="false" ht="15" hidden="false" customHeight="true" outlineLevel="0" collapsed="false">
      <c r="A10592" s="6" t="s">
        <v>13204</v>
      </c>
      <c r="B10592" s="6" t="s">
        <v>2159</v>
      </c>
      <c r="C10592" s="6" t="s">
        <v>116</v>
      </c>
      <c r="D10592" s="13" t="n">
        <v>45638</v>
      </c>
      <c r="E10592" s="14" t="n">
        <v>3864.48</v>
      </c>
      <c r="F10592" s="14" t="n">
        <v>12655.66</v>
      </c>
      <c r="G10592" s="6" t="s">
        <v>2613</v>
      </c>
    </row>
    <row r="10593" customFormat="false" ht="15" hidden="false" customHeight="true" outlineLevel="0" collapsed="false">
      <c r="A10593" s="6" t="s">
        <v>13205</v>
      </c>
      <c r="B10593" s="6" t="s">
        <v>2159</v>
      </c>
      <c r="C10593" s="6" t="s">
        <v>116</v>
      </c>
      <c r="D10593" s="13" t="n">
        <v>45645</v>
      </c>
      <c r="E10593" s="14" t="n">
        <v>3856</v>
      </c>
      <c r="F10593" s="14" t="n">
        <v>16511.66</v>
      </c>
      <c r="G10593" s="6" t="s">
        <v>2613</v>
      </c>
    </row>
    <row r="10594" customFormat="false" ht="15" hidden="false" customHeight="true" outlineLevel="0" collapsed="false">
      <c r="A10594" s="6" t="s">
        <v>13206</v>
      </c>
      <c r="B10594" s="6" t="s">
        <v>2159</v>
      </c>
      <c r="C10594" s="6" t="s">
        <v>116</v>
      </c>
      <c r="D10594" s="13" t="n">
        <v>45652</v>
      </c>
      <c r="E10594" s="14" t="n">
        <v>4811.52</v>
      </c>
      <c r="F10594" s="14" t="n">
        <v>21323.18</v>
      </c>
      <c r="G10594" s="6" t="s">
        <v>2613</v>
      </c>
    </row>
    <row r="10595" customFormat="false" ht="15" hidden="false" customHeight="true" outlineLevel="0" collapsed="false">
      <c r="A10595" s="6" t="s">
        <v>13207</v>
      </c>
      <c r="B10595" s="6" t="s">
        <v>2159</v>
      </c>
      <c r="C10595" s="6" t="s">
        <v>116</v>
      </c>
      <c r="D10595" s="13" t="n">
        <v>45659</v>
      </c>
      <c r="E10595" s="14" t="n">
        <v>3807.45</v>
      </c>
      <c r="F10595" s="14" t="n">
        <v>25130.63</v>
      </c>
      <c r="G10595" s="6" t="s">
        <v>2623</v>
      </c>
    </row>
    <row r="10596" customFormat="false" ht="15" hidden="false" customHeight="true" outlineLevel="0" collapsed="false">
      <c r="A10596" s="6" t="s">
        <v>13208</v>
      </c>
      <c r="B10596" s="6" t="s">
        <v>2159</v>
      </c>
      <c r="C10596" s="6" t="s">
        <v>116</v>
      </c>
      <c r="D10596" s="13" t="n">
        <v>45666</v>
      </c>
      <c r="E10596" s="14" t="n">
        <v>3309.47</v>
      </c>
      <c r="F10596" s="14" t="n">
        <v>28440.1</v>
      </c>
      <c r="G10596" s="6" t="s">
        <v>2613</v>
      </c>
    </row>
    <row r="10597" customFormat="false" ht="15" hidden="false" customHeight="true" outlineLevel="0" collapsed="false">
      <c r="A10597" s="6" t="s">
        <v>13209</v>
      </c>
      <c r="B10597" s="6" t="s">
        <v>2159</v>
      </c>
      <c r="C10597" s="6" t="s">
        <v>116</v>
      </c>
      <c r="D10597" s="13" t="n">
        <v>45673</v>
      </c>
      <c r="E10597" s="14" t="n">
        <v>5119.68</v>
      </c>
      <c r="F10597" s="14" t="n">
        <v>33559.78</v>
      </c>
      <c r="G10597" s="6" t="s">
        <v>2613</v>
      </c>
    </row>
    <row r="10598" customFormat="false" ht="15" hidden="false" customHeight="true" outlineLevel="0" collapsed="false">
      <c r="A10598" s="6" t="s">
        <v>13210</v>
      </c>
      <c r="B10598" s="6" t="s">
        <v>2159</v>
      </c>
      <c r="C10598" s="6" t="s">
        <v>116</v>
      </c>
      <c r="D10598" s="13" t="n">
        <v>45680</v>
      </c>
      <c r="E10598" s="14" t="n">
        <v>3229.07</v>
      </c>
      <c r="F10598" s="14" t="n">
        <v>36788.85</v>
      </c>
      <c r="G10598" s="6" t="s">
        <v>2613</v>
      </c>
    </row>
    <row r="10599" customFormat="false" ht="15" hidden="false" customHeight="true" outlineLevel="0" collapsed="false">
      <c r="A10599" s="6" t="s">
        <v>13211</v>
      </c>
      <c r="B10599" s="6" t="s">
        <v>2159</v>
      </c>
      <c r="C10599" s="6" t="s">
        <v>116</v>
      </c>
      <c r="D10599" s="13" t="n">
        <v>45687</v>
      </c>
      <c r="E10599" s="14" t="n">
        <v>5641.83</v>
      </c>
      <c r="F10599" s="14" t="n">
        <v>42430.68</v>
      </c>
      <c r="G10599" s="6" t="s">
        <v>2613</v>
      </c>
    </row>
    <row r="10600" customFormat="false" ht="15" hidden="false" customHeight="true" outlineLevel="0" collapsed="false">
      <c r="A10600" s="6" t="s">
        <v>13212</v>
      </c>
      <c r="B10600" s="6" t="s">
        <v>2159</v>
      </c>
      <c r="C10600" s="6" t="s">
        <v>116</v>
      </c>
      <c r="D10600" s="13" t="n">
        <v>45694</v>
      </c>
      <c r="E10600" s="14" t="n">
        <v>4801.45</v>
      </c>
      <c r="F10600" s="14" t="n">
        <v>47232.13</v>
      </c>
      <c r="G10600" s="6" t="s">
        <v>2623</v>
      </c>
    </row>
    <row r="10601" customFormat="false" ht="15" hidden="false" customHeight="true" outlineLevel="0" collapsed="false">
      <c r="A10601" s="6" t="s">
        <v>13213</v>
      </c>
      <c r="B10601" s="6" t="s">
        <v>2159</v>
      </c>
      <c r="C10601" s="6" t="s">
        <v>116</v>
      </c>
      <c r="D10601" s="13" t="n">
        <v>45701</v>
      </c>
      <c r="E10601" s="14" t="n">
        <v>5236.61</v>
      </c>
      <c r="F10601" s="14" t="n">
        <v>52468.74</v>
      </c>
      <c r="G10601" s="6" t="s">
        <v>2613</v>
      </c>
    </row>
    <row r="10602" customFormat="false" ht="15" hidden="false" customHeight="true" outlineLevel="0" collapsed="false">
      <c r="A10602" s="6" t="s">
        <v>13214</v>
      </c>
      <c r="B10602" s="6" t="s">
        <v>2159</v>
      </c>
      <c r="C10602" s="6" t="s">
        <v>116</v>
      </c>
      <c r="D10602" s="13" t="n">
        <v>45708</v>
      </c>
      <c r="E10602" s="14" t="n">
        <v>3427.67</v>
      </c>
      <c r="F10602" s="14" t="n">
        <v>55896.41</v>
      </c>
      <c r="G10602" s="6" t="s">
        <v>2613</v>
      </c>
    </row>
    <row r="10603" customFormat="false" ht="15" hidden="false" customHeight="true" outlineLevel="0" collapsed="false">
      <c r="A10603" s="6" t="s">
        <v>13215</v>
      </c>
      <c r="B10603" s="6" t="s">
        <v>2159</v>
      </c>
      <c r="C10603" s="6" t="s">
        <v>116</v>
      </c>
      <c r="D10603" s="13" t="n">
        <v>45715</v>
      </c>
      <c r="E10603" s="14" t="n">
        <v>3065.45</v>
      </c>
      <c r="F10603" s="14" t="n">
        <v>58961.86</v>
      </c>
      <c r="G10603" s="6" t="s">
        <v>2613</v>
      </c>
    </row>
    <row r="10604" customFormat="false" ht="15" hidden="false" customHeight="true" outlineLevel="0" collapsed="false">
      <c r="A10604" s="6" t="s">
        <v>13216</v>
      </c>
      <c r="B10604" s="6" t="s">
        <v>2159</v>
      </c>
      <c r="C10604" s="6" t="s">
        <v>116</v>
      </c>
      <c r="D10604" s="13" t="n">
        <v>45722</v>
      </c>
      <c r="E10604" s="14" t="n">
        <v>2694.72</v>
      </c>
      <c r="F10604" s="14" t="n">
        <v>61656.58</v>
      </c>
      <c r="G10604" s="6" t="s">
        <v>2613</v>
      </c>
    </row>
    <row r="10605" customFormat="false" ht="15" hidden="false" customHeight="true" outlineLevel="0" collapsed="false">
      <c r="A10605" s="6" t="s">
        <v>13217</v>
      </c>
      <c r="B10605" s="6" t="s">
        <v>2159</v>
      </c>
      <c r="C10605" s="6" t="s">
        <v>116</v>
      </c>
      <c r="D10605" s="13" t="n">
        <v>45729</v>
      </c>
      <c r="E10605" s="14" t="n">
        <v>5101.43</v>
      </c>
      <c r="F10605" s="14" t="n">
        <v>66758.01</v>
      </c>
      <c r="G10605" s="6" t="s">
        <v>2613</v>
      </c>
    </row>
    <row r="10606" customFormat="false" ht="15" hidden="false" customHeight="true" outlineLevel="0" collapsed="false">
      <c r="A10606" s="6" t="s">
        <v>13218</v>
      </c>
      <c r="B10606" s="6" t="s">
        <v>2159</v>
      </c>
      <c r="C10606" s="6" t="s">
        <v>116</v>
      </c>
      <c r="D10606" s="13" t="n">
        <v>45736</v>
      </c>
      <c r="E10606" s="14" t="n">
        <v>3199.43</v>
      </c>
      <c r="F10606" s="14" t="n">
        <v>69957.44</v>
      </c>
      <c r="G10606" s="6" t="s">
        <v>2613</v>
      </c>
    </row>
    <row r="10607" customFormat="false" ht="15" hidden="false" customHeight="true" outlineLevel="0" collapsed="false">
      <c r="A10607" s="6" t="s">
        <v>13219</v>
      </c>
      <c r="B10607" s="6" t="s">
        <v>2159</v>
      </c>
      <c r="C10607" s="6" t="s">
        <v>116</v>
      </c>
      <c r="D10607" s="13" t="n">
        <v>45743</v>
      </c>
      <c r="E10607" s="14" t="n">
        <v>3911.81</v>
      </c>
      <c r="F10607" s="14" t="n">
        <v>73869.25</v>
      </c>
      <c r="G10607" s="6" t="s">
        <v>2613</v>
      </c>
    </row>
    <row r="10608" customFormat="false" ht="15" hidden="false" customHeight="true" outlineLevel="0" collapsed="false">
      <c r="A10608" s="6" t="s">
        <v>13220</v>
      </c>
      <c r="B10608" s="6" t="s">
        <v>2159</v>
      </c>
      <c r="C10608" s="6" t="s">
        <v>116</v>
      </c>
      <c r="D10608" s="13" t="n">
        <v>45750</v>
      </c>
      <c r="E10608" s="14" t="n">
        <v>2684.64</v>
      </c>
      <c r="F10608" s="14" t="n">
        <v>76553.89</v>
      </c>
      <c r="G10608" s="6" t="s">
        <v>2613</v>
      </c>
    </row>
    <row r="10609" customFormat="false" ht="15" hidden="false" customHeight="true" outlineLevel="0" collapsed="false">
      <c r="A10609" s="6" t="s">
        <v>13221</v>
      </c>
      <c r="B10609" s="6" t="s">
        <v>2159</v>
      </c>
      <c r="C10609" s="6" t="s">
        <v>116</v>
      </c>
      <c r="D10609" s="13" t="n">
        <v>45757</v>
      </c>
      <c r="E10609" s="14" t="n">
        <v>3975.19</v>
      </c>
      <c r="F10609" s="14" t="n">
        <v>80529.08</v>
      </c>
      <c r="G10609" s="6" t="s">
        <v>2613</v>
      </c>
    </row>
    <row r="10610" customFormat="false" ht="15" hidden="false" customHeight="true" outlineLevel="0" collapsed="false">
      <c r="A10610" s="6" t="s">
        <v>13222</v>
      </c>
      <c r="B10610" s="6" t="s">
        <v>2159</v>
      </c>
      <c r="C10610" s="6" t="s">
        <v>116</v>
      </c>
      <c r="D10610" s="13" t="n">
        <v>45764</v>
      </c>
      <c r="E10610" s="14" t="n">
        <v>3402.36</v>
      </c>
      <c r="F10610" s="14" t="n">
        <v>83931.44</v>
      </c>
      <c r="G10610" s="6" t="s">
        <v>2623</v>
      </c>
    </row>
    <row r="10611" customFormat="false" ht="15" hidden="false" customHeight="true" outlineLevel="0" collapsed="false">
      <c r="A10611" s="6" t="s">
        <v>13223</v>
      </c>
      <c r="B10611" s="6" t="s">
        <v>2159</v>
      </c>
      <c r="C10611" s="6" t="s">
        <v>116</v>
      </c>
      <c r="D10611" s="13" t="n">
        <v>45771</v>
      </c>
      <c r="E10611" s="14" t="n">
        <v>3479.99</v>
      </c>
      <c r="F10611" s="14" t="n">
        <v>87411.43</v>
      </c>
      <c r="G10611" s="6" t="s">
        <v>2613</v>
      </c>
    </row>
    <row r="10612" customFormat="false" ht="15" hidden="false" customHeight="true" outlineLevel="0" collapsed="false">
      <c r="A10612" s="6" t="s">
        <v>13224</v>
      </c>
      <c r="B10612" s="6" t="s">
        <v>2159</v>
      </c>
      <c r="C10612" s="6" t="s">
        <v>116</v>
      </c>
      <c r="D10612" s="13" t="n">
        <v>45778</v>
      </c>
      <c r="E10612" s="14" t="n">
        <v>5655.19</v>
      </c>
      <c r="F10612" s="14" t="n">
        <v>93066.62</v>
      </c>
      <c r="G10612" s="6" t="s">
        <v>2613</v>
      </c>
    </row>
    <row r="10613" customFormat="false" ht="15" hidden="false" customHeight="true" outlineLevel="0" collapsed="false">
      <c r="A10613" s="6" t="s">
        <v>13225</v>
      </c>
      <c r="B10613" s="6" t="s">
        <v>2161</v>
      </c>
      <c r="C10613" s="6" t="s">
        <v>124</v>
      </c>
      <c r="D10613" s="13" t="n">
        <v>45047</v>
      </c>
      <c r="E10613" s="14" t="n">
        <v>6233.95</v>
      </c>
      <c r="F10613" s="14" t="n">
        <v>6233.95</v>
      </c>
      <c r="G10613" s="6" t="s">
        <v>2613</v>
      </c>
    </row>
    <row r="10614" customFormat="false" ht="15" hidden="false" customHeight="true" outlineLevel="0" collapsed="false">
      <c r="A10614" s="6" t="s">
        <v>13226</v>
      </c>
      <c r="B10614" s="6" t="s">
        <v>2161</v>
      </c>
      <c r="C10614" s="6" t="s">
        <v>124</v>
      </c>
      <c r="D10614" s="13" t="n">
        <v>45054</v>
      </c>
      <c r="E10614" s="14" t="n">
        <v>5282.57</v>
      </c>
      <c r="F10614" s="14" t="n">
        <v>11516.52</v>
      </c>
      <c r="G10614" s="6" t="s">
        <v>2613</v>
      </c>
    </row>
    <row r="10615" customFormat="false" ht="15" hidden="false" customHeight="true" outlineLevel="0" collapsed="false">
      <c r="A10615" s="6" t="s">
        <v>13227</v>
      </c>
      <c r="B10615" s="6" t="s">
        <v>2161</v>
      </c>
      <c r="C10615" s="6" t="s">
        <v>124</v>
      </c>
      <c r="D10615" s="13" t="n">
        <v>45061</v>
      </c>
      <c r="E10615" s="14" t="n">
        <v>4043.51</v>
      </c>
      <c r="F10615" s="14" t="n">
        <v>15560.03</v>
      </c>
      <c r="G10615" s="6" t="s">
        <v>2613</v>
      </c>
    </row>
    <row r="10616" customFormat="false" ht="15" hidden="false" customHeight="true" outlineLevel="0" collapsed="false">
      <c r="A10616" s="6" t="s">
        <v>13228</v>
      </c>
      <c r="B10616" s="6" t="s">
        <v>2161</v>
      </c>
      <c r="C10616" s="6" t="s">
        <v>124</v>
      </c>
      <c r="D10616" s="13" t="n">
        <v>45068</v>
      </c>
      <c r="E10616" s="14" t="n">
        <v>5584.11</v>
      </c>
      <c r="F10616" s="14" t="n">
        <v>21144.14</v>
      </c>
      <c r="G10616" s="6" t="s">
        <v>2623</v>
      </c>
    </row>
    <row r="10617" customFormat="false" ht="15" hidden="false" customHeight="true" outlineLevel="0" collapsed="false">
      <c r="A10617" s="6" t="s">
        <v>13229</v>
      </c>
      <c r="B10617" s="6" t="s">
        <v>2161</v>
      </c>
      <c r="C10617" s="6" t="s">
        <v>124</v>
      </c>
      <c r="D10617" s="13" t="n">
        <v>45075</v>
      </c>
      <c r="E10617" s="14" t="n">
        <v>5256.69</v>
      </c>
      <c r="F10617" s="14" t="n">
        <v>26400.83</v>
      </c>
      <c r="G10617" s="6" t="s">
        <v>2613</v>
      </c>
    </row>
    <row r="10618" customFormat="false" ht="15" hidden="false" customHeight="true" outlineLevel="0" collapsed="false">
      <c r="A10618" s="6" t="s">
        <v>13230</v>
      </c>
      <c r="B10618" s="6" t="s">
        <v>2163</v>
      </c>
      <c r="C10618" s="6" t="s">
        <v>116</v>
      </c>
      <c r="D10618" s="13" t="n">
        <v>44820</v>
      </c>
      <c r="E10618" s="14" t="n">
        <v>2993.06</v>
      </c>
      <c r="F10618" s="14" t="n">
        <v>2993.06</v>
      </c>
      <c r="G10618" s="6" t="s">
        <v>2623</v>
      </c>
    </row>
    <row r="10619" customFormat="false" ht="15" hidden="false" customHeight="true" outlineLevel="0" collapsed="false">
      <c r="A10619" s="6" t="s">
        <v>13231</v>
      </c>
      <c r="B10619" s="6" t="s">
        <v>2163</v>
      </c>
      <c r="C10619" s="6" t="s">
        <v>116</v>
      </c>
      <c r="D10619" s="13" t="n">
        <v>44827</v>
      </c>
      <c r="E10619" s="14" t="n">
        <v>3112.96</v>
      </c>
      <c r="F10619" s="14" t="n">
        <v>6106.02</v>
      </c>
      <c r="G10619" s="6" t="s">
        <v>2613</v>
      </c>
    </row>
    <row r="10620" customFormat="false" ht="15" hidden="false" customHeight="true" outlineLevel="0" collapsed="false">
      <c r="A10620" s="6" t="s">
        <v>13232</v>
      </c>
      <c r="B10620" s="6" t="s">
        <v>2163</v>
      </c>
      <c r="C10620" s="6" t="s">
        <v>116</v>
      </c>
      <c r="D10620" s="13" t="n">
        <v>44834</v>
      </c>
      <c r="E10620" s="14" t="n">
        <v>2138.17</v>
      </c>
      <c r="F10620" s="14" t="n">
        <v>8244.19</v>
      </c>
      <c r="G10620" s="6" t="s">
        <v>2613</v>
      </c>
    </row>
    <row r="10621" customFormat="false" ht="15" hidden="false" customHeight="true" outlineLevel="0" collapsed="false">
      <c r="A10621" s="6" t="s">
        <v>13233</v>
      </c>
      <c r="B10621" s="6" t="s">
        <v>2163</v>
      </c>
      <c r="C10621" s="6" t="s">
        <v>116</v>
      </c>
      <c r="D10621" s="13" t="n">
        <v>44841</v>
      </c>
      <c r="E10621" s="14" t="n">
        <v>2480.21</v>
      </c>
      <c r="F10621" s="14" t="n">
        <v>10724.4</v>
      </c>
      <c r="G10621" s="6" t="s">
        <v>2613</v>
      </c>
    </row>
    <row r="10622" customFormat="false" ht="15" hidden="false" customHeight="true" outlineLevel="0" collapsed="false">
      <c r="A10622" s="6" t="s">
        <v>13234</v>
      </c>
      <c r="B10622" s="6" t="s">
        <v>2163</v>
      </c>
      <c r="C10622" s="6" t="s">
        <v>116</v>
      </c>
      <c r="D10622" s="13" t="n">
        <v>44848</v>
      </c>
      <c r="E10622" s="14" t="n">
        <v>2613.92</v>
      </c>
      <c r="F10622" s="14" t="n">
        <v>13338.32</v>
      </c>
      <c r="G10622" s="6" t="s">
        <v>2613</v>
      </c>
    </row>
    <row r="10623" customFormat="false" ht="15" hidden="false" customHeight="true" outlineLevel="0" collapsed="false">
      <c r="A10623" s="6" t="s">
        <v>13235</v>
      </c>
      <c r="B10623" s="6" t="s">
        <v>2163</v>
      </c>
      <c r="C10623" s="6" t="s">
        <v>116</v>
      </c>
      <c r="D10623" s="13" t="n">
        <v>44855</v>
      </c>
      <c r="E10623" s="14" t="n">
        <v>3344.58</v>
      </c>
      <c r="F10623" s="14" t="n">
        <v>16682.9</v>
      </c>
      <c r="G10623" s="6" t="s">
        <v>2613</v>
      </c>
    </row>
    <row r="10624" customFormat="false" ht="15" hidden="false" customHeight="true" outlineLevel="0" collapsed="false">
      <c r="A10624" s="6" t="s">
        <v>13236</v>
      </c>
      <c r="B10624" s="6" t="s">
        <v>2163</v>
      </c>
      <c r="C10624" s="6" t="s">
        <v>116</v>
      </c>
      <c r="D10624" s="13" t="n">
        <v>44862</v>
      </c>
      <c r="E10624" s="14" t="n">
        <v>3146.27</v>
      </c>
      <c r="F10624" s="14" t="n">
        <v>19829.17</v>
      </c>
      <c r="G10624" s="6" t="s">
        <v>2613</v>
      </c>
    </row>
    <row r="10625" customFormat="false" ht="15" hidden="false" customHeight="true" outlineLevel="0" collapsed="false">
      <c r="A10625" s="6" t="s">
        <v>13237</v>
      </c>
      <c r="B10625" s="6" t="s">
        <v>2163</v>
      </c>
      <c r="C10625" s="6" t="s">
        <v>116</v>
      </c>
      <c r="D10625" s="13" t="n">
        <v>44869</v>
      </c>
      <c r="E10625" s="14" t="n">
        <v>1370.87</v>
      </c>
      <c r="F10625" s="14" t="n">
        <v>21200.04</v>
      </c>
      <c r="G10625" s="6" t="s">
        <v>2613</v>
      </c>
    </row>
    <row r="10626" customFormat="false" ht="15" hidden="false" customHeight="true" outlineLevel="0" collapsed="false">
      <c r="A10626" s="6" t="s">
        <v>13238</v>
      </c>
      <c r="B10626" s="6" t="s">
        <v>2165</v>
      </c>
      <c r="C10626" s="6" t="s">
        <v>124</v>
      </c>
      <c r="D10626" s="13" t="n">
        <v>45470</v>
      </c>
      <c r="E10626" s="14" t="n">
        <v>2926.79</v>
      </c>
      <c r="F10626" s="14" t="n">
        <v>2926.79</v>
      </c>
      <c r="G10626" s="6" t="s">
        <v>2613</v>
      </c>
    </row>
    <row r="10627" customFormat="false" ht="15" hidden="false" customHeight="true" outlineLevel="0" collapsed="false">
      <c r="A10627" s="6" t="s">
        <v>13239</v>
      </c>
      <c r="B10627" s="6" t="s">
        <v>2165</v>
      </c>
      <c r="C10627" s="6" t="s">
        <v>124</v>
      </c>
      <c r="D10627" s="13" t="n">
        <v>45477</v>
      </c>
      <c r="E10627" s="14" t="n">
        <v>2285.43</v>
      </c>
      <c r="F10627" s="14" t="n">
        <v>5212.22</v>
      </c>
      <c r="G10627" s="6" t="s">
        <v>2613</v>
      </c>
    </row>
    <row r="10628" customFormat="false" ht="15" hidden="false" customHeight="true" outlineLevel="0" collapsed="false">
      <c r="A10628" s="6" t="s">
        <v>13240</v>
      </c>
      <c r="B10628" s="6" t="s">
        <v>2165</v>
      </c>
      <c r="C10628" s="6" t="s">
        <v>124</v>
      </c>
      <c r="D10628" s="13" t="n">
        <v>45484</v>
      </c>
      <c r="E10628" s="14" t="n">
        <v>3203.49</v>
      </c>
      <c r="F10628" s="14" t="n">
        <v>8415.71</v>
      </c>
      <c r="G10628" s="6" t="s">
        <v>2613</v>
      </c>
    </row>
    <row r="10629" customFormat="false" ht="15" hidden="false" customHeight="true" outlineLevel="0" collapsed="false">
      <c r="A10629" s="6" t="s">
        <v>13241</v>
      </c>
      <c r="B10629" s="6" t="s">
        <v>2165</v>
      </c>
      <c r="C10629" s="6" t="s">
        <v>124</v>
      </c>
      <c r="D10629" s="13" t="n">
        <v>45491</v>
      </c>
      <c r="E10629" s="14" t="n">
        <v>2798.56</v>
      </c>
      <c r="F10629" s="14" t="n">
        <v>11214.27</v>
      </c>
      <c r="G10629" s="6" t="s">
        <v>2613</v>
      </c>
    </row>
    <row r="10630" customFormat="false" ht="15" hidden="false" customHeight="true" outlineLevel="0" collapsed="false">
      <c r="A10630" s="6" t="s">
        <v>13242</v>
      </c>
      <c r="B10630" s="6" t="s">
        <v>2165</v>
      </c>
      <c r="C10630" s="6" t="s">
        <v>124</v>
      </c>
      <c r="D10630" s="13" t="n">
        <v>45498</v>
      </c>
      <c r="E10630" s="14" t="n">
        <v>3068.5</v>
      </c>
      <c r="F10630" s="14" t="n">
        <v>14282.77</v>
      </c>
      <c r="G10630" s="6" t="s">
        <v>2613</v>
      </c>
    </row>
    <row r="10631" customFormat="false" ht="15" hidden="false" customHeight="true" outlineLevel="0" collapsed="false">
      <c r="A10631" s="6" t="s">
        <v>13243</v>
      </c>
      <c r="B10631" s="6" t="s">
        <v>2165</v>
      </c>
      <c r="C10631" s="6" t="s">
        <v>124</v>
      </c>
      <c r="D10631" s="13" t="n">
        <v>45505</v>
      </c>
      <c r="E10631" s="14" t="n">
        <v>2178.65</v>
      </c>
      <c r="F10631" s="14" t="n">
        <v>16461.42</v>
      </c>
      <c r="G10631" s="6" t="s">
        <v>2613</v>
      </c>
    </row>
    <row r="10632" customFormat="false" ht="15" hidden="false" customHeight="true" outlineLevel="0" collapsed="false">
      <c r="A10632" s="6" t="s">
        <v>13244</v>
      </c>
      <c r="B10632" s="6" t="s">
        <v>2165</v>
      </c>
      <c r="C10632" s="6" t="s">
        <v>124</v>
      </c>
      <c r="D10632" s="13" t="n">
        <v>45512</v>
      </c>
      <c r="E10632" s="14" t="n">
        <v>1667.67</v>
      </c>
      <c r="F10632" s="14" t="n">
        <v>18129.09</v>
      </c>
      <c r="G10632" s="6" t="s">
        <v>2613</v>
      </c>
    </row>
    <row r="10633" customFormat="false" ht="15" hidden="false" customHeight="true" outlineLevel="0" collapsed="false">
      <c r="A10633" s="6" t="s">
        <v>13245</v>
      </c>
      <c r="B10633" s="6" t="s">
        <v>2165</v>
      </c>
      <c r="C10633" s="6" t="s">
        <v>124</v>
      </c>
      <c r="D10633" s="13" t="n">
        <v>45519</v>
      </c>
      <c r="E10633" s="14" t="n">
        <v>2832.49</v>
      </c>
      <c r="F10633" s="14" t="n">
        <v>20961.58</v>
      </c>
      <c r="G10633" s="6" t="s">
        <v>2613</v>
      </c>
    </row>
    <row r="10634" customFormat="false" ht="15" hidden="false" customHeight="true" outlineLevel="0" collapsed="false">
      <c r="A10634" s="6" t="s">
        <v>13246</v>
      </c>
      <c r="B10634" s="6" t="s">
        <v>2165</v>
      </c>
      <c r="C10634" s="6" t="s">
        <v>124</v>
      </c>
      <c r="D10634" s="13" t="n">
        <v>45526</v>
      </c>
      <c r="E10634" s="14" t="n">
        <v>2648.47</v>
      </c>
      <c r="F10634" s="14" t="n">
        <v>23610.05</v>
      </c>
      <c r="G10634" s="6" t="s">
        <v>2613</v>
      </c>
    </row>
    <row r="10635" customFormat="false" ht="15" hidden="false" customHeight="true" outlineLevel="0" collapsed="false">
      <c r="A10635" s="6" t="s">
        <v>13247</v>
      </c>
      <c r="B10635" s="6" t="s">
        <v>2165</v>
      </c>
      <c r="C10635" s="6" t="s">
        <v>124</v>
      </c>
      <c r="D10635" s="13" t="n">
        <v>45533</v>
      </c>
      <c r="E10635" s="14" t="n">
        <v>2020.21</v>
      </c>
      <c r="F10635" s="14" t="n">
        <v>25630.26</v>
      </c>
      <c r="G10635" s="6" t="s">
        <v>2613</v>
      </c>
    </row>
    <row r="10636" customFormat="false" ht="15" hidden="false" customHeight="true" outlineLevel="0" collapsed="false">
      <c r="A10636" s="6" t="s">
        <v>13248</v>
      </c>
      <c r="B10636" s="6" t="s">
        <v>2165</v>
      </c>
      <c r="C10636" s="6" t="s">
        <v>124</v>
      </c>
      <c r="D10636" s="13" t="n">
        <v>45540</v>
      </c>
      <c r="E10636" s="14" t="n">
        <v>3192.75</v>
      </c>
      <c r="F10636" s="14" t="n">
        <v>28823.01</v>
      </c>
      <c r="G10636" s="6" t="s">
        <v>2623</v>
      </c>
    </row>
    <row r="10637" customFormat="false" ht="15" hidden="false" customHeight="true" outlineLevel="0" collapsed="false">
      <c r="A10637" s="6" t="s">
        <v>13249</v>
      </c>
      <c r="B10637" s="6" t="s">
        <v>2165</v>
      </c>
      <c r="C10637" s="6" t="s">
        <v>124</v>
      </c>
      <c r="D10637" s="13" t="n">
        <v>45547</v>
      </c>
      <c r="E10637" s="14" t="n">
        <v>2120.96</v>
      </c>
      <c r="F10637" s="14" t="n">
        <v>30943.97</v>
      </c>
      <c r="G10637" s="6" t="s">
        <v>2613</v>
      </c>
    </row>
    <row r="10638" customFormat="false" ht="15" hidden="false" customHeight="true" outlineLevel="0" collapsed="false">
      <c r="A10638" s="6" t="s">
        <v>13250</v>
      </c>
      <c r="B10638" s="6" t="s">
        <v>2165</v>
      </c>
      <c r="C10638" s="6" t="s">
        <v>124</v>
      </c>
      <c r="D10638" s="13" t="n">
        <v>45554</v>
      </c>
      <c r="E10638" s="14" t="n">
        <v>2615.04</v>
      </c>
      <c r="F10638" s="14" t="n">
        <v>33559.01</v>
      </c>
      <c r="G10638" s="6" t="s">
        <v>2613</v>
      </c>
    </row>
    <row r="10639" customFormat="false" ht="15" hidden="false" customHeight="true" outlineLevel="0" collapsed="false">
      <c r="A10639" s="6" t="s">
        <v>13251</v>
      </c>
      <c r="B10639" s="6" t="s">
        <v>2165</v>
      </c>
      <c r="C10639" s="6" t="s">
        <v>124</v>
      </c>
      <c r="D10639" s="13" t="n">
        <v>45561</v>
      </c>
      <c r="E10639" s="14" t="n">
        <v>2436.06</v>
      </c>
      <c r="F10639" s="14" t="n">
        <v>35995.07</v>
      </c>
      <c r="G10639" s="6" t="s">
        <v>2613</v>
      </c>
    </row>
    <row r="10640" customFormat="false" ht="15" hidden="false" customHeight="true" outlineLevel="0" collapsed="false">
      <c r="A10640" s="6" t="s">
        <v>13252</v>
      </c>
      <c r="B10640" s="6" t="s">
        <v>2165</v>
      </c>
      <c r="C10640" s="6" t="s">
        <v>124</v>
      </c>
      <c r="D10640" s="13" t="n">
        <v>45568</v>
      </c>
      <c r="E10640" s="14" t="n">
        <v>2091.57</v>
      </c>
      <c r="F10640" s="14" t="n">
        <v>38086.64</v>
      </c>
      <c r="G10640" s="6" t="s">
        <v>2613</v>
      </c>
    </row>
    <row r="10641" customFormat="false" ht="15" hidden="false" customHeight="true" outlineLevel="0" collapsed="false">
      <c r="A10641" s="6" t="s">
        <v>13253</v>
      </c>
      <c r="B10641" s="6" t="s">
        <v>2167</v>
      </c>
      <c r="C10641" s="6" t="s">
        <v>124</v>
      </c>
      <c r="D10641" s="13" t="n">
        <v>45812</v>
      </c>
      <c r="E10641" s="14" t="n">
        <v>4460.98</v>
      </c>
      <c r="F10641" s="14" t="n">
        <v>4460.98</v>
      </c>
      <c r="G10641" s="6" t="s">
        <v>2613</v>
      </c>
    </row>
    <row r="10642" customFormat="false" ht="15" hidden="false" customHeight="true" outlineLevel="0" collapsed="false">
      <c r="A10642" s="6" t="s">
        <v>13254</v>
      </c>
      <c r="B10642" s="6" t="s">
        <v>2167</v>
      </c>
      <c r="C10642" s="6" t="s">
        <v>124</v>
      </c>
      <c r="D10642" s="13" t="n">
        <v>45819</v>
      </c>
      <c r="E10642" s="14" t="n">
        <v>5113.01</v>
      </c>
      <c r="F10642" s="14" t="n">
        <v>9573.99</v>
      </c>
      <c r="G10642" s="6" t="s">
        <v>2613</v>
      </c>
    </row>
    <row r="10643" customFormat="false" ht="15" hidden="false" customHeight="true" outlineLevel="0" collapsed="false">
      <c r="A10643" s="6" t="s">
        <v>13255</v>
      </c>
      <c r="B10643" s="6" t="s">
        <v>2167</v>
      </c>
      <c r="C10643" s="6" t="s">
        <v>124</v>
      </c>
      <c r="D10643" s="13" t="n">
        <v>45826</v>
      </c>
      <c r="E10643" s="14" t="n">
        <v>5260.38</v>
      </c>
      <c r="F10643" s="14" t="n">
        <v>14834.37</v>
      </c>
      <c r="G10643" s="6" t="s">
        <v>2623</v>
      </c>
    </row>
    <row r="10644" customFormat="false" ht="15" hidden="false" customHeight="true" outlineLevel="0" collapsed="false">
      <c r="A10644" s="6" t="s">
        <v>13256</v>
      </c>
      <c r="B10644" s="6" t="s">
        <v>2167</v>
      </c>
      <c r="C10644" s="6" t="s">
        <v>124</v>
      </c>
      <c r="D10644" s="13" t="n">
        <v>45833</v>
      </c>
      <c r="E10644" s="14" t="n">
        <v>4140.32</v>
      </c>
      <c r="F10644" s="14" t="n">
        <v>18974.69</v>
      </c>
      <c r="G10644" s="6" t="s">
        <v>2613</v>
      </c>
    </row>
    <row r="10645" customFormat="false" ht="15" hidden="false" customHeight="true" outlineLevel="0" collapsed="false">
      <c r="A10645" s="6" t="s">
        <v>13257</v>
      </c>
      <c r="B10645" s="6" t="s">
        <v>2167</v>
      </c>
      <c r="C10645" s="6" t="s">
        <v>124</v>
      </c>
      <c r="D10645" s="13" t="n">
        <v>45840</v>
      </c>
      <c r="E10645" s="14" t="n">
        <v>3866.91</v>
      </c>
      <c r="F10645" s="14" t="n">
        <v>22841.6</v>
      </c>
      <c r="G10645" s="6" t="s">
        <v>2613</v>
      </c>
    </row>
    <row r="10646" customFormat="false" ht="15" hidden="false" customHeight="true" outlineLevel="0" collapsed="false">
      <c r="A10646" s="6" t="s">
        <v>13258</v>
      </c>
      <c r="B10646" s="6" t="s">
        <v>2167</v>
      </c>
      <c r="C10646" s="6" t="s">
        <v>124</v>
      </c>
      <c r="D10646" s="13" t="n">
        <v>45847</v>
      </c>
      <c r="E10646" s="14" t="n">
        <v>4330.45</v>
      </c>
      <c r="F10646" s="14" t="n">
        <v>27172.05</v>
      </c>
      <c r="G10646" s="6" t="s">
        <v>2613</v>
      </c>
    </row>
    <row r="10647" customFormat="false" ht="15" hidden="false" customHeight="true" outlineLevel="0" collapsed="false">
      <c r="A10647" s="6" t="s">
        <v>13259</v>
      </c>
      <c r="B10647" s="6" t="s">
        <v>2167</v>
      </c>
      <c r="C10647" s="6" t="s">
        <v>124</v>
      </c>
      <c r="D10647" s="13" t="n">
        <v>45854</v>
      </c>
      <c r="E10647" s="14" t="n">
        <v>3648.75</v>
      </c>
      <c r="F10647" s="14" t="n">
        <v>30820.8</v>
      </c>
      <c r="G10647" s="6" t="s">
        <v>2613</v>
      </c>
    </row>
    <row r="10648" customFormat="false" ht="15" hidden="false" customHeight="true" outlineLevel="0" collapsed="false">
      <c r="A10648" s="6" t="s">
        <v>13260</v>
      </c>
      <c r="B10648" s="6" t="s">
        <v>2167</v>
      </c>
      <c r="C10648" s="6" t="s">
        <v>124</v>
      </c>
      <c r="D10648" s="13" t="n">
        <v>45861</v>
      </c>
      <c r="E10648" s="14" t="n">
        <v>3069.67</v>
      </c>
      <c r="F10648" s="14" t="n">
        <v>33890.47</v>
      </c>
      <c r="G10648" s="6" t="s">
        <v>2613</v>
      </c>
    </row>
    <row r="10649" customFormat="false" ht="15" hidden="false" customHeight="true" outlineLevel="0" collapsed="false">
      <c r="A10649" s="6" t="s">
        <v>13261</v>
      </c>
      <c r="B10649" s="6" t="s">
        <v>2167</v>
      </c>
      <c r="C10649" s="6" t="s">
        <v>124</v>
      </c>
      <c r="D10649" s="13" t="n">
        <v>45868</v>
      </c>
      <c r="E10649" s="14" t="n">
        <v>3459.04</v>
      </c>
      <c r="F10649" s="14" t="n">
        <v>37349.51</v>
      </c>
      <c r="G10649" s="6" t="s">
        <v>2613</v>
      </c>
    </row>
    <row r="10650" customFormat="false" ht="15" hidden="false" customHeight="true" outlineLevel="0" collapsed="false">
      <c r="A10650" s="6" t="s">
        <v>13262</v>
      </c>
      <c r="B10650" s="6" t="s">
        <v>2167</v>
      </c>
      <c r="C10650" s="6" t="s">
        <v>124</v>
      </c>
      <c r="D10650" s="13" t="n">
        <v>45875</v>
      </c>
      <c r="E10650" s="14" t="n">
        <v>3444.15</v>
      </c>
      <c r="F10650" s="14" t="n">
        <v>40793.66</v>
      </c>
      <c r="G10650" s="6" t="s">
        <v>2613</v>
      </c>
    </row>
    <row r="10651" customFormat="false" ht="15" hidden="false" customHeight="true" outlineLevel="0" collapsed="false">
      <c r="A10651" s="6" t="s">
        <v>13263</v>
      </c>
      <c r="B10651" s="6" t="s">
        <v>2167</v>
      </c>
      <c r="C10651" s="6" t="s">
        <v>124</v>
      </c>
      <c r="D10651" s="13" t="n">
        <v>45882</v>
      </c>
      <c r="E10651" s="14" t="n">
        <v>6037.89</v>
      </c>
      <c r="F10651" s="14" t="n">
        <v>46831.55</v>
      </c>
      <c r="G10651" s="6" t="s">
        <v>2613</v>
      </c>
    </row>
    <row r="10652" customFormat="false" ht="15" hidden="false" customHeight="true" outlineLevel="0" collapsed="false">
      <c r="A10652" s="6" t="s">
        <v>13264</v>
      </c>
      <c r="B10652" s="6" t="s">
        <v>2167</v>
      </c>
      <c r="C10652" s="6" t="s">
        <v>124</v>
      </c>
      <c r="D10652" s="13" t="n">
        <v>45889</v>
      </c>
      <c r="E10652" s="14" t="n">
        <v>2820.85</v>
      </c>
      <c r="F10652" s="14" t="n">
        <v>49652.4</v>
      </c>
      <c r="G10652" s="6" t="s">
        <v>2623</v>
      </c>
    </row>
    <row r="10653" customFormat="false" ht="15" hidden="false" customHeight="true" outlineLevel="0" collapsed="false">
      <c r="A10653" s="6" t="s">
        <v>13265</v>
      </c>
      <c r="B10653" s="6" t="s">
        <v>2167</v>
      </c>
      <c r="C10653" s="6" t="s">
        <v>124</v>
      </c>
      <c r="D10653" s="13" t="n">
        <v>45896</v>
      </c>
      <c r="E10653" s="14" t="n">
        <v>6125.92</v>
      </c>
      <c r="F10653" s="14" t="n">
        <v>55778.32</v>
      </c>
      <c r="G10653" s="6" t="s">
        <v>2613</v>
      </c>
    </row>
    <row r="10654" customFormat="false" ht="15" hidden="false" customHeight="true" outlineLevel="0" collapsed="false">
      <c r="A10654" s="6" t="s">
        <v>13266</v>
      </c>
      <c r="B10654" s="6" t="s">
        <v>2167</v>
      </c>
      <c r="C10654" s="6" t="s">
        <v>124</v>
      </c>
      <c r="D10654" s="13" t="n">
        <v>45903</v>
      </c>
      <c r="E10654" s="14" t="n">
        <v>4610.84</v>
      </c>
      <c r="F10654" s="14" t="n">
        <v>60389.16</v>
      </c>
      <c r="G10654" s="6" t="s">
        <v>2613</v>
      </c>
    </row>
    <row r="10655" customFormat="false" ht="15" hidden="false" customHeight="true" outlineLevel="0" collapsed="false">
      <c r="A10655" s="6" t="s">
        <v>13267</v>
      </c>
      <c r="B10655" s="6" t="s">
        <v>2167</v>
      </c>
      <c r="C10655" s="6" t="s">
        <v>124</v>
      </c>
      <c r="D10655" s="13" t="n">
        <v>45910</v>
      </c>
      <c r="E10655" s="14" t="n">
        <v>4215.73</v>
      </c>
      <c r="F10655" s="14" t="n">
        <v>64604.89</v>
      </c>
      <c r="G10655" s="6" t="s">
        <v>2613</v>
      </c>
    </row>
    <row r="10656" customFormat="false" ht="15" hidden="false" customHeight="true" outlineLevel="0" collapsed="false">
      <c r="A10656" s="6" t="s">
        <v>13268</v>
      </c>
      <c r="B10656" s="6" t="s">
        <v>2167</v>
      </c>
      <c r="C10656" s="6" t="s">
        <v>124</v>
      </c>
      <c r="D10656" s="13" t="n">
        <v>45917</v>
      </c>
      <c r="E10656" s="14" t="n">
        <v>8681.33</v>
      </c>
      <c r="F10656" s="14" t="n">
        <v>73286.22</v>
      </c>
      <c r="G10656" s="6" t="s">
        <v>2613</v>
      </c>
    </row>
    <row r="10657" customFormat="false" ht="15" hidden="false" customHeight="true" outlineLevel="0" collapsed="false">
      <c r="A10657" s="6" t="s">
        <v>13269</v>
      </c>
      <c r="B10657" s="6" t="s">
        <v>2169</v>
      </c>
      <c r="C10657" s="6" t="s">
        <v>120</v>
      </c>
      <c r="D10657" s="13" t="n">
        <v>45087</v>
      </c>
      <c r="E10657" s="14" t="n">
        <v>1487.09</v>
      </c>
      <c r="F10657" s="14" t="n">
        <v>1487.09</v>
      </c>
      <c r="G10657" s="6" t="s">
        <v>2613</v>
      </c>
    </row>
    <row r="10658" customFormat="false" ht="15" hidden="false" customHeight="true" outlineLevel="0" collapsed="false">
      <c r="A10658" s="6" t="s">
        <v>13270</v>
      </c>
      <c r="B10658" s="6" t="s">
        <v>2169</v>
      </c>
      <c r="C10658" s="6" t="s">
        <v>120</v>
      </c>
      <c r="D10658" s="13" t="n">
        <v>45094</v>
      </c>
      <c r="E10658" s="14" t="n">
        <v>1970.82</v>
      </c>
      <c r="F10658" s="14" t="n">
        <v>3457.91</v>
      </c>
      <c r="G10658" s="6" t="s">
        <v>2613</v>
      </c>
    </row>
    <row r="10659" customFormat="false" ht="15" hidden="false" customHeight="true" outlineLevel="0" collapsed="false">
      <c r="A10659" s="6" t="s">
        <v>13271</v>
      </c>
      <c r="B10659" s="6" t="s">
        <v>2169</v>
      </c>
      <c r="C10659" s="6" t="s">
        <v>120</v>
      </c>
      <c r="D10659" s="13" t="n">
        <v>45101</v>
      </c>
      <c r="E10659" s="14" t="n">
        <v>1903.36</v>
      </c>
      <c r="F10659" s="14" t="n">
        <v>5361.27</v>
      </c>
      <c r="G10659" s="6" t="s">
        <v>2613</v>
      </c>
    </row>
    <row r="10660" customFormat="false" ht="15" hidden="false" customHeight="true" outlineLevel="0" collapsed="false">
      <c r="A10660" s="6" t="s">
        <v>13272</v>
      </c>
      <c r="B10660" s="6" t="s">
        <v>2169</v>
      </c>
      <c r="C10660" s="6" t="s">
        <v>120</v>
      </c>
      <c r="D10660" s="13" t="n">
        <v>45108</v>
      </c>
      <c r="E10660" s="14" t="n">
        <v>1461.85</v>
      </c>
      <c r="F10660" s="14" t="n">
        <v>6823.12</v>
      </c>
      <c r="G10660" s="6" t="s">
        <v>2613</v>
      </c>
    </row>
    <row r="10661" customFormat="false" ht="15" hidden="false" customHeight="true" outlineLevel="0" collapsed="false">
      <c r="A10661" s="6" t="s">
        <v>13273</v>
      </c>
      <c r="B10661" s="6" t="s">
        <v>2169</v>
      </c>
      <c r="C10661" s="6" t="s">
        <v>120</v>
      </c>
      <c r="D10661" s="13" t="n">
        <v>45115</v>
      </c>
      <c r="E10661" s="14" t="n">
        <v>979.88</v>
      </c>
      <c r="F10661" s="14" t="n">
        <v>7803</v>
      </c>
      <c r="G10661" s="6" t="s">
        <v>2613</v>
      </c>
    </row>
    <row r="10662" customFormat="false" ht="15" hidden="false" customHeight="true" outlineLevel="0" collapsed="false">
      <c r="A10662" s="6" t="s">
        <v>13274</v>
      </c>
      <c r="B10662" s="6" t="s">
        <v>2169</v>
      </c>
      <c r="C10662" s="6" t="s">
        <v>120</v>
      </c>
      <c r="D10662" s="13" t="n">
        <v>45122</v>
      </c>
      <c r="E10662" s="14" t="n">
        <v>1283.66</v>
      </c>
      <c r="F10662" s="14" t="n">
        <v>9086.66</v>
      </c>
      <c r="G10662" s="6" t="s">
        <v>2613</v>
      </c>
    </row>
    <row r="10663" customFormat="false" ht="15" hidden="false" customHeight="true" outlineLevel="0" collapsed="false">
      <c r="A10663" s="6" t="s">
        <v>13275</v>
      </c>
      <c r="B10663" s="6" t="s">
        <v>2169</v>
      </c>
      <c r="C10663" s="6" t="s">
        <v>120</v>
      </c>
      <c r="D10663" s="13" t="n">
        <v>45129</v>
      </c>
      <c r="E10663" s="14" t="n">
        <v>1132.65</v>
      </c>
      <c r="F10663" s="14" t="n">
        <v>10219.31</v>
      </c>
      <c r="G10663" s="6" t="s">
        <v>2613</v>
      </c>
    </row>
    <row r="10664" customFormat="false" ht="15" hidden="false" customHeight="true" outlineLevel="0" collapsed="false">
      <c r="A10664" s="6" t="s">
        <v>13276</v>
      </c>
      <c r="B10664" s="6" t="s">
        <v>2171</v>
      </c>
      <c r="C10664" s="6" t="s">
        <v>128</v>
      </c>
      <c r="D10664" s="13" t="n">
        <v>45519</v>
      </c>
      <c r="E10664" s="14" t="n">
        <v>2948.44</v>
      </c>
      <c r="F10664" s="14" t="n">
        <v>2948.44</v>
      </c>
      <c r="G10664" s="6" t="s">
        <v>2613</v>
      </c>
    </row>
    <row r="10665" customFormat="false" ht="15" hidden="false" customHeight="true" outlineLevel="0" collapsed="false">
      <c r="A10665" s="6" t="s">
        <v>13277</v>
      </c>
      <c r="B10665" s="6" t="s">
        <v>2171</v>
      </c>
      <c r="C10665" s="6" t="s">
        <v>128</v>
      </c>
      <c r="D10665" s="13" t="n">
        <v>45526</v>
      </c>
      <c r="E10665" s="14" t="n">
        <v>4527.85</v>
      </c>
      <c r="F10665" s="14" t="n">
        <v>7476.29</v>
      </c>
      <c r="G10665" s="6" t="s">
        <v>2613</v>
      </c>
    </row>
    <row r="10666" customFormat="false" ht="15" hidden="false" customHeight="true" outlineLevel="0" collapsed="false">
      <c r="A10666" s="6" t="s">
        <v>13278</v>
      </c>
      <c r="B10666" s="6" t="s">
        <v>2171</v>
      </c>
      <c r="C10666" s="6" t="s">
        <v>128</v>
      </c>
      <c r="D10666" s="13" t="n">
        <v>45533</v>
      </c>
      <c r="E10666" s="14" t="n">
        <v>3695.76</v>
      </c>
      <c r="F10666" s="14" t="n">
        <v>11172.05</v>
      </c>
      <c r="G10666" s="6" t="s">
        <v>2613</v>
      </c>
    </row>
    <row r="10667" customFormat="false" ht="15" hidden="false" customHeight="true" outlineLevel="0" collapsed="false">
      <c r="A10667" s="6" t="s">
        <v>13279</v>
      </c>
      <c r="B10667" s="6" t="s">
        <v>2171</v>
      </c>
      <c r="C10667" s="6" t="s">
        <v>128</v>
      </c>
      <c r="D10667" s="13" t="n">
        <v>45540</v>
      </c>
      <c r="E10667" s="14" t="n">
        <v>4772.12</v>
      </c>
      <c r="F10667" s="14" t="n">
        <v>15944.17</v>
      </c>
      <c r="G10667" s="6" t="s">
        <v>2613</v>
      </c>
    </row>
    <row r="10668" customFormat="false" ht="15" hidden="false" customHeight="true" outlineLevel="0" collapsed="false">
      <c r="A10668" s="6" t="s">
        <v>13280</v>
      </c>
      <c r="B10668" s="6" t="s">
        <v>2171</v>
      </c>
      <c r="C10668" s="6" t="s">
        <v>128</v>
      </c>
      <c r="D10668" s="13" t="n">
        <v>45547</v>
      </c>
      <c r="E10668" s="14" t="n">
        <v>4561.17</v>
      </c>
      <c r="F10668" s="14" t="n">
        <v>20505.34</v>
      </c>
      <c r="G10668" s="6" t="s">
        <v>2613</v>
      </c>
    </row>
    <row r="10669" customFormat="false" ht="15" hidden="false" customHeight="true" outlineLevel="0" collapsed="false">
      <c r="A10669" s="6" t="s">
        <v>13281</v>
      </c>
      <c r="B10669" s="6" t="s">
        <v>2171</v>
      </c>
      <c r="C10669" s="6" t="s">
        <v>128</v>
      </c>
      <c r="D10669" s="13" t="n">
        <v>45554</v>
      </c>
      <c r="E10669" s="14" t="n">
        <v>2775.19</v>
      </c>
      <c r="F10669" s="14" t="n">
        <v>23280.53</v>
      </c>
      <c r="G10669" s="6" t="s">
        <v>2613</v>
      </c>
    </row>
    <row r="10670" customFormat="false" ht="15" hidden="false" customHeight="true" outlineLevel="0" collapsed="false">
      <c r="A10670" s="6" t="s">
        <v>13282</v>
      </c>
      <c r="B10670" s="6" t="s">
        <v>2171</v>
      </c>
      <c r="C10670" s="6" t="s">
        <v>128</v>
      </c>
      <c r="D10670" s="13" t="n">
        <v>45561</v>
      </c>
      <c r="E10670" s="14" t="n">
        <v>3703.29</v>
      </c>
      <c r="F10670" s="14" t="n">
        <v>26983.82</v>
      </c>
      <c r="G10670" s="6" t="s">
        <v>2613</v>
      </c>
    </row>
    <row r="10671" customFormat="false" ht="15" hidden="false" customHeight="true" outlineLevel="0" collapsed="false">
      <c r="A10671" s="6" t="s">
        <v>13283</v>
      </c>
      <c r="B10671" s="6" t="s">
        <v>2171</v>
      </c>
      <c r="C10671" s="6" t="s">
        <v>128</v>
      </c>
      <c r="D10671" s="13" t="n">
        <v>45568</v>
      </c>
      <c r="E10671" s="14" t="n">
        <v>3205.46</v>
      </c>
      <c r="F10671" s="14" t="n">
        <v>30189.28</v>
      </c>
      <c r="G10671" s="6" t="s">
        <v>2613</v>
      </c>
    </row>
    <row r="10672" customFormat="false" ht="15" hidden="false" customHeight="true" outlineLevel="0" collapsed="false">
      <c r="A10672" s="6" t="s">
        <v>13284</v>
      </c>
      <c r="B10672" s="6" t="s">
        <v>2171</v>
      </c>
      <c r="C10672" s="6" t="s">
        <v>128</v>
      </c>
      <c r="D10672" s="13" t="n">
        <v>45575</v>
      </c>
      <c r="E10672" s="14" t="n">
        <v>3673.6</v>
      </c>
      <c r="F10672" s="14" t="n">
        <v>33862.88</v>
      </c>
      <c r="G10672" s="6" t="s">
        <v>2613</v>
      </c>
    </row>
    <row r="10673" customFormat="false" ht="15" hidden="false" customHeight="true" outlineLevel="0" collapsed="false">
      <c r="A10673" s="6" t="s">
        <v>13285</v>
      </c>
      <c r="B10673" s="6" t="s">
        <v>2171</v>
      </c>
      <c r="C10673" s="6" t="s">
        <v>128</v>
      </c>
      <c r="D10673" s="13" t="n">
        <v>45582</v>
      </c>
      <c r="E10673" s="14" t="n">
        <v>4476.85</v>
      </c>
      <c r="F10673" s="14" t="n">
        <v>38339.73</v>
      </c>
      <c r="G10673" s="6" t="s">
        <v>2613</v>
      </c>
    </row>
    <row r="10674" customFormat="false" ht="15" hidden="false" customHeight="true" outlineLevel="0" collapsed="false">
      <c r="A10674" s="6" t="s">
        <v>13286</v>
      </c>
      <c r="B10674" s="6" t="s">
        <v>2171</v>
      </c>
      <c r="C10674" s="6" t="s">
        <v>128</v>
      </c>
      <c r="D10674" s="13" t="n">
        <v>45589</v>
      </c>
      <c r="E10674" s="14" t="n">
        <v>2830.55</v>
      </c>
      <c r="F10674" s="14" t="n">
        <v>41170.28</v>
      </c>
      <c r="G10674" s="6" t="s">
        <v>2613</v>
      </c>
    </row>
    <row r="10675" customFormat="false" ht="15" hidden="false" customHeight="true" outlineLevel="0" collapsed="false">
      <c r="A10675" s="6" t="s">
        <v>13287</v>
      </c>
      <c r="B10675" s="6" t="s">
        <v>2171</v>
      </c>
      <c r="C10675" s="6" t="s">
        <v>128</v>
      </c>
      <c r="D10675" s="13" t="n">
        <v>45596</v>
      </c>
      <c r="E10675" s="14" t="n">
        <v>4407.53</v>
      </c>
      <c r="F10675" s="14" t="n">
        <v>45577.81</v>
      </c>
      <c r="G10675" s="6" t="s">
        <v>2613</v>
      </c>
    </row>
    <row r="10676" customFormat="false" ht="15" hidden="false" customHeight="true" outlineLevel="0" collapsed="false">
      <c r="A10676" s="6" t="s">
        <v>13288</v>
      </c>
      <c r="B10676" s="6" t="s">
        <v>2171</v>
      </c>
      <c r="C10676" s="6" t="s">
        <v>128</v>
      </c>
      <c r="D10676" s="13" t="n">
        <v>45603</v>
      </c>
      <c r="E10676" s="14" t="n">
        <v>3381.59</v>
      </c>
      <c r="F10676" s="14" t="n">
        <v>48959.4</v>
      </c>
      <c r="G10676" s="6" t="s">
        <v>2613</v>
      </c>
    </row>
    <row r="10677" customFormat="false" ht="15" hidden="false" customHeight="true" outlineLevel="0" collapsed="false">
      <c r="A10677" s="6" t="s">
        <v>13289</v>
      </c>
      <c r="B10677" s="6" t="s">
        <v>2171</v>
      </c>
      <c r="C10677" s="6" t="s">
        <v>128</v>
      </c>
      <c r="D10677" s="13" t="n">
        <v>45610</v>
      </c>
      <c r="E10677" s="14" t="n">
        <v>2576.72</v>
      </c>
      <c r="F10677" s="14" t="n">
        <v>51536.12</v>
      </c>
      <c r="G10677" s="6" t="s">
        <v>2613</v>
      </c>
    </row>
    <row r="10678" customFormat="false" ht="15" hidden="false" customHeight="true" outlineLevel="0" collapsed="false">
      <c r="A10678" s="6" t="s">
        <v>13290</v>
      </c>
      <c r="B10678" s="6" t="s">
        <v>2171</v>
      </c>
      <c r="C10678" s="6" t="s">
        <v>128</v>
      </c>
      <c r="D10678" s="13" t="n">
        <v>45617</v>
      </c>
      <c r="E10678" s="14" t="n">
        <v>4043.1</v>
      </c>
      <c r="F10678" s="14" t="n">
        <v>55579.22</v>
      </c>
      <c r="G10678" s="6" t="s">
        <v>2613</v>
      </c>
    </row>
    <row r="10679" customFormat="false" ht="15" hidden="false" customHeight="true" outlineLevel="0" collapsed="false">
      <c r="A10679" s="6" t="s">
        <v>13291</v>
      </c>
      <c r="B10679" s="6" t="s">
        <v>2171</v>
      </c>
      <c r="C10679" s="6" t="s">
        <v>128</v>
      </c>
      <c r="D10679" s="13" t="n">
        <v>45624</v>
      </c>
      <c r="E10679" s="14" t="n">
        <v>4754.1</v>
      </c>
      <c r="F10679" s="14" t="n">
        <v>60333.32</v>
      </c>
      <c r="G10679" s="6" t="s">
        <v>2623</v>
      </c>
    </row>
    <row r="10680" customFormat="false" ht="15" hidden="false" customHeight="true" outlineLevel="0" collapsed="false">
      <c r="A10680" s="6" t="s">
        <v>13292</v>
      </c>
      <c r="B10680" s="6" t="s">
        <v>2171</v>
      </c>
      <c r="C10680" s="6" t="s">
        <v>128</v>
      </c>
      <c r="D10680" s="13" t="n">
        <v>45631</v>
      </c>
      <c r="E10680" s="14" t="n">
        <v>4456.04</v>
      </c>
      <c r="F10680" s="14" t="n">
        <v>64789.36</v>
      </c>
      <c r="G10680" s="6" t="s">
        <v>2613</v>
      </c>
    </row>
    <row r="10681" customFormat="false" ht="15" hidden="false" customHeight="true" outlineLevel="0" collapsed="false">
      <c r="A10681" s="6" t="s">
        <v>13293</v>
      </c>
      <c r="B10681" s="6" t="s">
        <v>2171</v>
      </c>
      <c r="C10681" s="6" t="s">
        <v>128</v>
      </c>
      <c r="D10681" s="13" t="n">
        <v>45638</v>
      </c>
      <c r="E10681" s="14" t="n">
        <v>4758.06</v>
      </c>
      <c r="F10681" s="14" t="n">
        <v>69547.42</v>
      </c>
      <c r="G10681" s="6" t="s">
        <v>2613</v>
      </c>
    </row>
    <row r="10682" customFormat="false" ht="15" hidden="false" customHeight="true" outlineLevel="0" collapsed="false">
      <c r="A10682" s="6" t="s">
        <v>13294</v>
      </c>
      <c r="B10682" s="6" t="s">
        <v>2171</v>
      </c>
      <c r="C10682" s="6" t="s">
        <v>128</v>
      </c>
      <c r="D10682" s="13" t="n">
        <v>45645</v>
      </c>
      <c r="E10682" s="14" t="n">
        <v>2314.25</v>
      </c>
      <c r="F10682" s="14" t="n">
        <v>71861.67</v>
      </c>
      <c r="G10682" s="6" t="s">
        <v>2623</v>
      </c>
    </row>
    <row r="10683" customFormat="false" ht="15" hidden="false" customHeight="true" outlineLevel="0" collapsed="false">
      <c r="A10683" s="6" t="s">
        <v>13295</v>
      </c>
      <c r="B10683" s="6" t="s">
        <v>2173</v>
      </c>
      <c r="C10683" s="6" t="s">
        <v>131</v>
      </c>
      <c r="D10683" s="13" t="n">
        <v>44832</v>
      </c>
      <c r="E10683" s="14" t="n">
        <v>2896.85</v>
      </c>
      <c r="F10683" s="14" t="n">
        <v>2896.85</v>
      </c>
      <c r="G10683" s="6" t="s">
        <v>2623</v>
      </c>
    </row>
    <row r="10684" customFormat="false" ht="15" hidden="false" customHeight="true" outlineLevel="0" collapsed="false">
      <c r="A10684" s="6" t="s">
        <v>13296</v>
      </c>
      <c r="B10684" s="6" t="s">
        <v>2173</v>
      </c>
      <c r="C10684" s="6" t="s">
        <v>131</v>
      </c>
      <c r="D10684" s="13" t="n">
        <v>44839</v>
      </c>
      <c r="E10684" s="14" t="n">
        <v>2055.68</v>
      </c>
      <c r="F10684" s="14" t="n">
        <v>4952.53</v>
      </c>
      <c r="G10684" s="6" t="s">
        <v>2613</v>
      </c>
    </row>
    <row r="10685" customFormat="false" ht="15" hidden="false" customHeight="true" outlineLevel="0" collapsed="false">
      <c r="A10685" s="6" t="s">
        <v>13297</v>
      </c>
      <c r="B10685" s="6" t="s">
        <v>2173</v>
      </c>
      <c r="C10685" s="6" t="s">
        <v>131</v>
      </c>
      <c r="D10685" s="13" t="n">
        <v>44846</v>
      </c>
      <c r="E10685" s="14" t="n">
        <v>2861.82</v>
      </c>
      <c r="F10685" s="14" t="n">
        <v>7814.35</v>
      </c>
      <c r="G10685" s="6" t="s">
        <v>2613</v>
      </c>
    </row>
    <row r="10686" customFormat="false" ht="15" hidden="false" customHeight="true" outlineLevel="0" collapsed="false">
      <c r="A10686" s="6" t="s">
        <v>13298</v>
      </c>
      <c r="B10686" s="6" t="s">
        <v>2173</v>
      </c>
      <c r="C10686" s="6" t="s">
        <v>131</v>
      </c>
      <c r="D10686" s="13" t="n">
        <v>44853</v>
      </c>
      <c r="E10686" s="14" t="n">
        <v>2393.47</v>
      </c>
      <c r="F10686" s="14" t="n">
        <v>10207.82</v>
      </c>
      <c r="G10686" s="6" t="s">
        <v>2613</v>
      </c>
    </row>
    <row r="10687" customFormat="false" ht="15" hidden="false" customHeight="true" outlineLevel="0" collapsed="false">
      <c r="A10687" s="6" t="s">
        <v>13299</v>
      </c>
      <c r="B10687" s="6" t="s">
        <v>2173</v>
      </c>
      <c r="C10687" s="6" t="s">
        <v>131</v>
      </c>
      <c r="D10687" s="13" t="n">
        <v>44860</v>
      </c>
      <c r="E10687" s="14" t="n">
        <v>4509.5</v>
      </c>
      <c r="F10687" s="14" t="n">
        <v>14717.32</v>
      </c>
      <c r="G10687" s="6" t="s">
        <v>2613</v>
      </c>
    </row>
    <row r="10688" customFormat="false" ht="15" hidden="false" customHeight="true" outlineLevel="0" collapsed="false">
      <c r="A10688" s="6" t="s">
        <v>13300</v>
      </c>
      <c r="B10688" s="6" t="s">
        <v>2173</v>
      </c>
      <c r="C10688" s="6" t="s">
        <v>131</v>
      </c>
      <c r="D10688" s="13" t="n">
        <v>44867</v>
      </c>
      <c r="E10688" s="14" t="n">
        <v>3736.55</v>
      </c>
      <c r="F10688" s="14" t="n">
        <v>18453.87</v>
      </c>
      <c r="G10688" s="6" t="s">
        <v>2613</v>
      </c>
    </row>
    <row r="10689" customFormat="false" ht="15" hidden="false" customHeight="true" outlineLevel="0" collapsed="false">
      <c r="A10689" s="6" t="s">
        <v>13301</v>
      </c>
      <c r="B10689" s="6" t="s">
        <v>2173</v>
      </c>
      <c r="C10689" s="6" t="s">
        <v>131</v>
      </c>
      <c r="D10689" s="13" t="n">
        <v>44874</v>
      </c>
      <c r="E10689" s="14" t="n">
        <v>2191.74</v>
      </c>
      <c r="F10689" s="14" t="n">
        <v>20645.61</v>
      </c>
      <c r="G10689" s="6" t="s">
        <v>2613</v>
      </c>
    </row>
    <row r="10690" customFormat="false" ht="15" hidden="false" customHeight="true" outlineLevel="0" collapsed="false">
      <c r="A10690" s="6" t="s">
        <v>13302</v>
      </c>
      <c r="B10690" s="6" t="s">
        <v>2173</v>
      </c>
      <c r="C10690" s="6" t="s">
        <v>131</v>
      </c>
      <c r="D10690" s="13" t="n">
        <v>44881</v>
      </c>
      <c r="E10690" s="14" t="n">
        <v>3007.77</v>
      </c>
      <c r="F10690" s="14" t="n">
        <v>23653.38</v>
      </c>
      <c r="G10690" s="6" t="s">
        <v>2613</v>
      </c>
    </row>
    <row r="10691" customFormat="false" ht="15" hidden="false" customHeight="true" outlineLevel="0" collapsed="false">
      <c r="A10691" s="6" t="s">
        <v>13303</v>
      </c>
      <c r="B10691" s="6" t="s">
        <v>2173</v>
      </c>
      <c r="C10691" s="6" t="s">
        <v>131</v>
      </c>
      <c r="D10691" s="13" t="n">
        <v>44888</v>
      </c>
      <c r="E10691" s="14" t="n">
        <v>2560.48</v>
      </c>
      <c r="F10691" s="14" t="n">
        <v>26213.86</v>
      </c>
      <c r="G10691" s="6" t="s">
        <v>2613</v>
      </c>
    </row>
    <row r="10692" customFormat="false" ht="15" hidden="false" customHeight="true" outlineLevel="0" collapsed="false">
      <c r="A10692" s="6" t="s">
        <v>13304</v>
      </c>
      <c r="B10692" s="6" t="s">
        <v>2173</v>
      </c>
      <c r="C10692" s="6" t="s">
        <v>131</v>
      </c>
      <c r="D10692" s="13" t="n">
        <v>44895</v>
      </c>
      <c r="E10692" s="14" t="n">
        <v>3709.25</v>
      </c>
      <c r="F10692" s="14" t="n">
        <v>29923.11</v>
      </c>
      <c r="G10692" s="6" t="s">
        <v>2623</v>
      </c>
    </row>
    <row r="10693" customFormat="false" ht="15" hidden="false" customHeight="true" outlineLevel="0" collapsed="false">
      <c r="A10693" s="6" t="s">
        <v>13305</v>
      </c>
      <c r="B10693" s="6" t="s">
        <v>2173</v>
      </c>
      <c r="C10693" s="6" t="s">
        <v>131</v>
      </c>
      <c r="D10693" s="13" t="n">
        <v>44902</v>
      </c>
      <c r="E10693" s="14" t="n">
        <v>2352.27</v>
      </c>
      <c r="F10693" s="14" t="n">
        <v>32275.38</v>
      </c>
      <c r="G10693" s="6" t="s">
        <v>2613</v>
      </c>
    </row>
    <row r="10694" customFormat="false" ht="15" hidden="false" customHeight="true" outlineLevel="0" collapsed="false">
      <c r="A10694" s="6" t="s">
        <v>13306</v>
      </c>
      <c r="B10694" s="6" t="s">
        <v>2173</v>
      </c>
      <c r="C10694" s="6" t="s">
        <v>131</v>
      </c>
      <c r="D10694" s="13" t="n">
        <v>44909</v>
      </c>
      <c r="E10694" s="14" t="n">
        <v>2289.46</v>
      </c>
      <c r="F10694" s="14" t="n">
        <v>34564.84</v>
      </c>
      <c r="G10694" s="6" t="s">
        <v>2613</v>
      </c>
    </row>
    <row r="10695" customFormat="false" ht="15" hidden="false" customHeight="true" outlineLevel="0" collapsed="false">
      <c r="A10695" s="6" t="s">
        <v>13307</v>
      </c>
      <c r="B10695" s="6" t="s">
        <v>2173</v>
      </c>
      <c r="C10695" s="6" t="s">
        <v>131</v>
      </c>
      <c r="D10695" s="13" t="n">
        <v>44916</v>
      </c>
      <c r="E10695" s="14" t="n">
        <v>2572.84</v>
      </c>
      <c r="F10695" s="14" t="n">
        <v>37137.68</v>
      </c>
      <c r="G10695" s="6" t="s">
        <v>2613</v>
      </c>
    </row>
    <row r="10696" customFormat="false" ht="15" hidden="false" customHeight="true" outlineLevel="0" collapsed="false">
      <c r="A10696" s="6" t="s">
        <v>13308</v>
      </c>
      <c r="B10696" s="6" t="s">
        <v>2173</v>
      </c>
      <c r="C10696" s="6" t="s">
        <v>131</v>
      </c>
      <c r="D10696" s="13" t="n">
        <v>44923</v>
      </c>
      <c r="E10696" s="14" t="n">
        <v>4426.87</v>
      </c>
      <c r="F10696" s="14" t="n">
        <v>41564.55</v>
      </c>
      <c r="G10696" s="6" t="s">
        <v>2623</v>
      </c>
    </row>
    <row r="10697" customFormat="false" ht="15" hidden="false" customHeight="true" outlineLevel="0" collapsed="false">
      <c r="A10697" s="6" t="s">
        <v>13309</v>
      </c>
      <c r="B10697" s="6" t="s">
        <v>2173</v>
      </c>
      <c r="C10697" s="6" t="s">
        <v>131</v>
      </c>
      <c r="D10697" s="13" t="n">
        <v>44930</v>
      </c>
      <c r="E10697" s="14" t="n">
        <v>7134.91</v>
      </c>
      <c r="F10697" s="14" t="n">
        <v>48699.46</v>
      </c>
      <c r="G10697" s="6" t="s">
        <v>2623</v>
      </c>
    </row>
    <row r="10698" customFormat="false" ht="15" hidden="false" customHeight="true" outlineLevel="0" collapsed="false">
      <c r="A10698" s="6" t="s">
        <v>13310</v>
      </c>
      <c r="B10698" s="6" t="s">
        <v>2175</v>
      </c>
      <c r="C10698" s="6" t="s">
        <v>124</v>
      </c>
      <c r="D10698" s="13" t="n">
        <v>45148</v>
      </c>
      <c r="E10698" s="14" t="n">
        <v>6991.47</v>
      </c>
      <c r="F10698" s="14" t="n">
        <v>6991.47</v>
      </c>
      <c r="G10698" s="6" t="s">
        <v>2623</v>
      </c>
    </row>
    <row r="10699" customFormat="false" ht="15" hidden="false" customHeight="true" outlineLevel="0" collapsed="false">
      <c r="A10699" s="6" t="s">
        <v>13311</v>
      </c>
      <c r="B10699" s="6" t="s">
        <v>2175</v>
      </c>
      <c r="C10699" s="6" t="s">
        <v>124</v>
      </c>
      <c r="D10699" s="13" t="n">
        <v>45155</v>
      </c>
      <c r="E10699" s="14" t="n">
        <v>4240.91</v>
      </c>
      <c r="F10699" s="14" t="n">
        <v>11232.38</v>
      </c>
      <c r="G10699" s="6" t="s">
        <v>2623</v>
      </c>
    </row>
    <row r="10700" customFormat="false" ht="15" hidden="false" customHeight="true" outlineLevel="0" collapsed="false">
      <c r="A10700" s="6" t="s">
        <v>13312</v>
      </c>
      <c r="B10700" s="6" t="s">
        <v>2175</v>
      </c>
      <c r="C10700" s="6" t="s">
        <v>124</v>
      </c>
      <c r="D10700" s="13" t="n">
        <v>45162</v>
      </c>
      <c r="E10700" s="14" t="n">
        <v>7019.04</v>
      </c>
      <c r="F10700" s="14" t="n">
        <v>18251.42</v>
      </c>
      <c r="G10700" s="6" t="s">
        <v>2613</v>
      </c>
    </row>
    <row r="10701" customFormat="false" ht="15" hidden="false" customHeight="true" outlineLevel="0" collapsed="false">
      <c r="A10701" s="6" t="s">
        <v>13313</v>
      </c>
      <c r="B10701" s="6" t="s">
        <v>2175</v>
      </c>
      <c r="C10701" s="6" t="s">
        <v>124</v>
      </c>
      <c r="D10701" s="13" t="n">
        <v>45169</v>
      </c>
      <c r="E10701" s="14" t="n">
        <v>6124.51</v>
      </c>
      <c r="F10701" s="14" t="n">
        <v>24375.93</v>
      </c>
      <c r="G10701" s="6" t="s">
        <v>2613</v>
      </c>
    </row>
    <row r="10702" customFormat="false" ht="15" hidden="false" customHeight="true" outlineLevel="0" collapsed="false">
      <c r="A10702" s="6" t="s">
        <v>13314</v>
      </c>
      <c r="B10702" s="6" t="s">
        <v>2175</v>
      </c>
      <c r="C10702" s="6" t="s">
        <v>124</v>
      </c>
      <c r="D10702" s="13" t="n">
        <v>45176</v>
      </c>
      <c r="E10702" s="14" t="n">
        <v>1357.28</v>
      </c>
      <c r="F10702" s="14" t="n">
        <v>25733.21</v>
      </c>
      <c r="G10702" s="6" t="s">
        <v>2613</v>
      </c>
    </row>
    <row r="10703" customFormat="false" ht="15" hidden="false" customHeight="true" outlineLevel="0" collapsed="false">
      <c r="A10703" s="6" t="s">
        <v>13315</v>
      </c>
      <c r="B10703" s="6" t="s">
        <v>2177</v>
      </c>
      <c r="C10703" s="6" t="s">
        <v>112</v>
      </c>
      <c r="D10703" s="13" t="n">
        <v>45939</v>
      </c>
      <c r="E10703" s="14" t="n">
        <v>1157.62</v>
      </c>
      <c r="F10703" s="14" t="n">
        <v>1157.62</v>
      </c>
      <c r="G10703" s="6" t="s">
        <v>2613</v>
      </c>
    </row>
    <row r="10704" customFormat="false" ht="15" hidden="false" customHeight="true" outlineLevel="0" collapsed="false">
      <c r="A10704" s="6" t="s">
        <v>13316</v>
      </c>
      <c r="B10704" s="6" t="s">
        <v>2177</v>
      </c>
      <c r="C10704" s="6" t="s">
        <v>112</v>
      </c>
      <c r="D10704" s="13" t="n">
        <v>45946</v>
      </c>
      <c r="E10704" s="14" t="n">
        <v>1812.52</v>
      </c>
      <c r="F10704" s="14" t="n">
        <v>2970.14</v>
      </c>
      <c r="G10704" s="6" t="s">
        <v>2613</v>
      </c>
    </row>
    <row r="10705" customFormat="false" ht="15" hidden="false" customHeight="true" outlineLevel="0" collapsed="false">
      <c r="A10705" s="6" t="s">
        <v>13317</v>
      </c>
      <c r="B10705" s="6" t="s">
        <v>2177</v>
      </c>
      <c r="C10705" s="6" t="s">
        <v>112</v>
      </c>
      <c r="D10705" s="13" t="n">
        <v>45953</v>
      </c>
      <c r="E10705" s="14" t="n">
        <v>1738.61</v>
      </c>
      <c r="F10705" s="14" t="n">
        <v>4708.75</v>
      </c>
      <c r="G10705" s="6" t="s">
        <v>2613</v>
      </c>
    </row>
    <row r="10706" customFormat="false" ht="15" hidden="false" customHeight="true" outlineLevel="0" collapsed="false">
      <c r="A10706" s="6" t="s">
        <v>13318</v>
      </c>
      <c r="B10706" s="6" t="s">
        <v>2177</v>
      </c>
      <c r="C10706" s="6" t="s">
        <v>112</v>
      </c>
      <c r="D10706" s="13" t="n">
        <v>45960</v>
      </c>
      <c r="E10706" s="14" t="n">
        <v>1495.21</v>
      </c>
      <c r="F10706" s="14" t="n">
        <v>6203.96</v>
      </c>
      <c r="G10706" s="6" t="s">
        <v>2613</v>
      </c>
    </row>
    <row r="10707" customFormat="false" ht="15" hidden="false" customHeight="true" outlineLevel="0" collapsed="false">
      <c r="A10707" s="6" t="s">
        <v>13319</v>
      </c>
      <c r="B10707" s="6" t="s">
        <v>2177</v>
      </c>
      <c r="C10707" s="6" t="s">
        <v>112</v>
      </c>
      <c r="D10707" s="13" t="n">
        <v>45967</v>
      </c>
      <c r="E10707" s="14" t="n">
        <v>504.29</v>
      </c>
      <c r="F10707" s="14" t="n">
        <v>6708.25</v>
      </c>
      <c r="G10707" s="6" t="s">
        <v>2613</v>
      </c>
    </row>
    <row r="10708" customFormat="false" ht="15" hidden="false" customHeight="true" outlineLevel="0" collapsed="false">
      <c r="A10708" s="6" t="s">
        <v>13320</v>
      </c>
      <c r="B10708" s="6" t="s">
        <v>2179</v>
      </c>
      <c r="C10708" s="6" t="s">
        <v>120</v>
      </c>
      <c r="D10708" s="13" t="n">
        <v>44768</v>
      </c>
      <c r="E10708" s="14" t="n">
        <v>392.91</v>
      </c>
      <c r="F10708" s="14" t="n">
        <v>392.91</v>
      </c>
      <c r="G10708" s="6" t="s">
        <v>2613</v>
      </c>
    </row>
    <row r="10709" customFormat="false" ht="15" hidden="false" customHeight="true" outlineLevel="0" collapsed="false">
      <c r="A10709" s="6" t="s">
        <v>13321</v>
      </c>
      <c r="B10709" s="6" t="s">
        <v>2179</v>
      </c>
      <c r="C10709" s="6" t="s">
        <v>120</v>
      </c>
      <c r="D10709" s="13" t="n">
        <v>44775</v>
      </c>
      <c r="E10709" s="14" t="n">
        <v>478.08</v>
      </c>
      <c r="F10709" s="14" t="n">
        <v>870.99</v>
      </c>
      <c r="G10709" s="6" t="s">
        <v>2613</v>
      </c>
    </row>
    <row r="10710" customFormat="false" ht="15" hidden="false" customHeight="true" outlineLevel="0" collapsed="false">
      <c r="A10710" s="6" t="s">
        <v>13322</v>
      </c>
      <c r="B10710" s="6" t="s">
        <v>2179</v>
      </c>
      <c r="C10710" s="6" t="s">
        <v>120</v>
      </c>
      <c r="D10710" s="13" t="n">
        <v>44782</v>
      </c>
      <c r="E10710" s="14" t="n">
        <v>516.54</v>
      </c>
      <c r="F10710" s="14" t="n">
        <v>1387.53</v>
      </c>
      <c r="G10710" s="6" t="s">
        <v>2613</v>
      </c>
    </row>
    <row r="10711" customFormat="false" ht="15" hidden="false" customHeight="true" outlineLevel="0" collapsed="false">
      <c r="A10711" s="6" t="s">
        <v>13323</v>
      </c>
      <c r="B10711" s="6" t="s">
        <v>2179</v>
      </c>
      <c r="C10711" s="6" t="s">
        <v>120</v>
      </c>
      <c r="D10711" s="13" t="n">
        <v>44789</v>
      </c>
      <c r="E10711" s="14" t="n">
        <v>540.32</v>
      </c>
      <c r="F10711" s="14" t="n">
        <v>1927.85</v>
      </c>
      <c r="G10711" s="6" t="s">
        <v>2613</v>
      </c>
    </row>
    <row r="10712" customFormat="false" ht="15" hidden="false" customHeight="true" outlineLevel="0" collapsed="false">
      <c r="A10712" s="6" t="s">
        <v>13324</v>
      </c>
      <c r="B10712" s="6" t="s">
        <v>2179</v>
      </c>
      <c r="C10712" s="6" t="s">
        <v>120</v>
      </c>
      <c r="D10712" s="13" t="n">
        <v>44796</v>
      </c>
      <c r="E10712" s="14" t="n">
        <v>309.94</v>
      </c>
      <c r="F10712" s="14" t="n">
        <v>2237.79</v>
      </c>
      <c r="G10712" s="6" t="s">
        <v>2613</v>
      </c>
    </row>
    <row r="10713" customFormat="false" ht="15" hidden="false" customHeight="true" outlineLevel="0" collapsed="false">
      <c r="A10713" s="6" t="s">
        <v>13325</v>
      </c>
      <c r="B10713" s="6" t="s">
        <v>2179</v>
      </c>
      <c r="C10713" s="6" t="s">
        <v>120</v>
      </c>
      <c r="D10713" s="13" t="n">
        <v>44803</v>
      </c>
      <c r="E10713" s="14" t="n">
        <v>527.75</v>
      </c>
      <c r="F10713" s="14" t="n">
        <v>2765.54</v>
      </c>
      <c r="G10713" s="6" t="s">
        <v>2613</v>
      </c>
    </row>
    <row r="10714" customFormat="false" ht="15" hidden="false" customHeight="true" outlineLevel="0" collapsed="false">
      <c r="A10714" s="6" t="s">
        <v>13326</v>
      </c>
      <c r="B10714" s="6" t="s">
        <v>2179</v>
      </c>
      <c r="C10714" s="6" t="s">
        <v>120</v>
      </c>
      <c r="D10714" s="13" t="n">
        <v>44810</v>
      </c>
      <c r="E10714" s="14" t="n">
        <v>365.48</v>
      </c>
      <c r="F10714" s="14" t="n">
        <v>3131.02</v>
      </c>
      <c r="G10714" s="6" t="s">
        <v>2613</v>
      </c>
    </row>
    <row r="10715" customFormat="false" ht="15" hidden="false" customHeight="true" outlineLevel="0" collapsed="false">
      <c r="A10715" s="6" t="s">
        <v>13327</v>
      </c>
      <c r="B10715" s="6" t="s">
        <v>2179</v>
      </c>
      <c r="C10715" s="6" t="s">
        <v>120</v>
      </c>
      <c r="D10715" s="13" t="n">
        <v>44817</v>
      </c>
      <c r="E10715" s="14" t="n">
        <v>282.92</v>
      </c>
      <c r="F10715" s="14" t="n">
        <v>3413.94</v>
      </c>
      <c r="G10715" s="6" t="s">
        <v>2613</v>
      </c>
    </row>
    <row r="10716" customFormat="false" ht="15" hidden="false" customHeight="true" outlineLevel="0" collapsed="false">
      <c r="A10716" s="6" t="s">
        <v>13328</v>
      </c>
      <c r="B10716" s="6" t="s">
        <v>2179</v>
      </c>
      <c r="C10716" s="6" t="s">
        <v>120</v>
      </c>
      <c r="D10716" s="13" t="n">
        <v>44824</v>
      </c>
      <c r="E10716" s="14" t="n">
        <v>527.17</v>
      </c>
      <c r="F10716" s="14" t="n">
        <v>3941.11</v>
      </c>
      <c r="G10716" s="6" t="s">
        <v>2613</v>
      </c>
    </row>
    <row r="10717" customFormat="false" ht="15" hidden="false" customHeight="true" outlineLevel="0" collapsed="false">
      <c r="A10717" s="6" t="s">
        <v>13329</v>
      </c>
      <c r="B10717" s="6" t="s">
        <v>2179</v>
      </c>
      <c r="C10717" s="6" t="s">
        <v>120</v>
      </c>
      <c r="D10717" s="13" t="n">
        <v>44831</v>
      </c>
      <c r="E10717" s="14" t="n">
        <v>333.4</v>
      </c>
      <c r="F10717" s="14" t="n">
        <v>4274.51</v>
      </c>
      <c r="G10717" s="6" t="s">
        <v>2623</v>
      </c>
    </row>
    <row r="10718" customFormat="false" ht="15" hidden="false" customHeight="true" outlineLevel="0" collapsed="false">
      <c r="A10718" s="6" t="s">
        <v>13330</v>
      </c>
      <c r="B10718" s="6" t="s">
        <v>2179</v>
      </c>
      <c r="C10718" s="6" t="s">
        <v>120</v>
      </c>
      <c r="D10718" s="13" t="n">
        <v>44838</v>
      </c>
      <c r="E10718" s="14" t="n">
        <v>311.69</v>
      </c>
      <c r="F10718" s="14" t="n">
        <v>4586.2</v>
      </c>
      <c r="G10718" s="6" t="s">
        <v>2613</v>
      </c>
    </row>
    <row r="10719" customFormat="false" ht="15" hidden="false" customHeight="true" outlineLevel="0" collapsed="false">
      <c r="A10719" s="6" t="s">
        <v>13331</v>
      </c>
      <c r="B10719" s="6" t="s">
        <v>2181</v>
      </c>
      <c r="C10719" s="6" t="s">
        <v>128</v>
      </c>
      <c r="D10719" s="13" t="n">
        <v>45726</v>
      </c>
      <c r="E10719" s="14" t="n">
        <v>4288.22</v>
      </c>
      <c r="F10719" s="14" t="n">
        <v>4288.22</v>
      </c>
      <c r="G10719" s="6" t="s">
        <v>2613</v>
      </c>
    </row>
    <row r="10720" customFormat="false" ht="15" hidden="false" customHeight="true" outlineLevel="0" collapsed="false">
      <c r="A10720" s="6" t="s">
        <v>13332</v>
      </c>
      <c r="B10720" s="6" t="s">
        <v>2181</v>
      </c>
      <c r="C10720" s="6" t="s">
        <v>128</v>
      </c>
      <c r="D10720" s="13" t="n">
        <v>45733</v>
      </c>
      <c r="E10720" s="14" t="n">
        <v>2578.58</v>
      </c>
      <c r="F10720" s="14" t="n">
        <v>6866.8</v>
      </c>
      <c r="G10720" s="6" t="s">
        <v>2613</v>
      </c>
    </row>
    <row r="10721" customFormat="false" ht="15" hidden="false" customHeight="true" outlineLevel="0" collapsed="false">
      <c r="A10721" s="6" t="s">
        <v>13333</v>
      </c>
      <c r="B10721" s="6" t="s">
        <v>2181</v>
      </c>
      <c r="C10721" s="6" t="s">
        <v>128</v>
      </c>
      <c r="D10721" s="13" t="n">
        <v>45740</v>
      </c>
      <c r="E10721" s="14" t="n">
        <v>3820.29</v>
      </c>
      <c r="F10721" s="14" t="n">
        <v>10687.09</v>
      </c>
      <c r="G10721" s="6" t="s">
        <v>2613</v>
      </c>
    </row>
    <row r="10722" customFormat="false" ht="15" hidden="false" customHeight="true" outlineLevel="0" collapsed="false">
      <c r="A10722" s="6" t="s">
        <v>13334</v>
      </c>
      <c r="B10722" s="6" t="s">
        <v>2181</v>
      </c>
      <c r="C10722" s="6" t="s">
        <v>128</v>
      </c>
      <c r="D10722" s="13" t="n">
        <v>45747</v>
      </c>
      <c r="E10722" s="14" t="n">
        <v>4610.93</v>
      </c>
      <c r="F10722" s="14" t="n">
        <v>15298.02</v>
      </c>
      <c r="G10722" s="6" t="s">
        <v>2613</v>
      </c>
    </row>
    <row r="10723" customFormat="false" ht="15" hidden="false" customHeight="true" outlineLevel="0" collapsed="false">
      <c r="A10723" s="6" t="s">
        <v>13335</v>
      </c>
      <c r="B10723" s="6" t="s">
        <v>2181</v>
      </c>
      <c r="C10723" s="6" t="s">
        <v>128</v>
      </c>
      <c r="D10723" s="13" t="n">
        <v>45754</v>
      </c>
      <c r="E10723" s="14" t="n">
        <v>2635.33</v>
      </c>
      <c r="F10723" s="14" t="n">
        <v>17933.35</v>
      </c>
      <c r="G10723" s="6" t="s">
        <v>2613</v>
      </c>
    </row>
    <row r="10724" customFormat="false" ht="15" hidden="false" customHeight="true" outlineLevel="0" collapsed="false">
      <c r="A10724" s="6" t="s">
        <v>13336</v>
      </c>
      <c r="B10724" s="6" t="s">
        <v>2181</v>
      </c>
      <c r="C10724" s="6" t="s">
        <v>128</v>
      </c>
      <c r="D10724" s="13" t="n">
        <v>45761</v>
      </c>
      <c r="E10724" s="14" t="n">
        <v>2954.55</v>
      </c>
      <c r="F10724" s="14" t="n">
        <v>20887.9</v>
      </c>
      <c r="G10724" s="6" t="s">
        <v>2613</v>
      </c>
    </row>
    <row r="10725" customFormat="false" ht="15" hidden="false" customHeight="true" outlineLevel="0" collapsed="false">
      <c r="A10725" s="6" t="s">
        <v>13337</v>
      </c>
      <c r="B10725" s="6" t="s">
        <v>2181</v>
      </c>
      <c r="C10725" s="6" t="s">
        <v>128</v>
      </c>
      <c r="D10725" s="13" t="n">
        <v>45768</v>
      </c>
      <c r="E10725" s="14" t="n">
        <v>4434.85</v>
      </c>
      <c r="F10725" s="14" t="n">
        <v>25322.75</v>
      </c>
      <c r="G10725" s="6" t="s">
        <v>2613</v>
      </c>
    </row>
    <row r="10726" customFormat="false" ht="15" hidden="false" customHeight="true" outlineLevel="0" collapsed="false">
      <c r="A10726" s="6" t="s">
        <v>13338</v>
      </c>
      <c r="B10726" s="6" t="s">
        <v>2181</v>
      </c>
      <c r="C10726" s="6" t="s">
        <v>128</v>
      </c>
      <c r="D10726" s="13" t="n">
        <v>45775</v>
      </c>
      <c r="E10726" s="14" t="n">
        <v>4121.38</v>
      </c>
      <c r="F10726" s="14" t="n">
        <v>29444.13</v>
      </c>
      <c r="G10726" s="6" t="s">
        <v>2623</v>
      </c>
    </row>
    <row r="10727" customFormat="false" ht="15" hidden="false" customHeight="true" outlineLevel="0" collapsed="false">
      <c r="A10727" s="6" t="s">
        <v>13339</v>
      </c>
      <c r="B10727" s="6" t="s">
        <v>2181</v>
      </c>
      <c r="C10727" s="6" t="s">
        <v>128</v>
      </c>
      <c r="D10727" s="13" t="n">
        <v>45782</v>
      </c>
      <c r="E10727" s="14" t="n">
        <v>3955.03</v>
      </c>
      <c r="F10727" s="14" t="n">
        <v>33399.16</v>
      </c>
      <c r="G10727" s="6" t="s">
        <v>2613</v>
      </c>
    </row>
    <row r="10728" customFormat="false" ht="15" hidden="false" customHeight="true" outlineLevel="0" collapsed="false">
      <c r="A10728" s="6" t="s">
        <v>13340</v>
      </c>
      <c r="B10728" s="6" t="s">
        <v>2181</v>
      </c>
      <c r="C10728" s="6" t="s">
        <v>128</v>
      </c>
      <c r="D10728" s="13" t="n">
        <v>45789</v>
      </c>
      <c r="E10728" s="14" t="n">
        <v>3779.62</v>
      </c>
      <c r="F10728" s="14" t="n">
        <v>37178.78</v>
      </c>
      <c r="G10728" s="6" t="s">
        <v>2613</v>
      </c>
    </row>
    <row r="10729" customFormat="false" ht="15" hidden="false" customHeight="true" outlineLevel="0" collapsed="false">
      <c r="A10729" s="6" t="s">
        <v>13341</v>
      </c>
      <c r="B10729" s="6" t="s">
        <v>2181</v>
      </c>
      <c r="C10729" s="6" t="s">
        <v>128</v>
      </c>
      <c r="D10729" s="13" t="n">
        <v>45796</v>
      </c>
      <c r="E10729" s="14" t="n">
        <v>2080.81</v>
      </c>
      <c r="F10729" s="14" t="n">
        <v>39259.59</v>
      </c>
      <c r="G10729" s="6" t="s">
        <v>2613</v>
      </c>
    </row>
    <row r="10730" customFormat="false" ht="15" hidden="false" customHeight="true" outlineLevel="0" collapsed="false">
      <c r="A10730" s="6" t="s">
        <v>13342</v>
      </c>
      <c r="B10730" s="6" t="s">
        <v>2181</v>
      </c>
      <c r="C10730" s="6" t="s">
        <v>128</v>
      </c>
      <c r="D10730" s="13" t="n">
        <v>45803</v>
      </c>
      <c r="E10730" s="14" t="n">
        <v>3031.46</v>
      </c>
      <c r="F10730" s="14" t="n">
        <v>42291.05</v>
      </c>
      <c r="G10730" s="6" t="s">
        <v>2613</v>
      </c>
    </row>
    <row r="10731" customFormat="false" ht="15" hidden="false" customHeight="true" outlineLevel="0" collapsed="false">
      <c r="A10731" s="6" t="s">
        <v>13343</v>
      </c>
      <c r="B10731" s="6" t="s">
        <v>2181</v>
      </c>
      <c r="C10731" s="6" t="s">
        <v>128</v>
      </c>
      <c r="D10731" s="13" t="n">
        <v>45810</v>
      </c>
      <c r="E10731" s="14" t="n">
        <v>3778.65</v>
      </c>
      <c r="F10731" s="14" t="n">
        <v>46069.7</v>
      </c>
      <c r="G10731" s="6" t="s">
        <v>2613</v>
      </c>
    </row>
    <row r="10732" customFormat="false" ht="15" hidden="false" customHeight="true" outlineLevel="0" collapsed="false">
      <c r="A10732" s="6" t="s">
        <v>13344</v>
      </c>
      <c r="B10732" s="6" t="s">
        <v>2181</v>
      </c>
      <c r="C10732" s="6" t="s">
        <v>128</v>
      </c>
      <c r="D10732" s="13" t="n">
        <v>45817</v>
      </c>
      <c r="E10732" s="14" t="n">
        <v>2113.37</v>
      </c>
      <c r="F10732" s="14" t="n">
        <v>48183.07</v>
      </c>
      <c r="G10732" s="6" t="s">
        <v>2613</v>
      </c>
    </row>
    <row r="10733" customFormat="false" ht="15" hidden="false" customHeight="true" outlineLevel="0" collapsed="false">
      <c r="A10733" s="6" t="s">
        <v>13345</v>
      </c>
      <c r="B10733" s="6" t="s">
        <v>2181</v>
      </c>
      <c r="C10733" s="6" t="s">
        <v>128</v>
      </c>
      <c r="D10733" s="13" t="n">
        <v>45824</v>
      </c>
      <c r="E10733" s="14" t="n">
        <v>4206.67</v>
      </c>
      <c r="F10733" s="14" t="n">
        <v>52389.74</v>
      </c>
      <c r="G10733" s="6" t="s">
        <v>2613</v>
      </c>
    </row>
    <row r="10734" customFormat="false" ht="15" hidden="false" customHeight="true" outlineLevel="0" collapsed="false">
      <c r="A10734" s="6" t="s">
        <v>13346</v>
      </c>
      <c r="B10734" s="6" t="s">
        <v>2181</v>
      </c>
      <c r="C10734" s="6" t="s">
        <v>128</v>
      </c>
      <c r="D10734" s="13" t="n">
        <v>45831</v>
      </c>
      <c r="E10734" s="14" t="n">
        <v>2658.61</v>
      </c>
      <c r="F10734" s="14" t="n">
        <v>55048.35</v>
      </c>
      <c r="G10734" s="6" t="s">
        <v>2613</v>
      </c>
    </row>
    <row r="10735" customFormat="false" ht="15" hidden="false" customHeight="true" outlineLevel="0" collapsed="false">
      <c r="A10735" s="6" t="s">
        <v>13347</v>
      </c>
      <c r="B10735" s="6" t="s">
        <v>2181</v>
      </c>
      <c r="C10735" s="6" t="s">
        <v>128</v>
      </c>
      <c r="D10735" s="13" t="n">
        <v>45838</v>
      </c>
      <c r="E10735" s="14" t="n">
        <v>2700.72</v>
      </c>
      <c r="F10735" s="14" t="n">
        <v>57749.07</v>
      </c>
      <c r="G10735" s="6" t="s">
        <v>2613</v>
      </c>
    </row>
    <row r="10736" customFormat="false" ht="15" hidden="false" customHeight="true" outlineLevel="0" collapsed="false">
      <c r="A10736" s="6" t="s">
        <v>13348</v>
      </c>
      <c r="B10736" s="6" t="s">
        <v>2181</v>
      </c>
      <c r="C10736" s="6" t="s">
        <v>128</v>
      </c>
      <c r="D10736" s="13" t="n">
        <v>45845</v>
      </c>
      <c r="E10736" s="14" t="n">
        <v>4178.93</v>
      </c>
      <c r="F10736" s="14" t="n">
        <v>61928</v>
      </c>
      <c r="G10736" s="6" t="s">
        <v>2613</v>
      </c>
    </row>
    <row r="10737" customFormat="false" ht="15" hidden="false" customHeight="true" outlineLevel="0" collapsed="false">
      <c r="A10737" s="6" t="s">
        <v>13349</v>
      </c>
      <c r="B10737" s="6" t="s">
        <v>2181</v>
      </c>
      <c r="C10737" s="6" t="s">
        <v>128</v>
      </c>
      <c r="D10737" s="13" t="n">
        <v>45852</v>
      </c>
      <c r="E10737" s="14" t="n">
        <v>3487.75</v>
      </c>
      <c r="F10737" s="14" t="n">
        <v>65415.75</v>
      </c>
      <c r="G10737" s="6" t="s">
        <v>2613</v>
      </c>
    </row>
    <row r="10738" customFormat="false" ht="15" hidden="false" customHeight="true" outlineLevel="0" collapsed="false">
      <c r="A10738" s="6" t="s">
        <v>13350</v>
      </c>
      <c r="B10738" s="6" t="s">
        <v>2181</v>
      </c>
      <c r="C10738" s="6" t="s">
        <v>128</v>
      </c>
      <c r="D10738" s="13" t="n">
        <v>45859</v>
      </c>
      <c r="E10738" s="14" t="n">
        <v>3553.64</v>
      </c>
      <c r="F10738" s="14" t="n">
        <v>68969.39</v>
      </c>
      <c r="G10738" s="6" t="s">
        <v>2613</v>
      </c>
    </row>
    <row r="10739" customFormat="false" ht="15" hidden="false" customHeight="true" outlineLevel="0" collapsed="false">
      <c r="A10739" s="6" t="s">
        <v>13351</v>
      </c>
      <c r="B10739" s="6" t="s">
        <v>2181</v>
      </c>
      <c r="C10739" s="6" t="s">
        <v>128</v>
      </c>
      <c r="D10739" s="13" t="n">
        <v>45866</v>
      </c>
      <c r="E10739" s="14" t="n">
        <v>2406.67</v>
      </c>
      <c r="F10739" s="14" t="n">
        <v>71376.06</v>
      </c>
      <c r="G10739" s="6" t="s">
        <v>2613</v>
      </c>
    </row>
    <row r="10740" customFormat="false" ht="15" hidden="false" customHeight="true" outlineLevel="0" collapsed="false">
      <c r="A10740" s="6" t="s">
        <v>13352</v>
      </c>
      <c r="B10740" s="6" t="s">
        <v>2181</v>
      </c>
      <c r="C10740" s="6" t="s">
        <v>128</v>
      </c>
      <c r="D10740" s="13" t="n">
        <v>45873</v>
      </c>
      <c r="E10740" s="14" t="n">
        <v>4443.31</v>
      </c>
      <c r="F10740" s="14" t="n">
        <v>75819.37</v>
      </c>
      <c r="G10740" s="6" t="s">
        <v>2623</v>
      </c>
    </row>
    <row r="10741" customFormat="false" ht="15" hidden="false" customHeight="true" outlineLevel="0" collapsed="false">
      <c r="A10741" s="6" t="s">
        <v>13353</v>
      </c>
      <c r="B10741" s="6" t="s">
        <v>2181</v>
      </c>
      <c r="C10741" s="6" t="s">
        <v>128</v>
      </c>
      <c r="D10741" s="13" t="n">
        <v>45880</v>
      </c>
      <c r="E10741" s="14" t="n">
        <v>2141.29</v>
      </c>
      <c r="F10741" s="14" t="n">
        <v>77960.66</v>
      </c>
      <c r="G10741" s="6" t="s">
        <v>2613</v>
      </c>
    </row>
    <row r="10742" customFormat="false" ht="15" hidden="false" customHeight="true" outlineLevel="0" collapsed="false">
      <c r="A10742" s="6" t="s">
        <v>13354</v>
      </c>
      <c r="B10742" s="6" t="s">
        <v>2181</v>
      </c>
      <c r="C10742" s="6" t="s">
        <v>128</v>
      </c>
      <c r="D10742" s="13" t="n">
        <v>45887</v>
      </c>
      <c r="E10742" s="14" t="n">
        <v>2430.14</v>
      </c>
      <c r="F10742" s="14" t="n">
        <v>80390.8</v>
      </c>
      <c r="G10742" s="6" t="s">
        <v>2613</v>
      </c>
    </row>
    <row r="10743" customFormat="false" ht="15" hidden="false" customHeight="true" outlineLevel="0" collapsed="false">
      <c r="A10743" s="6" t="s">
        <v>13355</v>
      </c>
      <c r="B10743" s="6" t="s">
        <v>2181</v>
      </c>
      <c r="C10743" s="6" t="s">
        <v>128</v>
      </c>
      <c r="D10743" s="13" t="n">
        <v>45894</v>
      </c>
      <c r="E10743" s="14" t="n">
        <v>3163.81</v>
      </c>
      <c r="F10743" s="14" t="n">
        <v>83554.61</v>
      </c>
      <c r="G10743" s="6" t="s">
        <v>2613</v>
      </c>
    </row>
    <row r="10744" customFormat="false" ht="15" hidden="false" customHeight="true" outlineLevel="0" collapsed="false">
      <c r="A10744" s="6" t="s">
        <v>13356</v>
      </c>
      <c r="B10744" s="6" t="s">
        <v>2181</v>
      </c>
      <c r="C10744" s="6" t="s">
        <v>128</v>
      </c>
      <c r="D10744" s="13" t="n">
        <v>45901</v>
      </c>
      <c r="E10744" s="14" t="n">
        <v>2626.19</v>
      </c>
      <c r="F10744" s="14" t="n">
        <v>86180.8</v>
      </c>
      <c r="G10744" s="6" t="s">
        <v>2613</v>
      </c>
    </row>
    <row r="10745" customFormat="false" ht="15" hidden="false" customHeight="true" outlineLevel="0" collapsed="false">
      <c r="A10745" s="6" t="s">
        <v>13357</v>
      </c>
      <c r="B10745" s="6" t="s">
        <v>2181</v>
      </c>
      <c r="C10745" s="6" t="s">
        <v>128</v>
      </c>
      <c r="D10745" s="13" t="n">
        <v>45908</v>
      </c>
      <c r="E10745" s="14" t="n">
        <v>3342.19</v>
      </c>
      <c r="F10745" s="14" t="n">
        <v>89522.99</v>
      </c>
      <c r="G10745" s="6" t="s">
        <v>2613</v>
      </c>
    </row>
    <row r="10746" customFormat="false" ht="15" hidden="false" customHeight="true" outlineLevel="0" collapsed="false">
      <c r="A10746" s="6" t="s">
        <v>13358</v>
      </c>
      <c r="B10746" s="6" t="s">
        <v>2181</v>
      </c>
      <c r="C10746" s="6" t="s">
        <v>128</v>
      </c>
      <c r="D10746" s="13" t="n">
        <v>45915</v>
      </c>
      <c r="E10746" s="14" t="n">
        <v>3338.63</v>
      </c>
      <c r="F10746" s="14" t="n">
        <v>92861.62</v>
      </c>
      <c r="G10746" s="6" t="s">
        <v>2613</v>
      </c>
    </row>
    <row r="10747" customFormat="false" ht="15" hidden="false" customHeight="true" outlineLevel="0" collapsed="false">
      <c r="A10747" s="6" t="s">
        <v>13359</v>
      </c>
      <c r="B10747" s="6" t="s">
        <v>2181</v>
      </c>
      <c r="C10747" s="6" t="s">
        <v>128</v>
      </c>
      <c r="D10747" s="13" t="n">
        <v>45922</v>
      </c>
      <c r="E10747" s="14" t="n">
        <v>3398.8</v>
      </c>
      <c r="F10747" s="14" t="n">
        <v>96260.42</v>
      </c>
      <c r="G10747" s="6" t="s">
        <v>2613</v>
      </c>
    </row>
    <row r="10748" customFormat="false" ht="15" hidden="false" customHeight="true" outlineLevel="0" collapsed="false">
      <c r="A10748" s="6" t="s">
        <v>13360</v>
      </c>
      <c r="B10748" s="6" t="s">
        <v>2183</v>
      </c>
      <c r="C10748" s="6" t="s">
        <v>128</v>
      </c>
      <c r="D10748" s="13" t="n">
        <v>45932</v>
      </c>
      <c r="E10748" s="14" t="n">
        <v>558.57</v>
      </c>
      <c r="F10748" s="14" t="n">
        <v>558.57</v>
      </c>
      <c r="G10748" s="6" t="s">
        <v>2613</v>
      </c>
    </row>
    <row r="10749" customFormat="false" ht="15" hidden="false" customHeight="true" outlineLevel="0" collapsed="false">
      <c r="A10749" s="6" t="s">
        <v>13361</v>
      </c>
      <c r="B10749" s="6" t="s">
        <v>2183</v>
      </c>
      <c r="C10749" s="6" t="s">
        <v>128</v>
      </c>
      <c r="D10749" s="13" t="n">
        <v>45939</v>
      </c>
      <c r="E10749" s="14" t="n">
        <v>1010.15</v>
      </c>
      <c r="F10749" s="14" t="n">
        <v>1568.72</v>
      </c>
      <c r="G10749" s="6" t="s">
        <v>2613</v>
      </c>
    </row>
    <row r="10750" customFormat="false" ht="15" hidden="false" customHeight="true" outlineLevel="0" collapsed="false">
      <c r="A10750" s="6" t="s">
        <v>13362</v>
      </c>
      <c r="B10750" s="6" t="s">
        <v>2183</v>
      </c>
      <c r="C10750" s="6" t="s">
        <v>128</v>
      </c>
      <c r="D10750" s="13" t="n">
        <v>45946</v>
      </c>
      <c r="E10750" s="14" t="n">
        <v>768.9</v>
      </c>
      <c r="F10750" s="14" t="n">
        <v>2337.62</v>
      </c>
      <c r="G10750" s="6" t="s">
        <v>2613</v>
      </c>
    </row>
    <row r="10751" customFormat="false" ht="15" hidden="false" customHeight="true" outlineLevel="0" collapsed="false">
      <c r="A10751" s="6" t="s">
        <v>13363</v>
      </c>
      <c r="B10751" s="6" t="s">
        <v>2183</v>
      </c>
      <c r="C10751" s="6" t="s">
        <v>128</v>
      </c>
      <c r="D10751" s="13" t="n">
        <v>45953</v>
      </c>
      <c r="E10751" s="14" t="n">
        <v>677.86</v>
      </c>
      <c r="F10751" s="14" t="n">
        <v>3015.48</v>
      </c>
      <c r="G10751" s="6" t="s">
        <v>2613</v>
      </c>
    </row>
    <row r="10752" customFormat="false" ht="15" hidden="false" customHeight="true" outlineLevel="0" collapsed="false">
      <c r="A10752" s="6" t="s">
        <v>13364</v>
      </c>
      <c r="B10752" s="6" t="s">
        <v>2183</v>
      </c>
      <c r="C10752" s="6" t="s">
        <v>128</v>
      </c>
      <c r="D10752" s="13" t="n">
        <v>45960</v>
      </c>
      <c r="E10752" s="14" t="n">
        <v>816.37</v>
      </c>
      <c r="F10752" s="14" t="n">
        <v>3831.85</v>
      </c>
      <c r="G10752" s="6" t="s">
        <v>2613</v>
      </c>
    </row>
    <row r="10753" customFormat="false" ht="15" hidden="false" customHeight="true" outlineLevel="0" collapsed="false">
      <c r="A10753" s="6" t="s">
        <v>13365</v>
      </c>
      <c r="B10753" s="6" t="s">
        <v>2183</v>
      </c>
      <c r="C10753" s="6" t="s">
        <v>128</v>
      </c>
      <c r="D10753" s="13" t="n">
        <v>45967</v>
      </c>
      <c r="E10753" s="14" t="n">
        <v>872.47</v>
      </c>
      <c r="F10753" s="14" t="n">
        <v>4704.32</v>
      </c>
      <c r="G10753" s="6" t="s">
        <v>2613</v>
      </c>
    </row>
    <row r="10754" customFormat="false" ht="15" hidden="false" customHeight="true" outlineLevel="0" collapsed="false">
      <c r="A10754" s="6" t="s">
        <v>13366</v>
      </c>
      <c r="B10754" s="6" t="s">
        <v>2185</v>
      </c>
      <c r="C10754" s="6" t="s">
        <v>131</v>
      </c>
      <c r="D10754" s="13" t="n">
        <v>45293</v>
      </c>
      <c r="E10754" s="14" t="n">
        <v>8262.3</v>
      </c>
      <c r="F10754" s="14" t="n">
        <v>8262.3</v>
      </c>
      <c r="G10754" s="6" t="s">
        <v>2613</v>
      </c>
    </row>
    <row r="10755" customFormat="false" ht="15" hidden="false" customHeight="true" outlineLevel="0" collapsed="false">
      <c r="A10755" s="6" t="s">
        <v>13367</v>
      </c>
      <c r="B10755" s="6" t="s">
        <v>2185</v>
      </c>
      <c r="C10755" s="6" t="s">
        <v>131</v>
      </c>
      <c r="D10755" s="13" t="n">
        <v>45300</v>
      </c>
      <c r="E10755" s="14" t="n">
        <v>7437.38</v>
      </c>
      <c r="F10755" s="14" t="n">
        <v>15699.68</v>
      </c>
      <c r="G10755" s="6" t="s">
        <v>2613</v>
      </c>
    </row>
    <row r="10756" customFormat="false" ht="15" hidden="false" customHeight="true" outlineLevel="0" collapsed="false">
      <c r="A10756" s="6" t="s">
        <v>13368</v>
      </c>
      <c r="B10756" s="6" t="s">
        <v>2185</v>
      </c>
      <c r="C10756" s="6" t="s">
        <v>131</v>
      </c>
      <c r="D10756" s="13" t="n">
        <v>45307</v>
      </c>
      <c r="E10756" s="14" t="n">
        <v>8850.32</v>
      </c>
      <c r="F10756" s="14" t="n">
        <v>24550</v>
      </c>
      <c r="G10756" s="6" t="s">
        <v>2613</v>
      </c>
    </row>
    <row r="10757" customFormat="false" ht="15" hidden="false" customHeight="true" outlineLevel="0" collapsed="false">
      <c r="A10757" s="6" t="s">
        <v>13369</v>
      </c>
      <c r="B10757" s="6" t="s">
        <v>2185</v>
      </c>
      <c r="C10757" s="6" t="s">
        <v>131</v>
      </c>
      <c r="D10757" s="13" t="n">
        <v>45314</v>
      </c>
      <c r="E10757" s="14" t="n">
        <v>8718.49</v>
      </c>
      <c r="F10757" s="14" t="n">
        <v>33268.49</v>
      </c>
      <c r="G10757" s="6" t="s">
        <v>2613</v>
      </c>
    </row>
    <row r="10758" customFormat="false" ht="15" hidden="false" customHeight="true" outlineLevel="0" collapsed="false">
      <c r="A10758" s="6" t="s">
        <v>13370</v>
      </c>
      <c r="B10758" s="6" t="s">
        <v>2185</v>
      </c>
      <c r="C10758" s="6" t="s">
        <v>131</v>
      </c>
      <c r="D10758" s="13" t="n">
        <v>45321</v>
      </c>
      <c r="E10758" s="14" t="n">
        <v>6300.18</v>
      </c>
      <c r="F10758" s="14" t="n">
        <v>39568.67</v>
      </c>
      <c r="G10758" s="6" t="s">
        <v>2613</v>
      </c>
    </row>
    <row r="10759" customFormat="false" ht="15" hidden="false" customHeight="true" outlineLevel="0" collapsed="false">
      <c r="A10759" s="6" t="s">
        <v>13371</v>
      </c>
      <c r="B10759" s="6" t="s">
        <v>2185</v>
      </c>
      <c r="C10759" s="6" t="s">
        <v>131</v>
      </c>
      <c r="D10759" s="13" t="n">
        <v>45328</v>
      </c>
      <c r="E10759" s="14" t="n">
        <v>7243.75</v>
      </c>
      <c r="F10759" s="14" t="n">
        <v>46812.42</v>
      </c>
      <c r="G10759" s="6" t="s">
        <v>2613</v>
      </c>
    </row>
    <row r="10760" customFormat="false" ht="15" hidden="false" customHeight="true" outlineLevel="0" collapsed="false">
      <c r="A10760" s="6" t="s">
        <v>13372</v>
      </c>
      <c r="B10760" s="6" t="s">
        <v>2185</v>
      </c>
      <c r="C10760" s="6" t="s">
        <v>131</v>
      </c>
      <c r="D10760" s="13" t="n">
        <v>45335</v>
      </c>
      <c r="E10760" s="14" t="n">
        <v>4094.16</v>
      </c>
      <c r="F10760" s="14" t="n">
        <v>50906.58</v>
      </c>
      <c r="G10760" s="6" t="s">
        <v>2613</v>
      </c>
    </row>
    <row r="10761" customFormat="false" ht="15" hidden="false" customHeight="true" outlineLevel="0" collapsed="false">
      <c r="A10761" s="6" t="s">
        <v>13373</v>
      </c>
      <c r="B10761" s="6" t="s">
        <v>2187</v>
      </c>
      <c r="C10761" s="6" t="s">
        <v>112</v>
      </c>
      <c r="D10761" s="13" t="n">
        <v>45239</v>
      </c>
      <c r="E10761" s="14" t="n">
        <v>5452.28</v>
      </c>
      <c r="F10761" s="14" t="n">
        <v>5452.28</v>
      </c>
      <c r="G10761" s="6" t="s">
        <v>2613</v>
      </c>
    </row>
    <row r="10762" customFormat="false" ht="15" hidden="false" customHeight="true" outlineLevel="0" collapsed="false">
      <c r="A10762" s="6" t="s">
        <v>13374</v>
      </c>
      <c r="B10762" s="6" t="s">
        <v>2187</v>
      </c>
      <c r="C10762" s="6" t="s">
        <v>112</v>
      </c>
      <c r="D10762" s="13" t="n">
        <v>45246</v>
      </c>
      <c r="E10762" s="14" t="n">
        <v>5393.66</v>
      </c>
      <c r="F10762" s="14" t="n">
        <v>10845.94</v>
      </c>
      <c r="G10762" s="6" t="s">
        <v>2613</v>
      </c>
    </row>
    <row r="10763" customFormat="false" ht="15" hidden="false" customHeight="true" outlineLevel="0" collapsed="false">
      <c r="A10763" s="6" t="s">
        <v>13375</v>
      </c>
      <c r="B10763" s="6" t="s">
        <v>2187</v>
      </c>
      <c r="C10763" s="6" t="s">
        <v>112</v>
      </c>
      <c r="D10763" s="13" t="n">
        <v>45253</v>
      </c>
      <c r="E10763" s="14" t="n">
        <v>5167.17</v>
      </c>
      <c r="F10763" s="14" t="n">
        <v>16013.11</v>
      </c>
      <c r="G10763" s="6" t="s">
        <v>2613</v>
      </c>
    </row>
    <row r="10764" customFormat="false" ht="15" hidden="false" customHeight="true" outlineLevel="0" collapsed="false">
      <c r="A10764" s="6" t="s">
        <v>13376</v>
      </c>
      <c r="B10764" s="6" t="s">
        <v>2187</v>
      </c>
      <c r="C10764" s="6" t="s">
        <v>112</v>
      </c>
      <c r="D10764" s="13" t="n">
        <v>45260</v>
      </c>
      <c r="E10764" s="14" t="n">
        <v>3780.48</v>
      </c>
      <c r="F10764" s="14" t="n">
        <v>19793.59</v>
      </c>
      <c r="G10764" s="6" t="s">
        <v>2613</v>
      </c>
    </row>
    <row r="10765" customFormat="false" ht="15" hidden="false" customHeight="true" outlineLevel="0" collapsed="false">
      <c r="A10765" s="6" t="s">
        <v>13377</v>
      </c>
      <c r="B10765" s="6" t="s">
        <v>2187</v>
      </c>
      <c r="C10765" s="6" t="s">
        <v>112</v>
      </c>
      <c r="D10765" s="13" t="n">
        <v>45267</v>
      </c>
      <c r="E10765" s="14" t="n">
        <v>5655.96</v>
      </c>
      <c r="F10765" s="14" t="n">
        <v>25449.55</v>
      </c>
      <c r="G10765" s="6" t="s">
        <v>2613</v>
      </c>
    </row>
    <row r="10766" customFormat="false" ht="15" hidden="false" customHeight="true" outlineLevel="0" collapsed="false">
      <c r="A10766" s="6" t="s">
        <v>13378</v>
      </c>
      <c r="B10766" s="6" t="s">
        <v>2187</v>
      </c>
      <c r="C10766" s="6" t="s">
        <v>112</v>
      </c>
      <c r="D10766" s="13" t="n">
        <v>45274</v>
      </c>
      <c r="E10766" s="14" t="n">
        <v>4494.35</v>
      </c>
      <c r="F10766" s="14" t="n">
        <v>29943.9</v>
      </c>
      <c r="G10766" s="6" t="s">
        <v>2613</v>
      </c>
    </row>
    <row r="10767" customFormat="false" ht="15" hidden="false" customHeight="true" outlineLevel="0" collapsed="false">
      <c r="A10767" s="6" t="s">
        <v>13379</v>
      </c>
      <c r="B10767" s="6" t="s">
        <v>2187</v>
      </c>
      <c r="C10767" s="6" t="s">
        <v>112</v>
      </c>
      <c r="D10767" s="13" t="n">
        <v>45281</v>
      </c>
      <c r="E10767" s="14" t="n">
        <v>2976.29</v>
      </c>
      <c r="F10767" s="14" t="n">
        <v>32920.19</v>
      </c>
      <c r="G10767" s="6" t="s">
        <v>2613</v>
      </c>
    </row>
    <row r="10768" customFormat="false" ht="15" hidden="false" customHeight="true" outlineLevel="0" collapsed="false">
      <c r="A10768" s="6" t="s">
        <v>13380</v>
      </c>
      <c r="B10768" s="6" t="s">
        <v>2187</v>
      </c>
      <c r="C10768" s="6" t="s">
        <v>112</v>
      </c>
      <c r="D10768" s="13" t="n">
        <v>45288</v>
      </c>
      <c r="E10768" s="14" t="n">
        <v>3316.2</v>
      </c>
      <c r="F10768" s="14" t="n">
        <v>36236.39</v>
      </c>
      <c r="G10768" s="6" t="s">
        <v>2613</v>
      </c>
    </row>
    <row r="10769" customFormat="false" ht="15" hidden="false" customHeight="true" outlineLevel="0" collapsed="false">
      <c r="A10769" s="6" t="s">
        <v>13381</v>
      </c>
      <c r="B10769" s="6" t="s">
        <v>2187</v>
      </c>
      <c r="C10769" s="6" t="s">
        <v>112</v>
      </c>
      <c r="D10769" s="13" t="n">
        <v>45295</v>
      </c>
      <c r="E10769" s="14" t="n">
        <v>3706.67</v>
      </c>
      <c r="F10769" s="14" t="n">
        <v>39943.06</v>
      </c>
      <c r="G10769" s="6" t="s">
        <v>2613</v>
      </c>
    </row>
    <row r="10770" customFormat="false" ht="15" hidden="false" customHeight="true" outlineLevel="0" collapsed="false">
      <c r="A10770" s="6" t="s">
        <v>13382</v>
      </c>
      <c r="B10770" s="6" t="s">
        <v>2189</v>
      </c>
      <c r="C10770" s="6" t="s">
        <v>131</v>
      </c>
      <c r="D10770" s="13" t="n">
        <v>45128</v>
      </c>
      <c r="E10770" s="14" t="n">
        <v>1605.31</v>
      </c>
      <c r="F10770" s="14" t="n">
        <v>1605.31</v>
      </c>
      <c r="G10770" s="6" t="s">
        <v>2613</v>
      </c>
    </row>
    <row r="10771" customFormat="false" ht="15" hidden="false" customHeight="true" outlineLevel="0" collapsed="false">
      <c r="A10771" s="6" t="s">
        <v>13383</v>
      </c>
      <c r="B10771" s="6" t="s">
        <v>2189</v>
      </c>
      <c r="C10771" s="6" t="s">
        <v>131</v>
      </c>
      <c r="D10771" s="13" t="n">
        <v>45135</v>
      </c>
      <c r="E10771" s="14" t="n">
        <v>1272.23</v>
      </c>
      <c r="F10771" s="14" t="n">
        <v>2877.54</v>
      </c>
      <c r="G10771" s="6" t="s">
        <v>2613</v>
      </c>
    </row>
    <row r="10772" customFormat="false" ht="15" hidden="false" customHeight="true" outlineLevel="0" collapsed="false">
      <c r="A10772" s="6" t="s">
        <v>13384</v>
      </c>
      <c r="B10772" s="6" t="s">
        <v>2189</v>
      </c>
      <c r="C10772" s="6" t="s">
        <v>131</v>
      </c>
      <c r="D10772" s="13" t="n">
        <v>45142</v>
      </c>
      <c r="E10772" s="14" t="n">
        <v>1083.56</v>
      </c>
      <c r="F10772" s="14" t="n">
        <v>3961.1</v>
      </c>
      <c r="G10772" s="6" t="s">
        <v>2623</v>
      </c>
    </row>
    <row r="10773" customFormat="false" ht="15" hidden="false" customHeight="true" outlineLevel="0" collapsed="false">
      <c r="A10773" s="6" t="s">
        <v>13385</v>
      </c>
      <c r="B10773" s="6" t="s">
        <v>2189</v>
      </c>
      <c r="C10773" s="6" t="s">
        <v>131</v>
      </c>
      <c r="D10773" s="13" t="n">
        <v>45149</v>
      </c>
      <c r="E10773" s="14" t="n">
        <v>2095.8</v>
      </c>
      <c r="F10773" s="14" t="n">
        <v>6056.9</v>
      </c>
      <c r="G10773" s="6" t="s">
        <v>2613</v>
      </c>
    </row>
    <row r="10774" customFormat="false" ht="15" hidden="false" customHeight="true" outlineLevel="0" collapsed="false">
      <c r="A10774" s="6" t="s">
        <v>13386</v>
      </c>
      <c r="B10774" s="6" t="s">
        <v>2189</v>
      </c>
      <c r="C10774" s="6" t="s">
        <v>131</v>
      </c>
      <c r="D10774" s="13" t="n">
        <v>45156</v>
      </c>
      <c r="E10774" s="14" t="n">
        <v>1823.99</v>
      </c>
      <c r="F10774" s="14" t="n">
        <v>7880.89</v>
      </c>
      <c r="G10774" s="6" t="s">
        <v>2613</v>
      </c>
    </row>
    <row r="10775" customFormat="false" ht="15" hidden="false" customHeight="true" outlineLevel="0" collapsed="false">
      <c r="A10775" s="6" t="s">
        <v>13387</v>
      </c>
      <c r="B10775" s="6" t="s">
        <v>2189</v>
      </c>
      <c r="C10775" s="6" t="s">
        <v>131</v>
      </c>
      <c r="D10775" s="13" t="n">
        <v>45163</v>
      </c>
      <c r="E10775" s="14" t="n">
        <v>1042.6</v>
      </c>
      <c r="F10775" s="14" t="n">
        <v>8923.49</v>
      </c>
      <c r="G10775" s="6" t="s">
        <v>2613</v>
      </c>
    </row>
    <row r="10776" customFormat="false" ht="15" hidden="false" customHeight="true" outlineLevel="0" collapsed="false">
      <c r="A10776" s="6" t="s">
        <v>13388</v>
      </c>
      <c r="B10776" s="6" t="s">
        <v>2189</v>
      </c>
      <c r="C10776" s="6" t="s">
        <v>131</v>
      </c>
      <c r="D10776" s="13" t="n">
        <v>45170</v>
      </c>
      <c r="E10776" s="14" t="n">
        <v>1512.85</v>
      </c>
      <c r="F10776" s="14" t="n">
        <v>10436.34</v>
      </c>
      <c r="G10776" s="6" t="s">
        <v>2613</v>
      </c>
    </row>
    <row r="10777" customFormat="false" ht="15" hidden="false" customHeight="true" outlineLevel="0" collapsed="false">
      <c r="A10777" s="6" t="s">
        <v>13389</v>
      </c>
      <c r="B10777" s="6" t="s">
        <v>2189</v>
      </c>
      <c r="C10777" s="6" t="s">
        <v>131</v>
      </c>
      <c r="D10777" s="13" t="n">
        <v>45177</v>
      </c>
      <c r="E10777" s="14" t="n">
        <v>1444.39</v>
      </c>
      <c r="F10777" s="14" t="n">
        <v>11880.73</v>
      </c>
      <c r="G10777" s="6" t="s">
        <v>2613</v>
      </c>
    </row>
    <row r="10778" customFormat="false" ht="15" hidden="false" customHeight="true" outlineLevel="0" collapsed="false">
      <c r="A10778" s="6" t="s">
        <v>13390</v>
      </c>
      <c r="B10778" s="6" t="s">
        <v>2189</v>
      </c>
      <c r="C10778" s="6" t="s">
        <v>131</v>
      </c>
      <c r="D10778" s="13" t="n">
        <v>45184</v>
      </c>
      <c r="E10778" s="14" t="n">
        <v>3428.75</v>
      </c>
      <c r="F10778" s="14" t="n">
        <v>15309.48</v>
      </c>
      <c r="G10778" s="6" t="s">
        <v>2613</v>
      </c>
    </row>
    <row r="10779" customFormat="false" ht="15" hidden="false" customHeight="true" outlineLevel="0" collapsed="false">
      <c r="A10779" s="6" t="s">
        <v>13391</v>
      </c>
      <c r="B10779" s="6" t="s">
        <v>2191</v>
      </c>
      <c r="C10779" s="6" t="s">
        <v>116</v>
      </c>
      <c r="D10779" s="13" t="n">
        <v>45454</v>
      </c>
      <c r="E10779" s="14" t="n">
        <v>2966.74</v>
      </c>
      <c r="F10779" s="14" t="n">
        <v>2966.74</v>
      </c>
      <c r="G10779" s="6" t="s">
        <v>2613</v>
      </c>
    </row>
    <row r="10780" customFormat="false" ht="15" hidden="false" customHeight="true" outlineLevel="0" collapsed="false">
      <c r="A10780" s="6" t="s">
        <v>13392</v>
      </c>
      <c r="B10780" s="6" t="s">
        <v>2191</v>
      </c>
      <c r="C10780" s="6" t="s">
        <v>116</v>
      </c>
      <c r="D10780" s="13" t="n">
        <v>45461</v>
      </c>
      <c r="E10780" s="14" t="n">
        <v>1529.85</v>
      </c>
      <c r="F10780" s="14" t="n">
        <v>4496.59</v>
      </c>
      <c r="G10780" s="6" t="s">
        <v>2613</v>
      </c>
    </row>
    <row r="10781" customFormat="false" ht="15" hidden="false" customHeight="true" outlineLevel="0" collapsed="false">
      <c r="A10781" s="6" t="s">
        <v>13393</v>
      </c>
      <c r="B10781" s="6" t="s">
        <v>2191</v>
      </c>
      <c r="C10781" s="6" t="s">
        <v>116</v>
      </c>
      <c r="D10781" s="13" t="n">
        <v>45468</v>
      </c>
      <c r="E10781" s="14" t="n">
        <v>2450.42</v>
      </c>
      <c r="F10781" s="14" t="n">
        <v>6947.01</v>
      </c>
      <c r="G10781" s="6" t="s">
        <v>2613</v>
      </c>
    </row>
    <row r="10782" customFormat="false" ht="15" hidden="false" customHeight="true" outlineLevel="0" collapsed="false">
      <c r="A10782" s="6" t="s">
        <v>13394</v>
      </c>
      <c r="B10782" s="6" t="s">
        <v>2191</v>
      </c>
      <c r="C10782" s="6" t="s">
        <v>116</v>
      </c>
      <c r="D10782" s="13" t="n">
        <v>45475</v>
      </c>
      <c r="E10782" s="14" t="n">
        <v>3325.66</v>
      </c>
      <c r="F10782" s="14" t="n">
        <v>10272.67</v>
      </c>
      <c r="G10782" s="6" t="s">
        <v>2613</v>
      </c>
    </row>
    <row r="10783" customFormat="false" ht="15" hidden="false" customHeight="true" outlineLevel="0" collapsed="false">
      <c r="A10783" s="6" t="s">
        <v>13395</v>
      </c>
      <c r="B10783" s="6" t="s">
        <v>2191</v>
      </c>
      <c r="C10783" s="6" t="s">
        <v>116</v>
      </c>
      <c r="D10783" s="13" t="n">
        <v>45482</v>
      </c>
      <c r="E10783" s="14" t="n">
        <v>2374.98</v>
      </c>
      <c r="F10783" s="14" t="n">
        <v>12647.65</v>
      </c>
      <c r="G10783" s="6" t="s">
        <v>2613</v>
      </c>
    </row>
    <row r="10784" customFormat="false" ht="15" hidden="false" customHeight="true" outlineLevel="0" collapsed="false">
      <c r="A10784" s="6" t="s">
        <v>13396</v>
      </c>
      <c r="B10784" s="6" t="s">
        <v>2191</v>
      </c>
      <c r="C10784" s="6" t="s">
        <v>116</v>
      </c>
      <c r="D10784" s="13" t="n">
        <v>45489</v>
      </c>
      <c r="E10784" s="14" t="n">
        <v>2612.46</v>
      </c>
      <c r="F10784" s="14" t="n">
        <v>15260.11</v>
      </c>
      <c r="G10784" s="6" t="s">
        <v>2623</v>
      </c>
    </row>
    <row r="10785" customFormat="false" ht="15" hidden="false" customHeight="true" outlineLevel="0" collapsed="false">
      <c r="A10785" s="6" t="s">
        <v>13397</v>
      </c>
      <c r="B10785" s="6" t="s">
        <v>2191</v>
      </c>
      <c r="C10785" s="6" t="s">
        <v>116</v>
      </c>
      <c r="D10785" s="13" t="n">
        <v>45496</v>
      </c>
      <c r="E10785" s="14" t="n">
        <v>3284.34</v>
      </c>
      <c r="F10785" s="14" t="n">
        <v>18544.45</v>
      </c>
      <c r="G10785" s="6" t="s">
        <v>2613</v>
      </c>
    </row>
    <row r="10786" customFormat="false" ht="15" hidden="false" customHeight="true" outlineLevel="0" collapsed="false">
      <c r="A10786" s="6" t="s">
        <v>13398</v>
      </c>
      <c r="B10786" s="6" t="s">
        <v>2191</v>
      </c>
      <c r="C10786" s="6" t="s">
        <v>116</v>
      </c>
      <c r="D10786" s="13" t="n">
        <v>45503</v>
      </c>
      <c r="E10786" s="14" t="n">
        <v>2017.21</v>
      </c>
      <c r="F10786" s="14" t="n">
        <v>20561.66</v>
      </c>
      <c r="G10786" s="6" t="s">
        <v>2613</v>
      </c>
    </row>
    <row r="10787" customFormat="false" ht="15" hidden="false" customHeight="true" outlineLevel="0" collapsed="false">
      <c r="A10787" s="6" t="s">
        <v>13399</v>
      </c>
      <c r="B10787" s="6" t="s">
        <v>2191</v>
      </c>
      <c r="C10787" s="6" t="s">
        <v>116</v>
      </c>
      <c r="D10787" s="13" t="n">
        <v>45510</v>
      </c>
      <c r="E10787" s="14" t="n">
        <v>3291.09</v>
      </c>
      <c r="F10787" s="14" t="n">
        <v>23852.75</v>
      </c>
      <c r="G10787" s="6" t="s">
        <v>2613</v>
      </c>
    </row>
    <row r="10788" customFormat="false" ht="15" hidden="false" customHeight="true" outlineLevel="0" collapsed="false">
      <c r="A10788" s="6" t="s">
        <v>13400</v>
      </c>
      <c r="B10788" s="6" t="s">
        <v>2191</v>
      </c>
      <c r="C10788" s="6" t="s">
        <v>116</v>
      </c>
      <c r="D10788" s="13" t="n">
        <v>45517</v>
      </c>
      <c r="E10788" s="14" t="n">
        <v>2013.23</v>
      </c>
      <c r="F10788" s="14" t="n">
        <v>25865.98</v>
      </c>
      <c r="G10788" s="6" t="s">
        <v>2613</v>
      </c>
    </row>
    <row r="10789" customFormat="false" ht="15" hidden="false" customHeight="true" outlineLevel="0" collapsed="false">
      <c r="A10789" s="6" t="s">
        <v>13401</v>
      </c>
      <c r="B10789" s="6" t="s">
        <v>2191</v>
      </c>
      <c r="C10789" s="6" t="s">
        <v>116</v>
      </c>
      <c r="D10789" s="13" t="n">
        <v>45524</v>
      </c>
      <c r="E10789" s="14" t="n">
        <v>2246.81</v>
      </c>
      <c r="F10789" s="14" t="n">
        <v>28112.79</v>
      </c>
      <c r="G10789" s="6" t="s">
        <v>2613</v>
      </c>
    </row>
    <row r="10790" customFormat="false" ht="15" hidden="false" customHeight="true" outlineLevel="0" collapsed="false">
      <c r="A10790" s="6" t="s">
        <v>13402</v>
      </c>
      <c r="B10790" s="6" t="s">
        <v>2191</v>
      </c>
      <c r="C10790" s="6" t="s">
        <v>116</v>
      </c>
      <c r="D10790" s="13" t="n">
        <v>45531</v>
      </c>
      <c r="E10790" s="14" t="n">
        <v>1435.6</v>
      </c>
      <c r="F10790" s="14" t="n">
        <v>29548.39</v>
      </c>
      <c r="G10790" s="6" t="s">
        <v>2613</v>
      </c>
    </row>
    <row r="10791" customFormat="false" ht="15" hidden="false" customHeight="true" outlineLevel="0" collapsed="false">
      <c r="A10791" s="6" t="s">
        <v>13403</v>
      </c>
      <c r="B10791" s="6" t="s">
        <v>2191</v>
      </c>
      <c r="C10791" s="6" t="s">
        <v>116</v>
      </c>
      <c r="D10791" s="13" t="n">
        <v>45538</v>
      </c>
      <c r="E10791" s="14" t="n">
        <v>2631.64</v>
      </c>
      <c r="F10791" s="14" t="n">
        <v>32180.03</v>
      </c>
      <c r="G10791" s="6" t="s">
        <v>2613</v>
      </c>
    </row>
    <row r="10792" customFormat="false" ht="15" hidden="false" customHeight="true" outlineLevel="0" collapsed="false">
      <c r="A10792" s="6" t="s">
        <v>13404</v>
      </c>
      <c r="B10792" s="6" t="s">
        <v>2191</v>
      </c>
      <c r="C10792" s="6" t="s">
        <v>116</v>
      </c>
      <c r="D10792" s="13" t="n">
        <v>45545</v>
      </c>
      <c r="E10792" s="14" t="n">
        <v>2203.15</v>
      </c>
      <c r="F10792" s="14" t="n">
        <v>34383.18</v>
      </c>
      <c r="G10792" s="6" t="s">
        <v>2613</v>
      </c>
    </row>
    <row r="10793" customFormat="false" ht="15" hidden="false" customHeight="true" outlineLevel="0" collapsed="false">
      <c r="A10793" s="6" t="s">
        <v>13405</v>
      </c>
      <c r="B10793" s="6" t="s">
        <v>2191</v>
      </c>
      <c r="C10793" s="6" t="s">
        <v>116</v>
      </c>
      <c r="D10793" s="13" t="n">
        <v>45552</v>
      </c>
      <c r="E10793" s="14" t="n">
        <v>2723.86</v>
      </c>
      <c r="F10793" s="14" t="n">
        <v>37107.04</v>
      </c>
      <c r="G10793" s="6" t="s">
        <v>2613</v>
      </c>
    </row>
    <row r="10794" customFormat="false" ht="15" hidden="false" customHeight="true" outlineLevel="0" collapsed="false">
      <c r="A10794" s="6" t="s">
        <v>13406</v>
      </c>
      <c r="B10794" s="6" t="s">
        <v>2191</v>
      </c>
      <c r="C10794" s="6" t="s">
        <v>116</v>
      </c>
      <c r="D10794" s="13" t="n">
        <v>45559</v>
      </c>
      <c r="E10794" s="14" t="n">
        <v>2812.29</v>
      </c>
      <c r="F10794" s="14" t="n">
        <v>39919.33</v>
      </c>
      <c r="G10794" s="6" t="s">
        <v>2613</v>
      </c>
    </row>
    <row r="10795" customFormat="false" ht="15" hidden="false" customHeight="true" outlineLevel="0" collapsed="false">
      <c r="A10795" s="6" t="s">
        <v>13407</v>
      </c>
      <c r="B10795" s="6" t="s">
        <v>2191</v>
      </c>
      <c r="C10795" s="6" t="s">
        <v>116</v>
      </c>
      <c r="D10795" s="13" t="n">
        <v>45566</v>
      </c>
      <c r="E10795" s="14" t="n">
        <v>2064.16</v>
      </c>
      <c r="F10795" s="14" t="n">
        <v>41983.49</v>
      </c>
      <c r="G10795" s="6" t="s">
        <v>2613</v>
      </c>
    </row>
    <row r="10796" customFormat="false" ht="15" hidden="false" customHeight="true" outlineLevel="0" collapsed="false">
      <c r="A10796" s="6" t="s">
        <v>13408</v>
      </c>
      <c r="B10796" s="6" t="s">
        <v>2191</v>
      </c>
      <c r="C10796" s="6" t="s">
        <v>116</v>
      </c>
      <c r="D10796" s="13" t="n">
        <v>45573</v>
      </c>
      <c r="E10796" s="14" t="n">
        <v>2923.27</v>
      </c>
      <c r="F10796" s="14" t="n">
        <v>44906.76</v>
      </c>
      <c r="G10796" s="6" t="s">
        <v>2613</v>
      </c>
    </row>
    <row r="10797" customFormat="false" ht="15" hidden="false" customHeight="true" outlineLevel="0" collapsed="false">
      <c r="A10797" s="6" t="s">
        <v>13409</v>
      </c>
      <c r="B10797" s="6" t="s">
        <v>2191</v>
      </c>
      <c r="C10797" s="6" t="s">
        <v>116</v>
      </c>
      <c r="D10797" s="13" t="n">
        <v>45580</v>
      </c>
      <c r="E10797" s="14" t="n">
        <v>2511.98</v>
      </c>
      <c r="F10797" s="14" t="n">
        <v>47418.74</v>
      </c>
      <c r="G10797" s="6" t="s">
        <v>2613</v>
      </c>
    </row>
    <row r="10798" customFormat="false" ht="15" hidden="false" customHeight="true" outlineLevel="0" collapsed="false">
      <c r="A10798" s="6" t="s">
        <v>13410</v>
      </c>
      <c r="B10798" s="6" t="s">
        <v>2191</v>
      </c>
      <c r="C10798" s="6" t="s">
        <v>116</v>
      </c>
      <c r="D10798" s="13" t="n">
        <v>45587</v>
      </c>
      <c r="E10798" s="14" t="n">
        <v>2143.3</v>
      </c>
      <c r="F10798" s="14" t="n">
        <v>49562.04</v>
      </c>
      <c r="G10798" s="6" t="s">
        <v>2613</v>
      </c>
    </row>
    <row r="10799" customFormat="false" ht="15" hidden="false" customHeight="true" outlineLevel="0" collapsed="false">
      <c r="A10799" s="6" t="s">
        <v>13411</v>
      </c>
      <c r="B10799" s="6" t="s">
        <v>2191</v>
      </c>
      <c r="C10799" s="6" t="s">
        <v>116</v>
      </c>
      <c r="D10799" s="13" t="n">
        <v>45594</v>
      </c>
      <c r="E10799" s="14" t="n">
        <v>3043.36</v>
      </c>
      <c r="F10799" s="14" t="n">
        <v>52605.4</v>
      </c>
      <c r="G10799" s="6" t="s">
        <v>2613</v>
      </c>
    </row>
    <row r="10800" customFormat="false" ht="15" hidden="false" customHeight="true" outlineLevel="0" collapsed="false">
      <c r="A10800" s="6" t="s">
        <v>13412</v>
      </c>
      <c r="B10800" s="6" t="s">
        <v>2191</v>
      </c>
      <c r="C10800" s="6" t="s">
        <v>116</v>
      </c>
      <c r="D10800" s="13" t="n">
        <v>45601</v>
      </c>
      <c r="E10800" s="14" t="n">
        <v>3162.84</v>
      </c>
      <c r="F10800" s="14" t="n">
        <v>55768.24</v>
      </c>
      <c r="G10800" s="6" t="s">
        <v>2613</v>
      </c>
    </row>
    <row r="10801" customFormat="false" ht="15" hidden="false" customHeight="true" outlineLevel="0" collapsed="false">
      <c r="A10801" s="6" t="s">
        <v>13413</v>
      </c>
      <c r="B10801" s="6" t="s">
        <v>2191</v>
      </c>
      <c r="C10801" s="6" t="s">
        <v>116</v>
      </c>
      <c r="D10801" s="13" t="n">
        <v>45608</v>
      </c>
      <c r="E10801" s="14" t="n">
        <v>2278.18</v>
      </c>
      <c r="F10801" s="14" t="n">
        <v>58046.42</v>
      </c>
      <c r="G10801" s="6" t="s">
        <v>2613</v>
      </c>
    </row>
    <row r="10802" customFormat="false" ht="15" hidden="false" customHeight="true" outlineLevel="0" collapsed="false">
      <c r="A10802" s="6" t="s">
        <v>13414</v>
      </c>
      <c r="B10802" s="6" t="s">
        <v>2191</v>
      </c>
      <c r="C10802" s="6" t="s">
        <v>116</v>
      </c>
      <c r="D10802" s="13" t="n">
        <v>45615</v>
      </c>
      <c r="E10802" s="14" t="n">
        <v>2354.09</v>
      </c>
      <c r="F10802" s="14" t="n">
        <v>60400.51</v>
      </c>
      <c r="G10802" s="6" t="s">
        <v>2613</v>
      </c>
    </row>
    <row r="10803" customFormat="false" ht="15" hidden="false" customHeight="true" outlineLevel="0" collapsed="false">
      <c r="A10803" s="6" t="s">
        <v>13415</v>
      </c>
      <c r="B10803" s="6" t="s">
        <v>2191</v>
      </c>
      <c r="C10803" s="6" t="s">
        <v>116</v>
      </c>
      <c r="D10803" s="13" t="n">
        <v>45622</v>
      </c>
      <c r="E10803" s="14" t="n">
        <v>2004.79</v>
      </c>
      <c r="F10803" s="14" t="n">
        <v>62405.3</v>
      </c>
      <c r="G10803" s="6" t="s">
        <v>2613</v>
      </c>
    </row>
    <row r="10804" customFormat="false" ht="15" hidden="false" customHeight="true" outlineLevel="0" collapsed="false">
      <c r="A10804" s="6" t="s">
        <v>13416</v>
      </c>
      <c r="B10804" s="6" t="s">
        <v>2191</v>
      </c>
      <c r="C10804" s="6" t="s">
        <v>116</v>
      </c>
      <c r="D10804" s="13" t="n">
        <v>45629</v>
      </c>
      <c r="E10804" s="14" t="n">
        <v>2211.51</v>
      </c>
      <c r="F10804" s="14" t="n">
        <v>64616.81</v>
      </c>
      <c r="G10804" s="6" t="s">
        <v>2613</v>
      </c>
    </row>
    <row r="10805" customFormat="false" ht="15" hidden="false" customHeight="true" outlineLevel="0" collapsed="false">
      <c r="A10805" s="6" t="s">
        <v>13417</v>
      </c>
      <c r="B10805" s="6" t="s">
        <v>2191</v>
      </c>
      <c r="C10805" s="6" t="s">
        <v>116</v>
      </c>
      <c r="D10805" s="13" t="n">
        <v>45636</v>
      </c>
      <c r="E10805" s="14" t="n">
        <v>1945.11</v>
      </c>
      <c r="F10805" s="14" t="n">
        <v>66561.92</v>
      </c>
      <c r="G10805" s="6" t="s">
        <v>2613</v>
      </c>
    </row>
    <row r="10806" customFormat="false" ht="15" hidden="false" customHeight="true" outlineLevel="0" collapsed="false">
      <c r="A10806" s="6" t="s">
        <v>13418</v>
      </c>
      <c r="B10806" s="6" t="s">
        <v>2193</v>
      </c>
      <c r="C10806" s="6" t="s">
        <v>124</v>
      </c>
      <c r="D10806" s="13" t="n">
        <v>45383</v>
      </c>
      <c r="E10806" s="14" t="n">
        <v>3212.7</v>
      </c>
      <c r="F10806" s="14" t="n">
        <v>3212.7</v>
      </c>
      <c r="G10806" s="6" t="s">
        <v>2613</v>
      </c>
    </row>
    <row r="10807" customFormat="false" ht="15" hidden="false" customHeight="true" outlineLevel="0" collapsed="false">
      <c r="A10807" s="6" t="s">
        <v>13419</v>
      </c>
      <c r="B10807" s="6" t="s">
        <v>2193</v>
      </c>
      <c r="C10807" s="6" t="s">
        <v>124</v>
      </c>
      <c r="D10807" s="13" t="n">
        <v>45390</v>
      </c>
      <c r="E10807" s="14" t="n">
        <v>2815.76</v>
      </c>
      <c r="F10807" s="14" t="n">
        <v>6028.46</v>
      </c>
      <c r="G10807" s="6" t="s">
        <v>2613</v>
      </c>
    </row>
    <row r="10808" customFormat="false" ht="15" hidden="false" customHeight="true" outlineLevel="0" collapsed="false">
      <c r="A10808" s="6" t="s">
        <v>13420</v>
      </c>
      <c r="B10808" s="6" t="s">
        <v>2193</v>
      </c>
      <c r="C10808" s="6" t="s">
        <v>124</v>
      </c>
      <c r="D10808" s="13" t="n">
        <v>45397</v>
      </c>
      <c r="E10808" s="14" t="n">
        <v>2469.19</v>
      </c>
      <c r="F10808" s="14" t="n">
        <v>8497.65</v>
      </c>
      <c r="G10808" s="6" t="s">
        <v>2613</v>
      </c>
    </row>
    <row r="10809" customFormat="false" ht="15" hidden="false" customHeight="true" outlineLevel="0" collapsed="false">
      <c r="A10809" s="6" t="s">
        <v>13421</v>
      </c>
      <c r="B10809" s="6" t="s">
        <v>2193</v>
      </c>
      <c r="C10809" s="6" t="s">
        <v>124</v>
      </c>
      <c r="D10809" s="13" t="n">
        <v>45404</v>
      </c>
      <c r="E10809" s="14" t="n">
        <v>3084.65</v>
      </c>
      <c r="F10809" s="14" t="n">
        <v>11582.3</v>
      </c>
      <c r="G10809" s="6" t="s">
        <v>2613</v>
      </c>
    </row>
    <row r="10810" customFormat="false" ht="15" hidden="false" customHeight="true" outlineLevel="0" collapsed="false">
      <c r="A10810" s="6" t="s">
        <v>13422</v>
      </c>
      <c r="B10810" s="6" t="s">
        <v>2193</v>
      </c>
      <c r="C10810" s="6" t="s">
        <v>124</v>
      </c>
      <c r="D10810" s="13" t="n">
        <v>45411</v>
      </c>
      <c r="E10810" s="14" t="n">
        <v>2384.1</v>
      </c>
      <c r="F10810" s="14" t="n">
        <v>13966.4</v>
      </c>
      <c r="G10810" s="6" t="s">
        <v>2613</v>
      </c>
    </row>
    <row r="10811" customFormat="false" ht="15" hidden="false" customHeight="true" outlineLevel="0" collapsed="false">
      <c r="A10811" s="6" t="s">
        <v>13423</v>
      </c>
      <c r="B10811" s="6" t="s">
        <v>2193</v>
      </c>
      <c r="C10811" s="6" t="s">
        <v>124</v>
      </c>
      <c r="D10811" s="13" t="n">
        <v>45418</v>
      </c>
      <c r="E10811" s="14" t="n">
        <v>2870.76</v>
      </c>
      <c r="F10811" s="14" t="n">
        <v>16837.16</v>
      </c>
      <c r="G10811" s="6" t="s">
        <v>2613</v>
      </c>
    </row>
    <row r="10812" customFormat="false" ht="15" hidden="false" customHeight="true" outlineLevel="0" collapsed="false">
      <c r="A10812" s="6" t="s">
        <v>13424</v>
      </c>
      <c r="B10812" s="6" t="s">
        <v>2193</v>
      </c>
      <c r="C10812" s="6" t="s">
        <v>124</v>
      </c>
      <c r="D10812" s="13" t="n">
        <v>45425</v>
      </c>
      <c r="E10812" s="14" t="n">
        <v>2202.83</v>
      </c>
      <c r="F10812" s="14" t="n">
        <v>19039.99</v>
      </c>
      <c r="G10812" s="6" t="s">
        <v>2613</v>
      </c>
    </row>
    <row r="10813" customFormat="false" ht="15" hidden="false" customHeight="true" outlineLevel="0" collapsed="false">
      <c r="A10813" s="6" t="s">
        <v>13425</v>
      </c>
      <c r="B10813" s="6" t="s">
        <v>2195</v>
      </c>
      <c r="C10813" s="6" t="s">
        <v>128</v>
      </c>
      <c r="D10813" s="13" t="n">
        <v>45844</v>
      </c>
      <c r="E10813" s="14" t="n">
        <v>9756.94</v>
      </c>
      <c r="F10813" s="14" t="n">
        <v>9756.94</v>
      </c>
      <c r="G10813" s="6" t="s">
        <v>2613</v>
      </c>
    </row>
    <row r="10814" customFormat="false" ht="15" hidden="false" customHeight="true" outlineLevel="0" collapsed="false">
      <c r="A10814" s="6" t="s">
        <v>13426</v>
      </c>
      <c r="B10814" s="6" t="s">
        <v>2195</v>
      </c>
      <c r="C10814" s="6" t="s">
        <v>128</v>
      </c>
      <c r="D10814" s="13" t="n">
        <v>45851</v>
      </c>
      <c r="E10814" s="14" t="n">
        <v>9672.77</v>
      </c>
      <c r="F10814" s="14" t="n">
        <v>19429.71</v>
      </c>
      <c r="G10814" s="6" t="s">
        <v>2623</v>
      </c>
    </row>
    <row r="10815" customFormat="false" ht="15" hidden="false" customHeight="true" outlineLevel="0" collapsed="false">
      <c r="A10815" s="6" t="s">
        <v>13427</v>
      </c>
      <c r="B10815" s="6" t="s">
        <v>2195</v>
      </c>
      <c r="C10815" s="6" t="s">
        <v>128</v>
      </c>
      <c r="D10815" s="13" t="n">
        <v>45858</v>
      </c>
      <c r="E10815" s="14" t="n">
        <v>11745.86</v>
      </c>
      <c r="F10815" s="14" t="n">
        <v>31175.57</v>
      </c>
      <c r="G10815" s="6" t="s">
        <v>2613</v>
      </c>
    </row>
    <row r="10816" customFormat="false" ht="15" hidden="false" customHeight="true" outlineLevel="0" collapsed="false">
      <c r="A10816" s="6" t="s">
        <v>13428</v>
      </c>
      <c r="B10816" s="6" t="s">
        <v>2195</v>
      </c>
      <c r="C10816" s="6" t="s">
        <v>128</v>
      </c>
      <c r="D10816" s="13" t="n">
        <v>45865</v>
      </c>
      <c r="E10816" s="14" t="n">
        <v>13261.51</v>
      </c>
      <c r="F10816" s="14" t="n">
        <v>44437.08</v>
      </c>
      <c r="G10816" s="6" t="s">
        <v>2613</v>
      </c>
    </row>
    <row r="10817" customFormat="false" ht="15" hidden="false" customHeight="true" outlineLevel="0" collapsed="false">
      <c r="A10817" s="6" t="s">
        <v>13429</v>
      </c>
      <c r="B10817" s="6" t="s">
        <v>2195</v>
      </c>
      <c r="C10817" s="6" t="s">
        <v>128</v>
      </c>
      <c r="D10817" s="13" t="n">
        <v>45872</v>
      </c>
      <c r="E10817" s="14" t="n">
        <v>8104.44</v>
      </c>
      <c r="F10817" s="14" t="n">
        <v>52541.52</v>
      </c>
      <c r="G10817" s="6" t="s">
        <v>2613</v>
      </c>
    </row>
    <row r="10818" customFormat="false" ht="15" hidden="false" customHeight="true" outlineLevel="0" collapsed="false">
      <c r="A10818" s="6" t="s">
        <v>13430</v>
      </c>
      <c r="B10818" s="6" t="s">
        <v>2195</v>
      </c>
      <c r="C10818" s="6" t="s">
        <v>128</v>
      </c>
      <c r="D10818" s="13" t="n">
        <v>45879</v>
      </c>
      <c r="E10818" s="14" t="n">
        <v>13416.76</v>
      </c>
      <c r="F10818" s="14" t="n">
        <v>65958.28</v>
      </c>
      <c r="G10818" s="6" t="s">
        <v>2613</v>
      </c>
    </row>
    <row r="10819" customFormat="false" ht="15" hidden="false" customHeight="true" outlineLevel="0" collapsed="false">
      <c r="A10819" s="6" t="s">
        <v>13431</v>
      </c>
      <c r="B10819" s="6" t="s">
        <v>2195</v>
      </c>
      <c r="C10819" s="6" t="s">
        <v>128</v>
      </c>
      <c r="D10819" s="13" t="n">
        <v>45886</v>
      </c>
      <c r="E10819" s="14" t="n">
        <v>10728.39</v>
      </c>
      <c r="F10819" s="14" t="n">
        <v>76686.67</v>
      </c>
      <c r="G10819" s="6" t="s">
        <v>2613</v>
      </c>
    </row>
    <row r="10820" customFormat="false" ht="15" hidden="false" customHeight="true" outlineLevel="0" collapsed="false">
      <c r="A10820" s="6" t="s">
        <v>13432</v>
      </c>
      <c r="B10820" s="6" t="s">
        <v>2195</v>
      </c>
      <c r="C10820" s="6" t="s">
        <v>128</v>
      </c>
      <c r="D10820" s="13" t="n">
        <v>45893</v>
      </c>
      <c r="E10820" s="14" t="n">
        <v>11017.19</v>
      </c>
      <c r="F10820" s="14" t="n">
        <v>87703.86</v>
      </c>
      <c r="G10820" s="6" t="s">
        <v>2613</v>
      </c>
    </row>
    <row r="10821" customFormat="false" ht="15" hidden="false" customHeight="true" outlineLevel="0" collapsed="false">
      <c r="A10821" s="6" t="s">
        <v>13433</v>
      </c>
      <c r="B10821" s="6" t="s">
        <v>2195</v>
      </c>
      <c r="C10821" s="6" t="s">
        <v>128</v>
      </c>
      <c r="D10821" s="13" t="n">
        <v>45900</v>
      </c>
      <c r="E10821" s="14" t="n">
        <v>10102.32</v>
      </c>
      <c r="F10821" s="14" t="n">
        <v>97806.18</v>
      </c>
      <c r="G10821" s="6" t="s">
        <v>2613</v>
      </c>
    </row>
    <row r="10822" customFormat="false" ht="15" hidden="false" customHeight="true" outlineLevel="0" collapsed="false">
      <c r="A10822" s="6" t="s">
        <v>13434</v>
      </c>
      <c r="B10822" s="6" t="s">
        <v>2195</v>
      </c>
      <c r="C10822" s="6" t="s">
        <v>128</v>
      </c>
      <c r="D10822" s="13" t="n">
        <v>45907</v>
      </c>
      <c r="E10822" s="14" t="n">
        <v>12883.63</v>
      </c>
      <c r="F10822" s="14" t="n">
        <v>110689.81</v>
      </c>
      <c r="G10822" s="6" t="s">
        <v>2613</v>
      </c>
    </row>
    <row r="10823" customFormat="false" ht="15" hidden="false" customHeight="true" outlineLevel="0" collapsed="false">
      <c r="A10823" s="6" t="s">
        <v>13435</v>
      </c>
      <c r="B10823" s="6" t="s">
        <v>2195</v>
      </c>
      <c r="C10823" s="6" t="s">
        <v>128</v>
      </c>
      <c r="D10823" s="13" t="n">
        <v>45914</v>
      </c>
      <c r="E10823" s="14" t="n">
        <v>3269.53</v>
      </c>
      <c r="F10823" s="14" t="n">
        <v>113959.34</v>
      </c>
      <c r="G10823" s="6" t="s">
        <v>2613</v>
      </c>
    </row>
    <row r="10824" customFormat="false" ht="15" hidden="false" customHeight="true" outlineLevel="0" collapsed="false">
      <c r="A10824" s="6" t="s">
        <v>13436</v>
      </c>
      <c r="B10824" s="6" t="s">
        <v>2197</v>
      </c>
      <c r="C10824" s="6" t="s">
        <v>116</v>
      </c>
      <c r="D10824" s="13" t="n">
        <v>44625</v>
      </c>
      <c r="E10824" s="14" t="n">
        <v>2226.94</v>
      </c>
      <c r="F10824" s="14" t="n">
        <v>2226.94</v>
      </c>
      <c r="G10824" s="6" t="s">
        <v>2613</v>
      </c>
    </row>
    <row r="10825" customFormat="false" ht="15" hidden="false" customHeight="true" outlineLevel="0" collapsed="false">
      <c r="A10825" s="6" t="s">
        <v>13437</v>
      </c>
      <c r="B10825" s="6" t="s">
        <v>2197</v>
      </c>
      <c r="C10825" s="6" t="s">
        <v>116</v>
      </c>
      <c r="D10825" s="13" t="n">
        <v>44632</v>
      </c>
      <c r="E10825" s="14" t="n">
        <v>1390.23</v>
      </c>
      <c r="F10825" s="14" t="n">
        <v>3617.17</v>
      </c>
      <c r="G10825" s="6" t="s">
        <v>2613</v>
      </c>
    </row>
    <row r="10826" customFormat="false" ht="15" hidden="false" customHeight="true" outlineLevel="0" collapsed="false">
      <c r="A10826" s="6" t="s">
        <v>13438</v>
      </c>
      <c r="B10826" s="6" t="s">
        <v>2197</v>
      </c>
      <c r="C10826" s="6" t="s">
        <v>116</v>
      </c>
      <c r="D10826" s="13" t="n">
        <v>44639</v>
      </c>
      <c r="E10826" s="14" t="n">
        <v>1762.9</v>
      </c>
      <c r="F10826" s="14" t="n">
        <v>5380.07</v>
      </c>
      <c r="G10826" s="6" t="s">
        <v>2623</v>
      </c>
    </row>
    <row r="10827" customFormat="false" ht="15" hidden="false" customHeight="true" outlineLevel="0" collapsed="false">
      <c r="A10827" s="6" t="s">
        <v>13439</v>
      </c>
      <c r="B10827" s="6" t="s">
        <v>2197</v>
      </c>
      <c r="C10827" s="6" t="s">
        <v>116</v>
      </c>
      <c r="D10827" s="13" t="n">
        <v>44646</v>
      </c>
      <c r="E10827" s="14" t="n">
        <v>1605.28</v>
      </c>
      <c r="F10827" s="14" t="n">
        <v>6985.35</v>
      </c>
      <c r="G10827" s="6" t="s">
        <v>2623</v>
      </c>
    </row>
    <row r="10828" customFormat="false" ht="15" hidden="false" customHeight="true" outlineLevel="0" collapsed="false">
      <c r="A10828" s="6" t="s">
        <v>13440</v>
      </c>
      <c r="B10828" s="6" t="s">
        <v>2197</v>
      </c>
      <c r="C10828" s="6" t="s">
        <v>116</v>
      </c>
      <c r="D10828" s="13" t="n">
        <v>44653</v>
      </c>
      <c r="E10828" s="14" t="n">
        <v>1681.71</v>
      </c>
      <c r="F10828" s="14" t="n">
        <v>8667.06</v>
      </c>
      <c r="G10828" s="6" t="s">
        <v>2613</v>
      </c>
    </row>
    <row r="10829" customFormat="false" ht="15" hidden="false" customHeight="true" outlineLevel="0" collapsed="false">
      <c r="A10829" s="6" t="s">
        <v>13441</v>
      </c>
      <c r="B10829" s="6" t="s">
        <v>2197</v>
      </c>
      <c r="C10829" s="6" t="s">
        <v>116</v>
      </c>
      <c r="D10829" s="13" t="n">
        <v>44660</v>
      </c>
      <c r="E10829" s="14" t="n">
        <v>2037.92</v>
      </c>
      <c r="F10829" s="14" t="n">
        <v>10704.98</v>
      </c>
      <c r="G10829" s="6" t="s">
        <v>2613</v>
      </c>
    </row>
    <row r="10830" customFormat="false" ht="15" hidden="false" customHeight="true" outlineLevel="0" collapsed="false">
      <c r="A10830" s="6" t="s">
        <v>13442</v>
      </c>
      <c r="B10830" s="6" t="s">
        <v>2197</v>
      </c>
      <c r="C10830" s="6" t="s">
        <v>116</v>
      </c>
      <c r="D10830" s="13" t="n">
        <v>44667</v>
      </c>
      <c r="E10830" s="14" t="n">
        <v>1720.88</v>
      </c>
      <c r="F10830" s="14" t="n">
        <v>12425.86</v>
      </c>
      <c r="G10830" s="6" t="s">
        <v>2623</v>
      </c>
    </row>
    <row r="10831" customFormat="false" ht="15" hidden="false" customHeight="true" outlineLevel="0" collapsed="false">
      <c r="A10831" s="6" t="s">
        <v>13443</v>
      </c>
      <c r="B10831" s="6" t="s">
        <v>2197</v>
      </c>
      <c r="C10831" s="6" t="s">
        <v>116</v>
      </c>
      <c r="D10831" s="13" t="n">
        <v>44674</v>
      </c>
      <c r="E10831" s="14" t="n">
        <v>5372.91</v>
      </c>
      <c r="F10831" s="14" t="n">
        <v>17798.77</v>
      </c>
      <c r="G10831" s="6" t="s">
        <v>2613</v>
      </c>
    </row>
    <row r="10832" customFormat="false" ht="15" hidden="false" customHeight="true" outlineLevel="0" collapsed="false">
      <c r="A10832" s="6" t="s">
        <v>13444</v>
      </c>
      <c r="B10832" s="6" t="s">
        <v>2199</v>
      </c>
      <c r="C10832" s="6" t="s">
        <v>128</v>
      </c>
      <c r="D10832" s="13" t="n">
        <v>44799</v>
      </c>
      <c r="E10832" s="14" t="n">
        <v>176.86</v>
      </c>
      <c r="F10832" s="14" t="n">
        <v>176.86</v>
      </c>
      <c r="G10832" s="6" t="s">
        <v>2613</v>
      </c>
    </row>
    <row r="10833" customFormat="false" ht="15" hidden="false" customHeight="true" outlineLevel="0" collapsed="false">
      <c r="A10833" s="6" t="s">
        <v>13445</v>
      </c>
      <c r="B10833" s="6" t="s">
        <v>2199</v>
      </c>
      <c r="C10833" s="6" t="s">
        <v>128</v>
      </c>
      <c r="D10833" s="13" t="n">
        <v>44806</v>
      </c>
      <c r="E10833" s="14" t="n">
        <v>229.06</v>
      </c>
      <c r="F10833" s="14" t="n">
        <v>405.92</v>
      </c>
      <c r="G10833" s="6" t="s">
        <v>2613</v>
      </c>
    </row>
    <row r="10834" customFormat="false" ht="15" hidden="false" customHeight="true" outlineLevel="0" collapsed="false">
      <c r="A10834" s="6" t="s">
        <v>13446</v>
      </c>
      <c r="B10834" s="6" t="s">
        <v>2199</v>
      </c>
      <c r="C10834" s="6" t="s">
        <v>128</v>
      </c>
      <c r="D10834" s="13" t="n">
        <v>44813</v>
      </c>
      <c r="E10834" s="14" t="n">
        <v>277.78</v>
      </c>
      <c r="F10834" s="14" t="n">
        <v>683.7</v>
      </c>
      <c r="G10834" s="6" t="s">
        <v>2613</v>
      </c>
    </row>
    <row r="10835" customFormat="false" ht="15" hidden="false" customHeight="true" outlineLevel="0" collapsed="false">
      <c r="A10835" s="6" t="s">
        <v>13447</v>
      </c>
      <c r="B10835" s="6" t="s">
        <v>2199</v>
      </c>
      <c r="C10835" s="6" t="s">
        <v>128</v>
      </c>
      <c r="D10835" s="13" t="n">
        <v>44820</v>
      </c>
      <c r="E10835" s="14" t="n">
        <v>264.51</v>
      </c>
      <c r="F10835" s="14" t="n">
        <v>948.21</v>
      </c>
      <c r="G10835" s="6" t="s">
        <v>2613</v>
      </c>
    </row>
    <row r="10836" customFormat="false" ht="15" hidden="false" customHeight="true" outlineLevel="0" collapsed="false">
      <c r="A10836" s="6" t="s">
        <v>13448</v>
      </c>
      <c r="B10836" s="6" t="s">
        <v>2199</v>
      </c>
      <c r="C10836" s="6" t="s">
        <v>128</v>
      </c>
      <c r="D10836" s="13" t="n">
        <v>44827</v>
      </c>
      <c r="E10836" s="14" t="n">
        <v>331.37</v>
      </c>
      <c r="F10836" s="14" t="n">
        <v>1279.58</v>
      </c>
      <c r="G10836" s="6" t="s">
        <v>2623</v>
      </c>
    </row>
    <row r="10837" customFormat="false" ht="15" hidden="false" customHeight="true" outlineLevel="0" collapsed="false">
      <c r="A10837" s="6" t="s">
        <v>13449</v>
      </c>
      <c r="B10837" s="6" t="s">
        <v>2199</v>
      </c>
      <c r="C10837" s="6" t="s">
        <v>128</v>
      </c>
      <c r="D10837" s="13" t="n">
        <v>44834</v>
      </c>
      <c r="E10837" s="14" t="n">
        <v>173.99</v>
      </c>
      <c r="F10837" s="14" t="n">
        <v>1453.57</v>
      </c>
      <c r="G10837" s="6" t="s">
        <v>2613</v>
      </c>
    </row>
    <row r="10838" customFormat="false" ht="15" hidden="false" customHeight="true" outlineLevel="0" collapsed="false">
      <c r="A10838" s="6" t="s">
        <v>13450</v>
      </c>
      <c r="B10838" s="6" t="s">
        <v>2199</v>
      </c>
      <c r="C10838" s="6" t="s">
        <v>128</v>
      </c>
      <c r="D10838" s="13" t="n">
        <v>44841</v>
      </c>
      <c r="E10838" s="14" t="n">
        <v>306.64</v>
      </c>
      <c r="F10838" s="14" t="n">
        <v>1760.21</v>
      </c>
      <c r="G10838" s="6" t="s">
        <v>2613</v>
      </c>
    </row>
    <row r="10839" customFormat="false" ht="15" hidden="false" customHeight="true" outlineLevel="0" collapsed="false">
      <c r="A10839" s="6" t="s">
        <v>13451</v>
      </c>
      <c r="B10839" s="6" t="s">
        <v>2199</v>
      </c>
      <c r="C10839" s="6" t="s">
        <v>128</v>
      </c>
      <c r="D10839" s="13" t="n">
        <v>44848</v>
      </c>
      <c r="E10839" s="14" t="n">
        <v>345.05</v>
      </c>
      <c r="F10839" s="14" t="n">
        <v>2105.26</v>
      </c>
      <c r="G10839" s="6" t="s">
        <v>2613</v>
      </c>
    </row>
    <row r="10840" customFormat="false" ht="15" hidden="false" customHeight="true" outlineLevel="0" collapsed="false">
      <c r="A10840" s="6" t="s">
        <v>13452</v>
      </c>
      <c r="B10840" s="6" t="s">
        <v>2199</v>
      </c>
      <c r="C10840" s="6" t="s">
        <v>128</v>
      </c>
      <c r="D10840" s="13" t="n">
        <v>44855</v>
      </c>
      <c r="E10840" s="14" t="n">
        <v>259.3</v>
      </c>
      <c r="F10840" s="14" t="n">
        <v>2364.56</v>
      </c>
      <c r="G10840" s="6" t="s">
        <v>2613</v>
      </c>
    </row>
    <row r="10841" customFormat="false" ht="15" hidden="false" customHeight="true" outlineLevel="0" collapsed="false">
      <c r="A10841" s="6" t="s">
        <v>13453</v>
      </c>
      <c r="B10841" s="6" t="s">
        <v>2199</v>
      </c>
      <c r="C10841" s="6" t="s">
        <v>128</v>
      </c>
      <c r="D10841" s="13" t="n">
        <v>44862</v>
      </c>
      <c r="E10841" s="14" t="n">
        <v>393.59</v>
      </c>
      <c r="F10841" s="14" t="n">
        <v>2758.15</v>
      </c>
      <c r="G10841" s="6" t="s">
        <v>2613</v>
      </c>
    </row>
    <row r="10842" customFormat="false" ht="15" hidden="false" customHeight="true" outlineLevel="0" collapsed="false">
      <c r="A10842" s="6" t="s">
        <v>13454</v>
      </c>
      <c r="B10842" s="6" t="s">
        <v>2199</v>
      </c>
      <c r="C10842" s="6" t="s">
        <v>128</v>
      </c>
      <c r="D10842" s="13" t="n">
        <v>44869</v>
      </c>
      <c r="E10842" s="14" t="n">
        <v>347.14</v>
      </c>
      <c r="F10842" s="14" t="n">
        <v>3105.29</v>
      </c>
      <c r="G10842" s="6" t="s">
        <v>2613</v>
      </c>
    </row>
    <row r="10843" customFormat="false" ht="15" hidden="false" customHeight="true" outlineLevel="0" collapsed="false">
      <c r="A10843" s="6" t="s">
        <v>13455</v>
      </c>
      <c r="B10843" s="6" t="s">
        <v>2199</v>
      </c>
      <c r="C10843" s="6" t="s">
        <v>128</v>
      </c>
      <c r="D10843" s="13" t="n">
        <v>44876</v>
      </c>
      <c r="E10843" s="14" t="n">
        <v>368.37</v>
      </c>
      <c r="F10843" s="14" t="n">
        <v>3473.66</v>
      </c>
      <c r="G10843" s="6" t="s">
        <v>2613</v>
      </c>
    </row>
    <row r="10844" customFormat="false" ht="15" hidden="false" customHeight="true" outlineLevel="0" collapsed="false">
      <c r="A10844" s="6" t="s">
        <v>13456</v>
      </c>
      <c r="B10844" s="6" t="s">
        <v>2199</v>
      </c>
      <c r="C10844" s="6" t="s">
        <v>128</v>
      </c>
      <c r="D10844" s="13" t="n">
        <v>44883</v>
      </c>
      <c r="E10844" s="14" t="n">
        <v>231.89</v>
      </c>
      <c r="F10844" s="14" t="n">
        <v>3705.55</v>
      </c>
      <c r="G10844" s="6" t="s">
        <v>2613</v>
      </c>
    </row>
    <row r="10845" customFormat="false" ht="15" hidden="false" customHeight="true" outlineLevel="0" collapsed="false">
      <c r="A10845" s="6" t="s">
        <v>13457</v>
      </c>
      <c r="B10845" s="6" t="s">
        <v>2199</v>
      </c>
      <c r="C10845" s="6" t="s">
        <v>128</v>
      </c>
      <c r="D10845" s="13" t="n">
        <v>44890</v>
      </c>
      <c r="E10845" s="14" t="n">
        <v>371.57</v>
      </c>
      <c r="F10845" s="14" t="n">
        <v>4077.12</v>
      </c>
      <c r="G10845" s="6" t="s">
        <v>2613</v>
      </c>
    </row>
    <row r="10846" customFormat="false" ht="15" hidden="false" customHeight="true" outlineLevel="0" collapsed="false">
      <c r="A10846" s="6" t="s">
        <v>13458</v>
      </c>
      <c r="B10846" s="6" t="s">
        <v>2199</v>
      </c>
      <c r="C10846" s="6" t="s">
        <v>128</v>
      </c>
      <c r="D10846" s="13" t="n">
        <v>44897</v>
      </c>
      <c r="E10846" s="14" t="n">
        <v>283.41</v>
      </c>
      <c r="F10846" s="14" t="n">
        <v>4360.53</v>
      </c>
      <c r="G10846" s="6" t="s">
        <v>2613</v>
      </c>
    </row>
    <row r="10847" customFormat="false" ht="15" hidden="false" customHeight="true" outlineLevel="0" collapsed="false">
      <c r="A10847" s="6" t="s">
        <v>13459</v>
      </c>
      <c r="B10847" s="6" t="s">
        <v>2199</v>
      </c>
      <c r="C10847" s="6" t="s">
        <v>128</v>
      </c>
      <c r="D10847" s="13" t="n">
        <v>44904</v>
      </c>
      <c r="E10847" s="14" t="n">
        <v>189.42</v>
      </c>
      <c r="F10847" s="14" t="n">
        <v>4549.95</v>
      </c>
      <c r="G10847" s="6" t="s">
        <v>2613</v>
      </c>
    </row>
    <row r="10848" customFormat="false" ht="15" hidden="false" customHeight="true" outlineLevel="0" collapsed="false">
      <c r="A10848" s="6" t="s">
        <v>13460</v>
      </c>
      <c r="B10848" s="6" t="s">
        <v>2199</v>
      </c>
      <c r="C10848" s="6" t="s">
        <v>128</v>
      </c>
      <c r="D10848" s="13" t="n">
        <v>44911</v>
      </c>
      <c r="E10848" s="14" t="n">
        <v>286.14</v>
      </c>
      <c r="F10848" s="14" t="n">
        <v>4836.09</v>
      </c>
      <c r="G10848" s="6" t="s">
        <v>2613</v>
      </c>
    </row>
    <row r="10849" customFormat="false" ht="15" hidden="false" customHeight="true" outlineLevel="0" collapsed="false">
      <c r="A10849" s="6" t="s">
        <v>13461</v>
      </c>
      <c r="B10849" s="6" t="s">
        <v>2199</v>
      </c>
      <c r="C10849" s="6" t="s">
        <v>128</v>
      </c>
      <c r="D10849" s="13" t="n">
        <v>44918</v>
      </c>
      <c r="E10849" s="14" t="n">
        <v>199.22</v>
      </c>
      <c r="F10849" s="14" t="n">
        <v>5035.31</v>
      </c>
      <c r="G10849" s="6" t="s">
        <v>2613</v>
      </c>
    </row>
    <row r="10850" customFormat="false" ht="15" hidden="false" customHeight="true" outlineLevel="0" collapsed="false">
      <c r="A10850" s="6" t="s">
        <v>13462</v>
      </c>
      <c r="B10850" s="6" t="s">
        <v>2199</v>
      </c>
      <c r="C10850" s="6" t="s">
        <v>128</v>
      </c>
      <c r="D10850" s="13" t="n">
        <v>44925</v>
      </c>
      <c r="E10850" s="14" t="n">
        <v>316.89</v>
      </c>
      <c r="F10850" s="14" t="n">
        <v>5352.2</v>
      </c>
      <c r="G10850" s="6" t="s">
        <v>2613</v>
      </c>
    </row>
    <row r="10851" customFormat="false" ht="15" hidden="false" customHeight="true" outlineLevel="0" collapsed="false">
      <c r="A10851" s="6" t="s">
        <v>13463</v>
      </c>
      <c r="B10851" s="6" t="s">
        <v>2199</v>
      </c>
      <c r="C10851" s="6" t="s">
        <v>128</v>
      </c>
      <c r="D10851" s="13" t="n">
        <v>44932</v>
      </c>
      <c r="E10851" s="14" t="n">
        <v>331.53</v>
      </c>
      <c r="F10851" s="14" t="n">
        <v>5683.73</v>
      </c>
      <c r="G10851" s="6" t="s">
        <v>2613</v>
      </c>
    </row>
    <row r="10852" customFormat="false" ht="15" hidden="false" customHeight="true" outlineLevel="0" collapsed="false">
      <c r="A10852" s="6" t="s">
        <v>13464</v>
      </c>
      <c r="B10852" s="6" t="s">
        <v>2199</v>
      </c>
      <c r="C10852" s="6" t="s">
        <v>128</v>
      </c>
      <c r="D10852" s="13" t="n">
        <v>44939</v>
      </c>
      <c r="E10852" s="14" t="n">
        <v>203.39</v>
      </c>
      <c r="F10852" s="14" t="n">
        <v>5887.12</v>
      </c>
      <c r="G10852" s="6" t="s">
        <v>2613</v>
      </c>
    </row>
    <row r="10853" customFormat="false" ht="15" hidden="false" customHeight="true" outlineLevel="0" collapsed="false">
      <c r="A10853" s="6" t="s">
        <v>13465</v>
      </c>
      <c r="B10853" s="6" t="s">
        <v>2199</v>
      </c>
      <c r="C10853" s="6" t="s">
        <v>128</v>
      </c>
      <c r="D10853" s="13" t="n">
        <v>44946</v>
      </c>
      <c r="E10853" s="14" t="n">
        <v>395.4</v>
      </c>
      <c r="F10853" s="14" t="n">
        <v>6282.52</v>
      </c>
      <c r="G10853" s="6" t="s">
        <v>2613</v>
      </c>
    </row>
    <row r="10854" customFormat="false" ht="15" hidden="false" customHeight="true" outlineLevel="0" collapsed="false">
      <c r="A10854" s="6" t="s">
        <v>13466</v>
      </c>
      <c r="B10854" s="6" t="s">
        <v>2199</v>
      </c>
      <c r="C10854" s="6" t="s">
        <v>128</v>
      </c>
      <c r="D10854" s="13" t="n">
        <v>44953</v>
      </c>
      <c r="E10854" s="14" t="n">
        <v>366.95</v>
      </c>
      <c r="F10854" s="14" t="n">
        <v>6649.47</v>
      </c>
      <c r="G10854" s="6" t="s">
        <v>2623</v>
      </c>
    </row>
    <row r="10855" customFormat="false" ht="15" hidden="false" customHeight="true" outlineLevel="0" collapsed="false">
      <c r="A10855" s="6" t="s">
        <v>13467</v>
      </c>
      <c r="B10855" s="6" t="s">
        <v>2199</v>
      </c>
      <c r="C10855" s="6" t="s">
        <v>128</v>
      </c>
      <c r="D10855" s="13" t="n">
        <v>44960</v>
      </c>
      <c r="E10855" s="14" t="n">
        <v>316.17</v>
      </c>
      <c r="F10855" s="14" t="n">
        <v>6965.64</v>
      </c>
      <c r="G10855" s="6" t="s">
        <v>2613</v>
      </c>
    </row>
    <row r="10856" customFormat="false" ht="15" hidden="false" customHeight="true" outlineLevel="0" collapsed="false">
      <c r="A10856" s="6" t="s">
        <v>13468</v>
      </c>
      <c r="B10856" s="6" t="s">
        <v>2199</v>
      </c>
      <c r="C10856" s="6" t="s">
        <v>128</v>
      </c>
      <c r="D10856" s="13" t="n">
        <v>44967</v>
      </c>
      <c r="E10856" s="14" t="n">
        <v>341.39</v>
      </c>
      <c r="F10856" s="14" t="n">
        <v>7307.03</v>
      </c>
      <c r="G10856" s="6" t="s">
        <v>2613</v>
      </c>
    </row>
    <row r="10857" customFormat="false" ht="15" hidden="false" customHeight="true" outlineLevel="0" collapsed="false">
      <c r="A10857" s="6" t="s">
        <v>13469</v>
      </c>
      <c r="B10857" s="6" t="s">
        <v>2199</v>
      </c>
      <c r="C10857" s="6" t="s">
        <v>128</v>
      </c>
      <c r="D10857" s="13" t="n">
        <v>44974</v>
      </c>
      <c r="E10857" s="14" t="n">
        <v>370.92</v>
      </c>
      <c r="F10857" s="14" t="n">
        <v>7677.95</v>
      </c>
      <c r="G10857" s="6" t="s">
        <v>2613</v>
      </c>
    </row>
    <row r="10858" customFormat="false" ht="15" hidden="false" customHeight="true" outlineLevel="0" collapsed="false">
      <c r="A10858" s="6" t="s">
        <v>13470</v>
      </c>
      <c r="B10858" s="6" t="s">
        <v>2199</v>
      </c>
      <c r="C10858" s="6" t="s">
        <v>128</v>
      </c>
      <c r="D10858" s="13" t="n">
        <v>44981</v>
      </c>
      <c r="E10858" s="14" t="n">
        <v>340.08</v>
      </c>
      <c r="F10858" s="14" t="n">
        <v>8018.03</v>
      </c>
      <c r="G10858" s="6" t="s">
        <v>2613</v>
      </c>
    </row>
    <row r="10859" customFormat="false" ht="15" hidden="false" customHeight="true" outlineLevel="0" collapsed="false">
      <c r="A10859" s="6" t="s">
        <v>13471</v>
      </c>
      <c r="B10859" s="6" t="s">
        <v>2199</v>
      </c>
      <c r="C10859" s="6" t="s">
        <v>128</v>
      </c>
      <c r="D10859" s="13" t="n">
        <v>44988</v>
      </c>
      <c r="E10859" s="14" t="n">
        <v>336.93</v>
      </c>
      <c r="F10859" s="14" t="n">
        <v>8354.96</v>
      </c>
      <c r="G10859" s="6" t="s">
        <v>2613</v>
      </c>
    </row>
    <row r="10860" customFormat="false" ht="15" hidden="false" customHeight="true" outlineLevel="0" collapsed="false">
      <c r="A10860" s="6" t="s">
        <v>13472</v>
      </c>
      <c r="B10860" s="6" t="s">
        <v>2199</v>
      </c>
      <c r="C10860" s="6" t="s">
        <v>128</v>
      </c>
      <c r="D10860" s="13" t="n">
        <v>44995</v>
      </c>
      <c r="E10860" s="14" t="n">
        <v>213.83</v>
      </c>
      <c r="F10860" s="14" t="n">
        <v>8568.79</v>
      </c>
      <c r="G10860" s="6" t="s">
        <v>2613</v>
      </c>
    </row>
    <row r="10861" customFormat="false" ht="15" hidden="false" customHeight="true" outlineLevel="0" collapsed="false">
      <c r="A10861" s="6" t="s">
        <v>13473</v>
      </c>
      <c r="B10861" s="6" t="s">
        <v>2199</v>
      </c>
      <c r="C10861" s="6" t="s">
        <v>128</v>
      </c>
      <c r="D10861" s="13" t="n">
        <v>45002</v>
      </c>
      <c r="E10861" s="14" t="n">
        <v>198.75</v>
      </c>
      <c r="F10861" s="14" t="n">
        <v>8767.54</v>
      </c>
      <c r="G10861" s="6" t="s">
        <v>2613</v>
      </c>
    </row>
    <row r="10862" customFormat="false" ht="15" hidden="false" customHeight="true" outlineLevel="0" collapsed="false">
      <c r="A10862" s="6" t="s">
        <v>13474</v>
      </c>
      <c r="B10862" s="6" t="s">
        <v>2199</v>
      </c>
      <c r="C10862" s="6" t="s">
        <v>128</v>
      </c>
      <c r="D10862" s="13" t="n">
        <v>45009</v>
      </c>
      <c r="E10862" s="14" t="n">
        <v>154.18</v>
      </c>
      <c r="F10862" s="14" t="n">
        <v>8921.72</v>
      </c>
      <c r="G10862" s="6" t="s">
        <v>2623</v>
      </c>
    </row>
    <row r="10863" customFormat="false" ht="15" hidden="false" customHeight="true" outlineLevel="0" collapsed="false">
      <c r="A10863" s="6" t="s">
        <v>13475</v>
      </c>
      <c r="B10863" s="6" t="s">
        <v>2201</v>
      </c>
      <c r="C10863" s="6" t="s">
        <v>120</v>
      </c>
      <c r="D10863" s="13" t="n">
        <v>44656</v>
      </c>
      <c r="E10863" s="14" t="n">
        <v>594.7</v>
      </c>
      <c r="F10863" s="14" t="n">
        <v>594.7</v>
      </c>
      <c r="G10863" s="6" t="s">
        <v>2613</v>
      </c>
    </row>
    <row r="10864" customFormat="false" ht="15" hidden="false" customHeight="true" outlineLevel="0" collapsed="false">
      <c r="A10864" s="6" t="s">
        <v>13476</v>
      </c>
      <c r="B10864" s="6" t="s">
        <v>2201</v>
      </c>
      <c r="C10864" s="6" t="s">
        <v>120</v>
      </c>
      <c r="D10864" s="13" t="n">
        <v>44663</v>
      </c>
      <c r="E10864" s="14" t="n">
        <v>906.85</v>
      </c>
      <c r="F10864" s="14" t="n">
        <v>1501.55</v>
      </c>
      <c r="G10864" s="6" t="s">
        <v>2613</v>
      </c>
    </row>
    <row r="10865" customFormat="false" ht="15" hidden="false" customHeight="true" outlineLevel="0" collapsed="false">
      <c r="A10865" s="6" t="s">
        <v>13477</v>
      </c>
      <c r="B10865" s="6" t="s">
        <v>2201</v>
      </c>
      <c r="C10865" s="6" t="s">
        <v>120</v>
      </c>
      <c r="D10865" s="13" t="n">
        <v>44670</v>
      </c>
      <c r="E10865" s="14" t="n">
        <v>631.91</v>
      </c>
      <c r="F10865" s="14" t="n">
        <v>2133.46</v>
      </c>
      <c r="G10865" s="6" t="s">
        <v>2613</v>
      </c>
    </row>
    <row r="10866" customFormat="false" ht="15" hidden="false" customHeight="true" outlineLevel="0" collapsed="false">
      <c r="A10866" s="6" t="s">
        <v>13478</v>
      </c>
      <c r="B10866" s="6" t="s">
        <v>2201</v>
      </c>
      <c r="C10866" s="6" t="s">
        <v>120</v>
      </c>
      <c r="D10866" s="13" t="n">
        <v>44677</v>
      </c>
      <c r="E10866" s="14" t="n">
        <v>1031.84</v>
      </c>
      <c r="F10866" s="14" t="n">
        <v>3165.3</v>
      </c>
      <c r="G10866" s="6" t="s">
        <v>2613</v>
      </c>
    </row>
    <row r="10867" customFormat="false" ht="15" hidden="false" customHeight="true" outlineLevel="0" collapsed="false">
      <c r="A10867" s="6" t="s">
        <v>13479</v>
      </c>
      <c r="B10867" s="6" t="s">
        <v>2201</v>
      </c>
      <c r="C10867" s="6" t="s">
        <v>120</v>
      </c>
      <c r="D10867" s="13" t="n">
        <v>44684</v>
      </c>
      <c r="E10867" s="14" t="n">
        <v>784.2</v>
      </c>
      <c r="F10867" s="14" t="n">
        <v>3949.5</v>
      </c>
      <c r="G10867" s="6" t="s">
        <v>2613</v>
      </c>
    </row>
    <row r="10868" customFormat="false" ht="15" hidden="false" customHeight="true" outlineLevel="0" collapsed="false">
      <c r="A10868" s="6" t="s">
        <v>13480</v>
      </c>
      <c r="B10868" s="6" t="s">
        <v>2201</v>
      </c>
      <c r="C10868" s="6" t="s">
        <v>120</v>
      </c>
      <c r="D10868" s="13" t="n">
        <v>44691</v>
      </c>
      <c r="E10868" s="14" t="n">
        <v>587.67</v>
      </c>
      <c r="F10868" s="14" t="n">
        <v>4537.17</v>
      </c>
      <c r="G10868" s="6" t="s">
        <v>2613</v>
      </c>
    </row>
    <row r="10869" customFormat="false" ht="15" hidden="false" customHeight="true" outlineLevel="0" collapsed="false">
      <c r="A10869" s="6" t="s">
        <v>13481</v>
      </c>
      <c r="B10869" s="6" t="s">
        <v>2201</v>
      </c>
      <c r="C10869" s="6" t="s">
        <v>120</v>
      </c>
      <c r="D10869" s="13" t="n">
        <v>44698</v>
      </c>
      <c r="E10869" s="14" t="n">
        <v>794.28</v>
      </c>
      <c r="F10869" s="14" t="n">
        <v>5331.45</v>
      </c>
      <c r="G10869" s="6" t="s">
        <v>2613</v>
      </c>
    </row>
    <row r="10870" customFormat="false" ht="15" hidden="false" customHeight="true" outlineLevel="0" collapsed="false">
      <c r="A10870" s="6" t="s">
        <v>13482</v>
      </c>
      <c r="B10870" s="6" t="s">
        <v>2201</v>
      </c>
      <c r="C10870" s="6" t="s">
        <v>120</v>
      </c>
      <c r="D10870" s="13" t="n">
        <v>44705</v>
      </c>
      <c r="E10870" s="14" t="n">
        <v>595.55</v>
      </c>
      <c r="F10870" s="14" t="n">
        <v>5927</v>
      </c>
      <c r="G10870" s="6" t="s">
        <v>2613</v>
      </c>
    </row>
    <row r="10871" customFormat="false" ht="15" hidden="false" customHeight="true" outlineLevel="0" collapsed="false">
      <c r="A10871" s="6" t="s">
        <v>13483</v>
      </c>
      <c r="B10871" s="6" t="s">
        <v>2201</v>
      </c>
      <c r="C10871" s="6" t="s">
        <v>120</v>
      </c>
      <c r="D10871" s="13" t="n">
        <v>44712</v>
      </c>
      <c r="E10871" s="14" t="n">
        <v>1154.61</v>
      </c>
      <c r="F10871" s="14" t="n">
        <v>7081.61</v>
      </c>
      <c r="G10871" s="6" t="s">
        <v>2613</v>
      </c>
    </row>
    <row r="10872" customFormat="false" ht="15" hidden="false" customHeight="true" outlineLevel="0" collapsed="false">
      <c r="A10872" s="6" t="s">
        <v>13484</v>
      </c>
      <c r="B10872" s="6" t="s">
        <v>2201</v>
      </c>
      <c r="C10872" s="6" t="s">
        <v>120</v>
      </c>
      <c r="D10872" s="13" t="n">
        <v>44719</v>
      </c>
      <c r="E10872" s="14" t="n">
        <v>1545.18</v>
      </c>
      <c r="F10872" s="14" t="n">
        <v>8626.79</v>
      </c>
      <c r="G10872" s="6" t="s">
        <v>2613</v>
      </c>
    </row>
    <row r="10873" customFormat="false" ht="15" hidden="false" customHeight="true" outlineLevel="0" collapsed="false">
      <c r="A10873" s="6" t="s">
        <v>13485</v>
      </c>
      <c r="B10873" s="6" t="s">
        <v>2203</v>
      </c>
      <c r="C10873" s="6" t="s">
        <v>124</v>
      </c>
      <c r="D10873" s="13" t="n">
        <v>44601</v>
      </c>
      <c r="E10873" s="14" t="n">
        <v>141.83</v>
      </c>
      <c r="F10873" s="14" t="n">
        <v>141.83</v>
      </c>
      <c r="G10873" s="6" t="s">
        <v>2623</v>
      </c>
    </row>
    <row r="10874" customFormat="false" ht="15" hidden="false" customHeight="true" outlineLevel="0" collapsed="false">
      <c r="A10874" s="6" t="s">
        <v>13486</v>
      </c>
      <c r="B10874" s="6" t="s">
        <v>2203</v>
      </c>
      <c r="C10874" s="6" t="s">
        <v>124</v>
      </c>
      <c r="D10874" s="13" t="n">
        <v>44608</v>
      </c>
      <c r="E10874" s="14" t="n">
        <v>153.88</v>
      </c>
      <c r="F10874" s="14" t="n">
        <v>295.71</v>
      </c>
      <c r="G10874" s="6" t="s">
        <v>2613</v>
      </c>
    </row>
    <row r="10875" customFormat="false" ht="15" hidden="false" customHeight="true" outlineLevel="0" collapsed="false">
      <c r="A10875" s="6" t="s">
        <v>13487</v>
      </c>
      <c r="B10875" s="6" t="s">
        <v>2203</v>
      </c>
      <c r="C10875" s="6" t="s">
        <v>124</v>
      </c>
      <c r="D10875" s="13" t="n">
        <v>44615</v>
      </c>
      <c r="E10875" s="14" t="n">
        <v>116.61</v>
      </c>
      <c r="F10875" s="14" t="n">
        <v>412.32</v>
      </c>
      <c r="G10875" s="6" t="s">
        <v>2613</v>
      </c>
    </row>
    <row r="10876" customFormat="false" ht="15" hidden="false" customHeight="true" outlineLevel="0" collapsed="false">
      <c r="A10876" s="6" t="s">
        <v>13488</v>
      </c>
      <c r="B10876" s="6" t="s">
        <v>2203</v>
      </c>
      <c r="C10876" s="6" t="s">
        <v>124</v>
      </c>
      <c r="D10876" s="13" t="n">
        <v>44622</v>
      </c>
      <c r="E10876" s="14" t="n">
        <v>82.86</v>
      </c>
      <c r="F10876" s="14" t="n">
        <v>495.18</v>
      </c>
      <c r="G10876" s="6" t="s">
        <v>2613</v>
      </c>
    </row>
    <row r="10877" customFormat="false" ht="15" hidden="false" customHeight="true" outlineLevel="0" collapsed="false">
      <c r="A10877" s="6" t="s">
        <v>13489</v>
      </c>
      <c r="B10877" s="6" t="s">
        <v>2203</v>
      </c>
      <c r="C10877" s="6" t="s">
        <v>124</v>
      </c>
      <c r="D10877" s="13" t="n">
        <v>44629</v>
      </c>
      <c r="E10877" s="14" t="n">
        <v>81.66</v>
      </c>
      <c r="F10877" s="14" t="n">
        <v>576.84</v>
      </c>
      <c r="G10877" s="6" t="s">
        <v>2613</v>
      </c>
    </row>
    <row r="10878" customFormat="false" ht="15" hidden="false" customHeight="true" outlineLevel="0" collapsed="false">
      <c r="A10878" s="6" t="s">
        <v>13490</v>
      </c>
      <c r="B10878" s="6" t="s">
        <v>2203</v>
      </c>
      <c r="C10878" s="6" t="s">
        <v>124</v>
      </c>
      <c r="D10878" s="13" t="n">
        <v>44636</v>
      </c>
      <c r="E10878" s="14" t="n">
        <v>88.7</v>
      </c>
      <c r="F10878" s="14" t="n">
        <v>665.54</v>
      </c>
      <c r="G10878" s="6" t="s">
        <v>2613</v>
      </c>
    </row>
    <row r="10879" customFormat="false" ht="15" hidden="false" customHeight="true" outlineLevel="0" collapsed="false">
      <c r="A10879" s="6" t="s">
        <v>13491</v>
      </c>
      <c r="B10879" s="6" t="s">
        <v>2203</v>
      </c>
      <c r="C10879" s="6" t="s">
        <v>124</v>
      </c>
      <c r="D10879" s="13" t="n">
        <v>44643</v>
      </c>
      <c r="E10879" s="14" t="n">
        <v>163.91</v>
      </c>
      <c r="F10879" s="14" t="n">
        <v>829.45</v>
      </c>
      <c r="G10879" s="6" t="s">
        <v>2623</v>
      </c>
    </row>
    <row r="10880" customFormat="false" ht="15" hidden="false" customHeight="true" outlineLevel="0" collapsed="false">
      <c r="A10880" s="6" t="s">
        <v>13492</v>
      </c>
      <c r="B10880" s="6" t="s">
        <v>2203</v>
      </c>
      <c r="C10880" s="6" t="s">
        <v>124</v>
      </c>
      <c r="D10880" s="13" t="n">
        <v>44650</v>
      </c>
      <c r="E10880" s="14" t="n">
        <v>117.11</v>
      </c>
      <c r="F10880" s="14" t="n">
        <v>946.56</v>
      </c>
      <c r="G10880" s="6" t="s">
        <v>2613</v>
      </c>
    </row>
    <row r="10881" customFormat="false" ht="15" hidden="false" customHeight="true" outlineLevel="0" collapsed="false">
      <c r="A10881" s="6" t="s">
        <v>13493</v>
      </c>
      <c r="B10881" s="6" t="s">
        <v>2203</v>
      </c>
      <c r="C10881" s="6" t="s">
        <v>124</v>
      </c>
      <c r="D10881" s="13" t="n">
        <v>44657</v>
      </c>
      <c r="E10881" s="14" t="n">
        <v>165.63</v>
      </c>
      <c r="F10881" s="14" t="n">
        <v>1112.19</v>
      </c>
      <c r="G10881" s="6" t="s">
        <v>2623</v>
      </c>
    </row>
    <row r="10882" customFormat="false" ht="15" hidden="false" customHeight="true" outlineLevel="0" collapsed="false">
      <c r="A10882" s="6" t="s">
        <v>13494</v>
      </c>
      <c r="B10882" s="6" t="s">
        <v>2203</v>
      </c>
      <c r="C10882" s="6" t="s">
        <v>124</v>
      </c>
      <c r="D10882" s="13" t="n">
        <v>44664</v>
      </c>
      <c r="E10882" s="14" t="n">
        <v>108.19</v>
      </c>
      <c r="F10882" s="14" t="n">
        <v>1220.38</v>
      </c>
      <c r="G10882" s="6" t="s">
        <v>2613</v>
      </c>
    </row>
    <row r="10883" customFormat="false" ht="15" hidden="false" customHeight="true" outlineLevel="0" collapsed="false">
      <c r="A10883" s="6" t="s">
        <v>13495</v>
      </c>
      <c r="B10883" s="6" t="s">
        <v>2203</v>
      </c>
      <c r="C10883" s="6" t="s">
        <v>124</v>
      </c>
      <c r="D10883" s="13" t="n">
        <v>44671</v>
      </c>
      <c r="E10883" s="14" t="n">
        <v>139.09</v>
      </c>
      <c r="F10883" s="14" t="n">
        <v>1359.47</v>
      </c>
      <c r="G10883" s="6" t="s">
        <v>2613</v>
      </c>
    </row>
    <row r="10884" customFormat="false" ht="15" hidden="false" customHeight="true" outlineLevel="0" collapsed="false">
      <c r="A10884" s="6" t="s">
        <v>13496</v>
      </c>
      <c r="B10884" s="6" t="s">
        <v>2203</v>
      </c>
      <c r="C10884" s="6" t="s">
        <v>124</v>
      </c>
      <c r="D10884" s="13" t="n">
        <v>44678</v>
      </c>
      <c r="E10884" s="14" t="n">
        <v>132.83</v>
      </c>
      <c r="F10884" s="14" t="n">
        <v>1492.3</v>
      </c>
      <c r="G10884" s="6" t="s">
        <v>2623</v>
      </c>
    </row>
    <row r="10885" customFormat="false" ht="15" hidden="false" customHeight="true" outlineLevel="0" collapsed="false">
      <c r="A10885" s="6" t="s">
        <v>13497</v>
      </c>
      <c r="B10885" s="6" t="s">
        <v>2203</v>
      </c>
      <c r="C10885" s="6" t="s">
        <v>124</v>
      </c>
      <c r="D10885" s="13" t="n">
        <v>44685</v>
      </c>
      <c r="E10885" s="14" t="n">
        <v>164.16</v>
      </c>
      <c r="F10885" s="14" t="n">
        <v>1656.46</v>
      </c>
      <c r="G10885" s="6" t="s">
        <v>2613</v>
      </c>
    </row>
    <row r="10886" customFormat="false" ht="15" hidden="false" customHeight="true" outlineLevel="0" collapsed="false">
      <c r="A10886" s="6" t="s">
        <v>13498</v>
      </c>
      <c r="B10886" s="6" t="s">
        <v>2203</v>
      </c>
      <c r="C10886" s="6" t="s">
        <v>124</v>
      </c>
      <c r="D10886" s="13" t="n">
        <v>44692</v>
      </c>
      <c r="E10886" s="14" t="n">
        <v>127.13</v>
      </c>
      <c r="F10886" s="14" t="n">
        <v>1783.59</v>
      </c>
      <c r="G10886" s="6" t="s">
        <v>2613</v>
      </c>
    </row>
    <row r="10887" customFormat="false" ht="15" hidden="false" customHeight="true" outlineLevel="0" collapsed="false">
      <c r="A10887" s="6" t="s">
        <v>13499</v>
      </c>
      <c r="B10887" s="6" t="s">
        <v>2203</v>
      </c>
      <c r="C10887" s="6" t="s">
        <v>124</v>
      </c>
      <c r="D10887" s="13" t="n">
        <v>44699</v>
      </c>
      <c r="E10887" s="14" t="n">
        <v>85.69</v>
      </c>
      <c r="F10887" s="14" t="n">
        <v>1869.28</v>
      </c>
      <c r="G10887" s="6" t="s">
        <v>2623</v>
      </c>
    </row>
    <row r="10888" customFormat="false" ht="15" hidden="false" customHeight="true" outlineLevel="0" collapsed="false">
      <c r="A10888" s="6" t="s">
        <v>13500</v>
      </c>
      <c r="B10888" s="6" t="s">
        <v>2203</v>
      </c>
      <c r="C10888" s="6" t="s">
        <v>124</v>
      </c>
      <c r="D10888" s="13" t="n">
        <v>44706</v>
      </c>
      <c r="E10888" s="14" t="n">
        <v>150.59</v>
      </c>
      <c r="F10888" s="14" t="n">
        <v>2019.87</v>
      </c>
      <c r="G10888" s="6" t="s">
        <v>2613</v>
      </c>
    </row>
    <row r="10889" customFormat="false" ht="15" hidden="false" customHeight="true" outlineLevel="0" collapsed="false">
      <c r="A10889" s="6" t="s">
        <v>13501</v>
      </c>
      <c r="B10889" s="6" t="s">
        <v>2203</v>
      </c>
      <c r="C10889" s="6" t="s">
        <v>124</v>
      </c>
      <c r="D10889" s="13" t="n">
        <v>44713</v>
      </c>
      <c r="E10889" s="14" t="n">
        <v>82.92</v>
      </c>
      <c r="F10889" s="14" t="n">
        <v>2102.79</v>
      </c>
      <c r="G10889" s="6" t="s">
        <v>2613</v>
      </c>
    </row>
    <row r="10890" customFormat="false" ht="15" hidden="false" customHeight="true" outlineLevel="0" collapsed="false">
      <c r="A10890" s="6" t="s">
        <v>13502</v>
      </c>
      <c r="B10890" s="6" t="s">
        <v>2203</v>
      </c>
      <c r="C10890" s="6" t="s">
        <v>124</v>
      </c>
      <c r="D10890" s="13" t="n">
        <v>44720</v>
      </c>
      <c r="E10890" s="14" t="n">
        <v>109.6</v>
      </c>
      <c r="F10890" s="14" t="n">
        <v>2212.39</v>
      </c>
      <c r="G10890" s="6" t="s">
        <v>2613</v>
      </c>
    </row>
    <row r="10891" customFormat="false" ht="15" hidden="false" customHeight="true" outlineLevel="0" collapsed="false">
      <c r="A10891" s="6" t="s">
        <v>13503</v>
      </c>
      <c r="B10891" s="6" t="s">
        <v>2203</v>
      </c>
      <c r="C10891" s="6" t="s">
        <v>124</v>
      </c>
      <c r="D10891" s="13" t="n">
        <v>44727</v>
      </c>
      <c r="E10891" s="14" t="n">
        <v>84.71</v>
      </c>
      <c r="F10891" s="14" t="n">
        <v>2297.1</v>
      </c>
      <c r="G10891" s="6" t="s">
        <v>2613</v>
      </c>
    </row>
    <row r="10892" customFormat="false" ht="15" hidden="false" customHeight="true" outlineLevel="0" collapsed="false">
      <c r="A10892" s="6" t="s">
        <v>13504</v>
      </c>
      <c r="B10892" s="6" t="s">
        <v>2203</v>
      </c>
      <c r="C10892" s="6" t="s">
        <v>124</v>
      </c>
      <c r="D10892" s="13" t="n">
        <v>44734</v>
      </c>
      <c r="E10892" s="14" t="n">
        <v>105.28</v>
      </c>
      <c r="F10892" s="14" t="n">
        <v>2402.38</v>
      </c>
      <c r="G10892" s="6" t="s">
        <v>2613</v>
      </c>
    </row>
    <row r="10893" customFormat="false" ht="15" hidden="false" customHeight="true" outlineLevel="0" collapsed="false">
      <c r="A10893" s="6" t="s">
        <v>13505</v>
      </c>
      <c r="B10893" s="6" t="s">
        <v>2203</v>
      </c>
      <c r="C10893" s="6" t="s">
        <v>124</v>
      </c>
      <c r="D10893" s="13" t="n">
        <v>44741</v>
      </c>
      <c r="E10893" s="14" t="n">
        <v>176.39</v>
      </c>
      <c r="F10893" s="14" t="n">
        <v>2578.77</v>
      </c>
      <c r="G10893" s="6" t="s">
        <v>2623</v>
      </c>
    </row>
    <row r="10894" customFormat="false" ht="15" hidden="false" customHeight="true" outlineLevel="0" collapsed="false">
      <c r="A10894" s="6" t="s">
        <v>13506</v>
      </c>
      <c r="B10894" s="6" t="s">
        <v>2203</v>
      </c>
      <c r="C10894" s="6" t="s">
        <v>124</v>
      </c>
      <c r="D10894" s="13" t="n">
        <v>44748</v>
      </c>
      <c r="E10894" s="14" t="n">
        <v>177.14</v>
      </c>
      <c r="F10894" s="14" t="n">
        <v>2755.91</v>
      </c>
      <c r="G10894" s="6" t="s">
        <v>2613</v>
      </c>
    </row>
    <row r="10895" customFormat="false" ht="15" hidden="false" customHeight="true" outlineLevel="0" collapsed="false">
      <c r="A10895" s="6" t="s">
        <v>13507</v>
      </c>
      <c r="B10895" s="6" t="s">
        <v>2203</v>
      </c>
      <c r="C10895" s="6" t="s">
        <v>124</v>
      </c>
      <c r="D10895" s="13" t="n">
        <v>44755</v>
      </c>
      <c r="E10895" s="14" t="n">
        <v>129.1</v>
      </c>
      <c r="F10895" s="14" t="n">
        <v>2885.01</v>
      </c>
      <c r="G10895" s="6" t="s">
        <v>2613</v>
      </c>
    </row>
    <row r="10896" customFormat="false" ht="15" hidden="false" customHeight="true" outlineLevel="0" collapsed="false">
      <c r="A10896" s="6" t="s">
        <v>13508</v>
      </c>
      <c r="B10896" s="6" t="s">
        <v>2203</v>
      </c>
      <c r="C10896" s="6" t="s">
        <v>124</v>
      </c>
      <c r="D10896" s="13" t="n">
        <v>44762</v>
      </c>
      <c r="E10896" s="14" t="n">
        <v>127.83</v>
      </c>
      <c r="F10896" s="14" t="n">
        <v>3012.84</v>
      </c>
      <c r="G10896" s="6" t="s">
        <v>2613</v>
      </c>
    </row>
    <row r="10897" customFormat="false" ht="15" hidden="false" customHeight="true" outlineLevel="0" collapsed="false">
      <c r="A10897" s="6" t="s">
        <v>13509</v>
      </c>
      <c r="B10897" s="6" t="s">
        <v>2203</v>
      </c>
      <c r="C10897" s="6" t="s">
        <v>124</v>
      </c>
      <c r="D10897" s="13" t="n">
        <v>44769</v>
      </c>
      <c r="E10897" s="14" t="n">
        <v>95.12</v>
      </c>
      <c r="F10897" s="14" t="n">
        <v>3107.96</v>
      </c>
      <c r="G10897" s="6" t="s">
        <v>2613</v>
      </c>
    </row>
    <row r="10898" customFormat="false" ht="15" hidden="false" customHeight="true" outlineLevel="0" collapsed="false">
      <c r="A10898" s="6" t="s">
        <v>13510</v>
      </c>
      <c r="B10898" s="6" t="s">
        <v>2203</v>
      </c>
      <c r="C10898" s="6" t="s">
        <v>124</v>
      </c>
      <c r="D10898" s="13" t="n">
        <v>44776</v>
      </c>
      <c r="E10898" s="14" t="n">
        <v>375.27</v>
      </c>
      <c r="F10898" s="14" t="n">
        <v>3483.23</v>
      </c>
      <c r="G10898" s="6" t="s">
        <v>2623</v>
      </c>
    </row>
    <row r="10899" customFormat="false" ht="15" hidden="false" customHeight="true" outlineLevel="0" collapsed="false">
      <c r="A10899" s="6" t="s">
        <v>13511</v>
      </c>
      <c r="B10899" s="6" t="s">
        <v>2205</v>
      </c>
      <c r="C10899" s="6" t="s">
        <v>131</v>
      </c>
      <c r="D10899" s="13" t="n">
        <v>45354</v>
      </c>
      <c r="E10899" s="14" t="n">
        <v>854.59</v>
      </c>
      <c r="F10899" s="14" t="n">
        <v>854.59</v>
      </c>
      <c r="G10899" s="6" t="s">
        <v>2623</v>
      </c>
    </row>
    <row r="10900" customFormat="false" ht="15" hidden="false" customHeight="true" outlineLevel="0" collapsed="false">
      <c r="A10900" s="6" t="s">
        <v>13512</v>
      </c>
      <c r="B10900" s="6" t="s">
        <v>2205</v>
      </c>
      <c r="C10900" s="6" t="s">
        <v>131</v>
      </c>
      <c r="D10900" s="13" t="n">
        <v>45361</v>
      </c>
      <c r="E10900" s="14" t="n">
        <v>486.95</v>
      </c>
      <c r="F10900" s="14" t="n">
        <v>1341.54</v>
      </c>
      <c r="G10900" s="6" t="s">
        <v>2613</v>
      </c>
    </row>
    <row r="10901" customFormat="false" ht="15" hidden="false" customHeight="true" outlineLevel="0" collapsed="false">
      <c r="A10901" s="6" t="s">
        <v>13513</v>
      </c>
      <c r="B10901" s="6" t="s">
        <v>2205</v>
      </c>
      <c r="C10901" s="6" t="s">
        <v>131</v>
      </c>
      <c r="D10901" s="13" t="n">
        <v>45368</v>
      </c>
      <c r="E10901" s="14" t="n">
        <v>719.2</v>
      </c>
      <c r="F10901" s="14" t="n">
        <v>2060.74</v>
      </c>
      <c r="G10901" s="6" t="s">
        <v>2623</v>
      </c>
    </row>
    <row r="10902" customFormat="false" ht="15" hidden="false" customHeight="true" outlineLevel="0" collapsed="false">
      <c r="A10902" s="6" t="s">
        <v>13514</v>
      </c>
      <c r="B10902" s="6" t="s">
        <v>2205</v>
      </c>
      <c r="C10902" s="6" t="s">
        <v>131</v>
      </c>
      <c r="D10902" s="13" t="n">
        <v>45375</v>
      </c>
      <c r="E10902" s="14" t="n">
        <v>889.86</v>
      </c>
      <c r="F10902" s="14" t="n">
        <v>2950.6</v>
      </c>
      <c r="G10902" s="6" t="s">
        <v>2613</v>
      </c>
    </row>
    <row r="10903" customFormat="false" ht="15" hidden="false" customHeight="true" outlineLevel="0" collapsed="false">
      <c r="A10903" s="6" t="s">
        <v>13515</v>
      </c>
      <c r="B10903" s="6" t="s">
        <v>2205</v>
      </c>
      <c r="C10903" s="6" t="s">
        <v>131</v>
      </c>
      <c r="D10903" s="13" t="n">
        <v>45382</v>
      </c>
      <c r="E10903" s="14" t="n">
        <v>953.9</v>
      </c>
      <c r="F10903" s="14" t="n">
        <v>3904.5</v>
      </c>
      <c r="G10903" s="6" t="s">
        <v>2613</v>
      </c>
    </row>
    <row r="10904" customFormat="false" ht="15" hidden="false" customHeight="true" outlineLevel="0" collapsed="false">
      <c r="A10904" s="6" t="s">
        <v>13516</v>
      </c>
      <c r="B10904" s="6" t="s">
        <v>2207</v>
      </c>
      <c r="C10904" s="6" t="s">
        <v>124</v>
      </c>
      <c r="D10904" s="13" t="n">
        <v>45707</v>
      </c>
      <c r="E10904" s="14" t="n">
        <v>8613.42</v>
      </c>
      <c r="F10904" s="14" t="n">
        <v>8613.42</v>
      </c>
      <c r="G10904" s="6" t="s">
        <v>2613</v>
      </c>
    </row>
    <row r="10905" customFormat="false" ht="15" hidden="false" customHeight="true" outlineLevel="0" collapsed="false">
      <c r="A10905" s="6" t="s">
        <v>13517</v>
      </c>
      <c r="B10905" s="6" t="s">
        <v>2207</v>
      </c>
      <c r="C10905" s="6" t="s">
        <v>124</v>
      </c>
      <c r="D10905" s="13" t="n">
        <v>45714</v>
      </c>
      <c r="E10905" s="14" t="n">
        <v>10437.02</v>
      </c>
      <c r="F10905" s="14" t="n">
        <v>19050.44</v>
      </c>
      <c r="G10905" s="6" t="s">
        <v>2613</v>
      </c>
    </row>
    <row r="10906" customFormat="false" ht="15" hidden="false" customHeight="true" outlineLevel="0" collapsed="false">
      <c r="A10906" s="6" t="s">
        <v>13518</v>
      </c>
      <c r="B10906" s="6" t="s">
        <v>2207</v>
      </c>
      <c r="C10906" s="6" t="s">
        <v>124</v>
      </c>
      <c r="D10906" s="13" t="n">
        <v>45721</v>
      </c>
      <c r="E10906" s="14" t="n">
        <v>9666.68</v>
      </c>
      <c r="F10906" s="14" t="n">
        <v>28717.12</v>
      </c>
      <c r="G10906" s="6" t="s">
        <v>2613</v>
      </c>
    </row>
    <row r="10907" customFormat="false" ht="15" hidden="false" customHeight="true" outlineLevel="0" collapsed="false">
      <c r="A10907" s="6" t="s">
        <v>13519</v>
      </c>
      <c r="B10907" s="6" t="s">
        <v>2207</v>
      </c>
      <c r="C10907" s="6" t="s">
        <v>124</v>
      </c>
      <c r="D10907" s="13" t="n">
        <v>45728</v>
      </c>
      <c r="E10907" s="14" t="n">
        <v>8631.05</v>
      </c>
      <c r="F10907" s="14" t="n">
        <v>37348.17</v>
      </c>
      <c r="G10907" s="6" t="s">
        <v>2623</v>
      </c>
    </row>
    <row r="10908" customFormat="false" ht="15" hidden="false" customHeight="true" outlineLevel="0" collapsed="false">
      <c r="A10908" s="6" t="s">
        <v>13520</v>
      </c>
      <c r="B10908" s="6" t="s">
        <v>2207</v>
      </c>
      <c r="C10908" s="6" t="s">
        <v>124</v>
      </c>
      <c r="D10908" s="13" t="n">
        <v>45735</v>
      </c>
      <c r="E10908" s="14" t="n">
        <v>8474.83</v>
      </c>
      <c r="F10908" s="14" t="n">
        <v>45823</v>
      </c>
      <c r="G10908" s="6" t="s">
        <v>2613</v>
      </c>
    </row>
    <row r="10909" customFormat="false" ht="15" hidden="false" customHeight="true" outlineLevel="0" collapsed="false">
      <c r="A10909" s="6" t="s">
        <v>13521</v>
      </c>
      <c r="B10909" s="6" t="s">
        <v>2207</v>
      </c>
      <c r="C10909" s="6" t="s">
        <v>124</v>
      </c>
      <c r="D10909" s="13" t="n">
        <v>45742</v>
      </c>
      <c r="E10909" s="14" t="n">
        <v>5081.34</v>
      </c>
      <c r="F10909" s="14" t="n">
        <v>50904.34</v>
      </c>
      <c r="G10909" s="6" t="s">
        <v>2613</v>
      </c>
    </row>
    <row r="10910" customFormat="false" ht="15" hidden="false" customHeight="true" outlineLevel="0" collapsed="false">
      <c r="A10910" s="6" t="s">
        <v>13522</v>
      </c>
      <c r="B10910" s="6" t="s">
        <v>2207</v>
      </c>
      <c r="C10910" s="6" t="s">
        <v>124</v>
      </c>
      <c r="D10910" s="13" t="n">
        <v>45749</v>
      </c>
      <c r="E10910" s="14" t="n">
        <v>10604.33</v>
      </c>
      <c r="F10910" s="14" t="n">
        <v>61508.67</v>
      </c>
      <c r="G10910" s="6" t="s">
        <v>2613</v>
      </c>
    </row>
    <row r="10911" customFormat="false" ht="15" hidden="false" customHeight="true" outlineLevel="0" collapsed="false">
      <c r="A10911" s="6" t="s">
        <v>13523</v>
      </c>
      <c r="B10911" s="6" t="s">
        <v>2207</v>
      </c>
      <c r="C10911" s="6" t="s">
        <v>124</v>
      </c>
      <c r="D10911" s="13" t="n">
        <v>45756</v>
      </c>
      <c r="E10911" s="14" t="n">
        <v>7344.13</v>
      </c>
      <c r="F10911" s="14" t="n">
        <v>68852.8</v>
      </c>
      <c r="G10911" s="6" t="s">
        <v>2613</v>
      </c>
    </row>
    <row r="10912" customFormat="false" ht="15" hidden="false" customHeight="true" outlineLevel="0" collapsed="false">
      <c r="A10912" s="6" t="s">
        <v>13524</v>
      </c>
      <c r="B10912" s="6" t="s">
        <v>2209</v>
      </c>
      <c r="C10912" s="6" t="s">
        <v>112</v>
      </c>
      <c r="D10912" s="13" t="n">
        <v>45117</v>
      </c>
      <c r="E10912" s="14" t="n">
        <v>3013.41</v>
      </c>
      <c r="F10912" s="14" t="n">
        <v>3013.41</v>
      </c>
      <c r="G10912" s="6" t="s">
        <v>2623</v>
      </c>
    </row>
    <row r="10913" customFormat="false" ht="15" hidden="false" customHeight="true" outlineLevel="0" collapsed="false">
      <c r="A10913" s="6" t="s">
        <v>13525</v>
      </c>
      <c r="B10913" s="6" t="s">
        <v>2209</v>
      </c>
      <c r="C10913" s="6" t="s">
        <v>112</v>
      </c>
      <c r="D10913" s="13" t="n">
        <v>45124</v>
      </c>
      <c r="E10913" s="14" t="n">
        <v>3215.79</v>
      </c>
      <c r="F10913" s="14" t="n">
        <v>6229.2</v>
      </c>
      <c r="G10913" s="6" t="s">
        <v>2623</v>
      </c>
    </row>
    <row r="10914" customFormat="false" ht="15" hidden="false" customHeight="true" outlineLevel="0" collapsed="false">
      <c r="A10914" s="6" t="s">
        <v>13526</v>
      </c>
      <c r="B10914" s="6" t="s">
        <v>2209</v>
      </c>
      <c r="C10914" s="6" t="s">
        <v>112</v>
      </c>
      <c r="D10914" s="13" t="n">
        <v>45131</v>
      </c>
      <c r="E10914" s="14" t="n">
        <v>4173.06</v>
      </c>
      <c r="F10914" s="14" t="n">
        <v>10402.26</v>
      </c>
      <c r="G10914" s="6" t="s">
        <v>2613</v>
      </c>
    </row>
    <row r="10915" customFormat="false" ht="15" hidden="false" customHeight="true" outlineLevel="0" collapsed="false">
      <c r="A10915" s="6" t="s">
        <v>13527</v>
      </c>
      <c r="B10915" s="6" t="s">
        <v>2209</v>
      </c>
      <c r="C10915" s="6" t="s">
        <v>112</v>
      </c>
      <c r="D10915" s="13" t="n">
        <v>45138</v>
      </c>
      <c r="E10915" s="14" t="n">
        <v>5988.08</v>
      </c>
      <c r="F10915" s="14" t="n">
        <v>16390.34</v>
      </c>
      <c r="G10915" s="6" t="s">
        <v>2613</v>
      </c>
    </row>
    <row r="10916" customFormat="false" ht="15" hidden="false" customHeight="true" outlineLevel="0" collapsed="false">
      <c r="A10916" s="6" t="s">
        <v>13528</v>
      </c>
      <c r="B10916" s="6" t="s">
        <v>2209</v>
      </c>
      <c r="C10916" s="6" t="s">
        <v>112</v>
      </c>
      <c r="D10916" s="13" t="n">
        <v>45145</v>
      </c>
      <c r="E10916" s="14" t="n">
        <v>6043.78</v>
      </c>
      <c r="F10916" s="14" t="n">
        <v>22434.12</v>
      </c>
      <c r="G10916" s="6" t="s">
        <v>2613</v>
      </c>
    </row>
    <row r="10917" customFormat="false" ht="15" hidden="false" customHeight="true" outlineLevel="0" collapsed="false">
      <c r="A10917" s="6" t="s">
        <v>13529</v>
      </c>
      <c r="B10917" s="6" t="s">
        <v>2209</v>
      </c>
      <c r="C10917" s="6" t="s">
        <v>112</v>
      </c>
      <c r="D10917" s="13" t="n">
        <v>45152</v>
      </c>
      <c r="E10917" s="14" t="n">
        <v>2812.93</v>
      </c>
      <c r="F10917" s="14" t="n">
        <v>25247.05</v>
      </c>
      <c r="G10917" s="6" t="s">
        <v>2613</v>
      </c>
    </row>
    <row r="10918" customFormat="false" ht="15" hidden="false" customHeight="true" outlineLevel="0" collapsed="false">
      <c r="A10918" s="6" t="s">
        <v>13530</v>
      </c>
      <c r="B10918" s="6" t="s">
        <v>2209</v>
      </c>
      <c r="C10918" s="6" t="s">
        <v>112</v>
      </c>
      <c r="D10918" s="13" t="n">
        <v>45159</v>
      </c>
      <c r="E10918" s="14" t="n">
        <v>5039.29</v>
      </c>
      <c r="F10918" s="14" t="n">
        <v>30286.34</v>
      </c>
      <c r="G10918" s="6" t="s">
        <v>2613</v>
      </c>
    </row>
    <row r="10919" customFormat="false" ht="15" hidden="false" customHeight="true" outlineLevel="0" collapsed="false">
      <c r="A10919" s="6" t="s">
        <v>13531</v>
      </c>
      <c r="B10919" s="6" t="s">
        <v>2209</v>
      </c>
      <c r="C10919" s="6" t="s">
        <v>112</v>
      </c>
      <c r="D10919" s="13" t="n">
        <v>45166</v>
      </c>
      <c r="E10919" s="14" t="n">
        <v>3565.76</v>
      </c>
      <c r="F10919" s="14" t="n">
        <v>33852.1</v>
      </c>
      <c r="G10919" s="6" t="s">
        <v>2613</v>
      </c>
    </row>
    <row r="10920" customFormat="false" ht="15" hidden="false" customHeight="true" outlineLevel="0" collapsed="false">
      <c r="A10920" s="6" t="s">
        <v>13532</v>
      </c>
      <c r="B10920" s="6" t="s">
        <v>2209</v>
      </c>
      <c r="C10920" s="6" t="s">
        <v>112</v>
      </c>
      <c r="D10920" s="13" t="n">
        <v>45173</v>
      </c>
      <c r="E10920" s="14" t="n">
        <v>6078.04</v>
      </c>
      <c r="F10920" s="14" t="n">
        <v>39930.14</v>
      </c>
      <c r="G10920" s="6" t="s">
        <v>2613</v>
      </c>
    </row>
    <row r="10921" customFormat="false" ht="15" hidden="false" customHeight="true" outlineLevel="0" collapsed="false">
      <c r="A10921" s="6" t="s">
        <v>13533</v>
      </c>
      <c r="B10921" s="6" t="s">
        <v>2209</v>
      </c>
      <c r="C10921" s="6" t="s">
        <v>112</v>
      </c>
      <c r="D10921" s="13" t="n">
        <v>45180</v>
      </c>
      <c r="E10921" s="14" t="n">
        <v>4467.25</v>
      </c>
      <c r="F10921" s="14" t="n">
        <v>44397.39</v>
      </c>
      <c r="G10921" s="6" t="s">
        <v>2613</v>
      </c>
    </row>
    <row r="10922" customFormat="false" ht="15" hidden="false" customHeight="true" outlineLevel="0" collapsed="false">
      <c r="A10922" s="6" t="s">
        <v>13534</v>
      </c>
      <c r="B10922" s="6" t="s">
        <v>2209</v>
      </c>
      <c r="C10922" s="6" t="s">
        <v>112</v>
      </c>
      <c r="D10922" s="13" t="n">
        <v>45187</v>
      </c>
      <c r="E10922" s="14" t="n">
        <v>4309.35</v>
      </c>
      <c r="F10922" s="14" t="n">
        <v>48706.74</v>
      </c>
      <c r="G10922" s="6" t="s">
        <v>2613</v>
      </c>
    </row>
    <row r="10923" customFormat="false" ht="15" hidden="false" customHeight="true" outlineLevel="0" collapsed="false">
      <c r="A10923" s="6" t="s">
        <v>13535</v>
      </c>
      <c r="B10923" s="6" t="s">
        <v>2209</v>
      </c>
      <c r="C10923" s="6" t="s">
        <v>112</v>
      </c>
      <c r="D10923" s="13" t="n">
        <v>45194</v>
      </c>
      <c r="E10923" s="14" t="n">
        <v>5739.06</v>
      </c>
      <c r="F10923" s="14" t="n">
        <v>54445.8</v>
      </c>
      <c r="G10923" s="6" t="s">
        <v>2613</v>
      </c>
    </row>
    <row r="10924" customFormat="false" ht="15" hidden="false" customHeight="true" outlineLevel="0" collapsed="false">
      <c r="A10924" s="6" t="s">
        <v>13536</v>
      </c>
      <c r="B10924" s="6" t="s">
        <v>2209</v>
      </c>
      <c r="C10924" s="6" t="s">
        <v>112</v>
      </c>
      <c r="D10924" s="13" t="n">
        <v>45201</v>
      </c>
      <c r="E10924" s="14" t="n">
        <v>2881.28</v>
      </c>
      <c r="F10924" s="14" t="n">
        <v>57327.08</v>
      </c>
      <c r="G10924" s="6" t="s">
        <v>2613</v>
      </c>
    </row>
    <row r="10925" customFormat="false" ht="15" hidden="false" customHeight="true" outlineLevel="0" collapsed="false">
      <c r="A10925" s="6" t="s">
        <v>13537</v>
      </c>
      <c r="B10925" s="6" t="s">
        <v>2209</v>
      </c>
      <c r="C10925" s="6" t="s">
        <v>112</v>
      </c>
      <c r="D10925" s="13" t="n">
        <v>45208</v>
      </c>
      <c r="E10925" s="14" t="n">
        <v>4975.15</v>
      </c>
      <c r="F10925" s="14" t="n">
        <v>62302.23</v>
      </c>
      <c r="G10925" s="6" t="s">
        <v>2613</v>
      </c>
    </row>
    <row r="10926" customFormat="false" ht="15" hidden="false" customHeight="true" outlineLevel="0" collapsed="false">
      <c r="A10926" s="6" t="s">
        <v>13538</v>
      </c>
      <c r="B10926" s="6" t="s">
        <v>2211</v>
      </c>
      <c r="C10926" s="6" t="s">
        <v>131</v>
      </c>
      <c r="D10926" s="13" t="n">
        <v>44920</v>
      </c>
      <c r="E10926" s="14" t="n">
        <v>3383.16</v>
      </c>
      <c r="F10926" s="14" t="n">
        <v>3383.16</v>
      </c>
      <c r="G10926" s="6" t="s">
        <v>2613</v>
      </c>
    </row>
    <row r="10927" customFormat="false" ht="15" hidden="false" customHeight="true" outlineLevel="0" collapsed="false">
      <c r="A10927" s="6" t="s">
        <v>13539</v>
      </c>
      <c r="B10927" s="6" t="s">
        <v>2211</v>
      </c>
      <c r="C10927" s="6" t="s">
        <v>131</v>
      </c>
      <c r="D10927" s="13" t="n">
        <v>44927</v>
      </c>
      <c r="E10927" s="14" t="n">
        <v>3920.32</v>
      </c>
      <c r="F10927" s="14" t="n">
        <v>7303.48</v>
      </c>
      <c r="G10927" s="6" t="s">
        <v>2613</v>
      </c>
    </row>
    <row r="10928" customFormat="false" ht="15" hidden="false" customHeight="true" outlineLevel="0" collapsed="false">
      <c r="A10928" s="6" t="s">
        <v>13540</v>
      </c>
      <c r="B10928" s="6" t="s">
        <v>2211</v>
      </c>
      <c r="C10928" s="6" t="s">
        <v>131</v>
      </c>
      <c r="D10928" s="13" t="n">
        <v>44934</v>
      </c>
      <c r="E10928" s="14" t="n">
        <v>5161.82</v>
      </c>
      <c r="F10928" s="14" t="n">
        <v>12465.3</v>
      </c>
      <c r="G10928" s="6" t="s">
        <v>2623</v>
      </c>
    </row>
    <row r="10929" customFormat="false" ht="15" hidden="false" customHeight="true" outlineLevel="0" collapsed="false">
      <c r="A10929" s="6" t="s">
        <v>13541</v>
      </c>
      <c r="B10929" s="6" t="s">
        <v>2211</v>
      </c>
      <c r="C10929" s="6" t="s">
        <v>131</v>
      </c>
      <c r="D10929" s="13" t="n">
        <v>44941</v>
      </c>
      <c r="E10929" s="14" t="n">
        <v>5217.84</v>
      </c>
      <c r="F10929" s="14" t="n">
        <v>17683.14</v>
      </c>
      <c r="G10929" s="6" t="s">
        <v>2613</v>
      </c>
    </row>
    <row r="10930" customFormat="false" ht="15" hidden="false" customHeight="true" outlineLevel="0" collapsed="false">
      <c r="A10930" s="6" t="s">
        <v>13542</v>
      </c>
      <c r="B10930" s="6" t="s">
        <v>2211</v>
      </c>
      <c r="C10930" s="6" t="s">
        <v>131</v>
      </c>
      <c r="D10930" s="13" t="n">
        <v>44948</v>
      </c>
      <c r="E10930" s="14" t="n">
        <v>5916.84</v>
      </c>
      <c r="F10930" s="14" t="n">
        <v>23599.98</v>
      </c>
      <c r="G10930" s="6" t="s">
        <v>2613</v>
      </c>
    </row>
    <row r="10931" customFormat="false" ht="15" hidden="false" customHeight="true" outlineLevel="0" collapsed="false">
      <c r="A10931" s="6" t="s">
        <v>13543</v>
      </c>
      <c r="B10931" s="6" t="s">
        <v>2211</v>
      </c>
      <c r="C10931" s="6" t="s">
        <v>131</v>
      </c>
      <c r="D10931" s="13" t="n">
        <v>44955</v>
      </c>
      <c r="E10931" s="14" t="n">
        <v>4769.11</v>
      </c>
      <c r="F10931" s="14" t="n">
        <v>28369.09</v>
      </c>
      <c r="G10931" s="6" t="s">
        <v>2613</v>
      </c>
    </row>
    <row r="10932" customFormat="false" ht="15" hidden="false" customHeight="true" outlineLevel="0" collapsed="false">
      <c r="A10932" s="6" t="s">
        <v>13544</v>
      </c>
      <c r="B10932" s="6" t="s">
        <v>2211</v>
      </c>
      <c r="C10932" s="6" t="s">
        <v>131</v>
      </c>
      <c r="D10932" s="13" t="n">
        <v>44962</v>
      </c>
      <c r="E10932" s="14" t="n">
        <v>3117.26</v>
      </c>
      <c r="F10932" s="14" t="n">
        <v>31486.35</v>
      </c>
      <c r="G10932" s="6" t="s">
        <v>2613</v>
      </c>
    </row>
    <row r="10933" customFormat="false" ht="15" hidden="false" customHeight="true" outlineLevel="0" collapsed="false">
      <c r="A10933" s="6" t="s">
        <v>13545</v>
      </c>
      <c r="B10933" s="6" t="s">
        <v>2213</v>
      </c>
      <c r="C10933" s="6" t="s">
        <v>131</v>
      </c>
      <c r="D10933" s="13" t="n">
        <v>46049</v>
      </c>
      <c r="E10933" s="14" t="n">
        <v>1902.73</v>
      </c>
      <c r="F10933" s="14" t="n">
        <v>1902.73</v>
      </c>
      <c r="G10933" s="6" t="s">
        <v>2613</v>
      </c>
    </row>
    <row r="10934" customFormat="false" ht="15" hidden="false" customHeight="true" outlineLevel="0" collapsed="false">
      <c r="A10934" s="6" t="s">
        <v>13546</v>
      </c>
      <c r="B10934" s="6" t="s">
        <v>2213</v>
      </c>
      <c r="C10934" s="6" t="s">
        <v>131</v>
      </c>
      <c r="D10934" s="13" t="n">
        <v>46056</v>
      </c>
      <c r="E10934" s="14" t="n">
        <v>2346.85</v>
      </c>
      <c r="F10934" s="14" t="n">
        <v>4249.58</v>
      </c>
      <c r="G10934" s="6" t="s">
        <v>2613</v>
      </c>
    </row>
    <row r="10935" customFormat="false" ht="15" hidden="false" customHeight="true" outlineLevel="0" collapsed="false">
      <c r="A10935" s="6" t="s">
        <v>13547</v>
      </c>
      <c r="B10935" s="6" t="s">
        <v>2213</v>
      </c>
      <c r="C10935" s="6" t="s">
        <v>131</v>
      </c>
      <c r="D10935" s="13" t="n">
        <v>46063</v>
      </c>
      <c r="E10935" s="14" t="n">
        <v>2255.9</v>
      </c>
      <c r="F10935" s="14" t="n">
        <v>6505.48</v>
      </c>
      <c r="G10935" s="6" t="s">
        <v>2613</v>
      </c>
    </row>
    <row r="10936" customFormat="false" ht="15" hidden="false" customHeight="true" outlineLevel="0" collapsed="false">
      <c r="A10936" s="6" t="s">
        <v>13548</v>
      </c>
      <c r="B10936" s="6" t="s">
        <v>2215</v>
      </c>
      <c r="C10936" s="6" t="s">
        <v>131</v>
      </c>
      <c r="D10936" s="13" t="n">
        <v>44575</v>
      </c>
      <c r="E10936" s="14" t="n">
        <v>1125.01</v>
      </c>
      <c r="F10936" s="14" t="n">
        <v>1125.01</v>
      </c>
      <c r="G10936" s="6" t="s">
        <v>2613</v>
      </c>
    </row>
    <row r="10937" customFormat="false" ht="15" hidden="false" customHeight="true" outlineLevel="0" collapsed="false">
      <c r="A10937" s="6" t="s">
        <v>13549</v>
      </c>
      <c r="B10937" s="6" t="s">
        <v>2215</v>
      </c>
      <c r="C10937" s="6" t="s">
        <v>131</v>
      </c>
      <c r="D10937" s="13" t="n">
        <v>44582</v>
      </c>
      <c r="E10937" s="14" t="n">
        <v>1637.78</v>
      </c>
      <c r="F10937" s="14" t="n">
        <v>2762.79</v>
      </c>
      <c r="G10937" s="6" t="s">
        <v>2613</v>
      </c>
    </row>
    <row r="10938" customFormat="false" ht="15" hidden="false" customHeight="true" outlineLevel="0" collapsed="false">
      <c r="A10938" s="6" t="s">
        <v>13550</v>
      </c>
      <c r="B10938" s="6" t="s">
        <v>2215</v>
      </c>
      <c r="C10938" s="6" t="s">
        <v>131</v>
      </c>
      <c r="D10938" s="13" t="n">
        <v>44589</v>
      </c>
      <c r="E10938" s="14" t="n">
        <v>2133.55</v>
      </c>
      <c r="F10938" s="14" t="n">
        <v>4896.34</v>
      </c>
      <c r="G10938" s="6" t="s">
        <v>2613</v>
      </c>
    </row>
    <row r="10939" customFormat="false" ht="15" hidden="false" customHeight="true" outlineLevel="0" collapsed="false">
      <c r="A10939" s="6" t="s">
        <v>13551</v>
      </c>
      <c r="B10939" s="6" t="s">
        <v>2215</v>
      </c>
      <c r="C10939" s="6" t="s">
        <v>131</v>
      </c>
      <c r="D10939" s="13" t="n">
        <v>44596</v>
      </c>
      <c r="E10939" s="14" t="n">
        <v>2010.26</v>
      </c>
      <c r="F10939" s="14" t="n">
        <v>6906.6</v>
      </c>
      <c r="G10939" s="6" t="s">
        <v>2613</v>
      </c>
    </row>
    <row r="10940" customFormat="false" ht="15" hidden="false" customHeight="true" outlineLevel="0" collapsed="false">
      <c r="A10940" s="6" t="s">
        <v>13552</v>
      </c>
      <c r="B10940" s="6" t="s">
        <v>2215</v>
      </c>
      <c r="C10940" s="6" t="s">
        <v>131</v>
      </c>
      <c r="D10940" s="13" t="n">
        <v>44603</v>
      </c>
      <c r="E10940" s="14" t="n">
        <v>1568.42</v>
      </c>
      <c r="F10940" s="14" t="n">
        <v>8475.02</v>
      </c>
      <c r="G10940" s="6" t="s">
        <v>2613</v>
      </c>
    </row>
    <row r="10941" customFormat="false" ht="15" hidden="false" customHeight="true" outlineLevel="0" collapsed="false">
      <c r="A10941" s="6" t="s">
        <v>13553</v>
      </c>
      <c r="B10941" s="6" t="s">
        <v>2215</v>
      </c>
      <c r="C10941" s="6" t="s">
        <v>131</v>
      </c>
      <c r="D10941" s="13" t="n">
        <v>44610</v>
      </c>
      <c r="E10941" s="14" t="n">
        <v>1402.46</v>
      </c>
      <c r="F10941" s="14" t="n">
        <v>9877.48</v>
      </c>
      <c r="G10941" s="6" t="s">
        <v>2613</v>
      </c>
    </row>
    <row r="10942" customFormat="false" ht="15" hidden="false" customHeight="true" outlineLevel="0" collapsed="false">
      <c r="A10942" s="6" t="s">
        <v>13554</v>
      </c>
      <c r="B10942" s="6" t="s">
        <v>2215</v>
      </c>
      <c r="C10942" s="6" t="s">
        <v>131</v>
      </c>
      <c r="D10942" s="13" t="n">
        <v>44617</v>
      </c>
      <c r="E10942" s="14" t="n">
        <v>1525.13</v>
      </c>
      <c r="F10942" s="14" t="n">
        <v>11402.61</v>
      </c>
      <c r="G10942" s="6" t="s">
        <v>2613</v>
      </c>
    </row>
    <row r="10943" customFormat="false" ht="15" hidden="false" customHeight="true" outlineLevel="0" collapsed="false">
      <c r="A10943" s="6" t="s">
        <v>13555</v>
      </c>
      <c r="B10943" s="6" t="s">
        <v>2215</v>
      </c>
      <c r="C10943" s="6" t="s">
        <v>131</v>
      </c>
      <c r="D10943" s="13" t="n">
        <v>44624</v>
      </c>
      <c r="E10943" s="14" t="n">
        <v>1625.89</v>
      </c>
      <c r="F10943" s="14" t="n">
        <v>13028.5</v>
      </c>
      <c r="G10943" s="6" t="s">
        <v>2613</v>
      </c>
    </row>
    <row r="10944" customFormat="false" ht="15" hidden="false" customHeight="true" outlineLevel="0" collapsed="false">
      <c r="A10944" s="6" t="s">
        <v>13556</v>
      </c>
      <c r="B10944" s="6" t="s">
        <v>2215</v>
      </c>
      <c r="C10944" s="6" t="s">
        <v>131</v>
      </c>
      <c r="D10944" s="13" t="n">
        <v>44631</v>
      </c>
      <c r="E10944" s="14" t="n">
        <v>2161.68</v>
      </c>
      <c r="F10944" s="14" t="n">
        <v>15190.18</v>
      </c>
      <c r="G10944" s="6" t="s">
        <v>2613</v>
      </c>
    </row>
    <row r="10945" customFormat="false" ht="15" hidden="false" customHeight="true" outlineLevel="0" collapsed="false">
      <c r="A10945" s="6" t="s">
        <v>13557</v>
      </c>
      <c r="B10945" s="6" t="s">
        <v>2215</v>
      </c>
      <c r="C10945" s="6" t="s">
        <v>131</v>
      </c>
      <c r="D10945" s="13" t="n">
        <v>44638</v>
      </c>
      <c r="E10945" s="14" t="n">
        <v>1631.46</v>
      </c>
      <c r="F10945" s="14" t="n">
        <v>16821.64</v>
      </c>
      <c r="G10945" s="6" t="s">
        <v>2613</v>
      </c>
    </row>
    <row r="10946" customFormat="false" ht="15" hidden="false" customHeight="true" outlineLevel="0" collapsed="false">
      <c r="A10946" s="6" t="s">
        <v>13558</v>
      </c>
      <c r="B10946" s="6" t="s">
        <v>2215</v>
      </c>
      <c r="C10946" s="6" t="s">
        <v>131</v>
      </c>
      <c r="D10946" s="13" t="n">
        <v>44645</v>
      </c>
      <c r="E10946" s="14" t="n">
        <v>1318.12</v>
      </c>
      <c r="F10946" s="14" t="n">
        <v>18139.76</v>
      </c>
      <c r="G10946" s="6" t="s">
        <v>2613</v>
      </c>
    </row>
    <row r="10947" customFormat="false" ht="15" hidden="false" customHeight="true" outlineLevel="0" collapsed="false">
      <c r="A10947" s="6" t="s">
        <v>13559</v>
      </c>
      <c r="B10947" s="6" t="s">
        <v>2215</v>
      </c>
      <c r="C10947" s="6" t="s">
        <v>131</v>
      </c>
      <c r="D10947" s="13" t="n">
        <v>44652</v>
      </c>
      <c r="E10947" s="14" t="n">
        <v>1441.36</v>
      </c>
      <c r="F10947" s="14" t="n">
        <v>19581.12</v>
      </c>
      <c r="G10947" s="6" t="s">
        <v>2613</v>
      </c>
    </row>
    <row r="10948" customFormat="false" ht="15" hidden="false" customHeight="true" outlineLevel="0" collapsed="false">
      <c r="A10948" s="6" t="s">
        <v>13560</v>
      </c>
      <c r="B10948" s="6" t="s">
        <v>2215</v>
      </c>
      <c r="C10948" s="6" t="s">
        <v>131</v>
      </c>
      <c r="D10948" s="13" t="n">
        <v>44659</v>
      </c>
      <c r="E10948" s="14" t="n">
        <v>1552.62</v>
      </c>
      <c r="F10948" s="14" t="n">
        <v>21133.74</v>
      </c>
      <c r="G10948" s="6" t="s">
        <v>2613</v>
      </c>
    </row>
    <row r="10949" customFormat="false" ht="15" hidden="false" customHeight="true" outlineLevel="0" collapsed="false">
      <c r="A10949" s="6" t="s">
        <v>13561</v>
      </c>
      <c r="B10949" s="6" t="s">
        <v>2215</v>
      </c>
      <c r="C10949" s="6" t="s">
        <v>131</v>
      </c>
      <c r="D10949" s="13" t="n">
        <v>44666</v>
      </c>
      <c r="E10949" s="14" t="n">
        <v>2078.67</v>
      </c>
      <c r="F10949" s="14" t="n">
        <v>23212.41</v>
      </c>
      <c r="G10949" s="6" t="s">
        <v>2613</v>
      </c>
    </row>
    <row r="10950" customFormat="false" ht="15" hidden="false" customHeight="true" outlineLevel="0" collapsed="false">
      <c r="A10950" s="6" t="s">
        <v>13562</v>
      </c>
      <c r="B10950" s="6" t="s">
        <v>2215</v>
      </c>
      <c r="C10950" s="6" t="s">
        <v>131</v>
      </c>
      <c r="D10950" s="13" t="n">
        <v>44673</v>
      </c>
      <c r="E10950" s="14" t="n">
        <v>2361.97</v>
      </c>
      <c r="F10950" s="14" t="n">
        <v>25574.38</v>
      </c>
      <c r="G10950" s="6" t="s">
        <v>2613</v>
      </c>
    </row>
    <row r="10951" customFormat="false" ht="15" hidden="false" customHeight="true" outlineLevel="0" collapsed="false">
      <c r="A10951" s="6" t="s">
        <v>13563</v>
      </c>
      <c r="B10951" s="6" t="s">
        <v>2215</v>
      </c>
      <c r="C10951" s="6" t="s">
        <v>131</v>
      </c>
      <c r="D10951" s="13" t="n">
        <v>44680</v>
      </c>
      <c r="E10951" s="14" t="n">
        <v>2323.52</v>
      </c>
      <c r="F10951" s="14" t="n">
        <v>27897.9</v>
      </c>
      <c r="G10951" s="6" t="s">
        <v>2613</v>
      </c>
    </row>
    <row r="10952" customFormat="false" ht="15" hidden="false" customHeight="true" outlineLevel="0" collapsed="false">
      <c r="A10952" s="6" t="s">
        <v>13564</v>
      </c>
      <c r="B10952" s="6" t="s">
        <v>2217</v>
      </c>
      <c r="C10952" s="6" t="s">
        <v>116</v>
      </c>
      <c r="D10952" s="13" t="n">
        <v>46136</v>
      </c>
      <c r="E10952" s="14" t="n">
        <v>661.76</v>
      </c>
      <c r="F10952" s="14" t="n">
        <v>661.76</v>
      </c>
      <c r="G10952" s="6" t="s">
        <v>2613</v>
      </c>
    </row>
    <row r="10953" customFormat="false" ht="15" hidden="false" customHeight="true" outlineLevel="0" collapsed="false">
      <c r="A10953" s="6" t="s">
        <v>13565</v>
      </c>
      <c r="B10953" s="6" t="s">
        <v>2217</v>
      </c>
      <c r="C10953" s="6" t="s">
        <v>116</v>
      </c>
      <c r="D10953" s="13" t="n">
        <v>46143</v>
      </c>
      <c r="E10953" s="14" t="n">
        <v>829.5</v>
      </c>
      <c r="F10953" s="14" t="n">
        <v>1491.26</v>
      </c>
      <c r="G10953" s="6" t="s">
        <v>2613</v>
      </c>
    </row>
    <row r="10954" customFormat="false" ht="15" hidden="false" customHeight="true" outlineLevel="0" collapsed="false">
      <c r="A10954" s="6" t="s">
        <v>13566</v>
      </c>
      <c r="B10954" s="6" t="s">
        <v>2217</v>
      </c>
      <c r="C10954" s="6" t="s">
        <v>116</v>
      </c>
      <c r="D10954" s="13" t="n">
        <v>46150</v>
      </c>
      <c r="E10954" s="14" t="n">
        <v>582.8</v>
      </c>
      <c r="F10954" s="14" t="n">
        <v>2074.06</v>
      </c>
      <c r="G10954" s="6" t="s">
        <v>2613</v>
      </c>
    </row>
    <row r="10955" customFormat="false" ht="15" hidden="false" customHeight="true" outlineLevel="0" collapsed="false">
      <c r="A10955" s="6" t="s">
        <v>13567</v>
      </c>
      <c r="B10955" s="6" t="s">
        <v>2217</v>
      </c>
      <c r="C10955" s="6" t="s">
        <v>116</v>
      </c>
      <c r="D10955" s="13" t="n">
        <v>46157</v>
      </c>
      <c r="E10955" s="14" t="n">
        <v>851.67</v>
      </c>
      <c r="F10955" s="14" t="n">
        <v>2925.73</v>
      </c>
      <c r="G10955" s="6" t="s">
        <v>2623</v>
      </c>
    </row>
    <row r="10956" customFormat="false" ht="15" hidden="false" customHeight="true" outlineLevel="0" collapsed="false">
      <c r="A10956" s="6" t="s">
        <v>13568</v>
      </c>
      <c r="B10956" s="6" t="s">
        <v>2217</v>
      </c>
      <c r="C10956" s="6" t="s">
        <v>116</v>
      </c>
      <c r="D10956" s="13" t="n">
        <v>46164</v>
      </c>
      <c r="E10956" s="14" t="n">
        <v>709.56</v>
      </c>
      <c r="F10956" s="14" t="n">
        <v>3635.29</v>
      </c>
      <c r="G10956" s="6" t="s">
        <v>2613</v>
      </c>
    </row>
    <row r="10957" customFormat="false" ht="15" hidden="false" customHeight="true" outlineLevel="0" collapsed="false">
      <c r="A10957" s="6" t="s">
        <v>13569</v>
      </c>
      <c r="B10957" s="6" t="s">
        <v>2217</v>
      </c>
      <c r="C10957" s="6" t="s">
        <v>116</v>
      </c>
      <c r="D10957" s="13" t="n">
        <v>46171</v>
      </c>
      <c r="E10957" s="14" t="n">
        <v>857.15</v>
      </c>
      <c r="F10957" s="14" t="n">
        <v>4492.44</v>
      </c>
      <c r="G10957" s="6" t="s">
        <v>2613</v>
      </c>
    </row>
    <row r="10958" customFormat="false" ht="15" hidden="false" customHeight="true" outlineLevel="0" collapsed="false">
      <c r="A10958" s="6" t="s">
        <v>13570</v>
      </c>
      <c r="B10958" s="6" t="s">
        <v>2217</v>
      </c>
      <c r="C10958" s="6" t="s">
        <v>116</v>
      </c>
      <c r="D10958" s="13" t="n">
        <v>46178</v>
      </c>
      <c r="E10958" s="14" t="n">
        <v>640.92</v>
      </c>
      <c r="F10958" s="14" t="n">
        <v>5133.36</v>
      </c>
      <c r="G10958" s="6" t="s">
        <v>2613</v>
      </c>
    </row>
    <row r="10959" customFormat="false" ht="15" hidden="false" customHeight="true" outlineLevel="0" collapsed="false">
      <c r="A10959" s="6" t="s">
        <v>13571</v>
      </c>
      <c r="B10959" s="6" t="s">
        <v>2217</v>
      </c>
      <c r="C10959" s="6" t="s">
        <v>116</v>
      </c>
      <c r="D10959" s="13" t="n">
        <v>46185</v>
      </c>
      <c r="E10959" s="14" t="n">
        <v>853.14</v>
      </c>
      <c r="F10959" s="14" t="n">
        <v>5986.5</v>
      </c>
      <c r="G10959" s="6" t="s">
        <v>2613</v>
      </c>
    </row>
    <row r="10960" customFormat="false" ht="15" hidden="false" customHeight="true" outlineLevel="0" collapsed="false">
      <c r="A10960" s="6" t="s">
        <v>13572</v>
      </c>
      <c r="B10960" s="6" t="s">
        <v>2217</v>
      </c>
      <c r="C10960" s="6" t="s">
        <v>116</v>
      </c>
      <c r="D10960" s="13" t="n">
        <v>46192</v>
      </c>
      <c r="E10960" s="14" t="n">
        <v>536.17</v>
      </c>
      <c r="F10960" s="14" t="n">
        <v>6522.67</v>
      </c>
      <c r="G10960" s="6" t="s">
        <v>2613</v>
      </c>
    </row>
    <row r="10961" customFormat="false" ht="15" hidden="false" customHeight="true" outlineLevel="0" collapsed="false">
      <c r="A10961" s="6" t="s">
        <v>13573</v>
      </c>
      <c r="B10961" s="6" t="s">
        <v>2217</v>
      </c>
      <c r="C10961" s="6" t="s">
        <v>116</v>
      </c>
      <c r="D10961" s="13" t="n">
        <v>46199</v>
      </c>
      <c r="E10961" s="14" t="n">
        <v>577.89</v>
      </c>
      <c r="F10961" s="14" t="n">
        <v>7100.56</v>
      </c>
      <c r="G10961" s="6" t="s">
        <v>2613</v>
      </c>
    </row>
    <row r="10962" customFormat="false" ht="15" hidden="false" customHeight="true" outlineLevel="0" collapsed="false">
      <c r="A10962" s="6" t="s">
        <v>13574</v>
      </c>
      <c r="B10962" s="6" t="s">
        <v>2219</v>
      </c>
      <c r="C10962" s="6" t="s">
        <v>116</v>
      </c>
      <c r="D10962" s="13" t="n">
        <v>44573</v>
      </c>
      <c r="E10962" s="14" t="n">
        <v>2354.6</v>
      </c>
      <c r="F10962" s="14" t="n">
        <v>2354.6</v>
      </c>
      <c r="G10962" s="6" t="s">
        <v>2613</v>
      </c>
    </row>
    <row r="10963" customFormat="false" ht="15" hidden="false" customHeight="true" outlineLevel="0" collapsed="false">
      <c r="A10963" s="6" t="s">
        <v>13575</v>
      </c>
      <c r="B10963" s="6" t="s">
        <v>2219</v>
      </c>
      <c r="C10963" s="6" t="s">
        <v>116</v>
      </c>
      <c r="D10963" s="13" t="n">
        <v>44580</v>
      </c>
      <c r="E10963" s="14" t="n">
        <v>4588.42</v>
      </c>
      <c r="F10963" s="14" t="n">
        <v>6943.02</v>
      </c>
      <c r="G10963" s="6" t="s">
        <v>2623</v>
      </c>
    </row>
    <row r="10964" customFormat="false" ht="15" hidden="false" customHeight="true" outlineLevel="0" collapsed="false">
      <c r="A10964" s="6" t="s">
        <v>13576</v>
      </c>
      <c r="B10964" s="6" t="s">
        <v>2219</v>
      </c>
      <c r="C10964" s="6" t="s">
        <v>116</v>
      </c>
      <c r="D10964" s="13" t="n">
        <v>44587</v>
      </c>
      <c r="E10964" s="14" t="n">
        <v>3464.69</v>
      </c>
      <c r="F10964" s="14" t="n">
        <v>10407.71</v>
      </c>
      <c r="G10964" s="6" t="s">
        <v>2613</v>
      </c>
    </row>
    <row r="10965" customFormat="false" ht="15" hidden="false" customHeight="true" outlineLevel="0" collapsed="false">
      <c r="A10965" s="6" t="s">
        <v>13577</v>
      </c>
      <c r="B10965" s="6" t="s">
        <v>2219</v>
      </c>
      <c r="C10965" s="6" t="s">
        <v>116</v>
      </c>
      <c r="D10965" s="13" t="n">
        <v>44594</v>
      </c>
      <c r="E10965" s="14" t="n">
        <v>3332.16</v>
      </c>
      <c r="F10965" s="14" t="n">
        <v>13739.87</v>
      </c>
      <c r="G10965" s="6" t="s">
        <v>2613</v>
      </c>
    </row>
    <row r="10966" customFormat="false" ht="15" hidden="false" customHeight="true" outlineLevel="0" collapsed="false">
      <c r="A10966" s="6" t="s">
        <v>13578</v>
      </c>
      <c r="B10966" s="6" t="s">
        <v>2219</v>
      </c>
      <c r="C10966" s="6" t="s">
        <v>116</v>
      </c>
      <c r="D10966" s="13" t="n">
        <v>44601</v>
      </c>
      <c r="E10966" s="14" t="n">
        <v>4516.72</v>
      </c>
      <c r="F10966" s="14" t="n">
        <v>18256.59</v>
      </c>
      <c r="G10966" s="6" t="s">
        <v>2613</v>
      </c>
    </row>
    <row r="10967" customFormat="false" ht="15" hidden="false" customHeight="true" outlineLevel="0" collapsed="false">
      <c r="A10967" s="6" t="s">
        <v>13579</v>
      </c>
      <c r="B10967" s="6" t="s">
        <v>2219</v>
      </c>
      <c r="C10967" s="6" t="s">
        <v>116</v>
      </c>
      <c r="D10967" s="13" t="n">
        <v>44608</v>
      </c>
      <c r="E10967" s="14" t="n">
        <v>2163.6</v>
      </c>
      <c r="F10967" s="14" t="n">
        <v>20420.19</v>
      </c>
      <c r="G10967" s="6" t="s">
        <v>2613</v>
      </c>
    </row>
    <row r="10968" customFormat="false" ht="15" hidden="false" customHeight="true" outlineLevel="0" collapsed="false">
      <c r="A10968" s="6" t="s">
        <v>13580</v>
      </c>
      <c r="B10968" s="6" t="s">
        <v>2219</v>
      </c>
      <c r="C10968" s="6" t="s">
        <v>116</v>
      </c>
      <c r="D10968" s="13" t="n">
        <v>44615</v>
      </c>
      <c r="E10968" s="14" t="n">
        <v>4233.29</v>
      </c>
      <c r="F10968" s="14" t="n">
        <v>24653.48</v>
      </c>
      <c r="G10968" s="6" t="s">
        <v>2613</v>
      </c>
    </row>
    <row r="10969" customFormat="false" ht="15" hidden="false" customHeight="true" outlineLevel="0" collapsed="false">
      <c r="A10969" s="6" t="s">
        <v>13581</v>
      </c>
      <c r="B10969" s="6" t="s">
        <v>2219</v>
      </c>
      <c r="C10969" s="6" t="s">
        <v>116</v>
      </c>
      <c r="D10969" s="13" t="n">
        <v>44622</v>
      </c>
      <c r="E10969" s="14" t="n">
        <v>2736.13</v>
      </c>
      <c r="F10969" s="14" t="n">
        <v>27389.61</v>
      </c>
      <c r="G10969" s="6" t="s">
        <v>2613</v>
      </c>
    </row>
    <row r="10970" customFormat="false" ht="15" hidden="false" customHeight="true" outlineLevel="0" collapsed="false">
      <c r="A10970" s="6" t="s">
        <v>13582</v>
      </c>
      <c r="B10970" s="6" t="s">
        <v>2219</v>
      </c>
      <c r="C10970" s="6" t="s">
        <v>116</v>
      </c>
      <c r="D10970" s="13" t="n">
        <v>44629</v>
      </c>
      <c r="E10970" s="14" t="n">
        <v>4734.08</v>
      </c>
      <c r="F10970" s="14" t="n">
        <v>32123.69</v>
      </c>
      <c r="G10970" s="6" t="s">
        <v>2623</v>
      </c>
    </row>
    <row r="10971" customFormat="false" ht="15" hidden="false" customHeight="true" outlineLevel="0" collapsed="false">
      <c r="A10971" s="6" t="s">
        <v>13583</v>
      </c>
      <c r="B10971" s="6" t="s">
        <v>2219</v>
      </c>
      <c r="C10971" s="6" t="s">
        <v>116</v>
      </c>
      <c r="D10971" s="13" t="n">
        <v>44636</v>
      </c>
      <c r="E10971" s="14" t="n">
        <v>3394.64</v>
      </c>
      <c r="F10971" s="14" t="n">
        <v>35518.33</v>
      </c>
      <c r="G10971" s="6" t="s">
        <v>2613</v>
      </c>
    </row>
    <row r="10972" customFormat="false" ht="15" hidden="false" customHeight="true" outlineLevel="0" collapsed="false">
      <c r="A10972" s="6" t="s">
        <v>13584</v>
      </c>
      <c r="B10972" s="6" t="s">
        <v>2219</v>
      </c>
      <c r="C10972" s="6" t="s">
        <v>116</v>
      </c>
      <c r="D10972" s="13" t="n">
        <v>44643</v>
      </c>
      <c r="E10972" s="14" t="n">
        <v>3127.36</v>
      </c>
      <c r="F10972" s="14" t="n">
        <v>38645.69</v>
      </c>
      <c r="G10972" s="6" t="s">
        <v>2613</v>
      </c>
    </row>
    <row r="10973" customFormat="false" ht="15" hidden="false" customHeight="true" outlineLevel="0" collapsed="false">
      <c r="A10973" s="6" t="s">
        <v>13585</v>
      </c>
      <c r="B10973" s="6" t="s">
        <v>2219</v>
      </c>
      <c r="C10973" s="6" t="s">
        <v>116</v>
      </c>
      <c r="D10973" s="13" t="n">
        <v>44650</v>
      </c>
      <c r="E10973" s="14" t="n">
        <v>4605.41</v>
      </c>
      <c r="F10973" s="14" t="n">
        <v>43251.1</v>
      </c>
      <c r="G10973" s="6" t="s">
        <v>2613</v>
      </c>
    </row>
    <row r="10974" customFormat="false" ht="15" hidden="false" customHeight="true" outlineLevel="0" collapsed="false">
      <c r="A10974" s="6" t="s">
        <v>13586</v>
      </c>
      <c r="B10974" s="6" t="s">
        <v>2219</v>
      </c>
      <c r="C10974" s="6" t="s">
        <v>116</v>
      </c>
      <c r="D10974" s="13" t="n">
        <v>44657</v>
      </c>
      <c r="E10974" s="14" t="n">
        <v>767.56</v>
      </c>
      <c r="F10974" s="14" t="n">
        <v>44018.66</v>
      </c>
      <c r="G10974" s="6" t="s">
        <v>2613</v>
      </c>
    </row>
    <row r="10975" customFormat="false" ht="15" hidden="false" customHeight="true" outlineLevel="0" collapsed="false">
      <c r="A10975" s="6" t="s">
        <v>13587</v>
      </c>
      <c r="B10975" s="6" t="s">
        <v>2221</v>
      </c>
      <c r="C10975" s="6" t="s">
        <v>131</v>
      </c>
      <c r="D10975" s="13" t="n">
        <v>46091</v>
      </c>
      <c r="E10975" s="14" t="n">
        <v>2066.12</v>
      </c>
      <c r="F10975" s="14" t="n">
        <v>2066.12</v>
      </c>
      <c r="G10975" s="6" t="s">
        <v>2613</v>
      </c>
    </row>
    <row r="10976" customFormat="false" ht="15" hidden="false" customHeight="true" outlineLevel="0" collapsed="false">
      <c r="A10976" s="6" t="s">
        <v>13588</v>
      </c>
      <c r="B10976" s="6" t="s">
        <v>2221</v>
      </c>
      <c r="C10976" s="6" t="s">
        <v>131</v>
      </c>
      <c r="D10976" s="13" t="n">
        <v>46098</v>
      </c>
      <c r="E10976" s="14" t="n">
        <v>3578.69</v>
      </c>
      <c r="F10976" s="14" t="n">
        <v>5644.81</v>
      </c>
      <c r="G10976" s="6" t="s">
        <v>2613</v>
      </c>
    </row>
    <row r="10977" customFormat="false" ht="15" hidden="false" customHeight="true" outlineLevel="0" collapsed="false">
      <c r="A10977" s="6" t="s">
        <v>13589</v>
      </c>
      <c r="B10977" s="6" t="s">
        <v>2221</v>
      </c>
      <c r="C10977" s="6" t="s">
        <v>131</v>
      </c>
      <c r="D10977" s="13" t="n">
        <v>46105</v>
      </c>
      <c r="E10977" s="14" t="n">
        <v>3991.17</v>
      </c>
      <c r="F10977" s="14" t="n">
        <v>9635.98</v>
      </c>
      <c r="G10977" s="6" t="s">
        <v>2613</v>
      </c>
    </row>
    <row r="10978" customFormat="false" ht="15" hidden="false" customHeight="true" outlineLevel="0" collapsed="false">
      <c r="A10978" s="6" t="s">
        <v>13590</v>
      </c>
      <c r="B10978" s="6" t="s">
        <v>2221</v>
      </c>
      <c r="C10978" s="6" t="s">
        <v>131</v>
      </c>
      <c r="D10978" s="13" t="n">
        <v>46112</v>
      </c>
      <c r="E10978" s="14" t="n">
        <v>3611.16</v>
      </c>
      <c r="F10978" s="14" t="n">
        <v>13247.14</v>
      </c>
      <c r="G10978" s="6" t="s">
        <v>2613</v>
      </c>
    </row>
    <row r="10979" customFormat="false" ht="15" hidden="false" customHeight="true" outlineLevel="0" collapsed="false">
      <c r="A10979" s="6" t="s">
        <v>13591</v>
      </c>
      <c r="B10979" s="6" t="s">
        <v>2221</v>
      </c>
      <c r="C10979" s="6" t="s">
        <v>131</v>
      </c>
      <c r="D10979" s="13" t="n">
        <v>46119</v>
      </c>
      <c r="E10979" s="14" t="n">
        <v>2386.89</v>
      </c>
      <c r="F10979" s="14" t="n">
        <v>15634.03</v>
      </c>
      <c r="G10979" s="6" t="s">
        <v>2613</v>
      </c>
    </row>
    <row r="10980" customFormat="false" ht="15" hidden="false" customHeight="true" outlineLevel="0" collapsed="false">
      <c r="A10980" s="6" t="s">
        <v>13592</v>
      </c>
      <c r="B10980" s="6" t="s">
        <v>2221</v>
      </c>
      <c r="C10980" s="6" t="s">
        <v>131</v>
      </c>
      <c r="D10980" s="13" t="n">
        <v>46126</v>
      </c>
      <c r="E10980" s="14" t="n">
        <v>2165.58</v>
      </c>
      <c r="F10980" s="14" t="n">
        <v>17799.61</v>
      </c>
      <c r="G10980" s="6" t="s">
        <v>2613</v>
      </c>
    </row>
    <row r="10981" customFormat="false" ht="15" hidden="false" customHeight="true" outlineLevel="0" collapsed="false">
      <c r="A10981" s="6" t="s">
        <v>13593</v>
      </c>
      <c r="B10981" s="6" t="s">
        <v>2221</v>
      </c>
      <c r="C10981" s="6" t="s">
        <v>131</v>
      </c>
      <c r="D10981" s="13" t="n">
        <v>46133</v>
      </c>
      <c r="E10981" s="14" t="n">
        <v>3586.11</v>
      </c>
      <c r="F10981" s="14" t="n">
        <v>21385.72</v>
      </c>
      <c r="G10981" s="6" t="s">
        <v>2613</v>
      </c>
    </row>
    <row r="10982" customFormat="false" ht="15" hidden="false" customHeight="true" outlineLevel="0" collapsed="false">
      <c r="A10982" s="6" t="s">
        <v>13594</v>
      </c>
      <c r="B10982" s="6" t="s">
        <v>2221</v>
      </c>
      <c r="C10982" s="6" t="s">
        <v>131</v>
      </c>
      <c r="D10982" s="13" t="n">
        <v>46140</v>
      </c>
      <c r="E10982" s="14" t="n">
        <v>2094.03</v>
      </c>
      <c r="F10982" s="14" t="n">
        <v>23479.75</v>
      </c>
      <c r="G10982" s="6" t="s">
        <v>2613</v>
      </c>
    </row>
    <row r="10983" customFormat="false" ht="15" hidden="false" customHeight="true" outlineLevel="0" collapsed="false">
      <c r="A10983" s="6" t="s">
        <v>13595</v>
      </c>
      <c r="B10983" s="6" t="s">
        <v>2221</v>
      </c>
      <c r="C10983" s="6" t="s">
        <v>131</v>
      </c>
      <c r="D10983" s="13" t="n">
        <v>46147</v>
      </c>
      <c r="E10983" s="14" t="n">
        <v>3125.83</v>
      </c>
      <c r="F10983" s="14" t="n">
        <v>26605.58</v>
      </c>
      <c r="G10983" s="6" t="s">
        <v>2613</v>
      </c>
    </row>
    <row r="10984" customFormat="false" ht="15" hidden="false" customHeight="true" outlineLevel="0" collapsed="false">
      <c r="A10984" s="6" t="s">
        <v>13596</v>
      </c>
      <c r="B10984" s="6" t="s">
        <v>2221</v>
      </c>
      <c r="C10984" s="6" t="s">
        <v>131</v>
      </c>
      <c r="D10984" s="13" t="n">
        <v>46154</v>
      </c>
      <c r="E10984" s="14" t="n">
        <v>2704.13</v>
      </c>
      <c r="F10984" s="14" t="n">
        <v>29309.71</v>
      </c>
      <c r="G10984" s="6" t="s">
        <v>2623</v>
      </c>
    </row>
    <row r="10985" customFormat="false" ht="15" hidden="false" customHeight="true" outlineLevel="0" collapsed="false">
      <c r="A10985" s="6" t="s">
        <v>13597</v>
      </c>
      <c r="B10985" s="6" t="s">
        <v>2221</v>
      </c>
      <c r="C10985" s="6" t="s">
        <v>131</v>
      </c>
      <c r="D10985" s="13" t="n">
        <v>46161</v>
      </c>
      <c r="E10985" s="14" t="n">
        <v>7277.23</v>
      </c>
      <c r="F10985" s="14" t="n">
        <v>36586.94</v>
      </c>
      <c r="G10985" s="6" t="s">
        <v>2613</v>
      </c>
    </row>
    <row r="10986" customFormat="false" ht="15" hidden="false" customHeight="true" outlineLevel="0" collapsed="false">
      <c r="A10986" s="6" t="s">
        <v>13598</v>
      </c>
      <c r="B10986" s="6" t="s">
        <v>2223</v>
      </c>
      <c r="C10986" s="6" t="s">
        <v>112</v>
      </c>
      <c r="D10986" s="13" t="n">
        <v>45553</v>
      </c>
      <c r="E10986" s="14" t="n">
        <v>1243.83</v>
      </c>
      <c r="F10986" s="14" t="n">
        <v>1243.83</v>
      </c>
      <c r="G10986" s="6" t="s">
        <v>2613</v>
      </c>
    </row>
    <row r="10987" customFormat="false" ht="15" hidden="false" customHeight="true" outlineLevel="0" collapsed="false">
      <c r="A10987" s="6" t="s">
        <v>13599</v>
      </c>
      <c r="B10987" s="6" t="s">
        <v>2223</v>
      </c>
      <c r="C10987" s="6" t="s">
        <v>112</v>
      </c>
      <c r="D10987" s="13" t="n">
        <v>45560</v>
      </c>
      <c r="E10987" s="14" t="n">
        <v>1583.19</v>
      </c>
      <c r="F10987" s="14" t="n">
        <v>2827.02</v>
      </c>
      <c r="G10987" s="6" t="s">
        <v>2613</v>
      </c>
    </row>
    <row r="10988" customFormat="false" ht="15" hidden="false" customHeight="true" outlineLevel="0" collapsed="false">
      <c r="A10988" s="6" t="s">
        <v>13600</v>
      </c>
      <c r="B10988" s="6" t="s">
        <v>2223</v>
      </c>
      <c r="C10988" s="6" t="s">
        <v>112</v>
      </c>
      <c r="D10988" s="13" t="n">
        <v>45567</v>
      </c>
      <c r="E10988" s="14" t="n">
        <v>1553.15</v>
      </c>
      <c r="F10988" s="14" t="n">
        <v>4380.17</v>
      </c>
      <c r="G10988" s="6" t="s">
        <v>2613</v>
      </c>
    </row>
    <row r="10989" customFormat="false" ht="15" hidden="false" customHeight="true" outlineLevel="0" collapsed="false">
      <c r="A10989" s="6" t="s">
        <v>13601</v>
      </c>
      <c r="B10989" s="6" t="s">
        <v>2223</v>
      </c>
      <c r="C10989" s="6" t="s">
        <v>112</v>
      </c>
      <c r="D10989" s="13" t="n">
        <v>45574</v>
      </c>
      <c r="E10989" s="14" t="n">
        <v>782.8</v>
      </c>
      <c r="F10989" s="14" t="n">
        <v>5162.97</v>
      </c>
      <c r="G10989" s="6" t="s">
        <v>2613</v>
      </c>
    </row>
    <row r="10990" customFormat="false" ht="15" hidden="false" customHeight="true" outlineLevel="0" collapsed="false">
      <c r="A10990" s="6" t="s">
        <v>13602</v>
      </c>
      <c r="B10990" s="6" t="s">
        <v>2223</v>
      </c>
      <c r="C10990" s="6" t="s">
        <v>112</v>
      </c>
      <c r="D10990" s="13" t="n">
        <v>45581</v>
      </c>
      <c r="E10990" s="14" t="n">
        <v>1183.23</v>
      </c>
      <c r="F10990" s="14" t="n">
        <v>6346.2</v>
      </c>
      <c r="G10990" s="6" t="s">
        <v>2613</v>
      </c>
    </row>
    <row r="10991" customFormat="false" ht="15" hidden="false" customHeight="true" outlineLevel="0" collapsed="false">
      <c r="A10991" s="6" t="s">
        <v>13603</v>
      </c>
      <c r="B10991" s="6" t="s">
        <v>2223</v>
      </c>
      <c r="C10991" s="6" t="s">
        <v>112</v>
      </c>
      <c r="D10991" s="13" t="n">
        <v>45588</v>
      </c>
      <c r="E10991" s="14" t="n">
        <v>920.21</v>
      </c>
      <c r="F10991" s="14" t="n">
        <v>7266.41</v>
      </c>
      <c r="G10991" s="6" t="s">
        <v>2613</v>
      </c>
    </row>
    <row r="10992" customFormat="false" ht="15" hidden="false" customHeight="true" outlineLevel="0" collapsed="false">
      <c r="A10992" s="6" t="s">
        <v>13604</v>
      </c>
      <c r="B10992" s="6" t="s">
        <v>2223</v>
      </c>
      <c r="C10992" s="6" t="s">
        <v>112</v>
      </c>
      <c r="D10992" s="13" t="n">
        <v>45595</v>
      </c>
      <c r="E10992" s="14" t="n">
        <v>1177.61</v>
      </c>
      <c r="F10992" s="14" t="n">
        <v>8444.02</v>
      </c>
      <c r="G10992" s="6" t="s">
        <v>2613</v>
      </c>
    </row>
    <row r="10993" customFormat="false" ht="15" hidden="false" customHeight="true" outlineLevel="0" collapsed="false">
      <c r="A10993" s="6" t="s">
        <v>13605</v>
      </c>
      <c r="B10993" s="6" t="s">
        <v>2223</v>
      </c>
      <c r="C10993" s="6" t="s">
        <v>112</v>
      </c>
      <c r="D10993" s="13" t="n">
        <v>45602</v>
      </c>
      <c r="E10993" s="14" t="n">
        <v>713.73</v>
      </c>
      <c r="F10993" s="14" t="n">
        <v>9157.75</v>
      </c>
      <c r="G10993" s="6" t="s">
        <v>2613</v>
      </c>
    </row>
    <row r="10994" customFormat="false" ht="15" hidden="false" customHeight="true" outlineLevel="0" collapsed="false">
      <c r="A10994" s="6" t="s">
        <v>13606</v>
      </c>
      <c r="B10994" s="6" t="s">
        <v>2223</v>
      </c>
      <c r="C10994" s="6" t="s">
        <v>112</v>
      </c>
      <c r="D10994" s="13" t="n">
        <v>45609</v>
      </c>
      <c r="E10994" s="14" t="n">
        <v>1038.83</v>
      </c>
      <c r="F10994" s="14" t="n">
        <v>10196.58</v>
      </c>
      <c r="G10994" s="6" t="s">
        <v>2613</v>
      </c>
    </row>
    <row r="10995" customFormat="false" ht="15" hidden="false" customHeight="true" outlineLevel="0" collapsed="false">
      <c r="A10995" s="6" t="s">
        <v>13607</v>
      </c>
      <c r="B10995" s="6" t="s">
        <v>2223</v>
      </c>
      <c r="C10995" s="6" t="s">
        <v>112</v>
      </c>
      <c r="D10995" s="13" t="n">
        <v>45616</v>
      </c>
      <c r="E10995" s="14" t="n">
        <v>1228.89</v>
      </c>
      <c r="F10995" s="14" t="n">
        <v>11425.47</v>
      </c>
      <c r="G10995" s="6" t="s">
        <v>2613</v>
      </c>
    </row>
    <row r="10996" customFormat="false" ht="15" hidden="false" customHeight="true" outlineLevel="0" collapsed="false">
      <c r="A10996" s="6" t="s">
        <v>13608</v>
      </c>
      <c r="B10996" s="6" t="s">
        <v>2223</v>
      </c>
      <c r="C10996" s="6" t="s">
        <v>112</v>
      </c>
      <c r="D10996" s="13" t="n">
        <v>45623</v>
      </c>
      <c r="E10996" s="14" t="n">
        <v>1555.85</v>
      </c>
      <c r="F10996" s="14" t="n">
        <v>12981.32</v>
      </c>
      <c r="G10996" s="6" t="s">
        <v>2613</v>
      </c>
    </row>
    <row r="10997" customFormat="false" ht="15" hidden="false" customHeight="true" outlineLevel="0" collapsed="false">
      <c r="A10997" s="6" t="s">
        <v>13609</v>
      </c>
      <c r="B10997" s="6" t="s">
        <v>2223</v>
      </c>
      <c r="C10997" s="6" t="s">
        <v>112</v>
      </c>
      <c r="D10997" s="13" t="n">
        <v>45630</v>
      </c>
      <c r="E10997" s="14" t="n">
        <v>917.48</v>
      </c>
      <c r="F10997" s="14" t="n">
        <v>13898.8</v>
      </c>
      <c r="G10997" s="6" t="s">
        <v>2623</v>
      </c>
    </row>
    <row r="10998" customFormat="false" ht="15" hidden="false" customHeight="true" outlineLevel="0" collapsed="false">
      <c r="A10998" s="6" t="s">
        <v>13610</v>
      </c>
      <c r="B10998" s="6" t="s">
        <v>2223</v>
      </c>
      <c r="C10998" s="6" t="s">
        <v>112</v>
      </c>
      <c r="D10998" s="13" t="n">
        <v>45637</v>
      </c>
      <c r="E10998" s="14" t="n">
        <v>844.1</v>
      </c>
      <c r="F10998" s="14" t="n">
        <v>14742.9</v>
      </c>
      <c r="G10998" s="6" t="s">
        <v>2623</v>
      </c>
    </row>
    <row r="10999" customFormat="false" ht="15" hidden="false" customHeight="true" outlineLevel="0" collapsed="false">
      <c r="A10999" s="6" t="s">
        <v>13611</v>
      </c>
      <c r="B10999" s="6" t="s">
        <v>2225</v>
      </c>
      <c r="C10999" s="6" t="s">
        <v>112</v>
      </c>
      <c r="D10999" s="13" t="n">
        <v>45661</v>
      </c>
      <c r="E10999" s="14" t="n">
        <v>1476.52</v>
      </c>
      <c r="F10999" s="14" t="n">
        <v>1476.52</v>
      </c>
      <c r="G10999" s="6" t="s">
        <v>2613</v>
      </c>
    </row>
    <row r="11000" customFormat="false" ht="15" hidden="false" customHeight="true" outlineLevel="0" collapsed="false">
      <c r="A11000" s="6" t="s">
        <v>13612</v>
      </c>
      <c r="B11000" s="6" t="s">
        <v>2225</v>
      </c>
      <c r="C11000" s="6" t="s">
        <v>112</v>
      </c>
      <c r="D11000" s="13" t="n">
        <v>45668</v>
      </c>
      <c r="E11000" s="14" t="n">
        <v>785.02</v>
      </c>
      <c r="F11000" s="14" t="n">
        <v>2261.54</v>
      </c>
      <c r="G11000" s="6" t="s">
        <v>2613</v>
      </c>
    </row>
    <row r="11001" customFormat="false" ht="15" hidden="false" customHeight="true" outlineLevel="0" collapsed="false">
      <c r="A11001" s="6" t="s">
        <v>13613</v>
      </c>
      <c r="B11001" s="6" t="s">
        <v>2225</v>
      </c>
      <c r="C11001" s="6" t="s">
        <v>112</v>
      </c>
      <c r="D11001" s="13" t="n">
        <v>45675</v>
      </c>
      <c r="E11001" s="14" t="n">
        <v>1359.83</v>
      </c>
      <c r="F11001" s="14" t="n">
        <v>3621.37</v>
      </c>
      <c r="G11001" s="6" t="s">
        <v>2613</v>
      </c>
    </row>
    <row r="11002" customFormat="false" ht="15" hidden="false" customHeight="true" outlineLevel="0" collapsed="false">
      <c r="A11002" s="6" t="s">
        <v>13614</v>
      </c>
      <c r="B11002" s="6" t="s">
        <v>2225</v>
      </c>
      <c r="C11002" s="6" t="s">
        <v>112</v>
      </c>
      <c r="D11002" s="13" t="n">
        <v>45682</v>
      </c>
      <c r="E11002" s="14" t="n">
        <v>1245.13</v>
      </c>
      <c r="F11002" s="14" t="n">
        <v>4866.5</v>
      </c>
      <c r="G11002" s="6" t="s">
        <v>2613</v>
      </c>
    </row>
    <row r="11003" customFormat="false" ht="15" hidden="false" customHeight="true" outlineLevel="0" collapsed="false">
      <c r="A11003" s="6" t="s">
        <v>13615</v>
      </c>
      <c r="B11003" s="6" t="s">
        <v>2225</v>
      </c>
      <c r="C11003" s="6" t="s">
        <v>112</v>
      </c>
      <c r="D11003" s="13" t="n">
        <v>45689</v>
      </c>
      <c r="E11003" s="14" t="n">
        <v>1030.26</v>
      </c>
      <c r="F11003" s="14" t="n">
        <v>5896.76</v>
      </c>
      <c r="G11003" s="6" t="s">
        <v>2613</v>
      </c>
    </row>
    <row r="11004" customFormat="false" ht="15" hidden="false" customHeight="true" outlineLevel="0" collapsed="false">
      <c r="A11004" s="6" t="s">
        <v>13616</v>
      </c>
      <c r="B11004" s="6" t="s">
        <v>2225</v>
      </c>
      <c r="C11004" s="6" t="s">
        <v>112</v>
      </c>
      <c r="D11004" s="13" t="n">
        <v>45696</v>
      </c>
      <c r="E11004" s="14" t="n">
        <v>1041.85</v>
      </c>
      <c r="F11004" s="14" t="n">
        <v>6938.61</v>
      </c>
      <c r="G11004" s="6" t="s">
        <v>2613</v>
      </c>
    </row>
    <row r="11005" customFormat="false" ht="15" hidden="false" customHeight="true" outlineLevel="0" collapsed="false">
      <c r="A11005" s="6" t="s">
        <v>13617</v>
      </c>
      <c r="B11005" s="6" t="s">
        <v>2225</v>
      </c>
      <c r="C11005" s="6" t="s">
        <v>112</v>
      </c>
      <c r="D11005" s="13" t="n">
        <v>45703</v>
      </c>
      <c r="E11005" s="14" t="n">
        <v>1404.5</v>
      </c>
      <c r="F11005" s="14" t="n">
        <v>8343.11</v>
      </c>
      <c r="G11005" s="6" t="s">
        <v>2613</v>
      </c>
    </row>
    <row r="11006" customFormat="false" ht="15" hidden="false" customHeight="true" outlineLevel="0" collapsed="false">
      <c r="A11006" s="6" t="s">
        <v>13618</v>
      </c>
      <c r="B11006" s="6" t="s">
        <v>2225</v>
      </c>
      <c r="C11006" s="6" t="s">
        <v>112</v>
      </c>
      <c r="D11006" s="13" t="n">
        <v>45710</v>
      </c>
      <c r="E11006" s="14" t="n">
        <v>1239.71</v>
      </c>
      <c r="F11006" s="14" t="n">
        <v>9582.82</v>
      </c>
      <c r="G11006" s="6" t="s">
        <v>2613</v>
      </c>
    </row>
    <row r="11007" customFormat="false" ht="15" hidden="false" customHeight="true" outlineLevel="0" collapsed="false">
      <c r="A11007" s="6" t="s">
        <v>13619</v>
      </c>
      <c r="B11007" s="6" t="s">
        <v>2225</v>
      </c>
      <c r="C11007" s="6" t="s">
        <v>112</v>
      </c>
      <c r="D11007" s="13" t="n">
        <v>45717</v>
      </c>
      <c r="E11007" s="14" t="n">
        <v>785.68</v>
      </c>
      <c r="F11007" s="14" t="n">
        <v>10368.5</v>
      </c>
      <c r="G11007" s="6" t="s">
        <v>2613</v>
      </c>
    </row>
    <row r="11008" customFormat="false" ht="15" hidden="false" customHeight="true" outlineLevel="0" collapsed="false">
      <c r="A11008" s="6" t="s">
        <v>13620</v>
      </c>
      <c r="B11008" s="6" t="s">
        <v>2225</v>
      </c>
      <c r="C11008" s="6" t="s">
        <v>112</v>
      </c>
      <c r="D11008" s="13" t="n">
        <v>45724</v>
      </c>
      <c r="E11008" s="14" t="n">
        <v>930.43</v>
      </c>
      <c r="F11008" s="14" t="n">
        <v>11298.93</v>
      </c>
      <c r="G11008" s="6" t="s">
        <v>2613</v>
      </c>
    </row>
    <row r="11009" customFormat="false" ht="15" hidden="false" customHeight="true" outlineLevel="0" collapsed="false">
      <c r="A11009" s="6" t="s">
        <v>13621</v>
      </c>
      <c r="B11009" s="6" t="s">
        <v>2225</v>
      </c>
      <c r="C11009" s="6" t="s">
        <v>112</v>
      </c>
      <c r="D11009" s="13" t="n">
        <v>45731</v>
      </c>
      <c r="E11009" s="14" t="n">
        <v>1130.83</v>
      </c>
      <c r="F11009" s="14" t="n">
        <v>12429.76</v>
      </c>
      <c r="G11009" s="6" t="s">
        <v>2613</v>
      </c>
    </row>
    <row r="11010" customFormat="false" ht="15" hidden="false" customHeight="true" outlineLevel="0" collapsed="false">
      <c r="A11010" s="6" t="s">
        <v>13622</v>
      </c>
      <c r="B11010" s="6" t="s">
        <v>2225</v>
      </c>
      <c r="C11010" s="6" t="s">
        <v>112</v>
      </c>
      <c r="D11010" s="13" t="n">
        <v>45738</v>
      </c>
      <c r="E11010" s="14" t="n">
        <v>1153.06</v>
      </c>
      <c r="F11010" s="14" t="n">
        <v>13582.82</v>
      </c>
      <c r="G11010" s="6" t="s">
        <v>2613</v>
      </c>
    </row>
    <row r="11011" customFormat="false" ht="15" hidden="false" customHeight="true" outlineLevel="0" collapsed="false">
      <c r="A11011" s="6" t="s">
        <v>13623</v>
      </c>
      <c r="B11011" s="6" t="s">
        <v>2225</v>
      </c>
      <c r="C11011" s="6" t="s">
        <v>112</v>
      </c>
      <c r="D11011" s="13" t="n">
        <v>45745</v>
      </c>
      <c r="E11011" s="14" t="n">
        <v>1350.24</v>
      </c>
      <c r="F11011" s="14" t="n">
        <v>14933.06</v>
      </c>
      <c r="G11011" s="6" t="s">
        <v>2613</v>
      </c>
    </row>
    <row r="11012" customFormat="false" ht="15" hidden="false" customHeight="true" outlineLevel="0" collapsed="false">
      <c r="A11012" s="6" t="s">
        <v>13624</v>
      </c>
      <c r="B11012" s="6" t="s">
        <v>2225</v>
      </c>
      <c r="C11012" s="6" t="s">
        <v>112</v>
      </c>
      <c r="D11012" s="13" t="n">
        <v>45752</v>
      </c>
      <c r="E11012" s="14" t="n">
        <v>1011.13</v>
      </c>
      <c r="F11012" s="14" t="n">
        <v>15944.19</v>
      </c>
      <c r="G11012" s="6" t="s">
        <v>2613</v>
      </c>
    </row>
    <row r="11013" customFormat="false" ht="15" hidden="false" customHeight="true" outlineLevel="0" collapsed="false">
      <c r="A11013" s="6" t="s">
        <v>13625</v>
      </c>
      <c r="B11013" s="6" t="s">
        <v>2225</v>
      </c>
      <c r="C11013" s="6" t="s">
        <v>112</v>
      </c>
      <c r="D11013" s="13" t="n">
        <v>45759</v>
      </c>
      <c r="E11013" s="14" t="n">
        <v>60.79</v>
      </c>
      <c r="F11013" s="14" t="n">
        <v>16004.98</v>
      </c>
      <c r="G11013" s="6" t="s">
        <v>2613</v>
      </c>
    </row>
    <row r="11014" customFormat="false" ht="15" hidden="false" customHeight="true" outlineLevel="0" collapsed="false">
      <c r="A11014" s="6" t="s">
        <v>13626</v>
      </c>
      <c r="B11014" s="6" t="s">
        <v>2227</v>
      </c>
      <c r="C11014" s="6" t="s">
        <v>112</v>
      </c>
      <c r="D11014" s="13" t="n">
        <v>44683</v>
      </c>
      <c r="E11014" s="14" t="n">
        <v>4903.71</v>
      </c>
      <c r="F11014" s="14" t="n">
        <v>4903.71</v>
      </c>
      <c r="G11014" s="6" t="s">
        <v>2613</v>
      </c>
    </row>
    <row r="11015" customFormat="false" ht="15" hidden="false" customHeight="true" outlineLevel="0" collapsed="false">
      <c r="A11015" s="6" t="s">
        <v>13627</v>
      </c>
      <c r="B11015" s="6" t="s">
        <v>2227</v>
      </c>
      <c r="C11015" s="6" t="s">
        <v>112</v>
      </c>
      <c r="D11015" s="13" t="n">
        <v>44690</v>
      </c>
      <c r="E11015" s="14" t="n">
        <v>5111.64</v>
      </c>
      <c r="F11015" s="14" t="n">
        <v>10015.35</v>
      </c>
      <c r="G11015" s="6" t="s">
        <v>2613</v>
      </c>
    </row>
    <row r="11016" customFormat="false" ht="15" hidden="false" customHeight="true" outlineLevel="0" collapsed="false">
      <c r="A11016" s="6" t="s">
        <v>13628</v>
      </c>
      <c r="B11016" s="6" t="s">
        <v>2227</v>
      </c>
      <c r="C11016" s="6" t="s">
        <v>112</v>
      </c>
      <c r="D11016" s="13" t="n">
        <v>44697</v>
      </c>
      <c r="E11016" s="14" t="n">
        <v>4774.74</v>
      </c>
      <c r="F11016" s="14" t="n">
        <v>14790.09</v>
      </c>
      <c r="G11016" s="6" t="s">
        <v>2613</v>
      </c>
    </row>
    <row r="11017" customFormat="false" ht="15" hidden="false" customHeight="true" outlineLevel="0" collapsed="false">
      <c r="A11017" s="6" t="s">
        <v>13629</v>
      </c>
      <c r="B11017" s="6" t="s">
        <v>2227</v>
      </c>
      <c r="C11017" s="6" t="s">
        <v>112</v>
      </c>
      <c r="D11017" s="13" t="n">
        <v>44704</v>
      </c>
      <c r="E11017" s="14" t="n">
        <v>4307.41</v>
      </c>
      <c r="F11017" s="14" t="n">
        <v>19097.5</v>
      </c>
      <c r="G11017" s="6" t="s">
        <v>2613</v>
      </c>
    </row>
    <row r="11018" customFormat="false" ht="15" hidden="false" customHeight="true" outlineLevel="0" collapsed="false">
      <c r="A11018" s="6" t="s">
        <v>13630</v>
      </c>
      <c r="B11018" s="6" t="s">
        <v>2227</v>
      </c>
      <c r="C11018" s="6" t="s">
        <v>112</v>
      </c>
      <c r="D11018" s="13" t="n">
        <v>44711</v>
      </c>
      <c r="E11018" s="14" t="n">
        <v>3698.77</v>
      </c>
      <c r="F11018" s="14" t="n">
        <v>22796.27</v>
      </c>
      <c r="G11018" s="6" t="s">
        <v>2623</v>
      </c>
    </row>
    <row r="11019" customFormat="false" ht="15" hidden="false" customHeight="true" outlineLevel="0" collapsed="false">
      <c r="A11019" s="6" t="s">
        <v>13631</v>
      </c>
      <c r="B11019" s="6" t="s">
        <v>2227</v>
      </c>
      <c r="C11019" s="6" t="s">
        <v>112</v>
      </c>
      <c r="D11019" s="13" t="n">
        <v>44718</v>
      </c>
      <c r="E11019" s="14" t="n">
        <v>4302.47</v>
      </c>
      <c r="F11019" s="14" t="n">
        <v>27098.74</v>
      </c>
      <c r="G11019" s="6" t="s">
        <v>2613</v>
      </c>
    </row>
    <row r="11020" customFormat="false" ht="15" hidden="false" customHeight="true" outlineLevel="0" collapsed="false">
      <c r="A11020" s="6" t="s">
        <v>13632</v>
      </c>
      <c r="B11020" s="6" t="s">
        <v>2227</v>
      </c>
      <c r="C11020" s="6" t="s">
        <v>112</v>
      </c>
      <c r="D11020" s="13" t="n">
        <v>44725</v>
      </c>
      <c r="E11020" s="14" t="n">
        <v>3326.6</v>
      </c>
      <c r="F11020" s="14" t="n">
        <v>30425.34</v>
      </c>
      <c r="G11020" s="6" t="s">
        <v>2613</v>
      </c>
    </row>
    <row r="11021" customFormat="false" ht="15" hidden="false" customHeight="true" outlineLevel="0" collapsed="false">
      <c r="A11021" s="6" t="s">
        <v>13633</v>
      </c>
      <c r="B11021" s="6" t="s">
        <v>2227</v>
      </c>
      <c r="C11021" s="6" t="s">
        <v>112</v>
      </c>
      <c r="D11021" s="13" t="n">
        <v>44732</v>
      </c>
      <c r="E11021" s="14" t="n">
        <v>5245.92</v>
      </c>
      <c r="F11021" s="14" t="n">
        <v>35671.26</v>
      </c>
      <c r="G11021" s="6" t="s">
        <v>2623</v>
      </c>
    </row>
    <row r="11022" customFormat="false" ht="15" hidden="false" customHeight="true" outlineLevel="0" collapsed="false">
      <c r="A11022" s="6" t="s">
        <v>13634</v>
      </c>
      <c r="B11022" s="6" t="s">
        <v>2227</v>
      </c>
      <c r="C11022" s="6" t="s">
        <v>112</v>
      </c>
      <c r="D11022" s="13" t="n">
        <v>44739</v>
      </c>
      <c r="E11022" s="14" t="n">
        <v>3889.55</v>
      </c>
      <c r="F11022" s="14" t="n">
        <v>39560.81</v>
      </c>
      <c r="G11022" s="6" t="s">
        <v>2613</v>
      </c>
    </row>
    <row r="11023" customFormat="false" ht="15" hidden="false" customHeight="true" outlineLevel="0" collapsed="false">
      <c r="A11023" s="6" t="s">
        <v>13635</v>
      </c>
      <c r="B11023" s="6" t="s">
        <v>2227</v>
      </c>
      <c r="C11023" s="6" t="s">
        <v>112</v>
      </c>
      <c r="D11023" s="13" t="n">
        <v>44746</v>
      </c>
      <c r="E11023" s="14" t="n">
        <v>3702.92</v>
      </c>
      <c r="F11023" s="14" t="n">
        <v>43263.73</v>
      </c>
      <c r="G11023" s="6" t="s">
        <v>2623</v>
      </c>
    </row>
    <row r="11024" customFormat="false" ht="15" hidden="false" customHeight="true" outlineLevel="0" collapsed="false">
      <c r="A11024" s="6" t="s">
        <v>13636</v>
      </c>
      <c r="B11024" s="6" t="s">
        <v>2229</v>
      </c>
      <c r="C11024" s="6" t="s">
        <v>112</v>
      </c>
      <c r="D11024" s="13" t="n">
        <v>45137</v>
      </c>
      <c r="E11024" s="14" t="n">
        <v>2341.89</v>
      </c>
      <c r="F11024" s="14" t="n">
        <v>2341.89</v>
      </c>
      <c r="G11024" s="6" t="s">
        <v>2613</v>
      </c>
    </row>
    <row r="11025" customFormat="false" ht="15" hidden="false" customHeight="true" outlineLevel="0" collapsed="false">
      <c r="A11025" s="6" t="s">
        <v>13637</v>
      </c>
      <c r="B11025" s="6" t="s">
        <v>2229</v>
      </c>
      <c r="C11025" s="6" t="s">
        <v>112</v>
      </c>
      <c r="D11025" s="13" t="n">
        <v>45144</v>
      </c>
      <c r="E11025" s="14" t="n">
        <v>2538.03</v>
      </c>
      <c r="F11025" s="14" t="n">
        <v>4879.92</v>
      </c>
      <c r="G11025" s="6" t="s">
        <v>2613</v>
      </c>
    </row>
    <row r="11026" customFormat="false" ht="15" hidden="false" customHeight="true" outlineLevel="0" collapsed="false">
      <c r="A11026" s="6" t="s">
        <v>13638</v>
      </c>
      <c r="B11026" s="6" t="s">
        <v>2229</v>
      </c>
      <c r="C11026" s="6" t="s">
        <v>112</v>
      </c>
      <c r="D11026" s="13" t="n">
        <v>45151</v>
      </c>
      <c r="E11026" s="14" t="n">
        <v>2161.47</v>
      </c>
      <c r="F11026" s="14" t="n">
        <v>7041.39</v>
      </c>
      <c r="G11026" s="6" t="s">
        <v>2613</v>
      </c>
    </row>
    <row r="11027" customFormat="false" ht="15" hidden="false" customHeight="true" outlineLevel="0" collapsed="false">
      <c r="A11027" s="6" t="s">
        <v>13639</v>
      </c>
      <c r="B11027" s="6" t="s">
        <v>2229</v>
      </c>
      <c r="C11027" s="6" t="s">
        <v>112</v>
      </c>
      <c r="D11027" s="13" t="n">
        <v>45158</v>
      </c>
      <c r="E11027" s="14" t="n">
        <v>1697.85</v>
      </c>
      <c r="F11027" s="14" t="n">
        <v>8739.24</v>
      </c>
      <c r="G11027" s="6" t="s">
        <v>2613</v>
      </c>
    </row>
    <row r="11028" customFormat="false" ht="15" hidden="false" customHeight="true" outlineLevel="0" collapsed="false">
      <c r="A11028" s="6" t="s">
        <v>13640</v>
      </c>
      <c r="B11028" s="6" t="s">
        <v>2229</v>
      </c>
      <c r="C11028" s="6" t="s">
        <v>112</v>
      </c>
      <c r="D11028" s="13" t="n">
        <v>45165</v>
      </c>
      <c r="E11028" s="14" t="n">
        <v>1860.05</v>
      </c>
      <c r="F11028" s="14" t="n">
        <v>10599.29</v>
      </c>
      <c r="G11028" s="6" t="s">
        <v>2613</v>
      </c>
    </row>
    <row r="11029" customFormat="false" ht="15" hidden="false" customHeight="true" outlineLevel="0" collapsed="false">
      <c r="A11029" s="6" t="s">
        <v>13641</v>
      </c>
      <c r="B11029" s="6" t="s">
        <v>2229</v>
      </c>
      <c r="C11029" s="6" t="s">
        <v>112</v>
      </c>
      <c r="D11029" s="13" t="n">
        <v>45172</v>
      </c>
      <c r="E11029" s="14" t="n">
        <v>2832.22</v>
      </c>
      <c r="F11029" s="14" t="n">
        <v>13431.51</v>
      </c>
      <c r="G11029" s="6" t="s">
        <v>2613</v>
      </c>
    </row>
    <row r="11030" customFormat="false" ht="15" hidden="false" customHeight="true" outlineLevel="0" collapsed="false">
      <c r="A11030" s="6" t="s">
        <v>13642</v>
      </c>
      <c r="B11030" s="6" t="s">
        <v>2229</v>
      </c>
      <c r="C11030" s="6" t="s">
        <v>112</v>
      </c>
      <c r="D11030" s="13" t="n">
        <v>45179</v>
      </c>
      <c r="E11030" s="14" t="n">
        <v>2022.22</v>
      </c>
      <c r="F11030" s="14" t="n">
        <v>15453.73</v>
      </c>
      <c r="G11030" s="6" t="s">
        <v>2613</v>
      </c>
    </row>
    <row r="11031" customFormat="false" ht="15" hidden="false" customHeight="true" outlineLevel="0" collapsed="false">
      <c r="A11031" s="6" t="s">
        <v>13643</v>
      </c>
      <c r="B11031" s="6" t="s">
        <v>2229</v>
      </c>
      <c r="C11031" s="6" t="s">
        <v>112</v>
      </c>
      <c r="D11031" s="13" t="n">
        <v>45186</v>
      </c>
      <c r="E11031" s="14" t="n">
        <v>2755.42</v>
      </c>
      <c r="F11031" s="14" t="n">
        <v>18209.15</v>
      </c>
      <c r="G11031" s="6" t="s">
        <v>2613</v>
      </c>
    </row>
    <row r="11032" customFormat="false" ht="15" hidden="false" customHeight="true" outlineLevel="0" collapsed="false">
      <c r="A11032" s="6" t="s">
        <v>13644</v>
      </c>
      <c r="B11032" s="6" t="s">
        <v>2229</v>
      </c>
      <c r="C11032" s="6" t="s">
        <v>112</v>
      </c>
      <c r="D11032" s="13" t="n">
        <v>45193</v>
      </c>
      <c r="E11032" s="14" t="n">
        <v>2678.84</v>
      </c>
      <c r="F11032" s="14" t="n">
        <v>20887.99</v>
      </c>
      <c r="G11032" s="6" t="s">
        <v>2613</v>
      </c>
    </row>
    <row r="11033" customFormat="false" ht="15" hidden="false" customHeight="true" outlineLevel="0" collapsed="false">
      <c r="A11033" s="6" t="s">
        <v>13645</v>
      </c>
      <c r="B11033" s="6" t="s">
        <v>2229</v>
      </c>
      <c r="C11033" s="6" t="s">
        <v>112</v>
      </c>
      <c r="D11033" s="13" t="n">
        <v>45200</v>
      </c>
      <c r="E11033" s="14" t="n">
        <v>2851.46</v>
      </c>
      <c r="F11033" s="14" t="n">
        <v>23739.45</v>
      </c>
      <c r="G11033" s="6" t="s">
        <v>2613</v>
      </c>
    </row>
    <row r="11034" customFormat="false" ht="15" hidden="false" customHeight="true" outlineLevel="0" collapsed="false">
      <c r="A11034" s="6" t="s">
        <v>13646</v>
      </c>
      <c r="B11034" s="6" t="s">
        <v>2229</v>
      </c>
      <c r="C11034" s="6" t="s">
        <v>112</v>
      </c>
      <c r="D11034" s="13" t="n">
        <v>45207</v>
      </c>
      <c r="E11034" s="14" t="n">
        <v>1821.39</v>
      </c>
      <c r="F11034" s="14" t="n">
        <v>25560.84</v>
      </c>
      <c r="G11034" s="6" t="s">
        <v>2613</v>
      </c>
    </row>
    <row r="11035" customFormat="false" ht="15" hidden="false" customHeight="true" outlineLevel="0" collapsed="false">
      <c r="A11035" s="6" t="s">
        <v>13647</v>
      </c>
      <c r="B11035" s="6" t="s">
        <v>2229</v>
      </c>
      <c r="C11035" s="6" t="s">
        <v>112</v>
      </c>
      <c r="D11035" s="13" t="n">
        <v>45214</v>
      </c>
      <c r="E11035" s="14" t="n">
        <v>1874.71</v>
      </c>
      <c r="F11035" s="14" t="n">
        <v>27435.55</v>
      </c>
      <c r="G11035" s="6" t="s">
        <v>2613</v>
      </c>
    </row>
    <row r="11036" customFormat="false" ht="15" hidden="false" customHeight="true" outlineLevel="0" collapsed="false">
      <c r="A11036" s="6" t="s">
        <v>13648</v>
      </c>
      <c r="B11036" s="6" t="s">
        <v>2229</v>
      </c>
      <c r="C11036" s="6" t="s">
        <v>112</v>
      </c>
      <c r="D11036" s="13" t="n">
        <v>45221</v>
      </c>
      <c r="E11036" s="14" t="n">
        <v>2897.92</v>
      </c>
      <c r="F11036" s="14" t="n">
        <v>30333.47</v>
      </c>
      <c r="G11036" s="6" t="s">
        <v>2613</v>
      </c>
    </row>
    <row r="11037" customFormat="false" ht="15" hidden="false" customHeight="true" outlineLevel="0" collapsed="false">
      <c r="A11037" s="6" t="s">
        <v>13649</v>
      </c>
      <c r="B11037" s="6" t="s">
        <v>2229</v>
      </c>
      <c r="C11037" s="6" t="s">
        <v>112</v>
      </c>
      <c r="D11037" s="13" t="n">
        <v>45228</v>
      </c>
      <c r="E11037" s="14" t="n">
        <v>3125.4</v>
      </c>
      <c r="F11037" s="14" t="n">
        <v>33458.87</v>
      </c>
      <c r="G11037" s="6" t="s">
        <v>2613</v>
      </c>
    </row>
    <row r="11038" customFormat="false" ht="15" hidden="false" customHeight="true" outlineLevel="0" collapsed="false">
      <c r="A11038" s="6" t="s">
        <v>13650</v>
      </c>
      <c r="B11038" s="6" t="s">
        <v>2229</v>
      </c>
      <c r="C11038" s="6" t="s">
        <v>112</v>
      </c>
      <c r="D11038" s="13" t="n">
        <v>45235</v>
      </c>
      <c r="E11038" s="14" t="n">
        <v>1545.5</v>
      </c>
      <c r="F11038" s="14" t="n">
        <v>35004.37</v>
      </c>
      <c r="G11038" s="6" t="s">
        <v>2613</v>
      </c>
    </row>
    <row r="11039" customFormat="false" ht="15" hidden="false" customHeight="true" outlineLevel="0" collapsed="false">
      <c r="A11039" s="6" t="s">
        <v>13651</v>
      </c>
      <c r="B11039" s="6" t="s">
        <v>2229</v>
      </c>
      <c r="C11039" s="6" t="s">
        <v>112</v>
      </c>
      <c r="D11039" s="13" t="n">
        <v>45242</v>
      </c>
      <c r="E11039" s="14" t="n">
        <v>2022.42</v>
      </c>
      <c r="F11039" s="14" t="n">
        <v>37026.79</v>
      </c>
      <c r="G11039" s="6" t="s">
        <v>2613</v>
      </c>
    </row>
    <row r="11040" customFormat="false" ht="15" hidden="false" customHeight="true" outlineLevel="0" collapsed="false">
      <c r="A11040" s="6" t="s">
        <v>13652</v>
      </c>
      <c r="B11040" s="6" t="s">
        <v>2229</v>
      </c>
      <c r="C11040" s="6" t="s">
        <v>112</v>
      </c>
      <c r="D11040" s="13" t="n">
        <v>45249</v>
      </c>
      <c r="E11040" s="14" t="n">
        <v>2433.75</v>
      </c>
      <c r="F11040" s="14" t="n">
        <v>39460.54</v>
      </c>
      <c r="G11040" s="6" t="s">
        <v>2613</v>
      </c>
    </row>
    <row r="11041" customFormat="false" ht="15" hidden="false" customHeight="true" outlineLevel="0" collapsed="false">
      <c r="A11041" s="6" t="s">
        <v>13653</v>
      </c>
      <c r="B11041" s="6" t="s">
        <v>2229</v>
      </c>
      <c r="C11041" s="6" t="s">
        <v>112</v>
      </c>
      <c r="D11041" s="13" t="n">
        <v>45256</v>
      </c>
      <c r="E11041" s="14" t="n">
        <v>2260.04</v>
      </c>
      <c r="F11041" s="14" t="n">
        <v>41720.58</v>
      </c>
      <c r="G11041" s="6" t="s">
        <v>2613</v>
      </c>
    </row>
    <row r="11042" customFormat="false" ht="15" hidden="false" customHeight="true" outlineLevel="0" collapsed="false">
      <c r="A11042" s="6" t="s">
        <v>13654</v>
      </c>
      <c r="B11042" s="6" t="s">
        <v>2229</v>
      </c>
      <c r="C11042" s="6" t="s">
        <v>112</v>
      </c>
      <c r="D11042" s="13" t="n">
        <v>45263</v>
      </c>
      <c r="E11042" s="14" t="n">
        <v>2601.04</v>
      </c>
      <c r="F11042" s="14" t="n">
        <v>44321.62</v>
      </c>
      <c r="G11042" s="6" t="s">
        <v>2623</v>
      </c>
    </row>
    <row r="11043" customFormat="false" ht="15" hidden="false" customHeight="true" outlineLevel="0" collapsed="false">
      <c r="A11043" s="6" t="s">
        <v>13655</v>
      </c>
      <c r="B11043" s="6" t="s">
        <v>2229</v>
      </c>
      <c r="C11043" s="6" t="s">
        <v>112</v>
      </c>
      <c r="D11043" s="13" t="n">
        <v>45270</v>
      </c>
      <c r="E11043" s="14" t="n">
        <v>2323.3</v>
      </c>
      <c r="F11043" s="14" t="n">
        <v>46644.92</v>
      </c>
      <c r="G11043" s="6" t="s">
        <v>2613</v>
      </c>
    </row>
    <row r="11044" customFormat="false" ht="15" hidden="false" customHeight="true" outlineLevel="0" collapsed="false">
      <c r="A11044" s="6" t="s">
        <v>13656</v>
      </c>
      <c r="B11044" s="6" t="s">
        <v>2229</v>
      </c>
      <c r="C11044" s="6" t="s">
        <v>112</v>
      </c>
      <c r="D11044" s="13" t="n">
        <v>45277</v>
      </c>
      <c r="E11044" s="14" t="n">
        <v>1721.08</v>
      </c>
      <c r="F11044" s="14" t="n">
        <v>48366</v>
      </c>
      <c r="G11044" s="6" t="s">
        <v>2613</v>
      </c>
    </row>
    <row r="11045" customFormat="false" ht="15" hidden="false" customHeight="true" outlineLevel="0" collapsed="false">
      <c r="A11045" s="6" t="s">
        <v>13657</v>
      </c>
      <c r="B11045" s="6" t="s">
        <v>2229</v>
      </c>
      <c r="C11045" s="6" t="s">
        <v>112</v>
      </c>
      <c r="D11045" s="13" t="n">
        <v>45284</v>
      </c>
      <c r="E11045" s="14" t="n">
        <v>3085.17</v>
      </c>
      <c r="F11045" s="14" t="n">
        <v>51451.17</v>
      </c>
      <c r="G11045" s="6" t="s">
        <v>2613</v>
      </c>
    </row>
    <row r="11046" customFormat="false" ht="15" hidden="false" customHeight="true" outlineLevel="0" collapsed="false">
      <c r="A11046" s="6" t="s">
        <v>13658</v>
      </c>
      <c r="B11046" s="6" t="s">
        <v>2231</v>
      </c>
      <c r="C11046" s="6" t="s">
        <v>131</v>
      </c>
      <c r="D11046" s="13" t="n">
        <v>45090</v>
      </c>
      <c r="E11046" s="14" t="n">
        <v>3318.28</v>
      </c>
      <c r="F11046" s="14" t="n">
        <v>3318.28</v>
      </c>
      <c r="G11046" s="6" t="s">
        <v>2613</v>
      </c>
    </row>
    <row r="11047" customFormat="false" ht="15" hidden="false" customHeight="true" outlineLevel="0" collapsed="false">
      <c r="A11047" s="6" t="s">
        <v>13659</v>
      </c>
      <c r="B11047" s="6" t="s">
        <v>2231</v>
      </c>
      <c r="C11047" s="6" t="s">
        <v>131</v>
      </c>
      <c r="D11047" s="13" t="n">
        <v>45097</v>
      </c>
      <c r="E11047" s="14" t="n">
        <v>1756.44</v>
      </c>
      <c r="F11047" s="14" t="n">
        <v>5074.72</v>
      </c>
      <c r="G11047" s="6" t="s">
        <v>2613</v>
      </c>
    </row>
    <row r="11048" customFormat="false" ht="15" hidden="false" customHeight="true" outlineLevel="0" collapsed="false">
      <c r="A11048" s="6" t="s">
        <v>13660</v>
      </c>
      <c r="B11048" s="6" t="s">
        <v>2231</v>
      </c>
      <c r="C11048" s="6" t="s">
        <v>131</v>
      </c>
      <c r="D11048" s="13" t="n">
        <v>45104</v>
      </c>
      <c r="E11048" s="14" t="n">
        <v>2785.18</v>
      </c>
      <c r="F11048" s="14" t="n">
        <v>7859.9</v>
      </c>
      <c r="G11048" s="6" t="s">
        <v>2613</v>
      </c>
    </row>
    <row r="11049" customFormat="false" ht="15" hidden="false" customHeight="true" outlineLevel="0" collapsed="false">
      <c r="A11049" s="6" t="s">
        <v>13661</v>
      </c>
      <c r="B11049" s="6" t="s">
        <v>2231</v>
      </c>
      <c r="C11049" s="6" t="s">
        <v>131</v>
      </c>
      <c r="D11049" s="13" t="n">
        <v>45111</v>
      </c>
      <c r="E11049" s="14" t="n">
        <v>1551.38</v>
      </c>
      <c r="F11049" s="14" t="n">
        <v>9411.28</v>
      </c>
      <c r="G11049" s="6" t="s">
        <v>2623</v>
      </c>
    </row>
    <row r="11050" customFormat="false" ht="15" hidden="false" customHeight="true" outlineLevel="0" collapsed="false">
      <c r="A11050" s="6" t="s">
        <v>13662</v>
      </c>
      <c r="B11050" s="6" t="s">
        <v>2231</v>
      </c>
      <c r="C11050" s="6" t="s">
        <v>131</v>
      </c>
      <c r="D11050" s="13" t="n">
        <v>45118</v>
      </c>
      <c r="E11050" s="14" t="n">
        <v>2579.45</v>
      </c>
      <c r="F11050" s="14" t="n">
        <v>11990.73</v>
      </c>
      <c r="G11050" s="6" t="s">
        <v>2613</v>
      </c>
    </row>
    <row r="11051" customFormat="false" ht="15" hidden="false" customHeight="true" outlineLevel="0" collapsed="false">
      <c r="A11051" s="6" t="s">
        <v>13663</v>
      </c>
      <c r="B11051" s="6" t="s">
        <v>2231</v>
      </c>
      <c r="C11051" s="6" t="s">
        <v>131</v>
      </c>
      <c r="D11051" s="13" t="n">
        <v>45125</v>
      </c>
      <c r="E11051" s="14" t="n">
        <v>2774.05</v>
      </c>
      <c r="F11051" s="14" t="n">
        <v>14764.78</v>
      </c>
      <c r="G11051" s="6" t="s">
        <v>2613</v>
      </c>
    </row>
    <row r="11052" customFormat="false" ht="15" hidden="false" customHeight="true" outlineLevel="0" collapsed="false">
      <c r="A11052" s="6" t="s">
        <v>13664</v>
      </c>
      <c r="B11052" s="6" t="s">
        <v>2233</v>
      </c>
      <c r="C11052" s="6" t="s">
        <v>131</v>
      </c>
      <c r="D11052" s="13" t="n">
        <v>46017</v>
      </c>
      <c r="E11052" s="14" t="n">
        <v>1083.18</v>
      </c>
      <c r="F11052" s="14" t="n">
        <v>1083.18</v>
      </c>
      <c r="G11052" s="6" t="s">
        <v>2613</v>
      </c>
    </row>
    <row r="11053" customFormat="false" ht="15" hidden="false" customHeight="true" outlineLevel="0" collapsed="false">
      <c r="A11053" s="6" t="s">
        <v>13665</v>
      </c>
      <c r="B11053" s="6" t="s">
        <v>2233</v>
      </c>
      <c r="C11053" s="6" t="s">
        <v>131</v>
      </c>
      <c r="D11053" s="13" t="n">
        <v>46024</v>
      </c>
      <c r="E11053" s="14" t="n">
        <v>1160.66</v>
      </c>
      <c r="F11053" s="14" t="n">
        <v>2243.84</v>
      </c>
      <c r="G11053" s="6" t="s">
        <v>2613</v>
      </c>
    </row>
    <row r="11054" customFormat="false" ht="15" hidden="false" customHeight="true" outlineLevel="0" collapsed="false">
      <c r="A11054" s="6" t="s">
        <v>13666</v>
      </c>
      <c r="B11054" s="6" t="s">
        <v>2233</v>
      </c>
      <c r="C11054" s="6" t="s">
        <v>131</v>
      </c>
      <c r="D11054" s="13" t="n">
        <v>46031</v>
      </c>
      <c r="E11054" s="14" t="n">
        <v>1088.57</v>
      </c>
      <c r="F11054" s="14" t="n">
        <v>3332.41</v>
      </c>
      <c r="G11054" s="6" t="s">
        <v>2613</v>
      </c>
    </row>
    <row r="11055" customFormat="false" ht="15" hidden="false" customHeight="true" outlineLevel="0" collapsed="false">
      <c r="A11055" s="6" t="s">
        <v>13667</v>
      </c>
      <c r="B11055" s="6" t="s">
        <v>2233</v>
      </c>
      <c r="C11055" s="6" t="s">
        <v>131</v>
      </c>
      <c r="D11055" s="13" t="n">
        <v>46038</v>
      </c>
      <c r="E11055" s="14" t="n">
        <v>847.15</v>
      </c>
      <c r="F11055" s="14" t="n">
        <v>4179.56</v>
      </c>
      <c r="G11055" s="6" t="s">
        <v>2613</v>
      </c>
    </row>
    <row r="11056" customFormat="false" ht="15" hidden="false" customHeight="true" outlineLevel="0" collapsed="false">
      <c r="A11056" s="6" t="s">
        <v>13668</v>
      </c>
      <c r="B11056" s="6" t="s">
        <v>2233</v>
      </c>
      <c r="C11056" s="6" t="s">
        <v>131</v>
      </c>
      <c r="D11056" s="13" t="n">
        <v>46045</v>
      </c>
      <c r="E11056" s="14" t="n">
        <v>1194.48</v>
      </c>
      <c r="F11056" s="14" t="n">
        <v>5374.04</v>
      </c>
      <c r="G11056" s="6" t="s">
        <v>2623</v>
      </c>
    </row>
    <row r="11057" customFormat="false" ht="15" hidden="false" customHeight="true" outlineLevel="0" collapsed="false">
      <c r="A11057" s="6" t="s">
        <v>13669</v>
      </c>
      <c r="B11057" s="6" t="s">
        <v>2233</v>
      </c>
      <c r="C11057" s="6" t="s">
        <v>131</v>
      </c>
      <c r="D11057" s="13" t="n">
        <v>46052</v>
      </c>
      <c r="E11057" s="14" t="n">
        <v>645.59</v>
      </c>
      <c r="F11057" s="14" t="n">
        <v>6019.63</v>
      </c>
      <c r="G11057" s="6" t="s">
        <v>2613</v>
      </c>
    </row>
    <row r="11058" customFormat="false" ht="15" hidden="false" customHeight="true" outlineLevel="0" collapsed="false">
      <c r="A11058" s="6" t="s">
        <v>13670</v>
      </c>
      <c r="B11058" s="6" t="s">
        <v>2233</v>
      </c>
      <c r="C11058" s="6" t="s">
        <v>131</v>
      </c>
      <c r="D11058" s="13" t="n">
        <v>46059</v>
      </c>
      <c r="E11058" s="14" t="n">
        <v>615.98</v>
      </c>
      <c r="F11058" s="14" t="n">
        <v>6635.61</v>
      </c>
      <c r="G11058" s="6" t="s">
        <v>2613</v>
      </c>
    </row>
    <row r="11059" customFormat="false" ht="15" hidden="false" customHeight="true" outlineLevel="0" collapsed="false">
      <c r="A11059" s="6" t="s">
        <v>13671</v>
      </c>
      <c r="B11059" s="6" t="s">
        <v>2233</v>
      </c>
      <c r="C11059" s="6" t="s">
        <v>131</v>
      </c>
      <c r="D11059" s="13" t="n">
        <v>46066</v>
      </c>
      <c r="E11059" s="14" t="n">
        <v>761.18</v>
      </c>
      <c r="F11059" s="14" t="n">
        <v>7396.79</v>
      </c>
      <c r="G11059" s="6" t="s">
        <v>2613</v>
      </c>
    </row>
    <row r="11060" customFormat="false" ht="15" hidden="false" customHeight="true" outlineLevel="0" collapsed="false">
      <c r="A11060" s="6" t="s">
        <v>13672</v>
      </c>
      <c r="B11060" s="6" t="s">
        <v>2233</v>
      </c>
      <c r="C11060" s="6" t="s">
        <v>131</v>
      </c>
      <c r="D11060" s="13" t="n">
        <v>46073</v>
      </c>
      <c r="E11060" s="14" t="n">
        <v>658.89</v>
      </c>
      <c r="F11060" s="14" t="n">
        <v>8055.68</v>
      </c>
      <c r="G11060" s="6" t="s">
        <v>2613</v>
      </c>
    </row>
    <row r="11061" customFormat="false" ht="15" hidden="false" customHeight="true" outlineLevel="0" collapsed="false">
      <c r="A11061" s="6" t="s">
        <v>13673</v>
      </c>
      <c r="B11061" s="6" t="s">
        <v>2233</v>
      </c>
      <c r="C11061" s="6" t="s">
        <v>131</v>
      </c>
      <c r="D11061" s="13" t="n">
        <v>46080</v>
      </c>
      <c r="E11061" s="14" t="n">
        <v>995.39</v>
      </c>
      <c r="F11061" s="14" t="n">
        <v>9051.07</v>
      </c>
      <c r="G11061" s="6" t="s">
        <v>2613</v>
      </c>
    </row>
    <row r="11062" customFormat="false" ht="15" hidden="false" customHeight="true" outlineLevel="0" collapsed="false">
      <c r="A11062" s="6" t="s">
        <v>13674</v>
      </c>
      <c r="B11062" s="6" t="s">
        <v>2233</v>
      </c>
      <c r="C11062" s="6" t="s">
        <v>131</v>
      </c>
      <c r="D11062" s="13" t="n">
        <v>46087</v>
      </c>
      <c r="E11062" s="14" t="n">
        <v>956.02</v>
      </c>
      <c r="F11062" s="14" t="n">
        <v>10007.09</v>
      </c>
      <c r="G11062" s="6" t="s">
        <v>2613</v>
      </c>
    </row>
    <row r="11063" customFormat="false" ht="15" hidden="false" customHeight="true" outlineLevel="0" collapsed="false">
      <c r="A11063" s="6" t="s">
        <v>13675</v>
      </c>
      <c r="B11063" s="6" t="s">
        <v>2233</v>
      </c>
      <c r="C11063" s="6" t="s">
        <v>131</v>
      </c>
      <c r="D11063" s="13" t="n">
        <v>46094</v>
      </c>
      <c r="E11063" s="14" t="n">
        <v>1117.02</v>
      </c>
      <c r="F11063" s="14" t="n">
        <v>11124.11</v>
      </c>
      <c r="G11063" s="6" t="s">
        <v>2613</v>
      </c>
    </row>
    <row r="11064" customFormat="false" ht="15" hidden="false" customHeight="true" outlineLevel="0" collapsed="false">
      <c r="A11064" s="6" t="s">
        <v>13676</v>
      </c>
      <c r="B11064" s="6" t="s">
        <v>2233</v>
      </c>
      <c r="C11064" s="6" t="s">
        <v>131</v>
      </c>
      <c r="D11064" s="13" t="n">
        <v>46101</v>
      </c>
      <c r="E11064" s="14" t="n">
        <v>1392.86</v>
      </c>
      <c r="F11064" s="14" t="n">
        <v>12516.97</v>
      </c>
      <c r="G11064" s="6" t="s">
        <v>2613</v>
      </c>
    </row>
    <row r="11065" customFormat="false" ht="15" hidden="false" customHeight="true" outlineLevel="0" collapsed="false">
      <c r="A11065" s="6" t="s">
        <v>13677</v>
      </c>
      <c r="B11065" s="6" t="s">
        <v>2233</v>
      </c>
      <c r="C11065" s="6" t="s">
        <v>131</v>
      </c>
      <c r="D11065" s="13" t="n">
        <v>46108</v>
      </c>
      <c r="E11065" s="14" t="n">
        <v>748.5</v>
      </c>
      <c r="F11065" s="14" t="n">
        <v>13265.47</v>
      </c>
      <c r="G11065" s="6" t="s">
        <v>2613</v>
      </c>
    </row>
    <row r="11066" customFormat="false" ht="15" hidden="false" customHeight="true" outlineLevel="0" collapsed="false">
      <c r="A11066" s="6" t="s">
        <v>13678</v>
      </c>
      <c r="B11066" s="6" t="s">
        <v>2233</v>
      </c>
      <c r="C11066" s="6" t="s">
        <v>131</v>
      </c>
      <c r="D11066" s="13" t="n">
        <v>46115</v>
      </c>
      <c r="E11066" s="14" t="n">
        <v>1002.89</v>
      </c>
      <c r="F11066" s="14" t="n">
        <v>14268.36</v>
      </c>
      <c r="G11066" s="6" t="s">
        <v>2613</v>
      </c>
    </row>
    <row r="11067" customFormat="false" ht="15" hidden="false" customHeight="true" outlineLevel="0" collapsed="false">
      <c r="A11067" s="6" t="s">
        <v>13679</v>
      </c>
      <c r="B11067" s="6" t="s">
        <v>2233</v>
      </c>
      <c r="C11067" s="6" t="s">
        <v>131</v>
      </c>
      <c r="D11067" s="13" t="n">
        <v>46122</v>
      </c>
      <c r="E11067" s="14" t="n">
        <v>1165.82</v>
      </c>
      <c r="F11067" s="14" t="n">
        <v>15434.18</v>
      </c>
      <c r="G11067" s="6" t="s">
        <v>2613</v>
      </c>
    </row>
    <row r="11068" customFormat="false" ht="15" hidden="false" customHeight="true" outlineLevel="0" collapsed="false">
      <c r="A11068" s="6" t="s">
        <v>13680</v>
      </c>
      <c r="B11068" s="6" t="s">
        <v>2233</v>
      </c>
      <c r="C11068" s="6" t="s">
        <v>131</v>
      </c>
      <c r="D11068" s="13" t="n">
        <v>46129</v>
      </c>
      <c r="E11068" s="14" t="n">
        <v>1512.04</v>
      </c>
      <c r="F11068" s="14" t="n">
        <v>16946.22</v>
      </c>
      <c r="G11068" s="6" t="s">
        <v>2613</v>
      </c>
    </row>
    <row r="11069" customFormat="false" ht="15" hidden="false" customHeight="true" outlineLevel="0" collapsed="false">
      <c r="A11069" s="6" t="s">
        <v>13681</v>
      </c>
      <c r="B11069" s="6" t="s">
        <v>2235</v>
      </c>
      <c r="C11069" s="6" t="s">
        <v>124</v>
      </c>
      <c r="D11069" s="13" t="n">
        <v>45900</v>
      </c>
      <c r="E11069" s="14" t="n">
        <v>1551.42</v>
      </c>
      <c r="F11069" s="14" t="n">
        <v>1551.42</v>
      </c>
      <c r="G11069" s="6" t="s">
        <v>2613</v>
      </c>
    </row>
    <row r="11070" customFormat="false" ht="15" hidden="false" customHeight="true" outlineLevel="0" collapsed="false">
      <c r="A11070" s="6" t="s">
        <v>13682</v>
      </c>
      <c r="B11070" s="6" t="s">
        <v>2235</v>
      </c>
      <c r="C11070" s="6" t="s">
        <v>124</v>
      </c>
      <c r="D11070" s="13" t="n">
        <v>45907</v>
      </c>
      <c r="E11070" s="14" t="n">
        <v>1412.31</v>
      </c>
      <c r="F11070" s="14" t="n">
        <v>2963.73</v>
      </c>
      <c r="G11070" s="6" t="s">
        <v>2613</v>
      </c>
    </row>
    <row r="11071" customFormat="false" ht="15" hidden="false" customHeight="true" outlineLevel="0" collapsed="false">
      <c r="A11071" s="6" t="s">
        <v>13683</v>
      </c>
      <c r="B11071" s="6" t="s">
        <v>2235</v>
      </c>
      <c r="C11071" s="6" t="s">
        <v>124</v>
      </c>
      <c r="D11071" s="13" t="n">
        <v>45914</v>
      </c>
      <c r="E11071" s="14" t="n">
        <v>1377.87</v>
      </c>
      <c r="F11071" s="14" t="n">
        <v>4341.6</v>
      </c>
      <c r="G11071" s="6" t="s">
        <v>2613</v>
      </c>
    </row>
    <row r="11072" customFormat="false" ht="15" hidden="false" customHeight="true" outlineLevel="0" collapsed="false">
      <c r="A11072" s="6" t="s">
        <v>13684</v>
      </c>
      <c r="B11072" s="6" t="s">
        <v>2235</v>
      </c>
      <c r="C11072" s="6" t="s">
        <v>124</v>
      </c>
      <c r="D11072" s="13" t="n">
        <v>45921</v>
      </c>
      <c r="E11072" s="14" t="n">
        <v>835.59</v>
      </c>
      <c r="F11072" s="14" t="n">
        <v>5177.19</v>
      </c>
      <c r="G11072" s="6" t="s">
        <v>2613</v>
      </c>
    </row>
    <row r="11073" customFormat="false" ht="15" hidden="false" customHeight="true" outlineLevel="0" collapsed="false">
      <c r="A11073" s="6" t="s">
        <v>13685</v>
      </c>
      <c r="B11073" s="6" t="s">
        <v>2235</v>
      </c>
      <c r="C11073" s="6" t="s">
        <v>124</v>
      </c>
      <c r="D11073" s="13" t="n">
        <v>45928</v>
      </c>
      <c r="E11073" s="14" t="n">
        <v>1300.88</v>
      </c>
      <c r="F11073" s="14" t="n">
        <v>6478.07</v>
      </c>
      <c r="G11073" s="6" t="s">
        <v>2623</v>
      </c>
    </row>
    <row r="11074" customFormat="false" ht="15" hidden="false" customHeight="true" outlineLevel="0" collapsed="false">
      <c r="A11074" s="6" t="s">
        <v>13686</v>
      </c>
      <c r="B11074" s="6" t="s">
        <v>2235</v>
      </c>
      <c r="C11074" s="6" t="s">
        <v>124</v>
      </c>
      <c r="D11074" s="13" t="n">
        <v>45935</v>
      </c>
      <c r="E11074" s="14" t="n">
        <v>906.64</v>
      </c>
      <c r="F11074" s="14" t="n">
        <v>7384.71</v>
      </c>
      <c r="G11074" s="6" t="s">
        <v>2613</v>
      </c>
    </row>
    <row r="11075" customFormat="false" ht="15" hidden="false" customHeight="true" outlineLevel="0" collapsed="false">
      <c r="A11075" s="6" t="s">
        <v>13687</v>
      </c>
      <c r="B11075" s="6" t="s">
        <v>2235</v>
      </c>
      <c r="C11075" s="6" t="s">
        <v>124</v>
      </c>
      <c r="D11075" s="13" t="n">
        <v>45942</v>
      </c>
      <c r="E11075" s="14" t="n">
        <v>1348.86</v>
      </c>
      <c r="F11075" s="14" t="n">
        <v>8733.57</v>
      </c>
      <c r="G11075" s="6" t="s">
        <v>2623</v>
      </c>
    </row>
    <row r="11076" customFormat="false" ht="15" hidden="false" customHeight="true" outlineLevel="0" collapsed="false">
      <c r="A11076" s="6" t="s">
        <v>13688</v>
      </c>
      <c r="B11076" s="6" t="s">
        <v>2237</v>
      </c>
      <c r="C11076" s="6" t="s">
        <v>116</v>
      </c>
      <c r="D11076" s="13" t="n">
        <v>45503</v>
      </c>
      <c r="E11076" s="14" t="n">
        <v>4693.89</v>
      </c>
      <c r="F11076" s="14" t="n">
        <v>4693.89</v>
      </c>
      <c r="G11076" s="6" t="s">
        <v>2613</v>
      </c>
    </row>
    <row r="11077" customFormat="false" ht="15" hidden="false" customHeight="true" outlineLevel="0" collapsed="false">
      <c r="A11077" s="6" t="s">
        <v>13689</v>
      </c>
      <c r="B11077" s="6" t="s">
        <v>2237</v>
      </c>
      <c r="C11077" s="6" t="s">
        <v>116</v>
      </c>
      <c r="D11077" s="13" t="n">
        <v>45510</v>
      </c>
      <c r="E11077" s="14" t="n">
        <v>3616.98</v>
      </c>
      <c r="F11077" s="14" t="n">
        <v>8310.87</v>
      </c>
      <c r="G11077" s="6" t="s">
        <v>2613</v>
      </c>
    </row>
    <row r="11078" customFormat="false" ht="15" hidden="false" customHeight="true" outlineLevel="0" collapsed="false">
      <c r="A11078" s="6" t="s">
        <v>13690</v>
      </c>
      <c r="B11078" s="6" t="s">
        <v>2237</v>
      </c>
      <c r="C11078" s="6" t="s">
        <v>116</v>
      </c>
      <c r="D11078" s="13" t="n">
        <v>45517</v>
      </c>
      <c r="E11078" s="14" t="n">
        <v>7665.38</v>
      </c>
      <c r="F11078" s="14" t="n">
        <v>15976.25</v>
      </c>
      <c r="G11078" s="6" t="s">
        <v>2613</v>
      </c>
    </row>
    <row r="11079" customFormat="false" ht="15" hidden="false" customHeight="true" outlineLevel="0" collapsed="false">
      <c r="A11079" s="6" t="s">
        <v>13691</v>
      </c>
      <c r="B11079" s="6" t="s">
        <v>2237</v>
      </c>
      <c r="C11079" s="6" t="s">
        <v>116</v>
      </c>
      <c r="D11079" s="13" t="n">
        <v>45524</v>
      </c>
      <c r="E11079" s="14" t="n">
        <v>4837.24</v>
      </c>
      <c r="F11079" s="14" t="n">
        <v>20813.49</v>
      </c>
      <c r="G11079" s="6" t="s">
        <v>2613</v>
      </c>
    </row>
    <row r="11080" customFormat="false" ht="15" hidden="false" customHeight="true" outlineLevel="0" collapsed="false">
      <c r="A11080" s="6" t="s">
        <v>13692</v>
      </c>
      <c r="B11080" s="6" t="s">
        <v>2237</v>
      </c>
      <c r="C11080" s="6" t="s">
        <v>116</v>
      </c>
      <c r="D11080" s="13" t="n">
        <v>45531</v>
      </c>
      <c r="E11080" s="14" t="n">
        <v>4476.04</v>
      </c>
      <c r="F11080" s="14" t="n">
        <v>25289.53</v>
      </c>
      <c r="G11080" s="6" t="s">
        <v>2613</v>
      </c>
    </row>
    <row r="11081" customFormat="false" ht="15" hidden="false" customHeight="true" outlineLevel="0" collapsed="false">
      <c r="A11081" s="6" t="s">
        <v>13693</v>
      </c>
      <c r="B11081" s="6" t="s">
        <v>2237</v>
      </c>
      <c r="C11081" s="6" t="s">
        <v>116</v>
      </c>
      <c r="D11081" s="13" t="n">
        <v>45538</v>
      </c>
      <c r="E11081" s="14" t="n">
        <v>6664.39</v>
      </c>
      <c r="F11081" s="14" t="n">
        <v>31953.92</v>
      </c>
      <c r="G11081" s="6" t="s">
        <v>2613</v>
      </c>
    </row>
    <row r="11082" customFormat="false" ht="15" hidden="false" customHeight="true" outlineLevel="0" collapsed="false">
      <c r="A11082" s="6" t="s">
        <v>13694</v>
      </c>
      <c r="B11082" s="6" t="s">
        <v>2237</v>
      </c>
      <c r="C11082" s="6" t="s">
        <v>116</v>
      </c>
      <c r="D11082" s="13" t="n">
        <v>45545</v>
      </c>
      <c r="E11082" s="14" t="n">
        <v>7392.39</v>
      </c>
      <c r="F11082" s="14" t="n">
        <v>39346.31</v>
      </c>
      <c r="G11082" s="6" t="s">
        <v>2613</v>
      </c>
    </row>
    <row r="11083" customFormat="false" ht="15" hidden="false" customHeight="true" outlineLevel="0" collapsed="false">
      <c r="A11083" s="6" t="s">
        <v>13695</v>
      </c>
      <c r="B11083" s="6" t="s">
        <v>2237</v>
      </c>
      <c r="C11083" s="6" t="s">
        <v>116</v>
      </c>
      <c r="D11083" s="13" t="n">
        <v>45552</v>
      </c>
      <c r="E11083" s="14" t="n">
        <v>6150.52</v>
      </c>
      <c r="F11083" s="14" t="n">
        <v>45496.83</v>
      </c>
      <c r="G11083" s="6" t="s">
        <v>2613</v>
      </c>
    </row>
    <row r="11084" customFormat="false" ht="15" hidden="false" customHeight="true" outlineLevel="0" collapsed="false">
      <c r="A11084" s="6" t="s">
        <v>13696</v>
      </c>
      <c r="B11084" s="6" t="s">
        <v>2237</v>
      </c>
      <c r="C11084" s="6" t="s">
        <v>116</v>
      </c>
      <c r="D11084" s="13" t="n">
        <v>45559</v>
      </c>
      <c r="E11084" s="14" t="n">
        <v>5019.12</v>
      </c>
      <c r="F11084" s="14" t="n">
        <v>50515.95</v>
      </c>
      <c r="G11084" s="6" t="s">
        <v>2613</v>
      </c>
    </row>
    <row r="11085" customFormat="false" ht="15" hidden="false" customHeight="true" outlineLevel="0" collapsed="false">
      <c r="A11085" s="6" t="s">
        <v>13697</v>
      </c>
      <c r="B11085" s="6" t="s">
        <v>2237</v>
      </c>
      <c r="C11085" s="6" t="s">
        <v>116</v>
      </c>
      <c r="D11085" s="13" t="n">
        <v>45566</v>
      </c>
      <c r="E11085" s="14" t="n">
        <v>3577.35</v>
      </c>
      <c r="F11085" s="14" t="n">
        <v>54093.3</v>
      </c>
      <c r="G11085" s="6" t="s">
        <v>2613</v>
      </c>
    </row>
    <row r="11086" customFormat="false" ht="15" hidden="false" customHeight="true" outlineLevel="0" collapsed="false">
      <c r="A11086" s="6" t="s">
        <v>13698</v>
      </c>
      <c r="B11086" s="6" t="s">
        <v>2237</v>
      </c>
      <c r="C11086" s="6" t="s">
        <v>116</v>
      </c>
      <c r="D11086" s="13" t="n">
        <v>45573</v>
      </c>
      <c r="E11086" s="14" t="n">
        <v>6718.22</v>
      </c>
      <c r="F11086" s="14" t="n">
        <v>60811.52</v>
      </c>
      <c r="G11086" s="6" t="s">
        <v>2613</v>
      </c>
    </row>
    <row r="11087" customFormat="false" ht="15" hidden="false" customHeight="true" outlineLevel="0" collapsed="false">
      <c r="A11087" s="6" t="s">
        <v>13699</v>
      </c>
      <c r="B11087" s="6" t="s">
        <v>2237</v>
      </c>
      <c r="C11087" s="6" t="s">
        <v>116</v>
      </c>
      <c r="D11087" s="13" t="n">
        <v>45580</v>
      </c>
      <c r="E11087" s="14" t="n">
        <v>4473.22</v>
      </c>
      <c r="F11087" s="14" t="n">
        <v>65284.74</v>
      </c>
      <c r="G11087" s="6" t="s">
        <v>2613</v>
      </c>
    </row>
    <row r="11088" customFormat="false" ht="15" hidden="false" customHeight="true" outlineLevel="0" collapsed="false">
      <c r="A11088" s="6" t="s">
        <v>13700</v>
      </c>
      <c r="B11088" s="6" t="s">
        <v>2237</v>
      </c>
      <c r="C11088" s="6" t="s">
        <v>116</v>
      </c>
      <c r="D11088" s="13" t="n">
        <v>45587</v>
      </c>
      <c r="E11088" s="14" t="n">
        <v>7289.61</v>
      </c>
      <c r="F11088" s="14" t="n">
        <v>72574.35</v>
      </c>
      <c r="G11088" s="6" t="s">
        <v>2613</v>
      </c>
    </row>
    <row r="11089" customFormat="false" ht="15" hidden="false" customHeight="true" outlineLevel="0" collapsed="false">
      <c r="A11089" s="6" t="s">
        <v>13701</v>
      </c>
      <c r="B11089" s="6" t="s">
        <v>2237</v>
      </c>
      <c r="C11089" s="6" t="s">
        <v>116</v>
      </c>
      <c r="D11089" s="13" t="n">
        <v>45594</v>
      </c>
      <c r="E11089" s="14" t="n">
        <v>5747.08</v>
      </c>
      <c r="F11089" s="14" t="n">
        <v>78321.43</v>
      </c>
      <c r="G11089" s="6" t="s">
        <v>2613</v>
      </c>
    </row>
    <row r="11090" customFormat="false" ht="15" hidden="false" customHeight="true" outlineLevel="0" collapsed="false">
      <c r="A11090" s="6" t="s">
        <v>13702</v>
      </c>
      <c r="B11090" s="6" t="s">
        <v>2239</v>
      </c>
      <c r="C11090" s="6" t="s">
        <v>112</v>
      </c>
      <c r="D11090" s="13" t="n">
        <v>45434</v>
      </c>
      <c r="E11090" s="14" t="n">
        <v>1461.9</v>
      </c>
      <c r="F11090" s="14" t="n">
        <v>1461.9</v>
      </c>
      <c r="G11090" s="6" t="s">
        <v>2613</v>
      </c>
    </row>
    <row r="11091" customFormat="false" ht="15" hidden="false" customHeight="true" outlineLevel="0" collapsed="false">
      <c r="A11091" s="6" t="s">
        <v>13703</v>
      </c>
      <c r="B11091" s="6" t="s">
        <v>2239</v>
      </c>
      <c r="C11091" s="6" t="s">
        <v>112</v>
      </c>
      <c r="D11091" s="13" t="n">
        <v>45441</v>
      </c>
      <c r="E11091" s="14" t="n">
        <v>1742.64</v>
      </c>
      <c r="F11091" s="14" t="n">
        <v>3204.54</v>
      </c>
      <c r="G11091" s="6" t="s">
        <v>2613</v>
      </c>
    </row>
    <row r="11092" customFormat="false" ht="15" hidden="false" customHeight="true" outlineLevel="0" collapsed="false">
      <c r="A11092" s="6" t="s">
        <v>13704</v>
      </c>
      <c r="B11092" s="6" t="s">
        <v>2239</v>
      </c>
      <c r="C11092" s="6" t="s">
        <v>112</v>
      </c>
      <c r="D11092" s="13" t="n">
        <v>45448</v>
      </c>
      <c r="E11092" s="14" t="n">
        <v>1043.1</v>
      </c>
      <c r="F11092" s="14" t="n">
        <v>4247.64</v>
      </c>
      <c r="G11092" s="6" t="s">
        <v>2613</v>
      </c>
    </row>
    <row r="11093" customFormat="false" ht="15" hidden="false" customHeight="true" outlineLevel="0" collapsed="false">
      <c r="A11093" s="6" t="s">
        <v>13705</v>
      </c>
      <c r="B11093" s="6" t="s">
        <v>2239</v>
      </c>
      <c r="C11093" s="6" t="s">
        <v>112</v>
      </c>
      <c r="D11093" s="13" t="n">
        <v>45455</v>
      </c>
      <c r="E11093" s="14" t="n">
        <v>1222.99</v>
      </c>
      <c r="F11093" s="14" t="n">
        <v>5470.63</v>
      </c>
      <c r="G11093" s="6" t="s">
        <v>2613</v>
      </c>
    </row>
    <row r="11094" customFormat="false" ht="15" hidden="false" customHeight="true" outlineLevel="0" collapsed="false">
      <c r="A11094" s="6" t="s">
        <v>13706</v>
      </c>
      <c r="B11094" s="6" t="s">
        <v>2239</v>
      </c>
      <c r="C11094" s="6" t="s">
        <v>112</v>
      </c>
      <c r="D11094" s="13" t="n">
        <v>45462</v>
      </c>
      <c r="E11094" s="14" t="n">
        <v>1676.35</v>
      </c>
      <c r="F11094" s="14" t="n">
        <v>7146.98</v>
      </c>
      <c r="G11094" s="6" t="s">
        <v>2613</v>
      </c>
    </row>
    <row r="11095" customFormat="false" ht="15" hidden="false" customHeight="true" outlineLevel="0" collapsed="false">
      <c r="A11095" s="6" t="s">
        <v>13707</v>
      </c>
      <c r="B11095" s="6" t="s">
        <v>2239</v>
      </c>
      <c r="C11095" s="6" t="s">
        <v>112</v>
      </c>
      <c r="D11095" s="13" t="n">
        <v>45469</v>
      </c>
      <c r="E11095" s="14" t="n">
        <v>1165.76</v>
      </c>
      <c r="F11095" s="14" t="n">
        <v>8312.74</v>
      </c>
      <c r="G11095" s="6" t="s">
        <v>2613</v>
      </c>
    </row>
    <row r="11096" customFormat="false" ht="15" hidden="false" customHeight="true" outlineLevel="0" collapsed="false">
      <c r="A11096" s="6" t="s">
        <v>13708</v>
      </c>
      <c r="B11096" s="6" t="s">
        <v>2239</v>
      </c>
      <c r="C11096" s="6" t="s">
        <v>112</v>
      </c>
      <c r="D11096" s="13" t="n">
        <v>45476</v>
      </c>
      <c r="E11096" s="14" t="n">
        <v>1650.46</v>
      </c>
      <c r="F11096" s="14" t="n">
        <v>9963.2</v>
      </c>
      <c r="G11096" s="6" t="s">
        <v>2613</v>
      </c>
    </row>
    <row r="11097" customFormat="false" ht="15" hidden="false" customHeight="true" outlineLevel="0" collapsed="false">
      <c r="A11097" s="6" t="s">
        <v>13709</v>
      </c>
      <c r="B11097" s="6" t="s">
        <v>2241</v>
      </c>
      <c r="C11097" s="6" t="s">
        <v>120</v>
      </c>
      <c r="D11097" s="13" t="n">
        <v>45547</v>
      </c>
      <c r="E11097" s="14" t="n">
        <v>2573.72</v>
      </c>
      <c r="F11097" s="14" t="n">
        <v>2573.72</v>
      </c>
      <c r="G11097" s="6" t="s">
        <v>2613</v>
      </c>
    </row>
    <row r="11098" customFormat="false" ht="15" hidden="false" customHeight="true" outlineLevel="0" collapsed="false">
      <c r="A11098" s="6" t="s">
        <v>13710</v>
      </c>
      <c r="B11098" s="6" t="s">
        <v>2241</v>
      </c>
      <c r="C11098" s="6" t="s">
        <v>120</v>
      </c>
      <c r="D11098" s="13" t="n">
        <v>45554</v>
      </c>
      <c r="E11098" s="14" t="n">
        <v>2707.84</v>
      </c>
      <c r="F11098" s="14" t="n">
        <v>5281.56</v>
      </c>
      <c r="G11098" s="6" t="s">
        <v>2613</v>
      </c>
    </row>
    <row r="11099" customFormat="false" ht="15" hidden="false" customHeight="true" outlineLevel="0" collapsed="false">
      <c r="A11099" s="6" t="s">
        <v>13711</v>
      </c>
      <c r="B11099" s="6" t="s">
        <v>2241</v>
      </c>
      <c r="C11099" s="6" t="s">
        <v>120</v>
      </c>
      <c r="D11099" s="13" t="n">
        <v>45561</v>
      </c>
      <c r="E11099" s="14" t="n">
        <v>2018.76</v>
      </c>
      <c r="F11099" s="14" t="n">
        <v>7300.32</v>
      </c>
      <c r="G11099" s="6" t="s">
        <v>2613</v>
      </c>
    </row>
    <row r="11100" customFormat="false" ht="15" hidden="false" customHeight="true" outlineLevel="0" collapsed="false">
      <c r="A11100" s="6" t="s">
        <v>13712</v>
      </c>
      <c r="B11100" s="6" t="s">
        <v>2241</v>
      </c>
      <c r="C11100" s="6" t="s">
        <v>120</v>
      </c>
      <c r="D11100" s="13" t="n">
        <v>45568</v>
      </c>
      <c r="E11100" s="14" t="n">
        <v>2187.22</v>
      </c>
      <c r="F11100" s="14" t="n">
        <v>9487.54</v>
      </c>
      <c r="G11100" s="6" t="s">
        <v>2613</v>
      </c>
    </row>
    <row r="11101" customFormat="false" ht="15" hidden="false" customHeight="true" outlineLevel="0" collapsed="false">
      <c r="A11101" s="6" t="s">
        <v>13713</v>
      </c>
      <c r="B11101" s="6" t="s">
        <v>2241</v>
      </c>
      <c r="C11101" s="6" t="s">
        <v>120</v>
      </c>
      <c r="D11101" s="13" t="n">
        <v>45575</v>
      </c>
      <c r="E11101" s="14" t="n">
        <v>1654.67</v>
      </c>
      <c r="F11101" s="14" t="n">
        <v>11142.21</v>
      </c>
      <c r="G11101" s="6" t="s">
        <v>2613</v>
      </c>
    </row>
    <row r="11102" customFormat="false" ht="15" hidden="false" customHeight="true" outlineLevel="0" collapsed="false">
      <c r="A11102" s="6" t="s">
        <v>13714</v>
      </c>
      <c r="B11102" s="6" t="s">
        <v>2241</v>
      </c>
      <c r="C11102" s="6" t="s">
        <v>120</v>
      </c>
      <c r="D11102" s="13" t="n">
        <v>45582</v>
      </c>
      <c r="E11102" s="14" t="n">
        <v>2338.12</v>
      </c>
      <c r="F11102" s="14" t="n">
        <v>13480.33</v>
      </c>
      <c r="G11102" s="6" t="s">
        <v>2613</v>
      </c>
    </row>
    <row r="11103" customFormat="false" ht="15" hidden="false" customHeight="true" outlineLevel="0" collapsed="false">
      <c r="A11103" s="6" t="s">
        <v>13715</v>
      </c>
      <c r="B11103" s="6" t="s">
        <v>2241</v>
      </c>
      <c r="C11103" s="6" t="s">
        <v>120</v>
      </c>
      <c r="D11103" s="13" t="n">
        <v>45589</v>
      </c>
      <c r="E11103" s="14" t="n">
        <v>2755.05</v>
      </c>
      <c r="F11103" s="14" t="n">
        <v>16235.38</v>
      </c>
      <c r="G11103" s="6" t="s">
        <v>2613</v>
      </c>
    </row>
    <row r="11104" customFormat="false" ht="15" hidden="false" customHeight="true" outlineLevel="0" collapsed="false">
      <c r="A11104" s="6" t="s">
        <v>13716</v>
      </c>
      <c r="B11104" s="6" t="s">
        <v>2241</v>
      </c>
      <c r="C11104" s="6" t="s">
        <v>120</v>
      </c>
      <c r="D11104" s="13" t="n">
        <v>45596</v>
      </c>
      <c r="E11104" s="14" t="n">
        <v>1931.65</v>
      </c>
      <c r="F11104" s="14" t="n">
        <v>18167.03</v>
      </c>
      <c r="G11104" s="6" t="s">
        <v>2623</v>
      </c>
    </row>
    <row r="11105" customFormat="false" ht="15" hidden="false" customHeight="true" outlineLevel="0" collapsed="false">
      <c r="A11105" s="6" t="s">
        <v>13717</v>
      </c>
      <c r="B11105" s="6" t="s">
        <v>2243</v>
      </c>
      <c r="C11105" s="6" t="s">
        <v>131</v>
      </c>
      <c r="D11105" s="13" t="n">
        <v>46016</v>
      </c>
      <c r="E11105" s="14" t="n">
        <v>6494.34</v>
      </c>
      <c r="F11105" s="14" t="n">
        <v>6494.34</v>
      </c>
      <c r="G11105" s="6" t="s">
        <v>2613</v>
      </c>
    </row>
    <row r="11106" customFormat="false" ht="15" hidden="false" customHeight="true" outlineLevel="0" collapsed="false">
      <c r="A11106" s="6" t="s">
        <v>13718</v>
      </c>
      <c r="B11106" s="6" t="s">
        <v>2243</v>
      </c>
      <c r="C11106" s="6" t="s">
        <v>131</v>
      </c>
      <c r="D11106" s="13" t="n">
        <v>46023</v>
      </c>
      <c r="E11106" s="14" t="n">
        <v>7164</v>
      </c>
      <c r="F11106" s="14" t="n">
        <v>13658.34</v>
      </c>
      <c r="G11106" s="6" t="s">
        <v>2613</v>
      </c>
    </row>
    <row r="11107" customFormat="false" ht="15" hidden="false" customHeight="true" outlineLevel="0" collapsed="false">
      <c r="A11107" s="6" t="s">
        <v>13719</v>
      </c>
      <c r="B11107" s="6" t="s">
        <v>2243</v>
      </c>
      <c r="C11107" s="6" t="s">
        <v>131</v>
      </c>
      <c r="D11107" s="13" t="n">
        <v>46030</v>
      </c>
      <c r="E11107" s="14" t="n">
        <v>4841.69</v>
      </c>
      <c r="F11107" s="14" t="n">
        <v>18500.03</v>
      </c>
      <c r="G11107" s="6" t="s">
        <v>2613</v>
      </c>
    </row>
    <row r="11108" customFormat="false" ht="15" hidden="false" customHeight="true" outlineLevel="0" collapsed="false">
      <c r="A11108" s="6" t="s">
        <v>13720</v>
      </c>
      <c r="B11108" s="6" t="s">
        <v>2243</v>
      </c>
      <c r="C11108" s="6" t="s">
        <v>131</v>
      </c>
      <c r="D11108" s="13" t="n">
        <v>46037</v>
      </c>
      <c r="E11108" s="14" t="n">
        <v>3661.81</v>
      </c>
      <c r="F11108" s="14" t="n">
        <v>22161.84</v>
      </c>
      <c r="G11108" s="6" t="s">
        <v>2613</v>
      </c>
    </row>
    <row r="11109" customFormat="false" ht="15" hidden="false" customHeight="true" outlineLevel="0" collapsed="false">
      <c r="A11109" s="6" t="s">
        <v>13721</v>
      </c>
      <c r="B11109" s="6" t="s">
        <v>2243</v>
      </c>
      <c r="C11109" s="6" t="s">
        <v>131</v>
      </c>
      <c r="D11109" s="13" t="n">
        <v>46044</v>
      </c>
      <c r="E11109" s="14" t="n">
        <v>3094.86</v>
      </c>
      <c r="F11109" s="14" t="n">
        <v>25256.7</v>
      </c>
      <c r="G11109" s="6" t="s">
        <v>2613</v>
      </c>
    </row>
    <row r="11110" customFormat="false" ht="15" hidden="false" customHeight="true" outlineLevel="0" collapsed="false">
      <c r="A11110" s="6" t="s">
        <v>13722</v>
      </c>
      <c r="B11110" s="6" t="s">
        <v>2243</v>
      </c>
      <c r="C11110" s="6" t="s">
        <v>131</v>
      </c>
      <c r="D11110" s="13" t="n">
        <v>46051</v>
      </c>
      <c r="E11110" s="14" t="n">
        <v>7036.1</v>
      </c>
      <c r="F11110" s="14" t="n">
        <v>32292.8</v>
      </c>
      <c r="G11110" s="6" t="s">
        <v>2613</v>
      </c>
    </row>
    <row r="11111" customFormat="false" ht="15" hidden="false" customHeight="true" outlineLevel="0" collapsed="false">
      <c r="A11111" s="6" t="s">
        <v>13723</v>
      </c>
      <c r="B11111" s="6" t="s">
        <v>2243</v>
      </c>
      <c r="C11111" s="6" t="s">
        <v>131</v>
      </c>
      <c r="D11111" s="13" t="n">
        <v>46058</v>
      </c>
      <c r="E11111" s="14" t="n">
        <v>6645.05</v>
      </c>
      <c r="F11111" s="14" t="n">
        <v>38937.85</v>
      </c>
      <c r="G11111" s="6" t="s">
        <v>2613</v>
      </c>
    </row>
    <row r="11112" customFormat="false" ht="15" hidden="false" customHeight="true" outlineLevel="0" collapsed="false">
      <c r="A11112" s="6" t="s">
        <v>13724</v>
      </c>
      <c r="B11112" s="6" t="s">
        <v>2243</v>
      </c>
      <c r="C11112" s="6" t="s">
        <v>131</v>
      </c>
      <c r="D11112" s="13" t="n">
        <v>46065</v>
      </c>
      <c r="E11112" s="14" t="n">
        <v>6668.94</v>
      </c>
      <c r="F11112" s="14" t="n">
        <v>45606.79</v>
      </c>
      <c r="G11112" s="6" t="s">
        <v>2613</v>
      </c>
    </row>
    <row r="11113" customFormat="false" ht="15" hidden="false" customHeight="true" outlineLevel="0" collapsed="false">
      <c r="A11113" s="6" t="s">
        <v>13725</v>
      </c>
      <c r="B11113" s="6" t="s">
        <v>2243</v>
      </c>
      <c r="C11113" s="6" t="s">
        <v>131</v>
      </c>
      <c r="D11113" s="13" t="n">
        <v>46072</v>
      </c>
      <c r="E11113" s="14" t="n">
        <v>4608.81</v>
      </c>
      <c r="F11113" s="14" t="n">
        <v>50215.6</v>
      </c>
      <c r="G11113" s="6" t="s">
        <v>2613</v>
      </c>
    </row>
    <row r="11114" customFormat="false" ht="15" hidden="false" customHeight="true" outlineLevel="0" collapsed="false">
      <c r="A11114" s="6" t="s">
        <v>13726</v>
      </c>
      <c r="B11114" s="6" t="s">
        <v>2243</v>
      </c>
      <c r="C11114" s="6" t="s">
        <v>131</v>
      </c>
      <c r="D11114" s="13" t="n">
        <v>46079</v>
      </c>
      <c r="E11114" s="14" t="n">
        <v>4422.74</v>
      </c>
      <c r="F11114" s="14" t="n">
        <v>54638.34</v>
      </c>
      <c r="G11114" s="6" t="s">
        <v>2613</v>
      </c>
    </row>
    <row r="11115" customFormat="false" ht="15" hidden="false" customHeight="true" outlineLevel="0" collapsed="false">
      <c r="A11115" s="6" t="s">
        <v>13727</v>
      </c>
      <c r="B11115" s="6" t="s">
        <v>2243</v>
      </c>
      <c r="C11115" s="6" t="s">
        <v>131</v>
      </c>
      <c r="D11115" s="13" t="n">
        <v>46086</v>
      </c>
      <c r="E11115" s="14" t="n">
        <v>3108.91</v>
      </c>
      <c r="F11115" s="14" t="n">
        <v>57747.25</v>
      </c>
      <c r="G11115" s="6" t="s">
        <v>2623</v>
      </c>
    </row>
    <row r="11116" customFormat="false" ht="15" hidden="false" customHeight="true" outlineLevel="0" collapsed="false">
      <c r="A11116" s="6" t="s">
        <v>13728</v>
      </c>
      <c r="B11116" s="6" t="s">
        <v>2243</v>
      </c>
      <c r="C11116" s="6" t="s">
        <v>131</v>
      </c>
      <c r="D11116" s="13" t="n">
        <v>46093</v>
      </c>
      <c r="E11116" s="14" t="n">
        <v>5477.78</v>
      </c>
      <c r="F11116" s="14" t="n">
        <v>63225.03</v>
      </c>
      <c r="G11116" s="6" t="s">
        <v>2613</v>
      </c>
    </row>
    <row r="11117" customFormat="false" ht="15" hidden="false" customHeight="true" outlineLevel="0" collapsed="false">
      <c r="A11117" s="6" t="s">
        <v>13729</v>
      </c>
      <c r="B11117" s="6" t="s">
        <v>2243</v>
      </c>
      <c r="C11117" s="6" t="s">
        <v>131</v>
      </c>
      <c r="D11117" s="13" t="n">
        <v>46100</v>
      </c>
      <c r="E11117" s="14" t="n">
        <v>5523.61</v>
      </c>
      <c r="F11117" s="14" t="n">
        <v>68748.64</v>
      </c>
      <c r="G11117" s="6" t="s">
        <v>2613</v>
      </c>
    </row>
    <row r="11118" customFormat="false" ht="15" hidden="false" customHeight="true" outlineLevel="0" collapsed="false">
      <c r="A11118" s="6" t="s">
        <v>13730</v>
      </c>
      <c r="B11118" s="6" t="s">
        <v>2243</v>
      </c>
      <c r="C11118" s="6" t="s">
        <v>131</v>
      </c>
      <c r="D11118" s="13" t="n">
        <v>46107</v>
      </c>
      <c r="E11118" s="14" t="n">
        <v>2900.67</v>
      </c>
      <c r="F11118" s="14" t="n">
        <v>71649.31</v>
      </c>
      <c r="G11118" s="6" t="s">
        <v>2623</v>
      </c>
    </row>
    <row r="11119" customFormat="false" ht="15" hidden="false" customHeight="true" outlineLevel="0" collapsed="false">
      <c r="A11119" s="6" t="s">
        <v>13731</v>
      </c>
      <c r="B11119" s="6" t="s">
        <v>2245</v>
      </c>
      <c r="C11119" s="6" t="s">
        <v>131</v>
      </c>
      <c r="D11119" s="13" t="n">
        <v>44660</v>
      </c>
      <c r="E11119" s="14" t="n">
        <v>4085.85</v>
      </c>
      <c r="F11119" s="14" t="n">
        <v>4085.85</v>
      </c>
      <c r="G11119" s="6" t="s">
        <v>2623</v>
      </c>
    </row>
    <row r="11120" customFormat="false" ht="15" hidden="false" customHeight="true" outlineLevel="0" collapsed="false">
      <c r="A11120" s="6" t="s">
        <v>13732</v>
      </c>
      <c r="B11120" s="6" t="s">
        <v>2245</v>
      </c>
      <c r="C11120" s="6" t="s">
        <v>131</v>
      </c>
      <c r="D11120" s="13" t="n">
        <v>44667</v>
      </c>
      <c r="E11120" s="14" t="n">
        <v>4067.54</v>
      </c>
      <c r="F11120" s="14" t="n">
        <v>8153.39</v>
      </c>
      <c r="G11120" s="6" t="s">
        <v>2613</v>
      </c>
    </row>
    <row r="11121" customFormat="false" ht="15" hidden="false" customHeight="true" outlineLevel="0" collapsed="false">
      <c r="A11121" s="6" t="s">
        <v>13733</v>
      </c>
      <c r="B11121" s="6" t="s">
        <v>2245</v>
      </c>
      <c r="C11121" s="6" t="s">
        <v>131</v>
      </c>
      <c r="D11121" s="13" t="n">
        <v>44674</v>
      </c>
      <c r="E11121" s="14" t="n">
        <v>3419.06</v>
      </c>
      <c r="F11121" s="14" t="n">
        <v>11572.45</v>
      </c>
      <c r="G11121" s="6" t="s">
        <v>2613</v>
      </c>
    </row>
    <row r="11122" customFormat="false" ht="15" hidden="false" customHeight="true" outlineLevel="0" collapsed="false">
      <c r="A11122" s="6" t="s">
        <v>13734</v>
      </c>
      <c r="B11122" s="6" t="s">
        <v>2245</v>
      </c>
      <c r="C11122" s="6" t="s">
        <v>131</v>
      </c>
      <c r="D11122" s="13" t="n">
        <v>44681</v>
      </c>
      <c r="E11122" s="14" t="n">
        <v>2539.27</v>
      </c>
      <c r="F11122" s="14" t="n">
        <v>14111.72</v>
      </c>
      <c r="G11122" s="6" t="s">
        <v>2623</v>
      </c>
    </row>
    <row r="11123" customFormat="false" ht="15" hidden="false" customHeight="true" outlineLevel="0" collapsed="false">
      <c r="A11123" s="6" t="s">
        <v>13735</v>
      </c>
      <c r="B11123" s="6" t="s">
        <v>2247</v>
      </c>
      <c r="C11123" s="6" t="s">
        <v>131</v>
      </c>
      <c r="D11123" s="13" t="n">
        <v>45567</v>
      </c>
      <c r="E11123" s="14" t="n">
        <v>1998.33</v>
      </c>
      <c r="F11123" s="14" t="n">
        <v>1998.33</v>
      </c>
      <c r="G11123" s="6" t="s">
        <v>2623</v>
      </c>
    </row>
    <row r="11124" customFormat="false" ht="15" hidden="false" customHeight="true" outlineLevel="0" collapsed="false">
      <c r="A11124" s="6" t="s">
        <v>13736</v>
      </c>
      <c r="B11124" s="6" t="s">
        <v>2247</v>
      </c>
      <c r="C11124" s="6" t="s">
        <v>131</v>
      </c>
      <c r="D11124" s="13" t="n">
        <v>45574</v>
      </c>
      <c r="E11124" s="14" t="n">
        <v>2276.81</v>
      </c>
      <c r="F11124" s="14" t="n">
        <v>4275.14</v>
      </c>
      <c r="G11124" s="6" t="s">
        <v>2613</v>
      </c>
    </row>
    <row r="11125" customFormat="false" ht="15" hidden="false" customHeight="true" outlineLevel="0" collapsed="false">
      <c r="A11125" s="6" t="s">
        <v>13737</v>
      </c>
      <c r="B11125" s="6" t="s">
        <v>2247</v>
      </c>
      <c r="C11125" s="6" t="s">
        <v>131</v>
      </c>
      <c r="D11125" s="13" t="n">
        <v>45581</v>
      </c>
      <c r="E11125" s="14" t="n">
        <v>1494.83</v>
      </c>
      <c r="F11125" s="14" t="n">
        <v>5769.97</v>
      </c>
      <c r="G11125" s="6" t="s">
        <v>2613</v>
      </c>
    </row>
    <row r="11126" customFormat="false" ht="15" hidden="false" customHeight="true" outlineLevel="0" collapsed="false">
      <c r="A11126" s="6" t="s">
        <v>13738</v>
      </c>
      <c r="B11126" s="6" t="s">
        <v>2247</v>
      </c>
      <c r="C11126" s="6" t="s">
        <v>131</v>
      </c>
      <c r="D11126" s="13" t="n">
        <v>45588</v>
      </c>
      <c r="E11126" s="14" t="n">
        <v>1525.04</v>
      </c>
      <c r="F11126" s="14" t="n">
        <v>7295.01</v>
      </c>
      <c r="G11126" s="6" t="s">
        <v>2613</v>
      </c>
    </row>
    <row r="11127" customFormat="false" ht="15" hidden="false" customHeight="true" outlineLevel="0" collapsed="false">
      <c r="A11127" s="6" t="s">
        <v>13739</v>
      </c>
      <c r="B11127" s="6" t="s">
        <v>2247</v>
      </c>
      <c r="C11127" s="6" t="s">
        <v>131</v>
      </c>
      <c r="D11127" s="13" t="n">
        <v>45595</v>
      </c>
      <c r="E11127" s="14" t="n">
        <v>1407.11</v>
      </c>
      <c r="F11127" s="14" t="n">
        <v>8702.12</v>
      </c>
      <c r="G11127" s="6" t="s">
        <v>2613</v>
      </c>
    </row>
    <row r="11128" customFormat="false" ht="15" hidden="false" customHeight="true" outlineLevel="0" collapsed="false">
      <c r="A11128" s="6" t="s">
        <v>13740</v>
      </c>
      <c r="B11128" s="6" t="s">
        <v>2249</v>
      </c>
      <c r="C11128" s="6" t="s">
        <v>131</v>
      </c>
      <c r="D11128" s="13" t="n">
        <v>45961</v>
      </c>
      <c r="E11128" s="14" t="n">
        <v>8821.78</v>
      </c>
      <c r="F11128" s="14" t="n">
        <v>8821.78</v>
      </c>
      <c r="G11128" s="6" t="s">
        <v>2613</v>
      </c>
    </row>
    <row r="11129" customFormat="false" ht="15" hidden="false" customHeight="true" outlineLevel="0" collapsed="false">
      <c r="A11129" s="6" t="s">
        <v>13741</v>
      </c>
      <c r="B11129" s="6" t="s">
        <v>2249</v>
      </c>
      <c r="C11129" s="6" t="s">
        <v>131</v>
      </c>
      <c r="D11129" s="13" t="n">
        <v>45968</v>
      </c>
      <c r="E11129" s="14" t="n">
        <v>6340.3</v>
      </c>
      <c r="F11129" s="14" t="n">
        <v>15162.08</v>
      </c>
      <c r="G11129" s="6" t="s">
        <v>2613</v>
      </c>
    </row>
    <row r="11130" customFormat="false" ht="15" hidden="false" customHeight="true" outlineLevel="0" collapsed="false">
      <c r="A11130" s="6" t="s">
        <v>13742</v>
      </c>
      <c r="B11130" s="6" t="s">
        <v>2249</v>
      </c>
      <c r="C11130" s="6" t="s">
        <v>131</v>
      </c>
      <c r="D11130" s="13" t="n">
        <v>45975</v>
      </c>
      <c r="E11130" s="14" t="n">
        <v>9415.69</v>
      </c>
      <c r="F11130" s="14" t="n">
        <v>24577.77</v>
      </c>
      <c r="G11130" s="6" t="s">
        <v>2613</v>
      </c>
    </row>
    <row r="11131" customFormat="false" ht="15" hidden="false" customHeight="true" outlineLevel="0" collapsed="false">
      <c r="A11131" s="6" t="s">
        <v>13743</v>
      </c>
      <c r="B11131" s="6" t="s">
        <v>2249</v>
      </c>
      <c r="C11131" s="6" t="s">
        <v>131</v>
      </c>
      <c r="D11131" s="13" t="n">
        <v>45982</v>
      </c>
      <c r="E11131" s="14" t="n">
        <v>8617.28</v>
      </c>
      <c r="F11131" s="14" t="n">
        <v>33195.05</v>
      </c>
      <c r="G11131" s="6" t="s">
        <v>2613</v>
      </c>
    </row>
    <row r="11132" customFormat="false" ht="15" hidden="false" customHeight="true" outlineLevel="0" collapsed="false">
      <c r="A11132" s="6" t="s">
        <v>13744</v>
      </c>
      <c r="B11132" s="6" t="s">
        <v>2249</v>
      </c>
      <c r="C11132" s="6" t="s">
        <v>131</v>
      </c>
      <c r="D11132" s="13" t="n">
        <v>45989</v>
      </c>
      <c r="E11132" s="14" t="n">
        <v>9016.09</v>
      </c>
      <c r="F11132" s="14" t="n">
        <v>42211.14</v>
      </c>
      <c r="G11132" s="6" t="s">
        <v>2613</v>
      </c>
    </row>
    <row r="11133" customFormat="false" ht="15" hidden="false" customHeight="true" outlineLevel="0" collapsed="false">
      <c r="A11133" s="6" t="s">
        <v>13745</v>
      </c>
      <c r="B11133" s="6" t="s">
        <v>2249</v>
      </c>
      <c r="C11133" s="6" t="s">
        <v>131</v>
      </c>
      <c r="D11133" s="13" t="n">
        <v>45996</v>
      </c>
      <c r="E11133" s="14" t="n">
        <v>9002.05</v>
      </c>
      <c r="F11133" s="14" t="n">
        <v>51213.19</v>
      </c>
      <c r="G11133" s="6" t="s">
        <v>2613</v>
      </c>
    </row>
    <row r="11134" customFormat="false" ht="15" hidden="false" customHeight="true" outlineLevel="0" collapsed="false">
      <c r="A11134" s="6" t="s">
        <v>13746</v>
      </c>
      <c r="B11134" s="6" t="s">
        <v>2249</v>
      </c>
      <c r="C11134" s="6" t="s">
        <v>131</v>
      </c>
      <c r="D11134" s="13" t="n">
        <v>46003</v>
      </c>
      <c r="E11134" s="14" t="n">
        <v>12688.44</v>
      </c>
      <c r="F11134" s="14" t="n">
        <v>63901.63</v>
      </c>
      <c r="G11134" s="6" t="s">
        <v>2613</v>
      </c>
    </row>
    <row r="11135" customFormat="false" ht="15" hidden="false" customHeight="true" outlineLevel="0" collapsed="false">
      <c r="A11135" s="6" t="s">
        <v>13747</v>
      </c>
      <c r="B11135" s="6" t="s">
        <v>2249</v>
      </c>
      <c r="C11135" s="6" t="s">
        <v>131</v>
      </c>
      <c r="D11135" s="13" t="n">
        <v>46010</v>
      </c>
      <c r="E11135" s="14" t="n">
        <v>10169.95</v>
      </c>
      <c r="F11135" s="14" t="n">
        <v>74071.58</v>
      </c>
      <c r="G11135" s="6" t="s">
        <v>2613</v>
      </c>
    </row>
    <row r="11136" customFormat="false" ht="15" hidden="false" customHeight="true" outlineLevel="0" collapsed="false">
      <c r="A11136" s="6" t="s">
        <v>13748</v>
      </c>
      <c r="B11136" s="6" t="s">
        <v>2249</v>
      </c>
      <c r="C11136" s="6" t="s">
        <v>131</v>
      </c>
      <c r="D11136" s="13" t="n">
        <v>46017</v>
      </c>
      <c r="E11136" s="14" t="n">
        <v>12889.19</v>
      </c>
      <c r="F11136" s="14" t="n">
        <v>86960.77</v>
      </c>
      <c r="G11136" s="6" t="s">
        <v>2613</v>
      </c>
    </row>
    <row r="11137" customFormat="false" ht="15" hidden="false" customHeight="true" outlineLevel="0" collapsed="false">
      <c r="A11137" s="6" t="s">
        <v>13749</v>
      </c>
      <c r="B11137" s="6" t="s">
        <v>2251</v>
      </c>
      <c r="C11137" s="6" t="s">
        <v>124</v>
      </c>
      <c r="D11137" s="13" t="n">
        <v>44993</v>
      </c>
      <c r="E11137" s="14" t="n">
        <v>2449.61</v>
      </c>
      <c r="F11137" s="14" t="n">
        <v>2449.61</v>
      </c>
      <c r="G11137" s="6" t="s">
        <v>2613</v>
      </c>
    </row>
    <row r="11138" customFormat="false" ht="15" hidden="false" customHeight="true" outlineLevel="0" collapsed="false">
      <c r="A11138" s="6" t="s">
        <v>13750</v>
      </c>
      <c r="B11138" s="6" t="s">
        <v>2251</v>
      </c>
      <c r="C11138" s="6" t="s">
        <v>124</v>
      </c>
      <c r="D11138" s="13" t="n">
        <v>45000</v>
      </c>
      <c r="E11138" s="14" t="n">
        <v>4326.02</v>
      </c>
      <c r="F11138" s="14" t="n">
        <v>6775.63</v>
      </c>
      <c r="G11138" s="6" t="s">
        <v>2613</v>
      </c>
    </row>
    <row r="11139" customFormat="false" ht="15" hidden="false" customHeight="true" outlineLevel="0" collapsed="false">
      <c r="A11139" s="6" t="s">
        <v>13751</v>
      </c>
      <c r="B11139" s="6" t="s">
        <v>2251</v>
      </c>
      <c r="C11139" s="6" t="s">
        <v>124</v>
      </c>
      <c r="D11139" s="13" t="n">
        <v>45007</v>
      </c>
      <c r="E11139" s="14" t="n">
        <v>3292.93</v>
      </c>
      <c r="F11139" s="14" t="n">
        <v>10068.56</v>
      </c>
      <c r="G11139" s="6" t="s">
        <v>2613</v>
      </c>
    </row>
    <row r="11140" customFormat="false" ht="15" hidden="false" customHeight="true" outlineLevel="0" collapsed="false">
      <c r="A11140" s="6" t="s">
        <v>13752</v>
      </c>
      <c r="B11140" s="6" t="s">
        <v>2251</v>
      </c>
      <c r="C11140" s="6" t="s">
        <v>124</v>
      </c>
      <c r="D11140" s="13" t="n">
        <v>45014</v>
      </c>
      <c r="E11140" s="14" t="n">
        <v>3544.27</v>
      </c>
      <c r="F11140" s="14" t="n">
        <v>13612.83</v>
      </c>
      <c r="G11140" s="6" t="s">
        <v>2623</v>
      </c>
    </row>
    <row r="11141" customFormat="false" ht="15" hidden="false" customHeight="true" outlineLevel="0" collapsed="false">
      <c r="A11141" s="6" t="s">
        <v>13753</v>
      </c>
      <c r="B11141" s="6" t="s">
        <v>2251</v>
      </c>
      <c r="C11141" s="6" t="s">
        <v>124</v>
      </c>
      <c r="D11141" s="13" t="n">
        <v>45021</v>
      </c>
      <c r="E11141" s="14" t="n">
        <v>2294.93</v>
      </c>
      <c r="F11141" s="14" t="n">
        <v>15907.76</v>
      </c>
      <c r="G11141" s="6" t="s">
        <v>2613</v>
      </c>
    </row>
    <row r="11142" customFormat="false" ht="15" hidden="false" customHeight="true" outlineLevel="0" collapsed="false">
      <c r="A11142" s="6" t="s">
        <v>13754</v>
      </c>
      <c r="B11142" s="6" t="s">
        <v>2251</v>
      </c>
      <c r="C11142" s="6" t="s">
        <v>124</v>
      </c>
      <c r="D11142" s="13" t="n">
        <v>45028</v>
      </c>
      <c r="E11142" s="14" t="n">
        <v>3633.72</v>
      </c>
      <c r="F11142" s="14" t="n">
        <v>19541.48</v>
      </c>
      <c r="G11142" s="6" t="s">
        <v>2613</v>
      </c>
    </row>
    <row r="11143" customFormat="false" ht="15" hidden="false" customHeight="true" outlineLevel="0" collapsed="false">
      <c r="A11143" s="6" t="s">
        <v>13755</v>
      </c>
      <c r="B11143" s="6" t="s">
        <v>2251</v>
      </c>
      <c r="C11143" s="6" t="s">
        <v>124</v>
      </c>
      <c r="D11143" s="13" t="n">
        <v>45035</v>
      </c>
      <c r="E11143" s="14" t="n">
        <v>3441.15</v>
      </c>
      <c r="F11143" s="14" t="n">
        <v>22982.63</v>
      </c>
      <c r="G11143" s="6" t="s">
        <v>2613</v>
      </c>
    </row>
    <row r="11144" customFormat="false" ht="15" hidden="false" customHeight="true" outlineLevel="0" collapsed="false">
      <c r="A11144" s="6" t="s">
        <v>13756</v>
      </c>
      <c r="B11144" s="6" t="s">
        <v>2251</v>
      </c>
      <c r="C11144" s="6" t="s">
        <v>124</v>
      </c>
      <c r="D11144" s="13" t="n">
        <v>45042</v>
      </c>
      <c r="E11144" s="14" t="n">
        <v>3135.96</v>
      </c>
      <c r="F11144" s="14" t="n">
        <v>26118.59</v>
      </c>
      <c r="G11144" s="6" t="s">
        <v>2613</v>
      </c>
    </row>
    <row r="11145" customFormat="false" ht="15" hidden="false" customHeight="true" outlineLevel="0" collapsed="false">
      <c r="A11145" s="6" t="s">
        <v>13757</v>
      </c>
      <c r="B11145" s="6" t="s">
        <v>2253</v>
      </c>
      <c r="C11145" s="6" t="s">
        <v>128</v>
      </c>
      <c r="D11145" s="13" t="n">
        <v>45280</v>
      </c>
      <c r="E11145" s="14" t="n">
        <v>2108.96</v>
      </c>
      <c r="F11145" s="14" t="n">
        <v>2108.96</v>
      </c>
      <c r="G11145" s="6" t="s">
        <v>2613</v>
      </c>
    </row>
    <row r="11146" customFormat="false" ht="15" hidden="false" customHeight="true" outlineLevel="0" collapsed="false">
      <c r="A11146" s="6" t="s">
        <v>13758</v>
      </c>
      <c r="B11146" s="6" t="s">
        <v>2253</v>
      </c>
      <c r="C11146" s="6" t="s">
        <v>128</v>
      </c>
      <c r="D11146" s="13" t="n">
        <v>45287</v>
      </c>
      <c r="E11146" s="14" t="n">
        <v>2758.09</v>
      </c>
      <c r="F11146" s="14" t="n">
        <v>4867.05</v>
      </c>
      <c r="G11146" s="6" t="s">
        <v>2613</v>
      </c>
    </row>
    <row r="11147" customFormat="false" ht="15" hidden="false" customHeight="true" outlineLevel="0" collapsed="false">
      <c r="A11147" s="6" t="s">
        <v>13759</v>
      </c>
      <c r="B11147" s="6" t="s">
        <v>2253</v>
      </c>
      <c r="C11147" s="6" t="s">
        <v>128</v>
      </c>
      <c r="D11147" s="13" t="n">
        <v>45294</v>
      </c>
      <c r="E11147" s="14" t="n">
        <v>1948.85</v>
      </c>
      <c r="F11147" s="14" t="n">
        <v>6815.9</v>
      </c>
      <c r="G11147" s="6" t="s">
        <v>2613</v>
      </c>
    </row>
    <row r="11148" customFormat="false" ht="15" hidden="false" customHeight="true" outlineLevel="0" collapsed="false">
      <c r="A11148" s="6" t="s">
        <v>13760</v>
      </c>
      <c r="B11148" s="6" t="s">
        <v>2253</v>
      </c>
      <c r="C11148" s="6" t="s">
        <v>128</v>
      </c>
      <c r="D11148" s="13" t="n">
        <v>45301</v>
      </c>
      <c r="E11148" s="14" t="n">
        <v>3265.55</v>
      </c>
      <c r="F11148" s="14" t="n">
        <v>10081.45</v>
      </c>
      <c r="G11148" s="6" t="s">
        <v>2613</v>
      </c>
    </row>
    <row r="11149" customFormat="false" ht="15" hidden="false" customHeight="true" outlineLevel="0" collapsed="false">
      <c r="A11149" s="6" t="s">
        <v>13761</v>
      </c>
      <c r="B11149" s="6" t="s">
        <v>2253</v>
      </c>
      <c r="C11149" s="6" t="s">
        <v>128</v>
      </c>
      <c r="D11149" s="13" t="n">
        <v>45308</v>
      </c>
      <c r="E11149" s="14" t="n">
        <v>2447.45</v>
      </c>
      <c r="F11149" s="14" t="n">
        <v>12528.9</v>
      </c>
      <c r="G11149" s="6" t="s">
        <v>2613</v>
      </c>
    </row>
    <row r="11150" customFormat="false" ht="15" hidden="false" customHeight="true" outlineLevel="0" collapsed="false">
      <c r="A11150" s="6" t="s">
        <v>13762</v>
      </c>
      <c r="B11150" s="6" t="s">
        <v>2253</v>
      </c>
      <c r="C11150" s="6" t="s">
        <v>128</v>
      </c>
      <c r="D11150" s="13" t="n">
        <v>45315</v>
      </c>
      <c r="E11150" s="14" t="n">
        <v>1575.29</v>
      </c>
      <c r="F11150" s="14" t="n">
        <v>14104.19</v>
      </c>
      <c r="G11150" s="6" t="s">
        <v>2613</v>
      </c>
    </row>
    <row r="11151" customFormat="false" ht="15" hidden="false" customHeight="true" outlineLevel="0" collapsed="false">
      <c r="A11151" s="6" t="s">
        <v>13763</v>
      </c>
      <c r="B11151" s="6" t="s">
        <v>2253</v>
      </c>
      <c r="C11151" s="6" t="s">
        <v>128</v>
      </c>
      <c r="D11151" s="13" t="n">
        <v>45322</v>
      </c>
      <c r="E11151" s="14" t="n">
        <v>2574.26</v>
      </c>
      <c r="F11151" s="14" t="n">
        <v>16678.45</v>
      </c>
      <c r="G11151" s="6" t="s">
        <v>2613</v>
      </c>
    </row>
    <row r="11152" customFormat="false" ht="15" hidden="false" customHeight="true" outlineLevel="0" collapsed="false">
      <c r="A11152" s="6" t="s">
        <v>13764</v>
      </c>
      <c r="B11152" s="6" t="s">
        <v>2253</v>
      </c>
      <c r="C11152" s="6" t="s">
        <v>128</v>
      </c>
      <c r="D11152" s="13" t="n">
        <v>45329</v>
      </c>
      <c r="E11152" s="14" t="n">
        <v>3480.68</v>
      </c>
      <c r="F11152" s="14" t="n">
        <v>20159.13</v>
      </c>
      <c r="G11152" s="6" t="s">
        <v>2613</v>
      </c>
    </row>
    <row r="11153" customFormat="false" ht="15" hidden="false" customHeight="true" outlineLevel="0" collapsed="false">
      <c r="A11153" s="6" t="s">
        <v>13765</v>
      </c>
      <c r="B11153" s="6" t="s">
        <v>2253</v>
      </c>
      <c r="C11153" s="6" t="s">
        <v>128</v>
      </c>
      <c r="D11153" s="13" t="n">
        <v>45336</v>
      </c>
      <c r="E11153" s="14" t="n">
        <v>1797.22</v>
      </c>
      <c r="F11153" s="14" t="n">
        <v>21956.35</v>
      </c>
      <c r="G11153" s="6" t="s">
        <v>2613</v>
      </c>
    </row>
    <row r="11154" customFormat="false" ht="15" hidden="false" customHeight="true" outlineLevel="0" collapsed="false">
      <c r="A11154" s="6" t="s">
        <v>13766</v>
      </c>
      <c r="B11154" s="6" t="s">
        <v>2253</v>
      </c>
      <c r="C11154" s="6" t="s">
        <v>128</v>
      </c>
      <c r="D11154" s="13" t="n">
        <v>45343</v>
      </c>
      <c r="E11154" s="14" t="n">
        <v>3598.27</v>
      </c>
      <c r="F11154" s="14" t="n">
        <v>25554.62</v>
      </c>
      <c r="G11154" s="6" t="s">
        <v>2613</v>
      </c>
    </row>
    <row r="11155" customFormat="false" ht="15" hidden="false" customHeight="true" outlineLevel="0" collapsed="false">
      <c r="A11155" s="6" t="s">
        <v>13767</v>
      </c>
      <c r="B11155" s="6" t="s">
        <v>2253</v>
      </c>
      <c r="C11155" s="6" t="s">
        <v>128</v>
      </c>
      <c r="D11155" s="13" t="n">
        <v>45350</v>
      </c>
      <c r="E11155" s="14" t="n">
        <v>1755.21</v>
      </c>
      <c r="F11155" s="14" t="n">
        <v>27309.83</v>
      </c>
      <c r="G11155" s="6" t="s">
        <v>2613</v>
      </c>
    </row>
    <row r="11156" customFormat="false" ht="15" hidden="false" customHeight="true" outlineLevel="0" collapsed="false">
      <c r="A11156" s="6" t="s">
        <v>13768</v>
      </c>
      <c r="B11156" s="6" t="s">
        <v>2253</v>
      </c>
      <c r="C11156" s="6" t="s">
        <v>128</v>
      </c>
      <c r="D11156" s="13" t="n">
        <v>45357</v>
      </c>
      <c r="E11156" s="14" t="n">
        <v>3366.95</v>
      </c>
      <c r="F11156" s="14" t="n">
        <v>30676.78</v>
      </c>
      <c r="G11156" s="6" t="s">
        <v>2613</v>
      </c>
    </row>
    <row r="11157" customFormat="false" ht="15" hidden="false" customHeight="true" outlineLevel="0" collapsed="false">
      <c r="A11157" s="6" t="s">
        <v>13769</v>
      </c>
      <c r="B11157" s="6" t="s">
        <v>2253</v>
      </c>
      <c r="C11157" s="6" t="s">
        <v>128</v>
      </c>
      <c r="D11157" s="13" t="n">
        <v>45364</v>
      </c>
      <c r="E11157" s="14" t="n">
        <v>3646.66</v>
      </c>
      <c r="F11157" s="14" t="n">
        <v>34323.44</v>
      </c>
      <c r="G11157" s="6" t="s">
        <v>2613</v>
      </c>
    </row>
    <row r="11158" customFormat="false" ht="15" hidden="false" customHeight="true" outlineLevel="0" collapsed="false">
      <c r="A11158" s="6" t="s">
        <v>13770</v>
      </c>
      <c r="B11158" s="6" t="s">
        <v>2253</v>
      </c>
      <c r="C11158" s="6" t="s">
        <v>128</v>
      </c>
      <c r="D11158" s="13" t="n">
        <v>45371</v>
      </c>
      <c r="E11158" s="14" t="n">
        <v>3313.9</v>
      </c>
      <c r="F11158" s="14" t="n">
        <v>37637.34</v>
      </c>
      <c r="G11158" s="6" t="s">
        <v>2613</v>
      </c>
    </row>
    <row r="11159" customFormat="false" ht="15" hidden="false" customHeight="true" outlineLevel="0" collapsed="false">
      <c r="A11159" s="6" t="s">
        <v>13771</v>
      </c>
      <c r="B11159" s="6" t="s">
        <v>2253</v>
      </c>
      <c r="C11159" s="6" t="s">
        <v>128</v>
      </c>
      <c r="D11159" s="13" t="n">
        <v>45378</v>
      </c>
      <c r="E11159" s="14" t="n">
        <v>1519.14</v>
      </c>
      <c r="F11159" s="14" t="n">
        <v>39156.48</v>
      </c>
      <c r="G11159" s="6" t="s">
        <v>2613</v>
      </c>
    </row>
    <row r="11160" customFormat="false" ht="15" hidden="false" customHeight="true" outlineLevel="0" collapsed="false">
      <c r="A11160" s="6" t="s">
        <v>13772</v>
      </c>
      <c r="B11160" s="6" t="s">
        <v>2255</v>
      </c>
      <c r="C11160" s="6" t="s">
        <v>124</v>
      </c>
      <c r="D11160" s="13" t="n">
        <v>45500</v>
      </c>
      <c r="E11160" s="14" t="n">
        <v>5086.53</v>
      </c>
      <c r="F11160" s="14" t="n">
        <v>5086.53</v>
      </c>
      <c r="G11160" s="6" t="s">
        <v>2613</v>
      </c>
    </row>
    <row r="11161" customFormat="false" ht="15" hidden="false" customHeight="true" outlineLevel="0" collapsed="false">
      <c r="A11161" s="6" t="s">
        <v>13773</v>
      </c>
      <c r="B11161" s="6" t="s">
        <v>2255</v>
      </c>
      <c r="C11161" s="6" t="s">
        <v>124</v>
      </c>
      <c r="D11161" s="13" t="n">
        <v>45507</v>
      </c>
      <c r="E11161" s="14" t="n">
        <v>6219.53</v>
      </c>
      <c r="F11161" s="14" t="n">
        <v>11306.06</v>
      </c>
      <c r="G11161" s="6" t="s">
        <v>2613</v>
      </c>
    </row>
    <row r="11162" customFormat="false" ht="15" hidden="false" customHeight="true" outlineLevel="0" collapsed="false">
      <c r="A11162" s="6" t="s">
        <v>13774</v>
      </c>
      <c r="B11162" s="6" t="s">
        <v>2255</v>
      </c>
      <c r="C11162" s="6" t="s">
        <v>124</v>
      </c>
      <c r="D11162" s="13" t="n">
        <v>45514</v>
      </c>
      <c r="E11162" s="14" t="n">
        <v>3679.67</v>
      </c>
      <c r="F11162" s="14" t="n">
        <v>14985.73</v>
      </c>
      <c r="G11162" s="6" t="s">
        <v>2613</v>
      </c>
    </row>
    <row r="11163" customFormat="false" ht="15" hidden="false" customHeight="true" outlineLevel="0" collapsed="false">
      <c r="A11163" s="6" t="s">
        <v>13775</v>
      </c>
      <c r="B11163" s="6" t="s">
        <v>2255</v>
      </c>
      <c r="C11163" s="6" t="s">
        <v>124</v>
      </c>
      <c r="D11163" s="13" t="n">
        <v>45521</v>
      </c>
      <c r="E11163" s="14" t="n">
        <v>3711.64</v>
      </c>
      <c r="F11163" s="14" t="n">
        <v>18697.37</v>
      </c>
      <c r="G11163" s="6" t="s">
        <v>2613</v>
      </c>
    </row>
    <row r="11164" customFormat="false" ht="15" hidden="false" customHeight="true" outlineLevel="0" collapsed="false">
      <c r="A11164" s="6" t="s">
        <v>13776</v>
      </c>
      <c r="B11164" s="6" t="s">
        <v>2255</v>
      </c>
      <c r="C11164" s="6" t="s">
        <v>124</v>
      </c>
      <c r="D11164" s="13" t="n">
        <v>45528</v>
      </c>
      <c r="E11164" s="14" t="n">
        <v>3843.46</v>
      </c>
      <c r="F11164" s="14" t="n">
        <v>22540.83</v>
      </c>
      <c r="G11164" s="6" t="s">
        <v>2613</v>
      </c>
    </row>
    <row r="11165" customFormat="false" ht="15" hidden="false" customHeight="true" outlineLevel="0" collapsed="false">
      <c r="A11165" s="6" t="s">
        <v>13777</v>
      </c>
      <c r="B11165" s="6" t="s">
        <v>2255</v>
      </c>
      <c r="C11165" s="6" t="s">
        <v>124</v>
      </c>
      <c r="D11165" s="13" t="n">
        <v>45535</v>
      </c>
      <c r="E11165" s="14" t="n">
        <v>4450.38</v>
      </c>
      <c r="F11165" s="14" t="n">
        <v>26991.21</v>
      </c>
      <c r="G11165" s="6" t="s">
        <v>2613</v>
      </c>
    </row>
    <row r="11166" customFormat="false" ht="15" hidden="false" customHeight="true" outlineLevel="0" collapsed="false">
      <c r="A11166" s="6" t="s">
        <v>13778</v>
      </c>
      <c r="B11166" s="6" t="s">
        <v>2255</v>
      </c>
      <c r="C11166" s="6" t="s">
        <v>124</v>
      </c>
      <c r="D11166" s="13" t="n">
        <v>45542</v>
      </c>
      <c r="E11166" s="14" t="n">
        <v>4737.44</v>
      </c>
      <c r="F11166" s="14" t="n">
        <v>31728.65</v>
      </c>
      <c r="G11166" s="6" t="s">
        <v>2613</v>
      </c>
    </row>
    <row r="11167" customFormat="false" ht="15" hidden="false" customHeight="true" outlineLevel="0" collapsed="false">
      <c r="A11167" s="6" t="s">
        <v>13779</v>
      </c>
      <c r="B11167" s="6" t="s">
        <v>2255</v>
      </c>
      <c r="C11167" s="6" t="s">
        <v>124</v>
      </c>
      <c r="D11167" s="13" t="n">
        <v>45549</v>
      </c>
      <c r="E11167" s="14" t="n">
        <v>17211.73</v>
      </c>
      <c r="F11167" s="14" t="n">
        <v>48940.38</v>
      </c>
      <c r="G11167" s="6" t="s">
        <v>2613</v>
      </c>
    </row>
    <row r="11168" customFormat="false" ht="15" hidden="false" customHeight="true" outlineLevel="0" collapsed="false">
      <c r="A11168" s="6" t="s">
        <v>13780</v>
      </c>
      <c r="B11168" s="6" t="s">
        <v>2257</v>
      </c>
      <c r="C11168" s="6" t="s">
        <v>116</v>
      </c>
      <c r="D11168" s="13" t="n">
        <v>44734</v>
      </c>
      <c r="E11168" s="14" t="n">
        <v>2089.19</v>
      </c>
      <c r="F11168" s="14" t="n">
        <v>2089.19</v>
      </c>
      <c r="G11168" s="6" t="s">
        <v>2623</v>
      </c>
    </row>
    <row r="11169" customFormat="false" ht="15" hidden="false" customHeight="true" outlineLevel="0" collapsed="false">
      <c r="A11169" s="6" t="s">
        <v>13781</v>
      </c>
      <c r="B11169" s="6" t="s">
        <v>2257</v>
      </c>
      <c r="C11169" s="6" t="s">
        <v>116</v>
      </c>
      <c r="D11169" s="13" t="n">
        <v>44741</v>
      </c>
      <c r="E11169" s="14" t="n">
        <v>1380.24</v>
      </c>
      <c r="F11169" s="14" t="n">
        <v>3469.43</v>
      </c>
      <c r="G11169" s="6" t="s">
        <v>2613</v>
      </c>
    </row>
    <row r="11170" customFormat="false" ht="15" hidden="false" customHeight="true" outlineLevel="0" collapsed="false">
      <c r="A11170" s="6" t="s">
        <v>13782</v>
      </c>
      <c r="B11170" s="6" t="s">
        <v>2257</v>
      </c>
      <c r="C11170" s="6" t="s">
        <v>116</v>
      </c>
      <c r="D11170" s="13" t="n">
        <v>44748</v>
      </c>
      <c r="E11170" s="14" t="n">
        <v>1047.25</v>
      </c>
      <c r="F11170" s="14" t="n">
        <v>4516.68</v>
      </c>
      <c r="G11170" s="6" t="s">
        <v>2613</v>
      </c>
    </row>
    <row r="11171" customFormat="false" ht="15" hidden="false" customHeight="true" outlineLevel="0" collapsed="false">
      <c r="A11171" s="6" t="s">
        <v>13783</v>
      </c>
      <c r="B11171" s="6" t="s">
        <v>2257</v>
      </c>
      <c r="C11171" s="6" t="s">
        <v>116</v>
      </c>
      <c r="D11171" s="13" t="n">
        <v>44755</v>
      </c>
      <c r="E11171" s="14" t="n">
        <v>2233.98</v>
      </c>
      <c r="F11171" s="14" t="n">
        <v>6750.66</v>
      </c>
      <c r="G11171" s="6" t="s">
        <v>2613</v>
      </c>
    </row>
    <row r="11172" customFormat="false" ht="15" hidden="false" customHeight="true" outlineLevel="0" collapsed="false">
      <c r="A11172" s="6" t="s">
        <v>13784</v>
      </c>
      <c r="B11172" s="6" t="s">
        <v>2257</v>
      </c>
      <c r="C11172" s="6" t="s">
        <v>116</v>
      </c>
      <c r="D11172" s="13" t="n">
        <v>44762</v>
      </c>
      <c r="E11172" s="14" t="n">
        <v>2043.42</v>
      </c>
      <c r="F11172" s="14" t="n">
        <v>8794.08</v>
      </c>
      <c r="G11172" s="6" t="s">
        <v>2613</v>
      </c>
    </row>
    <row r="11173" customFormat="false" ht="15" hidden="false" customHeight="true" outlineLevel="0" collapsed="false">
      <c r="A11173" s="6" t="s">
        <v>13785</v>
      </c>
      <c r="B11173" s="6" t="s">
        <v>2257</v>
      </c>
      <c r="C11173" s="6" t="s">
        <v>116</v>
      </c>
      <c r="D11173" s="13" t="n">
        <v>44769</v>
      </c>
      <c r="E11173" s="14" t="n">
        <v>1968.8</v>
      </c>
      <c r="F11173" s="14" t="n">
        <v>10762.88</v>
      </c>
      <c r="G11173" s="6" t="s">
        <v>2613</v>
      </c>
    </row>
    <row r="11174" customFormat="false" ht="15" hidden="false" customHeight="true" outlineLevel="0" collapsed="false">
      <c r="A11174" s="6" t="s">
        <v>13786</v>
      </c>
      <c r="B11174" s="6" t="s">
        <v>2257</v>
      </c>
      <c r="C11174" s="6" t="s">
        <v>116</v>
      </c>
      <c r="D11174" s="13" t="n">
        <v>44776</v>
      </c>
      <c r="E11174" s="14" t="n">
        <v>1235.53</v>
      </c>
      <c r="F11174" s="14" t="n">
        <v>11998.41</v>
      </c>
      <c r="G11174" s="6" t="s">
        <v>2623</v>
      </c>
    </row>
    <row r="11175" customFormat="false" ht="15" hidden="false" customHeight="true" outlineLevel="0" collapsed="false">
      <c r="A11175" s="6" t="s">
        <v>13787</v>
      </c>
      <c r="B11175" s="6" t="s">
        <v>2257</v>
      </c>
      <c r="C11175" s="6" t="s">
        <v>116</v>
      </c>
      <c r="D11175" s="13" t="n">
        <v>44783</v>
      </c>
      <c r="E11175" s="14" t="n">
        <v>1903.59</v>
      </c>
      <c r="F11175" s="14" t="n">
        <v>13902</v>
      </c>
      <c r="G11175" s="6" t="s">
        <v>2613</v>
      </c>
    </row>
    <row r="11176" customFormat="false" ht="15" hidden="false" customHeight="true" outlineLevel="0" collapsed="false">
      <c r="A11176" s="6" t="s">
        <v>13788</v>
      </c>
      <c r="B11176" s="6" t="s">
        <v>2259</v>
      </c>
      <c r="C11176" s="6" t="s">
        <v>131</v>
      </c>
      <c r="D11176" s="13" t="n">
        <v>45874</v>
      </c>
      <c r="E11176" s="14" t="n">
        <v>7134.89</v>
      </c>
      <c r="F11176" s="14" t="n">
        <v>7134.89</v>
      </c>
      <c r="G11176" s="6" t="s">
        <v>2613</v>
      </c>
    </row>
    <row r="11177" customFormat="false" ht="15" hidden="false" customHeight="true" outlineLevel="0" collapsed="false">
      <c r="A11177" s="6" t="s">
        <v>13789</v>
      </c>
      <c r="B11177" s="6" t="s">
        <v>2259</v>
      </c>
      <c r="C11177" s="6" t="s">
        <v>131</v>
      </c>
      <c r="D11177" s="13" t="n">
        <v>45881</v>
      </c>
      <c r="E11177" s="14" t="n">
        <v>12311.62</v>
      </c>
      <c r="F11177" s="14" t="n">
        <v>19446.51</v>
      </c>
      <c r="G11177" s="6" t="s">
        <v>2613</v>
      </c>
    </row>
    <row r="11178" customFormat="false" ht="15" hidden="false" customHeight="true" outlineLevel="0" collapsed="false">
      <c r="A11178" s="6" t="s">
        <v>13790</v>
      </c>
      <c r="B11178" s="6" t="s">
        <v>2259</v>
      </c>
      <c r="C11178" s="6" t="s">
        <v>131</v>
      </c>
      <c r="D11178" s="13" t="n">
        <v>45888</v>
      </c>
      <c r="E11178" s="14" t="n">
        <v>6745.91</v>
      </c>
      <c r="F11178" s="14" t="n">
        <v>26192.42</v>
      </c>
      <c r="G11178" s="6" t="s">
        <v>2623</v>
      </c>
    </row>
    <row r="11179" customFormat="false" ht="15" hidden="false" customHeight="true" outlineLevel="0" collapsed="false">
      <c r="A11179" s="6" t="s">
        <v>13791</v>
      </c>
      <c r="B11179" s="6" t="s">
        <v>2259</v>
      </c>
      <c r="C11179" s="6" t="s">
        <v>131</v>
      </c>
      <c r="D11179" s="13" t="n">
        <v>45895</v>
      </c>
      <c r="E11179" s="14" t="n">
        <v>7264.16</v>
      </c>
      <c r="F11179" s="14" t="n">
        <v>33456.58</v>
      </c>
      <c r="G11179" s="6" t="s">
        <v>2613</v>
      </c>
    </row>
    <row r="11180" customFormat="false" ht="15" hidden="false" customHeight="true" outlineLevel="0" collapsed="false">
      <c r="A11180" s="6" t="s">
        <v>13792</v>
      </c>
      <c r="B11180" s="6" t="s">
        <v>2259</v>
      </c>
      <c r="C11180" s="6" t="s">
        <v>131</v>
      </c>
      <c r="D11180" s="13" t="n">
        <v>45902</v>
      </c>
      <c r="E11180" s="14" t="n">
        <v>11659.32</v>
      </c>
      <c r="F11180" s="14" t="n">
        <v>45115.9</v>
      </c>
      <c r="G11180" s="6" t="s">
        <v>2613</v>
      </c>
    </row>
    <row r="11181" customFormat="false" ht="15" hidden="false" customHeight="true" outlineLevel="0" collapsed="false">
      <c r="A11181" s="6" t="s">
        <v>13793</v>
      </c>
      <c r="B11181" s="6" t="s">
        <v>2259</v>
      </c>
      <c r="C11181" s="6" t="s">
        <v>131</v>
      </c>
      <c r="D11181" s="13" t="n">
        <v>45909</v>
      </c>
      <c r="E11181" s="14" t="n">
        <v>9569.62</v>
      </c>
      <c r="F11181" s="14" t="n">
        <v>54685.52</v>
      </c>
      <c r="G11181" s="6" t="s">
        <v>2613</v>
      </c>
    </row>
    <row r="11182" customFormat="false" ht="15" hidden="false" customHeight="true" outlineLevel="0" collapsed="false">
      <c r="A11182" s="6" t="s">
        <v>13794</v>
      </c>
      <c r="B11182" s="6" t="s">
        <v>2261</v>
      </c>
      <c r="C11182" s="6" t="s">
        <v>112</v>
      </c>
      <c r="D11182" s="13" t="n">
        <v>45029</v>
      </c>
      <c r="E11182" s="14" t="n">
        <v>5263.12</v>
      </c>
      <c r="F11182" s="14" t="n">
        <v>5263.12</v>
      </c>
      <c r="G11182" s="6" t="s">
        <v>2613</v>
      </c>
    </row>
    <row r="11183" customFormat="false" ht="15" hidden="false" customHeight="true" outlineLevel="0" collapsed="false">
      <c r="A11183" s="6" t="s">
        <v>13795</v>
      </c>
      <c r="B11183" s="6" t="s">
        <v>2261</v>
      </c>
      <c r="C11183" s="6" t="s">
        <v>112</v>
      </c>
      <c r="D11183" s="13" t="n">
        <v>45036</v>
      </c>
      <c r="E11183" s="14" t="n">
        <v>5679.18</v>
      </c>
      <c r="F11183" s="14" t="n">
        <v>10942.3</v>
      </c>
      <c r="G11183" s="6" t="s">
        <v>2613</v>
      </c>
    </row>
    <row r="11184" customFormat="false" ht="15" hidden="false" customHeight="true" outlineLevel="0" collapsed="false">
      <c r="A11184" s="6" t="s">
        <v>13796</v>
      </c>
      <c r="B11184" s="6" t="s">
        <v>2261</v>
      </c>
      <c r="C11184" s="6" t="s">
        <v>112</v>
      </c>
      <c r="D11184" s="13" t="n">
        <v>45043</v>
      </c>
      <c r="E11184" s="14" t="n">
        <v>3445.34</v>
      </c>
      <c r="F11184" s="14" t="n">
        <v>14387.64</v>
      </c>
      <c r="G11184" s="6" t="s">
        <v>2613</v>
      </c>
    </row>
    <row r="11185" customFormat="false" ht="15" hidden="false" customHeight="true" outlineLevel="0" collapsed="false">
      <c r="A11185" s="6" t="s">
        <v>13797</v>
      </c>
      <c r="B11185" s="6" t="s">
        <v>2261</v>
      </c>
      <c r="C11185" s="6" t="s">
        <v>112</v>
      </c>
      <c r="D11185" s="13" t="n">
        <v>45050</v>
      </c>
      <c r="E11185" s="14" t="n">
        <v>4159.49</v>
      </c>
      <c r="F11185" s="14" t="n">
        <v>18547.13</v>
      </c>
      <c r="G11185" s="6" t="s">
        <v>2613</v>
      </c>
    </row>
    <row r="11186" customFormat="false" ht="15" hidden="false" customHeight="true" outlineLevel="0" collapsed="false">
      <c r="A11186" s="6" t="s">
        <v>13798</v>
      </c>
      <c r="B11186" s="6" t="s">
        <v>2261</v>
      </c>
      <c r="C11186" s="6" t="s">
        <v>112</v>
      </c>
      <c r="D11186" s="13" t="n">
        <v>45057</v>
      </c>
      <c r="E11186" s="14" t="n">
        <v>4560.1</v>
      </c>
      <c r="F11186" s="14" t="n">
        <v>23107.23</v>
      </c>
      <c r="G11186" s="6" t="s">
        <v>2613</v>
      </c>
    </row>
    <row r="11187" customFormat="false" ht="15" hidden="false" customHeight="true" outlineLevel="0" collapsed="false">
      <c r="A11187" s="6" t="s">
        <v>13799</v>
      </c>
      <c r="B11187" s="6" t="s">
        <v>2261</v>
      </c>
      <c r="C11187" s="6" t="s">
        <v>112</v>
      </c>
      <c r="D11187" s="13" t="n">
        <v>45064</v>
      </c>
      <c r="E11187" s="14" t="n">
        <v>4431.98</v>
      </c>
      <c r="F11187" s="14" t="n">
        <v>27539.21</v>
      </c>
      <c r="G11187" s="6" t="s">
        <v>2613</v>
      </c>
    </row>
    <row r="11188" customFormat="false" ht="15" hidden="false" customHeight="true" outlineLevel="0" collapsed="false">
      <c r="A11188" s="6" t="s">
        <v>13800</v>
      </c>
      <c r="B11188" s="6" t="s">
        <v>2261</v>
      </c>
      <c r="C11188" s="6" t="s">
        <v>112</v>
      </c>
      <c r="D11188" s="13" t="n">
        <v>45071</v>
      </c>
      <c r="E11188" s="14" t="n">
        <v>5069.43</v>
      </c>
      <c r="F11188" s="14" t="n">
        <v>32608.64</v>
      </c>
      <c r="G11188" s="6" t="s">
        <v>2613</v>
      </c>
    </row>
    <row r="11189" customFormat="false" ht="15" hidden="false" customHeight="true" outlineLevel="0" collapsed="false">
      <c r="A11189" s="6" t="s">
        <v>13801</v>
      </c>
      <c r="B11189" s="6" t="s">
        <v>2261</v>
      </c>
      <c r="C11189" s="6" t="s">
        <v>112</v>
      </c>
      <c r="D11189" s="13" t="n">
        <v>45078</v>
      </c>
      <c r="E11189" s="14" t="n">
        <v>5949.49</v>
      </c>
      <c r="F11189" s="14" t="n">
        <v>38558.13</v>
      </c>
      <c r="G11189" s="6" t="s">
        <v>2613</v>
      </c>
    </row>
    <row r="11190" customFormat="false" ht="15" hidden="false" customHeight="true" outlineLevel="0" collapsed="false">
      <c r="A11190" s="6" t="s">
        <v>13802</v>
      </c>
      <c r="B11190" s="6" t="s">
        <v>2261</v>
      </c>
      <c r="C11190" s="6" t="s">
        <v>112</v>
      </c>
      <c r="D11190" s="13" t="n">
        <v>45085</v>
      </c>
      <c r="E11190" s="14" t="n">
        <v>5638.52</v>
      </c>
      <c r="F11190" s="14" t="n">
        <v>44196.65</v>
      </c>
      <c r="G11190" s="6" t="s">
        <v>2623</v>
      </c>
    </row>
    <row r="11191" customFormat="false" ht="15" hidden="false" customHeight="true" outlineLevel="0" collapsed="false">
      <c r="A11191" s="6" t="s">
        <v>13803</v>
      </c>
      <c r="B11191" s="6" t="s">
        <v>2261</v>
      </c>
      <c r="C11191" s="6" t="s">
        <v>112</v>
      </c>
      <c r="D11191" s="13" t="n">
        <v>45092</v>
      </c>
      <c r="E11191" s="14" t="n">
        <v>4387.29</v>
      </c>
      <c r="F11191" s="14" t="n">
        <v>48583.94</v>
      </c>
      <c r="G11191" s="6" t="s">
        <v>2613</v>
      </c>
    </row>
    <row r="11192" customFormat="false" ht="15" hidden="false" customHeight="true" outlineLevel="0" collapsed="false">
      <c r="A11192" s="6" t="s">
        <v>13804</v>
      </c>
      <c r="B11192" s="6" t="s">
        <v>2261</v>
      </c>
      <c r="C11192" s="6" t="s">
        <v>112</v>
      </c>
      <c r="D11192" s="13" t="n">
        <v>45099</v>
      </c>
      <c r="E11192" s="14" t="n">
        <v>3088.7</v>
      </c>
      <c r="F11192" s="14" t="n">
        <v>51672.64</v>
      </c>
      <c r="G11192" s="6" t="s">
        <v>2613</v>
      </c>
    </row>
    <row r="11193" customFormat="false" ht="15" hidden="false" customHeight="true" outlineLevel="0" collapsed="false">
      <c r="A11193" s="6" t="s">
        <v>13805</v>
      </c>
      <c r="B11193" s="6" t="s">
        <v>2261</v>
      </c>
      <c r="C11193" s="6" t="s">
        <v>112</v>
      </c>
      <c r="D11193" s="13" t="n">
        <v>45106</v>
      </c>
      <c r="E11193" s="14" t="n">
        <v>3333.08</v>
      </c>
      <c r="F11193" s="14" t="n">
        <v>55005.72</v>
      </c>
      <c r="G11193" s="6" t="s">
        <v>2613</v>
      </c>
    </row>
    <row r="11194" customFormat="false" ht="15" hidden="false" customHeight="true" outlineLevel="0" collapsed="false">
      <c r="A11194" s="6" t="s">
        <v>13806</v>
      </c>
      <c r="B11194" s="6" t="s">
        <v>2261</v>
      </c>
      <c r="C11194" s="6" t="s">
        <v>112</v>
      </c>
      <c r="D11194" s="13" t="n">
        <v>45113</v>
      </c>
      <c r="E11194" s="14" t="n">
        <v>4369.06</v>
      </c>
      <c r="F11194" s="14" t="n">
        <v>59374.78</v>
      </c>
      <c r="G11194" s="6" t="s">
        <v>2613</v>
      </c>
    </row>
    <row r="11195" customFormat="false" ht="15" hidden="false" customHeight="true" outlineLevel="0" collapsed="false">
      <c r="A11195" s="6" t="s">
        <v>13807</v>
      </c>
      <c r="B11195" s="6" t="s">
        <v>2261</v>
      </c>
      <c r="C11195" s="6" t="s">
        <v>112</v>
      </c>
      <c r="D11195" s="13" t="n">
        <v>45120</v>
      </c>
      <c r="E11195" s="14" t="n">
        <v>6086.2</v>
      </c>
      <c r="F11195" s="14" t="n">
        <v>65460.98</v>
      </c>
      <c r="G11195" s="6" t="s">
        <v>2613</v>
      </c>
    </row>
    <row r="11196" customFormat="false" ht="15" hidden="false" customHeight="true" outlineLevel="0" collapsed="false">
      <c r="A11196" s="6" t="s">
        <v>13808</v>
      </c>
      <c r="B11196" s="6" t="s">
        <v>2261</v>
      </c>
      <c r="C11196" s="6" t="s">
        <v>112</v>
      </c>
      <c r="D11196" s="13" t="n">
        <v>45127</v>
      </c>
      <c r="E11196" s="14" t="n">
        <v>5881.71</v>
      </c>
      <c r="F11196" s="14" t="n">
        <v>71342.69</v>
      </c>
      <c r="G11196" s="6" t="s">
        <v>2613</v>
      </c>
    </row>
    <row r="11197" customFormat="false" ht="15" hidden="false" customHeight="true" outlineLevel="0" collapsed="false">
      <c r="A11197" s="6" t="s">
        <v>13809</v>
      </c>
      <c r="B11197" s="6" t="s">
        <v>2261</v>
      </c>
      <c r="C11197" s="6" t="s">
        <v>112</v>
      </c>
      <c r="D11197" s="13" t="n">
        <v>45134</v>
      </c>
      <c r="E11197" s="14" t="n">
        <v>4759.07</v>
      </c>
      <c r="F11197" s="14" t="n">
        <v>76101.76</v>
      </c>
      <c r="G11197" s="6" t="s">
        <v>2613</v>
      </c>
    </row>
    <row r="11198" customFormat="false" ht="15" hidden="false" customHeight="true" outlineLevel="0" collapsed="false">
      <c r="A11198" s="6" t="s">
        <v>13810</v>
      </c>
      <c r="B11198" s="6" t="s">
        <v>2261</v>
      </c>
      <c r="C11198" s="6" t="s">
        <v>112</v>
      </c>
      <c r="D11198" s="13" t="n">
        <v>45141</v>
      </c>
      <c r="E11198" s="14" t="n">
        <v>5606.73</v>
      </c>
      <c r="F11198" s="14" t="n">
        <v>81708.49</v>
      </c>
      <c r="G11198" s="6" t="s">
        <v>2613</v>
      </c>
    </row>
    <row r="11199" customFormat="false" ht="15" hidden="false" customHeight="true" outlineLevel="0" collapsed="false">
      <c r="A11199" s="6" t="s">
        <v>13811</v>
      </c>
      <c r="B11199" s="6" t="s">
        <v>2261</v>
      </c>
      <c r="C11199" s="6" t="s">
        <v>112</v>
      </c>
      <c r="D11199" s="13" t="n">
        <v>45148</v>
      </c>
      <c r="E11199" s="14" t="n">
        <v>3759.92</v>
      </c>
      <c r="F11199" s="14" t="n">
        <v>85468.41</v>
      </c>
      <c r="G11199" s="6" t="s">
        <v>2613</v>
      </c>
    </row>
    <row r="11200" customFormat="false" ht="15" hidden="false" customHeight="true" outlineLevel="0" collapsed="false">
      <c r="A11200" s="6" t="s">
        <v>13812</v>
      </c>
      <c r="B11200" s="6" t="s">
        <v>2261</v>
      </c>
      <c r="C11200" s="6" t="s">
        <v>112</v>
      </c>
      <c r="D11200" s="13" t="n">
        <v>45155</v>
      </c>
      <c r="E11200" s="14" t="n">
        <v>3498.42</v>
      </c>
      <c r="F11200" s="14" t="n">
        <v>88966.83</v>
      </c>
      <c r="G11200" s="6" t="s">
        <v>2623</v>
      </c>
    </row>
    <row r="11201" customFormat="false" ht="15" hidden="false" customHeight="true" outlineLevel="0" collapsed="false">
      <c r="A11201" s="6" t="s">
        <v>13813</v>
      </c>
      <c r="B11201" s="6" t="s">
        <v>2261</v>
      </c>
      <c r="C11201" s="6" t="s">
        <v>112</v>
      </c>
      <c r="D11201" s="13" t="n">
        <v>45162</v>
      </c>
      <c r="E11201" s="14" t="n">
        <v>5567.96</v>
      </c>
      <c r="F11201" s="14" t="n">
        <v>94534.79</v>
      </c>
      <c r="G11201" s="6" t="s">
        <v>2613</v>
      </c>
    </row>
    <row r="11202" customFormat="false" ht="15" hidden="false" customHeight="true" outlineLevel="0" collapsed="false">
      <c r="A11202" s="6" t="s">
        <v>13814</v>
      </c>
      <c r="B11202" s="6" t="s">
        <v>2261</v>
      </c>
      <c r="C11202" s="6" t="s">
        <v>112</v>
      </c>
      <c r="D11202" s="13" t="n">
        <v>45169</v>
      </c>
      <c r="E11202" s="14" t="n">
        <v>3906.74</v>
      </c>
      <c r="F11202" s="14" t="n">
        <v>98441.53</v>
      </c>
      <c r="G11202" s="6" t="s">
        <v>2613</v>
      </c>
    </row>
    <row r="11203" customFormat="false" ht="15" hidden="false" customHeight="true" outlineLevel="0" collapsed="false">
      <c r="A11203" s="6" t="s">
        <v>13815</v>
      </c>
      <c r="B11203" s="6" t="s">
        <v>2261</v>
      </c>
      <c r="C11203" s="6" t="s">
        <v>112</v>
      </c>
      <c r="D11203" s="13" t="n">
        <v>45176</v>
      </c>
      <c r="E11203" s="14" t="n">
        <v>6216.44</v>
      </c>
      <c r="F11203" s="14" t="n">
        <v>104657.97</v>
      </c>
      <c r="G11203" s="6" t="s">
        <v>2613</v>
      </c>
    </row>
    <row r="11204" customFormat="false" ht="15" hidden="false" customHeight="true" outlineLevel="0" collapsed="false">
      <c r="A11204" s="6" t="s">
        <v>13816</v>
      </c>
      <c r="B11204" s="6" t="s">
        <v>2263</v>
      </c>
      <c r="C11204" s="6" t="s">
        <v>120</v>
      </c>
      <c r="D11204" s="13" t="n">
        <v>44843</v>
      </c>
      <c r="E11204" s="14" t="n">
        <v>3311.94</v>
      </c>
      <c r="F11204" s="14" t="n">
        <v>3311.94</v>
      </c>
      <c r="G11204" s="6" t="s">
        <v>2613</v>
      </c>
    </row>
    <row r="11205" customFormat="false" ht="15" hidden="false" customHeight="true" outlineLevel="0" collapsed="false">
      <c r="A11205" s="6" t="s">
        <v>13817</v>
      </c>
      <c r="B11205" s="6" t="s">
        <v>2263</v>
      </c>
      <c r="C11205" s="6" t="s">
        <v>120</v>
      </c>
      <c r="D11205" s="13" t="n">
        <v>44850</v>
      </c>
      <c r="E11205" s="14" t="n">
        <v>4095.05</v>
      </c>
      <c r="F11205" s="14" t="n">
        <v>7406.99</v>
      </c>
      <c r="G11205" s="6" t="s">
        <v>2613</v>
      </c>
    </row>
    <row r="11206" customFormat="false" ht="15" hidden="false" customHeight="true" outlineLevel="0" collapsed="false">
      <c r="A11206" s="6" t="s">
        <v>13818</v>
      </c>
      <c r="B11206" s="6" t="s">
        <v>2263</v>
      </c>
      <c r="C11206" s="6" t="s">
        <v>120</v>
      </c>
      <c r="D11206" s="13" t="n">
        <v>44857</v>
      </c>
      <c r="E11206" s="14" t="n">
        <v>4249.25</v>
      </c>
      <c r="F11206" s="14" t="n">
        <v>11656.24</v>
      </c>
      <c r="G11206" s="6" t="s">
        <v>2613</v>
      </c>
    </row>
    <row r="11207" customFormat="false" ht="15" hidden="false" customHeight="true" outlineLevel="0" collapsed="false">
      <c r="A11207" s="6" t="s">
        <v>13819</v>
      </c>
      <c r="B11207" s="6" t="s">
        <v>2263</v>
      </c>
      <c r="C11207" s="6" t="s">
        <v>120</v>
      </c>
      <c r="D11207" s="13" t="n">
        <v>44864</v>
      </c>
      <c r="E11207" s="14" t="n">
        <v>4558.58</v>
      </c>
      <c r="F11207" s="14" t="n">
        <v>16214.82</v>
      </c>
      <c r="G11207" s="6" t="s">
        <v>2613</v>
      </c>
    </row>
    <row r="11208" customFormat="false" ht="15" hidden="false" customHeight="true" outlineLevel="0" collapsed="false">
      <c r="A11208" s="6" t="s">
        <v>13820</v>
      </c>
      <c r="B11208" s="6" t="s">
        <v>2263</v>
      </c>
      <c r="C11208" s="6" t="s">
        <v>120</v>
      </c>
      <c r="D11208" s="13" t="n">
        <v>44871</v>
      </c>
      <c r="E11208" s="14" t="n">
        <v>4973.43</v>
      </c>
      <c r="F11208" s="14" t="n">
        <v>21188.25</v>
      </c>
      <c r="G11208" s="6" t="s">
        <v>2613</v>
      </c>
    </row>
    <row r="11209" customFormat="false" ht="15" hidden="false" customHeight="true" outlineLevel="0" collapsed="false">
      <c r="A11209" s="6" t="s">
        <v>13821</v>
      </c>
      <c r="B11209" s="6" t="s">
        <v>2263</v>
      </c>
      <c r="C11209" s="6" t="s">
        <v>120</v>
      </c>
      <c r="D11209" s="13" t="n">
        <v>44878</v>
      </c>
      <c r="E11209" s="14" t="n">
        <v>3822.31</v>
      </c>
      <c r="F11209" s="14" t="n">
        <v>25010.56</v>
      </c>
      <c r="G11209" s="6" t="s">
        <v>2613</v>
      </c>
    </row>
    <row r="11210" customFormat="false" ht="15" hidden="false" customHeight="true" outlineLevel="0" collapsed="false">
      <c r="A11210" s="6" t="s">
        <v>13822</v>
      </c>
      <c r="B11210" s="6" t="s">
        <v>2263</v>
      </c>
      <c r="C11210" s="6" t="s">
        <v>120</v>
      </c>
      <c r="D11210" s="13" t="n">
        <v>44885</v>
      </c>
      <c r="E11210" s="14" t="n">
        <v>483.16</v>
      </c>
      <c r="F11210" s="14" t="n">
        <v>25493.72</v>
      </c>
      <c r="G11210" s="6" t="s">
        <v>2613</v>
      </c>
    </row>
    <row r="11211" customFormat="false" ht="15" hidden="false" customHeight="true" outlineLevel="0" collapsed="false">
      <c r="A11211" s="6" t="s">
        <v>13823</v>
      </c>
      <c r="B11211" s="6" t="s">
        <v>2265</v>
      </c>
      <c r="C11211" s="6" t="s">
        <v>116</v>
      </c>
      <c r="D11211" s="13" t="n">
        <v>45666</v>
      </c>
      <c r="E11211" s="14" t="n">
        <v>5894.19</v>
      </c>
      <c r="F11211" s="14" t="n">
        <v>5894.19</v>
      </c>
      <c r="G11211" s="6" t="s">
        <v>2613</v>
      </c>
    </row>
    <row r="11212" customFormat="false" ht="15" hidden="false" customHeight="true" outlineLevel="0" collapsed="false">
      <c r="A11212" s="6" t="s">
        <v>13824</v>
      </c>
      <c r="B11212" s="6" t="s">
        <v>2265</v>
      </c>
      <c r="C11212" s="6" t="s">
        <v>116</v>
      </c>
      <c r="D11212" s="13" t="n">
        <v>45673</v>
      </c>
      <c r="E11212" s="14" t="n">
        <v>9229.09</v>
      </c>
      <c r="F11212" s="14" t="n">
        <v>15123.28</v>
      </c>
      <c r="G11212" s="6" t="s">
        <v>2613</v>
      </c>
    </row>
    <row r="11213" customFormat="false" ht="15" hidden="false" customHeight="true" outlineLevel="0" collapsed="false">
      <c r="A11213" s="6" t="s">
        <v>13825</v>
      </c>
      <c r="B11213" s="6" t="s">
        <v>2265</v>
      </c>
      <c r="C11213" s="6" t="s">
        <v>116</v>
      </c>
      <c r="D11213" s="13" t="n">
        <v>45680</v>
      </c>
      <c r="E11213" s="14" t="n">
        <v>7879.39</v>
      </c>
      <c r="F11213" s="14" t="n">
        <v>23002.67</v>
      </c>
      <c r="G11213" s="6" t="s">
        <v>2613</v>
      </c>
    </row>
    <row r="11214" customFormat="false" ht="15" hidden="false" customHeight="true" outlineLevel="0" collapsed="false">
      <c r="A11214" s="6" t="s">
        <v>13826</v>
      </c>
      <c r="B11214" s="6" t="s">
        <v>2265</v>
      </c>
      <c r="C11214" s="6" t="s">
        <v>116</v>
      </c>
      <c r="D11214" s="13" t="n">
        <v>45687</v>
      </c>
      <c r="E11214" s="14" t="n">
        <v>4544.76</v>
      </c>
      <c r="F11214" s="14" t="n">
        <v>27547.43</v>
      </c>
      <c r="G11214" s="6" t="s">
        <v>2613</v>
      </c>
    </row>
    <row r="11215" customFormat="false" ht="15" hidden="false" customHeight="true" outlineLevel="0" collapsed="false">
      <c r="A11215" s="6" t="s">
        <v>13827</v>
      </c>
      <c r="B11215" s="6" t="s">
        <v>2265</v>
      </c>
      <c r="C11215" s="6" t="s">
        <v>116</v>
      </c>
      <c r="D11215" s="13" t="n">
        <v>45694</v>
      </c>
      <c r="E11215" s="14" t="n">
        <v>5930.65</v>
      </c>
      <c r="F11215" s="14" t="n">
        <v>33478.08</v>
      </c>
      <c r="G11215" s="6" t="s">
        <v>2613</v>
      </c>
    </row>
    <row r="11216" customFormat="false" ht="15" hidden="false" customHeight="true" outlineLevel="0" collapsed="false">
      <c r="A11216" s="6" t="s">
        <v>13828</v>
      </c>
      <c r="B11216" s="6" t="s">
        <v>2265</v>
      </c>
      <c r="C11216" s="6" t="s">
        <v>116</v>
      </c>
      <c r="D11216" s="13" t="n">
        <v>45701</v>
      </c>
      <c r="E11216" s="14" t="n">
        <v>6454.79</v>
      </c>
      <c r="F11216" s="14" t="n">
        <v>39932.87</v>
      </c>
      <c r="G11216" s="6" t="s">
        <v>2613</v>
      </c>
    </row>
    <row r="11217" customFormat="false" ht="15" hidden="false" customHeight="true" outlineLevel="0" collapsed="false">
      <c r="A11217" s="6" t="s">
        <v>13829</v>
      </c>
      <c r="B11217" s="6" t="s">
        <v>2265</v>
      </c>
      <c r="C11217" s="6" t="s">
        <v>116</v>
      </c>
      <c r="D11217" s="13" t="n">
        <v>45708</v>
      </c>
      <c r="E11217" s="14" t="n">
        <v>9172.17</v>
      </c>
      <c r="F11217" s="14" t="n">
        <v>49105.04</v>
      </c>
      <c r="G11217" s="6" t="s">
        <v>2613</v>
      </c>
    </row>
    <row r="11218" customFormat="false" ht="15" hidden="false" customHeight="true" outlineLevel="0" collapsed="false">
      <c r="A11218" s="6" t="s">
        <v>13830</v>
      </c>
      <c r="B11218" s="6" t="s">
        <v>2265</v>
      </c>
      <c r="C11218" s="6" t="s">
        <v>116</v>
      </c>
      <c r="D11218" s="13" t="n">
        <v>45715</v>
      </c>
      <c r="E11218" s="14" t="n">
        <v>4973.28</v>
      </c>
      <c r="F11218" s="14" t="n">
        <v>54078.32</v>
      </c>
      <c r="G11218" s="6" t="s">
        <v>2613</v>
      </c>
    </row>
    <row r="11219" customFormat="false" ht="15" hidden="false" customHeight="true" outlineLevel="0" collapsed="false">
      <c r="A11219" s="6" t="s">
        <v>13831</v>
      </c>
      <c r="B11219" s="6" t="s">
        <v>2267</v>
      </c>
      <c r="C11219" s="6" t="s">
        <v>131</v>
      </c>
      <c r="D11219" s="13" t="n">
        <v>45419</v>
      </c>
      <c r="E11219" s="14" t="n">
        <v>5455.86</v>
      </c>
      <c r="F11219" s="14" t="n">
        <v>5455.86</v>
      </c>
      <c r="G11219" s="6" t="s">
        <v>2613</v>
      </c>
    </row>
    <row r="11220" customFormat="false" ht="15" hidden="false" customHeight="true" outlineLevel="0" collapsed="false">
      <c r="A11220" s="6" t="s">
        <v>13832</v>
      </c>
      <c r="B11220" s="6" t="s">
        <v>2267</v>
      </c>
      <c r="C11220" s="6" t="s">
        <v>131</v>
      </c>
      <c r="D11220" s="13" t="n">
        <v>45426</v>
      </c>
      <c r="E11220" s="14" t="n">
        <v>3972.63</v>
      </c>
      <c r="F11220" s="14" t="n">
        <v>9428.49</v>
      </c>
      <c r="G11220" s="6" t="s">
        <v>2613</v>
      </c>
    </row>
    <row r="11221" customFormat="false" ht="15" hidden="false" customHeight="true" outlineLevel="0" collapsed="false">
      <c r="A11221" s="6" t="s">
        <v>13833</v>
      </c>
      <c r="B11221" s="6" t="s">
        <v>2267</v>
      </c>
      <c r="C11221" s="6" t="s">
        <v>131</v>
      </c>
      <c r="D11221" s="13" t="n">
        <v>45433</v>
      </c>
      <c r="E11221" s="14" t="n">
        <v>6508</v>
      </c>
      <c r="F11221" s="14" t="n">
        <v>15936.49</v>
      </c>
      <c r="G11221" s="6" t="s">
        <v>2613</v>
      </c>
    </row>
    <row r="11222" customFormat="false" ht="15" hidden="false" customHeight="true" outlineLevel="0" collapsed="false">
      <c r="A11222" s="6" t="s">
        <v>13834</v>
      </c>
      <c r="B11222" s="6" t="s">
        <v>2267</v>
      </c>
      <c r="C11222" s="6" t="s">
        <v>131</v>
      </c>
      <c r="D11222" s="13" t="n">
        <v>45440</v>
      </c>
      <c r="E11222" s="14" t="n">
        <v>6018.89</v>
      </c>
      <c r="F11222" s="14" t="n">
        <v>21955.38</v>
      </c>
      <c r="G11222" s="6" t="s">
        <v>2623</v>
      </c>
    </row>
    <row r="11223" customFormat="false" ht="15" hidden="false" customHeight="true" outlineLevel="0" collapsed="false">
      <c r="A11223" s="6" t="s">
        <v>13835</v>
      </c>
      <c r="B11223" s="6" t="s">
        <v>2267</v>
      </c>
      <c r="C11223" s="6" t="s">
        <v>131</v>
      </c>
      <c r="D11223" s="13" t="n">
        <v>45447</v>
      </c>
      <c r="E11223" s="14" t="n">
        <v>4507.07</v>
      </c>
      <c r="F11223" s="14" t="n">
        <v>26462.45</v>
      </c>
      <c r="G11223" s="6" t="s">
        <v>2613</v>
      </c>
    </row>
    <row r="11224" customFormat="false" ht="15" hidden="false" customHeight="true" outlineLevel="0" collapsed="false">
      <c r="A11224" s="6" t="s">
        <v>13836</v>
      </c>
      <c r="B11224" s="6" t="s">
        <v>2267</v>
      </c>
      <c r="C11224" s="6" t="s">
        <v>131</v>
      </c>
      <c r="D11224" s="13" t="n">
        <v>45454</v>
      </c>
      <c r="E11224" s="14" t="n">
        <v>8373.29</v>
      </c>
      <c r="F11224" s="14" t="n">
        <v>34835.74</v>
      </c>
      <c r="G11224" s="6" t="s">
        <v>2613</v>
      </c>
    </row>
    <row r="11225" customFormat="false" ht="15" hidden="false" customHeight="true" outlineLevel="0" collapsed="false">
      <c r="A11225" s="6" t="s">
        <v>13837</v>
      </c>
      <c r="B11225" s="6" t="s">
        <v>2267</v>
      </c>
      <c r="C11225" s="6" t="s">
        <v>131</v>
      </c>
      <c r="D11225" s="13" t="n">
        <v>45461</v>
      </c>
      <c r="E11225" s="14" t="n">
        <v>7404.74</v>
      </c>
      <c r="F11225" s="14" t="n">
        <v>42240.48</v>
      </c>
      <c r="G11225" s="6" t="s">
        <v>2613</v>
      </c>
    </row>
    <row r="11226" customFormat="false" ht="15" hidden="false" customHeight="true" outlineLevel="0" collapsed="false">
      <c r="A11226" s="6" t="s">
        <v>13838</v>
      </c>
      <c r="B11226" s="6" t="s">
        <v>2267</v>
      </c>
      <c r="C11226" s="6" t="s">
        <v>131</v>
      </c>
      <c r="D11226" s="13" t="n">
        <v>45468</v>
      </c>
      <c r="E11226" s="14" t="n">
        <v>8409.03</v>
      </c>
      <c r="F11226" s="14" t="n">
        <v>50649.51</v>
      </c>
      <c r="G11226" s="6" t="s">
        <v>2613</v>
      </c>
    </row>
    <row r="11227" customFormat="false" ht="15" hidden="false" customHeight="true" outlineLevel="0" collapsed="false">
      <c r="A11227" s="6" t="s">
        <v>13839</v>
      </c>
      <c r="B11227" s="6" t="s">
        <v>2269</v>
      </c>
      <c r="C11227" s="6" t="s">
        <v>112</v>
      </c>
      <c r="D11227" s="13" t="n">
        <v>45893</v>
      </c>
      <c r="E11227" s="14" t="n">
        <v>2679.97</v>
      </c>
      <c r="F11227" s="14" t="n">
        <v>2679.97</v>
      </c>
      <c r="G11227" s="6" t="s">
        <v>2613</v>
      </c>
    </row>
    <row r="11228" customFormat="false" ht="15" hidden="false" customHeight="true" outlineLevel="0" collapsed="false">
      <c r="A11228" s="6" t="s">
        <v>13840</v>
      </c>
      <c r="B11228" s="6" t="s">
        <v>2269</v>
      </c>
      <c r="C11228" s="6" t="s">
        <v>112</v>
      </c>
      <c r="D11228" s="13" t="n">
        <v>45900</v>
      </c>
      <c r="E11228" s="14" t="n">
        <v>4409.77</v>
      </c>
      <c r="F11228" s="14" t="n">
        <v>7089.74</v>
      </c>
      <c r="G11228" s="6" t="s">
        <v>2613</v>
      </c>
    </row>
    <row r="11229" customFormat="false" ht="15" hidden="false" customHeight="true" outlineLevel="0" collapsed="false">
      <c r="A11229" s="6" t="s">
        <v>13841</v>
      </c>
      <c r="B11229" s="6" t="s">
        <v>2269</v>
      </c>
      <c r="C11229" s="6" t="s">
        <v>112</v>
      </c>
      <c r="D11229" s="13" t="n">
        <v>45907</v>
      </c>
      <c r="E11229" s="14" t="n">
        <v>3303.71</v>
      </c>
      <c r="F11229" s="14" t="n">
        <v>10393.45</v>
      </c>
      <c r="G11229" s="6" t="s">
        <v>2613</v>
      </c>
    </row>
    <row r="11230" customFormat="false" ht="15" hidden="false" customHeight="true" outlineLevel="0" collapsed="false">
      <c r="A11230" s="6" t="s">
        <v>13842</v>
      </c>
      <c r="B11230" s="6" t="s">
        <v>2269</v>
      </c>
      <c r="C11230" s="6" t="s">
        <v>112</v>
      </c>
      <c r="D11230" s="13" t="n">
        <v>45914</v>
      </c>
      <c r="E11230" s="14" t="n">
        <v>2279.19</v>
      </c>
      <c r="F11230" s="14" t="n">
        <v>12672.64</v>
      </c>
      <c r="G11230" s="6" t="s">
        <v>2613</v>
      </c>
    </row>
    <row r="11231" customFormat="false" ht="15" hidden="false" customHeight="true" outlineLevel="0" collapsed="false">
      <c r="A11231" s="6" t="s">
        <v>13843</v>
      </c>
      <c r="B11231" s="6" t="s">
        <v>2269</v>
      </c>
      <c r="C11231" s="6" t="s">
        <v>112</v>
      </c>
      <c r="D11231" s="13" t="n">
        <v>45921</v>
      </c>
      <c r="E11231" s="14" t="n">
        <v>2016.26</v>
      </c>
      <c r="F11231" s="14" t="n">
        <v>14688.9</v>
      </c>
      <c r="G11231" s="6" t="s">
        <v>2613</v>
      </c>
    </row>
    <row r="11232" customFormat="false" ht="15" hidden="false" customHeight="true" outlineLevel="0" collapsed="false">
      <c r="A11232" s="6" t="s">
        <v>13844</v>
      </c>
      <c r="B11232" s="6" t="s">
        <v>2269</v>
      </c>
      <c r="C11232" s="6" t="s">
        <v>112</v>
      </c>
      <c r="D11232" s="13" t="n">
        <v>45928</v>
      </c>
      <c r="E11232" s="14" t="n">
        <v>4306.08</v>
      </c>
      <c r="F11232" s="14" t="n">
        <v>18994.98</v>
      </c>
      <c r="G11232" s="6" t="s">
        <v>2613</v>
      </c>
    </row>
    <row r="11233" customFormat="false" ht="15" hidden="false" customHeight="true" outlineLevel="0" collapsed="false">
      <c r="A11233" s="6" t="s">
        <v>13845</v>
      </c>
      <c r="B11233" s="6" t="s">
        <v>2269</v>
      </c>
      <c r="C11233" s="6" t="s">
        <v>112</v>
      </c>
      <c r="D11233" s="13" t="n">
        <v>45935</v>
      </c>
      <c r="E11233" s="14" t="n">
        <v>2778.53</v>
      </c>
      <c r="F11233" s="14" t="n">
        <v>21773.51</v>
      </c>
      <c r="G11233" s="6" t="s">
        <v>2613</v>
      </c>
    </row>
    <row r="11234" customFormat="false" ht="15" hidden="false" customHeight="true" outlineLevel="0" collapsed="false">
      <c r="A11234" s="6" t="s">
        <v>13846</v>
      </c>
      <c r="B11234" s="6" t="s">
        <v>2269</v>
      </c>
      <c r="C11234" s="6" t="s">
        <v>112</v>
      </c>
      <c r="D11234" s="13" t="n">
        <v>45942</v>
      </c>
      <c r="E11234" s="14" t="n">
        <v>2528.77</v>
      </c>
      <c r="F11234" s="14" t="n">
        <v>24302.28</v>
      </c>
      <c r="G11234" s="6" t="s">
        <v>2613</v>
      </c>
    </row>
    <row r="11235" customFormat="false" ht="15" hidden="false" customHeight="true" outlineLevel="0" collapsed="false">
      <c r="A11235" s="6" t="s">
        <v>13847</v>
      </c>
      <c r="B11235" s="6" t="s">
        <v>2269</v>
      </c>
      <c r="C11235" s="6" t="s">
        <v>112</v>
      </c>
      <c r="D11235" s="13" t="n">
        <v>45949</v>
      </c>
      <c r="E11235" s="14" t="n">
        <v>3291.13</v>
      </c>
      <c r="F11235" s="14" t="n">
        <v>27593.41</v>
      </c>
      <c r="G11235" s="6" t="s">
        <v>2613</v>
      </c>
    </row>
    <row r="11236" customFormat="false" ht="15" hidden="false" customHeight="true" outlineLevel="0" collapsed="false">
      <c r="A11236" s="6" t="s">
        <v>13848</v>
      </c>
      <c r="B11236" s="6" t="s">
        <v>2269</v>
      </c>
      <c r="C11236" s="6" t="s">
        <v>112</v>
      </c>
      <c r="D11236" s="13" t="n">
        <v>45956</v>
      </c>
      <c r="E11236" s="14" t="n">
        <v>3057.43</v>
      </c>
      <c r="F11236" s="14" t="n">
        <v>30650.84</v>
      </c>
      <c r="G11236" s="6" t="s">
        <v>2613</v>
      </c>
    </row>
    <row r="11237" customFormat="false" ht="15" hidden="false" customHeight="true" outlineLevel="0" collapsed="false">
      <c r="A11237" s="6" t="s">
        <v>13849</v>
      </c>
      <c r="B11237" s="6" t="s">
        <v>2269</v>
      </c>
      <c r="C11237" s="6" t="s">
        <v>112</v>
      </c>
      <c r="D11237" s="13" t="n">
        <v>45963</v>
      </c>
      <c r="E11237" s="14" t="n">
        <v>3619.94</v>
      </c>
      <c r="F11237" s="14" t="n">
        <v>34270.78</v>
      </c>
      <c r="G11237" s="6" t="s">
        <v>2623</v>
      </c>
    </row>
    <row r="11238" customFormat="false" ht="15" hidden="false" customHeight="true" outlineLevel="0" collapsed="false">
      <c r="A11238" s="6" t="s">
        <v>13850</v>
      </c>
      <c r="B11238" s="6" t="s">
        <v>2269</v>
      </c>
      <c r="C11238" s="6" t="s">
        <v>112</v>
      </c>
      <c r="D11238" s="13" t="n">
        <v>45970</v>
      </c>
      <c r="E11238" s="14" t="n">
        <v>5919.96</v>
      </c>
      <c r="F11238" s="14" t="n">
        <v>40190.74</v>
      </c>
      <c r="G11238" s="6" t="s">
        <v>2613</v>
      </c>
    </row>
    <row r="11239" customFormat="false" ht="15" hidden="false" customHeight="true" outlineLevel="0" collapsed="false">
      <c r="A11239" s="6" t="s">
        <v>13851</v>
      </c>
      <c r="B11239" s="6" t="s">
        <v>2271</v>
      </c>
      <c r="C11239" s="6" t="s">
        <v>128</v>
      </c>
      <c r="D11239" s="13" t="n">
        <v>46040</v>
      </c>
      <c r="E11239" s="14" t="n">
        <v>13104.88</v>
      </c>
      <c r="F11239" s="14" t="n">
        <v>13104.88</v>
      </c>
      <c r="G11239" s="6" t="s">
        <v>2613</v>
      </c>
    </row>
    <row r="11240" customFormat="false" ht="15" hidden="false" customHeight="true" outlineLevel="0" collapsed="false">
      <c r="A11240" s="6" t="s">
        <v>13852</v>
      </c>
      <c r="B11240" s="6" t="s">
        <v>2271</v>
      </c>
      <c r="C11240" s="6" t="s">
        <v>128</v>
      </c>
      <c r="D11240" s="13" t="n">
        <v>46047</v>
      </c>
      <c r="E11240" s="14" t="n">
        <v>13273.58</v>
      </c>
      <c r="F11240" s="14" t="n">
        <v>26378.46</v>
      </c>
      <c r="G11240" s="6" t="s">
        <v>2623</v>
      </c>
    </row>
    <row r="11241" customFormat="false" ht="15" hidden="false" customHeight="true" outlineLevel="0" collapsed="false">
      <c r="A11241" s="6" t="s">
        <v>13853</v>
      </c>
      <c r="B11241" s="6" t="s">
        <v>2271</v>
      </c>
      <c r="C11241" s="6" t="s">
        <v>128</v>
      </c>
      <c r="D11241" s="13" t="n">
        <v>46054</v>
      </c>
      <c r="E11241" s="14" t="n">
        <v>9417.31</v>
      </c>
      <c r="F11241" s="14" t="n">
        <v>35795.77</v>
      </c>
      <c r="G11241" s="6" t="s">
        <v>2613</v>
      </c>
    </row>
    <row r="11242" customFormat="false" ht="15" hidden="false" customHeight="true" outlineLevel="0" collapsed="false">
      <c r="A11242" s="6" t="s">
        <v>13854</v>
      </c>
      <c r="B11242" s="6" t="s">
        <v>2271</v>
      </c>
      <c r="C11242" s="6" t="s">
        <v>128</v>
      </c>
      <c r="D11242" s="13" t="n">
        <v>46061</v>
      </c>
      <c r="E11242" s="14" t="n">
        <v>8731.73</v>
      </c>
      <c r="F11242" s="14" t="n">
        <v>44527.5</v>
      </c>
      <c r="G11242" s="6" t="s">
        <v>2613</v>
      </c>
    </row>
    <row r="11243" customFormat="false" ht="15" hidden="false" customHeight="true" outlineLevel="0" collapsed="false">
      <c r="A11243" s="6" t="s">
        <v>13855</v>
      </c>
      <c r="B11243" s="6" t="s">
        <v>2271</v>
      </c>
      <c r="C11243" s="6" t="s">
        <v>128</v>
      </c>
      <c r="D11243" s="13" t="n">
        <v>46068</v>
      </c>
      <c r="E11243" s="14" t="n">
        <v>16034.21</v>
      </c>
      <c r="F11243" s="14" t="n">
        <v>60561.71</v>
      </c>
      <c r="G11243" s="6" t="s">
        <v>2613</v>
      </c>
    </row>
    <row r="11244" customFormat="false" ht="15" hidden="false" customHeight="true" outlineLevel="0" collapsed="false">
      <c r="A11244" s="6" t="s">
        <v>13856</v>
      </c>
      <c r="B11244" s="6" t="s">
        <v>2271</v>
      </c>
      <c r="C11244" s="6" t="s">
        <v>128</v>
      </c>
      <c r="D11244" s="13" t="n">
        <v>46075</v>
      </c>
      <c r="E11244" s="14" t="n">
        <v>16875.76</v>
      </c>
      <c r="F11244" s="14" t="n">
        <v>77437.47</v>
      </c>
      <c r="G11244" s="6" t="s">
        <v>2613</v>
      </c>
    </row>
    <row r="11245" customFormat="false" ht="15" hidden="false" customHeight="true" outlineLevel="0" collapsed="false">
      <c r="A11245" s="6" t="s">
        <v>13857</v>
      </c>
      <c r="B11245" s="6" t="s">
        <v>2271</v>
      </c>
      <c r="C11245" s="6" t="s">
        <v>128</v>
      </c>
      <c r="D11245" s="13" t="n">
        <v>46082</v>
      </c>
      <c r="E11245" s="14" t="n">
        <v>10568.01</v>
      </c>
      <c r="F11245" s="14" t="n">
        <v>88005.48</v>
      </c>
      <c r="G11245" s="6" t="s">
        <v>2613</v>
      </c>
    </row>
    <row r="11246" customFormat="false" ht="15" hidden="false" customHeight="true" outlineLevel="0" collapsed="false">
      <c r="A11246" s="6" t="s">
        <v>13858</v>
      </c>
      <c r="B11246" s="6" t="s">
        <v>2271</v>
      </c>
      <c r="C11246" s="6" t="s">
        <v>128</v>
      </c>
      <c r="D11246" s="13" t="n">
        <v>46089</v>
      </c>
      <c r="E11246" s="14" t="n">
        <v>13010.87</v>
      </c>
      <c r="F11246" s="14" t="n">
        <v>101016.35</v>
      </c>
      <c r="G11246" s="6" t="s">
        <v>2623</v>
      </c>
    </row>
    <row r="11247" customFormat="false" ht="15" hidden="false" customHeight="true" outlineLevel="0" collapsed="false">
      <c r="A11247" s="6" t="s">
        <v>13859</v>
      </c>
      <c r="B11247" s="6" t="s">
        <v>2271</v>
      </c>
      <c r="C11247" s="6" t="s">
        <v>128</v>
      </c>
      <c r="D11247" s="13" t="n">
        <v>46096</v>
      </c>
      <c r="E11247" s="14" t="n">
        <v>15300.64</v>
      </c>
      <c r="F11247" s="14" t="n">
        <v>116316.99</v>
      </c>
      <c r="G11247" s="6" t="s">
        <v>2623</v>
      </c>
    </row>
    <row r="11248" customFormat="false" ht="15" hidden="false" customHeight="true" outlineLevel="0" collapsed="false">
      <c r="A11248" s="6" t="s">
        <v>13860</v>
      </c>
      <c r="B11248" s="6" t="s">
        <v>2273</v>
      </c>
      <c r="C11248" s="6" t="s">
        <v>120</v>
      </c>
      <c r="D11248" s="13" t="n">
        <v>44652</v>
      </c>
      <c r="E11248" s="14" t="n">
        <v>440.9</v>
      </c>
      <c r="F11248" s="14" t="n">
        <v>440.9</v>
      </c>
      <c r="G11248" s="6" t="s">
        <v>2613</v>
      </c>
    </row>
    <row r="11249" customFormat="false" ht="15" hidden="false" customHeight="true" outlineLevel="0" collapsed="false">
      <c r="A11249" s="6" t="s">
        <v>13861</v>
      </c>
      <c r="B11249" s="6" t="s">
        <v>2273</v>
      </c>
      <c r="C11249" s="6" t="s">
        <v>120</v>
      </c>
      <c r="D11249" s="13" t="n">
        <v>44659</v>
      </c>
      <c r="E11249" s="14" t="n">
        <v>519.59</v>
      </c>
      <c r="F11249" s="14" t="n">
        <v>960.49</v>
      </c>
      <c r="G11249" s="6" t="s">
        <v>2613</v>
      </c>
    </row>
    <row r="11250" customFormat="false" ht="15" hidden="false" customHeight="true" outlineLevel="0" collapsed="false">
      <c r="A11250" s="6" t="s">
        <v>13862</v>
      </c>
      <c r="B11250" s="6" t="s">
        <v>2273</v>
      </c>
      <c r="C11250" s="6" t="s">
        <v>120</v>
      </c>
      <c r="D11250" s="13" t="n">
        <v>44666</v>
      </c>
      <c r="E11250" s="14" t="n">
        <v>393.61</v>
      </c>
      <c r="F11250" s="14" t="n">
        <v>1354.1</v>
      </c>
      <c r="G11250" s="6" t="s">
        <v>2613</v>
      </c>
    </row>
    <row r="11251" customFormat="false" ht="15" hidden="false" customHeight="true" outlineLevel="0" collapsed="false">
      <c r="A11251" s="6" t="s">
        <v>13863</v>
      </c>
      <c r="B11251" s="6" t="s">
        <v>2273</v>
      </c>
      <c r="C11251" s="6" t="s">
        <v>120</v>
      </c>
      <c r="D11251" s="13" t="n">
        <v>44673</v>
      </c>
      <c r="E11251" s="14" t="n">
        <v>312.53</v>
      </c>
      <c r="F11251" s="14" t="n">
        <v>1666.63</v>
      </c>
      <c r="G11251" s="6" t="s">
        <v>2613</v>
      </c>
    </row>
    <row r="11252" customFormat="false" ht="15" hidden="false" customHeight="true" outlineLevel="0" collapsed="false">
      <c r="A11252" s="6" t="s">
        <v>13864</v>
      </c>
      <c r="B11252" s="6" t="s">
        <v>2273</v>
      </c>
      <c r="C11252" s="6" t="s">
        <v>120</v>
      </c>
      <c r="D11252" s="13" t="n">
        <v>44680</v>
      </c>
      <c r="E11252" s="14" t="n">
        <v>467.81</v>
      </c>
      <c r="F11252" s="14" t="n">
        <v>2134.44</v>
      </c>
      <c r="G11252" s="6" t="s">
        <v>2613</v>
      </c>
    </row>
    <row r="11253" customFormat="false" ht="15" hidden="false" customHeight="true" outlineLevel="0" collapsed="false">
      <c r="A11253" s="6" t="s">
        <v>13865</v>
      </c>
      <c r="B11253" s="6" t="s">
        <v>2273</v>
      </c>
      <c r="C11253" s="6" t="s">
        <v>120</v>
      </c>
      <c r="D11253" s="13" t="n">
        <v>44687</v>
      </c>
      <c r="E11253" s="14" t="n">
        <v>328.47</v>
      </c>
      <c r="F11253" s="14" t="n">
        <v>2462.91</v>
      </c>
      <c r="G11253" s="6" t="s">
        <v>2613</v>
      </c>
    </row>
    <row r="11254" customFormat="false" ht="15" hidden="false" customHeight="true" outlineLevel="0" collapsed="false">
      <c r="A11254" s="6" t="s">
        <v>13866</v>
      </c>
      <c r="B11254" s="6" t="s">
        <v>2273</v>
      </c>
      <c r="C11254" s="6" t="s">
        <v>120</v>
      </c>
      <c r="D11254" s="13" t="n">
        <v>44694</v>
      </c>
      <c r="E11254" s="14" t="n">
        <v>308.3</v>
      </c>
      <c r="F11254" s="14" t="n">
        <v>2771.21</v>
      </c>
      <c r="G11254" s="6" t="s">
        <v>2613</v>
      </c>
    </row>
    <row r="11255" customFormat="false" ht="15" hidden="false" customHeight="true" outlineLevel="0" collapsed="false">
      <c r="A11255" s="6" t="s">
        <v>13867</v>
      </c>
      <c r="B11255" s="6" t="s">
        <v>2273</v>
      </c>
      <c r="C11255" s="6" t="s">
        <v>120</v>
      </c>
      <c r="D11255" s="13" t="n">
        <v>44701</v>
      </c>
      <c r="E11255" s="14" t="n">
        <v>410.17</v>
      </c>
      <c r="F11255" s="14" t="n">
        <v>3181.38</v>
      </c>
      <c r="G11255" s="6" t="s">
        <v>2613</v>
      </c>
    </row>
    <row r="11256" customFormat="false" ht="15" hidden="false" customHeight="true" outlineLevel="0" collapsed="false">
      <c r="A11256" s="6" t="s">
        <v>13868</v>
      </c>
      <c r="B11256" s="6" t="s">
        <v>2273</v>
      </c>
      <c r="C11256" s="6" t="s">
        <v>120</v>
      </c>
      <c r="D11256" s="13" t="n">
        <v>44708</v>
      </c>
      <c r="E11256" s="14" t="n">
        <v>429.95</v>
      </c>
      <c r="F11256" s="14" t="n">
        <v>3611.33</v>
      </c>
      <c r="G11256" s="6" t="s">
        <v>2623</v>
      </c>
    </row>
    <row r="11257" customFormat="false" ht="15" hidden="false" customHeight="true" outlineLevel="0" collapsed="false">
      <c r="A11257" s="6" t="s">
        <v>13869</v>
      </c>
      <c r="B11257" s="6" t="s">
        <v>2273</v>
      </c>
      <c r="C11257" s="6" t="s">
        <v>120</v>
      </c>
      <c r="D11257" s="13" t="n">
        <v>44715</v>
      </c>
      <c r="E11257" s="14" t="n">
        <v>420.08</v>
      </c>
      <c r="F11257" s="14" t="n">
        <v>4031.41</v>
      </c>
      <c r="G11257" s="6" t="s">
        <v>2613</v>
      </c>
    </row>
    <row r="11258" customFormat="false" ht="15" hidden="false" customHeight="true" outlineLevel="0" collapsed="false">
      <c r="A11258" s="6" t="s">
        <v>13870</v>
      </c>
      <c r="B11258" s="6" t="s">
        <v>2273</v>
      </c>
      <c r="C11258" s="6" t="s">
        <v>120</v>
      </c>
      <c r="D11258" s="13" t="n">
        <v>44722</v>
      </c>
      <c r="E11258" s="14" t="n">
        <v>265.9</v>
      </c>
      <c r="F11258" s="14" t="n">
        <v>4297.31</v>
      </c>
      <c r="G11258" s="6" t="s">
        <v>2613</v>
      </c>
    </row>
    <row r="11259" customFormat="false" ht="15" hidden="false" customHeight="true" outlineLevel="0" collapsed="false">
      <c r="A11259" s="6" t="s">
        <v>13871</v>
      </c>
      <c r="B11259" s="6" t="s">
        <v>2273</v>
      </c>
      <c r="C11259" s="6" t="s">
        <v>120</v>
      </c>
      <c r="D11259" s="13" t="n">
        <v>44729</v>
      </c>
      <c r="E11259" s="14" t="n">
        <v>526.13</v>
      </c>
      <c r="F11259" s="14" t="n">
        <v>4823.44</v>
      </c>
      <c r="G11259" s="6" t="s">
        <v>2613</v>
      </c>
    </row>
    <row r="11260" customFormat="false" ht="15" hidden="false" customHeight="true" outlineLevel="0" collapsed="false">
      <c r="A11260" s="6" t="s">
        <v>13872</v>
      </c>
      <c r="B11260" s="6" t="s">
        <v>2273</v>
      </c>
      <c r="C11260" s="6" t="s">
        <v>120</v>
      </c>
      <c r="D11260" s="13" t="n">
        <v>44736</v>
      </c>
      <c r="E11260" s="14" t="n">
        <v>216.66</v>
      </c>
      <c r="F11260" s="14" t="n">
        <v>5040.1</v>
      </c>
      <c r="G11260" s="6" t="s">
        <v>2623</v>
      </c>
    </row>
    <row r="11261" customFormat="false" ht="15" hidden="false" customHeight="true" outlineLevel="0" collapsed="false">
      <c r="A11261" s="6" t="s">
        <v>13873</v>
      </c>
      <c r="B11261" s="6" t="s">
        <v>2275</v>
      </c>
      <c r="C11261" s="6" t="s">
        <v>116</v>
      </c>
      <c r="D11261" s="13" t="n">
        <v>44746</v>
      </c>
      <c r="E11261" s="14" t="n">
        <v>611.78</v>
      </c>
      <c r="F11261" s="14" t="n">
        <v>611.78</v>
      </c>
      <c r="G11261" s="6" t="s">
        <v>2613</v>
      </c>
    </row>
    <row r="11262" customFormat="false" ht="15" hidden="false" customHeight="true" outlineLevel="0" collapsed="false">
      <c r="A11262" s="6" t="s">
        <v>13874</v>
      </c>
      <c r="B11262" s="6" t="s">
        <v>2275</v>
      </c>
      <c r="C11262" s="6" t="s">
        <v>116</v>
      </c>
      <c r="D11262" s="13" t="n">
        <v>44753</v>
      </c>
      <c r="E11262" s="14" t="n">
        <v>1043.91</v>
      </c>
      <c r="F11262" s="14" t="n">
        <v>1655.69</v>
      </c>
      <c r="G11262" s="6" t="s">
        <v>2613</v>
      </c>
    </row>
    <row r="11263" customFormat="false" ht="15" hidden="false" customHeight="true" outlineLevel="0" collapsed="false">
      <c r="A11263" s="6" t="s">
        <v>13875</v>
      </c>
      <c r="B11263" s="6" t="s">
        <v>2275</v>
      </c>
      <c r="C11263" s="6" t="s">
        <v>116</v>
      </c>
      <c r="D11263" s="13" t="n">
        <v>44760</v>
      </c>
      <c r="E11263" s="14" t="n">
        <v>590.57</v>
      </c>
      <c r="F11263" s="14" t="n">
        <v>2246.26</v>
      </c>
      <c r="G11263" s="6" t="s">
        <v>2613</v>
      </c>
    </row>
    <row r="11264" customFormat="false" ht="15" hidden="false" customHeight="true" outlineLevel="0" collapsed="false">
      <c r="A11264" s="6" t="s">
        <v>13876</v>
      </c>
      <c r="B11264" s="6" t="s">
        <v>2275</v>
      </c>
      <c r="C11264" s="6" t="s">
        <v>116</v>
      </c>
      <c r="D11264" s="13" t="n">
        <v>44767</v>
      </c>
      <c r="E11264" s="14" t="n">
        <v>1090.78</v>
      </c>
      <c r="F11264" s="14" t="n">
        <v>3337.04</v>
      </c>
      <c r="G11264" s="6" t="s">
        <v>2613</v>
      </c>
    </row>
    <row r="11265" customFormat="false" ht="15" hidden="false" customHeight="true" outlineLevel="0" collapsed="false">
      <c r="A11265" s="6" t="s">
        <v>13877</v>
      </c>
      <c r="B11265" s="6" t="s">
        <v>2275</v>
      </c>
      <c r="C11265" s="6" t="s">
        <v>116</v>
      </c>
      <c r="D11265" s="13" t="n">
        <v>44774</v>
      </c>
      <c r="E11265" s="14" t="n">
        <v>1217.38</v>
      </c>
      <c r="F11265" s="14" t="n">
        <v>4554.42</v>
      </c>
      <c r="G11265" s="6" t="s">
        <v>2613</v>
      </c>
    </row>
    <row r="11266" customFormat="false" ht="15" hidden="false" customHeight="true" outlineLevel="0" collapsed="false">
      <c r="A11266" s="6" t="s">
        <v>13878</v>
      </c>
      <c r="B11266" s="6" t="s">
        <v>2275</v>
      </c>
      <c r="C11266" s="6" t="s">
        <v>116</v>
      </c>
      <c r="D11266" s="13" t="n">
        <v>44781</v>
      </c>
      <c r="E11266" s="14" t="n">
        <v>925.94</v>
      </c>
      <c r="F11266" s="14" t="n">
        <v>5480.36</v>
      </c>
      <c r="G11266" s="6" t="s">
        <v>2613</v>
      </c>
    </row>
    <row r="11267" customFormat="false" ht="15" hidden="false" customHeight="true" outlineLevel="0" collapsed="false">
      <c r="A11267" s="6" t="s">
        <v>13879</v>
      </c>
      <c r="B11267" s="6" t="s">
        <v>2275</v>
      </c>
      <c r="C11267" s="6" t="s">
        <v>116</v>
      </c>
      <c r="D11267" s="13" t="n">
        <v>44788</v>
      </c>
      <c r="E11267" s="14" t="n">
        <v>1213.32</v>
      </c>
      <c r="F11267" s="14" t="n">
        <v>6693.68</v>
      </c>
      <c r="G11267" s="6" t="s">
        <v>2623</v>
      </c>
    </row>
    <row r="11268" customFormat="false" ht="15" hidden="false" customHeight="true" outlineLevel="0" collapsed="false">
      <c r="A11268" s="6" t="s">
        <v>13880</v>
      </c>
      <c r="B11268" s="6" t="s">
        <v>2275</v>
      </c>
      <c r="C11268" s="6" t="s">
        <v>116</v>
      </c>
      <c r="D11268" s="13" t="n">
        <v>44795</v>
      </c>
      <c r="E11268" s="14" t="n">
        <v>1107.32</v>
      </c>
      <c r="F11268" s="14" t="n">
        <v>7801</v>
      </c>
      <c r="G11268" s="6" t="s">
        <v>2613</v>
      </c>
    </row>
    <row r="11269" customFormat="false" ht="15" hidden="false" customHeight="true" outlineLevel="0" collapsed="false">
      <c r="A11269" s="6" t="s">
        <v>13881</v>
      </c>
      <c r="B11269" s="6" t="s">
        <v>2275</v>
      </c>
      <c r="C11269" s="6" t="s">
        <v>116</v>
      </c>
      <c r="D11269" s="13" t="n">
        <v>44802</v>
      </c>
      <c r="E11269" s="14" t="n">
        <v>687.24</v>
      </c>
      <c r="F11269" s="14" t="n">
        <v>8488.24</v>
      </c>
      <c r="G11269" s="6" t="s">
        <v>2613</v>
      </c>
    </row>
    <row r="11270" customFormat="false" ht="15" hidden="false" customHeight="true" outlineLevel="0" collapsed="false">
      <c r="A11270" s="6" t="s">
        <v>13882</v>
      </c>
      <c r="B11270" s="6" t="s">
        <v>2275</v>
      </c>
      <c r="C11270" s="6" t="s">
        <v>116</v>
      </c>
      <c r="D11270" s="13" t="n">
        <v>44809</v>
      </c>
      <c r="E11270" s="14" t="n">
        <v>1127.77</v>
      </c>
      <c r="F11270" s="14" t="n">
        <v>9616.01</v>
      </c>
      <c r="G11270" s="6" t="s">
        <v>2613</v>
      </c>
    </row>
    <row r="11271" customFormat="false" ht="15" hidden="false" customHeight="true" outlineLevel="0" collapsed="false">
      <c r="A11271" s="6" t="s">
        <v>13883</v>
      </c>
      <c r="B11271" s="6" t="s">
        <v>2275</v>
      </c>
      <c r="C11271" s="6" t="s">
        <v>116</v>
      </c>
      <c r="D11271" s="13" t="n">
        <v>44816</v>
      </c>
      <c r="E11271" s="14" t="n">
        <v>1342.2</v>
      </c>
      <c r="F11271" s="14" t="n">
        <v>10958.21</v>
      </c>
      <c r="G11271" s="6" t="s">
        <v>2613</v>
      </c>
    </row>
    <row r="11272" customFormat="false" ht="15" hidden="false" customHeight="true" outlineLevel="0" collapsed="false">
      <c r="A11272" s="6" t="s">
        <v>13884</v>
      </c>
      <c r="B11272" s="6" t="s">
        <v>2275</v>
      </c>
      <c r="C11272" s="6" t="s">
        <v>116</v>
      </c>
      <c r="D11272" s="13" t="n">
        <v>44823</v>
      </c>
      <c r="E11272" s="14" t="n">
        <v>911.83</v>
      </c>
      <c r="F11272" s="14" t="n">
        <v>11870.04</v>
      </c>
      <c r="G11272" s="6" t="s">
        <v>2613</v>
      </c>
    </row>
    <row r="11273" customFormat="false" ht="15" hidden="false" customHeight="true" outlineLevel="0" collapsed="false">
      <c r="A11273" s="6" t="s">
        <v>13885</v>
      </c>
      <c r="B11273" s="6" t="s">
        <v>2275</v>
      </c>
      <c r="C11273" s="6" t="s">
        <v>116</v>
      </c>
      <c r="D11273" s="13" t="n">
        <v>44830</v>
      </c>
      <c r="E11273" s="14" t="n">
        <v>878.63</v>
      </c>
      <c r="F11273" s="14" t="n">
        <v>12748.67</v>
      </c>
      <c r="G11273" s="6" t="s">
        <v>2613</v>
      </c>
    </row>
    <row r="11274" customFormat="false" ht="15" hidden="false" customHeight="true" outlineLevel="0" collapsed="false">
      <c r="A11274" s="6" t="s">
        <v>13886</v>
      </c>
      <c r="B11274" s="6" t="s">
        <v>2275</v>
      </c>
      <c r="C11274" s="6" t="s">
        <v>116</v>
      </c>
      <c r="D11274" s="13" t="n">
        <v>44837</v>
      </c>
      <c r="E11274" s="14" t="n">
        <v>1141.83</v>
      </c>
      <c r="F11274" s="14" t="n">
        <v>13890.5</v>
      </c>
      <c r="G11274" s="6" t="s">
        <v>2613</v>
      </c>
    </row>
    <row r="11275" customFormat="false" ht="15" hidden="false" customHeight="true" outlineLevel="0" collapsed="false">
      <c r="A11275" s="6" t="s">
        <v>13887</v>
      </c>
      <c r="B11275" s="6" t="s">
        <v>2275</v>
      </c>
      <c r="C11275" s="6" t="s">
        <v>116</v>
      </c>
      <c r="D11275" s="13" t="n">
        <v>44844</v>
      </c>
      <c r="E11275" s="14" t="n">
        <v>826.82</v>
      </c>
      <c r="F11275" s="14" t="n">
        <v>14717.32</v>
      </c>
      <c r="G11275" s="6" t="s">
        <v>2613</v>
      </c>
    </row>
    <row r="11276" customFormat="false" ht="15" hidden="false" customHeight="true" outlineLevel="0" collapsed="false">
      <c r="A11276" s="6" t="s">
        <v>13888</v>
      </c>
      <c r="B11276" s="6" t="s">
        <v>2275</v>
      </c>
      <c r="C11276" s="6" t="s">
        <v>116</v>
      </c>
      <c r="D11276" s="13" t="n">
        <v>44851</v>
      </c>
      <c r="E11276" s="14" t="n">
        <v>634.33</v>
      </c>
      <c r="F11276" s="14" t="n">
        <v>15351.65</v>
      </c>
      <c r="G11276" s="6" t="s">
        <v>2613</v>
      </c>
    </row>
    <row r="11277" customFormat="false" ht="15" hidden="false" customHeight="true" outlineLevel="0" collapsed="false">
      <c r="A11277" s="6" t="s">
        <v>13889</v>
      </c>
      <c r="B11277" s="6" t="s">
        <v>2275</v>
      </c>
      <c r="C11277" s="6" t="s">
        <v>116</v>
      </c>
      <c r="D11277" s="13" t="n">
        <v>44858</v>
      </c>
      <c r="E11277" s="14" t="n">
        <v>1312.64</v>
      </c>
      <c r="F11277" s="14" t="n">
        <v>16664.29</v>
      </c>
      <c r="G11277" s="6" t="s">
        <v>2613</v>
      </c>
    </row>
    <row r="11278" customFormat="false" ht="15" hidden="false" customHeight="true" outlineLevel="0" collapsed="false">
      <c r="A11278" s="6" t="s">
        <v>13890</v>
      </c>
      <c r="B11278" s="6" t="s">
        <v>2275</v>
      </c>
      <c r="C11278" s="6" t="s">
        <v>116</v>
      </c>
      <c r="D11278" s="13" t="n">
        <v>44865</v>
      </c>
      <c r="E11278" s="14" t="n">
        <v>1079.83</v>
      </c>
      <c r="F11278" s="14" t="n">
        <v>17744.12</v>
      </c>
      <c r="G11278" s="6" t="s">
        <v>2613</v>
      </c>
    </row>
    <row r="11279" customFormat="false" ht="15" hidden="false" customHeight="true" outlineLevel="0" collapsed="false">
      <c r="A11279" s="6" t="s">
        <v>13891</v>
      </c>
      <c r="B11279" s="6" t="s">
        <v>2275</v>
      </c>
      <c r="C11279" s="6" t="s">
        <v>116</v>
      </c>
      <c r="D11279" s="13" t="n">
        <v>44872</v>
      </c>
      <c r="E11279" s="14" t="n">
        <v>1211.52</v>
      </c>
      <c r="F11279" s="14" t="n">
        <v>18955.64</v>
      </c>
      <c r="G11279" s="6" t="s">
        <v>2613</v>
      </c>
    </row>
    <row r="11280" customFormat="false" ht="15" hidden="false" customHeight="true" outlineLevel="0" collapsed="false">
      <c r="A11280" s="6" t="s">
        <v>13892</v>
      </c>
      <c r="B11280" s="6" t="s">
        <v>2275</v>
      </c>
      <c r="C11280" s="6" t="s">
        <v>116</v>
      </c>
      <c r="D11280" s="13" t="n">
        <v>44879</v>
      </c>
      <c r="E11280" s="14" t="n">
        <v>747.77</v>
      </c>
      <c r="F11280" s="14" t="n">
        <v>19703.41</v>
      </c>
      <c r="G11280" s="6" t="s">
        <v>2613</v>
      </c>
    </row>
    <row r="11281" customFormat="false" ht="15" hidden="false" customHeight="true" outlineLevel="0" collapsed="false">
      <c r="A11281" s="6" t="s">
        <v>13893</v>
      </c>
      <c r="B11281" s="6" t="s">
        <v>2275</v>
      </c>
      <c r="C11281" s="6" t="s">
        <v>116</v>
      </c>
      <c r="D11281" s="13" t="n">
        <v>44886</v>
      </c>
      <c r="E11281" s="14" t="n">
        <v>803.65</v>
      </c>
      <c r="F11281" s="14" t="n">
        <v>20507.06</v>
      </c>
      <c r="G11281" s="6" t="s">
        <v>2613</v>
      </c>
    </row>
    <row r="11282" customFormat="false" ht="15" hidden="false" customHeight="true" outlineLevel="0" collapsed="false">
      <c r="A11282" s="6" t="s">
        <v>13894</v>
      </c>
      <c r="B11282" s="6" t="s">
        <v>2275</v>
      </c>
      <c r="C11282" s="6" t="s">
        <v>116</v>
      </c>
      <c r="D11282" s="13" t="n">
        <v>44893</v>
      </c>
      <c r="E11282" s="14" t="n">
        <v>729.66</v>
      </c>
      <c r="F11282" s="14" t="n">
        <v>21236.72</v>
      </c>
      <c r="G11282" s="6" t="s">
        <v>2613</v>
      </c>
    </row>
    <row r="11283" customFormat="false" ht="15" hidden="false" customHeight="true" outlineLevel="0" collapsed="false">
      <c r="A11283" s="6" t="s">
        <v>13895</v>
      </c>
      <c r="B11283" s="6" t="s">
        <v>2275</v>
      </c>
      <c r="C11283" s="6" t="s">
        <v>116</v>
      </c>
      <c r="D11283" s="13" t="n">
        <v>44900</v>
      </c>
      <c r="E11283" s="14" t="n">
        <v>975.49</v>
      </c>
      <c r="F11283" s="14" t="n">
        <v>22212.21</v>
      </c>
      <c r="G11283" s="6" t="s">
        <v>2613</v>
      </c>
    </row>
    <row r="11284" customFormat="false" ht="15" hidden="false" customHeight="true" outlineLevel="0" collapsed="false">
      <c r="A11284" s="6" t="s">
        <v>13896</v>
      </c>
      <c r="B11284" s="6" t="s">
        <v>2277</v>
      </c>
      <c r="C11284" s="6" t="s">
        <v>124</v>
      </c>
      <c r="D11284" s="13" t="n">
        <v>44910</v>
      </c>
      <c r="E11284" s="14" t="n">
        <v>2674.15</v>
      </c>
      <c r="F11284" s="14" t="n">
        <v>2674.15</v>
      </c>
      <c r="G11284" s="6" t="s">
        <v>2613</v>
      </c>
    </row>
    <row r="11285" customFormat="false" ht="15" hidden="false" customHeight="true" outlineLevel="0" collapsed="false">
      <c r="A11285" s="6" t="s">
        <v>13897</v>
      </c>
      <c r="B11285" s="6" t="s">
        <v>2277</v>
      </c>
      <c r="C11285" s="6" t="s">
        <v>124</v>
      </c>
      <c r="D11285" s="13" t="n">
        <v>44917</v>
      </c>
      <c r="E11285" s="14" t="n">
        <v>2020.61</v>
      </c>
      <c r="F11285" s="14" t="n">
        <v>4694.76</v>
      </c>
      <c r="G11285" s="6" t="s">
        <v>2613</v>
      </c>
    </row>
    <row r="11286" customFormat="false" ht="15" hidden="false" customHeight="true" outlineLevel="0" collapsed="false">
      <c r="A11286" s="6" t="s">
        <v>13898</v>
      </c>
      <c r="B11286" s="6" t="s">
        <v>2277</v>
      </c>
      <c r="C11286" s="6" t="s">
        <v>124</v>
      </c>
      <c r="D11286" s="13" t="n">
        <v>44924</v>
      </c>
      <c r="E11286" s="14" t="n">
        <v>2367.87</v>
      </c>
      <c r="F11286" s="14" t="n">
        <v>7062.63</v>
      </c>
      <c r="G11286" s="6" t="s">
        <v>2613</v>
      </c>
    </row>
    <row r="11287" customFormat="false" ht="15" hidden="false" customHeight="true" outlineLevel="0" collapsed="false">
      <c r="A11287" s="6" t="s">
        <v>13899</v>
      </c>
      <c r="B11287" s="6" t="s">
        <v>2277</v>
      </c>
      <c r="C11287" s="6" t="s">
        <v>124</v>
      </c>
      <c r="D11287" s="13" t="n">
        <v>44931</v>
      </c>
      <c r="E11287" s="14" t="n">
        <v>2082.93</v>
      </c>
      <c r="F11287" s="14" t="n">
        <v>9145.56</v>
      </c>
      <c r="G11287" s="6" t="s">
        <v>2613</v>
      </c>
    </row>
    <row r="11288" customFormat="false" ht="15" hidden="false" customHeight="true" outlineLevel="0" collapsed="false">
      <c r="A11288" s="6" t="s">
        <v>13900</v>
      </c>
      <c r="B11288" s="6" t="s">
        <v>2277</v>
      </c>
      <c r="C11288" s="6" t="s">
        <v>124</v>
      </c>
      <c r="D11288" s="13" t="n">
        <v>44938</v>
      </c>
      <c r="E11288" s="14" t="n">
        <v>3066.43</v>
      </c>
      <c r="F11288" s="14" t="n">
        <v>12211.99</v>
      </c>
      <c r="G11288" s="6" t="s">
        <v>2623</v>
      </c>
    </row>
    <row r="11289" customFormat="false" ht="15" hidden="false" customHeight="true" outlineLevel="0" collapsed="false">
      <c r="A11289" s="6" t="s">
        <v>13901</v>
      </c>
      <c r="B11289" s="6" t="s">
        <v>2277</v>
      </c>
      <c r="C11289" s="6" t="s">
        <v>124</v>
      </c>
      <c r="D11289" s="13" t="n">
        <v>44945</v>
      </c>
      <c r="E11289" s="14" t="n">
        <v>2891.99</v>
      </c>
      <c r="F11289" s="14" t="n">
        <v>15103.98</v>
      </c>
      <c r="G11289" s="6" t="s">
        <v>2613</v>
      </c>
    </row>
    <row r="11290" customFormat="false" ht="15" hidden="false" customHeight="true" outlineLevel="0" collapsed="false">
      <c r="A11290" s="6" t="s">
        <v>13902</v>
      </c>
      <c r="B11290" s="6" t="s">
        <v>2277</v>
      </c>
      <c r="C11290" s="6" t="s">
        <v>124</v>
      </c>
      <c r="D11290" s="13" t="n">
        <v>44952</v>
      </c>
      <c r="E11290" s="14" t="n">
        <v>3876.92</v>
      </c>
      <c r="F11290" s="14" t="n">
        <v>18980.9</v>
      </c>
      <c r="G11290" s="6" t="s">
        <v>2613</v>
      </c>
    </row>
    <row r="11291" customFormat="false" ht="15" hidden="false" customHeight="true" outlineLevel="0" collapsed="false">
      <c r="A11291" s="6" t="s">
        <v>13903</v>
      </c>
      <c r="B11291" s="6" t="s">
        <v>2277</v>
      </c>
      <c r="C11291" s="6" t="s">
        <v>124</v>
      </c>
      <c r="D11291" s="13" t="n">
        <v>44959</v>
      </c>
      <c r="E11291" s="14" t="n">
        <v>3269.89</v>
      </c>
      <c r="F11291" s="14" t="n">
        <v>22250.79</v>
      </c>
      <c r="G11291" s="6" t="s">
        <v>2613</v>
      </c>
    </row>
    <row r="11292" customFormat="false" ht="15" hidden="false" customHeight="true" outlineLevel="0" collapsed="false">
      <c r="A11292" s="6" t="s">
        <v>13904</v>
      </c>
      <c r="B11292" s="6" t="s">
        <v>2277</v>
      </c>
      <c r="C11292" s="6" t="s">
        <v>124</v>
      </c>
      <c r="D11292" s="13" t="n">
        <v>44966</v>
      </c>
      <c r="E11292" s="14" t="n">
        <v>3730.87</v>
      </c>
      <c r="F11292" s="14" t="n">
        <v>25981.66</v>
      </c>
      <c r="G11292" s="6" t="s">
        <v>2613</v>
      </c>
    </row>
    <row r="11293" customFormat="false" ht="15" hidden="false" customHeight="true" outlineLevel="0" collapsed="false">
      <c r="A11293" s="6" t="s">
        <v>13905</v>
      </c>
      <c r="B11293" s="6" t="s">
        <v>2277</v>
      </c>
      <c r="C11293" s="6" t="s">
        <v>124</v>
      </c>
      <c r="D11293" s="13" t="n">
        <v>44973</v>
      </c>
      <c r="E11293" s="14" t="n">
        <v>3186.54</v>
      </c>
      <c r="F11293" s="14" t="n">
        <v>29168.2</v>
      </c>
      <c r="G11293" s="6" t="s">
        <v>2613</v>
      </c>
    </row>
    <row r="11294" customFormat="false" ht="15" hidden="false" customHeight="true" outlineLevel="0" collapsed="false">
      <c r="A11294" s="6" t="s">
        <v>13906</v>
      </c>
      <c r="B11294" s="6" t="s">
        <v>2277</v>
      </c>
      <c r="C11294" s="6" t="s">
        <v>124</v>
      </c>
      <c r="D11294" s="13" t="n">
        <v>44980</v>
      </c>
      <c r="E11294" s="14" t="n">
        <v>3684.62</v>
      </c>
      <c r="F11294" s="14" t="n">
        <v>32852.82</v>
      </c>
      <c r="G11294" s="6" t="s">
        <v>2613</v>
      </c>
    </row>
    <row r="11295" customFormat="false" ht="15" hidden="false" customHeight="true" outlineLevel="0" collapsed="false">
      <c r="A11295" s="6" t="s">
        <v>13907</v>
      </c>
      <c r="B11295" s="6" t="s">
        <v>2277</v>
      </c>
      <c r="C11295" s="6" t="s">
        <v>124</v>
      </c>
      <c r="D11295" s="13" t="n">
        <v>44987</v>
      </c>
      <c r="E11295" s="14" t="n">
        <v>1970.04</v>
      </c>
      <c r="F11295" s="14" t="n">
        <v>34822.86</v>
      </c>
      <c r="G11295" s="6" t="s">
        <v>2613</v>
      </c>
    </row>
    <row r="11296" customFormat="false" ht="15" hidden="false" customHeight="true" outlineLevel="0" collapsed="false">
      <c r="A11296" s="6" t="s">
        <v>13908</v>
      </c>
      <c r="B11296" s="6" t="s">
        <v>2277</v>
      </c>
      <c r="C11296" s="6" t="s">
        <v>124</v>
      </c>
      <c r="D11296" s="13" t="n">
        <v>44994</v>
      </c>
      <c r="E11296" s="14" t="n">
        <v>4188.37</v>
      </c>
      <c r="F11296" s="14" t="n">
        <v>39011.23</v>
      </c>
      <c r="G11296" s="6" t="s">
        <v>2613</v>
      </c>
    </row>
    <row r="11297" customFormat="false" ht="15" hidden="false" customHeight="true" outlineLevel="0" collapsed="false">
      <c r="A11297" s="6" t="s">
        <v>13909</v>
      </c>
      <c r="B11297" s="6" t="s">
        <v>2277</v>
      </c>
      <c r="C11297" s="6" t="s">
        <v>124</v>
      </c>
      <c r="D11297" s="13" t="n">
        <v>45001</v>
      </c>
      <c r="E11297" s="14" t="n">
        <v>2604.37</v>
      </c>
      <c r="F11297" s="14" t="n">
        <v>41615.6</v>
      </c>
      <c r="G11297" s="6" t="s">
        <v>2613</v>
      </c>
    </row>
    <row r="11298" customFormat="false" ht="15" hidden="false" customHeight="true" outlineLevel="0" collapsed="false">
      <c r="A11298" s="6" t="s">
        <v>13910</v>
      </c>
      <c r="B11298" s="6" t="s">
        <v>2277</v>
      </c>
      <c r="C11298" s="6" t="s">
        <v>124</v>
      </c>
      <c r="D11298" s="13" t="n">
        <v>45008</v>
      </c>
      <c r="E11298" s="14" t="n">
        <v>1907.75</v>
      </c>
      <c r="F11298" s="14" t="n">
        <v>43523.35</v>
      </c>
      <c r="G11298" s="6" t="s">
        <v>2613</v>
      </c>
    </row>
    <row r="11299" customFormat="false" ht="15" hidden="false" customHeight="true" outlineLevel="0" collapsed="false">
      <c r="A11299" s="6" t="s">
        <v>13911</v>
      </c>
      <c r="B11299" s="6" t="s">
        <v>2277</v>
      </c>
      <c r="C11299" s="6" t="s">
        <v>124</v>
      </c>
      <c r="D11299" s="13" t="n">
        <v>45015</v>
      </c>
      <c r="E11299" s="14" t="n">
        <v>5175.08</v>
      </c>
      <c r="F11299" s="14" t="n">
        <v>48698.43</v>
      </c>
      <c r="G11299" s="6" t="s">
        <v>2613</v>
      </c>
    </row>
    <row r="11300" customFormat="false" ht="15" hidden="false" customHeight="true" outlineLevel="0" collapsed="false">
      <c r="A11300" s="6" t="s">
        <v>13912</v>
      </c>
      <c r="B11300" s="6" t="s">
        <v>2279</v>
      </c>
      <c r="C11300" s="6" t="s">
        <v>116</v>
      </c>
      <c r="D11300" s="13" t="n">
        <v>45535</v>
      </c>
      <c r="E11300" s="14" t="n">
        <v>1757.83</v>
      </c>
      <c r="F11300" s="14" t="n">
        <v>1757.83</v>
      </c>
      <c r="G11300" s="6" t="s">
        <v>2613</v>
      </c>
    </row>
    <row r="11301" customFormat="false" ht="15" hidden="false" customHeight="true" outlineLevel="0" collapsed="false">
      <c r="A11301" s="6" t="s">
        <v>13913</v>
      </c>
      <c r="B11301" s="6" t="s">
        <v>2279</v>
      </c>
      <c r="C11301" s="6" t="s">
        <v>116</v>
      </c>
      <c r="D11301" s="13" t="n">
        <v>45542</v>
      </c>
      <c r="E11301" s="14" t="n">
        <v>1989.85</v>
      </c>
      <c r="F11301" s="14" t="n">
        <v>3747.68</v>
      </c>
      <c r="G11301" s="6" t="s">
        <v>2613</v>
      </c>
    </row>
    <row r="11302" customFormat="false" ht="15" hidden="false" customHeight="true" outlineLevel="0" collapsed="false">
      <c r="A11302" s="6" t="s">
        <v>13914</v>
      </c>
      <c r="B11302" s="6" t="s">
        <v>2279</v>
      </c>
      <c r="C11302" s="6" t="s">
        <v>116</v>
      </c>
      <c r="D11302" s="13" t="n">
        <v>45549</v>
      </c>
      <c r="E11302" s="14" t="n">
        <v>1890.86</v>
      </c>
      <c r="F11302" s="14" t="n">
        <v>5638.54</v>
      </c>
      <c r="G11302" s="6" t="s">
        <v>2613</v>
      </c>
    </row>
    <row r="11303" customFormat="false" ht="15" hidden="false" customHeight="true" outlineLevel="0" collapsed="false">
      <c r="A11303" s="6" t="s">
        <v>13915</v>
      </c>
      <c r="B11303" s="6" t="s">
        <v>2279</v>
      </c>
      <c r="C11303" s="6" t="s">
        <v>116</v>
      </c>
      <c r="D11303" s="13" t="n">
        <v>45556</v>
      </c>
      <c r="E11303" s="14" t="n">
        <v>1906.13</v>
      </c>
      <c r="F11303" s="14" t="n">
        <v>7544.67</v>
      </c>
      <c r="G11303" s="6" t="s">
        <v>2613</v>
      </c>
    </row>
    <row r="11304" customFormat="false" ht="15" hidden="false" customHeight="true" outlineLevel="0" collapsed="false">
      <c r="A11304" s="6" t="s">
        <v>13916</v>
      </c>
      <c r="B11304" s="6" t="s">
        <v>2279</v>
      </c>
      <c r="C11304" s="6" t="s">
        <v>116</v>
      </c>
      <c r="D11304" s="13" t="n">
        <v>45563</v>
      </c>
      <c r="E11304" s="14" t="n">
        <v>2688.34</v>
      </c>
      <c r="F11304" s="14" t="n">
        <v>10233.01</v>
      </c>
      <c r="G11304" s="6" t="s">
        <v>2613</v>
      </c>
    </row>
    <row r="11305" customFormat="false" ht="15" hidden="false" customHeight="true" outlineLevel="0" collapsed="false">
      <c r="A11305" s="6" t="s">
        <v>13917</v>
      </c>
      <c r="B11305" s="6" t="s">
        <v>2281</v>
      </c>
      <c r="C11305" s="6" t="s">
        <v>112</v>
      </c>
      <c r="D11305" s="13" t="n">
        <v>45630</v>
      </c>
      <c r="E11305" s="14" t="n">
        <v>2135.81</v>
      </c>
      <c r="F11305" s="14" t="n">
        <v>2135.81</v>
      </c>
      <c r="G11305" s="6" t="s">
        <v>2613</v>
      </c>
    </row>
    <row r="11306" customFormat="false" ht="15" hidden="false" customHeight="true" outlineLevel="0" collapsed="false">
      <c r="A11306" s="6" t="s">
        <v>13918</v>
      </c>
      <c r="B11306" s="6" t="s">
        <v>2281</v>
      </c>
      <c r="C11306" s="6" t="s">
        <v>112</v>
      </c>
      <c r="D11306" s="13" t="n">
        <v>45637</v>
      </c>
      <c r="E11306" s="14" t="n">
        <v>2795.68</v>
      </c>
      <c r="F11306" s="14" t="n">
        <v>4931.49</v>
      </c>
      <c r="G11306" s="6" t="s">
        <v>2613</v>
      </c>
    </row>
    <row r="11307" customFormat="false" ht="15" hidden="false" customHeight="true" outlineLevel="0" collapsed="false">
      <c r="A11307" s="6" t="s">
        <v>13919</v>
      </c>
      <c r="B11307" s="6" t="s">
        <v>2281</v>
      </c>
      <c r="C11307" s="6" t="s">
        <v>112</v>
      </c>
      <c r="D11307" s="13" t="n">
        <v>45644</v>
      </c>
      <c r="E11307" s="14" t="n">
        <v>2633.97</v>
      </c>
      <c r="F11307" s="14" t="n">
        <v>7565.46</v>
      </c>
      <c r="G11307" s="6" t="s">
        <v>2623</v>
      </c>
    </row>
    <row r="11308" customFormat="false" ht="15" hidden="false" customHeight="true" outlineLevel="0" collapsed="false">
      <c r="A11308" s="6" t="s">
        <v>13920</v>
      </c>
      <c r="B11308" s="6" t="s">
        <v>2281</v>
      </c>
      <c r="C11308" s="6" t="s">
        <v>112</v>
      </c>
      <c r="D11308" s="13" t="n">
        <v>45651</v>
      </c>
      <c r="E11308" s="14" t="n">
        <v>1716.59</v>
      </c>
      <c r="F11308" s="14" t="n">
        <v>9282.05</v>
      </c>
      <c r="G11308" s="6" t="s">
        <v>2613</v>
      </c>
    </row>
    <row r="11309" customFormat="false" ht="15" hidden="false" customHeight="true" outlineLevel="0" collapsed="false">
      <c r="A11309" s="6" t="s">
        <v>13921</v>
      </c>
      <c r="B11309" s="6" t="s">
        <v>2281</v>
      </c>
      <c r="C11309" s="6" t="s">
        <v>112</v>
      </c>
      <c r="D11309" s="13" t="n">
        <v>45658</v>
      </c>
      <c r="E11309" s="14" t="n">
        <v>3379.99</v>
      </c>
      <c r="F11309" s="14" t="n">
        <v>12662.04</v>
      </c>
      <c r="G11309" s="6" t="s">
        <v>2613</v>
      </c>
    </row>
    <row r="11310" customFormat="false" ht="15" hidden="false" customHeight="true" outlineLevel="0" collapsed="false">
      <c r="A11310" s="6" t="s">
        <v>13922</v>
      </c>
      <c r="B11310" s="6" t="s">
        <v>2281</v>
      </c>
      <c r="C11310" s="6" t="s">
        <v>112</v>
      </c>
      <c r="D11310" s="13" t="n">
        <v>45665</v>
      </c>
      <c r="E11310" s="14" t="n">
        <v>1697.73</v>
      </c>
      <c r="F11310" s="14" t="n">
        <v>14359.77</v>
      </c>
      <c r="G11310" s="6" t="s">
        <v>2613</v>
      </c>
    </row>
    <row r="11311" customFormat="false" ht="15" hidden="false" customHeight="true" outlineLevel="0" collapsed="false">
      <c r="A11311" s="6" t="s">
        <v>13923</v>
      </c>
      <c r="B11311" s="6" t="s">
        <v>2281</v>
      </c>
      <c r="C11311" s="6" t="s">
        <v>112</v>
      </c>
      <c r="D11311" s="13" t="n">
        <v>45672</v>
      </c>
      <c r="E11311" s="14" t="n">
        <v>2957.13</v>
      </c>
      <c r="F11311" s="14" t="n">
        <v>17316.9</v>
      </c>
      <c r="G11311" s="6" t="s">
        <v>2613</v>
      </c>
    </row>
    <row r="11312" customFormat="false" ht="15" hidden="false" customHeight="true" outlineLevel="0" collapsed="false">
      <c r="A11312" s="6" t="s">
        <v>13924</v>
      </c>
      <c r="B11312" s="6" t="s">
        <v>2281</v>
      </c>
      <c r="C11312" s="6" t="s">
        <v>112</v>
      </c>
      <c r="D11312" s="13" t="n">
        <v>45679</v>
      </c>
      <c r="E11312" s="14" t="n">
        <v>1989.56</v>
      </c>
      <c r="F11312" s="14" t="n">
        <v>19306.46</v>
      </c>
      <c r="G11312" s="6" t="s">
        <v>2613</v>
      </c>
    </row>
    <row r="11313" customFormat="false" ht="15" hidden="false" customHeight="true" outlineLevel="0" collapsed="false">
      <c r="A11313" s="6" t="s">
        <v>13925</v>
      </c>
      <c r="B11313" s="6" t="s">
        <v>2281</v>
      </c>
      <c r="C11313" s="6" t="s">
        <v>112</v>
      </c>
      <c r="D11313" s="13" t="n">
        <v>45686</v>
      </c>
      <c r="E11313" s="14" t="n">
        <v>3213.45</v>
      </c>
      <c r="F11313" s="14" t="n">
        <v>22519.91</v>
      </c>
      <c r="G11313" s="6" t="s">
        <v>2623</v>
      </c>
    </row>
    <row r="11314" customFormat="false" ht="15" hidden="false" customHeight="true" outlineLevel="0" collapsed="false">
      <c r="A11314" s="6" t="s">
        <v>13926</v>
      </c>
      <c r="B11314" s="6" t="s">
        <v>2281</v>
      </c>
      <c r="C11314" s="6" t="s">
        <v>112</v>
      </c>
      <c r="D11314" s="13" t="n">
        <v>45693</v>
      </c>
      <c r="E11314" s="14" t="n">
        <v>2408.09</v>
      </c>
      <c r="F11314" s="14" t="n">
        <v>24928</v>
      </c>
      <c r="G11314" s="6" t="s">
        <v>2613</v>
      </c>
    </row>
    <row r="11315" customFormat="false" ht="15" hidden="false" customHeight="true" outlineLevel="0" collapsed="false">
      <c r="A11315" s="6" t="s">
        <v>13927</v>
      </c>
      <c r="B11315" s="6" t="s">
        <v>2281</v>
      </c>
      <c r="C11315" s="6" t="s">
        <v>112</v>
      </c>
      <c r="D11315" s="13" t="n">
        <v>45700</v>
      </c>
      <c r="E11315" s="14" t="n">
        <v>2329.5</v>
      </c>
      <c r="F11315" s="14" t="n">
        <v>27257.5</v>
      </c>
      <c r="G11315" s="6" t="s">
        <v>2613</v>
      </c>
    </row>
    <row r="11316" customFormat="false" ht="15" hidden="false" customHeight="true" outlineLevel="0" collapsed="false">
      <c r="A11316" s="6" t="s">
        <v>13928</v>
      </c>
      <c r="B11316" s="6" t="s">
        <v>2281</v>
      </c>
      <c r="C11316" s="6" t="s">
        <v>112</v>
      </c>
      <c r="D11316" s="13" t="n">
        <v>45707</v>
      </c>
      <c r="E11316" s="14" t="n">
        <v>2596.12</v>
      </c>
      <c r="F11316" s="14" t="n">
        <v>29853.62</v>
      </c>
      <c r="G11316" s="6" t="s">
        <v>2613</v>
      </c>
    </row>
    <row r="11317" customFormat="false" ht="15" hidden="false" customHeight="true" outlineLevel="0" collapsed="false">
      <c r="A11317" s="6" t="s">
        <v>13929</v>
      </c>
      <c r="B11317" s="6" t="s">
        <v>2283</v>
      </c>
      <c r="C11317" s="6" t="s">
        <v>112</v>
      </c>
      <c r="D11317" s="13" t="n">
        <v>46007</v>
      </c>
      <c r="E11317" s="14" t="n">
        <v>213.95</v>
      </c>
      <c r="F11317" s="14" t="n">
        <v>213.95</v>
      </c>
      <c r="G11317" s="6" t="s">
        <v>2613</v>
      </c>
    </row>
    <row r="11318" customFormat="false" ht="15" hidden="false" customHeight="true" outlineLevel="0" collapsed="false">
      <c r="A11318" s="6" t="s">
        <v>13930</v>
      </c>
      <c r="B11318" s="6" t="s">
        <v>2283</v>
      </c>
      <c r="C11318" s="6" t="s">
        <v>112</v>
      </c>
      <c r="D11318" s="13" t="n">
        <v>46014</v>
      </c>
      <c r="E11318" s="14" t="n">
        <v>160.28</v>
      </c>
      <c r="F11318" s="14" t="n">
        <v>374.23</v>
      </c>
      <c r="G11318" s="6" t="s">
        <v>2613</v>
      </c>
    </row>
    <row r="11319" customFormat="false" ht="15" hidden="false" customHeight="true" outlineLevel="0" collapsed="false">
      <c r="A11319" s="6" t="s">
        <v>13931</v>
      </c>
      <c r="B11319" s="6" t="s">
        <v>2283</v>
      </c>
      <c r="C11319" s="6" t="s">
        <v>112</v>
      </c>
      <c r="D11319" s="13" t="n">
        <v>46021</v>
      </c>
      <c r="E11319" s="14" t="n">
        <v>209.79</v>
      </c>
      <c r="F11319" s="14" t="n">
        <v>584.02</v>
      </c>
      <c r="G11319" s="6" t="s">
        <v>2613</v>
      </c>
    </row>
    <row r="11320" customFormat="false" ht="15" hidden="false" customHeight="true" outlineLevel="0" collapsed="false">
      <c r="A11320" s="6" t="s">
        <v>13932</v>
      </c>
      <c r="B11320" s="6" t="s">
        <v>2283</v>
      </c>
      <c r="C11320" s="6" t="s">
        <v>112</v>
      </c>
      <c r="D11320" s="13" t="n">
        <v>46028</v>
      </c>
      <c r="E11320" s="14" t="n">
        <v>218.76</v>
      </c>
      <c r="F11320" s="14" t="n">
        <v>802.78</v>
      </c>
      <c r="G11320" s="6" t="s">
        <v>2613</v>
      </c>
    </row>
    <row r="11321" customFormat="false" ht="15" hidden="false" customHeight="true" outlineLevel="0" collapsed="false">
      <c r="A11321" s="6" t="s">
        <v>13933</v>
      </c>
      <c r="B11321" s="6" t="s">
        <v>2283</v>
      </c>
      <c r="C11321" s="6" t="s">
        <v>112</v>
      </c>
      <c r="D11321" s="13" t="n">
        <v>46035</v>
      </c>
      <c r="E11321" s="14" t="n">
        <v>198.16</v>
      </c>
      <c r="F11321" s="14" t="n">
        <v>1000.94</v>
      </c>
      <c r="G11321" s="6" t="s">
        <v>2613</v>
      </c>
    </row>
    <row r="11322" customFormat="false" ht="15" hidden="false" customHeight="true" outlineLevel="0" collapsed="false">
      <c r="A11322" s="6" t="s">
        <v>13934</v>
      </c>
      <c r="B11322" s="6" t="s">
        <v>2283</v>
      </c>
      <c r="C11322" s="6" t="s">
        <v>112</v>
      </c>
      <c r="D11322" s="13" t="n">
        <v>46042</v>
      </c>
      <c r="E11322" s="14" t="n">
        <v>258.03</v>
      </c>
      <c r="F11322" s="14" t="n">
        <v>1258.97</v>
      </c>
      <c r="G11322" s="6" t="s">
        <v>2613</v>
      </c>
    </row>
    <row r="11323" customFormat="false" ht="15" hidden="false" customHeight="true" outlineLevel="0" collapsed="false">
      <c r="A11323" s="6" t="s">
        <v>13935</v>
      </c>
      <c r="B11323" s="6" t="s">
        <v>2283</v>
      </c>
      <c r="C11323" s="6" t="s">
        <v>112</v>
      </c>
      <c r="D11323" s="13" t="n">
        <v>46049</v>
      </c>
      <c r="E11323" s="14" t="n">
        <v>210.08</v>
      </c>
      <c r="F11323" s="14" t="n">
        <v>1469.05</v>
      </c>
      <c r="G11323" s="6" t="s">
        <v>2613</v>
      </c>
    </row>
    <row r="11324" customFormat="false" ht="15" hidden="false" customHeight="true" outlineLevel="0" collapsed="false">
      <c r="A11324" s="6" t="s">
        <v>13936</v>
      </c>
      <c r="B11324" s="6" t="s">
        <v>2283</v>
      </c>
      <c r="C11324" s="6" t="s">
        <v>112</v>
      </c>
      <c r="D11324" s="13" t="n">
        <v>46056</v>
      </c>
      <c r="E11324" s="14" t="n">
        <v>221.86</v>
      </c>
      <c r="F11324" s="14" t="n">
        <v>1690.91</v>
      </c>
      <c r="G11324" s="6" t="s">
        <v>2613</v>
      </c>
    </row>
    <row r="11325" customFormat="false" ht="15" hidden="false" customHeight="true" outlineLevel="0" collapsed="false">
      <c r="A11325" s="6" t="s">
        <v>13937</v>
      </c>
      <c r="B11325" s="6" t="s">
        <v>2283</v>
      </c>
      <c r="C11325" s="6" t="s">
        <v>112</v>
      </c>
      <c r="D11325" s="13" t="n">
        <v>46063</v>
      </c>
      <c r="E11325" s="14" t="n">
        <v>214.15</v>
      </c>
      <c r="F11325" s="14" t="n">
        <v>1905.06</v>
      </c>
      <c r="G11325" s="6" t="s">
        <v>2623</v>
      </c>
    </row>
    <row r="11326" customFormat="false" ht="15" hidden="false" customHeight="true" outlineLevel="0" collapsed="false">
      <c r="A11326" s="6" t="s">
        <v>13938</v>
      </c>
      <c r="B11326" s="6" t="s">
        <v>2283</v>
      </c>
      <c r="C11326" s="6" t="s">
        <v>112</v>
      </c>
      <c r="D11326" s="13" t="n">
        <v>46070</v>
      </c>
      <c r="E11326" s="14" t="n">
        <v>165.38</v>
      </c>
      <c r="F11326" s="14" t="n">
        <v>2070.44</v>
      </c>
      <c r="G11326" s="6" t="s">
        <v>2613</v>
      </c>
    </row>
    <row r="11327" customFormat="false" ht="15" hidden="false" customHeight="true" outlineLevel="0" collapsed="false">
      <c r="A11327" s="6" t="s">
        <v>13939</v>
      </c>
      <c r="B11327" s="6" t="s">
        <v>2283</v>
      </c>
      <c r="C11327" s="6" t="s">
        <v>112</v>
      </c>
      <c r="D11327" s="13" t="n">
        <v>46077</v>
      </c>
      <c r="E11327" s="14" t="n">
        <v>324.67</v>
      </c>
      <c r="F11327" s="14" t="n">
        <v>2395.11</v>
      </c>
      <c r="G11327" s="6" t="s">
        <v>2613</v>
      </c>
    </row>
    <row r="11328" customFormat="false" ht="15" hidden="false" customHeight="true" outlineLevel="0" collapsed="false">
      <c r="A11328" s="6" t="s">
        <v>13940</v>
      </c>
      <c r="B11328" s="6" t="s">
        <v>2283</v>
      </c>
      <c r="C11328" s="6" t="s">
        <v>112</v>
      </c>
      <c r="D11328" s="13" t="n">
        <v>46084</v>
      </c>
      <c r="E11328" s="14" t="n">
        <v>320.56</v>
      </c>
      <c r="F11328" s="14" t="n">
        <v>2715.67</v>
      </c>
      <c r="G11328" s="6" t="s">
        <v>2613</v>
      </c>
    </row>
    <row r="11329" customFormat="false" ht="15" hidden="false" customHeight="true" outlineLevel="0" collapsed="false">
      <c r="A11329" s="6" t="s">
        <v>13941</v>
      </c>
      <c r="B11329" s="6" t="s">
        <v>2283</v>
      </c>
      <c r="C11329" s="6" t="s">
        <v>112</v>
      </c>
      <c r="D11329" s="13" t="n">
        <v>46091</v>
      </c>
      <c r="E11329" s="14" t="n">
        <v>277.52</v>
      </c>
      <c r="F11329" s="14" t="n">
        <v>2993.19</v>
      </c>
      <c r="G11329" s="6" t="s">
        <v>2613</v>
      </c>
    </row>
    <row r="11330" customFormat="false" ht="15" hidden="false" customHeight="true" outlineLevel="0" collapsed="false">
      <c r="A11330" s="6" t="s">
        <v>13942</v>
      </c>
      <c r="B11330" s="6" t="s">
        <v>2283</v>
      </c>
      <c r="C11330" s="6" t="s">
        <v>112</v>
      </c>
      <c r="D11330" s="13" t="n">
        <v>46098</v>
      </c>
      <c r="E11330" s="14" t="n">
        <v>257.02</v>
      </c>
      <c r="F11330" s="14" t="n">
        <v>3250.21</v>
      </c>
      <c r="G11330" s="6" t="s">
        <v>2623</v>
      </c>
    </row>
    <row r="11331" customFormat="false" ht="15" hidden="false" customHeight="true" outlineLevel="0" collapsed="false">
      <c r="A11331" s="6" t="s">
        <v>13943</v>
      </c>
      <c r="B11331" s="6" t="s">
        <v>2283</v>
      </c>
      <c r="C11331" s="6" t="s">
        <v>112</v>
      </c>
      <c r="D11331" s="13" t="n">
        <v>46105</v>
      </c>
      <c r="E11331" s="14" t="n">
        <v>277.9</v>
      </c>
      <c r="F11331" s="14" t="n">
        <v>3528.11</v>
      </c>
      <c r="G11331" s="6" t="s">
        <v>2613</v>
      </c>
    </row>
    <row r="11332" customFormat="false" ht="15" hidden="false" customHeight="true" outlineLevel="0" collapsed="false">
      <c r="A11332" s="6" t="s">
        <v>13944</v>
      </c>
      <c r="B11332" s="6" t="s">
        <v>2283</v>
      </c>
      <c r="C11332" s="6" t="s">
        <v>112</v>
      </c>
      <c r="D11332" s="13" t="n">
        <v>46112</v>
      </c>
      <c r="E11332" s="14" t="n">
        <v>342.22</v>
      </c>
      <c r="F11332" s="14" t="n">
        <v>3870.33</v>
      </c>
      <c r="G11332" s="6" t="s">
        <v>2613</v>
      </c>
    </row>
    <row r="11333" customFormat="false" ht="15" hidden="false" customHeight="true" outlineLevel="0" collapsed="false">
      <c r="A11333" s="6" t="s">
        <v>13945</v>
      </c>
      <c r="B11333" s="6" t="s">
        <v>2283</v>
      </c>
      <c r="C11333" s="6" t="s">
        <v>112</v>
      </c>
      <c r="D11333" s="13" t="n">
        <v>46119</v>
      </c>
      <c r="E11333" s="14" t="n">
        <v>297.72</v>
      </c>
      <c r="F11333" s="14" t="n">
        <v>4168.05</v>
      </c>
      <c r="G11333" s="6" t="s">
        <v>2613</v>
      </c>
    </row>
    <row r="11334" customFormat="false" ht="15" hidden="false" customHeight="true" outlineLevel="0" collapsed="false">
      <c r="A11334" s="6" t="s">
        <v>13946</v>
      </c>
      <c r="B11334" s="6" t="s">
        <v>2283</v>
      </c>
      <c r="C11334" s="6" t="s">
        <v>112</v>
      </c>
      <c r="D11334" s="13" t="n">
        <v>46126</v>
      </c>
      <c r="E11334" s="14" t="n">
        <v>242.74</v>
      </c>
      <c r="F11334" s="14" t="n">
        <v>4410.79</v>
      </c>
      <c r="G11334" s="6" t="s">
        <v>2613</v>
      </c>
    </row>
    <row r="11335" customFormat="false" ht="15" hidden="false" customHeight="true" outlineLevel="0" collapsed="false">
      <c r="A11335" s="6" t="s">
        <v>13947</v>
      </c>
      <c r="B11335" s="6" t="s">
        <v>2283</v>
      </c>
      <c r="C11335" s="6" t="s">
        <v>112</v>
      </c>
      <c r="D11335" s="13" t="n">
        <v>46133</v>
      </c>
      <c r="E11335" s="14" t="n">
        <v>282.95</v>
      </c>
      <c r="F11335" s="14" t="n">
        <v>4693.74</v>
      </c>
      <c r="G11335" s="6" t="s">
        <v>2613</v>
      </c>
    </row>
    <row r="11336" customFormat="false" ht="15" hidden="false" customHeight="true" outlineLevel="0" collapsed="false">
      <c r="A11336" s="6" t="s">
        <v>13948</v>
      </c>
      <c r="B11336" s="6" t="s">
        <v>2283</v>
      </c>
      <c r="C11336" s="6" t="s">
        <v>112</v>
      </c>
      <c r="D11336" s="13" t="n">
        <v>46140</v>
      </c>
      <c r="E11336" s="14" t="n">
        <v>227.88</v>
      </c>
      <c r="F11336" s="14" t="n">
        <v>4921.62</v>
      </c>
      <c r="G11336" s="6" t="s">
        <v>2613</v>
      </c>
    </row>
    <row r="11337" customFormat="false" ht="15" hidden="false" customHeight="true" outlineLevel="0" collapsed="false">
      <c r="A11337" s="6" t="s">
        <v>13949</v>
      </c>
      <c r="B11337" s="6" t="s">
        <v>2283</v>
      </c>
      <c r="C11337" s="6" t="s">
        <v>112</v>
      </c>
      <c r="D11337" s="13" t="n">
        <v>46147</v>
      </c>
      <c r="E11337" s="14" t="n">
        <v>335.85</v>
      </c>
      <c r="F11337" s="14" t="n">
        <v>5257.47</v>
      </c>
      <c r="G11337" s="6" t="s">
        <v>2613</v>
      </c>
    </row>
    <row r="11338" customFormat="false" ht="15" hidden="false" customHeight="true" outlineLevel="0" collapsed="false">
      <c r="A11338" s="6" t="s">
        <v>13950</v>
      </c>
      <c r="B11338" s="6" t="s">
        <v>2283</v>
      </c>
      <c r="C11338" s="6" t="s">
        <v>112</v>
      </c>
      <c r="D11338" s="13" t="n">
        <v>46154</v>
      </c>
      <c r="E11338" s="14" t="n">
        <v>241.12</v>
      </c>
      <c r="F11338" s="14" t="n">
        <v>5498.59</v>
      </c>
      <c r="G11338" s="6" t="s">
        <v>2613</v>
      </c>
    </row>
    <row r="11339" customFormat="false" ht="15" hidden="false" customHeight="true" outlineLevel="0" collapsed="false">
      <c r="A11339" s="6" t="s">
        <v>13951</v>
      </c>
      <c r="B11339" s="6" t="s">
        <v>2285</v>
      </c>
      <c r="C11339" s="6" t="s">
        <v>128</v>
      </c>
      <c r="D11339" s="13" t="n">
        <v>45140</v>
      </c>
      <c r="E11339" s="14" t="n">
        <v>4309.88</v>
      </c>
      <c r="F11339" s="14" t="n">
        <v>4309.88</v>
      </c>
      <c r="G11339" s="6" t="s">
        <v>2613</v>
      </c>
    </row>
    <row r="11340" customFormat="false" ht="15" hidden="false" customHeight="true" outlineLevel="0" collapsed="false">
      <c r="A11340" s="6" t="s">
        <v>13952</v>
      </c>
      <c r="B11340" s="6" t="s">
        <v>2285</v>
      </c>
      <c r="C11340" s="6" t="s">
        <v>128</v>
      </c>
      <c r="D11340" s="13" t="n">
        <v>45147</v>
      </c>
      <c r="E11340" s="14" t="n">
        <v>3337.52</v>
      </c>
      <c r="F11340" s="14" t="n">
        <v>7647.4</v>
      </c>
      <c r="G11340" s="6" t="s">
        <v>2623</v>
      </c>
    </row>
    <row r="11341" customFormat="false" ht="15" hidden="false" customHeight="true" outlineLevel="0" collapsed="false">
      <c r="A11341" s="6" t="s">
        <v>13953</v>
      </c>
      <c r="B11341" s="6" t="s">
        <v>2285</v>
      </c>
      <c r="C11341" s="6" t="s">
        <v>128</v>
      </c>
      <c r="D11341" s="13" t="n">
        <v>45154</v>
      </c>
      <c r="E11341" s="14" t="n">
        <v>4994.99</v>
      </c>
      <c r="F11341" s="14" t="n">
        <v>12642.39</v>
      </c>
      <c r="G11341" s="6" t="s">
        <v>2613</v>
      </c>
    </row>
    <row r="11342" customFormat="false" ht="15" hidden="false" customHeight="true" outlineLevel="0" collapsed="false">
      <c r="A11342" s="6" t="s">
        <v>13954</v>
      </c>
      <c r="B11342" s="6" t="s">
        <v>2285</v>
      </c>
      <c r="C11342" s="6" t="s">
        <v>128</v>
      </c>
      <c r="D11342" s="13" t="n">
        <v>45161</v>
      </c>
      <c r="E11342" s="14" t="n">
        <v>2504.42</v>
      </c>
      <c r="F11342" s="14" t="n">
        <v>15146.81</v>
      </c>
      <c r="G11342" s="6" t="s">
        <v>2613</v>
      </c>
    </row>
    <row r="11343" customFormat="false" ht="15" hidden="false" customHeight="true" outlineLevel="0" collapsed="false">
      <c r="A11343" s="6" t="s">
        <v>13955</v>
      </c>
      <c r="B11343" s="6" t="s">
        <v>2285</v>
      </c>
      <c r="C11343" s="6" t="s">
        <v>128</v>
      </c>
      <c r="D11343" s="13" t="n">
        <v>45168</v>
      </c>
      <c r="E11343" s="14" t="n">
        <v>2665.1</v>
      </c>
      <c r="F11343" s="14" t="n">
        <v>17811.91</v>
      </c>
      <c r="G11343" s="6" t="s">
        <v>2613</v>
      </c>
    </row>
    <row r="11344" customFormat="false" ht="15" hidden="false" customHeight="true" outlineLevel="0" collapsed="false">
      <c r="A11344" s="6" t="s">
        <v>13956</v>
      </c>
      <c r="B11344" s="6" t="s">
        <v>2285</v>
      </c>
      <c r="C11344" s="6" t="s">
        <v>128</v>
      </c>
      <c r="D11344" s="13" t="n">
        <v>45175</v>
      </c>
      <c r="E11344" s="14" t="n">
        <v>2956.8</v>
      </c>
      <c r="F11344" s="14" t="n">
        <v>20768.71</v>
      </c>
      <c r="G11344" s="6" t="s">
        <v>2613</v>
      </c>
    </row>
    <row r="11345" customFormat="false" ht="15" hidden="false" customHeight="true" outlineLevel="0" collapsed="false">
      <c r="A11345" s="6" t="s">
        <v>13957</v>
      </c>
      <c r="B11345" s="6" t="s">
        <v>2285</v>
      </c>
      <c r="C11345" s="6" t="s">
        <v>128</v>
      </c>
      <c r="D11345" s="13" t="n">
        <v>45182</v>
      </c>
      <c r="E11345" s="14" t="n">
        <v>4196.91</v>
      </c>
      <c r="F11345" s="14" t="n">
        <v>24965.62</v>
      </c>
      <c r="G11345" s="6" t="s">
        <v>2613</v>
      </c>
    </row>
    <row r="11346" customFormat="false" ht="15" hidden="false" customHeight="true" outlineLevel="0" collapsed="false">
      <c r="A11346" s="6" t="s">
        <v>13958</v>
      </c>
      <c r="B11346" s="6" t="s">
        <v>2285</v>
      </c>
      <c r="C11346" s="6" t="s">
        <v>128</v>
      </c>
      <c r="D11346" s="13" t="n">
        <v>45189</v>
      </c>
      <c r="E11346" s="14" t="n">
        <v>4913.65</v>
      </c>
      <c r="F11346" s="14" t="n">
        <v>29879.27</v>
      </c>
      <c r="G11346" s="6" t="s">
        <v>2613</v>
      </c>
    </row>
    <row r="11347" customFormat="false" ht="15" hidden="false" customHeight="true" outlineLevel="0" collapsed="false">
      <c r="A11347" s="6" t="s">
        <v>13959</v>
      </c>
      <c r="B11347" s="6" t="s">
        <v>2285</v>
      </c>
      <c r="C11347" s="6" t="s">
        <v>128</v>
      </c>
      <c r="D11347" s="13" t="n">
        <v>45196</v>
      </c>
      <c r="E11347" s="14" t="n">
        <v>2399.67</v>
      </c>
      <c r="F11347" s="14" t="n">
        <v>32278.94</v>
      </c>
      <c r="G11347" s="6" t="s">
        <v>2613</v>
      </c>
    </row>
    <row r="11348" customFormat="false" ht="15" hidden="false" customHeight="true" outlineLevel="0" collapsed="false">
      <c r="A11348" s="6" t="s">
        <v>13960</v>
      </c>
      <c r="B11348" s="6" t="s">
        <v>2287</v>
      </c>
      <c r="C11348" s="6" t="s">
        <v>131</v>
      </c>
      <c r="D11348" s="13" t="n">
        <v>45673</v>
      </c>
      <c r="E11348" s="14" t="n">
        <v>2002.03</v>
      </c>
      <c r="F11348" s="14" t="n">
        <v>2002.03</v>
      </c>
      <c r="G11348" s="6" t="s">
        <v>2613</v>
      </c>
    </row>
    <row r="11349" customFormat="false" ht="15" hidden="false" customHeight="true" outlineLevel="0" collapsed="false">
      <c r="A11349" s="6" t="s">
        <v>13961</v>
      </c>
      <c r="B11349" s="6" t="s">
        <v>2287</v>
      </c>
      <c r="C11349" s="6" t="s">
        <v>131</v>
      </c>
      <c r="D11349" s="13" t="n">
        <v>45680</v>
      </c>
      <c r="E11349" s="14" t="n">
        <v>2024.88</v>
      </c>
      <c r="F11349" s="14" t="n">
        <v>4026.91</v>
      </c>
      <c r="G11349" s="6" t="s">
        <v>2623</v>
      </c>
    </row>
    <row r="11350" customFormat="false" ht="15" hidden="false" customHeight="true" outlineLevel="0" collapsed="false">
      <c r="A11350" s="6" t="s">
        <v>13962</v>
      </c>
      <c r="B11350" s="6" t="s">
        <v>2287</v>
      </c>
      <c r="C11350" s="6" t="s">
        <v>131</v>
      </c>
      <c r="D11350" s="13" t="n">
        <v>45687</v>
      </c>
      <c r="E11350" s="14" t="n">
        <v>1841.97</v>
      </c>
      <c r="F11350" s="14" t="n">
        <v>5868.88</v>
      </c>
      <c r="G11350" s="6" t="s">
        <v>2623</v>
      </c>
    </row>
    <row r="11351" customFormat="false" ht="15" hidden="false" customHeight="true" outlineLevel="0" collapsed="false">
      <c r="A11351" s="6" t="s">
        <v>13963</v>
      </c>
      <c r="B11351" s="6" t="s">
        <v>2287</v>
      </c>
      <c r="C11351" s="6" t="s">
        <v>131</v>
      </c>
      <c r="D11351" s="13" t="n">
        <v>45694</v>
      </c>
      <c r="E11351" s="14" t="n">
        <v>1193.59</v>
      </c>
      <c r="F11351" s="14" t="n">
        <v>7062.47</v>
      </c>
      <c r="G11351" s="6" t="s">
        <v>2613</v>
      </c>
    </row>
    <row r="11352" customFormat="false" ht="15" hidden="false" customHeight="true" outlineLevel="0" collapsed="false">
      <c r="A11352" s="6" t="s">
        <v>13964</v>
      </c>
      <c r="B11352" s="6" t="s">
        <v>2287</v>
      </c>
      <c r="C11352" s="6" t="s">
        <v>131</v>
      </c>
      <c r="D11352" s="13" t="n">
        <v>45701</v>
      </c>
      <c r="E11352" s="14" t="n">
        <v>945.39</v>
      </c>
      <c r="F11352" s="14" t="n">
        <v>8007.86</v>
      </c>
      <c r="G11352" s="6" t="s">
        <v>2613</v>
      </c>
    </row>
    <row r="11353" customFormat="false" ht="15" hidden="false" customHeight="true" outlineLevel="0" collapsed="false">
      <c r="A11353" s="6" t="s">
        <v>13965</v>
      </c>
      <c r="B11353" s="6" t="s">
        <v>2287</v>
      </c>
      <c r="C11353" s="6" t="s">
        <v>131</v>
      </c>
      <c r="D11353" s="13" t="n">
        <v>45708</v>
      </c>
      <c r="E11353" s="14" t="n">
        <v>1103.99</v>
      </c>
      <c r="F11353" s="14" t="n">
        <v>9111.85</v>
      </c>
      <c r="G11353" s="6" t="s">
        <v>2613</v>
      </c>
    </row>
    <row r="11354" customFormat="false" ht="15" hidden="false" customHeight="true" outlineLevel="0" collapsed="false">
      <c r="A11354" s="6" t="s">
        <v>13966</v>
      </c>
      <c r="B11354" s="6" t="s">
        <v>2287</v>
      </c>
      <c r="C11354" s="6" t="s">
        <v>131</v>
      </c>
      <c r="D11354" s="13" t="n">
        <v>45715</v>
      </c>
      <c r="E11354" s="14" t="n">
        <v>1488.39</v>
      </c>
      <c r="F11354" s="14" t="n">
        <v>10600.24</v>
      </c>
      <c r="G11354" s="6" t="s">
        <v>2613</v>
      </c>
    </row>
    <row r="11355" customFormat="false" ht="15" hidden="false" customHeight="true" outlineLevel="0" collapsed="false">
      <c r="A11355" s="6" t="s">
        <v>13967</v>
      </c>
      <c r="B11355" s="6" t="s">
        <v>2287</v>
      </c>
      <c r="C11355" s="6" t="s">
        <v>131</v>
      </c>
      <c r="D11355" s="13" t="n">
        <v>45722</v>
      </c>
      <c r="E11355" s="14" t="n">
        <v>1279.28</v>
      </c>
      <c r="F11355" s="14" t="n">
        <v>11879.52</v>
      </c>
      <c r="G11355" s="6" t="s">
        <v>2613</v>
      </c>
    </row>
    <row r="11356" customFormat="false" ht="15" hidden="false" customHeight="true" outlineLevel="0" collapsed="false">
      <c r="A11356" s="6" t="s">
        <v>13968</v>
      </c>
      <c r="B11356" s="6" t="s">
        <v>2287</v>
      </c>
      <c r="C11356" s="6" t="s">
        <v>131</v>
      </c>
      <c r="D11356" s="13" t="n">
        <v>45729</v>
      </c>
      <c r="E11356" s="14" t="n">
        <v>1286.07</v>
      </c>
      <c r="F11356" s="14" t="n">
        <v>13165.59</v>
      </c>
      <c r="G11356" s="6" t="s">
        <v>2613</v>
      </c>
    </row>
    <row r="11357" customFormat="false" ht="15" hidden="false" customHeight="true" outlineLevel="0" collapsed="false">
      <c r="A11357" s="6" t="s">
        <v>13969</v>
      </c>
      <c r="B11357" s="6" t="s">
        <v>2287</v>
      </c>
      <c r="C11357" s="6" t="s">
        <v>131</v>
      </c>
      <c r="D11357" s="13" t="n">
        <v>45736</v>
      </c>
      <c r="E11357" s="14" t="n">
        <v>1899.7</v>
      </c>
      <c r="F11357" s="14" t="n">
        <v>15065.29</v>
      </c>
      <c r="G11357" s="6" t="s">
        <v>2613</v>
      </c>
    </row>
    <row r="11358" customFormat="false" ht="15" hidden="false" customHeight="true" outlineLevel="0" collapsed="false">
      <c r="A11358" s="6" t="s">
        <v>13970</v>
      </c>
      <c r="B11358" s="6" t="s">
        <v>2287</v>
      </c>
      <c r="C11358" s="6" t="s">
        <v>131</v>
      </c>
      <c r="D11358" s="13" t="n">
        <v>45743</v>
      </c>
      <c r="E11358" s="14" t="n">
        <v>1373.51</v>
      </c>
      <c r="F11358" s="14" t="n">
        <v>16438.8</v>
      </c>
      <c r="G11358" s="6" t="s">
        <v>2613</v>
      </c>
    </row>
    <row r="11359" customFormat="false" ht="15" hidden="false" customHeight="true" outlineLevel="0" collapsed="false">
      <c r="A11359" s="6" t="s">
        <v>13971</v>
      </c>
      <c r="B11359" s="6" t="s">
        <v>2287</v>
      </c>
      <c r="C11359" s="6" t="s">
        <v>131</v>
      </c>
      <c r="D11359" s="13" t="n">
        <v>45750</v>
      </c>
      <c r="E11359" s="14" t="n">
        <v>1429.8</v>
      </c>
      <c r="F11359" s="14" t="n">
        <v>17868.6</v>
      </c>
      <c r="G11359" s="6" t="s">
        <v>2613</v>
      </c>
    </row>
    <row r="11360" customFormat="false" ht="15" hidden="false" customHeight="true" outlineLevel="0" collapsed="false">
      <c r="A11360" s="6" t="s">
        <v>13972</v>
      </c>
      <c r="B11360" s="6" t="s">
        <v>2287</v>
      </c>
      <c r="C11360" s="6" t="s">
        <v>131</v>
      </c>
      <c r="D11360" s="13" t="n">
        <v>45757</v>
      </c>
      <c r="E11360" s="14" t="n">
        <v>1621.29</v>
      </c>
      <c r="F11360" s="14" t="n">
        <v>19489.89</v>
      </c>
      <c r="G11360" s="6" t="s">
        <v>2613</v>
      </c>
    </row>
    <row r="11361" customFormat="false" ht="15" hidden="false" customHeight="true" outlineLevel="0" collapsed="false">
      <c r="A11361" s="6" t="s">
        <v>13973</v>
      </c>
      <c r="B11361" s="6" t="s">
        <v>2287</v>
      </c>
      <c r="C11361" s="6" t="s">
        <v>131</v>
      </c>
      <c r="D11361" s="13" t="n">
        <v>45764</v>
      </c>
      <c r="E11361" s="14" t="n">
        <v>1775.5</v>
      </c>
      <c r="F11361" s="14" t="n">
        <v>21265.39</v>
      </c>
      <c r="G11361" s="6" t="s">
        <v>2613</v>
      </c>
    </row>
    <row r="11362" customFormat="false" ht="15" hidden="false" customHeight="true" outlineLevel="0" collapsed="false">
      <c r="A11362" s="6" t="s">
        <v>13974</v>
      </c>
      <c r="B11362" s="6" t="s">
        <v>2289</v>
      </c>
      <c r="C11362" s="6" t="s">
        <v>116</v>
      </c>
      <c r="D11362" s="13" t="n">
        <v>45179</v>
      </c>
      <c r="E11362" s="14" t="n">
        <v>1408.55</v>
      </c>
      <c r="F11362" s="14" t="n">
        <v>1408.55</v>
      </c>
      <c r="G11362" s="6" t="s">
        <v>2613</v>
      </c>
    </row>
    <row r="11363" customFormat="false" ht="15" hidden="false" customHeight="true" outlineLevel="0" collapsed="false">
      <c r="A11363" s="6" t="s">
        <v>13975</v>
      </c>
      <c r="B11363" s="6" t="s">
        <v>2289</v>
      </c>
      <c r="C11363" s="6" t="s">
        <v>116</v>
      </c>
      <c r="D11363" s="13" t="n">
        <v>45186</v>
      </c>
      <c r="E11363" s="14" t="n">
        <v>1667.66</v>
      </c>
      <c r="F11363" s="14" t="n">
        <v>3076.21</v>
      </c>
      <c r="G11363" s="6" t="s">
        <v>2613</v>
      </c>
    </row>
    <row r="11364" customFormat="false" ht="15" hidden="false" customHeight="true" outlineLevel="0" collapsed="false">
      <c r="A11364" s="6" t="s">
        <v>13976</v>
      </c>
      <c r="B11364" s="6" t="s">
        <v>2289</v>
      </c>
      <c r="C11364" s="6" t="s">
        <v>116</v>
      </c>
      <c r="D11364" s="13" t="n">
        <v>45193</v>
      </c>
      <c r="E11364" s="14" t="n">
        <v>758.69</v>
      </c>
      <c r="F11364" s="14" t="n">
        <v>3834.9</v>
      </c>
      <c r="G11364" s="6" t="s">
        <v>2613</v>
      </c>
    </row>
    <row r="11365" customFormat="false" ht="15" hidden="false" customHeight="true" outlineLevel="0" collapsed="false">
      <c r="A11365" s="6" t="s">
        <v>13977</v>
      </c>
      <c r="B11365" s="6" t="s">
        <v>2289</v>
      </c>
      <c r="C11365" s="6" t="s">
        <v>116</v>
      </c>
      <c r="D11365" s="13" t="n">
        <v>45200</v>
      </c>
      <c r="E11365" s="14" t="n">
        <v>1094.76</v>
      </c>
      <c r="F11365" s="14" t="n">
        <v>4929.66</v>
      </c>
      <c r="G11365" s="6" t="s">
        <v>2613</v>
      </c>
    </row>
    <row r="11366" customFormat="false" ht="15" hidden="false" customHeight="true" outlineLevel="0" collapsed="false">
      <c r="A11366" s="6" t="s">
        <v>13978</v>
      </c>
      <c r="B11366" s="6" t="s">
        <v>2289</v>
      </c>
      <c r="C11366" s="6" t="s">
        <v>116</v>
      </c>
      <c r="D11366" s="13" t="n">
        <v>45207</v>
      </c>
      <c r="E11366" s="14" t="n">
        <v>1251.53</v>
      </c>
      <c r="F11366" s="14" t="n">
        <v>6181.19</v>
      </c>
      <c r="G11366" s="6" t="s">
        <v>2613</v>
      </c>
    </row>
    <row r="11367" customFormat="false" ht="15" hidden="false" customHeight="true" outlineLevel="0" collapsed="false">
      <c r="A11367" s="6" t="s">
        <v>13979</v>
      </c>
      <c r="B11367" s="6" t="s">
        <v>2289</v>
      </c>
      <c r="C11367" s="6" t="s">
        <v>116</v>
      </c>
      <c r="D11367" s="13" t="n">
        <v>45214</v>
      </c>
      <c r="E11367" s="14" t="n">
        <v>1368.94</v>
      </c>
      <c r="F11367" s="14" t="n">
        <v>7550.13</v>
      </c>
      <c r="G11367" s="6" t="s">
        <v>2613</v>
      </c>
    </row>
    <row r="11368" customFormat="false" ht="15" hidden="false" customHeight="true" outlineLevel="0" collapsed="false">
      <c r="A11368" s="6" t="s">
        <v>13980</v>
      </c>
      <c r="B11368" s="6" t="s">
        <v>2289</v>
      </c>
      <c r="C11368" s="6" t="s">
        <v>116</v>
      </c>
      <c r="D11368" s="13" t="n">
        <v>45221</v>
      </c>
      <c r="E11368" s="14" t="n">
        <v>1068.11</v>
      </c>
      <c r="F11368" s="14" t="n">
        <v>8618.24</v>
      </c>
      <c r="G11368" s="6" t="s">
        <v>2613</v>
      </c>
    </row>
    <row r="11369" customFormat="false" ht="15" hidden="false" customHeight="true" outlineLevel="0" collapsed="false">
      <c r="A11369" s="6" t="s">
        <v>13981</v>
      </c>
      <c r="B11369" s="6" t="s">
        <v>2291</v>
      </c>
      <c r="C11369" s="6" t="s">
        <v>131</v>
      </c>
      <c r="D11369" s="13" t="n">
        <v>44880</v>
      </c>
      <c r="E11369" s="14" t="n">
        <v>3595.04</v>
      </c>
      <c r="F11369" s="14" t="n">
        <v>3595.04</v>
      </c>
      <c r="G11369" s="6" t="s">
        <v>2613</v>
      </c>
    </row>
    <row r="11370" customFormat="false" ht="15" hidden="false" customHeight="true" outlineLevel="0" collapsed="false">
      <c r="A11370" s="6" t="s">
        <v>13982</v>
      </c>
      <c r="B11370" s="6" t="s">
        <v>2291</v>
      </c>
      <c r="C11370" s="6" t="s">
        <v>131</v>
      </c>
      <c r="D11370" s="13" t="n">
        <v>44887</v>
      </c>
      <c r="E11370" s="14" t="n">
        <v>2450.65</v>
      </c>
      <c r="F11370" s="14" t="n">
        <v>6045.69</v>
      </c>
      <c r="G11370" s="6" t="s">
        <v>2613</v>
      </c>
    </row>
    <row r="11371" customFormat="false" ht="15" hidden="false" customHeight="true" outlineLevel="0" collapsed="false">
      <c r="A11371" s="6" t="s">
        <v>13983</v>
      </c>
      <c r="B11371" s="6" t="s">
        <v>2291</v>
      </c>
      <c r="C11371" s="6" t="s">
        <v>131</v>
      </c>
      <c r="D11371" s="13" t="n">
        <v>44894</v>
      </c>
      <c r="E11371" s="14" t="n">
        <v>2684.73</v>
      </c>
      <c r="F11371" s="14" t="n">
        <v>8730.42</v>
      </c>
      <c r="G11371" s="6" t="s">
        <v>2613</v>
      </c>
    </row>
    <row r="11372" customFormat="false" ht="15" hidden="false" customHeight="true" outlineLevel="0" collapsed="false">
      <c r="A11372" s="6" t="s">
        <v>13984</v>
      </c>
      <c r="B11372" s="6" t="s">
        <v>2291</v>
      </c>
      <c r="C11372" s="6" t="s">
        <v>131</v>
      </c>
      <c r="D11372" s="13" t="n">
        <v>44901</v>
      </c>
      <c r="E11372" s="14" t="n">
        <v>1876.4</v>
      </c>
      <c r="F11372" s="14" t="n">
        <v>10606.82</v>
      </c>
      <c r="G11372" s="6" t="s">
        <v>2613</v>
      </c>
    </row>
    <row r="11373" customFormat="false" ht="15" hidden="false" customHeight="true" outlineLevel="0" collapsed="false">
      <c r="A11373" s="6" t="s">
        <v>13985</v>
      </c>
      <c r="B11373" s="6" t="s">
        <v>2293</v>
      </c>
      <c r="C11373" s="6" t="s">
        <v>131</v>
      </c>
      <c r="D11373" s="13" t="n">
        <v>44639</v>
      </c>
      <c r="E11373" s="14" t="n">
        <v>3337.39</v>
      </c>
      <c r="F11373" s="14" t="n">
        <v>3337.39</v>
      </c>
      <c r="G11373" s="6" t="s">
        <v>2613</v>
      </c>
    </row>
    <row r="11374" customFormat="false" ht="15" hidden="false" customHeight="true" outlineLevel="0" collapsed="false">
      <c r="A11374" s="6" t="s">
        <v>13986</v>
      </c>
      <c r="B11374" s="6" t="s">
        <v>2293</v>
      </c>
      <c r="C11374" s="6" t="s">
        <v>131</v>
      </c>
      <c r="D11374" s="13" t="n">
        <v>44646</v>
      </c>
      <c r="E11374" s="14" t="n">
        <v>2595.85</v>
      </c>
      <c r="F11374" s="14" t="n">
        <v>5933.24</v>
      </c>
      <c r="G11374" s="6" t="s">
        <v>2613</v>
      </c>
    </row>
    <row r="11375" customFormat="false" ht="15" hidden="false" customHeight="true" outlineLevel="0" collapsed="false">
      <c r="A11375" s="6" t="s">
        <v>13987</v>
      </c>
      <c r="B11375" s="6" t="s">
        <v>2293</v>
      </c>
      <c r="C11375" s="6" t="s">
        <v>131</v>
      </c>
      <c r="D11375" s="13" t="n">
        <v>44653</v>
      </c>
      <c r="E11375" s="14" t="n">
        <v>2566.55</v>
      </c>
      <c r="F11375" s="14" t="n">
        <v>8499.79</v>
      </c>
      <c r="G11375" s="6" t="s">
        <v>2613</v>
      </c>
    </row>
    <row r="11376" customFormat="false" ht="15" hidden="false" customHeight="true" outlineLevel="0" collapsed="false">
      <c r="A11376" s="6" t="s">
        <v>13988</v>
      </c>
      <c r="B11376" s="6" t="s">
        <v>2293</v>
      </c>
      <c r="C11376" s="6" t="s">
        <v>131</v>
      </c>
      <c r="D11376" s="13" t="n">
        <v>44660</v>
      </c>
      <c r="E11376" s="14" t="n">
        <v>3424.98</v>
      </c>
      <c r="F11376" s="14" t="n">
        <v>11924.77</v>
      </c>
      <c r="G11376" s="6" t="s">
        <v>2613</v>
      </c>
    </row>
    <row r="11377" customFormat="false" ht="15" hidden="false" customHeight="true" outlineLevel="0" collapsed="false">
      <c r="A11377" s="6" t="s">
        <v>13989</v>
      </c>
      <c r="B11377" s="6" t="s">
        <v>2293</v>
      </c>
      <c r="C11377" s="6" t="s">
        <v>131</v>
      </c>
      <c r="D11377" s="13" t="n">
        <v>44667</v>
      </c>
      <c r="E11377" s="14" t="n">
        <v>2335.69</v>
      </c>
      <c r="F11377" s="14" t="n">
        <v>14260.46</v>
      </c>
      <c r="G11377" s="6" t="s">
        <v>2613</v>
      </c>
    </row>
    <row r="11378" customFormat="false" ht="15" hidden="false" customHeight="true" outlineLevel="0" collapsed="false">
      <c r="A11378" s="6" t="s">
        <v>13990</v>
      </c>
      <c r="B11378" s="6" t="s">
        <v>2293</v>
      </c>
      <c r="C11378" s="6" t="s">
        <v>131</v>
      </c>
      <c r="D11378" s="13" t="n">
        <v>44674</v>
      </c>
      <c r="E11378" s="14" t="n">
        <v>2408.46</v>
      </c>
      <c r="F11378" s="14" t="n">
        <v>16668.92</v>
      </c>
      <c r="G11378" s="6" t="s">
        <v>2613</v>
      </c>
    </row>
    <row r="11379" customFormat="false" ht="15" hidden="false" customHeight="true" outlineLevel="0" collapsed="false">
      <c r="A11379" s="6" t="s">
        <v>13991</v>
      </c>
      <c r="B11379" s="6" t="s">
        <v>2293</v>
      </c>
      <c r="C11379" s="6" t="s">
        <v>131</v>
      </c>
      <c r="D11379" s="13" t="n">
        <v>44681</v>
      </c>
      <c r="E11379" s="14" t="n">
        <v>1716.58</v>
      </c>
      <c r="F11379" s="14" t="n">
        <v>18385.5</v>
      </c>
      <c r="G11379" s="6" t="s">
        <v>2613</v>
      </c>
    </row>
    <row r="11380" customFormat="false" ht="15" hidden="false" customHeight="true" outlineLevel="0" collapsed="false">
      <c r="A11380" s="6" t="s">
        <v>13992</v>
      </c>
      <c r="B11380" s="6" t="s">
        <v>2293</v>
      </c>
      <c r="C11380" s="6" t="s">
        <v>131</v>
      </c>
      <c r="D11380" s="13" t="n">
        <v>44688</v>
      </c>
      <c r="E11380" s="14" t="n">
        <v>4421.3</v>
      </c>
      <c r="F11380" s="14" t="n">
        <v>22806.8</v>
      </c>
      <c r="G11380" s="6" t="s">
        <v>2613</v>
      </c>
    </row>
    <row r="11381" customFormat="false" ht="15" hidden="false" customHeight="true" outlineLevel="0" collapsed="false">
      <c r="A11381" s="6" t="s">
        <v>13993</v>
      </c>
      <c r="B11381" s="6" t="s">
        <v>2295</v>
      </c>
      <c r="C11381" s="6" t="s">
        <v>124</v>
      </c>
      <c r="D11381" s="13" t="n">
        <v>45352</v>
      </c>
      <c r="E11381" s="14" t="n">
        <v>4137.92</v>
      </c>
      <c r="F11381" s="14" t="n">
        <v>4137.92</v>
      </c>
      <c r="G11381" s="6" t="s">
        <v>2613</v>
      </c>
    </row>
    <row r="11382" customFormat="false" ht="15" hidden="false" customHeight="true" outlineLevel="0" collapsed="false">
      <c r="A11382" s="6" t="s">
        <v>13994</v>
      </c>
      <c r="B11382" s="6" t="s">
        <v>2295</v>
      </c>
      <c r="C11382" s="6" t="s">
        <v>124</v>
      </c>
      <c r="D11382" s="13" t="n">
        <v>45359</v>
      </c>
      <c r="E11382" s="14" t="n">
        <v>4256.53</v>
      </c>
      <c r="F11382" s="14" t="n">
        <v>8394.45</v>
      </c>
      <c r="G11382" s="6" t="s">
        <v>2613</v>
      </c>
    </row>
    <row r="11383" customFormat="false" ht="15" hidden="false" customHeight="true" outlineLevel="0" collapsed="false">
      <c r="A11383" s="6" t="s">
        <v>13995</v>
      </c>
      <c r="B11383" s="6" t="s">
        <v>2295</v>
      </c>
      <c r="C11383" s="6" t="s">
        <v>124</v>
      </c>
      <c r="D11383" s="13" t="n">
        <v>45366</v>
      </c>
      <c r="E11383" s="14" t="n">
        <v>3148.68</v>
      </c>
      <c r="F11383" s="14" t="n">
        <v>11543.13</v>
      </c>
      <c r="G11383" s="6" t="s">
        <v>2623</v>
      </c>
    </row>
    <row r="11384" customFormat="false" ht="15" hidden="false" customHeight="true" outlineLevel="0" collapsed="false">
      <c r="A11384" s="6" t="s">
        <v>13996</v>
      </c>
      <c r="B11384" s="6" t="s">
        <v>2295</v>
      </c>
      <c r="C11384" s="6" t="s">
        <v>124</v>
      </c>
      <c r="D11384" s="13" t="n">
        <v>45373</v>
      </c>
      <c r="E11384" s="14" t="n">
        <v>3229.85</v>
      </c>
      <c r="F11384" s="14" t="n">
        <v>14772.98</v>
      </c>
      <c r="G11384" s="6" t="s">
        <v>2623</v>
      </c>
    </row>
    <row r="11385" customFormat="false" ht="15" hidden="false" customHeight="true" outlineLevel="0" collapsed="false">
      <c r="A11385" s="6" t="s">
        <v>13997</v>
      </c>
      <c r="B11385" s="6" t="s">
        <v>2295</v>
      </c>
      <c r="C11385" s="6" t="s">
        <v>124</v>
      </c>
      <c r="D11385" s="13" t="n">
        <v>45380</v>
      </c>
      <c r="E11385" s="14" t="n">
        <v>2359.59</v>
      </c>
      <c r="F11385" s="14" t="n">
        <v>17132.57</v>
      </c>
      <c r="G11385" s="6" t="s">
        <v>2613</v>
      </c>
    </row>
    <row r="11386" customFormat="false" ht="15" hidden="false" customHeight="true" outlineLevel="0" collapsed="false">
      <c r="A11386" s="6" t="s">
        <v>13998</v>
      </c>
      <c r="B11386" s="6" t="s">
        <v>2295</v>
      </c>
      <c r="C11386" s="6" t="s">
        <v>124</v>
      </c>
      <c r="D11386" s="13" t="n">
        <v>45387</v>
      </c>
      <c r="E11386" s="14" t="n">
        <v>3896.59</v>
      </c>
      <c r="F11386" s="14" t="n">
        <v>21029.16</v>
      </c>
      <c r="G11386" s="6" t="s">
        <v>2613</v>
      </c>
    </row>
    <row r="11387" customFormat="false" ht="15" hidden="false" customHeight="true" outlineLevel="0" collapsed="false">
      <c r="A11387" s="6" t="s">
        <v>13999</v>
      </c>
      <c r="B11387" s="6" t="s">
        <v>2295</v>
      </c>
      <c r="C11387" s="6" t="s">
        <v>124</v>
      </c>
      <c r="D11387" s="13" t="n">
        <v>45394</v>
      </c>
      <c r="E11387" s="14" t="n">
        <v>4364.11</v>
      </c>
      <c r="F11387" s="14" t="n">
        <v>25393.27</v>
      </c>
      <c r="G11387" s="6" t="s">
        <v>2613</v>
      </c>
    </row>
    <row r="11388" customFormat="false" ht="15" hidden="false" customHeight="true" outlineLevel="0" collapsed="false">
      <c r="A11388" s="6" t="s">
        <v>14000</v>
      </c>
      <c r="B11388" s="6" t="s">
        <v>2295</v>
      </c>
      <c r="C11388" s="6" t="s">
        <v>124</v>
      </c>
      <c r="D11388" s="13" t="n">
        <v>45401</v>
      </c>
      <c r="E11388" s="14" t="n">
        <v>4584.35</v>
      </c>
      <c r="F11388" s="14" t="n">
        <v>29977.62</v>
      </c>
      <c r="G11388" s="6" t="s">
        <v>2613</v>
      </c>
    </row>
    <row r="11389" customFormat="false" ht="15" hidden="false" customHeight="true" outlineLevel="0" collapsed="false">
      <c r="A11389" s="6" t="s">
        <v>14001</v>
      </c>
      <c r="B11389" s="6" t="s">
        <v>2295</v>
      </c>
      <c r="C11389" s="6" t="s">
        <v>124</v>
      </c>
      <c r="D11389" s="13" t="n">
        <v>45408</v>
      </c>
      <c r="E11389" s="14" t="n">
        <v>4535.14</v>
      </c>
      <c r="F11389" s="14" t="n">
        <v>34512.76</v>
      </c>
      <c r="G11389" s="6" t="s">
        <v>2613</v>
      </c>
    </row>
    <row r="11390" customFormat="false" ht="15" hidden="false" customHeight="true" outlineLevel="0" collapsed="false">
      <c r="A11390" s="6" t="s">
        <v>14002</v>
      </c>
      <c r="B11390" s="6" t="s">
        <v>2295</v>
      </c>
      <c r="C11390" s="6" t="s">
        <v>124</v>
      </c>
      <c r="D11390" s="13" t="n">
        <v>45415</v>
      </c>
      <c r="E11390" s="14" t="n">
        <v>2935.35</v>
      </c>
      <c r="F11390" s="14" t="n">
        <v>37448.11</v>
      </c>
      <c r="G11390" s="6" t="s">
        <v>2623</v>
      </c>
    </row>
    <row r="11391" customFormat="false" ht="15" hidden="false" customHeight="true" outlineLevel="0" collapsed="false">
      <c r="A11391" s="6" t="s">
        <v>14003</v>
      </c>
      <c r="B11391" s="6" t="s">
        <v>2295</v>
      </c>
      <c r="C11391" s="6" t="s">
        <v>124</v>
      </c>
      <c r="D11391" s="13" t="n">
        <v>45422</v>
      </c>
      <c r="E11391" s="14" t="n">
        <v>547.22</v>
      </c>
      <c r="F11391" s="14" t="n">
        <v>37995.33</v>
      </c>
      <c r="G11391" s="6" t="s">
        <v>2623</v>
      </c>
    </row>
    <row r="11392" customFormat="false" ht="15" hidden="false" customHeight="true" outlineLevel="0" collapsed="false">
      <c r="A11392" s="6" t="s">
        <v>14004</v>
      </c>
      <c r="B11392" s="6" t="s">
        <v>2297</v>
      </c>
      <c r="C11392" s="6" t="s">
        <v>124</v>
      </c>
      <c r="D11392" s="13" t="n">
        <v>44932</v>
      </c>
      <c r="E11392" s="14" t="n">
        <v>3464.69</v>
      </c>
      <c r="F11392" s="14" t="n">
        <v>3464.69</v>
      </c>
      <c r="G11392" s="6" t="s">
        <v>2613</v>
      </c>
    </row>
    <row r="11393" customFormat="false" ht="15" hidden="false" customHeight="true" outlineLevel="0" collapsed="false">
      <c r="A11393" s="6" t="s">
        <v>14005</v>
      </c>
      <c r="B11393" s="6" t="s">
        <v>2297</v>
      </c>
      <c r="C11393" s="6" t="s">
        <v>124</v>
      </c>
      <c r="D11393" s="13" t="n">
        <v>44939</v>
      </c>
      <c r="E11393" s="14" t="n">
        <v>2781.65</v>
      </c>
      <c r="F11393" s="14" t="n">
        <v>6246.34</v>
      </c>
      <c r="G11393" s="6" t="s">
        <v>2613</v>
      </c>
    </row>
    <row r="11394" customFormat="false" ht="15" hidden="false" customHeight="true" outlineLevel="0" collapsed="false">
      <c r="A11394" s="6" t="s">
        <v>14006</v>
      </c>
      <c r="B11394" s="6" t="s">
        <v>2297</v>
      </c>
      <c r="C11394" s="6" t="s">
        <v>124</v>
      </c>
      <c r="D11394" s="13" t="n">
        <v>44946</v>
      </c>
      <c r="E11394" s="14" t="n">
        <v>3139.92</v>
      </c>
      <c r="F11394" s="14" t="n">
        <v>9386.26</v>
      </c>
      <c r="G11394" s="6" t="s">
        <v>2613</v>
      </c>
    </row>
    <row r="11395" customFormat="false" ht="15" hidden="false" customHeight="true" outlineLevel="0" collapsed="false">
      <c r="A11395" s="6" t="s">
        <v>14007</v>
      </c>
      <c r="B11395" s="6" t="s">
        <v>2297</v>
      </c>
      <c r="C11395" s="6" t="s">
        <v>124</v>
      </c>
      <c r="D11395" s="13" t="n">
        <v>44953</v>
      </c>
      <c r="E11395" s="14" t="n">
        <v>1607.24</v>
      </c>
      <c r="F11395" s="14" t="n">
        <v>10993.5</v>
      </c>
      <c r="G11395" s="6" t="s">
        <v>2623</v>
      </c>
    </row>
    <row r="11396" customFormat="false" ht="15" hidden="false" customHeight="true" outlineLevel="0" collapsed="false">
      <c r="A11396" s="6" t="s">
        <v>14008</v>
      </c>
      <c r="B11396" s="6" t="s">
        <v>2297</v>
      </c>
      <c r="C11396" s="6" t="s">
        <v>124</v>
      </c>
      <c r="D11396" s="13" t="n">
        <v>44960</v>
      </c>
      <c r="E11396" s="14" t="n">
        <v>1720.18</v>
      </c>
      <c r="F11396" s="14" t="n">
        <v>12713.68</v>
      </c>
      <c r="G11396" s="6" t="s">
        <v>2613</v>
      </c>
    </row>
    <row r="11397" customFormat="false" ht="15" hidden="false" customHeight="true" outlineLevel="0" collapsed="false">
      <c r="A11397" s="6" t="s">
        <v>14009</v>
      </c>
      <c r="B11397" s="6" t="s">
        <v>2297</v>
      </c>
      <c r="C11397" s="6" t="s">
        <v>124</v>
      </c>
      <c r="D11397" s="13" t="n">
        <v>44967</v>
      </c>
      <c r="E11397" s="14" t="n">
        <v>3023.13</v>
      </c>
      <c r="F11397" s="14" t="n">
        <v>15736.81</v>
      </c>
      <c r="G11397" s="6" t="s">
        <v>2613</v>
      </c>
    </row>
    <row r="11398" customFormat="false" ht="15" hidden="false" customHeight="true" outlineLevel="0" collapsed="false">
      <c r="A11398" s="6" t="s">
        <v>14010</v>
      </c>
      <c r="B11398" s="6" t="s">
        <v>2297</v>
      </c>
      <c r="C11398" s="6" t="s">
        <v>124</v>
      </c>
      <c r="D11398" s="13" t="n">
        <v>44974</v>
      </c>
      <c r="E11398" s="14" t="n">
        <v>2874.87</v>
      </c>
      <c r="F11398" s="14" t="n">
        <v>18611.68</v>
      </c>
      <c r="G11398" s="6" t="s">
        <v>2613</v>
      </c>
    </row>
    <row r="11399" customFormat="false" ht="15" hidden="false" customHeight="true" outlineLevel="0" collapsed="false">
      <c r="A11399" s="6" t="s">
        <v>14011</v>
      </c>
      <c r="B11399" s="6" t="s">
        <v>2297</v>
      </c>
      <c r="C11399" s="6" t="s">
        <v>124</v>
      </c>
      <c r="D11399" s="13" t="n">
        <v>44981</v>
      </c>
      <c r="E11399" s="14" t="n">
        <v>1933.2</v>
      </c>
      <c r="F11399" s="14" t="n">
        <v>20544.88</v>
      </c>
      <c r="G11399" s="6" t="s">
        <v>2613</v>
      </c>
    </row>
    <row r="11400" customFormat="false" ht="15" hidden="false" customHeight="true" outlineLevel="0" collapsed="false">
      <c r="A11400" s="6" t="s">
        <v>14012</v>
      </c>
      <c r="B11400" s="6" t="s">
        <v>2297</v>
      </c>
      <c r="C11400" s="6" t="s">
        <v>124</v>
      </c>
      <c r="D11400" s="13" t="n">
        <v>44988</v>
      </c>
      <c r="E11400" s="14" t="n">
        <v>1631.53</v>
      </c>
      <c r="F11400" s="14" t="n">
        <v>22176.41</v>
      </c>
      <c r="G11400" s="6" t="s">
        <v>2613</v>
      </c>
    </row>
    <row r="11401" customFormat="false" ht="15" hidden="false" customHeight="true" outlineLevel="0" collapsed="false">
      <c r="A11401" s="6" t="s">
        <v>14013</v>
      </c>
      <c r="B11401" s="6" t="s">
        <v>2297</v>
      </c>
      <c r="C11401" s="6" t="s">
        <v>124</v>
      </c>
      <c r="D11401" s="13" t="n">
        <v>44995</v>
      </c>
      <c r="E11401" s="14" t="n">
        <v>3534.58</v>
      </c>
      <c r="F11401" s="14" t="n">
        <v>25710.99</v>
      </c>
      <c r="G11401" s="6" t="s">
        <v>2623</v>
      </c>
    </row>
    <row r="11402" customFormat="false" ht="15" hidden="false" customHeight="true" outlineLevel="0" collapsed="false">
      <c r="A11402" s="6" t="s">
        <v>14014</v>
      </c>
      <c r="B11402" s="6" t="s">
        <v>2297</v>
      </c>
      <c r="C11402" s="6" t="s">
        <v>124</v>
      </c>
      <c r="D11402" s="13" t="n">
        <v>45002</v>
      </c>
      <c r="E11402" s="14" t="n">
        <v>2473.27</v>
      </c>
      <c r="F11402" s="14" t="n">
        <v>28184.26</v>
      </c>
      <c r="G11402" s="6" t="s">
        <v>2613</v>
      </c>
    </row>
    <row r="11403" customFormat="false" ht="15" hidden="false" customHeight="true" outlineLevel="0" collapsed="false">
      <c r="A11403" s="6" t="s">
        <v>14015</v>
      </c>
      <c r="B11403" s="6" t="s">
        <v>2297</v>
      </c>
      <c r="C11403" s="6" t="s">
        <v>124</v>
      </c>
      <c r="D11403" s="13" t="n">
        <v>45009</v>
      </c>
      <c r="E11403" s="14" t="n">
        <v>2109.18</v>
      </c>
      <c r="F11403" s="14" t="n">
        <v>30293.44</v>
      </c>
      <c r="G11403" s="6" t="s">
        <v>2613</v>
      </c>
    </row>
    <row r="11404" customFormat="false" ht="15" hidden="false" customHeight="true" outlineLevel="0" collapsed="false">
      <c r="A11404" s="6" t="s">
        <v>14016</v>
      </c>
      <c r="B11404" s="6" t="s">
        <v>2297</v>
      </c>
      <c r="C11404" s="6" t="s">
        <v>124</v>
      </c>
      <c r="D11404" s="13" t="n">
        <v>45016</v>
      </c>
      <c r="E11404" s="14" t="n">
        <v>3892.51</v>
      </c>
      <c r="F11404" s="14" t="n">
        <v>34185.95</v>
      </c>
      <c r="G11404" s="6" t="s">
        <v>2613</v>
      </c>
    </row>
    <row r="11405" customFormat="false" ht="15" hidden="false" customHeight="true" outlineLevel="0" collapsed="false">
      <c r="A11405" s="6" t="s">
        <v>14017</v>
      </c>
      <c r="B11405" s="6" t="s">
        <v>2299</v>
      </c>
      <c r="C11405" s="6" t="s">
        <v>131</v>
      </c>
      <c r="D11405" s="13" t="n">
        <v>45700</v>
      </c>
      <c r="E11405" s="14" t="n">
        <v>7920.9</v>
      </c>
      <c r="F11405" s="14" t="n">
        <v>7920.9</v>
      </c>
      <c r="G11405" s="6" t="s">
        <v>2613</v>
      </c>
    </row>
    <row r="11406" customFormat="false" ht="15" hidden="false" customHeight="true" outlineLevel="0" collapsed="false">
      <c r="A11406" s="6" t="s">
        <v>14018</v>
      </c>
      <c r="B11406" s="6" t="s">
        <v>2299</v>
      </c>
      <c r="C11406" s="6" t="s">
        <v>131</v>
      </c>
      <c r="D11406" s="13" t="n">
        <v>45707</v>
      </c>
      <c r="E11406" s="14" t="n">
        <v>3968.68</v>
      </c>
      <c r="F11406" s="14" t="n">
        <v>11889.58</v>
      </c>
      <c r="G11406" s="6" t="s">
        <v>2613</v>
      </c>
    </row>
    <row r="11407" customFormat="false" ht="15" hidden="false" customHeight="true" outlineLevel="0" collapsed="false">
      <c r="A11407" s="6" t="s">
        <v>14019</v>
      </c>
      <c r="B11407" s="6" t="s">
        <v>2299</v>
      </c>
      <c r="C11407" s="6" t="s">
        <v>131</v>
      </c>
      <c r="D11407" s="13" t="n">
        <v>45714</v>
      </c>
      <c r="E11407" s="14" t="n">
        <v>6603.97</v>
      </c>
      <c r="F11407" s="14" t="n">
        <v>18493.55</v>
      </c>
      <c r="G11407" s="6" t="s">
        <v>2613</v>
      </c>
    </row>
    <row r="11408" customFormat="false" ht="15" hidden="false" customHeight="true" outlineLevel="0" collapsed="false">
      <c r="A11408" s="6" t="s">
        <v>14020</v>
      </c>
      <c r="B11408" s="6" t="s">
        <v>2299</v>
      </c>
      <c r="C11408" s="6" t="s">
        <v>131</v>
      </c>
      <c r="D11408" s="13" t="n">
        <v>45721</v>
      </c>
      <c r="E11408" s="14" t="n">
        <v>6820.47</v>
      </c>
      <c r="F11408" s="14" t="n">
        <v>25314.02</v>
      </c>
      <c r="G11408" s="6" t="s">
        <v>2613</v>
      </c>
    </row>
    <row r="11409" customFormat="false" ht="15" hidden="false" customHeight="true" outlineLevel="0" collapsed="false">
      <c r="A11409" s="6" t="s">
        <v>14021</v>
      </c>
      <c r="B11409" s="6" t="s">
        <v>2299</v>
      </c>
      <c r="C11409" s="6" t="s">
        <v>131</v>
      </c>
      <c r="D11409" s="13" t="n">
        <v>45728</v>
      </c>
      <c r="E11409" s="14" t="n">
        <v>7505.12</v>
      </c>
      <c r="F11409" s="14" t="n">
        <v>32819.14</v>
      </c>
      <c r="G11409" s="6" t="s">
        <v>2613</v>
      </c>
    </row>
    <row r="11410" customFormat="false" ht="15" hidden="false" customHeight="true" outlineLevel="0" collapsed="false">
      <c r="A11410" s="6" t="s">
        <v>14022</v>
      </c>
      <c r="B11410" s="6" t="s">
        <v>2301</v>
      </c>
      <c r="C11410" s="6" t="s">
        <v>112</v>
      </c>
      <c r="D11410" s="13" t="n">
        <v>45253</v>
      </c>
      <c r="E11410" s="14" t="n">
        <v>1103.2</v>
      </c>
      <c r="F11410" s="14" t="n">
        <v>1103.2</v>
      </c>
      <c r="G11410" s="6" t="s">
        <v>2613</v>
      </c>
    </row>
    <row r="11411" customFormat="false" ht="15" hidden="false" customHeight="true" outlineLevel="0" collapsed="false">
      <c r="A11411" s="6" t="s">
        <v>14023</v>
      </c>
      <c r="B11411" s="6" t="s">
        <v>2301</v>
      </c>
      <c r="C11411" s="6" t="s">
        <v>112</v>
      </c>
      <c r="D11411" s="13" t="n">
        <v>45260</v>
      </c>
      <c r="E11411" s="14" t="n">
        <v>714.86</v>
      </c>
      <c r="F11411" s="14" t="n">
        <v>1818.06</v>
      </c>
      <c r="G11411" s="6" t="s">
        <v>2613</v>
      </c>
    </row>
    <row r="11412" customFormat="false" ht="15" hidden="false" customHeight="true" outlineLevel="0" collapsed="false">
      <c r="A11412" s="6" t="s">
        <v>14024</v>
      </c>
      <c r="B11412" s="6" t="s">
        <v>2301</v>
      </c>
      <c r="C11412" s="6" t="s">
        <v>112</v>
      </c>
      <c r="D11412" s="13" t="n">
        <v>45267</v>
      </c>
      <c r="E11412" s="14" t="n">
        <v>751.84</v>
      </c>
      <c r="F11412" s="14" t="n">
        <v>2569.9</v>
      </c>
      <c r="G11412" s="6" t="s">
        <v>2613</v>
      </c>
    </row>
    <row r="11413" customFormat="false" ht="15" hidden="false" customHeight="true" outlineLevel="0" collapsed="false">
      <c r="A11413" s="6" t="s">
        <v>14025</v>
      </c>
      <c r="B11413" s="6" t="s">
        <v>2301</v>
      </c>
      <c r="C11413" s="6" t="s">
        <v>112</v>
      </c>
      <c r="D11413" s="13" t="n">
        <v>45274</v>
      </c>
      <c r="E11413" s="14" t="n">
        <v>594.53</v>
      </c>
      <c r="F11413" s="14" t="n">
        <v>3164.43</v>
      </c>
      <c r="G11413" s="6" t="s">
        <v>2613</v>
      </c>
    </row>
    <row r="11414" customFormat="false" ht="15" hidden="false" customHeight="true" outlineLevel="0" collapsed="false">
      <c r="A11414" s="6" t="s">
        <v>14026</v>
      </c>
      <c r="B11414" s="6" t="s">
        <v>2301</v>
      </c>
      <c r="C11414" s="6" t="s">
        <v>112</v>
      </c>
      <c r="D11414" s="13" t="n">
        <v>45281</v>
      </c>
      <c r="E11414" s="14" t="n">
        <v>764.11</v>
      </c>
      <c r="F11414" s="14" t="n">
        <v>3928.54</v>
      </c>
      <c r="G11414" s="6" t="s">
        <v>2623</v>
      </c>
    </row>
    <row r="11415" customFormat="false" ht="15" hidden="false" customHeight="true" outlineLevel="0" collapsed="false">
      <c r="A11415" s="6" t="s">
        <v>14027</v>
      </c>
      <c r="B11415" s="6" t="s">
        <v>2301</v>
      </c>
      <c r="C11415" s="6" t="s">
        <v>112</v>
      </c>
      <c r="D11415" s="13" t="n">
        <v>45288</v>
      </c>
      <c r="E11415" s="14" t="n">
        <v>1146.39</v>
      </c>
      <c r="F11415" s="14" t="n">
        <v>5074.93</v>
      </c>
      <c r="G11415" s="6" t="s">
        <v>2613</v>
      </c>
    </row>
    <row r="11416" customFormat="false" ht="15" hidden="false" customHeight="true" outlineLevel="0" collapsed="false">
      <c r="A11416" s="6" t="s">
        <v>14028</v>
      </c>
      <c r="B11416" s="6" t="s">
        <v>2301</v>
      </c>
      <c r="C11416" s="6" t="s">
        <v>112</v>
      </c>
      <c r="D11416" s="13" t="n">
        <v>45295</v>
      </c>
      <c r="E11416" s="14" t="n">
        <v>1320.99</v>
      </c>
      <c r="F11416" s="14" t="n">
        <v>6395.92</v>
      </c>
      <c r="G11416" s="6" t="s">
        <v>2613</v>
      </c>
    </row>
    <row r="11417" customFormat="false" ht="15" hidden="false" customHeight="true" outlineLevel="0" collapsed="false">
      <c r="A11417" s="6" t="s">
        <v>14029</v>
      </c>
      <c r="B11417" s="6" t="s">
        <v>2303</v>
      </c>
      <c r="C11417" s="6" t="s">
        <v>112</v>
      </c>
      <c r="D11417" s="13" t="n">
        <v>45959</v>
      </c>
      <c r="E11417" s="14" t="n">
        <v>732.49</v>
      </c>
      <c r="F11417" s="14" t="n">
        <v>732.49</v>
      </c>
      <c r="G11417" s="6" t="s">
        <v>2613</v>
      </c>
    </row>
    <row r="11418" customFormat="false" ht="15" hidden="false" customHeight="true" outlineLevel="0" collapsed="false">
      <c r="A11418" s="6" t="s">
        <v>14030</v>
      </c>
      <c r="B11418" s="6" t="s">
        <v>2303</v>
      </c>
      <c r="C11418" s="6" t="s">
        <v>112</v>
      </c>
      <c r="D11418" s="13" t="n">
        <v>45966</v>
      </c>
      <c r="E11418" s="14" t="n">
        <v>862.68</v>
      </c>
      <c r="F11418" s="14" t="n">
        <v>1595.17</v>
      </c>
      <c r="G11418" s="6" t="s">
        <v>2613</v>
      </c>
    </row>
    <row r="11419" customFormat="false" ht="15" hidden="false" customHeight="true" outlineLevel="0" collapsed="false">
      <c r="A11419" s="6" t="s">
        <v>14031</v>
      </c>
      <c r="B11419" s="6" t="s">
        <v>2303</v>
      </c>
      <c r="C11419" s="6" t="s">
        <v>112</v>
      </c>
      <c r="D11419" s="13" t="n">
        <v>45973</v>
      </c>
      <c r="E11419" s="14" t="n">
        <v>579.57</v>
      </c>
      <c r="F11419" s="14" t="n">
        <v>2174.74</v>
      </c>
      <c r="G11419" s="6" t="s">
        <v>2613</v>
      </c>
    </row>
    <row r="11420" customFormat="false" ht="15" hidden="false" customHeight="true" outlineLevel="0" collapsed="false">
      <c r="A11420" s="6" t="s">
        <v>14032</v>
      </c>
      <c r="B11420" s="6" t="s">
        <v>2303</v>
      </c>
      <c r="C11420" s="6" t="s">
        <v>112</v>
      </c>
      <c r="D11420" s="13" t="n">
        <v>45980</v>
      </c>
      <c r="E11420" s="14" t="n">
        <v>966.1</v>
      </c>
      <c r="F11420" s="14" t="n">
        <v>3140.84</v>
      </c>
      <c r="G11420" s="6" t="s">
        <v>2613</v>
      </c>
    </row>
    <row r="11421" customFormat="false" ht="15" hidden="false" customHeight="true" outlineLevel="0" collapsed="false">
      <c r="A11421" s="6" t="s">
        <v>14033</v>
      </c>
      <c r="B11421" s="6" t="s">
        <v>2303</v>
      </c>
      <c r="C11421" s="6" t="s">
        <v>112</v>
      </c>
      <c r="D11421" s="13" t="n">
        <v>45987</v>
      </c>
      <c r="E11421" s="14" t="n">
        <v>492.92</v>
      </c>
      <c r="F11421" s="14" t="n">
        <v>3633.76</v>
      </c>
      <c r="G11421" s="6" t="s">
        <v>2613</v>
      </c>
    </row>
    <row r="11422" customFormat="false" ht="15" hidden="false" customHeight="true" outlineLevel="0" collapsed="false">
      <c r="A11422" s="6" t="s">
        <v>14034</v>
      </c>
      <c r="B11422" s="6" t="s">
        <v>2303</v>
      </c>
      <c r="C11422" s="6" t="s">
        <v>112</v>
      </c>
      <c r="D11422" s="13" t="n">
        <v>45994</v>
      </c>
      <c r="E11422" s="14" t="n">
        <v>497.5</v>
      </c>
      <c r="F11422" s="14" t="n">
        <v>4131.26</v>
      </c>
      <c r="G11422" s="6" t="s">
        <v>2613</v>
      </c>
    </row>
    <row r="11423" customFormat="false" ht="15" hidden="false" customHeight="true" outlineLevel="0" collapsed="false">
      <c r="A11423" s="6" t="s">
        <v>14035</v>
      </c>
      <c r="B11423" s="6" t="s">
        <v>2303</v>
      </c>
      <c r="C11423" s="6" t="s">
        <v>112</v>
      </c>
      <c r="D11423" s="13" t="n">
        <v>46001</v>
      </c>
      <c r="E11423" s="14" t="n">
        <v>643.85</v>
      </c>
      <c r="F11423" s="14" t="n">
        <v>4775.11</v>
      </c>
      <c r="G11423" s="6" t="s">
        <v>2623</v>
      </c>
    </row>
    <row r="11424" customFormat="false" ht="15" hidden="false" customHeight="true" outlineLevel="0" collapsed="false">
      <c r="A11424" s="6" t="s">
        <v>14036</v>
      </c>
      <c r="B11424" s="6" t="s">
        <v>2303</v>
      </c>
      <c r="C11424" s="6" t="s">
        <v>112</v>
      </c>
      <c r="D11424" s="13" t="n">
        <v>46008</v>
      </c>
      <c r="E11424" s="14" t="n">
        <v>837.36</v>
      </c>
      <c r="F11424" s="14" t="n">
        <v>5612.47</v>
      </c>
      <c r="G11424" s="6" t="s">
        <v>2613</v>
      </c>
    </row>
    <row r="11425" customFormat="false" ht="15" hidden="false" customHeight="true" outlineLevel="0" collapsed="false">
      <c r="A11425" s="6" t="s">
        <v>14037</v>
      </c>
      <c r="B11425" s="6" t="s">
        <v>2303</v>
      </c>
      <c r="C11425" s="6" t="s">
        <v>112</v>
      </c>
      <c r="D11425" s="13" t="n">
        <v>46015</v>
      </c>
      <c r="E11425" s="14" t="n">
        <v>1012.23</v>
      </c>
      <c r="F11425" s="14" t="n">
        <v>6624.7</v>
      </c>
      <c r="G11425" s="6" t="s">
        <v>2613</v>
      </c>
    </row>
    <row r="11426" customFormat="false" ht="15" hidden="false" customHeight="true" outlineLevel="0" collapsed="false">
      <c r="A11426" s="6" t="s">
        <v>14038</v>
      </c>
      <c r="B11426" s="6" t="s">
        <v>2303</v>
      </c>
      <c r="C11426" s="6" t="s">
        <v>112</v>
      </c>
      <c r="D11426" s="13" t="n">
        <v>46022</v>
      </c>
      <c r="E11426" s="14" t="n">
        <v>510.64</v>
      </c>
      <c r="F11426" s="14" t="n">
        <v>7135.34</v>
      </c>
      <c r="G11426" s="6" t="s">
        <v>2613</v>
      </c>
    </row>
    <row r="11427" customFormat="false" ht="15" hidden="false" customHeight="true" outlineLevel="0" collapsed="false">
      <c r="A11427" s="6" t="s">
        <v>14039</v>
      </c>
      <c r="B11427" s="6" t="s">
        <v>2303</v>
      </c>
      <c r="C11427" s="6" t="s">
        <v>112</v>
      </c>
      <c r="D11427" s="13" t="n">
        <v>46029</v>
      </c>
      <c r="E11427" s="14" t="n">
        <v>493.69</v>
      </c>
      <c r="F11427" s="14" t="n">
        <v>7629.03</v>
      </c>
      <c r="G11427" s="6" t="s">
        <v>2613</v>
      </c>
    </row>
    <row r="11428" customFormat="false" ht="15" hidden="false" customHeight="true" outlineLevel="0" collapsed="false">
      <c r="A11428" s="6" t="s">
        <v>14040</v>
      </c>
      <c r="B11428" s="6" t="s">
        <v>2303</v>
      </c>
      <c r="C11428" s="6" t="s">
        <v>112</v>
      </c>
      <c r="D11428" s="13" t="n">
        <v>46036</v>
      </c>
      <c r="E11428" s="14" t="n">
        <v>963.82</v>
      </c>
      <c r="F11428" s="14" t="n">
        <v>8592.85</v>
      </c>
      <c r="G11428" s="6" t="s">
        <v>2613</v>
      </c>
    </row>
    <row r="11429" customFormat="false" ht="15" hidden="false" customHeight="true" outlineLevel="0" collapsed="false">
      <c r="A11429" s="6" t="s">
        <v>14041</v>
      </c>
      <c r="B11429" s="6" t="s">
        <v>2303</v>
      </c>
      <c r="C11429" s="6" t="s">
        <v>112</v>
      </c>
      <c r="D11429" s="13" t="n">
        <v>46043</v>
      </c>
      <c r="E11429" s="14" t="n">
        <v>910.71</v>
      </c>
      <c r="F11429" s="14" t="n">
        <v>9503.56</v>
      </c>
      <c r="G11429" s="6" t="s">
        <v>2613</v>
      </c>
    </row>
    <row r="11430" customFormat="false" ht="15" hidden="false" customHeight="true" outlineLevel="0" collapsed="false">
      <c r="A11430" s="6" t="s">
        <v>14042</v>
      </c>
      <c r="B11430" s="6" t="s">
        <v>2303</v>
      </c>
      <c r="C11430" s="6" t="s">
        <v>112</v>
      </c>
      <c r="D11430" s="13" t="n">
        <v>46050</v>
      </c>
      <c r="E11430" s="14" t="n">
        <v>904.12</v>
      </c>
      <c r="F11430" s="14" t="n">
        <v>10407.68</v>
      </c>
      <c r="G11430" s="6" t="s">
        <v>2613</v>
      </c>
    </row>
    <row r="11431" customFormat="false" ht="15" hidden="false" customHeight="true" outlineLevel="0" collapsed="false">
      <c r="A11431" s="6" t="s">
        <v>14043</v>
      </c>
      <c r="B11431" s="6" t="s">
        <v>2303</v>
      </c>
      <c r="C11431" s="6" t="s">
        <v>112</v>
      </c>
      <c r="D11431" s="13" t="n">
        <v>46057</v>
      </c>
      <c r="E11431" s="14" t="n">
        <v>498.42</v>
      </c>
      <c r="F11431" s="14" t="n">
        <v>10906.1</v>
      </c>
      <c r="G11431" s="6" t="s">
        <v>2613</v>
      </c>
    </row>
    <row r="11432" customFormat="false" ht="15" hidden="false" customHeight="true" outlineLevel="0" collapsed="false">
      <c r="A11432" s="6" t="s">
        <v>14044</v>
      </c>
      <c r="B11432" s="6" t="s">
        <v>2303</v>
      </c>
      <c r="C11432" s="6" t="s">
        <v>112</v>
      </c>
      <c r="D11432" s="13" t="n">
        <v>46064</v>
      </c>
      <c r="E11432" s="14" t="n">
        <v>837.66</v>
      </c>
      <c r="F11432" s="14" t="n">
        <v>11743.76</v>
      </c>
      <c r="G11432" s="6" t="s">
        <v>2613</v>
      </c>
    </row>
    <row r="11433" customFormat="false" ht="15" hidden="false" customHeight="true" outlineLevel="0" collapsed="false">
      <c r="A11433" s="6" t="s">
        <v>14045</v>
      </c>
      <c r="B11433" s="6" t="s">
        <v>2303</v>
      </c>
      <c r="C11433" s="6" t="s">
        <v>112</v>
      </c>
      <c r="D11433" s="13" t="n">
        <v>46071</v>
      </c>
      <c r="E11433" s="14" t="n">
        <v>779.68</v>
      </c>
      <c r="F11433" s="14" t="n">
        <v>12523.44</v>
      </c>
      <c r="G11433" s="6" t="s">
        <v>2613</v>
      </c>
    </row>
    <row r="11434" customFormat="false" ht="15" hidden="false" customHeight="true" outlineLevel="0" collapsed="false">
      <c r="A11434" s="6" t="s">
        <v>14046</v>
      </c>
      <c r="B11434" s="6" t="s">
        <v>2303</v>
      </c>
      <c r="C11434" s="6" t="s">
        <v>112</v>
      </c>
      <c r="D11434" s="13" t="n">
        <v>46078</v>
      </c>
      <c r="E11434" s="14" t="n">
        <v>518.68</v>
      </c>
      <c r="F11434" s="14" t="n">
        <v>13042.12</v>
      </c>
      <c r="G11434" s="6" t="s">
        <v>2623</v>
      </c>
    </row>
    <row r="11435" customFormat="false" ht="15" hidden="false" customHeight="true" outlineLevel="0" collapsed="false">
      <c r="A11435" s="6" t="s">
        <v>14047</v>
      </c>
      <c r="B11435" s="6" t="s">
        <v>2303</v>
      </c>
      <c r="C11435" s="6" t="s">
        <v>112</v>
      </c>
      <c r="D11435" s="13" t="n">
        <v>46085</v>
      </c>
      <c r="E11435" s="14" t="n">
        <v>642.87</v>
      </c>
      <c r="F11435" s="14" t="n">
        <v>13684.99</v>
      </c>
      <c r="G11435" s="6" t="s">
        <v>2613</v>
      </c>
    </row>
    <row r="11436" customFormat="false" ht="15" hidden="false" customHeight="true" outlineLevel="0" collapsed="false">
      <c r="A11436" s="6" t="s">
        <v>14048</v>
      </c>
      <c r="B11436" s="6" t="s">
        <v>2303</v>
      </c>
      <c r="C11436" s="6" t="s">
        <v>112</v>
      </c>
      <c r="D11436" s="13" t="n">
        <v>46092</v>
      </c>
      <c r="E11436" s="14" t="n">
        <v>847.46</v>
      </c>
      <c r="F11436" s="14" t="n">
        <v>14532.45</v>
      </c>
      <c r="G11436" s="6" t="s">
        <v>2613</v>
      </c>
    </row>
    <row r="11437" customFormat="false" ht="15" hidden="false" customHeight="true" outlineLevel="0" collapsed="false">
      <c r="A11437" s="6" t="s">
        <v>14049</v>
      </c>
      <c r="B11437" s="6" t="s">
        <v>2303</v>
      </c>
      <c r="C11437" s="6" t="s">
        <v>112</v>
      </c>
      <c r="D11437" s="13" t="n">
        <v>46099</v>
      </c>
      <c r="E11437" s="14" t="n">
        <v>549.36</v>
      </c>
      <c r="F11437" s="14" t="n">
        <v>15081.81</v>
      </c>
      <c r="G11437" s="6" t="s">
        <v>2623</v>
      </c>
    </row>
    <row r="11438" customFormat="false" ht="15" hidden="false" customHeight="true" outlineLevel="0" collapsed="false">
      <c r="A11438" s="6" t="s">
        <v>14050</v>
      </c>
      <c r="B11438" s="6" t="s">
        <v>2303</v>
      </c>
      <c r="C11438" s="6" t="s">
        <v>112</v>
      </c>
      <c r="D11438" s="13" t="n">
        <v>46106</v>
      </c>
      <c r="E11438" s="14" t="n">
        <v>560.67</v>
      </c>
      <c r="F11438" s="14" t="n">
        <v>15642.48</v>
      </c>
      <c r="G11438" s="6" t="s">
        <v>2613</v>
      </c>
    </row>
    <row r="11439" customFormat="false" ht="15" hidden="false" customHeight="true" outlineLevel="0" collapsed="false">
      <c r="A11439" s="6" t="s">
        <v>14051</v>
      </c>
      <c r="B11439" s="6" t="s">
        <v>2303</v>
      </c>
      <c r="C11439" s="6" t="s">
        <v>112</v>
      </c>
      <c r="D11439" s="13" t="n">
        <v>46113</v>
      </c>
      <c r="E11439" s="14" t="n">
        <v>2782.21</v>
      </c>
      <c r="F11439" s="14" t="n">
        <v>18424.69</v>
      </c>
      <c r="G11439" s="6" t="s">
        <v>2613</v>
      </c>
    </row>
    <row r="11440" customFormat="false" ht="15" hidden="false" customHeight="true" outlineLevel="0" collapsed="false">
      <c r="A11440" s="6" t="s">
        <v>14052</v>
      </c>
      <c r="B11440" s="6" t="s">
        <v>2305</v>
      </c>
      <c r="C11440" s="6" t="s">
        <v>112</v>
      </c>
      <c r="D11440" s="13" t="n">
        <v>46113</v>
      </c>
      <c r="E11440" s="14" t="n">
        <v>4835.25</v>
      </c>
      <c r="F11440" s="14" t="n">
        <v>4835.25</v>
      </c>
      <c r="G11440" s="6" t="s">
        <v>2613</v>
      </c>
    </row>
    <row r="11441" customFormat="false" ht="15" hidden="false" customHeight="true" outlineLevel="0" collapsed="false">
      <c r="A11441" s="6" t="s">
        <v>14053</v>
      </c>
      <c r="B11441" s="6" t="s">
        <v>2305</v>
      </c>
      <c r="C11441" s="6" t="s">
        <v>112</v>
      </c>
      <c r="D11441" s="13" t="n">
        <v>46120</v>
      </c>
      <c r="E11441" s="14" t="n">
        <v>5300.37</v>
      </c>
      <c r="F11441" s="14" t="n">
        <v>10135.62</v>
      </c>
      <c r="G11441" s="6" t="s">
        <v>2623</v>
      </c>
    </row>
    <row r="11442" customFormat="false" ht="15" hidden="false" customHeight="true" outlineLevel="0" collapsed="false">
      <c r="A11442" s="6" t="s">
        <v>14054</v>
      </c>
      <c r="B11442" s="6" t="s">
        <v>2305</v>
      </c>
      <c r="C11442" s="6" t="s">
        <v>112</v>
      </c>
      <c r="D11442" s="13" t="n">
        <v>46127</v>
      </c>
      <c r="E11442" s="14" t="n">
        <v>4162.56</v>
      </c>
      <c r="F11442" s="14" t="n">
        <v>14298.18</v>
      </c>
      <c r="G11442" s="6" t="s">
        <v>2613</v>
      </c>
    </row>
    <row r="11443" customFormat="false" ht="15" hidden="false" customHeight="true" outlineLevel="0" collapsed="false">
      <c r="A11443" s="6" t="s">
        <v>14055</v>
      </c>
      <c r="B11443" s="6" t="s">
        <v>2305</v>
      </c>
      <c r="C11443" s="6" t="s">
        <v>112</v>
      </c>
      <c r="D11443" s="13" t="n">
        <v>46134</v>
      </c>
      <c r="E11443" s="14" t="n">
        <v>6958.5</v>
      </c>
      <c r="F11443" s="14" t="n">
        <v>21256.68</v>
      </c>
      <c r="G11443" s="6" t="s">
        <v>2613</v>
      </c>
    </row>
    <row r="11444" customFormat="false" ht="15" hidden="false" customHeight="true" outlineLevel="0" collapsed="false">
      <c r="A11444" s="6" t="s">
        <v>14056</v>
      </c>
      <c r="B11444" s="6" t="s">
        <v>2305</v>
      </c>
      <c r="C11444" s="6" t="s">
        <v>112</v>
      </c>
      <c r="D11444" s="13" t="n">
        <v>46141</v>
      </c>
      <c r="E11444" s="14" t="n">
        <v>7530.33</v>
      </c>
      <c r="F11444" s="14" t="n">
        <v>28787.01</v>
      </c>
      <c r="G11444" s="6" t="s">
        <v>2613</v>
      </c>
    </row>
    <row r="11445" customFormat="false" ht="15" hidden="false" customHeight="true" outlineLevel="0" collapsed="false">
      <c r="A11445" s="6" t="s">
        <v>14057</v>
      </c>
      <c r="B11445" s="6" t="s">
        <v>2305</v>
      </c>
      <c r="C11445" s="6" t="s">
        <v>112</v>
      </c>
      <c r="D11445" s="13" t="n">
        <v>46148</v>
      </c>
      <c r="E11445" s="14" t="n">
        <v>4765.55</v>
      </c>
      <c r="F11445" s="14" t="n">
        <v>33552.56</v>
      </c>
      <c r="G11445" s="6" t="s">
        <v>2613</v>
      </c>
    </row>
    <row r="11446" customFormat="false" ht="15" hidden="false" customHeight="true" outlineLevel="0" collapsed="false">
      <c r="A11446" s="6" t="s">
        <v>14058</v>
      </c>
      <c r="B11446" s="6" t="s">
        <v>2305</v>
      </c>
      <c r="C11446" s="6" t="s">
        <v>112</v>
      </c>
      <c r="D11446" s="13" t="n">
        <v>46155</v>
      </c>
      <c r="E11446" s="14" t="n">
        <v>6152.97</v>
      </c>
      <c r="F11446" s="14" t="n">
        <v>39705.53</v>
      </c>
      <c r="G11446" s="6" t="s">
        <v>2613</v>
      </c>
    </row>
    <row r="11447" customFormat="false" ht="15" hidden="false" customHeight="true" outlineLevel="0" collapsed="false">
      <c r="A11447" s="6" t="s">
        <v>14059</v>
      </c>
      <c r="B11447" s="6" t="s">
        <v>2305</v>
      </c>
      <c r="C11447" s="6" t="s">
        <v>112</v>
      </c>
      <c r="D11447" s="13" t="n">
        <v>46162</v>
      </c>
      <c r="E11447" s="14" t="n">
        <v>4434.67</v>
      </c>
      <c r="F11447" s="14" t="n">
        <v>44140.2</v>
      </c>
      <c r="G11447" s="6" t="s">
        <v>2613</v>
      </c>
    </row>
    <row r="11448" customFormat="false" ht="15" hidden="false" customHeight="true" outlineLevel="0" collapsed="false">
      <c r="A11448" s="6" t="s">
        <v>14060</v>
      </c>
      <c r="B11448" s="6" t="s">
        <v>2305</v>
      </c>
      <c r="C11448" s="6" t="s">
        <v>112</v>
      </c>
      <c r="D11448" s="13" t="n">
        <v>46169</v>
      </c>
      <c r="E11448" s="14" t="n">
        <v>4518.13</v>
      </c>
      <c r="F11448" s="14" t="n">
        <v>48658.33</v>
      </c>
      <c r="G11448" s="6" t="s">
        <v>2613</v>
      </c>
    </row>
    <row r="11449" customFormat="false" ht="15" hidden="false" customHeight="true" outlineLevel="0" collapsed="false">
      <c r="A11449" s="6" t="s">
        <v>14061</v>
      </c>
      <c r="B11449" s="6" t="s">
        <v>2305</v>
      </c>
      <c r="C11449" s="6" t="s">
        <v>112</v>
      </c>
      <c r="D11449" s="13" t="n">
        <v>46176</v>
      </c>
      <c r="E11449" s="14" t="n">
        <v>5199.51</v>
      </c>
      <c r="F11449" s="14" t="n">
        <v>53857.84</v>
      </c>
      <c r="G11449" s="6" t="s">
        <v>2613</v>
      </c>
    </row>
    <row r="11450" customFormat="false" ht="15" hidden="false" customHeight="true" outlineLevel="0" collapsed="false">
      <c r="A11450" s="6" t="s">
        <v>14062</v>
      </c>
      <c r="B11450" s="6" t="s">
        <v>2305</v>
      </c>
      <c r="C11450" s="6" t="s">
        <v>112</v>
      </c>
      <c r="D11450" s="13" t="n">
        <v>46183</v>
      </c>
      <c r="E11450" s="14" t="n">
        <v>10807.36</v>
      </c>
      <c r="F11450" s="14" t="n">
        <v>64665.2</v>
      </c>
      <c r="G11450" s="6" t="s">
        <v>2613</v>
      </c>
    </row>
    <row r="11451" customFormat="false" ht="15" hidden="false" customHeight="true" outlineLevel="0" collapsed="false">
      <c r="A11451" s="6" t="s">
        <v>14063</v>
      </c>
      <c r="B11451" s="6" t="s">
        <v>2307</v>
      </c>
      <c r="C11451" s="6" t="s">
        <v>131</v>
      </c>
      <c r="D11451" s="13" t="n">
        <v>45241</v>
      </c>
      <c r="E11451" s="14" t="n">
        <v>279.31</v>
      </c>
      <c r="F11451" s="14" t="n">
        <v>279.31</v>
      </c>
      <c r="G11451" s="6" t="s">
        <v>2613</v>
      </c>
    </row>
    <row r="11452" customFormat="false" ht="15" hidden="false" customHeight="true" outlineLevel="0" collapsed="false">
      <c r="A11452" s="6" t="s">
        <v>14064</v>
      </c>
      <c r="B11452" s="6" t="s">
        <v>2307</v>
      </c>
      <c r="C11452" s="6" t="s">
        <v>131</v>
      </c>
      <c r="D11452" s="13" t="n">
        <v>45248</v>
      </c>
      <c r="E11452" s="14" t="n">
        <v>369.94</v>
      </c>
      <c r="F11452" s="14" t="n">
        <v>649.25</v>
      </c>
      <c r="G11452" s="6" t="s">
        <v>2613</v>
      </c>
    </row>
    <row r="11453" customFormat="false" ht="15" hidden="false" customHeight="true" outlineLevel="0" collapsed="false">
      <c r="A11453" s="6" t="s">
        <v>14065</v>
      </c>
      <c r="B11453" s="6" t="s">
        <v>2307</v>
      </c>
      <c r="C11453" s="6" t="s">
        <v>131</v>
      </c>
      <c r="D11453" s="13" t="n">
        <v>45255</v>
      </c>
      <c r="E11453" s="14" t="n">
        <v>414.32</v>
      </c>
      <c r="F11453" s="14" t="n">
        <v>1063.57</v>
      </c>
      <c r="G11453" s="6" t="s">
        <v>2623</v>
      </c>
    </row>
    <row r="11454" customFormat="false" ht="15" hidden="false" customHeight="true" outlineLevel="0" collapsed="false">
      <c r="A11454" s="6" t="s">
        <v>14066</v>
      </c>
      <c r="B11454" s="6" t="s">
        <v>2307</v>
      </c>
      <c r="C11454" s="6" t="s">
        <v>131</v>
      </c>
      <c r="D11454" s="13" t="n">
        <v>45262</v>
      </c>
      <c r="E11454" s="14" t="n">
        <v>448.35</v>
      </c>
      <c r="F11454" s="14" t="n">
        <v>1511.92</v>
      </c>
      <c r="G11454" s="6" t="s">
        <v>2623</v>
      </c>
    </row>
    <row r="11455" customFormat="false" ht="15" hidden="false" customHeight="true" outlineLevel="0" collapsed="false">
      <c r="A11455" s="6" t="s">
        <v>14067</v>
      </c>
      <c r="B11455" s="6" t="s">
        <v>2307</v>
      </c>
      <c r="C11455" s="6" t="s">
        <v>131</v>
      </c>
      <c r="D11455" s="13" t="n">
        <v>45269</v>
      </c>
      <c r="E11455" s="14" t="n">
        <v>299.54</v>
      </c>
      <c r="F11455" s="14" t="n">
        <v>1811.46</v>
      </c>
      <c r="G11455" s="6" t="s">
        <v>2613</v>
      </c>
    </row>
    <row r="11456" customFormat="false" ht="15" hidden="false" customHeight="true" outlineLevel="0" collapsed="false">
      <c r="A11456" s="6" t="s">
        <v>14068</v>
      </c>
      <c r="B11456" s="6" t="s">
        <v>2307</v>
      </c>
      <c r="C11456" s="6" t="s">
        <v>131</v>
      </c>
      <c r="D11456" s="13" t="n">
        <v>45276</v>
      </c>
      <c r="E11456" s="14" t="n">
        <v>562.54</v>
      </c>
      <c r="F11456" s="14" t="n">
        <v>2374</v>
      </c>
      <c r="G11456" s="6" t="s">
        <v>2623</v>
      </c>
    </row>
    <row r="11457" customFormat="false" ht="15" hidden="false" customHeight="true" outlineLevel="0" collapsed="false">
      <c r="A11457" s="6" t="s">
        <v>14069</v>
      </c>
      <c r="B11457" s="6" t="s">
        <v>2309</v>
      </c>
      <c r="C11457" s="6" t="s">
        <v>120</v>
      </c>
      <c r="D11457" s="13" t="n">
        <v>45624</v>
      </c>
      <c r="E11457" s="14" t="n">
        <v>4383.9</v>
      </c>
      <c r="F11457" s="14" t="n">
        <v>4383.9</v>
      </c>
      <c r="G11457" s="6" t="s">
        <v>2613</v>
      </c>
    </row>
    <row r="11458" customFormat="false" ht="15" hidden="false" customHeight="true" outlineLevel="0" collapsed="false">
      <c r="A11458" s="6" t="s">
        <v>14070</v>
      </c>
      <c r="B11458" s="6" t="s">
        <v>2309</v>
      </c>
      <c r="C11458" s="6" t="s">
        <v>120</v>
      </c>
      <c r="D11458" s="13" t="n">
        <v>45631</v>
      </c>
      <c r="E11458" s="14" t="n">
        <v>8710.36</v>
      </c>
      <c r="F11458" s="14" t="n">
        <v>13094.26</v>
      </c>
      <c r="G11458" s="6" t="s">
        <v>2613</v>
      </c>
    </row>
    <row r="11459" customFormat="false" ht="15" hidden="false" customHeight="true" outlineLevel="0" collapsed="false">
      <c r="A11459" s="6" t="s">
        <v>14071</v>
      </c>
      <c r="B11459" s="6" t="s">
        <v>2309</v>
      </c>
      <c r="C11459" s="6" t="s">
        <v>120</v>
      </c>
      <c r="D11459" s="13" t="n">
        <v>45638</v>
      </c>
      <c r="E11459" s="14" t="n">
        <v>7769.26</v>
      </c>
      <c r="F11459" s="14" t="n">
        <v>20863.52</v>
      </c>
      <c r="G11459" s="6" t="s">
        <v>2613</v>
      </c>
    </row>
    <row r="11460" customFormat="false" ht="15" hidden="false" customHeight="true" outlineLevel="0" collapsed="false">
      <c r="A11460" s="6" t="s">
        <v>14072</v>
      </c>
      <c r="B11460" s="6" t="s">
        <v>2309</v>
      </c>
      <c r="C11460" s="6" t="s">
        <v>120</v>
      </c>
      <c r="D11460" s="13" t="n">
        <v>45645</v>
      </c>
      <c r="E11460" s="14" t="n">
        <v>8337.93</v>
      </c>
      <c r="F11460" s="14" t="n">
        <v>29201.45</v>
      </c>
      <c r="G11460" s="6" t="s">
        <v>2613</v>
      </c>
    </row>
    <row r="11461" customFormat="false" ht="15" hidden="false" customHeight="true" outlineLevel="0" collapsed="false">
      <c r="A11461" s="6" t="s">
        <v>14073</v>
      </c>
      <c r="B11461" s="6" t="s">
        <v>2309</v>
      </c>
      <c r="C11461" s="6" t="s">
        <v>120</v>
      </c>
      <c r="D11461" s="13" t="n">
        <v>45652</v>
      </c>
      <c r="E11461" s="14" t="n">
        <v>4558.59</v>
      </c>
      <c r="F11461" s="14" t="n">
        <v>33760.04</v>
      </c>
      <c r="G11461" s="6" t="s">
        <v>2613</v>
      </c>
    </row>
    <row r="11462" customFormat="false" ht="15" hidden="false" customHeight="true" outlineLevel="0" collapsed="false">
      <c r="A11462" s="6" t="s">
        <v>14074</v>
      </c>
      <c r="B11462" s="6" t="s">
        <v>2309</v>
      </c>
      <c r="C11462" s="6" t="s">
        <v>120</v>
      </c>
      <c r="D11462" s="13" t="n">
        <v>45659</v>
      </c>
      <c r="E11462" s="14" t="n">
        <v>9970.17</v>
      </c>
      <c r="F11462" s="14" t="n">
        <v>43730.21</v>
      </c>
      <c r="G11462" s="6" t="s">
        <v>2613</v>
      </c>
    </row>
    <row r="11463" customFormat="false" ht="15" hidden="false" customHeight="true" outlineLevel="0" collapsed="false">
      <c r="A11463" s="6" t="s">
        <v>14075</v>
      </c>
      <c r="B11463" s="6" t="s">
        <v>2309</v>
      </c>
      <c r="C11463" s="6" t="s">
        <v>120</v>
      </c>
      <c r="D11463" s="13" t="n">
        <v>45666</v>
      </c>
      <c r="E11463" s="14" t="n">
        <v>7773.13</v>
      </c>
      <c r="F11463" s="14" t="n">
        <v>51503.34</v>
      </c>
      <c r="G11463" s="6" t="s">
        <v>2613</v>
      </c>
    </row>
    <row r="11464" customFormat="false" ht="15" hidden="false" customHeight="true" outlineLevel="0" collapsed="false">
      <c r="A11464" s="6" t="s">
        <v>14076</v>
      </c>
      <c r="B11464" s="6" t="s">
        <v>2309</v>
      </c>
      <c r="C11464" s="6" t="s">
        <v>120</v>
      </c>
      <c r="D11464" s="13" t="n">
        <v>45673</v>
      </c>
      <c r="E11464" s="14" t="n">
        <v>7012.57</v>
      </c>
      <c r="F11464" s="14" t="n">
        <v>58515.91</v>
      </c>
      <c r="G11464" s="6" t="s">
        <v>2613</v>
      </c>
    </row>
    <row r="11465" customFormat="false" ht="15" hidden="false" customHeight="true" outlineLevel="0" collapsed="false">
      <c r="A11465" s="6" t="s">
        <v>14077</v>
      </c>
      <c r="B11465" s="6" t="s">
        <v>2309</v>
      </c>
      <c r="C11465" s="6" t="s">
        <v>120</v>
      </c>
      <c r="D11465" s="13" t="n">
        <v>45680</v>
      </c>
      <c r="E11465" s="14" t="n">
        <v>6255.93</v>
      </c>
      <c r="F11465" s="14" t="n">
        <v>64771.84</v>
      </c>
      <c r="G11465" s="6" t="s">
        <v>2613</v>
      </c>
    </row>
    <row r="11466" customFormat="false" ht="15" hidden="false" customHeight="true" outlineLevel="0" collapsed="false">
      <c r="A11466" s="6" t="s">
        <v>14078</v>
      </c>
      <c r="B11466" s="6" t="s">
        <v>2311</v>
      </c>
      <c r="C11466" s="6" t="s">
        <v>112</v>
      </c>
      <c r="D11466" s="13" t="n">
        <v>45908</v>
      </c>
      <c r="E11466" s="14" t="n">
        <v>1382.01</v>
      </c>
      <c r="F11466" s="14" t="n">
        <v>1382.01</v>
      </c>
      <c r="G11466" s="6" t="s">
        <v>2613</v>
      </c>
    </row>
    <row r="11467" customFormat="false" ht="15" hidden="false" customHeight="true" outlineLevel="0" collapsed="false">
      <c r="A11467" s="6" t="s">
        <v>14079</v>
      </c>
      <c r="B11467" s="6" t="s">
        <v>2311</v>
      </c>
      <c r="C11467" s="6" t="s">
        <v>112</v>
      </c>
      <c r="D11467" s="13" t="n">
        <v>45915</v>
      </c>
      <c r="E11467" s="14" t="n">
        <v>1840.9</v>
      </c>
      <c r="F11467" s="14" t="n">
        <v>3222.91</v>
      </c>
      <c r="G11467" s="6" t="s">
        <v>2613</v>
      </c>
    </row>
    <row r="11468" customFormat="false" ht="15" hidden="false" customHeight="true" outlineLevel="0" collapsed="false">
      <c r="A11468" s="6" t="s">
        <v>14080</v>
      </c>
      <c r="B11468" s="6" t="s">
        <v>2311</v>
      </c>
      <c r="C11468" s="6" t="s">
        <v>112</v>
      </c>
      <c r="D11468" s="13" t="n">
        <v>45922</v>
      </c>
      <c r="E11468" s="14" t="n">
        <v>1572.78</v>
      </c>
      <c r="F11468" s="14" t="n">
        <v>4795.69</v>
      </c>
      <c r="G11468" s="6" t="s">
        <v>2613</v>
      </c>
    </row>
    <row r="11469" customFormat="false" ht="15" hidden="false" customHeight="true" outlineLevel="0" collapsed="false">
      <c r="A11469" s="6" t="s">
        <v>14081</v>
      </c>
      <c r="B11469" s="6" t="s">
        <v>2311</v>
      </c>
      <c r="C11469" s="6" t="s">
        <v>112</v>
      </c>
      <c r="D11469" s="13" t="n">
        <v>45929</v>
      </c>
      <c r="E11469" s="14" t="n">
        <v>1823.65</v>
      </c>
      <c r="F11469" s="14" t="n">
        <v>6619.34</v>
      </c>
      <c r="G11469" s="6" t="s">
        <v>2613</v>
      </c>
    </row>
    <row r="11470" customFormat="false" ht="15" hidden="false" customHeight="true" outlineLevel="0" collapsed="false">
      <c r="A11470" s="6" t="s">
        <v>14082</v>
      </c>
      <c r="B11470" s="6" t="s">
        <v>2311</v>
      </c>
      <c r="C11470" s="6" t="s">
        <v>112</v>
      </c>
      <c r="D11470" s="13" t="n">
        <v>45936</v>
      </c>
      <c r="E11470" s="14" t="n">
        <v>2077.96</v>
      </c>
      <c r="F11470" s="14" t="n">
        <v>8697.3</v>
      </c>
      <c r="G11470" s="6" t="s">
        <v>2613</v>
      </c>
    </row>
    <row r="11471" customFormat="false" ht="15" hidden="false" customHeight="true" outlineLevel="0" collapsed="false">
      <c r="A11471" s="6" t="s">
        <v>14083</v>
      </c>
      <c r="B11471" s="6" t="s">
        <v>2311</v>
      </c>
      <c r="C11471" s="6" t="s">
        <v>112</v>
      </c>
      <c r="D11471" s="13" t="n">
        <v>45943</v>
      </c>
      <c r="E11471" s="14" t="n">
        <v>1464.13</v>
      </c>
      <c r="F11471" s="14" t="n">
        <v>10161.43</v>
      </c>
      <c r="G11471" s="6" t="s">
        <v>2613</v>
      </c>
    </row>
    <row r="11472" customFormat="false" ht="15" hidden="false" customHeight="true" outlineLevel="0" collapsed="false">
      <c r="A11472" s="6" t="s">
        <v>14084</v>
      </c>
      <c r="B11472" s="6" t="s">
        <v>2311</v>
      </c>
      <c r="C11472" s="6" t="s">
        <v>112</v>
      </c>
      <c r="D11472" s="13" t="n">
        <v>45950</v>
      </c>
      <c r="E11472" s="14" t="n">
        <v>1618.21</v>
      </c>
      <c r="F11472" s="14" t="n">
        <v>11779.64</v>
      </c>
      <c r="G11472" s="6" t="s">
        <v>2613</v>
      </c>
    </row>
    <row r="11473" customFormat="false" ht="15" hidden="false" customHeight="true" outlineLevel="0" collapsed="false">
      <c r="A11473" s="6" t="s">
        <v>14085</v>
      </c>
      <c r="B11473" s="6" t="s">
        <v>2311</v>
      </c>
      <c r="C11473" s="6" t="s">
        <v>112</v>
      </c>
      <c r="D11473" s="13" t="n">
        <v>45957</v>
      </c>
      <c r="E11473" s="14" t="n">
        <v>1137.58</v>
      </c>
      <c r="F11473" s="14" t="n">
        <v>12917.22</v>
      </c>
      <c r="G11473" s="6" t="s">
        <v>2613</v>
      </c>
    </row>
    <row r="11474" customFormat="false" ht="15" hidden="false" customHeight="true" outlineLevel="0" collapsed="false">
      <c r="A11474" s="6" t="s">
        <v>14086</v>
      </c>
      <c r="B11474" s="6" t="s">
        <v>2311</v>
      </c>
      <c r="C11474" s="6" t="s">
        <v>112</v>
      </c>
      <c r="D11474" s="13" t="n">
        <v>45964</v>
      </c>
      <c r="E11474" s="14" t="n">
        <v>1904.74</v>
      </c>
      <c r="F11474" s="14" t="n">
        <v>14821.96</v>
      </c>
      <c r="G11474" s="6" t="s">
        <v>2613</v>
      </c>
    </row>
    <row r="11475" customFormat="false" ht="15" hidden="false" customHeight="true" outlineLevel="0" collapsed="false">
      <c r="A11475" s="6" t="s">
        <v>14087</v>
      </c>
      <c r="B11475" s="6" t="s">
        <v>2311</v>
      </c>
      <c r="C11475" s="6" t="s">
        <v>112</v>
      </c>
      <c r="D11475" s="13" t="n">
        <v>45971</v>
      </c>
      <c r="E11475" s="14" t="n">
        <v>1348.8</v>
      </c>
      <c r="F11475" s="14" t="n">
        <v>16170.76</v>
      </c>
      <c r="G11475" s="6" t="s">
        <v>2613</v>
      </c>
    </row>
    <row r="11476" customFormat="false" ht="15" hidden="false" customHeight="true" outlineLevel="0" collapsed="false">
      <c r="A11476" s="6" t="s">
        <v>14088</v>
      </c>
      <c r="B11476" s="6" t="s">
        <v>2311</v>
      </c>
      <c r="C11476" s="6" t="s">
        <v>112</v>
      </c>
      <c r="D11476" s="13" t="n">
        <v>45978</v>
      </c>
      <c r="E11476" s="14" t="n">
        <v>2360.14</v>
      </c>
      <c r="F11476" s="14" t="n">
        <v>18530.9</v>
      </c>
      <c r="G11476" s="6" t="s">
        <v>2613</v>
      </c>
    </row>
    <row r="11477" customFormat="false" ht="15" hidden="false" customHeight="true" outlineLevel="0" collapsed="false">
      <c r="A11477" s="6" t="s">
        <v>14089</v>
      </c>
      <c r="B11477" s="6" t="s">
        <v>2313</v>
      </c>
      <c r="C11477" s="6" t="s">
        <v>124</v>
      </c>
      <c r="D11477" s="13" t="n">
        <v>45877</v>
      </c>
      <c r="E11477" s="14" t="n">
        <v>2594.64</v>
      </c>
      <c r="F11477" s="14" t="n">
        <v>2594.64</v>
      </c>
      <c r="G11477" s="6" t="s">
        <v>2613</v>
      </c>
    </row>
    <row r="11478" customFormat="false" ht="15" hidden="false" customHeight="true" outlineLevel="0" collapsed="false">
      <c r="A11478" s="6" t="s">
        <v>14090</v>
      </c>
      <c r="B11478" s="6" t="s">
        <v>2313</v>
      </c>
      <c r="C11478" s="6" t="s">
        <v>124</v>
      </c>
      <c r="D11478" s="13" t="n">
        <v>45884</v>
      </c>
      <c r="E11478" s="14" t="n">
        <v>1932.62</v>
      </c>
      <c r="F11478" s="14" t="n">
        <v>4527.26</v>
      </c>
      <c r="G11478" s="6" t="s">
        <v>2613</v>
      </c>
    </row>
    <row r="11479" customFormat="false" ht="15" hidden="false" customHeight="true" outlineLevel="0" collapsed="false">
      <c r="A11479" s="6" t="s">
        <v>14091</v>
      </c>
      <c r="B11479" s="6" t="s">
        <v>2313</v>
      </c>
      <c r="C11479" s="6" t="s">
        <v>124</v>
      </c>
      <c r="D11479" s="13" t="n">
        <v>45891</v>
      </c>
      <c r="E11479" s="14" t="n">
        <v>3041.79</v>
      </c>
      <c r="F11479" s="14" t="n">
        <v>7569.05</v>
      </c>
      <c r="G11479" s="6" t="s">
        <v>2613</v>
      </c>
    </row>
    <row r="11480" customFormat="false" ht="15" hidden="false" customHeight="true" outlineLevel="0" collapsed="false">
      <c r="A11480" s="6" t="s">
        <v>14092</v>
      </c>
      <c r="B11480" s="6" t="s">
        <v>2313</v>
      </c>
      <c r="C11480" s="6" t="s">
        <v>124</v>
      </c>
      <c r="D11480" s="13" t="n">
        <v>45898</v>
      </c>
      <c r="E11480" s="14" t="n">
        <v>2663.44</v>
      </c>
      <c r="F11480" s="14" t="n">
        <v>10232.49</v>
      </c>
      <c r="G11480" s="6" t="s">
        <v>2613</v>
      </c>
    </row>
    <row r="11481" customFormat="false" ht="15" hidden="false" customHeight="true" outlineLevel="0" collapsed="false">
      <c r="A11481" s="6" t="s">
        <v>14093</v>
      </c>
      <c r="B11481" s="6" t="s">
        <v>2313</v>
      </c>
      <c r="C11481" s="6" t="s">
        <v>124</v>
      </c>
      <c r="D11481" s="13" t="n">
        <v>45905</v>
      </c>
      <c r="E11481" s="14" t="n">
        <v>3290.21</v>
      </c>
      <c r="F11481" s="14" t="n">
        <v>13522.7</v>
      </c>
      <c r="G11481" s="6" t="s">
        <v>2613</v>
      </c>
    </row>
    <row r="11482" customFormat="false" ht="15" hidden="false" customHeight="true" outlineLevel="0" collapsed="false">
      <c r="A11482" s="6" t="s">
        <v>14094</v>
      </c>
      <c r="B11482" s="6" t="s">
        <v>2313</v>
      </c>
      <c r="C11482" s="6" t="s">
        <v>124</v>
      </c>
      <c r="D11482" s="13" t="n">
        <v>45912</v>
      </c>
      <c r="E11482" s="14" t="n">
        <v>2489.78</v>
      </c>
      <c r="F11482" s="14" t="n">
        <v>16012.48</v>
      </c>
      <c r="G11482" s="6" t="s">
        <v>2613</v>
      </c>
    </row>
    <row r="11483" customFormat="false" ht="15" hidden="false" customHeight="true" outlineLevel="0" collapsed="false">
      <c r="A11483" s="6" t="s">
        <v>14095</v>
      </c>
      <c r="B11483" s="6" t="s">
        <v>2313</v>
      </c>
      <c r="C11483" s="6" t="s">
        <v>124</v>
      </c>
      <c r="D11483" s="13" t="n">
        <v>45919</v>
      </c>
      <c r="E11483" s="14" t="n">
        <v>2837.17</v>
      </c>
      <c r="F11483" s="14" t="n">
        <v>18849.65</v>
      </c>
      <c r="G11483" s="6" t="s">
        <v>2613</v>
      </c>
    </row>
    <row r="11484" customFormat="false" ht="15" hidden="false" customHeight="true" outlineLevel="0" collapsed="false">
      <c r="A11484" s="6" t="s">
        <v>14096</v>
      </c>
      <c r="B11484" s="6" t="s">
        <v>2313</v>
      </c>
      <c r="C11484" s="6" t="s">
        <v>124</v>
      </c>
      <c r="D11484" s="13" t="n">
        <v>45926</v>
      </c>
      <c r="E11484" s="14" t="n">
        <v>2663.55</v>
      </c>
      <c r="F11484" s="14" t="n">
        <v>21513.2</v>
      </c>
      <c r="G11484" s="6" t="s">
        <v>2613</v>
      </c>
    </row>
    <row r="11485" customFormat="false" ht="15" hidden="false" customHeight="true" outlineLevel="0" collapsed="false">
      <c r="A11485" s="6" t="s">
        <v>14097</v>
      </c>
      <c r="B11485" s="6" t="s">
        <v>2313</v>
      </c>
      <c r="C11485" s="6" t="s">
        <v>124</v>
      </c>
      <c r="D11485" s="13" t="n">
        <v>45933</v>
      </c>
      <c r="E11485" s="14" t="n">
        <v>2459.76</v>
      </c>
      <c r="F11485" s="14" t="n">
        <v>23972.96</v>
      </c>
      <c r="G11485" s="6" t="s">
        <v>2613</v>
      </c>
    </row>
    <row r="11486" customFormat="false" ht="15" hidden="false" customHeight="true" outlineLevel="0" collapsed="false">
      <c r="A11486" s="6" t="s">
        <v>14098</v>
      </c>
      <c r="B11486" s="6" t="s">
        <v>2313</v>
      </c>
      <c r="C11486" s="6" t="s">
        <v>124</v>
      </c>
      <c r="D11486" s="13" t="n">
        <v>45940</v>
      </c>
      <c r="E11486" s="14" t="n">
        <v>1738.83</v>
      </c>
      <c r="F11486" s="14" t="n">
        <v>25711.79</v>
      </c>
      <c r="G11486" s="6" t="s">
        <v>2623</v>
      </c>
    </row>
    <row r="11487" customFormat="false" ht="15" hidden="false" customHeight="true" outlineLevel="0" collapsed="false">
      <c r="A11487" s="6" t="s">
        <v>14099</v>
      </c>
      <c r="B11487" s="6" t="s">
        <v>2313</v>
      </c>
      <c r="C11487" s="6" t="s">
        <v>124</v>
      </c>
      <c r="D11487" s="13" t="n">
        <v>45947</v>
      </c>
      <c r="E11487" s="14" t="n">
        <v>2730.81</v>
      </c>
      <c r="F11487" s="14" t="n">
        <v>28442.6</v>
      </c>
      <c r="G11487" s="6" t="s">
        <v>2613</v>
      </c>
    </row>
    <row r="11488" customFormat="false" ht="15" hidden="false" customHeight="true" outlineLevel="0" collapsed="false">
      <c r="A11488" s="6" t="s">
        <v>14100</v>
      </c>
      <c r="B11488" s="6" t="s">
        <v>2313</v>
      </c>
      <c r="C11488" s="6" t="s">
        <v>124</v>
      </c>
      <c r="D11488" s="13" t="n">
        <v>45954</v>
      </c>
      <c r="E11488" s="14" t="n">
        <v>3703.33</v>
      </c>
      <c r="F11488" s="14" t="n">
        <v>32145.93</v>
      </c>
      <c r="G11488" s="6" t="s">
        <v>2613</v>
      </c>
    </row>
    <row r="11489" customFormat="false" ht="15" hidden="false" customHeight="true" outlineLevel="0" collapsed="false">
      <c r="A11489" s="6" t="s">
        <v>14101</v>
      </c>
      <c r="B11489" s="6" t="s">
        <v>2313</v>
      </c>
      <c r="C11489" s="6" t="s">
        <v>124</v>
      </c>
      <c r="D11489" s="13" t="n">
        <v>45961</v>
      </c>
      <c r="E11489" s="14" t="n">
        <v>2479.68</v>
      </c>
      <c r="F11489" s="14" t="n">
        <v>34625.61</v>
      </c>
      <c r="G11489" s="6" t="s">
        <v>2613</v>
      </c>
    </row>
    <row r="11490" customFormat="false" ht="15" hidden="false" customHeight="true" outlineLevel="0" collapsed="false">
      <c r="A11490" s="6" t="s">
        <v>14102</v>
      </c>
      <c r="B11490" s="6" t="s">
        <v>2313</v>
      </c>
      <c r="C11490" s="6" t="s">
        <v>124</v>
      </c>
      <c r="D11490" s="13" t="n">
        <v>45968</v>
      </c>
      <c r="E11490" s="14" t="n">
        <v>1824.13</v>
      </c>
      <c r="F11490" s="14" t="n">
        <v>36449.74</v>
      </c>
      <c r="G11490" s="6" t="s">
        <v>2613</v>
      </c>
    </row>
    <row r="11491" customFormat="false" ht="15" hidden="false" customHeight="true" outlineLevel="0" collapsed="false">
      <c r="A11491" s="6" t="s">
        <v>14103</v>
      </c>
      <c r="B11491" s="6" t="s">
        <v>2313</v>
      </c>
      <c r="C11491" s="6" t="s">
        <v>124</v>
      </c>
      <c r="D11491" s="13" t="n">
        <v>45975</v>
      </c>
      <c r="E11491" s="14" t="n">
        <v>2284.87</v>
      </c>
      <c r="F11491" s="14" t="n">
        <v>38734.61</v>
      </c>
      <c r="G11491" s="6" t="s">
        <v>2613</v>
      </c>
    </row>
    <row r="11492" customFormat="false" ht="15" hidden="false" customHeight="true" outlineLevel="0" collapsed="false">
      <c r="A11492" s="6" t="s">
        <v>14104</v>
      </c>
      <c r="B11492" s="6" t="s">
        <v>2313</v>
      </c>
      <c r="C11492" s="6" t="s">
        <v>124</v>
      </c>
      <c r="D11492" s="13" t="n">
        <v>45982</v>
      </c>
      <c r="E11492" s="14" t="n">
        <v>3668.38</v>
      </c>
      <c r="F11492" s="14" t="n">
        <v>42402.99</v>
      </c>
      <c r="G11492" s="6" t="s">
        <v>2613</v>
      </c>
    </row>
    <row r="11493" customFormat="false" ht="15" hidden="false" customHeight="true" outlineLevel="0" collapsed="false">
      <c r="A11493" s="6" t="s">
        <v>14105</v>
      </c>
      <c r="B11493" s="6" t="s">
        <v>2315</v>
      </c>
      <c r="C11493" s="6" t="s">
        <v>112</v>
      </c>
      <c r="D11493" s="13" t="n">
        <v>44700</v>
      </c>
      <c r="E11493" s="14" t="n">
        <v>10822.94</v>
      </c>
      <c r="F11493" s="14" t="n">
        <v>10822.94</v>
      </c>
      <c r="G11493" s="6" t="s">
        <v>2613</v>
      </c>
    </row>
    <row r="11494" customFormat="false" ht="15" hidden="false" customHeight="true" outlineLevel="0" collapsed="false">
      <c r="A11494" s="6" t="s">
        <v>14106</v>
      </c>
      <c r="B11494" s="6" t="s">
        <v>2315</v>
      </c>
      <c r="C11494" s="6" t="s">
        <v>112</v>
      </c>
      <c r="D11494" s="13" t="n">
        <v>44707</v>
      </c>
      <c r="E11494" s="14" t="n">
        <v>11453.42</v>
      </c>
      <c r="F11494" s="14" t="n">
        <v>22276.36</v>
      </c>
      <c r="G11494" s="6" t="s">
        <v>2613</v>
      </c>
    </row>
    <row r="11495" customFormat="false" ht="15" hidden="false" customHeight="true" outlineLevel="0" collapsed="false">
      <c r="A11495" s="6" t="s">
        <v>14107</v>
      </c>
      <c r="B11495" s="6" t="s">
        <v>2315</v>
      </c>
      <c r="C11495" s="6" t="s">
        <v>112</v>
      </c>
      <c r="D11495" s="13" t="n">
        <v>44714</v>
      </c>
      <c r="E11495" s="14" t="n">
        <v>13639.15</v>
      </c>
      <c r="F11495" s="14" t="n">
        <v>35915.51</v>
      </c>
      <c r="G11495" s="6" t="s">
        <v>2613</v>
      </c>
    </row>
    <row r="11496" customFormat="false" ht="15" hidden="false" customHeight="true" outlineLevel="0" collapsed="false">
      <c r="A11496" s="6" t="s">
        <v>14108</v>
      </c>
      <c r="B11496" s="6" t="s">
        <v>2315</v>
      </c>
      <c r="C11496" s="6" t="s">
        <v>112</v>
      </c>
      <c r="D11496" s="13" t="n">
        <v>44721</v>
      </c>
      <c r="E11496" s="14" t="n">
        <v>12674.55</v>
      </c>
      <c r="F11496" s="14" t="n">
        <v>48590.06</v>
      </c>
      <c r="G11496" s="6" t="s">
        <v>2613</v>
      </c>
    </row>
    <row r="11497" customFormat="false" ht="15" hidden="false" customHeight="true" outlineLevel="0" collapsed="false">
      <c r="A11497" s="6" t="s">
        <v>14109</v>
      </c>
      <c r="B11497" s="6" t="s">
        <v>2315</v>
      </c>
      <c r="C11497" s="6" t="s">
        <v>112</v>
      </c>
      <c r="D11497" s="13" t="n">
        <v>44728</v>
      </c>
      <c r="E11497" s="14" t="n">
        <v>11408.36</v>
      </c>
      <c r="F11497" s="14" t="n">
        <v>59998.42</v>
      </c>
      <c r="G11497" s="6" t="s">
        <v>2623</v>
      </c>
    </row>
    <row r="11498" customFormat="false" ht="15" hidden="false" customHeight="true" outlineLevel="0" collapsed="false">
      <c r="A11498" s="6" t="s">
        <v>14110</v>
      </c>
      <c r="B11498" s="6" t="s">
        <v>2315</v>
      </c>
      <c r="C11498" s="6" t="s">
        <v>112</v>
      </c>
      <c r="D11498" s="13" t="n">
        <v>44735</v>
      </c>
      <c r="E11498" s="14" t="n">
        <v>12044.07</v>
      </c>
      <c r="F11498" s="14" t="n">
        <v>72042.49</v>
      </c>
      <c r="G11498" s="6" t="s">
        <v>2613</v>
      </c>
    </row>
    <row r="11499" customFormat="false" ht="15" hidden="false" customHeight="true" outlineLevel="0" collapsed="false">
      <c r="A11499" s="6" t="s">
        <v>14111</v>
      </c>
      <c r="B11499" s="6" t="s">
        <v>2315</v>
      </c>
      <c r="C11499" s="6" t="s">
        <v>112</v>
      </c>
      <c r="D11499" s="13" t="n">
        <v>44742</v>
      </c>
      <c r="E11499" s="14" t="n">
        <v>5922.73</v>
      </c>
      <c r="F11499" s="14" t="n">
        <v>77965.22</v>
      </c>
      <c r="G11499" s="6" t="s">
        <v>2613</v>
      </c>
    </row>
    <row r="11500" customFormat="false" ht="15" hidden="false" customHeight="true" outlineLevel="0" collapsed="false">
      <c r="A11500" s="6" t="s">
        <v>14112</v>
      </c>
      <c r="B11500" s="6" t="s">
        <v>2317</v>
      </c>
      <c r="C11500" s="6" t="s">
        <v>128</v>
      </c>
      <c r="D11500" s="13" t="n">
        <v>44764</v>
      </c>
      <c r="E11500" s="14" t="n">
        <v>2198.98</v>
      </c>
      <c r="F11500" s="14" t="n">
        <v>2198.98</v>
      </c>
      <c r="G11500" s="6" t="s">
        <v>2613</v>
      </c>
    </row>
    <row r="11501" customFormat="false" ht="15" hidden="false" customHeight="true" outlineLevel="0" collapsed="false">
      <c r="A11501" s="6" t="s">
        <v>14113</v>
      </c>
      <c r="B11501" s="6" t="s">
        <v>2317</v>
      </c>
      <c r="C11501" s="6" t="s">
        <v>128</v>
      </c>
      <c r="D11501" s="13" t="n">
        <v>44771</v>
      </c>
      <c r="E11501" s="14" t="n">
        <v>2976.72</v>
      </c>
      <c r="F11501" s="14" t="n">
        <v>5175.7</v>
      </c>
      <c r="G11501" s="6" t="s">
        <v>2613</v>
      </c>
    </row>
    <row r="11502" customFormat="false" ht="15" hidden="false" customHeight="true" outlineLevel="0" collapsed="false">
      <c r="A11502" s="6" t="s">
        <v>14114</v>
      </c>
      <c r="B11502" s="6" t="s">
        <v>2317</v>
      </c>
      <c r="C11502" s="6" t="s">
        <v>128</v>
      </c>
      <c r="D11502" s="13" t="n">
        <v>44778</v>
      </c>
      <c r="E11502" s="14" t="n">
        <v>3261.83</v>
      </c>
      <c r="F11502" s="14" t="n">
        <v>8437.53</v>
      </c>
      <c r="G11502" s="6" t="s">
        <v>2623</v>
      </c>
    </row>
    <row r="11503" customFormat="false" ht="15" hidden="false" customHeight="true" outlineLevel="0" collapsed="false">
      <c r="A11503" s="6" t="s">
        <v>14115</v>
      </c>
      <c r="B11503" s="6" t="s">
        <v>2317</v>
      </c>
      <c r="C11503" s="6" t="s">
        <v>128</v>
      </c>
      <c r="D11503" s="13" t="n">
        <v>44785</v>
      </c>
      <c r="E11503" s="14" t="n">
        <v>2879.74</v>
      </c>
      <c r="F11503" s="14" t="n">
        <v>11317.27</v>
      </c>
      <c r="G11503" s="6" t="s">
        <v>2613</v>
      </c>
    </row>
    <row r="11504" customFormat="false" ht="15" hidden="false" customHeight="true" outlineLevel="0" collapsed="false">
      <c r="A11504" s="6" t="s">
        <v>14116</v>
      </c>
      <c r="B11504" s="6" t="s">
        <v>2317</v>
      </c>
      <c r="C11504" s="6" t="s">
        <v>128</v>
      </c>
      <c r="D11504" s="13" t="n">
        <v>44792</v>
      </c>
      <c r="E11504" s="14" t="n">
        <v>2543.52</v>
      </c>
      <c r="F11504" s="14" t="n">
        <v>13860.79</v>
      </c>
      <c r="G11504" s="6" t="s">
        <v>2613</v>
      </c>
    </row>
    <row r="11505" customFormat="false" ht="15" hidden="false" customHeight="true" outlineLevel="0" collapsed="false">
      <c r="A11505" s="6" t="s">
        <v>14117</v>
      </c>
      <c r="B11505" s="6" t="s">
        <v>2317</v>
      </c>
      <c r="C11505" s="6" t="s">
        <v>128</v>
      </c>
      <c r="D11505" s="13" t="n">
        <v>44799</v>
      </c>
      <c r="E11505" s="14" t="n">
        <v>3095.06</v>
      </c>
      <c r="F11505" s="14" t="n">
        <v>16955.85</v>
      </c>
      <c r="G11505" s="6" t="s">
        <v>2613</v>
      </c>
    </row>
    <row r="11506" customFormat="false" ht="15" hidden="false" customHeight="true" outlineLevel="0" collapsed="false">
      <c r="A11506" s="6" t="s">
        <v>14118</v>
      </c>
      <c r="B11506" s="6" t="s">
        <v>2317</v>
      </c>
      <c r="C11506" s="6" t="s">
        <v>128</v>
      </c>
      <c r="D11506" s="13" t="n">
        <v>44806</v>
      </c>
      <c r="E11506" s="14" t="n">
        <v>3480.17</v>
      </c>
      <c r="F11506" s="14" t="n">
        <v>20436.02</v>
      </c>
      <c r="G11506" s="6" t="s">
        <v>2613</v>
      </c>
    </row>
    <row r="11507" customFormat="false" ht="15" hidden="false" customHeight="true" outlineLevel="0" collapsed="false">
      <c r="A11507" s="6" t="s">
        <v>14119</v>
      </c>
      <c r="B11507" s="6" t="s">
        <v>2317</v>
      </c>
      <c r="C11507" s="6" t="s">
        <v>128</v>
      </c>
      <c r="D11507" s="13" t="n">
        <v>44813</v>
      </c>
      <c r="E11507" s="14" t="n">
        <v>3601.76</v>
      </c>
      <c r="F11507" s="14" t="n">
        <v>24037.78</v>
      </c>
      <c r="G11507" s="6" t="s">
        <v>2613</v>
      </c>
    </row>
    <row r="11508" customFormat="false" ht="15" hidden="false" customHeight="true" outlineLevel="0" collapsed="false">
      <c r="A11508" s="6" t="s">
        <v>14120</v>
      </c>
      <c r="B11508" s="6" t="s">
        <v>2317</v>
      </c>
      <c r="C11508" s="6" t="s">
        <v>128</v>
      </c>
      <c r="D11508" s="13" t="n">
        <v>44820</v>
      </c>
      <c r="E11508" s="14" t="n">
        <v>8738.12</v>
      </c>
      <c r="F11508" s="14" t="n">
        <v>32775.9</v>
      </c>
      <c r="G11508" s="6" t="s">
        <v>2613</v>
      </c>
    </row>
    <row r="11509" customFormat="false" ht="15" hidden="false" customHeight="true" outlineLevel="0" collapsed="false">
      <c r="A11509" s="6" t="s">
        <v>14121</v>
      </c>
      <c r="B11509" s="6" t="s">
        <v>2319</v>
      </c>
      <c r="C11509" s="6" t="s">
        <v>116</v>
      </c>
      <c r="D11509" s="13" t="n">
        <v>45774</v>
      </c>
      <c r="E11509" s="14" t="n">
        <v>3874.65</v>
      </c>
      <c r="F11509" s="14" t="n">
        <v>3874.65</v>
      </c>
      <c r="G11509" s="6" t="s">
        <v>2613</v>
      </c>
    </row>
    <row r="11510" customFormat="false" ht="15" hidden="false" customHeight="true" outlineLevel="0" collapsed="false">
      <c r="A11510" s="6" t="s">
        <v>14122</v>
      </c>
      <c r="B11510" s="6" t="s">
        <v>2319</v>
      </c>
      <c r="C11510" s="6" t="s">
        <v>116</v>
      </c>
      <c r="D11510" s="13" t="n">
        <v>45781</v>
      </c>
      <c r="E11510" s="14" t="n">
        <v>4194.18</v>
      </c>
      <c r="F11510" s="14" t="n">
        <v>8068.83</v>
      </c>
      <c r="G11510" s="6" t="s">
        <v>2613</v>
      </c>
    </row>
    <row r="11511" customFormat="false" ht="15" hidden="false" customHeight="true" outlineLevel="0" collapsed="false">
      <c r="A11511" s="6" t="s">
        <v>14123</v>
      </c>
      <c r="B11511" s="6" t="s">
        <v>2319</v>
      </c>
      <c r="C11511" s="6" t="s">
        <v>116</v>
      </c>
      <c r="D11511" s="13" t="n">
        <v>45788</v>
      </c>
      <c r="E11511" s="14" t="n">
        <v>4165.33</v>
      </c>
      <c r="F11511" s="14" t="n">
        <v>12234.16</v>
      </c>
      <c r="G11511" s="6" t="s">
        <v>2613</v>
      </c>
    </row>
    <row r="11512" customFormat="false" ht="15" hidden="false" customHeight="true" outlineLevel="0" collapsed="false">
      <c r="A11512" s="6" t="s">
        <v>14124</v>
      </c>
      <c r="B11512" s="6" t="s">
        <v>2319</v>
      </c>
      <c r="C11512" s="6" t="s">
        <v>116</v>
      </c>
      <c r="D11512" s="13" t="n">
        <v>45795</v>
      </c>
      <c r="E11512" s="14" t="n">
        <v>3197.86</v>
      </c>
      <c r="F11512" s="14" t="n">
        <v>15432.02</v>
      </c>
      <c r="G11512" s="6" t="s">
        <v>2613</v>
      </c>
    </row>
    <row r="11513" customFormat="false" ht="15" hidden="false" customHeight="true" outlineLevel="0" collapsed="false">
      <c r="A11513" s="6" t="s">
        <v>14125</v>
      </c>
      <c r="B11513" s="6" t="s">
        <v>2319</v>
      </c>
      <c r="C11513" s="6" t="s">
        <v>116</v>
      </c>
      <c r="D11513" s="13" t="n">
        <v>45802</v>
      </c>
      <c r="E11513" s="14" t="n">
        <v>3017.51</v>
      </c>
      <c r="F11513" s="14" t="n">
        <v>18449.53</v>
      </c>
      <c r="G11513" s="6" t="s">
        <v>2613</v>
      </c>
    </row>
    <row r="11514" customFormat="false" ht="15" hidden="false" customHeight="true" outlineLevel="0" collapsed="false">
      <c r="A11514" s="6" t="s">
        <v>14126</v>
      </c>
      <c r="B11514" s="6" t="s">
        <v>2319</v>
      </c>
      <c r="C11514" s="6" t="s">
        <v>116</v>
      </c>
      <c r="D11514" s="13" t="n">
        <v>45809</v>
      </c>
      <c r="E11514" s="14" t="n">
        <v>4228.6</v>
      </c>
      <c r="F11514" s="14" t="n">
        <v>22678.13</v>
      </c>
      <c r="G11514" s="6" t="s">
        <v>2613</v>
      </c>
    </row>
    <row r="11515" customFormat="false" ht="15" hidden="false" customHeight="true" outlineLevel="0" collapsed="false">
      <c r="A11515" s="6" t="s">
        <v>14127</v>
      </c>
      <c r="B11515" s="6" t="s">
        <v>2319</v>
      </c>
      <c r="C11515" s="6" t="s">
        <v>116</v>
      </c>
      <c r="D11515" s="13" t="n">
        <v>45816</v>
      </c>
      <c r="E11515" s="14" t="n">
        <v>3106.67</v>
      </c>
      <c r="F11515" s="14" t="n">
        <v>25784.8</v>
      </c>
      <c r="G11515" s="6" t="s">
        <v>2613</v>
      </c>
    </row>
    <row r="11516" customFormat="false" ht="15" hidden="false" customHeight="true" outlineLevel="0" collapsed="false">
      <c r="A11516" s="6" t="s">
        <v>14128</v>
      </c>
      <c r="B11516" s="6" t="s">
        <v>2319</v>
      </c>
      <c r="C11516" s="6" t="s">
        <v>116</v>
      </c>
      <c r="D11516" s="13" t="n">
        <v>45823</v>
      </c>
      <c r="E11516" s="14" t="n">
        <v>3271.38</v>
      </c>
      <c r="F11516" s="14" t="n">
        <v>29056.18</v>
      </c>
      <c r="G11516" s="6" t="s">
        <v>2613</v>
      </c>
    </row>
    <row r="11517" customFormat="false" ht="15" hidden="false" customHeight="true" outlineLevel="0" collapsed="false">
      <c r="A11517" s="6" t="s">
        <v>14129</v>
      </c>
      <c r="B11517" s="6" t="s">
        <v>2319</v>
      </c>
      <c r="C11517" s="6" t="s">
        <v>116</v>
      </c>
      <c r="D11517" s="13" t="n">
        <v>45830</v>
      </c>
      <c r="E11517" s="14" t="n">
        <v>182.03</v>
      </c>
      <c r="F11517" s="14" t="n">
        <v>29238.21</v>
      </c>
      <c r="G11517" s="6" t="s">
        <v>2613</v>
      </c>
    </row>
    <row r="11518" customFormat="false" ht="15" hidden="false" customHeight="true" outlineLevel="0" collapsed="false">
      <c r="A11518" s="6" t="s">
        <v>14130</v>
      </c>
      <c r="B11518" s="6" t="s">
        <v>2321</v>
      </c>
      <c r="C11518" s="6" t="s">
        <v>131</v>
      </c>
      <c r="D11518" s="13" t="n">
        <v>44861</v>
      </c>
      <c r="E11518" s="14" t="n">
        <v>6505.33</v>
      </c>
      <c r="F11518" s="14" t="n">
        <v>6505.33</v>
      </c>
      <c r="G11518" s="6" t="s">
        <v>2613</v>
      </c>
    </row>
    <row r="11519" customFormat="false" ht="15" hidden="false" customHeight="true" outlineLevel="0" collapsed="false">
      <c r="A11519" s="6" t="s">
        <v>14131</v>
      </c>
      <c r="B11519" s="6" t="s">
        <v>2321</v>
      </c>
      <c r="C11519" s="6" t="s">
        <v>131</v>
      </c>
      <c r="D11519" s="13" t="n">
        <v>44868</v>
      </c>
      <c r="E11519" s="14" t="n">
        <v>12576.76</v>
      </c>
      <c r="F11519" s="14" t="n">
        <v>19082.09</v>
      </c>
      <c r="G11519" s="6" t="s">
        <v>2613</v>
      </c>
    </row>
    <row r="11520" customFormat="false" ht="15" hidden="false" customHeight="true" outlineLevel="0" collapsed="false">
      <c r="A11520" s="6" t="s">
        <v>14132</v>
      </c>
      <c r="B11520" s="6" t="s">
        <v>2321</v>
      </c>
      <c r="C11520" s="6" t="s">
        <v>131</v>
      </c>
      <c r="D11520" s="13" t="n">
        <v>44875</v>
      </c>
      <c r="E11520" s="14" t="n">
        <v>10570.25</v>
      </c>
      <c r="F11520" s="14" t="n">
        <v>29652.34</v>
      </c>
      <c r="G11520" s="6" t="s">
        <v>2613</v>
      </c>
    </row>
    <row r="11521" customFormat="false" ht="15" hidden="false" customHeight="true" outlineLevel="0" collapsed="false">
      <c r="A11521" s="6" t="s">
        <v>14133</v>
      </c>
      <c r="B11521" s="6" t="s">
        <v>2321</v>
      </c>
      <c r="C11521" s="6" t="s">
        <v>131</v>
      </c>
      <c r="D11521" s="13" t="n">
        <v>44882</v>
      </c>
      <c r="E11521" s="14" t="n">
        <v>9302.2</v>
      </c>
      <c r="F11521" s="14" t="n">
        <v>38954.54</v>
      </c>
      <c r="G11521" s="6" t="s">
        <v>2613</v>
      </c>
    </row>
    <row r="11522" customFormat="false" ht="15" hidden="false" customHeight="true" outlineLevel="0" collapsed="false">
      <c r="A11522" s="6" t="s">
        <v>14134</v>
      </c>
      <c r="B11522" s="6" t="s">
        <v>2321</v>
      </c>
      <c r="C11522" s="6" t="s">
        <v>131</v>
      </c>
      <c r="D11522" s="13" t="n">
        <v>44889</v>
      </c>
      <c r="E11522" s="14" t="n">
        <v>6922.85</v>
      </c>
      <c r="F11522" s="14" t="n">
        <v>45877.39</v>
      </c>
      <c r="G11522" s="6" t="s">
        <v>2613</v>
      </c>
    </row>
    <row r="11523" customFormat="false" ht="15" hidden="false" customHeight="true" outlineLevel="0" collapsed="false">
      <c r="A11523" s="6" t="s">
        <v>14135</v>
      </c>
      <c r="B11523" s="6" t="s">
        <v>2321</v>
      </c>
      <c r="C11523" s="6" t="s">
        <v>131</v>
      </c>
      <c r="D11523" s="13" t="n">
        <v>44896</v>
      </c>
      <c r="E11523" s="14" t="n">
        <v>7872.87</v>
      </c>
      <c r="F11523" s="14" t="n">
        <v>53750.26</v>
      </c>
      <c r="G11523" s="6" t="s">
        <v>2623</v>
      </c>
    </row>
    <row r="11524" customFormat="false" ht="15" hidden="false" customHeight="true" outlineLevel="0" collapsed="false">
      <c r="A11524" s="6" t="s">
        <v>14136</v>
      </c>
      <c r="B11524" s="6" t="s">
        <v>2321</v>
      </c>
      <c r="C11524" s="6" t="s">
        <v>131</v>
      </c>
      <c r="D11524" s="13" t="n">
        <v>44903</v>
      </c>
      <c r="E11524" s="14" t="n">
        <v>6554.81</v>
      </c>
      <c r="F11524" s="14" t="n">
        <v>60305.07</v>
      </c>
      <c r="G11524" s="6" t="s">
        <v>2613</v>
      </c>
    </row>
    <row r="11525" customFormat="false" ht="15" hidden="false" customHeight="true" outlineLevel="0" collapsed="false">
      <c r="A11525" s="6" t="s">
        <v>14137</v>
      </c>
      <c r="B11525" s="6" t="s">
        <v>2321</v>
      </c>
      <c r="C11525" s="6" t="s">
        <v>131</v>
      </c>
      <c r="D11525" s="13" t="n">
        <v>44910</v>
      </c>
      <c r="E11525" s="14" t="n">
        <v>8889.26</v>
      </c>
      <c r="F11525" s="14" t="n">
        <v>69194.33</v>
      </c>
      <c r="G11525" s="6" t="s">
        <v>2613</v>
      </c>
    </row>
    <row r="11526" customFormat="false" ht="15" hidden="false" customHeight="true" outlineLevel="0" collapsed="false">
      <c r="A11526" s="6" t="s">
        <v>14138</v>
      </c>
      <c r="B11526" s="6" t="s">
        <v>2321</v>
      </c>
      <c r="C11526" s="6" t="s">
        <v>131</v>
      </c>
      <c r="D11526" s="13" t="n">
        <v>44917</v>
      </c>
      <c r="E11526" s="14" t="n">
        <v>6535.46</v>
      </c>
      <c r="F11526" s="14" t="n">
        <v>75729.79</v>
      </c>
      <c r="G11526" s="6" t="s">
        <v>2613</v>
      </c>
    </row>
    <row r="11527" customFormat="false" ht="15" hidden="false" customHeight="true" outlineLevel="0" collapsed="false">
      <c r="A11527" s="6" t="s">
        <v>14139</v>
      </c>
      <c r="B11527" s="6" t="s">
        <v>2321</v>
      </c>
      <c r="C11527" s="6" t="s">
        <v>131</v>
      </c>
      <c r="D11527" s="13" t="n">
        <v>44924</v>
      </c>
      <c r="E11527" s="14" t="n">
        <v>25266.7</v>
      </c>
      <c r="F11527" s="14" t="n">
        <v>100996.49</v>
      </c>
      <c r="G11527" s="6" t="s">
        <v>2613</v>
      </c>
    </row>
    <row r="11528" customFormat="false" ht="15" hidden="false" customHeight="true" outlineLevel="0" collapsed="false">
      <c r="A11528" s="6" t="s">
        <v>14140</v>
      </c>
      <c r="B11528" s="6" t="s">
        <v>2323</v>
      </c>
      <c r="C11528" s="6" t="s">
        <v>112</v>
      </c>
      <c r="D11528" s="13" t="n">
        <v>46016</v>
      </c>
      <c r="E11528" s="14" t="n">
        <v>6084.27</v>
      </c>
      <c r="F11528" s="14" t="n">
        <v>6084.27</v>
      </c>
      <c r="G11528" s="6" t="s">
        <v>2613</v>
      </c>
    </row>
    <row r="11529" customFormat="false" ht="15" hidden="false" customHeight="true" outlineLevel="0" collapsed="false">
      <c r="A11529" s="6" t="s">
        <v>14141</v>
      </c>
      <c r="B11529" s="6" t="s">
        <v>2323</v>
      </c>
      <c r="C11529" s="6" t="s">
        <v>112</v>
      </c>
      <c r="D11529" s="13" t="n">
        <v>46023</v>
      </c>
      <c r="E11529" s="14" t="n">
        <v>8736.85</v>
      </c>
      <c r="F11529" s="14" t="n">
        <v>14821.12</v>
      </c>
      <c r="G11529" s="6" t="s">
        <v>2623</v>
      </c>
    </row>
    <row r="11530" customFormat="false" ht="15" hidden="false" customHeight="true" outlineLevel="0" collapsed="false">
      <c r="A11530" s="6" t="s">
        <v>14142</v>
      </c>
      <c r="B11530" s="6" t="s">
        <v>2323</v>
      </c>
      <c r="C11530" s="6" t="s">
        <v>112</v>
      </c>
      <c r="D11530" s="13" t="n">
        <v>46030</v>
      </c>
      <c r="E11530" s="14" t="n">
        <v>8306.33</v>
      </c>
      <c r="F11530" s="14" t="n">
        <v>23127.45</v>
      </c>
      <c r="G11530" s="6" t="s">
        <v>2613</v>
      </c>
    </row>
    <row r="11531" customFormat="false" ht="15" hidden="false" customHeight="true" outlineLevel="0" collapsed="false">
      <c r="A11531" s="6" t="s">
        <v>14143</v>
      </c>
      <c r="B11531" s="6" t="s">
        <v>2323</v>
      </c>
      <c r="C11531" s="6" t="s">
        <v>112</v>
      </c>
      <c r="D11531" s="13" t="n">
        <v>46037</v>
      </c>
      <c r="E11531" s="14" t="n">
        <v>2456.52</v>
      </c>
      <c r="F11531" s="14" t="n">
        <v>25583.97</v>
      </c>
      <c r="G11531" s="6" t="s">
        <v>2613</v>
      </c>
    </row>
    <row r="11532" customFormat="false" ht="15" hidden="false" customHeight="true" outlineLevel="0" collapsed="false">
      <c r="A11532" s="6" t="s">
        <v>14144</v>
      </c>
      <c r="B11532" s="6" t="s">
        <v>2325</v>
      </c>
      <c r="C11532" s="6" t="s">
        <v>131</v>
      </c>
      <c r="D11532" s="13" t="n">
        <v>45402</v>
      </c>
      <c r="E11532" s="14" t="n">
        <v>6754.67</v>
      </c>
      <c r="F11532" s="14" t="n">
        <v>6754.67</v>
      </c>
      <c r="G11532" s="6" t="s">
        <v>2613</v>
      </c>
    </row>
    <row r="11533" customFormat="false" ht="15" hidden="false" customHeight="true" outlineLevel="0" collapsed="false">
      <c r="A11533" s="6" t="s">
        <v>14145</v>
      </c>
      <c r="B11533" s="6" t="s">
        <v>2325</v>
      </c>
      <c r="C11533" s="6" t="s">
        <v>131</v>
      </c>
      <c r="D11533" s="13" t="n">
        <v>45409</v>
      </c>
      <c r="E11533" s="14" t="n">
        <v>4971.65</v>
      </c>
      <c r="F11533" s="14" t="n">
        <v>11726.32</v>
      </c>
      <c r="G11533" s="6" t="s">
        <v>2613</v>
      </c>
    </row>
    <row r="11534" customFormat="false" ht="15" hidden="false" customHeight="true" outlineLevel="0" collapsed="false">
      <c r="A11534" s="6" t="s">
        <v>14146</v>
      </c>
      <c r="B11534" s="6" t="s">
        <v>2325</v>
      </c>
      <c r="C11534" s="6" t="s">
        <v>131</v>
      </c>
      <c r="D11534" s="13" t="n">
        <v>45416</v>
      </c>
      <c r="E11534" s="14" t="n">
        <v>4592.36</v>
      </c>
      <c r="F11534" s="14" t="n">
        <v>16318.68</v>
      </c>
      <c r="G11534" s="6" t="s">
        <v>2613</v>
      </c>
    </row>
    <row r="11535" customFormat="false" ht="15" hidden="false" customHeight="true" outlineLevel="0" collapsed="false">
      <c r="A11535" s="6" t="s">
        <v>14147</v>
      </c>
      <c r="B11535" s="6" t="s">
        <v>2325</v>
      </c>
      <c r="C11535" s="6" t="s">
        <v>131</v>
      </c>
      <c r="D11535" s="13" t="n">
        <v>45423</v>
      </c>
      <c r="E11535" s="14" t="n">
        <v>3438.24</v>
      </c>
      <c r="F11535" s="14" t="n">
        <v>19756.92</v>
      </c>
      <c r="G11535" s="6" t="s">
        <v>2613</v>
      </c>
    </row>
    <row r="11536" customFormat="false" ht="15" hidden="false" customHeight="true" outlineLevel="0" collapsed="false">
      <c r="A11536" s="6" t="s">
        <v>14148</v>
      </c>
      <c r="B11536" s="6" t="s">
        <v>2325</v>
      </c>
      <c r="C11536" s="6" t="s">
        <v>131</v>
      </c>
      <c r="D11536" s="13" t="n">
        <v>45430</v>
      </c>
      <c r="E11536" s="14" t="n">
        <v>6389.76</v>
      </c>
      <c r="F11536" s="14" t="n">
        <v>26146.68</v>
      </c>
      <c r="G11536" s="6" t="s">
        <v>2613</v>
      </c>
    </row>
    <row r="11537" customFormat="false" ht="15" hidden="false" customHeight="true" outlineLevel="0" collapsed="false">
      <c r="A11537" s="6" t="s">
        <v>14149</v>
      </c>
      <c r="B11537" s="6" t="s">
        <v>2327</v>
      </c>
      <c r="C11537" s="6" t="s">
        <v>128</v>
      </c>
      <c r="D11537" s="13" t="n">
        <v>45526</v>
      </c>
      <c r="E11537" s="14" t="n">
        <v>1781.96</v>
      </c>
      <c r="F11537" s="14" t="n">
        <v>1781.96</v>
      </c>
      <c r="G11537" s="6" t="s">
        <v>2623</v>
      </c>
    </row>
    <row r="11538" customFormat="false" ht="15" hidden="false" customHeight="true" outlineLevel="0" collapsed="false">
      <c r="A11538" s="6" t="s">
        <v>14150</v>
      </c>
      <c r="B11538" s="6" t="s">
        <v>2327</v>
      </c>
      <c r="C11538" s="6" t="s">
        <v>128</v>
      </c>
      <c r="D11538" s="13" t="n">
        <v>45533</v>
      </c>
      <c r="E11538" s="14" t="n">
        <v>982.21</v>
      </c>
      <c r="F11538" s="14" t="n">
        <v>2764.17</v>
      </c>
      <c r="G11538" s="6" t="s">
        <v>2613</v>
      </c>
    </row>
    <row r="11539" customFormat="false" ht="15" hidden="false" customHeight="true" outlineLevel="0" collapsed="false">
      <c r="A11539" s="6" t="s">
        <v>14151</v>
      </c>
      <c r="B11539" s="6" t="s">
        <v>2327</v>
      </c>
      <c r="C11539" s="6" t="s">
        <v>128</v>
      </c>
      <c r="D11539" s="13" t="n">
        <v>45540</v>
      </c>
      <c r="E11539" s="14" t="n">
        <v>1174.31</v>
      </c>
      <c r="F11539" s="14" t="n">
        <v>3938.48</v>
      </c>
      <c r="G11539" s="6" t="s">
        <v>2613</v>
      </c>
    </row>
    <row r="11540" customFormat="false" ht="15" hidden="false" customHeight="true" outlineLevel="0" collapsed="false">
      <c r="A11540" s="6" t="s">
        <v>14152</v>
      </c>
      <c r="B11540" s="6" t="s">
        <v>2327</v>
      </c>
      <c r="C11540" s="6" t="s">
        <v>128</v>
      </c>
      <c r="D11540" s="13" t="n">
        <v>45547</v>
      </c>
      <c r="E11540" s="14" t="n">
        <v>1101.73</v>
      </c>
      <c r="F11540" s="14" t="n">
        <v>5040.21</v>
      </c>
      <c r="G11540" s="6" t="s">
        <v>2613</v>
      </c>
    </row>
    <row r="11541" customFormat="false" ht="15" hidden="false" customHeight="true" outlineLevel="0" collapsed="false">
      <c r="A11541" s="6" t="s">
        <v>14153</v>
      </c>
      <c r="B11541" s="6" t="s">
        <v>2327</v>
      </c>
      <c r="C11541" s="6" t="s">
        <v>128</v>
      </c>
      <c r="D11541" s="13" t="n">
        <v>45554</v>
      </c>
      <c r="E11541" s="14" t="n">
        <v>1133.28</v>
      </c>
      <c r="F11541" s="14" t="n">
        <v>6173.49</v>
      </c>
      <c r="G11541" s="6" t="s">
        <v>2613</v>
      </c>
    </row>
    <row r="11542" customFormat="false" ht="15" hidden="false" customHeight="true" outlineLevel="0" collapsed="false">
      <c r="A11542" s="6" t="s">
        <v>14154</v>
      </c>
      <c r="B11542" s="6" t="s">
        <v>2327</v>
      </c>
      <c r="C11542" s="6" t="s">
        <v>128</v>
      </c>
      <c r="D11542" s="13" t="n">
        <v>45561</v>
      </c>
      <c r="E11542" s="14" t="n">
        <v>962.26</v>
      </c>
      <c r="F11542" s="14" t="n">
        <v>7135.75</v>
      </c>
      <c r="G11542" s="6" t="s">
        <v>2613</v>
      </c>
    </row>
    <row r="11543" customFormat="false" ht="15" hidden="false" customHeight="true" outlineLevel="0" collapsed="false">
      <c r="A11543" s="6" t="s">
        <v>14155</v>
      </c>
      <c r="B11543" s="6" t="s">
        <v>2327</v>
      </c>
      <c r="C11543" s="6" t="s">
        <v>128</v>
      </c>
      <c r="D11543" s="13" t="n">
        <v>45568</v>
      </c>
      <c r="E11543" s="14" t="n">
        <v>1016.58</v>
      </c>
      <c r="F11543" s="14" t="n">
        <v>8152.33</v>
      </c>
      <c r="G11543" s="6" t="s">
        <v>2623</v>
      </c>
    </row>
    <row r="11544" customFormat="false" ht="15" hidden="false" customHeight="true" outlineLevel="0" collapsed="false">
      <c r="A11544" s="6" t="s">
        <v>14156</v>
      </c>
      <c r="B11544" s="6" t="s">
        <v>2327</v>
      </c>
      <c r="C11544" s="6" t="s">
        <v>128</v>
      </c>
      <c r="D11544" s="13" t="n">
        <v>45575</v>
      </c>
      <c r="E11544" s="14" t="n">
        <v>2141.57</v>
      </c>
      <c r="F11544" s="14" t="n">
        <v>10293.9</v>
      </c>
      <c r="G11544" s="6" t="s">
        <v>2613</v>
      </c>
    </row>
    <row r="11545" customFormat="false" ht="15" hidden="false" customHeight="true" outlineLevel="0" collapsed="false">
      <c r="A11545" s="6" t="s">
        <v>14157</v>
      </c>
      <c r="B11545" s="6" t="s">
        <v>2329</v>
      </c>
      <c r="C11545" s="6" t="s">
        <v>124</v>
      </c>
      <c r="D11545" s="13" t="n">
        <v>45230</v>
      </c>
      <c r="E11545" s="14" t="n">
        <v>7899.92</v>
      </c>
      <c r="F11545" s="14" t="n">
        <v>7899.92</v>
      </c>
      <c r="G11545" s="6" t="s">
        <v>2613</v>
      </c>
    </row>
    <row r="11546" customFormat="false" ht="15" hidden="false" customHeight="true" outlineLevel="0" collapsed="false">
      <c r="A11546" s="6" t="s">
        <v>14158</v>
      </c>
      <c r="B11546" s="6" t="s">
        <v>2329</v>
      </c>
      <c r="C11546" s="6" t="s">
        <v>124</v>
      </c>
      <c r="D11546" s="13" t="n">
        <v>45237</v>
      </c>
      <c r="E11546" s="14" t="n">
        <v>8248.27</v>
      </c>
      <c r="F11546" s="14" t="n">
        <v>16148.19</v>
      </c>
      <c r="G11546" s="6" t="s">
        <v>2613</v>
      </c>
    </row>
    <row r="11547" customFormat="false" ht="15" hidden="false" customHeight="true" outlineLevel="0" collapsed="false">
      <c r="A11547" s="6" t="s">
        <v>14159</v>
      </c>
      <c r="B11547" s="6" t="s">
        <v>2329</v>
      </c>
      <c r="C11547" s="6" t="s">
        <v>124</v>
      </c>
      <c r="D11547" s="13" t="n">
        <v>45244</v>
      </c>
      <c r="E11547" s="14" t="n">
        <v>11251.64</v>
      </c>
      <c r="F11547" s="14" t="n">
        <v>27399.83</v>
      </c>
      <c r="G11547" s="6" t="s">
        <v>2613</v>
      </c>
    </row>
    <row r="11548" customFormat="false" ht="15" hidden="false" customHeight="true" outlineLevel="0" collapsed="false">
      <c r="A11548" s="6" t="s">
        <v>14160</v>
      </c>
      <c r="B11548" s="6" t="s">
        <v>2329</v>
      </c>
      <c r="C11548" s="6" t="s">
        <v>124</v>
      </c>
      <c r="D11548" s="13" t="n">
        <v>45251</v>
      </c>
      <c r="E11548" s="14" t="n">
        <v>9325</v>
      </c>
      <c r="F11548" s="14" t="n">
        <v>36724.83</v>
      </c>
      <c r="G11548" s="6" t="s">
        <v>2613</v>
      </c>
    </row>
    <row r="11549" customFormat="false" ht="15" hidden="false" customHeight="true" outlineLevel="0" collapsed="false">
      <c r="A11549" s="6" t="s">
        <v>14161</v>
      </c>
      <c r="B11549" s="6" t="s">
        <v>2329</v>
      </c>
      <c r="C11549" s="6" t="s">
        <v>124</v>
      </c>
      <c r="D11549" s="13" t="n">
        <v>45258</v>
      </c>
      <c r="E11549" s="14" t="n">
        <v>7795.12</v>
      </c>
      <c r="F11549" s="14" t="n">
        <v>44519.95</v>
      </c>
      <c r="G11549" s="6" t="s">
        <v>2613</v>
      </c>
    </row>
    <row r="11550" customFormat="false" ht="15" hidden="false" customHeight="true" outlineLevel="0" collapsed="false">
      <c r="A11550" s="6" t="s">
        <v>14162</v>
      </c>
      <c r="B11550" s="6" t="s">
        <v>2329</v>
      </c>
      <c r="C11550" s="6" t="s">
        <v>124</v>
      </c>
      <c r="D11550" s="13" t="n">
        <v>45265</v>
      </c>
      <c r="E11550" s="14" t="n">
        <v>7356.99</v>
      </c>
      <c r="F11550" s="14" t="n">
        <v>51876.94</v>
      </c>
      <c r="G11550" s="6" t="s">
        <v>2613</v>
      </c>
    </row>
    <row r="11551" customFormat="false" ht="15" hidden="false" customHeight="true" outlineLevel="0" collapsed="false">
      <c r="A11551" s="6" t="s">
        <v>14163</v>
      </c>
      <c r="B11551" s="6" t="s">
        <v>2329</v>
      </c>
      <c r="C11551" s="6" t="s">
        <v>124</v>
      </c>
      <c r="D11551" s="13" t="n">
        <v>45272</v>
      </c>
      <c r="E11551" s="14" t="n">
        <v>12001.94</v>
      </c>
      <c r="F11551" s="14" t="n">
        <v>63878.88</v>
      </c>
      <c r="G11551" s="6" t="s">
        <v>2613</v>
      </c>
    </row>
    <row r="11552" customFormat="false" ht="15" hidden="false" customHeight="true" outlineLevel="0" collapsed="false">
      <c r="A11552" s="6" t="s">
        <v>14164</v>
      </c>
      <c r="B11552" s="6" t="s">
        <v>2329</v>
      </c>
      <c r="C11552" s="6" t="s">
        <v>124</v>
      </c>
      <c r="D11552" s="13" t="n">
        <v>45279</v>
      </c>
      <c r="E11552" s="14" t="n">
        <v>9762.31</v>
      </c>
      <c r="F11552" s="14" t="n">
        <v>73641.19</v>
      </c>
      <c r="G11552" s="6" t="s">
        <v>2613</v>
      </c>
    </row>
    <row r="11553" customFormat="false" ht="15" hidden="false" customHeight="true" outlineLevel="0" collapsed="false">
      <c r="A11553" s="6" t="s">
        <v>14165</v>
      </c>
      <c r="B11553" s="6" t="s">
        <v>2329</v>
      </c>
      <c r="C11553" s="6" t="s">
        <v>124</v>
      </c>
      <c r="D11553" s="13" t="n">
        <v>45286</v>
      </c>
      <c r="E11553" s="14" t="n">
        <v>8954.36</v>
      </c>
      <c r="F11553" s="14" t="n">
        <v>82595.55</v>
      </c>
      <c r="G11553" s="6" t="s">
        <v>2613</v>
      </c>
    </row>
    <row r="11554" customFormat="false" ht="15" hidden="false" customHeight="true" outlineLevel="0" collapsed="false">
      <c r="A11554" s="6" t="s">
        <v>14166</v>
      </c>
      <c r="B11554" s="6" t="s">
        <v>2329</v>
      </c>
      <c r="C11554" s="6" t="s">
        <v>124</v>
      </c>
      <c r="D11554" s="13" t="n">
        <v>45293</v>
      </c>
      <c r="E11554" s="14" t="n">
        <v>17727.29</v>
      </c>
      <c r="F11554" s="14" t="n">
        <v>100322.84</v>
      </c>
      <c r="G11554" s="6" t="s">
        <v>2613</v>
      </c>
    </row>
    <row r="11555" customFormat="false" ht="15" hidden="false" customHeight="true" outlineLevel="0" collapsed="false">
      <c r="A11555" s="6" t="s">
        <v>14167</v>
      </c>
      <c r="B11555" s="6" t="s">
        <v>2331</v>
      </c>
      <c r="C11555" s="6" t="s">
        <v>128</v>
      </c>
      <c r="D11555" s="13" t="n">
        <v>45176</v>
      </c>
      <c r="E11555" s="14" t="n">
        <v>2686.46</v>
      </c>
      <c r="F11555" s="14" t="n">
        <v>2686.46</v>
      </c>
      <c r="G11555" s="6" t="s">
        <v>2613</v>
      </c>
    </row>
    <row r="11556" customFormat="false" ht="15" hidden="false" customHeight="true" outlineLevel="0" collapsed="false">
      <c r="A11556" s="6" t="s">
        <v>14168</v>
      </c>
      <c r="B11556" s="6" t="s">
        <v>2331</v>
      </c>
      <c r="C11556" s="6" t="s">
        <v>128</v>
      </c>
      <c r="D11556" s="13" t="n">
        <v>45183</v>
      </c>
      <c r="E11556" s="14" t="n">
        <v>2643.15</v>
      </c>
      <c r="F11556" s="14" t="n">
        <v>5329.61</v>
      </c>
      <c r="G11556" s="6" t="s">
        <v>2613</v>
      </c>
    </row>
    <row r="11557" customFormat="false" ht="15" hidden="false" customHeight="true" outlineLevel="0" collapsed="false">
      <c r="A11557" s="6" t="s">
        <v>14169</v>
      </c>
      <c r="B11557" s="6" t="s">
        <v>2331</v>
      </c>
      <c r="C11557" s="6" t="s">
        <v>128</v>
      </c>
      <c r="D11557" s="13" t="n">
        <v>45190</v>
      </c>
      <c r="E11557" s="14" t="n">
        <v>5300.35</v>
      </c>
      <c r="F11557" s="14" t="n">
        <v>10629.96</v>
      </c>
      <c r="G11557" s="6" t="s">
        <v>2613</v>
      </c>
    </row>
    <row r="11558" customFormat="false" ht="15" hidden="false" customHeight="true" outlineLevel="0" collapsed="false">
      <c r="A11558" s="6" t="s">
        <v>14170</v>
      </c>
      <c r="B11558" s="6" t="s">
        <v>2331</v>
      </c>
      <c r="C11558" s="6" t="s">
        <v>128</v>
      </c>
      <c r="D11558" s="13" t="n">
        <v>45197</v>
      </c>
      <c r="E11558" s="14" t="n">
        <v>3392.04</v>
      </c>
      <c r="F11558" s="14" t="n">
        <v>14022</v>
      </c>
      <c r="G11558" s="6" t="s">
        <v>2613</v>
      </c>
    </row>
    <row r="11559" customFormat="false" ht="15" hidden="false" customHeight="true" outlineLevel="0" collapsed="false">
      <c r="A11559" s="6" t="s">
        <v>14171</v>
      </c>
      <c r="B11559" s="6" t="s">
        <v>2331</v>
      </c>
      <c r="C11559" s="6" t="s">
        <v>128</v>
      </c>
      <c r="D11559" s="13" t="n">
        <v>45204</v>
      </c>
      <c r="E11559" s="14" t="n">
        <v>3388.31</v>
      </c>
      <c r="F11559" s="14" t="n">
        <v>17410.31</v>
      </c>
      <c r="G11559" s="6" t="s">
        <v>2613</v>
      </c>
    </row>
    <row r="11560" customFormat="false" ht="15" hidden="false" customHeight="true" outlineLevel="0" collapsed="false">
      <c r="A11560" s="6" t="s">
        <v>14172</v>
      </c>
      <c r="B11560" s="6" t="s">
        <v>2331</v>
      </c>
      <c r="C11560" s="6" t="s">
        <v>128</v>
      </c>
      <c r="D11560" s="13" t="n">
        <v>45211</v>
      </c>
      <c r="E11560" s="14" t="n">
        <v>4175.11</v>
      </c>
      <c r="F11560" s="14" t="n">
        <v>21585.42</v>
      </c>
      <c r="G11560" s="6" t="s">
        <v>2613</v>
      </c>
    </row>
    <row r="11561" customFormat="false" ht="15" hidden="false" customHeight="true" outlineLevel="0" collapsed="false">
      <c r="A11561" s="6" t="s">
        <v>14173</v>
      </c>
      <c r="B11561" s="6" t="s">
        <v>2331</v>
      </c>
      <c r="C11561" s="6" t="s">
        <v>128</v>
      </c>
      <c r="D11561" s="13" t="n">
        <v>45218</v>
      </c>
      <c r="E11561" s="14" t="n">
        <v>3990.32</v>
      </c>
      <c r="F11561" s="14" t="n">
        <v>25575.74</v>
      </c>
      <c r="G11561" s="6" t="s">
        <v>2613</v>
      </c>
    </row>
    <row r="11562" customFormat="false" ht="15" hidden="false" customHeight="true" outlineLevel="0" collapsed="false">
      <c r="A11562" s="6" t="s">
        <v>14174</v>
      </c>
      <c r="B11562" s="6" t="s">
        <v>2331</v>
      </c>
      <c r="C11562" s="6" t="s">
        <v>128</v>
      </c>
      <c r="D11562" s="13" t="n">
        <v>45225</v>
      </c>
      <c r="E11562" s="14" t="n">
        <v>4985.84</v>
      </c>
      <c r="F11562" s="14" t="n">
        <v>30561.58</v>
      </c>
      <c r="G11562" s="6" t="s">
        <v>2613</v>
      </c>
    </row>
    <row r="11563" customFormat="false" ht="15" hidden="false" customHeight="true" outlineLevel="0" collapsed="false">
      <c r="A11563" s="6" t="s">
        <v>14175</v>
      </c>
      <c r="B11563" s="6" t="s">
        <v>2331</v>
      </c>
      <c r="C11563" s="6" t="s">
        <v>128</v>
      </c>
      <c r="D11563" s="13" t="n">
        <v>45232</v>
      </c>
      <c r="E11563" s="14" t="n">
        <v>2562.46</v>
      </c>
      <c r="F11563" s="14" t="n">
        <v>33124.04</v>
      </c>
      <c r="G11563" s="6" t="s">
        <v>2613</v>
      </c>
    </row>
    <row r="11564" customFormat="false" ht="15" hidden="false" customHeight="true" outlineLevel="0" collapsed="false">
      <c r="A11564" s="6" t="s">
        <v>14176</v>
      </c>
      <c r="B11564" s="6" t="s">
        <v>2331</v>
      </c>
      <c r="C11564" s="6" t="s">
        <v>128</v>
      </c>
      <c r="D11564" s="13" t="n">
        <v>45239</v>
      </c>
      <c r="E11564" s="14" t="n">
        <v>3325.97</v>
      </c>
      <c r="F11564" s="14" t="n">
        <v>36450.01</v>
      </c>
      <c r="G11564" s="6" t="s">
        <v>2613</v>
      </c>
    </row>
    <row r="11565" customFormat="false" ht="15" hidden="false" customHeight="true" outlineLevel="0" collapsed="false">
      <c r="A11565" s="6" t="s">
        <v>14177</v>
      </c>
      <c r="B11565" s="6" t="s">
        <v>2331</v>
      </c>
      <c r="C11565" s="6" t="s">
        <v>128</v>
      </c>
      <c r="D11565" s="13" t="n">
        <v>45246</v>
      </c>
      <c r="E11565" s="14" t="n">
        <v>4052.39</v>
      </c>
      <c r="F11565" s="14" t="n">
        <v>40502.4</v>
      </c>
      <c r="G11565" s="6" t="s">
        <v>2613</v>
      </c>
    </row>
    <row r="11566" customFormat="false" ht="15" hidden="false" customHeight="true" outlineLevel="0" collapsed="false">
      <c r="A11566" s="6" t="s">
        <v>14178</v>
      </c>
      <c r="B11566" s="6" t="s">
        <v>2331</v>
      </c>
      <c r="C11566" s="6" t="s">
        <v>128</v>
      </c>
      <c r="D11566" s="13" t="n">
        <v>45253</v>
      </c>
      <c r="E11566" s="14" t="n">
        <v>4405.52</v>
      </c>
      <c r="F11566" s="14" t="n">
        <v>44907.92</v>
      </c>
      <c r="G11566" s="6" t="s">
        <v>2613</v>
      </c>
    </row>
    <row r="11567" customFormat="false" ht="15" hidden="false" customHeight="true" outlineLevel="0" collapsed="false">
      <c r="A11567" s="6" t="s">
        <v>14179</v>
      </c>
      <c r="B11567" s="6" t="s">
        <v>2331</v>
      </c>
      <c r="C11567" s="6" t="s">
        <v>128</v>
      </c>
      <c r="D11567" s="13" t="n">
        <v>45260</v>
      </c>
      <c r="E11567" s="14" t="n">
        <v>4275.18</v>
      </c>
      <c r="F11567" s="14" t="n">
        <v>49183.1</v>
      </c>
      <c r="G11567" s="6" t="s">
        <v>2613</v>
      </c>
    </row>
    <row r="11568" customFormat="false" ht="15" hidden="false" customHeight="true" outlineLevel="0" collapsed="false">
      <c r="A11568" s="6" t="s">
        <v>14180</v>
      </c>
      <c r="B11568" s="6" t="s">
        <v>2331</v>
      </c>
      <c r="C11568" s="6" t="s">
        <v>128</v>
      </c>
      <c r="D11568" s="13" t="n">
        <v>45267</v>
      </c>
      <c r="E11568" s="14" t="n">
        <v>3247.79</v>
      </c>
      <c r="F11568" s="14" t="n">
        <v>52430.89</v>
      </c>
      <c r="G11568" s="6" t="s">
        <v>2613</v>
      </c>
    </row>
    <row r="11569" customFormat="false" ht="15" hidden="false" customHeight="true" outlineLevel="0" collapsed="false">
      <c r="A11569" s="6" t="s">
        <v>14181</v>
      </c>
      <c r="B11569" s="6" t="s">
        <v>2331</v>
      </c>
      <c r="C11569" s="6" t="s">
        <v>128</v>
      </c>
      <c r="D11569" s="13" t="n">
        <v>45274</v>
      </c>
      <c r="E11569" s="14" t="n">
        <v>2738.42</v>
      </c>
      <c r="F11569" s="14" t="n">
        <v>55169.31</v>
      </c>
      <c r="G11569" s="6" t="s">
        <v>2613</v>
      </c>
    </row>
    <row r="11570" customFormat="false" ht="15" hidden="false" customHeight="true" outlineLevel="0" collapsed="false">
      <c r="A11570" s="6" t="s">
        <v>14182</v>
      </c>
      <c r="B11570" s="6" t="s">
        <v>2331</v>
      </c>
      <c r="C11570" s="6" t="s">
        <v>128</v>
      </c>
      <c r="D11570" s="13" t="n">
        <v>45281</v>
      </c>
      <c r="E11570" s="14" t="n">
        <v>3234.64</v>
      </c>
      <c r="F11570" s="14" t="n">
        <v>58403.95</v>
      </c>
      <c r="G11570" s="6" t="s">
        <v>2623</v>
      </c>
    </row>
    <row r="11571" customFormat="false" ht="15" hidden="false" customHeight="true" outlineLevel="0" collapsed="false">
      <c r="A11571" s="6" t="s">
        <v>14183</v>
      </c>
      <c r="B11571" s="6" t="s">
        <v>2331</v>
      </c>
      <c r="C11571" s="6" t="s">
        <v>128</v>
      </c>
      <c r="D11571" s="13" t="n">
        <v>45288</v>
      </c>
      <c r="E11571" s="14" t="n">
        <v>6219.5</v>
      </c>
      <c r="F11571" s="14" t="n">
        <v>64623.45</v>
      </c>
      <c r="G11571" s="6" t="s">
        <v>2613</v>
      </c>
    </row>
    <row r="11572" customFormat="false" ht="15" hidden="false" customHeight="true" outlineLevel="0" collapsed="false">
      <c r="A11572" s="6" t="s">
        <v>14184</v>
      </c>
      <c r="B11572" s="6" t="s">
        <v>2333</v>
      </c>
      <c r="C11572" s="6" t="s">
        <v>116</v>
      </c>
      <c r="D11572" s="13" t="n">
        <v>45635</v>
      </c>
      <c r="E11572" s="14" t="n">
        <v>229.83</v>
      </c>
      <c r="F11572" s="14" t="n">
        <v>229.83</v>
      </c>
      <c r="G11572" s="6" t="s">
        <v>2613</v>
      </c>
    </row>
    <row r="11573" customFormat="false" ht="15" hidden="false" customHeight="true" outlineLevel="0" collapsed="false">
      <c r="A11573" s="6" t="s">
        <v>14185</v>
      </c>
      <c r="B11573" s="6" t="s">
        <v>2333</v>
      </c>
      <c r="C11573" s="6" t="s">
        <v>116</v>
      </c>
      <c r="D11573" s="13" t="n">
        <v>45642</v>
      </c>
      <c r="E11573" s="14" t="n">
        <v>338.83</v>
      </c>
      <c r="F11573" s="14" t="n">
        <v>568.66</v>
      </c>
      <c r="G11573" s="6" t="s">
        <v>2613</v>
      </c>
    </row>
    <row r="11574" customFormat="false" ht="15" hidden="false" customHeight="true" outlineLevel="0" collapsed="false">
      <c r="A11574" s="6" t="s">
        <v>14186</v>
      </c>
      <c r="B11574" s="6" t="s">
        <v>2333</v>
      </c>
      <c r="C11574" s="6" t="s">
        <v>116</v>
      </c>
      <c r="D11574" s="13" t="n">
        <v>45649</v>
      </c>
      <c r="E11574" s="14" t="n">
        <v>426.3</v>
      </c>
      <c r="F11574" s="14" t="n">
        <v>994.96</v>
      </c>
      <c r="G11574" s="6" t="s">
        <v>2613</v>
      </c>
    </row>
    <row r="11575" customFormat="false" ht="15" hidden="false" customHeight="true" outlineLevel="0" collapsed="false">
      <c r="A11575" s="6" t="s">
        <v>14187</v>
      </c>
      <c r="B11575" s="6" t="s">
        <v>2333</v>
      </c>
      <c r="C11575" s="6" t="s">
        <v>116</v>
      </c>
      <c r="D11575" s="13" t="n">
        <v>45656</v>
      </c>
      <c r="E11575" s="14" t="n">
        <v>455.25</v>
      </c>
      <c r="F11575" s="14" t="n">
        <v>1450.21</v>
      </c>
      <c r="G11575" s="6" t="s">
        <v>2613</v>
      </c>
    </row>
    <row r="11576" customFormat="false" ht="15" hidden="false" customHeight="true" outlineLevel="0" collapsed="false">
      <c r="A11576" s="6" t="s">
        <v>14188</v>
      </c>
      <c r="B11576" s="6" t="s">
        <v>2333</v>
      </c>
      <c r="C11576" s="6" t="s">
        <v>116</v>
      </c>
      <c r="D11576" s="13" t="n">
        <v>45663</v>
      </c>
      <c r="E11576" s="14" t="n">
        <v>216.6</v>
      </c>
      <c r="F11576" s="14" t="n">
        <v>1666.81</v>
      </c>
      <c r="G11576" s="6" t="s">
        <v>2623</v>
      </c>
    </row>
    <row r="11577" customFormat="false" ht="15" hidden="false" customHeight="true" outlineLevel="0" collapsed="false">
      <c r="A11577" s="6" t="s">
        <v>14189</v>
      </c>
      <c r="B11577" s="6" t="s">
        <v>2333</v>
      </c>
      <c r="C11577" s="6" t="s">
        <v>116</v>
      </c>
      <c r="D11577" s="13" t="n">
        <v>45670</v>
      </c>
      <c r="E11577" s="14" t="n">
        <v>490.54</v>
      </c>
      <c r="F11577" s="14" t="n">
        <v>2157.35</v>
      </c>
      <c r="G11577" s="6" t="s">
        <v>2613</v>
      </c>
    </row>
    <row r="11578" customFormat="false" ht="15" hidden="false" customHeight="true" outlineLevel="0" collapsed="false">
      <c r="A11578" s="6" t="s">
        <v>14190</v>
      </c>
      <c r="B11578" s="6" t="s">
        <v>2333</v>
      </c>
      <c r="C11578" s="6" t="s">
        <v>116</v>
      </c>
      <c r="D11578" s="13" t="n">
        <v>45677</v>
      </c>
      <c r="E11578" s="14" t="n">
        <v>255.88</v>
      </c>
      <c r="F11578" s="14" t="n">
        <v>2413.23</v>
      </c>
      <c r="G11578" s="6" t="s">
        <v>2613</v>
      </c>
    </row>
    <row r="11579" customFormat="false" ht="15" hidden="false" customHeight="true" outlineLevel="0" collapsed="false">
      <c r="A11579" s="6" t="s">
        <v>14191</v>
      </c>
      <c r="B11579" s="6" t="s">
        <v>2333</v>
      </c>
      <c r="C11579" s="6" t="s">
        <v>116</v>
      </c>
      <c r="D11579" s="13" t="n">
        <v>45684</v>
      </c>
      <c r="E11579" s="14" t="n">
        <v>286.64</v>
      </c>
      <c r="F11579" s="14" t="n">
        <v>2699.87</v>
      </c>
      <c r="G11579" s="6" t="s">
        <v>2613</v>
      </c>
    </row>
    <row r="11580" customFormat="false" ht="15" hidden="false" customHeight="true" outlineLevel="0" collapsed="false">
      <c r="A11580" s="6" t="s">
        <v>14192</v>
      </c>
      <c r="B11580" s="6" t="s">
        <v>2333</v>
      </c>
      <c r="C11580" s="6" t="s">
        <v>116</v>
      </c>
      <c r="D11580" s="13" t="n">
        <v>45691</v>
      </c>
      <c r="E11580" s="14" t="n">
        <v>322.62</v>
      </c>
      <c r="F11580" s="14" t="n">
        <v>3022.49</v>
      </c>
      <c r="G11580" s="6" t="s">
        <v>2613</v>
      </c>
    </row>
    <row r="11581" customFormat="false" ht="15" hidden="false" customHeight="true" outlineLevel="0" collapsed="false">
      <c r="A11581" s="6" t="s">
        <v>14193</v>
      </c>
      <c r="B11581" s="6" t="s">
        <v>2333</v>
      </c>
      <c r="C11581" s="6" t="s">
        <v>116</v>
      </c>
      <c r="D11581" s="13" t="n">
        <v>45698</v>
      </c>
      <c r="E11581" s="14" t="n">
        <v>232.65</v>
      </c>
      <c r="F11581" s="14" t="n">
        <v>3255.14</v>
      </c>
      <c r="G11581" s="6" t="s">
        <v>2613</v>
      </c>
    </row>
    <row r="11582" customFormat="false" ht="15" hidden="false" customHeight="true" outlineLevel="0" collapsed="false">
      <c r="A11582" s="6" t="s">
        <v>14194</v>
      </c>
      <c r="B11582" s="6" t="s">
        <v>2333</v>
      </c>
      <c r="C11582" s="6" t="s">
        <v>116</v>
      </c>
      <c r="D11582" s="13" t="n">
        <v>45705</v>
      </c>
      <c r="E11582" s="14" t="n">
        <v>407.92</v>
      </c>
      <c r="F11582" s="14" t="n">
        <v>3663.06</v>
      </c>
      <c r="G11582" s="6" t="s">
        <v>2613</v>
      </c>
    </row>
    <row r="11583" customFormat="false" ht="15" hidden="false" customHeight="true" outlineLevel="0" collapsed="false">
      <c r="A11583" s="6" t="s">
        <v>14195</v>
      </c>
      <c r="B11583" s="6" t="s">
        <v>2333</v>
      </c>
      <c r="C11583" s="6" t="s">
        <v>116</v>
      </c>
      <c r="D11583" s="13" t="n">
        <v>45712</v>
      </c>
      <c r="E11583" s="14" t="n">
        <v>427.65</v>
      </c>
      <c r="F11583" s="14" t="n">
        <v>4090.71</v>
      </c>
      <c r="G11583" s="6" t="s">
        <v>2613</v>
      </c>
    </row>
    <row r="11584" customFormat="false" ht="15" hidden="false" customHeight="true" outlineLevel="0" collapsed="false">
      <c r="A11584" s="6" t="s">
        <v>14196</v>
      </c>
      <c r="B11584" s="6" t="s">
        <v>2333</v>
      </c>
      <c r="C11584" s="6" t="s">
        <v>116</v>
      </c>
      <c r="D11584" s="13" t="n">
        <v>45719</v>
      </c>
      <c r="E11584" s="14" t="n">
        <v>439.57</v>
      </c>
      <c r="F11584" s="14" t="n">
        <v>4530.28</v>
      </c>
      <c r="G11584" s="6" t="s">
        <v>2613</v>
      </c>
    </row>
    <row r="11585" customFormat="false" ht="15" hidden="false" customHeight="true" outlineLevel="0" collapsed="false">
      <c r="A11585" s="6" t="s">
        <v>14197</v>
      </c>
      <c r="B11585" s="6" t="s">
        <v>2333</v>
      </c>
      <c r="C11585" s="6" t="s">
        <v>116</v>
      </c>
      <c r="D11585" s="13" t="n">
        <v>45726</v>
      </c>
      <c r="E11585" s="14" t="n">
        <v>400.95</v>
      </c>
      <c r="F11585" s="14" t="n">
        <v>4931.23</v>
      </c>
      <c r="G11585" s="6" t="s">
        <v>2613</v>
      </c>
    </row>
    <row r="11586" customFormat="false" ht="15" hidden="false" customHeight="true" outlineLevel="0" collapsed="false">
      <c r="A11586" s="6" t="s">
        <v>14198</v>
      </c>
      <c r="B11586" s="6" t="s">
        <v>2333</v>
      </c>
      <c r="C11586" s="6" t="s">
        <v>116</v>
      </c>
      <c r="D11586" s="13" t="n">
        <v>45733</v>
      </c>
      <c r="E11586" s="14" t="n">
        <v>458.23</v>
      </c>
      <c r="F11586" s="14" t="n">
        <v>5389.46</v>
      </c>
      <c r="G11586" s="6" t="s">
        <v>2613</v>
      </c>
    </row>
    <row r="11587" customFormat="false" ht="15" hidden="false" customHeight="true" outlineLevel="0" collapsed="false">
      <c r="A11587" s="6" t="s">
        <v>14199</v>
      </c>
      <c r="B11587" s="6" t="s">
        <v>2333</v>
      </c>
      <c r="C11587" s="6" t="s">
        <v>116</v>
      </c>
      <c r="D11587" s="13" t="n">
        <v>45740</v>
      </c>
      <c r="E11587" s="14" t="n">
        <v>419.61</v>
      </c>
      <c r="F11587" s="14" t="n">
        <v>5809.07</v>
      </c>
      <c r="G11587" s="6" t="s">
        <v>2613</v>
      </c>
    </row>
    <row r="11588" customFormat="false" ht="15" hidden="false" customHeight="true" outlineLevel="0" collapsed="false">
      <c r="A11588" s="6" t="s">
        <v>14200</v>
      </c>
      <c r="B11588" s="6" t="s">
        <v>2333</v>
      </c>
      <c r="C11588" s="6" t="s">
        <v>116</v>
      </c>
      <c r="D11588" s="13" t="n">
        <v>45747</v>
      </c>
      <c r="E11588" s="14" t="n">
        <v>486.78</v>
      </c>
      <c r="F11588" s="14" t="n">
        <v>6295.85</v>
      </c>
      <c r="G11588" s="6" t="s">
        <v>2623</v>
      </c>
    </row>
    <row r="11589" customFormat="false" ht="15" hidden="false" customHeight="true" outlineLevel="0" collapsed="false">
      <c r="A11589" s="6" t="s">
        <v>14201</v>
      </c>
      <c r="B11589" s="6" t="s">
        <v>2333</v>
      </c>
      <c r="C11589" s="6" t="s">
        <v>116</v>
      </c>
      <c r="D11589" s="13" t="n">
        <v>45754</v>
      </c>
      <c r="E11589" s="14" t="n">
        <v>286.9</v>
      </c>
      <c r="F11589" s="14" t="n">
        <v>6582.75</v>
      </c>
      <c r="G11589" s="6" t="s">
        <v>2613</v>
      </c>
    </row>
    <row r="11590" customFormat="false" ht="15" hidden="false" customHeight="true" outlineLevel="0" collapsed="false">
      <c r="A11590" s="6" t="s">
        <v>14202</v>
      </c>
      <c r="B11590" s="6" t="s">
        <v>2333</v>
      </c>
      <c r="C11590" s="6" t="s">
        <v>116</v>
      </c>
      <c r="D11590" s="13" t="n">
        <v>45761</v>
      </c>
      <c r="E11590" s="14" t="n">
        <v>258.22</v>
      </c>
      <c r="F11590" s="14" t="n">
        <v>6840.97</v>
      </c>
      <c r="G11590" s="6" t="s">
        <v>2613</v>
      </c>
    </row>
    <row r="11591" customFormat="false" ht="15" hidden="false" customHeight="true" outlineLevel="0" collapsed="false">
      <c r="A11591" s="6" t="s">
        <v>14203</v>
      </c>
      <c r="B11591" s="6" t="s">
        <v>2333</v>
      </c>
      <c r="C11591" s="6" t="s">
        <v>116</v>
      </c>
      <c r="D11591" s="13" t="n">
        <v>45768</v>
      </c>
      <c r="E11591" s="14" t="n">
        <v>192.58</v>
      </c>
      <c r="F11591" s="14" t="n">
        <v>7033.55</v>
      </c>
      <c r="G11591" s="6" t="s">
        <v>2623</v>
      </c>
    </row>
    <row r="11592" customFormat="false" ht="15" hidden="false" customHeight="true" outlineLevel="0" collapsed="false">
      <c r="A11592" s="6" t="s">
        <v>14204</v>
      </c>
      <c r="B11592" s="6" t="s">
        <v>2335</v>
      </c>
      <c r="C11592" s="6" t="s">
        <v>128</v>
      </c>
      <c r="D11592" s="13" t="n">
        <v>46134</v>
      </c>
      <c r="E11592" s="14" t="n">
        <v>627.45</v>
      </c>
      <c r="F11592" s="14" t="n">
        <v>627.45</v>
      </c>
      <c r="G11592" s="6" t="s">
        <v>2613</v>
      </c>
    </row>
    <row r="11593" customFormat="false" ht="15" hidden="false" customHeight="true" outlineLevel="0" collapsed="false">
      <c r="A11593" s="6" t="s">
        <v>14205</v>
      </c>
      <c r="B11593" s="6" t="s">
        <v>2335</v>
      </c>
      <c r="C11593" s="6" t="s">
        <v>128</v>
      </c>
      <c r="D11593" s="13" t="n">
        <v>46141</v>
      </c>
      <c r="E11593" s="14" t="n">
        <v>623.75</v>
      </c>
      <c r="F11593" s="14" t="n">
        <v>1251.2</v>
      </c>
      <c r="G11593" s="6" t="s">
        <v>2613</v>
      </c>
    </row>
    <row r="11594" customFormat="false" ht="15" hidden="false" customHeight="true" outlineLevel="0" collapsed="false">
      <c r="A11594" s="6" t="s">
        <v>14206</v>
      </c>
      <c r="B11594" s="6" t="s">
        <v>2335</v>
      </c>
      <c r="C11594" s="6" t="s">
        <v>128</v>
      </c>
      <c r="D11594" s="13" t="n">
        <v>46148</v>
      </c>
      <c r="E11594" s="14" t="n">
        <v>506.09</v>
      </c>
      <c r="F11594" s="14" t="n">
        <v>1757.29</v>
      </c>
      <c r="G11594" s="6" t="s">
        <v>2613</v>
      </c>
    </row>
    <row r="11595" customFormat="false" ht="15" hidden="false" customHeight="true" outlineLevel="0" collapsed="false">
      <c r="A11595" s="6" t="s">
        <v>14207</v>
      </c>
      <c r="B11595" s="6" t="s">
        <v>2335</v>
      </c>
      <c r="C11595" s="6" t="s">
        <v>128</v>
      </c>
      <c r="D11595" s="13" t="n">
        <v>46155</v>
      </c>
      <c r="E11595" s="14" t="n">
        <v>670.33</v>
      </c>
      <c r="F11595" s="14" t="n">
        <v>2427.62</v>
      </c>
      <c r="G11595" s="6" t="s">
        <v>2613</v>
      </c>
    </row>
    <row r="11596" customFormat="false" ht="15" hidden="false" customHeight="true" outlineLevel="0" collapsed="false">
      <c r="A11596" s="6" t="s">
        <v>14208</v>
      </c>
      <c r="B11596" s="6" t="s">
        <v>2335</v>
      </c>
      <c r="C11596" s="6" t="s">
        <v>128</v>
      </c>
      <c r="D11596" s="13" t="n">
        <v>46162</v>
      </c>
      <c r="E11596" s="14" t="n">
        <v>591.09</v>
      </c>
      <c r="F11596" s="14" t="n">
        <v>3018.71</v>
      </c>
      <c r="G11596" s="6" t="s">
        <v>2613</v>
      </c>
    </row>
    <row r="11597" customFormat="false" ht="15" hidden="false" customHeight="true" outlineLevel="0" collapsed="false">
      <c r="A11597" s="6" t="s">
        <v>14209</v>
      </c>
      <c r="B11597" s="6" t="s">
        <v>2335</v>
      </c>
      <c r="C11597" s="6" t="s">
        <v>128</v>
      </c>
      <c r="D11597" s="13" t="n">
        <v>46169</v>
      </c>
      <c r="E11597" s="14" t="n">
        <v>307.22</v>
      </c>
      <c r="F11597" s="14" t="n">
        <v>3325.93</v>
      </c>
      <c r="G11597" s="6" t="s">
        <v>2613</v>
      </c>
    </row>
    <row r="11598" customFormat="false" ht="15" hidden="false" customHeight="true" outlineLevel="0" collapsed="false">
      <c r="A11598" s="6" t="s">
        <v>14210</v>
      </c>
      <c r="B11598" s="6" t="s">
        <v>2335</v>
      </c>
      <c r="C11598" s="6" t="s">
        <v>128</v>
      </c>
      <c r="D11598" s="13" t="n">
        <v>46176</v>
      </c>
      <c r="E11598" s="14" t="n">
        <v>622.52</v>
      </c>
      <c r="F11598" s="14" t="n">
        <v>3948.45</v>
      </c>
      <c r="G11598" s="6" t="s">
        <v>2613</v>
      </c>
    </row>
    <row r="11599" customFormat="false" ht="15" hidden="false" customHeight="true" outlineLevel="0" collapsed="false">
      <c r="A11599" s="6" t="s">
        <v>14211</v>
      </c>
      <c r="B11599" s="6" t="s">
        <v>2335</v>
      </c>
      <c r="C11599" s="6" t="s">
        <v>128</v>
      </c>
      <c r="D11599" s="13" t="n">
        <v>46183</v>
      </c>
      <c r="E11599" s="14" t="n">
        <v>304.74</v>
      </c>
      <c r="F11599" s="14" t="n">
        <v>4253.19</v>
      </c>
      <c r="G11599" s="6" t="s">
        <v>2613</v>
      </c>
    </row>
    <row r="11600" customFormat="false" ht="15" hidden="false" customHeight="true" outlineLevel="0" collapsed="false">
      <c r="A11600" s="6" t="s">
        <v>14212</v>
      </c>
      <c r="B11600" s="6" t="s">
        <v>2335</v>
      </c>
      <c r="C11600" s="6" t="s">
        <v>128</v>
      </c>
      <c r="D11600" s="13" t="n">
        <v>46190</v>
      </c>
      <c r="E11600" s="14" t="n">
        <v>246.47</v>
      </c>
      <c r="F11600" s="14" t="n">
        <v>4499.66</v>
      </c>
      <c r="G11600" s="6" t="s">
        <v>2613</v>
      </c>
    </row>
    <row r="11601" customFormat="false" ht="15" hidden="false" customHeight="true" outlineLevel="0" collapsed="false">
      <c r="A11601" s="6" t="s">
        <v>14213</v>
      </c>
      <c r="B11601" s="6" t="s">
        <v>2337</v>
      </c>
      <c r="C11601" s="6" t="s">
        <v>128</v>
      </c>
      <c r="D11601" s="13" t="n">
        <v>46047</v>
      </c>
      <c r="E11601" s="14" t="n">
        <v>649.71</v>
      </c>
      <c r="F11601" s="14" t="n">
        <v>649.71</v>
      </c>
      <c r="G11601" s="6" t="s">
        <v>2613</v>
      </c>
    </row>
    <row r="11602" customFormat="false" ht="15" hidden="false" customHeight="true" outlineLevel="0" collapsed="false">
      <c r="A11602" s="6" t="s">
        <v>14214</v>
      </c>
      <c r="B11602" s="6" t="s">
        <v>2337</v>
      </c>
      <c r="C11602" s="6" t="s">
        <v>128</v>
      </c>
      <c r="D11602" s="13" t="n">
        <v>46054</v>
      </c>
      <c r="E11602" s="14" t="n">
        <v>409.61</v>
      </c>
      <c r="F11602" s="14" t="n">
        <v>1059.32</v>
      </c>
      <c r="G11602" s="6" t="s">
        <v>2613</v>
      </c>
    </row>
    <row r="11603" customFormat="false" ht="15" hidden="false" customHeight="true" outlineLevel="0" collapsed="false">
      <c r="A11603" s="6" t="s">
        <v>14215</v>
      </c>
      <c r="B11603" s="6" t="s">
        <v>2337</v>
      </c>
      <c r="C11603" s="6" t="s">
        <v>128</v>
      </c>
      <c r="D11603" s="13" t="n">
        <v>46061</v>
      </c>
      <c r="E11603" s="14" t="n">
        <v>552.01</v>
      </c>
      <c r="F11603" s="14" t="n">
        <v>1611.33</v>
      </c>
      <c r="G11603" s="6" t="s">
        <v>2613</v>
      </c>
    </row>
    <row r="11604" customFormat="false" ht="15" hidden="false" customHeight="true" outlineLevel="0" collapsed="false">
      <c r="A11604" s="6" t="s">
        <v>14216</v>
      </c>
      <c r="B11604" s="6" t="s">
        <v>2337</v>
      </c>
      <c r="C11604" s="6" t="s">
        <v>128</v>
      </c>
      <c r="D11604" s="13" t="n">
        <v>46068</v>
      </c>
      <c r="E11604" s="14" t="n">
        <v>585.68</v>
      </c>
      <c r="F11604" s="14" t="n">
        <v>2197.01</v>
      </c>
      <c r="G11604" s="6" t="s">
        <v>2613</v>
      </c>
    </row>
    <row r="11605" customFormat="false" ht="15" hidden="false" customHeight="true" outlineLevel="0" collapsed="false">
      <c r="A11605" s="6" t="s">
        <v>14217</v>
      </c>
      <c r="B11605" s="6" t="s">
        <v>2337</v>
      </c>
      <c r="C11605" s="6" t="s">
        <v>128</v>
      </c>
      <c r="D11605" s="13" t="n">
        <v>46075</v>
      </c>
      <c r="E11605" s="14" t="n">
        <v>295.79</v>
      </c>
      <c r="F11605" s="14" t="n">
        <v>2492.8</v>
      </c>
      <c r="G11605" s="6" t="s">
        <v>2613</v>
      </c>
    </row>
    <row r="11606" customFormat="false" ht="15" hidden="false" customHeight="true" outlineLevel="0" collapsed="false">
      <c r="A11606" s="6" t="s">
        <v>14218</v>
      </c>
      <c r="B11606" s="6" t="s">
        <v>2337</v>
      </c>
      <c r="C11606" s="6" t="s">
        <v>128</v>
      </c>
      <c r="D11606" s="13" t="n">
        <v>46082</v>
      </c>
      <c r="E11606" s="14" t="n">
        <v>321.17</v>
      </c>
      <c r="F11606" s="14" t="n">
        <v>2813.97</v>
      </c>
      <c r="G11606" s="6" t="s">
        <v>2613</v>
      </c>
    </row>
    <row r="11607" customFormat="false" ht="15" hidden="false" customHeight="true" outlineLevel="0" collapsed="false">
      <c r="A11607" s="6" t="s">
        <v>14219</v>
      </c>
      <c r="B11607" s="6" t="s">
        <v>2337</v>
      </c>
      <c r="C11607" s="6" t="s">
        <v>128</v>
      </c>
      <c r="D11607" s="13" t="n">
        <v>46089</v>
      </c>
      <c r="E11607" s="14" t="n">
        <v>307.22</v>
      </c>
      <c r="F11607" s="14" t="n">
        <v>3121.19</v>
      </c>
      <c r="G11607" s="6" t="s">
        <v>2613</v>
      </c>
    </row>
    <row r="11608" customFormat="false" ht="15" hidden="false" customHeight="true" outlineLevel="0" collapsed="false">
      <c r="A11608" s="6" t="s">
        <v>14220</v>
      </c>
      <c r="B11608" s="6" t="s">
        <v>2337</v>
      </c>
      <c r="C11608" s="6" t="s">
        <v>128</v>
      </c>
      <c r="D11608" s="13" t="n">
        <v>46096</v>
      </c>
      <c r="E11608" s="14" t="n">
        <v>437.22</v>
      </c>
      <c r="F11608" s="14" t="n">
        <v>3558.41</v>
      </c>
      <c r="G11608" s="6" t="s">
        <v>2613</v>
      </c>
    </row>
    <row r="11609" customFormat="false" ht="15" hidden="false" customHeight="true" outlineLevel="0" collapsed="false">
      <c r="A11609" s="6" t="s">
        <v>14221</v>
      </c>
      <c r="B11609" s="6" t="s">
        <v>2337</v>
      </c>
      <c r="C11609" s="6" t="s">
        <v>128</v>
      </c>
      <c r="D11609" s="13" t="n">
        <v>46103</v>
      </c>
      <c r="E11609" s="14" t="n">
        <v>289.79</v>
      </c>
      <c r="F11609" s="14" t="n">
        <v>3848.2</v>
      </c>
      <c r="G11609" s="6" t="s">
        <v>2613</v>
      </c>
    </row>
    <row r="11610" customFormat="false" ht="15" hidden="false" customHeight="true" outlineLevel="0" collapsed="false">
      <c r="A11610" s="6" t="s">
        <v>14222</v>
      </c>
      <c r="B11610" s="6" t="s">
        <v>2337</v>
      </c>
      <c r="C11610" s="6" t="s">
        <v>128</v>
      </c>
      <c r="D11610" s="13" t="n">
        <v>46110</v>
      </c>
      <c r="E11610" s="14" t="n">
        <v>520.38</v>
      </c>
      <c r="F11610" s="14" t="n">
        <v>4368.58</v>
      </c>
      <c r="G11610" s="6" t="s">
        <v>2613</v>
      </c>
    </row>
    <row r="11611" customFormat="false" ht="15" hidden="false" customHeight="true" outlineLevel="0" collapsed="false">
      <c r="A11611" s="6" t="s">
        <v>14223</v>
      </c>
      <c r="B11611" s="6" t="s">
        <v>2337</v>
      </c>
      <c r="C11611" s="6" t="s">
        <v>128</v>
      </c>
      <c r="D11611" s="13" t="n">
        <v>46117</v>
      </c>
      <c r="E11611" s="14" t="n">
        <v>640.35</v>
      </c>
      <c r="F11611" s="14" t="n">
        <v>5008.93</v>
      </c>
      <c r="G11611" s="6" t="s">
        <v>2613</v>
      </c>
    </row>
    <row r="11612" customFormat="false" ht="15" hidden="false" customHeight="true" outlineLevel="0" collapsed="false">
      <c r="A11612" s="6" t="s">
        <v>14224</v>
      </c>
      <c r="B11612" s="6" t="s">
        <v>2337</v>
      </c>
      <c r="C11612" s="6" t="s">
        <v>128</v>
      </c>
      <c r="D11612" s="13" t="n">
        <v>46124</v>
      </c>
      <c r="E11612" s="14" t="n">
        <v>621.33</v>
      </c>
      <c r="F11612" s="14" t="n">
        <v>5630.26</v>
      </c>
      <c r="G11612" s="6" t="s">
        <v>2613</v>
      </c>
    </row>
    <row r="11613" customFormat="false" ht="15" hidden="false" customHeight="true" outlineLevel="0" collapsed="false">
      <c r="A11613" s="6" t="s">
        <v>14225</v>
      </c>
      <c r="B11613" s="6" t="s">
        <v>2339</v>
      </c>
      <c r="C11613" s="6" t="s">
        <v>124</v>
      </c>
      <c r="D11613" s="13" t="n">
        <v>45505</v>
      </c>
      <c r="E11613" s="14" t="n">
        <v>579.09</v>
      </c>
      <c r="F11613" s="14" t="n">
        <v>579.09</v>
      </c>
      <c r="G11613" s="6" t="s">
        <v>2613</v>
      </c>
    </row>
    <row r="11614" customFormat="false" ht="15" hidden="false" customHeight="true" outlineLevel="0" collapsed="false">
      <c r="A11614" s="6" t="s">
        <v>14226</v>
      </c>
      <c r="B11614" s="6" t="s">
        <v>2339</v>
      </c>
      <c r="C11614" s="6" t="s">
        <v>124</v>
      </c>
      <c r="D11614" s="13" t="n">
        <v>45512</v>
      </c>
      <c r="E11614" s="14" t="n">
        <v>730.83</v>
      </c>
      <c r="F11614" s="14" t="n">
        <v>1309.92</v>
      </c>
      <c r="G11614" s="6" t="s">
        <v>2613</v>
      </c>
    </row>
    <row r="11615" customFormat="false" ht="15" hidden="false" customHeight="true" outlineLevel="0" collapsed="false">
      <c r="A11615" s="6" t="s">
        <v>14227</v>
      </c>
      <c r="B11615" s="6" t="s">
        <v>2339</v>
      </c>
      <c r="C11615" s="6" t="s">
        <v>124</v>
      </c>
      <c r="D11615" s="13" t="n">
        <v>45519</v>
      </c>
      <c r="E11615" s="14" t="n">
        <v>662.33</v>
      </c>
      <c r="F11615" s="14" t="n">
        <v>1972.25</v>
      </c>
      <c r="G11615" s="6" t="s">
        <v>2613</v>
      </c>
    </row>
    <row r="11616" customFormat="false" ht="15" hidden="false" customHeight="true" outlineLevel="0" collapsed="false">
      <c r="A11616" s="6" t="s">
        <v>14228</v>
      </c>
      <c r="B11616" s="6" t="s">
        <v>2339</v>
      </c>
      <c r="C11616" s="6" t="s">
        <v>124</v>
      </c>
      <c r="D11616" s="13" t="n">
        <v>45526</v>
      </c>
      <c r="E11616" s="14" t="n">
        <v>379.33</v>
      </c>
      <c r="F11616" s="14" t="n">
        <v>2351.58</v>
      </c>
      <c r="G11616" s="6" t="s">
        <v>2613</v>
      </c>
    </row>
    <row r="11617" customFormat="false" ht="15" hidden="false" customHeight="true" outlineLevel="0" collapsed="false">
      <c r="A11617" s="6" t="s">
        <v>14229</v>
      </c>
      <c r="B11617" s="6" t="s">
        <v>2339</v>
      </c>
      <c r="C11617" s="6" t="s">
        <v>124</v>
      </c>
      <c r="D11617" s="13" t="n">
        <v>45533</v>
      </c>
      <c r="E11617" s="14" t="n">
        <v>346.97</v>
      </c>
      <c r="F11617" s="14" t="n">
        <v>2698.55</v>
      </c>
      <c r="G11617" s="6" t="s">
        <v>2613</v>
      </c>
    </row>
    <row r="11618" customFormat="false" ht="15" hidden="false" customHeight="true" outlineLevel="0" collapsed="false">
      <c r="A11618" s="6" t="s">
        <v>14230</v>
      </c>
      <c r="B11618" s="6" t="s">
        <v>2339</v>
      </c>
      <c r="C11618" s="6" t="s">
        <v>124</v>
      </c>
      <c r="D11618" s="13" t="n">
        <v>45540</v>
      </c>
      <c r="E11618" s="14" t="n">
        <v>345.13</v>
      </c>
      <c r="F11618" s="14" t="n">
        <v>3043.68</v>
      </c>
      <c r="G11618" s="6" t="s">
        <v>2613</v>
      </c>
    </row>
    <row r="11619" customFormat="false" ht="15" hidden="false" customHeight="true" outlineLevel="0" collapsed="false">
      <c r="A11619" s="6" t="s">
        <v>14231</v>
      </c>
      <c r="B11619" s="6" t="s">
        <v>2339</v>
      </c>
      <c r="C11619" s="6" t="s">
        <v>124</v>
      </c>
      <c r="D11619" s="13" t="n">
        <v>45547</v>
      </c>
      <c r="E11619" s="14" t="n">
        <v>677.85</v>
      </c>
      <c r="F11619" s="14" t="n">
        <v>3721.53</v>
      </c>
      <c r="G11619" s="6" t="s">
        <v>2613</v>
      </c>
    </row>
    <row r="11620" customFormat="false" ht="15" hidden="false" customHeight="true" outlineLevel="0" collapsed="false">
      <c r="A11620" s="6" t="s">
        <v>14232</v>
      </c>
      <c r="B11620" s="6" t="s">
        <v>2339</v>
      </c>
      <c r="C11620" s="6" t="s">
        <v>124</v>
      </c>
      <c r="D11620" s="13" t="n">
        <v>45554</v>
      </c>
      <c r="E11620" s="14" t="n">
        <v>543.91</v>
      </c>
      <c r="F11620" s="14" t="n">
        <v>4265.44</v>
      </c>
      <c r="G11620" s="6" t="s">
        <v>2613</v>
      </c>
    </row>
    <row r="11621" customFormat="false" ht="15" hidden="false" customHeight="true" outlineLevel="0" collapsed="false">
      <c r="A11621" s="6" t="s">
        <v>14233</v>
      </c>
      <c r="B11621" s="6" t="s">
        <v>2339</v>
      </c>
      <c r="C11621" s="6" t="s">
        <v>124</v>
      </c>
      <c r="D11621" s="13" t="n">
        <v>45561</v>
      </c>
      <c r="E11621" s="14" t="n">
        <v>660.77</v>
      </c>
      <c r="F11621" s="14" t="n">
        <v>4926.21</v>
      </c>
      <c r="G11621" s="6" t="s">
        <v>2613</v>
      </c>
    </row>
    <row r="11622" customFormat="false" ht="15" hidden="false" customHeight="true" outlineLevel="0" collapsed="false">
      <c r="A11622" s="6" t="s">
        <v>14234</v>
      </c>
      <c r="B11622" s="6" t="s">
        <v>2339</v>
      </c>
      <c r="C11622" s="6" t="s">
        <v>124</v>
      </c>
      <c r="D11622" s="13" t="n">
        <v>45568</v>
      </c>
      <c r="E11622" s="14" t="n">
        <v>759.48</v>
      </c>
      <c r="F11622" s="14" t="n">
        <v>5685.69</v>
      </c>
      <c r="G11622" s="6" t="s">
        <v>2613</v>
      </c>
    </row>
    <row r="11623" customFormat="false" ht="15" hidden="false" customHeight="true" outlineLevel="0" collapsed="false">
      <c r="A11623" s="6" t="s">
        <v>14235</v>
      </c>
      <c r="B11623" s="6" t="s">
        <v>2339</v>
      </c>
      <c r="C11623" s="6" t="s">
        <v>124</v>
      </c>
      <c r="D11623" s="13" t="n">
        <v>45575</v>
      </c>
      <c r="E11623" s="14" t="n">
        <v>537.85</v>
      </c>
      <c r="F11623" s="14" t="n">
        <v>6223.54</v>
      </c>
      <c r="G11623" s="6" t="s">
        <v>2613</v>
      </c>
    </row>
    <row r="11624" customFormat="false" ht="15" hidden="false" customHeight="true" outlineLevel="0" collapsed="false">
      <c r="A11624" s="6" t="s">
        <v>14236</v>
      </c>
      <c r="B11624" s="6" t="s">
        <v>2339</v>
      </c>
      <c r="C11624" s="6" t="s">
        <v>124</v>
      </c>
      <c r="D11624" s="13" t="n">
        <v>45582</v>
      </c>
      <c r="E11624" s="14" t="n">
        <v>736.08</v>
      </c>
      <c r="F11624" s="14" t="n">
        <v>6959.62</v>
      </c>
      <c r="G11624" s="6" t="s">
        <v>2613</v>
      </c>
    </row>
    <row r="11625" customFormat="false" ht="15" hidden="false" customHeight="true" outlineLevel="0" collapsed="false">
      <c r="A11625" s="6" t="s">
        <v>14237</v>
      </c>
      <c r="B11625" s="6" t="s">
        <v>2339</v>
      </c>
      <c r="C11625" s="6" t="s">
        <v>124</v>
      </c>
      <c r="D11625" s="13" t="n">
        <v>45589</v>
      </c>
      <c r="E11625" s="14" t="n">
        <v>635.41</v>
      </c>
      <c r="F11625" s="14" t="n">
        <v>7595.03</v>
      </c>
      <c r="G11625" s="6" t="s">
        <v>2613</v>
      </c>
    </row>
    <row r="11626" customFormat="false" ht="15" hidden="false" customHeight="true" outlineLevel="0" collapsed="false">
      <c r="A11626" s="6" t="s">
        <v>14238</v>
      </c>
      <c r="B11626" s="6" t="s">
        <v>2339</v>
      </c>
      <c r="C11626" s="6" t="s">
        <v>124</v>
      </c>
      <c r="D11626" s="13" t="n">
        <v>45596</v>
      </c>
      <c r="E11626" s="14" t="n">
        <v>476.16</v>
      </c>
      <c r="F11626" s="14" t="n">
        <v>8071.19</v>
      </c>
      <c r="G11626" s="6" t="s">
        <v>2613</v>
      </c>
    </row>
    <row r="11627" customFormat="false" ht="15" hidden="false" customHeight="true" outlineLevel="0" collapsed="false">
      <c r="A11627" s="6" t="s">
        <v>14239</v>
      </c>
      <c r="B11627" s="6" t="s">
        <v>2339</v>
      </c>
      <c r="C11627" s="6" t="s">
        <v>124</v>
      </c>
      <c r="D11627" s="13" t="n">
        <v>45603</v>
      </c>
      <c r="E11627" s="14" t="n">
        <v>503.73</v>
      </c>
      <c r="F11627" s="14" t="n">
        <v>8574.92</v>
      </c>
      <c r="G11627" s="6" t="s">
        <v>2623</v>
      </c>
    </row>
    <row r="11628" customFormat="false" ht="15" hidden="false" customHeight="true" outlineLevel="0" collapsed="false">
      <c r="A11628" s="6" t="s">
        <v>14240</v>
      </c>
      <c r="B11628" s="6" t="s">
        <v>2339</v>
      </c>
      <c r="C11628" s="6" t="s">
        <v>124</v>
      </c>
      <c r="D11628" s="13" t="n">
        <v>45610</v>
      </c>
      <c r="E11628" s="14" t="n">
        <v>453.03</v>
      </c>
      <c r="F11628" s="14" t="n">
        <v>9027.95</v>
      </c>
      <c r="G11628" s="6" t="s">
        <v>2613</v>
      </c>
    </row>
    <row r="11629" customFormat="false" ht="15" hidden="false" customHeight="true" outlineLevel="0" collapsed="false">
      <c r="A11629" s="6" t="s">
        <v>14241</v>
      </c>
      <c r="B11629" s="6" t="s">
        <v>2339</v>
      </c>
      <c r="C11629" s="6" t="s">
        <v>124</v>
      </c>
      <c r="D11629" s="13" t="n">
        <v>45617</v>
      </c>
      <c r="E11629" s="14" t="n">
        <v>655.51</v>
      </c>
      <c r="F11629" s="14" t="n">
        <v>9683.46</v>
      </c>
      <c r="G11629" s="6" t="s">
        <v>2613</v>
      </c>
    </row>
    <row r="11630" customFormat="false" ht="15" hidden="false" customHeight="true" outlineLevel="0" collapsed="false">
      <c r="A11630" s="6" t="s">
        <v>14242</v>
      </c>
      <c r="B11630" s="6" t="s">
        <v>2339</v>
      </c>
      <c r="C11630" s="6" t="s">
        <v>124</v>
      </c>
      <c r="D11630" s="13" t="n">
        <v>45624</v>
      </c>
      <c r="E11630" s="14" t="n">
        <v>643.47</v>
      </c>
      <c r="F11630" s="14" t="n">
        <v>10326.93</v>
      </c>
      <c r="G11630" s="6" t="s">
        <v>2613</v>
      </c>
    </row>
    <row r="11631" customFormat="false" ht="15" hidden="false" customHeight="true" outlineLevel="0" collapsed="false">
      <c r="A11631" s="6" t="s">
        <v>14243</v>
      </c>
      <c r="B11631" s="6" t="s">
        <v>2339</v>
      </c>
      <c r="C11631" s="6" t="s">
        <v>124</v>
      </c>
      <c r="D11631" s="13" t="n">
        <v>45631</v>
      </c>
      <c r="E11631" s="14" t="n">
        <v>506.65</v>
      </c>
      <c r="F11631" s="14" t="n">
        <v>10833.58</v>
      </c>
      <c r="G11631" s="6" t="s">
        <v>2613</v>
      </c>
    </row>
    <row r="11632" customFormat="false" ht="15" hidden="false" customHeight="true" outlineLevel="0" collapsed="false">
      <c r="A11632" s="6" t="s">
        <v>14244</v>
      </c>
      <c r="B11632" s="6" t="s">
        <v>2339</v>
      </c>
      <c r="C11632" s="6" t="s">
        <v>124</v>
      </c>
      <c r="D11632" s="13" t="n">
        <v>45638</v>
      </c>
      <c r="E11632" s="14" t="n">
        <v>411.2</v>
      </c>
      <c r="F11632" s="14" t="n">
        <v>11244.78</v>
      </c>
      <c r="G11632" s="6" t="s">
        <v>2613</v>
      </c>
    </row>
    <row r="11633" customFormat="false" ht="15" hidden="false" customHeight="true" outlineLevel="0" collapsed="false">
      <c r="A11633" s="6" t="s">
        <v>14245</v>
      </c>
      <c r="B11633" s="6" t="s">
        <v>2339</v>
      </c>
      <c r="C11633" s="6" t="s">
        <v>124</v>
      </c>
      <c r="D11633" s="13" t="n">
        <v>45645</v>
      </c>
      <c r="E11633" s="14" t="n">
        <v>773.54</v>
      </c>
      <c r="F11633" s="14" t="n">
        <v>12018.32</v>
      </c>
      <c r="G11633" s="6" t="s">
        <v>2613</v>
      </c>
    </row>
    <row r="11634" customFormat="false" ht="15" hidden="false" customHeight="true" outlineLevel="0" collapsed="false">
      <c r="A11634" s="6" t="s">
        <v>14246</v>
      </c>
      <c r="B11634" s="6" t="s">
        <v>2339</v>
      </c>
      <c r="C11634" s="6" t="s">
        <v>124</v>
      </c>
      <c r="D11634" s="13" t="n">
        <v>45652</v>
      </c>
      <c r="E11634" s="14" t="n">
        <v>432.29</v>
      </c>
      <c r="F11634" s="14" t="n">
        <v>12450.61</v>
      </c>
      <c r="G11634" s="6" t="s">
        <v>2613</v>
      </c>
    </row>
    <row r="11635" customFormat="false" ht="15" hidden="false" customHeight="true" outlineLevel="0" collapsed="false">
      <c r="A11635" s="6" t="s">
        <v>14247</v>
      </c>
      <c r="B11635" s="6" t="s">
        <v>2339</v>
      </c>
      <c r="C11635" s="6" t="s">
        <v>124</v>
      </c>
      <c r="D11635" s="13" t="n">
        <v>45659</v>
      </c>
      <c r="E11635" s="14" t="n">
        <v>770.7</v>
      </c>
      <c r="F11635" s="14" t="n">
        <v>13221.31</v>
      </c>
      <c r="G11635" s="6" t="s">
        <v>2613</v>
      </c>
    </row>
    <row r="11636" customFormat="false" ht="15" hidden="false" customHeight="true" outlineLevel="0" collapsed="false">
      <c r="A11636" s="6" t="s">
        <v>14248</v>
      </c>
      <c r="B11636" s="6" t="s">
        <v>2341</v>
      </c>
      <c r="C11636" s="6" t="s">
        <v>116</v>
      </c>
      <c r="D11636" s="13" t="n">
        <v>45014</v>
      </c>
      <c r="E11636" s="14" t="n">
        <v>6239.84</v>
      </c>
      <c r="F11636" s="14" t="n">
        <v>6239.84</v>
      </c>
      <c r="G11636" s="6" t="s">
        <v>2613</v>
      </c>
    </row>
    <row r="11637" customFormat="false" ht="15" hidden="false" customHeight="true" outlineLevel="0" collapsed="false">
      <c r="A11637" s="6" t="s">
        <v>14249</v>
      </c>
      <c r="B11637" s="6" t="s">
        <v>2341</v>
      </c>
      <c r="C11637" s="6" t="s">
        <v>116</v>
      </c>
      <c r="D11637" s="13" t="n">
        <v>45021</v>
      </c>
      <c r="E11637" s="14" t="n">
        <v>4438.55</v>
      </c>
      <c r="F11637" s="14" t="n">
        <v>10678.39</v>
      </c>
      <c r="G11637" s="6" t="s">
        <v>2613</v>
      </c>
    </row>
    <row r="11638" customFormat="false" ht="15" hidden="false" customHeight="true" outlineLevel="0" collapsed="false">
      <c r="A11638" s="6" t="s">
        <v>14250</v>
      </c>
      <c r="B11638" s="6" t="s">
        <v>2341</v>
      </c>
      <c r="C11638" s="6" t="s">
        <v>116</v>
      </c>
      <c r="D11638" s="13" t="n">
        <v>45028</v>
      </c>
      <c r="E11638" s="14" t="n">
        <v>5160.53</v>
      </c>
      <c r="F11638" s="14" t="n">
        <v>15838.92</v>
      </c>
      <c r="G11638" s="6" t="s">
        <v>2613</v>
      </c>
    </row>
    <row r="11639" customFormat="false" ht="15" hidden="false" customHeight="true" outlineLevel="0" collapsed="false">
      <c r="A11639" s="6" t="s">
        <v>14251</v>
      </c>
      <c r="B11639" s="6" t="s">
        <v>2341</v>
      </c>
      <c r="C11639" s="6" t="s">
        <v>116</v>
      </c>
      <c r="D11639" s="13" t="n">
        <v>45035</v>
      </c>
      <c r="E11639" s="14" t="n">
        <v>5965.19</v>
      </c>
      <c r="F11639" s="14" t="n">
        <v>21804.11</v>
      </c>
      <c r="G11639" s="6" t="s">
        <v>2613</v>
      </c>
    </row>
    <row r="11640" customFormat="false" ht="15" hidden="false" customHeight="true" outlineLevel="0" collapsed="false">
      <c r="A11640" s="6" t="s">
        <v>14252</v>
      </c>
      <c r="B11640" s="6" t="s">
        <v>2341</v>
      </c>
      <c r="C11640" s="6" t="s">
        <v>116</v>
      </c>
      <c r="D11640" s="13" t="n">
        <v>45042</v>
      </c>
      <c r="E11640" s="14" t="n">
        <v>6401.34</v>
      </c>
      <c r="F11640" s="14" t="n">
        <v>28205.45</v>
      </c>
      <c r="G11640" s="6" t="s">
        <v>2613</v>
      </c>
    </row>
    <row r="11641" customFormat="false" ht="15" hidden="false" customHeight="true" outlineLevel="0" collapsed="false">
      <c r="A11641" s="6" t="s">
        <v>14253</v>
      </c>
      <c r="B11641" s="6" t="s">
        <v>2341</v>
      </c>
      <c r="C11641" s="6" t="s">
        <v>116</v>
      </c>
      <c r="D11641" s="13" t="n">
        <v>45049</v>
      </c>
      <c r="E11641" s="14" t="n">
        <v>3969.43</v>
      </c>
      <c r="F11641" s="14" t="n">
        <v>32174.88</v>
      </c>
      <c r="G11641" s="6" t="s">
        <v>2613</v>
      </c>
    </row>
    <row r="11642" customFormat="false" ht="15" hidden="false" customHeight="true" outlineLevel="0" collapsed="false">
      <c r="A11642" s="6" t="s">
        <v>14254</v>
      </c>
      <c r="B11642" s="6" t="s">
        <v>2341</v>
      </c>
      <c r="C11642" s="6" t="s">
        <v>116</v>
      </c>
      <c r="D11642" s="13" t="n">
        <v>45056</v>
      </c>
      <c r="E11642" s="14" t="n">
        <v>3134.94</v>
      </c>
      <c r="F11642" s="14" t="n">
        <v>35309.82</v>
      </c>
      <c r="G11642" s="6" t="s">
        <v>2613</v>
      </c>
    </row>
    <row r="11643" customFormat="false" ht="15" hidden="false" customHeight="true" outlineLevel="0" collapsed="false">
      <c r="A11643" s="6" t="s">
        <v>14255</v>
      </c>
      <c r="B11643" s="6" t="s">
        <v>2341</v>
      </c>
      <c r="C11643" s="6" t="s">
        <v>116</v>
      </c>
      <c r="D11643" s="13" t="n">
        <v>45063</v>
      </c>
      <c r="E11643" s="14" t="n">
        <v>4072.69</v>
      </c>
      <c r="F11643" s="14" t="n">
        <v>39382.51</v>
      </c>
      <c r="G11643" s="6" t="s">
        <v>2613</v>
      </c>
    </row>
    <row r="11644" customFormat="false" ht="15" hidden="false" customHeight="true" outlineLevel="0" collapsed="false">
      <c r="A11644" s="6" t="s">
        <v>14256</v>
      </c>
      <c r="B11644" s="6" t="s">
        <v>2341</v>
      </c>
      <c r="C11644" s="6" t="s">
        <v>116</v>
      </c>
      <c r="D11644" s="13" t="n">
        <v>45070</v>
      </c>
      <c r="E11644" s="14" t="n">
        <v>5479.95</v>
      </c>
      <c r="F11644" s="14" t="n">
        <v>44862.46</v>
      </c>
      <c r="G11644" s="6" t="s">
        <v>2613</v>
      </c>
    </row>
    <row r="11645" customFormat="false" ht="15" hidden="false" customHeight="true" outlineLevel="0" collapsed="false">
      <c r="A11645" s="6" t="s">
        <v>14257</v>
      </c>
      <c r="B11645" s="6" t="s">
        <v>2343</v>
      </c>
      <c r="C11645" s="6" t="s">
        <v>116</v>
      </c>
      <c r="D11645" s="13" t="n">
        <v>45824</v>
      </c>
      <c r="E11645" s="14" t="n">
        <v>3539.8</v>
      </c>
      <c r="F11645" s="14" t="n">
        <v>3539.8</v>
      </c>
      <c r="G11645" s="6" t="s">
        <v>2613</v>
      </c>
    </row>
    <row r="11646" customFormat="false" ht="15" hidden="false" customHeight="true" outlineLevel="0" collapsed="false">
      <c r="A11646" s="6" t="s">
        <v>14258</v>
      </c>
      <c r="B11646" s="6" t="s">
        <v>2343</v>
      </c>
      <c r="C11646" s="6" t="s">
        <v>116</v>
      </c>
      <c r="D11646" s="13" t="n">
        <v>45831</v>
      </c>
      <c r="E11646" s="14" t="n">
        <v>1896.13</v>
      </c>
      <c r="F11646" s="14" t="n">
        <v>5435.93</v>
      </c>
      <c r="G11646" s="6" t="s">
        <v>2613</v>
      </c>
    </row>
    <row r="11647" customFormat="false" ht="15" hidden="false" customHeight="true" outlineLevel="0" collapsed="false">
      <c r="A11647" s="6" t="s">
        <v>14259</v>
      </c>
      <c r="B11647" s="6" t="s">
        <v>2343</v>
      </c>
      <c r="C11647" s="6" t="s">
        <v>116</v>
      </c>
      <c r="D11647" s="13" t="n">
        <v>45838</v>
      </c>
      <c r="E11647" s="14" t="n">
        <v>3057.24</v>
      </c>
      <c r="F11647" s="14" t="n">
        <v>8493.17</v>
      </c>
      <c r="G11647" s="6" t="s">
        <v>2613</v>
      </c>
    </row>
    <row r="11648" customFormat="false" ht="15" hidden="false" customHeight="true" outlineLevel="0" collapsed="false">
      <c r="A11648" s="6" t="s">
        <v>14260</v>
      </c>
      <c r="B11648" s="6" t="s">
        <v>2343</v>
      </c>
      <c r="C11648" s="6" t="s">
        <v>116</v>
      </c>
      <c r="D11648" s="13" t="n">
        <v>45845</v>
      </c>
      <c r="E11648" s="14" t="n">
        <v>2474.8</v>
      </c>
      <c r="F11648" s="14" t="n">
        <v>10967.97</v>
      </c>
      <c r="G11648" s="6" t="s">
        <v>2613</v>
      </c>
    </row>
    <row r="11649" customFormat="false" ht="15" hidden="false" customHeight="true" outlineLevel="0" collapsed="false">
      <c r="A11649" s="6" t="s">
        <v>14261</v>
      </c>
      <c r="B11649" s="6" t="s">
        <v>2343</v>
      </c>
      <c r="C11649" s="6" t="s">
        <v>116</v>
      </c>
      <c r="D11649" s="13" t="n">
        <v>45852</v>
      </c>
      <c r="E11649" s="14" t="n">
        <v>3307.76</v>
      </c>
      <c r="F11649" s="14" t="n">
        <v>14275.73</v>
      </c>
      <c r="G11649" s="6" t="s">
        <v>2613</v>
      </c>
    </row>
    <row r="11650" customFormat="false" ht="15" hidden="false" customHeight="true" outlineLevel="0" collapsed="false">
      <c r="A11650" s="6" t="s">
        <v>14262</v>
      </c>
      <c r="B11650" s="6" t="s">
        <v>2343</v>
      </c>
      <c r="C11650" s="6" t="s">
        <v>116</v>
      </c>
      <c r="D11650" s="13" t="n">
        <v>45859</v>
      </c>
      <c r="E11650" s="14" t="n">
        <v>2084.51</v>
      </c>
      <c r="F11650" s="14" t="n">
        <v>16360.24</v>
      </c>
      <c r="G11650" s="6" t="s">
        <v>2613</v>
      </c>
    </row>
    <row r="11651" customFormat="false" ht="15" hidden="false" customHeight="true" outlineLevel="0" collapsed="false">
      <c r="A11651" s="6" t="s">
        <v>14263</v>
      </c>
      <c r="B11651" s="6" t="s">
        <v>2343</v>
      </c>
      <c r="C11651" s="6" t="s">
        <v>116</v>
      </c>
      <c r="D11651" s="13" t="n">
        <v>45866</v>
      </c>
      <c r="E11651" s="14" t="n">
        <v>2725.84</v>
      </c>
      <c r="F11651" s="14" t="n">
        <v>19086.08</v>
      </c>
      <c r="G11651" s="6" t="s">
        <v>2613</v>
      </c>
    </row>
    <row r="11652" customFormat="false" ht="15" hidden="false" customHeight="true" outlineLevel="0" collapsed="false">
      <c r="A11652" s="6" t="s">
        <v>14264</v>
      </c>
      <c r="B11652" s="6" t="s">
        <v>2343</v>
      </c>
      <c r="C11652" s="6" t="s">
        <v>116</v>
      </c>
      <c r="D11652" s="13" t="n">
        <v>45873</v>
      </c>
      <c r="E11652" s="14" t="n">
        <v>2885.07</v>
      </c>
      <c r="F11652" s="14" t="n">
        <v>21971.15</v>
      </c>
      <c r="G11652" s="6" t="s">
        <v>2613</v>
      </c>
    </row>
    <row r="11653" customFormat="false" ht="15" hidden="false" customHeight="true" outlineLevel="0" collapsed="false">
      <c r="A11653" s="6" t="s">
        <v>14265</v>
      </c>
      <c r="B11653" s="6" t="s">
        <v>2343</v>
      </c>
      <c r="C11653" s="6" t="s">
        <v>116</v>
      </c>
      <c r="D11653" s="13" t="n">
        <v>45880</v>
      </c>
      <c r="E11653" s="14" t="n">
        <v>2326.16</v>
      </c>
      <c r="F11653" s="14" t="n">
        <v>24297.31</v>
      </c>
      <c r="G11653" s="6" t="s">
        <v>2613</v>
      </c>
    </row>
    <row r="11654" customFormat="false" ht="15" hidden="false" customHeight="true" outlineLevel="0" collapsed="false">
      <c r="A11654" s="6" t="s">
        <v>14266</v>
      </c>
      <c r="B11654" s="6" t="s">
        <v>2343</v>
      </c>
      <c r="C11654" s="6" t="s">
        <v>116</v>
      </c>
      <c r="D11654" s="13" t="n">
        <v>45887</v>
      </c>
      <c r="E11654" s="14" t="n">
        <v>2271.9</v>
      </c>
      <c r="F11654" s="14" t="n">
        <v>26569.21</v>
      </c>
      <c r="G11654" s="6" t="s">
        <v>2613</v>
      </c>
    </row>
    <row r="11655" customFormat="false" ht="15" hidden="false" customHeight="true" outlineLevel="0" collapsed="false">
      <c r="A11655" s="6" t="s">
        <v>14267</v>
      </c>
      <c r="B11655" s="6" t="s">
        <v>2345</v>
      </c>
      <c r="C11655" s="6" t="s">
        <v>128</v>
      </c>
      <c r="D11655" s="13" t="n">
        <v>45957</v>
      </c>
      <c r="E11655" s="14" t="n">
        <v>1879.05</v>
      </c>
      <c r="F11655" s="14" t="n">
        <v>1879.05</v>
      </c>
      <c r="G11655" s="6" t="s">
        <v>2613</v>
      </c>
    </row>
    <row r="11656" customFormat="false" ht="15" hidden="false" customHeight="true" outlineLevel="0" collapsed="false">
      <c r="A11656" s="6" t="s">
        <v>14268</v>
      </c>
      <c r="B11656" s="6" t="s">
        <v>2345</v>
      </c>
      <c r="C11656" s="6" t="s">
        <v>128</v>
      </c>
      <c r="D11656" s="13" t="n">
        <v>45964</v>
      </c>
      <c r="E11656" s="14" t="n">
        <v>2379.76</v>
      </c>
      <c r="F11656" s="14" t="n">
        <v>4258.81</v>
      </c>
      <c r="G11656" s="6" t="s">
        <v>2613</v>
      </c>
    </row>
    <row r="11657" customFormat="false" ht="15" hidden="false" customHeight="true" outlineLevel="0" collapsed="false">
      <c r="A11657" s="6" t="s">
        <v>14269</v>
      </c>
      <c r="B11657" s="6" t="s">
        <v>2345</v>
      </c>
      <c r="C11657" s="6" t="s">
        <v>128</v>
      </c>
      <c r="D11657" s="13" t="n">
        <v>45971</v>
      </c>
      <c r="E11657" s="14" t="n">
        <v>1625.29</v>
      </c>
      <c r="F11657" s="14" t="n">
        <v>5884.1</v>
      </c>
      <c r="G11657" s="6" t="s">
        <v>2613</v>
      </c>
    </row>
    <row r="11658" customFormat="false" ht="15" hidden="false" customHeight="true" outlineLevel="0" collapsed="false">
      <c r="A11658" s="6" t="s">
        <v>14270</v>
      </c>
      <c r="B11658" s="6" t="s">
        <v>2345</v>
      </c>
      <c r="C11658" s="6" t="s">
        <v>128</v>
      </c>
      <c r="D11658" s="13" t="n">
        <v>45978</v>
      </c>
      <c r="E11658" s="14" t="n">
        <v>1481.85</v>
      </c>
      <c r="F11658" s="14" t="n">
        <v>7365.95</v>
      </c>
      <c r="G11658" s="6" t="s">
        <v>2613</v>
      </c>
    </row>
    <row r="11659" customFormat="false" ht="15" hidden="false" customHeight="true" outlineLevel="0" collapsed="false">
      <c r="A11659" s="6" t="s">
        <v>14271</v>
      </c>
      <c r="B11659" s="6" t="s">
        <v>2345</v>
      </c>
      <c r="C11659" s="6" t="s">
        <v>128</v>
      </c>
      <c r="D11659" s="13" t="n">
        <v>45985</v>
      </c>
      <c r="E11659" s="14" t="n">
        <v>2183.52</v>
      </c>
      <c r="F11659" s="14" t="n">
        <v>9549.47</v>
      </c>
      <c r="G11659" s="6" t="s">
        <v>2613</v>
      </c>
    </row>
    <row r="11660" customFormat="false" ht="15" hidden="false" customHeight="true" outlineLevel="0" collapsed="false">
      <c r="A11660" s="6" t="s">
        <v>14272</v>
      </c>
      <c r="B11660" s="6" t="s">
        <v>2345</v>
      </c>
      <c r="C11660" s="6" t="s">
        <v>128</v>
      </c>
      <c r="D11660" s="13" t="n">
        <v>45992</v>
      </c>
      <c r="E11660" s="14" t="n">
        <v>1469.42</v>
      </c>
      <c r="F11660" s="14" t="n">
        <v>11018.89</v>
      </c>
      <c r="G11660" s="6" t="s">
        <v>2613</v>
      </c>
    </row>
    <row r="11661" customFormat="false" ht="15" hidden="false" customHeight="true" outlineLevel="0" collapsed="false">
      <c r="A11661" s="6" t="s">
        <v>14273</v>
      </c>
      <c r="B11661" s="6" t="s">
        <v>2345</v>
      </c>
      <c r="C11661" s="6" t="s">
        <v>128</v>
      </c>
      <c r="D11661" s="13" t="n">
        <v>45999</v>
      </c>
      <c r="E11661" s="14" t="n">
        <v>2272.17</v>
      </c>
      <c r="F11661" s="14" t="n">
        <v>13291.06</v>
      </c>
      <c r="G11661" s="6" t="s">
        <v>2613</v>
      </c>
    </row>
    <row r="11662" customFormat="false" ht="15" hidden="false" customHeight="true" outlineLevel="0" collapsed="false">
      <c r="A11662" s="6" t="s">
        <v>14274</v>
      </c>
      <c r="B11662" s="6" t="s">
        <v>2345</v>
      </c>
      <c r="C11662" s="6" t="s">
        <v>128</v>
      </c>
      <c r="D11662" s="13" t="n">
        <v>46006</v>
      </c>
      <c r="E11662" s="14" t="n">
        <v>1425.29</v>
      </c>
      <c r="F11662" s="14" t="n">
        <v>14716.35</v>
      </c>
      <c r="G11662" s="6" t="s">
        <v>2623</v>
      </c>
    </row>
    <row r="11663" customFormat="false" ht="15" hidden="false" customHeight="true" outlineLevel="0" collapsed="false">
      <c r="A11663" s="6" t="s">
        <v>14275</v>
      </c>
      <c r="B11663" s="6" t="s">
        <v>2345</v>
      </c>
      <c r="C11663" s="6" t="s">
        <v>128</v>
      </c>
      <c r="D11663" s="13" t="n">
        <v>46013</v>
      </c>
      <c r="E11663" s="14" t="n">
        <v>1371.07</v>
      </c>
      <c r="F11663" s="14" t="n">
        <v>16087.42</v>
      </c>
      <c r="G11663" s="6" t="s">
        <v>2613</v>
      </c>
    </row>
    <row r="11664" customFormat="false" ht="15" hidden="false" customHeight="true" outlineLevel="0" collapsed="false">
      <c r="A11664" s="6" t="s">
        <v>14276</v>
      </c>
      <c r="B11664" s="6" t="s">
        <v>2347</v>
      </c>
      <c r="C11664" s="6" t="s">
        <v>116</v>
      </c>
      <c r="D11664" s="13" t="n">
        <v>45433</v>
      </c>
      <c r="E11664" s="14" t="n">
        <v>7155.08</v>
      </c>
      <c r="F11664" s="14" t="n">
        <v>7155.08</v>
      </c>
      <c r="G11664" s="6" t="s">
        <v>2613</v>
      </c>
    </row>
    <row r="11665" customFormat="false" ht="15" hidden="false" customHeight="true" outlineLevel="0" collapsed="false">
      <c r="A11665" s="6" t="s">
        <v>14277</v>
      </c>
      <c r="B11665" s="6" t="s">
        <v>2347</v>
      </c>
      <c r="C11665" s="6" t="s">
        <v>116</v>
      </c>
      <c r="D11665" s="13" t="n">
        <v>45440</v>
      </c>
      <c r="E11665" s="14" t="n">
        <v>9839.05</v>
      </c>
      <c r="F11665" s="14" t="n">
        <v>16994.13</v>
      </c>
      <c r="G11665" s="6" t="s">
        <v>2613</v>
      </c>
    </row>
    <row r="11666" customFormat="false" ht="15" hidden="false" customHeight="true" outlineLevel="0" collapsed="false">
      <c r="A11666" s="6" t="s">
        <v>14278</v>
      </c>
      <c r="B11666" s="6" t="s">
        <v>2347</v>
      </c>
      <c r="C11666" s="6" t="s">
        <v>116</v>
      </c>
      <c r="D11666" s="13" t="n">
        <v>45447</v>
      </c>
      <c r="E11666" s="14" t="n">
        <v>10390.99</v>
      </c>
      <c r="F11666" s="14" t="n">
        <v>27385.12</v>
      </c>
      <c r="G11666" s="6" t="s">
        <v>2623</v>
      </c>
    </row>
    <row r="11667" customFormat="false" ht="15" hidden="false" customHeight="true" outlineLevel="0" collapsed="false">
      <c r="A11667" s="6" t="s">
        <v>14279</v>
      </c>
      <c r="B11667" s="6" t="s">
        <v>2347</v>
      </c>
      <c r="C11667" s="6" t="s">
        <v>116</v>
      </c>
      <c r="D11667" s="13" t="n">
        <v>45454</v>
      </c>
      <c r="E11667" s="14" t="n">
        <v>10031.73</v>
      </c>
      <c r="F11667" s="14" t="n">
        <v>37416.85</v>
      </c>
      <c r="G11667" s="6" t="s">
        <v>2623</v>
      </c>
    </row>
    <row r="11668" customFormat="false" ht="15" hidden="false" customHeight="true" outlineLevel="0" collapsed="false">
      <c r="A11668" s="6" t="s">
        <v>14280</v>
      </c>
      <c r="B11668" s="6" t="s">
        <v>2347</v>
      </c>
      <c r="C11668" s="6" t="s">
        <v>116</v>
      </c>
      <c r="D11668" s="13" t="n">
        <v>45461</v>
      </c>
      <c r="E11668" s="14" t="n">
        <v>5339.89</v>
      </c>
      <c r="F11668" s="14" t="n">
        <v>42756.74</v>
      </c>
      <c r="G11668" s="6" t="s">
        <v>2613</v>
      </c>
    </row>
    <row r="11669" customFormat="false" ht="15" hidden="false" customHeight="true" outlineLevel="0" collapsed="false">
      <c r="A11669" s="6" t="s">
        <v>14281</v>
      </c>
      <c r="B11669" s="6" t="s">
        <v>2347</v>
      </c>
      <c r="C11669" s="6" t="s">
        <v>116</v>
      </c>
      <c r="D11669" s="13" t="n">
        <v>45468</v>
      </c>
      <c r="E11669" s="14" t="n">
        <v>7107.58</v>
      </c>
      <c r="F11669" s="14" t="n">
        <v>49864.32</v>
      </c>
      <c r="G11669" s="6" t="s">
        <v>2613</v>
      </c>
    </row>
    <row r="11670" customFormat="false" ht="15" hidden="false" customHeight="true" outlineLevel="0" collapsed="false">
      <c r="A11670" s="6" t="s">
        <v>14282</v>
      </c>
      <c r="B11670" s="6" t="s">
        <v>2347</v>
      </c>
      <c r="C11670" s="6" t="s">
        <v>116</v>
      </c>
      <c r="D11670" s="13" t="n">
        <v>45475</v>
      </c>
      <c r="E11670" s="14" t="n">
        <v>11341.35</v>
      </c>
      <c r="F11670" s="14" t="n">
        <v>61205.67</v>
      </c>
      <c r="G11670" s="6" t="s">
        <v>2613</v>
      </c>
    </row>
    <row r="11671" customFormat="false" ht="15" hidden="false" customHeight="true" outlineLevel="0" collapsed="false">
      <c r="A11671" s="6" t="s">
        <v>14283</v>
      </c>
      <c r="B11671" s="6" t="s">
        <v>2347</v>
      </c>
      <c r="C11671" s="6" t="s">
        <v>116</v>
      </c>
      <c r="D11671" s="13" t="n">
        <v>45482</v>
      </c>
      <c r="E11671" s="14" t="n">
        <v>5455.75</v>
      </c>
      <c r="F11671" s="14" t="n">
        <v>66661.42</v>
      </c>
      <c r="G11671" s="6" t="s">
        <v>2623</v>
      </c>
    </row>
    <row r="11672" customFormat="false" ht="15" hidden="false" customHeight="true" outlineLevel="0" collapsed="false">
      <c r="A11672" s="6" t="s">
        <v>14284</v>
      </c>
      <c r="B11672" s="6" t="s">
        <v>2347</v>
      </c>
      <c r="C11672" s="6" t="s">
        <v>116</v>
      </c>
      <c r="D11672" s="13" t="n">
        <v>45489</v>
      </c>
      <c r="E11672" s="14" t="n">
        <v>9210.28</v>
      </c>
      <c r="F11672" s="14" t="n">
        <v>75871.7</v>
      </c>
      <c r="G11672" s="6" t="s">
        <v>2613</v>
      </c>
    </row>
    <row r="11673" customFormat="false" ht="15" hidden="false" customHeight="true" outlineLevel="0" collapsed="false">
      <c r="A11673" s="6" t="s">
        <v>14285</v>
      </c>
      <c r="B11673" s="6" t="s">
        <v>2347</v>
      </c>
      <c r="C11673" s="6" t="s">
        <v>116</v>
      </c>
      <c r="D11673" s="13" t="n">
        <v>45496</v>
      </c>
      <c r="E11673" s="14" t="n">
        <v>8708.8</v>
      </c>
      <c r="F11673" s="14" t="n">
        <v>84580.5</v>
      </c>
      <c r="G11673" s="6" t="s">
        <v>2613</v>
      </c>
    </row>
    <row r="11674" customFormat="false" ht="15" hidden="false" customHeight="true" outlineLevel="0" collapsed="false">
      <c r="A11674" s="6" t="s">
        <v>14286</v>
      </c>
      <c r="B11674" s="6" t="s">
        <v>2347</v>
      </c>
      <c r="C11674" s="6" t="s">
        <v>116</v>
      </c>
      <c r="D11674" s="13" t="n">
        <v>45503</v>
      </c>
      <c r="E11674" s="14" t="n">
        <v>7785.92</v>
      </c>
      <c r="F11674" s="14" t="n">
        <v>92366.42</v>
      </c>
      <c r="G11674" s="6" t="s">
        <v>2613</v>
      </c>
    </row>
    <row r="11675" customFormat="false" ht="15" hidden="false" customHeight="true" outlineLevel="0" collapsed="false">
      <c r="A11675" s="6" t="s">
        <v>14287</v>
      </c>
      <c r="B11675" s="6" t="s">
        <v>2347</v>
      </c>
      <c r="C11675" s="6" t="s">
        <v>116</v>
      </c>
      <c r="D11675" s="13" t="n">
        <v>45510</v>
      </c>
      <c r="E11675" s="14" t="n">
        <v>11485.57</v>
      </c>
      <c r="F11675" s="14" t="n">
        <v>103851.99</v>
      </c>
      <c r="G11675" s="6" t="s">
        <v>2613</v>
      </c>
    </row>
    <row r="11676" customFormat="false" ht="15" hidden="false" customHeight="true" outlineLevel="0" collapsed="false">
      <c r="A11676" s="6" t="s">
        <v>14288</v>
      </c>
      <c r="B11676" s="6" t="s">
        <v>2347</v>
      </c>
      <c r="C11676" s="6" t="s">
        <v>116</v>
      </c>
      <c r="D11676" s="13" t="n">
        <v>45517</v>
      </c>
      <c r="E11676" s="14" t="n">
        <v>7336.22</v>
      </c>
      <c r="F11676" s="14" t="n">
        <v>111188.21</v>
      </c>
      <c r="G11676" s="6" t="s">
        <v>2613</v>
      </c>
    </row>
    <row r="11677" customFormat="false" ht="15" hidden="false" customHeight="true" outlineLevel="0" collapsed="false">
      <c r="A11677" s="6" t="s">
        <v>14289</v>
      </c>
      <c r="B11677" s="6" t="s">
        <v>2347</v>
      </c>
      <c r="C11677" s="6" t="s">
        <v>116</v>
      </c>
      <c r="D11677" s="13" t="n">
        <v>45524</v>
      </c>
      <c r="E11677" s="14" t="n">
        <v>13154.35</v>
      </c>
      <c r="F11677" s="14" t="n">
        <v>124342.56</v>
      </c>
      <c r="G11677" s="6" t="s">
        <v>2613</v>
      </c>
    </row>
    <row r="11678" customFormat="false" ht="15" hidden="false" customHeight="true" outlineLevel="0" collapsed="false">
      <c r="A11678" s="6" t="s">
        <v>14290</v>
      </c>
      <c r="B11678" s="6" t="s">
        <v>2349</v>
      </c>
      <c r="C11678" s="6" t="s">
        <v>116</v>
      </c>
      <c r="D11678" s="13" t="n">
        <v>45482</v>
      </c>
      <c r="E11678" s="14" t="n">
        <v>1897.19</v>
      </c>
      <c r="F11678" s="14" t="n">
        <v>1897.19</v>
      </c>
      <c r="G11678" s="6" t="s">
        <v>2613</v>
      </c>
    </row>
    <row r="11679" customFormat="false" ht="15" hidden="false" customHeight="true" outlineLevel="0" collapsed="false">
      <c r="A11679" s="6" t="s">
        <v>14291</v>
      </c>
      <c r="B11679" s="6" t="s">
        <v>2349</v>
      </c>
      <c r="C11679" s="6" t="s">
        <v>116</v>
      </c>
      <c r="D11679" s="13" t="n">
        <v>45489</v>
      </c>
      <c r="E11679" s="14" t="n">
        <v>1381.93</v>
      </c>
      <c r="F11679" s="14" t="n">
        <v>3279.12</v>
      </c>
      <c r="G11679" s="6" t="s">
        <v>2613</v>
      </c>
    </row>
    <row r="11680" customFormat="false" ht="15" hidden="false" customHeight="true" outlineLevel="0" collapsed="false">
      <c r="A11680" s="6" t="s">
        <v>14292</v>
      </c>
      <c r="B11680" s="6" t="s">
        <v>2349</v>
      </c>
      <c r="C11680" s="6" t="s">
        <v>116</v>
      </c>
      <c r="D11680" s="13" t="n">
        <v>45496</v>
      </c>
      <c r="E11680" s="14" t="n">
        <v>1018.32</v>
      </c>
      <c r="F11680" s="14" t="n">
        <v>4297.44</v>
      </c>
      <c r="G11680" s="6" t="s">
        <v>2623</v>
      </c>
    </row>
    <row r="11681" customFormat="false" ht="15" hidden="false" customHeight="true" outlineLevel="0" collapsed="false">
      <c r="A11681" s="6" t="s">
        <v>14293</v>
      </c>
      <c r="B11681" s="6" t="s">
        <v>2349</v>
      </c>
      <c r="C11681" s="6" t="s">
        <v>116</v>
      </c>
      <c r="D11681" s="13" t="n">
        <v>45503</v>
      </c>
      <c r="E11681" s="14" t="n">
        <v>1821.58</v>
      </c>
      <c r="F11681" s="14" t="n">
        <v>6119.02</v>
      </c>
      <c r="G11681" s="6" t="s">
        <v>2613</v>
      </c>
    </row>
    <row r="11682" customFormat="false" ht="15" hidden="false" customHeight="true" outlineLevel="0" collapsed="false">
      <c r="A11682" s="6" t="s">
        <v>14294</v>
      </c>
      <c r="B11682" s="6" t="s">
        <v>2349</v>
      </c>
      <c r="C11682" s="6" t="s">
        <v>116</v>
      </c>
      <c r="D11682" s="13" t="n">
        <v>45510</v>
      </c>
      <c r="E11682" s="14" t="n">
        <v>1284.97</v>
      </c>
      <c r="F11682" s="14" t="n">
        <v>7403.99</v>
      </c>
      <c r="G11682" s="6" t="s">
        <v>2623</v>
      </c>
    </row>
    <row r="11683" customFormat="false" ht="15" hidden="false" customHeight="true" outlineLevel="0" collapsed="false">
      <c r="A11683" s="6" t="s">
        <v>14295</v>
      </c>
      <c r="B11683" s="6" t="s">
        <v>2349</v>
      </c>
      <c r="C11683" s="6" t="s">
        <v>116</v>
      </c>
      <c r="D11683" s="13" t="n">
        <v>45517</v>
      </c>
      <c r="E11683" s="14" t="n">
        <v>1588.28</v>
      </c>
      <c r="F11683" s="14" t="n">
        <v>8992.27</v>
      </c>
      <c r="G11683" s="6" t="s">
        <v>2613</v>
      </c>
    </row>
    <row r="11684" customFormat="false" ht="15" hidden="false" customHeight="true" outlineLevel="0" collapsed="false">
      <c r="A11684" s="6" t="s">
        <v>14296</v>
      </c>
      <c r="B11684" s="6" t="s">
        <v>2349</v>
      </c>
      <c r="C11684" s="6" t="s">
        <v>116</v>
      </c>
      <c r="D11684" s="13" t="n">
        <v>45524</v>
      </c>
      <c r="E11684" s="14" t="n">
        <v>1065.71</v>
      </c>
      <c r="F11684" s="14" t="n">
        <v>10057.98</v>
      </c>
      <c r="G11684" s="6" t="s">
        <v>2613</v>
      </c>
    </row>
    <row r="11685" customFormat="false" ht="15" hidden="false" customHeight="true" outlineLevel="0" collapsed="false">
      <c r="A11685" s="6" t="s">
        <v>14297</v>
      </c>
      <c r="B11685" s="6" t="s">
        <v>2349</v>
      </c>
      <c r="C11685" s="6" t="s">
        <v>116</v>
      </c>
      <c r="D11685" s="13" t="n">
        <v>45531</v>
      </c>
      <c r="E11685" s="14" t="n">
        <v>1588.85</v>
      </c>
      <c r="F11685" s="14" t="n">
        <v>11646.83</v>
      </c>
      <c r="G11685" s="6" t="s">
        <v>2613</v>
      </c>
    </row>
    <row r="11686" customFormat="false" ht="15" hidden="false" customHeight="true" outlineLevel="0" collapsed="false">
      <c r="A11686" s="6" t="s">
        <v>14298</v>
      </c>
      <c r="B11686" s="6" t="s">
        <v>2349</v>
      </c>
      <c r="C11686" s="6" t="s">
        <v>116</v>
      </c>
      <c r="D11686" s="13" t="n">
        <v>45538</v>
      </c>
      <c r="E11686" s="14" t="n">
        <v>1404.6</v>
      </c>
      <c r="F11686" s="14" t="n">
        <v>13051.43</v>
      </c>
      <c r="G11686" s="6" t="s">
        <v>2613</v>
      </c>
    </row>
    <row r="11687" customFormat="false" ht="15" hidden="false" customHeight="true" outlineLevel="0" collapsed="false">
      <c r="A11687" s="6" t="s">
        <v>14299</v>
      </c>
      <c r="B11687" s="6" t="s">
        <v>2349</v>
      </c>
      <c r="C11687" s="6" t="s">
        <v>116</v>
      </c>
      <c r="D11687" s="13" t="n">
        <v>45545</v>
      </c>
      <c r="E11687" s="14" t="n">
        <v>537.78</v>
      </c>
      <c r="F11687" s="14" t="n">
        <v>13589.21</v>
      </c>
      <c r="G11687" s="6" t="s">
        <v>2613</v>
      </c>
    </row>
    <row r="11688" customFormat="false" ht="15" hidden="false" customHeight="true" outlineLevel="0" collapsed="false">
      <c r="A11688" s="6" t="s">
        <v>14300</v>
      </c>
      <c r="B11688" s="6" t="s">
        <v>2351</v>
      </c>
      <c r="C11688" s="6" t="s">
        <v>112</v>
      </c>
      <c r="D11688" s="13" t="n">
        <v>45541</v>
      </c>
      <c r="E11688" s="14" t="n">
        <v>2189.31</v>
      </c>
      <c r="F11688" s="14" t="n">
        <v>2189.31</v>
      </c>
      <c r="G11688" s="6" t="s">
        <v>2613</v>
      </c>
    </row>
    <row r="11689" customFormat="false" ht="15" hidden="false" customHeight="true" outlineLevel="0" collapsed="false">
      <c r="A11689" s="6" t="s">
        <v>14301</v>
      </c>
      <c r="B11689" s="6" t="s">
        <v>2351</v>
      </c>
      <c r="C11689" s="6" t="s">
        <v>112</v>
      </c>
      <c r="D11689" s="13" t="n">
        <v>45548</v>
      </c>
      <c r="E11689" s="14" t="n">
        <v>1499.86</v>
      </c>
      <c r="F11689" s="14" t="n">
        <v>3689.17</v>
      </c>
      <c r="G11689" s="6" t="s">
        <v>2613</v>
      </c>
    </row>
    <row r="11690" customFormat="false" ht="15" hidden="false" customHeight="true" outlineLevel="0" collapsed="false">
      <c r="A11690" s="6" t="s">
        <v>14302</v>
      </c>
      <c r="B11690" s="6" t="s">
        <v>2351</v>
      </c>
      <c r="C11690" s="6" t="s">
        <v>112</v>
      </c>
      <c r="D11690" s="13" t="n">
        <v>45555</v>
      </c>
      <c r="E11690" s="14" t="n">
        <v>1924.85</v>
      </c>
      <c r="F11690" s="14" t="n">
        <v>5614.02</v>
      </c>
      <c r="G11690" s="6" t="s">
        <v>2613</v>
      </c>
    </row>
    <row r="11691" customFormat="false" ht="15" hidden="false" customHeight="true" outlineLevel="0" collapsed="false">
      <c r="A11691" s="6" t="s">
        <v>14303</v>
      </c>
      <c r="B11691" s="6" t="s">
        <v>2351</v>
      </c>
      <c r="C11691" s="6" t="s">
        <v>112</v>
      </c>
      <c r="D11691" s="13" t="n">
        <v>45562</v>
      </c>
      <c r="E11691" s="14" t="n">
        <v>2104.32</v>
      </c>
      <c r="F11691" s="14" t="n">
        <v>7718.34</v>
      </c>
      <c r="G11691" s="6" t="s">
        <v>2623</v>
      </c>
    </row>
    <row r="11692" customFormat="false" ht="15" hidden="false" customHeight="true" outlineLevel="0" collapsed="false">
      <c r="A11692" s="6" t="s">
        <v>14304</v>
      </c>
      <c r="B11692" s="6" t="s">
        <v>2351</v>
      </c>
      <c r="C11692" s="6" t="s">
        <v>112</v>
      </c>
      <c r="D11692" s="13" t="n">
        <v>45569</v>
      </c>
      <c r="E11692" s="14" t="n">
        <v>2625.52</v>
      </c>
      <c r="F11692" s="14" t="n">
        <v>10343.86</v>
      </c>
      <c r="G11692" s="6" t="s">
        <v>2613</v>
      </c>
    </row>
    <row r="11693" customFormat="false" ht="15" hidden="false" customHeight="true" outlineLevel="0" collapsed="false">
      <c r="A11693" s="6" t="s">
        <v>14305</v>
      </c>
      <c r="B11693" s="6" t="s">
        <v>2351</v>
      </c>
      <c r="C11693" s="6" t="s">
        <v>112</v>
      </c>
      <c r="D11693" s="13" t="n">
        <v>45576</v>
      </c>
      <c r="E11693" s="14" t="n">
        <v>1599.47</v>
      </c>
      <c r="F11693" s="14" t="n">
        <v>11943.33</v>
      </c>
      <c r="G11693" s="6" t="s">
        <v>2623</v>
      </c>
    </row>
    <row r="11694" customFormat="false" ht="15" hidden="false" customHeight="true" outlineLevel="0" collapsed="false">
      <c r="A11694" s="6" t="s">
        <v>14306</v>
      </c>
      <c r="B11694" s="6" t="s">
        <v>2351</v>
      </c>
      <c r="C11694" s="6" t="s">
        <v>112</v>
      </c>
      <c r="D11694" s="13" t="n">
        <v>45583</v>
      </c>
      <c r="E11694" s="14" t="n">
        <v>1764.17</v>
      </c>
      <c r="F11694" s="14" t="n">
        <v>13707.5</v>
      </c>
      <c r="G11694" s="6" t="s">
        <v>2613</v>
      </c>
    </row>
    <row r="11695" customFormat="false" ht="15" hidden="false" customHeight="true" outlineLevel="0" collapsed="false">
      <c r="A11695" s="6" t="s">
        <v>14307</v>
      </c>
      <c r="B11695" s="6" t="s">
        <v>2351</v>
      </c>
      <c r="C11695" s="6" t="s">
        <v>112</v>
      </c>
      <c r="D11695" s="13" t="n">
        <v>45590</v>
      </c>
      <c r="E11695" s="14" t="n">
        <v>2104.61</v>
      </c>
      <c r="F11695" s="14" t="n">
        <v>15812.11</v>
      </c>
      <c r="G11695" s="6" t="s">
        <v>2613</v>
      </c>
    </row>
    <row r="11696" customFormat="false" ht="15" hidden="false" customHeight="true" outlineLevel="0" collapsed="false">
      <c r="A11696" s="6" t="s">
        <v>14308</v>
      </c>
      <c r="B11696" s="6" t="s">
        <v>2351</v>
      </c>
      <c r="C11696" s="6" t="s">
        <v>112</v>
      </c>
      <c r="D11696" s="13" t="n">
        <v>45597</v>
      </c>
      <c r="E11696" s="14" t="n">
        <v>1568.29</v>
      </c>
      <c r="F11696" s="14" t="n">
        <v>17380.4</v>
      </c>
      <c r="G11696" s="6" t="s">
        <v>2613</v>
      </c>
    </row>
    <row r="11697" customFormat="false" ht="15" hidden="false" customHeight="true" outlineLevel="0" collapsed="false">
      <c r="A11697" s="6" t="s">
        <v>14309</v>
      </c>
      <c r="B11697" s="6" t="s">
        <v>2351</v>
      </c>
      <c r="C11697" s="6" t="s">
        <v>112</v>
      </c>
      <c r="D11697" s="13" t="n">
        <v>45604</v>
      </c>
      <c r="E11697" s="14" t="n">
        <v>1472.61</v>
      </c>
      <c r="F11697" s="14" t="n">
        <v>18853.01</v>
      </c>
      <c r="G11697" s="6" t="s">
        <v>2613</v>
      </c>
    </row>
    <row r="11698" customFormat="false" ht="15" hidden="false" customHeight="true" outlineLevel="0" collapsed="false">
      <c r="A11698" s="6" t="s">
        <v>14310</v>
      </c>
      <c r="B11698" s="6" t="s">
        <v>2353</v>
      </c>
      <c r="C11698" s="6" t="s">
        <v>124</v>
      </c>
      <c r="D11698" s="13" t="n">
        <v>45744</v>
      </c>
      <c r="E11698" s="14" t="n">
        <v>6735.24</v>
      </c>
      <c r="F11698" s="14" t="n">
        <v>6735.24</v>
      </c>
      <c r="G11698" s="6" t="s">
        <v>2613</v>
      </c>
    </row>
    <row r="11699" customFormat="false" ht="15" hidden="false" customHeight="true" outlineLevel="0" collapsed="false">
      <c r="A11699" s="6" t="s">
        <v>14311</v>
      </c>
      <c r="B11699" s="6" t="s">
        <v>2353</v>
      </c>
      <c r="C11699" s="6" t="s">
        <v>124</v>
      </c>
      <c r="D11699" s="13" t="n">
        <v>45751</v>
      </c>
      <c r="E11699" s="14" t="n">
        <v>6756.88</v>
      </c>
      <c r="F11699" s="14" t="n">
        <v>13492.12</v>
      </c>
      <c r="G11699" s="6" t="s">
        <v>2613</v>
      </c>
    </row>
    <row r="11700" customFormat="false" ht="15" hidden="false" customHeight="true" outlineLevel="0" collapsed="false">
      <c r="A11700" s="6" t="s">
        <v>14312</v>
      </c>
      <c r="B11700" s="6" t="s">
        <v>2353</v>
      </c>
      <c r="C11700" s="6" t="s">
        <v>124</v>
      </c>
      <c r="D11700" s="13" t="n">
        <v>45758</v>
      </c>
      <c r="E11700" s="14" t="n">
        <v>7580.71</v>
      </c>
      <c r="F11700" s="14" t="n">
        <v>21072.83</v>
      </c>
      <c r="G11700" s="6" t="s">
        <v>2613</v>
      </c>
    </row>
    <row r="11701" customFormat="false" ht="15" hidden="false" customHeight="true" outlineLevel="0" collapsed="false">
      <c r="A11701" s="6" t="s">
        <v>14313</v>
      </c>
      <c r="B11701" s="6" t="s">
        <v>2353</v>
      </c>
      <c r="C11701" s="6" t="s">
        <v>124</v>
      </c>
      <c r="D11701" s="13" t="n">
        <v>45765</v>
      </c>
      <c r="E11701" s="14" t="n">
        <v>5766.98</v>
      </c>
      <c r="F11701" s="14" t="n">
        <v>26839.81</v>
      </c>
      <c r="G11701" s="6" t="s">
        <v>2613</v>
      </c>
    </row>
    <row r="11702" customFormat="false" ht="15" hidden="false" customHeight="true" outlineLevel="0" collapsed="false">
      <c r="A11702" s="6" t="s">
        <v>14314</v>
      </c>
      <c r="B11702" s="6" t="s">
        <v>2353</v>
      </c>
      <c r="C11702" s="6" t="s">
        <v>124</v>
      </c>
      <c r="D11702" s="13" t="n">
        <v>45772</v>
      </c>
      <c r="E11702" s="14" t="n">
        <v>4062.08</v>
      </c>
      <c r="F11702" s="14" t="n">
        <v>30901.89</v>
      </c>
      <c r="G11702" s="6" t="s">
        <v>2613</v>
      </c>
    </row>
    <row r="11703" customFormat="false" ht="15" hidden="false" customHeight="true" outlineLevel="0" collapsed="false">
      <c r="A11703" s="6" t="s">
        <v>14315</v>
      </c>
      <c r="B11703" s="6" t="s">
        <v>2353</v>
      </c>
      <c r="C11703" s="6" t="s">
        <v>124</v>
      </c>
      <c r="D11703" s="13" t="n">
        <v>45779</v>
      </c>
      <c r="E11703" s="14" t="n">
        <v>4763.09</v>
      </c>
      <c r="F11703" s="14" t="n">
        <v>35664.98</v>
      </c>
      <c r="G11703" s="6" t="s">
        <v>2613</v>
      </c>
    </row>
    <row r="11704" customFormat="false" ht="15" hidden="false" customHeight="true" outlineLevel="0" collapsed="false">
      <c r="A11704" s="6" t="s">
        <v>14316</v>
      </c>
      <c r="B11704" s="6" t="s">
        <v>2353</v>
      </c>
      <c r="C11704" s="6" t="s">
        <v>124</v>
      </c>
      <c r="D11704" s="13" t="n">
        <v>45786</v>
      </c>
      <c r="E11704" s="14" t="n">
        <v>3685.62</v>
      </c>
      <c r="F11704" s="14" t="n">
        <v>39350.6</v>
      </c>
      <c r="G11704" s="6" t="s">
        <v>2613</v>
      </c>
    </row>
    <row r="11705" customFormat="false" ht="15" hidden="false" customHeight="true" outlineLevel="0" collapsed="false">
      <c r="A11705" s="6" t="s">
        <v>14317</v>
      </c>
      <c r="B11705" s="6" t="s">
        <v>2353</v>
      </c>
      <c r="C11705" s="6" t="s">
        <v>124</v>
      </c>
      <c r="D11705" s="13" t="n">
        <v>45793</v>
      </c>
      <c r="E11705" s="14" t="n">
        <v>4241.86</v>
      </c>
      <c r="F11705" s="14" t="n">
        <v>43592.46</v>
      </c>
      <c r="G11705" s="6" t="s">
        <v>2613</v>
      </c>
    </row>
    <row r="11706" customFormat="false" ht="15" hidden="false" customHeight="true" outlineLevel="0" collapsed="false">
      <c r="A11706" s="6" t="s">
        <v>14318</v>
      </c>
      <c r="B11706" s="6" t="s">
        <v>2353</v>
      </c>
      <c r="C11706" s="6" t="s">
        <v>124</v>
      </c>
      <c r="D11706" s="13" t="n">
        <v>45800</v>
      </c>
      <c r="E11706" s="14" t="n">
        <v>5160.67</v>
      </c>
      <c r="F11706" s="14" t="n">
        <v>48753.13</v>
      </c>
      <c r="G11706" s="6" t="s">
        <v>2613</v>
      </c>
    </row>
    <row r="11707" customFormat="false" ht="15" hidden="false" customHeight="true" outlineLevel="0" collapsed="false">
      <c r="A11707" s="6" t="s">
        <v>14319</v>
      </c>
      <c r="B11707" s="6" t="s">
        <v>2353</v>
      </c>
      <c r="C11707" s="6" t="s">
        <v>124</v>
      </c>
      <c r="D11707" s="13" t="n">
        <v>45807</v>
      </c>
      <c r="E11707" s="14" t="n">
        <v>4166.77</v>
      </c>
      <c r="F11707" s="14" t="n">
        <v>52919.9</v>
      </c>
      <c r="G11707" s="6" t="s">
        <v>2613</v>
      </c>
    </row>
    <row r="11708" customFormat="false" ht="15" hidden="false" customHeight="true" outlineLevel="0" collapsed="false">
      <c r="A11708" s="6" t="s">
        <v>14320</v>
      </c>
      <c r="B11708" s="6" t="s">
        <v>2353</v>
      </c>
      <c r="C11708" s="6" t="s">
        <v>124</v>
      </c>
      <c r="D11708" s="13" t="n">
        <v>45814</v>
      </c>
      <c r="E11708" s="14" t="n">
        <v>5868.82</v>
      </c>
      <c r="F11708" s="14" t="n">
        <v>58788.72</v>
      </c>
      <c r="G11708" s="6" t="s">
        <v>2613</v>
      </c>
    </row>
    <row r="11709" customFormat="false" ht="15" hidden="false" customHeight="true" outlineLevel="0" collapsed="false">
      <c r="A11709" s="6" t="s">
        <v>14321</v>
      </c>
      <c r="B11709" s="6" t="s">
        <v>2353</v>
      </c>
      <c r="C11709" s="6" t="s">
        <v>124</v>
      </c>
      <c r="D11709" s="13" t="n">
        <v>45821</v>
      </c>
      <c r="E11709" s="14" t="n">
        <v>4855.04</v>
      </c>
      <c r="F11709" s="14" t="n">
        <v>63643.76</v>
      </c>
      <c r="G11709" s="6" t="s">
        <v>2613</v>
      </c>
    </row>
    <row r="11710" customFormat="false" ht="15" hidden="false" customHeight="true" outlineLevel="0" collapsed="false">
      <c r="A11710" s="6" t="s">
        <v>14322</v>
      </c>
      <c r="B11710" s="6" t="s">
        <v>2353</v>
      </c>
      <c r="C11710" s="6" t="s">
        <v>124</v>
      </c>
      <c r="D11710" s="13" t="n">
        <v>45828</v>
      </c>
      <c r="E11710" s="14" t="n">
        <v>5777.76</v>
      </c>
      <c r="F11710" s="14" t="n">
        <v>69421.52</v>
      </c>
      <c r="G11710" s="6" t="s">
        <v>2613</v>
      </c>
    </row>
    <row r="11711" customFormat="false" ht="15" hidden="false" customHeight="true" outlineLevel="0" collapsed="false">
      <c r="A11711" s="6" t="s">
        <v>14323</v>
      </c>
      <c r="B11711" s="6" t="s">
        <v>2353</v>
      </c>
      <c r="C11711" s="6" t="s">
        <v>124</v>
      </c>
      <c r="D11711" s="13" t="n">
        <v>45835</v>
      </c>
      <c r="E11711" s="14" t="n">
        <v>5472.92</v>
      </c>
      <c r="F11711" s="14" t="n">
        <v>74894.44</v>
      </c>
      <c r="G11711" s="6" t="s">
        <v>2613</v>
      </c>
    </row>
    <row r="11712" customFormat="false" ht="15" hidden="false" customHeight="true" outlineLevel="0" collapsed="false">
      <c r="A11712" s="6" t="s">
        <v>14324</v>
      </c>
      <c r="B11712" s="6" t="s">
        <v>2353</v>
      </c>
      <c r="C11712" s="6" t="s">
        <v>124</v>
      </c>
      <c r="D11712" s="13" t="n">
        <v>45842</v>
      </c>
      <c r="E11712" s="14" t="n">
        <v>3679.06</v>
      </c>
      <c r="F11712" s="14" t="n">
        <v>78573.5</v>
      </c>
      <c r="G11712" s="6" t="s">
        <v>2613</v>
      </c>
    </row>
    <row r="11713" customFormat="false" ht="15" hidden="false" customHeight="true" outlineLevel="0" collapsed="false">
      <c r="A11713" s="6" t="s">
        <v>14325</v>
      </c>
      <c r="B11713" s="6" t="s">
        <v>2353</v>
      </c>
      <c r="C11713" s="6" t="s">
        <v>124</v>
      </c>
      <c r="D11713" s="13" t="n">
        <v>45849</v>
      </c>
      <c r="E11713" s="14" t="n">
        <v>6060.85</v>
      </c>
      <c r="F11713" s="14" t="n">
        <v>84634.35</v>
      </c>
      <c r="G11713" s="6" t="s">
        <v>2613</v>
      </c>
    </row>
    <row r="11714" customFormat="false" ht="15" hidden="false" customHeight="true" outlineLevel="0" collapsed="false">
      <c r="A11714" s="6" t="s">
        <v>14326</v>
      </c>
      <c r="B11714" s="6" t="s">
        <v>2353</v>
      </c>
      <c r="C11714" s="6" t="s">
        <v>124</v>
      </c>
      <c r="D11714" s="13" t="n">
        <v>45856</v>
      </c>
      <c r="E11714" s="14" t="n">
        <v>7108.77</v>
      </c>
      <c r="F11714" s="14" t="n">
        <v>91743.12</v>
      </c>
      <c r="G11714" s="6" t="s">
        <v>2613</v>
      </c>
    </row>
    <row r="11715" customFormat="false" ht="15" hidden="false" customHeight="true" outlineLevel="0" collapsed="false">
      <c r="A11715" s="6" t="s">
        <v>14327</v>
      </c>
      <c r="B11715" s="6" t="s">
        <v>2353</v>
      </c>
      <c r="C11715" s="6" t="s">
        <v>124</v>
      </c>
      <c r="D11715" s="13" t="n">
        <v>45863</v>
      </c>
      <c r="E11715" s="14" t="n">
        <v>7287.24</v>
      </c>
      <c r="F11715" s="14" t="n">
        <v>99030.36</v>
      </c>
      <c r="G11715" s="6" t="s">
        <v>2623</v>
      </c>
    </row>
    <row r="11716" customFormat="false" ht="15" hidden="false" customHeight="true" outlineLevel="0" collapsed="false">
      <c r="A11716" s="6" t="s">
        <v>14328</v>
      </c>
      <c r="B11716" s="6" t="s">
        <v>2355</v>
      </c>
      <c r="C11716" s="6" t="s">
        <v>131</v>
      </c>
      <c r="D11716" s="13" t="n">
        <v>44942</v>
      </c>
      <c r="E11716" s="14" t="n">
        <v>233.81</v>
      </c>
      <c r="F11716" s="14" t="n">
        <v>233.81</v>
      </c>
      <c r="G11716" s="6" t="s">
        <v>2613</v>
      </c>
    </row>
    <row r="11717" customFormat="false" ht="15" hidden="false" customHeight="true" outlineLevel="0" collapsed="false">
      <c r="A11717" s="6" t="s">
        <v>14329</v>
      </c>
      <c r="B11717" s="6" t="s">
        <v>2355</v>
      </c>
      <c r="C11717" s="6" t="s">
        <v>131</v>
      </c>
      <c r="D11717" s="13" t="n">
        <v>44949</v>
      </c>
      <c r="E11717" s="14" t="n">
        <v>218.56</v>
      </c>
      <c r="F11717" s="14" t="n">
        <v>452.37</v>
      </c>
      <c r="G11717" s="6" t="s">
        <v>2613</v>
      </c>
    </row>
    <row r="11718" customFormat="false" ht="15" hidden="false" customHeight="true" outlineLevel="0" collapsed="false">
      <c r="A11718" s="6" t="s">
        <v>14330</v>
      </c>
      <c r="B11718" s="6" t="s">
        <v>2355</v>
      </c>
      <c r="C11718" s="6" t="s">
        <v>131</v>
      </c>
      <c r="D11718" s="13" t="n">
        <v>44956</v>
      </c>
      <c r="E11718" s="14" t="n">
        <v>327.78</v>
      </c>
      <c r="F11718" s="14" t="n">
        <v>780.15</v>
      </c>
      <c r="G11718" s="6" t="s">
        <v>2623</v>
      </c>
    </row>
    <row r="11719" customFormat="false" ht="15" hidden="false" customHeight="true" outlineLevel="0" collapsed="false">
      <c r="A11719" s="6" t="s">
        <v>14331</v>
      </c>
      <c r="B11719" s="6" t="s">
        <v>2355</v>
      </c>
      <c r="C11719" s="6" t="s">
        <v>131</v>
      </c>
      <c r="D11719" s="13" t="n">
        <v>44963</v>
      </c>
      <c r="E11719" s="14" t="n">
        <v>315.7</v>
      </c>
      <c r="F11719" s="14" t="n">
        <v>1095.85</v>
      </c>
      <c r="G11719" s="6" t="s">
        <v>2613</v>
      </c>
    </row>
    <row r="11720" customFormat="false" ht="15" hidden="false" customHeight="true" outlineLevel="0" collapsed="false">
      <c r="A11720" s="6" t="s">
        <v>14332</v>
      </c>
      <c r="B11720" s="6" t="s">
        <v>2355</v>
      </c>
      <c r="C11720" s="6" t="s">
        <v>131</v>
      </c>
      <c r="D11720" s="13" t="n">
        <v>44970</v>
      </c>
      <c r="E11720" s="14" t="n">
        <v>301.14</v>
      </c>
      <c r="F11720" s="14" t="n">
        <v>1396.99</v>
      </c>
      <c r="G11720" s="6" t="s">
        <v>2613</v>
      </c>
    </row>
    <row r="11721" customFormat="false" ht="15" hidden="false" customHeight="true" outlineLevel="0" collapsed="false">
      <c r="A11721" s="6" t="s">
        <v>14333</v>
      </c>
      <c r="B11721" s="6" t="s">
        <v>2355</v>
      </c>
      <c r="C11721" s="6" t="s">
        <v>131</v>
      </c>
      <c r="D11721" s="13" t="n">
        <v>44977</v>
      </c>
      <c r="E11721" s="14" t="n">
        <v>379.22</v>
      </c>
      <c r="F11721" s="14" t="n">
        <v>1776.21</v>
      </c>
      <c r="G11721" s="6" t="s">
        <v>2623</v>
      </c>
    </row>
    <row r="11722" customFormat="false" ht="15" hidden="false" customHeight="true" outlineLevel="0" collapsed="false">
      <c r="A11722" s="6" t="s">
        <v>14334</v>
      </c>
      <c r="B11722" s="6" t="s">
        <v>2355</v>
      </c>
      <c r="C11722" s="6" t="s">
        <v>131</v>
      </c>
      <c r="D11722" s="13" t="n">
        <v>44984</v>
      </c>
      <c r="E11722" s="14" t="n">
        <v>274.74</v>
      </c>
      <c r="F11722" s="14" t="n">
        <v>2050.95</v>
      </c>
      <c r="G11722" s="6" t="s">
        <v>2623</v>
      </c>
    </row>
    <row r="11723" customFormat="false" ht="15" hidden="false" customHeight="true" outlineLevel="0" collapsed="false">
      <c r="A11723" s="6" t="s">
        <v>14335</v>
      </c>
      <c r="B11723" s="6" t="s">
        <v>2355</v>
      </c>
      <c r="C11723" s="6" t="s">
        <v>131</v>
      </c>
      <c r="D11723" s="13" t="n">
        <v>44991</v>
      </c>
      <c r="E11723" s="14" t="n">
        <v>221.13</v>
      </c>
      <c r="F11723" s="14" t="n">
        <v>2272.08</v>
      </c>
      <c r="G11723" s="6" t="s">
        <v>2613</v>
      </c>
    </row>
    <row r="11724" customFormat="false" ht="15" hidden="false" customHeight="true" outlineLevel="0" collapsed="false">
      <c r="A11724" s="6" t="s">
        <v>14336</v>
      </c>
      <c r="B11724" s="6" t="s">
        <v>2355</v>
      </c>
      <c r="C11724" s="6" t="s">
        <v>131</v>
      </c>
      <c r="D11724" s="13" t="n">
        <v>44998</v>
      </c>
      <c r="E11724" s="14" t="n">
        <v>275.52</v>
      </c>
      <c r="F11724" s="14" t="n">
        <v>2547.6</v>
      </c>
      <c r="G11724" s="6" t="s">
        <v>2613</v>
      </c>
    </row>
    <row r="11725" customFormat="false" ht="15" hidden="false" customHeight="true" outlineLevel="0" collapsed="false">
      <c r="A11725" s="6" t="s">
        <v>14337</v>
      </c>
      <c r="B11725" s="6" t="s">
        <v>2355</v>
      </c>
      <c r="C11725" s="6" t="s">
        <v>131</v>
      </c>
      <c r="D11725" s="13" t="n">
        <v>45005</v>
      </c>
      <c r="E11725" s="14" t="n">
        <v>203.32</v>
      </c>
      <c r="F11725" s="14" t="n">
        <v>2750.92</v>
      </c>
      <c r="G11725" s="6" t="s">
        <v>2613</v>
      </c>
    </row>
    <row r="11726" customFormat="false" ht="15" hidden="false" customHeight="true" outlineLevel="0" collapsed="false">
      <c r="A11726" s="6" t="s">
        <v>14338</v>
      </c>
      <c r="B11726" s="6" t="s">
        <v>2355</v>
      </c>
      <c r="C11726" s="6" t="s">
        <v>131</v>
      </c>
      <c r="D11726" s="13" t="n">
        <v>45012</v>
      </c>
      <c r="E11726" s="14" t="n">
        <v>201.38</v>
      </c>
      <c r="F11726" s="14" t="n">
        <v>2952.3</v>
      </c>
      <c r="G11726" s="6" t="s">
        <v>2613</v>
      </c>
    </row>
    <row r="11727" customFormat="false" ht="15" hidden="false" customHeight="true" outlineLevel="0" collapsed="false">
      <c r="A11727" s="6" t="s">
        <v>14339</v>
      </c>
      <c r="B11727" s="6" t="s">
        <v>2355</v>
      </c>
      <c r="C11727" s="6" t="s">
        <v>131</v>
      </c>
      <c r="D11727" s="13" t="n">
        <v>45019</v>
      </c>
      <c r="E11727" s="14" t="n">
        <v>359.38</v>
      </c>
      <c r="F11727" s="14" t="n">
        <v>3311.68</v>
      </c>
      <c r="G11727" s="6" t="s">
        <v>2613</v>
      </c>
    </row>
    <row r="11728" customFormat="false" ht="15" hidden="false" customHeight="true" outlineLevel="0" collapsed="false">
      <c r="A11728" s="6" t="s">
        <v>14340</v>
      </c>
      <c r="B11728" s="6" t="s">
        <v>2355</v>
      </c>
      <c r="C11728" s="6" t="s">
        <v>131</v>
      </c>
      <c r="D11728" s="13" t="n">
        <v>45026</v>
      </c>
      <c r="E11728" s="14" t="n">
        <v>375.96</v>
      </c>
      <c r="F11728" s="14" t="n">
        <v>3687.64</v>
      </c>
      <c r="G11728" s="6" t="s">
        <v>2613</v>
      </c>
    </row>
    <row r="11729" customFormat="false" ht="15" hidden="false" customHeight="true" outlineLevel="0" collapsed="false">
      <c r="A11729" s="6" t="s">
        <v>14341</v>
      </c>
      <c r="B11729" s="6" t="s">
        <v>2355</v>
      </c>
      <c r="C11729" s="6" t="s">
        <v>131</v>
      </c>
      <c r="D11729" s="13" t="n">
        <v>45033</v>
      </c>
      <c r="E11729" s="14" t="n">
        <v>124.36</v>
      </c>
      <c r="F11729" s="14" t="n">
        <v>3812</v>
      </c>
      <c r="G11729" s="6" t="s">
        <v>2613</v>
      </c>
    </row>
    <row r="11730" customFormat="false" ht="15" hidden="false" customHeight="true" outlineLevel="0" collapsed="false">
      <c r="A11730" s="6" t="s">
        <v>14342</v>
      </c>
      <c r="B11730" s="6" t="s">
        <v>2357</v>
      </c>
      <c r="C11730" s="6" t="s">
        <v>124</v>
      </c>
      <c r="D11730" s="13" t="n">
        <v>44887</v>
      </c>
      <c r="E11730" s="14" t="n">
        <v>5656.91</v>
      </c>
      <c r="F11730" s="14" t="n">
        <v>5656.91</v>
      </c>
      <c r="G11730" s="6" t="s">
        <v>2613</v>
      </c>
    </row>
    <row r="11731" customFormat="false" ht="15" hidden="false" customHeight="true" outlineLevel="0" collapsed="false">
      <c r="A11731" s="6" t="s">
        <v>14343</v>
      </c>
      <c r="B11731" s="6" t="s">
        <v>2359</v>
      </c>
      <c r="C11731" s="6" t="s">
        <v>120</v>
      </c>
      <c r="D11731" s="13" t="n">
        <v>46180</v>
      </c>
      <c r="E11731" s="14" t="n">
        <v>3974.25</v>
      </c>
      <c r="F11731" s="14" t="n">
        <v>3974.25</v>
      </c>
      <c r="G11731" s="6" t="s">
        <v>2613</v>
      </c>
    </row>
    <row r="11732" customFormat="false" ht="15" hidden="false" customHeight="true" outlineLevel="0" collapsed="false">
      <c r="A11732" s="6" t="s">
        <v>14344</v>
      </c>
      <c r="B11732" s="6" t="s">
        <v>2359</v>
      </c>
      <c r="C11732" s="6" t="s">
        <v>120</v>
      </c>
      <c r="D11732" s="13" t="n">
        <v>46187</v>
      </c>
      <c r="E11732" s="14" t="n">
        <v>4027.55</v>
      </c>
      <c r="F11732" s="14" t="n">
        <v>8001.8</v>
      </c>
      <c r="G11732" s="6" t="s">
        <v>2613</v>
      </c>
    </row>
    <row r="11733" customFormat="false" ht="15" hidden="false" customHeight="true" outlineLevel="0" collapsed="false">
      <c r="A11733" s="6" t="s">
        <v>14345</v>
      </c>
      <c r="B11733" s="6" t="s">
        <v>2359</v>
      </c>
      <c r="C11733" s="6" t="s">
        <v>120</v>
      </c>
      <c r="D11733" s="13" t="n">
        <v>46194</v>
      </c>
      <c r="E11733" s="14" t="n">
        <v>2402.2</v>
      </c>
      <c r="F11733" s="14" t="n">
        <v>10404</v>
      </c>
      <c r="G11733" s="6" t="s">
        <v>2623</v>
      </c>
    </row>
    <row r="11734" customFormat="false" ht="15" hidden="false" customHeight="true" outlineLevel="0" collapsed="false">
      <c r="A11734" s="6" t="s">
        <v>14346</v>
      </c>
      <c r="B11734" s="6" t="s">
        <v>2359</v>
      </c>
      <c r="C11734" s="6" t="s">
        <v>120</v>
      </c>
      <c r="D11734" s="13" t="n">
        <v>46201</v>
      </c>
      <c r="E11734" s="14" t="n">
        <v>2635.04</v>
      </c>
      <c r="F11734" s="14" t="n">
        <v>13039.04</v>
      </c>
      <c r="G11734" s="6" t="s">
        <v>2613</v>
      </c>
    </row>
    <row r="11735" customFormat="false" ht="15" hidden="false" customHeight="true" outlineLevel="0" collapsed="false">
      <c r="A11735" s="6" t="s">
        <v>14347</v>
      </c>
      <c r="B11735" s="6" t="s">
        <v>2359</v>
      </c>
      <c r="C11735" s="6" t="s">
        <v>120</v>
      </c>
      <c r="D11735" s="13" t="n">
        <v>46208</v>
      </c>
      <c r="E11735" s="14" t="n">
        <v>2981.62</v>
      </c>
      <c r="F11735" s="14" t="n">
        <v>16020.66</v>
      </c>
      <c r="G11735" s="6" t="s">
        <v>2623</v>
      </c>
    </row>
    <row r="11736" customFormat="false" ht="15" hidden="false" customHeight="true" outlineLevel="0" collapsed="false">
      <c r="A11736" s="6" t="s">
        <v>14348</v>
      </c>
      <c r="B11736" s="6" t="s">
        <v>2359</v>
      </c>
      <c r="C11736" s="6" t="s">
        <v>120</v>
      </c>
      <c r="D11736" s="13" t="n">
        <v>46215</v>
      </c>
      <c r="E11736" s="14" t="n">
        <v>1885.5</v>
      </c>
      <c r="F11736" s="14" t="n">
        <v>17906.16</v>
      </c>
      <c r="G11736" s="6" t="s">
        <v>2613</v>
      </c>
    </row>
    <row r="11737" customFormat="false" ht="15" hidden="false" customHeight="true" outlineLevel="0" collapsed="false">
      <c r="A11737" s="6" t="s">
        <v>14349</v>
      </c>
      <c r="B11737" s="6" t="s">
        <v>2359</v>
      </c>
      <c r="C11737" s="6" t="s">
        <v>120</v>
      </c>
      <c r="D11737" s="13" t="n">
        <v>46222</v>
      </c>
      <c r="E11737" s="14" t="n">
        <v>2071.29</v>
      </c>
      <c r="F11737" s="14" t="n">
        <v>19977.45</v>
      </c>
      <c r="G11737" s="6" t="s">
        <v>2613</v>
      </c>
    </row>
    <row r="11738" customFormat="false" ht="15" hidden="false" customHeight="true" outlineLevel="0" collapsed="false">
      <c r="A11738" s="6" t="s">
        <v>14350</v>
      </c>
      <c r="B11738" s="6" t="s">
        <v>2359</v>
      </c>
      <c r="C11738" s="6" t="s">
        <v>120</v>
      </c>
      <c r="D11738" s="13" t="n">
        <v>46229</v>
      </c>
      <c r="E11738" s="14" t="n">
        <v>5128.75</v>
      </c>
      <c r="F11738" s="14" t="n">
        <v>25106.2</v>
      </c>
      <c r="G11738" s="6" t="s">
        <v>2613</v>
      </c>
    </row>
    <row r="11739" customFormat="false" ht="15" hidden="false" customHeight="true" outlineLevel="0" collapsed="false">
      <c r="A11739" s="6" t="s">
        <v>14351</v>
      </c>
      <c r="B11739" s="6" t="s">
        <v>2361</v>
      </c>
      <c r="C11739" s="6" t="s">
        <v>128</v>
      </c>
      <c r="D11739" s="13" t="n">
        <v>45413</v>
      </c>
      <c r="E11739" s="14" t="n">
        <v>1329.16</v>
      </c>
      <c r="F11739" s="14" t="n">
        <v>1329.16</v>
      </c>
      <c r="G11739" s="6" t="s">
        <v>2613</v>
      </c>
    </row>
    <row r="11740" customFormat="false" ht="15" hidden="false" customHeight="true" outlineLevel="0" collapsed="false">
      <c r="A11740" s="6" t="s">
        <v>14352</v>
      </c>
      <c r="B11740" s="6" t="s">
        <v>2361</v>
      </c>
      <c r="C11740" s="6" t="s">
        <v>128</v>
      </c>
      <c r="D11740" s="13" t="n">
        <v>45420</v>
      </c>
      <c r="E11740" s="14" t="n">
        <v>1446.43</v>
      </c>
      <c r="F11740" s="14" t="n">
        <v>2775.59</v>
      </c>
      <c r="G11740" s="6" t="s">
        <v>2613</v>
      </c>
    </row>
    <row r="11741" customFormat="false" ht="15" hidden="false" customHeight="true" outlineLevel="0" collapsed="false">
      <c r="A11741" s="6" t="s">
        <v>14353</v>
      </c>
      <c r="B11741" s="6" t="s">
        <v>2361</v>
      </c>
      <c r="C11741" s="6" t="s">
        <v>128</v>
      </c>
      <c r="D11741" s="13" t="n">
        <v>45427</v>
      </c>
      <c r="E11741" s="14" t="n">
        <v>1405.5</v>
      </c>
      <c r="F11741" s="14" t="n">
        <v>4181.09</v>
      </c>
      <c r="G11741" s="6" t="s">
        <v>2613</v>
      </c>
    </row>
    <row r="11742" customFormat="false" ht="15" hidden="false" customHeight="true" outlineLevel="0" collapsed="false">
      <c r="A11742" s="6" t="s">
        <v>14354</v>
      </c>
      <c r="B11742" s="6" t="s">
        <v>2361</v>
      </c>
      <c r="C11742" s="6" t="s">
        <v>128</v>
      </c>
      <c r="D11742" s="13" t="n">
        <v>45434</v>
      </c>
      <c r="E11742" s="14" t="n">
        <v>1406.17</v>
      </c>
      <c r="F11742" s="14" t="n">
        <v>5587.26</v>
      </c>
      <c r="G11742" s="6" t="s">
        <v>2613</v>
      </c>
    </row>
    <row r="11743" customFormat="false" ht="15" hidden="false" customHeight="true" outlineLevel="0" collapsed="false">
      <c r="A11743" s="6" t="s">
        <v>14355</v>
      </c>
      <c r="B11743" s="6" t="s">
        <v>2361</v>
      </c>
      <c r="C11743" s="6" t="s">
        <v>128</v>
      </c>
      <c r="D11743" s="13" t="n">
        <v>45441</v>
      </c>
      <c r="E11743" s="14" t="n">
        <v>1422.43</v>
      </c>
      <c r="F11743" s="14" t="n">
        <v>7009.69</v>
      </c>
      <c r="G11743" s="6" t="s">
        <v>2613</v>
      </c>
    </row>
    <row r="11744" customFormat="false" ht="15" hidden="false" customHeight="true" outlineLevel="0" collapsed="false">
      <c r="A11744" s="6" t="s">
        <v>14356</v>
      </c>
      <c r="B11744" s="6" t="s">
        <v>2361</v>
      </c>
      <c r="C11744" s="6" t="s">
        <v>128</v>
      </c>
      <c r="D11744" s="13" t="n">
        <v>45448</v>
      </c>
      <c r="E11744" s="14" t="n">
        <v>17.91</v>
      </c>
      <c r="F11744" s="14" t="n">
        <v>7027.6</v>
      </c>
      <c r="G11744" s="6" t="s">
        <v>2613</v>
      </c>
    </row>
    <row r="11745" customFormat="false" ht="15" hidden="false" customHeight="true" outlineLevel="0" collapsed="false">
      <c r="A11745" s="6" t="s">
        <v>14357</v>
      </c>
      <c r="B11745" s="6" t="s">
        <v>2363</v>
      </c>
      <c r="C11745" s="6" t="s">
        <v>131</v>
      </c>
      <c r="D11745" s="13" t="n">
        <v>46076</v>
      </c>
      <c r="E11745" s="14" t="n">
        <v>1205.91</v>
      </c>
      <c r="F11745" s="14" t="n">
        <v>1205.91</v>
      </c>
      <c r="G11745" s="6" t="s">
        <v>2623</v>
      </c>
    </row>
    <row r="11746" customFormat="false" ht="15" hidden="false" customHeight="true" outlineLevel="0" collapsed="false">
      <c r="A11746" s="6" t="s">
        <v>14358</v>
      </c>
      <c r="B11746" s="6" t="s">
        <v>2363</v>
      </c>
      <c r="C11746" s="6" t="s">
        <v>131</v>
      </c>
      <c r="D11746" s="13" t="n">
        <v>46083</v>
      </c>
      <c r="E11746" s="14" t="n">
        <v>1937.69</v>
      </c>
      <c r="F11746" s="14" t="n">
        <v>3143.6</v>
      </c>
      <c r="G11746" s="6" t="s">
        <v>2613</v>
      </c>
    </row>
    <row r="11747" customFormat="false" ht="15" hidden="false" customHeight="true" outlineLevel="0" collapsed="false">
      <c r="A11747" s="6" t="s">
        <v>14359</v>
      </c>
      <c r="B11747" s="6" t="s">
        <v>2363</v>
      </c>
      <c r="C11747" s="6" t="s">
        <v>131</v>
      </c>
      <c r="D11747" s="13" t="n">
        <v>46090</v>
      </c>
      <c r="E11747" s="14" t="n">
        <v>1685.88</v>
      </c>
      <c r="F11747" s="14" t="n">
        <v>4829.48</v>
      </c>
      <c r="G11747" s="6" t="s">
        <v>2613</v>
      </c>
    </row>
    <row r="11748" customFormat="false" ht="15" hidden="false" customHeight="true" outlineLevel="0" collapsed="false">
      <c r="A11748" s="6" t="s">
        <v>14360</v>
      </c>
      <c r="B11748" s="6" t="s">
        <v>2363</v>
      </c>
      <c r="C11748" s="6" t="s">
        <v>131</v>
      </c>
      <c r="D11748" s="13" t="n">
        <v>46097</v>
      </c>
      <c r="E11748" s="14" t="n">
        <v>1043.29</v>
      </c>
      <c r="F11748" s="14" t="n">
        <v>5872.77</v>
      </c>
      <c r="G11748" s="6" t="s">
        <v>2613</v>
      </c>
    </row>
    <row r="11749" customFormat="false" ht="15" hidden="false" customHeight="true" outlineLevel="0" collapsed="false">
      <c r="A11749" s="6" t="s">
        <v>14361</v>
      </c>
      <c r="B11749" s="6" t="s">
        <v>2363</v>
      </c>
      <c r="C11749" s="6" t="s">
        <v>131</v>
      </c>
      <c r="D11749" s="13" t="n">
        <v>46104</v>
      </c>
      <c r="E11749" s="14" t="n">
        <v>1580.34</v>
      </c>
      <c r="F11749" s="14" t="n">
        <v>7453.11</v>
      </c>
      <c r="G11749" s="6" t="s">
        <v>2613</v>
      </c>
    </row>
    <row r="11750" customFormat="false" ht="15" hidden="false" customHeight="true" outlineLevel="0" collapsed="false">
      <c r="A11750" s="6" t="s">
        <v>14362</v>
      </c>
      <c r="B11750" s="6" t="s">
        <v>2363</v>
      </c>
      <c r="C11750" s="6" t="s">
        <v>131</v>
      </c>
      <c r="D11750" s="13" t="n">
        <v>46111</v>
      </c>
      <c r="E11750" s="14" t="n">
        <v>1364.88</v>
      </c>
      <c r="F11750" s="14" t="n">
        <v>8817.99</v>
      </c>
      <c r="G11750" s="6" t="s">
        <v>2613</v>
      </c>
    </row>
    <row r="11751" customFormat="false" ht="15" hidden="false" customHeight="true" outlineLevel="0" collapsed="false">
      <c r="A11751" s="6" t="s">
        <v>14363</v>
      </c>
      <c r="B11751" s="6" t="s">
        <v>2363</v>
      </c>
      <c r="C11751" s="6" t="s">
        <v>131</v>
      </c>
      <c r="D11751" s="13" t="n">
        <v>46118</v>
      </c>
      <c r="E11751" s="14" t="n">
        <v>1912.56</v>
      </c>
      <c r="F11751" s="14" t="n">
        <v>10730.55</v>
      </c>
      <c r="G11751" s="6" t="s">
        <v>2613</v>
      </c>
    </row>
    <row r="11752" customFormat="false" ht="15" hidden="false" customHeight="true" outlineLevel="0" collapsed="false">
      <c r="A11752" s="6" t="s">
        <v>14364</v>
      </c>
      <c r="B11752" s="6" t="s">
        <v>2363</v>
      </c>
      <c r="C11752" s="6" t="s">
        <v>131</v>
      </c>
      <c r="D11752" s="13" t="n">
        <v>46125</v>
      </c>
      <c r="E11752" s="14" t="n">
        <v>1609.6</v>
      </c>
      <c r="F11752" s="14" t="n">
        <v>12340.15</v>
      </c>
      <c r="G11752" s="6" t="s">
        <v>2613</v>
      </c>
    </row>
    <row r="11753" customFormat="false" ht="15" hidden="false" customHeight="true" outlineLevel="0" collapsed="false">
      <c r="A11753" s="6" t="s">
        <v>14365</v>
      </c>
      <c r="B11753" s="6" t="s">
        <v>2363</v>
      </c>
      <c r="C11753" s="6" t="s">
        <v>131</v>
      </c>
      <c r="D11753" s="13" t="n">
        <v>46132</v>
      </c>
      <c r="E11753" s="14" t="n">
        <v>1051.8</v>
      </c>
      <c r="F11753" s="14" t="n">
        <v>13391.95</v>
      </c>
      <c r="G11753" s="6" t="s">
        <v>2613</v>
      </c>
    </row>
    <row r="11754" customFormat="false" ht="15" hidden="false" customHeight="true" outlineLevel="0" collapsed="false">
      <c r="A11754" s="6" t="s">
        <v>14366</v>
      </c>
      <c r="B11754" s="6" t="s">
        <v>2363</v>
      </c>
      <c r="C11754" s="6" t="s">
        <v>131</v>
      </c>
      <c r="D11754" s="13" t="n">
        <v>46139</v>
      </c>
      <c r="E11754" s="14" t="n">
        <v>1138.45</v>
      </c>
      <c r="F11754" s="14" t="n">
        <v>14530.4</v>
      </c>
      <c r="G11754" s="6" t="s">
        <v>2613</v>
      </c>
    </row>
    <row r="11755" customFormat="false" ht="15" hidden="false" customHeight="true" outlineLevel="0" collapsed="false">
      <c r="A11755" s="6" t="s">
        <v>14367</v>
      </c>
      <c r="B11755" s="6" t="s">
        <v>2363</v>
      </c>
      <c r="C11755" s="6" t="s">
        <v>131</v>
      </c>
      <c r="D11755" s="13" t="n">
        <v>46146</v>
      </c>
      <c r="E11755" s="14" t="n">
        <v>1733.83</v>
      </c>
      <c r="F11755" s="14" t="n">
        <v>16264.23</v>
      </c>
      <c r="G11755" s="6" t="s">
        <v>2613</v>
      </c>
    </row>
    <row r="11756" customFormat="false" ht="15" hidden="false" customHeight="true" outlineLevel="0" collapsed="false">
      <c r="A11756" s="6" t="s">
        <v>14368</v>
      </c>
      <c r="B11756" s="6" t="s">
        <v>2363</v>
      </c>
      <c r="C11756" s="6" t="s">
        <v>131</v>
      </c>
      <c r="D11756" s="13" t="n">
        <v>46153</v>
      </c>
      <c r="E11756" s="14" t="n">
        <v>1301.36</v>
      </c>
      <c r="F11756" s="14" t="n">
        <v>17565.59</v>
      </c>
      <c r="G11756" s="6" t="s">
        <v>2613</v>
      </c>
    </row>
    <row r="11757" customFormat="false" ht="15" hidden="false" customHeight="true" outlineLevel="0" collapsed="false">
      <c r="A11757" s="6" t="s">
        <v>14369</v>
      </c>
      <c r="B11757" s="6" t="s">
        <v>2363</v>
      </c>
      <c r="C11757" s="6" t="s">
        <v>131</v>
      </c>
      <c r="D11757" s="13" t="n">
        <v>46160</v>
      </c>
      <c r="E11757" s="14" t="n">
        <v>966.05</v>
      </c>
      <c r="F11757" s="14" t="n">
        <v>18531.64</v>
      </c>
      <c r="G11757" s="6" t="s">
        <v>2613</v>
      </c>
    </row>
    <row r="11758" customFormat="false" ht="15" hidden="false" customHeight="true" outlineLevel="0" collapsed="false">
      <c r="A11758" s="6" t="s">
        <v>14370</v>
      </c>
      <c r="B11758" s="6" t="s">
        <v>2363</v>
      </c>
      <c r="C11758" s="6" t="s">
        <v>131</v>
      </c>
      <c r="D11758" s="13" t="n">
        <v>46167</v>
      </c>
      <c r="E11758" s="14" t="n">
        <v>1043.51</v>
      </c>
      <c r="F11758" s="14" t="n">
        <v>19575.15</v>
      </c>
      <c r="G11758" s="6" t="s">
        <v>2613</v>
      </c>
    </row>
    <row r="11759" customFormat="false" ht="15" hidden="false" customHeight="true" outlineLevel="0" collapsed="false">
      <c r="A11759" s="6" t="s">
        <v>14371</v>
      </c>
      <c r="B11759" s="6" t="s">
        <v>2363</v>
      </c>
      <c r="C11759" s="6" t="s">
        <v>131</v>
      </c>
      <c r="D11759" s="13" t="n">
        <v>46174</v>
      </c>
      <c r="E11759" s="14" t="n">
        <v>1342.51</v>
      </c>
      <c r="F11759" s="14" t="n">
        <v>20917.66</v>
      </c>
      <c r="G11759" s="6" t="s">
        <v>2613</v>
      </c>
    </row>
    <row r="11760" customFormat="false" ht="15" hidden="false" customHeight="true" outlineLevel="0" collapsed="false">
      <c r="A11760" s="6" t="s">
        <v>14372</v>
      </c>
      <c r="B11760" s="6" t="s">
        <v>2363</v>
      </c>
      <c r="C11760" s="6" t="s">
        <v>131</v>
      </c>
      <c r="D11760" s="13" t="n">
        <v>46181</v>
      </c>
      <c r="E11760" s="14" t="n">
        <v>1181.05</v>
      </c>
      <c r="F11760" s="14" t="n">
        <v>22098.71</v>
      </c>
      <c r="G11760" s="6" t="s">
        <v>2613</v>
      </c>
    </row>
    <row r="11761" customFormat="false" ht="15" hidden="false" customHeight="true" outlineLevel="0" collapsed="false">
      <c r="A11761" s="6" t="s">
        <v>14373</v>
      </c>
      <c r="B11761" s="6" t="s">
        <v>2363</v>
      </c>
      <c r="C11761" s="6" t="s">
        <v>131</v>
      </c>
      <c r="D11761" s="13" t="n">
        <v>46188</v>
      </c>
      <c r="E11761" s="14" t="n">
        <v>1846.53</v>
      </c>
      <c r="F11761" s="14" t="n">
        <v>23945.24</v>
      </c>
      <c r="G11761" s="6" t="s">
        <v>2613</v>
      </c>
    </row>
    <row r="11762" customFormat="false" ht="15" hidden="false" customHeight="true" outlineLevel="0" collapsed="false">
      <c r="A11762" s="6" t="s">
        <v>14374</v>
      </c>
      <c r="B11762" s="6" t="s">
        <v>2365</v>
      </c>
      <c r="C11762" s="6" t="s">
        <v>112</v>
      </c>
      <c r="D11762" s="13" t="n">
        <v>44866</v>
      </c>
      <c r="E11762" s="14" t="n">
        <v>6317.27</v>
      </c>
      <c r="F11762" s="14" t="n">
        <v>6317.27</v>
      </c>
      <c r="G11762" s="6" t="s">
        <v>2613</v>
      </c>
    </row>
    <row r="11763" customFormat="false" ht="15" hidden="false" customHeight="true" outlineLevel="0" collapsed="false">
      <c r="A11763" s="6" t="s">
        <v>14375</v>
      </c>
      <c r="B11763" s="6" t="s">
        <v>2365</v>
      </c>
      <c r="C11763" s="6" t="s">
        <v>112</v>
      </c>
      <c r="D11763" s="13" t="n">
        <v>44873</v>
      </c>
      <c r="E11763" s="14" t="n">
        <v>3002.3</v>
      </c>
      <c r="F11763" s="14" t="n">
        <v>9319.57</v>
      </c>
      <c r="G11763" s="6" t="s">
        <v>2613</v>
      </c>
    </row>
    <row r="11764" customFormat="false" ht="15" hidden="false" customHeight="true" outlineLevel="0" collapsed="false">
      <c r="A11764" s="6" t="s">
        <v>14376</v>
      </c>
      <c r="B11764" s="6" t="s">
        <v>2365</v>
      </c>
      <c r="C11764" s="6" t="s">
        <v>112</v>
      </c>
      <c r="D11764" s="13" t="n">
        <v>44880</v>
      </c>
      <c r="E11764" s="14" t="n">
        <v>4338.32</v>
      </c>
      <c r="F11764" s="14" t="n">
        <v>13657.89</v>
      </c>
      <c r="G11764" s="6" t="s">
        <v>2613</v>
      </c>
    </row>
    <row r="11765" customFormat="false" ht="15" hidden="false" customHeight="true" outlineLevel="0" collapsed="false">
      <c r="A11765" s="6" t="s">
        <v>14377</v>
      </c>
      <c r="B11765" s="6" t="s">
        <v>2365</v>
      </c>
      <c r="C11765" s="6" t="s">
        <v>112</v>
      </c>
      <c r="D11765" s="13" t="n">
        <v>44887</v>
      </c>
      <c r="E11765" s="14" t="n">
        <v>5411.29</v>
      </c>
      <c r="F11765" s="14" t="n">
        <v>19069.18</v>
      </c>
      <c r="G11765" s="6" t="s">
        <v>2613</v>
      </c>
    </row>
    <row r="11766" customFormat="false" ht="15" hidden="false" customHeight="true" outlineLevel="0" collapsed="false">
      <c r="A11766" s="6" t="s">
        <v>14378</v>
      </c>
      <c r="B11766" s="6" t="s">
        <v>2365</v>
      </c>
      <c r="C11766" s="6" t="s">
        <v>112</v>
      </c>
      <c r="D11766" s="13" t="n">
        <v>44894</v>
      </c>
      <c r="E11766" s="14" t="n">
        <v>3614.46</v>
      </c>
      <c r="F11766" s="14" t="n">
        <v>22683.64</v>
      </c>
      <c r="G11766" s="6" t="s">
        <v>2613</v>
      </c>
    </row>
    <row r="11767" customFormat="false" ht="15" hidden="false" customHeight="true" outlineLevel="0" collapsed="false">
      <c r="A11767" s="6" t="s">
        <v>14379</v>
      </c>
      <c r="B11767" s="6" t="s">
        <v>2367</v>
      </c>
      <c r="C11767" s="6" t="s">
        <v>131</v>
      </c>
      <c r="D11767" s="13" t="n">
        <v>46062</v>
      </c>
      <c r="E11767" s="14" t="n">
        <v>12331.27</v>
      </c>
      <c r="F11767" s="14" t="n">
        <v>12331.27</v>
      </c>
      <c r="G11767" s="6" t="s">
        <v>2613</v>
      </c>
    </row>
    <row r="11768" customFormat="false" ht="15" hidden="false" customHeight="true" outlineLevel="0" collapsed="false">
      <c r="A11768" s="6" t="s">
        <v>14380</v>
      </c>
      <c r="B11768" s="6" t="s">
        <v>2367</v>
      </c>
      <c r="C11768" s="6" t="s">
        <v>131</v>
      </c>
      <c r="D11768" s="13" t="n">
        <v>46069</v>
      </c>
      <c r="E11768" s="14" t="n">
        <v>10116.32</v>
      </c>
      <c r="F11768" s="14" t="n">
        <v>22447.59</v>
      </c>
      <c r="G11768" s="6" t="s">
        <v>2613</v>
      </c>
    </row>
    <row r="11769" customFormat="false" ht="15" hidden="false" customHeight="true" outlineLevel="0" collapsed="false">
      <c r="A11769" s="6" t="s">
        <v>14381</v>
      </c>
      <c r="B11769" s="6" t="s">
        <v>2367</v>
      </c>
      <c r="C11769" s="6" t="s">
        <v>131</v>
      </c>
      <c r="D11769" s="13" t="n">
        <v>46076</v>
      </c>
      <c r="E11769" s="14" t="n">
        <v>10698.81</v>
      </c>
      <c r="F11769" s="14" t="n">
        <v>33146.4</v>
      </c>
      <c r="G11769" s="6" t="s">
        <v>2613</v>
      </c>
    </row>
    <row r="11770" customFormat="false" ht="15" hidden="false" customHeight="true" outlineLevel="0" collapsed="false">
      <c r="A11770" s="6" t="s">
        <v>14382</v>
      </c>
      <c r="B11770" s="6" t="s">
        <v>2367</v>
      </c>
      <c r="C11770" s="6" t="s">
        <v>131</v>
      </c>
      <c r="D11770" s="13" t="n">
        <v>46083</v>
      </c>
      <c r="E11770" s="14" t="n">
        <v>7925.52</v>
      </c>
      <c r="F11770" s="14" t="n">
        <v>41071.92</v>
      </c>
      <c r="G11770" s="6" t="s">
        <v>2613</v>
      </c>
    </row>
    <row r="11771" customFormat="false" ht="15" hidden="false" customHeight="true" outlineLevel="0" collapsed="false">
      <c r="A11771" s="6" t="s">
        <v>14383</v>
      </c>
      <c r="B11771" s="6" t="s">
        <v>2367</v>
      </c>
      <c r="C11771" s="6" t="s">
        <v>131</v>
      </c>
      <c r="D11771" s="13" t="n">
        <v>46090</v>
      </c>
      <c r="E11771" s="14" t="n">
        <v>9259.6</v>
      </c>
      <c r="F11771" s="14" t="n">
        <v>50331.52</v>
      </c>
      <c r="G11771" s="6" t="s">
        <v>2613</v>
      </c>
    </row>
    <row r="11772" customFormat="false" ht="15" hidden="false" customHeight="true" outlineLevel="0" collapsed="false">
      <c r="A11772" s="6" t="s">
        <v>14384</v>
      </c>
      <c r="B11772" s="6" t="s">
        <v>2367</v>
      </c>
      <c r="C11772" s="6" t="s">
        <v>131</v>
      </c>
      <c r="D11772" s="13" t="n">
        <v>46097</v>
      </c>
      <c r="E11772" s="14" t="n">
        <v>9916.28</v>
      </c>
      <c r="F11772" s="14" t="n">
        <v>60247.8</v>
      </c>
      <c r="G11772" s="6" t="s">
        <v>2613</v>
      </c>
    </row>
    <row r="11773" customFormat="false" ht="15" hidden="false" customHeight="true" outlineLevel="0" collapsed="false">
      <c r="A11773" s="6" t="s">
        <v>14385</v>
      </c>
      <c r="B11773" s="6" t="s">
        <v>2367</v>
      </c>
      <c r="C11773" s="6" t="s">
        <v>131</v>
      </c>
      <c r="D11773" s="13" t="n">
        <v>46104</v>
      </c>
      <c r="E11773" s="14" t="n">
        <v>12558.21</v>
      </c>
      <c r="F11773" s="14" t="n">
        <v>72806.01</v>
      </c>
      <c r="G11773" s="6" t="s">
        <v>2613</v>
      </c>
    </row>
    <row r="11774" customFormat="false" ht="15" hidden="false" customHeight="true" outlineLevel="0" collapsed="false">
      <c r="A11774" s="6" t="s">
        <v>14386</v>
      </c>
      <c r="B11774" s="6" t="s">
        <v>2367</v>
      </c>
      <c r="C11774" s="6" t="s">
        <v>131</v>
      </c>
      <c r="D11774" s="13" t="n">
        <v>46111</v>
      </c>
      <c r="E11774" s="14" t="n">
        <v>9097.27</v>
      </c>
      <c r="F11774" s="14" t="n">
        <v>81903.28</v>
      </c>
      <c r="G11774" s="6" t="s">
        <v>2613</v>
      </c>
    </row>
    <row r="11775" customFormat="false" ht="15" hidden="false" customHeight="true" outlineLevel="0" collapsed="false">
      <c r="A11775" s="6" t="s">
        <v>14387</v>
      </c>
      <c r="B11775" s="6" t="s">
        <v>2367</v>
      </c>
      <c r="C11775" s="6" t="s">
        <v>131</v>
      </c>
      <c r="D11775" s="13" t="n">
        <v>46118</v>
      </c>
      <c r="E11775" s="14" t="n">
        <v>15734.91</v>
      </c>
      <c r="F11775" s="14" t="n">
        <v>97638.19</v>
      </c>
      <c r="G11775" s="6" t="s">
        <v>2613</v>
      </c>
    </row>
    <row r="11776" customFormat="false" ht="15" hidden="false" customHeight="true" outlineLevel="0" collapsed="false">
      <c r="A11776" s="6" t="s">
        <v>14388</v>
      </c>
      <c r="B11776" s="6" t="s">
        <v>2369</v>
      </c>
      <c r="C11776" s="6" t="s">
        <v>112</v>
      </c>
      <c r="D11776" s="13" t="n">
        <v>45693</v>
      </c>
      <c r="E11776" s="14" t="n">
        <v>4897.33</v>
      </c>
      <c r="F11776" s="14" t="n">
        <v>4897.33</v>
      </c>
      <c r="G11776" s="6" t="s">
        <v>2623</v>
      </c>
    </row>
    <row r="11777" customFormat="false" ht="15" hidden="false" customHeight="true" outlineLevel="0" collapsed="false">
      <c r="A11777" s="6" t="s">
        <v>14389</v>
      </c>
      <c r="B11777" s="6" t="s">
        <v>2369</v>
      </c>
      <c r="C11777" s="6" t="s">
        <v>112</v>
      </c>
      <c r="D11777" s="13" t="n">
        <v>45700</v>
      </c>
      <c r="E11777" s="14" t="n">
        <v>3497.95</v>
      </c>
      <c r="F11777" s="14" t="n">
        <v>8395.28</v>
      </c>
      <c r="G11777" s="6" t="s">
        <v>2613</v>
      </c>
    </row>
    <row r="11778" customFormat="false" ht="15" hidden="false" customHeight="true" outlineLevel="0" collapsed="false">
      <c r="A11778" s="6" t="s">
        <v>14390</v>
      </c>
      <c r="B11778" s="6" t="s">
        <v>2369</v>
      </c>
      <c r="C11778" s="6" t="s">
        <v>112</v>
      </c>
      <c r="D11778" s="13" t="n">
        <v>45707</v>
      </c>
      <c r="E11778" s="14" t="n">
        <v>6084.21</v>
      </c>
      <c r="F11778" s="14" t="n">
        <v>14479.49</v>
      </c>
      <c r="G11778" s="6" t="s">
        <v>2613</v>
      </c>
    </row>
    <row r="11779" customFormat="false" ht="15" hidden="false" customHeight="true" outlineLevel="0" collapsed="false">
      <c r="A11779" s="6" t="s">
        <v>14391</v>
      </c>
      <c r="B11779" s="6" t="s">
        <v>2369</v>
      </c>
      <c r="C11779" s="6" t="s">
        <v>112</v>
      </c>
      <c r="D11779" s="13" t="n">
        <v>45714</v>
      </c>
      <c r="E11779" s="14" t="n">
        <v>3836.28</v>
      </c>
      <c r="F11779" s="14" t="n">
        <v>18315.77</v>
      </c>
      <c r="G11779" s="6" t="s">
        <v>2613</v>
      </c>
    </row>
    <row r="11780" customFormat="false" ht="15" hidden="false" customHeight="true" outlineLevel="0" collapsed="false">
      <c r="A11780" s="6" t="s">
        <v>14392</v>
      </c>
      <c r="B11780" s="6" t="s">
        <v>2369</v>
      </c>
      <c r="C11780" s="6" t="s">
        <v>112</v>
      </c>
      <c r="D11780" s="13" t="n">
        <v>45721</v>
      </c>
      <c r="E11780" s="14" t="n">
        <v>5021.16</v>
      </c>
      <c r="F11780" s="14" t="n">
        <v>23336.93</v>
      </c>
      <c r="G11780" s="6" t="s">
        <v>2613</v>
      </c>
    </row>
    <row r="11781" customFormat="false" ht="15" hidden="false" customHeight="true" outlineLevel="0" collapsed="false">
      <c r="A11781" s="6" t="s">
        <v>14393</v>
      </c>
      <c r="B11781" s="6" t="s">
        <v>2369</v>
      </c>
      <c r="C11781" s="6" t="s">
        <v>112</v>
      </c>
      <c r="D11781" s="13" t="n">
        <v>45728</v>
      </c>
      <c r="E11781" s="14" t="n">
        <v>6241.47</v>
      </c>
      <c r="F11781" s="14" t="n">
        <v>29578.4</v>
      </c>
      <c r="G11781" s="6" t="s">
        <v>2613</v>
      </c>
    </row>
    <row r="11782" customFormat="false" ht="15" hidden="false" customHeight="true" outlineLevel="0" collapsed="false">
      <c r="A11782" s="6" t="s">
        <v>14394</v>
      </c>
      <c r="B11782" s="6" t="s">
        <v>2369</v>
      </c>
      <c r="C11782" s="6" t="s">
        <v>112</v>
      </c>
      <c r="D11782" s="13" t="n">
        <v>45735</v>
      </c>
      <c r="E11782" s="14" t="n">
        <v>3614.83</v>
      </c>
      <c r="F11782" s="14" t="n">
        <v>33193.23</v>
      </c>
      <c r="G11782" s="6" t="s">
        <v>2613</v>
      </c>
    </row>
    <row r="11783" customFormat="false" ht="15" hidden="false" customHeight="true" outlineLevel="0" collapsed="false">
      <c r="A11783" s="6" t="s">
        <v>14395</v>
      </c>
      <c r="B11783" s="6" t="s">
        <v>2369</v>
      </c>
      <c r="C11783" s="6" t="s">
        <v>112</v>
      </c>
      <c r="D11783" s="13" t="n">
        <v>45742</v>
      </c>
      <c r="E11783" s="14" t="n">
        <v>6012.1</v>
      </c>
      <c r="F11783" s="14" t="n">
        <v>39205.33</v>
      </c>
      <c r="G11783" s="6" t="s">
        <v>2613</v>
      </c>
    </row>
    <row r="11784" customFormat="false" ht="15" hidden="false" customHeight="true" outlineLevel="0" collapsed="false">
      <c r="A11784" s="6" t="s">
        <v>14396</v>
      </c>
      <c r="B11784" s="6" t="s">
        <v>2369</v>
      </c>
      <c r="C11784" s="6" t="s">
        <v>112</v>
      </c>
      <c r="D11784" s="13" t="n">
        <v>45749</v>
      </c>
      <c r="E11784" s="14" t="n">
        <v>4135.25</v>
      </c>
      <c r="F11784" s="14" t="n">
        <v>43340.58</v>
      </c>
      <c r="G11784" s="6" t="s">
        <v>2613</v>
      </c>
    </row>
    <row r="11785" customFormat="false" ht="15" hidden="false" customHeight="true" outlineLevel="0" collapsed="false">
      <c r="A11785" s="6" t="s">
        <v>14397</v>
      </c>
      <c r="B11785" s="6" t="s">
        <v>2369</v>
      </c>
      <c r="C11785" s="6" t="s">
        <v>112</v>
      </c>
      <c r="D11785" s="13" t="n">
        <v>45756</v>
      </c>
      <c r="E11785" s="14" t="n">
        <v>4912.37</v>
      </c>
      <c r="F11785" s="14" t="n">
        <v>48252.95</v>
      </c>
      <c r="G11785" s="6" t="s">
        <v>2613</v>
      </c>
    </row>
    <row r="11786" customFormat="false" ht="15" hidden="false" customHeight="true" outlineLevel="0" collapsed="false">
      <c r="A11786" s="6" t="s">
        <v>14398</v>
      </c>
      <c r="B11786" s="6" t="s">
        <v>2369</v>
      </c>
      <c r="C11786" s="6" t="s">
        <v>112</v>
      </c>
      <c r="D11786" s="13" t="n">
        <v>45763</v>
      </c>
      <c r="E11786" s="14" t="n">
        <v>5948.33</v>
      </c>
      <c r="F11786" s="14" t="n">
        <v>54201.28</v>
      </c>
      <c r="G11786" s="6" t="s">
        <v>2613</v>
      </c>
    </row>
    <row r="11787" customFormat="false" ht="15" hidden="false" customHeight="true" outlineLevel="0" collapsed="false">
      <c r="A11787" s="6" t="s">
        <v>14399</v>
      </c>
      <c r="B11787" s="6" t="s">
        <v>2369</v>
      </c>
      <c r="C11787" s="6" t="s">
        <v>112</v>
      </c>
      <c r="D11787" s="13" t="n">
        <v>45770</v>
      </c>
      <c r="E11787" s="14" t="n">
        <v>5088.89</v>
      </c>
      <c r="F11787" s="14" t="n">
        <v>59290.17</v>
      </c>
      <c r="G11787" s="6" t="s">
        <v>2613</v>
      </c>
    </row>
    <row r="11788" customFormat="false" ht="15" hidden="false" customHeight="true" outlineLevel="0" collapsed="false">
      <c r="A11788" s="6" t="s">
        <v>14400</v>
      </c>
      <c r="B11788" s="6" t="s">
        <v>2369</v>
      </c>
      <c r="C11788" s="6" t="s">
        <v>112</v>
      </c>
      <c r="D11788" s="13" t="n">
        <v>45777</v>
      </c>
      <c r="E11788" s="14" t="n">
        <v>5484.03</v>
      </c>
      <c r="F11788" s="14" t="n">
        <v>64774.2</v>
      </c>
      <c r="G11788" s="6" t="s">
        <v>2613</v>
      </c>
    </row>
    <row r="11789" customFormat="false" ht="15" hidden="false" customHeight="true" outlineLevel="0" collapsed="false">
      <c r="A11789" s="6" t="s">
        <v>14401</v>
      </c>
      <c r="B11789" s="6" t="s">
        <v>2369</v>
      </c>
      <c r="C11789" s="6" t="s">
        <v>112</v>
      </c>
      <c r="D11789" s="13" t="n">
        <v>45784</v>
      </c>
      <c r="E11789" s="14" t="n">
        <v>5870.91</v>
      </c>
      <c r="F11789" s="14" t="n">
        <v>70645.11</v>
      </c>
      <c r="G11789" s="6" t="s">
        <v>2613</v>
      </c>
    </row>
    <row r="11790" customFormat="false" ht="15" hidden="false" customHeight="true" outlineLevel="0" collapsed="false">
      <c r="A11790" s="6" t="s">
        <v>14402</v>
      </c>
      <c r="B11790" s="6" t="s">
        <v>2369</v>
      </c>
      <c r="C11790" s="6" t="s">
        <v>112</v>
      </c>
      <c r="D11790" s="13" t="n">
        <v>45791</v>
      </c>
      <c r="E11790" s="14" t="n">
        <v>4639.83</v>
      </c>
      <c r="F11790" s="14" t="n">
        <v>75284.94</v>
      </c>
      <c r="G11790" s="6" t="s">
        <v>2623</v>
      </c>
    </row>
    <row r="11791" customFormat="false" ht="15" hidden="false" customHeight="true" outlineLevel="0" collapsed="false">
      <c r="A11791" s="6" t="s">
        <v>14403</v>
      </c>
      <c r="B11791" s="6" t="s">
        <v>2369</v>
      </c>
      <c r="C11791" s="6" t="s">
        <v>112</v>
      </c>
      <c r="D11791" s="13" t="n">
        <v>45798</v>
      </c>
      <c r="E11791" s="14" t="n">
        <v>4459.37</v>
      </c>
      <c r="F11791" s="14" t="n">
        <v>79744.31</v>
      </c>
      <c r="G11791" s="6" t="s">
        <v>2613</v>
      </c>
    </row>
    <row r="11792" customFormat="false" ht="15" hidden="false" customHeight="true" outlineLevel="0" collapsed="false">
      <c r="A11792" s="6" t="s">
        <v>14404</v>
      </c>
      <c r="B11792" s="6" t="s">
        <v>2371</v>
      </c>
      <c r="C11792" s="6" t="s">
        <v>120</v>
      </c>
      <c r="D11792" s="13" t="n">
        <v>44621</v>
      </c>
      <c r="E11792" s="14" t="n">
        <v>3184.23</v>
      </c>
      <c r="F11792" s="14" t="n">
        <v>3184.23</v>
      </c>
      <c r="G11792" s="6" t="s">
        <v>2613</v>
      </c>
    </row>
    <row r="11793" customFormat="false" ht="15" hidden="false" customHeight="true" outlineLevel="0" collapsed="false">
      <c r="A11793" s="6" t="s">
        <v>14405</v>
      </c>
      <c r="B11793" s="6" t="s">
        <v>2371</v>
      </c>
      <c r="C11793" s="6" t="s">
        <v>120</v>
      </c>
      <c r="D11793" s="13" t="n">
        <v>44628</v>
      </c>
      <c r="E11793" s="14" t="n">
        <v>3037.31</v>
      </c>
      <c r="F11793" s="14" t="n">
        <v>6221.54</v>
      </c>
      <c r="G11793" s="6" t="s">
        <v>2613</v>
      </c>
    </row>
    <row r="11794" customFormat="false" ht="15" hidden="false" customHeight="true" outlineLevel="0" collapsed="false">
      <c r="A11794" s="6" t="s">
        <v>14406</v>
      </c>
      <c r="B11794" s="6" t="s">
        <v>2371</v>
      </c>
      <c r="C11794" s="6" t="s">
        <v>120</v>
      </c>
      <c r="D11794" s="13" t="n">
        <v>44635</v>
      </c>
      <c r="E11794" s="14" t="n">
        <v>5149.74</v>
      </c>
      <c r="F11794" s="14" t="n">
        <v>11371.28</v>
      </c>
      <c r="G11794" s="6" t="s">
        <v>2613</v>
      </c>
    </row>
    <row r="11795" customFormat="false" ht="15" hidden="false" customHeight="true" outlineLevel="0" collapsed="false">
      <c r="A11795" s="6" t="s">
        <v>14407</v>
      </c>
      <c r="B11795" s="6" t="s">
        <v>2371</v>
      </c>
      <c r="C11795" s="6" t="s">
        <v>120</v>
      </c>
      <c r="D11795" s="13" t="n">
        <v>44642</v>
      </c>
      <c r="E11795" s="14" t="n">
        <v>4577.24</v>
      </c>
      <c r="F11795" s="14" t="n">
        <v>15948.52</v>
      </c>
      <c r="G11795" s="6" t="s">
        <v>2613</v>
      </c>
    </row>
    <row r="11796" customFormat="false" ht="15" hidden="false" customHeight="true" outlineLevel="0" collapsed="false">
      <c r="A11796" s="6" t="s">
        <v>14408</v>
      </c>
      <c r="B11796" s="6" t="s">
        <v>2371</v>
      </c>
      <c r="C11796" s="6" t="s">
        <v>120</v>
      </c>
      <c r="D11796" s="13" t="n">
        <v>44649</v>
      </c>
      <c r="E11796" s="14" t="n">
        <v>3320.96</v>
      </c>
      <c r="F11796" s="14" t="n">
        <v>19269.48</v>
      </c>
      <c r="G11796" s="6" t="s">
        <v>2613</v>
      </c>
    </row>
    <row r="11797" customFormat="false" ht="15" hidden="false" customHeight="true" outlineLevel="0" collapsed="false">
      <c r="A11797" s="6" t="s">
        <v>14409</v>
      </c>
      <c r="B11797" s="6" t="s">
        <v>2371</v>
      </c>
      <c r="C11797" s="6" t="s">
        <v>120</v>
      </c>
      <c r="D11797" s="13" t="n">
        <v>44656</v>
      </c>
      <c r="E11797" s="14" t="n">
        <v>4357.58</v>
      </c>
      <c r="F11797" s="14" t="n">
        <v>23627.06</v>
      </c>
      <c r="G11797" s="6" t="s">
        <v>2613</v>
      </c>
    </row>
    <row r="11798" customFormat="false" ht="15" hidden="false" customHeight="true" outlineLevel="0" collapsed="false">
      <c r="A11798" s="6" t="s">
        <v>14410</v>
      </c>
      <c r="B11798" s="6" t="s">
        <v>2371</v>
      </c>
      <c r="C11798" s="6" t="s">
        <v>120</v>
      </c>
      <c r="D11798" s="13" t="n">
        <v>44663</v>
      </c>
      <c r="E11798" s="14" t="n">
        <v>4591.1</v>
      </c>
      <c r="F11798" s="14" t="n">
        <v>28218.16</v>
      </c>
      <c r="G11798" s="6" t="s">
        <v>2613</v>
      </c>
    </row>
    <row r="11799" customFormat="false" ht="15" hidden="false" customHeight="true" outlineLevel="0" collapsed="false">
      <c r="A11799" s="6" t="s">
        <v>14411</v>
      </c>
      <c r="B11799" s="6" t="s">
        <v>2371</v>
      </c>
      <c r="C11799" s="6" t="s">
        <v>120</v>
      </c>
      <c r="D11799" s="13" t="n">
        <v>44670</v>
      </c>
      <c r="E11799" s="14" t="n">
        <v>4974.34</v>
      </c>
      <c r="F11799" s="14" t="n">
        <v>33192.5</v>
      </c>
      <c r="G11799" s="6" t="s">
        <v>2613</v>
      </c>
    </row>
    <row r="11800" customFormat="false" ht="15" hidden="false" customHeight="true" outlineLevel="0" collapsed="false">
      <c r="A11800" s="6" t="s">
        <v>14412</v>
      </c>
      <c r="B11800" s="6" t="s">
        <v>2371</v>
      </c>
      <c r="C11800" s="6" t="s">
        <v>120</v>
      </c>
      <c r="D11800" s="13" t="n">
        <v>44677</v>
      </c>
      <c r="E11800" s="14" t="n">
        <v>5232.57</v>
      </c>
      <c r="F11800" s="14" t="n">
        <v>38425.07</v>
      </c>
      <c r="G11800" s="6" t="s">
        <v>2613</v>
      </c>
    </row>
    <row r="11801" customFormat="false" ht="15" hidden="false" customHeight="true" outlineLevel="0" collapsed="false">
      <c r="A11801" s="6" t="s">
        <v>14413</v>
      </c>
      <c r="B11801" s="6" t="s">
        <v>2371</v>
      </c>
      <c r="C11801" s="6" t="s">
        <v>120</v>
      </c>
      <c r="D11801" s="13" t="n">
        <v>44684</v>
      </c>
      <c r="E11801" s="14" t="n">
        <v>3908.65</v>
      </c>
      <c r="F11801" s="14" t="n">
        <v>42333.72</v>
      </c>
      <c r="G11801" s="6" t="s">
        <v>2613</v>
      </c>
    </row>
    <row r="11802" customFormat="false" ht="15" hidden="false" customHeight="true" outlineLevel="0" collapsed="false">
      <c r="A11802" s="6" t="s">
        <v>14414</v>
      </c>
      <c r="B11802" s="6" t="s">
        <v>2371</v>
      </c>
      <c r="C11802" s="6" t="s">
        <v>120</v>
      </c>
      <c r="D11802" s="13" t="n">
        <v>44691</v>
      </c>
      <c r="E11802" s="14" t="n">
        <v>3055.13</v>
      </c>
      <c r="F11802" s="14" t="n">
        <v>45388.85</v>
      </c>
      <c r="G11802" s="6" t="s">
        <v>2613</v>
      </c>
    </row>
    <row r="11803" customFormat="false" ht="15" hidden="false" customHeight="true" outlineLevel="0" collapsed="false">
      <c r="A11803" s="6" t="s">
        <v>14415</v>
      </c>
      <c r="B11803" s="6" t="s">
        <v>2371</v>
      </c>
      <c r="C11803" s="6" t="s">
        <v>120</v>
      </c>
      <c r="D11803" s="13" t="n">
        <v>44698</v>
      </c>
      <c r="E11803" s="14" t="n">
        <v>3571.21</v>
      </c>
      <c r="F11803" s="14" t="n">
        <v>48960.06</v>
      </c>
      <c r="G11803" s="6" t="s">
        <v>2613</v>
      </c>
    </row>
    <row r="11804" customFormat="false" ht="15" hidden="false" customHeight="true" outlineLevel="0" collapsed="false">
      <c r="A11804" s="6" t="s">
        <v>14416</v>
      </c>
      <c r="B11804" s="6" t="s">
        <v>2371</v>
      </c>
      <c r="C11804" s="6" t="s">
        <v>120</v>
      </c>
      <c r="D11804" s="13" t="n">
        <v>44705</v>
      </c>
      <c r="E11804" s="14" t="n">
        <v>3423.89</v>
      </c>
      <c r="F11804" s="14" t="n">
        <v>52383.95</v>
      </c>
      <c r="G11804" s="6" t="s">
        <v>2613</v>
      </c>
    </row>
    <row r="11805" customFormat="false" ht="15" hidden="false" customHeight="true" outlineLevel="0" collapsed="false">
      <c r="A11805" s="6" t="s">
        <v>14417</v>
      </c>
      <c r="B11805" s="6" t="s">
        <v>2371</v>
      </c>
      <c r="C11805" s="6" t="s">
        <v>120</v>
      </c>
      <c r="D11805" s="13" t="n">
        <v>44712</v>
      </c>
      <c r="E11805" s="14" t="n">
        <v>3740.15</v>
      </c>
      <c r="F11805" s="14" t="n">
        <v>56124.1</v>
      </c>
      <c r="G11805" s="6" t="s">
        <v>2623</v>
      </c>
    </row>
    <row r="11806" customFormat="false" ht="15" hidden="false" customHeight="true" outlineLevel="0" collapsed="false">
      <c r="A11806" s="6" t="s">
        <v>14418</v>
      </c>
      <c r="B11806" s="6" t="s">
        <v>2371</v>
      </c>
      <c r="C11806" s="6" t="s">
        <v>120</v>
      </c>
      <c r="D11806" s="13" t="n">
        <v>44719</v>
      </c>
      <c r="E11806" s="14" t="n">
        <v>4833.66</v>
      </c>
      <c r="F11806" s="14" t="n">
        <v>60957.76</v>
      </c>
      <c r="G11806" s="6" t="s">
        <v>2613</v>
      </c>
    </row>
    <row r="11807" customFormat="false" ht="15" hidden="false" customHeight="true" outlineLevel="0" collapsed="false">
      <c r="A11807" s="6" t="s">
        <v>14419</v>
      </c>
      <c r="B11807" s="6" t="s">
        <v>2371</v>
      </c>
      <c r="C11807" s="6" t="s">
        <v>120</v>
      </c>
      <c r="D11807" s="13" t="n">
        <v>44726</v>
      </c>
      <c r="E11807" s="14" t="n">
        <v>3354.16</v>
      </c>
      <c r="F11807" s="14" t="n">
        <v>64311.92</v>
      </c>
      <c r="G11807" s="6" t="s">
        <v>2613</v>
      </c>
    </row>
    <row r="11808" customFormat="false" ht="15" hidden="false" customHeight="true" outlineLevel="0" collapsed="false">
      <c r="A11808" s="6" t="s">
        <v>14420</v>
      </c>
      <c r="B11808" s="6" t="s">
        <v>2371</v>
      </c>
      <c r="C11808" s="6" t="s">
        <v>120</v>
      </c>
      <c r="D11808" s="13" t="n">
        <v>44733</v>
      </c>
      <c r="E11808" s="14" t="n">
        <v>7294.13</v>
      </c>
      <c r="F11808" s="14" t="n">
        <v>71606.05</v>
      </c>
      <c r="G11808" s="6" t="s">
        <v>2613</v>
      </c>
    </row>
    <row r="11809" customFormat="false" ht="15" hidden="false" customHeight="true" outlineLevel="0" collapsed="false">
      <c r="A11809" s="6" t="s">
        <v>14421</v>
      </c>
      <c r="B11809" s="6" t="s">
        <v>2373</v>
      </c>
      <c r="C11809" s="6" t="s">
        <v>112</v>
      </c>
      <c r="D11809" s="13" t="n">
        <v>44621</v>
      </c>
      <c r="E11809" s="14" t="n">
        <v>2818.16</v>
      </c>
      <c r="F11809" s="14" t="n">
        <v>2818.16</v>
      </c>
      <c r="G11809" s="6" t="s">
        <v>2623</v>
      </c>
    </row>
    <row r="11810" customFormat="false" ht="15" hidden="false" customHeight="true" outlineLevel="0" collapsed="false">
      <c r="A11810" s="6" t="s">
        <v>14422</v>
      </c>
      <c r="B11810" s="6" t="s">
        <v>2373</v>
      </c>
      <c r="C11810" s="6" t="s">
        <v>112</v>
      </c>
      <c r="D11810" s="13" t="n">
        <v>44628</v>
      </c>
      <c r="E11810" s="14" t="n">
        <v>5363.57</v>
      </c>
      <c r="F11810" s="14" t="n">
        <v>8181.73</v>
      </c>
      <c r="G11810" s="6" t="s">
        <v>2613</v>
      </c>
    </row>
    <row r="11811" customFormat="false" ht="15" hidden="false" customHeight="true" outlineLevel="0" collapsed="false">
      <c r="A11811" s="6" t="s">
        <v>14423</v>
      </c>
      <c r="B11811" s="6" t="s">
        <v>2375</v>
      </c>
      <c r="C11811" s="6" t="s">
        <v>112</v>
      </c>
      <c r="D11811" s="13" t="n">
        <v>45460</v>
      </c>
      <c r="E11811" s="14" t="n">
        <v>3648.87</v>
      </c>
      <c r="F11811" s="14" t="n">
        <v>3648.87</v>
      </c>
      <c r="G11811" s="6" t="s">
        <v>2613</v>
      </c>
    </row>
    <row r="11812" customFormat="false" ht="15" hidden="false" customHeight="true" outlineLevel="0" collapsed="false">
      <c r="A11812" s="6" t="s">
        <v>14424</v>
      </c>
      <c r="B11812" s="6" t="s">
        <v>2375</v>
      </c>
      <c r="C11812" s="6" t="s">
        <v>112</v>
      </c>
      <c r="D11812" s="13" t="n">
        <v>45467</v>
      </c>
      <c r="E11812" s="14" t="n">
        <v>3696.32</v>
      </c>
      <c r="F11812" s="14" t="n">
        <v>7345.19</v>
      </c>
      <c r="G11812" s="6" t="s">
        <v>2613</v>
      </c>
    </row>
    <row r="11813" customFormat="false" ht="15" hidden="false" customHeight="true" outlineLevel="0" collapsed="false">
      <c r="A11813" s="6" t="s">
        <v>14425</v>
      </c>
      <c r="B11813" s="6" t="s">
        <v>2375</v>
      </c>
      <c r="C11813" s="6" t="s">
        <v>112</v>
      </c>
      <c r="D11813" s="13" t="n">
        <v>45474</v>
      </c>
      <c r="E11813" s="14" t="n">
        <v>2687.73</v>
      </c>
      <c r="F11813" s="14" t="n">
        <v>10032.92</v>
      </c>
      <c r="G11813" s="6" t="s">
        <v>2613</v>
      </c>
    </row>
    <row r="11814" customFormat="false" ht="15" hidden="false" customHeight="true" outlineLevel="0" collapsed="false">
      <c r="A11814" s="6" t="s">
        <v>14426</v>
      </c>
      <c r="B11814" s="6" t="s">
        <v>2375</v>
      </c>
      <c r="C11814" s="6" t="s">
        <v>112</v>
      </c>
      <c r="D11814" s="13" t="n">
        <v>45481</v>
      </c>
      <c r="E11814" s="14" t="n">
        <v>3941.06</v>
      </c>
      <c r="F11814" s="14" t="n">
        <v>13973.98</v>
      </c>
      <c r="G11814" s="6" t="s">
        <v>2613</v>
      </c>
    </row>
    <row r="11815" customFormat="false" ht="15" hidden="false" customHeight="true" outlineLevel="0" collapsed="false">
      <c r="A11815" s="6" t="s">
        <v>14427</v>
      </c>
      <c r="B11815" s="6" t="s">
        <v>2375</v>
      </c>
      <c r="C11815" s="6" t="s">
        <v>112</v>
      </c>
      <c r="D11815" s="13" t="n">
        <v>45488</v>
      </c>
      <c r="E11815" s="14" t="n">
        <v>3076.8</v>
      </c>
      <c r="F11815" s="14" t="n">
        <v>17050.78</v>
      </c>
      <c r="G11815" s="6" t="s">
        <v>2613</v>
      </c>
    </row>
    <row r="11816" customFormat="false" ht="15" hidden="false" customHeight="true" outlineLevel="0" collapsed="false">
      <c r="A11816" s="6" t="s">
        <v>14428</v>
      </c>
      <c r="B11816" s="6" t="s">
        <v>2375</v>
      </c>
      <c r="C11816" s="6" t="s">
        <v>112</v>
      </c>
      <c r="D11816" s="13" t="n">
        <v>45495</v>
      </c>
      <c r="E11816" s="14" t="n">
        <v>2801.94</v>
      </c>
      <c r="F11816" s="14" t="n">
        <v>19852.72</v>
      </c>
      <c r="G11816" s="6" t="s">
        <v>2613</v>
      </c>
    </row>
    <row r="11817" customFormat="false" ht="15" hidden="false" customHeight="true" outlineLevel="0" collapsed="false">
      <c r="A11817" s="6" t="s">
        <v>14429</v>
      </c>
      <c r="B11817" s="6" t="s">
        <v>2375</v>
      </c>
      <c r="C11817" s="6" t="s">
        <v>112</v>
      </c>
      <c r="D11817" s="13" t="n">
        <v>45502</v>
      </c>
      <c r="E11817" s="14" t="n">
        <v>3396.28</v>
      </c>
      <c r="F11817" s="14" t="n">
        <v>23249</v>
      </c>
      <c r="G11817" s="6" t="s">
        <v>2613</v>
      </c>
    </row>
    <row r="11818" customFormat="false" ht="15" hidden="false" customHeight="true" outlineLevel="0" collapsed="false">
      <c r="A11818" s="6" t="s">
        <v>14430</v>
      </c>
      <c r="B11818" s="6" t="s">
        <v>2375</v>
      </c>
      <c r="C11818" s="6" t="s">
        <v>112</v>
      </c>
      <c r="D11818" s="13" t="n">
        <v>45509</v>
      </c>
      <c r="E11818" s="14" t="n">
        <v>3298.71</v>
      </c>
      <c r="F11818" s="14" t="n">
        <v>26547.71</v>
      </c>
      <c r="G11818" s="6" t="s">
        <v>2613</v>
      </c>
    </row>
    <row r="11819" customFormat="false" ht="15" hidden="false" customHeight="true" outlineLevel="0" collapsed="false">
      <c r="A11819" s="6" t="s">
        <v>14431</v>
      </c>
      <c r="B11819" s="6" t="s">
        <v>2375</v>
      </c>
      <c r="C11819" s="6" t="s">
        <v>112</v>
      </c>
      <c r="D11819" s="13" t="n">
        <v>45516</v>
      </c>
      <c r="E11819" s="14" t="n">
        <v>4848.51</v>
      </c>
      <c r="F11819" s="14" t="n">
        <v>31396.22</v>
      </c>
      <c r="G11819" s="6" t="s">
        <v>2613</v>
      </c>
    </row>
    <row r="11820" customFormat="false" ht="15" hidden="false" customHeight="true" outlineLevel="0" collapsed="false">
      <c r="A11820" s="6" t="s">
        <v>14432</v>
      </c>
      <c r="B11820" s="6" t="s">
        <v>2375</v>
      </c>
      <c r="C11820" s="6" t="s">
        <v>112</v>
      </c>
      <c r="D11820" s="13" t="n">
        <v>45523</v>
      </c>
      <c r="E11820" s="14" t="n">
        <v>4586.38</v>
      </c>
      <c r="F11820" s="14" t="n">
        <v>35982.6</v>
      </c>
      <c r="G11820" s="6" t="s">
        <v>2613</v>
      </c>
    </row>
    <row r="11821" customFormat="false" ht="15" hidden="false" customHeight="true" outlineLevel="0" collapsed="false">
      <c r="A11821" s="6" t="s">
        <v>14433</v>
      </c>
      <c r="B11821" s="6" t="s">
        <v>2375</v>
      </c>
      <c r="C11821" s="6" t="s">
        <v>112</v>
      </c>
      <c r="D11821" s="13" t="n">
        <v>45530</v>
      </c>
      <c r="E11821" s="14" t="n">
        <v>4599.73</v>
      </c>
      <c r="F11821" s="14" t="n">
        <v>40582.33</v>
      </c>
      <c r="G11821" s="6" t="s">
        <v>2613</v>
      </c>
    </row>
    <row r="11822" customFormat="false" ht="15" hidden="false" customHeight="true" outlineLevel="0" collapsed="false">
      <c r="A11822" s="6" t="s">
        <v>14434</v>
      </c>
      <c r="B11822" s="6" t="s">
        <v>2375</v>
      </c>
      <c r="C11822" s="6" t="s">
        <v>112</v>
      </c>
      <c r="D11822" s="13" t="n">
        <v>45537</v>
      </c>
      <c r="E11822" s="14" t="n">
        <v>4755.12</v>
      </c>
      <c r="F11822" s="14" t="n">
        <v>45337.45</v>
      </c>
      <c r="G11822" s="6" t="s">
        <v>2613</v>
      </c>
    </row>
    <row r="11823" customFormat="false" ht="15" hidden="false" customHeight="true" outlineLevel="0" collapsed="false">
      <c r="A11823" s="6" t="s">
        <v>14435</v>
      </c>
      <c r="B11823" s="6" t="s">
        <v>2375</v>
      </c>
      <c r="C11823" s="6" t="s">
        <v>112</v>
      </c>
      <c r="D11823" s="13" t="n">
        <v>45544</v>
      </c>
      <c r="E11823" s="14" t="n">
        <v>2461.58</v>
      </c>
      <c r="F11823" s="14" t="n">
        <v>47799.03</v>
      </c>
      <c r="G11823" s="6" t="s">
        <v>2613</v>
      </c>
    </row>
    <row r="11824" customFormat="false" ht="15" hidden="false" customHeight="true" outlineLevel="0" collapsed="false">
      <c r="A11824" s="6" t="s">
        <v>14436</v>
      </c>
      <c r="B11824" s="6" t="s">
        <v>2375</v>
      </c>
      <c r="C11824" s="6" t="s">
        <v>112</v>
      </c>
      <c r="D11824" s="13" t="n">
        <v>45551</v>
      </c>
      <c r="E11824" s="14" t="n">
        <v>3117.9</v>
      </c>
      <c r="F11824" s="14" t="n">
        <v>50916.93</v>
      </c>
      <c r="G11824" s="6" t="s">
        <v>2613</v>
      </c>
    </row>
    <row r="11825" customFormat="false" ht="15" hidden="false" customHeight="true" outlineLevel="0" collapsed="false">
      <c r="A11825" s="6" t="s">
        <v>14437</v>
      </c>
      <c r="B11825" s="6" t="s">
        <v>2375</v>
      </c>
      <c r="C11825" s="6" t="s">
        <v>112</v>
      </c>
      <c r="D11825" s="13" t="n">
        <v>45558</v>
      </c>
      <c r="E11825" s="14" t="n">
        <v>3516.55</v>
      </c>
      <c r="F11825" s="14" t="n">
        <v>54433.48</v>
      </c>
      <c r="G11825" s="6" t="s">
        <v>2613</v>
      </c>
    </row>
    <row r="11826" customFormat="false" ht="15" hidden="false" customHeight="true" outlineLevel="0" collapsed="false">
      <c r="A11826" s="6" t="s">
        <v>14438</v>
      </c>
      <c r="B11826" s="6" t="s">
        <v>2375</v>
      </c>
      <c r="C11826" s="6" t="s">
        <v>112</v>
      </c>
      <c r="D11826" s="13" t="n">
        <v>45565</v>
      </c>
      <c r="E11826" s="14" t="n">
        <v>2518.26</v>
      </c>
      <c r="F11826" s="14" t="n">
        <v>56951.74</v>
      </c>
      <c r="G11826" s="6" t="s">
        <v>2613</v>
      </c>
    </row>
    <row r="11827" customFormat="false" ht="15" hidden="false" customHeight="true" outlineLevel="0" collapsed="false">
      <c r="A11827" s="6" t="s">
        <v>14439</v>
      </c>
      <c r="B11827" s="6" t="s">
        <v>2377</v>
      </c>
      <c r="C11827" s="6" t="s">
        <v>124</v>
      </c>
      <c r="D11827" s="13" t="n">
        <v>45538</v>
      </c>
      <c r="E11827" s="14" t="n">
        <v>2826.74</v>
      </c>
      <c r="F11827" s="14" t="n">
        <v>2826.74</v>
      </c>
      <c r="G11827" s="6" t="s">
        <v>2613</v>
      </c>
    </row>
    <row r="11828" customFormat="false" ht="15" hidden="false" customHeight="true" outlineLevel="0" collapsed="false">
      <c r="A11828" s="6" t="s">
        <v>14440</v>
      </c>
      <c r="B11828" s="6" t="s">
        <v>2377</v>
      </c>
      <c r="C11828" s="6" t="s">
        <v>124</v>
      </c>
      <c r="D11828" s="13" t="n">
        <v>45545</v>
      </c>
      <c r="E11828" s="14" t="n">
        <v>2862.29</v>
      </c>
      <c r="F11828" s="14" t="n">
        <v>5689.03</v>
      </c>
      <c r="G11828" s="6" t="s">
        <v>2613</v>
      </c>
    </row>
    <row r="11829" customFormat="false" ht="15" hidden="false" customHeight="true" outlineLevel="0" collapsed="false">
      <c r="A11829" s="6" t="s">
        <v>14441</v>
      </c>
      <c r="B11829" s="6" t="s">
        <v>2377</v>
      </c>
      <c r="C11829" s="6" t="s">
        <v>124</v>
      </c>
      <c r="D11829" s="13" t="n">
        <v>45552</v>
      </c>
      <c r="E11829" s="14" t="n">
        <v>2766.8</v>
      </c>
      <c r="F11829" s="14" t="n">
        <v>8455.83</v>
      </c>
      <c r="G11829" s="6" t="s">
        <v>2613</v>
      </c>
    </row>
    <row r="11830" customFormat="false" ht="15" hidden="false" customHeight="true" outlineLevel="0" collapsed="false">
      <c r="A11830" s="6" t="s">
        <v>14442</v>
      </c>
      <c r="B11830" s="6" t="s">
        <v>2377</v>
      </c>
      <c r="C11830" s="6" t="s">
        <v>124</v>
      </c>
      <c r="D11830" s="13" t="n">
        <v>45559</v>
      </c>
      <c r="E11830" s="14" t="n">
        <v>3495.55</v>
      </c>
      <c r="F11830" s="14" t="n">
        <v>11951.38</v>
      </c>
      <c r="G11830" s="6" t="s">
        <v>2613</v>
      </c>
    </row>
    <row r="11831" customFormat="false" ht="15" hidden="false" customHeight="true" outlineLevel="0" collapsed="false">
      <c r="A11831" s="6" t="s">
        <v>14443</v>
      </c>
      <c r="B11831" s="6" t="s">
        <v>2377</v>
      </c>
      <c r="C11831" s="6" t="s">
        <v>124</v>
      </c>
      <c r="D11831" s="13" t="n">
        <v>45566</v>
      </c>
      <c r="E11831" s="14" t="n">
        <v>2028.54</v>
      </c>
      <c r="F11831" s="14" t="n">
        <v>13979.92</v>
      </c>
      <c r="G11831" s="6" t="s">
        <v>2613</v>
      </c>
    </row>
    <row r="11832" customFormat="false" ht="15" hidden="false" customHeight="true" outlineLevel="0" collapsed="false">
      <c r="A11832" s="6" t="s">
        <v>14444</v>
      </c>
      <c r="B11832" s="6" t="s">
        <v>2377</v>
      </c>
      <c r="C11832" s="6" t="s">
        <v>124</v>
      </c>
      <c r="D11832" s="13" t="n">
        <v>45573</v>
      </c>
      <c r="E11832" s="14" t="n">
        <v>2319.39</v>
      </c>
      <c r="F11832" s="14" t="n">
        <v>16299.31</v>
      </c>
      <c r="G11832" s="6" t="s">
        <v>2613</v>
      </c>
    </row>
    <row r="11833" customFormat="false" ht="15" hidden="false" customHeight="true" outlineLevel="0" collapsed="false">
      <c r="A11833" s="6" t="s">
        <v>14445</v>
      </c>
      <c r="B11833" s="6" t="s">
        <v>2377</v>
      </c>
      <c r="C11833" s="6" t="s">
        <v>124</v>
      </c>
      <c r="D11833" s="13" t="n">
        <v>45580</v>
      </c>
      <c r="E11833" s="14" t="n">
        <v>3087.47</v>
      </c>
      <c r="F11833" s="14" t="n">
        <v>19386.78</v>
      </c>
      <c r="G11833" s="6" t="s">
        <v>2613</v>
      </c>
    </row>
    <row r="11834" customFormat="false" ht="15" hidden="false" customHeight="true" outlineLevel="0" collapsed="false">
      <c r="A11834" s="6" t="s">
        <v>14446</v>
      </c>
      <c r="B11834" s="6" t="s">
        <v>2377</v>
      </c>
      <c r="C11834" s="6" t="s">
        <v>124</v>
      </c>
      <c r="D11834" s="13" t="n">
        <v>45587</v>
      </c>
      <c r="E11834" s="14" t="n">
        <v>2736.83</v>
      </c>
      <c r="F11834" s="14" t="n">
        <v>22123.61</v>
      </c>
      <c r="G11834" s="6" t="s">
        <v>2613</v>
      </c>
    </row>
    <row r="11835" customFormat="false" ht="15" hidden="false" customHeight="true" outlineLevel="0" collapsed="false">
      <c r="A11835" s="6" t="s">
        <v>14447</v>
      </c>
      <c r="B11835" s="6" t="s">
        <v>2377</v>
      </c>
      <c r="C11835" s="6" t="s">
        <v>124</v>
      </c>
      <c r="D11835" s="13" t="n">
        <v>45594</v>
      </c>
      <c r="E11835" s="14" t="n">
        <v>1734.19</v>
      </c>
      <c r="F11835" s="14" t="n">
        <v>23857.8</v>
      </c>
      <c r="G11835" s="6" t="s">
        <v>2613</v>
      </c>
    </row>
    <row r="11836" customFormat="false" ht="15" hidden="false" customHeight="true" outlineLevel="0" collapsed="false">
      <c r="A11836" s="6" t="s">
        <v>14448</v>
      </c>
      <c r="B11836" s="6" t="s">
        <v>2377</v>
      </c>
      <c r="C11836" s="6" t="s">
        <v>124</v>
      </c>
      <c r="D11836" s="13" t="n">
        <v>45601</v>
      </c>
      <c r="E11836" s="14" t="n">
        <v>2539.56</v>
      </c>
      <c r="F11836" s="14" t="n">
        <v>26397.36</v>
      </c>
      <c r="G11836" s="6" t="s">
        <v>2613</v>
      </c>
    </row>
    <row r="11837" customFormat="false" ht="15" hidden="false" customHeight="true" outlineLevel="0" collapsed="false">
      <c r="A11837" s="6" t="s">
        <v>14449</v>
      </c>
      <c r="B11837" s="6" t="s">
        <v>2377</v>
      </c>
      <c r="C11837" s="6" t="s">
        <v>124</v>
      </c>
      <c r="D11837" s="13" t="n">
        <v>45608</v>
      </c>
      <c r="E11837" s="14" t="n">
        <v>2342.47</v>
      </c>
      <c r="F11837" s="14" t="n">
        <v>28739.83</v>
      </c>
      <c r="G11837" s="6" t="s">
        <v>2613</v>
      </c>
    </row>
    <row r="11838" customFormat="false" ht="15" hidden="false" customHeight="true" outlineLevel="0" collapsed="false">
      <c r="A11838" s="6" t="s">
        <v>14450</v>
      </c>
      <c r="B11838" s="6" t="s">
        <v>2377</v>
      </c>
      <c r="C11838" s="6" t="s">
        <v>124</v>
      </c>
      <c r="D11838" s="13" t="n">
        <v>45615</v>
      </c>
      <c r="E11838" s="14" t="n">
        <v>2805.52</v>
      </c>
      <c r="F11838" s="14" t="n">
        <v>31545.35</v>
      </c>
      <c r="G11838" s="6" t="s">
        <v>2613</v>
      </c>
    </row>
    <row r="11839" customFormat="false" ht="15" hidden="false" customHeight="true" outlineLevel="0" collapsed="false">
      <c r="A11839" s="6" t="s">
        <v>14451</v>
      </c>
      <c r="B11839" s="6" t="s">
        <v>2377</v>
      </c>
      <c r="C11839" s="6" t="s">
        <v>124</v>
      </c>
      <c r="D11839" s="13" t="n">
        <v>45622</v>
      </c>
      <c r="E11839" s="14" t="n">
        <v>2626.9</v>
      </c>
      <c r="F11839" s="14" t="n">
        <v>34172.25</v>
      </c>
      <c r="G11839" s="6" t="s">
        <v>2613</v>
      </c>
    </row>
    <row r="11840" customFormat="false" ht="15" hidden="false" customHeight="true" outlineLevel="0" collapsed="false">
      <c r="A11840" s="6" t="s">
        <v>14452</v>
      </c>
      <c r="B11840" s="6" t="s">
        <v>2377</v>
      </c>
      <c r="C11840" s="6" t="s">
        <v>124</v>
      </c>
      <c r="D11840" s="13" t="n">
        <v>45629</v>
      </c>
      <c r="E11840" s="14" t="n">
        <v>3200.93</v>
      </c>
      <c r="F11840" s="14" t="n">
        <v>37373.18</v>
      </c>
      <c r="G11840" s="6" t="s">
        <v>2613</v>
      </c>
    </row>
    <row r="11841" customFormat="false" ht="15" hidden="false" customHeight="true" outlineLevel="0" collapsed="false">
      <c r="A11841" s="6" t="s">
        <v>14453</v>
      </c>
      <c r="B11841" s="6" t="s">
        <v>2377</v>
      </c>
      <c r="C11841" s="6" t="s">
        <v>124</v>
      </c>
      <c r="D11841" s="13" t="n">
        <v>45636</v>
      </c>
      <c r="E11841" s="14" t="n">
        <v>2767.68</v>
      </c>
      <c r="F11841" s="14" t="n">
        <v>40140.86</v>
      </c>
      <c r="G11841" s="6" t="s">
        <v>2613</v>
      </c>
    </row>
    <row r="11842" customFormat="false" ht="15" hidden="false" customHeight="true" outlineLevel="0" collapsed="false">
      <c r="A11842" s="6" t="s">
        <v>14454</v>
      </c>
      <c r="B11842" s="6" t="s">
        <v>2377</v>
      </c>
      <c r="C11842" s="6" t="s">
        <v>124</v>
      </c>
      <c r="D11842" s="13" t="n">
        <v>45643</v>
      </c>
      <c r="E11842" s="14" t="n">
        <v>3400.28</v>
      </c>
      <c r="F11842" s="14" t="n">
        <v>43541.14</v>
      </c>
      <c r="G11842" s="6" t="s">
        <v>2613</v>
      </c>
    </row>
    <row r="11843" customFormat="false" ht="15" hidden="false" customHeight="true" outlineLevel="0" collapsed="false">
      <c r="A11843" s="6" t="s">
        <v>14455</v>
      </c>
      <c r="B11843" s="6" t="s">
        <v>2377</v>
      </c>
      <c r="C11843" s="6" t="s">
        <v>124</v>
      </c>
      <c r="D11843" s="13" t="n">
        <v>45650</v>
      </c>
      <c r="E11843" s="14" t="n">
        <v>2473.73</v>
      </c>
      <c r="F11843" s="14" t="n">
        <v>46014.87</v>
      </c>
      <c r="G11843" s="6" t="s">
        <v>2613</v>
      </c>
    </row>
    <row r="11844" customFormat="false" ht="15" hidden="false" customHeight="true" outlineLevel="0" collapsed="false">
      <c r="A11844" s="6" t="s">
        <v>14456</v>
      </c>
      <c r="B11844" s="6" t="s">
        <v>2377</v>
      </c>
      <c r="C11844" s="6" t="s">
        <v>124</v>
      </c>
      <c r="D11844" s="13" t="n">
        <v>45657</v>
      </c>
      <c r="E11844" s="14" t="n">
        <v>3187.67</v>
      </c>
      <c r="F11844" s="14" t="n">
        <v>49202.54</v>
      </c>
      <c r="G11844" s="6" t="s">
        <v>2613</v>
      </c>
    </row>
    <row r="11845" customFormat="false" ht="15" hidden="false" customHeight="true" outlineLevel="0" collapsed="false">
      <c r="A11845" s="6" t="s">
        <v>14457</v>
      </c>
      <c r="B11845" s="6" t="s">
        <v>2377</v>
      </c>
      <c r="C11845" s="6" t="s">
        <v>124</v>
      </c>
      <c r="D11845" s="13" t="n">
        <v>45664</v>
      </c>
      <c r="E11845" s="14" t="n">
        <v>2063.35</v>
      </c>
      <c r="F11845" s="14" t="n">
        <v>51265.89</v>
      </c>
      <c r="G11845" s="6" t="s">
        <v>2613</v>
      </c>
    </row>
    <row r="11846" customFormat="false" ht="15" hidden="false" customHeight="true" outlineLevel="0" collapsed="false">
      <c r="A11846" s="6" t="s">
        <v>14458</v>
      </c>
      <c r="B11846" s="6" t="s">
        <v>2377</v>
      </c>
      <c r="C11846" s="6" t="s">
        <v>124</v>
      </c>
      <c r="D11846" s="13" t="n">
        <v>45671</v>
      </c>
      <c r="E11846" s="14" t="n">
        <v>2726.14</v>
      </c>
      <c r="F11846" s="14" t="n">
        <v>53992.03</v>
      </c>
      <c r="G11846" s="6" t="s">
        <v>2613</v>
      </c>
    </row>
    <row r="11847" customFormat="false" ht="15" hidden="false" customHeight="true" outlineLevel="0" collapsed="false">
      <c r="A11847" s="6" t="s">
        <v>14459</v>
      </c>
      <c r="B11847" s="6" t="s">
        <v>2379</v>
      </c>
      <c r="C11847" s="6" t="s">
        <v>124</v>
      </c>
      <c r="D11847" s="13" t="n">
        <v>44892</v>
      </c>
      <c r="E11847" s="14" t="n">
        <v>1030.54</v>
      </c>
      <c r="F11847" s="14" t="n">
        <v>1030.54</v>
      </c>
      <c r="G11847" s="6" t="s">
        <v>2613</v>
      </c>
    </row>
    <row r="11848" customFormat="false" ht="15" hidden="false" customHeight="true" outlineLevel="0" collapsed="false">
      <c r="A11848" s="6" t="s">
        <v>14460</v>
      </c>
      <c r="B11848" s="6" t="s">
        <v>2379</v>
      </c>
      <c r="C11848" s="6" t="s">
        <v>124</v>
      </c>
      <c r="D11848" s="13" t="n">
        <v>44899</v>
      </c>
      <c r="E11848" s="14" t="n">
        <v>1126.16</v>
      </c>
      <c r="F11848" s="14" t="n">
        <v>2156.7</v>
      </c>
      <c r="G11848" s="6" t="s">
        <v>2613</v>
      </c>
    </row>
    <row r="11849" customFormat="false" ht="15" hidden="false" customHeight="true" outlineLevel="0" collapsed="false">
      <c r="A11849" s="6" t="s">
        <v>14461</v>
      </c>
      <c r="B11849" s="6" t="s">
        <v>2379</v>
      </c>
      <c r="C11849" s="6" t="s">
        <v>124</v>
      </c>
      <c r="D11849" s="13" t="n">
        <v>44906</v>
      </c>
      <c r="E11849" s="14" t="n">
        <v>827.83</v>
      </c>
      <c r="F11849" s="14" t="n">
        <v>2984.53</v>
      </c>
      <c r="G11849" s="6" t="s">
        <v>2613</v>
      </c>
    </row>
    <row r="11850" customFormat="false" ht="15" hidden="false" customHeight="true" outlineLevel="0" collapsed="false">
      <c r="A11850" s="6" t="s">
        <v>14462</v>
      </c>
      <c r="B11850" s="6" t="s">
        <v>2379</v>
      </c>
      <c r="C11850" s="6" t="s">
        <v>124</v>
      </c>
      <c r="D11850" s="13" t="n">
        <v>44913</v>
      </c>
      <c r="E11850" s="14" t="n">
        <v>1379.38</v>
      </c>
      <c r="F11850" s="14" t="n">
        <v>4363.91</v>
      </c>
      <c r="G11850" s="6" t="s">
        <v>2613</v>
      </c>
    </row>
    <row r="11851" customFormat="false" ht="15" hidden="false" customHeight="true" outlineLevel="0" collapsed="false">
      <c r="A11851" s="6" t="s">
        <v>14463</v>
      </c>
      <c r="B11851" s="6" t="s">
        <v>2379</v>
      </c>
      <c r="C11851" s="6" t="s">
        <v>124</v>
      </c>
      <c r="D11851" s="13" t="n">
        <v>44920</v>
      </c>
      <c r="E11851" s="14" t="n">
        <v>1515.33</v>
      </c>
      <c r="F11851" s="14" t="n">
        <v>5879.24</v>
      </c>
      <c r="G11851" s="6" t="s">
        <v>2613</v>
      </c>
    </row>
    <row r="11852" customFormat="false" ht="15" hidden="false" customHeight="true" outlineLevel="0" collapsed="false">
      <c r="A11852" s="6" t="s">
        <v>14464</v>
      </c>
      <c r="B11852" s="6" t="s">
        <v>2379</v>
      </c>
      <c r="C11852" s="6" t="s">
        <v>124</v>
      </c>
      <c r="D11852" s="13" t="n">
        <v>44927</v>
      </c>
      <c r="E11852" s="14" t="n">
        <v>1226.66</v>
      </c>
      <c r="F11852" s="14" t="n">
        <v>7105.9</v>
      </c>
      <c r="G11852" s="6" t="s">
        <v>2613</v>
      </c>
    </row>
    <row r="11853" customFormat="false" ht="15" hidden="false" customHeight="true" outlineLevel="0" collapsed="false">
      <c r="A11853" s="6" t="s">
        <v>14465</v>
      </c>
      <c r="B11853" s="6" t="s">
        <v>2379</v>
      </c>
      <c r="C11853" s="6" t="s">
        <v>124</v>
      </c>
      <c r="D11853" s="13" t="n">
        <v>44934</v>
      </c>
      <c r="E11853" s="14" t="n">
        <v>1350.98</v>
      </c>
      <c r="F11853" s="14" t="n">
        <v>8456.88</v>
      </c>
      <c r="G11853" s="6" t="s">
        <v>2613</v>
      </c>
    </row>
    <row r="11854" customFormat="false" ht="15" hidden="false" customHeight="true" outlineLevel="0" collapsed="false">
      <c r="A11854" s="6" t="s">
        <v>14466</v>
      </c>
      <c r="B11854" s="6" t="s">
        <v>2379</v>
      </c>
      <c r="C11854" s="6" t="s">
        <v>124</v>
      </c>
      <c r="D11854" s="13" t="n">
        <v>44941</v>
      </c>
      <c r="E11854" s="14" t="n">
        <v>1605.36</v>
      </c>
      <c r="F11854" s="14" t="n">
        <v>10062.24</v>
      </c>
      <c r="G11854" s="6" t="s">
        <v>2613</v>
      </c>
    </row>
    <row r="11855" customFormat="false" ht="15" hidden="false" customHeight="true" outlineLevel="0" collapsed="false">
      <c r="A11855" s="6" t="s">
        <v>14467</v>
      </c>
      <c r="B11855" s="6" t="s">
        <v>2381</v>
      </c>
      <c r="C11855" s="6" t="s">
        <v>116</v>
      </c>
      <c r="D11855" s="13" t="n">
        <v>45466</v>
      </c>
      <c r="E11855" s="14" t="n">
        <v>2908.25</v>
      </c>
      <c r="F11855" s="14" t="n">
        <v>2908.25</v>
      </c>
      <c r="G11855" s="6" t="s">
        <v>2623</v>
      </c>
    </row>
    <row r="11856" customFormat="false" ht="15" hidden="false" customHeight="true" outlineLevel="0" collapsed="false">
      <c r="A11856" s="6" t="s">
        <v>14468</v>
      </c>
      <c r="B11856" s="6" t="s">
        <v>2381</v>
      </c>
      <c r="C11856" s="6" t="s">
        <v>116</v>
      </c>
      <c r="D11856" s="13" t="n">
        <v>45473</v>
      </c>
      <c r="E11856" s="14" t="n">
        <v>3860.95</v>
      </c>
      <c r="F11856" s="14" t="n">
        <v>6769.2</v>
      </c>
      <c r="G11856" s="6" t="s">
        <v>2623</v>
      </c>
    </row>
    <row r="11857" customFormat="false" ht="15" hidden="false" customHeight="true" outlineLevel="0" collapsed="false">
      <c r="A11857" s="6" t="s">
        <v>14469</v>
      </c>
      <c r="B11857" s="6" t="s">
        <v>2381</v>
      </c>
      <c r="C11857" s="6" t="s">
        <v>116</v>
      </c>
      <c r="D11857" s="13" t="n">
        <v>45480</v>
      </c>
      <c r="E11857" s="14" t="n">
        <v>2542.33</v>
      </c>
      <c r="F11857" s="14" t="n">
        <v>9311.53</v>
      </c>
      <c r="G11857" s="6" t="s">
        <v>2613</v>
      </c>
    </row>
    <row r="11858" customFormat="false" ht="15" hidden="false" customHeight="true" outlineLevel="0" collapsed="false">
      <c r="A11858" s="6" t="s">
        <v>14470</v>
      </c>
      <c r="B11858" s="6" t="s">
        <v>2381</v>
      </c>
      <c r="C11858" s="6" t="s">
        <v>116</v>
      </c>
      <c r="D11858" s="13" t="n">
        <v>45487</v>
      </c>
      <c r="E11858" s="14" t="n">
        <v>2439.99</v>
      </c>
      <c r="F11858" s="14" t="n">
        <v>11751.52</v>
      </c>
      <c r="G11858" s="6" t="s">
        <v>2613</v>
      </c>
    </row>
    <row r="11859" customFormat="false" ht="15" hidden="false" customHeight="true" outlineLevel="0" collapsed="false">
      <c r="A11859" s="6" t="s">
        <v>14471</v>
      </c>
      <c r="B11859" s="6" t="s">
        <v>2381</v>
      </c>
      <c r="C11859" s="6" t="s">
        <v>116</v>
      </c>
      <c r="D11859" s="13" t="n">
        <v>45494</v>
      </c>
      <c r="E11859" s="14" t="n">
        <v>4201.21</v>
      </c>
      <c r="F11859" s="14" t="n">
        <v>15952.73</v>
      </c>
      <c r="G11859" s="6" t="s">
        <v>2613</v>
      </c>
    </row>
    <row r="11860" customFormat="false" ht="15" hidden="false" customHeight="true" outlineLevel="0" collapsed="false">
      <c r="A11860" s="6" t="s">
        <v>14472</v>
      </c>
      <c r="B11860" s="6" t="s">
        <v>2381</v>
      </c>
      <c r="C11860" s="6" t="s">
        <v>116</v>
      </c>
      <c r="D11860" s="13" t="n">
        <v>45501</v>
      </c>
      <c r="E11860" s="14" t="n">
        <v>3182.36</v>
      </c>
      <c r="F11860" s="14" t="n">
        <v>19135.09</v>
      </c>
      <c r="G11860" s="6" t="s">
        <v>2613</v>
      </c>
    </row>
    <row r="11861" customFormat="false" ht="15" hidden="false" customHeight="true" outlineLevel="0" collapsed="false">
      <c r="A11861" s="6" t="s">
        <v>14473</v>
      </c>
      <c r="B11861" s="6" t="s">
        <v>2381</v>
      </c>
      <c r="C11861" s="6" t="s">
        <v>116</v>
      </c>
      <c r="D11861" s="13" t="n">
        <v>45508</v>
      </c>
      <c r="E11861" s="14" t="n">
        <v>2449.23</v>
      </c>
      <c r="F11861" s="14" t="n">
        <v>21584.32</v>
      </c>
      <c r="G11861" s="6" t="s">
        <v>2613</v>
      </c>
    </row>
    <row r="11862" customFormat="false" ht="15" hidden="false" customHeight="true" outlineLevel="0" collapsed="false">
      <c r="A11862" s="6" t="s">
        <v>14474</v>
      </c>
      <c r="B11862" s="6" t="s">
        <v>2381</v>
      </c>
      <c r="C11862" s="6" t="s">
        <v>116</v>
      </c>
      <c r="D11862" s="13" t="n">
        <v>45515</v>
      </c>
      <c r="E11862" s="14" t="n">
        <v>4514.52</v>
      </c>
      <c r="F11862" s="14" t="n">
        <v>26098.84</v>
      </c>
      <c r="G11862" s="6" t="s">
        <v>2613</v>
      </c>
    </row>
    <row r="11863" customFormat="false" ht="15" hidden="false" customHeight="true" outlineLevel="0" collapsed="false">
      <c r="A11863" s="6" t="s">
        <v>14475</v>
      </c>
      <c r="B11863" s="6" t="s">
        <v>2383</v>
      </c>
      <c r="C11863" s="6" t="s">
        <v>112</v>
      </c>
      <c r="D11863" s="13" t="n">
        <v>45942</v>
      </c>
      <c r="E11863" s="14" t="n">
        <v>4216.5</v>
      </c>
      <c r="F11863" s="14" t="n">
        <v>4216.5</v>
      </c>
      <c r="G11863" s="6" t="s">
        <v>2613</v>
      </c>
    </row>
    <row r="11864" customFormat="false" ht="15" hidden="false" customHeight="true" outlineLevel="0" collapsed="false">
      <c r="A11864" s="6" t="s">
        <v>14476</v>
      </c>
      <c r="B11864" s="6" t="s">
        <v>2383</v>
      </c>
      <c r="C11864" s="6" t="s">
        <v>112</v>
      </c>
      <c r="D11864" s="13" t="n">
        <v>45949</v>
      </c>
      <c r="E11864" s="14" t="n">
        <v>2258.18</v>
      </c>
      <c r="F11864" s="14" t="n">
        <v>6474.68</v>
      </c>
      <c r="G11864" s="6" t="s">
        <v>2613</v>
      </c>
    </row>
    <row r="11865" customFormat="false" ht="15" hidden="false" customHeight="true" outlineLevel="0" collapsed="false">
      <c r="A11865" s="6" t="s">
        <v>14477</v>
      </c>
      <c r="B11865" s="6" t="s">
        <v>2383</v>
      </c>
      <c r="C11865" s="6" t="s">
        <v>112</v>
      </c>
      <c r="D11865" s="13" t="n">
        <v>45956</v>
      </c>
      <c r="E11865" s="14" t="n">
        <v>3243.84</v>
      </c>
      <c r="F11865" s="14" t="n">
        <v>9718.52</v>
      </c>
      <c r="G11865" s="6" t="s">
        <v>2613</v>
      </c>
    </row>
    <row r="11866" customFormat="false" ht="15" hidden="false" customHeight="true" outlineLevel="0" collapsed="false">
      <c r="A11866" s="6" t="s">
        <v>14478</v>
      </c>
      <c r="B11866" s="6" t="s">
        <v>2383</v>
      </c>
      <c r="C11866" s="6" t="s">
        <v>112</v>
      </c>
      <c r="D11866" s="13" t="n">
        <v>45963</v>
      </c>
      <c r="E11866" s="14" t="n">
        <v>3077.2</v>
      </c>
      <c r="F11866" s="14" t="n">
        <v>12795.72</v>
      </c>
      <c r="G11866" s="6" t="s">
        <v>2613</v>
      </c>
    </row>
    <row r="11867" customFormat="false" ht="15" hidden="false" customHeight="true" outlineLevel="0" collapsed="false">
      <c r="A11867" s="6" t="s">
        <v>14479</v>
      </c>
      <c r="B11867" s="6" t="s">
        <v>2383</v>
      </c>
      <c r="C11867" s="6" t="s">
        <v>112</v>
      </c>
      <c r="D11867" s="13" t="n">
        <v>45970</v>
      </c>
      <c r="E11867" s="14" t="n">
        <v>3652.8</v>
      </c>
      <c r="F11867" s="14" t="n">
        <v>16448.52</v>
      </c>
      <c r="G11867" s="6" t="s">
        <v>2613</v>
      </c>
    </row>
    <row r="11868" customFormat="false" ht="15" hidden="false" customHeight="true" outlineLevel="0" collapsed="false">
      <c r="A11868" s="6" t="s">
        <v>14480</v>
      </c>
      <c r="B11868" s="6" t="s">
        <v>2383</v>
      </c>
      <c r="C11868" s="6" t="s">
        <v>112</v>
      </c>
      <c r="D11868" s="13" t="n">
        <v>45977</v>
      </c>
      <c r="E11868" s="14" t="n">
        <v>2945.32</v>
      </c>
      <c r="F11868" s="14" t="n">
        <v>19393.84</v>
      </c>
      <c r="G11868" s="6" t="s">
        <v>2613</v>
      </c>
    </row>
    <row r="11869" customFormat="false" ht="15" hidden="false" customHeight="true" outlineLevel="0" collapsed="false">
      <c r="A11869" s="6" t="s">
        <v>14481</v>
      </c>
      <c r="B11869" s="6" t="s">
        <v>2383</v>
      </c>
      <c r="C11869" s="6" t="s">
        <v>112</v>
      </c>
      <c r="D11869" s="13" t="n">
        <v>45984</v>
      </c>
      <c r="E11869" s="14" t="n">
        <v>3141.58</v>
      </c>
      <c r="F11869" s="14" t="n">
        <v>22535.42</v>
      </c>
      <c r="G11869" s="6" t="s">
        <v>2613</v>
      </c>
    </row>
    <row r="11870" customFormat="false" ht="15" hidden="false" customHeight="true" outlineLevel="0" collapsed="false">
      <c r="A11870" s="6" t="s">
        <v>14482</v>
      </c>
      <c r="B11870" s="6" t="s">
        <v>2383</v>
      </c>
      <c r="C11870" s="6" t="s">
        <v>112</v>
      </c>
      <c r="D11870" s="13" t="n">
        <v>45991</v>
      </c>
      <c r="E11870" s="14" t="n">
        <v>1592.88</v>
      </c>
      <c r="F11870" s="14" t="n">
        <v>24128.3</v>
      </c>
      <c r="G11870" s="6" t="s">
        <v>2613</v>
      </c>
    </row>
    <row r="11871" customFormat="false" ht="15" hidden="false" customHeight="true" outlineLevel="0" collapsed="false">
      <c r="A11871" s="6" t="s">
        <v>14483</v>
      </c>
      <c r="B11871" s="6" t="s">
        <v>2385</v>
      </c>
      <c r="C11871" s="6" t="s">
        <v>116</v>
      </c>
      <c r="D11871" s="13" t="n">
        <v>45357</v>
      </c>
      <c r="E11871" s="14" t="n">
        <v>3954.81</v>
      </c>
      <c r="F11871" s="14" t="n">
        <v>3954.81</v>
      </c>
      <c r="G11871" s="6" t="s">
        <v>2613</v>
      </c>
    </row>
    <row r="11872" customFormat="false" ht="15" hidden="false" customHeight="true" outlineLevel="0" collapsed="false">
      <c r="A11872" s="6" t="s">
        <v>14484</v>
      </c>
      <c r="B11872" s="6" t="s">
        <v>2385</v>
      </c>
      <c r="C11872" s="6" t="s">
        <v>116</v>
      </c>
      <c r="D11872" s="13" t="n">
        <v>45364</v>
      </c>
      <c r="E11872" s="14" t="n">
        <v>3521.76</v>
      </c>
      <c r="F11872" s="14" t="n">
        <v>7476.57</v>
      </c>
      <c r="G11872" s="6" t="s">
        <v>2613</v>
      </c>
    </row>
    <row r="11873" customFormat="false" ht="15" hidden="false" customHeight="true" outlineLevel="0" collapsed="false">
      <c r="A11873" s="6" t="s">
        <v>14485</v>
      </c>
      <c r="B11873" s="6" t="s">
        <v>2385</v>
      </c>
      <c r="C11873" s="6" t="s">
        <v>116</v>
      </c>
      <c r="D11873" s="13" t="n">
        <v>45371</v>
      </c>
      <c r="E11873" s="14" t="n">
        <v>3048.91</v>
      </c>
      <c r="F11873" s="14" t="n">
        <v>10525.48</v>
      </c>
      <c r="G11873" s="6" t="s">
        <v>2623</v>
      </c>
    </row>
    <row r="11874" customFormat="false" ht="15" hidden="false" customHeight="true" outlineLevel="0" collapsed="false">
      <c r="A11874" s="6" t="s">
        <v>14486</v>
      </c>
      <c r="B11874" s="6" t="s">
        <v>2385</v>
      </c>
      <c r="C11874" s="6" t="s">
        <v>116</v>
      </c>
      <c r="D11874" s="13" t="n">
        <v>45378</v>
      </c>
      <c r="E11874" s="14" t="n">
        <v>4578.93</v>
      </c>
      <c r="F11874" s="14" t="n">
        <v>15104.41</v>
      </c>
      <c r="G11874" s="6" t="s">
        <v>2623</v>
      </c>
    </row>
    <row r="11875" customFormat="false" ht="15" hidden="false" customHeight="true" outlineLevel="0" collapsed="false">
      <c r="A11875" s="6" t="s">
        <v>14487</v>
      </c>
      <c r="B11875" s="6" t="s">
        <v>2385</v>
      </c>
      <c r="C11875" s="6" t="s">
        <v>116</v>
      </c>
      <c r="D11875" s="13" t="n">
        <v>45385</v>
      </c>
      <c r="E11875" s="14" t="n">
        <v>3913.33</v>
      </c>
      <c r="F11875" s="14" t="n">
        <v>19017.74</v>
      </c>
      <c r="G11875" s="6" t="s">
        <v>2613</v>
      </c>
    </row>
    <row r="11876" customFormat="false" ht="15" hidden="false" customHeight="true" outlineLevel="0" collapsed="false">
      <c r="A11876" s="6" t="s">
        <v>14488</v>
      </c>
      <c r="B11876" s="6" t="s">
        <v>2385</v>
      </c>
      <c r="C11876" s="6" t="s">
        <v>116</v>
      </c>
      <c r="D11876" s="13" t="n">
        <v>45392</v>
      </c>
      <c r="E11876" s="14" t="n">
        <v>3129.91</v>
      </c>
      <c r="F11876" s="14" t="n">
        <v>22147.65</v>
      </c>
      <c r="G11876" s="6" t="s">
        <v>2623</v>
      </c>
    </row>
    <row r="11877" customFormat="false" ht="15" hidden="false" customHeight="true" outlineLevel="0" collapsed="false">
      <c r="A11877" s="6" t="s">
        <v>14489</v>
      </c>
      <c r="B11877" s="6" t="s">
        <v>2385</v>
      </c>
      <c r="C11877" s="6" t="s">
        <v>116</v>
      </c>
      <c r="D11877" s="13" t="n">
        <v>45399</v>
      </c>
      <c r="E11877" s="14" t="n">
        <v>4086.63</v>
      </c>
      <c r="F11877" s="14" t="n">
        <v>26234.28</v>
      </c>
      <c r="G11877" s="6" t="s">
        <v>2613</v>
      </c>
    </row>
    <row r="11878" customFormat="false" ht="15" hidden="false" customHeight="true" outlineLevel="0" collapsed="false">
      <c r="A11878" s="6" t="s">
        <v>14490</v>
      </c>
      <c r="B11878" s="6" t="s">
        <v>2385</v>
      </c>
      <c r="C11878" s="6" t="s">
        <v>116</v>
      </c>
      <c r="D11878" s="13" t="n">
        <v>45406</v>
      </c>
      <c r="E11878" s="14" t="n">
        <v>1866.89</v>
      </c>
      <c r="F11878" s="14" t="n">
        <v>28101.17</v>
      </c>
      <c r="G11878" s="6" t="s">
        <v>2613</v>
      </c>
    </row>
    <row r="11879" customFormat="false" ht="15" hidden="false" customHeight="true" outlineLevel="0" collapsed="false">
      <c r="A11879" s="6" t="s">
        <v>14491</v>
      </c>
      <c r="B11879" s="6" t="s">
        <v>2387</v>
      </c>
      <c r="C11879" s="6" t="s">
        <v>128</v>
      </c>
      <c r="D11879" s="13" t="n">
        <v>45487</v>
      </c>
      <c r="E11879" s="14" t="n">
        <v>5148.93</v>
      </c>
      <c r="F11879" s="14" t="n">
        <v>5148.93</v>
      </c>
      <c r="G11879" s="6" t="s">
        <v>2623</v>
      </c>
    </row>
    <row r="11880" customFormat="false" ht="15" hidden="false" customHeight="true" outlineLevel="0" collapsed="false">
      <c r="A11880" s="6" t="s">
        <v>14492</v>
      </c>
      <c r="B11880" s="6" t="s">
        <v>2387</v>
      </c>
      <c r="C11880" s="6" t="s">
        <v>128</v>
      </c>
      <c r="D11880" s="13" t="n">
        <v>45494</v>
      </c>
      <c r="E11880" s="14" t="n">
        <v>6215.8</v>
      </c>
      <c r="F11880" s="14" t="n">
        <v>11364.73</v>
      </c>
      <c r="G11880" s="6" t="s">
        <v>2613</v>
      </c>
    </row>
    <row r="11881" customFormat="false" ht="15" hidden="false" customHeight="true" outlineLevel="0" collapsed="false">
      <c r="A11881" s="6" t="s">
        <v>14493</v>
      </c>
      <c r="B11881" s="6" t="s">
        <v>2387</v>
      </c>
      <c r="C11881" s="6" t="s">
        <v>128</v>
      </c>
      <c r="D11881" s="13" t="n">
        <v>45501</v>
      </c>
      <c r="E11881" s="14" t="n">
        <v>6744.75</v>
      </c>
      <c r="F11881" s="14" t="n">
        <v>18109.48</v>
      </c>
      <c r="G11881" s="6" t="s">
        <v>2613</v>
      </c>
    </row>
    <row r="11882" customFormat="false" ht="15" hidden="false" customHeight="true" outlineLevel="0" collapsed="false">
      <c r="A11882" s="6" t="s">
        <v>14494</v>
      </c>
      <c r="B11882" s="6" t="s">
        <v>2387</v>
      </c>
      <c r="C11882" s="6" t="s">
        <v>128</v>
      </c>
      <c r="D11882" s="13" t="n">
        <v>45508</v>
      </c>
      <c r="E11882" s="14" t="n">
        <v>3948.78</v>
      </c>
      <c r="F11882" s="14" t="n">
        <v>22058.26</v>
      </c>
      <c r="G11882" s="6" t="s">
        <v>2613</v>
      </c>
    </row>
    <row r="11883" customFormat="false" ht="15" hidden="false" customHeight="true" outlineLevel="0" collapsed="false">
      <c r="A11883" s="6" t="s">
        <v>14495</v>
      </c>
      <c r="B11883" s="6" t="s">
        <v>2387</v>
      </c>
      <c r="C11883" s="6" t="s">
        <v>128</v>
      </c>
      <c r="D11883" s="13" t="n">
        <v>45515</v>
      </c>
      <c r="E11883" s="14" t="n">
        <v>4848.27</v>
      </c>
      <c r="F11883" s="14" t="n">
        <v>26906.53</v>
      </c>
      <c r="G11883" s="6" t="s">
        <v>2613</v>
      </c>
    </row>
    <row r="11884" customFormat="false" ht="15" hidden="false" customHeight="true" outlineLevel="0" collapsed="false">
      <c r="A11884" s="6" t="s">
        <v>14496</v>
      </c>
      <c r="B11884" s="6" t="s">
        <v>2387</v>
      </c>
      <c r="C11884" s="6" t="s">
        <v>128</v>
      </c>
      <c r="D11884" s="13" t="n">
        <v>45522</v>
      </c>
      <c r="E11884" s="14" t="n">
        <v>7208.64</v>
      </c>
      <c r="F11884" s="14" t="n">
        <v>34115.17</v>
      </c>
      <c r="G11884" s="6" t="s">
        <v>2613</v>
      </c>
    </row>
    <row r="11885" customFormat="false" ht="15" hidden="false" customHeight="true" outlineLevel="0" collapsed="false">
      <c r="A11885" s="6" t="s">
        <v>14497</v>
      </c>
      <c r="B11885" s="6" t="s">
        <v>2387</v>
      </c>
      <c r="C11885" s="6" t="s">
        <v>128</v>
      </c>
      <c r="D11885" s="13" t="n">
        <v>45529</v>
      </c>
      <c r="E11885" s="14" t="n">
        <v>7686.62</v>
      </c>
      <c r="F11885" s="14" t="n">
        <v>41801.79</v>
      </c>
      <c r="G11885" s="6" t="s">
        <v>2613</v>
      </c>
    </row>
    <row r="11886" customFormat="false" ht="15" hidden="false" customHeight="true" outlineLevel="0" collapsed="false">
      <c r="A11886" s="6" t="s">
        <v>14498</v>
      </c>
      <c r="B11886" s="6" t="s">
        <v>2387</v>
      </c>
      <c r="C11886" s="6" t="s">
        <v>128</v>
      </c>
      <c r="D11886" s="13" t="n">
        <v>45536</v>
      </c>
      <c r="E11886" s="14" t="n">
        <v>4660.02</v>
      </c>
      <c r="F11886" s="14" t="n">
        <v>46461.81</v>
      </c>
      <c r="G11886" s="6" t="s">
        <v>2613</v>
      </c>
    </row>
    <row r="11887" customFormat="false" ht="15" hidden="false" customHeight="true" outlineLevel="0" collapsed="false">
      <c r="A11887" s="6" t="s">
        <v>14499</v>
      </c>
      <c r="B11887" s="6" t="s">
        <v>2387</v>
      </c>
      <c r="C11887" s="6" t="s">
        <v>128</v>
      </c>
      <c r="D11887" s="13" t="n">
        <v>45543</v>
      </c>
      <c r="E11887" s="14" t="n">
        <v>5909.64</v>
      </c>
      <c r="F11887" s="14" t="n">
        <v>52371.45</v>
      </c>
      <c r="G11887" s="6" t="s">
        <v>2613</v>
      </c>
    </row>
    <row r="11888" customFormat="false" ht="15" hidden="false" customHeight="true" outlineLevel="0" collapsed="false">
      <c r="A11888" s="6" t="s">
        <v>14500</v>
      </c>
      <c r="B11888" s="6" t="s">
        <v>2387</v>
      </c>
      <c r="C11888" s="6" t="s">
        <v>128</v>
      </c>
      <c r="D11888" s="13" t="n">
        <v>45550</v>
      </c>
      <c r="E11888" s="14" t="n">
        <v>6075.98</v>
      </c>
      <c r="F11888" s="14" t="n">
        <v>58447.43</v>
      </c>
      <c r="G11888" s="6" t="s">
        <v>2613</v>
      </c>
    </row>
    <row r="11889" customFormat="false" ht="15" hidden="false" customHeight="true" outlineLevel="0" collapsed="false">
      <c r="A11889" s="6" t="s">
        <v>14501</v>
      </c>
      <c r="B11889" s="6" t="s">
        <v>2387</v>
      </c>
      <c r="C11889" s="6" t="s">
        <v>128</v>
      </c>
      <c r="D11889" s="13" t="n">
        <v>45557</v>
      </c>
      <c r="E11889" s="14" t="n">
        <v>5907.15</v>
      </c>
      <c r="F11889" s="14" t="n">
        <v>64354.58</v>
      </c>
      <c r="G11889" s="6" t="s">
        <v>2613</v>
      </c>
    </row>
    <row r="11890" customFormat="false" ht="15" hidden="false" customHeight="true" outlineLevel="0" collapsed="false">
      <c r="A11890" s="6" t="s">
        <v>14502</v>
      </c>
      <c r="B11890" s="6" t="s">
        <v>2387</v>
      </c>
      <c r="C11890" s="6" t="s">
        <v>128</v>
      </c>
      <c r="D11890" s="13" t="n">
        <v>45564</v>
      </c>
      <c r="E11890" s="14" t="n">
        <v>3644.39</v>
      </c>
      <c r="F11890" s="14" t="n">
        <v>67998.97</v>
      </c>
      <c r="G11890" s="6" t="s">
        <v>2613</v>
      </c>
    </row>
    <row r="11891" customFormat="false" ht="15" hidden="false" customHeight="true" outlineLevel="0" collapsed="false">
      <c r="A11891" s="6" t="s">
        <v>14503</v>
      </c>
      <c r="B11891" s="6" t="s">
        <v>2389</v>
      </c>
      <c r="C11891" s="6" t="s">
        <v>131</v>
      </c>
      <c r="D11891" s="13" t="n">
        <v>45262</v>
      </c>
      <c r="E11891" s="14" t="n">
        <v>439.85</v>
      </c>
      <c r="F11891" s="14" t="n">
        <v>439.85</v>
      </c>
      <c r="G11891" s="6" t="s">
        <v>2613</v>
      </c>
    </row>
    <row r="11892" customFormat="false" ht="15" hidden="false" customHeight="true" outlineLevel="0" collapsed="false">
      <c r="A11892" s="6" t="s">
        <v>14504</v>
      </c>
      <c r="B11892" s="6" t="s">
        <v>2389</v>
      </c>
      <c r="C11892" s="6" t="s">
        <v>131</v>
      </c>
      <c r="D11892" s="13" t="n">
        <v>45269</v>
      </c>
      <c r="E11892" s="14" t="n">
        <v>507.21</v>
      </c>
      <c r="F11892" s="14" t="n">
        <v>947.06</v>
      </c>
      <c r="G11892" s="6" t="s">
        <v>2613</v>
      </c>
    </row>
    <row r="11893" customFormat="false" ht="15" hidden="false" customHeight="true" outlineLevel="0" collapsed="false">
      <c r="A11893" s="6" t="s">
        <v>14505</v>
      </c>
      <c r="B11893" s="6" t="s">
        <v>2389</v>
      </c>
      <c r="C11893" s="6" t="s">
        <v>131</v>
      </c>
      <c r="D11893" s="13" t="n">
        <v>45276</v>
      </c>
      <c r="E11893" s="14" t="n">
        <v>562.86</v>
      </c>
      <c r="F11893" s="14" t="n">
        <v>1509.92</v>
      </c>
      <c r="G11893" s="6" t="s">
        <v>2613</v>
      </c>
    </row>
    <row r="11894" customFormat="false" ht="15" hidden="false" customHeight="true" outlineLevel="0" collapsed="false">
      <c r="A11894" s="6" t="s">
        <v>14506</v>
      </c>
      <c r="B11894" s="6" t="s">
        <v>2389</v>
      </c>
      <c r="C11894" s="6" t="s">
        <v>131</v>
      </c>
      <c r="D11894" s="13" t="n">
        <v>45283</v>
      </c>
      <c r="E11894" s="14" t="n">
        <v>638.54</v>
      </c>
      <c r="F11894" s="14" t="n">
        <v>2148.46</v>
      </c>
      <c r="G11894" s="6" t="s">
        <v>2613</v>
      </c>
    </row>
    <row r="11895" customFormat="false" ht="15" hidden="false" customHeight="true" outlineLevel="0" collapsed="false">
      <c r="A11895" s="6" t="s">
        <v>14507</v>
      </c>
      <c r="B11895" s="6" t="s">
        <v>2389</v>
      </c>
      <c r="C11895" s="6" t="s">
        <v>131</v>
      </c>
      <c r="D11895" s="13" t="n">
        <v>45290</v>
      </c>
      <c r="E11895" s="14" t="n">
        <v>573.26</v>
      </c>
      <c r="F11895" s="14" t="n">
        <v>2721.72</v>
      </c>
      <c r="G11895" s="6" t="s">
        <v>2613</v>
      </c>
    </row>
    <row r="11896" customFormat="false" ht="15" hidden="false" customHeight="true" outlineLevel="0" collapsed="false">
      <c r="A11896" s="6" t="s">
        <v>14508</v>
      </c>
      <c r="B11896" s="6" t="s">
        <v>2389</v>
      </c>
      <c r="C11896" s="6" t="s">
        <v>131</v>
      </c>
      <c r="D11896" s="13" t="n">
        <v>45297</v>
      </c>
      <c r="E11896" s="14" t="n">
        <v>429.25</v>
      </c>
      <c r="F11896" s="14" t="n">
        <v>3150.97</v>
      </c>
      <c r="G11896" s="6" t="s">
        <v>2613</v>
      </c>
    </row>
    <row r="11897" customFormat="false" ht="15" hidden="false" customHeight="true" outlineLevel="0" collapsed="false">
      <c r="A11897" s="6" t="s">
        <v>14509</v>
      </c>
      <c r="B11897" s="6" t="s">
        <v>2389</v>
      </c>
      <c r="C11897" s="6" t="s">
        <v>131</v>
      </c>
      <c r="D11897" s="13" t="n">
        <v>45304</v>
      </c>
      <c r="E11897" s="14" t="n">
        <v>345.13</v>
      </c>
      <c r="F11897" s="14" t="n">
        <v>3496.1</v>
      </c>
      <c r="G11897" s="6" t="s">
        <v>2613</v>
      </c>
    </row>
    <row r="11898" customFormat="false" ht="15" hidden="false" customHeight="true" outlineLevel="0" collapsed="false">
      <c r="A11898" s="6" t="s">
        <v>14510</v>
      </c>
      <c r="B11898" s="6" t="s">
        <v>2389</v>
      </c>
      <c r="C11898" s="6" t="s">
        <v>131</v>
      </c>
      <c r="D11898" s="13" t="n">
        <v>45311</v>
      </c>
      <c r="E11898" s="14" t="n">
        <v>475.92</v>
      </c>
      <c r="F11898" s="14" t="n">
        <v>3972.02</v>
      </c>
      <c r="G11898" s="6" t="s">
        <v>2613</v>
      </c>
    </row>
    <row r="11899" customFormat="false" ht="15" hidden="false" customHeight="true" outlineLevel="0" collapsed="false">
      <c r="A11899" s="6" t="s">
        <v>14511</v>
      </c>
      <c r="B11899" s="6" t="s">
        <v>2389</v>
      </c>
      <c r="C11899" s="6" t="s">
        <v>131</v>
      </c>
      <c r="D11899" s="13" t="n">
        <v>45318</v>
      </c>
      <c r="E11899" s="14" t="n">
        <v>195.43</v>
      </c>
      <c r="F11899" s="14" t="n">
        <v>4167.45</v>
      </c>
      <c r="G11899" s="6" t="s">
        <v>2613</v>
      </c>
    </row>
    <row r="11900" customFormat="false" ht="15" hidden="false" customHeight="true" outlineLevel="0" collapsed="false">
      <c r="A11900" s="6" t="s">
        <v>14512</v>
      </c>
      <c r="B11900" s="6" t="s">
        <v>2391</v>
      </c>
      <c r="C11900" s="6" t="s">
        <v>128</v>
      </c>
      <c r="D11900" s="13" t="n">
        <v>44797</v>
      </c>
      <c r="E11900" s="14" t="n">
        <v>6902.88</v>
      </c>
      <c r="F11900" s="14" t="n">
        <v>6902.88</v>
      </c>
      <c r="G11900" s="6" t="s">
        <v>2613</v>
      </c>
    </row>
    <row r="11901" customFormat="false" ht="15" hidden="false" customHeight="true" outlineLevel="0" collapsed="false">
      <c r="A11901" s="6" t="s">
        <v>14513</v>
      </c>
      <c r="B11901" s="6" t="s">
        <v>2391</v>
      </c>
      <c r="C11901" s="6" t="s">
        <v>128</v>
      </c>
      <c r="D11901" s="13" t="n">
        <v>44804</v>
      </c>
      <c r="E11901" s="14" t="n">
        <v>5073.2</v>
      </c>
      <c r="F11901" s="14" t="n">
        <v>11976.08</v>
      </c>
      <c r="G11901" s="6" t="s">
        <v>2613</v>
      </c>
    </row>
    <row r="11902" customFormat="false" ht="15" hidden="false" customHeight="true" outlineLevel="0" collapsed="false">
      <c r="A11902" s="6" t="s">
        <v>14514</v>
      </c>
      <c r="B11902" s="6" t="s">
        <v>2391</v>
      </c>
      <c r="C11902" s="6" t="s">
        <v>128</v>
      </c>
      <c r="D11902" s="13" t="n">
        <v>44811</v>
      </c>
      <c r="E11902" s="14" t="n">
        <v>5170.41</v>
      </c>
      <c r="F11902" s="14" t="n">
        <v>17146.49</v>
      </c>
      <c r="G11902" s="6" t="s">
        <v>2613</v>
      </c>
    </row>
    <row r="11903" customFormat="false" ht="15" hidden="false" customHeight="true" outlineLevel="0" collapsed="false">
      <c r="A11903" s="6" t="s">
        <v>14515</v>
      </c>
      <c r="B11903" s="6" t="s">
        <v>2391</v>
      </c>
      <c r="C11903" s="6" t="s">
        <v>128</v>
      </c>
      <c r="D11903" s="13" t="n">
        <v>44818</v>
      </c>
      <c r="E11903" s="14" t="n">
        <v>6134.1</v>
      </c>
      <c r="F11903" s="14" t="n">
        <v>23280.59</v>
      </c>
      <c r="G11903" s="6" t="s">
        <v>2613</v>
      </c>
    </row>
    <row r="11904" customFormat="false" ht="15" hidden="false" customHeight="true" outlineLevel="0" collapsed="false">
      <c r="A11904" s="6" t="s">
        <v>14516</v>
      </c>
      <c r="B11904" s="6" t="s">
        <v>2391</v>
      </c>
      <c r="C11904" s="6" t="s">
        <v>128</v>
      </c>
      <c r="D11904" s="13" t="n">
        <v>44825</v>
      </c>
      <c r="E11904" s="14" t="n">
        <v>4096.03</v>
      </c>
      <c r="F11904" s="14" t="n">
        <v>27376.62</v>
      </c>
      <c r="G11904" s="6" t="s">
        <v>2613</v>
      </c>
    </row>
    <row r="11905" customFormat="false" ht="15" hidden="false" customHeight="true" outlineLevel="0" collapsed="false">
      <c r="A11905" s="6" t="s">
        <v>14517</v>
      </c>
      <c r="B11905" s="6" t="s">
        <v>2391</v>
      </c>
      <c r="C11905" s="6" t="s">
        <v>128</v>
      </c>
      <c r="D11905" s="13" t="n">
        <v>44832</v>
      </c>
      <c r="E11905" s="14" t="n">
        <v>5851.81</v>
      </c>
      <c r="F11905" s="14" t="n">
        <v>33228.43</v>
      </c>
      <c r="G11905" s="6" t="s">
        <v>2613</v>
      </c>
    </row>
    <row r="11906" customFormat="false" ht="15" hidden="false" customHeight="true" outlineLevel="0" collapsed="false">
      <c r="A11906" s="6" t="s">
        <v>14518</v>
      </c>
      <c r="B11906" s="6" t="s">
        <v>2391</v>
      </c>
      <c r="C11906" s="6" t="s">
        <v>128</v>
      </c>
      <c r="D11906" s="13" t="n">
        <v>44839</v>
      </c>
      <c r="E11906" s="14" t="n">
        <v>12408.16</v>
      </c>
      <c r="F11906" s="14" t="n">
        <v>45636.59</v>
      </c>
      <c r="G11906" s="6" t="s">
        <v>2613</v>
      </c>
    </row>
    <row r="11907" customFormat="false" ht="15" hidden="false" customHeight="true" outlineLevel="0" collapsed="false">
      <c r="A11907" s="6" t="s">
        <v>14519</v>
      </c>
      <c r="B11907" s="6" t="s">
        <v>2393</v>
      </c>
      <c r="C11907" s="6" t="s">
        <v>120</v>
      </c>
      <c r="D11907" s="13" t="n">
        <v>45416</v>
      </c>
      <c r="E11907" s="14" t="n">
        <v>3614.51</v>
      </c>
      <c r="F11907" s="14" t="n">
        <v>3614.51</v>
      </c>
      <c r="G11907" s="6" t="s">
        <v>2613</v>
      </c>
    </row>
    <row r="11908" customFormat="false" ht="15" hidden="false" customHeight="true" outlineLevel="0" collapsed="false">
      <c r="A11908" s="6" t="s">
        <v>14520</v>
      </c>
      <c r="B11908" s="6" t="s">
        <v>2393</v>
      </c>
      <c r="C11908" s="6" t="s">
        <v>120</v>
      </c>
      <c r="D11908" s="13" t="n">
        <v>45423</v>
      </c>
      <c r="E11908" s="14" t="n">
        <v>3230.21</v>
      </c>
      <c r="F11908" s="14" t="n">
        <v>6844.72</v>
      </c>
      <c r="G11908" s="6" t="s">
        <v>2613</v>
      </c>
    </row>
    <row r="11909" customFormat="false" ht="15" hidden="false" customHeight="true" outlineLevel="0" collapsed="false">
      <c r="A11909" s="6" t="s">
        <v>14521</v>
      </c>
      <c r="B11909" s="6" t="s">
        <v>2393</v>
      </c>
      <c r="C11909" s="6" t="s">
        <v>120</v>
      </c>
      <c r="D11909" s="13" t="n">
        <v>45430</v>
      </c>
      <c r="E11909" s="14" t="n">
        <v>4507.05</v>
      </c>
      <c r="F11909" s="14" t="n">
        <v>11351.77</v>
      </c>
      <c r="G11909" s="6" t="s">
        <v>2613</v>
      </c>
    </row>
    <row r="11910" customFormat="false" ht="15" hidden="false" customHeight="true" outlineLevel="0" collapsed="false">
      <c r="A11910" s="6" t="s">
        <v>14522</v>
      </c>
      <c r="B11910" s="6" t="s">
        <v>2393</v>
      </c>
      <c r="C11910" s="6" t="s">
        <v>120</v>
      </c>
      <c r="D11910" s="13" t="n">
        <v>45437</v>
      </c>
      <c r="E11910" s="14" t="n">
        <v>4415.25</v>
      </c>
      <c r="F11910" s="14" t="n">
        <v>15767.02</v>
      </c>
      <c r="G11910" s="6" t="s">
        <v>2613</v>
      </c>
    </row>
    <row r="11911" customFormat="false" ht="15" hidden="false" customHeight="true" outlineLevel="0" collapsed="false">
      <c r="A11911" s="6" t="s">
        <v>14523</v>
      </c>
      <c r="B11911" s="6" t="s">
        <v>2393</v>
      </c>
      <c r="C11911" s="6" t="s">
        <v>120</v>
      </c>
      <c r="D11911" s="13" t="n">
        <v>45444</v>
      </c>
      <c r="E11911" s="14" t="n">
        <v>2497.73</v>
      </c>
      <c r="F11911" s="14" t="n">
        <v>18264.75</v>
      </c>
      <c r="G11911" s="6" t="s">
        <v>2623</v>
      </c>
    </row>
    <row r="11912" customFormat="false" ht="15" hidden="false" customHeight="true" outlineLevel="0" collapsed="false">
      <c r="A11912" s="6" t="s">
        <v>14524</v>
      </c>
      <c r="B11912" s="6" t="s">
        <v>2393</v>
      </c>
      <c r="C11912" s="6" t="s">
        <v>120</v>
      </c>
      <c r="D11912" s="13" t="n">
        <v>45451</v>
      </c>
      <c r="E11912" s="14" t="n">
        <v>4973.36</v>
      </c>
      <c r="F11912" s="14" t="n">
        <v>23238.11</v>
      </c>
      <c r="G11912" s="6" t="s">
        <v>2613</v>
      </c>
    </row>
    <row r="11913" customFormat="false" ht="15" hidden="false" customHeight="true" outlineLevel="0" collapsed="false">
      <c r="A11913" s="6" t="s">
        <v>14525</v>
      </c>
      <c r="B11913" s="6" t="s">
        <v>2393</v>
      </c>
      <c r="C11913" s="6" t="s">
        <v>120</v>
      </c>
      <c r="D11913" s="13" t="n">
        <v>45458</v>
      </c>
      <c r="E11913" s="14" t="n">
        <v>4167.63</v>
      </c>
      <c r="F11913" s="14" t="n">
        <v>27405.74</v>
      </c>
      <c r="G11913" s="6" t="s">
        <v>2613</v>
      </c>
    </row>
    <row r="11914" customFormat="false" ht="15" hidden="false" customHeight="true" outlineLevel="0" collapsed="false">
      <c r="A11914" s="6" t="s">
        <v>14526</v>
      </c>
      <c r="B11914" s="6" t="s">
        <v>2393</v>
      </c>
      <c r="C11914" s="6" t="s">
        <v>120</v>
      </c>
      <c r="D11914" s="13" t="n">
        <v>45465</v>
      </c>
      <c r="E11914" s="14" t="n">
        <v>4846.37</v>
      </c>
      <c r="F11914" s="14" t="n">
        <v>32252.11</v>
      </c>
      <c r="G11914" s="6" t="s">
        <v>2613</v>
      </c>
    </row>
    <row r="11915" customFormat="false" ht="15" hidden="false" customHeight="true" outlineLevel="0" collapsed="false">
      <c r="A11915" s="6" t="s">
        <v>14527</v>
      </c>
      <c r="B11915" s="6" t="s">
        <v>2393</v>
      </c>
      <c r="C11915" s="6" t="s">
        <v>120</v>
      </c>
      <c r="D11915" s="13" t="n">
        <v>45472</v>
      </c>
      <c r="E11915" s="14" t="n">
        <v>4458.32</v>
      </c>
      <c r="F11915" s="14" t="n">
        <v>36710.43</v>
      </c>
      <c r="G11915" s="6" t="s">
        <v>2613</v>
      </c>
    </row>
    <row r="11916" customFormat="false" ht="15" hidden="false" customHeight="true" outlineLevel="0" collapsed="false">
      <c r="A11916" s="6" t="s">
        <v>14528</v>
      </c>
      <c r="B11916" s="6" t="s">
        <v>2395</v>
      </c>
      <c r="C11916" s="6" t="s">
        <v>116</v>
      </c>
      <c r="D11916" s="13" t="n">
        <v>44878</v>
      </c>
      <c r="E11916" s="14" t="n">
        <v>3496.58</v>
      </c>
      <c r="F11916" s="14" t="n">
        <v>3496.58</v>
      </c>
      <c r="G11916" s="6" t="s">
        <v>2613</v>
      </c>
    </row>
    <row r="11917" customFormat="false" ht="15" hidden="false" customHeight="true" outlineLevel="0" collapsed="false">
      <c r="A11917" s="6" t="s">
        <v>14529</v>
      </c>
      <c r="B11917" s="6" t="s">
        <v>2395</v>
      </c>
      <c r="C11917" s="6" t="s">
        <v>116</v>
      </c>
      <c r="D11917" s="13" t="n">
        <v>44885</v>
      </c>
      <c r="E11917" s="14" t="n">
        <v>4102.87</v>
      </c>
      <c r="F11917" s="14" t="n">
        <v>7599.45</v>
      </c>
      <c r="G11917" s="6" t="s">
        <v>2613</v>
      </c>
    </row>
    <row r="11918" customFormat="false" ht="15" hidden="false" customHeight="true" outlineLevel="0" collapsed="false">
      <c r="A11918" s="6" t="s">
        <v>14530</v>
      </c>
      <c r="B11918" s="6" t="s">
        <v>2395</v>
      </c>
      <c r="C11918" s="6" t="s">
        <v>116</v>
      </c>
      <c r="D11918" s="13" t="n">
        <v>44892</v>
      </c>
      <c r="E11918" s="14" t="n">
        <v>4283.29</v>
      </c>
      <c r="F11918" s="14" t="n">
        <v>11882.74</v>
      </c>
      <c r="G11918" s="6" t="s">
        <v>2613</v>
      </c>
    </row>
    <row r="11919" customFormat="false" ht="15" hidden="false" customHeight="true" outlineLevel="0" collapsed="false">
      <c r="A11919" s="6" t="s">
        <v>14531</v>
      </c>
      <c r="B11919" s="6" t="s">
        <v>2395</v>
      </c>
      <c r="C11919" s="6" t="s">
        <v>116</v>
      </c>
      <c r="D11919" s="13" t="n">
        <v>44899</v>
      </c>
      <c r="E11919" s="14" t="n">
        <v>5675.28</v>
      </c>
      <c r="F11919" s="14" t="n">
        <v>17558.02</v>
      </c>
      <c r="G11919" s="6" t="s">
        <v>2623</v>
      </c>
    </row>
    <row r="11920" customFormat="false" ht="15" hidden="false" customHeight="true" outlineLevel="0" collapsed="false">
      <c r="A11920" s="6" t="s">
        <v>14532</v>
      </c>
      <c r="B11920" s="6" t="s">
        <v>2395</v>
      </c>
      <c r="C11920" s="6" t="s">
        <v>116</v>
      </c>
      <c r="D11920" s="13" t="n">
        <v>44906</v>
      </c>
      <c r="E11920" s="14" t="n">
        <v>3477.45</v>
      </c>
      <c r="F11920" s="14" t="n">
        <v>21035.47</v>
      </c>
      <c r="G11920" s="6" t="s">
        <v>2613</v>
      </c>
    </row>
    <row r="11921" customFormat="false" ht="15" hidden="false" customHeight="true" outlineLevel="0" collapsed="false">
      <c r="A11921" s="6" t="s">
        <v>14533</v>
      </c>
      <c r="B11921" s="6" t="s">
        <v>2395</v>
      </c>
      <c r="C11921" s="6" t="s">
        <v>116</v>
      </c>
      <c r="D11921" s="13" t="n">
        <v>44913</v>
      </c>
      <c r="E11921" s="14" t="n">
        <v>5165.24</v>
      </c>
      <c r="F11921" s="14" t="n">
        <v>26200.71</v>
      </c>
      <c r="G11921" s="6" t="s">
        <v>2613</v>
      </c>
    </row>
    <row r="11922" customFormat="false" ht="15" hidden="false" customHeight="true" outlineLevel="0" collapsed="false">
      <c r="A11922" s="6" t="s">
        <v>14534</v>
      </c>
      <c r="B11922" s="6" t="s">
        <v>2395</v>
      </c>
      <c r="C11922" s="6" t="s">
        <v>116</v>
      </c>
      <c r="D11922" s="13" t="n">
        <v>44920</v>
      </c>
      <c r="E11922" s="14" t="n">
        <v>5658.9</v>
      </c>
      <c r="F11922" s="14" t="n">
        <v>31859.61</v>
      </c>
      <c r="G11922" s="6" t="s">
        <v>2613</v>
      </c>
    </row>
    <row r="11923" customFormat="false" ht="15" hidden="false" customHeight="true" outlineLevel="0" collapsed="false">
      <c r="A11923" s="6" t="s">
        <v>14535</v>
      </c>
      <c r="B11923" s="6" t="s">
        <v>2395</v>
      </c>
      <c r="C11923" s="6" t="s">
        <v>116</v>
      </c>
      <c r="D11923" s="13" t="n">
        <v>44927</v>
      </c>
      <c r="E11923" s="14" t="n">
        <v>3337.97</v>
      </c>
      <c r="F11923" s="14" t="n">
        <v>35197.58</v>
      </c>
      <c r="G11923" s="6" t="s">
        <v>2613</v>
      </c>
    </row>
    <row r="11924" customFormat="false" ht="15" hidden="false" customHeight="true" outlineLevel="0" collapsed="false">
      <c r="A11924" s="6" t="s">
        <v>14536</v>
      </c>
      <c r="B11924" s="6" t="s">
        <v>2395</v>
      </c>
      <c r="C11924" s="6" t="s">
        <v>116</v>
      </c>
      <c r="D11924" s="13" t="n">
        <v>44934</v>
      </c>
      <c r="E11924" s="14" t="n">
        <v>2563.06</v>
      </c>
      <c r="F11924" s="14" t="n">
        <v>37760.64</v>
      </c>
      <c r="G11924" s="6" t="s">
        <v>2613</v>
      </c>
    </row>
    <row r="11925" customFormat="false" ht="15" hidden="false" customHeight="true" outlineLevel="0" collapsed="false">
      <c r="A11925" s="6" t="s">
        <v>14537</v>
      </c>
      <c r="B11925" s="6" t="s">
        <v>2395</v>
      </c>
      <c r="C11925" s="6" t="s">
        <v>116</v>
      </c>
      <c r="D11925" s="13" t="n">
        <v>44941</v>
      </c>
      <c r="E11925" s="14" t="n">
        <v>3953.51</v>
      </c>
      <c r="F11925" s="14" t="n">
        <v>41714.15</v>
      </c>
      <c r="G11925" s="6" t="s">
        <v>2613</v>
      </c>
    </row>
    <row r="11926" customFormat="false" ht="15" hidden="false" customHeight="true" outlineLevel="0" collapsed="false">
      <c r="A11926" s="6" t="s">
        <v>14538</v>
      </c>
      <c r="B11926" s="6" t="s">
        <v>2395</v>
      </c>
      <c r="C11926" s="6" t="s">
        <v>116</v>
      </c>
      <c r="D11926" s="13" t="n">
        <v>44948</v>
      </c>
      <c r="E11926" s="14" t="n">
        <v>2901.34</v>
      </c>
      <c r="F11926" s="14" t="n">
        <v>44615.49</v>
      </c>
      <c r="G11926" s="6" t="s">
        <v>2613</v>
      </c>
    </row>
    <row r="11927" customFormat="false" ht="15" hidden="false" customHeight="true" outlineLevel="0" collapsed="false">
      <c r="A11927" s="6" t="s">
        <v>14539</v>
      </c>
      <c r="B11927" s="6" t="s">
        <v>2395</v>
      </c>
      <c r="C11927" s="6" t="s">
        <v>116</v>
      </c>
      <c r="D11927" s="13" t="n">
        <v>44955</v>
      </c>
      <c r="E11927" s="14" t="n">
        <v>3747.47</v>
      </c>
      <c r="F11927" s="14" t="n">
        <v>48362.96</v>
      </c>
      <c r="G11927" s="6" t="s">
        <v>2613</v>
      </c>
    </row>
    <row r="11928" customFormat="false" ht="15" hidden="false" customHeight="true" outlineLevel="0" collapsed="false">
      <c r="A11928" s="6" t="s">
        <v>14540</v>
      </c>
      <c r="B11928" s="6" t="s">
        <v>2395</v>
      </c>
      <c r="C11928" s="6" t="s">
        <v>116</v>
      </c>
      <c r="D11928" s="13" t="n">
        <v>44962</v>
      </c>
      <c r="E11928" s="14" t="n">
        <v>3982.38</v>
      </c>
      <c r="F11928" s="14" t="n">
        <v>52345.34</v>
      </c>
      <c r="G11928" s="6" t="s">
        <v>2613</v>
      </c>
    </row>
    <row r="11929" customFormat="false" ht="15" hidden="false" customHeight="true" outlineLevel="0" collapsed="false">
      <c r="A11929" s="6" t="s">
        <v>14541</v>
      </c>
      <c r="B11929" s="6" t="s">
        <v>2395</v>
      </c>
      <c r="C11929" s="6" t="s">
        <v>116</v>
      </c>
      <c r="D11929" s="13" t="n">
        <v>44969</v>
      </c>
      <c r="E11929" s="14" t="n">
        <v>3471.66</v>
      </c>
      <c r="F11929" s="14" t="n">
        <v>55817</v>
      </c>
      <c r="G11929" s="6" t="s">
        <v>2613</v>
      </c>
    </row>
    <row r="11930" customFormat="false" ht="15" hidden="false" customHeight="true" outlineLevel="0" collapsed="false">
      <c r="A11930" s="6" t="s">
        <v>14542</v>
      </c>
      <c r="B11930" s="6" t="s">
        <v>2395</v>
      </c>
      <c r="C11930" s="6" t="s">
        <v>116</v>
      </c>
      <c r="D11930" s="13" t="n">
        <v>44976</v>
      </c>
      <c r="E11930" s="14" t="n">
        <v>3994.88</v>
      </c>
      <c r="F11930" s="14" t="n">
        <v>59811.88</v>
      </c>
      <c r="G11930" s="6" t="s">
        <v>2613</v>
      </c>
    </row>
    <row r="11931" customFormat="false" ht="15" hidden="false" customHeight="true" outlineLevel="0" collapsed="false">
      <c r="A11931" s="6" t="s">
        <v>14543</v>
      </c>
      <c r="B11931" s="6" t="s">
        <v>2395</v>
      </c>
      <c r="C11931" s="6" t="s">
        <v>116</v>
      </c>
      <c r="D11931" s="13" t="n">
        <v>44983</v>
      </c>
      <c r="E11931" s="14" t="n">
        <v>7303.56</v>
      </c>
      <c r="F11931" s="14" t="n">
        <v>67115.44</v>
      </c>
      <c r="G11931" s="6" t="s">
        <v>2623</v>
      </c>
    </row>
    <row r="11932" customFormat="false" ht="15" hidden="false" customHeight="true" outlineLevel="0" collapsed="false">
      <c r="A11932" s="6" t="s">
        <v>14544</v>
      </c>
      <c r="B11932" s="6" t="s">
        <v>2397</v>
      </c>
      <c r="C11932" s="6" t="s">
        <v>112</v>
      </c>
      <c r="D11932" s="13" t="n">
        <v>45844</v>
      </c>
      <c r="E11932" s="14" t="n">
        <v>2852.67</v>
      </c>
      <c r="F11932" s="14" t="n">
        <v>2852.67</v>
      </c>
      <c r="G11932" s="6" t="s">
        <v>2613</v>
      </c>
    </row>
    <row r="11933" customFormat="false" ht="15" hidden="false" customHeight="true" outlineLevel="0" collapsed="false">
      <c r="A11933" s="6" t="s">
        <v>14545</v>
      </c>
      <c r="B11933" s="6" t="s">
        <v>2397</v>
      </c>
      <c r="C11933" s="6" t="s">
        <v>112</v>
      </c>
      <c r="D11933" s="13" t="n">
        <v>45851</v>
      </c>
      <c r="E11933" s="14" t="n">
        <v>2659.86</v>
      </c>
      <c r="F11933" s="14" t="n">
        <v>5512.53</v>
      </c>
      <c r="G11933" s="6" t="s">
        <v>2613</v>
      </c>
    </row>
    <row r="11934" customFormat="false" ht="15" hidden="false" customHeight="true" outlineLevel="0" collapsed="false">
      <c r="A11934" s="6" t="s">
        <v>14546</v>
      </c>
      <c r="B11934" s="6" t="s">
        <v>2397</v>
      </c>
      <c r="C11934" s="6" t="s">
        <v>112</v>
      </c>
      <c r="D11934" s="13" t="n">
        <v>45858</v>
      </c>
      <c r="E11934" s="14" t="n">
        <v>2985.11</v>
      </c>
      <c r="F11934" s="14" t="n">
        <v>8497.64</v>
      </c>
      <c r="G11934" s="6" t="s">
        <v>2613</v>
      </c>
    </row>
    <row r="11935" customFormat="false" ht="15" hidden="false" customHeight="true" outlineLevel="0" collapsed="false">
      <c r="A11935" s="6" t="s">
        <v>14547</v>
      </c>
      <c r="B11935" s="6" t="s">
        <v>2397</v>
      </c>
      <c r="C11935" s="6" t="s">
        <v>112</v>
      </c>
      <c r="D11935" s="13" t="n">
        <v>45865</v>
      </c>
      <c r="E11935" s="14" t="n">
        <v>3636.19</v>
      </c>
      <c r="F11935" s="14" t="n">
        <v>12133.83</v>
      </c>
      <c r="G11935" s="6" t="s">
        <v>2613</v>
      </c>
    </row>
    <row r="11936" customFormat="false" ht="15" hidden="false" customHeight="true" outlineLevel="0" collapsed="false">
      <c r="A11936" s="6" t="s">
        <v>14548</v>
      </c>
      <c r="B11936" s="6" t="s">
        <v>2397</v>
      </c>
      <c r="C11936" s="6" t="s">
        <v>112</v>
      </c>
      <c r="D11936" s="13" t="n">
        <v>45872</v>
      </c>
      <c r="E11936" s="14" t="n">
        <v>3959.02</v>
      </c>
      <c r="F11936" s="14" t="n">
        <v>16092.85</v>
      </c>
      <c r="G11936" s="6" t="s">
        <v>2613</v>
      </c>
    </row>
    <row r="11937" customFormat="false" ht="15" hidden="false" customHeight="true" outlineLevel="0" collapsed="false">
      <c r="A11937" s="6" t="s">
        <v>14549</v>
      </c>
      <c r="B11937" s="6" t="s">
        <v>2397</v>
      </c>
      <c r="C11937" s="6" t="s">
        <v>112</v>
      </c>
      <c r="D11937" s="13" t="n">
        <v>45879</v>
      </c>
      <c r="E11937" s="14" t="n">
        <v>4200.23</v>
      </c>
      <c r="F11937" s="14" t="n">
        <v>20293.08</v>
      </c>
      <c r="G11937" s="6" t="s">
        <v>2613</v>
      </c>
    </row>
    <row r="11938" customFormat="false" ht="15" hidden="false" customHeight="true" outlineLevel="0" collapsed="false">
      <c r="A11938" s="6" t="s">
        <v>14550</v>
      </c>
      <c r="B11938" s="6" t="s">
        <v>2397</v>
      </c>
      <c r="C11938" s="6" t="s">
        <v>112</v>
      </c>
      <c r="D11938" s="13" t="n">
        <v>45886</v>
      </c>
      <c r="E11938" s="14" t="n">
        <v>1709.97</v>
      </c>
      <c r="F11938" s="14" t="n">
        <v>22003.05</v>
      </c>
      <c r="G11938" s="6" t="s">
        <v>2613</v>
      </c>
    </row>
    <row r="11939" customFormat="false" ht="15" hidden="false" customHeight="true" outlineLevel="0" collapsed="false">
      <c r="A11939" s="6" t="s">
        <v>14551</v>
      </c>
      <c r="B11939" s="6" t="s">
        <v>2399</v>
      </c>
      <c r="C11939" s="6" t="s">
        <v>116</v>
      </c>
      <c r="D11939" s="13" t="n">
        <v>44647</v>
      </c>
      <c r="E11939" s="14" t="n">
        <v>2099.95</v>
      </c>
      <c r="F11939" s="14" t="n">
        <v>2099.95</v>
      </c>
      <c r="G11939" s="6" t="s">
        <v>2613</v>
      </c>
    </row>
    <row r="11940" customFormat="false" ht="15" hidden="false" customHeight="true" outlineLevel="0" collapsed="false">
      <c r="A11940" s="6" t="s">
        <v>14552</v>
      </c>
      <c r="B11940" s="6" t="s">
        <v>2399</v>
      </c>
      <c r="C11940" s="6" t="s">
        <v>116</v>
      </c>
      <c r="D11940" s="13" t="n">
        <v>44654</v>
      </c>
      <c r="E11940" s="14" t="n">
        <v>2908.46</v>
      </c>
      <c r="F11940" s="14" t="n">
        <v>5008.41</v>
      </c>
      <c r="G11940" s="6" t="s">
        <v>2613</v>
      </c>
    </row>
    <row r="11941" customFormat="false" ht="15" hidden="false" customHeight="true" outlineLevel="0" collapsed="false">
      <c r="A11941" s="6" t="s">
        <v>14553</v>
      </c>
      <c r="B11941" s="6" t="s">
        <v>2399</v>
      </c>
      <c r="C11941" s="6" t="s">
        <v>116</v>
      </c>
      <c r="D11941" s="13" t="n">
        <v>44661</v>
      </c>
      <c r="E11941" s="14" t="n">
        <v>2708.09</v>
      </c>
      <c r="F11941" s="14" t="n">
        <v>7716.5</v>
      </c>
      <c r="G11941" s="6" t="s">
        <v>2613</v>
      </c>
    </row>
    <row r="11942" customFormat="false" ht="15" hidden="false" customHeight="true" outlineLevel="0" collapsed="false">
      <c r="A11942" s="6" t="s">
        <v>14554</v>
      </c>
      <c r="B11942" s="6" t="s">
        <v>2399</v>
      </c>
      <c r="C11942" s="6" t="s">
        <v>116</v>
      </c>
      <c r="D11942" s="13" t="n">
        <v>44668</v>
      </c>
      <c r="E11942" s="14" t="n">
        <v>2668.02</v>
      </c>
      <c r="F11942" s="14" t="n">
        <v>10384.52</v>
      </c>
      <c r="G11942" s="6" t="s">
        <v>2613</v>
      </c>
    </row>
    <row r="11943" customFormat="false" ht="15" hidden="false" customHeight="true" outlineLevel="0" collapsed="false">
      <c r="A11943" s="6" t="s">
        <v>14555</v>
      </c>
      <c r="B11943" s="6" t="s">
        <v>2399</v>
      </c>
      <c r="C11943" s="6" t="s">
        <v>116</v>
      </c>
      <c r="D11943" s="13" t="n">
        <v>44675</v>
      </c>
      <c r="E11943" s="14" t="n">
        <v>2602.45</v>
      </c>
      <c r="F11943" s="14" t="n">
        <v>12986.97</v>
      </c>
      <c r="G11943" s="6" t="s">
        <v>2613</v>
      </c>
    </row>
    <row r="11944" customFormat="false" ht="15" hidden="false" customHeight="true" outlineLevel="0" collapsed="false">
      <c r="A11944" s="6" t="s">
        <v>14556</v>
      </c>
      <c r="B11944" s="6" t="s">
        <v>2399</v>
      </c>
      <c r="C11944" s="6" t="s">
        <v>116</v>
      </c>
      <c r="D11944" s="13" t="n">
        <v>44682</v>
      </c>
      <c r="E11944" s="14" t="n">
        <v>2209.76</v>
      </c>
      <c r="F11944" s="14" t="n">
        <v>15196.73</v>
      </c>
      <c r="G11944" s="6" t="s">
        <v>2613</v>
      </c>
    </row>
    <row r="11945" customFormat="false" ht="15" hidden="false" customHeight="true" outlineLevel="0" collapsed="false">
      <c r="A11945" s="6" t="s">
        <v>14557</v>
      </c>
      <c r="B11945" s="6" t="s">
        <v>2399</v>
      </c>
      <c r="C11945" s="6" t="s">
        <v>116</v>
      </c>
      <c r="D11945" s="13" t="n">
        <v>44689</v>
      </c>
      <c r="E11945" s="14" t="n">
        <v>2714.41</v>
      </c>
      <c r="F11945" s="14" t="n">
        <v>17911.14</v>
      </c>
      <c r="G11945" s="6" t="s">
        <v>2623</v>
      </c>
    </row>
    <row r="11946" customFormat="false" ht="15" hidden="false" customHeight="true" outlineLevel="0" collapsed="false">
      <c r="A11946" s="6" t="s">
        <v>14558</v>
      </c>
      <c r="B11946" s="6" t="s">
        <v>2399</v>
      </c>
      <c r="C11946" s="6" t="s">
        <v>116</v>
      </c>
      <c r="D11946" s="13" t="n">
        <v>44696</v>
      </c>
      <c r="E11946" s="14" t="n">
        <v>1510.06</v>
      </c>
      <c r="F11946" s="14" t="n">
        <v>19421.2</v>
      </c>
      <c r="G11946" s="6" t="s">
        <v>2623</v>
      </c>
    </row>
    <row r="11947" customFormat="false" ht="15" hidden="false" customHeight="true" outlineLevel="0" collapsed="false">
      <c r="A11947" s="6" t="s">
        <v>14559</v>
      </c>
      <c r="B11947" s="6" t="s">
        <v>2399</v>
      </c>
      <c r="C11947" s="6" t="s">
        <v>116</v>
      </c>
      <c r="D11947" s="13" t="n">
        <v>44703</v>
      </c>
      <c r="E11947" s="14" t="n">
        <v>2114.25</v>
      </c>
      <c r="F11947" s="14" t="n">
        <v>21535.45</v>
      </c>
      <c r="G11947" s="6" t="s">
        <v>2613</v>
      </c>
    </row>
    <row r="11948" customFormat="false" ht="15" hidden="false" customHeight="true" outlineLevel="0" collapsed="false">
      <c r="A11948" s="6" t="s">
        <v>14560</v>
      </c>
      <c r="B11948" s="6" t="s">
        <v>2399</v>
      </c>
      <c r="C11948" s="6" t="s">
        <v>116</v>
      </c>
      <c r="D11948" s="13" t="n">
        <v>44710</v>
      </c>
      <c r="E11948" s="14" t="n">
        <v>3243.32</v>
      </c>
      <c r="F11948" s="14" t="n">
        <v>24778.77</v>
      </c>
      <c r="G11948" s="6" t="s">
        <v>2613</v>
      </c>
    </row>
    <row r="11949" customFormat="false" ht="15" hidden="false" customHeight="true" outlineLevel="0" collapsed="false">
      <c r="A11949" s="6" t="s">
        <v>14561</v>
      </c>
      <c r="B11949" s="6" t="s">
        <v>2399</v>
      </c>
      <c r="C11949" s="6" t="s">
        <v>116</v>
      </c>
      <c r="D11949" s="13" t="n">
        <v>44717</v>
      </c>
      <c r="E11949" s="14" t="n">
        <v>1954.31</v>
      </c>
      <c r="F11949" s="14" t="n">
        <v>26733.08</v>
      </c>
      <c r="G11949" s="6" t="s">
        <v>2613</v>
      </c>
    </row>
    <row r="11950" customFormat="false" ht="15" hidden="false" customHeight="true" outlineLevel="0" collapsed="false">
      <c r="A11950" s="6" t="s">
        <v>14562</v>
      </c>
      <c r="B11950" s="6" t="s">
        <v>2399</v>
      </c>
      <c r="C11950" s="6" t="s">
        <v>116</v>
      </c>
      <c r="D11950" s="13" t="n">
        <v>44724</v>
      </c>
      <c r="E11950" s="14" t="n">
        <v>3155.62</v>
      </c>
      <c r="F11950" s="14" t="n">
        <v>29888.7</v>
      </c>
      <c r="G11950" s="6" t="s">
        <v>2613</v>
      </c>
    </row>
    <row r="11951" customFormat="false" ht="15" hidden="false" customHeight="true" outlineLevel="0" collapsed="false">
      <c r="A11951" s="6" t="s">
        <v>14563</v>
      </c>
      <c r="B11951" s="6" t="s">
        <v>2399</v>
      </c>
      <c r="C11951" s="6" t="s">
        <v>116</v>
      </c>
      <c r="D11951" s="13" t="n">
        <v>44731</v>
      </c>
      <c r="E11951" s="14" t="n">
        <v>2885.18</v>
      </c>
      <c r="F11951" s="14" t="n">
        <v>32773.88</v>
      </c>
      <c r="G11951" s="6" t="s">
        <v>2613</v>
      </c>
    </row>
    <row r="11952" customFormat="false" ht="15" hidden="false" customHeight="true" outlineLevel="0" collapsed="false">
      <c r="A11952" s="6" t="s">
        <v>14564</v>
      </c>
      <c r="B11952" s="6" t="s">
        <v>2399</v>
      </c>
      <c r="C11952" s="6" t="s">
        <v>116</v>
      </c>
      <c r="D11952" s="13" t="n">
        <v>44738</v>
      </c>
      <c r="E11952" s="14" t="n">
        <v>650.28</v>
      </c>
      <c r="F11952" s="14" t="n">
        <v>33424.16</v>
      </c>
      <c r="G11952" s="6" t="s">
        <v>2613</v>
      </c>
    </row>
    <row r="11953" customFormat="false" ht="15" hidden="false" customHeight="true" outlineLevel="0" collapsed="false">
      <c r="A11953" s="6" t="s">
        <v>14565</v>
      </c>
      <c r="B11953" s="6" t="s">
        <v>2401</v>
      </c>
      <c r="C11953" s="6" t="s">
        <v>131</v>
      </c>
      <c r="D11953" s="13" t="n">
        <v>45000</v>
      </c>
      <c r="E11953" s="14" t="n">
        <v>1602.95</v>
      </c>
      <c r="F11953" s="14" t="n">
        <v>1602.95</v>
      </c>
      <c r="G11953" s="6" t="s">
        <v>2613</v>
      </c>
    </row>
    <row r="11954" customFormat="false" ht="15" hidden="false" customHeight="true" outlineLevel="0" collapsed="false">
      <c r="A11954" s="6" t="s">
        <v>14566</v>
      </c>
      <c r="B11954" s="6" t="s">
        <v>2401</v>
      </c>
      <c r="C11954" s="6" t="s">
        <v>131</v>
      </c>
      <c r="D11954" s="13" t="n">
        <v>45007</v>
      </c>
      <c r="E11954" s="14" t="n">
        <v>815.13</v>
      </c>
      <c r="F11954" s="14" t="n">
        <v>2418.08</v>
      </c>
      <c r="G11954" s="6" t="s">
        <v>2613</v>
      </c>
    </row>
    <row r="11955" customFormat="false" ht="15" hidden="false" customHeight="true" outlineLevel="0" collapsed="false">
      <c r="A11955" s="6" t="s">
        <v>14567</v>
      </c>
      <c r="B11955" s="6" t="s">
        <v>2401</v>
      </c>
      <c r="C11955" s="6" t="s">
        <v>131</v>
      </c>
      <c r="D11955" s="13" t="n">
        <v>45014</v>
      </c>
      <c r="E11955" s="14" t="n">
        <v>1088.74</v>
      </c>
      <c r="F11955" s="14" t="n">
        <v>3506.82</v>
      </c>
      <c r="G11955" s="6" t="s">
        <v>2613</v>
      </c>
    </row>
    <row r="11956" customFormat="false" ht="15" hidden="false" customHeight="true" outlineLevel="0" collapsed="false">
      <c r="A11956" s="6" t="s">
        <v>14568</v>
      </c>
      <c r="B11956" s="6" t="s">
        <v>2401</v>
      </c>
      <c r="C11956" s="6" t="s">
        <v>131</v>
      </c>
      <c r="D11956" s="13" t="n">
        <v>45021</v>
      </c>
      <c r="E11956" s="14" t="n">
        <v>1234.36</v>
      </c>
      <c r="F11956" s="14" t="n">
        <v>4741.18</v>
      </c>
      <c r="G11956" s="6" t="s">
        <v>2613</v>
      </c>
    </row>
    <row r="11957" customFormat="false" ht="15" hidden="false" customHeight="true" outlineLevel="0" collapsed="false">
      <c r="A11957" s="6" t="s">
        <v>14569</v>
      </c>
      <c r="B11957" s="6" t="s">
        <v>2401</v>
      </c>
      <c r="C11957" s="6" t="s">
        <v>131</v>
      </c>
      <c r="D11957" s="13" t="n">
        <v>45028</v>
      </c>
      <c r="E11957" s="14" t="n">
        <v>722.96</v>
      </c>
      <c r="F11957" s="14" t="n">
        <v>5464.14</v>
      </c>
      <c r="G11957" s="6" t="s">
        <v>2613</v>
      </c>
    </row>
    <row r="11958" customFormat="false" ht="15" hidden="false" customHeight="true" outlineLevel="0" collapsed="false">
      <c r="A11958" s="6" t="s">
        <v>14570</v>
      </c>
      <c r="B11958" s="6" t="s">
        <v>2401</v>
      </c>
      <c r="C11958" s="6" t="s">
        <v>131</v>
      </c>
      <c r="D11958" s="13" t="n">
        <v>45035</v>
      </c>
      <c r="E11958" s="14" t="n">
        <v>1219.89</v>
      </c>
      <c r="F11958" s="14" t="n">
        <v>6684.03</v>
      </c>
      <c r="G11958" s="6" t="s">
        <v>2613</v>
      </c>
    </row>
    <row r="11959" customFormat="false" ht="15" hidden="false" customHeight="true" outlineLevel="0" collapsed="false">
      <c r="A11959" s="6" t="s">
        <v>14571</v>
      </c>
      <c r="B11959" s="6" t="s">
        <v>2401</v>
      </c>
      <c r="C11959" s="6" t="s">
        <v>131</v>
      </c>
      <c r="D11959" s="13" t="n">
        <v>45042</v>
      </c>
      <c r="E11959" s="14" t="n">
        <v>808.42</v>
      </c>
      <c r="F11959" s="14" t="n">
        <v>7492.45</v>
      </c>
      <c r="G11959" s="6" t="s">
        <v>2613</v>
      </c>
    </row>
    <row r="11960" customFormat="false" ht="15" hidden="false" customHeight="true" outlineLevel="0" collapsed="false">
      <c r="A11960" s="6" t="s">
        <v>14572</v>
      </c>
      <c r="B11960" s="6" t="s">
        <v>2401</v>
      </c>
      <c r="C11960" s="6" t="s">
        <v>131</v>
      </c>
      <c r="D11960" s="13" t="n">
        <v>45049</v>
      </c>
      <c r="E11960" s="14" t="n">
        <v>1923.35</v>
      </c>
      <c r="F11960" s="14" t="n">
        <v>9415.8</v>
      </c>
      <c r="G11960" s="6" t="s">
        <v>2623</v>
      </c>
    </row>
    <row r="11961" customFormat="false" ht="15" hidden="false" customHeight="true" outlineLevel="0" collapsed="false">
      <c r="A11961" s="6" t="s">
        <v>14573</v>
      </c>
      <c r="B11961" s="6" t="s">
        <v>2403</v>
      </c>
      <c r="C11961" s="6" t="s">
        <v>112</v>
      </c>
      <c r="D11961" s="13" t="n">
        <v>45432</v>
      </c>
      <c r="E11961" s="14" t="n">
        <v>1538.48</v>
      </c>
      <c r="F11961" s="14" t="n">
        <v>1538.48</v>
      </c>
      <c r="G11961" s="6" t="s">
        <v>2613</v>
      </c>
    </row>
    <row r="11962" customFormat="false" ht="15" hidden="false" customHeight="true" outlineLevel="0" collapsed="false">
      <c r="A11962" s="6" t="s">
        <v>14574</v>
      </c>
      <c r="B11962" s="6" t="s">
        <v>2403</v>
      </c>
      <c r="C11962" s="6" t="s">
        <v>112</v>
      </c>
      <c r="D11962" s="13" t="n">
        <v>45439</v>
      </c>
      <c r="E11962" s="14" t="n">
        <v>1056.05</v>
      </c>
      <c r="F11962" s="14" t="n">
        <v>2594.53</v>
      </c>
      <c r="G11962" s="6" t="s">
        <v>2613</v>
      </c>
    </row>
    <row r="11963" customFormat="false" ht="15" hidden="false" customHeight="true" outlineLevel="0" collapsed="false">
      <c r="A11963" s="6" t="s">
        <v>14575</v>
      </c>
      <c r="B11963" s="6" t="s">
        <v>2403</v>
      </c>
      <c r="C11963" s="6" t="s">
        <v>112</v>
      </c>
      <c r="D11963" s="13" t="n">
        <v>45446</v>
      </c>
      <c r="E11963" s="14" t="n">
        <v>1759.63</v>
      </c>
      <c r="F11963" s="14" t="n">
        <v>4354.16</v>
      </c>
      <c r="G11963" s="6" t="s">
        <v>2613</v>
      </c>
    </row>
    <row r="11964" customFormat="false" ht="15" hidden="false" customHeight="true" outlineLevel="0" collapsed="false">
      <c r="A11964" s="6" t="s">
        <v>14576</v>
      </c>
      <c r="B11964" s="6" t="s">
        <v>2403</v>
      </c>
      <c r="C11964" s="6" t="s">
        <v>112</v>
      </c>
      <c r="D11964" s="13" t="n">
        <v>45453</v>
      </c>
      <c r="E11964" s="14" t="n">
        <v>1527.6</v>
      </c>
      <c r="F11964" s="14" t="n">
        <v>5881.76</v>
      </c>
      <c r="G11964" s="6" t="s">
        <v>2613</v>
      </c>
    </row>
    <row r="11965" customFormat="false" ht="15" hidden="false" customHeight="true" outlineLevel="0" collapsed="false">
      <c r="A11965" s="6" t="s">
        <v>14577</v>
      </c>
      <c r="B11965" s="6" t="s">
        <v>2403</v>
      </c>
      <c r="C11965" s="6" t="s">
        <v>112</v>
      </c>
      <c r="D11965" s="13" t="n">
        <v>45460</v>
      </c>
      <c r="E11965" s="14" t="n">
        <v>1765.53</v>
      </c>
      <c r="F11965" s="14" t="n">
        <v>7647.29</v>
      </c>
      <c r="G11965" s="6" t="s">
        <v>2613</v>
      </c>
    </row>
    <row r="11966" customFormat="false" ht="15" hidden="false" customHeight="true" outlineLevel="0" collapsed="false">
      <c r="A11966" s="6" t="s">
        <v>14578</v>
      </c>
      <c r="B11966" s="6" t="s">
        <v>2403</v>
      </c>
      <c r="C11966" s="6" t="s">
        <v>112</v>
      </c>
      <c r="D11966" s="13" t="n">
        <v>45467</v>
      </c>
      <c r="E11966" s="14" t="n">
        <v>1937.34</v>
      </c>
      <c r="F11966" s="14" t="n">
        <v>9584.63</v>
      </c>
      <c r="G11966" s="6" t="s">
        <v>2613</v>
      </c>
    </row>
    <row r="11967" customFormat="false" ht="15" hidden="false" customHeight="true" outlineLevel="0" collapsed="false">
      <c r="A11967" s="6" t="s">
        <v>14579</v>
      </c>
      <c r="B11967" s="6" t="s">
        <v>2403</v>
      </c>
      <c r="C11967" s="6" t="s">
        <v>112</v>
      </c>
      <c r="D11967" s="13" t="n">
        <v>45474</v>
      </c>
      <c r="E11967" s="14" t="n">
        <v>1275.51</v>
      </c>
      <c r="F11967" s="14" t="n">
        <v>10860.14</v>
      </c>
      <c r="G11967" s="6" t="s">
        <v>2613</v>
      </c>
    </row>
    <row r="11968" customFormat="false" ht="15" hidden="false" customHeight="true" outlineLevel="0" collapsed="false">
      <c r="A11968" s="6" t="s">
        <v>14580</v>
      </c>
      <c r="B11968" s="6" t="s">
        <v>2403</v>
      </c>
      <c r="C11968" s="6" t="s">
        <v>112</v>
      </c>
      <c r="D11968" s="13" t="n">
        <v>45481</v>
      </c>
      <c r="E11968" s="14" t="n">
        <v>591.09</v>
      </c>
      <c r="F11968" s="14" t="n">
        <v>11451.23</v>
      </c>
      <c r="G11968" s="6" t="s">
        <v>2613</v>
      </c>
    </row>
    <row r="11969" customFormat="false" ht="15" hidden="false" customHeight="true" outlineLevel="0" collapsed="false">
      <c r="A11969" s="6" t="s">
        <v>14581</v>
      </c>
      <c r="B11969" s="6" t="s">
        <v>2405</v>
      </c>
      <c r="C11969" s="6" t="s">
        <v>131</v>
      </c>
      <c r="D11969" s="13" t="n">
        <v>44644</v>
      </c>
      <c r="E11969" s="14" t="n">
        <v>3321.18</v>
      </c>
      <c r="F11969" s="14" t="n">
        <v>3321.18</v>
      </c>
      <c r="G11969" s="6" t="s">
        <v>2613</v>
      </c>
    </row>
    <row r="11970" customFormat="false" ht="15" hidden="false" customHeight="true" outlineLevel="0" collapsed="false">
      <c r="A11970" s="6" t="s">
        <v>14582</v>
      </c>
      <c r="B11970" s="6" t="s">
        <v>2405</v>
      </c>
      <c r="C11970" s="6" t="s">
        <v>131</v>
      </c>
      <c r="D11970" s="13" t="n">
        <v>44651</v>
      </c>
      <c r="E11970" s="14" t="n">
        <v>1997.35</v>
      </c>
      <c r="F11970" s="14" t="n">
        <v>5318.53</v>
      </c>
      <c r="G11970" s="6" t="s">
        <v>2613</v>
      </c>
    </row>
    <row r="11971" customFormat="false" ht="15" hidden="false" customHeight="true" outlineLevel="0" collapsed="false">
      <c r="A11971" s="6" t="s">
        <v>14583</v>
      </c>
      <c r="B11971" s="6" t="s">
        <v>2405</v>
      </c>
      <c r="C11971" s="6" t="s">
        <v>131</v>
      </c>
      <c r="D11971" s="13" t="n">
        <v>44658</v>
      </c>
      <c r="E11971" s="14" t="n">
        <v>1972.6</v>
      </c>
      <c r="F11971" s="14" t="n">
        <v>7291.13</v>
      </c>
      <c r="G11971" s="6" t="s">
        <v>2623</v>
      </c>
    </row>
    <row r="11972" customFormat="false" ht="15" hidden="false" customHeight="true" outlineLevel="0" collapsed="false">
      <c r="A11972" s="6" t="s">
        <v>14584</v>
      </c>
      <c r="B11972" s="6" t="s">
        <v>2405</v>
      </c>
      <c r="C11972" s="6" t="s">
        <v>131</v>
      </c>
      <c r="D11972" s="13" t="n">
        <v>44665</v>
      </c>
      <c r="E11972" s="14" t="n">
        <v>2297.11</v>
      </c>
      <c r="F11972" s="14" t="n">
        <v>9588.24</v>
      </c>
      <c r="G11972" s="6" t="s">
        <v>2623</v>
      </c>
    </row>
    <row r="11973" customFormat="false" ht="15" hidden="false" customHeight="true" outlineLevel="0" collapsed="false">
      <c r="A11973" s="6" t="s">
        <v>14585</v>
      </c>
      <c r="B11973" s="6" t="s">
        <v>2405</v>
      </c>
      <c r="C11973" s="6" t="s">
        <v>131</v>
      </c>
      <c r="D11973" s="13" t="n">
        <v>44672</v>
      </c>
      <c r="E11973" s="14" t="n">
        <v>1997.07</v>
      </c>
      <c r="F11973" s="14" t="n">
        <v>11585.31</v>
      </c>
      <c r="G11973" s="6" t="s">
        <v>2613</v>
      </c>
    </row>
    <row r="11974" customFormat="false" ht="15" hidden="false" customHeight="true" outlineLevel="0" collapsed="false">
      <c r="A11974" s="6" t="s">
        <v>14586</v>
      </c>
      <c r="B11974" s="6" t="s">
        <v>2405</v>
      </c>
      <c r="C11974" s="6" t="s">
        <v>131</v>
      </c>
      <c r="D11974" s="13" t="n">
        <v>44679</v>
      </c>
      <c r="E11974" s="14" t="n">
        <v>2203.82</v>
      </c>
      <c r="F11974" s="14" t="n">
        <v>13789.13</v>
      </c>
      <c r="G11974" s="6" t="s">
        <v>2613</v>
      </c>
    </row>
    <row r="11975" customFormat="false" ht="15" hidden="false" customHeight="true" outlineLevel="0" collapsed="false">
      <c r="A11975" s="6" t="s">
        <v>14587</v>
      </c>
      <c r="B11975" s="6" t="s">
        <v>2405</v>
      </c>
      <c r="C11975" s="6" t="s">
        <v>131</v>
      </c>
      <c r="D11975" s="13" t="n">
        <v>44686</v>
      </c>
      <c r="E11975" s="14" t="n">
        <v>2034.49</v>
      </c>
      <c r="F11975" s="14" t="n">
        <v>15823.62</v>
      </c>
      <c r="G11975" s="6" t="s">
        <v>2613</v>
      </c>
    </row>
    <row r="11976" customFormat="false" ht="15" hidden="false" customHeight="true" outlineLevel="0" collapsed="false">
      <c r="A11976" s="6" t="s">
        <v>14588</v>
      </c>
      <c r="B11976" s="6" t="s">
        <v>2405</v>
      </c>
      <c r="C11976" s="6" t="s">
        <v>131</v>
      </c>
      <c r="D11976" s="13" t="n">
        <v>44693</v>
      </c>
      <c r="E11976" s="14" t="n">
        <v>3853.67</v>
      </c>
      <c r="F11976" s="14" t="n">
        <v>19677.29</v>
      </c>
      <c r="G11976" s="6" t="s">
        <v>2613</v>
      </c>
    </row>
    <row r="11977" customFormat="false" ht="15" hidden="false" customHeight="true" outlineLevel="0" collapsed="false">
      <c r="A11977" s="6" t="s">
        <v>14589</v>
      </c>
      <c r="B11977" s="6" t="s">
        <v>2407</v>
      </c>
      <c r="C11977" s="6" t="s">
        <v>131</v>
      </c>
      <c r="D11977" s="13" t="n">
        <v>45743</v>
      </c>
      <c r="E11977" s="14" t="n">
        <v>2837.19</v>
      </c>
      <c r="F11977" s="14" t="n">
        <v>2837.19</v>
      </c>
      <c r="G11977" s="6" t="s">
        <v>2613</v>
      </c>
    </row>
    <row r="11978" customFormat="false" ht="15" hidden="false" customHeight="true" outlineLevel="0" collapsed="false">
      <c r="A11978" s="6" t="s">
        <v>14590</v>
      </c>
      <c r="B11978" s="6" t="s">
        <v>2407</v>
      </c>
      <c r="C11978" s="6" t="s">
        <v>131</v>
      </c>
      <c r="D11978" s="13" t="n">
        <v>45750</v>
      </c>
      <c r="E11978" s="14" t="n">
        <v>3550.63</v>
      </c>
      <c r="F11978" s="14" t="n">
        <v>6387.82</v>
      </c>
      <c r="G11978" s="6" t="s">
        <v>2623</v>
      </c>
    </row>
    <row r="11979" customFormat="false" ht="15" hidden="false" customHeight="true" outlineLevel="0" collapsed="false">
      <c r="A11979" s="6" t="s">
        <v>14591</v>
      </c>
      <c r="B11979" s="6" t="s">
        <v>2407</v>
      </c>
      <c r="C11979" s="6" t="s">
        <v>131</v>
      </c>
      <c r="D11979" s="13" t="n">
        <v>45757</v>
      </c>
      <c r="E11979" s="14" t="n">
        <v>3937.13</v>
      </c>
      <c r="F11979" s="14" t="n">
        <v>10324.95</v>
      </c>
      <c r="G11979" s="6" t="s">
        <v>2613</v>
      </c>
    </row>
    <row r="11980" customFormat="false" ht="15" hidden="false" customHeight="true" outlineLevel="0" collapsed="false">
      <c r="A11980" s="6" t="s">
        <v>14592</v>
      </c>
      <c r="B11980" s="6" t="s">
        <v>2407</v>
      </c>
      <c r="C11980" s="6" t="s">
        <v>131</v>
      </c>
      <c r="D11980" s="13" t="n">
        <v>45764</v>
      </c>
      <c r="E11980" s="14" t="n">
        <v>3450.12</v>
      </c>
      <c r="F11980" s="14" t="n">
        <v>13775.07</v>
      </c>
      <c r="G11980" s="6" t="s">
        <v>2623</v>
      </c>
    </row>
    <row r="11981" customFormat="false" ht="15" hidden="false" customHeight="true" outlineLevel="0" collapsed="false">
      <c r="A11981" s="6" t="s">
        <v>14593</v>
      </c>
      <c r="B11981" s="6" t="s">
        <v>2407</v>
      </c>
      <c r="C11981" s="6" t="s">
        <v>131</v>
      </c>
      <c r="D11981" s="13" t="n">
        <v>45771</v>
      </c>
      <c r="E11981" s="14" t="n">
        <v>2749.83</v>
      </c>
      <c r="F11981" s="14" t="n">
        <v>16524.9</v>
      </c>
      <c r="G11981" s="6" t="s">
        <v>2613</v>
      </c>
    </row>
    <row r="11982" customFormat="false" ht="15" hidden="false" customHeight="true" outlineLevel="0" collapsed="false">
      <c r="A11982" s="6" t="s">
        <v>14594</v>
      </c>
      <c r="B11982" s="6" t="s">
        <v>2407</v>
      </c>
      <c r="C11982" s="6" t="s">
        <v>131</v>
      </c>
      <c r="D11982" s="13" t="n">
        <v>45778</v>
      </c>
      <c r="E11982" s="14" t="n">
        <v>2758.56</v>
      </c>
      <c r="F11982" s="14" t="n">
        <v>19283.46</v>
      </c>
      <c r="G11982" s="6" t="s">
        <v>2613</v>
      </c>
    </row>
    <row r="11983" customFormat="false" ht="15" hidden="false" customHeight="true" outlineLevel="0" collapsed="false">
      <c r="A11983" s="6" t="s">
        <v>14595</v>
      </c>
      <c r="B11983" s="6" t="s">
        <v>2407</v>
      </c>
      <c r="C11983" s="6" t="s">
        <v>131</v>
      </c>
      <c r="D11983" s="13" t="n">
        <v>45785</v>
      </c>
      <c r="E11983" s="14" t="n">
        <v>3343.58</v>
      </c>
      <c r="F11983" s="14" t="n">
        <v>22627.04</v>
      </c>
      <c r="G11983" s="6" t="s">
        <v>2613</v>
      </c>
    </row>
    <row r="11984" customFormat="false" ht="15" hidden="false" customHeight="true" outlineLevel="0" collapsed="false">
      <c r="A11984" s="6" t="s">
        <v>14596</v>
      </c>
      <c r="B11984" s="6" t="s">
        <v>2407</v>
      </c>
      <c r="C11984" s="6" t="s">
        <v>131</v>
      </c>
      <c r="D11984" s="13" t="n">
        <v>45792</v>
      </c>
      <c r="E11984" s="14" t="n">
        <v>2677.9</v>
      </c>
      <c r="F11984" s="14" t="n">
        <v>25304.94</v>
      </c>
      <c r="G11984" s="6" t="s">
        <v>2613</v>
      </c>
    </row>
    <row r="11985" customFormat="false" ht="15" hidden="false" customHeight="true" outlineLevel="0" collapsed="false">
      <c r="A11985" s="6" t="s">
        <v>14597</v>
      </c>
      <c r="B11985" s="6" t="s">
        <v>2407</v>
      </c>
      <c r="C11985" s="6" t="s">
        <v>131</v>
      </c>
      <c r="D11985" s="13" t="n">
        <v>45799</v>
      </c>
      <c r="E11985" s="14" t="n">
        <v>4586.47</v>
      </c>
      <c r="F11985" s="14" t="n">
        <v>29891.41</v>
      </c>
      <c r="G11985" s="6" t="s">
        <v>2613</v>
      </c>
    </row>
    <row r="11986" customFormat="false" ht="15" hidden="false" customHeight="true" outlineLevel="0" collapsed="false">
      <c r="A11986" s="6" t="s">
        <v>14598</v>
      </c>
      <c r="B11986" s="6" t="s">
        <v>2407</v>
      </c>
      <c r="C11986" s="6" t="s">
        <v>131</v>
      </c>
      <c r="D11986" s="13" t="n">
        <v>45806</v>
      </c>
      <c r="E11986" s="14" t="n">
        <v>6700.73</v>
      </c>
      <c r="F11986" s="14" t="n">
        <v>36592.14</v>
      </c>
      <c r="G11986" s="6" t="s">
        <v>2623</v>
      </c>
    </row>
    <row r="11987" customFormat="false" ht="15" hidden="false" customHeight="true" outlineLevel="0" collapsed="false">
      <c r="A11987" s="6" t="s">
        <v>14599</v>
      </c>
      <c r="B11987" s="6" t="s">
        <v>2409</v>
      </c>
      <c r="C11987" s="6" t="s">
        <v>124</v>
      </c>
      <c r="D11987" s="13" t="n">
        <v>44960</v>
      </c>
      <c r="E11987" s="14" t="n">
        <v>1370.36</v>
      </c>
      <c r="F11987" s="14" t="n">
        <v>1370.36</v>
      </c>
      <c r="G11987" s="6" t="s">
        <v>2623</v>
      </c>
    </row>
    <row r="11988" customFormat="false" ht="15" hidden="false" customHeight="true" outlineLevel="0" collapsed="false">
      <c r="A11988" s="6" t="s">
        <v>14600</v>
      </c>
      <c r="B11988" s="6" t="s">
        <v>2409</v>
      </c>
      <c r="C11988" s="6" t="s">
        <v>124</v>
      </c>
      <c r="D11988" s="13" t="n">
        <v>44967</v>
      </c>
      <c r="E11988" s="14" t="n">
        <v>1189.53</v>
      </c>
      <c r="F11988" s="14" t="n">
        <v>2559.89</v>
      </c>
      <c r="G11988" s="6" t="s">
        <v>2613</v>
      </c>
    </row>
    <row r="11989" customFormat="false" ht="15" hidden="false" customHeight="true" outlineLevel="0" collapsed="false">
      <c r="A11989" s="6" t="s">
        <v>14601</v>
      </c>
      <c r="B11989" s="6" t="s">
        <v>2409</v>
      </c>
      <c r="C11989" s="6" t="s">
        <v>124</v>
      </c>
      <c r="D11989" s="13" t="n">
        <v>44974</v>
      </c>
      <c r="E11989" s="14" t="n">
        <v>1481.79</v>
      </c>
      <c r="F11989" s="14" t="n">
        <v>4041.68</v>
      </c>
      <c r="G11989" s="6" t="s">
        <v>2613</v>
      </c>
    </row>
    <row r="11990" customFormat="false" ht="15" hidden="false" customHeight="true" outlineLevel="0" collapsed="false">
      <c r="A11990" s="6" t="s">
        <v>14602</v>
      </c>
      <c r="B11990" s="6" t="s">
        <v>2409</v>
      </c>
      <c r="C11990" s="6" t="s">
        <v>124</v>
      </c>
      <c r="D11990" s="13" t="n">
        <v>44981</v>
      </c>
      <c r="E11990" s="14" t="n">
        <v>1052.46</v>
      </c>
      <c r="F11990" s="14" t="n">
        <v>5094.14</v>
      </c>
      <c r="G11990" s="6" t="s">
        <v>2613</v>
      </c>
    </row>
    <row r="11991" customFormat="false" ht="15" hidden="false" customHeight="true" outlineLevel="0" collapsed="false">
      <c r="A11991" s="6" t="s">
        <v>14603</v>
      </c>
      <c r="B11991" s="6" t="s">
        <v>2409</v>
      </c>
      <c r="C11991" s="6" t="s">
        <v>124</v>
      </c>
      <c r="D11991" s="13" t="n">
        <v>44988</v>
      </c>
      <c r="E11991" s="14" t="n">
        <v>2752.72</v>
      </c>
      <c r="F11991" s="14" t="n">
        <v>7846.86</v>
      </c>
      <c r="G11991" s="6" t="s">
        <v>2613</v>
      </c>
    </row>
    <row r="11992" customFormat="false" ht="15" hidden="false" customHeight="true" outlineLevel="0" collapsed="false">
      <c r="A11992" s="6" t="s">
        <v>14604</v>
      </c>
      <c r="B11992" s="6" t="s">
        <v>2411</v>
      </c>
      <c r="C11992" s="6" t="s">
        <v>131</v>
      </c>
      <c r="D11992" s="13" t="n">
        <v>45554</v>
      </c>
      <c r="E11992" s="14" t="n">
        <v>1788.89</v>
      </c>
      <c r="F11992" s="14" t="n">
        <v>1788.89</v>
      </c>
      <c r="G11992" s="6" t="s">
        <v>2613</v>
      </c>
    </row>
    <row r="11993" customFormat="false" ht="15" hidden="false" customHeight="true" outlineLevel="0" collapsed="false">
      <c r="A11993" s="6" t="s">
        <v>14605</v>
      </c>
      <c r="B11993" s="6" t="s">
        <v>2411</v>
      </c>
      <c r="C11993" s="6" t="s">
        <v>131</v>
      </c>
      <c r="D11993" s="13" t="n">
        <v>45561</v>
      </c>
      <c r="E11993" s="14" t="n">
        <v>878.7</v>
      </c>
      <c r="F11993" s="14" t="n">
        <v>2667.59</v>
      </c>
      <c r="G11993" s="6" t="s">
        <v>2613</v>
      </c>
    </row>
    <row r="11994" customFormat="false" ht="15" hidden="false" customHeight="true" outlineLevel="0" collapsed="false">
      <c r="A11994" s="6" t="s">
        <v>14606</v>
      </c>
      <c r="B11994" s="6" t="s">
        <v>2411</v>
      </c>
      <c r="C11994" s="6" t="s">
        <v>131</v>
      </c>
      <c r="D11994" s="13" t="n">
        <v>45568</v>
      </c>
      <c r="E11994" s="14" t="n">
        <v>1512.44</v>
      </c>
      <c r="F11994" s="14" t="n">
        <v>4180.03</v>
      </c>
      <c r="G11994" s="6" t="s">
        <v>2613</v>
      </c>
    </row>
    <row r="11995" customFormat="false" ht="15" hidden="false" customHeight="true" outlineLevel="0" collapsed="false">
      <c r="A11995" s="6" t="s">
        <v>14607</v>
      </c>
      <c r="B11995" s="6" t="s">
        <v>2411</v>
      </c>
      <c r="C11995" s="6" t="s">
        <v>131</v>
      </c>
      <c r="D11995" s="13" t="n">
        <v>45575</v>
      </c>
      <c r="E11995" s="14" t="n">
        <v>997.94</v>
      </c>
      <c r="F11995" s="14" t="n">
        <v>5177.97</v>
      </c>
      <c r="G11995" s="6" t="s">
        <v>2623</v>
      </c>
    </row>
    <row r="11996" customFormat="false" ht="15" hidden="false" customHeight="true" outlineLevel="0" collapsed="false">
      <c r="A11996" s="6" t="s">
        <v>14608</v>
      </c>
      <c r="B11996" s="6" t="s">
        <v>2411</v>
      </c>
      <c r="C11996" s="6" t="s">
        <v>131</v>
      </c>
      <c r="D11996" s="13" t="n">
        <v>45582</v>
      </c>
      <c r="E11996" s="14" t="n">
        <v>981.09</v>
      </c>
      <c r="F11996" s="14" t="n">
        <v>6159.06</v>
      </c>
      <c r="G11996" s="6" t="s">
        <v>2623</v>
      </c>
    </row>
    <row r="11997" customFormat="false" ht="15" hidden="false" customHeight="true" outlineLevel="0" collapsed="false">
      <c r="A11997" s="6" t="s">
        <v>14609</v>
      </c>
      <c r="B11997" s="6" t="s">
        <v>2411</v>
      </c>
      <c r="C11997" s="6" t="s">
        <v>131</v>
      </c>
      <c r="D11997" s="13" t="n">
        <v>45589</v>
      </c>
      <c r="E11997" s="14" t="n">
        <v>1235.4</v>
      </c>
      <c r="F11997" s="14" t="n">
        <v>7394.46</v>
      </c>
      <c r="G11997" s="6" t="s">
        <v>2613</v>
      </c>
    </row>
    <row r="11998" customFormat="false" ht="15" hidden="false" customHeight="true" outlineLevel="0" collapsed="false">
      <c r="A11998" s="6" t="s">
        <v>14610</v>
      </c>
      <c r="B11998" s="6" t="s">
        <v>2411</v>
      </c>
      <c r="C11998" s="6" t="s">
        <v>131</v>
      </c>
      <c r="D11998" s="13" t="n">
        <v>45596</v>
      </c>
      <c r="E11998" s="14" t="n">
        <v>847.15</v>
      </c>
      <c r="F11998" s="14" t="n">
        <v>8241.61</v>
      </c>
      <c r="G11998" s="6" t="s">
        <v>2613</v>
      </c>
    </row>
    <row r="11999" customFormat="false" ht="15" hidden="false" customHeight="true" outlineLevel="0" collapsed="false">
      <c r="A11999" s="6" t="s">
        <v>14611</v>
      </c>
      <c r="B11999" s="6" t="s">
        <v>2411</v>
      </c>
      <c r="C11999" s="6" t="s">
        <v>131</v>
      </c>
      <c r="D11999" s="13" t="n">
        <v>45603</v>
      </c>
      <c r="E11999" s="14" t="n">
        <v>1522.56</v>
      </c>
      <c r="F11999" s="14" t="n">
        <v>9764.17</v>
      </c>
      <c r="G11999" s="6" t="s">
        <v>2613</v>
      </c>
    </row>
    <row r="12000" customFormat="false" ht="15" hidden="false" customHeight="true" outlineLevel="0" collapsed="false">
      <c r="A12000" s="6" t="s">
        <v>14612</v>
      </c>
      <c r="B12000" s="6" t="s">
        <v>2411</v>
      </c>
      <c r="C12000" s="6" t="s">
        <v>131</v>
      </c>
      <c r="D12000" s="13" t="n">
        <v>45610</v>
      </c>
      <c r="E12000" s="14" t="n">
        <v>1385</v>
      </c>
      <c r="F12000" s="14" t="n">
        <v>11149.17</v>
      </c>
      <c r="G12000" s="6" t="s">
        <v>2613</v>
      </c>
    </row>
    <row r="12001" customFormat="false" ht="15" hidden="false" customHeight="true" outlineLevel="0" collapsed="false">
      <c r="A12001" s="6" t="s">
        <v>14613</v>
      </c>
      <c r="B12001" s="6" t="s">
        <v>2411</v>
      </c>
      <c r="C12001" s="6" t="s">
        <v>131</v>
      </c>
      <c r="D12001" s="13" t="n">
        <v>45617</v>
      </c>
      <c r="E12001" s="14" t="n">
        <v>1659.43</v>
      </c>
      <c r="F12001" s="14" t="n">
        <v>12808.6</v>
      </c>
      <c r="G12001" s="6" t="s">
        <v>2613</v>
      </c>
    </row>
    <row r="12002" customFormat="false" ht="15" hidden="false" customHeight="true" outlineLevel="0" collapsed="false">
      <c r="A12002" s="6" t="s">
        <v>14614</v>
      </c>
      <c r="B12002" s="6" t="s">
        <v>2411</v>
      </c>
      <c r="C12002" s="6" t="s">
        <v>131</v>
      </c>
      <c r="D12002" s="13" t="n">
        <v>45624</v>
      </c>
      <c r="E12002" s="14" t="n">
        <v>2075.2</v>
      </c>
      <c r="F12002" s="14" t="n">
        <v>14883.8</v>
      </c>
      <c r="G12002" s="6" t="s">
        <v>2613</v>
      </c>
    </row>
    <row r="12003" customFormat="false" ht="15" hidden="false" customHeight="true" outlineLevel="0" collapsed="false">
      <c r="A12003" s="6" t="s">
        <v>14615</v>
      </c>
      <c r="B12003" s="6" t="s">
        <v>2413</v>
      </c>
      <c r="C12003" s="6" t="s">
        <v>124</v>
      </c>
      <c r="D12003" s="13" t="n">
        <v>45610</v>
      </c>
      <c r="E12003" s="14" t="n">
        <v>1786.27</v>
      </c>
      <c r="F12003" s="14" t="n">
        <v>1786.27</v>
      </c>
      <c r="G12003" s="6" t="s">
        <v>2613</v>
      </c>
    </row>
    <row r="12004" customFormat="false" ht="15" hidden="false" customHeight="true" outlineLevel="0" collapsed="false">
      <c r="A12004" s="6" t="s">
        <v>14616</v>
      </c>
      <c r="B12004" s="6" t="s">
        <v>2413</v>
      </c>
      <c r="C12004" s="6" t="s">
        <v>124</v>
      </c>
      <c r="D12004" s="13" t="n">
        <v>45617</v>
      </c>
      <c r="E12004" s="14" t="n">
        <v>1442.25</v>
      </c>
      <c r="F12004" s="14" t="n">
        <v>3228.52</v>
      </c>
      <c r="G12004" s="6" t="s">
        <v>2613</v>
      </c>
    </row>
    <row r="12005" customFormat="false" ht="15" hidden="false" customHeight="true" outlineLevel="0" collapsed="false">
      <c r="A12005" s="6" t="s">
        <v>14617</v>
      </c>
      <c r="B12005" s="6" t="s">
        <v>2413</v>
      </c>
      <c r="C12005" s="6" t="s">
        <v>124</v>
      </c>
      <c r="D12005" s="13" t="n">
        <v>45624</v>
      </c>
      <c r="E12005" s="14" t="n">
        <v>1631.52</v>
      </c>
      <c r="F12005" s="14" t="n">
        <v>4860.04</v>
      </c>
      <c r="G12005" s="6" t="s">
        <v>2613</v>
      </c>
    </row>
    <row r="12006" customFormat="false" ht="15" hidden="false" customHeight="true" outlineLevel="0" collapsed="false">
      <c r="A12006" s="6" t="s">
        <v>14618</v>
      </c>
      <c r="B12006" s="6" t="s">
        <v>2413</v>
      </c>
      <c r="C12006" s="6" t="s">
        <v>124</v>
      </c>
      <c r="D12006" s="13" t="n">
        <v>45631</v>
      </c>
      <c r="E12006" s="14" t="n">
        <v>1493.94</v>
      </c>
      <c r="F12006" s="14" t="n">
        <v>6353.98</v>
      </c>
      <c r="G12006" s="6" t="s">
        <v>2613</v>
      </c>
    </row>
    <row r="12007" customFormat="false" ht="15" hidden="false" customHeight="true" outlineLevel="0" collapsed="false">
      <c r="A12007" s="6" t="s">
        <v>14619</v>
      </c>
      <c r="B12007" s="6" t="s">
        <v>2413</v>
      </c>
      <c r="C12007" s="6" t="s">
        <v>124</v>
      </c>
      <c r="D12007" s="13" t="n">
        <v>45638</v>
      </c>
      <c r="E12007" s="14" t="n">
        <v>1484.54</v>
      </c>
      <c r="F12007" s="14" t="n">
        <v>7838.52</v>
      </c>
      <c r="G12007" s="6" t="s">
        <v>2613</v>
      </c>
    </row>
    <row r="12008" customFormat="false" ht="15" hidden="false" customHeight="true" outlineLevel="0" collapsed="false">
      <c r="A12008" s="6" t="s">
        <v>14620</v>
      </c>
      <c r="B12008" s="6" t="s">
        <v>2413</v>
      </c>
      <c r="C12008" s="6" t="s">
        <v>124</v>
      </c>
      <c r="D12008" s="13" t="n">
        <v>45645</v>
      </c>
      <c r="E12008" s="14" t="n">
        <v>1524.19</v>
      </c>
      <c r="F12008" s="14" t="n">
        <v>9362.71</v>
      </c>
      <c r="G12008" s="6" t="s">
        <v>2613</v>
      </c>
    </row>
    <row r="12009" customFormat="false" ht="15" hidden="false" customHeight="true" outlineLevel="0" collapsed="false">
      <c r="A12009" s="6" t="s">
        <v>14621</v>
      </c>
      <c r="B12009" s="6" t="s">
        <v>2413</v>
      </c>
      <c r="C12009" s="6" t="s">
        <v>124</v>
      </c>
      <c r="D12009" s="13" t="n">
        <v>45652</v>
      </c>
      <c r="E12009" s="14" t="n">
        <v>1065.65</v>
      </c>
      <c r="F12009" s="14" t="n">
        <v>10428.36</v>
      </c>
      <c r="G12009" s="6" t="s">
        <v>2613</v>
      </c>
    </row>
    <row r="12010" customFormat="false" ht="15" hidden="false" customHeight="true" outlineLevel="0" collapsed="false">
      <c r="A12010" s="6" t="s">
        <v>14622</v>
      </c>
      <c r="B12010" s="6" t="s">
        <v>2413</v>
      </c>
      <c r="C12010" s="6" t="s">
        <v>124</v>
      </c>
      <c r="D12010" s="13" t="n">
        <v>45659</v>
      </c>
      <c r="E12010" s="14" t="n">
        <v>774.2</v>
      </c>
      <c r="F12010" s="14" t="n">
        <v>11202.56</v>
      </c>
      <c r="G12010" s="6" t="s">
        <v>2613</v>
      </c>
    </row>
    <row r="12011" customFormat="false" ht="15" hidden="false" customHeight="true" outlineLevel="0" collapsed="false">
      <c r="A12011" s="6" t="s">
        <v>14623</v>
      </c>
      <c r="B12011" s="6" t="s">
        <v>2415</v>
      </c>
      <c r="C12011" s="6" t="s">
        <v>124</v>
      </c>
      <c r="D12011" s="13" t="n">
        <v>45468</v>
      </c>
      <c r="E12011" s="14" t="n">
        <v>3200.09</v>
      </c>
      <c r="F12011" s="14" t="n">
        <v>3200.09</v>
      </c>
      <c r="G12011" s="6" t="s">
        <v>2613</v>
      </c>
    </row>
    <row r="12012" customFormat="false" ht="15" hidden="false" customHeight="true" outlineLevel="0" collapsed="false">
      <c r="A12012" s="6" t="s">
        <v>14624</v>
      </c>
      <c r="B12012" s="6" t="s">
        <v>2415</v>
      </c>
      <c r="C12012" s="6" t="s">
        <v>124</v>
      </c>
      <c r="D12012" s="13" t="n">
        <v>45475</v>
      </c>
      <c r="E12012" s="14" t="n">
        <v>3917.87</v>
      </c>
      <c r="F12012" s="14" t="n">
        <v>7117.96</v>
      </c>
      <c r="G12012" s="6" t="s">
        <v>2613</v>
      </c>
    </row>
    <row r="12013" customFormat="false" ht="15" hidden="false" customHeight="true" outlineLevel="0" collapsed="false">
      <c r="A12013" s="6" t="s">
        <v>14625</v>
      </c>
      <c r="B12013" s="6" t="s">
        <v>2415</v>
      </c>
      <c r="C12013" s="6" t="s">
        <v>124</v>
      </c>
      <c r="D12013" s="13" t="n">
        <v>45482</v>
      </c>
      <c r="E12013" s="14" t="n">
        <v>4991.97</v>
      </c>
      <c r="F12013" s="14" t="n">
        <v>12109.93</v>
      </c>
      <c r="G12013" s="6" t="s">
        <v>2613</v>
      </c>
    </row>
    <row r="12014" customFormat="false" ht="15" hidden="false" customHeight="true" outlineLevel="0" collapsed="false">
      <c r="A12014" s="6" t="s">
        <v>14626</v>
      </c>
      <c r="B12014" s="6" t="s">
        <v>2415</v>
      </c>
      <c r="C12014" s="6" t="s">
        <v>124</v>
      </c>
      <c r="D12014" s="13" t="n">
        <v>45489</v>
      </c>
      <c r="E12014" s="14" t="n">
        <v>2928.76</v>
      </c>
      <c r="F12014" s="14" t="n">
        <v>15038.69</v>
      </c>
      <c r="G12014" s="6" t="s">
        <v>2613</v>
      </c>
    </row>
    <row r="12015" customFormat="false" ht="15" hidden="false" customHeight="true" outlineLevel="0" collapsed="false">
      <c r="A12015" s="6" t="s">
        <v>14627</v>
      </c>
      <c r="B12015" s="6" t="s">
        <v>2415</v>
      </c>
      <c r="C12015" s="6" t="s">
        <v>124</v>
      </c>
      <c r="D12015" s="13" t="n">
        <v>45496</v>
      </c>
      <c r="E12015" s="14" t="n">
        <v>2612.8</v>
      </c>
      <c r="F12015" s="14" t="n">
        <v>17651.49</v>
      </c>
      <c r="G12015" s="6" t="s">
        <v>2613</v>
      </c>
    </row>
    <row r="12016" customFormat="false" ht="15" hidden="false" customHeight="true" outlineLevel="0" collapsed="false">
      <c r="A12016" s="6" t="s">
        <v>14628</v>
      </c>
      <c r="B12016" s="6" t="s">
        <v>2415</v>
      </c>
      <c r="C12016" s="6" t="s">
        <v>124</v>
      </c>
      <c r="D12016" s="13" t="n">
        <v>45503</v>
      </c>
      <c r="E12016" s="14" t="n">
        <v>2703.04</v>
      </c>
      <c r="F12016" s="14" t="n">
        <v>20354.53</v>
      </c>
      <c r="G12016" s="6" t="s">
        <v>2613</v>
      </c>
    </row>
    <row r="12017" customFormat="false" ht="15" hidden="false" customHeight="true" outlineLevel="0" collapsed="false">
      <c r="A12017" s="6" t="s">
        <v>14629</v>
      </c>
      <c r="B12017" s="6" t="s">
        <v>2415</v>
      </c>
      <c r="C12017" s="6" t="s">
        <v>124</v>
      </c>
      <c r="D12017" s="13" t="n">
        <v>45510</v>
      </c>
      <c r="E12017" s="14" t="n">
        <v>4887.25</v>
      </c>
      <c r="F12017" s="14" t="n">
        <v>25241.78</v>
      </c>
      <c r="G12017" s="6" t="s">
        <v>2613</v>
      </c>
    </row>
    <row r="12018" customFormat="false" ht="15" hidden="false" customHeight="true" outlineLevel="0" collapsed="false">
      <c r="A12018" s="6" t="s">
        <v>14630</v>
      </c>
      <c r="B12018" s="6" t="s">
        <v>2415</v>
      </c>
      <c r="C12018" s="6" t="s">
        <v>124</v>
      </c>
      <c r="D12018" s="13" t="n">
        <v>45517</v>
      </c>
      <c r="E12018" s="14" t="n">
        <v>3244.43</v>
      </c>
      <c r="F12018" s="14" t="n">
        <v>28486.21</v>
      </c>
      <c r="G12018" s="6" t="s">
        <v>2613</v>
      </c>
    </row>
    <row r="12019" customFormat="false" ht="15" hidden="false" customHeight="true" outlineLevel="0" collapsed="false">
      <c r="A12019" s="6" t="s">
        <v>14631</v>
      </c>
      <c r="B12019" s="6" t="s">
        <v>2415</v>
      </c>
      <c r="C12019" s="6" t="s">
        <v>124</v>
      </c>
      <c r="D12019" s="13" t="n">
        <v>45524</v>
      </c>
      <c r="E12019" s="14" t="n">
        <v>5279.78</v>
      </c>
      <c r="F12019" s="14" t="n">
        <v>33765.99</v>
      </c>
      <c r="G12019" s="6" t="s">
        <v>2613</v>
      </c>
    </row>
    <row r="12020" customFormat="false" ht="15" hidden="false" customHeight="true" outlineLevel="0" collapsed="false">
      <c r="A12020" s="6" t="s">
        <v>14632</v>
      </c>
      <c r="B12020" s="6" t="s">
        <v>2415</v>
      </c>
      <c r="C12020" s="6" t="s">
        <v>124</v>
      </c>
      <c r="D12020" s="13" t="n">
        <v>45531</v>
      </c>
      <c r="E12020" s="14" t="n">
        <v>8937.16</v>
      </c>
      <c r="F12020" s="14" t="n">
        <v>42703.15</v>
      </c>
      <c r="G12020" s="6" t="s">
        <v>2613</v>
      </c>
    </row>
    <row r="12021" customFormat="false" ht="15" hidden="false" customHeight="true" outlineLevel="0" collapsed="false">
      <c r="A12021" s="6" t="s">
        <v>14633</v>
      </c>
      <c r="B12021" s="6" t="s">
        <v>2417</v>
      </c>
      <c r="C12021" s="6" t="s">
        <v>112</v>
      </c>
      <c r="D12021" s="13" t="n">
        <v>45791</v>
      </c>
      <c r="E12021" s="14" t="n">
        <v>1711.3</v>
      </c>
      <c r="F12021" s="14" t="n">
        <v>1711.3</v>
      </c>
      <c r="G12021" s="6" t="s">
        <v>2613</v>
      </c>
    </row>
    <row r="12022" customFormat="false" ht="15" hidden="false" customHeight="true" outlineLevel="0" collapsed="false">
      <c r="A12022" s="6" t="s">
        <v>14634</v>
      </c>
      <c r="B12022" s="6" t="s">
        <v>2417</v>
      </c>
      <c r="C12022" s="6" t="s">
        <v>112</v>
      </c>
      <c r="D12022" s="13" t="n">
        <v>45798</v>
      </c>
      <c r="E12022" s="14" t="n">
        <v>1653.58</v>
      </c>
      <c r="F12022" s="14" t="n">
        <v>3364.88</v>
      </c>
      <c r="G12022" s="6" t="s">
        <v>2613</v>
      </c>
    </row>
    <row r="12023" customFormat="false" ht="15" hidden="false" customHeight="true" outlineLevel="0" collapsed="false">
      <c r="A12023" s="6" t="s">
        <v>14635</v>
      </c>
      <c r="B12023" s="6" t="s">
        <v>2417</v>
      </c>
      <c r="C12023" s="6" t="s">
        <v>112</v>
      </c>
      <c r="D12023" s="13" t="n">
        <v>45805</v>
      </c>
      <c r="E12023" s="14" t="n">
        <v>1119.36</v>
      </c>
      <c r="F12023" s="14" t="n">
        <v>4484.24</v>
      </c>
      <c r="G12023" s="6" t="s">
        <v>2613</v>
      </c>
    </row>
    <row r="12024" customFormat="false" ht="15" hidden="false" customHeight="true" outlineLevel="0" collapsed="false">
      <c r="A12024" s="6" t="s">
        <v>14636</v>
      </c>
      <c r="B12024" s="6" t="s">
        <v>2417</v>
      </c>
      <c r="C12024" s="6" t="s">
        <v>112</v>
      </c>
      <c r="D12024" s="13" t="n">
        <v>45812</v>
      </c>
      <c r="E12024" s="14" t="n">
        <v>1216.7</v>
      </c>
      <c r="F12024" s="14" t="n">
        <v>5700.94</v>
      </c>
      <c r="G12024" s="6" t="s">
        <v>2613</v>
      </c>
    </row>
    <row r="12025" customFormat="false" ht="15" hidden="false" customHeight="true" outlineLevel="0" collapsed="false">
      <c r="A12025" s="6" t="s">
        <v>14637</v>
      </c>
      <c r="B12025" s="6" t="s">
        <v>2417</v>
      </c>
      <c r="C12025" s="6" t="s">
        <v>112</v>
      </c>
      <c r="D12025" s="13" t="n">
        <v>45819</v>
      </c>
      <c r="E12025" s="14" t="n">
        <v>1949.62</v>
      </c>
      <c r="F12025" s="14" t="n">
        <v>7650.56</v>
      </c>
      <c r="G12025" s="6" t="s">
        <v>2613</v>
      </c>
    </row>
    <row r="12026" customFormat="false" ht="15" hidden="false" customHeight="true" outlineLevel="0" collapsed="false">
      <c r="A12026" s="6" t="s">
        <v>14638</v>
      </c>
      <c r="B12026" s="6" t="s">
        <v>2417</v>
      </c>
      <c r="C12026" s="6" t="s">
        <v>112</v>
      </c>
      <c r="D12026" s="13" t="n">
        <v>45826</v>
      </c>
      <c r="E12026" s="14" t="n">
        <v>1534.68</v>
      </c>
      <c r="F12026" s="14" t="n">
        <v>9185.24</v>
      </c>
      <c r="G12026" s="6" t="s">
        <v>2623</v>
      </c>
    </row>
    <row r="12027" customFormat="false" ht="15" hidden="false" customHeight="true" outlineLevel="0" collapsed="false">
      <c r="A12027" s="6" t="s">
        <v>14639</v>
      </c>
      <c r="B12027" s="6" t="s">
        <v>2417</v>
      </c>
      <c r="C12027" s="6" t="s">
        <v>112</v>
      </c>
      <c r="D12027" s="13" t="n">
        <v>45833</v>
      </c>
      <c r="E12027" s="14" t="n">
        <v>1464.13</v>
      </c>
      <c r="F12027" s="14" t="n">
        <v>10649.37</v>
      </c>
      <c r="G12027" s="6" t="s">
        <v>2613</v>
      </c>
    </row>
    <row r="12028" customFormat="false" ht="15" hidden="false" customHeight="true" outlineLevel="0" collapsed="false">
      <c r="A12028" s="6" t="s">
        <v>14640</v>
      </c>
      <c r="B12028" s="6" t="s">
        <v>2417</v>
      </c>
      <c r="C12028" s="6" t="s">
        <v>112</v>
      </c>
      <c r="D12028" s="13" t="n">
        <v>45840</v>
      </c>
      <c r="E12028" s="14" t="n">
        <v>992.05</v>
      </c>
      <c r="F12028" s="14" t="n">
        <v>11641.42</v>
      </c>
      <c r="G12028" s="6" t="s">
        <v>2613</v>
      </c>
    </row>
    <row r="12029" customFormat="false" ht="15" hidden="false" customHeight="true" outlineLevel="0" collapsed="false">
      <c r="A12029" s="6" t="s">
        <v>14641</v>
      </c>
      <c r="B12029" s="6" t="s">
        <v>2417</v>
      </c>
      <c r="C12029" s="6" t="s">
        <v>112</v>
      </c>
      <c r="D12029" s="13" t="n">
        <v>45847</v>
      </c>
      <c r="E12029" s="14" t="n">
        <v>1699.19</v>
      </c>
      <c r="F12029" s="14" t="n">
        <v>13340.61</v>
      </c>
      <c r="G12029" s="6" t="s">
        <v>2613</v>
      </c>
    </row>
    <row r="12030" customFormat="false" ht="15" hidden="false" customHeight="true" outlineLevel="0" collapsed="false">
      <c r="A12030" s="6" t="s">
        <v>14642</v>
      </c>
      <c r="B12030" s="6" t="s">
        <v>2419</v>
      </c>
      <c r="C12030" s="6" t="s">
        <v>112</v>
      </c>
      <c r="D12030" s="13" t="n">
        <v>45906</v>
      </c>
      <c r="E12030" s="14" t="n">
        <v>175.8</v>
      </c>
      <c r="F12030" s="14" t="n">
        <v>175.8</v>
      </c>
      <c r="G12030" s="6" t="s">
        <v>2613</v>
      </c>
    </row>
    <row r="12031" customFormat="false" ht="15" hidden="false" customHeight="true" outlineLevel="0" collapsed="false">
      <c r="A12031" s="6" t="s">
        <v>14643</v>
      </c>
      <c r="B12031" s="6" t="s">
        <v>2419</v>
      </c>
      <c r="C12031" s="6" t="s">
        <v>112</v>
      </c>
      <c r="D12031" s="13" t="n">
        <v>45913</v>
      </c>
      <c r="E12031" s="14" t="n">
        <v>151.41</v>
      </c>
      <c r="F12031" s="14" t="n">
        <v>327.21</v>
      </c>
      <c r="G12031" s="6" t="s">
        <v>2613</v>
      </c>
    </row>
    <row r="12032" customFormat="false" ht="15" hidden="false" customHeight="true" outlineLevel="0" collapsed="false">
      <c r="A12032" s="6" t="s">
        <v>14644</v>
      </c>
      <c r="B12032" s="6" t="s">
        <v>2419</v>
      </c>
      <c r="C12032" s="6" t="s">
        <v>112</v>
      </c>
      <c r="D12032" s="13" t="n">
        <v>45920</v>
      </c>
      <c r="E12032" s="14" t="n">
        <v>183.46</v>
      </c>
      <c r="F12032" s="14" t="n">
        <v>510.67</v>
      </c>
      <c r="G12032" s="6" t="s">
        <v>2613</v>
      </c>
    </row>
    <row r="12033" customFormat="false" ht="15" hidden="false" customHeight="true" outlineLevel="0" collapsed="false">
      <c r="A12033" s="6" t="s">
        <v>14645</v>
      </c>
      <c r="B12033" s="6" t="s">
        <v>2419</v>
      </c>
      <c r="C12033" s="6" t="s">
        <v>112</v>
      </c>
      <c r="D12033" s="13" t="n">
        <v>45927</v>
      </c>
      <c r="E12033" s="14" t="n">
        <v>93.17</v>
      </c>
      <c r="F12033" s="14" t="n">
        <v>603.84</v>
      </c>
      <c r="G12033" s="6" t="s">
        <v>2613</v>
      </c>
    </row>
    <row r="12034" customFormat="false" ht="15" hidden="false" customHeight="true" outlineLevel="0" collapsed="false">
      <c r="A12034" s="6" t="s">
        <v>14646</v>
      </c>
      <c r="B12034" s="6" t="s">
        <v>2419</v>
      </c>
      <c r="C12034" s="6" t="s">
        <v>112</v>
      </c>
      <c r="D12034" s="13" t="n">
        <v>45934</v>
      </c>
      <c r="E12034" s="14" t="n">
        <v>190</v>
      </c>
      <c r="F12034" s="14" t="n">
        <v>793.84</v>
      </c>
      <c r="G12034" s="6" t="s">
        <v>2613</v>
      </c>
    </row>
    <row r="12035" customFormat="false" ht="15" hidden="false" customHeight="true" outlineLevel="0" collapsed="false">
      <c r="A12035" s="6" t="s">
        <v>14647</v>
      </c>
      <c r="B12035" s="6" t="s">
        <v>2419</v>
      </c>
      <c r="C12035" s="6" t="s">
        <v>112</v>
      </c>
      <c r="D12035" s="13" t="n">
        <v>45941</v>
      </c>
      <c r="E12035" s="14" t="n">
        <v>186.2</v>
      </c>
      <c r="F12035" s="14" t="n">
        <v>980.04</v>
      </c>
      <c r="G12035" s="6" t="s">
        <v>2613</v>
      </c>
    </row>
    <row r="12036" customFormat="false" ht="15" hidden="false" customHeight="true" outlineLevel="0" collapsed="false">
      <c r="A12036" s="6" t="s">
        <v>14648</v>
      </c>
      <c r="B12036" s="6" t="s">
        <v>2419</v>
      </c>
      <c r="C12036" s="6" t="s">
        <v>112</v>
      </c>
      <c r="D12036" s="13" t="n">
        <v>45948</v>
      </c>
      <c r="E12036" s="14" t="n">
        <v>151.64</v>
      </c>
      <c r="F12036" s="14" t="n">
        <v>1131.68</v>
      </c>
      <c r="G12036" s="6" t="s">
        <v>2613</v>
      </c>
    </row>
    <row r="12037" customFormat="false" ht="15" hidden="false" customHeight="true" outlineLevel="0" collapsed="false">
      <c r="A12037" s="6" t="s">
        <v>14649</v>
      </c>
      <c r="B12037" s="6" t="s">
        <v>2419</v>
      </c>
      <c r="C12037" s="6" t="s">
        <v>112</v>
      </c>
      <c r="D12037" s="13" t="n">
        <v>45955</v>
      </c>
      <c r="E12037" s="14" t="n">
        <v>166.37</v>
      </c>
      <c r="F12037" s="14" t="n">
        <v>1298.05</v>
      </c>
      <c r="G12037" s="6" t="s">
        <v>2613</v>
      </c>
    </row>
    <row r="12038" customFormat="false" ht="15" hidden="false" customHeight="true" outlineLevel="0" collapsed="false">
      <c r="A12038" s="6" t="s">
        <v>14650</v>
      </c>
      <c r="B12038" s="6" t="s">
        <v>2419</v>
      </c>
      <c r="C12038" s="6" t="s">
        <v>112</v>
      </c>
      <c r="D12038" s="13" t="n">
        <v>45962</v>
      </c>
      <c r="E12038" s="14" t="n">
        <v>185.9</v>
      </c>
      <c r="F12038" s="14" t="n">
        <v>1483.95</v>
      </c>
      <c r="G12038" s="6" t="s">
        <v>2613</v>
      </c>
    </row>
    <row r="12039" customFormat="false" ht="15" hidden="false" customHeight="true" outlineLevel="0" collapsed="false">
      <c r="A12039" s="6" t="s">
        <v>14651</v>
      </c>
      <c r="B12039" s="6" t="s">
        <v>2419</v>
      </c>
      <c r="C12039" s="6" t="s">
        <v>112</v>
      </c>
      <c r="D12039" s="13" t="n">
        <v>45969</v>
      </c>
      <c r="E12039" s="14" t="n">
        <v>88.33</v>
      </c>
      <c r="F12039" s="14" t="n">
        <v>1572.28</v>
      </c>
      <c r="G12039" s="6" t="s">
        <v>2613</v>
      </c>
    </row>
    <row r="12040" customFormat="false" ht="15" hidden="false" customHeight="true" outlineLevel="0" collapsed="false">
      <c r="A12040" s="6" t="s">
        <v>14652</v>
      </c>
      <c r="B12040" s="6" t="s">
        <v>2419</v>
      </c>
      <c r="C12040" s="6" t="s">
        <v>112</v>
      </c>
      <c r="D12040" s="13" t="n">
        <v>45976</v>
      </c>
      <c r="E12040" s="14" t="n">
        <v>62.72</v>
      </c>
      <c r="F12040" s="14" t="n">
        <v>1635</v>
      </c>
      <c r="G12040" s="6" t="s">
        <v>2613</v>
      </c>
    </row>
    <row r="12041" customFormat="false" ht="15" hidden="false" customHeight="true" outlineLevel="0" collapsed="false">
      <c r="A12041" s="6" t="s">
        <v>14653</v>
      </c>
      <c r="B12041" s="6" t="s">
        <v>2421</v>
      </c>
      <c r="C12041" s="6" t="s">
        <v>128</v>
      </c>
      <c r="D12041" s="13" t="n">
        <v>45434</v>
      </c>
      <c r="E12041" s="14" t="n">
        <v>5660.71</v>
      </c>
      <c r="F12041" s="14" t="n">
        <v>5660.71</v>
      </c>
      <c r="G12041" s="6" t="s">
        <v>2613</v>
      </c>
    </row>
    <row r="12042" customFormat="false" ht="15" hidden="false" customHeight="true" outlineLevel="0" collapsed="false">
      <c r="A12042" s="6" t="s">
        <v>14654</v>
      </c>
      <c r="B12042" s="6" t="s">
        <v>2421</v>
      </c>
      <c r="C12042" s="6" t="s">
        <v>128</v>
      </c>
      <c r="D12042" s="13" t="n">
        <v>45441</v>
      </c>
      <c r="E12042" s="14" t="n">
        <v>4856.32</v>
      </c>
      <c r="F12042" s="14" t="n">
        <v>10517.03</v>
      </c>
      <c r="G12042" s="6" t="s">
        <v>2613</v>
      </c>
    </row>
    <row r="12043" customFormat="false" ht="15" hidden="false" customHeight="true" outlineLevel="0" collapsed="false">
      <c r="A12043" s="6" t="s">
        <v>14655</v>
      </c>
      <c r="B12043" s="6" t="s">
        <v>2421</v>
      </c>
      <c r="C12043" s="6" t="s">
        <v>128</v>
      </c>
      <c r="D12043" s="13" t="n">
        <v>45448</v>
      </c>
      <c r="E12043" s="14" t="n">
        <v>7617.65</v>
      </c>
      <c r="F12043" s="14" t="n">
        <v>18134.68</v>
      </c>
      <c r="G12043" s="6" t="s">
        <v>2613</v>
      </c>
    </row>
    <row r="12044" customFormat="false" ht="15" hidden="false" customHeight="true" outlineLevel="0" collapsed="false">
      <c r="A12044" s="6" t="s">
        <v>14656</v>
      </c>
      <c r="B12044" s="6" t="s">
        <v>2421</v>
      </c>
      <c r="C12044" s="6" t="s">
        <v>128</v>
      </c>
      <c r="D12044" s="13" t="n">
        <v>45455</v>
      </c>
      <c r="E12044" s="14" t="n">
        <v>7852.92</v>
      </c>
      <c r="F12044" s="14" t="n">
        <v>25987.6</v>
      </c>
      <c r="G12044" s="6" t="s">
        <v>2613</v>
      </c>
    </row>
    <row r="12045" customFormat="false" ht="15" hidden="false" customHeight="true" outlineLevel="0" collapsed="false">
      <c r="A12045" s="6" t="s">
        <v>14657</v>
      </c>
      <c r="B12045" s="6" t="s">
        <v>2421</v>
      </c>
      <c r="C12045" s="6" t="s">
        <v>128</v>
      </c>
      <c r="D12045" s="13" t="n">
        <v>45462</v>
      </c>
      <c r="E12045" s="14" t="n">
        <v>4349.18</v>
      </c>
      <c r="F12045" s="14" t="n">
        <v>30336.78</v>
      </c>
      <c r="G12045" s="6" t="s">
        <v>2623</v>
      </c>
    </row>
    <row r="12046" customFormat="false" ht="15" hidden="false" customHeight="true" outlineLevel="0" collapsed="false">
      <c r="A12046" s="6" t="s">
        <v>14658</v>
      </c>
      <c r="B12046" s="6" t="s">
        <v>2421</v>
      </c>
      <c r="C12046" s="6" t="s">
        <v>128</v>
      </c>
      <c r="D12046" s="13" t="n">
        <v>45469</v>
      </c>
      <c r="E12046" s="14" t="n">
        <v>7429.19</v>
      </c>
      <c r="F12046" s="14" t="n">
        <v>37765.97</v>
      </c>
      <c r="G12046" s="6" t="s">
        <v>2613</v>
      </c>
    </row>
    <row r="12047" customFormat="false" ht="15" hidden="false" customHeight="true" outlineLevel="0" collapsed="false">
      <c r="A12047" s="6" t="s">
        <v>14659</v>
      </c>
      <c r="B12047" s="6" t="s">
        <v>2423</v>
      </c>
      <c r="C12047" s="6" t="s">
        <v>124</v>
      </c>
      <c r="D12047" s="13" t="n">
        <v>44886</v>
      </c>
      <c r="E12047" s="14" t="n">
        <v>1499.28</v>
      </c>
      <c r="F12047" s="14" t="n">
        <v>1499.28</v>
      </c>
      <c r="G12047" s="6" t="s">
        <v>2613</v>
      </c>
    </row>
    <row r="12048" customFormat="false" ht="15" hidden="false" customHeight="true" outlineLevel="0" collapsed="false">
      <c r="A12048" s="6" t="s">
        <v>14660</v>
      </c>
      <c r="B12048" s="6" t="s">
        <v>2423</v>
      </c>
      <c r="C12048" s="6" t="s">
        <v>124</v>
      </c>
      <c r="D12048" s="13" t="n">
        <v>44893</v>
      </c>
      <c r="E12048" s="14" t="n">
        <v>1072.32</v>
      </c>
      <c r="F12048" s="14" t="n">
        <v>2571.6</v>
      </c>
      <c r="G12048" s="6" t="s">
        <v>2613</v>
      </c>
    </row>
    <row r="12049" customFormat="false" ht="15" hidden="false" customHeight="true" outlineLevel="0" collapsed="false">
      <c r="A12049" s="6" t="s">
        <v>14661</v>
      </c>
      <c r="B12049" s="6" t="s">
        <v>2423</v>
      </c>
      <c r="C12049" s="6" t="s">
        <v>124</v>
      </c>
      <c r="D12049" s="13" t="n">
        <v>44900</v>
      </c>
      <c r="E12049" s="14" t="n">
        <v>741.94</v>
      </c>
      <c r="F12049" s="14" t="n">
        <v>3313.54</v>
      </c>
      <c r="G12049" s="6" t="s">
        <v>2623</v>
      </c>
    </row>
    <row r="12050" customFormat="false" ht="15" hidden="false" customHeight="true" outlineLevel="0" collapsed="false">
      <c r="A12050" s="6" t="s">
        <v>14662</v>
      </c>
      <c r="B12050" s="6" t="s">
        <v>2423</v>
      </c>
      <c r="C12050" s="6" t="s">
        <v>124</v>
      </c>
      <c r="D12050" s="13" t="n">
        <v>44907</v>
      </c>
      <c r="E12050" s="14" t="n">
        <v>871.34</v>
      </c>
      <c r="F12050" s="14" t="n">
        <v>4184.88</v>
      </c>
      <c r="G12050" s="6" t="s">
        <v>2613</v>
      </c>
    </row>
    <row r="12051" customFormat="false" ht="15" hidden="false" customHeight="true" outlineLevel="0" collapsed="false">
      <c r="A12051" s="6" t="s">
        <v>14663</v>
      </c>
      <c r="B12051" s="6" t="s">
        <v>2423</v>
      </c>
      <c r="C12051" s="6" t="s">
        <v>124</v>
      </c>
      <c r="D12051" s="13" t="n">
        <v>44914</v>
      </c>
      <c r="E12051" s="14" t="n">
        <v>972.14</v>
      </c>
      <c r="F12051" s="14" t="n">
        <v>5157.02</v>
      </c>
      <c r="G12051" s="6" t="s">
        <v>2613</v>
      </c>
    </row>
    <row r="12052" customFormat="false" ht="15" hidden="false" customHeight="true" outlineLevel="0" collapsed="false">
      <c r="A12052" s="6" t="s">
        <v>14664</v>
      </c>
      <c r="B12052" s="6" t="s">
        <v>2423</v>
      </c>
      <c r="C12052" s="6" t="s">
        <v>124</v>
      </c>
      <c r="D12052" s="13" t="n">
        <v>44921</v>
      </c>
      <c r="E12052" s="14" t="n">
        <v>1480.3</v>
      </c>
      <c r="F12052" s="14" t="n">
        <v>6637.32</v>
      </c>
      <c r="G12052" s="6" t="s">
        <v>2613</v>
      </c>
    </row>
    <row r="12053" customFormat="false" ht="15" hidden="false" customHeight="true" outlineLevel="0" collapsed="false">
      <c r="A12053" s="6" t="s">
        <v>14665</v>
      </c>
      <c r="B12053" s="6" t="s">
        <v>2423</v>
      </c>
      <c r="C12053" s="6" t="s">
        <v>124</v>
      </c>
      <c r="D12053" s="13" t="n">
        <v>44928</v>
      </c>
      <c r="E12053" s="14" t="n">
        <v>1126.57</v>
      </c>
      <c r="F12053" s="14" t="n">
        <v>7763.89</v>
      </c>
      <c r="G12053" s="6" t="s">
        <v>2613</v>
      </c>
    </row>
    <row r="12054" customFormat="false" ht="15" hidden="false" customHeight="true" outlineLevel="0" collapsed="false">
      <c r="A12054" s="6" t="s">
        <v>14666</v>
      </c>
      <c r="B12054" s="6" t="s">
        <v>2423</v>
      </c>
      <c r="C12054" s="6" t="s">
        <v>124</v>
      </c>
      <c r="D12054" s="13" t="n">
        <v>44935</v>
      </c>
      <c r="E12054" s="14" t="n">
        <v>1206.79</v>
      </c>
      <c r="F12054" s="14" t="n">
        <v>8970.68</v>
      </c>
      <c r="G12054" s="6" t="s">
        <v>2613</v>
      </c>
    </row>
    <row r="12055" customFormat="false" ht="15" hidden="false" customHeight="true" outlineLevel="0" collapsed="false">
      <c r="A12055" s="6" t="s">
        <v>14667</v>
      </c>
      <c r="B12055" s="6" t="s">
        <v>2423</v>
      </c>
      <c r="C12055" s="6" t="s">
        <v>124</v>
      </c>
      <c r="D12055" s="13" t="n">
        <v>44942</v>
      </c>
      <c r="E12055" s="14" t="n">
        <v>866.18</v>
      </c>
      <c r="F12055" s="14" t="n">
        <v>9836.86</v>
      </c>
      <c r="G12055" s="6" t="s">
        <v>2613</v>
      </c>
    </row>
    <row r="12056" customFormat="false" ht="15" hidden="false" customHeight="true" outlineLevel="0" collapsed="false">
      <c r="A12056" s="6" t="s">
        <v>14668</v>
      </c>
      <c r="B12056" s="6" t="s">
        <v>2423</v>
      </c>
      <c r="C12056" s="6" t="s">
        <v>124</v>
      </c>
      <c r="D12056" s="13" t="n">
        <v>44949</v>
      </c>
      <c r="E12056" s="14" t="n">
        <v>1138.75</v>
      </c>
      <c r="F12056" s="14" t="n">
        <v>10975.61</v>
      </c>
      <c r="G12056" s="6" t="s">
        <v>2613</v>
      </c>
    </row>
    <row r="12057" customFormat="false" ht="15" hidden="false" customHeight="true" outlineLevel="0" collapsed="false">
      <c r="A12057" s="6" t="s">
        <v>14669</v>
      </c>
      <c r="B12057" s="6" t="s">
        <v>2423</v>
      </c>
      <c r="C12057" s="6" t="s">
        <v>124</v>
      </c>
      <c r="D12057" s="13" t="n">
        <v>44956</v>
      </c>
      <c r="E12057" s="14" t="n">
        <v>1540.85</v>
      </c>
      <c r="F12057" s="14" t="n">
        <v>12516.46</v>
      </c>
      <c r="G12057" s="6" t="s">
        <v>2613</v>
      </c>
    </row>
    <row r="12058" customFormat="false" ht="15" hidden="false" customHeight="true" outlineLevel="0" collapsed="false">
      <c r="A12058" s="6" t="s">
        <v>14670</v>
      </c>
      <c r="B12058" s="6" t="s">
        <v>2423</v>
      </c>
      <c r="C12058" s="6" t="s">
        <v>124</v>
      </c>
      <c r="D12058" s="13" t="n">
        <v>44963</v>
      </c>
      <c r="E12058" s="14" t="n">
        <v>848.23</v>
      </c>
      <c r="F12058" s="14" t="n">
        <v>13364.69</v>
      </c>
      <c r="G12058" s="6" t="s">
        <v>2613</v>
      </c>
    </row>
    <row r="12059" customFormat="false" ht="15" hidden="false" customHeight="true" outlineLevel="0" collapsed="false">
      <c r="A12059" s="6" t="s">
        <v>14671</v>
      </c>
      <c r="B12059" s="6" t="s">
        <v>2423</v>
      </c>
      <c r="C12059" s="6" t="s">
        <v>124</v>
      </c>
      <c r="D12059" s="13" t="n">
        <v>44970</v>
      </c>
      <c r="E12059" s="14" t="n">
        <v>899.47</v>
      </c>
      <c r="F12059" s="14" t="n">
        <v>14264.16</v>
      </c>
      <c r="G12059" s="6" t="s">
        <v>2613</v>
      </c>
    </row>
    <row r="12060" customFormat="false" ht="15" hidden="false" customHeight="true" outlineLevel="0" collapsed="false">
      <c r="A12060" s="6" t="s">
        <v>14672</v>
      </c>
      <c r="B12060" s="6" t="s">
        <v>2423</v>
      </c>
      <c r="C12060" s="6" t="s">
        <v>124</v>
      </c>
      <c r="D12060" s="13" t="n">
        <v>44977</v>
      </c>
      <c r="E12060" s="14" t="n">
        <v>1130.92</v>
      </c>
      <c r="F12060" s="14" t="n">
        <v>15395.08</v>
      </c>
      <c r="G12060" s="6" t="s">
        <v>2613</v>
      </c>
    </row>
    <row r="12061" customFormat="false" ht="15" hidden="false" customHeight="true" outlineLevel="0" collapsed="false">
      <c r="A12061" s="6" t="s">
        <v>14673</v>
      </c>
      <c r="B12061" s="6" t="s">
        <v>2423</v>
      </c>
      <c r="C12061" s="6" t="s">
        <v>124</v>
      </c>
      <c r="D12061" s="13" t="n">
        <v>44984</v>
      </c>
      <c r="E12061" s="14" t="n">
        <v>1610.68</v>
      </c>
      <c r="F12061" s="14" t="n">
        <v>17005.76</v>
      </c>
      <c r="G12061" s="6" t="s">
        <v>2613</v>
      </c>
    </row>
    <row r="12062" customFormat="false" ht="15" hidden="false" customHeight="true" outlineLevel="0" collapsed="false">
      <c r="A12062" s="6" t="s">
        <v>14674</v>
      </c>
      <c r="B12062" s="6" t="s">
        <v>2423</v>
      </c>
      <c r="C12062" s="6" t="s">
        <v>124</v>
      </c>
      <c r="D12062" s="13" t="n">
        <v>44991</v>
      </c>
      <c r="E12062" s="14" t="n">
        <v>739.69</v>
      </c>
      <c r="F12062" s="14" t="n">
        <v>17745.45</v>
      </c>
      <c r="G12062" s="6" t="s">
        <v>2613</v>
      </c>
    </row>
    <row r="12063" customFormat="false" ht="15" hidden="false" customHeight="true" outlineLevel="0" collapsed="false">
      <c r="A12063" s="6" t="s">
        <v>14675</v>
      </c>
      <c r="B12063" s="6" t="s">
        <v>2423</v>
      </c>
      <c r="C12063" s="6" t="s">
        <v>124</v>
      </c>
      <c r="D12063" s="13" t="n">
        <v>44998</v>
      </c>
      <c r="E12063" s="14" t="n">
        <v>1335.07</v>
      </c>
      <c r="F12063" s="14" t="n">
        <v>19080.52</v>
      </c>
      <c r="G12063" s="6" t="s">
        <v>2613</v>
      </c>
    </row>
    <row r="12064" customFormat="false" ht="15" hidden="false" customHeight="true" outlineLevel="0" collapsed="false">
      <c r="A12064" s="6" t="s">
        <v>14676</v>
      </c>
      <c r="B12064" s="6" t="s">
        <v>2423</v>
      </c>
      <c r="C12064" s="6" t="s">
        <v>124</v>
      </c>
      <c r="D12064" s="13" t="n">
        <v>45005</v>
      </c>
      <c r="E12064" s="14" t="n">
        <v>1222.21</v>
      </c>
      <c r="F12064" s="14" t="n">
        <v>20302.73</v>
      </c>
      <c r="G12064" s="6" t="s">
        <v>2613</v>
      </c>
    </row>
    <row r="12065" customFormat="false" ht="15" hidden="false" customHeight="true" outlineLevel="0" collapsed="false">
      <c r="A12065" s="6" t="s">
        <v>14677</v>
      </c>
      <c r="B12065" s="6" t="s">
        <v>2423</v>
      </c>
      <c r="C12065" s="6" t="s">
        <v>124</v>
      </c>
      <c r="D12065" s="13" t="n">
        <v>45012</v>
      </c>
      <c r="E12065" s="14" t="n">
        <v>1543.82</v>
      </c>
      <c r="F12065" s="14" t="n">
        <v>21846.55</v>
      </c>
      <c r="G12065" s="6" t="s">
        <v>2613</v>
      </c>
    </row>
    <row r="12066" customFormat="false" ht="15" hidden="false" customHeight="true" outlineLevel="0" collapsed="false">
      <c r="A12066" s="6" t="s">
        <v>14678</v>
      </c>
      <c r="B12066" s="6" t="s">
        <v>2423</v>
      </c>
      <c r="C12066" s="6" t="s">
        <v>124</v>
      </c>
      <c r="D12066" s="13" t="n">
        <v>45019</v>
      </c>
      <c r="E12066" s="14" t="n">
        <v>1534.81</v>
      </c>
      <c r="F12066" s="14" t="n">
        <v>23381.36</v>
      </c>
      <c r="G12066" s="6" t="s">
        <v>2613</v>
      </c>
    </row>
    <row r="12067" customFormat="false" ht="15" hidden="false" customHeight="true" outlineLevel="0" collapsed="false">
      <c r="A12067" s="6" t="s">
        <v>14679</v>
      </c>
      <c r="B12067" s="6" t="s">
        <v>2423</v>
      </c>
      <c r="C12067" s="6" t="s">
        <v>124</v>
      </c>
      <c r="D12067" s="13" t="n">
        <v>45026</v>
      </c>
      <c r="E12067" s="14" t="n">
        <v>1306.99</v>
      </c>
      <c r="F12067" s="14" t="n">
        <v>24688.35</v>
      </c>
      <c r="G12067" s="6" t="s">
        <v>2613</v>
      </c>
    </row>
    <row r="12068" customFormat="false" ht="15" hidden="false" customHeight="true" outlineLevel="0" collapsed="false">
      <c r="A12068" s="6" t="s">
        <v>14680</v>
      </c>
      <c r="B12068" s="6" t="s">
        <v>2423</v>
      </c>
      <c r="C12068" s="6" t="s">
        <v>124</v>
      </c>
      <c r="D12068" s="13" t="n">
        <v>45033</v>
      </c>
      <c r="E12068" s="14" t="n">
        <v>1082.34</v>
      </c>
      <c r="F12068" s="14" t="n">
        <v>25770.69</v>
      </c>
      <c r="G12068" s="6" t="s">
        <v>2613</v>
      </c>
    </row>
    <row r="12069" customFormat="false" ht="15" hidden="false" customHeight="true" outlineLevel="0" collapsed="false">
      <c r="A12069" s="6" t="s">
        <v>14681</v>
      </c>
      <c r="B12069" s="6" t="s">
        <v>2423</v>
      </c>
      <c r="C12069" s="6" t="s">
        <v>124</v>
      </c>
      <c r="D12069" s="13" t="n">
        <v>45040</v>
      </c>
      <c r="E12069" s="14" t="n">
        <v>1268.71</v>
      </c>
      <c r="F12069" s="14" t="n">
        <v>27039.4</v>
      </c>
      <c r="G12069" s="6" t="s">
        <v>2613</v>
      </c>
    </row>
    <row r="12070" customFormat="false" ht="15" hidden="false" customHeight="true" outlineLevel="0" collapsed="false">
      <c r="A12070" s="6" t="s">
        <v>14682</v>
      </c>
      <c r="B12070" s="6" t="s">
        <v>2423</v>
      </c>
      <c r="C12070" s="6" t="s">
        <v>124</v>
      </c>
      <c r="D12070" s="13" t="n">
        <v>45047</v>
      </c>
      <c r="E12070" s="14" t="n">
        <v>753.73</v>
      </c>
      <c r="F12070" s="14" t="n">
        <v>27793.13</v>
      </c>
      <c r="G12070" s="6" t="s">
        <v>2613</v>
      </c>
    </row>
    <row r="12071" customFormat="false" ht="15" hidden="false" customHeight="true" outlineLevel="0" collapsed="false">
      <c r="A12071" s="6" t="s">
        <v>14683</v>
      </c>
      <c r="B12071" s="6" t="s">
        <v>2423</v>
      </c>
      <c r="C12071" s="6" t="s">
        <v>124</v>
      </c>
      <c r="D12071" s="13" t="n">
        <v>45054</v>
      </c>
      <c r="E12071" s="14" t="n">
        <v>1295.98</v>
      </c>
      <c r="F12071" s="14" t="n">
        <v>29089.11</v>
      </c>
      <c r="G12071" s="6" t="s">
        <v>2613</v>
      </c>
    </row>
    <row r="12072" customFormat="false" ht="15" hidden="false" customHeight="true" outlineLevel="0" collapsed="false">
      <c r="A12072" s="6" t="s">
        <v>14684</v>
      </c>
      <c r="B12072" s="6" t="s">
        <v>2423</v>
      </c>
      <c r="C12072" s="6" t="s">
        <v>124</v>
      </c>
      <c r="D12072" s="13" t="n">
        <v>45061</v>
      </c>
      <c r="E12072" s="14" t="n">
        <v>867.98</v>
      </c>
      <c r="F12072" s="14" t="n">
        <v>29957.09</v>
      </c>
      <c r="G12072" s="6" t="s">
        <v>2613</v>
      </c>
    </row>
    <row r="12073" customFormat="false" ht="15" hidden="false" customHeight="true" outlineLevel="0" collapsed="false">
      <c r="A12073" s="6" t="s">
        <v>14685</v>
      </c>
      <c r="B12073" s="6" t="s">
        <v>2423</v>
      </c>
      <c r="C12073" s="6" t="s">
        <v>124</v>
      </c>
      <c r="D12073" s="13" t="n">
        <v>45068</v>
      </c>
      <c r="E12073" s="14" t="n">
        <v>1412.83</v>
      </c>
      <c r="F12073" s="14" t="n">
        <v>31369.92</v>
      </c>
      <c r="G12073" s="6" t="s">
        <v>2613</v>
      </c>
    </row>
    <row r="12074" customFormat="false" ht="15" hidden="false" customHeight="true" outlineLevel="0" collapsed="false">
      <c r="A12074" s="6" t="s">
        <v>14686</v>
      </c>
      <c r="B12074" s="6" t="s">
        <v>2423</v>
      </c>
      <c r="C12074" s="6" t="s">
        <v>124</v>
      </c>
      <c r="D12074" s="13" t="n">
        <v>45075</v>
      </c>
      <c r="E12074" s="14" t="n">
        <v>1091.05</v>
      </c>
      <c r="F12074" s="14" t="n">
        <v>32460.97</v>
      </c>
      <c r="G12074" s="6" t="s">
        <v>2613</v>
      </c>
    </row>
    <row r="12075" customFormat="false" ht="15" hidden="false" customHeight="true" outlineLevel="0" collapsed="false">
      <c r="A12075" s="6" t="s">
        <v>14687</v>
      </c>
      <c r="B12075" s="6" t="s">
        <v>2423</v>
      </c>
      <c r="C12075" s="6" t="s">
        <v>124</v>
      </c>
      <c r="D12075" s="13" t="n">
        <v>45082</v>
      </c>
      <c r="E12075" s="14" t="n">
        <v>1196.44</v>
      </c>
      <c r="F12075" s="14" t="n">
        <v>33657.41</v>
      </c>
      <c r="G12075" s="6" t="s">
        <v>2613</v>
      </c>
    </row>
    <row r="12076" customFormat="false" ht="15" hidden="false" customHeight="true" outlineLevel="0" collapsed="false">
      <c r="A12076" s="6" t="s">
        <v>14688</v>
      </c>
      <c r="B12076" s="6" t="s">
        <v>2423</v>
      </c>
      <c r="C12076" s="6" t="s">
        <v>124</v>
      </c>
      <c r="D12076" s="13" t="n">
        <v>45089</v>
      </c>
      <c r="E12076" s="14" t="n">
        <v>1034.01</v>
      </c>
      <c r="F12076" s="14" t="n">
        <v>34691.42</v>
      </c>
      <c r="G12076" s="6" t="s">
        <v>2613</v>
      </c>
    </row>
    <row r="12077" customFormat="false" ht="15" hidden="false" customHeight="true" outlineLevel="0" collapsed="false">
      <c r="A12077" s="6" t="s">
        <v>14689</v>
      </c>
      <c r="B12077" s="6" t="s">
        <v>2423</v>
      </c>
      <c r="C12077" s="6" t="s">
        <v>124</v>
      </c>
      <c r="D12077" s="13" t="n">
        <v>45096</v>
      </c>
      <c r="E12077" s="14" t="n">
        <v>1315.15</v>
      </c>
      <c r="F12077" s="14" t="n">
        <v>36006.57</v>
      </c>
      <c r="G12077" s="6" t="s">
        <v>2613</v>
      </c>
    </row>
    <row r="12078" customFormat="false" ht="15" hidden="false" customHeight="true" outlineLevel="0" collapsed="false">
      <c r="A12078" s="6" t="s">
        <v>14690</v>
      </c>
      <c r="B12078" s="6" t="s">
        <v>2423</v>
      </c>
      <c r="C12078" s="6" t="s">
        <v>124</v>
      </c>
      <c r="D12078" s="13" t="n">
        <v>45103</v>
      </c>
      <c r="E12078" s="14" t="n">
        <v>1580.64</v>
      </c>
      <c r="F12078" s="14" t="n">
        <v>37587.21</v>
      </c>
      <c r="G12078" s="6" t="s">
        <v>2613</v>
      </c>
    </row>
    <row r="12079" customFormat="false" ht="15" hidden="false" customHeight="true" outlineLevel="0" collapsed="false">
      <c r="A12079" s="6" t="s">
        <v>14691</v>
      </c>
      <c r="B12079" s="6" t="s">
        <v>2425</v>
      </c>
      <c r="C12079" s="6" t="s">
        <v>120</v>
      </c>
      <c r="D12079" s="13" t="n">
        <v>44954</v>
      </c>
      <c r="E12079" s="14" t="n">
        <v>1118.89</v>
      </c>
      <c r="F12079" s="14" t="n">
        <v>1118.89</v>
      </c>
      <c r="G12079" s="6" t="s">
        <v>2613</v>
      </c>
    </row>
    <row r="12080" customFormat="false" ht="15" hidden="false" customHeight="true" outlineLevel="0" collapsed="false">
      <c r="A12080" s="6" t="s">
        <v>14692</v>
      </c>
      <c r="B12080" s="6" t="s">
        <v>2425</v>
      </c>
      <c r="C12080" s="6" t="s">
        <v>120</v>
      </c>
      <c r="D12080" s="13" t="n">
        <v>44961</v>
      </c>
      <c r="E12080" s="14" t="n">
        <v>2043.95</v>
      </c>
      <c r="F12080" s="14" t="n">
        <v>3162.84</v>
      </c>
      <c r="G12080" s="6" t="s">
        <v>2613</v>
      </c>
    </row>
    <row r="12081" customFormat="false" ht="15" hidden="false" customHeight="true" outlineLevel="0" collapsed="false">
      <c r="A12081" s="6" t="s">
        <v>14693</v>
      </c>
      <c r="B12081" s="6" t="s">
        <v>2425</v>
      </c>
      <c r="C12081" s="6" t="s">
        <v>120</v>
      </c>
      <c r="D12081" s="13" t="n">
        <v>44968</v>
      </c>
      <c r="E12081" s="14" t="n">
        <v>2305.83</v>
      </c>
      <c r="F12081" s="14" t="n">
        <v>5468.67</v>
      </c>
      <c r="G12081" s="6" t="s">
        <v>2613</v>
      </c>
    </row>
    <row r="12082" customFormat="false" ht="15" hidden="false" customHeight="true" outlineLevel="0" collapsed="false">
      <c r="A12082" s="6" t="s">
        <v>14694</v>
      </c>
      <c r="B12082" s="6" t="s">
        <v>2425</v>
      </c>
      <c r="C12082" s="6" t="s">
        <v>120</v>
      </c>
      <c r="D12082" s="13" t="n">
        <v>44975</v>
      </c>
      <c r="E12082" s="14" t="n">
        <v>996.24</v>
      </c>
      <c r="F12082" s="14" t="n">
        <v>6464.91</v>
      </c>
      <c r="G12082" s="6" t="s">
        <v>2613</v>
      </c>
    </row>
    <row r="12083" customFormat="false" ht="15" hidden="false" customHeight="true" outlineLevel="0" collapsed="false">
      <c r="A12083" s="6" t="s">
        <v>14695</v>
      </c>
      <c r="B12083" s="6" t="s">
        <v>2425</v>
      </c>
      <c r="C12083" s="6" t="s">
        <v>120</v>
      </c>
      <c r="D12083" s="13" t="n">
        <v>44982</v>
      </c>
      <c r="E12083" s="14" t="n">
        <v>1306.24</v>
      </c>
      <c r="F12083" s="14" t="n">
        <v>7771.15</v>
      </c>
      <c r="G12083" s="6" t="s">
        <v>2613</v>
      </c>
    </row>
    <row r="12084" customFormat="false" ht="15" hidden="false" customHeight="true" outlineLevel="0" collapsed="false">
      <c r="A12084" s="6" t="s">
        <v>14696</v>
      </c>
      <c r="B12084" s="6" t="s">
        <v>2425</v>
      </c>
      <c r="C12084" s="6" t="s">
        <v>120</v>
      </c>
      <c r="D12084" s="13" t="n">
        <v>44989</v>
      </c>
      <c r="E12084" s="14" t="n">
        <v>1489.34</v>
      </c>
      <c r="F12084" s="14" t="n">
        <v>9260.49</v>
      </c>
      <c r="G12084" s="6" t="s">
        <v>2613</v>
      </c>
    </row>
    <row r="12085" customFormat="false" ht="15" hidden="false" customHeight="true" outlineLevel="0" collapsed="false">
      <c r="A12085" s="6" t="s">
        <v>14697</v>
      </c>
      <c r="B12085" s="6" t="s">
        <v>2425</v>
      </c>
      <c r="C12085" s="6" t="s">
        <v>120</v>
      </c>
      <c r="D12085" s="13" t="n">
        <v>44996</v>
      </c>
      <c r="E12085" s="14" t="n">
        <v>1549.94</v>
      </c>
      <c r="F12085" s="14" t="n">
        <v>10810.43</v>
      </c>
      <c r="G12085" s="6" t="s">
        <v>2623</v>
      </c>
    </row>
    <row r="12086" customFormat="false" ht="15" hidden="false" customHeight="true" outlineLevel="0" collapsed="false">
      <c r="A12086" s="6" t="s">
        <v>14698</v>
      </c>
      <c r="B12086" s="6" t="s">
        <v>2425</v>
      </c>
      <c r="C12086" s="6" t="s">
        <v>120</v>
      </c>
      <c r="D12086" s="13" t="n">
        <v>45003</v>
      </c>
      <c r="E12086" s="14" t="n">
        <v>1057.67</v>
      </c>
      <c r="F12086" s="14" t="n">
        <v>11868.1</v>
      </c>
      <c r="G12086" s="6" t="s">
        <v>2613</v>
      </c>
    </row>
    <row r="12087" customFormat="false" ht="15" hidden="false" customHeight="true" outlineLevel="0" collapsed="false">
      <c r="A12087" s="6" t="s">
        <v>14699</v>
      </c>
      <c r="B12087" s="6" t="s">
        <v>2425</v>
      </c>
      <c r="C12087" s="6" t="s">
        <v>120</v>
      </c>
      <c r="D12087" s="13" t="n">
        <v>45010</v>
      </c>
      <c r="E12087" s="14" t="n">
        <v>1034.15</v>
      </c>
      <c r="F12087" s="14" t="n">
        <v>12902.25</v>
      </c>
      <c r="G12087" s="6" t="s">
        <v>2613</v>
      </c>
    </row>
    <row r="12088" customFormat="false" ht="15" hidden="false" customHeight="true" outlineLevel="0" collapsed="false">
      <c r="A12088" s="6" t="s">
        <v>14700</v>
      </c>
      <c r="B12088" s="6" t="s">
        <v>2425</v>
      </c>
      <c r="C12088" s="6" t="s">
        <v>120</v>
      </c>
      <c r="D12088" s="13" t="n">
        <v>45017</v>
      </c>
      <c r="E12088" s="14" t="n">
        <v>1889.79</v>
      </c>
      <c r="F12088" s="14" t="n">
        <v>14792.04</v>
      </c>
      <c r="G12088" s="6" t="s">
        <v>2613</v>
      </c>
    </row>
    <row r="12089" customFormat="false" ht="15" hidden="false" customHeight="true" outlineLevel="0" collapsed="false">
      <c r="A12089" s="6" t="s">
        <v>14701</v>
      </c>
      <c r="B12089" s="6" t="s">
        <v>2425</v>
      </c>
      <c r="C12089" s="6" t="s">
        <v>120</v>
      </c>
      <c r="D12089" s="13" t="n">
        <v>45024</v>
      </c>
      <c r="E12089" s="14" t="n">
        <v>2209.46</v>
      </c>
      <c r="F12089" s="14" t="n">
        <v>17001.5</v>
      </c>
      <c r="G12089" s="6" t="s">
        <v>2613</v>
      </c>
    </row>
    <row r="12090" customFormat="false" ht="15" hidden="false" customHeight="true" outlineLevel="0" collapsed="false">
      <c r="A12090" s="6" t="s">
        <v>14702</v>
      </c>
      <c r="B12090" s="6" t="s">
        <v>2425</v>
      </c>
      <c r="C12090" s="6" t="s">
        <v>120</v>
      </c>
      <c r="D12090" s="13" t="n">
        <v>45031</v>
      </c>
      <c r="E12090" s="14" t="n">
        <v>1002.56</v>
      </c>
      <c r="F12090" s="14" t="n">
        <v>18004.06</v>
      </c>
      <c r="G12090" s="6" t="s">
        <v>2613</v>
      </c>
    </row>
    <row r="12091" customFormat="false" ht="15" hidden="false" customHeight="true" outlineLevel="0" collapsed="false">
      <c r="A12091" s="6" t="s">
        <v>14703</v>
      </c>
      <c r="B12091" s="6" t="s">
        <v>2425</v>
      </c>
      <c r="C12091" s="6" t="s">
        <v>120</v>
      </c>
      <c r="D12091" s="13" t="n">
        <v>45038</v>
      </c>
      <c r="E12091" s="14" t="n">
        <v>1213.42</v>
      </c>
      <c r="F12091" s="14" t="n">
        <v>19217.48</v>
      </c>
      <c r="G12091" s="6" t="s">
        <v>2613</v>
      </c>
    </row>
    <row r="12092" customFormat="false" ht="15" hidden="false" customHeight="true" outlineLevel="0" collapsed="false">
      <c r="A12092" s="6" t="s">
        <v>14704</v>
      </c>
      <c r="B12092" s="6" t="s">
        <v>2425</v>
      </c>
      <c r="C12092" s="6" t="s">
        <v>120</v>
      </c>
      <c r="D12092" s="13" t="n">
        <v>45045</v>
      </c>
      <c r="E12092" s="14" t="n">
        <v>2279.85</v>
      </c>
      <c r="F12092" s="14" t="n">
        <v>21497.33</v>
      </c>
      <c r="G12092" s="6" t="s">
        <v>2623</v>
      </c>
    </row>
    <row r="12093" customFormat="false" ht="15" hidden="false" customHeight="true" outlineLevel="0" collapsed="false">
      <c r="A12093" s="6" t="s">
        <v>14705</v>
      </c>
      <c r="B12093" s="6" t="s">
        <v>2425</v>
      </c>
      <c r="C12093" s="6" t="s">
        <v>120</v>
      </c>
      <c r="D12093" s="13" t="n">
        <v>45052</v>
      </c>
      <c r="E12093" s="14" t="n">
        <v>1743.96</v>
      </c>
      <c r="F12093" s="14" t="n">
        <v>23241.29</v>
      </c>
      <c r="G12093" s="6" t="s">
        <v>2623</v>
      </c>
    </row>
    <row r="12094" customFormat="false" ht="15" hidden="false" customHeight="true" outlineLevel="0" collapsed="false">
      <c r="A12094" s="6" t="s">
        <v>14706</v>
      </c>
      <c r="B12094" s="6" t="s">
        <v>2425</v>
      </c>
      <c r="C12094" s="6" t="s">
        <v>120</v>
      </c>
      <c r="D12094" s="13" t="n">
        <v>45059</v>
      </c>
      <c r="E12094" s="14" t="n">
        <v>1506.53</v>
      </c>
      <c r="F12094" s="14" t="n">
        <v>24747.82</v>
      </c>
      <c r="G12094" s="6" t="s">
        <v>2613</v>
      </c>
    </row>
    <row r="12095" customFormat="false" ht="15" hidden="false" customHeight="true" outlineLevel="0" collapsed="false">
      <c r="A12095" s="6" t="s">
        <v>14707</v>
      </c>
      <c r="B12095" s="6" t="s">
        <v>2425</v>
      </c>
      <c r="C12095" s="6" t="s">
        <v>120</v>
      </c>
      <c r="D12095" s="13" t="n">
        <v>45066</v>
      </c>
      <c r="E12095" s="14" t="n">
        <v>2000.16</v>
      </c>
      <c r="F12095" s="14" t="n">
        <v>26747.98</v>
      </c>
      <c r="G12095" s="6" t="s">
        <v>2613</v>
      </c>
    </row>
    <row r="12096" customFormat="false" ht="15" hidden="false" customHeight="true" outlineLevel="0" collapsed="false">
      <c r="A12096" s="6" t="s">
        <v>14708</v>
      </c>
      <c r="B12096" s="6" t="s">
        <v>2425</v>
      </c>
      <c r="C12096" s="6" t="s">
        <v>120</v>
      </c>
      <c r="D12096" s="13" t="n">
        <v>45073</v>
      </c>
      <c r="E12096" s="14" t="n">
        <v>2233.67</v>
      </c>
      <c r="F12096" s="14" t="n">
        <v>28981.65</v>
      </c>
      <c r="G12096" s="6" t="s">
        <v>2613</v>
      </c>
    </row>
    <row r="12097" customFormat="false" ht="15" hidden="false" customHeight="true" outlineLevel="0" collapsed="false">
      <c r="A12097" s="6" t="s">
        <v>14709</v>
      </c>
      <c r="B12097" s="6" t="s">
        <v>2425</v>
      </c>
      <c r="C12097" s="6" t="s">
        <v>120</v>
      </c>
      <c r="D12097" s="13" t="n">
        <v>45080</v>
      </c>
      <c r="E12097" s="14" t="n">
        <v>1495.14</v>
      </c>
      <c r="F12097" s="14" t="n">
        <v>30476.79</v>
      </c>
      <c r="G12097" s="6" t="s">
        <v>2613</v>
      </c>
    </row>
    <row r="12098" customFormat="false" ht="15" hidden="false" customHeight="true" outlineLevel="0" collapsed="false">
      <c r="A12098" s="6" t="s">
        <v>14710</v>
      </c>
      <c r="B12098" s="6" t="s">
        <v>2425</v>
      </c>
      <c r="C12098" s="6" t="s">
        <v>120</v>
      </c>
      <c r="D12098" s="13" t="n">
        <v>45087</v>
      </c>
      <c r="E12098" s="14" t="n">
        <v>2190.32</v>
      </c>
      <c r="F12098" s="14" t="n">
        <v>32667.11</v>
      </c>
      <c r="G12098" s="6" t="s">
        <v>2613</v>
      </c>
    </row>
    <row r="12099" customFormat="false" ht="15" hidden="false" customHeight="true" outlineLevel="0" collapsed="false">
      <c r="A12099" s="6" t="s">
        <v>14711</v>
      </c>
      <c r="B12099" s="6" t="s">
        <v>2425</v>
      </c>
      <c r="C12099" s="6" t="s">
        <v>120</v>
      </c>
      <c r="D12099" s="13" t="n">
        <v>45094</v>
      </c>
      <c r="E12099" s="14" t="n">
        <v>1245.09</v>
      </c>
      <c r="F12099" s="14" t="n">
        <v>33912.2</v>
      </c>
      <c r="G12099" s="6" t="s">
        <v>2623</v>
      </c>
    </row>
    <row r="12100" customFormat="false" ht="15" hidden="false" customHeight="true" outlineLevel="0" collapsed="false">
      <c r="A12100" s="6" t="s">
        <v>14712</v>
      </c>
      <c r="B12100" s="6" t="s">
        <v>2425</v>
      </c>
      <c r="C12100" s="6" t="s">
        <v>120</v>
      </c>
      <c r="D12100" s="13" t="n">
        <v>45101</v>
      </c>
      <c r="E12100" s="14" t="n">
        <v>1622.55</v>
      </c>
      <c r="F12100" s="14" t="n">
        <v>35534.75</v>
      </c>
      <c r="G12100" s="6" t="s">
        <v>2613</v>
      </c>
    </row>
    <row r="12101" customFormat="false" ht="15" hidden="false" customHeight="true" outlineLevel="0" collapsed="false">
      <c r="A12101" s="6" t="s">
        <v>14713</v>
      </c>
      <c r="B12101" s="6" t="s">
        <v>2425</v>
      </c>
      <c r="C12101" s="6" t="s">
        <v>120</v>
      </c>
      <c r="D12101" s="13" t="n">
        <v>45108</v>
      </c>
      <c r="E12101" s="14" t="n">
        <v>1153.43</v>
      </c>
      <c r="F12101" s="14" t="n">
        <v>36688.18</v>
      </c>
      <c r="G12101" s="6" t="s">
        <v>2613</v>
      </c>
    </row>
    <row r="12102" customFormat="false" ht="15" hidden="false" customHeight="true" outlineLevel="0" collapsed="false">
      <c r="A12102" s="6" t="s">
        <v>14714</v>
      </c>
      <c r="B12102" s="6" t="s">
        <v>2425</v>
      </c>
      <c r="C12102" s="6" t="s">
        <v>120</v>
      </c>
      <c r="D12102" s="13" t="n">
        <v>45115</v>
      </c>
      <c r="E12102" s="14" t="n">
        <v>1383.87</v>
      </c>
      <c r="F12102" s="14" t="n">
        <v>38072.05</v>
      </c>
      <c r="G12102" s="6" t="s">
        <v>2613</v>
      </c>
    </row>
    <row r="12103" customFormat="false" ht="15" hidden="false" customHeight="true" outlineLevel="0" collapsed="false">
      <c r="A12103" s="6" t="s">
        <v>14715</v>
      </c>
      <c r="B12103" s="6" t="s">
        <v>2425</v>
      </c>
      <c r="C12103" s="6" t="s">
        <v>120</v>
      </c>
      <c r="D12103" s="13" t="n">
        <v>45122</v>
      </c>
      <c r="E12103" s="14" t="n">
        <v>1970.95</v>
      </c>
      <c r="F12103" s="14" t="n">
        <v>40043</v>
      </c>
      <c r="G12103" s="6" t="s">
        <v>2623</v>
      </c>
    </row>
    <row r="12104" customFormat="false" ht="15" hidden="false" customHeight="true" outlineLevel="0" collapsed="false">
      <c r="A12104" s="6" t="s">
        <v>14716</v>
      </c>
      <c r="B12104" s="6" t="s">
        <v>2425</v>
      </c>
      <c r="C12104" s="6" t="s">
        <v>120</v>
      </c>
      <c r="D12104" s="13" t="n">
        <v>45129</v>
      </c>
      <c r="E12104" s="14" t="n">
        <v>2002.65</v>
      </c>
      <c r="F12104" s="14" t="n">
        <v>42045.65</v>
      </c>
      <c r="G12104" s="6" t="s">
        <v>2613</v>
      </c>
    </row>
    <row r="12105" customFormat="false" ht="15" hidden="false" customHeight="true" outlineLevel="0" collapsed="false">
      <c r="A12105" s="6" t="s">
        <v>14717</v>
      </c>
      <c r="B12105" s="6" t="s">
        <v>2425</v>
      </c>
      <c r="C12105" s="6" t="s">
        <v>120</v>
      </c>
      <c r="D12105" s="13" t="n">
        <v>45136</v>
      </c>
      <c r="E12105" s="14" t="n">
        <v>1836.38</v>
      </c>
      <c r="F12105" s="14" t="n">
        <v>43882.03</v>
      </c>
      <c r="G12105" s="6" t="s">
        <v>2613</v>
      </c>
    </row>
    <row r="12106" customFormat="false" ht="15" hidden="false" customHeight="true" outlineLevel="0" collapsed="false">
      <c r="A12106" s="6" t="s">
        <v>14718</v>
      </c>
      <c r="B12106" s="6" t="s">
        <v>2425</v>
      </c>
      <c r="C12106" s="6" t="s">
        <v>120</v>
      </c>
      <c r="D12106" s="13" t="n">
        <v>45143</v>
      </c>
      <c r="E12106" s="14" t="n">
        <v>1726.79</v>
      </c>
      <c r="F12106" s="14" t="n">
        <v>45608.82</v>
      </c>
      <c r="G12106" s="6" t="s">
        <v>2613</v>
      </c>
    </row>
    <row r="12107" customFormat="false" ht="15" hidden="false" customHeight="true" outlineLevel="0" collapsed="false">
      <c r="A12107" s="6" t="s">
        <v>14719</v>
      </c>
      <c r="B12107" s="6" t="s">
        <v>2425</v>
      </c>
      <c r="C12107" s="6" t="s">
        <v>120</v>
      </c>
      <c r="D12107" s="13" t="n">
        <v>45150</v>
      </c>
      <c r="E12107" s="14" t="n">
        <v>1932.92</v>
      </c>
      <c r="F12107" s="14" t="n">
        <v>47541.74</v>
      </c>
      <c r="G12107" s="6" t="s">
        <v>2623</v>
      </c>
    </row>
    <row r="12108" customFormat="false" ht="15" hidden="false" customHeight="true" outlineLevel="0" collapsed="false">
      <c r="A12108" s="6" t="s">
        <v>14720</v>
      </c>
      <c r="B12108" s="6" t="s">
        <v>2425</v>
      </c>
      <c r="C12108" s="6" t="s">
        <v>120</v>
      </c>
      <c r="D12108" s="13" t="n">
        <v>45157</v>
      </c>
      <c r="E12108" s="14" t="n">
        <v>2092.21</v>
      </c>
      <c r="F12108" s="14" t="n">
        <v>49633.95</v>
      </c>
      <c r="G12108" s="6" t="s">
        <v>2613</v>
      </c>
    </row>
    <row r="12109" customFormat="false" ht="15" hidden="false" customHeight="true" outlineLevel="0" collapsed="false">
      <c r="A12109" s="6" t="s">
        <v>14721</v>
      </c>
      <c r="B12109" s="6" t="s">
        <v>2425</v>
      </c>
      <c r="C12109" s="6" t="s">
        <v>120</v>
      </c>
      <c r="D12109" s="13" t="n">
        <v>45164</v>
      </c>
      <c r="E12109" s="14" t="n">
        <v>1540.07</v>
      </c>
      <c r="F12109" s="14" t="n">
        <v>51174.02</v>
      </c>
      <c r="G12109" s="6" t="s">
        <v>2613</v>
      </c>
    </row>
    <row r="12110" customFormat="false" ht="15" hidden="false" customHeight="true" outlineLevel="0" collapsed="false">
      <c r="A12110" s="6" t="s">
        <v>14722</v>
      </c>
      <c r="B12110" s="6" t="s">
        <v>2425</v>
      </c>
      <c r="C12110" s="6" t="s">
        <v>120</v>
      </c>
      <c r="D12110" s="13" t="n">
        <v>45171</v>
      </c>
      <c r="E12110" s="14" t="n">
        <v>2063.8</v>
      </c>
      <c r="F12110" s="14" t="n">
        <v>53237.82</v>
      </c>
      <c r="G12110" s="6" t="s">
        <v>2613</v>
      </c>
    </row>
    <row r="12111" customFormat="false" ht="15" hidden="false" customHeight="true" outlineLevel="0" collapsed="false">
      <c r="A12111" s="6" t="s">
        <v>14723</v>
      </c>
      <c r="B12111" s="6" t="s">
        <v>2425</v>
      </c>
      <c r="C12111" s="6" t="s">
        <v>120</v>
      </c>
      <c r="D12111" s="13" t="n">
        <v>45178</v>
      </c>
      <c r="E12111" s="14" t="n">
        <v>1201.39</v>
      </c>
      <c r="F12111" s="14" t="n">
        <v>54439.21</v>
      </c>
      <c r="G12111" s="6" t="s">
        <v>2613</v>
      </c>
    </row>
    <row r="12112" customFormat="false" ht="15" hidden="false" customHeight="true" outlineLevel="0" collapsed="false">
      <c r="A12112" s="6" t="s">
        <v>14724</v>
      </c>
      <c r="B12112" s="6" t="s">
        <v>2425</v>
      </c>
      <c r="C12112" s="6" t="s">
        <v>120</v>
      </c>
      <c r="D12112" s="13" t="n">
        <v>45185</v>
      </c>
      <c r="E12112" s="14" t="n">
        <v>1292.14</v>
      </c>
      <c r="F12112" s="14" t="n">
        <v>55731.35</v>
      </c>
      <c r="G12112" s="6" t="s">
        <v>2613</v>
      </c>
    </row>
    <row r="12113" customFormat="false" ht="15" hidden="false" customHeight="true" outlineLevel="0" collapsed="false">
      <c r="A12113" s="6" t="s">
        <v>14725</v>
      </c>
      <c r="B12113" s="6" t="s">
        <v>2425</v>
      </c>
      <c r="C12113" s="6" t="s">
        <v>120</v>
      </c>
      <c r="D12113" s="13" t="n">
        <v>45192</v>
      </c>
      <c r="E12113" s="14" t="n">
        <v>1108.35</v>
      </c>
      <c r="F12113" s="14" t="n">
        <v>56839.7</v>
      </c>
      <c r="G12113" s="6" t="s">
        <v>2613</v>
      </c>
    </row>
    <row r="12114" customFormat="false" ht="15" hidden="false" customHeight="true" outlineLevel="0" collapsed="false">
      <c r="A12114" s="6" t="s">
        <v>14726</v>
      </c>
      <c r="B12114" s="6" t="s">
        <v>2425</v>
      </c>
      <c r="C12114" s="6" t="s">
        <v>120</v>
      </c>
      <c r="D12114" s="13" t="n">
        <v>45199</v>
      </c>
      <c r="E12114" s="14" t="n">
        <v>1309.09</v>
      </c>
      <c r="F12114" s="14" t="n">
        <v>58148.79</v>
      </c>
      <c r="G12114" s="6" t="s">
        <v>2613</v>
      </c>
    </row>
    <row r="12115" customFormat="false" ht="15" hidden="false" customHeight="true" outlineLevel="0" collapsed="false">
      <c r="A12115" s="6" t="s">
        <v>14727</v>
      </c>
      <c r="B12115" s="6" t="s">
        <v>2425</v>
      </c>
      <c r="C12115" s="6" t="s">
        <v>120</v>
      </c>
      <c r="D12115" s="13" t="n">
        <v>45206</v>
      </c>
      <c r="E12115" s="14" t="n">
        <v>1138.01</v>
      </c>
      <c r="F12115" s="14" t="n">
        <v>59286.8</v>
      </c>
      <c r="G12115" s="6" t="s">
        <v>2613</v>
      </c>
    </row>
    <row r="12116" customFormat="false" ht="15" hidden="false" customHeight="true" outlineLevel="0" collapsed="false">
      <c r="A12116" s="6" t="s">
        <v>14728</v>
      </c>
      <c r="B12116" s="6" t="s">
        <v>2425</v>
      </c>
      <c r="C12116" s="6" t="s">
        <v>120</v>
      </c>
      <c r="D12116" s="13" t="n">
        <v>45213</v>
      </c>
      <c r="E12116" s="14" t="n">
        <v>1030.36</v>
      </c>
      <c r="F12116" s="14" t="n">
        <v>60317.16</v>
      </c>
      <c r="G12116" s="6" t="s">
        <v>2613</v>
      </c>
    </row>
    <row r="12117" customFormat="false" ht="15" hidden="false" customHeight="true" outlineLevel="0" collapsed="false">
      <c r="A12117" s="6" t="s">
        <v>14729</v>
      </c>
      <c r="B12117" s="6" t="s">
        <v>2425</v>
      </c>
      <c r="C12117" s="6" t="s">
        <v>120</v>
      </c>
      <c r="D12117" s="13" t="n">
        <v>45220</v>
      </c>
      <c r="E12117" s="14" t="n">
        <v>4234.87</v>
      </c>
      <c r="F12117" s="14" t="n">
        <v>64552.03</v>
      </c>
      <c r="G12117" s="6" t="s">
        <v>2613</v>
      </c>
    </row>
    <row r="12118" customFormat="false" ht="15" hidden="false" customHeight="true" outlineLevel="0" collapsed="false">
      <c r="A12118" s="6" t="s">
        <v>14730</v>
      </c>
      <c r="B12118" s="6" t="s">
        <v>2427</v>
      </c>
      <c r="C12118" s="6" t="s">
        <v>128</v>
      </c>
      <c r="D12118" s="13" t="n">
        <v>45481</v>
      </c>
      <c r="E12118" s="14" t="n">
        <v>5468.71</v>
      </c>
      <c r="F12118" s="14" t="n">
        <v>5468.71</v>
      </c>
      <c r="G12118" s="6" t="s">
        <v>2613</v>
      </c>
    </row>
    <row r="12119" customFormat="false" ht="15" hidden="false" customHeight="true" outlineLevel="0" collapsed="false">
      <c r="A12119" s="6" t="s">
        <v>14731</v>
      </c>
      <c r="B12119" s="6" t="s">
        <v>2427</v>
      </c>
      <c r="C12119" s="6" t="s">
        <v>128</v>
      </c>
      <c r="D12119" s="13" t="n">
        <v>45488</v>
      </c>
      <c r="E12119" s="14" t="n">
        <v>4319.96</v>
      </c>
      <c r="F12119" s="14" t="n">
        <v>9788.67</v>
      </c>
      <c r="G12119" s="6" t="s">
        <v>2623</v>
      </c>
    </row>
    <row r="12120" customFormat="false" ht="15" hidden="false" customHeight="true" outlineLevel="0" collapsed="false">
      <c r="A12120" s="6" t="s">
        <v>14732</v>
      </c>
      <c r="B12120" s="6" t="s">
        <v>2427</v>
      </c>
      <c r="C12120" s="6" t="s">
        <v>128</v>
      </c>
      <c r="D12120" s="13" t="n">
        <v>45495</v>
      </c>
      <c r="E12120" s="14" t="n">
        <v>4203.66</v>
      </c>
      <c r="F12120" s="14" t="n">
        <v>13992.33</v>
      </c>
      <c r="G12120" s="6" t="s">
        <v>2613</v>
      </c>
    </row>
    <row r="12121" customFormat="false" ht="15" hidden="false" customHeight="true" outlineLevel="0" collapsed="false">
      <c r="A12121" s="6" t="s">
        <v>14733</v>
      </c>
      <c r="B12121" s="6" t="s">
        <v>2427</v>
      </c>
      <c r="C12121" s="6" t="s">
        <v>128</v>
      </c>
      <c r="D12121" s="13" t="n">
        <v>45502</v>
      </c>
      <c r="E12121" s="14" t="n">
        <v>5658.42</v>
      </c>
      <c r="F12121" s="14" t="n">
        <v>19650.75</v>
      </c>
      <c r="G12121" s="6" t="s">
        <v>2613</v>
      </c>
    </row>
    <row r="12122" customFormat="false" ht="15" hidden="false" customHeight="true" outlineLevel="0" collapsed="false">
      <c r="A12122" s="6" t="s">
        <v>14734</v>
      </c>
      <c r="B12122" s="6" t="s">
        <v>2427</v>
      </c>
      <c r="C12122" s="6" t="s">
        <v>128</v>
      </c>
      <c r="D12122" s="13" t="n">
        <v>45509</v>
      </c>
      <c r="E12122" s="14" t="n">
        <v>4516.4</v>
      </c>
      <c r="F12122" s="14" t="n">
        <v>24167.15</v>
      </c>
      <c r="G12122" s="6" t="s">
        <v>2613</v>
      </c>
    </row>
    <row r="12123" customFormat="false" ht="15" hidden="false" customHeight="true" outlineLevel="0" collapsed="false">
      <c r="A12123" s="6" t="s">
        <v>14735</v>
      </c>
      <c r="B12123" s="6" t="s">
        <v>2429</v>
      </c>
      <c r="C12123" s="6" t="s">
        <v>128</v>
      </c>
      <c r="D12123" s="13" t="n">
        <v>45642</v>
      </c>
      <c r="E12123" s="14" t="n">
        <v>1971.32</v>
      </c>
      <c r="F12123" s="14" t="n">
        <v>1971.32</v>
      </c>
      <c r="G12123" s="6" t="s">
        <v>2613</v>
      </c>
    </row>
    <row r="12124" customFormat="false" ht="15" hidden="false" customHeight="true" outlineLevel="0" collapsed="false">
      <c r="A12124" s="6" t="s">
        <v>14736</v>
      </c>
      <c r="B12124" s="6" t="s">
        <v>2429</v>
      </c>
      <c r="C12124" s="6" t="s">
        <v>128</v>
      </c>
      <c r="D12124" s="13" t="n">
        <v>45649</v>
      </c>
      <c r="E12124" s="14" t="n">
        <v>2760.54</v>
      </c>
      <c r="F12124" s="14" t="n">
        <v>4731.86</v>
      </c>
      <c r="G12124" s="6" t="s">
        <v>2623</v>
      </c>
    </row>
    <row r="12125" customFormat="false" ht="15" hidden="false" customHeight="true" outlineLevel="0" collapsed="false">
      <c r="A12125" s="6" t="s">
        <v>14737</v>
      </c>
      <c r="B12125" s="6" t="s">
        <v>2429</v>
      </c>
      <c r="C12125" s="6" t="s">
        <v>128</v>
      </c>
      <c r="D12125" s="13" t="n">
        <v>45656</v>
      </c>
      <c r="E12125" s="14" t="n">
        <v>2947.11</v>
      </c>
      <c r="F12125" s="14" t="n">
        <v>7678.97</v>
      </c>
      <c r="G12125" s="6" t="s">
        <v>2613</v>
      </c>
    </row>
    <row r="12126" customFormat="false" ht="15" hidden="false" customHeight="true" outlineLevel="0" collapsed="false">
      <c r="A12126" s="6" t="s">
        <v>14738</v>
      </c>
      <c r="B12126" s="6" t="s">
        <v>2429</v>
      </c>
      <c r="C12126" s="6" t="s">
        <v>128</v>
      </c>
      <c r="D12126" s="13" t="n">
        <v>45663</v>
      </c>
      <c r="E12126" s="14" t="n">
        <v>2923.64</v>
      </c>
      <c r="F12126" s="14" t="n">
        <v>10602.61</v>
      </c>
      <c r="G12126" s="6" t="s">
        <v>2623</v>
      </c>
    </row>
    <row r="12127" customFormat="false" ht="15" hidden="false" customHeight="true" outlineLevel="0" collapsed="false">
      <c r="A12127" s="6" t="s">
        <v>14739</v>
      </c>
      <c r="B12127" s="6" t="s">
        <v>2429</v>
      </c>
      <c r="C12127" s="6" t="s">
        <v>128</v>
      </c>
      <c r="D12127" s="13" t="n">
        <v>45670</v>
      </c>
      <c r="E12127" s="14" t="n">
        <v>1726.43</v>
      </c>
      <c r="F12127" s="14" t="n">
        <v>12329.04</v>
      </c>
      <c r="G12127" s="6" t="s">
        <v>2613</v>
      </c>
    </row>
    <row r="12128" customFormat="false" ht="15" hidden="false" customHeight="true" outlineLevel="0" collapsed="false">
      <c r="A12128" s="6" t="s">
        <v>14740</v>
      </c>
      <c r="B12128" s="6" t="s">
        <v>2429</v>
      </c>
      <c r="C12128" s="6" t="s">
        <v>128</v>
      </c>
      <c r="D12128" s="13" t="n">
        <v>45677</v>
      </c>
      <c r="E12128" s="14" t="n">
        <v>1483.16</v>
      </c>
      <c r="F12128" s="14" t="n">
        <v>13812.2</v>
      </c>
      <c r="G12128" s="6" t="s">
        <v>2613</v>
      </c>
    </row>
    <row r="12129" customFormat="false" ht="15" hidden="false" customHeight="true" outlineLevel="0" collapsed="false">
      <c r="A12129" s="6" t="s">
        <v>14741</v>
      </c>
      <c r="B12129" s="6" t="s">
        <v>2429</v>
      </c>
      <c r="C12129" s="6" t="s">
        <v>128</v>
      </c>
      <c r="D12129" s="13" t="n">
        <v>45684</v>
      </c>
      <c r="E12129" s="14" t="n">
        <v>2664.8</v>
      </c>
      <c r="F12129" s="14" t="n">
        <v>16477</v>
      </c>
      <c r="G12129" s="6" t="s">
        <v>2613</v>
      </c>
    </row>
    <row r="12130" customFormat="false" ht="15" hidden="false" customHeight="true" outlineLevel="0" collapsed="false">
      <c r="A12130" s="6" t="s">
        <v>14742</v>
      </c>
      <c r="B12130" s="6" t="s">
        <v>2429</v>
      </c>
      <c r="C12130" s="6" t="s">
        <v>128</v>
      </c>
      <c r="D12130" s="13" t="n">
        <v>45691</v>
      </c>
      <c r="E12130" s="14" t="n">
        <v>1908.32</v>
      </c>
      <c r="F12130" s="14" t="n">
        <v>18385.32</v>
      </c>
      <c r="G12130" s="6" t="s">
        <v>2613</v>
      </c>
    </row>
    <row r="12131" customFormat="false" ht="15" hidden="false" customHeight="true" outlineLevel="0" collapsed="false">
      <c r="A12131" s="6" t="s">
        <v>14743</v>
      </c>
      <c r="B12131" s="6" t="s">
        <v>2429</v>
      </c>
      <c r="C12131" s="6" t="s">
        <v>128</v>
      </c>
      <c r="D12131" s="13" t="n">
        <v>45698</v>
      </c>
      <c r="E12131" s="14" t="n">
        <v>1997.73</v>
      </c>
      <c r="F12131" s="14" t="n">
        <v>20383.05</v>
      </c>
      <c r="G12131" s="6" t="s">
        <v>2613</v>
      </c>
    </row>
    <row r="12132" customFormat="false" ht="15" hidden="false" customHeight="true" outlineLevel="0" collapsed="false">
      <c r="A12132" s="6" t="s">
        <v>14744</v>
      </c>
      <c r="B12132" s="6" t="s">
        <v>2429</v>
      </c>
      <c r="C12132" s="6" t="s">
        <v>128</v>
      </c>
      <c r="D12132" s="13" t="n">
        <v>45705</v>
      </c>
      <c r="E12132" s="14" t="n">
        <v>2852.06</v>
      </c>
      <c r="F12132" s="14" t="n">
        <v>23235.11</v>
      </c>
      <c r="G12132" s="6" t="s">
        <v>2613</v>
      </c>
    </row>
    <row r="12133" customFormat="false" ht="15" hidden="false" customHeight="true" outlineLevel="0" collapsed="false">
      <c r="A12133" s="6" t="s">
        <v>14745</v>
      </c>
      <c r="B12133" s="6" t="s">
        <v>2429</v>
      </c>
      <c r="C12133" s="6" t="s">
        <v>128</v>
      </c>
      <c r="D12133" s="13" t="n">
        <v>45712</v>
      </c>
      <c r="E12133" s="14" t="n">
        <v>313.59</v>
      </c>
      <c r="F12133" s="14" t="n">
        <v>23548.7</v>
      </c>
      <c r="G12133" s="6" t="s">
        <v>2613</v>
      </c>
    </row>
    <row r="12134" customFormat="false" ht="15" hidden="false" customHeight="true" outlineLevel="0" collapsed="false">
      <c r="A12134" s="6" t="s">
        <v>14746</v>
      </c>
      <c r="B12134" s="6" t="s">
        <v>2431</v>
      </c>
      <c r="C12134" s="6" t="s">
        <v>131</v>
      </c>
      <c r="D12134" s="13" t="n">
        <v>44678</v>
      </c>
      <c r="E12134" s="14" t="n">
        <v>1080.57</v>
      </c>
      <c r="F12134" s="14" t="n">
        <v>1080.57</v>
      </c>
      <c r="G12134" s="6" t="s">
        <v>2613</v>
      </c>
    </row>
    <row r="12135" customFormat="false" ht="15" hidden="false" customHeight="true" outlineLevel="0" collapsed="false">
      <c r="A12135" s="6" t="s">
        <v>14747</v>
      </c>
      <c r="B12135" s="6" t="s">
        <v>2431</v>
      </c>
      <c r="C12135" s="6" t="s">
        <v>131</v>
      </c>
      <c r="D12135" s="13" t="n">
        <v>44685</v>
      </c>
      <c r="E12135" s="14" t="n">
        <v>523.19</v>
      </c>
      <c r="F12135" s="14" t="n">
        <v>1603.76</v>
      </c>
      <c r="G12135" s="6" t="s">
        <v>2613</v>
      </c>
    </row>
    <row r="12136" customFormat="false" ht="15" hidden="false" customHeight="true" outlineLevel="0" collapsed="false">
      <c r="A12136" s="6" t="s">
        <v>14748</v>
      </c>
      <c r="B12136" s="6" t="s">
        <v>2431</v>
      </c>
      <c r="C12136" s="6" t="s">
        <v>131</v>
      </c>
      <c r="D12136" s="13" t="n">
        <v>44692</v>
      </c>
      <c r="E12136" s="14" t="n">
        <v>1195.29</v>
      </c>
      <c r="F12136" s="14" t="n">
        <v>2799.05</v>
      </c>
      <c r="G12136" s="6" t="s">
        <v>2623</v>
      </c>
    </row>
    <row r="12137" customFormat="false" ht="15" hidden="false" customHeight="true" outlineLevel="0" collapsed="false">
      <c r="A12137" s="6" t="s">
        <v>14749</v>
      </c>
      <c r="B12137" s="6" t="s">
        <v>2431</v>
      </c>
      <c r="C12137" s="6" t="s">
        <v>131</v>
      </c>
      <c r="D12137" s="13" t="n">
        <v>44699</v>
      </c>
      <c r="E12137" s="14" t="n">
        <v>858.52</v>
      </c>
      <c r="F12137" s="14" t="n">
        <v>3657.57</v>
      </c>
      <c r="G12137" s="6" t="s">
        <v>2613</v>
      </c>
    </row>
    <row r="12138" customFormat="false" ht="15" hidden="false" customHeight="true" outlineLevel="0" collapsed="false">
      <c r="A12138" s="6" t="s">
        <v>14750</v>
      </c>
      <c r="B12138" s="6" t="s">
        <v>2431</v>
      </c>
      <c r="C12138" s="6" t="s">
        <v>131</v>
      </c>
      <c r="D12138" s="13" t="n">
        <v>44706</v>
      </c>
      <c r="E12138" s="14" t="n">
        <v>579.75</v>
      </c>
      <c r="F12138" s="14" t="n">
        <v>4237.32</v>
      </c>
      <c r="G12138" s="6" t="s">
        <v>2623</v>
      </c>
    </row>
    <row r="12139" customFormat="false" ht="15" hidden="false" customHeight="true" outlineLevel="0" collapsed="false">
      <c r="A12139" s="6" t="s">
        <v>14751</v>
      </c>
      <c r="B12139" s="6" t="s">
        <v>2431</v>
      </c>
      <c r="C12139" s="6" t="s">
        <v>131</v>
      </c>
      <c r="D12139" s="13" t="n">
        <v>44713</v>
      </c>
      <c r="E12139" s="14" t="n">
        <v>590.07</v>
      </c>
      <c r="F12139" s="14" t="n">
        <v>4827.39</v>
      </c>
      <c r="G12139" s="6" t="s">
        <v>2613</v>
      </c>
    </row>
    <row r="12140" customFormat="false" ht="15" hidden="false" customHeight="true" outlineLevel="0" collapsed="false">
      <c r="A12140" s="6" t="s">
        <v>14752</v>
      </c>
      <c r="B12140" s="6" t="s">
        <v>2431</v>
      </c>
      <c r="C12140" s="6" t="s">
        <v>131</v>
      </c>
      <c r="D12140" s="13" t="n">
        <v>44720</v>
      </c>
      <c r="E12140" s="14" t="n">
        <v>543.45</v>
      </c>
      <c r="F12140" s="14" t="n">
        <v>5370.84</v>
      </c>
      <c r="G12140" s="6" t="s">
        <v>2613</v>
      </c>
    </row>
    <row r="12141" customFormat="false" ht="15" hidden="false" customHeight="true" outlineLevel="0" collapsed="false">
      <c r="A12141" s="6" t="s">
        <v>14753</v>
      </c>
      <c r="B12141" s="6" t="s">
        <v>2431</v>
      </c>
      <c r="C12141" s="6" t="s">
        <v>131</v>
      </c>
      <c r="D12141" s="13" t="n">
        <v>44727</v>
      </c>
      <c r="E12141" s="14" t="n">
        <v>604.89</v>
      </c>
      <c r="F12141" s="14" t="n">
        <v>5975.73</v>
      </c>
      <c r="G12141" s="6" t="s">
        <v>2613</v>
      </c>
    </row>
    <row r="12142" customFormat="false" ht="15" hidden="false" customHeight="true" outlineLevel="0" collapsed="false">
      <c r="A12142" s="6" t="s">
        <v>14754</v>
      </c>
      <c r="B12142" s="6" t="s">
        <v>2431</v>
      </c>
      <c r="C12142" s="6" t="s">
        <v>131</v>
      </c>
      <c r="D12142" s="13" t="n">
        <v>44734</v>
      </c>
      <c r="E12142" s="14" t="n">
        <v>1794.97</v>
      </c>
      <c r="F12142" s="14" t="n">
        <v>7770.7</v>
      </c>
      <c r="G12142" s="6" t="s">
        <v>2613</v>
      </c>
    </row>
    <row r="12143" customFormat="false" ht="15" hidden="false" customHeight="true" outlineLevel="0" collapsed="false">
      <c r="A12143" s="6" t="s">
        <v>14755</v>
      </c>
      <c r="B12143" s="6" t="s">
        <v>2433</v>
      </c>
      <c r="C12143" s="6" t="s">
        <v>112</v>
      </c>
      <c r="D12143" s="13" t="n">
        <v>44631</v>
      </c>
      <c r="E12143" s="14" t="n">
        <v>851.52</v>
      </c>
      <c r="F12143" s="14" t="n">
        <v>851.52</v>
      </c>
      <c r="G12143" s="6" t="s">
        <v>2613</v>
      </c>
    </row>
    <row r="12144" customFormat="false" ht="15" hidden="false" customHeight="true" outlineLevel="0" collapsed="false">
      <c r="A12144" s="6" t="s">
        <v>14756</v>
      </c>
      <c r="B12144" s="6" t="s">
        <v>2433</v>
      </c>
      <c r="C12144" s="6" t="s">
        <v>112</v>
      </c>
      <c r="D12144" s="13" t="n">
        <v>44638</v>
      </c>
      <c r="E12144" s="14" t="n">
        <v>829.87</v>
      </c>
      <c r="F12144" s="14" t="n">
        <v>1681.39</v>
      </c>
      <c r="G12144" s="6" t="s">
        <v>2613</v>
      </c>
    </row>
    <row r="12145" customFormat="false" ht="15" hidden="false" customHeight="true" outlineLevel="0" collapsed="false">
      <c r="A12145" s="6" t="s">
        <v>14757</v>
      </c>
      <c r="B12145" s="6" t="s">
        <v>2433</v>
      </c>
      <c r="C12145" s="6" t="s">
        <v>112</v>
      </c>
      <c r="D12145" s="13" t="n">
        <v>44645</v>
      </c>
      <c r="E12145" s="14" t="n">
        <v>896.87</v>
      </c>
      <c r="F12145" s="14" t="n">
        <v>2578.26</v>
      </c>
      <c r="G12145" s="6" t="s">
        <v>2613</v>
      </c>
    </row>
    <row r="12146" customFormat="false" ht="15" hidden="false" customHeight="true" outlineLevel="0" collapsed="false">
      <c r="A12146" s="6" t="s">
        <v>14758</v>
      </c>
      <c r="B12146" s="6" t="s">
        <v>2433</v>
      </c>
      <c r="C12146" s="6" t="s">
        <v>112</v>
      </c>
      <c r="D12146" s="13" t="n">
        <v>44652</v>
      </c>
      <c r="E12146" s="14" t="n">
        <v>822.59</v>
      </c>
      <c r="F12146" s="14" t="n">
        <v>3400.85</v>
      </c>
      <c r="G12146" s="6" t="s">
        <v>2613</v>
      </c>
    </row>
    <row r="12147" customFormat="false" ht="15" hidden="false" customHeight="true" outlineLevel="0" collapsed="false">
      <c r="A12147" s="6" t="s">
        <v>14759</v>
      </c>
      <c r="B12147" s="6" t="s">
        <v>2433</v>
      </c>
      <c r="C12147" s="6" t="s">
        <v>112</v>
      </c>
      <c r="D12147" s="13" t="n">
        <v>44659</v>
      </c>
      <c r="E12147" s="14" t="n">
        <v>906.57</v>
      </c>
      <c r="F12147" s="14" t="n">
        <v>4307.42</v>
      </c>
      <c r="G12147" s="6" t="s">
        <v>2613</v>
      </c>
    </row>
    <row r="12148" customFormat="false" ht="15" hidden="false" customHeight="true" outlineLevel="0" collapsed="false">
      <c r="A12148" s="6" t="s">
        <v>14760</v>
      </c>
      <c r="B12148" s="6" t="s">
        <v>2433</v>
      </c>
      <c r="C12148" s="6" t="s">
        <v>112</v>
      </c>
      <c r="D12148" s="13" t="n">
        <v>44666</v>
      </c>
      <c r="E12148" s="14" t="n">
        <v>954.67</v>
      </c>
      <c r="F12148" s="14" t="n">
        <v>5262.09</v>
      </c>
      <c r="G12148" s="6" t="s">
        <v>2613</v>
      </c>
    </row>
    <row r="12149" customFormat="false" ht="15" hidden="false" customHeight="true" outlineLevel="0" collapsed="false">
      <c r="A12149" s="6" t="s">
        <v>14761</v>
      </c>
      <c r="B12149" s="6" t="s">
        <v>2433</v>
      </c>
      <c r="C12149" s="6" t="s">
        <v>112</v>
      </c>
      <c r="D12149" s="13" t="n">
        <v>44673</v>
      </c>
      <c r="E12149" s="14" t="n">
        <v>460.85</v>
      </c>
      <c r="F12149" s="14" t="n">
        <v>5722.94</v>
      </c>
      <c r="G12149" s="6" t="s">
        <v>2613</v>
      </c>
    </row>
    <row r="12150" customFormat="false" ht="15" hidden="false" customHeight="true" outlineLevel="0" collapsed="false">
      <c r="A12150" s="6" t="s">
        <v>14762</v>
      </c>
      <c r="B12150" s="6" t="s">
        <v>2433</v>
      </c>
      <c r="C12150" s="6" t="s">
        <v>112</v>
      </c>
      <c r="D12150" s="13" t="n">
        <v>44680</v>
      </c>
      <c r="E12150" s="14" t="n">
        <v>575.37</v>
      </c>
      <c r="F12150" s="14" t="n">
        <v>6298.31</v>
      </c>
      <c r="G12150" s="6" t="s">
        <v>2613</v>
      </c>
    </row>
    <row r="12151" customFormat="false" ht="15" hidden="false" customHeight="true" outlineLevel="0" collapsed="false">
      <c r="A12151" s="6" t="s">
        <v>14763</v>
      </c>
      <c r="B12151" s="6" t="s">
        <v>2433</v>
      </c>
      <c r="C12151" s="6" t="s">
        <v>112</v>
      </c>
      <c r="D12151" s="13" t="n">
        <v>44687</v>
      </c>
      <c r="E12151" s="14" t="n">
        <v>803.44</v>
      </c>
      <c r="F12151" s="14" t="n">
        <v>7101.75</v>
      </c>
      <c r="G12151" s="6" t="s">
        <v>2613</v>
      </c>
    </row>
    <row r="12152" customFormat="false" ht="15" hidden="false" customHeight="true" outlineLevel="0" collapsed="false">
      <c r="A12152" s="6" t="s">
        <v>14764</v>
      </c>
      <c r="B12152" s="6" t="s">
        <v>2433</v>
      </c>
      <c r="C12152" s="6" t="s">
        <v>112</v>
      </c>
      <c r="D12152" s="13" t="n">
        <v>44694</v>
      </c>
      <c r="E12152" s="14" t="n">
        <v>787.96</v>
      </c>
      <c r="F12152" s="14" t="n">
        <v>7889.71</v>
      </c>
      <c r="G12152" s="6" t="s">
        <v>2613</v>
      </c>
    </row>
    <row r="12153" customFormat="false" ht="15" hidden="false" customHeight="true" outlineLevel="0" collapsed="false">
      <c r="A12153" s="6" t="s">
        <v>14765</v>
      </c>
      <c r="B12153" s="6" t="s">
        <v>2433</v>
      </c>
      <c r="C12153" s="6" t="s">
        <v>112</v>
      </c>
      <c r="D12153" s="13" t="n">
        <v>44701</v>
      </c>
      <c r="E12153" s="14" t="n">
        <v>457.83</v>
      </c>
      <c r="F12153" s="14" t="n">
        <v>8347.54</v>
      </c>
      <c r="G12153" s="6" t="s">
        <v>2613</v>
      </c>
    </row>
    <row r="12154" customFormat="false" ht="15" hidden="false" customHeight="true" outlineLevel="0" collapsed="false">
      <c r="A12154" s="6" t="s">
        <v>14766</v>
      </c>
      <c r="B12154" s="6" t="s">
        <v>2433</v>
      </c>
      <c r="C12154" s="6" t="s">
        <v>112</v>
      </c>
      <c r="D12154" s="13" t="n">
        <v>44708</v>
      </c>
      <c r="E12154" s="14" t="n">
        <v>909.58</v>
      </c>
      <c r="F12154" s="14" t="n">
        <v>9257.12</v>
      </c>
      <c r="G12154" s="6" t="s">
        <v>2613</v>
      </c>
    </row>
    <row r="12155" customFormat="false" ht="15" hidden="false" customHeight="true" outlineLevel="0" collapsed="false">
      <c r="A12155" s="6" t="s">
        <v>14767</v>
      </c>
      <c r="B12155" s="6" t="s">
        <v>2433</v>
      </c>
      <c r="C12155" s="6" t="s">
        <v>112</v>
      </c>
      <c r="D12155" s="13" t="n">
        <v>44715</v>
      </c>
      <c r="E12155" s="14" t="n">
        <v>909.08</v>
      </c>
      <c r="F12155" s="14" t="n">
        <v>10166.2</v>
      </c>
      <c r="G12155" s="6" t="s">
        <v>2613</v>
      </c>
    </row>
    <row r="12156" customFormat="false" ht="15" hidden="false" customHeight="true" outlineLevel="0" collapsed="false">
      <c r="A12156" s="6" t="s">
        <v>14768</v>
      </c>
      <c r="B12156" s="6" t="s">
        <v>2433</v>
      </c>
      <c r="C12156" s="6" t="s">
        <v>112</v>
      </c>
      <c r="D12156" s="13" t="n">
        <v>44722</v>
      </c>
      <c r="E12156" s="14" t="n">
        <v>945.37</v>
      </c>
      <c r="F12156" s="14" t="n">
        <v>11111.57</v>
      </c>
      <c r="G12156" s="6" t="s">
        <v>2613</v>
      </c>
    </row>
    <row r="12157" customFormat="false" ht="15" hidden="false" customHeight="true" outlineLevel="0" collapsed="false">
      <c r="A12157" s="6" t="s">
        <v>14769</v>
      </c>
      <c r="B12157" s="6" t="s">
        <v>2433</v>
      </c>
      <c r="C12157" s="6" t="s">
        <v>112</v>
      </c>
      <c r="D12157" s="13" t="n">
        <v>44729</v>
      </c>
      <c r="E12157" s="14" t="n">
        <v>58.92</v>
      </c>
      <c r="F12157" s="14" t="n">
        <v>11170.49</v>
      </c>
      <c r="G12157" s="6" t="s">
        <v>2613</v>
      </c>
    </row>
    <row r="12158" customFormat="false" ht="15" hidden="false" customHeight="true" outlineLevel="0" collapsed="false">
      <c r="A12158" s="6" t="s">
        <v>14770</v>
      </c>
      <c r="B12158" s="6" t="s">
        <v>2435</v>
      </c>
      <c r="C12158" s="6" t="s">
        <v>116</v>
      </c>
      <c r="D12158" s="13" t="n">
        <v>45388</v>
      </c>
      <c r="E12158" s="14" t="n">
        <v>5577.02</v>
      </c>
      <c r="F12158" s="14" t="n">
        <v>5577.02</v>
      </c>
      <c r="G12158" s="6" t="s">
        <v>2613</v>
      </c>
    </row>
    <row r="12159" customFormat="false" ht="15" hidden="false" customHeight="true" outlineLevel="0" collapsed="false">
      <c r="A12159" s="6" t="s">
        <v>14771</v>
      </c>
      <c r="B12159" s="6" t="s">
        <v>2435</v>
      </c>
      <c r="C12159" s="6" t="s">
        <v>116</v>
      </c>
      <c r="D12159" s="13" t="n">
        <v>45395</v>
      </c>
      <c r="E12159" s="14" t="n">
        <v>3602.67</v>
      </c>
      <c r="F12159" s="14" t="n">
        <v>9179.69</v>
      </c>
      <c r="G12159" s="6" t="s">
        <v>2613</v>
      </c>
    </row>
    <row r="12160" customFormat="false" ht="15" hidden="false" customHeight="true" outlineLevel="0" collapsed="false">
      <c r="A12160" s="6" t="s">
        <v>14772</v>
      </c>
      <c r="B12160" s="6" t="s">
        <v>2435</v>
      </c>
      <c r="C12160" s="6" t="s">
        <v>116</v>
      </c>
      <c r="D12160" s="13" t="n">
        <v>45402</v>
      </c>
      <c r="E12160" s="14" t="n">
        <v>3570.62</v>
      </c>
      <c r="F12160" s="14" t="n">
        <v>12750.31</v>
      </c>
      <c r="G12160" s="6" t="s">
        <v>2613</v>
      </c>
    </row>
    <row r="12161" customFormat="false" ht="15" hidden="false" customHeight="true" outlineLevel="0" collapsed="false">
      <c r="A12161" s="6" t="s">
        <v>14773</v>
      </c>
      <c r="B12161" s="6" t="s">
        <v>2435</v>
      </c>
      <c r="C12161" s="6" t="s">
        <v>116</v>
      </c>
      <c r="D12161" s="13" t="n">
        <v>45409</v>
      </c>
      <c r="E12161" s="14" t="n">
        <v>3377.43</v>
      </c>
      <c r="F12161" s="14" t="n">
        <v>16127.74</v>
      </c>
      <c r="G12161" s="6" t="s">
        <v>2613</v>
      </c>
    </row>
    <row r="12162" customFormat="false" ht="15" hidden="false" customHeight="true" outlineLevel="0" collapsed="false">
      <c r="A12162" s="6" t="s">
        <v>14774</v>
      </c>
      <c r="B12162" s="6" t="s">
        <v>2435</v>
      </c>
      <c r="C12162" s="6" t="s">
        <v>116</v>
      </c>
      <c r="D12162" s="13" t="n">
        <v>45416</v>
      </c>
      <c r="E12162" s="14" t="n">
        <v>3744.47</v>
      </c>
      <c r="F12162" s="14" t="n">
        <v>19872.21</v>
      </c>
      <c r="G12162" s="6" t="s">
        <v>2613</v>
      </c>
    </row>
    <row r="12163" customFormat="false" ht="15" hidden="false" customHeight="true" outlineLevel="0" collapsed="false">
      <c r="A12163" s="6" t="s">
        <v>14775</v>
      </c>
      <c r="B12163" s="6" t="s">
        <v>2435</v>
      </c>
      <c r="C12163" s="6" t="s">
        <v>116</v>
      </c>
      <c r="D12163" s="13" t="n">
        <v>45423</v>
      </c>
      <c r="E12163" s="14" t="n">
        <v>5236.44</v>
      </c>
      <c r="F12163" s="14" t="n">
        <v>25108.65</v>
      </c>
      <c r="G12163" s="6" t="s">
        <v>2613</v>
      </c>
    </row>
    <row r="12164" customFormat="false" ht="15" hidden="false" customHeight="true" outlineLevel="0" collapsed="false">
      <c r="A12164" s="6" t="s">
        <v>14776</v>
      </c>
      <c r="B12164" s="6" t="s">
        <v>2435</v>
      </c>
      <c r="C12164" s="6" t="s">
        <v>116</v>
      </c>
      <c r="D12164" s="13" t="n">
        <v>45430</v>
      </c>
      <c r="E12164" s="14" t="n">
        <v>3855.33</v>
      </c>
      <c r="F12164" s="14" t="n">
        <v>28963.98</v>
      </c>
      <c r="G12164" s="6" t="s">
        <v>2613</v>
      </c>
    </row>
    <row r="12165" customFormat="false" ht="15" hidden="false" customHeight="true" outlineLevel="0" collapsed="false">
      <c r="A12165" s="6" t="s">
        <v>14777</v>
      </c>
      <c r="B12165" s="6" t="s">
        <v>2435</v>
      </c>
      <c r="C12165" s="6" t="s">
        <v>116</v>
      </c>
      <c r="D12165" s="13" t="n">
        <v>45437</v>
      </c>
      <c r="E12165" s="14" t="n">
        <v>4959.92</v>
      </c>
      <c r="F12165" s="14" t="n">
        <v>33923.9</v>
      </c>
      <c r="G12165" s="6" t="s">
        <v>2613</v>
      </c>
    </row>
    <row r="12166" customFormat="false" ht="15" hidden="false" customHeight="true" outlineLevel="0" collapsed="false">
      <c r="A12166" s="6" t="s">
        <v>14778</v>
      </c>
      <c r="B12166" s="6" t="s">
        <v>2435</v>
      </c>
      <c r="C12166" s="6" t="s">
        <v>116</v>
      </c>
      <c r="D12166" s="13" t="n">
        <v>45444</v>
      </c>
      <c r="E12166" s="14" t="n">
        <v>5568.12</v>
      </c>
      <c r="F12166" s="14" t="n">
        <v>39492.02</v>
      </c>
      <c r="G12166" s="6" t="s">
        <v>2613</v>
      </c>
    </row>
    <row r="12167" customFormat="false" ht="15" hidden="false" customHeight="true" outlineLevel="0" collapsed="false">
      <c r="A12167" s="6" t="s">
        <v>14779</v>
      </c>
      <c r="B12167" s="6" t="s">
        <v>2435</v>
      </c>
      <c r="C12167" s="6" t="s">
        <v>116</v>
      </c>
      <c r="D12167" s="13" t="n">
        <v>45451</v>
      </c>
      <c r="E12167" s="14" t="n">
        <v>3348.75</v>
      </c>
      <c r="F12167" s="14" t="n">
        <v>42840.77</v>
      </c>
      <c r="G12167" s="6" t="s">
        <v>2613</v>
      </c>
    </row>
    <row r="12168" customFormat="false" ht="15" hidden="false" customHeight="true" outlineLevel="0" collapsed="false">
      <c r="A12168" s="6" t="s">
        <v>14780</v>
      </c>
      <c r="B12168" s="6" t="s">
        <v>2435</v>
      </c>
      <c r="C12168" s="6" t="s">
        <v>116</v>
      </c>
      <c r="D12168" s="13" t="n">
        <v>45458</v>
      </c>
      <c r="E12168" s="14" t="n">
        <v>2492.84</v>
      </c>
      <c r="F12168" s="14" t="n">
        <v>45333.61</v>
      </c>
      <c r="G12168" s="6" t="s">
        <v>2623</v>
      </c>
    </row>
    <row r="12169" customFormat="false" ht="15" hidden="false" customHeight="true" outlineLevel="0" collapsed="false">
      <c r="A12169" s="6" t="s">
        <v>14781</v>
      </c>
      <c r="B12169" s="6" t="s">
        <v>2435</v>
      </c>
      <c r="C12169" s="6" t="s">
        <v>116</v>
      </c>
      <c r="D12169" s="13" t="n">
        <v>45465</v>
      </c>
      <c r="E12169" s="14" t="n">
        <v>3523.49</v>
      </c>
      <c r="F12169" s="14" t="n">
        <v>48857.1</v>
      </c>
      <c r="G12169" s="6" t="s">
        <v>2613</v>
      </c>
    </row>
    <row r="12170" customFormat="false" ht="15" hidden="false" customHeight="true" outlineLevel="0" collapsed="false">
      <c r="A12170" s="6" t="s">
        <v>14782</v>
      </c>
      <c r="B12170" s="6" t="s">
        <v>2435</v>
      </c>
      <c r="C12170" s="6" t="s">
        <v>116</v>
      </c>
      <c r="D12170" s="13" t="n">
        <v>45472</v>
      </c>
      <c r="E12170" s="14" t="n">
        <v>2800.86</v>
      </c>
      <c r="F12170" s="14" t="n">
        <v>51657.96</v>
      </c>
      <c r="G12170" s="6" t="s">
        <v>2613</v>
      </c>
    </row>
    <row r="12171" customFormat="false" ht="15" hidden="false" customHeight="true" outlineLevel="0" collapsed="false">
      <c r="A12171" s="6" t="s">
        <v>14783</v>
      </c>
      <c r="B12171" s="6" t="s">
        <v>2435</v>
      </c>
      <c r="C12171" s="6" t="s">
        <v>116</v>
      </c>
      <c r="D12171" s="13" t="n">
        <v>45479</v>
      </c>
      <c r="E12171" s="14" t="n">
        <v>3161.21</v>
      </c>
      <c r="F12171" s="14" t="n">
        <v>54819.17</v>
      </c>
      <c r="G12171" s="6" t="s">
        <v>2613</v>
      </c>
    </row>
    <row r="12172" customFormat="false" ht="15" hidden="false" customHeight="true" outlineLevel="0" collapsed="false">
      <c r="A12172" s="6" t="s">
        <v>14784</v>
      </c>
      <c r="B12172" s="6" t="s">
        <v>2435</v>
      </c>
      <c r="C12172" s="6" t="s">
        <v>116</v>
      </c>
      <c r="D12172" s="13" t="n">
        <v>45486</v>
      </c>
      <c r="E12172" s="14" t="n">
        <v>5508.67</v>
      </c>
      <c r="F12172" s="14" t="n">
        <v>60327.84</v>
      </c>
      <c r="G12172" s="6" t="s">
        <v>2613</v>
      </c>
    </row>
    <row r="12173" customFormat="false" ht="15" hidden="false" customHeight="true" outlineLevel="0" collapsed="false">
      <c r="A12173" s="6" t="s">
        <v>14785</v>
      </c>
      <c r="B12173" s="6" t="s">
        <v>2435</v>
      </c>
      <c r="C12173" s="6" t="s">
        <v>116</v>
      </c>
      <c r="D12173" s="13" t="n">
        <v>45493</v>
      </c>
      <c r="E12173" s="14" t="n">
        <v>5312.19</v>
      </c>
      <c r="F12173" s="14" t="n">
        <v>65640.03</v>
      </c>
      <c r="G12173" s="6" t="s">
        <v>2613</v>
      </c>
    </row>
    <row r="12174" customFormat="false" ht="15" hidden="false" customHeight="true" outlineLevel="0" collapsed="false">
      <c r="A12174" s="6" t="s">
        <v>14786</v>
      </c>
      <c r="B12174" s="6" t="s">
        <v>2437</v>
      </c>
      <c r="C12174" s="6" t="s">
        <v>131</v>
      </c>
      <c r="D12174" s="13" t="n">
        <v>45559</v>
      </c>
      <c r="E12174" s="14" t="n">
        <v>3491.02</v>
      </c>
      <c r="F12174" s="14" t="n">
        <v>3491.02</v>
      </c>
      <c r="G12174" s="6" t="s">
        <v>2613</v>
      </c>
    </row>
    <row r="12175" customFormat="false" ht="15" hidden="false" customHeight="true" outlineLevel="0" collapsed="false">
      <c r="A12175" s="6" t="s">
        <v>14787</v>
      </c>
      <c r="B12175" s="6" t="s">
        <v>2437</v>
      </c>
      <c r="C12175" s="6" t="s">
        <v>131</v>
      </c>
      <c r="D12175" s="13" t="n">
        <v>45566</v>
      </c>
      <c r="E12175" s="14" t="n">
        <v>3644.81</v>
      </c>
      <c r="F12175" s="14" t="n">
        <v>7135.83</v>
      </c>
      <c r="G12175" s="6" t="s">
        <v>2623</v>
      </c>
    </row>
    <row r="12176" customFormat="false" ht="15" hidden="false" customHeight="true" outlineLevel="0" collapsed="false">
      <c r="A12176" s="6" t="s">
        <v>14788</v>
      </c>
      <c r="B12176" s="6" t="s">
        <v>2437</v>
      </c>
      <c r="C12176" s="6" t="s">
        <v>131</v>
      </c>
      <c r="D12176" s="13" t="n">
        <v>45573</v>
      </c>
      <c r="E12176" s="14" t="n">
        <v>3181.78</v>
      </c>
      <c r="F12176" s="14" t="n">
        <v>10317.61</v>
      </c>
      <c r="G12176" s="6" t="s">
        <v>2613</v>
      </c>
    </row>
    <row r="12177" customFormat="false" ht="15" hidden="false" customHeight="true" outlineLevel="0" collapsed="false">
      <c r="A12177" s="6" t="s">
        <v>14789</v>
      </c>
      <c r="B12177" s="6" t="s">
        <v>2437</v>
      </c>
      <c r="C12177" s="6" t="s">
        <v>131</v>
      </c>
      <c r="D12177" s="13" t="n">
        <v>45580</v>
      </c>
      <c r="E12177" s="14" t="n">
        <v>2378.67</v>
      </c>
      <c r="F12177" s="14" t="n">
        <v>12696.28</v>
      </c>
      <c r="G12177" s="6" t="s">
        <v>2623</v>
      </c>
    </row>
    <row r="12178" customFormat="false" ht="15" hidden="false" customHeight="true" outlineLevel="0" collapsed="false">
      <c r="A12178" s="6" t="s">
        <v>14790</v>
      </c>
      <c r="B12178" s="6" t="s">
        <v>2437</v>
      </c>
      <c r="C12178" s="6" t="s">
        <v>131</v>
      </c>
      <c r="D12178" s="13" t="n">
        <v>45587</v>
      </c>
      <c r="E12178" s="14" t="n">
        <v>2084.34</v>
      </c>
      <c r="F12178" s="14" t="n">
        <v>14780.62</v>
      </c>
      <c r="G12178" s="6" t="s">
        <v>2613</v>
      </c>
    </row>
    <row r="12179" customFormat="false" ht="15" hidden="false" customHeight="true" outlineLevel="0" collapsed="false">
      <c r="A12179" s="6" t="s">
        <v>14791</v>
      </c>
      <c r="B12179" s="6" t="s">
        <v>2437</v>
      </c>
      <c r="C12179" s="6" t="s">
        <v>131</v>
      </c>
      <c r="D12179" s="13" t="n">
        <v>45594</v>
      </c>
      <c r="E12179" s="14" t="n">
        <v>3368.12</v>
      </c>
      <c r="F12179" s="14" t="n">
        <v>18148.74</v>
      </c>
      <c r="G12179" s="6" t="s">
        <v>2613</v>
      </c>
    </row>
    <row r="12180" customFormat="false" ht="15" hidden="false" customHeight="true" outlineLevel="0" collapsed="false">
      <c r="A12180" s="6" t="s">
        <v>14792</v>
      </c>
      <c r="B12180" s="6" t="s">
        <v>2437</v>
      </c>
      <c r="C12180" s="6" t="s">
        <v>131</v>
      </c>
      <c r="D12180" s="13" t="n">
        <v>45601</v>
      </c>
      <c r="E12180" s="14" t="n">
        <v>3379.63</v>
      </c>
      <c r="F12180" s="14" t="n">
        <v>21528.37</v>
      </c>
      <c r="G12180" s="6" t="s">
        <v>2613</v>
      </c>
    </row>
    <row r="12181" customFormat="false" ht="15" hidden="false" customHeight="true" outlineLevel="0" collapsed="false">
      <c r="A12181" s="6" t="s">
        <v>14793</v>
      </c>
      <c r="B12181" s="6" t="s">
        <v>2437</v>
      </c>
      <c r="C12181" s="6" t="s">
        <v>131</v>
      </c>
      <c r="D12181" s="13" t="n">
        <v>45608</v>
      </c>
      <c r="E12181" s="14" t="n">
        <v>3864.13</v>
      </c>
      <c r="F12181" s="14" t="n">
        <v>25392.5</v>
      </c>
      <c r="G12181" s="6" t="s">
        <v>2613</v>
      </c>
    </row>
    <row r="12182" customFormat="false" ht="15" hidden="false" customHeight="true" outlineLevel="0" collapsed="false">
      <c r="A12182" s="6" t="s">
        <v>14794</v>
      </c>
      <c r="B12182" s="6" t="s">
        <v>2437</v>
      </c>
      <c r="C12182" s="6" t="s">
        <v>131</v>
      </c>
      <c r="D12182" s="13" t="n">
        <v>45615</v>
      </c>
      <c r="E12182" s="14" t="n">
        <v>2476.12</v>
      </c>
      <c r="F12182" s="14" t="n">
        <v>27868.62</v>
      </c>
      <c r="G12182" s="6" t="s">
        <v>2613</v>
      </c>
    </row>
    <row r="12183" customFormat="false" ht="15" hidden="false" customHeight="true" outlineLevel="0" collapsed="false">
      <c r="A12183" s="6" t="s">
        <v>14795</v>
      </c>
      <c r="B12183" s="6" t="s">
        <v>2437</v>
      </c>
      <c r="C12183" s="6" t="s">
        <v>131</v>
      </c>
      <c r="D12183" s="13" t="n">
        <v>45622</v>
      </c>
      <c r="E12183" s="14" t="n">
        <v>4224.1</v>
      </c>
      <c r="F12183" s="14" t="n">
        <v>32092.72</v>
      </c>
      <c r="G12183" s="6" t="s">
        <v>2613</v>
      </c>
    </row>
    <row r="12184" customFormat="false" ht="15" hidden="false" customHeight="true" outlineLevel="0" collapsed="false">
      <c r="A12184" s="6" t="s">
        <v>14796</v>
      </c>
      <c r="B12184" s="6" t="s">
        <v>2437</v>
      </c>
      <c r="C12184" s="6" t="s">
        <v>131</v>
      </c>
      <c r="D12184" s="13" t="n">
        <v>45629</v>
      </c>
      <c r="E12184" s="14" t="n">
        <v>3909.73</v>
      </c>
      <c r="F12184" s="14" t="n">
        <v>36002.45</v>
      </c>
      <c r="G12184" s="6" t="s">
        <v>2613</v>
      </c>
    </row>
    <row r="12185" customFormat="false" ht="15" hidden="false" customHeight="true" outlineLevel="0" collapsed="false">
      <c r="A12185" s="6" t="s">
        <v>14797</v>
      </c>
      <c r="B12185" s="6" t="s">
        <v>2437</v>
      </c>
      <c r="C12185" s="6" t="s">
        <v>131</v>
      </c>
      <c r="D12185" s="13" t="n">
        <v>45636</v>
      </c>
      <c r="E12185" s="14" t="n">
        <v>2876.58</v>
      </c>
      <c r="F12185" s="14" t="n">
        <v>38879.03</v>
      </c>
      <c r="G12185" s="6" t="s">
        <v>2613</v>
      </c>
    </row>
    <row r="12186" customFormat="false" ht="15" hidden="false" customHeight="true" outlineLevel="0" collapsed="false">
      <c r="A12186" s="6" t="s">
        <v>14798</v>
      </c>
      <c r="B12186" s="6" t="s">
        <v>2437</v>
      </c>
      <c r="C12186" s="6" t="s">
        <v>131</v>
      </c>
      <c r="D12186" s="13" t="n">
        <v>45643</v>
      </c>
      <c r="E12186" s="14" t="n">
        <v>1909</v>
      </c>
      <c r="F12186" s="14" t="n">
        <v>40788.03</v>
      </c>
      <c r="G12186" s="6" t="s">
        <v>2613</v>
      </c>
    </row>
    <row r="12187" customFormat="false" ht="15" hidden="false" customHeight="true" outlineLevel="0" collapsed="false">
      <c r="A12187" s="6" t="s">
        <v>14799</v>
      </c>
      <c r="B12187" s="6" t="s">
        <v>2437</v>
      </c>
      <c r="C12187" s="6" t="s">
        <v>131</v>
      </c>
      <c r="D12187" s="13" t="n">
        <v>45650</v>
      </c>
      <c r="E12187" s="14" t="n">
        <v>3046.8</v>
      </c>
      <c r="F12187" s="14" t="n">
        <v>43834.83</v>
      </c>
      <c r="G12187" s="6" t="s">
        <v>2613</v>
      </c>
    </row>
    <row r="12188" customFormat="false" ht="15" hidden="false" customHeight="true" outlineLevel="0" collapsed="false">
      <c r="A12188" s="6" t="s">
        <v>14800</v>
      </c>
      <c r="B12188" s="6" t="s">
        <v>2437</v>
      </c>
      <c r="C12188" s="6" t="s">
        <v>131</v>
      </c>
      <c r="D12188" s="13" t="n">
        <v>45657</v>
      </c>
      <c r="E12188" s="14" t="n">
        <v>3859.96</v>
      </c>
      <c r="F12188" s="14" t="n">
        <v>47694.79</v>
      </c>
      <c r="G12188" s="6" t="s">
        <v>2613</v>
      </c>
    </row>
    <row r="12189" customFormat="false" ht="15" hidden="false" customHeight="true" outlineLevel="0" collapsed="false">
      <c r="A12189" s="6" t="s">
        <v>14801</v>
      </c>
      <c r="B12189" s="6" t="s">
        <v>2437</v>
      </c>
      <c r="C12189" s="6" t="s">
        <v>131</v>
      </c>
      <c r="D12189" s="13" t="n">
        <v>45664</v>
      </c>
      <c r="E12189" s="14" t="n">
        <v>2412.74</v>
      </c>
      <c r="F12189" s="14" t="n">
        <v>50107.53</v>
      </c>
      <c r="G12189" s="6" t="s">
        <v>2613</v>
      </c>
    </row>
    <row r="12190" customFormat="false" ht="15" hidden="false" customHeight="true" outlineLevel="0" collapsed="false">
      <c r="A12190" s="6" t="s">
        <v>14802</v>
      </c>
      <c r="B12190" s="6" t="s">
        <v>2437</v>
      </c>
      <c r="C12190" s="6" t="s">
        <v>131</v>
      </c>
      <c r="D12190" s="13" t="n">
        <v>45671</v>
      </c>
      <c r="E12190" s="14" t="n">
        <v>3873.67</v>
      </c>
      <c r="F12190" s="14" t="n">
        <v>53981.2</v>
      </c>
      <c r="G12190" s="6" t="s">
        <v>2613</v>
      </c>
    </row>
    <row r="12191" customFormat="false" ht="15" hidden="false" customHeight="true" outlineLevel="0" collapsed="false">
      <c r="A12191" s="6" t="s">
        <v>14803</v>
      </c>
      <c r="B12191" s="6" t="s">
        <v>2437</v>
      </c>
      <c r="C12191" s="6" t="s">
        <v>131</v>
      </c>
      <c r="D12191" s="13" t="n">
        <v>45678</v>
      </c>
      <c r="E12191" s="14" t="n">
        <v>3924.44</v>
      </c>
      <c r="F12191" s="14" t="n">
        <v>57905.64</v>
      </c>
      <c r="G12191" s="6" t="s">
        <v>2623</v>
      </c>
    </row>
    <row r="12192" customFormat="false" ht="15" hidden="false" customHeight="true" outlineLevel="0" collapsed="false">
      <c r="A12192" s="6" t="s">
        <v>14804</v>
      </c>
      <c r="B12192" s="6" t="s">
        <v>2437</v>
      </c>
      <c r="C12192" s="6" t="s">
        <v>131</v>
      </c>
      <c r="D12192" s="13" t="n">
        <v>45685</v>
      </c>
      <c r="E12192" s="14" t="n">
        <v>4218.65</v>
      </c>
      <c r="F12192" s="14" t="n">
        <v>62124.29</v>
      </c>
      <c r="G12192" s="6" t="s">
        <v>2613</v>
      </c>
    </row>
    <row r="12193" customFormat="false" ht="15" hidden="false" customHeight="true" outlineLevel="0" collapsed="false">
      <c r="A12193" s="6" t="s">
        <v>14805</v>
      </c>
      <c r="B12193" s="6" t="s">
        <v>2437</v>
      </c>
      <c r="C12193" s="6" t="s">
        <v>131</v>
      </c>
      <c r="D12193" s="13" t="n">
        <v>45692</v>
      </c>
      <c r="E12193" s="14" t="n">
        <v>2346.66</v>
      </c>
      <c r="F12193" s="14" t="n">
        <v>64470.95</v>
      </c>
      <c r="G12193" s="6" t="s">
        <v>2623</v>
      </c>
    </row>
    <row r="12194" customFormat="false" ht="15" hidden="false" customHeight="true" outlineLevel="0" collapsed="false">
      <c r="A12194" s="6" t="s">
        <v>14806</v>
      </c>
      <c r="B12194" s="6" t="s">
        <v>2437</v>
      </c>
      <c r="C12194" s="6" t="s">
        <v>131</v>
      </c>
      <c r="D12194" s="13" t="n">
        <v>45699</v>
      </c>
      <c r="E12194" s="14" t="n">
        <v>4044.52</v>
      </c>
      <c r="F12194" s="14" t="n">
        <v>68515.47</v>
      </c>
      <c r="G12194" s="6" t="s">
        <v>2613</v>
      </c>
    </row>
    <row r="12195" customFormat="false" ht="15" hidden="false" customHeight="true" outlineLevel="0" collapsed="false">
      <c r="A12195" s="6" t="s">
        <v>14807</v>
      </c>
      <c r="B12195" s="6" t="s">
        <v>2437</v>
      </c>
      <c r="C12195" s="6" t="s">
        <v>131</v>
      </c>
      <c r="D12195" s="13" t="n">
        <v>45706</v>
      </c>
      <c r="E12195" s="14" t="n">
        <v>2622.16</v>
      </c>
      <c r="F12195" s="14" t="n">
        <v>71137.63</v>
      </c>
      <c r="G12195" s="6" t="s">
        <v>2613</v>
      </c>
    </row>
    <row r="12196" customFormat="false" ht="15" hidden="false" customHeight="true" outlineLevel="0" collapsed="false">
      <c r="A12196" s="6" t="s">
        <v>14808</v>
      </c>
      <c r="B12196" s="6" t="s">
        <v>2437</v>
      </c>
      <c r="C12196" s="6" t="s">
        <v>131</v>
      </c>
      <c r="D12196" s="13" t="n">
        <v>45713</v>
      </c>
      <c r="E12196" s="14" t="n">
        <v>3217.97</v>
      </c>
      <c r="F12196" s="14" t="n">
        <v>74355.6</v>
      </c>
      <c r="G12196" s="6" t="s">
        <v>2613</v>
      </c>
    </row>
    <row r="12197" customFormat="false" ht="15" hidden="false" customHeight="true" outlineLevel="0" collapsed="false">
      <c r="A12197" s="6" t="s">
        <v>14809</v>
      </c>
      <c r="B12197" s="6" t="s">
        <v>2437</v>
      </c>
      <c r="C12197" s="6" t="s">
        <v>131</v>
      </c>
      <c r="D12197" s="13" t="n">
        <v>45720</v>
      </c>
      <c r="E12197" s="14" t="n">
        <v>3393.1</v>
      </c>
      <c r="F12197" s="14" t="n">
        <v>77748.7</v>
      </c>
      <c r="G12197" s="6" t="s">
        <v>2613</v>
      </c>
    </row>
    <row r="12198" customFormat="false" ht="15" hidden="false" customHeight="true" outlineLevel="0" collapsed="false">
      <c r="A12198" s="6" t="s">
        <v>14810</v>
      </c>
      <c r="B12198" s="6" t="s">
        <v>2437</v>
      </c>
      <c r="C12198" s="6" t="s">
        <v>131</v>
      </c>
      <c r="D12198" s="13" t="n">
        <v>45727</v>
      </c>
      <c r="E12198" s="14" t="n">
        <v>2697.59</v>
      </c>
      <c r="F12198" s="14" t="n">
        <v>80446.29</v>
      </c>
      <c r="G12198" s="6" t="s">
        <v>2613</v>
      </c>
    </row>
    <row r="12199" customFormat="false" ht="15" hidden="false" customHeight="true" outlineLevel="0" collapsed="false">
      <c r="A12199" s="6" t="s">
        <v>14811</v>
      </c>
      <c r="B12199" s="6" t="s">
        <v>2437</v>
      </c>
      <c r="C12199" s="6" t="s">
        <v>131</v>
      </c>
      <c r="D12199" s="13" t="n">
        <v>45734</v>
      </c>
      <c r="E12199" s="14" t="n">
        <v>2622.34</v>
      </c>
      <c r="F12199" s="14" t="n">
        <v>83068.63</v>
      </c>
      <c r="G12199" s="6" t="s">
        <v>2613</v>
      </c>
    </row>
    <row r="12200" customFormat="false" ht="15" hidden="false" customHeight="true" outlineLevel="0" collapsed="false">
      <c r="A12200" s="6" t="s">
        <v>14812</v>
      </c>
      <c r="B12200" s="6" t="s">
        <v>2437</v>
      </c>
      <c r="C12200" s="6" t="s">
        <v>131</v>
      </c>
      <c r="D12200" s="13" t="n">
        <v>45741</v>
      </c>
      <c r="E12200" s="14" t="n">
        <v>4108.15</v>
      </c>
      <c r="F12200" s="14" t="n">
        <v>87176.78</v>
      </c>
      <c r="G12200" s="6" t="s">
        <v>2623</v>
      </c>
    </row>
    <row r="12201" customFormat="false" ht="15" hidden="false" customHeight="true" outlineLevel="0" collapsed="false">
      <c r="A12201" s="6" t="s">
        <v>14813</v>
      </c>
      <c r="B12201" s="6" t="s">
        <v>2437</v>
      </c>
      <c r="C12201" s="6" t="s">
        <v>131</v>
      </c>
      <c r="D12201" s="13" t="n">
        <v>45748</v>
      </c>
      <c r="E12201" s="14" t="n">
        <v>2677.22</v>
      </c>
      <c r="F12201" s="14" t="n">
        <v>89854</v>
      </c>
      <c r="G12201" s="6" t="s">
        <v>2613</v>
      </c>
    </row>
    <row r="12202" customFormat="false" ht="15" hidden="false" customHeight="true" outlineLevel="0" collapsed="false">
      <c r="A12202" s="6" t="s">
        <v>14814</v>
      </c>
      <c r="B12202" s="6" t="s">
        <v>2437</v>
      </c>
      <c r="C12202" s="6" t="s">
        <v>131</v>
      </c>
      <c r="D12202" s="13" t="n">
        <v>45755</v>
      </c>
      <c r="E12202" s="14" t="n">
        <v>2197.95</v>
      </c>
      <c r="F12202" s="14" t="n">
        <v>92051.95</v>
      </c>
      <c r="G12202" s="6" t="s">
        <v>2623</v>
      </c>
    </row>
    <row r="12203" customFormat="false" ht="15" hidden="false" customHeight="true" outlineLevel="0" collapsed="false">
      <c r="A12203" s="6" t="s">
        <v>14815</v>
      </c>
      <c r="B12203" s="6" t="s">
        <v>2437</v>
      </c>
      <c r="C12203" s="6" t="s">
        <v>131</v>
      </c>
      <c r="D12203" s="13" t="n">
        <v>45762</v>
      </c>
      <c r="E12203" s="14" t="n">
        <v>2474.75</v>
      </c>
      <c r="F12203" s="14" t="n">
        <v>94526.7</v>
      </c>
      <c r="G12203" s="6" t="s">
        <v>2613</v>
      </c>
    </row>
    <row r="12204" customFormat="false" ht="15" hidden="false" customHeight="true" outlineLevel="0" collapsed="false">
      <c r="A12204" s="6" t="s">
        <v>14816</v>
      </c>
      <c r="B12204" s="6" t="s">
        <v>2437</v>
      </c>
      <c r="C12204" s="6" t="s">
        <v>131</v>
      </c>
      <c r="D12204" s="13" t="n">
        <v>45769</v>
      </c>
      <c r="E12204" s="14" t="n">
        <v>2775.71</v>
      </c>
      <c r="F12204" s="14" t="n">
        <v>97302.41</v>
      </c>
      <c r="G12204" s="6" t="s">
        <v>2613</v>
      </c>
    </row>
    <row r="12205" customFormat="false" ht="15" hidden="false" customHeight="true" outlineLevel="0" collapsed="false">
      <c r="A12205" s="6" t="s">
        <v>14817</v>
      </c>
      <c r="B12205" s="6" t="s">
        <v>2437</v>
      </c>
      <c r="C12205" s="6" t="s">
        <v>131</v>
      </c>
      <c r="D12205" s="13" t="n">
        <v>45776</v>
      </c>
      <c r="E12205" s="14" t="n">
        <v>42.25</v>
      </c>
      <c r="F12205" s="14" t="n">
        <v>97344.66</v>
      </c>
      <c r="G12205" s="6" t="s">
        <v>2613</v>
      </c>
    </row>
    <row r="12206" customFormat="false" ht="15" hidden="false" customHeight="true" outlineLevel="0" collapsed="false">
      <c r="A12206" s="6" t="s">
        <v>14818</v>
      </c>
      <c r="B12206" s="6" t="s">
        <v>2439</v>
      </c>
      <c r="C12206" s="6" t="s">
        <v>116</v>
      </c>
      <c r="D12206" s="13" t="n">
        <v>44641</v>
      </c>
      <c r="E12206" s="14" t="n">
        <v>7848.98</v>
      </c>
      <c r="F12206" s="14" t="n">
        <v>7848.98</v>
      </c>
      <c r="G12206" s="6" t="s">
        <v>2613</v>
      </c>
    </row>
    <row r="12207" customFormat="false" ht="15" hidden="false" customHeight="true" outlineLevel="0" collapsed="false">
      <c r="A12207" s="6" t="s">
        <v>14819</v>
      </c>
      <c r="B12207" s="6" t="s">
        <v>2439</v>
      </c>
      <c r="C12207" s="6" t="s">
        <v>116</v>
      </c>
      <c r="D12207" s="13" t="n">
        <v>44648</v>
      </c>
      <c r="E12207" s="14" t="n">
        <v>7886.74</v>
      </c>
      <c r="F12207" s="14" t="n">
        <v>15735.72</v>
      </c>
      <c r="G12207" s="6" t="s">
        <v>2613</v>
      </c>
    </row>
    <row r="12208" customFormat="false" ht="15" hidden="false" customHeight="true" outlineLevel="0" collapsed="false">
      <c r="A12208" s="6" t="s">
        <v>14820</v>
      </c>
      <c r="B12208" s="6" t="s">
        <v>2439</v>
      </c>
      <c r="C12208" s="6" t="s">
        <v>116</v>
      </c>
      <c r="D12208" s="13" t="n">
        <v>44655</v>
      </c>
      <c r="E12208" s="14" t="n">
        <v>6992.03</v>
      </c>
      <c r="F12208" s="14" t="n">
        <v>22727.75</v>
      </c>
      <c r="G12208" s="6" t="s">
        <v>2613</v>
      </c>
    </row>
    <row r="12209" customFormat="false" ht="15" hidden="false" customHeight="true" outlineLevel="0" collapsed="false">
      <c r="A12209" s="6" t="s">
        <v>14821</v>
      </c>
      <c r="B12209" s="6" t="s">
        <v>2439</v>
      </c>
      <c r="C12209" s="6" t="s">
        <v>116</v>
      </c>
      <c r="D12209" s="13" t="n">
        <v>44662</v>
      </c>
      <c r="E12209" s="14" t="n">
        <v>7706.71</v>
      </c>
      <c r="F12209" s="14" t="n">
        <v>30434.46</v>
      </c>
      <c r="G12209" s="6" t="s">
        <v>2613</v>
      </c>
    </row>
    <row r="12210" customFormat="false" ht="15" hidden="false" customHeight="true" outlineLevel="0" collapsed="false">
      <c r="A12210" s="6" t="s">
        <v>14822</v>
      </c>
      <c r="B12210" s="6" t="s">
        <v>2439</v>
      </c>
      <c r="C12210" s="6" t="s">
        <v>116</v>
      </c>
      <c r="D12210" s="13" t="n">
        <v>44669</v>
      </c>
      <c r="E12210" s="14" t="n">
        <v>5916.47</v>
      </c>
      <c r="F12210" s="14" t="n">
        <v>36350.93</v>
      </c>
      <c r="G12210" s="6" t="s">
        <v>2613</v>
      </c>
    </row>
    <row r="12211" customFormat="false" ht="15" hidden="false" customHeight="true" outlineLevel="0" collapsed="false">
      <c r="A12211" s="6" t="s">
        <v>14823</v>
      </c>
      <c r="B12211" s="6" t="s">
        <v>2439</v>
      </c>
      <c r="C12211" s="6" t="s">
        <v>116</v>
      </c>
      <c r="D12211" s="13" t="n">
        <v>44676</v>
      </c>
      <c r="E12211" s="14" t="n">
        <v>6973.41</v>
      </c>
      <c r="F12211" s="14" t="n">
        <v>43324.34</v>
      </c>
      <c r="G12211" s="6" t="s">
        <v>2613</v>
      </c>
    </row>
    <row r="12212" customFormat="false" ht="15" hidden="false" customHeight="true" outlineLevel="0" collapsed="false">
      <c r="A12212" s="6" t="s">
        <v>14824</v>
      </c>
      <c r="B12212" s="6" t="s">
        <v>2439</v>
      </c>
      <c r="C12212" s="6" t="s">
        <v>116</v>
      </c>
      <c r="D12212" s="13" t="n">
        <v>44683</v>
      </c>
      <c r="E12212" s="14" t="n">
        <v>5368.39</v>
      </c>
      <c r="F12212" s="14" t="n">
        <v>48692.73</v>
      </c>
      <c r="G12212" s="6" t="s">
        <v>2613</v>
      </c>
    </row>
    <row r="12213" customFormat="false" ht="15" hidden="false" customHeight="true" outlineLevel="0" collapsed="false">
      <c r="A12213" s="6" t="s">
        <v>14825</v>
      </c>
      <c r="B12213" s="6" t="s">
        <v>2439</v>
      </c>
      <c r="C12213" s="6" t="s">
        <v>116</v>
      </c>
      <c r="D12213" s="13" t="n">
        <v>44690</v>
      </c>
      <c r="E12213" s="14" t="n">
        <v>3938.12</v>
      </c>
      <c r="F12213" s="14" t="n">
        <v>52630.85</v>
      </c>
      <c r="G12213" s="6" t="s">
        <v>2613</v>
      </c>
    </row>
    <row r="12214" customFormat="false" ht="15" hidden="false" customHeight="true" outlineLevel="0" collapsed="false">
      <c r="A12214" s="6" t="s">
        <v>14826</v>
      </c>
      <c r="B12214" s="6" t="s">
        <v>2439</v>
      </c>
      <c r="C12214" s="6" t="s">
        <v>116</v>
      </c>
      <c r="D12214" s="13" t="n">
        <v>44697</v>
      </c>
      <c r="E12214" s="14" t="n">
        <v>172.87</v>
      </c>
      <c r="F12214" s="14" t="n">
        <v>52803.72</v>
      </c>
      <c r="G12214" s="6" t="s">
        <v>2613</v>
      </c>
    </row>
    <row r="12215" customFormat="false" ht="15" hidden="false" customHeight="true" outlineLevel="0" collapsed="false">
      <c r="A12215" s="6" t="s">
        <v>14827</v>
      </c>
      <c r="B12215" s="6" t="s">
        <v>2441</v>
      </c>
      <c r="C12215" s="6" t="s">
        <v>112</v>
      </c>
      <c r="D12215" s="13" t="n">
        <v>45589</v>
      </c>
      <c r="E12215" s="14" t="n">
        <v>1798.79</v>
      </c>
      <c r="F12215" s="14" t="n">
        <v>1798.79</v>
      </c>
      <c r="G12215" s="6" t="s">
        <v>2613</v>
      </c>
    </row>
    <row r="12216" customFormat="false" ht="15" hidden="false" customHeight="true" outlineLevel="0" collapsed="false">
      <c r="A12216" s="6" t="s">
        <v>14828</v>
      </c>
      <c r="B12216" s="6" t="s">
        <v>2441</v>
      </c>
      <c r="C12216" s="6" t="s">
        <v>112</v>
      </c>
      <c r="D12216" s="13" t="n">
        <v>45596</v>
      </c>
      <c r="E12216" s="14" t="n">
        <v>1585.17</v>
      </c>
      <c r="F12216" s="14" t="n">
        <v>3383.96</v>
      </c>
      <c r="G12216" s="6" t="s">
        <v>2613</v>
      </c>
    </row>
    <row r="12217" customFormat="false" ht="15" hidden="false" customHeight="true" outlineLevel="0" collapsed="false">
      <c r="A12217" s="6" t="s">
        <v>14829</v>
      </c>
      <c r="B12217" s="6" t="s">
        <v>2441</v>
      </c>
      <c r="C12217" s="6" t="s">
        <v>112</v>
      </c>
      <c r="D12217" s="13" t="n">
        <v>45603</v>
      </c>
      <c r="E12217" s="14" t="n">
        <v>1881.9</v>
      </c>
      <c r="F12217" s="14" t="n">
        <v>5265.86</v>
      </c>
      <c r="G12217" s="6" t="s">
        <v>2613</v>
      </c>
    </row>
    <row r="12218" customFormat="false" ht="15" hidden="false" customHeight="true" outlineLevel="0" collapsed="false">
      <c r="A12218" s="6" t="s">
        <v>14830</v>
      </c>
      <c r="B12218" s="6" t="s">
        <v>2441</v>
      </c>
      <c r="C12218" s="6" t="s">
        <v>112</v>
      </c>
      <c r="D12218" s="13" t="n">
        <v>45610</v>
      </c>
      <c r="E12218" s="14" t="n">
        <v>1467.15</v>
      </c>
      <c r="F12218" s="14" t="n">
        <v>6733.01</v>
      </c>
      <c r="G12218" s="6" t="s">
        <v>2613</v>
      </c>
    </row>
    <row r="12219" customFormat="false" ht="15" hidden="false" customHeight="true" outlineLevel="0" collapsed="false">
      <c r="A12219" s="6" t="s">
        <v>14831</v>
      </c>
      <c r="B12219" s="6" t="s">
        <v>2441</v>
      </c>
      <c r="C12219" s="6" t="s">
        <v>112</v>
      </c>
      <c r="D12219" s="13" t="n">
        <v>45617</v>
      </c>
      <c r="E12219" s="14" t="n">
        <v>1810.25</v>
      </c>
      <c r="F12219" s="14" t="n">
        <v>8543.26</v>
      </c>
      <c r="G12219" s="6" t="s">
        <v>2613</v>
      </c>
    </row>
    <row r="12220" customFormat="false" ht="15" hidden="false" customHeight="true" outlineLevel="0" collapsed="false">
      <c r="A12220" s="6" t="s">
        <v>14832</v>
      </c>
      <c r="B12220" s="6" t="s">
        <v>2441</v>
      </c>
      <c r="C12220" s="6" t="s">
        <v>112</v>
      </c>
      <c r="D12220" s="13" t="n">
        <v>45624</v>
      </c>
      <c r="E12220" s="14" t="n">
        <v>1263.04</v>
      </c>
      <c r="F12220" s="14" t="n">
        <v>9806.3</v>
      </c>
      <c r="G12220" s="6" t="s">
        <v>2613</v>
      </c>
    </row>
    <row r="12221" customFormat="false" ht="15" hidden="false" customHeight="true" outlineLevel="0" collapsed="false">
      <c r="A12221" s="6" t="s">
        <v>14833</v>
      </c>
      <c r="B12221" s="6" t="s">
        <v>2441</v>
      </c>
      <c r="C12221" s="6" t="s">
        <v>112</v>
      </c>
      <c r="D12221" s="13" t="n">
        <v>45631</v>
      </c>
      <c r="E12221" s="14" t="n">
        <v>1924.98</v>
      </c>
      <c r="F12221" s="14" t="n">
        <v>11731.28</v>
      </c>
      <c r="G12221" s="6" t="s">
        <v>2613</v>
      </c>
    </row>
    <row r="12222" customFormat="false" ht="15" hidden="false" customHeight="true" outlineLevel="0" collapsed="false">
      <c r="A12222" s="6" t="s">
        <v>14834</v>
      </c>
      <c r="B12222" s="6" t="s">
        <v>2441</v>
      </c>
      <c r="C12222" s="6" t="s">
        <v>112</v>
      </c>
      <c r="D12222" s="13" t="n">
        <v>45638</v>
      </c>
      <c r="E12222" s="14" t="n">
        <v>1821.6</v>
      </c>
      <c r="F12222" s="14" t="n">
        <v>13552.88</v>
      </c>
      <c r="G12222" s="6" t="s">
        <v>2613</v>
      </c>
    </row>
    <row r="12223" customFormat="false" ht="15" hidden="false" customHeight="true" outlineLevel="0" collapsed="false">
      <c r="A12223" s="6" t="s">
        <v>14835</v>
      </c>
      <c r="B12223" s="6" t="s">
        <v>2441</v>
      </c>
      <c r="C12223" s="6" t="s">
        <v>112</v>
      </c>
      <c r="D12223" s="13" t="n">
        <v>45645</v>
      </c>
      <c r="E12223" s="14" t="n">
        <v>498.88</v>
      </c>
      <c r="F12223" s="14" t="n">
        <v>14051.76</v>
      </c>
      <c r="G12223" s="6" t="s">
        <v>2613</v>
      </c>
    </row>
    <row r="12224" customFormat="false" ht="15" hidden="false" customHeight="true" outlineLevel="0" collapsed="false">
      <c r="A12224" s="6" t="s">
        <v>14836</v>
      </c>
      <c r="B12224" s="6" t="s">
        <v>2443</v>
      </c>
      <c r="C12224" s="6" t="s">
        <v>131</v>
      </c>
      <c r="D12224" s="13" t="n">
        <v>44948</v>
      </c>
      <c r="E12224" s="14" t="n">
        <v>7050.07</v>
      </c>
      <c r="F12224" s="14" t="n">
        <v>7050.07</v>
      </c>
      <c r="G12224" s="6" t="s">
        <v>2613</v>
      </c>
    </row>
    <row r="12225" customFormat="false" ht="15" hidden="false" customHeight="true" outlineLevel="0" collapsed="false">
      <c r="A12225" s="6" t="s">
        <v>14837</v>
      </c>
      <c r="B12225" s="6" t="s">
        <v>2443</v>
      </c>
      <c r="C12225" s="6" t="s">
        <v>131</v>
      </c>
      <c r="D12225" s="13" t="n">
        <v>44955</v>
      </c>
      <c r="E12225" s="14" t="n">
        <v>4794.37</v>
      </c>
      <c r="F12225" s="14" t="n">
        <v>11844.44</v>
      </c>
      <c r="G12225" s="6" t="s">
        <v>2613</v>
      </c>
    </row>
    <row r="12226" customFormat="false" ht="15" hidden="false" customHeight="true" outlineLevel="0" collapsed="false">
      <c r="A12226" s="6" t="s">
        <v>14838</v>
      </c>
      <c r="B12226" s="6" t="s">
        <v>2443</v>
      </c>
      <c r="C12226" s="6" t="s">
        <v>131</v>
      </c>
      <c r="D12226" s="13" t="n">
        <v>44962</v>
      </c>
      <c r="E12226" s="14" t="n">
        <v>3492.12</v>
      </c>
      <c r="F12226" s="14" t="n">
        <v>15336.56</v>
      </c>
      <c r="G12226" s="6" t="s">
        <v>2613</v>
      </c>
    </row>
    <row r="12227" customFormat="false" ht="15" hidden="false" customHeight="true" outlineLevel="0" collapsed="false">
      <c r="A12227" s="6" t="s">
        <v>14839</v>
      </c>
      <c r="B12227" s="6" t="s">
        <v>2443</v>
      </c>
      <c r="C12227" s="6" t="s">
        <v>131</v>
      </c>
      <c r="D12227" s="13" t="n">
        <v>44969</v>
      </c>
      <c r="E12227" s="14" t="n">
        <v>4442.69</v>
      </c>
      <c r="F12227" s="14" t="n">
        <v>19779.25</v>
      </c>
      <c r="G12227" s="6" t="s">
        <v>2613</v>
      </c>
    </row>
    <row r="12228" customFormat="false" ht="15" hidden="false" customHeight="true" outlineLevel="0" collapsed="false">
      <c r="A12228" s="6" t="s">
        <v>14840</v>
      </c>
      <c r="B12228" s="6" t="s">
        <v>2443</v>
      </c>
      <c r="C12228" s="6" t="s">
        <v>131</v>
      </c>
      <c r="D12228" s="13" t="n">
        <v>44976</v>
      </c>
      <c r="E12228" s="14" t="n">
        <v>7397.57</v>
      </c>
      <c r="F12228" s="14" t="n">
        <v>27176.82</v>
      </c>
      <c r="G12228" s="6" t="s">
        <v>2613</v>
      </c>
    </row>
    <row r="12229" customFormat="false" ht="15" hidden="false" customHeight="true" outlineLevel="0" collapsed="false">
      <c r="A12229" s="6" t="s">
        <v>14841</v>
      </c>
      <c r="B12229" s="6" t="s">
        <v>2443</v>
      </c>
      <c r="C12229" s="6" t="s">
        <v>131</v>
      </c>
      <c r="D12229" s="13" t="n">
        <v>44983</v>
      </c>
      <c r="E12229" s="14" t="n">
        <v>7478.25</v>
      </c>
      <c r="F12229" s="14" t="n">
        <v>34655.07</v>
      </c>
      <c r="G12229" s="6" t="s">
        <v>2613</v>
      </c>
    </row>
    <row r="12230" customFormat="false" ht="15" hidden="false" customHeight="true" outlineLevel="0" collapsed="false">
      <c r="A12230" s="6" t="s">
        <v>14842</v>
      </c>
      <c r="B12230" s="6" t="s">
        <v>2443</v>
      </c>
      <c r="C12230" s="6" t="s">
        <v>131</v>
      </c>
      <c r="D12230" s="13" t="n">
        <v>44990</v>
      </c>
      <c r="E12230" s="14" t="n">
        <v>7319.3</v>
      </c>
      <c r="F12230" s="14" t="n">
        <v>41974.37</v>
      </c>
      <c r="G12230" s="6" t="s">
        <v>2613</v>
      </c>
    </row>
    <row r="12231" customFormat="false" ht="15" hidden="false" customHeight="true" outlineLevel="0" collapsed="false">
      <c r="A12231" s="6" t="s">
        <v>14843</v>
      </c>
      <c r="B12231" s="6" t="s">
        <v>2443</v>
      </c>
      <c r="C12231" s="6" t="s">
        <v>131</v>
      </c>
      <c r="D12231" s="13" t="n">
        <v>44997</v>
      </c>
      <c r="E12231" s="14" t="n">
        <v>4180.35</v>
      </c>
      <c r="F12231" s="14" t="n">
        <v>46154.72</v>
      </c>
      <c r="G12231" s="6" t="s">
        <v>2613</v>
      </c>
    </row>
    <row r="12232" customFormat="false" ht="15" hidden="false" customHeight="true" outlineLevel="0" collapsed="false">
      <c r="A12232" s="6" t="s">
        <v>14844</v>
      </c>
      <c r="B12232" s="6" t="s">
        <v>2443</v>
      </c>
      <c r="C12232" s="6" t="s">
        <v>131</v>
      </c>
      <c r="D12232" s="13" t="n">
        <v>45004</v>
      </c>
      <c r="E12232" s="14" t="n">
        <v>2019.54</v>
      </c>
      <c r="F12232" s="14" t="n">
        <v>48174.26</v>
      </c>
      <c r="G12232" s="6" t="s">
        <v>2613</v>
      </c>
    </row>
    <row r="12233" customFormat="false" ht="15" hidden="false" customHeight="true" outlineLevel="0" collapsed="false">
      <c r="A12233" s="6" t="s">
        <v>14845</v>
      </c>
      <c r="B12233" s="6" t="s">
        <v>2445</v>
      </c>
      <c r="C12233" s="6" t="s">
        <v>112</v>
      </c>
      <c r="D12233" s="13" t="n">
        <v>45944</v>
      </c>
      <c r="E12233" s="14" t="n">
        <v>3480.19</v>
      </c>
      <c r="F12233" s="14" t="n">
        <v>3480.19</v>
      </c>
      <c r="G12233" s="6" t="s">
        <v>2613</v>
      </c>
    </row>
    <row r="12234" customFormat="false" ht="15" hidden="false" customHeight="true" outlineLevel="0" collapsed="false">
      <c r="A12234" s="6" t="s">
        <v>14846</v>
      </c>
      <c r="B12234" s="6" t="s">
        <v>2445</v>
      </c>
      <c r="C12234" s="6" t="s">
        <v>112</v>
      </c>
      <c r="D12234" s="13" t="n">
        <v>45951</v>
      </c>
      <c r="E12234" s="14" t="n">
        <v>2584.88</v>
      </c>
      <c r="F12234" s="14" t="n">
        <v>6065.07</v>
      </c>
      <c r="G12234" s="6" t="s">
        <v>2613</v>
      </c>
    </row>
    <row r="12235" customFormat="false" ht="15" hidden="false" customHeight="true" outlineLevel="0" collapsed="false">
      <c r="A12235" s="6" t="s">
        <v>14847</v>
      </c>
      <c r="B12235" s="6" t="s">
        <v>2445</v>
      </c>
      <c r="C12235" s="6" t="s">
        <v>112</v>
      </c>
      <c r="D12235" s="13" t="n">
        <v>45958</v>
      </c>
      <c r="E12235" s="14" t="n">
        <v>3958.96</v>
      </c>
      <c r="F12235" s="14" t="n">
        <v>10024.03</v>
      </c>
      <c r="G12235" s="6" t="s">
        <v>2613</v>
      </c>
    </row>
    <row r="12236" customFormat="false" ht="15" hidden="false" customHeight="true" outlineLevel="0" collapsed="false">
      <c r="A12236" s="6" t="s">
        <v>14848</v>
      </c>
      <c r="B12236" s="6" t="s">
        <v>2445</v>
      </c>
      <c r="C12236" s="6" t="s">
        <v>112</v>
      </c>
      <c r="D12236" s="13" t="n">
        <v>45965</v>
      </c>
      <c r="E12236" s="14" t="n">
        <v>4114.74</v>
      </c>
      <c r="F12236" s="14" t="n">
        <v>14138.77</v>
      </c>
      <c r="G12236" s="6" t="s">
        <v>2613</v>
      </c>
    </row>
    <row r="12237" customFormat="false" ht="15" hidden="false" customHeight="true" outlineLevel="0" collapsed="false">
      <c r="A12237" s="6" t="s">
        <v>14849</v>
      </c>
      <c r="B12237" s="6" t="s">
        <v>2445</v>
      </c>
      <c r="C12237" s="6" t="s">
        <v>112</v>
      </c>
      <c r="D12237" s="13" t="n">
        <v>45972</v>
      </c>
      <c r="E12237" s="14" t="n">
        <v>2523.62</v>
      </c>
      <c r="F12237" s="14" t="n">
        <v>16662.39</v>
      </c>
      <c r="G12237" s="6" t="s">
        <v>2613</v>
      </c>
    </row>
    <row r="12238" customFormat="false" ht="15" hidden="false" customHeight="true" outlineLevel="0" collapsed="false">
      <c r="A12238" s="6" t="s">
        <v>14850</v>
      </c>
      <c r="B12238" s="6" t="s">
        <v>2445</v>
      </c>
      <c r="C12238" s="6" t="s">
        <v>112</v>
      </c>
      <c r="D12238" s="13" t="n">
        <v>45979</v>
      </c>
      <c r="E12238" s="14" t="n">
        <v>2844.79</v>
      </c>
      <c r="F12238" s="14" t="n">
        <v>19507.18</v>
      </c>
      <c r="G12238" s="6" t="s">
        <v>2613</v>
      </c>
    </row>
    <row r="12239" customFormat="false" ht="15" hidden="false" customHeight="true" outlineLevel="0" collapsed="false">
      <c r="A12239" s="6" t="s">
        <v>14851</v>
      </c>
      <c r="B12239" s="6" t="s">
        <v>2445</v>
      </c>
      <c r="C12239" s="6" t="s">
        <v>112</v>
      </c>
      <c r="D12239" s="13" t="n">
        <v>45986</v>
      </c>
      <c r="E12239" s="14" t="n">
        <v>4053.47</v>
      </c>
      <c r="F12239" s="14" t="n">
        <v>23560.65</v>
      </c>
      <c r="G12239" s="6" t="s">
        <v>2613</v>
      </c>
    </row>
    <row r="12240" customFormat="false" ht="15" hidden="false" customHeight="true" outlineLevel="0" collapsed="false">
      <c r="A12240" s="6" t="s">
        <v>14852</v>
      </c>
      <c r="B12240" s="6" t="s">
        <v>2445</v>
      </c>
      <c r="C12240" s="6" t="s">
        <v>112</v>
      </c>
      <c r="D12240" s="13" t="n">
        <v>45993</v>
      </c>
      <c r="E12240" s="14" t="n">
        <v>2844.86</v>
      </c>
      <c r="F12240" s="14" t="n">
        <v>26405.51</v>
      </c>
      <c r="G12240" s="6" t="s">
        <v>2613</v>
      </c>
    </row>
    <row r="12241" customFormat="false" ht="15" hidden="false" customHeight="true" outlineLevel="0" collapsed="false">
      <c r="A12241" s="6" t="s">
        <v>14853</v>
      </c>
      <c r="B12241" s="6" t="s">
        <v>2445</v>
      </c>
      <c r="C12241" s="6" t="s">
        <v>112</v>
      </c>
      <c r="D12241" s="13" t="n">
        <v>46000</v>
      </c>
      <c r="E12241" s="14" t="n">
        <v>2463.94</v>
      </c>
      <c r="F12241" s="14" t="n">
        <v>28869.45</v>
      </c>
      <c r="G12241" s="6" t="s">
        <v>2613</v>
      </c>
    </row>
    <row r="12242" customFormat="false" ht="15" hidden="false" customHeight="true" outlineLevel="0" collapsed="false">
      <c r="A12242" s="6" t="s">
        <v>14854</v>
      </c>
      <c r="B12242" s="6" t="s">
        <v>2445</v>
      </c>
      <c r="C12242" s="6" t="s">
        <v>112</v>
      </c>
      <c r="D12242" s="13" t="n">
        <v>46007</v>
      </c>
      <c r="E12242" s="14" t="n">
        <v>2696.33</v>
      </c>
      <c r="F12242" s="14" t="n">
        <v>31565.78</v>
      </c>
      <c r="G12242" s="6" t="s">
        <v>2613</v>
      </c>
    </row>
    <row r="12243" customFormat="false" ht="15" hidden="false" customHeight="true" outlineLevel="0" collapsed="false">
      <c r="A12243" s="6" t="s">
        <v>14855</v>
      </c>
      <c r="B12243" s="6" t="s">
        <v>2445</v>
      </c>
      <c r="C12243" s="6" t="s">
        <v>112</v>
      </c>
      <c r="D12243" s="13" t="n">
        <v>46014</v>
      </c>
      <c r="E12243" s="14" t="n">
        <v>4101.46</v>
      </c>
      <c r="F12243" s="14" t="n">
        <v>35667.24</v>
      </c>
      <c r="G12243" s="6" t="s">
        <v>2613</v>
      </c>
    </row>
    <row r="12244" customFormat="false" ht="15" hidden="false" customHeight="true" outlineLevel="0" collapsed="false">
      <c r="A12244" s="6" t="s">
        <v>14856</v>
      </c>
      <c r="B12244" s="6" t="s">
        <v>2445</v>
      </c>
      <c r="C12244" s="6" t="s">
        <v>112</v>
      </c>
      <c r="D12244" s="13" t="n">
        <v>46021</v>
      </c>
      <c r="E12244" s="14" t="n">
        <v>2904.54</v>
      </c>
      <c r="F12244" s="14" t="n">
        <v>38571.78</v>
      </c>
      <c r="G12244" s="6" t="s">
        <v>2613</v>
      </c>
    </row>
    <row r="12245" customFormat="false" ht="15" hidden="false" customHeight="true" outlineLevel="0" collapsed="false">
      <c r="A12245" s="6" t="s">
        <v>14857</v>
      </c>
      <c r="B12245" s="6" t="s">
        <v>2445</v>
      </c>
      <c r="C12245" s="6" t="s">
        <v>112</v>
      </c>
      <c r="D12245" s="13" t="n">
        <v>46028</v>
      </c>
      <c r="E12245" s="14" t="n">
        <v>2958.56</v>
      </c>
      <c r="F12245" s="14" t="n">
        <v>41530.34</v>
      </c>
      <c r="G12245" s="6" t="s">
        <v>2613</v>
      </c>
    </row>
    <row r="12246" customFormat="false" ht="15" hidden="false" customHeight="true" outlineLevel="0" collapsed="false">
      <c r="A12246" s="6" t="s">
        <v>14858</v>
      </c>
      <c r="B12246" s="6" t="s">
        <v>2445</v>
      </c>
      <c r="C12246" s="6" t="s">
        <v>112</v>
      </c>
      <c r="D12246" s="13" t="n">
        <v>46035</v>
      </c>
      <c r="E12246" s="14" t="n">
        <v>4388.43</v>
      </c>
      <c r="F12246" s="14" t="n">
        <v>45918.77</v>
      </c>
      <c r="G12246" s="6" t="s">
        <v>2613</v>
      </c>
    </row>
    <row r="12247" customFormat="false" ht="15" hidden="false" customHeight="true" outlineLevel="0" collapsed="false">
      <c r="A12247" s="6" t="s">
        <v>14859</v>
      </c>
      <c r="B12247" s="6" t="s">
        <v>2445</v>
      </c>
      <c r="C12247" s="6" t="s">
        <v>112</v>
      </c>
      <c r="D12247" s="13" t="n">
        <v>46042</v>
      </c>
      <c r="E12247" s="14" t="n">
        <v>4260.48</v>
      </c>
      <c r="F12247" s="14" t="n">
        <v>50179.25</v>
      </c>
      <c r="G12247" s="6" t="s">
        <v>2613</v>
      </c>
    </row>
    <row r="12248" customFormat="false" ht="15" hidden="false" customHeight="true" outlineLevel="0" collapsed="false">
      <c r="A12248" s="6" t="s">
        <v>14860</v>
      </c>
      <c r="B12248" s="6" t="s">
        <v>2445</v>
      </c>
      <c r="C12248" s="6" t="s">
        <v>112</v>
      </c>
      <c r="D12248" s="13" t="n">
        <v>46049</v>
      </c>
      <c r="E12248" s="14" t="n">
        <v>2763.63</v>
      </c>
      <c r="F12248" s="14" t="n">
        <v>52942.88</v>
      </c>
      <c r="G12248" s="6" t="s">
        <v>2613</v>
      </c>
    </row>
    <row r="12249" customFormat="false" ht="15" hidden="false" customHeight="true" outlineLevel="0" collapsed="false">
      <c r="A12249" s="6" t="s">
        <v>14861</v>
      </c>
      <c r="B12249" s="6" t="s">
        <v>2445</v>
      </c>
      <c r="C12249" s="6" t="s">
        <v>112</v>
      </c>
      <c r="D12249" s="13" t="n">
        <v>46056</v>
      </c>
      <c r="E12249" s="14" t="n">
        <v>2519.14</v>
      </c>
      <c r="F12249" s="14" t="n">
        <v>55462.02</v>
      </c>
      <c r="G12249" s="6" t="s">
        <v>2613</v>
      </c>
    </row>
    <row r="12250" customFormat="false" ht="15" hidden="false" customHeight="true" outlineLevel="0" collapsed="false">
      <c r="A12250" s="6" t="s">
        <v>14862</v>
      </c>
      <c r="B12250" s="6" t="s">
        <v>2445</v>
      </c>
      <c r="C12250" s="6" t="s">
        <v>112</v>
      </c>
      <c r="D12250" s="13" t="n">
        <v>46063</v>
      </c>
      <c r="E12250" s="14" t="n">
        <v>2645.73</v>
      </c>
      <c r="F12250" s="14" t="n">
        <v>58107.75</v>
      </c>
      <c r="G12250" s="6" t="s">
        <v>2623</v>
      </c>
    </row>
    <row r="12251" customFormat="false" ht="15" hidden="false" customHeight="true" outlineLevel="0" collapsed="false">
      <c r="A12251" s="6" t="s">
        <v>14863</v>
      </c>
      <c r="B12251" s="6" t="s">
        <v>2445</v>
      </c>
      <c r="C12251" s="6" t="s">
        <v>112</v>
      </c>
      <c r="D12251" s="13" t="n">
        <v>46070</v>
      </c>
      <c r="E12251" s="14" t="n">
        <v>10183.02</v>
      </c>
      <c r="F12251" s="14" t="n">
        <v>68290.77</v>
      </c>
      <c r="G12251" s="6" t="s">
        <v>2613</v>
      </c>
    </row>
    <row r="12252" customFormat="false" ht="15" hidden="false" customHeight="true" outlineLevel="0" collapsed="false">
      <c r="A12252" s="6" t="s">
        <v>14864</v>
      </c>
      <c r="B12252" s="6" t="s">
        <v>2447</v>
      </c>
      <c r="C12252" s="6" t="s">
        <v>116</v>
      </c>
      <c r="D12252" s="13" t="n">
        <v>45647</v>
      </c>
      <c r="E12252" s="14" t="n">
        <v>7345.73</v>
      </c>
      <c r="F12252" s="14" t="n">
        <v>7345.73</v>
      </c>
      <c r="G12252" s="6" t="s">
        <v>2613</v>
      </c>
    </row>
    <row r="12253" customFormat="false" ht="15" hidden="false" customHeight="true" outlineLevel="0" collapsed="false">
      <c r="A12253" s="6" t="s">
        <v>14865</v>
      </c>
      <c r="B12253" s="6" t="s">
        <v>2447</v>
      </c>
      <c r="C12253" s="6" t="s">
        <v>116</v>
      </c>
      <c r="D12253" s="13" t="n">
        <v>45654</v>
      </c>
      <c r="E12253" s="14" t="n">
        <v>7593.46</v>
      </c>
      <c r="F12253" s="14" t="n">
        <v>14939.19</v>
      </c>
      <c r="G12253" s="6" t="s">
        <v>2613</v>
      </c>
    </row>
    <row r="12254" customFormat="false" ht="15" hidden="false" customHeight="true" outlineLevel="0" collapsed="false">
      <c r="A12254" s="6" t="s">
        <v>14866</v>
      </c>
      <c r="B12254" s="6" t="s">
        <v>2447</v>
      </c>
      <c r="C12254" s="6" t="s">
        <v>116</v>
      </c>
      <c r="D12254" s="13" t="n">
        <v>45661</v>
      </c>
      <c r="E12254" s="14" t="n">
        <v>6021.73</v>
      </c>
      <c r="F12254" s="14" t="n">
        <v>20960.92</v>
      </c>
      <c r="G12254" s="6" t="s">
        <v>2613</v>
      </c>
    </row>
    <row r="12255" customFormat="false" ht="15" hidden="false" customHeight="true" outlineLevel="0" collapsed="false">
      <c r="A12255" s="6" t="s">
        <v>14867</v>
      </c>
      <c r="B12255" s="6" t="s">
        <v>2447</v>
      </c>
      <c r="C12255" s="6" t="s">
        <v>116</v>
      </c>
      <c r="D12255" s="13" t="n">
        <v>45668</v>
      </c>
      <c r="E12255" s="14" t="n">
        <v>7250.91</v>
      </c>
      <c r="F12255" s="14" t="n">
        <v>28211.83</v>
      </c>
      <c r="G12255" s="6" t="s">
        <v>2613</v>
      </c>
    </row>
    <row r="12256" customFormat="false" ht="15" hidden="false" customHeight="true" outlineLevel="0" collapsed="false">
      <c r="A12256" s="6" t="s">
        <v>14868</v>
      </c>
      <c r="B12256" s="6" t="s">
        <v>2447</v>
      </c>
      <c r="C12256" s="6" t="s">
        <v>116</v>
      </c>
      <c r="D12256" s="13" t="n">
        <v>45675</v>
      </c>
      <c r="E12256" s="14" t="n">
        <v>8051.44</v>
      </c>
      <c r="F12256" s="14" t="n">
        <v>36263.27</v>
      </c>
      <c r="G12256" s="6" t="s">
        <v>2613</v>
      </c>
    </row>
    <row r="12257" customFormat="false" ht="15" hidden="false" customHeight="true" outlineLevel="0" collapsed="false">
      <c r="A12257" s="6" t="s">
        <v>14869</v>
      </c>
      <c r="B12257" s="6" t="s">
        <v>2447</v>
      </c>
      <c r="C12257" s="6" t="s">
        <v>116</v>
      </c>
      <c r="D12257" s="13" t="n">
        <v>45682</v>
      </c>
      <c r="E12257" s="14" t="n">
        <v>10048.66</v>
      </c>
      <c r="F12257" s="14" t="n">
        <v>46311.93</v>
      </c>
      <c r="G12257" s="6" t="s">
        <v>2613</v>
      </c>
    </row>
    <row r="12258" customFormat="false" ht="15" hidden="false" customHeight="true" outlineLevel="0" collapsed="false">
      <c r="A12258" s="6" t="s">
        <v>14870</v>
      </c>
      <c r="B12258" s="6" t="s">
        <v>2449</v>
      </c>
      <c r="C12258" s="6" t="s">
        <v>128</v>
      </c>
      <c r="D12258" s="13" t="n">
        <v>45186</v>
      </c>
      <c r="E12258" s="14" t="n">
        <v>4125.12</v>
      </c>
      <c r="F12258" s="14" t="n">
        <v>4125.12</v>
      </c>
      <c r="G12258" s="6" t="s">
        <v>2613</v>
      </c>
    </row>
    <row r="12259" customFormat="false" ht="15" hidden="false" customHeight="true" outlineLevel="0" collapsed="false">
      <c r="A12259" s="6" t="s">
        <v>14871</v>
      </c>
      <c r="B12259" s="6" t="s">
        <v>2449</v>
      </c>
      <c r="C12259" s="6" t="s">
        <v>128</v>
      </c>
      <c r="D12259" s="13" t="n">
        <v>45193</v>
      </c>
      <c r="E12259" s="14" t="n">
        <v>3139.59</v>
      </c>
      <c r="F12259" s="14" t="n">
        <v>7264.71</v>
      </c>
      <c r="G12259" s="6" t="s">
        <v>2623</v>
      </c>
    </row>
    <row r="12260" customFormat="false" ht="15" hidden="false" customHeight="true" outlineLevel="0" collapsed="false">
      <c r="A12260" s="6" t="s">
        <v>14872</v>
      </c>
      <c r="B12260" s="6" t="s">
        <v>2449</v>
      </c>
      <c r="C12260" s="6" t="s">
        <v>128</v>
      </c>
      <c r="D12260" s="13" t="n">
        <v>45200</v>
      </c>
      <c r="E12260" s="14" t="n">
        <v>3763.22</v>
      </c>
      <c r="F12260" s="14" t="n">
        <v>11027.93</v>
      </c>
      <c r="G12260" s="6" t="s">
        <v>2613</v>
      </c>
    </row>
    <row r="12261" customFormat="false" ht="15" hidden="false" customHeight="true" outlineLevel="0" collapsed="false">
      <c r="A12261" s="6" t="s">
        <v>14873</v>
      </c>
      <c r="B12261" s="6" t="s">
        <v>2449</v>
      </c>
      <c r="C12261" s="6" t="s">
        <v>128</v>
      </c>
      <c r="D12261" s="13" t="n">
        <v>45207</v>
      </c>
      <c r="E12261" s="14" t="n">
        <v>4411.59</v>
      </c>
      <c r="F12261" s="14" t="n">
        <v>15439.52</v>
      </c>
      <c r="G12261" s="6" t="s">
        <v>2613</v>
      </c>
    </row>
    <row r="12262" customFormat="false" ht="15" hidden="false" customHeight="true" outlineLevel="0" collapsed="false">
      <c r="A12262" s="6" t="s">
        <v>14874</v>
      </c>
      <c r="B12262" s="6" t="s">
        <v>2449</v>
      </c>
      <c r="C12262" s="6" t="s">
        <v>128</v>
      </c>
      <c r="D12262" s="13" t="n">
        <v>45214</v>
      </c>
      <c r="E12262" s="14" t="n">
        <v>4896.62</v>
      </c>
      <c r="F12262" s="14" t="n">
        <v>20336.14</v>
      </c>
      <c r="G12262" s="6" t="s">
        <v>2613</v>
      </c>
    </row>
    <row r="12263" customFormat="false" ht="15" hidden="false" customHeight="true" outlineLevel="0" collapsed="false">
      <c r="A12263" s="6" t="s">
        <v>14875</v>
      </c>
      <c r="B12263" s="6" t="s">
        <v>2449</v>
      </c>
      <c r="C12263" s="6" t="s">
        <v>128</v>
      </c>
      <c r="D12263" s="13" t="n">
        <v>45221</v>
      </c>
      <c r="E12263" s="14" t="n">
        <v>2664.93</v>
      </c>
      <c r="F12263" s="14" t="n">
        <v>23001.07</v>
      </c>
      <c r="G12263" s="6" t="s">
        <v>2613</v>
      </c>
    </row>
    <row r="12264" customFormat="false" ht="15" hidden="false" customHeight="true" outlineLevel="0" collapsed="false">
      <c r="A12264" s="6" t="s">
        <v>14876</v>
      </c>
      <c r="B12264" s="6" t="s">
        <v>2449</v>
      </c>
      <c r="C12264" s="6" t="s">
        <v>128</v>
      </c>
      <c r="D12264" s="13" t="n">
        <v>45228</v>
      </c>
      <c r="E12264" s="14" t="n">
        <v>3766.76</v>
      </c>
      <c r="F12264" s="14" t="n">
        <v>26767.83</v>
      </c>
      <c r="G12264" s="6" t="s">
        <v>2613</v>
      </c>
    </row>
    <row r="12265" customFormat="false" ht="15" hidden="false" customHeight="true" outlineLevel="0" collapsed="false">
      <c r="A12265" s="6" t="s">
        <v>14877</v>
      </c>
      <c r="B12265" s="6" t="s">
        <v>2449</v>
      </c>
      <c r="C12265" s="6" t="s">
        <v>128</v>
      </c>
      <c r="D12265" s="13" t="n">
        <v>45235</v>
      </c>
      <c r="E12265" s="14" t="n">
        <v>4742.99</v>
      </c>
      <c r="F12265" s="14" t="n">
        <v>31510.82</v>
      </c>
      <c r="G12265" s="6" t="s">
        <v>2613</v>
      </c>
    </row>
    <row r="12266" customFormat="false" ht="15" hidden="false" customHeight="true" outlineLevel="0" collapsed="false">
      <c r="A12266" s="6" t="s">
        <v>14878</v>
      </c>
      <c r="B12266" s="6" t="s">
        <v>2451</v>
      </c>
      <c r="C12266" s="6" t="s">
        <v>124</v>
      </c>
      <c r="D12266" s="13" t="n">
        <v>45298</v>
      </c>
      <c r="E12266" s="14" t="n">
        <v>4315.74</v>
      </c>
      <c r="F12266" s="14" t="n">
        <v>4315.74</v>
      </c>
      <c r="G12266" s="6" t="s">
        <v>2613</v>
      </c>
    </row>
    <row r="12267" customFormat="false" ht="15" hidden="false" customHeight="true" outlineLevel="0" collapsed="false">
      <c r="A12267" s="6" t="s">
        <v>14879</v>
      </c>
      <c r="B12267" s="6" t="s">
        <v>2451</v>
      </c>
      <c r="C12267" s="6" t="s">
        <v>124</v>
      </c>
      <c r="D12267" s="13" t="n">
        <v>45305</v>
      </c>
      <c r="E12267" s="14" t="n">
        <v>5671</v>
      </c>
      <c r="F12267" s="14" t="n">
        <v>9986.74</v>
      </c>
      <c r="G12267" s="6" t="s">
        <v>2613</v>
      </c>
    </row>
    <row r="12268" customFormat="false" ht="15" hidden="false" customHeight="true" outlineLevel="0" collapsed="false">
      <c r="A12268" s="6" t="s">
        <v>14880</v>
      </c>
      <c r="B12268" s="6" t="s">
        <v>2451</v>
      </c>
      <c r="C12268" s="6" t="s">
        <v>124</v>
      </c>
      <c r="D12268" s="13" t="n">
        <v>45312</v>
      </c>
      <c r="E12268" s="14" t="n">
        <v>2895.05</v>
      </c>
      <c r="F12268" s="14" t="n">
        <v>12881.79</v>
      </c>
      <c r="G12268" s="6" t="s">
        <v>2613</v>
      </c>
    </row>
    <row r="12269" customFormat="false" ht="15" hidden="false" customHeight="true" outlineLevel="0" collapsed="false">
      <c r="A12269" s="6" t="s">
        <v>14881</v>
      </c>
      <c r="B12269" s="6" t="s">
        <v>2451</v>
      </c>
      <c r="C12269" s="6" t="s">
        <v>124</v>
      </c>
      <c r="D12269" s="13" t="n">
        <v>45319</v>
      </c>
      <c r="E12269" s="14" t="n">
        <v>4289.85</v>
      </c>
      <c r="F12269" s="14" t="n">
        <v>17171.64</v>
      </c>
      <c r="G12269" s="6" t="s">
        <v>2613</v>
      </c>
    </row>
    <row r="12270" customFormat="false" ht="15" hidden="false" customHeight="true" outlineLevel="0" collapsed="false">
      <c r="A12270" s="6" t="s">
        <v>14882</v>
      </c>
      <c r="B12270" s="6" t="s">
        <v>2451</v>
      </c>
      <c r="C12270" s="6" t="s">
        <v>124</v>
      </c>
      <c r="D12270" s="13" t="n">
        <v>45326</v>
      </c>
      <c r="E12270" s="14" t="n">
        <v>5310.13</v>
      </c>
      <c r="F12270" s="14" t="n">
        <v>22481.77</v>
      </c>
      <c r="G12270" s="6" t="s">
        <v>2613</v>
      </c>
    </row>
    <row r="12271" customFormat="false" ht="15" hidden="false" customHeight="true" outlineLevel="0" collapsed="false">
      <c r="A12271" s="6" t="s">
        <v>14883</v>
      </c>
      <c r="B12271" s="6" t="s">
        <v>2451</v>
      </c>
      <c r="C12271" s="6" t="s">
        <v>124</v>
      </c>
      <c r="D12271" s="13" t="n">
        <v>45333</v>
      </c>
      <c r="E12271" s="14" t="n">
        <v>5088.71</v>
      </c>
      <c r="F12271" s="14" t="n">
        <v>27570.48</v>
      </c>
      <c r="G12271" s="6" t="s">
        <v>2613</v>
      </c>
    </row>
    <row r="12272" customFormat="false" ht="15" hidden="false" customHeight="true" outlineLevel="0" collapsed="false">
      <c r="A12272" s="6" t="s">
        <v>14884</v>
      </c>
      <c r="B12272" s="6" t="s">
        <v>2451</v>
      </c>
      <c r="C12272" s="6" t="s">
        <v>124</v>
      </c>
      <c r="D12272" s="13" t="n">
        <v>45340</v>
      </c>
      <c r="E12272" s="14" t="n">
        <v>3646.42</v>
      </c>
      <c r="F12272" s="14" t="n">
        <v>31216.9</v>
      </c>
      <c r="G12272" s="6" t="s">
        <v>2613</v>
      </c>
    </row>
    <row r="12273" customFormat="false" ht="15" hidden="false" customHeight="true" outlineLevel="0" collapsed="false">
      <c r="A12273" s="6" t="s">
        <v>14885</v>
      </c>
      <c r="B12273" s="6" t="s">
        <v>2451</v>
      </c>
      <c r="C12273" s="6" t="s">
        <v>124</v>
      </c>
      <c r="D12273" s="13" t="n">
        <v>45347</v>
      </c>
      <c r="E12273" s="14" t="n">
        <v>3014.66</v>
      </c>
      <c r="F12273" s="14" t="n">
        <v>34231.56</v>
      </c>
      <c r="G12273" s="6" t="s">
        <v>2613</v>
      </c>
    </row>
    <row r="12274" customFormat="false" ht="15" hidden="false" customHeight="true" outlineLevel="0" collapsed="false">
      <c r="A12274" s="6" t="s">
        <v>14886</v>
      </c>
      <c r="B12274" s="6" t="s">
        <v>2451</v>
      </c>
      <c r="C12274" s="6" t="s">
        <v>124</v>
      </c>
      <c r="D12274" s="13" t="n">
        <v>45354</v>
      </c>
      <c r="E12274" s="14" t="n">
        <v>3504.65</v>
      </c>
      <c r="F12274" s="14" t="n">
        <v>37736.21</v>
      </c>
      <c r="G12274" s="6" t="s">
        <v>2613</v>
      </c>
    </row>
    <row r="12275" customFormat="false" ht="15" hidden="false" customHeight="true" outlineLevel="0" collapsed="false">
      <c r="A12275" s="6" t="s">
        <v>14887</v>
      </c>
      <c r="B12275" s="6" t="s">
        <v>2451</v>
      </c>
      <c r="C12275" s="6" t="s">
        <v>124</v>
      </c>
      <c r="D12275" s="13" t="n">
        <v>45361</v>
      </c>
      <c r="E12275" s="14" t="n">
        <v>5868.52</v>
      </c>
      <c r="F12275" s="14" t="n">
        <v>43604.73</v>
      </c>
      <c r="G12275" s="6" t="s">
        <v>2613</v>
      </c>
    </row>
    <row r="12276" customFormat="false" ht="15" hidden="false" customHeight="true" outlineLevel="0" collapsed="false">
      <c r="A12276" s="6" t="s">
        <v>14888</v>
      </c>
      <c r="B12276" s="6" t="s">
        <v>2451</v>
      </c>
      <c r="C12276" s="6" t="s">
        <v>124</v>
      </c>
      <c r="D12276" s="13" t="n">
        <v>45368</v>
      </c>
      <c r="E12276" s="14" t="n">
        <v>5821.72</v>
      </c>
      <c r="F12276" s="14" t="n">
        <v>49426.45</v>
      </c>
      <c r="G12276" s="6" t="s">
        <v>2613</v>
      </c>
    </row>
    <row r="12277" customFormat="false" ht="15" hidden="false" customHeight="true" outlineLevel="0" collapsed="false">
      <c r="A12277" s="6" t="s">
        <v>14889</v>
      </c>
      <c r="B12277" s="6" t="s">
        <v>2451</v>
      </c>
      <c r="C12277" s="6" t="s">
        <v>124</v>
      </c>
      <c r="D12277" s="13" t="n">
        <v>45375</v>
      </c>
      <c r="E12277" s="14" t="n">
        <v>5055.68</v>
      </c>
      <c r="F12277" s="14" t="n">
        <v>54482.13</v>
      </c>
      <c r="G12277" s="6" t="s">
        <v>2613</v>
      </c>
    </row>
    <row r="12278" customFormat="false" ht="15" hidden="false" customHeight="true" outlineLevel="0" collapsed="false">
      <c r="A12278" s="6" t="s">
        <v>14890</v>
      </c>
      <c r="B12278" s="6" t="s">
        <v>2451</v>
      </c>
      <c r="C12278" s="6" t="s">
        <v>124</v>
      </c>
      <c r="D12278" s="13" t="n">
        <v>45382</v>
      </c>
      <c r="E12278" s="14" t="n">
        <v>2789.72</v>
      </c>
      <c r="F12278" s="14" t="n">
        <v>57271.85</v>
      </c>
      <c r="G12278" s="6" t="s">
        <v>2613</v>
      </c>
    </row>
    <row r="12279" customFormat="false" ht="15" hidden="false" customHeight="true" outlineLevel="0" collapsed="false">
      <c r="A12279" s="6" t="s">
        <v>14891</v>
      </c>
      <c r="B12279" s="6" t="s">
        <v>2451</v>
      </c>
      <c r="C12279" s="6" t="s">
        <v>124</v>
      </c>
      <c r="D12279" s="13" t="n">
        <v>45389</v>
      </c>
      <c r="E12279" s="14" t="n">
        <v>5170.73</v>
      </c>
      <c r="F12279" s="14" t="n">
        <v>62442.58</v>
      </c>
      <c r="G12279" s="6" t="s">
        <v>2613</v>
      </c>
    </row>
    <row r="12280" customFormat="false" ht="15" hidden="false" customHeight="true" outlineLevel="0" collapsed="false">
      <c r="A12280" s="6" t="s">
        <v>14892</v>
      </c>
      <c r="B12280" s="6" t="s">
        <v>2451</v>
      </c>
      <c r="C12280" s="6" t="s">
        <v>124</v>
      </c>
      <c r="D12280" s="13" t="n">
        <v>45396</v>
      </c>
      <c r="E12280" s="14" t="n">
        <v>1335.06</v>
      </c>
      <c r="F12280" s="14" t="n">
        <v>63777.64</v>
      </c>
      <c r="G12280" s="6" t="s">
        <v>2613</v>
      </c>
    </row>
    <row r="12281" customFormat="false" ht="15" hidden="false" customHeight="true" outlineLevel="0" collapsed="false">
      <c r="A12281" s="6" t="s">
        <v>14893</v>
      </c>
      <c r="B12281" s="6" t="s">
        <v>2453</v>
      </c>
      <c r="C12281" s="6" t="s">
        <v>116</v>
      </c>
      <c r="D12281" s="13" t="n">
        <v>45046</v>
      </c>
      <c r="E12281" s="14" t="n">
        <v>2807.72</v>
      </c>
      <c r="F12281" s="14" t="n">
        <v>2807.72</v>
      </c>
      <c r="G12281" s="6" t="s">
        <v>2613</v>
      </c>
    </row>
    <row r="12282" customFormat="false" ht="15" hidden="false" customHeight="true" outlineLevel="0" collapsed="false">
      <c r="A12282" s="6" t="s">
        <v>14894</v>
      </c>
      <c r="B12282" s="6" t="s">
        <v>2453</v>
      </c>
      <c r="C12282" s="6" t="s">
        <v>116</v>
      </c>
      <c r="D12282" s="13" t="n">
        <v>45053</v>
      </c>
      <c r="E12282" s="14" t="n">
        <v>2339.01</v>
      </c>
      <c r="F12282" s="14" t="n">
        <v>5146.73</v>
      </c>
      <c r="G12282" s="6" t="s">
        <v>2613</v>
      </c>
    </row>
    <row r="12283" customFormat="false" ht="15" hidden="false" customHeight="true" outlineLevel="0" collapsed="false">
      <c r="A12283" s="6" t="s">
        <v>14895</v>
      </c>
      <c r="B12283" s="6" t="s">
        <v>2453</v>
      </c>
      <c r="C12283" s="6" t="s">
        <v>116</v>
      </c>
      <c r="D12283" s="13" t="n">
        <v>45060</v>
      </c>
      <c r="E12283" s="14" t="n">
        <v>2811.43</v>
      </c>
      <c r="F12283" s="14" t="n">
        <v>7958.16</v>
      </c>
      <c r="G12283" s="6" t="s">
        <v>2613</v>
      </c>
    </row>
    <row r="12284" customFormat="false" ht="15" hidden="false" customHeight="true" outlineLevel="0" collapsed="false">
      <c r="A12284" s="6" t="s">
        <v>14896</v>
      </c>
      <c r="B12284" s="6" t="s">
        <v>2453</v>
      </c>
      <c r="C12284" s="6" t="s">
        <v>116</v>
      </c>
      <c r="D12284" s="13" t="n">
        <v>45067</v>
      </c>
      <c r="E12284" s="14" t="n">
        <v>1757.07</v>
      </c>
      <c r="F12284" s="14" t="n">
        <v>9715.23</v>
      </c>
      <c r="G12284" s="6" t="s">
        <v>2613</v>
      </c>
    </row>
    <row r="12285" customFormat="false" ht="15" hidden="false" customHeight="true" outlineLevel="0" collapsed="false">
      <c r="A12285" s="6" t="s">
        <v>14897</v>
      </c>
      <c r="B12285" s="6" t="s">
        <v>2453</v>
      </c>
      <c r="C12285" s="6" t="s">
        <v>116</v>
      </c>
      <c r="D12285" s="13" t="n">
        <v>45074</v>
      </c>
      <c r="E12285" s="14" t="n">
        <v>2174.14</v>
      </c>
      <c r="F12285" s="14" t="n">
        <v>11889.37</v>
      </c>
      <c r="G12285" s="6" t="s">
        <v>2613</v>
      </c>
    </row>
    <row r="12286" customFormat="false" ht="15" hidden="false" customHeight="true" outlineLevel="0" collapsed="false">
      <c r="A12286" s="6" t="s">
        <v>14898</v>
      </c>
      <c r="B12286" s="6" t="s">
        <v>2453</v>
      </c>
      <c r="C12286" s="6" t="s">
        <v>116</v>
      </c>
      <c r="D12286" s="13" t="n">
        <v>45081</v>
      </c>
      <c r="E12286" s="14" t="n">
        <v>2386.59</v>
      </c>
      <c r="F12286" s="14" t="n">
        <v>14275.96</v>
      </c>
      <c r="G12286" s="6" t="s">
        <v>2613</v>
      </c>
    </row>
    <row r="12287" customFormat="false" ht="15" hidden="false" customHeight="true" outlineLevel="0" collapsed="false">
      <c r="A12287" s="6" t="s">
        <v>14899</v>
      </c>
      <c r="B12287" s="6" t="s">
        <v>2453</v>
      </c>
      <c r="C12287" s="6" t="s">
        <v>116</v>
      </c>
      <c r="D12287" s="13" t="n">
        <v>45088</v>
      </c>
      <c r="E12287" s="14" t="n">
        <v>1625.6</v>
      </c>
      <c r="F12287" s="14" t="n">
        <v>15901.56</v>
      </c>
      <c r="G12287" s="6" t="s">
        <v>2623</v>
      </c>
    </row>
    <row r="12288" customFormat="false" ht="15" hidden="false" customHeight="true" outlineLevel="0" collapsed="false">
      <c r="A12288" s="6" t="s">
        <v>14900</v>
      </c>
      <c r="B12288" s="6" t="s">
        <v>2453</v>
      </c>
      <c r="C12288" s="6" t="s">
        <v>116</v>
      </c>
      <c r="D12288" s="13" t="n">
        <v>45095</v>
      </c>
      <c r="E12288" s="14" t="n">
        <v>2000.68</v>
      </c>
      <c r="F12288" s="14" t="n">
        <v>17902.24</v>
      </c>
      <c r="G12288" s="6" t="s">
        <v>2613</v>
      </c>
    </row>
    <row r="12289" customFormat="false" ht="15" hidden="false" customHeight="true" outlineLevel="0" collapsed="false">
      <c r="A12289" s="6" t="s">
        <v>14901</v>
      </c>
      <c r="B12289" s="6" t="s">
        <v>2453</v>
      </c>
      <c r="C12289" s="6" t="s">
        <v>116</v>
      </c>
      <c r="D12289" s="13" t="n">
        <v>45102</v>
      </c>
      <c r="E12289" s="14" t="n">
        <v>283.36</v>
      </c>
      <c r="F12289" s="14" t="n">
        <v>18185.6</v>
      </c>
      <c r="G12289" s="6" t="s">
        <v>2613</v>
      </c>
    </row>
    <row r="12290" customFormat="false" ht="15" hidden="false" customHeight="true" outlineLevel="0" collapsed="false">
      <c r="A12290" s="6" t="s">
        <v>14902</v>
      </c>
      <c r="B12290" s="6" t="s">
        <v>2455</v>
      </c>
      <c r="C12290" s="6" t="s">
        <v>112</v>
      </c>
      <c r="D12290" s="13" t="n">
        <v>45156</v>
      </c>
      <c r="E12290" s="14" t="n">
        <v>1648.14</v>
      </c>
      <c r="F12290" s="14" t="n">
        <v>1648.14</v>
      </c>
      <c r="G12290" s="6" t="s">
        <v>2613</v>
      </c>
    </row>
    <row r="12291" customFormat="false" ht="15" hidden="false" customHeight="true" outlineLevel="0" collapsed="false">
      <c r="A12291" s="6" t="s">
        <v>14903</v>
      </c>
      <c r="B12291" s="6" t="s">
        <v>2455</v>
      </c>
      <c r="C12291" s="6" t="s">
        <v>112</v>
      </c>
      <c r="D12291" s="13" t="n">
        <v>45163</v>
      </c>
      <c r="E12291" s="14" t="n">
        <v>2916.41</v>
      </c>
      <c r="F12291" s="14" t="n">
        <v>4564.55</v>
      </c>
      <c r="G12291" s="6" t="s">
        <v>2613</v>
      </c>
    </row>
    <row r="12292" customFormat="false" ht="15" hidden="false" customHeight="true" outlineLevel="0" collapsed="false">
      <c r="A12292" s="6" t="s">
        <v>14904</v>
      </c>
      <c r="B12292" s="6" t="s">
        <v>2455</v>
      </c>
      <c r="C12292" s="6" t="s">
        <v>112</v>
      </c>
      <c r="D12292" s="13" t="n">
        <v>45170</v>
      </c>
      <c r="E12292" s="14" t="n">
        <v>2957.03</v>
      </c>
      <c r="F12292" s="14" t="n">
        <v>7521.58</v>
      </c>
      <c r="G12292" s="6" t="s">
        <v>2613</v>
      </c>
    </row>
    <row r="12293" customFormat="false" ht="15" hidden="false" customHeight="true" outlineLevel="0" collapsed="false">
      <c r="A12293" s="6" t="s">
        <v>14905</v>
      </c>
      <c r="B12293" s="6" t="s">
        <v>2455</v>
      </c>
      <c r="C12293" s="6" t="s">
        <v>112</v>
      </c>
      <c r="D12293" s="13" t="n">
        <v>45177</v>
      </c>
      <c r="E12293" s="14" t="n">
        <v>2703.41</v>
      </c>
      <c r="F12293" s="14" t="n">
        <v>10224.99</v>
      </c>
      <c r="G12293" s="6" t="s">
        <v>2613</v>
      </c>
    </row>
    <row r="12294" customFormat="false" ht="15" hidden="false" customHeight="true" outlineLevel="0" collapsed="false">
      <c r="A12294" s="6" t="s">
        <v>14906</v>
      </c>
      <c r="B12294" s="6" t="s">
        <v>2455</v>
      </c>
      <c r="C12294" s="6" t="s">
        <v>112</v>
      </c>
      <c r="D12294" s="13" t="n">
        <v>45184</v>
      </c>
      <c r="E12294" s="14" t="n">
        <v>2214.03</v>
      </c>
      <c r="F12294" s="14" t="n">
        <v>12439.02</v>
      </c>
      <c r="G12294" s="6" t="s">
        <v>2613</v>
      </c>
    </row>
    <row r="12295" customFormat="false" ht="15" hidden="false" customHeight="true" outlineLevel="0" collapsed="false">
      <c r="A12295" s="6" t="s">
        <v>14907</v>
      </c>
      <c r="B12295" s="6" t="s">
        <v>2455</v>
      </c>
      <c r="C12295" s="6" t="s">
        <v>112</v>
      </c>
      <c r="D12295" s="13" t="n">
        <v>45191</v>
      </c>
      <c r="E12295" s="14" t="n">
        <v>2301.32</v>
      </c>
      <c r="F12295" s="14" t="n">
        <v>14740.34</v>
      </c>
      <c r="G12295" s="6" t="s">
        <v>2613</v>
      </c>
    </row>
    <row r="12296" customFormat="false" ht="15" hidden="false" customHeight="true" outlineLevel="0" collapsed="false">
      <c r="A12296" s="6" t="s">
        <v>14908</v>
      </c>
      <c r="B12296" s="6" t="s">
        <v>2455</v>
      </c>
      <c r="C12296" s="6" t="s">
        <v>112</v>
      </c>
      <c r="D12296" s="13" t="n">
        <v>45198</v>
      </c>
      <c r="E12296" s="14" t="n">
        <v>3052.5</v>
      </c>
      <c r="F12296" s="14" t="n">
        <v>17792.84</v>
      </c>
      <c r="G12296" s="6" t="s">
        <v>2613</v>
      </c>
    </row>
    <row r="12297" customFormat="false" ht="15" hidden="false" customHeight="true" outlineLevel="0" collapsed="false">
      <c r="A12297" s="6" t="s">
        <v>14909</v>
      </c>
      <c r="B12297" s="6" t="s">
        <v>2455</v>
      </c>
      <c r="C12297" s="6" t="s">
        <v>112</v>
      </c>
      <c r="D12297" s="13" t="n">
        <v>45205</v>
      </c>
      <c r="E12297" s="14" t="n">
        <v>1518.91</v>
      </c>
      <c r="F12297" s="14" t="n">
        <v>19311.75</v>
      </c>
      <c r="G12297" s="6" t="s">
        <v>2613</v>
      </c>
    </row>
    <row r="12298" customFormat="false" ht="15" hidden="false" customHeight="true" outlineLevel="0" collapsed="false">
      <c r="A12298" s="6" t="s">
        <v>14910</v>
      </c>
      <c r="B12298" s="6" t="s">
        <v>2455</v>
      </c>
      <c r="C12298" s="6" t="s">
        <v>112</v>
      </c>
      <c r="D12298" s="13" t="n">
        <v>45212</v>
      </c>
      <c r="E12298" s="14" t="n">
        <v>2020.8</v>
      </c>
      <c r="F12298" s="14" t="n">
        <v>21332.55</v>
      </c>
      <c r="G12298" s="6" t="s">
        <v>2613</v>
      </c>
    </row>
    <row r="12299" customFormat="false" ht="15" hidden="false" customHeight="true" outlineLevel="0" collapsed="false">
      <c r="A12299" s="6" t="s">
        <v>14911</v>
      </c>
      <c r="B12299" s="6" t="s">
        <v>2455</v>
      </c>
      <c r="C12299" s="6" t="s">
        <v>112</v>
      </c>
      <c r="D12299" s="13" t="n">
        <v>45219</v>
      </c>
      <c r="E12299" s="14" t="n">
        <v>2643.07</v>
      </c>
      <c r="F12299" s="14" t="n">
        <v>23975.62</v>
      </c>
      <c r="G12299" s="6" t="s">
        <v>2623</v>
      </c>
    </row>
    <row r="12300" customFormat="false" ht="15" hidden="false" customHeight="true" outlineLevel="0" collapsed="false">
      <c r="A12300" s="6" t="s">
        <v>14912</v>
      </c>
      <c r="B12300" s="6" t="s">
        <v>2455</v>
      </c>
      <c r="C12300" s="6" t="s">
        <v>112</v>
      </c>
      <c r="D12300" s="13" t="n">
        <v>45226</v>
      </c>
      <c r="E12300" s="14" t="n">
        <v>2747.88</v>
      </c>
      <c r="F12300" s="14" t="n">
        <v>26723.5</v>
      </c>
      <c r="G12300" s="6" t="s">
        <v>2613</v>
      </c>
    </row>
    <row r="12301" customFormat="false" ht="15" hidden="false" customHeight="true" outlineLevel="0" collapsed="false">
      <c r="A12301" s="6" t="s">
        <v>14913</v>
      </c>
      <c r="B12301" s="6" t="s">
        <v>2455</v>
      </c>
      <c r="C12301" s="6" t="s">
        <v>112</v>
      </c>
      <c r="D12301" s="13" t="n">
        <v>45233</v>
      </c>
      <c r="E12301" s="14" t="n">
        <v>1382.89</v>
      </c>
      <c r="F12301" s="14" t="n">
        <v>28106.39</v>
      </c>
      <c r="G12301" s="6" t="s">
        <v>2613</v>
      </c>
    </row>
    <row r="12302" customFormat="false" ht="15" hidden="false" customHeight="true" outlineLevel="0" collapsed="false">
      <c r="A12302" s="6" t="s">
        <v>14914</v>
      </c>
      <c r="B12302" s="6" t="s">
        <v>2457</v>
      </c>
      <c r="C12302" s="6" t="s">
        <v>124</v>
      </c>
      <c r="D12302" s="13" t="n">
        <v>44615</v>
      </c>
      <c r="E12302" s="14" t="n">
        <v>706.94</v>
      </c>
      <c r="F12302" s="14" t="n">
        <v>706.94</v>
      </c>
      <c r="G12302" s="6" t="s">
        <v>2613</v>
      </c>
    </row>
    <row r="12303" customFormat="false" ht="15" hidden="false" customHeight="true" outlineLevel="0" collapsed="false">
      <c r="A12303" s="6" t="s">
        <v>14915</v>
      </c>
      <c r="B12303" s="6" t="s">
        <v>2457</v>
      </c>
      <c r="C12303" s="6" t="s">
        <v>124</v>
      </c>
      <c r="D12303" s="13" t="n">
        <v>44622</v>
      </c>
      <c r="E12303" s="14" t="n">
        <v>684.44</v>
      </c>
      <c r="F12303" s="14" t="n">
        <v>1391.38</v>
      </c>
      <c r="G12303" s="6" t="s">
        <v>2613</v>
      </c>
    </row>
    <row r="12304" customFormat="false" ht="15" hidden="false" customHeight="true" outlineLevel="0" collapsed="false">
      <c r="A12304" s="6" t="s">
        <v>14916</v>
      </c>
      <c r="B12304" s="6" t="s">
        <v>2457</v>
      </c>
      <c r="C12304" s="6" t="s">
        <v>124</v>
      </c>
      <c r="D12304" s="13" t="n">
        <v>44629</v>
      </c>
      <c r="E12304" s="14" t="n">
        <v>540.2</v>
      </c>
      <c r="F12304" s="14" t="n">
        <v>1931.58</v>
      </c>
      <c r="G12304" s="6" t="s">
        <v>2613</v>
      </c>
    </row>
    <row r="12305" customFormat="false" ht="15" hidden="false" customHeight="true" outlineLevel="0" collapsed="false">
      <c r="A12305" s="6" t="s">
        <v>14917</v>
      </c>
      <c r="B12305" s="6" t="s">
        <v>2457</v>
      </c>
      <c r="C12305" s="6" t="s">
        <v>124</v>
      </c>
      <c r="D12305" s="13" t="n">
        <v>44636</v>
      </c>
      <c r="E12305" s="14" t="n">
        <v>630.86</v>
      </c>
      <c r="F12305" s="14" t="n">
        <v>2562.44</v>
      </c>
      <c r="G12305" s="6" t="s">
        <v>2613</v>
      </c>
    </row>
    <row r="12306" customFormat="false" ht="15" hidden="false" customHeight="true" outlineLevel="0" collapsed="false">
      <c r="A12306" s="6" t="s">
        <v>14918</v>
      </c>
      <c r="B12306" s="6" t="s">
        <v>2457</v>
      </c>
      <c r="C12306" s="6" t="s">
        <v>124</v>
      </c>
      <c r="D12306" s="13" t="n">
        <v>44643</v>
      </c>
      <c r="E12306" s="14" t="n">
        <v>528.41</v>
      </c>
      <c r="F12306" s="14" t="n">
        <v>3090.85</v>
      </c>
      <c r="G12306" s="6" t="s">
        <v>2613</v>
      </c>
    </row>
    <row r="12307" customFormat="false" ht="15" hidden="false" customHeight="true" outlineLevel="0" collapsed="false">
      <c r="A12307" s="6" t="s">
        <v>14919</v>
      </c>
      <c r="B12307" s="6" t="s">
        <v>2457</v>
      </c>
      <c r="C12307" s="6" t="s">
        <v>124</v>
      </c>
      <c r="D12307" s="13" t="n">
        <v>44650</v>
      </c>
      <c r="E12307" s="14" t="n">
        <v>690.05</v>
      </c>
      <c r="F12307" s="14" t="n">
        <v>3780.9</v>
      </c>
      <c r="G12307" s="6" t="s">
        <v>2613</v>
      </c>
    </row>
    <row r="12308" customFormat="false" ht="15" hidden="false" customHeight="true" outlineLevel="0" collapsed="false">
      <c r="A12308" s="6" t="s">
        <v>14920</v>
      </c>
      <c r="B12308" s="6" t="s">
        <v>2457</v>
      </c>
      <c r="C12308" s="6" t="s">
        <v>124</v>
      </c>
      <c r="D12308" s="13" t="n">
        <v>44657</v>
      </c>
      <c r="E12308" s="14" t="n">
        <v>316.56</v>
      </c>
      <c r="F12308" s="14" t="n">
        <v>4097.46</v>
      </c>
      <c r="G12308" s="6" t="s">
        <v>2613</v>
      </c>
    </row>
    <row r="12309" customFormat="false" ht="15" hidden="false" customHeight="true" outlineLevel="0" collapsed="false">
      <c r="A12309" s="6" t="s">
        <v>14921</v>
      </c>
      <c r="B12309" s="6" t="s">
        <v>2459</v>
      </c>
      <c r="C12309" s="6" t="s">
        <v>131</v>
      </c>
      <c r="D12309" s="13" t="n">
        <v>45871</v>
      </c>
      <c r="E12309" s="14" t="n">
        <v>5772.4</v>
      </c>
      <c r="F12309" s="14" t="n">
        <v>5772.4</v>
      </c>
      <c r="G12309" s="6" t="s">
        <v>2613</v>
      </c>
    </row>
    <row r="12310" customFormat="false" ht="15" hidden="false" customHeight="true" outlineLevel="0" collapsed="false">
      <c r="A12310" s="6" t="s">
        <v>14922</v>
      </c>
      <c r="B12310" s="6" t="s">
        <v>2459</v>
      </c>
      <c r="C12310" s="6" t="s">
        <v>131</v>
      </c>
      <c r="D12310" s="13" t="n">
        <v>45878</v>
      </c>
      <c r="E12310" s="14" t="n">
        <v>5059.29</v>
      </c>
      <c r="F12310" s="14" t="n">
        <v>10831.69</v>
      </c>
      <c r="G12310" s="6" t="s">
        <v>2613</v>
      </c>
    </row>
    <row r="12311" customFormat="false" ht="15" hidden="false" customHeight="true" outlineLevel="0" collapsed="false">
      <c r="A12311" s="6" t="s">
        <v>14923</v>
      </c>
      <c r="B12311" s="6" t="s">
        <v>2459</v>
      </c>
      <c r="C12311" s="6" t="s">
        <v>131</v>
      </c>
      <c r="D12311" s="13" t="n">
        <v>45885</v>
      </c>
      <c r="E12311" s="14" t="n">
        <v>4335.21</v>
      </c>
      <c r="F12311" s="14" t="n">
        <v>15166.9</v>
      </c>
      <c r="G12311" s="6" t="s">
        <v>2613</v>
      </c>
    </row>
    <row r="12312" customFormat="false" ht="15" hidden="false" customHeight="true" outlineLevel="0" collapsed="false">
      <c r="A12312" s="6" t="s">
        <v>14924</v>
      </c>
      <c r="B12312" s="6" t="s">
        <v>2459</v>
      </c>
      <c r="C12312" s="6" t="s">
        <v>131</v>
      </c>
      <c r="D12312" s="13" t="n">
        <v>45892</v>
      </c>
      <c r="E12312" s="14" t="n">
        <v>2667.9</v>
      </c>
      <c r="F12312" s="14" t="n">
        <v>17834.8</v>
      </c>
      <c r="G12312" s="6" t="s">
        <v>2613</v>
      </c>
    </row>
    <row r="12313" customFormat="false" ht="15" hidden="false" customHeight="true" outlineLevel="0" collapsed="false">
      <c r="A12313" s="6" t="s">
        <v>14925</v>
      </c>
      <c r="B12313" s="6" t="s">
        <v>2459</v>
      </c>
      <c r="C12313" s="6" t="s">
        <v>131</v>
      </c>
      <c r="D12313" s="13" t="n">
        <v>45899</v>
      </c>
      <c r="E12313" s="14" t="n">
        <v>2804.47</v>
      </c>
      <c r="F12313" s="14" t="n">
        <v>20639.27</v>
      </c>
      <c r="G12313" s="6" t="s">
        <v>2613</v>
      </c>
    </row>
    <row r="12314" customFormat="false" ht="15" hidden="false" customHeight="true" outlineLevel="0" collapsed="false">
      <c r="A12314" s="6" t="s">
        <v>14926</v>
      </c>
      <c r="B12314" s="6" t="s">
        <v>2459</v>
      </c>
      <c r="C12314" s="6" t="s">
        <v>131</v>
      </c>
      <c r="D12314" s="13" t="n">
        <v>45906</v>
      </c>
      <c r="E12314" s="14" t="n">
        <v>4902.93</v>
      </c>
      <c r="F12314" s="14" t="n">
        <v>25542.2</v>
      </c>
      <c r="G12314" s="6" t="s">
        <v>2613</v>
      </c>
    </row>
    <row r="12315" customFormat="false" ht="15" hidden="false" customHeight="true" outlineLevel="0" collapsed="false">
      <c r="A12315" s="6" t="s">
        <v>14927</v>
      </c>
      <c r="B12315" s="6" t="s">
        <v>2459</v>
      </c>
      <c r="C12315" s="6" t="s">
        <v>131</v>
      </c>
      <c r="D12315" s="13" t="n">
        <v>45913</v>
      </c>
      <c r="E12315" s="14" t="n">
        <v>4746.39</v>
      </c>
      <c r="F12315" s="14" t="n">
        <v>30288.59</v>
      </c>
      <c r="G12315" s="6" t="s">
        <v>2613</v>
      </c>
    </row>
    <row r="12316" customFormat="false" ht="15" hidden="false" customHeight="true" outlineLevel="0" collapsed="false">
      <c r="A12316" s="6" t="s">
        <v>14928</v>
      </c>
      <c r="B12316" s="6" t="s">
        <v>2459</v>
      </c>
      <c r="C12316" s="6" t="s">
        <v>131</v>
      </c>
      <c r="D12316" s="13" t="n">
        <v>45920</v>
      </c>
      <c r="E12316" s="14" t="n">
        <v>3486.64</v>
      </c>
      <c r="F12316" s="14" t="n">
        <v>33775.23</v>
      </c>
      <c r="G12316" s="6" t="s">
        <v>2613</v>
      </c>
    </row>
    <row r="12317" customFormat="false" ht="15" hidden="false" customHeight="true" outlineLevel="0" collapsed="false">
      <c r="A12317" s="6" t="s">
        <v>14929</v>
      </c>
      <c r="B12317" s="6" t="s">
        <v>2459</v>
      </c>
      <c r="C12317" s="6" t="s">
        <v>131</v>
      </c>
      <c r="D12317" s="13" t="n">
        <v>45927</v>
      </c>
      <c r="E12317" s="14" t="n">
        <v>2718.54</v>
      </c>
      <c r="F12317" s="14" t="n">
        <v>36493.77</v>
      </c>
      <c r="G12317" s="6" t="s">
        <v>2613</v>
      </c>
    </row>
    <row r="12318" customFormat="false" ht="15" hidden="false" customHeight="true" outlineLevel="0" collapsed="false">
      <c r="A12318" s="6" t="s">
        <v>14930</v>
      </c>
      <c r="B12318" s="6" t="s">
        <v>2459</v>
      </c>
      <c r="C12318" s="6" t="s">
        <v>131</v>
      </c>
      <c r="D12318" s="13" t="n">
        <v>45934</v>
      </c>
      <c r="E12318" s="14" t="n">
        <v>3538.48</v>
      </c>
      <c r="F12318" s="14" t="n">
        <v>40032.25</v>
      </c>
      <c r="G12318" s="6" t="s">
        <v>2613</v>
      </c>
    </row>
    <row r="12319" customFormat="false" ht="15" hidden="false" customHeight="true" outlineLevel="0" collapsed="false">
      <c r="A12319" s="6" t="s">
        <v>14931</v>
      </c>
      <c r="B12319" s="6" t="s">
        <v>2459</v>
      </c>
      <c r="C12319" s="6" t="s">
        <v>131</v>
      </c>
      <c r="D12319" s="13" t="n">
        <v>45941</v>
      </c>
      <c r="E12319" s="14" t="n">
        <v>3699.08</v>
      </c>
      <c r="F12319" s="14" t="n">
        <v>43731.33</v>
      </c>
      <c r="G12319" s="6" t="s">
        <v>2623</v>
      </c>
    </row>
    <row r="12320" customFormat="false" ht="15" hidden="false" customHeight="true" outlineLevel="0" collapsed="false">
      <c r="A12320" s="6" t="s">
        <v>14932</v>
      </c>
      <c r="B12320" s="6" t="s">
        <v>2459</v>
      </c>
      <c r="C12320" s="6" t="s">
        <v>131</v>
      </c>
      <c r="D12320" s="13" t="n">
        <v>45948</v>
      </c>
      <c r="E12320" s="14" t="n">
        <v>5225.13</v>
      </c>
      <c r="F12320" s="14" t="n">
        <v>48956.46</v>
      </c>
      <c r="G12320" s="6" t="s">
        <v>2613</v>
      </c>
    </row>
    <row r="12321" customFormat="false" ht="15" hidden="false" customHeight="true" outlineLevel="0" collapsed="false">
      <c r="A12321" s="6" t="s">
        <v>14933</v>
      </c>
      <c r="B12321" s="6" t="s">
        <v>2459</v>
      </c>
      <c r="C12321" s="6" t="s">
        <v>131</v>
      </c>
      <c r="D12321" s="13" t="n">
        <v>45955</v>
      </c>
      <c r="E12321" s="14" t="n">
        <v>3995.42</v>
      </c>
      <c r="F12321" s="14" t="n">
        <v>52951.88</v>
      </c>
      <c r="G12321" s="6" t="s">
        <v>2613</v>
      </c>
    </row>
    <row r="12322" customFormat="false" ht="15" hidden="false" customHeight="true" outlineLevel="0" collapsed="false">
      <c r="A12322" s="6" t="s">
        <v>14934</v>
      </c>
      <c r="B12322" s="6" t="s">
        <v>2459</v>
      </c>
      <c r="C12322" s="6" t="s">
        <v>131</v>
      </c>
      <c r="D12322" s="13" t="n">
        <v>45962</v>
      </c>
      <c r="E12322" s="14" t="n">
        <v>4639.24</v>
      </c>
      <c r="F12322" s="14" t="n">
        <v>57591.12</v>
      </c>
      <c r="G12322" s="6" t="s">
        <v>2613</v>
      </c>
    </row>
    <row r="12323" customFormat="false" ht="15" hidden="false" customHeight="true" outlineLevel="0" collapsed="false">
      <c r="A12323" s="6" t="s">
        <v>14935</v>
      </c>
      <c r="B12323" s="6" t="s">
        <v>2459</v>
      </c>
      <c r="C12323" s="6" t="s">
        <v>131</v>
      </c>
      <c r="D12323" s="13" t="n">
        <v>45969</v>
      </c>
      <c r="E12323" s="14" t="n">
        <v>8261.79</v>
      </c>
      <c r="F12323" s="14" t="n">
        <v>65852.91</v>
      </c>
      <c r="G12323" s="6" t="s">
        <v>2613</v>
      </c>
    </row>
    <row r="12324" customFormat="false" ht="15" hidden="false" customHeight="true" outlineLevel="0" collapsed="false">
      <c r="A12324" s="6" t="s">
        <v>14936</v>
      </c>
      <c r="B12324" s="6" t="s">
        <v>2461</v>
      </c>
      <c r="C12324" s="6" t="s">
        <v>120</v>
      </c>
      <c r="D12324" s="13" t="n">
        <v>45090</v>
      </c>
      <c r="E12324" s="14" t="n">
        <v>785.19</v>
      </c>
      <c r="F12324" s="14" t="n">
        <v>785.19</v>
      </c>
      <c r="G12324" s="6" t="s">
        <v>2613</v>
      </c>
    </row>
    <row r="12325" customFormat="false" ht="15" hidden="false" customHeight="true" outlineLevel="0" collapsed="false">
      <c r="A12325" s="6" t="s">
        <v>14937</v>
      </c>
      <c r="B12325" s="6" t="s">
        <v>2461</v>
      </c>
      <c r="C12325" s="6" t="s">
        <v>120</v>
      </c>
      <c r="D12325" s="13" t="n">
        <v>45097</v>
      </c>
      <c r="E12325" s="14" t="n">
        <v>622.63</v>
      </c>
      <c r="F12325" s="14" t="n">
        <v>1407.82</v>
      </c>
      <c r="G12325" s="6" t="s">
        <v>2613</v>
      </c>
    </row>
    <row r="12326" customFormat="false" ht="15" hidden="false" customHeight="true" outlineLevel="0" collapsed="false">
      <c r="A12326" s="6" t="s">
        <v>14938</v>
      </c>
      <c r="B12326" s="6" t="s">
        <v>2461</v>
      </c>
      <c r="C12326" s="6" t="s">
        <v>120</v>
      </c>
      <c r="D12326" s="13" t="n">
        <v>45104</v>
      </c>
      <c r="E12326" s="14" t="n">
        <v>832.82</v>
      </c>
      <c r="F12326" s="14" t="n">
        <v>2240.64</v>
      </c>
      <c r="G12326" s="6" t="s">
        <v>2613</v>
      </c>
    </row>
    <row r="12327" customFormat="false" ht="15" hidden="false" customHeight="true" outlineLevel="0" collapsed="false">
      <c r="A12327" s="6" t="s">
        <v>14939</v>
      </c>
      <c r="B12327" s="6" t="s">
        <v>2461</v>
      </c>
      <c r="C12327" s="6" t="s">
        <v>120</v>
      </c>
      <c r="D12327" s="13" t="n">
        <v>45111</v>
      </c>
      <c r="E12327" s="14" t="n">
        <v>596.29</v>
      </c>
      <c r="F12327" s="14" t="n">
        <v>2836.93</v>
      </c>
      <c r="G12327" s="6" t="s">
        <v>2613</v>
      </c>
    </row>
    <row r="12328" customFormat="false" ht="15" hidden="false" customHeight="true" outlineLevel="0" collapsed="false">
      <c r="A12328" s="6" t="s">
        <v>14940</v>
      </c>
      <c r="B12328" s="6" t="s">
        <v>2461</v>
      </c>
      <c r="C12328" s="6" t="s">
        <v>120</v>
      </c>
      <c r="D12328" s="13" t="n">
        <v>45118</v>
      </c>
      <c r="E12328" s="14" t="n">
        <v>668.63</v>
      </c>
      <c r="F12328" s="14" t="n">
        <v>3505.56</v>
      </c>
      <c r="G12328" s="6" t="s">
        <v>2613</v>
      </c>
    </row>
    <row r="12329" customFormat="false" ht="15" hidden="false" customHeight="true" outlineLevel="0" collapsed="false">
      <c r="A12329" s="6" t="s">
        <v>14941</v>
      </c>
      <c r="B12329" s="6" t="s">
        <v>2461</v>
      </c>
      <c r="C12329" s="6" t="s">
        <v>120</v>
      </c>
      <c r="D12329" s="13" t="n">
        <v>45125</v>
      </c>
      <c r="E12329" s="14" t="n">
        <v>862.28</v>
      </c>
      <c r="F12329" s="14" t="n">
        <v>4367.84</v>
      </c>
      <c r="G12329" s="6" t="s">
        <v>2613</v>
      </c>
    </row>
    <row r="12330" customFormat="false" ht="15" hidden="false" customHeight="true" outlineLevel="0" collapsed="false">
      <c r="A12330" s="6" t="s">
        <v>14942</v>
      </c>
      <c r="B12330" s="6" t="s">
        <v>2461</v>
      </c>
      <c r="C12330" s="6" t="s">
        <v>120</v>
      </c>
      <c r="D12330" s="13" t="n">
        <v>45132</v>
      </c>
      <c r="E12330" s="14" t="n">
        <v>668.61</v>
      </c>
      <c r="F12330" s="14" t="n">
        <v>5036.45</v>
      </c>
      <c r="G12330" s="6" t="s">
        <v>2613</v>
      </c>
    </row>
    <row r="12331" customFormat="false" ht="15" hidden="false" customHeight="true" outlineLevel="0" collapsed="false">
      <c r="A12331" s="6" t="s">
        <v>14943</v>
      </c>
      <c r="B12331" s="6" t="s">
        <v>2461</v>
      </c>
      <c r="C12331" s="6" t="s">
        <v>120</v>
      </c>
      <c r="D12331" s="13" t="n">
        <v>45139</v>
      </c>
      <c r="E12331" s="14" t="n">
        <v>1442.19</v>
      </c>
      <c r="F12331" s="14" t="n">
        <v>6478.64</v>
      </c>
      <c r="G12331" s="6" t="s">
        <v>2613</v>
      </c>
    </row>
    <row r="12332" customFormat="false" ht="15" hidden="false" customHeight="true" outlineLevel="0" collapsed="false">
      <c r="A12332" s="6" t="s">
        <v>14944</v>
      </c>
      <c r="B12332" s="6" t="s">
        <v>2463</v>
      </c>
      <c r="C12332" s="6" t="s">
        <v>124</v>
      </c>
      <c r="D12332" s="13" t="n">
        <v>44787</v>
      </c>
      <c r="E12332" s="14" t="n">
        <v>2579.53</v>
      </c>
      <c r="F12332" s="14" t="n">
        <v>2579.53</v>
      </c>
      <c r="G12332" s="6" t="s">
        <v>2613</v>
      </c>
    </row>
    <row r="12333" customFormat="false" ht="15" hidden="false" customHeight="true" outlineLevel="0" collapsed="false">
      <c r="A12333" s="6" t="s">
        <v>14945</v>
      </c>
      <c r="B12333" s="6" t="s">
        <v>2463</v>
      </c>
      <c r="C12333" s="6" t="s">
        <v>124</v>
      </c>
      <c r="D12333" s="13" t="n">
        <v>44794</v>
      </c>
      <c r="E12333" s="14" t="n">
        <v>2253.91</v>
      </c>
      <c r="F12333" s="14" t="n">
        <v>4833.44</v>
      </c>
      <c r="G12333" s="6" t="s">
        <v>2613</v>
      </c>
    </row>
    <row r="12334" customFormat="false" ht="15" hidden="false" customHeight="true" outlineLevel="0" collapsed="false">
      <c r="A12334" s="6" t="s">
        <v>14946</v>
      </c>
      <c r="B12334" s="6" t="s">
        <v>2463</v>
      </c>
      <c r="C12334" s="6" t="s">
        <v>124</v>
      </c>
      <c r="D12334" s="13" t="n">
        <v>44801</v>
      </c>
      <c r="E12334" s="14" t="n">
        <v>3111.8</v>
      </c>
      <c r="F12334" s="14" t="n">
        <v>7945.24</v>
      </c>
      <c r="G12334" s="6" t="s">
        <v>2613</v>
      </c>
    </row>
    <row r="12335" customFormat="false" ht="15" hidden="false" customHeight="true" outlineLevel="0" collapsed="false">
      <c r="A12335" s="6" t="s">
        <v>14947</v>
      </c>
      <c r="B12335" s="6" t="s">
        <v>2463</v>
      </c>
      <c r="C12335" s="6" t="s">
        <v>124</v>
      </c>
      <c r="D12335" s="13" t="n">
        <v>44808</v>
      </c>
      <c r="E12335" s="14" t="n">
        <v>2149.87</v>
      </c>
      <c r="F12335" s="14" t="n">
        <v>10095.11</v>
      </c>
      <c r="G12335" s="6" t="s">
        <v>2613</v>
      </c>
    </row>
    <row r="12336" customFormat="false" ht="15" hidden="false" customHeight="true" outlineLevel="0" collapsed="false">
      <c r="A12336" s="6" t="s">
        <v>14948</v>
      </c>
      <c r="B12336" s="6" t="s">
        <v>2463</v>
      </c>
      <c r="C12336" s="6" t="s">
        <v>124</v>
      </c>
      <c r="D12336" s="13" t="n">
        <v>44815</v>
      </c>
      <c r="E12336" s="14" t="n">
        <v>3028.48</v>
      </c>
      <c r="F12336" s="14" t="n">
        <v>13123.59</v>
      </c>
      <c r="G12336" s="6" t="s">
        <v>2623</v>
      </c>
    </row>
    <row r="12337" customFormat="false" ht="15" hidden="false" customHeight="true" outlineLevel="0" collapsed="false">
      <c r="A12337" s="6" t="s">
        <v>14949</v>
      </c>
      <c r="B12337" s="6" t="s">
        <v>2463</v>
      </c>
      <c r="C12337" s="6" t="s">
        <v>124</v>
      </c>
      <c r="D12337" s="13" t="n">
        <v>44822</v>
      </c>
      <c r="E12337" s="14" t="n">
        <v>4502.98</v>
      </c>
      <c r="F12337" s="14" t="n">
        <v>17626.57</v>
      </c>
      <c r="G12337" s="6" t="s">
        <v>2613</v>
      </c>
    </row>
    <row r="12338" customFormat="false" ht="15" hidden="false" customHeight="true" outlineLevel="0" collapsed="false">
      <c r="A12338" s="6" t="s">
        <v>14950</v>
      </c>
      <c r="B12338" s="6" t="s">
        <v>2463</v>
      </c>
      <c r="C12338" s="6" t="s">
        <v>124</v>
      </c>
      <c r="D12338" s="13" t="n">
        <v>44829</v>
      </c>
      <c r="E12338" s="14" t="n">
        <v>2283.85</v>
      </c>
      <c r="F12338" s="14" t="n">
        <v>19910.42</v>
      </c>
      <c r="G12338" s="6" t="s">
        <v>2613</v>
      </c>
    </row>
    <row r="12339" customFormat="false" ht="15" hidden="false" customHeight="true" outlineLevel="0" collapsed="false">
      <c r="A12339" s="6" t="s">
        <v>14951</v>
      </c>
      <c r="B12339" s="6" t="s">
        <v>2463</v>
      </c>
      <c r="C12339" s="6" t="s">
        <v>124</v>
      </c>
      <c r="D12339" s="13" t="n">
        <v>44836</v>
      </c>
      <c r="E12339" s="14" t="n">
        <v>2285.3</v>
      </c>
      <c r="F12339" s="14" t="n">
        <v>22195.72</v>
      </c>
      <c r="G12339" s="6" t="s">
        <v>2613</v>
      </c>
    </row>
    <row r="12340" customFormat="false" ht="15" hidden="false" customHeight="true" outlineLevel="0" collapsed="false">
      <c r="A12340" s="6" t="s">
        <v>14952</v>
      </c>
      <c r="B12340" s="6" t="s">
        <v>2463</v>
      </c>
      <c r="C12340" s="6" t="s">
        <v>124</v>
      </c>
      <c r="D12340" s="13" t="n">
        <v>44843</v>
      </c>
      <c r="E12340" s="14" t="n">
        <v>2851.27</v>
      </c>
      <c r="F12340" s="14" t="n">
        <v>25046.99</v>
      </c>
      <c r="G12340" s="6" t="s">
        <v>2613</v>
      </c>
    </row>
    <row r="12341" customFormat="false" ht="15" hidden="false" customHeight="true" outlineLevel="0" collapsed="false">
      <c r="A12341" s="6" t="s">
        <v>14953</v>
      </c>
      <c r="B12341" s="6" t="s">
        <v>2463</v>
      </c>
      <c r="C12341" s="6" t="s">
        <v>124</v>
      </c>
      <c r="D12341" s="13" t="n">
        <v>44850</v>
      </c>
      <c r="E12341" s="14" t="n">
        <v>3434.79</v>
      </c>
      <c r="F12341" s="14" t="n">
        <v>28481.78</v>
      </c>
      <c r="G12341" s="6" t="s">
        <v>2613</v>
      </c>
    </row>
    <row r="12342" customFormat="false" ht="15" hidden="false" customHeight="true" outlineLevel="0" collapsed="false">
      <c r="A12342" s="6" t="s">
        <v>14954</v>
      </c>
      <c r="B12342" s="6" t="s">
        <v>2463</v>
      </c>
      <c r="C12342" s="6" t="s">
        <v>124</v>
      </c>
      <c r="D12342" s="13" t="n">
        <v>44857</v>
      </c>
      <c r="E12342" s="14" t="n">
        <v>4095.86</v>
      </c>
      <c r="F12342" s="14" t="n">
        <v>32577.64</v>
      </c>
      <c r="G12342" s="6" t="s">
        <v>2613</v>
      </c>
    </row>
    <row r="12343" customFormat="false" ht="15" hidden="false" customHeight="true" outlineLevel="0" collapsed="false">
      <c r="A12343" s="6" t="s">
        <v>14955</v>
      </c>
      <c r="B12343" s="6" t="s">
        <v>2463</v>
      </c>
      <c r="C12343" s="6" t="s">
        <v>124</v>
      </c>
      <c r="D12343" s="13" t="n">
        <v>44864</v>
      </c>
      <c r="E12343" s="14" t="n">
        <v>2612.4</v>
      </c>
      <c r="F12343" s="14" t="n">
        <v>35190.04</v>
      </c>
      <c r="G12343" s="6" t="s">
        <v>2613</v>
      </c>
    </row>
    <row r="12344" customFormat="false" ht="15" hidden="false" customHeight="true" outlineLevel="0" collapsed="false">
      <c r="A12344" s="6" t="s">
        <v>14956</v>
      </c>
      <c r="B12344" s="6" t="s">
        <v>2463</v>
      </c>
      <c r="C12344" s="6" t="s">
        <v>124</v>
      </c>
      <c r="D12344" s="13" t="n">
        <v>44871</v>
      </c>
      <c r="E12344" s="14" t="n">
        <v>4354.61</v>
      </c>
      <c r="F12344" s="14" t="n">
        <v>39544.65</v>
      </c>
      <c r="G12344" s="6" t="s">
        <v>2613</v>
      </c>
    </row>
    <row r="12345" customFormat="false" ht="15" hidden="false" customHeight="true" outlineLevel="0" collapsed="false">
      <c r="A12345" s="6" t="s">
        <v>14957</v>
      </c>
      <c r="B12345" s="6" t="s">
        <v>2463</v>
      </c>
      <c r="C12345" s="6" t="s">
        <v>124</v>
      </c>
      <c r="D12345" s="13" t="n">
        <v>44878</v>
      </c>
      <c r="E12345" s="14" t="n">
        <v>4009.73</v>
      </c>
      <c r="F12345" s="14" t="n">
        <v>43554.38</v>
      </c>
      <c r="G12345" s="6" t="s">
        <v>2613</v>
      </c>
    </row>
    <row r="12346" customFormat="false" ht="15" hidden="false" customHeight="true" outlineLevel="0" collapsed="false">
      <c r="A12346" s="6" t="s">
        <v>14958</v>
      </c>
      <c r="B12346" s="6" t="s">
        <v>2463</v>
      </c>
      <c r="C12346" s="6" t="s">
        <v>124</v>
      </c>
      <c r="D12346" s="13" t="n">
        <v>44885</v>
      </c>
      <c r="E12346" s="14" t="n">
        <v>4249.38</v>
      </c>
      <c r="F12346" s="14" t="n">
        <v>47803.76</v>
      </c>
      <c r="G12346" s="6" t="s">
        <v>2613</v>
      </c>
    </row>
    <row r="12347" customFormat="false" ht="15" hidden="false" customHeight="true" outlineLevel="0" collapsed="false">
      <c r="A12347" s="6" t="s">
        <v>14959</v>
      </c>
      <c r="B12347" s="6" t="s">
        <v>2463</v>
      </c>
      <c r="C12347" s="6" t="s">
        <v>124</v>
      </c>
      <c r="D12347" s="13" t="n">
        <v>44892</v>
      </c>
      <c r="E12347" s="14" t="n">
        <v>2776.08</v>
      </c>
      <c r="F12347" s="14" t="n">
        <v>50579.84</v>
      </c>
      <c r="G12347" s="6" t="s">
        <v>2613</v>
      </c>
    </row>
    <row r="12348" customFormat="false" ht="15" hidden="false" customHeight="true" outlineLevel="0" collapsed="false">
      <c r="A12348" s="6" t="s">
        <v>14960</v>
      </c>
      <c r="B12348" s="6" t="s">
        <v>2463</v>
      </c>
      <c r="C12348" s="6" t="s">
        <v>124</v>
      </c>
      <c r="D12348" s="13" t="n">
        <v>44899</v>
      </c>
      <c r="E12348" s="14" t="n">
        <v>8559.37</v>
      </c>
      <c r="F12348" s="14" t="n">
        <v>59139.21</v>
      </c>
      <c r="G12348" s="6" t="s">
        <v>2613</v>
      </c>
    </row>
    <row r="12349" customFormat="false" ht="15" hidden="false" customHeight="true" outlineLevel="0" collapsed="false">
      <c r="A12349" s="6" t="s">
        <v>14961</v>
      </c>
      <c r="B12349" s="6" t="s">
        <v>2465</v>
      </c>
      <c r="C12349" s="6" t="s">
        <v>112</v>
      </c>
      <c r="D12349" s="13" t="n">
        <v>46127</v>
      </c>
      <c r="E12349" s="14" t="n">
        <v>1963.65</v>
      </c>
      <c r="F12349" s="14" t="n">
        <v>1963.65</v>
      </c>
      <c r="G12349" s="6" t="s">
        <v>2613</v>
      </c>
    </row>
    <row r="12350" customFormat="false" ht="15" hidden="false" customHeight="true" outlineLevel="0" collapsed="false">
      <c r="A12350" s="6" t="s">
        <v>14962</v>
      </c>
      <c r="B12350" s="6" t="s">
        <v>2465</v>
      </c>
      <c r="C12350" s="6" t="s">
        <v>112</v>
      </c>
      <c r="D12350" s="13" t="n">
        <v>46134</v>
      </c>
      <c r="E12350" s="14" t="n">
        <v>1702.97</v>
      </c>
      <c r="F12350" s="14" t="n">
        <v>3666.62</v>
      </c>
      <c r="G12350" s="6" t="s">
        <v>2623</v>
      </c>
    </row>
    <row r="12351" customFormat="false" ht="15" hidden="false" customHeight="true" outlineLevel="0" collapsed="false">
      <c r="A12351" s="6" t="s">
        <v>14963</v>
      </c>
      <c r="B12351" s="6" t="s">
        <v>2465</v>
      </c>
      <c r="C12351" s="6" t="s">
        <v>112</v>
      </c>
      <c r="D12351" s="13" t="n">
        <v>46141</v>
      </c>
      <c r="E12351" s="14" t="n">
        <v>1680.5</v>
      </c>
      <c r="F12351" s="14" t="n">
        <v>5347.12</v>
      </c>
      <c r="G12351" s="6" t="s">
        <v>2613</v>
      </c>
    </row>
    <row r="12352" customFormat="false" ht="15" hidden="false" customHeight="true" outlineLevel="0" collapsed="false">
      <c r="A12352" s="6" t="s">
        <v>14964</v>
      </c>
      <c r="B12352" s="6" t="s">
        <v>2465</v>
      </c>
      <c r="C12352" s="6" t="s">
        <v>112</v>
      </c>
      <c r="D12352" s="13" t="n">
        <v>46148</v>
      </c>
      <c r="E12352" s="14" t="n">
        <v>1495.39</v>
      </c>
      <c r="F12352" s="14" t="n">
        <v>6842.51</v>
      </c>
      <c r="G12352" s="6" t="s">
        <v>2613</v>
      </c>
    </row>
    <row r="12353" customFormat="false" ht="15" hidden="false" customHeight="true" outlineLevel="0" collapsed="false">
      <c r="A12353" s="6" t="s">
        <v>14965</v>
      </c>
      <c r="B12353" s="6" t="s">
        <v>2465</v>
      </c>
      <c r="C12353" s="6" t="s">
        <v>112</v>
      </c>
      <c r="D12353" s="13" t="n">
        <v>46155</v>
      </c>
      <c r="E12353" s="14" t="n">
        <v>1921.16</v>
      </c>
      <c r="F12353" s="14" t="n">
        <v>8763.67</v>
      </c>
      <c r="G12353" s="6" t="s">
        <v>2613</v>
      </c>
    </row>
    <row r="12354" customFormat="false" ht="15" hidden="false" customHeight="true" outlineLevel="0" collapsed="false">
      <c r="A12354" s="6" t="s">
        <v>14966</v>
      </c>
      <c r="B12354" s="6" t="s">
        <v>2465</v>
      </c>
      <c r="C12354" s="6" t="s">
        <v>112</v>
      </c>
      <c r="D12354" s="13" t="n">
        <v>46162</v>
      </c>
      <c r="E12354" s="14" t="n">
        <v>1836.03</v>
      </c>
      <c r="F12354" s="14" t="n">
        <v>10599.7</v>
      </c>
      <c r="G12354" s="6" t="s">
        <v>2613</v>
      </c>
    </row>
    <row r="12355" customFormat="false" ht="15" hidden="false" customHeight="true" outlineLevel="0" collapsed="false">
      <c r="A12355" s="6" t="s">
        <v>14967</v>
      </c>
      <c r="B12355" s="6" t="s">
        <v>2465</v>
      </c>
      <c r="C12355" s="6" t="s">
        <v>112</v>
      </c>
      <c r="D12355" s="13" t="n">
        <v>46169</v>
      </c>
      <c r="E12355" s="14" t="n">
        <v>1643</v>
      </c>
      <c r="F12355" s="14" t="n">
        <v>12242.7</v>
      </c>
      <c r="G12355" s="6" t="s">
        <v>2613</v>
      </c>
    </row>
    <row r="12356" customFormat="false" ht="15" hidden="false" customHeight="true" outlineLevel="0" collapsed="false">
      <c r="A12356" s="6" t="s">
        <v>14968</v>
      </c>
      <c r="B12356" s="6" t="s">
        <v>2465</v>
      </c>
      <c r="C12356" s="6" t="s">
        <v>112</v>
      </c>
      <c r="D12356" s="13" t="n">
        <v>46176</v>
      </c>
      <c r="E12356" s="14" t="n">
        <v>1777.47</v>
      </c>
      <c r="F12356" s="14" t="n">
        <v>14020.17</v>
      </c>
      <c r="G12356" s="6" t="s">
        <v>2613</v>
      </c>
    </row>
    <row r="12357" customFormat="false" ht="15" hidden="false" customHeight="true" outlineLevel="0" collapsed="false">
      <c r="A12357" s="6" t="s">
        <v>14969</v>
      </c>
      <c r="B12357" s="6" t="s">
        <v>2465</v>
      </c>
      <c r="C12357" s="6" t="s">
        <v>112</v>
      </c>
      <c r="D12357" s="13" t="n">
        <v>46183</v>
      </c>
      <c r="E12357" s="14" t="n">
        <v>1803.07</v>
      </c>
      <c r="F12357" s="14" t="n">
        <v>15823.24</v>
      </c>
      <c r="G12357" s="6" t="s">
        <v>2613</v>
      </c>
    </row>
    <row r="12358" customFormat="false" ht="15" hidden="false" customHeight="true" outlineLevel="0" collapsed="false">
      <c r="A12358" s="6" t="s">
        <v>14970</v>
      </c>
      <c r="B12358" s="6" t="s">
        <v>2465</v>
      </c>
      <c r="C12358" s="6" t="s">
        <v>112</v>
      </c>
      <c r="D12358" s="13" t="n">
        <v>46190</v>
      </c>
      <c r="E12358" s="14" t="n">
        <v>1599.01</v>
      </c>
      <c r="F12358" s="14" t="n">
        <v>17422.25</v>
      </c>
      <c r="G12358" s="6" t="s">
        <v>2613</v>
      </c>
    </row>
    <row r="12359" customFormat="false" ht="15" hidden="false" customHeight="true" outlineLevel="0" collapsed="false">
      <c r="A12359" s="6" t="s">
        <v>14971</v>
      </c>
      <c r="B12359" s="6" t="s">
        <v>2465</v>
      </c>
      <c r="C12359" s="6" t="s">
        <v>112</v>
      </c>
      <c r="D12359" s="13" t="n">
        <v>46197</v>
      </c>
      <c r="E12359" s="14" t="n">
        <v>1819.37</v>
      </c>
      <c r="F12359" s="14" t="n">
        <v>19241.62</v>
      </c>
      <c r="G12359" s="6" t="s">
        <v>2613</v>
      </c>
    </row>
    <row r="12360" customFormat="false" ht="15" hidden="false" customHeight="true" outlineLevel="0" collapsed="false">
      <c r="A12360" s="6" t="s">
        <v>14972</v>
      </c>
      <c r="B12360" s="6" t="s">
        <v>2465</v>
      </c>
      <c r="C12360" s="6" t="s">
        <v>112</v>
      </c>
      <c r="D12360" s="13" t="n">
        <v>46204</v>
      </c>
      <c r="E12360" s="14" t="n">
        <v>1743.2</v>
      </c>
      <c r="F12360" s="14" t="n">
        <v>20984.82</v>
      </c>
      <c r="G12360" s="6" t="s">
        <v>2613</v>
      </c>
    </row>
    <row r="12361" customFormat="false" ht="15" hidden="false" customHeight="true" outlineLevel="0" collapsed="false">
      <c r="A12361" s="6" t="s">
        <v>14973</v>
      </c>
      <c r="B12361" s="6" t="s">
        <v>2465</v>
      </c>
      <c r="C12361" s="6" t="s">
        <v>112</v>
      </c>
      <c r="D12361" s="13" t="n">
        <v>46211</v>
      </c>
      <c r="E12361" s="14" t="n">
        <v>1000.88</v>
      </c>
      <c r="F12361" s="14" t="n">
        <v>21985.7</v>
      </c>
      <c r="G12361" s="6" t="s">
        <v>2613</v>
      </c>
    </row>
    <row r="12362" customFormat="false" ht="15" hidden="false" customHeight="true" outlineLevel="0" collapsed="false">
      <c r="A12362" s="6" t="s">
        <v>14974</v>
      </c>
      <c r="B12362" s="6" t="s">
        <v>2465</v>
      </c>
      <c r="C12362" s="6" t="s">
        <v>112</v>
      </c>
      <c r="D12362" s="13" t="n">
        <v>46218</v>
      </c>
      <c r="E12362" s="14" t="n">
        <v>1978.96</v>
      </c>
      <c r="F12362" s="14" t="n">
        <v>23964.66</v>
      </c>
      <c r="G12362" s="6" t="s">
        <v>2613</v>
      </c>
    </row>
    <row r="12363" customFormat="false" ht="15" hidden="false" customHeight="true" outlineLevel="0" collapsed="false">
      <c r="A12363" s="6" t="s">
        <v>14975</v>
      </c>
      <c r="B12363" s="6" t="s">
        <v>2465</v>
      </c>
      <c r="C12363" s="6" t="s">
        <v>112</v>
      </c>
      <c r="D12363" s="13" t="n">
        <v>46225</v>
      </c>
      <c r="E12363" s="14" t="n">
        <v>1521.27</v>
      </c>
      <c r="F12363" s="14" t="n">
        <v>25485.93</v>
      </c>
      <c r="G12363" s="6" t="s">
        <v>2613</v>
      </c>
    </row>
    <row r="12364" customFormat="false" ht="15" hidden="false" customHeight="true" outlineLevel="0" collapsed="false">
      <c r="A12364" s="6" t="s">
        <v>14976</v>
      </c>
      <c r="B12364" s="6" t="s">
        <v>2465</v>
      </c>
      <c r="C12364" s="6" t="s">
        <v>112</v>
      </c>
      <c r="D12364" s="13" t="n">
        <v>46232</v>
      </c>
      <c r="E12364" s="14" t="n">
        <v>1249.53</v>
      </c>
      <c r="F12364" s="14" t="n">
        <v>26735.46</v>
      </c>
      <c r="G12364" s="6" t="s">
        <v>2623</v>
      </c>
    </row>
    <row r="12365" customFormat="false" ht="15" hidden="false" customHeight="true" outlineLevel="0" collapsed="false">
      <c r="A12365" s="6" t="s">
        <v>14977</v>
      </c>
      <c r="B12365" s="6" t="s">
        <v>2467</v>
      </c>
      <c r="C12365" s="6" t="s">
        <v>131</v>
      </c>
      <c r="D12365" s="13" t="n">
        <v>45161</v>
      </c>
      <c r="E12365" s="14" t="n">
        <v>3389.48</v>
      </c>
      <c r="F12365" s="14" t="n">
        <v>3389.48</v>
      </c>
      <c r="G12365" s="6" t="s">
        <v>2613</v>
      </c>
    </row>
    <row r="12366" customFormat="false" ht="15" hidden="false" customHeight="true" outlineLevel="0" collapsed="false">
      <c r="A12366" s="6" t="s">
        <v>14978</v>
      </c>
      <c r="B12366" s="6" t="s">
        <v>2467</v>
      </c>
      <c r="C12366" s="6" t="s">
        <v>131</v>
      </c>
      <c r="D12366" s="13" t="n">
        <v>45168</v>
      </c>
      <c r="E12366" s="14" t="n">
        <v>3770.54</v>
      </c>
      <c r="F12366" s="14" t="n">
        <v>7160.02</v>
      </c>
      <c r="G12366" s="6" t="s">
        <v>2613</v>
      </c>
    </row>
    <row r="12367" customFormat="false" ht="15" hidden="false" customHeight="true" outlineLevel="0" collapsed="false">
      <c r="A12367" s="6" t="s">
        <v>14979</v>
      </c>
      <c r="B12367" s="6" t="s">
        <v>2467</v>
      </c>
      <c r="C12367" s="6" t="s">
        <v>131</v>
      </c>
      <c r="D12367" s="13" t="n">
        <v>45175</v>
      </c>
      <c r="E12367" s="14" t="n">
        <v>2688.31</v>
      </c>
      <c r="F12367" s="14" t="n">
        <v>9848.33</v>
      </c>
      <c r="G12367" s="6" t="s">
        <v>2613</v>
      </c>
    </row>
    <row r="12368" customFormat="false" ht="15" hidden="false" customHeight="true" outlineLevel="0" collapsed="false">
      <c r="A12368" s="6" t="s">
        <v>14980</v>
      </c>
      <c r="B12368" s="6" t="s">
        <v>2467</v>
      </c>
      <c r="C12368" s="6" t="s">
        <v>131</v>
      </c>
      <c r="D12368" s="13" t="n">
        <v>45182</v>
      </c>
      <c r="E12368" s="14" t="n">
        <v>3755.88</v>
      </c>
      <c r="F12368" s="14" t="n">
        <v>13604.21</v>
      </c>
      <c r="G12368" s="6" t="s">
        <v>2613</v>
      </c>
    </row>
    <row r="12369" customFormat="false" ht="15" hidden="false" customHeight="true" outlineLevel="0" collapsed="false">
      <c r="A12369" s="6" t="s">
        <v>14981</v>
      </c>
      <c r="B12369" s="6" t="s">
        <v>2467</v>
      </c>
      <c r="C12369" s="6" t="s">
        <v>131</v>
      </c>
      <c r="D12369" s="13" t="n">
        <v>45189</v>
      </c>
      <c r="E12369" s="14" t="n">
        <v>3159.37</v>
      </c>
      <c r="F12369" s="14" t="n">
        <v>16763.58</v>
      </c>
      <c r="G12369" s="6" t="s">
        <v>2613</v>
      </c>
    </row>
    <row r="12370" customFormat="false" ht="15" hidden="false" customHeight="true" outlineLevel="0" collapsed="false">
      <c r="A12370" s="6" t="s">
        <v>14982</v>
      </c>
      <c r="B12370" s="6" t="s">
        <v>2467</v>
      </c>
      <c r="C12370" s="6" t="s">
        <v>131</v>
      </c>
      <c r="D12370" s="13" t="n">
        <v>45196</v>
      </c>
      <c r="E12370" s="14" t="n">
        <v>3576.2</v>
      </c>
      <c r="F12370" s="14" t="n">
        <v>20339.78</v>
      </c>
      <c r="G12370" s="6" t="s">
        <v>2613</v>
      </c>
    </row>
    <row r="12371" customFormat="false" ht="15" hidden="false" customHeight="true" outlineLevel="0" collapsed="false">
      <c r="A12371" s="6" t="s">
        <v>14983</v>
      </c>
      <c r="B12371" s="6" t="s">
        <v>2467</v>
      </c>
      <c r="C12371" s="6" t="s">
        <v>131</v>
      </c>
      <c r="D12371" s="13" t="n">
        <v>45203</v>
      </c>
      <c r="E12371" s="14" t="n">
        <v>3327.18</v>
      </c>
      <c r="F12371" s="14" t="n">
        <v>23666.96</v>
      </c>
      <c r="G12371" s="6" t="s">
        <v>2613</v>
      </c>
    </row>
    <row r="12372" customFormat="false" ht="15" hidden="false" customHeight="true" outlineLevel="0" collapsed="false">
      <c r="A12372" s="6" t="s">
        <v>14984</v>
      </c>
      <c r="B12372" s="6" t="s">
        <v>2469</v>
      </c>
      <c r="C12372" s="6" t="s">
        <v>112</v>
      </c>
      <c r="D12372" s="13" t="n">
        <v>45739</v>
      </c>
      <c r="E12372" s="14" t="n">
        <v>4803.85</v>
      </c>
      <c r="F12372" s="14" t="n">
        <v>4803.85</v>
      </c>
      <c r="G12372" s="6" t="s">
        <v>2613</v>
      </c>
    </row>
    <row r="12373" customFormat="false" ht="15" hidden="false" customHeight="true" outlineLevel="0" collapsed="false">
      <c r="A12373" s="6" t="s">
        <v>14985</v>
      </c>
      <c r="B12373" s="6" t="s">
        <v>2469</v>
      </c>
      <c r="C12373" s="6" t="s">
        <v>112</v>
      </c>
      <c r="D12373" s="13" t="n">
        <v>45746</v>
      </c>
      <c r="E12373" s="14" t="n">
        <v>4456.6</v>
      </c>
      <c r="F12373" s="14" t="n">
        <v>9260.45</v>
      </c>
      <c r="G12373" s="6" t="s">
        <v>2613</v>
      </c>
    </row>
    <row r="12374" customFormat="false" ht="15" hidden="false" customHeight="true" outlineLevel="0" collapsed="false">
      <c r="A12374" s="6" t="s">
        <v>14986</v>
      </c>
      <c r="B12374" s="6" t="s">
        <v>2469</v>
      </c>
      <c r="C12374" s="6" t="s">
        <v>112</v>
      </c>
      <c r="D12374" s="13" t="n">
        <v>45753</v>
      </c>
      <c r="E12374" s="14" t="n">
        <v>2491.44</v>
      </c>
      <c r="F12374" s="14" t="n">
        <v>11751.89</v>
      </c>
      <c r="G12374" s="6" t="s">
        <v>2613</v>
      </c>
    </row>
    <row r="12375" customFormat="false" ht="15" hidden="false" customHeight="true" outlineLevel="0" collapsed="false">
      <c r="A12375" s="6" t="s">
        <v>14987</v>
      </c>
      <c r="B12375" s="6" t="s">
        <v>2469</v>
      </c>
      <c r="C12375" s="6" t="s">
        <v>112</v>
      </c>
      <c r="D12375" s="13" t="n">
        <v>45760</v>
      </c>
      <c r="E12375" s="14" t="n">
        <v>4129.89</v>
      </c>
      <c r="F12375" s="14" t="n">
        <v>15881.78</v>
      </c>
      <c r="G12375" s="6" t="s">
        <v>2613</v>
      </c>
    </row>
    <row r="12376" customFormat="false" ht="15" hidden="false" customHeight="true" outlineLevel="0" collapsed="false">
      <c r="A12376" s="6" t="s">
        <v>14988</v>
      </c>
      <c r="B12376" s="6" t="s">
        <v>2469</v>
      </c>
      <c r="C12376" s="6" t="s">
        <v>112</v>
      </c>
      <c r="D12376" s="13" t="n">
        <v>45767</v>
      </c>
      <c r="E12376" s="14" t="n">
        <v>5073.55</v>
      </c>
      <c r="F12376" s="14" t="n">
        <v>20955.33</v>
      </c>
      <c r="G12376" s="6" t="s">
        <v>2613</v>
      </c>
    </row>
    <row r="12377" customFormat="false" ht="15" hidden="false" customHeight="true" outlineLevel="0" collapsed="false">
      <c r="A12377" s="6" t="s">
        <v>14989</v>
      </c>
      <c r="B12377" s="6" t="s">
        <v>2469</v>
      </c>
      <c r="C12377" s="6" t="s">
        <v>112</v>
      </c>
      <c r="D12377" s="13" t="n">
        <v>45774</v>
      </c>
      <c r="E12377" s="14" t="n">
        <v>4902.21</v>
      </c>
      <c r="F12377" s="14" t="n">
        <v>25857.54</v>
      </c>
      <c r="G12377" s="6" t="s">
        <v>2613</v>
      </c>
    </row>
    <row r="12378" customFormat="false" ht="15" hidden="false" customHeight="true" outlineLevel="0" collapsed="false">
      <c r="A12378" s="6" t="s">
        <v>14990</v>
      </c>
      <c r="B12378" s="6" t="s">
        <v>2469</v>
      </c>
      <c r="C12378" s="6" t="s">
        <v>112</v>
      </c>
      <c r="D12378" s="13" t="n">
        <v>45781</v>
      </c>
      <c r="E12378" s="14" t="n">
        <v>4094.52</v>
      </c>
      <c r="F12378" s="14" t="n">
        <v>29952.06</v>
      </c>
      <c r="G12378" s="6" t="s">
        <v>2613</v>
      </c>
    </row>
    <row r="12379" customFormat="false" ht="15" hidden="false" customHeight="true" outlineLevel="0" collapsed="false">
      <c r="A12379" s="6" t="s">
        <v>14991</v>
      </c>
      <c r="B12379" s="6" t="s">
        <v>2469</v>
      </c>
      <c r="C12379" s="6" t="s">
        <v>112</v>
      </c>
      <c r="D12379" s="13" t="n">
        <v>45788</v>
      </c>
      <c r="E12379" s="14" t="n">
        <v>906.54</v>
      </c>
      <c r="F12379" s="14" t="n">
        <v>30858.6</v>
      </c>
      <c r="G12379" s="6" t="s">
        <v>2613</v>
      </c>
    </row>
    <row r="12380" customFormat="false" ht="15" hidden="false" customHeight="true" outlineLevel="0" collapsed="false">
      <c r="A12380" s="6" t="s">
        <v>14992</v>
      </c>
      <c r="B12380" s="6" t="s">
        <v>2471</v>
      </c>
      <c r="C12380" s="6" t="s">
        <v>124</v>
      </c>
      <c r="D12380" s="13" t="n">
        <v>45855</v>
      </c>
      <c r="E12380" s="14" t="n">
        <v>2825.4</v>
      </c>
      <c r="F12380" s="14" t="n">
        <v>2825.4</v>
      </c>
      <c r="G12380" s="6" t="s">
        <v>2613</v>
      </c>
    </row>
    <row r="12381" customFormat="false" ht="15" hidden="false" customHeight="true" outlineLevel="0" collapsed="false">
      <c r="A12381" s="6" t="s">
        <v>14993</v>
      </c>
      <c r="B12381" s="6" t="s">
        <v>2471</v>
      </c>
      <c r="C12381" s="6" t="s">
        <v>124</v>
      </c>
      <c r="D12381" s="13" t="n">
        <v>45862</v>
      </c>
      <c r="E12381" s="14" t="n">
        <v>3125.11</v>
      </c>
      <c r="F12381" s="14" t="n">
        <v>5950.51</v>
      </c>
      <c r="G12381" s="6" t="s">
        <v>2613</v>
      </c>
    </row>
    <row r="12382" customFormat="false" ht="15" hidden="false" customHeight="true" outlineLevel="0" collapsed="false">
      <c r="A12382" s="6" t="s">
        <v>14994</v>
      </c>
      <c r="B12382" s="6" t="s">
        <v>2471</v>
      </c>
      <c r="C12382" s="6" t="s">
        <v>124</v>
      </c>
      <c r="D12382" s="13" t="n">
        <v>45869</v>
      </c>
      <c r="E12382" s="14" t="n">
        <v>2705.9</v>
      </c>
      <c r="F12382" s="14" t="n">
        <v>8656.41</v>
      </c>
      <c r="G12382" s="6" t="s">
        <v>2613</v>
      </c>
    </row>
    <row r="12383" customFormat="false" ht="15" hidden="false" customHeight="true" outlineLevel="0" collapsed="false">
      <c r="A12383" s="6" t="s">
        <v>14995</v>
      </c>
      <c r="B12383" s="6" t="s">
        <v>2471</v>
      </c>
      <c r="C12383" s="6" t="s">
        <v>124</v>
      </c>
      <c r="D12383" s="13" t="n">
        <v>45876</v>
      </c>
      <c r="E12383" s="14" t="n">
        <v>2351.74</v>
      </c>
      <c r="F12383" s="14" t="n">
        <v>11008.15</v>
      </c>
      <c r="G12383" s="6" t="s">
        <v>2613</v>
      </c>
    </row>
    <row r="12384" customFormat="false" ht="15" hidden="false" customHeight="true" outlineLevel="0" collapsed="false">
      <c r="A12384" s="6" t="s">
        <v>14996</v>
      </c>
      <c r="B12384" s="6" t="s">
        <v>2471</v>
      </c>
      <c r="C12384" s="6" t="s">
        <v>124</v>
      </c>
      <c r="D12384" s="13" t="n">
        <v>45883</v>
      </c>
      <c r="E12384" s="14" t="n">
        <v>3057.85</v>
      </c>
      <c r="F12384" s="14" t="n">
        <v>14066</v>
      </c>
      <c r="G12384" s="6" t="s">
        <v>2613</v>
      </c>
    </row>
    <row r="12385" customFormat="false" ht="15" hidden="false" customHeight="true" outlineLevel="0" collapsed="false">
      <c r="A12385" s="6" t="s">
        <v>14997</v>
      </c>
      <c r="B12385" s="6" t="s">
        <v>2471</v>
      </c>
      <c r="C12385" s="6" t="s">
        <v>124</v>
      </c>
      <c r="D12385" s="13" t="n">
        <v>45890</v>
      </c>
      <c r="E12385" s="14" t="n">
        <v>2337.52</v>
      </c>
      <c r="F12385" s="14" t="n">
        <v>16403.52</v>
      </c>
      <c r="G12385" s="6" t="s">
        <v>2613</v>
      </c>
    </row>
    <row r="12386" customFormat="false" ht="15" hidden="false" customHeight="true" outlineLevel="0" collapsed="false">
      <c r="A12386" s="6" t="s">
        <v>14998</v>
      </c>
      <c r="B12386" s="6" t="s">
        <v>2471</v>
      </c>
      <c r="C12386" s="6" t="s">
        <v>124</v>
      </c>
      <c r="D12386" s="13" t="n">
        <v>45897</v>
      </c>
      <c r="E12386" s="14" t="n">
        <v>2999.12</v>
      </c>
      <c r="F12386" s="14" t="n">
        <v>19402.64</v>
      </c>
      <c r="G12386" s="6" t="s">
        <v>2613</v>
      </c>
    </row>
    <row r="12387" customFormat="false" ht="15" hidden="false" customHeight="true" outlineLevel="0" collapsed="false">
      <c r="A12387" s="6" t="s">
        <v>14999</v>
      </c>
      <c r="B12387" s="6" t="s">
        <v>2471</v>
      </c>
      <c r="C12387" s="6" t="s">
        <v>124</v>
      </c>
      <c r="D12387" s="13" t="n">
        <v>45904</v>
      </c>
      <c r="E12387" s="14" t="n">
        <v>1493.1</v>
      </c>
      <c r="F12387" s="14" t="n">
        <v>20895.74</v>
      </c>
      <c r="G12387" s="6" t="s">
        <v>2613</v>
      </c>
    </row>
    <row r="12388" customFormat="false" ht="15" hidden="false" customHeight="true" outlineLevel="0" collapsed="false">
      <c r="A12388" s="6" t="s">
        <v>15000</v>
      </c>
      <c r="B12388" s="6" t="s">
        <v>2471</v>
      </c>
      <c r="C12388" s="6" t="s">
        <v>124</v>
      </c>
      <c r="D12388" s="13" t="n">
        <v>45911</v>
      </c>
      <c r="E12388" s="14" t="n">
        <v>3039.09</v>
      </c>
      <c r="F12388" s="14" t="n">
        <v>23934.83</v>
      </c>
      <c r="G12388" s="6" t="s">
        <v>2613</v>
      </c>
    </row>
    <row r="12389" customFormat="false" ht="15" hidden="false" customHeight="true" outlineLevel="0" collapsed="false">
      <c r="A12389" s="6" t="s">
        <v>15001</v>
      </c>
      <c r="B12389" s="6" t="s">
        <v>2471</v>
      </c>
      <c r="C12389" s="6" t="s">
        <v>124</v>
      </c>
      <c r="D12389" s="13" t="n">
        <v>45918</v>
      </c>
      <c r="E12389" s="14" t="n">
        <v>3190.23</v>
      </c>
      <c r="F12389" s="14" t="n">
        <v>27125.06</v>
      </c>
      <c r="G12389" s="6" t="s">
        <v>2613</v>
      </c>
    </row>
    <row r="12390" customFormat="false" ht="15" hidden="false" customHeight="true" outlineLevel="0" collapsed="false">
      <c r="A12390" s="6" t="s">
        <v>15002</v>
      </c>
      <c r="B12390" s="6" t="s">
        <v>2471</v>
      </c>
      <c r="C12390" s="6" t="s">
        <v>124</v>
      </c>
      <c r="D12390" s="13" t="n">
        <v>45925</v>
      </c>
      <c r="E12390" s="14" t="n">
        <v>2123.7</v>
      </c>
      <c r="F12390" s="14" t="n">
        <v>29248.76</v>
      </c>
      <c r="G12390" s="6" t="s">
        <v>2613</v>
      </c>
    </row>
    <row r="12391" customFormat="false" ht="15" hidden="false" customHeight="true" outlineLevel="0" collapsed="false">
      <c r="A12391" s="6" t="s">
        <v>15003</v>
      </c>
      <c r="B12391" s="6" t="s">
        <v>2471</v>
      </c>
      <c r="C12391" s="6" t="s">
        <v>124</v>
      </c>
      <c r="D12391" s="13" t="n">
        <v>45932</v>
      </c>
      <c r="E12391" s="14" t="n">
        <v>1463.05</v>
      </c>
      <c r="F12391" s="14" t="n">
        <v>30711.81</v>
      </c>
      <c r="G12391" s="6" t="s">
        <v>2623</v>
      </c>
    </row>
    <row r="12392" customFormat="false" ht="15" hidden="false" customHeight="true" outlineLevel="0" collapsed="false">
      <c r="A12392" s="6" t="s">
        <v>15004</v>
      </c>
      <c r="B12392" s="6" t="s">
        <v>2471</v>
      </c>
      <c r="C12392" s="6" t="s">
        <v>124</v>
      </c>
      <c r="D12392" s="13" t="n">
        <v>45939</v>
      </c>
      <c r="E12392" s="14" t="n">
        <v>2130.06</v>
      </c>
      <c r="F12392" s="14" t="n">
        <v>32841.87</v>
      </c>
      <c r="G12392" s="6" t="s">
        <v>2613</v>
      </c>
    </row>
    <row r="12393" customFormat="false" ht="15" hidden="false" customHeight="true" outlineLevel="0" collapsed="false">
      <c r="A12393" s="6" t="s">
        <v>15005</v>
      </c>
      <c r="B12393" s="6" t="s">
        <v>2471</v>
      </c>
      <c r="C12393" s="6" t="s">
        <v>124</v>
      </c>
      <c r="D12393" s="13" t="n">
        <v>45946</v>
      </c>
      <c r="E12393" s="14" t="n">
        <v>2604.58</v>
      </c>
      <c r="F12393" s="14" t="n">
        <v>35446.45</v>
      </c>
      <c r="G12393" s="6" t="s">
        <v>2623</v>
      </c>
    </row>
    <row r="12394" customFormat="false" ht="15" hidden="false" customHeight="true" outlineLevel="0" collapsed="false">
      <c r="A12394" s="6" t="s">
        <v>15006</v>
      </c>
      <c r="B12394" s="6" t="s">
        <v>2471</v>
      </c>
      <c r="C12394" s="6" t="s">
        <v>124</v>
      </c>
      <c r="D12394" s="13" t="n">
        <v>45953</v>
      </c>
      <c r="E12394" s="14" t="n">
        <v>3010.24</v>
      </c>
      <c r="F12394" s="14" t="n">
        <v>38456.69</v>
      </c>
      <c r="G12394" s="6" t="s">
        <v>2613</v>
      </c>
    </row>
    <row r="12395" customFormat="false" ht="15" hidden="false" customHeight="true" outlineLevel="0" collapsed="false">
      <c r="A12395" s="6" t="s">
        <v>15007</v>
      </c>
      <c r="B12395" s="6" t="s">
        <v>2471</v>
      </c>
      <c r="C12395" s="6" t="s">
        <v>124</v>
      </c>
      <c r="D12395" s="13" t="n">
        <v>45960</v>
      </c>
      <c r="E12395" s="14" t="n">
        <v>2010.62</v>
      </c>
      <c r="F12395" s="14" t="n">
        <v>40467.31</v>
      </c>
      <c r="G12395" s="6" t="s">
        <v>2613</v>
      </c>
    </row>
    <row r="12396" customFormat="false" ht="15" hidden="false" customHeight="true" outlineLevel="0" collapsed="false">
      <c r="A12396" s="6" t="s">
        <v>15008</v>
      </c>
      <c r="B12396" s="6" t="s">
        <v>2473</v>
      </c>
      <c r="C12396" s="6" t="s">
        <v>124</v>
      </c>
      <c r="D12396" s="13" t="n">
        <v>45258</v>
      </c>
      <c r="E12396" s="14" t="n">
        <v>2282.05</v>
      </c>
      <c r="F12396" s="14" t="n">
        <v>2282.05</v>
      </c>
      <c r="G12396" s="6" t="s">
        <v>2613</v>
      </c>
    </row>
    <row r="12397" customFormat="false" ht="15" hidden="false" customHeight="true" outlineLevel="0" collapsed="false">
      <c r="A12397" s="6" t="s">
        <v>15009</v>
      </c>
      <c r="B12397" s="6" t="s">
        <v>2473</v>
      </c>
      <c r="C12397" s="6" t="s">
        <v>124</v>
      </c>
      <c r="D12397" s="13" t="n">
        <v>45265</v>
      </c>
      <c r="E12397" s="14" t="n">
        <v>2572.82</v>
      </c>
      <c r="F12397" s="14" t="n">
        <v>4854.87</v>
      </c>
      <c r="G12397" s="6" t="s">
        <v>2613</v>
      </c>
    </row>
    <row r="12398" customFormat="false" ht="15" hidden="false" customHeight="true" outlineLevel="0" collapsed="false">
      <c r="A12398" s="6" t="s">
        <v>15010</v>
      </c>
      <c r="B12398" s="6" t="s">
        <v>2473</v>
      </c>
      <c r="C12398" s="6" t="s">
        <v>124</v>
      </c>
      <c r="D12398" s="13" t="n">
        <v>45272</v>
      </c>
      <c r="E12398" s="14" t="n">
        <v>1884.79</v>
      </c>
      <c r="F12398" s="14" t="n">
        <v>6739.66</v>
      </c>
      <c r="G12398" s="6" t="s">
        <v>2613</v>
      </c>
    </row>
    <row r="12399" customFormat="false" ht="15" hidden="false" customHeight="true" outlineLevel="0" collapsed="false">
      <c r="A12399" s="6" t="s">
        <v>15011</v>
      </c>
      <c r="B12399" s="6" t="s">
        <v>2473</v>
      </c>
      <c r="C12399" s="6" t="s">
        <v>124</v>
      </c>
      <c r="D12399" s="13" t="n">
        <v>45279</v>
      </c>
      <c r="E12399" s="14" t="n">
        <v>1768.23</v>
      </c>
      <c r="F12399" s="14" t="n">
        <v>8507.89</v>
      </c>
      <c r="G12399" s="6" t="s">
        <v>2613</v>
      </c>
    </row>
    <row r="12400" customFormat="false" ht="15" hidden="false" customHeight="true" outlineLevel="0" collapsed="false">
      <c r="A12400" s="6" t="s">
        <v>15012</v>
      </c>
      <c r="B12400" s="6" t="s">
        <v>2473</v>
      </c>
      <c r="C12400" s="6" t="s">
        <v>124</v>
      </c>
      <c r="D12400" s="13" t="n">
        <v>45286</v>
      </c>
      <c r="E12400" s="14" t="n">
        <v>1517.17</v>
      </c>
      <c r="F12400" s="14" t="n">
        <v>10025.06</v>
      </c>
      <c r="G12400" s="6" t="s">
        <v>2613</v>
      </c>
    </row>
    <row r="12401" customFormat="false" ht="15" hidden="false" customHeight="true" outlineLevel="0" collapsed="false">
      <c r="A12401" s="6" t="s">
        <v>15013</v>
      </c>
      <c r="B12401" s="6" t="s">
        <v>2473</v>
      </c>
      <c r="C12401" s="6" t="s">
        <v>124</v>
      </c>
      <c r="D12401" s="13" t="n">
        <v>45293</v>
      </c>
      <c r="E12401" s="14" t="n">
        <v>2815.56</v>
      </c>
      <c r="F12401" s="14" t="n">
        <v>12840.62</v>
      </c>
      <c r="G12401" s="6" t="s">
        <v>2623</v>
      </c>
    </row>
    <row r="12402" customFormat="false" ht="15" hidden="false" customHeight="true" outlineLevel="0" collapsed="false">
      <c r="A12402" s="6" t="s">
        <v>15014</v>
      </c>
      <c r="B12402" s="6" t="s">
        <v>2473</v>
      </c>
      <c r="C12402" s="6" t="s">
        <v>124</v>
      </c>
      <c r="D12402" s="13" t="n">
        <v>45300</v>
      </c>
      <c r="E12402" s="14" t="n">
        <v>2137.11</v>
      </c>
      <c r="F12402" s="14" t="n">
        <v>14977.73</v>
      </c>
      <c r="G12402" s="6" t="s">
        <v>2613</v>
      </c>
    </row>
    <row r="12403" customFormat="false" ht="15" hidden="false" customHeight="true" outlineLevel="0" collapsed="false">
      <c r="A12403" s="6" t="s">
        <v>15015</v>
      </c>
      <c r="B12403" s="6" t="s">
        <v>2473</v>
      </c>
      <c r="C12403" s="6" t="s">
        <v>124</v>
      </c>
      <c r="D12403" s="13" t="n">
        <v>45307</v>
      </c>
      <c r="E12403" s="14" t="n">
        <v>1569.28</v>
      </c>
      <c r="F12403" s="14" t="n">
        <v>16547.01</v>
      </c>
      <c r="G12403" s="6" t="s">
        <v>2623</v>
      </c>
    </row>
    <row r="12404" customFormat="false" ht="15" hidden="false" customHeight="true" outlineLevel="0" collapsed="false">
      <c r="A12404" s="6" t="s">
        <v>15016</v>
      </c>
      <c r="B12404" s="6" t="s">
        <v>2473</v>
      </c>
      <c r="C12404" s="6" t="s">
        <v>124</v>
      </c>
      <c r="D12404" s="13" t="n">
        <v>45314</v>
      </c>
      <c r="E12404" s="14" t="n">
        <v>1732.22</v>
      </c>
      <c r="F12404" s="14" t="n">
        <v>18279.23</v>
      </c>
      <c r="G12404" s="6" t="s">
        <v>2613</v>
      </c>
    </row>
    <row r="12405" customFormat="false" ht="15" hidden="false" customHeight="true" outlineLevel="0" collapsed="false">
      <c r="A12405" s="6" t="s">
        <v>15017</v>
      </c>
      <c r="B12405" s="6" t="s">
        <v>2475</v>
      </c>
      <c r="C12405" s="6" t="s">
        <v>124</v>
      </c>
      <c r="D12405" s="13" t="n">
        <v>44692</v>
      </c>
      <c r="E12405" s="14" t="n">
        <v>4896.44</v>
      </c>
      <c r="F12405" s="14" t="n">
        <v>4896.44</v>
      </c>
      <c r="G12405" s="6" t="s">
        <v>2613</v>
      </c>
    </row>
    <row r="12406" customFormat="false" ht="15" hidden="false" customHeight="true" outlineLevel="0" collapsed="false">
      <c r="A12406" s="6" t="s">
        <v>15018</v>
      </c>
      <c r="B12406" s="6" t="s">
        <v>2475</v>
      </c>
      <c r="C12406" s="6" t="s">
        <v>124</v>
      </c>
      <c r="D12406" s="13" t="n">
        <v>44699</v>
      </c>
      <c r="E12406" s="14" t="n">
        <v>4537.49</v>
      </c>
      <c r="F12406" s="14" t="n">
        <v>9433.93</v>
      </c>
      <c r="G12406" s="6" t="s">
        <v>2613</v>
      </c>
    </row>
    <row r="12407" customFormat="false" ht="15" hidden="false" customHeight="true" outlineLevel="0" collapsed="false">
      <c r="A12407" s="6" t="s">
        <v>15019</v>
      </c>
      <c r="B12407" s="6" t="s">
        <v>2475</v>
      </c>
      <c r="C12407" s="6" t="s">
        <v>124</v>
      </c>
      <c r="D12407" s="13" t="n">
        <v>44706</v>
      </c>
      <c r="E12407" s="14" t="n">
        <v>3923.71</v>
      </c>
      <c r="F12407" s="14" t="n">
        <v>13357.64</v>
      </c>
      <c r="G12407" s="6" t="s">
        <v>2613</v>
      </c>
    </row>
    <row r="12408" customFormat="false" ht="15" hidden="false" customHeight="true" outlineLevel="0" collapsed="false">
      <c r="A12408" s="6" t="s">
        <v>15020</v>
      </c>
      <c r="B12408" s="6" t="s">
        <v>2475</v>
      </c>
      <c r="C12408" s="6" t="s">
        <v>124</v>
      </c>
      <c r="D12408" s="13" t="n">
        <v>44713</v>
      </c>
      <c r="E12408" s="14" t="n">
        <v>3243</v>
      </c>
      <c r="F12408" s="14" t="n">
        <v>16600.64</v>
      </c>
      <c r="G12408" s="6" t="s">
        <v>2613</v>
      </c>
    </row>
    <row r="12409" customFormat="false" ht="15" hidden="false" customHeight="true" outlineLevel="0" collapsed="false">
      <c r="A12409" s="6" t="s">
        <v>15021</v>
      </c>
      <c r="B12409" s="6" t="s">
        <v>2475</v>
      </c>
      <c r="C12409" s="6" t="s">
        <v>124</v>
      </c>
      <c r="D12409" s="13" t="n">
        <v>44720</v>
      </c>
      <c r="E12409" s="14" t="n">
        <v>4711.23</v>
      </c>
      <c r="F12409" s="14" t="n">
        <v>21311.87</v>
      </c>
      <c r="G12409" s="6" t="s">
        <v>2613</v>
      </c>
    </row>
    <row r="12410" customFormat="false" ht="15" hidden="false" customHeight="true" outlineLevel="0" collapsed="false">
      <c r="A12410" s="6" t="s">
        <v>15022</v>
      </c>
      <c r="B12410" s="6" t="s">
        <v>2475</v>
      </c>
      <c r="C12410" s="6" t="s">
        <v>124</v>
      </c>
      <c r="D12410" s="13" t="n">
        <v>44727</v>
      </c>
      <c r="E12410" s="14" t="n">
        <v>3628.94</v>
      </c>
      <c r="F12410" s="14" t="n">
        <v>24940.81</v>
      </c>
      <c r="G12410" s="6" t="s">
        <v>2613</v>
      </c>
    </row>
    <row r="12411" customFormat="false" ht="15" hidden="false" customHeight="true" outlineLevel="0" collapsed="false">
      <c r="A12411" s="6" t="s">
        <v>15023</v>
      </c>
      <c r="B12411" s="6" t="s">
        <v>2475</v>
      </c>
      <c r="C12411" s="6" t="s">
        <v>124</v>
      </c>
      <c r="D12411" s="13" t="n">
        <v>44734</v>
      </c>
      <c r="E12411" s="14" t="n">
        <v>2636.41</v>
      </c>
      <c r="F12411" s="14" t="n">
        <v>27577.22</v>
      </c>
      <c r="G12411" s="6" t="s">
        <v>2613</v>
      </c>
    </row>
    <row r="12412" customFormat="false" ht="15" hidden="false" customHeight="true" outlineLevel="0" collapsed="false">
      <c r="A12412" s="6" t="s">
        <v>15024</v>
      </c>
      <c r="B12412" s="6" t="s">
        <v>2475</v>
      </c>
      <c r="C12412" s="6" t="s">
        <v>124</v>
      </c>
      <c r="D12412" s="13" t="n">
        <v>44741</v>
      </c>
      <c r="E12412" s="14" t="n">
        <v>547.42</v>
      </c>
      <c r="F12412" s="14" t="n">
        <v>28124.64</v>
      </c>
      <c r="G12412" s="6" t="s">
        <v>2613</v>
      </c>
    </row>
    <row r="12413" customFormat="false" ht="15" hidden="false" customHeight="true" outlineLevel="0" collapsed="false">
      <c r="A12413" s="6" t="s">
        <v>15025</v>
      </c>
      <c r="B12413" s="6" t="s">
        <v>2477</v>
      </c>
      <c r="C12413" s="6" t="s">
        <v>120</v>
      </c>
      <c r="D12413" s="13" t="n">
        <v>45384</v>
      </c>
      <c r="E12413" s="14" t="n">
        <v>632.08</v>
      </c>
      <c r="F12413" s="14" t="n">
        <v>632.08</v>
      </c>
      <c r="G12413" s="6" t="s">
        <v>2613</v>
      </c>
    </row>
    <row r="12414" customFormat="false" ht="15" hidden="false" customHeight="true" outlineLevel="0" collapsed="false">
      <c r="A12414" s="6" t="s">
        <v>15026</v>
      </c>
      <c r="B12414" s="6" t="s">
        <v>2477</v>
      </c>
      <c r="C12414" s="6" t="s">
        <v>120</v>
      </c>
      <c r="D12414" s="13" t="n">
        <v>45391</v>
      </c>
      <c r="E12414" s="14" t="n">
        <v>993.56</v>
      </c>
      <c r="F12414" s="14" t="n">
        <v>1625.64</v>
      </c>
      <c r="G12414" s="6" t="s">
        <v>2613</v>
      </c>
    </row>
    <row r="12415" customFormat="false" ht="15" hidden="false" customHeight="true" outlineLevel="0" collapsed="false">
      <c r="A12415" s="6" t="s">
        <v>15027</v>
      </c>
      <c r="B12415" s="6" t="s">
        <v>2477</v>
      </c>
      <c r="C12415" s="6" t="s">
        <v>120</v>
      </c>
      <c r="D12415" s="13" t="n">
        <v>45398</v>
      </c>
      <c r="E12415" s="14" t="n">
        <v>652.92</v>
      </c>
      <c r="F12415" s="14" t="n">
        <v>2278.56</v>
      </c>
      <c r="G12415" s="6" t="s">
        <v>2613</v>
      </c>
    </row>
    <row r="12416" customFormat="false" ht="15" hidden="false" customHeight="true" outlineLevel="0" collapsed="false">
      <c r="A12416" s="6" t="s">
        <v>15028</v>
      </c>
      <c r="B12416" s="6" t="s">
        <v>2477</v>
      </c>
      <c r="C12416" s="6" t="s">
        <v>120</v>
      </c>
      <c r="D12416" s="13" t="n">
        <v>45405</v>
      </c>
      <c r="E12416" s="14" t="n">
        <v>555.65</v>
      </c>
      <c r="F12416" s="14" t="n">
        <v>2834.21</v>
      </c>
      <c r="G12416" s="6" t="s">
        <v>2613</v>
      </c>
    </row>
    <row r="12417" customFormat="false" ht="15" hidden="false" customHeight="true" outlineLevel="0" collapsed="false">
      <c r="A12417" s="6" t="s">
        <v>15029</v>
      </c>
      <c r="B12417" s="6" t="s">
        <v>2477</v>
      </c>
      <c r="C12417" s="6" t="s">
        <v>120</v>
      </c>
      <c r="D12417" s="13" t="n">
        <v>45412</v>
      </c>
      <c r="E12417" s="14" t="n">
        <v>852.94</v>
      </c>
      <c r="F12417" s="14" t="n">
        <v>3687.15</v>
      </c>
      <c r="G12417" s="6" t="s">
        <v>2623</v>
      </c>
    </row>
    <row r="12418" customFormat="false" ht="15" hidden="false" customHeight="true" outlineLevel="0" collapsed="false">
      <c r="A12418" s="6" t="s">
        <v>15030</v>
      </c>
      <c r="B12418" s="6" t="s">
        <v>2477</v>
      </c>
      <c r="C12418" s="6" t="s">
        <v>120</v>
      </c>
      <c r="D12418" s="13" t="n">
        <v>45419</v>
      </c>
      <c r="E12418" s="14" t="n">
        <v>559.24</v>
      </c>
      <c r="F12418" s="14" t="n">
        <v>4246.39</v>
      </c>
      <c r="G12418" s="6" t="s">
        <v>2613</v>
      </c>
    </row>
    <row r="12419" customFormat="false" ht="15" hidden="false" customHeight="true" outlineLevel="0" collapsed="false">
      <c r="A12419" s="6" t="s">
        <v>15031</v>
      </c>
      <c r="B12419" s="6" t="s">
        <v>2477</v>
      </c>
      <c r="C12419" s="6" t="s">
        <v>120</v>
      </c>
      <c r="D12419" s="13" t="n">
        <v>45426</v>
      </c>
      <c r="E12419" s="14" t="n">
        <v>928.29</v>
      </c>
      <c r="F12419" s="14" t="n">
        <v>5174.68</v>
      </c>
      <c r="G12419" s="6" t="s">
        <v>2613</v>
      </c>
    </row>
    <row r="12420" customFormat="false" ht="15" hidden="false" customHeight="true" outlineLevel="0" collapsed="false">
      <c r="A12420" s="6" t="s">
        <v>15032</v>
      </c>
      <c r="B12420" s="6" t="s">
        <v>2477</v>
      </c>
      <c r="C12420" s="6" t="s">
        <v>120</v>
      </c>
      <c r="D12420" s="13" t="n">
        <v>45433</v>
      </c>
      <c r="E12420" s="14" t="n">
        <v>1315.26</v>
      </c>
      <c r="F12420" s="14" t="n">
        <v>6489.94</v>
      </c>
      <c r="G12420" s="6" t="s">
        <v>2623</v>
      </c>
    </row>
    <row r="12421" customFormat="false" ht="15" hidden="false" customHeight="true" outlineLevel="0" collapsed="false">
      <c r="A12421" s="6" t="s">
        <v>15033</v>
      </c>
      <c r="B12421" s="6" t="s">
        <v>2479</v>
      </c>
      <c r="C12421" s="6" t="s">
        <v>131</v>
      </c>
      <c r="D12421" s="13" t="n">
        <v>45552</v>
      </c>
      <c r="E12421" s="14" t="n">
        <v>2650.52</v>
      </c>
      <c r="F12421" s="14" t="n">
        <v>2650.52</v>
      </c>
      <c r="G12421" s="6" t="s">
        <v>2613</v>
      </c>
    </row>
    <row r="12422" customFormat="false" ht="15" hidden="false" customHeight="true" outlineLevel="0" collapsed="false">
      <c r="A12422" s="6" t="s">
        <v>15034</v>
      </c>
      <c r="B12422" s="6" t="s">
        <v>2479</v>
      </c>
      <c r="C12422" s="6" t="s">
        <v>131</v>
      </c>
      <c r="D12422" s="13" t="n">
        <v>45559</v>
      </c>
      <c r="E12422" s="14" t="n">
        <v>2543.85</v>
      </c>
      <c r="F12422" s="14" t="n">
        <v>5194.37</v>
      </c>
      <c r="G12422" s="6" t="s">
        <v>2623</v>
      </c>
    </row>
    <row r="12423" customFormat="false" ht="15" hidden="false" customHeight="true" outlineLevel="0" collapsed="false">
      <c r="A12423" s="6" t="s">
        <v>15035</v>
      </c>
      <c r="B12423" s="6" t="s">
        <v>2479</v>
      </c>
      <c r="C12423" s="6" t="s">
        <v>131</v>
      </c>
      <c r="D12423" s="13" t="n">
        <v>45566</v>
      </c>
      <c r="E12423" s="14" t="n">
        <v>3185.88</v>
      </c>
      <c r="F12423" s="14" t="n">
        <v>8380.25</v>
      </c>
      <c r="G12423" s="6" t="s">
        <v>2613</v>
      </c>
    </row>
    <row r="12424" customFormat="false" ht="15" hidden="false" customHeight="true" outlineLevel="0" collapsed="false">
      <c r="A12424" s="6" t="s">
        <v>15036</v>
      </c>
      <c r="B12424" s="6" t="s">
        <v>2479</v>
      </c>
      <c r="C12424" s="6" t="s">
        <v>131</v>
      </c>
      <c r="D12424" s="13" t="n">
        <v>45573</v>
      </c>
      <c r="E12424" s="14" t="n">
        <v>3489.75</v>
      </c>
      <c r="F12424" s="14" t="n">
        <v>11870</v>
      </c>
      <c r="G12424" s="6" t="s">
        <v>2613</v>
      </c>
    </row>
    <row r="12425" customFormat="false" ht="15" hidden="false" customHeight="true" outlineLevel="0" collapsed="false">
      <c r="A12425" s="6" t="s">
        <v>15037</v>
      </c>
      <c r="B12425" s="6" t="s">
        <v>2479</v>
      </c>
      <c r="C12425" s="6" t="s">
        <v>131</v>
      </c>
      <c r="D12425" s="13" t="n">
        <v>45580</v>
      </c>
      <c r="E12425" s="14" t="n">
        <v>2534.77</v>
      </c>
      <c r="F12425" s="14" t="n">
        <v>14404.77</v>
      </c>
      <c r="G12425" s="6" t="s">
        <v>2613</v>
      </c>
    </row>
    <row r="12426" customFormat="false" ht="15" hidden="false" customHeight="true" outlineLevel="0" collapsed="false">
      <c r="A12426" s="6" t="s">
        <v>15038</v>
      </c>
      <c r="B12426" s="6" t="s">
        <v>2479</v>
      </c>
      <c r="C12426" s="6" t="s">
        <v>131</v>
      </c>
      <c r="D12426" s="13" t="n">
        <v>45587</v>
      </c>
      <c r="E12426" s="14" t="n">
        <v>5016.83</v>
      </c>
      <c r="F12426" s="14" t="n">
        <v>19421.6</v>
      </c>
      <c r="G12426" s="6" t="s">
        <v>2613</v>
      </c>
    </row>
    <row r="12427" customFormat="false" ht="15" hidden="false" customHeight="true" outlineLevel="0" collapsed="false">
      <c r="A12427" s="6" t="s">
        <v>15039</v>
      </c>
      <c r="B12427" s="6" t="s">
        <v>2479</v>
      </c>
      <c r="C12427" s="6" t="s">
        <v>131</v>
      </c>
      <c r="D12427" s="13" t="n">
        <v>45594</v>
      </c>
      <c r="E12427" s="14" t="n">
        <v>9443.21</v>
      </c>
      <c r="F12427" s="14" t="n">
        <v>28864.81</v>
      </c>
      <c r="G12427" s="6" t="s">
        <v>2613</v>
      </c>
    </row>
    <row r="12428" customFormat="false" ht="15" hidden="false" customHeight="true" outlineLevel="0" collapsed="false">
      <c r="A12428" s="6" t="s">
        <v>15040</v>
      </c>
      <c r="B12428" s="6" t="s">
        <v>2481</v>
      </c>
      <c r="C12428" s="6" t="s">
        <v>124</v>
      </c>
      <c r="D12428" s="13" t="n">
        <v>44810</v>
      </c>
      <c r="E12428" s="14" t="n">
        <v>9751.82</v>
      </c>
      <c r="F12428" s="14" t="n">
        <v>9751.82</v>
      </c>
      <c r="G12428" s="6" t="s">
        <v>2613</v>
      </c>
    </row>
    <row r="12429" customFormat="false" ht="15" hidden="false" customHeight="true" outlineLevel="0" collapsed="false">
      <c r="A12429" s="6" t="s">
        <v>15041</v>
      </c>
      <c r="B12429" s="6" t="s">
        <v>2481</v>
      </c>
      <c r="C12429" s="6" t="s">
        <v>124</v>
      </c>
      <c r="D12429" s="13" t="n">
        <v>44817</v>
      </c>
      <c r="E12429" s="14" t="n">
        <v>6184.57</v>
      </c>
      <c r="F12429" s="14" t="n">
        <v>15936.39</v>
      </c>
      <c r="G12429" s="6" t="s">
        <v>2613</v>
      </c>
    </row>
    <row r="12430" customFormat="false" ht="15" hidden="false" customHeight="true" outlineLevel="0" collapsed="false">
      <c r="A12430" s="6" t="s">
        <v>15042</v>
      </c>
      <c r="B12430" s="6" t="s">
        <v>2481</v>
      </c>
      <c r="C12430" s="6" t="s">
        <v>124</v>
      </c>
      <c r="D12430" s="13" t="n">
        <v>44824</v>
      </c>
      <c r="E12430" s="14" t="n">
        <v>10630.31</v>
      </c>
      <c r="F12430" s="14" t="n">
        <v>26566.7</v>
      </c>
      <c r="G12430" s="6" t="s">
        <v>2613</v>
      </c>
    </row>
    <row r="12431" customFormat="false" ht="15" hidden="false" customHeight="true" outlineLevel="0" collapsed="false">
      <c r="A12431" s="6" t="s">
        <v>15043</v>
      </c>
      <c r="B12431" s="6" t="s">
        <v>2481</v>
      </c>
      <c r="C12431" s="6" t="s">
        <v>124</v>
      </c>
      <c r="D12431" s="13" t="n">
        <v>44831</v>
      </c>
      <c r="E12431" s="14" t="n">
        <v>7958.13</v>
      </c>
      <c r="F12431" s="14" t="n">
        <v>34524.83</v>
      </c>
      <c r="G12431" s="6" t="s">
        <v>2613</v>
      </c>
    </row>
    <row r="12432" customFormat="false" ht="15" hidden="false" customHeight="true" outlineLevel="0" collapsed="false">
      <c r="A12432" s="6" t="s">
        <v>15044</v>
      </c>
      <c r="B12432" s="6" t="s">
        <v>2481</v>
      </c>
      <c r="C12432" s="6" t="s">
        <v>124</v>
      </c>
      <c r="D12432" s="13" t="n">
        <v>44838</v>
      </c>
      <c r="E12432" s="14" t="n">
        <v>10109.83</v>
      </c>
      <c r="F12432" s="14" t="n">
        <v>44634.66</v>
      </c>
      <c r="G12432" s="6" t="s">
        <v>2613</v>
      </c>
    </row>
    <row r="12433" customFormat="false" ht="15" hidden="false" customHeight="true" outlineLevel="0" collapsed="false">
      <c r="A12433" s="6" t="s">
        <v>15045</v>
      </c>
      <c r="B12433" s="6" t="s">
        <v>2481</v>
      </c>
      <c r="C12433" s="6" t="s">
        <v>124</v>
      </c>
      <c r="D12433" s="13" t="n">
        <v>44845</v>
      </c>
      <c r="E12433" s="14" t="n">
        <v>10165.78</v>
      </c>
      <c r="F12433" s="14" t="n">
        <v>54800.44</v>
      </c>
      <c r="G12433" s="6" t="s">
        <v>2613</v>
      </c>
    </row>
    <row r="12434" customFormat="false" ht="15" hidden="false" customHeight="true" outlineLevel="0" collapsed="false">
      <c r="A12434" s="6" t="s">
        <v>15046</v>
      </c>
      <c r="B12434" s="6" t="s">
        <v>2481</v>
      </c>
      <c r="C12434" s="6" t="s">
        <v>124</v>
      </c>
      <c r="D12434" s="13" t="n">
        <v>44852</v>
      </c>
      <c r="E12434" s="14" t="n">
        <v>5165.12</v>
      </c>
      <c r="F12434" s="14" t="n">
        <v>59965.56</v>
      </c>
      <c r="G12434" s="6" t="s">
        <v>2623</v>
      </c>
    </row>
    <row r="12435" customFormat="false" ht="15" hidden="false" customHeight="true" outlineLevel="0" collapsed="false">
      <c r="A12435" s="6" t="s">
        <v>15047</v>
      </c>
      <c r="B12435" s="6" t="s">
        <v>2481</v>
      </c>
      <c r="C12435" s="6" t="s">
        <v>124</v>
      </c>
      <c r="D12435" s="13" t="n">
        <v>44859</v>
      </c>
      <c r="E12435" s="14" t="n">
        <v>5465.52</v>
      </c>
      <c r="F12435" s="14" t="n">
        <v>65431.08</v>
      </c>
      <c r="G12435" s="6" t="s">
        <v>2613</v>
      </c>
    </row>
    <row r="12436" customFormat="false" ht="15" hidden="false" customHeight="true" outlineLevel="0" collapsed="false">
      <c r="A12436" s="6" t="s">
        <v>15048</v>
      </c>
      <c r="B12436" s="6" t="s">
        <v>2481</v>
      </c>
      <c r="C12436" s="6" t="s">
        <v>124</v>
      </c>
      <c r="D12436" s="13" t="n">
        <v>44866</v>
      </c>
      <c r="E12436" s="14" t="n">
        <v>3263.09</v>
      </c>
      <c r="F12436" s="14" t="n">
        <v>68694.17</v>
      </c>
      <c r="G12436" s="6" t="s">
        <v>2613</v>
      </c>
    </row>
    <row r="12437" customFormat="false" ht="15" hidden="false" customHeight="true" outlineLevel="0" collapsed="false">
      <c r="A12437" s="6" t="s">
        <v>15049</v>
      </c>
      <c r="B12437" s="6" t="s">
        <v>2483</v>
      </c>
      <c r="C12437" s="6" t="s">
        <v>128</v>
      </c>
      <c r="D12437" s="13" t="n">
        <v>45163</v>
      </c>
      <c r="E12437" s="14" t="n">
        <v>3228.92</v>
      </c>
      <c r="F12437" s="14" t="n">
        <v>3228.92</v>
      </c>
      <c r="G12437" s="6" t="s">
        <v>2613</v>
      </c>
    </row>
    <row r="12438" customFormat="false" ht="15" hidden="false" customHeight="true" outlineLevel="0" collapsed="false">
      <c r="A12438" s="6" t="s">
        <v>15050</v>
      </c>
      <c r="B12438" s="6" t="s">
        <v>2483</v>
      </c>
      <c r="C12438" s="6" t="s">
        <v>128</v>
      </c>
      <c r="D12438" s="13" t="n">
        <v>45170</v>
      </c>
      <c r="E12438" s="14" t="n">
        <v>5496.78</v>
      </c>
      <c r="F12438" s="14" t="n">
        <v>8725.7</v>
      </c>
      <c r="G12438" s="6" t="s">
        <v>2613</v>
      </c>
    </row>
    <row r="12439" customFormat="false" ht="15" hidden="false" customHeight="true" outlineLevel="0" collapsed="false">
      <c r="A12439" s="6" t="s">
        <v>15051</v>
      </c>
      <c r="B12439" s="6" t="s">
        <v>2483</v>
      </c>
      <c r="C12439" s="6" t="s">
        <v>128</v>
      </c>
      <c r="D12439" s="13" t="n">
        <v>45177</v>
      </c>
      <c r="E12439" s="14" t="n">
        <v>5512.31</v>
      </c>
      <c r="F12439" s="14" t="n">
        <v>14238.01</v>
      </c>
      <c r="G12439" s="6" t="s">
        <v>2613</v>
      </c>
    </row>
    <row r="12440" customFormat="false" ht="15" hidden="false" customHeight="true" outlineLevel="0" collapsed="false">
      <c r="A12440" s="6" t="s">
        <v>15052</v>
      </c>
      <c r="B12440" s="6" t="s">
        <v>2483</v>
      </c>
      <c r="C12440" s="6" t="s">
        <v>128</v>
      </c>
      <c r="D12440" s="13" t="n">
        <v>45184</v>
      </c>
      <c r="E12440" s="14" t="n">
        <v>3064.44</v>
      </c>
      <c r="F12440" s="14" t="n">
        <v>17302.45</v>
      </c>
      <c r="G12440" s="6" t="s">
        <v>2613</v>
      </c>
    </row>
    <row r="12441" customFormat="false" ht="15" hidden="false" customHeight="true" outlineLevel="0" collapsed="false">
      <c r="A12441" s="6" t="s">
        <v>15053</v>
      </c>
      <c r="B12441" s="6" t="s">
        <v>2483</v>
      </c>
      <c r="C12441" s="6" t="s">
        <v>128</v>
      </c>
      <c r="D12441" s="13" t="n">
        <v>45191</v>
      </c>
      <c r="E12441" s="14" t="n">
        <v>3825.95</v>
      </c>
      <c r="F12441" s="14" t="n">
        <v>21128.4</v>
      </c>
      <c r="G12441" s="6" t="s">
        <v>2613</v>
      </c>
    </row>
    <row r="12442" customFormat="false" ht="15" hidden="false" customHeight="true" outlineLevel="0" collapsed="false">
      <c r="A12442" s="6" t="s">
        <v>15054</v>
      </c>
      <c r="B12442" s="6" t="s">
        <v>2483</v>
      </c>
      <c r="C12442" s="6" t="s">
        <v>128</v>
      </c>
      <c r="D12442" s="13" t="n">
        <v>45198</v>
      </c>
      <c r="E12442" s="14" t="n">
        <v>4144.3</v>
      </c>
      <c r="F12442" s="14" t="n">
        <v>25272.7</v>
      </c>
      <c r="G12442" s="6" t="s">
        <v>2613</v>
      </c>
    </row>
    <row r="12443" customFormat="false" ht="15" hidden="false" customHeight="true" outlineLevel="0" collapsed="false">
      <c r="A12443" s="6" t="s">
        <v>15055</v>
      </c>
      <c r="B12443" s="6" t="s">
        <v>2483</v>
      </c>
      <c r="C12443" s="6" t="s">
        <v>128</v>
      </c>
      <c r="D12443" s="13" t="n">
        <v>45205</v>
      </c>
      <c r="E12443" s="14" t="n">
        <v>4382.14</v>
      </c>
      <c r="F12443" s="14" t="n">
        <v>29654.84</v>
      </c>
      <c r="G12443" s="6" t="s">
        <v>2613</v>
      </c>
    </row>
    <row r="12444" customFormat="false" ht="15" hidden="false" customHeight="true" outlineLevel="0" collapsed="false">
      <c r="A12444" s="6" t="s">
        <v>15056</v>
      </c>
      <c r="B12444" s="6" t="s">
        <v>2483</v>
      </c>
      <c r="C12444" s="6" t="s">
        <v>128</v>
      </c>
      <c r="D12444" s="13" t="n">
        <v>45212</v>
      </c>
      <c r="E12444" s="14" t="n">
        <v>2709.43</v>
      </c>
      <c r="F12444" s="14" t="n">
        <v>32364.27</v>
      </c>
      <c r="G12444" s="6" t="s">
        <v>2613</v>
      </c>
    </row>
    <row r="12445" customFormat="false" ht="15" hidden="false" customHeight="true" outlineLevel="0" collapsed="false">
      <c r="A12445" s="6" t="s">
        <v>15057</v>
      </c>
      <c r="B12445" s="6" t="s">
        <v>2483</v>
      </c>
      <c r="C12445" s="6" t="s">
        <v>128</v>
      </c>
      <c r="D12445" s="13" t="n">
        <v>45219</v>
      </c>
      <c r="E12445" s="14" t="n">
        <v>5280.22</v>
      </c>
      <c r="F12445" s="14" t="n">
        <v>37644.49</v>
      </c>
      <c r="G12445" s="6" t="s">
        <v>2613</v>
      </c>
    </row>
    <row r="12446" customFormat="false" ht="15" hidden="false" customHeight="true" outlineLevel="0" collapsed="false">
      <c r="A12446" s="6" t="s">
        <v>15058</v>
      </c>
      <c r="B12446" s="6" t="s">
        <v>2483</v>
      </c>
      <c r="C12446" s="6" t="s">
        <v>128</v>
      </c>
      <c r="D12446" s="13" t="n">
        <v>45226</v>
      </c>
      <c r="E12446" s="14" t="n">
        <v>5475.43</v>
      </c>
      <c r="F12446" s="14" t="n">
        <v>43119.92</v>
      </c>
      <c r="G12446" s="6" t="s">
        <v>2613</v>
      </c>
    </row>
    <row r="12447" customFormat="false" ht="15" hidden="false" customHeight="true" outlineLevel="0" collapsed="false">
      <c r="A12447" s="6" t="s">
        <v>15059</v>
      </c>
      <c r="B12447" s="6" t="s">
        <v>2483</v>
      </c>
      <c r="C12447" s="6" t="s">
        <v>128</v>
      </c>
      <c r="D12447" s="13" t="n">
        <v>45233</v>
      </c>
      <c r="E12447" s="14" t="n">
        <v>2989.01</v>
      </c>
      <c r="F12447" s="14" t="n">
        <v>46108.93</v>
      </c>
      <c r="G12447" s="6" t="s">
        <v>2613</v>
      </c>
    </row>
    <row r="12448" customFormat="false" ht="15" hidden="false" customHeight="true" outlineLevel="0" collapsed="false">
      <c r="A12448" s="6" t="s">
        <v>15060</v>
      </c>
      <c r="B12448" s="6" t="s">
        <v>2483</v>
      </c>
      <c r="C12448" s="6" t="s">
        <v>128</v>
      </c>
      <c r="D12448" s="13" t="n">
        <v>45240</v>
      </c>
      <c r="E12448" s="14" t="n">
        <v>5884.16</v>
      </c>
      <c r="F12448" s="14" t="n">
        <v>51993.09</v>
      </c>
      <c r="G12448" s="6" t="s">
        <v>2613</v>
      </c>
    </row>
    <row r="12449" customFormat="false" ht="15" hidden="false" customHeight="true" outlineLevel="0" collapsed="false">
      <c r="A12449" s="6" t="s">
        <v>15061</v>
      </c>
      <c r="B12449" s="6" t="s">
        <v>2483</v>
      </c>
      <c r="C12449" s="6" t="s">
        <v>128</v>
      </c>
      <c r="D12449" s="13" t="n">
        <v>45247</v>
      </c>
      <c r="E12449" s="14" t="n">
        <v>5272.56</v>
      </c>
      <c r="F12449" s="14" t="n">
        <v>57265.65</v>
      </c>
      <c r="G12449" s="6" t="s">
        <v>2613</v>
      </c>
    </row>
    <row r="12450" customFormat="false" ht="15" hidden="false" customHeight="true" outlineLevel="0" collapsed="false">
      <c r="A12450" s="6" t="s">
        <v>15062</v>
      </c>
      <c r="B12450" s="6" t="s">
        <v>2483</v>
      </c>
      <c r="C12450" s="6" t="s">
        <v>128</v>
      </c>
      <c r="D12450" s="13" t="n">
        <v>45254</v>
      </c>
      <c r="E12450" s="14" t="n">
        <v>3734.4</v>
      </c>
      <c r="F12450" s="14" t="n">
        <v>61000.05</v>
      </c>
      <c r="G12450" s="6" t="s">
        <v>2613</v>
      </c>
    </row>
    <row r="12451" customFormat="false" ht="15" hidden="false" customHeight="true" outlineLevel="0" collapsed="false">
      <c r="A12451" s="6" t="s">
        <v>15063</v>
      </c>
      <c r="B12451" s="6" t="s">
        <v>2483</v>
      </c>
      <c r="C12451" s="6" t="s">
        <v>128</v>
      </c>
      <c r="D12451" s="13" t="n">
        <v>45261</v>
      </c>
      <c r="E12451" s="14" t="n">
        <v>3640.87</v>
      </c>
      <c r="F12451" s="14" t="n">
        <v>64640.92</v>
      </c>
      <c r="G12451" s="6" t="s">
        <v>2613</v>
      </c>
    </row>
    <row r="12452" customFormat="false" ht="15" hidden="false" customHeight="true" outlineLevel="0" collapsed="false">
      <c r="A12452" s="6" t="s">
        <v>15064</v>
      </c>
      <c r="B12452" s="6" t="s">
        <v>2483</v>
      </c>
      <c r="C12452" s="6" t="s">
        <v>128</v>
      </c>
      <c r="D12452" s="13" t="n">
        <v>45268</v>
      </c>
      <c r="E12452" s="14" t="n">
        <v>3959.48</v>
      </c>
      <c r="F12452" s="14" t="n">
        <v>68600.4</v>
      </c>
      <c r="G12452" s="6" t="s">
        <v>2613</v>
      </c>
    </row>
    <row r="12453" customFormat="false" ht="15" hidden="false" customHeight="true" outlineLevel="0" collapsed="false">
      <c r="A12453" s="6" t="s">
        <v>15065</v>
      </c>
      <c r="B12453" s="6" t="s">
        <v>2483</v>
      </c>
      <c r="C12453" s="6" t="s">
        <v>128</v>
      </c>
      <c r="D12453" s="13" t="n">
        <v>45275</v>
      </c>
      <c r="E12453" s="14" t="n">
        <v>3019.51</v>
      </c>
      <c r="F12453" s="14" t="n">
        <v>71619.91</v>
      </c>
      <c r="G12453" s="6" t="s">
        <v>2613</v>
      </c>
    </row>
    <row r="12454" customFormat="false" ht="15" hidden="false" customHeight="true" outlineLevel="0" collapsed="false">
      <c r="A12454" s="6" t="s">
        <v>15066</v>
      </c>
      <c r="B12454" s="6" t="s">
        <v>2483</v>
      </c>
      <c r="C12454" s="6" t="s">
        <v>128</v>
      </c>
      <c r="D12454" s="13" t="n">
        <v>45282</v>
      </c>
      <c r="E12454" s="14" t="n">
        <v>4735.24</v>
      </c>
      <c r="F12454" s="14" t="n">
        <v>76355.15</v>
      </c>
      <c r="G12454" s="6" t="s">
        <v>2613</v>
      </c>
    </row>
    <row r="12455" customFormat="false" ht="15" hidden="false" customHeight="true" outlineLevel="0" collapsed="false">
      <c r="A12455" s="6" t="s">
        <v>15067</v>
      </c>
      <c r="B12455" s="6" t="s">
        <v>2483</v>
      </c>
      <c r="C12455" s="6" t="s">
        <v>128</v>
      </c>
      <c r="D12455" s="13" t="n">
        <v>45289</v>
      </c>
      <c r="E12455" s="14" t="n">
        <v>5137.73</v>
      </c>
      <c r="F12455" s="14" t="n">
        <v>81492.88</v>
      </c>
      <c r="G12455" s="6" t="s">
        <v>2613</v>
      </c>
    </row>
    <row r="12456" customFormat="false" ht="15" hidden="false" customHeight="true" outlineLevel="0" collapsed="false">
      <c r="A12456" s="6" t="s">
        <v>15068</v>
      </c>
      <c r="B12456" s="6" t="s">
        <v>2483</v>
      </c>
      <c r="C12456" s="6" t="s">
        <v>128</v>
      </c>
      <c r="D12456" s="13" t="n">
        <v>45296</v>
      </c>
      <c r="E12456" s="14" t="n">
        <v>2785.99</v>
      </c>
      <c r="F12456" s="14" t="n">
        <v>84278.87</v>
      </c>
      <c r="G12456" s="6" t="s">
        <v>2613</v>
      </c>
    </row>
    <row r="12457" customFormat="false" ht="15" hidden="false" customHeight="true" outlineLevel="0" collapsed="false">
      <c r="A12457" s="6" t="s">
        <v>15069</v>
      </c>
      <c r="B12457" s="6" t="s">
        <v>2485</v>
      </c>
      <c r="C12457" s="6" t="s">
        <v>116</v>
      </c>
      <c r="D12457" s="13" t="n">
        <v>45786</v>
      </c>
      <c r="E12457" s="14" t="n">
        <v>5226.43</v>
      </c>
      <c r="F12457" s="14" t="n">
        <v>5226.43</v>
      </c>
      <c r="G12457" s="6" t="s">
        <v>2613</v>
      </c>
    </row>
    <row r="12458" customFormat="false" ht="15" hidden="false" customHeight="true" outlineLevel="0" collapsed="false">
      <c r="A12458" s="6" t="s">
        <v>15070</v>
      </c>
      <c r="B12458" s="6" t="s">
        <v>2485</v>
      </c>
      <c r="C12458" s="6" t="s">
        <v>116</v>
      </c>
      <c r="D12458" s="13" t="n">
        <v>45793</v>
      </c>
      <c r="E12458" s="14" t="n">
        <v>3749.16</v>
      </c>
      <c r="F12458" s="14" t="n">
        <v>8975.59</v>
      </c>
      <c r="G12458" s="6" t="s">
        <v>2613</v>
      </c>
    </row>
    <row r="12459" customFormat="false" ht="15" hidden="false" customHeight="true" outlineLevel="0" collapsed="false">
      <c r="A12459" s="6" t="s">
        <v>15071</v>
      </c>
      <c r="B12459" s="6" t="s">
        <v>2485</v>
      </c>
      <c r="C12459" s="6" t="s">
        <v>116</v>
      </c>
      <c r="D12459" s="13" t="n">
        <v>45800</v>
      </c>
      <c r="E12459" s="14" t="n">
        <v>4123.24</v>
      </c>
      <c r="F12459" s="14" t="n">
        <v>13098.83</v>
      </c>
      <c r="G12459" s="6" t="s">
        <v>2613</v>
      </c>
    </row>
    <row r="12460" customFormat="false" ht="15" hidden="false" customHeight="true" outlineLevel="0" collapsed="false">
      <c r="A12460" s="6" t="s">
        <v>15072</v>
      </c>
      <c r="B12460" s="6" t="s">
        <v>2485</v>
      </c>
      <c r="C12460" s="6" t="s">
        <v>116</v>
      </c>
      <c r="D12460" s="13" t="n">
        <v>45807</v>
      </c>
      <c r="E12460" s="14" t="n">
        <v>4640.89</v>
      </c>
      <c r="F12460" s="14" t="n">
        <v>17739.72</v>
      </c>
      <c r="G12460" s="6" t="s">
        <v>2613</v>
      </c>
    </row>
    <row r="12461" customFormat="false" ht="15" hidden="false" customHeight="true" outlineLevel="0" collapsed="false">
      <c r="A12461" s="6" t="s">
        <v>15073</v>
      </c>
      <c r="B12461" s="6" t="s">
        <v>2485</v>
      </c>
      <c r="C12461" s="6" t="s">
        <v>116</v>
      </c>
      <c r="D12461" s="13" t="n">
        <v>45814</v>
      </c>
      <c r="E12461" s="14" t="n">
        <v>3283.52</v>
      </c>
      <c r="F12461" s="14" t="n">
        <v>21023.24</v>
      </c>
      <c r="G12461" s="6" t="s">
        <v>2623</v>
      </c>
    </row>
    <row r="12462" customFormat="false" ht="15" hidden="false" customHeight="true" outlineLevel="0" collapsed="false">
      <c r="A12462" s="6" t="s">
        <v>15074</v>
      </c>
      <c r="B12462" s="6" t="s">
        <v>2485</v>
      </c>
      <c r="C12462" s="6" t="s">
        <v>116</v>
      </c>
      <c r="D12462" s="13" t="n">
        <v>45821</v>
      </c>
      <c r="E12462" s="14" t="n">
        <v>4623.9</v>
      </c>
      <c r="F12462" s="14" t="n">
        <v>25647.14</v>
      </c>
      <c r="G12462" s="6" t="s">
        <v>2613</v>
      </c>
    </row>
    <row r="12463" customFormat="false" ht="15" hidden="false" customHeight="true" outlineLevel="0" collapsed="false">
      <c r="A12463" s="6" t="s">
        <v>15075</v>
      </c>
      <c r="B12463" s="6" t="s">
        <v>2485</v>
      </c>
      <c r="C12463" s="6" t="s">
        <v>116</v>
      </c>
      <c r="D12463" s="13" t="n">
        <v>45828</v>
      </c>
      <c r="E12463" s="14" t="n">
        <v>6281.7</v>
      </c>
      <c r="F12463" s="14" t="n">
        <v>31928.84</v>
      </c>
      <c r="G12463" s="6" t="s">
        <v>2613</v>
      </c>
    </row>
    <row r="12464" customFormat="false" ht="15" hidden="false" customHeight="true" outlineLevel="0" collapsed="false">
      <c r="A12464" s="6" t="s">
        <v>15076</v>
      </c>
      <c r="B12464" s="6" t="s">
        <v>2485</v>
      </c>
      <c r="C12464" s="6" t="s">
        <v>116</v>
      </c>
      <c r="D12464" s="13" t="n">
        <v>45835</v>
      </c>
      <c r="E12464" s="14" t="n">
        <v>6616.92</v>
      </c>
      <c r="F12464" s="14" t="n">
        <v>38545.76</v>
      </c>
      <c r="G12464" s="6" t="s">
        <v>2613</v>
      </c>
    </row>
    <row r="12465" customFormat="false" ht="15" hidden="false" customHeight="true" outlineLevel="0" collapsed="false">
      <c r="A12465" s="6" t="s">
        <v>15077</v>
      </c>
      <c r="B12465" s="6" t="s">
        <v>2485</v>
      </c>
      <c r="C12465" s="6" t="s">
        <v>116</v>
      </c>
      <c r="D12465" s="13" t="n">
        <v>45842</v>
      </c>
      <c r="E12465" s="14" t="n">
        <v>4630.04</v>
      </c>
      <c r="F12465" s="14" t="n">
        <v>43175.8</v>
      </c>
      <c r="G12465" s="6" t="s">
        <v>2613</v>
      </c>
    </row>
    <row r="12466" customFormat="false" ht="15" hidden="false" customHeight="true" outlineLevel="0" collapsed="false">
      <c r="A12466" s="6" t="s">
        <v>15078</v>
      </c>
      <c r="B12466" s="6" t="s">
        <v>2485</v>
      </c>
      <c r="C12466" s="6" t="s">
        <v>116</v>
      </c>
      <c r="D12466" s="13" t="n">
        <v>45849</v>
      </c>
      <c r="E12466" s="14" t="n">
        <v>6138.52</v>
      </c>
      <c r="F12466" s="14" t="n">
        <v>49314.32</v>
      </c>
      <c r="G12466" s="6" t="s">
        <v>2613</v>
      </c>
    </row>
    <row r="12467" customFormat="false" ht="15" hidden="false" customHeight="true" outlineLevel="0" collapsed="false">
      <c r="A12467" s="6" t="s">
        <v>15079</v>
      </c>
      <c r="B12467" s="6" t="s">
        <v>2485</v>
      </c>
      <c r="C12467" s="6" t="s">
        <v>116</v>
      </c>
      <c r="D12467" s="13" t="n">
        <v>45856</v>
      </c>
      <c r="E12467" s="14" t="n">
        <v>4367.38</v>
      </c>
      <c r="F12467" s="14" t="n">
        <v>53681.7</v>
      </c>
      <c r="G12467" s="6" t="s">
        <v>2613</v>
      </c>
    </row>
    <row r="12468" customFormat="false" ht="15" hidden="false" customHeight="true" outlineLevel="0" collapsed="false">
      <c r="A12468" s="6" t="s">
        <v>15080</v>
      </c>
      <c r="B12468" s="6" t="s">
        <v>2485</v>
      </c>
      <c r="C12468" s="6" t="s">
        <v>116</v>
      </c>
      <c r="D12468" s="13" t="n">
        <v>45863</v>
      </c>
      <c r="E12468" s="14" t="n">
        <v>5796.13</v>
      </c>
      <c r="F12468" s="14" t="n">
        <v>59477.83</v>
      </c>
      <c r="G12468" s="6" t="s">
        <v>2623</v>
      </c>
    </row>
    <row r="12469" customFormat="false" ht="15" hidden="false" customHeight="true" outlineLevel="0" collapsed="false">
      <c r="A12469" s="6" t="s">
        <v>15081</v>
      </c>
      <c r="B12469" s="6" t="s">
        <v>2485</v>
      </c>
      <c r="C12469" s="6" t="s">
        <v>116</v>
      </c>
      <c r="D12469" s="13" t="n">
        <v>45870</v>
      </c>
      <c r="E12469" s="14" t="n">
        <v>7051.68</v>
      </c>
      <c r="F12469" s="14" t="n">
        <v>66529.51</v>
      </c>
      <c r="G12469" s="6" t="s">
        <v>2623</v>
      </c>
    </row>
    <row r="12470" customFormat="false" ht="15" hidden="false" customHeight="true" outlineLevel="0" collapsed="false">
      <c r="A12470" s="6" t="s">
        <v>15082</v>
      </c>
      <c r="B12470" s="6" t="s">
        <v>2487</v>
      </c>
      <c r="C12470" s="6" t="s">
        <v>112</v>
      </c>
      <c r="D12470" s="13" t="n">
        <v>45077</v>
      </c>
      <c r="E12470" s="14" t="n">
        <v>3426.23</v>
      </c>
      <c r="F12470" s="14" t="n">
        <v>3426.23</v>
      </c>
      <c r="G12470" s="6" t="s">
        <v>2613</v>
      </c>
    </row>
    <row r="12471" customFormat="false" ht="15" hidden="false" customHeight="true" outlineLevel="0" collapsed="false">
      <c r="A12471" s="6" t="s">
        <v>15083</v>
      </c>
      <c r="B12471" s="6" t="s">
        <v>2487</v>
      </c>
      <c r="C12471" s="6" t="s">
        <v>112</v>
      </c>
      <c r="D12471" s="13" t="n">
        <v>45084</v>
      </c>
      <c r="E12471" s="14" t="n">
        <v>4712.22</v>
      </c>
      <c r="F12471" s="14" t="n">
        <v>8138.45</v>
      </c>
      <c r="G12471" s="6" t="s">
        <v>2623</v>
      </c>
    </row>
    <row r="12472" customFormat="false" ht="15" hidden="false" customHeight="true" outlineLevel="0" collapsed="false">
      <c r="A12472" s="6" t="s">
        <v>15084</v>
      </c>
      <c r="B12472" s="6" t="s">
        <v>2487</v>
      </c>
      <c r="C12472" s="6" t="s">
        <v>112</v>
      </c>
      <c r="D12472" s="13" t="n">
        <v>45091</v>
      </c>
      <c r="E12472" s="14" t="n">
        <v>5048.26</v>
      </c>
      <c r="F12472" s="14" t="n">
        <v>13186.71</v>
      </c>
      <c r="G12472" s="6" t="s">
        <v>2613</v>
      </c>
    </row>
    <row r="12473" customFormat="false" ht="15" hidden="false" customHeight="true" outlineLevel="0" collapsed="false">
      <c r="A12473" s="6" t="s">
        <v>15085</v>
      </c>
      <c r="B12473" s="6" t="s">
        <v>2487</v>
      </c>
      <c r="C12473" s="6" t="s">
        <v>112</v>
      </c>
      <c r="D12473" s="13" t="n">
        <v>45098</v>
      </c>
      <c r="E12473" s="14" t="n">
        <v>4080.4</v>
      </c>
      <c r="F12473" s="14" t="n">
        <v>17267.11</v>
      </c>
      <c r="G12473" s="6" t="s">
        <v>2623</v>
      </c>
    </row>
    <row r="12474" customFormat="false" ht="15" hidden="false" customHeight="true" outlineLevel="0" collapsed="false">
      <c r="A12474" s="6" t="s">
        <v>15086</v>
      </c>
      <c r="B12474" s="6" t="s">
        <v>2487</v>
      </c>
      <c r="C12474" s="6" t="s">
        <v>112</v>
      </c>
      <c r="D12474" s="13" t="n">
        <v>45105</v>
      </c>
      <c r="E12474" s="14" t="n">
        <v>4908.69</v>
      </c>
      <c r="F12474" s="14" t="n">
        <v>22175.8</v>
      </c>
      <c r="G12474" s="6" t="s">
        <v>2613</v>
      </c>
    </row>
    <row r="12475" customFormat="false" ht="15" hidden="false" customHeight="true" outlineLevel="0" collapsed="false">
      <c r="A12475" s="6" t="s">
        <v>15087</v>
      </c>
      <c r="B12475" s="6" t="s">
        <v>2487</v>
      </c>
      <c r="C12475" s="6" t="s">
        <v>112</v>
      </c>
      <c r="D12475" s="13" t="n">
        <v>45112</v>
      </c>
      <c r="E12475" s="14" t="n">
        <v>6088.31</v>
      </c>
      <c r="F12475" s="14" t="n">
        <v>28264.11</v>
      </c>
      <c r="G12475" s="6" t="s">
        <v>2613</v>
      </c>
    </row>
    <row r="12476" customFormat="false" ht="15" hidden="false" customHeight="true" outlineLevel="0" collapsed="false">
      <c r="A12476" s="6" t="s">
        <v>15088</v>
      </c>
      <c r="B12476" s="6" t="s">
        <v>2487</v>
      </c>
      <c r="C12476" s="6" t="s">
        <v>112</v>
      </c>
      <c r="D12476" s="13" t="n">
        <v>45119</v>
      </c>
      <c r="E12476" s="14" t="n">
        <v>3970.79</v>
      </c>
      <c r="F12476" s="14" t="n">
        <v>32234.9</v>
      </c>
      <c r="G12476" s="6" t="s">
        <v>2623</v>
      </c>
    </row>
    <row r="12477" customFormat="false" ht="15" hidden="false" customHeight="true" outlineLevel="0" collapsed="false">
      <c r="A12477" s="6" t="s">
        <v>15089</v>
      </c>
      <c r="B12477" s="6" t="s">
        <v>2489</v>
      </c>
      <c r="C12477" s="6" t="s">
        <v>112</v>
      </c>
      <c r="D12477" s="13" t="n">
        <v>46035</v>
      </c>
      <c r="E12477" s="14" t="n">
        <v>2626.05</v>
      </c>
      <c r="F12477" s="14" t="n">
        <v>2626.05</v>
      </c>
      <c r="G12477" s="6" t="s">
        <v>2613</v>
      </c>
    </row>
    <row r="12478" customFormat="false" ht="15" hidden="false" customHeight="true" outlineLevel="0" collapsed="false">
      <c r="A12478" s="6" t="s">
        <v>15090</v>
      </c>
      <c r="B12478" s="6" t="s">
        <v>2489</v>
      </c>
      <c r="C12478" s="6" t="s">
        <v>112</v>
      </c>
      <c r="D12478" s="13" t="n">
        <v>46042</v>
      </c>
      <c r="E12478" s="14" t="n">
        <v>1826.21</v>
      </c>
      <c r="F12478" s="14" t="n">
        <v>4452.26</v>
      </c>
      <c r="G12478" s="6" t="s">
        <v>2613</v>
      </c>
    </row>
    <row r="12479" customFormat="false" ht="15" hidden="false" customHeight="true" outlineLevel="0" collapsed="false">
      <c r="A12479" s="6" t="s">
        <v>15091</v>
      </c>
      <c r="B12479" s="6" t="s">
        <v>2489</v>
      </c>
      <c r="C12479" s="6" t="s">
        <v>112</v>
      </c>
      <c r="D12479" s="13" t="n">
        <v>46049</v>
      </c>
      <c r="E12479" s="14" t="n">
        <v>2405.51</v>
      </c>
      <c r="F12479" s="14" t="n">
        <v>6857.77</v>
      </c>
      <c r="G12479" s="6" t="s">
        <v>2613</v>
      </c>
    </row>
    <row r="12480" customFormat="false" ht="15" hidden="false" customHeight="true" outlineLevel="0" collapsed="false">
      <c r="A12480" s="6" t="s">
        <v>15092</v>
      </c>
      <c r="B12480" s="6" t="s">
        <v>2489</v>
      </c>
      <c r="C12480" s="6" t="s">
        <v>112</v>
      </c>
      <c r="D12480" s="13" t="n">
        <v>46056</v>
      </c>
      <c r="E12480" s="14" t="n">
        <v>3364.82</v>
      </c>
      <c r="F12480" s="14" t="n">
        <v>10222.59</v>
      </c>
      <c r="G12480" s="6" t="s">
        <v>2613</v>
      </c>
    </row>
    <row r="12481" customFormat="false" ht="15" hidden="false" customHeight="true" outlineLevel="0" collapsed="false">
      <c r="A12481" s="6" t="s">
        <v>15093</v>
      </c>
      <c r="B12481" s="6" t="s">
        <v>2489</v>
      </c>
      <c r="C12481" s="6" t="s">
        <v>112</v>
      </c>
      <c r="D12481" s="13" t="n">
        <v>46063</v>
      </c>
      <c r="E12481" s="14" t="n">
        <v>1640.91</v>
      </c>
      <c r="F12481" s="14" t="n">
        <v>11863.5</v>
      </c>
      <c r="G12481" s="6" t="s">
        <v>2613</v>
      </c>
    </row>
    <row r="12482" customFormat="false" ht="15" hidden="false" customHeight="true" outlineLevel="0" collapsed="false">
      <c r="A12482" s="6" t="s">
        <v>15094</v>
      </c>
      <c r="B12482" s="6" t="s">
        <v>2489</v>
      </c>
      <c r="C12482" s="6" t="s">
        <v>112</v>
      </c>
      <c r="D12482" s="13" t="n">
        <v>46070</v>
      </c>
      <c r="E12482" s="14" t="n">
        <v>3156.1</v>
      </c>
      <c r="F12482" s="14" t="n">
        <v>15019.6</v>
      </c>
      <c r="G12482" s="6" t="s">
        <v>2613</v>
      </c>
    </row>
    <row r="12483" customFormat="false" ht="15" hidden="false" customHeight="true" outlineLevel="0" collapsed="false">
      <c r="A12483" s="6" t="s">
        <v>15095</v>
      </c>
      <c r="B12483" s="6" t="s">
        <v>2489</v>
      </c>
      <c r="C12483" s="6" t="s">
        <v>112</v>
      </c>
      <c r="D12483" s="13" t="n">
        <v>46077</v>
      </c>
      <c r="E12483" s="14" t="n">
        <v>3789.29</v>
      </c>
      <c r="F12483" s="14" t="n">
        <v>18808.89</v>
      </c>
      <c r="G12483" s="6" t="s">
        <v>2613</v>
      </c>
    </row>
    <row r="12484" customFormat="false" ht="15" hidden="false" customHeight="true" outlineLevel="0" collapsed="false">
      <c r="A12484" s="6" t="s">
        <v>15096</v>
      </c>
      <c r="B12484" s="6" t="s">
        <v>2489</v>
      </c>
      <c r="C12484" s="6" t="s">
        <v>112</v>
      </c>
      <c r="D12484" s="13" t="n">
        <v>46084</v>
      </c>
      <c r="E12484" s="14" t="n">
        <v>2088.2</v>
      </c>
      <c r="F12484" s="14" t="n">
        <v>20897.09</v>
      </c>
      <c r="G12484" s="6" t="s">
        <v>2613</v>
      </c>
    </row>
    <row r="12485" customFormat="false" ht="15" hidden="false" customHeight="true" outlineLevel="0" collapsed="false">
      <c r="A12485" s="6" t="s">
        <v>15097</v>
      </c>
      <c r="B12485" s="6" t="s">
        <v>2489</v>
      </c>
      <c r="C12485" s="6" t="s">
        <v>112</v>
      </c>
      <c r="D12485" s="13" t="n">
        <v>46091</v>
      </c>
      <c r="E12485" s="14" t="n">
        <v>3434.01</v>
      </c>
      <c r="F12485" s="14" t="n">
        <v>24331.1</v>
      </c>
      <c r="G12485" s="6" t="s">
        <v>2613</v>
      </c>
    </row>
    <row r="12486" customFormat="false" ht="15" hidden="false" customHeight="true" outlineLevel="0" collapsed="false">
      <c r="A12486" s="6" t="s">
        <v>15098</v>
      </c>
      <c r="B12486" s="6" t="s">
        <v>2489</v>
      </c>
      <c r="C12486" s="6" t="s">
        <v>112</v>
      </c>
      <c r="D12486" s="13" t="n">
        <v>46098</v>
      </c>
      <c r="E12486" s="14" t="n">
        <v>2999.94</v>
      </c>
      <c r="F12486" s="14" t="n">
        <v>27331.04</v>
      </c>
      <c r="G12486" s="6" t="s">
        <v>2623</v>
      </c>
    </row>
    <row r="12487" customFormat="false" ht="15" hidden="false" customHeight="true" outlineLevel="0" collapsed="false">
      <c r="A12487" s="6" t="s">
        <v>15099</v>
      </c>
      <c r="B12487" s="6" t="s">
        <v>2489</v>
      </c>
      <c r="C12487" s="6" t="s">
        <v>112</v>
      </c>
      <c r="D12487" s="13" t="n">
        <v>46105</v>
      </c>
      <c r="E12487" s="14" t="n">
        <v>3450.58</v>
      </c>
      <c r="F12487" s="14" t="n">
        <v>30781.62</v>
      </c>
      <c r="G12487" s="6" t="s">
        <v>2613</v>
      </c>
    </row>
    <row r="12488" customFormat="false" ht="15" hidden="false" customHeight="true" outlineLevel="0" collapsed="false">
      <c r="A12488" s="6" t="s">
        <v>15100</v>
      </c>
      <c r="B12488" s="6" t="s">
        <v>2489</v>
      </c>
      <c r="C12488" s="6" t="s">
        <v>112</v>
      </c>
      <c r="D12488" s="13" t="n">
        <v>46112</v>
      </c>
      <c r="E12488" s="14" t="n">
        <v>1741.13</v>
      </c>
      <c r="F12488" s="14" t="n">
        <v>32522.75</v>
      </c>
      <c r="G12488" s="6" t="s">
        <v>2623</v>
      </c>
    </row>
    <row r="12489" customFormat="false" ht="15" hidden="false" customHeight="true" outlineLevel="0" collapsed="false">
      <c r="A12489" s="6" t="s">
        <v>15101</v>
      </c>
      <c r="B12489" s="6" t="s">
        <v>2491</v>
      </c>
      <c r="C12489" s="6" t="s">
        <v>120</v>
      </c>
      <c r="D12489" s="13" t="n">
        <v>44600</v>
      </c>
      <c r="E12489" s="14" t="n">
        <v>640.17</v>
      </c>
      <c r="F12489" s="14" t="n">
        <v>640.17</v>
      </c>
      <c r="G12489" s="6" t="s">
        <v>2613</v>
      </c>
    </row>
    <row r="12490" customFormat="false" ht="15" hidden="false" customHeight="true" outlineLevel="0" collapsed="false">
      <c r="A12490" s="6" t="s">
        <v>15102</v>
      </c>
      <c r="B12490" s="6" t="s">
        <v>2491</v>
      </c>
      <c r="C12490" s="6" t="s">
        <v>120</v>
      </c>
      <c r="D12490" s="13" t="n">
        <v>44607</v>
      </c>
      <c r="E12490" s="14" t="n">
        <v>681.04</v>
      </c>
      <c r="F12490" s="14" t="n">
        <v>1321.21</v>
      </c>
      <c r="G12490" s="6" t="s">
        <v>2613</v>
      </c>
    </row>
    <row r="12491" customFormat="false" ht="15" hidden="false" customHeight="true" outlineLevel="0" collapsed="false">
      <c r="A12491" s="6" t="s">
        <v>15103</v>
      </c>
      <c r="B12491" s="6" t="s">
        <v>2491</v>
      </c>
      <c r="C12491" s="6" t="s">
        <v>120</v>
      </c>
      <c r="D12491" s="13" t="n">
        <v>44614</v>
      </c>
      <c r="E12491" s="14" t="n">
        <v>785.49</v>
      </c>
      <c r="F12491" s="14" t="n">
        <v>2106.7</v>
      </c>
      <c r="G12491" s="6" t="s">
        <v>2613</v>
      </c>
    </row>
    <row r="12492" customFormat="false" ht="15" hidden="false" customHeight="true" outlineLevel="0" collapsed="false">
      <c r="A12492" s="6" t="s">
        <v>15104</v>
      </c>
      <c r="B12492" s="6" t="s">
        <v>2491</v>
      </c>
      <c r="C12492" s="6" t="s">
        <v>120</v>
      </c>
      <c r="D12492" s="13" t="n">
        <v>44621</v>
      </c>
      <c r="E12492" s="14" t="n">
        <v>615.03</v>
      </c>
      <c r="F12492" s="14" t="n">
        <v>2721.73</v>
      </c>
      <c r="G12492" s="6" t="s">
        <v>2613</v>
      </c>
    </row>
    <row r="12493" customFormat="false" ht="15" hidden="false" customHeight="true" outlineLevel="0" collapsed="false">
      <c r="A12493" s="6" t="s">
        <v>15105</v>
      </c>
      <c r="B12493" s="6" t="s">
        <v>2491</v>
      </c>
      <c r="C12493" s="6" t="s">
        <v>120</v>
      </c>
      <c r="D12493" s="13" t="n">
        <v>44628</v>
      </c>
      <c r="E12493" s="14" t="n">
        <v>1071.83</v>
      </c>
      <c r="F12493" s="14" t="n">
        <v>3793.56</v>
      </c>
      <c r="G12493" s="6" t="s">
        <v>2613</v>
      </c>
    </row>
    <row r="12494" customFormat="false" ht="15" hidden="false" customHeight="true" outlineLevel="0" collapsed="false">
      <c r="A12494" s="6" t="s">
        <v>15106</v>
      </c>
      <c r="B12494" s="6" t="s">
        <v>2491</v>
      </c>
      <c r="C12494" s="6" t="s">
        <v>120</v>
      </c>
      <c r="D12494" s="13" t="n">
        <v>44635</v>
      </c>
      <c r="E12494" s="14" t="n">
        <v>681.65</v>
      </c>
      <c r="F12494" s="14" t="n">
        <v>4475.21</v>
      </c>
      <c r="G12494" s="6" t="s">
        <v>2613</v>
      </c>
    </row>
    <row r="12495" customFormat="false" ht="15" hidden="false" customHeight="true" outlineLevel="0" collapsed="false">
      <c r="A12495" s="6" t="s">
        <v>15107</v>
      </c>
      <c r="B12495" s="6" t="s">
        <v>2491</v>
      </c>
      <c r="C12495" s="6" t="s">
        <v>120</v>
      </c>
      <c r="D12495" s="13" t="n">
        <v>44642</v>
      </c>
      <c r="E12495" s="14" t="n">
        <v>982.81</v>
      </c>
      <c r="F12495" s="14" t="n">
        <v>5458.02</v>
      </c>
      <c r="G12495" s="6" t="s">
        <v>2613</v>
      </c>
    </row>
    <row r="12496" customFormat="false" ht="15" hidden="false" customHeight="true" outlineLevel="0" collapsed="false">
      <c r="A12496" s="6" t="s">
        <v>15108</v>
      </c>
      <c r="B12496" s="6" t="s">
        <v>2491</v>
      </c>
      <c r="C12496" s="6" t="s">
        <v>120</v>
      </c>
      <c r="D12496" s="13" t="n">
        <v>44649</v>
      </c>
      <c r="E12496" s="14" t="n">
        <v>1054.13</v>
      </c>
      <c r="F12496" s="14" t="n">
        <v>6512.15</v>
      </c>
      <c r="G12496" s="6" t="s">
        <v>2623</v>
      </c>
    </row>
    <row r="12497" customFormat="false" ht="15" hidden="false" customHeight="true" outlineLevel="0" collapsed="false">
      <c r="A12497" s="6" t="s">
        <v>15109</v>
      </c>
      <c r="B12497" s="6" t="s">
        <v>2491</v>
      </c>
      <c r="C12497" s="6" t="s">
        <v>120</v>
      </c>
      <c r="D12497" s="13" t="n">
        <v>44656</v>
      </c>
      <c r="E12497" s="14" t="n">
        <v>999.85</v>
      </c>
      <c r="F12497" s="14" t="n">
        <v>7512</v>
      </c>
      <c r="G12497" s="6" t="s">
        <v>2613</v>
      </c>
    </row>
    <row r="12498" customFormat="false" ht="15" hidden="false" customHeight="true" outlineLevel="0" collapsed="false">
      <c r="A12498" s="6" t="s">
        <v>15110</v>
      </c>
      <c r="B12498" s="6" t="s">
        <v>2493</v>
      </c>
      <c r="C12498" s="6" t="s">
        <v>131</v>
      </c>
      <c r="D12498" s="13" t="n">
        <v>45240</v>
      </c>
      <c r="E12498" s="14" t="n">
        <v>10609.61</v>
      </c>
      <c r="F12498" s="14" t="n">
        <v>10609.61</v>
      </c>
      <c r="G12498" s="6" t="s">
        <v>2613</v>
      </c>
    </row>
    <row r="12499" customFormat="false" ht="15" hidden="false" customHeight="true" outlineLevel="0" collapsed="false">
      <c r="A12499" s="6" t="s">
        <v>15111</v>
      </c>
      <c r="B12499" s="6" t="s">
        <v>2493</v>
      </c>
      <c r="C12499" s="6" t="s">
        <v>131</v>
      </c>
      <c r="D12499" s="13" t="n">
        <v>45247</v>
      </c>
      <c r="E12499" s="14" t="n">
        <v>7166.34</v>
      </c>
      <c r="F12499" s="14" t="n">
        <v>17775.95</v>
      </c>
      <c r="G12499" s="6" t="s">
        <v>2613</v>
      </c>
    </row>
    <row r="12500" customFormat="false" ht="15" hidden="false" customHeight="true" outlineLevel="0" collapsed="false">
      <c r="A12500" s="6" t="s">
        <v>15112</v>
      </c>
      <c r="B12500" s="6" t="s">
        <v>2493</v>
      </c>
      <c r="C12500" s="6" t="s">
        <v>131</v>
      </c>
      <c r="D12500" s="13" t="n">
        <v>45254</v>
      </c>
      <c r="E12500" s="14" t="n">
        <v>5584.02</v>
      </c>
      <c r="F12500" s="14" t="n">
        <v>23359.97</v>
      </c>
      <c r="G12500" s="6" t="s">
        <v>2613</v>
      </c>
    </row>
    <row r="12501" customFormat="false" ht="15" hidden="false" customHeight="true" outlineLevel="0" collapsed="false">
      <c r="A12501" s="6" t="s">
        <v>15113</v>
      </c>
      <c r="B12501" s="6" t="s">
        <v>2493</v>
      </c>
      <c r="C12501" s="6" t="s">
        <v>131</v>
      </c>
      <c r="D12501" s="13" t="n">
        <v>45261</v>
      </c>
      <c r="E12501" s="14" t="n">
        <v>9484.06</v>
      </c>
      <c r="F12501" s="14" t="n">
        <v>32844.03</v>
      </c>
      <c r="G12501" s="6" t="s">
        <v>2613</v>
      </c>
    </row>
    <row r="12502" customFormat="false" ht="15" hidden="false" customHeight="true" outlineLevel="0" collapsed="false">
      <c r="A12502" s="6" t="s">
        <v>15114</v>
      </c>
      <c r="B12502" s="6" t="s">
        <v>2493</v>
      </c>
      <c r="C12502" s="6" t="s">
        <v>131</v>
      </c>
      <c r="D12502" s="13" t="n">
        <v>45268</v>
      </c>
      <c r="E12502" s="14" t="n">
        <v>9002.71</v>
      </c>
      <c r="F12502" s="14" t="n">
        <v>41846.74</v>
      </c>
      <c r="G12502" s="6" t="s">
        <v>2613</v>
      </c>
    </row>
    <row r="12503" customFormat="false" ht="15" hidden="false" customHeight="true" outlineLevel="0" collapsed="false">
      <c r="A12503" s="6" t="s">
        <v>15115</v>
      </c>
      <c r="B12503" s="6" t="s">
        <v>2493</v>
      </c>
      <c r="C12503" s="6" t="s">
        <v>131</v>
      </c>
      <c r="D12503" s="13" t="n">
        <v>45275</v>
      </c>
      <c r="E12503" s="14" t="n">
        <v>10391.79</v>
      </c>
      <c r="F12503" s="14" t="n">
        <v>52238.53</v>
      </c>
      <c r="G12503" s="6" t="s">
        <v>2613</v>
      </c>
    </row>
    <row r="12504" customFormat="false" ht="15" hidden="false" customHeight="true" outlineLevel="0" collapsed="false">
      <c r="A12504" s="6" t="s">
        <v>15116</v>
      </c>
      <c r="B12504" s="6" t="s">
        <v>2493</v>
      </c>
      <c r="C12504" s="6" t="s">
        <v>131</v>
      </c>
      <c r="D12504" s="13" t="n">
        <v>45282</v>
      </c>
      <c r="E12504" s="14" t="n">
        <v>10824.02</v>
      </c>
      <c r="F12504" s="14" t="n">
        <v>63062.55</v>
      </c>
      <c r="G12504" s="6" t="s">
        <v>2613</v>
      </c>
    </row>
    <row r="12505" customFormat="false" ht="15" hidden="false" customHeight="true" outlineLevel="0" collapsed="false">
      <c r="A12505" s="6" t="s">
        <v>15117</v>
      </c>
      <c r="B12505" s="6" t="s">
        <v>2493</v>
      </c>
      <c r="C12505" s="6" t="s">
        <v>131</v>
      </c>
      <c r="D12505" s="13" t="n">
        <v>45289</v>
      </c>
      <c r="E12505" s="14" t="n">
        <v>7232.62</v>
      </c>
      <c r="F12505" s="14" t="n">
        <v>70295.17</v>
      </c>
      <c r="G12505" s="6" t="s">
        <v>2613</v>
      </c>
    </row>
    <row r="12506" customFormat="false" ht="15" hidden="false" customHeight="true" outlineLevel="0" collapsed="false">
      <c r="A12506" s="6" t="s">
        <v>15118</v>
      </c>
      <c r="B12506" s="6" t="s">
        <v>2493</v>
      </c>
      <c r="C12506" s="6" t="s">
        <v>131</v>
      </c>
      <c r="D12506" s="13" t="n">
        <v>45296</v>
      </c>
      <c r="E12506" s="14" t="n">
        <v>6238.2</v>
      </c>
      <c r="F12506" s="14" t="n">
        <v>76533.37</v>
      </c>
      <c r="G12506" s="6" t="s">
        <v>2613</v>
      </c>
    </row>
    <row r="12507" customFormat="false" ht="15" hidden="false" customHeight="true" outlineLevel="0" collapsed="false">
      <c r="A12507" s="6" t="s">
        <v>15119</v>
      </c>
      <c r="B12507" s="6" t="s">
        <v>2493</v>
      </c>
      <c r="C12507" s="6" t="s">
        <v>131</v>
      </c>
      <c r="D12507" s="13" t="n">
        <v>45303</v>
      </c>
      <c r="E12507" s="14" t="n">
        <v>10168.77</v>
      </c>
      <c r="F12507" s="14" t="n">
        <v>86702.14</v>
      </c>
      <c r="G12507" s="6" t="s">
        <v>2613</v>
      </c>
    </row>
    <row r="12508" customFormat="false" ht="15" hidden="false" customHeight="true" outlineLevel="0" collapsed="false">
      <c r="A12508" s="6" t="s">
        <v>15120</v>
      </c>
      <c r="B12508" s="6" t="s">
        <v>2493</v>
      </c>
      <c r="C12508" s="6" t="s">
        <v>131</v>
      </c>
      <c r="D12508" s="13" t="n">
        <v>45310</v>
      </c>
      <c r="E12508" s="14" t="n">
        <v>6610.98</v>
      </c>
      <c r="F12508" s="14" t="n">
        <v>93313.12</v>
      </c>
      <c r="G12508" s="6" t="s">
        <v>2613</v>
      </c>
    </row>
    <row r="12509" customFormat="false" ht="15" hidden="false" customHeight="true" outlineLevel="0" collapsed="false">
      <c r="A12509" s="6" t="s">
        <v>15121</v>
      </c>
      <c r="B12509" s="6" t="s">
        <v>2493</v>
      </c>
      <c r="C12509" s="6" t="s">
        <v>131</v>
      </c>
      <c r="D12509" s="13" t="n">
        <v>45317</v>
      </c>
      <c r="E12509" s="14" t="n">
        <v>9836.87</v>
      </c>
      <c r="F12509" s="14" t="n">
        <v>103149.99</v>
      </c>
      <c r="G12509" s="6" t="s">
        <v>2613</v>
      </c>
    </row>
    <row r="12510" customFormat="false" ht="15" hidden="false" customHeight="true" outlineLevel="0" collapsed="false">
      <c r="A12510" s="6" t="s">
        <v>15122</v>
      </c>
      <c r="B12510" s="6" t="s">
        <v>2493</v>
      </c>
      <c r="C12510" s="6" t="s">
        <v>131</v>
      </c>
      <c r="D12510" s="13" t="n">
        <v>45324</v>
      </c>
      <c r="E12510" s="14" t="n">
        <v>6566.3</v>
      </c>
      <c r="F12510" s="14" t="n">
        <v>109716.29</v>
      </c>
      <c r="G12510" s="6" t="s">
        <v>2613</v>
      </c>
    </row>
    <row r="12511" customFormat="false" ht="15" hidden="false" customHeight="true" outlineLevel="0" collapsed="false">
      <c r="A12511" s="6" t="s">
        <v>15123</v>
      </c>
      <c r="B12511" s="6" t="s">
        <v>2493</v>
      </c>
      <c r="C12511" s="6" t="s">
        <v>131</v>
      </c>
      <c r="D12511" s="13" t="n">
        <v>45331</v>
      </c>
      <c r="E12511" s="14" t="n">
        <v>9339.45</v>
      </c>
      <c r="F12511" s="14" t="n">
        <v>119055.74</v>
      </c>
      <c r="G12511" s="6" t="s">
        <v>2613</v>
      </c>
    </row>
    <row r="12512" customFormat="false" ht="15" hidden="false" customHeight="true" outlineLevel="0" collapsed="false">
      <c r="A12512" s="6" t="s">
        <v>15124</v>
      </c>
      <c r="B12512" s="6" t="s">
        <v>2493</v>
      </c>
      <c r="C12512" s="6" t="s">
        <v>131</v>
      </c>
      <c r="D12512" s="13" t="n">
        <v>45338</v>
      </c>
      <c r="E12512" s="14" t="n">
        <v>4881.77</v>
      </c>
      <c r="F12512" s="14" t="n">
        <v>123937.51</v>
      </c>
      <c r="G12512" s="6" t="s">
        <v>2613</v>
      </c>
    </row>
    <row r="12513" customFormat="false" ht="15" hidden="false" customHeight="true" outlineLevel="0" collapsed="false">
      <c r="A12513" s="6" t="s">
        <v>15125</v>
      </c>
      <c r="B12513" s="6" t="s">
        <v>2495</v>
      </c>
      <c r="C12513" s="6" t="s">
        <v>131</v>
      </c>
      <c r="D12513" s="13" t="n">
        <v>46160</v>
      </c>
      <c r="E12513" s="14" t="n">
        <v>3007.43</v>
      </c>
      <c r="F12513" s="14" t="n">
        <v>3007.43</v>
      </c>
      <c r="G12513" s="6" t="s">
        <v>2613</v>
      </c>
    </row>
    <row r="12514" customFormat="false" ht="15" hidden="false" customHeight="true" outlineLevel="0" collapsed="false">
      <c r="A12514" s="6" t="s">
        <v>15126</v>
      </c>
      <c r="B12514" s="6" t="s">
        <v>2495</v>
      </c>
      <c r="C12514" s="6" t="s">
        <v>131</v>
      </c>
      <c r="D12514" s="13" t="n">
        <v>46167</v>
      </c>
      <c r="E12514" s="14" t="n">
        <v>4406.81</v>
      </c>
      <c r="F12514" s="14" t="n">
        <v>7414.24</v>
      </c>
      <c r="G12514" s="6" t="s">
        <v>2613</v>
      </c>
    </row>
    <row r="12515" customFormat="false" ht="15" hidden="false" customHeight="true" outlineLevel="0" collapsed="false">
      <c r="A12515" s="6" t="s">
        <v>15127</v>
      </c>
      <c r="B12515" s="6" t="s">
        <v>2495</v>
      </c>
      <c r="C12515" s="6" t="s">
        <v>131</v>
      </c>
      <c r="D12515" s="13" t="n">
        <v>46174</v>
      </c>
      <c r="E12515" s="14" t="n">
        <v>3204.99</v>
      </c>
      <c r="F12515" s="14" t="n">
        <v>10619.23</v>
      </c>
      <c r="G12515" s="6" t="s">
        <v>2613</v>
      </c>
    </row>
    <row r="12516" customFormat="false" ht="15" hidden="false" customHeight="true" outlineLevel="0" collapsed="false">
      <c r="A12516" s="6" t="s">
        <v>15128</v>
      </c>
      <c r="B12516" s="6" t="s">
        <v>2495</v>
      </c>
      <c r="C12516" s="6" t="s">
        <v>131</v>
      </c>
      <c r="D12516" s="13" t="n">
        <v>46181</v>
      </c>
      <c r="E12516" s="14" t="n">
        <v>4860.78</v>
      </c>
      <c r="F12516" s="14" t="n">
        <v>15480.01</v>
      </c>
      <c r="G12516" s="6" t="s">
        <v>2613</v>
      </c>
    </row>
    <row r="12517" customFormat="false" ht="15" hidden="false" customHeight="true" outlineLevel="0" collapsed="false">
      <c r="A12517" s="6" t="s">
        <v>15129</v>
      </c>
      <c r="B12517" s="6" t="s">
        <v>2495</v>
      </c>
      <c r="C12517" s="6" t="s">
        <v>131</v>
      </c>
      <c r="D12517" s="13" t="n">
        <v>46188</v>
      </c>
      <c r="E12517" s="14" t="n">
        <v>4070.1</v>
      </c>
      <c r="F12517" s="14" t="n">
        <v>19550.11</v>
      </c>
      <c r="G12517" s="6" t="s">
        <v>2613</v>
      </c>
    </row>
    <row r="12518" customFormat="false" ht="15" hidden="false" customHeight="true" outlineLevel="0" collapsed="false">
      <c r="A12518" s="6" t="s">
        <v>15130</v>
      </c>
      <c r="B12518" s="6" t="s">
        <v>2495</v>
      </c>
      <c r="C12518" s="6" t="s">
        <v>131</v>
      </c>
      <c r="D12518" s="13" t="n">
        <v>46195</v>
      </c>
      <c r="E12518" s="14" t="n">
        <v>3162.11</v>
      </c>
      <c r="F12518" s="14" t="n">
        <v>22712.22</v>
      </c>
      <c r="G12518" s="6" t="s">
        <v>2613</v>
      </c>
    </row>
    <row r="12519" customFormat="false" ht="15" hidden="false" customHeight="true" outlineLevel="0" collapsed="false">
      <c r="A12519" s="6" t="s">
        <v>15131</v>
      </c>
      <c r="B12519" s="6" t="s">
        <v>2495</v>
      </c>
      <c r="C12519" s="6" t="s">
        <v>131</v>
      </c>
      <c r="D12519" s="13" t="n">
        <v>46202</v>
      </c>
      <c r="E12519" s="14" t="n">
        <v>3742.16</v>
      </c>
      <c r="F12519" s="14" t="n">
        <v>26454.38</v>
      </c>
      <c r="G12519" s="6" t="s">
        <v>2613</v>
      </c>
    </row>
    <row r="12520" customFormat="false" ht="15" hidden="false" customHeight="true" outlineLevel="0" collapsed="false">
      <c r="A12520" s="6" t="s">
        <v>15132</v>
      </c>
      <c r="B12520" s="6" t="s">
        <v>2495</v>
      </c>
      <c r="C12520" s="6" t="s">
        <v>131</v>
      </c>
      <c r="D12520" s="13" t="n">
        <v>46209</v>
      </c>
      <c r="E12520" s="14" t="n">
        <v>4261.56</v>
      </c>
      <c r="F12520" s="14" t="n">
        <v>30715.94</v>
      </c>
      <c r="G12520" s="6" t="s">
        <v>2613</v>
      </c>
    </row>
    <row r="12521" customFormat="false" ht="15" hidden="false" customHeight="true" outlineLevel="0" collapsed="false">
      <c r="A12521" s="6" t="s">
        <v>15133</v>
      </c>
      <c r="B12521" s="6" t="s">
        <v>2495</v>
      </c>
      <c r="C12521" s="6" t="s">
        <v>131</v>
      </c>
      <c r="D12521" s="13" t="n">
        <v>46216</v>
      </c>
      <c r="E12521" s="14" t="n">
        <v>4890.06</v>
      </c>
      <c r="F12521" s="14" t="n">
        <v>35606</v>
      </c>
      <c r="G12521" s="6" t="s">
        <v>2613</v>
      </c>
    </row>
    <row r="12522" customFormat="false" ht="15" hidden="false" customHeight="true" outlineLevel="0" collapsed="false">
      <c r="A12522" s="6" t="s">
        <v>15134</v>
      </c>
      <c r="B12522" s="6" t="s">
        <v>2495</v>
      </c>
      <c r="C12522" s="6" t="s">
        <v>131</v>
      </c>
      <c r="D12522" s="13" t="n">
        <v>46223</v>
      </c>
      <c r="E12522" s="14" t="n">
        <v>2900.15</v>
      </c>
      <c r="F12522" s="14" t="n">
        <v>38506.15</v>
      </c>
      <c r="G12522" s="6" t="s">
        <v>2613</v>
      </c>
    </row>
    <row r="12523" customFormat="false" ht="15" hidden="false" customHeight="true" outlineLevel="0" collapsed="false">
      <c r="A12523" s="6" t="s">
        <v>15135</v>
      </c>
      <c r="B12523" s="6" t="s">
        <v>2495</v>
      </c>
      <c r="C12523" s="6" t="s">
        <v>131</v>
      </c>
      <c r="D12523" s="13" t="n">
        <v>46230</v>
      </c>
      <c r="E12523" s="14" t="n">
        <v>2409.72</v>
      </c>
      <c r="F12523" s="14" t="n">
        <v>40915.87</v>
      </c>
      <c r="G12523" s="6" t="s">
        <v>2613</v>
      </c>
    </row>
    <row r="12524" customFormat="false" ht="15" hidden="false" customHeight="true" outlineLevel="0" collapsed="false">
      <c r="A12524" s="6" t="s">
        <v>15136</v>
      </c>
      <c r="B12524" s="6" t="s">
        <v>2495</v>
      </c>
      <c r="C12524" s="6" t="s">
        <v>131</v>
      </c>
      <c r="D12524" s="13" t="n">
        <v>46237</v>
      </c>
      <c r="E12524" s="14" t="n">
        <v>4964.73</v>
      </c>
      <c r="F12524" s="14" t="n">
        <v>45880.6</v>
      </c>
      <c r="G12524" s="6" t="s">
        <v>2613</v>
      </c>
    </row>
    <row r="12525" customFormat="false" ht="15" hidden="false" customHeight="true" outlineLevel="0" collapsed="false">
      <c r="A12525" s="6" t="s">
        <v>15137</v>
      </c>
      <c r="B12525" s="6" t="s">
        <v>2495</v>
      </c>
      <c r="C12525" s="6" t="s">
        <v>131</v>
      </c>
      <c r="D12525" s="13" t="n">
        <v>46244</v>
      </c>
      <c r="E12525" s="14" t="n">
        <v>3935.4</v>
      </c>
      <c r="F12525" s="14" t="n">
        <v>49816</v>
      </c>
      <c r="G12525" s="6" t="s">
        <v>2613</v>
      </c>
    </row>
    <row r="12526" customFormat="false" ht="15" hidden="false" customHeight="true" outlineLevel="0" collapsed="false">
      <c r="A12526" s="6" t="s">
        <v>15138</v>
      </c>
      <c r="B12526" s="6" t="s">
        <v>2497</v>
      </c>
      <c r="C12526" s="6" t="s">
        <v>116</v>
      </c>
      <c r="D12526" s="13" t="n">
        <v>45034</v>
      </c>
      <c r="E12526" s="14" t="n">
        <v>6107.41</v>
      </c>
      <c r="F12526" s="14" t="n">
        <v>6107.41</v>
      </c>
      <c r="G12526" s="6" t="s">
        <v>2613</v>
      </c>
    </row>
    <row r="12527" customFormat="false" ht="15" hidden="false" customHeight="true" outlineLevel="0" collapsed="false">
      <c r="A12527" s="6" t="s">
        <v>15139</v>
      </c>
      <c r="B12527" s="6" t="s">
        <v>2497</v>
      </c>
      <c r="C12527" s="6" t="s">
        <v>116</v>
      </c>
      <c r="D12527" s="13" t="n">
        <v>45041</v>
      </c>
      <c r="E12527" s="14" t="n">
        <v>4858.35</v>
      </c>
      <c r="F12527" s="14" t="n">
        <v>10965.76</v>
      </c>
      <c r="G12527" s="6" t="s">
        <v>2613</v>
      </c>
    </row>
    <row r="12528" customFormat="false" ht="15" hidden="false" customHeight="true" outlineLevel="0" collapsed="false">
      <c r="A12528" s="6" t="s">
        <v>15140</v>
      </c>
      <c r="B12528" s="6" t="s">
        <v>2497</v>
      </c>
      <c r="C12528" s="6" t="s">
        <v>116</v>
      </c>
      <c r="D12528" s="13" t="n">
        <v>45048</v>
      </c>
      <c r="E12528" s="14" t="n">
        <v>8533.05</v>
      </c>
      <c r="F12528" s="14" t="n">
        <v>19498.81</v>
      </c>
      <c r="G12528" s="6" t="s">
        <v>2613</v>
      </c>
    </row>
    <row r="12529" customFormat="false" ht="15" hidden="false" customHeight="true" outlineLevel="0" collapsed="false">
      <c r="A12529" s="6" t="s">
        <v>15141</v>
      </c>
      <c r="B12529" s="6" t="s">
        <v>2497</v>
      </c>
      <c r="C12529" s="6" t="s">
        <v>116</v>
      </c>
      <c r="D12529" s="13" t="n">
        <v>45055</v>
      </c>
      <c r="E12529" s="14" t="n">
        <v>6260.45</v>
      </c>
      <c r="F12529" s="14" t="n">
        <v>25759.26</v>
      </c>
      <c r="G12529" s="6" t="s">
        <v>2613</v>
      </c>
    </row>
    <row r="12530" customFormat="false" ht="15" hidden="false" customHeight="true" outlineLevel="0" collapsed="false">
      <c r="A12530" s="6" t="s">
        <v>15142</v>
      </c>
      <c r="B12530" s="6" t="s">
        <v>2497</v>
      </c>
      <c r="C12530" s="6" t="s">
        <v>116</v>
      </c>
      <c r="D12530" s="13" t="n">
        <v>45062</v>
      </c>
      <c r="E12530" s="14" t="n">
        <v>5267.28</v>
      </c>
      <c r="F12530" s="14" t="n">
        <v>31026.54</v>
      </c>
      <c r="G12530" s="6" t="s">
        <v>2613</v>
      </c>
    </row>
    <row r="12531" customFormat="false" ht="15" hidden="false" customHeight="true" outlineLevel="0" collapsed="false">
      <c r="A12531" s="6" t="s">
        <v>15143</v>
      </c>
      <c r="B12531" s="6" t="s">
        <v>2497</v>
      </c>
      <c r="C12531" s="6" t="s">
        <v>116</v>
      </c>
      <c r="D12531" s="13" t="n">
        <v>45069</v>
      </c>
      <c r="E12531" s="14" t="n">
        <v>6885.29</v>
      </c>
      <c r="F12531" s="14" t="n">
        <v>37911.83</v>
      </c>
      <c r="G12531" s="6" t="s">
        <v>2613</v>
      </c>
    </row>
    <row r="12532" customFormat="false" ht="15" hidden="false" customHeight="true" outlineLevel="0" collapsed="false">
      <c r="A12532" s="6" t="s">
        <v>15144</v>
      </c>
      <c r="B12532" s="6" t="s">
        <v>2497</v>
      </c>
      <c r="C12532" s="6" t="s">
        <v>116</v>
      </c>
      <c r="D12532" s="13" t="n">
        <v>45076</v>
      </c>
      <c r="E12532" s="14" t="n">
        <v>5477.1</v>
      </c>
      <c r="F12532" s="14" t="n">
        <v>43388.93</v>
      </c>
      <c r="G12532" s="6" t="s">
        <v>2613</v>
      </c>
    </row>
    <row r="12533" customFormat="false" ht="15" hidden="false" customHeight="true" outlineLevel="0" collapsed="false">
      <c r="A12533" s="6" t="s">
        <v>15145</v>
      </c>
      <c r="B12533" s="6" t="s">
        <v>2497</v>
      </c>
      <c r="C12533" s="6" t="s">
        <v>116</v>
      </c>
      <c r="D12533" s="13" t="n">
        <v>45083</v>
      </c>
      <c r="E12533" s="14" t="n">
        <v>9032.9</v>
      </c>
      <c r="F12533" s="14" t="n">
        <v>52421.83</v>
      </c>
      <c r="G12533" s="6" t="s">
        <v>2613</v>
      </c>
    </row>
    <row r="12534" customFormat="false" ht="15" hidden="false" customHeight="true" outlineLevel="0" collapsed="false">
      <c r="A12534" s="6" t="s">
        <v>15146</v>
      </c>
      <c r="B12534" s="6" t="s">
        <v>2499</v>
      </c>
      <c r="C12534" s="6" t="s">
        <v>124</v>
      </c>
      <c r="D12534" s="13" t="n">
        <v>45944</v>
      </c>
      <c r="E12534" s="14" t="n">
        <v>713.9</v>
      </c>
      <c r="F12534" s="14" t="n">
        <v>713.9</v>
      </c>
      <c r="G12534" s="6" t="s">
        <v>2613</v>
      </c>
    </row>
    <row r="12535" customFormat="false" ht="15" hidden="false" customHeight="true" outlineLevel="0" collapsed="false">
      <c r="A12535" s="6" t="s">
        <v>15147</v>
      </c>
      <c r="B12535" s="6" t="s">
        <v>2499</v>
      </c>
      <c r="C12535" s="6" t="s">
        <v>124</v>
      </c>
      <c r="D12535" s="13" t="n">
        <v>45951</v>
      </c>
      <c r="E12535" s="14" t="n">
        <v>591.85</v>
      </c>
      <c r="F12535" s="14" t="n">
        <v>1305.75</v>
      </c>
      <c r="G12535" s="6" t="s">
        <v>2613</v>
      </c>
    </row>
    <row r="12536" customFormat="false" ht="15" hidden="false" customHeight="true" outlineLevel="0" collapsed="false">
      <c r="A12536" s="6" t="s">
        <v>15148</v>
      </c>
      <c r="B12536" s="6" t="s">
        <v>2499</v>
      </c>
      <c r="C12536" s="6" t="s">
        <v>124</v>
      </c>
      <c r="D12536" s="13" t="n">
        <v>45958</v>
      </c>
      <c r="E12536" s="14" t="n">
        <v>406.44</v>
      </c>
      <c r="F12536" s="14" t="n">
        <v>1712.19</v>
      </c>
      <c r="G12536" s="6" t="s">
        <v>2613</v>
      </c>
    </row>
    <row r="12537" customFormat="false" ht="15" hidden="false" customHeight="true" outlineLevel="0" collapsed="false">
      <c r="A12537" s="6" t="s">
        <v>15149</v>
      </c>
      <c r="B12537" s="6" t="s">
        <v>2499</v>
      </c>
      <c r="C12537" s="6" t="s">
        <v>124</v>
      </c>
      <c r="D12537" s="13" t="n">
        <v>45965</v>
      </c>
      <c r="E12537" s="14" t="n">
        <v>823.49</v>
      </c>
      <c r="F12537" s="14" t="n">
        <v>2535.68</v>
      </c>
      <c r="G12537" s="6" t="s">
        <v>2613</v>
      </c>
    </row>
    <row r="12538" customFormat="false" ht="15" hidden="false" customHeight="true" outlineLevel="0" collapsed="false">
      <c r="A12538" s="6" t="s">
        <v>15150</v>
      </c>
      <c r="B12538" s="6" t="s">
        <v>2499</v>
      </c>
      <c r="C12538" s="6" t="s">
        <v>124</v>
      </c>
      <c r="D12538" s="13" t="n">
        <v>45972</v>
      </c>
      <c r="E12538" s="14" t="n">
        <v>546.66</v>
      </c>
      <c r="F12538" s="14" t="n">
        <v>3082.34</v>
      </c>
      <c r="G12538" s="6" t="s">
        <v>2623</v>
      </c>
    </row>
    <row r="12539" customFormat="false" ht="15" hidden="false" customHeight="true" outlineLevel="0" collapsed="false">
      <c r="A12539" s="6" t="s">
        <v>15151</v>
      </c>
      <c r="B12539" s="6" t="s">
        <v>2499</v>
      </c>
      <c r="C12539" s="6" t="s">
        <v>124</v>
      </c>
      <c r="D12539" s="13" t="n">
        <v>45979</v>
      </c>
      <c r="E12539" s="14" t="n">
        <v>634.26</v>
      </c>
      <c r="F12539" s="14" t="n">
        <v>3716.6</v>
      </c>
      <c r="G12539" s="6" t="s">
        <v>2623</v>
      </c>
    </row>
    <row r="12540" customFormat="false" ht="15" hidden="false" customHeight="true" outlineLevel="0" collapsed="false">
      <c r="A12540" s="6" t="s">
        <v>15152</v>
      </c>
      <c r="B12540" s="6" t="s">
        <v>2499</v>
      </c>
      <c r="C12540" s="6" t="s">
        <v>124</v>
      </c>
      <c r="D12540" s="13" t="n">
        <v>45986</v>
      </c>
      <c r="E12540" s="14" t="n">
        <v>732.89</v>
      </c>
      <c r="F12540" s="14" t="n">
        <v>4449.49</v>
      </c>
      <c r="G12540" s="6" t="s">
        <v>2613</v>
      </c>
    </row>
    <row r="12541" customFormat="false" ht="15" hidden="false" customHeight="true" outlineLevel="0" collapsed="false">
      <c r="A12541" s="6" t="s">
        <v>15153</v>
      </c>
      <c r="B12541" s="6" t="s">
        <v>2499</v>
      </c>
      <c r="C12541" s="6" t="s">
        <v>124</v>
      </c>
      <c r="D12541" s="13" t="n">
        <v>45993</v>
      </c>
      <c r="E12541" s="14" t="n">
        <v>559.61</v>
      </c>
      <c r="F12541" s="14" t="n">
        <v>5009.1</v>
      </c>
      <c r="G12541" s="6" t="s">
        <v>2613</v>
      </c>
    </row>
    <row r="12542" customFormat="false" ht="15" hidden="false" customHeight="true" outlineLevel="0" collapsed="false">
      <c r="A12542" s="6" t="s">
        <v>15154</v>
      </c>
      <c r="B12542" s="6" t="s">
        <v>2499</v>
      </c>
      <c r="C12542" s="6" t="s">
        <v>124</v>
      </c>
      <c r="D12542" s="13" t="n">
        <v>46000</v>
      </c>
      <c r="E12542" s="14" t="n">
        <v>744.39</v>
      </c>
      <c r="F12542" s="14" t="n">
        <v>5753.49</v>
      </c>
      <c r="G12542" s="6" t="s">
        <v>2613</v>
      </c>
    </row>
    <row r="12543" customFormat="false" ht="15" hidden="false" customHeight="true" outlineLevel="0" collapsed="false">
      <c r="A12543" s="6" t="s">
        <v>15155</v>
      </c>
      <c r="B12543" s="6" t="s">
        <v>2499</v>
      </c>
      <c r="C12543" s="6" t="s">
        <v>124</v>
      </c>
      <c r="D12543" s="13" t="n">
        <v>46007</v>
      </c>
      <c r="E12543" s="14" t="n">
        <v>385.34</v>
      </c>
      <c r="F12543" s="14" t="n">
        <v>6138.83</v>
      </c>
      <c r="G12543" s="6" t="s">
        <v>2613</v>
      </c>
    </row>
    <row r="12544" customFormat="false" ht="15" hidden="false" customHeight="true" outlineLevel="0" collapsed="false">
      <c r="A12544" s="6" t="s">
        <v>15156</v>
      </c>
      <c r="B12544" s="6" t="s">
        <v>2499</v>
      </c>
      <c r="C12544" s="6" t="s">
        <v>124</v>
      </c>
      <c r="D12544" s="13" t="n">
        <v>46014</v>
      </c>
      <c r="E12544" s="14" t="n">
        <v>847.47</v>
      </c>
      <c r="F12544" s="14" t="n">
        <v>6986.3</v>
      </c>
      <c r="G12544" s="6" t="s">
        <v>2613</v>
      </c>
    </row>
    <row r="12545" customFormat="false" ht="15" hidden="false" customHeight="true" outlineLevel="0" collapsed="false">
      <c r="A12545" s="6" t="s">
        <v>15157</v>
      </c>
      <c r="B12545" s="6" t="s">
        <v>2499</v>
      </c>
      <c r="C12545" s="6" t="s">
        <v>124</v>
      </c>
      <c r="D12545" s="13" t="n">
        <v>46021</v>
      </c>
      <c r="E12545" s="14" t="n">
        <v>473.55</v>
      </c>
      <c r="F12545" s="14" t="n">
        <v>7459.85</v>
      </c>
      <c r="G12545" s="6" t="s">
        <v>2613</v>
      </c>
    </row>
    <row r="12546" customFormat="false" ht="15" hidden="false" customHeight="true" outlineLevel="0" collapsed="false">
      <c r="A12546" s="6" t="s">
        <v>15158</v>
      </c>
      <c r="B12546" s="6" t="s">
        <v>2499</v>
      </c>
      <c r="C12546" s="6" t="s">
        <v>124</v>
      </c>
      <c r="D12546" s="13" t="n">
        <v>46028</v>
      </c>
      <c r="E12546" s="14" t="n">
        <v>569.73</v>
      </c>
      <c r="F12546" s="14" t="n">
        <v>8029.58</v>
      </c>
      <c r="G12546" s="6" t="s">
        <v>2613</v>
      </c>
    </row>
    <row r="12547" customFormat="false" ht="15" hidden="false" customHeight="true" outlineLevel="0" collapsed="false">
      <c r="A12547" s="6" t="s">
        <v>15159</v>
      </c>
      <c r="B12547" s="6" t="s">
        <v>2499</v>
      </c>
      <c r="C12547" s="6" t="s">
        <v>124</v>
      </c>
      <c r="D12547" s="13" t="n">
        <v>46035</v>
      </c>
      <c r="E12547" s="14" t="n">
        <v>890.66</v>
      </c>
      <c r="F12547" s="14" t="n">
        <v>8920.24</v>
      </c>
      <c r="G12547" s="6" t="s">
        <v>2613</v>
      </c>
    </row>
    <row r="12548" customFormat="false" ht="15" hidden="false" customHeight="true" outlineLevel="0" collapsed="false">
      <c r="A12548" s="6" t="s">
        <v>15160</v>
      </c>
      <c r="B12548" s="6" t="s">
        <v>2501</v>
      </c>
      <c r="C12548" s="6" t="s">
        <v>131</v>
      </c>
      <c r="D12548" s="13" t="n">
        <v>45702</v>
      </c>
      <c r="E12548" s="14" t="n">
        <v>9785.27</v>
      </c>
      <c r="F12548" s="14" t="n">
        <v>9785.27</v>
      </c>
      <c r="G12548" s="6" t="s">
        <v>2613</v>
      </c>
    </row>
    <row r="12549" customFormat="false" ht="15" hidden="false" customHeight="true" outlineLevel="0" collapsed="false">
      <c r="A12549" s="6" t="s">
        <v>15161</v>
      </c>
      <c r="B12549" s="6" t="s">
        <v>2503</v>
      </c>
      <c r="C12549" s="6" t="s">
        <v>120</v>
      </c>
      <c r="D12549" s="13" t="n">
        <v>45664</v>
      </c>
      <c r="E12549" s="14" t="n">
        <v>7350.91</v>
      </c>
      <c r="F12549" s="14" t="n">
        <v>7350.91</v>
      </c>
      <c r="G12549" s="6" t="s">
        <v>2613</v>
      </c>
    </row>
    <row r="12550" customFormat="false" ht="15" hidden="false" customHeight="true" outlineLevel="0" collapsed="false">
      <c r="A12550" s="6" t="s">
        <v>15162</v>
      </c>
      <c r="B12550" s="6" t="s">
        <v>2503</v>
      </c>
      <c r="C12550" s="6" t="s">
        <v>120</v>
      </c>
      <c r="D12550" s="13" t="n">
        <v>45671</v>
      </c>
      <c r="E12550" s="14" t="n">
        <v>4797.64</v>
      </c>
      <c r="F12550" s="14" t="n">
        <v>12148.55</v>
      </c>
      <c r="G12550" s="6" t="s">
        <v>2613</v>
      </c>
    </row>
    <row r="12551" customFormat="false" ht="15" hidden="false" customHeight="true" outlineLevel="0" collapsed="false">
      <c r="A12551" s="6" t="s">
        <v>15163</v>
      </c>
      <c r="B12551" s="6" t="s">
        <v>2503</v>
      </c>
      <c r="C12551" s="6" t="s">
        <v>120</v>
      </c>
      <c r="D12551" s="13" t="n">
        <v>45678</v>
      </c>
      <c r="E12551" s="14" t="n">
        <v>7660.8</v>
      </c>
      <c r="F12551" s="14" t="n">
        <v>19809.35</v>
      </c>
      <c r="G12551" s="6" t="s">
        <v>2613</v>
      </c>
    </row>
    <row r="12552" customFormat="false" ht="15" hidden="false" customHeight="true" outlineLevel="0" collapsed="false">
      <c r="A12552" s="6" t="s">
        <v>15164</v>
      </c>
      <c r="B12552" s="6" t="s">
        <v>2503</v>
      </c>
      <c r="C12552" s="6" t="s">
        <v>120</v>
      </c>
      <c r="D12552" s="13" t="n">
        <v>45685</v>
      </c>
      <c r="E12552" s="14" t="n">
        <v>3968.24</v>
      </c>
      <c r="F12552" s="14" t="n">
        <v>23777.59</v>
      </c>
      <c r="G12552" s="6" t="s">
        <v>2613</v>
      </c>
    </row>
    <row r="12553" customFormat="false" ht="15" hidden="false" customHeight="true" outlineLevel="0" collapsed="false">
      <c r="A12553" s="6" t="s">
        <v>15165</v>
      </c>
      <c r="B12553" s="6" t="s">
        <v>2503</v>
      </c>
      <c r="C12553" s="6" t="s">
        <v>120</v>
      </c>
      <c r="D12553" s="13" t="n">
        <v>45692</v>
      </c>
      <c r="E12553" s="14" t="n">
        <v>3701.36</v>
      </c>
      <c r="F12553" s="14" t="n">
        <v>27478.95</v>
      </c>
      <c r="G12553" s="6" t="s">
        <v>2613</v>
      </c>
    </row>
    <row r="12554" customFormat="false" ht="15" hidden="false" customHeight="true" outlineLevel="0" collapsed="false">
      <c r="A12554" s="6" t="s">
        <v>15166</v>
      </c>
      <c r="B12554" s="6" t="s">
        <v>2503</v>
      </c>
      <c r="C12554" s="6" t="s">
        <v>120</v>
      </c>
      <c r="D12554" s="13" t="n">
        <v>45699</v>
      </c>
      <c r="E12554" s="14" t="n">
        <v>7256.19</v>
      </c>
      <c r="F12554" s="14" t="n">
        <v>34735.14</v>
      </c>
      <c r="G12554" s="6" t="s">
        <v>2613</v>
      </c>
    </row>
    <row r="12555" customFormat="false" ht="15" hidden="false" customHeight="true" outlineLevel="0" collapsed="false">
      <c r="A12555" s="6" t="s">
        <v>15167</v>
      </c>
      <c r="B12555" s="6" t="s">
        <v>2503</v>
      </c>
      <c r="C12555" s="6" t="s">
        <v>120</v>
      </c>
      <c r="D12555" s="13" t="n">
        <v>45706</v>
      </c>
      <c r="E12555" s="14" t="n">
        <v>6695.89</v>
      </c>
      <c r="F12555" s="14" t="n">
        <v>41431.03</v>
      </c>
      <c r="G12555" s="6" t="s">
        <v>2613</v>
      </c>
    </row>
    <row r="12556" customFormat="false" ht="15" hidden="false" customHeight="true" outlineLevel="0" collapsed="false">
      <c r="A12556" s="6" t="s">
        <v>15168</v>
      </c>
      <c r="B12556" s="6" t="s">
        <v>2503</v>
      </c>
      <c r="C12556" s="6" t="s">
        <v>120</v>
      </c>
      <c r="D12556" s="13" t="n">
        <v>45713</v>
      </c>
      <c r="E12556" s="14" t="n">
        <v>5130.5</v>
      </c>
      <c r="F12556" s="14" t="n">
        <v>46561.53</v>
      </c>
      <c r="G12556" s="6" t="s">
        <v>2613</v>
      </c>
    </row>
    <row r="12557" customFormat="false" ht="15" hidden="false" customHeight="true" outlineLevel="0" collapsed="false">
      <c r="A12557" s="6" t="s">
        <v>15169</v>
      </c>
      <c r="B12557" s="6" t="s">
        <v>2505</v>
      </c>
      <c r="C12557" s="6" t="s">
        <v>128</v>
      </c>
      <c r="D12557" s="13" t="n">
        <v>45418</v>
      </c>
      <c r="E12557" s="14" t="n">
        <v>4755.29</v>
      </c>
      <c r="F12557" s="14" t="n">
        <v>4755.29</v>
      </c>
      <c r="G12557" s="6" t="s">
        <v>2623</v>
      </c>
    </row>
    <row r="12558" customFormat="false" ht="15" hidden="false" customHeight="true" outlineLevel="0" collapsed="false">
      <c r="A12558" s="6" t="s">
        <v>15170</v>
      </c>
      <c r="B12558" s="6" t="s">
        <v>2505</v>
      </c>
      <c r="C12558" s="6" t="s">
        <v>128</v>
      </c>
      <c r="D12558" s="13" t="n">
        <v>45425</v>
      </c>
      <c r="E12558" s="14" t="n">
        <v>4022.84</v>
      </c>
      <c r="F12558" s="14" t="n">
        <v>8778.13</v>
      </c>
      <c r="G12558" s="6" t="s">
        <v>2613</v>
      </c>
    </row>
    <row r="12559" customFormat="false" ht="15" hidden="false" customHeight="true" outlineLevel="0" collapsed="false">
      <c r="A12559" s="6" t="s">
        <v>15171</v>
      </c>
      <c r="B12559" s="6" t="s">
        <v>2505</v>
      </c>
      <c r="C12559" s="6" t="s">
        <v>128</v>
      </c>
      <c r="D12559" s="13" t="n">
        <v>45432</v>
      </c>
      <c r="E12559" s="14" t="n">
        <v>2863.61</v>
      </c>
      <c r="F12559" s="14" t="n">
        <v>11641.74</v>
      </c>
      <c r="G12559" s="6" t="s">
        <v>2623</v>
      </c>
    </row>
    <row r="12560" customFormat="false" ht="15" hidden="false" customHeight="true" outlineLevel="0" collapsed="false">
      <c r="A12560" s="6" t="s">
        <v>15172</v>
      </c>
      <c r="B12560" s="6" t="s">
        <v>2505</v>
      </c>
      <c r="C12560" s="6" t="s">
        <v>128</v>
      </c>
      <c r="D12560" s="13" t="n">
        <v>45439</v>
      </c>
      <c r="E12560" s="14" t="n">
        <v>4189.02</v>
      </c>
      <c r="F12560" s="14" t="n">
        <v>15830.76</v>
      </c>
      <c r="G12560" s="6" t="s">
        <v>2613</v>
      </c>
    </row>
    <row r="12561" customFormat="false" ht="15" hidden="false" customHeight="true" outlineLevel="0" collapsed="false">
      <c r="A12561" s="6" t="s">
        <v>15173</v>
      </c>
      <c r="B12561" s="6" t="s">
        <v>2505</v>
      </c>
      <c r="C12561" s="6" t="s">
        <v>128</v>
      </c>
      <c r="D12561" s="13" t="n">
        <v>45446</v>
      </c>
      <c r="E12561" s="14" t="n">
        <v>5330.31</v>
      </c>
      <c r="F12561" s="14" t="n">
        <v>21161.07</v>
      </c>
      <c r="G12561" s="6" t="s">
        <v>2613</v>
      </c>
    </row>
    <row r="12562" customFormat="false" ht="15" hidden="false" customHeight="true" outlineLevel="0" collapsed="false">
      <c r="A12562" s="6" t="s">
        <v>15174</v>
      </c>
      <c r="B12562" s="6" t="s">
        <v>2505</v>
      </c>
      <c r="C12562" s="6" t="s">
        <v>128</v>
      </c>
      <c r="D12562" s="13" t="n">
        <v>45453</v>
      </c>
      <c r="E12562" s="14" t="n">
        <v>4170.08</v>
      </c>
      <c r="F12562" s="14" t="n">
        <v>25331.15</v>
      </c>
      <c r="G12562" s="6" t="s">
        <v>2613</v>
      </c>
    </row>
    <row r="12563" customFormat="false" ht="15" hidden="false" customHeight="true" outlineLevel="0" collapsed="false">
      <c r="A12563" s="6" t="s">
        <v>15175</v>
      </c>
      <c r="B12563" s="6" t="s">
        <v>2505</v>
      </c>
      <c r="C12563" s="6" t="s">
        <v>128</v>
      </c>
      <c r="D12563" s="13" t="n">
        <v>45460</v>
      </c>
      <c r="E12563" s="14" t="n">
        <v>2949.98</v>
      </c>
      <c r="F12563" s="14" t="n">
        <v>28281.13</v>
      </c>
      <c r="G12563" s="6" t="s">
        <v>2613</v>
      </c>
    </row>
    <row r="12564" customFormat="false" ht="15" hidden="false" customHeight="true" outlineLevel="0" collapsed="false">
      <c r="A12564" s="6" t="s">
        <v>15176</v>
      </c>
      <c r="B12564" s="6" t="s">
        <v>2505</v>
      </c>
      <c r="C12564" s="6" t="s">
        <v>128</v>
      </c>
      <c r="D12564" s="13" t="n">
        <v>45467</v>
      </c>
      <c r="E12564" s="14" t="n">
        <v>8036.71</v>
      </c>
      <c r="F12564" s="14" t="n">
        <v>36317.84</v>
      </c>
      <c r="G12564" s="6" t="s">
        <v>2613</v>
      </c>
    </row>
    <row r="12565" customFormat="false" ht="15" hidden="false" customHeight="true" outlineLevel="0" collapsed="false">
      <c r="A12565" s="6" t="s">
        <v>15177</v>
      </c>
      <c r="B12565" s="6" t="s">
        <v>2507</v>
      </c>
      <c r="C12565" s="6" t="s">
        <v>128</v>
      </c>
      <c r="D12565" s="13" t="n">
        <v>45400</v>
      </c>
      <c r="E12565" s="14" t="n">
        <v>1585.45</v>
      </c>
      <c r="F12565" s="14" t="n">
        <v>1585.45</v>
      </c>
      <c r="G12565" s="6" t="s">
        <v>2613</v>
      </c>
    </row>
    <row r="12566" customFormat="false" ht="15" hidden="false" customHeight="true" outlineLevel="0" collapsed="false">
      <c r="A12566" s="6" t="s">
        <v>15178</v>
      </c>
      <c r="B12566" s="6" t="s">
        <v>2507</v>
      </c>
      <c r="C12566" s="6" t="s">
        <v>128</v>
      </c>
      <c r="D12566" s="13" t="n">
        <v>45407</v>
      </c>
      <c r="E12566" s="14" t="n">
        <v>1992.69</v>
      </c>
      <c r="F12566" s="14" t="n">
        <v>3578.14</v>
      </c>
      <c r="G12566" s="6" t="s">
        <v>2613</v>
      </c>
    </row>
    <row r="12567" customFormat="false" ht="15" hidden="false" customHeight="true" outlineLevel="0" collapsed="false">
      <c r="A12567" s="6" t="s">
        <v>15179</v>
      </c>
      <c r="B12567" s="6" t="s">
        <v>2507</v>
      </c>
      <c r="C12567" s="6" t="s">
        <v>128</v>
      </c>
      <c r="D12567" s="13" t="n">
        <v>45414</v>
      </c>
      <c r="E12567" s="14" t="n">
        <v>1971.1</v>
      </c>
      <c r="F12567" s="14" t="n">
        <v>5549.24</v>
      </c>
      <c r="G12567" s="6" t="s">
        <v>2623</v>
      </c>
    </row>
    <row r="12568" customFormat="false" ht="15" hidden="false" customHeight="true" outlineLevel="0" collapsed="false">
      <c r="A12568" s="6" t="s">
        <v>15180</v>
      </c>
      <c r="B12568" s="6" t="s">
        <v>2507</v>
      </c>
      <c r="C12568" s="6" t="s">
        <v>128</v>
      </c>
      <c r="D12568" s="13" t="n">
        <v>45421</v>
      </c>
      <c r="E12568" s="14" t="n">
        <v>1878.63</v>
      </c>
      <c r="F12568" s="14" t="n">
        <v>7427.87</v>
      </c>
      <c r="G12568" s="6" t="s">
        <v>2613</v>
      </c>
    </row>
    <row r="12569" customFormat="false" ht="15" hidden="false" customHeight="true" outlineLevel="0" collapsed="false">
      <c r="A12569" s="6" t="s">
        <v>15181</v>
      </c>
      <c r="B12569" s="6" t="s">
        <v>2507</v>
      </c>
      <c r="C12569" s="6" t="s">
        <v>128</v>
      </c>
      <c r="D12569" s="13" t="n">
        <v>45428</v>
      </c>
      <c r="E12569" s="14" t="n">
        <v>1978.27</v>
      </c>
      <c r="F12569" s="14" t="n">
        <v>9406.14</v>
      </c>
      <c r="G12569" s="6" t="s">
        <v>2613</v>
      </c>
    </row>
    <row r="12570" customFormat="false" ht="15" hidden="false" customHeight="true" outlineLevel="0" collapsed="false">
      <c r="A12570" s="6" t="s">
        <v>15182</v>
      </c>
      <c r="B12570" s="6" t="s">
        <v>2507</v>
      </c>
      <c r="C12570" s="6" t="s">
        <v>128</v>
      </c>
      <c r="D12570" s="13" t="n">
        <v>45435</v>
      </c>
      <c r="E12570" s="14" t="n">
        <v>1151.33</v>
      </c>
      <c r="F12570" s="14" t="n">
        <v>10557.47</v>
      </c>
      <c r="G12570" s="6" t="s">
        <v>2613</v>
      </c>
    </row>
    <row r="12571" customFormat="false" ht="15" hidden="false" customHeight="true" outlineLevel="0" collapsed="false">
      <c r="A12571" s="6" t="s">
        <v>15183</v>
      </c>
      <c r="B12571" s="6" t="s">
        <v>2507</v>
      </c>
      <c r="C12571" s="6" t="s">
        <v>128</v>
      </c>
      <c r="D12571" s="13" t="n">
        <v>45442</v>
      </c>
      <c r="E12571" s="14" t="n">
        <v>994.97</v>
      </c>
      <c r="F12571" s="14" t="n">
        <v>11552.44</v>
      </c>
      <c r="G12571" s="6" t="s">
        <v>2613</v>
      </c>
    </row>
    <row r="12572" customFormat="false" ht="15" hidden="false" customHeight="true" outlineLevel="0" collapsed="false">
      <c r="A12572" s="6" t="s">
        <v>15184</v>
      </c>
      <c r="B12572" s="6" t="s">
        <v>2507</v>
      </c>
      <c r="C12572" s="6" t="s">
        <v>128</v>
      </c>
      <c r="D12572" s="13" t="n">
        <v>45449</v>
      </c>
      <c r="E12572" s="14" t="n">
        <v>721.82</v>
      </c>
      <c r="F12572" s="14" t="n">
        <v>12274.26</v>
      </c>
      <c r="G12572" s="6" t="s">
        <v>2613</v>
      </c>
    </row>
    <row r="12573" customFormat="false" ht="15" hidden="false" customHeight="true" outlineLevel="0" collapsed="false">
      <c r="A12573" s="6" t="s">
        <v>15185</v>
      </c>
      <c r="B12573" s="6" t="s">
        <v>2509</v>
      </c>
      <c r="C12573" s="6" t="s">
        <v>120</v>
      </c>
      <c r="D12573" s="13" t="n">
        <v>45517</v>
      </c>
      <c r="E12573" s="14" t="n">
        <v>7888.57</v>
      </c>
      <c r="F12573" s="14" t="n">
        <v>7888.57</v>
      </c>
      <c r="G12573" s="6" t="s">
        <v>2613</v>
      </c>
    </row>
    <row r="12574" customFormat="false" ht="15" hidden="false" customHeight="true" outlineLevel="0" collapsed="false">
      <c r="A12574" s="6" t="s">
        <v>15186</v>
      </c>
      <c r="B12574" s="6" t="s">
        <v>2509</v>
      </c>
      <c r="C12574" s="6" t="s">
        <v>120</v>
      </c>
      <c r="D12574" s="13" t="n">
        <v>45524</v>
      </c>
      <c r="E12574" s="14" t="n">
        <v>5945.05</v>
      </c>
      <c r="F12574" s="14" t="n">
        <v>13833.62</v>
      </c>
      <c r="G12574" s="6" t="s">
        <v>2623</v>
      </c>
    </row>
    <row r="12575" customFormat="false" ht="15" hidden="false" customHeight="true" outlineLevel="0" collapsed="false">
      <c r="A12575" s="6" t="s">
        <v>15187</v>
      </c>
      <c r="B12575" s="6" t="s">
        <v>2509</v>
      </c>
      <c r="C12575" s="6" t="s">
        <v>120</v>
      </c>
      <c r="D12575" s="13" t="n">
        <v>45531</v>
      </c>
      <c r="E12575" s="14" t="n">
        <v>7574.8</v>
      </c>
      <c r="F12575" s="14" t="n">
        <v>21408.42</v>
      </c>
      <c r="G12575" s="6" t="s">
        <v>2613</v>
      </c>
    </row>
    <row r="12576" customFormat="false" ht="15" hidden="false" customHeight="true" outlineLevel="0" collapsed="false">
      <c r="A12576" s="6" t="s">
        <v>15188</v>
      </c>
      <c r="B12576" s="6" t="s">
        <v>2509</v>
      </c>
      <c r="C12576" s="6" t="s">
        <v>120</v>
      </c>
      <c r="D12576" s="13" t="n">
        <v>45538</v>
      </c>
      <c r="E12576" s="14" t="n">
        <v>6602.34</v>
      </c>
      <c r="F12576" s="14" t="n">
        <v>28010.76</v>
      </c>
      <c r="G12576" s="6" t="s">
        <v>2613</v>
      </c>
    </row>
    <row r="12577" customFormat="false" ht="15" hidden="false" customHeight="true" outlineLevel="0" collapsed="false">
      <c r="A12577" s="6" t="s">
        <v>15189</v>
      </c>
      <c r="B12577" s="6" t="s">
        <v>2509</v>
      </c>
      <c r="C12577" s="6" t="s">
        <v>120</v>
      </c>
      <c r="D12577" s="13" t="n">
        <v>45545</v>
      </c>
      <c r="E12577" s="14" t="n">
        <v>4131.29</v>
      </c>
      <c r="F12577" s="14" t="n">
        <v>32142.05</v>
      </c>
      <c r="G12577" s="6" t="s">
        <v>2623</v>
      </c>
    </row>
    <row r="12578" customFormat="false" ht="15" hidden="false" customHeight="true" outlineLevel="0" collapsed="false">
      <c r="A12578" s="6" t="s">
        <v>15190</v>
      </c>
      <c r="B12578" s="6" t="s">
        <v>2509</v>
      </c>
      <c r="C12578" s="6" t="s">
        <v>120</v>
      </c>
      <c r="D12578" s="13" t="n">
        <v>45552</v>
      </c>
      <c r="E12578" s="14" t="n">
        <v>3815.13</v>
      </c>
      <c r="F12578" s="14" t="n">
        <v>35957.18</v>
      </c>
      <c r="G12578" s="6" t="s">
        <v>2623</v>
      </c>
    </row>
    <row r="12579" customFormat="false" ht="15" hidden="false" customHeight="true" outlineLevel="0" collapsed="false">
      <c r="A12579" s="6" t="s">
        <v>15191</v>
      </c>
      <c r="B12579" s="6" t="s">
        <v>2509</v>
      </c>
      <c r="C12579" s="6" t="s">
        <v>120</v>
      </c>
      <c r="D12579" s="13" t="n">
        <v>45559</v>
      </c>
      <c r="E12579" s="14" t="n">
        <v>5428.17</v>
      </c>
      <c r="F12579" s="14" t="n">
        <v>41385.35</v>
      </c>
      <c r="G12579" s="6" t="s">
        <v>2613</v>
      </c>
    </row>
    <row r="12580" customFormat="false" ht="15" hidden="false" customHeight="true" outlineLevel="0" collapsed="false">
      <c r="A12580" s="6" t="s">
        <v>15192</v>
      </c>
      <c r="B12580" s="6" t="s">
        <v>2509</v>
      </c>
      <c r="C12580" s="6" t="s">
        <v>120</v>
      </c>
      <c r="D12580" s="13" t="n">
        <v>45566</v>
      </c>
      <c r="E12580" s="14" t="n">
        <v>6250.62</v>
      </c>
      <c r="F12580" s="14" t="n">
        <v>47635.97</v>
      </c>
      <c r="G12580" s="6" t="s">
        <v>2613</v>
      </c>
    </row>
    <row r="12581" customFormat="false" ht="15" hidden="false" customHeight="true" outlineLevel="0" collapsed="false">
      <c r="A12581" s="6" t="s">
        <v>15193</v>
      </c>
      <c r="B12581" s="6" t="s">
        <v>2511</v>
      </c>
      <c r="C12581" s="6" t="s">
        <v>116</v>
      </c>
      <c r="D12581" s="13" t="n">
        <v>45417</v>
      </c>
      <c r="E12581" s="14" t="n">
        <v>1194.77</v>
      </c>
      <c r="F12581" s="14" t="n">
        <v>1194.77</v>
      </c>
      <c r="G12581" s="6" t="s">
        <v>2613</v>
      </c>
    </row>
    <row r="12582" customFormat="false" ht="15" hidden="false" customHeight="true" outlineLevel="0" collapsed="false">
      <c r="A12582" s="6" t="s">
        <v>15194</v>
      </c>
      <c r="B12582" s="6" t="s">
        <v>2511</v>
      </c>
      <c r="C12582" s="6" t="s">
        <v>116</v>
      </c>
      <c r="D12582" s="13" t="n">
        <v>45424</v>
      </c>
      <c r="E12582" s="14" t="n">
        <v>1029.71</v>
      </c>
      <c r="F12582" s="14" t="n">
        <v>2224.48</v>
      </c>
      <c r="G12582" s="6" t="s">
        <v>2623</v>
      </c>
    </row>
    <row r="12583" customFormat="false" ht="15" hidden="false" customHeight="true" outlineLevel="0" collapsed="false">
      <c r="A12583" s="6" t="s">
        <v>15195</v>
      </c>
      <c r="B12583" s="6" t="s">
        <v>2511</v>
      </c>
      <c r="C12583" s="6" t="s">
        <v>116</v>
      </c>
      <c r="D12583" s="13" t="n">
        <v>45431</v>
      </c>
      <c r="E12583" s="14" t="n">
        <v>847.49</v>
      </c>
      <c r="F12583" s="14" t="n">
        <v>3071.97</v>
      </c>
      <c r="G12583" s="6" t="s">
        <v>2613</v>
      </c>
    </row>
    <row r="12584" customFormat="false" ht="15" hidden="false" customHeight="true" outlineLevel="0" collapsed="false">
      <c r="A12584" s="6" t="s">
        <v>15196</v>
      </c>
      <c r="B12584" s="6" t="s">
        <v>2511</v>
      </c>
      <c r="C12584" s="6" t="s">
        <v>116</v>
      </c>
      <c r="D12584" s="13" t="n">
        <v>45438</v>
      </c>
      <c r="E12584" s="14" t="n">
        <v>1183.97</v>
      </c>
      <c r="F12584" s="14" t="n">
        <v>4255.94</v>
      </c>
      <c r="G12584" s="6" t="s">
        <v>2613</v>
      </c>
    </row>
    <row r="12585" customFormat="false" ht="15" hidden="false" customHeight="true" outlineLevel="0" collapsed="false">
      <c r="A12585" s="6" t="s">
        <v>15197</v>
      </c>
      <c r="B12585" s="6" t="s">
        <v>2511</v>
      </c>
      <c r="C12585" s="6" t="s">
        <v>116</v>
      </c>
      <c r="D12585" s="13" t="n">
        <v>45445</v>
      </c>
      <c r="E12585" s="14" t="n">
        <v>1134.88</v>
      </c>
      <c r="F12585" s="14" t="n">
        <v>5390.82</v>
      </c>
      <c r="G12585" s="6" t="s">
        <v>2623</v>
      </c>
    </row>
    <row r="12586" customFormat="false" ht="15" hidden="false" customHeight="true" outlineLevel="0" collapsed="false">
      <c r="A12586" s="6" t="s">
        <v>15198</v>
      </c>
      <c r="B12586" s="6" t="s">
        <v>2511</v>
      </c>
      <c r="C12586" s="6" t="s">
        <v>116</v>
      </c>
      <c r="D12586" s="13" t="n">
        <v>45452</v>
      </c>
      <c r="E12586" s="14" t="n">
        <v>853.05</v>
      </c>
      <c r="F12586" s="14" t="n">
        <v>6243.87</v>
      </c>
      <c r="G12586" s="6" t="s">
        <v>2613</v>
      </c>
    </row>
    <row r="12587" customFormat="false" ht="15" hidden="false" customHeight="true" outlineLevel="0" collapsed="false">
      <c r="A12587" s="6" t="s">
        <v>15199</v>
      </c>
      <c r="B12587" s="6" t="s">
        <v>2511</v>
      </c>
      <c r="C12587" s="6" t="s">
        <v>116</v>
      </c>
      <c r="D12587" s="13" t="n">
        <v>45459</v>
      </c>
      <c r="E12587" s="14" t="n">
        <v>1427.07</v>
      </c>
      <c r="F12587" s="14" t="n">
        <v>7670.94</v>
      </c>
      <c r="G12587" s="6" t="s">
        <v>2613</v>
      </c>
    </row>
    <row r="12588" customFormat="false" ht="15" hidden="false" customHeight="true" outlineLevel="0" collapsed="false">
      <c r="A12588" s="6" t="s">
        <v>15200</v>
      </c>
      <c r="B12588" s="6" t="s">
        <v>2511</v>
      </c>
      <c r="C12588" s="6" t="s">
        <v>116</v>
      </c>
      <c r="D12588" s="13" t="n">
        <v>45466</v>
      </c>
      <c r="E12588" s="14" t="n">
        <v>589.84</v>
      </c>
      <c r="F12588" s="14" t="n">
        <v>8260.78</v>
      </c>
      <c r="G12588" s="6" t="s">
        <v>2613</v>
      </c>
    </row>
    <row r="12589" customFormat="false" ht="15" hidden="false" customHeight="true" outlineLevel="0" collapsed="false">
      <c r="A12589" s="6" t="s">
        <v>15201</v>
      </c>
      <c r="B12589" s="6" t="s">
        <v>2513</v>
      </c>
      <c r="C12589" s="6" t="s">
        <v>131</v>
      </c>
      <c r="D12589" s="13" t="n">
        <v>44954</v>
      </c>
      <c r="E12589" s="14" t="n">
        <v>217.81</v>
      </c>
      <c r="F12589" s="14" t="n">
        <v>217.81</v>
      </c>
      <c r="G12589" s="6" t="s">
        <v>2613</v>
      </c>
    </row>
    <row r="12590" customFormat="false" ht="15" hidden="false" customHeight="true" outlineLevel="0" collapsed="false">
      <c r="A12590" s="6" t="s">
        <v>15202</v>
      </c>
      <c r="B12590" s="6" t="s">
        <v>2513</v>
      </c>
      <c r="C12590" s="6" t="s">
        <v>131</v>
      </c>
      <c r="D12590" s="13" t="n">
        <v>44961</v>
      </c>
      <c r="E12590" s="14" t="n">
        <v>421.84</v>
      </c>
      <c r="F12590" s="14" t="n">
        <v>639.65</v>
      </c>
      <c r="G12590" s="6" t="s">
        <v>2613</v>
      </c>
    </row>
    <row r="12591" customFormat="false" ht="15" hidden="false" customHeight="true" outlineLevel="0" collapsed="false">
      <c r="A12591" s="6" t="s">
        <v>15203</v>
      </c>
      <c r="B12591" s="6" t="s">
        <v>2513</v>
      </c>
      <c r="C12591" s="6" t="s">
        <v>131</v>
      </c>
      <c r="D12591" s="13" t="n">
        <v>44968</v>
      </c>
      <c r="E12591" s="14" t="n">
        <v>237.06</v>
      </c>
      <c r="F12591" s="14" t="n">
        <v>876.71</v>
      </c>
      <c r="G12591" s="6" t="s">
        <v>2613</v>
      </c>
    </row>
    <row r="12592" customFormat="false" ht="15" hidden="false" customHeight="true" outlineLevel="0" collapsed="false">
      <c r="A12592" s="6" t="s">
        <v>15204</v>
      </c>
      <c r="B12592" s="6" t="s">
        <v>2513</v>
      </c>
      <c r="C12592" s="6" t="s">
        <v>131</v>
      </c>
      <c r="D12592" s="13" t="n">
        <v>44975</v>
      </c>
      <c r="E12592" s="14" t="n">
        <v>458.03</v>
      </c>
      <c r="F12592" s="14" t="n">
        <v>1334.74</v>
      </c>
      <c r="G12592" s="6" t="s">
        <v>2613</v>
      </c>
    </row>
    <row r="12593" customFormat="false" ht="15" hidden="false" customHeight="true" outlineLevel="0" collapsed="false">
      <c r="A12593" s="6" t="s">
        <v>15205</v>
      </c>
      <c r="B12593" s="6" t="s">
        <v>2513</v>
      </c>
      <c r="C12593" s="6" t="s">
        <v>131</v>
      </c>
      <c r="D12593" s="13" t="n">
        <v>44982</v>
      </c>
      <c r="E12593" s="14" t="n">
        <v>338.81</v>
      </c>
      <c r="F12593" s="14" t="n">
        <v>1673.55</v>
      </c>
      <c r="G12593" s="6" t="s">
        <v>2613</v>
      </c>
    </row>
    <row r="12594" customFormat="false" ht="15" hidden="false" customHeight="true" outlineLevel="0" collapsed="false">
      <c r="A12594" s="6" t="s">
        <v>15206</v>
      </c>
      <c r="B12594" s="6" t="s">
        <v>2513</v>
      </c>
      <c r="C12594" s="6" t="s">
        <v>131</v>
      </c>
      <c r="D12594" s="13" t="n">
        <v>44989</v>
      </c>
      <c r="E12594" s="14" t="n">
        <v>262.04</v>
      </c>
      <c r="F12594" s="14" t="n">
        <v>1935.59</v>
      </c>
      <c r="G12594" s="6" t="s">
        <v>2613</v>
      </c>
    </row>
    <row r="12595" customFormat="false" ht="15" hidden="false" customHeight="true" outlineLevel="0" collapsed="false">
      <c r="A12595" s="6" t="s">
        <v>15207</v>
      </c>
      <c r="B12595" s="6" t="s">
        <v>2513</v>
      </c>
      <c r="C12595" s="6" t="s">
        <v>131</v>
      </c>
      <c r="D12595" s="13" t="n">
        <v>44996</v>
      </c>
      <c r="E12595" s="14" t="n">
        <v>416.31</v>
      </c>
      <c r="F12595" s="14" t="n">
        <v>2351.9</v>
      </c>
      <c r="G12595" s="6" t="s">
        <v>2613</v>
      </c>
    </row>
    <row r="12596" customFormat="false" ht="15" hidden="false" customHeight="true" outlineLevel="0" collapsed="false">
      <c r="A12596" s="6" t="s">
        <v>15208</v>
      </c>
      <c r="B12596" s="6" t="s">
        <v>2513</v>
      </c>
      <c r="C12596" s="6" t="s">
        <v>131</v>
      </c>
      <c r="D12596" s="13" t="n">
        <v>45003</v>
      </c>
      <c r="E12596" s="14" t="n">
        <v>253.9</v>
      </c>
      <c r="F12596" s="14" t="n">
        <v>2605.8</v>
      </c>
      <c r="G12596" s="6" t="s">
        <v>2613</v>
      </c>
    </row>
    <row r="12597" customFormat="false" ht="15" hidden="false" customHeight="true" outlineLevel="0" collapsed="false">
      <c r="A12597" s="6" t="s">
        <v>15209</v>
      </c>
      <c r="B12597" s="6" t="s">
        <v>2513</v>
      </c>
      <c r="C12597" s="6" t="s">
        <v>131</v>
      </c>
      <c r="D12597" s="13" t="n">
        <v>45010</v>
      </c>
      <c r="E12597" s="14" t="n">
        <v>309.29</v>
      </c>
      <c r="F12597" s="14" t="n">
        <v>2915.09</v>
      </c>
      <c r="G12597" s="6" t="s">
        <v>2613</v>
      </c>
    </row>
    <row r="12598" customFormat="false" ht="15" hidden="false" customHeight="true" outlineLevel="0" collapsed="false">
      <c r="A12598" s="6" t="s">
        <v>15210</v>
      </c>
      <c r="B12598" s="6" t="s">
        <v>2513</v>
      </c>
      <c r="C12598" s="6" t="s">
        <v>131</v>
      </c>
      <c r="D12598" s="13" t="n">
        <v>45017</v>
      </c>
      <c r="E12598" s="14" t="n">
        <v>497.73</v>
      </c>
      <c r="F12598" s="14" t="n">
        <v>3412.82</v>
      </c>
      <c r="G12598" s="6" t="s">
        <v>2613</v>
      </c>
    </row>
    <row r="12599" customFormat="false" ht="15" hidden="false" customHeight="true" outlineLevel="0" collapsed="false">
      <c r="A12599" s="6" t="s">
        <v>15211</v>
      </c>
      <c r="B12599" s="6" t="s">
        <v>2515</v>
      </c>
      <c r="C12599" s="6" t="s">
        <v>112</v>
      </c>
      <c r="D12599" s="13" t="n">
        <v>44683</v>
      </c>
      <c r="E12599" s="14" t="n">
        <v>1383.85</v>
      </c>
      <c r="F12599" s="14" t="n">
        <v>1383.85</v>
      </c>
      <c r="G12599" s="6" t="s">
        <v>2623</v>
      </c>
    </row>
    <row r="12600" customFormat="false" ht="15" hidden="false" customHeight="true" outlineLevel="0" collapsed="false">
      <c r="A12600" s="6" t="s">
        <v>15212</v>
      </c>
      <c r="B12600" s="6" t="s">
        <v>2515</v>
      </c>
      <c r="C12600" s="6" t="s">
        <v>112</v>
      </c>
      <c r="D12600" s="13" t="n">
        <v>44690</v>
      </c>
      <c r="E12600" s="14" t="n">
        <v>2140.13</v>
      </c>
      <c r="F12600" s="14" t="n">
        <v>3523.98</v>
      </c>
      <c r="G12600" s="6" t="s">
        <v>2613</v>
      </c>
    </row>
    <row r="12601" customFormat="false" ht="15" hidden="false" customHeight="true" outlineLevel="0" collapsed="false">
      <c r="A12601" s="6" t="s">
        <v>15213</v>
      </c>
      <c r="B12601" s="6" t="s">
        <v>2515</v>
      </c>
      <c r="C12601" s="6" t="s">
        <v>112</v>
      </c>
      <c r="D12601" s="13" t="n">
        <v>44697</v>
      </c>
      <c r="E12601" s="14" t="n">
        <v>1688.93</v>
      </c>
      <c r="F12601" s="14" t="n">
        <v>5212.91</v>
      </c>
      <c r="G12601" s="6" t="s">
        <v>2613</v>
      </c>
    </row>
    <row r="12602" customFormat="false" ht="15" hidden="false" customHeight="true" outlineLevel="0" collapsed="false">
      <c r="A12602" s="6" t="s">
        <v>15214</v>
      </c>
      <c r="B12602" s="6" t="s">
        <v>2515</v>
      </c>
      <c r="C12602" s="6" t="s">
        <v>112</v>
      </c>
      <c r="D12602" s="13" t="n">
        <v>44704</v>
      </c>
      <c r="E12602" s="14" t="n">
        <v>2103.84</v>
      </c>
      <c r="F12602" s="14" t="n">
        <v>7316.75</v>
      </c>
      <c r="G12602" s="6" t="s">
        <v>2623</v>
      </c>
    </row>
    <row r="12603" customFormat="false" ht="15" hidden="false" customHeight="true" outlineLevel="0" collapsed="false">
      <c r="A12603" s="6" t="s">
        <v>15215</v>
      </c>
      <c r="B12603" s="6" t="s">
        <v>2515</v>
      </c>
      <c r="C12603" s="6" t="s">
        <v>112</v>
      </c>
      <c r="D12603" s="13" t="n">
        <v>44711</v>
      </c>
      <c r="E12603" s="14" t="n">
        <v>1533.64</v>
      </c>
      <c r="F12603" s="14" t="n">
        <v>8850.39</v>
      </c>
      <c r="G12603" s="6" t="s">
        <v>2613</v>
      </c>
    </row>
    <row r="12604" customFormat="false" ht="15" hidden="false" customHeight="true" outlineLevel="0" collapsed="false">
      <c r="A12604" s="6" t="s">
        <v>15216</v>
      </c>
      <c r="B12604" s="6" t="s">
        <v>2515</v>
      </c>
      <c r="C12604" s="6" t="s">
        <v>112</v>
      </c>
      <c r="D12604" s="13" t="n">
        <v>44718</v>
      </c>
      <c r="E12604" s="14" t="n">
        <v>2229.1</v>
      </c>
      <c r="F12604" s="14" t="n">
        <v>11079.49</v>
      </c>
      <c r="G12604" s="6" t="s">
        <v>2613</v>
      </c>
    </row>
    <row r="12605" customFormat="false" ht="15" hidden="false" customHeight="true" outlineLevel="0" collapsed="false">
      <c r="A12605" s="6" t="s">
        <v>15217</v>
      </c>
      <c r="B12605" s="6" t="s">
        <v>2515</v>
      </c>
      <c r="C12605" s="6" t="s">
        <v>112</v>
      </c>
      <c r="D12605" s="13" t="n">
        <v>44725</v>
      </c>
      <c r="E12605" s="14" t="n">
        <v>1200.98</v>
      </c>
      <c r="F12605" s="14" t="n">
        <v>12280.47</v>
      </c>
      <c r="G12605" s="6" t="s">
        <v>2613</v>
      </c>
    </row>
    <row r="12606" customFormat="false" ht="15" hidden="false" customHeight="true" outlineLevel="0" collapsed="false">
      <c r="A12606" s="6" t="s">
        <v>15218</v>
      </c>
      <c r="B12606" s="6" t="s">
        <v>2515</v>
      </c>
      <c r="C12606" s="6" t="s">
        <v>112</v>
      </c>
      <c r="D12606" s="13" t="n">
        <v>44732</v>
      </c>
      <c r="E12606" s="14" t="n">
        <v>1403.64</v>
      </c>
      <c r="F12606" s="14" t="n">
        <v>13684.11</v>
      </c>
      <c r="G12606" s="6" t="s">
        <v>2613</v>
      </c>
    </row>
    <row r="12607" customFormat="false" ht="15" hidden="false" customHeight="true" outlineLevel="0" collapsed="false">
      <c r="A12607" s="6" t="s">
        <v>15219</v>
      </c>
      <c r="B12607" s="6" t="s">
        <v>2515</v>
      </c>
      <c r="C12607" s="6" t="s">
        <v>112</v>
      </c>
      <c r="D12607" s="13" t="n">
        <v>44739</v>
      </c>
      <c r="E12607" s="14" t="n">
        <v>1530.07</v>
      </c>
      <c r="F12607" s="14" t="n">
        <v>15214.18</v>
      </c>
      <c r="G12607" s="6" t="s">
        <v>2623</v>
      </c>
    </row>
    <row r="12608" customFormat="false" ht="15" hidden="false" customHeight="true" outlineLevel="0" collapsed="false">
      <c r="A12608" s="6" t="s">
        <v>15220</v>
      </c>
      <c r="B12608" s="6" t="s">
        <v>2515</v>
      </c>
      <c r="C12608" s="6" t="s">
        <v>112</v>
      </c>
      <c r="D12608" s="13" t="n">
        <v>44746</v>
      </c>
      <c r="E12608" s="14" t="n">
        <v>1434.36</v>
      </c>
      <c r="F12608" s="14" t="n">
        <v>16648.54</v>
      </c>
      <c r="G12608" s="6" t="s">
        <v>2613</v>
      </c>
    </row>
    <row r="12609" customFormat="false" ht="15" hidden="false" customHeight="true" outlineLevel="0" collapsed="false">
      <c r="A12609" s="6" t="s">
        <v>15221</v>
      </c>
      <c r="B12609" s="6" t="s">
        <v>2515</v>
      </c>
      <c r="C12609" s="6" t="s">
        <v>112</v>
      </c>
      <c r="D12609" s="13" t="n">
        <v>44753</v>
      </c>
      <c r="E12609" s="14" t="n">
        <v>2370.29</v>
      </c>
      <c r="F12609" s="14" t="n">
        <v>19018.83</v>
      </c>
      <c r="G12609" s="6" t="s">
        <v>2613</v>
      </c>
    </row>
    <row r="12610" customFormat="false" ht="15" hidden="false" customHeight="true" outlineLevel="0" collapsed="false">
      <c r="A12610" s="6" t="s">
        <v>15222</v>
      </c>
      <c r="B12610" s="6" t="s">
        <v>2515</v>
      </c>
      <c r="C12610" s="6" t="s">
        <v>112</v>
      </c>
      <c r="D12610" s="13" t="n">
        <v>44760</v>
      </c>
      <c r="E12610" s="14" t="n">
        <v>1039.37</v>
      </c>
      <c r="F12610" s="14" t="n">
        <v>20058.2</v>
      </c>
      <c r="G12610" s="6" t="s">
        <v>2613</v>
      </c>
    </row>
    <row r="12611" customFormat="false" ht="15" hidden="false" customHeight="true" outlineLevel="0" collapsed="false">
      <c r="A12611" s="6" t="s">
        <v>15223</v>
      </c>
      <c r="B12611" s="6" t="s">
        <v>2515</v>
      </c>
      <c r="C12611" s="6" t="s">
        <v>112</v>
      </c>
      <c r="D12611" s="13" t="n">
        <v>44767</v>
      </c>
      <c r="E12611" s="14" t="n">
        <v>2311.3</v>
      </c>
      <c r="F12611" s="14" t="n">
        <v>22369.5</v>
      </c>
      <c r="G12611" s="6" t="s">
        <v>2613</v>
      </c>
    </row>
    <row r="12612" customFormat="false" ht="15" hidden="false" customHeight="true" outlineLevel="0" collapsed="false">
      <c r="A12612" s="6" t="s">
        <v>15224</v>
      </c>
      <c r="B12612" s="6" t="s">
        <v>2515</v>
      </c>
      <c r="C12612" s="6" t="s">
        <v>112</v>
      </c>
      <c r="D12612" s="13" t="n">
        <v>44774</v>
      </c>
      <c r="E12612" s="14" t="n">
        <v>2049.06</v>
      </c>
      <c r="F12612" s="14" t="n">
        <v>24418.56</v>
      </c>
      <c r="G12612" s="6" t="s">
        <v>2613</v>
      </c>
    </row>
    <row r="12613" customFormat="false" ht="15" hidden="false" customHeight="true" outlineLevel="0" collapsed="false">
      <c r="A12613" s="6" t="s">
        <v>15225</v>
      </c>
      <c r="B12613" s="6" t="s">
        <v>2515</v>
      </c>
      <c r="C12613" s="6" t="s">
        <v>112</v>
      </c>
      <c r="D12613" s="13" t="n">
        <v>44781</v>
      </c>
      <c r="E12613" s="14" t="n">
        <v>1491.93</v>
      </c>
      <c r="F12613" s="14" t="n">
        <v>25910.49</v>
      </c>
      <c r="G12613" s="6" t="s">
        <v>2613</v>
      </c>
    </row>
    <row r="12614" customFormat="false" ht="15" hidden="false" customHeight="true" outlineLevel="0" collapsed="false">
      <c r="A12614" s="6" t="s">
        <v>15226</v>
      </c>
      <c r="B12614" s="6" t="s">
        <v>2515</v>
      </c>
      <c r="C12614" s="6" t="s">
        <v>112</v>
      </c>
      <c r="D12614" s="13" t="n">
        <v>44788</v>
      </c>
      <c r="E12614" s="14" t="n">
        <v>2296.36</v>
      </c>
      <c r="F12614" s="14" t="n">
        <v>28206.85</v>
      </c>
      <c r="G12614" s="6" t="s">
        <v>2613</v>
      </c>
    </row>
    <row r="12615" customFormat="false" ht="15" hidden="false" customHeight="true" outlineLevel="0" collapsed="false">
      <c r="A12615" s="6" t="s">
        <v>15227</v>
      </c>
      <c r="B12615" s="6" t="s">
        <v>2515</v>
      </c>
      <c r="C12615" s="6" t="s">
        <v>112</v>
      </c>
      <c r="D12615" s="13" t="n">
        <v>44795</v>
      </c>
      <c r="E12615" s="14" t="n">
        <v>2141.85</v>
      </c>
      <c r="F12615" s="14" t="n">
        <v>30348.7</v>
      </c>
      <c r="G12615" s="6" t="s">
        <v>2613</v>
      </c>
    </row>
    <row r="12616" customFormat="false" ht="15" hidden="false" customHeight="true" outlineLevel="0" collapsed="false">
      <c r="A12616" s="6" t="s">
        <v>15228</v>
      </c>
      <c r="B12616" s="6" t="s">
        <v>2515</v>
      </c>
      <c r="C12616" s="6" t="s">
        <v>112</v>
      </c>
      <c r="D12616" s="13" t="n">
        <v>44802</v>
      </c>
      <c r="E12616" s="14" t="n">
        <v>698.17</v>
      </c>
      <c r="F12616" s="14" t="n">
        <v>31046.87</v>
      </c>
      <c r="G12616" s="6" t="s">
        <v>2613</v>
      </c>
    </row>
    <row r="12617" customFormat="false" ht="15" hidden="false" customHeight="true" outlineLevel="0" collapsed="false">
      <c r="A12617" s="6" t="s">
        <v>15229</v>
      </c>
      <c r="B12617" s="6" t="s">
        <v>2517</v>
      </c>
      <c r="C12617" s="6" t="s">
        <v>128</v>
      </c>
      <c r="D12617" s="13" t="n">
        <v>44877</v>
      </c>
      <c r="E12617" s="14" t="n">
        <v>2171.22</v>
      </c>
      <c r="F12617" s="14" t="n">
        <v>2171.22</v>
      </c>
      <c r="G12617" s="6" t="s">
        <v>2623</v>
      </c>
    </row>
    <row r="12618" customFormat="false" ht="15" hidden="false" customHeight="true" outlineLevel="0" collapsed="false">
      <c r="A12618" s="6" t="s">
        <v>15230</v>
      </c>
      <c r="B12618" s="6" t="s">
        <v>2517</v>
      </c>
      <c r="C12618" s="6" t="s">
        <v>128</v>
      </c>
      <c r="D12618" s="13" t="n">
        <v>44884</v>
      </c>
      <c r="E12618" s="14" t="n">
        <v>3935.93</v>
      </c>
      <c r="F12618" s="14" t="n">
        <v>6107.15</v>
      </c>
      <c r="G12618" s="6" t="s">
        <v>2613</v>
      </c>
    </row>
    <row r="12619" customFormat="false" ht="15" hidden="false" customHeight="true" outlineLevel="0" collapsed="false">
      <c r="A12619" s="6" t="s">
        <v>15231</v>
      </c>
      <c r="B12619" s="6" t="s">
        <v>2517</v>
      </c>
      <c r="C12619" s="6" t="s">
        <v>128</v>
      </c>
      <c r="D12619" s="13" t="n">
        <v>44891</v>
      </c>
      <c r="E12619" s="14" t="n">
        <v>2159.93</v>
      </c>
      <c r="F12619" s="14" t="n">
        <v>8267.08</v>
      </c>
      <c r="G12619" s="6" t="s">
        <v>2613</v>
      </c>
    </row>
    <row r="12620" customFormat="false" ht="15" hidden="false" customHeight="true" outlineLevel="0" collapsed="false">
      <c r="A12620" s="6" t="s">
        <v>15232</v>
      </c>
      <c r="B12620" s="6" t="s">
        <v>2517</v>
      </c>
      <c r="C12620" s="6" t="s">
        <v>128</v>
      </c>
      <c r="D12620" s="13" t="n">
        <v>44898</v>
      </c>
      <c r="E12620" s="14" t="n">
        <v>2706.9</v>
      </c>
      <c r="F12620" s="14" t="n">
        <v>10973.98</v>
      </c>
      <c r="G12620" s="6" t="s">
        <v>2613</v>
      </c>
    </row>
    <row r="12621" customFormat="false" ht="15" hidden="false" customHeight="true" outlineLevel="0" collapsed="false">
      <c r="A12621" s="6" t="s">
        <v>15233</v>
      </c>
      <c r="B12621" s="6" t="s">
        <v>2517</v>
      </c>
      <c r="C12621" s="6" t="s">
        <v>128</v>
      </c>
      <c r="D12621" s="13" t="n">
        <v>44905</v>
      </c>
      <c r="E12621" s="14" t="n">
        <v>3595.97</v>
      </c>
      <c r="F12621" s="14" t="n">
        <v>14569.95</v>
      </c>
      <c r="G12621" s="6" t="s">
        <v>2613</v>
      </c>
    </row>
    <row r="12622" customFormat="false" ht="15" hidden="false" customHeight="true" outlineLevel="0" collapsed="false">
      <c r="A12622" s="6" t="s">
        <v>15234</v>
      </c>
      <c r="B12622" s="6" t="s">
        <v>2517</v>
      </c>
      <c r="C12622" s="6" t="s">
        <v>128</v>
      </c>
      <c r="D12622" s="13" t="n">
        <v>44912</v>
      </c>
      <c r="E12622" s="14" t="n">
        <v>2171.06</v>
      </c>
      <c r="F12622" s="14" t="n">
        <v>16741.01</v>
      </c>
      <c r="G12622" s="6" t="s">
        <v>2613</v>
      </c>
    </row>
    <row r="12623" customFormat="false" ht="15" hidden="false" customHeight="true" outlineLevel="0" collapsed="false">
      <c r="A12623" s="6" t="s">
        <v>15235</v>
      </c>
      <c r="B12623" s="6" t="s">
        <v>2517</v>
      </c>
      <c r="C12623" s="6" t="s">
        <v>128</v>
      </c>
      <c r="D12623" s="13" t="n">
        <v>44919</v>
      </c>
      <c r="E12623" s="14" t="n">
        <v>3632.12</v>
      </c>
      <c r="F12623" s="14" t="n">
        <v>20373.13</v>
      </c>
      <c r="G12623" s="6" t="s">
        <v>2613</v>
      </c>
    </row>
    <row r="12624" customFormat="false" ht="15" hidden="false" customHeight="true" outlineLevel="0" collapsed="false">
      <c r="A12624" s="6" t="s">
        <v>15236</v>
      </c>
      <c r="B12624" s="6" t="s">
        <v>2517</v>
      </c>
      <c r="C12624" s="6" t="s">
        <v>128</v>
      </c>
      <c r="D12624" s="13" t="n">
        <v>44926</v>
      </c>
      <c r="E12624" s="14" t="n">
        <v>2019.25</v>
      </c>
      <c r="F12624" s="14" t="n">
        <v>22392.38</v>
      </c>
      <c r="G12624" s="6" t="s">
        <v>2613</v>
      </c>
    </row>
    <row r="12625" customFormat="false" ht="15" hidden="false" customHeight="true" outlineLevel="0" collapsed="false">
      <c r="A12625" s="6" t="s">
        <v>15237</v>
      </c>
      <c r="B12625" s="6" t="s">
        <v>2517</v>
      </c>
      <c r="C12625" s="6" t="s">
        <v>128</v>
      </c>
      <c r="D12625" s="13" t="n">
        <v>44933</v>
      </c>
      <c r="E12625" s="14" t="n">
        <v>3958.03</v>
      </c>
      <c r="F12625" s="14" t="n">
        <v>26350.41</v>
      </c>
      <c r="G12625" s="6" t="s">
        <v>2623</v>
      </c>
    </row>
    <row r="12626" customFormat="false" ht="15" hidden="false" customHeight="true" outlineLevel="0" collapsed="false">
      <c r="A12626" s="6" t="s">
        <v>15238</v>
      </c>
      <c r="B12626" s="6" t="s">
        <v>2517</v>
      </c>
      <c r="C12626" s="6" t="s">
        <v>128</v>
      </c>
      <c r="D12626" s="13" t="n">
        <v>44940</v>
      </c>
      <c r="E12626" s="14" t="n">
        <v>2108.81</v>
      </c>
      <c r="F12626" s="14" t="n">
        <v>28459.22</v>
      </c>
      <c r="G12626" s="6" t="s">
        <v>2613</v>
      </c>
    </row>
    <row r="12627" customFormat="false" ht="15" hidden="false" customHeight="true" outlineLevel="0" collapsed="false">
      <c r="A12627" s="6" t="s">
        <v>15239</v>
      </c>
      <c r="B12627" s="6" t="s">
        <v>2519</v>
      </c>
      <c r="C12627" s="6" t="s">
        <v>124</v>
      </c>
      <c r="D12627" s="13" t="n">
        <v>46082</v>
      </c>
      <c r="E12627" s="14" t="n">
        <v>2293.87</v>
      </c>
      <c r="F12627" s="14" t="n">
        <v>2293.87</v>
      </c>
      <c r="G12627" s="6" t="s">
        <v>2613</v>
      </c>
    </row>
    <row r="12628" customFormat="false" ht="15" hidden="false" customHeight="true" outlineLevel="0" collapsed="false">
      <c r="A12628" s="6" t="s">
        <v>15240</v>
      </c>
      <c r="B12628" s="6" t="s">
        <v>2519</v>
      </c>
      <c r="C12628" s="6" t="s">
        <v>124</v>
      </c>
      <c r="D12628" s="13" t="n">
        <v>46089</v>
      </c>
      <c r="E12628" s="14" t="n">
        <v>1913.29</v>
      </c>
      <c r="F12628" s="14" t="n">
        <v>4207.16</v>
      </c>
      <c r="G12628" s="6" t="s">
        <v>2613</v>
      </c>
    </row>
    <row r="12629" customFormat="false" ht="15" hidden="false" customHeight="true" outlineLevel="0" collapsed="false">
      <c r="A12629" s="6" t="s">
        <v>15241</v>
      </c>
      <c r="B12629" s="6" t="s">
        <v>2519</v>
      </c>
      <c r="C12629" s="6" t="s">
        <v>124</v>
      </c>
      <c r="D12629" s="13" t="n">
        <v>46096</v>
      </c>
      <c r="E12629" s="14" t="n">
        <v>2574.09</v>
      </c>
      <c r="F12629" s="14" t="n">
        <v>6781.25</v>
      </c>
      <c r="G12629" s="6" t="s">
        <v>2613</v>
      </c>
    </row>
    <row r="12630" customFormat="false" ht="15" hidden="false" customHeight="true" outlineLevel="0" collapsed="false">
      <c r="A12630" s="6" t="s">
        <v>15242</v>
      </c>
      <c r="B12630" s="6" t="s">
        <v>2519</v>
      </c>
      <c r="C12630" s="6" t="s">
        <v>124</v>
      </c>
      <c r="D12630" s="13" t="n">
        <v>46103</v>
      </c>
      <c r="E12630" s="14" t="n">
        <v>2563.05</v>
      </c>
      <c r="F12630" s="14" t="n">
        <v>9344.3</v>
      </c>
      <c r="G12630" s="6" t="s">
        <v>2613</v>
      </c>
    </row>
    <row r="12631" customFormat="false" ht="15" hidden="false" customHeight="true" outlineLevel="0" collapsed="false">
      <c r="A12631" s="6" t="s">
        <v>15243</v>
      </c>
      <c r="B12631" s="6" t="s">
        <v>2519</v>
      </c>
      <c r="C12631" s="6" t="s">
        <v>124</v>
      </c>
      <c r="D12631" s="13" t="n">
        <v>46110</v>
      </c>
      <c r="E12631" s="14" t="n">
        <v>2968.74</v>
      </c>
      <c r="F12631" s="14" t="n">
        <v>12313.04</v>
      </c>
      <c r="G12631" s="6" t="s">
        <v>2613</v>
      </c>
    </row>
    <row r="12632" customFormat="false" ht="15" hidden="false" customHeight="true" outlineLevel="0" collapsed="false">
      <c r="A12632" s="6" t="s">
        <v>15244</v>
      </c>
      <c r="B12632" s="6" t="s">
        <v>2519</v>
      </c>
      <c r="C12632" s="6" t="s">
        <v>124</v>
      </c>
      <c r="D12632" s="13" t="n">
        <v>46117</v>
      </c>
      <c r="E12632" s="14" t="n">
        <v>1928.02</v>
      </c>
      <c r="F12632" s="14" t="n">
        <v>14241.06</v>
      </c>
      <c r="G12632" s="6" t="s">
        <v>2613</v>
      </c>
    </row>
    <row r="12633" customFormat="false" ht="15" hidden="false" customHeight="true" outlineLevel="0" collapsed="false">
      <c r="A12633" s="6" t="s">
        <v>15245</v>
      </c>
      <c r="B12633" s="6" t="s">
        <v>2519</v>
      </c>
      <c r="C12633" s="6" t="s">
        <v>124</v>
      </c>
      <c r="D12633" s="13" t="n">
        <v>46124</v>
      </c>
      <c r="E12633" s="14" t="n">
        <v>2390.84</v>
      </c>
      <c r="F12633" s="14" t="n">
        <v>16631.9</v>
      </c>
      <c r="G12633" s="6" t="s">
        <v>2613</v>
      </c>
    </row>
    <row r="12634" customFormat="false" ht="15" hidden="false" customHeight="true" outlineLevel="0" collapsed="false">
      <c r="A12634" s="6" t="s">
        <v>15246</v>
      </c>
      <c r="B12634" s="6" t="s">
        <v>2519</v>
      </c>
      <c r="C12634" s="6" t="s">
        <v>124</v>
      </c>
      <c r="D12634" s="13" t="n">
        <v>46131</v>
      </c>
      <c r="E12634" s="14" t="n">
        <v>2188.1</v>
      </c>
      <c r="F12634" s="14" t="n">
        <v>18820</v>
      </c>
      <c r="G12634" s="6" t="s">
        <v>2613</v>
      </c>
    </row>
    <row r="12635" customFormat="false" ht="15" hidden="false" customHeight="true" outlineLevel="0" collapsed="false">
      <c r="A12635" s="6" t="s">
        <v>15247</v>
      </c>
      <c r="B12635" s="6" t="s">
        <v>2519</v>
      </c>
      <c r="C12635" s="6" t="s">
        <v>124</v>
      </c>
      <c r="D12635" s="13" t="n">
        <v>46138</v>
      </c>
      <c r="E12635" s="14" t="n">
        <v>349.84</v>
      </c>
      <c r="F12635" s="14" t="n">
        <v>19169.84</v>
      </c>
      <c r="G12635" s="6" t="s">
        <v>2613</v>
      </c>
    </row>
    <row r="12636" customFormat="false" ht="15" hidden="false" customHeight="true" outlineLevel="0" collapsed="false">
      <c r="A12636" s="6" t="s">
        <v>15248</v>
      </c>
      <c r="B12636" s="6" t="s">
        <v>2521</v>
      </c>
      <c r="C12636" s="6" t="s">
        <v>124</v>
      </c>
      <c r="D12636" s="13" t="n">
        <v>45985</v>
      </c>
      <c r="E12636" s="14" t="n">
        <v>7805.94</v>
      </c>
      <c r="F12636" s="14" t="n">
        <v>7805.94</v>
      </c>
      <c r="G12636" s="6" t="s">
        <v>2613</v>
      </c>
    </row>
    <row r="12637" customFormat="false" ht="15" hidden="false" customHeight="true" outlineLevel="0" collapsed="false">
      <c r="A12637" s="6" t="s">
        <v>15249</v>
      </c>
      <c r="B12637" s="6" t="s">
        <v>2521</v>
      </c>
      <c r="C12637" s="6" t="s">
        <v>124</v>
      </c>
      <c r="D12637" s="13" t="n">
        <v>45992</v>
      </c>
      <c r="E12637" s="14" t="n">
        <v>8967.92</v>
      </c>
      <c r="F12637" s="14" t="n">
        <v>16773.86</v>
      </c>
      <c r="G12637" s="6" t="s">
        <v>2613</v>
      </c>
    </row>
    <row r="12638" customFormat="false" ht="15" hidden="false" customHeight="true" outlineLevel="0" collapsed="false">
      <c r="A12638" s="6" t="s">
        <v>15250</v>
      </c>
      <c r="B12638" s="6" t="s">
        <v>2521</v>
      </c>
      <c r="C12638" s="6" t="s">
        <v>124</v>
      </c>
      <c r="D12638" s="13" t="n">
        <v>45999</v>
      </c>
      <c r="E12638" s="14" t="n">
        <v>8477.23</v>
      </c>
      <c r="F12638" s="14" t="n">
        <v>25251.09</v>
      </c>
      <c r="G12638" s="6" t="s">
        <v>2613</v>
      </c>
    </row>
    <row r="12639" customFormat="false" ht="15" hidden="false" customHeight="true" outlineLevel="0" collapsed="false">
      <c r="A12639" s="6" t="s">
        <v>15251</v>
      </c>
      <c r="B12639" s="6" t="s">
        <v>2521</v>
      </c>
      <c r="C12639" s="6" t="s">
        <v>124</v>
      </c>
      <c r="D12639" s="13" t="n">
        <v>46006</v>
      </c>
      <c r="E12639" s="14" t="n">
        <v>11548.98</v>
      </c>
      <c r="F12639" s="14" t="n">
        <v>36800.07</v>
      </c>
      <c r="G12639" s="6" t="s">
        <v>2613</v>
      </c>
    </row>
    <row r="12640" customFormat="false" ht="15" hidden="false" customHeight="true" outlineLevel="0" collapsed="false">
      <c r="A12640" s="6" t="s">
        <v>15252</v>
      </c>
      <c r="B12640" s="6" t="s">
        <v>2521</v>
      </c>
      <c r="C12640" s="6" t="s">
        <v>124</v>
      </c>
      <c r="D12640" s="13" t="n">
        <v>46013</v>
      </c>
      <c r="E12640" s="14" t="n">
        <v>6045.14</v>
      </c>
      <c r="F12640" s="14" t="n">
        <v>42845.21</v>
      </c>
      <c r="G12640" s="6" t="s">
        <v>2623</v>
      </c>
    </row>
    <row r="12641" customFormat="false" ht="15" hidden="false" customHeight="true" outlineLevel="0" collapsed="false">
      <c r="A12641" s="6" t="s">
        <v>15253</v>
      </c>
      <c r="B12641" s="6" t="s">
        <v>2521</v>
      </c>
      <c r="C12641" s="6" t="s">
        <v>124</v>
      </c>
      <c r="D12641" s="13" t="n">
        <v>46020</v>
      </c>
      <c r="E12641" s="14" t="n">
        <v>16331.51</v>
      </c>
      <c r="F12641" s="14" t="n">
        <v>59176.72</v>
      </c>
      <c r="G12641" s="6" t="s">
        <v>2613</v>
      </c>
    </row>
    <row r="12642" customFormat="false" ht="15" hidden="false" customHeight="true" outlineLevel="0" collapsed="false">
      <c r="A12642" s="6" t="s">
        <v>15254</v>
      </c>
      <c r="B12642" s="6" t="s">
        <v>2523</v>
      </c>
      <c r="C12642" s="6" t="s">
        <v>116</v>
      </c>
      <c r="D12642" s="13" t="n">
        <v>45519</v>
      </c>
      <c r="E12642" s="14" t="n">
        <v>10227.44</v>
      </c>
      <c r="F12642" s="14" t="n">
        <v>10227.44</v>
      </c>
      <c r="G12642" s="6" t="s">
        <v>2613</v>
      </c>
    </row>
    <row r="12643" customFormat="false" ht="15" hidden="false" customHeight="true" outlineLevel="0" collapsed="false">
      <c r="A12643" s="6" t="s">
        <v>15255</v>
      </c>
      <c r="B12643" s="6" t="s">
        <v>2523</v>
      </c>
      <c r="C12643" s="6" t="s">
        <v>116</v>
      </c>
      <c r="D12643" s="13" t="n">
        <v>45526</v>
      </c>
      <c r="E12643" s="14" t="n">
        <v>7184.51</v>
      </c>
      <c r="F12643" s="14" t="n">
        <v>17411.95</v>
      </c>
      <c r="G12643" s="6" t="s">
        <v>2613</v>
      </c>
    </row>
    <row r="12644" customFormat="false" ht="15" hidden="false" customHeight="true" outlineLevel="0" collapsed="false">
      <c r="A12644" s="6" t="s">
        <v>15256</v>
      </c>
      <c r="B12644" s="6" t="s">
        <v>2523</v>
      </c>
      <c r="C12644" s="6" t="s">
        <v>116</v>
      </c>
      <c r="D12644" s="13" t="n">
        <v>45533</v>
      </c>
      <c r="E12644" s="14" t="n">
        <v>8348.96</v>
      </c>
      <c r="F12644" s="14" t="n">
        <v>25760.91</v>
      </c>
      <c r="G12644" s="6" t="s">
        <v>2613</v>
      </c>
    </row>
    <row r="12645" customFormat="false" ht="15" hidden="false" customHeight="true" outlineLevel="0" collapsed="false">
      <c r="A12645" s="6" t="s">
        <v>15257</v>
      </c>
      <c r="B12645" s="6" t="s">
        <v>2523</v>
      </c>
      <c r="C12645" s="6" t="s">
        <v>116</v>
      </c>
      <c r="D12645" s="13" t="n">
        <v>45540</v>
      </c>
      <c r="E12645" s="14" t="n">
        <v>9318.99</v>
      </c>
      <c r="F12645" s="14" t="n">
        <v>35079.9</v>
      </c>
      <c r="G12645" s="6" t="s">
        <v>2613</v>
      </c>
    </row>
    <row r="12646" customFormat="false" ht="15" hidden="false" customHeight="true" outlineLevel="0" collapsed="false">
      <c r="A12646" s="6" t="s">
        <v>15258</v>
      </c>
      <c r="B12646" s="6" t="s">
        <v>2523</v>
      </c>
      <c r="C12646" s="6" t="s">
        <v>116</v>
      </c>
      <c r="D12646" s="13" t="n">
        <v>45547</v>
      </c>
      <c r="E12646" s="14" t="n">
        <v>12016.22</v>
      </c>
      <c r="F12646" s="14" t="n">
        <v>47096.12</v>
      </c>
      <c r="G12646" s="6" t="s">
        <v>2613</v>
      </c>
    </row>
    <row r="12647" customFormat="false" ht="15" hidden="false" customHeight="true" outlineLevel="0" collapsed="false">
      <c r="A12647" s="6" t="s">
        <v>15259</v>
      </c>
      <c r="B12647" s="6" t="s">
        <v>2523</v>
      </c>
      <c r="C12647" s="6" t="s">
        <v>116</v>
      </c>
      <c r="D12647" s="13" t="n">
        <v>45554</v>
      </c>
      <c r="E12647" s="14" t="n">
        <v>13019.11</v>
      </c>
      <c r="F12647" s="14" t="n">
        <v>60115.23</v>
      </c>
      <c r="G12647" s="6" t="s">
        <v>2613</v>
      </c>
    </row>
    <row r="12648" customFormat="false" ht="15" hidden="false" customHeight="true" outlineLevel="0" collapsed="false">
      <c r="A12648" s="6" t="s">
        <v>15260</v>
      </c>
      <c r="B12648" s="6" t="s">
        <v>2523</v>
      </c>
      <c r="C12648" s="6" t="s">
        <v>116</v>
      </c>
      <c r="D12648" s="13" t="n">
        <v>45561</v>
      </c>
      <c r="E12648" s="14" t="n">
        <v>7089.25</v>
      </c>
      <c r="F12648" s="14" t="n">
        <v>67204.48</v>
      </c>
      <c r="G12648" s="6" t="s">
        <v>2613</v>
      </c>
    </row>
    <row r="12649" customFormat="false" ht="15" hidden="false" customHeight="true" outlineLevel="0" collapsed="false">
      <c r="A12649" s="6" t="s">
        <v>15261</v>
      </c>
      <c r="B12649" s="6" t="s">
        <v>2523</v>
      </c>
      <c r="C12649" s="6" t="s">
        <v>116</v>
      </c>
      <c r="D12649" s="13" t="n">
        <v>45568</v>
      </c>
      <c r="E12649" s="14" t="n">
        <v>9912.65</v>
      </c>
      <c r="F12649" s="14" t="n">
        <v>77117.13</v>
      </c>
      <c r="G12649" s="6" t="s">
        <v>2623</v>
      </c>
    </row>
    <row r="12650" customFormat="false" ht="15" hidden="false" customHeight="true" outlineLevel="0" collapsed="false">
      <c r="A12650" s="6" t="s">
        <v>15262</v>
      </c>
      <c r="B12650" s="6" t="s">
        <v>2523</v>
      </c>
      <c r="C12650" s="6" t="s">
        <v>116</v>
      </c>
      <c r="D12650" s="13" t="n">
        <v>45575</v>
      </c>
      <c r="E12650" s="14" t="n">
        <v>10248.03</v>
      </c>
      <c r="F12650" s="14" t="n">
        <v>87365.16</v>
      </c>
      <c r="G12650" s="6" t="s">
        <v>2613</v>
      </c>
    </row>
    <row r="12651" customFormat="false" ht="15" hidden="false" customHeight="true" outlineLevel="0" collapsed="false">
      <c r="A12651" s="6" t="s">
        <v>15263</v>
      </c>
      <c r="B12651" s="6" t="s">
        <v>2523</v>
      </c>
      <c r="C12651" s="6" t="s">
        <v>116</v>
      </c>
      <c r="D12651" s="13" t="n">
        <v>45582</v>
      </c>
      <c r="E12651" s="14" t="n">
        <v>9744.96</v>
      </c>
      <c r="F12651" s="14" t="n">
        <v>97110.12</v>
      </c>
      <c r="G12651" s="6" t="s">
        <v>2613</v>
      </c>
    </row>
    <row r="12652" customFormat="false" ht="15" hidden="false" customHeight="true" outlineLevel="0" collapsed="false">
      <c r="A12652" s="6" t="s">
        <v>15264</v>
      </c>
      <c r="B12652" s="6" t="s">
        <v>2523</v>
      </c>
      <c r="C12652" s="6" t="s">
        <v>116</v>
      </c>
      <c r="D12652" s="13" t="n">
        <v>45589</v>
      </c>
      <c r="E12652" s="14" t="n">
        <v>6599.2</v>
      </c>
      <c r="F12652" s="14" t="n">
        <v>103709.32</v>
      </c>
      <c r="G12652" s="6" t="s">
        <v>2613</v>
      </c>
    </row>
    <row r="12653" customFormat="false" ht="15" hidden="false" customHeight="true" outlineLevel="0" collapsed="false">
      <c r="A12653" s="6" t="s">
        <v>15265</v>
      </c>
      <c r="B12653" s="6" t="s">
        <v>2525</v>
      </c>
      <c r="C12653" s="6" t="s">
        <v>131</v>
      </c>
      <c r="D12653" s="13" t="n">
        <v>45912</v>
      </c>
      <c r="E12653" s="14" t="n">
        <v>1231.52</v>
      </c>
      <c r="F12653" s="14" t="n">
        <v>1231.52</v>
      </c>
      <c r="G12653" s="6" t="s">
        <v>2613</v>
      </c>
    </row>
    <row r="12654" customFormat="false" ht="15" hidden="false" customHeight="true" outlineLevel="0" collapsed="false">
      <c r="A12654" s="6" t="s">
        <v>15266</v>
      </c>
      <c r="B12654" s="6" t="s">
        <v>2525</v>
      </c>
      <c r="C12654" s="6" t="s">
        <v>131</v>
      </c>
      <c r="D12654" s="13" t="n">
        <v>45919</v>
      </c>
      <c r="E12654" s="14" t="n">
        <v>2211.33</v>
      </c>
      <c r="F12654" s="14" t="n">
        <v>3442.85</v>
      </c>
      <c r="G12654" s="6" t="s">
        <v>2613</v>
      </c>
    </row>
    <row r="12655" customFormat="false" ht="15" hidden="false" customHeight="true" outlineLevel="0" collapsed="false">
      <c r="A12655" s="6" t="s">
        <v>15267</v>
      </c>
      <c r="B12655" s="6" t="s">
        <v>2525</v>
      </c>
      <c r="C12655" s="6" t="s">
        <v>131</v>
      </c>
      <c r="D12655" s="13" t="n">
        <v>45926</v>
      </c>
      <c r="E12655" s="14" t="n">
        <v>1648.14</v>
      </c>
      <c r="F12655" s="14" t="n">
        <v>5090.99</v>
      </c>
      <c r="G12655" s="6" t="s">
        <v>2613</v>
      </c>
    </row>
    <row r="12656" customFormat="false" ht="15" hidden="false" customHeight="true" outlineLevel="0" collapsed="false">
      <c r="A12656" s="6" t="s">
        <v>15268</v>
      </c>
      <c r="B12656" s="6" t="s">
        <v>2525</v>
      </c>
      <c r="C12656" s="6" t="s">
        <v>131</v>
      </c>
      <c r="D12656" s="13" t="n">
        <v>45933</v>
      </c>
      <c r="E12656" s="14" t="n">
        <v>2138.94</v>
      </c>
      <c r="F12656" s="14" t="n">
        <v>7229.93</v>
      </c>
      <c r="G12656" s="6" t="s">
        <v>2613</v>
      </c>
    </row>
    <row r="12657" customFormat="false" ht="15" hidden="false" customHeight="true" outlineLevel="0" collapsed="false">
      <c r="A12657" s="6" t="s">
        <v>15269</v>
      </c>
      <c r="B12657" s="6" t="s">
        <v>2525</v>
      </c>
      <c r="C12657" s="6" t="s">
        <v>131</v>
      </c>
      <c r="D12657" s="13" t="n">
        <v>45940</v>
      </c>
      <c r="E12657" s="14" t="n">
        <v>1738.06</v>
      </c>
      <c r="F12657" s="14" t="n">
        <v>8967.99</v>
      </c>
      <c r="G12657" s="6" t="s">
        <v>2623</v>
      </c>
    </row>
    <row r="12658" customFormat="false" ht="15" hidden="false" customHeight="true" outlineLevel="0" collapsed="false">
      <c r="A12658" s="6" t="s">
        <v>15270</v>
      </c>
      <c r="B12658" s="6" t="s">
        <v>2525</v>
      </c>
      <c r="C12658" s="6" t="s">
        <v>131</v>
      </c>
      <c r="D12658" s="13" t="n">
        <v>45947</v>
      </c>
      <c r="E12658" s="14" t="n">
        <v>1481.31</v>
      </c>
      <c r="F12658" s="14" t="n">
        <v>10449.3</v>
      </c>
      <c r="G12658" s="6" t="s">
        <v>2613</v>
      </c>
    </row>
    <row r="12659" customFormat="false" ht="15" hidden="false" customHeight="true" outlineLevel="0" collapsed="false">
      <c r="A12659" s="6" t="s">
        <v>15271</v>
      </c>
      <c r="B12659" s="6" t="s">
        <v>2525</v>
      </c>
      <c r="C12659" s="6" t="s">
        <v>131</v>
      </c>
      <c r="D12659" s="13" t="n">
        <v>45954</v>
      </c>
      <c r="E12659" s="14" t="n">
        <v>1508.28</v>
      </c>
      <c r="F12659" s="14" t="n">
        <v>11957.58</v>
      </c>
      <c r="G12659" s="6" t="s">
        <v>2613</v>
      </c>
    </row>
    <row r="12660" customFormat="false" ht="15" hidden="false" customHeight="true" outlineLevel="0" collapsed="false">
      <c r="A12660" s="6" t="s">
        <v>15272</v>
      </c>
      <c r="B12660" s="6" t="s">
        <v>2525</v>
      </c>
      <c r="C12660" s="6" t="s">
        <v>131</v>
      </c>
      <c r="D12660" s="13" t="n">
        <v>45961</v>
      </c>
      <c r="E12660" s="14" t="n">
        <v>1169.93</v>
      </c>
      <c r="F12660" s="14" t="n">
        <v>13127.51</v>
      </c>
      <c r="G12660" s="6" t="s">
        <v>2613</v>
      </c>
    </row>
    <row r="12661" customFormat="false" ht="15" hidden="false" customHeight="true" outlineLevel="0" collapsed="false">
      <c r="A12661" s="6" t="s">
        <v>15273</v>
      </c>
      <c r="B12661" s="6" t="s">
        <v>2527</v>
      </c>
      <c r="C12661" s="6" t="s">
        <v>128</v>
      </c>
      <c r="D12661" s="13" t="n">
        <v>44616</v>
      </c>
      <c r="E12661" s="14" t="n">
        <v>3510.92</v>
      </c>
      <c r="F12661" s="14" t="n">
        <v>3510.92</v>
      </c>
      <c r="G12661" s="6" t="s">
        <v>2613</v>
      </c>
    </row>
    <row r="12662" customFormat="false" ht="15" hidden="false" customHeight="true" outlineLevel="0" collapsed="false">
      <c r="A12662" s="6" t="s">
        <v>15274</v>
      </c>
      <c r="B12662" s="6" t="s">
        <v>2527</v>
      </c>
      <c r="C12662" s="6" t="s">
        <v>128</v>
      </c>
      <c r="D12662" s="13" t="n">
        <v>44623</v>
      </c>
      <c r="E12662" s="14" t="n">
        <v>2230.04</v>
      </c>
      <c r="F12662" s="14" t="n">
        <v>5740.96</v>
      </c>
      <c r="G12662" s="6" t="s">
        <v>2613</v>
      </c>
    </row>
    <row r="12663" customFormat="false" ht="15" hidden="false" customHeight="true" outlineLevel="0" collapsed="false">
      <c r="A12663" s="6" t="s">
        <v>15275</v>
      </c>
      <c r="B12663" s="6" t="s">
        <v>2527</v>
      </c>
      <c r="C12663" s="6" t="s">
        <v>128</v>
      </c>
      <c r="D12663" s="13" t="n">
        <v>44630</v>
      </c>
      <c r="E12663" s="14" t="n">
        <v>3481.93</v>
      </c>
      <c r="F12663" s="14" t="n">
        <v>9222.89</v>
      </c>
      <c r="G12663" s="6" t="s">
        <v>2613</v>
      </c>
    </row>
    <row r="12664" customFormat="false" ht="15" hidden="false" customHeight="true" outlineLevel="0" collapsed="false">
      <c r="A12664" s="6" t="s">
        <v>15276</v>
      </c>
      <c r="B12664" s="6" t="s">
        <v>2527</v>
      </c>
      <c r="C12664" s="6" t="s">
        <v>128</v>
      </c>
      <c r="D12664" s="13" t="n">
        <v>44637</v>
      </c>
      <c r="E12664" s="14" t="n">
        <v>2966.74</v>
      </c>
      <c r="F12664" s="14" t="n">
        <v>12189.63</v>
      </c>
      <c r="G12664" s="6" t="s">
        <v>2613</v>
      </c>
    </row>
    <row r="12665" customFormat="false" ht="15" hidden="false" customHeight="true" outlineLevel="0" collapsed="false">
      <c r="A12665" s="6" t="s">
        <v>15277</v>
      </c>
      <c r="B12665" s="6" t="s">
        <v>2527</v>
      </c>
      <c r="C12665" s="6" t="s">
        <v>128</v>
      </c>
      <c r="D12665" s="13" t="n">
        <v>44644</v>
      </c>
      <c r="E12665" s="14" t="n">
        <v>1865.1</v>
      </c>
      <c r="F12665" s="14" t="n">
        <v>14054.73</v>
      </c>
      <c r="G12665" s="6" t="s">
        <v>2613</v>
      </c>
    </row>
    <row r="12666" customFormat="false" ht="15" hidden="false" customHeight="true" outlineLevel="0" collapsed="false">
      <c r="A12666" s="6" t="s">
        <v>15278</v>
      </c>
      <c r="B12666" s="6" t="s">
        <v>2527</v>
      </c>
      <c r="C12666" s="6" t="s">
        <v>128</v>
      </c>
      <c r="D12666" s="13" t="n">
        <v>44651</v>
      </c>
      <c r="E12666" s="14" t="n">
        <v>3215.79</v>
      </c>
      <c r="F12666" s="14" t="n">
        <v>17270.52</v>
      </c>
      <c r="G12666" s="6" t="s">
        <v>2613</v>
      </c>
    </row>
    <row r="12667" customFormat="false" ht="15" hidden="false" customHeight="true" outlineLevel="0" collapsed="false">
      <c r="A12667" s="6" t="s">
        <v>15279</v>
      </c>
      <c r="B12667" s="6" t="s">
        <v>2527</v>
      </c>
      <c r="C12667" s="6" t="s">
        <v>128</v>
      </c>
      <c r="D12667" s="13" t="n">
        <v>44658</v>
      </c>
      <c r="E12667" s="14" t="n">
        <v>2494.71</v>
      </c>
      <c r="F12667" s="14" t="n">
        <v>19765.23</v>
      </c>
      <c r="G12667" s="6" t="s">
        <v>2613</v>
      </c>
    </row>
    <row r="12668" customFormat="false" ht="15" hidden="false" customHeight="true" outlineLevel="0" collapsed="false">
      <c r="A12668" s="6" t="s">
        <v>15280</v>
      </c>
      <c r="B12668" s="6" t="s">
        <v>2527</v>
      </c>
      <c r="C12668" s="6" t="s">
        <v>128</v>
      </c>
      <c r="D12668" s="13" t="n">
        <v>44665</v>
      </c>
      <c r="E12668" s="14" t="n">
        <v>3363.82</v>
      </c>
      <c r="F12668" s="14" t="n">
        <v>23129.05</v>
      </c>
      <c r="G12668" s="6" t="s">
        <v>2613</v>
      </c>
    </row>
    <row r="12669" customFormat="false" ht="15" hidden="false" customHeight="true" outlineLevel="0" collapsed="false">
      <c r="A12669" s="6" t="s">
        <v>15281</v>
      </c>
      <c r="B12669" s="6" t="s">
        <v>2527</v>
      </c>
      <c r="C12669" s="6" t="s">
        <v>128</v>
      </c>
      <c r="D12669" s="13" t="n">
        <v>44672</v>
      </c>
      <c r="E12669" s="14" t="n">
        <v>2694.76</v>
      </c>
      <c r="F12669" s="14" t="n">
        <v>25823.81</v>
      </c>
      <c r="G12669" s="6" t="s">
        <v>2613</v>
      </c>
    </row>
    <row r="12670" customFormat="false" ht="15" hidden="false" customHeight="true" outlineLevel="0" collapsed="false">
      <c r="A12670" s="6" t="s">
        <v>15282</v>
      </c>
      <c r="B12670" s="6" t="s">
        <v>2527</v>
      </c>
      <c r="C12670" s="6" t="s">
        <v>128</v>
      </c>
      <c r="D12670" s="13" t="n">
        <v>44679</v>
      </c>
      <c r="E12670" s="14" t="n">
        <v>4917.31</v>
      </c>
      <c r="F12670" s="14" t="n">
        <v>30741.12</v>
      </c>
      <c r="G12670" s="6" t="s">
        <v>2613</v>
      </c>
    </row>
    <row r="12671" customFormat="false" ht="15" hidden="false" customHeight="true" outlineLevel="0" collapsed="false">
      <c r="A12671" s="6" t="s">
        <v>15283</v>
      </c>
      <c r="B12671" s="6" t="s">
        <v>2529</v>
      </c>
      <c r="C12671" s="6" t="s">
        <v>128</v>
      </c>
      <c r="D12671" s="13" t="n">
        <v>45220</v>
      </c>
      <c r="E12671" s="14" t="n">
        <v>3796.43</v>
      </c>
      <c r="F12671" s="14" t="n">
        <v>3796.43</v>
      </c>
      <c r="G12671" s="6" t="s">
        <v>2613</v>
      </c>
    </row>
    <row r="12672" customFormat="false" ht="15" hidden="false" customHeight="true" outlineLevel="0" collapsed="false">
      <c r="A12672" s="6" t="s">
        <v>15284</v>
      </c>
      <c r="B12672" s="6" t="s">
        <v>2529</v>
      </c>
      <c r="C12672" s="6" t="s">
        <v>128</v>
      </c>
      <c r="D12672" s="13" t="n">
        <v>45227</v>
      </c>
      <c r="E12672" s="14" t="n">
        <v>2783.19</v>
      </c>
      <c r="F12672" s="14" t="n">
        <v>6579.62</v>
      </c>
      <c r="G12672" s="6" t="s">
        <v>2623</v>
      </c>
    </row>
    <row r="12673" customFormat="false" ht="15" hidden="false" customHeight="true" outlineLevel="0" collapsed="false">
      <c r="A12673" s="6" t="s">
        <v>15285</v>
      </c>
      <c r="B12673" s="6" t="s">
        <v>2529</v>
      </c>
      <c r="C12673" s="6" t="s">
        <v>128</v>
      </c>
      <c r="D12673" s="13" t="n">
        <v>45234</v>
      </c>
      <c r="E12673" s="14" t="n">
        <v>2671.49</v>
      </c>
      <c r="F12673" s="14" t="n">
        <v>9251.11</v>
      </c>
      <c r="G12673" s="6" t="s">
        <v>2623</v>
      </c>
    </row>
    <row r="12674" customFormat="false" ht="15" hidden="false" customHeight="true" outlineLevel="0" collapsed="false">
      <c r="A12674" s="6" t="s">
        <v>15286</v>
      </c>
      <c r="B12674" s="6" t="s">
        <v>2529</v>
      </c>
      <c r="C12674" s="6" t="s">
        <v>128</v>
      </c>
      <c r="D12674" s="13" t="n">
        <v>45241</v>
      </c>
      <c r="E12674" s="14" t="n">
        <v>5487.27</v>
      </c>
      <c r="F12674" s="14" t="n">
        <v>14738.38</v>
      </c>
      <c r="G12674" s="6" t="s">
        <v>2613</v>
      </c>
    </row>
    <row r="12675" customFormat="false" ht="15" hidden="false" customHeight="true" outlineLevel="0" collapsed="false">
      <c r="A12675" s="6" t="s">
        <v>15287</v>
      </c>
      <c r="B12675" s="6" t="s">
        <v>2529</v>
      </c>
      <c r="C12675" s="6" t="s">
        <v>128</v>
      </c>
      <c r="D12675" s="13" t="n">
        <v>45248</v>
      </c>
      <c r="E12675" s="14" t="n">
        <v>3684.81</v>
      </c>
      <c r="F12675" s="14" t="n">
        <v>18423.19</v>
      </c>
      <c r="G12675" s="6" t="s">
        <v>2613</v>
      </c>
    </row>
    <row r="12676" customFormat="false" ht="15" hidden="false" customHeight="true" outlineLevel="0" collapsed="false">
      <c r="A12676" s="6" t="s">
        <v>15288</v>
      </c>
      <c r="B12676" s="6" t="s">
        <v>2529</v>
      </c>
      <c r="C12676" s="6" t="s">
        <v>128</v>
      </c>
      <c r="D12676" s="13" t="n">
        <v>45255</v>
      </c>
      <c r="E12676" s="14" t="n">
        <v>4642.74</v>
      </c>
      <c r="F12676" s="14" t="n">
        <v>23065.93</v>
      </c>
      <c r="G12676" s="6" t="s">
        <v>2613</v>
      </c>
    </row>
    <row r="12677" customFormat="false" ht="15" hidden="false" customHeight="true" outlineLevel="0" collapsed="false">
      <c r="A12677" s="6" t="s">
        <v>15289</v>
      </c>
      <c r="B12677" s="6" t="s">
        <v>2529</v>
      </c>
      <c r="C12677" s="6" t="s">
        <v>128</v>
      </c>
      <c r="D12677" s="13" t="n">
        <v>45262</v>
      </c>
      <c r="E12677" s="14" t="n">
        <v>3363.65</v>
      </c>
      <c r="F12677" s="14" t="n">
        <v>26429.58</v>
      </c>
      <c r="G12677" s="6" t="s">
        <v>2613</v>
      </c>
    </row>
    <row r="12678" customFormat="false" ht="15" hidden="false" customHeight="true" outlineLevel="0" collapsed="false">
      <c r="A12678" s="6" t="s">
        <v>15290</v>
      </c>
      <c r="B12678" s="6" t="s">
        <v>2529</v>
      </c>
      <c r="C12678" s="6" t="s">
        <v>128</v>
      </c>
      <c r="D12678" s="13" t="n">
        <v>45269</v>
      </c>
      <c r="E12678" s="14" t="n">
        <v>5136.24</v>
      </c>
      <c r="F12678" s="14" t="n">
        <v>31565.82</v>
      </c>
      <c r="G12678" s="6" t="s">
        <v>2613</v>
      </c>
    </row>
    <row r="12679" customFormat="false" ht="15" hidden="false" customHeight="true" outlineLevel="0" collapsed="false">
      <c r="A12679" s="6" t="s">
        <v>15291</v>
      </c>
      <c r="B12679" s="6" t="s">
        <v>2529</v>
      </c>
      <c r="C12679" s="6" t="s">
        <v>128</v>
      </c>
      <c r="D12679" s="13" t="n">
        <v>45276</v>
      </c>
      <c r="E12679" s="14" t="n">
        <v>4506.4</v>
      </c>
      <c r="F12679" s="14" t="n">
        <v>36072.22</v>
      </c>
      <c r="G12679" s="6" t="s">
        <v>2613</v>
      </c>
    </row>
    <row r="12680" customFormat="false" ht="15" hidden="false" customHeight="true" outlineLevel="0" collapsed="false">
      <c r="A12680" s="6" t="s">
        <v>15292</v>
      </c>
      <c r="B12680" s="6" t="s">
        <v>2529</v>
      </c>
      <c r="C12680" s="6" t="s">
        <v>128</v>
      </c>
      <c r="D12680" s="13" t="n">
        <v>45283</v>
      </c>
      <c r="E12680" s="14" t="n">
        <v>2433.68</v>
      </c>
      <c r="F12680" s="14" t="n">
        <v>38505.9</v>
      </c>
      <c r="G12680" s="6" t="s">
        <v>2613</v>
      </c>
    </row>
    <row r="12681" customFormat="false" ht="15" hidden="false" customHeight="true" outlineLevel="0" collapsed="false">
      <c r="A12681" s="6" t="s">
        <v>15293</v>
      </c>
      <c r="B12681" s="6" t="s">
        <v>2529</v>
      </c>
      <c r="C12681" s="6" t="s">
        <v>128</v>
      </c>
      <c r="D12681" s="13" t="n">
        <v>45290</v>
      </c>
      <c r="E12681" s="14" t="n">
        <v>4104.18</v>
      </c>
      <c r="F12681" s="14" t="n">
        <v>42610.08</v>
      </c>
      <c r="G12681" s="6" t="s">
        <v>2613</v>
      </c>
    </row>
    <row r="12682" customFormat="false" ht="15" hidden="false" customHeight="true" outlineLevel="0" collapsed="false">
      <c r="A12682" s="6" t="s">
        <v>15294</v>
      </c>
      <c r="B12682" s="6" t="s">
        <v>2529</v>
      </c>
      <c r="C12682" s="6" t="s">
        <v>128</v>
      </c>
      <c r="D12682" s="13" t="n">
        <v>45297</v>
      </c>
      <c r="E12682" s="14" t="n">
        <v>3022.53</v>
      </c>
      <c r="F12682" s="14" t="n">
        <v>45632.61</v>
      </c>
      <c r="G12682" s="6" t="s">
        <v>2613</v>
      </c>
    </row>
    <row r="12683" customFormat="false" ht="15" hidden="false" customHeight="true" outlineLevel="0" collapsed="false">
      <c r="A12683" s="6" t="s">
        <v>15295</v>
      </c>
      <c r="B12683" s="6" t="s">
        <v>2529</v>
      </c>
      <c r="C12683" s="6" t="s">
        <v>128</v>
      </c>
      <c r="D12683" s="13" t="n">
        <v>45304</v>
      </c>
      <c r="E12683" s="14" t="n">
        <v>5256.32</v>
      </c>
      <c r="F12683" s="14" t="n">
        <v>50888.93</v>
      </c>
      <c r="G12683" s="6" t="s">
        <v>2613</v>
      </c>
    </row>
    <row r="12684" customFormat="false" ht="15" hidden="false" customHeight="true" outlineLevel="0" collapsed="false">
      <c r="A12684" s="6" t="s">
        <v>15296</v>
      </c>
      <c r="B12684" s="6" t="s">
        <v>2529</v>
      </c>
      <c r="C12684" s="6" t="s">
        <v>128</v>
      </c>
      <c r="D12684" s="13" t="n">
        <v>45311</v>
      </c>
      <c r="E12684" s="14" t="n">
        <v>3408.44</v>
      </c>
      <c r="F12684" s="14" t="n">
        <v>54297.37</v>
      </c>
      <c r="G12684" s="6" t="s">
        <v>2613</v>
      </c>
    </row>
    <row r="12685" customFormat="false" ht="15" hidden="false" customHeight="true" outlineLevel="0" collapsed="false">
      <c r="A12685" s="6" t="s">
        <v>15297</v>
      </c>
      <c r="B12685" s="6" t="s">
        <v>2529</v>
      </c>
      <c r="C12685" s="6" t="s">
        <v>128</v>
      </c>
      <c r="D12685" s="13" t="n">
        <v>45318</v>
      </c>
      <c r="E12685" s="14" t="n">
        <v>3115.46</v>
      </c>
      <c r="F12685" s="14" t="n">
        <v>57412.83</v>
      </c>
      <c r="G12685" s="6" t="s">
        <v>2613</v>
      </c>
    </row>
    <row r="12686" customFormat="false" ht="15" hidden="false" customHeight="true" outlineLevel="0" collapsed="false">
      <c r="A12686" s="6" t="s">
        <v>15298</v>
      </c>
      <c r="B12686" s="6" t="s">
        <v>2529</v>
      </c>
      <c r="C12686" s="6" t="s">
        <v>128</v>
      </c>
      <c r="D12686" s="13" t="n">
        <v>45325</v>
      </c>
      <c r="E12686" s="14" t="n">
        <v>5448.78</v>
      </c>
      <c r="F12686" s="14" t="n">
        <v>62861.61</v>
      </c>
      <c r="G12686" s="6" t="s">
        <v>2613</v>
      </c>
    </row>
    <row r="12687" customFormat="false" ht="15" hidden="false" customHeight="true" outlineLevel="0" collapsed="false">
      <c r="A12687" s="6" t="s">
        <v>15299</v>
      </c>
      <c r="B12687" s="6" t="s">
        <v>2531</v>
      </c>
      <c r="C12687" s="6" t="s">
        <v>128</v>
      </c>
      <c r="D12687" s="13" t="n">
        <v>45469</v>
      </c>
      <c r="E12687" s="14" t="n">
        <v>386.63</v>
      </c>
      <c r="F12687" s="14" t="n">
        <v>386.63</v>
      </c>
      <c r="G12687" s="6" t="s">
        <v>2613</v>
      </c>
    </row>
    <row r="12688" customFormat="false" ht="15" hidden="false" customHeight="true" outlineLevel="0" collapsed="false">
      <c r="A12688" s="6" t="s">
        <v>15300</v>
      </c>
      <c r="B12688" s="6" t="s">
        <v>2531</v>
      </c>
      <c r="C12688" s="6" t="s">
        <v>128</v>
      </c>
      <c r="D12688" s="13" t="n">
        <v>45476</v>
      </c>
      <c r="E12688" s="14" t="n">
        <v>214.31</v>
      </c>
      <c r="F12688" s="14" t="n">
        <v>600.94</v>
      </c>
      <c r="G12688" s="6" t="s">
        <v>2613</v>
      </c>
    </row>
    <row r="12689" customFormat="false" ht="15" hidden="false" customHeight="true" outlineLevel="0" collapsed="false">
      <c r="A12689" s="6" t="s">
        <v>15301</v>
      </c>
      <c r="B12689" s="6" t="s">
        <v>2531</v>
      </c>
      <c r="C12689" s="6" t="s">
        <v>128</v>
      </c>
      <c r="D12689" s="13" t="n">
        <v>45483</v>
      </c>
      <c r="E12689" s="14" t="n">
        <v>268.24</v>
      </c>
      <c r="F12689" s="14" t="n">
        <v>869.18</v>
      </c>
      <c r="G12689" s="6" t="s">
        <v>2613</v>
      </c>
    </row>
    <row r="12690" customFormat="false" ht="15" hidden="false" customHeight="true" outlineLevel="0" collapsed="false">
      <c r="A12690" s="6" t="s">
        <v>15302</v>
      </c>
      <c r="B12690" s="6" t="s">
        <v>2531</v>
      </c>
      <c r="C12690" s="6" t="s">
        <v>128</v>
      </c>
      <c r="D12690" s="13" t="n">
        <v>45490</v>
      </c>
      <c r="E12690" s="14" t="n">
        <v>251.44</v>
      </c>
      <c r="F12690" s="14" t="n">
        <v>1120.62</v>
      </c>
      <c r="G12690" s="6" t="s">
        <v>2613</v>
      </c>
    </row>
    <row r="12691" customFormat="false" ht="15" hidden="false" customHeight="true" outlineLevel="0" collapsed="false">
      <c r="A12691" s="6" t="s">
        <v>15303</v>
      </c>
      <c r="B12691" s="6" t="s">
        <v>2531</v>
      </c>
      <c r="C12691" s="6" t="s">
        <v>128</v>
      </c>
      <c r="D12691" s="13" t="n">
        <v>45497</v>
      </c>
      <c r="E12691" s="14" t="n">
        <v>252.79</v>
      </c>
      <c r="F12691" s="14" t="n">
        <v>1373.41</v>
      </c>
      <c r="G12691" s="6" t="s">
        <v>2613</v>
      </c>
    </row>
    <row r="12692" customFormat="false" ht="15" hidden="false" customHeight="true" outlineLevel="0" collapsed="false">
      <c r="A12692" s="6" t="s">
        <v>15304</v>
      </c>
      <c r="B12692" s="6" t="s">
        <v>2531</v>
      </c>
      <c r="C12692" s="6" t="s">
        <v>128</v>
      </c>
      <c r="D12692" s="13" t="n">
        <v>45504</v>
      </c>
      <c r="E12692" s="14" t="n">
        <v>245.57</v>
      </c>
      <c r="F12692" s="14" t="n">
        <v>1618.98</v>
      </c>
      <c r="G12692" s="6" t="s">
        <v>2613</v>
      </c>
    </row>
    <row r="12693" customFormat="false" ht="15" hidden="false" customHeight="true" outlineLevel="0" collapsed="false">
      <c r="A12693" s="6" t="s">
        <v>15305</v>
      </c>
      <c r="B12693" s="6" t="s">
        <v>2531</v>
      </c>
      <c r="C12693" s="6" t="s">
        <v>128</v>
      </c>
      <c r="D12693" s="13" t="n">
        <v>45511</v>
      </c>
      <c r="E12693" s="14" t="n">
        <v>307.32</v>
      </c>
      <c r="F12693" s="14" t="n">
        <v>1926.3</v>
      </c>
      <c r="G12693" s="6" t="s">
        <v>2613</v>
      </c>
    </row>
    <row r="12694" customFormat="false" ht="15" hidden="false" customHeight="true" outlineLevel="0" collapsed="false">
      <c r="A12694" s="6" t="s">
        <v>15306</v>
      </c>
      <c r="B12694" s="6" t="s">
        <v>2531</v>
      </c>
      <c r="C12694" s="6" t="s">
        <v>128</v>
      </c>
      <c r="D12694" s="13" t="n">
        <v>45518</v>
      </c>
      <c r="E12694" s="14" t="n">
        <v>295.69</v>
      </c>
      <c r="F12694" s="14" t="n">
        <v>2221.99</v>
      </c>
      <c r="G12694" s="6" t="s">
        <v>2613</v>
      </c>
    </row>
    <row r="12695" customFormat="false" ht="15" hidden="false" customHeight="true" outlineLevel="0" collapsed="false">
      <c r="A12695" s="6" t="s">
        <v>15307</v>
      </c>
      <c r="B12695" s="6" t="s">
        <v>2531</v>
      </c>
      <c r="C12695" s="6" t="s">
        <v>128</v>
      </c>
      <c r="D12695" s="13" t="n">
        <v>45525</v>
      </c>
      <c r="E12695" s="14" t="n">
        <v>194.49</v>
      </c>
      <c r="F12695" s="14" t="n">
        <v>2416.48</v>
      </c>
      <c r="G12695" s="6" t="s">
        <v>2613</v>
      </c>
    </row>
    <row r="12696" customFormat="false" ht="15" hidden="false" customHeight="true" outlineLevel="0" collapsed="false">
      <c r="A12696" s="6" t="s">
        <v>15308</v>
      </c>
      <c r="B12696" s="6" t="s">
        <v>2531</v>
      </c>
      <c r="C12696" s="6" t="s">
        <v>128</v>
      </c>
      <c r="D12696" s="13" t="n">
        <v>45532</v>
      </c>
      <c r="E12696" s="14" t="n">
        <v>336.87</v>
      </c>
      <c r="F12696" s="14" t="n">
        <v>2753.35</v>
      </c>
      <c r="G12696" s="6" t="s">
        <v>2613</v>
      </c>
    </row>
    <row r="12697" customFormat="false" ht="15" hidden="false" customHeight="true" outlineLevel="0" collapsed="false">
      <c r="A12697" s="6" t="s">
        <v>15309</v>
      </c>
      <c r="B12697" s="6" t="s">
        <v>2531</v>
      </c>
      <c r="C12697" s="6" t="s">
        <v>128</v>
      </c>
      <c r="D12697" s="13" t="n">
        <v>45539</v>
      </c>
      <c r="E12697" s="14" t="n">
        <v>635.89</v>
      </c>
      <c r="F12697" s="14" t="n">
        <v>3389.24</v>
      </c>
      <c r="G12697" s="6" t="s">
        <v>2613</v>
      </c>
    </row>
    <row r="12698" customFormat="false" ht="15" hidden="false" customHeight="true" outlineLevel="0" collapsed="false">
      <c r="A12698" s="6" t="s">
        <v>15310</v>
      </c>
      <c r="B12698" s="6" t="s">
        <v>2533</v>
      </c>
      <c r="C12698" s="6" t="s">
        <v>128</v>
      </c>
      <c r="D12698" s="13" t="n">
        <v>45171</v>
      </c>
      <c r="E12698" s="14" t="n">
        <v>3561.92</v>
      </c>
      <c r="F12698" s="14" t="n">
        <v>3561.92</v>
      </c>
      <c r="G12698" s="6" t="s">
        <v>2613</v>
      </c>
    </row>
    <row r="12699" customFormat="false" ht="15" hidden="false" customHeight="true" outlineLevel="0" collapsed="false">
      <c r="A12699" s="6" t="s">
        <v>15311</v>
      </c>
      <c r="B12699" s="6" t="s">
        <v>2533</v>
      </c>
      <c r="C12699" s="6" t="s">
        <v>128</v>
      </c>
      <c r="D12699" s="13" t="n">
        <v>45178</v>
      </c>
      <c r="E12699" s="14" t="n">
        <v>5077.9</v>
      </c>
      <c r="F12699" s="14" t="n">
        <v>8639.82</v>
      </c>
      <c r="G12699" s="6" t="s">
        <v>2613</v>
      </c>
    </row>
    <row r="12700" customFormat="false" ht="15" hidden="false" customHeight="true" outlineLevel="0" collapsed="false">
      <c r="A12700" s="6" t="s">
        <v>15312</v>
      </c>
      <c r="B12700" s="6" t="s">
        <v>2533</v>
      </c>
      <c r="C12700" s="6" t="s">
        <v>128</v>
      </c>
      <c r="D12700" s="13" t="n">
        <v>45185</v>
      </c>
      <c r="E12700" s="14" t="n">
        <v>6543.69</v>
      </c>
      <c r="F12700" s="14" t="n">
        <v>15183.51</v>
      </c>
      <c r="G12700" s="6" t="s">
        <v>2613</v>
      </c>
    </row>
    <row r="12701" customFormat="false" ht="15" hidden="false" customHeight="true" outlineLevel="0" collapsed="false">
      <c r="A12701" s="6" t="s">
        <v>15313</v>
      </c>
      <c r="B12701" s="6" t="s">
        <v>2533</v>
      </c>
      <c r="C12701" s="6" t="s">
        <v>128</v>
      </c>
      <c r="D12701" s="13" t="n">
        <v>45192</v>
      </c>
      <c r="E12701" s="14" t="n">
        <v>3596.32</v>
      </c>
      <c r="F12701" s="14" t="n">
        <v>18779.83</v>
      </c>
      <c r="G12701" s="6" t="s">
        <v>2613</v>
      </c>
    </row>
    <row r="12702" customFormat="false" ht="15" hidden="false" customHeight="true" outlineLevel="0" collapsed="false">
      <c r="A12702" s="6" t="s">
        <v>15314</v>
      </c>
      <c r="B12702" s="6" t="s">
        <v>2533</v>
      </c>
      <c r="C12702" s="6" t="s">
        <v>128</v>
      </c>
      <c r="D12702" s="13" t="n">
        <v>45199</v>
      </c>
      <c r="E12702" s="14" t="n">
        <v>5810.17</v>
      </c>
      <c r="F12702" s="14" t="n">
        <v>24590</v>
      </c>
      <c r="G12702" s="6" t="s">
        <v>2613</v>
      </c>
    </row>
    <row r="12703" customFormat="false" ht="15" hidden="false" customHeight="true" outlineLevel="0" collapsed="false">
      <c r="A12703" s="6" t="s">
        <v>15315</v>
      </c>
      <c r="B12703" s="6" t="s">
        <v>2533</v>
      </c>
      <c r="C12703" s="6" t="s">
        <v>128</v>
      </c>
      <c r="D12703" s="13" t="n">
        <v>45206</v>
      </c>
      <c r="E12703" s="14" t="n">
        <v>6228</v>
      </c>
      <c r="F12703" s="14" t="n">
        <v>30818</v>
      </c>
      <c r="G12703" s="6" t="s">
        <v>2613</v>
      </c>
    </row>
    <row r="12704" customFormat="false" ht="15" hidden="false" customHeight="true" outlineLevel="0" collapsed="false">
      <c r="A12704" s="6" t="s">
        <v>15316</v>
      </c>
      <c r="B12704" s="6" t="s">
        <v>2535</v>
      </c>
      <c r="C12704" s="6" t="s">
        <v>128</v>
      </c>
      <c r="D12704" s="13" t="n">
        <v>45830</v>
      </c>
      <c r="E12704" s="14" t="n">
        <v>1565.76</v>
      </c>
      <c r="F12704" s="14" t="n">
        <v>1565.76</v>
      </c>
      <c r="G12704" s="6" t="s">
        <v>2613</v>
      </c>
    </row>
    <row r="12705" customFormat="false" ht="15" hidden="false" customHeight="true" outlineLevel="0" collapsed="false">
      <c r="A12705" s="6" t="s">
        <v>15317</v>
      </c>
      <c r="B12705" s="6" t="s">
        <v>2535</v>
      </c>
      <c r="C12705" s="6" t="s">
        <v>128</v>
      </c>
      <c r="D12705" s="13" t="n">
        <v>45837</v>
      </c>
      <c r="E12705" s="14" t="n">
        <v>3084.11</v>
      </c>
      <c r="F12705" s="14" t="n">
        <v>4649.87</v>
      </c>
      <c r="G12705" s="6" t="s">
        <v>2613</v>
      </c>
    </row>
    <row r="12706" customFormat="false" ht="15" hidden="false" customHeight="true" outlineLevel="0" collapsed="false">
      <c r="A12706" s="6" t="s">
        <v>15318</v>
      </c>
      <c r="B12706" s="6" t="s">
        <v>2535</v>
      </c>
      <c r="C12706" s="6" t="s">
        <v>128</v>
      </c>
      <c r="D12706" s="13" t="n">
        <v>45844</v>
      </c>
      <c r="E12706" s="14" t="n">
        <v>2564.36</v>
      </c>
      <c r="F12706" s="14" t="n">
        <v>7214.23</v>
      </c>
      <c r="G12706" s="6" t="s">
        <v>2613</v>
      </c>
    </row>
    <row r="12707" customFormat="false" ht="15" hidden="false" customHeight="true" outlineLevel="0" collapsed="false">
      <c r="A12707" s="6" t="s">
        <v>15319</v>
      </c>
      <c r="B12707" s="6" t="s">
        <v>2535</v>
      </c>
      <c r="C12707" s="6" t="s">
        <v>128</v>
      </c>
      <c r="D12707" s="13" t="n">
        <v>45851</v>
      </c>
      <c r="E12707" s="14" t="n">
        <v>3389.05</v>
      </c>
      <c r="F12707" s="14" t="n">
        <v>10603.28</v>
      </c>
      <c r="G12707" s="6" t="s">
        <v>2613</v>
      </c>
    </row>
    <row r="12708" customFormat="false" ht="15" hidden="false" customHeight="true" outlineLevel="0" collapsed="false">
      <c r="A12708" s="6" t="s">
        <v>15320</v>
      </c>
      <c r="B12708" s="6" t="s">
        <v>2535</v>
      </c>
      <c r="C12708" s="6" t="s">
        <v>128</v>
      </c>
      <c r="D12708" s="13" t="n">
        <v>45858</v>
      </c>
      <c r="E12708" s="14" t="n">
        <v>2342.47</v>
      </c>
      <c r="F12708" s="14" t="n">
        <v>12945.75</v>
      </c>
      <c r="G12708" s="6" t="s">
        <v>2613</v>
      </c>
    </row>
    <row r="12709" customFormat="false" ht="15" hidden="false" customHeight="true" outlineLevel="0" collapsed="false">
      <c r="A12709" s="6" t="s">
        <v>15321</v>
      </c>
      <c r="B12709" s="6" t="s">
        <v>2535</v>
      </c>
      <c r="C12709" s="6" t="s">
        <v>128</v>
      </c>
      <c r="D12709" s="13" t="n">
        <v>45865</v>
      </c>
      <c r="E12709" s="14" t="n">
        <v>1960.83</v>
      </c>
      <c r="F12709" s="14" t="n">
        <v>14906.58</v>
      </c>
      <c r="G12709" s="6" t="s">
        <v>2613</v>
      </c>
    </row>
    <row r="12710" customFormat="false" ht="15" hidden="false" customHeight="true" outlineLevel="0" collapsed="false">
      <c r="A12710" s="6" t="s">
        <v>15322</v>
      </c>
      <c r="B12710" s="6" t="s">
        <v>2535</v>
      </c>
      <c r="C12710" s="6" t="s">
        <v>128</v>
      </c>
      <c r="D12710" s="13" t="n">
        <v>45872</v>
      </c>
      <c r="E12710" s="14" t="n">
        <v>1791.45</v>
      </c>
      <c r="F12710" s="14" t="n">
        <v>16698.03</v>
      </c>
      <c r="G12710" s="6" t="s">
        <v>2613</v>
      </c>
    </row>
    <row r="12711" customFormat="false" ht="15" hidden="false" customHeight="true" outlineLevel="0" collapsed="false">
      <c r="A12711" s="6" t="s">
        <v>15323</v>
      </c>
      <c r="B12711" s="6" t="s">
        <v>2535</v>
      </c>
      <c r="C12711" s="6" t="s">
        <v>128</v>
      </c>
      <c r="D12711" s="13" t="n">
        <v>45879</v>
      </c>
      <c r="E12711" s="14" t="n">
        <v>2604.09</v>
      </c>
      <c r="F12711" s="14" t="n">
        <v>19302.12</v>
      </c>
      <c r="G12711" s="6" t="s">
        <v>2613</v>
      </c>
    </row>
    <row r="12712" customFormat="false" ht="15" hidden="false" customHeight="true" outlineLevel="0" collapsed="false">
      <c r="A12712" s="6" t="s">
        <v>15324</v>
      </c>
      <c r="B12712" s="6" t="s">
        <v>2535</v>
      </c>
      <c r="C12712" s="6" t="s">
        <v>128</v>
      </c>
      <c r="D12712" s="13" t="n">
        <v>45886</v>
      </c>
      <c r="E12712" s="14" t="n">
        <v>2580.5</v>
      </c>
      <c r="F12712" s="14" t="n">
        <v>21882.62</v>
      </c>
      <c r="G12712" s="6" t="s">
        <v>2613</v>
      </c>
    </row>
    <row r="12713" customFormat="false" ht="15" hidden="false" customHeight="true" outlineLevel="0" collapsed="false">
      <c r="A12713" s="6" t="s">
        <v>15325</v>
      </c>
      <c r="B12713" s="6" t="s">
        <v>2535</v>
      </c>
      <c r="C12713" s="6" t="s">
        <v>128</v>
      </c>
      <c r="D12713" s="13" t="n">
        <v>45893</v>
      </c>
      <c r="E12713" s="14" t="n">
        <v>2243.27</v>
      </c>
      <c r="F12713" s="14" t="n">
        <v>24125.89</v>
      </c>
      <c r="G12713" s="6" t="s">
        <v>2613</v>
      </c>
    </row>
    <row r="12714" customFormat="false" ht="15" hidden="false" customHeight="true" outlineLevel="0" collapsed="false">
      <c r="A12714" s="6" t="s">
        <v>15326</v>
      </c>
      <c r="B12714" s="6" t="s">
        <v>2535</v>
      </c>
      <c r="C12714" s="6" t="s">
        <v>128</v>
      </c>
      <c r="D12714" s="13" t="n">
        <v>45900</v>
      </c>
      <c r="E12714" s="14" t="n">
        <v>2374.96</v>
      </c>
      <c r="F12714" s="14" t="n">
        <v>26500.85</v>
      </c>
      <c r="G12714" s="6" t="s">
        <v>2613</v>
      </c>
    </row>
    <row r="12715" customFormat="false" ht="15" hidden="false" customHeight="true" outlineLevel="0" collapsed="false">
      <c r="A12715" s="6" t="s">
        <v>15327</v>
      </c>
      <c r="B12715" s="6" t="s">
        <v>2535</v>
      </c>
      <c r="C12715" s="6" t="s">
        <v>128</v>
      </c>
      <c r="D12715" s="13" t="n">
        <v>45907</v>
      </c>
      <c r="E12715" s="14" t="n">
        <v>2371.04</v>
      </c>
      <c r="F12715" s="14" t="n">
        <v>28871.89</v>
      </c>
      <c r="G12715" s="6" t="s">
        <v>2613</v>
      </c>
    </row>
    <row r="12716" customFormat="false" ht="15" hidden="false" customHeight="true" outlineLevel="0" collapsed="false">
      <c r="A12716" s="6" t="s">
        <v>15328</v>
      </c>
      <c r="B12716" s="6" t="s">
        <v>2535</v>
      </c>
      <c r="C12716" s="6" t="s">
        <v>128</v>
      </c>
      <c r="D12716" s="13" t="n">
        <v>45914</v>
      </c>
      <c r="E12716" s="14" t="n">
        <v>3326.87</v>
      </c>
      <c r="F12716" s="14" t="n">
        <v>32198.76</v>
      </c>
      <c r="G12716" s="6" t="s">
        <v>2613</v>
      </c>
    </row>
    <row r="12717" customFormat="false" ht="15" hidden="false" customHeight="true" outlineLevel="0" collapsed="false">
      <c r="A12717" s="6" t="s">
        <v>15329</v>
      </c>
      <c r="B12717" s="6" t="s">
        <v>2535</v>
      </c>
      <c r="C12717" s="6" t="s">
        <v>128</v>
      </c>
      <c r="D12717" s="13" t="n">
        <v>45921</v>
      </c>
      <c r="E12717" s="14" t="n">
        <v>1640.51</v>
      </c>
      <c r="F12717" s="14" t="n">
        <v>33839.27</v>
      </c>
      <c r="G12717" s="6" t="s">
        <v>2613</v>
      </c>
    </row>
    <row r="12718" customFormat="false" ht="15" hidden="false" customHeight="true" outlineLevel="0" collapsed="false">
      <c r="A12718" s="6" t="s">
        <v>15330</v>
      </c>
      <c r="B12718" s="6" t="s">
        <v>2535</v>
      </c>
      <c r="C12718" s="6" t="s">
        <v>128</v>
      </c>
      <c r="D12718" s="13" t="n">
        <v>45928</v>
      </c>
      <c r="E12718" s="14" t="n">
        <v>2273.18</v>
      </c>
      <c r="F12718" s="14" t="n">
        <v>36112.45</v>
      </c>
      <c r="G12718" s="6" t="s">
        <v>2613</v>
      </c>
    </row>
    <row r="12719" customFormat="false" ht="15" hidden="false" customHeight="true" outlineLevel="0" collapsed="false">
      <c r="A12719" s="6" t="s">
        <v>15331</v>
      </c>
      <c r="B12719" s="6" t="s">
        <v>2535</v>
      </c>
      <c r="C12719" s="6" t="s">
        <v>128</v>
      </c>
      <c r="D12719" s="13" t="n">
        <v>45935</v>
      </c>
      <c r="E12719" s="14" t="n">
        <v>2641.03</v>
      </c>
      <c r="F12719" s="14" t="n">
        <v>38753.48</v>
      </c>
      <c r="G12719" s="6" t="s">
        <v>2613</v>
      </c>
    </row>
    <row r="12720" customFormat="false" ht="15" hidden="false" customHeight="true" outlineLevel="0" collapsed="false">
      <c r="A12720" s="6" t="s">
        <v>15332</v>
      </c>
      <c r="B12720" s="6" t="s">
        <v>2535</v>
      </c>
      <c r="C12720" s="6" t="s">
        <v>128</v>
      </c>
      <c r="D12720" s="13" t="n">
        <v>45942</v>
      </c>
      <c r="E12720" s="14" t="n">
        <v>4263.65</v>
      </c>
      <c r="F12720" s="14" t="n">
        <v>43017.13</v>
      </c>
      <c r="G12720" s="6" t="s">
        <v>2613</v>
      </c>
    </row>
    <row r="12721" customFormat="false" ht="15" hidden="false" customHeight="true" outlineLevel="0" collapsed="false">
      <c r="A12721" s="6" t="s">
        <v>15333</v>
      </c>
      <c r="B12721" s="6" t="s">
        <v>2537</v>
      </c>
      <c r="C12721" s="6" t="s">
        <v>124</v>
      </c>
      <c r="D12721" s="13" t="n">
        <v>46063</v>
      </c>
      <c r="E12721" s="14" t="n">
        <v>2576.71</v>
      </c>
      <c r="F12721" s="14" t="n">
        <v>2576.71</v>
      </c>
      <c r="G12721" s="6" t="s">
        <v>2613</v>
      </c>
    </row>
    <row r="12722" customFormat="false" ht="15" hidden="false" customHeight="true" outlineLevel="0" collapsed="false">
      <c r="A12722" s="6" t="s">
        <v>15334</v>
      </c>
      <c r="B12722" s="6" t="s">
        <v>2537</v>
      </c>
      <c r="C12722" s="6" t="s">
        <v>124</v>
      </c>
      <c r="D12722" s="13" t="n">
        <v>46070</v>
      </c>
      <c r="E12722" s="14" t="n">
        <v>2527.44</v>
      </c>
      <c r="F12722" s="14" t="n">
        <v>5104.15</v>
      </c>
      <c r="G12722" s="6" t="s">
        <v>2613</v>
      </c>
    </row>
    <row r="12723" customFormat="false" ht="15" hidden="false" customHeight="true" outlineLevel="0" collapsed="false">
      <c r="A12723" s="6" t="s">
        <v>15335</v>
      </c>
      <c r="B12723" s="6" t="s">
        <v>2537</v>
      </c>
      <c r="C12723" s="6" t="s">
        <v>124</v>
      </c>
      <c r="D12723" s="13" t="n">
        <v>46077</v>
      </c>
      <c r="E12723" s="14" t="n">
        <v>2959.88</v>
      </c>
      <c r="F12723" s="14" t="n">
        <v>8064.03</v>
      </c>
      <c r="G12723" s="6" t="s">
        <v>2613</v>
      </c>
    </row>
    <row r="12724" customFormat="false" ht="15" hidden="false" customHeight="true" outlineLevel="0" collapsed="false">
      <c r="A12724" s="6" t="s">
        <v>15336</v>
      </c>
      <c r="B12724" s="6" t="s">
        <v>2537</v>
      </c>
      <c r="C12724" s="6" t="s">
        <v>124</v>
      </c>
      <c r="D12724" s="13" t="n">
        <v>46084</v>
      </c>
      <c r="E12724" s="14" t="n">
        <v>2293.36</v>
      </c>
      <c r="F12724" s="14" t="n">
        <v>10357.39</v>
      </c>
      <c r="G12724" s="6" t="s">
        <v>2613</v>
      </c>
    </row>
    <row r="12725" customFormat="false" ht="15" hidden="false" customHeight="true" outlineLevel="0" collapsed="false">
      <c r="A12725" s="6" t="s">
        <v>15337</v>
      </c>
      <c r="B12725" s="6" t="s">
        <v>2537</v>
      </c>
      <c r="C12725" s="6" t="s">
        <v>124</v>
      </c>
      <c r="D12725" s="13" t="n">
        <v>46091</v>
      </c>
      <c r="E12725" s="14" t="n">
        <v>2917.98</v>
      </c>
      <c r="F12725" s="14" t="n">
        <v>13275.37</v>
      </c>
      <c r="G12725" s="6" t="s">
        <v>2613</v>
      </c>
    </row>
    <row r="12726" customFormat="false" ht="15" hidden="false" customHeight="true" outlineLevel="0" collapsed="false">
      <c r="A12726" s="6" t="s">
        <v>15338</v>
      </c>
      <c r="B12726" s="6" t="s">
        <v>2537</v>
      </c>
      <c r="C12726" s="6" t="s">
        <v>124</v>
      </c>
      <c r="D12726" s="13" t="n">
        <v>46098</v>
      </c>
      <c r="E12726" s="14" t="n">
        <v>1676.35</v>
      </c>
      <c r="F12726" s="14" t="n">
        <v>14951.72</v>
      </c>
      <c r="G12726" s="6" t="s">
        <v>2613</v>
      </c>
    </row>
    <row r="12727" customFormat="false" ht="15" hidden="false" customHeight="true" outlineLevel="0" collapsed="false">
      <c r="A12727" s="6" t="s">
        <v>15339</v>
      </c>
      <c r="B12727" s="6" t="s">
        <v>2537</v>
      </c>
      <c r="C12727" s="6" t="s">
        <v>124</v>
      </c>
      <c r="D12727" s="13" t="n">
        <v>46105</v>
      </c>
      <c r="E12727" s="14" t="n">
        <v>2614.61</v>
      </c>
      <c r="F12727" s="14" t="n">
        <v>17566.33</v>
      </c>
      <c r="G12727" s="6" t="s">
        <v>2613</v>
      </c>
    </row>
    <row r="12728" customFormat="false" ht="15" hidden="false" customHeight="true" outlineLevel="0" collapsed="false">
      <c r="A12728" s="6" t="s">
        <v>15340</v>
      </c>
      <c r="B12728" s="6" t="s">
        <v>2537</v>
      </c>
      <c r="C12728" s="6" t="s">
        <v>124</v>
      </c>
      <c r="D12728" s="13" t="n">
        <v>46112</v>
      </c>
      <c r="E12728" s="14" t="n">
        <v>3138.37</v>
      </c>
      <c r="F12728" s="14" t="n">
        <v>20704.7</v>
      </c>
      <c r="G12728" s="6" t="s">
        <v>2613</v>
      </c>
    </row>
    <row r="12729" customFormat="false" ht="15" hidden="false" customHeight="true" outlineLevel="0" collapsed="false">
      <c r="A12729" s="6" t="s">
        <v>15341</v>
      </c>
      <c r="B12729" s="6" t="s">
        <v>2537</v>
      </c>
      <c r="C12729" s="6" t="s">
        <v>124</v>
      </c>
      <c r="D12729" s="13" t="n">
        <v>46119</v>
      </c>
      <c r="E12729" s="14" t="n">
        <v>2346.91</v>
      </c>
      <c r="F12729" s="14" t="n">
        <v>23051.61</v>
      </c>
      <c r="G12729" s="6" t="s">
        <v>2613</v>
      </c>
    </row>
    <row r="12730" customFormat="false" ht="15" hidden="false" customHeight="true" outlineLevel="0" collapsed="false">
      <c r="A12730" s="6" t="s">
        <v>15342</v>
      </c>
      <c r="B12730" s="6" t="s">
        <v>2537</v>
      </c>
      <c r="C12730" s="6" t="s">
        <v>124</v>
      </c>
      <c r="D12730" s="13" t="n">
        <v>46126</v>
      </c>
      <c r="E12730" s="14" t="n">
        <v>3735.64</v>
      </c>
      <c r="F12730" s="14" t="n">
        <v>26787.25</v>
      </c>
      <c r="G12730" s="6" t="s">
        <v>2613</v>
      </c>
    </row>
    <row r="12731" customFormat="false" ht="15" hidden="false" customHeight="true" outlineLevel="0" collapsed="false">
      <c r="A12731" s="6" t="s">
        <v>15343</v>
      </c>
      <c r="B12731" s="6" t="s">
        <v>2537</v>
      </c>
      <c r="C12731" s="6" t="s">
        <v>124</v>
      </c>
      <c r="D12731" s="13" t="n">
        <v>46133</v>
      </c>
      <c r="E12731" s="14" t="n">
        <v>1783.45</v>
      </c>
      <c r="F12731" s="14" t="n">
        <v>28570.7</v>
      </c>
      <c r="G12731" s="6" t="s">
        <v>2613</v>
      </c>
    </row>
    <row r="12732" customFormat="false" ht="15" hidden="false" customHeight="true" outlineLevel="0" collapsed="false">
      <c r="A12732" s="6" t="s">
        <v>15344</v>
      </c>
      <c r="B12732" s="6" t="s">
        <v>2537</v>
      </c>
      <c r="C12732" s="6" t="s">
        <v>124</v>
      </c>
      <c r="D12732" s="13" t="n">
        <v>46140</v>
      </c>
      <c r="E12732" s="14" t="n">
        <v>2812.39</v>
      </c>
      <c r="F12732" s="14" t="n">
        <v>31383.09</v>
      </c>
      <c r="G12732" s="6" t="s">
        <v>2613</v>
      </c>
    </row>
    <row r="12733" customFormat="false" ht="15" hidden="false" customHeight="true" outlineLevel="0" collapsed="false">
      <c r="A12733" s="6" t="s">
        <v>15345</v>
      </c>
      <c r="B12733" s="6" t="s">
        <v>2537</v>
      </c>
      <c r="C12733" s="6" t="s">
        <v>124</v>
      </c>
      <c r="D12733" s="13" t="n">
        <v>46147</v>
      </c>
      <c r="E12733" s="14" t="n">
        <v>2549.11</v>
      </c>
      <c r="F12733" s="14" t="n">
        <v>33932.2</v>
      </c>
      <c r="G12733" s="6" t="s">
        <v>2613</v>
      </c>
    </row>
    <row r="12734" customFormat="false" ht="15" hidden="false" customHeight="true" outlineLevel="0" collapsed="false">
      <c r="A12734" s="6" t="s">
        <v>15346</v>
      </c>
      <c r="B12734" s="6" t="s">
        <v>2537</v>
      </c>
      <c r="C12734" s="6" t="s">
        <v>124</v>
      </c>
      <c r="D12734" s="13" t="n">
        <v>46154</v>
      </c>
      <c r="E12734" s="14" t="n">
        <v>4853.97</v>
      </c>
      <c r="F12734" s="14" t="n">
        <v>38786.17</v>
      </c>
      <c r="G12734" s="6" t="s">
        <v>2613</v>
      </c>
    </row>
    <row r="12735" customFormat="false" ht="15" hidden="false" customHeight="true" outlineLevel="0" collapsed="false">
      <c r="A12735" s="6" t="s">
        <v>15347</v>
      </c>
      <c r="B12735" s="6" t="s">
        <v>2539</v>
      </c>
      <c r="C12735" s="6" t="s">
        <v>131</v>
      </c>
      <c r="D12735" s="13" t="n">
        <v>45606</v>
      </c>
      <c r="E12735" s="14" t="n">
        <v>6618.45</v>
      </c>
      <c r="F12735" s="14" t="n">
        <v>6618.45</v>
      </c>
      <c r="G12735" s="6" t="s">
        <v>2613</v>
      </c>
    </row>
    <row r="12736" customFormat="false" ht="15" hidden="false" customHeight="true" outlineLevel="0" collapsed="false">
      <c r="A12736" s="6" t="s">
        <v>15348</v>
      </c>
      <c r="B12736" s="6" t="s">
        <v>2539</v>
      </c>
      <c r="C12736" s="6" t="s">
        <v>131</v>
      </c>
      <c r="D12736" s="13" t="n">
        <v>45613</v>
      </c>
      <c r="E12736" s="14" t="n">
        <v>4918.89</v>
      </c>
      <c r="F12736" s="14" t="n">
        <v>11537.34</v>
      </c>
      <c r="G12736" s="6" t="s">
        <v>2613</v>
      </c>
    </row>
    <row r="12737" customFormat="false" ht="15" hidden="false" customHeight="true" outlineLevel="0" collapsed="false">
      <c r="A12737" s="6" t="s">
        <v>15349</v>
      </c>
      <c r="B12737" s="6" t="s">
        <v>2539</v>
      </c>
      <c r="C12737" s="6" t="s">
        <v>131</v>
      </c>
      <c r="D12737" s="13" t="n">
        <v>45620</v>
      </c>
      <c r="E12737" s="14" t="n">
        <v>3575.12</v>
      </c>
      <c r="F12737" s="14" t="n">
        <v>15112.46</v>
      </c>
      <c r="G12737" s="6" t="s">
        <v>2613</v>
      </c>
    </row>
    <row r="12738" customFormat="false" ht="15" hidden="false" customHeight="true" outlineLevel="0" collapsed="false">
      <c r="A12738" s="6" t="s">
        <v>15350</v>
      </c>
      <c r="B12738" s="6" t="s">
        <v>2539</v>
      </c>
      <c r="C12738" s="6" t="s">
        <v>131</v>
      </c>
      <c r="D12738" s="13" t="n">
        <v>45627</v>
      </c>
      <c r="E12738" s="14" t="n">
        <v>4516.28</v>
      </c>
      <c r="F12738" s="14" t="n">
        <v>19628.74</v>
      </c>
      <c r="G12738" s="6" t="s">
        <v>2613</v>
      </c>
    </row>
    <row r="12739" customFormat="false" ht="15" hidden="false" customHeight="true" outlineLevel="0" collapsed="false">
      <c r="A12739" s="6" t="s">
        <v>15351</v>
      </c>
      <c r="B12739" s="6" t="s">
        <v>2539</v>
      </c>
      <c r="C12739" s="6" t="s">
        <v>131</v>
      </c>
      <c r="D12739" s="13" t="n">
        <v>45634</v>
      </c>
      <c r="E12739" s="14" t="n">
        <v>6501.61</v>
      </c>
      <c r="F12739" s="14" t="n">
        <v>26130.35</v>
      </c>
      <c r="G12739" s="6" t="s">
        <v>2613</v>
      </c>
    </row>
    <row r="12740" customFormat="false" ht="15" hidden="false" customHeight="true" outlineLevel="0" collapsed="false">
      <c r="A12740" s="6" t="s">
        <v>15352</v>
      </c>
      <c r="B12740" s="6" t="s">
        <v>2539</v>
      </c>
      <c r="C12740" s="6" t="s">
        <v>131</v>
      </c>
      <c r="D12740" s="13" t="n">
        <v>45641</v>
      </c>
      <c r="E12740" s="14" t="n">
        <v>3370.9</v>
      </c>
      <c r="F12740" s="14" t="n">
        <v>29501.25</v>
      </c>
      <c r="G12740" s="6" t="s">
        <v>2613</v>
      </c>
    </row>
    <row r="12741" customFormat="false" ht="15" hidden="false" customHeight="true" outlineLevel="0" collapsed="false">
      <c r="A12741" s="6" t="s">
        <v>15353</v>
      </c>
      <c r="B12741" s="6" t="s">
        <v>2539</v>
      </c>
      <c r="C12741" s="6" t="s">
        <v>131</v>
      </c>
      <c r="D12741" s="13" t="n">
        <v>45648</v>
      </c>
      <c r="E12741" s="14" t="n">
        <v>3186.33</v>
      </c>
      <c r="F12741" s="14" t="n">
        <v>32687.58</v>
      </c>
      <c r="G12741" s="6" t="s">
        <v>2613</v>
      </c>
    </row>
    <row r="12742" customFormat="false" ht="15" hidden="false" customHeight="true" outlineLevel="0" collapsed="false">
      <c r="A12742" s="6" t="s">
        <v>15354</v>
      </c>
      <c r="B12742" s="6" t="s">
        <v>2539</v>
      </c>
      <c r="C12742" s="6" t="s">
        <v>131</v>
      </c>
      <c r="D12742" s="13" t="n">
        <v>45655</v>
      </c>
      <c r="E12742" s="14" t="n">
        <v>5583.48</v>
      </c>
      <c r="F12742" s="14" t="n">
        <v>38271.06</v>
      </c>
      <c r="G12742" s="6" t="s">
        <v>2613</v>
      </c>
    </row>
    <row r="12743" customFormat="false" ht="15" hidden="false" customHeight="true" outlineLevel="0" collapsed="false">
      <c r="A12743" s="6" t="s">
        <v>15355</v>
      </c>
      <c r="B12743" s="6" t="s">
        <v>2539</v>
      </c>
      <c r="C12743" s="6" t="s">
        <v>131</v>
      </c>
      <c r="D12743" s="13" t="n">
        <v>45662</v>
      </c>
      <c r="E12743" s="14" t="n">
        <v>3212.35</v>
      </c>
      <c r="F12743" s="14" t="n">
        <v>41483.41</v>
      </c>
      <c r="G12743" s="6" t="s">
        <v>2613</v>
      </c>
    </row>
    <row r="12744" customFormat="false" ht="15" hidden="false" customHeight="true" outlineLevel="0" collapsed="false">
      <c r="A12744" s="6" t="s">
        <v>15356</v>
      </c>
      <c r="B12744" s="6" t="s">
        <v>2539</v>
      </c>
      <c r="C12744" s="6" t="s">
        <v>131</v>
      </c>
      <c r="D12744" s="13" t="n">
        <v>45669</v>
      </c>
      <c r="E12744" s="14" t="n">
        <v>4901.62</v>
      </c>
      <c r="F12744" s="14" t="n">
        <v>46385.03</v>
      </c>
      <c r="G12744" s="6" t="s">
        <v>2613</v>
      </c>
    </row>
    <row r="12745" customFormat="false" ht="15" hidden="false" customHeight="true" outlineLevel="0" collapsed="false">
      <c r="A12745" s="6" t="s">
        <v>15357</v>
      </c>
      <c r="B12745" s="6" t="s">
        <v>2539</v>
      </c>
      <c r="C12745" s="6" t="s">
        <v>131</v>
      </c>
      <c r="D12745" s="13" t="n">
        <v>45676</v>
      </c>
      <c r="E12745" s="14" t="n">
        <v>6548.38</v>
      </c>
      <c r="F12745" s="14" t="n">
        <v>52933.41</v>
      </c>
      <c r="G12745" s="6" t="s">
        <v>2623</v>
      </c>
    </row>
    <row r="12746" customFormat="false" ht="15" hidden="false" customHeight="true" outlineLevel="0" collapsed="false">
      <c r="A12746" s="6" t="s">
        <v>15358</v>
      </c>
      <c r="B12746" s="6" t="s">
        <v>2539</v>
      </c>
      <c r="C12746" s="6" t="s">
        <v>131</v>
      </c>
      <c r="D12746" s="13" t="n">
        <v>45683</v>
      </c>
      <c r="E12746" s="14" t="n">
        <v>6137.03</v>
      </c>
      <c r="F12746" s="14" t="n">
        <v>59070.44</v>
      </c>
      <c r="G12746" s="6" t="s">
        <v>2613</v>
      </c>
    </row>
    <row r="12747" customFormat="false" ht="15" hidden="false" customHeight="true" outlineLevel="0" collapsed="false">
      <c r="A12747" s="6" t="s">
        <v>15359</v>
      </c>
      <c r="B12747" s="6" t="s">
        <v>2541</v>
      </c>
      <c r="C12747" s="6" t="s">
        <v>112</v>
      </c>
      <c r="D12747" s="13" t="n">
        <v>45196</v>
      </c>
      <c r="E12747" s="14" t="n">
        <v>1793.9</v>
      </c>
      <c r="F12747" s="14" t="n">
        <v>1793.9</v>
      </c>
      <c r="G12747" s="6" t="s">
        <v>2613</v>
      </c>
    </row>
    <row r="12748" customFormat="false" ht="15" hidden="false" customHeight="true" outlineLevel="0" collapsed="false">
      <c r="A12748" s="6" t="s">
        <v>15360</v>
      </c>
      <c r="B12748" s="6" t="s">
        <v>2541</v>
      </c>
      <c r="C12748" s="6" t="s">
        <v>112</v>
      </c>
      <c r="D12748" s="13" t="n">
        <v>45203</v>
      </c>
      <c r="E12748" s="14" t="n">
        <v>2893.57</v>
      </c>
      <c r="F12748" s="14" t="n">
        <v>4687.47</v>
      </c>
      <c r="G12748" s="6" t="s">
        <v>2613</v>
      </c>
    </row>
    <row r="12749" customFormat="false" ht="15" hidden="false" customHeight="true" outlineLevel="0" collapsed="false">
      <c r="A12749" s="6" t="s">
        <v>15361</v>
      </c>
      <c r="B12749" s="6" t="s">
        <v>2541</v>
      </c>
      <c r="C12749" s="6" t="s">
        <v>112</v>
      </c>
      <c r="D12749" s="13" t="n">
        <v>45210</v>
      </c>
      <c r="E12749" s="14" t="n">
        <v>2869.82</v>
      </c>
      <c r="F12749" s="14" t="n">
        <v>7557.29</v>
      </c>
      <c r="G12749" s="6" t="s">
        <v>2613</v>
      </c>
    </row>
    <row r="12750" customFormat="false" ht="15" hidden="false" customHeight="true" outlineLevel="0" collapsed="false">
      <c r="A12750" s="6" t="s">
        <v>15362</v>
      </c>
      <c r="B12750" s="6" t="s">
        <v>2543</v>
      </c>
      <c r="C12750" s="6" t="s">
        <v>116</v>
      </c>
      <c r="D12750" s="13" t="n">
        <v>45290</v>
      </c>
      <c r="E12750" s="14" t="n">
        <v>9949.94</v>
      </c>
      <c r="F12750" s="14" t="n">
        <v>9949.94</v>
      </c>
      <c r="G12750" s="6" t="s">
        <v>2613</v>
      </c>
    </row>
    <row r="12751" customFormat="false" ht="15" hidden="false" customHeight="true" outlineLevel="0" collapsed="false">
      <c r="A12751" s="6" t="s">
        <v>15363</v>
      </c>
      <c r="B12751" s="6" t="s">
        <v>2543</v>
      </c>
      <c r="C12751" s="6" t="s">
        <v>116</v>
      </c>
      <c r="D12751" s="13" t="n">
        <v>45297</v>
      </c>
      <c r="E12751" s="14" t="n">
        <v>8854.32</v>
      </c>
      <c r="F12751" s="14" t="n">
        <v>18804.26</v>
      </c>
      <c r="G12751" s="6" t="s">
        <v>2613</v>
      </c>
    </row>
    <row r="12752" customFormat="false" ht="15" hidden="false" customHeight="true" outlineLevel="0" collapsed="false">
      <c r="A12752" s="6" t="s">
        <v>15364</v>
      </c>
      <c r="B12752" s="6" t="s">
        <v>2543</v>
      </c>
      <c r="C12752" s="6" t="s">
        <v>116</v>
      </c>
      <c r="D12752" s="13" t="n">
        <v>45304</v>
      </c>
      <c r="E12752" s="14" t="n">
        <v>8122.04</v>
      </c>
      <c r="F12752" s="14" t="n">
        <v>26926.3</v>
      </c>
      <c r="G12752" s="6" t="s">
        <v>2613</v>
      </c>
    </row>
    <row r="12753" customFormat="false" ht="15" hidden="false" customHeight="true" outlineLevel="0" collapsed="false">
      <c r="A12753" s="6" t="s">
        <v>15365</v>
      </c>
      <c r="B12753" s="6" t="s">
        <v>2543</v>
      </c>
      <c r="C12753" s="6" t="s">
        <v>116</v>
      </c>
      <c r="D12753" s="13" t="n">
        <v>45311</v>
      </c>
      <c r="E12753" s="14" t="n">
        <v>7484.3</v>
      </c>
      <c r="F12753" s="14" t="n">
        <v>34410.6</v>
      </c>
      <c r="G12753" s="6" t="s">
        <v>2613</v>
      </c>
    </row>
    <row r="12754" customFormat="false" ht="15" hidden="false" customHeight="true" outlineLevel="0" collapsed="false">
      <c r="A12754" s="6" t="s">
        <v>15366</v>
      </c>
      <c r="B12754" s="6" t="s">
        <v>2543</v>
      </c>
      <c r="C12754" s="6" t="s">
        <v>116</v>
      </c>
      <c r="D12754" s="13" t="n">
        <v>45318</v>
      </c>
      <c r="E12754" s="14" t="n">
        <v>10123.12</v>
      </c>
      <c r="F12754" s="14" t="n">
        <v>44533.72</v>
      </c>
      <c r="G12754" s="6" t="s">
        <v>2613</v>
      </c>
    </row>
    <row r="12755" customFormat="false" ht="15" hidden="false" customHeight="true" outlineLevel="0" collapsed="false">
      <c r="A12755" s="6" t="s">
        <v>15367</v>
      </c>
      <c r="B12755" s="6" t="s">
        <v>2543</v>
      </c>
      <c r="C12755" s="6" t="s">
        <v>116</v>
      </c>
      <c r="D12755" s="13" t="n">
        <v>45325</v>
      </c>
      <c r="E12755" s="14" t="n">
        <v>6080.69</v>
      </c>
      <c r="F12755" s="14" t="n">
        <v>50614.41</v>
      </c>
      <c r="G12755" s="6" t="s">
        <v>2623</v>
      </c>
    </row>
    <row r="12756" customFormat="false" ht="15" hidden="false" customHeight="true" outlineLevel="0" collapsed="false">
      <c r="A12756" s="6" t="s">
        <v>15368</v>
      </c>
      <c r="B12756" s="6" t="s">
        <v>2543</v>
      </c>
      <c r="C12756" s="6" t="s">
        <v>116</v>
      </c>
      <c r="D12756" s="13" t="n">
        <v>45332</v>
      </c>
      <c r="E12756" s="14" t="n">
        <v>6585.86</v>
      </c>
      <c r="F12756" s="14" t="n">
        <v>57200.27</v>
      </c>
      <c r="G12756" s="6" t="s">
        <v>2613</v>
      </c>
    </row>
    <row r="12757" customFormat="false" ht="15" hidden="false" customHeight="true" outlineLevel="0" collapsed="false">
      <c r="A12757" s="6" t="s">
        <v>15369</v>
      </c>
      <c r="B12757" s="6" t="s">
        <v>2543</v>
      </c>
      <c r="C12757" s="6" t="s">
        <v>116</v>
      </c>
      <c r="D12757" s="13" t="n">
        <v>45339</v>
      </c>
      <c r="E12757" s="14" t="n">
        <v>10305.29</v>
      </c>
      <c r="F12757" s="14" t="n">
        <v>67505.56</v>
      </c>
      <c r="G12757" s="6" t="s">
        <v>2613</v>
      </c>
    </row>
    <row r="12758" customFormat="false" ht="15" hidden="false" customHeight="true" outlineLevel="0" collapsed="false">
      <c r="A12758" s="6" t="s">
        <v>15370</v>
      </c>
      <c r="B12758" s="6" t="s">
        <v>2543</v>
      </c>
      <c r="C12758" s="6" t="s">
        <v>116</v>
      </c>
      <c r="D12758" s="13" t="n">
        <v>45346</v>
      </c>
      <c r="E12758" s="14" t="n">
        <v>7726.02</v>
      </c>
      <c r="F12758" s="14" t="n">
        <v>75231.58</v>
      </c>
      <c r="G12758" s="6" t="s">
        <v>2613</v>
      </c>
    </row>
    <row r="12759" customFormat="false" ht="15" hidden="false" customHeight="true" outlineLevel="0" collapsed="false">
      <c r="A12759" s="6" t="s">
        <v>15371</v>
      </c>
      <c r="B12759" s="6" t="s">
        <v>2545</v>
      </c>
      <c r="C12759" s="6" t="s">
        <v>116</v>
      </c>
      <c r="D12759" s="13" t="n">
        <v>44843</v>
      </c>
      <c r="E12759" s="14" t="n">
        <v>9568.41</v>
      </c>
      <c r="F12759" s="14" t="n">
        <v>9568.41</v>
      </c>
      <c r="G12759" s="6" t="s">
        <v>2613</v>
      </c>
    </row>
    <row r="12760" customFormat="false" ht="15" hidden="false" customHeight="true" outlineLevel="0" collapsed="false">
      <c r="A12760" s="6" t="s">
        <v>15372</v>
      </c>
      <c r="B12760" s="6" t="s">
        <v>2545</v>
      </c>
      <c r="C12760" s="6" t="s">
        <v>116</v>
      </c>
      <c r="D12760" s="13" t="n">
        <v>44850</v>
      </c>
      <c r="E12760" s="14" t="n">
        <v>10026.35</v>
      </c>
      <c r="F12760" s="14" t="n">
        <v>19594.76</v>
      </c>
      <c r="G12760" s="6" t="s">
        <v>2613</v>
      </c>
    </row>
    <row r="12761" customFormat="false" ht="15" hidden="false" customHeight="true" outlineLevel="0" collapsed="false">
      <c r="A12761" s="6" t="s">
        <v>15373</v>
      </c>
      <c r="B12761" s="6" t="s">
        <v>2545</v>
      </c>
      <c r="C12761" s="6" t="s">
        <v>116</v>
      </c>
      <c r="D12761" s="13" t="n">
        <v>44857</v>
      </c>
      <c r="E12761" s="14" t="n">
        <v>10034.03</v>
      </c>
      <c r="F12761" s="14" t="n">
        <v>29628.79</v>
      </c>
      <c r="G12761" s="6" t="s">
        <v>2613</v>
      </c>
    </row>
    <row r="12762" customFormat="false" ht="15" hidden="false" customHeight="true" outlineLevel="0" collapsed="false">
      <c r="A12762" s="6" t="s">
        <v>15374</v>
      </c>
      <c r="B12762" s="6" t="s">
        <v>2545</v>
      </c>
      <c r="C12762" s="6" t="s">
        <v>116</v>
      </c>
      <c r="D12762" s="13" t="n">
        <v>44864</v>
      </c>
      <c r="E12762" s="14" t="n">
        <v>8833.38</v>
      </c>
      <c r="F12762" s="14" t="n">
        <v>38462.17</v>
      </c>
      <c r="G12762" s="6" t="s">
        <v>2613</v>
      </c>
    </row>
    <row r="12763" customFormat="false" ht="15" hidden="false" customHeight="true" outlineLevel="0" collapsed="false">
      <c r="A12763" s="6" t="s">
        <v>15375</v>
      </c>
      <c r="B12763" s="6" t="s">
        <v>2545</v>
      </c>
      <c r="C12763" s="6" t="s">
        <v>116</v>
      </c>
      <c r="D12763" s="13" t="n">
        <v>44871</v>
      </c>
      <c r="E12763" s="14" t="n">
        <v>9398.72</v>
      </c>
      <c r="F12763" s="14" t="n">
        <v>47860.89</v>
      </c>
      <c r="G12763" s="6" t="s">
        <v>2613</v>
      </c>
    </row>
    <row r="12764" customFormat="false" ht="15" hidden="false" customHeight="true" outlineLevel="0" collapsed="false">
      <c r="A12764" s="6" t="s">
        <v>15376</v>
      </c>
      <c r="B12764" s="6" t="s">
        <v>2545</v>
      </c>
      <c r="C12764" s="6" t="s">
        <v>116</v>
      </c>
      <c r="D12764" s="13" t="n">
        <v>44878</v>
      </c>
      <c r="E12764" s="14" t="n">
        <v>9684.76</v>
      </c>
      <c r="F12764" s="14" t="n">
        <v>57545.65</v>
      </c>
      <c r="G12764" s="6" t="s">
        <v>2613</v>
      </c>
    </row>
    <row r="12765" customFormat="false" ht="15" hidden="false" customHeight="true" outlineLevel="0" collapsed="false">
      <c r="A12765" s="6" t="s">
        <v>15377</v>
      </c>
      <c r="B12765" s="6" t="s">
        <v>2547</v>
      </c>
      <c r="C12765" s="6" t="s">
        <v>131</v>
      </c>
      <c r="D12765" s="13" t="n">
        <v>46042</v>
      </c>
      <c r="E12765" s="14" t="n">
        <v>5434.71</v>
      </c>
      <c r="F12765" s="14" t="n">
        <v>5434.71</v>
      </c>
      <c r="G12765" s="6" t="s">
        <v>2613</v>
      </c>
    </row>
    <row r="12766" customFormat="false" ht="15" hidden="false" customHeight="true" outlineLevel="0" collapsed="false">
      <c r="A12766" s="6" t="s">
        <v>15378</v>
      </c>
      <c r="B12766" s="6" t="s">
        <v>2547</v>
      </c>
      <c r="C12766" s="6" t="s">
        <v>131</v>
      </c>
      <c r="D12766" s="13" t="n">
        <v>46049</v>
      </c>
      <c r="E12766" s="14" t="n">
        <v>8986.5</v>
      </c>
      <c r="F12766" s="14" t="n">
        <v>14421.21</v>
      </c>
      <c r="G12766" s="6" t="s">
        <v>2613</v>
      </c>
    </row>
    <row r="12767" customFormat="false" ht="15" hidden="false" customHeight="true" outlineLevel="0" collapsed="false">
      <c r="A12767" s="6" t="s">
        <v>15379</v>
      </c>
      <c r="B12767" s="6" t="s">
        <v>2547</v>
      </c>
      <c r="C12767" s="6" t="s">
        <v>131</v>
      </c>
      <c r="D12767" s="13" t="n">
        <v>46056</v>
      </c>
      <c r="E12767" s="14" t="n">
        <v>8520.19</v>
      </c>
      <c r="F12767" s="14" t="n">
        <v>22941.4</v>
      </c>
      <c r="G12767" s="6" t="s">
        <v>2613</v>
      </c>
    </row>
    <row r="12768" customFormat="false" ht="15" hidden="false" customHeight="true" outlineLevel="0" collapsed="false">
      <c r="A12768" s="6" t="s">
        <v>15380</v>
      </c>
      <c r="B12768" s="6" t="s">
        <v>2547</v>
      </c>
      <c r="C12768" s="6" t="s">
        <v>131</v>
      </c>
      <c r="D12768" s="13" t="n">
        <v>46063</v>
      </c>
      <c r="E12768" s="14" t="n">
        <v>7925.16</v>
      </c>
      <c r="F12768" s="14" t="n">
        <v>30866.56</v>
      </c>
      <c r="G12768" s="6" t="s">
        <v>2623</v>
      </c>
    </row>
    <row r="12769" customFormat="false" ht="15" hidden="false" customHeight="true" outlineLevel="0" collapsed="false">
      <c r="A12769" s="6" t="s">
        <v>15381</v>
      </c>
      <c r="B12769" s="6" t="s">
        <v>2547</v>
      </c>
      <c r="C12769" s="6" t="s">
        <v>131</v>
      </c>
      <c r="D12769" s="13" t="n">
        <v>46070</v>
      </c>
      <c r="E12769" s="14" t="n">
        <v>7247.66</v>
      </c>
      <c r="F12769" s="14" t="n">
        <v>38114.22</v>
      </c>
      <c r="G12769" s="6" t="s">
        <v>2613</v>
      </c>
    </row>
    <row r="12770" customFormat="false" ht="15" hidden="false" customHeight="true" outlineLevel="0" collapsed="false">
      <c r="A12770" s="6" t="s">
        <v>15382</v>
      </c>
      <c r="B12770" s="6" t="s">
        <v>2547</v>
      </c>
      <c r="C12770" s="6" t="s">
        <v>131</v>
      </c>
      <c r="D12770" s="13" t="n">
        <v>46077</v>
      </c>
      <c r="E12770" s="14" t="n">
        <v>8505.76</v>
      </c>
      <c r="F12770" s="14" t="n">
        <v>46619.98</v>
      </c>
      <c r="G12770" s="6" t="s">
        <v>2623</v>
      </c>
    </row>
    <row r="12771" customFormat="false" ht="15" hidden="false" customHeight="true" outlineLevel="0" collapsed="false">
      <c r="A12771" s="6" t="s">
        <v>15383</v>
      </c>
      <c r="B12771" s="6" t="s">
        <v>2547</v>
      </c>
      <c r="C12771" s="6" t="s">
        <v>131</v>
      </c>
      <c r="D12771" s="13" t="n">
        <v>46084</v>
      </c>
      <c r="E12771" s="14" t="n">
        <v>4721.53</v>
      </c>
      <c r="F12771" s="14" t="n">
        <v>51341.51</v>
      </c>
      <c r="G12771" s="6" t="s">
        <v>2613</v>
      </c>
    </row>
    <row r="12772" customFormat="false" ht="15" hidden="false" customHeight="true" outlineLevel="0" collapsed="false">
      <c r="A12772" s="6" t="s">
        <v>15384</v>
      </c>
      <c r="B12772" s="6" t="s">
        <v>2547</v>
      </c>
      <c r="C12772" s="6" t="s">
        <v>131</v>
      </c>
      <c r="D12772" s="13" t="n">
        <v>46091</v>
      </c>
      <c r="E12772" s="14" t="n">
        <v>7901.72</v>
      </c>
      <c r="F12772" s="14" t="n">
        <v>59243.23</v>
      </c>
      <c r="G12772" s="6" t="s">
        <v>2613</v>
      </c>
    </row>
    <row r="12773" customFormat="false" ht="15" hidden="false" customHeight="true" outlineLevel="0" collapsed="false">
      <c r="A12773" s="6" t="s">
        <v>15385</v>
      </c>
      <c r="B12773" s="6" t="s">
        <v>2547</v>
      </c>
      <c r="C12773" s="6" t="s">
        <v>131</v>
      </c>
      <c r="D12773" s="13" t="n">
        <v>46098</v>
      </c>
      <c r="E12773" s="14" t="n">
        <v>5575.97</v>
      </c>
      <c r="F12773" s="14" t="n">
        <v>64819.2</v>
      </c>
      <c r="G12773" s="6" t="s">
        <v>2613</v>
      </c>
    </row>
    <row r="12774" customFormat="false" ht="15" hidden="false" customHeight="true" outlineLevel="0" collapsed="false">
      <c r="A12774" s="6" t="s">
        <v>15386</v>
      </c>
      <c r="B12774" s="6" t="s">
        <v>2547</v>
      </c>
      <c r="C12774" s="6" t="s">
        <v>131</v>
      </c>
      <c r="D12774" s="13" t="n">
        <v>46105</v>
      </c>
      <c r="E12774" s="14" t="n">
        <v>10634.35</v>
      </c>
      <c r="F12774" s="14" t="n">
        <v>75453.55</v>
      </c>
      <c r="G12774" s="6" t="s">
        <v>2613</v>
      </c>
    </row>
    <row r="12775" customFormat="false" ht="15" hidden="false" customHeight="true" outlineLevel="0" collapsed="false">
      <c r="A12775" s="6" t="s">
        <v>15387</v>
      </c>
      <c r="B12775" s="6" t="s">
        <v>2549</v>
      </c>
      <c r="C12775" s="6" t="s">
        <v>116</v>
      </c>
      <c r="D12775" s="13" t="n">
        <v>46155</v>
      </c>
      <c r="E12775" s="14" t="n">
        <v>5257.74</v>
      </c>
      <c r="F12775" s="14" t="n">
        <v>5257.74</v>
      </c>
      <c r="G12775" s="6" t="s">
        <v>2613</v>
      </c>
    </row>
    <row r="12776" customFormat="false" ht="15" hidden="false" customHeight="true" outlineLevel="0" collapsed="false">
      <c r="A12776" s="6" t="s">
        <v>15388</v>
      </c>
      <c r="B12776" s="6" t="s">
        <v>2549</v>
      </c>
      <c r="C12776" s="6" t="s">
        <v>116</v>
      </c>
      <c r="D12776" s="13" t="n">
        <v>46162</v>
      </c>
      <c r="E12776" s="14" t="n">
        <v>4653.21</v>
      </c>
      <c r="F12776" s="14" t="n">
        <v>9910.95</v>
      </c>
      <c r="G12776" s="6" t="s">
        <v>2623</v>
      </c>
    </row>
    <row r="12777" customFormat="false" ht="15" hidden="false" customHeight="true" outlineLevel="0" collapsed="false">
      <c r="A12777" s="6" t="s">
        <v>15389</v>
      </c>
      <c r="B12777" s="6" t="s">
        <v>2549</v>
      </c>
      <c r="C12777" s="6" t="s">
        <v>116</v>
      </c>
      <c r="D12777" s="13" t="n">
        <v>46169</v>
      </c>
      <c r="E12777" s="14" t="n">
        <v>4830.43</v>
      </c>
      <c r="F12777" s="14" t="n">
        <v>14741.38</v>
      </c>
      <c r="G12777" s="6" t="s">
        <v>2613</v>
      </c>
    </row>
    <row r="12778" customFormat="false" ht="15" hidden="false" customHeight="true" outlineLevel="0" collapsed="false">
      <c r="A12778" s="6" t="s">
        <v>15390</v>
      </c>
      <c r="B12778" s="6" t="s">
        <v>2549</v>
      </c>
      <c r="C12778" s="6" t="s">
        <v>116</v>
      </c>
      <c r="D12778" s="13" t="n">
        <v>46176</v>
      </c>
      <c r="E12778" s="14" t="n">
        <v>4586.77</v>
      </c>
      <c r="F12778" s="14" t="n">
        <v>19328.15</v>
      </c>
      <c r="G12778" s="6" t="s">
        <v>2623</v>
      </c>
    </row>
    <row r="12779" customFormat="false" ht="15" hidden="false" customHeight="true" outlineLevel="0" collapsed="false">
      <c r="A12779" s="6" t="s">
        <v>15391</v>
      </c>
      <c r="B12779" s="6" t="s">
        <v>2549</v>
      </c>
      <c r="C12779" s="6" t="s">
        <v>116</v>
      </c>
      <c r="D12779" s="13" t="n">
        <v>46183</v>
      </c>
      <c r="E12779" s="14" t="n">
        <v>5259.52</v>
      </c>
      <c r="F12779" s="14" t="n">
        <v>24587.67</v>
      </c>
      <c r="G12779" s="6" t="s">
        <v>2613</v>
      </c>
    </row>
    <row r="12780" customFormat="false" ht="15" hidden="false" customHeight="true" outlineLevel="0" collapsed="false">
      <c r="A12780" s="6" t="s">
        <v>15392</v>
      </c>
      <c r="B12780" s="6" t="s">
        <v>2549</v>
      </c>
      <c r="C12780" s="6" t="s">
        <v>116</v>
      </c>
      <c r="D12780" s="13" t="n">
        <v>46190</v>
      </c>
      <c r="E12780" s="14" t="n">
        <v>5177.56</v>
      </c>
      <c r="F12780" s="14" t="n">
        <v>29765.23</v>
      </c>
      <c r="G12780" s="6" t="s">
        <v>2613</v>
      </c>
    </row>
    <row r="12781" customFormat="false" ht="15" hidden="false" customHeight="true" outlineLevel="0" collapsed="false">
      <c r="A12781" s="6" t="s">
        <v>15393</v>
      </c>
      <c r="B12781" s="6" t="s">
        <v>2549</v>
      </c>
      <c r="C12781" s="6" t="s">
        <v>116</v>
      </c>
      <c r="D12781" s="13" t="n">
        <v>46197</v>
      </c>
      <c r="E12781" s="14" t="n">
        <v>4952.79</v>
      </c>
      <c r="F12781" s="14" t="n">
        <v>34718.02</v>
      </c>
      <c r="G12781" s="6" t="s">
        <v>2613</v>
      </c>
    </row>
    <row r="12782" customFormat="false" ht="15" hidden="false" customHeight="true" outlineLevel="0" collapsed="false">
      <c r="A12782" s="6" t="s">
        <v>15394</v>
      </c>
      <c r="B12782" s="6" t="s">
        <v>2549</v>
      </c>
      <c r="C12782" s="6" t="s">
        <v>116</v>
      </c>
      <c r="D12782" s="13" t="n">
        <v>46204</v>
      </c>
      <c r="E12782" s="14" t="n">
        <v>3913.93</v>
      </c>
      <c r="F12782" s="14" t="n">
        <v>38631.95</v>
      </c>
      <c r="G12782" s="6" t="s">
        <v>2613</v>
      </c>
    </row>
    <row r="12783" customFormat="false" ht="15" hidden="false" customHeight="true" outlineLevel="0" collapsed="false">
      <c r="A12783" s="6" t="s">
        <v>15395</v>
      </c>
      <c r="B12783" s="6" t="s">
        <v>2549</v>
      </c>
      <c r="C12783" s="6" t="s">
        <v>116</v>
      </c>
      <c r="D12783" s="13" t="n">
        <v>46211</v>
      </c>
      <c r="E12783" s="14" t="n">
        <v>4856.09</v>
      </c>
      <c r="F12783" s="14" t="n">
        <v>43488.04</v>
      </c>
      <c r="G12783" s="6" t="s">
        <v>2613</v>
      </c>
    </row>
    <row r="12784" customFormat="false" ht="15" hidden="false" customHeight="true" outlineLevel="0" collapsed="false">
      <c r="A12784" s="6" t="s">
        <v>15396</v>
      </c>
      <c r="B12784" s="6" t="s">
        <v>2549</v>
      </c>
      <c r="C12784" s="6" t="s">
        <v>116</v>
      </c>
      <c r="D12784" s="13" t="n">
        <v>46218</v>
      </c>
      <c r="E12784" s="14" t="n">
        <v>3373.24</v>
      </c>
      <c r="F12784" s="14" t="n">
        <v>46861.28</v>
      </c>
      <c r="G12784" s="6" t="s">
        <v>2613</v>
      </c>
    </row>
    <row r="12785" customFormat="false" ht="15" hidden="false" customHeight="true" outlineLevel="0" collapsed="false">
      <c r="A12785" s="6" t="s">
        <v>15397</v>
      </c>
      <c r="B12785" s="6" t="s">
        <v>2549</v>
      </c>
      <c r="C12785" s="6" t="s">
        <v>116</v>
      </c>
      <c r="D12785" s="13" t="n">
        <v>46225</v>
      </c>
      <c r="E12785" s="14" t="n">
        <v>810.12</v>
      </c>
      <c r="F12785" s="14" t="n">
        <v>47671.4</v>
      </c>
      <c r="G12785" s="6" t="s">
        <v>2613</v>
      </c>
    </row>
    <row r="12786" customFormat="false" ht="15" hidden="false" customHeight="true" outlineLevel="0" collapsed="false">
      <c r="A12786" s="6" t="s">
        <v>15398</v>
      </c>
      <c r="B12786" s="6" t="s">
        <v>2551</v>
      </c>
      <c r="C12786" s="6" t="s">
        <v>112</v>
      </c>
      <c r="D12786" s="13" t="n">
        <v>45167</v>
      </c>
      <c r="E12786" s="14" t="n">
        <v>2704.72</v>
      </c>
      <c r="F12786" s="14" t="n">
        <v>2704.72</v>
      </c>
      <c r="G12786" s="6" t="s">
        <v>2613</v>
      </c>
    </row>
    <row r="12787" customFormat="false" ht="15" hidden="false" customHeight="true" outlineLevel="0" collapsed="false">
      <c r="A12787" s="6" t="s">
        <v>15399</v>
      </c>
      <c r="B12787" s="6" t="s">
        <v>2551</v>
      </c>
      <c r="C12787" s="6" t="s">
        <v>112</v>
      </c>
      <c r="D12787" s="13" t="n">
        <v>45174</v>
      </c>
      <c r="E12787" s="14" t="n">
        <v>3494.2</v>
      </c>
      <c r="F12787" s="14" t="n">
        <v>6198.92</v>
      </c>
      <c r="G12787" s="6" t="s">
        <v>2613</v>
      </c>
    </row>
    <row r="12788" customFormat="false" ht="15" hidden="false" customHeight="true" outlineLevel="0" collapsed="false">
      <c r="A12788" s="6" t="s">
        <v>15400</v>
      </c>
      <c r="B12788" s="6" t="s">
        <v>2551</v>
      </c>
      <c r="C12788" s="6" t="s">
        <v>112</v>
      </c>
      <c r="D12788" s="13" t="n">
        <v>45181</v>
      </c>
      <c r="E12788" s="14" t="n">
        <v>2871.42</v>
      </c>
      <c r="F12788" s="14" t="n">
        <v>9070.34</v>
      </c>
      <c r="G12788" s="6" t="s">
        <v>2613</v>
      </c>
    </row>
    <row r="12789" customFormat="false" ht="15" hidden="false" customHeight="true" outlineLevel="0" collapsed="false">
      <c r="A12789" s="6" t="s">
        <v>15401</v>
      </c>
      <c r="B12789" s="6" t="s">
        <v>2551</v>
      </c>
      <c r="C12789" s="6" t="s">
        <v>112</v>
      </c>
      <c r="D12789" s="13" t="n">
        <v>45188</v>
      </c>
      <c r="E12789" s="14" t="n">
        <v>2011.48</v>
      </c>
      <c r="F12789" s="14" t="n">
        <v>11081.82</v>
      </c>
      <c r="G12789" s="6" t="s">
        <v>2613</v>
      </c>
    </row>
    <row r="12790" customFormat="false" ht="15" hidden="false" customHeight="true" outlineLevel="0" collapsed="false">
      <c r="A12790" s="6" t="s">
        <v>15402</v>
      </c>
      <c r="B12790" s="6" t="s">
        <v>2551</v>
      </c>
      <c r="C12790" s="6" t="s">
        <v>112</v>
      </c>
      <c r="D12790" s="13" t="n">
        <v>45195</v>
      </c>
      <c r="E12790" s="14" t="n">
        <v>3318.83</v>
      </c>
      <c r="F12790" s="14" t="n">
        <v>14400.65</v>
      </c>
      <c r="G12790" s="6" t="s">
        <v>2613</v>
      </c>
    </row>
    <row r="12791" customFormat="false" ht="15" hidden="false" customHeight="true" outlineLevel="0" collapsed="false">
      <c r="A12791" s="6" t="s">
        <v>15403</v>
      </c>
      <c r="B12791" s="6" t="s">
        <v>2551</v>
      </c>
      <c r="C12791" s="6" t="s">
        <v>112</v>
      </c>
      <c r="D12791" s="13" t="n">
        <v>45202</v>
      </c>
      <c r="E12791" s="14" t="n">
        <v>1915.58</v>
      </c>
      <c r="F12791" s="14" t="n">
        <v>16316.23</v>
      </c>
      <c r="G12791" s="6" t="s">
        <v>2613</v>
      </c>
    </row>
    <row r="12792" customFormat="false" ht="15" hidden="false" customHeight="true" outlineLevel="0" collapsed="false">
      <c r="A12792" s="6" t="s">
        <v>15404</v>
      </c>
      <c r="B12792" s="6" t="s">
        <v>2551</v>
      </c>
      <c r="C12792" s="6" t="s">
        <v>112</v>
      </c>
      <c r="D12792" s="13" t="n">
        <v>45209</v>
      </c>
      <c r="E12792" s="14" t="n">
        <v>3237.89</v>
      </c>
      <c r="F12792" s="14" t="n">
        <v>19554.12</v>
      </c>
      <c r="G12792" s="6" t="s">
        <v>2613</v>
      </c>
    </row>
    <row r="12793" customFormat="false" ht="15" hidden="false" customHeight="true" outlineLevel="0" collapsed="false">
      <c r="A12793" s="6" t="s">
        <v>15405</v>
      </c>
      <c r="B12793" s="6" t="s">
        <v>2551</v>
      </c>
      <c r="C12793" s="6" t="s">
        <v>112</v>
      </c>
      <c r="D12793" s="13" t="n">
        <v>45216</v>
      </c>
      <c r="E12793" s="14" t="n">
        <v>1414.69</v>
      </c>
      <c r="F12793" s="14" t="n">
        <v>20968.81</v>
      </c>
      <c r="G12793" s="6" t="s">
        <v>2613</v>
      </c>
    </row>
    <row r="12794" customFormat="false" ht="15" hidden="false" customHeight="true" outlineLevel="0" collapsed="false">
      <c r="A12794" s="6" t="s">
        <v>15406</v>
      </c>
      <c r="B12794" s="6" t="s">
        <v>2553</v>
      </c>
      <c r="C12794" s="6" t="s">
        <v>116</v>
      </c>
      <c r="D12794" s="13" t="n">
        <v>45326</v>
      </c>
      <c r="E12794" s="14" t="n">
        <v>682.23</v>
      </c>
      <c r="F12794" s="14" t="n">
        <v>682.23</v>
      </c>
      <c r="G12794" s="6" t="s">
        <v>2613</v>
      </c>
    </row>
    <row r="12795" customFormat="false" ht="15" hidden="false" customHeight="true" outlineLevel="0" collapsed="false">
      <c r="A12795" s="6" t="s">
        <v>15407</v>
      </c>
      <c r="B12795" s="6" t="s">
        <v>2553</v>
      </c>
      <c r="C12795" s="6" t="s">
        <v>116</v>
      </c>
      <c r="D12795" s="13" t="n">
        <v>45333</v>
      </c>
      <c r="E12795" s="14" t="n">
        <v>731.87</v>
      </c>
      <c r="F12795" s="14" t="n">
        <v>1414.1</v>
      </c>
      <c r="G12795" s="6" t="s">
        <v>2613</v>
      </c>
    </row>
    <row r="12796" customFormat="false" ht="15" hidden="false" customHeight="true" outlineLevel="0" collapsed="false">
      <c r="A12796" s="6" t="s">
        <v>15408</v>
      </c>
      <c r="B12796" s="6" t="s">
        <v>2553</v>
      </c>
      <c r="C12796" s="6" t="s">
        <v>116</v>
      </c>
      <c r="D12796" s="13" t="n">
        <v>45340</v>
      </c>
      <c r="E12796" s="14" t="n">
        <v>836.87</v>
      </c>
      <c r="F12796" s="14" t="n">
        <v>2250.97</v>
      </c>
      <c r="G12796" s="6" t="s">
        <v>2613</v>
      </c>
    </row>
    <row r="12797" customFormat="false" ht="15" hidden="false" customHeight="true" outlineLevel="0" collapsed="false">
      <c r="A12797" s="6" t="s">
        <v>15409</v>
      </c>
      <c r="B12797" s="6" t="s">
        <v>2553</v>
      </c>
      <c r="C12797" s="6" t="s">
        <v>116</v>
      </c>
      <c r="D12797" s="13" t="n">
        <v>45347</v>
      </c>
      <c r="E12797" s="14" t="n">
        <v>481.1</v>
      </c>
      <c r="F12797" s="14" t="n">
        <v>2732.07</v>
      </c>
      <c r="G12797" s="6" t="s">
        <v>2613</v>
      </c>
    </row>
    <row r="12798" customFormat="false" ht="15" hidden="false" customHeight="true" outlineLevel="0" collapsed="false">
      <c r="A12798" s="6" t="s">
        <v>15410</v>
      </c>
      <c r="B12798" s="6" t="s">
        <v>2553</v>
      </c>
      <c r="C12798" s="6" t="s">
        <v>116</v>
      </c>
      <c r="D12798" s="13" t="n">
        <v>45354</v>
      </c>
      <c r="E12798" s="14" t="n">
        <v>462.19</v>
      </c>
      <c r="F12798" s="14" t="n">
        <v>3194.26</v>
      </c>
      <c r="G12798" s="6" t="s">
        <v>2613</v>
      </c>
    </row>
    <row r="12799" customFormat="false" ht="15" hidden="false" customHeight="true" outlineLevel="0" collapsed="false">
      <c r="A12799" s="6" t="s">
        <v>15411</v>
      </c>
      <c r="B12799" s="6" t="s">
        <v>2553</v>
      </c>
      <c r="C12799" s="6" t="s">
        <v>116</v>
      </c>
      <c r="D12799" s="13" t="n">
        <v>45361</v>
      </c>
      <c r="E12799" s="14" t="n">
        <v>699.66</v>
      </c>
      <c r="F12799" s="14" t="n">
        <v>3893.92</v>
      </c>
      <c r="G12799" s="6" t="s">
        <v>2613</v>
      </c>
    </row>
    <row r="12800" customFormat="false" ht="15" hidden="false" customHeight="true" outlineLevel="0" collapsed="false">
      <c r="A12800" s="6" t="s">
        <v>15412</v>
      </c>
      <c r="B12800" s="6" t="s">
        <v>2553</v>
      </c>
      <c r="C12800" s="6" t="s">
        <v>116</v>
      </c>
      <c r="D12800" s="13" t="n">
        <v>45368</v>
      </c>
      <c r="E12800" s="14" t="n">
        <v>864.47</v>
      </c>
      <c r="F12800" s="14" t="n">
        <v>4758.39</v>
      </c>
      <c r="G12800" s="6" t="s">
        <v>2613</v>
      </c>
    </row>
    <row r="12801" customFormat="false" ht="15" hidden="false" customHeight="true" outlineLevel="0" collapsed="false">
      <c r="A12801" s="6" t="s">
        <v>15413</v>
      </c>
      <c r="B12801" s="6" t="s">
        <v>2553</v>
      </c>
      <c r="C12801" s="6" t="s">
        <v>116</v>
      </c>
      <c r="D12801" s="13" t="n">
        <v>45375</v>
      </c>
      <c r="E12801" s="14" t="n">
        <v>539.48</v>
      </c>
      <c r="F12801" s="14" t="n">
        <v>5297.87</v>
      </c>
      <c r="G12801" s="6" t="s">
        <v>2613</v>
      </c>
    </row>
    <row r="12802" customFormat="false" ht="15" hidden="false" customHeight="true" outlineLevel="0" collapsed="false">
      <c r="A12802" s="6" t="s">
        <v>15414</v>
      </c>
      <c r="B12802" s="6" t="s">
        <v>2553</v>
      </c>
      <c r="C12802" s="6" t="s">
        <v>116</v>
      </c>
      <c r="D12802" s="13" t="n">
        <v>45382</v>
      </c>
      <c r="E12802" s="14" t="n">
        <v>849.37</v>
      </c>
      <c r="F12802" s="14" t="n">
        <v>6147.24</v>
      </c>
      <c r="G12802" s="6" t="s">
        <v>2613</v>
      </c>
    </row>
    <row r="12803" customFormat="false" ht="15" hidden="false" customHeight="true" outlineLevel="0" collapsed="false">
      <c r="A12803" s="6" t="s">
        <v>15415</v>
      </c>
      <c r="B12803" s="6" t="s">
        <v>2553</v>
      </c>
      <c r="C12803" s="6" t="s">
        <v>116</v>
      </c>
      <c r="D12803" s="13" t="n">
        <v>45389</v>
      </c>
      <c r="E12803" s="14" t="n">
        <v>634.26</v>
      </c>
      <c r="F12803" s="14" t="n">
        <v>6781.5</v>
      </c>
      <c r="G12803" s="6" t="s">
        <v>2613</v>
      </c>
    </row>
    <row r="12804" customFormat="false" ht="15" hidden="false" customHeight="true" outlineLevel="0" collapsed="false">
      <c r="A12804" s="6" t="s">
        <v>15416</v>
      </c>
      <c r="B12804" s="6" t="s">
        <v>2553</v>
      </c>
      <c r="C12804" s="6" t="s">
        <v>116</v>
      </c>
      <c r="D12804" s="13" t="n">
        <v>45396</v>
      </c>
      <c r="E12804" s="14" t="n">
        <v>617.26</v>
      </c>
      <c r="F12804" s="14" t="n">
        <v>7398.76</v>
      </c>
      <c r="G12804" s="6" t="s">
        <v>2613</v>
      </c>
    </row>
    <row r="12805" customFormat="false" ht="15" hidden="false" customHeight="true" outlineLevel="0" collapsed="false">
      <c r="A12805" s="6" t="s">
        <v>15417</v>
      </c>
      <c r="B12805" s="6" t="s">
        <v>2553</v>
      </c>
      <c r="C12805" s="6" t="s">
        <v>116</v>
      </c>
      <c r="D12805" s="13" t="n">
        <v>45403</v>
      </c>
      <c r="E12805" s="14" t="n">
        <v>682.12</v>
      </c>
      <c r="F12805" s="14" t="n">
        <v>8080.88</v>
      </c>
      <c r="G12805" s="6" t="s">
        <v>2613</v>
      </c>
    </row>
    <row r="12806" customFormat="false" ht="15" hidden="false" customHeight="true" outlineLevel="0" collapsed="false">
      <c r="A12806" s="6" t="s">
        <v>15418</v>
      </c>
      <c r="B12806" s="6" t="s">
        <v>2553</v>
      </c>
      <c r="C12806" s="6" t="s">
        <v>116</v>
      </c>
      <c r="D12806" s="13" t="n">
        <v>45410</v>
      </c>
      <c r="E12806" s="14" t="n">
        <v>794.63</v>
      </c>
      <c r="F12806" s="14" t="n">
        <v>8875.51</v>
      </c>
      <c r="G12806" s="6" t="s">
        <v>2613</v>
      </c>
    </row>
    <row r="12807" customFormat="false" ht="15" hidden="false" customHeight="true" outlineLevel="0" collapsed="false">
      <c r="A12807" s="6" t="s">
        <v>15419</v>
      </c>
      <c r="B12807" s="6" t="s">
        <v>2553</v>
      </c>
      <c r="C12807" s="6" t="s">
        <v>116</v>
      </c>
      <c r="D12807" s="13" t="n">
        <v>45417</v>
      </c>
      <c r="E12807" s="14" t="n">
        <v>673.55</v>
      </c>
      <c r="F12807" s="14" t="n">
        <v>9549.06</v>
      </c>
      <c r="G12807" s="6" t="s">
        <v>2613</v>
      </c>
    </row>
    <row r="12808" customFormat="false" ht="15" hidden="false" customHeight="true" outlineLevel="0" collapsed="false">
      <c r="A12808" s="6" t="s">
        <v>15420</v>
      </c>
      <c r="B12808" s="6" t="s">
        <v>2553</v>
      </c>
      <c r="C12808" s="6" t="s">
        <v>116</v>
      </c>
      <c r="D12808" s="13" t="n">
        <v>45424</v>
      </c>
      <c r="E12808" s="14" t="n">
        <v>397.99</v>
      </c>
      <c r="F12808" s="14" t="n">
        <v>9947.05</v>
      </c>
      <c r="G12808" s="6" t="s">
        <v>2613</v>
      </c>
    </row>
    <row r="12809" customFormat="false" ht="15" hidden="false" customHeight="true" outlineLevel="0" collapsed="false">
      <c r="A12809" s="6" t="s">
        <v>15421</v>
      </c>
      <c r="B12809" s="6" t="s">
        <v>2555</v>
      </c>
      <c r="C12809" s="6" t="s">
        <v>131</v>
      </c>
      <c r="D12809" s="13" t="n">
        <v>45136</v>
      </c>
      <c r="E12809" s="14" t="n">
        <v>4215.54</v>
      </c>
      <c r="F12809" s="14" t="n">
        <v>4215.54</v>
      </c>
      <c r="G12809" s="6" t="s">
        <v>2613</v>
      </c>
    </row>
    <row r="12810" customFormat="false" ht="15" hidden="false" customHeight="true" outlineLevel="0" collapsed="false">
      <c r="A12810" s="6" t="s">
        <v>15422</v>
      </c>
      <c r="B12810" s="6" t="s">
        <v>2555</v>
      </c>
      <c r="C12810" s="6" t="s">
        <v>131</v>
      </c>
      <c r="D12810" s="13" t="n">
        <v>45143</v>
      </c>
      <c r="E12810" s="14" t="n">
        <v>2639.37</v>
      </c>
      <c r="F12810" s="14" t="n">
        <v>6854.91</v>
      </c>
      <c r="G12810" s="6" t="s">
        <v>2613</v>
      </c>
    </row>
    <row r="12811" customFormat="false" ht="15" hidden="false" customHeight="true" outlineLevel="0" collapsed="false">
      <c r="A12811" s="6" t="s">
        <v>15423</v>
      </c>
      <c r="B12811" s="6" t="s">
        <v>2555</v>
      </c>
      <c r="C12811" s="6" t="s">
        <v>131</v>
      </c>
      <c r="D12811" s="13" t="n">
        <v>45150</v>
      </c>
      <c r="E12811" s="14" t="n">
        <v>3012.55</v>
      </c>
      <c r="F12811" s="14" t="n">
        <v>9867.46</v>
      </c>
      <c r="G12811" s="6" t="s">
        <v>2613</v>
      </c>
    </row>
    <row r="12812" customFormat="false" ht="15" hidden="false" customHeight="true" outlineLevel="0" collapsed="false">
      <c r="A12812" s="6" t="s">
        <v>15424</v>
      </c>
      <c r="B12812" s="6" t="s">
        <v>2555</v>
      </c>
      <c r="C12812" s="6" t="s">
        <v>131</v>
      </c>
      <c r="D12812" s="13" t="n">
        <v>45157</v>
      </c>
      <c r="E12812" s="14" t="n">
        <v>4442.48</v>
      </c>
      <c r="F12812" s="14" t="n">
        <v>14309.94</v>
      </c>
      <c r="G12812" s="6" t="s">
        <v>2613</v>
      </c>
    </row>
    <row r="12813" customFormat="false" ht="15" hidden="false" customHeight="true" outlineLevel="0" collapsed="false">
      <c r="A12813" s="6" t="s">
        <v>15425</v>
      </c>
      <c r="B12813" s="6" t="s">
        <v>2555</v>
      </c>
      <c r="C12813" s="6" t="s">
        <v>131</v>
      </c>
      <c r="D12813" s="13" t="n">
        <v>45164</v>
      </c>
      <c r="E12813" s="14" t="n">
        <v>2479.7</v>
      </c>
      <c r="F12813" s="14" t="n">
        <v>16789.64</v>
      </c>
      <c r="G12813" s="6" t="s">
        <v>2613</v>
      </c>
    </row>
    <row r="12814" customFormat="false" ht="15" hidden="false" customHeight="true" outlineLevel="0" collapsed="false">
      <c r="A12814" s="6" t="s">
        <v>15426</v>
      </c>
      <c r="B12814" s="6" t="s">
        <v>2555</v>
      </c>
      <c r="C12814" s="6" t="s">
        <v>131</v>
      </c>
      <c r="D12814" s="13" t="n">
        <v>45171</v>
      </c>
      <c r="E12814" s="14" t="n">
        <v>4041.84</v>
      </c>
      <c r="F12814" s="14" t="n">
        <v>20831.48</v>
      </c>
      <c r="G12814" s="6" t="s">
        <v>2623</v>
      </c>
    </row>
    <row r="12815" customFormat="false" ht="15" hidden="false" customHeight="true" outlineLevel="0" collapsed="false">
      <c r="A12815" s="6" t="s">
        <v>15427</v>
      </c>
      <c r="B12815" s="6" t="s">
        <v>2555</v>
      </c>
      <c r="C12815" s="6" t="s">
        <v>131</v>
      </c>
      <c r="D12815" s="13" t="n">
        <v>45178</v>
      </c>
      <c r="E12815" s="14" t="n">
        <v>3167.16</v>
      </c>
      <c r="F12815" s="14" t="n">
        <v>23998.64</v>
      </c>
      <c r="G12815" s="6" t="s">
        <v>2613</v>
      </c>
    </row>
    <row r="12816" customFormat="false" ht="15" hidden="false" customHeight="true" outlineLevel="0" collapsed="false">
      <c r="A12816" s="6" t="s">
        <v>15428</v>
      </c>
      <c r="B12816" s="6" t="s">
        <v>2555</v>
      </c>
      <c r="C12816" s="6" t="s">
        <v>131</v>
      </c>
      <c r="D12816" s="13" t="n">
        <v>45185</v>
      </c>
      <c r="E12816" s="14" t="n">
        <v>2314.71</v>
      </c>
      <c r="F12816" s="14" t="n">
        <v>26313.35</v>
      </c>
      <c r="G12816" s="6" t="s">
        <v>2613</v>
      </c>
    </row>
    <row r="12817" customFormat="false" ht="15" hidden="false" customHeight="true" outlineLevel="0" collapsed="false">
      <c r="A12817" s="6" t="s">
        <v>15429</v>
      </c>
      <c r="B12817" s="6" t="s">
        <v>2555</v>
      </c>
      <c r="C12817" s="6" t="s">
        <v>131</v>
      </c>
      <c r="D12817" s="13" t="n">
        <v>45192</v>
      </c>
      <c r="E12817" s="14" t="n">
        <v>3594.76</v>
      </c>
      <c r="F12817" s="14" t="n">
        <v>29908.11</v>
      </c>
      <c r="G12817" s="6" t="s">
        <v>2613</v>
      </c>
    </row>
    <row r="12818" customFormat="false" ht="15" hidden="false" customHeight="true" outlineLevel="0" collapsed="false">
      <c r="A12818" s="6" t="s">
        <v>15430</v>
      </c>
      <c r="B12818" s="6" t="s">
        <v>2555</v>
      </c>
      <c r="C12818" s="6" t="s">
        <v>131</v>
      </c>
      <c r="D12818" s="13" t="n">
        <v>45199</v>
      </c>
      <c r="E12818" s="14" t="n">
        <v>4546.01</v>
      </c>
      <c r="F12818" s="14" t="n">
        <v>34454.12</v>
      </c>
      <c r="G12818" s="6" t="s">
        <v>2613</v>
      </c>
    </row>
    <row r="12819" customFormat="false" ht="15" hidden="false" customHeight="true" outlineLevel="0" collapsed="false">
      <c r="A12819" s="6" t="s">
        <v>15431</v>
      </c>
      <c r="B12819" s="6" t="s">
        <v>2555</v>
      </c>
      <c r="C12819" s="6" t="s">
        <v>131</v>
      </c>
      <c r="D12819" s="13" t="n">
        <v>45206</v>
      </c>
      <c r="E12819" s="14" t="n">
        <v>4200.53</v>
      </c>
      <c r="F12819" s="14" t="n">
        <v>38654.65</v>
      </c>
      <c r="G12819" s="6" t="s">
        <v>2613</v>
      </c>
    </row>
    <row r="12820" customFormat="false" ht="15" hidden="false" customHeight="true" outlineLevel="0" collapsed="false">
      <c r="A12820" s="6" t="s">
        <v>15432</v>
      </c>
      <c r="B12820" s="6" t="s">
        <v>2555</v>
      </c>
      <c r="C12820" s="6" t="s">
        <v>131</v>
      </c>
      <c r="D12820" s="13" t="n">
        <v>45213</v>
      </c>
      <c r="E12820" s="14" t="n">
        <v>4723.08</v>
      </c>
      <c r="F12820" s="14" t="n">
        <v>43377.73</v>
      </c>
      <c r="G12820" s="6" t="s">
        <v>2613</v>
      </c>
    </row>
    <row r="12821" customFormat="false" ht="15" hidden="false" customHeight="true" outlineLevel="0" collapsed="false">
      <c r="A12821" s="6" t="s">
        <v>15433</v>
      </c>
      <c r="B12821" s="6" t="s">
        <v>2555</v>
      </c>
      <c r="C12821" s="6" t="s">
        <v>131</v>
      </c>
      <c r="D12821" s="13" t="n">
        <v>45220</v>
      </c>
      <c r="E12821" s="14" t="n">
        <v>3009.29</v>
      </c>
      <c r="F12821" s="14" t="n">
        <v>46387.02</v>
      </c>
      <c r="G12821" s="6" t="s">
        <v>2613</v>
      </c>
    </row>
    <row r="12822" customFormat="false" ht="15" hidden="false" customHeight="true" outlineLevel="0" collapsed="false">
      <c r="A12822" s="6" t="s">
        <v>15434</v>
      </c>
      <c r="B12822" s="6" t="s">
        <v>2555</v>
      </c>
      <c r="C12822" s="6" t="s">
        <v>131</v>
      </c>
      <c r="D12822" s="13" t="n">
        <v>45227</v>
      </c>
      <c r="E12822" s="14" t="n">
        <v>2637.61</v>
      </c>
      <c r="F12822" s="14" t="n">
        <v>49024.63</v>
      </c>
      <c r="G12822" s="6" t="s">
        <v>2613</v>
      </c>
    </row>
    <row r="12823" customFormat="false" ht="15" hidden="false" customHeight="true" outlineLevel="0" collapsed="false">
      <c r="A12823" s="6" t="s">
        <v>15435</v>
      </c>
      <c r="B12823" s="6" t="s">
        <v>2555</v>
      </c>
      <c r="C12823" s="6" t="s">
        <v>131</v>
      </c>
      <c r="D12823" s="13" t="n">
        <v>45234</v>
      </c>
      <c r="E12823" s="14" t="n">
        <v>1756.83</v>
      </c>
      <c r="F12823" s="14" t="n">
        <v>50781.46</v>
      </c>
      <c r="G12823" s="6" t="s">
        <v>2623</v>
      </c>
    </row>
    <row r="12824" customFormat="false" ht="15" hidden="false" customHeight="true" outlineLevel="0" collapsed="false">
      <c r="A12824" s="6" t="s">
        <v>15436</v>
      </c>
      <c r="B12824" s="6" t="s">
        <v>2557</v>
      </c>
      <c r="C12824" s="6" t="s">
        <v>131</v>
      </c>
      <c r="D12824" s="13" t="n">
        <v>44699</v>
      </c>
      <c r="E12824" s="14" t="n">
        <v>4973.87</v>
      </c>
      <c r="F12824" s="14" t="n">
        <v>4973.87</v>
      </c>
      <c r="G12824" s="6" t="s">
        <v>2613</v>
      </c>
    </row>
    <row r="12825" customFormat="false" ht="15" hidden="false" customHeight="true" outlineLevel="0" collapsed="false">
      <c r="A12825" s="6" t="s">
        <v>15437</v>
      </c>
      <c r="B12825" s="6" t="s">
        <v>2557</v>
      </c>
      <c r="C12825" s="6" t="s">
        <v>131</v>
      </c>
      <c r="D12825" s="13" t="n">
        <v>44706</v>
      </c>
      <c r="E12825" s="14" t="n">
        <v>6540.08</v>
      </c>
      <c r="F12825" s="14" t="n">
        <v>11513.95</v>
      </c>
      <c r="G12825" s="6" t="s">
        <v>2623</v>
      </c>
    </row>
    <row r="12826" customFormat="false" ht="15" hidden="false" customHeight="true" outlineLevel="0" collapsed="false">
      <c r="A12826" s="6" t="s">
        <v>15438</v>
      </c>
      <c r="B12826" s="6" t="s">
        <v>2557</v>
      </c>
      <c r="C12826" s="6" t="s">
        <v>131</v>
      </c>
      <c r="D12826" s="13" t="n">
        <v>44713</v>
      </c>
      <c r="E12826" s="14" t="n">
        <v>5078.62</v>
      </c>
      <c r="F12826" s="14" t="n">
        <v>16592.57</v>
      </c>
      <c r="G12826" s="6" t="s">
        <v>2623</v>
      </c>
    </row>
    <row r="12827" customFormat="false" ht="15" hidden="false" customHeight="true" outlineLevel="0" collapsed="false">
      <c r="A12827" s="6" t="s">
        <v>15439</v>
      </c>
      <c r="B12827" s="6" t="s">
        <v>2557</v>
      </c>
      <c r="C12827" s="6" t="s">
        <v>131</v>
      </c>
      <c r="D12827" s="13" t="n">
        <v>44720</v>
      </c>
      <c r="E12827" s="14" t="n">
        <v>4536.01</v>
      </c>
      <c r="F12827" s="14" t="n">
        <v>21128.58</v>
      </c>
      <c r="G12827" s="6" t="s">
        <v>2623</v>
      </c>
    </row>
    <row r="12828" customFormat="false" ht="15" hidden="false" customHeight="true" outlineLevel="0" collapsed="false">
      <c r="A12828" s="6" t="s">
        <v>15440</v>
      </c>
      <c r="B12828" s="6" t="s">
        <v>2557</v>
      </c>
      <c r="C12828" s="6" t="s">
        <v>131</v>
      </c>
      <c r="D12828" s="13" t="n">
        <v>44727</v>
      </c>
      <c r="E12828" s="14" t="n">
        <v>7352.23</v>
      </c>
      <c r="F12828" s="14" t="n">
        <v>28480.81</v>
      </c>
      <c r="G12828" s="6" t="s">
        <v>2613</v>
      </c>
    </row>
    <row r="12829" customFormat="false" ht="15" hidden="false" customHeight="true" outlineLevel="0" collapsed="false">
      <c r="A12829" s="6" t="s">
        <v>15441</v>
      </c>
      <c r="B12829" s="6" t="s">
        <v>2557</v>
      </c>
      <c r="C12829" s="6" t="s">
        <v>131</v>
      </c>
      <c r="D12829" s="13" t="n">
        <v>44734</v>
      </c>
      <c r="E12829" s="14" t="n">
        <v>8319.02</v>
      </c>
      <c r="F12829" s="14" t="n">
        <v>36799.83</v>
      </c>
      <c r="G12829" s="6" t="s">
        <v>2613</v>
      </c>
    </row>
    <row r="12830" customFormat="false" ht="15" hidden="false" customHeight="true" outlineLevel="0" collapsed="false">
      <c r="A12830" s="6" t="s">
        <v>15442</v>
      </c>
      <c r="B12830" s="6" t="s">
        <v>2557</v>
      </c>
      <c r="C12830" s="6" t="s">
        <v>131</v>
      </c>
      <c r="D12830" s="13" t="n">
        <v>44741</v>
      </c>
      <c r="E12830" s="14" t="n">
        <v>6516.53</v>
      </c>
      <c r="F12830" s="14" t="n">
        <v>43316.36</v>
      </c>
      <c r="G12830" s="6" t="s">
        <v>2613</v>
      </c>
    </row>
    <row r="12831" customFormat="false" ht="15" hidden="false" customHeight="true" outlineLevel="0" collapsed="false">
      <c r="A12831" s="6" t="s">
        <v>15443</v>
      </c>
      <c r="B12831" s="6" t="s">
        <v>2557</v>
      </c>
      <c r="C12831" s="6" t="s">
        <v>131</v>
      </c>
      <c r="D12831" s="13" t="n">
        <v>44748</v>
      </c>
      <c r="E12831" s="14" t="n">
        <v>7488.19</v>
      </c>
      <c r="F12831" s="14" t="n">
        <v>50804.55</v>
      </c>
      <c r="G12831" s="6" t="s">
        <v>2613</v>
      </c>
    </row>
    <row r="12832" customFormat="false" ht="15" hidden="false" customHeight="true" outlineLevel="0" collapsed="false">
      <c r="A12832" s="6" t="s">
        <v>15444</v>
      </c>
      <c r="B12832" s="6" t="s">
        <v>2557</v>
      </c>
      <c r="C12832" s="6" t="s">
        <v>131</v>
      </c>
      <c r="D12832" s="13" t="n">
        <v>44755</v>
      </c>
      <c r="E12832" s="14" t="n">
        <v>9528.5</v>
      </c>
      <c r="F12832" s="14" t="n">
        <v>60333.05</v>
      </c>
      <c r="G12832" s="6" t="s">
        <v>2613</v>
      </c>
    </row>
    <row r="12833" customFormat="false" ht="15" hidden="false" customHeight="true" outlineLevel="0" collapsed="false">
      <c r="A12833" s="6" t="s">
        <v>15445</v>
      </c>
      <c r="B12833" s="6" t="s">
        <v>2557</v>
      </c>
      <c r="C12833" s="6" t="s">
        <v>131</v>
      </c>
      <c r="D12833" s="13" t="n">
        <v>44762</v>
      </c>
      <c r="E12833" s="14" t="n">
        <v>8940.41</v>
      </c>
      <c r="F12833" s="14" t="n">
        <v>69273.46</v>
      </c>
      <c r="G12833" s="6" t="s">
        <v>2613</v>
      </c>
    </row>
    <row r="12834" customFormat="false" ht="15" hidden="false" customHeight="true" outlineLevel="0" collapsed="false">
      <c r="A12834" s="6" t="s">
        <v>15446</v>
      </c>
      <c r="B12834" s="6" t="s">
        <v>2557</v>
      </c>
      <c r="C12834" s="6" t="s">
        <v>131</v>
      </c>
      <c r="D12834" s="13" t="n">
        <v>44769</v>
      </c>
      <c r="E12834" s="14" t="n">
        <v>8163.5</v>
      </c>
      <c r="F12834" s="14" t="n">
        <v>77436.96</v>
      </c>
      <c r="G12834" s="6" t="s">
        <v>2613</v>
      </c>
    </row>
    <row r="12835" customFormat="false" ht="15" hidden="false" customHeight="true" outlineLevel="0" collapsed="false">
      <c r="A12835" s="6" t="s">
        <v>15447</v>
      </c>
      <c r="B12835" s="6" t="s">
        <v>2557</v>
      </c>
      <c r="C12835" s="6" t="s">
        <v>131</v>
      </c>
      <c r="D12835" s="13" t="n">
        <v>44776</v>
      </c>
      <c r="E12835" s="14" t="n">
        <v>5754.23</v>
      </c>
      <c r="F12835" s="14" t="n">
        <v>83191.19</v>
      </c>
      <c r="G12835" s="6" t="s">
        <v>2613</v>
      </c>
    </row>
    <row r="12836" customFormat="false" ht="15" hidden="false" customHeight="true" outlineLevel="0" collapsed="false">
      <c r="A12836" s="6" t="s">
        <v>15448</v>
      </c>
      <c r="B12836" s="6" t="s">
        <v>2557</v>
      </c>
      <c r="C12836" s="6" t="s">
        <v>131</v>
      </c>
      <c r="D12836" s="13" t="n">
        <v>44783</v>
      </c>
      <c r="E12836" s="14" t="n">
        <v>12486.4</v>
      </c>
      <c r="F12836" s="14" t="n">
        <v>95677.59</v>
      </c>
      <c r="G12836" s="6" t="s">
        <v>2623</v>
      </c>
    </row>
    <row r="12837" customFormat="false" ht="15" hidden="false" customHeight="true" outlineLevel="0" collapsed="false">
      <c r="A12837" s="6" t="s">
        <v>15449</v>
      </c>
      <c r="B12837" s="6" t="s">
        <v>2559</v>
      </c>
      <c r="C12837" s="6" t="s">
        <v>131</v>
      </c>
      <c r="D12837" s="13" t="n">
        <v>44918</v>
      </c>
      <c r="E12837" s="14" t="n">
        <v>1060.38</v>
      </c>
      <c r="F12837" s="14" t="n">
        <v>1060.38</v>
      </c>
      <c r="G12837" s="6" t="s">
        <v>2613</v>
      </c>
    </row>
    <row r="12838" customFormat="false" ht="15" hidden="false" customHeight="true" outlineLevel="0" collapsed="false">
      <c r="A12838" s="6" t="s">
        <v>15450</v>
      </c>
      <c r="B12838" s="6" t="s">
        <v>2559</v>
      </c>
      <c r="C12838" s="6" t="s">
        <v>131</v>
      </c>
      <c r="D12838" s="13" t="n">
        <v>44925</v>
      </c>
      <c r="E12838" s="14" t="n">
        <v>734.17</v>
      </c>
      <c r="F12838" s="14" t="n">
        <v>1794.55</v>
      </c>
      <c r="G12838" s="6" t="s">
        <v>2613</v>
      </c>
    </row>
    <row r="12839" customFormat="false" ht="15" hidden="false" customHeight="true" outlineLevel="0" collapsed="false">
      <c r="A12839" s="6" t="s">
        <v>15451</v>
      </c>
      <c r="B12839" s="6" t="s">
        <v>2559</v>
      </c>
      <c r="C12839" s="6" t="s">
        <v>131</v>
      </c>
      <c r="D12839" s="13" t="n">
        <v>44932</v>
      </c>
      <c r="E12839" s="14" t="n">
        <v>1364.15</v>
      </c>
      <c r="F12839" s="14" t="n">
        <v>3158.7</v>
      </c>
      <c r="G12839" s="6" t="s">
        <v>2613</v>
      </c>
    </row>
    <row r="12840" customFormat="false" ht="15" hidden="false" customHeight="true" outlineLevel="0" collapsed="false">
      <c r="A12840" s="6" t="s">
        <v>15452</v>
      </c>
      <c r="B12840" s="6" t="s">
        <v>2559</v>
      </c>
      <c r="C12840" s="6" t="s">
        <v>131</v>
      </c>
      <c r="D12840" s="13" t="n">
        <v>44939</v>
      </c>
      <c r="E12840" s="14" t="n">
        <v>1273.96</v>
      </c>
      <c r="F12840" s="14" t="n">
        <v>4432.66</v>
      </c>
      <c r="G12840" s="6" t="s">
        <v>2613</v>
      </c>
    </row>
    <row r="12841" customFormat="false" ht="15" hidden="false" customHeight="true" outlineLevel="0" collapsed="false">
      <c r="A12841" s="6" t="s">
        <v>15453</v>
      </c>
      <c r="B12841" s="6" t="s">
        <v>2559</v>
      </c>
      <c r="C12841" s="6" t="s">
        <v>131</v>
      </c>
      <c r="D12841" s="13" t="n">
        <v>44946</v>
      </c>
      <c r="E12841" s="14" t="n">
        <v>567.05</v>
      </c>
      <c r="F12841" s="14" t="n">
        <v>4999.71</v>
      </c>
      <c r="G12841" s="6" t="s">
        <v>2613</v>
      </c>
    </row>
    <row r="12842" customFormat="false" ht="15" hidden="false" customHeight="true" outlineLevel="0" collapsed="false">
      <c r="A12842" s="6" t="s">
        <v>15454</v>
      </c>
      <c r="B12842" s="6" t="s">
        <v>2561</v>
      </c>
      <c r="C12842" s="6" t="s">
        <v>124</v>
      </c>
      <c r="D12842" s="13" t="n">
        <v>45913</v>
      </c>
      <c r="E12842" s="14" t="n">
        <v>1364.78</v>
      </c>
      <c r="F12842" s="14" t="n">
        <v>1364.78</v>
      </c>
      <c r="G12842" s="6" t="s">
        <v>2613</v>
      </c>
    </row>
    <row r="12843" customFormat="false" ht="15" hidden="false" customHeight="true" outlineLevel="0" collapsed="false">
      <c r="A12843" s="6" t="s">
        <v>15455</v>
      </c>
      <c r="B12843" s="6" t="s">
        <v>2561</v>
      </c>
      <c r="C12843" s="6" t="s">
        <v>124</v>
      </c>
      <c r="D12843" s="13" t="n">
        <v>45920</v>
      </c>
      <c r="E12843" s="14" t="n">
        <v>1070.04</v>
      </c>
      <c r="F12843" s="14" t="n">
        <v>2434.82</v>
      </c>
      <c r="G12843" s="6" t="s">
        <v>2613</v>
      </c>
    </row>
    <row r="12844" customFormat="false" ht="15" hidden="false" customHeight="true" outlineLevel="0" collapsed="false">
      <c r="A12844" s="6" t="s">
        <v>15456</v>
      </c>
      <c r="B12844" s="6" t="s">
        <v>2561</v>
      </c>
      <c r="C12844" s="6" t="s">
        <v>124</v>
      </c>
      <c r="D12844" s="13" t="n">
        <v>45927</v>
      </c>
      <c r="E12844" s="14" t="n">
        <v>1010.12</v>
      </c>
      <c r="F12844" s="14" t="n">
        <v>3444.94</v>
      </c>
      <c r="G12844" s="6" t="s">
        <v>2613</v>
      </c>
    </row>
    <row r="12845" customFormat="false" ht="15" hidden="false" customHeight="true" outlineLevel="0" collapsed="false">
      <c r="A12845" s="6" t="s">
        <v>15457</v>
      </c>
      <c r="B12845" s="6" t="s">
        <v>2561</v>
      </c>
      <c r="C12845" s="6" t="s">
        <v>124</v>
      </c>
      <c r="D12845" s="13" t="n">
        <v>45934</v>
      </c>
      <c r="E12845" s="14" t="n">
        <v>1573.27</v>
      </c>
      <c r="F12845" s="14" t="n">
        <v>5018.21</v>
      </c>
      <c r="G12845" s="6" t="s">
        <v>2613</v>
      </c>
    </row>
    <row r="12846" customFormat="false" ht="15" hidden="false" customHeight="true" outlineLevel="0" collapsed="false">
      <c r="A12846" s="6" t="s">
        <v>15458</v>
      </c>
      <c r="B12846" s="6" t="s">
        <v>2561</v>
      </c>
      <c r="C12846" s="6" t="s">
        <v>124</v>
      </c>
      <c r="D12846" s="13" t="n">
        <v>45941</v>
      </c>
      <c r="E12846" s="14" t="n">
        <v>1355.83</v>
      </c>
      <c r="F12846" s="14" t="n">
        <v>6374.04</v>
      </c>
      <c r="G12846" s="6" t="s">
        <v>2613</v>
      </c>
    </row>
    <row r="12847" customFormat="false" ht="15" hidden="false" customHeight="true" outlineLevel="0" collapsed="false">
      <c r="A12847" s="6" t="s">
        <v>15459</v>
      </c>
      <c r="B12847" s="6" t="s">
        <v>2561</v>
      </c>
      <c r="C12847" s="6" t="s">
        <v>124</v>
      </c>
      <c r="D12847" s="13" t="n">
        <v>45948</v>
      </c>
      <c r="E12847" s="14" t="n">
        <v>1422.47</v>
      </c>
      <c r="F12847" s="14" t="n">
        <v>7796.51</v>
      </c>
      <c r="G12847" s="6" t="s">
        <v>2613</v>
      </c>
    </row>
    <row r="12848" customFormat="false" ht="15" hidden="false" customHeight="true" outlineLevel="0" collapsed="false">
      <c r="A12848" s="6" t="s">
        <v>15460</v>
      </c>
      <c r="B12848" s="6" t="s">
        <v>2561</v>
      </c>
      <c r="C12848" s="6" t="s">
        <v>124</v>
      </c>
      <c r="D12848" s="13" t="n">
        <v>45955</v>
      </c>
      <c r="E12848" s="14" t="n">
        <v>1441.41</v>
      </c>
      <c r="F12848" s="14" t="n">
        <v>9237.92</v>
      </c>
      <c r="G12848" s="6" t="s">
        <v>2613</v>
      </c>
    </row>
    <row r="12849" customFormat="false" ht="15" hidden="false" customHeight="true" outlineLevel="0" collapsed="false">
      <c r="A12849" s="6" t="s">
        <v>15461</v>
      </c>
      <c r="B12849" s="6" t="s">
        <v>2561</v>
      </c>
      <c r="C12849" s="6" t="s">
        <v>124</v>
      </c>
      <c r="D12849" s="13" t="n">
        <v>45962</v>
      </c>
      <c r="E12849" s="14" t="n">
        <v>1523.36</v>
      </c>
      <c r="F12849" s="14" t="n">
        <v>10761.28</v>
      </c>
      <c r="G12849" s="6" t="s">
        <v>2613</v>
      </c>
    </row>
    <row r="12850" customFormat="false" ht="15" hidden="false" customHeight="true" outlineLevel="0" collapsed="false">
      <c r="A12850" s="6" t="s">
        <v>15462</v>
      </c>
      <c r="B12850" s="6" t="s">
        <v>2561</v>
      </c>
      <c r="C12850" s="6" t="s">
        <v>124</v>
      </c>
      <c r="D12850" s="13" t="n">
        <v>45969</v>
      </c>
      <c r="E12850" s="14" t="n">
        <v>934.16</v>
      </c>
      <c r="F12850" s="14" t="n">
        <v>11695.44</v>
      </c>
      <c r="G12850" s="6" t="s">
        <v>2613</v>
      </c>
    </row>
    <row r="12851" customFormat="false" ht="15" hidden="false" customHeight="true" outlineLevel="0" collapsed="false">
      <c r="A12851" s="6" t="s">
        <v>15463</v>
      </c>
      <c r="B12851" s="6" t="s">
        <v>2561</v>
      </c>
      <c r="C12851" s="6" t="s">
        <v>124</v>
      </c>
      <c r="D12851" s="13" t="n">
        <v>45976</v>
      </c>
      <c r="E12851" s="14" t="n">
        <v>961.09</v>
      </c>
      <c r="F12851" s="14" t="n">
        <v>12656.53</v>
      </c>
      <c r="G12851" s="6" t="s">
        <v>2613</v>
      </c>
    </row>
    <row r="12852" customFormat="false" ht="15" hidden="false" customHeight="true" outlineLevel="0" collapsed="false">
      <c r="A12852" s="6" t="s">
        <v>15464</v>
      </c>
      <c r="B12852" s="6" t="s">
        <v>2561</v>
      </c>
      <c r="C12852" s="6" t="s">
        <v>124</v>
      </c>
      <c r="D12852" s="13" t="n">
        <v>45983</v>
      </c>
      <c r="E12852" s="14" t="n">
        <v>1731.32</v>
      </c>
      <c r="F12852" s="14" t="n">
        <v>14387.85</v>
      </c>
      <c r="G12852" s="6" t="s">
        <v>2613</v>
      </c>
    </row>
    <row r="12853" customFormat="false" ht="15" hidden="false" customHeight="true" outlineLevel="0" collapsed="false">
      <c r="A12853" s="6" t="s">
        <v>15465</v>
      </c>
      <c r="B12853" s="6" t="s">
        <v>2561</v>
      </c>
      <c r="C12853" s="6" t="s">
        <v>124</v>
      </c>
      <c r="D12853" s="13" t="n">
        <v>45990</v>
      </c>
      <c r="E12853" s="14" t="n">
        <v>1479.79</v>
      </c>
      <c r="F12853" s="14" t="n">
        <v>15867.64</v>
      </c>
      <c r="G12853" s="6" t="s">
        <v>2613</v>
      </c>
    </row>
    <row r="12854" customFormat="false" ht="15" hidden="false" customHeight="true" outlineLevel="0" collapsed="false">
      <c r="A12854" s="6" t="s">
        <v>15466</v>
      </c>
      <c r="B12854" s="6" t="s">
        <v>2561</v>
      </c>
      <c r="C12854" s="6" t="s">
        <v>124</v>
      </c>
      <c r="D12854" s="13" t="n">
        <v>45997</v>
      </c>
      <c r="E12854" s="14" t="n">
        <v>1254.37</v>
      </c>
      <c r="F12854" s="14" t="n">
        <v>17122.01</v>
      </c>
      <c r="G12854" s="6" t="s">
        <v>2613</v>
      </c>
    </row>
    <row r="12855" customFormat="false" ht="15" hidden="false" customHeight="true" outlineLevel="0" collapsed="false">
      <c r="A12855" s="6" t="s">
        <v>15467</v>
      </c>
      <c r="B12855" s="6" t="s">
        <v>2561</v>
      </c>
      <c r="C12855" s="6" t="s">
        <v>124</v>
      </c>
      <c r="D12855" s="13" t="n">
        <v>46004</v>
      </c>
      <c r="E12855" s="14" t="n">
        <v>535.72</v>
      </c>
      <c r="F12855" s="14" t="n">
        <v>17657.73</v>
      </c>
      <c r="G12855" s="6" t="s">
        <v>2623</v>
      </c>
    </row>
    <row r="12856" customFormat="false" ht="15" hidden="false" customHeight="true" outlineLevel="0" collapsed="false">
      <c r="A12856" s="6" t="s">
        <v>15468</v>
      </c>
      <c r="B12856" s="6" t="s">
        <v>2563</v>
      </c>
      <c r="C12856" s="6" t="s">
        <v>120</v>
      </c>
      <c r="D12856" s="13" t="n">
        <v>44750</v>
      </c>
      <c r="E12856" s="14" t="n">
        <v>3404.18</v>
      </c>
      <c r="F12856" s="14" t="n">
        <v>3404.18</v>
      </c>
      <c r="G12856" s="6" t="s">
        <v>2613</v>
      </c>
    </row>
    <row r="12857" customFormat="false" ht="15" hidden="false" customHeight="true" outlineLevel="0" collapsed="false">
      <c r="A12857" s="6" t="s">
        <v>15469</v>
      </c>
      <c r="B12857" s="6" t="s">
        <v>2563</v>
      </c>
      <c r="C12857" s="6" t="s">
        <v>120</v>
      </c>
      <c r="D12857" s="13" t="n">
        <v>44757</v>
      </c>
      <c r="E12857" s="14" t="n">
        <v>6119.23</v>
      </c>
      <c r="F12857" s="14" t="n">
        <v>9523.41</v>
      </c>
      <c r="G12857" s="6" t="s">
        <v>2613</v>
      </c>
    </row>
    <row r="12858" customFormat="false" ht="15" hidden="false" customHeight="true" outlineLevel="0" collapsed="false">
      <c r="A12858" s="6" t="s">
        <v>15470</v>
      </c>
      <c r="B12858" s="6" t="s">
        <v>2563</v>
      </c>
      <c r="C12858" s="6" t="s">
        <v>120</v>
      </c>
      <c r="D12858" s="13" t="n">
        <v>44764</v>
      </c>
      <c r="E12858" s="14" t="n">
        <v>3840.6</v>
      </c>
      <c r="F12858" s="14" t="n">
        <v>13364.01</v>
      </c>
      <c r="G12858" s="6" t="s">
        <v>2623</v>
      </c>
    </row>
    <row r="12859" customFormat="false" ht="15" hidden="false" customHeight="true" outlineLevel="0" collapsed="false">
      <c r="A12859" s="6" t="s">
        <v>15471</v>
      </c>
      <c r="B12859" s="6" t="s">
        <v>2563</v>
      </c>
      <c r="C12859" s="6" t="s">
        <v>120</v>
      </c>
      <c r="D12859" s="13" t="n">
        <v>44771</v>
      </c>
      <c r="E12859" s="14" t="n">
        <v>4819.95</v>
      </c>
      <c r="F12859" s="14" t="n">
        <v>18183.96</v>
      </c>
      <c r="G12859" s="6" t="s">
        <v>2613</v>
      </c>
    </row>
    <row r="12860" customFormat="false" ht="15" hidden="false" customHeight="true" outlineLevel="0" collapsed="false">
      <c r="A12860" s="6" t="s">
        <v>15472</v>
      </c>
      <c r="B12860" s="6" t="s">
        <v>2563</v>
      </c>
      <c r="C12860" s="6" t="s">
        <v>120</v>
      </c>
      <c r="D12860" s="13" t="n">
        <v>44778</v>
      </c>
      <c r="E12860" s="14" t="n">
        <v>9075.03</v>
      </c>
      <c r="F12860" s="14" t="n">
        <v>27258.99</v>
      </c>
      <c r="G12860" s="6" t="s">
        <v>2613</v>
      </c>
    </row>
    <row r="12861" customFormat="false" ht="15" hidden="false" customHeight="true" outlineLevel="0" collapsed="false">
      <c r="A12861" s="6" t="s">
        <v>15473</v>
      </c>
      <c r="B12861" s="6" t="s">
        <v>2565</v>
      </c>
      <c r="C12861" s="6" t="s">
        <v>131</v>
      </c>
      <c r="D12861" s="13" t="n">
        <v>46043</v>
      </c>
      <c r="E12861" s="14" t="n">
        <v>4494.71</v>
      </c>
      <c r="F12861" s="14" t="n">
        <v>4494.71</v>
      </c>
      <c r="G12861" s="6" t="s">
        <v>2613</v>
      </c>
    </row>
    <row r="12862" customFormat="false" ht="15" hidden="false" customHeight="true" outlineLevel="0" collapsed="false">
      <c r="A12862" s="6" t="s">
        <v>15474</v>
      </c>
      <c r="B12862" s="6" t="s">
        <v>2565</v>
      </c>
      <c r="C12862" s="6" t="s">
        <v>131</v>
      </c>
      <c r="D12862" s="13" t="n">
        <v>46050</v>
      </c>
      <c r="E12862" s="14" t="n">
        <v>6932.96</v>
      </c>
      <c r="F12862" s="14" t="n">
        <v>11427.67</v>
      </c>
      <c r="G12862" s="6" t="s">
        <v>2623</v>
      </c>
    </row>
    <row r="12863" customFormat="false" ht="15" hidden="false" customHeight="true" outlineLevel="0" collapsed="false">
      <c r="A12863" s="6" t="s">
        <v>15475</v>
      </c>
      <c r="B12863" s="6" t="s">
        <v>2565</v>
      </c>
      <c r="C12863" s="6" t="s">
        <v>131</v>
      </c>
      <c r="D12863" s="13" t="n">
        <v>46057</v>
      </c>
      <c r="E12863" s="14" t="n">
        <v>4270.01</v>
      </c>
      <c r="F12863" s="14" t="n">
        <v>15697.68</v>
      </c>
      <c r="G12863" s="6" t="s">
        <v>2613</v>
      </c>
    </row>
    <row r="12864" customFormat="false" ht="15" hidden="false" customHeight="true" outlineLevel="0" collapsed="false">
      <c r="A12864" s="6" t="s">
        <v>15476</v>
      </c>
      <c r="B12864" s="6" t="s">
        <v>2565</v>
      </c>
      <c r="C12864" s="6" t="s">
        <v>131</v>
      </c>
      <c r="D12864" s="13" t="n">
        <v>46064</v>
      </c>
      <c r="E12864" s="14" t="n">
        <v>4985.8</v>
      </c>
      <c r="F12864" s="14" t="n">
        <v>20683.48</v>
      </c>
      <c r="G12864" s="6" t="s">
        <v>2613</v>
      </c>
    </row>
    <row r="12865" customFormat="false" ht="15" hidden="false" customHeight="true" outlineLevel="0" collapsed="false">
      <c r="A12865" s="6" t="s">
        <v>15477</v>
      </c>
      <c r="B12865" s="6" t="s">
        <v>2565</v>
      </c>
      <c r="C12865" s="6" t="s">
        <v>131</v>
      </c>
      <c r="D12865" s="13" t="n">
        <v>46071</v>
      </c>
      <c r="E12865" s="14" t="n">
        <v>4812.02</v>
      </c>
      <c r="F12865" s="14" t="n">
        <v>25495.5</v>
      </c>
      <c r="G12865" s="6" t="s">
        <v>2613</v>
      </c>
    </row>
    <row r="12866" customFormat="false" ht="15" hidden="false" customHeight="true" outlineLevel="0" collapsed="false">
      <c r="A12866" s="6" t="s">
        <v>15478</v>
      </c>
      <c r="B12866" s="6" t="s">
        <v>2565</v>
      </c>
      <c r="C12866" s="6" t="s">
        <v>131</v>
      </c>
      <c r="D12866" s="13" t="n">
        <v>46078</v>
      </c>
      <c r="E12866" s="14" t="n">
        <v>7277.42</v>
      </c>
      <c r="F12866" s="14" t="n">
        <v>32772.92</v>
      </c>
      <c r="G12866" s="6" t="s">
        <v>2613</v>
      </c>
    </row>
    <row r="12867" customFormat="false" ht="15" hidden="false" customHeight="true" outlineLevel="0" collapsed="false">
      <c r="A12867" s="6" t="s">
        <v>15479</v>
      </c>
      <c r="B12867" s="6" t="s">
        <v>2565</v>
      </c>
      <c r="C12867" s="6" t="s">
        <v>131</v>
      </c>
      <c r="D12867" s="13" t="n">
        <v>46085</v>
      </c>
      <c r="E12867" s="14" t="n">
        <v>7247.7</v>
      </c>
      <c r="F12867" s="14" t="n">
        <v>40020.62</v>
      </c>
      <c r="G12867" s="6" t="s">
        <v>2613</v>
      </c>
    </row>
    <row r="12868" customFormat="false" ht="15" hidden="false" customHeight="true" outlineLevel="0" collapsed="false">
      <c r="A12868" s="6" t="s">
        <v>15480</v>
      </c>
      <c r="B12868" s="6" t="s">
        <v>2565</v>
      </c>
      <c r="C12868" s="6" t="s">
        <v>131</v>
      </c>
      <c r="D12868" s="13" t="n">
        <v>46092</v>
      </c>
      <c r="E12868" s="14" t="n">
        <v>6829.55</v>
      </c>
      <c r="F12868" s="14" t="n">
        <v>46850.17</v>
      </c>
      <c r="G12868" s="6" t="s">
        <v>2613</v>
      </c>
    </row>
    <row r="12869" customFormat="false" ht="15" hidden="false" customHeight="true" outlineLevel="0" collapsed="false">
      <c r="A12869" s="6" t="s">
        <v>15481</v>
      </c>
      <c r="B12869" s="6" t="s">
        <v>2565</v>
      </c>
      <c r="C12869" s="6" t="s">
        <v>131</v>
      </c>
      <c r="D12869" s="13" t="n">
        <v>46099</v>
      </c>
      <c r="E12869" s="14" t="n">
        <v>4506.73</v>
      </c>
      <c r="F12869" s="14" t="n">
        <v>51356.9</v>
      </c>
      <c r="G12869" s="6" t="s">
        <v>2613</v>
      </c>
    </row>
    <row r="12870" customFormat="false" ht="15" hidden="false" customHeight="true" outlineLevel="0" collapsed="false">
      <c r="A12870" s="6" t="s">
        <v>15482</v>
      </c>
      <c r="B12870" s="6" t="s">
        <v>2567</v>
      </c>
      <c r="C12870" s="6" t="s">
        <v>128</v>
      </c>
      <c r="D12870" s="13" t="n">
        <v>46056</v>
      </c>
      <c r="E12870" s="14" t="n">
        <v>1553.06</v>
      </c>
      <c r="F12870" s="14" t="n">
        <v>1553.06</v>
      </c>
      <c r="G12870" s="6" t="s">
        <v>2613</v>
      </c>
    </row>
    <row r="12871" customFormat="false" ht="15" hidden="false" customHeight="true" outlineLevel="0" collapsed="false">
      <c r="A12871" s="6" t="s">
        <v>15483</v>
      </c>
      <c r="B12871" s="6" t="s">
        <v>2567</v>
      </c>
      <c r="C12871" s="6" t="s">
        <v>128</v>
      </c>
      <c r="D12871" s="13" t="n">
        <v>46063</v>
      </c>
      <c r="E12871" s="14" t="n">
        <v>1850.1</v>
      </c>
      <c r="F12871" s="14" t="n">
        <v>3403.16</v>
      </c>
      <c r="G12871" s="6" t="s">
        <v>2613</v>
      </c>
    </row>
    <row r="12872" customFormat="false" ht="15" hidden="false" customHeight="true" outlineLevel="0" collapsed="false">
      <c r="A12872" s="6" t="s">
        <v>15484</v>
      </c>
      <c r="B12872" s="6" t="s">
        <v>2567</v>
      </c>
      <c r="C12872" s="6" t="s">
        <v>128</v>
      </c>
      <c r="D12872" s="13" t="n">
        <v>46070</v>
      </c>
      <c r="E12872" s="14" t="n">
        <v>1067.13</v>
      </c>
      <c r="F12872" s="14" t="n">
        <v>4470.29</v>
      </c>
      <c r="G12872" s="6" t="s">
        <v>2613</v>
      </c>
    </row>
    <row r="12873" customFormat="false" ht="15" hidden="false" customHeight="true" outlineLevel="0" collapsed="false">
      <c r="A12873" s="6" t="s">
        <v>15485</v>
      </c>
      <c r="B12873" s="6" t="s">
        <v>2567</v>
      </c>
      <c r="C12873" s="6" t="s">
        <v>128</v>
      </c>
      <c r="D12873" s="13" t="n">
        <v>46077</v>
      </c>
      <c r="E12873" s="14" t="n">
        <v>1408.55</v>
      </c>
      <c r="F12873" s="14" t="n">
        <v>5878.84</v>
      </c>
      <c r="G12873" s="6" t="s">
        <v>2623</v>
      </c>
    </row>
    <row r="12874" customFormat="false" ht="15" hidden="false" customHeight="true" outlineLevel="0" collapsed="false">
      <c r="A12874" s="6" t="s">
        <v>15486</v>
      </c>
      <c r="B12874" s="6" t="s">
        <v>2567</v>
      </c>
      <c r="C12874" s="6" t="s">
        <v>128</v>
      </c>
      <c r="D12874" s="13" t="n">
        <v>46084</v>
      </c>
      <c r="E12874" s="14" t="n">
        <v>1332.07</v>
      </c>
      <c r="F12874" s="14" t="n">
        <v>7210.91</v>
      </c>
      <c r="G12874" s="6" t="s">
        <v>2623</v>
      </c>
    </row>
    <row r="12875" customFormat="false" ht="15" hidden="false" customHeight="true" outlineLevel="0" collapsed="false">
      <c r="A12875" s="6" t="s">
        <v>15487</v>
      </c>
      <c r="B12875" s="6" t="s">
        <v>2567</v>
      </c>
      <c r="C12875" s="6" t="s">
        <v>128</v>
      </c>
      <c r="D12875" s="13" t="n">
        <v>46091</v>
      </c>
      <c r="E12875" s="14" t="n">
        <v>1283.09</v>
      </c>
      <c r="F12875" s="14" t="n">
        <v>8494</v>
      </c>
      <c r="G12875" s="6" t="s">
        <v>2613</v>
      </c>
    </row>
    <row r="12876" customFormat="false" ht="15" hidden="false" customHeight="true" outlineLevel="0" collapsed="false">
      <c r="A12876" s="6" t="s">
        <v>15488</v>
      </c>
      <c r="B12876" s="6" t="s">
        <v>2567</v>
      </c>
      <c r="C12876" s="6" t="s">
        <v>128</v>
      </c>
      <c r="D12876" s="13" t="n">
        <v>46098</v>
      </c>
      <c r="E12876" s="14" t="n">
        <v>1106.45</v>
      </c>
      <c r="F12876" s="14" t="n">
        <v>9600.45</v>
      </c>
      <c r="G12876" s="6" t="s">
        <v>2613</v>
      </c>
    </row>
    <row r="12877" customFormat="false" ht="15" hidden="false" customHeight="true" outlineLevel="0" collapsed="false">
      <c r="A12877" s="6" t="s">
        <v>15489</v>
      </c>
      <c r="B12877" s="6" t="s">
        <v>2567</v>
      </c>
      <c r="C12877" s="6" t="s">
        <v>128</v>
      </c>
      <c r="D12877" s="13" t="n">
        <v>46105</v>
      </c>
      <c r="E12877" s="14" t="n">
        <v>1802.67</v>
      </c>
      <c r="F12877" s="14" t="n">
        <v>11403.12</v>
      </c>
      <c r="G12877" s="6" t="s">
        <v>2613</v>
      </c>
    </row>
    <row r="12878" customFormat="false" ht="15" hidden="false" customHeight="true" outlineLevel="0" collapsed="false">
      <c r="A12878" s="6" t="s">
        <v>15490</v>
      </c>
      <c r="B12878" s="6" t="s">
        <v>2569</v>
      </c>
      <c r="C12878" s="6" t="s">
        <v>112</v>
      </c>
      <c r="D12878" s="13" t="n">
        <v>45424</v>
      </c>
      <c r="E12878" s="14" t="n">
        <v>8134.94</v>
      </c>
      <c r="F12878" s="14" t="n">
        <v>8134.94</v>
      </c>
      <c r="G12878" s="6" t="s">
        <v>2613</v>
      </c>
    </row>
    <row r="12879" customFormat="false" ht="15" hidden="false" customHeight="true" outlineLevel="0" collapsed="false">
      <c r="A12879" s="6" t="s">
        <v>15491</v>
      </c>
      <c r="B12879" s="6" t="s">
        <v>2569</v>
      </c>
      <c r="C12879" s="6" t="s">
        <v>112</v>
      </c>
      <c r="D12879" s="13" t="n">
        <v>45431</v>
      </c>
      <c r="E12879" s="14" t="n">
        <v>5446.45</v>
      </c>
      <c r="F12879" s="14" t="n">
        <v>13581.39</v>
      </c>
      <c r="G12879" s="6" t="s">
        <v>2613</v>
      </c>
    </row>
    <row r="12880" customFormat="false" ht="15" hidden="false" customHeight="true" outlineLevel="0" collapsed="false">
      <c r="A12880" s="6" t="s">
        <v>15492</v>
      </c>
      <c r="B12880" s="6" t="s">
        <v>2569</v>
      </c>
      <c r="C12880" s="6" t="s">
        <v>112</v>
      </c>
      <c r="D12880" s="13" t="n">
        <v>45438</v>
      </c>
      <c r="E12880" s="14" t="n">
        <v>3893.09</v>
      </c>
      <c r="F12880" s="14" t="n">
        <v>17474.48</v>
      </c>
      <c r="G12880" s="6" t="s">
        <v>2613</v>
      </c>
    </row>
    <row r="12881" customFormat="false" ht="15" hidden="false" customHeight="true" outlineLevel="0" collapsed="false">
      <c r="A12881" s="6" t="s">
        <v>15493</v>
      </c>
      <c r="B12881" s="6" t="s">
        <v>2569</v>
      </c>
      <c r="C12881" s="6" t="s">
        <v>112</v>
      </c>
      <c r="D12881" s="13" t="n">
        <v>45445</v>
      </c>
      <c r="E12881" s="14" t="n">
        <v>7689.09</v>
      </c>
      <c r="F12881" s="14" t="n">
        <v>25163.57</v>
      </c>
      <c r="G12881" s="6" t="s">
        <v>2613</v>
      </c>
    </row>
    <row r="12882" customFormat="false" ht="15" hidden="false" customHeight="true" outlineLevel="0" collapsed="false">
      <c r="A12882" s="6" t="s">
        <v>15494</v>
      </c>
      <c r="B12882" s="6" t="s">
        <v>2569</v>
      </c>
      <c r="C12882" s="6" t="s">
        <v>112</v>
      </c>
      <c r="D12882" s="13" t="n">
        <v>45452</v>
      </c>
      <c r="E12882" s="14" t="n">
        <v>4209.83</v>
      </c>
      <c r="F12882" s="14" t="n">
        <v>29373.4</v>
      </c>
      <c r="G12882" s="6" t="s">
        <v>2613</v>
      </c>
    </row>
    <row r="12883" customFormat="false" ht="15" hidden="false" customHeight="true" outlineLevel="0" collapsed="false">
      <c r="A12883" s="6" t="s">
        <v>15495</v>
      </c>
      <c r="B12883" s="6" t="s">
        <v>2569</v>
      </c>
      <c r="C12883" s="6" t="s">
        <v>112</v>
      </c>
      <c r="D12883" s="13" t="n">
        <v>45459</v>
      </c>
      <c r="E12883" s="14" t="n">
        <v>4685.49</v>
      </c>
      <c r="F12883" s="14" t="n">
        <v>34058.89</v>
      </c>
      <c r="G12883" s="6" t="s">
        <v>2613</v>
      </c>
    </row>
    <row r="12884" customFormat="false" ht="15" hidden="false" customHeight="true" outlineLevel="0" collapsed="false">
      <c r="A12884" s="6" t="s">
        <v>15496</v>
      </c>
      <c r="B12884" s="6" t="s">
        <v>2569</v>
      </c>
      <c r="C12884" s="6" t="s">
        <v>112</v>
      </c>
      <c r="D12884" s="13" t="n">
        <v>45466</v>
      </c>
      <c r="E12884" s="14" t="n">
        <v>5841.52</v>
      </c>
      <c r="F12884" s="14" t="n">
        <v>39900.41</v>
      </c>
      <c r="G12884" s="6" t="s">
        <v>2613</v>
      </c>
    </row>
    <row r="12885" customFormat="false" ht="15" hidden="false" customHeight="true" outlineLevel="0" collapsed="false">
      <c r="A12885" s="6" t="s">
        <v>15497</v>
      </c>
      <c r="B12885" s="6" t="s">
        <v>2569</v>
      </c>
      <c r="C12885" s="6" t="s">
        <v>112</v>
      </c>
      <c r="D12885" s="13" t="n">
        <v>45473</v>
      </c>
      <c r="E12885" s="14" t="n">
        <v>3904.86</v>
      </c>
      <c r="F12885" s="14" t="n">
        <v>43805.27</v>
      </c>
      <c r="G12885" s="6" t="s">
        <v>2613</v>
      </c>
    </row>
    <row r="12886" customFormat="false" ht="15" hidden="false" customHeight="true" outlineLevel="0" collapsed="false">
      <c r="A12886" s="6" t="s">
        <v>15498</v>
      </c>
      <c r="B12886" s="6" t="s">
        <v>2569</v>
      </c>
      <c r="C12886" s="6" t="s">
        <v>112</v>
      </c>
      <c r="D12886" s="13" t="n">
        <v>45480</v>
      </c>
      <c r="E12886" s="14" t="n">
        <v>5843.84</v>
      </c>
      <c r="F12886" s="14" t="n">
        <v>49649.11</v>
      </c>
      <c r="G12886" s="6" t="s">
        <v>2613</v>
      </c>
    </row>
    <row r="12887" customFormat="false" ht="15" hidden="false" customHeight="true" outlineLevel="0" collapsed="false">
      <c r="A12887" s="6" t="s">
        <v>15499</v>
      </c>
      <c r="B12887" s="6" t="s">
        <v>2569</v>
      </c>
      <c r="C12887" s="6" t="s">
        <v>112</v>
      </c>
      <c r="D12887" s="13" t="n">
        <v>45487</v>
      </c>
      <c r="E12887" s="14" t="n">
        <v>6711.46</v>
      </c>
      <c r="F12887" s="14" t="n">
        <v>56360.57</v>
      </c>
      <c r="G12887" s="6" t="s">
        <v>2613</v>
      </c>
    </row>
    <row r="12888" customFormat="false" ht="15" hidden="false" customHeight="true" outlineLevel="0" collapsed="false">
      <c r="A12888" s="6" t="s">
        <v>15500</v>
      </c>
      <c r="B12888" s="6" t="s">
        <v>2569</v>
      </c>
      <c r="C12888" s="6" t="s">
        <v>112</v>
      </c>
      <c r="D12888" s="13" t="n">
        <v>45494</v>
      </c>
      <c r="E12888" s="14" t="n">
        <v>5761.47</v>
      </c>
      <c r="F12888" s="14" t="n">
        <v>62122.04</v>
      </c>
      <c r="G12888" s="6" t="s">
        <v>2613</v>
      </c>
    </row>
    <row r="12889" customFormat="false" ht="15" hidden="false" customHeight="true" outlineLevel="0" collapsed="false">
      <c r="A12889" s="6" t="s">
        <v>15501</v>
      </c>
      <c r="B12889" s="6" t="s">
        <v>2569</v>
      </c>
      <c r="C12889" s="6" t="s">
        <v>112</v>
      </c>
      <c r="D12889" s="13" t="n">
        <v>45501</v>
      </c>
      <c r="E12889" s="14" t="n">
        <v>10315</v>
      </c>
      <c r="F12889" s="14" t="n">
        <v>72437.04</v>
      </c>
      <c r="G12889" s="6" t="s">
        <v>2613</v>
      </c>
    </row>
    <row r="12890" customFormat="false" ht="15" hidden="false" customHeight="true" outlineLevel="0" collapsed="false">
      <c r="A12890" s="6" t="s">
        <v>15502</v>
      </c>
      <c r="B12890" s="6" t="s">
        <v>2571</v>
      </c>
      <c r="C12890" s="6" t="s">
        <v>128</v>
      </c>
      <c r="D12890" s="13" t="n">
        <v>44710</v>
      </c>
      <c r="E12890" s="14" t="n">
        <v>2671.05</v>
      </c>
      <c r="F12890" s="14" t="n">
        <v>2671.05</v>
      </c>
      <c r="G12890" s="6" t="s">
        <v>2613</v>
      </c>
    </row>
    <row r="12891" customFormat="false" ht="15" hidden="false" customHeight="true" outlineLevel="0" collapsed="false">
      <c r="A12891" s="6" t="s">
        <v>15503</v>
      </c>
      <c r="B12891" s="6" t="s">
        <v>2571</v>
      </c>
      <c r="C12891" s="6" t="s">
        <v>128</v>
      </c>
      <c r="D12891" s="13" t="n">
        <v>44717</v>
      </c>
      <c r="E12891" s="14" t="n">
        <v>1272.57</v>
      </c>
      <c r="F12891" s="14" t="n">
        <v>3943.62</v>
      </c>
      <c r="G12891" s="6" t="s">
        <v>2613</v>
      </c>
    </row>
    <row r="12892" customFormat="false" ht="15" hidden="false" customHeight="true" outlineLevel="0" collapsed="false">
      <c r="A12892" s="6" t="s">
        <v>15504</v>
      </c>
      <c r="B12892" s="6" t="s">
        <v>2571</v>
      </c>
      <c r="C12892" s="6" t="s">
        <v>128</v>
      </c>
      <c r="D12892" s="13" t="n">
        <v>44724</v>
      </c>
      <c r="E12892" s="14" t="n">
        <v>2053.75</v>
      </c>
      <c r="F12892" s="14" t="n">
        <v>5997.37</v>
      </c>
      <c r="G12892" s="6" t="s">
        <v>2613</v>
      </c>
    </row>
    <row r="12893" customFormat="false" ht="15" hidden="false" customHeight="true" outlineLevel="0" collapsed="false">
      <c r="A12893" s="6" t="s">
        <v>15505</v>
      </c>
      <c r="B12893" s="6" t="s">
        <v>2571</v>
      </c>
      <c r="C12893" s="6" t="s">
        <v>128</v>
      </c>
      <c r="D12893" s="13" t="n">
        <v>44731</v>
      </c>
      <c r="E12893" s="14" t="n">
        <v>2421.52</v>
      </c>
      <c r="F12893" s="14" t="n">
        <v>8418.89</v>
      </c>
      <c r="G12893" s="6" t="s">
        <v>2613</v>
      </c>
    </row>
    <row r="12894" customFormat="false" ht="15" hidden="false" customHeight="true" outlineLevel="0" collapsed="false">
      <c r="A12894" s="6" t="s">
        <v>15506</v>
      </c>
      <c r="B12894" s="6" t="s">
        <v>2571</v>
      </c>
      <c r="C12894" s="6" t="s">
        <v>128</v>
      </c>
      <c r="D12894" s="13" t="n">
        <v>44738</v>
      </c>
      <c r="E12894" s="14" t="n">
        <v>2174.81</v>
      </c>
      <c r="F12894" s="14" t="n">
        <v>10593.7</v>
      </c>
      <c r="G12894" s="6" t="s">
        <v>2613</v>
      </c>
    </row>
    <row r="12895" customFormat="false" ht="15" hidden="false" customHeight="true" outlineLevel="0" collapsed="false">
      <c r="A12895" s="6" t="s">
        <v>15507</v>
      </c>
      <c r="B12895" s="6" t="s">
        <v>2571</v>
      </c>
      <c r="C12895" s="6" t="s">
        <v>128</v>
      </c>
      <c r="D12895" s="13" t="n">
        <v>44745</v>
      </c>
      <c r="E12895" s="14" t="n">
        <v>2078.03</v>
      </c>
      <c r="F12895" s="14" t="n">
        <v>12671.73</v>
      </c>
      <c r="G12895" s="6" t="s">
        <v>2613</v>
      </c>
    </row>
    <row r="12896" customFormat="false" ht="15" hidden="false" customHeight="true" outlineLevel="0" collapsed="false">
      <c r="A12896" s="6" t="s">
        <v>15508</v>
      </c>
      <c r="B12896" s="6" t="s">
        <v>2571</v>
      </c>
      <c r="C12896" s="6" t="s">
        <v>128</v>
      </c>
      <c r="D12896" s="13" t="n">
        <v>44752</v>
      </c>
      <c r="E12896" s="14" t="n">
        <v>1601.14</v>
      </c>
      <c r="F12896" s="14" t="n">
        <v>14272.87</v>
      </c>
      <c r="G12896" s="6" t="s">
        <v>2613</v>
      </c>
    </row>
    <row r="12897" customFormat="false" ht="15" hidden="false" customHeight="true" outlineLevel="0" collapsed="false">
      <c r="A12897" s="6" t="s">
        <v>15509</v>
      </c>
      <c r="B12897" s="6" t="s">
        <v>2571</v>
      </c>
      <c r="C12897" s="6" t="s">
        <v>128</v>
      </c>
      <c r="D12897" s="13" t="n">
        <v>44759</v>
      </c>
      <c r="E12897" s="14" t="n">
        <v>1909.97</v>
      </c>
      <c r="F12897" s="14" t="n">
        <v>16182.84</v>
      </c>
      <c r="G12897" s="6" t="s">
        <v>2613</v>
      </c>
    </row>
    <row r="12898" customFormat="false" ht="15" hidden="false" customHeight="true" outlineLevel="0" collapsed="false">
      <c r="A12898" s="6" t="s">
        <v>15510</v>
      </c>
      <c r="B12898" s="6" t="s">
        <v>2571</v>
      </c>
      <c r="C12898" s="6" t="s">
        <v>128</v>
      </c>
      <c r="D12898" s="13" t="n">
        <v>44766</v>
      </c>
      <c r="E12898" s="14" t="n">
        <v>1890.82</v>
      </c>
      <c r="F12898" s="14" t="n">
        <v>18073.66</v>
      </c>
      <c r="G12898" s="6" t="s">
        <v>2613</v>
      </c>
    </row>
    <row r="12899" customFormat="false" ht="15" hidden="false" customHeight="true" outlineLevel="0" collapsed="false">
      <c r="A12899" s="6" t="s">
        <v>15511</v>
      </c>
      <c r="B12899" s="6" t="s">
        <v>2571</v>
      </c>
      <c r="C12899" s="6" t="s">
        <v>128</v>
      </c>
      <c r="D12899" s="13" t="n">
        <v>44773</v>
      </c>
      <c r="E12899" s="14" t="n">
        <v>2891.99</v>
      </c>
      <c r="F12899" s="14" t="n">
        <v>20965.65</v>
      </c>
      <c r="G12899" s="6" t="s">
        <v>2613</v>
      </c>
    </row>
    <row r="12900" customFormat="false" ht="15" hidden="false" customHeight="true" outlineLevel="0" collapsed="false">
      <c r="A12900" s="6" t="s">
        <v>15512</v>
      </c>
      <c r="B12900" s="6" t="s">
        <v>2571</v>
      </c>
      <c r="C12900" s="6" t="s">
        <v>128</v>
      </c>
      <c r="D12900" s="13" t="n">
        <v>44780</v>
      </c>
      <c r="E12900" s="14" t="n">
        <v>1662.15</v>
      </c>
      <c r="F12900" s="14" t="n">
        <v>22627.8</v>
      </c>
      <c r="G12900" s="6" t="s">
        <v>2613</v>
      </c>
    </row>
    <row r="12901" customFormat="false" ht="15" hidden="false" customHeight="true" outlineLevel="0" collapsed="false">
      <c r="A12901" s="6" t="s">
        <v>15513</v>
      </c>
      <c r="B12901" s="6" t="s">
        <v>2571</v>
      </c>
      <c r="C12901" s="6" t="s">
        <v>128</v>
      </c>
      <c r="D12901" s="13" t="n">
        <v>44787</v>
      </c>
      <c r="E12901" s="14" t="n">
        <v>2796.9</v>
      </c>
      <c r="F12901" s="14" t="n">
        <v>25424.7</v>
      </c>
      <c r="G12901" s="6" t="s">
        <v>2613</v>
      </c>
    </row>
    <row r="12902" customFormat="false" ht="15" hidden="false" customHeight="true" outlineLevel="0" collapsed="false">
      <c r="A12902" s="6" t="s">
        <v>15514</v>
      </c>
      <c r="B12902" s="6" t="s">
        <v>2571</v>
      </c>
      <c r="C12902" s="6" t="s">
        <v>128</v>
      </c>
      <c r="D12902" s="13" t="n">
        <v>44794</v>
      </c>
      <c r="E12902" s="14" t="n">
        <v>2687.42</v>
      </c>
      <c r="F12902" s="14" t="n">
        <v>28112.12</v>
      </c>
      <c r="G12902" s="6" t="s">
        <v>2613</v>
      </c>
    </row>
    <row r="12903" customFormat="false" ht="15" hidden="false" customHeight="true" outlineLevel="0" collapsed="false">
      <c r="A12903" s="6" t="s">
        <v>15515</v>
      </c>
      <c r="B12903" s="6" t="s">
        <v>2571</v>
      </c>
      <c r="C12903" s="6" t="s">
        <v>128</v>
      </c>
      <c r="D12903" s="13" t="n">
        <v>44801</v>
      </c>
      <c r="E12903" s="14" t="n">
        <v>870.22</v>
      </c>
      <c r="F12903" s="14" t="n">
        <v>28982.34</v>
      </c>
      <c r="G12903" s="6" t="s">
        <v>2613</v>
      </c>
    </row>
    <row r="12904" customFormat="false" ht="15" hidden="false" customHeight="true" outlineLevel="0" collapsed="false">
      <c r="A12904" s="6" t="s">
        <v>15516</v>
      </c>
      <c r="B12904" s="6" t="s">
        <v>2573</v>
      </c>
      <c r="C12904" s="6" t="s">
        <v>124</v>
      </c>
      <c r="D12904" s="13" t="n">
        <v>45011</v>
      </c>
      <c r="E12904" s="14" t="n">
        <v>1549.37</v>
      </c>
      <c r="F12904" s="14" t="n">
        <v>1549.37</v>
      </c>
      <c r="G12904" s="6" t="s">
        <v>2623</v>
      </c>
    </row>
    <row r="12905" customFormat="false" ht="15" hidden="false" customHeight="true" outlineLevel="0" collapsed="false">
      <c r="A12905" s="6" t="s">
        <v>15517</v>
      </c>
      <c r="B12905" s="6" t="s">
        <v>2573</v>
      </c>
      <c r="C12905" s="6" t="s">
        <v>124</v>
      </c>
      <c r="D12905" s="13" t="n">
        <v>45018</v>
      </c>
      <c r="E12905" s="14" t="n">
        <v>1663.16</v>
      </c>
      <c r="F12905" s="14" t="n">
        <v>3212.53</v>
      </c>
      <c r="G12905" s="6" t="s">
        <v>2613</v>
      </c>
    </row>
    <row r="12906" customFormat="false" ht="15" hidden="false" customHeight="true" outlineLevel="0" collapsed="false">
      <c r="A12906" s="6" t="s">
        <v>15518</v>
      </c>
      <c r="B12906" s="6" t="s">
        <v>2573</v>
      </c>
      <c r="C12906" s="6" t="s">
        <v>124</v>
      </c>
      <c r="D12906" s="13" t="n">
        <v>45025</v>
      </c>
      <c r="E12906" s="14" t="n">
        <v>1589.12</v>
      </c>
      <c r="F12906" s="14" t="n">
        <v>4801.65</v>
      </c>
      <c r="G12906" s="6" t="s">
        <v>2613</v>
      </c>
    </row>
    <row r="12907" customFormat="false" ht="15" hidden="false" customHeight="true" outlineLevel="0" collapsed="false">
      <c r="A12907" s="6" t="s">
        <v>15519</v>
      </c>
      <c r="B12907" s="6" t="s">
        <v>2573</v>
      </c>
      <c r="C12907" s="6" t="s">
        <v>124</v>
      </c>
      <c r="D12907" s="13" t="n">
        <v>45032</v>
      </c>
      <c r="E12907" s="14" t="n">
        <v>856.22</v>
      </c>
      <c r="F12907" s="14" t="n">
        <v>5657.87</v>
      </c>
      <c r="G12907" s="6" t="s">
        <v>2623</v>
      </c>
    </row>
    <row r="12908" customFormat="false" ht="15" hidden="false" customHeight="true" outlineLevel="0" collapsed="false">
      <c r="A12908" s="6" t="s">
        <v>15520</v>
      </c>
      <c r="B12908" s="6" t="s">
        <v>2573</v>
      </c>
      <c r="C12908" s="6" t="s">
        <v>124</v>
      </c>
      <c r="D12908" s="13" t="n">
        <v>45039</v>
      </c>
      <c r="E12908" s="14" t="n">
        <v>954.05</v>
      </c>
      <c r="F12908" s="14" t="n">
        <v>6611.92</v>
      </c>
      <c r="G12908" s="6" t="s">
        <v>2613</v>
      </c>
    </row>
    <row r="12909" customFormat="false" ht="15" hidden="false" customHeight="true" outlineLevel="0" collapsed="false">
      <c r="A12909" s="6" t="s">
        <v>15521</v>
      </c>
      <c r="B12909" s="6" t="s">
        <v>2573</v>
      </c>
      <c r="C12909" s="6" t="s">
        <v>124</v>
      </c>
      <c r="D12909" s="13" t="n">
        <v>45046</v>
      </c>
      <c r="E12909" s="14" t="n">
        <v>1780.83</v>
      </c>
      <c r="F12909" s="14" t="n">
        <v>8392.75</v>
      </c>
      <c r="G12909" s="6" t="s">
        <v>2613</v>
      </c>
    </row>
    <row r="12910" customFormat="false" ht="15" hidden="false" customHeight="true" outlineLevel="0" collapsed="false">
      <c r="A12910" s="6" t="s">
        <v>15522</v>
      </c>
      <c r="B12910" s="6" t="s">
        <v>2573</v>
      </c>
      <c r="C12910" s="6" t="s">
        <v>124</v>
      </c>
      <c r="D12910" s="13" t="n">
        <v>45053</v>
      </c>
      <c r="E12910" s="14" t="n">
        <v>787.06</v>
      </c>
      <c r="F12910" s="14" t="n">
        <v>9179.81</v>
      </c>
      <c r="G12910" s="6" t="s">
        <v>2613</v>
      </c>
    </row>
    <row r="12911" customFormat="false" ht="15" hidden="false" customHeight="true" outlineLevel="0" collapsed="false">
      <c r="A12911" s="6" t="s">
        <v>15523</v>
      </c>
      <c r="B12911" s="6" t="s">
        <v>2575</v>
      </c>
      <c r="C12911" s="6" t="s">
        <v>128</v>
      </c>
      <c r="D12911" s="13" t="n">
        <v>46171</v>
      </c>
      <c r="E12911" s="14" t="n">
        <v>2359.94</v>
      </c>
      <c r="F12911" s="14" t="n">
        <v>2359.94</v>
      </c>
      <c r="G12911" s="6" t="s">
        <v>2613</v>
      </c>
    </row>
    <row r="12912" customFormat="false" ht="15" hidden="false" customHeight="true" outlineLevel="0" collapsed="false">
      <c r="A12912" s="6" t="s">
        <v>15524</v>
      </c>
      <c r="B12912" s="6" t="s">
        <v>2575</v>
      </c>
      <c r="C12912" s="6" t="s">
        <v>128</v>
      </c>
      <c r="D12912" s="13" t="n">
        <v>46178</v>
      </c>
      <c r="E12912" s="14" t="n">
        <v>1404.59</v>
      </c>
      <c r="F12912" s="14" t="n">
        <v>3764.53</v>
      </c>
      <c r="G12912" s="6" t="s">
        <v>2613</v>
      </c>
    </row>
    <row r="12913" customFormat="false" ht="15" hidden="false" customHeight="true" outlineLevel="0" collapsed="false">
      <c r="A12913" s="6" t="s">
        <v>15525</v>
      </c>
      <c r="B12913" s="6" t="s">
        <v>2575</v>
      </c>
      <c r="C12913" s="6" t="s">
        <v>128</v>
      </c>
      <c r="D12913" s="13" t="n">
        <v>46185</v>
      </c>
      <c r="E12913" s="14" t="n">
        <v>1190.85</v>
      </c>
      <c r="F12913" s="14" t="n">
        <v>4955.38</v>
      </c>
      <c r="G12913" s="6" t="s">
        <v>2613</v>
      </c>
    </row>
    <row r="12914" customFormat="false" ht="15" hidden="false" customHeight="true" outlineLevel="0" collapsed="false">
      <c r="A12914" s="6" t="s">
        <v>15526</v>
      </c>
      <c r="B12914" s="6" t="s">
        <v>2575</v>
      </c>
      <c r="C12914" s="6" t="s">
        <v>128</v>
      </c>
      <c r="D12914" s="13" t="n">
        <v>46192</v>
      </c>
      <c r="E12914" s="14" t="n">
        <v>2325.27</v>
      </c>
      <c r="F12914" s="14" t="n">
        <v>7280.65</v>
      </c>
      <c r="G12914" s="6" t="s">
        <v>2613</v>
      </c>
    </row>
    <row r="12915" customFormat="false" ht="15" hidden="false" customHeight="true" outlineLevel="0" collapsed="false">
      <c r="A12915" s="6" t="s">
        <v>15527</v>
      </c>
      <c r="B12915" s="6" t="s">
        <v>2575</v>
      </c>
      <c r="C12915" s="6" t="s">
        <v>128</v>
      </c>
      <c r="D12915" s="13" t="n">
        <v>46199</v>
      </c>
      <c r="E12915" s="14" t="n">
        <v>1157.99</v>
      </c>
      <c r="F12915" s="14" t="n">
        <v>8438.64</v>
      </c>
      <c r="G12915" s="6" t="s">
        <v>2613</v>
      </c>
    </row>
    <row r="12916" customFormat="false" ht="15" hidden="false" customHeight="true" outlineLevel="0" collapsed="false">
      <c r="A12916" s="6" t="s">
        <v>15528</v>
      </c>
      <c r="B12916" s="6" t="s">
        <v>2575</v>
      </c>
      <c r="C12916" s="6" t="s">
        <v>128</v>
      </c>
      <c r="D12916" s="13" t="n">
        <v>46206</v>
      </c>
      <c r="E12916" s="14" t="n">
        <v>2104.63</v>
      </c>
      <c r="F12916" s="14" t="n">
        <v>10543.27</v>
      </c>
      <c r="G12916" s="6" t="s">
        <v>2613</v>
      </c>
    </row>
    <row r="12917" customFormat="false" ht="15" hidden="false" customHeight="true" outlineLevel="0" collapsed="false">
      <c r="A12917" s="6" t="s">
        <v>15529</v>
      </c>
      <c r="B12917" s="6" t="s">
        <v>2575</v>
      </c>
      <c r="C12917" s="6" t="s">
        <v>128</v>
      </c>
      <c r="D12917" s="13" t="n">
        <v>46213</v>
      </c>
      <c r="E12917" s="14" t="n">
        <v>1611.76</v>
      </c>
      <c r="F12917" s="14" t="n">
        <v>12155.03</v>
      </c>
      <c r="G12917" s="6" t="s">
        <v>2613</v>
      </c>
    </row>
    <row r="12918" customFormat="false" ht="15" hidden="false" customHeight="true" outlineLevel="0" collapsed="false">
      <c r="A12918" s="6" t="s">
        <v>15530</v>
      </c>
      <c r="B12918" s="6" t="s">
        <v>2575</v>
      </c>
      <c r="C12918" s="6" t="s">
        <v>128</v>
      </c>
      <c r="D12918" s="13" t="n">
        <v>46220</v>
      </c>
      <c r="E12918" s="14" t="n">
        <v>2093.09</v>
      </c>
      <c r="F12918" s="14" t="n">
        <v>14248.12</v>
      </c>
      <c r="G12918" s="6" t="s">
        <v>2623</v>
      </c>
    </row>
    <row r="12919" customFormat="false" ht="15" hidden="false" customHeight="true" outlineLevel="0" collapsed="false">
      <c r="A12919" s="6" t="s">
        <v>15531</v>
      </c>
      <c r="B12919" s="6" t="s">
        <v>2577</v>
      </c>
      <c r="C12919" s="6" t="s">
        <v>120</v>
      </c>
      <c r="D12919" s="13" t="n">
        <v>44770</v>
      </c>
      <c r="E12919" s="14" t="n">
        <v>347.58</v>
      </c>
      <c r="F12919" s="14" t="n">
        <v>347.58</v>
      </c>
      <c r="G12919" s="6" t="s">
        <v>2613</v>
      </c>
    </row>
    <row r="12920" customFormat="false" ht="15" hidden="false" customHeight="true" outlineLevel="0" collapsed="false">
      <c r="A12920" s="6" t="s">
        <v>15532</v>
      </c>
      <c r="B12920" s="6" t="s">
        <v>2577</v>
      </c>
      <c r="C12920" s="6" t="s">
        <v>120</v>
      </c>
      <c r="D12920" s="13" t="n">
        <v>44777</v>
      </c>
      <c r="E12920" s="14" t="n">
        <v>452.99</v>
      </c>
      <c r="F12920" s="14" t="n">
        <v>800.57</v>
      </c>
      <c r="G12920" s="6" t="s">
        <v>2613</v>
      </c>
    </row>
    <row r="12921" customFormat="false" ht="15" hidden="false" customHeight="true" outlineLevel="0" collapsed="false">
      <c r="A12921" s="6" t="s">
        <v>15533</v>
      </c>
      <c r="B12921" s="6" t="s">
        <v>2577</v>
      </c>
      <c r="C12921" s="6" t="s">
        <v>120</v>
      </c>
      <c r="D12921" s="13" t="n">
        <v>44784</v>
      </c>
      <c r="E12921" s="14" t="n">
        <v>605.15</v>
      </c>
      <c r="F12921" s="14" t="n">
        <v>1405.72</v>
      </c>
      <c r="G12921" s="6" t="s">
        <v>2613</v>
      </c>
    </row>
    <row r="12922" customFormat="false" ht="15" hidden="false" customHeight="true" outlineLevel="0" collapsed="false">
      <c r="A12922" s="6" t="s">
        <v>15534</v>
      </c>
      <c r="B12922" s="6" t="s">
        <v>2577</v>
      </c>
      <c r="C12922" s="6" t="s">
        <v>120</v>
      </c>
      <c r="D12922" s="13" t="n">
        <v>44791</v>
      </c>
      <c r="E12922" s="14" t="n">
        <v>597.32</v>
      </c>
      <c r="F12922" s="14" t="n">
        <v>2003.04</v>
      </c>
      <c r="G12922" s="6" t="s">
        <v>2613</v>
      </c>
    </row>
    <row r="12923" customFormat="false" ht="15" hidden="false" customHeight="true" outlineLevel="0" collapsed="false">
      <c r="A12923" s="6" t="s">
        <v>15535</v>
      </c>
      <c r="B12923" s="6" t="s">
        <v>2577</v>
      </c>
      <c r="C12923" s="6" t="s">
        <v>120</v>
      </c>
      <c r="D12923" s="13" t="n">
        <v>44798</v>
      </c>
      <c r="E12923" s="14" t="n">
        <v>496.56</v>
      </c>
      <c r="F12923" s="14" t="n">
        <v>2499.6</v>
      </c>
      <c r="G12923" s="6" t="s">
        <v>2613</v>
      </c>
    </row>
    <row r="12924" customFormat="false" ht="15" hidden="false" customHeight="true" outlineLevel="0" collapsed="false">
      <c r="A12924" s="6" t="s">
        <v>15536</v>
      </c>
      <c r="B12924" s="6" t="s">
        <v>2577</v>
      </c>
      <c r="C12924" s="6" t="s">
        <v>120</v>
      </c>
      <c r="D12924" s="13" t="n">
        <v>44805</v>
      </c>
      <c r="E12924" s="14" t="n">
        <v>94.4</v>
      </c>
      <c r="F12924" s="14" t="n">
        <v>2594</v>
      </c>
      <c r="G12924" s="6" t="s">
        <v>2613</v>
      </c>
    </row>
    <row r="12925" customFormat="false" ht="15" hidden="false" customHeight="true" outlineLevel="0" collapsed="false">
      <c r="A12925" s="6" t="s">
        <v>15537</v>
      </c>
      <c r="B12925" s="6" t="s">
        <v>2579</v>
      </c>
      <c r="C12925" s="6" t="s">
        <v>128</v>
      </c>
      <c r="D12925" s="13" t="n">
        <v>45165</v>
      </c>
      <c r="E12925" s="14" t="n">
        <v>14855.73</v>
      </c>
      <c r="F12925" s="14" t="n">
        <v>14855.73</v>
      </c>
      <c r="G12925" s="6" t="s">
        <v>2613</v>
      </c>
    </row>
    <row r="12926" customFormat="false" ht="15" hidden="false" customHeight="true" outlineLevel="0" collapsed="false">
      <c r="A12926" s="6" t="s">
        <v>15538</v>
      </c>
      <c r="B12926" s="6" t="s">
        <v>2579</v>
      </c>
      <c r="C12926" s="6" t="s">
        <v>128</v>
      </c>
      <c r="D12926" s="13" t="n">
        <v>45172</v>
      </c>
      <c r="E12926" s="14" t="n">
        <v>13286.09</v>
      </c>
      <c r="F12926" s="14" t="n">
        <v>28141.82</v>
      </c>
      <c r="G12926" s="6" t="s">
        <v>2623</v>
      </c>
    </row>
    <row r="12927" customFormat="false" ht="15" hidden="false" customHeight="true" outlineLevel="0" collapsed="false">
      <c r="A12927" s="6" t="s">
        <v>15539</v>
      </c>
      <c r="B12927" s="6" t="s">
        <v>2579</v>
      </c>
      <c r="C12927" s="6" t="s">
        <v>128</v>
      </c>
      <c r="D12927" s="13" t="n">
        <v>45179</v>
      </c>
      <c r="E12927" s="14" t="n">
        <v>11070.04</v>
      </c>
      <c r="F12927" s="14" t="n">
        <v>39211.86</v>
      </c>
      <c r="G12927" s="6" t="s">
        <v>2613</v>
      </c>
    </row>
    <row r="12928" customFormat="false" ht="15" hidden="false" customHeight="true" outlineLevel="0" collapsed="false">
      <c r="A12928" s="6" t="s">
        <v>15540</v>
      </c>
      <c r="B12928" s="6" t="s">
        <v>2579</v>
      </c>
      <c r="C12928" s="6" t="s">
        <v>128</v>
      </c>
      <c r="D12928" s="13" t="n">
        <v>45186</v>
      </c>
      <c r="E12928" s="14" t="n">
        <v>8139.51</v>
      </c>
      <c r="F12928" s="14" t="n">
        <v>47351.37</v>
      </c>
      <c r="G12928" s="6" t="s">
        <v>2613</v>
      </c>
    </row>
    <row r="12929" customFormat="false" ht="15" hidden="false" customHeight="true" outlineLevel="0" collapsed="false">
      <c r="A12929" s="6" t="s">
        <v>15541</v>
      </c>
      <c r="B12929" s="6" t="s">
        <v>2579</v>
      </c>
      <c r="C12929" s="6" t="s">
        <v>128</v>
      </c>
      <c r="D12929" s="13" t="n">
        <v>45193</v>
      </c>
      <c r="E12929" s="14" t="n">
        <v>8239.48</v>
      </c>
      <c r="F12929" s="14" t="n">
        <v>55590.85</v>
      </c>
      <c r="G12929" s="6" t="s">
        <v>2623</v>
      </c>
    </row>
    <row r="12930" customFormat="false" ht="15" hidden="false" customHeight="true" outlineLevel="0" collapsed="false">
      <c r="A12930" s="6" t="s">
        <v>15542</v>
      </c>
      <c r="B12930" s="6" t="s">
        <v>2579</v>
      </c>
      <c r="C12930" s="6" t="s">
        <v>128</v>
      </c>
      <c r="D12930" s="13" t="n">
        <v>45200</v>
      </c>
      <c r="E12930" s="14" t="n">
        <v>12079.57</v>
      </c>
      <c r="F12930" s="14" t="n">
        <v>67670.42</v>
      </c>
      <c r="G12930" s="6" t="s">
        <v>2613</v>
      </c>
    </row>
    <row r="12931" customFormat="false" ht="15" hidden="false" customHeight="true" outlineLevel="0" collapsed="false">
      <c r="A12931" s="6" t="s">
        <v>15543</v>
      </c>
      <c r="B12931" s="6" t="s">
        <v>2581</v>
      </c>
      <c r="C12931" s="6" t="s">
        <v>124</v>
      </c>
      <c r="D12931" s="13" t="n">
        <v>45895</v>
      </c>
      <c r="E12931" s="14" t="n">
        <v>6257.3</v>
      </c>
      <c r="F12931" s="14" t="n">
        <v>6257.3</v>
      </c>
      <c r="G12931" s="6" t="s">
        <v>2613</v>
      </c>
    </row>
    <row r="12932" customFormat="false" ht="15" hidden="false" customHeight="true" outlineLevel="0" collapsed="false">
      <c r="A12932" s="6" t="s">
        <v>15544</v>
      </c>
      <c r="B12932" s="6" t="s">
        <v>2581</v>
      </c>
      <c r="C12932" s="6" t="s">
        <v>124</v>
      </c>
      <c r="D12932" s="13" t="n">
        <v>45902</v>
      </c>
      <c r="E12932" s="14" t="n">
        <v>6781.73</v>
      </c>
      <c r="F12932" s="14" t="n">
        <v>13039.03</v>
      </c>
      <c r="G12932" s="6" t="s">
        <v>2613</v>
      </c>
    </row>
    <row r="12933" customFormat="false" ht="15" hidden="false" customHeight="true" outlineLevel="0" collapsed="false">
      <c r="A12933" s="6" t="s">
        <v>15545</v>
      </c>
      <c r="B12933" s="6" t="s">
        <v>2581</v>
      </c>
      <c r="C12933" s="6" t="s">
        <v>124</v>
      </c>
      <c r="D12933" s="13" t="n">
        <v>45909</v>
      </c>
      <c r="E12933" s="14" t="n">
        <v>8168.28</v>
      </c>
      <c r="F12933" s="14" t="n">
        <v>21207.31</v>
      </c>
      <c r="G12933" s="6" t="s">
        <v>2623</v>
      </c>
    </row>
    <row r="12934" customFormat="false" ht="15" hidden="false" customHeight="true" outlineLevel="0" collapsed="false">
      <c r="A12934" s="6" t="s">
        <v>15546</v>
      </c>
      <c r="B12934" s="6" t="s">
        <v>2581</v>
      </c>
      <c r="C12934" s="6" t="s">
        <v>124</v>
      </c>
      <c r="D12934" s="13" t="n">
        <v>45916</v>
      </c>
      <c r="E12934" s="14" t="n">
        <v>3778.09</v>
      </c>
      <c r="F12934" s="14" t="n">
        <v>24985.4</v>
      </c>
      <c r="G12934" s="6" t="s">
        <v>2623</v>
      </c>
    </row>
    <row r="12935" customFormat="false" ht="15" hidden="false" customHeight="true" outlineLevel="0" collapsed="false">
      <c r="A12935" s="6" t="s">
        <v>15547</v>
      </c>
      <c r="B12935" s="6" t="s">
        <v>2581</v>
      </c>
      <c r="C12935" s="6" t="s">
        <v>124</v>
      </c>
      <c r="D12935" s="13" t="n">
        <v>45923</v>
      </c>
      <c r="E12935" s="14" t="n">
        <v>3805.09</v>
      </c>
      <c r="F12935" s="14" t="n">
        <v>28790.49</v>
      </c>
      <c r="G12935" s="6" t="s">
        <v>2613</v>
      </c>
    </row>
    <row r="12936" customFormat="false" ht="15" hidden="false" customHeight="true" outlineLevel="0" collapsed="false">
      <c r="A12936" s="6" t="s">
        <v>15548</v>
      </c>
      <c r="B12936" s="6" t="s">
        <v>2581</v>
      </c>
      <c r="C12936" s="6" t="s">
        <v>124</v>
      </c>
      <c r="D12936" s="13" t="n">
        <v>45930</v>
      </c>
      <c r="E12936" s="14" t="n">
        <v>7544.06</v>
      </c>
      <c r="F12936" s="14" t="n">
        <v>36334.55</v>
      </c>
      <c r="G12936" s="6" t="s">
        <v>2623</v>
      </c>
    </row>
    <row r="12937" customFormat="false" ht="15" hidden="false" customHeight="true" outlineLevel="0" collapsed="false">
      <c r="A12937" s="6" t="s">
        <v>15549</v>
      </c>
      <c r="B12937" s="6" t="s">
        <v>2581</v>
      </c>
      <c r="C12937" s="6" t="s">
        <v>124</v>
      </c>
      <c r="D12937" s="13" t="n">
        <v>45937</v>
      </c>
      <c r="E12937" s="14" t="n">
        <v>5127.41</v>
      </c>
      <c r="F12937" s="14" t="n">
        <v>41461.96</v>
      </c>
      <c r="G12937" s="6" t="s">
        <v>2613</v>
      </c>
    </row>
    <row r="12938" customFormat="false" ht="15" hidden="false" customHeight="true" outlineLevel="0" collapsed="false">
      <c r="A12938" s="6" t="s">
        <v>15550</v>
      </c>
      <c r="B12938" s="6" t="s">
        <v>2581</v>
      </c>
      <c r="C12938" s="6" t="s">
        <v>124</v>
      </c>
      <c r="D12938" s="13" t="n">
        <v>45944</v>
      </c>
      <c r="E12938" s="14" t="n">
        <v>5536.9</v>
      </c>
      <c r="F12938" s="14" t="n">
        <v>46998.86</v>
      </c>
      <c r="G12938" s="6" t="s">
        <v>2613</v>
      </c>
    </row>
    <row r="12939" customFormat="false" ht="15" hidden="false" customHeight="true" outlineLevel="0" collapsed="false">
      <c r="A12939" s="6" t="s">
        <v>15551</v>
      </c>
      <c r="B12939" s="6" t="s">
        <v>2581</v>
      </c>
      <c r="C12939" s="6" t="s">
        <v>124</v>
      </c>
      <c r="D12939" s="13" t="n">
        <v>45951</v>
      </c>
      <c r="E12939" s="14" t="n">
        <v>6709.76</v>
      </c>
      <c r="F12939" s="14" t="n">
        <v>53708.62</v>
      </c>
      <c r="G12939" s="6" t="s">
        <v>2613</v>
      </c>
    </row>
    <row r="12940" customFormat="false" ht="15" hidden="false" customHeight="true" outlineLevel="0" collapsed="false">
      <c r="A12940" s="6" t="s">
        <v>15552</v>
      </c>
      <c r="B12940" s="6" t="s">
        <v>2581</v>
      </c>
      <c r="C12940" s="6" t="s">
        <v>124</v>
      </c>
      <c r="D12940" s="13" t="n">
        <v>45958</v>
      </c>
      <c r="E12940" s="14" t="n">
        <v>6464.06</v>
      </c>
      <c r="F12940" s="14" t="n">
        <v>60172.68</v>
      </c>
      <c r="G12940" s="6" t="s">
        <v>2613</v>
      </c>
    </row>
    <row r="12941" customFormat="false" ht="15" hidden="false" customHeight="true" outlineLevel="0" collapsed="false">
      <c r="A12941" s="6" t="s">
        <v>15553</v>
      </c>
      <c r="B12941" s="6" t="s">
        <v>2581</v>
      </c>
      <c r="C12941" s="6" t="s">
        <v>124</v>
      </c>
      <c r="D12941" s="13" t="n">
        <v>45965</v>
      </c>
      <c r="E12941" s="14" t="n">
        <v>4736.94</v>
      </c>
      <c r="F12941" s="14" t="n">
        <v>64909.62</v>
      </c>
      <c r="G12941" s="6" t="s">
        <v>2613</v>
      </c>
    </row>
    <row r="12942" customFormat="false" ht="15" hidden="false" customHeight="true" outlineLevel="0" collapsed="false">
      <c r="A12942" s="6" t="s">
        <v>15554</v>
      </c>
      <c r="B12942" s="6" t="s">
        <v>2581</v>
      </c>
      <c r="C12942" s="6" t="s">
        <v>124</v>
      </c>
      <c r="D12942" s="13" t="n">
        <v>45972</v>
      </c>
      <c r="E12942" s="14" t="n">
        <v>5165.7</v>
      </c>
      <c r="F12942" s="14" t="n">
        <v>70075.32</v>
      </c>
      <c r="G12942" s="6" t="s">
        <v>2613</v>
      </c>
    </row>
    <row r="12943" customFormat="false" ht="15" hidden="false" customHeight="true" outlineLevel="0" collapsed="false">
      <c r="A12943" s="6" t="s">
        <v>15555</v>
      </c>
      <c r="B12943" s="6" t="s">
        <v>2583</v>
      </c>
      <c r="C12943" s="6" t="s">
        <v>128</v>
      </c>
      <c r="D12943" s="13" t="n">
        <v>45003</v>
      </c>
      <c r="E12943" s="14" t="n">
        <v>2280.56</v>
      </c>
      <c r="F12943" s="14" t="n">
        <v>2280.56</v>
      </c>
      <c r="G12943" s="6" t="s">
        <v>2613</v>
      </c>
    </row>
    <row r="12944" customFormat="false" ht="15" hidden="false" customHeight="true" outlineLevel="0" collapsed="false">
      <c r="A12944" s="6" t="s">
        <v>15556</v>
      </c>
      <c r="B12944" s="6" t="s">
        <v>2583</v>
      </c>
      <c r="C12944" s="6" t="s">
        <v>128</v>
      </c>
      <c r="D12944" s="13" t="n">
        <v>45010</v>
      </c>
      <c r="E12944" s="14" t="n">
        <v>4307.12</v>
      </c>
      <c r="F12944" s="14" t="n">
        <v>6587.68</v>
      </c>
      <c r="G12944" s="6" t="s">
        <v>2613</v>
      </c>
    </row>
    <row r="12945" customFormat="false" ht="15" hidden="false" customHeight="true" outlineLevel="0" collapsed="false">
      <c r="A12945" s="6" t="s">
        <v>15557</v>
      </c>
      <c r="B12945" s="6" t="s">
        <v>2583</v>
      </c>
      <c r="C12945" s="6" t="s">
        <v>128</v>
      </c>
      <c r="D12945" s="13" t="n">
        <v>45017</v>
      </c>
      <c r="E12945" s="14" t="n">
        <v>3895.45</v>
      </c>
      <c r="F12945" s="14" t="n">
        <v>10483.13</v>
      </c>
      <c r="G12945" s="6" t="s">
        <v>2623</v>
      </c>
    </row>
    <row r="12946" customFormat="false" ht="15" hidden="false" customHeight="true" outlineLevel="0" collapsed="false">
      <c r="A12946" s="6" t="s">
        <v>15558</v>
      </c>
      <c r="B12946" s="6" t="s">
        <v>2583</v>
      </c>
      <c r="C12946" s="6" t="s">
        <v>128</v>
      </c>
      <c r="D12946" s="13" t="n">
        <v>45024</v>
      </c>
      <c r="E12946" s="14" t="n">
        <v>2779.76</v>
      </c>
      <c r="F12946" s="14" t="n">
        <v>13262.89</v>
      </c>
      <c r="G12946" s="6" t="s">
        <v>2613</v>
      </c>
    </row>
    <row r="12947" customFormat="false" ht="15" hidden="false" customHeight="true" outlineLevel="0" collapsed="false">
      <c r="A12947" s="6" t="s">
        <v>15559</v>
      </c>
      <c r="B12947" s="6" t="s">
        <v>2583</v>
      </c>
      <c r="C12947" s="6" t="s">
        <v>128</v>
      </c>
      <c r="D12947" s="13" t="n">
        <v>45031</v>
      </c>
      <c r="E12947" s="14" t="n">
        <v>3686.98</v>
      </c>
      <c r="F12947" s="14" t="n">
        <v>16949.87</v>
      </c>
      <c r="G12947" s="6" t="s">
        <v>2613</v>
      </c>
    </row>
    <row r="12948" customFormat="false" ht="15" hidden="false" customHeight="true" outlineLevel="0" collapsed="false">
      <c r="A12948" s="6" t="s">
        <v>15560</v>
      </c>
      <c r="B12948" s="6" t="s">
        <v>2583</v>
      </c>
      <c r="C12948" s="6" t="s">
        <v>128</v>
      </c>
      <c r="D12948" s="13" t="n">
        <v>45038</v>
      </c>
      <c r="E12948" s="14" t="n">
        <v>2379.66</v>
      </c>
      <c r="F12948" s="14" t="n">
        <v>19329.53</v>
      </c>
      <c r="G12948" s="6" t="s">
        <v>2613</v>
      </c>
    </row>
    <row r="12949" customFormat="false" ht="15" hidden="false" customHeight="true" outlineLevel="0" collapsed="false">
      <c r="A12949" s="6" t="s">
        <v>15561</v>
      </c>
      <c r="B12949" s="6" t="s">
        <v>2583</v>
      </c>
      <c r="C12949" s="6" t="s">
        <v>128</v>
      </c>
      <c r="D12949" s="13" t="n">
        <v>45045</v>
      </c>
      <c r="E12949" s="14" t="n">
        <v>3853.52</v>
      </c>
      <c r="F12949" s="14" t="n">
        <v>23183.05</v>
      </c>
      <c r="G12949" s="6" t="s">
        <v>2613</v>
      </c>
    </row>
    <row r="12950" customFormat="false" ht="15" hidden="false" customHeight="true" outlineLevel="0" collapsed="false">
      <c r="A12950" s="6" t="s">
        <v>15562</v>
      </c>
      <c r="B12950" s="6" t="s">
        <v>2583</v>
      </c>
      <c r="C12950" s="6" t="s">
        <v>128</v>
      </c>
      <c r="D12950" s="13" t="n">
        <v>45052</v>
      </c>
      <c r="E12950" s="14" t="n">
        <v>2618.22</v>
      </c>
      <c r="F12950" s="14" t="n">
        <v>25801.27</v>
      </c>
      <c r="G12950" s="6" t="s">
        <v>2613</v>
      </c>
    </row>
    <row r="12951" customFormat="false" ht="15" hidden="false" customHeight="true" outlineLevel="0" collapsed="false">
      <c r="A12951" s="6" t="s">
        <v>15563</v>
      </c>
      <c r="B12951" s="6" t="s">
        <v>2585</v>
      </c>
      <c r="C12951" s="6" t="s">
        <v>131</v>
      </c>
      <c r="D12951" s="13" t="n">
        <v>45801</v>
      </c>
      <c r="E12951" s="14" t="n">
        <v>2602.8</v>
      </c>
      <c r="F12951" s="14" t="n">
        <v>2602.8</v>
      </c>
      <c r="G12951" s="6" t="s">
        <v>2613</v>
      </c>
    </row>
    <row r="12952" customFormat="false" ht="15" hidden="false" customHeight="true" outlineLevel="0" collapsed="false">
      <c r="A12952" s="6" t="s">
        <v>15564</v>
      </c>
      <c r="B12952" s="6" t="s">
        <v>2585</v>
      </c>
      <c r="C12952" s="6" t="s">
        <v>131</v>
      </c>
      <c r="D12952" s="13" t="n">
        <v>45808</v>
      </c>
      <c r="E12952" s="14" t="n">
        <v>1293.59</v>
      </c>
      <c r="F12952" s="14" t="n">
        <v>3896.39</v>
      </c>
      <c r="G12952" s="6" t="s">
        <v>2613</v>
      </c>
    </row>
    <row r="12953" customFormat="false" ht="15" hidden="false" customHeight="true" outlineLevel="0" collapsed="false">
      <c r="A12953" s="6" t="s">
        <v>15565</v>
      </c>
      <c r="B12953" s="6" t="s">
        <v>2585</v>
      </c>
      <c r="C12953" s="6" t="s">
        <v>131</v>
      </c>
      <c r="D12953" s="13" t="n">
        <v>45815</v>
      </c>
      <c r="E12953" s="14" t="n">
        <v>2295.12</v>
      </c>
      <c r="F12953" s="14" t="n">
        <v>6191.51</v>
      </c>
      <c r="G12953" s="6" t="s">
        <v>2613</v>
      </c>
    </row>
    <row r="12954" customFormat="false" ht="15" hidden="false" customHeight="true" outlineLevel="0" collapsed="false">
      <c r="A12954" s="6" t="s">
        <v>15566</v>
      </c>
      <c r="B12954" s="6" t="s">
        <v>2585</v>
      </c>
      <c r="C12954" s="6" t="s">
        <v>131</v>
      </c>
      <c r="D12954" s="13" t="n">
        <v>45822</v>
      </c>
      <c r="E12954" s="14" t="n">
        <v>1696.77</v>
      </c>
      <c r="F12954" s="14" t="n">
        <v>7888.28</v>
      </c>
      <c r="G12954" s="6" t="s">
        <v>2613</v>
      </c>
    </row>
    <row r="12955" customFormat="false" ht="15" hidden="false" customHeight="true" outlineLevel="0" collapsed="false">
      <c r="A12955" s="6" t="s">
        <v>15567</v>
      </c>
      <c r="B12955" s="6" t="s">
        <v>2585</v>
      </c>
      <c r="C12955" s="6" t="s">
        <v>131</v>
      </c>
      <c r="D12955" s="13" t="n">
        <v>45829</v>
      </c>
      <c r="E12955" s="14" t="n">
        <v>1376.17</v>
      </c>
      <c r="F12955" s="14" t="n">
        <v>9264.45</v>
      </c>
      <c r="G12955" s="6" t="s">
        <v>2613</v>
      </c>
    </row>
    <row r="12956" customFormat="false" ht="15" hidden="false" customHeight="true" outlineLevel="0" collapsed="false">
      <c r="A12956" s="6" t="s">
        <v>15568</v>
      </c>
      <c r="B12956" s="6" t="s">
        <v>2585</v>
      </c>
      <c r="C12956" s="6" t="s">
        <v>131</v>
      </c>
      <c r="D12956" s="13" t="n">
        <v>45836</v>
      </c>
      <c r="E12956" s="14" t="n">
        <v>1851.73</v>
      </c>
      <c r="F12956" s="14" t="n">
        <v>11116.18</v>
      </c>
      <c r="G12956" s="6" t="s">
        <v>2623</v>
      </c>
    </row>
    <row r="12957" customFormat="false" ht="15" hidden="false" customHeight="true" outlineLevel="0" collapsed="false">
      <c r="A12957" s="6" t="s">
        <v>15569</v>
      </c>
      <c r="B12957" s="6" t="s">
        <v>2585</v>
      </c>
      <c r="C12957" s="6" t="s">
        <v>131</v>
      </c>
      <c r="D12957" s="13" t="n">
        <v>45843</v>
      </c>
      <c r="E12957" s="14" t="n">
        <v>2287.96</v>
      </c>
      <c r="F12957" s="14" t="n">
        <v>13404.14</v>
      </c>
      <c r="G12957" s="6" t="s">
        <v>2613</v>
      </c>
    </row>
    <row r="12958" customFormat="false" ht="15" hidden="false" customHeight="true" outlineLevel="0" collapsed="false">
      <c r="A12958" s="6" t="s">
        <v>15570</v>
      </c>
      <c r="B12958" s="6" t="s">
        <v>2585</v>
      </c>
      <c r="C12958" s="6" t="s">
        <v>131</v>
      </c>
      <c r="D12958" s="13" t="n">
        <v>45850</v>
      </c>
      <c r="E12958" s="14" t="n">
        <v>1767.08</v>
      </c>
      <c r="F12958" s="14" t="n">
        <v>15171.22</v>
      </c>
      <c r="G12958" s="6" t="s">
        <v>2613</v>
      </c>
    </row>
    <row r="12959" customFormat="false" ht="15" hidden="false" customHeight="true" outlineLevel="0" collapsed="false">
      <c r="A12959" s="6" t="s">
        <v>15571</v>
      </c>
      <c r="B12959" s="6" t="s">
        <v>2587</v>
      </c>
      <c r="C12959" s="6" t="s">
        <v>124</v>
      </c>
      <c r="D12959" s="13" t="n">
        <v>44987</v>
      </c>
      <c r="E12959" s="14" t="n">
        <v>3297.98</v>
      </c>
      <c r="F12959" s="14" t="n">
        <v>3297.98</v>
      </c>
      <c r="G12959" s="6" t="s">
        <v>2613</v>
      </c>
    </row>
    <row r="12960" customFormat="false" ht="15" hidden="false" customHeight="true" outlineLevel="0" collapsed="false">
      <c r="A12960" s="6" t="s">
        <v>15572</v>
      </c>
      <c r="B12960" s="6" t="s">
        <v>2587</v>
      </c>
      <c r="C12960" s="6" t="s">
        <v>124</v>
      </c>
      <c r="D12960" s="13" t="n">
        <v>44994</v>
      </c>
      <c r="E12960" s="14" t="n">
        <v>3163.92</v>
      </c>
      <c r="F12960" s="14" t="n">
        <v>6461.9</v>
      </c>
      <c r="G12960" s="6" t="s">
        <v>2613</v>
      </c>
    </row>
    <row r="12961" customFormat="false" ht="15" hidden="false" customHeight="true" outlineLevel="0" collapsed="false">
      <c r="A12961" s="6" t="s">
        <v>15573</v>
      </c>
      <c r="B12961" s="6" t="s">
        <v>2587</v>
      </c>
      <c r="C12961" s="6" t="s">
        <v>124</v>
      </c>
      <c r="D12961" s="13" t="n">
        <v>45001</v>
      </c>
      <c r="E12961" s="14" t="n">
        <v>2450.38</v>
      </c>
      <c r="F12961" s="14" t="n">
        <v>8912.28</v>
      </c>
      <c r="G12961" s="6" t="s">
        <v>2623</v>
      </c>
    </row>
    <row r="12962" customFormat="false" ht="15" hidden="false" customHeight="true" outlineLevel="0" collapsed="false">
      <c r="A12962" s="6" t="s">
        <v>15574</v>
      </c>
      <c r="B12962" s="6" t="s">
        <v>2587</v>
      </c>
      <c r="C12962" s="6" t="s">
        <v>124</v>
      </c>
      <c r="D12962" s="13" t="n">
        <v>45008</v>
      </c>
      <c r="E12962" s="14" t="n">
        <v>2534.66</v>
      </c>
      <c r="F12962" s="14" t="n">
        <v>11446.94</v>
      </c>
      <c r="G12962" s="6" t="s">
        <v>2613</v>
      </c>
    </row>
    <row r="12963" customFormat="false" ht="15" hidden="false" customHeight="true" outlineLevel="0" collapsed="false">
      <c r="A12963" s="6" t="s">
        <v>15575</v>
      </c>
      <c r="B12963" s="6" t="s">
        <v>2587</v>
      </c>
      <c r="C12963" s="6" t="s">
        <v>124</v>
      </c>
      <c r="D12963" s="13" t="n">
        <v>45015</v>
      </c>
      <c r="E12963" s="14" t="n">
        <v>2057.65</v>
      </c>
      <c r="F12963" s="14" t="n">
        <v>13504.59</v>
      </c>
      <c r="G12963" s="6" t="s">
        <v>2613</v>
      </c>
    </row>
    <row r="12964" customFormat="false" ht="15" hidden="false" customHeight="true" outlineLevel="0" collapsed="false">
      <c r="A12964" s="6" t="s">
        <v>15576</v>
      </c>
      <c r="B12964" s="6" t="s">
        <v>2587</v>
      </c>
      <c r="C12964" s="6" t="s">
        <v>124</v>
      </c>
      <c r="D12964" s="13" t="n">
        <v>45022</v>
      </c>
      <c r="E12964" s="14" t="n">
        <v>2699.89</v>
      </c>
      <c r="F12964" s="14" t="n">
        <v>16204.48</v>
      </c>
      <c r="G12964" s="6" t="s">
        <v>2613</v>
      </c>
    </row>
    <row r="12965" customFormat="false" ht="15" hidden="false" customHeight="true" outlineLevel="0" collapsed="false">
      <c r="A12965" s="6" t="s">
        <v>15577</v>
      </c>
      <c r="B12965" s="6" t="s">
        <v>2587</v>
      </c>
      <c r="C12965" s="6" t="s">
        <v>124</v>
      </c>
      <c r="D12965" s="13" t="n">
        <v>45029</v>
      </c>
      <c r="E12965" s="14" t="n">
        <v>4070.58</v>
      </c>
      <c r="F12965" s="14" t="n">
        <v>20275.06</v>
      </c>
      <c r="G12965" s="6" t="s">
        <v>2613</v>
      </c>
    </row>
    <row r="12966" customFormat="false" ht="15" hidden="false" customHeight="true" outlineLevel="0" collapsed="false">
      <c r="A12966" s="6" t="s">
        <v>15578</v>
      </c>
      <c r="B12966" s="6" t="s">
        <v>2587</v>
      </c>
      <c r="C12966" s="6" t="s">
        <v>124</v>
      </c>
      <c r="D12966" s="13" t="n">
        <v>45036</v>
      </c>
      <c r="E12966" s="14" t="n">
        <v>2125.33</v>
      </c>
      <c r="F12966" s="14" t="n">
        <v>22400.39</v>
      </c>
      <c r="G12966" s="6" t="s">
        <v>2613</v>
      </c>
    </row>
    <row r="12967" customFormat="false" ht="15" hidden="false" customHeight="true" outlineLevel="0" collapsed="false">
      <c r="A12967" s="6" t="s">
        <v>15579</v>
      </c>
      <c r="B12967" s="6" t="s">
        <v>2587</v>
      </c>
      <c r="C12967" s="6" t="s">
        <v>124</v>
      </c>
      <c r="D12967" s="13" t="n">
        <v>45043</v>
      </c>
      <c r="E12967" s="14" t="n">
        <v>7701.57</v>
      </c>
      <c r="F12967" s="14" t="n">
        <v>30101.96</v>
      </c>
      <c r="G12967" s="6" t="s">
        <v>2613</v>
      </c>
    </row>
    <row r="12968" customFormat="false" ht="15" hidden="false" customHeight="true" outlineLevel="0" collapsed="false">
      <c r="A12968" s="6" t="s">
        <v>15580</v>
      </c>
      <c r="B12968" s="6" t="s">
        <v>2589</v>
      </c>
      <c r="C12968" s="6" t="s">
        <v>116</v>
      </c>
      <c r="D12968" s="13" t="n">
        <v>45749</v>
      </c>
      <c r="E12968" s="14" t="n">
        <v>435.22</v>
      </c>
      <c r="F12968" s="14" t="n">
        <v>435.22</v>
      </c>
      <c r="G12968" s="6" t="s">
        <v>2613</v>
      </c>
    </row>
    <row r="12969" customFormat="false" ht="15" hidden="false" customHeight="true" outlineLevel="0" collapsed="false">
      <c r="A12969" s="6" t="s">
        <v>15581</v>
      </c>
      <c r="B12969" s="6" t="s">
        <v>2589</v>
      </c>
      <c r="C12969" s="6" t="s">
        <v>116</v>
      </c>
      <c r="D12969" s="13" t="n">
        <v>45756</v>
      </c>
      <c r="E12969" s="14" t="n">
        <v>589.08</v>
      </c>
      <c r="F12969" s="14" t="n">
        <v>1024.3</v>
      </c>
      <c r="G12969" s="6" t="s">
        <v>2613</v>
      </c>
    </row>
    <row r="12970" customFormat="false" ht="15" hidden="false" customHeight="true" outlineLevel="0" collapsed="false">
      <c r="A12970" s="6" t="s">
        <v>15582</v>
      </c>
      <c r="B12970" s="6" t="s">
        <v>2589</v>
      </c>
      <c r="C12970" s="6" t="s">
        <v>116</v>
      </c>
      <c r="D12970" s="13" t="n">
        <v>45763</v>
      </c>
      <c r="E12970" s="14" t="n">
        <v>503.3</v>
      </c>
      <c r="F12970" s="14" t="n">
        <v>1527.6</v>
      </c>
      <c r="G12970" s="6" t="s">
        <v>2613</v>
      </c>
    </row>
    <row r="12971" customFormat="false" ht="15" hidden="false" customHeight="true" outlineLevel="0" collapsed="false">
      <c r="A12971" s="6" t="s">
        <v>15583</v>
      </c>
      <c r="B12971" s="6" t="s">
        <v>2589</v>
      </c>
      <c r="C12971" s="6" t="s">
        <v>116</v>
      </c>
      <c r="D12971" s="13" t="n">
        <v>45770</v>
      </c>
      <c r="E12971" s="14" t="n">
        <v>616.27</v>
      </c>
      <c r="F12971" s="14" t="n">
        <v>2143.87</v>
      </c>
      <c r="G12971" s="6" t="s">
        <v>2613</v>
      </c>
    </row>
    <row r="12972" customFormat="false" ht="15" hidden="false" customHeight="true" outlineLevel="0" collapsed="false">
      <c r="A12972" s="6" t="s">
        <v>15584</v>
      </c>
      <c r="B12972" s="6" t="s">
        <v>2589</v>
      </c>
      <c r="C12972" s="6" t="s">
        <v>116</v>
      </c>
      <c r="D12972" s="13" t="n">
        <v>45777</v>
      </c>
      <c r="E12972" s="14" t="n">
        <v>409.41</v>
      </c>
      <c r="F12972" s="14" t="n">
        <v>2553.28</v>
      </c>
      <c r="G12972" s="6" t="s">
        <v>2613</v>
      </c>
    </row>
    <row r="12973" customFormat="false" ht="15" hidden="false" customHeight="true" outlineLevel="0" collapsed="false">
      <c r="A12973" s="6" t="s">
        <v>15585</v>
      </c>
      <c r="B12973" s="6" t="s">
        <v>2589</v>
      </c>
      <c r="C12973" s="6" t="s">
        <v>116</v>
      </c>
      <c r="D12973" s="13" t="n">
        <v>45784</v>
      </c>
      <c r="E12973" s="14" t="n">
        <v>404.58</v>
      </c>
      <c r="F12973" s="14" t="n">
        <v>2957.86</v>
      </c>
      <c r="G12973" s="6" t="s">
        <v>2613</v>
      </c>
    </row>
    <row r="12974" customFormat="false" ht="15" hidden="false" customHeight="true" outlineLevel="0" collapsed="false">
      <c r="A12974" s="6" t="s">
        <v>15586</v>
      </c>
      <c r="B12974" s="6" t="s">
        <v>2589</v>
      </c>
      <c r="C12974" s="6" t="s">
        <v>116</v>
      </c>
      <c r="D12974" s="13" t="n">
        <v>45791</v>
      </c>
      <c r="E12974" s="14" t="n">
        <v>570.89</v>
      </c>
      <c r="F12974" s="14" t="n">
        <v>3528.75</v>
      </c>
      <c r="G12974" s="6" t="s">
        <v>2613</v>
      </c>
    </row>
    <row r="12975" customFormat="false" ht="15" hidden="false" customHeight="true" outlineLevel="0" collapsed="false">
      <c r="A12975" s="6" t="s">
        <v>15587</v>
      </c>
      <c r="B12975" s="6" t="s">
        <v>2589</v>
      </c>
      <c r="C12975" s="6" t="s">
        <v>116</v>
      </c>
      <c r="D12975" s="13" t="n">
        <v>45798</v>
      </c>
      <c r="E12975" s="14" t="n">
        <v>92.67</v>
      </c>
      <c r="F12975" s="14" t="n">
        <v>3621.42</v>
      </c>
      <c r="G12975" s="6" t="s">
        <v>2613</v>
      </c>
    </row>
    <row r="12976" customFormat="false" ht="15" hidden="false" customHeight="true" outlineLevel="0" collapsed="false">
      <c r="A12976" s="6" t="s">
        <v>15588</v>
      </c>
      <c r="B12976" s="6" t="s">
        <v>2591</v>
      </c>
      <c r="C12976" s="6" t="s">
        <v>116</v>
      </c>
      <c r="D12976" s="13" t="n">
        <v>45489</v>
      </c>
      <c r="E12976" s="14" t="n">
        <v>3758.19</v>
      </c>
      <c r="F12976" s="14" t="n">
        <v>3758.19</v>
      </c>
      <c r="G12976" s="6" t="s">
        <v>2613</v>
      </c>
    </row>
    <row r="12977" customFormat="false" ht="15" hidden="false" customHeight="true" outlineLevel="0" collapsed="false">
      <c r="A12977" s="6" t="s">
        <v>15589</v>
      </c>
      <c r="B12977" s="6" t="s">
        <v>2591</v>
      </c>
      <c r="C12977" s="6" t="s">
        <v>116</v>
      </c>
      <c r="D12977" s="13" t="n">
        <v>45496</v>
      </c>
      <c r="E12977" s="14" t="n">
        <v>3292.53</v>
      </c>
      <c r="F12977" s="14" t="n">
        <v>7050.72</v>
      </c>
      <c r="G12977" s="6" t="s">
        <v>2613</v>
      </c>
    </row>
    <row r="12978" customFormat="false" ht="15" hidden="false" customHeight="true" outlineLevel="0" collapsed="false">
      <c r="A12978" s="6" t="s">
        <v>15590</v>
      </c>
      <c r="B12978" s="6" t="s">
        <v>2591</v>
      </c>
      <c r="C12978" s="6" t="s">
        <v>116</v>
      </c>
      <c r="D12978" s="13" t="n">
        <v>45503</v>
      </c>
      <c r="E12978" s="14" t="n">
        <v>4033.02</v>
      </c>
      <c r="F12978" s="14" t="n">
        <v>11083.74</v>
      </c>
      <c r="G12978" s="6" t="s">
        <v>2613</v>
      </c>
    </row>
    <row r="12979" customFormat="false" ht="15" hidden="false" customHeight="true" outlineLevel="0" collapsed="false">
      <c r="A12979" s="6" t="s">
        <v>15591</v>
      </c>
      <c r="B12979" s="6" t="s">
        <v>2591</v>
      </c>
      <c r="C12979" s="6" t="s">
        <v>116</v>
      </c>
      <c r="D12979" s="13" t="n">
        <v>45510</v>
      </c>
      <c r="E12979" s="14" t="n">
        <v>8388.21</v>
      </c>
      <c r="F12979" s="14" t="n">
        <v>19471.95</v>
      </c>
      <c r="G12979" s="6" t="s">
        <v>2613</v>
      </c>
    </row>
    <row r="12980" customFormat="false" ht="15" hidden="false" customHeight="true" outlineLevel="0" collapsed="false">
      <c r="A12980" s="6" t="s">
        <v>15592</v>
      </c>
      <c r="B12980" s="6" t="s">
        <v>2593</v>
      </c>
      <c r="C12980" s="6" t="s">
        <v>120</v>
      </c>
      <c r="D12980" s="13" t="n">
        <v>45536</v>
      </c>
      <c r="E12980" s="14" t="n">
        <v>3045.41</v>
      </c>
      <c r="F12980" s="14" t="n">
        <v>3045.41</v>
      </c>
      <c r="G12980" s="6" t="s">
        <v>2613</v>
      </c>
    </row>
    <row r="12981" customFormat="false" ht="15" hidden="false" customHeight="true" outlineLevel="0" collapsed="false">
      <c r="A12981" s="6" t="s">
        <v>15593</v>
      </c>
      <c r="B12981" s="6" t="s">
        <v>2593</v>
      </c>
      <c r="C12981" s="6" t="s">
        <v>120</v>
      </c>
      <c r="D12981" s="13" t="n">
        <v>45543</v>
      </c>
      <c r="E12981" s="14" t="n">
        <v>2115.41</v>
      </c>
      <c r="F12981" s="14" t="n">
        <v>5160.82</v>
      </c>
      <c r="G12981" s="6" t="s">
        <v>2613</v>
      </c>
    </row>
    <row r="12982" customFormat="false" ht="15" hidden="false" customHeight="true" outlineLevel="0" collapsed="false">
      <c r="A12982" s="6" t="s">
        <v>15594</v>
      </c>
      <c r="B12982" s="6" t="s">
        <v>2593</v>
      </c>
      <c r="C12982" s="6" t="s">
        <v>120</v>
      </c>
      <c r="D12982" s="13" t="n">
        <v>45550</v>
      </c>
      <c r="E12982" s="14" t="n">
        <v>2519.54</v>
      </c>
      <c r="F12982" s="14" t="n">
        <v>7680.36</v>
      </c>
      <c r="G12982" s="6" t="s">
        <v>2613</v>
      </c>
    </row>
    <row r="12983" customFormat="false" ht="15" hidden="false" customHeight="true" outlineLevel="0" collapsed="false">
      <c r="A12983" s="6" t="s">
        <v>15595</v>
      </c>
      <c r="B12983" s="6" t="s">
        <v>2593</v>
      </c>
      <c r="C12983" s="6" t="s">
        <v>120</v>
      </c>
      <c r="D12983" s="13" t="n">
        <v>45557</v>
      </c>
      <c r="E12983" s="14" t="n">
        <v>2908.29</v>
      </c>
      <c r="F12983" s="14" t="n">
        <v>10588.65</v>
      </c>
      <c r="G12983" s="6" t="s">
        <v>2623</v>
      </c>
    </row>
    <row r="12984" customFormat="false" ht="15" hidden="false" customHeight="true" outlineLevel="0" collapsed="false">
      <c r="A12984" s="6" t="s">
        <v>15596</v>
      </c>
      <c r="B12984" s="6" t="s">
        <v>2593</v>
      </c>
      <c r="C12984" s="6" t="s">
        <v>120</v>
      </c>
      <c r="D12984" s="13" t="n">
        <v>45564</v>
      </c>
      <c r="E12984" s="14" t="n">
        <v>1808.81</v>
      </c>
      <c r="F12984" s="14" t="n">
        <v>12397.46</v>
      </c>
      <c r="G12984" s="6" t="s">
        <v>2613</v>
      </c>
    </row>
    <row r="12985" customFormat="false" ht="15" hidden="false" customHeight="true" outlineLevel="0" collapsed="false">
      <c r="A12985" s="6" t="s">
        <v>15597</v>
      </c>
      <c r="B12985" s="6" t="s">
        <v>2593</v>
      </c>
      <c r="C12985" s="6" t="s">
        <v>120</v>
      </c>
      <c r="D12985" s="13" t="n">
        <v>45571</v>
      </c>
      <c r="E12985" s="14" t="n">
        <v>2994.68</v>
      </c>
      <c r="F12985" s="14" t="n">
        <v>15392.14</v>
      </c>
      <c r="G12985" s="6" t="s">
        <v>2613</v>
      </c>
    </row>
    <row r="12986" customFormat="false" ht="15" hidden="false" customHeight="true" outlineLevel="0" collapsed="false">
      <c r="A12986" s="6" t="s">
        <v>15598</v>
      </c>
      <c r="B12986" s="6" t="s">
        <v>2593</v>
      </c>
      <c r="C12986" s="6" t="s">
        <v>120</v>
      </c>
      <c r="D12986" s="13" t="n">
        <v>45578</v>
      </c>
      <c r="E12986" s="14" t="n">
        <v>2752.7</v>
      </c>
      <c r="F12986" s="14" t="n">
        <v>18144.84</v>
      </c>
      <c r="G12986" s="6" t="s">
        <v>2613</v>
      </c>
    </row>
    <row r="12987" customFormat="false" ht="15" hidden="false" customHeight="true" outlineLevel="0" collapsed="false">
      <c r="A12987" s="6" t="s">
        <v>15599</v>
      </c>
      <c r="B12987" s="6" t="s">
        <v>2593</v>
      </c>
      <c r="C12987" s="6" t="s">
        <v>120</v>
      </c>
      <c r="D12987" s="13" t="n">
        <v>45585</v>
      </c>
      <c r="E12987" s="14" t="n">
        <v>1392.2</v>
      </c>
      <c r="F12987" s="14" t="n">
        <v>19537.04</v>
      </c>
      <c r="G12987" s="6" t="s">
        <v>2613</v>
      </c>
    </row>
    <row r="12988" customFormat="false" ht="15" hidden="false" customHeight="true" outlineLevel="0" collapsed="false">
      <c r="A12988" s="6" t="s">
        <v>15600</v>
      </c>
      <c r="B12988" s="6" t="s">
        <v>2595</v>
      </c>
      <c r="C12988" s="6" t="s">
        <v>120</v>
      </c>
      <c r="D12988" s="13" t="n">
        <v>45354</v>
      </c>
      <c r="E12988" s="14" t="n">
        <v>2090.73</v>
      </c>
      <c r="F12988" s="14" t="n">
        <v>2090.73</v>
      </c>
      <c r="G12988" s="6" t="s">
        <v>2613</v>
      </c>
    </row>
    <row r="12989" customFormat="false" ht="15" hidden="false" customHeight="true" outlineLevel="0" collapsed="false">
      <c r="A12989" s="6" t="s">
        <v>15601</v>
      </c>
      <c r="B12989" s="6" t="s">
        <v>2595</v>
      </c>
      <c r="C12989" s="6" t="s">
        <v>120</v>
      </c>
      <c r="D12989" s="13" t="n">
        <v>45361</v>
      </c>
      <c r="E12989" s="14" t="n">
        <v>3859.78</v>
      </c>
      <c r="F12989" s="14" t="n">
        <v>5950.51</v>
      </c>
      <c r="G12989" s="6" t="s">
        <v>2613</v>
      </c>
    </row>
    <row r="12990" customFormat="false" ht="15" hidden="false" customHeight="true" outlineLevel="0" collapsed="false">
      <c r="A12990" s="6" t="s">
        <v>15602</v>
      </c>
      <c r="B12990" s="6" t="s">
        <v>2595</v>
      </c>
      <c r="C12990" s="6" t="s">
        <v>120</v>
      </c>
      <c r="D12990" s="13" t="n">
        <v>45368</v>
      </c>
      <c r="E12990" s="14" t="n">
        <v>4174.77</v>
      </c>
      <c r="F12990" s="14" t="n">
        <v>10125.28</v>
      </c>
      <c r="G12990" s="6" t="s">
        <v>2613</v>
      </c>
    </row>
    <row r="12991" customFormat="false" ht="15" hidden="false" customHeight="true" outlineLevel="0" collapsed="false">
      <c r="A12991" s="6" t="s">
        <v>15603</v>
      </c>
      <c r="B12991" s="6" t="s">
        <v>2595</v>
      </c>
      <c r="C12991" s="6" t="s">
        <v>120</v>
      </c>
      <c r="D12991" s="13" t="n">
        <v>45375</v>
      </c>
      <c r="E12991" s="14" t="n">
        <v>3914.11</v>
      </c>
      <c r="F12991" s="14" t="n">
        <v>14039.39</v>
      </c>
      <c r="G12991" s="6" t="s">
        <v>2613</v>
      </c>
    </row>
    <row r="12992" customFormat="false" ht="15" hidden="false" customHeight="true" outlineLevel="0" collapsed="false">
      <c r="A12992" s="6" t="s">
        <v>15604</v>
      </c>
      <c r="B12992" s="6" t="s">
        <v>2595</v>
      </c>
      <c r="C12992" s="6" t="s">
        <v>120</v>
      </c>
      <c r="D12992" s="13" t="n">
        <v>45382</v>
      </c>
      <c r="E12992" s="14" t="n">
        <v>2418.56</v>
      </c>
      <c r="F12992" s="14" t="n">
        <v>16457.95</v>
      </c>
      <c r="G12992" s="6" t="s">
        <v>2613</v>
      </c>
    </row>
    <row r="12993" customFormat="false" ht="15" hidden="false" customHeight="true" outlineLevel="0" collapsed="false">
      <c r="A12993" s="6" t="s">
        <v>15605</v>
      </c>
      <c r="B12993" s="6" t="s">
        <v>2595</v>
      </c>
      <c r="C12993" s="6" t="s">
        <v>120</v>
      </c>
      <c r="D12993" s="13" t="n">
        <v>45389</v>
      </c>
      <c r="E12993" s="14" t="n">
        <v>4071.02</v>
      </c>
      <c r="F12993" s="14" t="n">
        <v>20528.97</v>
      </c>
      <c r="G12993" s="6" t="s">
        <v>2613</v>
      </c>
    </row>
    <row r="12994" customFormat="false" ht="15" hidden="false" customHeight="true" outlineLevel="0" collapsed="false">
      <c r="A12994" s="6" t="s">
        <v>15606</v>
      </c>
      <c r="B12994" s="6" t="s">
        <v>2595</v>
      </c>
      <c r="C12994" s="6" t="s">
        <v>120</v>
      </c>
      <c r="D12994" s="13" t="n">
        <v>45396</v>
      </c>
      <c r="E12994" s="14" t="n">
        <v>3478.42</v>
      </c>
      <c r="F12994" s="14" t="n">
        <v>24007.39</v>
      </c>
      <c r="G12994" s="6" t="s">
        <v>2613</v>
      </c>
    </row>
    <row r="12995" customFormat="false" ht="15" hidden="false" customHeight="true" outlineLevel="0" collapsed="false">
      <c r="A12995" s="6" t="s">
        <v>15607</v>
      </c>
      <c r="B12995" s="6" t="s">
        <v>2595</v>
      </c>
      <c r="C12995" s="6" t="s">
        <v>120</v>
      </c>
      <c r="D12995" s="13" t="n">
        <v>45403</v>
      </c>
      <c r="E12995" s="14" t="n">
        <v>3429.12</v>
      </c>
      <c r="F12995" s="14" t="n">
        <v>27436.51</v>
      </c>
      <c r="G12995" s="6" t="s">
        <v>2613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6" min="6" style="1" width="28"/>
    <col collapsed="false" customWidth="true" hidden="false" outlineLevel="0" max="7" min="7" style="1" width="20"/>
  </cols>
  <sheetData>
    <row r="1" customFormat="false" ht="23.25" hidden="false" customHeight="true" outlineLevel="0" collapsed="false">
      <c r="A1" s="5" t="s">
        <v>15608</v>
      </c>
      <c r="B1" s="5" t="s">
        <v>76</v>
      </c>
      <c r="C1" s="5" t="s">
        <v>77</v>
      </c>
      <c r="D1" s="5" t="s">
        <v>15609</v>
      </c>
      <c r="E1" s="5" t="s">
        <v>15610</v>
      </c>
      <c r="F1" s="5" t="s">
        <v>15611</v>
      </c>
      <c r="G1" s="5" t="s">
        <v>15612</v>
      </c>
    </row>
    <row r="2" customFormat="false" ht="15" hidden="false" customHeight="true" outlineLevel="0" collapsed="false">
      <c r="A2" s="6" t="s">
        <v>15613</v>
      </c>
      <c r="B2" s="6" t="s">
        <v>150</v>
      </c>
      <c r="C2" s="6" t="s">
        <v>131</v>
      </c>
      <c r="D2" s="6" t="s">
        <v>13</v>
      </c>
      <c r="E2" s="14" t="n">
        <v>1806.42</v>
      </c>
      <c r="F2" s="14" t="n">
        <v>1806.42</v>
      </c>
      <c r="G2" s="6" t="s">
        <v>15614</v>
      </c>
    </row>
    <row r="3" customFormat="false" ht="15" hidden="false" customHeight="true" outlineLevel="0" collapsed="false">
      <c r="A3" s="6" t="s">
        <v>15615</v>
      </c>
      <c r="B3" s="6" t="s">
        <v>150</v>
      </c>
      <c r="C3" s="6" t="s">
        <v>131</v>
      </c>
      <c r="D3" s="6" t="s">
        <v>14</v>
      </c>
      <c r="E3" s="14" t="n">
        <v>1806.42</v>
      </c>
      <c r="F3" s="14" t="n">
        <v>3612.84</v>
      </c>
      <c r="G3" s="6" t="s">
        <v>15614</v>
      </c>
    </row>
    <row r="4" customFormat="false" ht="15" hidden="false" customHeight="true" outlineLevel="0" collapsed="false">
      <c r="A4" s="6" t="s">
        <v>15616</v>
      </c>
      <c r="B4" s="6" t="s">
        <v>150</v>
      </c>
      <c r="C4" s="6" t="s">
        <v>131</v>
      </c>
      <c r="D4" s="6" t="s">
        <v>15</v>
      </c>
      <c r="E4" s="14" t="n">
        <v>1806.42</v>
      </c>
      <c r="F4" s="14" t="n">
        <v>5419.26</v>
      </c>
      <c r="G4" s="6" t="s">
        <v>15614</v>
      </c>
    </row>
    <row r="5" customFormat="false" ht="15" hidden="false" customHeight="true" outlineLevel="0" collapsed="false">
      <c r="A5" s="6" t="s">
        <v>15617</v>
      </c>
      <c r="B5" s="6" t="s">
        <v>150</v>
      </c>
      <c r="C5" s="6" t="s">
        <v>131</v>
      </c>
      <c r="D5" s="6" t="s">
        <v>16</v>
      </c>
      <c r="E5" s="14" t="n">
        <v>1806.42</v>
      </c>
      <c r="F5" s="14" t="n">
        <v>7225.68</v>
      </c>
      <c r="G5" s="6" t="s">
        <v>15614</v>
      </c>
    </row>
    <row r="6" customFormat="false" ht="15" hidden="false" customHeight="true" outlineLevel="0" collapsed="false">
      <c r="A6" s="6" t="s">
        <v>15618</v>
      </c>
      <c r="B6" s="6" t="s">
        <v>156</v>
      </c>
      <c r="C6" s="6" t="s">
        <v>120</v>
      </c>
      <c r="D6" s="6" t="s">
        <v>56</v>
      </c>
      <c r="E6" s="14" t="n">
        <v>3691.68</v>
      </c>
      <c r="F6" s="14" t="n">
        <v>3691.68</v>
      </c>
      <c r="G6" s="6" t="s">
        <v>15614</v>
      </c>
    </row>
    <row r="7" customFormat="false" ht="15" hidden="false" customHeight="true" outlineLevel="0" collapsed="false">
      <c r="A7" s="6" t="s">
        <v>15619</v>
      </c>
      <c r="B7" s="6" t="s">
        <v>156</v>
      </c>
      <c r="C7" s="6" t="s">
        <v>120</v>
      </c>
      <c r="D7" s="6" t="s">
        <v>57</v>
      </c>
      <c r="E7" s="14" t="n">
        <v>3691.68</v>
      </c>
      <c r="F7" s="14" t="n">
        <v>7383.36</v>
      </c>
      <c r="G7" s="6" t="s">
        <v>15614</v>
      </c>
    </row>
    <row r="8" customFormat="false" ht="15" hidden="false" customHeight="true" outlineLevel="0" collapsed="false">
      <c r="A8" s="6" t="s">
        <v>15620</v>
      </c>
      <c r="B8" s="6" t="s">
        <v>162</v>
      </c>
      <c r="C8" s="6" t="s">
        <v>112</v>
      </c>
      <c r="D8" s="6" t="s">
        <v>20</v>
      </c>
      <c r="E8" s="14" t="n">
        <v>1833.85</v>
      </c>
      <c r="F8" s="14" t="n">
        <v>1833.85</v>
      </c>
      <c r="G8" s="6" t="s">
        <v>15614</v>
      </c>
    </row>
    <row r="9" customFormat="false" ht="15" hidden="false" customHeight="true" outlineLevel="0" collapsed="false">
      <c r="A9" s="6" t="s">
        <v>15621</v>
      </c>
      <c r="B9" s="6" t="s">
        <v>162</v>
      </c>
      <c r="C9" s="6" t="s">
        <v>112</v>
      </c>
      <c r="D9" s="6" t="s">
        <v>21</v>
      </c>
      <c r="E9" s="14" t="n">
        <v>1833.85</v>
      </c>
      <c r="F9" s="14" t="n">
        <v>3667.7</v>
      </c>
      <c r="G9" s="6" t="s">
        <v>15614</v>
      </c>
    </row>
    <row r="10" customFormat="false" ht="15" hidden="false" customHeight="true" outlineLevel="0" collapsed="false">
      <c r="A10" s="6" t="s">
        <v>15622</v>
      </c>
      <c r="B10" s="6" t="s">
        <v>166</v>
      </c>
      <c r="C10" s="6" t="s">
        <v>124</v>
      </c>
      <c r="D10" s="6" t="s">
        <v>18</v>
      </c>
      <c r="E10" s="14" t="n">
        <v>1083.04</v>
      </c>
      <c r="F10" s="14" t="n">
        <v>1083.04</v>
      </c>
      <c r="G10" s="6" t="s">
        <v>15614</v>
      </c>
    </row>
    <row r="11" customFormat="false" ht="15" hidden="false" customHeight="true" outlineLevel="0" collapsed="false">
      <c r="A11" s="6" t="s">
        <v>15623</v>
      </c>
      <c r="B11" s="6" t="s">
        <v>166</v>
      </c>
      <c r="C11" s="6" t="s">
        <v>124</v>
      </c>
      <c r="D11" s="6" t="s">
        <v>19</v>
      </c>
      <c r="E11" s="14" t="n">
        <v>1083.04</v>
      </c>
      <c r="F11" s="14" t="n">
        <v>2166.08</v>
      </c>
      <c r="G11" s="6" t="s">
        <v>15614</v>
      </c>
    </row>
    <row r="12" customFormat="false" ht="15" hidden="false" customHeight="true" outlineLevel="0" collapsed="false">
      <c r="A12" s="6" t="s">
        <v>15624</v>
      </c>
      <c r="B12" s="6" t="s">
        <v>166</v>
      </c>
      <c r="C12" s="6" t="s">
        <v>124</v>
      </c>
      <c r="D12" s="6" t="s">
        <v>20</v>
      </c>
      <c r="E12" s="14" t="n">
        <v>1083.04</v>
      </c>
      <c r="F12" s="14" t="n">
        <v>3249.12</v>
      </c>
      <c r="G12" s="6" t="s">
        <v>15614</v>
      </c>
    </row>
    <row r="13" customFormat="false" ht="15" hidden="false" customHeight="true" outlineLevel="0" collapsed="false">
      <c r="A13" s="6" t="s">
        <v>15625</v>
      </c>
      <c r="B13" s="6" t="s">
        <v>170</v>
      </c>
      <c r="C13" s="6" t="s">
        <v>128</v>
      </c>
      <c r="D13" s="6" t="s">
        <v>60</v>
      </c>
      <c r="E13" s="14" t="n">
        <v>940.7</v>
      </c>
      <c r="F13" s="14" t="n">
        <v>940.7</v>
      </c>
      <c r="G13" s="6" t="s">
        <v>15614</v>
      </c>
    </row>
    <row r="14" customFormat="false" ht="15" hidden="false" customHeight="true" outlineLevel="0" collapsed="false">
      <c r="A14" s="6" t="s">
        <v>15626</v>
      </c>
      <c r="B14" s="6" t="s">
        <v>170</v>
      </c>
      <c r="C14" s="6" t="s">
        <v>128</v>
      </c>
      <c r="D14" s="6" t="s">
        <v>61</v>
      </c>
      <c r="E14" s="14" t="n">
        <v>940.7</v>
      </c>
      <c r="F14" s="14" t="n">
        <v>1881.4</v>
      </c>
      <c r="G14" s="6" t="s">
        <v>15614</v>
      </c>
    </row>
    <row r="15" customFormat="false" ht="15" hidden="false" customHeight="true" outlineLevel="0" collapsed="false">
      <c r="A15" s="6" t="s">
        <v>15627</v>
      </c>
      <c r="B15" s="6" t="s">
        <v>170</v>
      </c>
      <c r="C15" s="6" t="s">
        <v>128</v>
      </c>
      <c r="D15" s="6" t="s">
        <v>62</v>
      </c>
      <c r="E15" s="14" t="n">
        <v>940.7</v>
      </c>
      <c r="F15" s="14" t="n">
        <v>2822.1</v>
      </c>
      <c r="G15" s="6" t="s">
        <v>15614</v>
      </c>
    </row>
    <row r="16" customFormat="false" ht="15" hidden="false" customHeight="true" outlineLevel="0" collapsed="false">
      <c r="A16" s="6" t="s">
        <v>15628</v>
      </c>
      <c r="B16" s="6" t="s">
        <v>174</v>
      </c>
      <c r="C16" s="6" t="s">
        <v>131</v>
      </c>
      <c r="D16" s="6" t="s">
        <v>11</v>
      </c>
      <c r="E16" s="14" t="n">
        <v>1039.31</v>
      </c>
      <c r="F16" s="14" t="n">
        <v>1039.31</v>
      </c>
      <c r="G16" s="6" t="s">
        <v>15614</v>
      </c>
    </row>
    <row r="17" customFormat="false" ht="15" hidden="false" customHeight="true" outlineLevel="0" collapsed="false">
      <c r="A17" s="6" t="s">
        <v>15629</v>
      </c>
      <c r="B17" s="6" t="s">
        <v>174</v>
      </c>
      <c r="C17" s="6" t="s">
        <v>131</v>
      </c>
      <c r="D17" s="6" t="s">
        <v>12</v>
      </c>
      <c r="E17" s="14" t="n">
        <v>1039.31</v>
      </c>
      <c r="F17" s="14" t="n">
        <v>2078.62</v>
      </c>
      <c r="G17" s="6" t="s">
        <v>15614</v>
      </c>
    </row>
    <row r="18" customFormat="false" ht="15" hidden="false" customHeight="true" outlineLevel="0" collapsed="false">
      <c r="A18" s="6" t="s">
        <v>15630</v>
      </c>
      <c r="B18" s="6" t="s">
        <v>178</v>
      </c>
      <c r="C18" s="6" t="s">
        <v>124</v>
      </c>
      <c r="D18" s="6" t="s">
        <v>23</v>
      </c>
      <c r="E18" s="14" t="n">
        <v>1338.55</v>
      </c>
      <c r="F18" s="14" t="n">
        <v>1338.55</v>
      </c>
      <c r="G18" s="6" t="s">
        <v>15614</v>
      </c>
    </row>
    <row r="19" customFormat="false" ht="15" hidden="false" customHeight="true" outlineLevel="0" collapsed="false">
      <c r="A19" s="6" t="s">
        <v>15631</v>
      </c>
      <c r="B19" s="6" t="s">
        <v>178</v>
      </c>
      <c r="C19" s="6" t="s">
        <v>124</v>
      </c>
      <c r="D19" s="6" t="s">
        <v>24</v>
      </c>
      <c r="E19" s="14" t="n">
        <v>1338.55</v>
      </c>
      <c r="F19" s="14" t="n">
        <v>2677.1</v>
      </c>
      <c r="G19" s="6" t="s">
        <v>15614</v>
      </c>
    </row>
    <row r="20" customFormat="false" ht="15" hidden="false" customHeight="true" outlineLevel="0" collapsed="false">
      <c r="A20" s="6" t="s">
        <v>15632</v>
      </c>
      <c r="B20" s="6" t="s">
        <v>178</v>
      </c>
      <c r="C20" s="6" t="s">
        <v>124</v>
      </c>
      <c r="D20" s="6" t="s">
        <v>25</v>
      </c>
      <c r="E20" s="14" t="n">
        <v>1338.55</v>
      </c>
      <c r="F20" s="14" t="n">
        <v>4015.65</v>
      </c>
      <c r="G20" s="6" t="s">
        <v>15614</v>
      </c>
    </row>
    <row r="21" customFormat="false" ht="15" hidden="false" customHeight="true" outlineLevel="0" collapsed="false">
      <c r="A21" s="6" t="s">
        <v>15633</v>
      </c>
      <c r="B21" s="6" t="s">
        <v>182</v>
      </c>
      <c r="C21" s="6" t="s">
        <v>124</v>
      </c>
      <c r="D21" s="6" t="s">
        <v>47</v>
      </c>
      <c r="E21" s="14" t="n">
        <v>1616.65</v>
      </c>
      <c r="F21" s="14" t="n">
        <v>1616.65</v>
      </c>
      <c r="G21" s="6" t="s">
        <v>15614</v>
      </c>
    </row>
    <row r="22" customFormat="false" ht="15" hidden="false" customHeight="true" outlineLevel="0" collapsed="false">
      <c r="A22" s="6" t="s">
        <v>15634</v>
      </c>
      <c r="B22" s="6" t="s">
        <v>182</v>
      </c>
      <c r="C22" s="6" t="s">
        <v>124</v>
      </c>
      <c r="D22" s="6" t="s">
        <v>48</v>
      </c>
      <c r="E22" s="14" t="n">
        <v>1616.65</v>
      </c>
      <c r="F22" s="14" t="n">
        <v>3233.3</v>
      </c>
      <c r="G22" s="6" t="s">
        <v>15614</v>
      </c>
    </row>
    <row r="23" customFormat="false" ht="15" hidden="false" customHeight="true" outlineLevel="0" collapsed="false">
      <c r="A23" s="6" t="s">
        <v>15635</v>
      </c>
      <c r="B23" s="6" t="s">
        <v>186</v>
      </c>
      <c r="C23" s="6" t="s">
        <v>112</v>
      </c>
      <c r="D23" s="6" t="s">
        <v>32</v>
      </c>
      <c r="E23" s="14" t="n">
        <v>1959.66</v>
      </c>
      <c r="F23" s="14" t="n">
        <v>1959.66</v>
      </c>
      <c r="G23" s="6" t="s">
        <v>15614</v>
      </c>
    </row>
    <row r="24" customFormat="false" ht="15" hidden="false" customHeight="true" outlineLevel="0" collapsed="false">
      <c r="A24" s="6" t="s">
        <v>15636</v>
      </c>
      <c r="B24" s="6" t="s">
        <v>186</v>
      </c>
      <c r="C24" s="6" t="s">
        <v>112</v>
      </c>
      <c r="D24" s="6" t="s">
        <v>33</v>
      </c>
      <c r="E24" s="14" t="n">
        <v>1959.66</v>
      </c>
      <c r="F24" s="14" t="n">
        <v>3919.32</v>
      </c>
      <c r="G24" s="6" t="s">
        <v>15614</v>
      </c>
    </row>
    <row r="25" customFormat="false" ht="15" hidden="false" customHeight="true" outlineLevel="0" collapsed="false">
      <c r="A25" s="6" t="s">
        <v>15637</v>
      </c>
      <c r="B25" s="6" t="s">
        <v>186</v>
      </c>
      <c r="C25" s="6" t="s">
        <v>112</v>
      </c>
      <c r="D25" s="6" t="s">
        <v>34</v>
      </c>
      <c r="E25" s="14" t="n">
        <v>1959.66</v>
      </c>
      <c r="F25" s="14" t="n">
        <v>5878.98</v>
      </c>
      <c r="G25" s="6" t="s">
        <v>15614</v>
      </c>
    </row>
    <row r="26" customFormat="false" ht="15" hidden="false" customHeight="true" outlineLevel="0" collapsed="false">
      <c r="A26" s="6" t="s">
        <v>15638</v>
      </c>
      <c r="B26" s="6" t="s">
        <v>190</v>
      </c>
      <c r="C26" s="6" t="s">
        <v>131</v>
      </c>
      <c r="D26" s="6" t="s">
        <v>51</v>
      </c>
      <c r="E26" s="14" t="n">
        <v>2600.2</v>
      </c>
      <c r="F26" s="14" t="n">
        <v>2600.2</v>
      </c>
      <c r="G26" s="6" t="s">
        <v>15614</v>
      </c>
    </row>
    <row r="27" customFormat="false" ht="15" hidden="false" customHeight="true" outlineLevel="0" collapsed="false">
      <c r="A27" s="6" t="s">
        <v>15639</v>
      </c>
      <c r="B27" s="6" t="s">
        <v>190</v>
      </c>
      <c r="C27" s="6" t="s">
        <v>131</v>
      </c>
      <c r="D27" s="6" t="s">
        <v>52</v>
      </c>
      <c r="E27" s="14" t="n">
        <v>2600.2</v>
      </c>
      <c r="F27" s="14" t="n">
        <v>5200.4</v>
      </c>
      <c r="G27" s="6" t="s">
        <v>15614</v>
      </c>
    </row>
    <row r="28" customFormat="false" ht="15" hidden="false" customHeight="true" outlineLevel="0" collapsed="false">
      <c r="A28" s="6" t="s">
        <v>15640</v>
      </c>
      <c r="B28" s="6" t="s">
        <v>193</v>
      </c>
      <c r="C28" s="6" t="s">
        <v>128</v>
      </c>
      <c r="D28" s="6" t="s">
        <v>31</v>
      </c>
      <c r="E28" s="14" t="n">
        <v>165.69</v>
      </c>
      <c r="F28" s="14" t="n">
        <v>165.69</v>
      </c>
      <c r="G28" s="6" t="s">
        <v>15614</v>
      </c>
    </row>
    <row r="29" customFormat="false" ht="15" hidden="false" customHeight="true" outlineLevel="0" collapsed="false">
      <c r="A29" s="6" t="s">
        <v>15641</v>
      </c>
      <c r="B29" s="6" t="s">
        <v>193</v>
      </c>
      <c r="C29" s="6" t="s">
        <v>128</v>
      </c>
      <c r="D29" s="6" t="s">
        <v>32</v>
      </c>
      <c r="E29" s="14" t="n">
        <v>165.69</v>
      </c>
      <c r="F29" s="14" t="n">
        <v>331.38</v>
      </c>
      <c r="G29" s="6" t="s">
        <v>15614</v>
      </c>
    </row>
    <row r="30" customFormat="false" ht="15" hidden="false" customHeight="true" outlineLevel="0" collapsed="false">
      <c r="A30" s="6" t="s">
        <v>15642</v>
      </c>
      <c r="B30" s="6" t="s">
        <v>193</v>
      </c>
      <c r="C30" s="6" t="s">
        <v>128</v>
      </c>
      <c r="D30" s="6" t="s">
        <v>33</v>
      </c>
      <c r="E30" s="14" t="n">
        <v>165.69</v>
      </c>
      <c r="F30" s="14" t="n">
        <v>497.07</v>
      </c>
      <c r="G30" s="6" t="s">
        <v>15614</v>
      </c>
    </row>
    <row r="31" customFormat="false" ht="15" hidden="false" customHeight="true" outlineLevel="0" collapsed="false">
      <c r="A31" s="6" t="s">
        <v>15643</v>
      </c>
      <c r="B31" s="6" t="s">
        <v>193</v>
      </c>
      <c r="C31" s="6" t="s">
        <v>128</v>
      </c>
      <c r="D31" s="6" t="s">
        <v>34</v>
      </c>
      <c r="E31" s="14" t="n">
        <v>165.69</v>
      </c>
      <c r="F31" s="14" t="n">
        <v>662.76</v>
      </c>
      <c r="G31" s="6" t="s">
        <v>15614</v>
      </c>
    </row>
    <row r="32" customFormat="false" ht="15" hidden="false" customHeight="true" outlineLevel="0" collapsed="false">
      <c r="A32" s="6" t="s">
        <v>15644</v>
      </c>
      <c r="B32" s="6" t="s">
        <v>193</v>
      </c>
      <c r="C32" s="6" t="s">
        <v>128</v>
      </c>
      <c r="D32" s="6" t="s">
        <v>35</v>
      </c>
      <c r="E32" s="14" t="n">
        <v>165.69</v>
      </c>
      <c r="F32" s="14" t="n">
        <v>828.45</v>
      </c>
      <c r="G32" s="6" t="s">
        <v>15614</v>
      </c>
    </row>
    <row r="33" customFormat="false" ht="15" hidden="false" customHeight="true" outlineLevel="0" collapsed="false">
      <c r="A33" s="6" t="s">
        <v>15645</v>
      </c>
      <c r="B33" s="6" t="s">
        <v>193</v>
      </c>
      <c r="C33" s="6" t="s">
        <v>128</v>
      </c>
      <c r="D33" s="6" t="s">
        <v>36</v>
      </c>
      <c r="E33" s="14" t="n">
        <v>165.69</v>
      </c>
      <c r="F33" s="14" t="n">
        <v>994.14</v>
      </c>
      <c r="G33" s="6" t="s">
        <v>15614</v>
      </c>
    </row>
    <row r="34" customFormat="false" ht="15" hidden="false" customHeight="true" outlineLevel="0" collapsed="false">
      <c r="A34" s="6" t="s">
        <v>15646</v>
      </c>
      <c r="B34" s="6" t="s">
        <v>193</v>
      </c>
      <c r="C34" s="6" t="s">
        <v>128</v>
      </c>
      <c r="D34" s="6" t="s">
        <v>37</v>
      </c>
      <c r="E34" s="14" t="n">
        <v>165.69</v>
      </c>
      <c r="F34" s="14" t="n">
        <v>1159.83</v>
      </c>
      <c r="G34" s="6" t="s">
        <v>15614</v>
      </c>
    </row>
    <row r="35" customFormat="false" ht="15" hidden="false" customHeight="true" outlineLevel="0" collapsed="false">
      <c r="A35" s="6" t="s">
        <v>15647</v>
      </c>
      <c r="B35" s="6" t="s">
        <v>196</v>
      </c>
      <c r="C35" s="6" t="s">
        <v>112</v>
      </c>
      <c r="D35" s="6" t="s">
        <v>11</v>
      </c>
      <c r="E35" s="14" t="n">
        <v>1867.14</v>
      </c>
      <c r="F35" s="14" t="n">
        <v>1867.14</v>
      </c>
      <c r="G35" s="6" t="s">
        <v>15614</v>
      </c>
    </row>
    <row r="36" customFormat="false" ht="15" hidden="false" customHeight="true" outlineLevel="0" collapsed="false">
      <c r="A36" s="6" t="s">
        <v>15648</v>
      </c>
      <c r="B36" s="6" t="s">
        <v>196</v>
      </c>
      <c r="C36" s="6" t="s">
        <v>112</v>
      </c>
      <c r="D36" s="6" t="s">
        <v>12</v>
      </c>
      <c r="E36" s="14" t="n">
        <v>1867.14</v>
      </c>
      <c r="F36" s="14" t="n">
        <v>3734.28</v>
      </c>
      <c r="G36" s="6" t="s">
        <v>15614</v>
      </c>
    </row>
    <row r="37" customFormat="false" ht="15" hidden="false" customHeight="true" outlineLevel="0" collapsed="false">
      <c r="A37" s="6" t="s">
        <v>15649</v>
      </c>
      <c r="B37" s="6" t="s">
        <v>198</v>
      </c>
      <c r="C37" s="6" t="s">
        <v>131</v>
      </c>
      <c r="D37" s="6" t="s">
        <v>49</v>
      </c>
      <c r="E37" s="14" t="n">
        <v>1643.4</v>
      </c>
      <c r="F37" s="14" t="n">
        <v>1643.4</v>
      </c>
      <c r="G37" s="6" t="s">
        <v>15614</v>
      </c>
    </row>
    <row r="38" customFormat="false" ht="15" hidden="false" customHeight="true" outlineLevel="0" collapsed="false">
      <c r="A38" s="6" t="s">
        <v>15650</v>
      </c>
      <c r="B38" s="6" t="s">
        <v>198</v>
      </c>
      <c r="C38" s="6" t="s">
        <v>131</v>
      </c>
      <c r="D38" s="6" t="s">
        <v>50</v>
      </c>
      <c r="E38" s="14" t="n">
        <v>1643.4</v>
      </c>
      <c r="F38" s="14" t="n">
        <v>3286.8</v>
      </c>
      <c r="G38" s="6" t="s">
        <v>15614</v>
      </c>
    </row>
    <row r="39" customFormat="false" ht="15" hidden="false" customHeight="true" outlineLevel="0" collapsed="false">
      <c r="A39" s="6" t="s">
        <v>15651</v>
      </c>
      <c r="B39" s="6" t="s">
        <v>198</v>
      </c>
      <c r="C39" s="6" t="s">
        <v>131</v>
      </c>
      <c r="D39" s="6" t="s">
        <v>51</v>
      </c>
      <c r="E39" s="14" t="n">
        <v>1643.4</v>
      </c>
      <c r="F39" s="14" t="n">
        <v>4930.2</v>
      </c>
      <c r="G39" s="6" t="s">
        <v>15614</v>
      </c>
    </row>
    <row r="40" customFormat="false" ht="15" hidden="false" customHeight="true" outlineLevel="0" collapsed="false">
      <c r="A40" s="6" t="s">
        <v>15652</v>
      </c>
      <c r="B40" s="6" t="s">
        <v>198</v>
      </c>
      <c r="C40" s="6" t="s">
        <v>131</v>
      </c>
      <c r="D40" s="6" t="s">
        <v>52</v>
      </c>
      <c r="E40" s="14" t="n">
        <v>1643.4</v>
      </c>
      <c r="F40" s="14" t="n">
        <v>6573.6</v>
      </c>
      <c r="G40" s="6" t="s">
        <v>15614</v>
      </c>
    </row>
    <row r="41" customFormat="false" ht="15" hidden="false" customHeight="true" outlineLevel="0" collapsed="false">
      <c r="A41" s="6" t="s">
        <v>15653</v>
      </c>
      <c r="B41" s="6" t="s">
        <v>198</v>
      </c>
      <c r="C41" s="6" t="s">
        <v>131</v>
      </c>
      <c r="D41" s="6" t="s">
        <v>53</v>
      </c>
      <c r="E41" s="14" t="n">
        <v>1643.4</v>
      </c>
      <c r="F41" s="14" t="n">
        <v>8217</v>
      </c>
      <c r="G41" s="6" t="s">
        <v>15614</v>
      </c>
    </row>
    <row r="42" customFormat="false" ht="15" hidden="false" customHeight="true" outlineLevel="0" collapsed="false">
      <c r="A42" s="6" t="s">
        <v>15654</v>
      </c>
      <c r="B42" s="6" t="s">
        <v>202</v>
      </c>
      <c r="C42" s="6" t="s">
        <v>116</v>
      </c>
      <c r="D42" s="6" t="s">
        <v>48</v>
      </c>
      <c r="E42" s="14" t="n">
        <v>3793.6</v>
      </c>
      <c r="F42" s="14" t="n">
        <v>3793.6</v>
      </c>
      <c r="G42" s="6" t="s">
        <v>15614</v>
      </c>
    </row>
    <row r="43" customFormat="false" ht="15" hidden="false" customHeight="true" outlineLevel="0" collapsed="false">
      <c r="A43" s="6" t="s">
        <v>15655</v>
      </c>
      <c r="B43" s="6" t="s">
        <v>202</v>
      </c>
      <c r="C43" s="6" t="s">
        <v>116</v>
      </c>
      <c r="D43" s="6" t="s">
        <v>49</v>
      </c>
      <c r="E43" s="14" t="n">
        <v>3793.6</v>
      </c>
      <c r="F43" s="14" t="n">
        <v>7587.2</v>
      </c>
      <c r="G43" s="6" t="s">
        <v>15614</v>
      </c>
    </row>
    <row r="44" customFormat="false" ht="15" hidden="false" customHeight="true" outlineLevel="0" collapsed="false">
      <c r="A44" s="6" t="s">
        <v>15656</v>
      </c>
      <c r="B44" s="6" t="s">
        <v>202</v>
      </c>
      <c r="C44" s="6" t="s">
        <v>116</v>
      </c>
      <c r="D44" s="6" t="s">
        <v>50</v>
      </c>
      <c r="E44" s="14" t="n">
        <v>3793.6</v>
      </c>
      <c r="F44" s="14" t="n">
        <v>11380.8</v>
      </c>
      <c r="G44" s="6" t="s">
        <v>15614</v>
      </c>
    </row>
    <row r="45" customFormat="false" ht="15" hidden="false" customHeight="true" outlineLevel="0" collapsed="false">
      <c r="A45" s="6" t="s">
        <v>15657</v>
      </c>
      <c r="B45" s="6" t="s">
        <v>204</v>
      </c>
      <c r="C45" s="6" t="s">
        <v>116</v>
      </c>
      <c r="D45" s="6" t="s">
        <v>47</v>
      </c>
      <c r="E45" s="14" t="n">
        <v>1785.17</v>
      </c>
      <c r="F45" s="14" t="n">
        <v>1785.17</v>
      </c>
      <c r="G45" s="6" t="s">
        <v>15614</v>
      </c>
    </row>
    <row r="46" customFormat="false" ht="15" hidden="false" customHeight="true" outlineLevel="0" collapsed="false">
      <c r="A46" s="6" t="s">
        <v>15658</v>
      </c>
      <c r="B46" s="6" t="s">
        <v>204</v>
      </c>
      <c r="C46" s="6" t="s">
        <v>116</v>
      </c>
      <c r="D46" s="6" t="s">
        <v>48</v>
      </c>
      <c r="E46" s="14" t="n">
        <v>1785.17</v>
      </c>
      <c r="F46" s="14" t="n">
        <v>3570.34</v>
      </c>
      <c r="G46" s="6" t="s">
        <v>15614</v>
      </c>
    </row>
    <row r="47" customFormat="false" ht="15" hidden="false" customHeight="true" outlineLevel="0" collapsed="false">
      <c r="A47" s="6" t="s">
        <v>15659</v>
      </c>
      <c r="B47" s="6" t="s">
        <v>204</v>
      </c>
      <c r="C47" s="6" t="s">
        <v>116</v>
      </c>
      <c r="D47" s="6" t="s">
        <v>49</v>
      </c>
      <c r="E47" s="14" t="n">
        <v>1785.17</v>
      </c>
      <c r="F47" s="14" t="n">
        <v>5355.51</v>
      </c>
      <c r="G47" s="6" t="s">
        <v>15614</v>
      </c>
    </row>
    <row r="48" customFormat="false" ht="15" hidden="false" customHeight="true" outlineLevel="0" collapsed="false">
      <c r="A48" s="6" t="s">
        <v>15660</v>
      </c>
      <c r="B48" s="6" t="s">
        <v>204</v>
      </c>
      <c r="C48" s="6" t="s">
        <v>116</v>
      </c>
      <c r="D48" s="6" t="s">
        <v>50</v>
      </c>
      <c r="E48" s="14" t="n">
        <v>1785.17</v>
      </c>
      <c r="F48" s="14" t="n">
        <v>7140.68</v>
      </c>
      <c r="G48" s="6" t="s">
        <v>15614</v>
      </c>
    </row>
    <row r="49" customFormat="false" ht="15" hidden="false" customHeight="true" outlineLevel="0" collapsed="false">
      <c r="A49" s="6" t="s">
        <v>15661</v>
      </c>
      <c r="B49" s="6" t="s">
        <v>208</v>
      </c>
      <c r="C49" s="6" t="s">
        <v>120</v>
      </c>
      <c r="D49" s="6" t="s">
        <v>46</v>
      </c>
      <c r="E49" s="14" t="n">
        <v>628.36</v>
      </c>
      <c r="F49" s="14" t="n">
        <v>628.36</v>
      </c>
      <c r="G49" s="6" t="s">
        <v>15614</v>
      </c>
    </row>
    <row r="50" customFormat="false" ht="15" hidden="false" customHeight="true" outlineLevel="0" collapsed="false">
      <c r="A50" s="6" t="s">
        <v>15662</v>
      </c>
      <c r="B50" s="6" t="s">
        <v>208</v>
      </c>
      <c r="C50" s="6" t="s">
        <v>120</v>
      </c>
      <c r="D50" s="6" t="s">
        <v>47</v>
      </c>
      <c r="E50" s="14" t="n">
        <v>628.36</v>
      </c>
      <c r="F50" s="14" t="n">
        <v>1256.72</v>
      </c>
      <c r="G50" s="6" t="s">
        <v>15614</v>
      </c>
    </row>
    <row r="51" customFormat="false" ht="15" hidden="false" customHeight="true" outlineLevel="0" collapsed="false">
      <c r="A51" s="6" t="s">
        <v>15663</v>
      </c>
      <c r="B51" s="6" t="s">
        <v>208</v>
      </c>
      <c r="C51" s="6" t="s">
        <v>120</v>
      </c>
      <c r="D51" s="6" t="s">
        <v>48</v>
      </c>
      <c r="E51" s="14" t="n">
        <v>628.36</v>
      </c>
      <c r="F51" s="14" t="n">
        <v>1885.08</v>
      </c>
      <c r="G51" s="6" t="s">
        <v>15614</v>
      </c>
    </row>
    <row r="52" customFormat="false" ht="15" hidden="false" customHeight="true" outlineLevel="0" collapsed="false">
      <c r="A52" s="6" t="s">
        <v>15664</v>
      </c>
      <c r="B52" s="6" t="s">
        <v>212</v>
      </c>
      <c r="C52" s="6" t="s">
        <v>116</v>
      </c>
      <c r="D52" s="6" t="s">
        <v>22</v>
      </c>
      <c r="E52" s="14" t="n">
        <v>4712.73</v>
      </c>
      <c r="F52" s="14" t="n">
        <v>4712.73</v>
      </c>
      <c r="G52" s="6" t="s">
        <v>15614</v>
      </c>
    </row>
    <row r="53" customFormat="false" ht="15" hidden="false" customHeight="true" outlineLevel="0" collapsed="false">
      <c r="A53" s="6" t="s">
        <v>15665</v>
      </c>
      <c r="B53" s="6" t="s">
        <v>212</v>
      </c>
      <c r="C53" s="6" t="s">
        <v>116</v>
      </c>
      <c r="D53" s="6" t="s">
        <v>23</v>
      </c>
      <c r="E53" s="14" t="n">
        <v>4712.73</v>
      </c>
      <c r="F53" s="14" t="n">
        <v>9425.46</v>
      </c>
      <c r="G53" s="6" t="s">
        <v>15614</v>
      </c>
    </row>
    <row r="54" customFormat="false" ht="15" hidden="false" customHeight="true" outlineLevel="0" collapsed="false">
      <c r="A54" s="6" t="s">
        <v>15666</v>
      </c>
      <c r="B54" s="6" t="s">
        <v>214</v>
      </c>
      <c r="C54" s="6" t="s">
        <v>116</v>
      </c>
      <c r="D54" s="6" t="s">
        <v>33</v>
      </c>
      <c r="E54" s="14" t="n">
        <v>3676.57</v>
      </c>
      <c r="F54" s="14" t="n">
        <v>3676.57</v>
      </c>
      <c r="G54" s="6" t="s">
        <v>15614</v>
      </c>
    </row>
    <row r="55" customFormat="false" ht="15" hidden="false" customHeight="true" outlineLevel="0" collapsed="false">
      <c r="A55" s="6" t="s">
        <v>15667</v>
      </c>
      <c r="B55" s="6" t="s">
        <v>214</v>
      </c>
      <c r="C55" s="6" t="s">
        <v>116</v>
      </c>
      <c r="D55" s="6" t="s">
        <v>34</v>
      </c>
      <c r="E55" s="14" t="n">
        <v>3676.57</v>
      </c>
      <c r="F55" s="14" t="n">
        <v>7353.14</v>
      </c>
      <c r="G55" s="6" t="s">
        <v>15614</v>
      </c>
    </row>
    <row r="56" customFormat="false" ht="15" hidden="false" customHeight="true" outlineLevel="0" collapsed="false">
      <c r="A56" s="6" t="s">
        <v>15668</v>
      </c>
      <c r="B56" s="6" t="s">
        <v>216</v>
      </c>
      <c r="C56" s="6" t="s">
        <v>120</v>
      </c>
      <c r="D56" s="6" t="s">
        <v>34</v>
      </c>
      <c r="E56" s="14" t="n">
        <v>1241.59</v>
      </c>
      <c r="F56" s="14" t="n">
        <v>1241.59</v>
      </c>
      <c r="G56" s="6" t="s">
        <v>15614</v>
      </c>
    </row>
    <row r="57" customFormat="false" ht="15" hidden="false" customHeight="true" outlineLevel="0" collapsed="false">
      <c r="A57" s="6" t="s">
        <v>15669</v>
      </c>
      <c r="B57" s="6" t="s">
        <v>216</v>
      </c>
      <c r="C57" s="6" t="s">
        <v>120</v>
      </c>
      <c r="D57" s="6" t="s">
        <v>35</v>
      </c>
      <c r="E57" s="14" t="n">
        <v>1241.59</v>
      </c>
      <c r="F57" s="14" t="n">
        <v>2483.18</v>
      </c>
      <c r="G57" s="6" t="s">
        <v>15614</v>
      </c>
    </row>
    <row r="58" customFormat="false" ht="15" hidden="false" customHeight="true" outlineLevel="0" collapsed="false">
      <c r="A58" s="6" t="s">
        <v>15670</v>
      </c>
      <c r="B58" s="6" t="s">
        <v>220</v>
      </c>
      <c r="C58" s="6" t="s">
        <v>116</v>
      </c>
      <c r="D58" s="6" t="s">
        <v>29</v>
      </c>
      <c r="E58" s="14" t="n">
        <v>1191.74</v>
      </c>
      <c r="F58" s="14" t="n">
        <v>1191.74</v>
      </c>
      <c r="G58" s="6" t="s">
        <v>15614</v>
      </c>
    </row>
    <row r="59" customFormat="false" ht="15" hidden="false" customHeight="true" outlineLevel="0" collapsed="false">
      <c r="A59" s="6" t="s">
        <v>15671</v>
      </c>
      <c r="B59" s="6" t="s">
        <v>220</v>
      </c>
      <c r="C59" s="6" t="s">
        <v>116</v>
      </c>
      <c r="D59" s="6" t="s">
        <v>30</v>
      </c>
      <c r="E59" s="14" t="n">
        <v>1191.74</v>
      </c>
      <c r="F59" s="14" t="n">
        <v>2383.48</v>
      </c>
      <c r="G59" s="6" t="s">
        <v>15614</v>
      </c>
    </row>
    <row r="60" customFormat="false" ht="15" hidden="false" customHeight="true" outlineLevel="0" collapsed="false">
      <c r="A60" s="6" t="s">
        <v>15672</v>
      </c>
      <c r="B60" s="6" t="s">
        <v>220</v>
      </c>
      <c r="C60" s="6" t="s">
        <v>116</v>
      </c>
      <c r="D60" s="6" t="s">
        <v>31</v>
      </c>
      <c r="E60" s="14" t="n">
        <v>1191.74</v>
      </c>
      <c r="F60" s="14" t="n">
        <v>3575.22</v>
      </c>
      <c r="G60" s="6" t="s">
        <v>15614</v>
      </c>
    </row>
    <row r="61" customFormat="false" ht="15" hidden="false" customHeight="true" outlineLevel="0" collapsed="false">
      <c r="A61" s="6" t="s">
        <v>15673</v>
      </c>
      <c r="B61" s="6" t="s">
        <v>223</v>
      </c>
      <c r="C61" s="6" t="s">
        <v>112</v>
      </c>
      <c r="D61" s="6" t="s">
        <v>19</v>
      </c>
      <c r="E61" s="14" t="n">
        <v>1648.35</v>
      </c>
      <c r="F61" s="14" t="n">
        <v>1648.35</v>
      </c>
      <c r="G61" s="6" t="s">
        <v>15614</v>
      </c>
    </row>
    <row r="62" customFormat="false" ht="15" hidden="false" customHeight="true" outlineLevel="0" collapsed="false">
      <c r="A62" s="6" t="s">
        <v>15674</v>
      </c>
      <c r="B62" s="6" t="s">
        <v>223</v>
      </c>
      <c r="C62" s="6" t="s">
        <v>112</v>
      </c>
      <c r="D62" s="6" t="s">
        <v>20</v>
      </c>
      <c r="E62" s="14" t="n">
        <v>1648.35</v>
      </c>
      <c r="F62" s="14" t="n">
        <v>3296.7</v>
      </c>
      <c r="G62" s="6" t="s">
        <v>15614</v>
      </c>
    </row>
    <row r="63" customFormat="false" ht="15" hidden="false" customHeight="true" outlineLevel="0" collapsed="false">
      <c r="A63" s="6" t="s">
        <v>15675</v>
      </c>
      <c r="B63" s="6" t="s">
        <v>226</v>
      </c>
      <c r="C63" s="6" t="s">
        <v>116</v>
      </c>
      <c r="D63" s="6" t="s">
        <v>41</v>
      </c>
      <c r="E63" s="14" t="n">
        <v>2763.74</v>
      </c>
      <c r="F63" s="14" t="n">
        <v>2763.74</v>
      </c>
      <c r="G63" s="6" t="s">
        <v>15614</v>
      </c>
    </row>
    <row r="64" customFormat="false" ht="15" hidden="false" customHeight="true" outlineLevel="0" collapsed="false">
      <c r="A64" s="6" t="s">
        <v>15676</v>
      </c>
      <c r="B64" s="6" t="s">
        <v>226</v>
      </c>
      <c r="C64" s="6" t="s">
        <v>116</v>
      </c>
      <c r="D64" s="6" t="s">
        <v>42</v>
      </c>
      <c r="E64" s="14" t="n">
        <v>2763.74</v>
      </c>
      <c r="F64" s="14" t="n">
        <v>5527.48</v>
      </c>
      <c r="G64" s="6" t="s">
        <v>15614</v>
      </c>
    </row>
    <row r="65" customFormat="false" ht="15" hidden="false" customHeight="true" outlineLevel="0" collapsed="false">
      <c r="A65" s="6" t="s">
        <v>15677</v>
      </c>
      <c r="B65" s="6" t="s">
        <v>226</v>
      </c>
      <c r="C65" s="6" t="s">
        <v>116</v>
      </c>
      <c r="D65" s="6" t="s">
        <v>43</v>
      </c>
      <c r="E65" s="14" t="n">
        <v>2763.74</v>
      </c>
      <c r="F65" s="14" t="n">
        <v>8291.22</v>
      </c>
      <c r="G65" s="6" t="s">
        <v>15614</v>
      </c>
    </row>
    <row r="66" customFormat="false" ht="15" hidden="false" customHeight="true" outlineLevel="0" collapsed="false">
      <c r="A66" s="6" t="s">
        <v>15678</v>
      </c>
      <c r="B66" s="6" t="s">
        <v>226</v>
      </c>
      <c r="C66" s="6" t="s">
        <v>116</v>
      </c>
      <c r="D66" s="6" t="s">
        <v>44</v>
      </c>
      <c r="E66" s="14" t="n">
        <v>2763.74</v>
      </c>
      <c r="F66" s="14" t="n">
        <v>11054.96</v>
      </c>
      <c r="G66" s="6" t="s">
        <v>15614</v>
      </c>
    </row>
    <row r="67" customFormat="false" ht="15" hidden="false" customHeight="true" outlineLevel="0" collapsed="false">
      <c r="A67" s="6" t="s">
        <v>15679</v>
      </c>
      <c r="B67" s="6" t="s">
        <v>228</v>
      </c>
      <c r="C67" s="6" t="s">
        <v>116</v>
      </c>
      <c r="D67" s="6" t="s">
        <v>49</v>
      </c>
      <c r="E67" s="14" t="n">
        <v>1036.2</v>
      </c>
      <c r="F67" s="14" t="n">
        <v>1036.2</v>
      </c>
      <c r="G67" s="6" t="s">
        <v>15614</v>
      </c>
    </row>
    <row r="68" customFormat="false" ht="15" hidden="false" customHeight="true" outlineLevel="0" collapsed="false">
      <c r="A68" s="6" t="s">
        <v>15680</v>
      </c>
      <c r="B68" s="6" t="s">
        <v>228</v>
      </c>
      <c r="C68" s="6" t="s">
        <v>116</v>
      </c>
      <c r="D68" s="6" t="s">
        <v>50</v>
      </c>
      <c r="E68" s="14" t="n">
        <v>1036.2</v>
      </c>
      <c r="F68" s="14" t="n">
        <v>2072.4</v>
      </c>
      <c r="G68" s="6" t="s">
        <v>15614</v>
      </c>
    </row>
    <row r="69" customFormat="false" ht="15" hidden="false" customHeight="true" outlineLevel="0" collapsed="false">
      <c r="A69" s="6" t="s">
        <v>15681</v>
      </c>
      <c r="B69" s="6" t="s">
        <v>230</v>
      </c>
      <c r="C69" s="6" t="s">
        <v>112</v>
      </c>
      <c r="D69" s="6" t="s">
        <v>44</v>
      </c>
      <c r="E69" s="14" t="n">
        <v>426.98</v>
      </c>
      <c r="F69" s="14" t="n">
        <v>426.98</v>
      </c>
      <c r="G69" s="6" t="s">
        <v>15614</v>
      </c>
    </row>
    <row r="70" customFormat="false" ht="15" hidden="false" customHeight="true" outlineLevel="0" collapsed="false">
      <c r="A70" s="6" t="s">
        <v>15682</v>
      </c>
      <c r="B70" s="6" t="s">
        <v>230</v>
      </c>
      <c r="C70" s="6" t="s">
        <v>112</v>
      </c>
      <c r="D70" s="6" t="s">
        <v>45</v>
      </c>
      <c r="E70" s="14" t="n">
        <v>426.98</v>
      </c>
      <c r="F70" s="14" t="n">
        <v>853.96</v>
      </c>
      <c r="G70" s="6" t="s">
        <v>15614</v>
      </c>
    </row>
    <row r="71" customFormat="false" ht="15" hidden="false" customHeight="true" outlineLevel="0" collapsed="false">
      <c r="A71" s="6" t="s">
        <v>15683</v>
      </c>
      <c r="B71" s="6" t="s">
        <v>230</v>
      </c>
      <c r="C71" s="6" t="s">
        <v>112</v>
      </c>
      <c r="D71" s="6" t="s">
        <v>46</v>
      </c>
      <c r="E71" s="14" t="n">
        <v>426.98</v>
      </c>
      <c r="F71" s="14" t="n">
        <v>1280.94</v>
      </c>
      <c r="G71" s="6" t="s">
        <v>15614</v>
      </c>
    </row>
    <row r="72" customFormat="false" ht="15" hidden="false" customHeight="true" outlineLevel="0" collapsed="false">
      <c r="A72" s="6" t="s">
        <v>15684</v>
      </c>
      <c r="B72" s="6" t="s">
        <v>233</v>
      </c>
      <c r="C72" s="6" t="s">
        <v>128</v>
      </c>
      <c r="D72" s="6" t="s">
        <v>30</v>
      </c>
      <c r="E72" s="14" t="n">
        <v>236.25</v>
      </c>
      <c r="F72" s="14" t="n">
        <v>236.25</v>
      </c>
      <c r="G72" s="6" t="s">
        <v>15614</v>
      </c>
    </row>
    <row r="73" customFormat="false" ht="15" hidden="false" customHeight="true" outlineLevel="0" collapsed="false">
      <c r="A73" s="6" t="s">
        <v>15685</v>
      </c>
      <c r="B73" s="6" t="s">
        <v>233</v>
      </c>
      <c r="C73" s="6" t="s">
        <v>128</v>
      </c>
      <c r="D73" s="6" t="s">
        <v>31</v>
      </c>
      <c r="E73" s="14" t="n">
        <v>236.25</v>
      </c>
      <c r="F73" s="14" t="n">
        <v>472.5</v>
      </c>
      <c r="G73" s="6" t="s">
        <v>15614</v>
      </c>
    </row>
    <row r="74" customFormat="false" ht="15" hidden="false" customHeight="true" outlineLevel="0" collapsed="false">
      <c r="A74" s="6" t="s">
        <v>15686</v>
      </c>
      <c r="B74" s="6" t="s">
        <v>233</v>
      </c>
      <c r="C74" s="6" t="s">
        <v>128</v>
      </c>
      <c r="D74" s="6" t="s">
        <v>32</v>
      </c>
      <c r="E74" s="14" t="n">
        <v>236.25</v>
      </c>
      <c r="F74" s="14" t="n">
        <v>708.75</v>
      </c>
      <c r="G74" s="6" t="s">
        <v>15614</v>
      </c>
    </row>
    <row r="75" customFormat="false" ht="15" hidden="false" customHeight="true" outlineLevel="0" collapsed="false">
      <c r="A75" s="6" t="s">
        <v>15687</v>
      </c>
      <c r="B75" s="6" t="s">
        <v>233</v>
      </c>
      <c r="C75" s="6" t="s">
        <v>128</v>
      </c>
      <c r="D75" s="6" t="s">
        <v>33</v>
      </c>
      <c r="E75" s="14" t="n">
        <v>236.25</v>
      </c>
      <c r="F75" s="14" t="n">
        <v>945</v>
      </c>
      <c r="G75" s="6" t="s">
        <v>15614</v>
      </c>
    </row>
    <row r="76" customFormat="false" ht="15" hidden="false" customHeight="true" outlineLevel="0" collapsed="false">
      <c r="A76" s="6" t="s">
        <v>15688</v>
      </c>
      <c r="B76" s="6" t="s">
        <v>236</v>
      </c>
      <c r="C76" s="6" t="s">
        <v>124</v>
      </c>
      <c r="D76" s="6" t="s">
        <v>29</v>
      </c>
      <c r="E76" s="14" t="n">
        <v>2272.93</v>
      </c>
      <c r="F76" s="14" t="n">
        <v>2272.93</v>
      </c>
      <c r="G76" s="6" t="s">
        <v>15614</v>
      </c>
    </row>
    <row r="77" customFormat="false" ht="15" hidden="false" customHeight="true" outlineLevel="0" collapsed="false">
      <c r="A77" s="6" t="s">
        <v>15689</v>
      </c>
      <c r="B77" s="6" t="s">
        <v>236</v>
      </c>
      <c r="C77" s="6" t="s">
        <v>124</v>
      </c>
      <c r="D77" s="6" t="s">
        <v>30</v>
      </c>
      <c r="E77" s="14" t="n">
        <v>2272.93</v>
      </c>
      <c r="F77" s="14" t="n">
        <v>4545.86</v>
      </c>
      <c r="G77" s="6" t="s">
        <v>15614</v>
      </c>
    </row>
    <row r="78" customFormat="false" ht="15" hidden="false" customHeight="true" outlineLevel="0" collapsed="false">
      <c r="A78" s="6" t="s">
        <v>15690</v>
      </c>
      <c r="B78" s="6" t="s">
        <v>236</v>
      </c>
      <c r="C78" s="6" t="s">
        <v>124</v>
      </c>
      <c r="D78" s="6" t="s">
        <v>30</v>
      </c>
      <c r="E78" s="14" t="n">
        <v>2272.93</v>
      </c>
      <c r="F78" s="14" t="n">
        <v>6818.79</v>
      </c>
      <c r="G78" s="6" t="s">
        <v>15614</v>
      </c>
    </row>
    <row r="79" customFormat="false" ht="15" hidden="false" customHeight="true" outlineLevel="0" collapsed="false">
      <c r="A79" s="6" t="s">
        <v>15691</v>
      </c>
      <c r="B79" s="6" t="s">
        <v>236</v>
      </c>
      <c r="C79" s="6" t="s">
        <v>124</v>
      </c>
      <c r="D79" s="6" t="s">
        <v>31</v>
      </c>
      <c r="E79" s="14" t="n">
        <v>2272.93</v>
      </c>
      <c r="F79" s="14" t="n">
        <v>9091.72</v>
      </c>
      <c r="G79" s="6" t="s">
        <v>15614</v>
      </c>
    </row>
    <row r="80" customFormat="false" ht="15" hidden="false" customHeight="true" outlineLevel="0" collapsed="false">
      <c r="A80" s="6" t="s">
        <v>15692</v>
      </c>
      <c r="B80" s="6" t="s">
        <v>239</v>
      </c>
      <c r="C80" s="6" t="s">
        <v>112</v>
      </c>
      <c r="D80" s="6" t="s">
        <v>55</v>
      </c>
      <c r="E80" s="14" t="n">
        <v>1039.68</v>
      </c>
      <c r="F80" s="14" t="n">
        <v>1039.68</v>
      </c>
      <c r="G80" s="6" t="s">
        <v>15614</v>
      </c>
    </row>
    <row r="81" customFormat="false" ht="15" hidden="false" customHeight="true" outlineLevel="0" collapsed="false">
      <c r="A81" s="6" t="s">
        <v>15693</v>
      </c>
      <c r="B81" s="6" t="s">
        <v>239</v>
      </c>
      <c r="C81" s="6" t="s">
        <v>112</v>
      </c>
      <c r="D81" s="6" t="s">
        <v>56</v>
      </c>
      <c r="E81" s="14" t="n">
        <v>1039.68</v>
      </c>
      <c r="F81" s="14" t="n">
        <v>2079.36</v>
      </c>
      <c r="G81" s="6" t="s">
        <v>15614</v>
      </c>
    </row>
    <row r="82" customFormat="false" ht="15" hidden="false" customHeight="true" outlineLevel="0" collapsed="false">
      <c r="A82" s="6" t="s">
        <v>15694</v>
      </c>
      <c r="B82" s="6" t="s">
        <v>239</v>
      </c>
      <c r="C82" s="6" t="s">
        <v>112</v>
      </c>
      <c r="D82" s="6" t="s">
        <v>57</v>
      </c>
      <c r="E82" s="14" t="n">
        <v>1039.68</v>
      </c>
      <c r="F82" s="14" t="n">
        <v>3119.04</v>
      </c>
      <c r="G82" s="6" t="s">
        <v>15614</v>
      </c>
    </row>
    <row r="83" customFormat="false" ht="15" hidden="false" customHeight="true" outlineLevel="0" collapsed="false">
      <c r="A83" s="6" t="s">
        <v>15695</v>
      </c>
      <c r="B83" s="6" t="s">
        <v>241</v>
      </c>
      <c r="C83" s="6" t="s">
        <v>124</v>
      </c>
      <c r="D83" s="6" t="s">
        <v>17</v>
      </c>
      <c r="E83" s="14" t="n">
        <v>272.28</v>
      </c>
      <c r="F83" s="14" t="n">
        <v>272.28</v>
      </c>
      <c r="G83" s="6" t="s">
        <v>15614</v>
      </c>
    </row>
    <row r="84" customFormat="false" ht="15" hidden="false" customHeight="true" outlineLevel="0" collapsed="false">
      <c r="A84" s="6" t="s">
        <v>15696</v>
      </c>
      <c r="B84" s="6" t="s">
        <v>241</v>
      </c>
      <c r="C84" s="6" t="s">
        <v>124</v>
      </c>
      <c r="D84" s="6" t="s">
        <v>18</v>
      </c>
      <c r="E84" s="14" t="n">
        <v>272.28</v>
      </c>
      <c r="F84" s="14" t="n">
        <v>544.56</v>
      </c>
      <c r="G84" s="6" t="s">
        <v>15614</v>
      </c>
    </row>
    <row r="85" customFormat="false" ht="15" hidden="false" customHeight="true" outlineLevel="0" collapsed="false">
      <c r="A85" s="6" t="s">
        <v>15697</v>
      </c>
      <c r="B85" s="6" t="s">
        <v>241</v>
      </c>
      <c r="C85" s="6" t="s">
        <v>124</v>
      </c>
      <c r="D85" s="6" t="s">
        <v>19</v>
      </c>
      <c r="E85" s="14" t="n">
        <v>272.28</v>
      </c>
      <c r="F85" s="14" t="n">
        <v>816.84</v>
      </c>
      <c r="G85" s="6" t="s">
        <v>15614</v>
      </c>
    </row>
    <row r="86" customFormat="false" ht="15" hidden="false" customHeight="true" outlineLevel="0" collapsed="false">
      <c r="A86" s="6" t="s">
        <v>15698</v>
      </c>
      <c r="B86" s="6" t="s">
        <v>244</v>
      </c>
      <c r="C86" s="6" t="s">
        <v>120</v>
      </c>
      <c r="D86" s="6" t="s">
        <v>50</v>
      </c>
      <c r="E86" s="14" t="n">
        <v>2690.19</v>
      </c>
      <c r="F86" s="14" t="n">
        <v>2690.19</v>
      </c>
      <c r="G86" s="6" t="s">
        <v>15614</v>
      </c>
    </row>
    <row r="87" customFormat="false" ht="15" hidden="false" customHeight="true" outlineLevel="0" collapsed="false">
      <c r="A87" s="6" t="s">
        <v>15699</v>
      </c>
      <c r="B87" s="6" t="s">
        <v>244</v>
      </c>
      <c r="C87" s="6" t="s">
        <v>120</v>
      </c>
      <c r="D87" s="6" t="s">
        <v>51</v>
      </c>
      <c r="E87" s="14" t="n">
        <v>2690.19</v>
      </c>
      <c r="F87" s="14" t="n">
        <v>5380.38</v>
      </c>
      <c r="G87" s="6" t="s">
        <v>15614</v>
      </c>
    </row>
    <row r="88" customFormat="false" ht="15" hidden="false" customHeight="true" outlineLevel="0" collapsed="false">
      <c r="A88" s="6" t="s">
        <v>15700</v>
      </c>
      <c r="B88" s="6" t="s">
        <v>244</v>
      </c>
      <c r="C88" s="6" t="s">
        <v>120</v>
      </c>
      <c r="D88" s="6" t="s">
        <v>52</v>
      </c>
      <c r="E88" s="14" t="n">
        <v>2690.19</v>
      </c>
      <c r="F88" s="14" t="n">
        <v>8070.57</v>
      </c>
      <c r="G88" s="6" t="s">
        <v>15614</v>
      </c>
    </row>
    <row r="89" customFormat="false" ht="15" hidden="false" customHeight="true" outlineLevel="0" collapsed="false">
      <c r="A89" s="6" t="s">
        <v>15701</v>
      </c>
      <c r="B89" s="6" t="s">
        <v>246</v>
      </c>
      <c r="C89" s="6" t="s">
        <v>116</v>
      </c>
      <c r="D89" s="6" t="s">
        <v>40</v>
      </c>
      <c r="E89" s="14" t="n">
        <v>1112.36</v>
      </c>
      <c r="F89" s="14" t="n">
        <v>1112.36</v>
      </c>
      <c r="G89" s="6" t="s">
        <v>15614</v>
      </c>
    </row>
    <row r="90" customFormat="false" ht="15" hidden="false" customHeight="true" outlineLevel="0" collapsed="false">
      <c r="A90" s="6" t="s">
        <v>15702</v>
      </c>
      <c r="B90" s="6" t="s">
        <v>246</v>
      </c>
      <c r="C90" s="6" t="s">
        <v>116</v>
      </c>
      <c r="D90" s="6" t="s">
        <v>41</v>
      </c>
      <c r="E90" s="14" t="n">
        <v>1112.36</v>
      </c>
      <c r="F90" s="14" t="n">
        <v>2224.72</v>
      </c>
      <c r="G90" s="6" t="s">
        <v>15614</v>
      </c>
    </row>
    <row r="91" customFormat="false" ht="15" hidden="false" customHeight="true" outlineLevel="0" collapsed="false">
      <c r="A91" s="6" t="s">
        <v>15703</v>
      </c>
      <c r="B91" s="6" t="s">
        <v>246</v>
      </c>
      <c r="C91" s="6" t="s">
        <v>116</v>
      </c>
      <c r="D91" s="6" t="s">
        <v>42</v>
      </c>
      <c r="E91" s="14" t="n">
        <v>1112.36</v>
      </c>
      <c r="F91" s="14" t="n">
        <v>3337.08</v>
      </c>
      <c r="G91" s="6" t="s">
        <v>15614</v>
      </c>
    </row>
    <row r="92" customFormat="false" ht="15" hidden="false" customHeight="true" outlineLevel="0" collapsed="false">
      <c r="A92" s="6" t="s">
        <v>15704</v>
      </c>
      <c r="B92" s="6" t="s">
        <v>246</v>
      </c>
      <c r="C92" s="6" t="s">
        <v>116</v>
      </c>
      <c r="D92" s="6" t="s">
        <v>43</v>
      </c>
      <c r="E92" s="14" t="n">
        <v>1112.36</v>
      </c>
      <c r="F92" s="14" t="n">
        <v>4449.44</v>
      </c>
      <c r="G92" s="6" t="s">
        <v>15614</v>
      </c>
    </row>
    <row r="93" customFormat="false" ht="15" hidden="false" customHeight="true" outlineLevel="0" collapsed="false">
      <c r="A93" s="6" t="s">
        <v>15705</v>
      </c>
      <c r="B93" s="6" t="s">
        <v>246</v>
      </c>
      <c r="C93" s="6" t="s">
        <v>116</v>
      </c>
      <c r="D93" s="6" t="s">
        <v>44</v>
      </c>
      <c r="E93" s="14" t="n">
        <v>1112.36</v>
      </c>
      <c r="F93" s="14" t="n">
        <v>5561.8</v>
      </c>
      <c r="G93" s="6" t="s">
        <v>15614</v>
      </c>
    </row>
    <row r="94" customFormat="false" ht="15" hidden="false" customHeight="true" outlineLevel="0" collapsed="false">
      <c r="A94" s="6" t="s">
        <v>15706</v>
      </c>
      <c r="B94" s="6" t="s">
        <v>248</v>
      </c>
      <c r="C94" s="6" t="s">
        <v>128</v>
      </c>
      <c r="D94" s="6" t="s">
        <v>18</v>
      </c>
      <c r="E94" s="14" t="n">
        <v>675.12</v>
      </c>
      <c r="F94" s="14" t="n">
        <v>675.12</v>
      </c>
      <c r="G94" s="6" t="s">
        <v>15614</v>
      </c>
    </row>
    <row r="95" customFormat="false" ht="15" hidden="false" customHeight="true" outlineLevel="0" collapsed="false">
      <c r="A95" s="6" t="s">
        <v>15707</v>
      </c>
      <c r="B95" s="6" t="s">
        <v>248</v>
      </c>
      <c r="C95" s="6" t="s">
        <v>128</v>
      </c>
      <c r="D95" s="6" t="s">
        <v>19</v>
      </c>
      <c r="E95" s="14" t="n">
        <v>675.12</v>
      </c>
      <c r="F95" s="14" t="n">
        <v>1350.24</v>
      </c>
      <c r="G95" s="6" t="s">
        <v>15614</v>
      </c>
    </row>
    <row r="96" customFormat="false" ht="15" hidden="false" customHeight="true" outlineLevel="0" collapsed="false">
      <c r="A96" s="6" t="s">
        <v>15708</v>
      </c>
      <c r="B96" s="6" t="s">
        <v>250</v>
      </c>
      <c r="C96" s="6" t="s">
        <v>124</v>
      </c>
      <c r="D96" s="6" t="s">
        <v>41</v>
      </c>
      <c r="E96" s="14" t="n">
        <v>3507.89</v>
      </c>
      <c r="F96" s="14" t="n">
        <v>3507.89</v>
      </c>
      <c r="G96" s="6" t="s">
        <v>15614</v>
      </c>
    </row>
    <row r="97" customFormat="false" ht="15" hidden="false" customHeight="true" outlineLevel="0" collapsed="false">
      <c r="A97" s="6" t="s">
        <v>15709</v>
      </c>
      <c r="B97" s="6" t="s">
        <v>250</v>
      </c>
      <c r="C97" s="6" t="s">
        <v>124</v>
      </c>
      <c r="D97" s="6" t="s">
        <v>42</v>
      </c>
      <c r="E97" s="14" t="n">
        <v>3507.89</v>
      </c>
      <c r="F97" s="14" t="n">
        <v>7015.78</v>
      </c>
      <c r="G97" s="6" t="s">
        <v>15614</v>
      </c>
    </row>
    <row r="98" customFormat="false" ht="15" hidden="false" customHeight="true" outlineLevel="0" collapsed="false">
      <c r="A98" s="6" t="s">
        <v>15710</v>
      </c>
      <c r="B98" s="6" t="s">
        <v>252</v>
      </c>
      <c r="C98" s="6" t="s">
        <v>120</v>
      </c>
      <c r="D98" s="6" t="s">
        <v>12</v>
      </c>
      <c r="E98" s="14" t="n">
        <v>2468.49</v>
      </c>
      <c r="F98" s="14" t="n">
        <v>2468.49</v>
      </c>
      <c r="G98" s="6" t="s">
        <v>15614</v>
      </c>
    </row>
    <row r="99" customFormat="false" ht="15" hidden="false" customHeight="true" outlineLevel="0" collapsed="false">
      <c r="A99" s="6" t="s">
        <v>15711</v>
      </c>
      <c r="B99" s="6" t="s">
        <v>252</v>
      </c>
      <c r="C99" s="6" t="s">
        <v>120</v>
      </c>
      <c r="D99" s="6" t="s">
        <v>13</v>
      </c>
      <c r="E99" s="14" t="n">
        <v>2468.49</v>
      </c>
      <c r="F99" s="14" t="n">
        <v>4936.98</v>
      </c>
      <c r="G99" s="6" t="s">
        <v>15614</v>
      </c>
    </row>
    <row r="100" customFormat="false" ht="15" hidden="false" customHeight="true" outlineLevel="0" collapsed="false">
      <c r="A100" s="6" t="s">
        <v>15712</v>
      </c>
      <c r="B100" s="6" t="s">
        <v>255</v>
      </c>
      <c r="C100" s="6" t="s">
        <v>112</v>
      </c>
      <c r="D100" s="6" t="s">
        <v>29</v>
      </c>
      <c r="E100" s="14" t="n">
        <v>1159.77</v>
      </c>
      <c r="F100" s="14" t="n">
        <v>1159.77</v>
      </c>
      <c r="G100" s="6" t="s">
        <v>15614</v>
      </c>
    </row>
    <row r="101" customFormat="false" ht="15" hidden="false" customHeight="true" outlineLevel="0" collapsed="false">
      <c r="A101" s="6" t="s">
        <v>15713</v>
      </c>
      <c r="B101" s="6" t="s">
        <v>255</v>
      </c>
      <c r="C101" s="6" t="s">
        <v>112</v>
      </c>
      <c r="D101" s="6" t="s">
        <v>30</v>
      </c>
      <c r="E101" s="14" t="n">
        <v>1159.77</v>
      </c>
      <c r="F101" s="14" t="n">
        <v>2319.54</v>
      </c>
      <c r="G101" s="6" t="s">
        <v>15614</v>
      </c>
    </row>
    <row r="102" customFormat="false" ht="15" hidden="false" customHeight="true" outlineLevel="0" collapsed="false">
      <c r="A102" s="6" t="s">
        <v>15714</v>
      </c>
      <c r="B102" s="6" t="s">
        <v>257</v>
      </c>
      <c r="C102" s="6" t="s">
        <v>116</v>
      </c>
      <c r="D102" s="6" t="s">
        <v>36</v>
      </c>
      <c r="E102" s="14" t="n">
        <v>3622.15</v>
      </c>
      <c r="F102" s="14" t="n">
        <v>3622.15</v>
      </c>
      <c r="G102" s="6" t="s">
        <v>15614</v>
      </c>
    </row>
    <row r="103" customFormat="false" ht="15" hidden="false" customHeight="true" outlineLevel="0" collapsed="false">
      <c r="A103" s="6" t="s">
        <v>15715</v>
      </c>
      <c r="B103" s="6" t="s">
        <v>257</v>
      </c>
      <c r="C103" s="6" t="s">
        <v>116</v>
      </c>
      <c r="D103" s="6" t="s">
        <v>37</v>
      </c>
      <c r="E103" s="14" t="n">
        <v>3622.15</v>
      </c>
      <c r="F103" s="14" t="n">
        <v>7244.3</v>
      </c>
      <c r="G103" s="6" t="s">
        <v>15614</v>
      </c>
    </row>
    <row r="104" customFormat="false" ht="15" hidden="false" customHeight="true" outlineLevel="0" collapsed="false">
      <c r="A104" s="6" t="s">
        <v>15716</v>
      </c>
      <c r="B104" s="6" t="s">
        <v>259</v>
      </c>
      <c r="C104" s="6" t="s">
        <v>124</v>
      </c>
      <c r="D104" s="6" t="s">
        <v>26</v>
      </c>
      <c r="E104" s="14" t="n">
        <v>3147.93</v>
      </c>
      <c r="F104" s="14" t="n">
        <v>3147.93</v>
      </c>
      <c r="G104" s="6" t="s">
        <v>15614</v>
      </c>
    </row>
    <row r="105" customFormat="false" ht="15" hidden="false" customHeight="true" outlineLevel="0" collapsed="false">
      <c r="A105" s="6" t="s">
        <v>15717</v>
      </c>
      <c r="B105" s="6" t="s">
        <v>259</v>
      </c>
      <c r="C105" s="6" t="s">
        <v>124</v>
      </c>
      <c r="D105" s="6" t="s">
        <v>27</v>
      </c>
      <c r="E105" s="14" t="n">
        <v>3147.93</v>
      </c>
      <c r="F105" s="14" t="n">
        <v>6295.86</v>
      </c>
      <c r="G105" s="6" t="s">
        <v>15614</v>
      </c>
    </row>
    <row r="106" customFormat="false" ht="15" hidden="false" customHeight="true" outlineLevel="0" collapsed="false">
      <c r="A106" s="6" t="s">
        <v>15718</v>
      </c>
      <c r="B106" s="6" t="s">
        <v>261</v>
      </c>
      <c r="C106" s="6" t="s">
        <v>120</v>
      </c>
      <c r="D106" s="6" t="s">
        <v>46</v>
      </c>
      <c r="E106" s="14" t="n">
        <v>136.8</v>
      </c>
      <c r="F106" s="14" t="n">
        <v>136.8</v>
      </c>
      <c r="G106" s="6" t="s">
        <v>15614</v>
      </c>
    </row>
    <row r="107" customFormat="false" ht="15" hidden="false" customHeight="true" outlineLevel="0" collapsed="false">
      <c r="A107" s="6" t="s">
        <v>15719</v>
      </c>
      <c r="B107" s="6" t="s">
        <v>261</v>
      </c>
      <c r="C107" s="6" t="s">
        <v>120</v>
      </c>
      <c r="D107" s="6" t="s">
        <v>47</v>
      </c>
      <c r="E107" s="14" t="n">
        <v>136.8</v>
      </c>
      <c r="F107" s="14" t="n">
        <v>273.6</v>
      </c>
      <c r="G107" s="6" t="s">
        <v>15614</v>
      </c>
    </row>
    <row r="108" customFormat="false" ht="15" hidden="false" customHeight="true" outlineLevel="0" collapsed="false">
      <c r="A108" s="6" t="s">
        <v>15720</v>
      </c>
      <c r="B108" s="6" t="s">
        <v>261</v>
      </c>
      <c r="C108" s="6" t="s">
        <v>120</v>
      </c>
      <c r="D108" s="6" t="s">
        <v>48</v>
      </c>
      <c r="E108" s="14" t="n">
        <v>136.8</v>
      </c>
      <c r="F108" s="14" t="n">
        <v>410.4</v>
      </c>
      <c r="G108" s="6" t="s">
        <v>15614</v>
      </c>
    </row>
    <row r="109" customFormat="false" ht="15" hidden="false" customHeight="true" outlineLevel="0" collapsed="false">
      <c r="A109" s="6" t="s">
        <v>15721</v>
      </c>
      <c r="B109" s="6" t="s">
        <v>261</v>
      </c>
      <c r="C109" s="6" t="s">
        <v>120</v>
      </c>
      <c r="D109" s="6" t="s">
        <v>49</v>
      </c>
      <c r="E109" s="14" t="n">
        <v>136.8</v>
      </c>
      <c r="F109" s="14" t="n">
        <v>547.2</v>
      </c>
      <c r="G109" s="6" t="s">
        <v>15614</v>
      </c>
    </row>
    <row r="110" customFormat="false" ht="15" hidden="false" customHeight="true" outlineLevel="0" collapsed="false">
      <c r="A110" s="6" t="s">
        <v>15722</v>
      </c>
      <c r="B110" s="6" t="s">
        <v>261</v>
      </c>
      <c r="C110" s="6" t="s">
        <v>120</v>
      </c>
      <c r="D110" s="6" t="s">
        <v>50</v>
      </c>
      <c r="E110" s="14" t="n">
        <v>136.8</v>
      </c>
      <c r="F110" s="14" t="n">
        <v>684</v>
      </c>
      <c r="G110" s="6" t="s">
        <v>15614</v>
      </c>
    </row>
    <row r="111" customFormat="false" ht="15" hidden="false" customHeight="true" outlineLevel="0" collapsed="false">
      <c r="A111" s="6" t="s">
        <v>15723</v>
      </c>
      <c r="B111" s="6" t="s">
        <v>264</v>
      </c>
      <c r="C111" s="6" t="s">
        <v>131</v>
      </c>
      <c r="D111" s="6" t="s">
        <v>58</v>
      </c>
      <c r="E111" s="14" t="n">
        <v>2257.02</v>
      </c>
      <c r="F111" s="14" t="n">
        <v>2257.02</v>
      </c>
      <c r="G111" s="6" t="s">
        <v>15614</v>
      </c>
    </row>
    <row r="112" customFormat="false" ht="15" hidden="false" customHeight="true" outlineLevel="0" collapsed="false">
      <c r="A112" s="6" t="s">
        <v>15724</v>
      </c>
      <c r="B112" s="6" t="s">
        <v>264</v>
      </c>
      <c r="C112" s="6" t="s">
        <v>131</v>
      </c>
      <c r="D112" s="6" t="s">
        <v>59</v>
      </c>
      <c r="E112" s="14" t="n">
        <v>2257.02</v>
      </c>
      <c r="F112" s="14" t="n">
        <v>4514.04</v>
      </c>
      <c r="G112" s="6" t="s">
        <v>15614</v>
      </c>
    </row>
    <row r="113" customFormat="false" ht="15" hidden="false" customHeight="true" outlineLevel="0" collapsed="false">
      <c r="A113" s="6" t="s">
        <v>15725</v>
      </c>
      <c r="B113" s="6" t="s">
        <v>264</v>
      </c>
      <c r="C113" s="6" t="s">
        <v>131</v>
      </c>
      <c r="D113" s="6" t="s">
        <v>60</v>
      </c>
      <c r="E113" s="14" t="n">
        <v>2257.02</v>
      </c>
      <c r="F113" s="14" t="n">
        <v>6771.06</v>
      </c>
      <c r="G113" s="6" t="s">
        <v>15614</v>
      </c>
    </row>
    <row r="114" customFormat="false" ht="15" hidden="false" customHeight="true" outlineLevel="0" collapsed="false">
      <c r="A114" s="6" t="s">
        <v>15726</v>
      </c>
      <c r="B114" s="6" t="s">
        <v>264</v>
      </c>
      <c r="C114" s="6" t="s">
        <v>131</v>
      </c>
      <c r="D114" s="6" t="s">
        <v>61</v>
      </c>
      <c r="E114" s="14" t="n">
        <v>2257.02</v>
      </c>
      <c r="F114" s="14" t="n">
        <v>9028.08</v>
      </c>
      <c r="G114" s="6" t="s">
        <v>15614</v>
      </c>
    </row>
    <row r="115" customFormat="false" ht="15" hidden="false" customHeight="true" outlineLevel="0" collapsed="false">
      <c r="A115" s="6" t="s">
        <v>15727</v>
      </c>
      <c r="B115" s="6" t="s">
        <v>264</v>
      </c>
      <c r="C115" s="6" t="s">
        <v>131</v>
      </c>
      <c r="D115" s="6" t="s">
        <v>62</v>
      </c>
      <c r="E115" s="14" t="n">
        <v>2257.02</v>
      </c>
      <c r="F115" s="14" t="n">
        <v>11285.1</v>
      </c>
      <c r="G115" s="6" t="s">
        <v>15614</v>
      </c>
    </row>
    <row r="116" customFormat="false" ht="15" hidden="false" customHeight="true" outlineLevel="0" collapsed="false">
      <c r="A116" s="6" t="s">
        <v>15728</v>
      </c>
      <c r="B116" s="6" t="s">
        <v>266</v>
      </c>
      <c r="C116" s="6" t="s">
        <v>112</v>
      </c>
      <c r="D116" s="6" t="s">
        <v>62</v>
      </c>
      <c r="E116" s="14" t="n">
        <v>1017.59</v>
      </c>
      <c r="F116" s="14" t="n">
        <v>1017.59</v>
      </c>
      <c r="G116" s="6" t="s">
        <v>15614</v>
      </c>
    </row>
    <row r="117" customFormat="false" ht="15" hidden="false" customHeight="true" outlineLevel="0" collapsed="false">
      <c r="A117" s="6" t="s">
        <v>15729</v>
      </c>
      <c r="B117" s="6" t="s">
        <v>266</v>
      </c>
      <c r="C117" s="6" t="s">
        <v>112</v>
      </c>
      <c r="D117" s="6" t="s">
        <v>63</v>
      </c>
      <c r="E117" s="14" t="n">
        <v>1017.59</v>
      </c>
      <c r="F117" s="14" t="n">
        <v>2035.18</v>
      </c>
      <c r="G117" s="6" t="s">
        <v>15614</v>
      </c>
    </row>
    <row r="118" customFormat="false" ht="15" hidden="false" customHeight="true" outlineLevel="0" collapsed="false">
      <c r="A118" s="6" t="s">
        <v>15730</v>
      </c>
      <c r="B118" s="6" t="s">
        <v>268</v>
      </c>
      <c r="C118" s="6" t="s">
        <v>128</v>
      </c>
      <c r="D118" s="6" t="s">
        <v>17</v>
      </c>
      <c r="E118" s="14" t="n">
        <v>2985.05</v>
      </c>
      <c r="F118" s="14" t="n">
        <v>2985.05</v>
      </c>
      <c r="G118" s="6" t="s">
        <v>15614</v>
      </c>
    </row>
    <row r="119" customFormat="false" ht="15" hidden="false" customHeight="true" outlineLevel="0" collapsed="false">
      <c r="A119" s="6" t="s">
        <v>15731</v>
      </c>
      <c r="B119" s="6" t="s">
        <v>268</v>
      </c>
      <c r="C119" s="6" t="s">
        <v>128</v>
      </c>
      <c r="D119" s="6" t="s">
        <v>18</v>
      </c>
      <c r="E119" s="14" t="n">
        <v>2985.05</v>
      </c>
      <c r="F119" s="14" t="n">
        <v>5970.1</v>
      </c>
      <c r="G119" s="6" t="s">
        <v>15614</v>
      </c>
    </row>
    <row r="120" customFormat="false" ht="15" hidden="false" customHeight="true" outlineLevel="0" collapsed="false">
      <c r="A120" s="6" t="s">
        <v>15732</v>
      </c>
      <c r="B120" s="6" t="s">
        <v>270</v>
      </c>
      <c r="C120" s="6" t="s">
        <v>112</v>
      </c>
      <c r="D120" s="6" t="s">
        <v>30</v>
      </c>
      <c r="E120" s="14" t="n">
        <v>2154.5</v>
      </c>
      <c r="F120" s="14" t="n">
        <v>2154.5</v>
      </c>
      <c r="G120" s="6" t="s">
        <v>15614</v>
      </c>
    </row>
    <row r="121" customFormat="false" ht="15" hidden="false" customHeight="true" outlineLevel="0" collapsed="false">
      <c r="A121" s="6" t="s">
        <v>15733</v>
      </c>
      <c r="B121" s="6" t="s">
        <v>270</v>
      </c>
      <c r="C121" s="6" t="s">
        <v>112</v>
      </c>
      <c r="D121" s="6" t="s">
        <v>31</v>
      </c>
      <c r="E121" s="14" t="n">
        <v>2154.5</v>
      </c>
      <c r="F121" s="14" t="n">
        <v>4309</v>
      </c>
      <c r="G121" s="6" t="s">
        <v>15614</v>
      </c>
    </row>
    <row r="122" customFormat="false" ht="15" hidden="false" customHeight="true" outlineLevel="0" collapsed="false">
      <c r="A122" s="6" t="s">
        <v>15734</v>
      </c>
      <c r="B122" s="6" t="s">
        <v>270</v>
      </c>
      <c r="C122" s="6" t="s">
        <v>112</v>
      </c>
      <c r="D122" s="6" t="s">
        <v>32</v>
      </c>
      <c r="E122" s="14" t="n">
        <v>2154.5</v>
      </c>
      <c r="F122" s="14" t="n">
        <v>6463.5</v>
      </c>
      <c r="G122" s="6" t="s">
        <v>15614</v>
      </c>
    </row>
    <row r="123" customFormat="false" ht="15" hidden="false" customHeight="true" outlineLevel="0" collapsed="false">
      <c r="A123" s="6" t="s">
        <v>15735</v>
      </c>
      <c r="B123" s="6" t="s">
        <v>270</v>
      </c>
      <c r="C123" s="6" t="s">
        <v>112</v>
      </c>
      <c r="D123" s="6" t="s">
        <v>33</v>
      </c>
      <c r="E123" s="14" t="n">
        <v>2154.5</v>
      </c>
      <c r="F123" s="14" t="n">
        <v>8618</v>
      </c>
      <c r="G123" s="6" t="s">
        <v>15614</v>
      </c>
    </row>
    <row r="124" customFormat="false" ht="15" hidden="false" customHeight="true" outlineLevel="0" collapsed="false">
      <c r="A124" s="6" t="s">
        <v>15736</v>
      </c>
      <c r="B124" s="6" t="s">
        <v>270</v>
      </c>
      <c r="C124" s="6" t="s">
        <v>112</v>
      </c>
      <c r="D124" s="6" t="s">
        <v>34</v>
      </c>
      <c r="E124" s="14" t="n">
        <v>2154.5</v>
      </c>
      <c r="F124" s="14" t="n">
        <v>10772.5</v>
      </c>
      <c r="G124" s="6" t="s">
        <v>15614</v>
      </c>
    </row>
    <row r="125" customFormat="false" ht="15" hidden="false" customHeight="true" outlineLevel="0" collapsed="false">
      <c r="A125" s="6" t="s">
        <v>15737</v>
      </c>
      <c r="B125" s="6" t="s">
        <v>270</v>
      </c>
      <c r="C125" s="6" t="s">
        <v>112</v>
      </c>
      <c r="D125" s="6" t="s">
        <v>34</v>
      </c>
      <c r="E125" s="14" t="n">
        <v>2154.5</v>
      </c>
      <c r="F125" s="14" t="n">
        <v>12927</v>
      </c>
      <c r="G125" s="6" t="s">
        <v>15614</v>
      </c>
    </row>
    <row r="126" customFormat="false" ht="15" hidden="false" customHeight="true" outlineLevel="0" collapsed="false">
      <c r="A126" s="6" t="s">
        <v>15738</v>
      </c>
      <c r="B126" s="6" t="s">
        <v>272</v>
      </c>
      <c r="C126" s="6" t="s">
        <v>116</v>
      </c>
      <c r="D126" s="6" t="s">
        <v>21</v>
      </c>
      <c r="E126" s="14" t="n">
        <v>4795.26</v>
      </c>
      <c r="F126" s="14" t="n">
        <v>4795.26</v>
      </c>
      <c r="G126" s="6" t="s">
        <v>15614</v>
      </c>
    </row>
    <row r="127" customFormat="false" ht="15" hidden="false" customHeight="true" outlineLevel="0" collapsed="false">
      <c r="A127" s="6" t="s">
        <v>15739</v>
      </c>
      <c r="B127" s="6" t="s">
        <v>272</v>
      </c>
      <c r="C127" s="6" t="s">
        <v>116</v>
      </c>
      <c r="D127" s="6" t="s">
        <v>22</v>
      </c>
      <c r="E127" s="14" t="n">
        <v>4795.26</v>
      </c>
      <c r="F127" s="14" t="n">
        <v>9590.52</v>
      </c>
      <c r="G127" s="6" t="s">
        <v>15614</v>
      </c>
    </row>
    <row r="128" customFormat="false" ht="15" hidden="false" customHeight="true" outlineLevel="0" collapsed="false">
      <c r="A128" s="6" t="s">
        <v>15740</v>
      </c>
      <c r="B128" s="6" t="s">
        <v>272</v>
      </c>
      <c r="C128" s="6" t="s">
        <v>116</v>
      </c>
      <c r="D128" s="6" t="s">
        <v>23</v>
      </c>
      <c r="E128" s="14" t="n">
        <v>4795.26</v>
      </c>
      <c r="F128" s="14" t="n">
        <v>14385.78</v>
      </c>
      <c r="G128" s="6" t="s">
        <v>15614</v>
      </c>
    </row>
    <row r="129" customFormat="false" ht="15" hidden="false" customHeight="true" outlineLevel="0" collapsed="false">
      <c r="A129" s="6" t="s">
        <v>15741</v>
      </c>
      <c r="B129" s="6" t="s">
        <v>272</v>
      </c>
      <c r="C129" s="6" t="s">
        <v>116</v>
      </c>
      <c r="D129" s="6" t="s">
        <v>24</v>
      </c>
      <c r="E129" s="14" t="n">
        <v>4795.26</v>
      </c>
      <c r="F129" s="14" t="n">
        <v>19181.04</v>
      </c>
      <c r="G129" s="6" t="s">
        <v>15614</v>
      </c>
    </row>
    <row r="130" customFormat="false" ht="15" hidden="false" customHeight="true" outlineLevel="0" collapsed="false">
      <c r="A130" s="6" t="s">
        <v>15742</v>
      </c>
      <c r="B130" s="6" t="s">
        <v>274</v>
      </c>
      <c r="C130" s="6" t="s">
        <v>120</v>
      </c>
      <c r="D130" s="6" t="s">
        <v>25</v>
      </c>
      <c r="E130" s="14" t="n">
        <v>3036.5</v>
      </c>
      <c r="F130" s="14" t="n">
        <v>3036.5</v>
      </c>
      <c r="G130" s="6" t="s">
        <v>15614</v>
      </c>
    </row>
    <row r="131" customFormat="false" ht="15" hidden="false" customHeight="true" outlineLevel="0" collapsed="false">
      <c r="A131" s="6" t="s">
        <v>15743</v>
      </c>
      <c r="B131" s="6" t="s">
        <v>274</v>
      </c>
      <c r="C131" s="6" t="s">
        <v>120</v>
      </c>
      <c r="D131" s="6" t="s">
        <v>26</v>
      </c>
      <c r="E131" s="14" t="n">
        <v>3036.5</v>
      </c>
      <c r="F131" s="14" t="n">
        <v>6073</v>
      </c>
      <c r="G131" s="6" t="s">
        <v>15614</v>
      </c>
    </row>
    <row r="132" customFormat="false" ht="15" hidden="false" customHeight="true" outlineLevel="0" collapsed="false">
      <c r="A132" s="6" t="s">
        <v>15744</v>
      </c>
      <c r="B132" s="6" t="s">
        <v>274</v>
      </c>
      <c r="C132" s="6" t="s">
        <v>120</v>
      </c>
      <c r="D132" s="6" t="s">
        <v>27</v>
      </c>
      <c r="E132" s="14" t="n">
        <v>3036.5</v>
      </c>
      <c r="F132" s="14" t="n">
        <v>9109.5</v>
      </c>
      <c r="G132" s="6" t="s">
        <v>15614</v>
      </c>
    </row>
    <row r="133" customFormat="false" ht="15" hidden="false" customHeight="true" outlineLevel="0" collapsed="false">
      <c r="A133" s="6" t="s">
        <v>15745</v>
      </c>
      <c r="B133" s="6" t="s">
        <v>274</v>
      </c>
      <c r="C133" s="6" t="s">
        <v>120</v>
      </c>
      <c r="D133" s="6" t="s">
        <v>28</v>
      </c>
      <c r="E133" s="14" t="n">
        <v>3036.5</v>
      </c>
      <c r="F133" s="14" t="n">
        <v>12146</v>
      </c>
      <c r="G133" s="6" t="s">
        <v>15614</v>
      </c>
    </row>
    <row r="134" customFormat="false" ht="15" hidden="false" customHeight="true" outlineLevel="0" collapsed="false">
      <c r="A134" s="6" t="s">
        <v>15746</v>
      </c>
      <c r="B134" s="6" t="s">
        <v>274</v>
      </c>
      <c r="C134" s="6" t="s">
        <v>120</v>
      </c>
      <c r="D134" s="6" t="s">
        <v>29</v>
      </c>
      <c r="E134" s="14" t="n">
        <v>3036.5</v>
      </c>
      <c r="F134" s="14" t="n">
        <v>15182.5</v>
      </c>
      <c r="G134" s="6" t="s">
        <v>15614</v>
      </c>
    </row>
    <row r="135" customFormat="false" ht="15" hidden="false" customHeight="true" outlineLevel="0" collapsed="false">
      <c r="A135" s="6" t="s">
        <v>15747</v>
      </c>
      <c r="B135" s="6" t="s">
        <v>276</v>
      </c>
      <c r="C135" s="6" t="s">
        <v>120</v>
      </c>
      <c r="D135" s="6" t="s">
        <v>48</v>
      </c>
      <c r="E135" s="14" t="n">
        <v>1355.39</v>
      </c>
      <c r="F135" s="14" t="n">
        <v>1355.39</v>
      </c>
      <c r="G135" s="6" t="s">
        <v>15614</v>
      </c>
    </row>
    <row r="136" customFormat="false" ht="15" hidden="false" customHeight="true" outlineLevel="0" collapsed="false">
      <c r="A136" s="6" t="s">
        <v>15748</v>
      </c>
      <c r="B136" s="6" t="s">
        <v>276</v>
      </c>
      <c r="C136" s="6" t="s">
        <v>120</v>
      </c>
      <c r="D136" s="6" t="s">
        <v>49</v>
      </c>
      <c r="E136" s="14" t="n">
        <v>1355.39</v>
      </c>
      <c r="F136" s="14" t="n">
        <v>2710.78</v>
      </c>
      <c r="G136" s="6" t="s">
        <v>15614</v>
      </c>
    </row>
    <row r="137" customFormat="false" ht="15" hidden="false" customHeight="true" outlineLevel="0" collapsed="false">
      <c r="A137" s="6" t="s">
        <v>15749</v>
      </c>
      <c r="B137" s="6" t="s">
        <v>278</v>
      </c>
      <c r="C137" s="6" t="s">
        <v>131</v>
      </c>
      <c r="D137" s="6" t="s">
        <v>32</v>
      </c>
      <c r="E137" s="14" t="n">
        <v>2002.79</v>
      </c>
      <c r="F137" s="14" t="n">
        <v>2002.79</v>
      </c>
      <c r="G137" s="6" t="s">
        <v>15614</v>
      </c>
    </row>
    <row r="138" customFormat="false" ht="15" hidden="false" customHeight="true" outlineLevel="0" collapsed="false">
      <c r="A138" s="6" t="s">
        <v>15750</v>
      </c>
      <c r="B138" s="6" t="s">
        <v>278</v>
      </c>
      <c r="C138" s="6" t="s">
        <v>131</v>
      </c>
      <c r="D138" s="6" t="s">
        <v>33</v>
      </c>
      <c r="E138" s="14" t="n">
        <v>2002.79</v>
      </c>
      <c r="F138" s="14" t="n">
        <v>4005.58</v>
      </c>
      <c r="G138" s="6" t="s">
        <v>15614</v>
      </c>
    </row>
    <row r="139" customFormat="false" ht="15" hidden="false" customHeight="true" outlineLevel="0" collapsed="false">
      <c r="A139" s="6" t="s">
        <v>15751</v>
      </c>
      <c r="B139" s="6" t="s">
        <v>280</v>
      </c>
      <c r="C139" s="6" t="s">
        <v>116</v>
      </c>
      <c r="D139" s="6" t="s">
        <v>47</v>
      </c>
      <c r="E139" s="14" t="n">
        <v>2782.16</v>
      </c>
      <c r="F139" s="14" t="n">
        <v>2782.16</v>
      </c>
      <c r="G139" s="6" t="s">
        <v>15614</v>
      </c>
    </row>
    <row r="140" customFormat="false" ht="15" hidden="false" customHeight="true" outlineLevel="0" collapsed="false">
      <c r="A140" s="6" t="s">
        <v>15752</v>
      </c>
      <c r="B140" s="6" t="s">
        <v>280</v>
      </c>
      <c r="C140" s="6" t="s">
        <v>116</v>
      </c>
      <c r="D140" s="6" t="s">
        <v>48</v>
      </c>
      <c r="E140" s="14" t="n">
        <v>2782.16</v>
      </c>
      <c r="F140" s="14" t="n">
        <v>5564.32</v>
      </c>
      <c r="G140" s="6" t="s">
        <v>15614</v>
      </c>
    </row>
    <row r="141" customFormat="false" ht="15" hidden="false" customHeight="true" outlineLevel="0" collapsed="false">
      <c r="A141" s="6" t="s">
        <v>15753</v>
      </c>
      <c r="B141" s="6" t="s">
        <v>282</v>
      </c>
      <c r="C141" s="6" t="s">
        <v>128</v>
      </c>
      <c r="D141" s="6" t="s">
        <v>20</v>
      </c>
      <c r="E141" s="14" t="n">
        <v>5186.61</v>
      </c>
      <c r="F141" s="14" t="n">
        <v>5186.61</v>
      </c>
      <c r="G141" s="6" t="s">
        <v>15614</v>
      </c>
    </row>
    <row r="142" customFormat="false" ht="15" hidden="false" customHeight="true" outlineLevel="0" collapsed="false">
      <c r="A142" s="6" t="s">
        <v>15754</v>
      </c>
      <c r="B142" s="6" t="s">
        <v>282</v>
      </c>
      <c r="C142" s="6" t="s">
        <v>128</v>
      </c>
      <c r="D142" s="6" t="s">
        <v>21</v>
      </c>
      <c r="E142" s="14" t="n">
        <v>5186.61</v>
      </c>
      <c r="F142" s="14" t="n">
        <v>10373.22</v>
      </c>
      <c r="G142" s="6" t="s">
        <v>15614</v>
      </c>
    </row>
    <row r="143" customFormat="false" ht="15" hidden="false" customHeight="true" outlineLevel="0" collapsed="false">
      <c r="A143" s="6" t="s">
        <v>15755</v>
      </c>
      <c r="B143" s="6" t="s">
        <v>284</v>
      </c>
      <c r="C143" s="6" t="s">
        <v>120</v>
      </c>
      <c r="D143" s="6" t="s">
        <v>30</v>
      </c>
      <c r="E143" s="14" t="n">
        <v>211.21</v>
      </c>
      <c r="F143" s="14" t="n">
        <v>211.21</v>
      </c>
      <c r="G143" s="6" t="s">
        <v>15614</v>
      </c>
    </row>
    <row r="144" customFormat="false" ht="15" hidden="false" customHeight="true" outlineLevel="0" collapsed="false">
      <c r="A144" s="6" t="s">
        <v>15756</v>
      </c>
      <c r="B144" s="6" t="s">
        <v>284</v>
      </c>
      <c r="C144" s="6" t="s">
        <v>120</v>
      </c>
      <c r="D144" s="6" t="s">
        <v>31</v>
      </c>
      <c r="E144" s="14" t="n">
        <v>211.21</v>
      </c>
      <c r="F144" s="14" t="n">
        <v>422.42</v>
      </c>
      <c r="G144" s="6" t="s">
        <v>15614</v>
      </c>
    </row>
    <row r="145" customFormat="false" ht="15" hidden="false" customHeight="true" outlineLevel="0" collapsed="false">
      <c r="A145" s="6" t="s">
        <v>15757</v>
      </c>
      <c r="B145" s="6" t="s">
        <v>286</v>
      </c>
      <c r="C145" s="6" t="s">
        <v>120</v>
      </c>
      <c r="D145" s="6" t="s">
        <v>49</v>
      </c>
      <c r="E145" s="14" t="n">
        <v>3023.41</v>
      </c>
      <c r="F145" s="14" t="n">
        <v>3023.41</v>
      </c>
      <c r="G145" s="6" t="s">
        <v>15614</v>
      </c>
    </row>
    <row r="146" customFormat="false" ht="15" hidden="false" customHeight="true" outlineLevel="0" collapsed="false">
      <c r="A146" s="6" t="s">
        <v>15758</v>
      </c>
      <c r="B146" s="6" t="s">
        <v>286</v>
      </c>
      <c r="C146" s="6" t="s">
        <v>120</v>
      </c>
      <c r="D146" s="6" t="s">
        <v>50</v>
      </c>
      <c r="E146" s="14" t="n">
        <v>3023.41</v>
      </c>
      <c r="F146" s="14" t="n">
        <v>6046.82</v>
      </c>
      <c r="G146" s="6" t="s">
        <v>15614</v>
      </c>
    </row>
    <row r="147" customFormat="false" ht="15" hidden="false" customHeight="true" outlineLevel="0" collapsed="false">
      <c r="A147" s="6" t="s">
        <v>15759</v>
      </c>
      <c r="B147" s="6" t="s">
        <v>286</v>
      </c>
      <c r="C147" s="6" t="s">
        <v>120</v>
      </c>
      <c r="D147" s="6" t="s">
        <v>51</v>
      </c>
      <c r="E147" s="14" t="n">
        <v>3023.41</v>
      </c>
      <c r="F147" s="14" t="n">
        <v>9070.23</v>
      </c>
      <c r="G147" s="6" t="s">
        <v>15614</v>
      </c>
    </row>
    <row r="148" customFormat="false" ht="15" hidden="false" customHeight="true" outlineLevel="0" collapsed="false">
      <c r="A148" s="6" t="s">
        <v>15760</v>
      </c>
      <c r="B148" s="6" t="s">
        <v>286</v>
      </c>
      <c r="C148" s="6" t="s">
        <v>120</v>
      </c>
      <c r="D148" s="6" t="s">
        <v>52</v>
      </c>
      <c r="E148" s="14" t="n">
        <v>3023.41</v>
      </c>
      <c r="F148" s="14" t="n">
        <v>12093.64</v>
      </c>
      <c r="G148" s="6" t="s">
        <v>15614</v>
      </c>
    </row>
    <row r="149" customFormat="false" ht="15" hidden="false" customHeight="true" outlineLevel="0" collapsed="false">
      <c r="A149" s="6" t="s">
        <v>15761</v>
      </c>
      <c r="B149" s="6" t="s">
        <v>289</v>
      </c>
      <c r="C149" s="6" t="s">
        <v>116</v>
      </c>
      <c r="D149" s="6" t="s">
        <v>19</v>
      </c>
      <c r="E149" s="14" t="n">
        <v>4421.03</v>
      </c>
      <c r="F149" s="14" t="n">
        <v>4421.03</v>
      </c>
      <c r="G149" s="6" t="s">
        <v>15614</v>
      </c>
    </row>
    <row r="150" customFormat="false" ht="15" hidden="false" customHeight="true" outlineLevel="0" collapsed="false">
      <c r="A150" s="6" t="s">
        <v>15762</v>
      </c>
      <c r="B150" s="6" t="s">
        <v>289</v>
      </c>
      <c r="C150" s="6" t="s">
        <v>116</v>
      </c>
      <c r="D150" s="6" t="s">
        <v>20</v>
      </c>
      <c r="E150" s="14" t="n">
        <v>4421.03</v>
      </c>
      <c r="F150" s="14" t="n">
        <v>8842.06</v>
      </c>
      <c r="G150" s="6" t="s">
        <v>15614</v>
      </c>
    </row>
    <row r="151" customFormat="false" ht="15" hidden="false" customHeight="true" outlineLevel="0" collapsed="false">
      <c r="A151" s="6" t="s">
        <v>15763</v>
      </c>
      <c r="B151" s="6" t="s">
        <v>289</v>
      </c>
      <c r="C151" s="6" t="s">
        <v>116</v>
      </c>
      <c r="D151" s="6" t="s">
        <v>21</v>
      </c>
      <c r="E151" s="14" t="n">
        <v>4421.03</v>
      </c>
      <c r="F151" s="14" t="n">
        <v>13263.09</v>
      </c>
      <c r="G151" s="6" t="s">
        <v>15614</v>
      </c>
    </row>
    <row r="152" customFormat="false" ht="15" hidden="false" customHeight="true" outlineLevel="0" collapsed="false">
      <c r="A152" s="6" t="s">
        <v>15764</v>
      </c>
      <c r="B152" s="6" t="s">
        <v>289</v>
      </c>
      <c r="C152" s="6" t="s">
        <v>116</v>
      </c>
      <c r="D152" s="6" t="s">
        <v>22</v>
      </c>
      <c r="E152" s="14" t="n">
        <v>4421.03</v>
      </c>
      <c r="F152" s="14" t="n">
        <v>17684.12</v>
      </c>
      <c r="G152" s="6" t="s">
        <v>15614</v>
      </c>
    </row>
    <row r="153" customFormat="false" ht="15" hidden="false" customHeight="true" outlineLevel="0" collapsed="false">
      <c r="A153" s="6" t="s">
        <v>15765</v>
      </c>
      <c r="B153" s="6" t="s">
        <v>291</v>
      </c>
      <c r="C153" s="6" t="s">
        <v>131</v>
      </c>
      <c r="D153" s="6" t="s">
        <v>43</v>
      </c>
      <c r="E153" s="14" t="n">
        <v>1069.7</v>
      </c>
      <c r="F153" s="14" t="n">
        <v>1069.7</v>
      </c>
      <c r="G153" s="6" t="s">
        <v>15614</v>
      </c>
    </row>
    <row r="154" customFormat="false" ht="15" hidden="false" customHeight="true" outlineLevel="0" collapsed="false">
      <c r="A154" s="6" t="s">
        <v>15766</v>
      </c>
      <c r="B154" s="6" t="s">
        <v>291</v>
      </c>
      <c r="C154" s="6" t="s">
        <v>131</v>
      </c>
      <c r="D154" s="6" t="s">
        <v>44</v>
      </c>
      <c r="E154" s="14" t="n">
        <v>1069.7</v>
      </c>
      <c r="F154" s="14" t="n">
        <v>2139.4</v>
      </c>
      <c r="G154" s="6" t="s">
        <v>15614</v>
      </c>
    </row>
    <row r="155" customFormat="false" ht="15" hidden="false" customHeight="true" outlineLevel="0" collapsed="false">
      <c r="A155" s="6" t="s">
        <v>15767</v>
      </c>
      <c r="B155" s="6" t="s">
        <v>293</v>
      </c>
      <c r="C155" s="6" t="s">
        <v>116</v>
      </c>
      <c r="D155" s="6" t="s">
        <v>21</v>
      </c>
      <c r="E155" s="14" t="n">
        <v>1652.81</v>
      </c>
      <c r="F155" s="14" t="n">
        <v>1652.81</v>
      </c>
      <c r="G155" s="6" t="s">
        <v>15614</v>
      </c>
    </row>
    <row r="156" customFormat="false" ht="15" hidden="false" customHeight="true" outlineLevel="0" collapsed="false">
      <c r="A156" s="6" t="s">
        <v>15768</v>
      </c>
      <c r="B156" s="6" t="s">
        <v>293</v>
      </c>
      <c r="C156" s="6" t="s">
        <v>116</v>
      </c>
      <c r="D156" s="6" t="s">
        <v>22</v>
      </c>
      <c r="E156" s="14" t="n">
        <v>1652.81</v>
      </c>
      <c r="F156" s="14" t="n">
        <v>3305.62</v>
      </c>
      <c r="G156" s="6" t="s">
        <v>15614</v>
      </c>
    </row>
    <row r="157" customFormat="false" ht="15" hidden="false" customHeight="true" outlineLevel="0" collapsed="false">
      <c r="A157" s="6" t="s">
        <v>15769</v>
      </c>
      <c r="B157" s="6" t="s">
        <v>293</v>
      </c>
      <c r="C157" s="6" t="s">
        <v>116</v>
      </c>
      <c r="D157" s="6" t="s">
        <v>23</v>
      </c>
      <c r="E157" s="14" t="n">
        <v>1652.81</v>
      </c>
      <c r="F157" s="14" t="n">
        <v>4958.43</v>
      </c>
      <c r="G157" s="6" t="s">
        <v>15614</v>
      </c>
    </row>
    <row r="158" customFormat="false" ht="15" hidden="false" customHeight="true" outlineLevel="0" collapsed="false">
      <c r="A158" s="6" t="s">
        <v>15770</v>
      </c>
      <c r="B158" s="6" t="s">
        <v>293</v>
      </c>
      <c r="C158" s="6" t="s">
        <v>116</v>
      </c>
      <c r="D158" s="6" t="s">
        <v>24</v>
      </c>
      <c r="E158" s="14" t="n">
        <v>1652.81</v>
      </c>
      <c r="F158" s="14" t="n">
        <v>6611.24</v>
      </c>
      <c r="G158" s="6" t="s">
        <v>15614</v>
      </c>
    </row>
    <row r="159" customFormat="false" ht="15" hidden="false" customHeight="true" outlineLevel="0" collapsed="false">
      <c r="A159" s="6" t="s">
        <v>15771</v>
      </c>
      <c r="B159" s="6" t="s">
        <v>295</v>
      </c>
      <c r="C159" s="6" t="s">
        <v>112</v>
      </c>
      <c r="D159" s="6" t="s">
        <v>17</v>
      </c>
      <c r="E159" s="14" t="n">
        <v>1859.12</v>
      </c>
      <c r="F159" s="14" t="n">
        <v>1859.12</v>
      </c>
      <c r="G159" s="6" t="s">
        <v>15614</v>
      </c>
    </row>
    <row r="160" customFormat="false" ht="15" hidden="false" customHeight="true" outlineLevel="0" collapsed="false">
      <c r="A160" s="6" t="s">
        <v>15772</v>
      </c>
      <c r="B160" s="6" t="s">
        <v>295</v>
      </c>
      <c r="C160" s="6" t="s">
        <v>112</v>
      </c>
      <c r="D160" s="6" t="s">
        <v>18</v>
      </c>
      <c r="E160" s="14" t="n">
        <v>1859.12</v>
      </c>
      <c r="F160" s="14" t="n">
        <v>3718.24</v>
      </c>
      <c r="G160" s="6" t="s">
        <v>15614</v>
      </c>
    </row>
    <row r="161" customFormat="false" ht="15" hidden="false" customHeight="true" outlineLevel="0" collapsed="false">
      <c r="A161" s="6" t="s">
        <v>15773</v>
      </c>
      <c r="B161" s="6" t="s">
        <v>295</v>
      </c>
      <c r="C161" s="6" t="s">
        <v>112</v>
      </c>
      <c r="D161" s="6" t="s">
        <v>19</v>
      </c>
      <c r="E161" s="14" t="n">
        <v>1859.12</v>
      </c>
      <c r="F161" s="14" t="n">
        <v>5577.36</v>
      </c>
      <c r="G161" s="6" t="s">
        <v>15614</v>
      </c>
    </row>
    <row r="162" customFormat="false" ht="15" hidden="false" customHeight="true" outlineLevel="0" collapsed="false">
      <c r="A162" s="6" t="s">
        <v>15774</v>
      </c>
      <c r="B162" s="6" t="s">
        <v>295</v>
      </c>
      <c r="C162" s="6" t="s">
        <v>112</v>
      </c>
      <c r="D162" s="6" t="s">
        <v>20</v>
      </c>
      <c r="E162" s="14" t="n">
        <v>1859.12</v>
      </c>
      <c r="F162" s="14" t="n">
        <v>7436.48</v>
      </c>
      <c r="G162" s="6" t="s">
        <v>15614</v>
      </c>
    </row>
    <row r="163" customFormat="false" ht="15" hidden="false" customHeight="true" outlineLevel="0" collapsed="false">
      <c r="A163" s="6" t="s">
        <v>15775</v>
      </c>
      <c r="B163" s="6" t="s">
        <v>295</v>
      </c>
      <c r="C163" s="6" t="s">
        <v>112</v>
      </c>
      <c r="D163" s="6" t="s">
        <v>21</v>
      </c>
      <c r="E163" s="14" t="n">
        <v>1859.12</v>
      </c>
      <c r="F163" s="14" t="n">
        <v>9295.6</v>
      </c>
      <c r="G163" s="6" t="s">
        <v>15614</v>
      </c>
    </row>
    <row r="164" customFormat="false" ht="15" hidden="false" customHeight="true" outlineLevel="0" collapsed="false">
      <c r="A164" s="6" t="s">
        <v>15776</v>
      </c>
      <c r="B164" s="6" t="s">
        <v>295</v>
      </c>
      <c r="C164" s="6" t="s">
        <v>112</v>
      </c>
      <c r="D164" s="6" t="s">
        <v>22</v>
      </c>
      <c r="E164" s="14" t="n">
        <v>1859.12</v>
      </c>
      <c r="F164" s="14" t="n">
        <v>11154.72</v>
      </c>
      <c r="G164" s="6" t="s">
        <v>15614</v>
      </c>
    </row>
    <row r="165" customFormat="false" ht="15" hidden="false" customHeight="true" outlineLevel="0" collapsed="false">
      <c r="A165" s="6" t="s">
        <v>15777</v>
      </c>
      <c r="B165" s="6" t="s">
        <v>295</v>
      </c>
      <c r="C165" s="6" t="s">
        <v>112</v>
      </c>
      <c r="D165" s="6" t="s">
        <v>23</v>
      </c>
      <c r="E165" s="14" t="n">
        <v>1859.12</v>
      </c>
      <c r="F165" s="14" t="n">
        <v>13013.84</v>
      </c>
      <c r="G165" s="6" t="s">
        <v>15614</v>
      </c>
    </row>
    <row r="166" customFormat="false" ht="15" hidden="false" customHeight="true" outlineLevel="0" collapsed="false">
      <c r="A166" s="6" t="s">
        <v>15778</v>
      </c>
      <c r="B166" s="6" t="s">
        <v>297</v>
      </c>
      <c r="C166" s="6" t="s">
        <v>116</v>
      </c>
      <c r="D166" s="6" t="s">
        <v>43</v>
      </c>
      <c r="E166" s="14" t="n">
        <v>2600.21</v>
      </c>
      <c r="F166" s="14" t="n">
        <v>2600.21</v>
      </c>
      <c r="G166" s="6" t="s">
        <v>15614</v>
      </c>
    </row>
    <row r="167" customFormat="false" ht="15" hidden="false" customHeight="true" outlineLevel="0" collapsed="false">
      <c r="A167" s="6" t="s">
        <v>15779</v>
      </c>
      <c r="B167" s="6" t="s">
        <v>297</v>
      </c>
      <c r="C167" s="6" t="s">
        <v>116</v>
      </c>
      <c r="D167" s="6" t="s">
        <v>44</v>
      </c>
      <c r="E167" s="14" t="n">
        <v>2600.21</v>
      </c>
      <c r="F167" s="14" t="n">
        <v>5200.42</v>
      </c>
      <c r="G167" s="6" t="s">
        <v>15614</v>
      </c>
    </row>
    <row r="168" customFormat="false" ht="15" hidden="false" customHeight="true" outlineLevel="0" collapsed="false">
      <c r="A168" s="6" t="s">
        <v>15780</v>
      </c>
      <c r="B168" s="6" t="s">
        <v>297</v>
      </c>
      <c r="C168" s="6" t="s">
        <v>116</v>
      </c>
      <c r="D168" s="6" t="s">
        <v>45</v>
      </c>
      <c r="E168" s="14" t="n">
        <v>2600.21</v>
      </c>
      <c r="F168" s="14" t="n">
        <v>7800.63</v>
      </c>
      <c r="G168" s="6" t="s">
        <v>15614</v>
      </c>
    </row>
    <row r="169" customFormat="false" ht="15" hidden="false" customHeight="true" outlineLevel="0" collapsed="false">
      <c r="A169" s="6" t="s">
        <v>15781</v>
      </c>
      <c r="B169" s="6" t="s">
        <v>300</v>
      </c>
      <c r="C169" s="6" t="s">
        <v>128</v>
      </c>
      <c r="D169" s="6" t="s">
        <v>59</v>
      </c>
      <c r="E169" s="14" t="n">
        <v>5023.11</v>
      </c>
      <c r="F169" s="14" t="n">
        <v>5023.11</v>
      </c>
      <c r="G169" s="6" t="s">
        <v>15614</v>
      </c>
    </row>
    <row r="170" customFormat="false" ht="15" hidden="false" customHeight="true" outlineLevel="0" collapsed="false">
      <c r="A170" s="6" t="s">
        <v>15782</v>
      </c>
      <c r="B170" s="6" t="s">
        <v>300</v>
      </c>
      <c r="C170" s="6" t="s">
        <v>128</v>
      </c>
      <c r="D170" s="6" t="s">
        <v>60</v>
      </c>
      <c r="E170" s="14" t="n">
        <v>5023.11</v>
      </c>
      <c r="F170" s="14" t="n">
        <v>10046.22</v>
      </c>
      <c r="G170" s="6" t="s">
        <v>15614</v>
      </c>
    </row>
    <row r="171" customFormat="false" ht="15" hidden="false" customHeight="true" outlineLevel="0" collapsed="false">
      <c r="A171" s="6" t="s">
        <v>15783</v>
      </c>
      <c r="B171" s="6" t="s">
        <v>300</v>
      </c>
      <c r="C171" s="6" t="s">
        <v>128</v>
      </c>
      <c r="D171" s="6" t="s">
        <v>61</v>
      </c>
      <c r="E171" s="14" t="n">
        <v>5023.11</v>
      </c>
      <c r="F171" s="14" t="n">
        <v>15069.33</v>
      </c>
      <c r="G171" s="6" t="s">
        <v>15614</v>
      </c>
    </row>
    <row r="172" customFormat="false" ht="15" hidden="false" customHeight="true" outlineLevel="0" collapsed="false">
      <c r="A172" s="6" t="s">
        <v>15784</v>
      </c>
      <c r="B172" s="6" t="s">
        <v>302</v>
      </c>
      <c r="C172" s="6" t="s">
        <v>131</v>
      </c>
      <c r="D172" s="6" t="s">
        <v>43</v>
      </c>
      <c r="E172" s="14" t="n">
        <v>514.9</v>
      </c>
      <c r="F172" s="14" t="n">
        <v>514.9</v>
      </c>
      <c r="G172" s="6" t="s">
        <v>15614</v>
      </c>
    </row>
    <row r="173" customFormat="false" ht="15" hidden="false" customHeight="true" outlineLevel="0" collapsed="false">
      <c r="A173" s="6" t="s">
        <v>15785</v>
      </c>
      <c r="B173" s="6" t="s">
        <v>302</v>
      </c>
      <c r="C173" s="6" t="s">
        <v>131</v>
      </c>
      <c r="D173" s="6" t="s">
        <v>44</v>
      </c>
      <c r="E173" s="14" t="n">
        <v>514.9</v>
      </c>
      <c r="F173" s="14" t="n">
        <v>1029.8</v>
      </c>
      <c r="G173" s="6" t="s">
        <v>15614</v>
      </c>
    </row>
    <row r="174" customFormat="false" ht="15" hidden="false" customHeight="true" outlineLevel="0" collapsed="false">
      <c r="A174" s="6" t="s">
        <v>15786</v>
      </c>
      <c r="B174" s="6" t="s">
        <v>305</v>
      </c>
      <c r="C174" s="6" t="s">
        <v>116</v>
      </c>
      <c r="D174" s="6" t="s">
        <v>13</v>
      </c>
      <c r="E174" s="14" t="n">
        <v>4253.48</v>
      </c>
      <c r="F174" s="14" t="n">
        <v>4253.48</v>
      </c>
      <c r="G174" s="6" t="s">
        <v>15614</v>
      </c>
    </row>
    <row r="175" customFormat="false" ht="15" hidden="false" customHeight="true" outlineLevel="0" collapsed="false">
      <c r="A175" s="6" t="s">
        <v>15787</v>
      </c>
      <c r="B175" s="6" t="s">
        <v>305</v>
      </c>
      <c r="C175" s="6" t="s">
        <v>116</v>
      </c>
      <c r="D175" s="6" t="s">
        <v>14</v>
      </c>
      <c r="E175" s="14" t="n">
        <v>4253.48</v>
      </c>
      <c r="F175" s="14" t="n">
        <v>8506.96</v>
      </c>
      <c r="G175" s="6" t="s">
        <v>15614</v>
      </c>
    </row>
    <row r="176" customFormat="false" ht="15" hidden="false" customHeight="true" outlineLevel="0" collapsed="false">
      <c r="A176" s="6" t="s">
        <v>15788</v>
      </c>
      <c r="B176" s="6" t="s">
        <v>305</v>
      </c>
      <c r="C176" s="6" t="s">
        <v>116</v>
      </c>
      <c r="D176" s="6" t="s">
        <v>15</v>
      </c>
      <c r="E176" s="14" t="n">
        <v>4253.48</v>
      </c>
      <c r="F176" s="14" t="n">
        <v>12760.44</v>
      </c>
      <c r="G176" s="6" t="s">
        <v>15614</v>
      </c>
    </row>
    <row r="177" customFormat="false" ht="15" hidden="false" customHeight="true" outlineLevel="0" collapsed="false">
      <c r="A177" s="6" t="s">
        <v>15789</v>
      </c>
      <c r="B177" s="6" t="s">
        <v>307</v>
      </c>
      <c r="C177" s="6" t="s">
        <v>124</v>
      </c>
      <c r="D177" s="6" t="s">
        <v>41</v>
      </c>
      <c r="E177" s="14" t="n">
        <v>544.39</v>
      </c>
      <c r="F177" s="14" t="n">
        <v>544.39</v>
      </c>
      <c r="G177" s="6" t="s">
        <v>15614</v>
      </c>
    </row>
    <row r="178" customFormat="false" ht="15" hidden="false" customHeight="true" outlineLevel="0" collapsed="false">
      <c r="A178" s="6" t="s">
        <v>15790</v>
      </c>
      <c r="B178" s="6" t="s">
        <v>307</v>
      </c>
      <c r="C178" s="6" t="s">
        <v>124</v>
      </c>
      <c r="D178" s="6" t="s">
        <v>42</v>
      </c>
      <c r="E178" s="14" t="n">
        <v>544.39</v>
      </c>
      <c r="F178" s="14" t="n">
        <v>1088.78</v>
      </c>
      <c r="G178" s="6" t="s">
        <v>15614</v>
      </c>
    </row>
    <row r="179" customFormat="false" ht="15" hidden="false" customHeight="true" outlineLevel="0" collapsed="false">
      <c r="A179" s="6" t="s">
        <v>15791</v>
      </c>
      <c r="B179" s="6" t="s">
        <v>307</v>
      </c>
      <c r="C179" s="6" t="s">
        <v>124</v>
      </c>
      <c r="D179" s="6" t="s">
        <v>43</v>
      </c>
      <c r="E179" s="14" t="n">
        <v>544.39</v>
      </c>
      <c r="F179" s="14" t="n">
        <v>1633.17</v>
      </c>
      <c r="G179" s="6" t="s">
        <v>15614</v>
      </c>
    </row>
    <row r="180" customFormat="false" ht="15" hidden="false" customHeight="true" outlineLevel="0" collapsed="false">
      <c r="A180" s="6" t="s">
        <v>15792</v>
      </c>
      <c r="B180" s="6" t="s">
        <v>310</v>
      </c>
      <c r="C180" s="6" t="s">
        <v>120</v>
      </c>
      <c r="D180" s="6" t="s">
        <v>42</v>
      </c>
      <c r="E180" s="14" t="n">
        <v>1017.64</v>
      </c>
      <c r="F180" s="14" t="n">
        <v>1017.64</v>
      </c>
      <c r="G180" s="6" t="s">
        <v>15614</v>
      </c>
    </row>
    <row r="181" customFormat="false" ht="15" hidden="false" customHeight="true" outlineLevel="0" collapsed="false">
      <c r="A181" s="6" t="s">
        <v>15793</v>
      </c>
      <c r="B181" s="6" t="s">
        <v>310</v>
      </c>
      <c r="C181" s="6" t="s">
        <v>120</v>
      </c>
      <c r="D181" s="6" t="s">
        <v>43</v>
      </c>
      <c r="E181" s="14" t="n">
        <v>1017.64</v>
      </c>
      <c r="F181" s="14" t="n">
        <v>2035.28</v>
      </c>
      <c r="G181" s="6" t="s">
        <v>15614</v>
      </c>
    </row>
    <row r="182" customFormat="false" ht="15" hidden="false" customHeight="true" outlineLevel="0" collapsed="false">
      <c r="A182" s="6" t="s">
        <v>15794</v>
      </c>
      <c r="B182" s="6" t="s">
        <v>312</v>
      </c>
      <c r="C182" s="6" t="s">
        <v>128</v>
      </c>
      <c r="D182" s="6" t="s">
        <v>45</v>
      </c>
      <c r="E182" s="14" t="n">
        <v>1144.98</v>
      </c>
      <c r="F182" s="14" t="n">
        <v>1144.98</v>
      </c>
      <c r="G182" s="6" t="s">
        <v>15614</v>
      </c>
    </row>
    <row r="183" customFormat="false" ht="15" hidden="false" customHeight="true" outlineLevel="0" collapsed="false">
      <c r="A183" s="6" t="s">
        <v>15795</v>
      </c>
      <c r="B183" s="6" t="s">
        <v>312</v>
      </c>
      <c r="C183" s="6" t="s">
        <v>128</v>
      </c>
      <c r="D183" s="6" t="s">
        <v>46</v>
      </c>
      <c r="E183" s="14" t="n">
        <v>1144.98</v>
      </c>
      <c r="F183" s="14" t="n">
        <v>2289.96</v>
      </c>
      <c r="G183" s="6" t="s">
        <v>15614</v>
      </c>
    </row>
    <row r="184" customFormat="false" ht="15" hidden="false" customHeight="true" outlineLevel="0" collapsed="false">
      <c r="A184" s="6" t="s">
        <v>15796</v>
      </c>
      <c r="B184" s="6" t="s">
        <v>312</v>
      </c>
      <c r="C184" s="6" t="s">
        <v>128</v>
      </c>
      <c r="D184" s="6" t="s">
        <v>47</v>
      </c>
      <c r="E184" s="14" t="n">
        <v>1144.98</v>
      </c>
      <c r="F184" s="14" t="n">
        <v>3434.94</v>
      </c>
      <c r="G184" s="6" t="s">
        <v>15614</v>
      </c>
    </row>
    <row r="185" customFormat="false" ht="15" hidden="false" customHeight="true" outlineLevel="0" collapsed="false">
      <c r="A185" s="6" t="s">
        <v>15797</v>
      </c>
      <c r="B185" s="6" t="s">
        <v>314</v>
      </c>
      <c r="C185" s="6" t="s">
        <v>120</v>
      </c>
      <c r="D185" s="6" t="s">
        <v>42</v>
      </c>
      <c r="E185" s="14" t="n">
        <v>4521.95</v>
      </c>
      <c r="F185" s="14" t="n">
        <v>4521.95</v>
      </c>
      <c r="G185" s="6" t="s">
        <v>15614</v>
      </c>
    </row>
    <row r="186" customFormat="false" ht="15" hidden="false" customHeight="true" outlineLevel="0" collapsed="false">
      <c r="A186" s="6" t="s">
        <v>15798</v>
      </c>
      <c r="B186" s="6" t="s">
        <v>314</v>
      </c>
      <c r="C186" s="6" t="s">
        <v>120</v>
      </c>
      <c r="D186" s="6" t="s">
        <v>43</v>
      </c>
      <c r="E186" s="14" t="n">
        <v>4521.95</v>
      </c>
      <c r="F186" s="14" t="n">
        <v>9043.9</v>
      </c>
      <c r="G186" s="6" t="s">
        <v>15614</v>
      </c>
    </row>
    <row r="187" customFormat="false" ht="15" hidden="false" customHeight="true" outlineLevel="0" collapsed="false">
      <c r="A187" s="6" t="s">
        <v>15799</v>
      </c>
      <c r="B187" s="6" t="s">
        <v>316</v>
      </c>
      <c r="C187" s="6" t="s">
        <v>116</v>
      </c>
      <c r="D187" s="6" t="s">
        <v>39</v>
      </c>
      <c r="E187" s="14" t="n">
        <v>2940.72</v>
      </c>
      <c r="F187" s="14" t="n">
        <v>2940.72</v>
      </c>
      <c r="G187" s="6" t="s">
        <v>15614</v>
      </c>
    </row>
    <row r="188" customFormat="false" ht="15" hidden="false" customHeight="true" outlineLevel="0" collapsed="false">
      <c r="A188" s="6" t="s">
        <v>15800</v>
      </c>
      <c r="B188" s="6" t="s">
        <v>316</v>
      </c>
      <c r="C188" s="6" t="s">
        <v>116</v>
      </c>
      <c r="D188" s="6" t="s">
        <v>40</v>
      </c>
      <c r="E188" s="14" t="n">
        <v>2940.72</v>
      </c>
      <c r="F188" s="14" t="n">
        <v>5881.44</v>
      </c>
      <c r="G188" s="6" t="s">
        <v>15614</v>
      </c>
    </row>
    <row r="189" customFormat="false" ht="15" hidden="false" customHeight="true" outlineLevel="0" collapsed="false">
      <c r="A189" s="6" t="s">
        <v>15801</v>
      </c>
      <c r="B189" s="6" t="s">
        <v>316</v>
      </c>
      <c r="C189" s="6" t="s">
        <v>116</v>
      </c>
      <c r="D189" s="6" t="s">
        <v>41</v>
      </c>
      <c r="E189" s="14" t="n">
        <v>2940.72</v>
      </c>
      <c r="F189" s="14" t="n">
        <v>8822.16</v>
      </c>
      <c r="G189" s="6" t="s">
        <v>15614</v>
      </c>
    </row>
    <row r="190" customFormat="false" ht="15" hidden="false" customHeight="true" outlineLevel="0" collapsed="false">
      <c r="A190" s="6" t="s">
        <v>15802</v>
      </c>
      <c r="B190" s="6" t="s">
        <v>316</v>
      </c>
      <c r="C190" s="6" t="s">
        <v>116</v>
      </c>
      <c r="D190" s="6" t="s">
        <v>42</v>
      </c>
      <c r="E190" s="14" t="n">
        <v>2940.72</v>
      </c>
      <c r="F190" s="14" t="n">
        <v>11762.88</v>
      </c>
      <c r="G190" s="6" t="s">
        <v>15614</v>
      </c>
    </row>
    <row r="191" customFormat="false" ht="15" hidden="false" customHeight="true" outlineLevel="0" collapsed="false">
      <c r="A191" s="6" t="s">
        <v>15803</v>
      </c>
      <c r="B191" s="6" t="s">
        <v>318</v>
      </c>
      <c r="C191" s="6" t="s">
        <v>131</v>
      </c>
      <c r="D191" s="6" t="s">
        <v>31</v>
      </c>
      <c r="E191" s="14" t="n">
        <v>1847.19</v>
      </c>
      <c r="F191" s="14" t="n">
        <v>1847.19</v>
      </c>
      <c r="G191" s="6" t="s">
        <v>15614</v>
      </c>
    </row>
    <row r="192" customFormat="false" ht="15" hidden="false" customHeight="true" outlineLevel="0" collapsed="false">
      <c r="A192" s="6" t="s">
        <v>15804</v>
      </c>
      <c r="B192" s="6" t="s">
        <v>318</v>
      </c>
      <c r="C192" s="6" t="s">
        <v>131</v>
      </c>
      <c r="D192" s="6" t="s">
        <v>32</v>
      </c>
      <c r="E192" s="14" t="n">
        <v>1847.19</v>
      </c>
      <c r="F192" s="14" t="n">
        <v>3694.38</v>
      </c>
      <c r="G192" s="6" t="s">
        <v>15614</v>
      </c>
    </row>
    <row r="193" customFormat="false" ht="15" hidden="false" customHeight="true" outlineLevel="0" collapsed="false">
      <c r="A193" s="6" t="s">
        <v>15805</v>
      </c>
      <c r="B193" s="6" t="s">
        <v>318</v>
      </c>
      <c r="C193" s="6" t="s">
        <v>131</v>
      </c>
      <c r="D193" s="6" t="s">
        <v>33</v>
      </c>
      <c r="E193" s="14" t="n">
        <v>1847.19</v>
      </c>
      <c r="F193" s="14" t="n">
        <v>5541.57</v>
      </c>
      <c r="G193" s="6" t="s">
        <v>15614</v>
      </c>
    </row>
    <row r="194" customFormat="false" ht="15" hidden="false" customHeight="true" outlineLevel="0" collapsed="false">
      <c r="A194" s="6" t="s">
        <v>15806</v>
      </c>
      <c r="B194" s="6" t="s">
        <v>320</v>
      </c>
      <c r="C194" s="6" t="s">
        <v>131</v>
      </c>
      <c r="D194" s="6" t="s">
        <v>41</v>
      </c>
      <c r="E194" s="14" t="n">
        <v>1753.04</v>
      </c>
      <c r="F194" s="14" t="n">
        <v>1753.04</v>
      </c>
      <c r="G194" s="6" t="s">
        <v>15614</v>
      </c>
    </row>
    <row r="195" customFormat="false" ht="15" hidden="false" customHeight="true" outlineLevel="0" collapsed="false">
      <c r="A195" s="6" t="s">
        <v>15807</v>
      </c>
      <c r="B195" s="6" t="s">
        <v>320</v>
      </c>
      <c r="C195" s="6" t="s">
        <v>131</v>
      </c>
      <c r="D195" s="6" t="s">
        <v>42</v>
      </c>
      <c r="E195" s="14" t="n">
        <v>1753.04</v>
      </c>
      <c r="F195" s="14" t="n">
        <v>3506.08</v>
      </c>
      <c r="G195" s="6" t="s">
        <v>15614</v>
      </c>
    </row>
    <row r="196" customFormat="false" ht="15" hidden="false" customHeight="true" outlineLevel="0" collapsed="false">
      <c r="A196" s="6" t="s">
        <v>15808</v>
      </c>
      <c r="B196" s="6" t="s">
        <v>320</v>
      </c>
      <c r="C196" s="6" t="s">
        <v>131</v>
      </c>
      <c r="D196" s="6" t="s">
        <v>43</v>
      </c>
      <c r="E196" s="14" t="n">
        <v>1753.04</v>
      </c>
      <c r="F196" s="14" t="n">
        <v>5259.12</v>
      </c>
      <c r="G196" s="6" t="s">
        <v>15614</v>
      </c>
    </row>
    <row r="197" customFormat="false" ht="15" hidden="false" customHeight="true" outlineLevel="0" collapsed="false">
      <c r="A197" s="6" t="s">
        <v>15809</v>
      </c>
      <c r="B197" s="6" t="s">
        <v>320</v>
      </c>
      <c r="C197" s="6" t="s">
        <v>131</v>
      </c>
      <c r="D197" s="6" t="s">
        <v>44</v>
      </c>
      <c r="E197" s="14" t="n">
        <v>1753.04</v>
      </c>
      <c r="F197" s="14" t="n">
        <v>7012.16</v>
      </c>
      <c r="G197" s="6" t="s">
        <v>15614</v>
      </c>
    </row>
    <row r="198" customFormat="false" ht="15" hidden="false" customHeight="true" outlineLevel="0" collapsed="false">
      <c r="A198" s="6" t="s">
        <v>15810</v>
      </c>
      <c r="B198" s="6" t="s">
        <v>322</v>
      </c>
      <c r="C198" s="6" t="s">
        <v>120</v>
      </c>
      <c r="D198" s="6" t="s">
        <v>14</v>
      </c>
      <c r="E198" s="14" t="n">
        <v>2188.32</v>
      </c>
      <c r="F198" s="14" t="n">
        <v>2188.32</v>
      </c>
      <c r="G198" s="6" t="s">
        <v>15614</v>
      </c>
    </row>
    <row r="199" customFormat="false" ht="15" hidden="false" customHeight="true" outlineLevel="0" collapsed="false">
      <c r="A199" s="6" t="s">
        <v>15811</v>
      </c>
      <c r="B199" s="6" t="s">
        <v>322</v>
      </c>
      <c r="C199" s="6" t="s">
        <v>120</v>
      </c>
      <c r="D199" s="6" t="s">
        <v>15</v>
      </c>
      <c r="E199" s="14" t="n">
        <v>2188.32</v>
      </c>
      <c r="F199" s="14" t="n">
        <v>4376.64</v>
      </c>
      <c r="G199" s="6" t="s">
        <v>15614</v>
      </c>
    </row>
    <row r="200" customFormat="false" ht="15" hidden="false" customHeight="true" outlineLevel="0" collapsed="false">
      <c r="A200" s="6" t="s">
        <v>15812</v>
      </c>
      <c r="B200" s="6" t="s">
        <v>322</v>
      </c>
      <c r="C200" s="6" t="s">
        <v>120</v>
      </c>
      <c r="D200" s="6" t="s">
        <v>16</v>
      </c>
      <c r="E200" s="14" t="n">
        <v>2188.32</v>
      </c>
      <c r="F200" s="14" t="n">
        <v>6564.96</v>
      </c>
      <c r="G200" s="6" t="s">
        <v>15614</v>
      </c>
    </row>
    <row r="201" customFormat="false" ht="15" hidden="false" customHeight="true" outlineLevel="0" collapsed="false">
      <c r="A201" s="6" t="s">
        <v>15813</v>
      </c>
      <c r="B201" s="6" t="s">
        <v>322</v>
      </c>
      <c r="C201" s="6" t="s">
        <v>120</v>
      </c>
      <c r="D201" s="6" t="s">
        <v>17</v>
      </c>
      <c r="E201" s="14" t="n">
        <v>2188.32</v>
      </c>
      <c r="F201" s="14" t="n">
        <v>8753.28</v>
      </c>
      <c r="G201" s="6" t="s">
        <v>15614</v>
      </c>
    </row>
    <row r="202" customFormat="false" ht="15" hidden="false" customHeight="true" outlineLevel="0" collapsed="false">
      <c r="A202" s="6" t="s">
        <v>15814</v>
      </c>
      <c r="B202" s="6" t="s">
        <v>324</v>
      </c>
      <c r="C202" s="6" t="s">
        <v>116</v>
      </c>
      <c r="D202" s="6" t="s">
        <v>14</v>
      </c>
      <c r="E202" s="14" t="n">
        <v>1292.21</v>
      </c>
      <c r="F202" s="14" t="n">
        <v>1292.21</v>
      </c>
      <c r="G202" s="6" t="s">
        <v>15614</v>
      </c>
    </row>
    <row r="203" customFormat="false" ht="15" hidden="false" customHeight="true" outlineLevel="0" collapsed="false">
      <c r="A203" s="6" t="s">
        <v>15815</v>
      </c>
      <c r="B203" s="6" t="s">
        <v>327</v>
      </c>
      <c r="C203" s="6" t="s">
        <v>112</v>
      </c>
      <c r="D203" s="6" t="s">
        <v>12</v>
      </c>
      <c r="E203" s="14" t="n">
        <v>1849.14</v>
      </c>
      <c r="F203" s="14" t="n">
        <v>1849.14</v>
      </c>
      <c r="G203" s="6" t="s">
        <v>15614</v>
      </c>
    </row>
    <row r="204" customFormat="false" ht="15" hidden="false" customHeight="true" outlineLevel="0" collapsed="false">
      <c r="A204" s="6" t="s">
        <v>15816</v>
      </c>
      <c r="B204" s="6" t="s">
        <v>327</v>
      </c>
      <c r="C204" s="6" t="s">
        <v>112</v>
      </c>
      <c r="D204" s="6" t="s">
        <v>13</v>
      </c>
      <c r="E204" s="14" t="n">
        <v>1849.14</v>
      </c>
      <c r="F204" s="14" t="n">
        <v>3698.28</v>
      </c>
      <c r="G204" s="6" t="s">
        <v>15614</v>
      </c>
    </row>
    <row r="205" customFormat="false" ht="15" hidden="false" customHeight="true" outlineLevel="0" collapsed="false">
      <c r="A205" s="6" t="s">
        <v>15817</v>
      </c>
      <c r="B205" s="6" t="s">
        <v>327</v>
      </c>
      <c r="C205" s="6" t="s">
        <v>112</v>
      </c>
      <c r="D205" s="6" t="s">
        <v>14</v>
      </c>
      <c r="E205" s="14" t="n">
        <v>1849.14</v>
      </c>
      <c r="F205" s="14" t="n">
        <v>5547.42</v>
      </c>
      <c r="G205" s="6" t="s">
        <v>15614</v>
      </c>
    </row>
    <row r="206" customFormat="false" ht="15" hidden="false" customHeight="true" outlineLevel="0" collapsed="false">
      <c r="A206" s="6" t="s">
        <v>15818</v>
      </c>
      <c r="B206" s="6" t="s">
        <v>329</v>
      </c>
      <c r="C206" s="6" t="s">
        <v>124</v>
      </c>
      <c r="D206" s="6" t="s">
        <v>54</v>
      </c>
      <c r="E206" s="14" t="n">
        <v>2720.36</v>
      </c>
      <c r="F206" s="14" t="n">
        <v>2720.36</v>
      </c>
      <c r="G206" s="6" t="s">
        <v>15614</v>
      </c>
    </row>
    <row r="207" customFormat="false" ht="15" hidden="false" customHeight="true" outlineLevel="0" collapsed="false">
      <c r="A207" s="6" t="s">
        <v>15819</v>
      </c>
      <c r="B207" s="6" t="s">
        <v>331</v>
      </c>
      <c r="C207" s="6" t="s">
        <v>128</v>
      </c>
      <c r="D207" s="6" t="s">
        <v>46</v>
      </c>
      <c r="E207" s="14" t="n">
        <v>7310.94</v>
      </c>
      <c r="F207" s="14" t="n">
        <v>7310.94</v>
      </c>
      <c r="G207" s="6" t="s">
        <v>15614</v>
      </c>
    </row>
    <row r="208" customFormat="false" ht="15" hidden="false" customHeight="true" outlineLevel="0" collapsed="false">
      <c r="A208" s="6" t="s">
        <v>15820</v>
      </c>
      <c r="B208" s="6" t="s">
        <v>331</v>
      </c>
      <c r="C208" s="6" t="s">
        <v>128</v>
      </c>
      <c r="D208" s="6" t="s">
        <v>47</v>
      </c>
      <c r="E208" s="14" t="n">
        <v>7310.94</v>
      </c>
      <c r="F208" s="14" t="n">
        <v>14621.88</v>
      </c>
      <c r="G208" s="6" t="s">
        <v>15614</v>
      </c>
    </row>
    <row r="209" customFormat="false" ht="15" hidden="false" customHeight="true" outlineLevel="0" collapsed="false">
      <c r="A209" s="6" t="s">
        <v>15821</v>
      </c>
      <c r="B209" s="6" t="s">
        <v>333</v>
      </c>
      <c r="C209" s="6" t="s">
        <v>124</v>
      </c>
      <c r="D209" s="6" t="s">
        <v>57</v>
      </c>
      <c r="E209" s="14" t="n">
        <v>898.65</v>
      </c>
      <c r="F209" s="14" t="n">
        <v>898.65</v>
      </c>
      <c r="G209" s="6" t="s">
        <v>15614</v>
      </c>
    </row>
    <row r="210" customFormat="false" ht="15" hidden="false" customHeight="true" outlineLevel="0" collapsed="false">
      <c r="A210" s="6" t="s">
        <v>15822</v>
      </c>
      <c r="B210" s="6" t="s">
        <v>333</v>
      </c>
      <c r="C210" s="6" t="s">
        <v>124</v>
      </c>
      <c r="D210" s="6" t="s">
        <v>58</v>
      </c>
      <c r="E210" s="14" t="n">
        <v>898.65</v>
      </c>
      <c r="F210" s="14" t="n">
        <v>1797.3</v>
      </c>
      <c r="G210" s="6" t="s">
        <v>15614</v>
      </c>
    </row>
    <row r="211" customFormat="false" ht="15" hidden="false" customHeight="true" outlineLevel="0" collapsed="false">
      <c r="A211" s="6" t="s">
        <v>15823</v>
      </c>
      <c r="B211" s="6" t="s">
        <v>333</v>
      </c>
      <c r="C211" s="6" t="s">
        <v>124</v>
      </c>
      <c r="D211" s="6" t="s">
        <v>59</v>
      </c>
      <c r="E211" s="14" t="n">
        <v>898.65</v>
      </c>
      <c r="F211" s="14" t="n">
        <v>2695.95</v>
      </c>
      <c r="G211" s="6" t="s">
        <v>15614</v>
      </c>
    </row>
    <row r="212" customFormat="false" ht="15" hidden="false" customHeight="true" outlineLevel="0" collapsed="false">
      <c r="A212" s="6" t="s">
        <v>15824</v>
      </c>
      <c r="B212" s="6" t="s">
        <v>335</v>
      </c>
      <c r="C212" s="6" t="s">
        <v>124</v>
      </c>
      <c r="D212" s="6" t="s">
        <v>53</v>
      </c>
      <c r="E212" s="14" t="n">
        <v>2393.11</v>
      </c>
      <c r="F212" s="14" t="n">
        <v>2393.11</v>
      </c>
      <c r="G212" s="6" t="s">
        <v>15614</v>
      </c>
    </row>
    <row r="213" customFormat="false" ht="15" hidden="false" customHeight="true" outlineLevel="0" collapsed="false">
      <c r="A213" s="6" t="s">
        <v>15825</v>
      </c>
      <c r="B213" s="6" t="s">
        <v>335</v>
      </c>
      <c r="C213" s="6" t="s">
        <v>124</v>
      </c>
      <c r="D213" s="6" t="s">
        <v>54</v>
      </c>
      <c r="E213" s="14" t="n">
        <v>2393.11</v>
      </c>
      <c r="F213" s="14" t="n">
        <v>4786.22</v>
      </c>
      <c r="G213" s="6" t="s">
        <v>15614</v>
      </c>
    </row>
    <row r="214" customFormat="false" ht="15" hidden="false" customHeight="true" outlineLevel="0" collapsed="false">
      <c r="A214" s="6" t="s">
        <v>15826</v>
      </c>
      <c r="B214" s="6" t="s">
        <v>337</v>
      </c>
      <c r="C214" s="6" t="s">
        <v>124</v>
      </c>
      <c r="D214" s="6" t="s">
        <v>31</v>
      </c>
      <c r="E214" s="14" t="n">
        <v>1065.55</v>
      </c>
      <c r="F214" s="14" t="n">
        <v>1065.55</v>
      </c>
      <c r="G214" s="6" t="s">
        <v>15614</v>
      </c>
    </row>
    <row r="215" customFormat="false" ht="15" hidden="false" customHeight="true" outlineLevel="0" collapsed="false">
      <c r="A215" s="6" t="s">
        <v>15827</v>
      </c>
      <c r="B215" s="6" t="s">
        <v>337</v>
      </c>
      <c r="C215" s="6" t="s">
        <v>124</v>
      </c>
      <c r="D215" s="6" t="s">
        <v>32</v>
      </c>
      <c r="E215" s="14" t="n">
        <v>1065.55</v>
      </c>
      <c r="F215" s="14" t="n">
        <v>2131.1</v>
      </c>
      <c r="G215" s="6" t="s">
        <v>15614</v>
      </c>
    </row>
    <row r="216" customFormat="false" ht="15" hidden="false" customHeight="true" outlineLevel="0" collapsed="false">
      <c r="A216" s="6" t="s">
        <v>15828</v>
      </c>
      <c r="B216" s="6" t="s">
        <v>337</v>
      </c>
      <c r="C216" s="6" t="s">
        <v>124</v>
      </c>
      <c r="D216" s="6" t="s">
        <v>33</v>
      </c>
      <c r="E216" s="14" t="n">
        <v>1065.55</v>
      </c>
      <c r="F216" s="14" t="n">
        <v>3196.65</v>
      </c>
      <c r="G216" s="6" t="s">
        <v>15614</v>
      </c>
    </row>
    <row r="217" customFormat="false" ht="15" hidden="false" customHeight="true" outlineLevel="0" collapsed="false">
      <c r="A217" s="6" t="s">
        <v>15829</v>
      </c>
      <c r="B217" s="6" t="s">
        <v>337</v>
      </c>
      <c r="C217" s="6" t="s">
        <v>124</v>
      </c>
      <c r="D217" s="6" t="s">
        <v>34</v>
      </c>
      <c r="E217" s="14" t="n">
        <v>1065.55</v>
      </c>
      <c r="F217" s="14" t="n">
        <v>4262.2</v>
      </c>
      <c r="G217" s="6" t="s">
        <v>15614</v>
      </c>
    </row>
    <row r="218" customFormat="false" ht="15" hidden="false" customHeight="true" outlineLevel="0" collapsed="false">
      <c r="A218" s="6" t="s">
        <v>15830</v>
      </c>
      <c r="B218" s="6" t="s">
        <v>339</v>
      </c>
      <c r="C218" s="6" t="s">
        <v>116</v>
      </c>
      <c r="D218" s="6" t="s">
        <v>59</v>
      </c>
      <c r="E218" s="14" t="n">
        <v>1892.2</v>
      </c>
      <c r="F218" s="14" t="n">
        <v>1892.2</v>
      </c>
      <c r="G218" s="6" t="s">
        <v>15614</v>
      </c>
    </row>
    <row r="219" customFormat="false" ht="15" hidden="false" customHeight="true" outlineLevel="0" collapsed="false">
      <c r="A219" s="6" t="s">
        <v>15831</v>
      </c>
      <c r="B219" s="6" t="s">
        <v>339</v>
      </c>
      <c r="C219" s="6" t="s">
        <v>116</v>
      </c>
      <c r="D219" s="6" t="s">
        <v>60</v>
      </c>
      <c r="E219" s="14" t="n">
        <v>1892.2</v>
      </c>
      <c r="F219" s="14" t="n">
        <v>3784.4</v>
      </c>
      <c r="G219" s="6" t="s">
        <v>15614</v>
      </c>
    </row>
    <row r="220" customFormat="false" ht="15" hidden="false" customHeight="true" outlineLevel="0" collapsed="false">
      <c r="A220" s="6" t="s">
        <v>15832</v>
      </c>
      <c r="B220" s="6" t="s">
        <v>339</v>
      </c>
      <c r="C220" s="6" t="s">
        <v>116</v>
      </c>
      <c r="D220" s="6" t="s">
        <v>61</v>
      </c>
      <c r="E220" s="14" t="n">
        <v>1892.2</v>
      </c>
      <c r="F220" s="14" t="n">
        <v>5676.6</v>
      </c>
      <c r="G220" s="6" t="s">
        <v>15614</v>
      </c>
    </row>
    <row r="221" customFormat="false" ht="15" hidden="false" customHeight="true" outlineLevel="0" collapsed="false">
      <c r="A221" s="6" t="s">
        <v>15833</v>
      </c>
      <c r="B221" s="6" t="s">
        <v>341</v>
      </c>
      <c r="C221" s="6" t="s">
        <v>128</v>
      </c>
      <c r="D221" s="6" t="s">
        <v>52</v>
      </c>
      <c r="E221" s="14" t="n">
        <v>2455.7</v>
      </c>
      <c r="F221" s="14" t="n">
        <v>2455.7</v>
      </c>
      <c r="G221" s="6" t="s">
        <v>15614</v>
      </c>
    </row>
    <row r="222" customFormat="false" ht="15" hidden="false" customHeight="true" outlineLevel="0" collapsed="false">
      <c r="A222" s="6" t="s">
        <v>15834</v>
      </c>
      <c r="B222" s="6" t="s">
        <v>341</v>
      </c>
      <c r="C222" s="6" t="s">
        <v>128</v>
      </c>
      <c r="D222" s="6" t="s">
        <v>53</v>
      </c>
      <c r="E222" s="14" t="n">
        <v>2455.7</v>
      </c>
      <c r="F222" s="14" t="n">
        <v>4911.4</v>
      </c>
      <c r="G222" s="6" t="s">
        <v>15614</v>
      </c>
    </row>
    <row r="223" customFormat="false" ht="15" hidden="false" customHeight="true" outlineLevel="0" collapsed="false">
      <c r="A223" s="6" t="s">
        <v>15835</v>
      </c>
      <c r="B223" s="6" t="s">
        <v>343</v>
      </c>
      <c r="C223" s="6" t="s">
        <v>128</v>
      </c>
      <c r="D223" s="6" t="s">
        <v>41</v>
      </c>
      <c r="E223" s="14" t="n">
        <v>2389.84</v>
      </c>
      <c r="F223" s="14" t="n">
        <v>2389.84</v>
      </c>
      <c r="G223" s="6" t="s">
        <v>15614</v>
      </c>
    </row>
    <row r="224" customFormat="false" ht="15" hidden="false" customHeight="true" outlineLevel="0" collapsed="false">
      <c r="A224" s="6" t="s">
        <v>15836</v>
      </c>
      <c r="B224" s="6" t="s">
        <v>343</v>
      </c>
      <c r="C224" s="6" t="s">
        <v>128</v>
      </c>
      <c r="D224" s="6" t="s">
        <v>42</v>
      </c>
      <c r="E224" s="14" t="n">
        <v>2389.84</v>
      </c>
      <c r="F224" s="14" t="n">
        <v>4779.68</v>
      </c>
      <c r="G224" s="6" t="s">
        <v>15614</v>
      </c>
    </row>
    <row r="225" customFormat="false" ht="15" hidden="false" customHeight="true" outlineLevel="0" collapsed="false">
      <c r="A225" s="6" t="s">
        <v>15837</v>
      </c>
      <c r="B225" s="6" t="s">
        <v>345</v>
      </c>
      <c r="C225" s="6" t="s">
        <v>120</v>
      </c>
      <c r="D225" s="6" t="s">
        <v>39</v>
      </c>
      <c r="E225" s="14" t="n">
        <v>1670.83</v>
      </c>
      <c r="F225" s="14" t="n">
        <v>1670.83</v>
      </c>
      <c r="G225" s="6" t="s">
        <v>15614</v>
      </c>
    </row>
    <row r="226" customFormat="false" ht="15" hidden="false" customHeight="true" outlineLevel="0" collapsed="false">
      <c r="A226" s="6" t="s">
        <v>15838</v>
      </c>
      <c r="B226" s="6" t="s">
        <v>345</v>
      </c>
      <c r="C226" s="6" t="s">
        <v>120</v>
      </c>
      <c r="D226" s="6" t="s">
        <v>40</v>
      </c>
      <c r="E226" s="14" t="n">
        <v>1670.83</v>
      </c>
      <c r="F226" s="14" t="n">
        <v>3341.66</v>
      </c>
      <c r="G226" s="6" t="s">
        <v>15614</v>
      </c>
    </row>
    <row r="227" customFormat="false" ht="15" hidden="false" customHeight="true" outlineLevel="0" collapsed="false">
      <c r="A227" s="6" t="s">
        <v>15839</v>
      </c>
      <c r="B227" s="6" t="s">
        <v>345</v>
      </c>
      <c r="C227" s="6" t="s">
        <v>120</v>
      </c>
      <c r="D227" s="6" t="s">
        <v>41</v>
      </c>
      <c r="E227" s="14" t="n">
        <v>1670.83</v>
      </c>
      <c r="F227" s="14" t="n">
        <v>5012.49</v>
      </c>
      <c r="G227" s="6" t="s">
        <v>15614</v>
      </c>
    </row>
    <row r="228" customFormat="false" ht="15" hidden="false" customHeight="true" outlineLevel="0" collapsed="false">
      <c r="A228" s="6" t="s">
        <v>15840</v>
      </c>
      <c r="B228" s="6" t="s">
        <v>347</v>
      </c>
      <c r="C228" s="6" t="s">
        <v>131</v>
      </c>
      <c r="D228" s="6" t="s">
        <v>45</v>
      </c>
      <c r="E228" s="14" t="n">
        <v>1684.08</v>
      </c>
      <c r="F228" s="14" t="n">
        <v>1684.08</v>
      </c>
      <c r="G228" s="6" t="s">
        <v>15614</v>
      </c>
    </row>
    <row r="229" customFormat="false" ht="15" hidden="false" customHeight="true" outlineLevel="0" collapsed="false">
      <c r="A229" s="6" t="s">
        <v>15841</v>
      </c>
      <c r="B229" s="6" t="s">
        <v>347</v>
      </c>
      <c r="C229" s="6" t="s">
        <v>131</v>
      </c>
      <c r="D229" s="6" t="s">
        <v>46</v>
      </c>
      <c r="E229" s="14" t="n">
        <v>1684.08</v>
      </c>
      <c r="F229" s="14" t="n">
        <v>3368.16</v>
      </c>
      <c r="G229" s="6" t="s">
        <v>15614</v>
      </c>
    </row>
    <row r="230" customFormat="false" ht="15" hidden="false" customHeight="true" outlineLevel="0" collapsed="false">
      <c r="A230" s="6" t="s">
        <v>15842</v>
      </c>
      <c r="B230" s="6" t="s">
        <v>349</v>
      </c>
      <c r="C230" s="6" t="s">
        <v>128</v>
      </c>
      <c r="D230" s="6" t="s">
        <v>39</v>
      </c>
      <c r="E230" s="14" t="n">
        <v>5005.78</v>
      </c>
      <c r="F230" s="14" t="n">
        <v>5005.78</v>
      </c>
      <c r="G230" s="6" t="s">
        <v>15614</v>
      </c>
    </row>
    <row r="231" customFormat="false" ht="15" hidden="false" customHeight="true" outlineLevel="0" collapsed="false">
      <c r="A231" s="6" t="s">
        <v>15843</v>
      </c>
      <c r="B231" s="6" t="s">
        <v>349</v>
      </c>
      <c r="C231" s="6" t="s">
        <v>128</v>
      </c>
      <c r="D231" s="6" t="s">
        <v>39</v>
      </c>
      <c r="E231" s="14" t="n">
        <v>5005.78</v>
      </c>
      <c r="F231" s="14" t="n">
        <v>10011.56</v>
      </c>
      <c r="G231" s="6" t="s">
        <v>15614</v>
      </c>
    </row>
    <row r="232" customFormat="false" ht="15" hidden="false" customHeight="true" outlineLevel="0" collapsed="false">
      <c r="A232" s="6" t="s">
        <v>15844</v>
      </c>
      <c r="B232" s="6" t="s">
        <v>349</v>
      </c>
      <c r="C232" s="6" t="s">
        <v>128</v>
      </c>
      <c r="D232" s="6" t="s">
        <v>40</v>
      </c>
      <c r="E232" s="14" t="n">
        <v>5005.78</v>
      </c>
      <c r="F232" s="14" t="n">
        <v>15017.34</v>
      </c>
      <c r="G232" s="6" t="s">
        <v>15614</v>
      </c>
    </row>
    <row r="233" customFormat="false" ht="15" hidden="false" customHeight="true" outlineLevel="0" collapsed="false">
      <c r="A233" s="6" t="s">
        <v>15845</v>
      </c>
      <c r="B233" s="6" t="s">
        <v>349</v>
      </c>
      <c r="C233" s="6" t="s">
        <v>128</v>
      </c>
      <c r="D233" s="6" t="s">
        <v>41</v>
      </c>
      <c r="E233" s="14" t="n">
        <v>5005.78</v>
      </c>
      <c r="F233" s="14" t="n">
        <v>20023.12</v>
      </c>
      <c r="G233" s="6" t="s">
        <v>15614</v>
      </c>
    </row>
    <row r="234" customFormat="false" ht="15" hidden="false" customHeight="true" outlineLevel="0" collapsed="false">
      <c r="A234" s="6" t="s">
        <v>15846</v>
      </c>
      <c r="B234" s="6" t="s">
        <v>351</v>
      </c>
      <c r="C234" s="6" t="s">
        <v>124</v>
      </c>
      <c r="D234" s="6" t="s">
        <v>16</v>
      </c>
      <c r="E234" s="14" t="n">
        <v>643.79</v>
      </c>
      <c r="F234" s="14" t="n">
        <v>643.79</v>
      </c>
      <c r="G234" s="6" t="s">
        <v>15614</v>
      </c>
    </row>
    <row r="235" customFormat="false" ht="15" hidden="false" customHeight="true" outlineLevel="0" collapsed="false">
      <c r="A235" s="6" t="s">
        <v>15847</v>
      </c>
      <c r="B235" s="6" t="s">
        <v>351</v>
      </c>
      <c r="C235" s="6" t="s">
        <v>124</v>
      </c>
      <c r="D235" s="6" t="s">
        <v>17</v>
      </c>
      <c r="E235" s="14" t="n">
        <v>643.79</v>
      </c>
      <c r="F235" s="14" t="n">
        <v>1287.58</v>
      </c>
      <c r="G235" s="6" t="s">
        <v>15614</v>
      </c>
    </row>
    <row r="236" customFormat="false" ht="15" hidden="false" customHeight="true" outlineLevel="0" collapsed="false">
      <c r="A236" s="6" t="s">
        <v>15848</v>
      </c>
      <c r="B236" s="6" t="s">
        <v>353</v>
      </c>
      <c r="C236" s="6" t="s">
        <v>120</v>
      </c>
      <c r="D236" s="6" t="s">
        <v>29</v>
      </c>
      <c r="E236" s="14" t="n">
        <v>1807.02</v>
      </c>
      <c r="F236" s="14" t="n">
        <v>1807.02</v>
      </c>
      <c r="G236" s="6" t="s">
        <v>15614</v>
      </c>
    </row>
    <row r="237" customFormat="false" ht="15" hidden="false" customHeight="true" outlineLevel="0" collapsed="false">
      <c r="A237" s="6" t="s">
        <v>15849</v>
      </c>
      <c r="B237" s="6" t="s">
        <v>353</v>
      </c>
      <c r="C237" s="6" t="s">
        <v>120</v>
      </c>
      <c r="D237" s="6" t="s">
        <v>30</v>
      </c>
      <c r="E237" s="14" t="n">
        <v>1807.02</v>
      </c>
      <c r="F237" s="14" t="n">
        <v>3614.04</v>
      </c>
      <c r="G237" s="6" t="s">
        <v>15614</v>
      </c>
    </row>
    <row r="238" customFormat="false" ht="15" hidden="false" customHeight="true" outlineLevel="0" collapsed="false">
      <c r="A238" s="6" t="s">
        <v>15850</v>
      </c>
      <c r="B238" s="6" t="s">
        <v>353</v>
      </c>
      <c r="C238" s="6" t="s">
        <v>120</v>
      </c>
      <c r="D238" s="6" t="s">
        <v>31</v>
      </c>
      <c r="E238" s="14" t="n">
        <v>1807.02</v>
      </c>
      <c r="F238" s="14" t="n">
        <v>5421.06</v>
      </c>
      <c r="G238" s="6" t="s">
        <v>15614</v>
      </c>
    </row>
    <row r="239" customFormat="false" ht="15" hidden="false" customHeight="true" outlineLevel="0" collapsed="false">
      <c r="A239" s="6" t="s">
        <v>15851</v>
      </c>
      <c r="B239" s="6" t="s">
        <v>353</v>
      </c>
      <c r="C239" s="6" t="s">
        <v>120</v>
      </c>
      <c r="D239" s="6" t="s">
        <v>32</v>
      </c>
      <c r="E239" s="14" t="n">
        <v>1807.02</v>
      </c>
      <c r="F239" s="14" t="n">
        <v>7228.08</v>
      </c>
      <c r="G239" s="6" t="s">
        <v>15614</v>
      </c>
    </row>
    <row r="240" customFormat="false" ht="15" hidden="false" customHeight="true" outlineLevel="0" collapsed="false">
      <c r="A240" s="6" t="s">
        <v>15852</v>
      </c>
      <c r="B240" s="6" t="s">
        <v>355</v>
      </c>
      <c r="C240" s="6" t="s">
        <v>124</v>
      </c>
      <c r="D240" s="6" t="s">
        <v>19</v>
      </c>
      <c r="E240" s="14" t="n">
        <v>2299.88</v>
      </c>
      <c r="F240" s="14" t="n">
        <v>2299.88</v>
      </c>
      <c r="G240" s="6" t="s">
        <v>15614</v>
      </c>
    </row>
    <row r="241" customFormat="false" ht="15" hidden="false" customHeight="true" outlineLevel="0" collapsed="false">
      <c r="A241" s="6" t="s">
        <v>15853</v>
      </c>
      <c r="B241" s="6" t="s">
        <v>355</v>
      </c>
      <c r="C241" s="6" t="s">
        <v>124</v>
      </c>
      <c r="D241" s="6" t="s">
        <v>20</v>
      </c>
      <c r="E241" s="14" t="n">
        <v>2299.88</v>
      </c>
      <c r="F241" s="14" t="n">
        <v>4599.76</v>
      </c>
      <c r="G241" s="6" t="s">
        <v>15614</v>
      </c>
    </row>
    <row r="242" customFormat="false" ht="15" hidden="false" customHeight="true" outlineLevel="0" collapsed="false">
      <c r="A242" s="6" t="s">
        <v>15854</v>
      </c>
      <c r="B242" s="6" t="s">
        <v>355</v>
      </c>
      <c r="C242" s="6" t="s">
        <v>124</v>
      </c>
      <c r="D242" s="6" t="s">
        <v>21</v>
      </c>
      <c r="E242" s="14" t="n">
        <v>2299.88</v>
      </c>
      <c r="F242" s="14" t="n">
        <v>6899.64</v>
      </c>
      <c r="G242" s="6" t="s">
        <v>15614</v>
      </c>
    </row>
    <row r="243" customFormat="false" ht="15" hidden="false" customHeight="true" outlineLevel="0" collapsed="false">
      <c r="A243" s="6" t="s">
        <v>15855</v>
      </c>
      <c r="B243" s="6" t="s">
        <v>357</v>
      </c>
      <c r="C243" s="6" t="s">
        <v>116</v>
      </c>
      <c r="D243" s="6" t="s">
        <v>54</v>
      </c>
      <c r="E243" s="14" t="n">
        <v>1250.45</v>
      </c>
      <c r="F243" s="14" t="n">
        <v>1250.45</v>
      </c>
      <c r="G243" s="6" t="s">
        <v>15614</v>
      </c>
    </row>
    <row r="244" customFormat="false" ht="15" hidden="false" customHeight="true" outlineLevel="0" collapsed="false">
      <c r="A244" s="6" t="s">
        <v>15856</v>
      </c>
      <c r="B244" s="6" t="s">
        <v>357</v>
      </c>
      <c r="C244" s="6" t="s">
        <v>116</v>
      </c>
      <c r="D244" s="6" t="s">
        <v>55</v>
      </c>
      <c r="E244" s="14" t="n">
        <v>1250.45</v>
      </c>
      <c r="F244" s="14" t="n">
        <v>2500.9</v>
      </c>
      <c r="G244" s="6" t="s">
        <v>15614</v>
      </c>
    </row>
    <row r="245" customFormat="false" ht="15" hidden="false" customHeight="true" outlineLevel="0" collapsed="false">
      <c r="A245" s="6" t="s">
        <v>15857</v>
      </c>
      <c r="B245" s="6" t="s">
        <v>359</v>
      </c>
      <c r="C245" s="6" t="s">
        <v>116</v>
      </c>
      <c r="D245" s="6" t="s">
        <v>61</v>
      </c>
      <c r="E245" s="14" t="n">
        <v>864.97</v>
      </c>
      <c r="F245" s="14" t="n">
        <v>864.97</v>
      </c>
      <c r="G245" s="6" t="s">
        <v>15614</v>
      </c>
    </row>
    <row r="246" customFormat="false" ht="15" hidden="false" customHeight="true" outlineLevel="0" collapsed="false">
      <c r="A246" s="6" t="s">
        <v>15858</v>
      </c>
      <c r="B246" s="6" t="s">
        <v>359</v>
      </c>
      <c r="C246" s="6" t="s">
        <v>116</v>
      </c>
      <c r="D246" s="6" t="s">
        <v>62</v>
      </c>
      <c r="E246" s="14" t="n">
        <v>864.97</v>
      </c>
      <c r="F246" s="14" t="n">
        <v>1729.94</v>
      </c>
      <c r="G246" s="6" t="s">
        <v>15614</v>
      </c>
    </row>
    <row r="247" customFormat="false" ht="15" hidden="false" customHeight="true" outlineLevel="0" collapsed="false">
      <c r="A247" s="6" t="s">
        <v>15859</v>
      </c>
      <c r="B247" s="6" t="s">
        <v>361</v>
      </c>
      <c r="C247" s="6" t="s">
        <v>131</v>
      </c>
      <c r="D247" s="6" t="s">
        <v>30</v>
      </c>
      <c r="E247" s="14" t="n">
        <v>4811.16</v>
      </c>
      <c r="F247" s="14" t="n">
        <v>4811.16</v>
      </c>
      <c r="G247" s="6" t="s">
        <v>15614</v>
      </c>
    </row>
    <row r="248" customFormat="false" ht="15" hidden="false" customHeight="true" outlineLevel="0" collapsed="false">
      <c r="A248" s="6" t="s">
        <v>15860</v>
      </c>
      <c r="B248" s="6" t="s">
        <v>361</v>
      </c>
      <c r="C248" s="6" t="s">
        <v>131</v>
      </c>
      <c r="D248" s="6" t="s">
        <v>31</v>
      </c>
      <c r="E248" s="14" t="n">
        <v>4811.16</v>
      </c>
      <c r="F248" s="14" t="n">
        <v>9622.32</v>
      </c>
      <c r="G248" s="6" t="s">
        <v>15614</v>
      </c>
    </row>
    <row r="249" customFormat="false" ht="15" hidden="false" customHeight="true" outlineLevel="0" collapsed="false">
      <c r="A249" s="6" t="s">
        <v>15861</v>
      </c>
      <c r="B249" s="6" t="s">
        <v>363</v>
      </c>
      <c r="C249" s="6" t="s">
        <v>131</v>
      </c>
      <c r="D249" s="6" t="s">
        <v>46</v>
      </c>
      <c r="E249" s="14" t="n">
        <v>3317.64</v>
      </c>
      <c r="F249" s="14" t="n">
        <v>3317.64</v>
      </c>
      <c r="G249" s="6" t="s">
        <v>15614</v>
      </c>
    </row>
    <row r="250" customFormat="false" ht="15" hidden="false" customHeight="true" outlineLevel="0" collapsed="false">
      <c r="A250" s="6" t="s">
        <v>15862</v>
      </c>
      <c r="B250" s="6" t="s">
        <v>363</v>
      </c>
      <c r="C250" s="6" t="s">
        <v>131</v>
      </c>
      <c r="D250" s="6" t="s">
        <v>47</v>
      </c>
      <c r="E250" s="14" t="n">
        <v>3317.64</v>
      </c>
      <c r="F250" s="14" t="n">
        <v>6635.28</v>
      </c>
      <c r="G250" s="6" t="s">
        <v>15614</v>
      </c>
    </row>
    <row r="251" customFormat="false" ht="15" hidden="false" customHeight="true" outlineLevel="0" collapsed="false">
      <c r="A251" s="6" t="s">
        <v>15863</v>
      </c>
      <c r="B251" s="6" t="s">
        <v>365</v>
      </c>
      <c r="C251" s="6" t="s">
        <v>124</v>
      </c>
      <c r="D251" s="6" t="s">
        <v>21</v>
      </c>
      <c r="E251" s="14" t="n">
        <v>2216.78</v>
      </c>
      <c r="F251" s="14" t="n">
        <v>2216.78</v>
      </c>
      <c r="G251" s="6" t="s">
        <v>15614</v>
      </c>
    </row>
    <row r="252" customFormat="false" ht="15" hidden="false" customHeight="true" outlineLevel="0" collapsed="false">
      <c r="A252" s="6" t="s">
        <v>15864</v>
      </c>
      <c r="B252" s="6" t="s">
        <v>365</v>
      </c>
      <c r="C252" s="6" t="s">
        <v>124</v>
      </c>
      <c r="D252" s="6" t="s">
        <v>22</v>
      </c>
      <c r="E252" s="14" t="n">
        <v>2216.78</v>
      </c>
      <c r="F252" s="14" t="n">
        <v>4433.56</v>
      </c>
      <c r="G252" s="6" t="s">
        <v>15614</v>
      </c>
    </row>
    <row r="253" customFormat="false" ht="15" hidden="false" customHeight="true" outlineLevel="0" collapsed="false">
      <c r="A253" s="6" t="s">
        <v>15865</v>
      </c>
      <c r="B253" s="6" t="s">
        <v>365</v>
      </c>
      <c r="C253" s="6" t="s">
        <v>124</v>
      </c>
      <c r="D253" s="6" t="s">
        <v>23</v>
      </c>
      <c r="E253" s="14" t="n">
        <v>2216.78</v>
      </c>
      <c r="F253" s="14" t="n">
        <v>6650.34</v>
      </c>
      <c r="G253" s="6" t="s">
        <v>15614</v>
      </c>
    </row>
    <row r="254" customFormat="false" ht="15" hidden="false" customHeight="true" outlineLevel="0" collapsed="false">
      <c r="A254" s="6" t="s">
        <v>15866</v>
      </c>
      <c r="B254" s="6" t="s">
        <v>367</v>
      </c>
      <c r="C254" s="6" t="s">
        <v>131</v>
      </c>
      <c r="D254" s="6" t="s">
        <v>28</v>
      </c>
      <c r="E254" s="14" t="n">
        <v>905.97</v>
      </c>
      <c r="F254" s="14" t="n">
        <v>905.97</v>
      </c>
      <c r="G254" s="6" t="s">
        <v>15614</v>
      </c>
    </row>
    <row r="255" customFormat="false" ht="15" hidden="false" customHeight="true" outlineLevel="0" collapsed="false">
      <c r="A255" s="6" t="s">
        <v>15867</v>
      </c>
      <c r="B255" s="6" t="s">
        <v>367</v>
      </c>
      <c r="C255" s="6" t="s">
        <v>131</v>
      </c>
      <c r="D255" s="6" t="s">
        <v>29</v>
      </c>
      <c r="E255" s="14" t="n">
        <v>905.97</v>
      </c>
      <c r="F255" s="14" t="n">
        <v>1811.94</v>
      </c>
      <c r="G255" s="6" t="s">
        <v>15614</v>
      </c>
    </row>
    <row r="256" customFormat="false" ht="15" hidden="false" customHeight="true" outlineLevel="0" collapsed="false">
      <c r="A256" s="6" t="s">
        <v>15868</v>
      </c>
      <c r="B256" s="6" t="s">
        <v>369</v>
      </c>
      <c r="C256" s="6" t="s">
        <v>120</v>
      </c>
      <c r="D256" s="6" t="s">
        <v>27</v>
      </c>
      <c r="E256" s="14" t="n">
        <v>1470.34</v>
      </c>
      <c r="F256" s="14" t="n">
        <v>1470.34</v>
      </c>
      <c r="G256" s="6" t="s">
        <v>15614</v>
      </c>
    </row>
    <row r="257" customFormat="false" ht="15" hidden="false" customHeight="true" outlineLevel="0" collapsed="false">
      <c r="A257" s="6" t="s">
        <v>15869</v>
      </c>
      <c r="B257" s="6" t="s">
        <v>369</v>
      </c>
      <c r="C257" s="6" t="s">
        <v>120</v>
      </c>
      <c r="D257" s="6" t="s">
        <v>28</v>
      </c>
      <c r="E257" s="14" t="n">
        <v>1470.34</v>
      </c>
      <c r="F257" s="14" t="n">
        <v>2940.68</v>
      </c>
      <c r="G257" s="6" t="s">
        <v>15614</v>
      </c>
    </row>
    <row r="258" customFormat="false" ht="15" hidden="false" customHeight="true" outlineLevel="0" collapsed="false">
      <c r="A258" s="6" t="s">
        <v>15870</v>
      </c>
      <c r="B258" s="6" t="s">
        <v>371</v>
      </c>
      <c r="C258" s="6" t="s">
        <v>112</v>
      </c>
      <c r="D258" s="6" t="s">
        <v>16</v>
      </c>
      <c r="E258" s="14" t="n">
        <v>3727.08</v>
      </c>
      <c r="F258" s="14" t="n">
        <v>3727.08</v>
      </c>
      <c r="G258" s="6" t="s">
        <v>15614</v>
      </c>
    </row>
    <row r="259" customFormat="false" ht="15" hidden="false" customHeight="true" outlineLevel="0" collapsed="false">
      <c r="A259" s="6" t="s">
        <v>15871</v>
      </c>
      <c r="B259" s="6" t="s">
        <v>371</v>
      </c>
      <c r="C259" s="6" t="s">
        <v>112</v>
      </c>
      <c r="D259" s="6" t="s">
        <v>17</v>
      </c>
      <c r="E259" s="14" t="n">
        <v>3727.08</v>
      </c>
      <c r="F259" s="14" t="n">
        <v>7454.16</v>
      </c>
      <c r="G259" s="6" t="s">
        <v>15614</v>
      </c>
    </row>
    <row r="260" customFormat="false" ht="15" hidden="false" customHeight="true" outlineLevel="0" collapsed="false">
      <c r="A260" s="6" t="s">
        <v>15872</v>
      </c>
      <c r="B260" s="6" t="s">
        <v>371</v>
      </c>
      <c r="C260" s="6" t="s">
        <v>112</v>
      </c>
      <c r="D260" s="6" t="s">
        <v>18</v>
      </c>
      <c r="E260" s="14" t="n">
        <v>3727.08</v>
      </c>
      <c r="F260" s="14" t="n">
        <v>11181.24</v>
      </c>
      <c r="G260" s="6" t="s">
        <v>15614</v>
      </c>
    </row>
    <row r="261" customFormat="false" ht="15" hidden="false" customHeight="true" outlineLevel="0" collapsed="false">
      <c r="A261" s="6" t="s">
        <v>15873</v>
      </c>
      <c r="B261" s="6" t="s">
        <v>371</v>
      </c>
      <c r="C261" s="6" t="s">
        <v>112</v>
      </c>
      <c r="D261" s="6" t="s">
        <v>19</v>
      </c>
      <c r="E261" s="14" t="n">
        <v>3727.08</v>
      </c>
      <c r="F261" s="14" t="n">
        <v>14908.32</v>
      </c>
      <c r="G261" s="6" t="s">
        <v>15614</v>
      </c>
    </row>
    <row r="262" customFormat="false" ht="15" hidden="false" customHeight="true" outlineLevel="0" collapsed="false">
      <c r="A262" s="6" t="s">
        <v>15874</v>
      </c>
      <c r="B262" s="6" t="s">
        <v>371</v>
      </c>
      <c r="C262" s="6" t="s">
        <v>112</v>
      </c>
      <c r="D262" s="6" t="s">
        <v>20</v>
      </c>
      <c r="E262" s="14" t="n">
        <v>3727.08</v>
      </c>
      <c r="F262" s="14" t="n">
        <v>18635.4</v>
      </c>
      <c r="G262" s="6" t="s">
        <v>15614</v>
      </c>
    </row>
    <row r="263" customFormat="false" ht="15" hidden="false" customHeight="true" outlineLevel="0" collapsed="false">
      <c r="A263" s="6" t="s">
        <v>15875</v>
      </c>
      <c r="B263" s="6" t="s">
        <v>371</v>
      </c>
      <c r="C263" s="6" t="s">
        <v>112</v>
      </c>
      <c r="D263" s="6" t="s">
        <v>21</v>
      </c>
      <c r="E263" s="14" t="n">
        <v>3727.08</v>
      </c>
      <c r="F263" s="14" t="n">
        <v>22362.48</v>
      </c>
      <c r="G263" s="6" t="s">
        <v>15614</v>
      </c>
    </row>
    <row r="264" customFormat="false" ht="15" hidden="false" customHeight="true" outlineLevel="0" collapsed="false">
      <c r="A264" s="6" t="s">
        <v>15876</v>
      </c>
      <c r="B264" s="6" t="s">
        <v>371</v>
      </c>
      <c r="C264" s="6" t="s">
        <v>112</v>
      </c>
      <c r="D264" s="6" t="s">
        <v>22</v>
      </c>
      <c r="E264" s="14" t="n">
        <v>3727.08</v>
      </c>
      <c r="F264" s="14" t="n">
        <v>26089.56</v>
      </c>
      <c r="G264" s="6" t="s">
        <v>15614</v>
      </c>
    </row>
    <row r="265" customFormat="false" ht="15" hidden="false" customHeight="true" outlineLevel="0" collapsed="false">
      <c r="A265" s="6" t="s">
        <v>15877</v>
      </c>
      <c r="B265" s="6" t="s">
        <v>373</v>
      </c>
      <c r="C265" s="6" t="s">
        <v>116</v>
      </c>
      <c r="D265" s="6" t="s">
        <v>50</v>
      </c>
      <c r="E265" s="14" t="n">
        <v>3057.19</v>
      </c>
      <c r="F265" s="14" t="n">
        <v>3057.19</v>
      </c>
      <c r="G265" s="6" t="s">
        <v>15614</v>
      </c>
    </row>
    <row r="266" customFormat="false" ht="15" hidden="false" customHeight="true" outlineLevel="0" collapsed="false">
      <c r="A266" s="6" t="s">
        <v>15878</v>
      </c>
      <c r="B266" s="6" t="s">
        <v>373</v>
      </c>
      <c r="C266" s="6" t="s">
        <v>116</v>
      </c>
      <c r="D266" s="6" t="s">
        <v>51</v>
      </c>
      <c r="E266" s="14" t="n">
        <v>3057.19</v>
      </c>
      <c r="F266" s="14" t="n">
        <v>6114.38</v>
      </c>
      <c r="G266" s="6" t="s">
        <v>15614</v>
      </c>
    </row>
    <row r="267" customFormat="false" ht="15" hidden="false" customHeight="true" outlineLevel="0" collapsed="false">
      <c r="A267" s="6" t="s">
        <v>15879</v>
      </c>
      <c r="B267" s="6" t="s">
        <v>373</v>
      </c>
      <c r="C267" s="6" t="s">
        <v>116</v>
      </c>
      <c r="D267" s="6" t="s">
        <v>52</v>
      </c>
      <c r="E267" s="14" t="n">
        <v>3057.19</v>
      </c>
      <c r="F267" s="14" t="n">
        <v>9171.57</v>
      </c>
      <c r="G267" s="6" t="s">
        <v>15614</v>
      </c>
    </row>
    <row r="268" customFormat="false" ht="15" hidden="false" customHeight="true" outlineLevel="0" collapsed="false">
      <c r="A268" s="6" t="s">
        <v>15880</v>
      </c>
      <c r="B268" s="6" t="s">
        <v>373</v>
      </c>
      <c r="C268" s="6" t="s">
        <v>116</v>
      </c>
      <c r="D268" s="6" t="s">
        <v>53</v>
      </c>
      <c r="E268" s="14" t="n">
        <v>3057.19</v>
      </c>
      <c r="F268" s="14" t="n">
        <v>12228.76</v>
      </c>
      <c r="G268" s="6" t="s">
        <v>15614</v>
      </c>
    </row>
    <row r="269" customFormat="false" ht="15" hidden="false" customHeight="true" outlineLevel="0" collapsed="false">
      <c r="A269" s="6" t="s">
        <v>15881</v>
      </c>
      <c r="B269" s="6" t="s">
        <v>375</v>
      </c>
      <c r="C269" s="6" t="s">
        <v>116</v>
      </c>
      <c r="D269" s="6" t="s">
        <v>33</v>
      </c>
      <c r="E269" s="14" t="n">
        <v>1422.48</v>
      </c>
      <c r="F269" s="14" t="n">
        <v>1422.48</v>
      </c>
      <c r="G269" s="6" t="s">
        <v>15614</v>
      </c>
    </row>
    <row r="270" customFormat="false" ht="15" hidden="false" customHeight="true" outlineLevel="0" collapsed="false">
      <c r="A270" s="6" t="s">
        <v>15882</v>
      </c>
      <c r="B270" s="6" t="s">
        <v>375</v>
      </c>
      <c r="C270" s="6" t="s">
        <v>116</v>
      </c>
      <c r="D270" s="6" t="s">
        <v>34</v>
      </c>
      <c r="E270" s="14" t="n">
        <v>1422.48</v>
      </c>
      <c r="F270" s="14" t="n">
        <v>2844.96</v>
      </c>
      <c r="G270" s="6" t="s">
        <v>15614</v>
      </c>
    </row>
    <row r="271" customFormat="false" ht="15" hidden="false" customHeight="true" outlineLevel="0" collapsed="false">
      <c r="A271" s="6" t="s">
        <v>15883</v>
      </c>
      <c r="B271" s="6" t="s">
        <v>375</v>
      </c>
      <c r="C271" s="6" t="s">
        <v>116</v>
      </c>
      <c r="D271" s="6" t="s">
        <v>35</v>
      </c>
      <c r="E271" s="14" t="n">
        <v>1422.48</v>
      </c>
      <c r="F271" s="14" t="n">
        <v>4267.44</v>
      </c>
      <c r="G271" s="6" t="s">
        <v>15614</v>
      </c>
    </row>
    <row r="272" customFormat="false" ht="15" hidden="false" customHeight="true" outlineLevel="0" collapsed="false">
      <c r="A272" s="6" t="s">
        <v>15884</v>
      </c>
      <c r="B272" s="6" t="s">
        <v>377</v>
      </c>
      <c r="C272" s="6" t="s">
        <v>112</v>
      </c>
      <c r="D272" s="6" t="s">
        <v>19</v>
      </c>
      <c r="E272" s="14" t="n">
        <v>352.83</v>
      </c>
      <c r="F272" s="14" t="n">
        <v>352.83</v>
      </c>
      <c r="G272" s="6" t="s">
        <v>15614</v>
      </c>
    </row>
    <row r="273" customFormat="false" ht="15" hidden="false" customHeight="true" outlineLevel="0" collapsed="false">
      <c r="A273" s="6" t="s">
        <v>15885</v>
      </c>
      <c r="B273" s="6" t="s">
        <v>377</v>
      </c>
      <c r="C273" s="6" t="s">
        <v>112</v>
      </c>
      <c r="D273" s="6" t="s">
        <v>20</v>
      </c>
      <c r="E273" s="14" t="n">
        <v>352.83</v>
      </c>
      <c r="F273" s="14" t="n">
        <v>705.66</v>
      </c>
      <c r="G273" s="6" t="s">
        <v>15614</v>
      </c>
    </row>
    <row r="274" customFormat="false" ht="15" hidden="false" customHeight="true" outlineLevel="0" collapsed="false">
      <c r="A274" s="6" t="s">
        <v>15886</v>
      </c>
      <c r="B274" s="6" t="s">
        <v>377</v>
      </c>
      <c r="C274" s="6" t="s">
        <v>112</v>
      </c>
      <c r="D274" s="6" t="s">
        <v>21</v>
      </c>
      <c r="E274" s="14" t="n">
        <v>352.83</v>
      </c>
      <c r="F274" s="14" t="n">
        <v>1058.49</v>
      </c>
      <c r="G274" s="6" t="s">
        <v>15614</v>
      </c>
    </row>
    <row r="275" customFormat="false" ht="15" hidden="false" customHeight="true" outlineLevel="0" collapsed="false">
      <c r="A275" s="6" t="s">
        <v>15887</v>
      </c>
      <c r="B275" s="6" t="s">
        <v>379</v>
      </c>
      <c r="C275" s="6" t="s">
        <v>112</v>
      </c>
      <c r="D275" s="6" t="s">
        <v>63</v>
      </c>
      <c r="E275" s="14" t="n">
        <v>3374.24</v>
      </c>
      <c r="F275" s="14" t="n">
        <v>3374.24</v>
      </c>
      <c r="G275" s="6" t="s">
        <v>15614</v>
      </c>
    </row>
    <row r="276" customFormat="false" ht="15" hidden="false" customHeight="true" outlineLevel="0" collapsed="false">
      <c r="A276" s="6" t="s">
        <v>15888</v>
      </c>
      <c r="B276" s="6" t="s">
        <v>379</v>
      </c>
      <c r="C276" s="6" t="s">
        <v>112</v>
      </c>
      <c r="D276" s="6" t="s">
        <v>64</v>
      </c>
      <c r="E276" s="14" t="n">
        <v>3374.24</v>
      </c>
      <c r="F276" s="14" t="n">
        <v>6748.48</v>
      </c>
      <c r="G276" s="6" t="s">
        <v>15614</v>
      </c>
    </row>
    <row r="277" customFormat="false" ht="15" hidden="false" customHeight="true" outlineLevel="0" collapsed="false">
      <c r="A277" s="6" t="s">
        <v>15889</v>
      </c>
      <c r="B277" s="6" t="s">
        <v>379</v>
      </c>
      <c r="C277" s="6" t="s">
        <v>112</v>
      </c>
      <c r="D277" s="6" t="s">
        <v>65</v>
      </c>
      <c r="E277" s="14" t="n">
        <v>3374.24</v>
      </c>
      <c r="F277" s="14" t="n">
        <v>10122.72</v>
      </c>
      <c r="G277" s="6" t="s">
        <v>15614</v>
      </c>
    </row>
    <row r="278" customFormat="false" ht="15" hidden="false" customHeight="true" outlineLevel="0" collapsed="false">
      <c r="A278" s="6" t="s">
        <v>15890</v>
      </c>
      <c r="B278" s="6" t="s">
        <v>381</v>
      </c>
      <c r="C278" s="6" t="s">
        <v>128</v>
      </c>
      <c r="D278" s="6" t="s">
        <v>37</v>
      </c>
      <c r="E278" s="14" t="n">
        <v>1057.87</v>
      </c>
      <c r="F278" s="14" t="n">
        <v>1057.87</v>
      </c>
      <c r="G278" s="6" t="s">
        <v>15614</v>
      </c>
    </row>
    <row r="279" customFormat="false" ht="15" hidden="false" customHeight="true" outlineLevel="0" collapsed="false">
      <c r="A279" s="6" t="s">
        <v>15891</v>
      </c>
      <c r="B279" s="6" t="s">
        <v>381</v>
      </c>
      <c r="C279" s="6" t="s">
        <v>128</v>
      </c>
      <c r="D279" s="6" t="s">
        <v>38</v>
      </c>
      <c r="E279" s="14" t="n">
        <v>1057.87</v>
      </c>
      <c r="F279" s="14" t="n">
        <v>2115.74</v>
      </c>
      <c r="G279" s="6" t="s">
        <v>15614</v>
      </c>
    </row>
    <row r="280" customFormat="false" ht="15" hidden="false" customHeight="true" outlineLevel="0" collapsed="false">
      <c r="A280" s="6" t="s">
        <v>15892</v>
      </c>
      <c r="B280" s="6" t="s">
        <v>381</v>
      </c>
      <c r="C280" s="6" t="s">
        <v>128</v>
      </c>
      <c r="D280" s="6" t="s">
        <v>39</v>
      </c>
      <c r="E280" s="14" t="n">
        <v>1057.87</v>
      </c>
      <c r="F280" s="14" t="n">
        <v>3173.61</v>
      </c>
      <c r="G280" s="6" t="s">
        <v>15614</v>
      </c>
    </row>
    <row r="281" customFormat="false" ht="15" hidden="false" customHeight="true" outlineLevel="0" collapsed="false">
      <c r="A281" s="6" t="s">
        <v>15893</v>
      </c>
      <c r="B281" s="6" t="s">
        <v>383</v>
      </c>
      <c r="C281" s="6" t="s">
        <v>112</v>
      </c>
      <c r="D281" s="6" t="s">
        <v>18</v>
      </c>
      <c r="E281" s="14" t="n">
        <v>665.03</v>
      </c>
      <c r="F281" s="14" t="n">
        <v>665.03</v>
      </c>
      <c r="G281" s="6" t="s">
        <v>15614</v>
      </c>
    </row>
    <row r="282" customFormat="false" ht="15" hidden="false" customHeight="true" outlineLevel="0" collapsed="false">
      <c r="A282" s="6" t="s">
        <v>15894</v>
      </c>
      <c r="B282" s="6" t="s">
        <v>383</v>
      </c>
      <c r="C282" s="6" t="s">
        <v>112</v>
      </c>
      <c r="D282" s="6" t="s">
        <v>19</v>
      </c>
      <c r="E282" s="14" t="n">
        <v>665.03</v>
      </c>
      <c r="F282" s="14" t="n">
        <v>1330.06</v>
      </c>
      <c r="G282" s="6" t="s">
        <v>15614</v>
      </c>
    </row>
    <row r="283" customFormat="false" ht="15" hidden="false" customHeight="true" outlineLevel="0" collapsed="false">
      <c r="A283" s="6" t="s">
        <v>15895</v>
      </c>
      <c r="B283" s="6" t="s">
        <v>385</v>
      </c>
      <c r="C283" s="6" t="s">
        <v>128</v>
      </c>
      <c r="D283" s="6" t="s">
        <v>37</v>
      </c>
      <c r="E283" s="14" t="n">
        <v>4256.41</v>
      </c>
      <c r="F283" s="14" t="n">
        <v>4256.41</v>
      </c>
      <c r="G283" s="6" t="s">
        <v>15614</v>
      </c>
    </row>
    <row r="284" customFormat="false" ht="15" hidden="false" customHeight="true" outlineLevel="0" collapsed="false">
      <c r="A284" s="6" t="s">
        <v>15896</v>
      </c>
      <c r="B284" s="6" t="s">
        <v>385</v>
      </c>
      <c r="C284" s="6" t="s">
        <v>128</v>
      </c>
      <c r="D284" s="6" t="s">
        <v>38</v>
      </c>
      <c r="E284" s="14" t="n">
        <v>4256.41</v>
      </c>
      <c r="F284" s="14" t="n">
        <v>8512.82</v>
      </c>
      <c r="G284" s="6" t="s">
        <v>15614</v>
      </c>
    </row>
    <row r="285" customFormat="false" ht="15" hidden="false" customHeight="true" outlineLevel="0" collapsed="false">
      <c r="A285" s="6" t="s">
        <v>15897</v>
      </c>
      <c r="B285" s="6" t="s">
        <v>387</v>
      </c>
      <c r="C285" s="6" t="s">
        <v>131</v>
      </c>
      <c r="D285" s="6" t="s">
        <v>40</v>
      </c>
      <c r="E285" s="14" t="n">
        <v>1255.17</v>
      </c>
      <c r="F285" s="14" t="n">
        <v>1255.17</v>
      </c>
      <c r="G285" s="6" t="s">
        <v>15614</v>
      </c>
    </row>
    <row r="286" customFormat="false" ht="15" hidden="false" customHeight="true" outlineLevel="0" collapsed="false">
      <c r="A286" s="6" t="s">
        <v>15898</v>
      </c>
      <c r="B286" s="6" t="s">
        <v>387</v>
      </c>
      <c r="C286" s="6" t="s">
        <v>131</v>
      </c>
      <c r="D286" s="6" t="s">
        <v>41</v>
      </c>
      <c r="E286" s="14" t="n">
        <v>1255.17</v>
      </c>
      <c r="F286" s="14" t="n">
        <v>2510.34</v>
      </c>
      <c r="G286" s="6" t="s">
        <v>15614</v>
      </c>
    </row>
    <row r="287" customFormat="false" ht="15" hidden="false" customHeight="true" outlineLevel="0" collapsed="false">
      <c r="A287" s="6" t="s">
        <v>15899</v>
      </c>
      <c r="B287" s="6" t="s">
        <v>387</v>
      </c>
      <c r="C287" s="6" t="s">
        <v>131</v>
      </c>
      <c r="D287" s="6" t="s">
        <v>42</v>
      </c>
      <c r="E287" s="14" t="n">
        <v>1255.17</v>
      </c>
      <c r="F287" s="14" t="n">
        <v>3765.51</v>
      </c>
      <c r="G287" s="6" t="s">
        <v>15614</v>
      </c>
    </row>
    <row r="288" customFormat="false" ht="15" hidden="false" customHeight="true" outlineLevel="0" collapsed="false">
      <c r="A288" s="6" t="s">
        <v>15900</v>
      </c>
      <c r="B288" s="6" t="s">
        <v>387</v>
      </c>
      <c r="C288" s="6" t="s">
        <v>131</v>
      </c>
      <c r="D288" s="6" t="s">
        <v>43</v>
      </c>
      <c r="E288" s="14" t="n">
        <v>1255.17</v>
      </c>
      <c r="F288" s="14" t="n">
        <v>5020.68</v>
      </c>
      <c r="G288" s="6" t="s">
        <v>15614</v>
      </c>
    </row>
    <row r="289" customFormat="false" ht="15" hidden="false" customHeight="true" outlineLevel="0" collapsed="false">
      <c r="A289" s="6" t="s">
        <v>15901</v>
      </c>
      <c r="B289" s="6" t="s">
        <v>389</v>
      </c>
      <c r="C289" s="6" t="s">
        <v>112</v>
      </c>
      <c r="D289" s="6" t="s">
        <v>60</v>
      </c>
      <c r="E289" s="14" t="n">
        <v>2625.22</v>
      </c>
      <c r="F289" s="14" t="n">
        <v>2625.22</v>
      </c>
      <c r="G289" s="6" t="s">
        <v>15614</v>
      </c>
    </row>
    <row r="290" customFormat="false" ht="15" hidden="false" customHeight="true" outlineLevel="0" collapsed="false">
      <c r="A290" s="6" t="s">
        <v>15902</v>
      </c>
      <c r="B290" s="6" t="s">
        <v>389</v>
      </c>
      <c r="C290" s="6" t="s">
        <v>112</v>
      </c>
      <c r="D290" s="6" t="s">
        <v>61</v>
      </c>
      <c r="E290" s="14" t="n">
        <v>2625.22</v>
      </c>
      <c r="F290" s="14" t="n">
        <v>5250.44</v>
      </c>
      <c r="G290" s="6" t="s">
        <v>15614</v>
      </c>
    </row>
    <row r="291" customFormat="false" ht="15" hidden="false" customHeight="true" outlineLevel="0" collapsed="false">
      <c r="A291" s="6" t="s">
        <v>15903</v>
      </c>
      <c r="B291" s="6" t="s">
        <v>391</v>
      </c>
      <c r="C291" s="6" t="s">
        <v>112</v>
      </c>
      <c r="D291" s="6" t="s">
        <v>17</v>
      </c>
      <c r="E291" s="14" t="n">
        <v>920.65</v>
      </c>
      <c r="F291" s="14" t="n">
        <v>920.65</v>
      </c>
      <c r="G291" s="6" t="s">
        <v>15614</v>
      </c>
    </row>
    <row r="292" customFormat="false" ht="15" hidden="false" customHeight="true" outlineLevel="0" collapsed="false">
      <c r="A292" s="6" t="s">
        <v>15904</v>
      </c>
      <c r="B292" s="6" t="s">
        <v>391</v>
      </c>
      <c r="C292" s="6" t="s">
        <v>112</v>
      </c>
      <c r="D292" s="6" t="s">
        <v>18</v>
      </c>
      <c r="E292" s="14" t="n">
        <v>920.65</v>
      </c>
      <c r="F292" s="14" t="n">
        <v>1841.3</v>
      </c>
      <c r="G292" s="6" t="s">
        <v>15614</v>
      </c>
    </row>
    <row r="293" customFormat="false" ht="15" hidden="false" customHeight="true" outlineLevel="0" collapsed="false">
      <c r="A293" s="6" t="s">
        <v>15905</v>
      </c>
      <c r="B293" s="6" t="s">
        <v>393</v>
      </c>
      <c r="C293" s="6" t="s">
        <v>131</v>
      </c>
      <c r="D293" s="6" t="s">
        <v>42</v>
      </c>
      <c r="E293" s="14" t="n">
        <v>1760.14</v>
      </c>
      <c r="F293" s="14" t="n">
        <v>1760.14</v>
      </c>
      <c r="G293" s="6" t="s">
        <v>15614</v>
      </c>
    </row>
    <row r="294" customFormat="false" ht="15" hidden="false" customHeight="true" outlineLevel="0" collapsed="false">
      <c r="A294" s="6" t="s">
        <v>15906</v>
      </c>
      <c r="B294" s="6" t="s">
        <v>393</v>
      </c>
      <c r="C294" s="6" t="s">
        <v>131</v>
      </c>
      <c r="D294" s="6" t="s">
        <v>43</v>
      </c>
      <c r="E294" s="14" t="n">
        <v>1760.14</v>
      </c>
      <c r="F294" s="14" t="n">
        <v>3520.28</v>
      </c>
      <c r="G294" s="6" t="s">
        <v>15614</v>
      </c>
    </row>
    <row r="295" customFormat="false" ht="15" hidden="false" customHeight="true" outlineLevel="0" collapsed="false">
      <c r="A295" s="6" t="s">
        <v>15907</v>
      </c>
      <c r="B295" s="6" t="s">
        <v>393</v>
      </c>
      <c r="C295" s="6" t="s">
        <v>131</v>
      </c>
      <c r="D295" s="6" t="s">
        <v>44</v>
      </c>
      <c r="E295" s="14" t="n">
        <v>1760.14</v>
      </c>
      <c r="F295" s="14" t="n">
        <v>5280.42</v>
      </c>
      <c r="G295" s="6" t="s">
        <v>15614</v>
      </c>
    </row>
    <row r="296" customFormat="false" ht="15" hidden="false" customHeight="true" outlineLevel="0" collapsed="false">
      <c r="A296" s="6" t="s">
        <v>15908</v>
      </c>
      <c r="B296" s="6" t="s">
        <v>393</v>
      </c>
      <c r="C296" s="6" t="s">
        <v>131</v>
      </c>
      <c r="D296" s="6" t="s">
        <v>45</v>
      </c>
      <c r="E296" s="14" t="n">
        <v>1760.14</v>
      </c>
      <c r="F296" s="14" t="n">
        <v>7040.56</v>
      </c>
      <c r="G296" s="6" t="s">
        <v>15614</v>
      </c>
    </row>
    <row r="297" customFormat="false" ht="15" hidden="false" customHeight="true" outlineLevel="0" collapsed="false">
      <c r="A297" s="6" t="s">
        <v>15909</v>
      </c>
      <c r="B297" s="6" t="s">
        <v>393</v>
      </c>
      <c r="C297" s="6" t="s">
        <v>131</v>
      </c>
      <c r="D297" s="6" t="s">
        <v>46</v>
      </c>
      <c r="E297" s="14" t="n">
        <v>1760.14</v>
      </c>
      <c r="F297" s="14" t="n">
        <v>8800.7</v>
      </c>
      <c r="G297" s="6" t="s">
        <v>15614</v>
      </c>
    </row>
    <row r="298" customFormat="false" ht="15" hidden="false" customHeight="true" outlineLevel="0" collapsed="false">
      <c r="A298" s="6" t="s">
        <v>15910</v>
      </c>
      <c r="B298" s="6" t="s">
        <v>395</v>
      </c>
      <c r="C298" s="6" t="s">
        <v>128</v>
      </c>
      <c r="D298" s="6" t="s">
        <v>11</v>
      </c>
      <c r="E298" s="14" t="n">
        <v>4850.76</v>
      </c>
      <c r="F298" s="14" t="n">
        <v>4850.76</v>
      </c>
      <c r="G298" s="6" t="s">
        <v>15614</v>
      </c>
    </row>
    <row r="299" customFormat="false" ht="15" hidden="false" customHeight="true" outlineLevel="0" collapsed="false">
      <c r="A299" s="6" t="s">
        <v>15911</v>
      </c>
      <c r="B299" s="6" t="s">
        <v>395</v>
      </c>
      <c r="C299" s="6" t="s">
        <v>128</v>
      </c>
      <c r="D299" s="6" t="s">
        <v>12</v>
      </c>
      <c r="E299" s="14" t="n">
        <v>4850.76</v>
      </c>
      <c r="F299" s="14" t="n">
        <v>9701.52</v>
      </c>
      <c r="G299" s="6" t="s">
        <v>15614</v>
      </c>
    </row>
    <row r="300" customFormat="false" ht="15" hidden="false" customHeight="true" outlineLevel="0" collapsed="false">
      <c r="A300" s="6" t="s">
        <v>15912</v>
      </c>
      <c r="B300" s="6" t="s">
        <v>395</v>
      </c>
      <c r="C300" s="6" t="s">
        <v>128</v>
      </c>
      <c r="D300" s="6" t="s">
        <v>13</v>
      </c>
      <c r="E300" s="14" t="n">
        <v>4850.76</v>
      </c>
      <c r="F300" s="14" t="n">
        <v>14552.28</v>
      </c>
      <c r="G300" s="6" t="s">
        <v>15614</v>
      </c>
    </row>
    <row r="301" customFormat="false" ht="15" hidden="false" customHeight="true" outlineLevel="0" collapsed="false">
      <c r="A301" s="6" t="s">
        <v>15913</v>
      </c>
      <c r="B301" s="6" t="s">
        <v>395</v>
      </c>
      <c r="C301" s="6" t="s">
        <v>128</v>
      </c>
      <c r="D301" s="6" t="s">
        <v>14</v>
      </c>
      <c r="E301" s="14" t="n">
        <v>4850.76</v>
      </c>
      <c r="F301" s="14" t="n">
        <v>19403.04</v>
      </c>
      <c r="G301" s="6" t="s">
        <v>15614</v>
      </c>
    </row>
    <row r="302" customFormat="false" ht="15" hidden="false" customHeight="true" outlineLevel="0" collapsed="false">
      <c r="A302" s="6" t="s">
        <v>15914</v>
      </c>
      <c r="B302" s="6" t="s">
        <v>397</v>
      </c>
      <c r="C302" s="6" t="s">
        <v>116</v>
      </c>
      <c r="D302" s="6" t="s">
        <v>26</v>
      </c>
      <c r="E302" s="14" t="n">
        <v>5471.28</v>
      </c>
      <c r="F302" s="14" t="n">
        <v>5471.28</v>
      </c>
      <c r="G302" s="6" t="s">
        <v>15614</v>
      </c>
    </row>
    <row r="303" customFormat="false" ht="15" hidden="false" customHeight="true" outlineLevel="0" collapsed="false">
      <c r="A303" s="6" t="s">
        <v>15915</v>
      </c>
      <c r="B303" s="6" t="s">
        <v>397</v>
      </c>
      <c r="C303" s="6" t="s">
        <v>116</v>
      </c>
      <c r="D303" s="6" t="s">
        <v>27</v>
      </c>
      <c r="E303" s="14" t="n">
        <v>5471.28</v>
      </c>
      <c r="F303" s="14" t="n">
        <v>10942.56</v>
      </c>
      <c r="G303" s="6" t="s">
        <v>15614</v>
      </c>
    </row>
    <row r="304" customFormat="false" ht="15" hidden="false" customHeight="true" outlineLevel="0" collapsed="false">
      <c r="A304" s="6" t="s">
        <v>15916</v>
      </c>
      <c r="B304" s="6" t="s">
        <v>397</v>
      </c>
      <c r="C304" s="6" t="s">
        <v>116</v>
      </c>
      <c r="D304" s="6" t="s">
        <v>28</v>
      </c>
      <c r="E304" s="14" t="n">
        <v>5471.28</v>
      </c>
      <c r="F304" s="14" t="n">
        <v>16413.84</v>
      </c>
      <c r="G304" s="6" t="s">
        <v>15614</v>
      </c>
    </row>
    <row r="305" customFormat="false" ht="15" hidden="false" customHeight="true" outlineLevel="0" collapsed="false">
      <c r="A305" s="6" t="s">
        <v>15917</v>
      </c>
      <c r="B305" s="6" t="s">
        <v>399</v>
      </c>
      <c r="C305" s="6" t="s">
        <v>128</v>
      </c>
      <c r="D305" s="6" t="s">
        <v>29</v>
      </c>
      <c r="E305" s="14" t="n">
        <v>1353.99</v>
      </c>
      <c r="F305" s="14" t="n">
        <v>1353.99</v>
      </c>
      <c r="G305" s="6" t="s">
        <v>15614</v>
      </c>
    </row>
    <row r="306" customFormat="false" ht="15" hidden="false" customHeight="true" outlineLevel="0" collapsed="false">
      <c r="A306" s="6" t="s">
        <v>15918</v>
      </c>
      <c r="B306" s="6" t="s">
        <v>399</v>
      </c>
      <c r="C306" s="6" t="s">
        <v>128</v>
      </c>
      <c r="D306" s="6" t="s">
        <v>30</v>
      </c>
      <c r="E306" s="14" t="n">
        <v>1353.99</v>
      </c>
      <c r="F306" s="14" t="n">
        <v>2707.98</v>
      </c>
      <c r="G306" s="6" t="s">
        <v>15614</v>
      </c>
    </row>
    <row r="307" customFormat="false" ht="15" hidden="false" customHeight="true" outlineLevel="0" collapsed="false">
      <c r="A307" s="6" t="s">
        <v>15919</v>
      </c>
      <c r="B307" s="6" t="s">
        <v>402</v>
      </c>
      <c r="C307" s="6" t="s">
        <v>120</v>
      </c>
      <c r="D307" s="6" t="s">
        <v>38</v>
      </c>
      <c r="E307" s="14" t="n">
        <v>250.49</v>
      </c>
      <c r="F307" s="14" t="n">
        <v>250.49</v>
      </c>
      <c r="G307" s="6" t="s">
        <v>15614</v>
      </c>
    </row>
    <row r="308" customFormat="false" ht="15" hidden="false" customHeight="true" outlineLevel="0" collapsed="false">
      <c r="A308" s="6" t="s">
        <v>15920</v>
      </c>
      <c r="B308" s="6" t="s">
        <v>402</v>
      </c>
      <c r="C308" s="6" t="s">
        <v>120</v>
      </c>
      <c r="D308" s="6" t="s">
        <v>39</v>
      </c>
      <c r="E308" s="14" t="n">
        <v>250.49</v>
      </c>
      <c r="F308" s="14" t="n">
        <v>500.98</v>
      </c>
      <c r="G308" s="6" t="s">
        <v>15614</v>
      </c>
    </row>
    <row r="309" customFormat="false" ht="15" hidden="false" customHeight="true" outlineLevel="0" collapsed="false">
      <c r="A309" s="6" t="s">
        <v>15921</v>
      </c>
      <c r="B309" s="6" t="s">
        <v>402</v>
      </c>
      <c r="C309" s="6" t="s">
        <v>120</v>
      </c>
      <c r="D309" s="6" t="s">
        <v>40</v>
      </c>
      <c r="E309" s="14" t="n">
        <v>250.49</v>
      </c>
      <c r="F309" s="14" t="n">
        <v>751.47</v>
      </c>
      <c r="G309" s="6" t="s">
        <v>15614</v>
      </c>
    </row>
    <row r="310" customFormat="false" ht="15" hidden="false" customHeight="true" outlineLevel="0" collapsed="false">
      <c r="A310" s="6" t="s">
        <v>15922</v>
      </c>
      <c r="B310" s="6" t="s">
        <v>402</v>
      </c>
      <c r="C310" s="6" t="s">
        <v>120</v>
      </c>
      <c r="D310" s="6" t="s">
        <v>41</v>
      </c>
      <c r="E310" s="14" t="n">
        <v>250.49</v>
      </c>
      <c r="F310" s="14" t="n">
        <v>1001.96</v>
      </c>
      <c r="G310" s="6" t="s">
        <v>15614</v>
      </c>
    </row>
    <row r="311" customFormat="false" ht="15" hidden="false" customHeight="true" outlineLevel="0" collapsed="false">
      <c r="A311" s="6" t="s">
        <v>15923</v>
      </c>
      <c r="B311" s="6" t="s">
        <v>402</v>
      </c>
      <c r="C311" s="6" t="s">
        <v>120</v>
      </c>
      <c r="D311" s="6" t="s">
        <v>42</v>
      </c>
      <c r="E311" s="14" t="n">
        <v>250.49</v>
      </c>
      <c r="F311" s="14" t="n">
        <v>1252.45</v>
      </c>
      <c r="G311" s="6" t="s">
        <v>15614</v>
      </c>
    </row>
    <row r="312" customFormat="false" ht="15" hidden="false" customHeight="true" outlineLevel="0" collapsed="false">
      <c r="A312" s="6" t="s">
        <v>15924</v>
      </c>
      <c r="B312" s="6" t="s">
        <v>402</v>
      </c>
      <c r="C312" s="6" t="s">
        <v>120</v>
      </c>
      <c r="D312" s="6" t="s">
        <v>43</v>
      </c>
      <c r="E312" s="14" t="n">
        <v>250.49</v>
      </c>
      <c r="F312" s="14" t="n">
        <v>1502.94</v>
      </c>
      <c r="G312" s="6" t="s">
        <v>15614</v>
      </c>
    </row>
    <row r="313" customFormat="false" ht="15" hidden="false" customHeight="true" outlineLevel="0" collapsed="false">
      <c r="A313" s="6" t="s">
        <v>15925</v>
      </c>
      <c r="B313" s="6" t="s">
        <v>404</v>
      </c>
      <c r="C313" s="6" t="s">
        <v>120</v>
      </c>
      <c r="D313" s="6" t="s">
        <v>23</v>
      </c>
      <c r="E313" s="14" t="n">
        <v>4915.74</v>
      </c>
      <c r="F313" s="14" t="n">
        <v>4915.74</v>
      </c>
      <c r="G313" s="6" t="s">
        <v>15614</v>
      </c>
    </row>
    <row r="314" customFormat="false" ht="15" hidden="false" customHeight="true" outlineLevel="0" collapsed="false">
      <c r="A314" s="6" t="s">
        <v>15926</v>
      </c>
      <c r="B314" s="6" t="s">
        <v>404</v>
      </c>
      <c r="C314" s="6" t="s">
        <v>120</v>
      </c>
      <c r="D314" s="6" t="s">
        <v>24</v>
      </c>
      <c r="E314" s="14" t="n">
        <v>4915.74</v>
      </c>
      <c r="F314" s="14" t="n">
        <v>9831.48</v>
      </c>
      <c r="G314" s="6" t="s">
        <v>15614</v>
      </c>
    </row>
    <row r="315" customFormat="false" ht="15" hidden="false" customHeight="true" outlineLevel="0" collapsed="false">
      <c r="A315" s="6" t="s">
        <v>15927</v>
      </c>
      <c r="B315" s="6" t="s">
        <v>406</v>
      </c>
      <c r="C315" s="6" t="s">
        <v>128</v>
      </c>
      <c r="D315" s="6" t="s">
        <v>42</v>
      </c>
      <c r="E315" s="14" t="n">
        <v>2744.78</v>
      </c>
      <c r="F315" s="14" t="n">
        <v>2744.78</v>
      </c>
      <c r="G315" s="6" t="s">
        <v>15614</v>
      </c>
    </row>
    <row r="316" customFormat="false" ht="15" hidden="false" customHeight="true" outlineLevel="0" collapsed="false">
      <c r="A316" s="6" t="s">
        <v>15928</v>
      </c>
      <c r="B316" s="6" t="s">
        <v>406</v>
      </c>
      <c r="C316" s="6" t="s">
        <v>128</v>
      </c>
      <c r="D316" s="6" t="s">
        <v>43</v>
      </c>
      <c r="E316" s="14" t="n">
        <v>2744.78</v>
      </c>
      <c r="F316" s="14" t="n">
        <v>5489.56</v>
      </c>
      <c r="G316" s="6" t="s">
        <v>15614</v>
      </c>
    </row>
    <row r="317" customFormat="false" ht="15" hidden="false" customHeight="true" outlineLevel="0" collapsed="false">
      <c r="A317" s="6" t="s">
        <v>15929</v>
      </c>
      <c r="B317" s="6" t="s">
        <v>406</v>
      </c>
      <c r="C317" s="6" t="s">
        <v>128</v>
      </c>
      <c r="D317" s="6" t="s">
        <v>44</v>
      </c>
      <c r="E317" s="14" t="n">
        <v>2744.78</v>
      </c>
      <c r="F317" s="14" t="n">
        <v>8234.34</v>
      </c>
      <c r="G317" s="6" t="s">
        <v>15614</v>
      </c>
    </row>
    <row r="318" customFormat="false" ht="15" hidden="false" customHeight="true" outlineLevel="0" collapsed="false">
      <c r="A318" s="6" t="s">
        <v>15930</v>
      </c>
      <c r="B318" s="6" t="s">
        <v>408</v>
      </c>
      <c r="C318" s="6" t="s">
        <v>124</v>
      </c>
      <c r="D318" s="6" t="s">
        <v>62</v>
      </c>
      <c r="E318" s="14" t="n">
        <v>2095.18</v>
      </c>
      <c r="F318" s="14" t="n">
        <v>2095.18</v>
      </c>
      <c r="G318" s="6" t="s">
        <v>15614</v>
      </c>
    </row>
    <row r="319" customFormat="false" ht="15" hidden="false" customHeight="true" outlineLevel="0" collapsed="false">
      <c r="A319" s="6" t="s">
        <v>15931</v>
      </c>
      <c r="B319" s="6" t="s">
        <v>410</v>
      </c>
      <c r="C319" s="6" t="s">
        <v>124</v>
      </c>
      <c r="D319" s="6" t="s">
        <v>46</v>
      </c>
      <c r="E319" s="14" t="n">
        <v>7876.37</v>
      </c>
      <c r="F319" s="14" t="n">
        <v>7876.37</v>
      </c>
      <c r="G319" s="6" t="s">
        <v>15614</v>
      </c>
    </row>
    <row r="320" customFormat="false" ht="15" hidden="false" customHeight="true" outlineLevel="0" collapsed="false">
      <c r="A320" s="6" t="s">
        <v>15932</v>
      </c>
      <c r="B320" s="6" t="s">
        <v>410</v>
      </c>
      <c r="C320" s="6" t="s">
        <v>124</v>
      </c>
      <c r="D320" s="6" t="s">
        <v>47</v>
      </c>
      <c r="E320" s="14" t="n">
        <v>7876.37</v>
      </c>
      <c r="F320" s="14" t="n">
        <v>15752.74</v>
      </c>
      <c r="G320" s="6" t="s">
        <v>15614</v>
      </c>
    </row>
    <row r="321" customFormat="false" ht="15" hidden="false" customHeight="true" outlineLevel="0" collapsed="false">
      <c r="A321" s="6" t="s">
        <v>15933</v>
      </c>
      <c r="B321" s="6" t="s">
        <v>410</v>
      </c>
      <c r="C321" s="6" t="s">
        <v>124</v>
      </c>
      <c r="D321" s="6" t="s">
        <v>48</v>
      </c>
      <c r="E321" s="14" t="n">
        <v>7876.37</v>
      </c>
      <c r="F321" s="14" t="n">
        <v>23629.11</v>
      </c>
      <c r="G321" s="6" t="s">
        <v>15614</v>
      </c>
    </row>
    <row r="322" customFormat="false" ht="15" hidden="false" customHeight="true" outlineLevel="0" collapsed="false">
      <c r="A322" s="6" t="s">
        <v>15934</v>
      </c>
      <c r="B322" s="6" t="s">
        <v>410</v>
      </c>
      <c r="C322" s="6" t="s">
        <v>124</v>
      </c>
      <c r="D322" s="6" t="s">
        <v>49</v>
      </c>
      <c r="E322" s="14" t="n">
        <v>7876.37</v>
      </c>
      <c r="F322" s="14" t="n">
        <v>31505.48</v>
      </c>
      <c r="G322" s="6" t="s">
        <v>15614</v>
      </c>
    </row>
    <row r="323" customFormat="false" ht="15" hidden="false" customHeight="true" outlineLevel="0" collapsed="false">
      <c r="A323" s="6" t="s">
        <v>15935</v>
      </c>
      <c r="B323" s="6" t="s">
        <v>412</v>
      </c>
      <c r="C323" s="6" t="s">
        <v>120</v>
      </c>
      <c r="D323" s="6" t="s">
        <v>14</v>
      </c>
      <c r="E323" s="14" t="n">
        <v>2403.63</v>
      </c>
      <c r="F323" s="14" t="n">
        <v>2403.63</v>
      </c>
      <c r="G323" s="6" t="s">
        <v>15614</v>
      </c>
    </row>
    <row r="324" customFormat="false" ht="15" hidden="false" customHeight="true" outlineLevel="0" collapsed="false">
      <c r="A324" s="6" t="s">
        <v>15936</v>
      </c>
      <c r="B324" s="6" t="s">
        <v>412</v>
      </c>
      <c r="C324" s="6" t="s">
        <v>120</v>
      </c>
      <c r="D324" s="6" t="s">
        <v>15</v>
      </c>
      <c r="E324" s="14" t="n">
        <v>2403.63</v>
      </c>
      <c r="F324" s="14" t="n">
        <v>4807.26</v>
      </c>
      <c r="G324" s="6" t="s">
        <v>15614</v>
      </c>
    </row>
    <row r="325" customFormat="false" ht="15" hidden="false" customHeight="true" outlineLevel="0" collapsed="false">
      <c r="A325" s="6" t="s">
        <v>15937</v>
      </c>
      <c r="B325" s="6" t="s">
        <v>414</v>
      </c>
      <c r="C325" s="6" t="s">
        <v>116</v>
      </c>
      <c r="D325" s="6" t="s">
        <v>24</v>
      </c>
      <c r="E325" s="14" t="n">
        <v>3349.69</v>
      </c>
      <c r="F325" s="14" t="n">
        <v>3349.69</v>
      </c>
      <c r="G325" s="6" t="s">
        <v>15614</v>
      </c>
    </row>
    <row r="326" customFormat="false" ht="15" hidden="false" customHeight="true" outlineLevel="0" collapsed="false">
      <c r="A326" s="6" t="s">
        <v>15938</v>
      </c>
      <c r="B326" s="6" t="s">
        <v>414</v>
      </c>
      <c r="C326" s="6" t="s">
        <v>116</v>
      </c>
      <c r="D326" s="6" t="s">
        <v>25</v>
      </c>
      <c r="E326" s="14" t="n">
        <v>3349.69</v>
      </c>
      <c r="F326" s="14" t="n">
        <v>6699.38</v>
      </c>
      <c r="G326" s="6" t="s">
        <v>15614</v>
      </c>
    </row>
    <row r="327" customFormat="false" ht="15" hidden="false" customHeight="true" outlineLevel="0" collapsed="false">
      <c r="A327" s="6" t="s">
        <v>15939</v>
      </c>
      <c r="B327" s="6" t="s">
        <v>414</v>
      </c>
      <c r="C327" s="6" t="s">
        <v>116</v>
      </c>
      <c r="D327" s="6" t="s">
        <v>26</v>
      </c>
      <c r="E327" s="14" t="n">
        <v>3349.69</v>
      </c>
      <c r="F327" s="14" t="n">
        <v>10049.07</v>
      </c>
      <c r="G327" s="6" t="s">
        <v>15614</v>
      </c>
    </row>
    <row r="328" customFormat="false" ht="15" hidden="false" customHeight="true" outlineLevel="0" collapsed="false">
      <c r="A328" s="6" t="s">
        <v>15940</v>
      </c>
      <c r="B328" s="6" t="s">
        <v>416</v>
      </c>
      <c r="C328" s="6" t="s">
        <v>112</v>
      </c>
      <c r="D328" s="6" t="s">
        <v>30</v>
      </c>
      <c r="E328" s="14" t="n">
        <v>4301.58</v>
      </c>
      <c r="F328" s="14" t="n">
        <v>4301.58</v>
      </c>
      <c r="G328" s="6" t="s">
        <v>15614</v>
      </c>
    </row>
    <row r="329" customFormat="false" ht="15" hidden="false" customHeight="true" outlineLevel="0" collapsed="false">
      <c r="A329" s="6" t="s">
        <v>15941</v>
      </c>
      <c r="B329" s="6" t="s">
        <v>416</v>
      </c>
      <c r="C329" s="6" t="s">
        <v>112</v>
      </c>
      <c r="D329" s="6" t="s">
        <v>31</v>
      </c>
      <c r="E329" s="14" t="n">
        <v>4301.58</v>
      </c>
      <c r="F329" s="14" t="n">
        <v>8603.16</v>
      </c>
      <c r="G329" s="6" t="s">
        <v>15614</v>
      </c>
    </row>
    <row r="330" customFormat="false" ht="15" hidden="false" customHeight="true" outlineLevel="0" collapsed="false">
      <c r="A330" s="6" t="s">
        <v>15942</v>
      </c>
      <c r="B330" s="6" t="s">
        <v>418</v>
      </c>
      <c r="C330" s="6" t="s">
        <v>131</v>
      </c>
      <c r="D330" s="6" t="s">
        <v>54</v>
      </c>
      <c r="E330" s="14" t="n">
        <v>5220.95</v>
      </c>
      <c r="F330" s="14" t="n">
        <v>5220.95</v>
      </c>
      <c r="G330" s="6" t="s">
        <v>15614</v>
      </c>
    </row>
    <row r="331" customFormat="false" ht="15" hidden="false" customHeight="true" outlineLevel="0" collapsed="false">
      <c r="A331" s="6" t="s">
        <v>15943</v>
      </c>
      <c r="B331" s="6" t="s">
        <v>418</v>
      </c>
      <c r="C331" s="6" t="s">
        <v>131</v>
      </c>
      <c r="D331" s="6" t="s">
        <v>55</v>
      </c>
      <c r="E331" s="14" t="n">
        <v>5220.95</v>
      </c>
      <c r="F331" s="14" t="n">
        <v>10441.9</v>
      </c>
      <c r="G331" s="6" t="s">
        <v>15614</v>
      </c>
    </row>
    <row r="332" customFormat="false" ht="15" hidden="false" customHeight="true" outlineLevel="0" collapsed="false">
      <c r="A332" s="6" t="s">
        <v>15944</v>
      </c>
      <c r="B332" s="6" t="s">
        <v>420</v>
      </c>
      <c r="C332" s="6" t="s">
        <v>116</v>
      </c>
      <c r="D332" s="6" t="s">
        <v>61</v>
      </c>
      <c r="E332" s="14" t="n">
        <v>768.05</v>
      </c>
      <c r="F332" s="14" t="n">
        <v>768.05</v>
      </c>
      <c r="G332" s="6" t="s">
        <v>15614</v>
      </c>
    </row>
    <row r="333" customFormat="false" ht="15" hidden="false" customHeight="true" outlineLevel="0" collapsed="false">
      <c r="A333" s="6" t="s">
        <v>15945</v>
      </c>
      <c r="B333" s="6" t="s">
        <v>420</v>
      </c>
      <c r="C333" s="6" t="s">
        <v>116</v>
      </c>
      <c r="D333" s="6" t="s">
        <v>62</v>
      </c>
      <c r="E333" s="14" t="n">
        <v>768.05</v>
      </c>
      <c r="F333" s="14" t="n">
        <v>1536.1</v>
      </c>
      <c r="G333" s="6" t="s">
        <v>15614</v>
      </c>
    </row>
    <row r="334" customFormat="false" ht="15" hidden="false" customHeight="true" outlineLevel="0" collapsed="false">
      <c r="A334" s="6" t="s">
        <v>15946</v>
      </c>
      <c r="B334" s="6" t="s">
        <v>420</v>
      </c>
      <c r="C334" s="6" t="s">
        <v>116</v>
      </c>
      <c r="D334" s="6" t="s">
        <v>63</v>
      </c>
      <c r="E334" s="14" t="n">
        <v>768.05</v>
      </c>
      <c r="F334" s="14" t="n">
        <v>2304.15</v>
      </c>
      <c r="G334" s="6" t="s">
        <v>15614</v>
      </c>
    </row>
    <row r="335" customFormat="false" ht="15" hidden="false" customHeight="true" outlineLevel="0" collapsed="false">
      <c r="A335" s="6" t="s">
        <v>15947</v>
      </c>
      <c r="B335" s="6" t="s">
        <v>422</v>
      </c>
      <c r="C335" s="6" t="s">
        <v>128</v>
      </c>
      <c r="D335" s="6" t="s">
        <v>29</v>
      </c>
      <c r="E335" s="14" t="n">
        <v>2338.71</v>
      </c>
      <c r="F335" s="14" t="n">
        <v>2338.71</v>
      </c>
      <c r="G335" s="6" t="s">
        <v>15614</v>
      </c>
    </row>
    <row r="336" customFormat="false" ht="15" hidden="false" customHeight="true" outlineLevel="0" collapsed="false">
      <c r="A336" s="6" t="s">
        <v>15948</v>
      </c>
      <c r="B336" s="6" t="s">
        <v>422</v>
      </c>
      <c r="C336" s="6" t="s">
        <v>128</v>
      </c>
      <c r="D336" s="6" t="s">
        <v>30</v>
      </c>
      <c r="E336" s="14" t="n">
        <v>2338.71</v>
      </c>
      <c r="F336" s="14" t="n">
        <v>4677.42</v>
      </c>
      <c r="G336" s="6" t="s">
        <v>15614</v>
      </c>
    </row>
    <row r="337" customFormat="false" ht="15" hidden="false" customHeight="true" outlineLevel="0" collapsed="false">
      <c r="A337" s="6" t="s">
        <v>15949</v>
      </c>
      <c r="B337" s="6" t="s">
        <v>422</v>
      </c>
      <c r="C337" s="6" t="s">
        <v>128</v>
      </c>
      <c r="D337" s="6" t="s">
        <v>31</v>
      </c>
      <c r="E337" s="14" t="n">
        <v>2338.71</v>
      </c>
      <c r="F337" s="14" t="n">
        <v>7016.13</v>
      </c>
      <c r="G337" s="6" t="s">
        <v>15614</v>
      </c>
    </row>
    <row r="338" customFormat="false" ht="15" hidden="false" customHeight="true" outlineLevel="0" collapsed="false">
      <c r="A338" s="6" t="s">
        <v>15950</v>
      </c>
      <c r="B338" s="6" t="s">
        <v>422</v>
      </c>
      <c r="C338" s="6" t="s">
        <v>128</v>
      </c>
      <c r="D338" s="6" t="s">
        <v>32</v>
      </c>
      <c r="E338" s="14" t="n">
        <v>2338.71</v>
      </c>
      <c r="F338" s="14" t="n">
        <v>9354.84</v>
      </c>
      <c r="G338" s="6" t="s">
        <v>15614</v>
      </c>
    </row>
    <row r="339" customFormat="false" ht="15" hidden="false" customHeight="true" outlineLevel="0" collapsed="false">
      <c r="A339" s="6" t="s">
        <v>15951</v>
      </c>
      <c r="B339" s="6" t="s">
        <v>424</v>
      </c>
      <c r="C339" s="6" t="s">
        <v>131</v>
      </c>
      <c r="D339" s="6" t="s">
        <v>44</v>
      </c>
      <c r="E339" s="14" t="n">
        <v>1194.74</v>
      </c>
      <c r="F339" s="14" t="n">
        <v>1194.74</v>
      </c>
      <c r="G339" s="6" t="s">
        <v>15614</v>
      </c>
    </row>
    <row r="340" customFormat="false" ht="15" hidden="false" customHeight="true" outlineLevel="0" collapsed="false">
      <c r="A340" s="6" t="s">
        <v>15952</v>
      </c>
      <c r="B340" s="6" t="s">
        <v>424</v>
      </c>
      <c r="C340" s="6" t="s">
        <v>131</v>
      </c>
      <c r="D340" s="6" t="s">
        <v>45</v>
      </c>
      <c r="E340" s="14" t="n">
        <v>1194.74</v>
      </c>
      <c r="F340" s="14" t="n">
        <v>2389.48</v>
      </c>
      <c r="G340" s="6" t="s">
        <v>15614</v>
      </c>
    </row>
    <row r="341" customFormat="false" ht="15" hidden="false" customHeight="true" outlineLevel="0" collapsed="false">
      <c r="A341" s="6" t="s">
        <v>15953</v>
      </c>
      <c r="B341" s="6" t="s">
        <v>426</v>
      </c>
      <c r="C341" s="6" t="s">
        <v>124</v>
      </c>
      <c r="D341" s="6" t="s">
        <v>63</v>
      </c>
      <c r="E341" s="14" t="n">
        <v>7207.24</v>
      </c>
      <c r="F341" s="14" t="n">
        <v>7207.24</v>
      </c>
      <c r="G341" s="6" t="s">
        <v>15614</v>
      </c>
    </row>
    <row r="342" customFormat="false" ht="15" hidden="false" customHeight="true" outlineLevel="0" collapsed="false">
      <c r="A342" s="6" t="s">
        <v>15954</v>
      </c>
      <c r="B342" s="6" t="s">
        <v>426</v>
      </c>
      <c r="C342" s="6" t="s">
        <v>124</v>
      </c>
      <c r="D342" s="6" t="s">
        <v>64</v>
      </c>
      <c r="E342" s="14" t="n">
        <v>7207.24</v>
      </c>
      <c r="F342" s="14" t="n">
        <v>14414.48</v>
      </c>
      <c r="G342" s="6" t="s">
        <v>15614</v>
      </c>
    </row>
    <row r="343" customFormat="false" ht="15" hidden="false" customHeight="true" outlineLevel="0" collapsed="false">
      <c r="A343" s="6" t="s">
        <v>15955</v>
      </c>
      <c r="B343" s="6" t="s">
        <v>428</v>
      </c>
      <c r="C343" s="6" t="s">
        <v>116</v>
      </c>
      <c r="D343" s="6" t="s">
        <v>53</v>
      </c>
      <c r="E343" s="14" t="n">
        <v>2184.14</v>
      </c>
      <c r="F343" s="14" t="n">
        <v>2184.14</v>
      </c>
      <c r="G343" s="6" t="s">
        <v>15614</v>
      </c>
    </row>
    <row r="344" customFormat="false" ht="15" hidden="false" customHeight="true" outlineLevel="0" collapsed="false">
      <c r="A344" s="6" t="s">
        <v>15956</v>
      </c>
      <c r="B344" s="6" t="s">
        <v>428</v>
      </c>
      <c r="C344" s="6" t="s">
        <v>116</v>
      </c>
      <c r="D344" s="6" t="s">
        <v>54</v>
      </c>
      <c r="E344" s="14" t="n">
        <v>2184.14</v>
      </c>
      <c r="F344" s="14" t="n">
        <v>4368.28</v>
      </c>
      <c r="G344" s="6" t="s">
        <v>15614</v>
      </c>
    </row>
    <row r="345" customFormat="false" ht="15" hidden="false" customHeight="true" outlineLevel="0" collapsed="false">
      <c r="A345" s="6" t="s">
        <v>15957</v>
      </c>
      <c r="B345" s="6" t="s">
        <v>428</v>
      </c>
      <c r="C345" s="6" t="s">
        <v>116</v>
      </c>
      <c r="D345" s="6" t="s">
        <v>54</v>
      </c>
      <c r="E345" s="14" t="n">
        <v>2184.14</v>
      </c>
      <c r="F345" s="14" t="n">
        <v>6552.42</v>
      </c>
      <c r="G345" s="6" t="s">
        <v>15614</v>
      </c>
    </row>
    <row r="346" customFormat="false" ht="15" hidden="false" customHeight="true" outlineLevel="0" collapsed="false">
      <c r="A346" s="6" t="s">
        <v>15958</v>
      </c>
      <c r="B346" s="6" t="s">
        <v>428</v>
      </c>
      <c r="C346" s="6" t="s">
        <v>116</v>
      </c>
      <c r="D346" s="6" t="s">
        <v>55</v>
      </c>
      <c r="E346" s="14" t="n">
        <v>2184.14</v>
      </c>
      <c r="F346" s="14" t="n">
        <v>8736.56</v>
      </c>
      <c r="G346" s="6" t="s">
        <v>15614</v>
      </c>
    </row>
    <row r="347" customFormat="false" ht="15" hidden="false" customHeight="true" outlineLevel="0" collapsed="false">
      <c r="A347" s="6" t="s">
        <v>15959</v>
      </c>
      <c r="B347" s="6" t="s">
        <v>428</v>
      </c>
      <c r="C347" s="6" t="s">
        <v>116</v>
      </c>
      <c r="D347" s="6" t="s">
        <v>56</v>
      </c>
      <c r="E347" s="14" t="n">
        <v>2184.14</v>
      </c>
      <c r="F347" s="14" t="n">
        <v>10920.7</v>
      </c>
      <c r="G347" s="6" t="s">
        <v>15614</v>
      </c>
    </row>
    <row r="348" customFormat="false" ht="15" hidden="false" customHeight="true" outlineLevel="0" collapsed="false">
      <c r="A348" s="6" t="s">
        <v>15960</v>
      </c>
      <c r="B348" s="6" t="s">
        <v>428</v>
      </c>
      <c r="C348" s="6" t="s">
        <v>116</v>
      </c>
      <c r="D348" s="6" t="s">
        <v>57</v>
      </c>
      <c r="E348" s="14" t="n">
        <v>2184.14</v>
      </c>
      <c r="F348" s="14" t="n">
        <v>13104.84</v>
      </c>
      <c r="G348" s="6" t="s">
        <v>15614</v>
      </c>
    </row>
    <row r="349" customFormat="false" ht="15" hidden="false" customHeight="true" outlineLevel="0" collapsed="false">
      <c r="A349" s="6" t="s">
        <v>15961</v>
      </c>
      <c r="B349" s="6" t="s">
        <v>428</v>
      </c>
      <c r="C349" s="6" t="s">
        <v>116</v>
      </c>
      <c r="D349" s="6" t="s">
        <v>58</v>
      </c>
      <c r="E349" s="14" t="n">
        <v>2184.14</v>
      </c>
      <c r="F349" s="14" t="n">
        <v>15288.98</v>
      </c>
      <c r="G349" s="6" t="s">
        <v>15614</v>
      </c>
    </row>
    <row r="350" customFormat="false" ht="15" hidden="false" customHeight="true" outlineLevel="0" collapsed="false">
      <c r="A350" s="6" t="s">
        <v>15962</v>
      </c>
      <c r="B350" s="6" t="s">
        <v>430</v>
      </c>
      <c r="C350" s="6" t="s">
        <v>124</v>
      </c>
      <c r="D350" s="6" t="s">
        <v>40</v>
      </c>
      <c r="E350" s="14" t="n">
        <v>2420.36</v>
      </c>
      <c r="F350" s="14" t="n">
        <v>2420.36</v>
      </c>
      <c r="G350" s="6" t="s">
        <v>15614</v>
      </c>
    </row>
    <row r="351" customFormat="false" ht="15" hidden="false" customHeight="true" outlineLevel="0" collapsed="false">
      <c r="A351" s="6" t="s">
        <v>15963</v>
      </c>
      <c r="B351" s="6" t="s">
        <v>430</v>
      </c>
      <c r="C351" s="6" t="s">
        <v>124</v>
      </c>
      <c r="D351" s="6" t="s">
        <v>41</v>
      </c>
      <c r="E351" s="14" t="n">
        <v>2420.36</v>
      </c>
      <c r="F351" s="14" t="n">
        <v>4840.72</v>
      </c>
      <c r="G351" s="6" t="s">
        <v>15614</v>
      </c>
    </row>
    <row r="352" customFormat="false" ht="15" hidden="false" customHeight="true" outlineLevel="0" collapsed="false">
      <c r="A352" s="6" t="s">
        <v>15964</v>
      </c>
      <c r="B352" s="6" t="s">
        <v>432</v>
      </c>
      <c r="C352" s="6" t="s">
        <v>128</v>
      </c>
      <c r="D352" s="6" t="s">
        <v>14</v>
      </c>
      <c r="E352" s="14" t="n">
        <v>467.16</v>
      </c>
      <c r="F352" s="14" t="n">
        <v>467.16</v>
      </c>
      <c r="G352" s="6" t="s">
        <v>15614</v>
      </c>
    </row>
    <row r="353" customFormat="false" ht="15" hidden="false" customHeight="true" outlineLevel="0" collapsed="false">
      <c r="A353" s="6" t="s">
        <v>15965</v>
      </c>
      <c r="B353" s="6" t="s">
        <v>432</v>
      </c>
      <c r="C353" s="6" t="s">
        <v>128</v>
      </c>
      <c r="D353" s="6" t="s">
        <v>15</v>
      </c>
      <c r="E353" s="14" t="n">
        <v>467.16</v>
      </c>
      <c r="F353" s="14" t="n">
        <v>934.32</v>
      </c>
      <c r="G353" s="6" t="s">
        <v>15614</v>
      </c>
    </row>
    <row r="354" customFormat="false" ht="15" hidden="false" customHeight="true" outlineLevel="0" collapsed="false">
      <c r="A354" s="6" t="s">
        <v>15966</v>
      </c>
      <c r="B354" s="6" t="s">
        <v>434</v>
      </c>
      <c r="C354" s="6" t="s">
        <v>116</v>
      </c>
      <c r="D354" s="6" t="s">
        <v>35</v>
      </c>
      <c r="E354" s="14" t="n">
        <v>1369.34</v>
      </c>
      <c r="F354" s="14" t="n">
        <v>1369.34</v>
      </c>
      <c r="G354" s="6" t="s">
        <v>15614</v>
      </c>
    </row>
    <row r="355" customFormat="false" ht="15" hidden="false" customHeight="true" outlineLevel="0" collapsed="false">
      <c r="A355" s="6" t="s">
        <v>15967</v>
      </c>
      <c r="B355" s="6" t="s">
        <v>434</v>
      </c>
      <c r="C355" s="6" t="s">
        <v>116</v>
      </c>
      <c r="D355" s="6" t="s">
        <v>36</v>
      </c>
      <c r="E355" s="14" t="n">
        <v>1369.34</v>
      </c>
      <c r="F355" s="14" t="n">
        <v>2738.68</v>
      </c>
      <c r="G355" s="6" t="s">
        <v>15614</v>
      </c>
    </row>
    <row r="356" customFormat="false" ht="15" hidden="false" customHeight="true" outlineLevel="0" collapsed="false">
      <c r="A356" s="6" t="s">
        <v>15968</v>
      </c>
      <c r="B356" s="6" t="s">
        <v>436</v>
      </c>
      <c r="C356" s="6" t="s">
        <v>124</v>
      </c>
      <c r="D356" s="6" t="s">
        <v>54</v>
      </c>
      <c r="E356" s="14" t="n">
        <v>935.59</v>
      </c>
      <c r="F356" s="14" t="n">
        <v>935.59</v>
      </c>
      <c r="G356" s="6" t="s">
        <v>15614</v>
      </c>
    </row>
    <row r="357" customFormat="false" ht="15" hidden="false" customHeight="true" outlineLevel="0" collapsed="false">
      <c r="A357" s="6" t="s">
        <v>15969</v>
      </c>
      <c r="B357" s="6" t="s">
        <v>436</v>
      </c>
      <c r="C357" s="6" t="s">
        <v>124</v>
      </c>
      <c r="D357" s="6" t="s">
        <v>55</v>
      </c>
      <c r="E357" s="14" t="n">
        <v>935.59</v>
      </c>
      <c r="F357" s="14" t="n">
        <v>1871.18</v>
      </c>
      <c r="G357" s="6" t="s">
        <v>15614</v>
      </c>
    </row>
    <row r="358" customFormat="false" ht="15" hidden="false" customHeight="true" outlineLevel="0" collapsed="false">
      <c r="A358" s="6" t="s">
        <v>15970</v>
      </c>
      <c r="B358" s="6" t="s">
        <v>436</v>
      </c>
      <c r="C358" s="6" t="s">
        <v>124</v>
      </c>
      <c r="D358" s="6" t="s">
        <v>56</v>
      </c>
      <c r="E358" s="14" t="n">
        <v>935.59</v>
      </c>
      <c r="F358" s="14" t="n">
        <v>2806.77</v>
      </c>
      <c r="G358" s="6" t="s">
        <v>15614</v>
      </c>
    </row>
    <row r="359" customFormat="false" ht="15" hidden="false" customHeight="true" outlineLevel="0" collapsed="false">
      <c r="A359" s="6" t="s">
        <v>15971</v>
      </c>
      <c r="B359" s="6" t="s">
        <v>436</v>
      </c>
      <c r="C359" s="6" t="s">
        <v>124</v>
      </c>
      <c r="D359" s="6" t="s">
        <v>57</v>
      </c>
      <c r="E359" s="14" t="n">
        <v>935.59</v>
      </c>
      <c r="F359" s="14" t="n">
        <v>3742.36</v>
      </c>
      <c r="G359" s="6" t="s">
        <v>15614</v>
      </c>
    </row>
    <row r="360" customFormat="false" ht="15" hidden="false" customHeight="true" outlineLevel="0" collapsed="false">
      <c r="A360" s="6" t="s">
        <v>15972</v>
      </c>
      <c r="B360" s="6" t="s">
        <v>438</v>
      </c>
      <c r="C360" s="6" t="s">
        <v>120</v>
      </c>
      <c r="D360" s="6" t="s">
        <v>61</v>
      </c>
      <c r="E360" s="14" t="n">
        <v>3038.01</v>
      </c>
      <c r="F360" s="14" t="n">
        <v>3038.01</v>
      </c>
      <c r="G360" s="6" t="s">
        <v>15614</v>
      </c>
    </row>
    <row r="361" customFormat="false" ht="15" hidden="false" customHeight="true" outlineLevel="0" collapsed="false">
      <c r="A361" s="6" t="s">
        <v>15973</v>
      </c>
      <c r="B361" s="6" t="s">
        <v>440</v>
      </c>
      <c r="C361" s="6" t="s">
        <v>120</v>
      </c>
      <c r="D361" s="6" t="s">
        <v>25</v>
      </c>
      <c r="E361" s="14" t="n">
        <v>1098.72</v>
      </c>
      <c r="F361" s="14" t="n">
        <v>1098.72</v>
      </c>
      <c r="G361" s="6" t="s">
        <v>15614</v>
      </c>
    </row>
    <row r="362" customFormat="false" ht="15" hidden="false" customHeight="true" outlineLevel="0" collapsed="false">
      <c r="A362" s="6" t="s">
        <v>15974</v>
      </c>
      <c r="B362" s="6" t="s">
        <v>440</v>
      </c>
      <c r="C362" s="6" t="s">
        <v>120</v>
      </c>
      <c r="D362" s="6" t="s">
        <v>26</v>
      </c>
      <c r="E362" s="14" t="n">
        <v>1098.72</v>
      </c>
      <c r="F362" s="14" t="n">
        <v>2197.44</v>
      </c>
      <c r="G362" s="6" t="s">
        <v>15614</v>
      </c>
    </row>
    <row r="363" customFormat="false" ht="15" hidden="false" customHeight="true" outlineLevel="0" collapsed="false">
      <c r="A363" s="6" t="s">
        <v>15975</v>
      </c>
      <c r="B363" s="6" t="s">
        <v>440</v>
      </c>
      <c r="C363" s="6" t="s">
        <v>120</v>
      </c>
      <c r="D363" s="6" t="s">
        <v>27</v>
      </c>
      <c r="E363" s="14" t="n">
        <v>1098.72</v>
      </c>
      <c r="F363" s="14" t="n">
        <v>3296.16</v>
      </c>
      <c r="G363" s="6" t="s">
        <v>15614</v>
      </c>
    </row>
    <row r="364" customFormat="false" ht="15" hidden="false" customHeight="true" outlineLevel="0" collapsed="false">
      <c r="A364" s="6" t="s">
        <v>15976</v>
      </c>
      <c r="B364" s="6" t="s">
        <v>440</v>
      </c>
      <c r="C364" s="6" t="s">
        <v>120</v>
      </c>
      <c r="D364" s="6" t="s">
        <v>28</v>
      </c>
      <c r="E364" s="14" t="n">
        <v>1098.72</v>
      </c>
      <c r="F364" s="14" t="n">
        <v>4394.88</v>
      </c>
      <c r="G364" s="6" t="s">
        <v>15614</v>
      </c>
    </row>
    <row r="365" customFormat="false" ht="15" hidden="false" customHeight="true" outlineLevel="0" collapsed="false">
      <c r="A365" s="6" t="s">
        <v>15977</v>
      </c>
      <c r="B365" s="6" t="s">
        <v>442</v>
      </c>
      <c r="C365" s="6" t="s">
        <v>128</v>
      </c>
      <c r="D365" s="6" t="s">
        <v>55</v>
      </c>
      <c r="E365" s="14" t="n">
        <v>227.9</v>
      </c>
      <c r="F365" s="14" t="n">
        <v>227.9</v>
      </c>
      <c r="G365" s="6" t="s">
        <v>15614</v>
      </c>
    </row>
    <row r="366" customFormat="false" ht="15" hidden="false" customHeight="true" outlineLevel="0" collapsed="false">
      <c r="A366" s="6" t="s">
        <v>15978</v>
      </c>
      <c r="B366" s="6" t="s">
        <v>442</v>
      </c>
      <c r="C366" s="6" t="s">
        <v>128</v>
      </c>
      <c r="D366" s="6" t="s">
        <v>56</v>
      </c>
      <c r="E366" s="14" t="n">
        <v>227.9</v>
      </c>
      <c r="F366" s="14" t="n">
        <v>455.8</v>
      </c>
      <c r="G366" s="6" t="s">
        <v>15614</v>
      </c>
    </row>
    <row r="367" customFormat="false" ht="15" hidden="false" customHeight="true" outlineLevel="0" collapsed="false">
      <c r="A367" s="6" t="s">
        <v>15979</v>
      </c>
      <c r="B367" s="6" t="s">
        <v>442</v>
      </c>
      <c r="C367" s="6" t="s">
        <v>128</v>
      </c>
      <c r="D367" s="6" t="s">
        <v>57</v>
      </c>
      <c r="E367" s="14" t="n">
        <v>227.9</v>
      </c>
      <c r="F367" s="14" t="n">
        <v>683.7</v>
      </c>
      <c r="G367" s="6" t="s">
        <v>15614</v>
      </c>
    </row>
    <row r="368" customFormat="false" ht="15" hidden="false" customHeight="true" outlineLevel="0" collapsed="false">
      <c r="A368" s="6" t="s">
        <v>15980</v>
      </c>
      <c r="B368" s="6" t="s">
        <v>442</v>
      </c>
      <c r="C368" s="6" t="s">
        <v>128</v>
      </c>
      <c r="D368" s="6" t="s">
        <v>58</v>
      </c>
      <c r="E368" s="14" t="n">
        <v>227.9</v>
      </c>
      <c r="F368" s="14" t="n">
        <v>911.6</v>
      </c>
      <c r="G368" s="6" t="s">
        <v>15614</v>
      </c>
    </row>
    <row r="369" customFormat="false" ht="15" hidden="false" customHeight="true" outlineLevel="0" collapsed="false">
      <c r="A369" s="6" t="s">
        <v>15981</v>
      </c>
      <c r="B369" s="6" t="s">
        <v>442</v>
      </c>
      <c r="C369" s="6" t="s">
        <v>128</v>
      </c>
      <c r="D369" s="6" t="s">
        <v>59</v>
      </c>
      <c r="E369" s="14" t="n">
        <v>227.9</v>
      </c>
      <c r="F369" s="14" t="n">
        <v>1139.5</v>
      </c>
      <c r="G369" s="6" t="s">
        <v>15614</v>
      </c>
    </row>
    <row r="370" customFormat="false" ht="15" hidden="false" customHeight="true" outlineLevel="0" collapsed="false">
      <c r="A370" s="6" t="s">
        <v>15982</v>
      </c>
      <c r="B370" s="6" t="s">
        <v>442</v>
      </c>
      <c r="C370" s="6" t="s">
        <v>128</v>
      </c>
      <c r="D370" s="6" t="s">
        <v>60</v>
      </c>
      <c r="E370" s="14" t="n">
        <v>227.9</v>
      </c>
      <c r="F370" s="14" t="n">
        <v>1367.4</v>
      </c>
      <c r="G370" s="6" t="s">
        <v>15614</v>
      </c>
    </row>
    <row r="371" customFormat="false" ht="15" hidden="false" customHeight="true" outlineLevel="0" collapsed="false">
      <c r="A371" s="6" t="s">
        <v>15983</v>
      </c>
      <c r="B371" s="6" t="s">
        <v>444</v>
      </c>
      <c r="C371" s="6" t="s">
        <v>116</v>
      </c>
      <c r="D371" s="6" t="s">
        <v>11</v>
      </c>
      <c r="E371" s="14" t="n">
        <v>431.2</v>
      </c>
      <c r="F371" s="14" t="n">
        <v>431.2</v>
      </c>
      <c r="G371" s="6" t="s">
        <v>15614</v>
      </c>
    </row>
    <row r="372" customFormat="false" ht="15" hidden="false" customHeight="true" outlineLevel="0" collapsed="false">
      <c r="A372" s="6" t="s">
        <v>15984</v>
      </c>
      <c r="B372" s="6" t="s">
        <v>444</v>
      </c>
      <c r="C372" s="6" t="s">
        <v>116</v>
      </c>
      <c r="D372" s="6" t="s">
        <v>12</v>
      </c>
      <c r="E372" s="14" t="n">
        <v>431.2</v>
      </c>
      <c r="F372" s="14" t="n">
        <v>862.4</v>
      </c>
      <c r="G372" s="6" t="s">
        <v>15614</v>
      </c>
    </row>
    <row r="373" customFormat="false" ht="15" hidden="false" customHeight="true" outlineLevel="0" collapsed="false">
      <c r="A373" s="6" t="s">
        <v>15985</v>
      </c>
      <c r="B373" s="6" t="s">
        <v>446</v>
      </c>
      <c r="C373" s="6" t="s">
        <v>124</v>
      </c>
      <c r="D373" s="6" t="s">
        <v>54</v>
      </c>
      <c r="E373" s="14" t="n">
        <v>871.56</v>
      </c>
      <c r="F373" s="14" t="n">
        <v>871.56</v>
      </c>
      <c r="G373" s="6" t="s">
        <v>15614</v>
      </c>
    </row>
    <row r="374" customFormat="false" ht="15" hidden="false" customHeight="true" outlineLevel="0" collapsed="false">
      <c r="A374" s="6" t="s">
        <v>15986</v>
      </c>
      <c r="B374" s="6" t="s">
        <v>446</v>
      </c>
      <c r="C374" s="6" t="s">
        <v>124</v>
      </c>
      <c r="D374" s="6" t="s">
        <v>55</v>
      </c>
      <c r="E374" s="14" t="n">
        <v>871.56</v>
      </c>
      <c r="F374" s="14" t="n">
        <v>1743.12</v>
      </c>
      <c r="G374" s="6" t="s">
        <v>15614</v>
      </c>
    </row>
    <row r="375" customFormat="false" ht="15" hidden="false" customHeight="true" outlineLevel="0" collapsed="false">
      <c r="A375" s="6" t="s">
        <v>15987</v>
      </c>
      <c r="B375" s="6" t="s">
        <v>446</v>
      </c>
      <c r="C375" s="6" t="s">
        <v>124</v>
      </c>
      <c r="D375" s="6" t="s">
        <v>56</v>
      </c>
      <c r="E375" s="14" t="n">
        <v>871.56</v>
      </c>
      <c r="F375" s="14" t="n">
        <v>2614.68</v>
      </c>
      <c r="G375" s="6" t="s">
        <v>15614</v>
      </c>
    </row>
    <row r="376" customFormat="false" ht="15" hidden="false" customHeight="true" outlineLevel="0" collapsed="false">
      <c r="A376" s="6" t="s">
        <v>15988</v>
      </c>
      <c r="B376" s="6" t="s">
        <v>446</v>
      </c>
      <c r="C376" s="6" t="s">
        <v>124</v>
      </c>
      <c r="D376" s="6" t="s">
        <v>57</v>
      </c>
      <c r="E376" s="14" t="n">
        <v>871.56</v>
      </c>
      <c r="F376" s="14" t="n">
        <v>3486.24</v>
      </c>
      <c r="G376" s="6" t="s">
        <v>15614</v>
      </c>
    </row>
    <row r="377" customFormat="false" ht="15" hidden="false" customHeight="true" outlineLevel="0" collapsed="false">
      <c r="A377" s="6" t="s">
        <v>15989</v>
      </c>
      <c r="B377" s="6" t="s">
        <v>446</v>
      </c>
      <c r="C377" s="6" t="s">
        <v>124</v>
      </c>
      <c r="D377" s="6" t="s">
        <v>58</v>
      </c>
      <c r="E377" s="14" t="n">
        <v>871.56</v>
      </c>
      <c r="F377" s="14" t="n">
        <v>4357.8</v>
      </c>
      <c r="G377" s="6" t="s">
        <v>15614</v>
      </c>
    </row>
    <row r="378" customFormat="false" ht="15" hidden="false" customHeight="true" outlineLevel="0" collapsed="false">
      <c r="A378" s="6" t="s">
        <v>15990</v>
      </c>
      <c r="B378" s="6" t="s">
        <v>446</v>
      </c>
      <c r="C378" s="6" t="s">
        <v>124</v>
      </c>
      <c r="D378" s="6" t="s">
        <v>59</v>
      </c>
      <c r="E378" s="14" t="n">
        <v>871.56</v>
      </c>
      <c r="F378" s="14" t="n">
        <v>5229.36</v>
      </c>
      <c r="G378" s="6" t="s">
        <v>15614</v>
      </c>
    </row>
    <row r="379" customFormat="false" ht="15" hidden="false" customHeight="true" outlineLevel="0" collapsed="false">
      <c r="A379" s="6" t="s">
        <v>15991</v>
      </c>
      <c r="B379" s="6" t="s">
        <v>446</v>
      </c>
      <c r="C379" s="6" t="s">
        <v>124</v>
      </c>
      <c r="D379" s="6" t="s">
        <v>60</v>
      </c>
      <c r="E379" s="14" t="n">
        <v>871.56</v>
      </c>
      <c r="F379" s="14" t="n">
        <v>6100.92</v>
      </c>
      <c r="G379" s="6" t="s">
        <v>15614</v>
      </c>
    </row>
    <row r="380" customFormat="false" ht="15" hidden="false" customHeight="true" outlineLevel="0" collapsed="false">
      <c r="A380" s="6" t="s">
        <v>15992</v>
      </c>
      <c r="B380" s="6" t="s">
        <v>448</v>
      </c>
      <c r="C380" s="6" t="s">
        <v>120</v>
      </c>
      <c r="D380" s="6" t="s">
        <v>25</v>
      </c>
      <c r="E380" s="14" t="n">
        <v>7523.64</v>
      </c>
      <c r="F380" s="14" t="n">
        <v>7523.64</v>
      </c>
      <c r="G380" s="6" t="s">
        <v>15614</v>
      </c>
    </row>
    <row r="381" customFormat="false" ht="15" hidden="false" customHeight="true" outlineLevel="0" collapsed="false">
      <c r="A381" s="6" t="s">
        <v>15993</v>
      </c>
      <c r="B381" s="6" t="s">
        <v>448</v>
      </c>
      <c r="C381" s="6" t="s">
        <v>120</v>
      </c>
      <c r="D381" s="6" t="s">
        <v>26</v>
      </c>
      <c r="E381" s="14" t="n">
        <v>7523.64</v>
      </c>
      <c r="F381" s="14" t="n">
        <v>15047.28</v>
      </c>
      <c r="G381" s="6" t="s">
        <v>15614</v>
      </c>
    </row>
    <row r="382" customFormat="false" ht="15" hidden="false" customHeight="true" outlineLevel="0" collapsed="false">
      <c r="A382" s="6" t="s">
        <v>15994</v>
      </c>
      <c r="B382" s="6" t="s">
        <v>448</v>
      </c>
      <c r="C382" s="6" t="s">
        <v>120</v>
      </c>
      <c r="D382" s="6" t="s">
        <v>27</v>
      </c>
      <c r="E382" s="14" t="n">
        <v>7523.64</v>
      </c>
      <c r="F382" s="14" t="n">
        <v>22570.92</v>
      </c>
      <c r="G382" s="6" t="s">
        <v>15614</v>
      </c>
    </row>
    <row r="383" customFormat="false" ht="15" hidden="false" customHeight="true" outlineLevel="0" collapsed="false">
      <c r="A383" s="6" t="s">
        <v>15995</v>
      </c>
      <c r="B383" s="6" t="s">
        <v>448</v>
      </c>
      <c r="C383" s="6" t="s">
        <v>120</v>
      </c>
      <c r="D383" s="6" t="s">
        <v>28</v>
      </c>
      <c r="E383" s="14" t="n">
        <v>7523.64</v>
      </c>
      <c r="F383" s="14" t="n">
        <v>30094.56</v>
      </c>
      <c r="G383" s="6" t="s">
        <v>15614</v>
      </c>
    </row>
    <row r="384" customFormat="false" ht="15" hidden="false" customHeight="true" outlineLevel="0" collapsed="false">
      <c r="A384" s="6" t="s">
        <v>15996</v>
      </c>
      <c r="B384" s="6" t="s">
        <v>450</v>
      </c>
      <c r="C384" s="6" t="s">
        <v>128</v>
      </c>
      <c r="D384" s="6" t="s">
        <v>63</v>
      </c>
      <c r="E384" s="14" t="n">
        <v>5017.1</v>
      </c>
      <c r="F384" s="14" t="n">
        <v>5017.1</v>
      </c>
      <c r="G384" s="6" t="s">
        <v>15614</v>
      </c>
    </row>
    <row r="385" customFormat="false" ht="15" hidden="false" customHeight="true" outlineLevel="0" collapsed="false">
      <c r="A385" s="6" t="s">
        <v>15997</v>
      </c>
      <c r="B385" s="6" t="s">
        <v>450</v>
      </c>
      <c r="C385" s="6" t="s">
        <v>128</v>
      </c>
      <c r="D385" s="6" t="s">
        <v>64</v>
      </c>
      <c r="E385" s="14" t="n">
        <v>5017.1</v>
      </c>
      <c r="F385" s="14" t="n">
        <v>10034.2</v>
      </c>
      <c r="G385" s="6" t="s">
        <v>15614</v>
      </c>
    </row>
    <row r="386" customFormat="false" ht="15" hidden="false" customHeight="true" outlineLevel="0" collapsed="false">
      <c r="A386" s="6" t="s">
        <v>15998</v>
      </c>
      <c r="B386" s="6" t="s">
        <v>452</v>
      </c>
      <c r="C386" s="6" t="s">
        <v>128</v>
      </c>
      <c r="D386" s="6" t="s">
        <v>58</v>
      </c>
      <c r="E386" s="14" t="n">
        <v>424.53</v>
      </c>
      <c r="F386" s="14" t="n">
        <v>424.53</v>
      </c>
      <c r="G386" s="6" t="s">
        <v>15614</v>
      </c>
    </row>
    <row r="387" customFormat="false" ht="15" hidden="false" customHeight="true" outlineLevel="0" collapsed="false">
      <c r="A387" s="6" t="s">
        <v>15999</v>
      </c>
      <c r="B387" s="6" t="s">
        <v>454</v>
      </c>
      <c r="C387" s="6" t="s">
        <v>128</v>
      </c>
      <c r="D387" s="6" t="s">
        <v>47</v>
      </c>
      <c r="E387" s="14" t="n">
        <v>2365.59</v>
      </c>
      <c r="F387" s="14" t="n">
        <v>2365.59</v>
      </c>
      <c r="G387" s="6" t="s">
        <v>15614</v>
      </c>
    </row>
    <row r="388" customFormat="false" ht="15" hidden="false" customHeight="true" outlineLevel="0" collapsed="false">
      <c r="A388" s="6" t="s">
        <v>16000</v>
      </c>
      <c r="B388" s="6" t="s">
        <v>454</v>
      </c>
      <c r="C388" s="6" t="s">
        <v>128</v>
      </c>
      <c r="D388" s="6" t="s">
        <v>48</v>
      </c>
      <c r="E388" s="14" t="n">
        <v>2365.59</v>
      </c>
      <c r="F388" s="14" t="n">
        <v>4731.18</v>
      </c>
      <c r="G388" s="6" t="s">
        <v>15614</v>
      </c>
    </row>
    <row r="389" customFormat="false" ht="15" hidden="false" customHeight="true" outlineLevel="0" collapsed="false">
      <c r="A389" s="6" t="s">
        <v>16001</v>
      </c>
      <c r="B389" s="6" t="s">
        <v>456</v>
      </c>
      <c r="C389" s="6" t="s">
        <v>120</v>
      </c>
      <c r="D389" s="6" t="s">
        <v>37</v>
      </c>
      <c r="E389" s="14" t="n">
        <v>1491.87</v>
      </c>
      <c r="F389" s="14" t="n">
        <v>1491.87</v>
      </c>
      <c r="G389" s="6" t="s">
        <v>15614</v>
      </c>
    </row>
    <row r="390" customFormat="false" ht="15" hidden="false" customHeight="true" outlineLevel="0" collapsed="false">
      <c r="A390" s="6" t="s">
        <v>16002</v>
      </c>
      <c r="B390" s="6" t="s">
        <v>456</v>
      </c>
      <c r="C390" s="6" t="s">
        <v>120</v>
      </c>
      <c r="D390" s="6" t="s">
        <v>38</v>
      </c>
      <c r="E390" s="14" t="n">
        <v>1491.87</v>
      </c>
      <c r="F390" s="14" t="n">
        <v>2983.74</v>
      </c>
      <c r="G390" s="6" t="s">
        <v>15614</v>
      </c>
    </row>
    <row r="391" customFormat="false" ht="15" hidden="false" customHeight="true" outlineLevel="0" collapsed="false">
      <c r="A391" s="6" t="s">
        <v>16003</v>
      </c>
      <c r="B391" s="6" t="s">
        <v>456</v>
      </c>
      <c r="C391" s="6" t="s">
        <v>120</v>
      </c>
      <c r="D391" s="6" t="s">
        <v>39</v>
      </c>
      <c r="E391" s="14" t="n">
        <v>1491.87</v>
      </c>
      <c r="F391" s="14" t="n">
        <v>4475.61</v>
      </c>
      <c r="G391" s="6" t="s">
        <v>15614</v>
      </c>
    </row>
    <row r="392" customFormat="false" ht="15" hidden="false" customHeight="true" outlineLevel="0" collapsed="false">
      <c r="A392" s="6" t="s">
        <v>16004</v>
      </c>
      <c r="B392" s="6" t="s">
        <v>456</v>
      </c>
      <c r="C392" s="6" t="s">
        <v>120</v>
      </c>
      <c r="D392" s="6" t="s">
        <v>40</v>
      </c>
      <c r="E392" s="14" t="n">
        <v>1491.87</v>
      </c>
      <c r="F392" s="14" t="n">
        <v>5967.48</v>
      </c>
      <c r="G392" s="6" t="s">
        <v>15614</v>
      </c>
    </row>
    <row r="393" customFormat="false" ht="15" hidden="false" customHeight="true" outlineLevel="0" collapsed="false">
      <c r="A393" s="6" t="s">
        <v>16005</v>
      </c>
      <c r="B393" s="6" t="s">
        <v>458</v>
      </c>
      <c r="C393" s="6" t="s">
        <v>128</v>
      </c>
      <c r="D393" s="6" t="s">
        <v>63</v>
      </c>
      <c r="E393" s="14" t="n">
        <v>1259.72</v>
      </c>
      <c r="F393" s="14" t="n">
        <v>1259.72</v>
      </c>
      <c r="G393" s="6" t="s">
        <v>15614</v>
      </c>
    </row>
    <row r="394" customFormat="false" ht="15" hidden="false" customHeight="true" outlineLevel="0" collapsed="false">
      <c r="A394" s="6" t="s">
        <v>16006</v>
      </c>
      <c r="B394" s="6" t="s">
        <v>458</v>
      </c>
      <c r="C394" s="6" t="s">
        <v>128</v>
      </c>
      <c r="D394" s="6" t="s">
        <v>64</v>
      </c>
      <c r="E394" s="14" t="n">
        <v>1259.72</v>
      </c>
      <c r="F394" s="14" t="n">
        <v>2519.44</v>
      </c>
      <c r="G394" s="6" t="s">
        <v>15614</v>
      </c>
    </row>
    <row r="395" customFormat="false" ht="15" hidden="false" customHeight="true" outlineLevel="0" collapsed="false">
      <c r="A395" s="6" t="s">
        <v>16007</v>
      </c>
      <c r="B395" s="6" t="s">
        <v>460</v>
      </c>
      <c r="C395" s="6" t="s">
        <v>116</v>
      </c>
      <c r="D395" s="6" t="s">
        <v>18</v>
      </c>
      <c r="E395" s="14" t="n">
        <v>653.59</v>
      </c>
      <c r="F395" s="14" t="n">
        <v>653.59</v>
      </c>
      <c r="G395" s="6" t="s">
        <v>15614</v>
      </c>
    </row>
    <row r="396" customFormat="false" ht="15" hidden="false" customHeight="true" outlineLevel="0" collapsed="false">
      <c r="A396" s="6" t="s">
        <v>16008</v>
      </c>
      <c r="B396" s="6" t="s">
        <v>460</v>
      </c>
      <c r="C396" s="6" t="s">
        <v>116</v>
      </c>
      <c r="D396" s="6" t="s">
        <v>19</v>
      </c>
      <c r="E396" s="14" t="n">
        <v>653.59</v>
      </c>
      <c r="F396" s="14" t="n">
        <v>1307.18</v>
      </c>
      <c r="G396" s="6" t="s">
        <v>15614</v>
      </c>
    </row>
    <row r="397" customFormat="false" ht="15" hidden="false" customHeight="true" outlineLevel="0" collapsed="false">
      <c r="A397" s="6" t="s">
        <v>16009</v>
      </c>
      <c r="B397" s="6" t="s">
        <v>460</v>
      </c>
      <c r="C397" s="6" t="s">
        <v>116</v>
      </c>
      <c r="D397" s="6" t="s">
        <v>20</v>
      </c>
      <c r="E397" s="14" t="n">
        <v>653.59</v>
      </c>
      <c r="F397" s="14" t="n">
        <v>1960.77</v>
      </c>
      <c r="G397" s="6" t="s">
        <v>15614</v>
      </c>
    </row>
    <row r="398" customFormat="false" ht="15" hidden="false" customHeight="true" outlineLevel="0" collapsed="false">
      <c r="A398" s="6" t="s">
        <v>16010</v>
      </c>
      <c r="B398" s="6" t="s">
        <v>462</v>
      </c>
      <c r="C398" s="6" t="s">
        <v>131</v>
      </c>
      <c r="D398" s="6" t="s">
        <v>61</v>
      </c>
      <c r="E398" s="14" t="n">
        <v>2814.28</v>
      </c>
      <c r="F398" s="14" t="n">
        <v>2814.28</v>
      </c>
      <c r="G398" s="6" t="s">
        <v>15614</v>
      </c>
    </row>
    <row r="399" customFormat="false" ht="15" hidden="false" customHeight="true" outlineLevel="0" collapsed="false">
      <c r="A399" s="6" t="s">
        <v>16011</v>
      </c>
      <c r="B399" s="6" t="s">
        <v>462</v>
      </c>
      <c r="C399" s="6" t="s">
        <v>131</v>
      </c>
      <c r="D399" s="6" t="s">
        <v>62</v>
      </c>
      <c r="E399" s="14" t="n">
        <v>2814.28</v>
      </c>
      <c r="F399" s="14" t="n">
        <v>5628.56</v>
      </c>
      <c r="G399" s="6" t="s">
        <v>15614</v>
      </c>
    </row>
    <row r="400" customFormat="false" ht="15" hidden="false" customHeight="true" outlineLevel="0" collapsed="false">
      <c r="A400" s="6" t="s">
        <v>16012</v>
      </c>
      <c r="B400" s="6" t="s">
        <v>462</v>
      </c>
      <c r="C400" s="6" t="s">
        <v>131</v>
      </c>
      <c r="D400" s="6" t="s">
        <v>63</v>
      </c>
      <c r="E400" s="14" t="n">
        <v>2814.28</v>
      </c>
      <c r="F400" s="14" t="n">
        <v>8442.84</v>
      </c>
      <c r="G400" s="6" t="s">
        <v>15614</v>
      </c>
    </row>
    <row r="401" customFormat="false" ht="15" hidden="false" customHeight="true" outlineLevel="0" collapsed="false">
      <c r="A401" s="6" t="s">
        <v>16013</v>
      </c>
      <c r="B401" s="6" t="s">
        <v>464</v>
      </c>
      <c r="C401" s="6" t="s">
        <v>128</v>
      </c>
      <c r="D401" s="6" t="s">
        <v>25</v>
      </c>
      <c r="E401" s="14" t="n">
        <v>2024.69</v>
      </c>
      <c r="F401" s="14" t="n">
        <v>2024.69</v>
      </c>
      <c r="G401" s="6" t="s">
        <v>15614</v>
      </c>
    </row>
    <row r="402" customFormat="false" ht="15" hidden="false" customHeight="true" outlineLevel="0" collapsed="false">
      <c r="A402" s="6" t="s">
        <v>16014</v>
      </c>
      <c r="B402" s="6" t="s">
        <v>466</v>
      </c>
      <c r="C402" s="6" t="s">
        <v>112</v>
      </c>
      <c r="D402" s="6" t="s">
        <v>25</v>
      </c>
      <c r="E402" s="14" t="n">
        <v>2166.11</v>
      </c>
      <c r="F402" s="14" t="n">
        <v>2166.11</v>
      </c>
      <c r="G402" s="6" t="s">
        <v>15614</v>
      </c>
    </row>
    <row r="403" customFormat="false" ht="15" hidden="false" customHeight="true" outlineLevel="0" collapsed="false">
      <c r="A403" s="6" t="s">
        <v>16015</v>
      </c>
      <c r="B403" s="6" t="s">
        <v>466</v>
      </c>
      <c r="C403" s="6" t="s">
        <v>112</v>
      </c>
      <c r="D403" s="6" t="s">
        <v>26</v>
      </c>
      <c r="E403" s="14" t="n">
        <v>2166.11</v>
      </c>
      <c r="F403" s="14" t="n">
        <v>4332.22</v>
      </c>
      <c r="G403" s="6" t="s">
        <v>15614</v>
      </c>
    </row>
    <row r="404" customFormat="false" ht="15" hidden="false" customHeight="true" outlineLevel="0" collapsed="false">
      <c r="A404" s="6" t="s">
        <v>16016</v>
      </c>
      <c r="B404" s="6" t="s">
        <v>466</v>
      </c>
      <c r="C404" s="6" t="s">
        <v>112</v>
      </c>
      <c r="D404" s="6" t="s">
        <v>27</v>
      </c>
      <c r="E404" s="14" t="n">
        <v>2166.11</v>
      </c>
      <c r="F404" s="14" t="n">
        <v>6498.33</v>
      </c>
      <c r="G404" s="6" t="s">
        <v>15614</v>
      </c>
    </row>
    <row r="405" customFormat="false" ht="15" hidden="false" customHeight="true" outlineLevel="0" collapsed="false">
      <c r="A405" s="6" t="s">
        <v>16017</v>
      </c>
      <c r="B405" s="6" t="s">
        <v>466</v>
      </c>
      <c r="C405" s="6" t="s">
        <v>112</v>
      </c>
      <c r="D405" s="6" t="s">
        <v>28</v>
      </c>
      <c r="E405" s="14" t="n">
        <v>2166.11</v>
      </c>
      <c r="F405" s="14" t="n">
        <v>8664.44</v>
      </c>
      <c r="G405" s="6" t="s">
        <v>15614</v>
      </c>
    </row>
    <row r="406" customFormat="false" ht="15" hidden="false" customHeight="true" outlineLevel="0" collapsed="false">
      <c r="A406" s="6" t="s">
        <v>16018</v>
      </c>
      <c r="B406" s="6" t="s">
        <v>466</v>
      </c>
      <c r="C406" s="6" t="s">
        <v>112</v>
      </c>
      <c r="D406" s="6" t="s">
        <v>29</v>
      </c>
      <c r="E406" s="14" t="n">
        <v>2166.11</v>
      </c>
      <c r="F406" s="14" t="n">
        <v>10830.55</v>
      </c>
      <c r="G406" s="6" t="s">
        <v>15614</v>
      </c>
    </row>
    <row r="407" customFormat="false" ht="15" hidden="false" customHeight="true" outlineLevel="0" collapsed="false">
      <c r="A407" s="6" t="s">
        <v>16019</v>
      </c>
      <c r="B407" s="6" t="s">
        <v>466</v>
      </c>
      <c r="C407" s="6" t="s">
        <v>112</v>
      </c>
      <c r="D407" s="6" t="s">
        <v>30</v>
      </c>
      <c r="E407" s="14" t="n">
        <v>2166.11</v>
      </c>
      <c r="F407" s="14" t="n">
        <v>12996.66</v>
      </c>
      <c r="G407" s="6" t="s">
        <v>15614</v>
      </c>
    </row>
    <row r="408" customFormat="false" ht="15" hidden="false" customHeight="true" outlineLevel="0" collapsed="false">
      <c r="A408" s="6" t="s">
        <v>16020</v>
      </c>
      <c r="B408" s="6" t="s">
        <v>466</v>
      </c>
      <c r="C408" s="6" t="s">
        <v>112</v>
      </c>
      <c r="D408" s="6" t="s">
        <v>31</v>
      </c>
      <c r="E408" s="14" t="n">
        <v>2166.11</v>
      </c>
      <c r="F408" s="14" t="n">
        <v>15162.77</v>
      </c>
      <c r="G408" s="6" t="s">
        <v>15614</v>
      </c>
    </row>
    <row r="409" customFormat="false" ht="15" hidden="false" customHeight="true" outlineLevel="0" collapsed="false">
      <c r="A409" s="6" t="s">
        <v>16021</v>
      </c>
      <c r="B409" s="6" t="s">
        <v>466</v>
      </c>
      <c r="C409" s="6" t="s">
        <v>112</v>
      </c>
      <c r="D409" s="6" t="s">
        <v>32</v>
      </c>
      <c r="E409" s="14" t="n">
        <v>2166.11</v>
      </c>
      <c r="F409" s="14" t="n">
        <v>17328.88</v>
      </c>
      <c r="G409" s="6" t="s">
        <v>15614</v>
      </c>
    </row>
    <row r="410" customFormat="false" ht="15" hidden="false" customHeight="true" outlineLevel="0" collapsed="false">
      <c r="A410" s="6" t="s">
        <v>16022</v>
      </c>
      <c r="B410" s="6" t="s">
        <v>468</v>
      </c>
      <c r="C410" s="6" t="s">
        <v>112</v>
      </c>
      <c r="D410" s="6" t="s">
        <v>28</v>
      </c>
      <c r="E410" s="14" t="n">
        <v>1109.05</v>
      </c>
      <c r="F410" s="14" t="n">
        <v>1109.05</v>
      </c>
      <c r="G410" s="6" t="s">
        <v>15614</v>
      </c>
    </row>
    <row r="411" customFormat="false" ht="15" hidden="false" customHeight="true" outlineLevel="0" collapsed="false">
      <c r="A411" s="6" t="s">
        <v>16023</v>
      </c>
      <c r="B411" s="6" t="s">
        <v>468</v>
      </c>
      <c r="C411" s="6" t="s">
        <v>112</v>
      </c>
      <c r="D411" s="6" t="s">
        <v>29</v>
      </c>
      <c r="E411" s="14" t="n">
        <v>1109.05</v>
      </c>
      <c r="F411" s="14" t="n">
        <v>2218.1</v>
      </c>
      <c r="G411" s="6" t="s">
        <v>15614</v>
      </c>
    </row>
    <row r="412" customFormat="false" ht="15" hidden="false" customHeight="true" outlineLevel="0" collapsed="false">
      <c r="A412" s="6" t="s">
        <v>16024</v>
      </c>
      <c r="B412" s="6" t="s">
        <v>470</v>
      </c>
      <c r="C412" s="6" t="s">
        <v>124</v>
      </c>
      <c r="D412" s="6" t="s">
        <v>38</v>
      </c>
      <c r="E412" s="14" t="n">
        <v>2784.12</v>
      </c>
      <c r="F412" s="14" t="n">
        <v>2784.12</v>
      </c>
      <c r="G412" s="6" t="s">
        <v>15614</v>
      </c>
    </row>
    <row r="413" customFormat="false" ht="15" hidden="false" customHeight="true" outlineLevel="0" collapsed="false">
      <c r="A413" s="6" t="s">
        <v>16025</v>
      </c>
      <c r="B413" s="6" t="s">
        <v>470</v>
      </c>
      <c r="C413" s="6" t="s">
        <v>124</v>
      </c>
      <c r="D413" s="6" t="s">
        <v>39</v>
      </c>
      <c r="E413" s="14" t="n">
        <v>2784.12</v>
      </c>
      <c r="F413" s="14" t="n">
        <v>5568.24</v>
      </c>
      <c r="G413" s="6" t="s">
        <v>15614</v>
      </c>
    </row>
    <row r="414" customFormat="false" ht="15" hidden="false" customHeight="true" outlineLevel="0" collapsed="false">
      <c r="A414" s="6" t="s">
        <v>16026</v>
      </c>
      <c r="B414" s="6" t="s">
        <v>470</v>
      </c>
      <c r="C414" s="6" t="s">
        <v>124</v>
      </c>
      <c r="D414" s="6" t="s">
        <v>40</v>
      </c>
      <c r="E414" s="14" t="n">
        <v>2784.12</v>
      </c>
      <c r="F414" s="14" t="n">
        <v>8352.36</v>
      </c>
      <c r="G414" s="6" t="s">
        <v>15614</v>
      </c>
    </row>
    <row r="415" customFormat="false" ht="15" hidden="false" customHeight="true" outlineLevel="0" collapsed="false">
      <c r="A415" s="6" t="s">
        <v>16027</v>
      </c>
      <c r="B415" s="6" t="s">
        <v>470</v>
      </c>
      <c r="C415" s="6" t="s">
        <v>124</v>
      </c>
      <c r="D415" s="6" t="s">
        <v>41</v>
      </c>
      <c r="E415" s="14" t="n">
        <v>2784.12</v>
      </c>
      <c r="F415" s="14" t="n">
        <v>11136.48</v>
      </c>
      <c r="G415" s="6" t="s">
        <v>15614</v>
      </c>
    </row>
    <row r="416" customFormat="false" ht="15" hidden="false" customHeight="true" outlineLevel="0" collapsed="false">
      <c r="A416" s="6" t="s">
        <v>16028</v>
      </c>
      <c r="B416" s="6" t="s">
        <v>472</v>
      </c>
      <c r="C416" s="6" t="s">
        <v>112</v>
      </c>
      <c r="D416" s="6" t="s">
        <v>19</v>
      </c>
      <c r="E416" s="14" t="n">
        <v>1968.62</v>
      </c>
      <c r="F416" s="14" t="n">
        <v>1968.62</v>
      </c>
      <c r="G416" s="6" t="s">
        <v>15614</v>
      </c>
    </row>
    <row r="417" customFormat="false" ht="15" hidden="false" customHeight="true" outlineLevel="0" collapsed="false">
      <c r="A417" s="6" t="s">
        <v>16029</v>
      </c>
      <c r="B417" s="6" t="s">
        <v>472</v>
      </c>
      <c r="C417" s="6" t="s">
        <v>112</v>
      </c>
      <c r="D417" s="6" t="s">
        <v>20</v>
      </c>
      <c r="E417" s="14" t="n">
        <v>1968.62</v>
      </c>
      <c r="F417" s="14" t="n">
        <v>3937.24</v>
      </c>
      <c r="G417" s="6" t="s">
        <v>15614</v>
      </c>
    </row>
    <row r="418" customFormat="false" ht="15" hidden="false" customHeight="true" outlineLevel="0" collapsed="false">
      <c r="A418" s="6" t="s">
        <v>16030</v>
      </c>
      <c r="B418" s="6" t="s">
        <v>474</v>
      </c>
      <c r="C418" s="6" t="s">
        <v>131</v>
      </c>
      <c r="D418" s="6" t="s">
        <v>47</v>
      </c>
      <c r="E418" s="14" t="n">
        <v>1709.44</v>
      </c>
      <c r="F418" s="14" t="n">
        <v>1709.44</v>
      </c>
      <c r="G418" s="6" t="s">
        <v>15614</v>
      </c>
    </row>
    <row r="419" customFormat="false" ht="15" hidden="false" customHeight="true" outlineLevel="0" collapsed="false">
      <c r="A419" s="6" t="s">
        <v>16031</v>
      </c>
      <c r="B419" s="6" t="s">
        <v>474</v>
      </c>
      <c r="C419" s="6" t="s">
        <v>131</v>
      </c>
      <c r="D419" s="6" t="s">
        <v>48</v>
      </c>
      <c r="E419" s="14" t="n">
        <v>1709.44</v>
      </c>
      <c r="F419" s="14" t="n">
        <v>3418.88</v>
      </c>
      <c r="G419" s="6" t="s">
        <v>15614</v>
      </c>
    </row>
    <row r="420" customFormat="false" ht="15" hidden="false" customHeight="true" outlineLevel="0" collapsed="false">
      <c r="A420" s="6" t="s">
        <v>16032</v>
      </c>
      <c r="B420" s="6" t="s">
        <v>474</v>
      </c>
      <c r="C420" s="6" t="s">
        <v>131</v>
      </c>
      <c r="D420" s="6" t="s">
        <v>49</v>
      </c>
      <c r="E420" s="14" t="n">
        <v>1709.44</v>
      </c>
      <c r="F420" s="14" t="n">
        <v>5128.32</v>
      </c>
      <c r="G420" s="6" t="s">
        <v>15614</v>
      </c>
    </row>
    <row r="421" customFormat="false" ht="15" hidden="false" customHeight="true" outlineLevel="0" collapsed="false">
      <c r="A421" s="6" t="s">
        <v>16033</v>
      </c>
      <c r="B421" s="6" t="s">
        <v>474</v>
      </c>
      <c r="C421" s="6" t="s">
        <v>131</v>
      </c>
      <c r="D421" s="6" t="s">
        <v>50</v>
      </c>
      <c r="E421" s="14" t="n">
        <v>1709.44</v>
      </c>
      <c r="F421" s="14" t="n">
        <v>6837.76</v>
      </c>
      <c r="G421" s="6" t="s">
        <v>15614</v>
      </c>
    </row>
    <row r="422" customFormat="false" ht="15" hidden="false" customHeight="true" outlineLevel="0" collapsed="false">
      <c r="A422" s="6" t="s">
        <v>16034</v>
      </c>
      <c r="B422" s="6" t="s">
        <v>476</v>
      </c>
      <c r="C422" s="6" t="s">
        <v>131</v>
      </c>
      <c r="D422" s="6" t="s">
        <v>15</v>
      </c>
      <c r="E422" s="14" t="n">
        <v>3970.12</v>
      </c>
      <c r="F422" s="14" t="n">
        <v>3970.12</v>
      </c>
      <c r="G422" s="6" t="s">
        <v>15614</v>
      </c>
    </row>
    <row r="423" customFormat="false" ht="15" hidden="false" customHeight="true" outlineLevel="0" collapsed="false">
      <c r="A423" s="6" t="s">
        <v>16035</v>
      </c>
      <c r="B423" s="6" t="s">
        <v>476</v>
      </c>
      <c r="C423" s="6" t="s">
        <v>131</v>
      </c>
      <c r="D423" s="6" t="s">
        <v>16</v>
      </c>
      <c r="E423" s="14" t="n">
        <v>3970.12</v>
      </c>
      <c r="F423" s="14" t="n">
        <v>7940.24</v>
      </c>
      <c r="G423" s="6" t="s">
        <v>15614</v>
      </c>
    </row>
    <row r="424" customFormat="false" ht="15" hidden="false" customHeight="true" outlineLevel="0" collapsed="false">
      <c r="A424" s="6" t="s">
        <v>16036</v>
      </c>
      <c r="B424" s="6" t="s">
        <v>476</v>
      </c>
      <c r="C424" s="6" t="s">
        <v>131</v>
      </c>
      <c r="D424" s="6" t="s">
        <v>17</v>
      </c>
      <c r="E424" s="14" t="n">
        <v>3970.12</v>
      </c>
      <c r="F424" s="14" t="n">
        <v>11910.36</v>
      </c>
      <c r="G424" s="6" t="s">
        <v>15614</v>
      </c>
    </row>
    <row r="425" customFormat="false" ht="15" hidden="false" customHeight="true" outlineLevel="0" collapsed="false">
      <c r="A425" s="6" t="s">
        <v>16037</v>
      </c>
      <c r="B425" s="6" t="s">
        <v>478</v>
      </c>
      <c r="C425" s="6" t="s">
        <v>112</v>
      </c>
      <c r="D425" s="6" t="s">
        <v>36</v>
      </c>
      <c r="E425" s="14" t="n">
        <v>1569.39</v>
      </c>
      <c r="F425" s="14" t="n">
        <v>1569.39</v>
      </c>
      <c r="G425" s="6" t="s">
        <v>15614</v>
      </c>
    </row>
    <row r="426" customFormat="false" ht="15" hidden="false" customHeight="true" outlineLevel="0" collapsed="false">
      <c r="A426" s="6" t="s">
        <v>16038</v>
      </c>
      <c r="B426" s="6" t="s">
        <v>478</v>
      </c>
      <c r="C426" s="6" t="s">
        <v>112</v>
      </c>
      <c r="D426" s="6" t="s">
        <v>37</v>
      </c>
      <c r="E426" s="14" t="n">
        <v>1569.39</v>
      </c>
      <c r="F426" s="14" t="n">
        <v>3138.78</v>
      </c>
      <c r="G426" s="6" t="s">
        <v>15614</v>
      </c>
    </row>
    <row r="427" customFormat="false" ht="15" hidden="false" customHeight="true" outlineLevel="0" collapsed="false">
      <c r="A427" s="6" t="s">
        <v>16039</v>
      </c>
      <c r="B427" s="6" t="s">
        <v>480</v>
      </c>
      <c r="C427" s="6" t="s">
        <v>112</v>
      </c>
      <c r="D427" s="6" t="s">
        <v>32</v>
      </c>
      <c r="E427" s="14" t="n">
        <v>1361.26</v>
      </c>
      <c r="F427" s="14" t="n">
        <v>1361.26</v>
      </c>
      <c r="G427" s="6" t="s">
        <v>15614</v>
      </c>
    </row>
    <row r="428" customFormat="false" ht="15" hidden="false" customHeight="true" outlineLevel="0" collapsed="false">
      <c r="A428" s="6" t="s">
        <v>16040</v>
      </c>
      <c r="B428" s="6" t="s">
        <v>480</v>
      </c>
      <c r="C428" s="6" t="s">
        <v>112</v>
      </c>
      <c r="D428" s="6" t="s">
        <v>33</v>
      </c>
      <c r="E428" s="14" t="n">
        <v>1361.26</v>
      </c>
      <c r="F428" s="14" t="n">
        <v>2722.52</v>
      </c>
      <c r="G428" s="6" t="s">
        <v>15614</v>
      </c>
    </row>
    <row r="429" customFormat="false" ht="15" hidden="false" customHeight="true" outlineLevel="0" collapsed="false">
      <c r="A429" s="6" t="s">
        <v>16041</v>
      </c>
      <c r="B429" s="6" t="s">
        <v>480</v>
      </c>
      <c r="C429" s="6" t="s">
        <v>112</v>
      </c>
      <c r="D429" s="6" t="s">
        <v>34</v>
      </c>
      <c r="E429" s="14" t="n">
        <v>1361.26</v>
      </c>
      <c r="F429" s="14" t="n">
        <v>4083.78</v>
      </c>
      <c r="G429" s="6" t="s">
        <v>15614</v>
      </c>
    </row>
    <row r="430" customFormat="false" ht="15" hidden="false" customHeight="true" outlineLevel="0" collapsed="false">
      <c r="A430" s="6" t="s">
        <v>16042</v>
      </c>
      <c r="B430" s="6" t="s">
        <v>482</v>
      </c>
      <c r="C430" s="6" t="s">
        <v>112</v>
      </c>
      <c r="D430" s="6" t="s">
        <v>35</v>
      </c>
      <c r="E430" s="14" t="n">
        <v>931.91</v>
      </c>
      <c r="F430" s="14" t="n">
        <v>931.91</v>
      </c>
      <c r="G430" s="6" t="s">
        <v>15614</v>
      </c>
    </row>
    <row r="431" customFormat="false" ht="15" hidden="false" customHeight="true" outlineLevel="0" collapsed="false">
      <c r="A431" s="6" t="s">
        <v>16043</v>
      </c>
      <c r="B431" s="6" t="s">
        <v>482</v>
      </c>
      <c r="C431" s="6" t="s">
        <v>112</v>
      </c>
      <c r="D431" s="6" t="s">
        <v>36</v>
      </c>
      <c r="E431" s="14" t="n">
        <v>931.91</v>
      </c>
      <c r="F431" s="14" t="n">
        <v>1863.82</v>
      </c>
      <c r="G431" s="6" t="s">
        <v>15614</v>
      </c>
    </row>
    <row r="432" customFormat="false" ht="15" hidden="false" customHeight="true" outlineLevel="0" collapsed="false">
      <c r="A432" s="6" t="s">
        <v>16044</v>
      </c>
      <c r="B432" s="6" t="s">
        <v>482</v>
      </c>
      <c r="C432" s="6" t="s">
        <v>112</v>
      </c>
      <c r="D432" s="6" t="s">
        <v>37</v>
      </c>
      <c r="E432" s="14" t="n">
        <v>931.91</v>
      </c>
      <c r="F432" s="14" t="n">
        <v>2795.73</v>
      </c>
      <c r="G432" s="6" t="s">
        <v>15614</v>
      </c>
    </row>
    <row r="433" customFormat="false" ht="15" hidden="false" customHeight="true" outlineLevel="0" collapsed="false">
      <c r="A433" s="6" t="s">
        <v>16045</v>
      </c>
      <c r="B433" s="6" t="s">
        <v>484</v>
      </c>
      <c r="C433" s="6" t="s">
        <v>128</v>
      </c>
      <c r="D433" s="6" t="s">
        <v>52</v>
      </c>
      <c r="E433" s="14" t="n">
        <v>2463.17</v>
      </c>
      <c r="F433" s="14" t="n">
        <v>2463.17</v>
      </c>
      <c r="G433" s="6" t="s">
        <v>15614</v>
      </c>
    </row>
    <row r="434" customFormat="false" ht="15" hidden="false" customHeight="true" outlineLevel="0" collapsed="false">
      <c r="A434" s="6" t="s">
        <v>16046</v>
      </c>
      <c r="B434" s="6" t="s">
        <v>484</v>
      </c>
      <c r="C434" s="6" t="s">
        <v>128</v>
      </c>
      <c r="D434" s="6" t="s">
        <v>53</v>
      </c>
      <c r="E434" s="14" t="n">
        <v>2463.17</v>
      </c>
      <c r="F434" s="14" t="n">
        <v>4926.34</v>
      </c>
      <c r="G434" s="6" t="s">
        <v>15614</v>
      </c>
    </row>
    <row r="435" customFormat="false" ht="15" hidden="false" customHeight="true" outlineLevel="0" collapsed="false">
      <c r="A435" s="6" t="s">
        <v>16047</v>
      </c>
      <c r="B435" s="6" t="s">
        <v>484</v>
      </c>
      <c r="C435" s="6" t="s">
        <v>128</v>
      </c>
      <c r="D435" s="6" t="s">
        <v>54</v>
      </c>
      <c r="E435" s="14" t="n">
        <v>2463.17</v>
      </c>
      <c r="F435" s="14" t="n">
        <v>7389.51</v>
      </c>
      <c r="G435" s="6" t="s">
        <v>15614</v>
      </c>
    </row>
    <row r="436" customFormat="false" ht="15" hidden="false" customHeight="true" outlineLevel="0" collapsed="false">
      <c r="A436" s="6" t="s">
        <v>16048</v>
      </c>
      <c r="B436" s="6" t="s">
        <v>486</v>
      </c>
      <c r="C436" s="6" t="s">
        <v>124</v>
      </c>
      <c r="D436" s="6" t="s">
        <v>44</v>
      </c>
      <c r="E436" s="14" t="n">
        <v>2723.2</v>
      </c>
      <c r="F436" s="14" t="n">
        <v>2723.2</v>
      </c>
      <c r="G436" s="6" t="s">
        <v>15614</v>
      </c>
    </row>
    <row r="437" customFormat="false" ht="15" hidden="false" customHeight="true" outlineLevel="0" collapsed="false">
      <c r="A437" s="6" t="s">
        <v>16049</v>
      </c>
      <c r="B437" s="6" t="s">
        <v>486</v>
      </c>
      <c r="C437" s="6" t="s">
        <v>124</v>
      </c>
      <c r="D437" s="6" t="s">
        <v>45</v>
      </c>
      <c r="E437" s="14" t="n">
        <v>2723.2</v>
      </c>
      <c r="F437" s="14" t="n">
        <v>5446.4</v>
      </c>
      <c r="G437" s="6" t="s">
        <v>15614</v>
      </c>
    </row>
    <row r="438" customFormat="false" ht="15" hidden="false" customHeight="true" outlineLevel="0" collapsed="false">
      <c r="A438" s="6" t="s">
        <v>16050</v>
      </c>
      <c r="B438" s="6" t="s">
        <v>486</v>
      </c>
      <c r="C438" s="6" t="s">
        <v>124</v>
      </c>
      <c r="D438" s="6" t="s">
        <v>46</v>
      </c>
      <c r="E438" s="14" t="n">
        <v>2723.2</v>
      </c>
      <c r="F438" s="14" t="n">
        <v>8169.6</v>
      </c>
      <c r="G438" s="6" t="s">
        <v>15614</v>
      </c>
    </row>
    <row r="439" customFormat="false" ht="15" hidden="false" customHeight="true" outlineLevel="0" collapsed="false">
      <c r="A439" s="6" t="s">
        <v>16051</v>
      </c>
      <c r="B439" s="6" t="s">
        <v>486</v>
      </c>
      <c r="C439" s="6" t="s">
        <v>124</v>
      </c>
      <c r="D439" s="6" t="s">
        <v>47</v>
      </c>
      <c r="E439" s="14" t="n">
        <v>2723.2</v>
      </c>
      <c r="F439" s="14" t="n">
        <v>10892.8</v>
      </c>
      <c r="G439" s="6" t="s">
        <v>15614</v>
      </c>
    </row>
    <row r="440" customFormat="false" ht="15" hidden="false" customHeight="true" outlineLevel="0" collapsed="false">
      <c r="A440" s="6" t="s">
        <v>16052</v>
      </c>
      <c r="B440" s="6" t="s">
        <v>488</v>
      </c>
      <c r="C440" s="6" t="s">
        <v>124</v>
      </c>
      <c r="D440" s="6" t="s">
        <v>47</v>
      </c>
      <c r="E440" s="14" t="n">
        <v>6045.65</v>
      </c>
      <c r="F440" s="14" t="n">
        <v>6045.65</v>
      </c>
      <c r="G440" s="6" t="s">
        <v>15614</v>
      </c>
    </row>
    <row r="441" customFormat="false" ht="15" hidden="false" customHeight="true" outlineLevel="0" collapsed="false">
      <c r="A441" s="6" t="s">
        <v>16053</v>
      </c>
      <c r="B441" s="6" t="s">
        <v>488</v>
      </c>
      <c r="C441" s="6" t="s">
        <v>124</v>
      </c>
      <c r="D441" s="6" t="s">
        <v>49</v>
      </c>
      <c r="E441" s="14" t="n">
        <v>6045.65</v>
      </c>
      <c r="F441" s="14" t="n">
        <v>12091.3</v>
      </c>
      <c r="G441" s="6" t="s">
        <v>15614</v>
      </c>
    </row>
    <row r="442" customFormat="false" ht="15" hidden="false" customHeight="true" outlineLevel="0" collapsed="false">
      <c r="A442" s="6" t="s">
        <v>16054</v>
      </c>
      <c r="B442" s="6" t="s">
        <v>488</v>
      </c>
      <c r="C442" s="6" t="s">
        <v>124</v>
      </c>
      <c r="D442" s="6" t="s">
        <v>50</v>
      </c>
      <c r="E442" s="14" t="n">
        <v>6045.65</v>
      </c>
      <c r="F442" s="14" t="n">
        <v>18136.95</v>
      </c>
      <c r="G442" s="6" t="s">
        <v>15614</v>
      </c>
    </row>
    <row r="443" customFormat="false" ht="15" hidden="false" customHeight="true" outlineLevel="0" collapsed="false">
      <c r="A443" s="6" t="s">
        <v>16055</v>
      </c>
      <c r="B443" s="6" t="s">
        <v>491</v>
      </c>
      <c r="C443" s="6" t="s">
        <v>120</v>
      </c>
      <c r="D443" s="6" t="s">
        <v>17</v>
      </c>
      <c r="E443" s="14" t="n">
        <v>5473.16</v>
      </c>
      <c r="F443" s="14" t="n">
        <v>5473.16</v>
      </c>
      <c r="G443" s="6" t="s">
        <v>15614</v>
      </c>
    </row>
    <row r="444" customFormat="false" ht="15" hidden="false" customHeight="true" outlineLevel="0" collapsed="false">
      <c r="A444" s="6" t="s">
        <v>16056</v>
      </c>
      <c r="B444" s="6" t="s">
        <v>491</v>
      </c>
      <c r="C444" s="6" t="s">
        <v>120</v>
      </c>
      <c r="D444" s="6" t="s">
        <v>18</v>
      </c>
      <c r="E444" s="14" t="n">
        <v>5473.16</v>
      </c>
      <c r="F444" s="14" t="n">
        <v>10946.32</v>
      </c>
      <c r="G444" s="6" t="s">
        <v>15614</v>
      </c>
    </row>
    <row r="445" customFormat="false" ht="15" hidden="false" customHeight="true" outlineLevel="0" collapsed="false">
      <c r="A445" s="6" t="s">
        <v>16057</v>
      </c>
      <c r="B445" s="6" t="s">
        <v>491</v>
      </c>
      <c r="C445" s="6" t="s">
        <v>120</v>
      </c>
      <c r="D445" s="6" t="s">
        <v>19</v>
      </c>
      <c r="E445" s="14" t="n">
        <v>5473.16</v>
      </c>
      <c r="F445" s="14" t="n">
        <v>16419.48</v>
      </c>
      <c r="G445" s="6" t="s">
        <v>15614</v>
      </c>
    </row>
    <row r="446" customFormat="false" ht="15" hidden="false" customHeight="true" outlineLevel="0" collapsed="false">
      <c r="A446" s="6" t="s">
        <v>16058</v>
      </c>
      <c r="B446" s="6" t="s">
        <v>491</v>
      </c>
      <c r="C446" s="6" t="s">
        <v>120</v>
      </c>
      <c r="D446" s="6" t="s">
        <v>20</v>
      </c>
      <c r="E446" s="14" t="n">
        <v>5473.16</v>
      </c>
      <c r="F446" s="14" t="n">
        <v>21892.64</v>
      </c>
      <c r="G446" s="6" t="s">
        <v>15614</v>
      </c>
    </row>
    <row r="447" customFormat="false" ht="15" hidden="false" customHeight="true" outlineLevel="0" collapsed="false">
      <c r="A447" s="6" t="s">
        <v>16059</v>
      </c>
      <c r="B447" s="6" t="s">
        <v>493</v>
      </c>
      <c r="C447" s="6" t="s">
        <v>128</v>
      </c>
      <c r="D447" s="6" t="s">
        <v>37</v>
      </c>
      <c r="E447" s="14" t="n">
        <v>276.71</v>
      </c>
      <c r="F447" s="14" t="n">
        <v>276.71</v>
      </c>
      <c r="G447" s="6" t="s">
        <v>15614</v>
      </c>
    </row>
    <row r="448" customFormat="false" ht="15" hidden="false" customHeight="true" outlineLevel="0" collapsed="false">
      <c r="A448" s="6" t="s">
        <v>16060</v>
      </c>
      <c r="B448" s="6" t="s">
        <v>493</v>
      </c>
      <c r="C448" s="6" t="s">
        <v>128</v>
      </c>
      <c r="D448" s="6" t="s">
        <v>38</v>
      </c>
      <c r="E448" s="14" t="n">
        <v>276.71</v>
      </c>
      <c r="F448" s="14" t="n">
        <v>553.42</v>
      </c>
      <c r="G448" s="6" t="s">
        <v>15614</v>
      </c>
    </row>
    <row r="449" customFormat="false" ht="15" hidden="false" customHeight="true" outlineLevel="0" collapsed="false">
      <c r="A449" s="6" t="s">
        <v>16061</v>
      </c>
      <c r="B449" s="6" t="s">
        <v>495</v>
      </c>
      <c r="C449" s="6" t="s">
        <v>116</v>
      </c>
      <c r="D449" s="6" t="s">
        <v>49</v>
      </c>
      <c r="E449" s="14" t="n">
        <v>786.41</v>
      </c>
      <c r="F449" s="14" t="n">
        <v>786.41</v>
      </c>
      <c r="G449" s="6" t="s">
        <v>15614</v>
      </c>
    </row>
    <row r="450" customFormat="false" ht="15" hidden="false" customHeight="true" outlineLevel="0" collapsed="false">
      <c r="A450" s="6" t="s">
        <v>16062</v>
      </c>
      <c r="B450" s="6" t="s">
        <v>495</v>
      </c>
      <c r="C450" s="6" t="s">
        <v>116</v>
      </c>
      <c r="D450" s="6" t="s">
        <v>50</v>
      </c>
      <c r="E450" s="14" t="n">
        <v>786.41</v>
      </c>
      <c r="F450" s="14" t="n">
        <v>1572.82</v>
      </c>
      <c r="G450" s="6" t="s">
        <v>15614</v>
      </c>
    </row>
    <row r="451" customFormat="false" ht="15" hidden="false" customHeight="true" outlineLevel="0" collapsed="false">
      <c r="A451" s="6" t="s">
        <v>16063</v>
      </c>
      <c r="B451" s="6" t="s">
        <v>497</v>
      </c>
      <c r="C451" s="6" t="s">
        <v>131</v>
      </c>
      <c r="D451" s="6" t="s">
        <v>18</v>
      </c>
      <c r="E451" s="14" t="n">
        <v>1697.21</v>
      </c>
      <c r="F451" s="14" t="n">
        <v>1697.21</v>
      </c>
      <c r="G451" s="6" t="s">
        <v>15614</v>
      </c>
    </row>
    <row r="452" customFormat="false" ht="15" hidden="false" customHeight="true" outlineLevel="0" collapsed="false">
      <c r="A452" s="6" t="s">
        <v>16064</v>
      </c>
      <c r="B452" s="6" t="s">
        <v>497</v>
      </c>
      <c r="C452" s="6" t="s">
        <v>131</v>
      </c>
      <c r="D452" s="6" t="s">
        <v>19</v>
      </c>
      <c r="E452" s="14" t="n">
        <v>1697.21</v>
      </c>
      <c r="F452" s="14" t="n">
        <v>3394.42</v>
      </c>
      <c r="G452" s="6" t="s">
        <v>15614</v>
      </c>
    </row>
    <row r="453" customFormat="false" ht="15" hidden="false" customHeight="true" outlineLevel="0" collapsed="false">
      <c r="A453" s="6" t="s">
        <v>16065</v>
      </c>
      <c r="B453" s="6" t="s">
        <v>497</v>
      </c>
      <c r="C453" s="6" t="s">
        <v>131</v>
      </c>
      <c r="D453" s="6" t="s">
        <v>20</v>
      </c>
      <c r="E453" s="14" t="n">
        <v>1697.21</v>
      </c>
      <c r="F453" s="14" t="n">
        <v>5091.63</v>
      </c>
      <c r="G453" s="6" t="s">
        <v>15614</v>
      </c>
    </row>
    <row r="454" customFormat="false" ht="15" hidden="false" customHeight="true" outlineLevel="0" collapsed="false">
      <c r="A454" s="6" t="s">
        <v>16066</v>
      </c>
      <c r="B454" s="6" t="s">
        <v>497</v>
      </c>
      <c r="C454" s="6" t="s">
        <v>131</v>
      </c>
      <c r="D454" s="6" t="s">
        <v>21</v>
      </c>
      <c r="E454" s="14" t="n">
        <v>1697.21</v>
      </c>
      <c r="F454" s="14" t="n">
        <v>6788.84</v>
      </c>
      <c r="G454" s="6" t="s">
        <v>15614</v>
      </c>
    </row>
    <row r="455" customFormat="false" ht="15" hidden="false" customHeight="true" outlineLevel="0" collapsed="false">
      <c r="A455" s="6" t="s">
        <v>16067</v>
      </c>
      <c r="B455" s="6" t="s">
        <v>499</v>
      </c>
      <c r="C455" s="6" t="s">
        <v>131</v>
      </c>
      <c r="D455" s="6" t="s">
        <v>32</v>
      </c>
      <c r="E455" s="14" t="n">
        <v>2836.52</v>
      </c>
      <c r="F455" s="14" t="n">
        <v>2836.52</v>
      </c>
      <c r="G455" s="6" t="s">
        <v>15614</v>
      </c>
    </row>
    <row r="456" customFormat="false" ht="15" hidden="false" customHeight="true" outlineLevel="0" collapsed="false">
      <c r="A456" s="6" t="s">
        <v>16068</v>
      </c>
      <c r="B456" s="6" t="s">
        <v>499</v>
      </c>
      <c r="C456" s="6" t="s">
        <v>131</v>
      </c>
      <c r="D456" s="6" t="s">
        <v>33</v>
      </c>
      <c r="E456" s="14" t="n">
        <v>2836.52</v>
      </c>
      <c r="F456" s="14" t="n">
        <v>5673.04</v>
      </c>
      <c r="G456" s="6" t="s">
        <v>15614</v>
      </c>
    </row>
    <row r="457" customFormat="false" ht="15" hidden="false" customHeight="true" outlineLevel="0" collapsed="false">
      <c r="A457" s="6" t="s">
        <v>16069</v>
      </c>
      <c r="B457" s="6" t="s">
        <v>499</v>
      </c>
      <c r="C457" s="6" t="s">
        <v>131</v>
      </c>
      <c r="D457" s="6" t="s">
        <v>34</v>
      </c>
      <c r="E457" s="14" t="n">
        <v>2836.52</v>
      </c>
      <c r="F457" s="14" t="n">
        <v>8509.56</v>
      </c>
      <c r="G457" s="6" t="s">
        <v>15614</v>
      </c>
    </row>
    <row r="458" customFormat="false" ht="15" hidden="false" customHeight="true" outlineLevel="0" collapsed="false">
      <c r="A458" s="6" t="s">
        <v>16070</v>
      </c>
      <c r="B458" s="6" t="s">
        <v>499</v>
      </c>
      <c r="C458" s="6" t="s">
        <v>131</v>
      </c>
      <c r="D458" s="6" t="s">
        <v>35</v>
      </c>
      <c r="E458" s="14" t="n">
        <v>2836.52</v>
      </c>
      <c r="F458" s="14" t="n">
        <v>11346.08</v>
      </c>
      <c r="G458" s="6" t="s">
        <v>15614</v>
      </c>
    </row>
    <row r="459" customFormat="false" ht="15" hidden="false" customHeight="true" outlineLevel="0" collapsed="false">
      <c r="A459" s="6" t="s">
        <v>16071</v>
      </c>
      <c r="B459" s="6" t="s">
        <v>501</v>
      </c>
      <c r="C459" s="6" t="s">
        <v>124</v>
      </c>
      <c r="D459" s="6" t="s">
        <v>52</v>
      </c>
      <c r="E459" s="14" t="n">
        <v>4821.91</v>
      </c>
      <c r="F459" s="14" t="n">
        <v>4821.91</v>
      </c>
      <c r="G459" s="6" t="s">
        <v>15614</v>
      </c>
    </row>
    <row r="460" customFormat="false" ht="15" hidden="false" customHeight="true" outlineLevel="0" collapsed="false">
      <c r="A460" s="6" t="s">
        <v>16072</v>
      </c>
      <c r="B460" s="6" t="s">
        <v>501</v>
      </c>
      <c r="C460" s="6" t="s">
        <v>124</v>
      </c>
      <c r="D460" s="6" t="s">
        <v>53</v>
      </c>
      <c r="E460" s="14" t="n">
        <v>4821.91</v>
      </c>
      <c r="F460" s="14" t="n">
        <v>9643.82</v>
      </c>
      <c r="G460" s="6" t="s">
        <v>15614</v>
      </c>
    </row>
    <row r="461" customFormat="false" ht="15" hidden="false" customHeight="true" outlineLevel="0" collapsed="false">
      <c r="A461" s="6" t="s">
        <v>16073</v>
      </c>
      <c r="B461" s="6" t="s">
        <v>503</v>
      </c>
      <c r="C461" s="6" t="s">
        <v>124</v>
      </c>
      <c r="D461" s="6" t="s">
        <v>32</v>
      </c>
      <c r="E461" s="14" t="n">
        <v>1231.36</v>
      </c>
      <c r="F461" s="14" t="n">
        <v>1231.36</v>
      </c>
      <c r="G461" s="6" t="s">
        <v>15614</v>
      </c>
    </row>
    <row r="462" customFormat="false" ht="15" hidden="false" customHeight="true" outlineLevel="0" collapsed="false">
      <c r="A462" s="6" t="s">
        <v>16074</v>
      </c>
      <c r="B462" s="6" t="s">
        <v>503</v>
      </c>
      <c r="C462" s="6" t="s">
        <v>124</v>
      </c>
      <c r="D462" s="6" t="s">
        <v>33</v>
      </c>
      <c r="E462" s="14" t="n">
        <v>1231.36</v>
      </c>
      <c r="F462" s="14" t="n">
        <v>2462.72</v>
      </c>
      <c r="G462" s="6" t="s">
        <v>15614</v>
      </c>
    </row>
    <row r="463" customFormat="false" ht="15" hidden="false" customHeight="true" outlineLevel="0" collapsed="false">
      <c r="A463" s="6" t="s">
        <v>16075</v>
      </c>
      <c r="B463" s="6" t="s">
        <v>503</v>
      </c>
      <c r="C463" s="6" t="s">
        <v>124</v>
      </c>
      <c r="D463" s="6" t="s">
        <v>34</v>
      </c>
      <c r="E463" s="14" t="n">
        <v>1231.36</v>
      </c>
      <c r="F463" s="14" t="n">
        <v>3694.08</v>
      </c>
      <c r="G463" s="6" t="s">
        <v>15614</v>
      </c>
    </row>
    <row r="464" customFormat="false" ht="15" hidden="false" customHeight="true" outlineLevel="0" collapsed="false">
      <c r="A464" s="6" t="s">
        <v>16076</v>
      </c>
      <c r="B464" s="6" t="s">
        <v>503</v>
      </c>
      <c r="C464" s="6" t="s">
        <v>124</v>
      </c>
      <c r="D464" s="6" t="s">
        <v>35</v>
      </c>
      <c r="E464" s="14" t="n">
        <v>1231.36</v>
      </c>
      <c r="F464" s="14" t="n">
        <v>4925.44</v>
      </c>
      <c r="G464" s="6" t="s">
        <v>15614</v>
      </c>
    </row>
    <row r="465" customFormat="false" ht="15" hidden="false" customHeight="true" outlineLevel="0" collapsed="false">
      <c r="A465" s="6" t="s">
        <v>16077</v>
      </c>
      <c r="B465" s="6" t="s">
        <v>505</v>
      </c>
      <c r="C465" s="6" t="s">
        <v>112</v>
      </c>
      <c r="D465" s="6" t="s">
        <v>43</v>
      </c>
      <c r="E465" s="14" t="n">
        <v>1517.38</v>
      </c>
      <c r="F465" s="14" t="n">
        <v>1517.38</v>
      </c>
      <c r="G465" s="6" t="s">
        <v>15614</v>
      </c>
    </row>
    <row r="466" customFormat="false" ht="15" hidden="false" customHeight="true" outlineLevel="0" collapsed="false">
      <c r="A466" s="6" t="s">
        <v>16078</v>
      </c>
      <c r="B466" s="6" t="s">
        <v>505</v>
      </c>
      <c r="C466" s="6" t="s">
        <v>112</v>
      </c>
      <c r="D466" s="6" t="s">
        <v>44</v>
      </c>
      <c r="E466" s="14" t="n">
        <v>1517.38</v>
      </c>
      <c r="F466" s="14" t="n">
        <v>3034.76</v>
      </c>
      <c r="G466" s="6" t="s">
        <v>15614</v>
      </c>
    </row>
    <row r="467" customFormat="false" ht="15" hidden="false" customHeight="true" outlineLevel="0" collapsed="false">
      <c r="A467" s="6" t="s">
        <v>16079</v>
      </c>
      <c r="B467" s="6" t="s">
        <v>507</v>
      </c>
      <c r="C467" s="6" t="s">
        <v>112</v>
      </c>
      <c r="D467" s="6" t="s">
        <v>14</v>
      </c>
      <c r="E467" s="14" t="n">
        <v>3670.89</v>
      </c>
      <c r="F467" s="14" t="n">
        <v>3670.89</v>
      </c>
      <c r="G467" s="6" t="s">
        <v>15614</v>
      </c>
    </row>
    <row r="468" customFormat="false" ht="15" hidden="false" customHeight="true" outlineLevel="0" collapsed="false">
      <c r="A468" s="6" t="s">
        <v>16080</v>
      </c>
      <c r="B468" s="6" t="s">
        <v>507</v>
      </c>
      <c r="C468" s="6" t="s">
        <v>112</v>
      </c>
      <c r="D468" s="6" t="s">
        <v>15</v>
      </c>
      <c r="E468" s="14" t="n">
        <v>3670.89</v>
      </c>
      <c r="F468" s="14" t="n">
        <v>7341.78</v>
      </c>
      <c r="G468" s="6" t="s">
        <v>15614</v>
      </c>
    </row>
    <row r="469" customFormat="false" ht="15" hidden="false" customHeight="true" outlineLevel="0" collapsed="false">
      <c r="A469" s="6" t="s">
        <v>16081</v>
      </c>
      <c r="B469" s="6" t="s">
        <v>507</v>
      </c>
      <c r="C469" s="6" t="s">
        <v>112</v>
      </c>
      <c r="D469" s="6" t="s">
        <v>16</v>
      </c>
      <c r="E469" s="14" t="n">
        <v>3670.89</v>
      </c>
      <c r="F469" s="14" t="n">
        <v>11012.67</v>
      </c>
      <c r="G469" s="6" t="s">
        <v>15614</v>
      </c>
    </row>
    <row r="470" customFormat="false" ht="15" hidden="false" customHeight="true" outlineLevel="0" collapsed="false">
      <c r="A470" s="6" t="s">
        <v>16082</v>
      </c>
      <c r="B470" s="6" t="s">
        <v>509</v>
      </c>
      <c r="C470" s="6" t="s">
        <v>120</v>
      </c>
      <c r="D470" s="6" t="s">
        <v>58</v>
      </c>
      <c r="E470" s="14" t="n">
        <v>789.05</v>
      </c>
      <c r="F470" s="14" t="n">
        <v>789.05</v>
      </c>
      <c r="G470" s="6" t="s">
        <v>15614</v>
      </c>
    </row>
    <row r="471" customFormat="false" ht="15" hidden="false" customHeight="true" outlineLevel="0" collapsed="false">
      <c r="A471" s="6" t="s">
        <v>16083</v>
      </c>
      <c r="B471" s="6" t="s">
        <v>509</v>
      </c>
      <c r="C471" s="6" t="s">
        <v>120</v>
      </c>
      <c r="D471" s="6" t="s">
        <v>59</v>
      </c>
      <c r="E471" s="14" t="n">
        <v>789.05</v>
      </c>
      <c r="F471" s="14" t="n">
        <v>1578.1</v>
      </c>
      <c r="G471" s="6" t="s">
        <v>15614</v>
      </c>
    </row>
    <row r="472" customFormat="false" ht="15" hidden="false" customHeight="true" outlineLevel="0" collapsed="false">
      <c r="A472" s="6" t="s">
        <v>16084</v>
      </c>
      <c r="B472" s="6" t="s">
        <v>509</v>
      </c>
      <c r="C472" s="6" t="s">
        <v>120</v>
      </c>
      <c r="D472" s="6" t="s">
        <v>60</v>
      </c>
      <c r="E472" s="14" t="n">
        <v>789.05</v>
      </c>
      <c r="F472" s="14" t="n">
        <v>2367.15</v>
      </c>
      <c r="G472" s="6" t="s">
        <v>15614</v>
      </c>
    </row>
    <row r="473" customFormat="false" ht="15" hidden="false" customHeight="true" outlineLevel="0" collapsed="false">
      <c r="A473" s="6" t="s">
        <v>16085</v>
      </c>
      <c r="B473" s="6" t="s">
        <v>511</v>
      </c>
      <c r="C473" s="6" t="s">
        <v>124</v>
      </c>
      <c r="D473" s="6" t="s">
        <v>28</v>
      </c>
      <c r="E473" s="14" t="n">
        <v>1242.77</v>
      </c>
      <c r="F473" s="14" t="n">
        <v>1242.77</v>
      </c>
      <c r="G473" s="6" t="s">
        <v>15614</v>
      </c>
    </row>
    <row r="474" customFormat="false" ht="15" hidden="false" customHeight="true" outlineLevel="0" collapsed="false">
      <c r="A474" s="6" t="s">
        <v>16086</v>
      </c>
      <c r="B474" s="6" t="s">
        <v>511</v>
      </c>
      <c r="C474" s="6" t="s">
        <v>124</v>
      </c>
      <c r="D474" s="6" t="s">
        <v>29</v>
      </c>
      <c r="E474" s="14" t="n">
        <v>1242.77</v>
      </c>
      <c r="F474" s="14" t="n">
        <v>2485.54</v>
      </c>
      <c r="G474" s="6" t="s">
        <v>15614</v>
      </c>
    </row>
    <row r="475" customFormat="false" ht="15" hidden="false" customHeight="true" outlineLevel="0" collapsed="false">
      <c r="A475" s="6" t="s">
        <v>16087</v>
      </c>
      <c r="B475" s="6" t="s">
        <v>513</v>
      </c>
      <c r="C475" s="6" t="s">
        <v>116</v>
      </c>
      <c r="D475" s="6" t="s">
        <v>21</v>
      </c>
      <c r="E475" s="14" t="n">
        <v>1320.88</v>
      </c>
      <c r="F475" s="14" t="n">
        <v>1320.88</v>
      </c>
      <c r="G475" s="6" t="s">
        <v>15614</v>
      </c>
    </row>
    <row r="476" customFormat="false" ht="15" hidden="false" customHeight="true" outlineLevel="0" collapsed="false">
      <c r="A476" s="6" t="s">
        <v>16088</v>
      </c>
      <c r="B476" s="6" t="s">
        <v>513</v>
      </c>
      <c r="C476" s="6" t="s">
        <v>116</v>
      </c>
      <c r="D476" s="6" t="s">
        <v>22</v>
      </c>
      <c r="E476" s="14" t="n">
        <v>1320.88</v>
      </c>
      <c r="F476" s="14" t="n">
        <v>2641.76</v>
      </c>
      <c r="G476" s="6" t="s">
        <v>15614</v>
      </c>
    </row>
    <row r="477" customFormat="false" ht="15" hidden="false" customHeight="true" outlineLevel="0" collapsed="false">
      <c r="A477" s="6" t="s">
        <v>16089</v>
      </c>
      <c r="B477" s="6" t="s">
        <v>515</v>
      </c>
      <c r="C477" s="6" t="s">
        <v>112</v>
      </c>
      <c r="D477" s="6" t="s">
        <v>14</v>
      </c>
      <c r="E477" s="14" t="n">
        <v>199.27</v>
      </c>
      <c r="F477" s="14" t="n">
        <v>199.27</v>
      </c>
      <c r="G477" s="6" t="s">
        <v>15614</v>
      </c>
    </row>
    <row r="478" customFormat="false" ht="15" hidden="false" customHeight="true" outlineLevel="0" collapsed="false">
      <c r="A478" s="6" t="s">
        <v>16090</v>
      </c>
      <c r="B478" s="6" t="s">
        <v>515</v>
      </c>
      <c r="C478" s="6" t="s">
        <v>112</v>
      </c>
      <c r="D478" s="6" t="s">
        <v>15</v>
      </c>
      <c r="E478" s="14" t="n">
        <v>199.27</v>
      </c>
      <c r="F478" s="14" t="n">
        <v>398.54</v>
      </c>
      <c r="G478" s="6" t="s">
        <v>15614</v>
      </c>
    </row>
    <row r="479" customFormat="false" ht="15" hidden="false" customHeight="true" outlineLevel="0" collapsed="false">
      <c r="A479" s="6" t="s">
        <v>16091</v>
      </c>
      <c r="B479" s="6" t="s">
        <v>515</v>
      </c>
      <c r="C479" s="6" t="s">
        <v>112</v>
      </c>
      <c r="D479" s="6" t="s">
        <v>16</v>
      </c>
      <c r="E479" s="14" t="n">
        <v>199.27</v>
      </c>
      <c r="F479" s="14" t="n">
        <v>597.81</v>
      </c>
      <c r="G479" s="6" t="s">
        <v>15614</v>
      </c>
    </row>
    <row r="480" customFormat="false" ht="15" hidden="false" customHeight="true" outlineLevel="0" collapsed="false">
      <c r="A480" s="6" t="s">
        <v>16092</v>
      </c>
      <c r="B480" s="6" t="s">
        <v>517</v>
      </c>
      <c r="C480" s="6" t="s">
        <v>112</v>
      </c>
      <c r="D480" s="6" t="s">
        <v>48</v>
      </c>
      <c r="E480" s="14" t="n">
        <v>1710.61</v>
      </c>
      <c r="F480" s="14" t="n">
        <v>1710.61</v>
      </c>
      <c r="G480" s="6" t="s">
        <v>15614</v>
      </c>
    </row>
    <row r="481" customFormat="false" ht="15" hidden="false" customHeight="true" outlineLevel="0" collapsed="false">
      <c r="A481" s="6" t="s">
        <v>16093</v>
      </c>
      <c r="B481" s="6" t="s">
        <v>517</v>
      </c>
      <c r="C481" s="6" t="s">
        <v>112</v>
      </c>
      <c r="D481" s="6" t="s">
        <v>49</v>
      </c>
      <c r="E481" s="14" t="n">
        <v>1710.61</v>
      </c>
      <c r="F481" s="14" t="n">
        <v>3421.22</v>
      </c>
      <c r="G481" s="6" t="s">
        <v>15614</v>
      </c>
    </row>
    <row r="482" customFormat="false" ht="15" hidden="false" customHeight="true" outlineLevel="0" collapsed="false">
      <c r="A482" s="6" t="s">
        <v>16094</v>
      </c>
      <c r="B482" s="6" t="s">
        <v>517</v>
      </c>
      <c r="C482" s="6" t="s">
        <v>112</v>
      </c>
      <c r="D482" s="6" t="s">
        <v>50</v>
      </c>
      <c r="E482" s="14" t="n">
        <v>1710.61</v>
      </c>
      <c r="F482" s="14" t="n">
        <v>5131.83</v>
      </c>
      <c r="G482" s="6" t="s">
        <v>15614</v>
      </c>
    </row>
    <row r="483" customFormat="false" ht="15" hidden="false" customHeight="true" outlineLevel="0" collapsed="false">
      <c r="A483" s="6" t="s">
        <v>16095</v>
      </c>
      <c r="B483" s="6" t="s">
        <v>517</v>
      </c>
      <c r="C483" s="6" t="s">
        <v>112</v>
      </c>
      <c r="D483" s="6" t="s">
        <v>51</v>
      </c>
      <c r="E483" s="14" t="n">
        <v>1710.61</v>
      </c>
      <c r="F483" s="14" t="n">
        <v>6842.44</v>
      </c>
      <c r="G483" s="6" t="s">
        <v>15614</v>
      </c>
    </row>
    <row r="484" customFormat="false" ht="15" hidden="false" customHeight="true" outlineLevel="0" collapsed="false">
      <c r="A484" s="6" t="s">
        <v>16096</v>
      </c>
      <c r="B484" s="6" t="s">
        <v>517</v>
      </c>
      <c r="C484" s="6" t="s">
        <v>112</v>
      </c>
      <c r="D484" s="6" t="s">
        <v>52</v>
      </c>
      <c r="E484" s="14" t="n">
        <v>1710.61</v>
      </c>
      <c r="F484" s="14" t="n">
        <v>8553.05</v>
      </c>
      <c r="G484" s="6" t="s">
        <v>15614</v>
      </c>
    </row>
    <row r="485" customFormat="false" ht="15" hidden="false" customHeight="true" outlineLevel="0" collapsed="false">
      <c r="A485" s="6" t="s">
        <v>16097</v>
      </c>
      <c r="B485" s="6" t="s">
        <v>517</v>
      </c>
      <c r="C485" s="6" t="s">
        <v>112</v>
      </c>
      <c r="D485" s="6" t="s">
        <v>53</v>
      </c>
      <c r="E485" s="14" t="n">
        <v>1710.61</v>
      </c>
      <c r="F485" s="14" t="n">
        <v>10263.66</v>
      </c>
      <c r="G485" s="6" t="s">
        <v>15614</v>
      </c>
    </row>
    <row r="486" customFormat="false" ht="15" hidden="false" customHeight="true" outlineLevel="0" collapsed="false">
      <c r="A486" s="6" t="s">
        <v>16098</v>
      </c>
      <c r="B486" s="6" t="s">
        <v>519</v>
      </c>
      <c r="C486" s="6" t="s">
        <v>120</v>
      </c>
      <c r="D486" s="6" t="s">
        <v>18</v>
      </c>
      <c r="E486" s="14" t="n">
        <v>752.79</v>
      </c>
      <c r="F486" s="14" t="n">
        <v>752.79</v>
      </c>
      <c r="G486" s="6" t="s">
        <v>15614</v>
      </c>
    </row>
    <row r="487" customFormat="false" ht="15" hidden="false" customHeight="true" outlineLevel="0" collapsed="false">
      <c r="A487" s="6" t="s">
        <v>16099</v>
      </c>
      <c r="B487" s="6" t="s">
        <v>519</v>
      </c>
      <c r="C487" s="6" t="s">
        <v>120</v>
      </c>
      <c r="D487" s="6" t="s">
        <v>19</v>
      </c>
      <c r="E487" s="14" t="n">
        <v>752.79</v>
      </c>
      <c r="F487" s="14" t="n">
        <v>1505.58</v>
      </c>
      <c r="G487" s="6" t="s">
        <v>15614</v>
      </c>
    </row>
    <row r="488" customFormat="false" ht="15" hidden="false" customHeight="true" outlineLevel="0" collapsed="false">
      <c r="A488" s="6" t="s">
        <v>16100</v>
      </c>
      <c r="B488" s="6" t="s">
        <v>519</v>
      </c>
      <c r="C488" s="6" t="s">
        <v>120</v>
      </c>
      <c r="D488" s="6" t="s">
        <v>20</v>
      </c>
      <c r="E488" s="14" t="n">
        <v>752.79</v>
      </c>
      <c r="F488" s="14" t="n">
        <v>2258.37</v>
      </c>
      <c r="G488" s="6" t="s">
        <v>15614</v>
      </c>
    </row>
    <row r="489" customFormat="false" ht="15" hidden="false" customHeight="true" outlineLevel="0" collapsed="false">
      <c r="A489" s="6" t="s">
        <v>16101</v>
      </c>
      <c r="B489" s="6" t="s">
        <v>519</v>
      </c>
      <c r="C489" s="6" t="s">
        <v>120</v>
      </c>
      <c r="D489" s="6" t="s">
        <v>21</v>
      </c>
      <c r="E489" s="14" t="n">
        <v>752.79</v>
      </c>
      <c r="F489" s="14" t="n">
        <v>3011.16</v>
      </c>
      <c r="G489" s="6" t="s">
        <v>15614</v>
      </c>
    </row>
    <row r="490" customFormat="false" ht="15" hidden="false" customHeight="true" outlineLevel="0" collapsed="false">
      <c r="A490" s="6" t="s">
        <v>16102</v>
      </c>
      <c r="B490" s="6" t="s">
        <v>521</v>
      </c>
      <c r="C490" s="6" t="s">
        <v>112</v>
      </c>
      <c r="D490" s="6" t="s">
        <v>14</v>
      </c>
      <c r="E490" s="14" t="n">
        <v>1516.91</v>
      </c>
      <c r="F490" s="14" t="n">
        <v>1516.91</v>
      </c>
      <c r="G490" s="6" t="s">
        <v>15614</v>
      </c>
    </row>
    <row r="491" customFormat="false" ht="15" hidden="false" customHeight="true" outlineLevel="0" collapsed="false">
      <c r="A491" s="6" t="s">
        <v>16103</v>
      </c>
      <c r="B491" s="6" t="s">
        <v>521</v>
      </c>
      <c r="C491" s="6" t="s">
        <v>112</v>
      </c>
      <c r="D491" s="6" t="s">
        <v>15</v>
      </c>
      <c r="E491" s="14" t="n">
        <v>1516.91</v>
      </c>
      <c r="F491" s="14" t="n">
        <v>3033.82</v>
      </c>
      <c r="G491" s="6" t="s">
        <v>15614</v>
      </c>
    </row>
    <row r="492" customFormat="false" ht="15" hidden="false" customHeight="true" outlineLevel="0" collapsed="false">
      <c r="A492" s="6" t="s">
        <v>16104</v>
      </c>
      <c r="B492" s="6" t="s">
        <v>521</v>
      </c>
      <c r="C492" s="6" t="s">
        <v>112</v>
      </c>
      <c r="D492" s="6" t="s">
        <v>16</v>
      </c>
      <c r="E492" s="14" t="n">
        <v>1516.91</v>
      </c>
      <c r="F492" s="14" t="n">
        <v>4550.73</v>
      </c>
      <c r="G492" s="6" t="s">
        <v>15614</v>
      </c>
    </row>
    <row r="493" customFormat="false" ht="15" hidden="false" customHeight="true" outlineLevel="0" collapsed="false">
      <c r="A493" s="6" t="s">
        <v>16105</v>
      </c>
      <c r="B493" s="6" t="s">
        <v>521</v>
      </c>
      <c r="C493" s="6" t="s">
        <v>112</v>
      </c>
      <c r="D493" s="6" t="s">
        <v>17</v>
      </c>
      <c r="E493" s="14" t="n">
        <v>1516.91</v>
      </c>
      <c r="F493" s="14" t="n">
        <v>6067.64</v>
      </c>
      <c r="G493" s="6" t="s">
        <v>15614</v>
      </c>
    </row>
    <row r="494" customFormat="false" ht="15" hidden="false" customHeight="true" outlineLevel="0" collapsed="false">
      <c r="A494" s="6" t="s">
        <v>16106</v>
      </c>
      <c r="B494" s="6" t="s">
        <v>523</v>
      </c>
      <c r="C494" s="6" t="s">
        <v>128</v>
      </c>
      <c r="D494" s="6" t="s">
        <v>50</v>
      </c>
      <c r="E494" s="14" t="n">
        <v>579.81</v>
      </c>
      <c r="F494" s="14" t="n">
        <v>579.81</v>
      </c>
      <c r="G494" s="6" t="s">
        <v>15614</v>
      </c>
    </row>
    <row r="495" customFormat="false" ht="15" hidden="false" customHeight="true" outlineLevel="0" collapsed="false">
      <c r="A495" s="6" t="s">
        <v>16107</v>
      </c>
      <c r="B495" s="6" t="s">
        <v>523</v>
      </c>
      <c r="C495" s="6" t="s">
        <v>128</v>
      </c>
      <c r="D495" s="6" t="s">
        <v>51</v>
      </c>
      <c r="E495" s="14" t="n">
        <v>579.81</v>
      </c>
      <c r="F495" s="14" t="n">
        <v>1159.62</v>
      </c>
      <c r="G495" s="6" t="s">
        <v>15614</v>
      </c>
    </row>
    <row r="496" customFormat="false" ht="15" hidden="false" customHeight="true" outlineLevel="0" collapsed="false">
      <c r="A496" s="6" t="s">
        <v>16108</v>
      </c>
      <c r="B496" s="6" t="s">
        <v>525</v>
      </c>
      <c r="C496" s="6" t="s">
        <v>112</v>
      </c>
      <c r="D496" s="6" t="s">
        <v>35</v>
      </c>
      <c r="E496" s="14" t="n">
        <v>3382</v>
      </c>
      <c r="F496" s="14" t="n">
        <v>3382</v>
      </c>
      <c r="G496" s="6" t="s">
        <v>15614</v>
      </c>
    </row>
    <row r="497" customFormat="false" ht="15" hidden="false" customHeight="true" outlineLevel="0" collapsed="false">
      <c r="A497" s="6" t="s">
        <v>16109</v>
      </c>
      <c r="B497" s="6" t="s">
        <v>525</v>
      </c>
      <c r="C497" s="6" t="s">
        <v>112</v>
      </c>
      <c r="D497" s="6" t="s">
        <v>36</v>
      </c>
      <c r="E497" s="14" t="n">
        <v>3382</v>
      </c>
      <c r="F497" s="14" t="n">
        <v>6764</v>
      </c>
      <c r="G497" s="6" t="s">
        <v>15614</v>
      </c>
    </row>
    <row r="498" customFormat="false" ht="15" hidden="false" customHeight="true" outlineLevel="0" collapsed="false">
      <c r="A498" s="6" t="s">
        <v>16110</v>
      </c>
      <c r="B498" s="6" t="s">
        <v>525</v>
      </c>
      <c r="C498" s="6" t="s">
        <v>112</v>
      </c>
      <c r="D498" s="6" t="s">
        <v>37</v>
      </c>
      <c r="E498" s="14" t="n">
        <v>3382</v>
      </c>
      <c r="F498" s="14" t="n">
        <v>10146</v>
      </c>
      <c r="G498" s="6" t="s">
        <v>15614</v>
      </c>
    </row>
    <row r="499" customFormat="false" ht="15" hidden="false" customHeight="true" outlineLevel="0" collapsed="false">
      <c r="A499" s="6" t="s">
        <v>16111</v>
      </c>
      <c r="B499" s="6" t="s">
        <v>525</v>
      </c>
      <c r="C499" s="6" t="s">
        <v>112</v>
      </c>
      <c r="D499" s="6" t="s">
        <v>38</v>
      </c>
      <c r="E499" s="14" t="n">
        <v>3382</v>
      </c>
      <c r="F499" s="14" t="n">
        <v>13528</v>
      </c>
      <c r="G499" s="6" t="s">
        <v>15614</v>
      </c>
    </row>
    <row r="500" customFormat="false" ht="15" hidden="false" customHeight="true" outlineLevel="0" collapsed="false">
      <c r="A500" s="6" t="s">
        <v>16112</v>
      </c>
      <c r="B500" s="6" t="s">
        <v>525</v>
      </c>
      <c r="C500" s="6" t="s">
        <v>112</v>
      </c>
      <c r="D500" s="6" t="s">
        <v>39</v>
      </c>
      <c r="E500" s="14" t="n">
        <v>3382</v>
      </c>
      <c r="F500" s="14" t="n">
        <v>16910</v>
      </c>
      <c r="G500" s="6" t="s">
        <v>15614</v>
      </c>
    </row>
    <row r="501" customFormat="false" ht="15" hidden="false" customHeight="true" outlineLevel="0" collapsed="false">
      <c r="A501" s="6" t="s">
        <v>16113</v>
      </c>
      <c r="B501" s="6" t="s">
        <v>527</v>
      </c>
      <c r="C501" s="6" t="s">
        <v>131</v>
      </c>
      <c r="D501" s="6" t="s">
        <v>22</v>
      </c>
      <c r="E501" s="14" t="n">
        <v>3864.2</v>
      </c>
      <c r="F501" s="14" t="n">
        <v>3864.2</v>
      </c>
      <c r="G501" s="6" t="s">
        <v>15614</v>
      </c>
    </row>
    <row r="502" customFormat="false" ht="15" hidden="false" customHeight="true" outlineLevel="0" collapsed="false">
      <c r="A502" s="6" t="s">
        <v>16114</v>
      </c>
      <c r="B502" s="6" t="s">
        <v>527</v>
      </c>
      <c r="C502" s="6" t="s">
        <v>131</v>
      </c>
      <c r="D502" s="6" t="s">
        <v>23</v>
      </c>
      <c r="E502" s="14" t="n">
        <v>3864.2</v>
      </c>
      <c r="F502" s="14" t="n">
        <v>7728.4</v>
      </c>
      <c r="G502" s="6" t="s">
        <v>15614</v>
      </c>
    </row>
    <row r="503" customFormat="false" ht="15" hidden="false" customHeight="true" outlineLevel="0" collapsed="false">
      <c r="A503" s="6" t="s">
        <v>16115</v>
      </c>
      <c r="B503" s="6" t="s">
        <v>527</v>
      </c>
      <c r="C503" s="6" t="s">
        <v>131</v>
      </c>
      <c r="D503" s="6" t="s">
        <v>24</v>
      </c>
      <c r="E503" s="14" t="n">
        <v>3864.2</v>
      </c>
      <c r="F503" s="14" t="n">
        <v>11592.6</v>
      </c>
      <c r="G503" s="6" t="s">
        <v>15614</v>
      </c>
    </row>
    <row r="504" customFormat="false" ht="15" hidden="false" customHeight="true" outlineLevel="0" collapsed="false">
      <c r="A504" s="6" t="s">
        <v>16116</v>
      </c>
      <c r="B504" s="6" t="s">
        <v>529</v>
      </c>
      <c r="C504" s="6" t="s">
        <v>112</v>
      </c>
      <c r="D504" s="6" t="s">
        <v>56</v>
      </c>
      <c r="E504" s="14" t="n">
        <v>1646.05</v>
      </c>
      <c r="F504" s="14" t="n">
        <v>1646.05</v>
      </c>
      <c r="G504" s="6" t="s">
        <v>15614</v>
      </c>
    </row>
    <row r="505" customFormat="false" ht="15" hidden="false" customHeight="true" outlineLevel="0" collapsed="false">
      <c r="A505" s="6" t="s">
        <v>16117</v>
      </c>
      <c r="B505" s="6" t="s">
        <v>529</v>
      </c>
      <c r="C505" s="6" t="s">
        <v>112</v>
      </c>
      <c r="D505" s="6" t="s">
        <v>57</v>
      </c>
      <c r="E505" s="14" t="n">
        <v>1646.05</v>
      </c>
      <c r="F505" s="14" t="n">
        <v>3292.1</v>
      </c>
      <c r="G505" s="6" t="s">
        <v>15614</v>
      </c>
    </row>
    <row r="506" customFormat="false" ht="15" hidden="false" customHeight="true" outlineLevel="0" collapsed="false">
      <c r="A506" s="6" t="s">
        <v>16118</v>
      </c>
      <c r="B506" s="6" t="s">
        <v>531</v>
      </c>
      <c r="C506" s="6" t="s">
        <v>120</v>
      </c>
      <c r="D506" s="6" t="s">
        <v>25</v>
      </c>
      <c r="E506" s="14" t="n">
        <v>3337.04</v>
      </c>
      <c r="F506" s="14" t="n">
        <v>3337.04</v>
      </c>
      <c r="G506" s="6" t="s">
        <v>15614</v>
      </c>
    </row>
    <row r="507" customFormat="false" ht="15" hidden="false" customHeight="true" outlineLevel="0" collapsed="false">
      <c r="A507" s="6" t="s">
        <v>16119</v>
      </c>
      <c r="B507" s="6" t="s">
        <v>531</v>
      </c>
      <c r="C507" s="6" t="s">
        <v>120</v>
      </c>
      <c r="D507" s="6" t="s">
        <v>26</v>
      </c>
      <c r="E507" s="14" t="n">
        <v>3337.04</v>
      </c>
      <c r="F507" s="14" t="n">
        <v>6674.08</v>
      </c>
      <c r="G507" s="6" t="s">
        <v>15614</v>
      </c>
    </row>
    <row r="508" customFormat="false" ht="15" hidden="false" customHeight="true" outlineLevel="0" collapsed="false">
      <c r="A508" s="6" t="s">
        <v>16120</v>
      </c>
      <c r="B508" s="6" t="s">
        <v>531</v>
      </c>
      <c r="C508" s="6" t="s">
        <v>120</v>
      </c>
      <c r="D508" s="6" t="s">
        <v>27</v>
      </c>
      <c r="E508" s="14" t="n">
        <v>3337.04</v>
      </c>
      <c r="F508" s="14" t="n">
        <v>10011.12</v>
      </c>
      <c r="G508" s="6" t="s">
        <v>15614</v>
      </c>
    </row>
    <row r="509" customFormat="false" ht="15" hidden="false" customHeight="true" outlineLevel="0" collapsed="false">
      <c r="A509" s="6" t="s">
        <v>16121</v>
      </c>
      <c r="B509" s="6" t="s">
        <v>531</v>
      </c>
      <c r="C509" s="6" t="s">
        <v>120</v>
      </c>
      <c r="D509" s="6" t="s">
        <v>28</v>
      </c>
      <c r="E509" s="14" t="n">
        <v>3337.04</v>
      </c>
      <c r="F509" s="14" t="n">
        <v>13348.16</v>
      </c>
      <c r="G509" s="6" t="s">
        <v>15614</v>
      </c>
    </row>
    <row r="510" customFormat="false" ht="15" hidden="false" customHeight="true" outlineLevel="0" collapsed="false">
      <c r="A510" s="6" t="s">
        <v>16122</v>
      </c>
      <c r="B510" s="6" t="s">
        <v>533</v>
      </c>
      <c r="C510" s="6" t="s">
        <v>116</v>
      </c>
      <c r="D510" s="6" t="s">
        <v>26</v>
      </c>
      <c r="E510" s="14" t="n">
        <v>2078.61</v>
      </c>
      <c r="F510" s="14" t="n">
        <v>2078.61</v>
      </c>
      <c r="G510" s="6" t="s">
        <v>15614</v>
      </c>
    </row>
    <row r="511" customFormat="false" ht="15" hidden="false" customHeight="true" outlineLevel="0" collapsed="false">
      <c r="A511" s="6" t="s">
        <v>16123</v>
      </c>
      <c r="B511" s="6" t="s">
        <v>533</v>
      </c>
      <c r="C511" s="6" t="s">
        <v>116</v>
      </c>
      <c r="D511" s="6" t="s">
        <v>27</v>
      </c>
      <c r="E511" s="14" t="n">
        <v>2078.61</v>
      </c>
      <c r="F511" s="14" t="n">
        <v>4157.22</v>
      </c>
      <c r="G511" s="6" t="s">
        <v>15614</v>
      </c>
    </row>
    <row r="512" customFormat="false" ht="15" hidden="false" customHeight="true" outlineLevel="0" collapsed="false">
      <c r="A512" s="6" t="s">
        <v>16124</v>
      </c>
      <c r="B512" s="6" t="s">
        <v>535</v>
      </c>
      <c r="C512" s="6" t="s">
        <v>131</v>
      </c>
      <c r="D512" s="6" t="s">
        <v>53</v>
      </c>
      <c r="E512" s="14" t="n">
        <v>3859.24</v>
      </c>
      <c r="F512" s="14" t="n">
        <v>3859.24</v>
      </c>
      <c r="G512" s="6" t="s">
        <v>15614</v>
      </c>
    </row>
    <row r="513" customFormat="false" ht="15" hidden="false" customHeight="true" outlineLevel="0" collapsed="false">
      <c r="A513" s="6" t="s">
        <v>16125</v>
      </c>
      <c r="B513" s="6" t="s">
        <v>535</v>
      </c>
      <c r="C513" s="6" t="s">
        <v>131</v>
      </c>
      <c r="D513" s="6" t="s">
        <v>54</v>
      </c>
      <c r="E513" s="14" t="n">
        <v>3859.24</v>
      </c>
      <c r="F513" s="14" t="n">
        <v>7718.48</v>
      </c>
      <c r="G513" s="6" t="s">
        <v>15614</v>
      </c>
    </row>
    <row r="514" customFormat="false" ht="15" hidden="false" customHeight="true" outlineLevel="0" collapsed="false">
      <c r="A514" s="6" t="s">
        <v>16126</v>
      </c>
      <c r="B514" s="6" t="s">
        <v>535</v>
      </c>
      <c r="C514" s="6" t="s">
        <v>131</v>
      </c>
      <c r="D514" s="6" t="s">
        <v>55</v>
      </c>
      <c r="E514" s="14" t="n">
        <v>3859.24</v>
      </c>
      <c r="F514" s="14" t="n">
        <v>11577.72</v>
      </c>
      <c r="G514" s="6" t="s">
        <v>15614</v>
      </c>
    </row>
    <row r="515" customFormat="false" ht="15" hidden="false" customHeight="true" outlineLevel="0" collapsed="false">
      <c r="A515" s="6" t="s">
        <v>16127</v>
      </c>
      <c r="B515" s="6" t="s">
        <v>537</v>
      </c>
      <c r="C515" s="6" t="s">
        <v>131</v>
      </c>
      <c r="D515" s="6" t="s">
        <v>43</v>
      </c>
      <c r="E515" s="14" t="n">
        <v>731.21</v>
      </c>
      <c r="F515" s="14" t="n">
        <v>731.21</v>
      </c>
      <c r="G515" s="6" t="s">
        <v>15614</v>
      </c>
    </row>
    <row r="516" customFormat="false" ht="15" hidden="false" customHeight="true" outlineLevel="0" collapsed="false">
      <c r="A516" s="6" t="s">
        <v>16128</v>
      </c>
      <c r="B516" s="6" t="s">
        <v>537</v>
      </c>
      <c r="C516" s="6" t="s">
        <v>131</v>
      </c>
      <c r="D516" s="6" t="s">
        <v>44</v>
      </c>
      <c r="E516" s="14" t="n">
        <v>731.21</v>
      </c>
      <c r="F516" s="14" t="n">
        <v>1462.42</v>
      </c>
      <c r="G516" s="6" t="s">
        <v>15614</v>
      </c>
    </row>
    <row r="517" customFormat="false" ht="15" hidden="false" customHeight="true" outlineLevel="0" collapsed="false">
      <c r="A517" s="6" t="s">
        <v>16129</v>
      </c>
      <c r="B517" s="6" t="s">
        <v>537</v>
      </c>
      <c r="C517" s="6" t="s">
        <v>131</v>
      </c>
      <c r="D517" s="6" t="s">
        <v>45</v>
      </c>
      <c r="E517" s="14" t="n">
        <v>731.21</v>
      </c>
      <c r="F517" s="14" t="n">
        <v>2193.63</v>
      </c>
      <c r="G517" s="6" t="s">
        <v>15614</v>
      </c>
    </row>
    <row r="518" customFormat="false" ht="15" hidden="false" customHeight="true" outlineLevel="0" collapsed="false">
      <c r="A518" s="6" t="s">
        <v>16130</v>
      </c>
      <c r="B518" s="6" t="s">
        <v>537</v>
      </c>
      <c r="C518" s="6" t="s">
        <v>131</v>
      </c>
      <c r="D518" s="6" t="s">
        <v>46</v>
      </c>
      <c r="E518" s="14" t="n">
        <v>731.21</v>
      </c>
      <c r="F518" s="14" t="n">
        <v>2924.84</v>
      </c>
      <c r="G518" s="6" t="s">
        <v>15614</v>
      </c>
    </row>
    <row r="519" customFormat="false" ht="15" hidden="false" customHeight="true" outlineLevel="0" collapsed="false">
      <c r="A519" s="6" t="s">
        <v>16131</v>
      </c>
      <c r="B519" s="6" t="s">
        <v>537</v>
      </c>
      <c r="C519" s="6" t="s">
        <v>131</v>
      </c>
      <c r="D519" s="6" t="s">
        <v>47</v>
      </c>
      <c r="E519" s="14" t="n">
        <v>731.21</v>
      </c>
      <c r="F519" s="14" t="n">
        <v>3656.05</v>
      </c>
      <c r="G519" s="6" t="s">
        <v>15614</v>
      </c>
    </row>
    <row r="520" customFormat="false" ht="15" hidden="false" customHeight="true" outlineLevel="0" collapsed="false">
      <c r="A520" s="6" t="s">
        <v>16132</v>
      </c>
      <c r="B520" s="6" t="s">
        <v>537</v>
      </c>
      <c r="C520" s="6" t="s">
        <v>131</v>
      </c>
      <c r="D520" s="6" t="s">
        <v>48</v>
      </c>
      <c r="E520" s="14" t="n">
        <v>731.21</v>
      </c>
      <c r="F520" s="14" t="n">
        <v>4387.26</v>
      </c>
      <c r="G520" s="6" t="s">
        <v>15614</v>
      </c>
    </row>
    <row r="521" customFormat="false" ht="15" hidden="false" customHeight="true" outlineLevel="0" collapsed="false">
      <c r="A521" s="6" t="s">
        <v>16133</v>
      </c>
      <c r="B521" s="6" t="s">
        <v>537</v>
      </c>
      <c r="C521" s="6" t="s">
        <v>131</v>
      </c>
      <c r="D521" s="6" t="s">
        <v>49</v>
      </c>
      <c r="E521" s="14" t="n">
        <v>731.21</v>
      </c>
      <c r="F521" s="14" t="n">
        <v>5118.47</v>
      </c>
      <c r="G521" s="6" t="s">
        <v>15614</v>
      </c>
    </row>
    <row r="522" customFormat="false" ht="15" hidden="false" customHeight="true" outlineLevel="0" collapsed="false">
      <c r="A522" s="6" t="s">
        <v>16134</v>
      </c>
      <c r="B522" s="6" t="s">
        <v>539</v>
      </c>
      <c r="C522" s="6" t="s">
        <v>112</v>
      </c>
      <c r="D522" s="6" t="s">
        <v>37</v>
      </c>
      <c r="E522" s="14" t="n">
        <v>1460.27</v>
      </c>
      <c r="F522" s="14" t="n">
        <v>1460.27</v>
      </c>
      <c r="G522" s="6" t="s">
        <v>15614</v>
      </c>
    </row>
    <row r="523" customFormat="false" ht="15" hidden="false" customHeight="true" outlineLevel="0" collapsed="false">
      <c r="A523" s="6" t="s">
        <v>16135</v>
      </c>
      <c r="B523" s="6" t="s">
        <v>539</v>
      </c>
      <c r="C523" s="6" t="s">
        <v>112</v>
      </c>
      <c r="D523" s="6" t="s">
        <v>38</v>
      </c>
      <c r="E523" s="14" t="n">
        <v>1460.27</v>
      </c>
      <c r="F523" s="14" t="n">
        <v>2920.54</v>
      </c>
      <c r="G523" s="6" t="s">
        <v>15614</v>
      </c>
    </row>
    <row r="524" customFormat="false" ht="15" hidden="false" customHeight="true" outlineLevel="0" collapsed="false">
      <c r="A524" s="6" t="s">
        <v>16136</v>
      </c>
      <c r="B524" s="6" t="s">
        <v>541</v>
      </c>
      <c r="C524" s="6" t="s">
        <v>128</v>
      </c>
      <c r="D524" s="6" t="s">
        <v>25</v>
      </c>
      <c r="E524" s="14" t="n">
        <v>1157.21</v>
      </c>
      <c r="F524" s="14" t="n">
        <v>1157.21</v>
      </c>
      <c r="G524" s="6" t="s">
        <v>15614</v>
      </c>
    </row>
    <row r="525" customFormat="false" ht="15" hidden="false" customHeight="true" outlineLevel="0" collapsed="false">
      <c r="A525" s="6" t="s">
        <v>16137</v>
      </c>
      <c r="B525" s="6" t="s">
        <v>541</v>
      </c>
      <c r="C525" s="6" t="s">
        <v>128</v>
      </c>
      <c r="D525" s="6" t="s">
        <v>26</v>
      </c>
      <c r="E525" s="14" t="n">
        <v>1157.21</v>
      </c>
      <c r="F525" s="14" t="n">
        <v>2314.42</v>
      </c>
      <c r="G525" s="6" t="s">
        <v>15614</v>
      </c>
    </row>
    <row r="526" customFormat="false" ht="15" hidden="false" customHeight="true" outlineLevel="0" collapsed="false">
      <c r="A526" s="6" t="s">
        <v>16138</v>
      </c>
      <c r="B526" s="6" t="s">
        <v>543</v>
      </c>
      <c r="C526" s="6" t="s">
        <v>124</v>
      </c>
      <c r="D526" s="6" t="s">
        <v>37</v>
      </c>
      <c r="E526" s="14" t="n">
        <v>1803.97</v>
      </c>
      <c r="F526" s="14" t="n">
        <v>1803.97</v>
      </c>
      <c r="G526" s="6" t="s">
        <v>15614</v>
      </c>
    </row>
    <row r="527" customFormat="false" ht="15" hidden="false" customHeight="true" outlineLevel="0" collapsed="false">
      <c r="A527" s="6" t="s">
        <v>16139</v>
      </c>
      <c r="B527" s="6" t="s">
        <v>543</v>
      </c>
      <c r="C527" s="6" t="s">
        <v>124</v>
      </c>
      <c r="D527" s="6" t="s">
        <v>38</v>
      </c>
      <c r="E527" s="14" t="n">
        <v>1803.97</v>
      </c>
      <c r="F527" s="14" t="n">
        <v>3607.94</v>
      </c>
      <c r="G527" s="6" t="s">
        <v>15614</v>
      </c>
    </row>
    <row r="528" customFormat="false" ht="15" hidden="false" customHeight="true" outlineLevel="0" collapsed="false">
      <c r="A528" s="6" t="s">
        <v>16140</v>
      </c>
      <c r="B528" s="6" t="s">
        <v>543</v>
      </c>
      <c r="C528" s="6" t="s">
        <v>124</v>
      </c>
      <c r="D528" s="6" t="s">
        <v>39</v>
      </c>
      <c r="E528" s="14" t="n">
        <v>1803.97</v>
      </c>
      <c r="F528" s="14" t="n">
        <v>5411.91</v>
      </c>
      <c r="G528" s="6" t="s">
        <v>15614</v>
      </c>
    </row>
    <row r="529" customFormat="false" ht="15" hidden="false" customHeight="true" outlineLevel="0" collapsed="false">
      <c r="A529" s="6" t="s">
        <v>16141</v>
      </c>
      <c r="B529" s="6" t="s">
        <v>543</v>
      </c>
      <c r="C529" s="6" t="s">
        <v>124</v>
      </c>
      <c r="D529" s="6" t="s">
        <v>40</v>
      </c>
      <c r="E529" s="14" t="n">
        <v>1803.97</v>
      </c>
      <c r="F529" s="14" t="n">
        <v>7215.88</v>
      </c>
      <c r="G529" s="6" t="s">
        <v>15614</v>
      </c>
    </row>
    <row r="530" customFormat="false" ht="15" hidden="false" customHeight="true" outlineLevel="0" collapsed="false">
      <c r="A530" s="6" t="s">
        <v>16142</v>
      </c>
      <c r="B530" s="6" t="s">
        <v>545</v>
      </c>
      <c r="C530" s="6" t="s">
        <v>124</v>
      </c>
      <c r="D530" s="6" t="s">
        <v>44</v>
      </c>
      <c r="E530" s="14" t="n">
        <v>6652.17</v>
      </c>
      <c r="F530" s="14" t="n">
        <v>6652.17</v>
      </c>
      <c r="G530" s="6" t="s">
        <v>15614</v>
      </c>
    </row>
    <row r="531" customFormat="false" ht="15" hidden="false" customHeight="true" outlineLevel="0" collapsed="false">
      <c r="A531" s="6" t="s">
        <v>16143</v>
      </c>
      <c r="B531" s="6" t="s">
        <v>545</v>
      </c>
      <c r="C531" s="6" t="s">
        <v>124</v>
      </c>
      <c r="D531" s="6" t="s">
        <v>44</v>
      </c>
      <c r="E531" s="14" t="n">
        <v>6652.17</v>
      </c>
      <c r="F531" s="14" t="n">
        <v>13304.34</v>
      </c>
      <c r="G531" s="6" t="s">
        <v>15614</v>
      </c>
    </row>
    <row r="532" customFormat="false" ht="15" hidden="false" customHeight="true" outlineLevel="0" collapsed="false">
      <c r="A532" s="6" t="s">
        <v>16144</v>
      </c>
      <c r="B532" s="6" t="s">
        <v>545</v>
      </c>
      <c r="C532" s="6" t="s">
        <v>124</v>
      </c>
      <c r="D532" s="6" t="s">
        <v>45</v>
      </c>
      <c r="E532" s="14" t="n">
        <v>6652.17</v>
      </c>
      <c r="F532" s="14" t="n">
        <v>19956.51</v>
      </c>
      <c r="G532" s="6" t="s">
        <v>15614</v>
      </c>
    </row>
    <row r="533" customFormat="false" ht="15" hidden="false" customHeight="true" outlineLevel="0" collapsed="false">
      <c r="A533" s="6" t="s">
        <v>16145</v>
      </c>
      <c r="B533" s="6" t="s">
        <v>547</v>
      </c>
      <c r="C533" s="6" t="s">
        <v>120</v>
      </c>
      <c r="D533" s="6" t="s">
        <v>57</v>
      </c>
      <c r="E533" s="14" t="n">
        <v>2056.67</v>
      </c>
      <c r="F533" s="14" t="n">
        <v>2056.67</v>
      </c>
      <c r="G533" s="6" t="s">
        <v>15614</v>
      </c>
    </row>
    <row r="534" customFormat="false" ht="15" hidden="false" customHeight="true" outlineLevel="0" collapsed="false">
      <c r="A534" s="6" t="s">
        <v>16146</v>
      </c>
      <c r="B534" s="6" t="s">
        <v>547</v>
      </c>
      <c r="C534" s="6" t="s">
        <v>120</v>
      </c>
      <c r="D534" s="6" t="s">
        <v>58</v>
      </c>
      <c r="E534" s="14" t="n">
        <v>2056.67</v>
      </c>
      <c r="F534" s="14" t="n">
        <v>4113.34</v>
      </c>
      <c r="G534" s="6" t="s">
        <v>15614</v>
      </c>
    </row>
    <row r="535" customFormat="false" ht="15" hidden="false" customHeight="true" outlineLevel="0" collapsed="false">
      <c r="A535" s="6" t="s">
        <v>16147</v>
      </c>
      <c r="B535" s="6" t="s">
        <v>549</v>
      </c>
      <c r="C535" s="6" t="s">
        <v>124</v>
      </c>
      <c r="D535" s="6" t="s">
        <v>59</v>
      </c>
      <c r="E535" s="14" t="n">
        <v>1947.77</v>
      </c>
      <c r="F535" s="14" t="n">
        <v>1947.77</v>
      </c>
      <c r="G535" s="6" t="s">
        <v>15614</v>
      </c>
    </row>
    <row r="536" customFormat="false" ht="15" hidden="false" customHeight="true" outlineLevel="0" collapsed="false">
      <c r="A536" s="6" t="s">
        <v>16148</v>
      </c>
      <c r="B536" s="6" t="s">
        <v>549</v>
      </c>
      <c r="C536" s="6" t="s">
        <v>124</v>
      </c>
      <c r="D536" s="6" t="s">
        <v>60</v>
      </c>
      <c r="E536" s="14" t="n">
        <v>1947.77</v>
      </c>
      <c r="F536" s="14" t="n">
        <v>3895.54</v>
      </c>
      <c r="G536" s="6" t="s">
        <v>15614</v>
      </c>
    </row>
    <row r="537" customFormat="false" ht="15" hidden="false" customHeight="true" outlineLevel="0" collapsed="false">
      <c r="A537" s="6" t="s">
        <v>16149</v>
      </c>
      <c r="B537" s="6" t="s">
        <v>549</v>
      </c>
      <c r="C537" s="6" t="s">
        <v>124</v>
      </c>
      <c r="D537" s="6" t="s">
        <v>61</v>
      </c>
      <c r="E537" s="14" t="n">
        <v>1947.77</v>
      </c>
      <c r="F537" s="14" t="n">
        <v>5843.31</v>
      </c>
      <c r="G537" s="6" t="s">
        <v>15614</v>
      </c>
    </row>
    <row r="538" customFormat="false" ht="15" hidden="false" customHeight="true" outlineLevel="0" collapsed="false">
      <c r="A538" s="6" t="s">
        <v>16150</v>
      </c>
      <c r="B538" s="6" t="s">
        <v>549</v>
      </c>
      <c r="C538" s="6" t="s">
        <v>124</v>
      </c>
      <c r="D538" s="6" t="s">
        <v>62</v>
      </c>
      <c r="E538" s="14" t="n">
        <v>1947.77</v>
      </c>
      <c r="F538" s="14" t="n">
        <v>7791.08</v>
      </c>
      <c r="G538" s="6" t="s">
        <v>15614</v>
      </c>
    </row>
    <row r="539" customFormat="false" ht="15" hidden="false" customHeight="true" outlineLevel="0" collapsed="false">
      <c r="A539" s="6" t="s">
        <v>16151</v>
      </c>
      <c r="B539" s="6" t="s">
        <v>551</v>
      </c>
      <c r="C539" s="6" t="s">
        <v>116</v>
      </c>
      <c r="D539" s="6" t="s">
        <v>25</v>
      </c>
      <c r="E539" s="14" t="n">
        <v>1303.53</v>
      </c>
      <c r="F539" s="14" t="n">
        <v>1303.53</v>
      </c>
      <c r="G539" s="6" t="s">
        <v>15614</v>
      </c>
    </row>
    <row r="540" customFormat="false" ht="15" hidden="false" customHeight="true" outlineLevel="0" collapsed="false">
      <c r="A540" s="6" t="s">
        <v>16152</v>
      </c>
      <c r="B540" s="6" t="s">
        <v>551</v>
      </c>
      <c r="C540" s="6" t="s">
        <v>116</v>
      </c>
      <c r="D540" s="6" t="s">
        <v>26</v>
      </c>
      <c r="E540" s="14" t="n">
        <v>1303.53</v>
      </c>
      <c r="F540" s="14" t="n">
        <v>2607.06</v>
      </c>
      <c r="G540" s="6" t="s">
        <v>15614</v>
      </c>
    </row>
    <row r="541" customFormat="false" ht="15" hidden="false" customHeight="true" outlineLevel="0" collapsed="false">
      <c r="A541" s="6" t="s">
        <v>16153</v>
      </c>
      <c r="B541" s="6" t="s">
        <v>553</v>
      </c>
      <c r="C541" s="6" t="s">
        <v>112</v>
      </c>
      <c r="D541" s="6" t="s">
        <v>24</v>
      </c>
      <c r="E541" s="14" t="n">
        <v>241.28</v>
      </c>
      <c r="F541" s="14" t="n">
        <v>241.28</v>
      </c>
      <c r="G541" s="6" t="s">
        <v>15614</v>
      </c>
    </row>
    <row r="542" customFormat="false" ht="15" hidden="false" customHeight="true" outlineLevel="0" collapsed="false">
      <c r="A542" s="6" t="s">
        <v>16154</v>
      </c>
      <c r="B542" s="6" t="s">
        <v>553</v>
      </c>
      <c r="C542" s="6" t="s">
        <v>112</v>
      </c>
      <c r="D542" s="6" t="s">
        <v>25</v>
      </c>
      <c r="E542" s="14" t="n">
        <v>241.28</v>
      </c>
      <c r="F542" s="14" t="n">
        <v>482.56</v>
      </c>
      <c r="G542" s="6" t="s">
        <v>15614</v>
      </c>
    </row>
    <row r="543" customFormat="false" ht="15" hidden="false" customHeight="true" outlineLevel="0" collapsed="false">
      <c r="A543" s="6" t="s">
        <v>16155</v>
      </c>
      <c r="B543" s="6" t="s">
        <v>553</v>
      </c>
      <c r="C543" s="6" t="s">
        <v>112</v>
      </c>
      <c r="D543" s="6" t="s">
        <v>26</v>
      </c>
      <c r="E543" s="14" t="n">
        <v>241.28</v>
      </c>
      <c r="F543" s="14" t="n">
        <v>723.84</v>
      </c>
      <c r="G543" s="6" t="s">
        <v>15614</v>
      </c>
    </row>
    <row r="544" customFormat="false" ht="15" hidden="false" customHeight="true" outlineLevel="0" collapsed="false">
      <c r="A544" s="6" t="s">
        <v>16156</v>
      </c>
      <c r="B544" s="6" t="s">
        <v>555</v>
      </c>
      <c r="C544" s="6" t="s">
        <v>124</v>
      </c>
      <c r="D544" s="6" t="s">
        <v>35</v>
      </c>
      <c r="E544" s="14" t="n">
        <v>268.03</v>
      </c>
      <c r="F544" s="14" t="n">
        <v>268.03</v>
      </c>
      <c r="G544" s="6" t="s">
        <v>15614</v>
      </c>
    </row>
    <row r="545" customFormat="false" ht="15" hidden="false" customHeight="true" outlineLevel="0" collapsed="false">
      <c r="A545" s="6" t="s">
        <v>16157</v>
      </c>
      <c r="B545" s="6" t="s">
        <v>555</v>
      </c>
      <c r="C545" s="6" t="s">
        <v>124</v>
      </c>
      <c r="D545" s="6" t="s">
        <v>36</v>
      </c>
      <c r="E545" s="14" t="n">
        <v>268.03</v>
      </c>
      <c r="F545" s="14" t="n">
        <v>536.06</v>
      </c>
      <c r="G545" s="6" t="s">
        <v>15614</v>
      </c>
    </row>
    <row r="546" customFormat="false" ht="15" hidden="false" customHeight="true" outlineLevel="0" collapsed="false">
      <c r="A546" s="6" t="s">
        <v>16158</v>
      </c>
      <c r="B546" s="6" t="s">
        <v>555</v>
      </c>
      <c r="C546" s="6" t="s">
        <v>124</v>
      </c>
      <c r="D546" s="6" t="s">
        <v>37</v>
      </c>
      <c r="E546" s="14" t="n">
        <v>268.03</v>
      </c>
      <c r="F546" s="14" t="n">
        <v>804.09</v>
      </c>
      <c r="G546" s="6" t="s">
        <v>15614</v>
      </c>
    </row>
    <row r="547" customFormat="false" ht="15" hidden="false" customHeight="true" outlineLevel="0" collapsed="false">
      <c r="A547" s="6" t="s">
        <v>16159</v>
      </c>
      <c r="B547" s="6" t="s">
        <v>555</v>
      </c>
      <c r="C547" s="6" t="s">
        <v>124</v>
      </c>
      <c r="D547" s="6" t="s">
        <v>38</v>
      </c>
      <c r="E547" s="14" t="n">
        <v>268.03</v>
      </c>
      <c r="F547" s="14" t="n">
        <v>1072.12</v>
      </c>
      <c r="G547" s="6" t="s">
        <v>15614</v>
      </c>
    </row>
    <row r="548" customFormat="false" ht="15" hidden="false" customHeight="true" outlineLevel="0" collapsed="false">
      <c r="A548" s="6" t="s">
        <v>16160</v>
      </c>
      <c r="B548" s="6" t="s">
        <v>555</v>
      </c>
      <c r="C548" s="6" t="s">
        <v>124</v>
      </c>
      <c r="D548" s="6" t="s">
        <v>39</v>
      </c>
      <c r="E548" s="14" t="n">
        <v>268.03</v>
      </c>
      <c r="F548" s="14" t="n">
        <v>1340.15</v>
      </c>
      <c r="G548" s="6" t="s">
        <v>15614</v>
      </c>
    </row>
    <row r="549" customFormat="false" ht="15" hidden="false" customHeight="true" outlineLevel="0" collapsed="false">
      <c r="A549" s="6" t="s">
        <v>16161</v>
      </c>
      <c r="B549" s="6" t="s">
        <v>557</v>
      </c>
      <c r="C549" s="6" t="s">
        <v>116</v>
      </c>
      <c r="D549" s="6" t="s">
        <v>57</v>
      </c>
      <c r="E549" s="14" t="n">
        <v>846.61</v>
      </c>
      <c r="F549" s="14" t="n">
        <v>846.61</v>
      </c>
      <c r="G549" s="6" t="s">
        <v>15614</v>
      </c>
    </row>
    <row r="550" customFormat="false" ht="15" hidden="false" customHeight="true" outlineLevel="0" collapsed="false">
      <c r="A550" s="6" t="s">
        <v>16162</v>
      </c>
      <c r="B550" s="6" t="s">
        <v>557</v>
      </c>
      <c r="C550" s="6" t="s">
        <v>116</v>
      </c>
      <c r="D550" s="6" t="s">
        <v>58</v>
      </c>
      <c r="E550" s="14" t="n">
        <v>846.61</v>
      </c>
      <c r="F550" s="14" t="n">
        <v>1693.22</v>
      </c>
      <c r="G550" s="6" t="s">
        <v>15614</v>
      </c>
    </row>
    <row r="551" customFormat="false" ht="15" hidden="false" customHeight="true" outlineLevel="0" collapsed="false">
      <c r="A551" s="6" t="s">
        <v>16163</v>
      </c>
      <c r="B551" s="6" t="s">
        <v>557</v>
      </c>
      <c r="C551" s="6" t="s">
        <v>116</v>
      </c>
      <c r="D551" s="6" t="s">
        <v>59</v>
      </c>
      <c r="E551" s="14" t="n">
        <v>846.61</v>
      </c>
      <c r="F551" s="14" t="n">
        <v>2539.83</v>
      </c>
      <c r="G551" s="6" t="s">
        <v>15614</v>
      </c>
    </row>
    <row r="552" customFormat="false" ht="15" hidden="false" customHeight="true" outlineLevel="0" collapsed="false">
      <c r="A552" s="6" t="s">
        <v>16164</v>
      </c>
      <c r="B552" s="6" t="s">
        <v>557</v>
      </c>
      <c r="C552" s="6" t="s">
        <v>116</v>
      </c>
      <c r="D552" s="6" t="s">
        <v>60</v>
      </c>
      <c r="E552" s="14" t="n">
        <v>846.61</v>
      </c>
      <c r="F552" s="14" t="n">
        <v>3386.44</v>
      </c>
      <c r="G552" s="6" t="s">
        <v>15614</v>
      </c>
    </row>
    <row r="553" customFormat="false" ht="15" hidden="false" customHeight="true" outlineLevel="0" collapsed="false">
      <c r="A553" s="6" t="s">
        <v>16165</v>
      </c>
      <c r="B553" s="6" t="s">
        <v>557</v>
      </c>
      <c r="C553" s="6" t="s">
        <v>116</v>
      </c>
      <c r="D553" s="6" t="s">
        <v>61</v>
      </c>
      <c r="E553" s="14" t="n">
        <v>846.61</v>
      </c>
      <c r="F553" s="14" t="n">
        <v>4233.05</v>
      </c>
      <c r="G553" s="6" t="s">
        <v>15614</v>
      </c>
    </row>
    <row r="554" customFormat="false" ht="15" hidden="false" customHeight="true" outlineLevel="0" collapsed="false">
      <c r="A554" s="6" t="s">
        <v>16166</v>
      </c>
      <c r="B554" s="6" t="s">
        <v>557</v>
      </c>
      <c r="C554" s="6" t="s">
        <v>116</v>
      </c>
      <c r="D554" s="6" t="s">
        <v>62</v>
      </c>
      <c r="E554" s="14" t="n">
        <v>846.61</v>
      </c>
      <c r="F554" s="14" t="n">
        <v>5079.66</v>
      </c>
      <c r="G554" s="6" t="s">
        <v>15614</v>
      </c>
    </row>
    <row r="555" customFormat="false" ht="15" hidden="false" customHeight="true" outlineLevel="0" collapsed="false">
      <c r="A555" s="6" t="s">
        <v>16167</v>
      </c>
      <c r="B555" s="6" t="s">
        <v>557</v>
      </c>
      <c r="C555" s="6" t="s">
        <v>116</v>
      </c>
      <c r="D555" s="6" t="s">
        <v>63</v>
      </c>
      <c r="E555" s="14" t="n">
        <v>846.61</v>
      </c>
      <c r="F555" s="14" t="n">
        <v>5926.27</v>
      </c>
      <c r="G555" s="6" t="s">
        <v>15614</v>
      </c>
    </row>
    <row r="556" customFormat="false" ht="15" hidden="false" customHeight="true" outlineLevel="0" collapsed="false">
      <c r="A556" s="6" t="s">
        <v>16168</v>
      </c>
      <c r="B556" s="6" t="s">
        <v>559</v>
      </c>
      <c r="C556" s="6" t="s">
        <v>124</v>
      </c>
      <c r="D556" s="6" t="s">
        <v>27</v>
      </c>
      <c r="E556" s="14" t="n">
        <v>1183.05</v>
      </c>
      <c r="F556" s="14" t="n">
        <v>1183.05</v>
      </c>
      <c r="G556" s="6" t="s">
        <v>15614</v>
      </c>
    </row>
    <row r="557" customFormat="false" ht="15" hidden="false" customHeight="true" outlineLevel="0" collapsed="false">
      <c r="A557" s="6" t="s">
        <v>16169</v>
      </c>
      <c r="B557" s="6" t="s">
        <v>559</v>
      </c>
      <c r="C557" s="6" t="s">
        <v>124</v>
      </c>
      <c r="D557" s="6" t="s">
        <v>28</v>
      </c>
      <c r="E557" s="14" t="n">
        <v>1183.05</v>
      </c>
      <c r="F557" s="14" t="n">
        <v>2366.1</v>
      </c>
      <c r="G557" s="6" t="s">
        <v>15614</v>
      </c>
    </row>
    <row r="558" customFormat="false" ht="15" hidden="false" customHeight="true" outlineLevel="0" collapsed="false">
      <c r="A558" s="6" t="s">
        <v>16170</v>
      </c>
      <c r="B558" s="6" t="s">
        <v>559</v>
      </c>
      <c r="C558" s="6" t="s">
        <v>124</v>
      </c>
      <c r="D558" s="6" t="s">
        <v>29</v>
      </c>
      <c r="E558" s="14" t="n">
        <v>1183.05</v>
      </c>
      <c r="F558" s="14" t="n">
        <v>3549.15</v>
      </c>
      <c r="G558" s="6" t="s">
        <v>15614</v>
      </c>
    </row>
    <row r="559" customFormat="false" ht="15" hidden="false" customHeight="true" outlineLevel="0" collapsed="false">
      <c r="A559" s="6" t="s">
        <v>16171</v>
      </c>
      <c r="B559" s="6" t="s">
        <v>559</v>
      </c>
      <c r="C559" s="6" t="s">
        <v>124</v>
      </c>
      <c r="D559" s="6" t="s">
        <v>30</v>
      </c>
      <c r="E559" s="14" t="n">
        <v>1183.05</v>
      </c>
      <c r="F559" s="14" t="n">
        <v>4732.2</v>
      </c>
      <c r="G559" s="6" t="s">
        <v>15614</v>
      </c>
    </row>
    <row r="560" customFormat="false" ht="15" hidden="false" customHeight="true" outlineLevel="0" collapsed="false">
      <c r="A560" s="6" t="s">
        <v>16172</v>
      </c>
      <c r="B560" s="6" t="s">
        <v>561</v>
      </c>
      <c r="C560" s="6" t="s">
        <v>112</v>
      </c>
      <c r="D560" s="6" t="s">
        <v>14</v>
      </c>
      <c r="E560" s="14" t="n">
        <v>3627.32</v>
      </c>
      <c r="F560" s="14" t="n">
        <v>3627.32</v>
      </c>
      <c r="G560" s="6" t="s">
        <v>15614</v>
      </c>
    </row>
    <row r="561" customFormat="false" ht="15" hidden="false" customHeight="true" outlineLevel="0" collapsed="false">
      <c r="A561" s="6" t="s">
        <v>16173</v>
      </c>
      <c r="B561" s="6" t="s">
        <v>561</v>
      </c>
      <c r="C561" s="6" t="s">
        <v>112</v>
      </c>
      <c r="D561" s="6" t="s">
        <v>15</v>
      </c>
      <c r="E561" s="14" t="n">
        <v>3627.32</v>
      </c>
      <c r="F561" s="14" t="n">
        <v>7254.64</v>
      </c>
      <c r="G561" s="6" t="s">
        <v>15614</v>
      </c>
    </row>
    <row r="562" customFormat="false" ht="15" hidden="false" customHeight="true" outlineLevel="0" collapsed="false">
      <c r="A562" s="6" t="s">
        <v>16174</v>
      </c>
      <c r="B562" s="6" t="s">
        <v>561</v>
      </c>
      <c r="C562" s="6" t="s">
        <v>112</v>
      </c>
      <c r="D562" s="6" t="s">
        <v>16</v>
      </c>
      <c r="E562" s="14" t="n">
        <v>3627.32</v>
      </c>
      <c r="F562" s="14" t="n">
        <v>10881.96</v>
      </c>
      <c r="G562" s="6" t="s">
        <v>15614</v>
      </c>
    </row>
    <row r="563" customFormat="false" ht="15" hidden="false" customHeight="true" outlineLevel="0" collapsed="false">
      <c r="A563" s="6" t="s">
        <v>16175</v>
      </c>
      <c r="B563" s="6" t="s">
        <v>563</v>
      </c>
      <c r="C563" s="6" t="s">
        <v>128</v>
      </c>
      <c r="D563" s="6" t="s">
        <v>41</v>
      </c>
      <c r="E563" s="14" t="n">
        <v>1426.19</v>
      </c>
      <c r="F563" s="14" t="n">
        <v>1426.19</v>
      </c>
      <c r="G563" s="6" t="s">
        <v>15614</v>
      </c>
    </row>
    <row r="564" customFormat="false" ht="15" hidden="false" customHeight="true" outlineLevel="0" collapsed="false">
      <c r="A564" s="6" t="s">
        <v>16176</v>
      </c>
      <c r="B564" s="6" t="s">
        <v>563</v>
      </c>
      <c r="C564" s="6" t="s">
        <v>128</v>
      </c>
      <c r="D564" s="6" t="s">
        <v>42</v>
      </c>
      <c r="E564" s="14" t="n">
        <v>1426.19</v>
      </c>
      <c r="F564" s="14" t="n">
        <v>2852.38</v>
      </c>
      <c r="G564" s="6" t="s">
        <v>15614</v>
      </c>
    </row>
    <row r="565" customFormat="false" ht="15" hidden="false" customHeight="true" outlineLevel="0" collapsed="false">
      <c r="A565" s="6" t="s">
        <v>16177</v>
      </c>
      <c r="B565" s="6" t="s">
        <v>563</v>
      </c>
      <c r="C565" s="6" t="s">
        <v>128</v>
      </c>
      <c r="D565" s="6" t="s">
        <v>43</v>
      </c>
      <c r="E565" s="14" t="n">
        <v>1426.19</v>
      </c>
      <c r="F565" s="14" t="n">
        <v>4278.57</v>
      </c>
      <c r="G565" s="6" t="s">
        <v>15614</v>
      </c>
    </row>
    <row r="566" customFormat="false" ht="15" hidden="false" customHeight="true" outlineLevel="0" collapsed="false">
      <c r="A566" s="6" t="s">
        <v>16178</v>
      </c>
      <c r="B566" s="6" t="s">
        <v>565</v>
      </c>
      <c r="C566" s="6" t="s">
        <v>120</v>
      </c>
      <c r="D566" s="6" t="s">
        <v>56</v>
      </c>
      <c r="E566" s="14" t="n">
        <v>731.65</v>
      </c>
      <c r="F566" s="14" t="n">
        <v>731.65</v>
      </c>
      <c r="G566" s="6" t="s">
        <v>15614</v>
      </c>
    </row>
    <row r="567" customFormat="false" ht="15" hidden="false" customHeight="true" outlineLevel="0" collapsed="false">
      <c r="A567" s="6" t="s">
        <v>16179</v>
      </c>
      <c r="B567" s="6" t="s">
        <v>565</v>
      </c>
      <c r="C567" s="6" t="s">
        <v>120</v>
      </c>
      <c r="D567" s="6" t="s">
        <v>57</v>
      </c>
      <c r="E567" s="14" t="n">
        <v>731.65</v>
      </c>
      <c r="F567" s="14" t="n">
        <v>1463.3</v>
      </c>
      <c r="G567" s="6" t="s">
        <v>15614</v>
      </c>
    </row>
    <row r="568" customFormat="false" ht="15" hidden="false" customHeight="true" outlineLevel="0" collapsed="false">
      <c r="A568" s="6" t="s">
        <v>16180</v>
      </c>
      <c r="B568" s="6" t="s">
        <v>565</v>
      </c>
      <c r="C568" s="6" t="s">
        <v>120</v>
      </c>
      <c r="D568" s="6" t="s">
        <v>58</v>
      </c>
      <c r="E568" s="14" t="n">
        <v>731.65</v>
      </c>
      <c r="F568" s="14" t="n">
        <v>2194.95</v>
      </c>
      <c r="G568" s="6" t="s">
        <v>15614</v>
      </c>
    </row>
    <row r="569" customFormat="false" ht="15" hidden="false" customHeight="true" outlineLevel="0" collapsed="false">
      <c r="A569" s="6" t="s">
        <v>16181</v>
      </c>
      <c r="B569" s="6" t="s">
        <v>565</v>
      </c>
      <c r="C569" s="6" t="s">
        <v>120</v>
      </c>
      <c r="D569" s="6" t="s">
        <v>59</v>
      </c>
      <c r="E569" s="14" t="n">
        <v>731.65</v>
      </c>
      <c r="F569" s="14" t="n">
        <v>2926.6</v>
      </c>
      <c r="G569" s="6" t="s">
        <v>15614</v>
      </c>
    </row>
    <row r="570" customFormat="false" ht="15" hidden="false" customHeight="true" outlineLevel="0" collapsed="false">
      <c r="A570" s="6" t="s">
        <v>16182</v>
      </c>
      <c r="B570" s="6" t="s">
        <v>565</v>
      </c>
      <c r="C570" s="6" t="s">
        <v>120</v>
      </c>
      <c r="D570" s="6" t="s">
        <v>60</v>
      </c>
      <c r="E570" s="14" t="n">
        <v>731.65</v>
      </c>
      <c r="F570" s="14" t="n">
        <v>3658.25</v>
      </c>
      <c r="G570" s="6" t="s">
        <v>15614</v>
      </c>
    </row>
    <row r="571" customFormat="false" ht="15" hidden="false" customHeight="true" outlineLevel="0" collapsed="false">
      <c r="A571" s="6" t="s">
        <v>16183</v>
      </c>
      <c r="B571" s="6" t="s">
        <v>565</v>
      </c>
      <c r="C571" s="6" t="s">
        <v>120</v>
      </c>
      <c r="D571" s="6" t="s">
        <v>61</v>
      </c>
      <c r="E571" s="14" t="n">
        <v>731.65</v>
      </c>
      <c r="F571" s="14" t="n">
        <v>4389.9</v>
      </c>
      <c r="G571" s="6" t="s">
        <v>15614</v>
      </c>
    </row>
    <row r="572" customFormat="false" ht="15" hidden="false" customHeight="true" outlineLevel="0" collapsed="false">
      <c r="A572" s="6" t="s">
        <v>16184</v>
      </c>
      <c r="B572" s="6" t="s">
        <v>567</v>
      </c>
      <c r="C572" s="6" t="s">
        <v>124</v>
      </c>
      <c r="D572" s="6" t="s">
        <v>27</v>
      </c>
      <c r="E572" s="14" t="n">
        <v>2966.2</v>
      </c>
      <c r="F572" s="14" t="n">
        <v>2966.2</v>
      </c>
      <c r="G572" s="6" t="s">
        <v>15614</v>
      </c>
    </row>
    <row r="573" customFormat="false" ht="15" hidden="false" customHeight="true" outlineLevel="0" collapsed="false">
      <c r="A573" s="6" t="s">
        <v>16185</v>
      </c>
      <c r="B573" s="6" t="s">
        <v>567</v>
      </c>
      <c r="C573" s="6" t="s">
        <v>124</v>
      </c>
      <c r="D573" s="6" t="s">
        <v>28</v>
      </c>
      <c r="E573" s="14" t="n">
        <v>2966.2</v>
      </c>
      <c r="F573" s="14" t="n">
        <v>5932.4</v>
      </c>
      <c r="G573" s="6" t="s">
        <v>15614</v>
      </c>
    </row>
    <row r="574" customFormat="false" ht="15" hidden="false" customHeight="true" outlineLevel="0" collapsed="false">
      <c r="A574" s="6" t="s">
        <v>16186</v>
      </c>
      <c r="B574" s="6" t="s">
        <v>567</v>
      </c>
      <c r="C574" s="6" t="s">
        <v>124</v>
      </c>
      <c r="D574" s="6" t="s">
        <v>29</v>
      </c>
      <c r="E574" s="14" t="n">
        <v>2966.2</v>
      </c>
      <c r="F574" s="14" t="n">
        <v>8898.6</v>
      </c>
      <c r="G574" s="6" t="s">
        <v>15614</v>
      </c>
    </row>
    <row r="575" customFormat="false" ht="15" hidden="false" customHeight="true" outlineLevel="0" collapsed="false">
      <c r="A575" s="6" t="s">
        <v>16187</v>
      </c>
      <c r="B575" s="6" t="s">
        <v>567</v>
      </c>
      <c r="C575" s="6" t="s">
        <v>124</v>
      </c>
      <c r="D575" s="6" t="s">
        <v>30</v>
      </c>
      <c r="E575" s="14" t="n">
        <v>2966.2</v>
      </c>
      <c r="F575" s="14" t="n">
        <v>11864.8</v>
      </c>
      <c r="G575" s="6" t="s">
        <v>15614</v>
      </c>
    </row>
    <row r="576" customFormat="false" ht="15" hidden="false" customHeight="true" outlineLevel="0" collapsed="false">
      <c r="A576" s="6" t="s">
        <v>16188</v>
      </c>
      <c r="B576" s="6" t="s">
        <v>567</v>
      </c>
      <c r="C576" s="6" t="s">
        <v>124</v>
      </c>
      <c r="D576" s="6" t="s">
        <v>30</v>
      </c>
      <c r="E576" s="14" t="n">
        <v>2966.2</v>
      </c>
      <c r="F576" s="14" t="n">
        <v>14831</v>
      </c>
      <c r="G576" s="6" t="s">
        <v>15614</v>
      </c>
    </row>
    <row r="577" customFormat="false" ht="15" hidden="false" customHeight="true" outlineLevel="0" collapsed="false">
      <c r="A577" s="6" t="s">
        <v>16189</v>
      </c>
      <c r="B577" s="6" t="s">
        <v>567</v>
      </c>
      <c r="C577" s="6" t="s">
        <v>124</v>
      </c>
      <c r="D577" s="6" t="s">
        <v>31</v>
      </c>
      <c r="E577" s="14" t="n">
        <v>2966.2</v>
      </c>
      <c r="F577" s="14" t="n">
        <v>17797.2</v>
      </c>
      <c r="G577" s="6" t="s">
        <v>15614</v>
      </c>
    </row>
    <row r="578" customFormat="false" ht="15" hidden="false" customHeight="true" outlineLevel="0" collapsed="false">
      <c r="A578" s="6" t="s">
        <v>16190</v>
      </c>
      <c r="B578" s="6" t="s">
        <v>567</v>
      </c>
      <c r="C578" s="6" t="s">
        <v>124</v>
      </c>
      <c r="D578" s="6" t="s">
        <v>32</v>
      </c>
      <c r="E578" s="14" t="n">
        <v>2966.2</v>
      </c>
      <c r="F578" s="14" t="n">
        <v>20763.4</v>
      </c>
      <c r="G578" s="6" t="s">
        <v>15614</v>
      </c>
    </row>
    <row r="579" customFormat="false" ht="15" hidden="false" customHeight="true" outlineLevel="0" collapsed="false">
      <c r="A579" s="6" t="s">
        <v>16191</v>
      </c>
      <c r="B579" s="6" t="s">
        <v>567</v>
      </c>
      <c r="C579" s="6" t="s">
        <v>124</v>
      </c>
      <c r="D579" s="6" t="s">
        <v>33</v>
      </c>
      <c r="E579" s="14" t="n">
        <v>2966.2</v>
      </c>
      <c r="F579" s="14" t="n">
        <v>23729.6</v>
      </c>
      <c r="G579" s="6" t="s">
        <v>15614</v>
      </c>
    </row>
    <row r="580" customFormat="false" ht="15" hidden="false" customHeight="true" outlineLevel="0" collapsed="false">
      <c r="A580" s="6" t="s">
        <v>16192</v>
      </c>
      <c r="B580" s="6" t="s">
        <v>569</v>
      </c>
      <c r="C580" s="6" t="s">
        <v>131</v>
      </c>
      <c r="D580" s="6" t="s">
        <v>48</v>
      </c>
      <c r="E580" s="14" t="n">
        <v>309.67</v>
      </c>
      <c r="F580" s="14" t="n">
        <v>309.67</v>
      </c>
      <c r="G580" s="6" t="s">
        <v>15614</v>
      </c>
    </row>
    <row r="581" customFormat="false" ht="15" hidden="false" customHeight="true" outlineLevel="0" collapsed="false">
      <c r="A581" s="6" t="s">
        <v>16193</v>
      </c>
      <c r="B581" s="6" t="s">
        <v>569</v>
      </c>
      <c r="C581" s="6" t="s">
        <v>131</v>
      </c>
      <c r="D581" s="6" t="s">
        <v>49</v>
      </c>
      <c r="E581" s="14" t="n">
        <v>309.67</v>
      </c>
      <c r="F581" s="14" t="n">
        <v>619.34</v>
      </c>
      <c r="G581" s="6" t="s">
        <v>15614</v>
      </c>
    </row>
    <row r="582" customFormat="false" ht="15" hidden="false" customHeight="true" outlineLevel="0" collapsed="false">
      <c r="A582" s="6" t="s">
        <v>16194</v>
      </c>
      <c r="B582" s="6" t="s">
        <v>571</v>
      </c>
      <c r="C582" s="6" t="s">
        <v>112</v>
      </c>
      <c r="D582" s="6" t="s">
        <v>23</v>
      </c>
      <c r="E582" s="14" t="n">
        <v>135.64</v>
      </c>
      <c r="F582" s="14" t="n">
        <v>135.64</v>
      </c>
      <c r="G582" s="6" t="s">
        <v>15614</v>
      </c>
    </row>
    <row r="583" customFormat="false" ht="15" hidden="false" customHeight="true" outlineLevel="0" collapsed="false">
      <c r="A583" s="6" t="s">
        <v>16195</v>
      </c>
      <c r="B583" s="6" t="s">
        <v>571</v>
      </c>
      <c r="C583" s="6" t="s">
        <v>112</v>
      </c>
      <c r="D583" s="6" t="s">
        <v>24</v>
      </c>
      <c r="E583" s="14" t="n">
        <v>135.64</v>
      </c>
      <c r="F583" s="14" t="n">
        <v>271.28</v>
      </c>
      <c r="G583" s="6" t="s">
        <v>15614</v>
      </c>
    </row>
    <row r="584" customFormat="false" ht="15" hidden="false" customHeight="true" outlineLevel="0" collapsed="false">
      <c r="A584" s="6" t="s">
        <v>16196</v>
      </c>
      <c r="B584" s="6" t="s">
        <v>571</v>
      </c>
      <c r="C584" s="6" t="s">
        <v>112</v>
      </c>
      <c r="D584" s="6" t="s">
        <v>25</v>
      </c>
      <c r="E584" s="14" t="n">
        <v>135.64</v>
      </c>
      <c r="F584" s="14" t="n">
        <v>406.92</v>
      </c>
      <c r="G584" s="6" t="s">
        <v>15614</v>
      </c>
    </row>
    <row r="585" customFormat="false" ht="15" hidden="false" customHeight="true" outlineLevel="0" collapsed="false">
      <c r="A585" s="6" t="s">
        <v>16197</v>
      </c>
      <c r="B585" s="6" t="s">
        <v>571</v>
      </c>
      <c r="C585" s="6" t="s">
        <v>112</v>
      </c>
      <c r="D585" s="6" t="s">
        <v>26</v>
      </c>
      <c r="E585" s="14" t="n">
        <v>135.64</v>
      </c>
      <c r="F585" s="14" t="n">
        <v>542.56</v>
      </c>
      <c r="G585" s="6" t="s">
        <v>15614</v>
      </c>
    </row>
    <row r="586" customFormat="false" ht="15" hidden="false" customHeight="true" outlineLevel="0" collapsed="false">
      <c r="A586" s="6" t="s">
        <v>16198</v>
      </c>
      <c r="B586" s="6" t="s">
        <v>571</v>
      </c>
      <c r="C586" s="6" t="s">
        <v>112</v>
      </c>
      <c r="D586" s="6" t="s">
        <v>27</v>
      </c>
      <c r="E586" s="14" t="n">
        <v>135.64</v>
      </c>
      <c r="F586" s="14" t="n">
        <v>678.2</v>
      </c>
      <c r="G586" s="6" t="s">
        <v>15614</v>
      </c>
    </row>
    <row r="587" customFormat="false" ht="15" hidden="false" customHeight="true" outlineLevel="0" collapsed="false">
      <c r="A587" s="6" t="s">
        <v>16199</v>
      </c>
      <c r="B587" s="6" t="s">
        <v>571</v>
      </c>
      <c r="C587" s="6" t="s">
        <v>112</v>
      </c>
      <c r="D587" s="6" t="s">
        <v>28</v>
      </c>
      <c r="E587" s="14" t="n">
        <v>135.64</v>
      </c>
      <c r="F587" s="14" t="n">
        <v>813.84</v>
      </c>
      <c r="G587" s="6" t="s">
        <v>15614</v>
      </c>
    </row>
    <row r="588" customFormat="false" ht="15" hidden="false" customHeight="true" outlineLevel="0" collapsed="false">
      <c r="A588" s="6" t="s">
        <v>16200</v>
      </c>
      <c r="B588" s="6" t="s">
        <v>573</v>
      </c>
      <c r="C588" s="6" t="s">
        <v>116</v>
      </c>
      <c r="D588" s="6" t="s">
        <v>57</v>
      </c>
      <c r="E588" s="14" t="n">
        <v>3179.83</v>
      </c>
      <c r="F588" s="14" t="n">
        <v>3179.83</v>
      </c>
      <c r="G588" s="6" t="s">
        <v>15614</v>
      </c>
    </row>
    <row r="589" customFormat="false" ht="15" hidden="false" customHeight="true" outlineLevel="0" collapsed="false">
      <c r="A589" s="6" t="s">
        <v>16201</v>
      </c>
      <c r="B589" s="6" t="s">
        <v>573</v>
      </c>
      <c r="C589" s="6" t="s">
        <v>116</v>
      </c>
      <c r="D589" s="6" t="s">
        <v>58</v>
      </c>
      <c r="E589" s="14" t="n">
        <v>3179.83</v>
      </c>
      <c r="F589" s="14" t="n">
        <v>6359.66</v>
      </c>
      <c r="G589" s="6" t="s">
        <v>15614</v>
      </c>
    </row>
    <row r="590" customFormat="false" ht="15" hidden="false" customHeight="true" outlineLevel="0" collapsed="false">
      <c r="A590" s="6" t="s">
        <v>16202</v>
      </c>
      <c r="B590" s="6" t="s">
        <v>573</v>
      </c>
      <c r="C590" s="6" t="s">
        <v>116</v>
      </c>
      <c r="D590" s="6" t="s">
        <v>59</v>
      </c>
      <c r="E590" s="14" t="n">
        <v>3179.83</v>
      </c>
      <c r="F590" s="14" t="n">
        <v>9539.49</v>
      </c>
      <c r="G590" s="6" t="s">
        <v>15614</v>
      </c>
    </row>
    <row r="591" customFormat="false" ht="15" hidden="false" customHeight="true" outlineLevel="0" collapsed="false">
      <c r="A591" s="6" t="s">
        <v>16203</v>
      </c>
      <c r="B591" s="6" t="s">
        <v>573</v>
      </c>
      <c r="C591" s="6" t="s">
        <v>116</v>
      </c>
      <c r="D591" s="6" t="s">
        <v>60</v>
      </c>
      <c r="E591" s="14" t="n">
        <v>3179.83</v>
      </c>
      <c r="F591" s="14" t="n">
        <v>12719.32</v>
      </c>
      <c r="G591" s="6" t="s">
        <v>15614</v>
      </c>
    </row>
    <row r="592" customFormat="false" ht="15" hidden="false" customHeight="true" outlineLevel="0" collapsed="false">
      <c r="A592" s="6" t="s">
        <v>16204</v>
      </c>
      <c r="B592" s="6" t="s">
        <v>573</v>
      </c>
      <c r="C592" s="6" t="s">
        <v>116</v>
      </c>
      <c r="D592" s="6" t="s">
        <v>61</v>
      </c>
      <c r="E592" s="14" t="n">
        <v>3179.83</v>
      </c>
      <c r="F592" s="14" t="n">
        <v>15899.15</v>
      </c>
      <c r="G592" s="6" t="s">
        <v>15614</v>
      </c>
    </row>
    <row r="593" customFormat="false" ht="15" hidden="false" customHeight="true" outlineLevel="0" collapsed="false">
      <c r="A593" s="6" t="s">
        <v>16205</v>
      </c>
      <c r="B593" s="6" t="s">
        <v>573</v>
      </c>
      <c r="C593" s="6" t="s">
        <v>116</v>
      </c>
      <c r="D593" s="6" t="s">
        <v>62</v>
      </c>
      <c r="E593" s="14" t="n">
        <v>3179.83</v>
      </c>
      <c r="F593" s="14" t="n">
        <v>19078.98</v>
      </c>
      <c r="G593" s="6" t="s">
        <v>15614</v>
      </c>
    </row>
    <row r="594" customFormat="false" ht="15" hidden="false" customHeight="true" outlineLevel="0" collapsed="false">
      <c r="A594" s="6" t="s">
        <v>16206</v>
      </c>
      <c r="B594" s="6" t="s">
        <v>573</v>
      </c>
      <c r="C594" s="6" t="s">
        <v>116</v>
      </c>
      <c r="D594" s="6" t="s">
        <v>63</v>
      </c>
      <c r="E594" s="14" t="n">
        <v>3179.83</v>
      </c>
      <c r="F594" s="14" t="n">
        <v>22258.81</v>
      </c>
      <c r="G594" s="6" t="s">
        <v>15614</v>
      </c>
    </row>
    <row r="595" customFormat="false" ht="15" hidden="false" customHeight="true" outlineLevel="0" collapsed="false">
      <c r="A595" s="6" t="s">
        <v>16207</v>
      </c>
      <c r="B595" s="6" t="s">
        <v>575</v>
      </c>
      <c r="C595" s="6" t="s">
        <v>131</v>
      </c>
      <c r="D595" s="6" t="s">
        <v>62</v>
      </c>
      <c r="E595" s="14" t="n">
        <v>997.24</v>
      </c>
      <c r="F595" s="14" t="n">
        <v>997.24</v>
      </c>
      <c r="G595" s="6" t="s">
        <v>15614</v>
      </c>
    </row>
    <row r="596" customFormat="false" ht="15" hidden="false" customHeight="true" outlineLevel="0" collapsed="false">
      <c r="A596" s="6" t="s">
        <v>16208</v>
      </c>
      <c r="B596" s="6" t="s">
        <v>575</v>
      </c>
      <c r="C596" s="6" t="s">
        <v>131</v>
      </c>
      <c r="D596" s="6" t="s">
        <v>63</v>
      </c>
      <c r="E596" s="14" t="n">
        <v>997.24</v>
      </c>
      <c r="F596" s="14" t="n">
        <v>1994.48</v>
      </c>
      <c r="G596" s="6" t="s">
        <v>15614</v>
      </c>
    </row>
    <row r="597" customFormat="false" ht="15" hidden="false" customHeight="true" outlineLevel="0" collapsed="false">
      <c r="A597" s="6" t="s">
        <v>16209</v>
      </c>
      <c r="B597" s="6" t="s">
        <v>575</v>
      </c>
      <c r="C597" s="6" t="s">
        <v>131</v>
      </c>
      <c r="D597" s="6" t="s">
        <v>63</v>
      </c>
      <c r="E597" s="14" t="n">
        <v>997.24</v>
      </c>
      <c r="F597" s="14" t="n">
        <v>2991.72</v>
      </c>
      <c r="G597" s="6" t="s">
        <v>15614</v>
      </c>
    </row>
    <row r="598" customFormat="false" ht="15" hidden="false" customHeight="true" outlineLevel="0" collapsed="false">
      <c r="A598" s="6" t="s">
        <v>16210</v>
      </c>
      <c r="B598" s="6" t="s">
        <v>577</v>
      </c>
      <c r="C598" s="6" t="s">
        <v>131</v>
      </c>
      <c r="D598" s="6" t="s">
        <v>44</v>
      </c>
      <c r="E598" s="14" t="n">
        <v>711.88</v>
      </c>
      <c r="F598" s="14" t="n">
        <v>711.88</v>
      </c>
      <c r="G598" s="6" t="s">
        <v>15614</v>
      </c>
    </row>
    <row r="599" customFormat="false" ht="15" hidden="false" customHeight="true" outlineLevel="0" collapsed="false">
      <c r="A599" s="6" t="s">
        <v>16211</v>
      </c>
      <c r="B599" s="6" t="s">
        <v>577</v>
      </c>
      <c r="C599" s="6" t="s">
        <v>131</v>
      </c>
      <c r="D599" s="6" t="s">
        <v>45</v>
      </c>
      <c r="E599" s="14" t="n">
        <v>711.88</v>
      </c>
      <c r="F599" s="14" t="n">
        <v>1423.76</v>
      </c>
      <c r="G599" s="6" t="s">
        <v>15614</v>
      </c>
    </row>
    <row r="600" customFormat="false" ht="15" hidden="false" customHeight="true" outlineLevel="0" collapsed="false">
      <c r="A600" s="6" t="s">
        <v>16212</v>
      </c>
      <c r="B600" s="6" t="s">
        <v>577</v>
      </c>
      <c r="C600" s="6" t="s">
        <v>131</v>
      </c>
      <c r="D600" s="6" t="s">
        <v>46</v>
      </c>
      <c r="E600" s="14" t="n">
        <v>711.88</v>
      </c>
      <c r="F600" s="14" t="n">
        <v>2135.64</v>
      </c>
      <c r="G600" s="6" t="s">
        <v>15614</v>
      </c>
    </row>
    <row r="601" customFormat="false" ht="15" hidden="false" customHeight="true" outlineLevel="0" collapsed="false">
      <c r="A601" s="6" t="s">
        <v>16213</v>
      </c>
      <c r="B601" s="6" t="s">
        <v>579</v>
      </c>
      <c r="C601" s="6" t="s">
        <v>131</v>
      </c>
      <c r="D601" s="6" t="s">
        <v>26</v>
      </c>
      <c r="E601" s="14" t="n">
        <v>1449.86</v>
      </c>
      <c r="F601" s="14" t="n">
        <v>1449.86</v>
      </c>
      <c r="G601" s="6" t="s">
        <v>15614</v>
      </c>
    </row>
    <row r="602" customFormat="false" ht="15" hidden="false" customHeight="true" outlineLevel="0" collapsed="false">
      <c r="A602" s="6" t="s">
        <v>16214</v>
      </c>
      <c r="B602" s="6" t="s">
        <v>579</v>
      </c>
      <c r="C602" s="6" t="s">
        <v>131</v>
      </c>
      <c r="D602" s="6" t="s">
        <v>27</v>
      </c>
      <c r="E602" s="14" t="n">
        <v>1449.86</v>
      </c>
      <c r="F602" s="14" t="n">
        <v>2899.72</v>
      </c>
      <c r="G602" s="6" t="s">
        <v>15614</v>
      </c>
    </row>
    <row r="603" customFormat="false" ht="15" hidden="false" customHeight="true" outlineLevel="0" collapsed="false">
      <c r="A603" s="6" t="s">
        <v>16215</v>
      </c>
      <c r="B603" s="6" t="s">
        <v>579</v>
      </c>
      <c r="C603" s="6" t="s">
        <v>131</v>
      </c>
      <c r="D603" s="6" t="s">
        <v>28</v>
      </c>
      <c r="E603" s="14" t="n">
        <v>1449.86</v>
      </c>
      <c r="F603" s="14" t="n">
        <v>4349.58</v>
      </c>
      <c r="G603" s="6" t="s">
        <v>15614</v>
      </c>
    </row>
    <row r="604" customFormat="false" ht="15" hidden="false" customHeight="true" outlineLevel="0" collapsed="false">
      <c r="A604" s="6" t="s">
        <v>16216</v>
      </c>
      <c r="B604" s="6" t="s">
        <v>581</v>
      </c>
      <c r="C604" s="6" t="s">
        <v>124</v>
      </c>
      <c r="D604" s="6" t="s">
        <v>11</v>
      </c>
      <c r="E604" s="14" t="n">
        <v>2597.62</v>
      </c>
      <c r="F604" s="14" t="n">
        <v>2597.62</v>
      </c>
      <c r="G604" s="6" t="s">
        <v>15614</v>
      </c>
    </row>
    <row r="605" customFormat="false" ht="15" hidden="false" customHeight="true" outlineLevel="0" collapsed="false">
      <c r="A605" s="6" t="s">
        <v>16217</v>
      </c>
      <c r="B605" s="6" t="s">
        <v>581</v>
      </c>
      <c r="C605" s="6" t="s">
        <v>124</v>
      </c>
      <c r="D605" s="6" t="s">
        <v>12</v>
      </c>
      <c r="E605" s="14" t="n">
        <v>2597.62</v>
      </c>
      <c r="F605" s="14" t="n">
        <v>5195.24</v>
      </c>
      <c r="G605" s="6" t="s">
        <v>15614</v>
      </c>
    </row>
    <row r="606" customFormat="false" ht="15" hidden="false" customHeight="true" outlineLevel="0" collapsed="false">
      <c r="A606" s="6" t="s">
        <v>16218</v>
      </c>
      <c r="B606" s="6" t="s">
        <v>581</v>
      </c>
      <c r="C606" s="6" t="s">
        <v>124</v>
      </c>
      <c r="D606" s="6" t="s">
        <v>13</v>
      </c>
      <c r="E606" s="14" t="n">
        <v>2597.62</v>
      </c>
      <c r="F606" s="14" t="n">
        <v>7792.86</v>
      </c>
      <c r="G606" s="6" t="s">
        <v>15614</v>
      </c>
    </row>
    <row r="607" customFormat="false" ht="15" hidden="false" customHeight="true" outlineLevel="0" collapsed="false">
      <c r="A607" s="6" t="s">
        <v>16219</v>
      </c>
      <c r="B607" s="6" t="s">
        <v>581</v>
      </c>
      <c r="C607" s="6" t="s">
        <v>124</v>
      </c>
      <c r="D607" s="6" t="s">
        <v>14</v>
      </c>
      <c r="E607" s="14" t="n">
        <v>2597.62</v>
      </c>
      <c r="F607" s="14" t="n">
        <v>10390.48</v>
      </c>
      <c r="G607" s="6" t="s">
        <v>15614</v>
      </c>
    </row>
    <row r="608" customFormat="false" ht="15" hidden="false" customHeight="true" outlineLevel="0" collapsed="false">
      <c r="A608" s="6" t="s">
        <v>16220</v>
      </c>
      <c r="B608" s="6" t="s">
        <v>581</v>
      </c>
      <c r="C608" s="6" t="s">
        <v>124</v>
      </c>
      <c r="D608" s="6" t="s">
        <v>15</v>
      </c>
      <c r="E608" s="14" t="n">
        <v>2597.62</v>
      </c>
      <c r="F608" s="14" t="n">
        <v>12988.1</v>
      </c>
      <c r="G608" s="6" t="s">
        <v>15614</v>
      </c>
    </row>
    <row r="609" customFormat="false" ht="15" hidden="false" customHeight="true" outlineLevel="0" collapsed="false">
      <c r="A609" s="6" t="s">
        <v>16221</v>
      </c>
      <c r="B609" s="6" t="s">
        <v>581</v>
      </c>
      <c r="C609" s="6" t="s">
        <v>124</v>
      </c>
      <c r="D609" s="6" t="s">
        <v>16</v>
      </c>
      <c r="E609" s="14" t="n">
        <v>2597.62</v>
      </c>
      <c r="F609" s="14" t="n">
        <v>15585.72</v>
      </c>
      <c r="G609" s="6" t="s">
        <v>15614</v>
      </c>
    </row>
    <row r="610" customFormat="false" ht="15" hidden="false" customHeight="true" outlineLevel="0" collapsed="false">
      <c r="A610" s="6" t="s">
        <v>16222</v>
      </c>
      <c r="B610" s="6" t="s">
        <v>583</v>
      </c>
      <c r="C610" s="6" t="s">
        <v>124</v>
      </c>
      <c r="D610" s="6" t="s">
        <v>39</v>
      </c>
      <c r="E610" s="14" t="n">
        <v>1676.89</v>
      </c>
      <c r="F610" s="14" t="n">
        <v>1676.89</v>
      </c>
      <c r="G610" s="6" t="s">
        <v>15614</v>
      </c>
    </row>
    <row r="611" customFormat="false" ht="15" hidden="false" customHeight="true" outlineLevel="0" collapsed="false">
      <c r="A611" s="6" t="s">
        <v>16223</v>
      </c>
      <c r="B611" s="6" t="s">
        <v>583</v>
      </c>
      <c r="C611" s="6" t="s">
        <v>124</v>
      </c>
      <c r="D611" s="6" t="s">
        <v>40</v>
      </c>
      <c r="E611" s="14" t="n">
        <v>1676.89</v>
      </c>
      <c r="F611" s="14" t="n">
        <v>3353.78</v>
      </c>
      <c r="G611" s="6" t="s">
        <v>15614</v>
      </c>
    </row>
    <row r="612" customFormat="false" ht="15" hidden="false" customHeight="true" outlineLevel="0" collapsed="false">
      <c r="A612" s="6" t="s">
        <v>16224</v>
      </c>
      <c r="B612" s="6" t="s">
        <v>583</v>
      </c>
      <c r="C612" s="6" t="s">
        <v>124</v>
      </c>
      <c r="D612" s="6" t="s">
        <v>41</v>
      </c>
      <c r="E612" s="14" t="n">
        <v>1676.89</v>
      </c>
      <c r="F612" s="14" t="n">
        <v>5030.67</v>
      </c>
      <c r="G612" s="6" t="s">
        <v>15614</v>
      </c>
    </row>
    <row r="613" customFormat="false" ht="15" hidden="false" customHeight="true" outlineLevel="0" collapsed="false">
      <c r="A613" s="6" t="s">
        <v>16225</v>
      </c>
      <c r="B613" s="6" t="s">
        <v>585</v>
      </c>
      <c r="C613" s="6" t="s">
        <v>116</v>
      </c>
      <c r="D613" s="6" t="s">
        <v>19</v>
      </c>
      <c r="E613" s="14" t="n">
        <v>952.13</v>
      </c>
      <c r="F613" s="14" t="n">
        <v>952.13</v>
      </c>
      <c r="G613" s="6" t="s">
        <v>15614</v>
      </c>
    </row>
    <row r="614" customFormat="false" ht="15" hidden="false" customHeight="true" outlineLevel="0" collapsed="false">
      <c r="A614" s="6" t="s">
        <v>16226</v>
      </c>
      <c r="B614" s="6" t="s">
        <v>585</v>
      </c>
      <c r="C614" s="6" t="s">
        <v>116</v>
      </c>
      <c r="D614" s="6" t="s">
        <v>20</v>
      </c>
      <c r="E614" s="14" t="n">
        <v>952.13</v>
      </c>
      <c r="F614" s="14" t="n">
        <v>1904.26</v>
      </c>
      <c r="G614" s="6" t="s">
        <v>15614</v>
      </c>
    </row>
    <row r="615" customFormat="false" ht="15" hidden="false" customHeight="true" outlineLevel="0" collapsed="false">
      <c r="A615" s="6" t="s">
        <v>16227</v>
      </c>
      <c r="B615" s="6" t="s">
        <v>585</v>
      </c>
      <c r="C615" s="6" t="s">
        <v>116</v>
      </c>
      <c r="D615" s="6" t="s">
        <v>21</v>
      </c>
      <c r="E615" s="14" t="n">
        <v>952.13</v>
      </c>
      <c r="F615" s="14" t="n">
        <v>2856.39</v>
      </c>
      <c r="G615" s="6" t="s">
        <v>15614</v>
      </c>
    </row>
    <row r="616" customFormat="false" ht="15" hidden="false" customHeight="true" outlineLevel="0" collapsed="false">
      <c r="A616" s="6" t="s">
        <v>16228</v>
      </c>
      <c r="B616" s="6" t="s">
        <v>587</v>
      </c>
      <c r="C616" s="6" t="s">
        <v>124</v>
      </c>
      <c r="D616" s="6" t="s">
        <v>17</v>
      </c>
      <c r="E616" s="14" t="n">
        <v>296.9</v>
      </c>
      <c r="F616" s="14" t="n">
        <v>296.9</v>
      </c>
      <c r="G616" s="6" t="s">
        <v>15614</v>
      </c>
    </row>
    <row r="617" customFormat="false" ht="15" hidden="false" customHeight="true" outlineLevel="0" collapsed="false">
      <c r="A617" s="6" t="s">
        <v>16229</v>
      </c>
      <c r="B617" s="6" t="s">
        <v>587</v>
      </c>
      <c r="C617" s="6" t="s">
        <v>124</v>
      </c>
      <c r="D617" s="6" t="s">
        <v>18</v>
      </c>
      <c r="E617" s="14" t="n">
        <v>296.9</v>
      </c>
      <c r="F617" s="14" t="n">
        <v>593.8</v>
      </c>
      <c r="G617" s="6" t="s">
        <v>15614</v>
      </c>
    </row>
    <row r="618" customFormat="false" ht="15" hidden="false" customHeight="true" outlineLevel="0" collapsed="false">
      <c r="A618" s="6" t="s">
        <v>16230</v>
      </c>
      <c r="B618" s="6" t="s">
        <v>589</v>
      </c>
      <c r="C618" s="6" t="s">
        <v>112</v>
      </c>
      <c r="D618" s="6" t="s">
        <v>50</v>
      </c>
      <c r="E618" s="14" t="n">
        <v>1807.49</v>
      </c>
      <c r="F618" s="14" t="n">
        <v>1807.49</v>
      </c>
      <c r="G618" s="6" t="s">
        <v>15614</v>
      </c>
    </row>
    <row r="619" customFormat="false" ht="15" hidden="false" customHeight="true" outlineLevel="0" collapsed="false">
      <c r="A619" s="6" t="s">
        <v>16231</v>
      </c>
      <c r="B619" s="6" t="s">
        <v>589</v>
      </c>
      <c r="C619" s="6" t="s">
        <v>112</v>
      </c>
      <c r="D619" s="6" t="s">
        <v>51</v>
      </c>
      <c r="E619" s="14" t="n">
        <v>1807.49</v>
      </c>
      <c r="F619" s="14" t="n">
        <v>3614.98</v>
      </c>
      <c r="G619" s="6" t="s">
        <v>15614</v>
      </c>
    </row>
    <row r="620" customFormat="false" ht="15" hidden="false" customHeight="true" outlineLevel="0" collapsed="false">
      <c r="A620" s="6" t="s">
        <v>16232</v>
      </c>
      <c r="B620" s="6" t="s">
        <v>589</v>
      </c>
      <c r="C620" s="6" t="s">
        <v>112</v>
      </c>
      <c r="D620" s="6" t="s">
        <v>52</v>
      </c>
      <c r="E620" s="14" t="n">
        <v>1807.49</v>
      </c>
      <c r="F620" s="14" t="n">
        <v>5422.47</v>
      </c>
      <c r="G620" s="6" t="s">
        <v>15614</v>
      </c>
    </row>
    <row r="621" customFormat="false" ht="15" hidden="false" customHeight="true" outlineLevel="0" collapsed="false">
      <c r="A621" s="6" t="s">
        <v>16233</v>
      </c>
      <c r="B621" s="6" t="s">
        <v>589</v>
      </c>
      <c r="C621" s="6" t="s">
        <v>112</v>
      </c>
      <c r="D621" s="6" t="s">
        <v>53</v>
      </c>
      <c r="E621" s="14" t="n">
        <v>1807.49</v>
      </c>
      <c r="F621" s="14" t="n">
        <v>7229.96</v>
      </c>
      <c r="G621" s="6" t="s">
        <v>15614</v>
      </c>
    </row>
    <row r="622" customFormat="false" ht="15" hidden="false" customHeight="true" outlineLevel="0" collapsed="false">
      <c r="A622" s="6" t="s">
        <v>16234</v>
      </c>
      <c r="B622" s="6" t="s">
        <v>591</v>
      </c>
      <c r="C622" s="6" t="s">
        <v>116</v>
      </c>
      <c r="D622" s="6" t="s">
        <v>40</v>
      </c>
      <c r="E622" s="14" t="n">
        <v>1684.56</v>
      </c>
      <c r="F622" s="14" t="n">
        <v>1684.56</v>
      </c>
      <c r="G622" s="6" t="s">
        <v>15614</v>
      </c>
    </row>
    <row r="623" customFormat="false" ht="15" hidden="false" customHeight="true" outlineLevel="0" collapsed="false">
      <c r="A623" s="6" t="s">
        <v>16235</v>
      </c>
      <c r="B623" s="6" t="s">
        <v>591</v>
      </c>
      <c r="C623" s="6" t="s">
        <v>116</v>
      </c>
      <c r="D623" s="6" t="s">
        <v>41</v>
      </c>
      <c r="E623" s="14" t="n">
        <v>1684.56</v>
      </c>
      <c r="F623" s="14" t="n">
        <v>3369.12</v>
      </c>
      <c r="G623" s="6" t="s">
        <v>15614</v>
      </c>
    </row>
    <row r="624" customFormat="false" ht="15" hidden="false" customHeight="true" outlineLevel="0" collapsed="false">
      <c r="A624" s="6" t="s">
        <v>16236</v>
      </c>
      <c r="B624" s="6" t="s">
        <v>593</v>
      </c>
      <c r="C624" s="6" t="s">
        <v>131</v>
      </c>
      <c r="D624" s="6" t="s">
        <v>39</v>
      </c>
      <c r="E624" s="14" t="n">
        <v>3365.57</v>
      </c>
      <c r="F624" s="14" t="n">
        <v>3365.57</v>
      </c>
      <c r="G624" s="6" t="s">
        <v>15614</v>
      </c>
    </row>
    <row r="625" customFormat="false" ht="15" hidden="false" customHeight="true" outlineLevel="0" collapsed="false">
      <c r="A625" s="6" t="s">
        <v>16237</v>
      </c>
      <c r="B625" s="6" t="s">
        <v>593</v>
      </c>
      <c r="C625" s="6" t="s">
        <v>131</v>
      </c>
      <c r="D625" s="6" t="s">
        <v>40</v>
      </c>
      <c r="E625" s="14" t="n">
        <v>3365.57</v>
      </c>
      <c r="F625" s="14" t="n">
        <v>6731.14</v>
      </c>
      <c r="G625" s="6" t="s">
        <v>15614</v>
      </c>
    </row>
    <row r="626" customFormat="false" ht="15" hidden="false" customHeight="true" outlineLevel="0" collapsed="false">
      <c r="A626" s="6" t="s">
        <v>16238</v>
      </c>
      <c r="B626" s="6" t="s">
        <v>595</v>
      </c>
      <c r="C626" s="6" t="s">
        <v>131</v>
      </c>
      <c r="D626" s="6" t="s">
        <v>55</v>
      </c>
      <c r="E626" s="14" t="n">
        <v>304.35</v>
      </c>
      <c r="F626" s="14" t="n">
        <v>304.35</v>
      </c>
      <c r="G626" s="6" t="s">
        <v>15614</v>
      </c>
    </row>
    <row r="627" customFormat="false" ht="15" hidden="false" customHeight="true" outlineLevel="0" collapsed="false">
      <c r="A627" s="6" t="s">
        <v>16239</v>
      </c>
      <c r="B627" s="6" t="s">
        <v>595</v>
      </c>
      <c r="C627" s="6" t="s">
        <v>131</v>
      </c>
      <c r="D627" s="6" t="s">
        <v>56</v>
      </c>
      <c r="E627" s="14" t="n">
        <v>304.35</v>
      </c>
      <c r="F627" s="14" t="n">
        <v>608.7</v>
      </c>
      <c r="G627" s="6" t="s">
        <v>15614</v>
      </c>
    </row>
    <row r="628" customFormat="false" ht="15" hidden="false" customHeight="true" outlineLevel="0" collapsed="false">
      <c r="A628" s="6" t="s">
        <v>16240</v>
      </c>
      <c r="B628" s="6" t="s">
        <v>595</v>
      </c>
      <c r="C628" s="6" t="s">
        <v>131</v>
      </c>
      <c r="D628" s="6" t="s">
        <v>57</v>
      </c>
      <c r="E628" s="14" t="n">
        <v>304.35</v>
      </c>
      <c r="F628" s="14" t="n">
        <v>913.05</v>
      </c>
      <c r="G628" s="6" t="s">
        <v>15614</v>
      </c>
    </row>
    <row r="629" customFormat="false" ht="15" hidden="false" customHeight="true" outlineLevel="0" collapsed="false">
      <c r="A629" s="6" t="s">
        <v>16241</v>
      </c>
      <c r="B629" s="6" t="s">
        <v>595</v>
      </c>
      <c r="C629" s="6" t="s">
        <v>131</v>
      </c>
      <c r="D629" s="6" t="s">
        <v>58</v>
      </c>
      <c r="E629" s="14" t="n">
        <v>304.35</v>
      </c>
      <c r="F629" s="14" t="n">
        <v>1217.4</v>
      </c>
      <c r="G629" s="6" t="s">
        <v>15614</v>
      </c>
    </row>
    <row r="630" customFormat="false" ht="15" hidden="false" customHeight="true" outlineLevel="0" collapsed="false">
      <c r="A630" s="6" t="s">
        <v>16242</v>
      </c>
      <c r="B630" s="6" t="s">
        <v>595</v>
      </c>
      <c r="C630" s="6" t="s">
        <v>131</v>
      </c>
      <c r="D630" s="6" t="s">
        <v>59</v>
      </c>
      <c r="E630" s="14" t="n">
        <v>304.35</v>
      </c>
      <c r="F630" s="14" t="n">
        <v>1521.75</v>
      </c>
      <c r="G630" s="6" t="s">
        <v>15614</v>
      </c>
    </row>
    <row r="631" customFormat="false" ht="15" hidden="false" customHeight="true" outlineLevel="0" collapsed="false">
      <c r="A631" s="6" t="s">
        <v>16243</v>
      </c>
      <c r="B631" s="6" t="s">
        <v>595</v>
      </c>
      <c r="C631" s="6" t="s">
        <v>131</v>
      </c>
      <c r="D631" s="6" t="s">
        <v>60</v>
      </c>
      <c r="E631" s="14" t="n">
        <v>304.35</v>
      </c>
      <c r="F631" s="14" t="n">
        <v>1826.1</v>
      </c>
      <c r="G631" s="6" t="s">
        <v>15614</v>
      </c>
    </row>
    <row r="632" customFormat="false" ht="15" hidden="false" customHeight="true" outlineLevel="0" collapsed="false">
      <c r="A632" s="6" t="s">
        <v>16244</v>
      </c>
      <c r="B632" s="6" t="s">
        <v>597</v>
      </c>
      <c r="C632" s="6" t="s">
        <v>131</v>
      </c>
      <c r="D632" s="6" t="s">
        <v>40</v>
      </c>
      <c r="E632" s="14" t="n">
        <v>1879.97</v>
      </c>
      <c r="F632" s="14" t="n">
        <v>1879.97</v>
      </c>
      <c r="G632" s="6" t="s">
        <v>15614</v>
      </c>
    </row>
    <row r="633" customFormat="false" ht="15" hidden="false" customHeight="true" outlineLevel="0" collapsed="false">
      <c r="A633" s="6" t="s">
        <v>16245</v>
      </c>
      <c r="B633" s="6" t="s">
        <v>597</v>
      </c>
      <c r="C633" s="6" t="s">
        <v>131</v>
      </c>
      <c r="D633" s="6" t="s">
        <v>41</v>
      </c>
      <c r="E633" s="14" t="n">
        <v>1879.97</v>
      </c>
      <c r="F633" s="14" t="n">
        <v>3759.94</v>
      </c>
      <c r="G633" s="6" t="s">
        <v>15614</v>
      </c>
    </row>
    <row r="634" customFormat="false" ht="15" hidden="false" customHeight="true" outlineLevel="0" collapsed="false">
      <c r="A634" s="6" t="s">
        <v>16246</v>
      </c>
      <c r="B634" s="6" t="s">
        <v>597</v>
      </c>
      <c r="C634" s="6" t="s">
        <v>131</v>
      </c>
      <c r="D634" s="6" t="s">
        <v>42</v>
      </c>
      <c r="E634" s="14" t="n">
        <v>1879.97</v>
      </c>
      <c r="F634" s="14" t="n">
        <v>5639.91</v>
      </c>
      <c r="G634" s="6" t="s">
        <v>15614</v>
      </c>
    </row>
    <row r="635" customFormat="false" ht="15" hidden="false" customHeight="true" outlineLevel="0" collapsed="false">
      <c r="A635" s="6" t="s">
        <v>16247</v>
      </c>
      <c r="B635" s="6" t="s">
        <v>597</v>
      </c>
      <c r="C635" s="6" t="s">
        <v>131</v>
      </c>
      <c r="D635" s="6" t="s">
        <v>43</v>
      </c>
      <c r="E635" s="14" t="n">
        <v>1879.97</v>
      </c>
      <c r="F635" s="14" t="n">
        <v>7519.88</v>
      </c>
      <c r="G635" s="6" t="s">
        <v>15614</v>
      </c>
    </row>
    <row r="636" customFormat="false" ht="15" hidden="false" customHeight="true" outlineLevel="0" collapsed="false">
      <c r="A636" s="6" t="s">
        <v>16248</v>
      </c>
      <c r="B636" s="6" t="s">
        <v>597</v>
      </c>
      <c r="C636" s="6" t="s">
        <v>131</v>
      </c>
      <c r="D636" s="6" t="s">
        <v>44</v>
      </c>
      <c r="E636" s="14" t="n">
        <v>1879.97</v>
      </c>
      <c r="F636" s="14" t="n">
        <v>9399.85</v>
      </c>
      <c r="G636" s="6" t="s">
        <v>15614</v>
      </c>
    </row>
    <row r="637" customFormat="false" ht="15" hidden="false" customHeight="true" outlineLevel="0" collapsed="false">
      <c r="A637" s="6" t="s">
        <v>16249</v>
      </c>
      <c r="B637" s="6" t="s">
        <v>597</v>
      </c>
      <c r="C637" s="6" t="s">
        <v>131</v>
      </c>
      <c r="D637" s="6" t="s">
        <v>45</v>
      </c>
      <c r="E637" s="14" t="n">
        <v>1879.97</v>
      </c>
      <c r="F637" s="14" t="n">
        <v>11279.82</v>
      </c>
      <c r="G637" s="6" t="s">
        <v>15614</v>
      </c>
    </row>
    <row r="638" customFormat="false" ht="15" hidden="false" customHeight="true" outlineLevel="0" collapsed="false">
      <c r="A638" s="6" t="s">
        <v>16250</v>
      </c>
      <c r="B638" s="6" t="s">
        <v>597</v>
      </c>
      <c r="C638" s="6" t="s">
        <v>131</v>
      </c>
      <c r="D638" s="6" t="s">
        <v>46</v>
      </c>
      <c r="E638" s="14" t="n">
        <v>1879.97</v>
      </c>
      <c r="F638" s="14" t="n">
        <v>13159.79</v>
      </c>
      <c r="G638" s="6" t="s">
        <v>15614</v>
      </c>
    </row>
    <row r="639" customFormat="false" ht="15" hidden="false" customHeight="true" outlineLevel="0" collapsed="false">
      <c r="A639" s="6" t="s">
        <v>16251</v>
      </c>
      <c r="B639" s="6" t="s">
        <v>599</v>
      </c>
      <c r="C639" s="6" t="s">
        <v>120</v>
      </c>
      <c r="D639" s="6" t="s">
        <v>36</v>
      </c>
      <c r="E639" s="14" t="n">
        <v>2340.7</v>
      </c>
      <c r="F639" s="14" t="n">
        <v>2340.7</v>
      </c>
      <c r="G639" s="6" t="s">
        <v>15614</v>
      </c>
    </row>
    <row r="640" customFormat="false" ht="15" hidden="false" customHeight="true" outlineLevel="0" collapsed="false">
      <c r="A640" s="6" t="s">
        <v>16252</v>
      </c>
      <c r="B640" s="6" t="s">
        <v>599</v>
      </c>
      <c r="C640" s="6" t="s">
        <v>120</v>
      </c>
      <c r="D640" s="6" t="s">
        <v>37</v>
      </c>
      <c r="E640" s="14" t="n">
        <v>2340.7</v>
      </c>
      <c r="F640" s="14" t="n">
        <v>4681.4</v>
      </c>
      <c r="G640" s="6" t="s">
        <v>15614</v>
      </c>
    </row>
    <row r="641" customFormat="false" ht="15" hidden="false" customHeight="true" outlineLevel="0" collapsed="false">
      <c r="A641" s="6" t="s">
        <v>16253</v>
      </c>
      <c r="B641" s="6" t="s">
        <v>599</v>
      </c>
      <c r="C641" s="6" t="s">
        <v>120</v>
      </c>
      <c r="D641" s="6" t="s">
        <v>38</v>
      </c>
      <c r="E641" s="14" t="n">
        <v>2340.7</v>
      </c>
      <c r="F641" s="14" t="n">
        <v>7022.1</v>
      </c>
      <c r="G641" s="6" t="s">
        <v>15614</v>
      </c>
    </row>
    <row r="642" customFormat="false" ht="15" hidden="false" customHeight="true" outlineLevel="0" collapsed="false">
      <c r="A642" s="6" t="s">
        <v>16254</v>
      </c>
      <c r="B642" s="6" t="s">
        <v>599</v>
      </c>
      <c r="C642" s="6" t="s">
        <v>120</v>
      </c>
      <c r="D642" s="6" t="s">
        <v>39</v>
      </c>
      <c r="E642" s="14" t="n">
        <v>2340.7</v>
      </c>
      <c r="F642" s="14" t="n">
        <v>9362.8</v>
      </c>
      <c r="G642" s="6" t="s">
        <v>15614</v>
      </c>
    </row>
    <row r="643" customFormat="false" ht="15" hidden="false" customHeight="true" outlineLevel="0" collapsed="false">
      <c r="A643" s="6" t="s">
        <v>16255</v>
      </c>
      <c r="B643" s="6" t="s">
        <v>599</v>
      </c>
      <c r="C643" s="6" t="s">
        <v>120</v>
      </c>
      <c r="D643" s="6" t="s">
        <v>40</v>
      </c>
      <c r="E643" s="14" t="n">
        <v>2340.7</v>
      </c>
      <c r="F643" s="14" t="n">
        <v>11703.5</v>
      </c>
      <c r="G643" s="6" t="s">
        <v>15614</v>
      </c>
    </row>
    <row r="644" customFormat="false" ht="15" hidden="false" customHeight="true" outlineLevel="0" collapsed="false">
      <c r="A644" s="6" t="s">
        <v>16256</v>
      </c>
      <c r="B644" s="6" t="s">
        <v>601</v>
      </c>
      <c r="C644" s="6" t="s">
        <v>116</v>
      </c>
      <c r="D644" s="6" t="s">
        <v>19</v>
      </c>
      <c r="E644" s="14" t="n">
        <v>1909.53</v>
      </c>
      <c r="F644" s="14" t="n">
        <v>1909.53</v>
      </c>
      <c r="G644" s="6" t="s">
        <v>15614</v>
      </c>
    </row>
    <row r="645" customFormat="false" ht="15" hidden="false" customHeight="true" outlineLevel="0" collapsed="false">
      <c r="A645" s="6" t="s">
        <v>16257</v>
      </c>
      <c r="B645" s="6" t="s">
        <v>601</v>
      </c>
      <c r="C645" s="6" t="s">
        <v>116</v>
      </c>
      <c r="D645" s="6" t="s">
        <v>20</v>
      </c>
      <c r="E645" s="14" t="n">
        <v>1909.53</v>
      </c>
      <c r="F645" s="14" t="n">
        <v>3819.06</v>
      </c>
      <c r="G645" s="6" t="s">
        <v>15614</v>
      </c>
    </row>
    <row r="646" customFormat="false" ht="15" hidden="false" customHeight="true" outlineLevel="0" collapsed="false">
      <c r="A646" s="6" t="s">
        <v>16258</v>
      </c>
      <c r="B646" s="6" t="s">
        <v>601</v>
      </c>
      <c r="C646" s="6" t="s">
        <v>116</v>
      </c>
      <c r="D646" s="6" t="s">
        <v>21</v>
      </c>
      <c r="E646" s="14" t="n">
        <v>1909.53</v>
      </c>
      <c r="F646" s="14" t="n">
        <v>5728.59</v>
      </c>
      <c r="G646" s="6" t="s">
        <v>15614</v>
      </c>
    </row>
    <row r="647" customFormat="false" ht="15" hidden="false" customHeight="true" outlineLevel="0" collapsed="false">
      <c r="A647" s="6" t="s">
        <v>16259</v>
      </c>
      <c r="B647" s="6" t="s">
        <v>601</v>
      </c>
      <c r="C647" s="6" t="s">
        <v>116</v>
      </c>
      <c r="D647" s="6" t="s">
        <v>22</v>
      </c>
      <c r="E647" s="14" t="n">
        <v>1909.53</v>
      </c>
      <c r="F647" s="14" t="n">
        <v>7638.12</v>
      </c>
      <c r="G647" s="6" t="s">
        <v>15614</v>
      </c>
    </row>
    <row r="648" customFormat="false" ht="15" hidden="false" customHeight="true" outlineLevel="0" collapsed="false">
      <c r="A648" s="6" t="s">
        <v>16260</v>
      </c>
      <c r="B648" s="6" t="s">
        <v>601</v>
      </c>
      <c r="C648" s="6" t="s">
        <v>116</v>
      </c>
      <c r="D648" s="6" t="s">
        <v>23</v>
      </c>
      <c r="E648" s="14" t="n">
        <v>1909.53</v>
      </c>
      <c r="F648" s="14" t="n">
        <v>9547.65</v>
      </c>
      <c r="G648" s="6" t="s">
        <v>15614</v>
      </c>
    </row>
    <row r="649" customFormat="false" ht="15" hidden="false" customHeight="true" outlineLevel="0" collapsed="false">
      <c r="A649" s="6" t="s">
        <v>16261</v>
      </c>
      <c r="B649" s="6" t="s">
        <v>601</v>
      </c>
      <c r="C649" s="6" t="s">
        <v>116</v>
      </c>
      <c r="D649" s="6" t="s">
        <v>24</v>
      </c>
      <c r="E649" s="14" t="n">
        <v>1909.53</v>
      </c>
      <c r="F649" s="14" t="n">
        <v>11457.18</v>
      </c>
      <c r="G649" s="6" t="s">
        <v>15614</v>
      </c>
    </row>
    <row r="650" customFormat="false" ht="15" hidden="false" customHeight="true" outlineLevel="0" collapsed="false">
      <c r="A650" s="6" t="s">
        <v>16262</v>
      </c>
      <c r="B650" s="6" t="s">
        <v>603</v>
      </c>
      <c r="C650" s="6" t="s">
        <v>128</v>
      </c>
      <c r="D650" s="6" t="s">
        <v>23</v>
      </c>
      <c r="E650" s="14" t="n">
        <v>4694.57</v>
      </c>
      <c r="F650" s="14" t="n">
        <v>4694.57</v>
      </c>
      <c r="G650" s="6" t="s">
        <v>15614</v>
      </c>
    </row>
    <row r="651" customFormat="false" ht="15" hidden="false" customHeight="true" outlineLevel="0" collapsed="false">
      <c r="A651" s="6" t="s">
        <v>16263</v>
      </c>
      <c r="B651" s="6" t="s">
        <v>603</v>
      </c>
      <c r="C651" s="6" t="s">
        <v>128</v>
      </c>
      <c r="D651" s="6" t="s">
        <v>24</v>
      </c>
      <c r="E651" s="14" t="n">
        <v>4694.57</v>
      </c>
      <c r="F651" s="14" t="n">
        <v>9389.14</v>
      </c>
      <c r="G651" s="6" t="s">
        <v>15614</v>
      </c>
    </row>
    <row r="652" customFormat="false" ht="15" hidden="false" customHeight="true" outlineLevel="0" collapsed="false">
      <c r="A652" s="6" t="s">
        <v>16264</v>
      </c>
      <c r="B652" s="6" t="s">
        <v>603</v>
      </c>
      <c r="C652" s="6" t="s">
        <v>128</v>
      </c>
      <c r="D652" s="6" t="s">
        <v>25</v>
      </c>
      <c r="E652" s="14" t="n">
        <v>4694.57</v>
      </c>
      <c r="F652" s="14" t="n">
        <v>14083.71</v>
      </c>
      <c r="G652" s="6" t="s">
        <v>15614</v>
      </c>
    </row>
    <row r="653" customFormat="false" ht="15" hidden="false" customHeight="true" outlineLevel="0" collapsed="false">
      <c r="A653" s="6" t="s">
        <v>16265</v>
      </c>
      <c r="B653" s="6" t="s">
        <v>603</v>
      </c>
      <c r="C653" s="6" t="s">
        <v>128</v>
      </c>
      <c r="D653" s="6" t="s">
        <v>26</v>
      </c>
      <c r="E653" s="14" t="n">
        <v>4694.57</v>
      </c>
      <c r="F653" s="14" t="n">
        <v>18778.28</v>
      </c>
      <c r="G653" s="6" t="s">
        <v>15614</v>
      </c>
    </row>
    <row r="654" customFormat="false" ht="15" hidden="false" customHeight="true" outlineLevel="0" collapsed="false">
      <c r="A654" s="6" t="s">
        <v>16266</v>
      </c>
      <c r="B654" s="6" t="s">
        <v>605</v>
      </c>
      <c r="C654" s="6" t="s">
        <v>112</v>
      </c>
      <c r="D654" s="6" t="s">
        <v>41</v>
      </c>
      <c r="E654" s="14" t="n">
        <v>1636.12</v>
      </c>
      <c r="F654" s="14" t="n">
        <v>1636.12</v>
      </c>
      <c r="G654" s="6" t="s">
        <v>15614</v>
      </c>
    </row>
    <row r="655" customFormat="false" ht="15" hidden="false" customHeight="true" outlineLevel="0" collapsed="false">
      <c r="A655" s="6" t="s">
        <v>16267</v>
      </c>
      <c r="B655" s="6" t="s">
        <v>605</v>
      </c>
      <c r="C655" s="6" t="s">
        <v>112</v>
      </c>
      <c r="D655" s="6" t="s">
        <v>42</v>
      </c>
      <c r="E655" s="14" t="n">
        <v>1636.12</v>
      </c>
      <c r="F655" s="14" t="n">
        <v>3272.24</v>
      </c>
      <c r="G655" s="6" t="s">
        <v>15614</v>
      </c>
    </row>
    <row r="656" customFormat="false" ht="15" hidden="false" customHeight="true" outlineLevel="0" collapsed="false">
      <c r="A656" s="6" t="s">
        <v>16268</v>
      </c>
      <c r="B656" s="6" t="s">
        <v>607</v>
      </c>
      <c r="C656" s="6" t="s">
        <v>116</v>
      </c>
      <c r="D656" s="6" t="s">
        <v>27</v>
      </c>
      <c r="E656" s="14" t="n">
        <v>1474.98</v>
      </c>
      <c r="F656" s="14" t="n">
        <v>1474.98</v>
      </c>
      <c r="G656" s="6" t="s">
        <v>15614</v>
      </c>
    </row>
    <row r="657" customFormat="false" ht="15" hidden="false" customHeight="true" outlineLevel="0" collapsed="false">
      <c r="A657" s="6" t="s">
        <v>16269</v>
      </c>
      <c r="B657" s="6" t="s">
        <v>607</v>
      </c>
      <c r="C657" s="6" t="s">
        <v>116</v>
      </c>
      <c r="D657" s="6" t="s">
        <v>28</v>
      </c>
      <c r="E657" s="14" t="n">
        <v>1474.98</v>
      </c>
      <c r="F657" s="14" t="n">
        <v>2949.96</v>
      </c>
      <c r="G657" s="6" t="s">
        <v>15614</v>
      </c>
    </row>
    <row r="658" customFormat="false" ht="15" hidden="false" customHeight="true" outlineLevel="0" collapsed="false">
      <c r="A658" s="6" t="s">
        <v>16270</v>
      </c>
      <c r="B658" s="6" t="s">
        <v>607</v>
      </c>
      <c r="C658" s="6" t="s">
        <v>116</v>
      </c>
      <c r="D658" s="6" t="s">
        <v>29</v>
      </c>
      <c r="E658" s="14" t="n">
        <v>1474.98</v>
      </c>
      <c r="F658" s="14" t="n">
        <v>4424.94</v>
      </c>
      <c r="G658" s="6" t="s">
        <v>15614</v>
      </c>
    </row>
    <row r="659" customFormat="false" ht="15" hidden="false" customHeight="true" outlineLevel="0" collapsed="false">
      <c r="A659" s="6" t="s">
        <v>16271</v>
      </c>
      <c r="B659" s="6" t="s">
        <v>607</v>
      </c>
      <c r="C659" s="6" t="s">
        <v>116</v>
      </c>
      <c r="D659" s="6" t="s">
        <v>30</v>
      </c>
      <c r="E659" s="14" t="n">
        <v>1474.98</v>
      </c>
      <c r="F659" s="14" t="n">
        <v>5899.92</v>
      </c>
      <c r="G659" s="6" t="s">
        <v>15614</v>
      </c>
    </row>
    <row r="660" customFormat="false" ht="15" hidden="false" customHeight="true" outlineLevel="0" collapsed="false">
      <c r="A660" s="6" t="s">
        <v>16272</v>
      </c>
      <c r="B660" s="6" t="s">
        <v>609</v>
      </c>
      <c r="C660" s="6" t="s">
        <v>112</v>
      </c>
      <c r="D660" s="6" t="s">
        <v>16</v>
      </c>
      <c r="E660" s="14" t="n">
        <v>1642.56</v>
      </c>
      <c r="F660" s="14" t="n">
        <v>1642.56</v>
      </c>
      <c r="G660" s="6" t="s">
        <v>15614</v>
      </c>
    </row>
    <row r="661" customFormat="false" ht="15" hidden="false" customHeight="true" outlineLevel="0" collapsed="false">
      <c r="A661" s="6" t="s">
        <v>16273</v>
      </c>
      <c r="B661" s="6" t="s">
        <v>609</v>
      </c>
      <c r="C661" s="6" t="s">
        <v>112</v>
      </c>
      <c r="D661" s="6" t="s">
        <v>17</v>
      </c>
      <c r="E661" s="14" t="n">
        <v>1642.56</v>
      </c>
      <c r="F661" s="14" t="n">
        <v>3285.12</v>
      </c>
      <c r="G661" s="6" t="s">
        <v>15614</v>
      </c>
    </row>
    <row r="662" customFormat="false" ht="15" hidden="false" customHeight="true" outlineLevel="0" collapsed="false">
      <c r="A662" s="6" t="s">
        <v>16274</v>
      </c>
      <c r="B662" s="6" t="s">
        <v>609</v>
      </c>
      <c r="C662" s="6" t="s">
        <v>112</v>
      </c>
      <c r="D662" s="6" t="s">
        <v>18</v>
      </c>
      <c r="E662" s="14" t="n">
        <v>1642.56</v>
      </c>
      <c r="F662" s="14" t="n">
        <v>4927.68</v>
      </c>
      <c r="G662" s="6" t="s">
        <v>15614</v>
      </c>
    </row>
    <row r="663" customFormat="false" ht="15" hidden="false" customHeight="true" outlineLevel="0" collapsed="false">
      <c r="A663" s="6" t="s">
        <v>16275</v>
      </c>
      <c r="B663" s="6" t="s">
        <v>611</v>
      </c>
      <c r="C663" s="6" t="s">
        <v>116</v>
      </c>
      <c r="D663" s="6" t="s">
        <v>23</v>
      </c>
      <c r="E663" s="14" t="n">
        <v>532.28</v>
      </c>
      <c r="F663" s="14" t="n">
        <v>532.28</v>
      </c>
      <c r="G663" s="6" t="s">
        <v>15614</v>
      </c>
    </row>
    <row r="664" customFormat="false" ht="15" hidden="false" customHeight="true" outlineLevel="0" collapsed="false">
      <c r="A664" s="6" t="s">
        <v>16276</v>
      </c>
      <c r="B664" s="6" t="s">
        <v>611</v>
      </c>
      <c r="C664" s="6" t="s">
        <v>116</v>
      </c>
      <c r="D664" s="6" t="s">
        <v>24</v>
      </c>
      <c r="E664" s="14" t="n">
        <v>532.28</v>
      </c>
      <c r="F664" s="14" t="n">
        <v>1064.56</v>
      </c>
      <c r="G664" s="6" t="s">
        <v>15614</v>
      </c>
    </row>
    <row r="665" customFormat="false" ht="15" hidden="false" customHeight="true" outlineLevel="0" collapsed="false">
      <c r="A665" s="6" t="s">
        <v>16277</v>
      </c>
      <c r="B665" s="6" t="s">
        <v>611</v>
      </c>
      <c r="C665" s="6" t="s">
        <v>116</v>
      </c>
      <c r="D665" s="6" t="s">
        <v>25</v>
      </c>
      <c r="E665" s="14" t="n">
        <v>532.28</v>
      </c>
      <c r="F665" s="14" t="n">
        <v>1596.84</v>
      </c>
      <c r="G665" s="6" t="s">
        <v>15614</v>
      </c>
    </row>
    <row r="666" customFormat="false" ht="15" hidden="false" customHeight="true" outlineLevel="0" collapsed="false">
      <c r="A666" s="6" t="s">
        <v>16278</v>
      </c>
      <c r="B666" s="6" t="s">
        <v>611</v>
      </c>
      <c r="C666" s="6" t="s">
        <v>116</v>
      </c>
      <c r="D666" s="6" t="s">
        <v>26</v>
      </c>
      <c r="E666" s="14" t="n">
        <v>532.28</v>
      </c>
      <c r="F666" s="14" t="n">
        <v>2129.12</v>
      </c>
      <c r="G666" s="6" t="s">
        <v>15614</v>
      </c>
    </row>
    <row r="667" customFormat="false" ht="15" hidden="false" customHeight="true" outlineLevel="0" collapsed="false">
      <c r="A667" s="6" t="s">
        <v>16279</v>
      </c>
      <c r="B667" s="6" t="s">
        <v>611</v>
      </c>
      <c r="C667" s="6" t="s">
        <v>116</v>
      </c>
      <c r="D667" s="6" t="s">
        <v>27</v>
      </c>
      <c r="E667" s="14" t="n">
        <v>532.28</v>
      </c>
      <c r="F667" s="14" t="n">
        <v>2661.4</v>
      </c>
      <c r="G667" s="6" t="s">
        <v>15614</v>
      </c>
    </row>
    <row r="668" customFormat="false" ht="15" hidden="false" customHeight="true" outlineLevel="0" collapsed="false">
      <c r="A668" s="6" t="s">
        <v>16280</v>
      </c>
      <c r="B668" s="6" t="s">
        <v>613</v>
      </c>
      <c r="C668" s="6" t="s">
        <v>116</v>
      </c>
      <c r="D668" s="6" t="s">
        <v>24</v>
      </c>
      <c r="E668" s="14" t="n">
        <v>398.26</v>
      </c>
      <c r="F668" s="14" t="n">
        <v>398.26</v>
      </c>
      <c r="G668" s="6" t="s">
        <v>15614</v>
      </c>
    </row>
    <row r="669" customFormat="false" ht="15" hidden="false" customHeight="true" outlineLevel="0" collapsed="false">
      <c r="A669" s="6" t="s">
        <v>16281</v>
      </c>
      <c r="B669" s="6" t="s">
        <v>613</v>
      </c>
      <c r="C669" s="6" t="s">
        <v>116</v>
      </c>
      <c r="D669" s="6" t="s">
        <v>25</v>
      </c>
      <c r="E669" s="14" t="n">
        <v>398.26</v>
      </c>
      <c r="F669" s="14" t="n">
        <v>796.52</v>
      </c>
      <c r="G669" s="6" t="s">
        <v>15614</v>
      </c>
    </row>
    <row r="670" customFormat="false" ht="15" hidden="false" customHeight="true" outlineLevel="0" collapsed="false">
      <c r="A670" s="6" t="s">
        <v>16282</v>
      </c>
      <c r="B670" s="6" t="s">
        <v>613</v>
      </c>
      <c r="C670" s="6" t="s">
        <v>116</v>
      </c>
      <c r="D670" s="6" t="s">
        <v>26</v>
      </c>
      <c r="E670" s="14" t="n">
        <v>398.26</v>
      </c>
      <c r="F670" s="14" t="n">
        <v>1194.78</v>
      </c>
      <c r="G670" s="6" t="s">
        <v>15614</v>
      </c>
    </row>
    <row r="671" customFormat="false" ht="15" hidden="false" customHeight="true" outlineLevel="0" collapsed="false">
      <c r="A671" s="6" t="s">
        <v>16283</v>
      </c>
      <c r="B671" s="6" t="s">
        <v>613</v>
      </c>
      <c r="C671" s="6" t="s">
        <v>116</v>
      </c>
      <c r="D671" s="6" t="s">
        <v>27</v>
      </c>
      <c r="E671" s="14" t="n">
        <v>398.26</v>
      </c>
      <c r="F671" s="14" t="n">
        <v>1593.04</v>
      </c>
      <c r="G671" s="6" t="s">
        <v>15614</v>
      </c>
    </row>
    <row r="672" customFormat="false" ht="15" hidden="false" customHeight="true" outlineLevel="0" collapsed="false">
      <c r="A672" s="6" t="s">
        <v>16284</v>
      </c>
      <c r="B672" s="6" t="s">
        <v>615</v>
      </c>
      <c r="C672" s="6" t="s">
        <v>124</v>
      </c>
      <c r="D672" s="6" t="s">
        <v>59</v>
      </c>
      <c r="E672" s="14" t="n">
        <v>2706.99</v>
      </c>
      <c r="F672" s="14" t="n">
        <v>2706.99</v>
      </c>
      <c r="G672" s="6" t="s">
        <v>15614</v>
      </c>
    </row>
    <row r="673" customFormat="false" ht="15" hidden="false" customHeight="true" outlineLevel="0" collapsed="false">
      <c r="A673" s="6" t="s">
        <v>16285</v>
      </c>
      <c r="B673" s="6" t="s">
        <v>615</v>
      </c>
      <c r="C673" s="6" t="s">
        <v>124</v>
      </c>
      <c r="D673" s="6" t="s">
        <v>60</v>
      </c>
      <c r="E673" s="14" t="n">
        <v>2706.99</v>
      </c>
      <c r="F673" s="14" t="n">
        <v>5413.98</v>
      </c>
      <c r="G673" s="6" t="s">
        <v>15614</v>
      </c>
    </row>
    <row r="674" customFormat="false" ht="15" hidden="false" customHeight="true" outlineLevel="0" collapsed="false">
      <c r="A674" s="6" t="s">
        <v>16286</v>
      </c>
      <c r="B674" s="6" t="s">
        <v>617</v>
      </c>
      <c r="C674" s="6" t="s">
        <v>128</v>
      </c>
      <c r="D674" s="6" t="s">
        <v>44</v>
      </c>
      <c r="E674" s="14" t="n">
        <v>1535.34</v>
      </c>
      <c r="F674" s="14" t="n">
        <v>1535.34</v>
      </c>
      <c r="G674" s="6" t="s">
        <v>15614</v>
      </c>
    </row>
    <row r="675" customFormat="false" ht="15" hidden="false" customHeight="true" outlineLevel="0" collapsed="false">
      <c r="A675" s="6" t="s">
        <v>16287</v>
      </c>
      <c r="B675" s="6" t="s">
        <v>617</v>
      </c>
      <c r="C675" s="6" t="s">
        <v>128</v>
      </c>
      <c r="D675" s="6" t="s">
        <v>45</v>
      </c>
      <c r="E675" s="14" t="n">
        <v>1535.34</v>
      </c>
      <c r="F675" s="14" t="n">
        <v>3070.68</v>
      </c>
      <c r="G675" s="6" t="s">
        <v>15614</v>
      </c>
    </row>
    <row r="676" customFormat="false" ht="15" hidden="false" customHeight="true" outlineLevel="0" collapsed="false">
      <c r="A676" s="6" t="s">
        <v>16288</v>
      </c>
      <c r="B676" s="6" t="s">
        <v>619</v>
      </c>
      <c r="C676" s="6" t="s">
        <v>124</v>
      </c>
      <c r="D676" s="6" t="s">
        <v>21</v>
      </c>
      <c r="E676" s="14" t="n">
        <v>1414.79</v>
      </c>
      <c r="F676" s="14" t="n">
        <v>1414.79</v>
      </c>
      <c r="G676" s="6" t="s">
        <v>15614</v>
      </c>
    </row>
    <row r="677" customFormat="false" ht="15" hidden="false" customHeight="true" outlineLevel="0" collapsed="false">
      <c r="A677" s="6" t="s">
        <v>16289</v>
      </c>
      <c r="B677" s="6" t="s">
        <v>619</v>
      </c>
      <c r="C677" s="6" t="s">
        <v>124</v>
      </c>
      <c r="D677" s="6" t="s">
        <v>22</v>
      </c>
      <c r="E677" s="14" t="n">
        <v>1414.79</v>
      </c>
      <c r="F677" s="14" t="n">
        <v>2829.58</v>
      </c>
      <c r="G677" s="6" t="s">
        <v>15614</v>
      </c>
    </row>
    <row r="678" customFormat="false" ht="15" hidden="false" customHeight="true" outlineLevel="0" collapsed="false">
      <c r="A678" s="6" t="s">
        <v>16290</v>
      </c>
      <c r="B678" s="6" t="s">
        <v>619</v>
      </c>
      <c r="C678" s="6" t="s">
        <v>124</v>
      </c>
      <c r="D678" s="6" t="s">
        <v>23</v>
      </c>
      <c r="E678" s="14" t="n">
        <v>1414.79</v>
      </c>
      <c r="F678" s="14" t="n">
        <v>4244.37</v>
      </c>
      <c r="G678" s="6" t="s">
        <v>15614</v>
      </c>
    </row>
    <row r="679" customFormat="false" ht="15" hidden="false" customHeight="true" outlineLevel="0" collapsed="false">
      <c r="A679" s="6" t="s">
        <v>16291</v>
      </c>
      <c r="B679" s="6" t="s">
        <v>619</v>
      </c>
      <c r="C679" s="6" t="s">
        <v>124</v>
      </c>
      <c r="D679" s="6" t="s">
        <v>24</v>
      </c>
      <c r="E679" s="14" t="n">
        <v>1414.79</v>
      </c>
      <c r="F679" s="14" t="n">
        <v>5659.16</v>
      </c>
      <c r="G679" s="6" t="s">
        <v>15614</v>
      </c>
    </row>
    <row r="680" customFormat="false" ht="15" hidden="false" customHeight="true" outlineLevel="0" collapsed="false">
      <c r="A680" s="6" t="s">
        <v>16292</v>
      </c>
      <c r="B680" s="6" t="s">
        <v>619</v>
      </c>
      <c r="C680" s="6" t="s">
        <v>124</v>
      </c>
      <c r="D680" s="6" t="s">
        <v>25</v>
      </c>
      <c r="E680" s="14" t="n">
        <v>1414.79</v>
      </c>
      <c r="F680" s="14" t="n">
        <v>7073.95</v>
      </c>
      <c r="G680" s="6" t="s">
        <v>15614</v>
      </c>
    </row>
    <row r="681" customFormat="false" ht="15" hidden="false" customHeight="true" outlineLevel="0" collapsed="false">
      <c r="A681" s="6" t="s">
        <v>16293</v>
      </c>
      <c r="B681" s="6" t="s">
        <v>621</v>
      </c>
      <c r="C681" s="6" t="s">
        <v>120</v>
      </c>
      <c r="D681" s="6" t="s">
        <v>39</v>
      </c>
      <c r="E681" s="14" t="n">
        <v>751.36</v>
      </c>
      <c r="F681" s="14" t="n">
        <v>751.36</v>
      </c>
      <c r="G681" s="6" t="s">
        <v>15614</v>
      </c>
    </row>
    <row r="682" customFormat="false" ht="15" hidden="false" customHeight="true" outlineLevel="0" collapsed="false">
      <c r="A682" s="6" t="s">
        <v>16294</v>
      </c>
      <c r="B682" s="6" t="s">
        <v>621</v>
      </c>
      <c r="C682" s="6" t="s">
        <v>120</v>
      </c>
      <c r="D682" s="6" t="s">
        <v>40</v>
      </c>
      <c r="E682" s="14" t="n">
        <v>751.36</v>
      </c>
      <c r="F682" s="14" t="n">
        <v>1502.72</v>
      </c>
      <c r="G682" s="6" t="s">
        <v>15614</v>
      </c>
    </row>
    <row r="683" customFormat="false" ht="15" hidden="false" customHeight="true" outlineLevel="0" collapsed="false">
      <c r="A683" s="6" t="s">
        <v>16295</v>
      </c>
      <c r="B683" s="6" t="s">
        <v>621</v>
      </c>
      <c r="C683" s="6" t="s">
        <v>120</v>
      </c>
      <c r="D683" s="6" t="s">
        <v>41</v>
      </c>
      <c r="E683" s="14" t="n">
        <v>751.36</v>
      </c>
      <c r="F683" s="14" t="n">
        <v>2254.08</v>
      </c>
      <c r="G683" s="6" t="s">
        <v>15614</v>
      </c>
    </row>
    <row r="684" customFormat="false" ht="15" hidden="false" customHeight="true" outlineLevel="0" collapsed="false">
      <c r="A684" s="6" t="s">
        <v>16296</v>
      </c>
      <c r="B684" s="6" t="s">
        <v>623</v>
      </c>
      <c r="C684" s="6" t="s">
        <v>112</v>
      </c>
      <c r="D684" s="6" t="s">
        <v>30</v>
      </c>
      <c r="E684" s="14" t="n">
        <v>5076.78</v>
      </c>
      <c r="F684" s="14" t="n">
        <v>5076.78</v>
      </c>
      <c r="G684" s="6" t="s">
        <v>15614</v>
      </c>
    </row>
    <row r="685" customFormat="false" ht="15" hidden="false" customHeight="true" outlineLevel="0" collapsed="false">
      <c r="A685" s="6" t="s">
        <v>16297</v>
      </c>
      <c r="B685" s="6" t="s">
        <v>623</v>
      </c>
      <c r="C685" s="6" t="s">
        <v>112</v>
      </c>
      <c r="D685" s="6" t="s">
        <v>31</v>
      </c>
      <c r="E685" s="14" t="n">
        <v>5076.78</v>
      </c>
      <c r="F685" s="14" t="n">
        <v>10153.56</v>
      </c>
      <c r="G685" s="6" t="s">
        <v>15614</v>
      </c>
    </row>
    <row r="686" customFormat="false" ht="15" hidden="false" customHeight="true" outlineLevel="0" collapsed="false">
      <c r="A686" s="6" t="s">
        <v>16298</v>
      </c>
      <c r="B686" s="6" t="s">
        <v>623</v>
      </c>
      <c r="C686" s="6" t="s">
        <v>112</v>
      </c>
      <c r="D686" s="6" t="s">
        <v>32</v>
      </c>
      <c r="E686" s="14" t="n">
        <v>5076.78</v>
      </c>
      <c r="F686" s="14" t="n">
        <v>15230.34</v>
      </c>
      <c r="G686" s="6" t="s">
        <v>15614</v>
      </c>
    </row>
    <row r="687" customFormat="false" ht="15" hidden="false" customHeight="true" outlineLevel="0" collapsed="false">
      <c r="A687" s="6" t="s">
        <v>16299</v>
      </c>
      <c r="B687" s="6" t="s">
        <v>623</v>
      </c>
      <c r="C687" s="6" t="s">
        <v>112</v>
      </c>
      <c r="D687" s="6" t="s">
        <v>33</v>
      </c>
      <c r="E687" s="14" t="n">
        <v>5076.78</v>
      </c>
      <c r="F687" s="14" t="n">
        <v>20307.12</v>
      </c>
      <c r="G687" s="6" t="s">
        <v>15614</v>
      </c>
    </row>
    <row r="688" customFormat="false" ht="15" hidden="false" customHeight="true" outlineLevel="0" collapsed="false">
      <c r="A688" s="6" t="s">
        <v>16300</v>
      </c>
      <c r="B688" s="6" t="s">
        <v>623</v>
      </c>
      <c r="C688" s="6" t="s">
        <v>112</v>
      </c>
      <c r="D688" s="6" t="s">
        <v>34</v>
      </c>
      <c r="E688" s="14" t="n">
        <v>5076.78</v>
      </c>
      <c r="F688" s="14" t="n">
        <v>25383.9</v>
      </c>
      <c r="G688" s="6" t="s">
        <v>15614</v>
      </c>
    </row>
    <row r="689" customFormat="false" ht="15" hidden="false" customHeight="true" outlineLevel="0" collapsed="false">
      <c r="A689" s="6" t="s">
        <v>16301</v>
      </c>
      <c r="B689" s="6" t="s">
        <v>625</v>
      </c>
      <c r="C689" s="6" t="s">
        <v>131</v>
      </c>
      <c r="D689" s="6" t="s">
        <v>60</v>
      </c>
      <c r="E689" s="14" t="n">
        <v>220.75</v>
      </c>
      <c r="F689" s="14" t="n">
        <v>220.75</v>
      </c>
      <c r="G689" s="6" t="s">
        <v>15614</v>
      </c>
    </row>
    <row r="690" customFormat="false" ht="15" hidden="false" customHeight="true" outlineLevel="0" collapsed="false">
      <c r="A690" s="6" t="s">
        <v>16302</v>
      </c>
      <c r="B690" s="6" t="s">
        <v>625</v>
      </c>
      <c r="C690" s="6" t="s">
        <v>131</v>
      </c>
      <c r="D690" s="6" t="s">
        <v>61</v>
      </c>
      <c r="E690" s="14" t="n">
        <v>220.75</v>
      </c>
      <c r="F690" s="14" t="n">
        <v>441.5</v>
      </c>
      <c r="G690" s="6" t="s">
        <v>15614</v>
      </c>
    </row>
    <row r="691" customFormat="false" ht="15" hidden="false" customHeight="true" outlineLevel="0" collapsed="false">
      <c r="A691" s="6" t="s">
        <v>16303</v>
      </c>
      <c r="B691" s="6" t="s">
        <v>625</v>
      </c>
      <c r="C691" s="6" t="s">
        <v>131</v>
      </c>
      <c r="D691" s="6" t="s">
        <v>62</v>
      </c>
      <c r="E691" s="14" t="n">
        <v>220.75</v>
      </c>
      <c r="F691" s="14" t="n">
        <v>662.25</v>
      </c>
      <c r="G691" s="6" t="s">
        <v>15614</v>
      </c>
    </row>
    <row r="692" customFormat="false" ht="15" hidden="false" customHeight="true" outlineLevel="0" collapsed="false">
      <c r="A692" s="6" t="s">
        <v>16304</v>
      </c>
      <c r="B692" s="6" t="s">
        <v>625</v>
      </c>
      <c r="C692" s="6" t="s">
        <v>131</v>
      </c>
      <c r="D692" s="6" t="s">
        <v>63</v>
      </c>
      <c r="E692" s="14" t="n">
        <v>220.75</v>
      </c>
      <c r="F692" s="14" t="n">
        <v>883</v>
      </c>
      <c r="G692" s="6" t="s">
        <v>15614</v>
      </c>
    </row>
    <row r="693" customFormat="false" ht="15" hidden="false" customHeight="true" outlineLevel="0" collapsed="false">
      <c r="A693" s="6" t="s">
        <v>16305</v>
      </c>
      <c r="B693" s="6" t="s">
        <v>627</v>
      </c>
      <c r="C693" s="6" t="s">
        <v>120</v>
      </c>
      <c r="D693" s="6" t="s">
        <v>41</v>
      </c>
      <c r="E693" s="14" t="n">
        <v>1625.66</v>
      </c>
      <c r="F693" s="14" t="n">
        <v>1625.66</v>
      </c>
      <c r="G693" s="6" t="s">
        <v>15614</v>
      </c>
    </row>
    <row r="694" customFormat="false" ht="15" hidden="false" customHeight="true" outlineLevel="0" collapsed="false">
      <c r="A694" s="6" t="s">
        <v>16306</v>
      </c>
      <c r="B694" s="6" t="s">
        <v>627</v>
      </c>
      <c r="C694" s="6" t="s">
        <v>120</v>
      </c>
      <c r="D694" s="6" t="s">
        <v>42</v>
      </c>
      <c r="E694" s="14" t="n">
        <v>1625.66</v>
      </c>
      <c r="F694" s="14" t="n">
        <v>3251.32</v>
      </c>
      <c r="G694" s="6" t="s">
        <v>15614</v>
      </c>
    </row>
    <row r="695" customFormat="false" ht="15" hidden="false" customHeight="true" outlineLevel="0" collapsed="false">
      <c r="A695" s="6" t="s">
        <v>16307</v>
      </c>
      <c r="B695" s="6" t="s">
        <v>629</v>
      </c>
      <c r="C695" s="6" t="s">
        <v>131</v>
      </c>
      <c r="D695" s="6" t="s">
        <v>38</v>
      </c>
      <c r="E695" s="14" t="n">
        <v>1092.23</v>
      </c>
      <c r="F695" s="14" t="n">
        <v>1092.23</v>
      </c>
      <c r="G695" s="6" t="s">
        <v>15614</v>
      </c>
    </row>
    <row r="696" customFormat="false" ht="15" hidden="false" customHeight="true" outlineLevel="0" collapsed="false">
      <c r="A696" s="6" t="s">
        <v>16308</v>
      </c>
      <c r="B696" s="6" t="s">
        <v>629</v>
      </c>
      <c r="C696" s="6" t="s">
        <v>131</v>
      </c>
      <c r="D696" s="6" t="s">
        <v>39</v>
      </c>
      <c r="E696" s="14" t="n">
        <v>1092.23</v>
      </c>
      <c r="F696" s="14" t="n">
        <v>2184.46</v>
      </c>
      <c r="G696" s="6" t="s">
        <v>15614</v>
      </c>
    </row>
    <row r="697" customFormat="false" ht="15" hidden="false" customHeight="true" outlineLevel="0" collapsed="false">
      <c r="A697" s="6" t="s">
        <v>16309</v>
      </c>
      <c r="B697" s="6" t="s">
        <v>629</v>
      </c>
      <c r="C697" s="6" t="s">
        <v>131</v>
      </c>
      <c r="D697" s="6" t="s">
        <v>40</v>
      </c>
      <c r="E697" s="14" t="n">
        <v>1092.23</v>
      </c>
      <c r="F697" s="14" t="n">
        <v>3276.69</v>
      </c>
      <c r="G697" s="6" t="s">
        <v>15614</v>
      </c>
    </row>
    <row r="698" customFormat="false" ht="15" hidden="false" customHeight="true" outlineLevel="0" collapsed="false">
      <c r="A698" s="6" t="s">
        <v>16310</v>
      </c>
      <c r="B698" s="6" t="s">
        <v>629</v>
      </c>
      <c r="C698" s="6" t="s">
        <v>131</v>
      </c>
      <c r="D698" s="6" t="s">
        <v>41</v>
      </c>
      <c r="E698" s="14" t="n">
        <v>1092.23</v>
      </c>
      <c r="F698" s="14" t="n">
        <v>4368.92</v>
      </c>
      <c r="G698" s="6" t="s">
        <v>15614</v>
      </c>
    </row>
    <row r="699" customFormat="false" ht="15" hidden="false" customHeight="true" outlineLevel="0" collapsed="false">
      <c r="A699" s="6" t="s">
        <v>16311</v>
      </c>
      <c r="B699" s="6" t="s">
        <v>631</v>
      </c>
      <c r="C699" s="6" t="s">
        <v>124</v>
      </c>
      <c r="D699" s="6" t="s">
        <v>56</v>
      </c>
      <c r="E699" s="14" t="n">
        <v>1646.86</v>
      </c>
      <c r="F699" s="14" t="n">
        <v>1646.86</v>
      </c>
      <c r="G699" s="6" t="s">
        <v>15614</v>
      </c>
    </row>
    <row r="700" customFormat="false" ht="15" hidden="false" customHeight="true" outlineLevel="0" collapsed="false">
      <c r="A700" s="6" t="s">
        <v>16312</v>
      </c>
      <c r="B700" s="6" t="s">
        <v>631</v>
      </c>
      <c r="C700" s="6" t="s">
        <v>124</v>
      </c>
      <c r="D700" s="6" t="s">
        <v>57</v>
      </c>
      <c r="E700" s="14" t="n">
        <v>1646.86</v>
      </c>
      <c r="F700" s="14" t="n">
        <v>3293.72</v>
      </c>
      <c r="G700" s="6" t="s">
        <v>15614</v>
      </c>
    </row>
    <row r="701" customFormat="false" ht="15" hidden="false" customHeight="true" outlineLevel="0" collapsed="false">
      <c r="A701" s="6" t="s">
        <v>16313</v>
      </c>
      <c r="B701" s="6" t="s">
        <v>631</v>
      </c>
      <c r="C701" s="6" t="s">
        <v>124</v>
      </c>
      <c r="D701" s="6" t="s">
        <v>58</v>
      </c>
      <c r="E701" s="14" t="n">
        <v>1646.86</v>
      </c>
      <c r="F701" s="14" t="n">
        <v>4940.58</v>
      </c>
      <c r="G701" s="6" t="s">
        <v>15614</v>
      </c>
    </row>
    <row r="702" customFormat="false" ht="15" hidden="false" customHeight="true" outlineLevel="0" collapsed="false">
      <c r="A702" s="6" t="s">
        <v>16314</v>
      </c>
      <c r="B702" s="6" t="s">
        <v>631</v>
      </c>
      <c r="C702" s="6" t="s">
        <v>124</v>
      </c>
      <c r="D702" s="6" t="s">
        <v>59</v>
      </c>
      <c r="E702" s="14" t="n">
        <v>1646.86</v>
      </c>
      <c r="F702" s="14" t="n">
        <v>6587.44</v>
      </c>
      <c r="G702" s="6" t="s">
        <v>15614</v>
      </c>
    </row>
    <row r="703" customFormat="false" ht="15" hidden="false" customHeight="true" outlineLevel="0" collapsed="false">
      <c r="A703" s="6" t="s">
        <v>16315</v>
      </c>
      <c r="B703" s="6" t="s">
        <v>631</v>
      </c>
      <c r="C703" s="6" t="s">
        <v>124</v>
      </c>
      <c r="D703" s="6" t="s">
        <v>60</v>
      </c>
      <c r="E703" s="14" t="n">
        <v>1646.86</v>
      </c>
      <c r="F703" s="14" t="n">
        <v>8234.3</v>
      </c>
      <c r="G703" s="6" t="s">
        <v>15614</v>
      </c>
    </row>
    <row r="704" customFormat="false" ht="15" hidden="false" customHeight="true" outlineLevel="0" collapsed="false">
      <c r="A704" s="6" t="s">
        <v>16316</v>
      </c>
      <c r="B704" s="6" t="s">
        <v>631</v>
      </c>
      <c r="C704" s="6" t="s">
        <v>124</v>
      </c>
      <c r="D704" s="6" t="s">
        <v>61</v>
      </c>
      <c r="E704" s="14" t="n">
        <v>1646.86</v>
      </c>
      <c r="F704" s="14" t="n">
        <v>9881.16</v>
      </c>
      <c r="G704" s="6" t="s">
        <v>15614</v>
      </c>
    </row>
    <row r="705" customFormat="false" ht="15" hidden="false" customHeight="true" outlineLevel="0" collapsed="false">
      <c r="A705" s="6" t="s">
        <v>16317</v>
      </c>
      <c r="B705" s="6" t="s">
        <v>633</v>
      </c>
      <c r="C705" s="6" t="s">
        <v>116</v>
      </c>
      <c r="D705" s="6" t="s">
        <v>36</v>
      </c>
      <c r="E705" s="14" t="n">
        <v>2906.31</v>
      </c>
      <c r="F705" s="14" t="n">
        <v>2906.31</v>
      </c>
      <c r="G705" s="6" t="s">
        <v>15614</v>
      </c>
    </row>
    <row r="706" customFormat="false" ht="15" hidden="false" customHeight="true" outlineLevel="0" collapsed="false">
      <c r="A706" s="6" t="s">
        <v>16318</v>
      </c>
      <c r="B706" s="6" t="s">
        <v>633</v>
      </c>
      <c r="C706" s="6" t="s">
        <v>116</v>
      </c>
      <c r="D706" s="6" t="s">
        <v>37</v>
      </c>
      <c r="E706" s="14" t="n">
        <v>2906.31</v>
      </c>
      <c r="F706" s="14" t="n">
        <v>5812.62</v>
      </c>
      <c r="G706" s="6" t="s">
        <v>15614</v>
      </c>
    </row>
    <row r="707" customFormat="false" ht="15" hidden="false" customHeight="true" outlineLevel="0" collapsed="false">
      <c r="A707" s="6" t="s">
        <v>16319</v>
      </c>
      <c r="B707" s="6" t="s">
        <v>633</v>
      </c>
      <c r="C707" s="6" t="s">
        <v>116</v>
      </c>
      <c r="D707" s="6" t="s">
        <v>38</v>
      </c>
      <c r="E707" s="14" t="n">
        <v>2906.31</v>
      </c>
      <c r="F707" s="14" t="n">
        <v>8718.93</v>
      </c>
      <c r="G707" s="6" t="s">
        <v>15614</v>
      </c>
    </row>
    <row r="708" customFormat="false" ht="15" hidden="false" customHeight="true" outlineLevel="0" collapsed="false">
      <c r="A708" s="6" t="s">
        <v>16320</v>
      </c>
      <c r="B708" s="6" t="s">
        <v>635</v>
      </c>
      <c r="C708" s="6" t="s">
        <v>131</v>
      </c>
      <c r="D708" s="6" t="s">
        <v>27</v>
      </c>
      <c r="E708" s="14" t="n">
        <v>1724.17</v>
      </c>
      <c r="F708" s="14" t="n">
        <v>1724.17</v>
      </c>
      <c r="G708" s="6" t="s">
        <v>15614</v>
      </c>
    </row>
    <row r="709" customFormat="false" ht="15" hidden="false" customHeight="true" outlineLevel="0" collapsed="false">
      <c r="A709" s="6" t="s">
        <v>16321</v>
      </c>
      <c r="B709" s="6" t="s">
        <v>635</v>
      </c>
      <c r="C709" s="6" t="s">
        <v>131</v>
      </c>
      <c r="D709" s="6" t="s">
        <v>28</v>
      </c>
      <c r="E709" s="14" t="n">
        <v>1724.17</v>
      </c>
      <c r="F709" s="14" t="n">
        <v>3448.34</v>
      </c>
      <c r="G709" s="6" t="s">
        <v>15614</v>
      </c>
    </row>
    <row r="710" customFormat="false" ht="15" hidden="false" customHeight="true" outlineLevel="0" collapsed="false">
      <c r="A710" s="6" t="s">
        <v>16322</v>
      </c>
      <c r="B710" s="6" t="s">
        <v>635</v>
      </c>
      <c r="C710" s="6" t="s">
        <v>131</v>
      </c>
      <c r="D710" s="6" t="s">
        <v>29</v>
      </c>
      <c r="E710" s="14" t="n">
        <v>1724.17</v>
      </c>
      <c r="F710" s="14" t="n">
        <v>5172.51</v>
      </c>
      <c r="G710" s="6" t="s">
        <v>15614</v>
      </c>
    </row>
    <row r="711" customFormat="false" ht="15" hidden="false" customHeight="true" outlineLevel="0" collapsed="false">
      <c r="A711" s="6" t="s">
        <v>16323</v>
      </c>
      <c r="B711" s="6" t="s">
        <v>635</v>
      </c>
      <c r="C711" s="6" t="s">
        <v>131</v>
      </c>
      <c r="D711" s="6" t="s">
        <v>30</v>
      </c>
      <c r="E711" s="14" t="n">
        <v>1724.17</v>
      </c>
      <c r="F711" s="14" t="n">
        <v>6896.68</v>
      </c>
      <c r="G711" s="6" t="s">
        <v>15614</v>
      </c>
    </row>
    <row r="712" customFormat="false" ht="15" hidden="false" customHeight="true" outlineLevel="0" collapsed="false">
      <c r="A712" s="6" t="s">
        <v>16324</v>
      </c>
      <c r="B712" s="6" t="s">
        <v>635</v>
      </c>
      <c r="C712" s="6" t="s">
        <v>131</v>
      </c>
      <c r="D712" s="6" t="s">
        <v>31</v>
      </c>
      <c r="E712" s="14" t="n">
        <v>1724.17</v>
      </c>
      <c r="F712" s="14" t="n">
        <v>8620.85</v>
      </c>
      <c r="G712" s="6" t="s">
        <v>15614</v>
      </c>
    </row>
    <row r="713" customFormat="false" ht="15" hidden="false" customHeight="true" outlineLevel="0" collapsed="false">
      <c r="A713" s="6" t="s">
        <v>16325</v>
      </c>
      <c r="B713" s="6" t="s">
        <v>637</v>
      </c>
      <c r="C713" s="6" t="s">
        <v>128</v>
      </c>
      <c r="D713" s="6" t="s">
        <v>51</v>
      </c>
      <c r="E713" s="14" t="n">
        <v>2399.36</v>
      </c>
      <c r="F713" s="14" t="n">
        <v>2399.36</v>
      </c>
      <c r="G713" s="6" t="s">
        <v>15614</v>
      </c>
    </row>
    <row r="714" customFormat="false" ht="15" hidden="false" customHeight="true" outlineLevel="0" collapsed="false">
      <c r="A714" s="6" t="s">
        <v>16326</v>
      </c>
      <c r="B714" s="6" t="s">
        <v>637</v>
      </c>
      <c r="C714" s="6" t="s">
        <v>128</v>
      </c>
      <c r="D714" s="6" t="s">
        <v>52</v>
      </c>
      <c r="E714" s="14" t="n">
        <v>2399.36</v>
      </c>
      <c r="F714" s="14" t="n">
        <v>4798.72</v>
      </c>
      <c r="G714" s="6" t="s">
        <v>15614</v>
      </c>
    </row>
    <row r="715" customFormat="false" ht="15" hidden="false" customHeight="true" outlineLevel="0" collapsed="false">
      <c r="A715" s="6" t="s">
        <v>16327</v>
      </c>
      <c r="B715" s="6" t="s">
        <v>637</v>
      </c>
      <c r="C715" s="6" t="s">
        <v>128</v>
      </c>
      <c r="D715" s="6" t="s">
        <v>53</v>
      </c>
      <c r="E715" s="14" t="n">
        <v>2399.36</v>
      </c>
      <c r="F715" s="14" t="n">
        <v>7198.08</v>
      </c>
      <c r="G715" s="6" t="s">
        <v>15614</v>
      </c>
    </row>
    <row r="716" customFormat="false" ht="15" hidden="false" customHeight="true" outlineLevel="0" collapsed="false">
      <c r="A716" s="6" t="s">
        <v>16328</v>
      </c>
      <c r="B716" s="6" t="s">
        <v>639</v>
      </c>
      <c r="C716" s="6" t="s">
        <v>124</v>
      </c>
      <c r="D716" s="6" t="s">
        <v>35</v>
      </c>
      <c r="E716" s="14" t="n">
        <v>338.97</v>
      </c>
      <c r="F716" s="14" t="n">
        <v>338.97</v>
      </c>
      <c r="G716" s="6" t="s">
        <v>15614</v>
      </c>
    </row>
    <row r="717" customFormat="false" ht="15" hidden="false" customHeight="true" outlineLevel="0" collapsed="false">
      <c r="A717" s="6" t="s">
        <v>16329</v>
      </c>
      <c r="B717" s="6" t="s">
        <v>639</v>
      </c>
      <c r="C717" s="6" t="s">
        <v>124</v>
      </c>
      <c r="D717" s="6" t="s">
        <v>36</v>
      </c>
      <c r="E717" s="14" t="n">
        <v>338.97</v>
      </c>
      <c r="F717" s="14" t="n">
        <v>677.94</v>
      </c>
      <c r="G717" s="6" t="s">
        <v>15614</v>
      </c>
    </row>
    <row r="718" customFormat="false" ht="15" hidden="false" customHeight="true" outlineLevel="0" collapsed="false">
      <c r="A718" s="6" t="s">
        <v>16330</v>
      </c>
      <c r="B718" s="6" t="s">
        <v>641</v>
      </c>
      <c r="C718" s="6" t="s">
        <v>116</v>
      </c>
      <c r="D718" s="6" t="s">
        <v>49</v>
      </c>
      <c r="E718" s="14" t="n">
        <v>713.87</v>
      </c>
      <c r="F718" s="14" t="n">
        <v>713.87</v>
      </c>
      <c r="G718" s="6" t="s">
        <v>15614</v>
      </c>
    </row>
    <row r="719" customFormat="false" ht="15" hidden="false" customHeight="true" outlineLevel="0" collapsed="false">
      <c r="A719" s="6" t="s">
        <v>16331</v>
      </c>
      <c r="B719" s="6" t="s">
        <v>641</v>
      </c>
      <c r="C719" s="6" t="s">
        <v>116</v>
      </c>
      <c r="D719" s="6" t="s">
        <v>50</v>
      </c>
      <c r="E719" s="14" t="n">
        <v>713.87</v>
      </c>
      <c r="F719" s="14" t="n">
        <v>1427.74</v>
      </c>
      <c r="G719" s="6" t="s">
        <v>15614</v>
      </c>
    </row>
    <row r="720" customFormat="false" ht="15" hidden="false" customHeight="true" outlineLevel="0" collapsed="false">
      <c r="A720" s="6" t="s">
        <v>16332</v>
      </c>
      <c r="B720" s="6" t="s">
        <v>643</v>
      </c>
      <c r="C720" s="6" t="s">
        <v>120</v>
      </c>
      <c r="D720" s="6" t="s">
        <v>39</v>
      </c>
      <c r="E720" s="14" t="n">
        <v>745.59</v>
      </c>
      <c r="F720" s="14" t="n">
        <v>745.59</v>
      </c>
      <c r="G720" s="6" t="s">
        <v>15614</v>
      </c>
    </row>
    <row r="721" customFormat="false" ht="15" hidden="false" customHeight="true" outlineLevel="0" collapsed="false">
      <c r="A721" s="6" t="s">
        <v>16333</v>
      </c>
      <c r="B721" s="6" t="s">
        <v>643</v>
      </c>
      <c r="C721" s="6" t="s">
        <v>120</v>
      </c>
      <c r="D721" s="6" t="s">
        <v>40</v>
      </c>
      <c r="E721" s="14" t="n">
        <v>745.59</v>
      </c>
      <c r="F721" s="14" t="n">
        <v>1491.18</v>
      </c>
      <c r="G721" s="6" t="s">
        <v>15614</v>
      </c>
    </row>
    <row r="722" customFormat="false" ht="15" hidden="false" customHeight="true" outlineLevel="0" collapsed="false">
      <c r="A722" s="6" t="s">
        <v>16334</v>
      </c>
      <c r="B722" s="6" t="s">
        <v>643</v>
      </c>
      <c r="C722" s="6" t="s">
        <v>120</v>
      </c>
      <c r="D722" s="6" t="s">
        <v>41</v>
      </c>
      <c r="E722" s="14" t="n">
        <v>745.59</v>
      </c>
      <c r="F722" s="14" t="n">
        <v>2236.77</v>
      </c>
      <c r="G722" s="6" t="s">
        <v>15614</v>
      </c>
    </row>
    <row r="723" customFormat="false" ht="15" hidden="false" customHeight="true" outlineLevel="0" collapsed="false">
      <c r="A723" s="6" t="s">
        <v>16335</v>
      </c>
      <c r="B723" s="6" t="s">
        <v>643</v>
      </c>
      <c r="C723" s="6" t="s">
        <v>120</v>
      </c>
      <c r="D723" s="6" t="s">
        <v>42</v>
      </c>
      <c r="E723" s="14" t="n">
        <v>745.59</v>
      </c>
      <c r="F723" s="14" t="n">
        <v>2982.36</v>
      </c>
      <c r="G723" s="6" t="s">
        <v>15614</v>
      </c>
    </row>
    <row r="724" customFormat="false" ht="15" hidden="false" customHeight="true" outlineLevel="0" collapsed="false">
      <c r="A724" s="6" t="s">
        <v>16336</v>
      </c>
      <c r="B724" s="6" t="s">
        <v>643</v>
      </c>
      <c r="C724" s="6" t="s">
        <v>120</v>
      </c>
      <c r="D724" s="6" t="s">
        <v>43</v>
      </c>
      <c r="E724" s="14" t="n">
        <v>745.59</v>
      </c>
      <c r="F724" s="14" t="n">
        <v>3727.95</v>
      </c>
      <c r="G724" s="6" t="s">
        <v>15614</v>
      </c>
    </row>
    <row r="725" customFormat="false" ht="15" hidden="false" customHeight="true" outlineLevel="0" collapsed="false">
      <c r="A725" s="6" t="s">
        <v>16337</v>
      </c>
      <c r="B725" s="6" t="s">
        <v>645</v>
      </c>
      <c r="C725" s="6" t="s">
        <v>112</v>
      </c>
      <c r="D725" s="6" t="s">
        <v>15</v>
      </c>
      <c r="E725" s="14" t="n">
        <v>2092.64</v>
      </c>
      <c r="F725" s="14" t="n">
        <v>2092.64</v>
      </c>
      <c r="G725" s="6" t="s">
        <v>15614</v>
      </c>
    </row>
    <row r="726" customFormat="false" ht="15" hidden="false" customHeight="true" outlineLevel="0" collapsed="false">
      <c r="A726" s="6" t="s">
        <v>16338</v>
      </c>
      <c r="B726" s="6" t="s">
        <v>645</v>
      </c>
      <c r="C726" s="6" t="s">
        <v>112</v>
      </c>
      <c r="D726" s="6" t="s">
        <v>16</v>
      </c>
      <c r="E726" s="14" t="n">
        <v>2092.64</v>
      </c>
      <c r="F726" s="14" t="n">
        <v>4185.28</v>
      </c>
      <c r="G726" s="6" t="s">
        <v>15614</v>
      </c>
    </row>
    <row r="727" customFormat="false" ht="15" hidden="false" customHeight="true" outlineLevel="0" collapsed="false">
      <c r="A727" s="6" t="s">
        <v>16339</v>
      </c>
      <c r="B727" s="6" t="s">
        <v>645</v>
      </c>
      <c r="C727" s="6" t="s">
        <v>112</v>
      </c>
      <c r="D727" s="6" t="s">
        <v>17</v>
      </c>
      <c r="E727" s="14" t="n">
        <v>2092.64</v>
      </c>
      <c r="F727" s="14" t="n">
        <v>6277.92</v>
      </c>
      <c r="G727" s="6" t="s">
        <v>15614</v>
      </c>
    </row>
    <row r="728" customFormat="false" ht="15" hidden="false" customHeight="true" outlineLevel="0" collapsed="false">
      <c r="A728" s="6" t="s">
        <v>16340</v>
      </c>
      <c r="B728" s="6" t="s">
        <v>645</v>
      </c>
      <c r="C728" s="6" t="s">
        <v>112</v>
      </c>
      <c r="D728" s="6" t="s">
        <v>18</v>
      </c>
      <c r="E728" s="14" t="n">
        <v>2092.64</v>
      </c>
      <c r="F728" s="14" t="n">
        <v>8370.56</v>
      </c>
      <c r="G728" s="6" t="s">
        <v>15614</v>
      </c>
    </row>
    <row r="729" customFormat="false" ht="15" hidden="false" customHeight="true" outlineLevel="0" collapsed="false">
      <c r="A729" s="6" t="s">
        <v>16341</v>
      </c>
      <c r="B729" s="6" t="s">
        <v>645</v>
      </c>
      <c r="C729" s="6" t="s">
        <v>112</v>
      </c>
      <c r="D729" s="6" t="s">
        <v>19</v>
      </c>
      <c r="E729" s="14" t="n">
        <v>2092.64</v>
      </c>
      <c r="F729" s="14" t="n">
        <v>10463.2</v>
      </c>
      <c r="G729" s="6" t="s">
        <v>15614</v>
      </c>
    </row>
    <row r="730" customFormat="false" ht="15" hidden="false" customHeight="true" outlineLevel="0" collapsed="false">
      <c r="A730" s="6" t="s">
        <v>16342</v>
      </c>
      <c r="B730" s="6" t="s">
        <v>645</v>
      </c>
      <c r="C730" s="6" t="s">
        <v>112</v>
      </c>
      <c r="D730" s="6" t="s">
        <v>20</v>
      </c>
      <c r="E730" s="14" t="n">
        <v>2092.64</v>
      </c>
      <c r="F730" s="14" t="n">
        <v>12555.84</v>
      </c>
      <c r="G730" s="6" t="s">
        <v>15614</v>
      </c>
    </row>
    <row r="731" customFormat="false" ht="15" hidden="false" customHeight="true" outlineLevel="0" collapsed="false">
      <c r="A731" s="6" t="s">
        <v>16343</v>
      </c>
      <c r="B731" s="6" t="s">
        <v>645</v>
      </c>
      <c r="C731" s="6" t="s">
        <v>112</v>
      </c>
      <c r="D731" s="6" t="s">
        <v>21</v>
      </c>
      <c r="E731" s="14" t="n">
        <v>2092.64</v>
      </c>
      <c r="F731" s="14" t="n">
        <v>14648.48</v>
      </c>
      <c r="G731" s="6" t="s">
        <v>15614</v>
      </c>
    </row>
    <row r="732" customFormat="false" ht="15" hidden="false" customHeight="true" outlineLevel="0" collapsed="false">
      <c r="A732" s="6" t="s">
        <v>16344</v>
      </c>
      <c r="B732" s="6" t="s">
        <v>645</v>
      </c>
      <c r="C732" s="6" t="s">
        <v>112</v>
      </c>
      <c r="D732" s="6" t="s">
        <v>22</v>
      </c>
      <c r="E732" s="14" t="n">
        <v>2092.64</v>
      </c>
      <c r="F732" s="14" t="n">
        <v>16741.12</v>
      </c>
      <c r="G732" s="6" t="s">
        <v>15614</v>
      </c>
    </row>
    <row r="733" customFormat="false" ht="15" hidden="false" customHeight="true" outlineLevel="0" collapsed="false">
      <c r="A733" s="6" t="s">
        <v>16345</v>
      </c>
      <c r="B733" s="6" t="s">
        <v>647</v>
      </c>
      <c r="C733" s="6" t="s">
        <v>128</v>
      </c>
      <c r="D733" s="6" t="s">
        <v>42</v>
      </c>
      <c r="E733" s="14" t="n">
        <v>2398.44</v>
      </c>
      <c r="F733" s="14" t="n">
        <v>2398.44</v>
      </c>
      <c r="G733" s="6" t="s">
        <v>15614</v>
      </c>
    </row>
    <row r="734" customFormat="false" ht="15" hidden="false" customHeight="true" outlineLevel="0" collapsed="false">
      <c r="A734" s="6" t="s">
        <v>16346</v>
      </c>
      <c r="B734" s="6" t="s">
        <v>647</v>
      </c>
      <c r="C734" s="6" t="s">
        <v>128</v>
      </c>
      <c r="D734" s="6" t="s">
        <v>43</v>
      </c>
      <c r="E734" s="14" t="n">
        <v>2398.44</v>
      </c>
      <c r="F734" s="14" t="n">
        <v>4796.88</v>
      </c>
      <c r="G734" s="6" t="s">
        <v>15614</v>
      </c>
    </row>
    <row r="735" customFormat="false" ht="15" hidden="false" customHeight="true" outlineLevel="0" collapsed="false">
      <c r="A735" s="6" t="s">
        <v>16347</v>
      </c>
      <c r="B735" s="6" t="s">
        <v>647</v>
      </c>
      <c r="C735" s="6" t="s">
        <v>128</v>
      </c>
      <c r="D735" s="6" t="s">
        <v>44</v>
      </c>
      <c r="E735" s="14" t="n">
        <v>2398.44</v>
      </c>
      <c r="F735" s="14" t="n">
        <v>7195.32</v>
      </c>
      <c r="G735" s="6" t="s">
        <v>15614</v>
      </c>
    </row>
    <row r="736" customFormat="false" ht="15" hidden="false" customHeight="true" outlineLevel="0" collapsed="false">
      <c r="A736" s="6" t="s">
        <v>16348</v>
      </c>
      <c r="B736" s="6" t="s">
        <v>649</v>
      </c>
      <c r="C736" s="6" t="s">
        <v>120</v>
      </c>
      <c r="D736" s="6" t="s">
        <v>24</v>
      </c>
      <c r="E736" s="14" t="n">
        <v>477.44</v>
      </c>
      <c r="F736" s="14" t="n">
        <v>477.44</v>
      </c>
      <c r="G736" s="6" t="s">
        <v>15614</v>
      </c>
    </row>
    <row r="737" customFormat="false" ht="15" hidden="false" customHeight="true" outlineLevel="0" collapsed="false">
      <c r="A737" s="6" t="s">
        <v>16349</v>
      </c>
      <c r="B737" s="6" t="s">
        <v>649</v>
      </c>
      <c r="C737" s="6" t="s">
        <v>120</v>
      </c>
      <c r="D737" s="6" t="s">
        <v>25</v>
      </c>
      <c r="E737" s="14" t="n">
        <v>477.44</v>
      </c>
      <c r="F737" s="14" t="n">
        <v>954.88</v>
      </c>
      <c r="G737" s="6" t="s">
        <v>15614</v>
      </c>
    </row>
    <row r="738" customFormat="false" ht="15" hidden="false" customHeight="true" outlineLevel="0" collapsed="false">
      <c r="A738" s="6" t="s">
        <v>16350</v>
      </c>
      <c r="B738" s="6" t="s">
        <v>651</v>
      </c>
      <c r="C738" s="6" t="s">
        <v>131</v>
      </c>
      <c r="D738" s="6" t="s">
        <v>46</v>
      </c>
      <c r="E738" s="14" t="n">
        <v>3912.24</v>
      </c>
      <c r="F738" s="14" t="n">
        <v>3912.24</v>
      </c>
      <c r="G738" s="6" t="s">
        <v>15614</v>
      </c>
    </row>
    <row r="739" customFormat="false" ht="15" hidden="false" customHeight="true" outlineLevel="0" collapsed="false">
      <c r="A739" s="6" t="s">
        <v>16351</v>
      </c>
      <c r="B739" s="6" t="s">
        <v>651</v>
      </c>
      <c r="C739" s="6" t="s">
        <v>131</v>
      </c>
      <c r="D739" s="6" t="s">
        <v>47</v>
      </c>
      <c r="E739" s="14" t="n">
        <v>3912.24</v>
      </c>
      <c r="F739" s="14" t="n">
        <v>7824.48</v>
      </c>
      <c r="G739" s="6" t="s">
        <v>15614</v>
      </c>
    </row>
    <row r="740" customFormat="false" ht="15" hidden="false" customHeight="true" outlineLevel="0" collapsed="false">
      <c r="A740" s="6" t="s">
        <v>16352</v>
      </c>
      <c r="B740" s="6" t="s">
        <v>653</v>
      </c>
      <c r="C740" s="6" t="s">
        <v>128</v>
      </c>
      <c r="D740" s="6" t="s">
        <v>50</v>
      </c>
      <c r="E740" s="14" t="n">
        <v>4345.85</v>
      </c>
      <c r="F740" s="14" t="n">
        <v>4345.85</v>
      </c>
      <c r="G740" s="6" t="s">
        <v>15614</v>
      </c>
    </row>
    <row r="741" customFormat="false" ht="15" hidden="false" customHeight="true" outlineLevel="0" collapsed="false">
      <c r="A741" s="6" t="s">
        <v>16353</v>
      </c>
      <c r="B741" s="6" t="s">
        <v>653</v>
      </c>
      <c r="C741" s="6" t="s">
        <v>128</v>
      </c>
      <c r="D741" s="6" t="s">
        <v>51</v>
      </c>
      <c r="E741" s="14" t="n">
        <v>4345.85</v>
      </c>
      <c r="F741" s="14" t="n">
        <v>8691.7</v>
      </c>
      <c r="G741" s="6" t="s">
        <v>15614</v>
      </c>
    </row>
    <row r="742" customFormat="false" ht="15" hidden="false" customHeight="true" outlineLevel="0" collapsed="false">
      <c r="A742" s="6" t="s">
        <v>16354</v>
      </c>
      <c r="B742" s="6" t="s">
        <v>655</v>
      </c>
      <c r="C742" s="6" t="s">
        <v>120</v>
      </c>
      <c r="D742" s="6" t="s">
        <v>49</v>
      </c>
      <c r="E742" s="14" t="n">
        <v>3027.34</v>
      </c>
      <c r="F742" s="14" t="n">
        <v>3027.34</v>
      </c>
      <c r="G742" s="6" t="s">
        <v>15614</v>
      </c>
    </row>
    <row r="743" customFormat="false" ht="15" hidden="false" customHeight="true" outlineLevel="0" collapsed="false">
      <c r="A743" s="6" t="s">
        <v>16355</v>
      </c>
      <c r="B743" s="6" t="s">
        <v>655</v>
      </c>
      <c r="C743" s="6" t="s">
        <v>120</v>
      </c>
      <c r="D743" s="6" t="s">
        <v>50</v>
      </c>
      <c r="E743" s="14" t="n">
        <v>3027.34</v>
      </c>
      <c r="F743" s="14" t="n">
        <v>6054.68</v>
      </c>
      <c r="G743" s="6" t="s">
        <v>15614</v>
      </c>
    </row>
    <row r="744" customFormat="false" ht="15" hidden="false" customHeight="true" outlineLevel="0" collapsed="false">
      <c r="A744" s="6" t="s">
        <v>16356</v>
      </c>
      <c r="B744" s="6" t="s">
        <v>655</v>
      </c>
      <c r="C744" s="6" t="s">
        <v>120</v>
      </c>
      <c r="D744" s="6" t="s">
        <v>51</v>
      </c>
      <c r="E744" s="14" t="n">
        <v>3027.34</v>
      </c>
      <c r="F744" s="14" t="n">
        <v>9082.02</v>
      </c>
      <c r="G744" s="6" t="s">
        <v>15614</v>
      </c>
    </row>
    <row r="745" customFormat="false" ht="15" hidden="false" customHeight="true" outlineLevel="0" collapsed="false">
      <c r="A745" s="6" t="s">
        <v>16357</v>
      </c>
      <c r="B745" s="6" t="s">
        <v>657</v>
      </c>
      <c r="C745" s="6" t="s">
        <v>120</v>
      </c>
      <c r="D745" s="6" t="s">
        <v>61</v>
      </c>
      <c r="E745" s="14" t="n">
        <v>3575.88</v>
      </c>
      <c r="F745" s="14" t="n">
        <v>3575.88</v>
      </c>
      <c r="G745" s="6" t="s">
        <v>15614</v>
      </c>
    </row>
    <row r="746" customFormat="false" ht="15" hidden="false" customHeight="true" outlineLevel="0" collapsed="false">
      <c r="A746" s="6" t="s">
        <v>16358</v>
      </c>
      <c r="B746" s="6" t="s">
        <v>657</v>
      </c>
      <c r="C746" s="6" t="s">
        <v>120</v>
      </c>
      <c r="D746" s="6" t="s">
        <v>62</v>
      </c>
      <c r="E746" s="14" t="n">
        <v>3575.88</v>
      </c>
      <c r="F746" s="14" t="n">
        <v>7151.76</v>
      </c>
      <c r="G746" s="6" t="s">
        <v>15614</v>
      </c>
    </row>
    <row r="747" customFormat="false" ht="15" hidden="false" customHeight="true" outlineLevel="0" collapsed="false">
      <c r="A747" s="6" t="s">
        <v>16359</v>
      </c>
      <c r="B747" s="6" t="s">
        <v>657</v>
      </c>
      <c r="C747" s="6" t="s">
        <v>120</v>
      </c>
      <c r="D747" s="6" t="s">
        <v>63</v>
      </c>
      <c r="E747" s="14" t="n">
        <v>3575.88</v>
      </c>
      <c r="F747" s="14" t="n">
        <v>10727.64</v>
      </c>
      <c r="G747" s="6" t="s">
        <v>15614</v>
      </c>
    </row>
    <row r="748" customFormat="false" ht="15" hidden="false" customHeight="true" outlineLevel="0" collapsed="false">
      <c r="A748" s="6" t="s">
        <v>16360</v>
      </c>
      <c r="B748" s="6" t="s">
        <v>657</v>
      </c>
      <c r="C748" s="6" t="s">
        <v>120</v>
      </c>
      <c r="D748" s="6" t="s">
        <v>64</v>
      </c>
      <c r="E748" s="14" t="n">
        <v>3575.88</v>
      </c>
      <c r="F748" s="14" t="n">
        <v>14303.52</v>
      </c>
      <c r="G748" s="6" t="s">
        <v>15614</v>
      </c>
    </row>
    <row r="749" customFormat="false" ht="15" hidden="false" customHeight="true" outlineLevel="0" collapsed="false">
      <c r="A749" s="6" t="s">
        <v>16361</v>
      </c>
      <c r="B749" s="6" t="s">
        <v>659</v>
      </c>
      <c r="C749" s="6" t="s">
        <v>120</v>
      </c>
      <c r="D749" s="6" t="s">
        <v>31</v>
      </c>
      <c r="E749" s="14" t="n">
        <v>2921.74</v>
      </c>
      <c r="F749" s="14" t="n">
        <v>2921.74</v>
      </c>
      <c r="G749" s="6" t="s">
        <v>15614</v>
      </c>
    </row>
    <row r="750" customFormat="false" ht="15" hidden="false" customHeight="true" outlineLevel="0" collapsed="false">
      <c r="A750" s="6" t="s">
        <v>16362</v>
      </c>
      <c r="B750" s="6" t="s">
        <v>659</v>
      </c>
      <c r="C750" s="6" t="s">
        <v>120</v>
      </c>
      <c r="D750" s="6" t="s">
        <v>32</v>
      </c>
      <c r="E750" s="14" t="n">
        <v>2921.74</v>
      </c>
      <c r="F750" s="14" t="n">
        <v>5843.48</v>
      </c>
      <c r="G750" s="6" t="s">
        <v>15614</v>
      </c>
    </row>
    <row r="751" customFormat="false" ht="15" hidden="false" customHeight="true" outlineLevel="0" collapsed="false">
      <c r="A751" s="6" t="s">
        <v>16363</v>
      </c>
      <c r="B751" s="6" t="s">
        <v>661</v>
      </c>
      <c r="C751" s="6" t="s">
        <v>131</v>
      </c>
      <c r="D751" s="6" t="s">
        <v>41</v>
      </c>
      <c r="E751" s="14" t="n">
        <v>1589.47</v>
      </c>
      <c r="F751" s="14" t="n">
        <v>1589.47</v>
      </c>
      <c r="G751" s="6" t="s">
        <v>15614</v>
      </c>
    </row>
    <row r="752" customFormat="false" ht="15" hidden="false" customHeight="true" outlineLevel="0" collapsed="false">
      <c r="A752" s="6" t="s">
        <v>16364</v>
      </c>
      <c r="B752" s="6" t="s">
        <v>661</v>
      </c>
      <c r="C752" s="6" t="s">
        <v>131</v>
      </c>
      <c r="D752" s="6" t="s">
        <v>42</v>
      </c>
      <c r="E752" s="14" t="n">
        <v>1589.47</v>
      </c>
      <c r="F752" s="14" t="n">
        <v>3178.94</v>
      </c>
      <c r="G752" s="6" t="s">
        <v>15614</v>
      </c>
    </row>
    <row r="753" customFormat="false" ht="15" hidden="false" customHeight="true" outlineLevel="0" collapsed="false">
      <c r="A753" s="6" t="s">
        <v>16365</v>
      </c>
      <c r="B753" s="6" t="s">
        <v>663</v>
      </c>
      <c r="C753" s="6" t="s">
        <v>116</v>
      </c>
      <c r="D753" s="6" t="s">
        <v>18</v>
      </c>
      <c r="E753" s="14" t="n">
        <v>1890.75</v>
      </c>
      <c r="F753" s="14" t="n">
        <v>1890.75</v>
      </c>
      <c r="G753" s="6" t="s">
        <v>15614</v>
      </c>
    </row>
    <row r="754" customFormat="false" ht="15" hidden="false" customHeight="true" outlineLevel="0" collapsed="false">
      <c r="A754" s="6" t="s">
        <v>16366</v>
      </c>
      <c r="B754" s="6" t="s">
        <v>663</v>
      </c>
      <c r="C754" s="6" t="s">
        <v>116</v>
      </c>
      <c r="D754" s="6" t="s">
        <v>19</v>
      </c>
      <c r="E754" s="14" t="n">
        <v>1890.75</v>
      </c>
      <c r="F754" s="14" t="n">
        <v>3781.5</v>
      </c>
      <c r="G754" s="6" t="s">
        <v>15614</v>
      </c>
    </row>
    <row r="755" customFormat="false" ht="15" hidden="false" customHeight="true" outlineLevel="0" collapsed="false">
      <c r="A755" s="6" t="s">
        <v>16367</v>
      </c>
      <c r="B755" s="6" t="s">
        <v>663</v>
      </c>
      <c r="C755" s="6" t="s">
        <v>116</v>
      </c>
      <c r="D755" s="6" t="s">
        <v>20</v>
      </c>
      <c r="E755" s="14" t="n">
        <v>1890.75</v>
      </c>
      <c r="F755" s="14" t="n">
        <v>5672.25</v>
      </c>
      <c r="G755" s="6" t="s">
        <v>15614</v>
      </c>
    </row>
    <row r="756" customFormat="false" ht="15" hidden="false" customHeight="true" outlineLevel="0" collapsed="false">
      <c r="A756" s="6" t="s">
        <v>16368</v>
      </c>
      <c r="B756" s="6" t="s">
        <v>665</v>
      </c>
      <c r="C756" s="6" t="s">
        <v>124</v>
      </c>
      <c r="D756" s="6" t="s">
        <v>23</v>
      </c>
      <c r="E756" s="14" t="n">
        <v>1532.81</v>
      </c>
      <c r="F756" s="14" t="n">
        <v>1532.81</v>
      </c>
      <c r="G756" s="6" t="s">
        <v>15614</v>
      </c>
    </row>
    <row r="757" customFormat="false" ht="15" hidden="false" customHeight="true" outlineLevel="0" collapsed="false">
      <c r="A757" s="6" t="s">
        <v>16369</v>
      </c>
      <c r="B757" s="6" t="s">
        <v>665</v>
      </c>
      <c r="C757" s="6" t="s">
        <v>124</v>
      </c>
      <c r="D757" s="6" t="s">
        <v>24</v>
      </c>
      <c r="E757" s="14" t="n">
        <v>1532.81</v>
      </c>
      <c r="F757" s="14" t="n">
        <v>3065.62</v>
      </c>
      <c r="G757" s="6" t="s">
        <v>15614</v>
      </c>
    </row>
    <row r="758" customFormat="false" ht="15" hidden="false" customHeight="true" outlineLevel="0" collapsed="false">
      <c r="A758" s="6" t="s">
        <v>16370</v>
      </c>
      <c r="B758" s="6" t="s">
        <v>665</v>
      </c>
      <c r="C758" s="6" t="s">
        <v>124</v>
      </c>
      <c r="D758" s="6" t="s">
        <v>25</v>
      </c>
      <c r="E758" s="14" t="n">
        <v>1532.81</v>
      </c>
      <c r="F758" s="14" t="n">
        <v>4598.43</v>
      </c>
      <c r="G758" s="6" t="s">
        <v>15614</v>
      </c>
    </row>
    <row r="759" customFormat="false" ht="15" hidden="false" customHeight="true" outlineLevel="0" collapsed="false">
      <c r="A759" s="6" t="s">
        <v>16371</v>
      </c>
      <c r="B759" s="6" t="s">
        <v>665</v>
      </c>
      <c r="C759" s="6" t="s">
        <v>124</v>
      </c>
      <c r="D759" s="6" t="s">
        <v>26</v>
      </c>
      <c r="E759" s="14" t="n">
        <v>1532.81</v>
      </c>
      <c r="F759" s="14" t="n">
        <v>6131.24</v>
      </c>
      <c r="G759" s="6" t="s">
        <v>15614</v>
      </c>
    </row>
    <row r="760" customFormat="false" ht="15" hidden="false" customHeight="true" outlineLevel="0" collapsed="false">
      <c r="A760" s="6" t="s">
        <v>16372</v>
      </c>
      <c r="B760" s="6" t="s">
        <v>667</v>
      </c>
      <c r="C760" s="6" t="s">
        <v>128</v>
      </c>
      <c r="D760" s="6" t="s">
        <v>11</v>
      </c>
      <c r="E760" s="14" t="n">
        <v>272</v>
      </c>
      <c r="F760" s="14" t="n">
        <v>272</v>
      </c>
      <c r="G760" s="6" t="s">
        <v>15614</v>
      </c>
    </row>
    <row r="761" customFormat="false" ht="15" hidden="false" customHeight="true" outlineLevel="0" collapsed="false">
      <c r="A761" s="6" t="s">
        <v>16373</v>
      </c>
      <c r="B761" s="6" t="s">
        <v>667</v>
      </c>
      <c r="C761" s="6" t="s">
        <v>128</v>
      </c>
      <c r="D761" s="6" t="s">
        <v>12</v>
      </c>
      <c r="E761" s="14" t="n">
        <v>272</v>
      </c>
      <c r="F761" s="14" t="n">
        <v>544</v>
      </c>
      <c r="G761" s="6" t="s">
        <v>15614</v>
      </c>
    </row>
    <row r="762" customFormat="false" ht="15" hidden="false" customHeight="true" outlineLevel="0" collapsed="false">
      <c r="A762" s="6" t="s">
        <v>16374</v>
      </c>
      <c r="B762" s="6" t="s">
        <v>667</v>
      </c>
      <c r="C762" s="6" t="s">
        <v>128</v>
      </c>
      <c r="D762" s="6" t="s">
        <v>13</v>
      </c>
      <c r="E762" s="14" t="n">
        <v>272</v>
      </c>
      <c r="F762" s="14" t="n">
        <v>816</v>
      </c>
      <c r="G762" s="6" t="s">
        <v>15614</v>
      </c>
    </row>
    <row r="763" customFormat="false" ht="15" hidden="false" customHeight="true" outlineLevel="0" collapsed="false">
      <c r="A763" s="6" t="s">
        <v>16375</v>
      </c>
      <c r="B763" s="6" t="s">
        <v>667</v>
      </c>
      <c r="C763" s="6" t="s">
        <v>128</v>
      </c>
      <c r="D763" s="6" t="s">
        <v>14</v>
      </c>
      <c r="E763" s="14" t="n">
        <v>272</v>
      </c>
      <c r="F763" s="14" t="n">
        <v>1088</v>
      </c>
      <c r="G763" s="6" t="s">
        <v>15614</v>
      </c>
    </row>
    <row r="764" customFormat="false" ht="15" hidden="false" customHeight="true" outlineLevel="0" collapsed="false">
      <c r="A764" s="6" t="s">
        <v>16376</v>
      </c>
      <c r="B764" s="6" t="s">
        <v>669</v>
      </c>
      <c r="C764" s="6" t="s">
        <v>124</v>
      </c>
      <c r="D764" s="6" t="s">
        <v>36</v>
      </c>
      <c r="E764" s="14" t="n">
        <v>1668.76</v>
      </c>
      <c r="F764" s="14" t="n">
        <v>1668.76</v>
      </c>
      <c r="G764" s="6" t="s">
        <v>15614</v>
      </c>
    </row>
    <row r="765" customFormat="false" ht="15" hidden="false" customHeight="true" outlineLevel="0" collapsed="false">
      <c r="A765" s="6" t="s">
        <v>16377</v>
      </c>
      <c r="B765" s="6" t="s">
        <v>669</v>
      </c>
      <c r="C765" s="6" t="s">
        <v>124</v>
      </c>
      <c r="D765" s="6" t="s">
        <v>37</v>
      </c>
      <c r="E765" s="14" t="n">
        <v>1668.76</v>
      </c>
      <c r="F765" s="14" t="n">
        <v>3337.52</v>
      </c>
      <c r="G765" s="6" t="s">
        <v>15614</v>
      </c>
    </row>
    <row r="766" customFormat="false" ht="15" hidden="false" customHeight="true" outlineLevel="0" collapsed="false">
      <c r="A766" s="6" t="s">
        <v>16378</v>
      </c>
      <c r="B766" s="6" t="s">
        <v>669</v>
      </c>
      <c r="C766" s="6" t="s">
        <v>124</v>
      </c>
      <c r="D766" s="6" t="s">
        <v>38</v>
      </c>
      <c r="E766" s="14" t="n">
        <v>1668.76</v>
      </c>
      <c r="F766" s="14" t="n">
        <v>5006.28</v>
      </c>
      <c r="G766" s="6" t="s">
        <v>15614</v>
      </c>
    </row>
    <row r="767" customFormat="false" ht="15" hidden="false" customHeight="true" outlineLevel="0" collapsed="false">
      <c r="A767" s="6" t="s">
        <v>16379</v>
      </c>
      <c r="B767" s="6" t="s">
        <v>669</v>
      </c>
      <c r="C767" s="6" t="s">
        <v>124</v>
      </c>
      <c r="D767" s="6" t="s">
        <v>39</v>
      </c>
      <c r="E767" s="14" t="n">
        <v>1668.76</v>
      </c>
      <c r="F767" s="14" t="n">
        <v>6675.04</v>
      </c>
      <c r="G767" s="6" t="s">
        <v>15614</v>
      </c>
    </row>
    <row r="768" customFormat="false" ht="15" hidden="false" customHeight="true" outlineLevel="0" collapsed="false">
      <c r="A768" s="6" t="s">
        <v>16380</v>
      </c>
      <c r="B768" s="6" t="s">
        <v>671</v>
      </c>
      <c r="C768" s="6" t="s">
        <v>124</v>
      </c>
      <c r="D768" s="6" t="s">
        <v>17</v>
      </c>
      <c r="E768" s="14" t="n">
        <v>1259.54</v>
      </c>
      <c r="F768" s="14" t="n">
        <v>1259.54</v>
      </c>
      <c r="G768" s="6" t="s">
        <v>15614</v>
      </c>
    </row>
    <row r="769" customFormat="false" ht="15" hidden="false" customHeight="true" outlineLevel="0" collapsed="false">
      <c r="A769" s="6" t="s">
        <v>16381</v>
      </c>
      <c r="B769" s="6" t="s">
        <v>671</v>
      </c>
      <c r="C769" s="6" t="s">
        <v>124</v>
      </c>
      <c r="D769" s="6" t="s">
        <v>18</v>
      </c>
      <c r="E769" s="14" t="n">
        <v>1259.54</v>
      </c>
      <c r="F769" s="14" t="n">
        <v>2519.08</v>
      </c>
      <c r="G769" s="6" t="s">
        <v>15614</v>
      </c>
    </row>
    <row r="770" customFormat="false" ht="15" hidden="false" customHeight="true" outlineLevel="0" collapsed="false">
      <c r="A770" s="6" t="s">
        <v>16382</v>
      </c>
      <c r="B770" s="6" t="s">
        <v>673</v>
      </c>
      <c r="C770" s="6" t="s">
        <v>131</v>
      </c>
      <c r="D770" s="6" t="s">
        <v>11</v>
      </c>
      <c r="E770" s="14" t="n">
        <v>1844.73</v>
      </c>
      <c r="F770" s="14" t="n">
        <v>1844.73</v>
      </c>
      <c r="G770" s="6" t="s">
        <v>15614</v>
      </c>
    </row>
    <row r="771" customFormat="false" ht="15" hidden="false" customHeight="true" outlineLevel="0" collapsed="false">
      <c r="A771" s="6" t="s">
        <v>16383</v>
      </c>
      <c r="B771" s="6" t="s">
        <v>673</v>
      </c>
      <c r="C771" s="6" t="s">
        <v>131</v>
      </c>
      <c r="D771" s="6" t="s">
        <v>12</v>
      </c>
      <c r="E771" s="14" t="n">
        <v>1844.73</v>
      </c>
      <c r="F771" s="14" t="n">
        <v>3689.46</v>
      </c>
      <c r="G771" s="6" t="s">
        <v>15614</v>
      </c>
    </row>
    <row r="772" customFormat="false" ht="15" hidden="false" customHeight="true" outlineLevel="0" collapsed="false">
      <c r="A772" s="6" t="s">
        <v>16384</v>
      </c>
      <c r="B772" s="6" t="s">
        <v>673</v>
      </c>
      <c r="C772" s="6" t="s">
        <v>131</v>
      </c>
      <c r="D772" s="6" t="s">
        <v>13</v>
      </c>
      <c r="E772" s="14" t="n">
        <v>1844.73</v>
      </c>
      <c r="F772" s="14" t="n">
        <v>5534.19</v>
      </c>
      <c r="G772" s="6" t="s">
        <v>15614</v>
      </c>
    </row>
    <row r="773" customFormat="false" ht="15" hidden="false" customHeight="true" outlineLevel="0" collapsed="false">
      <c r="A773" s="6" t="s">
        <v>16385</v>
      </c>
      <c r="B773" s="6" t="s">
        <v>675</v>
      </c>
      <c r="C773" s="6" t="s">
        <v>128</v>
      </c>
      <c r="D773" s="6" t="s">
        <v>27</v>
      </c>
      <c r="E773" s="14" t="n">
        <v>5276.2</v>
      </c>
      <c r="F773" s="14" t="n">
        <v>5276.2</v>
      </c>
      <c r="G773" s="6" t="s">
        <v>15614</v>
      </c>
    </row>
    <row r="774" customFormat="false" ht="15" hidden="false" customHeight="true" outlineLevel="0" collapsed="false">
      <c r="A774" s="6" t="s">
        <v>16386</v>
      </c>
      <c r="B774" s="6" t="s">
        <v>675</v>
      </c>
      <c r="C774" s="6" t="s">
        <v>128</v>
      </c>
      <c r="D774" s="6" t="s">
        <v>28</v>
      </c>
      <c r="E774" s="14" t="n">
        <v>5276.2</v>
      </c>
      <c r="F774" s="14" t="n">
        <v>10552.4</v>
      </c>
      <c r="G774" s="6" t="s">
        <v>15614</v>
      </c>
    </row>
    <row r="775" customFormat="false" ht="15" hidden="false" customHeight="true" outlineLevel="0" collapsed="false">
      <c r="A775" s="6" t="s">
        <v>16387</v>
      </c>
      <c r="B775" s="6" t="s">
        <v>677</v>
      </c>
      <c r="C775" s="6" t="s">
        <v>116</v>
      </c>
      <c r="D775" s="6" t="s">
        <v>41</v>
      </c>
      <c r="E775" s="14" t="n">
        <v>266.98</v>
      </c>
      <c r="F775" s="14" t="n">
        <v>266.98</v>
      </c>
      <c r="G775" s="6" t="s">
        <v>15614</v>
      </c>
    </row>
    <row r="776" customFormat="false" ht="15" hidden="false" customHeight="true" outlineLevel="0" collapsed="false">
      <c r="A776" s="6" t="s">
        <v>16388</v>
      </c>
      <c r="B776" s="6" t="s">
        <v>677</v>
      </c>
      <c r="C776" s="6" t="s">
        <v>116</v>
      </c>
      <c r="D776" s="6" t="s">
        <v>42</v>
      </c>
      <c r="E776" s="14" t="n">
        <v>266.98</v>
      </c>
      <c r="F776" s="14" t="n">
        <v>533.96</v>
      </c>
      <c r="G776" s="6" t="s">
        <v>15614</v>
      </c>
    </row>
    <row r="777" customFormat="false" ht="15" hidden="false" customHeight="true" outlineLevel="0" collapsed="false">
      <c r="A777" s="6" t="s">
        <v>16389</v>
      </c>
      <c r="B777" s="6" t="s">
        <v>679</v>
      </c>
      <c r="C777" s="6" t="s">
        <v>116</v>
      </c>
      <c r="D777" s="6" t="s">
        <v>42</v>
      </c>
      <c r="E777" s="14" t="n">
        <v>2897.93</v>
      </c>
      <c r="F777" s="14" t="n">
        <v>2897.93</v>
      </c>
      <c r="G777" s="6" t="s">
        <v>15614</v>
      </c>
    </row>
    <row r="778" customFormat="false" ht="15" hidden="false" customHeight="true" outlineLevel="0" collapsed="false">
      <c r="A778" s="6" t="s">
        <v>16390</v>
      </c>
      <c r="B778" s="6" t="s">
        <v>679</v>
      </c>
      <c r="C778" s="6" t="s">
        <v>116</v>
      </c>
      <c r="D778" s="6" t="s">
        <v>43</v>
      </c>
      <c r="E778" s="14" t="n">
        <v>2897.93</v>
      </c>
      <c r="F778" s="14" t="n">
        <v>5795.86</v>
      </c>
      <c r="G778" s="6" t="s">
        <v>15614</v>
      </c>
    </row>
    <row r="779" customFormat="false" ht="15" hidden="false" customHeight="true" outlineLevel="0" collapsed="false">
      <c r="A779" s="6" t="s">
        <v>16391</v>
      </c>
      <c r="B779" s="6" t="s">
        <v>679</v>
      </c>
      <c r="C779" s="6" t="s">
        <v>116</v>
      </c>
      <c r="D779" s="6" t="s">
        <v>44</v>
      </c>
      <c r="E779" s="14" t="n">
        <v>2897.93</v>
      </c>
      <c r="F779" s="14" t="n">
        <v>8693.79</v>
      </c>
      <c r="G779" s="6" t="s">
        <v>15614</v>
      </c>
    </row>
    <row r="780" customFormat="false" ht="15" hidden="false" customHeight="true" outlineLevel="0" collapsed="false">
      <c r="A780" s="6" t="s">
        <v>16392</v>
      </c>
      <c r="B780" s="6" t="s">
        <v>679</v>
      </c>
      <c r="C780" s="6" t="s">
        <v>116</v>
      </c>
      <c r="D780" s="6" t="s">
        <v>45</v>
      </c>
      <c r="E780" s="14" t="n">
        <v>2897.93</v>
      </c>
      <c r="F780" s="14" t="n">
        <v>11591.72</v>
      </c>
      <c r="G780" s="6" t="s">
        <v>15614</v>
      </c>
    </row>
    <row r="781" customFormat="false" ht="15" hidden="false" customHeight="true" outlineLevel="0" collapsed="false">
      <c r="A781" s="6" t="s">
        <v>16393</v>
      </c>
      <c r="B781" s="6" t="s">
        <v>681</v>
      </c>
      <c r="C781" s="6" t="s">
        <v>112</v>
      </c>
      <c r="D781" s="6" t="s">
        <v>59</v>
      </c>
      <c r="E781" s="14" t="n">
        <v>2706.87</v>
      </c>
      <c r="F781" s="14" t="n">
        <v>2706.87</v>
      </c>
      <c r="G781" s="6" t="s">
        <v>15614</v>
      </c>
    </row>
    <row r="782" customFormat="false" ht="15" hidden="false" customHeight="true" outlineLevel="0" collapsed="false">
      <c r="A782" s="6" t="s">
        <v>16394</v>
      </c>
      <c r="B782" s="6" t="s">
        <v>681</v>
      </c>
      <c r="C782" s="6" t="s">
        <v>112</v>
      </c>
      <c r="D782" s="6" t="s">
        <v>60</v>
      </c>
      <c r="E782" s="14" t="n">
        <v>2706.87</v>
      </c>
      <c r="F782" s="14" t="n">
        <v>5413.74</v>
      </c>
      <c r="G782" s="6" t="s">
        <v>15614</v>
      </c>
    </row>
    <row r="783" customFormat="false" ht="15" hidden="false" customHeight="true" outlineLevel="0" collapsed="false">
      <c r="A783" s="6" t="s">
        <v>16395</v>
      </c>
      <c r="B783" s="6" t="s">
        <v>683</v>
      </c>
      <c r="C783" s="6" t="s">
        <v>128</v>
      </c>
      <c r="D783" s="6" t="s">
        <v>37</v>
      </c>
      <c r="E783" s="14" t="n">
        <v>985.9</v>
      </c>
      <c r="F783" s="14" t="n">
        <v>985.9</v>
      </c>
      <c r="G783" s="6" t="s">
        <v>15614</v>
      </c>
    </row>
    <row r="784" customFormat="false" ht="15" hidden="false" customHeight="true" outlineLevel="0" collapsed="false">
      <c r="A784" s="6" t="s">
        <v>16396</v>
      </c>
      <c r="B784" s="6" t="s">
        <v>683</v>
      </c>
      <c r="C784" s="6" t="s">
        <v>128</v>
      </c>
      <c r="D784" s="6" t="s">
        <v>38</v>
      </c>
      <c r="E784" s="14" t="n">
        <v>985.9</v>
      </c>
      <c r="F784" s="14" t="n">
        <v>1971.8</v>
      </c>
      <c r="G784" s="6" t="s">
        <v>15614</v>
      </c>
    </row>
    <row r="785" customFormat="false" ht="15" hidden="false" customHeight="true" outlineLevel="0" collapsed="false">
      <c r="A785" s="6" t="s">
        <v>16397</v>
      </c>
      <c r="B785" s="6" t="s">
        <v>685</v>
      </c>
      <c r="C785" s="6" t="s">
        <v>112</v>
      </c>
      <c r="D785" s="6" t="s">
        <v>44</v>
      </c>
      <c r="E785" s="14" t="n">
        <v>3802.33</v>
      </c>
      <c r="F785" s="14" t="n">
        <v>3802.33</v>
      </c>
      <c r="G785" s="6" t="s">
        <v>15614</v>
      </c>
    </row>
    <row r="786" customFormat="false" ht="15" hidden="false" customHeight="true" outlineLevel="0" collapsed="false">
      <c r="A786" s="6" t="s">
        <v>16398</v>
      </c>
      <c r="B786" s="6" t="s">
        <v>685</v>
      </c>
      <c r="C786" s="6" t="s">
        <v>112</v>
      </c>
      <c r="D786" s="6" t="s">
        <v>45</v>
      </c>
      <c r="E786" s="14" t="n">
        <v>3802.33</v>
      </c>
      <c r="F786" s="14" t="n">
        <v>7604.66</v>
      </c>
      <c r="G786" s="6" t="s">
        <v>15614</v>
      </c>
    </row>
    <row r="787" customFormat="false" ht="15" hidden="false" customHeight="true" outlineLevel="0" collapsed="false">
      <c r="A787" s="6" t="s">
        <v>16399</v>
      </c>
      <c r="B787" s="6" t="s">
        <v>685</v>
      </c>
      <c r="C787" s="6" t="s">
        <v>112</v>
      </c>
      <c r="D787" s="6" t="s">
        <v>46</v>
      </c>
      <c r="E787" s="14" t="n">
        <v>3802.33</v>
      </c>
      <c r="F787" s="14" t="n">
        <v>11406.99</v>
      </c>
      <c r="G787" s="6" t="s">
        <v>15614</v>
      </c>
    </row>
    <row r="788" customFormat="false" ht="15" hidden="false" customHeight="true" outlineLevel="0" collapsed="false">
      <c r="A788" s="6" t="s">
        <v>16400</v>
      </c>
      <c r="B788" s="6" t="s">
        <v>687</v>
      </c>
      <c r="C788" s="6" t="s">
        <v>131</v>
      </c>
      <c r="D788" s="6" t="s">
        <v>43</v>
      </c>
      <c r="E788" s="14" t="n">
        <v>921.87</v>
      </c>
      <c r="F788" s="14" t="n">
        <v>921.87</v>
      </c>
      <c r="G788" s="6" t="s">
        <v>15614</v>
      </c>
    </row>
    <row r="789" customFormat="false" ht="15" hidden="false" customHeight="true" outlineLevel="0" collapsed="false">
      <c r="A789" s="6" t="s">
        <v>16401</v>
      </c>
      <c r="B789" s="6" t="s">
        <v>687</v>
      </c>
      <c r="C789" s="6" t="s">
        <v>131</v>
      </c>
      <c r="D789" s="6" t="s">
        <v>44</v>
      </c>
      <c r="E789" s="14" t="n">
        <v>921.87</v>
      </c>
      <c r="F789" s="14" t="n">
        <v>1843.74</v>
      </c>
      <c r="G789" s="6" t="s">
        <v>15614</v>
      </c>
    </row>
    <row r="790" customFormat="false" ht="15" hidden="false" customHeight="true" outlineLevel="0" collapsed="false">
      <c r="A790" s="6" t="s">
        <v>16402</v>
      </c>
      <c r="B790" s="6" t="s">
        <v>689</v>
      </c>
      <c r="C790" s="6" t="s">
        <v>120</v>
      </c>
      <c r="D790" s="6" t="s">
        <v>36</v>
      </c>
      <c r="E790" s="14" t="n">
        <v>6128.76</v>
      </c>
      <c r="F790" s="14" t="n">
        <v>6128.76</v>
      </c>
      <c r="G790" s="6" t="s">
        <v>15614</v>
      </c>
    </row>
    <row r="791" customFormat="false" ht="15" hidden="false" customHeight="true" outlineLevel="0" collapsed="false">
      <c r="A791" s="6" t="s">
        <v>16403</v>
      </c>
      <c r="B791" s="6" t="s">
        <v>689</v>
      </c>
      <c r="C791" s="6" t="s">
        <v>120</v>
      </c>
      <c r="D791" s="6" t="s">
        <v>37</v>
      </c>
      <c r="E791" s="14" t="n">
        <v>6128.76</v>
      </c>
      <c r="F791" s="14" t="n">
        <v>12257.52</v>
      </c>
      <c r="G791" s="6" t="s">
        <v>15614</v>
      </c>
    </row>
    <row r="792" customFormat="false" ht="15" hidden="false" customHeight="true" outlineLevel="0" collapsed="false">
      <c r="A792" s="6" t="s">
        <v>16404</v>
      </c>
      <c r="B792" s="6" t="s">
        <v>689</v>
      </c>
      <c r="C792" s="6" t="s">
        <v>120</v>
      </c>
      <c r="D792" s="6" t="s">
        <v>38</v>
      </c>
      <c r="E792" s="14" t="n">
        <v>6128.76</v>
      </c>
      <c r="F792" s="14" t="n">
        <v>18386.28</v>
      </c>
      <c r="G792" s="6" t="s">
        <v>15614</v>
      </c>
    </row>
    <row r="793" customFormat="false" ht="15" hidden="false" customHeight="true" outlineLevel="0" collapsed="false">
      <c r="A793" s="6" t="s">
        <v>16405</v>
      </c>
      <c r="B793" s="6" t="s">
        <v>689</v>
      </c>
      <c r="C793" s="6" t="s">
        <v>120</v>
      </c>
      <c r="D793" s="6" t="s">
        <v>39</v>
      </c>
      <c r="E793" s="14" t="n">
        <v>6128.76</v>
      </c>
      <c r="F793" s="14" t="n">
        <v>24515.04</v>
      </c>
      <c r="G793" s="6" t="s">
        <v>15614</v>
      </c>
    </row>
    <row r="794" customFormat="false" ht="15" hidden="false" customHeight="true" outlineLevel="0" collapsed="false">
      <c r="A794" s="6" t="s">
        <v>16406</v>
      </c>
      <c r="B794" s="6" t="s">
        <v>689</v>
      </c>
      <c r="C794" s="6" t="s">
        <v>120</v>
      </c>
      <c r="D794" s="6" t="s">
        <v>40</v>
      </c>
      <c r="E794" s="14" t="n">
        <v>6128.76</v>
      </c>
      <c r="F794" s="14" t="n">
        <v>30643.8</v>
      </c>
      <c r="G794" s="6" t="s">
        <v>15614</v>
      </c>
    </row>
    <row r="795" customFormat="false" ht="15" hidden="false" customHeight="true" outlineLevel="0" collapsed="false">
      <c r="A795" s="6" t="s">
        <v>16407</v>
      </c>
      <c r="B795" s="6" t="s">
        <v>691</v>
      </c>
      <c r="C795" s="6" t="s">
        <v>131</v>
      </c>
      <c r="D795" s="6" t="s">
        <v>47</v>
      </c>
      <c r="E795" s="14" t="n">
        <v>990.32</v>
      </c>
      <c r="F795" s="14" t="n">
        <v>990.32</v>
      </c>
      <c r="G795" s="6" t="s">
        <v>15614</v>
      </c>
    </row>
    <row r="796" customFormat="false" ht="15" hidden="false" customHeight="true" outlineLevel="0" collapsed="false">
      <c r="A796" s="6" t="s">
        <v>16408</v>
      </c>
      <c r="B796" s="6" t="s">
        <v>691</v>
      </c>
      <c r="C796" s="6" t="s">
        <v>131</v>
      </c>
      <c r="D796" s="6" t="s">
        <v>48</v>
      </c>
      <c r="E796" s="14" t="n">
        <v>990.32</v>
      </c>
      <c r="F796" s="14" t="n">
        <v>1980.64</v>
      </c>
      <c r="G796" s="6" t="s">
        <v>15614</v>
      </c>
    </row>
    <row r="797" customFormat="false" ht="15" hidden="false" customHeight="true" outlineLevel="0" collapsed="false">
      <c r="A797" s="6" t="s">
        <v>16409</v>
      </c>
      <c r="B797" s="6" t="s">
        <v>693</v>
      </c>
      <c r="C797" s="6" t="s">
        <v>131</v>
      </c>
      <c r="D797" s="6" t="s">
        <v>62</v>
      </c>
      <c r="E797" s="14" t="n">
        <v>5032.32</v>
      </c>
      <c r="F797" s="14" t="n">
        <v>5032.32</v>
      </c>
      <c r="G797" s="6" t="s">
        <v>15614</v>
      </c>
    </row>
    <row r="798" customFormat="false" ht="15" hidden="false" customHeight="true" outlineLevel="0" collapsed="false">
      <c r="A798" s="6" t="s">
        <v>16410</v>
      </c>
      <c r="B798" s="6" t="s">
        <v>693</v>
      </c>
      <c r="C798" s="6" t="s">
        <v>131</v>
      </c>
      <c r="D798" s="6" t="s">
        <v>63</v>
      </c>
      <c r="E798" s="14" t="n">
        <v>5032.32</v>
      </c>
      <c r="F798" s="14" t="n">
        <v>10064.64</v>
      </c>
      <c r="G798" s="6" t="s">
        <v>15614</v>
      </c>
    </row>
    <row r="799" customFormat="false" ht="15" hidden="false" customHeight="true" outlineLevel="0" collapsed="false">
      <c r="A799" s="6" t="s">
        <v>16411</v>
      </c>
      <c r="B799" s="6" t="s">
        <v>695</v>
      </c>
      <c r="C799" s="6" t="s">
        <v>112</v>
      </c>
      <c r="D799" s="6" t="s">
        <v>39</v>
      </c>
      <c r="E799" s="14" t="n">
        <v>1862.45</v>
      </c>
      <c r="F799" s="14" t="n">
        <v>1862.45</v>
      </c>
      <c r="G799" s="6" t="s">
        <v>15614</v>
      </c>
    </row>
    <row r="800" customFormat="false" ht="15" hidden="false" customHeight="true" outlineLevel="0" collapsed="false">
      <c r="A800" s="6" t="s">
        <v>16412</v>
      </c>
      <c r="B800" s="6" t="s">
        <v>695</v>
      </c>
      <c r="C800" s="6" t="s">
        <v>112</v>
      </c>
      <c r="D800" s="6" t="s">
        <v>40</v>
      </c>
      <c r="E800" s="14" t="n">
        <v>1862.45</v>
      </c>
      <c r="F800" s="14" t="n">
        <v>3724.9</v>
      </c>
      <c r="G800" s="6" t="s">
        <v>15614</v>
      </c>
    </row>
    <row r="801" customFormat="false" ht="15" hidden="false" customHeight="true" outlineLevel="0" collapsed="false">
      <c r="A801" s="6" t="s">
        <v>16413</v>
      </c>
      <c r="B801" s="6" t="s">
        <v>695</v>
      </c>
      <c r="C801" s="6" t="s">
        <v>112</v>
      </c>
      <c r="D801" s="6" t="s">
        <v>41</v>
      </c>
      <c r="E801" s="14" t="n">
        <v>1862.45</v>
      </c>
      <c r="F801" s="14" t="n">
        <v>5587.35</v>
      </c>
      <c r="G801" s="6" t="s">
        <v>15614</v>
      </c>
    </row>
    <row r="802" customFormat="false" ht="15" hidden="false" customHeight="true" outlineLevel="0" collapsed="false">
      <c r="A802" s="6" t="s">
        <v>16414</v>
      </c>
      <c r="B802" s="6" t="s">
        <v>697</v>
      </c>
      <c r="C802" s="6" t="s">
        <v>124</v>
      </c>
      <c r="D802" s="6" t="s">
        <v>58</v>
      </c>
      <c r="E802" s="14" t="n">
        <v>2617.49</v>
      </c>
      <c r="F802" s="14" t="n">
        <v>2617.49</v>
      </c>
      <c r="G802" s="6" t="s">
        <v>15614</v>
      </c>
    </row>
    <row r="803" customFormat="false" ht="15" hidden="false" customHeight="true" outlineLevel="0" collapsed="false">
      <c r="A803" s="6" t="s">
        <v>16415</v>
      </c>
      <c r="B803" s="6" t="s">
        <v>697</v>
      </c>
      <c r="C803" s="6" t="s">
        <v>124</v>
      </c>
      <c r="D803" s="6" t="s">
        <v>59</v>
      </c>
      <c r="E803" s="14" t="n">
        <v>2617.49</v>
      </c>
      <c r="F803" s="14" t="n">
        <v>5234.98</v>
      </c>
      <c r="G803" s="6" t="s">
        <v>15614</v>
      </c>
    </row>
    <row r="804" customFormat="false" ht="15" hidden="false" customHeight="true" outlineLevel="0" collapsed="false">
      <c r="A804" s="6" t="s">
        <v>16416</v>
      </c>
      <c r="B804" s="6" t="s">
        <v>697</v>
      </c>
      <c r="C804" s="6" t="s">
        <v>124</v>
      </c>
      <c r="D804" s="6" t="s">
        <v>60</v>
      </c>
      <c r="E804" s="14" t="n">
        <v>2617.49</v>
      </c>
      <c r="F804" s="14" t="n">
        <v>7852.47</v>
      </c>
      <c r="G804" s="6" t="s">
        <v>15614</v>
      </c>
    </row>
    <row r="805" customFormat="false" ht="15" hidden="false" customHeight="true" outlineLevel="0" collapsed="false">
      <c r="A805" s="6" t="s">
        <v>16417</v>
      </c>
      <c r="B805" s="6" t="s">
        <v>697</v>
      </c>
      <c r="C805" s="6" t="s">
        <v>124</v>
      </c>
      <c r="D805" s="6" t="s">
        <v>61</v>
      </c>
      <c r="E805" s="14" t="n">
        <v>2617.49</v>
      </c>
      <c r="F805" s="14" t="n">
        <v>10469.96</v>
      </c>
      <c r="G805" s="6" t="s">
        <v>15614</v>
      </c>
    </row>
    <row r="806" customFormat="false" ht="15" hidden="false" customHeight="true" outlineLevel="0" collapsed="false">
      <c r="A806" s="6" t="s">
        <v>16418</v>
      </c>
      <c r="B806" s="6" t="s">
        <v>697</v>
      </c>
      <c r="C806" s="6" t="s">
        <v>124</v>
      </c>
      <c r="D806" s="6" t="s">
        <v>62</v>
      </c>
      <c r="E806" s="14" t="n">
        <v>2617.49</v>
      </c>
      <c r="F806" s="14" t="n">
        <v>13087.45</v>
      </c>
      <c r="G806" s="6" t="s">
        <v>15614</v>
      </c>
    </row>
    <row r="807" customFormat="false" ht="15" hidden="false" customHeight="true" outlineLevel="0" collapsed="false">
      <c r="A807" s="6" t="s">
        <v>16419</v>
      </c>
      <c r="B807" s="6" t="s">
        <v>699</v>
      </c>
      <c r="C807" s="6" t="s">
        <v>120</v>
      </c>
      <c r="D807" s="6" t="s">
        <v>60</v>
      </c>
      <c r="E807" s="14" t="n">
        <v>1179.53</v>
      </c>
      <c r="F807" s="14" t="n">
        <v>1179.53</v>
      </c>
      <c r="G807" s="6" t="s">
        <v>15614</v>
      </c>
    </row>
    <row r="808" customFormat="false" ht="15" hidden="false" customHeight="true" outlineLevel="0" collapsed="false">
      <c r="A808" s="6" t="s">
        <v>16420</v>
      </c>
      <c r="B808" s="6" t="s">
        <v>699</v>
      </c>
      <c r="C808" s="6" t="s">
        <v>120</v>
      </c>
      <c r="D808" s="6" t="s">
        <v>61</v>
      </c>
      <c r="E808" s="14" t="n">
        <v>1179.53</v>
      </c>
      <c r="F808" s="14" t="n">
        <v>2359.06</v>
      </c>
      <c r="G808" s="6" t="s">
        <v>15614</v>
      </c>
    </row>
    <row r="809" customFormat="false" ht="15" hidden="false" customHeight="true" outlineLevel="0" collapsed="false">
      <c r="A809" s="6" t="s">
        <v>16421</v>
      </c>
      <c r="B809" s="6" t="s">
        <v>701</v>
      </c>
      <c r="C809" s="6" t="s">
        <v>120</v>
      </c>
      <c r="D809" s="6" t="s">
        <v>13</v>
      </c>
      <c r="E809" s="14" t="n">
        <v>4187.46</v>
      </c>
      <c r="F809" s="14" t="n">
        <v>4187.46</v>
      </c>
      <c r="G809" s="6" t="s">
        <v>15614</v>
      </c>
    </row>
    <row r="810" customFormat="false" ht="15" hidden="false" customHeight="true" outlineLevel="0" collapsed="false">
      <c r="A810" s="6" t="s">
        <v>16422</v>
      </c>
      <c r="B810" s="6" t="s">
        <v>701</v>
      </c>
      <c r="C810" s="6" t="s">
        <v>120</v>
      </c>
      <c r="D810" s="6" t="s">
        <v>14</v>
      </c>
      <c r="E810" s="14" t="n">
        <v>4187.46</v>
      </c>
      <c r="F810" s="14" t="n">
        <v>8374.92</v>
      </c>
      <c r="G810" s="6" t="s">
        <v>15614</v>
      </c>
    </row>
    <row r="811" customFormat="false" ht="15" hidden="false" customHeight="true" outlineLevel="0" collapsed="false">
      <c r="A811" s="6" t="s">
        <v>16423</v>
      </c>
      <c r="B811" s="6" t="s">
        <v>701</v>
      </c>
      <c r="C811" s="6" t="s">
        <v>120</v>
      </c>
      <c r="D811" s="6" t="s">
        <v>15</v>
      </c>
      <c r="E811" s="14" t="n">
        <v>4187.46</v>
      </c>
      <c r="F811" s="14" t="n">
        <v>12562.38</v>
      </c>
      <c r="G811" s="6" t="s">
        <v>15614</v>
      </c>
    </row>
    <row r="812" customFormat="false" ht="15" hidden="false" customHeight="true" outlineLevel="0" collapsed="false">
      <c r="A812" s="6" t="s">
        <v>16424</v>
      </c>
      <c r="B812" s="6" t="s">
        <v>701</v>
      </c>
      <c r="C812" s="6" t="s">
        <v>120</v>
      </c>
      <c r="D812" s="6" t="s">
        <v>16</v>
      </c>
      <c r="E812" s="14" t="n">
        <v>4187.46</v>
      </c>
      <c r="F812" s="14" t="n">
        <v>16749.84</v>
      </c>
      <c r="G812" s="6" t="s">
        <v>15614</v>
      </c>
    </row>
    <row r="813" customFormat="false" ht="15" hidden="false" customHeight="true" outlineLevel="0" collapsed="false">
      <c r="A813" s="6" t="s">
        <v>16425</v>
      </c>
      <c r="B813" s="6" t="s">
        <v>701</v>
      </c>
      <c r="C813" s="6" t="s">
        <v>120</v>
      </c>
      <c r="D813" s="6" t="s">
        <v>17</v>
      </c>
      <c r="E813" s="14" t="n">
        <v>4187.46</v>
      </c>
      <c r="F813" s="14" t="n">
        <v>20937.3</v>
      </c>
      <c r="G813" s="6" t="s">
        <v>15614</v>
      </c>
    </row>
    <row r="814" customFormat="false" ht="15" hidden="false" customHeight="true" outlineLevel="0" collapsed="false">
      <c r="A814" s="6" t="s">
        <v>16426</v>
      </c>
      <c r="B814" s="6" t="s">
        <v>703</v>
      </c>
      <c r="C814" s="6" t="s">
        <v>131</v>
      </c>
      <c r="D814" s="6" t="s">
        <v>54</v>
      </c>
      <c r="E814" s="14" t="n">
        <v>2171.7</v>
      </c>
      <c r="F814" s="14" t="n">
        <v>2171.7</v>
      </c>
      <c r="G814" s="6" t="s">
        <v>15614</v>
      </c>
    </row>
    <row r="815" customFormat="false" ht="15" hidden="false" customHeight="true" outlineLevel="0" collapsed="false">
      <c r="A815" s="6" t="s">
        <v>16427</v>
      </c>
      <c r="B815" s="6" t="s">
        <v>703</v>
      </c>
      <c r="C815" s="6" t="s">
        <v>131</v>
      </c>
      <c r="D815" s="6" t="s">
        <v>55</v>
      </c>
      <c r="E815" s="14" t="n">
        <v>2171.7</v>
      </c>
      <c r="F815" s="14" t="n">
        <v>4343.4</v>
      </c>
      <c r="G815" s="6" t="s">
        <v>15614</v>
      </c>
    </row>
    <row r="816" customFormat="false" ht="15" hidden="false" customHeight="true" outlineLevel="0" collapsed="false">
      <c r="A816" s="6" t="s">
        <v>16428</v>
      </c>
      <c r="B816" s="6" t="s">
        <v>705</v>
      </c>
      <c r="C816" s="6" t="s">
        <v>128</v>
      </c>
      <c r="D816" s="6" t="s">
        <v>30</v>
      </c>
      <c r="E816" s="14" t="n">
        <v>4957.9</v>
      </c>
      <c r="F816" s="14" t="n">
        <v>4957.9</v>
      </c>
      <c r="G816" s="6" t="s">
        <v>15614</v>
      </c>
    </row>
    <row r="817" customFormat="false" ht="15" hidden="false" customHeight="true" outlineLevel="0" collapsed="false">
      <c r="A817" s="6" t="s">
        <v>16429</v>
      </c>
      <c r="B817" s="6" t="s">
        <v>705</v>
      </c>
      <c r="C817" s="6" t="s">
        <v>128</v>
      </c>
      <c r="D817" s="6" t="s">
        <v>31</v>
      </c>
      <c r="E817" s="14" t="n">
        <v>4957.9</v>
      </c>
      <c r="F817" s="14" t="n">
        <v>9915.8</v>
      </c>
      <c r="G817" s="6" t="s">
        <v>15614</v>
      </c>
    </row>
    <row r="818" customFormat="false" ht="15" hidden="false" customHeight="true" outlineLevel="0" collapsed="false">
      <c r="A818" s="6" t="s">
        <v>16430</v>
      </c>
      <c r="B818" s="6" t="s">
        <v>707</v>
      </c>
      <c r="C818" s="6" t="s">
        <v>120</v>
      </c>
      <c r="D818" s="6" t="s">
        <v>54</v>
      </c>
      <c r="E818" s="14" t="n">
        <v>2125.82</v>
      </c>
      <c r="F818" s="14" t="n">
        <v>2125.82</v>
      </c>
      <c r="G818" s="6" t="s">
        <v>15614</v>
      </c>
    </row>
    <row r="819" customFormat="false" ht="15" hidden="false" customHeight="true" outlineLevel="0" collapsed="false">
      <c r="A819" s="6" t="s">
        <v>16431</v>
      </c>
      <c r="B819" s="6" t="s">
        <v>707</v>
      </c>
      <c r="C819" s="6" t="s">
        <v>120</v>
      </c>
      <c r="D819" s="6" t="s">
        <v>55</v>
      </c>
      <c r="E819" s="14" t="n">
        <v>2125.82</v>
      </c>
      <c r="F819" s="14" t="n">
        <v>4251.64</v>
      </c>
      <c r="G819" s="6" t="s">
        <v>15614</v>
      </c>
    </row>
    <row r="820" customFormat="false" ht="15" hidden="false" customHeight="true" outlineLevel="0" collapsed="false">
      <c r="A820" s="6" t="s">
        <v>16432</v>
      </c>
      <c r="B820" s="6" t="s">
        <v>707</v>
      </c>
      <c r="C820" s="6" t="s">
        <v>120</v>
      </c>
      <c r="D820" s="6" t="s">
        <v>56</v>
      </c>
      <c r="E820" s="14" t="n">
        <v>2125.82</v>
      </c>
      <c r="F820" s="14" t="n">
        <v>6377.46</v>
      </c>
      <c r="G820" s="6" t="s">
        <v>15614</v>
      </c>
    </row>
    <row r="821" customFormat="false" ht="15" hidden="false" customHeight="true" outlineLevel="0" collapsed="false">
      <c r="A821" s="6" t="s">
        <v>16433</v>
      </c>
      <c r="B821" s="6" t="s">
        <v>707</v>
      </c>
      <c r="C821" s="6" t="s">
        <v>120</v>
      </c>
      <c r="D821" s="6" t="s">
        <v>57</v>
      </c>
      <c r="E821" s="14" t="n">
        <v>2125.82</v>
      </c>
      <c r="F821" s="14" t="n">
        <v>8503.28</v>
      </c>
      <c r="G821" s="6" t="s">
        <v>15614</v>
      </c>
    </row>
    <row r="822" customFormat="false" ht="15" hidden="false" customHeight="true" outlineLevel="0" collapsed="false">
      <c r="A822" s="6" t="s">
        <v>16434</v>
      </c>
      <c r="B822" s="6" t="s">
        <v>707</v>
      </c>
      <c r="C822" s="6" t="s">
        <v>120</v>
      </c>
      <c r="D822" s="6" t="s">
        <v>58</v>
      </c>
      <c r="E822" s="14" t="n">
        <v>2125.82</v>
      </c>
      <c r="F822" s="14" t="n">
        <v>10629.1</v>
      </c>
      <c r="G822" s="6" t="s">
        <v>15614</v>
      </c>
    </row>
    <row r="823" customFormat="false" ht="15" hidden="false" customHeight="true" outlineLevel="0" collapsed="false">
      <c r="A823" s="6" t="s">
        <v>16435</v>
      </c>
      <c r="B823" s="6" t="s">
        <v>709</v>
      </c>
      <c r="C823" s="6" t="s">
        <v>116</v>
      </c>
      <c r="D823" s="6" t="s">
        <v>14</v>
      </c>
      <c r="E823" s="14" t="n">
        <v>3259.63</v>
      </c>
      <c r="F823" s="14" t="n">
        <v>3259.63</v>
      </c>
      <c r="G823" s="6" t="s">
        <v>15614</v>
      </c>
    </row>
    <row r="824" customFormat="false" ht="15" hidden="false" customHeight="true" outlineLevel="0" collapsed="false">
      <c r="A824" s="6" t="s">
        <v>16436</v>
      </c>
      <c r="B824" s="6" t="s">
        <v>709</v>
      </c>
      <c r="C824" s="6" t="s">
        <v>116</v>
      </c>
      <c r="D824" s="6" t="s">
        <v>15</v>
      </c>
      <c r="E824" s="14" t="n">
        <v>3259.63</v>
      </c>
      <c r="F824" s="14" t="n">
        <v>6519.26</v>
      </c>
      <c r="G824" s="6" t="s">
        <v>15614</v>
      </c>
    </row>
    <row r="825" customFormat="false" ht="15" hidden="false" customHeight="true" outlineLevel="0" collapsed="false">
      <c r="A825" s="6" t="s">
        <v>16437</v>
      </c>
      <c r="B825" s="6" t="s">
        <v>709</v>
      </c>
      <c r="C825" s="6" t="s">
        <v>116</v>
      </c>
      <c r="D825" s="6" t="s">
        <v>16</v>
      </c>
      <c r="E825" s="14" t="n">
        <v>3259.63</v>
      </c>
      <c r="F825" s="14" t="n">
        <v>9778.89</v>
      </c>
      <c r="G825" s="6" t="s">
        <v>15614</v>
      </c>
    </row>
    <row r="826" customFormat="false" ht="15" hidden="false" customHeight="true" outlineLevel="0" collapsed="false">
      <c r="A826" s="6" t="s">
        <v>16438</v>
      </c>
      <c r="B826" s="6" t="s">
        <v>709</v>
      </c>
      <c r="C826" s="6" t="s">
        <v>116</v>
      </c>
      <c r="D826" s="6" t="s">
        <v>17</v>
      </c>
      <c r="E826" s="14" t="n">
        <v>3259.63</v>
      </c>
      <c r="F826" s="14" t="n">
        <v>13038.52</v>
      </c>
      <c r="G826" s="6" t="s">
        <v>15614</v>
      </c>
    </row>
    <row r="827" customFormat="false" ht="15" hidden="false" customHeight="true" outlineLevel="0" collapsed="false">
      <c r="A827" s="6" t="s">
        <v>16439</v>
      </c>
      <c r="B827" s="6" t="s">
        <v>711</v>
      </c>
      <c r="C827" s="6" t="s">
        <v>116</v>
      </c>
      <c r="D827" s="6" t="s">
        <v>49</v>
      </c>
      <c r="E827" s="14" t="n">
        <v>1845.76</v>
      </c>
      <c r="F827" s="14" t="n">
        <v>1845.76</v>
      </c>
      <c r="G827" s="6" t="s">
        <v>15614</v>
      </c>
    </row>
    <row r="828" customFormat="false" ht="15" hidden="false" customHeight="true" outlineLevel="0" collapsed="false">
      <c r="A828" s="6" t="s">
        <v>16440</v>
      </c>
      <c r="B828" s="6" t="s">
        <v>711</v>
      </c>
      <c r="C828" s="6" t="s">
        <v>116</v>
      </c>
      <c r="D828" s="6" t="s">
        <v>50</v>
      </c>
      <c r="E828" s="14" t="n">
        <v>1845.76</v>
      </c>
      <c r="F828" s="14" t="n">
        <v>3691.52</v>
      </c>
      <c r="G828" s="6" t="s">
        <v>15614</v>
      </c>
    </row>
    <row r="829" customFormat="false" ht="15" hidden="false" customHeight="true" outlineLevel="0" collapsed="false">
      <c r="A829" s="6" t="s">
        <v>16441</v>
      </c>
      <c r="B829" s="6" t="s">
        <v>711</v>
      </c>
      <c r="C829" s="6" t="s">
        <v>116</v>
      </c>
      <c r="D829" s="6" t="s">
        <v>51</v>
      </c>
      <c r="E829" s="14" t="n">
        <v>1845.76</v>
      </c>
      <c r="F829" s="14" t="n">
        <v>5537.28</v>
      </c>
      <c r="G829" s="6" t="s">
        <v>15614</v>
      </c>
    </row>
    <row r="830" customFormat="false" ht="15" hidden="false" customHeight="true" outlineLevel="0" collapsed="false">
      <c r="A830" s="6" t="s">
        <v>16442</v>
      </c>
      <c r="B830" s="6" t="s">
        <v>711</v>
      </c>
      <c r="C830" s="6" t="s">
        <v>116</v>
      </c>
      <c r="D830" s="6" t="s">
        <v>52</v>
      </c>
      <c r="E830" s="14" t="n">
        <v>1845.76</v>
      </c>
      <c r="F830" s="14" t="n">
        <v>7383.04</v>
      </c>
      <c r="G830" s="6" t="s">
        <v>15614</v>
      </c>
    </row>
    <row r="831" customFormat="false" ht="15" hidden="false" customHeight="true" outlineLevel="0" collapsed="false">
      <c r="A831" s="6" t="s">
        <v>16443</v>
      </c>
      <c r="B831" s="6" t="s">
        <v>713</v>
      </c>
      <c r="C831" s="6" t="s">
        <v>128</v>
      </c>
      <c r="D831" s="6" t="s">
        <v>56</v>
      </c>
      <c r="E831" s="14" t="n">
        <v>245.01</v>
      </c>
      <c r="F831" s="14" t="n">
        <v>245.01</v>
      </c>
      <c r="G831" s="6" t="s">
        <v>15614</v>
      </c>
    </row>
    <row r="832" customFormat="false" ht="15" hidden="false" customHeight="true" outlineLevel="0" collapsed="false">
      <c r="A832" s="6" t="s">
        <v>16444</v>
      </c>
      <c r="B832" s="6" t="s">
        <v>713</v>
      </c>
      <c r="C832" s="6" t="s">
        <v>128</v>
      </c>
      <c r="D832" s="6" t="s">
        <v>57</v>
      </c>
      <c r="E832" s="14" t="n">
        <v>245.01</v>
      </c>
      <c r="F832" s="14" t="n">
        <v>490.02</v>
      </c>
      <c r="G832" s="6" t="s">
        <v>15614</v>
      </c>
    </row>
    <row r="833" customFormat="false" ht="15" hidden="false" customHeight="true" outlineLevel="0" collapsed="false">
      <c r="A833" s="6" t="s">
        <v>16445</v>
      </c>
      <c r="B833" s="6" t="s">
        <v>713</v>
      </c>
      <c r="C833" s="6" t="s">
        <v>128</v>
      </c>
      <c r="D833" s="6" t="s">
        <v>58</v>
      </c>
      <c r="E833" s="14" t="n">
        <v>245.01</v>
      </c>
      <c r="F833" s="14" t="n">
        <v>735.03</v>
      </c>
      <c r="G833" s="6" t="s">
        <v>15614</v>
      </c>
    </row>
    <row r="834" customFormat="false" ht="15" hidden="false" customHeight="true" outlineLevel="0" collapsed="false">
      <c r="A834" s="6" t="s">
        <v>16446</v>
      </c>
      <c r="B834" s="6" t="s">
        <v>713</v>
      </c>
      <c r="C834" s="6" t="s">
        <v>128</v>
      </c>
      <c r="D834" s="6" t="s">
        <v>59</v>
      </c>
      <c r="E834" s="14" t="n">
        <v>245.01</v>
      </c>
      <c r="F834" s="14" t="n">
        <v>980.04</v>
      </c>
      <c r="G834" s="6" t="s">
        <v>15614</v>
      </c>
    </row>
    <row r="835" customFormat="false" ht="15" hidden="false" customHeight="true" outlineLevel="0" collapsed="false">
      <c r="A835" s="6" t="s">
        <v>16447</v>
      </c>
      <c r="B835" s="6" t="s">
        <v>715</v>
      </c>
      <c r="C835" s="6" t="s">
        <v>116</v>
      </c>
      <c r="D835" s="6" t="s">
        <v>55</v>
      </c>
      <c r="E835" s="14" t="n">
        <v>1206.49</v>
      </c>
      <c r="F835" s="14" t="n">
        <v>1206.49</v>
      </c>
      <c r="G835" s="6" t="s">
        <v>15614</v>
      </c>
    </row>
    <row r="836" customFormat="false" ht="15" hidden="false" customHeight="true" outlineLevel="0" collapsed="false">
      <c r="A836" s="6" t="s">
        <v>16448</v>
      </c>
      <c r="B836" s="6" t="s">
        <v>715</v>
      </c>
      <c r="C836" s="6" t="s">
        <v>116</v>
      </c>
      <c r="D836" s="6" t="s">
        <v>56</v>
      </c>
      <c r="E836" s="14" t="n">
        <v>1206.49</v>
      </c>
      <c r="F836" s="14" t="n">
        <v>2412.98</v>
      </c>
      <c r="G836" s="6" t="s">
        <v>15614</v>
      </c>
    </row>
    <row r="837" customFormat="false" ht="15" hidden="false" customHeight="true" outlineLevel="0" collapsed="false">
      <c r="A837" s="6" t="s">
        <v>16449</v>
      </c>
      <c r="B837" s="6" t="s">
        <v>715</v>
      </c>
      <c r="C837" s="6" t="s">
        <v>116</v>
      </c>
      <c r="D837" s="6" t="s">
        <v>57</v>
      </c>
      <c r="E837" s="14" t="n">
        <v>1206.49</v>
      </c>
      <c r="F837" s="14" t="n">
        <v>3619.47</v>
      </c>
      <c r="G837" s="6" t="s">
        <v>15614</v>
      </c>
    </row>
    <row r="838" customFormat="false" ht="15" hidden="false" customHeight="true" outlineLevel="0" collapsed="false">
      <c r="A838" s="6" t="s">
        <v>16450</v>
      </c>
      <c r="B838" s="6" t="s">
        <v>717</v>
      </c>
      <c r="C838" s="6" t="s">
        <v>120</v>
      </c>
      <c r="D838" s="6" t="s">
        <v>44</v>
      </c>
      <c r="E838" s="14" t="n">
        <v>758.12</v>
      </c>
      <c r="F838" s="14" t="n">
        <v>758.12</v>
      </c>
      <c r="G838" s="6" t="s">
        <v>15614</v>
      </c>
    </row>
    <row r="839" customFormat="false" ht="15" hidden="false" customHeight="true" outlineLevel="0" collapsed="false">
      <c r="A839" s="6" t="s">
        <v>16451</v>
      </c>
      <c r="B839" s="6" t="s">
        <v>717</v>
      </c>
      <c r="C839" s="6" t="s">
        <v>120</v>
      </c>
      <c r="D839" s="6" t="s">
        <v>45</v>
      </c>
      <c r="E839" s="14" t="n">
        <v>758.12</v>
      </c>
      <c r="F839" s="14" t="n">
        <v>1516.24</v>
      </c>
      <c r="G839" s="6" t="s">
        <v>15614</v>
      </c>
    </row>
    <row r="840" customFormat="false" ht="15" hidden="false" customHeight="true" outlineLevel="0" collapsed="false">
      <c r="A840" s="6" t="s">
        <v>16452</v>
      </c>
      <c r="B840" s="6" t="s">
        <v>719</v>
      </c>
      <c r="C840" s="6" t="s">
        <v>131</v>
      </c>
      <c r="D840" s="6" t="s">
        <v>19</v>
      </c>
      <c r="E840" s="14" t="n">
        <v>641.06</v>
      </c>
      <c r="F840" s="14" t="n">
        <v>641.06</v>
      </c>
      <c r="G840" s="6" t="s">
        <v>15614</v>
      </c>
    </row>
    <row r="841" customFormat="false" ht="15" hidden="false" customHeight="true" outlineLevel="0" collapsed="false">
      <c r="A841" s="6" t="s">
        <v>16453</v>
      </c>
      <c r="B841" s="6" t="s">
        <v>719</v>
      </c>
      <c r="C841" s="6" t="s">
        <v>131</v>
      </c>
      <c r="D841" s="6" t="s">
        <v>20</v>
      </c>
      <c r="E841" s="14" t="n">
        <v>641.06</v>
      </c>
      <c r="F841" s="14" t="n">
        <v>1282.12</v>
      </c>
      <c r="G841" s="6" t="s">
        <v>15614</v>
      </c>
    </row>
    <row r="842" customFormat="false" ht="15" hidden="false" customHeight="true" outlineLevel="0" collapsed="false">
      <c r="A842" s="6" t="s">
        <v>16454</v>
      </c>
      <c r="B842" s="6" t="s">
        <v>719</v>
      </c>
      <c r="C842" s="6" t="s">
        <v>131</v>
      </c>
      <c r="D842" s="6" t="s">
        <v>21</v>
      </c>
      <c r="E842" s="14" t="n">
        <v>641.06</v>
      </c>
      <c r="F842" s="14" t="n">
        <v>1923.18</v>
      </c>
      <c r="G842" s="6" t="s">
        <v>15614</v>
      </c>
    </row>
    <row r="843" customFormat="false" ht="15" hidden="false" customHeight="true" outlineLevel="0" collapsed="false">
      <c r="A843" s="6" t="s">
        <v>16455</v>
      </c>
      <c r="B843" s="6" t="s">
        <v>719</v>
      </c>
      <c r="C843" s="6" t="s">
        <v>131</v>
      </c>
      <c r="D843" s="6" t="s">
        <v>22</v>
      </c>
      <c r="E843" s="14" t="n">
        <v>641.06</v>
      </c>
      <c r="F843" s="14" t="n">
        <v>2564.24</v>
      </c>
      <c r="G843" s="6" t="s">
        <v>15614</v>
      </c>
    </row>
    <row r="844" customFormat="false" ht="15" hidden="false" customHeight="true" outlineLevel="0" collapsed="false">
      <c r="A844" s="6" t="s">
        <v>16456</v>
      </c>
      <c r="B844" s="6" t="s">
        <v>721</v>
      </c>
      <c r="C844" s="6" t="s">
        <v>112</v>
      </c>
      <c r="D844" s="6" t="s">
        <v>33</v>
      </c>
      <c r="E844" s="14" t="n">
        <v>679.46</v>
      </c>
      <c r="F844" s="14" t="n">
        <v>679.46</v>
      </c>
      <c r="G844" s="6" t="s">
        <v>15614</v>
      </c>
    </row>
    <row r="845" customFormat="false" ht="15" hidden="false" customHeight="true" outlineLevel="0" collapsed="false">
      <c r="A845" s="6" t="s">
        <v>16457</v>
      </c>
      <c r="B845" s="6" t="s">
        <v>721</v>
      </c>
      <c r="C845" s="6" t="s">
        <v>112</v>
      </c>
      <c r="D845" s="6" t="s">
        <v>34</v>
      </c>
      <c r="E845" s="14" t="n">
        <v>679.46</v>
      </c>
      <c r="F845" s="14" t="n">
        <v>1358.92</v>
      </c>
      <c r="G845" s="6" t="s">
        <v>15614</v>
      </c>
    </row>
    <row r="846" customFormat="false" ht="15" hidden="false" customHeight="true" outlineLevel="0" collapsed="false">
      <c r="A846" s="6" t="s">
        <v>16458</v>
      </c>
      <c r="B846" s="6" t="s">
        <v>723</v>
      </c>
      <c r="C846" s="6" t="s">
        <v>116</v>
      </c>
      <c r="D846" s="6" t="s">
        <v>21</v>
      </c>
      <c r="E846" s="14" t="n">
        <v>6039.1</v>
      </c>
      <c r="F846" s="14" t="n">
        <v>6039.1</v>
      </c>
      <c r="G846" s="6" t="s">
        <v>15614</v>
      </c>
    </row>
    <row r="847" customFormat="false" ht="15" hidden="false" customHeight="true" outlineLevel="0" collapsed="false">
      <c r="A847" s="6" t="s">
        <v>16459</v>
      </c>
      <c r="B847" s="6" t="s">
        <v>723</v>
      </c>
      <c r="C847" s="6" t="s">
        <v>116</v>
      </c>
      <c r="D847" s="6" t="s">
        <v>22</v>
      </c>
      <c r="E847" s="14" t="n">
        <v>6039.1</v>
      </c>
      <c r="F847" s="14" t="n">
        <v>12078.2</v>
      </c>
      <c r="G847" s="6" t="s">
        <v>15614</v>
      </c>
    </row>
    <row r="848" customFormat="false" ht="15" hidden="false" customHeight="true" outlineLevel="0" collapsed="false">
      <c r="A848" s="6" t="s">
        <v>16460</v>
      </c>
      <c r="B848" s="6" t="s">
        <v>725</v>
      </c>
      <c r="C848" s="6" t="s">
        <v>112</v>
      </c>
      <c r="D848" s="6" t="s">
        <v>57</v>
      </c>
      <c r="E848" s="14" t="n">
        <v>1576.25</v>
      </c>
      <c r="F848" s="14" t="n">
        <v>1576.25</v>
      </c>
      <c r="G848" s="6" t="s">
        <v>15614</v>
      </c>
    </row>
    <row r="849" customFormat="false" ht="15" hidden="false" customHeight="true" outlineLevel="0" collapsed="false">
      <c r="A849" s="6" t="s">
        <v>16461</v>
      </c>
      <c r="B849" s="6" t="s">
        <v>725</v>
      </c>
      <c r="C849" s="6" t="s">
        <v>112</v>
      </c>
      <c r="D849" s="6" t="s">
        <v>58</v>
      </c>
      <c r="E849" s="14" t="n">
        <v>1576.25</v>
      </c>
      <c r="F849" s="14" t="n">
        <v>3152.5</v>
      </c>
      <c r="G849" s="6" t="s">
        <v>15614</v>
      </c>
    </row>
    <row r="850" customFormat="false" ht="15" hidden="false" customHeight="true" outlineLevel="0" collapsed="false">
      <c r="A850" s="6" t="s">
        <v>16462</v>
      </c>
      <c r="B850" s="6" t="s">
        <v>725</v>
      </c>
      <c r="C850" s="6" t="s">
        <v>112</v>
      </c>
      <c r="D850" s="6" t="s">
        <v>59</v>
      </c>
      <c r="E850" s="14" t="n">
        <v>1576.25</v>
      </c>
      <c r="F850" s="14" t="n">
        <v>4728.75</v>
      </c>
      <c r="G850" s="6" t="s">
        <v>15614</v>
      </c>
    </row>
    <row r="851" customFormat="false" ht="15" hidden="false" customHeight="true" outlineLevel="0" collapsed="false">
      <c r="A851" s="6" t="s">
        <v>16463</v>
      </c>
      <c r="B851" s="6" t="s">
        <v>725</v>
      </c>
      <c r="C851" s="6" t="s">
        <v>112</v>
      </c>
      <c r="D851" s="6" t="s">
        <v>60</v>
      </c>
      <c r="E851" s="14" t="n">
        <v>1576.25</v>
      </c>
      <c r="F851" s="14" t="n">
        <v>6305</v>
      </c>
      <c r="G851" s="6" t="s">
        <v>15614</v>
      </c>
    </row>
    <row r="852" customFormat="false" ht="15" hidden="false" customHeight="true" outlineLevel="0" collapsed="false">
      <c r="A852" s="6" t="s">
        <v>16464</v>
      </c>
      <c r="B852" s="6" t="s">
        <v>725</v>
      </c>
      <c r="C852" s="6" t="s">
        <v>112</v>
      </c>
      <c r="D852" s="6" t="s">
        <v>61</v>
      </c>
      <c r="E852" s="14" t="n">
        <v>1576.25</v>
      </c>
      <c r="F852" s="14" t="n">
        <v>7881.25</v>
      </c>
      <c r="G852" s="6" t="s">
        <v>15614</v>
      </c>
    </row>
    <row r="853" customFormat="false" ht="15" hidden="false" customHeight="true" outlineLevel="0" collapsed="false">
      <c r="A853" s="6" t="s">
        <v>16465</v>
      </c>
      <c r="B853" s="6" t="s">
        <v>727</v>
      </c>
      <c r="C853" s="6" t="s">
        <v>116</v>
      </c>
      <c r="D853" s="6" t="s">
        <v>20</v>
      </c>
      <c r="E853" s="14" t="n">
        <v>163.04</v>
      </c>
      <c r="F853" s="14" t="n">
        <v>163.04</v>
      </c>
      <c r="G853" s="6" t="s">
        <v>15614</v>
      </c>
    </row>
    <row r="854" customFormat="false" ht="15" hidden="false" customHeight="true" outlineLevel="0" collapsed="false">
      <c r="A854" s="6" t="s">
        <v>16466</v>
      </c>
      <c r="B854" s="6" t="s">
        <v>727</v>
      </c>
      <c r="C854" s="6" t="s">
        <v>116</v>
      </c>
      <c r="D854" s="6" t="s">
        <v>20</v>
      </c>
      <c r="E854" s="14" t="n">
        <v>163.04</v>
      </c>
      <c r="F854" s="14" t="n">
        <v>326.08</v>
      </c>
      <c r="G854" s="6" t="s">
        <v>15614</v>
      </c>
    </row>
    <row r="855" customFormat="false" ht="15" hidden="false" customHeight="true" outlineLevel="0" collapsed="false">
      <c r="A855" s="6" t="s">
        <v>16467</v>
      </c>
      <c r="B855" s="6" t="s">
        <v>727</v>
      </c>
      <c r="C855" s="6" t="s">
        <v>116</v>
      </c>
      <c r="D855" s="6" t="s">
        <v>21</v>
      </c>
      <c r="E855" s="14" t="n">
        <v>163.04</v>
      </c>
      <c r="F855" s="14" t="n">
        <v>489.12</v>
      </c>
      <c r="G855" s="6" t="s">
        <v>15614</v>
      </c>
    </row>
    <row r="856" customFormat="false" ht="15" hidden="false" customHeight="true" outlineLevel="0" collapsed="false">
      <c r="A856" s="6" t="s">
        <v>16468</v>
      </c>
      <c r="B856" s="6" t="s">
        <v>727</v>
      </c>
      <c r="C856" s="6" t="s">
        <v>116</v>
      </c>
      <c r="D856" s="6" t="s">
        <v>22</v>
      </c>
      <c r="E856" s="14" t="n">
        <v>163.04</v>
      </c>
      <c r="F856" s="14" t="n">
        <v>652.16</v>
      </c>
      <c r="G856" s="6" t="s">
        <v>15614</v>
      </c>
    </row>
    <row r="857" customFormat="false" ht="15" hidden="false" customHeight="true" outlineLevel="0" collapsed="false">
      <c r="A857" s="6" t="s">
        <v>16469</v>
      </c>
      <c r="B857" s="6" t="s">
        <v>729</v>
      </c>
      <c r="C857" s="6" t="s">
        <v>116</v>
      </c>
      <c r="D857" s="6" t="s">
        <v>23</v>
      </c>
      <c r="E857" s="14" t="n">
        <v>1171.39</v>
      </c>
      <c r="F857" s="14" t="n">
        <v>1171.39</v>
      </c>
      <c r="G857" s="6" t="s">
        <v>15614</v>
      </c>
    </row>
    <row r="858" customFormat="false" ht="15" hidden="false" customHeight="true" outlineLevel="0" collapsed="false">
      <c r="A858" s="6" t="s">
        <v>16470</v>
      </c>
      <c r="B858" s="6" t="s">
        <v>729</v>
      </c>
      <c r="C858" s="6" t="s">
        <v>116</v>
      </c>
      <c r="D858" s="6" t="s">
        <v>24</v>
      </c>
      <c r="E858" s="14" t="n">
        <v>1171.39</v>
      </c>
      <c r="F858" s="14" t="n">
        <v>2342.78</v>
      </c>
      <c r="G858" s="6" t="s">
        <v>15614</v>
      </c>
    </row>
    <row r="859" customFormat="false" ht="15" hidden="false" customHeight="true" outlineLevel="0" collapsed="false">
      <c r="A859" s="6" t="s">
        <v>16471</v>
      </c>
      <c r="B859" s="6" t="s">
        <v>731</v>
      </c>
      <c r="C859" s="6" t="s">
        <v>116</v>
      </c>
      <c r="D859" s="6" t="s">
        <v>16</v>
      </c>
      <c r="E859" s="14" t="n">
        <v>1014.38</v>
      </c>
      <c r="F859" s="14" t="n">
        <v>1014.38</v>
      </c>
      <c r="G859" s="6" t="s">
        <v>15614</v>
      </c>
    </row>
    <row r="860" customFormat="false" ht="15" hidden="false" customHeight="true" outlineLevel="0" collapsed="false">
      <c r="A860" s="6" t="s">
        <v>16472</v>
      </c>
      <c r="B860" s="6" t="s">
        <v>731</v>
      </c>
      <c r="C860" s="6" t="s">
        <v>116</v>
      </c>
      <c r="D860" s="6" t="s">
        <v>17</v>
      </c>
      <c r="E860" s="14" t="n">
        <v>1014.38</v>
      </c>
      <c r="F860" s="14" t="n">
        <v>2028.76</v>
      </c>
      <c r="G860" s="6" t="s">
        <v>15614</v>
      </c>
    </row>
    <row r="861" customFormat="false" ht="15" hidden="false" customHeight="true" outlineLevel="0" collapsed="false">
      <c r="A861" s="6" t="s">
        <v>16473</v>
      </c>
      <c r="B861" s="6" t="s">
        <v>731</v>
      </c>
      <c r="C861" s="6" t="s">
        <v>116</v>
      </c>
      <c r="D861" s="6" t="s">
        <v>18</v>
      </c>
      <c r="E861" s="14" t="n">
        <v>1014.38</v>
      </c>
      <c r="F861" s="14" t="n">
        <v>3043.14</v>
      </c>
      <c r="G861" s="6" t="s">
        <v>15614</v>
      </c>
    </row>
    <row r="862" customFormat="false" ht="15" hidden="false" customHeight="true" outlineLevel="0" collapsed="false">
      <c r="A862" s="6" t="s">
        <v>16474</v>
      </c>
      <c r="B862" s="6" t="s">
        <v>731</v>
      </c>
      <c r="C862" s="6" t="s">
        <v>116</v>
      </c>
      <c r="D862" s="6" t="s">
        <v>19</v>
      </c>
      <c r="E862" s="14" t="n">
        <v>1014.38</v>
      </c>
      <c r="F862" s="14" t="n">
        <v>4057.52</v>
      </c>
      <c r="G862" s="6" t="s">
        <v>15614</v>
      </c>
    </row>
    <row r="863" customFormat="false" ht="15" hidden="false" customHeight="true" outlineLevel="0" collapsed="false">
      <c r="A863" s="6" t="s">
        <v>16475</v>
      </c>
      <c r="B863" s="6" t="s">
        <v>731</v>
      </c>
      <c r="C863" s="6" t="s">
        <v>116</v>
      </c>
      <c r="D863" s="6" t="s">
        <v>20</v>
      </c>
      <c r="E863" s="14" t="n">
        <v>1014.38</v>
      </c>
      <c r="F863" s="14" t="n">
        <v>5071.9</v>
      </c>
      <c r="G863" s="6" t="s">
        <v>15614</v>
      </c>
    </row>
    <row r="864" customFormat="false" ht="15" hidden="false" customHeight="true" outlineLevel="0" collapsed="false">
      <c r="A864" s="6" t="s">
        <v>16476</v>
      </c>
      <c r="B864" s="6" t="s">
        <v>733</v>
      </c>
      <c r="C864" s="6" t="s">
        <v>120</v>
      </c>
      <c r="D864" s="6" t="s">
        <v>51</v>
      </c>
      <c r="E864" s="14" t="n">
        <v>1977.54</v>
      </c>
      <c r="F864" s="14" t="n">
        <v>1977.54</v>
      </c>
      <c r="G864" s="6" t="s">
        <v>15614</v>
      </c>
    </row>
    <row r="865" customFormat="false" ht="15" hidden="false" customHeight="true" outlineLevel="0" collapsed="false">
      <c r="A865" s="6" t="s">
        <v>16477</v>
      </c>
      <c r="B865" s="6" t="s">
        <v>733</v>
      </c>
      <c r="C865" s="6" t="s">
        <v>120</v>
      </c>
      <c r="D865" s="6" t="s">
        <v>52</v>
      </c>
      <c r="E865" s="14" t="n">
        <v>1977.54</v>
      </c>
      <c r="F865" s="14" t="n">
        <v>3955.08</v>
      </c>
      <c r="G865" s="6" t="s">
        <v>15614</v>
      </c>
    </row>
    <row r="866" customFormat="false" ht="15" hidden="false" customHeight="true" outlineLevel="0" collapsed="false">
      <c r="A866" s="6" t="s">
        <v>16478</v>
      </c>
      <c r="B866" s="6" t="s">
        <v>733</v>
      </c>
      <c r="C866" s="6" t="s">
        <v>120</v>
      </c>
      <c r="D866" s="6" t="s">
        <v>53</v>
      </c>
      <c r="E866" s="14" t="n">
        <v>1977.54</v>
      </c>
      <c r="F866" s="14" t="n">
        <v>5932.62</v>
      </c>
      <c r="G866" s="6" t="s">
        <v>15614</v>
      </c>
    </row>
    <row r="867" customFormat="false" ht="15" hidden="false" customHeight="true" outlineLevel="0" collapsed="false">
      <c r="A867" s="6" t="s">
        <v>16479</v>
      </c>
      <c r="B867" s="6" t="s">
        <v>733</v>
      </c>
      <c r="C867" s="6" t="s">
        <v>120</v>
      </c>
      <c r="D867" s="6" t="s">
        <v>54</v>
      </c>
      <c r="E867" s="14" t="n">
        <v>1977.54</v>
      </c>
      <c r="F867" s="14" t="n">
        <v>7910.16</v>
      </c>
      <c r="G867" s="6" t="s">
        <v>15614</v>
      </c>
    </row>
    <row r="868" customFormat="false" ht="15" hidden="false" customHeight="true" outlineLevel="0" collapsed="false">
      <c r="A868" s="6" t="s">
        <v>16480</v>
      </c>
      <c r="B868" s="6" t="s">
        <v>735</v>
      </c>
      <c r="C868" s="6" t="s">
        <v>124</v>
      </c>
      <c r="D868" s="6" t="s">
        <v>47</v>
      </c>
      <c r="E868" s="14" t="n">
        <v>3304.31</v>
      </c>
      <c r="F868" s="14" t="n">
        <v>3304.31</v>
      </c>
      <c r="G868" s="6" t="s">
        <v>15614</v>
      </c>
    </row>
    <row r="869" customFormat="false" ht="15" hidden="false" customHeight="true" outlineLevel="0" collapsed="false">
      <c r="A869" s="6" t="s">
        <v>16481</v>
      </c>
      <c r="B869" s="6" t="s">
        <v>735</v>
      </c>
      <c r="C869" s="6" t="s">
        <v>124</v>
      </c>
      <c r="D869" s="6" t="s">
        <v>49</v>
      </c>
      <c r="E869" s="14" t="n">
        <v>3304.31</v>
      </c>
      <c r="F869" s="14" t="n">
        <v>6608.62</v>
      </c>
      <c r="G869" s="6" t="s">
        <v>15614</v>
      </c>
    </row>
    <row r="870" customFormat="false" ht="15" hidden="false" customHeight="true" outlineLevel="0" collapsed="false">
      <c r="A870" s="6" t="s">
        <v>16482</v>
      </c>
      <c r="B870" s="6" t="s">
        <v>735</v>
      </c>
      <c r="C870" s="6" t="s">
        <v>124</v>
      </c>
      <c r="D870" s="6" t="s">
        <v>49</v>
      </c>
      <c r="E870" s="14" t="n">
        <v>3304.31</v>
      </c>
      <c r="F870" s="14" t="n">
        <v>9912.93</v>
      </c>
      <c r="G870" s="6" t="s">
        <v>15614</v>
      </c>
    </row>
    <row r="871" customFormat="false" ht="15" hidden="false" customHeight="true" outlineLevel="0" collapsed="false">
      <c r="A871" s="6" t="s">
        <v>16483</v>
      </c>
      <c r="B871" s="6" t="s">
        <v>737</v>
      </c>
      <c r="C871" s="6" t="s">
        <v>128</v>
      </c>
      <c r="D871" s="6" t="s">
        <v>39</v>
      </c>
      <c r="E871" s="14" t="n">
        <v>5143.99</v>
      </c>
      <c r="F871" s="14" t="n">
        <v>5143.99</v>
      </c>
      <c r="G871" s="6" t="s">
        <v>15614</v>
      </c>
    </row>
    <row r="872" customFormat="false" ht="15" hidden="false" customHeight="true" outlineLevel="0" collapsed="false">
      <c r="A872" s="6" t="s">
        <v>16484</v>
      </c>
      <c r="B872" s="6" t="s">
        <v>737</v>
      </c>
      <c r="C872" s="6" t="s">
        <v>128</v>
      </c>
      <c r="D872" s="6" t="s">
        <v>40</v>
      </c>
      <c r="E872" s="14" t="n">
        <v>5143.99</v>
      </c>
      <c r="F872" s="14" t="n">
        <v>10287.98</v>
      </c>
      <c r="G872" s="6" t="s">
        <v>15614</v>
      </c>
    </row>
    <row r="873" customFormat="false" ht="15" hidden="false" customHeight="true" outlineLevel="0" collapsed="false">
      <c r="A873" s="6" t="s">
        <v>16485</v>
      </c>
      <c r="B873" s="6" t="s">
        <v>739</v>
      </c>
      <c r="C873" s="6" t="s">
        <v>112</v>
      </c>
      <c r="D873" s="6" t="s">
        <v>42</v>
      </c>
      <c r="E873" s="14" t="n">
        <v>227.21</v>
      </c>
      <c r="F873" s="14" t="n">
        <v>227.21</v>
      </c>
      <c r="G873" s="6" t="s">
        <v>15614</v>
      </c>
    </row>
    <row r="874" customFormat="false" ht="15" hidden="false" customHeight="true" outlineLevel="0" collapsed="false">
      <c r="A874" s="6" t="s">
        <v>16486</v>
      </c>
      <c r="B874" s="6" t="s">
        <v>739</v>
      </c>
      <c r="C874" s="6" t="s">
        <v>112</v>
      </c>
      <c r="D874" s="6" t="s">
        <v>43</v>
      </c>
      <c r="E874" s="14" t="n">
        <v>227.21</v>
      </c>
      <c r="F874" s="14" t="n">
        <v>454.42</v>
      </c>
      <c r="G874" s="6" t="s">
        <v>15614</v>
      </c>
    </row>
    <row r="875" customFormat="false" ht="15" hidden="false" customHeight="true" outlineLevel="0" collapsed="false">
      <c r="A875" s="6" t="s">
        <v>16487</v>
      </c>
      <c r="B875" s="6" t="s">
        <v>741</v>
      </c>
      <c r="C875" s="6" t="s">
        <v>124</v>
      </c>
      <c r="D875" s="6" t="s">
        <v>46</v>
      </c>
      <c r="E875" s="14" t="n">
        <v>3272.16</v>
      </c>
      <c r="F875" s="14" t="n">
        <v>3272.16</v>
      </c>
      <c r="G875" s="6" t="s">
        <v>15614</v>
      </c>
    </row>
    <row r="876" customFormat="false" ht="15" hidden="false" customHeight="true" outlineLevel="0" collapsed="false">
      <c r="A876" s="6" t="s">
        <v>16488</v>
      </c>
      <c r="B876" s="6" t="s">
        <v>741</v>
      </c>
      <c r="C876" s="6" t="s">
        <v>124</v>
      </c>
      <c r="D876" s="6" t="s">
        <v>47</v>
      </c>
      <c r="E876" s="14" t="n">
        <v>3272.16</v>
      </c>
      <c r="F876" s="14" t="n">
        <v>6544.32</v>
      </c>
      <c r="G876" s="6" t="s">
        <v>15614</v>
      </c>
    </row>
    <row r="877" customFormat="false" ht="15" hidden="false" customHeight="true" outlineLevel="0" collapsed="false">
      <c r="A877" s="6" t="s">
        <v>16489</v>
      </c>
      <c r="B877" s="6" t="s">
        <v>743</v>
      </c>
      <c r="C877" s="6" t="s">
        <v>112</v>
      </c>
      <c r="D877" s="6" t="s">
        <v>51</v>
      </c>
      <c r="E877" s="14" t="n">
        <v>544.16</v>
      </c>
      <c r="F877" s="14" t="n">
        <v>544.16</v>
      </c>
      <c r="G877" s="6" t="s">
        <v>15614</v>
      </c>
    </row>
    <row r="878" customFormat="false" ht="15" hidden="false" customHeight="true" outlineLevel="0" collapsed="false">
      <c r="A878" s="6" t="s">
        <v>16490</v>
      </c>
      <c r="B878" s="6" t="s">
        <v>743</v>
      </c>
      <c r="C878" s="6" t="s">
        <v>112</v>
      </c>
      <c r="D878" s="6" t="s">
        <v>52</v>
      </c>
      <c r="E878" s="14" t="n">
        <v>544.16</v>
      </c>
      <c r="F878" s="14" t="n">
        <v>1088.32</v>
      </c>
      <c r="G878" s="6" t="s">
        <v>15614</v>
      </c>
    </row>
    <row r="879" customFormat="false" ht="15" hidden="false" customHeight="true" outlineLevel="0" collapsed="false">
      <c r="A879" s="6" t="s">
        <v>16491</v>
      </c>
      <c r="B879" s="6" t="s">
        <v>745</v>
      </c>
      <c r="C879" s="6" t="s">
        <v>128</v>
      </c>
      <c r="D879" s="6" t="s">
        <v>63</v>
      </c>
      <c r="E879" s="14" t="n">
        <v>3308.36</v>
      </c>
      <c r="F879" s="14" t="n">
        <v>3308.36</v>
      </c>
      <c r="G879" s="6" t="s">
        <v>15614</v>
      </c>
    </row>
    <row r="880" customFormat="false" ht="15" hidden="false" customHeight="true" outlineLevel="0" collapsed="false">
      <c r="A880" s="6" t="s">
        <v>16492</v>
      </c>
      <c r="B880" s="6" t="s">
        <v>745</v>
      </c>
      <c r="C880" s="6" t="s">
        <v>128</v>
      </c>
      <c r="D880" s="6" t="s">
        <v>64</v>
      </c>
      <c r="E880" s="14" t="n">
        <v>3308.36</v>
      </c>
      <c r="F880" s="14" t="n">
        <v>6616.72</v>
      </c>
      <c r="G880" s="6" t="s">
        <v>15614</v>
      </c>
    </row>
    <row r="881" customFormat="false" ht="15" hidden="false" customHeight="true" outlineLevel="0" collapsed="false">
      <c r="A881" s="6" t="s">
        <v>16493</v>
      </c>
      <c r="B881" s="6" t="s">
        <v>745</v>
      </c>
      <c r="C881" s="6" t="s">
        <v>128</v>
      </c>
      <c r="D881" s="6" t="s">
        <v>65</v>
      </c>
      <c r="E881" s="14" t="n">
        <v>3308.36</v>
      </c>
      <c r="F881" s="14" t="n">
        <v>9925.08</v>
      </c>
      <c r="G881" s="6" t="s">
        <v>15614</v>
      </c>
    </row>
    <row r="882" customFormat="false" ht="15" hidden="false" customHeight="true" outlineLevel="0" collapsed="false">
      <c r="A882" s="6" t="s">
        <v>16494</v>
      </c>
      <c r="B882" s="6" t="s">
        <v>747</v>
      </c>
      <c r="C882" s="6" t="s">
        <v>120</v>
      </c>
      <c r="D882" s="6" t="s">
        <v>52</v>
      </c>
      <c r="E882" s="14" t="n">
        <v>1401.89</v>
      </c>
      <c r="F882" s="14" t="n">
        <v>1401.89</v>
      </c>
      <c r="G882" s="6" t="s">
        <v>15614</v>
      </c>
    </row>
    <row r="883" customFormat="false" ht="15" hidden="false" customHeight="true" outlineLevel="0" collapsed="false">
      <c r="A883" s="6" t="s">
        <v>16495</v>
      </c>
      <c r="B883" s="6" t="s">
        <v>747</v>
      </c>
      <c r="C883" s="6" t="s">
        <v>120</v>
      </c>
      <c r="D883" s="6" t="s">
        <v>53</v>
      </c>
      <c r="E883" s="14" t="n">
        <v>1401.89</v>
      </c>
      <c r="F883" s="14" t="n">
        <v>2803.78</v>
      </c>
      <c r="G883" s="6" t="s">
        <v>15614</v>
      </c>
    </row>
    <row r="884" customFormat="false" ht="15" hidden="false" customHeight="true" outlineLevel="0" collapsed="false">
      <c r="A884" s="6" t="s">
        <v>16496</v>
      </c>
      <c r="B884" s="6" t="s">
        <v>749</v>
      </c>
      <c r="C884" s="6" t="s">
        <v>112</v>
      </c>
      <c r="D884" s="6" t="s">
        <v>54</v>
      </c>
      <c r="E884" s="14" t="n">
        <v>1209.83</v>
      </c>
      <c r="F884" s="14" t="n">
        <v>1209.83</v>
      </c>
      <c r="G884" s="6" t="s">
        <v>15614</v>
      </c>
    </row>
    <row r="885" customFormat="false" ht="15" hidden="false" customHeight="true" outlineLevel="0" collapsed="false">
      <c r="A885" s="6" t="s">
        <v>16497</v>
      </c>
      <c r="B885" s="6" t="s">
        <v>749</v>
      </c>
      <c r="C885" s="6" t="s">
        <v>112</v>
      </c>
      <c r="D885" s="6" t="s">
        <v>55</v>
      </c>
      <c r="E885" s="14" t="n">
        <v>1209.83</v>
      </c>
      <c r="F885" s="14" t="n">
        <v>2419.66</v>
      </c>
      <c r="G885" s="6" t="s">
        <v>15614</v>
      </c>
    </row>
    <row r="886" customFormat="false" ht="15" hidden="false" customHeight="true" outlineLevel="0" collapsed="false">
      <c r="A886" s="6" t="s">
        <v>16498</v>
      </c>
      <c r="B886" s="6" t="s">
        <v>751</v>
      </c>
      <c r="C886" s="6" t="s">
        <v>131</v>
      </c>
      <c r="D886" s="6" t="s">
        <v>15</v>
      </c>
      <c r="E886" s="14" t="n">
        <v>2353.78</v>
      </c>
      <c r="F886" s="14" t="n">
        <v>2353.78</v>
      </c>
      <c r="G886" s="6" t="s">
        <v>15614</v>
      </c>
    </row>
    <row r="887" customFormat="false" ht="15" hidden="false" customHeight="true" outlineLevel="0" collapsed="false">
      <c r="A887" s="6" t="s">
        <v>16499</v>
      </c>
      <c r="B887" s="6" t="s">
        <v>751</v>
      </c>
      <c r="C887" s="6" t="s">
        <v>131</v>
      </c>
      <c r="D887" s="6" t="s">
        <v>16</v>
      </c>
      <c r="E887" s="14" t="n">
        <v>2353.78</v>
      </c>
      <c r="F887" s="14" t="n">
        <v>4707.56</v>
      </c>
      <c r="G887" s="6" t="s">
        <v>15614</v>
      </c>
    </row>
    <row r="888" customFormat="false" ht="15" hidden="false" customHeight="true" outlineLevel="0" collapsed="false">
      <c r="A888" s="6" t="s">
        <v>16500</v>
      </c>
      <c r="B888" s="6" t="s">
        <v>753</v>
      </c>
      <c r="C888" s="6" t="s">
        <v>116</v>
      </c>
      <c r="D888" s="6" t="s">
        <v>63</v>
      </c>
      <c r="E888" s="14" t="n">
        <v>470.61</v>
      </c>
      <c r="F888" s="14" t="n">
        <v>470.61</v>
      </c>
      <c r="G888" s="6" t="s">
        <v>15614</v>
      </c>
    </row>
    <row r="889" customFormat="false" ht="15" hidden="false" customHeight="true" outlineLevel="0" collapsed="false">
      <c r="A889" s="6" t="s">
        <v>16501</v>
      </c>
      <c r="B889" s="6" t="s">
        <v>753</v>
      </c>
      <c r="C889" s="6" t="s">
        <v>116</v>
      </c>
      <c r="D889" s="6" t="s">
        <v>64</v>
      </c>
      <c r="E889" s="14" t="n">
        <v>470.61</v>
      </c>
      <c r="F889" s="14" t="n">
        <v>941.22</v>
      </c>
      <c r="G889" s="6" t="s">
        <v>15614</v>
      </c>
    </row>
    <row r="890" customFormat="false" ht="15" hidden="false" customHeight="true" outlineLevel="0" collapsed="false">
      <c r="A890" s="6" t="s">
        <v>16502</v>
      </c>
      <c r="B890" s="6" t="s">
        <v>755</v>
      </c>
      <c r="C890" s="6" t="s">
        <v>131</v>
      </c>
      <c r="D890" s="6" t="s">
        <v>22</v>
      </c>
      <c r="E890" s="14" t="n">
        <v>1743.91</v>
      </c>
      <c r="F890" s="14" t="n">
        <v>1743.91</v>
      </c>
      <c r="G890" s="6" t="s">
        <v>15614</v>
      </c>
    </row>
    <row r="891" customFormat="false" ht="15" hidden="false" customHeight="true" outlineLevel="0" collapsed="false">
      <c r="A891" s="6" t="s">
        <v>16503</v>
      </c>
      <c r="B891" s="6" t="s">
        <v>755</v>
      </c>
      <c r="C891" s="6" t="s">
        <v>131</v>
      </c>
      <c r="D891" s="6" t="s">
        <v>23</v>
      </c>
      <c r="E891" s="14" t="n">
        <v>1743.91</v>
      </c>
      <c r="F891" s="14" t="n">
        <v>3487.82</v>
      </c>
      <c r="G891" s="6" t="s">
        <v>15614</v>
      </c>
    </row>
    <row r="892" customFormat="false" ht="15" hidden="false" customHeight="true" outlineLevel="0" collapsed="false">
      <c r="A892" s="6" t="s">
        <v>16504</v>
      </c>
      <c r="B892" s="6" t="s">
        <v>757</v>
      </c>
      <c r="C892" s="6" t="s">
        <v>131</v>
      </c>
      <c r="D892" s="6" t="s">
        <v>46</v>
      </c>
      <c r="E892" s="14" t="n">
        <v>269.42</v>
      </c>
      <c r="F892" s="14" t="n">
        <v>269.42</v>
      </c>
      <c r="G892" s="6" t="s">
        <v>15614</v>
      </c>
    </row>
    <row r="893" customFormat="false" ht="15" hidden="false" customHeight="true" outlineLevel="0" collapsed="false">
      <c r="A893" s="6" t="s">
        <v>16505</v>
      </c>
      <c r="B893" s="6" t="s">
        <v>757</v>
      </c>
      <c r="C893" s="6" t="s">
        <v>131</v>
      </c>
      <c r="D893" s="6" t="s">
        <v>47</v>
      </c>
      <c r="E893" s="14" t="n">
        <v>269.42</v>
      </c>
      <c r="F893" s="14" t="n">
        <v>538.84</v>
      </c>
      <c r="G893" s="6" t="s">
        <v>15614</v>
      </c>
    </row>
    <row r="894" customFormat="false" ht="15" hidden="false" customHeight="true" outlineLevel="0" collapsed="false">
      <c r="A894" s="6" t="s">
        <v>16506</v>
      </c>
      <c r="B894" s="6" t="s">
        <v>757</v>
      </c>
      <c r="C894" s="6" t="s">
        <v>131</v>
      </c>
      <c r="D894" s="6" t="s">
        <v>47</v>
      </c>
      <c r="E894" s="14" t="n">
        <v>269.42</v>
      </c>
      <c r="F894" s="14" t="n">
        <v>808.26</v>
      </c>
      <c r="G894" s="6" t="s">
        <v>15614</v>
      </c>
    </row>
    <row r="895" customFormat="false" ht="15" hidden="false" customHeight="true" outlineLevel="0" collapsed="false">
      <c r="A895" s="6" t="s">
        <v>16507</v>
      </c>
      <c r="B895" s="6" t="s">
        <v>757</v>
      </c>
      <c r="C895" s="6" t="s">
        <v>131</v>
      </c>
      <c r="D895" s="6" t="s">
        <v>49</v>
      </c>
      <c r="E895" s="14" t="n">
        <v>269.42</v>
      </c>
      <c r="F895" s="14" t="n">
        <v>1077.68</v>
      </c>
      <c r="G895" s="6" t="s">
        <v>15614</v>
      </c>
    </row>
    <row r="896" customFormat="false" ht="15" hidden="false" customHeight="true" outlineLevel="0" collapsed="false">
      <c r="A896" s="6" t="s">
        <v>16508</v>
      </c>
      <c r="B896" s="6" t="s">
        <v>759</v>
      </c>
      <c r="C896" s="6" t="s">
        <v>124</v>
      </c>
      <c r="D896" s="6" t="s">
        <v>40</v>
      </c>
      <c r="E896" s="14" t="n">
        <v>5762.44</v>
      </c>
      <c r="F896" s="14" t="n">
        <v>5762.44</v>
      </c>
      <c r="G896" s="6" t="s">
        <v>15614</v>
      </c>
    </row>
    <row r="897" customFormat="false" ht="15" hidden="false" customHeight="true" outlineLevel="0" collapsed="false">
      <c r="A897" s="6" t="s">
        <v>16509</v>
      </c>
      <c r="B897" s="6" t="s">
        <v>759</v>
      </c>
      <c r="C897" s="6" t="s">
        <v>124</v>
      </c>
      <c r="D897" s="6" t="s">
        <v>41</v>
      </c>
      <c r="E897" s="14" t="n">
        <v>5762.44</v>
      </c>
      <c r="F897" s="14" t="n">
        <v>11524.88</v>
      </c>
      <c r="G897" s="6" t="s">
        <v>15614</v>
      </c>
    </row>
    <row r="898" customFormat="false" ht="15" hidden="false" customHeight="true" outlineLevel="0" collapsed="false">
      <c r="A898" s="6" t="s">
        <v>16510</v>
      </c>
      <c r="B898" s="6" t="s">
        <v>759</v>
      </c>
      <c r="C898" s="6" t="s">
        <v>124</v>
      </c>
      <c r="D898" s="6" t="s">
        <v>42</v>
      </c>
      <c r="E898" s="14" t="n">
        <v>5762.44</v>
      </c>
      <c r="F898" s="14" t="n">
        <v>17287.32</v>
      </c>
      <c r="G898" s="6" t="s">
        <v>15614</v>
      </c>
    </row>
    <row r="899" customFormat="false" ht="15" hidden="false" customHeight="true" outlineLevel="0" collapsed="false">
      <c r="A899" s="6" t="s">
        <v>16511</v>
      </c>
      <c r="B899" s="6" t="s">
        <v>761</v>
      </c>
      <c r="C899" s="6" t="s">
        <v>128</v>
      </c>
      <c r="D899" s="6" t="s">
        <v>34</v>
      </c>
      <c r="E899" s="14" t="n">
        <v>5313.46</v>
      </c>
      <c r="F899" s="14" t="n">
        <v>5313.46</v>
      </c>
      <c r="G899" s="6" t="s">
        <v>15614</v>
      </c>
    </row>
    <row r="900" customFormat="false" ht="15" hidden="false" customHeight="true" outlineLevel="0" collapsed="false">
      <c r="A900" s="6" t="s">
        <v>16512</v>
      </c>
      <c r="B900" s="6" t="s">
        <v>761</v>
      </c>
      <c r="C900" s="6" t="s">
        <v>128</v>
      </c>
      <c r="D900" s="6" t="s">
        <v>35</v>
      </c>
      <c r="E900" s="14" t="n">
        <v>5313.46</v>
      </c>
      <c r="F900" s="14" t="n">
        <v>10626.92</v>
      </c>
      <c r="G900" s="6" t="s">
        <v>15614</v>
      </c>
    </row>
    <row r="901" customFormat="false" ht="15" hidden="false" customHeight="true" outlineLevel="0" collapsed="false">
      <c r="A901" s="6" t="s">
        <v>16513</v>
      </c>
      <c r="B901" s="6" t="s">
        <v>763</v>
      </c>
      <c r="C901" s="6" t="s">
        <v>116</v>
      </c>
      <c r="D901" s="6" t="s">
        <v>37</v>
      </c>
      <c r="E901" s="14" t="n">
        <v>277.71</v>
      </c>
      <c r="F901" s="14" t="n">
        <v>277.71</v>
      </c>
      <c r="G901" s="6" t="s">
        <v>15614</v>
      </c>
    </row>
    <row r="902" customFormat="false" ht="15" hidden="false" customHeight="true" outlineLevel="0" collapsed="false">
      <c r="A902" s="6" t="s">
        <v>16514</v>
      </c>
      <c r="B902" s="6" t="s">
        <v>763</v>
      </c>
      <c r="C902" s="6" t="s">
        <v>116</v>
      </c>
      <c r="D902" s="6" t="s">
        <v>38</v>
      </c>
      <c r="E902" s="14" t="n">
        <v>277.71</v>
      </c>
      <c r="F902" s="14" t="n">
        <v>555.42</v>
      </c>
      <c r="G902" s="6" t="s">
        <v>15614</v>
      </c>
    </row>
    <row r="903" customFormat="false" ht="15" hidden="false" customHeight="true" outlineLevel="0" collapsed="false">
      <c r="A903" s="6" t="s">
        <v>16515</v>
      </c>
      <c r="B903" s="6" t="s">
        <v>763</v>
      </c>
      <c r="C903" s="6" t="s">
        <v>116</v>
      </c>
      <c r="D903" s="6" t="s">
        <v>39</v>
      </c>
      <c r="E903" s="14" t="n">
        <v>277.71</v>
      </c>
      <c r="F903" s="14" t="n">
        <v>833.13</v>
      </c>
      <c r="G903" s="6" t="s">
        <v>15614</v>
      </c>
    </row>
    <row r="904" customFormat="false" ht="15" hidden="false" customHeight="true" outlineLevel="0" collapsed="false">
      <c r="A904" s="6" t="s">
        <v>16516</v>
      </c>
      <c r="B904" s="6" t="s">
        <v>763</v>
      </c>
      <c r="C904" s="6" t="s">
        <v>116</v>
      </c>
      <c r="D904" s="6" t="s">
        <v>40</v>
      </c>
      <c r="E904" s="14" t="n">
        <v>277.71</v>
      </c>
      <c r="F904" s="14" t="n">
        <v>1110.84</v>
      </c>
      <c r="G904" s="6" t="s">
        <v>15614</v>
      </c>
    </row>
    <row r="905" customFormat="false" ht="15" hidden="false" customHeight="true" outlineLevel="0" collapsed="false">
      <c r="A905" s="6" t="s">
        <v>16517</v>
      </c>
      <c r="B905" s="6" t="s">
        <v>763</v>
      </c>
      <c r="C905" s="6" t="s">
        <v>116</v>
      </c>
      <c r="D905" s="6" t="s">
        <v>41</v>
      </c>
      <c r="E905" s="14" t="n">
        <v>277.71</v>
      </c>
      <c r="F905" s="14" t="n">
        <v>1388.55</v>
      </c>
      <c r="G905" s="6" t="s">
        <v>15614</v>
      </c>
    </row>
    <row r="906" customFormat="false" ht="15" hidden="false" customHeight="true" outlineLevel="0" collapsed="false">
      <c r="A906" s="6" t="s">
        <v>16518</v>
      </c>
      <c r="B906" s="6" t="s">
        <v>765</v>
      </c>
      <c r="C906" s="6" t="s">
        <v>131</v>
      </c>
      <c r="D906" s="6" t="s">
        <v>14</v>
      </c>
      <c r="E906" s="14" t="n">
        <v>754.65</v>
      </c>
      <c r="F906" s="14" t="n">
        <v>754.65</v>
      </c>
      <c r="G906" s="6" t="s">
        <v>15614</v>
      </c>
    </row>
    <row r="907" customFormat="false" ht="15" hidden="false" customHeight="true" outlineLevel="0" collapsed="false">
      <c r="A907" s="6" t="s">
        <v>16519</v>
      </c>
      <c r="B907" s="6" t="s">
        <v>765</v>
      </c>
      <c r="C907" s="6" t="s">
        <v>131</v>
      </c>
      <c r="D907" s="6" t="s">
        <v>15</v>
      </c>
      <c r="E907" s="14" t="n">
        <v>754.65</v>
      </c>
      <c r="F907" s="14" t="n">
        <v>1509.3</v>
      </c>
      <c r="G907" s="6" t="s">
        <v>15614</v>
      </c>
    </row>
    <row r="908" customFormat="false" ht="15" hidden="false" customHeight="true" outlineLevel="0" collapsed="false">
      <c r="A908" s="6" t="s">
        <v>16520</v>
      </c>
      <c r="B908" s="6" t="s">
        <v>765</v>
      </c>
      <c r="C908" s="6" t="s">
        <v>131</v>
      </c>
      <c r="D908" s="6" t="s">
        <v>16</v>
      </c>
      <c r="E908" s="14" t="n">
        <v>754.65</v>
      </c>
      <c r="F908" s="14" t="n">
        <v>2263.95</v>
      </c>
      <c r="G908" s="6" t="s">
        <v>15614</v>
      </c>
    </row>
    <row r="909" customFormat="false" ht="15" hidden="false" customHeight="true" outlineLevel="0" collapsed="false">
      <c r="A909" s="6" t="s">
        <v>16521</v>
      </c>
      <c r="B909" s="6" t="s">
        <v>765</v>
      </c>
      <c r="C909" s="6" t="s">
        <v>131</v>
      </c>
      <c r="D909" s="6" t="s">
        <v>17</v>
      </c>
      <c r="E909" s="14" t="n">
        <v>754.65</v>
      </c>
      <c r="F909" s="14" t="n">
        <v>3018.6</v>
      </c>
      <c r="G909" s="6" t="s">
        <v>15614</v>
      </c>
    </row>
    <row r="910" customFormat="false" ht="15" hidden="false" customHeight="true" outlineLevel="0" collapsed="false">
      <c r="A910" s="6" t="s">
        <v>16522</v>
      </c>
      <c r="B910" s="6" t="s">
        <v>765</v>
      </c>
      <c r="C910" s="6" t="s">
        <v>131</v>
      </c>
      <c r="D910" s="6" t="s">
        <v>18</v>
      </c>
      <c r="E910" s="14" t="n">
        <v>754.65</v>
      </c>
      <c r="F910" s="14" t="n">
        <v>3773.25</v>
      </c>
      <c r="G910" s="6" t="s">
        <v>15614</v>
      </c>
    </row>
    <row r="911" customFormat="false" ht="15" hidden="false" customHeight="true" outlineLevel="0" collapsed="false">
      <c r="A911" s="6" t="s">
        <v>16523</v>
      </c>
      <c r="B911" s="6" t="s">
        <v>765</v>
      </c>
      <c r="C911" s="6" t="s">
        <v>131</v>
      </c>
      <c r="D911" s="6" t="s">
        <v>19</v>
      </c>
      <c r="E911" s="14" t="n">
        <v>754.65</v>
      </c>
      <c r="F911" s="14" t="n">
        <v>4527.9</v>
      </c>
      <c r="G911" s="6" t="s">
        <v>15614</v>
      </c>
    </row>
    <row r="912" customFormat="false" ht="15" hidden="false" customHeight="true" outlineLevel="0" collapsed="false">
      <c r="A912" s="6" t="s">
        <v>16524</v>
      </c>
      <c r="B912" s="6" t="s">
        <v>767</v>
      </c>
      <c r="C912" s="6" t="s">
        <v>120</v>
      </c>
      <c r="D912" s="6" t="s">
        <v>48</v>
      </c>
      <c r="E912" s="14" t="n">
        <v>294.4</v>
      </c>
      <c r="F912" s="14" t="n">
        <v>294.4</v>
      </c>
      <c r="G912" s="6" t="s">
        <v>15614</v>
      </c>
    </row>
    <row r="913" customFormat="false" ht="15" hidden="false" customHeight="true" outlineLevel="0" collapsed="false">
      <c r="A913" s="6" t="s">
        <v>16525</v>
      </c>
      <c r="B913" s="6" t="s">
        <v>767</v>
      </c>
      <c r="C913" s="6" t="s">
        <v>120</v>
      </c>
      <c r="D913" s="6" t="s">
        <v>49</v>
      </c>
      <c r="E913" s="14" t="n">
        <v>294.4</v>
      </c>
      <c r="F913" s="14" t="n">
        <v>588.8</v>
      </c>
      <c r="G913" s="6" t="s">
        <v>15614</v>
      </c>
    </row>
    <row r="914" customFormat="false" ht="15" hidden="false" customHeight="true" outlineLevel="0" collapsed="false">
      <c r="A914" s="6" t="s">
        <v>16526</v>
      </c>
      <c r="B914" s="6" t="s">
        <v>767</v>
      </c>
      <c r="C914" s="6" t="s">
        <v>120</v>
      </c>
      <c r="D914" s="6" t="s">
        <v>50</v>
      </c>
      <c r="E914" s="14" t="n">
        <v>294.4</v>
      </c>
      <c r="F914" s="14" t="n">
        <v>883.2</v>
      </c>
      <c r="G914" s="6" t="s">
        <v>15614</v>
      </c>
    </row>
    <row r="915" customFormat="false" ht="15" hidden="false" customHeight="true" outlineLevel="0" collapsed="false">
      <c r="A915" s="6" t="s">
        <v>16527</v>
      </c>
      <c r="B915" s="6" t="s">
        <v>769</v>
      </c>
      <c r="C915" s="6" t="s">
        <v>116</v>
      </c>
      <c r="D915" s="6" t="s">
        <v>49</v>
      </c>
      <c r="E915" s="14" t="n">
        <v>2044.98</v>
      </c>
      <c r="F915" s="14" t="n">
        <v>2044.98</v>
      </c>
      <c r="G915" s="6" t="s">
        <v>15614</v>
      </c>
    </row>
    <row r="916" customFormat="false" ht="15" hidden="false" customHeight="true" outlineLevel="0" collapsed="false">
      <c r="A916" s="6" t="s">
        <v>16528</v>
      </c>
      <c r="B916" s="6" t="s">
        <v>769</v>
      </c>
      <c r="C916" s="6" t="s">
        <v>116</v>
      </c>
      <c r="D916" s="6" t="s">
        <v>50</v>
      </c>
      <c r="E916" s="14" t="n">
        <v>2044.98</v>
      </c>
      <c r="F916" s="14" t="n">
        <v>4089.96</v>
      </c>
      <c r="G916" s="6" t="s">
        <v>15614</v>
      </c>
    </row>
    <row r="917" customFormat="false" ht="15" hidden="false" customHeight="true" outlineLevel="0" collapsed="false">
      <c r="A917" s="6" t="s">
        <v>16529</v>
      </c>
      <c r="B917" s="6" t="s">
        <v>769</v>
      </c>
      <c r="C917" s="6" t="s">
        <v>116</v>
      </c>
      <c r="D917" s="6" t="s">
        <v>51</v>
      </c>
      <c r="E917" s="14" t="n">
        <v>2044.98</v>
      </c>
      <c r="F917" s="14" t="n">
        <v>6134.94</v>
      </c>
      <c r="G917" s="6" t="s">
        <v>15614</v>
      </c>
    </row>
    <row r="918" customFormat="false" ht="15" hidden="false" customHeight="true" outlineLevel="0" collapsed="false">
      <c r="A918" s="6" t="s">
        <v>16530</v>
      </c>
      <c r="B918" s="6" t="s">
        <v>769</v>
      </c>
      <c r="C918" s="6" t="s">
        <v>116</v>
      </c>
      <c r="D918" s="6" t="s">
        <v>52</v>
      </c>
      <c r="E918" s="14" t="n">
        <v>2044.98</v>
      </c>
      <c r="F918" s="14" t="n">
        <v>8179.92</v>
      </c>
      <c r="G918" s="6" t="s">
        <v>15614</v>
      </c>
    </row>
    <row r="919" customFormat="false" ht="15" hidden="false" customHeight="true" outlineLevel="0" collapsed="false">
      <c r="A919" s="6" t="s">
        <v>16531</v>
      </c>
      <c r="B919" s="6" t="s">
        <v>769</v>
      </c>
      <c r="C919" s="6" t="s">
        <v>116</v>
      </c>
      <c r="D919" s="6" t="s">
        <v>53</v>
      </c>
      <c r="E919" s="14" t="n">
        <v>2044.98</v>
      </c>
      <c r="F919" s="14" t="n">
        <v>10224.9</v>
      </c>
      <c r="G919" s="6" t="s">
        <v>15614</v>
      </c>
    </row>
    <row r="920" customFormat="false" ht="15" hidden="false" customHeight="true" outlineLevel="0" collapsed="false">
      <c r="A920" s="6" t="s">
        <v>16532</v>
      </c>
      <c r="B920" s="6" t="s">
        <v>771</v>
      </c>
      <c r="C920" s="6" t="s">
        <v>131</v>
      </c>
      <c r="D920" s="6" t="s">
        <v>14</v>
      </c>
      <c r="E920" s="14" t="n">
        <v>1953.23</v>
      </c>
      <c r="F920" s="14" t="n">
        <v>1953.23</v>
      </c>
      <c r="G920" s="6" t="s">
        <v>15614</v>
      </c>
    </row>
    <row r="921" customFormat="false" ht="15" hidden="false" customHeight="true" outlineLevel="0" collapsed="false">
      <c r="A921" s="6" t="s">
        <v>16533</v>
      </c>
      <c r="B921" s="6" t="s">
        <v>771</v>
      </c>
      <c r="C921" s="6" t="s">
        <v>131</v>
      </c>
      <c r="D921" s="6" t="s">
        <v>15</v>
      </c>
      <c r="E921" s="14" t="n">
        <v>1953.23</v>
      </c>
      <c r="F921" s="14" t="n">
        <v>3906.46</v>
      </c>
      <c r="G921" s="6" t="s">
        <v>15614</v>
      </c>
    </row>
    <row r="922" customFormat="false" ht="15" hidden="false" customHeight="true" outlineLevel="0" collapsed="false">
      <c r="A922" s="6" t="s">
        <v>16534</v>
      </c>
      <c r="B922" s="6" t="s">
        <v>771</v>
      </c>
      <c r="C922" s="6" t="s">
        <v>131</v>
      </c>
      <c r="D922" s="6" t="s">
        <v>16</v>
      </c>
      <c r="E922" s="14" t="n">
        <v>1953.23</v>
      </c>
      <c r="F922" s="14" t="n">
        <v>5859.69</v>
      </c>
      <c r="G922" s="6" t="s">
        <v>15614</v>
      </c>
    </row>
    <row r="923" customFormat="false" ht="15" hidden="false" customHeight="true" outlineLevel="0" collapsed="false">
      <c r="A923" s="6" t="s">
        <v>16535</v>
      </c>
      <c r="B923" s="6" t="s">
        <v>773</v>
      </c>
      <c r="C923" s="6" t="s">
        <v>120</v>
      </c>
      <c r="D923" s="6" t="s">
        <v>19</v>
      </c>
      <c r="E923" s="14" t="n">
        <v>2552.13</v>
      </c>
      <c r="F923" s="14" t="n">
        <v>2552.13</v>
      </c>
      <c r="G923" s="6" t="s">
        <v>15614</v>
      </c>
    </row>
    <row r="924" customFormat="false" ht="15" hidden="false" customHeight="true" outlineLevel="0" collapsed="false">
      <c r="A924" s="6" t="s">
        <v>16536</v>
      </c>
      <c r="B924" s="6" t="s">
        <v>773</v>
      </c>
      <c r="C924" s="6" t="s">
        <v>120</v>
      </c>
      <c r="D924" s="6" t="s">
        <v>20</v>
      </c>
      <c r="E924" s="14" t="n">
        <v>2552.13</v>
      </c>
      <c r="F924" s="14" t="n">
        <v>5104.26</v>
      </c>
      <c r="G924" s="6" t="s">
        <v>15614</v>
      </c>
    </row>
    <row r="925" customFormat="false" ht="15" hidden="false" customHeight="true" outlineLevel="0" collapsed="false">
      <c r="A925" s="6" t="s">
        <v>16537</v>
      </c>
      <c r="B925" s="6" t="s">
        <v>775</v>
      </c>
      <c r="C925" s="6" t="s">
        <v>112</v>
      </c>
      <c r="D925" s="6" t="s">
        <v>20</v>
      </c>
      <c r="E925" s="14" t="n">
        <v>760.03</v>
      </c>
      <c r="F925" s="14" t="n">
        <v>760.03</v>
      </c>
      <c r="G925" s="6" t="s">
        <v>15614</v>
      </c>
    </row>
    <row r="926" customFormat="false" ht="15" hidden="false" customHeight="true" outlineLevel="0" collapsed="false">
      <c r="A926" s="6" t="s">
        <v>16538</v>
      </c>
      <c r="B926" s="6" t="s">
        <v>775</v>
      </c>
      <c r="C926" s="6" t="s">
        <v>112</v>
      </c>
      <c r="D926" s="6" t="s">
        <v>21</v>
      </c>
      <c r="E926" s="14" t="n">
        <v>760.03</v>
      </c>
      <c r="F926" s="14" t="n">
        <v>1520.06</v>
      </c>
      <c r="G926" s="6" t="s">
        <v>15614</v>
      </c>
    </row>
    <row r="927" customFormat="false" ht="15" hidden="false" customHeight="true" outlineLevel="0" collapsed="false">
      <c r="A927" s="6" t="s">
        <v>16539</v>
      </c>
      <c r="B927" s="6" t="s">
        <v>775</v>
      </c>
      <c r="C927" s="6" t="s">
        <v>112</v>
      </c>
      <c r="D927" s="6" t="s">
        <v>22</v>
      </c>
      <c r="E927" s="14" t="n">
        <v>760.03</v>
      </c>
      <c r="F927" s="14" t="n">
        <v>2280.09</v>
      </c>
      <c r="G927" s="6" t="s">
        <v>15614</v>
      </c>
    </row>
    <row r="928" customFormat="false" ht="15" hidden="false" customHeight="true" outlineLevel="0" collapsed="false">
      <c r="A928" s="6" t="s">
        <v>16540</v>
      </c>
      <c r="B928" s="6" t="s">
        <v>777</v>
      </c>
      <c r="C928" s="6" t="s">
        <v>124</v>
      </c>
      <c r="D928" s="6" t="s">
        <v>44</v>
      </c>
      <c r="E928" s="14" t="n">
        <v>473.55</v>
      </c>
      <c r="F928" s="14" t="n">
        <v>473.55</v>
      </c>
      <c r="G928" s="6" t="s">
        <v>15614</v>
      </c>
    </row>
    <row r="929" customFormat="false" ht="15" hidden="false" customHeight="true" outlineLevel="0" collapsed="false">
      <c r="A929" s="6" t="s">
        <v>16541</v>
      </c>
      <c r="B929" s="6" t="s">
        <v>777</v>
      </c>
      <c r="C929" s="6" t="s">
        <v>124</v>
      </c>
      <c r="D929" s="6" t="s">
        <v>45</v>
      </c>
      <c r="E929" s="14" t="n">
        <v>473.55</v>
      </c>
      <c r="F929" s="14" t="n">
        <v>947.1</v>
      </c>
      <c r="G929" s="6" t="s">
        <v>15614</v>
      </c>
    </row>
    <row r="930" customFormat="false" ht="15" hidden="false" customHeight="true" outlineLevel="0" collapsed="false">
      <c r="A930" s="6" t="s">
        <v>16542</v>
      </c>
      <c r="B930" s="6" t="s">
        <v>777</v>
      </c>
      <c r="C930" s="6" t="s">
        <v>124</v>
      </c>
      <c r="D930" s="6" t="s">
        <v>46</v>
      </c>
      <c r="E930" s="14" t="n">
        <v>473.55</v>
      </c>
      <c r="F930" s="14" t="n">
        <v>1420.65</v>
      </c>
      <c r="G930" s="6" t="s">
        <v>15614</v>
      </c>
    </row>
    <row r="931" customFormat="false" ht="15" hidden="false" customHeight="true" outlineLevel="0" collapsed="false">
      <c r="A931" s="6" t="s">
        <v>16543</v>
      </c>
      <c r="B931" s="6" t="s">
        <v>777</v>
      </c>
      <c r="C931" s="6" t="s">
        <v>124</v>
      </c>
      <c r="D931" s="6" t="s">
        <v>47</v>
      </c>
      <c r="E931" s="14" t="n">
        <v>473.55</v>
      </c>
      <c r="F931" s="14" t="n">
        <v>1894.2</v>
      </c>
      <c r="G931" s="6" t="s">
        <v>15614</v>
      </c>
    </row>
    <row r="932" customFormat="false" ht="15" hidden="false" customHeight="true" outlineLevel="0" collapsed="false">
      <c r="A932" s="6" t="s">
        <v>16544</v>
      </c>
      <c r="B932" s="6" t="s">
        <v>777</v>
      </c>
      <c r="C932" s="6" t="s">
        <v>124</v>
      </c>
      <c r="D932" s="6" t="s">
        <v>48</v>
      </c>
      <c r="E932" s="14" t="n">
        <v>473.55</v>
      </c>
      <c r="F932" s="14" t="n">
        <v>2367.75</v>
      </c>
      <c r="G932" s="6" t="s">
        <v>15614</v>
      </c>
    </row>
    <row r="933" customFormat="false" ht="15" hidden="false" customHeight="true" outlineLevel="0" collapsed="false">
      <c r="A933" s="6" t="s">
        <v>16545</v>
      </c>
      <c r="B933" s="6" t="s">
        <v>777</v>
      </c>
      <c r="C933" s="6" t="s">
        <v>124</v>
      </c>
      <c r="D933" s="6" t="s">
        <v>49</v>
      </c>
      <c r="E933" s="14" t="n">
        <v>473.55</v>
      </c>
      <c r="F933" s="14" t="n">
        <v>2841.3</v>
      </c>
      <c r="G933" s="6" t="s">
        <v>15614</v>
      </c>
    </row>
    <row r="934" customFormat="false" ht="15" hidden="false" customHeight="true" outlineLevel="0" collapsed="false">
      <c r="A934" s="6" t="s">
        <v>16546</v>
      </c>
      <c r="B934" s="6" t="s">
        <v>777</v>
      </c>
      <c r="C934" s="6" t="s">
        <v>124</v>
      </c>
      <c r="D934" s="6" t="s">
        <v>50</v>
      </c>
      <c r="E934" s="14" t="n">
        <v>473.55</v>
      </c>
      <c r="F934" s="14" t="n">
        <v>3314.85</v>
      </c>
      <c r="G934" s="6" t="s">
        <v>15614</v>
      </c>
    </row>
    <row r="935" customFormat="false" ht="15" hidden="false" customHeight="true" outlineLevel="0" collapsed="false">
      <c r="A935" s="6" t="s">
        <v>16547</v>
      </c>
      <c r="B935" s="6" t="s">
        <v>779</v>
      </c>
      <c r="C935" s="6" t="s">
        <v>124</v>
      </c>
      <c r="D935" s="6" t="s">
        <v>29</v>
      </c>
      <c r="E935" s="14" t="n">
        <v>2289.78</v>
      </c>
      <c r="F935" s="14" t="n">
        <v>2289.78</v>
      </c>
      <c r="G935" s="6" t="s">
        <v>15614</v>
      </c>
    </row>
    <row r="936" customFormat="false" ht="15" hidden="false" customHeight="true" outlineLevel="0" collapsed="false">
      <c r="A936" s="6" t="s">
        <v>16548</v>
      </c>
      <c r="B936" s="6" t="s">
        <v>779</v>
      </c>
      <c r="C936" s="6" t="s">
        <v>124</v>
      </c>
      <c r="D936" s="6" t="s">
        <v>30</v>
      </c>
      <c r="E936" s="14" t="n">
        <v>2289.78</v>
      </c>
      <c r="F936" s="14" t="n">
        <v>4579.56</v>
      </c>
      <c r="G936" s="6" t="s">
        <v>15614</v>
      </c>
    </row>
    <row r="937" customFormat="false" ht="15" hidden="false" customHeight="true" outlineLevel="0" collapsed="false">
      <c r="A937" s="6" t="s">
        <v>16549</v>
      </c>
      <c r="B937" s="6" t="s">
        <v>779</v>
      </c>
      <c r="C937" s="6" t="s">
        <v>124</v>
      </c>
      <c r="D937" s="6" t="s">
        <v>31</v>
      </c>
      <c r="E937" s="14" t="n">
        <v>2289.78</v>
      </c>
      <c r="F937" s="14" t="n">
        <v>6869.34</v>
      </c>
      <c r="G937" s="6" t="s">
        <v>15614</v>
      </c>
    </row>
    <row r="938" customFormat="false" ht="15" hidden="false" customHeight="true" outlineLevel="0" collapsed="false">
      <c r="A938" s="6" t="s">
        <v>16550</v>
      </c>
      <c r="B938" s="6" t="s">
        <v>779</v>
      </c>
      <c r="C938" s="6" t="s">
        <v>124</v>
      </c>
      <c r="D938" s="6" t="s">
        <v>32</v>
      </c>
      <c r="E938" s="14" t="n">
        <v>2289.78</v>
      </c>
      <c r="F938" s="14" t="n">
        <v>9159.12</v>
      </c>
      <c r="G938" s="6" t="s">
        <v>15614</v>
      </c>
    </row>
    <row r="939" customFormat="false" ht="15" hidden="false" customHeight="true" outlineLevel="0" collapsed="false">
      <c r="A939" s="6" t="s">
        <v>16551</v>
      </c>
      <c r="B939" s="6" t="s">
        <v>781</v>
      </c>
      <c r="C939" s="6" t="s">
        <v>112</v>
      </c>
      <c r="D939" s="6" t="s">
        <v>56</v>
      </c>
      <c r="E939" s="14" t="n">
        <v>623.13</v>
      </c>
      <c r="F939" s="14" t="n">
        <v>623.13</v>
      </c>
      <c r="G939" s="6" t="s">
        <v>15614</v>
      </c>
    </row>
    <row r="940" customFormat="false" ht="15" hidden="false" customHeight="true" outlineLevel="0" collapsed="false">
      <c r="A940" s="6" t="s">
        <v>16552</v>
      </c>
      <c r="B940" s="6" t="s">
        <v>781</v>
      </c>
      <c r="C940" s="6" t="s">
        <v>112</v>
      </c>
      <c r="D940" s="6" t="s">
        <v>57</v>
      </c>
      <c r="E940" s="14" t="n">
        <v>623.13</v>
      </c>
      <c r="F940" s="14" t="n">
        <v>1246.26</v>
      </c>
      <c r="G940" s="6" t="s">
        <v>15614</v>
      </c>
    </row>
    <row r="941" customFormat="false" ht="15" hidden="false" customHeight="true" outlineLevel="0" collapsed="false">
      <c r="A941" s="6" t="s">
        <v>16553</v>
      </c>
      <c r="B941" s="6" t="s">
        <v>781</v>
      </c>
      <c r="C941" s="6" t="s">
        <v>112</v>
      </c>
      <c r="D941" s="6" t="s">
        <v>58</v>
      </c>
      <c r="E941" s="14" t="n">
        <v>623.13</v>
      </c>
      <c r="F941" s="14" t="n">
        <v>1869.39</v>
      </c>
      <c r="G941" s="6" t="s">
        <v>15614</v>
      </c>
    </row>
    <row r="942" customFormat="false" ht="15" hidden="false" customHeight="true" outlineLevel="0" collapsed="false">
      <c r="A942" s="6" t="s">
        <v>16554</v>
      </c>
      <c r="B942" s="6" t="s">
        <v>781</v>
      </c>
      <c r="C942" s="6" t="s">
        <v>112</v>
      </c>
      <c r="D942" s="6" t="s">
        <v>59</v>
      </c>
      <c r="E942" s="14" t="n">
        <v>623.13</v>
      </c>
      <c r="F942" s="14" t="n">
        <v>2492.52</v>
      </c>
      <c r="G942" s="6" t="s">
        <v>15614</v>
      </c>
    </row>
    <row r="943" customFormat="false" ht="15" hidden="false" customHeight="true" outlineLevel="0" collapsed="false">
      <c r="A943" s="6" t="s">
        <v>16555</v>
      </c>
      <c r="B943" s="6" t="s">
        <v>781</v>
      </c>
      <c r="C943" s="6" t="s">
        <v>112</v>
      </c>
      <c r="D943" s="6" t="s">
        <v>60</v>
      </c>
      <c r="E943" s="14" t="n">
        <v>623.13</v>
      </c>
      <c r="F943" s="14" t="n">
        <v>3115.65</v>
      </c>
      <c r="G943" s="6" t="s">
        <v>15614</v>
      </c>
    </row>
    <row r="944" customFormat="false" ht="15" hidden="false" customHeight="true" outlineLevel="0" collapsed="false">
      <c r="A944" s="6" t="s">
        <v>16556</v>
      </c>
      <c r="B944" s="6" t="s">
        <v>781</v>
      </c>
      <c r="C944" s="6" t="s">
        <v>112</v>
      </c>
      <c r="D944" s="6" t="s">
        <v>61</v>
      </c>
      <c r="E944" s="14" t="n">
        <v>623.13</v>
      </c>
      <c r="F944" s="14" t="n">
        <v>3738.78</v>
      </c>
      <c r="G944" s="6" t="s">
        <v>15614</v>
      </c>
    </row>
    <row r="945" customFormat="false" ht="15" hidden="false" customHeight="true" outlineLevel="0" collapsed="false">
      <c r="A945" s="6" t="s">
        <v>16557</v>
      </c>
      <c r="B945" s="6" t="s">
        <v>781</v>
      </c>
      <c r="C945" s="6" t="s">
        <v>112</v>
      </c>
      <c r="D945" s="6" t="s">
        <v>62</v>
      </c>
      <c r="E945" s="14" t="n">
        <v>623.13</v>
      </c>
      <c r="F945" s="14" t="n">
        <v>4361.91</v>
      </c>
      <c r="G945" s="6" t="s">
        <v>15614</v>
      </c>
    </row>
    <row r="946" customFormat="false" ht="15" hidden="false" customHeight="true" outlineLevel="0" collapsed="false">
      <c r="A946" s="6" t="s">
        <v>16558</v>
      </c>
      <c r="B946" s="6" t="s">
        <v>781</v>
      </c>
      <c r="C946" s="6" t="s">
        <v>112</v>
      </c>
      <c r="D946" s="6" t="s">
        <v>63</v>
      </c>
      <c r="E946" s="14" t="n">
        <v>623.13</v>
      </c>
      <c r="F946" s="14" t="n">
        <v>4985.04</v>
      </c>
      <c r="G946" s="6" t="s">
        <v>15614</v>
      </c>
    </row>
    <row r="947" customFormat="false" ht="15" hidden="false" customHeight="true" outlineLevel="0" collapsed="false">
      <c r="A947" s="6" t="s">
        <v>16559</v>
      </c>
      <c r="B947" s="6" t="s">
        <v>783</v>
      </c>
      <c r="C947" s="6" t="s">
        <v>131</v>
      </c>
      <c r="D947" s="6" t="s">
        <v>13</v>
      </c>
      <c r="E947" s="14" t="n">
        <v>1659.85</v>
      </c>
      <c r="F947" s="14" t="n">
        <v>1659.85</v>
      </c>
      <c r="G947" s="6" t="s">
        <v>15614</v>
      </c>
    </row>
    <row r="948" customFormat="false" ht="15" hidden="false" customHeight="true" outlineLevel="0" collapsed="false">
      <c r="A948" s="6" t="s">
        <v>16560</v>
      </c>
      <c r="B948" s="6" t="s">
        <v>783</v>
      </c>
      <c r="C948" s="6" t="s">
        <v>131</v>
      </c>
      <c r="D948" s="6" t="s">
        <v>14</v>
      </c>
      <c r="E948" s="14" t="n">
        <v>1659.85</v>
      </c>
      <c r="F948" s="14" t="n">
        <v>3319.7</v>
      </c>
      <c r="G948" s="6" t="s">
        <v>15614</v>
      </c>
    </row>
    <row r="949" customFormat="false" ht="15" hidden="false" customHeight="true" outlineLevel="0" collapsed="false">
      <c r="A949" s="6" t="s">
        <v>16561</v>
      </c>
      <c r="B949" s="6" t="s">
        <v>783</v>
      </c>
      <c r="C949" s="6" t="s">
        <v>131</v>
      </c>
      <c r="D949" s="6" t="s">
        <v>15</v>
      </c>
      <c r="E949" s="14" t="n">
        <v>1659.85</v>
      </c>
      <c r="F949" s="14" t="n">
        <v>4979.55</v>
      </c>
      <c r="G949" s="6" t="s">
        <v>15614</v>
      </c>
    </row>
    <row r="950" customFormat="false" ht="15" hidden="false" customHeight="true" outlineLevel="0" collapsed="false">
      <c r="A950" s="6" t="s">
        <v>16562</v>
      </c>
      <c r="B950" s="6" t="s">
        <v>783</v>
      </c>
      <c r="C950" s="6" t="s">
        <v>131</v>
      </c>
      <c r="D950" s="6" t="s">
        <v>16</v>
      </c>
      <c r="E950" s="14" t="n">
        <v>1659.85</v>
      </c>
      <c r="F950" s="14" t="n">
        <v>6639.4</v>
      </c>
      <c r="G950" s="6" t="s">
        <v>15614</v>
      </c>
    </row>
    <row r="951" customFormat="false" ht="15" hidden="false" customHeight="true" outlineLevel="0" collapsed="false">
      <c r="A951" s="6" t="s">
        <v>16563</v>
      </c>
      <c r="B951" s="6" t="s">
        <v>783</v>
      </c>
      <c r="C951" s="6" t="s">
        <v>131</v>
      </c>
      <c r="D951" s="6" t="s">
        <v>17</v>
      </c>
      <c r="E951" s="14" t="n">
        <v>1659.85</v>
      </c>
      <c r="F951" s="14" t="n">
        <v>8299.25</v>
      </c>
      <c r="G951" s="6" t="s">
        <v>15614</v>
      </c>
    </row>
    <row r="952" customFormat="false" ht="15" hidden="false" customHeight="true" outlineLevel="0" collapsed="false">
      <c r="A952" s="6" t="s">
        <v>16564</v>
      </c>
      <c r="B952" s="6" t="s">
        <v>785</v>
      </c>
      <c r="C952" s="6" t="s">
        <v>116</v>
      </c>
      <c r="D952" s="6" t="s">
        <v>36</v>
      </c>
      <c r="E952" s="14" t="n">
        <v>1056.6</v>
      </c>
      <c r="F952" s="14" t="n">
        <v>1056.6</v>
      </c>
      <c r="G952" s="6" t="s">
        <v>15614</v>
      </c>
    </row>
    <row r="953" customFormat="false" ht="15" hidden="false" customHeight="true" outlineLevel="0" collapsed="false">
      <c r="A953" s="6" t="s">
        <v>16565</v>
      </c>
      <c r="B953" s="6" t="s">
        <v>785</v>
      </c>
      <c r="C953" s="6" t="s">
        <v>116</v>
      </c>
      <c r="D953" s="6" t="s">
        <v>37</v>
      </c>
      <c r="E953" s="14" t="n">
        <v>1056.6</v>
      </c>
      <c r="F953" s="14" t="n">
        <v>2113.2</v>
      </c>
      <c r="G953" s="6" t="s">
        <v>15614</v>
      </c>
    </row>
    <row r="954" customFormat="false" ht="15" hidden="false" customHeight="true" outlineLevel="0" collapsed="false">
      <c r="A954" s="6" t="s">
        <v>16566</v>
      </c>
      <c r="B954" s="6" t="s">
        <v>787</v>
      </c>
      <c r="C954" s="6" t="s">
        <v>120</v>
      </c>
      <c r="D954" s="6" t="s">
        <v>42</v>
      </c>
      <c r="E954" s="14" t="n">
        <v>988.62</v>
      </c>
      <c r="F954" s="14" t="n">
        <v>988.62</v>
      </c>
      <c r="G954" s="6" t="s">
        <v>15614</v>
      </c>
    </row>
    <row r="955" customFormat="false" ht="15" hidden="false" customHeight="true" outlineLevel="0" collapsed="false">
      <c r="A955" s="6" t="s">
        <v>16567</v>
      </c>
      <c r="B955" s="6" t="s">
        <v>787</v>
      </c>
      <c r="C955" s="6" t="s">
        <v>120</v>
      </c>
      <c r="D955" s="6" t="s">
        <v>43</v>
      </c>
      <c r="E955" s="14" t="n">
        <v>988.62</v>
      </c>
      <c r="F955" s="14" t="n">
        <v>1977.24</v>
      </c>
      <c r="G955" s="6" t="s">
        <v>15614</v>
      </c>
    </row>
    <row r="956" customFormat="false" ht="15" hidden="false" customHeight="true" outlineLevel="0" collapsed="false">
      <c r="A956" s="6" t="s">
        <v>16568</v>
      </c>
      <c r="B956" s="6" t="s">
        <v>789</v>
      </c>
      <c r="C956" s="6" t="s">
        <v>116</v>
      </c>
      <c r="D956" s="6" t="s">
        <v>43</v>
      </c>
      <c r="E956" s="14" t="n">
        <v>1639.96</v>
      </c>
      <c r="F956" s="14" t="n">
        <v>1639.96</v>
      </c>
      <c r="G956" s="6" t="s">
        <v>15614</v>
      </c>
    </row>
    <row r="957" customFormat="false" ht="15" hidden="false" customHeight="true" outlineLevel="0" collapsed="false">
      <c r="A957" s="6" t="s">
        <v>16569</v>
      </c>
      <c r="B957" s="6" t="s">
        <v>789</v>
      </c>
      <c r="C957" s="6" t="s">
        <v>116</v>
      </c>
      <c r="D957" s="6" t="s">
        <v>44</v>
      </c>
      <c r="E957" s="14" t="n">
        <v>1639.96</v>
      </c>
      <c r="F957" s="14" t="n">
        <v>3279.92</v>
      </c>
      <c r="G957" s="6" t="s">
        <v>15614</v>
      </c>
    </row>
    <row r="958" customFormat="false" ht="15" hidden="false" customHeight="true" outlineLevel="0" collapsed="false">
      <c r="A958" s="6" t="s">
        <v>16570</v>
      </c>
      <c r="B958" s="6" t="s">
        <v>789</v>
      </c>
      <c r="C958" s="6" t="s">
        <v>116</v>
      </c>
      <c r="D958" s="6" t="s">
        <v>45</v>
      </c>
      <c r="E958" s="14" t="n">
        <v>1639.96</v>
      </c>
      <c r="F958" s="14" t="n">
        <v>4919.88</v>
      </c>
      <c r="G958" s="6" t="s">
        <v>15614</v>
      </c>
    </row>
    <row r="959" customFormat="false" ht="15" hidden="false" customHeight="true" outlineLevel="0" collapsed="false">
      <c r="A959" s="6" t="s">
        <v>16571</v>
      </c>
      <c r="B959" s="6" t="s">
        <v>789</v>
      </c>
      <c r="C959" s="6" t="s">
        <v>116</v>
      </c>
      <c r="D959" s="6" t="s">
        <v>46</v>
      </c>
      <c r="E959" s="14" t="n">
        <v>1639.96</v>
      </c>
      <c r="F959" s="14" t="n">
        <v>6559.84</v>
      </c>
      <c r="G959" s="6" t="s">
        <v>15614</v>
      </c>
    </row>
    <row r="960" customFormat="false" ht="15" hidden="false" customHeight="true" outlineLevel="0" collapsed="false">
      <c r="A960" s="6" t="s">
        <v>16572</v>
      </c>
      <c r="B960" s="6" t="s">
        <v>789</v>
      </c>
      <c r="C960" s="6" t="s">
        <v>116</v>
      </c>
      <c r="D960" s="6" t="s">
        <v>47</v>
      </c>
      <c r="E960" s="14" t="n">
        <v>1639.96</v>
      </c>
      <c r="F960" s="14" t="n">
        <v>8199.8</v>
      </c>
      <c r="G960" s="6" t="s">
        <v>15614</v>
      </c>
    </row>
    <row r="961" customFormat="false" ht="15" hidden="false" customHeight="true" outlineLevel="0" collapsed="false">
      <c r="A961" s="6" t="s">
        <v>16573</v>
      </c>
      <c r="B961" s="6" t="s">
        <v>791</v>
      </c>
      <c r="C961" s="6" t="s">
        <v>131</v>
      </c>
      <c r="D961" s="6" t="s">
        <v>35</v>
      </c>
      <c r="E961" s="14" t="n">
        <v>554.92</v>
      </c>
      <c r="F961" s="14" t="n">
        <v>554.92</v>
      </c>
      <c r="G961" s="6" t="s">
        <v>15614</v>
      </c>
    </row>
    <row r="962" customFormat="false" ht="15" hidden="false" customHeight="true" outlineLevel="0" collapsed="false">
      <c r="A962" s="6" t="s">
        <v>16574</v>
      </c>
      <c r="B962" s="6" t="s">
        <v>791</v>
      </c>
      <c r="C962" s="6" t="s">
        <v>131</v>
      </c>
      <c r="D962" s="6" t="s">
        <v>36</v>
      </c>
      <c r="E962" s="14" t="n">
        <v>554.92</v>
      </c>
      <c r="F962" s="14" t="n">
        <v>1109.84</v>
      </c>
      <c r="G962" s="6" t="s">
        <v>15614</v>
      </c>
    </row>
    <row r="963" customFormat="false" ht="15" hidden="false" customHeight="true" outlineLevel="0" collapsed="false">
      <c r="A963" s="6" t="s">
        <v>16575</v>
      </c>
      <c r="B963" s="6" t="s">
        <v>793</v>
      </c>
      <c r="C963" s="6" t="s">
        <v>128</v>
      </c>
      <c r="D963" s="6" t="s">
        <v>44</v>
      </c>
      <c r="E963" s="14" t="n">
        <v>4639.52</v>
      </c>
      <c r="F963" s="14" t="n">
        <v>4639.52</v>
      </c>
      <c r="G963" s="6" t="s">
        <v>15614</v>
      </c>
    </row>
    <row r="964" customFormat="false" ht="15" hidden="false" customHeight="true" outlineLevel="0" collapsed="false">
      <c r="A964" s="6" t="s">
        <v>16576</v>
      </c>
      <c r="B964" s="6" t="s">
        <v>793</v>
      </c>
      <c r="C964" s="6" t="s">
        <v>128</v>
      </c>
      <c r="D964" s="6" t="s">
        <v>45</v>
      </c>
      <c r="E964" s="14" t="n">
        <v>4639.52</v>
      </c>
      <c r="F964" s="14" t="n">
        <v>9279.04</v>
      </c>
      <c r="G964" s="6" t="s">
        <v>15614</v>
      </c>
    </row>
    <row r="965" customFormat="false" ht="15" hidden="false" customHeight="true" outlineLevel="0" collapsed="false">
      <c r="A965" s="6" t="s">
        <v>16577</v>
      </c>
      <c r="B965" s="6" t="s">
        <v>795</v>
      </c>
      <c r="C965" s="6" t="s">
        <v>124</v>
      </c>
      <c r="D965" s="6" t="s">
        <v>52</v>
      </c>
      <c r="E965" s="14" t="n">
        <v>3579.66</v>
      </c>
      <c r="F965" s="14" t="n">
        <v>3579.66</v>
      </c>
      <c r="G965" s="6" t="s">
        <v>15614</v>
      </c>
    </row>
    <row r="966" customFormat="false" ht="15" hidden="false" customHeight="true" outlineLevel="0" collapsed="false">
      <c r="A966" s="6" t="s">
        <v>16578</v>
      </c>
      <c r="B966" s="6" t="s">
        <v>795</v>
      </c>
      <c r="C966" s="6" t="s">
        <v>124</v>
      </c>
      <c r="D966" s="6" t="s">
        <v>53</v>
      </c>
      <c r="E966" s="14" t="n">
        <v>3579.66</v>
      </c>
      <c r="F966" s="14" t="n">
        <v>7159.32</v>
      </c>
      <c r="G966" s="6" t="s">
        <v>15614</v>
      </c>
    </row>
    <row r="967" customFormat="false" ht="15" hidden="false" customHeight="true" outlineLevel="0" collapsed="false">
      <c r="A967" s="6" t="s">
        <v>16579</v>
      </c>
      <c r="B967" s="6" t="s">
        <v>797</v>
      </c>
      <c r="C967" s="6" t="s">
        <v>124</v>
      </c>
      <c r="D967" s="6" t="s">
        <v>22</v>
      </c>
      <c r="E967" s="14" t="n">
        <v>1651.09</v>
      </c>
      <c r="F967" s="14" t="n">
        <v>1651.09</v>
      </c>
      <c r="G967" s="6" t="s">
        <v>15614</v>
      </c>
    </row>
    <row r="968" customFormat="false" ht="15" hidden="false" customHeight="true" outlineLevel="0" collapsed="false">
      <c r="A968" s="6" t="s">
        <v>16580</v>
      </c>
      <c r="B968" s="6" t="s">
        <v>797</v>
      </c>
      <c r="C968" s="6" t="s">
        <v>124</v>
      </c>
      <c r="D968" s="6" t="s">
        <v>23</v>
      </c>
      <c r="E968" s="14" t="n">
        <v>1651.09</v>
      </c>
      <c r="F968" s="14" t="n">
        <v>3302.18</v>
      </c>
      <c r="G968" s="6" t="s">
        <v>15614</v>
      </c>
    </row>
    <row r="969" customFormat="false" ht="15" hidden="false" customHeight="true" outlineLevel="0" collapsed="false">
      <c r="A969" s="6" t="s">
        <v>16581</v>
      </c>
      <c r="B969" s="6" t="s">
        <v>797</v>
      </c>
      <c r="C969" s="6" t="s">
        <v>124</v>
      </c>
      <c r="D969" s="6" t="s">
        <v>24</v>
      </c>
      <c r="E969" s="14" t="n">
        <v>1651.09</v>
      </c>
      <c r="F969" s="14" t="n">
        <v>4953.27</v>
      </c>
      <c r="G969" s="6" t="s">
        <v>15614</v>
      </c>
    </row>
    <row r="970" customFormat="false" ht="15" hidden="false" customHeight="true" outlineLevel="0" collapsed="false">
      <c r="A970" s="6" t="s">
        <v>16582</v>
      </c>
      <c r="B970" s="6" t="s">
        <v>797</v>
      </c>
      <c r="C970" s="6" t="s">
        <v>124</v>
      </c>
      <c r="D970" s="6" t="s">
        <v>25</v>
      </c>
      <c r="E970" s="14" t="n">
        <v>1651.09</v>
      </c>
      <c r="F970" s="14" t="n">
        <v>6604.36</v>
      </c>
      <c r="G970" s="6" t="s">
        <v>15614</v>
      </c>
    </row>
    <row r="971" customFormat="false" ht="15" hidden="false" customHeight="true" outlineLevel="0" collapsed="false">
      <c r="A971" s="6" t="s">
        <v>16583</v>
      </c>
      <c r="B971" s="6" t="s">
        <v>797</v>
      </c>
      <c r="C971" s="6" t="s">
        <v>124</v>
      </c>
      <c r="D971" s="6" t="s">
        <v>26</v>
      </c>
      <c r="E971" s="14" t="n">
        <v>1651.09</v>
      </c>
      <c r="F971" s="14" t="n">
        <v>8255.45</v>
      </c>
      <c r="G971" s="6" t="s">
        <v>15614</v>
      </c>
    </row>
    <row r="972" customFormat="false" ht="15" hidden="false" customHeight="true" outlineLevel="0" collapsed="false">
      <c r="A972" s="6" t="s">
        <v>16584</v>
      </c>
      <c r="B972" s="6" t="s">
        <v>799</v>
      </c>
      <c r="C972" s="6" t="s">
        <v>116</v>
      </c>
      <c r="D972" s="6" t="s">
        <v>14</v>
      </c>
      <c r="E972" s="14" t="n">
        <v>792.33</v>
      </c>
      <c r="F972" s="14" t="n">
        <v>792.33</v>
      </c>
      <c r="G972" s="6" t="s">
        <v>15614</v>
      </c>
    </row>
    <row r="973" customFormat="false" ht="15" hidden="false" customHeight="true" outlineLevel="0" collapsed="false">
      <c r="A973" s="6" t="s">
        <v>16585</v>
      </c>
      <c r="B973" s="6" t="s">
        <v>799</v>
      </c>
      <c r="C973" s="6" t="s">
        <v>116</v>
      </c>
      <c r="D973" s="6" t="s">
        <v>15</v>
      </c>
      <c r="E973" s="14" t="n">
        <v>792.33</v>
      </c>
      <c r="F973" s="14" t="n">
        <v>1584.66</v>
      </c>
      <c r="G973" s="6" t="s">
        <v>15614</v>
      </c>
    </row>
    <row r="974" customFormat="false" ht="15" hidden="false" customHeight="true" outlineLevel="0" collapsed="false">
      <c r="A974" s="6" t="s">
        <v>16586</v>
      </c>
      <c r="B974" s="6" t="s">
        <v>801</v>
      </c>
      <c r="C974" s="6" t="s">
        <v>128</v>
      </c>
      <c r="D974" s="6" t="s">
        <v>28</v>
      </c>
      <c r="E974" s="14" t="n">
        <v>5974.47</v>
      </c>
      <c r="F974" s="14" t="n">
        <v>5974.47</v>
      </c>
      <c r="G974" s="6" t="s">
        <v>15614</v>
      </c>
    </row>
    <row r="975" customFormat="false" ht="15" hidden="false" customHeight="true" outlineLevel="0" collapsed="false">
      <c r="A975" s="6" t="s">
        <v>16587</v>
      </c>
      <c r="B975" s="6" t="s">
        <v>801</v>
      </c>
      <c r="C975" s="6" t="s">
        <v>128</v>
      </c>
      <c r="D975" s="6" t="s">
        <v>29</v>
      </c>
      <c r="E975" s="14" t="n">
        <v>5974.47</v>
      </c>
      <c r="F975" s="14" t="n">
        <v>11948.94</v>
      </c>
      <c r="G975" s="6" t="s">
        <v>15614</v>
      </c>
    </row>
    <row r="976" customFormat="false" ht="15" hidden="false" customHeight="true" outlineLevel="0" collapsed="false">
      <c r="A976" s="6" t="s">
        <v>16588</v>
      </c>
      <c r="B976" s="6" t="s">
        <v>801</v>
      </c>
      <c r="C976" s="6" t="s">
        <v>128</v>
      </c>
      <c r="D976" s="6" t="s">
        <v>30</v>
      </c>
      <c r="E976" s="14" t="n">
        <v>5974.47</v>
      </c>
      <c r="F976" s="14" t="n">
        <v>17923.41</v>
      </c>
      <c r="G976" s="6" t="s">
        <v>15614</v>
      </c>
    </row>
    <row r="977" customFormat="false" ht="15" hidden="false" customHeight="true" outlineLevel="0" collapsed="false">
      <c r="A977" s="6" t="s">
        <v>16589</v>
      </c>
      <c r="B977" s="6" t="s">
        <v>803</v>
      </c>
      <c r="C977" s="6" t="s">
        <v>112</v>
      </c>
      <c r="D977" s="6" t="s">
        <v>16</v>
      </c>
      <c r="E977" s="14" t="n">
        <v>362.62</v>
      </c>
      <c r="F977" s="14" t="n">
        <v>362.62</v>
      </c>
      <c r="G977" s="6" t="s">
        <v>15614</v>
      </c>
    </row>
    <row r="978" customFormat="false" ht="15" hidden="false" customHeight="true" outlineLevel="0" collapsed="false">
      <c r="A978" s="6" t="s">
        <v>16590</v>
      </c>
      <c r="B978" s="6" t="s">
        <v>803</v>
      </c>
      <c r="C978" s="6" t="s">
        <v>112</v>
      </c>
      <c r="D978" s="6" t="s">
        <v>17</v>
      </c>
      <c r="E978" s="14" t="n">
        <v>362.62</v>
      </c>
      <c r="F978" s="14" t="n">
        <v>725.24</v>
      </c>
      <c r="G978" s="6" t="s">
        <v>15614</v>
      </c>
    </row>
    <row r="979" customFormat="false" ht="15" hidden="false" customHeight="true" outlineLevel="0" collapsed="false">
      <c r="A979" s="6" t="s">
        <v>16591</v>
      </c>
      <c r="B979" s="6" t="s">
        <v>805</v>
      </c>
      <c r="C979" s="6" t="s">
        <v>124</v>
      </c>
      <c r="D979" s="6" t="s">
        <v>52</v>
      </c>
      <c r="E979" s="14" t="n">
        <v>1047.38</v>
      </c>
      <c r="F979" s="14" t="n">
        <v>1047.38</v>
      </c>
      <c r="G979" s="6" t="s">
        <v>15614</v>
      </c>
    </row>
    <row r="980" customFormat="false" ht="15" hidden="false" customHeight="true" outlineLevel="0" collapsed="false">
      <c r="A980" s="6" t="s">
        <v>16592</v>
      </c>
      <c r="B980" s="6" t="s">
        <v>805</v>
      </c>
      <c r="C980" s="6" t="s">
        <v>124</v>
      </c>
      <c r="D980" s="6" t="s">
        <v>53</v>
      </c>
      <c r="E980" s="14" t="n">
        <v>1047.38</v>
      </c>
      <c r="F980" s="14" t="n">
        <v>2094.76</v>
      </c>
      <c r="G980" s="6" t="s">
        <v>15614</v>
      </c>
    </row>
    <row r="981" customFormat="false" ht="15" hidden="false" customHeight="true" outlineLevel="0" collapsed="false">
      <c r="A981" s="6" t="s">
        <v>16593</v>
      </c>
      <c r="B981" s="6" t="s">
        <v>805</v>
      </c>
      <c r="C981" s="6" t="s">
        <v>124</v>
      </c>
      <c r="D981" s="6" t="s">
        <v>54</v>
      </c>
      <c r="E981" s="14" t="n">
        <v>1047.38</v>
      </c>
      <c r="F981" s="14" t="n">
        <v>3142.14</v>
      </c>
      <c r="G981" s="6" t="s">
        <v>15614</v>
      </c>
    </row>
    <row r="982" customFormat="false" ht="15" hidden="false" customHeight="true" outlineLevel="0" collapsed="false">
      <c r="A982" s="6" t="s">
        <v>16594</v>
      </c>
      <c r="B982" s="6" t="s">
        <v>807</v>
      </c>
      <c r="C982" s="6" t="s">
        <v>112</v>
      </c>
      <c r="D982" s="6" t="s">
        <v>27</v>
      </c>
      <c r="E982" s="14" t="n">
        <v>801.02</v>
      </c>
      <c r="F982" s="14" t="n">
        <v>801.02</v>
      </c>
      <c r="G982" s="6" t="s">
        <v>15614</v>
      </c>
    </row>
    <row r="983" customFormat="false" ht="15" hidden="false" customHeight="true" outlineLevel="0" collapsed="false">
      <c r="A983" s="6" t="s">
        <v>16595</v>
      </c>
      <c r="B983" s="6" t="s">
        <v>807</v>
      </c>
      <c r="C983" s="6" t="s">
        <v>112</v>
      </c>
      <c r="D983" s="6" t="s">
        <v>28</v>
      </c>
      <c r="E983" s="14" t="n">
        <v>801.02</v>
      </c>
      <c r="F983" s="14" t="n">
        <v>1602.04</v>
      </c>
      <c r="G983" s="6" t="s">
        <v>15614</v>
      </c>
    </row>
    <row r="984" customFormat="false" ht="15" hidden="false" customHeight="true" outlineLevel="0" collapsed="false">
      <c r="A984" s="6" t="s">
        <v>16596</v>
      </c>
      <c r="B984" s="6" t="s">
        <v>807</v>
      </c>
      <c r="C984" s="6" t="s">
        <v>112</v>
      </c>
      <c r="D984" s="6" t="s">
        <v>29</v>
      </c>
      <c r="E984" s="14" t="n">
        <v>801.02</v>
      </c>
      <c r="F984" s="14" t="n">
        <v>2403.06</v>
      </c>
      <c r="G984" s="6" t="s">
        <v>15614</v>
      </c>
    </row>
    <row r="985" customFormat="false" ht="15" hidden="false" customHeight="true" outlineLevel="0" collapsed="false">
      <c r="A985" s="6" t="s">
        <v>16597</v>
      </c>
      <c r="B985" s="6" t="s">
        <v>807</v>
      </c>
      <c r="C985" s="6" t="s">
        <v>112</v>
      </c>
      <c r="D985" s="6" t="s">
        <v>30</v>
      </c>
      <c r="E985" s="14" t="n">
        <v>801.02</v>
      </c>
      <c r="F985" s="14" t="n">
        <v>3204.08</v>
      </c>
      <c r="G985" s="6" t="s">
        <v>15614</v>
      </c>
    </row>
    <row r="986" customFormat="false" ht="15" hidden="false" customHeight="true" outlineLevel="0" collapsed="false">
      <c r="A986" s="6" t="s">
        <v>16598</v>
      </c>
      <c r="B986" s="6" t="s">
        <v>807</v>
      </c>
      <c r="C986" s="6" t="s">
        <v>112</v>
      </c>
      <c r="D986" s="6" t="s">
        <v>31</v>
      </c>
      <c r="E986" s="14" t="n">
        <v>801.02</v>
      </c>
      <c r="F986" s="14" t="n">
        <v>4005.1</v>
      </c>
      <c r="G986" s="6" t="s">
        <v>15614</v>
      </c>
    </row>
    <row r="987" customFormat="false" ht="15" hidden="false" customHeight="true" outlineLevel="0" collapsed="false">
      <c r="A987" s="6" t="s">
        <v>16599</v>
      </c>
      <c r="B987" s="6" t="s">
        <v>807</v>
      </c>
      <c r="C987" s="6" t="s">
        <v>112</v>
      </c>
      <c r="D987" s="6" t="s">
        <v>32</v>
      </c>
      <c r="E987" s="14" t="n">
        <v>801.02</v>
      </c>
      <c r="F987" s="14" t="n">
        <v>4806.12</v>
      </c>
      <c r="G987" s="6" t="s">
        <v>15614</v>
      </c>
    </row>
    <row r="988" customFormat="false" ht="15" hidden="false" customHeight="true" outlineLevel="0" collapsed="false">
      <c r="A988" s="6" t="s">
        <v>16600</v>
      </c>
      <c r="B988" s="6" t="s">
        <v>809</v>
      </c>
      <c r="C988" s="6" t="s">
        <v>112</v>
      </c>
      <c r="D988" s="6" t="s">
        <v>12</v>
      </c>
      <c r="E988" s="14" t="n">
        <v>956.6</v>
      </c>
      <c r="F988" s="14" t="n">
        <v>956.6</v>
      </c>
      <c r="G988" s="6" t="s">
        <v>15614</v>
      </c>
    </row>
    <row r="989" customFormat="false" ht="15" hidden="false" customHeight="true" outlineLevel="0" collapsed="false">
      <c r="A989" s="6" t="s">
        <v>16601</v>
      </c>
      <c r="B989" s="6" t="s">
        <v>809</v>
      </c>
      <c r="C989" s="6" t="s">
        <v>112</v>
      </c>
      <c r="D989" s="6" t="s">
        <v>13</v>
      </c>
      <c r="E989" s="14" t="n">
        <v>956.6</v>
      </c>
      <c r="F989" s="14" t="n">
        <v>1913.2</v>
      </c>
      <c r="G989" s="6" t="s">
        <v>15614</v>
      </c>
    </row>
    <row r="990" customFormat="false" ht="15" hidden="false" customHeight="true" outlineLevel="0" collapsed="false">
      <c r="A990" s="6" t="s">
        <v>16602</v>
      </c>
      <c r="B990" s="6" t="s">
        <v>809</v>
      </c>
      <c r="C990" s="6" t="s">
        <v>112</v>
      </c>
      <c r="D990" s="6" t="s">
        <v>14</v>
      </c>
      <c r="E990" s="14" t="n">
        <v>956.6</v>
      </c>
      <c r="F990" s="14" t="n">
        <v>2869.8</v>
      </c>
      <c r="G990" s="6" t="s">
        <v>15614</v>
      </c>
    </row>
    <row r="991" customFormat="false" ht="15" hidden="false" customHeight="true" outlineLevel="0" collapsed="false">
      <c r="A991" s="6" t="s">
        <v>16603</v>
      </c>
      <c r="B991" s="6" t="s">
        <v>811</v>
      </c>
      <c r="C991" s="6" t="s">
        <v>131</v>
      </c>
      <c r="D991" s="6" t="s">
        <v>19</v>
      </c>
      <c r="E991" s="14" t="n">
        <v>2231.61</v>
      </c>
      <c r="F991" s="14" t="n">
        <v>2231.61</v>
      </c>
      <c r="G991" s="6" t="s">
        <v>15614</v>
      </c>
    </row>
    <row r="992" customFormat="false" ht="15" hidden="false" customHeight="true" outlineLevel="0" collapsed="false">
      <c r="A992" s="6" t="s">
        <v>16604</v>
      </c>
      <c r="B992" s="6" t="s">
        <v>811</v>
      </c>
      <c r="C992" s="6" t="s">
        <v>131</v>
      </c>
      <c r="D992" s="6" t="s">
        <v>20</v>
      </c>
      <c r="E992" s="14" t="n">
        <v>2231.61</v>
      </c>
      <c r="F992" s="14" t="n">
        <v>4463.22</v>
      </c>
      <c r="G992" s="6" t="s">
        <v>15614</v>
      </c>
    </row>
    <row r="993" customFormat="false" ht="15" hidden="false" customHeight="true" outlineLevel="0" collapsed="false">
      <c r="A993" s="6" t="s">
        <v>16605</v>
      </c>
      <c r="B993" s="6" t="s">
        <v>813</v>
      </c>
      <c r="C993" s="6" t="s">
        <v>120</v>
      </c>
      <c r="D993" s="6" t="s">
        <v>16</v>
      </c>
      <c r="E993" s="14" t="n">
        <v>810.61</v>
      </c>
      <c r="F993" s="14" t="n">
        <v>810.61</v>
      </c>
      <c r="G993" s="6" t="s">
        <v>15614</v>
      </c>
    </row>
    <row r="994" customFormat="false" ht="15" hidden="false" customHeight="true" outlineLevel="0" collapsed="false">
      <c r="A994" s="6" t="s">
        <v>16606</v>
      </c>
      <c r="B994" s="6" t="s">
        <v>813</v>
      </c>
      <c r="C994" s="6" t="s">
        <v>120</v>
      </c>
      <c r="D994" s="6" t="s">
        <v>17</v>
      </c>
      <c r="E994" s="14" t="n">
        <v>810.61</v>
      </c>
      <c r="F994" s="14" t="n">
        <v>1621.22</v>
      </c>
      <c r="G994" s="6" t="s">
        <v>15614</v>
      </c>
    </row>
    <row r="995" customFormat="false" ht="15" hidden="false" customHeight="true" outlineLevel="0" collapsed="false">
      <c r="A995" s="6" t="s">
        <v>16607</v>
      </c>
      <c r="B995" s="6" t="s">
        <v>813</v>
      </c>
      <c r="C995" s="6" t="s">
        <v>120</v>
      </c>
      <c r="D995" s="6" t="s">
        <v>18</v>
      </c>
      <c r="E995" s="14" t="n">
        <v>810.61</v>
      </c>
      <c r="F995" s="14" t="n">
        <v>2431.83</v>
      </c>
      <c r="G995" s="6" t="s">
        <v>15614</v>
      </c>
    </row>
    <row r="996" customFormat="false" ht="15" hidden="false" customHeight="true" outlineLevel="0" collapsed="false">
      <c r="A996" s="6" t="s">
        <v>16608</v>
      </c>
      <c r="B996" s="6" t="s">
        <v>813</v>
      </c>
      <c r="C996" s="6" t="s">
        <v>120</v>
      </c>
      <c r="D996" s="6" t="s">
        <v>19</v>
      </c>
      <c r="E996" s="14" t="n">
        <v>810.61</v>
      </c>
      <c r="F996" s="14" t="n">
        <v>3242.44</v>
      </c>
      <c r="G996" s="6" t="s">
        <v>15614</v>
      </c>
    </row>
    <row r="997" customFormat="false" ht="15" hidden="false" customHeight="true" outlineLevel="0" collapsed="false">
      <c r="A997" s="6" t="s">
        <v>16609</v>
      </c>
      <c r="B997" s="6" t="s">
        <v>813</v>
      </c>
      <c r="C997" s="6" t="s">
        <v>120</v>
      </c>
      <c r="D997" s="6" t="s">
        <v>20</v>
      </c>
      <c r="E997" s="14" t="n">
        <v>810.61</v>
      </c>
      <c r="F997" s="14" t="n">
        <v>4053.05</v>
      </c>
      <c r="G997" s="6" t="s">
        <v>15614</v>
      </c>
    </row>
    <row r="998" customFormat="false" ht="15" hidden="false" customHeight="true" outlineLevel="0" collapsed="false">
      <c r="A998" s="6" t="s">
        <v>16610</v>
      </c>
      <c r="B998" s="6" t="s">
        <v>813</v>
      </c>
      <c r="C998" s="6" t="s">
        <v>120</v>
      </c>
      <c r="D998" s="6" t="s">
        <v>21</v>
      </c>
      <c r="E998" s="14" t="n">
        <v>810.61</v>
      </c>
      <c r="F998" s="14" t="n">
        <v>4863.66</v>
      </c>
      <c r="G998" s="6" t="s">
        <v>15614</v>
      </c>
    </row>
    <row r="999" customFormat="false" ht="15" hidden="false" customHeight="true" outlineLevel="0" collapsed="false">
      <c r="A999" s="6" t="s">
        <v>16611</v>
      </c>
      <c r="B999" s="6" t="s">
        <v>815</v>
      </c>
      <c r="C999" s="6" t="s">
        <v>116</v>
      </c>
      <c r="D999" s="6" t="s">
        <v>45</v>
      </c>
      <c r="E999" s="14" t="n">
        <v>1901.54</v>
      </c>
      <c r="F999" s="14" t="n">
        <v>1901.54</v>
      </c>
      <c r="G999" s="6" t="s">
        <v>15614</v>
      </c>
    </row>
    <row r="1000" customFormat="false" ht="15" hidden="false" customHeight="true" outlineLevel="0" collapsed="false">
      <c r="A1000" s="6" t="s">
        <v>16612</v>
      </c>
      <c r="B1000" s="6" t="s">
        <v>815</v>
      </c>
      <c r="C1000" s="6" t="s">
        <v>116</v>
      </c>
      <c r="D1000" s="6" t="s">
        <v>46</v>
      </c>
      <c r="E1000" s="14" t="n">
        <v>1901.54</v>
      </c>
      <c r="F1000" s="14" t="n">
        <v>3803.08</v>
      </c>
      <c r="G1000" s="6" t="s">
        <v>15614</v>
      </c>
    </row>
    <row r="1001" customFormat="false" ht="15" hidden="false" customHeight="true" outlineLevel="0" collapsed="false">
      <c r="A1001" s="6" t="s">
        <v>16613</v>
      </c>
      <c r="B1001" s="6" t="s">
        <v>815</v>
      </c>
      <c r="C1001" s="6" t="s">
        <v>116</v>
      </c>
      <c r="D1001" s="6" t="s">
        <v>47</v>
      </c>
      <c r="E1001" s="14" t="n">
        <v>1901.54</v>
      </c>
      <c r="F1001" s="14" t="n">
        <v>5704.62</v>
      </c>
      <c r="G1001" s="6" t="s">
        <v>15614</v>
      </c>
    </row>
    <row r="1002" customFormat="false" ht="15" hidden="false" customHeight="true" outlineLevel="0" collapsed="false">
      <c r="A1002" s="6" t="s">
        <v>16614</v>
      </c>
      <c r="B1002" s="6" t="s">
        <v>817</v>
      </c>
      <c r="C1002" s="6" t="s">
        <v>128</v>
      </c>
      <c r="D1002" s="6" t="s">
        <v>32</v>
      </c>
      <c r="E1002" s="14" t="n">
        <v>1442.83</v>
      </c>
      <c r="F1002" s="14" t="n">
        <v>1442.83</v>
      </c>
      <c r="G1002" s="6" t="s">
        <v>15614</v>
      </c>
    </row>
    <row r="1003" customFormat="false" ht="15" hidden="false" customHeight="true" outlineLevel="0" collapsed="false">
      <c r="A1003" s="6" t="s">
        <v>16615</v>
      </c>
      <c r="B1003" s="6" t="s">
        <v>819</v>
      </c>
      <c r="C1003" s="6" t="s">
        <v>131</v>
      </c>
      <c r="D1003" s="6" t="s">
        <v>49</v>
      </c>
      <c r="E1003" s="14" t="n">
        <v>430.17</v>
      </c>
      <c r="F1003" s="14" t="n">
        <v>430.17</v>
      </c>
      <c r="G1003" s="6" t="s">
        <v>15614</v>
      </c>
    </row>
    <row r="1004" customFormat="false" ht="15" hidden="false" customHeight="true" outlineLevel="0" collapsed="false">
      <c r="A1004" s="6" t="s">
        <v>16616</v>
      </c>
      <c r="B1004" s="6" t="s">
        <v>819</v>
      </c>
      <c r="C1004" s="6" t="s">
        <v>131</v>
      </c>
      <c r="D1004" s="6" t="s">
        <v>50</v>
      </c>
      <c r="E1004" s="14" t="n">
        <v>430.17</v>
      </c>
      <c r="F1004" s="14" t="n">
        <v>860.34</v>
      </c>
      <c r="G1004" s="6" t="s">
        <v>15614</v>
      </c>
    </row>
    <row r="1005" customFormat="false" ht="15" hidden="false" customHeight="true" outlineLevel="0" collapsed="false">
      <c r="A1005" s="6" t="s">
        <v>16617</v>
      </c>
      <c r="B1005" s="6" t="s">
        <v>819</v>
      </c>
      <c r="C1005" s="6" t="s">
        <v>131</v>
      </c>
      <c r="D1005" s="6" t="s">
        <v>51</v>
      </c>
      <c r="E1005" s="14" t="n">
        <v>430.17</v>
      </c>
      <c r="F1005" s="14" t="n">
        <v>1290.51</v>
      </c>
      <c r="G1005" s="6" t="s">
        <v>15614</v>
      </c>
    </row>
    <row r="1006" customFormat="false" ht="15" hidden="false" customHeight="true" outlineLevel="0" collapsed="false">
      <c r="A1006" s="6" t="s">
        <v>16618</v>
      </c>
      <c r="B1006" s="6" t="s">
        <v>819</v>
      </c>
      <c r="C1006" s="6" t="s">
        <v>131</v>
      </c>
      <c r="D1006" s="6" t="s">
        <v>52</v>
      </c>
      <c r="E1006" s="14" t="n">
        <v>430.17</v>
      </c>
      <c r="F1006" s="14" t="n">
        <v>1720.68</v>
      </c>
      <c r="G1006" s="6" t="s">
        <v>15614</v>
      </c>
    </row>
    <row r="1007" customFormat="false" ht="15" hidden="false" customHeight="true" outlineLevel="0" collapsed="false">
      <c r="A1007" s="6" t="s">
        <v>16619</v>
      </c>
      <c r="B1007" s="6" t="s">
        <v>821</v>
      </c>
      <c r="C1007" s="6" t="s">
        <v>128</v>
      </c>
      <c r="D1007" s="6" t="s">
        <v>52</v>
      </c>
      <c r="E1007" s="14" t="n">
        <v>2425.03</v>
      </c>
      <c r="F1007" s="14" t="n">
        <v>2425.03</v>
      </c>
      <c r="G1007" s="6" t="s">
        <v>15614</v>
      </c>
    </row>
    <row r="1008" customFormat="false" ht="15" hidden="false" customHeight="true" outlineLevel="0" collapsed="false">
      <c r="A1008" s="6" t="s">
        <v>16620</v>
      </c>
      <c r="B1008" s="6" t="s">
        <v>821</v>
      </c>
      <c r="C1008" s="6" t="s">
        <v>128</v>
      </c>
      <c r="D1008" s="6" t="s">
        <v>53</v>
      </c>
      <c r="E1008" s="14" t="n">
        <v>2425.03</v>
      </c>
      <c r="F1008" s="14" t="n">
        <v>4850.06</v>
      </c>
      <c r="G1008" s="6" t="s">
        <v>15614</v>
      </c>
    </row>
    <row r="1009" customFormat="false" ht="15" hidden="false" customHeight="true" outlineLevel="0" collapsed="false">
      <c r="A1009" s="6" t="s">
        <v>16621</v>
      </c>
      <c r="B1009" s="6" t="s">
        <v>823</v>
      </c>
      <c r="C1009" s="6" t="s">
        <v>112</v>
      </c>
      <c r="D1009" s="6" t="s">
        <v>49</v>
      </c>
      <c r="E1009" s="14" t="n">
        <v>1160.97</v>
      </c>
      <c r="F1009" s="14" t="n">
        <v>1160.97</v>
      </c>
      <c r="G1009" s="6" t="s">
        <v>15614</v>
      </c>
    </row>
    <row r="1010" customFormat="false" ht="15" hidden="false" customHeight="true" outlineLevel="0" collapsed="false">
      <c r="A1010" s="6" t="s">
        <v>16622</v>
      </c>
      <c r="B1010" s="6" t="s">
        <v>823</v>
      </c>
      <c r="C1010" s="6" t="s">
        <v>112</v>
      </c>
      <c r="D1010" s="6" t="s">
        <v>49</v>
      </c>
      <c r="E1010" s="14" t="n">
        <v>1160.97</v>
      </c>
      <c r="F1010" s="14" t="n">
        <v>2321.94</v>
      </c>
      <c r="G1010" s="6" t="s">
        <v>15614</v>
      </c>
    </row>
    <row r="1011" customFormat="false" ht="15" hidden="false" customHeight="true" outlineLevel="0" collapsed="false">
      <c r="A1011" s="6" t="s">
        <v>16623</v>
      </c>
      <c r="B1011" s="6" t="s">
        <v>823</v>
      </c>
      <c r="C1011" s="6" t="s">
        <v>112</v>
      </c>
      <c r="D1011" s="6" t="s">
        <v>50</v>
      </c>
      <c r="E1011" s="14" t="n">
        <v>1160.97</v>
      </c>
      <c r="F1011" s="14" t="n">
        <v>3482.91</v>
      </c>
      <c r="G1011" s="6" t="s">
        <v>15614</v>
      </c>
    </row>
    <row r="1012" customFormat="false" ht="15" hidden="false" customHeight="true" outlineLevel="0" collapsed="false">
      <c r="A1012" s="6" t="s">
        <v>16624</v>
      </c>
      <c r="B1012" s="6" t="s">
        <v>823</v>
      </c>
      <c r="C1012" s="6" t="s">
        <v>112</v>
      </c>
      <c r="D1012" s="6" t="s">
        <v>51</v>
      </c>
      <c r="E1012" s="14" t="n">
        <v>1160.97</v>
      </c>
      <c r="F1012" s="14" t="n">
        <v>4643.88</v>
      </c>
      <c r="G1012" s="6" t="s">
        <v>15614</v>
      </c>
    </row>
    <row r="1013" customFormat="false" ht="15" hidden="false" customHeight="true" outlineLevel="0" collapsed="false">
      <c r="A1013" s="6" t="s">
        <v>16625</v>
      </c>
      <c r="B1013" s="6" t="s">
        <v>825</v>
      </c>
      <c r="C1013" s="6" t="s">
        <v>112</v>
      </c>
      <c r="D1013" s="6" t="s">
        <v>24</v>
      </c>
      <c r="E1013" s="14" t="n">
        <v>893.3</v>
      </c>
      <c r="F1013" s="14" t="n">
        <v>893.3</v>
      </c>
      <c r="G1013" s="6" t="s">
        <v>15614</v>
      </c>
    </row>
    <row r="1014" customFormat="false" ht="15" hidden="false" customHeight="true" outlineLevel="0" collapsed="false">
      <c r="A1014" s="6" t="s">
        <v>16626</v>
      </c>
      <c r="B1014" s="6" t="s">
        <v>825</v>
      </c>
      <c r="C1014" s="6" t="s">
        <v>112</v>
      </c>
      <c r="D1014" s="6" t="s">
        <v>25</v>
      </c>
      <c r="E1014" s="14" t="n">
        <v>893.3</v>
      </c>
      <c r="F1014" s="14" t="n">
        <v>1786.6</v>
      </c>
      <c r="G1014" s="6" t="s">
        <v>15614</v>
      </c>
    </row>
    <row r="1015" customFormat="false" ht="15" hidden="false" customHeight="true" outlineLevel="0" collapsed="false">
      <c r="A1015" s="6" t="s">
        <v>16627</v>
      </c>
      <c r="B1015" s="6" t="s">
        <v>827</v>
      </c>
      <c r="C1015" s="6" t="s">
        <v>120</v>
      </c>
      <c r="D1015" s="6" t="s">
        <v>45</v>
      </c>
      <c r="E1015" s="14" t="n">
        <v>3050.6</v>
      </c>
      <c r="F1015" s="14" t="n">
        <v>3050.6</v>
      </c>
      <c r="G1015" s="6" t="s">
        <v>15614</v>
      </c>
    </row>
    <row r="1016" customFormat="false" ht="15" hidden="false" customHeight="true" outlineLevel="0" collapsed="false">
      <c r="A1016" s="6" t="s">
        <v>16628</v>
      </c>
      <c r="B1016" s="6" t="s">
        <v>827</v>
      </c>
      <c r="C1016" s="6" t="s">
        <v>120</v>
      </c>
      <c r="D1016" s="6" t="s">
        <v>46</v>
      </c>
      <c r="E1016" s="14" t="n">
        <v>3050.6</v>
      </c>
      <c r="F1016" s="14" t="n">
        <v>6101.2</v>
      </c>
      <c r="G1016" s="6" t="s">
        <v>15614</v>
      </c>
    </row>
    <row r="1017" customFormat="false" ht="15" hidden="false" customHeight="true" outlineLevel="0" collapsed="false">
      <c r="A1017" s="6" t="s">
        <v>16629</v>
      </c>
      <c r="B1017" s="6" t="s">
        <v>829</v>
      </c>
      <c r="C1017" s="6" t="s">
        <v>131</v>
      </c>
      <c r="D1017" s="6" t="s">
        <v>60</v>
      </c>
      <c r="E1017" s="14" t="n">
        <v>1054.03</v>
      </c>
      <c r="F1017" s="14" t="n">
        <v>1054.03</v>
      </c>
      <c r="G1017" s="6" t="s">
        <v>15614</v>
      </c>
    </row>
    <row r="1018" customFormat="false" ht="15" hidden="false" customHeight="true" outlineLevel="0" collapsed="false">
      <c r="A1018" s="6" t="s">
        <v>16630</v>
      </c>
      <c r="B1018" s="6" t="s">
        <v>829</v>
      </c>
      <c r="C1018" s="6" t="s">
        <v>131</v>
      </c>
      <c r="D1018" s="6" t="s">
        <v>61</v>
      </c>
      <c r="E1018" s="14" t="n">
        <v>1054.03</v>
      </c>
      <c r="F1018" s="14" t="n">
        <v>2108.06</v>
      </c>
      <c r="G1018" s="6" t="s">
        <v>15614</v>
      </c>
    </row>
    <row r="1019" customFormat="false" ht="15" hidden="false" customHeight="true" outlineLevel="0" collapsed="false">
      <c r="A1019" s="6" t="s">
        <v>16631</v>
      </c>
      <c r="B1019" s="6" t="s">
        <v>831</v>
      </c>
      <c r="C1019" s="6" t="s">
        <v>112</v>
      </c>
      <c r="D1019" s="6" t="s">
        <v>26</v>
      </c>
      <c r="E1019" s="14" t="n">
        <v>1339.51</v>
      </c>
      <c r="F1019" s="14" t="n">
        <v>1339.51</v>
      </c>
      <c r="G1019" s="6" t="s">
        <v>15614</v>
      </c>
    </row>
    <row r="1020" customFormat="false" ht="15" hidden="false" customHeight="true" outlineLevel="0" collapsed="false">
      <c r="A1020" s="6" t="s">
        <v>16632</v>
      </c>
      <c r="B1020" s="6" t="s">
        <v>831</v>
      </c>
      <c r="C1020" s="6" t="s">
        <v>112</v>
      </c>
      <c r="D1020" s="6" t="s">
        <v>27</v>
      </c>
      <c r="E1020" s="14" t="n">
        <v>1339.51</v>
      </c>
      <c r="F1020" s="14" t="n">
        <v>2679.02</v>
      </c>
      <c r="G1020" s="6" t="s">
        <v>15614</v>
      </c>
    </row>
    <row r="1021" customFormat="false" ht="15" hidden="false" customHeight="true" outlineLevel="0" collapsed="false">
      <c r="A1021" s="6" t="s">
        <v>16633</v>
      </c>
      <c r="B1021" s="6" t="s">
        <v>831</v>
      </c>
      <c r="C1021" s="6" t="s">
        <v>112</v>
      </c>
      <c r="D1021" s="6" t="s">
        <v>28</v>
      </c>
      <c r="E1021" s="14" t="n">
        <v>1339.51</v>
      </c>
      <c r="F1021" s="14" t="n">
        <v>4018.53</v>
      </c>
      <c r="G1021" s="6" t="s">
        <v>15614</v>
      </c>
    </row>
    <row r="1022" customFormat="false" ht="15" hidden="false" customHeight="true" outlineLevel="0" collapsed="false">
      <c r="A1022" s="6" t="s">
        <v>16634</v>
      </c>
      <c r="B1022" s="6" t="s">
        <v>831</v>
      </c>
      <c r="C1022" s="6" t="s">
        <v>112</v>
      </c>
      <c r="D1022" s="6" t="s">
        <v>29</v>
      </c>
      <c r="E1022" s="14" t="n">
        <v>1339.51</v>
      </c>
      <c r="F1022" s="14" t="n">
        <v>5358.04</v>
      </c>
      <c r="G1022" s="6" t="s">
        <v>15614</v>
      </c>
    </row>
    <row r="1023" customFormat="false" ht="15" hidden="false" customHeight="true" outlineLevel="0" collapsed="false">
      <c r="A1023" s="6" t="s">
        <v>16635</v>
      </c>
      <c r="B1023" s="6" t="s">
        <v>833</v>
      </c>
      <c r="C1023" s="6" t="s">
        <v>124</v>
      </c>
      <c r="D1023" s="6" t="s">
        <v>43</v>
      </c>
      <c r="E1023" s="14" t="n">
        <v>1367.23</v>
      </c>
      <c r="F1023" s="14" t="n">
        <v>1367.23</v>
      </c>
      <c r="G1023" s="6" t="s">
        <v>15614</v>
      </c>
    </row>
    <row r="1024" customFormat="false" ht="15" hidden="false" customHeight="true" outlineLevel="0" collapsed="false">
      <c r="A1024" s="6" t="s">
        <v>16636</v>
      </c>
      <c r="B1024" s="6" t="s">
        <v>833</v>
      </c>
      <c r="C1024" s="6" t="s">
        <v>124</v>
      </c>
      <c r="D1024" s="6" t="s">
        <v>44</v>
      </c>
      <c r="E1024" s="14" t="n">
        <v>1367.23</v>
      </c>
      <c r="F1024" s="14" t="n">
        <v>2734.46</v>
      </c>
      <c r="G1024" s="6" t="s">
        <v>15614</v>
      </c>
    </row>
    <row r="1025" customFormat="false" ht="15" hidden="false" customHeight="true" outlineLevel="0" collapsed="false">
      <c r="A1025" s="6" t="s">
        <v>16637</v>
      </c>
      <c r="B1025" s="6" t="s">
        <v>833</v>
      </c>
      <c r="C1025" s="6" t="s">
        <v>124</v>
      </c>
      <c r="D1025" s="6" t="s">
        <v>45</v>
      </c>
      <c r="E1025" s="14" t="n">
        <v>1367.23</v>
      </c>
      <c r="F1025" s="14" t="n">
        <v>4101.69</v>
      </c>
      <c r="G1025" s="6" t="s">
        <v>15614</v>
      </c>
    </row>
    <row r="1026" customFormat="false" ht="15" hidden="false" customHeight="true" outlineLevel="0" collapsed="false">
      <c r="A1026" s="6" t="s">
        <v>16638</v>
      </c>
      <c r="B1026" s="6" t="s">
        <v>833</v>
      </c>
      <c r="C1026" s="6" t="s">
        <v>124</v>
      </c>
      <c r="D1026" s="6" t="s">
        <v>46</v>
      </c>
      <c r="E1026" s="14" t="n">
        <v>1367.23</v>
      </c>
      <c r="F1026" s="14" t="n">
        <v>5468.92</v>
      </c>
      <c r="G1026" s="6" t="s">
        <v>15614</v>
      </c>
    </row>
    <row r="1027" customFormat="false" ht="15" hidden="false" customHeight="true" outlineLevel="0" collapsed="false">
      <c r="A1027" s="6" t="s">
        <v>16639</v>
      </c>
      <c r="B1027" s="6" t="s">
        <v>833</v>
      </c>
      <c r="C1027" s="6" t="s">
        <v>124</v>
      </c>
      <c r="D1027" s="6" t="s">
        <v>47</v>
      </c>
      <c r="E1027" s="14" t="n">
        <v>1367.23</v>
      </c>
      <c r="F1027" s="14" t="n">
        <v>6836.15</v>
      </c>
      <c r="G1027" s="6" t="s">
        <v>15614</v>
      </c>
    </row>
    <row r="1028" customFormat="false" ht="15" hidden="false" customHeight="true" outlineLevel="0" collapsed="false">
      <c r="A1028" s="6" t="s">
        <v>16640</v>
      </c>
      <c r="B1028" s="6" t="s">
        <v>833</v>
      </c>
      <c r="C1028" s="6" t="s">
        <v>124</v>
      </c>
      <c r="D1028" s="6" t="s">
        <v>48</v>
      </c>
      <c r="E1028" s="14" t="n">
        <v>1367.23</v>
      </c>
      <c r="F1028" s="14" t="n">
        <v>8203.38</v>
      </c>
      <c r="G1028" s="6" t="s">
        <v>15614</v>
      </c>
    </row>
    <row r="1029" customFormat="false" ht="15" hidden="false" customHeight="true" outlineLevel="0" collapsed="false">
      <c r="A1029" s="6" t="s">
        <v>16641</v>
      </c>
      <c r="B1029" s="6" t="s">
        <v>833</v>
      </c>
      <c r="C1029" s="6" t="s">
        <v>124</v>
      </c>
      <c r="D1029" s="6" t="s">
        <v>49</v>
      </c>
      <c r="E1029" s="14" t="n">
        <v>1367.23</v>
      </c>
      <c r="F1029" s="14" t="n">
        <v>9570.61</v>
      </c>
      <c r="G1029" s="6" t="s">
        <v>15614</v>
      </c>
    </row>
    <row r="1030" customFormat="false" ht="15" hidden="false" customHeight="true" outlineLevel="0" collapsed="false">
      <c r="A1030" s="6" t="s">
        <v>16642</v>
      </c>
      <c r="B1030" s="6" t="s">
        <v>835</v>
      </c>
      <c r="C1030" s="6" t="s">
        <v>116</v>
      </c>
      <c r="D1030" s="6" t="s">
        <v>19</v>
      </c>
      <c r="E1030" s="14" t="n">
        <v>292</v>
      </c>
      <c r="F1030" s="14" t="n">
        <v>292</v>
      </c>
      <c r="G1030" s="6" t="s">
        <v>15614</v>
      </c>
    </row>
    <row r="1031" customFormat="false" ht="15" hidden="false" customHeight="true" outlineLevel="0" collapsed="false">
      <c r="A1031" s="6" t="s">
        <v>16643</v>
      </c>
      <c r="B1031" s="6" t="s">
        <v>835</v>
      </c>
      <c r="C1031" s="6" t="s">
        <v>116</v>
      </c>
      <c r="D1031" s="6" t="s">
        <v>20</v>
      </c>
      <c r="E1031" s="14" t="n">
        <v>292</v>
      </c>
      <c r="F1031" s="14" t="n">
        <v>584</v>
      </c>
      <c r="G1031" s="6" t="s">
        <v>15614</v>
      </c>
    </row>
    <row r="1032" customFormat="false" ht="15" hidden="false" customHeight="true" outlineLevel="0" collapsed="false">
      <c r="A1032" s="6" t="s">
        <v>16644</v>
      </c>
      <c r="B1032" s="6" t="s">
        <v>837</v>
      </c>
      <c r="C1032" s="6" t="s">
        <v>120</v>
      </c>
      <c r="D1032" s="6" t="s">
        <v>17</v>
      </c>
      <c r="E1032" s="14" t="n">
        <v>2471.31</v>
      </c>
      <c r="F1032" s="14" t="n">
        <v>2471.31</v>
      </c>
      <c r="G1032" s="6" t="s">
        <v>15614</v>
      </c>
    </row>
    <row r="1033" customFormat="false" ht="15" hidden="false" customHeight="true" outlineLevel="0" collapsed="false">
      <c r="A1033" s="6" t="s">
        <v>16645</v>
      </c>
      <c r="B1033" s="6" t="s">
        <v>837</v>
      </c>
      <c r="C1033" s="6" t="s">
        <v>120</v>
      </c>
      <c r="D1033" s="6" t="s">
        <v>18</v>
      </c>
      <c r="E1033" s="14" t="n">
        <v>2471.31</v>
      </c>
      <c r="F1033" s="14" t="n">
        <v>4942.62</v>
      </c>
      <c r="G1033" s="6" t="s">
        <v>15614</v>
      </c>
    </row>
    <row r="1034" customFormat="false" ht="15" hidden="false" customHeight="true" outlineLevel="0" collapsed="false">
      <c r="A1034" s="6" t="s">
        <v>16646</v>
      </c>
      <c r="B1034" s="6" t="s">
        <v>837</v>
      </c>
      <c r="C1034" s="6" t="s">
        <v>120</v>
      </c>
      <c r="D1034" s="6" t="s">
        <v>19</v>
      </c>
      <c r="E1034" s="14" t="n">
        <v>2471.31</v>
      </c>
      <c r="F1034" s="14" t="n">
        <v>7413.93</v>
      </c>
      <c r="G1034" s="6" t="s">
        <v>15614</v>
      </c>
    </row>
    <row r="1035" customFormat="false" ht="15" hidden="false" customHeight="true" outlineLevel="0" collapsed="false">
      <c r="A1035" s="6" t="s">
        <v>16647</v>
      </c>
      <c r="B1035" s="6" t="s">
        <v>839</v>
      </c>
      <c r="C1035" s="6" t="s">
        <v>128</v>
      </c>
      <c r="D1035" s="6" t="s">
        <v>62</v>
      </c>
      <c r="E1035" s="14" t="n">
        <v>6287.98</v>
      </c>
      <c r="F1035" s="14" t="n">
        <v>6287.98</v>
      </c>
      <c r="G1035" s="6" t="s">
        <v>15614</v>
      </c>
    </row>
    <row r="1036" customFormat="false" ht="15" hidden="false" customHeight="true" outlineLevel="0" collapsed="false">
      <c r="A1036" s="6" t="s">
        <v>16648</v>
      </c>
      <c r="B1036" s="6" t="s">
        <v>839</v>
      </c>
      <c r="C1036" s="6" t="s">
        <v>128</v>
      </c>
      <c r="D1036" s="6" t="s">
        <v>63</v>
      </c>
      <c r="E1036" s="14" t="n">
        <v>6287.98</v>
      </c>
      <c r="F1036" s="14" t="n">
        <v>12575.96</v>
      </c>
      <c r="G1036" s="6" t="s">
        <v>15614</v>
      </c>
    </row>
    <row r="1037" customFormat="false" ht="15" hidden="false" customHeight="true" outlineLevel="0" collapsed="false">
      <c r="A1037" s="6" t="s">
        <v>16649</v>
      </c>
      <c r="B1037" s="6" t="s">
        <v>841</v>
      </c>
      <c r="C1037" s="6" t="s">
        <v>131</v>
      </c>
      <c r="D1037" s="6" t="s">
        <v>45</v>
      </c>
      <c r="E1037" s="14" t="n">
        <v>675.19</v>
      </c>
      <c r="F1037" s="14" t="n">
        <v>675.19</v>
      </c>
      <c r="G1037" s="6" t="s">
        <v>15614</v>
      </c>
    </row>
    <row r="1038" customFormat="false" ht="15" hidden="false" customHeight="true" outlineLevel="0" collapsed="false">
      <c r="A1038" s="6" t="s">
        <v>16650</v>
      </c>
      <c r="B1038" s="6" t="s">
        <v>843</v>
      </c>
      <c r="C1038" s="6" t="s">
        <v>124</v>
      </c>
      <c r="D1038" s="6" t="s">
        <v>56</v>
      </c>
      <c r="E1038" s="14" t="n">
        <v>1993.06</v>
      </c>
      <c r="F1038" s="14" t="n">
        <v>1993.06</v>
      </c>
      <c r="G1038" s="6" t="s">
        <v>15614</v>
      </c>
    </row>
    <row r="1039" customFormat="false" ht="15" hidden="false" customHeight="true" outlineLevel="0" collapsed="false">
      <c r="A1039" s="6" t="s">
        <v>16651</v>
      </c>
      <c r="B1039" s="6" t="s">
        <v>843</v>
      </c>
      <c r="C1039" s="6" t="s">
        <v>124</v>
      </c>
      <c r="D1039" s="6" t="s">
        <v>57</v>
      </c>
      <c r="E1039" s="14" t="n">
        <v>1993.06</v>
      </c>
      <c r="F1039" s="14" t="n">
        <v>3986.12</v>
      </c>
      <c r="G1039" s="6" t="s">
        <v>15614</v>
      </c>
    </row>
    <row r="1040" customFormat="false" ht="15" hidden="false" customHeight="true" outlineLevel="0" collapsed="false">
      <c r="A1040" s="6" t="s">
        <v>16652</v>
      </c>
      <c r="B1040" s="6" t="s">
        <v>843</v>
      </c>
      <c r="C1040" s="6" t="s">
        <v>124</v>
      </c>
      <c r="D1040" s="6" t="s">
        <v>58</v>
      </c>
      <c r="E1040" s="14" t="n">
        <v>1993.06</v>
      </c>
      <c r="F1040" s="14" t="n">
        <v>5979.18</v>
      </c>
      <c r="G1040" s="6" t="s">
        <v>15614</v>
      </c>
    </row>
    <row r="1041" customFormat="false" ht="15" hidden="false" customHeight="true" outlineLevel="0" collapsed="false">
      <c r="A1041" s="6" t="s">
        <v>16653</v>
      </c>
      <c r="B1041" s="6" t="s">
        <v>845</v>
      </c>
      <c r="C1041" s="6" t="s">
        <v>112</v>
      </c>
      <c r="D1041" s="6" t="s">
        <v>48</v>
      </c>
      <c r="E1041" s="14" t="n">
        <v>373.35</v>
      </c>
      <c r="F1041" s="14" t="n">
        <v>373.35</v>
      </c>
      <c r="G1041" s="6" t="s">
        <v>15614</v>
      </c>
    </row>
    <row r="1042" customFormat="false" ht="15" hidden="false" customHeight="true" outlineLevel="0" collapsed="false">
      <c r="A1042" s="6" t="s">
        <v>16654</v>
      </c>
      <c r="B1042" s="6" t="s">
        <v>845</v>
      </c>
      <c r="C1042" s="6" t="s">
        <v>112</v>
      </c>
      <c r="D1042" s="6" t="s">
        <v>49</v>
      </c>
      <c r="E1042" s="14" t="n">
        <v>373.35</v>
      </c>
      <c r="F1042" s="14" t="n">
        <v>746.7</v>
      </c>
      <c r="G1042" s="6" t="s">
        <v>15614</v>
      </c>
    </row>
    <row r="1043" customFormat="false" ht="15" hidden="false" customHeight="true" outlineLevel="0" collapsed="false">
      <c r="A1043" s="6" t="s">
        <v>16655</v>
      </c>
      <c r="B1043" s="6" t="s">
        <v>847</v>
      </c>
      <c r="C1043" s="6" t="s">
        <v>116</v>
      </c>
      <c r="D1043" s="6" t="s">
        <v>60</v>
      </c>
      <c r="E1043" s="14" t="n">
        <v>445.66</v>
      </c>
      <c r="F1043" s="14" t="n">
        <v>445.66</v>
      </c>
      <c r="G1043" s="6" t="s">
        <v>15614</v>
      </c>
    </row>
    <row r="1044" customFormat="false" ht="15" hidden="false" customHeight="true" outlineLevel="0" collapsed="false">
      <c r="A1044" s="6" t="s">
        <v>16656</v>
      </c>
      <c r="B1044" s="6" t="s">
        <v>847</v>
      </c>
      <c r="C1044" s="6" t="s">
        <v>116</v>
      </c>
      <c r="D1044" s="6" t="s">
        <v>61</v>
      </c>
      <c r="E1044" s="14" t="n">
        <v>445.66</v>
      </c>
      <c r="F1044" s="14" t="n">
        <v>891.32</v>
      </c>
      <c r="G1044" s="6" t="s">
        <v>15614</v>
      </c>
    </row>
    <row r="1045" customFormat="false" ht="15" hidden="false" customHeight="true" outlineLevel="0" collapsed="false">
      <c r="A1045" s="6" t="s">
        <v>16657</v>
      </c>
      <c r="B1045" s="6" t="s">
        <v>847</v>
      </c>
      <c r="C1045" s="6" t="s">
        <v>116</v>
      </c>
      <c r="D1045" s="6" t="s">
        <v>62</v>
      </c>
      <c r="E1045" s="14" t="n">
        <v>445.66</v>
      </c>
      <c r="F1045" s="14" t="n">
        <v>1336.98</v>
      </c>
      <c r="G1045" s="6" t="s">
        <v>15614</v>
      </c>
    </row>
    <row r="1046" customFormat="false" ht="15" hidden="false" customHeight="true" outlineLevel="0" collapsed="false">
      <c r="A1046" s="6" t="s">
        <v>16658</v>
      </c>
      <c r="B1046" s="6" t="s">
        <v>847</v>
      </c>
      <c r="C1046" s="6" t="s">
        <v>116</v>
      </c>
      <c r="D1046" s="6" t="s">
        <v>63</v>
      </c>
      <c r="E1046" s="14" t="n">
        <v>445.66</v>
      </c>
      <c r="F1046" s="14" t="n">
        <v>1782.64</v>
      </c>
      <c r="G1046" s="6" t="s">
        <v>15614</v>
      </c>
    </row>
    <row r="1047" customFormat="false" ht="15" hidden="false" customHeight="true" outlineLevel="0" collapsed="false">
      <c r="A1047" s="6" t="s">
        <v>16659</v>
      </c>
      <c r="B1047" s="6" t="s">
        <v>849</v>
      </c>
      <c r="C1047" s="6" t="s">
        <v>116</v>
      </c>
      <c r="D1047" s="6" t="s">
        <v>54</v>
      </c>
      <c r="E1047" s="14" t="n">
        <v>2633.89</v>
      </c>
      <c r="F1047" s="14" t="n">
        <v>2633.89</v>
      </c>
      <c r="G1047" s="6" t="s">
        <v>15614</v>
      </c>
    </row>
    <row r="1048" customFormat="false" ht="15" hidden="false" customHeight="true" outlineLevel="0" collapsed="false">
      <c r="A1048" s="6" t="s">
        <v>16660</v>
      </c>
      <c r="B1048" s="6" t="s">
        <v>849</v>
      </c>
      <c r="C1048" s="6" t="s">
        <v>116</v>
      </c>
      <c r="D1048" s="6" t="s">
        <v>55</v>
      </c>
      <c r="E1048" s="14" t="n">
        <v>2633.89</v>
      </c>
      <c r="F1048" s="14" t="n">
        <v>5267.78</v>
      </c>
      <c r="G1048" s="6" t="s">
        <v>15614</v>
      </c>
    </row>
    <row r="1049" customFormat="false" ht="15" hidden="false" customHeight="true" outlineLevel="0" collapsed="false">
      <c r="A1049" s="6" t="s">
        <v>16661</v>
      </c>
      <c r="B1049" s="6" t="s">
        <v>851</v>
      </c>
      <c r="C1049" s="6" t="s">
        <v>116</v>
      </c>
      <c r="D1049" s="6" t="s">
        <v>35</v>
      </c>
      <c r="E1049" s="14" t="n">
        <v>676.59</v>
      </c>
      <c r="F1049" s="14" t="n">
        <v>676.59</v>
      </c>
      <c r="G1049" s="6" t="s">
        <v>15614</v>
      </c>
    </row>
    <row r="1050" customFormat="false" ht="15" hidden="false" customHeight="true" outlineLevel="0" collapsed="false">
      <c r="A1050" s="6" t="s">
        <v>16662</v>
      </c>
      <c r="B1050" s="6" t="s">
        <v>851</v>
      </c>
      <c r="C1050" s="6" t="s">
        <v>116</v>
      </c>
      <c r="D1050" s="6" t="s">
        <v>36</v>
      </c>
      <c r="E1050" s="14" t="n">
        <v>676.59</v>
      </c>
      <c r="F1050" s="14" t="n">
        <v>1353.18</v>
      </c>
      <c r="G1050" s="6" t="s">
        <v>15614</v>
      </c>
    </row>
    <row r="1051" customFormat="false" ht="15" hidden="false" customHeight="true" outlineLevel="0" collapsed="false">
      <c r="A1051" s="6" t="s">
        <v>16663</v>
      </c>
      <c r="B1051" s="6" t="s">
        <v>851</v>
      </c>
      <c r="C1051" s="6" t="s">
        <v>116</v>
      </c>
      <c r="D1051" s="6" t="s">
        <v>37</v>
      </c>
      <c r="E1051" s="14" t="n">
        <v>676.59</v>
      </c>
      <c r="F1051" s="14" t="n">
        <v>2029.77</v>
      </c>
      <c r="G1051" s="6" t="s">
        <v>15614</v>
      </c>
    </row>
    <row r="1052" customFormat="false" ht="15" hidden="false" customHeight="true" outlineLevel="0" collapsed="false">
      <c r="A1052" s="6" t="s">
        <v>16664</v>
      </c>
      <c r="B1052" s="6" t="s">
        <v>853</v>
      </c>
      <c r="C1052" s="6" t="s">
        <v>131</v>
      </c>
      <c r="D1052" s="6" t="s">
        <v>19</v>
      </c>
      <c r="E1052" s="14" t="n">
        <v>222.65</v>
      </c>
      <c r="F1052" s="14" t="n">
        <v>222.65</v>
      </c>
      <c r="G1052" s="6" t="s">
        <v>15614</v>
      </c>
    </row>
    <row r="1053" customFormat="false" ht="15" hidden="false" customHeight="true" outlineLevel="0" collapsed="false">
      <c r="A1053" s="6" t="s">
        <v>16665</v>
      </c>
      <c r="B1053" s="6" t="s">
        <v>853</v>
      </c>
      <c r="C1053" s="6" t="s">
        <v>131</v>
      </c>
      <c r="D1053" s="6" t="s">
        <v>20</v>
      </c>
      <c r="E1053" s="14" t="n">
        <v>222.65</v>
      </c>
      <c r="F1053" s="14" t="n">
        <v>445.3</v>
      </c>
      <c r="G1053" s="6" t="s">
        <v>15614</v>
      </c>
    </row>
    <row r="1054" customFormat="false" ht="15" hidden="false" customHeight="true" outlineLevel="0" collapsed="false">
      <c r="A1054" s="6" t="s">
        <v>16666</v>
      </c>
      <c r="B1054" s="6" t="s">
        <v>853</v>
      </c>
      <c r="C1054" s="6" t="s">
        <v>131</v>
      </c>
      <c r="D1054" s="6" t="s">
        <v>21</v>
      </c>
      <c r="E1054" s="14" t="n">
        <v>222.65</v>
      </c>
      <c r="F1054" s="14" t="n">
        <v>667.95</v>
      </c>
      <c r="G1054" s="6" t="s">
        <v>15614</v>
      </c>
    </row>
    <row r="1055" customFormat="false" ht="15" hidden="false" customHeight="true" outlineLevel="0" collapsed="false">
      <c r="A1055" s="6" t="s">
        <v>16667</v>
      </c>
      <c r="B1055" s="6" t="s">
        <v>853</v>
      </c>
      <c r="C1055" s="6" t="s">
        <v>131</v>
      </c>
      <c r="D1055" s="6" t="s">
        <v>22</v>
      </c>
      <c r="E1055" s="14" t="n">
        <v>222.65</v>
      </c>
      <c r="F1055" s="14" t="n">
        <v>890.6</v>
      </c>
      <c r="G1055" s="6" t="s">
        <v>15614</v>
      </c>
    </row>
    <row r="1056" customFormat="false" ht="15" hidden="false" customHeight="true" outlineLevel="0" collapsed="false">
      <c r="A1056" s="6" t="s">
        <v>16668</v>
      </c>
      <c r="B1056" s="6" t="s">
        <v>853</v>
      </c>
      <c r="C1056" s="6" t="s">
        <v>131</v>
      </c>
      <c r="D1056" s="6" t="s">
        <v>22</v>
      </c>
      <c r="E1056" s="14" t="n">
        <v>222.65</v>
      </c>
      <c r="F1056" s="14" t="n">
        <v>1113.25</v>
      </c>
      <c r="G1056" s="6" t="s">
        <v>15614</v>
      </c>
    </row>
    <row r="1057" customFormat="false" ht="15" hidden="false" customHeight="true" outlineLevel="0" collapsed="false">
      <c r="A1057" s="6" t="s">
        <v>16669</v>
      </c>
      <c r="B1057" s="6" t="s">
        <v>853</v>
      </c>
      <c r="C1057" s="6" t="s">
        <v>131</v>
      </c>
      <c r="D1057" s="6" t="s">
        <v>23</v>
      </c>
      <c r="E1057" s="14" t="n">
        <v>222.65</v>
      </c>
      <c r="F1057" s="14" t="n">
        <v>1335.9</v>
      </c>
      <c r="G1057" s="6" t="s">
        <v>15614</v>
      </c>
    </row>
    <row r="1058" customFormat="false" ht="15" hidden="false" customHeight="true" outlineLevel="0" collapsed="false">
      <c r="A1058" s="6" t="s">
        <v>16670</v>
      </c>
      <c r="B1058" s="6" t="s">
        <v>855</v>
      </c>
      <c r="C1058" s="6" t="s">
        <v>116</v>
      </c>
      <c r="D1058" s="6" t="s">
        <v>61</v>
      </c>
      <c r="E1058" s="14" t="n">
        <v>5663.37</v>
      </c>
      <c r="F1058" s="14" t="n">
        <v>5663.37</v>
      </c>
      <c r="G1058" s="6" t="s">
        <v>15614</v>
      </c>
    </row>
    <row r="1059" customFormat="false" ht="15" hidden="false" customHeight="true" outlineLevel="0" collapsed="false">
      <c r="A1059" s="6" t="s">
        <v>16671</v>
      </c>
      <c r="B1059" s="6" t="s">
        <v>857</v>
      </c>
      <c r="C1059" s="6" t="s">
        <v>131</v>
      </c>
      <c r="D1059" s="6" t="s">
        <v>40</v>
      </c>
      <c r="E1059" s="14" t="n">
        <v>1249.86</v>
      </c>
      <c r="F1059" s="14" t="n">
        <v>1249.86</v>
      </c>
      <c r="G1059" s="6" t="s">
        <v>15614</v>
      </c>
    </row>
    <row r="1060" customFormat="false" ht="15" hidden="false" customHeight="true" outlineLevel="0" collapsed="false">
      <c r="A1060" s="6" t="s">
        <v>16672</v>
      </c>
      <c r="B1060" s="6" t="s">
        <v>857</v>
      </c>
      <c r="C1060" s="6" t="s">
        <v>131</v>
      </c>
      <c r="D1060" s="6" t="s">
        <v>41</v>
      </c>
      <c r="E1060" s="14" t="n">
        <v>1249.86</v>
      </c>
      <c r="F1060" s="14" t="n">
        <v>2499.72</v>
      </c>
      <c r="G1060" s="6" t="s">
        <v>15614</v>
      </c>
    </row>
    <row r="1061" customFormat="false" ht="15" hidden="false" customHeight="true" outlineLevel="0" collapsed="false">
      <c r="A1061" s="6" t="s">
        <v>16673</v>
      </c>
      <c r="B1061" s="6" t="s">
        <v>857</v>
      </c>
      <c r="C1061" s="6" t="s">
        <v>131</v>
      </c>
      <c r="D1061" s="6" t="s">
        <v>42</v>
      </c>
      <c r="E1061" s="14" t="n">
        <v>1249.86</v>
      </c>
      <c r="F1061" s="14" t="n">
        <v>3749.58</v>
      </c>
      <c r="G1061" s="6" t="s">
        <v>15614</v>
      </c>
    </row>
    <row r="1062" customFormat="false" ht="15" hidden="false" customHeight="true" outlineLevel="0" collapsed="false">
      <c r="A1062" s="6" t="s">
        <v>16674</v>
      </c>
      <c r="B1062" s="6" t="s">
        <v>859</v>
      </c>
      <c r="C1062" s="6" t="s">
        <v>128</v>
      </c>
      <c r="D1062" s="6" t="s">
        <v>42</v>
      </c>
      <c r="E1062" s="14" t="n">
        <v>716.61</v>
      </c>
      <c r="F1062" s="14" t="n">
        <v>716.61</v>
      </c>
      <c r="G1062" s="6" t="s">
        <v>15614</v>
      </c>
    </row>
    <row r="1063" customFormat="false" ht="15" hidden="false" customHeight="true" outlineLevel="0" collapsed="false">
      <c r="A1063" s="6" t="s">
        <v>16675</v>
      </c>
      <c r="B1063" s="6" t="s">
        <v>859</v>
      </c>
      <c r="C1063" s="6" t="s">
        <v>128</v>
      </c>
      <c r="D1063" s="6" t="s">
        <v>43</v>
      </c>
      <c r="E1063" s="14" t="n">
        <v>716.61</v>
      </c>
      <c r="F1063" s="14" t="n">
        <v>1433.22</v>
      </c>
      <c r="G1063" s="6" t="s">
        <v>15614</v>
      </c>
    </row>
    <row r="1064" customFormat="false" ht="15" hidden="false" customHeight="true" outlineLevel="0" collapsed="false">
      <c r="A1064" s="6" t="s">
        <v>16676</v>
      </c>
      <c r="B1064" s="6" t="s">
        <v>861</v>
      </c>
      <c r="C1064" s="6" t="s">
        <v>116</v>
      </c>
      <c r="D1064" s="6" t="s">
        <v>51</v>
      </c>
      <c r="E1064" s="14" t="n">
        <v>3113.14</v>
      </c>
      <c r="F1064" s="14" t="n">
        <v>3113.14</v>
      </c>
      <c r="G1064" s="6" t="s">
        <v>15614</v>
      </c>
    </row>
    <row r="1065" customFormat="false" ht="15" hidden="false" customHeight="true" outlineLevel="0" collapsed="false">
      <c r="A1065" s="6" t="s">
        <v>16677</v>
      </c>
      <c r="B1065" s="6" t="s">
        <v>861</v>
      </c>
      <c r="C1065" s="6" t="s">
        <v>116</v>
      </c>
      <c r="D1065" s="6" t="s">
        <v>52</v>
      </c>
      <c r="E1065" s="14" t="n">
        <v>3113.14</v>
      </c>
      <c r="F1065" s="14" t="n">
        <v>6226.28</v>
      </c>
      <c r="G1065" s="6" t="s">
        <v>15614</v>
      </c>
    </row>
    <row r="1066" customFormat="false" ht="15" hidden="false" customHeight="true" outlineLevel="0" collapsed="false">
      <c r="A1066" s="6" t="s">
        <v>16678</v>
      </c>
      <c r="B1066" s="6" t="s">
        <v>861</v>
      </c>
      <c r="C1066" s="6" t="s">
        <v>116</v>
      </c>
      <c r="D1066" s="6" t="s">
        <v>53</v>
      </c>
      <c r="E1066" s="14" t="n">
        <v>3113.14</v>
      </c>
      <c r="F1066" s="14" t="n">
        <v>9339.42</v>
      </c>
      <c r="G1066" s="6" t="s">
        <v>15614</v>
      </c>
    </row>
    <row r="1067" customFormat="false" ht="15" hidden="false" customHeight="true" outlineLevel="0" collapsed="false">
      <c r="A1067" s="6" t="s">
        <v>16679</v>
      </c>
      <c r="B1067" s="6" t="s">
        <v>863</v>
      </c>
      <c r="C1067" s="6" t="s">
        <v>128</v>
      </c>
      <c r="D1067" s="6" t="s">
        <v>41</v>
      </c>
      <c r="E1067" s="14" t="n">
        <v>6316.97</v>
      </c>
      <c r="F1067" s="14" t="n">
        <v>6316.97</v>
      </c>
      <c r="G1067" s="6" t="s">
        <v>15614</v>
      </c>
    </row>
    <row r="1068" customFormat="false" ht="15" hidden="false" customHeight="true" outlineLevel="0" collapsed="false">
      <c r="A1068" s="6" t="s">
        <v>16680</v>
      </c>
      <c r="B1068" s="6" t="s">
        <v>863</v>
      </c>
      <c r="C1068" s="6" t="s">
        <v>128</v>
      </c>
      <c r="D1068" s="6" t="s">
        <v>42</v>
      </c>
      <c r="E1068" s="14" t="n">
        <v>6316.97</v>
      </c>
      <c r="F1068" s="14" t="n">
        <v>12633.94</v>
      </c>
      <c r="G1068" s="6" t="s">
        <v>15614</v>
      </c>
    </row>
    <row r="1069" customFormat="false" ht="15" hidden="false" customHeight="true" outlineLevel="0" collapsed="false">
      <c r="A1069" s="6" t="s">
        <v>16681</v>
      </c>
      <c r="B1069" s="6" t="s">
        <v>863</v>
      </c>
      <c r="C1069" s="6" t="s">
        <v>128</v>
      </c>
      <c r="D1069" s="6" t="s">
        <v>43</v>
      </c>
      <c r="E1069" s="14" t="n">
        <v>6316.97</v>
      </c>
      <c r="F1069" s="14" t="n">
        <v>18950.91</v>
      </c>
      <c r="G1069" s="6" t="s">
        <v>15614</v>
      </c>
    </row>
    <row r="1070" customFormat="false" ht="15" hidden="false" customHeight="true" outlineLevel="0" collapsed="false">
      <c r="A1070" s="6" t="s">
        <v>16682</v>
      </c>
      <c r="B1070" s="6" t="s">
        <v>865</v>
      </c>
      <c r="C1070" s="6" t="s">
        <v>124</v>
      </c>
      <c r="D1070" s="6" t="s">
        <v>30</v>
      </c>
      <c r="E1070" s="14" t="n">
        <v>2029.95</v>
      </c>
      <c r="F1070" s="14" t="n">
        <v>2029.95</v>
      </c>
      <c r="G1070" s="6" t="s">
        <v>15614</v>
      </c>
    </row>
    <row r="1071" customFormat="false" ht="15" hidden="false" customHeight="true" outlineLevel="0" collapsed="false">
      <c r="A1071" s="6" t="s">
        <v>16683</v>
      </c>
      <c r="B1071" s="6" t="s">
        <v>865</v>
      </c>
      <c r="C1071" s="6" t="s">
        <v>124</v>
      </c>
      <c r="D1071" s="6" t="s">
        <v>31</v>
      </c>
      <c r="E1071" s="14" t="n">
        <v>2029.95</v>
      </c>
      <c r="F1071" s="14" t="n">
        <v>4059.9</v>
      </c>
      <c r="G1071" s="6" t="s">
        <v>15614</v>
      </c>
    </row>
    <row r="1072" customFormat="false" ht="15" hidden="false" customHeight="true" outlineLevel="0" collapsed="false">
      <c r="A1072" s="6" t="s">
        <v>16684</v>
      </c>
      <c r="B1072" s="6" t="s">
        <v>865</v>
      </c>
      <c r="C1072" s="6" t="s">
        <v>124</v>
      </c>
      <c r="D1072" s="6" t="s">
        <v>32</v>
      </c>
      <c r="E1072" s="14" t="n">
        <v>2029.95</v>
      </c>
      <c r="F1072" s="14" t="n">
        <v>6089.85</v>
      </c>
      <c r="G1072" s="6" t="s">
        <v>15614</v>
      </c>
    </row>
    <row r="1073" customFormat="false" ht="15" hidden="false" customHeight="true" outlineLevel="0" collapsed="false">
      <c r="A1073" s="6" t="s">
        <v>16685</v>
      </c>
      <c r="B1073" s="6" t="s">
        <v>865</v>
      </c>
      <c r="C1073" s="6" t="s">
        <v>124</v>
      </c>
      <c r="D1073" s="6" t="s">
        <v>33</v>
      </c>
      <c r="E1073" s="14" t="n">
        <v>2029.95</v>
      </c>
      <c r="F1073" s="14" t="n">
        <v>8119.8</v>
      </c>
      <c r="G1073" s="6" t="s">
        <v>15614</v>
      </c>
    </row>
    <row r="1074" customFormat="false" ht="15" hidden="false" customHeight="true" outlineLevel="0" collapsed="false">
      <c r="A1074" s="6" t="s">
        <v>16686</v>
      </c>
      <c r="B1074" s="6" t="s">
        <v>867</v>
      </c>
      <c r="C1074" s="6" t="s">
        <v>124</v>
      </c>
      <c r="D1074" s="6" t="s">
        <v>38</v>
      </c>
      <c r="E1074" s="14" t="n">
        <v>2802.91</v>
      </c>
      <c r="F1074" s="14" t="n">
        <v>2802.91</v>
      </c>
      <c r="G1074" s="6" t="s">
        <v>15614</v>
      </c>
    </row>
    <row r="1075" customFormat="false" ht="15" hidden="false" customHeight="true" outlineLevel="0" collapsed="false">
      <c r="A1075" s="6" t="s">
        <v>16687</v>
      </c>
      <c r="B1075" s="6" t="s">
        <v>867</v>
      </c>
      <c r="C1075" s="6" t="s">
        <v>124</v>
      </c>
      <c r="D1075" s="6" t="s">
        <v>39</v>
      </c>
      <c r="E1075" s="14" t="n">
        <v>2802.91</v>
      </c>
      <c r="F1075" s="14" t="n">
        <v>5605.82</v>
      </c>
      <c r="G1075" s="6" t="s">
        <v>15614</v>
      </c>
    </row>
    <row r="1076" customFormat="false" ht="15" hidden="false" customHeight="true" outlineLevel="0" collapsed="false">
      <c r="A1076" s="6" t="s">
        <v>16688</v>
      </c>
      <c r="B1076" s="6" t="s">
        <v>867</v>
      </c>
      <c r="C1076" s="6" t="s">
        <v>124</v>
      </c>
      <c r="D1076" s="6" t="s">
        <v>40</v>
      </c>
      <c r="E1076" s="14" t="n">
        <v>2802.91</v>
      </c>
      <c r="F1076" s="14" t="n">
        <v>8408.73</v>
      </c>
      <c r="G1076" s="6" t="s">
        <v>15614</v>
      </c>
    </row>
    <row r="1077" customFormat="false" ht="15" hidden="false" customHeight="true" outlineLevel="0" collapsed="false">
      <c r="A1077" s="6" t="s">
        <v>16689</v>
      </c>
      <c r="B1077" s="6" t="s">
        <v>867</v>
      </c>
      <c r="C1077" s="6" t="s">
        <v>124</v>
      </c>
      <c r="D1077" s="6" t="s">
        <v>41</v>
      </c>
      <c r="E1077" s="14" t="n">
        <v>2802.91</v>
      </c>
      <c r="F1077" s="14" t="n">
        <v>11211.64</v>
      </c>
      <c r="G1077" s="6" t="s">
        <v>15614</v>
      </c>
    </row>
    <row r="1078" customFormat="false" ht="15" hidden="false" customHeight="true" outlineLevel="0" collapsed="false">
      <c r="A1078" s="6" t="s">
        <v>16690</v>
      </c>
      <c r="B1078" s="6" t="s">
        <v>869</v>
      </c>
      <c r="C1078" s="6" t="s">
        <v>128</v>
      </c>
      <c r="D1078" s="6" t="s">
        <v>39</v>
      </c>
      <c r="E1078" s="14" t="n">
        <v>1558.18</v>
      </c>
      <c r="F1078" s="14" t="n">
        <v>1558.18</v>
      </c>
      <c r="G1078" s="6" t="s">
        <v>15614</v>
      </c>
    </row>
    <row r="1079" customFormat="false" ht="15" hidden="false" customHeight="true" outlineLevel="0" collapsed="false">
      <c r="A1079" s="6" t="s">
        <v>16691</v>
      </c>
      <c r="B1079" s="6" t="s">
        <v>869</v>
      </c>
      <c r="C1079" s="6" t="s">
        <v>128</v>
      </c>
      <c r="D1079" s="6" t="s">
        <v>40</v>
      </c>
      <c r="E1079" s="14" t="n">
        <v>1558.18</v>
      </c>
      <c r="F1079" s="14" t="n">
        <v>3116.36</v>
      </c>
      <c r="G1079" s="6" t="s">
        <v>15614</v>
      </c>
    </row>
    <row r="1080" customFormat="false" ht="15" hidden="false" customHeight="true" outlineLevel="0" collapsed="false">
      <c r="A1080" s="6" t="s">
        <v>16692</v>
      </c>
      <c r="B1080" s="6" t="s">
        <v>869</v>
      </c>
      <c r="C1080" s="6" t="s">
        <v>128</v>
      </c>
      <c r="D1080" s="6" t="s">
        <v>41</v>
      </c>
      <c r="E1080" s="14" t="n">
        <v>1558.18</v>
      </c>
      <c r="F1080" s="14" t="n">
        <v>4674.54</v>
      </c>
      <c r="G1080" s="6" t="s">
        <v>15614</v>
      </c>
    </row>
    <row r="1081" customFormat="false" ht="15" hidden="false" customHeight="true" outlineLevel="0" collapsed="false">
      <c r="A1081" s="6" t="s">
        <v>16693</v>
      </c>
      <c r="B1081" s="6" t="s">
        <v>871</v>
      </c>
      <c r="C1081" s="6" t="s">
        <v>116</v>
      </c>
      <c r="D1081" s="6" t="s">
        <v>27</v>
      </c>
      <c r="E1081" s="14" t="n">
        <v>4581.06</v>
      </c>
      <c r="F1081" s="14" t="n">
        <v>4581.06</v>
      </c>
      <c r="G1081" s="6" t="s">
        <v>15614</v>
      </c>
    </row>
    <row r="1082" customFormat="false" ht="15" hidden="false" customHeight="true" outlineLevel="0" collapsed="false">
      <c r="A1082" s="6" t="s">
        <v>16694</v>
      </c>
      <c r="B1082" s="6" t="s">
        <v>871</v>
      </c>
      <c r="C1082" s="6" t="s">
        <v>116</v>
      </c>
      <c r="D1082" s="6" t="s">
        <v>28</v>
      </c>
      <c r="E1082" s="14" t="n">
        <v>4581.06</v>
      </c>
      <c r="F1082" s="14" t="n">
        <v>9162.12</v>
      </c>
      <c r="G1082" s="6" t="s">
        <v>15614</v>
      </c>
    </row>
    <row r="1083" customFormat="false" ht="15" hidden="false" customHeight="true" outlineLevel="0" collapsed="false">
      <c r="A1083" s="6" t="s">
        <v>16695</v>
      </c>
      <c r="B1083" s="6" t="s">
        <v>873</v>
      </c>
      <c r="C1083" s="6" t="s">
        <v>124</v>
      </c>
      <c r="D1083" s="6" t="s">
        <v>28</v>
      </c>
      <c r="E1083" s="14" t="n">
        <v>1783.58</v>
      </c>
      <c r="F1083" s="14" t="n">
        <v>1783.58</v>
      </c>
      <c r="G1083" s="6" t="s">
        <v>15614</v>
      </c>
    </row>
    <row r="1084" customFormat="false" ht="15" hidden="false" customHeight="true" outlineLevel="0" collapsed="false">
      <c r="A1084" s="6" t="s">
        <v>16696</v>
      </c>
      <c r="B1084" s="6" t="s">
        <v>873</v>
      </c>
      <c r="C1084" s="6" t="s">
        <v>124</v>
      </c>
      <c r="D1084" s="6" t="s">
        <v>29</v>
      </c>
      <c r="E1084" s="14" t="n">
        <v>1783.58</v>
      </c>
      <c r="F1084" s="14" t="n">
        <v>3567.16</v>
      </c>
      <c r="G1084" s="6" t="s">
        <v>15614</v>
      </c>
    </row>
    <row r="1085" customFormat="false" ht="15" hidden="false" customHeight="true" outlineLevel="0" collapsed="false">
      <c r="A1085" s="6" t="s">
        <v>16697</v>
      </c>
      <c r="B1085" s="6" t="s">
        <v>873</v>
      </c>
      <c r="C1085" s="6" t="s">
        <v>124</v>
      </c>
      <c r="D1085" s="6" t="s">
        <v>30</v>
      </c>
      <c r="E1085" s="14" t="n">
        <v>1783.58</v>
      </c>
      <c r="F1085" s="14" t="n">
        <v>5350.74</v>
      </c>
      <c r="G1085" s="6" t="s">
        <v>15614</v>
      </c>
    </row>
    <row r="1086" customFormat="false" ht="15" hidden="false" customHeight="true" outlineLevel="0" collapsed="false">
      <c r="A1086" s="6" t="s">
        <v>16698</v>
      </c>
      <c r="B1086" s="6" t="s">
        <v>873</v>
      </c>
      <c r="C1086" s="6" t="s">
        <v>124</v>
      </c>
      <c r="D1086" s="6" t="s">
        <v>31</v>
      </c>
      <c r="E1086" s="14" t="n">
        <v>1783.58</v>
      </c>
      <c r="F1086" s="14" t="n">
        <v>7134.32</v>
      </c>
      <c r="G1086" s="6" t="s">
        <v>15614</v>
      </c>
    </row>
    <row r="1087" customFormat="false" ht="15" hidden="false" customHeight="true" outlineLevel="0" collapsed="false">
      <c r="A1087" s="6" t="s">
        <v>16699</v>
      </c>
      <c r="B1087" s="6" t="s">
        <v>873</v>
      </c>
      <c r="C1087" s="6" t="s">
        <v>124</v>
      </c>
      <c r="D1087" s="6" t="s">
        <v>32</v>
      </c>
      <c r="E1087" s="14" t="n">
        <v>1783.58</v>
      </c>
      <c r="F1087" s="14" t="n">
        <v>8917.9</v>
      </c>
      <c r="G1087" s="6" t="s">
        <v>15614</v>
      </c>
    </row>
    <row r="1088" customFormat="false" ht="15" hidden="false" customHeight="true" outlineLevel="0" collapsed="false">
      <c r="A1088" s="6" t="s">
        <v>16700</v>
      </c>
      <c r="B1088" s="6" t="s">
        <v>875</v>
      </c>
      <c r="C1088" s="6" t="s">
        <v>124</v>
      </c>
      <c r="D1088" s="6" t="s">
        <v>34</v>
      </c>
      <c r="E1088" s="14" t="n">
        <v>1845.99</v>
      </c>
      <c r="F1088" s="14" t="n">
        <v>1845.99</v>
      </c>
      <c r="G1088" s="6" t="s">
        <v>15614</v>
      </c>
    </row>
    <row r="1089" customFormat="false" ht="15" hidden="false" customHeight="true" outlineLevel="0" collapsed="false">
      <c r="A1089" s="6" t="s">
        <v>16701</v>
      </c>
      <c r="B1089" s="6" t="s">
        <v>875</v>
      </c>
      <c r="C1089" s="6" t="s">
        <v>124</v>
      </c>
      <c r="D1089" s="6" t="s">
        <v>35</v>
      </c>
      <c r="E1089" s="14" t="n">
        <v>1845.99</v>
      </c>
      <c r="F1089" s="14" t="n">
        <v>3691.98</v>
      </c>
      <c r="G1089" s="6" t="s">
        <v>15614</v>
      </c>
    </row>
    <row r="1090" customFormat="false" ht="15" hidden="false" customHeight="true" outlineLevel="0" collapsed="false">
      <c r="A1090" s="6" t="s">
        <v>16702</v>
      </c>
      <c r="B1090" s="6" t="s">
        <v>875</v>
      </c>
      <c r="C1090" s="6" t="s">
        <v>124</v>
      </c>
      <c r="D1090" s="6" t="s">
        <v>36</v>
      </c>
      <c r="E1090" s="14" t="n">
        <v>1845.99</v>
      </c>
      <c r="F1090" s="14" t="n">
        <v>5537.97</v>
      </c>
      <c r="G1090" s="6" t="s">
        <v>15614</v>
      </c>
    </row>
    <row r="1091" customFormat="false" ht="15" hidden="false" customHeight="true" outlineLevel="0" collapsed="false">
      <c r="A1091" s="6" t="s">
        <v>16703</v>
      </c>
      <c r="B1091" s="6" t="s">
        <v>877</v>
      </c>
      <c r="C1091" s="6" t="s">
        <v>112</v>
      </c>
      <c r="D1091" s="6" t="s">
        <v>29</v>
      </c>
      <c r="E1091" s="14" t="n">
        <v>3611.44</v>
      </c>
      <c r="F1091" s="14" t="n">
        <v>3611.44</v>
      </c>
      <c r="G1091" s="6" t="s">
        <v>15614</v>
      </c>
    </row>
    <row r="1092" customFormat="false" ht="15" hidden="false" customHeight="true" outlineLevel="0" collapsed="false">
      <c r="A1092" s="6" t="s">
        <v>16704</v>
      </c>
      <c r="B1092" s="6" t="s">
        <v>877</v>
      </c>
      <c r="C1092" s="6" t="s">
        <v>112</v>
      </c>
      <c r="D1092" s="6" t="s">
        <v>30</v>
      </c>
      <c r="E1092" s="14" t="n">
        <v>3611.44</v>
      </c>
      <c r="F1092" s="14" t="n">
        <v>7222.88</v>
      </c>
      <c r="G1092" s="6" t="s">
        <v>15614</v>
      </c>
    </row>
    <row r="1093" customFormat="false" ht="15" hidden="false" customHeight="true" outlineLevel="0" collapsed="false">
      <c r="A1093" s="6" t="s">
        <v>16705</v>
      </c>
      <c r="B1093" s="6" t="s">
        <v>879</v>
      </c>
      <c r="C1093" s="6" t="s">
        <v>124</v>
      </c>
      <c r="D1093" s="6" t="s">
        <v>17</v>
      </c>
      <c r="E1093" s="14" t="n">
        <v>545.35</v>
      </c>
      <c r="F1093" s="14" t="n">
        <v>545.35</v>
      </c>
      <c r="G1093" s="6" t="s">
        <v>15614</v>
      </c>
    </row>
    <row r="1094" customFormat="false" ht="15" hidden="false" customHeight="true" outlineLevel="0" collapsed="false">
      <c r="A1094" s="6" t="s">
        <v>16706</v>
      </c>
      <c r="B1094" s="6" t="s">
        <v>879</v>
      </c>
      <c r="C1094" s="6" t="s">
        <v>124</v>
      </c>
      <c r="D1094" s="6" t="s">
        <v>18</v>
      </c>
      <c r="E1094" s="14" t="n">
        <v>545.35</v>
      </c>
      <c r="F1094" s="14" t="n">
        <v>1090.7</v>
      </c>
      <c r="G1094" s="6" t="s">
        <v>15614</v>
      </c>
    </row>
    <row r="1095" customFormat="false" ht="15" hidden="false" customHeight="true" outlineLevel="0" collapsed="false">
      <c r="A1095" s="6" t="s">
        <v>16707</v>
      </c>
      <c r="B1095" s="6" t="s">
        <v>879</v>
      </c>
      <c r="C1095" s="6" t="s">
        <v>124</v>
      </c>
      <c r="D1095" s="6" t="s">
        <v>19</v>
      </c>
      <c r="E1095" s="14" t="n">
        <v>545.35</v>
      </c>
      <c r="F1095" s="14" t="n">
        <v>1636.05</v>
      </c>
      <c r="G1095" s="6" t="s">
        <v>15614</v>
      </c>
    </row>
    <row r="1096" customFormat="false" ht="15" hidden="false" customHeight="true" outlineLevel="0" collapsed="false">
      <c r="A1096" s="6" t="s">
        <v>16708</v>
      </c>
      <c r="B1096" s="6" t="s">
        <v>879</v>
      </c>
      <c r="C1096" s="6" t="s">
        <v>124</v>
      </c>
      <c r="D1096" s="6" t="s">
        <v>20</v>
      </c>
      <c r="E1096" s="14" t="n">
        <v>545.35</v>
      </c>
      <c r="F1096" s="14" t="n">
        <v>2181.4</v>
      </c>
      <c r="G1096" s="6" t="s">
        <v>15614</v>
      </c>
    </row>
    <row r="1097" customFormat="false" ht="15" hidden="false" customHeight="true" outlineLevel="0" collapsed="false">
      <c r="A1097" s="6" t="s">
        <v>16709</v>
      </c>
      <c r="B1097" s="6" t="s">
        <v>881</v>
      </c>
      <c r="C1097" s="6" t="s">
        <v>116</v>
      </c>
      <c r="D1097" s="6" t="s">
        <v>27</v>
      </c>
      <c r="E1097" s="14" t="n">
        <v>1509.33</v>
      </c>
      <c r="F1097" s="14" t="n">
        <v>1509.33</v>
      </c>
      <c r="G1097" s="6" t="s">
        <v>15614</v>
      </c>
    </row>
    <row r="1098" customFormat="false" ht="15" hidden="false" customHeight="true" outlineLevel="0" collapsed="false">
      <c r="A1098" s="6" t="s">
        <v>16710</v>
      </c>
      <c r="B1098" s="6" t="s">
        <v>881</v>
      </c>
      <c r="C1098" s="6" t="s">
        <v>116</v>
      </c>
      <c r="D1098" s="6" t="s">
        <v>28</v>
      </c>
      <c r="E1098" s="14" t="n">
        <v>1509.33</v>
      </c>
      <c r="F1098" s="14" t="n">
        <v>3018.66</v>
      </c>
      <c r="G1098" s="6" t="s">
        <v>15614</v>
      </c>
    </row>
    <row r="1099" customFormat="false" ht="15" hidden="false" customHeight="true" outlineLevel="0" collapsed="false">
      <c r="A1099" s="6" t="s">
        <v>16711</v>
      </c>
      <c r="B1099" s="6" t="s">
        <v>881</v>
      </c>
      <c r="C1099" s="6" t="s">
        <v>116</v>
      </c>
      <c r="D1099" s="6" t="s">
        <v>29</v>
      </c>
      <c r="E1099" s="14" t="n">
        <v>1509.33</v>
      </c>
      <c r="F1099" s="14" t="n">
        <v>4527.99</v>
      </c>
      <c r="G1099" s="6" t="s">
        <v>15614</v>
      </c>
    </row>
    <row r="1100" customFormat="false" ht="15" hidden="false" customHeight="true" outlineLevel="0" collapsed="false">
      <c r="A1100" s="6" t="s">
        <v>16712</v>
      </c>
      <c r="B1100" s="6" t="s">
        <v>881</v>
      </c>
      <c r="C1100" s="6" t="s">
        <v>116</v>
      </c>
      <c r="D1100" s="6" t="s">
        <v>30</v>
      </c>
      <c r="E1100" s="14" t="n">
        <v>1509.33</v>
      </c>
      <c r="F1100" s="14" t="n">
        <v>6037.32</v>
      </c>
      <c r="G1100" s="6" t="s">
        <v>15614</v>
      </c>
    </row>
    <row r="1101" customFormat="false" ht="15" hidden="false" customHeight="true" outlineLevel="0" collapsed="false">
      <c r="A1101" s="6" t="s">
        <v>16713</v>
      </c>
      <c r="B1101" s="6" t="s">
        <v>883</v>
      </c>
      <c r="C1101" s="6" t="s">
        <v>120</v>
      </c>
      <c r="D1101" s="6" t="s">
        <v>50</v>
      </c>
      <c r="E1101" s="14" t="n">
        <v>660.52</v>
      </c>
      <c r="F1101" s="14" t="n">
        <v>660.52</v>
      </c>
      <c r="G1101" s="6" t="s">
        <v>15614</v>
      </c>
    </row>
    <row r="1102" customFormat="false" ht="15" hidden="false" customHeight="true" outlineLevel="0" collapsed="false">
      <c r="A1102" s="6" t="s">
        <v>16714</v>
      </c>
      <c r="B1102" s="6" t="s">
        <v>885</v>
      </c>
      <c r="C1102" s="6" t="s">
        <v>124</v>
      </c>
      <c r="D1102" s="6" t="s">
        <v>61</v>
      </c>
      <c r="E1102" s="14" t="n">
        <v>5076.79</v>
      </c>
      <c r="F1102" s="14" t="n">
        <v>5076.79</v>
      </c>
      <c r="G1102" s="6" t="s">
        <v>15614</v>
      </c>
    </row>
    <row r="1103" customFormat="false" ht="15" hidden="false" customHeight="true" outlineLevel="0" collapsed="false">
      <c r="A1103" s="6" t="s">
        <v>16715</v>
      </c>
      <c r="B1103" s="6" t="s">
        <v>885</v>
      </c>
      <c r="C1103" s="6" t="s">
        <v>124</v>
      </c>
      <c r="D1103" s="6" t="s">
        <v>62</v>
      </c>
      <c r="E1103" s="14" t="n">
        <v>5076.79</v>
      </c>
      <c r="F1103" s="14" t="n">
        <v>10153.58</v>
      </c>
      <c r="G1103" s="6" t="s">
        <v>15614</v>
      </c>
    </row>
    <row r="1104" customFormat="false" ht="15" hidden="false" customHeight="true" outlineLevel="0" collapsed="false">
      <c r="A1104" s="6" t="s">
        <v>16716</v>
      </c>
      <c r="B1104" s="6" t="s">
        <v>887</v>
      </c>
      <c r="C1104" s="6" t="s">
        <v>131</v>
      </c>
      <c r="D1104" s="6" t="s">
        <v>12</v>
      </c>
      <c r="E1104" s="14" t="n">
        <v>1995.37</v>
      </c>
      <c r="F1104" s="14" t="n">
        <v>1995.37</v>
      </c>
      <c r="G1104" s="6" t="s">
        <v>15614</v>
      </c>
    </row>
    <row r="1105" customFormat="false" ht="15" hidden="false" customHeight="true" outlineLevel="0" collapsed="false">
      <c r="A1105" s="6" t="s">
        <v>16717</v>
      </c>
      <c r="B1105" s="6" t="s">
        <v>887</v>
      </c>
      <c r="C1105" s="6" t="s">
        <v>131</v>
      </c>
      <c r="D1105" s="6" t="s">
        <v>13</v>
      </c>
      <c r="E1105" s="14" t="n">
        <v>1995.37</v>
      </c>
      <c r="F1105" s="14" t="n">
        <v>3990.74</v>
      </c>
      <c r="G1105" s="6" t="s">
        <v>15614</v>
      </c>
    </row>
    <row r="1106" customFormat="false" ht="15" hidden="false" customHeight="true" outlineLevel="0" collapsed="false">
      <c r="A1106" s="6" t="s">
        <v>16718</v>
      </c>
      <c r="B1106" s="6" t="s">
        <v>889</v>
      </c>
      <c r="C1106" s="6" t="s">
        <v>131</v>
      </c>
      <c r="D1106" s="6" t="s">
        <v>63</v>
      </c>
      <c r="E1106" s="14" t="n">
        <v>1026.98</v>
      </c>
      <c r="F1106" s="14" t="n">
        <v>1026.98</v>
      </c>
      <c r="G1106" s="6" t="s">
        <v>15614</v>
      </c>
    </row>
    <row r="1107" customFormat="false" ht="15" hidden="false" customHeight="true" outlineLevel="0" collapsed="false">
      <c r="A1107" s="6" t="s">
        <v>16719</v>
      </c>
      <c r="B1107" s="6" t="s">
        <v>889</v>
      </c>
      <c r="C1107" s="6" t="s">
        <v>131</v>
      </c>
      <c r="D1107" s="6" t="s">
        <v>64</v>
      </c>
      <c r="E1107" s="14" t="n">
        <v>1026.98</v>
      </c>
      <c r="F1107" s="14" t="n">
        <v>2053.96</v>
      </c>
      <c r="G1107" s="6" t="s">
        <v>15614</v>
      </c>
    </row>
    <row r="1108" customFormat="false" ht="15" hidden="false" customHeight="true" outlineLevel="0" collapsed="false">
      <c r="A1108" s="6" t="s">
        <v>16720</v>
      </c>
      <c r="B1108" s="6" t="s">
        <v>889</v>
      </c>
      <c r="C1108" s="6" t="s">
        <v>131</v>
      </c>
      <c r="D1108" s="6" t="s">
        <v>65</v>
      </c>
      <c r="E1108" s="14" t="n">
        <v>1026.98</v>
      </c>
      <c r="F1108" s="14" t="n">
        <v>3080.94</v>
      </c>
      <c r="G1108" s="6" t="s">
        <v>15614</v>
      </c>
    </row>
    <row r="1109" customFormat="false" ht="15" hidden="false" customHeight="true" outlineLevel="0" collapsed="false">
      <c r="A1109" s="6" t="s">
        <v>16721</v>
      </c>
      <c r="B1109" s="6" t="s">
        <v>891</v>
      </c>
      <c r="C1109" s="6" t="s">
        <v>131</v>
      </c>
      <c r="D1109" s="6" t="s">
        <v>47</v>
      </c>
      <c r="E1109" s="14" t="n">
        <v>6163.1</v>
      </c>
      <c r="F1109" s="14" t="n">
        <v>6163.1</v>
      </c>
      <c r="G1109" s="6" t="s">
        <v>15614</v>
      </c>
    </row>
    <row r="1110" customFormat="false" ht="15" hidden="false" customHeight="true" outlineLevel="0" collapsed="false">
      <c r="A1110" s="6" t="s">
        <v>16722</v>
      </c>
      <c r="B1110" s="6" t="s">
        <v>891</v>
      </c>
      <c r="C1110" s="6" t="s">
        <v>131</v>
      </c>
      <c r="D1110" s="6" t="s">
        <v>48</v>
      </c>
      <c r="E1110" s="14" t="n">
        <v>6163.1</v>
      </c>
      <c r="F1110" s="14" t="n">
        <v>12326.2</v>
      </c>
      <c r="G1110" s="6" t="s">
        <v>15614</v>
      </c>
    </row>
    <row r="1111" customFormat="false" ht="15" hidden="false" customHeight="true" outlineLevel="0" collapsed="false">
      <c r="A1111" s="6" t="s">
        <v>16723</v>
      </c>
      <c r="B1111" s="6" t="s">
        <v>893</v>
      </c>
      <c r="C1111" s="6" t="s">
        <v>112</v>
      </c>
      <c r="D1111" s="6" t="s">
        <v>53</v>
      </c>
      <c r="E1111" s="14" t="n">
        <v>1427.61</v>
      </c>
      <c r="F1111" s="14" t="n">
        <v>1427.61</v>
      </c>
      <c r="G1111" s="6" t="s">
        <v>15614</v>
      </c>
    </row>
    <row r="1112" customFormat="false" ht="15" hidden="false" customHeight="true" outlineLevel="0" collapsed="false">
      <c r="A1112" s="6" t="s">
        <v>16724</v>
      </c>
      <c r="B1112" s="6" t="s">
        <v>893</v>
      </c>
      <c r="C1112" s="6" t="s">
        <v>112</v>
      </c>
      <c r="D1112" s="6" t="s">
        <v>54</v>
      </c>
      <c r="E1112" s="14" t="n">
        <v>1427.61</v>
      </c>
      <c r="F1112" s="14" t="n">
        <v>2855.22</v>
      </c>
      <c r="G1112" s="6" t="s">
        <v>15614</v>
      </c>
    </row>
    <row r="1113" customFormat="false" ht="15" hidden="false" customHeight="true" outlineLevel="0" collapsed="false">
      <c r="A1113" s="6" t="s">
        <v>16725</v>
      </c>
      <c r="B1113" s="6" t="s">
        <v>893</v>
      </c>
      <c r="C1113" s="6" t="s">
        <v>112</v>
      </c>
      <c r="D1113" s="6" t="s">
        <v>55</v>
      </c>
      <c r="E1113" s="14" t="n">
        <v>1427.61</v>
      </c>
      <c r="F1113" s="14" t="n">
        <v>4282.83</v>
      </c>
      <c r="G1113" s="6" t="s">
        <v>15614</v>
      </c>
    </row>
    <row r="1114" customFormat="false" ht="15" hidden="false" customHeight="true" outlineLevel="0" collapsed="false">
      <c r="A1114" s="6" t="s">
        <v>16726</v>
      </c>
      <c r="B1114" s="6" t="s">
        <v>893</v>
      </c>
      <c r="C1114" s="6" t="s">
        <v>112</v>
      </c>
      <c r="D1114" s="6" t="s">
        <v>56</v>
      </c>
      <c r="E1114" s="14" t="n">
        <v>1427.61</v>
      </c>
      <c r="F1114" s="14" t="n">
        <v>5710.44</v>
      </c>
      <c r="G1114" s="6" t="s">
        <v>15614</v>
      </c>
    </row>
    <row r="1115" customFormat="false" ht="15" hidden="false" customHeight="true" outlineLevel="0" collapsed="false">
      <c r="A1115" s="6" t="s">
        <v>16727</v>
      </c>
      <c r="B1115" s="6" t="s">
        <v>895</v>
      </c>
      <c r="C1115" s="6" t="s">
        <v>131</v>
      </c>
      <c r="D1115" s="6" t="s">
        <v>22</v>
      </c>
      <c r="E1115" s="14" t="n">
        <v>2048.87</v>
      </c>
      <c r="F1115" s="14" t="n">
        <v>2048.87</v>
      </c>
      <c r="G1115" s="6" t="s">
        <v>15614</v>
      </c>
    </row>
    <row r="1116" customFormat="false" ht="15" hidden="false" customHeight="true" outlineLevel="0" collapsed="false">
      <c r="A1116" s="6" t="s">
        <v>16728</v>
      </c>
      <c r="B1116" s="6" t="s">
        <v>895</v>
      </c>
      <c r="C1116" s="6" t="s">
        <v>131</v>
      </c>
      <c r="D1116" s="6" t="s">
        <v>22</v>
      </c>
      <c r="E1116" s="14" t="n">
        <v>2048.87</v>
      </c>
      <c r="F1116" s="14" t="n">
        <v>4097.74</v>
      </c>
      <c r="G1116" s="6" t="s">
        <v>15614</v>
      </c>
    </row>
    <row r="1117" customFormat="false" ht="15" hidden="false" customHeight="true" outlineLevel="0" collapsed="false">
      <c r="A1117" s="6" t="s">
        <v>16729</v>
      </c>
      <c r="B1117" s="6" t="s">
        <v>895</v>
      </c>
      <c r="C1117" s="6" t="s">
        <v>131</v>
      </c>
      <c r="D1117" s="6" t="s">
        <v>23</v>
      </c>
      <c r="E1117" s="14" t="n">
        <v>2048.87</v>
      </c>
      <c r="F1117" s="14" t="n">
        <v>6146.61</v>
      </c>
      <c r="G1117" s="6" t="s">
        <v>15614</v>
      </c>
    </row>
    <row r="1118" customFormat="false" ht="15" hidden="false" customHeight="true" outlineLevel="0" collapsed="false">
      <c r="A1118" s="6" t="s">
        <v>16730</v>
      </c>
      <c r="B1118" s="6" t="s">
        <v>897</v>
      </c>
      <c r="C1118" s="6" t="s">
        <v>116</v>
      </c>
      <c r="D1118" s="6" t="s">
        <v>31</v>
      </c>
      <c r="E1118" s="14" t="n">
        <v>2069.55</v>
      </c>
      <c r="F1118" s="14" t="n">
        <v>2069.55</v>
      </c>
      <c r="G1118" s="6" t="s">
        <v>15614</v>
      </c>
    </row>
    <row r="1119" customFormat="false" ht="15" hidden="false" customHeight="true" outlineLevel="0" collapsed="false">
      <c r="A1119" s="6" t="s">
        <v>16731</v>
      </c>
      <c r="B1119" s="6" t="s">
        <v>897</v>
      </c>
      <c r="C1119" s="6" t="s">
        <v>116</v>
      </c>
      <c r="D1119" s="6" t="s">
        <v>32</v>
      </c>
      <c r="E1119" s="14" t="n">
        <v>2069.55</v>
      </c>
      <c r="F1119" s="14" t="n">
        <v>4139.1</v>
      </c>
      <c r="G1119" s="6" t="s">
        <v>15614</v>
      </c>
    </row>
    <row r="1120" customFormat="false" ht="15" hidden="false" customHeight="true" outlineLevel="0" collapsed="false">
      <c r="A1120" s="6" t="s">
        <v>16732</v>
      </c>
      <c r="B1120" s="6" t="s">
        <v>897</v>
      </c>
      <c r="C1120" s="6" t="s">
        <v>116</v>
      </c>
      <c r="D1120" s="6" t="s">
        <v>33</v>
      </c>
      <c r="E1120" s="14" t="n">
        <v>2069.55</v>
      </c>
      <c r="F1120" s="14" t="n">
        <v>6208.65</v>
      </c>
      <c r="G1120" s="6" t="s">
        <v>15614</v>
      </c>
    </row>
    <row r="1121" customFormat="false" ht="15" hidden="false" customHeight="true" outlineLevel="0" collapsed="false">
      <c r="A1121" s="6" t="s">
        <v>16733</v>
      </c>
      <c r="B1121" s="6" t="s">
        <v>897</v>
      </c>
      <c r="C1121" s="6" t="s">
        <v>116</v>
      </c>
      <c r="D1121" s="6" t="s">
        <v>34</v>
      </c>
      <c r="E1121" s="14" t="n">
        <v>2069.55</v>
      </c>
      <c r="F1121" s="14" t="n">
        <v>8278.2</v>
      </c>
      <c r="G1121" s="6" t="s">
        <v>15614</v>
      </c>
    </row>
    <row r="1122" customFormat="false" ht="15" hidden="false" customHeight="true" outlineLevel="0" collapsed="false">
      <c r="A1122" s="6" t="s">
        <v>16734</v>
      </c>
      <c r="B1122" s="6" t="s">
        <v>899</v>
      </c>
      <c r="C1122" s="6" t="s">
        <v>112</v>
      </c>
      <c r="D1122" s="6" t="s">
        <v>16</v>
      </c>
      <c r="E1122" s="14" t="n">
        <v>2406.78</v>
      </c>
      <c r="F1122" s="14" t="n">
        <v>2406.78</v>
      </c>
      <c r="G1122" s="6" t="s">
        <v>15614</v>
      </c>
    </row>
    <row r="1123" customFormat="false" ht="15" hidden="false" customHeight="true" outlineLevel="0" collapsed="false">
      <c r="A1123" s="6" t="s">
        <v>16735</v>
      </c>
      <c r="B1123" s="6" t="s">
        <v>899</v>
      </c>
      <c r="C1123" s="6" t="s">
        <v>112</v>
      </c>
      <c r="D1123" s="6" t="s">
        <v>17</v>
      </c>
      <c r="E1123" s="14" t="n">
        <v>2406.78</v>
      </c>
      <c r="F1123" s="14" t="n">
        <v>4813.56</v>
      </c>
      <c r="G1123" s="6" t="s">
        <v>15614</v>
      </c>
    </row>
    <row r="1124" customFormat="false" ht="15" hidden="false" customHeight="true" outlineLevel="0" collapsed="false">
      <c r="A1124" s="6" t="s">
        <v>16736</v>
      </c>
      <c r="B1124" s="6" t="s">
        <v>899</v>
      </c>
      <c r="C1124" s="6" t="s">
        <v>112</v>
      </c>
      <c r="D1124" s="6" t="s">
        <v>18</v>
      </c>
      <c r="E1124" s="14" t="n">
        <v>2406.78</v>
      </c>
      <c r="F1124" s="14" t="n">
        <v>7220.34</v>
      </c>
      <c r="G1124" s="6" t="s">
        <v>15614</v>
      </c>
    </row>
    <row r="1125" customFormat="false" ht="15" hidden="false" customHeight="true" outlineLevel="0" collapsed="false">
      <c r="A1125" s="6" t="s">
        <v>16737</v>
      </c>
      <c r="B1125" s="6" t="s">
        <v>899</v>
      </c>
      <c r="C1125" s="6" t="s">
        <v>112</v>
      </c>
      <c r="D1125" s="6" t="s">
        <v>18</v>
      </c>
      <c r="E1125" s="14" t="n">
        <v>2406.78</v>
      </c>
      <c r="F1125" s="14" t="n">
        <v>9627.12</v>
      </c>
      <c r="G1125" s="6" t="s">
        <v>15614</v>
      </c>
    </row>
    <row r="1126" customFormat="false" ht="15" hidden="false" customHeight="true" outlineLevel="0" collapsed="false">
      <c r="A1126" s="6" t="s">
        <v>16738</v>
      </c>
      <c r="B1126" s="6" t="s">
        <v>899</v>
      </c>
      <c r="C1126" s="6" t="s">
        <v>112</v>
      </c>
      <c r="D1126" s="6" t="s">
        <v>19</v>
      </c>
      <c r="E1126" s="14" t="n">
        <v>2406.78</v>
      </c>
      <c r="F1126" s="14" t="n">
        <v>12033.9</v>
      </c>
      <c r="G1126" s="6" t="s">
        <v>15614</v>
      </c>
    </row>
    <row r="1127" customFormat="false" ht="15" hidden="false" customHeight="true" outlineLevel="0" collapsed="false">
      <c r="A1127" s="6" t="s">
        <v>16739</v>
      </c>
      <c r="B1127" s="6" t="s">
        <v>899</v>
      </c>
      <c r="C1127" s="6" t="s">
        <v>112</v>
      </c>
      <c r="D1127" s="6" t="s">
        <v>20</v>
      </c>
      <c r="E1127" s="14" t="n">
        <v>2406.78</v>
      </c>
      <c r="F1127" s="14" t="n">
        <v>14440.68</v>
      </c>
      <c r="G1127" s="6" t="s">
        <v>15614</v>
      </c>
    </row>
    <row r="1128" customFormat="false" ht="15" hidden="false" customHeight="true" outlineLevel="0" collapsed="false">
      <c r="A1128" s="6" t="s">
        <v>16740</v>
      </c>
      <c r="B1128" s="6" t="s">
        <v>901</v>
      </c>
      <c r="C1128" s="6" t="s">
        <v>124</v>
      </c>
      <c r="D1128" s="6" t="s">
        <v>12</v>
      </c>
      <c r="E1128" s="14" t="n">
        <v>1447.89</v>
      </c>
      <c r="F1128" s="14" t="n">
        <v>1447.89</v>
      </c>
      <c r="G1128" s="6" t="s">
        <v>15614</v>
      </c>
    </row>
    <row r="1129" customFormat="false" ht="15" hidden="false" customHeight="true" outlineLevel="0" collapsed="false">
      <c r="A1129" s="6" t="s">
        <v>16741</v>
      </c>
      <c r="B1129" s="6" t="s">
        <v>901</v>
      </c>
      <c r="C1129" s="6" t="s">
        <v>124</v>
      </c>
      <c r="D1129" s="6" t="s">
        <v>13</v>
      </c>
      <c r="E1129" s="14" t="n">
        <v>1447.89</v>
      </c>
      <c r="F1129" s="14" t="n">
        <v>2895.78</v>
      </c>
      <c r="G1129" s="6" t="s">
        <v>15614</v>
      </c>
    </row>
    <row r="1130" customFormat="false" ht="15" hidden="false" customHeight="true" outlineLevel="0" collapsed="false">
      <c r="A1130" s="6" t="s">
        <v>16742</v>
      </c>
      <c r="B1130" s="6" t="s">
        <v>901</v>
      </c>
      <c r="C1130" s="6" t="s">
        <v>124</v>
      </c>
      <c r="D1130" s="6" t="s">
        <v>14</v>
      </c>
      <c r="E1130" s="14" t="n">
        <v>1447.89</v>
      </c>
      <c r="F1130" s="14" t="n">
        <v>4343.67</v>
      </c>
      <c r="G1130" s="6" t="s">
        <v>15614</v>
      </c>
    </row>
    <row r="1131" customFormat="false" ht="15" hidden="false" customHeight="true" outlineLevel="0" collapsed="false">
      <c r="A1131" s="6" t="s">
        <v>16743</v>
      </c>
      <c r="B1131" s="6" t="s">
        <v>903</v>
      </c>
      <c r="C1131" s="6" t="s">
        <v>128</v>
      </c>
      <c r="D1131" s="6" t="s">
        <v>60</v>
      </c>
      <c r="E1131" s="14" t="n">
        <v>2834.37</v>
      </c>
      <c r="F1131" s="14" t="n">
        <v>2834.37</v>
      </c>
      <c r="G1131" s="6" t="s">
        <v>15614</v>
      </c>
    </row>
    <row r="1132" customFormat="false" ht="15" hidden="false" customHeight="true" outlineLevel="0" collapsed="false">
      <c r="A1132" s="6" t="s">
        <v>16744</v>
      </c>
      <c r="B1132" s="6" t="s">
        <v>903</v>
      </c>
      <c r="C1132" s="6" t="s">
        <v>128</v>
      </c>
      <c r="D1132" s="6" t="s">
        <v>61</v>
      </c>
      <c r="E1132" s="14" t="n">
        <v>2834.37</v>
      </c>
      <c r="F1132" s="14" t="n">
        <v>5668.74</v>
      </c>
      <c r="G1132" s="6" t="s">
        <v>15614</v>
      </c>
    </row>
    <row r="1133" customFormat="false" ht="15" hidden="false" customHeight="true" outlineLevel="0" collapsed="false">
      <c r="A1133" s="6" t="s">
        <v>16745</v>
      </c>
      <c r="B1133" s="6" t="s">
        <v>903</v>
      </c>
      <c r="C1133" s="6" t="s">
        <v>128</v>
      </c>
      <c r="D1133" s="6" t="s">
        <v>62</v>
      </c>
      <c r="E1133" s="14" t="n">
        <v>2834.37</v>
      </c>
      <c r="F1133" s="14" t="n">
        <v>8503.11</v>
      </c>
      <c r="G1133" s="6" t="s">
        <v>15614</v>
      </c>
    </row>
    <row r="1134" customFormat="false" ht="15" hidden="false" customHeight="true" outlineLevel="0" collapsed="false">
      <c r="A1134" s="6" t="s">
        <v>16746</v>
      </c>
      <c r="B1134" s="6" t="s">
        <v>903</v>
      </c>
      <c r="C1134" s="6" t="s">
        <v>128</v>
      </c>
      <c r="D1134" s="6" t="s">
        <v>63</v>
      </c>
      <c r="E1134" s="14" t="n">
        <v>2834.37</v>
      </c>
      <c r="F1134" s="14" t="n">
        <v>11337.48</v>
      </c>
      <c r="G1134" s="6" t="s">
        <v>15614</v>
      </c>
    </row>
    <row r="1135" customFormat="false" ht="15" hidden="false" customHeight="true" outlineLevel="0" collapsed="false">
      <c r="A1135" s="6" t="s">
        <v>16747</v>
      </c>
      <c r="B1135" s="6" t="s">
        <v>905</v>
      </c>
      <c r="C1135" s="6" t="s">
        <v>116</v>
      </c>
      <c r="D1135" s="6" t="s">
        <v>32</v>
      </c>
      <c r="E1135" s="14" t="n">
        <v>1201.51</v>
      </c>
      <c r="F1135" s="14" t="n">
        <v>1201.51</v>
      </c>
      <c r="G1135" s="6" t="s">
        <v>15614</v>
      </c>
    </row>
    <row r="1136" customFormat="false" ht="15" hidden="false" customHeight="true" outlineLevel="0" collapsed="false">
      <c r="A1136" s="6" t="s">
        <v>16748</v>
      </c>
      <c r="B1136" s="6" t="s">
        <v>905</v>
      </c>
      <c r="C1136" s="6" t="s">
        <v>116</v>
      </c>
      <c r="D1136" s="6" t="s">
        <v>33</v>
      </c>
      <c r="E1136" s="14" t="n">
        <v>1201.51</v>
      </c>
      <c r="F1136" s="14" t="n">
        <v>2403.02</v>
      </c>
      <c r="G1136" s="6" t="s">
        <v>15614</v>
      </c>
    </row>
    <row r="1137" customFormat="false" ht="15" hidden="false" customHeight="true" outlineLevel="0" collapsed="false">
      <c r="A1137" s="6" t="s">
        <v>16749</v>
      </c>
      <c r="B1137" s="6" t="s">
        <v>905</v>
      </c>
      <c r="C1137" s="6" t="s">
        <v>116</v>
      </c>
      <c r="D1137" s="6" t="s">
        <v>34</v>
      </c>
      <c r="E1137" s="14" t="n">
        <v>1201.51</v>
      </c>
      <c r="F1137" s="14" t="n">
        <v>3604.53</v>
      </c>
      <c r="G1137" s="6" t="s">
        <v>15614</v>
      </c>
    </row>
    <row r="1138" customFormat="false" ht="15" hidden="false" customHeight="true" outlineLevel="0" collapsed="false">
      <c r="A1138" s="6" t="s">
        <v>16750</v>
      </c>
      <c r="B1138" s="6" t="s">
        <v>905</v>
      </c>
      <c r="C1138" s="6" t="s">
        <v>116</v>
      </c>
      <c r="D1138" s="6" t="s">
        <v>35</v>
      </c>
      <c r="E1138" s="14" t="n">
        <v>1201.51</v>
      </c>
      <c r="F1138" s="14" t="n">
        <v>4806.04</v>
      </c>
      <c r="G1138" s="6" t="s">
        <v>15614</v>
      </c>
    </row>
    <row r="1139" customFormat="false" ht="15" hidden="false" customHeight="true" outlineLevel="0" collapsed="false">
      <c r="A1139" s="6" t="s">
        <v>16751</v>
      </c>
      <c r="B1139" s="6" t="s">
        <v>905</v>
      </c>
      <c r="C1139" s="6" t="s">
        <v>116</v>
      </c>
      <c r="D1139" s="6" t="s">
        <v>36</v>
      </c>
      <c r="E1139" s="14" t="n">
        <v>1201.51</v>
      </c>
      <c r="F1139" s="14" t="n">
        <v>6007.55</v>
      </c>
      <c r="G1139" s="6" t="s">
        <v>15614</v>
      </c>
    </row>
    <row r="1140" customFormat="false" ht="15" hidden="false" customHeight="true" outlineLevel="0" collapsed="false">
      <c r="A1140" s="6" t="s">
        <v>16752</v>
      </c>
      <c r="B1140" s="6" t="s">
        <v>907</v>
      </c>
      <c r="C1140" s="6" t="s">
        <v>112</v>
      </c>
      <c r="D1140" s="6" t="s">
        <v>42</v>
      </c>
      <c r="E1140" s="14" t="n">
        <v>5554.63</v>
      </c>
      <c r="F1140" s="14" t="n">
        <v>5554.63</v>
      </c>
      <c r="G1140" s="6" t="s">
        <v>15614</v>
      </c>
    </row>
    <row r="1141" customFormat="false" ht="15" hidden="false" customHeight="true" outlineLevel="0" collapsed="false">
      <c r="A1141" s="6" t="s">
        <v>16753</v>
      </c>
      <c r="B1141" s="6" t="s">
        <v>907</v>
      </c>
      <c r="C1141" s="6" t="s">
        <v>112</v>
      </c>
      <c r="D1141" s="6" t="s">
        <v>43</v>
      </c>
      <c r="E1141" s="14" t="n">
        <v>5554.63</v>
      </c>
      <c r="F1141" s="14" t="n">
        <v>11109.26</v>
      </c>
      <c r="G1141" s="6" t="s">
        <v>15614</v>
      </c>
    </row>
    <row r="1142" customFormat="false" ht="15" hidden="false" customHeight="true" outlineLevel="0" collapsed="false">
      <c r="A1142" s="6" t="s">
        <v>16754</v>
      </c>
      <c r="B1142" s="6" t="s">
        <v>909</v>
      </c>
      <c r="C1142" s="6" t="s">
        <v>116</v>
      </c>
      <c r="D1142" s="6" t="s">
        <v>24</v>
      </c>
      <c r="E1142" s="14" t="n">
        <v>541.93</v>
      </c>
      <c r="F1142" s="14" t="n">
        <v>541.93</v>
      </c>
      <c r="G1142" s="6" t="s">
        <v>15614</v>
      </c>
    </row>
    <row r="1143" customFormat="false" ht="15" hidden="false" customHeight="true" outlineLevel="0" collapsed="false">
      <c r="A1143" s="6" t="s">
        <v>16755</v>
      </c>
      <c r="B1143" s="6" t="s">
        <v>909</v>
      </c>
      <c r="C1143" s="6" t="s">
        <v>116</v>
      </c>
      <c r="D1143" s="6" t="s">
        <v>25</v>
      </c>
      <c r="E1143" s="14" t="n">
        <v>541.93</v>
      </c>
      <c r="F1143" s="14" t="n">
        <v>1083.86</v>
      </c>
      <c r="G1143" s="6" t="s">
        <v>15614</v>
      </c>
    </row>
    <row r="1144" customFormat="false" ht="15" hidden="false" customHeight="true" outlineLevel="0" collapsed="false">
      <c r="A1144" s="6" t="s">
        <v>16756</v>
      </c>
      <c r="B1144" s="6" t="s">
        <v>909</v>
      </c>
      <c r="C1144" s="6" t="s">
        <v>116</v>
      </c>
      <c r="D1144" s="6" t="s">
        <v>26</v>
      </c>
      <c r="E1144" s="14" t="n">
        <v>541.93</v>
      </c>
      <c r="F1144" s="14" t="n">
        <v>1625.79</v>
      </c>
      <c r="G1144" s="6" t="s">
        <v>15614</v>
      </c>
    </row>
    <row r="1145" customFormat="false" ht="15" hidden="false" customHeight="true" outlineLevel="0" collapsed="false">
      <c r="A1145" s="6" t="s">
        <v>16757</v>
      </c>
      <c r="B1145" s="6" t="s">
        <v>909</v>
      </c>
      <c r="C1145" s="6" t="s">
        <v>116</v>
      </c>
      <c r="D1145" s="6" t="s">
        <v>27</v>
      </c>
      <c r="E1145" s="14" t="n">
        <v>541.93</v>
      </c>
      <c r="F1145" s="14" t="n">
        <v>2167.72</v>
      </c>
      <c r="G1145" s="6" t="s">
        <v>15614</v>
      </c>
    </row>
    <row r="1146" customFormat="false" ht="15" hidden="false" customHeight="true" outlineLevel="0" collapsed="false">
      <c r="A1146" s="6" t="s">
        <v>16758</v>
      </c>
      <c r="B1146" s="6" t="s">
        <v>909</v>
      </c>
      <c r="C1146" s="6" t="s">
        <v>116</v>
      </c>
      <c r="D1146" s="6" t="s">
        <v>28</v>
      </c>
      <c r="E1146" s="14" t="n">
        <v>541.93</v>
      </c>
      <c r="F1146" s="14" t="n">
        <v>2709.65</v>
      </c>
      <c r="G1146" s="6" t="s">
        <v>15614</v>
      </c>
    </row>
    <row r="1147" customFormat="false" ht="15" hidden="false" customHeight="true" outlineLevel="0" collapsed="false">
      <c r="A1147" s="6" t="s">
        <v>16759</v>
      </c>
      <c r="B1147" s="6" t="s">
        <v>909</v>
      </c>
      <c r="C1147" s="6" t="s">
        <v>116</v>
      </c>
      <c r="D1147" s="6" t="s">
        <v>29</v>
      </c>
      <c r="E1147" s="14" t="n">
        <v>541.93</v>
      </c>
      <c r="F1147" s="14" t="n">
        <v>3251.58</v>
      </c>
      <c r="G1147" s="6" t="s">
        <v>15614</v>
      </c>
    </row>
    <row r="1148" customFormat="false" ht="15" hidden="false" customHeight="true" outlineLevel="0" collapsed="false">
      <c r="A1148" s="6" t="s">
        <v>16760</v>
      </c>
      <c r="B1148" s="6" t="s">
        <v>909</v>
      </c>
      <c r="C1148" s="6" t="s">
        <v>116</v>
      </c>
      <c r="D1148" s="6" t="s">
        <v>30</v>
      </c>
      <c r="E1148" s="14" t="n">
        <v>541.93</v>
      </c>
      <c r="F1148" s="14" t="n">
        <v>3793.51</v>
      </c>
      <c r="G1148" s="6" t="s">
        <v>15614</v>
      </c>
    </row>
    <row r="1149" customFormat="false" ht="15" hidden="false" customHeight="true" outlineLevel="0" collapsed="false">
      <c r="A1149" s="6" t="s">
        <v>16761</v>
      </c>
      <c r="B1149" s="6" t="s">
        <v>911</v>
      </c>
      <c r="C1149" s="6" t="s">
        <v>112</v>
      </c>
      <c r="D1149" s="6" t="s">
        <v>50</v>
      </c>
      <c r="E1149" s="14" t="n">
        <v>4240.38</v>
      </c>
      <c r="F1149" s="14" t="n">
        <v>4240.38</v>
      </c>
      <c r="G1149" s="6" t="s">
        <v>15614</v>
      </c>
    </row>
    <row r="1150" customFormat="false" ht="15" hidden="false" customHeight="true" outlineLevel="0" collapsed="false">
      <c r="A1150" s="6" t="s">
        <v>16762</v>
      </c>
      <c r="B1150" s="6" t="s">
        <v>911</v>
      </c>
      <c r="C1150" s="6" t="s">
        <v>112</v>
      </c>
      <c r="D1150" s="6" t="s">
        <v>51</v>
      </c>
      <c r="E1150" s="14" t="n">
        <v>4240.38</v>
      </c>
      <c r="F1150" s="14" t="n">
        <v>8480.76</v>
      </c>
      <c r="G1150" s="6" t="s">
        <v>15614</v>
      </c>
    </row>
    <row r="1151" customFormat="false" ht="15" hidden="false" customHeight="true" outlineLevel="0" collapsed="false">
      <c r="A1151" s="6" t="s">
        <v>16763</v>
      </c>
      <c r="B1151" s="6" t="s">
        <v>911</v>
      </c>
      <c r="C1151" s="6" t="s">
        <v>112</v>
      </c>
      <c r="D1151" s="6" t="s">
        <v>52</v>
      </c>
      <c r="E1151" s="14" t="n">
        <v>4240.38</v>
      </c>
      <c r="F1151" s="14" t="n">
        <v>12721.14</v>
      </c>
      <c r="G1151" s="6" t="s">
        <v>15614</v>
      </c>
    </row>
    <row r="1152" customFormat="false" ht="15" hidden="false" customHeight="true" outlineLevel="0" collapsed="false">
      <c r="A1152" s="6" t="s">
        <v>16764</v>
      </c>
      <c r="B1152" s="6" t="s">
        <v>911</v>
      </c>
      <c r="C1152" s="6" t="s">
        <v>112</v>
      </c>
      <c r="D1152" s="6" t="s">
        <v>53</v>
      </c>
      <c r="E1152" s="14" t="n">
        <v>4240.38</v>
      </c>
      <c r="F1152" s="14" t="n">
        <v>16961.52</v>
      </c>
      <c r="G1152" s="6" t="s">
        <v>15614</v>
      </c>
    </row>
    <row r="1153" customFormat="false" ht="15" hidden="false" customHeight="true" outlineLevel="0" collapsed="false">
      <c r="A1153" s="6" t="s">
        <v>16765</v>
      </c>
      <c r="B1153" s="6" t="s">
        <v>913</v>
      </c>
      <c r="C1153" s="6" t="s">
        <v>124</v>
      </c>
      <c r="D1153" s="6" t="s">
        <v>61</v>
      </c>
      <c r="E1153" s="14" t="n">
        <v>1880.57</v>
      </c>
      <c r="F1153" s="14" t="n">
        <v>1880.57</v>
      </c>
      <c r="G1153" s="6" t="s">
        <v>15614</v>
      </c>
    </row>
    <row r="1154" customFormat="false" ht="15" hidden="false" customHeight="true" outlineLevel="0" collapsed="false">
      <c r="A1154" s="6" t="s">
        <v>16766</v>
      </c>
      <c r="B1154" s="6" t="s">
        <v>913</v>
      </c>
      <c r="C1154" s="6" t="s">
        <v>124</v>
      </c>
      <c r="D1154" s="6" t="s">
        <v>62</v>
      </c>
      <c r="E1154" s="14" t="n">
        <v>1880.57</v>
      </c>
      <c r="F1154" s="14" t="n">
        <v>3761.14</v>
      </c>
      <c r="G1154" s="6" t="s">
        <v>15614</v>
      </c>
    </row>
    <row r="1155" customFormat="false" ht="15" hidden="false" customHeight="true" outlineLevel="0" collapsed="false">
      <c r="A1155" s="6" t="s">
        <v>16767</v>
      </c>
      <c r="B1155" s="6" t="s">
        <v>913</v>
      </c>
      <c r="C1155" s="6" t="s">
        <v>124</v>
      </c>
      <c r="D1155" s="6" t="s">
        <v>63</v>
      </c>
      <c r="E1155" s="14" t="n">
        <v>1880.57</v>
      </c>
      <c r="F1155" s="14" t="n">
        <v>5641.71</v>
      </c>
      <c r="G1155" s="6" t="s">
        <v>15614</v>
      </c>
    </row>
    <row r="1156" customFormat="false" ht="15" hidden="false" customHeight="true" outlineLevel="0" collapsed="false">
      <c r="A1156" s="6" t="s">
        <v>16768</v>
      </c>
      <c r="B1156" s="6" t="s">
        <v>913</v>
      </c>
      <c r="C1156" s="6" t="s">
        <v>124</v>
      </c>
      <c r="D1156" s="6" t="s">
        <v>64</v>
      </c>
      <c r="E1156" s="14" t="n">
        <v>1880.57</v>
      </c>
      <c r="F1156" s="14" t="n">
        <v>7522.28</v>
      </c>
      <c r="G1156" s="6" t="s">
        <v>15614</v>
      </c>
    </row>
    <row r="1157" customFormat="false" ht="15" hidden="false" customHeight="true" outlineLevel="0" collapsed="false">
      <c r="A1157" s="6" t="s">
        <v>16769</v>
      </c>
      <c r="B1157" s="6" t="s">
        <v>913</v>
      </c>
      <c r="C1157" s="6" t="s">
        <v>124</v>
      </c>
      <c r="D1157" s="6" t="s">
        <v>65</v>
      </c>
      <c r="E1157" s="14" t="n">
        <v>1880.57</v>
      </c>
      <c r="F1157" s="14" t="n">
        <v>9402.85</v>
      </c>
      <c r="G1157" s="6" t="s">
        <v>15614</v>
      </c>
    </row>
    <row r="1158" customFormat="false" ht="15" hidden="false" customHeight="true" outlineLevel="0" collapsed="false">
      <c r="A1158" s="6" t="s">
        <v>16770</v>
      </c>
      <c r="B1158" s="6" t="s">
        <v>915</v>
      </c>
      <c r="C1158" s="6" t="s">
        <v>131</v>
      </c>
      <c r="D1158" s="6" t="s">
        <v>47</v>
      </c>
      <c r="E1158" s="14" t="n">
        <v>472.41</v>
      </c>
      <c r="F1158" s="14" t="n">
        <v>472.41</v>
      </c>
      <c r="G1158" s="6" t="s">
        <v>15614</v>
      </c>
    </row>
    <row r="1159" customFormat="false" ht="15" hidden="false" customHeight="true" outlineLevel="0" collapsed="false">
      <c r="A1159" s="6" t="s">
        <v>16771</v>
      </c>
      <c r="B1159" s="6" t="s">
        <v>915</v>
      </c>
      <c r="C1159" s="6" t="s">
        <v>131</v>
      </c>
      <c r="D1159" s="6" t="s">
        <v>48</v>
      </c>
      <c r="E1159" s="14" t="n">
        <v>472.41</v>
      </c>
      <c r="F1159" s="14" t="n">
        <v>944.82</v>
      </c>
      <c r="G1159" s="6" t="s">
        <v>15614</v>
      </c>
    </row>
    <row r="1160" customFormat="false" ht="15" hidden="false" customHeight="true" outlineLevel="0" collapsed="false">
      <c r="A1160" s="6" t="s">
        <v>16772</v>
      </c>
      <c r="B1160" s="6" t="s">
        <v>915</v>
      </c>
      <c r="C1160" s="6" t="s">
        <v>131</v>
      </c>
      <c r="D1160" s="6" t="s">
        <v>49</v>
      </c>
      <c r="E1160" s="14" t="n">
        <v>472.41</v>
      </c>
      <c r="F1160" s="14" t="n">
        <v>1417.23</v>
      </c>
      <c r="G1160" s="6" t="s">
        <v>15614</v>
      </c>
    </row>
    <row r="1161" customFormat="false" ht="15" hidden="false" customHeight="true" outlineLevel="0" collapsed="false">
      <c r="A1161" s="6" t="s">
        <v>16773</v>
      </c>
      <c r="B1161" s="6" t="s">
        <v>917</v>
      </c>
      <c r="C1161" s="6" t="s">
        <v>124</v>
      </c>
      <c r="D1161" s="6" t="s">
        <v>61</v>
      </c>
      <c r="E1161" s="14" t="n">
        <v>1962.41</v>
      </c>
      <c r="F1161" s="14" t="n">
        <v>1962.41</v>
      </c>
      <c r="G1161" s="6" t="s">
        <v>15614</v>
      </c>
    </row>
    <row r="1162" customFormat="false" ht="15" hidden="false" customHeight="true" outlineLevel="0" collapsed="false">
      <c r="A1162" s="6" t="s">
        <v>16774</v>
      </c>
      <c r="B1162" s="6" t="s">
        <v>917</v>
      </c>
      <c r="C1162" s="6" t="s">
        <v>124</v>
      </c>
      <c r="D1162" s="6" t="s">
        <v>62</v>
      </c>
      <c r="E1162" s="14" t="n">
        <v>1962.41</v>
      </c>
      <c r="F1162" s="14" t="n">
        <v>3924.82</v>
      </c>
      <c r="G1162" s="6" t="s">
        <v>15614</v>
      </c>
    </row>
    <row r="1163" customFormat="false" ht="15" hidden="false" customHeight="true" outlineLevel="0" collapsed="false">
      <c r="A1163" s="6" t="s">
        <v>16775</v>
      </c>
      <c r="B1163" s="6" t="s">
        <v>917</v>
      </c>
      <c r="C1163" s="6" t="s">
        <v>124</v>
      </c>
      <c r="D1163" s="6" t="s">
        <v>63</v>
      </c>
      <c r="E1163" s="14" t="n">
        <v>1962.41</v>
      </c>
      <c r="F1163" s="14" t="n">
        <v>5887.23</v>
      </c>
      <c r="G1163" s="6" t="s">
        <v>15614</v>
      </c>
    </row>
    <row r="1164" customFormat="false" ht="15" hidden="false" customHeight="true" outlineLevel="0" collapsed="false">
      <c r="A1164" s="6" t="s">
        <v>16776</v>
      </c>
      <c r="B1164" s="6" t="s">
        <v>917</v>
      </c>
      <c r="C1164" s="6" t="s">
        <v>124</v>
      </c>
      <c r="D1164" s="6" t="s">
        <v>64</v>
      </c>
      <c r="E1164" s="14" t="n">
        <v>1962.41</v>
      </c>
      <c r="F1164" s="14" t="n">
        <v>7849.64</v>
      </c>
      <c r="G1164" s="6" t="s">
        <v>15614</v>
      </c>
    </row>
    <row r="1165" customFormat="false" ht="15" hidden="false" customHeight="true" outlineLevel="0" collapsed="false">
      <c r="A1165" s="6" t="s">
        <v>16777</v>
      </c>
      <c r="B1165" s="6" t="s">
        <v>919</v>
      </c>
      <c r="C1165" s="6" t="s">
        <v>131</v>
      </c>
      <c r="D1165" s="6" t="s">
        <v>19</v>
      </c>
      <c r="E1165" s="14" t="n">
        <v>133.27</v>
      </c>
      <c r="F1165" s="14" t="n">
        <v>133.27</v>
      </c>
      <c r="G1165" s="6" t="s">
        <v>15614</v>
      </c>
    </row>
    <row r="1166" customFormat="false" ht="15" hidden="false" customHeight="true" outlineLevel="0" collapsed="false">
      <c r="A1166" s="6" t="s">
        <v>16778</v>
      </c>
      <c r="B1166" s="6" t="s">
        <v>919</v>
      </c>
      <c r="C1166" s="6" t="s">
        <v>131</v>
      </c>
      <c r="D1166" s="6" t="s">
        <v>20</v>
      </c>
      <c r="E1166" s="14" t="n">
        <v>133.27</v>
      </c>
      <c r="F1166" s="14" t="n">
        <v>266.54</v>
      </c>
      <c r="G1166" s="6" t="s">
        <v>15614</v>
      </c>
    </row>
    <row r="1167" customFormat="false" ht="15" hidden="false" customHeight="true" outlineLevel="0" collapsed="false">
      <c r="A1167" s="6" t="s">
        <v>16779</v>
      </c>
      <c r="B1167" s="6" t="s">
        <v>919</v>
      </c>
      <c r="C1167" s="6" t="s">
        <v>131</v>
      </c>
      <c r="D1167" s="6" t="s">
        <v>21</v>
      </c>
      <c r="E1167" s="14" t="n">
        <v>133.27</v>
      </c>
      <c r="F1167" s="14" t="n">
        <v>399.81</v>
      </c>
      <c r="G1167" s="6" t="s">
        <v>15614</v>
      </c>
    </row>
    <row r="1168" customFormat="false" ht="15" hidden="false" customHeight="true" outlineLevel="0" collapsed="false">
      <c r="A1168" s="6" t="s">
        <v>16780</v>
      </c>
      <c r="B1168" s="6" t="s">
        <v>919</v>
      </c>
      <c r="C1168" s="6" t="s">
        <v>131</v>
      </c>
      <c r="D1168" s="6" t="s">
        <v>22</v>
      </c>
      <c r="E1168" s="14" t="n">
        <v>133.27</v>
      </c>
      <c r="F1168" s="14" t="n">
        <v>533.08</v>
      </c>
      <c r="G1168" s="6" t="s">
        <v>15614</v>
      </c>
    </row>
    <row r="1169" customFormat="false" ht="15" hidden="false" customHeight="true" outlineLevel="0" collapsed="false">
      <c r="A1169" s="6" t="s">
        <v>16781</v>
      </c>
      <c r="B1169" s="6" t="s">
        <v>921</v>
      </c>
      <c r="C1169" s="6" t="s">
        <v>124</v>
      </c>
      <c r="D1169" s="6" t="s">
        <v>27</v>
      </c>
      <c r="E1169" s="14" t="n">
        <v>2777.39</v>
      </c>
      <c r="F1169" s="14" t="n">
        <v>2777.39</v>
      </c>
      <c r="G1169" s="6" t="s">
        <v>15614</v>
      </c>
    </row>
    <row r="1170" customFormat="false" ht="15" hidden="false" customHeight="true" outlineLevel="0" collapsed="false">
      <c r="A1170" s="6" t="s">
        <v>16782</v>
      </c>
      <c r="B1170" s="6" t="s">
        <v>921</v>
      </c>
      <c r="C1170" s="6" t="s">
        <v>124</v>
      </c>
      <c r="D1170" s="6" t="s">
        <v>28</v>
      </c>
      <c r="E1170" s="14" t="n">
        <v>2777.39</v>
      </c>
      <c r="F1170" s="14" t="n">
        <v>5554.78</v>
      </c>
      <c r="G1170" s="6" t="s">
        <v>15614</v>
      </c>
    </row>
    <row r="1171" customFormat="false" ht="15" hidden="false" customHeight="true" outlineLevel="0" collapsed="false">
      <c r="A1171" s="6" t="s">
        <v>16783</v>
      </c>
      <c r="B1171" s="6" t="s">
        <v>921</v>
      </c>
      <c r="C1171" s="6" t="s">
        <v>124</v>
      </c>
      <c r="D1171" s="6" t="s">
        <v>29</v>
      </c>
      <c r="E1171" s="14" t="n">
        <v>2777.39</v>
      </c>
      <c r="F1171" s="14" t="n">
        <v>8332.17</v>
      </c>
      <c r="G1171" s="6" t="s">
        <v>15614</v>
      </c>
    </row>
    <row r="1172" customFormat="false" ht="15" hidden="false" customHeight="true" outlineLevel="0" collapsed="false">
      <c r="A1172" s="6" t="s">
        <v>16784</v>
      </c>
      <c r="B1172" s="6" t="s">
        <v>921</v>
      </c>
      <c r="C1172" s="6" t="s">
        <v>124</v>
      </c>
      <c r="D1172" s="6" t="s">
        <v>30</v>
      </c>
      <c r="E1172" s="14" t="n">
        <v>2777.39</v>
      </c>
      <c r="F1172" s="14" t="n">
        <v>11109.56</v>
      </c>
      <c r="G1172" s="6" t="s">
        <v>15614</v>
      </c>
    </row>
    <row r="1173" customFormat="false" ht="15" hidden="false" customHeight="true" outlineLevel="0" collapsed="false">
      <c r="A1173" s="6" t="s">
        <v>16785</v>
      </c>
      <c r="B1173" s="6" t="s">
        <v>923</v>
      </c>
      <c r="C1173" s="6" t="s">
        <v>131</v>
      </c>
      <c r="D1173" s="6" t="s">
        <v>56</v>
      </c>
      <c r="E1173" s="14" t="n">
        <v>4702.45</v>
      </c>
      <c r="F1173" s="14" t="n">
        <v>4702.45</v>
      </c>
      <c r="G1173" s="6" t="s">
        <v>15614</v>
      </c>
    </row>
    <row r="1174" customFormat="false" ht="15" hidden="false" customHeight="true" outlineLevel="0" collapsed="false">
      <c r="A1174" s="6" t="s">
        <v>16786</v>
      </c>
      <c r="B1174" s="6" t="s">
        <v>923</v>
      </c>
      <c r="C1174" s="6" t="s">
        <v>131</v>
      </c>
      <c r="D1174" s="6" t="s">
        <v>57</v>
      </c>
      <c r="E1174" s="14" t="n">
        <v>4702.45</v>
      </c>
      <c r="F1174" s="14" t="n">
        <v>9404.9</v>
      </c>
      <c r="G1174" s="6" t="s">
        <v>15614</v>
      </c>
    </row>
    <row r="1175" customFormat="false" ht="15" hidden="false" customHeight="true" outlineLevel="0" collapsed="false">
      <c r="A1175" s="6" t="s">
        <v>16787</v>
      </c>
      <c r="B1175" s="6" t="s">
        <v>923</v>
      </c>
      <c r="C1175" s="6" t="s">
        <v>131</v>
      </c>
      <c r="D1175" s="6" t="s">
        <v>58</v>
      </c>
      <c r="E1175" s="14" t="n">
        <v>4702.45</v>
      </c>
      <c r="F1175" s="14" t="n">
        <v>14107.35</v>
      </c>
      <c r="G1175" s="6" t="s">
        <v>15614</v>
      </c>
    </row>
    <row r="1176" customFormat="false" ht="15" hidden="false" customHeight="true" outlineLevel="0" collapsed="false">
      <c r="A1176" s="6" t="s">
        <v>16788</v>
      </c>
      <c r="B1176" s="6" t="s">
        <v>923</v>
      </c>
      <c r="C1176" s="6" t="s">
        <v>131</v>
      </c>
      <c r="D1176" s="6" t="s">
        <v>58</v>
      </c>
      <c r="E1176" s="14" t="n">
        <v>4702.45</v>
      </c>
      <c r="F1176" s="14" t="n">
        <v>18809.8</v>
      </c>
      <c r="G1176" s="6" t="s">
        <v>15614</v>
      </c>
    </row>
    <row r="1177" customFormat="false" ht="15" hidden="false" customHeight="true" outlineLevel="0" collapsed="false">
      <c r="A1177" s="6" t="s">
        <v>16789</v>
      </c>
      <c r="B1177" s="6" t="s">
        <v>925</v>
      </c>
      <c r="C1177" s="6" t="s">
        <v>116</v>
      </c>
      <c r="D1177" s="6" t="s">
        <v>58</v>
      </c>
      <c r="E1177" s="14" t="n">
        <v>475.97</v>
      </c>
      <c r="F1177" s="14" t="n">
        <v>475.97</v>
      </c>
      <c r="G1177" s="6" t="s">
        <v>15614</v>
      </c>
    </row>
    <row r="1178" customFormat="false" ht="15" hidden="false" customHeight="true" outlineLevel="0" collapsed="false">
      <c r="A1178" s="6" t="s">
        <v>16790</v>
      </c>
      <c r="B1178" s="6" t="s">
        <v>925</v>
      </c>
      <c r="C1178" s="6" t="s">
        <v>116</v>
      </c>
      <c r="D1178" s="6" t="s">
        <v>59</v>
      </c>
      <c r="E1178" s="14" t="n">
        <v>475.97</v>
      </c>
      <c r="F1178" s="14" t="n">
        <v>951.94</v>
      </c>
      <c r="G1178" s="6" t="s">
        <v>15614</v>
      </c>
    </row>
    <row r="1179" customFormat="false" ht="15" hidden="false" customHeight="true" outlineLevel="0" collapsed="false">
      <c r="A1179" s="6" t="s">
        <v>16791</v>
      </c>
      <c r="B1179" s="6" t="s">
        <v>925</v>
      </c>
      <c r="C1179" s="6" t="s">
        <v>116</v>
      </c>
      <c r="D1179" s="6" t="s">
        <v>60</v>
      </c>
      <c r="E1179" s="14" t="n">
        <v>475.97</v>
      </c>
      <c r="F1179" s="14" t="n">
        <v>1427.91</v>
      </c>
      <c r="G1179" s="6" t="s">
        <v>15614</v>
      </c>
    </row>
    <row r="1180" customFormat="false" ht="15" hidden="false" customHeight="true" outlineLevel="0" collapsed="false">
      <c r="A1180" s="6" t="s">
        <v>16792</v>
      </c>
      <c r="B1180" s="6" t="s">
        <v>925</v>
      </c>
      <c r="C1180" s="6" t="s">
        <v>116</v>
      </c>
      <c r="D1180" s="6" t="s">
        <v>61</v>
      </c>
      <c r="E1180" s="14" t="n">
        <v>475.97</v>
      </c>
      <c r="F1180" s="14" t="n">
        <v>1903.88</v>
      </c>
      <c r="G1180" s="6" t="s">
        <v>15614</v>
      </c>
    </row>
    <row r="1181" customFormat="false" ht="15" hidden="false" customHeight="true" outlineLevel="0" collapsed="false">
      <c r="A1181" s="6" t="s">
        <v>16793</v>
      </c>
      <c r="B1181" s="6" t="s">
        <v>925</v>
      </c>
      <c r="C1181" s="6" t="s">
        <v>116</v>
      </c>
      <c r="D1181" s="6" t="s">
        <v>62</v>
      </c>
      <c r="E1181" s="14" t="n">
        <v>475.97</v>
      </c>
      <c r="F1181" s="14" t="n">
        <v>2379.85</v>
      </c>
      <c r="G1181" s="6" t="s">
        <v>15614</v>
      </c>
    </row>
    <row r="1182" customFormat="false" ht="15" hidden="false" customHeight="true" outlineLevel="0" collapsed="false">
      <c r="A1182" s="6" t="s">
        <v>16794</v>
      </c>
      <c r="B1182" s="6" t="s">
        <v>925</v>
      </c>
      <c r="C1182" s="6" t="s">
        <v>116</v>
      </c>
      <c r="D1182" s="6" t="s">
        <v>63</v>
      </c>
      <c r="E1182" s="14" t="n">
        <v>475.97</v>
      </c>
      <c r="F1182" s="14" t="n">
        <v>2855.82</v>
      </c>
      <c r="G1182" s="6" t="s">
        <v>15614</v>
      </c>
    </row>
    <row r="1183" customFormat="false" ht="15" hidden="false" customHeight="true" outlineLevel="0" collapsed="false">
      <c r="A1183" s="6" t="s">
        <v>16795</v>
      </c>
      <c r="B1183" s="6" t="s">
        <v>927</v>
      </c>
      <c r="C1183" s="6" t="s">
        <v>116</v>
      </c>
      <c r="D1183" s="6" t="s">
        <v>26</v>
      </c>
      <c r="E1183" s="14" t="n">
        <v>1375.76</v>
      </c>
      <c r="F1183" s="14" t="n">
        <v>1375.76</v>
      </c>
      <c r="G1183" s="6" t="s">
        <v>15614</v>
      </c>
    </row>
    <row r="1184" customFormat="false" ht="15" hidden="false" customHeight="true" outlineLevel="0" collapsed="false">
      <c r="A1184" s="6" t="s">
        <v>16796</v>
      </c>
      <c r="B1184" s="6" t="s">
        <v>927</v>
      </c>
      <c r="C1184" s="6" t="s">
        <v>116</v>
      </c>
      <c r="D1184" s="6" t="s">
        <v>27</v>
      </c>
      <c r="E1184" s="14" t="n">
        <v>1375.76</v>
      </c>
      <c r="F1184" s="14" t="n">
        <v>2751.52</v>
      </c>
      <c r="G1184" s="6" t="s">
        <v>15614</v>
      </c>
    </row>
    <row r="1185" customFormat="false" ht="15" hidden="false" customHeight="true" outlineLevel="0" collapsed="false">
      <c r="A1185" s="6" t="s">
        <v>16797</v>
      </c>
      <c r="B1185" s="6" t="s">
        <v>927</v>
      </c>
      <c r="C1185" s="6" t="s">
        <v>116</v>
      </c>
      <c r="D1185" s="6" t="s">
        <v>28</v>
      </c>
      <c r="E1185" s="14" t="n">
        <v>1375.76</v>
      </c>
      <c r="F1185" s="14" t="n">
        <v>4127.28</v>
      </c>
      <c r="G1185" s="6" t="s">
        <v>15614</v>
      </c>
    </row>
    <row r="1186" customFormat="false" ht="15" hidden="false" customHeight="true" outlineLevel="0" collapsed="false">
      <c r="A1186" s="6" t="s">
        <v>16798</v>
      </c>
      <c r="B1186" s="6" t="s">
        <v>927</v>
      </c>
      <c r="C1186" s="6" t="s">
        <v>116</v>
      </c>
      <c r="D1186" s="6" t="s">
        <v>29</v>
      </c>
      <c r="E1186" s="14" t="n">
        <v>1375.76</v>
      </c>
      <c r="F1186" s="14" t="n">
        <v>5503.04</v>
      </c>
      <c r="G1186" s="6" t="s">
        <v>15614</v>
      </c>
    </row>
    <row r="1187" customFormat="false" ht="15" hidden="false" customHeight="true" outlineLevel="0" collapsed="false">
      <c r="A1187" s="6" t="s">
        <v>16799</v>
      </c>
      <c r="B1187" s="6" t="s">
        <v>927</v>
      </c>
      <c r="C1187" s="6" t="s">
        <v>116</v>
      </c>
      <c r="D1187" s="6" t="s">
        <v>30</v>
      </c>
      <c r="E1187" s="14" t="n">
        <v>1375.76</v>
      </c>
      <c r="F1187" s="14" t="n">
        <v>6878.8</v>
      </c>
      <c r="G1187" s="6" t="s">
        <v>15614</v>
      </c>
    </row>
    <row r="1188" customFormat="false" ht="15" hidden="false" customHeight="true" outlineLevel="0" collapsed="false">
      <c r="A1188" s="6" t="s">
        <v>16800</v>
      </c>
      <c r="B1188" s="6" t="s">
        <v>929</v>
      </c>
      <c r="C1188" s="6" t="s">
        <v>128</v>
      </c>
      <c r="D1188" s="6" t="s">
        <v>44</v>
      </c>
      <c r="E1188" s="14" t="n">
        <v>1574.86</v>
      </c>
      <c r="F1188" s="14" t="n">
        <v>1574.86</v>
      </c>
      <c r="G1188" s="6" t="s">
        <v>15614</v>
      </c>
    </row>
    <row r="1189" customFormat="false" ht="15" hidden="false" customHeight="true" outlineLevel="0" collapsed="false">
      <c r="A1189" s="6" t="s">
        <v>16801</v>
      </c>
      <c r="B1189" s="6" t="s">
        <v>929</v>
      </c>
      <c r="C1189" s="6" t="s">
        <v>128</v>
      </c>
      <c r="D1189" s="6" t="s">
        <v>45</v>
      </c>
      <c r="E1189" s="14" t="n">
        <v>1574.86</v>
      </c>
      <c r="F1189" s="14" t="n">
        <v>3149.72</v>
      </c>
      <c r="G1189" s="6" t="s">
        <v>15614</v>
      </c>
    </row>
    <row r="1190" customFormat="false" ht="15" hidden="false" customHeight="true" outlineLevel="0" collapsed="false">
      <c r="A1190" s="6" t="s">
        <v>16802</v>
      </c>
      <c r="B1190" s="6" t="s">
        <v>929</v>
      </c>
      <c r="C1190" s="6" t="s">
        <v>128</v>
      </c>
      <c r="D1190" s="6" t="s">
        <v>46</v>
      </c>
      <c r="E1190" s="14" t="n">
        <v>1574.86</v>
      </c>
      <c r="F1190" s="14" t="n">
        <v>4724.58</v>
      </c>
      <c r="G1190" s="6" t="s">
        <v>15614</v>
      </c>
    </row>
    <row r="1191" customFormat="false" ht="15" hidden="false" customHeight="true" outlineLevel="0" collapsed="false">
      <c r="A1191" s="6" t="s">
        <v>16803</v>
      </c>
      <c r="B1191" s="6" t="s">
        <v>931</v>
      </c>
      <c r="C1191" s="6" t="s">
        <v>131</v>
      </c>
      <c r="D1191" s="6" t="s">
        <v>55</v>
      </c>
      <c r="E1191" s="14" t="n">
        <v>699.16</v>
      </c>
      <c r="F1191" s="14" t="n">
        <v>699.16</v>
      </c>
      <c r="G1191" s="6" t="s">
        <v>15614</v>
      </c>
    </row>
    <row r="1192" customFormat="false" ht="15" hidden="false" customHeight="true" outlineLevel="0" collapsed="false">
      <c r="A1192" s="6" t="s">
        <v>16804</v>
      </c>
      <c r="B1192" s="6" t="s">
        <v>931</v>
      </c>
      <c r="C1192" s="6" t="s">
        <v>131</v>
      </c>
      <c r="D1192" s="6" t="s">
        <v>56</v>
      </c>
      <c r="E1192" s="14" t="n">
        <v>699.16</v>
      </c>
      <c r="F1192" s="14" t="n">
        <v>1398.32</v>
      </c>
      <c r="G1192" s="6" t="s">
        <v>15614</v>
      </c>
    </row>
    <row r="1193" customFormat="false" ht="15" hidden="false" customHeight="true" outlineLevel="0" collapsed="false">
      <c r="A1193" s="6" t="s">
        <v>16805</v>
      </c>
      <c r="B1193" s="6" t="s">
        <v>931</v>
      </c>
      <c r="C1193" s="6" t="s">
        <v>131</v>
      </c>
      <c r="D1193" s="6" t="s">
        <v>57</v>
      </c>
      <c r="E1193" s="14" t="n">
        <v>699.16</v>
      </c>
      <c r="F1193" s="14" t="n">
        <v>2097.48</v>
      </c>
      <c r="G1193" s="6" t="s">
        <v>15614</v>
      </c>
    </row>
    <row r="1194" customFormat="false" ht="15" hidden="false" customHeight="true" outlineLevel="0" collapsed="false">
      <c r="A1194" s="6" t="s">
        <v>16806</v>
      </c>
      <c r="B1194" s="6" t="s">
        <v>933</v>
      </c>
      <c r="C1194" s="6" t="s">
        <v>131</v>
      </c>
      <c r="D1194" s="6" t="s">
        <v>33</v>
      </c>
      <c r="E1194" s="14" t="n">
        <v>1887.68</v>
      </c>
      <c r="F1194" s="14" t="n">
        <v>1887.68</v>
      </c>
      <c r="G1194" s="6" t="s">
        <v>15614</v>
      </c>
    </row>
    <row r="1195" customFormat="false" ht="15" hidden="false" customHeight="true" outlineLevel="0" collapsed="false">
      <c r="A1195" s="6" t="s">
        <v>16807</v>
      </c>
      <c r="B1195" s="6" t="s">
        <v>933</v>
      </c>
      <c r="C1195" s="6" t="s">
        <v>131</v>
      </c>
      <c r="D1195" s="6" t="s">
        <v>34</v>
      </c>
      <c r="E1195" s="14" t="n">
        <v>1887.68</v>
      </c>
      <c r="F1195" s="14" t="n">
        <v>3775.36</v>
      </c>
      <c r="G1195" s="6" t="s">
        <v>15614</v>
      </c>
    </row>
    <row r="1196" customFormat="false" ht="15" hidden="false" customHeight="true" outlineLevel="0" collapsed="false">
      <c r="A1196" s="6" t="s">
        <v>16808</v>
      </c>
      <c r="B1196" s="6" t="s">
        <v>933</v>
      </c>
      <c r="C1196" s="6" t="s">
        <v>131</v>
      </c>
      <c r="D1196" s="6" t="s">
        <v>35</v>
      </c>
      <c r="E1196" s="14" t="n">
        <v>1887.68</v>
      </c>
      <c r="F1196" s="14" t="n">
        <v>5663.04</v>
      </c>
      <c r="G1196" s="6" t="s">
        <v>15614</v>
      </c>
    </row>
    <row r="1197" customFormat="false" ht="15" hidden="false" customHeight="true" outlineLevel="0" collapsed="false">
      <c r="A1197" s="6" t="s">
        <v>16809</v>
      </c>
      <c r="B1197" s="6" t="s">
        <v>935</v>
      </c>
      <c r="C1197" s="6" t="s">
        <v>120</v>
      </c>
      <c r="D1197" s="6" t="s">
        <v>11</v>
      </c>
      <c r="E1197" s="14" t="n">
        <v>1235.27</v>
      </c>
      <c r="F1197" s="14" t="n">
        <v>1235.27</v>
      </c>
      <c r="G1197" s="6" t="s">
        <v>15614</v>
      </c>
    </row>
    <row r="1198" customFormat="false" ht="15" hidden="false" customHeight="true" outlineLevel="0" collapsed="false">
      <c r="A1198" s="6" t="s">
        <v>16810</v>
      </c>
      <c r="B1198" s="6" t="s">
        <v>935</v>
      </c>
      <c r="C1198" s="6" t="s">
        <v>120</v>
      </c>
      <c r="D1198" s="6" t="s">
        <v>12</v>
      </c>
      <c r="E1198" s="14" t="n">
        <v>1235.27</v>
      </c>
      <c r="F1198" s="14" t="n">
        <v>2470.54</v>
      </c>
      <c r="G1198" s="6" t="s">
        <v>15614</v>
      </c>
    </row>
    <row r="1199" customFormat="false" ht="15" hidden="false" customHeight="true" outlineLevel="0" collapsed="false">
      <c r="A1199" s="6" t="s">
        <v>16811</v>
      </c>
      <c r="B1199" s="6" t="s">
        <v>937</v>
      </c>
      <c r="C1199" s="6" t="s">
        <v>131</v>
      </c>
      <c r="D1199" s="6" t="s">
        <v>32</v>
      </c>
      <c r="E1199" s="14" t="n">
        <v>611.89</v>
      </c>
      <c r="F1199" s="14" t="n">
        <v>611.89</v>
      </c>
      <c r="G1199" s="6" t="s">
        <v>15614</v>
      </c>
    </row>
    <row r="1200" customFormat="false" ht="15" hidden="false" customHeight="true" outlineLevel="0" collapsed="false">
      <c r="A1200" s="6" t="s">
        <v>16812</v>
      </c>
      <c r="B1200" s="6" t="s">
        <v>937</v>
      </c>
      <c r="C1200" s="6" t="s">
        <v>131</v>
      </c>
      <c r="D1200" s="6" t="s">
        <v>32</v>
      </c>
      <c r="E1200" s="14" t="n">
        <v>611.89</v>
      </c>
      <c r="F1200" s="14" t="n">
        <v>1223.78</v>
      </c>
      <c r="G1200" s="6" t="s">
        <v>15614</v>
      </c>
    </row>
    <row r="1201" customFormat="false" ht="15" hidden="false" customHeight="true" outlineLevel="0" collapsed="false">
      <c r="A1201" s="6" t="s">
        <v>16813</v>
      </c>
      <c r="B1201" s="6" t="s">
        <v>937</v>
      </c>
      <c r="C1201" s="6" t="s">
        <v>131</v>
      </c>
      <c r="D1201" s="6" t="s">
        <v>33</v>
      </c>
      <c r="E1201" s="14" t="n">
        <v>611.89</v>
      </c>
      <c r="F1201" s="14" t="n">
        <v>1835.67</v>
      </c>
      <c r="G1201" s="6" t="s">
        <v>15614</v>
      </c>
    </row>
    <row r="1202" customFormat="false" ht="15" hidden="false" customHeight="true" outlineLevel="0" collapsed="false">
      <c r="A1202" s="6" t="s">
        <v>16814</v>
      </c>
      <c r="B1202" s="6" t="s">
        <v>937</v>
      </c>
      <c r="C1202" s="6" t="s">
        <v>131</v>
      </c>
      <c r="D1202" s="6" t="s">
        <v>34</v>
      </c>
      <c r="E1202" s="14" t="n">
        <v>611.89</v>
      </c>
      <c r="F1202" s="14" t="n">
        <v>2447.56</v>
      </c>
      <c r="G1202" s="6" t="s">
        <v>15614</v>
      </c>
    </row>
    <row r="1203" customFormat="false" ht="15" hidden="false" customHeight="true" outlineLevel="0" collapsed="false">
      <c r="A1203" s="6" t="s">
        <v>16815</v>
      </c>
      <c r="B1203" s="6" t="s">
        <v>937</v>
      </c>
      <c r="C1203" s="6" t="s">
        <v>131</v>
      </c>
      <c r="D1203" s="6" t="s">
        <v>35</v>
      </c>
      <c r="E1203" s="14" t="n">
        <v>611.89</v>
      </c>
      <c r="F1203" s="14" t="n">
        <v>3059.45</v>
      </c>
      <c r="G1203" s="6" t="s">
        <v>15614</v>
      </c>
    </row>
    <row r="1204" customFormat="false" ht="15" hidden="false" customHeight="true" outlineLevel="0" collapsed="false">
      <c r="A1204" s="6" t="s">
        <v>16816</v>
      </c>
      <c r="B1204" s="6" t="s">
        <v>937</v>
      </c>
      <c r="C1204" s="6" t="s">
        <v>131</v>
      </c>
      <c r="D1204" s="6" t="s">
        <v>36</v>
      </c>
      <c r="E1204" s="14" t="n">
        <v>611.89</v>
      </c>
      <c r="F1204" s="14" t="n">
        <v>3671.34</v>
      </c>
      <c r="G1204" s="6" t="s">
        <v>15614</v>
      </c>
    </row>
    <row r="1205" customFormat="false" ht="15" hidden="false" customHeight="true" outlineLevel="0" collapsed="false">
      <c r="A1205" s="6" t="s">
        <v>16817</v>
      </c>
      <c r="B1205" s="6" t="s">
        <v>937</v>
      </c>
      <c r="C1205" s="6" t="s">
        <v>131</v>
      </c>
      <c r="D1205" s="6" t="s">
        <v>37</v>
      </c>
      <c r="E1205" s="14" t="n">
        <v>611.89</v>
      </c>
      <c r="F1205" s="14" t="n">
        <v>4283.23</v>
      </c>
      <c r="G1205" s="6" t="s">
        <v>15614</v>
      </c>
    </row>
    <row r="1206" customFormat="false" ht="15" hidden="false" customHeight="true" outlineLevel="0" collapsed="false">
      <c r="A1206" s="6" t="s">
        <v>16818</v>
      </c>
      <c r="B1206" s="6" t="s">
        <v>937</v>
      </c>
      <c r="C1206" s="6" t="s">
        <v>131</v>
      </c>
      <c r="D1206" s="6" t="s">
        <v>38</v>
      </c>
      <c r="E1206" s="14" t="n">
        <v>611.89</v>
      </c>
      <c r="F1206" s="14" t="n">
        <v>4895.12</v>
      </c>
      <c r="G1206" s="6" t="s">
        <v>15614</v>
      </c>
    </row>
    <row r="1207" customFormat="false" ht="15" hidden="false" customHeight="true" outlineLevel="0" collapsed="false">
      <c r="A1207" s="6" t="s">
        <v>16819</v>
      </c>
      <c r="B1207" s="6" t="s">
        <v>937</v>
      </c>
      <c r="C1207" s="6" t="s">
        <v>131</v>
      </c>
      <c r="D1207" s="6" t="s">
        <v>39</v>
      </c>
      <c r="E1207" s="14" t="n">
        <v>611.89</v>
      </c>
      <c r="F1207" s="14" t="n">
        <v>5507.01</v>
      </c>
      <c r="G1207" s="6" t="s">
        <v>15614</v>
      </c>
    </row>
    <row r="1208" customFormat="false" ht="15" hidden="false" customHeight="true" outlineLevel="0" collapsed="false">
      <c r="A1208" s="6" t="s">
        <v>16820</v>
      </c>
      <c r="B1208" s="6" t="s">
        <v>937</v>
      </c>
      <c r="C1208" s="6" t="s">
        <v>131</v>
      </c>
      <c r="D1208" s="6" t="s">
        <v>40</v>
      </c>
      <c r="E1208" s="14" t="n">
        <v>611.89</v>
      </c>
      <c r="F1208" s="14" t="n">
        <v>6118.9</v>
      </c>
      <c r="G1208" s="6" t="s">
        <v>15614</v>
      </c>
    </row>
    <row r="1209" customFormat="false" ht="15" hidden="false" customHeight="true" outlineLevel="0" collapsed="false">
      <c r="A1209" s="6" t="s">
        <v>16821</v>
      </c>
      <c r="B1209" s="6" t="s">
        <v>939</v>
      </c>
      <c r="C1209" s="6" t="s">
        <v>124</v>
      </c>
      <c r="D1209" s="6" t="s">
        <v>57</v>
      </c>
      <c r="E1209" s="14" t="n">
        <v>1194.45</v>
      </c>
      <c r="F1209" s="14" t="n">
        <v>1194.45</v>
      </c>
      <c r="G1209" s="6" t="s">
        <v>15614</v>
      </c>
    </row>
    <row r="1210" customFormat="false" ht="15" hidden="false" customHeight="true" outlineLevel="0" collapsed="false">
      <c r="A1210" s="6" t="s">
        <v>16822</v>
      </c>
      <c r="B1210" s="6" t="s">
        <v>939</v>
      </c>
      <c r="C1210" s="6" t="s">
        <v>124</v>
      </c>
      <c r="D1210" s="6" t="s">
        <v>58</v>
      </c>
      <c r="E1210" s="14" t="n">
        <v>1194.45</v>
      </c>
      <c r="F1210" s="14" t="n">
        <v>2388.9</v>
      </c>
      <c r="G1210" s="6" t="s">
        <v>15614</v>
      </c>
    </row>
    <row r="1211" customFormat="false" ht="15" hidden="false" customHeight="true" outlineLevel="0" collapsed="false">
      <c r="A1211" s="6" t="s">
        <v>16823</v>
      </c>
      <c r="B1211" s="6" t="s">
        <v>939</v>
      </c>
      <c r="C1211" s="6" t="s">
        <v>124</v>
      </c>
      <c r="D1211" s="6" t="s">
        <v>59</v>
      </c>
      <c r="E1211" s="14" t="n">
        <v>1194.45</v>
      </c>
      <c r="F1211" s="14" t="n">
        <v>3583.35</v>
      </c>
      <c r="G1211" s="6" t="s">
        <v>15614</v>
      </c>
    </row>
    <row r="1212" customFormat="false" ht="15" hidden="false" customHeight="true" outlineLevel="0" collapsed="false">
      <c r="A1212" s="6" t="s">
        <v>16824</v>
      </c>
      <c r="B1212" s="6" t="s">
        <v>939</v>
      </c>
      <c r="C1212" s="6" t="s">
        <v>124</v>
      </c>
      <c r="D1212" s="6" t="s">
        <v>60</v>
      </c>
      <c r="E1212" s="14" t="n">
        <v>1194.45</v>
      </c>
      <c r="F1212" s="14" t="n">
        <v>4777.8</v>
      </c>
      <c r="G1212" s="6" t="s">
        <v>15614</v>
      </c>
    </row>
    <row r="1213" customFormat="false" ht="15" hidden="false" customHeight="true" outlineLevel="0" collapsed="false">
      <c r="A1213" s="6" t="s">
        <v>16825</v>
      </c>
      <c r="B1213" s="6" t="s">
        <v>941</v>
      </c>
      <c r="C1213" s="6" t="s">
        <v>116</v>
      </c>
      <c r="D1213" s="6" t="s">
        <v>21</v>
      </c>
      <c r="E1213" s="14" t="n">
        <v>744.58</v>
      </c>
      <c r="F1213" s="14" t="n">
        <v>744.58</v>
      </c>
      <c r="G1213" s="6" t="s">
        <v>15614</v>
      </c>
    </row>
    <row r="1214" customFormat="false" ht="15" hidden="false" customHeight="true" outlineLevel="0" collapsed="false">
      <c r="A1214" s="6" t="s">
        <v>16826</v>
      </c>
      <c r="B1214" s="6" t="s">
        <v>941</v>
      </c>
      <c r="C1214" s="6" t="s">
        <v>116</v>
      </c>
      <c r="D1214" s="6" t="s">
        <v>22</v>
      </c>
      <c r="E1214" s="14" t="n">
        <v>744.58</v>
      </c>
      <c r="F1214" s="14" t="n">
        <v>1489.16</v>
      </c>
      <c r="G1214" s="6" t="s">
        <v>15614</v>
      </c>
    </row>
    <row r="1215" customFormat="false" ht="15" hidden="false" customHeight="true" outlineLevel="0" collapsed="false">
      <c r="A1215" s="6" t="s">
        <v>16827</v>
      </c>
      <c r="B1215" s="6" t="s">
        <v>941</v>
      </c>
      <c r="C1215" s="6" t="s">
        <v>116</v>
      </c>
      <c r="D1215" s="6" t="s">
        <v>23</v>
      </c>
      <c r="E1215" s="14" t="n">
        <v>744.58</v>
      </c>
      <c r="F1215" s="14" t="n">
        <v>2233.74</v>
      </c>
      <c r="G1215" s="6" t="s">
        <v>15614</v>
      </c>
    </row>
    <row r="1216" customFormat="false" ht="15" hidden="false" customHeight="true" outlineLevel="0" collapsed="false">
      <c r="A1216" s="6" t="s">
        <v>16828</v>
      </c>
      <c r="B1216" s="6" t="s">
        <v>943</v>
      </c>
      <c r="C1216" s="6" t="s">
        <v>124</v>
      </c>
      <c r="D1216" s="6" t="s">
        <v>40</v>
      </c>
      <c r="E1216" s="14" t="n">
        <v>494.37</v>
      </c>
      <c r="F1216" s="14" t="n">
        <v>494.37</v>
      </c>
      <c r="G1216" s="6" t="s">
        <v>15614</v>
      </c>
    </row>
    <row r="1217" customFormat="false" ht="15" hidden="false" customHeight="true" outlineLevel="0" collapsed="false">
      <c r="A1217" s="6" t="s">
        <v>16829</v>
      </c>
      <c r="B1217" s="6" t="s">
        <v>943</v>
      </c>
      <c r="C1217" s="6" t="s">
        <v>124</v>
      </c>
      <c r="D1217" s="6" t="s">
        <v>41</v>
      </c>
      <c r="E1217" s="14" t="n">
        <v>494.37</v>
      </c>
      <c r="F1217" s="14" t="n">
        <v>988.74</v>
      </c>
      <c r="G1217" s="6" t="s">
        <v>15614</v>
      </c>
    </row>
    <row r="1218" customFormat="false" ht="15" hidden="false" customHeight="true" outlineLevel="0" collapsed="false">
      <c r="A1218" s="6" t="s">
        <v>16830</v>
      </c>
      <c r="B1218" s="6" t="s">
        <v>945</v>
      </c>
      <c r="C1218" s="6" t="s">
        <v>112</v>
      </c>
      <c r="D1218" s="6" t="s">
        <v>30</v>
      </c>
      <c r="E1218" s="14" t="n">
        <v>2247.66</v>
      </c>
      <c r="F1218" s="14" t="n">
        <v>2247.66</v>
      </c>
      <c r="G1218" s="6" t="s">
        <v>15614</v>
      </c>
    </row>
    <row r="1219" customFormat="false" ht="15" hidden="false" customHeight="true" outlineLevel="0" collapsed="false">
      <c r="A1219" s="6" t="s">
        <v>16831</v>
      </c>
      <c r="B1219" s="6" t="s">
        <v>945</v>
      </c>
      <c r="C1219" s="6" t="s">
        <v>112</v>
      </c>
      <c r="D1219" s="6" t="s">
        <v>31</v>
      </c>
      <c r="E1219" s="14" t="n">
        <v>2247.66</v>
      </c>
      <c r="F1219" s="14" t="n">
        <v>4495.32</v>
      </c>
      <c r="G1219" s="6" t="s">
        <v>15614</v>
      </c>
    </row>
    <row r="1220" customFormat="false" ht="15" hidden="false" customHeight="true" outlineLevel="0" collapsed="false">
      <c r="A1220" s="6" t="s">
        <v>16832</v>
      </c>
      <c r="B1220" s="6" t="s">
        <v>945</v>
      </c>
      <c r="C1220" s="6" t="s">
        <v>112</v>
      </c>
      <c r="D1220" s="6" t="s">
        <v>32</v>
      </c>
      <c r="E1220" s="14" t="n">
        <v>2247.66</v>
      </c>
      <c r="F1220" s="14" t="n">
        <v>6742.98</v>
      </c>
      <c r="G1220" s="6" t="s">
        <v>15614</v>
      </c>
    </row>
    <row r="1221" customFormat="false" ht="15" hidden="false" customHeight="true" outlineLevel="0" collapsed="false">
      <c r="A1221" s="6" t="s">
        <v>16833</v>
      </c>
      <c r="B1221" s="6" t="s">
        <v>947</v>
      </c>
      <c r="C1221" s="6" t="s">
        <v>131</v>
      </c>
      <c r="D1221" s="6" t="s">
        <v>49</v>
      </c>
      <c r="E1221" s="14" t="n">
        <v>306.81</v>
      </c>
      <c r="F1221" s="14" t="n">
        <v>306.81</v>
      </c>
      <c r="G1221" s="6" t="s">
        <v>15614</v>
      </c>
    </row>
    <row r="1222" customFormat="false" ht="15" hidden="false" customHeight="true" outlineLevel="0" collapsed="false">
      <c r="A1222" s="6" t="s">
        <v>16834</v>
      </c>
      <c r="B1222" s="6" t="s">
        <v>947</v>
      </c>
      <c r="C1222" s="6" t="s">
        <v>131</v>
      </c>
      <c r="D1222" s="6" t="s">
        <v>50</v>
      </c>
      <c r="E1222" s="14" t="n">
        <v>306.81</v>
      </c>
      <c r="F1222" s="14" t="n">
        <v>613.62</v>
      </c>
      <c r="G1222" s="6" t="s">
        <v>15614</v>
      </c>
    </row>
    <row r="1223" customFormat="false" ht="15" hidden="false" customHeight="true" outlineLevel="0" collapsed="false">
      <c r="A1223" s="6" t="s">
        <v>16835</v>
      </c>
      <c r="B1223" s="6" t="s">
        <v>949</v>
      </c>
      <c r="C1223" s="6" t="s">
        <v>124</v>
      </c>
      <c r="D1223" s="6" t="s">
        <v>21</v>
      </c>
      <c r="E1223" s="14" t="n">
        <v>4671.96</v>
      </c>
      <c r="F1223" s="14" t="n">
        <v>4671.96</v>
      </c>
      <c r="G1223" s="6" t="s">
        <v>15614</v>
      </c>
    </row>
    <row r="1224" customFormat="false" ht="15" hidden="false" customHeight="true" outlineLevel="0" collapsed="false">
      <c r="A1224" s="6" t="s">
        <v>16836</v>
      </c>
      <c r="B1224" s="6" t="s">
        <v>949</v>
      </c>
      <c r="C1224" s="6" t="s">
        <v>124</v>
      </c>
      <c r="D1224" s="6" t="s">
        <v>22</v>
      </c>
      <c r="E1224" s="14" t="n">
        <v>4671.96</v>
      </c>
      <c r="F1224" s="14" t="n">
        <v>9343.92</v>
      </c>
      <c r="G1224" s="6" t="s">
        <v>15614</v>
      </c>
    </row>
    <row r="1225" customFormat="false" ht="15" hidden="false" customHeight="true" outlineLevel="0" collapsed="false">
      <c r="A1225" s="6" t="s">
        <v>16837</v>
      </c>
      <c r="B1225" s="6" t="s">
        <v>951</v>
      </c>
      <c r="C1225" s="6" t="s">
        <v>131</v>
      </c>
      <c r="D1225" s="6" t="s">
        <v>37</v>
      </c>
      <c r="E1225" s="14" t="n">
        <v>2998.86</v>
      </c>
      <c r="F1225" s="14" t="n">
        <v>2998.86</v>
      </c>
      <c r="G1225" s="6" t="s">
        <v>15614</v>
      </c>
    </row>
    <row r="1226" customFormat="false" ht="15" hidden="false" customHeight="true" outlineLevel="0" collapsed="false">
      <c r="A1226" s="6" t="s">
        <v>16838</v>
      </c>
      <c r="B1226" s="6" t="s">
        <v>951</v>
      </c>
      <c r="C1226" s="6" t="s">
        <v>131</v>
      </c>
      <c r="D1226" s="6" t="s">
        <v>38</v>
      </c>
      <c r="E1226" s="14" t="n">
        <v>2998.86</v>
      </c>
      <c r="F1226" s="14" t="n">
        <v>5997.72</v>
      </c>
      <c r="G1226" s="6" t="s">
        <v>15614</v>
      </c>
    </row>
    <row r="1227" customFormat="false" ht="15" hidden="false" customHeight="true" outlineLevel="0" collapsed="false">
      <c r="A1227" s="6" t="s">
        <v>16839</v>
      </c>
      <c r="B1227" s="6" t="s">
        <v>951</v>
      </c>
      <c r="C1227" s="6" t="s">
        <v>131</v>
      </c>
      <c r="D1227" s="6" t="s">
        <v>39</v>
      </c>
      <c r="E1227" s="14" t="n">
        <v>2998.86</v>
      </c>
      <c r="F1227" s="14" t="n">
        <v>8996.58</v>
      </c>
      <c r="G1227" s="6" t="s">
        <v>15614</v>
      </c>
    </row>
    <row r="1228" customFormat="false" ht="15" hidden="false" customHeight="true" outlineLevel="0" collapsed="false">
      <c r="A1228" s="6" t="s">
        <v>16840</v>
      </c>
      <c r="B1228" s="6" t="s">
        <v>953</v>
      </c>
      <c r="C1228" s="6" t="s">
        <v>120</v>
      </c>
      <c r="D1228" s="6" t="s">
        <v>61</v>
      </c>
      <c r="E1228" s="14" t="n">
        <v>3493.36</v>
      </c>
      <c r="F1228" s="14" t="n">
        <v>3493.36</v>
      </c>
      <c r="G1228" s="6" t="s">
        <v>15614</v>
      </c>
    </row>
    <row r="1229" customFormat="false" ht="15" hidden="false" customHeight="true" outlineLevel="0" collapsed="false">
      <c r="A1229" s="6" t="s">
        <v>16841</v>
      </c>
      <c r="B1229" s="6" t="s">
        <v>953</v>
      </c>
      <c r="C1229" s="6" t="s">
        <v>120</v>
      </c>
      <c r="D1229" s="6" t="s">
        <v>62</v>
      </c>
      <c r="E1229" s="14" t="n">
        <v>3493.36</v>
      </c>
      <c r="F1229" s="14" t="n">
        <v>6986.72</v>
      </c>
      <c r="G1229" s="6" t="s">
        <v>15614</v>
      </c>
    </row>
    <row r="1230" customFormat="false" ht="15" hidden="false" customHeight="true" outlineLevel="0" collapsed="false">
      <c r="A1230" s="6" t="s">
        <v>16842</v>
      </c>
      <c r="B1230" s="6" t="s">
        <v>953</v>
      </c>
      <c r="C1230" s="6" t="s">
        <v>120</v>
      </c>
      <c r="D1230" s="6" t="s">
        <v>63</v>
      </c>
      <c r="E1230" s="14" t="n">
        <v>3493.36</v>
      </c>
      <c r="F1230" s="14" t="n">
        <v>10480.08</v>
      </c>
      <c r="G1230" s="6" t="s">
        <v>15614</v>
      </c>
    </row>
    <row r="1231" customFormat="false" ht="15" hidden="false" customHeight="true" outlineLevel="0" collapsed="false">
      <c r="A1231" s="6" t="s">
        <v>16843</v>
      </c>
      <c r="B1231" s="6" t="s">
        <v>953</v>
      </c>
      <c r="C1231" s="6" t="s">
        <v>120</v>
      </c>
      <c r="D1231" s="6" t="s">
        <v>64</v>
      </c>
      <c r="E1231" s="14" t="n">
        <v>3493.36</v>
      </c>
      <c r="F1231" s="14" t="n">
        <v>13973.44</v>
      </c>
      <c r="G1231" s="6" t="s">
        <v>15614</v>
      </c>
    </row>
    <row r="1232" customFormat="false" ht="15" hidden="false" customHeight="true" outlineLevel="0" collapsed="false">
      <c r="A1232" s="6" t="s">
        <v>16844</v>
      </c>
      <c r="B1232" s="6" t="s">
        <v>953</v>
      </c>
      <c r="C1232" s="6" t="s">
        <v>120</v>
      </c>
      <c r="D1232" s="6" t="s">
        <v>65</v>
      </c>
      <c r="E1232" s="14" t="n">
        <v>3493.36</v>
      </c>
      <c r="F1232" s="14" t="n">
        <v>17466.8</v>
      </c>
      <c r="G1232" s="6" t="s">
        <v>15614</v>
      </c>
    </row>
    <row r="1233" customFormat="false" ht="15" hidden="false" customHeight="true" outlineLevel="0" collapsed="false">
      <c r="A1233" s="6" t="s">
        <v>16845</v>
      </c>
      <c r="B1233" s="6" t="s">
        <v>955</v>
      </c>
      <c r="C1233" s="6" t="s">
        <v>124</v>
      </c>
      <c r="D1233" s="6" t="s">
        <v>52</v>
      </c>
      <c r="E1233" s="14" t="n">
        <v>3342.63</v>
      </c>
      <c r="F1233" s="14" t="n">
        <v>3342.63</v>
      </c>
      <c r="G1233" s="6" t="s">
        <v>15614</v>
      </c>
    </row>
    <row r="1234" customFormat="false" ht="15" hidden="false" customHeight="true" outlineLevel="0" collapsed="false">
      <c r="A1234" s="6" t="s">
        <v>16846</v>
      </c>
      <c r="B1234" s="6" t="s">
        <v>955</v>
      </c>
      <c r="C1234" s="6" t="s">
        <v>124</v>
      </c>
      <c r="D1234" s="6" t="s">
        <v>53</v>
      </c>
      <c r="E1234" s="14" t="n">
        <v>3342.63</v>
      </c>
      <c r="F1234" s="14" t="n">
        <v>6685.26</v>
      </c>
      <c r="G1234" s="6" t="s">
        <v>15614</v>
      </c>
    </row>
    <row r="1235" customFormat="false" ht="15" hidden="false" customHeight="true" outlineLevel="0" collapsed="false">
      <c r="A1235" s="6" t="s">
        <v>16847</v>
      </c>
      <c r="B1235" s="6" t="s">
        <v>955</v>
      </c>
      <c r="C1235" s="6" t="s">
        <v>124</v>
      </c>
      <c r="D1235" s="6" t="s">
        <v>54</v>
      </c>
      <c r="E1235" s="14" t="n">
        <v>3342.63</v>
      </c>
      <c r="F1235" s="14" t="n">
        <v>10027.89</v>
      </c>
      <c r="G1235" s="6" t="s">
        <v>15614</v>
      </c>
    </row>
    <row r="1236" customFormat="false" ht="15" hidden="false" customHeight="true" outlineLevel="0" collapsed="false">
      <c r="A1236" s="6" t="s">
        <v>16848</v>
      </c>
      <c r="B1236" s="6" t="s">
        <v>957</v>
      </c>
      <c r="C1236" s="6" t="s">
        <v>124</v>
      </c>
      <c r="D1236" s="6" t="s">
        <v>20</v>
      </c>
      <c r="E1236" s="14" t="n">
        <v>3096.52</v>
      </c>
      <c r="F1236" s="14" t="n">
        <v>3096.52</v>
      </c>
      <c r="G1236" s="6" t="s">
        <v>15614</v>
      </c>
    </row>
    <row r="1237" customFormat="false" ht="15" hidden="false" customHeight="true" outlineLevel="0" collapsed="false">
      <c r="A1237" s="6" t="s">
        <v>16849</v>
      </c>
      <c r="B1237" s="6" t="s">
        <v>957</v>
      </c>
      <c r="C1237" s="6" t="s">
        <v>124</v>
      </c>
      <c r="D1237" s="6" t="s">
        <v>21</v>
      </c>
      <c r="E1237" s="14" t="n">
        <v>3096.52</v>
      </c>
      <c r="F1237" s="14" t="n">
        <v>6193.04</v>
      </c>
      <c r="G1237" s="6" t="s">
        <v>15614</v>
      </c>
    </row>
    <row r="1238" customFormat="false" ht="15" hidden="false" customHeight="true" outlineLevel="0" collapsed="false">
      <c r="A1238" s="6" t="s">
        <v>16850</v>
      </c>
      <c r="B1238" s="6" t="s">
        <v>957</v>
      </c>
      <c r="C1238" s="6" t="s">
        <v>124</v>
      </c>
      <c r="D1238" s="6" t="s">
        <v>22</v>
      </c>
      <c r="E1238" s="14" t="n">
        <v>3096.52</v>
      </c>
      <c r="F1238" s="14" t="n">
        <v>9289.56</v>
      </c>
      <c r="G1238" s="6" t="s">
        <v>15614</v>
      </c>
    </row>
    <row r="1239" customFormat="false" ht="15" hidden="false" customHeight="true" outlineLevel="0" collapsed="false">
      <c r="A1239" s="6" t="s">
        <v>16851</v>
      </c>
      <c r="B1239" s="6" t="s">
        <v>957</v>
      </c>
      <c r="C1239" s="6" t="s">
        <v>124</v>
      </c>
      <c r="D1239" s="6" t="s">
        <v>23</v>
      </c>
      <c r="E1239" s="14" t="n">
        <v>3096.52</v>
      </c>
      <c r="F1239" s="14" t="n">
        <v>12386.08</v>
      </c>
      <c r="G1239" s="6" t="s">
        <v>15614</v>
      </c>
    </row>
    <row r="1240" customFormat="false" ht="15" hidden="false" customHeight="true" outlineLevel="0" collapsed="false">
      <c r="A1240" s="6" t="s">
        <v>16852</v>
      </c>
      <c r="B1240" s="6" t="s">
        <v>957</v>
      </c>
      <c r="C1240" s="6" t="s">
        <v>124</v>
      </c>
      <c r="D1240" s="6" t="s">
        <v>24</v>
      </c>
      <c r="E1240" s="14" t="n">
        <v>3096.52</v>
      </c>
      <c r="F1240" s="14" t="n">
        <v>15482.6</v>
      </c>
      <c r="G1240" s="6" t="s">
        <v>15614</v>
      </c>
    </row>
    <row r="1241" customFormat="false" ht="15" hidden="false" customHeight="true" outlineLevel="0" collapsed="false">
      <c r="A1241" s="6" t="s">
        <v>16853</v>
      </c>
      <c r="B1241" s="6" t="s">
        <v>957</v>
      </c>
      <c r="C1241" s="6" t="s">
        <v>124</v>
      </c>
      <c r="D1241" s="6" t="s">
        <v>25</v>
      </c>
      <c r="E1241" s="14" t="n">
        <v>3096.52</v>
      </c>
      <c r="F1241" s="14" t="n">
        <v>18579.12</v>
      </c>
      <c r="G1241" s="6" t="s">
        <v>15614</v>
      </c>
    </row>
    <row r="1242" customFormat="false" ht="15" hidden="false" customHeight="true" outlineLevel="0" collapsed="false">
      <c r="A1242" s="6" t="s">
        <v>16854</v>
      </c>
      <c r="B1242" s="6" t="s">
        <v>957</v>
      </c>
      <c r="C1242" s="6" t="s">
        <v>124</v>
      </c>
      <c r="D1242" s="6" t="s">
        <v>26</v>
      </c>
      <c r="E1242" s="14" t="n">
        <v>3096.52</v>
      </c>
      <c r="F1242" s="14" t="n">
        <v>21675.64</v>
      </c>
      <c r="G1242" s="6" t="s">
        <v>15614</v>
      </c>
    </row>
    <row r="1243" customFormat="false" ht="15" hidden="false" customHeight="true" outlineLevel="0" collapsed="false">
      <c r="A1243" s="6" t="s">
        <v>16855</v>
      </c>
      <c r="B1243" s="6" t="s">
        <v>957</v>
      </c>
      <c r="C1243" s="6" t="s">
        <v>124</v>
      </c>
      <c r="D1243" s="6" t="s">
        <v>27</v>
      </c>
      <c r="E1243" s="14" t="n">
        <v>3096.52</v>
      </c>
      <c r="F1243" s="14" t="n">
        <v>24772.16</v>
      </c>
      <c r="G1243" s="6" t="s">
        <v>15614</v>
      </c>
    </row>
    <row r="1244" customFormat="false" ht="15" hidden="false" customHeight="true" outlineLevel="0" collapsed="false">
      <c r="A1244" s="6" t="s">
        <v>16856</v>
      </c>
      <c r="B1244" s="6" t="s">
        <v>957</v>
      </c>
      <c r="C1244" s="6" t="s">
        <v>124</v>
      </c>
      <c r="D1244" s="6" t="s">
        <v>28</v>
      </c>
      <c r="E1244" s="14" t="n">
        <v>3096.52</v>
      </c>
      <c r="F1244" s="14" t="n">
        <v>27868.68</v>
      </c>
      <c r="G1244" s="6" t="s">
        <v>15614</v>
      </c>
    </row>
    <row r="1245" customFormat="false" ht="15" hidden="false" customHeight="true" outlineLevel="0" collapsed="false">
      <c r="A1245" s="6" t="s">
        <v>16857</v>
      </c>
      <c r="B1245" s="6" t="s">
        <v>957</v>
      </c>
      <c r="C1245" s="6" t="s">
        <v>124</v>
      </c>
      <c r="D1245" s="6" t="s">
        <v>29</v>
      </c>
      <c r="E1245" s="14" t="n">
        <v>3096.52</v>
      </c>
      <c r="F1245" s="14" t="n">
        <v>30965.2</v>
      </c>
      <c r="G1245" s="6" t="s">
        <v>15614</v>
      </c>
    </row>
    <row r="1246" customFormat="false" ht="15" hidden="false" customHeight="true" outlineLevel="0" collapsed="false">
      <c r="A1246" s="6" t="s">
        <v>16858</v>
      </c>
      <c r="B1246" s="6" t="s">
        <v>957</v>
      </c>
      <c r="C1246" s="6" t="s">
        <v>124</v>
      </c>
      <c r="D1246" s="6" t="s">
        <v>29</v>
      </c>
      <c r="E1246" s="14" t="n">
        <v>3096.52</v>
      </c>
      <c r="F1246" s="14" t="n">
        <v>34061.72</v>
      </c>
      <c r="G1246" s="6" t="s">
        <v>15614</v>
      </c>
    </row>
    <row r="1247" customFormat="false" ht="15" hidden="false" customHeight="true" outlineLevel="0" collapsed="false">
      <c r="A1247" s="6" t="s">
        <v>16859</v>
      </c>
      <c r="B1247" s="6" t="s">
        <v>959</v>
      </c>
      <c r="C1247" s="6" t="s">
        <v>128</v>
      </c>
      <c r="D1247" s="6" t="s">
        <v>23</v>
      </c>
      <c r="E1247" s="14" t="n">
        <v>2250.01</v>
      </c>
      <c r="F1247" s="14" t="n">
        <v>2250.01</v>
      </c>
      <c r="G1247" s="6" t="s">
        <v>15614</v>
      </c>
    </row>
    <row r="1248" customFormat="false" ht="15" hidden="false" customHeight="true" outlineLevel="0" collapsed="false">
      <c r="A1248" s="6" t="s">
        <v>16860</v>
      </c>
      <c r="B1248" s="6" t="s">
        <v>959</v>
      </c>
      <c r="C1248" s="6" t="s">
        <v>128</v>
      </c>
      <c r="D1248" s="6" t="s">
        <v>24</v>
      </c>
      <c r="E1248" s="14" t="n">
        <v>2250.01</v>
      </c>
      <c r="F1248" s="14" t="n">
        <v>4500.02</v>
      </c>
      <c r="G1248" s="6" t="s">
        <v>15614</v>
      </c>
    </row>
    <row r="1249" customFormat="false" ht="15" hidden="false" customHeight="true" outlineLevel="0" collapsed="false">
      <c r="A1249" s="6" t="s">
        <v>16861</v>
      </c>
      <c r="B1249" s="6" t="s">
        <v>961</v>
      </c>
      <c r="C1249" s="6" t="s">
        <v>112</v>
      </c>
      <c r="D1249" s="6" t="s">
        <v>58</v>
      </c>
      <c r="E1249" s="14" t="n">
        <v>3145.24</v>
      </c>
      <c r="F1249" s="14" t="n">
        <v>3145.24</v>
      </c>
      <c r="G1249" s="6" t="s">
        <v>15614</v>
      </c>
    </row>
    <row r="1250" customFormat="false" ht="15" hidden="false" customHeight="true" outlineLevel="0" collapsed="false">
      <c r="A1250" s="6" t="s">
        <v>16862</v>
      </c>
      <c r="B1250" s="6" t="s">
        <v>963</v>
      </c>
      <c r="C1250" s="6" t="s">
        <v>116</v>
      </c>
      <c r="D1250" s="6" t="s">
        <v>11</v>
      </c>
      <c r="E1250" s="14" t="n">
        <v>1896.42</v>
      </c>
      <c r="F1250" s="14" t="n">
        <v>1896.42</v>
      </c>
      <c r="G1250" s="6" t="s">
        <v>15614</v>
      </c>
    </row>
    <row r="1251" customFormat="false" ht="15" hidden="false" customHeight="true" outlineLevel="0" collapsed="false">
      <c r="A1251" s="6" t="s">
        <v>16863</v>
      </c>
      <c r="B1251" s="6" t="s">
        <v>963</v>
      </c>
      <c r="C1251" s="6" t="s">
        <v>116</v>
      </c>
      <c r="D1251" s="6" t="s">
        <v>12</v>
      </c>
      <c r="E1251" s="14" t="n">
        <v>1896.42</v>
      </c>
      <c r="F1251" s="14" t="n">
        <v>3792.84</v>
      </c>
      <c r="G1251" s="6" t="s">
        <v>15614</v>
      </c>
    </row>
    <row r="1252" customFormat="false" ht="15" hidden="false" customHeight="true" outlineLevel="0" collapsed="false">
      <c r="A1252" s="6" t="s">
        <v>16864</v>
      </c>
      <c r="B1252" s="6" t="s">
        <v>965</v>
      </c>
      <c r="C1252" s="6" t="s">
        <v>112</v>
      </c>
      <c r="D1252" s="6" t="s">
        <v>43</v>
      </c>
      <c r="E1252" s="14" t="n">
        <v>2471.32</v>
      </c>
      <c r="F1252" s="14" t="n">
        <v>2471.32</v>
      </c>
      <c r="G1252" s="6" t="s">
        <v>15614</v>
      </c>
    </row>
    <row r="1253" customFormat="false" ht="15" hidden="false" customHeight="true" outlineLevel="0" collapsed="false">
      <c r="A1253" s="6" t="s">
        <v>16865</v>
      </c>
      <c r="B1253" s="6" t="s">
        <v>965</v>
      </c>
      <c r="C1253" s="6" t="s">
        <v>112</v>
      </c>
      <c r="D1253" s="6" t="s">
        <v>44</v>
      </c>
      <c r="E1253" s="14" t="n">
        <v>2471.32</v>
      </c>
      <c r="F1253" s="14" t="n">
        <v>4942.64</v>
      </c>
      <c r="G1253" s="6" t="s">
        <v>15614</v>
      </c>
    </row>
    <row r="1254" customFormat="false" ht="15" hidden="false" customHeight="true" outlineLevel="0" collapsed="false">
      <c r="A1254" s="6" t="s">
        <v>16866</v>
      </c>
      <c r="B1254" s="6" t="s">
        <v>965</v>
      </c>
      <c r="C1254" s="6" t="s">
        <v>112</v>
      </c>
      <c r="D1254" s="6" t="s">
        <v>45</v>
      </c>
      <c r="E1254" s="14" t="n">
        <v>2471.32</v>
      </c>
      <c r="F1254" s="14" t="n">
        <v>7413.96</v>
      </c>
      <c r="G1254" s="6" t="s">
        <v>15614</v>
      </c>
    </row>
    <row r="1255" customFormat="false" ht="15" hidden="false" customHeight="true" outlineLevel="0" collapsed="false">
      <c r="A1255" s="6" t="s">
        <v>16867</v>
      </c>
      <c r="B1255" s="6" t="s">
        <v>965</v>
      </c>
      <c r="C1255" s="6" t="s">
        <v>112</v>
      </c>
      <c r="D1255" s="6" t="s">
        <v>46</v>
      </c>
      <c r="E1255" s="14" t="n">
        <v>2471.32</v>
      </c>
      <c r="F1255" s="14" t="n">
        <v>9885.28</v>
      </c>
      <c r="G1255" s="6" t="s">
        <v>15614</v>
      </c>
    </row>
    <row r="1256" customFormat="false" ht="15" hidden="false" customHeight="true" outlineLevel="0" collapsed="false">
      <c r="A1256" s="6" t="s">
        <v>16868</v>
      </c>
      <c r="B1256" s="6" t="s">
        <v>967</v>
      </c>
      <c r="C1256" s="6" t="s">
        <v>120</v>
      </c>
      <c r="D1256" s="6" t="s">
        <v>42</v>
      </c>
      <c r="E1256" s="14" t="n">
        <v>642.31</v>
      </c>
      <c r="F1256" s="14" t="n">
        <v>642.31</v>
      </c>
      <c r="G1256" s="6" t="s">
        <v>15614</v>
      </c>
    </row>
    <row r="1257" customFormat="false" ht="15" hidden="false" customHeight="true" outlineLevel="0" collapsed="false">
      <c r="A1257" s="6" t="s">
        <v>16869</v>
      </c>
      <c r="B1257" s="6" t="s">
        <v>967</v>
      </c>
      <c r="C1257" s="6" t="s">
        <v>120</v>
      </c>
      <c r="D1257" s="6" t="s">
        <v>43</v>
      </c>
      <c r="E1257" s="14" t="n">
        <v>642.31</v>
      </c>
      <c r="F1257" s="14" t="n">
        <v>1284.62</v>
      </c>
      <c r="G1257" s="6" t="s">
        <v>15614</v>
      </c>
    </row>
    <row r="1258" customFormat="false" ht="15" hidden="false" customHeight="true" outlineLevel="0" collapsed="false">
      <c r="A1258" s="6" t="s">
        <v>16870</v>
      </c>
      <c r="B1258" s="6" t="s">
        <v>967</v>
      </c>
      <c r="C1258" s="6" t="s">
        <v>120</v>
      </c>
      <c r="D1258" s="6" t="s">
        <v>44</v>
      </c>
      <c r="E1258" s="14" t="n">
        <v>642.31</v>
      </c>
      <c r="F1258" s="14" t="n">
        <v>1926.93</v>
      </c>
      <c r="G1258" s="6" t="s">
        <v>15614</v>
      </c>
    </row>
    <row r="1259" customFormat="false" ht="15" hidden="false" customHeight="true" outlineLevel="0" collapsed="false">
      <c r="A1259" s="6" t="s">
        <v>16871</v>
      </c>
      <c r="B1259" s="6" t="s">
        <v>967</v>
      </c>
      <c r="C1259" s="6" t="s">
        <v>120</v>
      </c>
      <c r="D1259" s="6" t="s">
        <v>45</v>
      </c>
      <c r="E1259" s="14" t="n">
        <v>642.31</v>
      </c>
      <c r="F1259" s="14" t="n">
        <v>2569.24</v>
      </c>
      <c r="G1259" s="6" t="s">
        <v>15614</v>
      </c>
    </row>
    <row r="1260" customFormat="false" ht="15" hidden="false" customHeight="true" outlineLevel="0" collapsed="false">
      <c r="A1260" s="6" t="s">
        <v>16872</v>
      </c>
      <c r="B1260" s="6" t="s">
        <v>969</v>
      </c>
      <c r="C1260" s="6" t="s">
        <v>131</v>
      </c>
      <c r="D1260" s="6" t="s">
        <v>32</v>
      </c>
      <c r="E1260" s="14" t="n">
        <v>2854.68</v>
      </c>
      <c r="F1260" s="14" t="n">
        <v>2854.68</v>
      </c>
      <c r="G1260" s="6" t="s">
        <v>15614</v>
      </c>
    </row>
    <row r="1261" customFormat="false" ht="15" hidden="false" customHeight="true" outlineLevel="0" collapsed="false">
      <c r="A1261" s="6" t="s">
        <v>16873</v>
      </c>
      <c r="B1261" s="6" t="s">
        <v>969</v>
      </c>
      <c r="C1261" s="6" t="s">
        <v>131</v>
      </c>
      <c r="D1261" s="6" t="s">
        <v>33</v>
      </c>
      <c r="E1261" s="14" t="n">
        <v>2854.68</v>
      </c>
      <c r="F1261" s="14" t="n">
        <v>5709.36</v>
      </c>
      <c r="G1261" s="6" t="s">
        <v>15614</v>
      </c>
    </row>
    <row r="1262" customFormat="false" ht="15" hidden="false" customHeight="true" outlineLevel="0" collapsed="false">
      <c r="A1262" s="6" t="s">
        <v>16874</v>
      </c>
      <c r="B1262" s="6" t="s">
        <v>971</v>
      </c>
      <c r="C1262" s="6" t="s">
        <v>116</v>
      </c>
      <c r="D1262" s="6" t="s">
        <v>42</v>
      </c>
      <c r="E1262" s="14" t="n">
        <v>1687.15</v>
      </c>
      <c r="F1262" s="14" t="n">
        <v>1687.15</v>
      </c>
      <c r="G1262" s="6" t="s">
        <v>15614</v>
      </c>
    </row>
    <row r="1263" customFormat="false" ht="15" hidden="false" customHeight="true" outlineLevel="0" collapsed="false">
      <c r="A1263" s="6" t="s">
        <v>16875</v>
      </c>
      <c r="B1263" s="6" t="s">
        <v>971</v>
      </c>
      <c r="C1263" s="6" t="s">
        <v>116</v>
      </c>
      <c r="D1263" s="6" t="s">
        <v>43</v>
      </c>
      <c r="E1263" s="14" t="n">
        <v>1687.15</v>
      </c>
      <c r="F1263" s="14" t="n">
        <v>3374.3</v>
      </c>
      <c r="G1263" s="6" t="s">
        <v>15614</v>
      </c>
    </row>
    <row r="1264" customFormat="false" ht="15" hidden="false" customHeight="true" outlineLevel="0" collapsed="false">
      <c r="A1264" s="6" t="s">
        <v>16876</v>
      </c>
      <c r="B1264" s="6" t="s">
        <v>973</v>
      </c>
      <c r="C1264" s="6" t="s">
        <v>124</v>
      </c>
      <c r="D1264" s="6" t="s">
        <v>19</v>
      </c>
      <c r="E1264" s="14" t="n">
        <v>7688.73</v>
      </c>
      <c r="F1264" s="14" t="n">
        <v>7688.73</v>
      </c>
      <c r="G1264" s="6" t="s">
        <v>15614</v>
      </c>
    </row>
    <row r="1265" customFormat="false" ht="15" hidden="false" customHeight="true" outlineLevel="0" collapsed="false">
      <c r="A1265" s="6" t="s">
        <v>16877</v>
      </c>
      <c r="B1265" s="6" t="s">
        <v>973</v>
      </c>
      <c r="C1265" s="6" t="s">
        <v>124</v>
      </c>
      <c r="D1265" s="6" t="s">
        <v>20</v>
      </c>
      <c r="E1265" s="14" t="n">
        <v>7688.73</v>
      </c>
      <c r="F1265" s="14" t="n">
        <v>15377.46</v>
      </c>
      <c r="G1265" s="6" t="s">
        <v>15614</v>
      </c>
    </row>
    <row r="1266" customFormat="false" ht="15" hidden="false" customHeight="true" outlineLevel="0" collapsed="false">
      <c r="A1266" s="6" t="s">
        <v>16878</v>
      </c>
      <c r="B1266" s="6" t="s">
        <v>973</v>
      </c>
      <c r="C1266" s="6" t="s">
        <v>124</v>
      </c>
      <c r="D1266" s="6" t="s">
        <v>21</v>
      </c>
      <c r="E1266" s="14" t="n">
        <v>7688.73</v>
      </c>
      <c r="F1266" s="14" t="n">
        <v>23066.19</v>
      </c>
      <c r="G1266" s="6" t="s">
        <v>15614</v>
      </c>
    </row>
    <row r="1267" customFormat="false" ht="15" hidden="false" customHeight="true" outlineLevel="0" collapsed="false">
      <c r="A1267" s="6" t="s">
        <v>16879</v>
      </c>
      <c r="B1267" s="6" t="s">
        <v>973</v>
      </c>
      <c r="C1267" s="6" t="s">
        <v>124</v>
      </c>
      <c r="D1267" s="6" t="s">
        <v>22</v>
      </c>
      <c r="E1267" s="14" t="n">
        <v>7688.73</v>
      </c>
      <c r="F1267" s="14" t="n">
        <v>30754.92</v>
      </c>
      <c r="G1267" s="6" t="s">
        <v>15614</v>
      </c>
    </row>
    <row r="1268" customFormat="false" ht="15" hidden="false" customHeight="true" outlineLevel="0" collapsed="false">
      <c r="A1268" s="6" t="s">
        <v>16880</v>
      </c>
      <c r="B1268" s="6" t="s">
        <v>975</v>
      </c>
      <c r="C1268" s="6" t="s">
        <v>124</v>
      </c>
      <c r="D1268" s="6" t="s">
        <v>19</v>
      </c>
      <c r="E1268" s="14" t="n">
        <v>1166.33</v>
      </c>
      <c r="F1268" s="14" t="n">
        <v>1166.33</v>
      </c>
      <c r="G1268" s="6" t="s">
        <v>15614</v>
      </c>
    </row>
    <row r="1269" customFormat="false" ht="15" hidden="false" customHeight="true" outlineLevel="0" collapsed="false">
      <c r="A1269" s="6" t="s">
        <v>16881</v>
      </c>
      <c r="B1269" s="6" t="s">
        <v>975</v>
      </c>
      <c r="C1269" s="6" t="s">
        <v>124</v>
      </c>
      <c r="D1269" s="6" t="s">
        <v>20</v>
      </c>
      <c r="E1269" s="14" t="n">
        <v>1166.33</v>
      </c>
      <c r="F1269" s="14" t="n">
        <v>2332.66</v>
      </c>
      <c r="G1269" s="6" t="s">
        <v>15614</v>
      </c>
    </row>
    <row r="1270" customFormat="false" ht="15" hidden="false" customHeight="true" outlineLevel="0" collapsed="false">
      <c r="A1270" s="6" t="s">
        <v>16882</v>
      </c>
      <c r="B1270" s="6" t="s">
        <v>975</v>
      </c>
      <c r="C1270" s="6" t="s">
        <v>124</v>
      </c>
      <c r="D1270" s="6" t="s">
        <v>21</v>
      </c>
      <c r="E1270" s="14" t="n">
        <v>1166.33</v>
      </c>
      <c r="F1270" s="14" t="n">
        <v>3498.99</v>
      </c>
      <c r="G1270" s="6" t="s">
        <v>15614</v>
      </c>
    </row>
    <row r="1271" customFormat="false" ht="15" hidden="false" customHeight="true" outlineLevel="0" collapsed="false">
      <c r="A1271" s="6" t="s">
        <v>16883</v>
      </c>
      <c r="B1271" s="6" t="s">
        <v>975</v>
      </c>
      <c r="C1271" s="6" t="s">
        <v>124</v>
      </c>
      <c r="D1271" s="6" t="s">
        <v>22</v>
      </c>
      <c r="E1271" s="14" t="n">
        <v>1166.33</v>
      </c>
      <c r="F1271" s="14" t="n">
        <v>4665.32</v>
      </c>
      <c r="G1271" s="6" t="s">
        <v>15614</v>
      </c>
    </row>
    <row r="1272" customFormat="false" ht="15" hidden="false" customHeight="true" outlineLevel="0" collapsed="false">
      <c r="A1272" s="6" t="s">
        <v>16884</v>
      </c>
      <c r="B1272" s="6" t="s">
        <v>977</v>
      </c>
      <c r="C1272" s="6" t="s">
        <v>112</v>
      </c>
      <c r="D1272" s="6" t="s">
        <v>35</v>
      </c>
      <c r="E1272" s="14" t="n">
        <v>1970.43</v>
      </c>
      <c r="F1272" s="14" t="n">
        <v>1970.43</v>
      </c>
      <c r="G1272" s="6" t="s">
        <v>15614</v>
      </c>
    </row>
    <row r="1273" customFormat="false" ht="15" hidden="false" customHeight="true" outlineLevel="0" collapsed="false">
      <c r="A1273" s="6" t="s">
        <v>16885</v>
      </c>
      <c r="B1273" s="6" t="s">
        <v>977</v>
      </c>
      <c r="C1273" s="6" t="s">
        <v>112</v>
      </c>
      <c r="D1273" s="6" t="s">
        <v>36</v>
      </c>
      <c r="E1273" s="14" t="n">
        <v>1970.43</v>
      </c>
      <c r="F1273" s="14" t="n">
        <v>3940.86</v>
      </c>
      <c r="G1273" s="6" t="s">
        <v>15614</v>
      </c>
    </row>
    <row r="1274" customFormat="false" ht="15" hidden="false" customHeight="true" outlineLevel="0" collapsed="false">
      <c r="A1274" s="6" t="s">
        <v>16886</v>
      </c>
      <c r="B1274" s="6" t="s">
        <v>977</v>
      </c>
      <c r="C1274" s="6" t="s">
        <v>112</v>
      </c>
      <c r="D1274" s="6" t="s">
        <v>37</v>
      </c>
      <c r="E1274" s="14" t="n">
        <v>1970.43</v>
      </c>
      <c r="F1274" s="14" t="n">
        <v>5911.29</v>
      </c>
      <c r="G1274" s="6" t="s">
        <v>15614</v>
      </c>
    </row>
    <row r="1275" customFormat="false" ht="15" hidden="false" customHeight="true" outlineLevel="0" collapsed="false">
      <c r="A1275" s="6" t="s">
        <v>16887</v>
      </c>
      <c r="B1275" s="6" t="s">
        <v>979</v>
      </c>
      <c r="C1275" s="6" t="s">
        <v>116</v>
      </c>
      <c r="D1275" s="6" t="s">
        <v>20</v>
      </c>
      <c r="E1275" s="14" t="n">
        <v>95.33</v>
      </c>
      <c r="F1275" s="14" t="n">
        <v>95.33</v>
      </c>
      <c r="G1275" s="6" t="s">
        <v>15614</v>
      </c>
    </row>
    <row r="1276" customFormat="false" ht="15" hidden="false" customHeight="true" outlineLevel="0" collapsed="false">
      <c r="A1276" s="6" t="s">
        <v>16888</v>
      </c>
      <c r="B1276" s="6" t="s">
        <v>979</v>
      </c>
      <c r="C1276" s="6" t="s">
        <v>116</v>
      </c>
      <c r="D1276" s="6" t="s">
        <v>21</v>
      </c>
      <c r="E1276" s="14" t="n">
        <v>95.33</v>
      </c>
      <c r="F1276" s="14" t="n">
        <v>190.66</v>
      </c>
      <c r="G1276" s="6" t="s">
        <v>15614</v>
      </c>
    </row>
    <row r="1277" customFormat="false" ht="15" hidden="false" customHeight="true" outlineLevel="0" collapsed="false">
      <c r="A1277" s="6" t="s">
        <v>16889</v>
      </c>
      <c r="B1277" s="6" t="s">
        <v>979</v>
      </c>
      <c r="C1277" s="6" t="s">
        <v>116</v>
      </c>
      <c r="D1277" s="6" t="s">
        <v>22</v>
      </c>
      <c r="E1277" s="14" t="n">
        <v>95.33</v>
      </c>
      <c r="F1277" s="14" t="n">
        <v>285.99</v>
      </c>
      <c r="G1277" s="6" t="s">
        <v>15614</v>
      </c>
    </row>
    <row r="1278" customFormat="false" ht="15" hidden="false" customHeight="true" outlineLevel="0" collapsed="false">
      <c r="A1278" s="6" t="s">
        <v>16890</v>
      </c>
      <c r="B1278" s="6" t="s">
        <v>981</v>
      </c>
      <c r="C1278" s="6" t="s">
        <v>131</v>
      </c>
      <c r="D1278" s="6" t="s">
        <v>29</v>
      </c>
      <c r="E1278" s="14" t="n">
        <v>5846.97</v>
      </c>
      <c r="F1278" s="14" t="n">
        <v>5846.97</v>
      </c>
      <c r="G1278" s="6" t="s">
        <v>15614</v>
      </c>
    </row>
    <row r="1279" customFormat="false" ht="15" hidden="false" customHeight="true" outlineLevel="0" collapsed="false">
      <c r="A1279" s="6" t="s">
        <v>16891</v>
      </c>
      <c r="B1279" s="6" t="s">
        <v>981</v>
      </c>
      <c r="C1279" s="6" t="s">
        <v>131</v>
      </c>
      <c r="D1279" s="6" t="s">
        <v>30</v>
      </c>
      <c r="E1279" s="14" t="n">
        <v>5846.97</v>
      </c>
      <c r="F1279" s="14" t="n">
        <v>11693.94</v>
      </c>
      <c r="G1279" s="6" t="s">
        <v>15614</v>
      </c>
    </row>
    <row r="1280" customFormat="false" ht="15" hidden="false" customHeight="true" outlineLevel="0" collapsed="false">
      <c r="A1280" s="6" t="s">
        <v>16892</v>
      </c>
      <c r="B1280" s="6" t="s">
        <v>983</v>
      </c>
      <c r="C1280" s="6" t="s">
        <v>124</v>
      </c>
      <c r="D1280" s="6" t="s">
        <v>53</v>
      </c>
      <c r="E1280" s="14" t="n">
        <v>437.89</v>
      </c>
      <c r="F1280" s="14" t="n">
        <v>437.89</v>
      </c>
      <c r="G1280" s="6" t="s">
        <v>15614</v>
      </c>
    </row>
    <row r="1281" customFormat="false" ht="15" hidden="false" customHeight="true" outlineLevel="0" collapsed="false">
      <c r="A1281" s="6" t="s">
        <v>16893</v>
      </c>
      <c r="B1281" s="6" t="s">
        <v>983</v>
      </c>
      <c r="C1281" s="6" t="s">
        <v>124</v>
      </c>
      <c r="D1281" s="6" t="s">
        <v>54</v>
      </c>
      <c r="E1281" s="14" t="n">
        <v>437.89</v>
      </c>
      <c r="F1281" s="14" t="n">
        <v>875.78</v>
      </c>
      <c r="G1281" s="6" t="s">
        <v>15614</v>
      </c>
    </row>
    <row r="1282" customFormat="false" ht="15" hidden="false" customHeight="true" outlineLevel="0" collapsed="false">
      <c r="A1282" s="6" t="s">
        <v>16894</v>
      </c>
      <c r="B1282" s="6" t="s">
        <v>983</v>
      </c>
      <c r="C1282" s="6" t="s">
        <v>124</v>
      </c>
      <c r="D1282" s="6" t="s">
        <v>55</v>
      </c>
      <c r="E1282" s="14" t="n">
        <v>437.89</v>
      </c>
      <c r="F1282" s="14" t="n">
        <v>1313.67</v>
      </c>
      <c r="G1282" s="6" t="s">
        <v>15614</v>
      </c>
    </row>
    <row r="1283" customFormat="false" ht="15" hidden="false" customHeight="true" outlineLevel="0" collapsed="false">
      <c r="A1283" s="6" t="s">
        <v>16895</v>
      </c>
      <c r="B1283" s="6" t="s">
        <v>983</v>
      </c>
      <c r="C1283" s="6" t="s">
        <v>124</v>
      </c>
      <c r="D1283" s="6" t="s">
        <v>56</v>
      </c>
      <c r="E1283" s="14" t="n">
        <v>437.89</v>
      </c>
      <c r="F1283" s="14" t="n">
        <v>1751.56</v>
      </c>
      <c r="G1283" s="6" t="s">
        <v>15614</v>
      </c>
    </row>
    <row r="1284" customFormat="false" ht="15" hidden="false" customHeight="true" outlineLevel="0" collapsed="false">
      <c r="A1284" s="6" t="s">
        <v>16896</v>
      </c>
      <c r="B1284" s="6" t="s">
        <v>983</v>
      </c>
      <c r="C1284" s="6" t="s">
        <v>124</v>
      </c>
      <c r="D1284" s="6" t="s">
        <v>57</v>
      </c>
      <c r="E1284" s="14" t="n">
        <v>437.89</v>
      </c>
      <c r="F1284" s="14" t="n">
        <v>2189.45</v>
      </c>
      <c r="G1284" s="6" t="s">
        <v>15614</v>
      </c>
    </row>
    <row r="1285" customFormat="false" ht="15" hidden="false" customHeight="true" outlineLevel="0" collapsed="false">
      <c r="A1285" s="6" t="s">
        <v>16897</v>
      </c>
      <c r="B1285" s="6" t="s">
        <v>983</v>
      </c>
      <c r="C1285" s="6" t="s">
        <v>124</v>
      </c>
      <c r="D1285" s="6" t="s">
        <v>58</v>
      </c>
      <c r="E1285" s="14" t="n">
        <v>437.89</v>
      </c>
      <c r="F1285" s="14" t="n">
        <v>2627.34</v>
      </c>
      <c r="G1285" s="6" t="s">
        <v>15614</v>
      </c>
    </row>
    <row r="1286" customFormat="false" ht="15" hidden="false" customHeight="true" outlineLevel="0" collapsed="false">
      <c r="A1286" s="6" t="s">
        <v>16898</v>
      </c>
      <c r="B1286" s="6" t="s">
        <v>983</v>
      </c>
      <c r="C1286" s="6" t="s">
        <v>124</v>
      </c>
      <c r="D1286" s="6" t="s">
        <v>59</v>
      </c>
      <c r="E1286" s="14" t="n">
        <v>437.89</v>
      </c>
      <c r="F1286" s="14" t="n">
        <v>3065.23</v>
      </c>
      <c r="G1286" s="6" t="s">
        <v>15614</v>
      </c>
    </row>
    <row r="1287" customFormat="false" ht="15" hidden="false" customHeight="true" outlineLevel="0" collapsed="false">
      <c r="A1287" s="6" t="s">
        <v>16899</v>
      </c>
      <c r="B1287" s="6" t="s">
        <v>983</v>
      </c>
      <c r="C1287" s="6" t="s">
        <v>124</v>
      </c>
      <c r="D1287" s="6" t="s">
        <v>60</v>
      </c>
      <c r="E1287" s="14" t="n">
        <v>437.89</v>
      </c>
      <c r="F1287" s="14" t="n">
        <v>3503.12</v>
      </c>
      <c r="G1287" s="6" t="s">
        <v>15614</v>
      </c>
    </row>
    <row r="1288" customFormat="false" ht="15" hidden="false" customHeight="true" outlineLevel="0" collapsed="false">
      <c r="A1288" s="6" t="s">
        <v>16900</v>
      </c>
      <c r="B1288" s="6" t="s">
        <v>983</v>
      </c>
      <c r="C1288" s="6" t="s">
        <v>124</v>
      </c>
      <c r="D1288" s="6" t="s">
        <v>61</v>
      </c>
      <c r="E1288" s="14" t="n">
        <v>437.89</v>
      </c>
      <c r="F1288" s="14" t="n">
        <v>3941.01</v>
      </c>
      <c r="G1288" s="6" t="s">
        <v>15614</v>
      </c>
    </row>
    <row r="1289" customFormat="false" ht="15" hidden="false" customHeight="true" outlineLevel="0" collapsed="false">
      <c r="A1289" s="6" t="s">
        <v>16901</v>
      </c>
      <c r="B1289" s="6" t="s">
        <v>983</v>
      </c>
      <c r="C1289" s="6" t="s">
        <v>124</v>
      </c>
      <c r="D1289" s="6" t="s">
        <v>62</v>
      </c>
      <c r="E1289" s="14" t="n">
        <v>437.89</v>
      </c>
      <c r="F1289" s="14" t="n">
        <v>4378.9</v>
      </c>
      <c r="G1289" s="6" t="s">
        <v>15614</v>
      </c>
    </row>
    <row r="1290" customFormat="false" ht="15" hidden="false" customHeight="true" outlineLevel="0" collapsed="false">
      <c r="A1290" s="6" t="s">
        <v>16902</v>
      </c>
      <c r="B1290" s="6" t="s">
        <v>985</v>
      </c>
      <c r="C1290" s="6" t="s">
        <v>120</v>
      </c>
      <c r="D1290" s="6" t="s">
        <v>48</v>
      </c>
      <c r="E1290" s="14" t="n">
        <v>1306.88</v>
      </c>
      <c r="F1290" s="14" t="n">
        <v>1306.88</v>
      </c>
      <c r="G1290" s="6" t="s">
        <v>15614</v>
      </c>
    </row>
    <row r="1291" customFormat="false" ht="15" hidden="false" customHeight="true" outlineLevel="0" collapsed="false">
      <c r="A1291" s="6" t="s">
        <v>16903</v>
      </c>
      <c r="B1291" s="6" t="s">
        <v>985</v>
      </c>
      <c r="C1291" s="6" t="s">
        <v>120</v>
      </c>
      <c r="D1291" s="6" t="s">
        <v>49</v>
      </c>
      <c r="E1291" s="14" t="n">
        <v>1306.88</v>
      </c>
      <c r="F1291" s="14" t="n">
        <v>2613.76</v>
      </c>
      <c r="G1291" s="6" t="s">
        <v>15614</v>
      </c>
    </row>
    <row r="1292" customFormat="false" ht="15" hidden="false" customHeight="true" outlineLevel="0" collapsed="false">
      <c r="A1292" s="6" t="s">
        <v>16904</v>
      </c>
      <c r="B1292" s="6" t="s">
        <v>987</v>
      </c>
      <c r="C1292" s="6" t="s">
        <v>120</v>
      </c>
      <c r="D1292" s="6" t="s">
        <v>38</v>
      </c>
      <c r="E1292" s="14" t="n">
        <v>3617.11</v>
      </c>
      <c r="F1292" s="14" t="n">
        <v>3617.11</v>
      </c>
      <c r="G1292" s="6" t="s">
        <v>15614</v>
      </c>
    </row>
    <row r="1293" customFormat="false" ht="15" hidden="false" customHeight="true" outlineLevel="0" collapsed="false">
      <c r="A1293" s="6" t="s">
        <v>16905</v>
      </c>
      <c r="B1293" s="6" t="s">
        <v>987</v>
      </c>
      <c r="C1293" s="6" t="s">
        <v>120</v>
      </c>
      <c r="D1293" s="6" t="s">
        <v>39</v>
      </c>
      <c r="E1293" s="14" t="n">
        <v>3617.11</v>
      </c>
      <c r="F1293" s="14" t="n">
        <v>7234.22</v>
      </c>
      <c r="G1293" s="6" t="s">
        <v>15614</v>
      </c>
    </row>
    <row r="1294" customFormat="false" ht="15" hidden="false" customHeight="true" outlineLevel="0" collapsed="false">
      <c r="A1294" s="6" t="s">
        <v>16906</v>
      </c>
      <c r="B1294" s="6" t="s">
        <v>989</v>
      </c>
      <c r="C1294" s="6" t="s">
        <v>131</v>
      </c>
      <c r="D1294" s="6" t="s">
        <v>39</v>
      </c>
      <c r="E1294" s="14" t="n">
        <v>2132.95</v>
      </c>
      <c r="F1294" s="14" t="n">
        <v>2132.95</v>
      </c>
      <c r="G1294" s="6" t="s">
        <v>15614</v>
      </c>
    </row>
    <row r="1295" customFormat="false" ht="15" hidden="false" customHeight="true" outlineLevel="0" collapsed="false">
      <c r="A1295" s="6" t="s">
        <v>16907</v>
      </c>
      <c r="B1295" s="6" t="s">
        <v>989</v>
      </c>
      <c r="C1295" s="6" t="s">
        <v>131</v>
      </c>
      <c r="D1295" s="6" t="s">
        <v>40</v>
      </c>
      <c r="E1295" s="14" t="n">
        <v>2132.95</v>
      </c>
      <c r="F1295" s="14" t="n">
        <v>4265.9</v>
      </c>
      <c r="G1295" s="6" t="s">
        <v>15614</v>
      </c>
    </row>
    <row r="1296" customFormat="false" ht="15" hidden="false" customHeight="true" outlineLevel="0" collapsed="false">
      <c r="A1296" s="6" t="s">
        <v>16908</v>
      </c>
      <c r="B1296" s="6" t="s">
        <v>989</v>
      </c>
      <c r="C1296" s="6" t="s">
        <v>131</v>
      </c>
      <c r="D1296" s="6" t="s">
        <v>41</v>
      </c>
      <c r="E1296" s="14" t="n">
        <v>2132.95</v>
      </c>
      <c r="F1296" s="14" t="n">
        <v>6398.85</v>
      </c>
      <c r="G1296" s="6" t="s">
        <v>15614</v>
      </c>
    </row>
    <row r="1297" customFormat="false" ht="15" hidden="false" customHeight="true" outlineLevel="0" collapsed="false">
      <c r="A1297" s="6" t="s">
        <v>16909</v>
      </c>
      <c r="B1297" s="6" t="s">
        <v>989</v>
      </c>
      <c r="C1297" s="6" t="s">
        <v>131</v>
      </c>
      <c r="D1297" s="6" t="s">
        <v>42</v>
      </c>
      <c r="E1297" s="14" t="n">
        <v>2132.95</v>
      </c>
      <c r="F1297" s="14" t="n">
        <v>8531.8</v>
      </c>
      <c r="G1297" s="6" t="s">
        <v>15614</v>
      </c>
    </row>
    <row r="1298" customFormat="false" ht="15" hidden="false" customHeight="true" outlineLevel="0" collapsed="false">
      <c r="A1298" s="6" t="s">
        <v>16910</v>
      </c>
      <c r="B1298" s="6" t="s">
        <v>989</v>
      </c>
      <c r="C1298" s="6" t="s">
        <v>131</v>
      </c>
      <c r="D1298" s="6" t="s">
        <v>43</v>
      </c>
      <c r="E1298" s="14" t="n">
        <v>2132.95</v>
      </c>
      <c r="F1298" s="14" t="n">
        <v>10664.75</v>
      </c>
      <c r="G1298" s="6" t="s">
        <v>15614</v>
      </c>
    </row>
    <row r="1299" customFormat="false" ht="15" hidden="false" customHeight="true" outlineLevel="0" collapsed="false">
      <c r="A1299" s="6" t="s">
        <v>16911</v>
      </c>
      <c r="B1299" s="6" t="s">
        <v>989</v>
      </c>
      <c r="C1299" s="6" t="s">
        <v>131</v>
      </c>
      <c r="D1299" s="6" t="s">
        <v>44</v>
      </c>
      <c r="E1299" s="14" t="n">
        <v>2132.95</v>
      </c>
      <c r="F1299" s="14" t="n">
        <v>12797.7</v>
      </c>
      <c r="G1299" s="6" t="s">
        <v>15614</v>
      </c>
    </row>
    <row r="1300" customFormat="false" ht="15" hidden="false" customHeight="true" outlineLevel="0" collapsed="false">
      <c r="A1300" s="6" t="s">
        <v>16912</v>
      </c>
      <c r="B1300" s="6" t="s">
        <v>991</v>
      </c>
      <c r="C1300" s="6" t="s">
        <v>124</v>
      </c>
      <c r="D1300" s="6" t="s">
        <v>56</v>
      </c>
      <c r="E1300" s="14" t="n">
        <v>1813.34</v>
      </c>
      <c r="F1300" s="14" t="n">
        <v>1813.34</v>
      </c>
      <c r="G1300" s="6" t="s">
        <v>15614</v>
      </c>
    </row>
    <row r="1301" customFormat="false" ht="15" hidden="false" customHeight="true" outlineLevel="0" collapsed="false">
      <c r="A1301" s="6" t="s">
        <v>16913</v>
      </c>
      <c r="B1301" s="6" t="s">
        <v>991</v>
      </c>
      <c r="C1301" s="6" t="s">
        <v>124</v>
      </c>
      <c r="D1301" s="6" t="s">
        <v>57</v>
      </c>
      <c r="E1301" s="14" t="n">
        <v>1813.34</v>
      </c>
      <c r="F1301" s="14" t="n">
        <v>3626.68</v>
      </c>
      <c r="G1301" s="6" t="s">
        <v>15614</v>
      </c>
    </row>
    <row r="1302" customFormat="false" ht="15" hidden="false" customHeight="true" outlineLevel="0" collapsed="false">
      <c r="A1302" s="6" t="s">
        <v>16914</v>
      </c>
      <c r="B1302" s="6" t="s">
        <v>991</v>
      </c>
      <c r="C1302" s="6" t="s">
        <v>124</v>
      </c>
      <c r="D1302" s="6" t="s">
        <v>58</v>
      </c>
      <c r="E1302" s="14" t="n">
        <v>1813.34</v>
      </c>
      <c r="F1302" s="14" t="n">
        <v>5440.02</v>
      </c>
      <c r="G1302" s="6" t="s">
        <v>15614</v>
      </c>
    </row>
    <row r="1303" customFormat="false" ht="15" hidden="false" customHeight="true" outlineLevel="0" collapsed="false">
      <c r="A1303" s="6" t="s">
        <v>16915</v>
      </c>
      <c r="B1303" s="6" t="s">
        <v>991</v>
      </c>
      <c r="C1303" s="6" t="s">
        <v>124</v>
      </c>
      <c r="D1303" s="6" t="s">
        <v>59</v>
      </c>
      <c r="E1303" s="14" t="n">
        <v>1813.34</v>
      </c>
      <c r="F1303" s="14" t="n">
        <v>7253.36</v>
      </c>
      <c r="G1303" s="6" t="s">
        <v>15614</v>
      </c>
    </row>
    <row r="1304" customFormat="false" ht="15" hidden="false" customHeight="true" outlineLevel="0" collapsed="false">
      <c r="A1304" s="6" t="s">
        <v>16916</v>
      </c>
      <c r="B1304" s="6" t="s">
        <v>993</v>
      </c>
      <c r="C1304" s="6" t="s">
        <v>128</v>
      </c>
      <c r="D1304" s="6" t="s">
        <v>13</v>
      </c>
      <c r="E1304" s="14" t="n">
        <v>1311.87</v>
      </c>
      <c r="F1304" s="14" t="n">
        <v>1311.87</v>
      </c>
      <c r="G1304" s="6" t="s">
        <v>15614</v>
      </c>
    </row>
    <row r="1305" customFormat="false" ht="15" hidden="false" customHeight="true" outlineLevel="0" collapsed="false">
      <c r="A1305" s="6" t="s">
        <v>16917</v>
      </c>
      <c r="B1305" s="6" t="s">
        <v>993</v>
      </c>
      <c r="C1305" s="6" t="s">
        <v>128</v>
      </c>
      <c r="D1305" s="6" t="s">
        <v>14</v>
      </c>
      <c r="E1305" s="14" t="n">
        <v>1311.87</v>
      </c>
      <c r="F1305" s="14" t="n">
        <v>2623.74</v>
      </c>
      <c r="G1305" s="6" t="s">
        <v>15614</v>
      </c>
    </row>
    <row r="1306" customFormat="false" ht="15" hidden="false" customHeight="true" outlineLevel="0" collapsed="false">
      <c r="A1306" s="6" t="s">
        <v>16918</v>
      </c>
      <c r="B1306" s="6" t="s">
        <v>995</v>
      </c>
      <c r="C1306" s="6" t="s">
        <v>120</v>
      </c>
      <c r="D1306" s="6" t="s">
        <v>51</v>
      </c>
      <c r="E1306" s="14" t="n">
        <v>1825.27</v>
      </c>
      <c r="F1306" s="14" t="n">
        <v>1825.27</v>
      </c>
      <c r="G1306" s="6" t="s">
        <v>15614</v>
      </c>
    </row>
    <row r="1307" customFormat="false" ht="15" hidden="false" customHeight="true" outlineLevel="0" collapsed="false">
      <c r="A1307" s="6" t="s">
        <v>16919</v>
      </c>
      <c r="B1307" s="6" t="s">
        <v>995</v>
      </c>
      <c r="C1307" s="6" t="s">
        <v>120</v>
      </c>
      <c r="D1307" s="6" t="s">
        <v>52</v>
      </c>
      <c r="E1307" s="14" t="n">
        <v>1825.27</v>
      </c>
      <c r="F1307" s="14" t="n">
        <v>3650.54</v>
      </c>
      <c r="G1307" s="6" t="s">
        <v>15614</v>
      </c>
    </row>
    <row r="1308" customFormat="false" ht="15" hidden="false" customHeight="true" outlineLevel="0" collapsed="false">
      <c r="A1308" s="6" t="s">
        <v>16920</v>
      </c>
      <c r="B1308" s="6" t="s">
        <v>995</v>
      </c>
      <c r="C1308" s="6" t="s">
        <v>120</v>
      </c>
      <c r="D1308" s="6" t="s">
        <v>53</v>
      </c>
      <c r="E1308" s="14" t="n">
        <v>1825.27</v>
      </c>
      <c r="F1308" s="14" t="n">
        <v>5475.81</v>
      </c>
      <c r="G1308" s="6" t="s">
        <v>15614</v>
      </c>
    </row>
    <row r="1309" customFormat="false" ht="15" hidden="false" customHeight="true" outlineLevel="0" collapsed="false">
      <c r="A1309" s="6" t="s">
        <v>16921</v>
      </c>
      <c r="B1309" s="6" t="s">
        <v>995</v>
      </c>
      <c r="C1309" s="6" t="s">
        <v>120</v>
      </c>
      <c r="D1309" s="6" t="s">
        <v>54</v>
      </c>
      <c r="E1309" s="14" t="n">
        <v>1825.27</v>
      </c>
      <c r="F1309" s="14" t="n">
        <v>7301.08</v>
      </c>
      <c r="G1309" s="6" t="s">
        <v>15614</v>
      </c>
    </row>
    <row r="1310" customFormat="false" ht="15" hidden="false" customHeight="true" outlineLevel="0" collapsed="false">
      <c r="A1310" s="6" t="s">
        <v>16922</v>
      </c>
      <c r="B1310" s="6" t="s">
        <v>997</v>
      </c>
      <c r="C1310" s="6" t="s">
        <v>112</v>
      </c>
      <c r="D1310" s="6" t="s">
        <v>46</v>
      </c>
      <c r="E1310" s="14" t="n">
        <v>469.92</v>
      </c>
      <c r="F1310" s="14" t="n">
        <v>469.92</v>
      </c>
      <c r="G1310" s="6" t="s">
        <v>15614</v>
      </c>
    </row>
    <row r="1311" customFormat="false" ht="15" hidden="false" customHeight="true" outlineLevel="0" collapsed="false">
      <c r="A1311" s="6" t="s">
        <v>16923</v>
      </c>
      <c r="B1311" s="6" t="s">
        <v>997</v>
      </c>
      <c r="C1311" s="6" t="s">
        <v>112</v>
      </c>
      <c r="D1311" s="6" t="s">
        <v>47</v>
      </c>
      <c r="E1311" s="14" t="n">
        <v>469.92</v>
      </c>
      <c r="F1311" s="14" t="n">
        <v>939.84</v>
      </c>
      <c r="G1311" s="6" t="s">
        <v>15614</v>
      </c>
    </row>
    <row r="1312" customFormat="false" ht="15" hidden="false" customHeight="true" outlineLevel="0" collapsed="false">
      <c r="A1312" s="6" t="s">
        <v>16924</v>
      </c>
      <c r="B1312" s="6" t="s">
        <v>997</v>
      </c>
      <c r="C1312" s="6" t="s">
        <v>112</v>
      </c>
      <c r="D1312" s="6" t="s">
        <v>48</v>
      </c>
      <c r="E1312" s="14" t="n">
        <v>469.92</v>
      </c>
      <c r="F1312" s="14" t="n">
        <v>1409.76</v>
      </c>
      <c r="G1312" s="6" t="s">
        <v>15614</v>
      </c>
    </row>
    <row r="1313" customFormat="false" ht="15" hidden="false" customHeight="true" outlineLevel="0" collapsed="false">
      <c r="A1313" s="6" t="s">
        <v>16925</v>
      </c>
      <c r="B1313" s="6" t="s">
        <v>997</v>
      </c>
      <c r="C1313" s="6" t="s">
        <v>112</v>
      </c>
      <c r="D1313" s="6" t="s">
        <v>49</v>
      </c>
      <c r="E1313" s="14" t="n">
        <v>469.92</v>
      </c>
      <c r="F1313" s="14" t="n">
        <v>1879.68</v>
      </c>
      <c r="G1313" s="6" t="s">
        <v>15614</v>
      </c>
    </row>
    <row r="1314" customFormat="false" ht="15" hidden="false" customHeight="true" outlineLevel="0" collapsed="false">
      <c r="A1314" s="6" t="s">
        <v>16926</v>
      </c>
      <c r="B1314" s="6" t="s">
        <v>997</v>
      </c>
      <c r="C1314" s="6" t="s">
        <v>112</v>
      </c>
      <c r="D1314" s="6" t="s">
        <v>50</v>
      </c>
      <c r="E1314" s="14" t="n">
        <v>469.92</v>
      </c>
      <c r="F1314" s="14" t="n">
        <v>2349.6</v>
      </c>
      <c r="G1314" s="6" t="s">
        <v>15614</v>
      </c>
    </row>
    <row r="1315" customFormat="false" ht="15" hidden="false" customHeight="true" outlineLevel="0" collapsed="false">
      <c r="A1315" s="6" t="s">
        <v>16927</v>
      </c>
      <c r="B1315" s="6" t="s">
        <v>999</v>
      </c>
      <c r="C1315" s="6" t="s">
        <v>124</v>
      </c>
      <c r="D1315" s="6" t="s">
        <v>20</v>
      </c>
      <c r="E1315" s="14" t="n">
        <v>4378.31</v>
      </c>
      <c r="F1315" s="14" t="n">
        <v>4378.31</v>
      </c>
      <c r="G1315" s="6" t="s">
        <v>15614</v>
      </c>
    </row>
    <row r="1316" customFormat="false" ht="15" hidden="false" customHeight="true" outlineLevel="0" collapsed="false">
      <c r="A1316" s="6" t="s">
        <v>16928</v>
      </c>
      <c r="B1316" s="6" t="s">
        <v>999</v>
      </c>
      <c r="C1316" s="6" t="s">
        <v>124</v>
      </c>
      <c r="D1316" s="6" t="s">
        <v>21</v>
      </c>
      <c r="E1316" s="14" t="n">
        <v>4378.31</v>
      </c>
      <c r="F1316" s="14" t="n">
        <v>8756.62</v>
      </c>
      <c r="G1316" s="6" t="s">
        <v>15614</v>
      </c>
    </row>
    <row r="1317" customFormat="false" ht="15" hidden="false" customHeight="true" outlineLevel="0" collapsed="false">
      <c r="A1317" s="6" t="s">
        <v>16929</v>
      </c>
      <c r="B1317" s="6" t="s">
        <v>1001</v>
      </c>
      <c r="C1317" s="6" t="s">
        <v>112</v>
      </c>
      <c r="D1317" s="6" t="s">
        <v>43</v>
      </c>
      <c r="E1317" s="14" t="n">
        <v>289.15</v>
      </c>
      <c r="F1317" s="14" t="n">
        <v>289.15</v>
      </c>
      <c r="G1317" s="6" t="s">
        <v>15614</v>
      </c>
    </row>
    <row r="1318" customFormat="false" ht="15" hidden="false" customHeight="true" outlineLevel="0" collapsed="false">
      <c r="A1318" s="6" t="s">
        <v>16930</v>
      </c>
      <c r="B1318" s="6" t="s">
        <v>1001</v>
      </c>
      <c r="C1318" s="6" t="s">
        <v>112</v>
      </c>
      <c r="D1318" s="6" t="s">
        <v>44</v>
      </c>
      <c r="E1318" s="14" t="n">
        <v>289.15</v>
      </c>
      <c r="F1318" s="14" t="n">
        <v>578.3</v>
      </c>
      <c r="G1318" s="6" t="s">
        <v>15614</v>
      </c>
    </row>
    <row r="1319" customFormat="false" ht="15" hidden="false" customHeight="true" outlineLevel="0" collapsed="false">
      <c r="A1319" s="6" t="s">
        <v>16931</v>
      </c>
      <c r="B1319" s="6" t="s">
        <v>1003</v>
      </c>
      <c r="C1319" s="6" t="s">
        <v>131</v>
      </c>
      <c r="D1319" s="6" t="s">
        <v>42</v>
      </c>
      <c r="E1319" s="14" t="n">
        <v>800.36</v>
      </c>
      <c r="F1319" s="14" t="n">
        <v>800.36</v>
      </c>
      <c r="G1319" s="6" t="s">
        <v>15614</v>
      </c>
    </row>
    <row r="1320" customFormat="false" ht="15" hidden="false" customHeight="true" outlineLevel="0" collapsed="false">
      <c r="A1320" s="6" t="s">
        <v>16932</v>
      </c>
      <c r="B1320" s="6" t="s">
        <v>1003</v>
      </c>
      <c r="C1320" s="6" t="s">
        <v>131</v>
      </c>
      <c r="D1320" s="6" t="s">
        <v>43</v>
      </c>
      <c r="E1320" s="14" t="n">
        <v>800.36</v>
      </c>
      <c r="F1320" s="14" t="n">
        <v>1600.72</v>
      </c>
      <c r="G1320" s="6" t="s">
        <v>15614</v>
      </c>
    </row>
    <row r="1321" customFormat="false" ht="15" hidden="false" customHeight="true" outlineLevel="0" collapsed="false">
      <c r="A1321" s="6" t="s">
        <v>16933</v>
      </c>
      <c r="B1321" s="6" t="s">
        <v>1003</v>
      </c>
      <c r="C1321" s="6" t="s">
        <v>131</v>
      </c>
      <c r="D1321" s="6" t="s">
        <v>44</v>
      </c>
      <c r="E1321" s="14" t="n">
        <v>800.36</v>
      </c>
      <c r="F1321" s="14" t="n">
        <v>2401.08</v>
      </c>
      <c r="G1321" s="6" t="s">
        <v>15614</v>
      </c>
    </row>
    <row r="1322" customFormat="false" ht="15" hidden="false" customHeight="true" outlineLevel="0" collapsed="false">
      <c r="A1322" s="6" t="s">
        <v>16934</v>
      </c>
      <c r="B1322" s="6" t="s">
        <v>1005</v>
      </c>
      <c r="C1322" s="6" t="s">
        <v>120</v>
      </c>
      <c r="D1322" s="6" t="s">
        <v>33</v>
      </c>
      <c r="E1322" s="14" t="n">
        <v>2476.45</v>
      </c>
      <c r="F1322" s="14" t="n">
        <v>2476.45</v>
      </c>
      <c r="G1322" s="6" t="s">
        <v>15614</v>
      </c>
    </row>
    <row r="1323" customFormat="false" ht="15" hidden="false" customHeight="true" outlineLevel="0" collapsed="false">
      <c r="A1323" s="6" t="s">
        <v>16935</v>
      </c>
      <c r="B1323" s="6" t="s">
        <v>1005</v>
      </c>
      <c r="C1323" s="6" t="s">
        <v>120</v>
      </c>
      <c r="D1323" s="6" t="s">
        <v>34</v>
      </c>
      <c r="E1323" s="14" t="n">
        <v>2476.45</v>
      </c>
      <c r="F1323" s="14" t="n">
        <v>4952.9</v>
      </c>
      <c r="G1323" s="6" t="s">
        <v>15614</v>
      </c>
    </row>
    <row r="1324" customFormat="false" ht="15" hidden="false" customHeight="true" outlineLevel="0" collapsed="false">
      <c r="A1324" s="6" t="s">
        <v>16936</v>
      </c>
      <c r="B1324" s="6" t="s">
        <v>1005</v>
      </c>
      <c r="C1324" s="6" t="s">
        <v>120</v>
      </c>
      <c r="D1324" s="6" t="s">
        <v>35</v>
      </c>
      <c r="E1324" s="14" t="n">
        <v>2476.45</v>
      </c>
      <c r="F1324" s="14" t="n">
        <v>7429.35</v>
      </c>
      <c r="G1324" s="6" t="s">
        <v>15614</v>
      </c>
    </row>
    <row r="1325" customFormat="false" ht="15" hidden="false" customHeight="true" outlineLevel="0" collapsed="false">
      <c r="A1325" s="6" t="s">
        <v>16937</v>
      </c>
      <c r="B1325" s="6" t="s">
        <v>1005</v>
      </c>
      <c r="C1325" s="6" t="s">
        <v>120</v>
      </c>
      <c r="D1325" s="6" t="s">
        <v>36</v>
      </c>
      <c r="E1325" s="14" t="n">
        <v>2476.45</v>
      </c>
      <c r="F1325" s="14" t="n">
        <v>9905.8</v>
      </c>
      <c r="G1325" s="6" t="s">
        <v>15614</v>
      </c>
    </row>
    <row r="1326" customFormat="false" ht="15" hidden="false" customHeight="true" outlineLevel="0" collapsed="false">
      <c r="A1326" s="6" t="s">
        <v>16938</v>
      </c>
      <c r="B1326" s="6" t="s">
        <v>1005</v>
      </c>
      <c r="C1326" s="6" t="s">
        <v>120</v>
      </c>
      <c r="D1326" s="6" t="s">
        <v>37</v>
      </c>
      <c r="E1326" s="14" t="n">
        <v>2476.45</v>
      </c>
      <c r="F1326" s="14" t="n">
        <v>12382.25</v>
      </c>
      <c r="G1326" s="6" t="s">
        <v>15614</v>
      </c>
    </row>
    <row r="1327" customFormat="false" ht="15" hidden="false" customHeight="true" outlineLevel="0" collapsed="false">
      <c r="A1327" s="6" t="s">
        <v>16939</v>
      </c>
      <c r="B1327" s="6" t="s">
        <v>1005</v>
      </c>
      <c r="C1327" s="6" t="s">
        <v>120</v>
      </c>
      <c r="D1327" s="6" t="s">
        <v>38</v>
      </c>
      <c r="E1327" s="14" t="n">
        <v>2476.45</v>
      </c>
      <c r="F1327" s="14" t="n">
        <v>14858.7</v>
      </c>
      <c r="G1327" s="6" t="s">
        <v>15614</v>
      </c>
    </row>
    <row r="1328" customFormat="false" ht="15" hidden="false" customHeight="true" outlineLevel="0" collapsed="false">
      <c r="A1328" s="6" t="s">
        <v>16940</v>
      </c>
      <c r="B1328" s="6" t="s">
        <v>1007</v>
      </c>
      <c r="C1328" s="6" t="s">
        <v>120</v>
      </c>
      <c r="D1328" s="6" t="s">
        <v>48</v>
      </c>
      <c r="E1328" s="14" t="n">
        <v>4276.47</v>
      </c>
      <c r="F1328" s="14" t="n">
        <v>4276.47</v>
      </c>
      <c r="G1328" s="6" t="s">
        <v>15614</v>
      </c>
    </row>
    <row r="1329" customFormat="false" ht="15" hidden="false" customHeight="true" outlineLevel="0" collapsed="false">
      <c r="A1329" s="6" t="s">
        <v>16941</v>
      </c>
      <c r="B1329" s="6" t="s">
        <v>1007</v>
      </c>
      <c r="C1329" s="6" t="s">
        <v>120</v>
      </c>
      <c r="D1329" s="6" t="s">
        <v>49</v>
      </c>
      <c r="E1329" s="14" t="n">
        <v>4276.47</v>
      </c>
      <c r="F1329" s="14" t="n">
        <v>8552.94</v>
      </c>
      <c r="G1329" s="6" t="s">
        <v>15614</v>
      </c>
    </row>
    <row r="1330" customFormat="false" ht="15" hidden="false" customHeight="true" outlineLevel="0" collapsed="false">
      <c r="A1330" s="6" t="s">
        <v>16942</v>
      </c>
      <c r="B1330" s="6" t="s">
        <v>1007</v>
      </c>
      <c r="C1330" s="6" t="s">
        <v>120</v>
      </c>
      <c r="D1330" s="6" t="s">
        <v>50</v>
      </c>
      <c r="E1330" s="14" t="n">
        <v>4276.47</v>
      </c>
      <c r="F1330" s="14" t="n">
        <v>12829.41</v>
      </c>
      <c r="G1330" s="6" t="s">
        <v>15614</v>
      </c>
    </row>
    <row r="1331" customFormat="false" ht="15" hidden="false" customHeight="true" outlineLevel="0" collapsed="false">
      <c r="A1331" s="6" t="s">
        <v>16943</v>
      </c>
      <c r="B1331" s="6" t="s">
        <v>1009</v>
      </c>
      <c r="C1331" s="6" t="s">
        <v>116</v>
      </c>
      <c r="D1331" s="6" t="s">
        <v>61</v>
      </c>
      <c r="E1331" s="14" t="n">
        <v>2675.14</v>
      </c>
      <c r="F1331" s="14" t="n">
        <v>2675.14</v>
      </c>
      <c r="G1331" s="6" t="s">
        <v>15614</v>
      </c>
    </row>
    <row r="1332" customFormat="false" ht="15" hidden="false" customHeight="true" outlineLevel="0" collapsed="false">
      <c r="A1332" s="6" t="s">
        <v>16944</v>
      </c>
      <c r="B1332" s="6" t="s">
        <v>1009</v>
      </c>
      <c r="C1332" s="6" t="s">
        <v>116</v>
      </c>
      <c r="D1332" s="6" t="s">
        <v>62</v>
      </c>
      <c r="E1332" s="14" t="n">
        <v>2675.14</v>
      </c>
      <c r="F1332" s="14" t="n">
        <v>5350.28</v>
      </c>
      <c r="G1332" s="6" t="s">
        <v>15614</v>
      </c>
    </row>
    <row r="1333" customFormat="false" ht="15" hidden="false" customHeight="true" outlineLevel="0" collapsed="false">
      <c r="A1333" s="6" t="s">
        <v>16945</v>
      </c>
      <c r="B1333" s="6" t="s">
        <v>1011</v>
      </c>
      <c r="C1333" s="6" t="s">
        <v>128</v>
      </c>
      <c r="D1333" s="6" t="s">
        <v>47</v>
      </c>
      <c r="E1333" s="14" t="n">
        <v>2098.08</v>
      </c>
      <c r="F1333" s="14" t="n">
        <v>2098.08</v>
      </c>
      <c r="G1333" s="6" t="s">
        <v>15614</v>
      </c>
    </row>
    <row r="1334" customFormat="false" ht="15" hidden="false" customHeight="true" outlineLevel="0" collapsed="false">
      <c r="A1334" s="6" t="s">
        <v>16946</v>
      </c>
      <c r="B1334" s="6" t="s">
        <v>1011</v>
      </c>
      <c r="C1334" s="6" t="s">
        <v>128</v>
      </c>
      <c r="D1334" s="6" t="s">
        <v>48</v>
      </c>
      <c r="E1334" s="14" t="n">
        <v>2098.08</v>
      </c>
      <c r="F1334" s="14" t="n">
        <v>4196.16</v>
      </c>
      <c r="G1334" s="6" t="s">
        <v>15614</v>
      </c>
    </row>
    <row r="1335" customFormat="false" ht="15" hidden="false" customHeight="true" outlineLevel="0" collapsed="false">
      <c r="A1335" s="6" t="s">
        <v>16947</v>
      </c>
      <c r="B1335" s="6" t="s">
        <v>1011</v>
      </c>
      <c r="C1335" s="6" t="s">
        <v>128</v>
      </c>
      <c r="D1335" s="6" t="s">
        <v>49</v>
      </c>
      <c r="E1335" s="14" t="n">
        <v>2098.08</v>
      </c>
      <c r="F1335" s="14" t="n">
        <v>6294.24</v>
      </c>
      <c r="G1335" s="6" t="s">
        <v>15614</v>
      </c>
    </row>
    <row r="1336" customFormat="false" ht="15" hidden="false" customHeight="true" outlineLevel="0" collapsed="false">
      <c r="A1336" s="6" t="s">
        <v>16948</v>
      </c>
      <c r="B1336" s="6" t="s">
        <v>1011</v>
      </c>
      <c r="C1336" s="6" t="s">
        <v>128</v>
      </c>
      <c r="D1336" s="6" t="s">
        <v>50</v>
      </c>
      <c r="E1336" s="14" t="n">
        <v>2098.08</v>
      </c>
      <c r="F1336" s="14" t="n">
        <v>8392.32</v>
      </c>
      <c r="G1336" s="6" t="s">
        <v>15614</v>
      </c>
    </row>
    <row r="1337" customFormat="false" ht="15" hidden="false" customHeight="true" outlineLevel="0" collapsed="false">
      <c r="A1337" s="6" t="s">
        <v>16949</v>
      </c>
      <c r="B1337" s="6" t="s">
        <v>1013</v>
      </c>
      <c r="C1337" s="6" t="s">
        <v>128</v>
      </c>
      <c r="D1337" s="6" t="s">
        <v>51</v>
      </c>
      <c r="E1337" s="14" t="n">
        <v>5225.6</v>
      </c>
      <c r="F1337" s="14" t="n">
        <v>5225.6</v>
      </c>
      <c r="G1337" s="6" t="s">
        <v>15614</v>
      </c>
    </row>
    <row r="1338" customFormat="false" ht="15" hidden="false" customHeight="true" outlineLevel="0" collapsed="false">
      <c r="A1338" s="6" t="s">
        <v>16950</v>
      </c>
      <c r="B1338" s="6" t="s">
        <v>1013</v>
      </c>
      <c r="C1338" s="6" t="s">
        <v>128</v>
      </c>
      <c r="D1338" s="6" t="s">
        <v>52</v>
      </c>
      <c r="E1338" s="14" t="n">
        <v>5225.6</v>
      </c>
      <c r="F1338" s="14" t="n">
        <v>10451.2</v>
      </c>
      <c r="G1338" s="6" t="s">
        <v>15614</v>
      </c>
    </row>
    <row r="1339" customFormat="false" ht="15" hidden="false" customHeight="true" outlineLevel="0" collapsed="false">
      <c r="A1339" s="6" t="s">
        <v>16951</v>
      </c>
      <c r="B1339" s="6" t="s">
        <v>1015</v>
      </c>
      <c r="C1339" s="6" t="s">
        <v>131</v>
      </c>
      <c r="D1339" s="6" t="s">
        <v>39</v>
      </c>
      <c r="E1339" s="14" t="n">
        <v>1676.56</v>
      </c>
      <c r="F1339" s="14" t="n">
        <v>1676.56</v>
      </c>
      <c r="G1339" s="6" t="s">
        <v>15614</v>
      </c>
    </row>
    <row r="1340" customFormat="false" ht="15" hidden="false" customHeight="true" outlineLevel="0" collapsed="false">
      <c r="A1340" s="6" t="s">
        <v>16952</v>
      </c>
      <c r="B1340" s="6" t="s">
        <v>1015</v>
      </c>
      <c r="C1340" s="6" t="s">
        <v>131</v>
      </c>
      <c r="D1340" s="6" t="s">
        <v>40</v>
      </c>
      <c r="E1340" s="14" t="n">
        <v>1676.56</v>
      </c>
      <c r="F1340" s="14" t="n">
        <v>3353.12</v>
      </c>
      <c r="G1340" s="6" t="s">
        <v>15614</v>
      </c>
    </row>
    <row r="1341" customFormat="false" ht="15" hidden="false" customHeight="true" outlineLevel="0" collapsed="false">
      <c r="A1341" s="6" t="s">
        <v>16953</v>
      </c>
      <c r="B1341" s="6" t="s">
        <v>1017</v>
      </c>
      <c r="C1341" s="6" t="s">
        <v>112</v>
      </c>
      <c r="D1341" s="6" t="s">
        <v>38</v>
      </c>
      <c r="E1341" s="14" t="n">
        <v>372.92</v>
      </c>
      <c r="F1341" s="14" t="n">
        <v>372.92</v>
      </c>
      <c r="G1341" s="6" t="s">
        <v>15614</v>
      </c>
    </row>
    <row r="1342" customFormat="false" ht="15" hidden="false" customHeight="true" outlineLevel="0" collapsed="false">
      <c r="A1342" s="6" t="s">
        <v>16954</v>
      </c>
      <c r="B1342" s="6" t="s">
        <v>1017</v>
      </c>
      <c r="C1342" s="6" t="s">
        <v>112</v>
      </c>
      <c r="D1342" s="6" t="s">
        <v>39</v>
      </c>
      <c r="E1342" s="14" t="n">
        <v>372.92</v>
      </c>
      <c r="F1342" s="14" t="n">
        <v>745.84</v>
      </c>
      <c r="G1342" s="6" t="s">
        <v>15614</v>
      </c>
    </row>
    <row r="1343" customFormat="false" ht="15" hidden="false" customHeight="true" outlineLevel="0" collapsed="false">
      <c r="A1343" s="6" t="s">
        <v>16955</v>
      </c>
      <c r="B1343" s="6" t="s">
        <v>1017</v>
      </c>
      <c r="C1343" s="6" t="s">
        <v>112</v>
      </c>
      <c r="D1343" s="6" t="s">
        <v>40</v>
      </c>
      <c r="E1343" s="14" t="n">
        <v>372.92</v>
      </c>
      <c r="F1343" s="14" t="n">
        <v>1118.76</v>
      </c>
      <c r="G1343" s="6" t="s">
        <v>15614</v>
      </c>
    </row>
    <row r="1344" customFormat="false" ht="15" hidden="false" customHeight="true" outlineLevel="0" collapsed="false">
      <c r="A1344" s="6" t="s">
        <v>16956</v>
      </c>
      <c r="B1344" s="6" t="s">
        <v>1019</v>
      </c>
      <c r="C1344" s="6" t="s">
        <v>116</v>
      </c>
      <c r="D1344" s="6" t="s">
        <v>23</v>
      </c>
      <c r="E1344" s="14" t="n">
        <v>419.67</v>
      </c>
      <c r="F1344" s="14" t="n">
        <v>419.67</v>
      </c>
      <c r="G1344" s="6" t="s">
        <v>15614</v>
      </c>
    </row>
    <row r="1345" customFormat="false" ht="15" hidden="false" customHeight="true" outlineLevel="0" collapsed="false">
      <c r="A1345" s="6" t="s">
        <v>16957</v>
      </c>
      <c r="B1345" s="6" t="s">
        <v>1019</v>
      </c>
      <c r="C1345" s="6" t="s">
        <v>116</v>
      </c>
      <c r="D1345" s="6" t="s">
        <v>24</v>
      </c>
      <c r="E1345" s="14" t="n">
        <v>419.67</v>
      </c>
      <c r="F1345" s="14" t="n">
        <v>839.34</v>
      </c>
      <c r="G1345" s="6" t="s">
        <v>15614</v>
      </c>
    </row>
    <row r="1346" customFormat="false" ht="15" hidden="false" customHeight="true" outlineLevel="0" collapsed="false">
      <c r="A1346" s="6" t="s">
        <v>16958</v>
      </c>
      <c r="B1346" s="6" t="s">
        <v>1019</v>
      </c>
      <c r="C1346" s="6" t="s">
        <v>116</v>
      </c>
      <c r="D1346" s="6" t="s">
        <v>25</v>
      </c>
      <c r="E1346" s="14" t="n">
        <v>419.67</v>
      </c>
      <c r="F1346" s="14" t="n">
        <v>1259.01</v>
      </c>
      <c r="G1346" s="6" t="s">
        <v>15614</v>
      </c>
    </row>
    <row r="1347" customFormat="false" ht="15" hidden="false" customHeight="true" outlineLevel="0" collapsed="false">
      <c r="A1347" s="6" t="s">
        <v>16959</v>
      </c>
      <c r="B1347" s="6" t="s">
        <v>1019</v>
      </c>
      <c r="C1347" s="6" t="s">
        <v>116</v>
      </c>
      <c r="D1347" s="6" t="s">
        <v>26</v>
      </c>
      <c r="E1347" s="14" t="n">
        <v>419.67</v>
      </c>
      <c r="F1347" s="14" t="n">
        <v>1678.68</v>
      </c>
      <c r="G1347" s="6" t="s">
        <v>15614</v>
      </c>
    </row>
    <row r="1348" customFormat="false" ht="15" hidden="false" customHeight="true" outlineLevel="0" collapsed="false">
      <c r="A1348" s="6" t="s">
        <v>16960</v>
      </c>
      <c r="B1348" s="6" t="s">
        <v>1021</v>
      </c>
      <c r="C1348" s="6" t="s">
        <v>128</v>
      </c>
      <c r="D1348" s="6" t="s">
        <v>44</v>
      </c>
      <c r="E1348" s="14" t="n">
        <v>1468.13</v>
      </c>
      <c r="F1348" s="14" t="n">
        <v>1468.13</v>
      </c>
      <c r="G1348" s="6" t="s">
        <v>15614</v>
      </c>
    </row>
    <row r="1349" customFormat="false" ht="15" hidden="false" customHeight="true" outlineLevel="0" collapsed="false">
      <c r="A1349" s="6" t="s">
        <v>16961</v>
      </c>
      <c r="B1349" s="6" t="s">
        <v>1021</v>
      </c>
      <c r="C1349" s="6" t="s">
        <v>128</v>
      </c>
      <c r="D1349" s="6" t="s">
        <v>45</v>
      </c>
      <c r="E1349" s="14" t="n">
        <v>1468.13</v>
      </c>
      <c r="F1349" s="14" t="n">
        <v>2936.26</v>
      </c>
      <c r="G1349" s="6" t="s">
        <v>15614</v>
      </c>
    </row>
    <row r="1350" customFormat="false" ht="15" hidden="false" customHeight="true" outlineLevel="0" collapsed="false">
      <c r="A1350" s="6" t="s">
        <v>16962</v>
      </c>
      <c r="B1350" s="6" t="s">
        <v>1021</v>
      </c>
      <c r="C1350" s="6" t="s">
        <v>128</v>
      </c>
      <c r="D1350" s="6" t="s">
        <v>46</v>
      </c>
      <c r="E1350" s="14" t="n">
        <v>1468.13</v>
      </c>
      <c r="F1350" s="14" t="n">
        <v>4404.39</v>
      </c>
      <c r="G1350" s="6" t="s">
        <v>15614</v>
      </c>
    </row>
    <row r="1351" customFormat="false" ht="15" hidden="false" customHeight="true" outlineLevel="0" collapsed="false">
      <c r="A1351" s="6" t="s">
        <v>16963</v>
      </c>
      <c r="B1351" s="6" t="s">
        <v>1021</v>
      </c>
      <c r="C1351" s="6" t="s">
        <v>128</v>
      </c>
      <c r="D1351" s="6" t="s">
        <v>47</v>
      </c>
      <c r="E1351" s="14" t="n">
        <v>1468.13</v>
      </c>
      <c r="F1351" s="14" t="n">
        <v>5872.52</v>
      </c>
      <c r="G1351" s="6" t="s">
        <v>15614</v>
      </c>
    </row>
    <row r="1352" customFormat="false" ht="15" hidden="false" customHeight="true" outlineLevel="0" collapsed="false">
      <c r="A1352" s="6" t="s">
        <v>16964</v>
      </c>
      <c r="B1352" s="6" t="s">
        <v>1023</v>
      </c>
      <c r="C1352" s="6" t="s">
        <v>116</v>
      </c>
      <c r="D1352" s="6" t="s">
        <v>54</v>
      </c>
      <c r="E1352" s="14" t="n">
        <v>928.23</v>
      </c>
      <c r="F1352" s="14" t="n">
        <v>928.23</v>
      </c>
      <c r="G1352" s="6" t="s">
        <v>15614</v>
      </c>
    </row>
    <row r="1353" customFormat="false" ht="15" hidden="false" customHeight="true" outlineLevel="0" collapsed="false">
      <c r="A1353" s="6" t="s">
        <v>16965</v>
      </c>
      <c r="B1353" s="6" t="s">
        <v>1023</v>
      </c>
      <c r="C1353" s="6" t="s">
        <v>116</v>
      </c>
      <c r="D1353" s="6" t="s">
        <v>55</v>
      </c>
      <c r="E1353" s="14" t="n">
        <v>928.23</v>
      </c>
      <c r="F1353" s="14" t="n">
        <v>1856.46</v>
      </c>
      <c r="G1353" s="6" t="s">
        <v>15614</v>
      </c>
    </row>
    <row r="1354" customFormat="false" ht="15" hidden="false" customHeight="true" outlineLevel="0" collapsed="false">
      <c r="A1354" s="6" t="s">
        <v>16966</v>
      </c>
      <c r="B1354" s="6" t="s">
        <v>1025</v>
      </c>
      <c r="C1354" s="6" t="s">
        <v>128</v>
      </c>
      <c r="D1354" s="6" t="s">
        <v>50</v>
      </c>
      <c r="E1354" s="14" t="n">
        <v>1564.34</v>
      </c>
      <c r="F1354" s="14" t="n">
        <v>1564.34</v>
      </c>
      <c r="G1354" s="6" t="s">
        <v>15614</v>
      </c>
    </row>
    <row r="1355" customFormat="false" ht="15" hidden="false" customHeight="true" outlineLevel="0" collapsed="false">
      <c r="A1355" s="6" t="s">
        <v>16967</v>
      </c>
      <c r="B1355" s="6" t="s">
        <v>1025</v>
      </c>
      <c r="C1355" s="6" t="s">
        <v>128</v>
      </c>
      <c r="D1355" s="6" t="s">
        <v>51</v>
      </c>
      <c r="E1355" s="14" t="n">
        <v>1564.34</v>
      </c>
      <c r="F1355" s="14" t="n">
        <v>3128.68</v>
      </c>
      <c r="G1355" s="6" t="s">
        <v>15614</v>
      </c>
    </row>
    <row r="1356" customFormat="false" ht="15" hidden="false" customHeight="true" outlineLevel="0" collapsed="false">
      <c r="A1356" s="6" t="s">
        <v>16968</v>
      </c>
      <c r="B1356" s="6" t="s">
        <v>1027</v>
      </c>
      <c r="C1356" s="6" t="s">
        <v>116</v>
      </c>
      <c r="D1356" s="6" t="s">
        <v>21</v>
      </c>
      <c r="E1356" s="14" t="n">
        <v>724.1</v>
      </c>
      <c r="F1356" s="14" t="n">
        <v>724.1</v>
      </c>
      <c r="G1356" s="6" t="s">
        <v>15614</v>
      </c>
    </row>
    <row r="1357" customFormat="false" ht="15" hidden="false" customHeight="true" outlineLevel="0" collapsed="false">
      <c r="A1357" s="6" t="s">
        <v>16969</v>
      </c>
      <c r="B1357" s="6" t="s">
        <v>1027</v>
      </c>
      <c r="C1357" s="6" t="s">
        <v>116</v>
      </c>
      <c r="D1357" s="6" t="s">
        <v>22</v>
      </c>
      <c r="E1357" s="14" t="n">
        <v>724.1</v>
      </c>
      <c r="F1357" s="14" t="n">
        <v>1448.2</v>
      </c>
      <c r="G1357" s="6" t="s">
        <v>15614</v>
      </c>
    </row>
    <row r="1358" customFormat="false" ht="15" hidden="false" customHeight="true" outlineLevel="0" collapsed="false">
      <c r="A1358" s="6" t="s">
        <v>16970</v>
      </c>
      <c r="B1358" s="6" t="s">
        <v>1029</v>
      </c>
      <c r="C1358" s="6" t="s">
        <v>112</v>
      </c>
      <c r="D1358" s="6" t="s">
        <v>60</v>
      </c>
      <c r="E1358" s="14" t="n">
        <v>2789.73</v>
      </c>
      <c r="F1358" s="14" t="n">
        <v>2789.73</v>
      </c>
      <c r="G1358" s="6" t="s">
        <v>15614</v>
      </c>
    </row>
    <row r="1359" customFormat="false" ht="15" hidden="false" customHeight="true" outlineLevel="0" collapsed="false">
      <c r="A1359" s="6" t="s">
        <v>16971</v>
      </c>
      <c r="B1359" s="6" t="s">
        <v>1029</v>
      </c>
      <c r="C1359" s="6" t="s">
        <v>112</v>
      </c>
      <c r="D1359" s="6" t="s">
        <v>61</v>
      </c>
      <c r="E1359" s="14" t="n">
        <v>2789.73</v>
      </c>
      <c r="F1359" s="14" t="n">
        <v>5579.46</v>
      </c>
      <c r="G1359" s="6" t="s">
        <v>15614</v>
      </c>
    </row>
    <row r="1360" customFormat="false" ht="15" hidden="false" customHeight="true" outlineLevel="0" collapsed="false">
      <c r="A1360" s="6" t="s">
        <v>16972</v>
      </c>
      <c r="B1360" s="6" t="s">
        <v>1029</v>
      </c>
      <c r="C1360" s="6" t="s">
        <v>112</v>
      </c>
      <c r="D1360" s="6" t="s">
        <v>62</v>
      </c>
      <c r="E1360" s="14" t="n">
        <v>2789.73</v>
      </c>
      <c r="F1360" s="14" t="n">
        <v>8369.19</v>
      </c>
      <c r="G1360" s="6" t="s">
        <v>15614</v>
      </c>
    </row>
    <row r="1361" customFormat="false" ht="15" hidden="false" customHeight="true" outlineLevel="0" collapsed="false">
      <c r="A1361" s="6" t="s">
        <v>16973</v>
      </c>
      <c r="B1361" s="6" t="s">
        <v>1029</v>
      </c>
      <c r="C1361" s="6" t="s">
        <v>112</v>
      </c>
      <c r="D1361" s="6" t="s">
        <v>63</v>
      </c>
      <c r="E1361" s="14" t="n">
        <v>2789.73</v>
      </c>
      <c r="F1361" s="14" t="n">
        <v>11158.92</v>
      </c>
      <c r="G1361" s="6" t="s">
        <v>15614</v>
      </c>
    </row>
    <row r="1362" customFormat="false" ht="15" hidden="false" customHeight="true" outlineLevel="0" collapsed="false">
      <c r="A1362" s="6" t="s">
        <v>16974</v>
      </c>
      <c r="B1362" s="6" t="s">
        <v>1029</v>
      </c>
      <c r="C1362" s="6" t="s">
        <v>112</v>
      </c>
      <c r="D1362" s="6" t="s">
        <v>64</v>
      </c>
      <c r="E1362" s="14" t="n">
        <v>2789.73</v>
      </c>
      <c r="F1362" s="14" t="n">
        <v>13948.65</v>
      </c>
      <c r="G1362" s="6" t="s">
        <v>15614</v>
      </c>
    </row>
    <row r="1363" customFormat="false" ht="15" hidden="false" customHeight="true" outlineLevel="0" collapsed="false">
      <c r="A1363" s="6" t="s">
        <v>16975</v>
      </c>
      <c r="B1363" s="6" t="s">
        <v>1031</v>
      </c>
      <c r="C1363" s="6" t="s">
        <v>131</v>
      </c>
      <c r="D1363" s="6" t="s">
        <v>14</v>
      </c>
      <c r="E1363" s="14" t="n">
        <v>4453.99</v>
      </c>
      <c r="F1363" s="14" t="n">
        <v>4453.99</v>
      </c>
      <c r="G1363" s="6" t="s">
        <v>15614</v>
      </c>
    </row>
    <row r="1364" customFormat="false" ht="15" hidden="false" customHeight="true" outlineLevel="0" collapsed="false">
      <c r="A1364" s="6" t="s">
        <v>16976</v>
      </c>
      <c r="B1364" s="6" t="s">
        <v>1031</v>
      </c>
      <c r="C1364" s="6" t="s">
        <v>131</v>
      </c>
      <c r="D1364" s="6" t="s">
        <v>15</v>
      </c>
      <c r="E1364" s="14" t="n">
        <v>4453.99</v>
      </c>
      <c r="F1364" s="14" t="n">
        <v>8907.98</v>
      </c>
      <c r="G1364" s="6" t="s">
        <v>15614</v>
      </c>
    </row>
    <row r="1365" customFormat="false" ht="15" hidden="false" customHeight="true" outlineLevel="0" collapsed="false">
      <c r="A1365" s="6" t="s">
        <v>16977</v>
      </c>
      <c r="B1365" s="6" t="s">
        <v>1031</v>
      </c>
      <c r="C1365" s="6" t="s">
        <v>131</v>
      </c>
      <c r="D1365" s="6" t="s">
        <v>16</v>
      </c>
      <c r="E1365" s="14" t="n">
        <v>4453.99</v>
      </c>
      <c r="F1365" s="14" t="n">
        <v>13361.97</v>
      </c>
      <c r="G1365" s="6" t="s">
        <v>15614</v>
      </c>
    </row>
    <row r="1366" customFormat="false" ht="15" hidden="false" customHeight="true" outlineLevel="0" collapsed="false">
      <c r="A1366" s="6" t="s">
        <v>16978</v>
      </c>
      <c r="B1366" s="6" t="s">
        <v>1031</v>
      </c>
      <c r="C1366" s="6" t="s">
        <v>131</v>
      </c>
      <c r="D1366" s="6" t="s">
        <v>17</v>
      </c>
      <c r="E1366" s="14" t="n">
        <v>4453.99</v>
      </c>
      <c r="F1366" s="14" t="n">
        <v>17815.96</v>
      </c>
      <c r="G1366" s="6" t="s">
        <v>15614</v>
      </c>
    </row>
    <row r="1367" customFormat="false" ht="15" hidden="false" customHeight="true" outlineLevel="0" collapsed="false">
      <c r="A1367" s="6" t="s">
        <v>16979</v>
      </c>
      <c r="B1367" s="6" t="s">
        <v>1033</v>
      </c>
      <c r="C1367" s="6" t="s">
        <v>124</v>
      </c>
      <c r="D1367" s="6" t="s">
        <v>58</v>
      </c>
      <c r="E1367" s="14" t="n">
        <v>7196.6</v>
      </c>
      <c r="F1367" s="14" t="n">
        <v>7196.6</v>
      </c>
      <c r="G1367" s="6" t="s">
        <v>15614</v>
      </c>
    </row>
    <row r="1368" customFormat="false" ht="15" hidden="false" customHeight="true" outlineLevel="0" collapsed="false">
      <c r="A1368" s="6" t="s">
        <v>16980</v>
      </c>
      <c r="B1368" s="6" t="s">
        <v>1033</v>
      </c>
      <c r="C1368" s="6" t="s">
        <v>124</v>
      </c>
      <c r="D1368" s="6" t="s">
        <v>59</v>
      </c>
      <c r="E1368" s="14" t="n">
        <v>7196.6</v>
      </c>
      <c r="F1368" s="14" t="n">
        <v>14393.2</v>
      </c>
      <c r="G1368" s="6" t="s">
        <v>15614</v>
      </c>
    </row>
    <row r="1369" customFormat="false" ht="15" hidden="false" customHeight="true" outlineLevel="0" collapsed="false">
      <c r="A1369" s="6" t="s">
        <v>16981</v>
      </c>
      <c r="B1369" s="6" t="s">
        <v>1035</v>
      </c>
      <c r="C1369" s="6" t="s">
        <v>124</v>
      </c>
      <c r="D1369" s="6" t="s">
        <v>63</v>
      </c>
      <c r="E1369" s="14" t="n">
        <v>2066.89</v>
      </c>
      <c r="F1369" s="14" t="n">
        <v>2066.89</v>
      </c>
      <c r="G1369" s="6" t="s">
        <v>15614</v>
      </c>
    </row>
    <row r="1370" customFormat="false" ht="15" hidden="false" customHeight="true" outlineLevel="0" collapsed="false">
      <c r="A1370" s="6" t="s">
        <v>16982</v>
      </c>
      <c r="B1370" s="6" t="s">
        <v>1035</v>
      </c>
      <c r="C1370" s="6" t="s">
        <v>124</v>
      </c>
      <c r="D1370" s="6" t="s">
        <v>64</v>
      </c>
      <c r="E1370" s="14" t="n">
        <v>2066.89</v>
      </c>
      <c r="F1370" s="14" t="n">
        <v>4133.78</v>
      </c>
      <c r="G1370" s="6" t="s">
        <v>15614</v>
      </c>
    </row>
    <row r="1371" customFormat="false" ht="15" hidden="false" customHeight="true" outlineLevel="0" collapsed="false">
      <c r="A1371" s="6" t="s">
        <v>16983</v>
      </c>
      <c r="B1371" s="6" t="s">
        <v>1035</v>
      </c>
      <c r="C1371" s="6" t="s">
        <v>124</v>
      </c>
      <c r="D1371" s="6" t="s">
        <v>65</v>
      </c>
      <c r="E1371" s="14" t="n">
        <v>2066.89</v>
      </c>
      <c r="F1371" s="14" t="n">
        <v>6200.67</v>
      </c>
      <c r="G1371" s="6" t="s">
        <v>15614</v>
      </c>
    </row>
    <row r="1372" customFormat="false" ht="15" hidden="false" customHeight="true" outlineLevel="0" collapsed="false">
      <c r="A1372" s="6" t="s">
        <v>16984</v>
      </c>
      <c r="B1372" s="6" t="s">
        <v>1037</v>
      </c>
      <c r="C1372" s="6" t="s">
        <v>124</v>
      </c>
      <c r="D1372" s="6" t="s">
        <v>50</v>
      </c>
      <c r="E1372" s="14" t="n">
        <v>1067.24</v>
      </c>
      <c r="F1372" s="14" t="n">
        <v>1067.24</v>
      </c>
      <c r="G1372" s="6" t="s">
        <v>15614</v>
      </c>
    </row>
    <row r="1373" customFormat="false" ht="15" hidden="false" customHeight="true" outlineLevel="0" collapsed="false">
      <c r="A1373" s="6" t="s">
        <v>16985</v>
      </c>
      <c r="B1373" s="6" t="s">
        <v>1037</v>
      </c>
      <c r="C1373" s="6" t="s">
        <v>124</v>
      </c>
      <c r="D1373" s="6" t="s">
        <v>51</v>
      </c>
      <c r="E1373" s="14" t="n">
        <v>1067.24</v>
      </c>
      <c r="F1373" s="14" t="n">
        <v>2134.48</v>
      </c>
      <c r="G1373" s="6" t="s">
        <v>15614</v>
      </c>
    </row>
    <row r="1374" customFormat="false" ht="15" hidden="false" customHeight="true" outlineLevel="0" collapsed="false">
      <c r="A1374" s="6" t="s">
        <v>16986</v>
      </c>
      <c r="B1374" s="6" t="s">
        <v>1037</v>
      </c>
      <c r="C1374" s="6" t="s">
        <v>124</v>
      </c>
      <c r="D1374" s="6" t="s">
        <v>52</v>
      </c>
      <c r="E1374" s="14" t="n">
        <v>1067.24</v>
      </c>
      <c r="F1374" s="14" t="n">
        <v>3201.72</v>
      </c>
      <c r="G1374" s="6" t="s">
        <v>15614</v>
      </c>
    </row>
    <row r="1375" customFormat="false" ht="15" hidden="false" customHeight="true" outlineLevel="0" collapsed="false">
      <c r="A1375" s="6" t="s">
        <v>16987</v>
      </c>
      <c r="B1375" s="6" t="s">
        <v>1039</v>
      </c>
      <c r="C1375" s="6" t="s">
        <v>120</v>
      </c>
      <c r="D1375" s="6" t="s">
        <v>32</v>
      </c>
      <c r="E1375" s="14" t="n">
        <v>596.69</v>
      </c>
      <c r="F1375" s="14" t="n">
        <v>596.69</v>
      </c>
      <c r="G1375" s="6" t="s">
        <v>15614</v>
      </c>
    </row>
    <row r="1376" customFormat="false" ht="15" hidden="false" customHeight="true" outlineLevel="0" collapsed="false">
      <c r="A1376" s="6" t="s">
        <v>16988</v>
      </c>
      <c r="B1376" s="6" t="s">
        <v>1039</v>
      </c>
      <c r="C1376" s="6" t="s">
        <v>120</v>
      </c>
      <c r="D1376" s="6" t="s">
        <v>33</v>
      </c>
      <c r="E1376" s="14" t="n">
        <v>596.69</v>
      </c>
      <c r="F1376" s="14" t="n">
        <v>1193.38</v>
      </c>
      <c r="G1376" s="6" t="s">
        <v>15614</v>
      </c>
    </row>
    <row r="1377" customFormat="false" ht="15" hidden="false" customHeight="true" outlineLevel="0" collapsed="false">
      <c r="A1377" s="6" t="s">
        <v>16989</v>
      </c>
      <c r="B1377" s="6" t="s">
        <v>1039</v>
      </c>
      <c r="C1377" s="6" t="s">
        <v>120</v>
      </c>
      <c r="D1377" s="6" t="s">
        <v>34</v>
      </c>
      <c r="E1377" s="14" t="n">
        <v>596.69</v>
      </c>
      <c r="F1377" s="14" t="n">
        <v>1790.07</v>
      </c>
      <c r="G1377" s="6" t="s">
        <v>15614</v>
      </c>
    </row>
    <row r="1378" customFormat="false" ht="15" hidden="false" customHeight="true" outlineLevel="0" collapsed="false">
      <c r="A1378" s="6" t="s">
        <v>16990</v>
      </c>
      <c r="B1378" s="6" t="s">
        <v>1041</v>
      </c>
      <c r="C1378" s="6" t="s">
        <v>112</v>
      </c>
      <c r="D1378" s="6" t="s">
        <v>56</v>
      </c>
      <c r="E1378" s="14" t="n">
        <v>1645.53</v>
      </c>
      <c r="F1378" s="14" t="n">
        <v>1645.53</v>
      </c>
      <c r="G1378" s="6" t="s">
        <v>15614</v>
      </c>
    </row>
    <row r="1379" customFormat="false" ht="15" hidden="false" customHeight="true" outlineLevel="0" collapsed="false">
      <c r="A1379" s="6" t="s">
        <v>16991</v>
      </c>
      <c r="B1379" s="6" t="s">
        <v>1041</v>
      </c>
      <c r="C1379" s="6" t="s">
        <v>112</v>
      </c>
      <c r="D1379" s="6" t="s">
        <v>57</v>
      </c>
      <c r="E1379" s="14" t="n">
        <v>1645.53</v>
      </c>
      <c r="F1379" s="14" t="n">
        <v>3291.06</v>
      </c>
      <c r="G1379" s="6" t="s">
        <v>15614</v>
      </c>
    </row>
    <row r="1380" customFormat="false" ht="15" hidden="false" customHeight="true" outlineLevel="0" collapsed="false">
      <c r="A1380" s="6" t="s">
        <v>16992</v>
      </c>
      <c r="B1380" s="6" t="s">
        <v>1041</v>
      </c>
      <c r="C1380" s="6" t="s">
        <v>112</v>
      </c>
      <c r="D1380" s="6" t="s">
        <v>58</v>
      </c>
      <c r="E1380" s="14" t="n">
        <v>1645.53</v>
      </c>
      <c r="F1380" s="14" t="n">
        <v>4936.59</v>
      </c>
      <c r="G1380" s="6" t="s">
        <v>15614</v>
      </c>
    </row>
    <row r="1381" customFormat="false" ht="15" hidden="false" customHeight="true" outlineLevel="0" collapsed="false">
      <c r="A1381" s="6" t="s">
        <v>16993</v>
      </c>
      <c r="B1381" s="6" t="s">
        <v>1041</v>
      </c>
      <c r="C1381" s="6" t="s">
        <v>112</v>
      </c>
      <c r="D1381" s="6" t="s">
        <v>59</v>
      </c>
      <c r="E1381" s="14" t="n">
        <v>1645.53</v>
      </c>
      <c r="F1381" s="14" t="n">
        <v>6582.12</v>
      </c>
      <c r="G1381" s="6" t="s">
        <v>15614</v>
      </c>
    </row>
    <row r="1382" customFormat="false" ht="15" hidden="false" customHeight="true" outlineLevel="0" collapsed="false">
      <c r="A1382" s="6" t="s">
        <v>16994</v>
      </c>
      <c r="B1382" s="6" t="s">
        <v>1041</v>
      </c>
      <c r="C1382" s="6" t="s">
        <v>112</v>
      </c>
      <c r="D1382" s="6" t="s">
        <v>60</v>
      </c>
      <c r="E1382" s="14" t="n">
        <v>1645.53</v>
      </c>
      <c r="F1382" s="14" t="n">
        <v>8227.65</v>
      </c>
      <c r="G1382" s="6" t="s">
        <v>15614</v>
      </c>
    </row>
    <row r="1383" customFormat="false" ht="15" hidden="false" customHeight="true" outlineLevel="0" collapsed="false">
      <c r="A1383" s="6" t="s">
        <v>16995</v>
      </c>
      <c r="B1383" s="6" t="s">
        <v>1041</v>
      </c>
      <c r="C1383" s="6" t="s">
        <v>112</v>
      </c>
      <c r="D1383" s="6" t="s">
        <v>61</v>
      </c>
      <c r="E1383" s="14" t="n">
        <v>1645.53</v>
      </c>
      <c r="F1383" s="14" t="n">
        <v>9873.18</v>
      </c>
      <c r="G1383" s="6" t="s">
        <v>15614</v>
      </c>
    </row>
    <row r="1384" customFormat="false" ht="15" hidden="false" customHeight="true" outlineLevel="0" collapsed="false">
      <c r="A1384" s="6" t="s">
        <v>16996</v>
      </c>
      <c r="B1384" s="6" t="s">
        <v>1041</v>
      </c>
      <c r="C1384" s="6" t="s">
        <v>112</v>
      </c>
      <c r="D1384" s="6" t="s">
        <v>62</v>
      </c>
      <c r="E1384" s="14" t="n">
        <v>1645.53</v>
      </c>
      <c r="F1384" s="14" t="n">
        <v>11518.71</v>
      </c>
      <c r="G1384" s="6" t="s">
        <v>15614</v>
      </c>
    </row>
    <row r="1385" customFormat="false" ht="15" hidden="false" customHeight="true" outlineLevel="0" collapsed="false">
      <c r="A1385" s="6" t="s">
        <v>16997</v>
      </c>
      <c r="B1385" s="6" t="s">
        <v>1043</v>
      </c>
      <c r="C1385" s="6" t="s">
        <v>131</v>
      </c>
      <c r="D1385" s="6" t="s">
        <v>59</v>
      </c>
      <c r="E1385" s="14" t="n">
        <v>3766.14</v>
      </c>
      <c r="F1385" s="14" t="n">
        <v>3766.14</v>
      </c>
      <c r="G1385" s="6" t="s">
        <v>15614</v>
      </c>
    </row>
    <row r="1386" customFormat="false" ht="15" hidden="false" customHeight="true" outlineLevel="0" collapsed="false">
      <c r="A1386" s="6" t="s">
        <v>16998</v>
      </c>
      <c r="B1386" s="6" t="s">
        <v>1043</v>
      </c>
      <c r="C1386" s="6" t="s">
        <v>131</v>
      </c>
      <c r="D1386" s="6" t="s">
        <v>60</v>
      </c>
      <c r="E1386" s="14" t="n">
        <v>3766.14</v>
      </c>
      <c r="F1386" s="14" t="n">
        <v>7532.28</v>
      </c>
      <c r="G1386" s="6" t="s">
        <v>15614</v>
      </c>
    </row>
    <row r="1387" customFormat="false" ht="15" hidden="false" customHeight="true" outlineLevel="0" collapsed="false">
      <c r="A1387" s="6" t="s">
        <v>16999</v>
      </c>
      <c r="B1387" s="6" t="s">
        <v>1043</v>
      </c>
      <c r="C1387" s="6" t="s">
        <v>131</v>
      </c>
      <c r="D1387" s="6" t="s">
        <v>61</v>
      </c>
      <c r="E1387" s="14" t="n">
        <v>3766.14</v>
      </c>
      <c r="F1387" s="14" t="n">
        <v>11298.42</v>
      </c>
      <c r="G1387" s="6" t="s">
        <v>15614</v>
      </c>
    </row>
    <row r="1388" customFormat="false" ht="15" hidden="false" customHeight="true" outlineLevel="0" collapsed="false">
      <c r="A1388" s="6" t="s">
        <v>17000</v>
      </c>
      <c r="B1388" s="6" t="s">
        <v>1043</v>
      </c>
      <c r="C1388" s="6" t="s">
        <v>131</v>
      </c>
      <c r="D1388" s="6" t="s">
        <v>62</v>
      </c>
      <c r="E1388" s="14" t="n">
        <v>3766.14</v>
      </c>
      <c r="F1388" s="14" t="n">
        <v>15064.56</v>
      </c>
      <c r="G1388" s="6" t="s">
        <v>15614</v>
      </c>
    </row>
    <row r="1389" customFormat="false" ht="15" hidden="false" customHeight="true" outlineLevel="0" collapsed="false">
      <c r="A1389" s="6" t="s">
        <v>17001</v>
      </c>
      <c r="B1389" s="6" t="s">
        <v>1043</v>
      </c>
      <c r="C1389" s="6" t="s">
        <v>131</v>
      </c>
      <c r="D1389" s="6" t="s">
        <v>63</v>
      </c>
      <c r="E1389" s="14" t="n">
        <v>3766.14</v>
      </c>
      <c r="F1389" s="14" t="n">
        <v>18830.7</v>
      </c>
      <c r="G1389" s="6" t="s">
        <v>15614</v>
      </c>
    </row>
    <row r="1390" customFormat="false" ht="15" hidden="false" customHeight="true" outlineLevel="0" collapsed="false">
      <c r="A1390" s="6" t="s">
        <v>17002</v>
      </c>
      <c r="B1390" s="6" t="s">
        <v>1043</v>
      </c>
      <c r="C1390" s="6" t="s">
        <v>131</v>
      </c>
      <c r="D1390" s="6" t="s">
        <v>64</v>
      </c>
      <c r="E1390" s="14" t="n">
        <v>3766.14</v>
      </c>
      <c r="F1390" s="14" t="n">
        <v>22596.84</v>
      </c>
      <c r="G1390" s="6" t="s">
        <v>15614</v>
      </c>
    </row>
    <row r="1391" customFormat="false" ht="15" hidden="false" customHeight="true" outlineLevel="0" collapsed="false">
      <c r="A1391" s="6" t="s">
        <v>17003</v>
      </c>
      <c r="B1391" s="6" t="s">
        <v>1045</v>
      </c>
      <c r="C1391" s="6" t="s">
        <v>128</v>
      </c>
      <c r="D1391" s="6" t="s">
        <v>47</v>
      </c>
      <c r="E1391" s="14" t="n">
        <v>365.99</v>
      </c>
      <c r="F1391" s="14" t="n">
        <v>365.99</v>
      </c>
      <c r="G1391" s="6" t="s">
        <v>15614</v>
      </c>
    </row>
    <row r="1392" customFormat="false" ht="15" hidden="false" customHeight="true" outlineLevel="0" collapsed="false">
      <c r="A1392" s="6" t="s">
        <v>17004</v>
      </c>
      <c r="B1392" s="6" t="s">
        <v>1045</v>
      </c>
      <c r="C1392" s="6" t="s">
        <v>128</v>
      </c>
      <c r="D1392" s="6" t="s">
        <v>48</v>
      </c>
      <c r="E1392" s="14" t="n">
        <v>365.99</v>
      </c>
      <c r="F1392" s="14" t="n">
        <v>731.98</v>
      </c>
      <c r="G1392" s="6" t="s">
        <v>15614</v>
      </c>
    </row>
    <row r="1393" customFormat="false" ht="15" hidden="false" customHeight="true" outlineLevel="0" collapsed="false">
      <c r="A1393" s="6" t="s">
        <v>17005</v>
      </c>
      <c r="B1393" s="6" t="s">
        <v>1047</v>
      </c>
      <c r="C1393" s="6" t="s">
        <v>124</v>
      </c>
      <c r="D1393" s="6" t="s">
        <v>15</v>
      </c>
      <c r="E1393" s="14" t="n">
        <v>4809.84</v>
      </c>
      <c r="F1393" s="14" t="n">
        <v>4809.84</v>
      </c>
      <c r="G1393" s="6" t="s">
        <v>15614</v>
      </c>
    </row>
    <row r="1394" customFormat="false" ht="15" hidden="false" customHeight="true" outlineLevel="0" collapsed="false">
      <c r="A1394" s="6" t="s">
        <v>17006</v>
      </c>
      <c r="B1394" s="6" t="s">
        <v>1047</v>
      </c>
      <c r="C1394" s="6" t="s">
        <v>124</v>
      </c>
      <c r="D1394" s="6" t="s">
        <v>16</v>
      </c>
      <c r="E1394" s="14" t="n">
        <v>4809.84</v>
      </c>
      <c r="F1394" s="14" t="n">
        <v>9619.68</v>
      </c>
      <c r="G1394" s="6" t="s">
        <v>15614</v>
      </c>
    </row>
    <row r="1395" customFormat="false" ht="15" hidden="false" customHeight="true" outlineLevel="0" collapsed="false">
      <c r="A1395" s="6" t="s">
        <v>17007</v>
      </c>
      <c r="B1395" s="6" t="s">
        <v>1049</v>
      </c>
      <c r="C1395" s="6" t="s">
        <v>120</v>
      </c>
      <c r="D1395" s="6" t="s">
        <v>18</v>
      </c>
      <c r="E1395" s="14" t="n">
        <v>3268.75</v>
      </c>
      <c r="F1395" s="14" t="n">
        <v>3268.75</v>
      </c>
      <c r="G1395" s="6" t="s">
        <v>15614</v>
      </c>
    </row>
    <row r="1396" customFormat="false" ht="15" hidden="false" customHeight="true" outlineLevel="0" collapsed="false">
      <c r="A1396" s="6" t="s">
        <v>17008</v>
      </c>
      <c r="B1396" s="6" t="s">
        <v>1049</v>
      </c>
      <c r="C1396" s="6" t="s">
        <v>120</v>
      </c>
      <c r="D1396" s="6" t="s">
        <v>19</v>
      </c>
      <c r="E1396" s="14" t="n">
        <v>3268.75</v>
      </c>
      <c r="F1396" s="14" t="n">
        <v>6537.5</v>
      </c>
      <c r="G1396" s="6" t="s">
        <v>15614</v>
      </c>
    </row>
    <row r="1397" customFormat="false" ht="15" hidden="false" customHeight="true" outlineLevel="0" collapsed="false">
      <c r="A1397" s="6" t="s">
        <v>17009</v>
      </c>
      <c r="B1397" s="6" t="s">
        <v>1051</v>
      </c>
      <c r="C1397" s="6" t="s">
        <v>112</v>
      </c>
      <c r="D1397" s="6" t="s">
        <v>46</v>
      </c>
      <c r="E1397" s="14" t="n">
        <v>6063.52</v>
      </c>
      <c r="F1397" s="14" t="n">
        <v>6063.52</v>
      </c>
      <c r="G1397" s="6" t="s">
        <v>15614</v>
      </c>
    </row>
    <row r="1398" customFormat="false" ht="15" hidden="false" customHeight="true" outlineLevel="0" collapsed="false">
      <c r="A1398" s="6" t="s">
        <v>17010</v>
      </c>
      <c r="B1398" s="6" t="s">
        <v>1051</v>
      </c>
      <c r="C1398" s="6" t="s">
        <v>112</v>
      </c>
      <c r="D1398" s="6" t="s">
        <v>47</v>
      </c>
      <c r="E1398" s="14" t="n">
        <v>6063.52</v>
      </c>
      <c r="F1398" s="14" t="n">
        <v>12127.04</v>
      </c>
      <c r="G1398" s="6" t="s">
        <v>15614</v>
      </c>
    </row>
    <row r="1399" customFormat="false" ht="15" hidden="false" customHeight="true" outlineLevel="0" collapsed="false">
      <c r="A1399" s="6" t="s">
        <v>17011</v>
      </c>
      <c r="B1399" s="6" t="s">
        <v>1051</v>
      </c>
      <c r="C1399" s="6" t="s">
        <v>112</v>
      </c>
      <c r="D1399" s="6" t="s">
        <v>48</v>
      </c>
      <c r="E1399" s="14" t="n">
        <v>6063.52</v>
      </c>
      <c r="F1399" s="14" t="n">
        <v>18190.56</v>
      </c>
      <c r="G1399" s="6" t="s">
        <v>15614</v>
      </c>
    </row>
    <row r="1400" customFormat="false" ht="15" hidden="false" customHeight="true" outlineLevel="0" collapsed="false">
      <c r="A1400" s="6" t="s">
        <v>17012</v>
      </c>
      <c r="B1400" s="6" t="s">
        <v>1053</v>
      </c>
      <c r="C1400" s="6" t="s">
        <v>120</v>
      </c>
      <c r="D1400" s="6" t="s">
        <v>16</v>
      </c>
      <c r="E1400" s="14" t="n">
        <v>2418.62</v>
      </c>
      <c r="F1400" s="14" t="n">
        <v>2418.62</v>
      </c>
      <c r="G1400" s="6" t="s">
        <v>15614</v>
      </c>
    </row>
    <row r="1401" customFormat="false" ht="15" hidden="false" customHeight="true" outlineLevel="0" collapsed="false">
      <c r="A1401" s="6" t="s">
        <v>17013</v>
      </c>
      <c r="B1401" s="6" t="s">
        <v>1053</v>
      </c>
      <c r="C1401" s="6" t="s">
        <v>120</v>
      </c>
      <c r="D1401" s="6" t="s">
        <v>17</v>
      </c>
      <c r="E1401" s="14" t="n">
        <v>2418.62</v>
      </c>
      <c r="F1401" s="14" t="n">
        <v>4837.24</v>
      </c>
      <c r="G1401" s="6" t="s">
        <v>15614</v>
      </c>
    </row>
    <row r="1402" customFormat="false" ht="15" hidden="false" customHeight="true" outlineLevel="0" collapsed="false">
      <c r="A1402" s="6" t="s">
        <v>17014</v>
      </c>
      <c r="B1402" s="6" t="s">
        <v>1053</v>
      </c>
      <c r="C1402" s="6" t="s">
        <v>120</v>
      </c>
      <c r="D1402" s="6" t="s">
        <v>18</v>
      </c>
      <c r="E1402" s="14" t="n">
        <v>2418.62</v>
      </c>
      <c r="F1402" s="14" t="n">
        <v>7255.86</v>
      </c>
      <c r="G1402" s="6" t="s">
        <v>15614</v>
      </c>
    </row>
    <row r="1403" customFormat="false" ht="15" hidden="false" customHeight="true" outlineLevel="0" collapsed="false">
      <c r="A1403" s="6" t="s">
        <v>17015</v>
      </c>
      <c r="B1403" s="6" t="s">
        <v>1055</v>
      </c>
      <c r="C1403" s="6" t="s">
        <v>124</v>
      </c>
      <c r="D1403" s="6" t="s">
        <v>22</v>
      </c>
      <c r="E1403" s="14" t="n">
        <v>2446.84</v>
      </c>
      <c r="F1403" s="14" t="n">
        <v>2446.84</v>
      </c>
      <c r="G1403" s="6" t="s">
        <v>15614</v>
      </c>
    </row>
    <row r="1404" customFormat="false" ht="15" hidden="false" customHeight="true" outlineLevel="0" collapsed="false">
      <c r="A1404" s="6" t="s">
        <v>17016</v>
      </c>
      <c r="B1404" s="6" t="s">
        <v>1055</v>
      </c>
      <c r="C1404" s="6" t="s">
        <v>124</v>
      </c>
      <c r="D1404" s="6" t="s">
        <v>23</v>
      </c>
      <c r="E1404" s="14" t="n">
        <v>2446.84</v>
      </c>
      <c r="F1404" s="14" t="n">
        <v>4893.68</v>
      </c>
      <c r="G1404" s="6" t="s">
        <v>15614</v>
      </c>
    </row>
    <row r="1405" customFormat="false" ht="15" hidden="false" customHeight="true" outlineLevel="0" collapsed="false">
      <c r="A1405" s="6" t="s">
        <v>17017</v>
      </c>
      <c r="B1405" s="6" t="s">
        <v>1055</v>
      </c>
      <c r="C1405" s="6" t="s">
        <v>124</v>
      </c>
      <c r="D1405" s="6" t="s">
        <v>24</v>
      </c>
      <c r="E1405" s="14" t="n">
        <v>2446.84</v>
      </c>
      <c r="F1405" s="14" t="n">
        <v>7340.52</v>
      </c>
      <c r="G1405" s="6" t="s">
        <v>15614</v>
      </c>
    </row>
    <row r="1406" customFormat="false" ht="15" hidden="false" customHeight="true" outlineLevel="0" collapsed="false">
      <c r="A1406" s="6" t="s">
        <v>17018</v>
      </c>
      <c r="B1406" s="6" t="s">
        <v>1055</v>
      </c>
      <c r="C1406" s="6" t="s">
        <v>124</v>
      </c>
      <c r="D1406" s="6" t="s">
        <v>25</v>
      </c>
      <c r="E1406" s="14" t="n">
        <v>2446.84</v>
      </c>
      <c r="F1406" s="14" t="n">
        <v>9787.36</v>
      </c>
      <c r="G1406" s="6" t="s">
        <v>15614</v>
      </c>
    </row>
    <row r="1407" customFormat="false" ht="15" hidden="false" customHeight="true" outlineLevel="0" collapsed="false">
      <c r="A1407" s="6" t="s">
        <v>17019</v>
      </c>
      <c r="B1407" s="6" t="s">
        <v>1055</v>
      </c>
      <c r="C1407" s="6" t="s">
        <v>124</v>
      </c>
      <c r="D1407" s="6" t="s">
        <v>26</v>
      </c>
      <c r="E1407" s="14" t="n">
        <v>2446.84</v>
      </c>
      <c r="F1407" s="14" t="n">
        <v>12234.2</v>
      </c>
      <c r="G1407" s="6" t="s">
        <v>15614</v>
      </c>
    </row>
    <row r="1408" customFormat="false" ht="15" hidden="false" customHeight="true" outlineLevel="0" collapsed="false">
      <c r="A1408" s="6" t="s">
        <v>17020</v>
      </c>
      <c r="B1408" s="6" t="s">
        <v>1055</v>
      </c>
      <c r="C1408" s="6" t="s">
        <v>124</v>
      </c>
      <c r="D1408" s="6" t="s">
        <v>27</v>
      </c>
      <c r="E1408" s="14" t="n">
        <v>2446.84</v>
      </c>
      <c r="F1408" s="14" t="n">
        <v>14681.04</v>
      </c>
      <c r="G1408" s="6" t="s">
        <v>15614</v>
      </c>
    </row>
    <row r="1409" customFormat="false" ht="15" hidden="false" customHeight="true" outlineLevel="0" collapsed="false">
      <c r="A1409" s="6" t="s">
        <v>17021</v>
      </c>
      <c r="B1409" s="6" t="s">
        <v>1055</v>
      </c>
      <c r="C1409" s="6" t="s">
        <v>124</v>
      </c>
      <c r="D1409" s="6" t="s">
        <v>28</v>
      </c>
      <c r="E1409" s="14" t="n">
        <v>2446.84</v>
      </c>
      <c r="F1409" s="14" t="n">
        <v>17127.88</v>
      </c>
      <c r="G1409" s="6" t="s">
        <v>15614</v>
      </c>
    </row>
    <row r="1410" customFormat="false" ht="15" hidden="false" customHeight="true" outlineLevel="0" collapsed="false">
      <c r="A1410" s="6" t="s">
        <v>17022</v>
      </c>
      <c r="B1410" s="6" t="s">
        <v>1057</v>
      </c>
      <c r="C1410" s="6" t="s">
        <v>124</v>
      </c>
      <c r="D1410" s="6" t="s">
        <v>24</v>
      </c>
      <c r="E1410" s="14" t="n">
        <v>339.78</v>
      </c>
      <c r="F1410" s="14" t="n">
        <v>339.78</v>
      </c>
      <c r="G1410" s="6" t="s">
        <v>15614</v>
      </c>
    </row>
    <row r="1411" customFormat="false" ht="15" hidden="false" customHeight="true" outlineLevel="0" collapsed="false">
      <c r="A1411" s="6" t="s">
        <v>17023</v>
      </c>
      <c r="B1411" s="6" t="s">
        <v>1057</v>
      </c>
      <c r="C1411" s="6" t="s">
        <v>124</v>
      </c>
      <c r="D1411" s="6" t="s">
        <v>25</v>
      </c>
      <c r="E1411" s="14" t="n">
        <v>339.78</v>
      </c>
      <c r="F1411" s="14" t="n">
        <v>679.56</v>
      </c>
      <c r="G1411" s="6" t="s">
        <v>15614</v>
      </c>
    </row>
    <row r="1412" customFormat="false" ht="15" hidden="false" customHeight="true" outlineLevel="0" collapsed="false">
      <c r="A1412" s="6" t="s">
        <v>17024</v>
      </c>
      <c r="B1412" s="6" t="s">
        <v>1057</v>
      </c>
      <c r="C1412" s="6" t="s">
        <v>124</v>
      </c>
      <c r="D1412" s="6" t="s">
        <v>26</v>
      </c>
      <c r="E1412" s="14" t="n">
        <v>339.78</v>
      </c>
      <c r="F1412" s="14" t="n">
        <v>1019.34</v>
      </c>
      <c r="G1412" s="6" t="s">
        <v>15614</v>
      </c>
    </row>
    <row r="1413" customFormat="false" ht="15" hidden="false" customHeight="true" outlineLevel="0" collapsed="false">
      <c r="A1413" s="6" t="s">
        <v>17025</v>
      </c>
      <c r="B1413" s="6" t="s">
        <v>1057</v>
      </c>
      <c r="C1413" s="6" t="s">
        <v>124</v>
      </c>
      <c r="D1413" s="6" t="s">
        <v>27</v>
      </c>
      <c r="E1413" s="14" t="n">
        <v>339.78</v>
      </c>
      <c r="F1413" s="14" t="n">
        <v>1359.12</v>
      </c>
      <c r="G1413" s="6" t="s">
        <v>15614</v>
      </c>
    </row>
    <row r="1414" customFormat="false" ht="15" hidden="false" customHeight="true" outlineLevel="0" collapsed="false">
      <c r="A1414" s="6" t="s">
        <v>17026</v>
      </c>
      <c r="B1414" s="6" t="s">
        <v>1057</v>
      </c>
      <c r="C1414" s="6" t="s">
        <v>124</v>
      </c>
      <c r="D1414" s="6" t="s">
        <v>28</v>
      </c>
      <c r="E1414" s="14" t="n">
        <v>339.78</v>
      </c>
      <c r="F1414" s="14" t="n">
        <v>1698.9</v>
      </c>
      <c r="G1414" s="6" t="s">
        <v>15614</v>
      </c>
    </row>
    <row r="1415" customFormat="false" ht="15" hidden="false" customHeight="true" outlineLevel="0" collapsed="false">
      <c r="A1415" s="6" t="s">
        <v>17027</v>
      </c>
      <c r="B1415" s="6" t="s">
        <v>1057</v>
      </c>
      <c r="C1415" s="6" t="s">
        <v>124</v>
      </c>
      <c r="D1415" s="6" t="s">
        <v>29</v>
      </c>
      <c r="E1415" s="14" t="n">
        <v>339.78</v>
      </c>
      <c r="F1415" s="14" t="n">
        <v>2038.68</v>
      </c>
      <c r="G1415" s="6" t="s">
        <v>15614</v>
      </c>
    </row>
    <row r="1416" customFormat="false" ht="15" hidden="false" customHeight="true" outlineLevel="0" collapsed="false">
      <c r="A1416" s="6" t="s">
        <v>17028</v>
      </c>
      <c r="B1416" s="6" t="s">
        <v>1057</v>
      </c>
      <c r="C1416" s="6" t="s">
        <v>124</v>
      </c>
      <c r="D1416" s="6" t="s">
        <v>30</v>
      </c>
      <c r="E1416" s="14" t="n">
        <v>339.78</v>
      </c>
      <c r="F1416" s="14" t="n">
        <v>2378.46</v>
      </c>
      <c r="G1416" s="6" t="s">
        <v>15614</v>
      </c>
    </row>
    <row r="1417" customFormat="false" ht="15" hidden="false" customHeight="true" outlineLevel="0" collapsed="false">
      <c r="A1417" s="6" t="s">
        <v>17029</v>
      </c>
      <c r="B1417" s="6" t="s">
        <v>1059</v>
      </c>
      <c r="C1417" s="6" t="s">
        <v>128</v>
      </c>
      <c r="D1417" s="6" t="s">
        <v>40</v>
      </c>
      <c r="E1417" s="14" t="n">
        <v>1125.87</v>
      </c>
      <c r="F1417" s="14" t="n">
        <v>1125.87</v>
      </c>
      <c r="G1417" s="6" t="s">
        <v>15614</v>
      </c>
    </row>
    <row r="1418" customFormat="false" ht="15" hidden="false" customHeight="true" outlineLevel="0" collapsed="false">
      <c r="A1418" s="6" t="s">
        <v>17030</v>
      </c>
      <c r="B1418" s="6" t="s">
        <v>1059</v>
      </c>
      <c r="C1418" s="6" t="s">
        <v>128</v>
      </c>
      <c r="D1418" s="6" t="s">
        <v>41</v>
      </c>
      <c r="E1418" s="14" t="n">
        <v>1125.87</v>
      </c>
      <c r="F1418" s="14" t="n">
        <v>2251.74</v>
      </c>
      <c r="G1418" s="6" t="s">
        <v>15614</v>
      </c>
    </row>
    <row r="1419" customFormat="false" ht="15" hidden="false" customHeight="true" outlineLevel="0" collapsed="false">
      <c r="A1419" s="6" t="s">
        <v>17031</v>
      </c>
      <c r="B1419" s="6" t="s">
        <v>1059</v>
      </c>
      <c r="C1419" s="6" t="s">
        <v>128</v>
      </c>
      <c r="D1419" s="6" t="s">
        <v>42</v>
      </c>
      <c r="E1419" s="14" t="n">
        <v>1125.87</v>
      </c>
      <c r="F1419" s="14" t="n">
        <v>3377.61</v>
      </c>
      <c r="G1419" s="6" t="s">
        <v>15614</v>
      </c>
    </row>
    <row r="1420" customFormat="false" ht="15" hidden="false" customHeight="true" outlineLevel="0" collapsed="false">
      <c r="A1420" s="6" t="s">
        <v>17032</v>
      </c>
      <c r="B1420" s="6" t="s">
        <v>1059</v>
      </c>
      <c r="C1420" s="6" t="s">
        <v>128</v>
      </c>
      <c r="D1420" s="6" t="s">
        <v>43</v>
      </c>
      <c r="E1420" s="14" t="n">
        <v>1125.87</v>
      </c>
      <c r="F1420" s="14" t="n">
        <v>4503.48</v>
      </c>
      <c r="G1420" s="6" t="s">
        <v>15614</v>
      </c>
    </row>
    <row r="1421" customFormat="false" ht="15" hidden="false" customHeight="true" outlineLevel="0" collapsed="false">
      <c r="A1421" s="6" t="s">
        <v>17033</v>
      </c>
      <c r="B1421" s="6" t="s">
        <v>1059</v>
      </c>
      <c r="C1421" s="6" t="s">
        <v>128</v>
      </c>
      <c r="D1421" s="6" t="s">
        <v>44</v>
      </c>
      <c r="E1421" s="14" t="n">
        <v>1125.87</v>
      </c>
      <c r="F1421" s="14" t="n">
        <v>5629.35</v>
      </c>
      <c r="G1421" s="6" t="s">
        <v>15614</v>
      </c>
    </row>
    <row r="1422" customFormat="false" ht="15" hidden="false" customHeight="true" outlineLevel="0" collapsed="false">
      <c r="A1422" s="6" t="s">
        <v>17034</v>
      </c>
      <c r="B1422" s="6" t="s">
        <v>1061</v>
      </c>
      <c r="C1422" s="6" t="s">
        <v>131</v>
      </c>
      <c r="D1422" s="6" t="s">
        <v>36</v>
      </c>
      <c r="E1422" s="14" t="n">
        <v>1231.14</v>
      </c>
      <c r="F1422" s="14" t="n">
        <v>1231.14</v>
      </c>
      <c r="G1422" s="6" t="s">
        <v>15614</v>
      </c>
    </row>
    <row r="1423" customFormat="false" ht="15" hidden="false" customHeight="true" outlineLevel="0" collapsed="false">
      <c r="A1423" s="6" t="s">
        <v>17035</v>
      </c>
      <c r="B1423" s="6" t="s">
        <v>1061</v>
      </c>
      <c r="C1423" s="6" t="s">
        <v>131</v>
      </c>
      <c r="D1423" s="6" t="s">
        <v>37</v>
      </c>
      <c r="E1423" s="14" t="n">
        <v>1231.14</v>
      </c>
      <c r="F1423" s="14" t="n">
        <v>2462.28</v>
      </c>
      <c r="G1423" s="6" t="s">
        <v>15614</v>
      </c>
    </row>
    <row r="1424" customFormat="false" ht="15" hidden="false" customHeight="true" outlineLevel="0" collapsed="false">
      <c r="A1424" s="6" t="s">
        <v>17036</v>
      </c>
      <c r="B1424" s="6" t="s">
        <v>1061</v>
      </c>
      <c r="C1424" s="6" t="s">
        <v>131</v>
      </c>
      <c r="D1424" s="6" t="s">
        <v>38</v>
      </c>
      <c r="E1424" s="14" t="n">
        <v>1231.14</v>
      </c>
      <c r="F1424" s="14" t="n">
        <v>3693.42</v>
      </c>
      <c r="G1424" s="6" t="s">
        <v>15614</v>
      </c>
    </row>
    <row r="1425" customFormat="false" ht="15" hidden="false" customHeight="true" outlineLevel="0" collapsed="false">
      <c r="A1425" s="6" t="s">
        <v>17037</v>
      </c>
      <c r="B1425" s="6" t="s">
        <v>1061</v>
      </c>
      <c r="C1425" s="6" t="s">
        <v>131</v>
      </c>
      <c r="D1425" s="6" t="s">
        <v>39</v>
      </c>
      <c r="E1425" s="14" t="n">
        <v>1231.14</v>
      </c>
      <c r="F1425" s="14" t="n">
        <v>4924.56</v>
      </c>
      <c r="G1425" s="6" t="s">
        <v>15614</v>
      </c>
    </row>
    <row r="1426" customFormat="false" ht="15" hidden="false" customHeight="true" outlineLevel="0" collapsed="false">
      <c r="A1426" s="6" t="s">
        <v>17038</v>
      </c>
      <c r="B1426" s="6" t="s">
        <v>1061</v>
      </c>
      <c r="C1426" s="6" t="s">
        <v>131</v>
      </c>
      <c r="D1426" s="6" t="s">
        <v>40</v>
      </c>
      <c r="E1426" s="14" t="n">
        <v>1231.14</v>
      </c>
      <c r="F1426" s="14" t="n">
        <v>6155.7</v>
      </c>
      <c r="G1426" s="6" t="s">
        <v>15614</v>
      </c>
    </row>
    <row r="1427" customFormat="false" ht="15" hidden="false" customHeight="true" outlineLevel="0" collapsed="false">
      <c r="A1427" s="6" t="s">
        <v>17039</v>
      </c>
      <c r="B1427" s="6" t="s">
        <v>1063</v>
      </c>
      <c r="C1427" s="6" t="s">
        <v>112</v>
      </c>
      <c r="D1427" s="6" t="s">
        <v>61</v>
      </c>
      <c r="E1427" s="14" t="n">
        <v>3506.8</v>
      </c>
      <c r="F1427" s="14" t="n">
        <v>3506.8</v>
      </c>
      <c r="G1427" s="6" t="s">
        <v>15614</v>
      </c>
    </row>
    <row r="1428" customFormat="false" ht="15" hidden="false" customHeight="true" outlineLevel="0" collapsed="false">
      <c r="A1428" s="6" t="s">
        <v>17040</v>
      </c>
      <c r="B1428" s="6" t="s">
        <v>1063</v>
      </c>
      <c r="C1428" s="6" t="s">
        <v>112</v>
      </c>
      <c r="D1428" s="6" t="s">
        <v>62</v>
      </c>
      <c r="E1428" s="14" t="n">
        <v>3506.8</v>
      </c>
      <c r="F1428" s="14" t="n">
        <v>7013.6</v>
      </c>
      <c r="G1428" s="6" t="s">
        <v>15614</v>
      </c>
    </row>
    <row r="1429" customFormat="false" ht="15" hidden="false" customHeight="true" outlineLevel="0" collapsed="false">
      <c r="A1429" s="6" t="s">
        <v>17041</v>
      </c>
      <c r="B1429" s="6" t="s">
        <v>1065</v>
      </c>
      <c r="C1429" s="6" t="s">
        <v>128</v>
      </c>
      <c r="D1429" s="6" t="s">
        <v>49</v>
      </c>
      <c r="E1429" s="14" t="n">
        <v>3283.82</v>
      </c>
      <c r="F1429" s="14" t="n">
        <v>3283.82</v>
      </c>
      <c r="G1429" s="6" t="s">
        <v>15614</v>
      </c>
    </row>
    <row r="1430" customFormat="false" ht="15" hidden="false" customHeight="true" outlineLevel="0" collapsed="false">
      <c r="A1430" s="6" t="s">
        <v>17042</v>
      </c>
      <c r="B1430" s="6" t="s">
        <v>1065</v>
      </c>
      <c r="C1430" s="6" t="s">
        <v>128</v>
      </c>
      <c r="D1430" s="6" t="s">
        <v>50</v>
      </c>
      <c r="E1430" s="14" t="n">
        <v>3283.82</v>
      </c>
      <c r="F1430" s="14" t="n">
        <v>6567.64</v>
      </c>
      <c r="G1430" s="6" t="s">
        <v>15614</v>
      </c>
    </row>
    <row r="1431" customFormat="false" ht="15" hidden="false" customHeight="true" outlineLevel="0" collapsed="false">
      <c r="A1431" s="6" t="s">
        <v>17043</v>
      </c>
      <c r="B1431" s="6" t="s">
        <v>1067</v>
      </c>
      <c r="C1431" s="6" t="s">
        <v>120</v>
      </c>
      <c r="D1431" s="6" t="s">
        <v>39</v>
      </c>
      <c r="E1431" s="14" t="n">
        <v>1703.22</v>
      </c>
      <c r="F1431" s="14" t="n">
        <v>1703.22</v>
      </c>
      <c r="G1431" s="6" t="s">
        <v>15614</v>
      </c>
    </row>
    <row r="1432" customFormat="false" ht="15" hidden="false" customHeight="true" outlineLevel="0" collapsed="false">
      <c r="A1432" s="6" t="s">
        <v>17044</v>
      </c>
      <c r="B1432" s="6" t="s">
        <v>1067</v>
      </c>
      <c r="C1432" s="6" t="s">
        <v>120</v>
      </c>
      <c r="D1432" s="6" t="s">
        <v>40</v>
      </c>
      <c r="E1432" s="14" t="n">
        <v>1703.22</v>
      </c>
      <c r="F1432" s="14" t="n">
        <v>3406.44</v>
      </c>
      <c r="G1432" s="6" t="s">
        <v>15614</v>
      </c>
    </row>
    <row r="1433" customFormat="false" ht="15" hidden="false" customHeight="true" outlineLevel="0" collapsed="false">
      <c r="A1433" s="6" t="s">
        <v>17045</v>
      </c>
      <c r="B1433" s="6" t="s">
        <v>1069</v>
      </c>
      <c r="C1433" s="6" t="s">
        <v>116</v>
      </c>
      <c r="D1433" s="6" t="s">
        <v>25</v>
      </c>
      <c r="E1433" s="14" t="n">
        <v>1728.68</v>
      </c>
      <c r="F1433" s="14" t="n">
        <v>1728.68</v>
      </c>
      <c r="G1433" s="6" t="s">
        <v>15614</v>
      </c>
    </row>
    <row r="1434" customFormat="false" ht="15" hidden="false" customHeight="true" outlineLevel="0" collapsed="false">
      <c r="A1434" s="6" t="s">
        <v>17046</v>
      </c>
      <c r="B1434" s="6" t="s">
        <v>1069</v>
      </c>
      <c r="C1434" s="6" t="s">
        <v>116</v>
      </c>
      <c r="D1434" s="6" t="s">
        <v>26</v>
      </c>
      <c r="E1434" s="14" t="n">
        <v>1728.68</v>
      </c>
      <c r="F1434" s="14" t="n">
        <v>3457.36</v>
      </c>
      <c r="G1434" s="6" t="s">
        <v>15614</v>
      </c>
    </row>
    <row r="1435" customFormat="false" ht="15" hidden="false" customHeight="true" outlineLevel="0" collapsed="false">
      <c r="A1435" s="6" t="s">
        <v>17047</v>
      </c>
      <c r="B1435" s="6" t="s">
        <v>1069</v>
      </c>
      <c r="C1435" s="6" t="s">
        <v>116</v>
      </c>
      <c r="D1435" s="6" t="s">
        <v>27</v>
      </c>
      <c r="E1435" s="14" t="n">
        <v>1728.68</v>
      </c>
      <c r="F1435" s="14" t="n">
        <v>5186.04</v>
      </c>
      <c r="G1435" s="6" t="s">
        <v>15614</v>
      </c>
    </row>
    <row r="1436" customFormat="false" ht="15" hidden="false" customHeight="true" outlineLevel="0" collapsed="false">
      <c r="A1436" s="6" t="s">
        <v>17048</v>
      </c>
      <c r="B1436" s="6" t="s">
        <v>1069</v>
      </c>
      <c r="C1436" s="6" t="s">
        <v>116</v>
      </c>
      <c r="D1436" s="6" t="s">
        <v>28</v>
      </c>
      <c r="E1436" s="14" t="n">
        <v>1728.68</v>
      </c>
      <c r="F1436" s="14" t="n">
        <v>6914.72</v>
      </c>
      <c r="G1436" s="6" t="s">
        <v>15614</v>
      </c>
    </row>
    <row r="1437" customFormat="false" ht="15" hidden="false" customHeight="true" outlineLevel="0" collapsed="false">
      <c r="A1437" s="6" t="s">
        <v>17049</v>
      </c>
      <c r="B1437" s="6" t="s">
        <v>1069</v>
      </c>
      <c r="C1437" s="6" t="s">
        <v>116</v>
      </c>
      <c r="D1437" s="6" t="s">
        <v>29</v>
      </c>
      <c r="E1437" s="14" t="n">
        <v>1728.68</v>
      </c>
      <c r="F1437" s="14" t="n">
        <v>8643.4</v>
      </c>
      <c r="G1437" s="6" t="s">
        <v>15614</v>
      </c>
    </row>
    <row r="1438" customFormat="false" ht="15" hidden="false" customHeight="true" outlineLevel="0" collapsed="false">
      <c r="A1438" s="6" t="s">
        <v>17050</v>
      </c>
      <c r="B1438" s="6" t="s">
        <v>1071</v>
      </c>
      <c r="C1438" s="6" t="s">
        <v>116</v>
      </c>
      <c r="D1438" s="6" t="s">
        <v>33</v>
      </c>
      <c r="E1438" s="14" t="n">
        <v>1183.28</v>
      </c>
      <c r="F1438" s="14" t="n">
        <v>1183.28</v>
      </c>
      <c r="G1438" s="6" t="s">
        <v>15614</v>
      </c>
    </row>
    <row r="1439" customFormat="false" ht="15" hidden="false" customHeight="true" outlineLevel="0" collapsed="false">
      <c r="A1439" s="6" t="s">
        <v>17051</v>
      </c>
      <c r="B1439" s="6" t="s">
        <v>1071</v>
      </c>
      <c r="C1439" s="6" t="s">
        <v>116</v>
      </c>
      <c r="D1439" s="6" t="s">
        <v>34</v>
      </c>
      <c r="E1439" s="14" t="n">
        <v>1183.28</v>
      </c>
      <c r="F1439" s="14" t="n">
        <v>2366.56</v>
      </c>
      <c r="G1439" s="6" t="s">
        <v>15614</v>
      </c>
    </row>
    <row r="1440" customFormat="false" ht="15" hidden="false" customHeight="true" outlineLevel="0" collapsed="false">
      <c r="A1440" s="6" t="s">
        <v>17052</v>
      </c>
      <c r="B1440" s="6" t="s">
        <v>1071</v>
      </c>
      <c r="C1440" s="6" t="s">
        <v>116</v>
      </c>
      <c r="D1440" s="6" t="s">
        <v>35</v>
      </c>
      <c r="E1440" s="14" t="n">
        <v>1183.28</v>
      </c>
      <c r="F1440" s="14" t="n">
        <v>3549.84</v>
      </c>
      <c r="G1440" s="6" t="s">
        <v>15614</v>
      </c>
    </row>
    <row r="1441" customFormat="false" ht="15" hidden="false" customHeight="true" outlineLevel="0" collapsed="false">
      <c r="A1441" s="6" t="s">
        <v>17053</v>
      </c>
      <c r="B1441" s="6" t="s">
        <v>1071</v>
      </c>
      <c r="C1441" s="6" t="s">
        <v>116</v>
      </c>
      <c r="D1441" s="6" t="s">
        <v>36</v>
      </c>
      <c r="E1441" s="14" t="n">
        <v>1183.28</v>
      </c>
      <c r="F1441" s="14" t="n">
        <v>4733.12</v>
      </c>
      <c r="G1441" s="6" t="s">
        <v>15614</v>
      </c>
    </row>
    <row r="1442" customFormat="false" ht="15" hidden="false" customHeight="true" outlineLevel="0" collapsed="false">
      <c r="A1442" s="6" t="s">
        <v>17054</v>
      </c>
      <c r="B1442" s="6" t="s">
        <v>1073</v>
      </c>
      <c r="C1442" s="6" t="s">
        <v>128</v>
      </c>
      <c r="D1442" s="6" t="s">
        <v>32</v>
      </c>
      <c r="E1442" s="14" t="n">
        <v>1416.66</v>
      </c>
      <c r="F1442" s="14" t="n">
        <v>1416.66</v>
      </c>
      <c r="G1442" s="6" t="s">
        <v>15614</v>
      </c>
    </row>
    <row r="1443" customFormat="false" ht="15" hidden="false" customHeight="true" outlineLevel="0" collapsed="false">
      <c r="A1443" s="6" t="s">
        <v>17055</v>
      </c>
      <c r="B1443" s="6" t="s">
        <v>1073</v>
      </c>
      <c r="C1443" s="6" t="s">
        <v>128</v>
      </c>
      <c r="D1443" s="6" t="s">
        <v>33</v>
      </c>
      <c r="E1443" s="14" t="n">
        <v>1416.66</v>
      </c>
      <c r="F1443" s="14" t="n">
        <v>2833.32</v>
      </c>
      <c r="G1443" s="6" t="s">
        <v>15614</v>
      </c>
    </row>
    <row r="1444" customFormat="false" ht="15" hidden="false" customHeight="true" outlineLevel="0" collapsed="false">
      <c r="A1444" s="6" t="s">
        <v>17056</v>
      </c>
      <c r="B1444" s="6" t="s">
        <v>1075</v>
      </c>
      <c r="C1444" s="6" t="s">
        <v>120</v>
      </c>
      <c r="D1444" s="6" t="s">
        <v>26</v>
      </c>
      <c r="E1444" s="14" t="n">
        <v>1640.62</v>
      </c>
      <c r="F1444" s="14" t="n">
        <v>1640.62</v>
      </c>
      <c r="G1444" s="6" t="s">
        <v>15614</v>
      </c>
    </row>
    <row r="1445" customFormat="false" ht="15" hidden="false" customHeight="true" outlineLevel="0" collapsed="false">
      <c r="A1445" s="6" t="s">
        <v>17057</v>
      </c>
      <c r="B1445" s="6" t="s">
        <v>1075</v>
      </c>
      <c r="C1445" s="6" t="s">
        <v>120</v>
      </c>
      <c r="D1445" s="6" t="s">
        <v>27</v>
      </c>
      <c r="E1445" s="14" t="n">
        <v>1640.62</v>
      </c>
      <c r="F1445" s="14" t="n">
        <v>3281.24</v>
      </c>
      <c r="G1445" s="6" t="s">
        <v>15614</v>
      </c>
    </row>
    <row r="1446" customFormat="false" ht="15" hidden="false" customHeight="true" outlineLevel="0" collapsed="false">
      <c r="A1446" s="6" t="s">
        <v>17058</v>
      </c>
      <c r="B1446" s="6" t="s">
        <v>1075</v>
      </c>
      <c r="C1446" s="6" t="s">
        <v>120</v>
      </c>
      <c r="D1446" s="6" t="s">
        <v>28</v>
      </c>
      <c r="E1446" s="14" t="n">
        <v>1640.62</v>
      </c>
      <c r="F1446" s="14" t="n">
        <v>4921.86</v>
      </c>
      <c r="G1446" s="6" t="s">
        <v>15614</v>
      </c>
    </row>
    <row r="1447" customFormat="false" ht="15" hidden="false" customHeight="true" outlineLevel="0" collapsed="false">
      <c r="A1447" s="6" t="s">
        <v>17059</v>
      </c>
      <c r="B1447" s="6" t="s">
        <v>1077</v>
      </c>
      <c r="C1447" s="6" t="s">
        <v>112</v>
      </c>
      <c r="D1447" s="6" t="s">
        <v>47</v>
      </c>
      <c r="E1447" s="14" t="n">
        <v>7063.98</v>
      </c>
      <c r="F1447" s="14" t="n">
        <v>7063.98</v>
      </c>
      <c r="G1447" s="6" t="s">
        <v>15614</v>
      </c>
    </row>
    <row r="1448" customFormat="false" ht="15" hidden="false" customHeight="true" outlineLevel="0" collapsed="false">
      <c r="A1448" s="6" t="s">
        <v>17060</v>
      </c>
      <c r="B1448" s="6" t="s">
        <v>1077</v>
      </c>
      <c r="C1448" s="6" t="s">
        <v>112</v>
      </c>
      <c r="D1448" s="6" t="s">
        <v>48</v>
      </c>
      <c r="E1448" s="14" t="n">
        <v>7063.98</v>
      </c>
      <c r="F1448" s="14" t="n">
        <v>14127.96</v>
      </c>
      <c r="G1448" s="6" t="s">
        <v>15614</v>
      </c>
    </row>
    <row r="1449" customFormat="false" ht="15" hidden="false" customHeight="true" outlineLevel="0" collapsed="false">
      <c r="A1449" s="6" t="s">
        <v>17061</v>
      </c>
      <c r="B1449" s="6" t="s">
        <v>1079</v>
      </c>
      <c r="C1449" s="6" t="s">
        <v>131</v>
      </c>
      <c r="D1449" s="6" t="s">
        <v>31</v>
      </c>
      <c r="E1449" s="14" t="n">
        <v>1046.67</v>
      </c>
      <c r="F1449" s="14" t="n">
        <v>1046.67</v>
      </c>
      <c r="G1449" s="6" t="s">
        <v>15614</v>
      </c>
    </row>
    <row r="1450" customFormat="false" ht="15" hidden="false" customHeight="true" outlineLevel="0" collapsed="false">
      <c r="A1450" s="6" t="s">
        <v>17062</v>
      </c>
      <c r="B1450" s="6" t="s">
        <v>1079</v>
      </c>
      <c r="C1450" s="6" t="s">
        <v>131</v>
      </c>
      <c r="D1450" s="6" t="s">
        <v>32</v>
      </c>
      <c r="E1450" s="14" t="n">
        <v>1046.67</v>
      </c>
      <c r="F1450" s="14" t="n">
        <v>2093.34</v>
      </c>
      <c r="G1450" s="6" t="s">
        <v>15614</v>
      </c>
    </row>
    <row r="1451" customFormat="false" ht="15" hidden="false" customHeight="true" outlineLevel="0" collapsed="false">
      <c r="A1451" s="6" t="s">
        <v>17063</v>
      </c>
      <c r="B1451" s="6" t="s">
        <v>1079</v>
      </c>
      <c r="C1451" s="6" t="s">
        <v>131</v>
      </c>
      <c r="D1451" s="6" t="s">
        <v>33</v>
      </c>
      <c r="E1451" s="14" t="n">
        <v>1046.67</v>
      </c>
      <c r="F1451" s="14" t="n">
        <v>3140.01</v>
      </c>
      <c r="G1451" s="6" t="s">
        <v>15614</v>
      </c>
    </row>
    <row r="1452" customFormat="false" ht="15" hidden="false" customHeight="true" outlineLevel="0" collapsed="false">
      <c r="A1452" s="6" t="s">
        <v>17064</v>
      </c>
      <c r="B1452" s="6" t="s">
        <v>1079</v>
      </c>
      <c r="C1452" s="6" t="s">
        <v>131</v>
      </c>
      <c r="D1452" s="6" t="s">
        <v>34</v>
      </c>
      <c r="E1452" s="14" t="n">
        <v>1046.67</v>
      </c>
      <c r="F1452" s="14" t="n">
        <v>4186.68</v>
      </c>
      <c r="G1452" s="6" t="s">
        <v>15614</v>
      </c>
    </row>
    <row r="1453" customFormat="false" ht="15" hidden="false" customHeight="true" outlineLevel="0" collapsed="false">
      <c r="A1453" s="6" t="s">
        <v>17065</v>
      </c>
      <c r="B1453" s="6" t="s">
        <v>1081</v>
      </c>
      <c r="C1453" s="6" t="s">
        <v>131</v>
      </c>
      <c r="D1453" s="6" t="s">
        <v>12</v>
      </c>
      <c r="E1453" s="14" t="n">
        <v>2374.07</v>
      </c>
      <c r="F1453" s="14" t="n">
        <v>2374.07</v>
      </c>
      <c r="G1453" s="6" t="s">
        <v>15614</v>
      </c>
    </row>
    <row r="1454" customFormat="false" ht="15" hidden="false" customHeight="true" outlineLevel="0" collapsed="false">
      <c r="A1454" s="6" t="s">
        <v>17066</v>
      </c>
      <c r="B1454" s="6" t="s">
        <v>1081</v>
      </c>
      <c r="C1454" s="6" t="s">
        <v>131</v>
      </c>
      <c r="D1454" s="6" t="s">
        <v>13</v>
      </c>
      <c r="E1454" s="14" t="n">
        <v>2374.07</v>
      </c>
      <c r="F1454" s="14" t="n">
        <v>4748.14</v>
      </c>
      <c r="G1454" s="6" t="s">
        <v>15614</v>
      </c>
    </row>
    <row r="1455" customFormat="false" ht="15" hidden="false" customHeight="true" outlineLevel="0" collapsed="false">
      <c r="A1455" s="6" t="s">
        <v>17067</v>
      </c>
      <c r="B1455" s="6" t="s">
        <v>1083</v>
      </c>
      <c r="C1455" s="6" t="s">
        <v>124</v>
      </c>
      <c r="D1455" s="6" t="s">
        <v>34</v>
      </c>
      <c r="E1455" s="14" t="n">
        <v>241.97</v>
      </c>
      <c r="F1455" s="14" t="n">
        <v>241.97</v>
      </c>
      <c r="G1455" s="6" t="s">
        <v>15614</v>
      </c>
    </row>
    <row r="1456" customFormat="false" ht="15" hidden="false" customHeight="true" outlineLevel="0" collapsed="false">
      <c r="A1456" s="6" t="s">
        <v>17068</v>
      </c>
      <c r="B1456" s="6" t="s">
        <v>1083</v>
      </c>
      <c r="C1456" s="6" t="s">
        <v>124</v>
      </c>
      <c r="D1456" s="6" t="s">
        <v>35</v>
      </c>
      <c r="E1456" s="14" t="n">
        <v>241.97</v>
      </c>
      <c r="F1456" s="14" t="n">
        <v>483.94</v>
      </c>
      <c r="G1456" s="6" t="s">
        <v>15614</v>
      </c>
    </row>
    <row r="1457" customFormat="false" ht="15" hidden="false" customHeight="true" outlineLevel="0" collapsed="false">
      <c r="A1457" s="6" t="s">
        <v>17069</v>
      </c>
      <c r="B1457" s="6" t="s">
        <v>1085</v>
      </c>
      <c r="C1457" s="6" t="s">
        <v>112</v>
      </c>
      <c r="D1457" s="6" t="s">
        <v>16</v>
      </c>
      <c r="E1457" s="14" t="n">
        <v>264.36</v>
      </c>
      <c r="F1457" s="14" t="n">
        <v>264.36</v>
      </c>
      <c r="G1457" s="6" t="s">
        <v>15614</v>
      </c>
    </row>
    <row r="1458" customFormat="false" ht="15" hidden="false" customHeight="true" outlineLevel="0" collapsed="false">
      <c r="A1458" s="6" t="s">
        <v>17070</v>
      </c>
      <c r="B1458" s="6" t="s">
        <v>1085</v>
      </c>
      <c r="C1458" s="6" t="s">
        <v>112</v>
      </c>
      <c r="D1458" s="6" t="s">
        <v>17</v>
      </c>
      <c r="E1458" s="14" t="n">
        <v>264.36</v>
      </c>
      <c r="F1458" s="14" t="n">
        <v>528.72</v>
      </c>
      <c r="G1458" s="6" t="s">
        <v>15614</v>
      </c>
    </row>
    <row r="1459" customFormat="false" ht="15" hidden="false" customHeight="true" outlineLevel="0" collapsed="false">
      <c r="A1459" s="6" t="s">
        <v>17071</v>
      </c>
      <c r="B1459" s="6" t="s">
        <v>1087</v>
      </c>
      <c r="C1459" s="6" t="s">
        <v>112</v>
      </c>
      <c r="D1459" s="6" t="s">
        <v>28</v>
      </c>
      <c r="E1459" s="14" t="n">
        <v>567.18</v>
      </c>
      <c r="F1459" s="14" t="n">
        <v>567.18</v>
      </c>
      <c r="G1459" s="6" t="s">
        <v>15614</v>
      </c>
    </row>
    <row r="1460" customFormat="false" ht="15" hidden="false" customHeight="true" outlineLevel="0" collapsed="false">
      <c r="A1460" s="6" t="s">
        <v>17072</v>
      </c>
      <c r="B1460" s="6" t="s">
        <v>1087</v>
      </c>
      <c r="C1460" s="6" t="s">
        <v>112</v>
      </c>
      <c r="D1460" s="6" t="s">
        <v>29</v>
      </c>
      <c r="E1460" s="14" t="n">
        <v>567.18</v>
      </c>
      <c r="F1460" s="14" t="n">
        <v>1134.36</v>
      </c>
      <c r="G1460" s="6" t="s">
        <v>15614</v>
      </c>
    </row>
    <row r="1461" customFormat="false" ht="15" hidden="false" customHeight="true" outlineLevel="0" collapsed="false">
      <c r="A1461" s="6" t="s">
        <v>17073</v>
      </c>
      <c r="B1461" s="6" t="s">
        <v>1089</v>
      </c>
      <c r="C1461" s="6" t="s">
        <v>128</v>
      </c>
      <c r="D1461" s="6" t="s">
        <v>38</v>
      </c>
      <c r="E1461" s="14" t="n">
        <v>390.64</v>
      </c>
      <c r="F1461" s="14" t="n">
        <v>390.64</v>
      </c>
      <c r="G1461" s="6" t="s">
        <v>15614</v>
      </c>
    </row>
    <row r="1462" customFormat="false" ht="15" hidden="false" customHeight="true" outlineLevel="0" collapsed="false">
      <c r="A1462" s="6" t="s">
        <v>17074</v>
      </c>
      <c r="B1462" s="6" t="s">
        <v>1089</v>
      </c>
      <c r="C1462" s="6" t="s">
        <v>128</v>
      </c>
      <c r="D1462" s="6" t="s">
        <v>39</v>
      </c>
      <c r="E1462" s="14" t="n">
        <v>390.64</v>
      </c>
      <c r="F1462" s="14" t="n">
        <v>781.28</v>
      </c>
      <c r="G1462" s="6" t="s">
        <v>15614</v>
      </c>
    </row>
    <row r="1463" customFormat="false" ht="15" hidden="false" customHeight="true" outlineLevel="0" collapsed="false">
      <c r="A1463" s="6" t="s">
        <v>17075</v>
      </c>
      <c r="B1463" s="6" t="s">
        <v>1089</v>
      </c>
      <c r="C1463" s="6" t="s">
        <v>128</v>
      </c>
      <c r="D1463" s="6" t="s">
        <v>40</v>
      </c>
      <c r="E1463" s="14" t="n">
        <v>390.64</v>
      </c>
      <c r="F1463" s="14" t="n">
        <v>1171.92</v>
      </c>
      <c r="G1463" s="6" t="s">
        <v>15614</v>
      </c>
    </row>
    <row r="1464" customFormat="false" ht="15" hidden="false" customHeight="true" outlineLevel="0" collapsed="false">
      <c r="A1464" s="6" t="s">
        <v>17076</v>
      </c>
      <c r="B1464" s="6" t="s">
        <v>1089</v>
      </c>
      <c r="C1464" s="6" t="s">
        <v>128</v>
      </c>
      <c r="D1464" s="6" t="s">
        <v>41</v>
      </c>
      <c r="E1464" s="14" t="n">
        <v>390.64</v>
      </c>
      <c r="F1464" s="14" t="n">
        <v>1562.56</v>
      </c>
      <c r="G1464" s="6" t="s">
        <v>15614</v>
      </c>
    </row>
    <row r="1465" customFormat="false" ht="15" hidden="false" customHeight="true" outlineLevel="0" collapsed="false">
      <c r="A1465" s="6" t="s">
        <v>17077</v>
      </c>
      <c r="B1465" s="6" t="s">
        <v>1091</v>
      </c>
      <c r="C1465" s="6" t="s">
        <v>112</v>
      </c>
      <c r="D1465" s="6" t="s">
        <v>15</v>
      </c>
      <c r="E1465" s="14" t="n">
        <v>2472.32</v>
      </c>
      <c r="F1465" s="14" t="n">
        <v>2472.32</v>
      </c>
      <c r="G1465" s="6" t="s">
        <v>15614</v>
      </c>
    </row>
    <row r="1466" customFormat="false" ht="15" hidden="false" customHeight="true" outlineLevel="0" collapsed="false">
      <c r="A1466" s="6" t="s">
        <v>17078</v>
      </c>
      <c r="B1466" s="6" t="s">
        <v>1091</v>
      </c>
      <c r="C1466" s="6" t="s">
        <v>112</v>
      </c>
      <c r="D1466" s="6" t="s">
        <v>16</v>
      </c>
      <c r="E1466" s="14" t="n">
        <v>2472.32</v>
      </c>
      <c r="F1466" s="14" t="n">
        <v>4944.64</v>
      </c>
      <c r="G1466" s="6" t="s">
        <v>15614</v>
      </c>
    </row>
    <row r="1467" customFormat="false" ht="15" hidden="false" customHeight="true" outlineLevel="0" collapsed="false">
      <c r="A1467" s="6" t="s">
        <v>17079</v>
      </c>
      <c r="B1467" s="6" t="s">
        <v>1091</v>
      </c>
      <c r="C1467" s="6" t="s">
        <v>112</v>
      </c>
      <c r="D1467" s="6" t="s">
        <v>17</v>
      </c>
      <c r="E1467" s="14" t="n">
        <v>2472.32</v>
      </c>
      <c r="F1467" s="14" t="n">
        <v>7416.96</v>
      </c>
      <c r="G1467" s="6" t="s">
        <v>15614</v>
      </c>
    </row>
    <row r="1468" customFormat="false" ht="15" hidden="false" customHeight="true" outlineLevel="0" collapsed="false">
      <c r="A1468" s="6" t="s">
        <v>17080</v>
      </c>
      <c r="B1468" s="6" t="s">
        <v>1091</v>
      </c>
      <c r="C1468" s="6" t="s">
        <v>112</v>
      </c>
      <c r="D1468" s="6" t="s">
        <v>18</v>
      </c>
      <c r="E1468" s="14" t="n">
        <v>2472.32</v>
      </c>
      <c r="F1468" s="14" t="n">
        <v>9889.28</v>
      </c>
      <c r="G1468" s="6" t="s">
        <v>15614</v>
      </c>
    </row>
    <row r="1469" customFormat="false" ht="15" hidden="false" customHeight="true" outlineLevel="0" collapsed="false">
      <c r="A1469" s="6" t="s">
        <v>17081</v>
      </c>
      <c r="B1469" s="6" t="s">
        <v>1093</v>
      </c>
      <c r="C1469" s="6" t="s">
        <v>124</v>
      </c>
      <c r="D1469" s="6" t="s">
        <v>19</v>
      </c>
      <c r="E1469" s="14" t="n">
        <v>1835.96</v>
      </c>
      <c r="F1469" s="14" t="n">
        <v>1835.96</v>
      </c>
      <c r="G1469" s="6" t="s">
        <v>15614</v>
      </c>
    </row>
    <row r="1470" customFormat="false" ht="15" hidden="false" customHeight="true" outlineLevel="0" collapsed="false">
      <c r="A1470" s="6" t="s">
        <v>17082</v>
      </c>
      <c r="B1470" s="6" t="s">
        <v>1093</v>
      </c>
      <c r="C1470" s="6" t="s">
        <v>124</v>
      </c>
      <c r="D1470" s="6" t="s">
        <v>20</v>
      </c>
      <c r="E1470" s="14" t="n">
        <v>1835.96</v>
      </c>
      <c r="F1470" s="14" t="n">
        <v>3671.92</v>
      </c>
      <c r="G1470" s="6" t="s">
        <v>15614</v>
      </c>
    </row>
    <row r="1471" customFormat="false" ht="15" hidden="false" customHeight="true" outlineLevel="0" collapsed="false">
      <c r="A1471" s="6" t="s">
        <v>17083</v>
      </c>
      <c r="B1471" s="6" t="s">
        <v>1095</v>
      </c>
      <c r="C1471" s="6" t="s">
        <v>128</v>
      </c>
      <c r="D1471" s="6" t="s">
        <v>62</v>
      </c>
      <c r="E1471" s="14" t="n">
        <v>4790.51</v>
      </c>
      <c r="F1471" s="14" t="n">
        <v>4790.51</v>
      </c>
      <c r="G1471" s="6" t="s">
        <v>15614</v>
      </c>
    </row>
    <row r="1472" customFormat="false" ht="15" hidden="false" customHeight="true" outlineLevel="0" collapsed="false">
      <c r="A1472" s="6" t="s">
        <v>17084</v>
      </c>
      <c r="B1472" s="6" t="s">
        <v>1095</v>
      </c>
      <c r="C1472" s="6" t="s">
        <v>128</v>
      </c>
      <c r="D1472" s="6" t="s">
        <v>63</v>
      </c>
      <c r="E1472" s="14" t="n">
        <v>4790.51</v>
      </c>
      <c r="F1472" s="14" t="n">
        <v>9581.02</v>
      </c>
      <c r="G1472" s="6" t="s">
        <v>15614</v>
      </c>
    </row>
    <row r="1473" customFormat="false" ht="15" hidden="false" customHeight="true" outlineLevel="0" collapsed="false">
      <c r="A1473" s="6" t="s">
        <v>17085</v>
      </c>
      <c r="B1473" s="6" t="s">
        <v>1095</v>
      </c>
      <c r="C1473" s="6" t="s">
        <v>128</v>
      </c>
      <c r="D1473" s="6" t="s">
        <v>64</v>
      </c>
      <c r="E1473" s="14" t="n">
        <v>4790.51</v>
      </c>
      <c r="F1473" s="14" t="n">
        <v>14371.53</v>
      </c>
      <c r="G1473" s="6" t="s">
        <v>15614</v>
      </c>
    </row>
    <row r="1474" customFormat="false" ht="15" hidden="false" customHeight="true" outlineLevel="0" collapsed="false">
      <c r="A1474" s="6" t="s">
        <v>17086</v>
      </c>
      <c r="B1474" s="6" t="s">
        <v>1095</v>
      </c>
      <c r="C1474" s="6" t="s">
        <v>128</v>
      </c>
      <c r="D1474" s="6" t="s">
        <v>65</v>
      </c>
      <c r="E1474" s="14" t="n">
        <v>4790.51</v>
      </c>
      <c r="F1474" s="14" t="n">
        <v>19162.04</v>
      </c>
      <c r="G1474" s="6" t="s">
        <v>15614</v>
      </c>
    </row>
    <row r="1475" customFormat="false" ht="15" hidden="false" customHeight="true" outlineLevel="0" collapsed="false">
      <c r="A1475" s="6" t="s">
        <v>17087</v>
      </c>
      <c r="B1475" s="6" t="s">
        <v>1097</v>
      </c>
      <c r="C1475" s="6" t="s">
        <v>128</v>
      </c>
      <c r="D1475" s="6" t="s">
        <v>13</v>
      </c>
      <c r="E1475" s="14" t="n">
        <v>3750.99</v>
      </c>
      <c r="F1475" s="14" t="n">
        <v>3750.99</v>
      </c>
      <c r="G1475" s="6" t="s">
        <v>15614</v>
      </c>
    </row>
    <row r="1476" customFormat="false" ht="15" hidden="false" customHeight="true" outlineLevel="0" collapsed="false">
      <c r="A1476" s="6" t="s">
        <v>17088</v>
      </c>
      <c r="B1476" s="6" t="s">
        <v>1097</v>
      </c>
      <c r="C1476" s="6" t="s">
        <v>128</v>
      </c>
      <c r="D1476" s="6" t="s">
        <v>14</v>
      </c>
      <c r="E1476" s="14" t="n">
        <v>3750.99</v>
      </c>
      <c r="F1476" s="14" t="n">
        <v>7501.98</v>
      </c>
      <c r="G1476" s="6" t="s">
        <v>15614</v>
      </c>
    </row>
    <row r="1477" customFormat="false" ht="15" hidden="false" customHeight="true" outlineLevel="0" collapsed="false">
      <c r="A1477" s="6" t="s">
        <v>17089</v>
      </c>
      <c r="B1477" s="6" t="s">
        <v>1099</v>
      </c>
      <c r="C1477" s="6" t="s">
        <v>128</v>
      </c>
      <c r="D1477" s="6" t="s">
        <v>20</v>
      </c>
      <c r="E1477" s="14" t="n">
        <v>2902.33</v>
      </c>
      <c r="F1477" s="14" t="n">
        <v>2902.33</v>
      </c>
      <c r="G1477" s="6" t="s">
        <v>15614</v>
      </c>
    </row>
    <row r="1478" customFormat="false" ht="15" hidden="false" customHeight="true" outlineLevel="0" collapsed="false">
      <c r="A1478" s="6" t="s">
        <v>17090</v>
      </c>
      <c r="B1478" s="6" t="s">
        <v>1099</v>
      </c>
      <c r="C1478" s="6" t="s">
        <v>128</v>
      </c>
      <c r="D1478" s="6" t="s">
        <v>21</v>
      </c>
      <c r="E1478" s="14" t="n">
        <v>2902.33</v>
      </c>
      <c r="F1478" s="14" t="n">
        <v>5804.66</v>
      </c>
      <c r="G1478" s="6" t="s">
        <v>15614</v>
      </c>
    </row>
    <row r="1479" customFormat="false" ht="15" hidden="false" customHeight="true" outlineLevel="0" collapsed="false">
      <c r="A1479" s="6" t="s">
        <v>17091</v>
      </c>
      <c r="B1479" s="6" t="s">
        <v>1099</v>
      </c>
      <c r="C1479" s="6" t="s">
        <v>128</v>
      </c>
      <c r="D1479" s="6" t="s">
        <v>22</v>
      </c>
      <c r="E1479" s="14" t="n">
        <v>2902.33</v>
      </c>
      <c r="F1479" s="14" t="n">
        <v>8706.99</v>
      </c>
      <c r="G1479" s="6" t="s">
        <v>15614</v>
      </c>
    </row>
    <row r="1480" customFormat="false" ht="15" hidden="false" customHeight="true" outlineLevel="0" collapsed="false">
      <c r="A1480" s="6" t="s">
        <v>17092</v>
      </c>
      <c r="B1480" s="6" t="s">
        <v>1099</v>
      </c>
      <c r="C1480" s="6" t="s">
        <v>128</v>
      </c>
      <c r="D1480" s="6" t="s">
        <v>23</v>
      </c>
      <c r="E1480" s="14" t="n">
        <v>2902.33</v>
      </c>
      <c r="F1480" s="14" t="n">
        <v>11609.32</v>
      </c>
      <c r="G1480" s="6" t="s">
        <v>15614</v>
      </c>
    </row>
    <row r="1481" customFormat="false" ht="15" hidden="false" customHeight="true" outlineLevel="0" collapsed="false">
      <c r="A1481" s="6" t="s">
        <v>17093</v>
      </c>
      <c r="B1481" s="6" t="s">
        <v>1099</v>
      </c>
      <c r="C1481" s="6" t="s">
        <v>128</v>
      </c>
      <c r="D1481" s="6" t="s">
        <v>24</v>
      </c>
      <c r="E1481" s="14" t="n">
        <v>2902.33</v>
      </c>
      <c r="F1481" s="14" t="n">
        <v>14511.65</v>
      </c>
      <c r="G1481" s="6" t="s">
        <v>15614</v>
      </c>
    </row>
    <row r="1482" customFormat="false" ht="15" hidden="false" customHeight="true" outlineLevel="0" collapsed="false">
      <c r="A1482" s="6" t="s">
        <v>17094</v>
      </c>
      <c r="B1482" s="6" t="s">
        <v>1099</v>
      </c>
      <c r="C1482" s="6" t="s">
        <v>128</v>
      </c>
      <c r="D1482" s="6" t="s">
        <v>25</v>
      </c>
      <c r="E1482" s="14" t="n">
        <v>2902.33</v>
      </c>
      <c r="F1482" s="14" t="n">
        <v>17413.98</v>
      </c>
      <c r="G1482" s="6" t="s">
        <v>15614</v>
      </c>
    </row>
    <row r="1483" customFormat="false" ht="15" hidden="false" customHeight="true" outlineLevel="0" collapsed="false">
      <c r="A1483" s="6" t="s">
        <v>17095</v>
      </c>
      <c r="B1483" s="6" t="s">
        <v>1099</v>
      </c>
      <c r="C1483" s="6" t="s">
        <v>128</v>
      </c>
      <c r="D1483" s="6" t="s">
        <v>26</v>
      </c>
      <c r="E1483" s="14" t="n">
        <v>2902.33</v>
      </c>
      <c r="F1483" s="14" t="n">
        <v>20316.31</v>
      </c>
      <c r="G1483" s="6" t="s">
        <v>15614</v>
      </c>
    </row>
    <row r="1484" customFormat="false" ht="15" hidden="false" customHeight="true" outlineLevel="0" collapsed="false">
      <c r="A1484" s="6" t="s">
        <v>17096</v>
      </c>
      <c r="B1484" s="6" t="s">
        <v>1099</v>
      </c>
      <c r="C1484" s="6" t="s">
        <v>128</v>
      </c>
      <c r="D1484" s="6" t="s">
        <v>27</v>
      </c>
      <c r="E1484" s="14" t="n">
        <v>2902.33</v>
      </c>
      <c r="F1484" s="14" t="n">
        <v>23218.64</v>
      </c>
      <c r="G1484" s="6" t="s">
        <v>15614</v>
      </c>
    </row>
    <row r="1485" customFormat="false" ht="15" hidden="false" customHeight="true" outlineLevel="0" collapsed="false">
      <c r="A1485" s="6" t="s">
        <v>17097</v>
      </c>
      <c r="B1485" s="6" t="s">
        <v>1099</v>
      </c>
      <c r="C1485" s="6" t="s">
        <v>128</v>
      </c>
      <c r="D1485" s="6" t="s">
        <v>28</v>
      </c>
      <c r="E1485" s="14" t="n">
        <v>2902.33</v>
      </c>
      <c r="F1485" s="14" t="n">
        <v>26120.97</v>
      </c>
      <c r="G1485" s="6" t="s">
        <v>15614</v>
      </c>
    </row>
    <row r="1486" customFormat="false" ht="15" hidden="false" customHeight="true" outlineLevel="0" collapsed="false">
      <c r="A1486" s="6" t="s">
        <v>17098</v>
      </c>
      <c r="B1486" s="6" t="s">
        <v>1099</v>
      </c>
      <c r="C1486" s="6" t="s">
        <v>128</v>
      </c>
      <c r="D1486" s="6" t="s">
        <v>29</v>
      </c>
      <c r="E1486" s="14" t="n">
        <v>2902.33</v>
      </c>
      <c r="F1486" s="14" t="n">
        <v>29023.3</v>
      </c>
      <c r="G1486" s="6" t="s">
        <v>15614</v>
      </c>
    </row>
    <row r="1487" customFormat="false" ht="15" hidden="false" customHeight="true" outlineLevel="0" collapsed="false">
      <c r="A1487" s="6" t="s">
        <v>17099</v>
      </c>
      <c r="B1487" s="6" t="s">
        <v>1101</v>
      </c>
      <c r="C1487" s="6" t="s">
        <v>116</v>
      </c>
      <c r="D1487" s="6" t="s">
        <v>17</v>
      </c>
      <c r="E1487" s="14" t="n">
        <v>3057.86</v>
      </c>
      <c r="F1487" s="14" t="n">
        <v>3057.86</v>
      </c>
      <c r="G1487" s="6" t="s">
        <v>15614</v>
      </c>
    </row>
    <row r="1488" customFormat="false" ht="15" hidden="false" customHeight="true" outlineLevel="0" collapsed="false">
      <c r="A1488" s="6" t="s">
        <v>17100</v>
      </c>
      <c r="B1488" s="6" t="s">
        <v>1101</v>
      </c>
      <c r="C1488" s="6" t="s">
        <v>116</v>
      </c>
      <c r="D1488" s="6" t="s">
        <v>18</v>
      </c>
      <c r="E1488" s="14" t="n">
        <v>3057.86</v>
      </c>
      <c r="F1488" s="14" t="n">
        <v>6115.72</v>
      </c>
      <c r="G1488" s="6" t="s">
        <v>15614</v>
      </c>
    </row>
    <row r="1489" customFormat="false" ht="15" hidden="false" customHeight="true" outlineLevel="0" collapsed="false">
      <c r="A1489" s="6" t="s">
        <v>17101</v>
      </c>
      <c r="B1489" s="6" t="s">
        <v>1103</v>
      </c>
      <c r="C1489" s="6" t="s">
        <v>120</v>
      </c>
      <c r="D1489" s="6" t="s">
        <v>32</v>
      </c>
      <c r="E1489" s="14" t="n">
        <v>1214.5</v>
      </c>
      <c r="F1489" s="14" t="n">
        <v>1214.5</v>
      </c>
      <c r="G1489" s="6" t="s">
        <v>15614</v>
      </c>
    </row>
    <row r="1490" customFormat="false" ht="15" hidden="false" customHeight="true" outlineLevel="0" collapsed="false">
      <c r="A1490" s="6" t="s">
        <v>17102</v>
      </c>
      <c r="B1490" s="6" t="s">
        <v>1103</v>
      </c>
      <c r="C1490" s="6" t="s">
        <v>120</v>
      </c>
      <c r="D1490" s="6" t="s">
        <v>33</v>
      </c>
      <c r="E1490" s="14" t="n">
        <v>1214.5</v>
      </c>
      <c r="F1490" s="14" t="n">
        <v>2429</v>
      </c>
      <c r="G1490" s="6" t="s">
        <v>15614</v>
      </c>
    </row>
    <row r="1491" customFormat="false" ht="15" hidden="false" customHeight="true" outlineLevel="0" collapsed="false">
      <c r="A1491" s="6" t="s">
        <v>17103</v>
      </c>
      <c r="B1491" s="6" t="s">
        <v>1103</v>
      </c>
      <c r="C1491" s="6" t="s">
        <v>120</v>
      </c>
      <c r="D1491" s="6" t="s">
        <v>34</v>
      </c>
      <c r="E1491" s="14" t="n">
        <v>1214.5</v>
      </c>
      <c r="F1491" s="14" t="n">
        <v>3643.5</v>
      </c>
      <c r="G1491" s="6" t="s">
        <v>15614</v>
      </c>
    </row>
    <row r="1492" customFormat="false" ht="15" hidden="false" customHeight="true" outlineLevel="0" collapsed="false">
      <c r="A1492" s="6" t="s">
        <v>17104</v>
      </c>
      <c r="B1492" s="6" t="s">
        <v>1105</v>
      </c>
      <c r="C1492" s="6" t="s">
        <v>120</v>
      </c>
      <c r="D1492" s="6" t="s">
        <v>31</v>
      </c>
      <c r="E1492" s="14" t="n">
        <v>3004.6</v>
      </c>
      <c r="F1492" s="14" t="n">
        <v>3004.6</v>
      </c>
      <c r="G1492" s="6" t="s">
        <v>15614</v>
      </c>
    </row>
    <row r="1493" customFormat="false" ht="15" hidden="false" customHeight="true" outlineLevel="0" collapsed="false">
      <c r="A1493" s="6" t="s">
        <v>17105</v>
      </c>
      <c r="B1493" s="6" t="s">
        <v>1105</v>
      </c>
      <c r="C1493" s="6" t="s">
        <v>120</v>
      </c>
      <c r="D1493" s="6" t="s">
        <v>32</v>
      </c>
      <c r="E1493" s="14" t="n">
        <v>3004.6</v>
      </c>
      <c r="F1493" s="14" t="n">
        <v>6009.2</v>
      </c>
      <c r="G1493" s="6" t="s">
        <v>15614</v>
      </c>
    </row>
    <row r="1494" customFormat="false" ht="15" hidden="false" customHeight="true" outlineLevel="0" collapsed="false">
      <c r="A1494" s="6" t="s">
        <v>17106</v>
      </c>
      <c r="B1494" s="6" t="s">
        <v>1107</v>
      </c>
      <c r="C1494" s="6" t="s">
        <v>112</v>
      </c>
      <c r="D1494" s="6" t="s">
        <v>50</v>
      </c>
      <c r="E1494" s="14" t="n">
        <v>3288.44</v>
      </c>
      <c r="F1494" s="14" t="n">
        <v>3288.44</v>
      </c>
      <c r="G1494" s="6" t="s">
        <v>15614</v>
      </c>
    </row>
    <row r="1495" customFormat="false" ht="15" hidden="false" customHeight="true" outlineLevel="0" collapsed="false">
      <c r="A1495" s="6" t="s">
        <v>17107</v>
      </c>
      <c r="B1495" s="6" t="s">
        <v>1107</v>
      </c>
      <c r="C1495" s="6" t="s">
        <v>112</v>
      </c>
      <c r="D1495" s="6" t="s">
        <v>51</v>
      </c>
      <c r="E1495" s="14" t="n">
        <v>3288.44</v>
      </c>
      <c r="F1495" s="14" t="n">
        <v>6576.88</v>
      </c>
      <c r="G1495" s="6" t="s">
        <v>15614</v>
      </c>
    </row>
    <row r="1496" customFormat="false" ht="15" hidden="false" customHeight="true" outlineLevel="0" collapsed="false">
      <c r="A1496" s="6" t="s">
        <v>17108</v>
      </c>
      <c r="B1496" s="6" t="s">
        <v>1109</v>
      </c>
      <c r="C1496" s="6" t="s">
        <v>124</v>
      </c>
      <c r="D1496" s="6" t="s">
        <v>32</v>
      </c>
      <c r="E1496" s="14" t="n">
        <v>3074.89</v>
      </c>
      <c r="F1496" s="14" t="n">
        <v>3074.89</v>
      </c>
      <c r="G1496" s="6" t="s">
        <v>15614</v>
      </c>
    </row>
    <row r="1497" customFormat="false" ht="15" hidden="false" customHeight="true" outlineLevel="0" collapsed="false">
      <c r="A1497" s="6" t="s">
        <v>17109</v>
      </c>
      <c r="B1497" s="6" t="s">
        <v>1109</v>
      </c>
      <c r="C1497" s="6" t="s">
        <v>124</v>
      </c>
      <c r="D1497" s="6" t="s">
        <v>33</v>
      </c>
      <c r="E1497" s="14" t="n">
        <v>3074.89</v>
      </c>
      <c r="F1497" s="14" t="n">
        <v>6149.78</v>
      </c>
      <c r="G1497" s="6" t="s">
        <v>15614</v>
      </c>
    </row>
    <row r="1498" customFormat="false" ht="15" hidden="false" customHeight="true" outlineLevel="0" collapsed="false">
      <c r="A1498" s="6" t="s">
        <v>17110</v>
      </c>
      <c r="B1498" s="6" t="s">
        <v>1109</v>
      </c>
      <c r="C1498" s="6" t="s">
        <v>124</v>
      </c>
      <c r="D1498" s="6" t="s">
        <v>34</v>
      </c>
      <c r="E1498" s="14" t="n">
        <v>3074.89</v>
      </c>
      <c r="F1498" s="14" t="n">
        <v>9224.67</v>
      </c>
      <c r="G1498" s="6" t="s">
        <v>15614</v>
      </c>
    </row>
    <row r="1499" customFormat="false" ht="15" hidden="false" customHeight="true" outlineLevel="0" collapsed="false">
      <c r="A1499" s="6" t="s">
        <v>17111</v>
      </c>
      <c r="B1499" s="6" t="s">
        <v>1109</v>
      </c>
      <c r="C1499" s="6" t="s">
        <v>124</v>
      </c>
      <c r="D1499" s="6" t="s">
        <v>35</v>
      </c>
      <c r="E1499" s="14" t="n">
        <v>3074.89</v>
      </c>
      <c r="F1499" s="14" t="n">
        <v>12299.56</v>
      </c>
      <c r="G1499" s="6" t="s">
        <v>15614</v>
      </c>
    </row>
    <row r="1500" customFormat="false" ht="15" hidden="false" customHeight="true" outlineLevel="0" collapsed="false">
      <c r="A1500" s="6" t="s">
        <v>17112</v>
      </c>
      <c r="B1500" s="6" t="s">
        <v>1111</v>
      </c>
      <c r="C1500" s="6" t="s">
        <v>124</v>
      </c>
      <c r="D1500" s="6" t="s">
        <v>55</v>
      </c>
      <c r="E1500" s="14" t="n">
        <v>4475.72</v>
      </c>
      <c r="F1500" s="14" t="n">
        <v>4475.72</v>
      </c>
      <c r="G1500" s="6" t="s">
        <v>15614</v>
      </c>
    </row>
    <row r="1501" customFormat="false" ht="15" hidden="false" customHeight="true" outlineLevel="0" collapsed="false">
      <c r="A1501" s="6" t="s">
        <v>17113</v>
      </c>
      <c r="B1501" s="6" t="s">
        <v>1111</v>
      </c>
      <c r="C1501" s="6" t="s">
        <v>124</v>
      </c>
      <c r="D1501" s="6" t="s">
        <v>56</v>
      </c>
      <c r="E1501" s="14" t="n">
        <v>4475.72</v>
      </c>
      <c r="F1501" s="14" t="n">
        <v>8951.44</v>
      </c>
      <c r="G1501" s="6" t="s">
        <v>15614</v>
      </c>
    </row>
    <row r="1502" customFormat="false" ht="15" hidden="false" customHeight="true" outlineLevel="0" collapsed="false">
      <c r="A1502" s="6" t="s">
        <v>17114</v>
      </c>
      <c r="B1502" s="6" t="s">
        <v>1113</v>
      </c>
      <c r="C1502" s="6" t="s">
        <v>128</v>
      </c>
      <c r="D1502" s="6" t="s">
        <v>21</v>
      </c>
      <c r="E1502" s="14" t="n">
        <v>4302.26</v>
      </c>
      <c r="F1502" s="14" t="n">
        <v>4302.26</v>
      </c>
      <c r="G1502" s="6" t="s">
        <v>15614</v>
      </c>
    </row>
    <row r="1503" customFormat="false" ht="15" hidden="false" customHeight="true" outlineLevel="0" collapsed="false">
      <c r="A1503" s="6" t="s">
        <v>17115</v>
      </c>
      <c r="B1503" s="6" t="s">
        <v>1113</v>
      </c>
      <c r="C1503" s="6" t="s">
        <v>128</v>
      </c>
      <c r="D1503" s="6" t="s">
        <v>22</v>
      </c>
      <c r="E1503" s="14" t="n">
        <v>4302.26</v>
      </c>
      <c r="F1503" s="14" t="n">
        <v>8604.52</v>
      </c>
      <c r="G1503" s="6" t="s">
        <v>15614</v>
      </c>
    </row>
    <row r="1504" customFormat="false" ht="15" hidden="false" customHeight="true" outlineLevel="0" collapsed="false">
      <c r="A1504" s="6" t="s">
        <v>17116</v>
      </c>
      <c r="B1504" s="6" t="s">
        <v>1113</v>
      </c>
      <c r="C1504" s="6" t="s">
        <v>128</v>
      </c>
      <c r="D1504" s="6" t="s">
        <v>23</v>
      </c>
      <c r="E1504" s="14" t="n">
        <v>4302.26</v>
      </c>
      <c r="F1504" s="14" t="n">
        <v>12906.78</v>
      </c>
      <c r="G1504" s="6" t="s">
        <v>15614</v>
      </c>
    </row>
    <row r="1505" customFormat="false" ht="15" hidden="false" customHeight="true" outlineLevel="0" collapsed="false">
      <c r="A1505" s="6" t="s">
        <v>17117</v>
      </c>
      <c r="B1505" s="6" t="s">
        <v>1115</v>
      </c>
      <c r="C1505" s="6" t="s">
        <v>128</v>
      </c>
      <c r="D1505" s="6" t="s">
        <v>17</v>
      </c>
      <c r="E1505" s="14" t="n">
        <v>1669.15</v>
      </c>
      <c r="F1505" s="14" t="n">
        <v>1669.15</v>
      </c>
      <c r="G1505" s="6" t="s">
        <v>15614</v>
      </c>
    </row>
    <row r="1506" customFormat="false" ht="15" hidden="false" customHeight="true" outlineLevel="0" collapsed="false">
      <c r="A1506" s="6" t="s">
        <v>17118</v>
      </c>
      <c r="B1506" s="6" t="s">
        <v>1115</v>
      </c>
      <c r="C1506" s="6" t="s">
        <v>128</v>
      </c>
      <c r="D1506" s="6" t="s">
        <v>18</v>
      </c>
      <c r="E1506" s="14" t="n">
        <v>1669.15</v>
      </c>
      <c r="F1506" s="14" t="n">
        <v>3338.3</v>
      </c>
      <c r="G1506" s="6" t="s">
        <v>15614</v>
      </c>
    </row>
    <row r="1507" customFormat="false" ht="15" hidden="false" customHeight="true" outlineLevel="0" collapsed="false">
      <c r="A1507" s="6" t="s">
        <v>17119</v>
      </c>
      <c r="B1507" s="6" t="s">
        <v>1115</v>
      </c>
      <c r="C1507" s="6" t="s">
        <v>128</v>
      </c>
      <c r="D1507" s="6" t="s">
        <v>19</v>
      </c>
      <c r="E1507" s="14" t="n">
        <v>1669.15</v>
      </c>
      <c r="F1507" s="14" t="n">
        <v>5007.45</v>
      </c>
      <c r="G1507" s="6" t="s">
        <v>15614</v>
      </c>
    </row>
    <row r="1508" customFormat="false" ht="15" hidden="false" customHeight="true" outlineLevel="0" collapsed="false">
      <c r="A1508" s="6" t="s">
        <v>17120</v>
      </c>
      <c r="B1508" s="6" t="s">
        <v>1115</v>
      </c>
      <c r="C1508" s="6" t="s">
        <v>128</v>
      </c>
      <c r="D1508" s="6" t="s">
        <v>20</v>
      </c>
      <c r="E1508" s="14" t="n">
        <v>1669.15</v>
      </c>
      <c r="F1508" s="14" t="n">
        <v>6676.6</v>
      </c>
      <c r="G1508" s="6" t="s">
        <v>15614</v>
      </c>
    </row>
    <row r="1509" customFormat="false" ht="15" hidden="false" customHeight="true" outlineLevel="0" collapsed="false">
      <c r="A1509" s="6" t="s">
        <v>17121</v>
      </c>
      <c r="B1509" s="6" t="s">
        <v>1117</v>
      </c>
      <c r="C1509" s="6" t="s">
        <v>124</v>
      </c>
      <c r="D1509" s="6" t="s">
        <v>56</v>
      </c>
      <c r="E1509" s="14" t="n">
        <v>4359.72</v>
      </c>
      <c r="F1509" s="14" t="n">
        <v>4359.72</v>
      </c>
      <c r="G1509" s="6" t="s">
        <v>15614</v>
      </c>
    </row>
    <row r="1510" customFormat="false" ht="15" hidden="false" customHeight="true" outlineLevel="0" collapsed="false">
      <c r="A1510" s="6" t="s">
        <v>17122</v>
      </c>
      <c r="B1510" s="6" t="s">
        <v>1117</v>
      </c>
      <c r="C1510" s="6" t="s">
        <v>124</v>
      </c>
      <c r="D1510" s="6" t="s">
        <v>57</v>
      </c>
      <c r="E1510" s="14" t="n">
        <v>4359.72</v>
      </c>
      <c r="F1510" s="14" t="n">
        <v>8719.44</v>
      </c>
      <c r="G1510" s="6" t="s">
        <v>15614</v>
      </c>
    </row>
    <row r="1511" customFormat="false" ht="15" hidden="false" customHeight="true" outlineLevel="0" collapsed="false">
      <c r="A1511" s="6" t="s">
        <v>17123</v>
      </c>
      <c r="B1511" s="6" t="s">
        <v>1117</v>
      </c>
      <c r="C1511" s="6" t="s">
        <v>124</v>
      </c>
      <c r="D1511" s="6" t="s">
        <v>58</v>
      </c>
      <c r="E1511" s="14" t="n">
        <v>4359.72</v>
      </c>
      <c r="F1511" s="14" t="n">
        <v>13079.16</v>
      </c>
      <c r="G1511" s="6" t="s">
        <v>15614</v>
      </c>
    </row>
    <row r="1512" customFormat="false" ht="15" hidden="false" customHeight="true" outlineLevel="0" collapsed="false">
      <c r="A1512" s="6" t="s">
        <v>17124</v>
      </c>
      <c r="B1512" s="6" t="s">
        <v>1117</v>
      </c>
      <c r="C1512" s="6" t="s">
        <v>124</v>
      </c>
      <c r="D1512" s="6" t="s">
        <v>59</v>
      </c>
      <c r="E1512" s="14" t="n">
        <v>4359.72</v>
      </c>
      <c r="F1512" s="14" t="n">
        <v>17438.88</v>
      </c>
      <c r="G1512" s="6" t="s">
        <v>15614</v>
      </c>
    </row>
    <row r="1513" customFormat="false" ht="15" hidden="false" customHeight="true" outlineLevel="0" collapsed="false">
      <c r="A1513" s="6" t="s">
        <v>17125</v>
      </c>
      <c r="B1513" s="6" t="s">
        <v>1119</v>
      </c>
      <c r="C1513" s="6" t="s">
        <v>131</v>
      </c>
      <c r="D1513" s="6" t="s">
        <v>30</v>
      </c>
      <c r="E1513" s="14" t="n">
        <v>1437.16</v>
      </c>
      <c r="F1513" s="14" t="n">
        <v>1437.16</v>
      </c>
      <c r="G1513" s="6" t="s">
        <v>15614</v>
      </c>
    </row>
    <row r="1514" customFormat="false" ht="15" hidden="false" customHeight="true" outlineLevel="0" collapsed="false">
      <c r="A1514" s="6" t="s">
        <v>17126</v>
      </c>
      <c r="B1514" s="6" t="s">
        <v>1119</v>
      </c>
      <c r="C1514" s="6" t="s">
        <v>131</v>
      </c>
      <c r="D1514" s="6" t="s">
        <v>31</v>
      </c>
      <c r="E1514" s="14" t="n">
        <v>1437.16</v>
      </c>
      <c r="F1514" s="14" t="n">
        <v>2874.32</v>
      </c>
      <c r="G1514" s="6" t="s">
        <v>15614</v>
      </c>
    </row>
    <row r="1515" customFormat="false" ht="15" hidden="false" customHeight="true" outlineLevel="0" collapsed="false">
      <c r="A1515" s="6" t="s">
        <v>17127</v>
      </c>
      <c r="B1515" s="6" t="s">
        <v>1121</v>
      </c>
      <c r="C1515" s="6" t="s">
        <v>120</v>
      </c>
      <c r="D1515" s="6" t="s">
        <v>38</v>
      </c>
      <c r="E1515" s="14" t="n">
        <v>2042.71</v>
      </c>
      <c r="F1515" s="14" t="n">
        <v>2042.71</v>
      </c>
      <c r="G1515" s="6" t="s">
        <v>15614</v>
      </c>
    </row>
    <row r="1516" customFormat="false" ht="15" hidden="false" customHeight="true" outlineLevel="0" collapsed="false">
      <c r="A1516" s="6" t="s">
        <v>17128</v>
      </c>
      <c r="B1516" s="6" t="s">
        <v>1121</v>
      </c>
      <c r="C1516" s="6" t="s">
        <v>120</v>
      </c>
      <c r="D1516" s="6" t="s">
        <v>39</v>
      </c>
      <c r="E1516" s="14" t="n">
        <v>2042.71</v>
      </c>
      <c r="F1516" s="14" t="n">
        <v>4085.42</v>
      </c>
      <c r="G1516" s="6" t="s">
        <v>15614</v>
      </c>
    </row>
    <row r="1517" customFormat="false" ht="15" hidden="false" customHeight="true" outlineLevel="0" collapsed="false">
      <c r="A1517" s="6" t="s">
        <v>17129</v>
      </c>
      <c r="B1517" s="6" t="s">
        <v>1121</v>
      </c>
      <c r="C1517" s="6" t="s">
        <v>120</v>
      </c>
      <c r="D1517" s="6" t="s">
        <v>40</v>
      </c>
      <c r="E1517" s="14" t="n">
        <v>2042.71</v>
      </c>
      <c r="F1517" s="14" t="n">
        <v>6128.13</v>
      </c>
      <c r="G1517" s="6" t="s">
        <v>15614</v>
      </c>
    </row>
    <row r="1518" customFormat="false" ht="15" hidden="false" customHeight="true" outlineLevel="0" collapsed="false">
      <c r="A1518" s="6" t="s">
        <v>17130</v>
      </c>
      <c r="B1518" s="6" t="s">
        <v>1121</v>
      </c>
      <c r="C1518" s="6" t="s">
        <v>120</v>
      </c>
      <c r="D1518" s="6" t="s">
        <v>41</v>
      </c>
      <c r="E1518" s="14" t="n">
        <v>2042.71</v>
      </c>
      <c r="F1518" s="14" t="n">
        <v>8170.84</v>
      </c>
      <c r="G1518" s="6" t="s">
        <v>15614</v>
      </c>
    </row>
    <row r="1519" customFormat="false" ht="15" hidden="false" customHeight="true" outlineLevel="0" collapsed="false">
      <c r="A1519" s="6" t="s">
        <v>17131</v>
      </c>
      <c r="B1519" s="6" t="s">
        <v>1123</v>
      </c>
      <c r="C1519" s="6" t="s">
        <v>131</v>
      </c>
      <c r="D1519" s="6" t="s">
        <v>26</v>
      </c>
      <c r="E1519" s="14" t="n">
        <v>464.29</v>
      </c>
      <c r="F1519" s="14" t="n">
        <v>464.29</v>
      </c>
      <c r="G1519" s="6" t="s">
        <v>15614</v>
      </c>
    </row>
    <row r="1520" customFormat="false" ht="15" hidden="false" customHeight="true" outlineLevel="0" collapsed="false">
      <c r="A1520" s="6" t="s">
        <v>17132</v>
      </c>
      <c r="B1520" s="6" t="s">
        <v>1123</v>
      </c>
      <c r="C1520" s="6" t="s">
        <v>131</v>
      </c>
      <c r="D1520" s="6" t="s">
        <v>27</v>
      </c>
      <c r="E1520" s="14" t="n">
        <v>464.29</v>
      </c>
      <c r="F1520" s="14" t="n">
        <v>928.58</v>
      </c>
      <c r="G1520" s="6" t="s">
        <v>15614</v>
      </c>
    </row>
    <row r="1521" customFormat="false" ht="15" hidden="false" customHeight="true" outlineLevel="0" collapsed="false">
      <c r="A1521" s="6" t="s">
        <v>17133</v>
      </c>
      <c r="B1521" s="6" t="s">
        <v>1125</v>
      </c>
      <c r="C1521" s="6" t="s">
        <v>116</v>
      </c>
      <c r="D1521" s="6" t="s">
        <v>30</v>
      </c>
      <c r="E1521" s="14" t="n">
        <v>6815.11</v>
      </c>
      <c r="F1521" s="14" t="n">
        <v>6815.11</v>
      </c>
      <c r="G1521" s="6" t="s">
        <v>15614</v>
      </c>
    </row>
    <row r="1522" customFormat="false" ht="15" hidden="false" customHeight="true" outlineLevel="0" collapsed="false">
      <c r="A1522" s="6" t="s">
        <v>17134</v>
      </c>
      <c r="B1522" s="6" t="s">
        <v>1125</v>
      </c>
      <c r="C1522" s="6" t="s">
        <v>116</v>
      </c>
      <c r="D1522" s="6" t="s">
        <v>31</v>
      </c>
      <c r="E1522" s="14" t="n">
        <v>6815.11</v>
      </c>
      <c r="F1522" s="14" t="n">
        <v>13630.22</v>
      </c>
      <c r="G1522" s="6" t="s">
        <v>15614</v>
      </c>
    </row>
    <row r="1523" customFormat="false" ht="15" hidden="false" customHeight="true" outlineLevel="0" collapsed="false">
      <c r="A1523" s="6" t="s">
        <v>17135</v>
      </c>
      <c r="B1523" s="6" t="s">
        <v>1125</v>
      </c>
      <c r="C1523" s="6" t="s">
        <v>116</v>
      </c>
      <c r="D1523" s="6" t="s">
        <v>32</v>
      </c>
      <c r="E1523" s="14" t="n">
        <v>6815.11</v>
      </c>
      <c r="F1523" s="14" t="n">
        <v>20445.33</v>
      </c>
      <c r="G1523" s="6" t="s">
        <v>15614</v>
      </c>
    </row>
    <row r="1524" customFormat="false" ht="15" hidden="false" customHeight="true" outlineLevel="0" collapsed="false">
      <c r="A1524" s="6" t="s">
        <v>17136</v>
      </c>
      <c r="B1524" s="6" t="s">
        <v>1127</v>
      </c>
      <c r="C1524" s="6" t="s">
        <v>116</v>
      </c>
      <c r="D1524" s="6" t="s">
        <v>61</v>
      </c>
      <c r="E1524" s="14" t="n">
        <v>3838.57</v>
      </c>
      <c r="F1524" s="14" t="n">
        <v>3838.57</v>
      </c>
      <c r="G1524" s="6" t="s">
        <v>15614</v>
      </c>
    </row>
    <row r="1525" customFormat="false" ht="15" hidden="false" customHeight="true" outlineLevel="0" collapsed="false">
      <c r="A1525" s="6" t="s">
        <v>17137</v>
      </c>
      <c r="B1525" s="6" t="s">
        <v>1127</v>
      </c>
      <c r="C1525" s="6" t="s">
        <v>116</v>
      </c>
      <c r="D1525" s="6" t="s">
        <v>62</v>
      </c>
      <c r="E1525" s="14" t="n">
        <v>3838.57</v>
      </c>
      <c r="F1525" s="14" t="n">
        <v>7677.14</v>
      </c>
      <c r="G1525" s="6" t="s">
        <v>15614</v>
      </c>
    </row>
    <row r="1526" customFormat="false" ht="15" hidden="false" customHeight="true" outlineLevel="0" collapsed="false">
      <c r="A1526" s="6" t="s">
        <v>17138</v>
      </c>
      <c r="B1526" s="6" t="s">
        <v>1127</v>
      </c>
      <c r="C1526" s="6" t="s">
        <v>116</v>
      </c>
      <c r="D1526" s="6" t="s">
        <v>63</v>
      </c>
      <c r="E1526" s="14" t="n">
        <v>3838.57</v>
      </c>
      <c r="F1526" s="14" t="n">
        <v>11515.71</v>
      </c>
      <c r="G1526" s="6" t="s">
        <v>15614</v>
      </c>
    </row>
    <row r="1527" customFormat="false" ht="15" hidden="false" customHeight="true" outlineLevel="0" collapsed="false">
      <c r="A1527" s="6" t="s">
        <v>17139</v>
      </c>
      <c r="B1527" s="6" t="s">
        <v>1127</v>
      </c>
      <c r="C1527" s="6" t="s">
        <v>116</v>
      </c>
      <c r="D1527" s="6" t="s">
        <v>64</v>
      </c>
      <c r="E1527" s="14" t="n">
        <v>3838.57</v>
      </c>
      <c r="F1527" s="14" t="n">
        <v>15354.28</v>
      </c>
      <c r="G1527" s="6" t="s">
        <v>15614</v>
      </c>
    </row>
    <row r="1528" customFormat="false" ht="15" hidden="false" customHeight="true" outlineLevel="0" collapsed="false">
      <c r="A1528" s="6" t="s">
        <v>17140</v>
      </c>
      <c r="B1528" s="6" t="s">
        <v>1127</v>
      </c>
      <c r="C1528" s="6" t="s">
        <v>116</v>
      </c>
      <c r="D1528" s="6" t="s">
        <v>65</v>
      </c>
      <c r="E1528" s="14" t="n">
        <v>3838.57</v>
      </c>
      <c r="F1528" s="14" t="n">
        <v>19192.85</v>
      </c>
      <c r="G1528" s="6" t="s">
        <v>15614</v>
      </c>
    </row>
    <row r="1529" customFormat="false" ht="15" hidden="false" customHeight="true" outlineLevel="0" collapsed="false">
      <c r="A1529" s="6" t="s">
        <v>17141</v>
      </c>
      <c r="B1529" s="6" t="s">
        <v>1129</v>
      </c>
      <c r="C1529" s="6" t="s">
        <v>112</v>
      </c>
      <c r="D1529" s="6" t="s">
        <v>56</v>
      </c>
      <c r="E1529" s="14" t="n">
        <v>441.95</v>
      </c>
      <c r="F1529" s="14" t="n">
        <v>441.95</v>
      </c>
      <c r="G1529" s="6" t="s">
        <v>15614</v>
      </c>
    </row>
    <row r="1530" customFormat="false" ht="15" hidden="false" customHeight="true" outlineLevel="0" collapsed="false">
      <c r="A1530" s="6" t="s">
        <v>17142</v>
      </c>
      <c r="B1530" s="6" t="s">
        <v>1129</v>
      </c>
      <c r="C1530" s="6" t="s">
        <v>112</v>
      </c>
      <c r="D1530" s="6" t="s">
        <v>57</v>
      </c>
      <c r="E1530" s="14" t="n">
        <v>441.95</v>
      </c>
      <c r="F1530" s="14" t="n">
        <v>883.9</v>
      </c>
      <c r="G1530" s="6" t="s">
        <v>15614</v>
      </c>
    </row>
    <row r="1531" customFormat="false" ht="15" hidden="false" customHeight="true" outlineLevel="0" collapsed="false">
      <c r="A1531" s="6" t="s">
        <v>17143</v>
      </c>
      <c r="B1531" s="6" t="s">
        <v>1129</v>
      </c>
      <c r="C1531" s="6" t="s">
        <v>112</v>
      </c>
      <c r="D1531" s="6" t="s">
        <v>58</v>
      </c>
      <c r="E1531" s="14" t="n">
        <v>441.95</v>
      </c>
      <c r="F1531" s="14" t="n">
        <v>1325.85</v>
      </c>
      <c r="G1531" s="6" t="s">
        <v>15614</v>
      </c>
    </row>
    <row r="1532" customFormat="false" ht="15" hidden="false" customHeight="true" outlineLevel="0" collapsed="false">
      <c r="A1532" s="6" t="s">
        <v>17144</v>
      </c>
      <c r="B1532" s="6" t="s">
        <v>1131</v>
      </c>
      <c r="C1532" s="6" t="s">
        <v>112</v>
      </c>
      <c r="D1532" s="6" t="s">
        <v>22</v>
      </c>
      <c r="E1532" s="14" t="n">
        <v>1216.46</v>
      </c>
      <c r="F1532" s="14" t="n">
        <v>1216.46</v>
      </c>
      <c r="G1532" s="6" t="s">
        <v>15614</v>
      </c>
    </row>
    <row r="1533" customFormat="false" ht="15" hidden="false" customHeight="true" outlineLevel="0" collapsed="false">
      <c r="A1533" s="6" t="s">
        <v>17145</v>
      </c>
      <c r="B1533" s="6" t="s">
        <v>1131</v>
      </c>
      <c r="C1533" s="6" t="s">
        <v>112</v>
      </c>
      <c r="D1533" s="6" t="s">
        <v>23</v>
      </c>
      <c r="E1533" s="14" t="n">
        <v>1216.46</v>
      </c>
      <c r="F1533" s="14" t="n">
        <v>2432.92</v>
      </c>
      <c r="G1533" s="6" t="s">
        <v>15614</v>
      </c>
    </row>
    <row r="1534" customFormat="false" ht="15" hidden="false" customHeight="true" outlineLevel="0" collapsed="false">
      <c r="A1534" s="6" t="s">
        <v>17146</v>
      </c>
      <c r="B1534" s="6" t="s">
        <v>1131</v>
      </c>
      <c r="C1534" s="6" t="s">
        <v>112</v>
      </c>
      <c r="D1534" s="6" t="s">
        <v>24</v>
      </c>
      <c r="E1534" s="14" t="n">
        <v>1216.46</v>
      </c>
      <c r="F1534" s="14" t="n">
        <v>3649.38</v>
      </c>
      <c r="G1534" s="6" t="s">
        <v>15614</v>
      </c>
    </row>
    <row r="1535" customFormat="false" ht="15" hidden="false" customHeight="true" outlineLevel="0" collapsed="false">
      <c r="A1535" s="6" t="s">
        <v>17147</v>
      </c>
      <c r="B1535" s="6" t="s">
        <v>1131</v>
      </c>
      <c r="C1535" s="6" t="s">
        <v>112</v>
      </c>
      <c r="D1535" s="6" t="s">
        <v>25</v>
      </c>
      <c r="E1535" s="14" t="n">
        <v>1216.46</v>
      </c>
      <c r="F1535" s="14" t="n">
        <v>4865.84</v>
      </c>
      <c r="G1535" s="6" t="s">
        <v>15614</v>
      </c>
    </row>
    <row r="1536" customFormat="false" ht="15" hidden="false" customHeight="true" outlineLevel="0" collapsed="false">
      <c r="A1536" s="6" t="s">
        <v>17148</v>
      </c>
      <c r="B1536" s="6" t="s">
        <v>1133</v>
      </c>
      <c r="C1536" s="6" t="s">
        <v>116</v>
      </c>
      <c r="D1536" s="6" t="s">
        <v>49</v>
      </c>
      <c r="E1536" s="14" t="n">
        <v>829.94</v>
      </c>
      <c r="F1536" s="14" t="n">
        <v>829.94</v>
      </c>
      <c r="G1536" s="6" t="s">
        <v>15614</v>
      </c>
    </row>
    <row r="1537" customFormat="false" ht="15" hidden="false" customHeight="true" outlineLevel="0" collapsed="false">
      <c r="A1537" s="6" t="s">
        <v>17149</v>
      </c>
      <c r="B1537" s="6" t="s">
        <v>1133</v>
      </c>
      <c r="C1537" s="6" t="s">
        <v>116</v>
      </c>
      <c r="D1537" s="6" t="s">
        <v>50</v>
      </c>
      <c r="E1537" s="14" t="n">
        <v>829.94</v>
      </c>
      <c r="F1537" s="14" t="n">
        <v>1659.88</v>
      </c>
      <c r="G1537" s="6" t="s">
        <v>15614</v>
      </c>
    </row>
    <row r="1538" customFormat="false" ht="15" hidden="false" customHeight="true" outlineLevel="0" collapsed="false">
      <c r="A1538" s="6" t="s">
        <v>17150</v>
      </c>
      <c r="B1538" s="6" t="s">
        <v>1133</v>
      </c>
      <c r="C1538" s="6" t="s">
        <v>116</v>
      </c>
      <c r="D1538" s="6" t="s">
        <v>51</v>
      </c>
      <c r="E1538" s="14" t="n">
        <v>829.94</v>
      </c>
      <c r="F1538" s="14" t="n">
        <v>2489.82</v>
      </c>
      <c r="G1538" s="6" t="s">
        <v>15614</v>
      </c>
    </row>
    <row r="1539" customFormat="false" ht="15" hidden="false" customHeight="true" outlineLevel="0" collapsed="false">
      <c r="A1539" s="6" t="s">
        <v>17151</v>
      </c>
      <c r="B1539" s="6" t="s">
        <v>1133</v>
      </c>
      <c r="C1539" s="6" t="s">
        <v>116</v>
      </c>
      <c r="D1539" s="6" t="s">
        <v>52</v>
      </c>
      <c r="E1539" s="14" t="n">
        <v>829.94</v>
      </c>
      <c r="F1539" s="14" t="n">
        <v>3319.76</v>
      </c>
      <c r="G1539" s="6" t="s">
        <v>15614</v>
      </c>
    </row>
    <row r="1540" customFormat="false" ht="15" hidden="false" customHeight="true" outlineLevel="0" collapsed="false">
      <c r="A1540" s="6" t="s">
        <v>17152</v>
      </c>
      <c r="B1540" s="6" t="s">
        <v>1135</v>
      </c>
      <c r="C1540" s="6" t="s">
        <v>131</v>
      </c>
      <c r="D1540" s="6" t="s">
        <v>22</v>
      </c>
      <c r="E1540" s="14" t="n">
        <v>3343.26</v>
      </c>
      <c r="F1540" s="14" t="n">
        <v>3343.26</v>
      </c>
      <c r="G1540" s="6" t="s">
        <v>15614</v>
      </c>
    </row>
    <row r="1541" customFormat="false" ht="15" hidden="false" customHeight="true" outlineLevel="0" collapsed="false">
      <c r="A1541" s="6" t="s">
        <v>17153</v>
      </c>
      <c r="B1541" s="6" t="s">
        <v>1135</v>
      </c>
      <c r="C1541" s="6" t="s">
        <v>131</v>
      </c>
      <c r="D1541" s="6" t="s">
        <v>23</v>
      </c>
      <c r="E1541" s="14" t="n">
        <v>3343.26</v>
      </c>
      <c r="F1541" s="14" t="n">
        <v>6686.52</v>
      </c>
      <c r="G1541" s="6" t="s">
        <v>15614</v>
      </c>
    </row>
    <row r="1542" customFormat="false" ht="15" hidden="false" customHeight="true" outlineLevel="0" collapsed="false">
      <c r="A1542" s="6" t="s">
        <v>17154</v>
      </c>
      <c r="B1542" s="6" t="s">
        <v>1135</v>
      </c>
      <c r="C1542" s="6" t="s">
        <v>131</v>
      </c>
      <c r="D1542" s="6" t="s">
        <v>24</v>
      </c>
      <c r="E1542" s="14" t="n">
        <v>3343.26</v>
      </c>
      <c r="F1542" s="14" t="n">
        <v>10029.78</v>
      </c>
      <c r="G1542" s="6" t="s">
        <v>15614</v>
      </c>
    </row>
    <row r="1543" customFormat="false" ht="15" hidden="false" customHeight="true" outlineLevel="0" collapsed="false">
      <c r="A1543" s="6" t="s">
        <v>17155</v>
      </c>
      <c r="B1543" s="6" t="s">
        <v>1135</v>
      </c>
      <c r="C1543" s="6" t="s">
        <v>131</v>
      </c>
      <c r="D1543" s="6" t="s">
        <v>25</v>
      </c>
      <c r="E1543" s="14" t="n">
        <v>3343.26</v>
      </c>
      <c r="F1543" s="14" t="n">
        <v>13373.04</v>
      </c>
      <c r="G1543" s="6" t="s">
        <v>15614</v>
      </c>
    </row>
    <row r="1544" customFormat="false" ht="15" hidden="false" customHeight="true" outlineLevel="0" collapsed="false">
      <c r="A1544" s="6" t="s">
        <v>17156</v>
      </c>
      <c r="B1544" s="6" t="s">
        <v>1137</v>
      </c>
      <c r="C1544" s="6" t="s">
        <v>131</v>
      </c>
      <c r="D1544" s="6" t="s">
        <v>33</v>
      </c>
      <c r="E1544" s="14" t="n">
        <v>497.93</v>
      </c>
      <c r="F1544" s="14" t="n">
        <v>497.93</v>
      </c>
      <c r="G1544" s="6" t="s">
        <v>15614</v>
      </c>
    </row>
    <row r="1545" customFormat="false" ht="15" hidden="false" customHeight="true" outlineLevel="0" collapsed="false">
      <c r="A1545" s="6" t="s">
        <v>17157</v>
      </c>
      <c r="B1545" s="6" t="s">
        <v>1137</v>
      </c>
      <c r="C1545" s="6" t="s">
        <v>131</v>
      </c>
      <c r="D1545" s="6" t="s">
        <v>34</v>
      </c>
      <c r="E1545" s="14" t="n">
        <v>497.93</v>
      </c>
      <c r="F1545" s="14" t="n">
        <v>995.86</v>
      </c>
      <c r="G1545" s="6" t="s">
        <v>15614</v>
      </c>
    </row>
    <row r="1546" customFormat="false" ht="15" hidden="false" customHeight="true" outlineLevel="0" collapsed="false">
      <c r="A1546" s="6" t="s">
        <v>17158</v>
      </c>
      <c r="B1546" s="6" t="s">
        <v>1139</v>
      </c>
      <c r="C1546" s="6" t="s">
        <v>120</v>
      </c>
      <c r="D1546" s="6" t="s">
        <v>42</v>
      </c>
      <c r="E1546" s="14" t="n">
        <v>3427.32</v>
      </c>
      <c r="F1546" s="14" t="n">
        <v>3427.32</v>
      </c>
      <c r="G1546" s="6" t="s">
        <v>15614</v>
      </c>
    </row>
    <row r="1547" customFormat="false" ht="15" hidden="false" customHeight="true" outlineLevel="0" collapsed="false">
      <c r="A1547" s="6" t="s">
        <v>17159</v>
      </c>
      <c r="B1547" s="6" t="s">
        <v>1139</v>
      </c>
      <c r="C1547" s="6" t="s">
        <v>120</v>
      </c>
      <c r="D1547" s="6" t="s">
        <v>43</v>
      </c>
      <c r="E1547" s="14" t="n">
        <v>3427.32</v>
      </c>
      <c r="F1547" s="14" t="n">
        <v>6854.64</v>
      </c>
      <c r="G1547" s="6" t="s">
        <v>15614</v>
      </c>
    </row>
    <row r="1548" customFormat="false" ht="15" hidden="false" customHeight="true" outlineLevel="0" collapsed="false">
      <c r="A1548" s="6" t="s">
        <v>17160</v>
      </c>
      <c r="B1548" s="6" t="s">
        <v>1139</v>
      </c>
      <c r="C1548" s="6" t="s">
        <v>120</v>
      </c>
      <c r="D1548" s="6" t="s">
        <v>44</v>
      </c>
      <c r="E1548" s="14" t="n">
        <v>3427.32</v>
      </c>
      <c r="F1548" s="14" t="n">
        <v>10281.96</v>
      </c>
      <c r="G1548" s="6" t="s">
        <v>15614</v>
      </c>
    </row>
    <row r="1549" customFormat="false" ht="15" hidden="false" customHeight="true" outlineLevel="0" collapsed="false">
      <c r="A1549" s="6" t="s">
        <v>17161</v>
      </c>
      <c r="B1549" s="6" t="s">
        <v>1139</v>
      </c>
      <c r="C1549" s="6" t="s">
        <v>120</v>
      </c>
      <c r="D1549" s="6" t="s">
        <v>45</v>
      </c>
      <c r="E1549" s="14" t="n">
        <v>3427.32</v>
      </c>
      <c r="F1549" s="14" t="n">
        <v>13709.28</v>
      </c>
      <c r="G1549" s="6" t="s">
        <v>15614</v>
      </c>
    </row>
    <row r="1550" customFormat="false" ht="15" hidden="false" customHeight="true" outlineLevel="0" collapsed="false">
      <c r="A1550" s="6" t="s">
        <v>17162</v>
      </c>
      <c r="B1550" s="6" t="s">
        <v>1141</v>
      </c>
      <c r="C1550" s="6" t="s">
        <v>131</v>
      </c>
      <c r="D1550" s="6" t="s">
        <v>49</v>
      </c>
      <c r="E1550" s="14" t="n">
        <v>8896.88</v>
      </c>
      <c r="F1550" s="14" t="n">
        <v>8896.88</v>
      </c>
      <c r="G1550" s="6" t="s">
        <v>15614</v>
      </c>
    </row>
    <row r="1551" customFormat="false" ht="15" hidden="false" customHeight="true" outlineLevel="0" collapsed="false">
      <c r="A1551" s="6" t="s">
        <v>17163</v>
      </c>
      <c r="B1551" s="6" t="s">
        <v>1141</v>
      </c>
      <c r="C1551" s="6" t="s">
        <v>131</v>
      </c>
      <c r="D1551" s="6" t="s">
        <v>50</v>
      </c>
      <c r="E1551" s="14" t="n">
        <v>8896.88</v>
      </c>
      <c r="F1551" s="14" t="n">
        <v>17793.76</v>
      </c>
      <c r="G1551" s="6" t="s">
        <v>15614</v>
      </c>
    </row>
    <row r="1552" customFormat="false" ht="15" hidden="false" customHeight="true" outlineLevel="0" collapsed="false">
      <c r="A1552" s="6" t="s">
        <v>17164</v>
      </c>
      <c r="B1552" s="6" t="s">
        <v>1143</v>
      </c>
      <c r="C1552" s="6" t="s">
        <v>112</v>
      </c>
      <c r="D1552" s="6" t="s">
        <v>25</v>
      </c>
      <c r="E1552" s="14" t="n">
        <v>168.39</v>
      </c>
      <c r="F1552" s="14" t="n">
        <v>168.39</v>
      </c>
      <c r="G1552" s="6" t="s">
        <v>15614</v>
      </c>
    </row>
    <row r="1553" customFormat="false" ht="15" hidden="false" customHeight="true" outlineLevel="0" collapsed="false">
      <c r="A1553" s="6" t="s">
        <v>17165</v>
      </c>
      <c r="B1553" s="6" t="s">
        <v>1143</v>
      </c>
      <c r="C1553" s="6" t="s">
        <v>112</v>
      </c>
      <c r="D1553" s="6" t="s">
        <v>25</v>
      </c>
      <c r="E1553" s="14" t="n">
        <v>168.39</v>
      </c>
      <c r="F1553" s="14" t="n">
        <v>336.78</v>
      </c>
      <c r="G1553" s="6" t="s">
        <v>15614</v>
      </c>
    </row>
    <row r="1554" customFormat="false" ht="15" hidden="false" customHeight="true" outlineLevel="0" collapsed="false">
      <c r="A1554" s="6" t="s">
        <v>17166</v>
      </c>
      <c r="B1554" s="6" t="s">
        <v>1145</v>
      </c>
      <c r="C1554" s="6" t="s">
        <v>116</v>
      </c>
      <c r="D1554" s="6" t="s">
        <v>49</v>
      </c>
      <c r="E1554" s="14" t="n">
        <v>1920.59</v>
      </c>
      <c r="F1554" s="14" t="n">
        <v>1920.59</v>
      </c>
      <c r="G1554" s="6" t="s">
        <v>15614</v>
      </c>
    </row>
    <row r="1555" customFormat="false" ht="15" hidden="false" customHeight="true" outlineLevel="0" collapsed="false">
      <c r="A1555" s="6" t="s">
        <v>17167</v>
      </c>
      <c r="B1555" s="6" t="s">
        <v>1145</v>
      </c>
      <c r="C1555" s="6" t="s">
        <v>116</v>
      </c>
      <c r="D1555" s="6" t="s">
        <v>50</v>
      </c>
      <c r="E1555" s="14" t="n">
        <v>1920.59</v>
      </c>
      <c r="F1555" s="14" t="n">
        <v>3841.18</v>
      </c>
      <c r="G1555" s="6" t="s">
        <v>15614</v>
      </c>
    </row>
    <row r="1556" customFormat="false" ht="15" hidden="false" customHeight="true" outlineLevel="0" collapsed="false">
      <c r="A1556" s="6" t="s">
        <v>17168</v>
      </c>
      <c r="B1556" s="6" t="s">
        <v>1145</v>
      </c>
      <c r="C1556" s="6" t="s">
        <v>116</v>
      </c>
      <c r="D1556" s="6" t="s">
        <v>51</v>
      </c>
      <c r="E1556" s="14" t="n">
        <v>1920.59</v>
      </c>
      <c r="F1556" s="14" t="n">
        <v>5761.77</v>
      </c>
      <c r="G1556" s="6" t="s">
        <v>15614</v>
      </c>
    </row>
    <row r="1557" customFormat="false" ht="15" hidden="false" customHeight="true" outlineLevel="0" collapsed="false">
      <c r="A1557" s="6" t="s">
        <v>17169</v>
      </c>
      <c r="B1557" s="6" t="s">
        <v>1145</v>
      </c>
      <c r="C1557" s="6" t="s">
        <v>116</v>
      </c>
      <c r="D1557" s="6" t="s">
        <v>52</v>
      </c>
      <c r="E1557" s="14" t="n">
        <v>1920.59</v>
      </c>
      <c r="F1557" s="14" t="n">
        <v>7682.36</v>
      </c>
      <c r="G1557" s="6" t="s">
        <v>15614</v>
      </c>
    </row>
    <row r="1558" customFormat="false" ht="15" hidden="false" customHeight="true" outlineLevel="0" collapsed="false">
      <c r="A1558" s="6" t="s">
        <v>17170</v>
      </c>
      <c r="B1558" s="6" t="s">
        <v>1147</v>
      </c>
      <c r="C1558" s="6" t="s">
        <v>131</v>
      </c>
      <c r="D1558" s="6" t="s">
        <v>17</v>
      </c>
      <c r="E1558" s="14" t="n">
        <v>1600.21</v>
      </c>
      <c r="F1558" s="14" t="n">
        <v>1600.21</v>
      </c>
      <c r="G1558" s="6" t="s">
        <v>15614</v>
      </c>
    </row>
    <row r="1559" customFormat="false" ht="15" hidden="false" customHeight="true" outlineLevel="0" collapsed="false">
      <c r="A1559" s="6" t="s">
        <v>17171</v>
      </c>
      <c r="B1559" s="6" t="s">
        <v>1147</v>
      </c>
      <c r="C1559" s="6" t="s">
        <v>131</v>
      </c>
      <c r="D1559" s="6" t="s">
        <v>18</v>
      </c>
      <c r="E1559" s="14" t="n">
        <v>1600.21</v>
      </c>
      <c r="F1559" s="14" t="n">
        <v>3200.42</v>
      </c>
      <c r="G1559" s="6" t="s">
        <v>15614</v>
      </c>
    </row>
    <row r="1560" customFormat="false" ht="15" hidden="false" customHeight="true" outlineLevel="0" collapsed="false">
      <c r="A1560" s="6" t="s">
        <v>17172</v>
      </c>
      <c r="B1560" s="6" t="s">
        <v>1147</v>
      </c>
      <c r="C1560" s="6" t="s">
        <v>131</v>
      </c>
      <c r="D1560" s="6" t="s">
        <v>19</v>
      </c>
      <c r="E1560" s="14" t="n">
        <v>1600.21</v>
      </c>
      <c r="F1560" s="14" t="n">
        <v>4800.63</v>
      </c>
      <c r="G1560" s="6" t="s">
        <v>15614</v>
      </c>
    </row>
    <row r="1561" customFormat="false" ht="15" hidden="false" customHeight="true" outlineLevel="0" collapsed="false">
      <c r="A1561" s="6" t="s">
        <v>17173</v>
      </c>
      <c r="B1561" s="6" t="s">
        <v>1147</v>
      </c>
      <c r="C1561" s="6" t="s">
        <v>131</v>
      </c>
      <c r="D1561" s="6" t="s">
        <v>20</v>
      </c>
      <c r="E1561" s="14" t="n">
        <v>1600.21</v>
      </c>
      <c r="F1561" s="14" t="n">
        <v>6400.84</v>
      </c>
      <c r="G1561" s="6" t="s">
        <v>15614</v>
      </c>
    </row>
    <row r="1562" customFormat="false" ht="15" hidden="false" customHeight="true" outlineLevel="0" collapsed="false">
      <c r="A1562" s="6" t="s">
        <v>17174</v>
      </c>
      <c r="B1562" s="6" t="s">
        <v>1149</v>
      </c>
      <c r="C1562" s="6" t="s">
        <v>128</v>
      </c>
      <c r="D1562" s="6" t="s">
        <v>57</v>
      </c>
      <c r="E1562" s="14" t="n">
        <v>1676.85</v>
      </c>
      <c r="F1562" s="14" t="n">
        <v>1676.85</v>
      </c>
      <c r="G1562" s="6" t="s">
        <v>15614</v>
      </c>
    </row>
    <row r="1563" customFormat="false" ht="15" hidden="false" customHeight="true" outlineLevel="0" collapsed="false">
      <c r="A1563" s="6" t="s">
        <v>17175</v>
      </c>
      <c r="B1563" s="6" t="s">
        <v>1149</v>
      </c>
      <c r="C1563" s="6" t="s">
        <v>128</v>
      </c>
      <c r="D1563" s="6" t="s">
        <v>58</v>
      </c>
      <c r="E1563" s="14" t="n">
        <v>1676.85</v>
      </c>
      <c r="F1563" s="14" t="n">
        <v>3353.7</v>
      </c>
      <c r="G1563" s="6" t="s">
        <v>15614</v>
      </c>
    </row>
    <row r="1564" customFormat="false" ht="15" hidden="false" customHeight="true" outlineLevel="0" collapsed="false">
      <c r="A1564" s="6" t="s">
        <v>17176</v>
      </c>
      <c r="B1564" s="6" t="s">
        <v>1151</v>
      </c>
      <c r="C1564" s="6" t="s">
        <v>124</v>
      </c>
      <c r="D1564" s="6" t="s">
        <v>39</v>
      </c>
      <c r="E1564" s="14" t="n">
        <v>2449.09</v>
      </c>
      <c r="F1564" s="14" t="n">
        <v>2449.09</v>
      </c>
      <c r="G1564" s="6" t="s">
        <v>15614</v>
      </c>
    </row>
    <row r="1565" customFormat="false" ht="15" hidden="false" customHeight="true" outlineLevel="0" collapsed="false">
      <c r="A1565" s="6" t="s">
        <v>17177</v>
      </c>
      <c r="B1565" s="6" t="s">
        <v>1151</v>
      </c>
      <c r="C1565" s="6" t="s">
        <v>124</v>
      </c>
      <c r="D1565" s="6" t="s">
        <v>40</v>
      </c>
      <c r="E1565" s="14" t="n">
        <v>2449.09</v>
      </c>
      <c r="F1565" s="14" t="n">
        <v>4898.18</v>
      </c>
      <c r="G1565" s="6" t="s">
        <v>15614</v>
      </c>
    </row>
    <row r="1566" customFormat="false" ht="15" hidden="false" customHeight="true" outlineLevel="0" collapsed="false">
      <c r="A1566" s="6" t="s">
        <v>17178</v>
      </c>
      <c r="B1566" s="6" t="s">
        <v>1151</v>
      </c>
      <c r="C1566" s="6" t="s">
        <v>124</v>
      </c>
      <c r="D1566" s="6" t="s">
        <v>41</v>
      </c>
      <c r="E1566" s="14" t="n">
        <v>2449.09</v>
      </c>
      <c r="F1566" s="14" t="n">
        <v>7347.27</v>
      </c>
      <c r="G1566" s="6" t="s">
        <v>15614</v>
      </c>
    </row>
    <row r="1567" customFormat="false" ht="15" hidden="false" customHeight="true" outlineLevel="0" collapsed="false">
      <c r="A1567" s="6" t="s">
        <v>17179</v>
      </c>
      <c r="B1567" s="6" t="s">
        <v>1151</v>
      </c>
      <c r="C1567" s="6" t="s">
        <v>124</v>
      </c>
      <c r="D1567" s="6" t="s">
        <v>42</v>
      </c>
      <c r="E1567" s="14" t="n">
        <v>2449.09</v>
      </c>
      <c r="F1567" s="14" t="n">
        <v>9796.36</v>
      </c>
      <c r="G1567" s="6" t="s">
        <v>15614</v>
      </c>
    </row>
    <row r="1568" customFormat="false" ht="15" hidden="false" customHeight="true" outlineLevel="0" collapsed="false">
      <c r="A1568" s="6" t="s">
        <v>17180</v>
      </c>
      <c r="B1568" s="6" t="s">
        <v>1153</v>
      </c>
      <c r="C1568" s="6" t="s">
        <v>128</v>
      </c>
      <c r="D1568" s="6" t="s">
        <v>58</v>
      </c>
      <c r="E1568" s="14" t="n">
        <v>1230.78</v>
      </c>
      <c r="F1568" s="14" t="n">
        <v>1230.78</v>
      </c>
      <c r="G1568" s="6" t="s">
        <v>15614</v>
      </c>
    </row>
    <row r="1569" customFormat="false" ht="15" hidden="false" customHeight="true" outlineLevel="0" collapsed="false">
      <c r="A1569" s="6" t="s">
        <v>17181</v>
      </c>
      <c r="B1569" s="6" t="s">
        <v>1153</v>
      </c>
      <c r="C1569" s="6" t="s">
        <v>128</v>
      </c>
      <c r="D1569" s="6" t="s">
        <v>59</v>
      </c>
      <c r="E1569" s="14" t="n">
        <v>1230.78</v>
      </c>
      <c r="F1569" s="14" t="n">
        <v>2461.56</v>
      </c>
      <c r="G1569" s="6" t="s">
        <v>15614</v>
      </c>
    </row>
    <row r="1570" customFormat="false" ht="15" hidden="false" customHeight="true" outlineLevel="0" collapsed="false">
      <c r="A1570" s="6" t="s">
        <v>17182</v>
      </c>
      <c r="B1570" s="6" t="s">
        <v>1153</v>
      </c>
      <c r="C1570" s="6" t="s">
        <v>128</v>
      </c>
      <c r="D1570" s="6" t="s">
        <v>60</v>
      </c>
      <c r="E1570" s="14" t="n">
        <v>1230.78</v>
      </c>
      <c r="F1570" s="14" t="n">
        <v>3692.34</v>
      </c>
      <c r="G1570" s="6" t="s">
        <v>15614</v>
      </c>
    </row>
    <row r="1571" customFormat="false" ht="15" hidden="false" customHeight="true" outlineLevel="0" collapsed="false">
      <c r="A1571" s="6" t="s">
        <v>17183</v>
      </c>
      <c r="B1571" s="6" t="s">
        <v>1153</v>
      </c>
      <c r="C1571" s="6" t="s">
        <v>128</v>
      </c>
      <c r="D1571" s="6" t="s">
        <v>61</v>
      </c>
      <c r="E1571" s="14" t="n">
        <v>1230.78</v>
      </c>
      <c r="F1571" s="14" t="n">
        <v>4923.12</v>
      </c>
      <c r="G1571" s="6" t="s">
        <v>15614</v>
      </c>
    </row>
    <row r="1572" customFormat="false" ht="15" hidden="false" customHeight="true" outlineLevel="0" collapsed="false">
      <c r="A1572" s="6" t="s">
        <v>17184</v>
      </c>
      <c r="B1572" s="6" t="s">
        <v>1153</v>
      </c>
      <c r="C1572" s="6" t="s">
        <v>128</v>
      </c>
      <c r="D1572" s="6" t="s">
        <v>62</v>
      </c>
      <c r="E1572" s="14" t="n">
        <v>1230.78</v>
      </c>
      <c r="F1572" s="14" t="n">
        <v>6153.9</v>
      </c>
      <c r="G1572" s="6" t="s">
        <v>15614</v>
      </c>
    </row>
    <row r="1573" customFormat="false" ht="15" hidden="false" customHeight="true" outlineLevel="0" collapsed="false">
      <c r="A1573" s="6" t="s">
        <v>17185</v>
      </c>
      <c r="B1573" s="6" t="s">
        <v>1155</v>
      </c>
      <c r="C1573" s="6" t="s">
        <v>131</v>
      </c>
      <c r="D1573" s="6" t="s">
        <v>15</v>
      </c>
      <c r="E1573" s="14" t="n">
        <v>155</v>
      </c>
      <c r="F1573" s="14" t="n">
        <v>155</v>
      </c>
      <c r="G1573" s="6" t="s">
        <v>15614</v>
      </c>
    </row>
    <row r="1574" customFormat="false" ht="15" hidden="false" customHeight="true" outlineLevel="0" collapsed="false">
      <c r="A1574" s="6" t="s">
        <v>17186</v>
      </c>
      <c r="B1574" s="6" t="s">
        <v>1155</v>
      </c>
      <c r="C1574" s="6" t="s">
        <v>131</v>
      </c>
      <c r="D1574" s="6" t="s">
        <v>16</v>
      </c>
      <c r="E1574" s="14" t="n">
        <v>155</v>
      </c>
      <c r="F1574" s="14" t="n">
        <v>310</v>
      </c>
      <c r="G1574" s="6" t="s">
        <v>15614</v>
      </c>
    </row>
    <row r="1575" customFormat="false" ht="15" hidden="false" customHeight="true" outlineLevel="0" collapsed="false">
      <c r="A1575" s="6" t="s">
        <v>17187</v>
      </c>
      <c r="B1575" s="6" t="s">
        <v>1155</v>
      </c>
      <c r="C1575" s="6" t="s">
        <v>131</v>
      </c>
      <c r="D1575" s="6" t="s">
        <v>17</v>
      </c>
      <c r="E1575" s="14" t="n">
        <v>155</v>
      </c>
      <c r="F1575" s="14" t="n">
        <v>465</v>
      </c>
      <c r="G1575" s="6" t="s">
        <v>15614</v>
      </c>
    </row>
    <row r="1576" customFormat="false" ht="15" hidden="false" customHeight="true" outlineLevel="0" collapsed="false">
      <c r="A1576" s="6" t="s">
        <v>17188</v>
      </c>
      <c r="B1576" s="6" t="s">
        <v>1155</v>
      </c>
      <c r="C1576" s="6" t="s">
        <v>131</v>
      </c>
      <c r="D1576" s="6" t="s">
        <v>18</v>
      </c>
      <c r="E1576" s="14" t="n">
        <v>155</v>
      </c>
      <c r="F1576" s="14" t="n">
        <v>620</v>
      </c>
      <c r="G1576" s="6" t="s">
        <v>15614</v>
      </c>
    </row>
    <row r="1577" customFormat="false" ht="15" hidden="false" customHeight="true" outlineLevel="0" collapsed="false">
      <c r="A1577" s="6" t="s">
        <v>17189</v>
      </c>
      <c r="B1577" s="6" t="s">
        <v>1157</v>
      </c>
      <c r="C1577" s="6" t="s">
        <v>128</v>
      </c>
      <c r="D1577" s="6" t="s">
        <v>30</v>
      </c>
      <c r="E1577" s="14" t="n">
        <v>2699.93</v>
      </c>
      <c r="F1577" s="14" t="n">
        <v>2699.93</v>
      </c>
      <c r="G1577" s="6" t="s">
        <v>15614</v>
      </c>
    </row>
    <row r="1578" customFormat="false" ht="15" hidden="false" customHeight="true" outlineLevel="0" collapsed="false">
      <c r="A1578" s="6" t="s">
        <v>17190</v>
      </c>
      <c r="B1578" s="6" t="s">
        <v>1157</v>
      </c>
      <c r="C1578" s="6" t="s">
        <v>128</v>
      </c>
      <c r="D1578" s="6" t="s">
        <v>31</v>
      </c>
      <c r="E1578" s="14" t="n">
        <v>2699.93</v>
      </c>
      <c r="F1578" s="14" t="n">
        <v>5399.86</v>
      </c>
      <c r="G1578" s="6" t="s">
        <v>15614</v>
      </c>
    </row>
    <row r="1579" customFormat="false" ht="15" hidden="false" customHeight="true" outlineLevel="0" collapsed="false">
      <c r="A1579" s="6" t="s">
        <v>17191</v>
      </c>
      <c r="B1579" s="6" t="s">
        <v>1157</v>
      </c>
      <c r="C1579" s="6" t="s">
        <v>128</v>
      </c>
      <c r="D1579" s="6" t="s">
        <v>32</v>
      </c>
      <c r="E1579" s="14" t="n">
        <v>2699.93</v>
      </c>
      <c r="F1579" s="14" t="n">
        <v>8099.79</v>
      </c>
      <c r="G1579" s="6" t="s">
        <v>15614</v>
      </c>
    </row>
    <row r="1580" customFormat="false" ht="15" hidden="false" customHeight="true" outlineLevel="0" collapsed="false">
      <c r="A1580" s="6" t="s">
        <v>17192</v>
      </c>
      <c r="B1580" s="6" t="s">
        <v>1157</v>
      </c>
      <c r="C1580" s="6" t="s">
        <v>128</v>
      </c>
      <c r="D1580" s="6" t="s">
        <v>33</v>
      </c>
      <c r="E1580" s="14" t="n">
        <v>2699.93</v>
      </c>
      <c r="F1580" s="14" t="n">
        <v>10799.72</v>
      </c>
      <c r="G1580" s="6" t="s">
        <v>15614</v>
      </c>
    </row>
    <row r="1581" customFormat="false" ht="15" hidden="false" customHeight="true" outlineLevel="0" collapsed="false">
      <c r="A1581" s="6" t="s">
        <v>17193</v>
      </c>
      <c r="B1581" s="6" t="s">
        <v>1159</v>
      </c>
      <c r="C1581" s="6" t="s">
        <v>128</v>
      </c>
      <c r="D1581" s="6" t="s">
        <v>47</v>
      </c>
      <c r="E1581" s="14" t="n">
        <v>466.76</v>
      </c>
      <c r="F1581" s="14" t="n">
        <v>466.76</v>
      </c>
      <c r="G1581" s="6" t="s">
        <v>15614</v>
      </c>
    </row>
    <row r="1582" customFormat="false" ht="15" hidden="false" customHeight="true" outlineLevel="0" collapsed="false">
      <c r="A1582" s="6" t="s">
        <v>17194</v>
      </c>
      <c r="B1582" s="6" t="s">
        <v>1159</v>
      </c>
      <c r="C1582" s="6" t="s">
        <v>128</v>
      </c>
      <c r="D1582" s="6" t="s">
        <v>48</v>
      </c>
      <c r="E1582" s="14" t="n">
        <v>466.76</v>
      </c>
      <c r="F1582" s="14" t="n">
        <v>933.52</v>
      </c>
      <c r="G1582" s="6" t="s">
        <v>15614</v>
      </c>
    </row>
    <row r="1583" customFormat="false" ht="15" hidden="false" customHeight="true" outlineLevel="0" collapsed="false">
      <c r="A1583" s="6" t="s">
        <v>17195</v>
      </c>
      <c r="B1583" s="6" t="s">
        <v>1159</v>
      </c>
      <c r="C1583" s="6" t="s">
        <v>128</v>
      </c>
      <c r="D1583" s="6" t="s">
        <v>49</v>
      </c>
      <c r="E1583" s="14" t="n">
        <v>466.76</v>
      </c>
      <c r="F1583" s="14" t="n">
        <v>1400.28</v>
      </c>
      <c r="G1583" s="6" t="s">
        <v>15614</v>
      </c>
    </row>
    <row r="1584" customFormat="false" ht="15" hidden="false" customHeight="true" outlineLevel="0" collapsed="false">
      <c r="A1584" s="6" t="s">
        <v>17196</v>
      </c>
      <c r="B1584" s="6" t="s">
        <v>1161</v>
      </c>
      <c r="C1584" s="6" t="s">
        <v>128</v>
      </c>
      <c r="D1584" s="6" t="s">
        <v>34</v>
      </c>
      <c r="E1584" s="14" t="n">
        <v>2785.84</v>
      </c>
      <c r="F1584" s="14" t="n">
        <v>2785.84</v>
      </c>
      <c r="G1584" s="6" t="s">
        <v>15614</v>
      </c>
    </row>
    <row r="1585" customFormat="false" ht="15" hidden="false" customHeight="true" outlineLevel="0" collapsed="false">
      <c r="A1585" s="6" t="s">
        <v>17197</v>
      </c>
      <c r="B1585" s="6" t="s">
        <v>1161</v>
      </c>
      <c r="C1585" s="6" t="s">
        <v>128</v>
      </c>
      <c r="D1585" s="6" t="s">
        <v>35</v>
      </c>
      <c r="E1585" s="14" t="n">
        <v>2785.84</v>
      </c>
      <c r="F1585" s="14" t="n">
        <v>5571.68</v>
      </c>
      <c r="G1585" s="6" t="s">
        <v>15614</v>
      </c>
    </row>
    <row r="1586" customFormat="false" ht="15" hidden="false" customHeight="true" outlineLevel="0" collapsed="false">
      <c r="A1586" s="6" t="s">
        <v>17198</v>
      </c>
      <c r="B1586" s="6" t="s">
        <v>1163</v>
      </c>
      <c r="C1586" s="6" t="s">
        <v>116</v>
      </c>
      <c r="D1586" s="6" t="s">
        <v>29</v>
      </c>
      <c r="E1586" s="14" t="n">
        <v>3978.59</v>
      </c>
      <c r="F1586" s="14" t="n">
        <v>3978.59</v>
      </c>
      <c r="G1586" s="6" t="s">
        <v>15614</v>
      </c>
    </row>
    <row r="1587" customFormat="false" ht="15" hidden="false" customHeight="true" outlineLevel="0" collapsed="false">
      <c r="A1587" s="6" t="s">
        <v>17199</v>
      </c>
      <c r="B1587" s="6" t="s">
        <v>1163</v>
      </c>
      <c r="C1587" s="6" t="s">
        <v>116</v>
      </c>
      <c r="D1587" s="6" t="s">
        <v>30</v>
      </c>
      <c r="E1587" s="14" t="n">
        <v>3978.59</v>
      </c>
      <c r="F1587" s="14" t="n">
        <v>7957.18</v>
      </c>
      <c r="G1587" s="6" t="s">
        <v>15614</v>
      </c>
    </row>
    <row r="1588" customFormat="false" ht="15" hidden="false" customHeight="true" outlineLevel="0" collapsed="false">
      <c r="A1588" s="6" t="s">
        <v>17200</v>
      </c>
      <c r="B1588" s="6" t="s">
        <v>1163</v>
      </c>
      <c r="C1588" s="6" t="s">
        <v>116</v>
      </c>
      <c r="D1588" s="6" t="s">
        <v>31</v>
      </c>
      <c r="E1588" s="14" t="n">
        <v>3978.59</v>
      </c>
      <c r="F1588" s="14" t="n">
        <v>11935.77</v>
      </c>
      <c r="G1588" s="6" t="s">
        <v>15614</v>
      </c>
    </row>
    <row r="1589" customFormat="false" ht="15" hidden="false" customHeight="true" outlineLevel="0" collapsed="false">
      <c r="A1589" s="6" t="s">
        <v>17201</v>
      </c>
      <c r="B1589" s="6" t="s">
        <v>1165</v>
      </c>
      <c r="C1589" s="6" t="s">
        <v>131</v>
      </c>
      <c r="D1589" s="6" t="s">
        <v>23</v>
      </c>
      <c r="E1589" s="14" t="n">
        <v>1332.55</v>
      </c>
      <c r="F1589" s="14" t="n">
        <v>1332.55</v>
      </c>
      <c r="G1589" s="6" t="s">
        <v>15614</v>
      </c>
    </row>
    <row r="1590" customFormat="false" ht="15" hidden="false" customHeight="true" outlineLevel="0" collapsed="false">
      <c r="A1590" s="6" t="s">
        <v>17202</v>
      </c>
      <c r="B1590" s="6" t="s">
        <v>1165</v>
      </c>
      <c r="C1590" s="6" t="s">
        <v>131</v>
      </c>
      <c r="D1590" s="6" t="s">
        <v>24</v>
      </c>
      <c r="E1590" s="14" t="n">
        <v>1332.55</v>
      </c>
      <c r="F1590" s="14" t="n">
        <v>2665.1</v>
      </c>
      <c r="G1590" s="6" t="s">
        <v>15614</v>
      </c>
    </row>
    <row r="1591" customFormat="false" ht="15" hidden="false" customHeight="true" outlineLevel="0" collapsed="false">
      <c r="A1591" s="6" t="s">
        <v>17203</v>
      </c>
      <c r="B1591" s="6" t="s">
        <v>1165</v>
      </c>
      <c r="C1591" s="6" t="s">
        <v>131</v>
      </c>
      <c r="D1591" s="6" t="s">
        <v>25</v>
      </c>
      <c r="E1591" s="14" t="n">
        <v>1332.55</v>
      </c>
      <c r="F1591" s="14" t="n">
        <v>3997.65</v>
      </c>
      <c r="G1591" s="6" t="s">
        <v>15614</v>
      </c>
    </row>
    <row r="1592" customFormat="false" ht="15" hidden="false" customHeight="true" outlineLevel="0" collapsed="false">
      <c r="A1592" s="6" t="s">
        <v>17204</v>
      </c>
      <c r="B1592" s="6" t="s">
        <v>1165</v>
      </c>
      <c r="C1592" s="6" t="s">
        <v>131</v>
      </c>
      <c r="D1592" s="6" t="s">
        <v>26</v>
      </c>
      <c r="E1592" s="14" t="n">
        <v>1332.55</v>
      </c>
      <c r="F1592" s="14" t="n">
        <v>5330.2</v>
      </c>
      <c r="G1592" s="6" t="s">
        <v>15614</v>
      </c>
    </row>
    <row r="1593" customFormat="false" ht="15" hidden="false" customHeight="true" outlineLevel="0" collapsed="false">
      <c r="A1593" s="6" t="s">
        <v>17205</v>
      </c>
      <c r="B1593" s="6" t="s">
        <v>1167</v>
      </c>
      <c r="C1593" s="6" t="s">
        <v>124</v>
      </c>
      <c r="D1593" s="6" t="s">
        <v>63</v>
      </c>
      <c r="E1593" s="14" t="n">
        <v>1791.84</v>
      </c>
      <c r="F1593" s="14" t="n">
        <v>1791.84</v>
      </c>
      <c r="G1593" s="6" t="s">
        <v>15614</v>
      </c>
    </row>
    <row r="1594" customFormat="false" ht="15" hidden="false" customHeight="true" outlineLevel="0" collapsed="false">
      <c r="A1594" s="6" t="s">
        <v>17206</v>
      </c>
      <c r="B1594" s="6" t="s">
        <v>1167</v>
      </c>
      <c r="C1594" s="6" t="s">
        <v>124</v>
      </c>
      <c r="D1594" s="6" t="s">
        <v>64</v>
      </c>
      <c r="E1594" s="14" t="n">
        <v>1791.84</v>
      </c>
      <c r="F1594" s="14" t="n">
        <v>3583.68</v>
      </c>
      <c r="G1594" s="6" t="s">
        <v>15614</v>
      </c>
    </row>
    <row r="1595" customFormat="false" ht="15" hidden="false" customHeight="true" outlineLevel="0" collapsed="false">
      <c r="A1595" s="6" t="s">
        <v>17207</v>
      </c>
      <c r="B1595" s="6" t="s">
        <v>1169</v>
      </c>
      <c r="C1595" s="6" t="s">
        <v>116</v>
      </c>
      <c r="D1595" s="6" t="s">
        <v>25</v>
      </c>
      <c r="E1595" s="14" t="n">
        <v>3028.49</v>
      </c>
      <c r="F1595" s="14" t="n">
        <v>3028.49</v>
      </c>
      <c r="G1595" s="6" t="s">
        <v>15614</v>
      </c>
    </row>
    <row r="1596" customFormat="false" ht="15" hidden="false" customHeight="true" outlineLevel="0" collapsed="false">
      <c r="A1596" s="6" t="s">
        <v>17208</v>
      </c>
      <c r="B1596" s="6" t="s">
        <v>1169</v>
      </c>
      <c r="C1596" s="6" t="s">
        <v>116</v>
      </c>
      <c r="D1596" s="6" t="s">
        <v>26</v>
      </c>
      <c r="E1596" s="14" t="n">
        <v>3028.49</v>
      </c>
      <c r="F1596" s="14" t="n">
        <v>6056.98</v>
      </c>
      <c r="G1596" s="6" t="s">
        <v>15614</v>
      </c>
    </row>
    <row r="1597" customFormat="false" ht="15" hidden="false" customHeight="true" outlineLevel="0" collapsed="false">
      <c r="A1597" s="6" t="s">
        <v>17209</v>
      </c>
      <c r="B1597" s="6" t="s">
        <v>1169</v>
      </c>
      <c r="C1597" s="6" t="s">
        <v>116</v>
      </c>
      <c r="D1597" s="6" t="s">
        <v>27</v>
      </c>
      <c r="E1597" s="14" t="n">
        <v>3028.49</v>
      </c>
      <c r="F1597" s="14" t="n">
        <v>9085.47</v>
      </c>
      <c r="G1597" s="6" t="s">
        <v>15614</v>
      </c>
    </row>
    <row r="1598" customFormat="false" ht="15" hidden="false" customHeight="true" outlineLevel="0" collapsed="false">
      <c r="A1598" s="6" t="s">
        <v>17210</v>
      </c>
      <c r="B1598" s="6" t="s">
        <v>1169</v>
      </c>
      <c r="C1598" s="6" t="s">
        <v>116</v>
      </c>
      <c r="D1598" s="6" t="s">
        <v>28</v>
      </c>
      <c r="E1598" s="14" t="n">
        <v>3028.49</v>
      </c>
      <c r="F1598" s="14" t="n">
        <v>12113.96</v>
      </c>
      <c r="G1598" s="6" t="s">
        <v>15614</v>
      </c>
    </row>
    <row r="1599" customFormat="false" ht="15" hidden="false" customHeight="true" outlineLevel="0" collapsed="false">
      <c r="A1599" s="6" t="s">
        <v>17211</v>
      </c>
      <c r="B1599" s="6" t="s">
        <v>1169</v>
      </c>
      <c r="C1599" s="6" t="s">
        <v>116</v>
      </c>
      <c r="D1599" s="6" t="s">
        <v>29</v>
      </c>
      <c r="E1599" s="14" t="n">
        <v>3028.49</v>
      </c>
      <c r="F1599" s="14" t="n">
        <v>15142.45</v>
      </c>
      <c r="G1599" s="6" t="s">
        <v>15614</v>
      </c>
    </row>
    <row r="1600" customFormat="false" ht="15" hidden="false" customHeight="true" outlineLevel="0" collapsed="false">
      <c r="A1600" s="6" t="s">
        <v>17212</v>
      </c>
      <c r="B1600" s="6" t="s">
        <v>1169</v>
      </c>
      <c r="C1600" s="6" t="s">
        <v>116</v>
      </c>
      <c r="D1600" s="6" t="s">
        <v>30</v>
      </c>
      <c r="E1600" s="14" t="n">
        <v>3028.49</v>
      </c>
      <c r="F1600" s="14" t="n">
        <v>18170.94</v>
      </c>
      <c r="G1600" s="6" t="s">
        <v>15614</v>
      </c>
    </row>
    <row r="1601" customFormat="false" ht="15" hidden="false" customHeight="true" outlineLevel="0" collapsed="false">
      <c r="A1601" s="6" t="s">
        <v>17213</v>
      </c>
      <c r="B1601" s="6" t="s">
        <v>1169</v>
      </c>
      <c r="C1601" s="6" t="s">
        <v>116</v>
      </c>
      <c r="D1601" s="6" t="s">
        <v>31</v>
      </c>
      <c r="E1601" s="14" t="n">
        <v>3028.49</v>
      </c>
      <c r="F1601" s="14" t="n">
        <v>21199.43</v>
      </c>
      <c r="G1601" s="6" t="s">
        <v>15614</v>
      </c>
    </row>
    <row r="1602" customFormat="false" ht="15" hidden="false" customHeight="true" outlineLevel="0" collapsed="false">
      <c r="A1602" s="6" t="s">
        <v>17214</v>
      </c>
      <c r="B1602" s="6" t="s">
        <v>1169</v>
      </c>
      <c r="C1602" s="6" t="s">
        <v>116</v>
      </c>
      <c r="D1602" s="6" t="s">
        <v>32</v>
      </c>
      <c r="E1602" s="14" t="n">
        <v>3028.49</v>
      </c>
      <c r="F1602" s="14" t="n">
        <v>24227.92</v>
      </c>
      <c r="G1602" s="6" t="s">
        <v>15614</v>
      </c>
    </row>
    <row r="1603" customFormat="false" ht="15" hidden="false" customHeight="true" outlineLevel="0" collapsed="false">
      <c r="A1603" s="6" t="s">
        <v>17215</v>
      </c>
      <c r="B1603" s="6" t="s">
        <v>1169</v>
      </c>
      <c r="C1603" s="6" t="s">
        <v>116</v>
      </c>
      <c r="D1603" s="6" t="s">
        <v>33</v>
      </c>
      <c r="E1603" s="14" t="n">
        <v>3028.49</v>
      </c>
      <c r="F1603" s="14" t="n">
        <v>27256.41</v>
      </c>
      <c r="G1603" s="6" t="s">
        <v>15614</v>
      </c>
    </row>
    <row r="1604" customFormat="false" ht="15" hidden="false" customHeight="true" outlineLevel="0" collapsed="false">
      <c r="A1604" s="6" t="s">
        <v>17216</v>
      </c>
      <c r="B1604" s="6" t="s">
        <v>1169</v>
      </c>
      <c r="C1604" s="6" t="s">
        <v>116</v>
      </c>
      <c r="D1604" s="6" t="s">
        <v>34</v>
      </c>
      <c r="E1604" s="14" t="n">
        <v>3028.49</v>
      </c>
      <c r="F1604" s="14" t="n">
        <v>30284.9</v>
      </c>
      <c r="G1604" s="6" t="s">
        <v>15614</v>
      </c>
    </row>
    <row r="1605" customFormat="false" ht="15" hidden="false" customHeight="true" outlineLevel="0" collapsed="false">
      <c r="A1605" s="6" t="s">
        <v>17217</v>
      </c>
      <c r="B1605" s="6" t="s">
        <v>1171</v>
      </c>
      <c r="C1605" s="6" t="s">
        <v>131</v>
      </c>
      <c r="D1605" s="6" t="s">
        <v>14</v>
      </c>
      <c r="E1605" s="14" t="n">
        <v>1678.35</v>
      </c>
      <c r="F1605" s="14" t="n">
        <v>1678.35</v>
      </c>
      <c r="G1605" s="6" t="s">
        <v>15614</v>
      </c>
    </row>
    <row r="1606" customFormat="false" ht="15" hidden="false" customHeight="true" outlineLevel="0" collapsed="false">
      <c r="A1606" s="6" t="s">
        <v>17218</v>
      </c>
      <c r="B1606" s="6" t="s">
        <v>1171</v>
      </c>
      <c r="C1606" s="6" t="s">
        <v>131</v>
      </c>
      <c r="D1606" s="6" t="s">
        <v>15</v>
      </c>
      <c r="E1606" s="14" t="n">
        <v>1678.35</v>
      </c>
      <c r="F1606" s="14" t="n">
        <v>3356.7</v>
      </c>
      <c r="G1606" s="6" t="s">
        <v>15614</v>
      </c>
    </row>
    <row r="1607" customFormat="false" ht="15" hidden="false" customHeight="true" outlineLevel="0" collapsed="false">
      <c r="A1607" s="6" t="s">
        <v>17219</v>
      </c>
      <c r="B1607" s="6" t="s">
        <v>1173</v>
      </c>
      <c r="C1607" s="6" t="s">
        <v>116</v>
      </c>
      <c r="D1607" s="6" t="s">
        <v>49</v>
      </c>
      <c r="E1607" s="14" t="n">
        <v>205.69</v>
      </c>
      <c r="F1607" s="14" t="n">
        <v>205.69</v>
      </c>
      <c r="G1607" s="6" t="s">
        <v>15614</v>
      </c>
    </row>
    <row r="1608" customFormat="false" ht="15" hidden="false" customHeight="true" outlineLevel="0" collapsed="false">
      <c r="A1608" s="6" t="s">
        <v>17220</v>
      </c>
      <c r="B1608" s="6" t="s">
        <v>1173</v>
      </c>
      <c r="C1608" s="6" t="s">
        <v>116</v>
      </c>
      <c r="D1608" s="6" t="s">
        <v>50</v>
      </c>
      <c r="E1608" s="14" t="n">
        <v>205.69</v>
      </c>
      <c r="F1608" s="14" t="n">
        <v>411.38</v>
      </c>
      <c r="G1608" s="6" t="s">
        <v>15614</v>
      </c>
    </row>
    <row r="1609" customFormat="false" ht="15" hidden="false" customHeight="true" outlineLevel="0" collapsed="false">
      <c r="A1609" s="6" t="s">
        <v>17221</v>
      </c>
      <c r="B1609" s="6" t="s">
        <v>1175</v>
      </c>
      <c r="C1609" s="6" t="s">
        <v>128</v>
      </c>
      <c r="D1609" s="6" t="s">
        <v>39</v>
      </c>
      <c r="E1609" s="14" t="n">
        <v>2010.87</v>
      </c>
      <c r="F1609" s="14" t="n">
        <v>2010.87</v>
      </c>
      <c r="G1609" s="6" t="s">
        <v>15614</v>
      </c>
    </row>
    <row r="1610" customFormat="false" ht="15" hidden="false" customHeight="true" outlineLevel="0" collapsed="false">
      <c r="A1610" s="6" t="s">
        <v>17222</v>
      </c>
      <c r="B1610" s="6" t="s">
        <v>1175</v>
      </c>
      <c r="C1610" s="6" t="s">
        <v>128</v>
      </c>
      <c r="D1610" s="6" t="s">
        <v>40</v>
      </c>
      <c r="E1610" s="14" t="n">
        <v>2010.87</v>
      </c>
      <c r="F1610" s="14" t="n">
        <v>4021.74</v>
      </c>
      <c r="G1610" s="6" t="s">
        <v>15614</v>
      </c>
    </row>
    <row r="1611" customFormat="false" ht="15" hidden="false" customHeight="true" outlineLevel="0" collapsed="false">
      <c r="A1611" s="6" t="s">
        <v>17223</v>
      </c>
      <c r="B1611" s="6" t="s">
        <v>1177</v>
      </c>
      <c r="C1611" s="6" t="s">
        <v>124</v>
      </c>
      <c r="D1611" s="6" t="s">
        <v>14</v>
      </c>
      <c r="E1611" s="14" t="n">
        <v>3058.16</v>
      </c>
      <c r="F1611" s="14" t="n">
        <v>3058.16</v>
      </c>
      <c r="G1611" s="6" t="s">
        <v>15614</v>
      </c>
    </row>
    <row r="1612" customFormat="false" ht="15" hidden="false" customHeight="true" outlineLevel="0" collapsed="false">
      <c r="A1612" s="6" t="s">
        <v>17224</v>
      </c>
      <c r="B1612" s="6" t="s">
        <v>1177</v>
      </c>
      <c r="C1612" s="6" t="s">
        <v>124</v>
      </c>
      <c r="D1612" s="6" t="s">
        <v>15</v>
      </c>
      <c r="E1612" s="14" t="n">
        <v>3058.16</v>
      </c>
      <c r="F1612" s="14" t="n">
        <v>6116.32</v>
      </c>
      <c r="G1612" s="6" t="s">
        <v>15614</v>
      </c>
    </row>
    <row r="1613" customFormat="false" ht="15" hidden="false" customHeight="true" outlineLevel="0" collapsed="false">
      <c r="A1613" s="6" t="s">
        <v>17225</v>
      </c>
      <c r="B1613" s="6" t="s">
        <v>1177</v>
      </c>
      <c r="C1613" s="6" t="s">
        <v>124</v>
      </c>
      <c r="D1613" s="6" t="s">
        <v>16</v>
      </c>
      <c r="E1613" s="14" t="n">
        <v>3058.16</v>
      </c>
      <c r="F1613" s="14" t="n">
        <v>9174.48</v>
      </c>
      <c r="G1613" s="6" t="s">
        <v>15614</v>
      </c>
    </row>
    <row r="1614" customFormat="false" ht="15" hidden="false" customHeight="true" outlineLevel="0" collapsed="false">
      <c r="A1614" s="6" t="s">
        <v>17226</v>
      </c>
      <c r="B1614" s="6" t="s">
        <v>1179</v>
      </c>
      <c r="C1614" s="6" t="s">
        <v>128</v>
      </c>
      <c r="D1614" s="6" t="s">
        <v>44</v>
      </c>
      <c r="E1614" s="14" t="n">
        <v>5674.58</v>
      </c>
      <c r="F1614" s="14" t="n">
        <v>5674.58</v>
      </c>
      <c r="G1614" s="6" t="s">
        <v>15614</v>
      </c>
    </row>
    <row r="1615" customFormat="false" ht="15" hidden="false" customHeight="true" outlineLevel="0" collapsed="false">
      <c r="A1615" s="6" t="s">
        <v>17227</v>
      </c>
      <c r="B1615" s="6" t="s">
        <v>1179</v>
      </c>
      <c r="C1615" s="6" t="s">
        <v>128</v>
      </c>
      <c r="D1615" s="6" t="s">
        <v>45</v>
      </c>
      <c r="E1615" s="14" t="n">
        <v>5674.58</v>
      </c>
      <c r="F1615" s="14" t="n">
        <v>11349.16</v>
      </c>
      <c r="G1615" s="6" t="s">
        <v>15614</v>
      </c>
    </row>
    <row r="1616" customFormat="false" ht="15" hidden="false" customHeight="true" outlineLevel="0" collapsed="false">
      <c r="A1616" s="6" t="s">
        <v>17228</v>
      </c>
      <c r="B1616" s="6" t="s">
        <v>1181</v>
      </c>
      <c r="C1616" s="6" t="s">
        <v>131</v>
      </c>
      <c r="D1616" s="6" t="s">
        <v>61</v>
      </c>
      <c r="E1616" s="14" t="n">
        <v>532.58</v>
      </c>
      <c r="F1616" s="14" t="n">
        <v>532.58</v>
      </c>
      <c r="G1616" s="6" t="s">
        <v>15614</v>
      </c>
    </row>
    <row r="1617" customFormat="false" ht="15" hidden="false" customHeight="true" outlineLevel="0" collapsed="false">
      <c r="A1617" s="6" t="s">
        <v>17229</v>
      </c>
      <c r="B1617" s="6" t="s">
        <v>1181</v>
      </c>
      <c r="C1617" s="6" t="s">
        <v>131</v>
      </c>
      <c r="D1617" s="6" t="s">
        <v>62</v>
      </c>
      <c r="E1617" s="14" t="n">
        <v>532.58</v>
      </c>
      <c r="F1617" s="14" t="n">
        <v>1065.16</v>
      </c>
      <c r="G1617" s="6" t="s">
        <v>15614</v>
      </c>
    </row>
    <row r="1618" customFormat="false" ht="15" hidden="false" customHeight="true" outlineLevel="0" collapsed="false">
      <c r="A1618" s="6" t="s">
        <v>17230</v>
      </c>
      <c r="B1618" s="6" t="s">
        <v>1183</v>
      </c>
      <c r="C1618" s="6" t="s">
        <v>120</v>
      </c>
      <c r="D1618" s="6" t="s">
        <v>24</v>
      </c>
      <c r="E1618" s="14" t="n">
        <v>341.43</v>
      </c>
      <c r="F1618" s="14" t="n">
        <v>341.43</v>
      </c>
      <c r="G1618" s="6" t="s">
        <v>15614</v>
      </c>
    </row>
    <row r="1619" customFormat="false" ht="15" hidden="false" customHeight="true" outlineLevel="0" collapsed="false">
      <c r="A1619" s="6" t="s">
        <v>17231</v>
      </c>
      <c r="B1619" s="6" t="s">
        <v>1183</v>
      </c>
      <c r="C1619" s="6" t="s">
        <v>120</v>
      </c>
      <c r="D1619" s="6" t="s">
        <v>25</v>
      </c>
      <c r="E1619" s="14" t="n">
        <v>341.43</v>
      </c>
      <c r="F1619" s="14" t="n">
        <v>682.86</v>
      </c>
      <c r="G1619" s="6" t="s">
        <v>15614</v>
      </c>
    </row>
    <row r="1620" customFormat="false" ht="15" hidden="false" customHeight="true" outlineLevel="0" collapsed="false">
      <c r="A1620" s="6" t="s">
        <v>17232</v>
      </c>
      <c r="B1620" s="6" t="s">
        <v>1183</v>
      </c>
      <c r="C1620" s="6" t="s">
        <v>120</v>
      </c>
      <c r="D1620" s="6" t="s">
        <v>26</v>
      </c>
      <c r="E1620" s="14" t="n">
        <v>341.43</v>
      </c>
      <c r="F1620" s="14" t="n">
        <v>1024.29</v>
      </c>
      <c r="G1620" s="6" t="s">
        <v>15614</v>
      </c>
    </row>
    <row r="1621" customFormat="false" ht="15" hidden="false" customHeight="true" outlineLevel="0" collapsed="false">
      <c r="A1621" s="6" t="s">
        <v>17233</v>
      </c>
      <c r="B1621" s="6" t="s">
        <v>1185</v>
      </c>
      <c r="C1621" s="6" t="s">
        <v>131</v>
      </c>
      <c r="D1621" s="6" t="s">
        <v>11</v>
      </c>
      <c r="E1621" s="14" t="n">
        <v>2963.24</v>
      </c>
      <c r="F1621" s="14" t="n">
        <v>2963.24</v>
      </c>
      <c r="G1621" s="6" t="s">
        <v>15614</v>
      </c>
    </row>
    <row r="1622" customFormat="false" ht="15" hidden="false" customHeight="true" outlineLevel="0" collapsed="false">
      <c r="A1622" s="6" t="s">
        <v>17234</v>
      </c>
      <c r="B1622" s="6" t="s">
        <v>1185</v>
      </c>
      <c r="C1622" s="6" t="s">
        <v>131</v>
      </c>
      <c r="D1622" s="6" t="s">
        <v>12</v>
      </c>
      <c r="E1622" s="14" t="n">
        <v>2963.24</v>
      </c>
      <c r="F1622" s="14" t="n">
        <v>5926.48</v>
      </c>
      <c r="G1622" s="6" t="s">
        <v>15614</v>
      </c>
    </row>
    <row r="1623" customFormat="false" ht="15" hidden="false" customHeight="true" outlineLevel="0" collapsed="false">
      <c r="A1623" s="6" t="s">
        <v>17235</v>
      </c>
      <c r="B1623" s="6" t="s">
        <v>1185</v>
      </c>
      <c r="C1623" s="6" t="s">
        <v>131</v>
      </c>
      <c r="D1623" s="6" t="s">
        <v>13</v>
      </c>
      <c r="E1623" s="14" t="n">
        <v>2963.24</v>
      </c>
      <c r="F1623" s="14" t="n">
        <v>8889.72</v>
      </c>
      <c r="G1623" s="6" t="s">
        <v>15614</v>
      </c>
    </row>
    <row r="1624" customFormat="false" ht="15" hidden="false" customHeight="true" outlineLevel="0" collapsed="false">
      <c r="A1624" s="6" t="s">
        <v>17236</v>
      </c>
      <c r="B1624" s="6" t="s">
        <v>1185</v>
      </c>
      <c r="C1624" s="6" t="s">
        <v>131</v>
      </c>
      <c r="D1624" s="6" t="s">
        <v>14</v>
      </c>
      <c r="E1624" s="14" t="n">
        <v>2963.24</v>
      </c>
      <c r="F1624" s="14" t="n">
        <v>11852.96</v>
      </c>
      <c r="G1624" s="6" t="s">
        <v>15614</v>
      </c>
    </row>
    <row r="1625" customFormat="false" ht="15" hidden="false" customHeight="true" outlineLevel="0" collapsed="false">
      <c r="A1625" s="6" t="s">
        <v>17237</v>
      </c>
      <c r="B1625" s="6" t="s">
        <v>1185</v>
      </c>
      <c r="C1625" s="6" t="s">
        <v>131</v>
      </c>
      <c r="D1625" s="6" t="s">
        <v>15</v>
      </c>
      <c r="E1625" s="14" t="n">
        <v>2963.24</v>
      </c>
      <c r="F1625" s="14" t="n">
        <v>14816.2</v>
      </c>
      <c r="G1625" s="6" t="s">
        <v>15614</v>
      </c>
    </row>
    <row r="1626" customFormat="false" ht="15" hidden="false" customHeight="true" outlineLevel="0" collapsed="false">
      <c r="A1626" s="6" t="s">
        <v>17238</v>
      </c>
      <c r="B1626" s="6" t="s">
        <v>1187</v>
      </c>
      <c r="C1626" s="6" t="s">
        <v>124</v>
      </c>
      <c r="D1626" s="6" t="s">
        <v>35</v>
      </c>
      <c r="E1626" s="14" t="n">
        <v>1547.53</v>
      </c>
      <c r="F1626" s="14" t="n">
        <v>1547.53</v>
      </c>
      <c r="G1626" s="6" t="s">
        <v>15614</v>
      </c>
    </row>
    <row r="1627" customFormat="false" ht="15" hidden="false" customHeight="true" outlineLevel="0" collapsed="false">
      <c r="A1627" s="6" t="s">
        <v>17239</v>
      </c>
      <c r="B1627" s="6" t="s">
        <v>1187</v>
      </c>
      <c r="C1627" s="6" t="s">
        <v>124</v>
      </c>
      <c r="D1627" s="6" t="s">
        <v>36</v>
      </c>
      <c r="E1627" s="14" t="n">
        <v>1547.53</v>
      </c>
      <c r="F1627" s="14" t="n">
        <v>3095.06</v>
      </c>
      <c r="G1627" s="6" t="s">
        <v>15614</v>
      </c>
    </row>
    <row r="1628" customFormat="false" ht="15" hidden="false" customHeight="true" outlineLevel="0" collapsed="false">
      <c r="A1628" s="6" t="s">
        <v>17240</v>
      </c>
      <c r="B1628" s="6" t="s">
        <v>1189</v>
      </c>
      <c r="C1628" s="6" t="s">
        <v>128</v>
      </c>
      <c r="D1628" s="6" t="s">
        <v>39</v>
      </c>
      <c r="E1628" s="14" t="n">
        <v>3402.42</v>
      </c>
      <c r="F1628" s="14" t="n">
        <v>3402.42</v>
      </c>
      <c r="G1628" s="6" t="s">
        <v>15614</v>
      </c>
    </row>
    <row r="1629" customFormat="false" ht="15" hidden="false" customHeight="true" outlineLevel="0" collapsed="false">
      <c r="A1629" s="6" t="s">
        <v>17241</v>
      </c>
      <c r="B1629" s="6" t="s">
        <v>1189</v>
      </c>
      <c r="C1629" s="6" t="s">
        <v>128</v>
      </c>
      <c r="D1629" s="6" t="s">
        <v>40</v>
      </c>
      <c r="E1629" s="14" t="n">
        <v>3402.42</v>
      </c>
      <c r="F1629" s="14" t="n">
        <v>6804.84</v>
      </c>
      <c r="G1629" s="6" t="s">
        <v>15614</v>
      </c>
    </row>
    <row r="1630" customFormat="false" ht="15" hidden="false" customHeight="true" outlineLevel="0" collapsed="false">
      <c r="A1630" s="6" t="s">
        <v>17242</v>
      </c>
      <c r="B1630" s="6" t="s">
        <v>1189</v>
      </c>
      <c r="C1630" s="6" t="s">
        <v>128</v>
      </c>
      <c r="D1630" s="6" t="s">
        <v>41</v>
      </c>
      <c r="E1630" s="14" t="n">
        <v>3402.42</v>
      </c>
      <c r="F1630" s="14" t="n">
        <v>10207.26</v>
      </c>
      <c r="G1630" s="6" t="s">
        <v>15614</v>
      </c>
    </row>
    <row r="1631" customFormat="false" ht="15" hidden="false" customHeight="true" outlineLevel="0" collapsed="false">
      <c r="A1631" s="6" t="s">
        <v>17243</v>
      </c>
      <c r="B1631" s="6" t="s">
        <v>1189</v>
      </c>
      <c r="C1631" s="6" t="s">
        <v>128</v>
      </c>
      <c r="D1631" s="6" t="s">
        <v>42</v>
      </c>
      <c r="E1631" s="14" t="n">
        <v>3402.42</v>
      </c>
      <c r="F1631" s="14" t="n">
        <v>13609.68</v>
      </c>
      <c r="G1631" s="6" t="s">
        <v>15614</v>
      </c>
    </row>
    <row r="1632" customFormat="false" ht="15" hidden="false" customHeight="true" outlineLevel="0" collapsed="false">
      <c r="A1632" s="6" t="s">
        <v>17244</v>
      </c>
      <c r="B1632" s="6" t="s">
        <v>1189</v>
      </c>
      <c r="C1632" s="6" t="s">
        <v>128</v>
      </c>
      <c r="D1632" s="6" t="s">
        <v>43</v>
      </c>
      <c r="E1632" s="14" t="n">
        <v>3402.42</v>
      </c>
      <c r="F1632" s="14" t="n">
        <v>17012.1</v>
      </c>
      <c r="G1632" s="6" t="s">
        <v>15614</v>
      </c>
    </row>
    <row r="1633" customFormat="false" ht="15" hidden="false" customHeight="true" outlineLevel="0" collapsed="false">
      <c r="A1633" s="6" t="s">
        <v>17245</v>
      </c>
      <c r="B1633" s="6" t="s">
        <v>1191</v>
      </c>
      <c r="C1633" s="6" t="s">
        <v>116</v>
      </c>
      <c r="D1633" s="6" t="s">
        <v>14</v>
      </c>
      <c r="E1633" s="14" t="n">
        <v>1818.94</v>
      </c>
      <c r="F1633" s="14" t="n">
        <v>1818.94</v>
      </c>
      <c r="G1633" s="6" t="s">
        <v>15614</v>
      </c>
    </row>
    <row r="1634" customFormat="false" ht="15" hidden="false" customHeight="true" outlineLevel="0" collapsed="false">
      <c r="A1634" s="6" t="s">
        <v>17246</v>
      </c>
      <c r="B1634" s="6" t="s">
        <v>1191</v>
      </c>
      <c r="C1634" s="6" t="s">
        <v>116</v>
      </c>
      <c r="D1634" s="6" t="s">
        <v>15</v>
      </c>
      <c r="E1634" s="14" t="n">
        <v>1818.94</v>
      </c>
      <c r="F1634" s="14" t="n">
        <v>3637.88</v>
      </c>
      <c r="G1634" s="6" t="s">
        <v>15614</v>
      </c>
    </row>
    <row r="1635" customFormat="false" ht="15" hidden="false" customHeight="true" outlineLevel="0" collapsed="false">
      <c r="A1635" s="6" t="s">
        <v>17247</v>
      </c>
      <c r="B1635" s="6" t="s">
        <v>1191</v>
      </c>
      <c r="C1635" s="6" t="s">
        <v>116</v>
      </c>
      <c r="D1635" s="6" t="s">
        <v>16</v>
      </c>
      <c r="E1635" s="14" t="n">
        <v>1818.94</v>
      </c>
      <c r="F1635" s="14" t="n">
        <v>5456.82</v>
      </c>
      <c r="G1635" s="6" t="s">
        <v>15614</v>
      </c>
    </row>
    <row r="1636" customFormat="false" ht="15" hidden="false" customHeight="true" outlineLevel="0" collapsed="false">
      <c r="A1636" s="6" t="s">
        <v>17248</v>
      </c>
      <c r="B1636" s="6" t="s">
        <v>1191</v>
      </c>
      <c r="C1636" s="6" t="s">
        <v>116</v>
      </c>
      <c r="D1636" s="6" t="s">
        <v>17</v>
      </c>
      <c r="E1636" s="14" t="n">
        <v>1818.94</v>
      </c>
      <c r="F1636" s="14" t="n">
        <v>7275.76</v>
      </c>
      <c r="G1636" s="6" t="s">
        <v>15614</v>
      </c>
    </row>
    <row r="1637" customFormat="false" ht="15" hidden="false" customHeight="true" outlineLevel="0" collapsed="false">
      <c r="A1637" s="6" t="s">
        <v>17249</v>
      </c>
      <c r="B1637" s="6" t="s">
        <v>1191</v>
      </c>
      <c r="C1637" s="6" t="s">
        <v>116</v>
      </c>
      <c r="D1637" s="6" t="s">
        <v>17</v>
      </c>
      <c r="E1637" s="14" t="n">
        <v>1818.94</v>
      </c>
      <c r="F1637" s="14" t="n">
        <v>9094.7</v>
      </c>
      <c r="G1637" s="6" t="s">
        <v>15614</v>
      </c>
    </row>
    <row r="1638" customFormat="false" ht="15" hidden="false" customHeight="true" outlineLevel="0" collapsed="false">
      <c r="A1638" s="6" t="s">
        <v>17250</v>
      </c>
      <c r="B1638" s="6" t="s">
        <v>1191</v>
      </c>
      <c r="C1638" s="6" t="s">
        <v>116</v>
      </c>
      <c r="D1638" s="6" t="s">
        <v>18</v>
      </c>
      <c r="E1638" s="14" t="n">
        <v>1818.94</v>
      </c>
      <c r="F1638" s="14" t="n">
        <v>10913.64</v>
      </c>
      <c r="G1638" s="6" t="s">
        <v>15614</v>
      </c>
    </row>
    <row r="1639" customFormat="false" ht="15" hidden="false" customHeight="true" outlineLevel="0" collapsed="false">
      <c r="A1639" s="6" t="s">
        <v>17251</v>
      </c>
      <c r="B1639" s="6" t="s">
        <v>1193</v>
      </c>
      <c r="C1639" s="6" t="s">
        <v>112</v>
      </c>
      <c r="D1639" s="6" t="s">
        <v>16</v>
      </c>
      <c r="E1639" s="14" t="n">
        <v>4491.69</v>
      </c>
      <c r="F1639" s="14" t="n">
        <v>4491.69</v>
      </c>
      <c r="G1639" s="6" t="s">
        <v>15614</v>
      </c>
    </row>
    <row r="1640" customFormat="false" ht="15" hidden="false" customHeight="true" outlineLevel="0" collapsed="false">
      <c r="A1640" s="6" t="s">
        <v>17252</v>
      </c>
      <c r="B1640" s="6" t="s">
        <v>1193</v>
      </c>
      <c r="C1640" s="6" t="s">
        <v>112</v>
      </c>
      <c r="D1640" s="6" t="s">
        <v>17</v>
      </c>
      <c r="E1640" s="14" t="n">
        <v>4491.69</v>
      </c>
      <c r="F1640" s="14" t="n">
        <v>8983.38</v>
      </c>
      <c r="G1640" s="6" t="s">
        <v>15614</v>
      </c>
    </row>
    <row r="1641" customFormat="false" ht="15" hidden="false" customHeight="true" outlineLevel="0" collapsed="false">
      <c r="A1641" s="6" t="s">
        <v>17253</v>
      </c>
      <c r="B1641" s="6" t="s">
        <v>1193</v>
      </c>
      <c r="C1641" s="6" t="s">
        <v>112</v>
      </c>
      <c r="D1641" s="6" t="s">
        <v>18</v>
      </c>
      <c r="E1641" s="14" t="n">
        <v>4491.69</v>
      </c>
      <c r="F1641" s="14" t="n">
        <v>13475.07</v>
      </c>
      <c r="G1641" s="6" t="s">
        <v>15614</v>
      </c>
    </row>
    <row r="1642" customFormat="false" ht="15" hidden="false" customHeight="true" outlineLevel="0" collapsed="false">
      <c r="A1642" s="6" t="s">
        <v>17254</v>
      </c>
      <c r="B1642" s="6" t="s">
        <v>1193</v>
      </c>
      <c r="C1642" s="6" t="s">
        <v>112</v>
      </c>
      <c r="D1642" s="6" t="s">
        <v>18</v>
      </c>
      <c r="E1642" s="14" t="n">
        <v>4491.69</v>
      </c>
      <c r="F1642" s="14" t="n">
        <v>17966.76</v>
      </c>
      <c r="G1642" s="6" t="s">
        <v>15614</v>
      </c>
    </row>
    <row r="1643" customFormat="false" ht="15" hidden="false" customHeight="true" outlineLevel="0" collapsed="false">
      <c r="A1643" s="6" t="s">
        <v>17255</v>
      </c>
      <c r="B1643" s="6" t="s">
        <v>1193</v>
      </c>
      <c r="C1643" s="6" t="s">
        <v>112</v>
      </c>
      <c r="D1643" s="6" t="s">
        <v>19</v>
      </c>
      <c r="E1643" s="14" t="n">
        <v>4491.69</v>
      </c>
      <c r="F1643" s="14" t="n">
        <v>22458.45</v>
      </c>
      <c r="G1643" s="6" t="s">
        <v>15614</v>
      </c>
    </row>
    <row r="1644" customFormat="false" ht="15" hidden="false" customHeight="true" outlineLevel="0" collapsed="false">
      <c r="A1644" s="6" t="s">
        <v>17256</v>
      </c>
      <c r="B1644" s="6" t="s">
        <v>1193</v>
      </c>
      <c r="C1644" s="6" t="s">
        <v>112</v>
      </c>
      <c r="D1644" s="6" t="s">
        <v>20</v>
      </c>
      <c r="E1644" s="14" t="n">
        <v>4491.69</v>
      </c>
      <c r="F1644" s="14" t="n">
        <v>26950.14</v>
      </c>
      <c r="G1644" s="6" t="s">
        <v>15614</v>
      </c>
    </row>
    <row r="1645" customFormat="false" ht="15" hidden="false" customHeight="true" outlineLevel="0" collapsed="false">
      <c r="A1645" s="6" t="s">
        <v>17257</v>
      </c>
      <c r="B1645" s="6" t="s">
        <v>1195</v>
      </c>
      <c r="C1645" s="6" t="s">
        <v>131</v>
      </c>
      <c r="D1645" s="6" t="s">
        <v>36</v>
      </c>
      <c r="E1645" s="14" t="n">
        <v>1432.56</v>
      </c>
      <c r="F1645" s="14" t="n">
        <v>1432.56</v>
      </c>
      <c r="G1645" s="6" t="s">
        <v>15614</v>
      </c>
    </row>
    <row r="1646" customFormat="false" ht="15" hidden="false" customHeight="true" outlineLevel="0" collapsed="false">
      <c r="A1646" s="6" t="s">
        <v>17258</v>
      </c>
      <c r="B1646" s="6" t="s">
        <v>1195</v>
      </c>
      <c r="C1646" s="6" t="s">
        <v>131</v>
      </c>
      <c r="D1646" s="6" t="s">
        <v>37</v>
      </c>
      <c r="E1646" s="14" t="n">
        <v>1432.56</v>
      </c>
      <c r="F1646" s="14" t="n">
        <v>2865.12</v>
      </c>
      <c r="G1646" s="6" t="s">
        <v>15614</v>
      </c>
    </row>
    <row r="1647" customFormat="false" ht="15" hidden="false" customHeight="true" outlineLevel="0" collapsed="false">
      <c r="A1647" s="6" t="s">
        <v>17259</v>
      </c>
      <c r="B1647" s="6" t="s">
        <v>1197</v>
      </c>
      <c r="C1647" s="6" t="s">
        <v>128</v>
      </c>
      <c r="D1647" s="6" t="s">
        <v>17</v>
      </c>
      <c r="E1647" s="14" t="n">
        <v>3004.04</v>
      </c>
      <c r="F1647" s="14" t="n">
        <v>3004.04</v>
      </c>
      <c r="G1647" s="6" t="s">
        <v>15614</v>
      </c>
    </row>
    <row r="1648" customFormat="false" ht="15" hidden="false" customHeight="true" outlineLevel="0" collapsed="false">
      <c r="A1648" s="6" t="s">
        <v>17260</v>
      </c>
      <c r="B1648" s="6" t="s">
        <v>1197</v>
      </c>
      <c r="C1648" s="6" t="s">
        <v>128</v>
      </c>
      <c r="D1648" s="6" t="s">
        <v>18</v>
      </c>
      <c r="E1648" s="14" t="n">
        <v>3004.04</v>
      </c>
      <c r="F1648" s="14" t="n">
        <v>6008.08</v>
      </c>
      <c r="G1648" s="6" t="s">
        <v>15614</v>
      </c>
    </row>
    <row r="1649" customFormat="false" ht="15" hidden="false" customHeight="true" outlineLevel="0" collapsed="false">
      <c r="A1649" s="6" t="s">
        <v>17261</v>
      </c>
      <c r="B1649" s="6" t="s">
        <v>1197</v>
      </c>
      <c r="C1649" s="6" t="s">
        <v>128</v>
      </c>
      <c r="D1649" s="6" t="s">
        <v>19</v>
      </c>
      <c r="E1649" s="14" t="n">
        <v>3004.04</v>
      </c>
      <c r="F1649" s="14" t="n">
        <v>9012.12</v>
      </c>
      <c r="G1649" s="6" t="s">
        <v>15614</v>
      </c>
    </row>
    <row r="1650" customFormat="false" ht="15" hidden="false" customHeight="true" outlineLevel="0" collapsed="false">
      <c r="A1650" s="6" t="s">
        <v>17262</v>
      </c>
      <c r="B1650" s="6" t="s">
        <v>1197</v>
      </c>
      <c r="C1650" s="6" t="s">
        <v>128</v>
      </c>
      <c r="D1650" s="6" t="s">
        <v>20</v>
      </c>
      <c r="E1650" s="14" t="n">
        <v>3004.04</v>
      </c>
      <c r="F1650" s="14" t="n">
        <v>12016.16</v>
      </c>
      <c r="G1650" s="6" t="s">
        <v>15614</v>
      </c>
    </row>
    <row r="1651" customFormat="false" ht="15" hidden="false" customHeight="true" outlineLevel="0" collapsed="false">
      <c r="A1651" s="6" t="s">
        <v>17263</v>
      </c>
      <c r="B1651" s="6" t="s">
        <v>1197</v>
      </c>
      <c r="C1651" s="6" t="s">
        <v>128</v>
      </c>
      <c r="D1651" s="6" t="s">
        <v>21</v>
      </c>
      <c r="E1651" s="14" t="n">
        <v>3004.04</v>
      </c>
      <c r="F1651" s="14" t="n">
        <v>15020.2</v>
      </c>
      <c r="G1651" s="6" t="s">
        <v>15614</v>
      </c>
    </row>
    <row r="1652" customFormat="false" ht="15" hidden="false" customHeight="true" outlineLevel="0" collapsed="false">
      <c r="A1652" s="6" t="s">
        <v>17264</v>
      </c>
      <c r="B1652" s="6" t="s">
        <v>1199</v>
      </c>
      <c r="C1652" s="6" t="s">
        <v>120</v>
      </c>
      <c r="D1652" s="6" t="s">
        <v>45</v>
      </c>
      <c r="E1652" s="14" t="n">
        <v>1760.85</v>
      </c>
      <c r="F1652" s="14" t="n">
        <v>1760.85</v>
      </c>
      <c r="G1652" s="6" t="s">
        <v>15614</v>
      </c>
    </row>
    <row r="1653" customFormat="false" ht="15" hidden="false" customHeight="true" outlineLevel="0" collapsed="false">
      <c r="A1653" s="6" t="s">
        <v>17265</v>
      </c>
      <c r="B1653" s="6" t="s">
        <v>1199</v>
      </c>
      <c r="C1653" s="6" t="s">
        <v>120</v>
      </c>
      <c r="D1653" s="6" t="s">
        <v>46</v>
      </c>
      <c r="E1653" s="14" t="n">
        <v>1760.85</v>
      </c>
      <c r="F1653" s="14" t="n">
        <v>3521.7</v>
      </c>
      <c r="G1653" s="6" t="s">
        <v>15614</v>
      </c>
    </row>
    <row r="1654" customFormat="false" ht="15" hidden="false" customHeight="true" outlineLevel="0" collapsed="false">
      <c r="A1654" s="6" t="s">
        <v>17266</v>
      </c>
      <c r="B1654" s="6" t="s">
        <v>1199</v>
      </c>
      <c r="C1654" s="6" t="s">
        <v>120</v>
      </c>
      <c r="D1654" s="6" t="s">
        <v>46</v>
      </c>
      <c r="E1654" s="14" t="n">
        <v>1760.85</v>
      </c>
      <c r="F1654" s="14" t="n">
        <v>5282.55</v>
      </c>
      <c r="G1654" s="6" t="s">
        <v>15614</v>
      </c>
    </row>
    <row r="1655" customFormat="false" ht="15" hidden="false" customHeight="true" outlineLevel="0" collapsed="false">
      <c r="A1655" s="6" t="s">
        <v>17267</v>
      </c>
      <c r="B1655" s="6" t="s">
        <v>1201</v>
      </c>
      <c r="C1655" s="6" t="s">
        <v>116</v>
      </c>
      <c r="D1655" s="6" t="s">
        <v>45</v>
      </c>
      <c r="E1655" s="14" t="n">
        <v>1221.22</v>
      </c>
      <c r="F1655" s="14" t="n">
        <v>1221.22</v>
      </c>
      <c r="G1655" s="6" t="s">
        <v>15614</v>
      </c>
    </row>
    <row r="1656" customFormat="false" ht="15" hidden="false" customHeight="true" outlineLevel="0" collapsed="false">
      <c r="A1656" s="6" t="s">
        <v>17268</v>
      </c>
      <c r="B1656" s="6" t="s">
        <v>1201</v>
      </c>
      <c r="C1656" s="6" t="s">
        <v>116</v>
      </c>
      <c r="D1656" s="6" t="s">
        <v>46</v>
      </c>
      <c r="E1656" s="14" t="n">
        <v>1221.22</v>
      </c>
      <c r="F1656" s="14" t="n">
        <v>2442.44</v>
      </c>
      <c r="G1656" s="6" t="s">
        <v>15614</v>
      </c>
    </row>
    <row r="1657" customFormat="false" ht="15" hidden="false" customHeight="true" outlineLevel="0" collapsed="false">
      <c r="A1657" s="6" t="s">
        <v>17269</v>
      </c>
      <c r="B1657" s="6" t="s">
        <v>1203</v>
      </c>
      <c r="C1657" s="6" t="s">
        <v>112</v>
      </c>
      <c r="D1657" s="6" t="s">
        <v>23</v>
      </c>
      <c r="E1657" s="14" t="n">
        <v>1370.47</v>
      </c>
      <c r="F1657" s="14" t="n">
        <v>1370.47</v>
      </c>
      <c r="G1657" s="6" t="s">
        <v>15614</v>
      </c>
    </row>
    <row r="1658" customFormat="false" ht="15" hidden="false" customHeight="true" outlineLevel="0" collapsed="false">
      <c r="A1658" s="6" t="s">
        <v>17270</v>
      </c>
      <c r="B1658" s="6" t="s">
        <v>1203</v>
      </c>
      <c r="C1658" s="6" t="s">
        <v>112</v>
      </c>
      <c r="D1658" s="6" t="s">
        <v>24</v>
      </c>
      <c r="E1658" s="14" t="n">
        <v>1370.47</v>
      </c>
      <c r="F1658" s="14" t="n">
        <v>2740.94</v>
      </c>
      <c r="G1658" s="6" t="s">
        <v>15614</v>
      </c>
    </row>
    <row r="1659" customFormat="false" ht="15" hidden="false" customHeight="true" outlineLevel="0" collapsed="false">
      <c r="A1659" s="6" t="s">
        <v>17271</v>
      </c>
      <c r="B1659" s="6" t="s">
        <v>1203</v>
      </c>
      <c r="C1659" s="6" t="s">
        <v>112</v>
      </c>
      <c r="D1659" s="6" t="s">
        <v>25</v>
      </c>
      <c r="E1659" s="14" t="n">
        <v>1370.47</v>
      </c>
      <c r="F1659" s="14" t="n">
        <v>4111.41</v>
      </c>
      <c r="G1659" s="6" t="s">
        <v>15614</v>
      </c>
    </row>
    <row r="1660" customFormat="false" ht="15" hidden="false" customHeight="true" outlineLevel="0" collapsed="false">
      <c r="A1660" s="6" t="s">
        <v>17272</v>
      </c>
      <c r="B1660" s="6" t="s">
        <v>1203</v>
      </c>
      <c r="C1660" s="6" t="s">
        <v>112</v>
      </c>
      <c r="D1660" s="6" t="s">
        <v>26</v>
      </c>
      <c r="E1660" s="14" t="n">
        <v>1370.47</v>
      </c>
      <c r="F1660" s="14" t="n">
        <v>5481.88</v>
      </c>
      <c r="G1660" s="6" t="s">
        <v>15614</v>
      </c>
    </row>
    <row r="1661" customFormat="false" ht="15" hidden="false" customHeight="true" outlineLevel="0" collapsed="false">
      <c r="A1661" s="6" t="s">
        <v>17273</v>
      </c>
      <c r="B1661" s="6" t="s">
        <v>1203</v>
      </c>
      <c r="C1661" s="6" t="s">
        <v>112</v>
      </c>
      <c r="D1661" s="6" t="s">
        <v>27</v>
      </c>
      <c r="E1661" s="14" t="n">
        <v>1370.47</v>
      </c>
      <c r="F1661" s="14" t="n">
        <v>6852.35</v>
      </c>
      <c r="G1661" s="6" t="s">
        <v>15614</v>
      </c>
    </row>
    <row r="1662" customFormat="false" ht="15" hidden="false" customHeight="true" outlineLevel="0" collapsed="false">
      <c r="A1662" s="6" t="s">
        <v>17274</v>
      </c>
      <c r="B1662" s="6" t="s">
        <v>1203</v>
      </c>
      <c r="C1662" s="6" t="s">
        <v>112</v>
      </c>
      <c r="D1662" s="6" t="s">
        <v>28</v>
      </c>
      <c r="E1662" s="14" t="n">
        <v>1370.47</v>
      </c>
      <c r="F1662" s="14" t="n">
        <v>8222.82</v>
      </c>
      <c r="G1662" s="6" t="s">
        <v>15614</v>
      </c>
    </row>
    <row r="1663" customFormat="false" ht="15" hidden="false" customHeight="true" outlineLevel="0" collapsed="false">
      <c r="A1663" s="6" t="s">
        <v>17275</v>
      </c>
      <c r="B1663" s="6" t="s">
        <v>1205</v>
      </c>
      <c r="C1663" s="6" t="s">
        <v>128</v>
      </c>
      <c r="D1663" s="6" t="s">
        <v>38</v>
      </c>
      <c r="E1663" s="14" t="n">
        <v>5035.11</v>
      </c>
      <c r="F1663" s="14" t="n">
        <v>5035.11</v>
      </c>
      <c r="G1663" s="6" t="s">
        <v>15614</v>
      </c>
    </row>
    <row r="1664" customFormat="false" ht="15" hidden="false" customHeight="true" outlineLevel="0" collapsed="false">
      <c r="A1664" s="6" t="s">
        <v>17276</v>
      </c>
      <c r="B1664" s="6" t="s">
        <v>1205</v>
      </c>
      <c r="C1664" s="6" t="s">
        <v>128</v>
      </c>
      <c r="D1664" s="6" t="s">
        <v>39</v>
      </c>
      <c r="E1664" s="14" t="n">
        <v>5035.11</v>
      </c>
      <c r="F1664" s="14" t="n">
        <v>10070.22</v>
      </c>
      <c r="G1664" s="6" t="s">
        <v>15614</v>
      </c>
    </row>
    <row r="1665" customFormat="false" ht="15" hidden="false" customHeight="true" outlineLevel="0" collapsed="false">
      <c r="A1665" s="6" t="s">
        <v>17277</v>
      </c>
      <c r="B1665" s="6" t="s">
        <v>1207</v>
      </c>
      <c r="C1665" s="6" t="s">
        <v>112</v>
      </c>
      <c r="D1665" s="6" t="s">
        <v>22</v>
      </c>
      <c r="E1665" s="14" t="n">
        <v>1103.46</v>
      </c>
      <c r="F1665" s="14" t="n">
        <v>1103.46</v>
      </c>
      <c r="G1665" s="6" t="s">
        <v>15614</v>
      </c>
    </row>
    <row r="1666" customFormat="false" ht="15" hidden="false" customHeight="true" outlineLevel="0" collapsed="false">
      <c r="A1666" s="6" t="s">
        <v>17278</v>
      </c>
      <c r="B1666" s="6" t="s">
        <v>1207</v>
      </c>
      <c r="C1666" s="6" t="s">
        <v>112</v>
      </c>
      <c r="D1666" s="6" t="s">
        <v>23</v>
      </c>
      <c r="E1666" s="14" t="n">
        <v>1103.46</v>
      </c>
      <c r="F1666" s="14" t="n">
        <v>2206.92</v>
      </c>
      <c r="G1666" s="6" t="s">
        <v>15614</v>
      </c>
    </row>
    <row r="1667" customFormat="false" ht="15" hidden="false" customHeight="true" outlineLevel="0" collapsed="false">
      <c r="A1667" s="6" t="s">
        <v>17279</v>
      </c>
      <c r="B1667" s="6" t="s">
        <v>1207</v>
      </c>
      <c r="C1667" s="6" t="s">
        <v>112</v>
      </c>
      <c r="D1667" s="6" t="s">
        <v>24</v>
      </c>
      <c r="E1667" s="14" t="n">
        <v>1103.46</v>
      </c>
      <c r="F1667" s="14" t="n">
        <v>3310.38</v>
      </c>
      <c r="G1667" s="6" t="s">
        <v>15614</v>
      </c>
    </row>
    <row r="1668" customFormat="false" ht="15" hidden="false" customHeight="true" outlineLevel="0" collapsed="false">
      <c r="A1668" s="6" t="s">
        <v>17280</v>
      </c>
      <c r="B1668" s="6" t="s">
        <v>1207</v>
      </c>
      <c r="C1668" s="6" t="s">
        <v>112</v>
      </c>
      <c r="D1668" s="6" t="s">
        <v>25</v>
      </c>
      <c r="E1668" s="14" t="n">
        <v>1103.46</v>
      </c>
      <c r="F1668" s="14" t="n">
        <v>4413.84</v>
      </c>
      <c r="G1668" s="6" t="s">
        <v>15614</v>
      </c>
    </row>
    <row r="1669" customFormat="false" ht="15" hidden="false" customHeight="true" outlineLevel="0" collapsed="false">
      <c r="A1669" s="6" t="s">
        <v>17281</v>
      </c>
      <c r="B1669" s="6" t="s">
        <v>1207</v>
      </c>
      <c r="C1669" s="6" t="s">
        <v>112</v>
      </c>
      <c r="D1669" s="6" t="s">
        <v>26</v>
      </c>
      <c r="E1669" s="14" t="n">
        <v>1103.46</v>
      </c>
      <c r="F1669" s="14" t="n">
        <v>5517.3</v>
      </c>
      <c r="G1669" s="6" t="s">
        <v>15614</v>
      </c>
    </row>
    <row r="1670" customFormat="false" ht="15" hidden="false" customHeight="true" outlineLevel="0" collapsed="false">
      <c r="A1670" s="6" t="s">
        <v>17282</v>
      </c>
      <c r="B1670" s="6" t="s">
        <v>1209</v>
      </c>
      <c r="C1670" s="6" t="s">
        <v>124</v>
      </c>
      <c r="D1670" s="6" t="s">
        <v>37</v>
      </c>
      <c r="E1670" s="14" t="n">
        <v>2915.87</v>
      </c>
      <c r="F1670" s="14" t="n">
        <v>2915.87</v>
      </c>
      <c r="G1670" s="6" t="s">
        <v>15614</v>
      </c>
    </row>
    <row r="1671" customFormat="false" ht="15" hidden="false" customHeight="true" outlineLevel="0" collapsed="false">
      <c r="A1671" s="6" t="s">
        <v>17283</v>
      </c>
      <c r="B1671" s="6" t="s">
        <v>1209</v>
      </c>
      <c r="C1671" s="6" t="s">
        <v>124</v>
      </c>
      <c r="D1671" s="6" t="s">
        <v>38</v>
      </c>
      <c r="E1671" s="14" t="n">
        <v>2915.87</v>
      </c>
      <c r="F1671" s="14" t="n">
        <v>5831.74</v>
      </c>
      <c r="G1671" s="6" t="s">
        <v>15614</v>
      </c>
    </row>
    <row r="1672" customFormat="false" ht="15" hidden="false" customHeight="true" outlineLevel="0" collapsed="false">
      <c r="A1672" s="6" t="s">
        <v>17284</v>
      </c>
      <c r="B1672" s="6" t="s">
        <v>1209</v>
      </c>
      <c r="C1672" s="6" t="s">
        <v>124</v>
      </c>
      <c r="D1672" s="6" t="s">
        <v>39</v>
      </c>
      <c r="E1672" s="14" t="n">
        <v>2915.87</v>
      </c>
      <c r="F1672" s="14" t="n">
        <v>8747.61</v>
      </c>
      <c r="G1672" s="6" t="s">
        <v>15614</v>
      </c>
    </row>
    <row r="1673" customFormat="false" ht="15" hidden="false" customHeight="true" outlineLevel="0" collapsed="false">
      <c r="A1673" s="6" t="s">
        <v>17285</v>
      </c>
      <c r="B1673" s="6" t="s">
        <v>1209</v>
      </c>
      <c r="C1673" s="6" t="s">
        <v>124</v>
      </c>
      <c r="D1673" s="6" t="s">
        <v>40</v>
      </c>
      <c r="E1673" s="14" t="n">
        <v>2915.87</v>
      </c>
      <c r="F1673" s="14" t="n">
        <v>11663.48</v>
      </c>
      <c r="G1673" s="6" t="s">
        <v>15614</v>
      </c>
    </row>
    <row r="1674" customFormat="false" ht="15" hidden="false" customHeight="true" outlineLevel="0" collapsed="false">
      <c r="A1674" s="6" t="s">
        <v>17286</v>
      </c>
      <c r="B1674" s="6" t="s">
        <v>1209</v>
      </c>
      <c r="C1674" s="6" t="s">
        <v>124</v>
      </c>
      <c r="D1674" s="6" t="s">
        <v>41</v>
      </c>
      <c r="E1674" s="14" t="n">
        <v>2915.87</v>
      </c>
      <c r="F1674" s="14" t="n">
        <v>14579.35</v>
      </c>
      <c r="G1674" s="6" t="s">
        <v>15614</v>
      </c>
    </row>
    <row r="1675" customFormat="false" ht="15" hidden="false" customHeight="true" outlineLevel="0" collapsed="false">
      <c r="A1675" s="6" t="s">
        <v>17287</v>
      </c>
      <c r="B1675" s="6" t="s">
        <v>1209</v>
      </c>
      <c r="C1675" s="6" t="s">
        <v>124</v>
      </c>
      <c r="D1675" s="6" t="s">
        <v>42</v>
      </c>
      <c r="E1675" s="14" t="n">
        <v>2915.87</v>
      </c>
      <c r="F1675" s="14" t="n">
        <v>17495.22</v>
      </c>
      <c r="G1675" s="6" t="s">
        <v>15614</v>
      </c>
    </row>
    <row r="1676" customFormat="false" ht="15" hidden="false" customHeight="true" outlineLevel="0" collapsed="false">
      <c r="A1676" s="6" t="s">
        <v>17288</v>
      </c>
      <c r="B1676" s="6" t="s">
        <v>1211</v>
      </c>
      <c r="C1676" s="6" t="s">
        <v>120</v>
      </c>
      <c r="D1676" s="6" t="s">
        <v>50</v>
      </c>
      <c r="E1676" s="14" t="n">
        <v>863.57</v>
      </c>
      <c r="F1676" s="14" t="n">
        <v>863.57</v>
      </c>
      <c r="G1676" s="6" t="s">
        <v>15614</v>
      </c>
    </row>
    <row r="1677" customFormat="false" ht="15" hidden="false" customHeight="true" outlineLevel="0" collapsed="false">
      <c r="A1677" s="6" t="s">
        <v>17289</v>
      </c>
      <c r="B1677" s="6" t="s">
        <v>1211</v>
      </c>
      <c r="C1677" s="6" t="s">
        <v>120</v>
      </c>
      <c r="D1677" s="6" t="s">
        <v>51</v>
      </c>
      <c r="E1677" s="14" t="n">
        <v>863.57</v>
      </c>
      <c r="F1677" s="14" t="n">
        <v>1727.14</v>
      </c>
      <c r="G1677" s="6" t="s">
        <v>15614</v>
      </c>
    </row>
    <row r="1678" customFormat="false" ht="15" hidden="false" customHeight="true" outlineLevel="0" collapsed="false">
      <c r="A1678" s="6" t="s">
        <v>17290</v>
      </c>
      <c r="B1678" s="6" t="s">
        <v>1211</v>
      </c>
      <c r="C1678" s="6" t="s">
        <v>120</v>
      </c>
      <c r="D1678" s="6" t="s">
        <v>52</v>
      </c>
      <c r="E1678" s="14" t="n">
        <v>863.57</v>
      </c>
      <c r="F1678" s="14" t="n">
        <v>2590.71</v>
      </c>
      <c r="G1678" s="6" t="s">
        <v>15614</v>
      </c>
    </row>
    <row r="1679" customFormat="false" ht="15" hidden="false" customHeight="true" outlineLevel="0" collapsed="false">
      <c r="A1679" s="6" t="s">
        <v>17291</v>
      </c>
      <c r="B1679" s="6" t="s">
        <v>1213</v>
      </c>
      <c r="C1679" s="6" t="s">
        <v>120</v>
      </c>
      <c r="D1679" s="6" t="s">
        <v>25</v>
      </c>
      <c r="E1679" s="14" t="n">
        <v>3360.97</v>
      </c>
      <c r="F1679" s="14" t="n">
        <v>3360.97</v>
      </c>
      <c r="G1679" s="6" t="s">
        <v>15614</v>
      </c>
    </row>
    <row r="1680" customFormat="false" ht="15" hidden="false" customHeight="true" outlineLevel="0" collapsed="false">
      <c r="A1680" s="6" t="s">
        <v>17292</v>
      </c>
      <c r="B1680" s="6" t="s">
        <v>1213</v>
      </c>
      <c r="C1680" s="6" t="s">
        <v>120</v>
      </c>
      <c r="D1680" s="6" t="s">
        <v>26</v>
      </c>
      <c r="E1680" s="14" t="n">
        <v>3360.97</v>
      </c>
      <c r="F1680" s="14" t="n">
        <v>6721.94</v>
      </c>
      <c r="G1680" s="6" t="s">
        <v>15614</v>
      </c>
    </row>
    <row r="1681" customFormat="false" ht="15" hidden="false" customHeight="true" outlineLevel="0" collapsed="false">
      <c r="A1681" s="6" t="s">
        <v>17293</v>
      </c>
      <c r="B1681" s="6" t="s">
        <v>1215</v>
      </c>
      <c r="C1681" s="6" t="s">
        <v>131</v>
      </c>
      <c r="D1681" s="6" t="s">
        <v>63</v>
      </c>
      <c r="E1681" s="14" t="n">
        <v>1556.37</v>
      </c>
      <c r="F1681" s="14" t="n">
        <v>1556.37</v>
      </c>
      <c r="G1681" s="6" t="s">
        <v>15614</v>
      </c>
    </row>
    <row r="1682" customFormat="false" ht="15" hidden="false" customHeight="true" outlineLevel="0" collapsed="false">
      <c r="A1682" s="6" t="s">
        <v>17294</v>
      </c>
      <c r="B1682" s="6" t="s">
        <v>1215</v>
      </c>
      <c r="C1682" s="6" t="s">
        <v>131</v>
      </c>
      <c r="D1682" s="6" t="s">
        <v>64</v>
      </c>
      <c r="E1682" s="14" t="n">
        <v>1556.37</v>
      </c>
      <c r="F1682" s="14" t="n">
        <v>3112.74</v>
      </c>
      <c r="G1682" s="6" t="s">
        <v>15614</v>
      </c>
    </row>
    <row r="1683" customFormat="false" ht="15" hidden="false" customHeight="true" outlineLevel="0" collapsed="false">
      <c r="A1683" s="6" t="s">
        <v>17295</v>
      </c>
      <c r="B1683" s="6" t="s">
        <v>1217</v>
      </c>
      <c r="C1683" s="6" t="s">
        <v>120</v>
      </c>
      <c r="D1683" s="6" t="s">
        <v>11</v>
      </c>
      <c r="E1683" s="14" t="n">
        <v>82</v>
      </c>
      <c r="F1683" s="14" t="n">
        <v>82</v>
      </c>
      <c r="G1683" s="6" t="s">
        <v>15614</v>
      </c>
    </row>
    <row r="1684" customFormat="false" ht="15" hidden="false" customHeight="true" outlineLevel="0" collapsed="false">
      <c r="A1684" s="6" t="s">
        <v>17296</v>
      </c>
      <c r="B1684" s="6" t="s">
        <v>1217</v>
      </c>
      <c r="C1684" s="6" t="s">
        <v>120</v>
      </c>
      <c r="D1684" s="6" t="s">
        <v>12</v>
      </c>
      <c r="E1684" s="14" t="n">
        <v>82</v>
      </c>
      <c r="F1684" s="14" t="n">
        <v>164</v>
      </c>
      <c r="G1684" s="6" t="s">
        <v>15614</v>
      </c>
    </row>
    <row r="1685" customFormat="false" ht="15" hidden="false" customHeight="true" outlineLevel="0" collapsed="false">
      <c r="A1685" s="6" t="s">
        <v>17297</v>
      </c>
      <c r="B1685" s="6" t="s">
        <v>1217</v>
      </c>
      <c r="C1685" s="6" t="s">
        <v>120</v>
      </c>
      <c r="D1685" s="6" t="s">
        <v>13</v>
      </c>
      <c r="E1685" s="14" t="n">
        <v>82</v>
      </c>
      <c r="F1685" s="14" t="n">
        <v>246</v>
      </c>
      <c r="G1685" s="6" t="s">
        <v>15614</v>
      </c>
    </row>
    <row r="1686" customFormat="false" ht="15" hidden="false" customHeight="true" outlineLevel="0" collapsed="false">
      <c r="A1686" s="6" t="s">
        <v>17298</v>
      </c>
      <c r="B1686" s="6" t="s">
        <v>1219</v>
      </c>
      <c r="C1686" s="6" t="s">
        <v>131</v>
      </c>
      <c r="D1686" s="6" t="s">
        <v>17</v>
      </c>
      <c r="E1686" s="14" t="n">
        <v>858</v>
      </c>
      <c r="F1686" s="14" t="n">
        <v>858</v>
      </c>
      <c r="G1686" s="6" t="s">
        <v>15614</v>
      </c>
    </row>
    <row r="1687" customFormat="false" ht="15" hidden="false" customHeight="true" outlineLevel="0" collapsed="false">
      <c r="A1687" s="6" t="s">
        <v>17299</v>
      </c>
      <c r="B1687" s="6" t="s">
        <v>1219</v>
      </c>
      <c r="C1687" s="6" t="s">
        <v>131</v>
      </c>
      <c r="D1687" s="6" t="s">
        <v>17</v>
      </c>
      <c r="E1687" s="14" t="n">
        <v>858</v>
      </c>
      <c r="F1687" s="14" t="n">
        <v>1716</v>
      </c>
      <c r="G1687" s="6" t="s">
        <v>15614</v>
      </c>
    </row>
    <row r="1688" customFormat="false" ht="15" hidden="false" customHeight="true" outlineLevel="0" collapsed="false">
      <c r="A1688" s="6" t="s">
        <v>17300</v>
      </c>
      <c r="B1688" s="6" t="s">
        <v>1221</v>
      </c>
      <c r="C1688" s="6" t="s">
        <v>128</v>
      </c>
      <c r="D1688" s="6" t="s">
        <v>39</v>
      </c>
      <c r="E1688" s="14" t="n">
        <v>2703.53</v>
      </c>
      <c r="F1688" s="14" t="n">
        <v>2703.53</v>
      </c>
      <c r="G1688" s="6" t="s">
        <v>15614</v>
      </c>
    </row>
    <row r="1689" customFormat="false" ht="15" hidden="false" customHeight="true" outlineLevel="0" collapsed="false">
      <c r="A1689" s="6" t="s">
        <v>17301</v>
      </c>
      <c r="B1689" s="6" t="s">
        <v>1221</v>
      </c>
      <c r="C1689" s="6" t="s">
        <v>128</v>
      </c>
      <c r="D1689" s="6" t="s">
        <v>40</v>
      </c>
      <c r="E1689" s="14" t="n">
        <v>2703.53</v>
      </c>
      <c r="F1689" s="14" t="n">
        <v>5407.06</v>
      </c>
      <c r="G1689" s="6" t="s">
        <v>15614</v>
      </c>
    </row>
    <row r="1690" customFormat="false" ht="15" hidden="false" customHeight="true" outlineLevel="0" collapsed="false">
      <c r="A1690" s="6" t="s">
        <v>17302</v>
      </c>
      <c r="B1690" s="6" t="s">
        <v>1223</v>
      </c>
      <c r="C1690" s="6" t="s">
        <v>120</v>
      </c>
      <c r="D1690" s="6" t="s">
        <v>55</v>
      </c>
      <c r="E1690" s="14" t="n">
        <v>3793.88</v>
      </c>
      <c r="F1690" s="14" t="n">
        <v>3793.88</v>
      </c>
      <c r="G1690" s="6" t="s">
        <v>15614</v>
      </c>
    </row>
    <row r="1691" customFormat="false" ht="15" hidden="false" customHeight="true" outlineLevel="0" collapsed="false">
      <c r="A1691" s="6" t="s">
        <v>17303</v>
      </c>
      <c r="B1691" s="6" t="s">
        <v>1223</v>
      </c>
      <c r="C1691" s="6" t="s">
        <v>120</v>
      </c>
      <c r="D1691" s="6" t="s">
        <v>56</v>
      </c>
      <c r="E1691" s="14" t="n">
        <v>3793.88</v>
      </c>
      <c r="F1691" s="14" t="n">
        <v>7587.76</v>
      </c>
      <c r="G1691" s="6" t="s">
        <v>15614</v>
      </c>
    </row>
    <row r="1692" customFormat="false" ht="15" hidden="false" customHeight="true" outlineLevel="0" collapsed="false">
      <c r="A1692" s="6" t="s">
        <v>17304</v>
      </c>
      <c r="B1692" s="6" t="s">
        <v>1223</v>
      </c>
      <c r="C1692" s="6" t="s">
        <v>120</v>
      </c>
      <c r="D1692" s="6" t="s">
        <v>57</v>
      </c>
      <c r="E1692" s="14" t="n">
        <v>3793.88</v>
      </c>
      <c r="F1692" s="14" t="n">
        <v>11381.64</v>
      </c>
      <c r="G1692" s="6" t="s">
        <v>15614</v>
      </c>
    </row>
    <row r="1693" customFormat="false" ht="15" hidden="false" customHeight="true" outlineLevel="0" collapsed="false">
      <c r="A1693" s="6" t="s">
        <v>17305</v>
      </c>
      <c r="B1693" s="6" t="s">
        <v>1225</v>
      </c>
      <c r="C1693" s="6" t="s">
        <v>131</v>
      </c>
      <c r="D1693" s="6" t="s">
        <v>25</v>
      </c>
      <c r="E1693" s="14" t="n">
        <v>2678.47</v>
      </c>
      <c r="F1693" s="14" t="n">
        <v>2678.47</v>
      </c>
      <c r="G1693" s="6" t="s">
        <v>15614</v>
      </c>
    </row>
    <row r="1694" customFormat="false" ht="15" hidden="false" customHeight="true" outlineLevel="0" collapsed="false">
      <c r="A1694" s="6" t="s">
        <v>17306</v>
      </c>
      <c r="B1694" s="6" t="s">
        <v>1225</v>
      </c>
      <c r="C1694" s="6" t="s">
        <v>131</v>
      </c>
      <c r="D1694" s="6" t="s">
        <v>26</v>
      </c>
      <c r="E1694" s="14" t="n">
        <v>2678.47</v>
      </c>
      <c r="F1694" s="14" t="n">
        <v>5356.94</v>
      </c>
      <c r="G1694" s="6" t="s">
        <v>15614</v>
      </c>
    </row>
    <row r="1695" customFormat="false" ht="15" hidden="false" customHeight="true" outlineLevel="0" collapsed="false">
      <c r="A1695" s="6" t="s">
        <v>17307</v>
      </c>
      <c r="B1695" s="6" t="s">
        <v>1225</v>
      </c>
      <c r="C1695" s="6" t="s">
        <v>131</v>
      </c>
      <c r="D1695" s="6" t="s">
        <v>27</v>
      </c>
      <c r="E1695" s="14" t="n">
        <v>2678.47</v>
      </c>
      <c r="F1695" s="14" t="n">
        <v>8035.41</v>
      </c>
      <c r="G1695" s="6" t="s">
        <v>15614</v>
      </c>
    </row>
    <row r="1696" customFormat="false" ht="15" hidden="false" customHeight="true" outlineLevel="0" collapsed="false">
      <c r="A1696" s="6" t="s">
        <v>17308</v>
      </c>
      <c r="B1696" s="6" t="s">
        <v>1225</v>
      </c>
      <c r="C1696" s="6" t="s">
        <v>131</v>
      </c>
      <c r="D1696" s="6" t="s">
        <v>28</v>
      </c>
      <c r="E1696" s="14" t="n">
        <v>2678.47</v>
      </c>
      <c r="F1696" s="14" t="n">
        <v>10713.88</v>
      </c>
      <c r="G1696" s="6" t="s">
        <v>15614</v>
      </c>
    </row>
    <row r="1697" customFormat="false" ht="15" hidden="false" customHeight="true" outlineLevel="0" collapsed="false">
      <c r="A1697" s="6" t="s">
        <v>17309</v>
      </c>
      <c r="B1697" s="6" t="s">
        <v>1227</v>
      </c>
      <c r="C1697" s="6" t="s">
        <v>131</v>
      </c>
      <c r="D1697" s="6" t="s">
        <v>24</v>
      </c>
      <c r="E1697" s="14" t="n">
        <v>3888.29</v>
      </c>
      <c r="F1697" s="14" t="n">
        <v>3888.29</v>
      </c>
      <c r="G1697" s="6" t="s">
        <v>15614</v>
      </c>
    </row>
    <row r="1698" customFormat="false" ht="15" hidden="false" customHeight="true" outlineLevel="0" collapsed="false">
      <c r="A1698" s="6" t="s">
        <v>17310</v>
      </c>
      <c r="B1698" s="6" t="s">
        <v>1227</v>
      </c>
      <c r="C1698" s="6" t="s">
        <v>131</v>
      </c>
      <c r="D1698" s="6" t="s">
        <v>25</v>
      </c>
      <c r="E1698" s="14" t="n">
        <v>3888.29</v>
      </c>
      <c r="F1698" s="14" t="n">
        <v>7776.58</v>
      </c>
      <c r="G1698" s="6" t="s">
        <v>15614</v>
      </c>
    </row>
    <row r="1699" customFormat="false" ht="15" hidden="false" customHeight="true" outlineLevel="0" collapsed="false">
      <c r="A1699" s="6" t="s">
        <v>17311</v>
      </c>
      <c r="B1699" s="6" t="s">
        <v>1227</v>
      </c>
      <c r="C1699" s="6" t="s">
        <v>131</v>
      </c>
      <c r="D1699" s="6" t="s">
        <v>26</v>
      </c>
      <c r="E1699" s="14" t="n">
        <v>3888.29</v>
      </c>
      <c r="F1699" s="14" t="n">
        <v>11664.87</v>
      </c>
      <c r="G1699" s="6" t="s">
        <v>15614</v>
      </c>
    </row>
    <row r="1700" customFormat="false" ht="15" hidden="false" customHeight="true" outlineLevel="0" collapsed="false">
      <c r="A1700" s="6" t="s">
        <v>17312</v>
      </c>
      <c r="B1700" s="6" t="s">
        <v>1229</v>
      </c>
      <c r="C1700" s="6" t="s">
        <v>116</v>
      </c>
      <c r="D1700" s="6" t="s">
        <v>51</v>
      </c>
      <c r="E1700" s="14" t="n">
        <v>1875.77</v>
      </c>
      <c r="F1700" s="14" t="n">
        <v>1875.77</v>
      </c>
      <c r="G1700" s="6" t="s">
        <v>15614</v>
      </c>
    </row>
    <row r="1701" customFormat="false" ht="15" hidden="false" customHeight="true" outlineLevel="0" collapsed="false">
      <c r="A1701" s="6" t="s">
        <v>17313</v>
      </c>
      <c r="B1701" s="6" t="s">
        <v>1229</v>
      </c>
      <c r="C1701" s="6" t="s">
        <v>116</v>
      </c>
      <c r="D1701" s="6" t="s">
        <v>52</v>
      </c>
      <c r="E1701" s="14" t="n">
        <v>1875.77</v>
      </c>
      <c r="F1701" s="14" t="n">
        <v>3751.54</v>
      </c>
      <c r="G1701" s="6" t="s">
        <v>15614</v>
      </c>
    </row>
    <row r="1702" customFormat="false" ht="15" hidden="false" customHeight="true" outlineLevel="0" collapsed="false">
      <c r="A1702" s="6" t="s">
        <v>17314</v>
      </c>
      <c r="B1702" s="6" t="s">
        <v>1229</v>
      </c>
      <c r="C1702" s="6" t="s">
        <v>116</v>
      </c>
      <c r="D1702" s="6" t="s">
        <v>53</v>
      </c>
      <c r="E1702" s="14" t="n">
        <v>1875.77</v>
      </c>
      <c r="F1702" s="14" t="n">
        <v>5627.31</v>
      </c>
      <c r="G1702" s="6" t="s">
        <v>15614</v>
      </c>
    </row>
    <row r="1703" customFormat="false" ht="15" hidden="false" customHeight="true" outlineLevel="0" collapsed="false">
      <c r="A1703" s="6" t="s">
        <v>17315</v>
      </c>
      <c r="B1703" s="6" t="s">
        <v>1231</v>
      </c>
      <c r="C1703" s="6" t="s">
        <v>131</v>
      </c>
      <c r="D1703" s="6" t="s">
        <v>24</v>
      </c>
      <c r="E1703" s="14" t="n">
        <v>240.12</v>
      </c>
      <c r="F1703" s="14" t="n">
        <v>240.12</v>
      </c>
      <c r="G1703" s="6" t="s">
        <v>15614</v>
      </c>
    </row>
    <row r="1704" customFormat="false" ht="15" hidden="false" customHeight="true" outlineLevel="0" collapsed="false">
      <c r="A1704" s="6" t="s">
        <v>17316</v>
      </c>
      <c r="B1704" s="6" t="s">
        <v>1231</v>
      </c>
      <c r="C1704" s="6" t="s">
        <v>131</v>
      </c>
      <c r="D1704" s="6" t="s">
        <v>25</v>
      </c>
      <c r="E1704" s="14" t="n">
        <v>240.12</v>
      </c>
      <c r="F1704" s="14" t="n">
        <v>480.24</v>
      </c>
      <c r="G1704" s="6" t="s">
        <v>15614</v>
      </c>
    </row>
    <row r="1705" customFormat="false" ht="15" hidden="false" customHeight="true" outlineLevel="0" collapsed="false">
      <c r="A1705" s="6" t="s">
        <v>17317</v>
      </c>
      <c r="B1705" s="6" t="s">
        <v>1233</v>
      </c>
      <c r="C1705" s="6" t="s">
        <v>124</v>
      </c>
      <c r="D1705" s="6" t="s">
        <v>24</v>
      </c>
      <c r="E1705" s="14" t="n">
        <v>513.08</v>
      </c>
      <c r="F1705" s="14" t="n">
        <v>513.08</v>
      </c>
      <c r="G1705" s="6" t="s">
        <v>15614</v>
      </c>
    </row>
    <row r="1706" customFormat="false" ht="15" hidden="false" customHeight="true" outlineLevel="0" collapsed="false">
      <c r="A1706" s="6" t="s">
        <v>17318</v>
      </c>
      <c r="B1706" s="6" t="s">
        <v>1233</v>
      </c>
      <c r="C1706" s="6" t="s">
        <v>124</v>
      </c>
      <c r="D1706" s="6" t="s">
        <v>25</v>
      </c>
      <c r="E1706" s="14" t="n">
        <v>513.08</v>
      </c>
      <c r="F1706" s="14" t="n">
        <v>1026.16</v>
      </c>
      <c r="G1706" s="6" t="s">
        <v>15614</v>
      </c>
    </row>
    <row r="1707" customFormat="false" ht="15" hidden="false" customHeight="true" outlineLevel="0" collapsed="false">
      <c r="A1707" s="6" t="s">
        <v>17319</v>
      </c>
      <c r="B1707" s="6" t="s">
        <v>1235</v>
      </c>
      <c r="C1707" s="6" t="s">
        <v>112</v>
      </c>
      <c r="D1707" s="6" t="s">
        <v>32</v>
      </c>
      <c r="E1707" s="14" t="n">
        <v>7002.57</v>
      </c>
      <c r="F1707" s="14" t="n">
        <v>7002.57</v>
      </c>
      <c r="G1707" s="6" t="s">
        <v>15614</v>
      </c>
    </row>
    <row r="1708" customFormat="false" ht="15" hidden="false" customHeight="true" outlineLevel="0" collapsed="false">
      <c r="A1708" s="6" t="s">
        <v>17320</v>
      </c>
      <c r="B1708" s="6" t="s">
        <v>1235</v>
      </c>
      <c r="C1708" s="6" t="s">
        <v>112</v>
      </c>
      <c r="D1708" s="6" t="s">
        <v>33</v>
      </c>
      <c r="E1708" s="14" t="n">
        <v>7002.57</v>
      </c>
      <c r="F1708" s="14" t="n">
        <v>14005.14</v>
      </c>
      <c r="G1708" s="6" t="s">
        <v>15614</v>
      </c>
    </row>
    <row r="1709" customFormat="false" ht="15" hidden="false" customHeight="true" outlineLevel="0" collapsed="false">
      <c r="A1709" s="6" t="s">
        <v>17321</v>
      </c>
      <c r="B1709" s="6" t="s">
        <v>1235</v>
      </c>
      <c r="C1709" s="6" t="s">
        <v>112</v>
      </c>
      <c r="D1709" s="6" t="s">
        <v>34</v>
      </c>
      <c r="E1709" s="14" t="n">
        <v>7002.57</v>
      </c>
      <c r="F1709" s="14" t="n">
        <v>21007.71</v>
      </c>
      <c r="G1709" s="6" t="s">
        <v>15614</v>
      </c>
    </row>
    <row r="1710" customFormat="false" ht="15" hidden="false" customHeight="true" outlineLevel="0" collapsed="false">
      <c r="A1710" s="6" t="s">
        <v>17322</v>
      </c>
      <c r="B1710" s="6" t="s">
        <v>1235</v>
      </c>
      <c r="C1710" s="6" t="s">
        <v>112</v>
      </c>
      <c r="D1710" s="6" t="s">
        <v>35</v>
      </c>
      <c r="E1710" s="14" t="n">
        <v>7002.57</v>
      </c>
      <c r="F1710" s="14" t="n">
        <v>28010.28</v>
      </c>
      <c r="G1710" s="6" t="s">
        <v>15614</v>
      </c>
    </row>
    <row r="1711" customFormat="false" ht="15" hidden="false" customHeight="true" outlineLevel="0" collapsed="false">
      <c r="A1711" s="6" t="s">
        <v>17323</v>
      </c>
      <c r="B1711" s="6" t="s">
        <v>1235</v>
      </c>
      <c r="C1711" s="6" t="s">
        <v>112</v>
      </c>
      <c r="D1711" s="6" t="s">
        <v>36</v>
      </c>
      <c r="E1711" s="14" t="n">
        <v>7002.57</v>
      </c>
      <c r="F1711" s="14" t="n">
        <v>35012.85</v>
      </c>
      <c r="G1711" s="6" t="s">
        <v>15614</v>
      </c>
    </row>
    <row r="1712" customFormat="false" ht="15" hidden="false" customHeight="true" outlineLevel="0" collapsed="false">
      <c r="A1712" s="6" t="s">
        <v>17324</v>
      </c>
      <c r="B1712" s="6" t="s">
        <v>1237</v>
      </c>
      <c r="C1712" s="6" t="s">
        <v>120</v>
      </c>
      <c r="D1712" s="6" t="s">
        <v>44</v>
      </c>
      <c r="E1712" s="14" t="n">
        <v>407.93</v>
      </c>
      <c r="F1712" s="14" t="n">
        <v>407.93</v>
      </c>
      <c r="G1712" s="6" t="s">
        <v>15614</v>
      </c>
    </row>
    <row r="1713" customFormat="false" ht="15" hidden="false" customHeight="true" outlineLevel="0" collapsed="false">
      <c r="A1713" s="6" t="s">
        <v>17325</v>
      </c>
      <c r="B1713" s="6" t="s">
        <v>1237</v>
      </c>
      <c r="C1713" s="6" t="s">
        <v>120</v>
      </c>
      <c r="D1713" s="6" t="s">
        <v>45</v>
      </c>
      <c r="E1713" s="14" t="n">
        <v>407.93</v>
      </c>
      <c r="F1713" s="14" t="n">
        <v>815.86</v>
      </c>
      <c r="G1713" s="6" t="s">
        <v>15614</v>
      </c>
    </row>
    <row r="1714" customFormat="false" ht="15" hidden="false" customHeight="true" outlineLevel="0" collapsed="false">
      <c r="A1714" s="6" t="s">
        <v>17326</v>
      </c>
      <c r="B1714" s="6" t="s">
        <v>1237</v>
      </c>
      <c r="C1714" s="6" t="s">
        <v>120</v>
      </c>
      <c r="D1714" s="6" t="s">
        <v>46</v>
      </c>
      <c r="E1714" s="14" t="n">
        <v>407.93</v>
      </c>
      <c r="F1714" s="14" t="n">
        <v>1223.79</v>
      </c>
      <c r="G1714" s="6" t="s">
        <v>15614</v>
      </c>
    </row>
    <row r="1715" customFormat="false" ht="15" hidden="false" customHeight="true" outlineLevel="0" collapsed="false">
      <c r="A1715" s="6" t="s">
        <v>17327</v>
      </c>
      <c r="B1715" s="6" t="s">
        <v>1239</v>
      </c>
      <c r="C1715" s="6" t="s">
        <v>128</v>
      </c>
      <c r="D1715" s="6" t="s">
        <v>49</v>
      </c>
      <c r="E1715" s="14" t="n">
        <v>2309.8</v>
      </c>
      <c r="F1715" s="14" t="n">
        <v>2309.8</v>
      </c>
      <c r="G1715" s="6" t="s">
        <v>15614</v>
      </c>
    </row>
    <row r="1716" customFormat="false" ht="15" hidden="false" customHeight="true" outlineLevel="0" collapsed="false">
      <c r="A1716" s="6" t="s">
        <v>17328</v>
      </c>
      <c r="B1716" s="6" t="s">
        <v>1239</v>
      </c>
      <c r="C1716" s="6" t="s">
        <v>128</v>
      </c>
      <c r="D1716" s="6" t="s">
        <v>50</v>
      </c>
      <c r="E1716" s="14" t="n">
        <v>2309.8</v>
      </c>
      <c r="F1716" s="14" t="n">
        <v>4619.6</v>
      </c>
      <c r="G1716" s="6" t="s">
        <v>15614</v>
      </c>
    </row>
    <row r="1717" customFormat="false" ht="15" hidden="false" customHeight="true" outlineLevel="0" collapsed="false">
      <c r="A1717" s="6" t="s">
        <v>17329</v>
      </c>
      <c r="B1717" s="6" t="s">
        <v>1241</v>
      </c>
      <c r="C1717" s="6" t="s">
        <v>116</v>
      </c>
      <c r="D1717" s="6" t="s">
        <v>55</v>
      </c>
      <c r="E1717" s="14" t="n">
        <v>3924.84</v>
      </c>
      <c r="F1717" s="14" t="n">
        <v>3924.84</v>
      </c>
      <c r="G1717" s="6" t="s">
        <v>15614</v>
      </c>
    </row>
    <row r="1718" customFormat="false" ht="15" hidden="false" customHeight="true" outlineLevel="0" collapsed="false">
      <c r="A1718" s="6" t="s">
        <v>17330</v>
      </c>
      <c r="B1718" s="6" t="s">
        <v>1241</v>
      </c>
      <c r="C1718" s="6" t="s">
        <v>116</v>
      </c>
      <c r="D1718" s="6" t="s">
        <v>56</v>
      </c>
      <c r="E1718" s="14" t="n">
        <v>3924.84</v>
      </c>
      <c r="F1718" s="14" t="n">
        <v>7849.68</v>
      </c>
      <c r="G1718" s="6" t="s">
        <v>15614</v>
      </c>
    </row>
    <row r="1719" customFormat="false" ht="15" hidden="false" customHeight="true" outlineLevel="0" collapsed="false">
      <c r="A1719" s="6" t="s">
        <v>17331</v>
      </c>
      <c r="B1719" s="6" t="s">
        <v>1241</v>
      </c>
      <c r="C1719" s="6" t="s">
        <v>116</v>
      </c>
      <c r="D1719" s="6" t="s">
        <v>57</v>
      </c>
      <c r="E1719" s="14" t="n">
        <v>3924.84</v>
      </c>
      <c r="F1719" s="14" t="n">
        <v>11774.52</v>
      </c>
      <c r="G1719" s="6" t="s">
        <v>15614</v>
      </c>
    </row>
    <row r="1720" customFormat="false" ht="15" hidden="false" customHeight="true" outlineLevel="0" collapsed="false">
      <c r="A1720" s="6" t="s">
        <v>17332</v>
      </c>
      <c r="B1720" s="6" t="s">
        <v>1243</v>
      </c>
      <c r="C1720" s="6" t="s">
        <v>131</v>
      </c>
      <c r="D1720" s="6" t="s">
        <v>47</v>
      </c>
      <c r="E1720" s="14" t="n">
        <v>1135.06</v>
      </c>
      <c r="F1720" s="14" t="n">
        <v>1135.06</v>
      </c>
      <c r="G1720" s="6" t="s">
        <v>15614</v>
      </c>
    </row>
    <row r="1721" customFormat="false" ht="15" hidden="false" customHeight="true" outlineLevel="0" collapsed="false">
      <c r="A1721" s="6" t="s">
        <v>17333</v>
      </c>
      <c r="B1721" s="6" t="s">
        <v>1243</v>
      </c>
      <c r="C1721" s="6" t="s">
        <v>131</v>
      </c>
      <c r="D1721" s="6" t="s">
        <v>48</v>
      </c>
      <c r="E1721" s="14" t="n">
        <v>1135.06</v>
      </c>
      <c r="F1721" s="14" t="n">
        <v>2270.12</v>
      </c>
      <c r="G1721" s="6" t="s">
        <v>15614</v>
      </c>
    </row>
    <row r="1722" customFormat="false" ht="15" hidden="false" customHeight="true" outlineLevel="0" collapsed="false">
      <c r="A1722" s="6" t="s">
        <v>17334</v>
      </c>
      <c r="B1722" s="6" t="s">
        <v>1243</v>
      </c>
      <c r="C1722" s="6" t="s">
        <v>131</v>
      </c>
      <c r="D1722" s="6" t="s">
        <v>49</v>
      </c>
      <c r="E1722" s="14" t="n">
        <v>1135.06</v>
      </c>
      <c r="F1722" s="14" t="n">
        <v>3405.18</v>
      </c>
      <c r="G1722" s="6" t="s">
        <v>15614</v>
      </c>
    </row>
    <row r="1723" customFormat="false" ht="15" hidden="false" customHeight="true" outlineLevel="0" collapsed="false">
      <c r="A1723" s="6" t="s">
        <v>17335</v>
      </c>
      <c r="B1723" s="6" t="s">
        <v>1243</v>
      </c>
      <c r="C1723" s="6" t="s">
        <v>131</v>
      </c>
      <c r="D1723" s="6" t="s">
        <v>50</v>
      </c>
      <c r="E1723" s="14" t="n">
        <v>1135.06</v>
      </c>
      <c r="F1723" s="14" t="n">
        <v>4540.24</v>
      </c>
      <c r="G1723" s="6" t="s">
        <v>15614</v>
      </c>
    </row>
    <row r="1724" customFormat="false" ht="15" hidden="false" customHeight="true" outlineLevel="0" collapsed="false">
      <c r="A1724" s="6" t="s">
        <v>17336</v>
      </c>
      <c r="B1724" s="6" t="s">
        <v>1245</v>
      </c>
      <c r="C1724" s="6" t="s">
        <v>124</v>
      </c>
      <c r="D1724" s="6" t="s">
        <v>54</v>
      </c>
      <c r="E1724" s="14" t="n">
        <v>324.25</v>
      </c>
      <c r="F1724" s="14" t="n">
        <v>324.25</v>
      </c>
      <c r="G1724" s="6" t="s">
        <v>15614</v>
      </c>
    </row>
    <row r="1725" customFormat="false" ht="15" hidden="false" customHeight="true" outlineLevel="0" collapsed="false">
      <c r="A1725" s="6" t="s">
        <v>17337</v>
      </c>
      <c r="B1725" s="6" t="s">
        <v>1245</v>
      </c>
      <c r="C1725" s="6" t="s">
        <v>124</v>
      </c>
      <c r="D1725" s="6" t="s">
        <v>55</v>
      </c>
      <c r="E1725" s="14" t="n">
        <v>324.25</v>
      </c>
      <c r="F1725" s="14" t="n">
        <v>648.5</v>
      </c>
      <c r="G1725" s="6" t="s">
        <v>15614</v>
      </c>
    </row>
    <row r="1726" customFormat="false" ht="15" hidden="false" customHeight="true" outlineLevel="0" collapsed="false">
      <c r="A1726" s="6" t="s">
        <v>17338</v>
      </c>
      <c r="B1726" s="6" t="s">
        <v>1247</v>
      </c>
      <c r="C1726" s="6" t="s">
        <v>112</v>
      </c>
      <c r="D1726" s="6" t="s">
        <v>19</v>
      </c>
      <c r="E1726" s="14" t="n">
        <v>956.4</v>
      </c>
      <c r="F1726" s="14" t="n">
        <v>956.4</v>
      </c>
      <c r="G1726" s="6" t="s">
        <v>15614</v>
      </c>
    </row>
    <row r="1727" customFormat="false" ht="15" hidden="false" customHeight="true" outlineLevel="0" collapsed="false">
      <c r="A1727" s="6" t="s">
        <v>17339</v>
      </c>
      <c r="B1727" s="6" t="s">
        <v>1249</v>
      </c>
      <c r="C1727" s="6" t="s">
        <v>131</v>
      </c>
      <c r="D1727" s="6" t="s">
        <v>63</v>
      </c>
      <c r="E1727" s="14" t="n">
        <v>1228.2</v>
      </c>
      <c r="F1727" s="14" t="n">
        <v>1228.2</v>
      </c>
      <c r="G1727" s="6" t="s">
        <v>15614</v>
      </c>
    </row>
    <row r="1728" customFormat="false" ht="15" hidden="false" customHeight="true" outlineLevel="0" collapsed="false">
      <c r="A1728" s="6" t="s">
        <v>17340</v>
      </c>
      <c r="B1728" s="6" t="s">
        <v>1249</v>
      </c>
      <c r="C1728" s="6" t="s">
        <v>131</v>
      </c>
      <c r="D1728" s="6" t="s">
        <v>64</v>
      </c>
      <c r="E1728" s="14" t="n">
        <v>1228.2</v>
      </c>
      <c r="F1728" s="14" t="n">
        <v>2456.4</v>
      </c>
      <c r="G1728" s="6" t="s">
        <v>15614</v>
      </c>
    </row>
    <row r="1729" customFormat="false" ht="15" hidden="false" customHeight="true" outlineLevel="0" collapsed="false">
      <c r="A1729" s="6" t="s">
        <v>17341</v>
      </c>
      <c r="B1729" s="6" t="s">
        <v>1249</v>
      </c>
      <c r="C1729" s="6" t="s">
        <v>131</v>
      </c>
      <c r="D1729" s="6" t="s">
        <v>65</v>
      </c>
      <c r="E1729" s="14" t="n">
        <v>1228.2</v>
      </c>
      <c r="F1729" s="14" t="n">
        <v>3684.6</v>
      </c>
      <c r="G1729" s="6" t="s">
        <v>15614</v>
      </c>
    </row>
    <row r="1730" customFormat="false" ht="15" hidden="false" customHeight="true" outlineLevel="0" collapsed="false">
      <c r="A1730" s="6" t="s">
        <v>17342</v>
      </c>
      <c r="B1730" s="6" t="s">
        <v>1251</v>
      </c>
      <c r="C1730" s="6" t="s">
        <v>128</v>
      </c>
      <c r="D1730" s="6" t="s">
        <v>45</v>
      </c>
      <c r="E1730" s="14" t="n">
        <v>657.64</v>
      </c>
      <c r="F1730" s="14" t="n">
        <v>657.64</v>
      </c>
      <c r="G1730" s="6" t="s">
        <v>15614</v>
      </c>
    </row>
    <row r="1731" customFormat="false" ht="15" hidden="false" customHeight="true" outlineLevel="0" collapsed="false">
      <c r="A1731" s="6" t="s">
        <v>17343</v>
      </c>
      <c r="B1731" s="6" t="s">
        <v>1251</v>
      </c>
      <c r="C1731" s="6" t="s">
        <v>128</v>
      </c>
      <c r="D1731" s="6" t="s">
        <v>46</v>
      </c>
      <c r="E1731" s="14" t="n">
        <v>657.64</v>
      </c>
      <c r="F1731" s="14" t="n">
        <v>1315.28</v>
      </c>
      <c r="G1731" s="6" t="s">
        <v>15614</v>
      </c>
    </row>
    <row r="1732" customFormat="false" ht="15" hidden="false" customHeight="true" outlineLevel="0" collapsed="false">
      <c r="A1732" s="6" t="s">
        <v>17344</v>
      </c>
      <c r="B1732" s="6" t="s">
        <v>1251</v>
      </c>
      <c r="C1732" s="6" t="s">
        <v>128</v>
      </c>
      <c r="D1732" s="6" t="s">
        <v>47</v>
      </c>
      <c r="E1732" s="14" t="n">
        <v>657.64</v>
      </c>
      <c r="F1732" s="14" t="n">
        <v>1972.92</v>
      </c>
      <c r="G1732" s="6" t="s">
        <v>15614</v>
      </c>
    </row>
    <row r="1733" customFormat="false" ht="15" hidden="false" customHeight="true" outlineLevel="0" collapsed="false">
      <c r="A1733" s="6" t="s">
        <v>17345</v>
      </c>
      <c r="B1733" s="6" t="s">
        <v>1253</v>
      </c>
      <c r="C1733" s="6" t="s">
        <v>112</v>
      </c>
      <c r="D1733" s="6" t="s">
        <v>58</v>
      </c>
      <c r="E1733" s="14" t="n">
        <v>1346.81</v>
      </c>
      <c r="F1733" s="14" t="n">
        <v>1346.81</v>
      </c>
      <c r="G1733" s="6" t="s">
        <v>15614</v>
      </c>
    </row>
    <row r="1734" customFormat="false" ht="15" hidden="false" customHeight="true" outlineLevel="0" collapsed="false">
      <c r="A1734" s="6" t="s">
        <v>17346</v>
      </c>
      <c r="B1734" s="6" t="s">
        <v>1253</v>
      </c>
      <c r="C1734" s="6" t="s">
        <v>112</v>
      </c>
      <c r="D1734" s="6" t="s">
        <v>59</v>
      </c>
      <c r="E1734" s="14" t="n">
        <v>1346.81</v>
      </c>
      <c r="F1734" s="14" t="n">
        <v>2693.62</v>
      </c>
      <c r="G1734" s="6" t="s">
        <v>15614</v>
      </c>
    </row>
    <row r="1735" customFormat="false" ht="15" hidden="false" customHeight="true" outlineLevel="0" collapsed="false">
      <c r="A1735" s="6" t="s">
        <v>17347</v>
      </c>
      <c r="B1735" s="6" t="s">
        <v>1253</v>
      </c>
      <c r="C1735" s="6" t="s">
        <v>112</v>
      </c>
      <c r="D1735" s="6" t="s">
        <v>60</v>
      </c>
      <c r="E1735" s="14" t="n">
        <v>1346.81</v>
      </c>
      <c r="F1735" s="14" t="n">
        <v>4040.43</v>
      </c>
      <c r="G1735" s="6" t="s">
        <v>15614</v>
      </c>
    </row>
    <row r="1736" customFormat="false" ht="15" hidden="false" customHeight="true" outlineLevel="0" collapsed="false">
      <c r="A1736" s="6" t="s">
        <v>17348</v>
      </c>
      <c r="B1736" s="6" t="s">
        <v>1255</v>
      </c>
      <c r="C1736" s="6" t="s">
        <v>120</v>
      </c>
      <c r="D1736" s="6" t="s">
        <v>23</v>
      </c>
      <c r="E1736" s="14" t="n">
        <v>2807.26</v>
      </c>
      <c r="F1736" s="14" t="n">
        <v>2807.26</v>
      </c>
      <c r="G1736" s="6" t="s">
        <v>15614</v>
      </c>
    </row>
    <row r="1737" customFormat="false" ht="15" hidden="false" customHeight="true" outlineLevel="0" collapsed="false">
      <c r="A1737" s="6" t="s">
        <v>17349</v>
      </c>
      <c r="B1737" s="6" t="s">
        <v>1257</v>
      </c>
      <c r="C1737" s="6" t="s">
        <v>120</v>
      </c>
      <c r="D1737" s="6" t="s">
        <v>14</v>
      </c>
      <c r="E1737" s="14" t="n">
        <v>2255.47</v>
      </c>
      <c r="F1737" s="14" t="n">
        <v>2255.47</v>
      </c>
      <c r="G1737" s="6" t="s">
        <v>15614</v>
      </c>
    </row>
    <row r="1738" customFormat="false" ht="15" hidden="false" customHeight="true" outlineLevel="0" collapsed="false">
      <c r="A1738" s="6" t="s">
        <v>17350</v>
      </c>
      <c r="B1738" s="6" t="s">
        <v>1257</v>
      </c>
      <c r="C1738" s="6" t="s">
        <v>120</v>
      </c>
      <c r="D1738" s="6" t="s">
        <v>15</v>
      </c>
      <c r="E1738" s="14" t="n">
        <v>2255.47</v>
      </c>
      <c r="F1738" s="14" t="n">
        <v>4510.94</v>
      </c>
      <c r="G1738" s="6" t="s">
        <v>15614</v>
      </c>
    </row>
    <row r="1739" customFormat="false" ht="15" hidden="false" customHeight="true" outlineLevel="0" collapsed="false">
      <c r="A1739" s="6" t="s">
        <v>17351</v>
      </c>
      <c r="B1739" s="6" t="s">
        <v>1257</v>
      </c>
      <c r="C1739" s="6" t="s">
        <v>120</v>
      </c>
      <c r="D1739" s="6" t="s">
        <v>16</v>
      </c>
      <c r="E1739" s="14" t="n">
        <v>2255.47</v>
      </c>
      <c r="F1739" s="14" t="n">
        <v>6766.41</v>
      </c>
      <c r="G1739" s="6" t="s">
        <v>15614</v>
      </c>
    </row>
    <row r="1740" customFormat="false" ht="15" hidden="false" customHeight="true" outlineLevel="0" collapsed="false">
      <c r="A1740" s="6" t="s">
        <v>17352</v>
      </c>
      <c r="B1740" s="6" t="s">
        <v>1257</v>
      </c>
      <c r="C1740" s="6" t="s">
        <v>120</v>
      </c>
      <c r="D1740" s="6" t="s">
        <v>17</v>
      </c>
      <c r="E1740" s="14" t="n">
        <v>2255.47</v>
      </c>
      <c r="F1740" s="14" t="n">
        <v>9021.88</v>
      </c>
      <c r="G1740" s="6" t="s">
        <v>15614</v>
      </c>
    </row>
    <row r="1741" customFormat="false" ht="15" hidden="false" customHeight="true" outlineLevel="0" collapsed="false">
      <c r="A1741" s="6" t="s">
        <v>17353</v>
      </c>
      <c r="B1741" s="6" t="s">
        <v>1257</v>
      </c>
      <c r="C1741" s="6" t="s">
        <v>120</v>
      </c>
      <c r="D1741" s="6" t="s">
        <v>18</v>
      </c>
      <c r="E1741" s="14" t="n">
        <v>2255.47</v>
      </c>
      <c r="F1741" s="14" t="n">
        <v>11277.35</v>
      </c>
      <c r="G1741" s="6" t="s">
        <v>15614</v>
      </c>
    </row>
    <row r="1742" customFormat="false" ht="15" hidden="false" customHeight="true" outlineLevel="0" collapsed="false">
      <c r="A1742" s="6" t="s">
        <v>17354</v>
      </c>
      <c r="B1742" s="6" t="s">
        <v>1257</v>
      </c>
      <c r="C1742" s="6" t="s">
        <v>120</v>
      </c>
      <c r="D1742" s="6" t="s">
        <v>19</v>
      </c>
      <c r="E1742" s="14" t="n">
        <v>2255.47</v>
      </c>
      <c r="F1742" s="14" t="n">
        <v>13532.82</v>
      </c>
      <c r="G1742" s="6" t="s">
        <v>15614</v>
      </c>
    </row>
    <row r="1743" customFormat="false" ht="15" hidden="false" customHeight="true" outlineLevel="0" collapsed="false">
      <c r="A1743" s="6" t="s">
        <v>17355</v>
      </c>
      <c r="B1743" s="6" t="s">
        <v>1257</v>
      </c>
      <c r="C1743" s="6" t="s">
        <v>120</v>
      </c>
      <c r="D1743" s="6" t="s">
        <v>20</v>
      </c>
      <c r="E1743" s="14" t="n">
        <v>2255.47</v>
      </c>
      <c r="F1743" s="14" t="n">
        <v>15788.29</v>
      </c>
      <c r="G1743" s="6" t="s">
        <v>15614</v>
      </c>
    </row>
    <row r="1744" customFormat="false" ht="15" hidden="false" customHeight="true" outlineLevel="0" collapsed="false">
      <c r="A1744" s="6" t="s">
        <v>17356</v>
      </c>
      <c r="B1744" s="6" t="s">
        <v>1259</v>
      </c>
      <c r="C1744" s="6" t="s">
        <v>116</v>
      </c>
      <c r="D1744" s="6" t="s">
        <v>17</v>
      </c>
      <c r="E1744" s="14" t="n">
        <v>537.93</v>
      </c>
      <c r="F1744" s="14" t="n">
        <v>537.93</v>
      </c>
      <c r="G1744" s="6" t="s">
        <v>15614</v>
      </c>
    </row>
    <row r="1745" customFormat="false" ht="15" hidden="false" customHeight="true" outlineLevel="0" collapsed="false">
      <c r="A1745" s="6" t="s">
        <v>17357</v>
      </c>
      <c r="B1745" s="6" t="s">
        <v>1259</v>
      </c>
      <c r="C1745" s="6" t="s">
        <v>116</v>
      </c>
      <c r="D1745" s="6" t="s">
        <v>18</v>
      </c>
      <c r="E1745" s="14" t="n">
        <v>537.93</v>
      </c>
      <c r="F1745" s="14" t="n">
        <v>1075.86</v>
      </c>
      <c r="G1745" s="6" t="s">
        <v>15614</v>
      </c>
    </row>
    <row r="1746" customFormat="false" ht="15" hidden="false" customHeight="true" outlineLevel="0" collapsed="false">
      <c r="A1746" s="6" t="s">
        <v>17358</v>
      </c>
      <c r="B1746" s="6" t="s">
        <v>1259</v>
      </c>
      <c r="C1746" s="6" t="s">
        <v>116</v>
      </c>
      <c r="D1746" s="6" t="s">
        <v>19</v>
      </c>
      <c r="E1746" s="14" t="n">
        <v>537.93</v>
      </c>
      <c r="F1746" s="14" t="n">
        <v>1613.79</v>
      </c>
      <c r="G1746" s="6" t="s">
        <v>15614</v>
      </c>
    </row>
    <row r="1747" customFormat="false" ht="15" hidden="false" customHeight="true" outlineLevel="0" collapsed="false">
      <c r="A1747" s="6" t="s">
        <v>17359</v>
      </c>
      <c r="B1747" s="6" t="s">
        <v>1261</v>
      </c>
      <c r="C1747" s="6" t="s">
        <v>124</v>
      </c>
      <c r="D1747" s="6" t="s">
        <v>25</v>
      </c>
      <c r="E1747" s="14" t="n">
        <v>3218.02</v>
      </c>
      <c r="F1747" s="14" t="n">
        <v>3218.02</v>
      </c>
      <c r="G1747" s="6" t="s">
        <v>15614</v>
      </c>
    </row>
    <row r="1748" customFormat="false" ht="15" hidden="false" customHeight="true" outlineLevel="0" collapsed="false">
      <c r="A1748" s="6" t="s">
        <v>17360</v>
      </c>
      <c r="B1748" s="6" t="s">
        <v>1261</v>
      </c>
      <c r="C1748" s="6" t="s">
        <v>124</v>
      </c>
      <c r="D1748" s="6" t="s">
        <v>26</v>
      </c>
      <c r="E1748" s="14" t="n">
        <v>3218.02</v>
      </c>
      <c r="F1748" s="14" t="n">
        <v>6436.04</v>
      </c>
      <c r="G1748" s="6" t="s">
        <v>15614</v>
      </c>
    </row>
    <row r="1749" customFormat="false" ht="15" hidden="false" customHeight="true" outlineLevel="0" collapsed="false">
      <c r="A1749" s="6" t="s">
        <v>17361</v>
      </c>
      <c r="B1749" s="6" t="s">
        <v>1261</v>
      </c>
      <c r="C1749" s="6" t="s">
        <v>124</v>
      </c>
      <c r="D1749" s="6" t="s">
        <v>27</v>
      </c>
      <c r="E1749" s="14" t="n">
        <v>3218.02</v>
      </c>
      <c r="F1749" s="14" t="n">
        <v>9654.06</v>
      </c>
      <c r="G1749" s="6" t="s">
        <v>15614</v>
      </c>
    </row>
    <row r="1750" customFormat="false" ht="15" hidden="false" customHeight="true" outlineLevel="0" collapsed="false">
      <c r="A1750" s="6" t="s">
        <v>17362</v>
      </c>
      <c r="B1750" s="6" t="s">
        <v>1263</v>
      </c>
      <c r="C1750" s="6" t="s">
        <v>124</v>
      </c>
      <c r="D1750" s="6" t="s">
        <v>48</v>
      </c>
      <c r="E1750" s="14" t="n">
        <v>1801.18</v>
      </c>
      <c r="F1750" s="14" t="n">
        <v>1801.18</v>
      </c>
      <c r="G1750" s="6" t="s">
        <v>15614</v>
      </c>
    </row>
    <row r="1751" customFormat="false" ht="15" hidden="false" customHeight="true" outlineLevel="0" collapsed="false">
      <c r="A1751" s="6" t="s">
        <v>17363</v>
      </c>
      <c r="B1751" s="6" t="s">
        <v>1263</v>
      </c>
      <c r="C1751" s="6" t="s">
        <v>124</v>
      </c>
      <c r="D1751" s="6" t="s">
        <v>49</v>
      </c>
      <c r="E1751" s="14" t="n">
        <v>1801.18</v>
      </c>
      <c r="F1751" s="14" t="n">
        <v>3602.36</v>
      </c>
      <c r="G1751" s="6" t="s">
        <v>15614</v>
      </c>
    </row>
    <row r="1752" customFormat="false" ht="15" hidden="false" customHeight="true" outlineLevel="0" collapsed="false">
      <c r="A1752" s="6" t="s">
        <v>17364</v>
      </c>
      <c r="B1752" s="6" t="s">
        <v>1263</v>
      </c>
      <c r="C1752" s="6" t="s">
        <v>124</v>
      </c>
      <c r="D1752" s="6" t="s">
        <v>50</v>
      </c>
      <c r="E1752" s="14" t="n">
        <v>1801.18</v>
      </c>
      <c r="F1752" s="14" t="n">
        <v>5403.54</v>
      </c>
      <c r="G1752" s="6" t="s">
        <v>15614</v>
      </c>
    </row>
    <row r="1753" customFormat="false" ht="15" hidden="false" customHeight="true" outlineLevel="0" collapsed="false">
      <c r="A1753" s="6" t="s">
        <v>17365</v>
      </c>
      <c r="B1753" s="6" t="s">
        <v>1265</v>
      </c>
      <c r="C1753" s="6" t="s">
        <v>120</v>
      </c>
      <c r="D1753" s="6" t="s">
        <v>49</v>
      </c>
      <c r="E1753" s="14" t="n">
        <v>325.13</v>
      </c>
      <c r="F1753" s="14" t="n">
        <v>325.13</v>
      </c>
      <c r="G1753" s="6" t="s">
        <v>15614</v>
      </c>
    </row>
    <row r="1754" customFormat="false" ht="15" hidden="false" customHeight="true" outlineLevel="0" collapsed="false">
      <c r="A1754" s="6" t="s">
        <v>17366</v>
      </c>
      <c r="B1754" s="6" t="s">
        <v>1265</v>
      </c>
      <c r="C1754" s="6" t="s">
        <v>120</v>
      </c>
      <c r="D1754" s="6" t="s">
        <v>50</v>
      </c>
      <c r="E1754" s="14" t="n">
        <v>325.13</v>
      </c>
      <c r="F1754" s="14" t="n">
        <v>650.26</v>
      </c>
      <c r="G1754" s="6" t="s">
        <v>15614</v>
      </c>
    </row>
    <row r="1755" customFormat="false" ht="15" hidden="false" customHeight="true" outlineLevel="0" collapsed="false">
      <c r="A1755" s="6" t="s">
        <v>17367</v>
      </c>
      <c r="B1755" s="6" t="s">
        <v>1267</v>
      </c>
      <c r="C1755" s="6" t="s">
        <v>120</v>
      </c>
      <c r="D1755" s="6" t="s">
        <v>16</v>
      </c>
      <c r="E1755" s="14" t="n">
        <v>652.91</v>
      </c>
      <c r="F1755" s="14" t="n">
        <v>652.91</v>
      </c>
      <c r="G1755" s="6" t="s">
        <v>15614</v>
      </c>
    </row>
    <row r="1756" customFormat="false" ht="15" hidden="false" customHeight="true" outlineLevel="0" collapsed="false">
      <c r="A1756" s="6" t="s">
        <v>17368</v>
      </c>
      <c r="B1756" s="6" t="s">
        <v>1267</v>
      </c>
      <c r="C1756" s="6" t="s">
        <v>120</v>
      </c>
      <c r="D1756" s="6" t="s">
        <v>17</v>
      </c>
      <c r="E1756" s="14" t="n">
        <v>652.91</v>
      </c>
      <c r="F1756" s="14" t="n">
        <v>1305.82</v>
      </c>
      <c r="G1756" s="6" t="s">
        <v>15614</v>
      </c>
    </row>
    <row r="1757" customFormat="false" ht="15" hidden="false" customHeight="true" outlineLevel="0" collapsed="false">
      <c r="A1757" s="6" t="s">
        <v>17369</v>
      </c>
      <c r="B1757" s="6" t="s">
        <v>1267</v>
      </c>
      <c r="C1757" s="6" t="s">
        <v>120</v>
      </c>
      <c r="D1757" s="6" t="s">
        <v>18</v>
      </c>
      <c r="E1757" s="14" t="n">
        <v>652.91</v>
      </c>
      <c r="F1757" s="14" t="n">
        <v>1958.73</v>
      </c>
      <c r="G1757" s="6" t="s">
        <v>15614</v>
      </c>
    </row>
    <row r="1758" customFormat="false" ht="15" hidden="false" customHeight="true" outlineLevel="0" collapsed="false">
      <c r="A1758" s="6" t="s">
        <v>17370</v>
      </c>
      <c r="B1758" s="6" t="s">
        <v>1267</v>
      </c>
      <c r="C1758" s="6" t="s">
        <v>120</v>
      </c>
      <c r="D1758" s="6" t="s">
        <v>19</v>
      </c>
      <c r="E1758" s="14" t="n">
        <v>652.91</v>
      </c>
      <c r="F1758" s="14" t="n">
        <v>2611.64</v>
      </c>
      <c r="G1758" s="6" t="s">
        <v>15614</v>
      </c>
    </row>
    <row r="1759" customFormat="false" ht="15" hidden="false" customHeight="true" outlineLevel="0" collapsed="false">
      <c r="A1759" s="6" t="s">
        <v>17371</v>
      </c>
      <c r="B1759" s="6" t="s">
        <v>1269</v>
      </c>
      <c r="C1759" s="6" t="s">
        <v>120</v>
      </c>
      <c r="D1759" s="6" t="s">
        <v>51</v>
      </c>
      <c r="E1759" s="14" t="n">
        <v>169</v>
      </c>
      <c r="F1759" s="14" t="n">
        <v>169</v>
      </c>
      <c r="G1759" s="6" t="s">
        <v>15614</v>
      </c>
    </row>
    <row r="1760" customFormat="false" ht="15" hidden="false" customHeight="true" outlineLevel="0" collapsed="false">
      <c r="A1760" s="6" t="s">
        <v>17372</v>
      </c>
      <c r="B1760" s="6" t="s">
        <v>1269</v>
      </c>
      <c r="C1760" s="6" t="s">
        <v>120</v>
      </c>
      <c r="D1760" s="6" t="s">
        <v>52</v>
      </c>
      <c r="E1760" s="14" t="n">
        <v>169</v>
      </c>
      <c r="F1760" s="14" t="n">
        <v>338</v>
      </c>
      <c r="G1760" s="6" t="s">
        <v>15614</v>
      </c>
    </row>
    <row r="1761" customFormat="false" ht="15" hidden="false" customHeight="true" outlineLevel="0" collapsed="false">
      <c r="A1761" s="6" t="s">
        <v>17373</v>
      </c>
      <c r="B1761" s="6" t="s">
        <v>1271</v>
      </c>
      <c r="C1761" s="6" t="s">
        <v>112</v>
      </c>
      <c r="D1761" s="6" t="s">
        <v>63</v>
      </c>
      <c r="E1761" s="14" t="n">
        <v>2678.67</v>
      </c>
      <c r="F1761" s="14" t="n">
        <v>2678.67</v>
      </c>
      <c r="G1761" s="6" t="s">
        <v>15614</v>
      </c>
    </row>
    <row r="1762" customFormat="false" ht="15" hidden="false" customHeight="true" outlineLevel="0" collapsed="false">
      <c r="A1762" s="6" t="s">
        <v>17374</v>
      </c>
      <c r="B1762" s="6" t="s">
        <v>1271</v>
      </c>
      <c r="C1762" s="6" t="s">
        <v>112</v>
      </c>
      <c r="D1762" s="6" t="s">
        <v>64</v>
      </c>
      <c r="E1762" s="14" t="n">
        <v>2678.67</v>
      </c>
      <c r="F1762" s="14" t="n">
        <v>5357.34</v>
      </c>
      <c r="G1762" s="6" t="s">
        <v>15614</v>
      </c>
    </row>
    <row r="1763" customFormat="false" ht="15" hidden="false" customHeight="true" outlineLevel="0" collapsed="false">
      <c r="A1763" s="6" t="s">
        <v>17375</v>
      </c>
      <c r="B1763" s="6" t="s">
        <v>1271</v>
      </c>
      <c r="C1763" s="6" t="s">
        <v>112</v>
      </c>
      <c r="D1763" s="6" t="s">
        <v>65</v>
      </c>
      <c r="E1763" s="14" t="n">
        <v>2678.67</v>
      </c>
      <c r="F1763" s="14" t="n">
        <v>8036.01</v>
      </c>
      <c r="G1763" s="6" t="s">
        <v>15614</v>
      </c>
    </row>
    <row r="1764" customFormat="false" ht="15" hidden="false" customHeight="true" outlineLevel="0" collapsed="false">
      <c r="A1764" s="6" t="s">
        <v>17376</v>
      </c>
      <c r="B1764" s="6" t="s">
        <v>1273</v>
      </c>
      <c r="C1764" s="6" t="s">
        <v>112</v>
      </c>
      <c r="D1764" s="6" t="s">
        <v>11</v>
      </c>
      <c r="E1764" s="14" t="n">
        <v>1758.48</v>
      </c>
      <c r="F1764" s="14" t="n">
        <v>1758.48</v>
      </c>
      <c r="G1764" s="6" t="s">
        <v>15614</v>
      </c>
    </row>
    <row r="1765" customFormat="false" ht="15" hidden="false" customHeight="true" outlineLevel="0" collapsed="false">
      <c r="A1765" s="6" t="s">
        <v>17377</v>
      </c>
      <c r="B1765" s="6" t="s">
        <v>1273</v>
      </c>
      <c r="C1765" s="6" t="s">
        <v>112</v>
      </c>
      <c r="D1765" s="6" t="s">
        <v>12</v>
      </c>
      <c r="E1765" s="14" t="n">
        <v>1758.48</v>
      </c>
      <c r="F1765" s="14" t="n">
        <v>3516.96</v>
      </c>
      <c r="G1765" s="6" t="s">
        <v>15614</v>
      </c>
    </row>
    <row r="1766" customFormat="false" ht="15" hidden="false" customHeight="true" outlineLevel="0" collapsed="false">
      <c r="A1766" s="6" t="s">
        <v>17378</v>
      </c>
      <c r="B1766" s="6" t="s">
        <v>1275</v>
      </c>
      <c r="C1766" s="6" t="s">
        <v>116</v>
      </c>
      <c r="D1766" s="6" t="s">
        <v>13</v>
      </c>
      <c r="E1766" s="14" t="n">
        <v>2315.04</v>
      </c>
      <c r="F1766" s="14" t="n">
        <v>2315.04</v>
      </c>
      <c r="G1766" s="6" t="s">
        <v>15614</v>
      </c>
    </row>
    <row r="1767" customFormat="false" ht="15" hidden="false" customHeight="true" outlineLevel="0" collapsed="false">
      <c r="A1767" s="6" t="s">
        <v>17379</v>
      </c>
      <c r="B1767" s="6" t="s">
        <v>1275</v>
      </c>
      <c r="C1767" s="6" t="s">
        <v>116</v>
      </c>
      <c r="D1767" s="6" t="s">
        <v>14</v>
      </c>
      <c r="E1767" s="14" t="n">
        <v>2315.04</v>
      </c>
      <c r="F1767" s="14" t="n">
        <v>4630.08</v>
      </c>
      <c r="G1767" s="6" t="s">
        <v>15614</v>
      </c>
    </row>
    <row r="1768" customFormat="false" ht="15" hidden="false" customHeight="true" outlineLevel="0" collapsed="false">
      <c r="A1768" s="6" t="s">
        <v>17380</v>
      </c>
      <c r="B1768" s="6" t="s">
        <v>1277</v>
      </c>
      <c r="C1768" s="6" t="s">
        <v>131</v>
      </c>
      <c r="D1768" s="6" t="s">
        <v>43</v>
      </c>
      <c r="E1768" s="14" t="n">
        <v>1253.12</v>
      </c>
      <c r="F1768" s="14" t="n">
        <v>1253.12</v>
      </c>
      <c r="G1768" s="6" t="s">
        <v>15614</v>
      </c>
    </row>
    <row r="1769" customFormat="false" ht="15" hidden="false" customHeight="true" outlineLevel="0" collapsed="false">
      <c r="A1769" s="6" t="s">
        <v>17381</v>
      </c>
      <c r="B1769" s="6" t="s">
        <v>1277</v>
      </c>
      <c r="C1769" s="6" t="s">
        <v>131</v>
      </c>
      <c r="D1769" s="6" t="s">
        <v>44</v>
      </c>
      <c r="E1769" s="14" t="n">
        <v>1253.12</v>
      </c>
      <c r="F1769" s="14" t="n">
        <v>2506.24</v>
      </c>
      <c r="G1769" s="6" t="s">
        <v>15614</v>
      </c>
    </row>
    <row r="1770" customFormat="false" ht="15" hidden="false" customHeight="true" outlineLevel="0" collapsed="false">
      <c r="A1770" s="6" t="s">
        <v>17382</v>
      </c>
      <c r="B1770" s="6" t="s">
        <v>1279</v>
      </c>
      <c r="C1770" s="6" t="s">
        <v>112</v>
      </c>
      <c r="D1770" s="6" t="s">
        <v>62</v>
      </c>
      <c r="E1770" s="14" t="n">
        <v>3349.53</v>
      </c>
      <c r="F1770" s="14" t="n">
        <v>3349.53</v>
      </c>
      <c r="G1770" s="6" t="s">
        <v>15614</v>
      </c>
    </row>
    <row r="1771" customFormat="false" ht="15" hidden="false" customHeight="true" outlineLevel="0" collapsed="false">
      <c r="A1771" s="6" t="s">
        <v>17383</v>
      </c>
      <c r="B1771" s="6" t="s">
        <v>1279</v>
      </c>
      <c r="C1771" s="6" t="s">
        <v>112</v>
      </c>
      <c r="D1771" s="6" t="s">
        <v>63</v>
      </c>
      <c r="E1771" s="14" t="n">
        <v>3349.53</v>
      </c>
      <c r="F1771" s="14" t="n">
        <v>6699.06</v>
      </c>
      <c r="G1771" s="6" t="s">
        <v>15614</v>
      </c>
    </row>
    <row r="1772" customFormat="false" ht="15" hidden="false" customHeight="true" outlineLevel="0" collapsed="false">
      <c r="A1772" s="6" t="s">
        <v>17384</v>
      </c>
      <c r="B1772" s="6" t="s">
        <v>1281</v>
      </c>
      <c r="C1772" s="6" t="s">
        <v>112</v>
      </c>
      <c r="D1772" s="6" t="s">
        <v>32</v>
      </c>
      <c r="E1772" s="14" t="n">
        <v>1585.58</v>
      </c>
      <c r="F1772" s="14" t="n">
        <v>1585.58</v>
      </c>
      <c r="G1772" s="6" t="s">
        <v>15614</v>
      </c>
    </row>
    <row r="1773" customFormat="false" ht="15" hidden="false" customHeight="true" outlineLevel="0" collapsed="false">
      <c r="A1773" s="6" t="s">
        <v>17385</v>
      </c>
      <c r="B1773" s="6" t="s">
        <v>1281</v>
      </c>
      <c r="C1773" s="6" t="s">
        <v>112</v>
      </c>
      <c r="D1773" s="6" t="s">
        <v>33</v>
      </c>
      <c r="E1773" s="14" t="n">
        <v>1585.58</v>
      </c>
      <c r="F1773" s="14" t="n">
        <v>3171.16</v>
      </c>
      <c r="G1773" s="6" t="s">
        <v>15614</v>
      </c>
    </row>
    <row r="1774" customFormat="false" ht="15" hidden="false" customHeight="true" outlineLevel="0" collapsed="false">
      <c r="A1774" s="6" t="s">
        <v>17386</v>
      </c>
      <c r="B1774" s="6" t="s">
        <v>1283</v>
      </c>
      <c r="C1774" s="6" t="s">
        <v>116</v>
      </c>
      <c r="D1774" s="6" t="s">
        <v>19</v>
      </c>
      <c r="E1774" s="14" t="n">
        <v>2744.84</v>
      </c>
      <c r="F1774" s="14" t="n">
        <v>2744.84</v>
      </c>
      <c r="G1774" s="6" t="s">
        <v>15614</v>
      </c>
    </row>
    <row r="1775" customFormat="false" ht="15" hidden="false" customHeight="true" outlineLevel="0" collapsed="false">
      <c r="A1775" s="6" t="s">
        <v>17387</v>
      </c>
      <c r="B1775" s="6" t="s">
        <v>1283</v>
      </c>
      <c r="C1775" s="6" t="s">
        <v>116</v>
      </c>
      <c r="D1775" s="6" t="s">
        <v>20</v>
      </c>
      <c r="E1775" s="14" t="n">
        <v>2744.84</v>
      </c>
      <c r="F1775" s="14" t="n">
        <v>5489.68</v>
      </c>
      <c r="G1775" s="6" t="s">
        <v>15614</v>
      </c>
    </row>
    <row r="1776" customFormat="false" ht="15" hidden="false" customHeight="true" outlineLevel="0" collapsed="false">
      <c r="A1776" s="6" t="s">
        <v>17388</v>
      </c>
      <c r="B1776" s="6" t="s">
        <v>1285</v>
      </c>
      <c r="C1776" s="6" t="s">
        <v>120</v>
      </c>
      <c r="D1776" s="6" t="s">
        <v>47</v>
      </c>
      <c r="E1776" s="14" t="n">
        <v>2577.91</v>
      </c>
      <c r="F1776" s="14" t="n">
        <v>2577.91</v>
      </c>
      <c r="G1776" s="6" t="s">
        <v>15614</v>
      </c>
    </row>
    <row r="1777" customFormat="false" ht="15" hidden="false" customHeight="true" outlineLevel="0" collapsed="false">
      <c r="A1777" s="6" t="s">
        <v>17389</v>
      </c>
      <c r="B1777" s="6" t="s">
        <v>1285</v>
      </c>
      <c r="C1777" s="6" t="s">
        <v>120</v>
      </c>
      <c r="D1777" s="6" t="s">
        <v>48</v>
      </c>
      <c r="E1777" s="14" t="n">
        <v>2577.91</v>
      </c>
      <c r="F1777" s="14" t="n">
        <v>5155.82</v>
      </c>
      <c r="G1777" s="6" t="s">
        <v>15614</v>
      </c>
    </row>
    <row r="1778" customFormat="false" ht="15" hidden="false" customHeight="true" outlineLevel="0" collapsed="false">
      <c r="A1778" s="6" t="s">
        <v>17390</v>
      </c>
      <c r="B1778" s="6" t="s">
        <v>1285</v>
      </c>
      <c r="C1778" s="6" t="s">
        <v>120</v>
      </c>
      <c r="D1778" s="6" t="s">
        <v>49</v>
      </c>
      <c r="E1778" s="14" t="n">
        <v>2577.91</v>
      </c>
      <c r="F1778" s="14" t="n">
        <v>7733.73</v>
      </c>
      <c r="G1778" s="6" t="s">
        <v>15614</v>
      </c>
    </row>
    <row r="1779" customFormat="false" ht="15" hidden="false" customHeight="true" outlineLevel="0" collapsed="false">
      <c r="A1779" s="6" t="s">
        <v>17391</v>
      </c>
      <c r="B1779" s="6" t="s">
        <v>1287</v>
      </c>
      <c r="C1779" s="6" t="s">
        <v>112</v>
      </c>
      <c r="D1779" s="6" t="s">
        <v>48</v>
      </c>
      <c r="E1779" s="14" t="n">
        <v>1494.57</v>
      </c>
      <c r="F1779" s="14" t="n">
        <v>1494.57</v>
      </c>
      <c r="G1779" s="6" t="s">
        <v>15614</v>
      </c>
    </row>
    <row r="1780" customFormat="false" ht="15" hidden="false" customHeight="true" outlineLevel="0" collapsed="false">
      <c r="A1780" s="6" t="s">
        <v>17392</v>
      </c>
      <c r="B1780" s="6" t="s">
        <v>1287</v>
      </c>
      <c r="C1780" s="6" t="s">
        <v>112</v>
      </c>
      <c r="D1780" s="6" t="s">
        <v>49</v>
      </c>
      <c r="E1780" s="14" t="n">
        <v>1494.57</v>
      </c>
      <c r="F1780" s="14" t="n">
        <v>2989.14</v>
      </c>
      <c r="G1780" s="6" t="s">
        <v>15614</v>
      </c>
    </row>
    <row r="1781" customFormat="false" ht="15" hidden="false" customHeight="true" outlineLevel="0" collapsed="false">
      <c r="A1781" s="6" t="s">
        <v>17393</v>
      </c>
      <c r="B1781" s="6" t="s">
        <v>1289</v>
      </c>
      <c r="C1781" s="6" t="s">
        <v>128</v>
      </c>
      <c r="D1781" s="6" t="s">
        <v>37</v>
      </c>
      <c r="E1781" s="14" t="n">
        <v>2041.02</v>
      </c>
      <c r="F1781" s="14" t="n">
        <v>2041.02</v>
      </c>
      <c r="G1781" s="6" t="s">
        <v>15614</v>
      </c>
    </row>
    <row r="1782" customFormat="false" ht="15" hidden="false" customHeight="true" outlineLevel="0" collapsed="false">
      <c r="A1782" s="6" t="s">
        <v>17394</v>
      </c>
      <c r="B1782" s="6" t="s">
        <v>1291</v>
      </c>
      <c r="C1782" s="6" t="s">
        <v>116</v>
      </c>
      <c r="D1782" s="6" t="s">
        <v>54</v>
      </c>
      <c r="E1782" s="14" t="n">
        <v>1369.44</v>
      </c>
      <c r="F1782" s="14" t="n">
        <v>1369.44</v>
      </c>
      <c r="G1782" s="6" t="s">
        <v>15614</v>
      </c>
    </row>
    <row r="1783" customFormat="false" ht="15" hidden="false" customHeight="true" outlineLevel="0" collapsed="false">
      <c r="A1783" s="6" t="s">
        <v>17395</v>
      </c>
      <c r="B1783" s="6" t="s">
        <v>1291</v>
      </c>
      <c r="C1783" s="6" t="s">
        <v>116</v>
      </c>
      <c r="D1783" s="6" t="s">
        <v>55</v>
      </c>
      <c r="E1783" s="14" t="n">
        <v>1369.44</v>
      </c>
      <c r="F1783" s="14" t="n">
        <v>2738.88</v>
      </c>
      <c r="G1783" s="6" t="s">
        <v>15614</v>
      </c>
    </row>
    <row r="1784" customFormat="false" ht="15" hidden="false" customHeight="true" outlineLevel="0" collapsed="false">
      <c r="A1784" s="6" t="s">
        <v>17396</v>
      </c>
      <c r="B1784" s="6" t="s">
        <v>1291</v>
      </c>
      <c r="C1784" s="6" t="s">
        <v>116</v>
      </c>
      <c r="D1784" s="6" t="s">
        <v>56</v>
      </c>
      <c r="E1784" s="14" t="n">
        <v>1369.44</v>
      </c>
      <c r="F1784" s="14" t="n">
        <v>4108.32</v>
      </c>
      <c r="G1784" s="6" t="s">
        <v>15614</v>
      </c>
    </row>
    <row r="1785" customFormat="false" ht="15" hidden="false" customHeight="true" outlineLevel="0" collapsed="false">
      <c r="A1785" s="6" t="s">
        <v>17397</v>
      </c>
      <c r="B1785" s="6" t="s">
        <v>1293</v>
      </c>
      <c r="C1785" s="6" t="s">
        <v>116</v>
      </c>
      <c r="D1785" s="6" t="s">
        <v>41</v>
      </c>
      <c r="E1785" s="14" t="n">
        <v>1713.26</v>
      </c>
      <c r="F1785" s="14" t="n">
        <v>1713.26</v>
      </c>
      <c r="G1785" s="6" t="s">
        <v>15614</v>
      </c>
    </row>
    <row r="1786" customFormat="false" ht="15" hidden="false" customHeight="true" outlineLevel="0" collapsed="false">
      <c r="A1786" s="6" t="s">
        <v>17398</v>
      </c>
      <c r="B1786" s="6" t="s">
        <v>1293</v>
      </c>
      <c r="C1786" s="6" t="s">
        <v>116</v>
      </c>
      <c r="D1786" s="6" t="s">
        <v>42</v>
      </c>
      <c r="E1786" s="14" t="n">
        <v>1713.26</v>
      </c>
      <c r="F1786" s="14" t="n">
        <v>3426.52</v>
      </c>
      <c r="G1786" s="6" t="s">
        <v>15614</v>
      </c>
    </row>
    <row r="1787" customFormat="false" ht="15" hidden="false" customHeight="true" outlineLevel="0" collapsed="false">
      <c r="A1787" s="6" t="s">
        <v>17399</v>
      </c>
      <c r="B1787" s="6" t="s">
        <v>1295</v>
      </c>
      <c r="C1787" s="6" t="s">
        <v>116</v>
      </c>
      <c r="D1787" s="6" t="s">
        <v>55</v>
      </c>
      <c r="E1787" s="14" t="n">
        <v>2166.91</v>
      </c>
      <c r="F1787" s="14" t="n">
        <v>2166.91</v>
      </c>
      <c r="G1787" s="6" t="s">
        <v>15614</v>
      </c>
    </row>
    <row r="1788" customFormat="false" ht="15" hidden="false" customHeight="true" outlineLevel="0" collapsed="false">
      <c r="A1788" s="6" t="s">
        <v>17400</v>
      </c>
      <c r="B1788" s="6" t="s">
        <v>1295</v>
      </c>
      <c r="C1788" s="6" t="s">
        <v>116</v>
      </c>
      <c r="D1788" s="6" t="s">
        <v>56</v>
      </c>
      <c r="E1788" s="14" t="n">
        <v>2166.91</v>
      </c>
      <c r="F1788" s="14" t="n">
        <v>4333.82</v>
      </c>
      <c r="G1788" s="6" t="s">
        <v>15614</v>
      </c>
    </row>
    <row r="1789" customFormat="false" ht="15" hidden="false" customHeight="true" outlineLevel="0" collapsed="false">
      <c r="A1789" s="6" t="s">
        <v>17401</v>
      </c>
      <c r="B1789" s="6" t="s">
        <v>1295</v>
      </c>
      <c r="C1789" s="6" t="s">
        <v>116</v>
      </c>
      <c r="D1789" s="6" t="s">
        <v>56</v>
      </c>
      <c r="E1789" s="14" t="n">
        <v>2166.91</v>
      </c>
      <c r="F1789" s="14" t="n">
        <v>6500.73</v>
      </c>
      <c r="G1789" s="6" t="s">
        <v>15614</v>
      </c>
    </row>
    <row r="1790" customFormat="false" ht="15" hidden="false" customHeight="true" outlineLevel="0" collapsed="false">
      <c r="A1790" s="6" t="s">
        <v>17402</v>
      </c>
      <c r="B1790" s="6" t="s">
        <v>1297</v>
      </c>
      <c r="C1790" s="6" t="s">
        <v>120</v>
      </c>
      <c r="D1790" s="6" t="s">
        <v>18</v>
      </c>
      <c r="E1790" s="14" t="n">
        <v>719.26</v>
      </c>
      <c r="F1790" s="14" t="n">
        <v>719.26</v>
      </c>
      <c r="G1790" s="6" t="s">
        <v>15614</v>
      </c>
    </row>
    <row r="1791" customFormat="false" ht="15" hidden="false" customHeight="true" outlineLevel="0" collapsed="false">
      <c r="A1791" s="6" t="s">
        <v>17403</v>
      </c>
      <c r="B1791" s="6" t="s">
        <v>1297</v>
      </c>
      <c r="C1791" s="6" t="s">
        <v>120</v>
      </c>
      <c r="D1791" s="6" t="s">
        <v>19</v>
      </c>
      <c r="E1791" s="14" t="n">
        <v>719.26</v>
      </c>
      <c r="F1791" s="14" t="n">
        <v>1438.52</v>
      </c>
      <c r="G1791" s="6" t="s">
        <v>15614</v>
      </c>
    </row>
    <row r="1792" customFormat="false" ht="15" hidden="false" customHeight="true" outlineLevel="0" collapsed="false">
      <c r="A1792" s="6" t="s">
        <v>17404</v>
      </c>
      <c r="B1792" s="6" t="s">
        <v>1297</v>
      </c>
      <c r="C1792" s="6" t="s">
        <v>120</v>
      </c>
      <c r="D1792" s="6" t="s">
        <v>20</v>
      </c>
      <c r="E1792" s="14" t="n">
        <v>719.26</v>
      </c>
      <c r="F1792" s="14" t="n">
        <v>2157.78</v>
      </c>
      <c r="G1792" s="6" t="s">
        <v>15614</v>
      </c>
    </row>
    <row r="1793" customFormat="false" ht="15" hidden="false" customHeight="true" outlineLevel="0" collapsed="false">
      <c r="A1793" s="6" t="s">
        <v>17405</v>
      </c>
      <c r="B1793" s="6" t="s">
        <v>1297</v>
      </c>
      <c r="C1793" s="6" t="s">
        <v>120</v>
      </c>
      <c r="D1793" s="6" t="s">
        <v>21</v>
      </c>
      <c r="E1793" s="14" t="n">
        <v>719.26</v>
      </c>
      <c r="F1793" s="14" t="n">
        <v>2877.04</v>
      </c>
      <c r="G1793" s="6" t="s">
        <v>15614</v>
      </c>
    </row>
    <row r="1794" customFormat="false" ht="15" hidden="false" customHeight="true" outlineLevel="0" collapsed="false">
      <c r="A1794" s="6" t="s">
        <v>17406</v>
      </c>
      <c r="B1794" s="6" t="s">
        <v>1297</v>
      </c>
      <c r="C1794" s="6" t="s">
        <v>120</v>
      </c>
      <c r="D1794" s="6" t="s">
        <v>22</v>
      </c>
      <c r="E1794" s="14" t="n">
        <v>719.26</v>
      </c>
      <c r="F1794" s="14" t="n">
        <v>3596.3</v>
      </c>
      <c r="G1794" s="6" t="s">
        <v>15614</v>
      </c>
    </row>
    <row r="1795" customFormat="false" ht="15" hidden="false" customHeight="true" outlineLevel="0" collapsed="false">
      <c r="A1795" s="6" t="s">
        <v>17407</v>
      </c>
      <c r="B1795" s="6" t="s">
        <v>1299</v>
      </c>
      <c r="C1795" s="6" t="s">
        <v>124</v>
      </c>
      <c r="D1795" s="6" t="s">
        <v>37</v>
      </c>
      <c r="E1795" s="14" t="n">
        <v>2908.93</v>
      </c>
      <c r="F1795" s="14" t="n">
        <v>2908.93</v>
      </c>
      <c r="G1795" s="6" t="s">
        <v>15614</v>
      </c>
    </row>
    <row r="1796" customFormat="false" ht="15" hidden="false" customHeight="true" outlineLevel="0" collapsed="false">
      <c r="A1796" s="6" t="s">
        <v>17408</v>
      </c>
      <c r="B1796" s="6" t="s">
        <v>1299</v>
      </c>
      <c r="C1796" s="6" t="s">
        <v>124</v>
      </c>
      <c r="D1796" s="6" t="s">
        <v>38</v>
      </c>
      <c r="E1796" s="14" t="n">
        <v>2908.93</v>
      </c>
      <c r="F1796" s="14" t="n">
        <v>5817.86</v>
      </c>
      <c r="G1796" s="6" t="s">
        <v>15614</v>
      </c>
    </row>
    <row r="1797" customFormat="false" ht="15" hidden="false" customHeight="true" outlineLevel="0" collapsed="false">
      <c r="A1797" s="6" t="s">
        <v>17409</v>
      </c>
      <c r="B1797" s="6" t="s">
        <v>1301</v>
      </c>
      <c r="C1797" s="6" t="s">
        <v>131</v>
      </c>
      <c r="D1797" s="6" t="s">
        <v>18</v>
      </c>
      <c r="E1797" s="14" t="n">
        <v>320.42</v>
      </c>
      <c r="F1797" s="14" t="n">
        <v>320.42</v>
      </c>
      <c r="G1797" s="6" t="s">
        <v>15614</v>
      </c>
    </row>
    <row r="1798" customFormat="false" ht="15" hidden="false" customHeight="true" outlineLevel="0" collapsed="false">
      <c r="A1798" s="6" t="s">
        <v>17410</v>
      </c>
      <c r="B1798" s="6" t="s">
        <v>1301</v>
      </c>
      <c r="C1798" s="6" t="s">
        <v>131</v>
      </c>
      <c r="D1798" s="6" t="s">
        <v>19</v>
      </c>
      <c r="E1798" s="14" t="n">
        <v>320.42</v>
      </c>
      <c r="F1798" s="14" t="n">
        <v>640.84</v>
      </c>
      <c r="G1798" s="6" t="s">
        <v>15614</v>
      </c>
    </row>
    <row r="1799" customFormat="false" ht="15" hidden="false" customHeight="true" outlineLevel="0" collapsed="false">
      <c r="A1799" s="6" t="s">
        <v>17411</v>
      </c>
      <c r="B1799" s="6" t="s">
        <v>1303</v>
      </c>
      <c r="C1799" s="6" t="s">
        <v>128</v>
      </c>
      <c r="D1799" s="6" t="s">
        <v>39</v>
      </c>
      <c r="E1799" s="14" t="n">
        <v>1083.53</v>
      </c>
      <c r="F1799" s="14" t="n">
        <v>1083.53</v>
      </c>
      <c r="G1799" s="6" t="s">
        <v>15614</v>
      </c>
    </row>
    <row r="1800" customFormat="false" ht="15" hidden="false" customHeight="true" outlineLevel="0" collapsed="false">
      <c r="A1800" s="6" t="s">
        <v>17412</v>
      </c>
      <c r="B1800" s="6" t="s">
        <v>1303</v>
      </c>
      <c r="C1800" s="6" t="s">
        <v>128</v>
      </c>
      <c r="D1800" s="6" t="s">
        <v>40</v>
      </c>
      <c r="E1800" s="14" t="n">
        <v>1083.53</v>
      </c>
      <c r="F1800" s="14" t="n">
        <v>2167.06</v>
      </c>
      <c r="G1800" s="6" t="s">
        <v>15614</v>
      </c>
    </row>
    <row r="1801" customFormat="false" ht="15" hidden="false" customHeight="true" outlineLevel="0" collapsed="false">
      <c r="A1801" s="6" t="s">
        <v>17413</v>
      </c>
      <c r="B1801" s="6" t="s">
        <v>1305</v>
      </c>
      <c r="C1801" s="6" t="s">
        <v>120</v>
      </c>
      <c r="D1801" s="6" t="s">
        <v>22</v>
      </c>
      <c r="E1801" s="14" t="n">
        <v>4559.95</v>
      </c>
      <c r="F1801" s="14" t="n">
        <v>4559.95</v>
      </c>
      <c r="G1801" s="6" t="s">
        <v>15614</v>
      </c>
    </row>
    <row r="1802" customFormat="false" ht="15" hidden="false" customHeight="true" outlineLevel="0" collapsed="false">
      <c r="A1802" s="6" t="s">
        <v>17414</v>
      </c>
      <c r="B1802" s="6" t="s">
        <v>1305</v>
      </c>
      <c r="C1802" s="6" t="s">
        <v>120</v>
      </c>
      <c r="D1802" s="6" t="s">
        <v>23</v>
      </c>
      <c r="E1802" s="14" t="n">
        <v>4559.95</v>
      </c>
      <c r="F1802" s="14" t="n">
        <v>9119.9</v>
      </c>
      <c r="G1802" s="6" t="s">
        <v>15614</v>
      </c>
    </row>
    <row r="1803" customFormat="false" ht="15" hidden="false" customHeight="true" outlineLevel="0" collapsed="false">
      <c r="A1803" s="6" t="s">
        <v>17415</v>
      </c>
      <c r="B1803" s="6" t="s">
        <v>1307</v>
      </c>
      <c r="C1803" s="6" t="s">
        <v>116</v>
      </c>
      <c r="D1803" s="6" t="s">
        <v>33</v>
      </c>
      <c r="E1803" s="14" t="n">
        <v>2841.41</v>
      </c>
      <c r="F1803" s="14" t="n">
        <v>2841.41</v>
      </c>
      <c r="G1803" s="6" t="s">
        <v>15614</v>
      </c>
    </row>
    <row r="1804" customFormat="false" ht="15" hidden="false" customHeight="true" outlineLevel="0" collapsed="false">
      <c r="A1804" s="6" t="s">
        <v>17416</v>
      </c>
      <c r="B1804" s="6" t="s">
        <v>1307</v>
      </c>
      <c r="C1804" s="6" t="s">
        <v>116</v>
      </c>
      <c r="D1804" s="6" t="s">
        <v>34</v>
      </c>
      <c r="E1804" s="14" t="n">
        <v>2841.41</v>
      </c>
      <c r="F1804" s="14" t="n">
        <v>5682.82</v>
      </c>
      <c r="G1804" s="6" t="s">
        <v>15614</v>
      </c>
    </row>
    <row r="1805" customFormat="false" ht="15" hidden="false" customHeight="true" outlineLevel="0" collapsed="false">
      <c r="A1805" s="6" t="s">
        <v>17417</v>
      </c>
      <c r="B1805" s="6" t="s">
        <v>1307</v>
      </c>
      <c r="C1805" s="6" t="s">
        <v>116</v>
      </c>
      <c r="D1805" s="6" t="s">
        <v>35</v>
      </c>
      <c r="E1805" s="14" t="n">
        <v>2841.41</v>
      </c>
      <c r="F1805" s="14" t="n">
        <v>8524.23</v>
      </c>
      <c r="G1805" s="6" t="s">
        <v>15614</v>
      </c>
    </row>
    <row r="1806" customFormat="false" ht="15" hidden="false" customHeight="true" outlineLevel="0" collapsed="false">
      <c r="A1806" s="6" t="s">
        <v>17418</v>
      </c>
      <c r="B1806" s="6" t="s">
        <v>1307</v>
      </c>
      <c r="C1806" s="6" t="s">
        <v>116</v>
      </c>
      <c r="D1806" s="6" t="s">
        <v>36</v>
      </c>
      <c r="E1806" s="14" t="n">
        <v>2841.41</v>
      </c>
      <c r="F1806" s="14" t="n">
        <v>11365.64</v>
      </c>
      <c r="G1806" s="6" t="s">
        <v>15614</v>
      </c>
    </row>
    <row r="1807" customFormat="false" ht="15" hidden="false" customHeight="true" outlineLevel="0" collapsed="false">
      <c r="A1807" s="6" t="s">
        <v>17419</v>
      </c>
      <c r="B1807" s="6" t="s">
        <v>1309</v>
      </c>
      <c r="C1807" s="6" t="s">
        <v>112</v>
      </c>
      <c r="D1807" s="6" t="s">
        <v>13</v>
      </c>
      <c r="E1807" s="14" t="n">
        <v>1723.35</v>
      </c>
      <c r="F1807" s="14" t="n">
        <v>1723.35</v>
      </c>
      <c r="G1807" s="6" t="s">
        <v>15614</v>
      </c>
    </row>
    <row r="1808" customFormat="false" ht="15" hidden="false" customHeight="true" outlineLevel="0" collapsed="false">
      <c r="A1808" s="6" t="s">
        <v>17420</v>
      </c>
      <c r="B1808" s="6" t="s">
        <v>1309</v>
      </c>
      <c r="C1808" s="6" t="s">
        <v>112</v>
      </c>
      <c r="D1808" s="6" t="s">
        <v>14</v>
      </c>
      <c r="E1808" s="14" t="n">
        <v>1723.35</v>
      </c>
      <c r="F1808" s="14" t="n">
        <v>3446.7</v>
      </c>
      <c r="G1808" s="6" t="s">
        <v>15614</v>
      </c>
    </row>
    <row r="1809" customFormat="false" ht="15" hidden="false" customHeight="true" outlineLevel="0" collapsed="false">
      <c r="A1809" s="6" t="s">
        <v>17421</v>
      </c>
      <c r="B1809" s="6" t="s">
        <v>1309</v>
      </c>
      <c r="C1809" s="6" t="s">
        <v>112</v>
      </c>
      <c r="D1809" s="6" t="s">
        <v>15</v>
      </c>
      <c r="E1809" s="14" t="n">
        <v>1723.35</v>
      </c>
      <c r="F1809" s="14" t="n">
        <v>5170.05</v>
      </c>
      <c r="G1809" s="6" t="s">
        <v>15614</v>
      </c>
    </row>
    <row r="1810" customFormat="false" ht="15" hidden="false" customHeight="true" outlineLevel="0" collapsed="false">
      <c r="A1810" s="6" t="s">
        <v>17422</v>
      </c>
      <c r="B1810" s="6" t="s">
        <v>1309</v>
      </c>
      <c r="C1810" s="6" t="s">
        <v>112</v>
      </c>
      <c r="D1810" s="6" t="s">
        <v>16</v>
      </c>
      <c r="E1810" s="14" t="n">
        <v>1723.35</v>
      </c>
      <c r="F1810" s="14" t="n">
        <v>6893.4</v>
      </c>
      <c r="G1810" s="6" t="s">
        <v>15614</v>
      </c>
    </row>
    <row r="1811" customFormat="false" ht="15" hidden="false" customHeight="true" outlineLevel="0" collapsed="false">
      <c r="A1811" s="6" t="s">
        <v>17423</v>
      </c>
      <c r="B1811" s="6" t="s">
        <v>1309</v>
      </c>
      <c r="C1811" s="6" t="s">
        <v>112</v>
      </c>
      <c r="D1811" s="6" t="s">
        <v>17</v>
      </c>
      <c r="E1811" s="14" t="n">
        <v>1723.35</v>
      </c>
      <c r="F1811" s="14" t="n">
        <v>8616.75</v>
      </c>
      <c r="G1811" s="6" t="s">
        <v>15614</v>
      </c>
    </row>
    <row r="1812" customFormat="false" ht="15" hidden="false" customHeight="true" outlineLevel="0" collapsed="false">
      <c r="A1812" s="6" t="s">
        <v>17424</v>
      </c>
      <c r="B1812" s="6" t="s">
        <v>1309</v>
      </c>
      <c r="C1812" s="6" t="s">
        <v>112</v>
      </c>
      <c r="D1812" s="6" t="s">
        <v>18</v>
      </c>
      <c r="E1812" s="14" t="n">
        <v>1723.35</v>
      </c>
      <c r="F1812" s="14" t="n">
        <v>10340.1</v>
      </c>
      <c r="G1812" s="6" t="s">
        <v>15614</v>
      </c>
    </row>
    <row r="1813" customFormat="false" ht="15" hidden="false" customHeight="true" outlineLevel="0" collapsed="false">
      <c r="A1813" s="6" t="s">
        <v>17425</v>
      </c>
      <c r="B1813" s="6" t="s">
        <v>1311</v>
      </c>
      <c r="C1813" s="6" t="s">
        <v>120</v>
      </c>
      <c r="D1813" s="6" t="s">
        <v>53</v>
      </c>
      <c r="E1813" s="14" t="n">
        <v>1098.17</v>
      </c>
      <c r="F1813" s="14" t="n">
        <v>1098.17</v>
      </c>
      <c r="G1813" s="6" t="s">
        <v>15614</v>
      </c>
    </row>
    <row r="1814" customFormat="false" ht="15" hidden="false" customHeight="true" outlineLevel="0" collapsed="false">
      <c r="A1814" s="6" t="s">
        <v>17426</v>
      </c>
      <c r="B1814" s="6" t="s">
        <v>1311</v>
      </c>
      <c r="C1814" s="6" t="s">
        <v>120</v>
      </c>
      <c r="D1814" s="6" t="s">
        <v>54</v>
      </c>
      <c r="E1814" s="14" t="n">
        <v>1098.17</v>
      </c>
      <c r="F1814" s="14" t="n">
        <v>2196.34</v>
      </c>
      <c r="G1814" s="6" t="s">
        <v>15614</v>
      </c>
    </row>
    <row r="1815" customFormat="false" ht="15" hidden="false" customHeight="true" outlineLevel="0" collapsed="false">
      <c r="A1815" s="6" t="s">
        <v>17427</v>
      </c>
      <c r="B1815" s="6" t="s">
        <v>1313</v>
      </c>
      <c r="C1815" s="6" t="s">
        <v>128</v>
      </c>
      <c r="D1815" s="6" t="s">
        <v>45</v>
      </c>
      <c r="E1815" s="14" t="n">
        <v>955.91</v>
      </c>
      <c r="F1815" s="14" t="n">
        <v>955.91</v>
      </c>
      <c r="G1815" s="6" t="s">
        <v>15614</v>
      </c>
    </row>
    <row r="1816" customFormat="false" ht="15" hidden="false" customHeight="true" outlineLevel="0" collapsed="false">
      <c r="A1816" s="6" t="s">
        <v>17428</v>
      </c>
      <c r="B1816" s="6" t="s">
        <v>1313</v>
      </c>
      <c r="C1816" s="6" t="s">
        <v>128</v>
      </c>
      <c r="D1816" s="6" t="s">
        <v>46</v>
      </c>
      <c r="E1816" s="14" t="n">
        <v>955.91</v>
      </c>
      <c r="F1816" s="14" t="n">
        <v>1911.82</v>
      </c>
      <c r="G1816" s="6" t="s">
        <v>15614</v>
      </c>
    </row>
    <row r="1817" customFormat="false" ht="15" hidden="false" customHeight="true" outlineLevel="0" collapsed="false">
      <c r="A1817" s="6" t="s">
        <v>17429</v>
      </c>
      <c r="B1817" s="6" t="s">
        <v>1313</v>
      </c>
      <c r="C1817" s="6" t="s">
        <v>128</v>
      </c>
      <c r="D1817" s="6" t="s">
        <v>47</v>
      </c>
      <c r="E1817" s="14" t="n">
        <v>955.91</v>
      </c>
      <c r="F1817" s="14" t="n">
        <v>2867.73</v>
      </c>
      <c r="G1817" s="6" t="s">
        <v>15614</v>
      </c>
    </row>
    <row r="1818" customFormat="false" ht="15" hidden="false" customHeight="true" outlineLevel="0" collapsed="false">
      <c r="A1818" s="6" t="s">
        <v>17430</v>
      </c>
      <c r="B1818" s="6" t="s">
        <v>1313</v>
      </c>
      <c r="C1818" s="6" t="s">
        <v>128</v>
      </c>
      <c r="D1818" s="6" t="s">
        <v>48</v>
      </c>
      <c r="E1818" s="14" t="n">
        <v>955.91</v>
      </c>
      <c r="F1818" s="14" t="n">
        <v>3823.64</v>
      </c>
      <c r="G1818" s="6" t="s">
        <v>15614</v>
      </c>
    </row>
    <row r="1819" customFormat="false" ht="15" hidden="false" customHeight="true" outlineLevel="0" collapsed="false">
      <c r="A1819" s="6" t="s">
        <v>17431</v>
      </c>
      <c r="B1819" s="6" t="s">
        <v>1313</v>
      </c>
      <c r="C1819" s="6" t="s">
        <v>128</v>
      </c>
      <c r="D1819" s="6" t="s">
        <v>49</v>
      </c>
      <c r="E1819" s="14" t="n">
        <v>955.91</v>
      </c>
      <c r="F1819" s="14" t="n">
        <v>4779.55</v>
      </c>
      <c r="G1819" s="6" t="s">
        <v>15614</v>
      </c>
    </row>
    <row r="1820" customFormat="false" ht="15" hidden="false" customHeight="true" outlineLevel="0" collapsed="false">
      <c r="A1820" s="6" t="s">
        <v>17432</v>
      </c>
      <c r="B1820" s="6" t="s">
        <v>1315</v>
      </c>
      <c r="C1820" s="6" t="s">
        <v>128</v>
      </c>
      <c r="D1820" s="6" t="s">
        <v>18</v>
      </c>
      <c r="E1820" s="14" t="n">
        <v>1437.33</v>
      </c>
      <c r="F1820" s="14" t="n">
        <v>1437.33</v>
      </c>
      <c r="G1820" s="6" t="s">
        <v>15614</v>
      </c>
    </row>
    <row r="1821" customFormat="false" ht="15" hidden="false" customHeight="true" outlineLevel="0" collapsed="false">
      <c r="A1821" s="6" t="s">
        <v>17433</v>
      </c>
      <c r="B1821" s="6" t="s">
        <v>1315</v>
      </c>
      <c r="C1821" s="6" t="s">
        <v>128</v>
      </c>
      <c r="D1821" s="6" t="s">
        <v>19</v>
      </c>
      <c r="E1821" s="14" t="n">
        <v>1437.33</v>
      </c>
      <c r="F1821" s="14" t="n">
        <v>2874.66</v>
      </c>
      <c r="G1821" s="6" t="s">
        <v>15614</v>
      </c>
    </row>
    <row r="1822" customFormat="false" ht="15" hidden="false" customHeight="true" outlineLevel="0" collapsed="false">
      <c r="A1822" s="6" t="s">
        <v>17434</v>
      </c>
      <c r="B1822" s="6" t="s">
        <v>1315</v>
      </c>
      <c r="C1822" s="6" t="s">
        <v>128</v>
      </c>
      <c r="D1822" s="6" t="s">
        <v>20</v>
      </c>
      <c r="E1822" s="14" t="n">
        <v>1437.33</v>
      </c>
      <c r="F1822" s="14" t="n">
        <v>4311.99</v>
      </c>
      <c r="G1822" s="6" t="s">
        <v>15614</v>
      </c>
    </row>
    <row r="1823" customFormat="false" ht="15" hidden="false" customHeight="true" outlineLevel="0" collapsed="false">
      <c r="A1823" s="6" t="s">
        <v>17435</v>
      </c>
      <c r="B1823" s="6" t="s">
        <v>1317</v>
      </c>
      <c r="C1823" s="6" t="s">
        <v>112</v>
      </c>
      <c r="D1823" s="6" t="s">
        <v>47</v>
      </c>
      <c r="E1823" s="14" t="n">
        <v>233</v>
      </c>
      <c r="F1823" s="14" t="n">
        <v>233</v>
      </c>
      <c r="G1823" s="6" t="s">
        <v>15614</v>
      </c>
    </row>
    <row r="1824" customFormat="false" ht="15" hidden="false" customHeight="true" outlineLevel="0" collapsed="false">
      <c r="A1824" s="6" t="s">
        <v>17436</v>
      </c>
      <c r="B1824" s="6" t="s">
        <v>1317</v>
      </c>
      <c r="C1824" s="6" t="s">
        <v>112</v>
      </c>
      <c r="D1824" s="6" t="s">
        <v>48</v>
      </c>
      <c r="E1824" s="14" t="n">
        <v>233</v>
      </c>
      <c r="F1824" s="14" t="n">
        <v>466</v>
      </c>
      <c r="G1824" s="6" t="s">
        <v>15614</v>
      </c>
    </row>
    <row r="1825" customFormat="false" ht="15" hidden="false" customHeight="true" outlineLevel="0" collapsed="false">
      <c r="A1825" s="6" t="s">
        <v>17437</v>
      </c>
      <c r="B1825" s="6" t="s">
        <v>1319</v>
      </c>
      <c r="C1825" s="6" t="s">
        <v>116</v>
      </c>
      <c r="D1825" s="6" t="s">
        <v>13</v>
      </c>
      <c r="E1825" s="14" t="n">
        <v>2062.84</v>
      </c>
      <c r="F1825" s="14" t="n">
        <v>2062.84</v>
      </c>
      <c r="G1825" s="6" t="s">
        <v>15614</v>
      </c>
    </row>
    <row r="1826" customFormat="false" ht="15" hidden="false" customHeight="true" outlineLevel="0" collapsed="false">
      <c r="A1826" s="6" t="s">
        <v>17438</v>
      </c>
      <c r="B1826" s="6" t="s">
        <v>1319</v>
      </c>
      <c r="C1826" s="6" t="s">
        <v>116</v>
      </c>
      <c r="D1826" s="6" t="s">
        <v>14</v>
      </c>
      <c r="E1826" s="14" t="n">
        <v>2062.84</v>
      </c>
      <c r="F1826" s="14" t="n">
        <v>4125.68</v>
      </c>
      <c r="G1826" s="6" t="s">
        <v>15614</v>
      </c>
    </row>
    <row r="1827" customFormat="false" ht="15" hidden="false" customHeight="true" outlineLevel="0" collapsed="false">
      <c r="A1827" s="6" t="s">
        <v>17439</v>
      </c>
      <c r="B1827" s="6" t="s">
        <v>1319</v>
      </c>
      <c r="C1827" s="6" t="s">
        <v>116</v>
      </c>
      <c r="D1827" s="6" t="s">
        <v>15</v>
      </c>
      <c r="E1827" s="14" t="n">
        <v>2062.84</v>
      </c>
      <c r="F1827" s="14" t="n">
        <v>6188.52</v>
      </c>
      <c r="G1827" s="6" t="s">
        <v>15614</v>
      </c>
    </row>
    <row r="1828" customFormat="false" ht="15" hidden="false" customHeight="true" outlineLevel="0" collapsed="false">
      <c r="A1828" s="6" t="s">
        <v>17440</v>
      </c>
      <c r="B1828" s="6" t="s">
        <v>1321</v>
      </c>
      <c r="C1828" s="6" t="s">
        <v>120</v>
      </c>
      <c r="D1828" s="6" t="s">
        <v>11</v>
      </c>
      <c r="E1828" s="14" t="n">
        <v>2111.18</v>
      </c>
      <c r="F1828" s="14" t="n">
        <v>2111.18</v>
      </c>
      <c r="G1828" s="6" t="s">
        <v>15614</v>
      </c>
    </row>
    <row r="1829" customFormat="false" ht="15" hidden="false" customHeight="true" outlineLevel="0" collapsed="false">
      <c r="A1829" s="6" t="s">
        <v>17441</v>
      </c>
      <c r="B1829" s="6" t="s">
        <v>1321</v>
      </c>
      <c r="C1829" s="6" t="s">
        <v>120</v>
      </c>
      <c r="D1829" s="6" t="s">
        <v>12</v>
      </c>
      <c r="E1829" s="14" t="n">
        <v>2111.18</v>
      </c>
      <c r="F1829" s="14" t="n">
        <v>4222.36</v>
      </c>
      <c r="G1829" s="6" t="s">
        <v>15614</v>
      </c>
    </row>
    <row r="1830" customFormat="false" ht="15" hidden="false" customHeight="true" outlineLevel="0" collapsed="false">
      <c r="A1830" s="6" t="s">
        <v>17442</v>
      </c>
      <c r="B1830" s="6" t="s">
        <v>1321</v>
      </c>
      <c r="C1830" s="6" t="s">
        <v>120</v>
      </c>
      <c r="D1830" s="6" t="s">
        <v>13</v>
      </c>
      <c r="E1830" s="14" t="n">
        <v>2111.18</v>
      </c>
      <c r="F1830" s="14" t="n">
        <v>6333.54</v>
      </c>
      <c r="G1830" s="6" t="s">
        <v>15614</v>
      </c>
    </row>
    <row r="1831" customFormat="false" ht="15" hidden="false" customHeight="true" outlineLevel="0" collapsed="false">
      <c r="A1831" s="6" t="s">
        <v>17443</v>
      </c>
      <c r="B1831" s="6" t="s">
        <v>1321</v>
      </c>
      <c r="C1831" s="6" t="s">
        <v>120</v>
      </c>
      <c r="D1831" s="6" t="s">
        <v>14</v>
      </c>
      <c r="E1831" s="14" t="n">
        <v>2111.18</v>
      </c>
      <c r="F1831" s="14" t="n">
        <v>8444.72</v>
      </c>
      <c r="G1831" s="6" t="s">
        <v>15614</v>
      </c>
    </row>
    <row r="1832" customFormat="false" ht="15" hidden="false" customHeight="true" outlineLevel="0" collapsed="false">
      <c r="A1832" s="6" t="s">
        <v>17444</v>
      </c>
      <c r="B1832" s="6" t="s">
        <v>1321</v>
      </c>
      <c r="C1832" s="6" t="s">
        <v>120</v>
      </c>
      <c r="D1832" s="6" t="s">
        <v>15</v>
      </c>
      <c r="E1832" s="14" t="n">
        <v>2111.18</v>
      </c>
      <c r="F1832" s="14" t="n">
        <v>10555.9</v>
      </c>
      <c r="G1832" s="6" t="s">
        <v>15614</v>
      </c>
    </row>
    <row r="1833" customFormat="false" ht="15" hidden="false" customHeight="true" outlineLevel="0" collapsed="false">
      <c r="A1833" s="6" t="s">
        <v>17445</v>
      </c>
      <c r="B1833" s="6" t="s">
        <v>1321</v>
      </c>
      <c r="C1833" s="6" t="s">
        <v>120</v>
      </c>
      <c r="D1833" s="6" t="s">
        <v>16</v>
      </c>
      <c r="E1833" s="14" t="n">
        <v>2111.18</v>
      </c>
      <c r="F1833" s="14" t="n">
        <v>12667.08</v>
      </c>
      <c r="G1833" s="6" t="s">
        <v>15614</v>
      </c>
    </row>
    <row r="1834" customFormat="false" ht="15" hidden="false" customHeight="true" outlineLevel="0" collapsed="false">
      <c r="A1834" s="6" t="s">
        <v>17446</v>
      </c>
      <c r="B1834" s="6" t="s">
        <v>1323</v>
      </c>
      <c r="C1834" s="6" t="s">
        <v>131</v>
      </c>
      <c r="D1834" s="6" t="s">
        <v>44</v>
      </c>
      <c r="E1834" s="14" t="n">
        <v>2686.49</v>
      </c>
      <c r="F1834" s="14" t="n">
        <v>2686.49</v>
      </c>
      <c r="G1834" s="6" t="s">
        <v>15614</v>
      </c>
    </row>
    <row r="1835" customFormat="false" ht="15" hidden="false" customHeight="true" outlineLevel="0" collapsed="false">
      <c r="A1835" s="6" t="s">
        <v>17447</v>
      </c>
      <c r="B1835" s="6" t="s">
        <v>1323</v>
      </c>
      <c r="C1835" s="6" t="s">
        <v>131</v>
      </c>
      <c r="D1835" s="6" t="s">
        <v>45</v>
      </c>
      <c r="E1835" s="14" t="n">
        <v>2686.49</v>
      </c>
      <c r="F1835" s="14" t="n">
        <v>5372.98</v>
      </c>
      <c r="G1835" s="6" t="s">
        <v>15614</v>
      </c>
    </row>
    <row r="1836" customFormat="false" ht="15" hidden="false" customHeight="true" outlineLevel="0" collapsed="false">
      <c r="A1836" s="6" t="s">
        <v>17448</v>
      </c>
      <c r="B1836" s="6" t="s">
        <v>1325</v>
      </c>
      <c r="C1836" s="6" t="s">
        <v>128</v>
      </c>
      <c r="D1836" s="6" t="s">
        <v>51</v>
      </c>
      <c r="E1836" s="14" t="n">
        <v>1875.41</v>
      </c>
      <c r="F1836" s="14" t="n">
        <v>1875.41</v>
      </c>
      <c r="G1836" s="6" t="s">
        <v>15614</v>
      </c>
    </row>
    <row r="1837" customFormat="false" ht="15" hidden="false" customHeight="true" outlineLevel="0" collapsed="false">
      <c r="A1837" s="6" t="s">
        <v>17449</v>
      </c>
      <c r="B1837" s="6" t="s">
        <v>1325</v>
      </c>
      <c r="C1837" s="6" t="s">
        <v>128</v>
      </c>
      <c r="D1837" s="6" t="s">
        <v>52</v>
      </c>
      <c r="E1837" s="14" t="n">
        <v>1875.41</v>
      </c>
      <c r="F1837" s="14" t="n">
        <v>3750.82</v>
      </c>
      <c r="G1837" s="6" t="s">
        <v>15614</v>
      </c>
    </row>
    <row r="1838" customFormat="false" ht="15" hidden="false" customHeight="true" outlineLevel="0" collapsed="false">
      <c r="A1838" s="6" t="s">
        <v>17450</v>
      </c>
      <c r="B1838" s="6" t="s">
        <v>1325</v>
      </c>
      <c r="C1838" s="6" t="s">
        <v>128</v>
      </c>
      <c r="D1838" s="6" t="s">
        <v>53</v>
      </c>
      <c r="E1838" s="14" t="n">
        <v>1875.41</v>
      </c>
      <c r="F1838" s="14" t="n">
        <v>5626.23</v>
      </c>
      <c r="G1838" s="6" t="s">
        <v>15614</v>
      </c>
    </row>
    <row r="1839" customFormat="false" ht="15" hidden="false" customHeight="true" outlineLevel="0" collapsed="false">
      <c r="A1839" s="6" t="s">
        <v>17451</v>
      </c>
      <c r="B1839" s="6" t="s">
        <v>1325</v>
      </c>
      <c r="C1839" s="6" t="s">
        <v>128</v>
      </c>
      <c r="D1839" s="6" t="s">
        <v>54</v>
      </c>
      <c r="E1839" s="14" t="n">
        <v>1875.41</v>
      </c>
      <c r="F1839" s="14" t="n">
        <v>7501.64</v>
      </c>
      <c r="G1839" s="6" t="s">
        <v>15614</v>
      </c>
    </row>
    <row r="1840" customFormat="false" ht="15" hidden="false" customHeight="true" outlineLevel="0" collapsed="false">
      <c r="A1840" s="6" t="s">
        <v>17452</v>
      </c>
      <c r="B1840" s="6" t="s">
        <v>1325</v>
      </c>
      <c r="C1840" s="6" t="s">
        <v>128</v>
      </c>
      <c r="D1840" s="6" t="s">
        <v>55</v>
      </c>
      <c r="E1840" s="14" t="n">
        <v>1875.41</v>
      </c>
      <c r="F1840" s="14" t="n">
        <v>9377.05</v>
      </c>
      <c r="G1840" s="6" t="s">
        <v>15614</v>
      </c>
    </row>
    <row r="1841" customFormat="false" ht="15" hidden="false" customHeight="true" outlineLevel="0" collapsed="false">
      <c r="A1841" s="6" t="s">
        <v>17453</v>
      </c>
      <c r="B1841" s="6" t="s">
        <v>1327</v>
      </c>
      <c r="C1841" s="6" t="s">
        <v>116</v>
      </c>
      <c r="D1841" s="6" t="s">
        <v>57</v>
      </c>
      <c r="E1841" s="14" t="n">
        <v>1121.96</v>
      </c>
      <c r="F1841" s="14" t="n">
        <v>1121.96</v>
      </c>
      <c r="G1841" s="6" t="s">
        <v>15614</v>
      </c>
    </row>
    <row r="1842" customFormat="false" ht="15" hidden="false" customHeight="true" outlineLevel="0" collapsed="false">
      <c r="A1842" s="6" t="s">
        <v>17454</v>
      </c>
      <c r="B1842" s="6" t="s">
        <v>1327</v>
      </c>
      <c r="C1842" s="6" t="s">
        <v>116</v>
      </c>
      <c r="D1842" s="6" t="s">
        <v>58</v>
      </c>
      <c r="E1842" s="14" t="n">
        <v>1121.96</v>
      </c>
      <c r="F1842" s="14" t="n">
        <v>2243.92</v>
      </c>
      <c r="G1842" s="6" t="s">
        <v>15614</v>
      </c>
    </row>
    <row r="1843" customFormat="false" ht="15" hidden="false" customHeight="true" outlineLevel="0" collapsed="false">
      <c r="A1843" s="6" t="s">
        <v>17455</v>
      </c>
      <c r="B1843" s="6" t="s">
        <v>1327</v>
      </c>
      <c r="C1843" s="6" t="s">
        <v>116</v>
      </c>
      <c r="D1843" s="6" t="s">
        <v>59</v>
      </c>
      <c r="E1843" s="14" t="n">
        <v>1121.96</v>
      </c>
      <c r="F1843" s="14" t="n">
        <v>3365.88</v>
      </c>
      <c r="G1843" s="6" t="s">
        <v>15614</v>
      </c>
    </row>
    <row r="1844" customFormat="false" ht="15" hidden="false" customHeight="true" outlineLevel="0" collapsed="false">
      <c r="A1844" s="6" t="s">
        <v>17456</v>
      </c>
      <c r="B1844" s="6" t="s">
        <v>1329</v>
      </c>
      <c r="C1844" s="6" t="s">
        <v>124</v>
      </c>
      <c r="D1844" s="6" t="s">
        <v>28</v>
      </c>
      <c r="E1844" s="14" t="n">
        <v>1705.39</v>
      </c>
      <c r="F1844" s="14" t="n">
        <v>1705.39</v>
      </c>
      <c r="G1844" s="6" t="s">
        <v>15614</v>
      </c>
    </row>
    <row r="1845" customFormat="false" ht="15" hidden="false" customHeight="true" outlineLevel="0" collapsed="false">
      <c r="A1845" s="6" t="s">
        <v>17457</v>
      </c>
      <c r="B1845" s="6" t="s">
        <v>1329</v>
      </c>
      <c r="C1845" s="6" t="s">
        <v>124</v>
      </c>
      <c r="D1845" s="6" t="s">
        <v>29</v>
      </c>
      <c r="E1845" s="14" t="n">
        <v>1705.39</v>
      </c>
      <c r="F1845" s="14" t="n">
        <v>3410.78</v>
      </c>
      <c r="G1845" s="6" t="s">
        <v>15614</v>
      </c>
    </row>
    <row r="1846" customFormat="false" ht="15" hidden="false" customHeight="true" outlineLevel="0" collapsed="false">
      <c r="A1846" s="6" t="s">
        <v>17458</v>
      </c>
      <c r="B1846" s="6" t="s">
        <v>1331</v>
      </c>
      <c r="C1846" s="6" t="s">
        <v>131</v>
      </c>
      <c r="D1846" s="6" t="s">
        <v>45</v>
      </c>
      <c r="E1846" s="14" t="n">
        <v>370.01</v>
      </c>
      <c r="F1846" s="14" t="n">
        <v>370.01</v>
      </c>
      <c r="G1846" s="6" t="s">
        <v>15614</v>
      </c>
    </row>
    <row r="1847" customFormat="false" ht="15" hidden="false" customHeight="true" outlineLevel="0" collapsed="false">
      <c r="A1847" s="6" t="s">
        <v>17459</v>
      </c>
      <c r="B1847" s="6" t="s">
        <v>1333</v>
      </c>
      <c r="C1847" s="6" t="s">
        <v>124</v>
      </c>
      <c r="D1847" s="6" t="s">
        <v>45</v>
      </c>
      <c r="E1847" s="14" t="n">
        <v>2899.14</v>
      </c>
      <c r="F1847" s="14" t="n">
        <v>2899.14</v>
      </c>
      <c r="G1847" s="6" t="s">
        <v>15614</v>
      </c>
    </row>
    <row r="1848" customFormat="false" ht="15" hidden="false" customHeight="true" outlineLevel="0" collapsed="false">
      <c r="A1848" s="6" t="s">
        <v>17460</v>
      </c>
      <c r="B1848" s="6" t="s">
        <v>1333</v>
      </c>
      <c r="C1848" s="6" t="s">
        <v>124</v>
      </c>
      <c r="D1848" s="6" t="s">
        <v>46</v>
      </c>
      <c r="E1848" s="14" t="n">
        <v>2899.14</v>
      </c>
      <c r="F1848" s="14" t="n">
        <v>5798.28</v>
      </c>
      <c r="G1848" s="6" t="s">
        <v>15614</v>
      </c>
    </row>
    <row r="1849" customFormat="false" ht="15" hidden="false" customHeight="true" outlineLevel="0" collapsed="false">
      <c r="A1849" s="6" t="s">
        <v>17461</v>
      </c>
      <c r="B1849" s="6" t="s">
        <v>1335</v>
      </c>
      <c r="C1849" s="6" t="s">
        <v>131</v>
      </c>
      <c r="D1849" s="6" t="s">
        <v>46</v>
      </c>
      <c r="E1849" s="14" t="n">
        <v>2404.91</v>
      </c>
      <c r="F1849" s="14" t="n">
        <v>2404.91</v>
      </c>
      <c r="G1849" s="6" t="s">
        <v>15614</v>
      </c>
    </row>
    <row r="1850" customFormat="false" ht="15" hidden="false" customHeight="true" outlineLevel="0" collapsed="false">
      <c r="A1850" s="6" t="s">
        <v>17462</v>
      </c>
      <c r="B1850" s="6" t="s">
        <v>1335</v>
      </c>
      <c r="C1850" s="6" t="s">
        <v>131</v>
      </c>
      <c r="D1850" s="6" t="s">
        <v>47</v>
      </c>
      <c r="E1850" s="14" t="n">
        <v>2404.91</v>
      </c>
      <c r="F1850" s="14" t="n">
        <v>4809.82</v>
      </c>
      <c r="G1850" s="6" t="s">
        <v>15614</v>
      </c>
    </row>
    <row r="1851" customFormat="false" ht="15" hidden="false" customHeight="true" outlineLevel="0" collapsed="false">
      <c r="A1851" s="6" t="s">
        <v>17463</v>
      </c>
      <c r="B1851" s="6" t="s">
        <v>1335</v>
      </c>
      <c r="C1851" s="6" t="s">
        <v>131</v>
      </c>
      <c r="D1851" s="6" t="s">
        <v>48</v>
      </c>
      <c r="E1851" s="14" t="n">
        <v>2404.91</v>
      </c>
      <c r="F1851" s="14" t="n">
        <v>7214.73</v>
      </c>
      <c r="G1851" s="6" t="s">
        <v>15614</v>
      </c>
    </row>
    <row r="1852" customFormat="false" ht="15" hidden="false" customHeight="true" outlineLevel="0" collapsed="false">
      <c r="A1852" s="6" t="s">
        <v>17464</v>
      </c>
      <c r="B1852" s="6" t="s">
        <v>1335</v>
      </c>
      <c r="C1852" s="6" t="s">
        <v>131</v>
      </c>
      <c r="D1852" s="6" t="s">
        <v>49</v>
      </c>
      <c r="E1852" s="14" t="n">
        <v>2404.91</v>
      </c>
      <c r="F1852" s="14" t="n">
        <v>9619.64</v>
      </c>
      <c r="G1852" s="6" t="s">
        <v>15614</v>
      </c>
    </row>
    <row r="1853" customFormat="false" ht="15" hidden="false" customHeight="true" outlineLevel="0" collapsed="false">
      <c r="A1853" s="6" t="s">
        <v>17465</v>
      </c>
      <c r="B1853" s="6" t="s">
        <v>1337</v>
      </c>
      <c r="C1853" s="6" t="s">
        <v>120</v>
      </c>
      <c r="D1853" s="6" t="s">
        <v>20</v>
      </c>
      <c r="E1853" s="14" t="n">
        <v>172.03</v>
      </c>
      <c r="F1853" s="14" t="n">
        <v>172.03</v>
      </c>
      <c r="G1853" s="6" t="s">
        <v>15614</v>
      </c>
    </row>
    <row r="1854" customFormat="false" ht="15" hidden="false" customHeight="true" outlineLevel="0" collapsed="false">
      <c r="A1854" s="6" t="s">
        <v>17466</v>
      </c>
      <c r="B1854" s="6" t="s">
        <v>1337</v>
      </c>
      <c r="C1854" s="6" t="s">
        <v>120</v>
      </c>
      <c r="D1854" s="6" t="s">
        <v>21</v>
      </c>
      <c r="E1854" s="14" t="n">
        <v>172.03</v>
      </c>
      <c r="F1854" s="14" t="n">
        <v>344.06</v>
      </c>
      <c r="G1854" s="6" t="s">
        <v>15614</v>
      </c>
    </row>
    <row r="1855" customFormat="false" ht="15" hidden="false" customHeight="true" outlineLevel="0" collapsed="false">
      <c r="A1855" s="6" t="s">
        <v>17467</v>
      </c>
      <c r="B1855" s="6" t="s">
        <v>1337</v>
      </c>
      <c r="C1855" s="6" t="s">
        <v>120</v>
      </c>
      <c r="D1855" s="6" t="s">
        <v>22</v>
      </c>
      <c r="E1855" s="14" t="n">
        <v>172.03</v>
      </c>
      <c r="F1855" s="14" t="n">
        <v>516.09</v>
      </c>
      <c r="G1855" s="6" t="s">
        <v>15614</v>
      </c>
    </row>
    <row r="1856" customFormat="false" ht="15" hidden="false" customHeight="true" outlineLevel="0" collapsed="false">
      <c r="A1856" s="6" t="s">
        <v>17468</v>
      </c>
      <c r="B1856" s="6" t="s">
        <v>1337</v>
      </c>
      <c r="C1856" s="6" t="s">
        <v>120</v>
      </c>
      <c r="D1856" s="6" t="s">
        <v>23</v>
      </c>
      <c r="E1856" s="14" t="n">
        <v>172.03</v>
      </c>
      <c r="F1856" s="14" t="n">
        <v>688.12</v>
      </c>
      <c r="G1856" s="6" t="s">
        <v>15614</v>
      </c>
    </row>
    <row r="1857" customFormat="false" ht="15" hidden="false" customHeight="true" outlineLevel="0" collapsed="false">
      <c r="A1857" s="6" t="s">
        <v>17469</v>
      </c>
      <c r="B1857" s="6" t="s">
        <v>1337</v>
      </c>
      <c r="C1857" s="6" t="s">
        <v>120</v>
      </c>
      <c r="D1857" s="6" t="s">
        <v>24</v>
      </c>
      <c r="E1857" s="14" t="n">
        <v>172.03</v>
      </c>
      <c r="F1857" s="14" t="n">
        <v>860.15</v>
      </c>
      <c r="G1857" s="6" t="s">
        <v>15614</v>
      </c>
    </row>
    <row r="1858" customFormat="false" ht="15" hidden="false" customHeight="true" outlineLevel="0" collapsed="false">
      <c r="A1858" s="6" t="s">
        <v>17470</v>
      </c>
      <c r="B1858" s="6" t="s">
        <v>1339</v>
      </c>
      <c r="C1858" s="6" t="s">
        <v>124</v>
      </c>
      <c r="D1858" s="6" t="s">
        <v>17</v>
      </c>
      <c r="E1858" s="14" t="n">
        <v>1409.86</v>
      </c>
      <c r="F1858" s="14" t="n">
        <v>1409.86</v>
      </c>
      <c r="G1858" s="6" t="s">
        <v>15614</v>
      </c>
    </row>
    <row r="1859" customFormat="false" ht="15" hidden="false" customHeight="true" outlineLevel="0" collapsed="false">
      <c r="A1859" s="6" t="s">
        <v>17471</v>
      </c>
      <c r="B1859" s="6" t="s">
        <v>1339</v>
      </c>
      <c r="C1859" s="6" t="s">
        <v>124</v>
      </c>
      <c r="D1859" s="6" t="s">
        <v>18</v>
      </c>
      <c r="E1859" s="14" t="n">
        <v>1409.86</v>
      </c>
      <c r="F1859" s="14" t="n">
        <v>2819.72</v>
      </c>
      <c r="G1859" s="6" t="s">
        <v>15614</v>
      </c>
    </row>
    <row r="1860" customFormat="false" ht="15" hidden="false" customHeight="true" outlineLevel="0" collapsed="false">
      <c r="A1860" s="6" t="s">
        <v>17472</v>
      </c>
      <c r="B1860" s="6" t="s">
        <v>1341</v>
      </c>
      <c r="C1860" s="6" t="s">
        <v>131</v>
      </c>
      <c r="D1860" s="6" t="s">
        <v>47</v>
      </c>
      <c r="E1860" s="14" t="n">
        <v>4412.74</v>
      </c>
      <c r="F1860" s="14" t="n">
        <v>4412.74</v>
      </c>
      <c r="G1860" s="6" t="s">
        <v>15614</v>
      </c>
    </row>
    <row r="1861" customFormat="false" ht="15" hidden="false" customHeight="true" outlineLevel="0" collapsed="false">
      <c r="A1861" s="6" t="s">
        <v>17473</v>
      </c>
      <c r="B1861" s="6" t="s">
        <v>1341</v>
      </c>
      <c r="C1861" s="6" t="s">
        <v>131</v>
      </c>
      <c r="D1861" s="6" t="s">
        <v>48</v>
      </c>
      <c r="E1861" s="14" t="n">
        <v>4412.74</v>
      </c>
      <c r="F1861" s="14" t="n">
        <v>8825.48</v>
      </c>
      <c r="G1861" s="6" t="s">
        <v>15614</v>
      </c>
    </row>
    <row r="1862" customFormat="false" ht="15" hidden="false" customHeight="true" outlineLevel="0" collapsed="false">
      <c r="A1862" s="6" t="s">
        <v>17474</v>
      </c>
      <c r="B1862" s="6" t="s">
        <v>1343</v>
      </c>
      <c r="C1862" s="6" t="s">
        <v>112</v>
      </c>
      <c r="D1862" s="6" t="s">
        <v>23</v>
      </c>
      <c r="E1862" s="14" t="n">
        <v>1826.29</v>
      </c>
      <c r="F1862" s="14" t="n">
        <v>1826.29</v>
      </c>
      <c r="G1862" s="6" t="s">
        <v>15614</v>
      </c>
    </row>
    <row r="1863" customFormat="false" ht="15" hidden="false" customHeight="true" outlineLevel="0" collapsed="false">
      <c r="A1863" s="6" t="s">
        <v>17475</v>
      </c>
      <c r="B1863" s="6" t="s">
        <v>1343</v>
      </c>
      <c r="C1863" s="6" t="s">
        <v>112</v>
      </c>
      <c r="D1863" s="6" t="s">
        <v>24</v>
      </c>
      <c r="E1863" s="14" t="n">
        <v>1826.29</v>
      </c>
      <c r="F1863" s="14" t="n">
        <v>3652.58</v>
      </c>
      <c r="G1863" s="6" t="s">
        <v>15614</v>
      </c>
    </row>
    <row r="1864" customFormat="false" ht="15" hidden="false" customHeight="true" outlineLevel="0" collapsed="false">
      <c r="A1864" s="6" t="s">
        <v>17476</v>
      </c>
      <c r="B1864" s="6" t="s">
        <v>1343</v>
      </c>
      <c r="C1864" s="6" t="s">
        <v>112</v>
      </c>
      <c r="D1864" s="6" t="s">
        <v>25</v>
      </c>
      <c r="E1864" s="14" t="n">
        <v>1826.29</v>
      </c>
      <c r="F1864" s="14" t="n">
        <v>5478.87</v>
      </c>
      <c r="G1864" s="6" t="s">
        <v>15614</v>
      </c>
    </row>
    <row r="1865" customFormat="false" ht="15" hidden="false" customHeight="true" outlineLevel="0" collapsed="false">
      <c r="A1865" s="6" t="s">
        <v>17477</v>
      </c>
      <c r="B1865" s="6" t="s">
        <v>1343</v>
      </c>
      <c r="C1865" s="6" t="s">
        <v>112</v>
      </c>
      <c r="D1865" s="6" t="s">
        <v>26</v>
      </c>
      <c r="E1865" s="14" t="n">
        <v>1826.29</v>
      </c>
      <c r="F1865" s="14" t="n">
        <v>7305.16</v>
      </c>
      <c r="G1865" s="6" t="s">
        <v>15614</v>
      </c>
    </row>
    <row r="1866" customFormat="false" ht="15" hidden="false" customHeight="true" outlineLevel="0" collapsed="false">
      <c r="A1866" s="6" t="s">
        <v>17478</v>
      </c>
      <c r="B1866" s="6" t="s">
        <v>1343</v>
      </c>
      <c r="C1866" s="6" t="s">
        <v>112</v>
      </c>
      <c r="D1866" s="6" t="s">
        <v>27</v>
      </c>
      <c r="E1866" s="14" t="n">
        <v>1826.29</v>
      </c>
      <c r="F1866" s="14" t="n">
        <v>9131.45</v>
      </c>
      <c r="G1866" s="6" t="s">
        <v>15614</v>
      </c>
    </row>
    <row r="1867" customFormat="false" ht="15" hidden="false" customHeight="true" outlineLevel="0" collapsed="false">
      <c r="A1867" s="6" t="s">
        <v>17479</v>
      </c>
      <c r="B1867" s="6" t="s">
        <v>1345</v>
      </c>
      <c r="C1867" s="6" t="s">
        <v>116</v>
      </c>
      <c r="D1867" s="6" t="s">
        <v>61</v>
      </c>
      <c r="E1867" s="14" t="n">
        <v>321.67</v>
      </c>
      <c r="F1867" s="14" t="n">
        <v>321.67</v>
      </c>
      <c r="G1867" s="6" t="s">
        <v>15614</v>
      </c>
    </row>
    <row r="1868" customFormat="false" ht="15" hidden="false" customHeight="true" outlineLevel="0" collapsed="false">
      <c r="A1868" s="6" t="s">
        <v>17480</v>
      </c>
      <c r="B1868" s="6" t="s">
        <v>1345</v>
      </c>
      <c r="C1868" s="6" t="s">
        <v>116</v>
      </c>
      <c r="D1868" s="6" t="s">
        <v>62</v>
      </c>
      <c r="E1868" s="14" t="n">
        <v>321.67</v>
      </c>
      <c r="F1868" s="14" t="n">
        <v>643.34</v>
      </c>
      <c r="G1868" s="6" t="s">
        <v>15614</v>
      </c>
    </row>
    <row r="1869" customFormat="false" ht="15" hidden="false" customHeight="true" outlineLevel="0" collapsed="false">
      <c r="A1869" s="6" t="s">
        <v>17481</v>
      </c>
      <c r="B1869" s="6" t="s">
        <v>1345</v>
      </c>
      <c r="C1869" s="6" t="s">
        <v>116</v>
      </c>
      <c r="D1869" s="6" t="s">
        <v>63</v>
      </c>
      <c r="E1869" s="14" t="n">
        <v>321.67</v>
      </c>
      <c r="F1869" s="14" t="n">
        <v>965.01</v>
      </c>
      <c r="G1869" s="6" t="s">
        <v>15614</v>
      </c>
    </row>
    <row r="1870" customFormat="false" ht="15" hidden="false" customHeight="true" outlineLevel="0" collapsed="false">
      <c r="A1870" s="6" t="s">
        <v>17482</v>
      </c>
      <c r="B1870" s="6" t="s">
        <v>1347</v>
      </c>
      <c r="C1870" s="6" t="s">
        <v>128</v>
      </c>
      <c r="D1870" s="6" t="s">
        <v>47</v>
      </c>
      <c r="E1870" s="14" t="n">
        <v>4190.52</v>
      </c>
      <c r="F1870" s="14" t="n">
        <v>4190.52</v>
      </c>
      <c r="G1870" s="6" t="s">
        <v>15614</v>
      </c>
    </row>
    <row r="1871" customFormat="false" ht="15" hidden="false" customHeight="true" outlineLevel="0" collapsed="false">
      <c r="A1871" s="6" t="s">
        <v>17483</v>
      </c>
      <c r="B1871" s="6" t="s">
        <v>1349</v>
      </c>
      <c r="C1871" s="6" t="s">
        <v>116</v>
      </c>
      <c r="D1871" s="6" t="s">
        <v>62</v>
      </c>
      <c r="E1871" s="14" t="n">
        <v>6052.35</v>
      </c>
      <c r="F1871" s="14" t="n">
        <v>6052.35</v>
      </c>
      <c r="G1871" s="6" t="s">
        <v>15614</v>
      </c>
    </row>
    <row r="1872" customFormat="false" ht="15" hidden="false" customHeight="true" outlineLevel="0" collapsed="false">
      <c r="A1872" s="6" t="s">
        <v>17484</v>
      </c>
      <c r="B1872" s="6" t="s">
        <v>1349</v>
      </c>
      <c r="C1872" s="6" t="s">
        <v>116</v>
      </c>
      <c r="D1872" s="6" t="s">
        <v>63</v>
      </c>
      <c r="E1872" s="14" t="n">
        <v>6052.35</v>
      </c>
      <c r="F1872" s="14" t="n">
        <v>12104.7</v>
      </c>
      <c r="G1872" s="6" t="s">
        <v>15614</v>
      </c>
    </row>
    <row r="1873" customFormat="false" ht="15" hidden="false" customHeight="true" outlineLevel="0" collapsed="false">
      <c r="A1873" s="6" t="s">
        <v>17485</v>
      </c>
      <c r="B1873" s="6" t="s">
        <v>1349</v>
      </c>
      <c r="C1873" s="6" t="s">
        <v>116</v>
      </c>
      <c r="D1873" s="6" t="s">
        <v>64</v>
      </c>
      <c r="E1873" s="14" t="n">
        <v>6052.35</v>
      </c>
      <c r="F1873" s="14" t="n">
        <v>18157.05</v>
      </c>
      <c r="G1873" s="6" t="s">
        <v>15614</v>
      </c>
    </row>
    <row r="1874" customFormat="false" ht="15" hidden="false" customHeight="true" outlineLevel="0" collapsed="false">
      <c r="A1874" s="6" t="s">
        <v>17486</v>
      </c>
      <c r="B1874" s="6" t="s">
        <v>1349</v>
      </c>
      <c r="C1874" s="6" t="s">
        <v>116</v>
      </c>
      <c r="D1874" s="6" t="s">
        <v>65</v>
      </c>
      <c r="E1874" s="14" t="n">
        <v>6052.35</v>
      </c>
      <c r="F1874" s="14" t="n">
        <v>24209.4</v>
      </c>
      <c r="G1874" s="6" t="s">
        <v>15614</v>
      </c>
    </row>
    <row r="1875" customFormat="false" ht="15" hidden="false" customHeight="true" outlineLevel="0" collapsed="false">
      <c r="A1875" s="6" t="s">
        <v>17487</v>
      </c>
      <c r="B1875" s="6" t="s">
        <v>1351</v>
      </c>
      <c r="C1875" s="6" t="s">
        <v>124</v>
      </c>
      <c r="D1875" s="6" t="s">
        <v>16</v>
      </c>
      <c r="E1875" s="14" t="n">
        <v>1029.03</v>
      </c>
      <c r="F1875" s="14" t="n">
        <v>1029.03</v>
      </c>
      <c r="G1875" s="6" t="s">
        <v>15614</v>
      </c>
    </row>
    <row r="1876" customFormat="false" ht="15" hidden="false" customHeight="true" outlineLevel="0" collapsed="false">
      <c r="A1876" s="6" t="s">
        <v>17488</v>
      </c>
      <c r="B1876" s="6" t="s">
        <v>1351</v>
      </c>
      <c r="C1876" s="6" t="s">
        <v>124</v>
      </c>
      <c r="D1876" s="6" t="s">
        <v>17</v>
      </c>
      <c r="E1876" s="14" t="n">
        <v>1029.03</v>
      </c>
      <c r="F1876" s="14" t="n">
        <v>2058.06</v>
      </c>
      <c r="G1876" s="6" t="s">
        <v>15614</v>
      </c>
    </row>
    <row r="1877" customFormat="false" ht="15" hidden="false" customHeight="true" outlineLevel="0" collapsed="false">
      <c r="A1877" s="6" t="s">
        <v>17489</v>
      </c>
      <c r="B1877" s="6" t="s">
        <v>1351</v>
      </c>
      <c r="C1877" s="6" t="s">
        <v>124</v>
      </c>
      <c r="D1877" s="6" t="s">
        <v>18</v>
      </c>
      <c r="E1877" s="14" t="n">
        <v>1029.03</v>
      </c>
      <c r="F1877" s="14" t="n">
        <v>3087.09</v>
      </c>
      <c r="G1877" s="6" t="s">
        <v>15614</v>
      </c>
    </row>
    <row r="1878" customFormat="false" ht="15" hidden="false" customHeight="true" outlineLevel="0" collapsed="false">
      <c r="A1878" s="6" t="s">
        <v>17490</v>
      </c>
      <c r="B1878" s="6" t="s">
        <v>1353</v>
      </c>
      <c r="C1878" s="6" t="s">
        <v>131</v>
      </c>
      <c r="D1878" s="6" t="s">
        <v>60</v>
      </c>
      <c r="E1878" s="14" t="n">
        <v>2103.09</v>
      </c>
      <c r="F1878" s="14" t="n">
        <v>2103.09</v>
      </c>
      <c r="G1878" s="6" t="s">
        <v>15614</v>
      </c>
    </row>
    <row r="1879" customFormat="false" ht="15" hidden="false" customHeight="true" outlineLevel="0" collapsed="false">
      <c r="A1879" s="6" t="s">
        <v>17491</v>
      </c>
      <c r="B1879" s="6" t="s">
        <v>1355</v>
      </c>
      <c r="C1879" s="6" t="s">
        <v>116</v>
      </c>
      <c r="D1879" s="6" t="s">
        <v>25</v>
      </c>
      <c r="E1879" s="14" t="n">
        <v>6186.97</v>
      </c>
      <c r="F1879" s="14" t="n">
        <v>6186.97</v>
      </c>
      <c r="G1879" s="6" t="s">
        <v>15614</v>
      </c>
    </row>
    <row r="1880" customFormat="false" ht="15" hidden="false" customHeight="true" outlineLevel="0" collapsed="false">
      <c r="A1880" s="6" t="s">
        <v>17492</v>
      </c>
      <c r="B1880" s="6" t="s">
        <v>1355</v>
      </c>
      <c r="C1880" s="6" t="s">
        <v>116</v>
      </c>
      <c r="D1880" s="6" t="s">
        <v>26</v>
      </c>
      <c r="E1880" s="14" t="n">
        <v>6186.97</v>
      </c>
      <c r="F1880" s="14" t="n">
        <v>12373.94</v>
      </c>
      <c r="G1880" s="6" t="s">
        <v>15614</v>
      </c>
    </row>
    <row r="1881" customFormat="false" ht="15" hidden="false" customHeight="true" outlineLevel="0" collapsed="false">
      <c r="A1881" s="6" t="s">
        <v>17493</v>
      </c>
      <c r="B1881" s="6" t="s">
        <v>1357</v>
      </c>
      <c r="C1881" s="6" t="s">
        <v>112</v>
      </c>
      <c r="D1881" s="6" t="s">
        <v>11</v>
      </c>
      <c r="E1881" s="14" t="n">
        <v>2546.35</v>
      </c>
      <c r="F1881" s="14" t="n">
        <v>2546.35</v>
      </c>
      <c r="G1881" s="6" t="s">
        <v>15614</v>
      </c>
    </row>
    <row r="1882" customFormat="false" ht="15" hidden="false" customHeight="true" outlineLevel="0" collapsed="false">
      <c r="A1882" s="6" t="s">
        <v>17494</v>
      </c>
      <c r="B1882" s="6" t="s">
        <v>1357</v>
      </c>
      <c r="C1882" s="6" t="s">
        <v>112</v>
      </c>
      <c r="D1882" s="6" t="s">
        <v>12</v>
      </c>
      <c r="E1882" s="14" t="n">
        <v>2546.35</v>
      </c>
      <c r="F1882" s="14" t="n">
        <v>5092.7</v>
      </c>
      <c r="G1882" s="6" t="s">
        <v>15614</v>
      </c>
    </row>
    <row r="1883" customFormat="false" ht="15" hidden="false" customHeight="true" outlineLevel="0" collapsed="false">
      <c r="A1883" s="6" t="s">
        <v>17495</v>
      </c>
      <c r="B1883" s="6" t="s">
        <v>1357</v>
      </c>
      <c r="C1883" s="6" t="s">
        <v>112</v>
      </c>
      <c r="D1883" s="6" t="s">
        <v>13</v>
      </c>
      <c r="E1883" s="14" t="n">
        <v>2546.35</v>
      </c>
      <c r="F1883" s="14" t="n">
        <v>7639.05</v>
      </c>
      <c r="G1883" s="6" t="s">
        <v>15614</v>
      </c>
    </row>
    <row r="1884" customFormat="false" ht="15" hidden="false" customHeight="true" outlineLevel="0" collapsed="false">
      <c r="A1884" s="6" t="s">
        <v>17496</v>
      </c>
      <c r="B1884" s="6" t="s">
        <v>1359</v>
      </c>
      <c r="C1884" s="6" t="s">
        <v>116</v>
      </c>
      <c r="D1884" s="6" t="s">
        <v>20</v>
      </c>
      <c r="E1884" s="14" t="n">
        <v>273.09</v>
      </c>
      <c r="F1884" s="14" t="n">
        <v>273.09</v>
      </c>
      <c r="G1884" s="6" t="s">
        <v>15614</v>
      </c>
    </row>
    <row r="1885" customFormat="false" ht="15" hidden="false" customHeight="true" outlineLevel="0" collapsed="false">
      <c r="A1885" s="6" t="s">
        <v>17497</v>
      </c>
      <c r="B1885" s="6" t="s">
        <v>1359</v>
      </c>
      <c r="C1885" s="6" t="s">
        <v>116</v>
      </c>
      <c r="D1885" s="6" t="s">
        <v>21</v>
      </c>
      <c r="E1885" s="14" t="n">
        <v>273.09</v>
      </c>
      <c r="F1885" s="14" t="n">
        <v>546.18</v>
      </c>
      <c r="G1885" s="6" t="s">
        <v>15614</v>
      </c>
    </row>
    <row r="1886" customFormat="false" ht="15" hidden="false" customHeight="true" outlineLevel="0" collapsed="false">
      <c r="A1886" s="6" t="s">
        <v>17498</v>
      </c>
      <c r="B1886" s="6" t="s">
        <v>1359</v>
      </c>
      <c r="C1886" s="6" t="s">
        <v>116</v>
      </c>
      <c r="D1886" s="6" t="s">
        <v>22</v>
      </c>
      <c r="E1886" s="14" t="n">
        <v>273.09</v>
      </c>
      <c r="F1886" s="14" t="n">
        <v>819.27</v>
      </c>
      <c r="G1886" s="6" t="s">
        <v>15614</v>
      </c>
    </row>
    <row r="1887" customFormat="false" ht="15" hidden="false" customHeight="true" outlineLevel="0" collapsed="false">
      <c r="A1887" s="6" t="s">
        <v>17499</v>
      </c>
      <c r="B1887" s="6" t="s">
        <v>1359</v>
      </c>
      <c r="C1887" s="6" t="s">
        <v>116</v>
      </c>
      <c r="D1887" s="6" t="s">
        <v>23</v>
      </c>
      <c r="E1887" s="14" t="n">
        <v>273.09</v>
      </c>
      <c r="F1887" s="14" t="n">
        <v>1092.36</v>
      </c>
      <c r="G1887" s="6" t="s">
        <v>15614</v>
      </c>
    </row>
    <row r="1888" customFormat="false" ht="15" hidden="false" customHeight="true" outlineLevel="0" collapsed="false">
      <c r="A1888" s="6" t="s">
        <v>17500</v>
      </c>
      <c r="B1888" s="6" t="s">
        <v>1361</v>
      </c>
      <c r="C1888" s="6" t="s">
        <v>120</v>
      </c>
      <c r="D1888" s="6" t="s">
        <v>42</v>
      </c>
      <c r="E1888" s="14" t="n">
        <v>5538.45</v>
      </c>
      <c r="F1888" s="14" t="n">
        <v>5538.45</v>
      </c>
      <c r="G1888" s="6" t="s">
        <v>15614</v>
      </c>
    </row>
    <row r="1889" customFormat="false" ht="15" hidden="false" customHeight="true" outlineLevel="0" collapsed="false">
      <c r="A1889" s="6" t="s">
        <v>17501</v>
      </c>
      <c r="B1889" s="6" t="s">
        <v>1361</v>
      </c>
      <c r="C1889" s="6" t="s">
        <v>120</v>
      </c>
      <c r="D1889" s="6" t="s">
        <v>43</v>
      </c>
      <c r="E1889" s="14" t="n">
        <v>5538.45</v>
      </c>
      <c r="F1889" s="14" t="n">
        <v>11076.9</v>
      </c>
      <c r="G1889" s="6" t="s">
        <v>15614</v>
      </c>
    </row>
    <row r="1890" customFormat="false" ht="15" hidden="false" customHeight="true" outlineLevel="0" collapsed="false">
      <c r="A1890" s="6" t="s">
        <v>17502</v>
      </c>
      <c r="B1890" s="6" t="s">
        <v>1361</v>
      </c>
      <c r="C1890" s="6" t="s">
        <v>120</v>
      </c>
      <c r="D1890" s="6" t="s">
        <v>44</v>
      </c>
      <c r="E1890" s="14" t="n">
        <v>5538.45</v>
      </c>
      <c r="F1890" s="14" t="n">
        <v>16615.35</v>
      </c>
      <c r="G1890" s="6" t="s">
        <v>15614</v>
      </c>
    </row>
    <row r="1891" customFormat="false" ht="15" hidden="false" customHeight="true" outlineLevel="0" collapsed="false">
      <c r="A1891" s="6" t="s">
        <v>17503</v>
      </c>
      <c r="B1891" s="6" t="s">
        <v>1363</v>
      </c>
      <c r="C1891" s="6" t="s">
        <v>120</v>
      </c>
      <c r="D1891" s="6" t="s">
        <v>50</v>
      </c>
      <c r="E1891" s="14" t="n">
        <v>1585.64</v>
      </c>
      <c r="F1891" s="14" t="n">
        <v>1585.64</v>
      </c>
      <c r="G1891" s="6" t="s">
        <v>15614</v>
      </c>
    </row>
    <row r="1892" customFormat="false" ht="15" hidden="false" customHeight="true" outlineLevel="0" collapsed="false">
      <c r="A1892" s="6" t="s">
        <v>17504</v>
      </c>
      <c r="B1892" s="6" t="s">
        <v>1363</v>
      </c>
      <c r="C1892" s="6" t="s">
        <v>120</v>
      </c>
      <c r="D1892" s="6" t="s">
        <v>51</v>
      </c>
      <c r="E1892" s="14" t="n">
        <v>1585.64</v>
      </c>
      <c r="F1892" s="14" t="n">
        <v>3171.28</v>
      </c>
      <c r="G1892" s="6" t="s">
        <v>15614</v>
      </c>
    </row>
    <row r="1893" customFormat="false" ht="15" hidden="false" customHeight="true" outlineLevel="0" collapsed="false">
      <c r="A1893" s="6" t="s">
        <v>17505</v>
      </c>
      <c r="B1893" s="6" t="s">
        <v>1365</v>
      </c>
      <c r="C1893" s="6" t="s">
        <v>112</v>
      </c>
      <c r="D1893" s="6" t="s">
        <v>18</v>
      </c>
      <c r="E1893" s="14" t="n">
        <v>5811.29</v>
      </c>
      <c r="F1893" s="14" t="n">
        <v>5811.29</v>
      </c>
      <c r="G1893" s="6" t="s">
        <v>15614</v>
      </c>
    </row>
    <row r="1894" customFormat="false" ht="15" hidden="false" customHeight="true" outlineLevel="0" collapsed="false">
      <c r="A1894" s="6" t="s">
        <v>17506</v>
      </c>
      <c r="B1894" s="6" t="s">
        <v>1365</v>
      </c>
      <c r="C1894" s="6" t="s">
        <v>112</v>
      </c>
      <c r="D1894" s="6" t="s">
        <v>19</v>
      </c>
      <c r="E1894" s="14" t="n">
        <v>5811.29</v>
      </c>
      <c r="F1894" s="14" t="n">
        <v>11622.58</v>
      </c>
      <c r="G1894" s="6" t="s">
        <v>15614</v>
      </c>
    </row>
    <row r="1895" customFormat="false" ht="15" hidden="false" customHeight="true" outlineLevel="0" collapsed="false">
      <c r="A1895" s="6" t="s">
        <v>17507</v>
      </c>
      <c r="B1895" s="6" t="s">
        <v>1367</v>
      </c>
      <c r="C1895" s="6" t="s">
        <v>124</v>
      </c>
      <c r="D1895" s="6" t="s">
        <v>21</v>
      </c>
      <c r="E1895" s="14" t="n">
        <v>2381.37</v>
      </c>
      <c r="F1895" s="14" t="n">
        <v>2381.37</v>
      </c>
      <c r="G1895" s="6" t="s">
        <v>15614</v>
      </c>
    </row>
    <row r="1896" customFormat="false" ht="15" hidden="false" customHeight="true" outlineLevel="0" collapsed="false">
      <c r="A1896" s="6" t="s">
        <v>17508</v>
      </c>
      <c r="B1896" s="6" t="s">
        <v>1367</v>
      </c>
      <c r="C1896" s="6" t="s">
        <v>124</v>
      </c>
      <c r="D1896" s="6" t="s">
        <v>22</v>
      </c>
      <c r="E1896" s="14" t="n">
        <v>2381.37</v>
      </c>
      <c r="F1896" s="14" t="n">
        <v>4762.74</v>
      </c>
      <c r="G1896" s="6" t="s">
        <v>15614</v>
      </c>
    </row>
    <row r="1897" customFormat="false" ht="15" hidden="false" customHeight="true" outlineLevel="0" collapsed="false">
      <c r="A1897" s="6" t="s">
        <v>17509</v>
      </c>
      <c r="B1897" s="6" t="s">
        <v>1367</v>
      </c>
      <c r="C1897" s="6" t="s">
        <v>124</v>
      </c>
      <c r="D1897" s="6" t="s">
        <v>23</v>
      </c>
      <c r="E1897" s="14" t="n">
        <v>2381.37</v>
      </c>
      <c r="F1897" s="14" t="n">
        <v>7144.11</v>
      </c>
      <c r="G1897" s="6" t="s">
        <v>15614</v>
      </c>
    </row>
    <row r="1898" customFormat="false" ht="15" hidden="false" customHeight="true" outlineLevel="0" collapsed="false">
      <c r="A1898" s="6" t="s">
        <v>17510</v>
      </c>
      <c r="B1898" s="6" t="s">
        <v>1367</v>
      </c>
      <c r="C1898" s="6" t="s">
        <v>124</v>
      </c>
      <c r="D1898" s="6" t="s">
        <v>24</v>
      </c>
      <c r="E1898" s="14" t="n">
        <v>2381.37</v>
      </c>
      <c r="F1898" s="14" t="n">
        <v>9525.48</v>
      </c>
      <c r="G1898" s="6" t="s">
        <v>15614</v>
      </c>
    </row>
    <row r="1899" customFormat="false" ht="15" hidden="false" customHeight="true" outlineLevel="0" collapsed="false">
      <c r="A1899" s="6" t="s">
        <v>17511</v>
      </c>
      <c r="B1899" s="6" t="s">
        <v>1367</v>
      </c>
      <c r="C1899" s="6" t="s">
        <v>124</v>
      </c>
      <c r="D1899" s="6" t="s">
        <v>25</v>
      </c>
      <c r="E1899" s="14" t="n">
        <v>2381.37</v>
      </c>
      <c r="F1899" s="14" t="n">
        <v>11906.85</v>
      </c>
      <c r="G1899" s="6" t="s">
        <v>15614</v>
      </c>
    </row>
    <row r="1900" customFormat="false" ht="15" hidden="false" customHeight="true" outlineLevel="0" collapsed="false">
      <c r="A1900" s="6" t="s">
        <v>17512</v>
      </c>
      <c r="B1900" s="6" t="s">
        <v>1367</v>
      </c>
      <c r="C1900" s="6" t="s">
        <v>124</v>
      </c>
      <c r="D1900" s="6" t="s">
        <v>26</v>
      </c>
      <c r="E1900" s="14" t="n">
        <v>2381.37</v>
      </c>
      <c r="F1900" s="14" t="n">
        <v>14288.22</v>
      </c>
      <c r="G1900" s="6" t="s">
        <v>15614</v>
      </c>
    </row>
    <row r="1901" customFormat="false" ht="15" hidden="false" customHeight="true" outlineLevel="0" collapsed="false">
      <c r="A1901" s="6" t="s">
        <v>17513</v>
      </c>
      <c r="B1901" s="6" t="s">
        <v>1369</v>
      </c>
      <c r="C1901" s="6" t="s">
        <v>124</v>
      </c>
      <c r="D1901" s="6" t="s">
        <v>47</v>
      </c>
      <c r="E1901" s="14" t="n">
        <v>762.35</v>
      </c>
      <c r="F1901" s="14" t="n">
        <v>762.35</v>
      </c>
      <c r="G1901" s="6" t="s">
        <v>15614</v>
      </c>
    </row>
    <row r="1902" customFormat="false" ht="15" hidden="false" customHeight="true" outlineLevel="0" collapsed="false">
      <c r="A1902" s="6" t="s">
        <v>17514</v>
      </c>
      <c r="B1902" s="6" t="s">
        <v>1369</v>
      </c>
      <c r="C1902" s="6" t="s">
        <v>124</v>
      </c>
      <c r="D1902" s="6" t="s">
        <v>48</v>
      </c>
      <c r="E1902" s="14" t="n">
        <v>762.35</v>
      </c>
      <c r="F1902" s="14" t="n">
        <v>1524.7</v>
      </c>
      <c r="G1902" s="6" t="s">
        <v>15614</v>
      </c>
    </row>
    <row r="1903" customFormat="false" ht="15" hidden="false" customHeight="true" outlineLevel="0" collapsed="false">
      <c r="A1903" s="6" t="s">
        <v>17515</v>
      </c>
      <c r="B1903" s="6" t="s">
        <v>1371</v>
      </c>
      <c r="C1903" s="6" t="s">
        <v>112</v>
      </c>
      <c r="D1903" s="6" t="s">
        <v>21</v>
      </c>
      <c r="E1903" s="14" t="n">
        <v>542.41</v>
      </c>
      <c r="F1903" s="14" t="n">
        <v>542.41</v>
      </c>
      <c r="G1903" s="6" t="s">
        <v>15614</v>
      </c>
    </row>
    <row r="1904" customFormat="false" ht="15" hidden="false" customHeight="true" outlineLevel="0" collapsed="false">
      <c r="A1904" s="6" t="s">
        <v>17516</v>
      </c>
      <c r="B1904" s="6" t="s">
        <v>1371</v>
      </c>
      <c r="C1904" s="6" t="s">
        <v>112</v>
      </c>
      <c r="D1904" s="6" t="s">
        <v>22</v>
      </c>
      <c r="E1904" s="14" t="n">
        <v>542.41</v>
      </c>
      <c r="F1904" s="14" t="n">
        <v>1084.82</v>
      </c>
      <c r="G1904" s="6" t="s">
        <v>15614</v>
      </c>
    </row>
    <row r="1905" customFormat="false" ht="15" hidden="false" customHeight="true" outlineLevel="0" collapsed="false">
      <c r="A1905" s="6" t="s">
        <v>17517</v>
      </c>
      <c r="B1905" s="6" t="s">
        <v>1373</v>
      </c>
      <c r="C1905" s="6" t="s">
        <v>128</v>
      </c>
      <c r="D1905" s="6" t="s">
        <v>20</v>
      </c>
      <c r="E1905" s="14" t="n">
        <v>286.45</v>
      </c>
      <c r="F1905" s="14" t="n">
        <v>286.45</v>
      </c>
      <c r="G1905" s="6" t="s">
        <v>15614</v>
      </c>
    </row>
    <row r="1906" customFormat="false" ht="15" hidden="false" customHeight="true" outlineLevel="0" collapsed="false">
      <c r="A1906" s="6" t="s">
        <v>17518</v>
      </c>
      <c r="B1906" s="6" t="s">
        <v>1373</v>
      </c>
      <c r="C1906" s="6" t="s">
        <v>128</v>
      </c>
      <c r="D1906" s="6" t="s">
        <v>21</v>
      </c>
      <c r="E1906" s="14" t="n">
        <v>286.45</v>
      </c>
      <c r="F1906" s="14" t="n">
        <v>572.9</v>
      </c>
      <c r="G1906" s="6" t="s">
        <v>15614</v>
      </c>
    </row>
    <row r="1907" customFormat="false" ht="15" hidden="false" customHeight="true" outlineLevel="0" collapsed="false">
      <c r="A1907" s="6" t="s">
        <v>17519</v>
      </c>
      <c r="B1907" s="6" t="s">
        <v>1373</v>
      </c>
      <c r="C1907" s="6" t="s">
        <v>128</v>
      </c>
      <c r="D1907" s="6" t="s">
        <v>22</v>
      </c>
      <c r="E1907" s="14" t="n">
        <v>286.45</v>
      </c>
      <c r="F1907" s="14" t="n">
        <v>859.35</v>
      </c>
      <c r="G1907" s="6" t="s">
        <v>15614</v>
      </c>
    </row>
    <row r="1908" customFormat="false" ht="15" hidden="false" customHeight="true" outlineLevel="0" collapsed="false">
      <c r="A1908" s="6" t="s">
        <v>17520</v>
      </c>
      <c r="B1908" s="6" t="s">
        <v>1373</v>
      </c>
      <c r="C1908" s="6" t="s">
        <v>128</v>
      </c>
      <c r="D1908" s="6" t="s">
        <v>23</v>
      </c>
      <c r="E1908" s="14" t="n">
        <v>286.45</v>
      </c>
      <c r="F1908" s="14" t="n">
        <v>1145.8</v>
      </c>
      <c r="G1908" s="6" t="s">
        <v>15614</v>
      </c>
    </row>
    <row r="1909" customFormat="false" ht="15" hidden="false" customHeight="true" outlineLevel="0" collapsed="false">
      <c r="A1909" s="6" t="s">
        <v>17521</v>
      </c>
      <c r="B1909" s="6" t="s">
        <v>1375</v>
      </c>
      <c r="C1909" s="6" t="s">
        <v>120</v>
      </c>
      <c r="D1909" s="6" t="s">
        <v>15</v>
      </c>
      <c r="E1909" s="14" t="n">
        <v>180.32</v>
      </c>
      <c r="F1909" s="14" t="n">
        <v>180.32</v>
      </c>
      <c r="G1909" s="6" t="s">
        <v>15614</v>
      </c>
    </row>
    <row r="1910" customFormat="false" ht="15" hidden="false" customHeight="true" outlineLevel="0" collapsed="false">
      <c r="A1910" s="6" t="s">
        <v>17522</v>
      </c>
      <c r="B1910" s="6" t="s">
        <v>1375</v>
      </c>
      <c r="C1910" s="6" t="s">
        <v>120</v>
      </c>
      <c r="D1910" s="6" t="s">
        <v>16</v>
      </c>
      <c r="E1910" s="14" t="n">
        <v>180.32</v>
      </c>
      <c r="F1910" s="14" t="n">
        <v>360.64</v>
      </c>
      <c r="G1910" s="6" t="s">
        <v>15614</v>
      </c>
    </row>
    <row r="1911" customFormat="false" ht="15" hidden="false" customHeight="true" outlineLevel="0" collapsed="false">
      <c r="A1911" s="6" t="s">
        <v>17523</v>
      </c>
      <c r="B1911" s="6" t="s">
        <v>1375</v>
      </c>
      <c r="C1911" s="6" t="s">
        <v>120</v>
      </c>
      <c r="D1911" s="6" t="s">
        <v>17</v>
      </c>
      <c r="E1911" s="14" t="n">
        <v>180.32</v>
      </c>
      <c r="F1911" s="14" t="n">
        <v>540.96</v>
      </c>
      <c r="G1911" s="6" t="s">
        <v>15614</v>
      </c>
    </row>
    <row r="1912" customFormat="false" ht="15" hidden="false" customHeight="true" outlineLevel="0" collapsed="false">
      <c r="A1912" s="6" t="s">
        <v>17524</v>
      </c>
      <c r="B1912" s="6" t="s">
        <v>1377</v>
      </c>
      <c r="C1912" s="6" t="s">
        <v>128</v>
      </c>
      <c r="D1912" s="6" t="s">
        <v>53</v>
      </c>
      <c r="E1912" s="14" t="n">
        <v>955.75</v>
      </c>
      <c r="F1912" s="14" t="n">
        <v>955.75</v>
      </c>
      <c r="G1912" s="6" t="s">
        <v>15614</v>
      </c>
    </row>
    <row r="1913" customFormat="false" ht="15" hidden="false" customHeight="true" outlineLevel="0" collapsed="false">
      <c r="A1913" s="6" t="s">
        <v>17525</v>
      </c>
      <c r="B1913" s="6" t="s">
        <v>1377</v>
      </c>
      <c r="C1913" s="6" t="s">
        <v>128</v>
      </c>
      <c r="D1913" s="6" t="s">
        <v>54</v>
      </c>
      <c r="E1913" s="14" t="n">
        <v>955.75</v>
      </c>
      <c r="F1913" s="14" t="n">
        <v>1911.5</v>
      </c>
      <c r="G1913" s="6" t="s">
        <v>15614</v>
      </c>
    </row>
    <row r="1914" customFormat="false" ht="15" hidden="false" customHeight="true" outlineLevel="0" collapsed="false">
      <c r="A1914" s="6" t="s">
        <v>17526</v>
      </c>
      <c r="B1914" s="6" t="s">
        <v>1379</v>
      </c>
      <c r="C1914" s="6" t="s">
        <v>131</v>
      </c>
      <c r="D1914" s="6" t="s">
        <v>53</v>
      </c>
      <c r="E1914" s="14" t="n">
        <v>1155.8</v>
      </c>
      <c r="F1914" s="14" t="n">
        <v>1155.8</v>
      </c>
      <c r="G1914" s="6" t="s">
        <v>15614</v>
      </c>
    </row>
    <row r="1915" customFormat="false" ht="15" hidden="false" customHeight="true" outlineLevel="0" collapsed="false">
      <c r="A1915" s="6" t="s">
        <v>17527</v>
      </c>
      <c r="B1915" s="6" t="s">
        <v>1379</v>
      </c>
      <c r="C1915" s="6" t="s">
        <v>131</v>
      </c>
      <c r="D1915" s="6" t="s">
        <v>54</v>
      </c>
      <c r="E1915" s="14" t="n">
        <v>1155.8</v>
      </c>
      <c r="F1915" s="14" t="n">
        <v>2311.6</v>
      </c>
      <c r="G1915" s="6" t="s">
        <v>15614</v>
      </c>
    </row>
    <row r="1916" customFormat="false" ht="15" hidden="false" customHeight="true" outlineLevel="0" collapsed="false">
      <c r="A1916" s="6" t="s">
        <v>17528</v>
      </c>
      <c r="B1916" s="6" t="s">
        <v>1379</v>
      </c>
      <c r="C1916" s="6" t="s">
        <v>131</v>
      </c>
      <c r="D1916" s="6" t="s">
        <v>55</v>
      </c>
      <c r="E1916" s="14" t="n">
        <v>1155.8</v>
      </c>
      <c r="F1916" s="14" t="n">
        <v>3467.4</v>
      </c>
      <c r="G1916" s="6" t="s">
        <v>15614</v>
      </c>
    </row>
    <row r="1917" customFormat="false" ht="15" hidden="false" customHeight="true" outlineLevel="0" collapsed="false">
      <c r="A1917" s="6" t="s">
        <v>17529</v>
      </c>
      <c r="B1917" s="6" t="s">
        <v>1379</v>
      </c>
      <c r="C1917" s="6" t="s">
        <v>131</v>
      </c>
      <c r="D1917" s="6" t="s">
        <v>56</v>
      </c>
      <c r="E1917" s="14" t="n">
        <v>1155.8</v>
      </c>
      <c r="F1917" s="14" t="n">
        <v>4623.2</v>
      </c>
      <c r="G1917" s="6" t="s">
        <v>15614</v>
      </c>
    </row>
    <row r="1918" customFormat="false" ht="15" hidden="false" customHeight="true" outlineLevel="0" collapsed="false">
      <c r="A1918" s="6" t="s">
        <v>17530</v>
      </c>
      <c r="B1918" s="6" t="s">
        <v>1379</v>
      </c>
      <c r="C1918" s="6" t="s">
        <v>131</v>
      </c>
      <c r="D1918" s="6" t="s">
        <v>57</v>
      </c>
      <c r="E1918" s="14" t="n">
        <v>1155.8</v>
      </c>
      <c r="F1918" s="14" t="n">
        <v>5779</v>
      </c>
      <c r="G1918" s="6" t="s">
        <v>15614</v>
      </c>
    </row>
    <row r="1919" customFormat="false" ht="15" hidden="false" customHeight="true" outlineLevel="0" collapsed="false">
      <c r="A1919" s="6" t="s">
        <v>17531</v>
      </c>
      <c r="B1919" s="6" t="s">
        <v>1379</v>
      </c>
      <c r="C1919" s="6" t="s">
        <v>131</v>
      </c>
      <c r="D1919" s="6" t="s">
        <v>58</v>
      </c>
      <c r="E1919" s="14" t="n">
        <v>1155.8</v>
      </c>
      <c r="F1919" s="14" t="n">
        <v>6934.8</v>
      </c>
      <c r="G1919" s="6" t="s">
        <v>15614</v>
      </c>
    </row>
    <row r="1920" customFormat="false" ht="15" hidden="false" customHeight="true" outlineLevel="0" collapsed="false">
      <c r="A1920" s="6" t="s">
        <v>17532</v>
      </c>
      <c r="B1920" s="6" t="s">
        <v>1379</v>
      </c>
      <c r="C1920" s="6" t="s">
        <v>131</v>
      </c>
      <c r="D1920" s="6" t="s">
        <v>59</v>
      </c>
      <c r="E1920" s="14" t="n">
        <v>1155.8</v>
      </c>
      <c r="F1920" s="14" t="n">
        <v>8090.6</v>
      </c>
      <c r="G1920" s="6" t="s">
        <v>15614</v>
      </c>
    </row>
    <row r="1921" customFormat="false" ht="15" hidden="false" customHeight="true" outlineLevel="0" collapsed="false">
      <c r="A1921" s="6" t="s">
        <v>17533</v>
      </c>
      <c r="B1921" s="6" t="s">
        <v>1379</v>
      </c>
      <c r="C1921" s="6" t="s">
        <v>131</v>
      </c>
      <c r="D1921" s="6" t="s">
        <v>60</v>
      </c>
      <c r="E1921" s="14" t="n">
        <v>1155.8</v>
      </c>
      <c r="F1921" s="14" t="n">
        <v>9246.4</v>
      </c>
      <c r="G1921" s="6" t="s">
        <v>15614</v>
      </c>
    </row>
    <row r="1922" customFormat="false" ht="15" hidden="false" customHeight="true" outlineLevel="0" collapsed="false">
      <c r="A1922" s="6" t="s">
        <v>17534</v>
      </c>
      <c r="B1922" s="6" t="s">
        <v>1381</v>
      </c>
      <c r="C1922" s="6" t="s">
        <v>124</v>
      </c>
      <c r="D1922" s="6" t="s">
        <v>36</v>
      </c>
      <c r="E1922" s="14" t="n">
        <v>613.05</v>
      </c>
      <c r="F1922" s="14" t="n">
        <v>613.05</v>
      </c>
      <c r="G1922" s="6" t="s">
        <v>15614</v>
      </c>
    </row>
    <row r="1923" customFormat="false" ht="15" hidden="false" customHeight="true" outlineLevel="0" collapsed="false">
      <c r="A1923" s="6" t="s">
        <v>17535</v>
      </c>
      <c r="B1923" s="6" t="s">
        <v>1381</v>
      </c>
      <c r="C1923" s="6" t="s">
        <v>124</v>
      </c>
      <c r="D1923" s="6" t="s">
        <v>37</v>
      </c>
      <c r="E1923" s="14" t="n">
        <v>613.05</v>
      </c>
      <c r="F1923" s="14" t="n">
        <v>1226.1</v>
      </c>
      <c r="G1923" s="6" t="s">
        <v>15614</v>
      </c>
    </row>
    <row r="1924" customFormat="false" ht="15" hidden="false" customHeight="true" outlineLevel="0" collapsed="false">
      <c r="A1924" s="6" t="s">
        <v>17536</v>
      </c>
      <c r="B1924" s="6" t="s">
        <v>1383</v>
      </c>
      <c r="C1924" s="6" t="s">
        <v>131</v>
      </c>
      <c r="D1924" s="6" t="s">
        <v>56</v>
      </c>
      <c r="E1924" s="14" t="n">
        <v>253.04</v>
      </c>
      <c r="F1924" s="14" t="n">
        <v>253.04</v>
      </c>
      <c r="G1924" s="6" t="s">
        <v>15614</v>
      </c>
    </row>
    <row r="1925" customFormat="false" ht="15" hidden="false" customHeight="true" outlineLevel="0" collapsed="false">
      <c r="A1925" s="6" t="s">
        <v>17537</v>
      </c>
      <c r="B1925" s="6" t="s">
        <v>1383</v>
      </c>
      <c r="C1925" s="6" t="s">
        <v>131</v>
      </c>
      <c r="D1925" s="6" t="s">
        <v>56</v>
      </c>
      <c r="E1925" s="14" t="n">
        <v>253.04</v>
      </c>
      <c r="F1925" s="14" t="n">
        <v>506.08</v>
      </c>
      <c r="G1925" s="6" t="s">
        <v>15614</v>
      </c>
    </row>
    <row r="1926" customFormat="false" ht="15" hidden="false" customHeight="true" outlineLevel="0" collapsed="false">
      <c r="A1926" s="6" t="s">
        <v>17538</v>
      </c>
      <c r="B1926" s="6" t="s">
        <v>1383</v>
      </c>
      <c r="C1926" s="6" t="s">
        <v>131</v>
      </c>
      <c r="D1926" s="6" t="s">
        <v>57</v>
      </c>
      <c r="E1926" s="14" t="n">
        <v>253.04</v>
      </c>
      <c r="F1926" s="14" t="n">
        <v>759.12</v>
      </c>
      <c r="G1926" s="6" t="s">
        <v>15614</v>
      </c>
    </row>
    <row r="1927" customFormat="false" ht="15" hidden="false" customHeight="true" outlineLevel="0" collapsed="false">
      <c r="A1927" s="6" t="s">
        <v>17539</v>
      </c>
      <c r="B1927" s="6" t="s">
        <v>1385</v>
      </c>
      <c r="C1927" s="6" t="s">
        <v>112</v>
      </c>
      <c r="D1927" s="6" t="s">
        <v>16</v>
      </c>
      <c r="E1927" s="14" t="n">
        <v>2898.91</v>
      </c>
      <c r="F1927" s="14" t="n">
        <v>2898.91</v>
      </c>
      <c r="G1927" s="6" t="s">
        <v>15614</v>
      </c>
    </row>
    <row r="1928" customFormat="false" ht="15" hidden="false" customHeight="true" outlineLevel="0" collapsed="false">
      <c r="A1928" s="6" t="s">
        <v>17540</v>
      </c>
      <c r="B1928" s="6" t="s">
        <v>1385</v>
      </c>
      <c r="C1928" s="6" t="s">
        <v>112</v>
      </c>
      <c r="D1928" s="6" t="s">
        <v>17</v>
      </c>
      <c r="E1928" s="14" t="n">
        <v>2898.91</v>
      </c>
      <c r="F1928" s="14" t="n">
        <v>5797.82</v>
      </c>
      <c r="G1928" s="6" t="s">
        <v>15614</v>
      </c>
    </row>
    <row r="1929" customFormat="false" ht="15" hidden="false" customHeight="true" outlineLevel="0" collapsed="false">
      <c r="A1929" s="6" t="s">
        <v>17541</v>
      </c>
      <c r="B1929" s="6" t="s">
        <v>1385</v>
      </c>
      <c r="C1929" s="6" t="s">
        <v>112</v>
      </c>
      <c r="D1929" s="6" t="s">
        <v>18</v>
      </c>
      <c r="E1929" s="14" t="n">
        <v>2898.91</v>
      </c>
      <c r="F1929" s="14" t="n">
        <v>8696.73</v>
      </c>
      <c r="G1929" s="6" t="s">
        <v>15614</v>
      </c>
    </row>
    <row r="1930" customFormat="false" ht="15" hidden="false" customHeight="true" outlineLevel="0" collapsed="false">
      <c r="A1930" s="6" t="s">
        <v>17542</v>
      </c>
      <c r="B1930" s="6" t="s">
        <v>1387</v>
      </c>
      <c r="C1930" s="6" t="s">
        <v>128</v>
      </c>
      <c r="D1930" s="6" t="s">
        <v>18</v>
      </c>
      <c r="E1930" s="14" t="n">
        <v>1314.74</v>
      </c>
      <c r="F1930" s="14" t="n">
        <v>1314.74</v>
      </c>
      <c r="G1930" s="6" t="s">
        <v>15614</v>
      </c>
    </row>
    <row r="1931" customFormat="false" ht="15" hidden="false" customHeight="true" outlineLevel="0" collapsed="false">
      <c r="A1931" s="6" t="s">
        <v>17543</v>
      </c>
      <c r="B1931" s="6" t="s">
        <v>1387</v>
      </c>
      <c r="C1931" s="6" t="s">
        <v>128</v>
      </c>
      <c r="D1931" s="6" t="s">
        <v>19</v>
      </c>
      <c r="E1931" s="14" t="n">
        <v>1314.74</v>
      </c>
      <c r="F1931" s="14" t="n">
        <v>2629.48</v>
      </c>
      <c r="G1931" s="6" t="s">
        <v>15614</v>
      </c>
    </row>
    <row r="1932" customFormat="false" ht="15" hidden="false" customHeight="true" outlineLevel="0" collapsed="false">
      <c r="A1932" s="6" t="s">
        <v>17544</v>
      </c>
      <c r="B1932" s="6" t="s">
        <v>1389</v>
      </c>
      <c r="C1932" s="6" t="s">
        <v>112</v>
      </c>
      <c r="D1932" s="6" t="s">
        <v>19</v>
      </c>
      <c r="E1932" s="14" t="n">
        <v>1029.26</v>
      </c>
      <c r="F1932" s="14" t="n">
        <v>1029.26</v>
      </c>
      <c r="G1932" s="6" t="s">
        <v>15614</v>
      </c>
    </row>
    <row r="1933" customFormat="false" ht="15" hidden="false" customHeight="true" outlineLevel="0" collapsed="false">
      <c r="A1933" s="6" t="s">
        <v>17545</v>
      </c>
      <c r="B1933" s="6" t="s">
        <v>1389</v>
      </c>
      <c r="C1933" s="6" t="s">
        <v>112</v>
      </c>
      <c r="D1933" s="6" t="s">
        <v>20</v>
      </c>
      <c r="E1933" s="14" t="n">
        <v>1029.26</v>
      </c>
      <c r="F1933" s="14" t="n">
        <v>2058.52</v>
      </c>
      <c r="G1933" s="6" t="s">
        <v>15614</v>
      </c>
    </row>
    <row r="1934" customFormat="false" ht="15" hidden="false" customHeight="true" outlineLevel="0" collapsed="false">
      <c r="A1934" s="6" t="s">
        <v>17546</v>
      </c>
      <c r="B1934" s="6" t="s">
        <v>1389</v>
      </c>
      <c r="C1934" s="6" t="s">
        <v>112</v>
      </c>
      <c r="D1934" s="6" t="s">
        <v>21</v>
      </c>
      <c r="E1934" s="14" t="n">
        <v>1029.26</v>
      </c>
      <c r="F1934" s="14" t="n">
        <v>3087.78</v>
      </c>
      <c r="G1934" s="6" t="s">
        <v>15614</v>
      </c>
    </row>
    <row r="1935" customFormat="false" ht="15" hidden="false" customHeight="true" outlineLevel="0" collapsed="false">
      <c r="A1935" s="6" t="s">
        <v>17547</v>
      </c>
      <c r="B1935" s="6" t="s">
        <v>1389</v>
      </c>
      <c r="C1935" s="6" t="s">
        <v>112</v>
      </c>
      <c r="D1935" s="6" t="s">
        <v>22</v>
      </c>
      <c r="E1935" s="14" t="n">
        <v>1029.26</v>
      </c>
      <c r="F1935" s="14" t="n">
        <v>4117.04</v>
      </c>
      <c r="G1935" s="6" t="s">
        <v>15614</v>
      </c>
    </row>
    <row r="1936" customFormat="false" ht="15" hidden="false" customHeight="true" outlineLevel="0" collapsed="false">
      <c r="A1936" s="6" t="s">
        <v>17548</v>
      </c>
      <c r="B1936" s="6" t="s">
        <v>1389</v>
      </c>
      <c r="C1936" s="6" t="s">
        <v>112</v>
      </c>
      <c r="D1936" s="6" t="s">
        <v>23</v>
      </c>
      <c r="E1936" s="14" t="n">
        <v>1029.26</v>
      </c>
      <c r="F1936" s="14" t="n">
        <v>5146.3</v>
      </c>
      <c r="G1936" s="6" t="s">
        <v>15614</v>
      </c>
    </row>
    <row r="1937" customFormat="false" ht="15" hidden="false" customHeight="true" outlineLevel="0" collapsed="false">
      <c r="A1937" s="6" t="s">
        <v>17549</v>
      </c>
      <c r="B1937" s="6" t="s">
        <v>1389</v>
      </c>
      <c r="C1937" s="6" t="s">
        <v>112</v>
      </c>
      <c r="D1937" s="6" t="s">
        <v>24</v>
      </c>
      <c r="E1937" s="14" t="n">
        <v>1029.26</v>
      </c>
      <c r="F1937" s="14" t="n">
        <v>6175.56</v>
      </c>
      <c r="G1937" s="6" t="s">
        <v>15614</v>
      </c>
    </row>
    <row r="1938" customFormat="false" ht="15" hidden="false" customHeight="true" outlineLevel="0" collapsed="false">
      <c r="A1938" s="6" t="s">
        <v>17550</v>
      </c>
      <c r="B1938" s="6" t="s">
        <v>1389</v>
      </c>
      <c r="C1938" s="6" t="s">
        <v>112</v>
      </c>
      <c r="D1938" s="6" t="s">
        <v>25</v>
      </c>
      <c r="E1938" s="14" t="n">
        <v>1029.26</v>
      </c>
      <c r="F1938" s="14" t="n">
        <v>7204.82</v>
      </c>
      <c r="G1938" s="6" t="s">
        <v>15614</v>
      </c>
    </row>
    <row r="1939" customFormat="false" ht="15" hidden="false" customHeight="true" outlineLevel="0" collapsed="false">
      <c r="A1939" s="6" t="s">
        <v>17551</v>
      </c>
      <c r="B1939" s="6" t="s">
        <v>1389</v>
      </c>
      <c r="C1939" s="6" t="s">
        <v>112</v>
      </c>
      <c r="D1939" s="6" t="s">
        <v>26</v>
      </c>
      <c r="E1939" s="14" t="n">
        <v>1029.26</v>
      </c>
      <c r="F1939" s="14" t="n">
        <v>8234.08</v>
      </c>
      <c r="G1939" s="6" t="s">
        <v>15614</v>
      </c>
    </row>
    <row r="1940" customFormat="false" ht="15" hidden="false" customHeight="true" outlineLevel="0" collapsed="false">
      <c r="A1940" s="6" t="s">
        <v>17552</v>
      </c>
      <c r="B1940" s="6" t="s">
        <v>1391</v>
      </c>
      <c r="C1940" s="6" t="s">
        <v>128</v>
      </c>
      <c r="D1940" s="6" t="s">
        <v>56</v>
      </c>
      <c r="E1940" s="14" t="n">
        <v>1242.43</v>
      </c>
      <c r="F1940" s="14" t="n">
        <v>1242.43</v>
      </c>
      <c r="G1940" s="6" t="s">
        <v>15614</v>
      </c>
    </row>
    <row r="1941" customFormat="false" ht="15" hidden="false" customHeight="true" outlineLevel="0" collapsed="false">
      <c r="A1941" s="6" t="s">
        <v>17553</v>
      </c>
      <c r="B1941" s="6" t="s">
        <v>1391</v>
      </c>
      <c r="C1941" s="6" t="s">
        <v>128</v>
      </c>
      <c r="D1941" s="6" t="s">
        <v>57</v>
      </c>
      <c r="E1941" s="14" t="n">
        <v>1242.43</v>
      </c>
      <c r="F1941" s="14" t="n">
        <v>2484.86</v>
      </c>
      <c r="G1941" s="6" t="s">
        <v>15614</v>
      </c>
    </row>
    <row r="1942" customFormat="false" ht="15" hidden="false" customHeight="true" outlineLevel="0" collapsed="false">
      <c r="A1942" s="6" t="s">
        <v>17554</v>
      </c>
      <c r="B1942" s="6" t="s">
        <v>1393</v>
      </c>
      <c r="C1942" s="6" t="s">
        <v>112</v>
      </c>
      <c r="D1942" s="6" t="s">
        <v>54</v>
      </c>
      <c r="E1942" s="14" t="n">
        <v>1262.82</v>
      </c>
      <c r="F1942" s="14" t="n">
        <v>1262.82</v>
      </c>
      <c r="G1942" s="6" t="s">
        <v>15614</v>
      </c>
    </row>
    <row r="1943" customFormat="false" ht="15" hidden="false" customHeight="true" outlineLevel="0" collapsed="false">
      <c r="A1943" s="6" t="s">
        <v>17555</v>
      </c>
      <c r="B1943" s="6" t="s">
        <v>1393</v>
      </c>
      <c r="C1943" s="6" t="s">
        <v>112</v>
      </c>
      <c r="D1943" s="6" t="s">
        <v>55</v>
      </c>
      <c r="E1943" s="14" t="n">
        <v>1262.82</v>
      </c>
      <c r="F1943" s="14" t="n">
        <v>2525.64</v>
      </c>
      <c r="G1943" s="6" t="s">
        <v>15614</v>
      </c>
    </row>
    <row r="1944" customFormat="false" ht="15" hidden="false" customHeight="true" outlineLevel="0" collapsed="false">
      <c r="A1944" s="6" t="s">
        <v>17556</v>
      </c>
      <c r="B1944" s="6" t="s">
        <v>1393</v>
      </c>
      <c r="C1944" s="6" t="s">
        <v>112</v>
      </c>
      <c r="D1944" s="6" t="s">
        <v>56</v>
      </c>
      <c r="E1944" s="14" t="n">
        <v>1262.82</v>
      </c>
      <c r="F1944" s="14" t="n">
        <v>3788.46</v>
      </c>
      <c r="G1944" s="6" t="s">
        <v>15614</v>
      </c>
    </row>
    <row r="1945" customFormat="false" ht="15" hidden="false" customHeight="true" outlineLevel="0" collapsed="false">
      <c r="A1945" s="6" t="s">
        <v>17557</v>
      </c>
      <c r="B1945" s="6" t="s">
        <v>1393</v>
      </c>
      <c r="C1945" s="6" t="s">
        <v>112</v>
      </c>
      <c r="D1945" s="6" t="s">
        <v>57</v>
      </c>
      <c r="E1945" s="14" t="n">
        <v>1262.82</v>
      </c>
      <c r="F1945" s="14" t="n">
        <v>5051.28</v>
      </c>
      <c r="G1945" s="6" t="s">
        <v>15614</v>
      </c>
    </row>
    <row r="1946" customFormat="false" ht="15" hidden="false" customHeight="true" outlineLevel="0" collapsed="false">
      <c r="A1946" s="6" t="s">
        <v>17558</v>
      </c>
      <c r="B1946" s="6" t="s">
        <v>1395</v>
      </c>
      <c r="C1946" s="6" t="s">
        <v>112</v>
      </c>
      <c r="D1946" s="6" t="s">
        <v>37</v>
      </c>
      <c r="E1946" s="14" t="n">
        <v>422.85</v>
      </c>
      <c r="F1946" s="14" t="n">
        <v>422.85</v>
      </c>
      <c r="G1946" s="6" t="s">
        <v>15614</v>
      </c>
    </row>
    <row r="1947" customFormat="false" ht="15" hidden="false" customHeight="true" outlineLevel="0" collapsed="false">
      <c r="A1947" s="6" t="s">
        <v>17559</v>
      </c>
      <c r="B1947" s="6" t="s">
        <v>1395</v>
      </c>
      <c r="C1947" s="6" t="s">
        <v>112</v>
      </c>
      <c r="D1947" s="6" t="s">
        <v>38</v>
      </c>
      <c r="E1947" s="14" t="n">
        <v>422.85</v>
      </c>
      <c r="F1947" s="14" t="n">
        <v>845.7</v>
      </c>
      <c r="G1947" s="6" t="s">
        <v>15614</v>
      </c>
    </row>
    <row r="1948" customFormat="false" ht="15" hidden="false" customHeight="true" outlineLevel="0" collapsed="false">
      <c r="A1948" s="6" t="s">
        <v>17560</v>
      </c>
      <c r="B1948" s="6" t="s">
        <v>1395</v>
      </c>
      <c r="C1948" s="6" t="s">
        <v>112</v>
      </c>
      <c r="D1948" s="6" t="s">
        <v>39</v>
      </c>
      <c r="E1948" s="14" t="n">
        <v>422.85</v>
      </c>
      <c r="F1948" s="14" t="n">
        <v>1268.55</v>
      </c>
      <c r="G1948" s="6" t="s">
        <v>15614</v>
      </c>
    </row>
    <row r="1949" customFormat="false" ht="15" hidden="false" customHeight="true" outlineLevel="0" collapsed="false">
      <c r="A1949" s="6" t="s">
        <v>17561</v>
      </c>
      <c r="B1949" s="6" t="s">
        <v>1397</v>
      </c>
      <c r="C1949" s="6" t="s">
        <v>116</v>
      </c>
      <c r="D1949" s="6" t="s">
        <v>18</v>
      </c>
      <c r="E1949" s="14" t="n">
        <v>2858.16</v>
      </c>
      <c r="F1949" s="14" t="n">
        <v>2858.16</v>
      </c>
      <c r="G1949" s="6" t="s">
        <v>15614</v>
      </c>
    </row>
    <row r="1950" customFormat="false" ht="15" hidden="false" customHeight="true" outlineLevel="0" collapsed="false">
      <c r="A1950" s="6" t="s">
        <v>17562</v>
      </c>
      <c r="B1950" s="6" t="s">
        <v>1397</v>
      </c>
      <c r="C1950" s="6" t="s">
        <v>116</v>
      </c>
      <c r="D1950" s="6" t="s">
        <v>19</v>
      </c>
      <c r="E1950" s="14" t="n">
        <v>2858.16</v>
      </c>
      <c r="F1950" s="14" t="n">
        <v>5716.32</v>
      </c>
      <c r="G1950" s="6" t="s">
        <v>15614</v>
      </c>
    </row>
    <row r="1951" customFormat="false" ht="15" hidden="false" customHeight="true" outlineLevel="0" collapsed="false">
      <c r="A1951" s="6" t="s">
        <v>17563</v>
      </c>
      <c r="B1951" s="6" t="s">
        <v>1399</v>
      </c>
      <c r="C1951" s="6" t="s">
        <v>116</v>
      </c>
      <c r="D1951" s="6" t="s">
        <v>35</v>
      </c>
      <c r="E1951" s="14" t="n">
        <v>135.67</v>
      </c>
      <c r="F1951" s="14" t="n">
        <v>135.67</v>
      </c>
      <c r="G1951" s="6" t="s">
        <v>15614</v>
      </c>
    </row>
    <row r="1952" customFormat="false" ht="15" hidden="false" customHeight="true" outlineLevel="0" collapsed="false">
      <c r="A1952" s="6" t="s">
        <v>17564</v>
      </c>
      <c r="B1952" s="6" t="s">
        <v>1399</v>
      </c>
      <c r="C1952" s="6" t="s">
        <v>116</v>
      </c>
      <c r="D1952" s="6" t="s">
        <v>36</v>
      </c>
      <c r="E1952" s="14" t="n">
        <v>135.67</v>
      </c>
      <c r="F1952" s="14" t="n">
        <v>271.34</v>
      </c>
      <c r="G1952" s="6" t="s">
        <v>15614</v>
      </c>
    </row>
    <row r="1953" customFormat="false" ht="15" hidden="false" customHeight="true" outlineLevel="0" collapsed="false">
      <c r="A1953" s="6" t="s">
        <v>17565</v>
      </c>
      <c r="B1953" s="6" t="s">
        <v>1399</v>
      </c>
      <c r="C1953" s="6" t="s">
        <v>116</v>
      </c>
      <c r="D1953" s="6" t="s">
        <v>37</v>
      </c>
      <c r="E1953" s="14" t="n">
        <v>135.67</v>
      </c>
      <c r="F1953" s="14" t="n">
        <v>407.01</v>
      </c>
      <c r="G1953" s="6" t="s">
        <v>15614</v>
      </c>
    </row>
    <row r="1954" customFormat="false" ht="15" hidden="false" customHeight="true" outlineLevel="0" collapsed="false">
      <c r="A1954" s="6" t="s">
        <v>17566</v>
      </c>
      <c r="B1954" s="6" t="s">
        <v>1399</v>
      </c>
      <c r="C1954" s="6" t="s">
        <v>116</v>
      </c>
      <c r="D1954" s="6" t="s">
        <v>38</v>
      </c>
      <c r="E1954" s="14" t="n">
        <v>135.67</v>
      </c>
      <c r="F1954" s="14" t="n">
        <v>542.68</v>
      </c>
      <c r="G1954" s="6" t="s">
        <v>15614</v>
      </c>
    </row>
    <row r="1955" customFormat="false" ht="15" hidden="false" customHeight="true" outlineLevel="0" collapsed="false">
      <c r="A1955" s="6" t="s">
        <v>17567</v>
      </c>
      <c r="B1955" s="6" t="s">
        <v>1399</v>
      </c>
      <c r="C1955" s="6" t="s">
        <v>116</v>
      </c>
      <c r="D1955" s="6" t="s">
        <v>39</v>
      </c>
      <c r="E1955" s="14" t="n">
        <v>135.67</v>
      </c>
      <c r="F1955" s="14" t="n">
        <v>678.35</v>
      </c>
      <c r="G1955" s="6" t="s">
        <v>15614</v>
      </c>
    </row>
    <row r="1956" customFormat="false" ht="15" hidden="false" customHeight="true" outlineLevel="0" collapsed="false">
      <c r="A1956" s="6" t="s">
        <v>17568</v>
      </c>
      <c r="B1956" s="6" t="s">
        <v>1399</v>
      </c>
      <c r="C1956" s="6" t="s">
        <v>116</v>
      </c>
      <c r="D1956" s="6" t="s">
        <v>40</v>
      </c>
      <c r="E1956" s="14" t="n">
        <v>135.67</v>
      </c>
      <c r="F1956" s="14" t="n">
        <v>814.02</v>
      </c>
      <c r="G1956" s="6" t="s">
        <v>15614</v>
      </c>
    </row>
    <row r="1957" customFormat="false" ht="15" hidden="false" customHeight="true" outlineLevel="0" collapsed="false">
      <c r="A1957" s="6" t="s">
        <v>17569</v>
      </c>
      <c r="B1957" s="6" t="s">
        <v>1401</v>
      </c>
      <c r="C1957" s="6" t="s">
        <v>116</v>
      </c>
      <c r="D1957" s="6" t="s">
        <v>44</v>
      </c>
      <c r="E1957" s="14" t="n">
        <v>6092.51</v>
      </c>
      <c r="F1957" s="14" t="n">
        <v>6092.51</v>
      </c>
      <c r="G1957" s="6" t="s">
        <v>15614</v>
      </c>
    </row>
    <row r="1958" customFormat="false" ht="15" hidden="false" customHeight="true" outlineLevel="0" collapsed="false">
      <c r="A1958" s="6" t="s">
        <v>17570</v>
      </c>
      <c r="B1958" s="6" t="s">
        <v>1401</v>
      </c>
      <c r="C1958" s="6" t="s">
        <v>116</v>
      </c>
      <c r="D1958" s="6" t="s">
        <v>45</v>
      </c>
      <c r="E1958" s="14" t="n">
        <v>6092.51</v>
      </c>
      <c r="F1958" s="14" t="n">
        <v>12185.02</v>
      </c>
      <c r="G1958" s="6" t="s">
        <v>15614</v>
      </c>
    </row>
    <row r="1959" customFormat="false" ht="15" hidden="false" customHeight="true" outlineLevel="0" collapsed="false">
      <c r="A1959" s="6" t="s">
        <v>17571</v>
      </c>
      <c r="B1959" s="6" t="s">
        <v>1403</v>
      </c>
      <c r="C1959" s="6" t="s">
        <v>128</v>
      </c>
      <c r="D1959" s="6" t="s">
        <v>32</v>
      </c>
      <c r="E1959" s="14" t="n">
        <v>3704.02</v>
      </c>
      <c r="F1959" s="14" t="n">
        <v>3704.02</v>
      </c>
      <c r="G1959" s="6" t="s">
        <v>15614</v>
      </c>
    </row>
    <row r="1960" customFormat="false" ht="15" hidden="false" customHeight="true" outlineLevel="0" collapsed="false">
      <c r="A1960" s="6" t="s">
        <v>17572</v>
      </c>
      <c r="B1960" s="6" t="s">
        <v>1403</v>
      </c>
      <c r="C1960" s="6" t="s">
        <v>128</v>
      </c>
      <c r="D1960" s="6" t="s">
        <v>33</v>
      </c>
      <c r="E1960" s="14" t="n">
        <v>3704.02</v>
      </c>
      <c r="F1960" s="14" t="n">
        <v>7408.04</v>
      </c>
      <c r="G1960" s="6" t="s">
        <v>15614</v>
      </c>
    </row>
    <row r="1961" customFormat="false" ht="15" hidden="false" customHeight="true" outlineLevel="0" collapsed="false">
      <c r="A1961" s="6" t="s">
        <v>17573</v>
      </c>
      <c r="B1961" s="6" t="s">
        <v>1403</v>
      </c>
      <c r="C1961" s="6" t="s">
        <v>128</v>
      </c>
      <c r="D1961" s="6" t="s">
        <v>34</v>
      </c>
      <c r="E1961" s="14" t="n">
        <v>3704.02</v>
      </c>
      <c r="F1961" s="14" t="n">
        <v>11112.06</v>
      </c>
      <c r="G1961" s="6" t="s">
        <v>15614</v>
      </c>
    </row>
    <row r="1962" customFormat="false" ht="15" hidden="false" customHeight="true" outlineLevel="0" collapsed="false">
      <c r="A1962" s="6" t="s">
        <v>17574</v>
      </c>
      <c r="B1962" s="6" t="s">
        <v>1405</v>
      </c>
      <c r="C1962" s="6" t="s">
        <v>124</v>
      </c>
      <c r="D1962" s="6" t="s">
        <v>35</v>
      </c>
      <c r="E1962" s="14" t="n">
        <v>206.15</v>
      </c>
      <c r="F1962" s="14" t="n">
        <v>206.15</v>
      </c>
      <c r="G1962" s="6" t="s">
        <v>15614</v>
      </c>
    </row>
    <row r="1963" customFormat="false" ht="15" hidden="false" customHeight="true" outlineLevel="0" collapsed="false">
      <c r="A1963" s="6" t="s">
        <v>17575</v>
      </c>
      <c r="B1963" s="6" t="s">
        <v>1405</v>
      </c>
      <c r="C1963" s="6" t="s">
        <v>124</v>
      </c>
      <c r="D1963" s="6" t="s">
        <v>36</v>
      </c>
      <c r="E1963" s="14" t="n">
        <v>206.15</v>
      </c>
      <c r="F1963" s="14" t="n">
        <v>412.3</v>
      </c>
      <c r="G1963" s="6" t="s">
        <v>15614</v>
      </c>
    </row>
    <row r="1964" customFormat="false" ht="15" hidden="false" customHeight="true" outlineLevel="0" collapsed="false">
      <c r="A1964" s="6" t="s">
        <v>17576</v>
      </c>
      <c r="B1964" s="6" t="s">
        <v>1407</v>
      </c>
      <c r="C1964" s="6" t="s">
        <v>128</v>
      </c>
      <c r="D1964" s="6" t="s">
        <v>23</v>
      </c>
      <c r="E1964" s="14" t="n">
        <v>601.07</v>
      </c>
      <c r="F1964" s="14" t="n">
        <v>601.07</v>
      </c>
      <c r="G1964" s="6" t="s">
        <v>15614</v>
      </c>
    </row>
    <row r="1965" customFormat="false" ht="15" hidden="false" customHeight="true" outlineLevel="0" collapsed="false">
      <c r="A1965" s="6" t="s">
        <v>17577</v>
      </c>
      <c r="B1965" s="6" t="s">
        <v>1407</v>
      </c>
      <c r="C1965" s="6" t="s">
        <v>128</v>
      </c>
      <c r="D1965" s="6" t="s">
        <v>24</v>
      </c>
      <c r="E1965" s="14" t="n">
        <v>601.07</v>
      </c>
      <c r="F1965" s="14" t="n">
        <v>1202.14</v>
      </c>
      <c r="G1965" s="6" t="s">
        <v>15614</v>
      </c>
    </row>
    <row r="1966" customFormat="false" ht="15" hidden="false" customHeight="true" outlineLevel="0" collapsed="false">
      <c r="A1966" s="6" t="s">
        <v>17578</v>
      </c>
      <c r="B1966" s="6" t="s">
        <v>1407</v>
      </c>
      <c r="C1966" s="6" t="s">
        <v>128</v>
      </c>
      <c r="D1966" s="6" t="s">
        <v>25</v>
      </c>
      <c r="E1966" s="14" t="n">
        <v>601.07</v>
      </c>
      <c r="F1966" s="14" t="n">
        <v>1803.21</v>
      </c>
      <c r="G1966" s="6" t="s">
        <v>15614</v>
      </c>
    </row>
    <row r="1967" customFormat="false" ht="15" hidden="false" customHeight="true" outlineLevel="0" collapsed="false">
      <c r="A1967" s="6" t="s">
        <v>17579</v>
      </c>
      <c r="B1967" s="6" t="s">
        <v>1409</v>
      </c>
      <c r="C1967" s="6" t="s">
        <v>112</v>
      </c>
      <c r="D1967" s="6" t="s">
        <v>49</v>
      </c>
      <c r="E1967" s="14" t="n">
        <v>2515.71</v>
      </c>
      <c r="F1967" s="14" t="n">
        <v>2515.71</v>
      </c>
      <c r="G1967" s="6" t="s">
        <v>15614</v>
      </c>
    </row>
    <row r="1968" customFormat="false" ht="15" hidden="false" customHeight="true" outlineLevel="0" collapsed="false">
      <c r="A1968" s="6" t="s">
        <v>17580</v>
      </c>
      <c r="B1968" s="6" t="s">
        <v>1409</v>
      </c>
      <c r="C1968" s="6" t="s">
        <v>112</v>
      </c>
      <c r="D1968" s="6" t="s">
        <v>50</v>
      </c>
      <c r="E1968" s="14" t="n">
        <v>2515.71</v>
      </c>
      <c r="F1968" s="14" t="n">
        <v>5031.42</v>
      </c>
      <c r="G1968" s="6" t="s">
        <v>15614</v>
      </c>
    </row>
    <row r="1969" customFormat="false" ht="15" hidden="false" customHeight="true" outlineLevel="0" collapsed="false">
      <c r="A1969" s="6" t="s">
        <v>17581</v>
      </c>
      <c r="B1969" s="6" t="s">
        <v>1409</v>
      </c>
      <c r="C1969" s="6" t="s">
        <v>112</v>
      </c>
      <c r="D1969" s="6" t="s">
        <v>51</v>
      </c>
      <c r="E1969" s="14" t="n">
        <v>2515.71</v>
      </c>
      <c r="F1969" s="14" t="n">
        <v>7547.13</v>
      </c>
      <c r="G1969" s="6" t="s">
        <v>15614</v>
      </c>
    </row>
    <row r="1970" customFormat="false" ht="15" hidden="false" customHeight="true" outlineLevel="0" collapsed="false">
      <c r="A1970" s="6" t="s">
        <v>17582</v>
      </c>
      <c r="B1970" s="6" t="s">
        <v>1411</v>
      </c>
      <c r="C1970" s="6" t="s">
        <v>124</v>
      </c>
      <c r="D1970" s="6" t="s">
        <v>39</v>
      </c>
      <c r="E1970" s="14" t="n">
        <v>3064.51</v>
      </c>
      <c r="F1970" s="14" t="n">
        <v>3064.51</v>
      </c>
      <c r="G1970" s="6" t="s">
        <v>15614</v>
      </c>
    </row>
    <row r="1971" customFormat="false" ht="15" hidden="false" customHeight="true" outlineLevel="0" collapsed="false">
      <c r="A1971" s="6" t="s">
        <v>17583</v>
      </c>
      <c r="B1971" s="6" t="s">
        <v>1411</v>
      </c>
      <c r="C1971" s="6" t="s">
        <v>124</v>
      </c>
      <c r="D1971" s="6" t="s">
        <v>40</v>
      </c>
      <c r="E1971" s="14" t="n">
        <v>3064.51</v>
      </c>
      <c r="F1971" s="14" t="n">
        <v>6129.02</v>
      </c>
      <c r="G1971" s="6" t="s">
        <v>15614</v>
      </c>
    </row>
    <row r="1972" customFormat="false" ht="15" hidden="false" customHeight="true" outlineLevel="0" collapsed="false">
      <c r="A1972" s="6" t="s">
        <v>17584</v>
      </c>
      <c r="B1972" s="6" t="s">
        <v>1413</v>
      </c>
      <c r="C1972" s="6" t="s">
        <v>128</v>
      </c>
      <c r="D1972" s="6" t="s">
        <v>11</v>
      </c>
      <c r="E1972" s="14" t="n">
        <v>871.94</v>
      </c>
      <c r="F1972" s="14" t="n">
        <v>871.94</v>
      </c>
      <c r="G1972" s="6" t="s">
        <v>15614</v>
      </c>
    </row>
    <row r="1973" customFormat="false" ht="15" hidden="false" customHeight="true" outlineLevel="0" collapsed="false">
      <c r="A1973" s="6" t="s">
        <v>17585</v>
      </c>
      <c r="B1973" s="6" t="s">
        <v>1413</v>
      </c>
      <c r="C1973" s="6" t="s">
        <v>128</v>
      </c>
      <c r="D1973" s="6" t="s">
        <v>12</v>
      </c>
      <c r="E1973" s="14" t="n">
        <v>871.94</v>
      </c>
      <c r="F1973" s="14" t="n">
        <v>1743.88</v>
      </c>
      <c r="G1973" s="6" t="s">
        <v>15614</v>
      </c>
    </row>
    <row r="1974" customFormat="false" ht="15" hidden="false" customHeight="true" outlineLevel="0" collapsed="false">
      <c r="A1974" s="6" t="s">
        <v>17586</v>
      </c>
      <c r="B1974" s="6" t="s">
        <v>1413</v>
      </c>
      <c r="C1974" s="6" t="s">
        <v>128</v>
      </c>
      <c r="D1974" s="6" t="s">
        <v>13</v>
      </c>
      <c r="E1974" s="14" t="n">
        <v>871.94</v>
      </c>
      <c r="F1974" s="14" t="n">
        <v>2615.82</v>
      </c>
      <c r="G1974" s="6" t="s">
        <v>15614</v>
      </c>
    </row>
    <row r="1975" customFormat="false" ht="15" hidden="false" customHeight="true" outlineLevel="0" collapsed="false">
      <c r="A1975" s="6" t="s">
        <v>17587</v>
      </c>
      <c r="B1975" s="6" t="s">
        <v>1413</v>
      </c>
      <c r="C1975" s="6" t="s">
        <v>128</v>
      </c>
      <c r="D1975" s="6" t="s">
        <v>14</v>
      </c>
      <c r="E1975" s="14" t="n">
        <v>871.94</v>
      </c>
      <c r="F1975" s="14" t="n">
        <v>3487.76</v>
      </c>
      <c r="G1975" s="6" t="s">
        <v>15614</v>
      </c>
    </row>
    <row r="1976" customFormat="false" ht="15" hidden="false" customHeight="true" outlineLevel="0" collapsed="false">
      <c r="A1976" s="6" t="s">
        <v>17588</v>
      </c>
      <c r="B1976" s="6" t="s">
        <v>1413</v>
      </c>
      <c r="C1976" s="6" t="s">
        <v>128</v>
      </c>
      <c r="D1976" s="6" t="s">
        <v>15</v>
      </c>
      <c r="E1976" s="14" t="n">
        <v>871.94</v>
      </c>
      <c r="F1976" s="14" t="n">
        <v>4359.7</v>
      </c>
      <c r="G1976" s="6" t="s">
        <v>15614</v>
      </c>
    </row>
    <row r="1977" customFormat="false" ht="15" hidden="false" customHeight="true" outlineLevel="0" collapsed="false">
      <c r="A1977" s="6" t="s">
        <v>17589</v>
      </c>
      <c r="B1977" s="6" t="s">
        <v>1413</v>
      </c>
      <c r="C1977" s="6" t="s">
        <v>128</v>
      </c>
      <c r="D1977" s="6" t="s">
        <v>16</v>
      </c>
      <c r="E1977" s="14" t="n">
        <v>871.94</v>
      </c>
      <c r="F1977" s="14" t="n">
        <v>5231.64</v>
      </c>
      <c r="G1977" s="6" t="s">
        <v>15614</v>
      </c>
    </row>
    <row r="1978" customFormat="false" ht="15" hidden="false" customHeight="true" outlineLevel="0" collapsed="false">
      <c r="A1978" s="6" t="s">
        <v>17590</v>
      </c>
      <c r="B1978" s="6" t="s">
        <v>1413</v>
      </c>
      <c r="C1978" s="6" t="s">
        <v>128</v>
      </c>
      <c r="D1978" s="6" t="s">
        <v>17</v>
      </c>
      <c r="E1978" s="14" t="n">
        <v>871.94</v>
      </c>
      <c r="F1978" s="14" t="n">
        <v>6103.58</v>
      </c>
      <c r="G1978" s="6" t="s">
        <v>15614</v>
      </c>
    </row>
    <row r="1979" customFormat="false" ht="15" hidden="false" customHeight="true" outlineLevel="0" collapsed="false">
      <c r="A1979" s="6" t="s">
        <v>17591</v>
      </c>
      <c r="B1979" s="6" t="s">
        <v>1413</v>
      </c>
      <c r="C1979" s="6" t="s">
        <v>128</v>
      </c>
      <c r="D1979" s="6" t="s">
        <v>18</v>
      </c>
      <c r="E1979" s="14" t="n">
        <v>871.94</v>
      </c>
      <c r="F1979" s="14" t="n">
        <v>6975.52</v>
      </c>
      <c r="G1979" s="6" t="s">
        <v>15614</v>
      </c>
    </row>
    <row r="1980" customFormat="false" ht="15" hidden="false" customHeight="true" outlineLevel="0" collapsed="false">
      <c r="A1980" s="6" t="s">
        <v>17592</v>
      </c>
      <c r="B1980" s="6" t="s">
        <v>1415</v>
      </c>
      <c r="C1980" s="6" t="s">
        <v>116</v>
      </c>
      <c r="D1980" s="6" t="s">
        <v>18</v>
      </c>
      <c r="E1980" s="14" t="n">
        <v>3782.28</v>
      </c>
      <c r="F1980" s="14" t="n">
        <v>3782.28</v>
      </c>
      <c r="G1980" s="6" t="s">
        <v>15614</v>
      </c>
    </row>
    <row r="1981" customFormat="false" ht="15" hidden="false" customHeight="true" outlineLevel="0" collapsed="false">
      <c r="A1981" s="6" t="s">
        <v>17593</v>
      </c>
      <c r="B1981" s="6" t="s">
        <v>1415</v>
      </c>
      <c r="C1981" s="6" t="s">
        <v>116</v>
      </c>
      <c r="D1981" s="6" t="s">
        <v>19</v>
      </c>
      <c r="E1981" s="14" t="n">
        <v>3782.28</v>
      </c>
      <c r="F1981" s="14" t="n">
        <v>7564.56</v>
      </c>
      <c r="G1981" s="6" t="s">
        <v>15614</v>
      </c>
    </row>
    <row r="1982" customFormat="false" ht="15" hidden="false" customHeight="true" outlineLevel="0" collapsed="false">
      <c r="A1982" s="6" t="s">
        <v>17594</v>
      </c>
      <c r="B1982" s="6" t="s">
        <v>1415</v>
      </c>
      <c r="C1982" s="6" t="s">
        <v>116</v>
      </c>
      <c r="D1982" s="6" t="s">
        <v>20</v>
      </c>
      <c r="E1982" s="14" t="n">
        <v>3782.28</v>
      </c>
      <c r="F1982" s="14" t="n">
        <v>11346.84</v>
      </c>
      <c r="G1982" s="6" t="s">
        <v>15614</v>
      </c>
    </row>
    <row r="1983" customFormat="false" ht="15" hidden="false" customHeight="true" outlineLevel="0" collapsed="false">
      <c r="A1983" s="6" t="s">
        <v>17595</v>
      </c>
      <c r="B1983" s="6" t="s">
        <v>1417</v>
      </c>
      <c r="C1983" s="6" t="s">
        <v>124</v>
      </c>
      <c r="D1983" s="6" t="s">
        <v>52</v>
      </c>
      <c r="E1983" s="14" t="n">
        <v>1784.33</v>
      </c>
      <c r="F1983" s="14" t="n">
        <v>1784.33</v>
      </c>
      <c r="G1983" s="6" t="s">
        <v>15614</v>
      </c>
    </row>
    <row r="1984" customFormat="false" ht="15" hidden="false" customHeight="true" outlineLevel="0" collapsed="false">
      <c r="A1984" s="6" t="s">
        <v>17596</v>
      </c>
      <c r="B1984" s="6" t="s">
        <v>1417</v>
      </c>
      <c r="C1984" s="6" t="s">
        <v>124</v>
      </c>
      <c r="D1984" s="6" t="s">
        <v>53</v>
      </c>
      <c r="E1984" s="14" t="n">
        <v>1784.33</v>
      </c>
      <c r="F1984" s="14" t="n">
        <v>3568.66</v>
      </c>
      <c r="G1984" s="6" t="s">
        <v>15614</v>
      </c>
    </row>
    <row r="1985" customFormat="false" ht="15" hidden="false" customHeight="true" outlineLevel="0" collapsed="false">
      <c r="A1985" s="6" t="s">
        <v>17597</v>
      </c>
      <c r="B1985" s="6" t="s">
        <v>1419</v>
      </c>
      <c r="C1985" s="6" t="s">
        <v>112</v>
      </c>
      <c r="D1985" s="6" t="s">
        <v>31</v>
      </c>
      <c r="E1985" s="14" t="n">
        <v>2118.15</v>
      </c>
      <c r="F1985" s="14" t="n">
        <v>2118.15</v>
      </c>
      <c r="G1985" s="6" t="s">
        <v>15614</v>
      </c>
    </row>
    <row r="1986" customFormat="false" ht="15" hidden="false" customHeight="true" outlineLevel="0" collapsed="false">
      <c r="A1986" s="6" t="s">
        <v>17598</v>
      </c>
      <c r="B1986" s="6" t="s">
        <v>1419</v>
      </c>
      <c r="C1986" s="6" t="s">
        <v>112</v>
      </c>
      <c r="D1986" s="6" t="s">
        <v>32</v>
      </c>
      <c r="E1986" s="14" t="n">
        <v>2118.15</v>
      </c>
      <c r="F1986" s="14" t="n">
        <v>4236.3</v>
      </c>
      <c r="G1986" s="6" t="s">
        <v>15614</v>
      </c>
    </row>
    <row r="1987" customFormat="false" ht="15" hidden="false" customHeight="true" outlineLevel="0" collapsed="false">
      <c r="A1987" s="6" t="s">
        <v>17599</v>
      </c>
      <c r="B1987" s="6" t="s">
        <v>1421</v>
      </c>
      <c r="C1987" s="6" t="s">
        <v>131</v>
      </c>
      <c r="D1987" s="6" t="s">
        <v>53</v>
      </c>
      <c r="E1987" s="14" t="n">
        <v>2701.76</v>
      </c>
      <c r="F1987" s="14" t="n">
        <v>2701.76</v>
      </c>
      <c r="G1987" s="6" t="s">
        <v>15614</v>
      </c>
    </row>
    <row r="1988" customFormat="false" ht="15" hidden="false" customHeight="true" outlineLevel="0" collapsed="false">
      <c r="A1988" s="6" t="s">
        <v>17600</v>
      </c>
      <c r="B1988" s="6" t="s">
        <v>1421</v>
      </c>
      <c r="C1988" s="6" t="s">
        <v>131</v>
      </c>
      <c r="D1988" s="6" t="s">
        <v>54</v>
      </c>
      <c r="E1988" s="14" t="n">
        <v>2701.76</v>
      </c>
      <c r="F1988" s="14" t="n">
        <v>5403.52</v>
      </c>
      <c r="G1988" s="6" t="s">
        <v>15614</v>
      </c>
    </row>
    <row r="1989" customFormat="false" ht="15" hidden="false" customHeight="true" outlineLevel="0" collapsed="false">
      <c r="A1989" s="6" t="s">
        <v>17601</v>
      </c>
      <c r="B1989" s="6" t="s">
        <v>1421</v>
      </c>
      <c r="C1989" s="6" t="s">
        <v>131</v>
      </c>
      <c r="D1989" s="6" t="s">
        <v>55</v>
      </c>
      <c r="E1989" s="14" t="n">
        <v>2701.76</v>
      </c>
      <c r="F1989" s="14" t="n">
        <v>8105.28</v>
      </c>
      <c r="G1989" s="6" t="s">
        <v>15614</v>
      </c>
    </row>
    <row r="1990" customFormat="false" ht="15" hidden="false" customHeight="true" outlineLevel="0" collapsed="false">
      <c r="A1990" s="6" t="s">
        <v>17602</v>
      </c>
      <c r="B1990" s="6" t="s">
        <v>1423</v>
      </c>
      <c r="C1990" s="6" t="s">
        <v>124</v>
      </c>
      <c r="D1990" s="6" t="s">
        <v>63</v>
      </c>
      <c r="E1990" s="14" t="n">
        <v>5498.72</v>
      </c>
      <c r="F1990" s="14" t="n">
        <v>5498.72</v>
      </c>
      <c r="G1990" s="6" t="s">
        <v>15614</v>
      </c>
    </row>
    <row r="1991" customFormat="false" ht="15" hidden="false" customHeight="true" outlineLevel="0" collapsed="false">
      <c r="A1991" s="6" t="s">
        <v>17603</v>
      </c>
      <c r="B1991" s="6" t="s">
        <v>1423</v>
      </c>
      <c r="C1991" s="6" t="s">
        <v>124</v>
      </c>
      <c r="D1991" s="6" t="s">
        <v>64</v>
      </c>
      <c r="E1991" s="14" t="n">
        <v>5498.72</v>
      </c>
      <c r="F1991" s="14" t="n">
        <v>10997.44</v>
      </c>
      <c r="G1991" s="6" t="s">
        <v>15614</v>
      </c>
    </row>
    <row r="1992" customFormat="false" ht="15" hidden="false" customHeight="true" outlineLevel="0" collapsed="false">
      <c r="A1992" s="6" t="s">
        <v>17604</v>
      </c>
      <c r="B1992" s="6" t="s">
        <v>1423</v>
      </c>
      <c r="C1992" s="6" t="s">
        <v>124</v>
      </c>
      <c r="D1992" s="6" t="s">
        <v>65</v>
      </c>
      <c r="E1992" s="14" t="n">
        <v>5498.72</v>
      </c>
      <c r="F1992" s="14" t="n">
        <v>16496.16</v>
      </c>
      <c r="G1992" s="6" t="s">
        <v>15614</v>
      </c>
    </row>
    <row r="1993" customFormat="false" ht="15" hidden="false" customHeight="true" outlineLevel="0" collapsed="false">
      <c r="A1993" s="6" t="s">
        <v>17605</v>
      </c>
      <c r="B1993" s="6" t="s">
        <v>1423</v>
      </c>
      <c r="C1993" s="6" t="s">
        <v>124</v>
      </c>
      <c r="D1993" s="6" t="s">
        <v>66</v>
      </c>
      <c r="E1993" s="14" t="n">
        <v>5498.72</v>
      </c>
      <c r="F1993" s="14" t="n">
        <v>21994.88</v>
      </c>
      <c r="G1993" s="6" t="s">
        <v>15614</v>
      </c>
    </row>
    <row r="1994" customFormat="false" ht="15" hidden="false" customHeight="true" outlineLevel="0" collapsed="false">
      <c r="A1994" s="6" t="s">
        <v>17606</v>
      </c>
      <c r="B1994" s="6" t="s">
        <v>1425</v>
      </c>
      <c r="C1994" s="6" t="s">
        <v>128</v>
      </c>
      <c r="D1994" s="6" t="s">
        <v>23</v>
      </c>
      <c r="E1994" s="14" t="n">
        <v>3147.27</v>
      </c>
      <c r="F1994" s="14" t="n">
        <v>3147.27</v>
      </c>
      <c r="G1994" s="6" t="s">
        <v>15614</v>
      </c>
    </row>
    <row r="1995" customFormat="false" ht="15" hidden="false" customHeight="true" outlineLevel="0" collapsed="false">
      <c r="A1995" s="6" t="s">
        <v>17607</v>
      </c>
      <c r="B1995" s="6" t="s">
        <v>1425</v>
      </c>
      <c r="C1995" s="6" t="s">
        <v>128</v>
      </c>
      <c r="D1995" s="6" t="s">
        <v>24</v>
      </c>
      <c r="E1995" s="14" t="n">
        <v>3147.27</v>
      </c>
      <c r="F1995" s="14" t="n">
        <v>6294.54</v>
      </c>
      <c r="G1995" s="6" t="s">
        <v>15614</v>
      </c>
    </row>
    <row r="1996" customFormat="false" ht="15" hidden="false" customHeight="true" outlineLevel="0" collapsed="false">
      <c r="A1996" s="6" t="s">
        <v>17608</v>
      </c>
      <c r="B1996" s="6" t="s">
        <v>1425</v>
      </c>
      <c r="C1996" s="6" t="s">
        <v>128</v>
      </c>
      <c r="D1996" s="6" t="s">
        <v>25</v>
      </c>
      <c r="E1996" s="14" t="n">
        <v>3147.27</v>
      </c>
      <c r="F1996" s="14" t="n">
        <v>9441.81</v>
      </c>
      <c r="G1996" s="6" t="s">
        <v>15614</v>
      </c>
    </row>
    <row r="1997" customFormat="false" ht="15" hidden="false" customHeight="true" outlineLevel="0" collapsed="false">
      <c r="A1997" s="6" t="s">
        <v>17609</v>
      </c>
      <c r="B1997" s="6" t="s">
        <v>1425</v>
      </c>
      <c r="C1997" s="6" t="s">
        <v>128</v>
      </c>
      <c r="D1997" s="6" t="s">
        <v>26</v>
      </c>
      <c r="E1997" s="14" t="n">
        <v>3147.27</v>
      </c>
      <c r="F1997" s="14" t="n">
        <v>12589.08</v>
      </c>
      <c r="G1997" s="6" t="s">
        <v>15614</v>
      </c>
    </row>
    <row r="1998" customFormat="false" ht="15" hidden="false" customHeight="true" outlineLevel="0" collapsed="false">
      <c r="A1998" s="6" t="s">
        <v>17610</v>
      </c>
      <c r="B1998" s="6" t="s">
        <v>1425</v>
      </c>
      <c r="C1998" s="6" t="s">
        <v>128</v>
      </c>
      <c r="D1998" s="6" t="s">
        <v>27</v>
      </c>
      <c r="E1998" s="14" t="n">
        <v>3147.27</v>
      </c>
      <c r="F1998" s="14" t="n">
        <v>15736.35</v>
      </c>
      <c r="G1998" s="6" t="s">
        <v>15614</v>
      </c>
    </row>
    <row r="1999" customFormat="false" ht="15" hidden="false" customHeight="true" outlineLevel="0" collapsed="false">
      <c r="A1999" s="6" t="s">
        <v>17611</v>
      </c>
      <c r="B1999" s="6" t="s">
        <v>1427</v>
      </c>
      <c r="C1999" s="6" t="s">
        <v>112</v>
      </c>
      <c r="D1999" s="6" t="s">
        <v>16</v>
      </c>
      <c r="E1999" s="14" t="n">
        <v>225.06</v>
      </c>
      <c r="F1999" s="14" t="n">
        <v>225.06</v>
      </c>
      <c r="G1999" s="6" t="s">
        <v>15614</v>
      </c>
    </row>
    <row r="2000" customFormat="false" ht="15" hidden="false" customHeight="true" outlineLevel="0" collapsed="false">
      <c r="A2000" s="6" t="s">
        <v>17612</v>
      </c>
      <c r="B2000" s="6" t="s">
        <v>1427</v>
      </c>
      <c r="C2000" s="6" t="s">
        <v>112</v>
      </c>
      <c r="D2000" s="6" t="s">
        <v>17</v>
      </c>
      <c r="E2000" s="14" t="n">
        <v>225.06</v>
      </c>
      <c r="F2000" s="14" t="n">
        <v>450.12</v>
      </c>
      <c r="G2000" s="6" t="s">
        <v>15614</v>
      </c>
    </row>
    <row r="2001" customFormat="false" ht="15" hidden="false" customHeight="true" outlineLevel="0" collapsed="false">
      <c r="A2001" s="6" t="s">
        <v>17613</v>
      </c>
      <c r="B2001" s="6" t="s">
        <v>1429</v>
      </c>
      <c r="C2001" s="6" t="s">
        <v>131</v>
      </c>
      <c r="D2001" s="6" t="s">
        <v>57</v>
      </c>
      <c r="E2001" s="14" t="n">
        <v>1991.18</v>
      </c>
      <c r="F2001" s="14" t="n">
        <v>1991.18</v>
      </c>
      <c r="G2001" s="6" t="s">
        <v>15614</v>
      </c>
    </row>
    <row r="2002" customFormat="false" ht="15" hidden="false" customHeight="true" outlineLevel="0" collapsed="false">
      <c r="A2002" s="6" t="s">
        <v>17614</v>
      </c>
      <c r="B2002" s="6" t="s">
        <v>1429</v>
      </c>
      <c r="C2002" s="6" t="s">
        <v>131</v>
      </c>
      <c r="D2002" s="6" t="s">
        <v>58</v>
      </c>
      <c r="E2002" s="14" t="n">
        <v>1991.18</v>
      </c>
      <c r="F2002" s="14" t="n">
        <v>3982.36</v>
      </c>
      <c r="G2002" s="6" t="s">
        <v>15614</v>
      </c>
    </row>
    <row r="2003" customFormat="false" ht="15" hidden="false" customHeight="true" outlineLevel="0" collapsed="false">
      <c r="A2003" s="6" t="s">
        <v>17615</v>
      </c>
      <c r="B2003" s="6" t="s">
        <v>1429</v>
      </c>
      <c r="C2003" s="6" t="s">
        <v>131</v>
      </c>
      <c r="D2003" s="6" t="s">
        <v>59</v>
      </c>
      <c r="E2003" s="14" t="n">
        <v>1991.18</v>
      </c>
      <c r="F2003" s="14" t="n">
        <v>5973.54</v>
      </c>
      <c r="G2003" s="6" t="s">
        <v>15614</v>
      </c>
    </row>
    <row r="2004" customFormat="false" ht="15" hidden="false" customHeight="true" outlineLevel="0" collapsed="false">
      <c r="A2004" s="6" t="s">
        <v>17616</v>
      </c>
      <c r="B2004" s="6" t="s">
        <v>1431</v>
      </c>
      <c r="C2004" s="6" t="s">
        <v>116</v>
      </c>
      <c r="D2004" s="6" t="s">
        <v>59</v>
      </c>
      <c r="E2004" s="14" t="n">
        <v>237.44</v>
      </c>
      <c r="F2004" s="14" t="n">
        <v>237.44</v>
      </c>
      <c r="G2004" s="6" t="s">
        <v>15614</v>
      </c>
    </row>
    <row r="2005" customFormat="false" ht="15" hidden="false" customHeight="true" outlineLevel="0" collapsed="false">
      <c r="A2005" s="6" t="s">
        <v>17617</v>
      </c>
      <c r="B2005" s="6" t="s">
        <v>1431</v>
      </c>
      <c r="C2005" s="6" t="s">
        <v>116</v>
      </c>
      <c r="D2005" s="6" t="s">
        <v>60</v>
      </c>
      <c r="E2005" s="14" t="n">
        <v>237.44</v>
      </c>
      <c r="F2005" s="14" t="n">
        <v>474.88</v>
      </c>
      <c r="G2005" s="6" t="s">
        <v>15614</v>
      </c>
    </row>
    <row r="2006" customFormat="false" ht="15" hidden="false" customHeight="true" outlineLevel="0" collapsed="false">
      <c r="A2006" s="6" t="s">
        <v>17618</v>
      </c>
      <c r="B2006" s="6" t="s">
        <v>1431</v>
      </c>
      <c r="C2006" s="6" t="s">
        <v>116</v>
      </c>
      <c r="D2006" s="6" t="s">
        <v>61</v>
      </c>
      <c r="E2006" s="14" t="n">
        <v>237.44</v>
      </c>
      <c r="F2006" s="14" t="n">
        <v>712.32</v>
      </c>
      <c r="G2006" s="6" t="s">
        <v>15614</v>
      </c>
    </row>
    <row r="2007" customFormat="false" ht="15" hidden="false" customHeight="true" outlineLevel="0" collapsed="false">
      <c r="A2007" s="6" t="s">
        <v>17619</v>
      </c>
      <c r="B2007" s="6" t="s">
        <v>1433</v>
      </c>
      <c r="C2007" s="6" t="s">
        <v>112</v>
      </c>
      <c r="D2007" s="6" t="s">
        <v>23</v>
      </c>
      <c r="E2007" s="14" t="n">
        <v>4448.25</v>
      </c>
      <c r="F2007" s="14" t="n">
        <v>4448.25</v>
      </c>
      <c r="G2007" s="6" t="s">
        <v>15614</v>
      </c>
    </row>
    <row r="2008" customFormat="false" ht="15" hidden="false" customHeight="true" outlineLevel="0" collapsed="false">
      <c r="A2008" s="6" t="s">
        <v>17620</v>
      </c>
      <c r="B2008" s="6" t="s">
        <v>1433</v>
      </c>
      <c r="C2008" s="6" t="s">
        <v>112</v>
      </c>
      <c r="D2008" s="6" t="s">
        <v>24</v>
      </c>
      <c r="E2008" s="14" t="n">
        <v>4448.25</v>
      </c>
      <c r="F2008" s="14" t="n">
        <v>8896.5</v>
      </c>
      <c r="G2008" s="6" t="s">
        <v>15614</v>
      </c>
    </row>
    <row r="2009" customFormat="false" ht="15" hidden="false" customHeight="true" outlineLevel="0" collapsed="false">
      <c r="A2009" s="6" t="s">
        <v>17621</v>
      </c>
      <c r="B2009" s="6" t="s">
        <v>1433</v>
      </c>
      <c r="C2009" s="6" t="s">
        <v>112</v>
      </c>
      <c r="D2009" s="6" t="s">
        <v>25</v>
      </c>
      <c r="E2009" s="14" t="n">
        <v>4448.25</v>
      </c>
      <c r="F2009" s="14" t="n">
        <v>13344.75</v>
      </c>
      <c r="G2009" s="6" t="s">
        <v>15614</v>
      </c>
    </row>
    <row r="2010" customFormat="false" ht="15" hidden="false" customHeight="true" outlineLevel="0" collapsed="false">
      <c r="A2010" s="6" t="s">
        <v>17622</v>
      </c>
      <c r="B2010" s="6" t="s">
        <v>1433</v>
      </c>
      <c r="C2010" s="6" t="s">
        <v>112</v>
      </c>
      <c r="D2010" s="6" t="s">
        <v>26</v>
      </c>
      <c r="E2010" s="14" t="n">
        <v>4448.25</v>
      </c>
      <c r="F2010" s="14" t="n">
        <v>17793</v>
      </c>
      <c r="G2010" s="6" t="s">
        <v>15614</v>
      </c>
    </row>
    <row r="2011" customFormat="false" ht="15" hidden="false" customHeight="true" outlineLevel="0" collapsed="false">
      <c r="A2011" s="6" t="s">
        <v>17623</v>
      </c>
      <c r="B2011" s="6" t="s">
        <v>1433</v>
      </c>
      <c r="C2011" s="6" t="s">
        <v>112</v>
      </c>
      <c r="D2011" s="6" t="s">
        <v>27</v>
      </c>
      <c r="E2011" s="14" t="n">
        <v>4448.25</v>
      </c>
      <c r="F2011" s="14" t="n">
        <v>22241.25</v>
      </c>
      <c r="G2011" s="6" t="s">
        <v>15614</v>
      </c>
    </row>
    <row r="2012" customFormat="false" ht="15" hidden="false" customHeight="true" outlineLevel="0" collapsed="false">
      <c r="A2012" s="6" t="s">
        <v>17624</v>
      </c>
      <c r="B2012" s="6" t="s">
        <v>1435</v>
      </c>
      <c r="C2012" s="6" t="s">
        <v>120</v>
      </c>
      <c r="D2012" s="6" t="s">
        <v>63</v>
      </c>
      <c r="E2012" s="14" t="n">
        <v>606.43</v>
      </c>
      <c r="F2012" s="14" t="n">
        <v>606.43</v>
      </c>
      <c r="G2012" s="6" t="s">
        <v>15614</v>
      </c>
    </row>
    <row r="2013" customFormat="false" ht="15" hidden="false" customHeight="true" outlineLevel="0" collapsed="false">
      <c r="A2013" s="6" t="s">
        <v>17625</v>
      </c>
      <c r="B2013" s="6" t="s">
        <v>1435</v>
      </c>
      <c r="C2013" s="6" t="s">
        <v>120</v>
      </c>
      <c r="D2013" s="6" t="s">
        <v>64</v>
      </c>
      <c r="E2013" s="14" t="n">
        <v>606.43</v>
      </c>
      <c r="F2013" s="14" t="n">
        <v>1212.86</v>
      </c>
      <c r="G2013" s="6" t="s">
        <v>15614</v>
      </c>
    </row>
    <row r="2014" customFormat="false" ht="15" hidden="false" customHeight="true" outlineLevel="0" collapsed="false">
      <c r="A2014" s="6" t="s">
        <v>17626</v>
      </c>
      <c r="B2014" s="6" t="s">
        <v>1435</v>
      </c>
      <c r="C2014" s="6" t="s">
        <v>120</v>
      </c>
      <c r="D2014" s="6" t="s">
        <v>65</v>
      </c>
      <c r="E2014" s="14" t="n">
        <v>606.43</v>
      </c>
      <c r="F2014" s="14" t="n">
        <v>1819.29</v>
      </c>
      <c r="G2014" s="6" t="s">
        <v>15614</v>
      </c>
    </row>
    <row r="2015" customFormat="false" ht="15" hidden="false" customHeight="true" outlineLevel="0" collapsed="false">
      <c r="A2015" s="6" t="s">
        <v>17627</v>
      </c>
      <c r="B2015" s="6" t="s">
        <v>1437</v>
      </c>
      <c r="C2015" s="6" t="s">
        <v>124</v>
      </c>
      <c r="D2015" s="6" t="s">
        <v>45</v>
      </c>
      <c r="E2015" s="14" t="n">
        <v>3423.95</v>
      </c>
      <c r="F2015" s="14" t="n">
        <v>3423.95</v>
      </c>
      <c r="G2015" s="6" t="s">
        <v>15614</v>
      </c>
    </row>
    <row r="2016" customFormat="false" ht="15" hidden="false" customHeight="true" outlineLevel="0" collapsed="false">
      <c r="A2016" s="6" t="s">
        <v>17628</v>
      </c>
      <c r="B2016" s="6" t="s">
        <v>1439</v>
      </c>
      <c r="C2016" s="6" t="s">
        <v>131</v>
      </c>
      <c r="D2016" s="6" t="s">
        <v>12</v>
      </c>
      <c r="E2016" s="14" t="n">
        <v>3314.24</v>
      </c>
      <c r="F2016" s="14" t="n">
        <v>3314.24</v>
      </c>
      <c r="G2016" s="6" t="s">
        <v>15614</v>
      </c>
    </row>
    <row r="2017" customFormat="false" ht="15" hidden="false" customHeight="true" outlineLevel="0" collapsed="false">
      <c r="A2017" s="6" t="s">
        <v>17629</v>
      </c>
      <c r="B2017" s="6" t="s">
        <v>1439</v>
      </c>
      <c r="C2017" s="6" t="s">
        <v>131</v>
      </c>
      <c r="D2017" s="6" t="s">
        <v>13</v>
      </c>
      <c r="E2017" s="14" t="n">
        <v>3314.24</v>
      </c>
      <c r="F2017" s="14" t="n">
        <v>6628.48</v>
      </c>
      <c r="G2017" s="6" t="s">
        <v>15614</v>
      </c>
    </row>
    <row r="2018" customFormat="false" ht="15" hidden="false" customHeight="true" outlineLevel="0" collapsed="false">
      <c r="A2018" s="6" t="s">
        <v>17630</v>
      </c>
      <c r="B2018" s="6" t="s">
        <v>1441</v>
      </c>
      <c r="C2018" s="6" t="s">
        <v>116</v>
      </c>
      <c r="D2018" s="6" t="s">
        <v>20</v>
      </c>
      <c r="E2018" s="14" t="n">
        <v>2837.87</v>
      </c>
      <c r="F2018" s="14" t="n">
        <v>2837.87</v>
      </c>
      <c r="G2018" s="6" t="s">
        <v>15614</v>
      </c>
    </row>
    <row r="2019" customFormat="false" ht="15" hidden="false" customHeight="true" outlineLevel="0" collapsed="false">
      <c r="A2019" s="6" t="s">
        <v>17631</v>
      </c>
      <c r="B2019" s="6" t="s">
        <v>1441</v>
      </c>
      <c r="C2019" s="6" t="s">
        <v>116</v>
      </c>
      <c r="D2019" s="6" t="s">
        <v>21</v>
      </c>
      <c r="E2019" s="14" t="n">
        <v>2837.87</v>
      </c>
      <c r="F2019" s="14" t="n">
        <v>5675.74</v>
      </c>
      <c r="G2019" s="6" t="s">
        <v>15614</v>
      </c>
    </row>
    <row r="2020" customFormat="false" ht="15" hidden="false" customHeight="true" outlineLevel="0" collapsed="false">
      <c r="A2020" s="6" t="s">
        <v>17632</v>
      </c>
      <c r="B2020" s="6" t="s">
        <v>1441</v>
      </c>
      <c r="C2020" s="6" t="s">
        <v>116</v>
      </c>
      <c r="D2020" s="6" t="s">
        <v>22</v>
      </c>
      <c r="E2020" s="14" t="n">
        <v>2837.87</v>
      </c>
      <c r="F2020" s="14" t="n">
        <v>8513.61</v>
      </c>
      <c r="G2020" s="6" t="s">
        <v>15614</v>
      </c>
    </row>
    <row r="2021" customFormat="false" ht="15" hidden="false" customHeight="true" outlineLevel="0" collapsed="false">
      <c r="A2021" s="6" t="s">
        <v>17633</v>
      </c>
      <c r="B2021" s="6" t="s">
        <v>1441</v>
      </c>
      <c r="C2021" s="6" t="s">
        <v>116</v>
      </c>
      <c r="D2021" s="6" t="s">
        <v>23</v>
      </c>
      <c r="E2021" s="14" t="n">
        <v>2837.87</v>
      </c>
      <c r="F2021" s="14" t="n">
        <v>11351.48</v>
      </c>
      <c r="G2021" s="6" t="s">
        <v>15614</v>
      </c>
    </row>
    <row r="2022" customFormat="false" ht="15" hidden="false" customHeight="true" outlineLevel="0" collapsed="false">
      <c r="A2022" s="6" t="s">
        <v>17634</v>
      </c>
      <c r="B2022" s="6" t="s">
        <v>1443</v>
      </c>
      <c r="C2022" s="6" t="s">
        <v>124</v>
      </c>
      <c r="D2022" s="6" t="s">
        <v>28</v>
      </c>
      <c r="E2022" s="14" t="n">
        <v>1579.21</v>
      </c>
      <c r="F2022" s="14" t="n">
        <v>1579.21</v>
      </c>
      <c r="G2022" s="6" t="s">
        <v>15614</v>
      </c>
    </row>
    <row r="2023" customFormat="false" ht="15" hidden="false" customHeight="true" outlineLevel="0" collapsed="false">
      <c r="A2023" s="6" t="s">
        <v>17635</v>
      </c>
      <c r="B2023" s="6" t="s">
        <v>1443</v>
      </c>
      <c r="C2023" s="6" t="s">
        <v>124</v>
      </c>
      <c r="D2023" s="6" t="s">
        <v>29</v>
      </c>
      <c r="E2023" s="14" t="n">
        <v>1579.21</v>
      </c>
      <c r="F2023" s="14" t="n">
        <v>3158.42</v>
      </c>
      <c r="G2023" s="6" t="s">
        <v>15614</v>
      </c>
    </row>
    <row r="2024" customFormat="false" ht="15" hidden="false" customHeight="true" outlineLevel="0" collapsed="false">
      <c r="A2024" s="6" t="s">
        <v>17636</v>
      </c>
      <c r="B2024" s="6" t="s">
        <v>1443</v>
      </c>
      <c r="C2024" s="6" t="s">
        <v>124</v>
      </c>
      <c r="D2024" s="6" t="s">
        <v>30</v>
      </c>
      <c r="E2024" s="14" t="n">
        <v>1579.21</v>
      </c>
      <c r="F2024" s="14" t="n">
        <v>4737.63</v>
      </c>
      <c r="G2024" s="6" t="s">
        <v>15614</v>
      </c>
    </row>
    <row r="2025" customFormat="false" ht="15" hidden="false" customHeight="true" outlineLevel="0" collapsed="false">
      <c r="A2025" s="6" t="s">
        <v>17637</v>
      </c>
      <c r="B2025" s="6" t="s">
        <v>1445</v>
      </c>
      <c r="C2025" s="6" t="s">
        <v>112</v>
      </c>
      <c r="D2025" s="6" t="s">
        <v>19</v>
      </c>
      <c r="E2025" s="14" t="n">
        <v>2775.19</v>
      </c>
      <c r="F2025" s="14" t="n">
        <v>2775.19</v>
      </c>
      <c r="G2025" s="6" t="s">
        <v>15614</v>
      </c>
    </row>
    <row r="2026" customFormat="false" ht="15" hidden="false" customHeight="true" outlineLevel="0" collapsed="false">
      <c r="A2026" s="6" t="s">
        <v>17638</v>
      </c>
      <c r="B2026" s="6" t="s">
        <v>1445</v>
      </c>
      <c r="C2026" s="6" t="s">
        <v>112</v>
      </c>
      <c r="D2026" s="6" t="s">
        <v>20</v>
      </c>
      <c r="E2026" s="14" t="n">
        <v>2775.19</v>
      </c>
      <c r="F2026" s="14" t="n">
        <v>5550.38</v>
      </c>
      <c r="G2026" s="6" t="s">
        <v>15614</v>
      </c>
    </row>
    <row r="2027" customFormat="false" ht="15" hidden="false" customHeight="true" outlineLevel="0" collapsed="false">
      <c r="A2027" s="6" t="s">
        <v>17639</v>
      </c>
      <c r="B2027" s="6" t="s">
        <v>1445</v>
      </c>
      <c r="C2027" s="6" t="s">
        <v>112</v>
      </c>
      <c r="D2027" s="6" t="s">
        <v>21</v>
      </c>
      <c r="E2027" s="14" t="n">
        <v>2775.19</v>
      </c>
      <c r="F2027" s="14" t="n">
        <v>8325.57</v>
      </c>
      <c r="G2027" s="6" t="s">
        <v>15614</v>
      </c>
    </row>
    <row r="2028" customFormat="false" ht="15" hidden="false" customHeight="true" outlineLevel="0" collapsed="false">
      <c r="A2028" s="6" t="s">
        <v>17640</v>
      </c>
      <c r="B2028" s="6" t="s">
        <v>1445</v>
      </c>
      <c r="C2028" s="6" t="s">
        <v>112</v>
      </c>
      <c r="D2028" s="6" t="s">
        <v>22</v>
      </c>
      <c r="E2028" s="14" t="n">
        <v>2775.19</v>
      </c>
      <c r="F2028" s="14" t="n">
        <v>11100.76</v>
      </c>
      <c r="G2028" s="6" t="s">
        <v>15614</v>
      </c>
    </row>
    <row r="2029" customFormat="false" ht="15" hidden="false" customHeight="true" outlineLevel="0" collapsed="false">
      <c r="A2029" s="6" t="s">
        <v>17641</v>
      </c>
      <c r="B2029" s="6" t="s">
        <v>1445</v>
      </c>
      <c r="C2029" s="6" t="s">
        <v>112</v>
      </c>
      <c r="D2029" s="6" t="s">
        <v>23</v>
      </c>
      <c r="E2029" s="14" t="n">
        <v>2775.19</v>
      </c>
      <c r="F2029" s="14" t="n">
        <v>13875.95</v>
      </c>
      <c r="G2029" s="6" t="s">
        <v>15614</v>
      </c>
    </row>
    <row r="2030" customFormat="false" ht="15" hidden="false" customHeight="true" outlineLevel="0" collapsed="false">
      <c r="A2030" s="6" t="s">
        <v>17642</v>
      </c>
      <c r="B2030" s="6" t="s">
        <v>1445</v>
      </c>
      <c r="C2030" s="6" t="s">
        <v>112</v>
      </c>
      <c r="D2030" s="6" t="s">
        <v>23</v>
      </c>
      <c r="E2030" s="14" t="n">
        <v>2775.19</v>
      </c>
      <c r="F2030" s="14" t="n">
        <v>16651.14</v>
      </c>
      <c r="G2030" s="6" t="s">
        <v>15614</v>
      </c>
    </row>
    <row r="2031" customFormat="false" ht="15" hidden="false" customHeight="true" outlineLevel="0" collapsed="false">
      <c r="A2031" s="6" t="s">
        <v>17643</v>
      </c>
      <c r="B2031" s="6" t="s">
        <v>1447</v>
      </c>
      <c r="C2031" s="6" t="s">
        <v>112</v>
      </c>
      <c r="D2031" s="6" t="s">
        <v>63</v>
      </c>
      <c r="E2031" s="14" t="n">
        <v>2223.59</v>
      </c>
      <c r="F2031" s="14" t="n">
        <v>2223.59</v>
      </c>
      <c r="G2031" s="6" t="s">
        <v>15614</v>
      </c>
    </row>
    <row r="2032" customFormat="false" ht="15" hidden="false" customHeight="true" outlineLevel="0" collapsed="false">
      <c r="A2032" s="6" t="s">
        <v>17644</v>
      </c>
      <c r="B2032" s="6" t="s">
        <v>1447</v>
      </c>
      <c r="C2032" s="6" t="s">
        <v>112</v>
      </c>
      <c r="D2032" s="6" t="s">
        <v>64</v>
      </c>
      <c r="E2032" s="14" t="n">
        <v>2223.59</v>
      </c>
      <c r="F2032" s="14" t="n">
        <v>4447.18</v>
      </c>
      <c r="G2032" s="6" t="s">
        <v>15614</v>
      </c>
    </row>
    <row r="2033" customFormat="false" ht="15" hidden="false" customHeight="true" outlineLevel="0" collapsed="false">
      <c r="A2033" s="6" t="s">
        <v>17645</v>
      </c>
      <c r="B2033" s="6" t="s">
        <v>1447</v>
      </c>
      <c r="C2033" s="6" t="s">
        <v>112</v>
      </c>
      <c r="D2033" s="6" t="s">
        <v>65</v>
      </c>
      <c r="E2033" s="14" t="n">
        <v>2223.59</v>
      </c>
      <c r="F2033" s="14" t="n">
        <v>6670.77</v>
      </c>
      <c r="G2033" s="6" t="s">
        <v>15614</v>
      </c>
    </row>
    <row r="2034" customFormat="false" ht="15" hidden="false" customHeight="true" outlineLevel="0" collapsed="false">
      <c r="A2034" s="6" t="s">
        <v>17646</v>
      </c>
      <c r="B2034" s="6" t="s">
        <v>1447</v>
      </c>
      <c r="C2034" s="6" t="s">
        <v>112</v>
      </c>
      <c r="D2034" s="6" t="s">
        <v>66</v>
      </c>
      <c r="E2034" s="14" t="n">
        <v>2223.59</v>
      </c>
      <c r="F2034" s="14" t="n">
        <v>8894.36</v>
      </c>
      <c r="G2034" s="6" t="s">
        <v>15614</v>
      </c>
    </row>
    <row r="2035" customFormat="false" ht="15" hidden="false" customHeight="true" outlineLevel="0" collapsed="false">
      <c r="A2035" s="6" t="s">
        <v>17647</v>
      </c>
      <c r="B2035" s="6" t="s">
        <v>1449</v>
      </c>
      <c r="C2035" s="6" t="s">
        <v>128</v>
      </c>
      <c r="D2035" s="6" t="s">
        <v>51</v>
      </c>
      <c r="E2035" s="14" t="n">
        <v>1568.74</v>
      </c>
      <c r="F2035" s="14" t="n">
        <v>1568.74</v>
      </c>
      <c r="G2035" s="6" t="s">
        <v>15614</v>
      </c>
    </row>
    <row r="2036" customFormat="false" ht="15" hidden="false" customHeight="true" outlineLevel="0" collapsed="false">
      <c r="A2036" s="6" t="s">
        <v>17648</v>
      </c>
      <c r="B2036" s="6" t="s">
        <v>1449</v>
      </c>
      <c r="C2036" s="6" t="s">
        <v>128</v>
      </c>
      <c r="D2036" s="6" t="s">
        <v>52</v>
      </c>
      <c r="E2036" s="14" t="n">
        <v>1568.74</v>
      </c>
      <c r="F2036" s="14" t="n">
        <v>3137.48</v>
      </c>
      <c r="G2036" s="6" t="s">
        <v>15614</v>
      </c>
    </row>
    <row r="2037" customFormat="false" ht="15" hidden="false" customHeight="true" outlineLevel="0" collapsed="false">
      <c r="A2037" s="6" t="s">
        <v>17649</v>
      </c>
      <c r="B2037" s="6" t="s">
        <v>1451</v>
      </c>
      <c r="C2037" s="6" t="s">
        <v>128</v>
      </c>
      <c r="D2037" s="6" t="s">
        <v>55</v>
      </c>
      <c r="E2037" s="14" t="n">
        <v>5621.1</v>
      </c>
      <c r="F2037" s="14" t="n">
        <v>5621.1</v>
      </c>
      <c r="G2037" s="6" t="s">
        <v>15614</v>
      </c>
    </row>
    <row r="2038" customFormat="false" ht="15" hidden="false" customHeight="true" outlineLevel="0" collapsed="false">
      <c r="A2038" s="6" t="s">
        <v>17650</v>
      </c>
      <c r="B2038" s="6" t="s">
        <v>1451</v>
      </c>
      <c r="C2038" s="6" t="s">
        <v>128</v>
      </c>
      <c r="D2038" s="6" t="s">
        <v>56</v>
      </c>
      <c r="E2038" s="14" t="n">
        <v>5621.1</v>
      </c>
      <c r="F2038" s="14" t="n">
        <v>11242.2</v>
      </c>
      <c r="G2038" s="6" t="s">
        <v>15614</v>
      </c>
    </row>
    <row r="2039" customFormat="false" ht="15" hidden="false" customHeight="true" outlineLevel="0" collapsed="false">
      <c r="A2039" s="6" t="s">
        <v>17651</v>
      </c>
      <c r="B2039" s="6" t="s">
        <v>1451</v>
      </c>
      <c r="C2039" s="6" t="s">
        <v>128</v>
      </c>
      <c r="D2039" s="6" t="s">
        <v>57</v>
      </c>
      <c r="E2039" s="14" t="n">
        <v>5621.1</v>
      </c>
      <c r="F2039" s="14" t="n">
        <v>16863.3</v>
      </c>
      <c r="G2039" s="6" t="s">
        <v>15614</v>
      </c>
    </row>
    <row r="2040" customFormat="false" ht="15" hidden="false" customHeight="true" outlineLevel="0" collapsed="false">
      <c r="A2040" s="6" t="s">
        <v>17652</v>
      </c>
      <c r="B2040" s="6" t="s">
        <v>1453</v>
      </c>
      <c r="C2040" s="6" t="s">
        <v>112</v>
      </c>
      <c r="D2040" s="6" t="s">
        <v>32</v>
      </c>
      <c r="E2040" s="14" t="n">
        <v>1544.79</v>
      </c>
      <c r="F2040" s="14" t="n">
        <v>1544.79</v>
      </c>
      <c r="G2040" s="6" t="s">
        <v>15614</v>
      </c>
    </row>
    <row r="2041" customFormat="false" ht="15" hidden="false" customHeight="true" outlineLevel="0" collapsed="false">
      <c r="A2041" s="6" t="s">
        <v>17653</v>
      </c>
      <c r="B2041" s="6" t="s">
        <v>1453</v>
      </c>
      <c r="C2041" s="6" t="s">
        <v>112</v>
      </c>
      <c r="D2041" s="6" t="s">
        <v>33</v>
      </c>
      <c r="E2041" s="14" t="n">
        <v>1544.79</v>
      </c>
      <c r="F2041" s="14" t="n">
        <v>3089.58</v>
      </c>
      <c r="G2041" s="6" t="s">
        <v>15614</v>
      </c>
    </row>
    <row r="2042" customFormat="false" ht="15" hidden="false" customHeight="true" outlineLevel="0" collapsed="false">
      <c r="A2042" s="6" t="s">
        <v>17654</v>
      </c>
      <c r="B2042" s="6" t="s">
        <v>1453</v>
      </c>
      <c r="C2042" s="6" t="s">
        <v>112</v>
      </c>
      <c r="D2042" s="6" t="s">
        <v>34</v>
      </c>
      <c r="E2042" s="14" t="n">
        <v>1544.79</v>
      </c>
      <c r="F2042" s="14" t="n">
        <v>4634.37</v>
      </c>
      <c r="G2042" s="6" t="s">
        <v>15614</v>
      </c>
    </row>
    <row r="2043" customFormat="false" ht="15" hidden="false" customHeight="true" outlineLevel="0" collapsed="false">
      <c r="A2043" s="6" t="s">
        <v>17655</v>
      </c>
      <c r="B2043" s="6" t="s">
        <v>1455</v>
      </c>
      <c r="C2043" s="6" t="s">
        <v>116</v>
      </c>
      <c r="D2043" s="6" t="s">
        <v>61</v>
      </c>
      <c r="E2043" s="14" t="n">
        <v>1580.69</v>
      </c>
      <c r="F2043" s="14" t="n">
        <v>1580.69</v>
      </c>
      <c r="G2043" s="6" t="s">
        <v>15614</v>
      </c>
    </row>
    <row r="2044" customFormat="false" ht="15" hidden="false" customHeight="true" outlineLevel="0" collapsed="false">
      <c r="A2044" s="6" t="s">
        <v>17656</v>
      </c>
      <c r="B2044" s="6" t="s">
        <v>1455</v>
      </c>
      <c r="C2044" s="6" t="s">
        <v>116</v>
      </c>
      <c r="D2044" s="6" t="s">
        <v>62</v>
      </c>
      <c r="E2044" s="14" t="n">
        <v>1580.69</v>
      </c>
      <c r="F2044" s="14" t="n">
        <v>3161.38</v>
      </c>
      <c r="G2044" s="6" t="s">
        <v>15614</v>
      </c>
    </row>
    <row r="2045" customFormat="false" ht="15" hidden="false" customHeight="true" outlineLevel="0" collapsed="false">
      <c r="A2045" s="6" t="s">
        <v>17657</v>
      </c>
      <c r="B2045" s="6" t="s">
        <v>1455</v>
      </c>
      <c r="C2045" s="6" t="s">
        <v>116</v>
      </c>
      <c r="D2045" s="6" t="s">
        <v>63</v>
      </c>
      <c r="E2045" s="14" t="n">
        <v>1580.69</v>
      </c>
      <c r="F2045" s="14" t="n">
        <v>4742.07</v>
      </c>
      <c r="G2045" s="6" t="s">
        <v>15614</v>
      </c>
    </row>
    <row r="2046" customFormat="false" ht="15" hidden="false" customHeight="true" outlineLevel="0" collapsed="false">
      <c r="A2046" s="6" t="s">
        <v>17658</v>
      </c>
      <c r="B2046" s="6" t="s">
        <v>1455</v>
      </c>
      <c r="C2046" s="6" t="s">
        <v>116</v>
      </c>
      <c r="D2046" s="6" t="s">
        <v>64</v>
      </c>
      <c r="E2046" s="14" t="n">
        <v>1580.69</v>
      </c>
      <c r="F2046" s="14" t="n">
        <v>6322.76</v>
      </c>
      <c r="G2046" s="6" t="s">
        <v>15614</v>
      </c>
    </row>
    <row r="2047" customFormat="false" ht="15" hidden="false" customHeight="true" outlineLevel="0" collapsed="false">
      <c r="A2047" s="6" t="s">
        <v>17659</v>
      </c>
      <c r="B2047" s="6" t="s">
        <v>1457</v>
      </c>
      <c r="C2047" s="6" t="s">
        <v>124</v>
      </c>
      <c r="D2047" s="6" t="s">
        <v>36</v>
      </c>
      <c r="E2047" s="14" t="n">
        <v>863.47</v>
      </c>
      <c r="F2047" s="14" t="n">
        <v>863.47</v>
      </c>
      <c r="G2047" s="6" t="s">
        <v>15614</v>
      </c>
    </row>
    <row r="2048" customFormat="false" ht="15" hidden="false" customHeight="true" outlineLevel="0" collapsed="false">
      <c r="A2048" s="6" t="s">
        <v>17660</v>
      </c>
      <c r="B2048" s="6" t="s">
        <v>1457</v>
      </c>
      <c r="C2048" s="6" t="s">
        <v>124</v>
      </c>
      <c r="D2048" s="6" t="s">
        <v>37</v>
      </c>
      <c r="E2048" s="14" t="n">
        <v>863.47</v>
      </c>
      <c r="F2048" s="14" t="n">
        <v>1726.94</v>
      </c>
      <c r="G2048" s="6" t="s">
        <v>15614</v>
      </c>
    </row>
    <row r="2049" customFormat="false" ht="15" hidden="false" customHeight="true" outlineLevel="0" collapsed="false">
      <c r="A2049" s="6" t="s">
        <v>17661</v>
      </c>
      <c r="B2049" s="6" t="s">
        <v>1459</v>
      </c>
      <c r="C2049" s="6" t="s">
        <v>116</v>
      </c>
      <c r="D2049" s="6" t="s">
        <v>39</v>
      </c>
      <c r="E2049" s="14" t="n">
        <v>1995.85</v>
      </c>
      <c r="F2049" s="14" t="n">
        <v>1995.85</v>
      </c>
      <c r="G2049" s="6" t="s">
        <v>15614</v>
      </c>
    </row>
    <row r="2050" customFormat="false" ht="15" hidden="false" customHeight="true" outlineLevel="0" collapsed="false">
      <c r="A2050" s="6" t="s">
        <v>17662</v>
      </c>
      <c r="B2050" s="6" t="s">
        <v>1459</v>
      </c>
      <c r="C2050" s="6" t="s">
        <v>116</v>
      </c>
      <c r="D2050" s="6" t="s">
        <v>40</v>
      </c>
      <c r="E2050" s="14" t="n">
        <v>1995.85</v>
      </c>
      <c r="F2050" s="14" t="n">
        <v>3991.7</v>
      </c>
      <c r="G2050" s="6" t="s">
        <v>15614</v>
      </c>
    </row>
    <row r="2051" customFormat="false" ht="15" hidden="false" customHeight="true" outlineLevel="0" collapsed="false">
      <c r="A2051" s="6" t="s">
        <v>17663</v>
      </c>
      <c r="B2051" s="6" t="s">
        <v>1459</v>
      </c>
      <c r="C2051" s="6" t="s">
        <v>116</v>
      </c>
      <c r="D2051" s="6" t="s">
        <v>41</v>
      </c>
      <c r="E2051" s="14" t="n">
        <v>1995.85</v>
      </c>
      <c r="F2051" s="14" t="n">
        <v>5987.55</v>
      </c>
      <c r="G2051" s="6" t="s">
        <v>15614</v>
      </c>
    </row>
    <row r="2052" customFormat="false" ht="15" hidden="false" customHeight="true" outlineLevel="0" collapsed="false">
      <c r="A2052" s="6" t="s">
        <v>17664</v>
      </c>
      <c r="B2052" s="6" t="s">
        <v>1459</v>
      </c>
      <c r="C2052" s="6" t="s">
        <v>116</v>
      </c>
      <c r="D2052" s="6" t="s">
        <v>42</v>
      </c>
      <c r="E2052" s="14" t="n">
        <v>1995.85</v>
      </c>
      <c r="F2052" s="14" t="n">
        <v>7983.4</v>
      </c>
      <c r="G2052" s="6" t="s">
        <v>15614</v>
      </c>
    </row>
    <row r="2053" customFormat="false" ht="15" hidden="false" customHeight="true" outlineLevel="0" collapsed="false">
      <c r="A2053" s="6" t="s">
        <v>17665</v>
      </c>
      <c r="B2053" s="6" t="s">
        <v>1461</v>
      </c>
      <c r="C2053" s="6" t="s">
        <v>112</v>
      </c>
      <c r="D2053" s="6" t="s">
        <v>46</v>
      </c>
      <c r="E2053" s="14" t="n">
        <v>452.15</v>
      </c>
      <c r="F2053" s="14" t="n">
        <v>452.15</v>
      </c>
      <c r="G2053" s="6" t="s">
        <v>15614</v>
      </c>
    </row>
    <row r="2054" customFormat="false" ht="15" hidden="false" customHeight="true" outlineLevel="0" collapsed="false">
      <c r="A2054" s="6" t="s">
        <v>17666</v>
      </c>
      <c r="B2054" s="6" t="s">
        <v>1461</v>
      </c>
      <c r="C2054" s="6" t="s">
        <v>112</v>
      </c>
      <c r="D2054" s="6" t="s">
        <v>47</v>
      </c>
      <c r="E2054" s="14" t="n">
        <v>452.15</v>
      </c>
      <c r="F2054" s="14" t="n">
        <v>904.3</v>
      </c>
      <c r="G2054" s="6" t="s">
        <v>15614</v>
      </c>
    </row>
    <row r="2055" customFormat="false" ht="15" hidden="false" customHeight="true" outlineLevel="0" collapsed="false">
      <c r="A2055" s="6" t="s">
        <v>17667</v>
      </c>
      <c r="B2055" s="6" t="s">
        <v>1461</v>
      </c>
      <c r="C2055" s="6" t="s">
        <v>112</v>
      </c>
      <c r="D2055" s="6" t="s">
        <v>48</v>
      </c>
      <c r="E2055" s="14" t="n">
        <v>452.15</v>
      </c>
      <c r="F2055" s="14" t="n">
        <v>1356.45</v>
      </c>
      <c r="G2055" s="6" t="s">
        <v>15614</v>
      </c>
    </row>
    <row r="2056" customFormat="false" ht="15" hidden="false" customHeight="true" outlineLevel="0" collapsed="false">
      <c r="A2056" s="6" t="s">
        <v>17668</v>
      </c>
      <c r="B2056" s="6" t="s">
        <v>1461</v>
      </c>
      <c r="C2056" s="6" t="s">
        <v>112</v>
      </c>
      <c r="D2056" s="6" t="s">
        <v>49</v>
      </c>
      <c r="E2056" s="14" t="n">
        <v>452.15</v>
      </c>
      <c r="F2056" s="14" t="n">
        <v>1808.6</v>
      </c>
      <c r="G2056" s="6" t="s">
        <v>15614</v>
      </c>
    </row>
    <row r="2057" customFormat="false" ht="15" hidden="false" customHeight="true" outlineLevel="0" collapsed="false">
      <c r="A2057" s="6" t="s">
        <v>17669</v>
      </c>
      <c r="B2057" s="6" t="s">
        <v>1461</v>
      </c>
      <c r="C2057" s="6" t="s">
        <v>112</v>
      </c>
      <c r="D2057" s="6" t="s">
        <v>50</v>
      </c>
      <c r="E2057" s="14" t="n">
        <v>452.15</v>
      </c>
      <c r="F2057" s="14" t="n">
        <v>2260.75</v>
      </c>
      <c r="G2057" s="6" t="s">
        <v>15614</v>
      </c>
    </row>
    <row r="2058" customFormat="false" ht="15" hidden="false" customHeight="true" outlineLevel="0" collapsed="false">
      <c r="A2058" s="6" t="s">
        <v>17670</v>
      </c>
      <c r="B2058" s="6" t="s">
        <v>1463</v>
      </c>
      <c r="C2058" s="6" t="s">
        <v>124</v>
      </c>
      <c r="D2058" s="6" t="s">
        <v>30</v>
      </c>
      <c r="E2058" s="14" t="n">
        <v>4153.88</v>
      </c>
      <c r="F2058" s="14" t="n">
        <v>4153.88</v>
      </c>
      <c r="G2058" s="6" t="s">
        <v>15614</v>
      </c>
    </row>
    <row r="2059" customFormat="false" ht="15" hidden="false" customHeight="true" outlineLevel="0" collapsed="false">
      <c r="A2059" s="6" t="s">
        <v>17671</v>
      </c>
      <c r="B2059" s="6" t="s">
        <v>1463</v>
      </c>
      <c r="C2059" s="6" t="s">
        <v>124</v>
      </c>
      <c r="D2059" s="6" t="s">
        <v>31</v>
      </c>
      <c r="E2059" s="14" t="n">
        <v>4153.88</v>
      </c>
      <c r="F2059" s="14" t="n">
        <v>8307.76</v>
      </c>
      <c r="G2059" s="6" t="s">
        <v>15614</v>
      </c>
    </row>
    <row r="2060" customFormat="false" ht="15" hidden="false" customHeight="true" outlineLevel="0" collapsed="false">
      <c r="A2060" s="6" t="s">
        <v>17672</v>
      </c>
      <c r="B2060" s="6" t="s">
        <v>1465</v>
      </c>
      <c r="C2060" s="6" t="s">
        <v>128</v>
      </c>
      <c r="D2060" s="6" t="s">
        <v>11</v>
      </c>
      <c r="E2060" s="14" t="n">
        <v>2324.1</v>
      </c>
      <c r="F2060" s="14" t="n">
        <v>2324.1</v>
      </c>
      <c r="G2060" s="6" t="s">
        <v>15614</v>
      </c>
    </row>
    <row r="2061" customFormat="false" ht="15" hidden="false" customHeight="true" outlineLevel="0" collapsed="false">
      <c r="A2061" s="6" t="s">
        <v>17673</v>
      </c>
      <c r="B2061" s="6" t="s">
        <v>1465</v>
      </c>
      <c r="C2061" s="6" t="s">
        <v>128</v>
      </c>
      <c r="D2061" s="6" t="s">
        <v>12</v>
      </c>
      <c r="E2061" s="14" t="n">
        <v>2324.1</v>
      </c>
      <c r="F2061" s="14" t="n">
        <v>4648.2</v>
      </c>
      <c r="G2061" s="6" t="s">
        <v>15614</v>
      </c>
    </row>
    <row r="2062" customFormat="false" ht="15" hidden="false" customHeight="true" outlineLevel="0" collapsed="false">
      <c r="A2062" s="6" t="s">
        <v>17674</v>
      </c>
      <c r="B2062" s="6" t="s">
        <v>1465</v>
      </c>
      <c r="C2062" s="6" t="s">
        <v>128</v>
      </c>
      <c r="D2062" s="6" t="s">
        <v>13</v>
      </c>
      <c r="E2062" s="14" t="n">
        <v>2324.1</v>
      </c>
      <c r="F2062" s="14" t="n">
        <v>6972.3</v>
      </c>
      <c r="G2062" s="6" t="s">
        <v>15614</v>
      </c>
    </row>
    <row r="2063" customFormat="false" ht="15" hidden="false" customHeight="true" outlineLevel="0" collapsed="false">
      <c r="A2063" s="6" t="s">
        <v>17675</v>
      </c>
      <c r="B2063" s="6" t="s">
        <v>1465</v>
      </c>
      <c r="C2063" s="6" t="s">
        <v>128</v>
      </c>
      <c r="D2063" s="6" t="s">
        <v>14</v>
      </c>
      <c r="E2063" s="14" t="n">
        <v>2324.1</v>
      </c>
      <c r="F2063" s="14" t="n">
        <v>9296.4</v>
      </c>
      <c r="G2063" s="6" t="s">
        <v>15614</v>
      </c>
    </row>
    <row r="2064" customFormat="false" ht="15" hidden="false" customHeight="true" outlineLevel="0" collapsed="false">
      <c r="A2064" s="6" t="s">
        <v>17676</v>
      </c>
      <c r="B2064" s="6" t="s">
        <v>1465</v>
      </c>
      <c r="C2064" s="6" t="s">
        <v>128</v>
      </c>
      <c r="D2064" s="6" t="s">
        <v>15</v>
      </c>
      <c r="E2064" s="14" t="n">
        <v>2324.1</v>
      </c>
      <c r="F2064" s="14" t="n">
        <v>11620.5</v>
      </c>
      <c r="G2064" s="6" t="s">
        <v>15614</v>
      </c>
    </row>
    <row r="2065" customFormat="false" ht="15" hidden="false" customHeight="true" outlineLevel="0" collapsed="false">
      <c r="A2065" s="6" t="s">
        <v>17677</v>
      </c>
      <c r="B2065" s="6" t="s">
        <v>1467</v>
      </c>
      <c r="C2065" s="6" t="s">
        <v>124</v>
      </c>
      <c r="D2065" s="6" t="s">
        <v>23</v>
      </c>
      <c r="E2065" s="14" t="n">
        <v>837.37</v>
      </c>
      <c r="F2065" s="14" t="n">
        <v>837.37</v>
      </c>
      <c r="G2065" s="6" t="s">
        <v>15614</v>
      </c>
    </row>
    <row r="2066" customFormat="false" ht="15" hidden="false" customHeight="true" outlineLevel="0" collapsed="false">
      <c r="A2066" s="6" t="s">
        <v>17678</v>
      </c>
      <c r="B2066" s="6" t="s">
        <v>1467</v>
      </c>
      <c r="C2066" s="6" t="s">
        <v>124</v>
      </c>
      <c r="D2066" s="6" t="s">
        <v>24</v>
      </c>
      <c r="E2066" s="14" t="n">
        <v>837.37</v>
      </c>
      <c r="F2066" s="14" t="n">
        <v>1674.74</v>
      </c>
      <c r="G2066" s="6" t="s">
        <v>15614</v>
      </c>
    </row>
    <row r="2067" customFormat="false" ht="15" hidden="false" customHeight="true" outlineLevel="0" collapsed="false">
      <c r="A2067" s="6" t="s">
        <v>17679</v>
      </c>
      <c r="B2067" s="6" t="s">
        <v>1469</v>
      </c>
      <c r="C2067" s="6" t="s">
        <v>120</v>
      </c>
      <c r="D2067" s="6" t="s">
        <v>40</v>
      </c>
      <c r="E2067" s="14" t="n">
        <v>2994.51</v>
      </c>
      <c r="F2067" s="14" t="n">
        <v>2994.51</v>
      </c>
      <c r="G2067" s="6" t="s">
        <v>15614</v>
      </c>
    </row>
    <row r="2068" customFormat="false" ht="15" hidden="false" customHeight="true" outlineLevel="0" collapsed="false">
      <c r="A2068" s="6" t="s">
        <v>17680</v>
      </c>
      <c r="B2068" s="6" t="s">
        <v>1471</v>
      </c>
      <c r="C2068" s="6" t="s">
        <v>112</v>
      </c>
      <c r="D2068" s="6" t="s">
        <v>63</v>
      </c>
      <c r="E2068" s="14" t="n">
        <v>3371.72</v>
      </c>
      <c r="F2068" s="14" t="n">
        <v>3371.72</v>
      </c>
      <c r="G2068" s="6" t="s">
        <v>15614</v>
      </c>
    </row>
    <row r="2069" customFormat="false" ht="15" hidden="false" customHeight="true" outlineLevel="0" collapsed="false">
      <c r="A2069" s="6" t="s">
        <v>17681</v>
      </c>
      <c r="B2069" s="6" t="s">
        <v>1471</v>
      </c>
      <c r="C2069" s="6" t="s">
        <v>112</v>
      </c>
      <c r="D2069" s="6" t="s">
        <v>64</v>
      </c>
      <c r="E2069" s="14" t="n">
        <v>3371.72</v>
      </c>
      <c r="F2069" s="14" t="n">
        <v>6743.44</v>
      </c>
      <c r="G2069" s="6" t="s">
        <v>15614</v>
      </c>
    </row>
    <row r="2070" customFormat="false" ht="15" hidden="false" customHeight="true" outlineLevel="0" collapsed="false">
      <c r="A2070" s="6" t="s">
        <v>17682</v>
      </c>
      <c r="B2070" s="6" t="s">
        <v>1471</v>
      </c>
      <c r="C2070" s="6" t="s">
        <v>112</v>
      </c>
      <c r="D2070" s="6" t="s">
        <v>65</v>
      </c>
      <c r="E2070" s="14" t="n">
        <v>3371.72</v>
      </c>
      <c r="F2070" s="14" t="n">
        <v>10115.16</v>
      </c>
      <c r="G2070" s="6" t="s">
        <v>15614</v>
      </c>
    </row>
    <row r="2071" customFormat="false" ht="15" hidden="false" customHeight="true" outlineLevel="0" collapsed="false">
      <c r="A2071" s="6" t="s">
        <v>17683</v>
      </c>
      <c r="B2071" s="6" t="s">
        <v>1473</v>
      </c>
      <c r="C2071" s="6" t="s">
        <v>120</v>
      </c>
      <c r="D2071" s="6" t="s">
        <v>44</v>
      </c>
      <c r="E2071" s="14" t="n">
        <v>903.34</v>
      </c>
      <c r="F2071" s="14" t="n">
        <v>903.34</v>
      </c>
      <c r="G2071" s="6" t="s">
        <v>15614</v>
      </c>
    </row>
    <row r="2072" customFormat="false" ht="15" hidden="false" customHeight="true" outlineLevel="0" collapsed="false">
      <c r="A2072" s="6" t="s">
        <v>17684</v>
      </c>
      <c r="B2072" s="6" t="s">
        <v>1473</v>
      </c>
      <c r="C2072" s="6" t="s">
        <v>120</v>
      </c>
      <c r="D2072" s="6" t="s">
        <v>45</v>
      </c>
      <c r="E2072" s="14" t="n">
        <v>903.34</v>
      </c>
      <c r="F2072" s="14" t="n">
        <v>1806.68</v>
      </c>
      <c r="G2072" s="6" t="s">
        <v>15614</v>
      </c>
    </row>
    <row r="2073" customFormat="false" ht="15" hidden="false" customHeight="true" outlineLevel="0" collapsed="false">
      <c r="A2073" s="6" t="s">
        <v>17685</v>
      </c>
      <c r="B2073" s="6" t="s">
        <v>1473</v>
      </c>
      <c r="C2073" s="6" t="s">
        <v>120</v>
      </c>
      <c r="D2073" s="6" t="s">
        <v>46</v>
      </c>
      <c r="E2073" s="14" t="n">
        <v>903.34</v>
      </c>
      <c r="F2073" s="14" t="n">
        <v>2710.02</v>
      </c>
      <c r="G2073" s="6" t="s">
        <v>15614</v>
      </c>
    </row>
    <row r="2074" customFormat="false" ht="15" hidden="false" customHeight="true" outlineLevel="0" collapsed="false">
      <c r="A2074" s="6" t="s">
        <v>17686</v>
      </c>
      <c r="B2074" s="6" t="s">
        <v>1473</v>
      </c>
      <c r="C2074" s="6" t="s">
        <v>120</v>
      </c>
      <c r="D2074" s="6" t="s">
        <v>47</v>
      </c>
      <c r="E2074" s="14" t="n">
        <v>903.34</v>
      </c>
      <c r="F2074" s="14" t="n">
        <v>3613.36</v>
      </c>
      <c r="G2074" s="6" t="s">
        <v>15614</v>
      </c>
    </row>
    <row r="2075" customFormat="false" ht="15" hidden="false" customHeight="true" outlineLevel="0" collapsed="false">
      <c r="A2075" s="6" t="s">
        <v>17687</v>
      </c>
      <c r="B2075" s="6" t="s">
        <v>1473</v>
      </c>
      <c r="C2075" s="6" t="s">
        <v>120</v>
      </c>
      <c r="D2075" s="6" t="s">
        <v>48</v>
      </c>
      <c r="E2075" s="14" t="n">
        <v>903.34</v>
      </c>
      <c r="F2075" s="14" t="n">
        <v>4516.7</v>
      </c>
      <c r="G2075" s="6" t="s">
        <v>15614</v>
      </c>
    </row>
    <row r="2076" customFormat="false" ht="15" hidden="false" customHeight="true" outlineLevel="0" collapsed="false">
      <c r="A2076" s="6" t="s">
        <v>17688</v>
      </c>
      <c r="B2076" s="6" t="s">
        <v>1475</v>
      </c>
      <c r="C2076" s="6" t="s">
        <v>131</v>
      </c>
      <c r="D2076" s="6" t="s">
        <v>24</v>
      </c>
      <c r="E2076" s="14" t="n">
        <v>3427.08</v>
      </c>
      <c r="F2076" s="14" t="n">
        <v>3427.08</v>
      </c>
      <c r="G2076" s="6" t="s">
        <v>15614</v>
      </c>
    </row>
    <row r="2077" customFormat="false" ht="15" hidden="false" customHeight="true" outlineLevel="0" collapsed="false">
      <c r="A2077" s="6" t="s">
        <v>17689</v>
      </c>
      <c r="B2077" s="6" t="s">
        <v>1475</v>
      </c>
      <c r="C2077" s="6" t="s">
        <v>131</v>
      </c>
      <c r="D2077" s="6" t="s">
        <v>25</v>
      </c>
      <c r="E2077" s="14" t="n">
        <v>3427.08</v>
      </c>
      <c r="F2077" s="14" t="n">
        <v>6854.16</v>
      </c>
      <c r="G2077" s="6" t="s">
        <v>15614</v>
      </c>
    </row>
    <row r="2078" customFormat="false" ht="15" hidden="false" customHeight="true" outlineLevel="0" collapsed="false">
      <c r="A2078" s="6" t="s">
        <v>17690</v>
      </c>
      <c r="B2078" s="6" t="s">
        <v>1475</v>
      </c>
      <c r="C2078" s="6" t="s">
        <v>131</v>
      </c>
      <c r="D2078" s="6" t="s">
        <v>26</v>
      </c>
      <c r="E2078" s="14" t="n">
        <v>3427.08</v>
      </c>
      <c r="F2078" s="14" t="n">
        <v>10281.24</v>
      </c>
      <c r="G2078" s="6" t="s">
        <v>15614</v>
      </c>
    </row>
    <row r="2079" customFormat="false" ht="15" hidden="false" customHeight="true" outlineLevel="0" collapsed="false">
      <c r="A2079" s="6" t="s">
        <v>17691</v>
      </c>
      <c r="B2079" s="6" t="s">
        <v>1475</v>
      </c>
      <c r="C2079" s="6" t="s">
        <v>131</v>
      </c>
      <c r="D2079" s="6" t="s">
        <v>27</v>
      </c>
      <c r="E2079" s="14" t="n">
        <v>3427.08</v>
      </c>
      <c r="F2079" s="14" t="n">
        <v>13708.32</v>
      </c>
      <c r="G2079" s="6" t="s">
        <v>15614</v>
      </c>
    </row>
    <row r="2080" customFormat="false" ht="15" hidden="false" customHeight="true" outlineLevel="0" collapsed="false">
      <c r="A2080" s="6" t="s">
        <v>17692</v>
      </c>
      <c r="B2080" s="6" t="s">
        <v>1475</v>
      </c>
      <c r="C2080" s="6" t="s">
        <v>131</v>
      </c>
      <c r="D2080" s="6" t="s">
        <v>28</v>
      </c>
      <c r="E2080" s="14" t="n">
        <v>3427.08</v>
      </c>
      <c r="F2080" s="14" t="n">
        <v>17135.4</v>
      </c>
      <c r="G2080" s="6" t="s">
        <v>15614</v>
      </c>
    </row>
    <row r="2081" customFormat="false" ht="15" hidden="false" customHeight="true" outlineLevel="0" collapsed="false">
      <c r="A2081" s="6" t="s">
        <v>17693</v>
      </c>
      <c r="B2081" s="6" t="s">
        <v>1477</v>
      </c>
      <c r="C2081" s="6" t="s">
        <v>112</v>
      </c>
      <c r="D2081" s="6" t="s">
        <v>11</v>
      </c>
      <c r="E2081" s="14" t="n">
        <v>2461.28</v>
      </c>
      <c r="F2081" s="14" t="n">
        <v>2461.28</v>
      </c>
      <c r="G2081" s="6" t="s">
        <v>15614</v>
      </c>
    </row>
    <row r="2082" customFormat="false" ht="15" hidden="false" customHeight="true" outlineLevel="0" collapsed="false">
      <c r="A2082" s="6" t="s">
        <v>17694</v>
      </c>
      <c r="B2082" s="6" t="s">
        <v>1477</v>
      </c>
      <c r="C2082" s="6" t="s">
        <v>112</v>
      </c>
      <c r="D2082" s="6" t="s">
        <v>12</v>
      </c>
      <c r="E2082" s="14" t="n">
        <v>2461.28</v>
      </c>
      <c r="F2082" s="14" t="n">
        <v>4922.56</v>
      </c>
      <c r="G2082" s="6" t="s">
        <v>15614</v>
      </c>
    </row>
    <row r="2083" customFormat="false" ht="15" hidden="false" customHeight="true" outlineLevel="0" collapsed="false">
      <c r="A2083" s="6" t="s">
        <v>17695</v>
      </c>
      <c r="B2083" s="6" t="s">
        <v>1479</v>
      </c>
      <c r="C2083" s="6" t="s">
        <v>124</v>
      </c>
      <c r="D2083" s="6" t="s">
        <v>38</v>
      </c>
      <c r="E2083" s="14" t="n">
        <v>1956.74</v>
      </c>
      <c r="F2083" s="14" t="n">
        <v>1956.74</v>
      </c>
      <c r="G2083" s="6" t="s">
        <v>15614</v>
      </c>
    </row>
    <row r="2084" customFormat="false" ht="15" hidden="false" customHeight="true" outlineLevel="0" collapsed="false">
      <c r="A2084" s="6" t="s">
        <v>17696</v>
      </c>
      <c r="B2084" s="6" t="s">
        <v>1479</v>
      </c>
      <c r="C2084" s="6" t="s">
        <v>124</v>
      </c>
      <c r="D2084" s="6" t="s">
        <v>39</v>
      </c>
      <c r="E2084" s="14" t="n">
        <v>1956.74</v>
      </c>
      <c r="F2084" s="14" t="n">
        <v>3913.48</v>
      </c>
      <c r="G2084" s="6" t="s">
        <v>15614</v>
      </c>
    </row>
    <row r="2085" customFormat="false" ht="15" hidden="false" customHeight="true" outlineLevel="0" collapsed="false">
      <c r="A2085" s="6" t="s">
        <v>17697</v>
      </c>
      <c r="B2085" s="6" t="s">
        <v>1479</v>
      </c>
      <c r="C2085" s="6" t="s">
        <v>124</v>
      </c>
      <c r="D2085" s="6" t="s">
        <v>40</v>
      </c>
      <c r="E2085" s="14" t="n">
        <v>1956.74</v>
      </c>
      <c r="F2085" s="14" t="n">
        <v>5870.22</v>
      </c>
      <c r="G2085" s="6" t="s">
        <v>15614</v>
      </c>
    </row>
    <row r="2086" customFormat="false" ht="15" hidden="false" customHeight="true" outlineLevel="0" collapsed="false">
      <c r="A2086" s="6" t="s">
        <v>17698</v>
      </c>
      <c r="B2086" s="6" t="s">
        <v>1479</v>
      </c>
      <c r="C2086" s="6" t="s">
        <v>124</v>
      </c>
      <c r="D2086" s="6" t="s">
        <v>41</v>
      </c>
      <c r="E2086" s="14" t="n">
        <v>1956.74</v>
      </c>
      <c r="F2086" s="14" t="n">
        <v>7826.96</v>
      </c>
      <c r="G2086" s="6" t="s">
        <v>15614</v>
      </c>
    </row>
    <row r="2087" customFormat="false" ht="15" hidden="false" customHeight="true" outlineLevel="0" collapsed="false">
      <c r="A2087" s="6" t="s">
        <v>17699</v>
      </c>
      <c r="B2087" s="6" t="s">
        <v>1479</v>
      </c>
      <c r="C2087" s="6" t="s">
        <v>124</v>
      </c>
      <c r="D2087" s="6" t="s">
        <v>42</v>
      </c>
      <c r="E2087" s="14" t="n">
        <v>1956.74</v>
      </c>
      <c r="F2087" s="14" t="n">
        <v>9783.7</v>
      </c>
      <c r="G2087" s="6" t="s">
        <v>15614</v>
      </c>
    </row>
    <row r="2088" customFormat="false" ht="15" hidden="false" customHeight="true" outlineLevel="0" collapsed="false">
      <c r="A2088" s="6" t="s">
        <v>17700</v>
      </c>
      <c r="B2088" s="6" t="s">
        <v>1481</v>
      </c>
      <c r="C2088" s="6" t="s">
        <v>112</v>
      </c>
      <c r="D2088" s="6" t="s">
        <v>24</v>
      </c>
      <c r="E2088" s="14" t="n">
        <v>162.87</v>
      </c>
      <c r="F2088" s="14" t="n">
        <v>162.87</v>
      </c>
      <c r="G2088" s="6" t="s">
        <v>15614</v>
      </c>
    </row>
    <row r="2089" customFormat="false" ht="15" hidden="false" customHeight="true" outlineLevel="0" collapsed="false">
      <c r="A2089" s="6" t="s">
        <v>17701</v>
      </c>
      <c r="B2089" s="6" t="s">
        <v>1483</v>
      </c>
      <c r="C2089" s="6" t="s">
        <v>131</v>
      </c>
      <c r="D2089" s="6" t="s">
        <v>44</v>
      </c>
      <c r="E2089" s="14" t="n">
        <v>269.33</v>
      </c>
      <c r="F2089" s="14" t="n">
        <v>269.33</v>
      </c>
      <c r="G2089" s="6" t="s">
        <v>15614</v>
      </c>
    </row>
    <row r="2090" customFormat="false" ht="15" hidden="false" customHeight="true" outlineLevel="0" collapsed="false">
      <c r="A2090" s="6" t="s">
        <v>17702</v>
      </c>
      <c r="B2090" s="6" t="s">
        <v>1483</v>
      </c>
      <c r="C2090" s="6" t="s">
        <v>131</v>
      </c>
      <c r="D2090" s="6" t="s">
        <v>45</v>
      </c>
      <c r="E2090" s="14" t="n">
        <v>269.33</v>
      </c>
      <c r="F2090" s="14" t="n">
        <v>538.66</v>
      </c>
      <c r="G2090" s="6" t="s">
        <v>15614</v>
      </c>
    </row>
    <row r="2091" customFormat="false" ht="15" hidden="false" customHeight="true" outlineLevel="0" collapsed="false">
      <c r="A2091" s="6" t="s">
        <v>17703</v>
      </c>
      <c r="B2091" s="6" t="s">
        <v>1485</v>
      </c>
      <c r="C2091" s="6" t="s">
        <v>128</v>
      </c>
      <c r="D2091" s="6" t="s">
        <v>51</v>
      </c>
      <c r="E2091" s="14" t="n">
        <v>1799.64</v>
      </c>
      <c r="F2091" s="14" t="n">
        <v>1799.64</v>
      </c>
      <c r="G2091" s="6" t="s">
        <v>15614</v>
      </c>
    </row>
    <row r="2092" customFormat="false" ht="15" hidden="false" customHeight="true" outlineLevel="0" collapsed="false">
      <c r="A2092" s="6" t="s">
        <v>17704</v>
      </c>
      <c r="B2092" s="6" t="s">
        <v>1485</v>
      </c>
      <c r="C2092" s="6" t="s">
        <v>128</v>
      </c>
      <c r="D2092" s="6" t="s">
        <v>52</v>
      </c>
      <c r="E2092" s="14" t="n">
        <v>1799.64</v>
      </c>
      <c r="F2092" s="14" t="n">
        <v>3599.28</v>
      </c>
      <c r="G2092" s="6" t="s">
        <v>15614</v>
      </c>
    </row>
    <row r="2093" customFormat="false" ht="15" hidden="false" customHeight="true" outlineLevel="0" collapsed="false">
      <c r="A2093" s="6" t="s">
        <v>17705</v>
      </c>
      <c r="B2093" s="6" t="s">
        <v>1485</v>
      </c>
      <c r="C2093" s="6" t="s">
        <v>128</v>
      </c>
      <c r="D2093" s="6" t="s">
        <v>53</v>
      </c>
      <c r="E2093" s="14" t="n">
        <v>1799.64</v>
      </c>
      <c r="F2093" s="14" t="n">
        <v>5398.92</v>
      </c>
      <c r="G2093" s="6" t="s">
        <v>15614</v>
      </c>
    </row>
    <row r="2094" customFormat="false" ht="15" hidden="false" customHeight="true" outlineLevel="0" collapsed="false">
      <c r="A2094" s="6" t="s">
        <v>17706</v>
      </c>
      <c r="B2094" s="6" t="s">
        <v>1487</v>
      </c>
      <c r="C2094" s="6" t="s">
        <v>124</v>
      </c>
      <c r="D2094" s="6" t="s">
        <v>40</v>
      </c>
      <c r="E2094" s="14" t="n">
        <v>230.42</v>
      </c>
      <c r="F2094" s="14" t="n">
        <v>230.42</v>
      </c>
      <c r="G2094" s="6" t="s">
        <v>15614</v>
      </c>
    </row>
    <row r="2095" customFormat="false" ht="15" hidden="false" customHeight="true" outlineLevel="0" collapsed="false">
      <c r="A2095" s="6" t="s">
        <v>17707</v>
      </c>
      <c r="B2095" s="6" t="s">
        <v>1487</v>
      </c>
      <c r="C2095" s="6" t="s">
        <v>124</v>
      </c>
      <c r="D2095" s="6" t="s">
        <v>41</v>
      </c>
      <c r="E2095" s="14" t="n">
        <v>230.42</v>
      </c>
      <c r="F2095" s="14" t="n">
        <v>460.84</v>
      </c>
      <c r="G2095" s="6" t="s">
        <v>15614</v>
      </c>
    </row>
    <row r="2096" customFormat="false" ht="15" hidden="false" customHeight="true" outlineLevel="0" collapsed="false">
      <c r="A2096" s="6" t="s">
        <v>17708</v>
      </c>
      <c r="B2096" s="6" t="s">
        <v>1487</v>
      </c>
      <c r="C2096" s="6" t="s">
        <v>124</v>
      </c>
      <c r="D2096" s="6" t="s">
        <v>42</v>
      </c>
      <c r="E2096" s="14" t="n">
        <v>230.42</v>
      </c>
      <c r="F2096" s="14" t="n">
        <v>691.26</v>
      </c>
      <c r="G2096" s="6" t="s">
        <v>15614</v>
      </c>
    </row>
    <row r="2097" customFormat="false" ht="15" hidden="false" customHeight="true" outlineLevel="0" collapsed="false">
      <c r="A2097" s="6" t="s">
        <v>17709</v>
      </c>
      <c r="B2097" s="6" t="s">
        <v>1489</v>
      </c>
      <c r="C2097" s="6" t="s">
        <v>124</v>
      </c>
      <c r="D2097" s="6" t="s">
        <v>60</v>
      </c>
      <c r="E2097" s="14" t="n">
        <v>987.68</v>
      </c>
      <c r="F2097" s="14" t="n">
        <v>987.68</v>
      </c>
      <c r="G2097" s="6" t="s">
        <v>15614</v>
      </c>
    </row>
    <row r="2098" customFormat="false" ht="15" hidden="false" customHeight="true" outlineLevel="0" collapsed="false">
      <c r="A2098" s="6" t="s">
        <v>17710</v>
      </c>
      <c r="B2098" s="6" t="s">
        <v>1489</v>
      </c>
      <c r="C2098" s="6" t="s">
        <v>124</v>
      </c>
      <c r="D2098" s="6" t="s">
        <v>61</v>
      </c>
      <c r="E2098" s="14" t="n">
        <v>987.68</v>
      </c>
      <c r="F2098" s="14" t="n">
        <v>1975.36</v>
      </c>
      <c r="G2098" s="6" t="s">
        <v>15614</v>
      </c>
    </row>
    <row r="2099" customFormat="false" ht="15" hidden="false" customHeight="true" outlineLevel="0" collapsed="false">
      <c r="A2099" s="6" t="s">
        <v>17711</v>
      </c>
      <c r="B2099" s="6" t="s">
        <v>1489</v>
      </c>
      <c r="C2099" s="6" t="s">
        <v>124</v>
      </c>
      <c r="D2099" s="6" t="s">
        <v>62</v>
      </c>
      <c r="E2099" s="14" t="n">
        <v>987.68</v>
      </c>
      <c r="F2099" s="14" t="n">
        <v>2963.04</v>
      </c>
      <c r="G2099" s="6" t="s">
        <v>15614</v>
      </c>
    </row>
    <row r="2100" customFormat="false" ht="15" hidden="false" customHeight="true" outlineLevel="0" collapsed="false">
      <c r="A2100" s="6" t="s">
        <v>17712</v>
      </c>
      <c r="B2100" s="6" t="s">
        <v>1491</v>
      </c>
      <c r="C2100" s="6" t="s">
        <v>131</v>
      </c>
      <c r="D2100" s="6" t="s">
        <v>11</v>
      </c>
      <c r="E2100" s="14" t="n">
        <v>1419.34</v>
      </c>
      <c r="F2100" s="14" t="n">
        <v>1419.34</v>
      </c>
      <c r="G2100" s="6" t="s">
        <v>15614</v>
      </c>
    </row>
    <row r="2101" customFormat="false" ht="15" hidden="false" customHeight="true" outlineLevel="0" collapsed="false">
      <c r="A2101" s="6" t="s">
        <v>17713</v>
      </c>
      <c r="B2101" s="6" t="s">
        <v>1491</v>
      </c>
      <c r="C2101" s="6" t="s">
        <v>131</v>
      </c>
      <c r="D2101" s="6" t="s">
        <v>12</v>
      </c>
      <c r="E2101" s="14" t="n">
        <v>1419.34</v>
      </c>
      <c r="F2101" s="14" t="n">
        <v>2838.68</v>
      </c>
      <c r="G2101" s="6" t="s">
        <v>15614</v>
      </c>
    </row>
    <row r="2102" customFormat="false" ht="15" hidden="false" customHeight="true" outlineLevel="0" collapsed="false">
      <c r="A2102" s="6" t="s">
        <v>17714</v>
      </c>
      <c r="B2102" s="6" t="s">
        <v>1491</v>
      </c>
      <c r="C2102" s="6" t="s">
        <v>131</v>
      </c>
      <c r="D2102" s="6" t="s">
        <v>13</v>
      </c>
      <c r="E2102" s="14" t="n">
        <v>1419.34</v>
      </c>
      <c r="F2102" s="14" t="n">
        <v>4258.02</v>
      </c>
      <c r="G2102" s="6" t="s">
        <v>15614</v>
      </c>
    </row>
    <row r="2103" customFormat="false" ht="15" hidden="false" customHeight="true" outlineLevel="0" collapsed="false">
      <c r="A2103" s="6" t="s">
        <v>17715</v>
      </c>
      <c r="B2103" s="6" t="s">
        <v>1491</v>
      </c>
      <c r="C2103" s="6" t="s">
        <v>131</v>
      </c>
      <c r="D2103" s="6" t="s">
        <v>14</v>
      </c>
      <c r="E2103" s="14" t="n">
        <v>1419.34</v>
      </c>
      <c r="F2103" s="14" t="n">
        <v>5677.36</v>
      </c>
      <c r="G2103" s="6" t="s">
        <v>15614</v>
      </c>
    </row>
    <row r="2104" customFormat="false" ht="15" hidden="false" customHeight="true" outlineLevel="0" collapsed="false">
      <c r="A2104" s="6" t="s">
        <v>17716</v>
      </c>
      <c r="B2104" s="6" t="s">
        <v>1491</v>
      </c>
      <c r="C2104" s="6" t="s">
        <v>131</v>
      </c>
      <c r="D2104" s="6" t="s">
        <v>15</v>
      </c>
      <c r="E2104" s="14" t="n">
        <v>1419.34</v>
      </c>
      <c r="F2104" s="14" t="n">
        <v>7096.7</v>
      </c>
      <c r="G2104" s="6" t="s">
        <v>15614</v>
      </c>
    </row>
    <row r="2105" customFormat="false" ht="15" hidden="false" customHeight="true" outlineLevel="0" collapsed="false">
      <c r="A2105" s="6" t="s">
        <v>17717</v>
      </c>
      <c r="B2105" s="6" t="s">
        <v>1491</v>
      </c>
      <c r="C2105" s="6" t="s">
        <v>131</v>
      </c>
      <c r="D2105" s="6" t="s">
        <v>16</v>
      </c>
      <c r="E2105" s="14" t="n">
        <v>1419.34</v>
      </c>
      <c r="F2105" s="14" t="n">
        <v>8516.04</v>
      </c>
      <c r="G2105" s="6" t="s">
        <v>15614</v>
      </c>
    </row>
    <row r="2106" customFormat="false" ht="15" hidden="false" customHeight="true" outlineLevel="0" collapsed="false">
      <c r="A2106" s="6" t="s">
        <v>17718</v>
      </c>
      <c r="B2106" s="6" t="s">
        <v>1493</v>
      </c>
      <c r="C2106" s="6" t="s">
        <v>120</v>
      </c>
      <c r="D2106" s="6" t="s">
        <v>32</v>
      </c>
      <c r="E2106" s="14" t="n">
        <v>1004.51</v>
      </c>
      <c r="F2106" s="14" t="n">
        <v>1004.51</v>
      </c>
      <c r="G2106" s="6" t="s">
        <v>15614</v>
      </c>
    </row>
    <row r="2107" customFormat="false" ht="15" hidden="false" customHeight="true" outlineLevel="0" collapsed="false">
      <c r="A2107" s="6" t="s">
        <v>17719</v>
      </c>
      <c r="B2107" s="6" t="s">
        <v>1493</v>
      </c>
      <c r="C2107" s="6" t="s">
        <v>120</v>
      </c>
      <c r="D2107" s="6" t="s">
        <v>33</v>
      </c>
      <c r="E2107" s="14" t="n">
        <v>1004.51</v>
      </c>
      <c r="F2107" s="14" t="n">
        <v>2009.02</v>
      </c>
      <c r="G2107" s="6" t="s">
        <v>15614</v>
      </c>
    </row>
    <row r="2108" customFormat="false" ht="15" hidden="false" customHeight="true" outlineLevel="0" collapsed="false">
      <c r="A2108" s="6" t="s">
        <v>17720</v>
      </c>
      <c r="B2108" s="6" t="s">
        <v>1493</v>
      </c>
      <c r="C2108" s="6" t="s">
        <v>120</v>
      </c>
      <c r="D2108" s="6" t="s">
        <v>34</v>
      </c>
      <c r="E2108" s="14" t="n">
        <v>1004.51</v>
      </c>
      <c r="F2108" s="14" t="n">
        <v>3013.53</v>
      </c>
      <c r="G2108" s="6" t="s">
        <v>15614</v>
      </c>
    </row>
    <row r="2109" customFormat="false" ht="15" hidden="false" customHeight="true" outlineLevel="0" collapsed="false">
      <c r="A2109" s="6" t="s">
        <v>17721</v>
      </c>
      <c r="B2109" s="6" t="s">
        <v>1493</v>
      </c>
      <c r="C2109" s="6" t="s">
        <v>120</v>
      </c>
      <c r="D2109" s="6" t="s">
        <v>35</v>
      </c>
      <c r="E2109" s="14" t="n">
        <v>1004.51</v>
      </c>
      <c r="F2109" s="14" t="n">
        <v>4018.04</v>
      </c>
      <c r="G2109" s="6" t="s">
        <v>15614</v>
      </c>
    </row>
    <row r="2110" customFormat="false" ht="15" hidden="false" customHeight="true" outlineLevel="0" collapsed="false">
      <c r="A2110" s="6" t="s">
        <v>17722</v>
      </c>
      <c r="B2110" s="6" t="s">
        <v>1495</v>
      </c>
      <c r="C2110" s="6" t="s">
        <v>112</v>
      </c>
      <c r="D2110" s="6" t="s">
        <v>13</v>
      </c>
      <c r="E2110" s="14" t="n">
        <v>1054.23</v>
      </c>
      <c r="F2110" s="14" t="n">
        <v>1054.23</v>
      </c>
      <c r="G2110" s="6" t="s">
        <v>15614</v>
      </c>
    </row>
    <row r="2111" customFormat="false" ht="15" hidden="false" customHeight="true" outlineLevel="0" collapsed="false">
      <c r="A2111" s="6" t="s">
        <v>17723</v>
      </c>
      <c r="B2111" s="6" t="s">
        <v>1495</v>
      </c>
      <c r="C2111" s="6" t="s">
        <v>112</v>
      </c>
      <c r="D2111" s="6" t="s">
        <v>14</v>
      </c>
      <c r="E2111" s="14" t="n">
        <v>1054.23</v>
      </c>
      <c r="F2111" s="14" t="n">
        <v>2108.46</v>
      </c>
      <c r="G2111" s="6" t="s">
        <v>15614</v>
      </c>
    </row>
    <row r="2112" customFormat="false" ht="15" hidden="false" customHeight="true" outlineLevel="0" collapsed="false">
      <c r="A2112" s="6" t="s">
        <v>17724</v>
      </c>
      <c r="B2112" s="6" t="s">
        <v>1497</v>
      </c>
      <c r="C2112" s="6" t="s">
        <v>116</v>
      </c>
      <c r="D2112" s="6" t="s">
        <v>11</v>
      </c>
      <c r="E2112" s="14" t="n">
        <v>191.29</v>
      </c>
      <c r="F2112" s="14" t="n">
        <v>191.29</v>
      </c>
      <c r="G2112" s="6" t="s">
        <v>15614</v>
      </c>
    </row>
    <row r="2113" customFormat="false" ht="15" hidden="false" customHeight="true" outlineLevel="0" collapsed="false">
      <c r="A2113" s="6" t="s">
        <v>17725</v>
      </c>
      <c r="B2113" s="6" t="s">
        <v>1497</v>
      </c>
      <c r="C2113" s="6" t="s">
        <v>116</v>
      </c>
      <c r="D2113" s="6" t="s">
        <v>12</v>
      </c>
      <c r="E2113" s="14" t="n">
        <v>191.29</v>
      </c>
      <c r="F2113" s="14" t="n">
        <v>382.58</v>
      </c>
      <c r="G2113" s="6" t="s">
        <v>15614</v>
      </c>
    </row>
    <row r="2114" customFormat="false" ht="15" hidden="false" customHeight="true" outlineLevel="0" collapsed="false">
      <c r="A2114" s="6" t="s">
        <v>17726</v>
      </c>
      <c r="B2114" s="6" t="s">
        <v>1497</v>
      </c>
      <c r="C2114" s="6" t="s">
        <v>116</v>
      </c>
      <c r="D2114" s="6" t="s">
        <v>13</v>
      </c>
      <c r="E2114" s="14" t="n">
        <v>191.29</v>
      </c>
      <c r="F2114" s="14" t="n">
        <v>573.87</v>
      </c>
      <c r="G2114" s="6" t="s">
        <v>15614</v>
      </c>
    </row>
    <row r="2115" customFormat="false" ht="15" hidden="false" customHeight="true" outlineLevel="0" collapsed="false">
      <c r="A2115" s="6" t="s">
        <v>17727</v>
      </c>
      <c r="B2115" s="6" t="s">
        <v>1499</v>
      </c>
      <c r="C2115" s="6" t="s">
        <v>131</v>
      </c>
      <c r="D2115" s="6" t="s">
        <v>60</v>
      </c>
      <c r="E2115" s="14" t="n">
        <v>1971.57</v>
      </c>
      <c r="F2115" s="14" t="n">
        <v>1971.57</v>
      </c>
      <c r="G2115" s="6" t="s">
        <v>15614</v>
      </c>
    </row>
    <row r="2116" customFormat="false" ht="15" hidden="false" customHeight="true" outlineLevel="0" collapsed="false">
      <c r="A2116" s="6" t="s">
        <v>17728</v>
      </c>
      <c r="B2116" s="6" t="s">
        <v>1499</v>
      </c>
      <c r="C2116" s="6" t="s">
        <v>131</v>
      </c>
      <c r="D2116" s="6" t="s">
        <v>61</v>
      </c>
      <c r="E2116" s="14" t="n">
        <v>1971.57</v>
      </c>
      <c r="F2116" s="14" t="n">
        <v>3943.14</v>
      </c>
      <c r="G2116" s="6" t="s">
        <v>15614</v>
      </c>
    </row>
    <row r="2117" customFormat="false" ht="15" hidden="false" customHeight="true" outlineLevel="0" collapsed="false">
      <c r="A2117" s="6" t="s">
        <v>17729</v>
      </c>
      <c r="B2117" s="6" t="s">
        <v>1499</v>
      </c>
      <c r="C2117" s="6" t="s">
        <v>131</v>
      </c>
      <c r="D2117" s="6" t="s">
        <v>62</v>
      </c>
      <c r="E2117" s="14" t="n">
        <v>1971.57</v>
      </c>
      <c r="F2117" s="14" t="n">
        <v>5914.71</v>
      </c>
      <c r="G2117" s="6" t="s">
        <v>15614</v>
      </c>
    </row>
    <row r="2118" customFormat="false" ht="15" hidden="false" customHeight="true" outlineLevel="0" collapsed="false">
      <c r="A2118" s="6" t="s">
        <v>17730</v>
      </c>
      <c r="B2118" s="6" t="s">
        <v>1499</v>
      </c>
      <c r="C2118" s="6" t="s">
        <v>131</v>
      </c>
      <c r="D2118" s="6" t="s">
        <v>63</v>
      </c>
      <c r="E2118" s="14" t="n">
        <v>1971.57</v>
      </c>
      <c r="F2118" s="14" t="n">
        <v>7886.28</v>
      </c>
      <c r="G2118" s="6" t="s">
        <v>15614</v>
      </c>
    </row>
    <row r="2119" customFormat="false" ht="15" hidden="false" customHeight="true" outlineLevel="0" collapsed="false">
      <c r="A2119" s="6" t="s">
        <v>17731</v>
      </c>
      <c r="B2119" s="6" t="s">
        <v>1499</v>
      </c>
      <c r="C2119" s="6" t="s">
        <v>131</v>
      </c>
      <c r="D2119" s="6" t="s">
        <v>64</v>
      </c>
      <c r="E2119" s="14" t="n">
        <v>1971.57</v>
      </c>
      <c r="F2119" s="14" t="n">
        <v>9857.85</v>
      </c>
      <c r="G2119" s="6" t="s">
        <v>15614</v>
      </c>
    </row>
    <row r="2120" customFormat="false" ht="15" hidden="false" customHeight="true" outlineLevel="0" collapsed="false">
      <c r="A2120" s="6" t="s">
        <v>17732</v>
      </c>
      <c r="B2120" s="6" t="s">
        <v>1501</v>
      </c>
      <c r="C2120" s="6" t="s">
        <v>131</v>
      </c>
      <c r="D2120" s="6" t="s">
        <v>31</v>
      </c>
      <c r="E2120" s="14" t="n">
        <v>2284.04</v>
      </c>
      <c r="F2120" s="14" t="n">
        <v>2284.04</v>
      </c>
      <c r="G2120" s="6" t="s">
        <v>15614</v>
      </c>
    </row>
    <row r="2121" customFormat="false" ht="15" hidden="false" customHeight="true" outlineLevel="0" collapsed="false">
      <c r="A2121" s="6" t="s">
        <v>17733</v>
      </c>
      <c r="B2121" s="6" t="s">
        <v>1501</v>
      </c>
      <c r="C2121" s="6" t="s">
        <v>131</v>
      </c>
      <c r="D2121" s="6" t="s">
        <v>32</v>
      </c>
      <c r="E2121" s="14" t="n">
        <v>2284.04</v>
      </c>
      <c r="F2121" s="14" t="n">
        <v>4568.08</v>
      </c>
      <c r="G2121" s="6" t="s">
        <v>15614</v>
      </c>
    </row>
    <row r="2122" customFormat="false" ht="15" hidden="false" customHeight="true" outlineLevel="0" collapsed="false">
      <c r="A2122" s="6" t="s">
        <v>17734</v>
      </c>
      <c r="B2122" s="6" t="s">
        <v>1503</v>
      </c>
      <c r="C2122" s="6" t="s">
        <v>112</v>
      </c>
      <c r="D2122" s="6" t="s">
        <v>28</v>
      </c>
      <c r="E2122" s="14" t="n">
        <v>5289.74</v>
      </c>
      <c r="F2122" s="14" t="n">
        <v>5289.74</v>
      </c>
      <c r="G2122" s="6" t="s">
        <v>15614</v>
      </c>
    </row>
    <row r="2123" customFormat="false" ht="15" hidden="false" customHeight="true" outlineLevel="0" collapsed="false">
      <c r="A2123" s="6" t="s">
        <v>17735</v>
      </c>
      <c r="B2123" s="6" t="s">
        <v>1503</v>
      </c>
      <c r="C2123" s="6" t="s">
        <v>112</v>
      </c>
      <c r="D2123" s="6" t="s">
        <v>29</v>
      </c>
      <c r="E2123" s="14" t="n">
        <v>5289.74</v>
      </c>
      <c r="F2123" s="14" t="n">
        <v>10579.48</v>
      </c>
      <c r="G2123" s="6" t="s">
        <v>15614</v>
      </c>
    </row>
    <row r="2124" customFormat="false" ht="15" hidden="false" customHeight="true" outlineLevel="0" collapsed="false">
      <c r="A2124" s="6" t="s">
        <v>17736</v>
      </c>
      <c r="B2124" s="6" t="s">
        <v>1505</v>
      </c>
      <c r="C2124" s="6" t="s">
        <v>131</v>
      </c>
      <c r="D2124" s="6" t="s">
        <v>24</v>
      </c>
      <c r="E2124" s="14" t="n">
        <v>1822.26</v>
      </c>
      <c r="F2124" s="14" t="n">
        <v>1822.26</v>
      </c>
      <c r="G2124" s="6" t="s">
        <v>15614</v>
      </c>
    </row>
    <row r="2125" customFormat="false" ht="15" hidden="false" customHeight="true" outlineLevel="0" collapsed="false">
      <c r="A2125" s="6" t="s">
        <v>17737</v>
      </c>
      <c r="B2125" s="6" t="s">
        <v>1505</v>
      </c>
      <c r="C2125" s="6" t="s">
        <v>131</v>
      </c>
      <c r="D2125" s="6" t="s">
        <v>25</v>
      </c>
      <c r="E2125" s="14" t="n">
        <v>1822.26</v>
      </c>
      <c r="F2125" s="14" t="n">
        <v>3644.52</v>
      </c>
      <c r="G2125" s="6" t="s">
        <v>15614</v>
      </c>
    </row>
    <row r="2126" customFormat="false" ht="15" hidden="false" customHeight="true" outlineLevel="0" collapsed="false">
      <c r="A2126" s="6" t="s">
        <v>17738</v>
      </c>
      <c r="B2126" s="6" t="s">
        <v>1505</v>
      </c>
      <c r="C2126" s="6" t="s">
        <v>131</v>
      </c>
      <c r="D2126" s="6" t="s">
        <v>26</v>
      </c>
      <c r="E2126" s="14" t="n">
        <v>1822.26</v>
      </c>
      <c r="F2126" s="14" t="n">
        <v>5466.78</v>
      </c>
      <c r="G2126" s="6" t="s">
        <v>15614</v>
      </c>
    </row>
    <row r="2127" customFormat="false" ht="15" hidden="false" customHeight="true" outlineLevel="0" collapsed="false">
      <c r="A2127" s="6" t="s">
        <v>17739</v>
      </c>
      <c r="B2127" s="6" t="s">
        <v>1505</v>
      </c>
      <c r="C2127" s="6" t="s">
        <v>131</v>
      </c>
      <c r="D2127" s="6" t="s">
        <v>27</v>
      </c>
      <c r="E2127" s="14" t="n">
        <v>1822.26</v>
      </c>
      <c r="F2127" s="14" t="n">
        <v>7289.04</v>
      </c>
      <c r="G2127" s="6" t="s">
        <v>15614</v>
      </c>
    </row>
    <row r="2128" customFormat="false" ht="15" hidden="false" customHeight="true" outlineLevel="0" collapsed="false">
      <c r="A2128" s="6" t="s">
        <v>17740</v>
      </c>
      <c r="B2128" s="6" t="s">
        <v>1505</v>
      </c>
      <c r="C2128" s="6" t="s">
        <v>131</v>
      </c>
      <c r="D2128" s="6" t="s">
        <v>28</v>
      </c>
      <c r="E2128" s="14" t="n">
        <v>1822.26</v>
      </c>
      <c r="F2128" s="14" t="n">
        <v>9111.3</v>
      </c>
      <c r="G2128" s="6" t="s">
        <v>15614</v>
      </c>
    </row>
    <row r="2129" customFormat="false" ht="15" hidden="false" customHeight="true" outlineLevel="0" collapsed="false">
      <c r="A2129" s="6" t="s">
        <v>17741</v>
      </c>
      <c r="B2129" s="6" t="s">
        <v>1505</v>
      </c>
      <c r="C2129" s="6" t="s">
        <v>131</v>
      </c>
      <c r="D2129" s="6" t="s">
        <v>29</v>
      </c>
      <c r="E2129" s="14" t="n">
        <v>1822.26</v>
      </c>
      <c r="F2129" s="14" t="n">
        <v>10933.56</v>
      </c>
      <c r="G2129" s="6" t="s">
        <v>15614</v>
      </c>
    </row>
    <row r="2130" customFormat="false" ht="15" hidden="false" customHeight="true" outlineLevel="0" collapsed="false">
      <c r="A2130" s="6" t="s">
        <v>17742</v>
      </c>
      <c r="B2130" s="6" t="s">
        <v>1507</v>
      </c>
      <c r="C2130" s="6" t="s">
        <v>124</v>
      </c>
      <c r="D2130" s="6" t="s">
        <v>31</v>
      </c>
      <c r="E2130" s="14" t="n">
        <v>1433.94</v>
      </c>
      <c r="F2130" s="14" t="n">
        <v>1433.94</v>
      </c>
      <c r="G2130" s="6" t="s">
        <v>15614</v>
      </c>
    </row>
    <row r="2131" customFormat="false" ht="15" hidden="false" customHeight="true" outlineLevel="0" collapsed="false">
      <c r="A2131" s="6" t="s">
        <v>17743</v>
      </c>
      <c r="B2131" s="6" t="s">
        <v>1507</v>
      </c>
      <c r="C2131" s="6" t="s">
        <v>124</v>
      </c>
      <c r="D2131" s="6" t="s">
        <v>32</v>
      </c>
      <c r="E2131" s="14" t="n">
        <v>1433.94</v>
      </c>
      <c r="F2131" s="14" t="n">
        <v>2867.88</v>
      </c>
      <c r="G2131" s="6" t="s">
        <v>15614</v>
      </c>
    </row>
    <row r="2132" customFormat="false" ht="15" hidden="false" customHeight="true" outlineLevel="0" collapsed="false">
      <c r="A2132" s="6" t="s">
        <v>17744</v>
      </c>
      <c r="B2132" s="6" t="s">
        <v>1509</v>
      </c>
      <c r="C2132" s="6" t="s">
        <v>131</v>
      </c>
      <c r="D2132" s="6" t="s">
        <v>38</v>
      </c>
      <c r="E2132" s="14" t="n">
        <v>308.87</v>
      </c>
      <c r="F2132" s="14" t="n">
        <v>308.87</v>
      </c>
      <c r="G2132" s="6" t="s">
        <v>15614</v>
      </c>
    </row>
    <row r="2133" customFormat="false" ht="15" hidden="false" customHeight="true" outlineLevel="0" collapsed="false">
      <c r="A2133" s="6" t="s">
        <v>17745</v>
      </c>
      <c r="B2133" s="6" t="s">
        <v>1509</v>
      </c>
      <c r="C2133" s="6" t="s">
        <v>131</v>
      </c>
      <c r="D2133" s="6" t="s">
        <v>39</v>
      </c>
      <c r="E2133" s="14" t="n">
        <v>308.87</v>
      </c>
      <c r="F2133" s="14" t="n">
        <v>617.74</v>
      </c>
      <c r="G2133" s="6" t="s">
        <v>15614</v>
      </c>
    </row>
    <row r="2134" customFormat="false" ht="15" hidden="false" customHeight="true" outlineLevel="0" collapsed="false">
      <c r="A2134" s="6" t="s">
        <v>17746</v>
      </c>
      <c r="B2134" s="6" t="s">
        <v>1509</v>
      </c>
      <c r="C2134" s="6" t="s">
        <v>131</v>
      </c>
      <c r="D2134" s="6" t="s">
        <v>40</v>
      </c>
      <c r="E2134" s="14" t="n">
        <v>308.87</v>
      </c>
      <c r="F2134" s="14" t="n">
        <v>926.61</v>
      </c>
      <c r="G2134" s="6" t="s">
        <v>15614</v>
      </c>
    </row>
    <row r="2135" customFormat="false" ht="15" hidden="false" customHeight="true" outlineLevel="0" collapsed="false">
      <c r="A2135" s="6" t="s">
        <v>17747</v>
      </c>
      <c r="B2135" s="6" t="s">
        <v>1509</v>
      </c>
      <c r="C2135" s="6" t="s">
        <v>131</v>
      </c>
      <c r="D2135" s="6" t="s">
        <v>41</v>
      </c>
      <c r="E2135" s="14" t="n">
        <v>308.87</v>
      </c>
      <c r="F2135" s="14" t="n">
        <v>1235.48</v>
      </c>
      <c r="G2135" s="6" t="s">
        <v>15614</v>
      </c>
    </row>
    <row r="2136" customFormat="false" ht="15" hidden="false" customHeight="true" outlineLevel="0" collapsed="false">
      <c r="A2136" s="6" t="s">
        <v>17748</v>
      </c>
      <c r="B2136" s="6" t="s">
        <v>1511</v>
      </c>
      <c r="C2136" s="6" t="s">
        <v>128</v>
      </c>
      <c r="D2136" s="6" t="s">
        <v>11</v>
      </c>
      <c r="E2136" s="14" t="n">
        <v>3180.53</v>
      </c>
      <c r="F2136" s="14" t="n">
        <v>3180.53</v>
      </c>
      <c r="G2136" s="6" t="s">
        <v>15614</v>
      </c>
    </row>
    <row r="2137" customFormat="false" ht="15" hidden="false" customHeight="true" outlineLevel="0" collapsed="false">
      <c r="A2137" s="6" t="s">
        <v>17749</v>
      </c>
      <c r="B2137" s="6" t="s">
        <v>1511</v>
      </c>
      <c r="C2137" s="6" t="s">
        <v>128</v>
      </c>
      <c r="D2137" s="6" t="s">
        <v>13</v>
      </c>
      <c r="E2137" s="14" t="n">
        <v>3180.53</v>
      </c>
      <c r="F2137" s="14" t="n">
        <v>6361.06</v>
      </c>
      <c r="G2137" s="6" t="s">
        <v>15614</v>
      </c>
    </row>
    <row r="2138" customFormat="false" ht="15" hidden="false" customHeight="true" outlineLevel="0" collapsed="false">
      <c r="A2138" s="6" t="s">
        <v>17750</v>
      </c>
      <c r="B2138" s="6" t="s">
        <v>1511</v>
      </c>
      <c r="C2138" s="6" t="s">
        <v>128</v>
      </c>
      <c r="D2138" s="6" t="s">
        <v>13</v>
      </c>
      <c r="E2138" s="14" t="n">
        <v>3180.53</v>
      </c>
      <c r="F2138" s="14" t="n">
        <v>9541.59</v>
      </c>
      <c r="G2138" s="6" t="s">
        <v>15614</v>
      </c>
    </row>
    <row r="2139" customFormat="false" ht="15" hidden="false" customHeight="true" outlineLevel="0" collapsed="false">
      <c r="A2139" s="6" t="s">
        <v>17751</v>
      </c>
      <c r="B2139" s="6" t="s">
        <v>1513</v>
      </c>
      <c r="C2139" s="6" t="s">
        <v>131</v>
      </c>
      <c r="D2139" s="6" t="s">
        <v>23</v>
      </c>
      <c r="E2139" s="14" t="n">
        <v>2518</v>
      </c>
      <c r="F2139" s="14" t="n">
        <v>2518</v>
      </c>
      <c r="G2139" s="6" t="s">
        <v>15614</v>
      </c>
    </row>
    <row r="2140" customFormat="false" ht="15" hidden="false" customHeight="true" outlineLevel="0" collapsed="false">
      <c r="A2140" s="6" t="s">
        <v>17752</v>
      </c>
      <c r="B2140" s="6" t="s">
        <v>1513</v>
      </c>
      <c r="C2140" s="6" t="s">
        <v>131</v>
      </c>
      <c r="D2140" s="6" t="s">
        <v>24</v>
      </c>
      <c r="E2140" s="14" t="n">
        <v>2518</v>
      </c>
      <c r="F2140" s="14" t="n">
        <v>5036</v>
      </c>
      <c r="G2140" s="6" t="s">
        <v>15614</v>
      </c>
    </row>
    <row r="2141" customFormat="false" ht="15" hidden="false" customHeight="true" outlineLevel="0" collapsed="false">
      <c r="A2141" s="6" t="s">
        <v>17753</v>
      </c>
      <c r="B2141" s="6" t="s">
        <v>1513</v>
      </c>
      <c r="C2141" s="6" t="s">
        <v>131</v>
      </c>
      <c r="D2141" s="6" t="s">
        <v>25</v>
      </c>
      <c r="E2141" s="14" t="n">
        <v>2518</v>
      </c>
      <c r="F2141" s="14" t="n">
        <v>7554</v>
      </c>
      <c r="G2141" s="6" t="s">
        <v>15614</v>
      </c>
    </row>
    <row r="2142" customFormat="false" ht="15" hidden="false" customHeight="true" outlineLevel="0" collapsed="false">
      <c r="A2142" s="6" t="s">
        <v>17754</v>
      </c>
      <c r="B2142" s="6" t="s">
        <v>1513</v>
      </c>
      <c r="C2142" s="6" t="s">
        <v>131</v>
      </c>
      <c r="D2142" s="6" t="s">
        <v>26</v>
      </c>
      <c r="E2142" s="14" t="n">
        <v>2518</v>
      </c>
      <c r="F2142" s="14" t="n">
        <v>10072</v>
      </c>
      <c r="G2142" s="6" t="s">
        <v>15614</v>
      </c>
    </row>
    <row r="2143" customFormat="false" ht="15" hidden="false" customHeight="true" outlineLevel="0" collapsed="false">
      <c r="A2143" s="6" t="s">
        <v>17755</v>
      </c>
      <c r="B2143" s="6" t="s">
        <v>1513</v>
      </c>
      <c r="C2143" s="6" t="s">
        <v>131</v>
      </c>
      <c r="D2143" s="6" t="s">
        <v>27</v>
      </c>
      <c r="E2143" s="14" t="n">
        <v>2518</v>
      </c>
      <c r="F2143" s="14" t="n">
        <v>12590</v>
      </c>
      <c r="G2143" s="6" t="s">
        <v>15614</v>
      </c>
    </row>
    <row r="2144" customFormat="false" ht="15" hidden="false" customHeight="true" outlineLevel="0" collapsed="false">
      <c r="A2144" s="6" t="s">
        <v>17756</v>
      </c>
      <c r="B2144" s="6" t="s">
        <v>1515</v>
      </c>
      <c r="C2144" s="6" t="s">
        <v>124</v>
      </c>
      <c r="D2144" s="6" t="s">
        <v>38</v>
      </c>
      <c r="E2144" s="14" t="n">
        <v>623.65</v>
      </c>
      <c r="F2144" s="14" t="n">
        <v>623.65</v>
      </c>
      <c r="G2144" s="6" t="s">
        <v>15614</v>
      </c>
    </row>
    <row r="2145" customFormat="false" ht="15" hidden="false" customHeight="true" outlineLevel="0" collapsed="false">
      <c r="A2145" s="6" t="s">
        <v>17757</v>
      </c>
      <c r="B2145" s="6" t="s">
        <v>1515</v>
      </c>
      <c r="C2145" s="6" t="s">
        <v>124</v>
      </c>
      <c r="D2145" s="6" t="s">
        <v>39</v>
      </c>
      <c r="E2145" s="14" t="n">
        <v>623.65</v>
      </c>
      <c r="F2145" s="14" t="n">
        <v>1247.3</v>
      </c>
      <c r="G2145" s="6" t="s">
        <v>15614</v>
      </c>
    </row>
    <row r="2146" customFormat="false" ht="15" hidden="false" customHeight="true" outlineLevel="0" collapsed="false">
      <c r="A2146" s="6" t="s">
        <v>17758</v>
      </c>
      <c r="B2146" s="6" t="s">
        <v>1515</v>
      </c>
      <c r="C2146" s="6" t="s">
        <v>124</v>
      </c>
      <c r="D2146" s="6" t="s">
        <v>40</v>
      </c>
      <c r="E2146" s="14" t="n">
        <v>623.65</v>
      </c>
      <c r="F2146" s="14" t="n">
        <v>1870.95</v>
      </c>
      <c r="G2146" s="6" t="s">
        <v>15614</v>
      </c>
    </row>
    <row r="2147" customFormat="false" ht="15" hidden="false" customHeight="true" outlineLevel="0" collapsed="false">
      <c r="A2147" s="6" t="s">
        <v>17759</v>
      </c>
      <c r="B2147" s="6" t="s">
        <v>1515</v>
      </c>
      <c r="C2147" s="6" t="s">
        <v>124</v>
      </c>
      <c r="D2147" s="6" t="s">
        <v>41</v>
      </c>
      <c r="E2147" s="14" t="n">
        <v>623.65</v>
      </c>
      <c r="F2147" s="14" t="n">
        <v>2494.6</v>
      </c>
      <c r="G2147" s="6" t="s">
        <v>15614</v>
      </c>
    </row>
    <row r="2148" customFormat="false" ht="15" hidden="false" customHeight="true" outlineLevel="0" collapsed="false">
      <c r="A2148" s="6" t="s">
        <v>17760</v>
      </c>
      <c r="B2148" s="6" t="s">
        <v>1517</v>
      </c>
      <c r="C2148" s="6" t="s">
        <v>116</v>
      </c>
      <c r="D2148" s="6" t="s">
        <v>53</v>
      </c>
      <c r="E2148" s="14" t="n">
        <v>4182.11</v>
      </c>
      <c r="F2148" s="14" t="n">
        <v>4182.11</v>
      </c>
      <c r="G2148" s="6" t="s">
        <v>15614</v>
      </c>
    </row>
    <row r="2149" customFormat="false" ht="15" hidden="false" customHeight="true" outlineLevel="0" collapsed="false">
      <c r="A2149" s="6" t="s">
        <v>17761</v>
      </c>
      <c r="B2149" s="6" t="s">
        <v>1517</v>
      </c>
      <c r="C2149" s="6" t="s">
        <v>116</v>
      </c>
      <c r="D2149" s="6" t="s">
        <v>54</v>
      </c>
      <c r="E2149" s="14" t="n">
        <v>4182.11</v>
      </c>
      <c r="F2149" s="14" t="n">
        <v>8364.22</v>
      </c>
      <c r="G2149" s="6" t="s">
        <v>15614</v>
      </c>
    </row>
    <row r="2150" customFormat="false" ht="15" hidden="false" customHeight="true" outlineLevel="0" collapsed="false">
      <c r="A2150" s="6" t="s">
        <v>17762</v>
      </c>
      <c r="B2150" s="6" t="s">
        <v>1519</v>
      </c>
      <c r="C2150" s="6" t="s">
        <v>128</v>
      </c>
      <c r="D2150" s="6" t="s">
        <v>14</v>
      </c>
      <c r="E2150" s="14" t="n">
        <v>1288.08</v>
      </c>
      <c r="F2150" s="14" t="n">
        <v>1288.08</v>
      </c>
      <c r="G2150" s="6" t="s">
        <v>15614</v>
      </c>
    </row>
    <row r="2151" customFormat="false" ht="15" hidden="false" customHeight="true" outlineLevel="0" collapsed="false">
      <c r="A2151" s="6" t="s">
        <v>17763</v>
      </c>
      <c r="B2151" s="6" t="s">
        <v>1519</v>
      </c>
      <c r="C2151" s="6" t="s">
        <v>128</v>
      </c>
      <c r="D2151" s="6" t="s">
        <v>15</v>
      </c>
      <c r="E2151" s="14" t="n">
        <v>1288.08</v>
      </c>
      <c r="F2151" s="14" t="n">
        <v>2576.16</v>
      </c>
      <c r="G2151" s="6" t="s">
        <v>15614</v>
      </c>
    </row>
    <row r="2152" customFormat="false" ht="15" hidden="false" customHeight="true" outlineLevel="0" collapsed="false">
      <c r="A2152" s="6" t="s">
        <v>17764</v>
      </c>
      <c r="B2152" s="6" t="s">
        <v>1519</v>
      </c>
      <c r="C2152" s="6" t="s">
        <v>128</v>
      </c>
      <c r="D2152" s="6" t="s">
        <v>16</v>
      </c>
      <c r="E2152" s="14" t="n">
        <v>1288.08</v>
      </c>
      <c r="F2152" s="14" t="n">
        <v>3864.24</v>
      </c>
      <c r="G2152" s="6" t="s">
        <v>15614</v>
      </c>
    </row>
    <row r="2153" customFormat="false" ht="15" hidden="false" customHeight="true" outlineLevel="0" collapsed="false">
      <c r="A2153" s="6" t="s">
        <v>17765</v>
      </c>
      <c r="B2153" s="6" t="s">
        <v>1521</v>
      </c>
      <c r="C2153" s="6" t="s">
        <v>116</v>
      </c>
      <c r="D2153" s="6" t="s">
        <v>53</v>
      </c>
      <c r="E2153" s="14" t="n">
        <v>2856.03</v>
      </c>
      <c r="F2153" s="14" t="n">
        <v>2856.03</v>
      </c>
      <c r="G2153" s="6" t="s">
        <v>15614</v>
      </c>
    </row>
    <row r="2154" customFormat="false" ht="15" hidden="false" customHeight="true" outlineLevel="0" collapsed="false">
      <c r="A2154" s="6" t="s">
        <v>17766</v>
      </c>
      <c r="B2154" s="6" t="s">
        <v>1521</v>
      </c>
      <c r="C2154" s="6" t="s">
        <v>116</v>
      </c>
      <c r="D2154" s="6" t="s">
        <v>54</v>
      </c>
      <c r="E2154" s="14" t="n">
        <v>2856.03</v>
      </c>
      <c r="F2154" s="14" t="n">
        <v>5712.06</v>
      </c>
      <c r="G2154" s="6" t="s">
        <v>15614</v>
      </c>
    </row>
    <row r="2155" customFormat="false" ht="15" hidden="false" customHeight="true" outlineLevel="0" collapsed="false">
      <c r="A2155" s="6" t="s">
        <v>17767</v>
      </c>
      <c r="B2155" s="6" t="s">
        <v>1523</v>
      </c>
      <c r="C2155" s="6" t="s">
        <v>124</v>
      </c>
      <c r="D2155" s="6" t="s">
        <v>48</v>
      </c>
      <c r="E2155" s="14" t="n">
        <v>188.85</v>
      </c>
      <c r="F2155" s="14" t="n">
        <v>188.85</v>
      </c>
      <c r="G2155" s="6" t="s">
        <v>15614</v>
      </c>
    </row>
    <row r="2156" customFormat="false" ht="15" hidden="false" customHeight="true" outlineLevel="0" collapsed="false">
      <c r="A2156" s="6" t="s">
        <v>17768</v>
      </c>
      <c r="B2156" s="6" t="s">
        <v>1523</v>
      </c>
      <c r="C2156" s="6" t="s">
        <v>124</v>
      </c>
      <c r="D2156" s="6" t="s">
        <v>49</v>
      </c>
      <c r="E2156" s="14" t="n">
        <v>188.85</v>
      </c>
      <c r="F2156" s="14" t="n">
        <v>377.7</v>
      </c>
      <c r="G2156" s="6" t="s">
        <v>15614</v>
      </c>
    </row>
    <row r="2157" customFormat="false" ht="15" hidden="false" customHeight="true" outlineLevel="0" collapsed="false">
      <c r="A2157" s="6" t="s">
        <v>17769</v>
      </c>
      <c r="B2157" s="6" t="s">
        <v>1523</v>
      </c>
      <c r="C2157" s="6" t="s">
        <v>124</v>
      </c>
      <c r="D2157" s="6" t="s">
        <v>50</v>
      </c>
      <c r="E2157" s="14" t="n">
        <v>188.85</v>
      </c>
      <c r="F2157" s="14" t="n">
        <v>566.55</v>
      </c>
      <c r="G2157" s="6" t="s">
        <v>15614</v>
      </c>
    </row>
    <row r="2158" customFormat="false" ht="15" hidden="false" customHeight="true" outlineLevel="0" collapsed="false">
      <c r="A2158" s="6" t="s">
        <v>17770</v>
      </c>
      <c r="B2158" s="6" t="s">
        <v>1523</v>
      </c>
      <c r="C2158" s="6" t="s">
        <v>124</v>
      </c>
      <c r="D2158" s="6" t="s">
        <v>51</v>
      </c>
      <c r="E2158" s="14" t="n">
        <v>188.85</v>
      </c>
      <c r="F2158" s="14" t="n">
        <v>755.4</v>
      </c>
      <c r="G2158" s="6" t="s">
        <v>15614</v>
      </c>
    </row>
    <row r="2159" customFormat="false" ht="15" hidden="false" customHeight="true" outlineLevel="0" collapsed="false">
      <c r="A2159" s="6" t="s">
        <v>17771</v>
      </c>
      <c r="B2159" s="6" t="s">
        <v>1525</v>
      </c>
      <c r="C2159" s="6" t="s">
        <v>116</v>
      </c>
      <c r="D2159" s="6" t="s">
        <v>25</v>
      </c>
      <c r="E2159" s="14" t="n">
        <v>5023.1</v>
      </c>
      <c r="F2159" s="14" t="n">
        <v>5023.1</v>
      </c>
      <c r="G2159" s="6" t="s">
        <v>15614</v>
      </c>
    </row>
    <row r="2160" customFormat="false" ht="15" hidden="false" customHeight="true" outlineLevel="0" collapsed="false">
      <c r="A2160" s="6" t="s">
        <v>17772</v>
      </c>
      <c r="B2160" s="6" t="s">
        <v>1525</v>
      </c>
      <c r="C2160" s="6" t="s">
        <v>116</v>
      </c>
      <c r="D2160" s="6" t="s">
        <v>26</v>
      </c>
      <c r="E2160" s="14" t="n">
        <v>5023.1</v>
      </c>
      <c r="F2160" s="14" t="n">
        <v>10046.2</v>
      </c>
      <c r="G2160" s="6" t="s">
        <v>15614</v>
      </c>
    </row>
    <row r="2161" customFormat="false" ht="15" hidden="false" customHeight="true" outlineLevel="0" collapsed="false">
      <c r="A2161" s="6" t="s">
        <v>17773</v>
      </c>
      <c r="B2161" s="6" t="s">
        <v>1525</v>
      </c>
      <c r="C2161" s="6" t="s">
        <v>116</v>
      </c>
      <c r="D2161" s="6" t="s">
        <v>27</v>
      </c>
      <c r="E2161" s="14" t="n">
        <v>5023.1</v>
      </c>
      <c r="F2161" s="14" t="n">
        <v>15069.3</v>
      </c>
      <c r="G2161" s="6" t="s">
        <v>15614</v>
      </c>
    </row>
    <row r="2162" customFormat="false" ht="15" hidden="false" customHeight="true" outlineLevel="0" collapsed="false">
      <c r="A2162" s="6" t="s">
        <v>17774</v>
      </c>
      <c r="B2162" s="6" t="s">
        <v>1525</v>
      </c>
      <c r="C2162" s="6" t="s">
        <v>116</v>
      </c>
      <c r="D2162" s="6" t="s">
        <v>28</v>
      </c>
      <c r="E2162" s="14" t="n">
        <v>5023.1</v>
      </c>
      <c r="F2162" s="14" t="n">
        <v>20092.4</v>
      </c>
      <c r="G2162" s="6" t="s">
        <v>15614</v>
      </c>
    </row>
    <row r="2163" customFormat="false" ht="15" hidden="false" customHeight="true" outlineLevel="0" collapsed="false">
      <c r="A2163" s="6" t="s">
        <v>17775</v>
      </c>
      <c r="B2163" s="6" t="s">
        <v>1527</v>
      </c>
      <c r="C2163" s="6" t="s">
        <v>112</v>
      </c>
      <c r="D2163" s="6" t="s">
        <v>50</v>
      </c>
      <c r="E2163" s="14" t="n">
        <v>3369.67</v>
      </c>
      <c r="F2163" s="14" t="n">
        <v>3369.67</v>
      </c>
      <c r="G2163" s="6" t="s">
        <v>15614</v>
      </c>
    </row>
    <row r="2164" customFormat="false" ht="15" hidden="false" customHeight="true" outlineLevel="0" collapsed="false">
      <c r="A2164" s="6" t="s">
        <v>17776</v>
      </c>
      <c r="B2164" s="6" t="s">
        <v>1527</v>
      </c>
      <c r="C2164" s="6" t="s">
        <v>112</v>
      </c>
      <c r="D2164" s="6" t="s">
        <v>51</v>
      </c>
      <c r="E2164" s="14" t="n">
        <v>3369.67</v>
      </c>
      <c r="F2164" s="14" t="n">
        <v>6739.34</v>
      </c>
      <c r="G2164" s="6" t="s">
        <v>15614</v>
      </c>
    </row>
    <row r="2165" customFormat="false" ht="15" hidden="false" customHeight="true" outlineLevel="0" collapsed="false">
      <c r="A2165" s="6" t="s">
        <v>17777</v>
      </c>
      <c r="B2165" s="6" t="s">
        <v>1527</v>
      </c>
      <c r="C2165" s="6" t="s">
        <v>112</v>
      </c>
      <c r="D2165" s="6" t="s">
        <v>52</v>
      </c>
      <c r="E2165" s="14" t="n">
        <v>3369.67</v>
      </c>
      <c r="F2165" s="14" t="n">
        <v>10109.01</v>
      </c>
      <c r="G2165" s="6" t="s">
        <v>15614</v>
      </c>
    </row>
    <row r="2166" customFormat="false" ht="15" hidden="false" customHeight="true" outlineLevel="0" collapsed="false">
      <c r="A2166" s="6" t="s">
        <v>17778</v>
      </c>
      <c r="B2166" s="6" t="s">
        <v>1527</v>
      </c>
      <c r="C2166" s="6" t="s">
        <v>112</v>
      </c>
      <c r="D2166" s="6" t="s">
        <v>53</v>
      </c>
      <c r="E2166" s="14" t="n">
        <v>3369.67</v>
      </c>
      <c r="F2166" s="14" t="n">
        <v>13478.68</v>
      </c>
      <c r="G2166" s="6" t="s">
        <v>15614</v>
      </c>
    </row>
    <row r="2167" customFormat="false" ht="15" hidden="false" customHeight="true" outlineLevel="0" collapsed="false">
      <c r="A2167" s="6" t="s">
        <v>17779</v>
      </c>
      <c r="B2167" s="6" t="s">
        <v>1529</v>
      </c>
      <c r="C2167" s="6" t="s">
        <v>116</v>
      </c>
      <c r="D2167" s="6" t="s">
        <v>56</v>
      </c>
      <c r="E2167" s="14" t="n">
        <v>2394.43</v>
      </c>
      <c r="F2167" s="14" t="n">
        <v>2394.43</v>
      </c>
      <c r="G2167" s="6" t="s">
        <v>15614</v>
      </c>
    </row>
    <row r="2168" customFormat="false" ht="15" hidden="false" customHeight="true" outlineLevel="0" collapsed="false">
      <c r="A2168" s="6" t="s">
        <v>17780</v>
      </c>
      <c r="B2168" s="6" t="s">
        <v>1529</v>
      </c>
      <c r="C2168" s="6" t="s">
        <v>116</v>
      </c>
      <c r="D2168" s="6" t="s">
        <v>57</v>
      </c>
      <c r="E2168" s="14" t="n">
        <v>2394.43</v>
      </c>
      <c r="F2168" s="14" t="n">
        <v>4788.86</v>
      </c>
      <c r="G2168" s="6" t="s">
        <v>15614</v>
      </c>
    </row>
    <row r="2169" customFormat="false" ht="15" hidden="false" customHeight="true" outlineLevel="0" collapsed="false">
      <c r="A2169" s="6" t="s">
        <v>17781</v>
      </c>
      <c r="B2169" s="6" t="s">
        <v>1531</v>
      </c>
      <c r="C2169" s="6" t="s">
        <v>124</v>
      </c>
      <c r="D2169" s="6" t="s">
        <v>25</v>
      </c>
      <c r="E2169" s="14" t="n">
        <v>978.11</v>
      </c>
      <c r="F2169" s="14" t="n">
        <v>978.11</v>
      </c>
      <c r="G2169" s="6" t="s">
        <v>15614</v>
      </c>
    </row>
    <row r="2170" customFormat="false" ht="15" hidden="false" customHeight="true" outlineLevel="0" collapsed="false">
      <c r="A2170" s="6" t="s">
        <v>17782</v>
      </c>
      <c r="B2170" s="6" t="s">
        <v>1531</v>
      </c>
      <c r="C2170" s="6" t="s">
        <v>124</v>
      </c>
      <c r="D2170" s="6" t="s">
        <v>25</v>
      </c>
      <c r="E2170" s="14" t="n">
        <v>978.11</v>
      </c>
      <c r="F2170" s="14" t="n">
        <v>1956.22</v>
      </c>
      <c r="G2170" s="6" t="s">
        <v>15614</v>
      </c>
    </row>
    <row r="2171" customFormat="false" ht="15" hidden="false" customHeight="true" outlineLevel="0" collapsed="false">
      <c r="A2171" s="6" t="s">
        <v>17783</v>
      </c>
      <c r="B2171" s="6" t="s">
        <v>1531</v>
      </c>
      <c r="C2171" s="6" t="s">
        <v>124</v>
      </c>
      <c r="D2171" s="6" t="s">
        <v>26</v>
      </c>
      <c r="E2171" s="14" t="n">
        <v>978.11</v>
      </c>
      <c r="F2171" s="14" t="n">
        <v>2934.33</v>
      </c>
      <c r="G2171" s="6" t="s">
        <v>15614</v>
      </c>
    </row>
    <row r="2172" customFormat="false" ht="15" hidden="false" customHeight="true" outlineLevel="0" collapsed="false">
      <c r="A2172" s="6" t="s">
        <v>17784</v>
      </c>
      <c r="B2172" s="6" t="s">
        <v>1531</v>
      </c>
      <c r="C2172" s="6" t="s">
        <v>124</v>
      </c>
      <c r="D2172" s="6" t="s">
        <v>27</v>
      </c>
      <c r="E2172" s="14" t="n">
        <v>978.11</v>
      </c>
      <c r="F2172" s="14" t="n">
        <v>3912.44</v>
      </c>
      <c r="G2172" s="6" t="s">
        <v>15614</v>
      </c>
    </row>
    <row r="2173" customFormat="false" ht="15" hidden="false" customHeight="true" outlineLevel="0" collapsed="false">
      <c r="A2173" s="6" t="s">
        <v>17785</v>
      </c>
      <c r="B2173" s="6" t="s">
        <v>1533</v>
      </c>
      <c r="C2173" s="6" t="s">
        <v>128</v>
      </c>
      <c r="D2173" s="6" t="s">
        <v>37</v>
      </c>
      <c r="E2173" s="14" t="n">
        <v>4744.92</v>
      </c>
      <c r="F2173" s="14" t="n">
        <v>4744.92</v>
      </c>
      <c r="G2173" s="6" t="s">
        <v>15614</v>
      </c>
    </row>
    <row r="2174" customFormat="false" ht="15" hidden="false" customHeight="true" outlineLevel="0" collapsed="false">
      <c r="A2174" s="6" t="s">
        <v>17786</v>
      </c>
      <c r="B2174" s="6" t="s">
        <v>1533</v>
      </c>
      <c r="C2174" s="6" t="s">
        <v>128</v>
      </c>
      <c r="D2174" s="6" t="s">
        <v>38</v>
      </c>
      <c r="E2174" s="14" t="n">
        <v>4744.92</v>
      </c>
      <c r="F2174" s="14" t="n">
        <v>9489.84</v>
      </c>
      <c r="G2174" s="6" t="s">
        <v>15614</v>
      </c>
    </row>
    <row r="2175" customFormat="false" ht="15" hidden="false" customHeight="true" outlineLevel="0" collapsed="false">
      <c r="A2175" s="6" t="s">
        <v>17787</v>
      </c>
      <c r="B2175" s="6" t="s">
        <v>1535</v>
      </c>
      <c r="C2175" s="6" t="s">
        <v>128</v>
      </c>
      <c r="D2175" s="6" t="s">
        <v>53</v>
      </c>
      <c r="E2175" s="14" t="n">
        <v>694.35</v>
      </c>
      <c r="F2175" s="14" t="n">
        <v>694.35</v>
      </c>
      <c r="G2175" s="6" t="s">
        <v>15614</v>
      </c>
    </row>
    <row r="2176" customFormat="false" ht="15" hidden="false" customHeight="true" outlineLevel="0" collapsed="false">
      <c r="A2176" s="6" t="s">
        <v>17788</v>
      </c>
      <c r="B2176" s="6" t="s">
        <v>1535</v>
      </c>
      <c r="C2176" s="6" t="s">
        <v>128</v>
      </c>
      <c r="D2176" s="6" t="s">
        <v>54</v>
      </c>
      <c r="E2176" s="14" t="n">
        <v>694.35</v>
      </c>
      <c r="F2176" s="14" t="n">
        <v>1388.7</v>
      </c>
      <c r="G2176" s="6" t="s">
        <v>15614</v>
      </c>
    </row>
    <row r="2177" customFormat="false" ht="15" hidden="false" customHeight="true" outlineLevel="0" collapsed="false">
      <c r="A2177" s="6" t="s">
        <v>17789</v>
      </c>
      <c r="B2177" s="6" t="s">
        <v>1535</v>
      </c>
      <c r="C2177" s="6" t="s">
        <v>128</v>
      </c>
      <c r="D2177" s="6" t="s">
        <v>55</v>
      </c>
      <c r="E2177" s="14" t="n">
        <v>694.35</v>
      </c>
      <c r="F2177" s="14" t="n">
        <v>2083.05</v>
      </c>
      <c r="G2177" s="6" t="s">
        <v>15614</v>
      </c>
    </row>
    <row r="2178" customFormat="false" ht="15" hidden="false" customHeight="true" outlineLevel="0" collapsed="false">
      <c r="A2178" s="6" t="s">
        <v>17790</v>
      </c>
      <c r="B2178" s="6" t="s">
        <v>1535</v>
      </c>
      <c r="C2178" s="6" t="s">
        <v>128</v>
      </c>
      <c r="D2178" s="6" t="s">
        <v>56</v>
      </c>
      <c r="E2178" s="14" t="n">
        <v>694.35</v>
      </c>
      <c r="F2178" s="14" t="n">
        <v>2777.4</v>
      </c>
      <c r="G2178" s="6" t="s">
        <v>15614</v>
      </c>
    </row>
    <row r="2179" customFormat="false" ht="15" hidden="false" customHeight="true" outlineLevel="0" collapsed="false">
      <c r="A2179" s="6" t="s">
        <v>17791</v>
      </c>
      <c r="B2179" s="6" t="s">
        <v>1535</v>
      </c>
      <c r="C2179" s="6" t="s">
        <v>128</v>
      </c>
      <c r="D2179" s="6" t="s">
        <v>57</v>
      </c>
      <c r="E2179" s="14" t="n">
        <v>694.35</v>
      </c>
      <c r="F2179" s="14" t="n">
        <v>3471.75</v>
      </c>
      <c r="G2179" s="6" t="s">
        <v>15614</v>
      </c>
    </row>
    <row r="2180" customFormat="false" ht="15" hidden="false" customHeight="true" outlineLevel="0" collapsed="false">
      <c r="A2180" s="6" t="s">
        <v>17792</v>
      </c>
      <c r="B2180" s="6" t="s">
        <v>1535</v>
      </c>
      <c r="C2180" s="6" t="s">
        <v>128</v>
      </c>
      <c r="D2180" s="6" t="s">
        <v>58</v>
      </c>
      <c r="E2180" s="14" t="n">
        <v>694.35</v>
      </c>
      <c r="F2180" s="14" t="n">
        <v>4166.1</v>
      </c>
      <c r="G2180" s="6" t="s">
        <v>15614</v>
      </c>
    </row>
    <row r="2181" customFormat="false" ht="15" hidden="false" customHeight="true" outlineLevel="0" collapsed="false">
      <c r="A2181" s="6" t="s">
        <v>17793</v>
      </c>
      <c r="B2181" s="6" t="s">
        <v>1535</v>
      </c>
      <c r="C2181" s="6" t="s">
        <v>128</v>
      </c>
      <c r="D2181" s="6" t="s">
        <v>59</v>
      </c>
      <c r="E2181" s="14" t="n">
        <v>694.35</v>
      </c>
      <c r="F2181" s="14" t="n">
        <v>4860.45</v>
      </c>
      <c r="G2181" s="6" t="s">
        <v>15614</v>
      </c>
    </row>
    <row r="2182" customFormat="false" ht="15" hidden="false" customHeight="true" outlineLevel="0" collapsed="false">
      <c r="A2182" s="6" t="s">
        <v>17794</v>
      </c>
      <c r="B2182" s="6" t="s">
        <v>1535</v>
      </c>
      <c r="C2182" s="6" t="s">
        <v>128</v>
      </c>
      <c r="D2182" s="6" t="s">
        <v>60</v>
      </c>
      <c r="E2182" s="14" t="n">
        <v>694.35</v>
      </c>
      <c r="F2182" s="14" t="n">
        <v>5554.8</v>
      </c>
      <c r="G2182" s="6" t="s">
        <v>15614</v>
      </c>
    </row>
    <row r="2183" customFormat="false" ht="15" hidden="false" customHeight="true" outlineLevel="0" collapsed="false">
      <c r="A2183" s="6" t="s">
        <v>17795</v>
      </c>
      <c r="B2183" s="6" t="s">
        <v>1537</v>
      </c>
      <c r="C2183" s="6" t="s">
        <v>128</v>
      </c>
      <c r="D2183" s="6" t="s">
        <v>34</v>
      </c>
      <c r="E2183" s="14" t="n">
        <v>3533.24</v>
      </c>
      <c r="F2183" s="14" t="n">
        <v>3533.24</v>
      </c>
      <c r="G2183" s="6" t="s">
        <v>15614</v>
      </c>
    </row>
    <row r="2184" customFormat="false" ht="15" hidden="false" customHeight="true" outlineLevel="0" collapsed="false">
      <c r="A2184" s="6" t="s">
        <v>17796</v>
      </c>
      <c r="B2184" s="6" t="s">
        <v>1537</v>
      </c>
      <c r="C2184" s="6" t="s">
        <v>128</v>
      </c>
      <c r="D2184" s="6" t="s">
        <v>35</v>
      </c>
      <c r="E2184" s="14" t="n">
        <v>3533.24</v>
      </c>
      <c r="F2184" s="14" t="n">
        <v>7066.48</v>
      </c>
      <c r="G2184" s="6" t="s">
        <v>15614</v>
      </c>
    </row>
    <row r="2185" customFormat="false" ht="15" hidden="false" customHeight="true" outlineLevel="0" collapsed="false">
      <c r="A2185" s="6" t="s">
        <v>17797</v>
      </c>
      <c r="B2185" s="6" t="s">
        <v>1537</v>
      </c>
      <c r="C2185" s="6" t="s">
        <v>128</v>
      </c>
      <c r="D2185" s="6" t="s">
        <v>36</v>
      </c>
      <c r="E2185" s="14" t="n">
        <v>3533.24</v>
      </c>
      <c r="F2185" s="14" t="n">
        <v>10599.72</v>
      </c>
      <c r="G2185" s="6" t="s">
        <v>15614</v>
      </c>
    </row>
    <row r="2186" customFormat="false" ht="15" hidden="false" customHeight="true" outlineLevel="0" collapsed="false">
      <c r="A2186" s="6" t="s">
        <v>17798</v>
      </c>
      <c r="B2186" s="6" t="s">
        <v>1537</v>
      </c>
      <c r="C2186" s="6" t="s">
        <v>128</v>
      </c>
      <c r="D2186" s="6" t="s">
        <v>37</v>
      </c>
      <c r="E2186" s="14" t="n">
        <v>3533.24</v>
      </c>
      <c r="F2186" s="14" t="n">
        <v>14132.96</v>
      </c>
      <c r="G2186" s="6" t="s">
        <v>15614</v>
      </c>
    </row>
    <row r="2187" customFormat="false" ht="15" hidden="false" customHeight="true" outlineLevel="0" collapsed="false">
      <c r="A2187" s="6" t="s">
        <v>17799</v>
      </c>
      <c r="B2187" s="6" t="s">
        <v>1539</v>
      </c>
      <c r="C2187" s="6" t="s">
        <v>116</v>
      </c>
      <c r="D2187" s="6" t="s">
        <v>31</v>
      </c>
      <c r="E2187" s="14" t="n">
        <v>3612.41</v>
      </c>
      <c r="F2187" s="14" t="n">
        <v>3612.41</v>
      </c>
      <c r="G2187" s="6" t="s">
        <v>15614</v>
      </c>
    </row>
    <row r="2188" customFormat="false" ht="15" hidden="false" customHeight="true" outlineLevel="0" collapsed="false">
      <c r="A2188" s="6" t="s">
        <v>17800</v>
      </c>
      <c r="B2188" s="6" t="s">
        <v>1539</v>
      </c>
      <c r="C2188" s="6" t="s">
        <v>116</v>
      </c>
      <c r="D2188" s="6" t="s">
        <v>32</v>
      </c>
      <c r="E2188" s="14" t="n">
        <v>3612.41</v>
      </c>
      <c r="F2188" s="14" t="n">
        <v>7224.82</v>
      </c>
      <c r="G2188" s="6" t="s">
        <v>15614</v>
      </c>
    </row>
    <row r="2189" customFormat="false" ht="15" hidden="false" customHeight="true" outlineLevel="0" collapsed="false">
      <c r="A2189" s="6" t="s">
        <v>17801</v>
      </c>
      <c r="B2189" s="6" t="s">
        <v>1541</v>
      </c>
      <c r="C2189" s="6" t="s">
        <v>116</v>
      </c>
      <c r="D2189" s="6" t="s">
        <v>11</v>
      </c>
      <c r="E2189" s="14" t="n">
        <v>423.17</v>
      </c>
      <c r="F2189" s="14" t="n">
        <v>423.17</v>
      </c>
      <c r="G2189" s="6" t="s">
        <v>15614</v>
      </c>
    </row>
    <row r="2190" customFormat="false" ht="15" hidden="false" customHeight="true" outlineLevel="0" collapsed="false">
      <c r="A2190" s="6" t="s">
        <v>17802</v>
      </c>
      <c r="B2190" s="6" t="s">
        <v>1541</v>
      </c>
      <c r="C2190" s="6" t="s">
        <v>116</v>
      </c>
      <c r="D2190" s="6" t="s">
        <v>12</v>
      </c>
      <c r="E2190" s="14" t="n">
        <v>423.17</v>
      </c>
      <c r="F2190" s="14" t="n">
        <v>846.34</v>
      </c>
      <c r="G2190" s="6" t="s">
        <v>15614</v>
      </c>
    </row>
    <row r="2191" customFormat="false" ht="15" hidden="false" customHeight="true" outlineLevel="0" collapsed="false">
      <c r="A2191" s="6" t="s">
        <v>17803</v>
      </c>
      <c r="B2191" s="6" t="s">
        <v>1543</v>
      </c>
      <c r="C2191" s="6" t="s">
        <v>124</v>
      </c>
      <c r="D2191" s="6" t="s">
        <v>18</v>
      </c>
      <c r="E2191" s="14" t="n">
        <v>1014.94</v>
      </c>
      <c r="F2191" s="14" t="n">
        <v>1014.94</v>
      </c>
      <c r="G2191" s="6" t="s">
        <v>15614</v>
      </c>
    </row>
    <row r="2192" customFormat="false" ht="15" hidden="false" customHeight="true" outlineLevel="0" collapsed="false">
      <c r="A2192" s="6" t="s">
        <v>17804</v>
      </c>
      <c r="B2192" s="6" t="s">
        <v>1543</v>
      </c>
      <c r="C2192" s="6" t="s">
        <v>124</v>
      </c>
      <c r="D2192" s="6" t="s">
        <v>18</v>
      </c>
      <c r="E2192" s="14" t="n">
        <v>1014.94</v>
      </c>
      <c r="F2192" s="14" t="n">
        <v>2029.88</v>
      </c>
      <c r="G2192" s="6" t="s">
        <v>15614</v>
      </c>
    </row>
    <row r="2193" customFormat="false" ht="15" hidden="false" customHeight="true" outlineLevel="0" collapsed="false">
      <c r="A2193" s="6" t="s">
        <v>17805</v>
      </c>
      <c r="B2193" s="6" t="s">
        <v>1543</v>
      </c>
      <c r="C2193" s="6" t="s">
        <v>124</v>
      </c>
      <c r="D2193" s="6" t="s">
        <v>19</v>
      </c>
      <c r="E2193" s="14" t="n">
        <v>1014.94</v>
      </c>
      <c r="F2193" s="14" t="n">
        <v>3044.82</v>
      </c>
      <c r="G2193" s="6" t="s">
        <v>15614</v>
      </c>
    </row>
    <row r="2194" customFormat="false" ht="15" hidden="false" customHeight="true" outlineLevel="0" collapsed="false">
      <c r="A2194" s="6" t="s">
        <v>17806</v>
      </c>
      <c r="B2194" s="6" t="s">
        <v>1545</v>
      </c>
      <c r="C2194" s="6" t="s">
        <v>116</v>
      </c>
      <c r="D2194" s="6" t="s">
        <v>57</v>
      </c>
      <c r="E2194" s="14" t="n">
        <v>316</v>
      </c>
      <c r="F2194" s="14" t="n">
        <v>316</v>
      </c>
      <c r="G2194" s="6" t="s">
        <v>15614</v>
      </c>
    </row>
    <row r="2195" customFormat="false" ht="15" hidden="false" customHeight="true" outlineLevel="0" collapsed="false">
      <c r="A2195" s="6" t="s">
        <v>17807</v>
      </c>
      <c r="B2195" s="6" t="s">
        <v>1545</v>
      </c>
      <c r="C2195" s="6" t="s">
        <v>116</v>
      </c>
      <c r="D2195" s="6" t="s">
        <v>58</v>
      </c>
      <c r="E2195" s="14" t="n">
        <v>316</v>
      </c>
      <c r="F2195" s="14" t="n">
        <v>632</v>
      </c>
      <c r="G2195" s="6" t="s">
        <v>15614</v>
      </c>
    </row>
    <row r="2196" customFormat="false" ht="15" hidden="false" customHeight="true" outlineLevel="0" collapsed="false">
      <c r="A2196" s="6" t="s">
        <v>17808</v>
      </c>
      <c r="B2196" s="6" t="s">
        <v>1547</v>
      </c>
      <c r="C2196" s="6" t="s">
        <v>124</v>
      </c>
      <c r="D2196" s="6" t="s">
        <v>50</v>
      </c>
      <c r="E2196" s="14" t="n">
        <v>396.88</v>
      </c>
      <c r="F2196" s="14" t="n">
        <v>396.88</v>
      </c>
      <c r="G2196" s="6" t="s">
        <v>15614</v>
      </c>
    </row>
    <row r="2197" customFormat="false" ht="15" hidden="false" customHeight="true" outlineLevel="0" collapsed="false">
      <c r="A2197" s="6" t="s">
        <v>17809</v>
      </c>
      <c r="B2197" s="6" t="s">
        <v>1547</v>
      </c>
      <c r="C2197" s="6" t="s">
        <v>124</v>
      </c>
      <c r="D2197" s="6" t="s">
        <v>51</v>
      </c>
      <c r="E2197" s="14" t="n">
        <v>396.88</v>
      </c>
      <c r="F2197" s="14" t="n">
        <v>793.76</v>
      </c>
      <c r="G2197" s="6" t="s">
        <v>15614</v>
      </c>
    </row>
    <row r="2198" customFormat="false" ht="15" hidden="false" customHeight="true" outlineLevel="0" collapsed="false">
      <c r="A2198" s="6" t="s">
        <v>17810</v>
      </c>
      <c r="B2198" s="6" t="s">
        <v>1547</v>
      </c>
      <c r="C2198" s="6" t="s">
        <v>124</v>
      </c>
      <c r="D2198" s="6" t="s">
        <v>52</v>
      </c>
      <c r="E2198" s="14" t="n">
        <v>396.88</v>
      </c>
      <c r="F2198" s="14" t="n">
        <v>1190.64</v>
      </c>
      <c r="G2198" s="6" t="s">
        <v>15614</v>
      </c>
    </row>
    <row r="2199" customFormat="false" ht="15" hidden="false" customHeight="true" outlineLevel="0" collapsed="false">
      <c r="A2199" s="6" t="s">
        <v>17811</v>
      </c>
      <c r="B2199" s="6" t="s">
        <v>1547</v>
      </c>
      <c r="C2199" s="6" t="s">
        <v>124</v>
      </c>
      <c r="D2199" s="6" t="s">
        <v>53</v>
      </c>
      <c r="E2199" s="14" t="n">
        <v>396.88</v>
      </c>
      <c r="F2199" s="14" t="n">
        <v>1587.52</v>
      </c>
      <c r="G2199" s="6" t="s">
        <v>15614</v>
      </c>
    </row>
    <row r="2200" customFormat="false" ht="15" hidden="false" customHeight="true" outlineLevel="0" collapsed="false">
      <c r="A2200" s="6" t="s">
        <v>17812</v>
      </c>
      <c r="B2200" s="6" t="s">
        <v>1549</v>
      </c>
      <c r="C2200" s="6" t="s">
        <v>120</v>
      </c>
      <c r="D2200" s="6" t="s">
        <v>50</v>
      </c>
      <c r="E2200" s="14" t="n">
        <v>5433.9</v>
      </c>
      <c r="F2200" s="14" t="n">
        <v>5433.9</v>
      </c>
      <c r="G2200" s="6" t="s">
        <v>15614</v>
      </c>
    </row>
    <row r="2201" customFormat="false" ht="15" hidden="false" customHeight="true" outlineLevel="0" collapsed="false">
      <c r="A2201" s="6" t="s">
        <v>17813</v>
      </c>
      <c r="B2201" s="6" t="s">
        <v>1549</v>
      </c>
      <c r="C2201" s="6" t="s">
        <v>120</v>
      </c>
      <c r="D2201" s="6" t="s">
        <v>51</v>
      </c>
      <c r="E2201" s="14" t="n">
        <v>5433.9</v>
      </c>
      <c r="F2201" s="14" t="n">
        <v>10867.8</v>
      </c>
      <c r="G2201" s="6" t="s">
        <v>15614</v>
      </c>
    </row>
    <row r="2202" customFormat="false" ht="15" hidden="false" customHeight="true" outlineLevel="0" collapsed="false">
      <c r="A2202" s="6" t="s">
        <v>17814</v>
      </c>
      <c r="B2202" s="6" t="s">
        <v>1551</v>
      </c>
      <c r="C2202" s="6" t="s">
        <v>128</v>
      </c>
      <c r="D2202" s="6" t="s">
        <v>48</v>
      </c>
      <c r="E2202" s="14" t="n">
        <v>2312.16</v>
      </c>
      <c r="F2202" s="14" t="n">
        <v>2312.16</v>
      </c>
      <c r="G2202" s="6" t="s">
        <v>15614</v>
      </c>
    </row>
    <row r="2203" customFormat="false" ht="15" hidden="false" customHeight="true" outlineLevel="0" collapsed="false">
      <c r="A2203" s="6" t="s">
        <v>17815</v>
      </c>
      <c r="B2203" s="6" t="s">
        <v>1551</v>
      </c>
      <c r="C2203" s="6" t="s">
        <v>128</v>
      </c>
      <c r="D2203" s="6" t="s">
        <v>49</v>
      </c>
      <c r="E2203" s="14" t="n">
        <v>2312.16</v>
      </c>
      <c r="F2203" s="14" t="n">
        <v>4624.32</v>
      </c>
      <c r="G2203" s="6" t="s">
        <v>15614</v>
      </c>
    </row>
    <row r="2204" customFormat="false" ht="15" hidden="false" customHeight="true" outlineLevel="0" collapsed="false">
      <c r="A2204" s="6" t="s">
        <v>17816</v>
      </c>
      <c r="B2204" s="6" t="s">
        <v>1551</v>
      </c>
      <c r="C2204" s="6" t="s">
        <v>128</v>
      </c>
      <c r="D2204" s="6" t="s">
        <v>50</v>
      </c>
      <c r="E2204" s="14" t="n">
        <v>2312.16</v>
      </c>
      <c r="F2204" s="14" t="n">
        <v>6936.48</v>
      </c>
      <c r="G2204" s="6" t="s">
        <v>15614</v>
      </c>
    </row>
    <row r="2205" customFormat="false" ht="15" hidden="false" customHeight="true" outlineLevel="0" collapsed="false">
      <c r="A2205" s="6" t="s">
        <v>17817</v>
      </c>
      <c r="B2205" s="6" t="s">
        <v>1551</v>
      </c>
      <c r="C2205" s="6" t="s">
        <v>128</v>
      </c>
      <c r="D2205" s="6" t="s">
        <v>51</v>
      </c>
      <c r="E2205" s="14" t="n">
        <v>2312.16</v>
      </c>
      <c r="F2205" s="14" t="n">
        <v>9248.64</v>
      </c>
      <c r="G2205" s="6" t="s">
        <v>15614</v>
      </c>
    </row>
    <row r="2206" customFormat="false" ht="15" hidden="false" customHeight="true" outlineLevel="0" collapsed="false">
      <c r="A2206" s="6" t="s">
        <v>17818</v>
      </c>
      <c r="B2206" s="6" t="s">
        <v>1553</v>
      </c>
      <c r="C2206" s="6" t="s">
        <v>128</v>
      </c>
      <c r="D2206" s="6" t="s">
        <v>16</v>
      </c>
      <c r="E2206" s="14" t="n">
        <v>1959.1</v>
      </c>
      <c r="F2206" s="14" t="n">
        <v>1959.1</v>
      </c>
      <c r="G2206" s="6" t="s">
        <v>15614</v>
      </c>
    </row>
    <row r="2207" customFormat="false" ht="15" hidden="false" customHeight="true" outlineLevel="0" collapsed="false">
      <c r="A2207" s="6" t="s">
        <v>17819</v>
      </c>
      <c r="B2207" s="6" t="s">
        <v>1553</v>
      </c>
      <c r="C2207" s="6" t="s">
        <v>128</v>
      </c>
      <c r="D2207" s="6" t="s">
        <v>17</v>
      </c>
      <c r="E2207" s="14" t="n">
        <v>1959.1</v>
      </c>
      <c r="F2207" s="14" t="n">
        <v>3918.2</v>
      </c>
      <c r="G2207" s="6" t="s">
        <v>15614</v>
      </c>
    </row>
    <row r="2208" customFormat="false" ht="15" hidden="false" customHeight="true" outlineLevel="0" collapsed="false">
      <c r="A2208" s="6" t="s">
        <v>17820</v>
      </c>
      <c r="B2208" s="6" t="s">
        <v>1553</v>
      </c>
      <c r="C2208" s="6" t="s">
        <v>128</v>
      </c>
      <c r="D2208" s="6" t="s">
        <v>18</v>
      </c>
      <c r="E2208" s="14" t="n">
        <v>1959.1</v>
      </c>
      <c r="F2208" s="14" t="n">
        <v>5877.3</v>
      </c>
      <c r="G2208" s="6" t="s">
        <v>15614</v>
      </c>
    </row>
    <row r="2209" customFormat="false" ht="15" hidden="false" customHeight="true" outlineLevel="0" collapsed="false">
      <c r="A2209" s="6" t="s">
        <v>17821</v>
      </c>
      <c r="B2209" s="6" t="s">
        <v>1553</v>
      </c>
      <c r="C2209" s="6" t="s">
        <v>128</v>
      </c>
      <c r="D2209" s="6" t="s">
        <v>19</v>
      </c>
      <c r="E2209" s="14" t="n">
        <v>1959.1</v>
      </c>
      <c r="F2209" s="14" t="n">
        <v>7836.4</v>
      </c>
      <c r="G2209" s="6" t="s">
        <v>15614</v>
      </c>
    </row>
    <row r="2210" customFormat="false" ht="15" hidden="false" customHeight="true" outlineLevel="0" collapsed="false">
      <c r="A2210" s="6" t="s">
        <v>17822</v>
      </c>
      <c r="B2210" s="6" t="s">
        <v>1555</v>
      </c>
      <c r="C2210" s="6" t="s">
        <v>112</v>
      </c>
      <c r="D2210" s="6" t="s">
        <v>25</v>
      </c>
      <c r="E2210" s="14" t="n">
        <v>1919.71</v>
      </c>
      <c r="F2210" s="14" t="n">
        <v>1919.71</v>
      </c>
      <c r="G2210" s="6" t="s">
        <v>15614</v>
      </c>
    </row>
    <row r="2211" customFormat="false" ht="15" hidden="false" customHeight="true" outlineLevel="0" collapsed="false">
      <c r="A2211" s="6" t="s">
        <v>17823</v>
      </c>
      <c r="B2211" s="6" t="s">
        <v>1555</v>
      </c>
      <c r="C2211" s="6" t="s">
        <v>112</v>
      </c>
      <c r="D2211" s="6" t="s">
        <v>26</v>
      </c>
      <c r="E2211" s="14" t="n">
        <v>1919.71</v>
      </c>
      <c r="F2211" s="14" t="n">
        <v>3839.42</v>
      </c>
      <c r="G2211" s="6" t="s">
        <v>15614</v>
      </c>
    </row>
    <row r="2212" customFormat="false" ht="15" hidden="false" customHeight="true" outlineLevel="0" collapsed="false">
      <c r="A2212" s="6" t="s">
        <v>17824</v>
      </c>
      <c r="B2212" s="6" t="s">
        <v>1555</v>
      </c>
      <c r="C2212" s="6" t="s">
        <v>112</v>
      </c>
      <c r="D2212" s="6" t="s">
        <v>27</v>
      </c>
      <c r="E2212" s="14" t="n">
        <v>1919.71</v>
      </c>
      <c r="F2212" s="14" t="n">
        <v>5759.13</v>
      </c>
      <c r="G2212" s="6" t="s">
        <v>15614</v>
      </c>
    </row>
    <row r="2213" customFormat="false" ht="15" hidden="false" customHeight="true" outlineLevel="0" collapsed="false">
      <c r="A2213" s="6" t="s">
        <v>17825</v>
      </c>
      <c r="B2213" s="6" t="s">
        <v>1557</v>
      </c>
      <c r="C2213" s="6" t="s">
        <v>116</v>
      </c>
      <c r="D2213" s="6" t="s">
        <v>40</v>
      </c>
      <c r="E2213" s="14" t="n">
        <v>3705.26</v>
      </c>
      <c r="F2213" s="14" t="n">
        <v>3705.26</v>
      </c>
      <c r="G2213" s="6" t="s">
        <v>15614</v>
      </c>
    </row>
    <row r="2214" customFormat="false" ht="15" hidden="false" customHeight="true" outlineLevel="0" collapsed="false">
      <c r="A2214" s="6" t="s">
        <v>17826</v>
      </c>
      <c r="B2214" s="6" t="s">
        <v>1557</v>
      </c>
      <c r="C2214" s="6" t="s">
        <v>116</v>
      </c>
      <c r="D2214" s="6" t="s">
        <v>41</v>
      </c>
      <c r="E2214" s="14" t="n">
        <v>3705.26</v>
      </c>
      <c r="F2214" s="14" t="n">
        <v>7410.52</v>
      </c>
      <c r="G2214" s="6" t="s">
        <v>15614</v>
      </c>
    </row>
    <row r="2215" customFormat="false" ht="15" hidden="false" customHeight="true" outlineLevel="0" collapsed="false">
      <c r="A2215" s="6" t="s">
        <v>17827</v>
      </c>
      <c r="B2215" s="6" t="s">
        <v>1559</v>
      </c>
      <c r="C2215" s="6" t="s">
        <v>116</v>
      </c>
      <c r="D2215" s="6" t="s">
        <v>55</v>
      </c>
      <c r="E2215" s="14" t="n">
        <v>1254.02</v>
      </c>
      <c r="F2215" s="14" t="n">
        <v>1254.02</v>
      </c>
      <c r="G2215" s="6" t="s">
        <v>15614</v>
      </c>
    </row>
    <row r="2216" customFormat="false" ht="15" hidden="false" customHeight="true" outlineLevel="0" collapsed="false">
      <c r="A2216" s="6" t="s">
        <v>17828</v>
      </c>
      <c r="B2216" s="6" t="s">
        <v>1559</v>
      </c>
      <c r="C2216" s="6" t="s">
        <v>116</v>
      </c>
      <c r="D2216" s="6" t="s">
        <v>56</v>
      </c>
      <c r="E2216" s="14" t="n">
        <v>1254.02</v>
      </c>
      <c r="F2216" s="14" t="n">
        <v>2508.04</v>
      </c>
      <c r="G2216" s="6" t="s">
        <v>15614</v>
      </c>
    </row>
    <row r="2217" customFormat="false" ht="15" hidden="false" customHeight="true" outlineLevel="0" collapsed="false">
      <c r="A2217" s="6" t="s">
        <v>17829</v>
      </c>
      <c r="B2217" s="6" t="s">
        <v>1561</v>
      </c>
      <c r="C2217" s="6" t="s">
        <v>124</v>
      </c>
      <c r="D2217" s="6" t="s">
        <v>13</v>
      </c>
      <c r="E2217" s="14" t="n">
        <v>2105.76</v>
      </c>
      <c r="F2217" s="14" t="n">
        <v>2105.76</v>
      </c>
      <c r="G2217" s="6" t="s">
        <v>15614</v>
      </c>
    </row>
    <row r="2218" customFormat="false" ht="15" hidden="false" customHeight="true" outlineLevel="0" collapsed="false">
      <c r="A2218" s="6" t="s">
        <v>17830</v>
      </c>
      <c r="B2218" s="6" t="s">
        <v>1563</v>
      </c>
      <c r="C2218" s="6" t="s">
        <v>120</v>
      </c>
      <c r="D2218" s="6" t="s">
        <v>48</v>
      </c>
      <c r="E2218" s="14" t="n">
        <v>2439.86</v>
      </c>
      <c r="F2218" s="14" t="n">
        <v>2439.86</v>
      </c>
      <c r="G2218" s="6" t="s">
        <v>15614</v>
      </c>
    </row>
    <row r="2219" customFormat="false" ht="15" hidden="false" customHeight="true" outlineLevel="0" collapsed="false">
      <c r="A2219" s="6" t="s">
        <v>17831</v>
      </c>
      <c r="B2219" s="6" t="s">
        <v>1563</v>
      </c>
      <c r="C2219" s="6" t="s">
        <v>120</v>
      </c>
      <c r="D2219" s="6" t="s">
        <v>49</v>
      </c>
      <c r="E2219" s="14" t="n">
        <v>2439.86</v>
      </c>
      <c r="F2219" s="14" t="n">
        <v>4879.72</v>
      </c>
      <c r="G2219" s="6" t="s">
        <v>15614</v>
      </c>
    </row>
    <row r="2220" customFormat="false" ht="15" hidden="false" customHeight="true" outlineLevel="0" collapsed="false">
      <c r="A2220" s="6" t="s">
        <v>17832</v>
      </c>
      <c r="B2220" s="6" t="s">
        <v>1563</v>
      </c>
      <c r="C2220" s="6" t="s">
        <v>120</v>
      </c>
      <c r="D2220" s="6" t="s">
        <v>50</v>
      </c>
      <c r="E2220" s="14" t="n">
        <v>2439.86</v>
      </c>
      <c r="F2220" s="14" t="n">
        <v>7319.58</v>
      </c>
      <c r="G2220" s="6" t="s">
        <v>15614</v>
      </c>
    </row>
    <row r="2221" customFormat="false" ht="15" hidden="false" customHeight="true" outlineLevel="0" collapsed="false">
      <c r="A2221" s="6" t="s">
        <v>17833</v>
      </c>
      <c r="B2221" s="6" t="s">
        <v>1563</v>
      </c>
      <c r="C2221" s="6" t="s">
        <v>120</v>
      </c>
      <c r="D2221" s="6" t="s">
        <v>51</v>
      </c>
      <c r="E2221" s="14" t="n">
        <v>2439.86</v>
      </c>
      <c r="F2221" s="14" t="n">
        <v>9759.44</v>
      </c>
      <c r="G2221" s="6" t="s">
        <v>15614</v>
      </c>
    </row>
    <row r="2222" customFormat="false" ht="15" hidden="false" customHeight="true" outlineLevel="0" collapsed="false">
      <c r="A2222" s="6" t="s">
        <v>17834</v>
      </c>
      <c r="B2222" s="6" t="s">
        <v>1563</v>
      </c>
      <c r="C2222" s="6" t="s">
        <v>120</v>
      </c>
      <c r="D2222" s="6" t="s">
        <v>52</v>
      </c>
      <c r="E2222" s="14" t="n">
        <v>2439.86</v>
      </c>
      <c r="F2222" s="14" t="n">
        <v>12199.3</v>
      </c>
      <c r="G2222" s="6" t="s">
        <v>15614</v>
      </c>
    </row>
    <row r="2223" customFormat="false" ht="15" hidden="false" customHeight="true" outlineLevel="0" collapsed="false">
      <c r="A2223" s="6" t="s">
        <v>17835</v>
      </c>
      <c r="B2223" s="6" t="s">
        <v>1565</v>
      </c>
      <c r="C2223" s="6" t="s">
        <v>116</v>
      </c>
      <c r="D2223" s="6" t="s">
        <v>39</v>
      </c>
      <c r="E2223" s="14" t="n">
        <v>1842.53</v>
      </c>
      <c r="F2223" s="14" t="n">
        <v>1842.53</v>
      </c>
      <c r="G2223" s="6" t="s">
        <v>15614</v>
      </c>
    </row>
    <row r="2224" customFormat="false" ht="15" hidden="false" customHeight="true" outlineLevel="0" collapsed="false">
      <c r="A2224" s="6" t="s">
        <v>17836</v>
      </c>
      <c r="B2224" s="6" t="s">
        <v>1565</v>
      </c>
      <c r="C2224" s="6" t="s">
        <v>116</v>
      </c>
      <c r="D2224" s="6" t="s">
        <v>40</v>
      </c>
      <c r="E2224" s="14" t="n">
        <v>1842.53</v>
      </c>
      <c r="F2224" s="14" t="n">
        <v>3685.06</v>
      </c>
      <c r="G2224" s="6" t="s">
        <v>15614</v>
      </c>
    </row>
    <row r="2225" customFormat="false" ht="15" hidden="false" customHeight="true" outlineLevel="0" collapsed="false">
      <c r="A2225" s="6" t="s">
        <v>17837</v>
      </c>
      <c r="B2225" s="6" t="s">
        <v>1565</v>
      </c>
      <c r="C2225" s="6" t="s">
        <v>116</v>
      </c>
      <c r="D2225" s="6" t="s">
        <v>41</v>
      </c>
      <c r="E2225" s="14" t="n">
        <v>1842.53</v>
      </c>
      <c r="F2225" s="14" t="n">
        <v>5527.59</v>
      </c>
      <c r="G2225" s="6" t="s">
        <v>15614</v>
      </c>
    </row>
    <row r="2226" customFormat="false" ht="15" hidden="false" customHeight="true" outlineLevel="0" collapsed="false">
      <c r="A2226" s="6" t="s">
        <v>17838</v>
      </c>
      <c r="B2226" s="6" t="s">
        <v>1565</v>
      </c>
      <c r="C2226" s="6" t="s">
        <v>116</v>
      </c>
      <c r="D2226" s="6" t="s">
        <v>42</v>
      </c>
      <c r="E2226" s="14" t="n">
        <v>1842.53</v>
      </c>
      <c r="F2226" s="14" t="n">
        <v>7370.12</v>
      </c>
      <c r="G2226" s="6" t="s">
        <v>15614</v>
      </c>
    </row>
    <row r="2227" customFormat="false" ht="15" hidden="false" customHeight="true" outlineLevel="0" collapsed="false">
      <c r="A2227" s="6" t="s">
        <v>17839</v>
      </c>
      <c r="B2227" s="6" t="s">
        <v>1565</v>
      </c>
      <c r="C2227" s="6" t="s">
        <v>116</v>
      </c>
      <c r="D2227" s="6" t="s">
        <v>43</v>
      </c>
      <c r="E2227" s="14" t="n">
        <v>1842.53</v>
      </c>
      <c r="F2227" s="14" t="n">
        <v>9212.65</v>
      </c>
      <c r="G2227" s="6" t="s">
        <v>15614</v>
      </c>
    </row>
    <row r="2228" customFormat="false" ht="15" hidden="false" customHeight="true" outlineLevel="0" collapsed="false">
      <c r="A2228" s="6" t="s">
        <v>17840</v>
      </c>
      <c r="B2228" s="6" t="s">
        <v>1565</v>
      </c>
      <c r="C2228" s="6" t="s">
        <v>116</v>
      </c>
      <c r="D2228" s="6" t="s">
        <v>44</v>
      </c>
      <c r="E2228" s="14" t="n">
        <v>1842.53</v>
      </c>
      <c r="F2228" s="14" t="n">
        <v>11055.18</v>
      </c>
      <c r="G2228" s="6" t="s">
        <v>15614</v>
      </c>
    </row>
    <row r="2229" customFormat="false" ht="15" hidden="false" customHeight="true" outlineLevel="0" collapsed="false">
      <c r="A2229" s="6" t="s">
        <v>17841</v>
      </c>
      <c r="B2229" s="6" t="s">
        <v>1565</v>
      </c>
      <c r="C2229" s="6" t="s">
        <v>116</v>
      </c>
      <c r="D2229" s="6" t="s">
        <v>45</v>
      </c>
      <c r="E2229" s="14" t="n">
        <v>1842.53</v>
      </c>
      <c r="F2229" s="14" t="n">
        <v>12897.71</v>
      </c>
      <c r="G2229" s="6" t="s">
        <v>15614</v>
      </c>
    </row>
    <row r="2230" customFormat="false" ht="15" hidden="false" customHeight="true" outlineLevel="0" collapsed="false">
      <c r="A2230" s="6" t="s">
        <v>17842</v>
      </c>
      <c r="B2230" s="6" t="s">
        <v>1565</v>
      </c>
      <c r="C2230" s="6" t="s">
        <v>116</v>
      </c>
      <c r="D2230" s="6" t="s">
        <v>46</v>
      </c>
      <c r="E2230" s="14" t="n">
        <v>1842.53</v>
      </c>
      <c r="F2230" s="14" t="n">
        <v>14740.24</v>
      </c>
      <c r="G2230" s="6" t="s">
        <v>15614</v>
      </c>
    </row>
    <row r="2231" customFormat="false" ht="15" hidden="false" customHeight="true" outlineLevel="0" collapsed="false">
      <c r="A2231" s="6" t="s">
        <v>17843</v>
      </c>
      <c r="B2231" s="6" t="s">
        <v>1567</v>
      </c>
      <c r="C2231" s="6" t="s">
        <v>116</v>
      </c>
      <c r="D2231" s="6" t="s">
        <v>40</v>
      </c>
      <c r="E2231" s="14" t="n">
        <v>751.94</v>
      </c>
      <c r="F2231" s="14" t="n">
        <v>751.94</v>
      </c>
      <c r="G2231" s="6" t="s">
        <v>15614</v>
      </c>
    </row>
    <row r="2232" customFormat="false" ht="15" hidden="false" customHeight="true" outlineLevel="0" collapsed="false">
      <c r="A2232" s="6" t="s">
        <v>17844</v>
      </c>
      <c r="B2232" s="6" t="s">
        <v>1567</v>
      </c>
      <c r="C2232" s="6" t="s">
        <v>116</v>
      </c>
      <c r="D2232" s="6" t="s">
        <v>41</v>
      </c>
      <c r="E2232" s="14" t="n">
        <v>751.94</v>
      </c>
      <c r="F2232" s="14" t="n">
        <v>1503.88</v>
      </c>
      <c r="G2232" s="6" t="s">
        <v>15614</v>
      </c>
    </row>
    <row r="2233" customFormat="false" ht="15" hidden="false" customHeight="true" outlineLevel="0" collapsed="false">
      <c r="A2233" s="6" t="s">
        <v>17845</v>
      </c>
      <c r="B2233" s="6" t="s">
        <v>1567</v>
      </c>
      <c r="C2233" s="6" t="s">
        <v>116</v>
      </c>
      <c r="D2233" s="6" t="s">
        <v>42</v>
      </c>
      <c r="E2233" s="14" t="n">
        <v>751.94</v>
      </c>
      <c r="F2233" s="14" t="n">
        <v>2255.82</v>
      </c>
      <c r="G2233" s="6" t="s">
        <v>15614</v>
      </c>
    </row>
    <row r="2234" customFormat="false" ht="15" hidden="false" customHeight="true" outlineLevel="0" collapsed="false">
      <c r="A2234" s="6" t="s">
        <v>17846</v>
      </c>
      <c r="B2234" s="6" t="s">
        <v>1569</v>
      </c>
      <c r="C2234" s="6" t="s">
        <v>112</v>
      </c>
      <c r="D2234" s="6" t="s">
        <v>51</v>
      </c>
      <c r="E2234" s="14" t="n">
        <v>3606.41</v>
      </c>
      <c r="F2234" s="14" t="n">
        <v>3606.41</v>
      </c>
      <c r="G2234" s="6" t="s">
        <v>15614</v>
      </c>
    </row>
    <row r="2235" customFormat="false" ht="15" hidden="false" customHeight="true" outlineLevel="0" collapsed="false">
      <c r="A2235" s="6" t="s">
        <v>17847</v>
      </c>
      <c r="B2235" s="6" t="s">
        <v>1569</v>
      </c>
      <c r="C2235" s="6" t="s">
        <v>112</v>
      </c>
      <c r="D2235" s="6" t="s">
        <v>52</v>
      </c>
      <c r="E2235" s="14" t="n">
        <v>3606.41</v>
      </c>
      <c r="F2235" s="14" t="n">
        <v>7212.82</v>
      </c>
      <c r="G2235" s="6" t="s">
        <v>15614</v>
      </c>
    </row>
    <row r="2236" customFormat="false" ht="15" hidden="false" customHeight="true" outlineLevel="0" collapsed="false">
      <c r="A2236" s="6" t="s">
        <v>17848</v>
      </c>
      <c r="B2236" s="6" t="s">
        <v>1571</v>
      </c>
      <c r="C2236" s="6" t="s">
        <v>124</v>
      </c>
      <c r="D2236" s="6" t="s">
        <v>13</v>
      </c>
      <c r="E2236" s="14" t="n">
        <v>403.06</v>
      </c>
      <c r="F2236" s="14" t="n">
        <v>403.06</v>
      </c>
      <c r="G2236" s="6" t="s">
        <v>15614</v>
      </c>
    </row>
    <row r="2237" customFormat="false" ht="15" hidden="false" customHeight="true" outlineLevel="0" collapsed="false">
      <c r="A2237" s="6" t="s">
        <v>17849</v>
      </c>
      <c r="B2237" s="6" t="s">
        <v>1571</v>
      </c>
      <c r="C2237" s="6" t="s">
        <v>124</v>
      </c>
      <c r="D2237" s="6" t="s">
        <v>14</v>
      </c>
      <c r="E2237" s="14" t="n">
        <v>403.06</v>
      </c>
      <c r="F2237" s="14" t="n">
        <v>806.12</v>
      </c>
      <c r="G2237" s="6" t="s">
        <v>15614</v>
      </c>
    </row>
    <row r="2238" customFormat="false" ht="15" hidden="false" customHeight="true" outlineLevel="0" collapsed="false">
      <c r="A2238" s="6" t="s">
        <v>17850</v>
      </c>
      <c r="B2238" s="6" t="s">
        <v>1573</v>
      </c>
      <c r="C2238" s="6" t="s">
        <v>112</v>
      </c>
      <c r="D2238" s="6" t="s">
        <v>23</v>
      </c>
      <c r="E2238" s="14" t="n">
        <v>943.38</v>
      </c>
      <c r="F2238" s="14" t="n">
        <v>943.38</v>
      </c>
      <c r="G2238" s="6" t="s">
        <v>15614</v>
      </c>
    </row>
    <row r="2239" customFormat="false" ht="15" hidden="false" customHeight="true" outlineLevel="0" collapsed="false">
      <c r="A2239" s="6" t="s">
        <v>17851</v>
      </c>
      <c r="B2239" s="6" t="s">
        <v>1573</v>
      </c>
      <c r="C2239" s="6" t="s">
        <v>112</v>
      </c>
      <c r="D2239" s="6" t="s">
        <v>24</v>
      </c>
      <c r="E2239" s="14" t="n">
        <v>943.38</v>
      </c>
      <c r="F2239" s="14" t="n">
        <v>1886.76</v>
      </c>
      <c r="G2239" s="6" t="s">
        <v>15614</v>
      </c>
    </row>
    <row r="2240" customFormat="false" ht="15" hidden="false" customHeight="true" outlineLevel="0" collapsed="false">
      <c r="A2240" s="6" t="s">
        <v>17852</v>
      </c>
      <c r="B2240" s="6" t="s">
        <v>1573</v>
      </c>
      <c r="C2240" s="6" t="s">
        <v>112</v>
      </c>
      <c r="D2240" s="6" t="s">
        <v>25</v>
      </c>
      <c r="E2240" s="14" t="n">
        <v>943.38</v>
      </c>
      <c r="F2240" s="14" t="n">
        <v>2830.14</v>
      </c>
      <c r="G2240" s="6" t="s">
        <v>15614</v>
      </c>
    </row>
    <row r="2241" customFormat="false" ht="15" hidden="false" customHeight="true" outlineLevel="0" collapsed="false">
      <c r="A2241" s="6" t="s">
        <v>17853</v>
      </c>
      <c r="B2241" s="6" t="s">
        <v>1575</v>
      </c>
      <c r="C2241" s="6" t="s">
        <v>128</v>
      </c>
      <c r="D2241" s="6" t="s">
        <v>17</v>
      </c>
      <c r="E2241" s="14" t="n">
        <v>1561.83</v>
      </c>
      <c r="F2241" s="14" t="n">
        <v>1561.83</v>
      </c>
      <c r="G2241" s="6" t="s">
        <v>15614</v>
      </c>
    </row>
    <row r="2242" customFormat="false" ht="15" hidden="false" customHeight="true" outlineLevel="0" collapsed="false">
      <c r="A2242" s="6" t="s">
        <v>17854</v>
      </c>
      <c r="B2242" s="6" t="s">
        <v>1575</v>
      </c>
      <c r="C2242" s="6" t="s">
        <v>128</v>
      </c>
      <c r="D2242" s="6" t="s">
        <v>18</v>
      </c>
      <c r="E2242" s="14" t="n">
        <v>1561.83</v>
      </c>
      <c r="F2242" s="14" t="n">
        <v>3123.66</v>
      </c>
      <c r="G2242" s="6" t="s">
        <v>15614</v>
      </c>
    </row>
    <row r="2243" customFormat="false" ht="15" hidden="false" customHeight="true" outlineLevel="0" collapsed="false">
      <c r="A2243" s="6" t="s">
        <v>17855</v>
      </c>
      <c r="B2243" s="6" t="s">
        <v>1577</v>
      </c>
      <c r="C2243" s="6" t="s">
        <v>124</v>
      </c>
      <c r="D2243" s="6" t="s">
        <v>13</v>
      </c>
      <c r="E2243" s="14" t="n">
        <v>2950.53</v>
      </c>
      <c r="F2243" s="14" t="n">
        <v>2950.53</v>
      </c>
      <c r="G2243" s="6" t="s">
        <v>15614</v>
      </c>
    </row>
    <row r="2244" customFormat="false" ht="15" hidden="false" customHeight="true" outlineLevel="0" collapsed="false">
      <c r="A2244" s="6" t="s">
        <v>17856</v>
      </c>
      <c r="B2244" s="6" t="s">
        <v>1577</v>
      </c>
      <c r="C2244" s="6" t="s">
        <v>124</v>
      </c>
      <c r="D2244" s="6" t="s">
        <v>13</v>
      </c>
      <c r="E2244" s="14" t="n">
        <v>2950.53</v>
      </c>
      <c r="F2244" s="14" t="n">
        <v>5901.06</v>
      </c>
      <c r="G2244" s="6" t="s">
        <v>15614</v>
      </c>
    </row>
    <row r="2245" customFormat="false" ht="15" hidden="false" customHeight="true" outlineLevel="0" collapsed="false">
      <c r="A2245" s="6" t="s">
        <v>17857</v>
      </c>
      <c r="B2245" s="6" t="s">
        <v>1577</v>
      </c>
      <c r="C2245" s="6" t="s">
        <v>124</v>
      </c>
      <c r="D2245" s="6" t="s">
        <v>14</v>
      </c>
      <c r="E2245" s="14" t="n">
        <v>2950.53</v>
      </c>
      <c r="F2245" s="14" t="n">
        <v>8851.59</v>
      </c>
      <c r="G2245" s="6" t="s">
        <v>15614</v>
      </c>
    </row>
    <row r="2246" customFormat="false" ht="15" hidden="false" customHeight="true" outlineLevel="0" collapsed="false">
      <c r="A2246" s="6" t="s">
        <v>17858</v>
      </c>
      <c r="B2246" s="6" t="s">
        <v>1579</v>
      </c>
      <c r="C2246" s="6" t="s">
        <v>120</v>
      </c>
      <c r="D2246" s="6" t="s">
        <v>52</v>
      </c>
      <c r="E2246" s="14" t="n">
        <v>2861.62</v>
      </c>
      <c r="F2246" s="14" t="n">
        <v>2861.62</v>
      </c>
      <c r="G2246" s="6" t="s">
        <v>15614</v>
      </c>
    </row>
    <row r="2247" customFormat="false" ht="15" hidden="false" customHeight="true" outlineLevel="0" collapsed="false">
      <c r="A2247" s="6" t="s">
        <v>17859</v>
      </c>
      <c r="B2247" s="6" t="s">
        <v>1579</v>
      </c>
      <c r="C2247" s="6" t="s">
        <v>120</v>
      </c>
      <c r="D2247" s="6" t="s">
        <v>53</v>
      </c>
      <c r="E2247" s="14" t="n">
        <v>2861.62</v>
      </c>
      <c r="F2247" s="14" t="n">
        <v>5723.24</v>
      </c>
      <c r="G2247" s="6" t="s">
        <v>15614</v>
      </c>
    </row>
    <row r="2248" customFormat="false" ht="15" hidden="false" customHeight="true" outlineLevel="0" collapsed="false">
      <c r="A2248" s="6" t="s">
        <v>17860</v>
      </c>
      <c r="B2248" s="6" t="s">
        <v>1581</v>
      </c>
      <c r="C2248" s="6" t="s">
        <v>116</v>
      </c>
      <c r="D2248" s="6" t="s">
        <v>31</v>
      </c>
      <c r="E2248" s="14" t="n">
        <v>4338.18</v>
      </c>
      <c r="F2248" s="14" t="n">
        <v>4338.18</v>
      </c>
      <c r="G2248" s="6" t="s">
        <v>15614</v>
      </c>
    </row>
    <row r="2249" customFormat="false" ht="15" hidden="false" customHeight="true" outlineLevel="0" collapsed="false">
      <c r="A2249" s="6" t="s">
        <v>17861</v>
      </c>
      <c r="B2249" s="6" t="s">
        <v>1581</v>
      </c>
      <c r="C2249" s="6" t="s">
        <v>116</v>
      </c>
      <c r="D2249" s="6" t="s">
        <v>32</v>
      </c>
      <c r="E2249" s="14" t="n">
        <v>4338.18</v>
      </c>
      <c r="F2249" s="14" t="n">
        <v>8676.36</v>
      </c>
      <c r="G2249" s="6" t="s">
        <v>15614</v>
      </c>
    </row>
    <row r="2250" customFormat="false" ht="15" hidden="false" customHeight="true" outlineLevel="0" collapsed="false">
      <c r="A2250" s="6" t="s">
        <v>17862</v>
      </c>
      <c r="B2250" s="6" t="s">
        <v>1581</v>
      </c>
      <c r="C2250" s="6" t="s">
        <v>116</v>
      </c>
      <c r="D2250" s="6" t="s">
        <v>33</v>
      </c>
      <c r="E2250" s="14" t="n">
        <v>4338.18</v>
      </c>
      <c r="F2250" s="14" t="n">
        <v>13014.54</v>
      </c>
      <c r="G2250" s="6" t="s">
        <v>15614</v>
      </c>
    </row>
    <row r="2251" customFormat="false" ht="15" hidden="false" customHeight="true" outlineLevel="0" collapsed="false">
      <c r="A2251" s="6" t="s">
        <v>17863</v>
      </c>
      <c r="B2251" s="6" t="s">
        <v>1581</v>
      </c>
      <c r="C2251" s="6" t="s">
        <v>116</v>
      </c>
      <c r="D2251" s="6" t="s">
        <v>34</v>
      </c>
      <c r="E2251" s="14" t="n">
        <v>4338.18</v>
      </c>
      <c r="F2251" s="14" t="n">
        <v>17352.72</v>
      </c>
      <c r="G2251" s="6" t="s">
        <v>15614</v>
      </c>
    </row>
    <row r="2252" customFormat="false" ht="15" hidden="false" customHeight="true" outlineLevel="0" collapsed="false">
      <c r="A2252" s="6" t="s">
        <v>17864</v>
      </c>
      <c r="B2252" s="6" t="s">
        <v>1581</v>
      </c>
      <c r="C2252" s="6" t="s">
        <v>116</v>
      </c>
      <c r="D2252" s="6" t="s">
        <v>35</v>
      </c>
      <c r="E2252" s="14" t="n">
        <v>4338.18</v>
      </c>
      <c r="F2252" s="14" t="n">
        <v>21690.9</v>
      </c>
      <c r="G2252" s="6" t="s">
        <v>15614</v>
      </c>
    </row>
    <row r="2253" customFormat="false" ht="15" hidden="false" customHeight="true" outlineLevel="0" collapsed="false">
      <c r="A2253" s="6" t="s">
        <v>17865</v>
      </c>
      <c r="B2253" s="6" t="s">
        <v>1583</v>
      </c>
      <c r="C2253" s="6" t="s">
        <v>116</v>
      </c>
      <c r="D2253" s="6" t="s">
        <v>53</v>
      </c>
      <c r="E2253" s="14" t="n">
        <v>224.61</v>
      </c>
      <c r="F2253" s="14" t="n">
        <v>224.61</v>
      </c>
      <c r="G2253" s="6" t="s">
        <v>15614</v>
      </c>
    </row>
    <row r="2254" customFormat="false" ht="15" hidden="false" customHeight="true" outlineLevel="0" collapsed="false">
      <c r="A2254" s="6" t="s">
        <v>17866</v>
      </c>
      <c r="B2254" s="6" t="s">
        <v>1583</v>
      </c>
      <c r="C2254" s="6" t="s">
        <v>116</v>
      </c>
      <c r="D2254" s="6" t="s">
        <v>54</v>
      </c>
      <c r="E2254" s="14" t="n">
        <v>224.61</v>
      </c>
      <c r="F2254" s="14" t="n">
        <v>449.22</v>
      </c>
      <c r="G2254" s="6" t="s">
        <v>15614</v>
      </c>
    </row>
    <row r="2255" customFormat="false" ht="15" hidden="false" customHeight="true" outlineLevel="0" collapsed="false">
      <c r="A2255" s="6" t="s">
        <v>17867</v>
      </c>
      <c r="B2255" s="6" t="s">
        <v>1583</v>
      </c>
      <c r="C2255" s="6" t="s">
        <v>116</v>
      </c>
      <c r="D2255" s="6" t="s">
        <v>55</v>
      </c>
      <c r="E2255" s="14" t="n">
        <v>224.61</v>
      </c>
      <c r="F2255" s="14" t="n">
        <v>673.83</v>
      </c>
      <c r="G2255" s="6" t="s">
        <v>15614</v>
      </c>
    </row>
    <row r="2256" customFormat="false" ht="15" hidden="false" customHeight="true" outlineLevel="0" collapsed="false">
      <c r="A2256" s="6" t="s">
        <v>17868</v>
      </c>
      <c r="B2256" s="6" t="s">
        <v>1585</v>
      </c>
      <c r="C2256" s="6" t="s">
        <v>112</v>
      </c>
      <c r="D2256" s="6" t="s">
        <v>50</v>
      </c>
      <c r="E2256" s="14" t="n">
        <v>1171.73</v>
      </c>
      <c r="F2256" s="14" t="n">
        <v>1171.73</v>
      </c>
      <c r="G2256" s="6" t="s">
        <v>15614</v>
      </c>
    </row>
    <row r="2257" customFormat="false" ht="15" hidden="false" customHeight="true" outlineLevel="0" collapsed="false">
      <c r="A2257" s="6" t="s">
        <v>17869</v>
      </c>
      <c r="B2257" s="6" t="s">
        <v>1585</v>
      </c>
      <c r="C2257" s="6" t="s">
        <v>112</v>
      </c>
      <c r="D2257" s="6" t="s">
        <v>51</v>
      </c>
      <c r="E2257" s="14" t="n">
        <v>1171.73</v>
      </c>
      <c r="F2257" s="14" t="n">
        <v>2343.46</v>
      </c>
      <c r="G2257" s="6" t="s">
        <v>15614</v>
      </c>
    </row>
    <row r="2258" customFormat="false" ht="15" hidden="false" customHeight="true" outlineLevel="0" collapsed="false">
      <c r="A2258" s="6" t="s">
        <v>17870</v>
      </c>
      <c r="B2258" s="6" t="s">
        <v>1585</v>
      </c>
      <c r="C2258" s="6" t="s">
        <v>112</v>
      </c>
      <c r="D2258" s="6" t="s">
        <v>52</v>
      </c>
      <c r="E2258" s="14" t="n">
        <v>1171.73</v>
      </c>
      <c r="F2258" s="14" t="n">
        <v>3515.19</v>
      </c>
      <c r="G2258" s="6" t="s">
        <v>15614</v>
      </c>
    </row>
    <row r="2259" customFormat="false" ht="15" hidden="false" customHeight="true" outlineLevel="0" collapsed="false">
      <c r="A2259" s="6" t="s">
        <v>17871</v>
      </c>
      <c r="B2259" s="6" t="s">
        <v>1587</v>
      </c>
      <c r="C2259" s="6" t="s">
        <v>112</v>
      </c>
      <c r="D2259" s="6" t="s">
        <v>20</v>
      </c>
      <c r="E2259" s="14" t="n">
        <v>1048.08</v>
      </c>
      <c r="F2259" s="14" t="n">
        <v>1048.08</v>
      </c>
      <c r="G2259" s="6" t="s">
        <v>15614</v>
      </c>
    </row>
    <row r="2260" customFormat="false" ht="15" hidden="false" customHeight="true" outlineLevel="0" collapsed="false">
      <c r="A2260" s="6" t="s">
        <v>17872</v>
      </c>
      <c r="B2260" s="6" t="s">
        <v>1587</v>
      </c>
      <c r="C2260" s="6" t="s">
        <v>112</v>
      </c>
      <c r="D2260" s="6" t="s">
        <v>21</v>
      </c>
      <c r="E2260" s="14" t="n">
        <v>1048.08</v>
      </c>
      <c r="F2260" s="14" t="n">
        <v>2096.16</v>
      </c>
      <c r="G2260" s="6" t="s">
        <v>15614</v>
      </c>
    </row>
    <row r="2261" customFormat="false" ht="15" hidden="false" customHeight="true" outlineLevel="0" collapsed="false">
      <c r="A2261" s="6" t="s">
        <v>17873</v>
      </c>
      <c r="B2261" s="6" t="s">
        <v>1587</v>
      </c>
      <c r="C2261" s="6" t="s">
        <v>112</v>
      </c>
      <c r="D2261" s="6" t="s">
        <v>22</v>
      </c>
      <c r="E2261" s="14" t="n">
        <v>1048.08</v>
      </c>
      <c r="F2261" s="14" t="n">
        <v>3144.24</v>
      </c>
      <c r="G2261" s="6" t="s">
        <v>15614</v>
      </c>
    </row>
    <row r="2262" customFormat="false" ht="15" hidden="false" customHeight="true" outlineLevel="0" collapsed="false">
      <c r="A2262" s="6" t="s">
        <v>17874</v>
      </c>
      <c r="B2262" s="6" t="s">
        <v>1589</v>
      </c>
      <c r="C2262" s="6" t="s">
        <v>120</v>
      </c>
      <c r="D2262" s="6" t="s">
        <v>26</v>
      </c>
      <c r="E2262" s="14" t="n">
        <v>342.35</v>
      </c>
      <c r="F2262" s="14" t="n">
        <v>342.35</v>
      </c>
      <c r="G2262" s="6" t="s">
        <v>15614</v>
      </c>
    </row>
    <row r="2263" customFormat="false" ht="15" hidden="false" customHeight="true" outlineLevel="0" collapsed="false">
      <c r="A2263" s="6" t="s">
        <v>17875</v>
      </c>
      <c r="B2263" s="6" t="s">
        <v>1589</v>
      </c>
      <c r="C2263" s="6" t="s">
        <v>120</v>
      </c>
      <c r="D2263" s="6" t="s">
        <v>27</v>
      </c>
      <c r="E2263" s="14" t="n">
        <v>342.35</v>
      </c>
      <c r="F2263" s="14" t="n">
        <v>684.7</v>
      </c>
      <c r="G2263" s="6" t="s">
        <v>15614</v>
      </c>
    </row>
    <row r="2264" customFormat="false" ht="15" hidden="false" customHeight="true" outlineLevel="0" collapsed="false">
      <c r="A2264" s="6" t="s">
        <v>17876</v>
      </c>
      <c r="B2264" s="6" t="s">
        <v>1591</v>
      </c>
      <c r="C2264" s="6" t="s">
        <v>120</v>
      </c>
      <c r="D2264" s="6" t="s">
        <v>20</v>
      </c>
      <c r="E2264" s="14" t="n">
        <v>2077.57</v>
      </c>
      <c r="F2264" s="14" t="n">
        <v>2077.57</v>
      </c>
      <c r="G2264" s="6" t="s">
        <v>15614</v>
      </c>
    </row>
    <row r="2265" customFormat="false" ht="15" hidden="false" customHeight="true" outlineLevel="0" collapsed="false">
      <c r="A2265" s="6" t="s">
        <v>17877</v>
      </c>
      <c r="B2265" s="6" t="s">
        <v>1591</v>
      </c>
      <c r="C2265" s="6" t="s">
        <v>120</v>
      </c>
      <c r="D2265" s="6" t="s">
        <v>21</v>
      </c>
      <c r="E2265" s="14" t="n">
        <v>2077.57</v>
      </c>
      <c r="F2265" s="14" t="n">
        <v>4155.14</v>
      </c>
      <c r="G2265" s="6" t="s">
        <v>15614</v>
      </c>
    </row>
    <row r="2266" customFormat="false" ht="15" hidden="false" customHeight="true" outlineLevel="0" collapsed="false">
      <c r="A2266" s="6" t="s">
        <v>17878</v>
      </c>
      <c r="B2266" s="6" t="s">
        <v>1593</v>
      </c>
      <c r="C2266" s="6" t="s">
        <v>124</v>
      </c>
      <c r="D2266" s="6" t="s">
        <v>39</v>
      </c>
      <c r="E2266" s="14" t="n">
        <v>3736.06</v>
      </c>
      <c r="F2266" s="14" t="n">
        <v>3736.06</v>
      </c>
      <c r="G2266" s="6" t="s">
        <v>15614</v>
      </c>
    </row>
    <row r="2267" customFormat="false" ht="15" hidden="false" customHeight="true" outlineLevel="0" collapsed="false">
      <c r="A2267" s="6" t="s">
        <v>17879</v>
      </c>
      <c r="B2267" s="6" t="s">
        <v>1593</v>
      </c>
      <c r="C2267" s="6" t="s">
        <v>124</v>
      </c>
      <c r="D2267" s="6" t="s">
        <v>40</v>
      </c>
      <c r="E2267" s="14" t="n">
        <v>3736.06</v>
      </c>
      <c r="F2267" s="14" t="n">
        <v>7472.12</v>
      </c>
      <c r="G2267" s="6" t="s">
        <v>15614</v>
      </c>
    </row>
    <row r="2268" customFormat="false" ht="15" hidden="false" customHeight="true" outlineLevel="0" collapsed="false">
      <c r="A2268" s="6" t="s">
        <v>17880</v>
      </c>
      <c r="B2268" s="6" t="s">
        <v>1593</v>
      </c>
      <c r="C2268" s="6" t="s">
        <v>124</v>
      </c>
      <c r="D2268" s="6" t="s">
        <v>41</v>
      </c>
      <c r="E2268" s="14" t="n">
        <v>3736.06</v>
      </c>
      <c r="F2268" s="14" t="n">
        <v>11208.18</v>
      </c>
      <c r="G2268" s="6" t="s">
        <v>15614</v>
      </c>
    </row>
    <row r="2269" customFormat="false" ht="15" hidden="false" customHeight="true" outlineLevel="0" collapsed="false">
      <c r="A2269" s="6" t="s">
        <v>17881</v>
      </c>
      <c r="B2269" s="6" t="s">
        <v>1593</v>
      </c>
      <c r="C2269" s="6" t="s">
        <v>124</v>
      </c>
      <c r="D2269" s="6" t="s">
        <v>42</v>
      </c>
      <c r="E2269" s="14" t="n">
        <v>3736.06</v>
      </c>
      <c r="F2269" s="14" t="n">
        <v>14944.24</v>
      </c>
      <c r="G2269" s="6" t="s">
        <v>15614</v>
      </c>
    </row>
    <row r="2270" customFormat="false" ht="15" hidden="false" customHeight="true" outlineLevel="0" collapsed="false">
      <c r="A2270" s="6" t="s">
        <v>17882</v>
      </c>
      <c r="B2270" s="6" t="s">
        <v>1593</v>
      </c>
      <c r="C2270" s="6" t="s">
        <v>124</v>
      </c>
      <c r="D2270" s="6" t="s">
        <v>43</v>
      </c>
      <c r="E2270" s="14" t="n">
        <v>3736.06</v>
      </c>
      <c r="F2270" s="14" t="n">
        <v>18680.3</v>
      </c>
      <c r="G2270" s="6" t="s">
        <v>15614</v>
      </c>
    </row>
    <row r="2271" customFormat="false" ht="15" hidden="false" customHeight="true" outlineLevel="0" collapsed="false">
      <c r="A2271" s="6" t="s">
        <v>17883</v>
      </c>
      <c r="B2271" s="6" t="s">
        <v>1593</v>
      </c>
      <c r="C2271" s="6" t="s">
        <v>124</v>
      </c>
      <c r="D2271" s="6" t="s">
        <v>44</v>
      </c>
      <c r="E2271" s="14" t="n">
        <v>3736.06</v>
      </c>
      <c r="F2271" s="14" t="n">
        <v>22416.36</v>
      </c>
      <c r="G2271" s="6" t="s">
        <v>15614</v>
      </c>
    </row>
    <row r="2272" customFormat="false" ht="15" hidden="false" customHeight="true" outlineLevel="0" collapsed="false">
      <c r="A2272" s="6" t="s">
        <v>17884</v>
      </c>
      <c r="B2272" s="6" t="s">
        <v>1595</v>
      </c>
      <c r="C2272" s="6" t="s">
        <v>116</v>
      </c>
      <c r="D2272" s="6" t="s">
        <v>21</v>
      </c>
      <c r="E2272" s="14" t="n">
        <v>707.51</v>
      </c>
      <c r="F2272" s="14" t="n">
        <v>707.51</v>
      </c>
      <c r="G2272" s="6" t="s">
        <v>15614</v>
      </c>
    </row>
    <row r="2273" customFormat="false" ht="15" hidden="false" customHeight="true" outlineLevel="0" collapsed="false">
      <c r="A2273" s="6" t="s">
        <v>17885</v>
      </c>
      <c r="B2273" s="6" t="s">
        <v>1595</v>
      </c>
      <c r="C2273" s="6" t="s">
        <v>116</v>
      </c>
      <c r="D2273" s="6" t="s">
        <v>22</v>
      </c>
      <c r="E2273" s="14" t="n">
        <v>707.51</v>
      </c>
      <c r="F2273" s="14" t="n">
        <v>1415.02</v>
      </c>
      <c r="G2273" s="6" t="s">
        <v>15614</v>
      </c>
    </row>
    <row r="2274" customFormat="false" ht="15" hidden="false" customHeight="true" outlineLevel="0" collapsed="false">
      <c r="A2274" s="6" t="s">
        <v>17886</v>
      </c>
      <c r="B2274" s="6" t="s">
        <v>1595</v>
      </c>
      <c r="C2274" s="6" t="s">
        <v>116</v>
      </c>
      <c r="D2274" s="6" t="s">
        <v>23</v>
      </c>
      <c r="E2274" s="14" t="n">
        <v>707.51</v>
      </c>
      <c r="F2274" s="14" t="n">
        <v>2122.53</v>
      </c>
      <c r="G2274" s="6" t="s">
        <v>15614</v>
      </c>
    </row>
    <row r="2275" customFormat="false" ht="15" hidden="false" customHeight="true" outlineLevel="0" collapsed="false">
      <c r="A2275" s="6" t="s">
        <v>17887</v>
      </c>
      <c r="B2275" s="6" t="s">
        <v>1595</v>
      </c>
      <c r="C2275" s="6" t="s">
        <v>116</v>
      </c>
      <c r="D2275" s="6" t="s">
        <v>24</v>
      </c>
      <c r="E2275" s="14" t="n">
        <v>707.51</v>
      </c>
      <c r="F2275" s="14" t="n">
        <v>2830.04</v>
      </c>
      <c r="G2275" s="6" t="s">
        <v>15614</v>
      </c>
    </row>
    <row r="2276" customFormat="false" ht="15" hidden="false" customHeight="true" outlineLevel="0" collapsed="false">
      <c r="A2276" s="6" t="s">
        <v>17888</v>
      </c>
      <c r="B2276" s="6" t="s">
        <v>1597</v>
      </c>
      <c r="C2276" s="6" t="s">
        <v>124</v>
      </c>
      <c r="D2276" s="6" t="s">
        <v>38</v>
      </c>
      <c r="E2276" s="14" t="n">
        <v>2215.21</v>
      </c>
      <c r="F2276" s="14" t="n">
        <v>2215.21</v>
      </c>
      <c r="G2276" s="6" t="s">
        <v>15614</v>
      </c>
    </row>
    <row r="2277" customFormat="false" ht="15" hidden="false" customHeight="true" outlineLevel="0" collapsed="false">
      <c r="A2277" s="6" t="s">
        <v>17889</v>
      </c>
      <c r="B2277" s="6" t="s">
        <v>1597</v>
      </c>
      <c r="C2277" s="6" t="s">
        <v>124</v>
      </c>
      <c r="D2277" s="6" t="s">
        <v>39</v>
      </c>
      <c r="E2277" s="14" t="n">
        <v>2215.21</v>
      </c>
      <c r="F2277" s="14" t="n">
        <v>4430.42</v>
      </c>
      <c r="G2277" s="6" t="s">
        <v>15614</v>
      </c>
    </row>
    <row r="2278" customFormat="false" ht="15" hidden="false" customHeight="true" outlineLevel="0" collapsed="false">
      <c r="A2278" s="6" t="s">
        <v>17890</v>
      </c>
      <c r="B2278" s="6" t="s">
        <v>1599</v>
      </c>
      <c r="C2278" s="6" t="s">
        <v>120</v>
      </c>
      <c r="D2278" s="6" t="s">
        <v>29</v>
      </c>
      <c r="E2278" s="14" t="n">
        <v>2553.77</v>
      </c>
      <c r="F2278" s="14" t="n">
        <v>2553.77</v>
      </c>
      <c r="G2278" s="6" t="s">
        <v>15614</v>
      </c>
    </row>
    <row r="2279" customFormat="false" ht="15" hidden="false" customHeight="true" outlineLevel="0" collapsed="false">
      <c r="A2279" s="6" t="s">
        <v>17891</v>
      </c>
      <c r="B2279" s="6" t="s">
        <v>1599</v>
      </c>
      <c r="C2279" s="6" t="s">
        <v>120</v>
      </c>
      <c r="D2279" s="6" t="s">
        <v>30</v>
      </c>
      <c r="E2279" s="14" t="n">
        <v>2553.77</v>
      </c>
      <c r="F2279" s="14" t="n">
        <v>5107.54</v>
      </c>
      <c r="G2279" s="6" t="s">
        <v>15614</v>
      </c>
    </row>
    <row r="2280" customFormat="false" ht="15" hidden="false" customHeight="true" outlineLevel="0" collapsed="false">
      <c r="A2280" s="6" t="s">
        <v>17892</v>
      </c>
      <c r="B2280" s="6" t="s">
        <v>1599</v>
      </c>
      <c r="C2280" s="6" t="s">
        <v>120</v>
      </c>
      <c r="D2280" s="6" t="s">
        <v>31</v>
      </c>
      <c r="E2280" s="14" t="n">
        <v>2553.77</v>
      </c>
      <c r="F2280" s="14" t="n">
        <v>7661.31</v>
      </c>
      <c r="G2280" s="6" t="s">
        <v>15614</v>
      </c>
    </row>
    <row r="2281" customFormat="false" ht="15" hidden="false" customHeight="true" outlineLevel="0" collapsed="false">
      <c r="A2281" s="6" t="s">
        <v>17893</v>
      </c>
      <c r="B2281" s="6" t="s">
        <v>1599</v>
      </c>
      <c r="C2281" s="6" t="s">
        <v>120</v>
      </c>
      <c r="D2281" s="6" t="s">
        <v>32</v>
      </c>
      <c r="E2281" s="14" t="n">
        <v>2553.77</v>
      </c>
      <c r="F2281" s="14" t="n">
        <v>10215.08</v>
      </c>
      <c r="G2281" s="6" t="s">
        <v>15614</v>
      </c>
    </row>
    <row r="2282" customFormat="false" ht="15" hidden="false" customHeight="true" outlineLevel="0" collapsed="false">
      <c r="A2282" s="6" t="s">
        <v>17894</v>
      </c>
      <c r="B2282" s="6" t="s">
        <v>1601</v>
      </c>
      <c r="C2282" s="6" t="s">
        <v>116</v>
      </c>
      <c r="D2282" s="6" t="s">
        <v>56</v>
      </c>
      <c r="E2282" s="14" t="n">
        <v>2014.45</v>
      </c>
      <c r="F2282" s="14" t="n">
        <v>2014.45</v>
      </c>
      <c r="G2282" s="6" t="s">
        <v>15614</v>
      </c>
    </row>
    <row r="2283" customFormat="false" ht="15" hidden="false" customHeight="true" outlineLevel="0" collapsed="false">
      <c r="A2283" s="6" t="s">
        <v>17895</v>
      </c>
      <c r="B2283" s="6" t="s">
        <v>1601</v>
      </c>
      <c r="C2283" s="6" t="s">
        <v>116</v>
      </c>
      <c r="D2283" s="6" t="s">
        <v>57</v>
      </c>
      <c r="E2283" s="14" t="n">
        <v>2014.45</v>
      </c>
      <c r="F2283" s="14" t="n">
        <v>4028.9</v>
      </c>
      <c r="G2283" s="6" t="s">
        <v>15614</v>
      </c>
    </row>
    <row r="2284" customFormat="false" ht="15" hidden="false" customHeight="true" outlineLevel="0" collapsed="false">
      <c r="A2284" s="6" t="s">
        <v>17896</v>
      </c>
      <c r="B2284" s="6" t="s">
        <v>1601</v>
      </c>
      <c r="C2284" s="6" t="s">
        <v>116</v>
      </c>
      <c r="D2284" s="6" t="s">
        <v>58</v>
      </c>
      <c r="E2284" s="14" t="n">
        <v>2014.45</v>
      </c>
      <c r="F2284" s="14" t="n">
        <v>6043.35</v>
      </c>
      <c r="G2284" s="6" t="s">
        <v>15614</v>
      </c>
    </row>
    <row r="2285" customFormat="false" ht="15" hidden="false" customHeight="true" outlineLevel="0" collapsed="false">
      <c r="A2285" s="6" t="s">
        <v>17897</v>
      </c>
      <c r="B2285" s="6" t="s">
        <v>1601</v>
      </c>
      <c r="C2285" s="6" t="s">
        <v>116</v>
      </c>
      <c r="D2285" s="6" t="s">
        <v>59</v>
      </c>
      <c r="E2285" s="14" t="n">
        <v>2014.45</v>
      </c>
      <c r="F2285" s="14" t="n">
        <v>8057.8</v>
      </c>
      <c r="G2285" s="6" t="s">
        <v>15614</v>
      </c>
    </row>
    <row r="2286" customFormat="false" ht="15" hidden="false" customHeight="true" outlineLevel="0" collapsed="false">
      <c r="A2286" s="6" t="s">
        <v>17898</v>
      </c>
      <c r="B2286" s="6" t="s">
        <v>1603</v>
      </c>
      <c r="C2286" s="6" t="s">
        <v>120</v>
      </c>
      <c r="D2286" s="6" t="s">
        <v>52</v>
      </c>
      <c r="E2286" s="14" t="n">
        <v>587.07</v>
      </c>
      <c r="F2286" s="14" t="n">
        <v>587.07</v>
      </c>
      <c r="G2286" s="6" t="s">
        <v>15614</v>
      </c>
    </row>
    <row r="2287" customFormat="false" ht="15" hidden="false" customHeight="true" outlineLevel="0" collapsed="false">
      <c r="A2287" s="6" t="s">
        <v>17899</v>
      </c>
      <c r="B2287" s="6" t="s">
        <v>1603</v>
      </c>
      <c r="C2287" s="6" t="s">
        <v>120</v>
      </c>
      <c r="D2287" s="6" t="s">
        <v>53</v>
      </c>
      <c r="E2287" s="14" t="n">
        <v>587.07</v>
      </c>
      <c r="F2287" s="14" t="n">
        <v>1174.14</v>
      </c>
      <c r="G2287" s="6" t="s">
        <v>15614</v>
      </c>
    </row>
    <row r="2288" customFormat="false" ht="15" hidden="false" customHeight="true" outlineLevel="0" collapsed="false">
      <c r="A2288" s="6" t="s">
        <v>17900</v>
      </c>
      <c r="B2288" s="6" t="s">
        <v>1603</v>
      </c>
      <c r="C2288" s="6" t="s">
        <v>120</v>
      </c>
      <c r="D2288" s="6" t="s">
        <v>54</v>
      </c>
      <c r="E2288" s="14" t="n">
        <v>587.07</v>
      </c>
      <c r="F2288" s="14" t="n">
        <v>1761.21</v>
      </c>
      <c r="G2288" s="6" t="s">
        <v>15614</v>
      </c>
    </row>
    <row r="2289" customFormat="false" ht="15" hidden="false" customHeight="true" outlineLevel="0" collapsed="false">
      <c r="A2289" s="6" t="s">
        <v>17901</v>
      </c>
      <c r="B2289" s="6" t="s">
        <v>1603</v>
      </c>
      <c r="C2289" s="6" t="s">
        <v>120</v>
      </c>
      <c r="D2289" s="6" t="s">
        <v>55</v>
      </c>
      <c r="E2289" s="14" t="n">
        <v>587.07</v>
      </c>
      <c r="F2289" s="14" t="n">
        <v>2348.28</v>
      </c>
      <c r="G2289" s="6" t="s">
        <v>15614</v>
      </c>
    </row>
    <row r="2290" customFormat="false" ht="15" hidden="false" customHeight="true" outlineLevel="0" collapsed="false">
      <c r="A2290" s="6" t="s">
        <v>17902</v>
      </c>
      <c r="B2290" s="6" t="s">
        <v>1605</v>
      </c>
      <c r="C2290" s="6" t="s">
        <v>124</v>
      </c>
      <c r="D2290" s="6" t="s">
        <v>11</v>
      </c>
      <c r="E2290" s="14" t="n">
        <v>2147.28</v>
      </c>
      <c r="F2290" s="14" t="n">
        <v>2147.28</v>
      </c>
      <c r="G2290" s="6" t="s">
        <v>15614</v>
      </c>
    </row>
    <row r="2291" customFormat="false" ht="15" hidden="false" customHeight="true" outlineLevel="0" collapsed="false">
      <c r="A2291" s="6" t="s">
        <v>17903</v>
      </c>
      <c r="B2291" s="6" t="s">
        <v>1605</v>
      </c>
      <c r="C2291" s="6" t="s">
        <v>124</v>
      </c>
      <c r="D2291" s="6" t="s">
        <v>12</v>
      </c>
      <c r="E2291" s="14" t="n">
        <v>2147.28</v>
      </c>
      <c r="F2291" s="14" t="n">
        <v>4294.56</v>
      </c>
      <c r="G2291" s="6" t="s">
        <v>15614</v>
      </c>
    </row>
    <row r="2292" customFormat="false" ht="15" hidden="false" customHeight="true" outlineLevel="0" collapsed="false">
      <c r="A2292" s="6" t="s">
        <v>17904</v>
      </c>
      <c r="B2292" s="6" t="s">
        <v>1605</v>
      </c>
      <c r="C2292" s="6" t="s">
        <v>124</v>
      </c>
      <c r="D2292" s="6" t="s">
        <v>13</v>
      </c>
      <c r="E2292" s="14" t="n">
        <v>2147.28</v>
      </c>
      <c r="F2292" s="14" t="n">
        <v>6441.84</v>
      </c>
      <c r="G2292" s="6" t="s">
        <v>15614</v>
      </c>
    </row>
    <row r="2293" customFormat="false" ht="15" hidden="false" customHeight="true" outlineLevel="0" collapsed="false">
      <c r="A2293" s="6" t="s">
        <v>17905</v>
      </c>
      <c r="B2293" s="6" t="s">
        <v>1605</v>
      </c>
      <c r="C2293" s="6" t="s">
        <v>124</v>
      </c>
      <c r="D2293" s="6" t="s">
        <v>14</v>
      </c>
      <c r="E2293" s="14" t="n">
        <v>2147.28</v>
      </c>
      <c r="F2293" s="14" t="n">
        <v>8589.12</v>
      </c>
      <c r="G2293" s="6" t="s">
        <v>15614</v>
      </c>
    </row>
    <row r="2294" customFormat="false" ht="15" hidden="false" customHeight="true" outlineLevel="0" collapsed="false">
      <c r="A2294" s="6" t="s">
        <v>17906</v>
      </c>
      <c r="B2294" s="6" t="s">
        <v>1605</v>
      </c>
      <c r="C2294" s="6" t="s">
        <v>124</v>
      </c>
      <c r="D2294" s="6" t="s">
        <v>15</v>
      </c>
      <c r="E2294" s="14" t="n">
        <v>2147.28</v>
      </c>
      <c r="F2294" s="14" t="n">
        <v>10736.4</v>
      </c>
      <c r="G2294" s="6" t="s">
        <v>15614</v>
      </c>
    </row>
    <row r="2295" customFormat="false" ht="15" hidden="false" customHeight="true" outlineLevel="0" collapsed="false">
      <c r="A2295" s="6" t="s">
        <v>17907</v>
      </c>
      <c r="B2295" s="6" t="s">
        <v>1605</v>
      </c>
      <c r="C2295" s="6" t="s">
        <v>124</v>
      </c>
      <c r="D2295" s="6" t="s">
        <v>16</v>
      </c>
      <c r="E2295" s="14" t="n">
        <v>2147.28</v>
      </c>
      <c r="F2295" s="14" t="n">
        <v>12883.68</v>
      </c>
      <c r="G2295" s="6" t="s">
        <v>15614</v>
      </c>
    </row>
    <row r="2296" customFormat="false" ht="15" hidden="false" customHeight="true" outlineLevel="0" collapsed="false">
      <c r="A2296" s="6" t="s">
        <v>17908</v>
      </c>
      <c r="B2296" s="6" t="s">
        <v>1607</v>
      </c>
      <c r="C2296" s="6" t="s">
        <v>116</v>
      </c>
      <c r="D2296" s="6" t="s">
        <v>16</v>
      </c>
      <c r="E2296" s="14" t="n">
        <v>4503.8</v>
      </c>
      <c r="F2296" s="14" t="n">
        <v>4503.8</v>
      </c>
      <c r="G2296" s="6" t="s">
        <v>15614</v>
      </c>
    </row>
    <row r="2297" customFormat="false" ht="15" hidden="false" customHeight="true" outlineLevel="0" collapsed="false">
      <c r="A2297" s="6" t="s">
        <v>17909</v>
      </c>
      <c r="B2297" s="6" t="s">
        <v>1607</v>
      </c>
      <c r="C2297" s="6" t="s">
        <v>116</v>
      </c>
      <c r="D2297" s="6" t="s">
        <v>17</v>
      </c>
      <c r="E2297" s="14" t="n">
        <v>4503.8</v>
      </c>
      <c r="F2297" s="14" t="n">
        <v>9007.6</v>
      </c>
      <c r="G2297" s="6" t="s">
        <v>15614</v>
      </c>
    </row>
    <row r="2298" customFormat="false" ht="15" hidden="false" customHeight="true" outlineLevel="0" collapsed="false">
      <c r="A2298" s="6" t="s">
        <v>17910</v>
      </c>
      <c r="B2298" s="6" t="s">
        <v>1607</v>
      </c>
      <c r="C2298" s="6" t="s">
        <v>116</v>
      </c>
      <c r="D2298" s="6" t="s">
        <v>18</v>
      </c>
      <c r="E2298" s="14" t="n">
        <v>4503.8</v>
      </c>
      <c r="F2298" s="14" t="n">
        <v>13511.4</v>
      </c>
      <c r="G2298" s="6" t="s">
        <v>15614</v>
      </c>
    </row>
    <row r="2299" customFormat="false" ht="15" hidden="false" customHeight="true" outlineLevel="0" collapsed="false">
      <c r="A2299" s="6" t="s">
        <v>17911</v>
      </c>
      <c r="B2299" s="6" t="s">
        <v>1609</v>
      </c>
      <c r="C2299" s="6" t="s">
        <v>112</v>
      </c>
      <c r="D2299" s="6" t="s">
        <v>23</v>
      </c>
      <c r="E2299" s="14" t="n">
        <v>676.14</v>
      </c>
      <c r="F2299" s="14" t="n">
        <v>676.14</v>
      </c>
      <c r="G2299" s="6" t="s">
        <v>15614</v>
      </c>
    </row>
    <row r="2300" customFormat="false" ht="15" hidden="false" customHeight="true" outlineLevel="0" collapsed="false">
      <c r="A2300" s="6" t="s">
        <v>17912</v>
      </c>
      <c r="B2300" s="6" t="s">
        <v>1609</v>
      </c>
      <c r="C2300" s="6" t="s">
        <v>112</v>
      </c>
      <c r="D2300" s="6" t="s">
        <v>24</v>
      </c>
      <c r="E2300" s="14" t="n">
        <v>676.14</v>
      </c>
      <c r="F2300" s="14" t="n">
        <v>1352.28</v>
      </c>
      <c r="G2300" s="6" t="s">
        <v>15614</v>
      </c>
    </row>
    <row r="2301" customFormat="false" ht="15" hidden="false" customHeight="true" outlineLevel="0" collapsed="false">
      <c r="A2301" s="6" t="s">
        <v>17913</v>
      </c>
      <c r="B2301" s="6" t="s">
        <v>1609</v>
      </c>
      <c r="C2301" s="6" t="s">
        <v>112</v>
      </c>
      <c r="D2301" s="6" t="s">
        <v>25</v>
      </c>
      <c r="E2301" s="14" t="n">
        <v>676.14</v>
      </c>
      <c r="F2301" s="14" t="n">
        <v>2028.42</v>
      </c>
      <c r="G2301" s="6" t="s">
        <v>15614</v>
      </c>
    </row>
    <row r="2302" customFormat="false" ht="15" hidden="false" customHeight="true" outlineLevel="0" collapsed="false">
      <c r="A2302" s="6" t="s">
        <v>17914</v>
      </c>
      <c r="B2302" s="6" t="s">
        <v>1611</v>
      </c>
      <c r="C2302" s="6" t="s">
        <v>128</v>
      </c>
      <c r="D2302" s="6" t="s">
        <v>43</v>
      </c>
      <c r="E2302" s="14" t="n">
        <v>4853.02</v>
      </c>
      <c r="F2302" s="14" t="n">
        <v>4853.02</v>
      </c>
      <c r="G2302" s="6" t="s">
        <v>15614</v>
      </c>
    </row>
    <row r="2303" customFormat="false" ht="15" hidden="false" customHeight="true" outlineLevel="0" collapsed="false">
      <c r="A2303" s="6" t="s">
        <v>17915</v>
      </c>
      <c r="B2303" s="6" t="s">
        <v>1611</v>
      </c>
      <c r="C2303" s="6" t="s">
        <v>128</v>
      </c>
      <c r="D2303" s="6" t="s">
        <v>44</v>
      </c>
      <c r="E2303" s="14" t="n">
        <v>4853.02</v>
      </c>
      <c r="F2303" s="14" t="n">
        <v>9706.04</v>
      </c>
      <c r="G2303" s="6" t="s">
        <v>15614</v>
      </c>
    </row>
    <row r="2304" customFormat="false" ht="15" hidden="false" customHeight="true" outlineLevel="0" collapsed="false">
      <c r="A2304" s="6" t="s">
        <v>17916</v>
      </c>
      <c r="B2304" s="6" t="s">
        <v>1611</v>
      </c>
      <c r="C2304" s="6" t="s">
        <v>128</v>
      </c>
      <c r="D2304" s="6" t="s">
        <v>45</v>
      </c>
      <c r="E2304" s="14" t="n">
        <v>4853.02</v>
      </c>
      <c r="F2304" s="14" t="n">
        <v>14559.06</v>
      </c>
      <c r="G2304" s="6" t="s">
        <v>15614</v>
      </c>
    </row>
    <row r="2305" customFormat="false" ht="15" hidden="false" customHeight="true" outlineLevel="0" collapsed="false">
      <c r="A2305" s="6" t="s">
        <v>17917</v>
      </c>
      <c r="B2305" s="6" t="s">
        <v>1611</v>
      </c>
      <c r="C2305" s="6" t="s">
        <v>128</v>
      </c>
      <c r="D2305" s="6" t="s">
        <v>46</v>
      </c>
      <c r="E2305" s="14" t="n">
        <v>4853.02</v>
      </c>
      <c r="F2305" s="14" t="n">
        <v>19412.08</v>
      </c>
      <c r="G2305" s="6" t="s">
        <v>15614</v>
      </c>
    </row>
    <row r="2306" customFormat="false" ht="15" hidden="false" customHeight="true" outlineLevel="0" collapsed="false">
      <c r="A2306" s="6" t="s">
        <v>17918</v>
      </c>
      <c r="B2306" s="6" t="s">
        <v>1613</v>
      </c>
      <c r="C2306" s="6" t="s">
        <v>120</v>
      </c>
      <c r="D2306" s="6" t="s">
        <v>35</v>
      </c>
      <c r="E2306" s="14" t="n">
        <v>463.04</v>
      </c>
      <c r="F2306" s="14" t="n">
        <v>463.04</v>
      </c>
      <c r="G2306" s="6" t="s">
        <v>15614</v>
      </c>
    </row>
    <row r="2307" customFormat="false" ht="15" hidden="false" customHeight="true" outlineLevel="0" collapsed="false">
      <c r="A2307" s="6" t="s">
        <v>17919</v>
      </c>
      <c r="B2307" s="6" t="s">
        <v>1613</v>
      </c>
      <c r="C2307" s="6" t="s">
        <v>120</v>
      </c>
      <c r="D2307" s="6" t="s">
        <v>36</v>
      </c>
      <c r="E2307" s="14" t="n">
        <v>463.04</v>
      </c>
      <c r="F2307" s="14" t="n">
        <v>926.08</v>
      </c>
      <c r="G2307" s="6" t="s">
        <v>15614</v>
      </c>
    </row>
    <row r="2308" customFormat="false" ht="15" hidden="false" customHeight="true" outlineLevel="0" collapsed="false">
      <c r="A2308" s="6" t="s">
        <v>17920</v>
      </c>
      <c r="B2308" s="6" t="s">
        <v>1613</v>
      </c>
      <c r="C2308" s="6" t="s">
        <v>120</v>
      </c>
      <c r="D2308" s="6" t="s">
        <v>37</v>
      </c>
      <c r="E2308" s="14" t="n">
        <v>463.04</v>
      </c>
      <c r="F2308" s="14" t="n">
        <v>1389.12</v>
      </c>
      <c r="G2308" s="6" t="s">
        <v>15614</v>
      </c>
    </row>
    <row r="2309" customFormat="false" ht="15" hidden="false" customHeight="true" outlineLevel="0" collapsed="false">
      <c r="A2309" s="6" t="s">
        <v>17921</v>
      </c>
      <c r="B2309" s="6" t="s">
        <v>1615</v>
      </c>
      <c r="C2309" s="6" t="s">
        <v>116</v>
      </c>
      <c r="D2309" s="6" t="s">
        <v>50</v>
      </c>
      <c r="E2309" s="14" t="n">
        <v>145.17</v>
      </c>
      <c r="F2309" s="14" t="n">
        <v>145.17</v>
      </c>
      <c r="G2309" s="6" t="s">
        <v>15614</v>
      </c>
    </row>
    <row r="2310" customFormat="false" ht="15" hidden="false" customHeight="true" outlineLevel="0" collapsed="false">
      <c r="A2310" s="6" t="s">
        <v>17922</v>
      </c>
      <c r="B2310" s="6" t="s">
        <v>1615</v>
      </c>
      <c r="C2310" s="6" t="s">
        <v>116</v>
      </c>
      <c r="D2310" s="6" t="s">
        <v>51</v>
      </c>
      <c r="E2310" s="14" t="n">
        <v>145.17</v>
      </c>
      <c r="F2310" s="14" t="n">
        <v>290.34</v>
      </c>
      <c r="G2310" s="6" t="s">
        <v>15614</v>
      </c>
    </row>
    <row r="2311" customFormat="false" ht="15" hidden="false" customHeight="true" outlineLevel="0" collapsed="false">
      <c r="A2311" s="6" t="s">
        <v>17923</v>
      </c>
      <c r="B2311" s="6" t="s">
        <v>1615</v>
      </c>
      <c r="C2311" s="6" t="s">
        <v>116</v>
      </c>
      <c r="D2311" s="6" t="s">
        <v>52</v>
      </c>
      <c r="E2311" s="14" t="n">
        <v>145.17</v>
      </c>
      <c r="F2311" s="14" t="n">
        <v>435.51</v>
      </c>
      <c r="G2311" s="6" t="s">
        <v>15614</v>
      </c>
    </row>
    <row r="2312" customFormat="false" ht="15" hidden="false" customHeight="true" outlineLevel="0" collapsed="false">
      <c r="A2312" s="6" t="s">
        <v>17924</v>
      </c>
      <c r="B2312" s="6" t="s">
        <v>1615</v>
      </c>
      <c r="C2312" s="6" t="s">
        <v>116</v>
      </c>
      <c r="D2312" s="6" t="s">
        <v>53</v>
      </c>
      <c r="E2312" s="14" t="n">
        <v>145.17</v>
      </c>
      <c r="F2312" s="14" t="n">
        <v>580.68</v>
      </c>
      <c r="G2312" s="6" t="s">
        <v>15614</v>
      </c>
    </row>
    <row r="2313" customFormat="false" ht="15" hidden="false" customHeight="true" outlineLevel="0" collapsed="false">
      <c r="A2313" s="6" t="s">
        <v>17925</v>
      </c>
      <c r="B2313" s="6" t="s">
        <v>1615</v>
      </c>
      <c r="C2313" s="6" t="s">
        <v>116</v>
      </c>
      <c r="D2313" s="6" t="s">
        <v>54</v>
      </c>
      <c r="E2313" s="14" t="n">
        <v>145.17</v>
      </c>
      <c r="F2313" s="14" t="n">
        <v>725.85</v>
      </c>
      <c r="G2313" s="6" t="s">
        <v>15614</v>
      </c>
    </row>
    <row r="2314" customFormat="false" ht="15" hidden="false" customHeight="true" outlineLevel="0" collapsed="false">
      <c r="A2314" s="6" t="s">
        <v>17926</v>
      </c>
      <c r="B2314" s="6" t="s">
        <v>1617</v>
      </c>
      <c r="C2314" s="6" t="s">
        <v>112</v>
      </c>
      <c r="D2314" s="6" t="s">
        <v>15</v>
      </c>
      <c r="E2314" s="14" t="n">
        <v>1302.65</v>
      </c>
      <c r="F2314" s="14" t="n">
        <v>1302.65</v>
      </c>
      <c r="G2314" s="6" t="s">
        <v>15614</v>
      </c>
    </row>
    <row r="2315" customFormat="false" ht="15" hidden="false" customHeight="true" outlineLevel="0" collapsed="false">
      <c r="A2315" s="6" t="s">
        <v>17927</v>
      </c>
      <c r="B2315" s="6" t="s">
        <v>1617</v>
      </c>
      <c r="C2315" s="6" t="s">
        <v>112</v>
      </c>
      <c r="D2315" s="6" t="s">
        <v>16</v>
      </c>
      <c r="E2315" s="14" t="n">
        <v>1302.65</v>
      </c>
      <c r="F2315" s="14" t="n">
        <v>2605.3</v>
      </c>
      <c r="G2315" s="6" t="s">
        <v>15614</v>
      </c>
    </row>
    <row r="2316" customFormat="false" ht="15" hidden="false" customHeight="true" outlineLevel="0" collapsed="false">
      <c r="A2316" s="6" t="s">
        <v>17928</v>
      </c>
      <c r="B2316" s="6" t="s">
        <v>1617</v>
      </c>
      <c r="C2316" s="6" t="s">
        <v>112</v>
      </c>
      <c r="D2316" s="6" t="s">
        <v>17</v>
      </c>
      <c r="E2316" s="14" t="n">
        <v>1302.65</v>
      </c>
      <c r="F2316" s="14" t="n">
        <v>3907.95</v>
      </c>
      <c r="G2316" s="6" t="s">
        <v>15614</v>
      </c>
    </row>
    <row r="2317" customFormat="false" ht="15" hidden="false" customHeight="true" outlineLevel="0" collapsed="false">
      <c r="A2317" s="6" t="s">
        <v>17929</v>
      </c>
      <c r="B2317" s="6" t="s">
        <v>1619</v>
      </c>
      <c r="C2317" s="6" t="s">
        <v>128</v>
      </c>
      <c r="D2317" s="6" t="s">
        <v>51</v>
      </c>
      <c r="E2317" s="14" t="n">
        <v>433.46</v>
      </c>
      <c r="F2317" s="14" t="n">
        <v>433.46</v>
      </c>
      <c r="G2317" s="6" t="s">
        <v>15614</v>
      </c>
    </row>
    <row r="2318" customFormat="false" ht="15" hidden="false" customHeight="true" outlineLevel="0" collapsed="false">
      <c r="A2318" s="6" t="s">
        <v>17930</v>
      </c>
      <c r="B2318" s="6" t="s">
        <v>1619</v>
      </c>
      <c r="C2318" s="6" t="s">
        <v>128</v>
      </c>
      <c r="D2318" s="6" t="s">
        <v>52</v>
      </c>
      <c r="E2318" s="14" t="n">
        <v>433.46</v>
      </c>
      <c r="F2318" s="14" t="n">
        <v>866.92</v>
      </c>
      <c r="G2318" s="6" t="s">
        <v>15614</v>
      </c>
    </row>
    <row r="2319" customFormat="false" ht="15" hidden="false" customHeight="true" outlineLevel="0" collapsed="false">
      <c r="A2319" s="6" t="s">
        <v>17931</v>
      </c>
      <c r="B2319" s="6" t="s">
        <v>1619</v>
      </c>
      <c r="C2319" s="6" t="s">
        <v>128</v>
      </c>
      <c r="D2319" s="6" t="s">
        <v>53</v>
      </c>
      <c r="E2319" s="14" t="n">
        <v>433.46</v>
      </c>
      <c r="F2319" s="14" t="n">
        <v>1300.38</v>
      </c>
      <c r="G2319" s="6" t="s">
        <v>15614</v>
      </c>
    </row>
    <row r="2320" customFormat="false" ht="15" hidden="false" customHeight="true" outlineLevel="0" collapsed="false">
      <c r="A2320" s="6" t="s">
        <v>17932</v>
      </c>
      <c r="B2320" s="6" t="s">
        <v>1619</v>
      </c>
      <c r="C2320" s="6" t="s">
        <v>128</v>
      </c>
      <c r="D2320" s="6" t="s">
        <v>54</v>
      </c>
      <c r="E2320" s="14" t="n">
        <v>433.46</v>
      </c>
      <c r="F2320" s="14" t="n">
        <v>1733.84</v>
      </c>
      <c r="G2320" s="6" t="s">
        <v>15614</v>
      </c>
    </row>
    <row r="2321" customFormat="false" ht="15" hidden="false" customHeight="true" outlineLevel="0" collapsed="false">
      <c r="A2321" s="6" t="s">
        <v>17933</v>
      </c>
      <c r="B2321" s="6" t="s">
        <v>1619</v>
      </c>
      <c r="C2321" s="6" t="s">
        <v>128</v>
      </c>
      <c r="D2321" s="6" t="s">
        <v>55</v>
      </c>
      <c r="E2321" s="14" t="n">
        <v>433.46</v>
      </c>
      <c r="F2321" s="14" t="n">
        <v>2167.3</v>
      </c>
      <c r="G2321" s="6" t="s">
        <v>15614</v>
      </c>
    </row>
    <row r="2322" customFormat="false" ht="15" hidden="false" customHeight="true" outlineLevel="0" collapsed="false">
      <c r="A2322" s="6" t="s">
        <v>17934</v>
      </c>
      <c r="B2322" s="6" t="s">
        <v>1621</v>
      </c>
      <c r="C2322" s="6" t="s">
        <v>120</v>
      </c>
      <c r="D2322" s="6" t="s">
        <v>11</v>
      </c>
      <c r="E2322" s="14" t="n">
        <v>536.54</v>
      </c>
      <c r="F2322" s="14" t="n">
        <v>536.54</v>
      </c>
      <c r="G2322" s="6" t="s">
        <v>15614</v>
      </c>
    </row>
    <row r="2323" customFormat="false" ht="15" hidden="false" customHeight="true" outlineLevel="0" collapsed="false">
      <c r="A2323" s="6" t="s">
        <v>17935</v>
      </c>
      <c r="B2323" s="6" t="s">
        <v>1621</v>
      </c>
      <c r="C2323" s="6" t="s">
        <v>120</v>
      </c>
      <c r="D2323" s="6" t="s">
        <v>12</v>
      </c>
      <c r="E2323" s="14" t="n">
        <v>536.54</v>
      </c>
      <c r="F2323" s="14" t="n">
        <v>1073.08</v>
      </c>
      <c r="G2323" s="6" t="s">
        <v>15614</v>
      </c>
    </row>
    <row r="2324" customFormat="false" ht="15" hidden="false" customHeight="true" outlineLevel="0" collapsed="false">
      <c r="A2324" s="6" t="s">
        <v>17936</v>
      </c>
      <c r="B2324" s="6" t="s">
        <v>1623</v>
      </c>
      <c r="C2324" s="6" t="s">
        <v>128</v>
      </c>
      <c r="D2324" s="6" t="s">
        <v>53</v>
      </c>
      <c r="E2324" s="14" t="n">
        <v>1889.4</v>
      </c>
      <c r="F2324" s="14" t="n">
        <v>1889.4</v>
      </c>
      <c r="G2324" s="6" t="s">
        <v>15614</v>
      </c>
    </row>
    <row r="2325" customFormat="false" ht="15" hidden="false" customHeight="true" outlineLevel="0" collapsed="false">
      <c r="A2325" s="6" t="s">
        <v>17937</v>
      </c>
      <c r="B2325" s="6" t="s">
        <v>1623</v>
      </c>
      <c r="C2325" s="6" t="s">
        <v>128</v>
      </c>
      <c r="D2325" s="6" t="s">
        <v>54</v>
      </c>
      <c r="E2325" s="14" t="n">
        <v>1889.4</v>
      </c>
      <c r="F2325" s="14" t="n">
        <v>3778.8</v>
      </c>
      <c r="G2325" s="6" t="s">
        <v>15614</v>
      </c>
    </row>
    <row r="2326" customFormat="false" ht="15" hidden="false" customHeight="true" outlineLevel="0" collapsed="false">
      <c r="A2326" s="6" t="s">
        <v>17938</v>
      </c>
      <c r="B2326" s="6" t="s">
        <v>1623</v>
      </c>
      <c r="C2326" s="6" t="s">
        <v>128</v>
      </c>
      <c r="D2326" s="6" t="s">
        <v>55</v>
      </c>
      <c r="E2326" s="14" t="n">
        <v>1889.4</v>
      </c>
      <c r="F2326" s="14" t="n">
        <v>5668.2</v>
      </c>
      <c r="G2326" s="6" t="s">
        <v>15614</v>
      </c>
    </row>
    <row r="2327" customFormat="false" ht="15" hidden="false" customHeight="true" outlineLevel="0" collapsed="false">
      <c r="A2327" s="6" t="s">
        <v>17939</v>
      </c>
      <c r="B2327" s="6" t="s">
        <v>1625</v>
      </c>
      <c r="C2327" s="6" t="s">
        <v>120</v>
      </c>
      <c r="D2327" s="6" t="s">
        <v>13</v>
      </c>
      <c r="E2327" s="14" t="n">
        <v>215.68</v>
      </c>
      <c r="F2327" s="14" t="n">
        <v>215.68</v>
      </c>
      <c r="G2327" s="6" t="s">
        <v>15614</v>
      </c>
    </row>
    <row r="2328" customFormat="false" ht="15" hidden="false" customHeight="true" outlineLevel="0" collapsed="false">
      <c r="A2328" s="6" t="s">
        <v>17940</v>
      </c>
      <c r="B2328" s="6" t="s">
        <v>1625</v>
      </c>
      <c r="C2328" s="6" t="s">
        <v>120</v>
      </c>
      <c r="D2328" s="6" t="s">
        <v>14</v>
      </c>
      <c r="E2328" s="14" t="n">
        <v>215.68</v>
      </c>
      <c r="F2328" s="14" t="n">
        <v>431.36</v>
      </c>
      <c r="G2328" s="6" t="s">
        <v>15614</v>
      </c>
    </row>
    <row r="2329" customFormat="false" ht="15" hidden="false" customHeight="true" outlineLevel="0" collapsed="false">
      <c r="A2329" s="6" t="s">
        <v>17941</v>
      </c>
      <c r="B2329" s="6" t="s">
        <v>1625</v>
      </c>
      <c r="C2329" s="6" t="s">
        <v>120</v>
      </c>
      <c r="D2329" s="6" t="s">
        <v>15</v>
      </c>
      <c r="E2329" s="14" t="n">
        <v>215.68</v>
      </c>
      <c r="F2329" s="14" t="n">
        <v>647.04</v>
      </c>
      <c r="G2329" s="6" t="s">
        <v>15614</v>
      </c>
    </row>
    <row r="2330" customFormat="false" ht="15" hidden="false" customHeight="true" outlineLevel="0" collapsed="false">
      <c r="A2330" s="6" t="s">
        <v>17942</v>
      </c>
      <c r="B2330" s="6" t="s">
        <v>1625</v>
      </c>
      <c r="C2330" s="6" t="s">
        <v>120</v>
      </c>
      <c r="D2330" s="6" t="s">
        <v>16</v>
      </c>
      <c r="E2330" s="14" t="n">
        <v>215.68</v>
      </c>
      <c r="F2330" s="14" t="n">
        <v>862.72</v>
      </c>
      <c r="G2330" s="6" t="s">
        <v>15614</v>
      </c>
    </row>
    <row r="2331" customFormat="false" ht="15" hidden="false" customHeight="true" outlineLevel="0" collapsed="false">
      <c r="A2331" s="6" t="s">
        <v>17943</v>
      </c>
      <c r="B2331" s="6" t="s">
        <v>1625</v>
      </c>
      <c r="C2331" s="6" t="s">
        <v>120</v>
      </c>
      <c r="D2331" s="6" t="s">
        <v>17</v>
      </c>
      <c r="E2331" s="14" t="n">
        <v>215.68</v>
      </c>
      <c r="F2331" s="14" t="n">
        <v>1078.4</v>
      </c>
      <c r="G2331" s="6" t="s">
        <v>15614</v>
      </c>
    </row>
    <row r="2332" customFormat="false" ht="15" hidden="false" customHeight="true" outlineLevel="0" collapsed="false">
      <c r="A2332" s="6" t="s">
        <v>17944</v>
      </c>
      <c r="B2332" s="6" t="s">
        <v>1625</v>
      </c>
      <c r="C2332" s="6" t="s">
        <v>120</v>
      </c>
      <c r="D2332" s="6" t="s">
        <v>18</v>
      </c>
      <c r="E2332" s="14" t="n">
        <v>215.68</v>
      </c>
      <c r="F2332" s="14" t="n">
        <v>1294.08</v>
      </c>
      <c r="G2332" s="6" t="s">
        <v>15614</v>
      </c>
    </row>
    <row r="2333" customFormat="false" ht="15" hidden="false" customHeight="true" outlineLevel="0" collapsed="false">
      <c r="A2333" s="6" t="s">
        <v>17945</v>
      </c>
      <c r="B2333" s="6" t="s">
        <v>1625</v>
      </c>
      <c r="C2333" s="6" t="s">
        <v>120</v>
      </c>
      <c r="D2333" s="6" t="s">
        <v>19</v>
      </c>
      <c r="E2333" s="14" t="n">
        <v>215.68</v>
      </c>
      <c r="F2333" s="14" t="n">
        <v>1509.76</v>
      </c>
      <c r="G2333" s="6" t="s">
        <v>15614</v>
      </c>
    </row>
    <row r="2334" customFormat="false" ht="15" hidden="false" customHeight="true" outlineLevel="0" collapsed="false">
      <c r="A2334" s="6" t="s">
        <v>17946</v>
      </c>
      <c r="B2334" s="6" t="s">
        <v>1625</v>
      </c>
      <c r="C2334" s="6" t="s">
        <v>120</v>
      </c>
      <c r="D2334" s="6" t="s">
        <v>20</v>
      </c>
      <c r="E2334" s="14" t="n">
        <v>215.68</v>
      </c>
      <c r="F2334" s="14" t="n">
        <v>1725.44</v>
      </c>
      <c r="G2334" s="6" t="s">
        <v>15614</v>
      </c>
    </row>
    <row r="2335" customFormat="false" ht="15" hidden="false" customHeight="true" outlineLevel="0" collapsed="false">
      <c r="A2335" s="6" t="s">
        <v>17947</v>
      </c>
      <c r="B2335" s="6" t="s">
        <v>1625</v>
      </c>
      <c r="C2335" s="6" t="s">
        <v>120</v>
      </c>
      <c r="D2335" s="6" t="s">
        <v>21</v>
      </c>
      <c r="E2335" s="14" t="n">
        <v>215.68</v>
      </c>
      <c r="F2335" s="14" t="n">
        <v>1941.12</v>
      </c>
      <c r="G2335" s="6" t="s">
        <v>15614</v>
      </c>
    </row>
    <row r="2336" customFormat="false" ht="15" hidden="false" customHeight="true" outlineLevel="0" collapsed="false">
      <c r="A2336" s="6" t="s">
        <v>17948</v>
      </c>
      <c r="B2336" s="6" t="s">
        <v>1627</v>
      </c>
      <c r="C2336" s="6" t="s">
        <v>112</v>
      </c>
      <c r="D2336" s="6" t="s">
        <v>11</v>
      </c>
      <c r="E2336" s="14" t="n">
        <v>6117.41</v>
      </c>
      <c r="F2336" s="14" t="n">
        <v>6117.41</v>
      </c>
      <c r="G2336" s="6" t="s">
        <v>15614</v>
      </c>
    </row>
    <row r="2337" customFormat="false" ht="15" hidden="false" customHeight="true" outlineLevel="0" collapsed="false">
      <c r="A2337" s="6" t="s">
        <v>17949</v>
      </c>
      <c r="B2337" s="6" t="s">
        <v>1627</v>
      </c>
      <c r="C2337" s="6" t="s">
        <v>112</v>
      </c>
      <c r="D2337" s="6" t="s">
        <v>12</v>
      </c>
      <c r="E2337" s="14" t="n">
        <v>6117.41</v>
      </c>
      <c r="F2337" s="14" t="n">
        <v>12234.82</v>
      </c>
      <c r="G2337" s="6" t="s">
        <v>15614</v>
      </c>
    </row>
    <row r="2338" customFormat="false" ht="15" hidden="false" customHeight="true" outlineLevel="0" collapsed="false">
      <c r="A2338" s="6" t="s">
        <v>17950</v>
      </c>
      <c r="B2338" s="6" t="s">
        <v>1627</v>
      </c>
      <c r="C2338" s="6" t="s">
        <v>112</v>
      </c>
      <c r="D2338" s="6" t="s">
        <v>13</v>
      </c>
      <c r="E2338" s="14" t="n">
        <v>6117.41</v>
      </c>
      <c r="F2338" s="14" t="n">
        <v>18352.23</v>
      </c>
      <c r="G2338" s="6" t="s">
        <v>15614</v>
      </c>
    </row>
    <row r="2339" customFormat="false" ht="15" hidden="false" customHeight="true" outlineLevel="0" collapsed="false">
      <c r="A2339" s="6" t="s">
        <v>17951</v>
      </c>
      <c r="B2339" s="6" t="s">
        <v>1627</v>
      </c>
      <c r="C2339" s="6" t="s">
        <v>112</v>
      </c>
      <c r="D2339" s="6" t="s">
        <v>14</v>
      </c>
      <c r="E2339" s="14" t="n">
        <v>6117.41</v>
      </c>
      <c r="F2339" s="14" t="n">
        <v>24469.64</v>
      </c>
      <c r="G2339" s="6" t="s">
        <v>15614</v>
      </c>
    </row>
    <row r="2340" customFormat="false" ht="15" hidden="false" customHeight="true" outlineLevel="0" collapsed="false">
      <c r="A2340" s="6" t="s">
        <v>17952</v>
      </c>
      <c r="B2340" s="6" t="s">
        <v>1629</v>
      </c>
      <c r="C2340" s="6" t="s">
        <v>124</v>
      </c>
      <c r="D2340" s="6" t="s">
        <v>26</v>
      </c>
      <c r="E2340" s="14" t="n">
        <v>3381.03</v>
      </c>
      <c r="F2340" s="14" t="n">
        <v>3381.03</v>
      </c>
      <c r="G2340" s="6" t="s">
        <v>15614</v>
      </c>
    </row>
    <row r="2341" customFormat="false" ht="15" hidden="false" customHeight="true" outlineLevel="0" collapsed="false">
      <c r="A2341" s="6" t="s">
        <v>17953</v>
      </c>
      <c r="B2341" s="6" t="s">
        <v>1629</v>
      </c>
      <c r="C2341" s="6" t="s">
        <v>124</v>
      </c>
      <c r="D2341" s="6" t="s">
        <v>27</v>
      </c>
      <c r="E2341" s="14" t="n">
        <v>3381.03</v>
      </c>
      <c r="F2341" s="14" t="n">
        <v>6762.06</v>
      </c>
      <c r="G2341" s="6" t="s">
        <v>15614</v>
      </c>
    </row>
    <row r="2342" customFormat="false" ht="15" hidden="false" customHeight="true" outlineLevel="0" collapsed="false">
      <c r="A2342" s="6" t="s">
        <v>17954</v>
      </c>
      <c r="B2342" s="6" t="s">
        <v>1629</v>
      </c>
      <c r="C2342" s="6" t="s">
        <v>124</v>
      </c>
      <c r="D2342" s="6" t="s">
        <v>28</v>
      </c>
      <c r="E2342" s="14" t="n">
        <v>3381.03</v>
      </c>
      <c r="F2342" s="14" t="n">
        <v>10143.09</v>
      </c>
      <c r="G2342" s="6" t="s">
        <v>15614</v>
      </c>
    </row>
    <row r="2343" customFormat="false" ht="15" hidden="false" customHeight="true" outlineLevel="0" collapsed="false">
      <c r="A2343" s="6" t="s">
        <v>17955</v>
      </c>
      <c r="B2343" s="6" t="s">
        <v>1629</v>
      </c>
      <c r="C2343" s="6" t="s">
        <v>124</v>
      </c>
      <c r="D2343" s="6" t="s">
        <v>29</v>
      </c>
      <c r="E2343" s="14" t="n">
        <v>3381.03</v>
      </c>
      <c r="F2343" s="14" t="n">
        <v>13524.12</v>
      </c>
      <c r="G2343" s="6" t="s">
        <v>15614</v>
      </c>
    </row>
    <row r="2344" customFormat="false" ht="15" hidden="false" customHeight="true" outlineLevel="0" collapsed="false">
      <c r="A2344" s="6" t="s">
        <v>17956</v>
      </c>
      <c r="B2344" s="6" t="s">
        <v>1631</v>
      </c>
      <c r="C2344" s="6" t="s">
        <v>131</v>
      </c>
      <c r="D2344" s="6" t="s">
        <v>52</v>
      </c>
      <c r="E2344" s="14" t="n">
        <v>1882.84</v>
      </c>
      <c r="F2344" s="14" t="n">
        <v>1882.84</v>
      </c>
      <c r="G2344" s="6" t="s">
        <v>15614</v>
      </c>
    </row>
    <row r="2345" customFormat="false" ht="15" hidden="false" customHeight="true" outlineLevel="0" collapsed="false">
      <c r="A2345" s="6" t="s">
        <v>17957</v>
      </c>
      <c r="B2345" s="6" t="s">
        <v>1631</v>
      </c>
      <c r="C2345" s="6" t="s">
        <v>131</v>
      </c>
      <c r="D2345" s="6" t="s">
        <v>53</v>
      </c>
      <c r="E2345" s="14" t="n">
        <v>1882.84</v>
      </c>
      <c r="F2345" s="14" t="n">
        <v>3765.68</v>
      </c>
      <c r="G2345" s="6" t="s">
        <v>15614</v>
      </c>
    </row>
    <row r="2346" customFormat="false" ht="15" hidden="false" customHeight="true" outlineLevel="0" collapsed="false">
      <c r="A2346" s="6" t="s">
        <v>17958</v>
      </c>
      <c r="B2346" s="6" t="s">
        <v>1631</v>
      </c>
      <c r="C2346" s="6" t="s">
        <v>131</v>
      </c>
      <c r="D2346" s="6" t="s">
        <v>54</v>
      </c>
      <c r="E2346" s="14" t="n">
        <v>1882.84</v>
      </c>
      <c r="F2346" s="14" t="n">
        <v>5648.52</v>
      </c>
      <c r="G2346" s="6" t="s">
        <v>15614</v>
      </c>
    </row>
    <row r="2347" customFormat="false" ht="15" hidden="false" customHeight="true" outlineLevel="0" collapsed="false">
      <c r="A2347" s="6" t="s">
        <v>17959</v>
      </c>
      <c r="B2347" s="6" t="s">
        <v>1631</v>
      </c>
      <c r="C2347" s="6" t="s">
        <v>131</v>
      </c>
      <c r="D2347" s="6" t="s">
        <v>55</v>
      </c>
      <c r="E2347" s="14" t="n">
        <v>1882.84</v>
      </c>
      <c r="F2347" s="14" t="n">
        <v>7531.36</v>
      </c>
      <c r="G2347" s="6" t="s">
        <v>15614</v>
      </c>
    </row>
    <row r="2348" customFormat="false" ht="15" hidden="false" customHeight="true" outlineLevel="0" collapsed="false">
      <c r="A2348" s="6" t="s">
        <v>17960</v>
      </c>
      <c r="B2348" s="6" t="s">
        <v>1631</v>
      </c>
      <c r="C2348" s="6" t="s">
        <v>131</v>
      </c>
      <c r="D2348" s="6" t="s">
        <v>56</v>
      </c>
      <c r="E2348" s="14" t="n">
        <v>1882.84</v>
      </c>
      <c r="F2348" s="14" t="n">
        <v>9414.2</v>
      </c>
      <c r="G2348" s="6" t="s">
        <v>15614</v>
      </c>
    </row>
    <row r="2349" customFormat="false" ht="15" hidden="false" customHeight="true" outlineLevel="0" collapsed="false">
      <c r="A2349" s="6" t="s">
        <v>17961</v>
      </c>
      <c r="B2349" s="6" t="s">
        <v>1633</v>
      </c>
      <c r="C2349" s="6" t="s">
        <v>112</v>
      </c>
      <c r="D2349" s="6" t="s">
        <v>59</v>
      </c>
      <c r="E2349" s="14" t="n">
        <v>1244.18</v>
      </c>
      <c r="F2349" s="14" t="n">
        <v>1244.18</v>
      </c>
      <c r="G2349" s="6" t="s">
        <v>15614</v>
      </c>
    </row>
    <row r="2350" customFormat="false" ht="15" hidden="false" customHeight="true" outlineLevel="0" collapsed="false">
      <c r="A2350" s="6" t="s">
        <v>17962</v>
      </c>
      <c r="B2350" s="6" t="s">
        <v>1633</v>
      </c>
      <c r="C2350" s="6" t="s">
        <v>112</v>
      </c>
      <c r="D2350" s="6" t="s">
        <v>60</v>
      </c>
      <c r="E2350" s="14" t="n">
        <v>1244.18</v>
      </c>
      <c r="F2350" s="14" t="n">
        <v>2488.36</v>
      </c>
      <c r="G2350" s="6" t="s">
        <v>15614</v>
      </c>
    </row>
    <row r="2351" customFormat="false" ht="15" hidden="false" customHeight="true" outlineLevel="0" collapsed="false">
      <c r="A2351" s="6" t="s">
        <v>17963</v>
      </c>
      <c r="B2351" s="6" t="s">
        <v>1633</v>
      </c>
      <c r="C2351" s="6" t="s">
        <v>112</v>
      </c>
      <c r="D2351" s="6" t="s">
        <v>61</v>
      </c>
      <c r="E2351" s="14" t="n">
        <v>1244.18</v>
      </c>
      <c r="F2351" s="14" t="n">
        <v>3732.54</v>
      </c>
      <c r="G2351" s="6" t="s">
        <v>15614</v>
      </c>
    </row>
    <row r="2352" customFormat="false" ht="15" hidden="false" customHeight="true" outlineLevel="0" collapsed="false">
      <c r="A2352" s="6" t="s">
        <v>17964</v>
      </c>
      <c r="B2352" s="6" t="s">
        <v>1635</v>
      </c>
      <c r="C2352" s="6" t="s">
        <v>112</v>
      </c>
      <c r="D2352" s="6" t="s">
        <v>55</v>
      </c>
      <c r="E2352" s="14" t="n">
        <v>1796.91</v>
      </c>
      <c r="F2352" s="14" t="n">
        <v>1796.91</v>
      </c>
      <c r="G2352" s="6" t="s">
        <v>15614</v>
      </c>
    </row>
    <row r="2353" customFormat="false" ht="15" hidden="false" customHeight="true" outlineLevel="0" collapsed="false">
      <c r="A2353" s="6" t="s">
        <v>17965</v>
      </c>
      <c r="B2353" s="6" t="s">
        <v>1635</v>
      </c>
      <c r="C2353" s="6" t="s">
        <v>112</v>
      </c>
      <c r="D2353" s="6" t="s">
        <v>56</v>
      </c>
      <c r="E2353" s="14" t="n">
        <v>1796.91</v>
      </c>
      <c r="F2353" s="14" t="n">
        <v>3593.82</v>
      </c>
      <c r="G2353" s="6" t="s">
        <v>15614</v>
      </c>
    </row>
    <row r="2354" customFormat="false" ht="15" hidden="false" customHeight="true" outlineLevel="0" collapsed="false">
      <c r="A2354" s="6" t="s">
        <v>17966</v>
      </c>
      <c r="B2354" s="6" t="s">
        <v>1635</v>
      </c>
      <c r="C2354" s="6" t="s">
        <v>112</v>
      </c>
      <c r="D2354" s="6" t="s">
        <v>57</v>
      </c>
      <c r="E2354" s="14" t="n">
        <v>1796.91</v>
      </c>
      <c r="F2354" s="14" t="n">
        <v>5390.73</v>
      </c>
      <c r="G2354" s="6" t="s">
        <v>15614</v>
      </c>
    </row>
    <row r="2355" customFormat="false" ht="15" hidden="false" customHeight="true" outlineLevel="0" collapsed="false">
      <c r="A2355" s="6" t="s">
        <v>17967</v>
      </c>
      <c r="B2355" s="6" t="s">
        <v>1635</v>
      </c>
      <c r="C2355" s="6" t="s">
        <v>112</v>
      </c>
      <c r="D2355" s="6" t="s">
        <v>58</v>
      </c>
      <c r="E2355" s="14" t="n">
        <v>1796.91</v>
      </c>
      <c r="F2355" s="14" t="n">
        <v>7187.64</v>
      </c>
      <c r="G2355" s="6" t="s">
        <v>15614</v>
      </c>
    </row>
    <row r="2356" customFormat="false" ht="15" hidden="false" customHeight="true" outlineLevel="0" collapsed="false">
      <c r="A2356" s="6" t="s">
        <v>17968</v>
      </c>
      <c r="B2356" s="6" t="s">
        <v>1635</v>
      </c>
      <c r="C2356" s="6" t="s">
        <v>112</v>
      </c>
      <c r="D2356" s="6" t="s">
        <v>59</v>
      </c>
      <c r="E2356" s="14" t="n">
        <v>1796.91</v>
      </c>
      <c r="F2356" s="14" t="n">
        <v>8984.55</v>
      </c>
      <c r="G2356" s="6" t="s">
        <v>15614</v>
      </c>
    </row>
    <row r="2357" customFormat="false" ht="15" hidden="false" customHeight="true" outlineLevel="0" collapsed="false">
      <c r="A2357" s="6" t="s">
        <v>17969</v>
      </c>
      <c r="B2357" s="6" t="s">
        <v>1637</v>
      </c>
      <c r="C2357" s="6" t="s">
        <v>120</v>
      </c>
      <c r="D2357" s="6" t="s">
        <v>59</v>
      </c>
      <c r="E2357" s="14" t="n">
        <v>3889.55</v>
      </c>
      <c r="F2357" s="14" t="n">
        <v>3889.55</v>
      </c>
      <c r="G2357" s="6" t="s">
        <v>15614</v>
      </c>
    </row>
    <row r="2358" customFormat="false" ht="15" hidden="false" customHeight="true" outlineLevel="0" collapsed="false">
      <c r="A2358" s="6" t="s">
        <v>17970</v>
      </c>
      <c r="B2358" s="6" t="s">
        <v>1637</v>
      </c>
      <c r="C2358" s="6" t="s">
        <v>120</v>
      </c>
      <c r="D2358" s="6" t="s">
        <v>60</v>
      </c>
      <c r="E2358" s="14" t="n">
        <v>3889.55</v>
      </c>
      <c r="F2358" s="14" t="n">
        <v>7779.1</v>
      </c>
      <c r="G2358" s="6" t="s">
        <v>15614</v>
      </c>
    </row>
    <row r="2359" customFormat="false" ht="15" hidden="false" customHeight="true" outlineLevel="0" collapsed="false">
      <c r="A2359" s="6" t="s">
        <v>17971</v>
      </c>
      <c r="B2359" s="6" t="s">
        <v>1637</v>
      </c>
      <c r="C2359" s="6" t="s">
        <v>120</v>
      </c>
      <c r="D2359" s="6" t="s">
        <v>61</v>
      </c>
      <c r="E2359" s="14" t="n">
        <v>3889.55</v>
      </c>
      <c r="F2359" s="14" t="n">
        <v>11668.65</v>
      </c>
      <c r="G2359" s="6" t="s">
        <v>15614</v>
      </c>
    </row>
    <row r="2360" customFormat="false" ht="15" hidden="false" customHeight="true" outlineLevel="0" collapsed="false">
      <c r="A2360" s="6" t="s">
        <v>17972</v>
      </c>
      <c r="B2360" s="6" t="s">
        <v>1637</v>
      </c>
      <c r="C2360" s="6" t="s">
        <v>120</v>
      </c>
      <c r="D2360" s="6" t="s">
        <v>62</v>
      </c>
      <c r="E2360" s="14" t="n">
        <v>3889.55</v>
      </c>
      <c r="F2360" s="14" t="n">
        <v>15558.2</v>
      </c>
      <c r="G2360" s="6" t="s">
        <v>15614</v>
      </c>
    </row>
    <row r="2361" customFormat="false" ht="15" hidden="false" customHeight="true" outlineLevel="0" collapsed="false">
      <c r="A2361" s="6" t="s">
        <v>17973</v>
      </c>
      <c r="B2361" s="6" t="s">
        <v>1637</v>
      </c>
      <c r="C2361" s="6" t="s">
        <v>120</v>
      </c>
      <c r="D2361" s="6" t="s">
        <v>63</v>
      </c>
      <c r="E2361" s="14" t="n">
        <v>3889.55</v>
      </c>
      <c r="F2361" s="14" t="n">
        <v>19447.75</v>
      </c>
      <c r="G2361" s="6" t="s">
        <v>15614</v>
      </c>
    </row>
    <row r="2362" customFormat="false" ht="15" hidden="false" customHeight="true" outlineLevel="0" collapsed="false">
      <c r="A2362" s="6" t="s">
        <v>17974</v>
      </c>
      <c r="B2362" s="6" t="s">
        <v>1637</v>
      </c>
      <c r="C2362" s="6" t="s">
        <v>120</v>
      </c>
      <c r="D2362" s="6" t="s">
        <v>64</v>
      </c>
      <c r="E2362" s="14" t="n">
        <v>3889.55</v>
      </c>
      <c r="F2362" s="14" t="n">
        <v>23337.3</v>
      </c>
      <c r="G2362" s="6" t="s">
        <v>15614</v>
      </c>
    </row>
    <row r="2363" customFormat="false" ht="15" hidden="false" customHeight="true" outlineLevel="0" collapsed="false">
      <c r="A2363" s="6" t="s">
        <v>17975</v>
      </c>
      <c r="B2363" s="6" t="s">
        <v>1637</v>
      </c>
      <c r="C2363" s="6" t="s">
        <v>120</v>
      </c>
      <c r="D2363" s="6" t="s">
        <v>65</v>
      </c>
      <c r="E2363" s="14" t="n">
        <v>3889.55</v>
      </c>
      <c r="F2363" s="14" t="n">
        <v>27226.85</v>
      </c>
      <c r="G2363" s="6" t="s">
        <v>15614</v>
      </c>
    </row>
    <row r="2364" customFormat="false" ht="15" hidden="false" customHeight="true" outlineLevel="0" collapsed="false">
      <c r="A2364" s="6" t="s">
        <v>17976</v>
      </c>
      <c r="B2364" s="6" t="s">
        <v>1639</v>
      </c>
      <c r="C2364" s="6" t="s">
        <v>128</v>
      </c>
      <c r="D2364" s="6" t="s">
        <v>22</v>
      </c>
      <c r="E2364" s="14" t="n">
        <v>2656.54</v>
      </c>
      <c r="F2364" s="14" t="n">
        <v>2656.54</v>
      </c>
      <c r="G2364" s="6" t="s">
        <v>15614</v>
      </c>
    </row>
    <row r="2365" customFormat="false" ht="15" hidden="false" customHeight="true" outlineLevel="0" collapsed="false">
      <c r="A2365" s="6" t="s">
        <v>17977</v>
      </c>
      <c r="B2365" s="6" t="s">
        <v>1639</v>
      </c>
      <c r="C2365" s="6" t="s">
        <v>128</v>
      </c>
      <c r="D2365" s="6" t="s">
        <v>23</v>
      </c>
      <c r="E2365" s="14" t="n">
        <v>2656.54</v>
      </c>
      <c r="F2365" s="14" t="n">
        <v>5313.08</v>
      </c>
      <c r="G2365" s="6" t="s">
        <v>15614</v>
      </c>
    </row>
    <row r="2366" customFormat="false" ht="15" hidden="false" customHeight="true" outlineLevel="0" collapsed="false">
      <c r="A2366" s="6" t="s">
        <v>17978</v>
      </c>
      <c r="B2366" s="6" t="s">
        <v>1639</v>
      </c>
      <c r="C2366" s="6" t="s">
        <v>128</v>
      </c>
      <c r="D2366" s="6" t="s">
        <v>24</v>
      </c>
      <c r="E2366" s="14" t="n">
        <v>2656.54</v>
      </c>
      <c r="F2366" s="14" t="n">
        <v>7969.62</v>
      </c>
      <c r="G2366" s="6" t="s">
        <v>15614</v>
      </c>
    </row>
    <row r="2367" customFormat="false" ht="15" hidden="false" customHeight="true" outlineLevel="0" collapsed="false">
      <c r="A2367" s="6" t="s">
        <v>17979</v>
      </c>
      <c r="B2367" s="6" t="s">
        <v>1639</v>
      </c>
      <c r="C2367" s="6" t="s">
        <v>128</v>
      </c>
      <c r="D2367" s="6" t="s">
        <v>25</v>
      </c>
      <c r="E2367" s="14" t="n">
        <v>2656.54</v>
      </c>
      <c r="F2367" s="14" t="n">
        <v>10626.16</v>
      </c>
      <c r="G2367" s="6" t="s">
        <v>15614</v>
      </c>
    </row>
    <row r="2368" customFormat="false" ht="15" hidden="false" customHeight="true" outlineLevel="0" collapsed="false">
      <c r="A2368" s="6" t="s">
        <v>17980</v>
      </c>
      <c r="B2368" s="6" t="s">
        <v>1641</v>
      </c>
      <c r="C2368" s="6" t="s">
        <v>131</v>
      </c>
      <c r="D2368" s="6" t="s">
        <v>57</v>
      </c>
      <c r="E2368" s="14" t="n">
        <v>2041.34</v>
      </c>
      <c r="F2368" s="14" t="n">
        <v>2041.34</v>
      </c>
      <c r="G2368" s="6" t="s">
        <v>15614</v>
      </c>
    </row>
    <row r="2369" customFormat="false" ht="15" hidden="false" customHeight="true" outlineLevel="0" collapsed="false">
      <c r="A2369" s="6" t="s">
        <v>17981</v>
      </c>
      <c r="B2369" s="6" t="s">
        <v>1641</v>
      </c>
      <c r="C2369" s="6" t="s">
        <v>131</v>
      </c>
      <c r="D2369" s="6" t="s">
        <v>58</v>
      </c>
      <c r="E2369" s="14" t="n">
        <v>2041.34</v>
      </c>
      <c r="F2369" s="14" t="n">
        <v>4082.68</v>
      </c>
      <c r="G2369" s="6" t="s">
        <v>15614</v>
      </c>
    </row>
    <row r="2370" customFormat="false" ht="15" hidden="false" customHeight="true" outlineLevel="0" collapsed="false">
      <c r="A2370" s="6" t="s">
        <v>17982</v>
      </c>
      <c r="B2370" s="6" t="s">
        <v>1641</v>
      </c>
      <c r="C2370" s="6" t="s">
        <v>131</v>
      </c>
      <c r="D2370" s="6" t="s">
        <v>59</v>
      </c>
      <c r="E2370" s="14" t="n">
        <v>2041.34</v>
      </c>
      <c r="F2370" s="14" t="n">
        <v>6124.02</v>
      </c>
      <c r="G2370" s="6" t="s">
        <v>15614</v>
      </c>
    </row>
    <row r="2371" customFormat="false" ht="15" hidden="false" customHeight="true" outlineLevel="0" collapsed="false">
      <c r="A2371" s="6" t="s">
        <v>17983</v>
      </c>
      <c r="B2371" s="6" t="s">
        <v>1643</v>
      </c>
      <c r="C2371" s="6" t="s">
        <v>116</v>
      </c>
      <c r="D2371" s="6" t="s">
        <v>33</v>
      </c>
      <c r="E2371" s="14" t="n">
        <v>1792.42</v>
      </c>
      <c r="F2371" s="14" t="n">
        <v>1792.42</v>
      </c>
      <c r="G2371" s="6" t="s">
        <v>15614</v>
      </c>
    </row>
    <row r="2372" customFormat="false" ht="15" hidden="false" customHeight="true" outlineLevel="0" collapsed="false">
      <c r="A2372" s="6" t="s">
        <v>17984</v>
      </c>
      <c r="B2372" s="6" t="s">
        <v>1643</v>
      </c>
      <c r="C2372" s="6" t="s">
        <v>116</v>
      </c>
      <c r="D2372" s="6" t="s">
        <v>34</v>
      </c>
      <c r="E2372" s="14" t="n">
        <v>1792.42</v>
      </c>
      <c r="F2372" s="14" t="n">
        <v>3584.84</v>
      </c>
      <c r="G2372" s="6" t="s">
        <v>15614</v>
      </c>
    </row>
    <row r="2373" customFormat="false" ht="15" hidden="false" customHeight="true" outlineLevel="0" collapsed="false">
      <c r="A2373" s="6" t="s">
        <v>17985</v>
      </c>
      <c r="B2373" s="6" t="s">
        <v>1643</v>
      </c>
      <c r="C2373" s="6" t="s">
        <v>116</v>
      </c>
      <c r="D2373" s="6" t="s">
        <v>35</v>
      </c>
      <c r="E2373" s="14" t="n">
        <v>1792.42</v>
      </c>
      <c r="F2373" s="14" t="n">
        <v>5377.26</v>
      </c>
      <c r="G2373" s="6" t="s">
        <v>15614</v>
      </c>
    </row>
    <row r="2374" customFormat="false" ht="15" hidden="false" customHeight="true" outlineLevel="0" collapsed="false">
      <c r="A2374" s="6" t="s">
        <v>17986</v>
      </c>
      <c r="B2374" s="6" t="s">
        <v>1643</v>
      </c>
      <c r="C2374" s="6" t="s">
        <v>116</v>
      </c>
      <c r="D2374" s="6" t="s">
        <v>36</v>
      </c>
      <c r="E2374" s="14" t="n">
        <v>1792.42</v>
      </c>
      <c r="F2374" s="14" t="n">
        <v>7169.68</v>
      </c>
      <c r="G2374" s="6" t="s">
        <v>15614</v>
      </c>
    </row>
    <row r="2375" customFormat="false" ht="15" hidden="false" customHeight="true" outlineLevel="0" collapsed="false">
      <c r="A2375" s="6" t="s">
        <v>17987</v>
      </c>
      <c r="B2375" s="6" t="s">
        <v>1645</v>
      </c>
      <c r="C2375" s="6" t="s">
        <v>120</v>
      </c>
      <c r="D2375" s="6" t="s">
        <v>34</v>
      </c>
      <c r="E2375" s="14" t="n">
        <v>3745.22</v>
      </c>
      <c r="F2375" s="14" t="n">
        <v>3745.22</v>
      </c>
      <c r="G2375" s="6" t="s">
        <v>15614</v>
      </c>
    </row>
    <row r="2376" customFormat="false" ht="15" hidden="false" customHeight="true" outlineLevel="0" collapsed="false">
      <c r="A2376" s="6" t="s">
        <v>17988</v>
      </c>
      <c r="B2376" s="6" t="s">
        <v>1645</v>
      </c>
      <c r="C2376" s="6" t="s">
        <v>120</v>
      </c>
      <c r="D2376" s="6" t="s">
        <v>35</v>
      </c>
      <c r="E2376" s="14" t="n">
        <v>3745.22</v>
      </c>
      <c r="F2376" s="14" t="n">
        <v>7490.44</v>
      </c>
      <c r="G2376" s="6" t="s">
        <v>15614</v>
      </c>
    </row>
    <row r="2377" customFormat="false" ht="15" hidden="false" customHeight="true" outlineLevel="0" collapsed="false">
      <c r="A2377" s="6" t="s">
        <v>17989</v>
      </c>
      <c r="B2377" s="6" t="s">
        <v>1647</v>
      </c>
      <c r="C2377" s="6" t="s">
        <v>124</v>
      </c>
      <c r="D2377" s="6" t="s">
        <v>28</v>
      </c>
      <c r="E2377" s="14" t="n">
        <v>1676.87</v>
      </c>
      <c r="F2377" s="14" t="n">
        <v>1676.87</v>
      </c>
      <c r="G2377" s="6" t="s">
        <v>15614</v>
      </c>
    </row>
    <row r="2378" customFormat="false" ht="15" hidden="false" customHeight="true" outlineLevel="0" collapsed="false">
      <c r="A2378" s="6" t="s">
        <v>17990</v>
      </c>
      <c r="B2378" s="6" t="s">
        <v>1647</v>
      </c>
      <c r="C2378" s="6" t="s">
        <v>124</v>
      </c>
      <c r="D2378" s="6" t="s">
        <v>29</v>
      </c>
      <c r="E2378" s="14" t="n">
        <v>1676.87</v>
      </c>
      <c r="F2378" s="14" t="n">
        <v>3353.74</v>
      </c>
      <c r="G2378" s="6" t="s">
        <v>15614</v>
      </c>
    </row>
    <row r="2379" customFormat="false" ht="15" hidden="false" customHeight="true" outlineLevel="0" collapsed="false">
      <c r="A2379" s="6" t="s">
        <v>17991</v>
      </c>
      <c r="B2379" s="6" t="s">
        <v>1647</v>
      </c>
      <c r="C2379" s="6" t="s">
        <v>124</v>
      </c>
      <c r="D2379" s="6" t="s">
        <v>30</v>
      </c>
      <c r="E2379" s="14" t="n">
        <v>1676.87</v>
      </c>
      <c r="F2379" s="14" t="n">
        <v>5030.61</v>
      </c>
      <c r="G2379" s="6" t="s">
        <v>15614</v>
      </c>
    </row>
    <row r="2380" customFormat="false" ht="15" hidden="false" customHeight="true" outlineLevel="0" collapsed="false">
      <c r="A2380" s="6" t="s">
        <v>17992</v>
      </c>
      <c r="B2380" s="6" t="s">
        <v>1647</v>
      </c>
      <c r="C2380" s="6" t="s">
        <v>124</v>
      </c>
      <c r="D2380" s="6" t="s">
        <v>31</v>
      </c>
      <c r="E2380" s="14" t="n">
        <v>1676.87</v>
      </c>
      <c r="F2380" s="14" t="n">
        <v>6707.48</v>
      </c>
      <c r="G2380" s="6" t="s">
        <v>15614</v>
      </c>
    </row>
    <row r="2381" customFormat="false" ht="15" hidden="false" customHeight="true" outlineLevel="0" collapsed="false">
      <c r="A2381" s="6" t="s">
        <v>17993</v>
      </c>
      <c r="B2381" s="6" t="s">
        <v>1649</v>
      </c>
      <c r="C2381" s="6" t="s">
        <v>131</v>
      </c>
      <c r="D2381" s="6" t="s">
        <v>62</v>
      </c>
      <c r="E2381" s="14" t="n">
        <v>940</v>
      </c>
      <c r="F2381" s="14" t="n">
        <v>940</v>
      </c>
      <c r="G2381" s="6" t="s">
        <v>15614</v>
      </c>
    </row>
    <row r="2382" customFormat="false" ht="15" hidden="false" customHeight="true" outlineLevel="0" collapsed="false">
      <c r="A2382" s="6" t="s">
        <v>17994</v>
      </c>
      <c r="B2382" s="6" t="s">
        <v>1649</v>
      </c>
      <c r="C2382" s="6" t="s">
        <v>131</v>
      </c>
      <c r="D2382" s="6" t="s">
        <v>63</v>
      </c>
      <c r="E2382" s="14" t="n">
        <v>940</v>
      </c>
      <c r="F2382" s="14" t="n">
        <v>1880</v>
      </c>
      <c r="G2382" s="6" t="s">
        <v>15614</v>
      </c>
    </row>
    <row r="2383" customFormat="false" ht="15" hidden="false" customHeight="true" outlineLevel="0" collapsed="false">
      <c r="A2383" s="6" t="s">
        <v>17995</v>
      </c>
      <c r="B2383" s="6" t="s">
        <v>1649</v>
      </c>
      <c r="C2383" s="6" t="s">
        <v>131</v>
      </c>
      <c r="D2383" s="6" t="s">
        <v>64</v>
      </c>
      <c r="E2383" s="14" t="n">
        <v>940</v>
      </c>
      <c r="F2383" s="14" t="n">
        <v>2820</v>
      </c>
      <c r="G2383" s="6" t="s">
        <v>15614</v>
      </c>
    </row>
    <row r="2384" customFormat="false" ht="15" hidden="false" customHeight="true" outlineLevel="0" collapsed="false">
      <c r="A2384" s="6" t="s">
        <v>17996</v>
      </c>
      <c r="B2384" s="6" t="s">
        <v>1649</v>
      </c>
      <c r="C2384" s="6" t="s">
        <v>131</v>
      </c>
      <c r="D2384" s="6" t="s">
        <v>65</v>
      </c>
      <c r="E2384" s="14" t="n">
        <v>940</v>
      </c>
      <c r="F2384" s="14" t="n">
        <v>3760</v>
      </c>
      <c r="G2384" s="6" t="s">
        <v>15614</v>
      </c>
    </row>
    <row r="2385" customFormat="false" ht="15" hidden="false" customHeight="true" outlineLevel="0" collapsed="false">
      <c r="A2385" s="6" t="s">
        <v>17997</v>
      </c>
      <c r="B2385" s="6" t="s">
        <v>1651</v>
      </c>
      <c r="C2385" s="6" t="s">
        <v>112</v>
      </c>
      <c r="D2385" s="6" t="s">
        <v>50</v>
      </c>
      <c r="E2385" s="14" t="n">
        <v>2167.46</v>
      </c>
      <c r="F2385" s="14" t="n">
        <v>2167.46</v>
      </c>
      <c r="G2385" s="6" t="s">
        <v>15614</v>
      </c>
    </row>
    <row r="2386" customFormat="false" ht="15" hidden="false" customHeight="true" outlineLevel="0" collapsed="false">
      <c r="A2386" s="6" t="s">
        <v>17998</v>
      </c>
      <c r="B2386" s="6" t="s">
        <v>1651</v>
      </c>
      <c r="C2386" s="6" t="s">
        <v>112</v>
      </c>
      <c r="D2386" s="6" t="s">
        <v>51</v>
      </c>
      <c r="E2386" s="14" t="n">
        <v>2167.46</v>
      </c>
      <c r="F2386" s="14" t="n">
        <v>4334.92</v>
      </c>
      <c r="G2386" s="6" t="s">
        <v>15614</v>
      </c>
    </row>
    <row r="2387" customFormat="false" ht="15" hidden="false" customHeight="true" outlineLevel="0" collapsed="false">
      <c r="A2387" s="6" t="s">
        <v>17999</v>
      </c>
      <c r="B2387" s="6" t="s">
        <v>1651</v>
      </c>
      <c r="C2387" s="6" t="s">
        <v>112</v>
      </c>
      <c r="D2387" s="6" t="s">
        <v>52</v>
      </c>
      <c r="E2387" s="14" t="n">
        <v>2167.46</v>
      </c>
      <c r="F2387" s="14" t="n">
        <v>6502.38</v>
      </c>
      <c r="G2387" s="6" t="s">
        <v>15614</v>
      </c>
    </row>
    <row r="2388" customFormat="false" ht="15" hidden="false" customHeight="true" outlineLevel="0" collapsed="false">
      <c r="A2388" s="6" t="s">
        <v>18000</v>
      </c>
      <c r="B2388" s="6" t="s">
        <v>1651</v>
      </c>
      <c r="C2388" s="6" t="s">
        <v>112</v>
      </c>
      <c r="D2388" s="6" t="s">
        <v>53</v>
      </c>
      <c r="E2388" s="14" t="n">
        <v>2167.46</v>
      </c>
      <c r="F2388" s="14" t="n">
        <v>8669.84</v>
      </c>
      <c r="G2388" s="6" t="s">
        <v>15614</v>
      </c>
    </row>
    <row r="2389" customFormat="false" ht="15" hidden="false" customHeight="true" outlineLevel="0" collapsed="false">
      <c r="A2389" s="6" t="s">
        <v>18001</v>
      </c>
      <c r="B2389" s="6" t="s">
        <v>1653</v>
      </c>
      <c r="C2389" s="6" t="s">
        <v>128</v>
      </c>
      <c r="D2389" s="6" t="s">
        <v>56</v>
      </c>
      <c r="E2389" s="14" t="n">
        <v>4034.65</v>
      </c>
      <c r="F2389" s="14" t="n">
        <v>4034.65</v>
      </c>
      <c r="G2389" s="6" t="s">
        <v>15614</v>
      </c>
    </row>
    <row r="2390" customFormat="false" ht="15" hidden="false" customHeight="true" outlineLevel="0" collapsed="false">
      <c r="A2390" s="6" t="s">
        <v>18002</v>
      </c>
      <c r="B2390" s="6" t="s">
        <v>1653</v>
      </c>
      <c r="C2390" s="6" t="s">
        <v>128</v>
      </c>
      <c r="D2390" s="6" t="s">
        <v>57</v>
      </c>
      <c r="E2390" s="14" t="n">
        <v>4034.65</v>
      </c>
      <c r="F2390" s="14" t="n">
        <v>8069.3</v>
      </c>
      <c r="G2390" s="6" t="s">
        <v>15614</v>
      </c>
    </row>
    <row r="2391" customFormat="false" ht="15" hidden="false" customHeight="true" outlineLevel="0" collapsed="false">
      <c r="A2391" s="6" t="s">
        <v>18003</v>
      </c>
      <c r="B2391" s="6" t="s">
        <v>1653</v>
      </c>
      <c r="C2391" s="6" t="s">
        <v>128</v>
      </c>
      <c r="D2391" s="6" t="s">
        <v>58</v>
      </c>
      <c r="E2391" s="14" t="n">
        <v>4034.65</v>
      </c>
      <c r="F2391" s="14" t="n">
        <v>12103.95</v>
      </c>
      <c r="G2391" s="6" t="s">
        <v>15614</v>
      </c>
    </row>
    <row r="2392" customFormat="false" ht="15" hidden="false" customHeight="true" outlineLevel="0" collapsed="false">
      <c r="A2392" s="6" t="s">
        <v>18004</v>
      </c>
      <c r="B2392" s="6" t="s">
        <v>1653</v>
      </c>
      <c r="C2392" s="6" t="s">
        <v>128</v>
      </c>
      <c r="D2392" s="6" t="s">
        <v>59</v>
      </c>
      <c r="E2392" s="14" t="n">
        <v>4034.65</v>
      </c>
      <c r="F2392" s="14" t="n">
        <v>16138.6</v>
      </c>
      <c r="G2392" s="6" t="s">
        <v>15614</v>
      </c>
    </row>
    <row r="2393" customFormat="false" ht="15" hidden="false" customHeight="true" outlineLevel="0" collapsed="false">
      <c r="A2393" s="6" t="s">
        <v>18005</v>
      </c>
      <c r="B2393" s="6" t="s">
        <v>1655</v>
      </c>
      <c r="C2393" s="6" t="s">
        <v>116</v>
      </c>
      <c r="D2393" s="6" t="s">
        <v>37</v>
      </c>
      <c r="E2393" s="14" t="n">
        <v>1281.14</v>
      </c>
      <c r="F2393" s="14" t="n">
        <v>1281.14</v>
      </c>
      <c r="G2393" s="6" t="s">
        <v>15614</v>
      </c>
    </row>
    <row r="2394" customFormat="false" ht="15" hidden="false" customHeight="true" outlineLevel="0" collapsed="false">
      <c r="A2394" s="6" t="s">
        <v>18006</v>
      </c>
      <c r="B2394" s="6" t="s">
        <v>1655</v>
      </c>
      <c r="C2394" s="6" t="s">
        <v>116</v>
      </c>
      <c r="D2394" s="6" t="s">
        <v>38</v>
      </c>
      <c r="E2394" s="14" t="n">
        <v>1281.14</v>
      </c>
      <c r="F2394" s="14" t="n">
        <v>2562.28</v>
      </c>
      <c r="G2394" s="6" t="s">
        <v>15614</v>
      </c>
    </row>
    <row r="2395" customFormat="false" ht="15" hidden="false" customHeight="true" outlineLevel="0" collapsed="false">
      <c r="A2395" s="6" t="s">
        <v>18007</v>
      </c>
      <c r="B2395" s="6" t="s">
        <v>1655</v>
      </c>
      <c r="C2395" s="6" t="s">
        <v>116</v>
      </c>
      <c r="D2395" s="6" t="s">
        <v>39</v>
      </c>
      <c r="E2395" s="14" t="n">
        <v>1281.14</v>
      </c>
      <c r="F2395" s="14" t="n">
        <v>3843.42</v>
      </c>
      <c r="G2395" s="6" t="s">
        <v>15614</v>
      </c>
    </row>
    <row r="2396" customFormat="false" ht="15" hidden="false" customHeight="true" outlineLevel="0" collapsed="false">
      <c r="A2396" s="6" t="s">
        <v>18008</v>
      </c>
      <c r="B2396" s="6" t="s">
        <v>1655</v>
      </c>
      <c r="C2396" s="6" t="s">
        <v>116</v>
      </c>
      <c r="D2396" s="6" t="s">
        <v>40</v>
      </c>
      <c r="E2396" s="14" t="n">
        <v>1281.14</v>
      </c>
      <c r="F2396" s="14" t="n">
        <v>5124.56</v>
      </c>
      <c r="G2396" s="6" t="s">
        <v>15614</v>
      </c>
    </row>
    <row r="2397" customFormat="false" ht="15" hidden="false" customHeight="true" outlineLevel="0" collapsed="false">
      <c r="A2397" s="6" t="s">
        <v>18009</v>
      </c>
      <c r="B2397" s="6" t="s">
        <v>1655</v>
      </c>
      <c r="C2397" s="6" t="s">
        <v>116</v>
      </c>
      <c r="D2397" s="6" t="s">
        <v>41</v>
      </c>
      <c r="E2397" s="14" t="n">
        <v>1281.14</v>
      </c>
      <c r="F2397" s="14" t="n">
        <v>6405.7</v>
      </c>
      <c r="G2397" s="6" t="s">
        <v>15614</v>
      </c>
    </row>
    <row r="2398" customFormat="false" ht="15" hidden="false" customHeight="true" outlineLevel="0" collapsed="false">
      <c r="A2398" s="6" t="s">
        <v>18010</v>
      </c>
      <c r="B2398" s="6" t="s">
        <v>1657</v>
      </c>
      <c r="C2398" s="6" t="s">
        <v>124</v>
      </c>
      <c r="D2398" s="6" t="s">
        <v>13</v>
      </c>
      <c r="E2398" s="14" t="n">
        <v>1654.92</v>
      </c>
      <c r="F2398" s="14" t="n">
        <v>1654.92</v>
      </c>
      <c r="G2398" s="6" t="s">
        <v>15614</v>
      </c>
    </row>
    <row r="2399" customFormat="false" ht="15" hidden="false" customHeight="true" outlineLevel="0" collapsed="false">
      <c r="A2399" s="6" t="s">
        <v>18011</v>
      </c>
      <c r="B2399" s="6" t="s">
        <v>1657</v>
      </c>
      <c r="C2399" s="6" t="s">
        <v>124</v>
      </c>
      <c r="D2399" s="6" t="s">
        <v>14</v>
      </c>
      <c r="E2399" s="14" t="n">
        <v>1654.92</v>
      </c>
      <c r="F2399" s="14" t="n">
        <v>3309.84</v>
      </c>
      <c r="G2399" s="6" t="s">
        <v>15614</v>
      </c>
    </row>
    <row r="2400" customFormat="false" ht="15" hidden="false" customHeight="true" outlineLevel="0" collapsed="false">
      <c r="A2400" s="6" t="s">
        <v>18012</v>
      </c>
      <c r="B2400" s="6" t="s">
        <v>1659</v>
      </c>
      <c r="C2400" s="6" t="s">
        <v>131</v>
      </c>
      <c r="D2400" s="6" t="s">
        <v>34</v>
      </c>
      <c r="E2400" s="14" t="n">
        <v>1134.17</v>
      </c>
      <c r="F2400" s="14" t="n">
        <v>1134.17</v>
      </c>
      <c r="G2400" s="6" t="s">
        <v>15614</v>
      </c>
    </row>
    <row r="2401" customFormat="false" ht="15" hidden="false" customHeight="true" outlineLevel="0" collapsed="false">
      <c r="A2401" s="6" t="s">
        <v>18013</v>
      </c>
      <c r="B2401" s="6" t="s">
        <v>1659</v>
      </c>
      <c r="C2401" s="6" t="s">
        <v>131</v>
      </c>
      <c r="D2401" s="6" t="s">
        <v>35</v>
      </c>
      <c r="E2401" s="14" t="n">
        <v>1134.17</v>
      </c>
      <c r="F2401" s="14" t="n">
        <v>2268.34</v>
      </c>
      <c r="G2401" s="6" t="s">
        <v>15614</v>
      </c>
    </row>
    <row r="2402" customFormat="false" ht="15" hidden="false" customHeight="true" outlineLevel="0" collapsed="false">
      <c r="A2402" s="6" t="s">
        <v>18014</v>
      </c>
      <c r="B2402" s="6" t="s">
        <v>1659</v>
      </c>
      <c r="C2402" s="6" t="s">
        <v>131</v>
      </c>
      <c r="D2402" s="6" t="s">
        <v>36</v>
      </c>
      <c r="E2402" s="14" t="n">
        <v>1134.17</v>
      </c>
      <c r="F2402" s="14" t="n">
        <v>3402.51</v>
      </c>
      <c r="G2402" s="6" t="s">
        <v>15614</v>
      </c>
    </row>
    <row r="2403" customFormat="false" ht="15" hidden="false" customHeight="true" outlineLevel="0" collapsed="false">
      <c r="A2403" s="6" t="s">
        <v>18015</v>
      </c>
      <c r="B2403" s="6" t="s">
        <v>1659</v>
      </c>
      <c r="C2403" s="6" t="s">
        <v>131</v>
      </c>
      <c r="D2403" s="6" t="s">
        <v>37</v>
      </c>
      <c r="E2403" s="14" t="n">
        <v>1134.17</v>
      </c>
      <c r="F2403" s="14" t="n">
        <v>4536.68</v>
      </c>
      <c r="G2403" s="6" t="s">
        <v>15614</v>
      </c>
    </row>
    <row r="2404" customFormat="false" ht="15" hidden="false" customHeight="true" outlineLevel="0" collapsed="false">
      <c r="A2404" s="6" t="s">
        <v>18016</v>
      </c>
      <c r="B2404" s="6" t="s">
        <v>1659</v>
      </c>
      <c r="C2404" s="6" t="s">
        <v>131</v>
      </c>
      <c r="D2404" s="6" t="s">
        <v>38</v>
      </c>
      <c r="E2404" s="14" t="n">
        <v>1134.17</v>
      </c>
      <c r="F2404" s="14" t="n">
        <v>5670.85</v>
      </c>
      <c r="G2404" s="6" t="s">
        <v>15614</v>
      </c>
    </row>
    <row r="2405" customFormat="false" ht="15" hidden="false" customHeight="true" outlineLevel="0" collapsed="false">
      <c r="A2405" s="6" t="s">
        <v>18017</v>
      </c>
      <c r="B2405" s="6" t="s">
        <v>1659</v>
      </c>
      <c r="C2405" s="6" t="s">
        <v>131</v>
      </c>
      <c r="D2405" s="6" t="s">
        <v>39</v>
      </c>
      <c r="E2405" s="14" t="n">
        <v>1134.17</v>
      </c>
      <c r="F2405" s="14" t="n">
        <v>6805.02</v>
      </c>
      <c r="G2405" s="6" t="s">
        <v>15614</v>
      </c>
    </row>
    <row r="2406" customFormat="false" ht="15" hidden="false" customHeight="true" outlineLevel="0" collapsed="false">
      <c r="A2406" s="6" t="s">
        <v>18018</v>
      </c>
      <c r="B2406" s="6" t="s">
        <v>1661</v>
      </c>
      <c r="C2406" s="6" t="s">
        <v>124</v>
      </c>
      <c r="D2406" s="6" t="s">
        <v>14</v>
      </c>
      <c r="E2406" s="14" t="n">
        <v>1299.71</v>
      </c>
      <c r="F2406" s="14" t="n">
        <v>1299.71</v>
      </c>
      <c r="G2406" s="6" t="s">
        <v>15614</v>
      </c>
    </row>
    <row r="2407" customFormat="false" ht="15" hidden="false" customHeight="true" outlineLevel="0" collapsed="false">
      <c r="A2407" s="6" t="s">
        <v>18019</v>
      </c>
      <c r="B2407" s="6" t="s">
        <v>1661</v>
      </c>
      <c r="C2407" s="6" t="s">
        <v>124</v>
      </c>
      <c r="D2407" s="6" t="s">
        <v>15</v>
      </c>
      <c r="E2407" s="14" t="n">
        <v>1299.71</v>
      </c>
      <c r="F2407" s="14" t="n">
        <v>2599.42</v>
      </c>
      <c r="G2407" s="6" t="s">
        <v>15614</v>
      </c>
    </row>
    <row r="2408" customFormat="false" ht="15" hidden="false" customHeight="true" outlineLevel="0" collapsed="false">
      <c r="A2408" s="6" t="s">
        <v>18020</v>
      </c>
      <c r="B2408" s="6" t="s">
        <v>1661</v>
      </c>
      <c r="C2408" s="6" t="s">
        <v>124</v>
      </c>
      <c r="D2408" s="6" t="s">
        <v>16</v>
      </c>
      <c r="E2408" s="14" t="n">
        <v>1299.71</v>
      </c>
      <c r="F2408" s="14" t="n">
        <v>3899.13</v>
      </c>
      <c r="G2408" s="6" t="s">
        <v>15614</v>
      </c>
    </row>
    <row r="2409" customFormat="false" ht="15" hidden="false" customHeight="true" outlineLevel="0" collapsed="false">
      <c r="A2409" s="6" t="s">
        <v>18021</v>
      </c>
      <c r="B2409" s="6" t="s">
        <v>1661</v>
      </c>
      <c r="C2409" s="6" t="s">
        <v>124</v>
      </c>
      <c r="D2409" s="6" t="s">
        <v>17</v>
      </c>
      <c r="E2409" s="14" t="n">
        <v>1299.71</v>
      </c>
      <c r="F2409" s="14" t="n">
        <v>5198.84</v>
      </c>
      <c r="G2409" s="6" t="s">
        <v>15614</v>
      </c>
    </row>
    <row r="2410" customFormat="false" ht="15" hidden="false" customHeight="true" outlineLevel="0" collapsed="false">
      <c r="A2410" s="6" t="s">
        <v>18022</v>
      </c>
      <c r="B2410" s="6" t="s">
        <v>1661</v>
      </c>
      <c r="C2410" s="6" t="s">
        <v>124</v>
      </c>
      <c r="D2410" s="6" t="s">
        <v>18</v>
      </c>
      <c r="E2410" s="14" t="n">
        <v>1299.71</v>
      </c>
      <c r="F2410" s="14" t="n">
        <v>6498.55</v>
      </c>
      <c r="G2410" s="6" t="s">
        <v>15614</v>
      </c>
    </row>
    <row r="2411" customFormat="false" ht="15" hidden="false" customHeight="true" outlineLevel="0" collapsed="false">
      <c r="A2411" s="6" t="s">
        <v>18023</v>
      </c>
      <c r="B2411" s="6" t="s">
        <v>1663</v>
      </c>
      <c r="C2411" s="6" t="s">
        <v>124</v>
      </c>
      <c r="D2411" s="6" t="s">
        <v>54</v>
      </c>
      <c r="E2411" s="14" t="n">
        <v>1082.77</v>
      </c>
      <c r="F2411" s="14" t="n">
        <v>1082.77</v>
      </c>
      <c r="G2411" s="6" t="s">
        <v>15614</v>
      </c>
    </row>
    <row r="2412" customFormat="false" ht="15" hidden="false" customHeight="true" outlineLevel="0" collapsed="false">
      <c r="A2412" s="6" t="s">
        <v>18024</v>
      </c>
      <c r="B2412" s="6" t="s">
        <v>1663</v>
      </c>
      <c r="C2412" s="6" t="s">
        <v>124</v>
      </c>
      <c r="D2412" s="6" t="s">
        <v>55</v>
      </c>
      <c r="E2412" s="14" t="n">
        <v>1082.77</v>
      </c>
      <c r="F2412" s="14" t="n">
        <v>2165.54</v>
      </c>
      <c r="G2412" s="6" t="s">
        <v>15614</v>
      </c>
    </row>
    <row r="2413" customFormat="false" ht="15" hidden="false" customHeight="true" outlineLevel="0" collapsed="false">
      <c r="A2413" s="6" t="s">
        <v>18025</v>
      </c>
      <c r="B2413" s="6" t="s">
        <v>1665</v>
      </c>
      <c r="C2413" s="6" t="s">
        <v>112</v>
      </c>
      <c r="D2413" s="6" t="s">
        <v>43</v>
      </c>
      <c r="E2413" s="14" t="n">
        <v>650.62</v>
      </c>
      <c r="F2413" s="14" t="n">
        <v>650.62</v>
      </c>
      <c r="G2413" s="6" t="s">
        <v>15614</v>
      </c>
    </row>
    <row r="2414" customFormat="false" ht="15" hidden="false" customHeight="true" outlineLevel="0" collapsed="false">
      <c r="A2414" s="6" t="s">
        <v>18026</v>
      </c>
      <c r="B2414" s="6" t="s">
        <v>1665</v>
      </c>
      <c r="C2414" s="6" t="s">
        <v>112</v>
      </c>
      <c r="D2414" s="6" t="s">
        <v>44</v>
      </c>
      <c r="E2414" s="14" t="n">
        <v>650.62</v>
      </c>
      <c r="F2414" s="14" t="n">
        <v>1301.24</v>
      </c>
      <c r="G2414" s="6" t="s">
        <v>15614</v>
      </c>
    </row>
    <row r="2415" customFormat="false" ht="15" hidden="false" customHeight="true" outlineLevel="0" collapsed="false">
      <c r="A2415" s="6" t="s">
        <v>18027</v>
      </c>
      <c r="B2415" s="6" t="s">
        <v>1667</v>
      </c>
      <c r="C2415" s="6" t="s">
        <v>120</v>
      </c>
      <c r="D2415" s="6" t="s">
        <v>33</v>
      </c>
      <c r="E2415" s="14" t="n">
        <v>1145.65</v>
      </c>
      <c r="F2415" s="14" t="n">
        <v>1145.65</v>
      </c>
      <c r="G2415" s="6" t="s">
        <v>15614</v>
      </c>
    </row>
    <row r="2416" customFormat="false" ht="15" hidden="false" customHeight="true" outlineLevel="0" collapsed="false">
      <c r="A2416" s="6" t="s">
        <v>18028</v>
      </c>
      <c r="B2416" s="6" t="s">
        <v>1667</v>
      </c>
      <c r="C2416" s="6" t="s">
        <v>120</v>
      </c>
      <c r="D2416" s="6" t="s">
        <v>34</v>
      </c>
      <c r="E2416" s="14" t="n">
        <v>1145.65</v>
      </c>
      <c r="F2416" s="14" t="n">
        <v>2291.3</v>
      </c>
      <c r="G2416" s="6" t="s">
        <v>15614</v>
      </c>
    </row>
    <row r="2417" customFormat="false" ht="15" hidden="false" customHeight="true" outlineLevel="0" collapsed="false">
      <c r="A2417" s="6" t="s">
        <v>18029</v>
      </c>
      <c r="B2417" s="6" t="s">
        <v>1669</v>
      </c>
      <c r="C2417" s="6" t="s">
        <v>116</v>
      </c>
      <c r="D2417" s="6" t="s">
        <v>39</v>
      </c>
      <c r="E2417" s="14" t="n">
        <v>2964.9</v>
      </c>
      <c r="F2417" s="14" t="n">
        <v>2964.9</v>
      </c>
      <c r="G2417" s="6" t="s">
        <v>15614</v>
      </c>
    </row>
    <row r="2418" customFormat="false" ht="15" hidden="false" customHeight="true" outlineLevel="0" collapsed="false">
      <c r="A2418" s="6" t="s">
        <v>18030</v>
      </c>
      <c r="B2418" s="6" t="s">
        <v>1669</v>
      </c>
      <c r="C2418" s="6" t="s">
        <v>116</v>
      </c>
      <c r="D2418" s="6" t="s">
        <v>40</v>
      </c>
      <c r="E2418" s="14" t="n">
        <v>2964.9</v>
      </c>
      <c r="F2418" s="14" t="n">
        <v>5929.8</v>
      </c>
      <c r="G2418" s="6" t="s">
        <v>15614</v>
      </c>
    </row>
    <row r="2419" customFormat="false" ht="15" hidden="false" customHeight="true" outlineLevel="0" collapsed="false">
      <c r="A2419" s="6" t="s">
        <v>18031</v>
      </c>
      <c r="B2419" s="6" t="s">
        <v>1669</v>
      </c>
      <c r="C2419" s="6" t="s">
        <v>116</v>
      </c>
      <c r="D2419" s="6" t="s">
        <v>41</v>
      </c>
      <c r="E2419" s="14" t="n">
        <v>2964.9</v>
      </c>
      <c r="F2419" s="14" t="n">
        <v>8894.7</v>
      </c>
      <c r="G2419" s="6" t="s">
        <v>15614</v>
      </c>
    </row>
    <row r="2420" customFormat="false" ht="15" hidden="false" customHeight="true" outlineLevel="0" collapsed="false">
      <c r="A2420" s="6" t="s">
        <v>18032</v>
      </c>
      <c r="B2420" s="6" t="s">
        <v>1671</v>
      </c>
      <c r="C2420" s="6" t="s">
        <v>116</v>
      </c>
      <c r="D2420" s="6" t="s">
        <v>57</v>
      </c>
      <c r="E2420" s="14" t="n">
        <v>904.53</v>
      </c>
      <c r="F2420" s="14" t="n">
        <v>904.53</v>
      </c>
      <c r="G2420" s="6" t="s">
        <v>15614</v>
      </c>
    </row>
    <row r="2421" customFormat="false" ht="15" hidden="false" customHeight="true" outlineLevel="0" collapsed="false">
      <c r="A2421" s="6" t="s">
        <v>18033</v>
      </c>
      <c r="B2421" s="6" t="s">
        <v>1671</v>
      </c>
      <c r="C2421" s="6" t="s">
        <v>116</v>
      </c>
      <c r="D2421" s="6" t="s">
        <v>58</v>
      </c>
      <c r="E2421" s="14" t="n">
        <v>904.53</v>
      </c>
      <c r="F2421" s="14" t="n">
        <v>1809.06</v>
      </c>
      <c r="G2421" s="6" t="s">
        <v>15614</v>
      </c>
    </row>
    <row r="2422" customFormat="false" ht="15" hidden="false" customHeight="true" outlineLevel="0" collapsed="false">
      <c r="A2422" s="6" t="s">
        <v>18034</v>
      </c>
      <c r="B2422" s="6" t="s">
        <v>1671</v>
      </c>
      <c r="C2422" s="6" t="s">
        <v>116</v>
      </c>
      <c r="D2422" s="6" t="s">
        <v>59</v>
      </c>
      <c r="E2422" s="14" t="n">
        <v>904.53</v>
      </c>
      <c r="F2422" s="14" t="n">
        <v>2713.59</v>
      </c>
      <c r="G2422" s="6" t="s">
        <v>15614</v>
      </c>
    </row>
    <row r="2423" customFormat="false" ht="15" hidden="false" customHeight="true" outlineLevel="0" collapsed="false">
      <c r="A2423" s="6" t="s">
        <v>18035</v>
      </c>
      <c r="B2423" s="6" t="s">
        <v>1671</v>
      </c>
      <c r="C2423" s="6" t="s">
        <v>116</v>
      </c>
      <c r="D2423" s="6" t="s">
        <v>60</v>
      </c>
      <c r="E2423" s="14" t="n">
        <v>904.53</v>
      </c>
      <c r="F2423" s="14" t="n">
        <v>3618.12</v>
      </c>
      <c r="G2423" s="6" t="s">
        <v>15614</v>
      </c>
    </row>
    <row r="2424" customFormat="false" ht="15" hidden="false" customHeight="true" outlineLevel="0" collapsed="false">
      <c r="A2424" s="6" t="s">
        <v>18036</v>
      </c>
      <c r="B2424" s="6" t="s">
        <v>1671</v>
      </c>
      <c r="C2424" s="6" t="s">
        <v>116</v>
      </c>
      <c r="D2424" s="6" t="s">
        <v>61</v>
      </c>
      <c r="E2424" s="14" t="n">
        <v>904.53</v>
      </c>
      <c r="F2424" s="14" t="n">
        <v>4522.65</v>
      </c>
      <c r="G2424" s="6" t="s">
        <v>15614</v>
      </c>
    </row>
    <row r="2425" customFormat="false" ht="15" hidden="false" customHeight="true" outlineLevel="0" collapsed="false">
      <c r="A2425" s="6" t="s">
        <v>18037</v>
      </c>
      <c r="B2425" s="6" t="s">
        <v>1671</v>
      </c>
      <c r="C2425" s="6" t="s">
        <v>116</v>
      </c>
      <c r="D2425" s="6" t="s">
        <v>62</v>
      </c>
      <c r="E2425" s="14" t="n">
        <v>904.53</v>
      </c>
      <c r="F2425" s="14" t="n">
        <v>5427.18</v>
      </c>
      <c r="G2425" s="6" t="s">
        <v>15614</v>
      </c>
    </row>
    <row r="2426" customFormat="false" ht="15" hidden="false" customHeight="true" outlineLevel="0" collapsed="false">
      <c r="A2426" s="6" t="s">
        <v>18038</v>
      </c>
      <c r="B2426" s="6" t="s">
        <v>1673</v>
      </c>
      <c r="C2426" s="6" t="s">
        <v>120</v>
      </c>
      <c r="D2426" s="6" t="s">
        <v>37</v>
      </c>
      <c r="E2426" s="14" t="n">
        <v>1984.43</v>
      </c>
      <c r="F2426" s="14" t="n">
        <v>1984.43</v>
      </c>
      <c r="G2426" s="6" t="s">
        <v>15614</v>
      </c>
    </row>
    <row r="2427" customFormat="false" ht="15" hidden="false" customHeight="true" outlineLevel="0" collapsed="false">
      <c r="A2427" s="6" t="s">
        <v>18039</v>
      </c>
      <c r="B2427" s="6" t="s">
        <v>1673</v>
      </c>
      <c r="C2427" s="6" t="s">
        <v>120</v>
      </c>
      <c r="D2427" s="6" t="s">
        <v>38</v>
      </c>
      <c r="E2427" s="14" t="n">
        <v>1984.43</v>
      </c>
      <c r="F2427" s="14" t="n">
        <v>3968.86</v>
      </c>
      <c r="G2427" s="6" t="s">
        <v>15614</v>
      </c>
    </row>
    <row r="2428" customFormat="false" ht="15" hidden="false" customHeight="true" outlineLevel="0" collapsed="false">
      <c r="A2428" s="6" t="s">
        <v>18040</v>
      </c>
      <c r="B2428" s="6" t="s">
        <v>1673</v>
      </c>
      <c r="C2428" s="6" t="s">
        <v>120</v>
      </c>
      <c r="D2428" s="6" t="s">
        <v>39</v>
      </c>
      <c r="E2428" s="14" t="n">
        <v>1984.43</v>
      </c>
      <c r="F2428" s="14" t="n">
        <v>5953.29</v>
      </c>
      <c r="G2428" s="6" t="s">
        <v>15614</v>
      </c>
    </row>
    <row r="2429" customFormat="false" ht="15" hidden="false" customHeight="true" outlineLevel="0" collapsed="false">
      <c r="A2429" s="6" t="s">
        <v>18041</v>
      </c>
      <c r="B2429" s="6" t="s">
        <v>1675</v>
      </c>
      <c r="C2429" s="6" t="s">
        <v>131</v>
      </c>
      <c r="D2429" s="6" t="s">
        <v>61</v>
      </c>
      <c r="E2429" s="14" t="n">
        <v>2832.41</v>
      </c>
      <c r="F2429" s="14" t="n">
        <v>2832.41</v>
      </c>
      <c r="G2429" s="6" t="s">
        <v>15614</v>
      </c>
    </row>
    <row r="2430" customFormat="false" ht="15" hidden="false" customHeight="true" outlineLevel="0" collapsed="false">
      <c r="A2430" s="6" t="s">
        <v>18042</v>
      </c>
      <c r="B2430" s="6" t="s">
        <v>1675</v>
      </c>
      <c r="C2430" s="6" t="s">
        <v>131</v>
      </c>
      <c r="D2430" s="6" t="s">
        <v>62</v>
      </c>
      <c r="E2430" s="14" t="n">
        <v>2832.41</v>
      </c>
      <c r="F2430" s="14" t="n">
        <v>5664.82</v>
      </c>
      <c r="G2430" s="6" t="s">
        <v>15614</v>
      </c>
    </row>
    <row r="2431" customFormat="false" ht="15" hidden="false" customHeight="true" outlineLevel="0" collapsed="false">
      <c r="A2431" s="6" t="s">
        <v>18043</v>
      </c>
      <c r="B2431" s="6" t="s">
        <v>1677</v>
      </c>
      <c r="C2431" s="6" t="s">
        <v>124</v>
      </c>
      <c r="D2431" s="6" t="s">
        <v>19</v>
      </c>
      <c r="E2431" s="14" t="n">
        <v>1922.58</v>
      </c>
      <c r="F2431" s="14" t="n">
        <v>1922.58</v>
      </c>
      <c r="G2431" s="6" t="s">
        <v>15614</v>
      </c>
    </row>
    <row r="2432" customFormat="false" ht="15" hidden="false" customHeight="true" outlineLevel="0" collapsed="false">
      <c r="A2432" s="6" t="s">
        <v>18044</v>
      </c>
      <c r="B2432" s="6" t="s">
        <v>1677</v>
      </c>
      <c r="C2432" s="6" t="s">
        <v>124</v>
      </c>
      <c r="D2432" s="6" t="s">
        <v>20</v>
      </c>
      <c r="E2432" s="14" t="n">
        <v>1922.58</v>
      </c>
      <c r="F2432" s="14" t="n">
        <v>3845.16</v>
      </c>
      <c r="G2432" s="6" t="s">
        <v>15614</v>
      </c>
    </row>
    <row r="2433" customFormat="false" ht="15" hidden="false" customHeight="true" outlineLevel="0" collapsed="false">
      <c r="A2433" s="6" t="s">
        <v>18045</v>
      </c>
      <c r="B2433" s="6" t="s">
        <v>1677</v>
      </c>
      <c r="C2433" s="6" t="s">
        <v>124</v>
      </c>
      <c r="D2433" s="6" t="s">
        <v>21</v>
      </c>
      <c r="E2433" s="14" t="n">
        <v>1922.58</v>
      </c>
      <c r="F2433" s="14" t="n">
        <v>5767.74</v>
      </c>
      <c r="G2433" s="6" t="s">
        <v>15614</v>
      </c>
    </row>
    <row r="2434" customFormat="false" ht="15" hidden="false" customHeight="true" outlineLevel="0" collapsed="false">
      <c r="A2434" s="6" t="s">
        <v>18046</v>
      </c>
      <c r="B2434" s="6" t="s">
        <v>1677</v>
      </c>
      <c r="C2434" s="6" t="s">
        <v>124</v>
      </c>
      <c r="D2434" s="6" t="s">
        <v>22</v>
      </c>
      <c r="E2434" s="14" t="n">
        <v>1922.58</v>
      </c>
      <c r="F2434" s="14" t="n">
        <v>7690.32</v>
      </c>
      <c r="G2434" s="6" t="s">
        <v>15614</v>
      </c>
    </row>
    <row r="2435" customFormat="false" ht="15" hidden="false" customHeight="true" outlineLevel="0" collapsed="false">
      <c r="A2435" s="6" t="s">
        <v>18047</v>
      </c>
      <c r="B2435" s="6" t="s">
        <v>1677</v>
      </c>
      <c r="C2435" s="6" t="s">
        <v>124</v>
      </c>
      <c r="D2435" s="6" t="s">
        <v>23</v>
      </c>
      <c r="E2435" s="14" t="n">
        <v>1922.58</v>
      </c>
      <c r="F2435" s="14" t="n">
        <v>9612.9</v>
      </c>
      <c r="G2435" s="6" t="s">
        <v>15614</v>
      </c>
    </row>
    <row r="2436" customFormat="false" ht="15" hidden="false" customHeight="true" outlineLevel="0" collapsed="false">
      <c r="A2436" s="6" t="s">
        <v>18048</v>
      </c>
      <c r="B2436" s="6" t="s">
        <v>1677</v>
      </c>
      <c r="C2436" s="6" t="s">
        <v>124</v>
      </c>
      <c r="D2436" s="6" t="s">
        <v>24</v>
      </c>
      <c r="E2436" s="14" t="n">
        <v>1922.58</v>
      </c>
      <c r="F2436" s="14" t="n">
        <v>11535.48</v>
      </c>
      <c r="G2436" s="6" t="s">
        <v>15614</v>
      </c>
    </row>
    <row r="2437" customFormat="false" ht="15" hidden="false" customHeight="true" outlineLevel="0" collapsed="false">
      <c r="A2437" s="6" t="s">
        <v>18049</v>
      </c>
      <c r="B2437" s="6" t="s">
        <v>1677</v>
      </c>
      <c r="C2437" s="6" t="s">
        <v>124</v>
      </c>
      <c r="D2437" s="6" t="s">
        <v>25</v>
      </c>
      <c r="E2437" s="14" t="n">
        <v>1922.58</v>
      </c>
      <c r="F2437" s="14" t="n">
        <v>13458.06</v>
      </c>
      <c r="G2437" s="6" t="s">
        <v>15614</v>
      </c>
    </row>
    <row r="2438" customFormat="false" ht="15" hidden="false" customHeight="true" outlineLevel="0" collapsed="false">
      <c r="A2438" s="6" t="s">
        <v>18050</v>
      </c>
      <c r="B2438" s="6" t="s">
        <v>1679</v>
      </c>
      <c r="C2438" s="6" t="s">
        <v>131</v>
      </c>
      <c r="D2438" s="6" t="s">
        <v>14</v>
      </c>
      <c r="E2438" s="14" t="n">
        <v>1051.95</v>
      </c>
      <c r="F2438" s="14" t="n">
        <v>1051.95</v>
      </c>
      <c r="G2438" s="6" t="s">
        <v>15614</v>
      </c>
    </row>
    <row r="2439" customFormat="false" ht="15" hidden="false" customHeight="true" outlineLevel="0" collapsed="false">
      <c r="A2439" s="6" t="s">
        <v>18051</v>
      </c>
      <c r="B2439" s="6" t="s">
        <v>1679</v>
      </c>
      <c r="C2439" s="6" t="s">
        <v>131</v>
      </c>
      <c r="D2439" s="6" t="s">
        <v>15</v>
      </c>
      <c r="E2439" s="14" t="n">
        <v>1051.95</v>
      </c>
      <c r="F2439" s="14" t="n">
        <v>2103.9</v>
      </c>
      <c r="G2439" s="6" t="s">
        <v>15614</v>
      </c>
    </row>
    <row r="2440" customFormat="false" ht="15" hidden="false" customHeight="true" outlineLevel="0" collapsed="false">
      <c r="A2440" s="6" t="s">
        <v>18052</v>
      </c>
      <c r="B2440" s="6" t="s">
        <v>1681</v>
      </c>
      <c r="C2440" s="6" t="s">
        <v>116</v>
      </c>
      <c r="D2440" s="6" t="s">
        <v>47</v>
      </c>
      <c r="E2440" s="14" t="n">
        <v>2738.6</v>
      </c>
      <c r="F2440" s="14" t="n">
        <v>2738.6</v>
      </c>
      <c r="G2440" s="6" t="s">
        <v>15614</v>
      </c>
    </row>
    <row r="2441" customFormat="false" ht="15" hidden="false" customHeight="true" outlineLevel="0" collapsed="false">
      <c r="A2441" s="6" t="s">
        <v>18053</v>
      </c>
      <c r="B2441" s="6" t="s">
        <v>1681</v>
      </c>
      <c r="C2441" s="6" t="s">
        <v>116</v>
      </c>
      <c r="D2441" s="6" t="s">
        <v>48</v>
      </c>
      <c r="E2441" s="14" t="n">
        <v>2738.6</v>
      </c>
      <c r="F2441" s="14" t="n">
        <v>5477.2</v>
      </c>
      <c r="G2441" s="6" t="s">
        <v>15614</v>
      </c>
    </row>
    <row r="2442" customFormat="false" ht="15" hidden="false" customHeight="true" outlineLevel="0" collapsed="false">
      <c r="A2442" s="6" t="s">
        <v>18054</v>
      </c>
      <c r="B2442" s="6" t="s">
        <v>1681</v>
      </c>
      <c r="C2442" s="6" t="s">
        <v>116</v>
      </c>
      <c r="D2442" s="6" t="s">
        <v>49</v>
      </c>
      <c r="E2442" s="14" t="n">
        <v>2738.6</v>
      </c>
      <c r="F2442" s="14" t="n">
        <v>8215.8</v>
      </c>
      <c r="G2442" s="6" t="s">
        <v>15614</v>
      </c>
    </row>
    <row r="2443" customFormat="false" ht="15" hidden="false" customHeight="true" outlineLevel="0" collapsed="false">
      <c r="A2443" s="6" t="s">
        <v>18055</v>
      </c>
      <c r="B2443" s="6" t="s">
        <v>1681</v>
      </c>
      <c r="C2443" s="6" t="s">
        <v>116</v>
      </c>
      <c r="D2443" s="6" t="s">
        <v>50</v>
      </c>
      <c r="E2443" s="14" t="n">
        <v>2738.6</v>
      </c>
      <c r="F2443" s="14" t="n">
        <v>10954.4</v>
      </c>
      <c r="G2443" s="6" t="s">
        <v>15614</v>
      </c>
    </row>
    <row r="2444" customFormat="false" ht="15" hidden="false" customHeight="true" outlineLevel="0" collapsed="false">
      <c r="A2444" s="6" t="s">
        <v>18056</v>
      </c>
      <c r="B2444" s="6" t="s">
        <v>1681</v>
      </c>
      <c r="C2444" s="6" t="s">
        <v>116</v>
      </c>
      <c r="D2444" s="6" t="s">
        <v>51</v>
      </c>
      <c r="E2444" s="14" t="n">
        <v>2738.6</v>
      </c>
      <c r="F2444" s="14" t="n">
        <v>13693</v>
      </c>
      <c r="G2444" s="6" t="s">
        <v>15614</v>
      </c>
    </row>
    <row r="2445" customFormat="false" ht="15" hidden="false" customHeight="true" outlineLevel="0" collapsed="false">
      <c r="A2445" s="6" t="s">
        <v>18057</v>
      </c>
      <c r="B2445" s="6" t="s">
        <v>1683</v>
      </c>
      <c r="C2445" s="6" t="s">
        <v>120</v>
      </c>
      <c r="D2445" s="6" t="s">
        <v>12</v>
      </c>
      <c r="E2445" s="14" t="n">
        <v>922.32</v>
      </c>
      <c r="F2445" s="14" t="n">
        <v>922.32</v>
      </c>
      <c r="G2445" s="6" t="s">
        <v>15614</v>
      </c>
    </row>
    <row r="2446" customFormat="false" ht="15" hidden="false" customHeight="true" outlineLevel="0" collapsed="false">
      <c r="A2446" s="6" t="s">
        <v>18058</v>
      </c>
      <c r="B2446" s="6" t="s">
        <v>1683</v>
      </c>
      <c r="C2446" s="6" t="s">
        <v>120</v>
      </c>
      <c r="D2446" s="6" t="s">
        <v>13</v>
      </c>
      <c r="E2446" s="14" t="n">
        <v>922.32</v>
      </c>
      <c r="F2446" s="14" t="n">
        <v>1844.64</v>
      </c>
      <c r="G2446" s="6" t="s">
        <v>15614</v>
      </c>
    </row>
    <row r="2447" customFormat="false" ht="15" hidden="false" customHeight="true" outlineLevel="0" collapsed="false">
      <c r="A2447" s="6" t="s">
        <v>18059</v>
      </c>
      <c r="B2447" s="6" t="s">
        <v>1683</v>
      </c>
      <c r="C2447" s="6" t="s">
        <v>120</v>
      </c>
      <c r="D2447" s="6" t="s">
        <v>14</v>
      </c>
      <c r="E2447" s="14" t="n">
        <v>922.32</v>
      </c>
      <c r="F2447" s="14" t="n">
        <v>2766.96</v>
      </c>
      <c r="G2447" s="6" t="s">
        <v>15614</v>
      </c>
    </row>
    <row r="2448" customFormat="false" ht="15" hidden="false" customHeight="true" outlineLevel="0" collapsed="false">
      <c r="A2448" s="6" t="s">
        <v>18060</v>
      </c>
      <c r="B2448" s="6" t="s">
        <v>1683</v>
      </c>
      <c r="C2448" s="6" t="s">
        <v>120</v>
      </c>
      <c r="D2448" s="6" t="s">
        <v>15</v>
      </c>
      <c r="E2448" s="14" t="n">
        <v>922.32</v>
      </c>
      <c r="F2448" s="14" t="n">
        <v>3689.28</v>
      </c>
      <c r="G2448" s="6" t="s">
        <v>15614</v>
      </c>
    </row>
    <row r="2449" customFormat="false" ht="15" hidden="false" customHeight="true" outlineLevel="0" collapsed="false">
      <c r="A2449" s="6" t="s">
        <v>18061</v>
      </c>
      <c r="B2449" s="6" t="s">
        <v>1685</v>
      </c>
      <c r="C2449" s="6" t="s">
        <v>124</v>
      </c>
      <c r="D2449" s="6" t="s">
        <v>20</v>
      </c>
      <c r="E2449" s="14" t="n">
        <v>1131.4</v>
      </c>
      <c r="F2449" s="14" t="n">
        <v>1131.4</v>
      </c>
      <c r="G2449" s="6" t="s">
        <v>15614</v>
      </c>
    </row>
    <row r="2450" customFormat="false" ht="15" hidden="false" customHeight="true" outlineLevel="0" collapsed="false">
      <c r="A2450" s="6" t="s">
        <v>18062</v>
      </c>
      <c r="B2450" s="6" t="s">
        <v>1685</v>
      </c>
      <c r="C2450" s="6" t="s">
        <v>124</v>
      </c>
      <c r="D2450" s="6" t="s">
        <v>21</v>
      </c>
      <c r="E2450" s="14" t="n">
        <v>1131.4</v>
      </c>
      <c r="F2450" s="14" t="n">
        <v>2262.8</v>
      </c>
      <c r="G2450" s="6" t="s">
        <v>15614</v>
      </c>
    </row>
    <row r="2451" customFormat="false" ht="15" hidden="false" customHeight="true" outlineLevel="0" collapsed="false">
      <c r="A2451" s="6" t="s">
        <v>18063</v>
      </c>
      <c r="B2451" s="6" t="s">
        <v>1687</v>
      </c>
      <c r="C2451" s="6" t="s">
        <v>112</v>
      </c>
      <c r="D2451" s="6" t="s">
        <v>12</v>
      </c>
      <c r="E2451" s="14" t="n">
        <v>2205.01</v>
      </c>
      <c r="F2451" s="14" t="n">
        <v>2205.01</v>
      </c>
      <c r="G2451" s="6" t="s">
        <v>15614</v>
      </c>
    </row>
    <row r="2452" customFormat="false" ht="15" hidden="false" customHeight="true" outlineLevel="0" collapsed="false">
      <c r="A2452" s="6" t="s">
        <v>18064</v>
      </c>
      <c r="B2452" s="6" t="s">
        <v>1687</v>
      </c>
      <c r="C2452" s="6" t="s">
        <v>112</v>
      </c>
      <c r="D2452" s="6" t="s">
        <v>13</v>
      </c>
      <c r="E2452" s="14" t="n">
        <v>2205.01</v>
      </c>
      <c r="F2452" s="14" t="n">
        <v>4410.02</v>
      </c>
      <c r="G2452" s="6" t="s">
        <v>15614</v>
      </c>
    </row>
    <row r="2453" customFormat="false" ht="15" hidden="false" customHeight="true" outlineLevel="0" collapsed="false">
      <c r="A2453" s="6" t="s">
        <v>18065</v>
      </c>
      <c r="B2453" s="6" t="s">
        <v>1689</v>
      </c>
      <c r="C2453" s="6" t="s">
        <v>120</v>
      </c>
      <c r="D2453" s="6" t="s">
        <v>59</v>
      </c>
      <c r="E2453" s="14" t="n">
        <v>389.75</v>
      </c>
      <c r="F2453" s="14" t="n">
        <v>389.75</v>
      </c>
      <c r="G2453" s="6" t="s">
        <v>15614</v>
      </c>
    </row>
    <row r="2454" customFormat="false" ht="15" hidden="false" customHeight="true" outlineLevel="0" collapsed="false">
      <c r="A2454" s="6" t="s">
        <v>18066</v>
      </c>
      <c r="B2454" s="6" t="s">
        <v>1689</v>
      </c>
      <c r="C2454" s="6" t="s">
        <v>120</v>
      </c>
      <c r="D2454" s="6" t="s">
        <v>60</v>
      </c>
      <c r="E2454" s="14" t="n">
        <v>389.75</v>
      </c>
      <c r="F2454" s="14" t="n">
        <v>779.5</v>
      </c>
      <c r="G2454" s="6" t="s">
        <v>15614</v>
      </c>
    </row>
    <row r="2455" customFormat="false" ht="15" hidden="false" customHeight="true" outlineLevel="0" collapsed="false">
      <c r="A2455" s="6" t="s">
        <v>18067</v>
      </c>
      <c r="B2455" s="6" t="s">
        <v>1689</v>
      </c>
      <c r="C2455" s="6" t="s">
        <v>120</v>
      </c>
      <c r="D2455" s="6" t="s">
        <v>61</v>
      </c>
      <c r="E2455" s="14" t="n">
        <v>389.75</v>
      </c>
      <c r="F2455" s="14" t="n">
        <v>1169.25</v>
      </c>
      <c r="G2455" s="6" t="s">
        <v>15614</v>
      </c>
    </row>
    <row r="2456" customFormat="false" ht="15" hidden="false" customHeight="true" outlineLevel="0" collapsed="false">
      <c r="A2456" s="6" t="s">
        <v>18068</v>
      </c>
      <c r="B2456" s="6" t="s">
        <v>1689</v>
      </c>
      <c r="C2456" s="6" t="s">
        <v>120</v>
      </c>
      <c r="D2456" s="6" t="s">
        <v>62</v>
      </c>
      <c r="E2456" s="14" t="n">
        <v>389.75</v>
      </c>
      <c r="F2456" s="14" t="n">
        <v>1559</v>
      </c>
      <c r="G2456" s="6" t="s">
        <v>15614</v>
      </c>
    </row>
    <row r="2457" customFormat="false" ht="15" hidden="false" customHeight="true" outlineLevel="0" collapsed="false">
      <c r="A2457" s="6" t="s">
        <v>18069</v>
      </c>
      <c r="B2457" s="6" t="s">
        <v>1689</v>
      </c>
      <c r="C2457" s="6" t="s">
        <v>120</v>
      </c>
      <c r="D2457" s="6" t="s">
        <v>63</v>
      </c>
      <c r="E2457" s="14" t="n">
        <v>389.75</v>
      </c>
      <c r="F2457" s="14" t="n">
        <v>1948.75</v>
      </c>
      <c r="G2457" s="6" t="s">
        <v>15614</v>
      </c>
    </row>
    <row r="2458" customFormat="false" ht="15" hidden="false" customHeight="true" outlineLevel="0" collapsed="false">
      <c r="A2458" s="6" t="s">
        <v>18070</v>
      </c>
      <c r="B2458" s="6" t="s">
        <v>1691</v>
      </c>
      <c r="C2458" s="6" t="s">
        <v>116</v>
      </c>
      <c r="D2458" s="6" t="s">
        <v>19</v>
      </c>
      <c r="E2458" s="14" t="n">
        <v>424.96</v>
      </c>
      <c r="F2458" s="14" t="n">
        <v>424.96</v>
      </c>
      <c r="G2458" s="6" t="s">
        <v>15614</v>
      </c>
    </row>
    <row r="2459" customFormat="false" ht="15" hidden="false" customHeight="true" outlineLevel="0" collapsed="false">
      <c r="A2459" s="6" t="s">
        <v>18071</v>
      </c>
      <c r="B2459" s="6" t="s">
        <v>1691</v>
      </c>
      <c r="C2459" s="6" t="s">
        <v>116</v>
      </c>
      <c r="D2459" s="6" t="s">
        <v>20</v>
      </c>
      <c r="E2459" s="14" t="n">
        <v>424.96</v>
      </c>
      <c r="F2459" s="14" t="n">
        <v>849.92</v>
      </c>
      <c r="G2459" s="6" t="s">
        <v>15614</v>
      </c>
    </row>
    <row r="2460" customFormat="false" ht="15" hidden="false" customHeight="true" outlineLevel="0" collapsed="false">
      <c r="A2460" s="6" t="s">
        <v>18072</v>
      </c>
      <c r="B2460" s="6" t="s">
        <v>1691</v>
      </c>
      <c r="C2460" s="6" t="s">
        <v>116</v>
      </c>
      <c r="D2460" s="6" t="s">
        <v>21</v>
      </c>
      <c r="E2460" s="14" t="n">
        <v>424.96</v>
      </c>
      <c r="F2460" s="14" t="n">
        <v>1274.88</v>
      </c>
      <c r="G2460" s="6" t="s">
        <v>15614</v>
      </c>
    </row>
    <row r="2461" customFormat="false" ht="15" hidden="false" customHeight="true" outlineLevel="0" collapsed="false">
      <c r="A2461" s="6" t="s">
        <v>18073</v>
      </c>
      <c r="B2461" s="6" t="s">
        <v>1693</v>
      </c>
      <c r="C2461" s="6" t="s">
        <v>131</v>
      </c>
      <c r="D2461" s="6" t="s">
        <v>49</v>
      </c>
      <c r="E2461" s="14" t="n">
        <v>905.49</v>
      </c>
      <c r="F2461" s="14" t="n">
        <v>905.49</v>
      </c>
      <c r="G2461" s="6" t="s">
        <v>15614</v>
      </c>
    </row>
    <row r="2462" customFormat="false" ht="15" hidden="false" customHeight="true" outlineLevel="0" collapsed="false">
      <c r="A2462" s="6" t="s">
        <v>18074</v>
      </c>
      <c r="B2462" s="6" t="s">
        <v>1693</v>
      </c>
      <c r="C2462" s="6" t="s">
        <v>131</v>
      </c>
      <c r="D2462" s="6" t="s">
        <v>50</v>
      </c>
      <c r="E2462" s="14" t="n">
        <v>905.49</v>
      </c>
      <c r="F2462" s="14" t="n">
        <v>1810.98</v>
      </c>
      <c r="G2462" s="6" t="s">
        <v>15614</v>
      </c>
    </row>
    <row r="2463" customFormat="false" ht="15" hidden="false" customHeight="true" outlineLevel="0" collapsed="false">
      <c r="A2463" s="6" t="s">
        <v>18075</v>
      </c>
      <c r="B2463" s="6" t="s">
        <v>1695</v>
      </c>
      <c r="C2463" s="6" t="s">
        <v>124</v>
      </c>
      <c r="D2463" s="6" t="s">
        <v>39</v>
      </c>
      <c r="E2463" s="14" t="n">
        <v>850.42</v>
      </c>
      <c r="F2463" s="14" t="n">
        <v>850.42</v>
      </c>
      <c r="G2463" s="6" t="s">
        <v>15614</v>
      </c>
    </row>
    <row r="2464" customFormat="false" ht="15" hidden="false" customHeight="true" outlineLevel="0" collapsed="false">
      <c r="A2464" s="6" t="s">
        <v>18076</v>
      </c>
      <c r="B2464" s="6" t="s">
        <v>1695</v>
      </c>
      <c r="C2464" s="6" t="s">
        <v>124</v>
      </c>
      <c r="D2464" s="6" t="s">
        <v>40</v>
      </c>
      <c r="E2464" s="14" t="n">
        <v>850.42</v>
      </c>
      <c r="F2464" s="14" t="n">
        <v>1700.84</v>
      </c>
      <c r="G2464" s="6" t="s">
        <v>15614</v>
      </c>
    </row>
    <row r="2465" customFormat="false" ht="15" hidden="false" customHeight="true" outlineLevel="0" collapsed="false">
      <c r="A2465" s="6" t="s">
        <v>18077</v>
      </c>
      <c r="B2465" s="6" t="s">
        <v>1695</v>
      </c>
      <c r="C2465" s="6" t="s">
        <v>124</v>
      </c>
      <c r="D2465" s="6" t="s">
        <v>41</v>
      </c>
      <c r="E2465" s="14" t="n">
        <v>850.42</v>
      </c>
      <c r="F2465" s="14" t="n">
        <v>2551.26</v>
      </c>
      <c r="G2465" s="6" t="s">
        <v>15614</v>
      </c>
    </row>
    <row r="2466" customFormat="false" ht="15" hidden="false" customHeight="true" outlineLevel="0" collapsed="false">
      <c r="A2466" s="6" t="s">
        <v>18078</v>
      </c>
      <c r="B2466" s="6" t="s">
        <v>1697</v>
      </c>
      <c r="C2466" s="6" t="s">
        <v>124</v>
      </c>
      <c r="D2466" s="6" t="s">
        <v>48</v>
      </c>
      <c r="E2466" s="14" t="n">
        <v>1589.81</v>
      </c>
      <c r="F2466" s="14" t="n">
        <v>1589.81</v>
      </c>
      <c r="G2466" s="6" t="s">
        <v>15614</v>
      </c>
    </row>
    <row r="2467" customFormat="false" ht="15" hidden="false" customHeight="true" outlineLevel="0" collapsed="false">
      <c r="A2467" s="6" t="s">
        <v>18079</v>
      </c>
      <c r="B2467" s="6" t="s">
        <v>1697</v>
      </c>
      <c r="C2467" s="6" t="s">
        <v>124</v>
      </c>
      <c r="D2467" s="6" t="s">
        <v>49</v>
      </c>
      <c r="E2467" s="14" t="n">
        <v>1589.81</v>
      </c>
      <c r="F2467" s="14" t="n">
        <v>3179.62</v>
      </c>
      <c r="G2467" s="6" t="s">
        <v>15614</v>
      </c>
    </row>
    <row r="2468" customFormat="false" ht="15" hidden="false" customHeight="true" outlineLevel="0" collapsed="false">
      <c r="A2468" s="6" t="s">
        <v>18080</v>
      </c>
      <c r="B2468" s="6" t="s">
        <v>1699</v>
      </c>
      <c r="C2468" s="6" t="s">
        <v>120</v>
      </c>
      <c r="D2468" s="6" t="s">
        <v>39</v>
      </c>
      <c r="E2468" s="14" t="n">
        <v>648.47</v>
      </c>
      <c r="F2468" s="14" t="n">
        <v>648.47</v>
      </c>
      <c r="G2468" s="6" t="s">
        <v>15614</v>
      </c>
    </row>
    <row r="2469" customFormat="false" ht="15" hidden="false" customHeight="true" outlineLevel="0" collapsed="false">
      <c r="A2469" s="6" t="s">
        <v>18081</v>
      </c>
      <c r="B2469" s="6" t="s">
        <v>1699</v>
      </c>
      <c r="C2469" s="6" t="s">
        <v>120</v>
      </c>
      <c r="D2469" s="6" t="s">
        <v>40</v>
      </c>
      <c r="E2469" s="14" t="n">
        <v>648.47</v>
      </c>
      <c r="F2469" s="14" t="n">
        <v>1296.94</v>
      </c>
      <c r="G2469" s="6" t="s">
        <v>15614</v>
      </c>
    </row>
    <row r="2470" customFormat="false" ht="15" hidden="false" customHeight="true" outlineLevel="0" collapsed="false">
      <c r="A2470" s="6" t="s">
        <v>18082</v>
      </c>
      <c r="B2470" s="6" t="s">
        <v>1701</v>
      </c>
      <c r="C2470" s="6" t="s">
        <v>112</v>
      </c>
      <c r="D2470" s="6" t="s">
        <v>30</v>
      </c>
      <c r="E2470" s="14" t="n">
        <v>2004.96</v>
      </c>
      <c r="F2470" s="14" t="n">
        <v>2004.96</v>
      </c>
      <c r="G2470" s="6" t="s">
        <v>15614</v>
      </c>
    </row>
    <row r="2471" customFormat="false" ht="15" hidden="false" customHeight="true" outlineLevel="0" collapsed="false">
      <c r="A2471" s="6" t="s">
        <v>18083</v>
      </c>
      <c r="B2471" s="6" t="s">
        <v>1701</v>
      </c>
      <c r="C2471" s="6" t="s">
        <v>112</v>
      </c>
      <c r="D2471" s="6" t="s">
        <v>31</v>
      </c>
      <c r="E2471" s="14" t="n">
        <v>2004.96</v>
      </c>
      <c r="F2471" s="14" t="n">
        <v>4009.92</v>
      </c>
      <c r="G2471" s="6" t="s">
        <v>15614</v>
      </c>
    </row>
    <row r="2472" customFormat="false" ht="15" hidden="false" customHeight="true" outlineLevel="0" collapsed="false">
      <c r="A2472" s="6" t="s">
        <v>18084</v>
      </c>
      <c r="B2472" s="6" t="s">
        <v>1701</v>
      </c>
      <c r="C2472" s="6" t="s">
        <v>112</v>
      </c>
      <c r="D2472" s="6" t="s">
        <v>32</v>
      </c>
      <c r="E2472" s="14" t="n">
        <v>2004.96</v>
      </c>
      <c r="F2472" s="14" t="n">
        <v>6014.88</v>
      </c>
      <c r="G2472" s="6" t="s">
        <v>15614</v>
      </c>
    </row>
    <row r="2473" customFormat="false" ht="15" hidden="false" customHeight="true" outlineLevel="0" collapsed="false">
      <c r="A2473" s="6" t="s">
        <v>18085</v>
      </c>
      <c r="B2473" s="6" t="s">
        <v>1703</v>
      </c>
      <c r="C2473" s="6" t="s">
        <v>112</v>
      </c>
      <c r="D2473" s="6" t="s">
        <v>55</v>
      </c>
      <c r="E2473" s="14" t="n">
        <v>163</v>
      </c>
      <c r="F2473" s="14" t="n">
        <v>163</v>
      </c>
      <c r="G2473" s="6" t="s">
        <v>15614</v>
      </c>
    </row>
    <row r="2474" customFormat="false" ht="15" hidden="false" customHeight="true" outlineLevel="0" collapsed="false">
      <c r="A2474" s="6" t="s">
        <v>18086</v>
      </c>
      <c r="B2474" s="6" t="s">
        <v>1703</v>
      </c>
      <c r="C2474" s="6" t="s">
        <v>112</v>
      </c>
      <c r="D2474" s="6" t="s">
        <v>56</v>
      </c>
      <c r="E2474" s="14" t="n">
        <v>163</v>
      </c>
      <c r="F2474" s="14" t="n">
        <v>326</v>
      </c>
      <c r="G2474" s="6" t="s">
        <v>15614</v>
      </c>
    </row>
    <row r="2475" customFormat="false" ht="15" hidden="false" customHeight="true" outlineLevel="0" collapsed="false">
      <c r="A2475" s="6" t="s">
        <v>18087</v>
      </c>
      <c r="B2475" s="6" t="s">
        <v>1705</v>
      </c>
      <c r="C2475" s="6" t="s">
        <v>131</v>
      </c>
      <c r="D2475" s="6" t="s">
        <v>38</v>
      </c>
      <c r="E2475" s="14" t="n">
        <v>2224.64</v>
      </c>
      <c r="F2475" s="14" t="n">
        <v>2224.64</v>
      </c>
      <c r="G2475" s="6" t="s">
        <v>15614</v>
      </c>
    </row>
    <row r="2476" customFormat="false" ht="15" hidden="false" customHeight="true" outlineLevel="0" collapsed="false">
      <c r="A2476" s="6" t="s">
        <v>18088</v>
      </c>
      <c r="B2476" s="6" t="s">
        <v>1705</v>
      </c>
      <c r="C2476" s="6" t="s">
        <v>131</v>
      </c>
      <c r="D2476" s="6" t="s">
        <v>39</v>
      </c>
      <c r="E2476" s="14" t="n">
        <v>2224.64</v>
      </c>
      <c r="F2476" s="14" t="n">
        <v>4449.28</v>
      </c>
      <c r="G2476" s="6" t="s">
        <v>15614</v>
      </c>
    </row>
    <row r="2477" customFormat="false" ht="15" hidden="false" customHeight="true" outlineLevel="0" collapsed="false">
      <c r="A2477" s="6" t="s">
        <v>18089</v>
      </c>
      <c r="B2477" s="6" t="s">
        <v>1705</v>
      </c>
      <c r="C2477" s="6" t="s">
        <v>131</v>
      </c>
      <c r="D2477" s="6" t="s">
        <v>40</v>
      </c>
      <c r="E2477" s="14" t="n">
        <v>2224.64</v>
      </c>
      <c r="F2477" s="14" t="n">
        <v>6673.92</v>
      </c>
      <c r="G2477" s="6" t="s">
        <v>15614</v>
      </c>
    </row>
    <row r="2478" customFormat="false" ht="15" hidden="false" customHeight="true" outlineLevel="0" collapsed="false">
      <c r="A2478" s="6" t="s">
        <v>18090</v>
      </c>
      <c r="B2478" s="6" t="s">
        <v>1707</v>
      </c>
      <c r="C2478" s="6" t="s">
        <v>112</v>
      </c>
      <c r="D2478" s="6" t="s">
        <v>30</v>
      </c>
      <c r="E2478" s="14" t="n">
        <v>1968.31</v>
      </c>
      <c r="F2478" s="14" t="n">
        <v>1968.31</v>
      </c>
      <c r="G2478" s="6" t="s">
        <v>15614</v>
      </c>
    </row>
    <row r="2479" customFormat="false" ht="15" hidden="false" customHeight="true" outlineLevel="0" collapsed="false">
      <c r="A2479" s="6" t="s">
        <v>18091</v>
      </c>
      <c r="B2479" s="6" t="s">
        <v>1707</v>
      </c>
      <c r="C2479" s="6" t="s">
        <v>112</v>
      </c>
      <c r="D2479" s="6" t="s">
        <v>31</v>
      </c>
      <c r="E2479" s="14" t="n">
        <v>1968.31</v>
      </c>
      <c r="F2479" s="14" t="n">
        <v>3936.62</v>
      </c>
      <c r="G2479" s="6" t="s">
        <v>15614</v>
      </c>
    </row>
    <row r="2480" customFormat="false" ht="15" hidden="false" customHeight="true" outlineLevel="0" collapsed="false">
      <c r="A2480" s="6" t="s">
        <v>18092</v>
      </c>
      <c r="B2480" s="6" t="s">
        <v>1707</v>
      </c>
      <c r="C2480" s="6" t="s">
        <v>112</v>
      </c>
      <c r="D2480" s="6" t="s">
        <v>32</v>
      </c>
      <c r="E2480" s="14" t="n">
        <v>1968.31</v>
      </c>
      <c r="F2480" s="14" t="n">
        <v>5904.93</v>
      </c>
      <c r="G2480" s="6" t="s">
        <v>15614</v>
      </c>
    </row>
    <row r="2481" customFormat="false" ht="15" hidden="false" customHeight="true" outlineLevel="0" collapsed="false">
      <c r="A2481" s="6" t="s">
        <v>18093</v>
      </c>
      <c r="B2481" s="6" t="s">
        <v>1707</v>
      </c>
      <c r="C2481" s="6" t="s">
        <v>112</v>
      </c>
      <c r="D2481" s="6" t="s">
        <v>33</v>
      </c>
      <c r="E2481" s="14" t="n">
        <v>1968.31</v>
      </c>
      <c r="F2481" s="14" t="n">
        <v>7873.24</v>
      </c>
      <c r="G2481" s="6" t="s">
        <v>15614</v>
      </c>
    </row>
    <row r="2482" customFormat="false" ht="15" hidden="false" customHeight="true" outlineLevel="0" collapsed="false">
      <c r="A2482" s="6" t="s">
        <v>18094</v>
      </c>
      <c r="B2482" s="6" t="s">
        <v>1709</v>
      </c>
      <c r="C2482" s="6" t="s">
        <v>131</v>
      </c>
      <c r="D2482" s="6" t="s">
        <v>38</v>
      </c>
      <c r="E2482" s="14" t="n">
        <v>5696.81</v>
      </c>
      <c r="F2482" s="14" t="n">
        <v>5696.81</v>
      </c>
      <c r="G2482" s="6" t="s">
        <v>15614</v>
      </c>
    </row>
    <row r="2483" customFormat="false" ht="15" hidden="false" customHeight="true" outlineLevel="0" collapsed="false">
      <c r="A2483" s="6" t="s">
        <v>18095</v>
      </c>
      <c r="B2483" s="6" t="s">
        <v>1709</v>
      </c>
      <c r="C2483" s="6" t="s">
        <v>131</v>
      </c>
      <c r="D2483" s="6" t="s">
        <v>39</v>
      </c>
      <c r="E2483" s="14" t="n">
        <v>5696.81</v>
      </c>
      <c r="F2483" s="14" t="n">
        <v>11393.62</v>
      </c>
      <c r="G2483" s="6" t="s">
        <v>15614</v>
      </c>
    </row>
    <row r="2484" customFormat="false" ht="15" hidden="false" customHeight="true" outlineLevel="0" collapsed="false">
      <c r="A2484" s="6" t="s">
        <v>18096</v>
      </c>
      <c r="B2484" s="6" t="s">
        <v>1709</v>
      </c>
      <c r="C2484" s="6" t="s">
        <v>131</v>
      </c>
      <c r="D2484" s="6" t="s">
        <v>40</v>
      </c>
      <c r="E2484" s="14" t="n">
        <v>5696.81</v>
      </c>
      <c r="F2484" s="14" t="n">
        <v>17090.43</v>
      </c>
      <c r="G2484" s="6" t="s">
        <v>15614</v>
      </c>
    </row>
    <row r="2485" customFormat="false" ht="15" hidden="false" customHeight="true" outlineLevel="0" collapsed="false">
      <c r="A2485" s="6" t="s">
        <v>18097</v>
      </c>
      <c r="B2485" s="6" t="s">
        <v>1709</v>
      </c>
      <c r="C2485" s="6" t="s">
        <v>131</v>
      </c>
      <c r="D2485" s="6" t="s">
        <v>41</v>
      </c>
      <c r="E2485" s="14" t="n">
        <v>5696.81</v>
      </c>
      <c r="F2485" s="14" t="n">
        <v>22787.24</v>
      </c>
      <c r="G2485" s="6" t="s">
        <v>15614</v>
      </c>
    </row>
    <row r="2486" customFormat="false" ht="15" hidden="false" customHeight="true" outlineLevel="0" collapsed="false">
      <c r="A2486" s="6" t="s">
        <v>18098</v>
      </c>
      <c r="B2486" s="6" t="s">
        <v>1711</v>
      </c>
      <c r="C2486" s="6" t="s">
        <v>128</v>
      </c>
      <c r="D2486" s="6" t="s">
        <v>45</v>
      </c>
      <c r="E2486" s="14" t="n">
        <v>2631.25</v>
      </c>
      <c r="F2486" s="14" t="n">
        <v>2631.25</v>
      </c>
      <c r="G2486" s="6" t="s">
        <v>15614</v>
      </c>
    </row>
    <row r="2487" customFormat="false" ht="15" hidden="false" customHeight="true" outlineLevel="0" collapsed="false">
      <c r="A2487" s="6" t="s">
        <v>18099</v>
      </c>
      <c r="B2487" s="6" t="s">
        <v>1711</v>
      </c>
      <c r="C2487" s="6" t="s">
        <v>128</v>
      </c>
      <c r="D2487" s="6" t="s">
        <v>46</v>
      </c>
      <c r="E2487" s="14" t="n">
        <v>2631.25</v>
      </c>
      <c r="F2487" s="14" t="n">
        <v>5262.5</v>
      </c>
      <c r="G2487" s="6" t="s">
        <v>15614</v>
      </c>
    </row>
    <row r="2488" customFormat="false" ht="15" hidden="false" customHeight="true" outlineLevel="0" collapsed="false">
      <c r="A2488" s="6" t="s">
        <v>18100</v>
      </c>
      <c r="B2488" s="6" t="s">
        <v>1711</v>
      </c>
      <c r="C2488" s="6" t="s">
        <v>128</v>
      </c>
      <c r="D2488" s="6" t="s">
        <v>47</v>
      </c>
      <c r="E2488" s="14" t="n">
        <v>2631.25</v>
      </c>
      <c r="F2488" s="14" t="n">
        <v>7893.75</v>
      </c>
      <c r="G2488" s="6" t="s">
        <v>15614</v>
      </c>
    </row>
    <row r="2489" customFormat="false" ht="15" hidden="false" customHeight="true" outlineLevel="0" collapsed="false">
      <c r="A2489" s="6" t="s">
        <v>18101</v>
      </c>
      <c r="B2489" s="6" t="s">
        <v>1711</v>
      </c>
      <c r="C2489" s="6" t="s">
        <v>128</v>
      </c>
      <c r="D2489" s="6" t="s">
        <v>48</v>
      </c>
      <c r="E2489" s="14" t="n">
        <v>2631.25</v>
      </c>
      <c r="F2489" s="14" t="n">
        <v>10525</v>
      </c>
      <c r="G2489" s="6" t="s">
        <v>15614</v>
      </c>
    </row>
    <row r="2490" customFormat="false" ht="15" hidden="false" customHeight="true" outlineLevel="0" collapsed="false">
      <c r="A2490" s="6" t="s">
        <v>18102</v>
      </c>
      <c r="B2490" s="6" t="s">
        <v>1711</v>
      </c>
      <c r="C2490" s="6" t="s">
        <v>128</v>
      </c>
      <c r="D2490" s="6" t="s">
        <v>49</v>
      </c>
      <c r="E2490" s="14" t="n">
        <v>2631.25</v>
      </c>
      <c r="F2490" s="14" t="n">
        <v>13156.25</v>
      </c>
      <c r="G2490" s="6" t="s">
        <v>15614</v>
      </c>
    </row>
    <row r="2491" customFormat="false" ht="15" hidden="false" customHeight="true" outlineLevel="0" collapsed="false">
      <c r="A2491" s="6" t="s">
        <v>18103</v>
      </c>
      <c r="B2491" s="6" t="s">
        <v>1713</v>
      </c>
      <c r="C2491" s="6" t="s">
        <v>112</v>
      </c>
      <c r="D2491" s="6" t="s">
        <v>15</v>
      </c>
      <c r="E2491" s="14" t="n">
        <v>214.26</v>
      </c>
      <c r="F2491" s="14" t="n">
        <v>214.26</v>
      </c>
      <c r="G2491" s="6" t="s">
        <v>15614</v>
      </c>
    </row>
    <row r="2492" customFormat="false" ht="15" hidden="false" customHeight="true" outlineLevel="0" collapsed="false">
      <c r="A2492" s="6" t="s">
        <v>18104</v>
      </c>
      <c r="B2492" s="6" t="s">
        <v>1713</v>
      </c>
      <c r="C2492" s="6" t="s">
        <v>112</v>
      </c>
      <c r="D2492" s="6" t="s">
        <v>15</v>
      </c>
      <c r="E2492" s="14" t="n">
        <v>214.26</v>
      </c>
      <c r="F2492" s="14" t="n">
        <v>428.52</v>
      </c>
      <c r="G2492" s="6" t="s">
        <v>15614</v>
      </c>
    </row>
    <row r="2493" customFormat="false" ht="15" hidden="false" customHeight="true" outlineLevel="0" collapsed="false">
      <c r="A2493" s="6" t="s">
        <v>18105</v>
      </c>
      <c r="B2493" s="6" t="s">
        <v>1713</v>
      </c>
      <c r="C2493" s="6" t="s">
        <v>112</v>
      </c>
      <c r="D2493" s="6" t="s">
        <v>16</v>
      </c>
      <c r="E2493" s="14" t="n">
        <v>214.26</v>
      </c>
      <c r="F2493" s="14" t="n">
        <v>642.78</v>
      </c>
      <c r="G2493" s="6" t="s">
        <v>15614</v>
      </c>
    </row>
    <row r="2494" customFormat="false" ht="15" hidden="false" customHeight="true" outlineLevel="0" collapsed="false">
      <c r="A2494" s="6" t="s">
        <v>18106</v>
      </c>
      <c r="B2494" s="6" t="s">
        <v>1713</v>
      </c>
      <c r="C2494" s="6" t="s">
        <v>112</v>
      </c>
      <c r="D2494" s="6" t="s">
        <v>17</v>
      </c>
      <c r="E2494" s="14" t="n">
        <v>214.26</v>
      </c>
      <c r="F2494" s="14" t="n">
        <v>857.04</v>
      </c>
      <c r="G2494" s="6" t="s">
        <v>15614</v>
      </c>
    </row>
    <row r="2495" customFormat="false" ht="15" hidden="false" customHeight="true" outlineLevel="0" collapsed="false">
      <c r="A2495" s="6" t="s">
        <v>18107</v>
      </c>
      <c r="B2495" s="6" t="s">
        <v>1713</v>
      </c>
      <c r="C2495" s="6" t="s">
        <v>112</v>
      </c>
      <c r="D2495" s="6" t="s">
        <v>18</v>
      </c>
      <c r="E2495" s="14" t="n">
        <v>214.26</v>
      </c>
      <c r="F2495" s="14" t="n">
        <v>1071.3</v>
      </c>
      <c r="G2495" s="6" t="s">
        <v>15614</v>
      </c>
    </row>
    <row r="2496" customFormat="false" ht="15" hidden="false" customHeight="true" outlineLevel="0" collapsed="false">
      <c r="A2496" s="6" t="s">
        <v>18108</v>
      </c>
      <c r="B2496" s="6" t="s">
        <v>1713</v>
      </c>
      <c r="C2496" s="6" t="s">
        <v>112</v>
      </c>
      <c r="D2496" s="6" t="s">
        <v>19</v>
      </c>
      <c r="E2496" s="14" t="n">
        <v>214.26</v>
      </c>
      <c r="F2496" s="14" t="n">
        <v>1285.56</v>
      </c>
      <c r="G2496" s="6" t="s">
        <v>15614</v>
      </c>
    </row>
    <row r="2497" customFormat="false" ht="15" hidden="false" customHeight="true" outlineLevel="0" collapsed="false">
      <c r="A2497" s="6" t="s">
        <v>18109</v>
      </c>
      <c r="B2497" s="6" t="s">
        <v>1713</v>
      </c>
      <c r="C2497" s="6" t="s">
        <v>112</v>
      </c>
      <c r="D2497" s="6" t="s">
        <v>20</v>
      </c>
      <c r="E2497" s="14" t="n">
        <v>214.26</v>
      </c>
      <c r="F2497" s="14" t="n">
        <v>1499.82</v>
      </c>
      <c r="G2497" s="6" t="s">
        <v>15614</v>
      </c>
    </row>
    <row r="2498" customFormat="false" ht="15" hidden="false" customHeight="true" outlineLevel="0" collapsed="false">
      <c r="A2498" s="6" t="s">
        <v>18110</v>
      </c>
      <c r="B2498" s="6" t="s">
        <v>1713</v>
      </c>
      <c r="C2498" s="6" t="s">
        <v>112</v>
      </c>
      <c r="D2498" s="6" t="s">
        <v>21</v>
      </c>
      <c r="E2498" s="14" t="n">
        <v>214.26</v>
      </c>
      <c r="F2498" s="14" t="n">
        <v>1714.08</v>
      </c>
      <c r="G2498" s="6" t="s">
        <v>15614</v>
      </c>
    </row>
    <row r="2499" customFormat="false" ht="15" hidden="false" customHeight="true" outlineLevel="0" collapsed="false">
      <c r="A2499" s="6" t="s">
        <v>18111</v>
      </c>
      <c r="B2499" s="6" t="s">
        <v>1713</v>
      </c>
      <c r="C2499" s="6" t="s">
        <v>112</v>
      </c>
      <c r="D2499" s="6" t="s">
        <v>22</v>
      </c>
      <c r="E2499" s="14" t="n">
        <v>214.26</v>
      </c>
      <c r="F2499" s="14" t="n">
        <v>1928.34</v>
      </c>
      <c r="G2499" s="6" t="s">
        <v>15614</v>
      </c>
    </row>
    <row r="2500" customFormat="false" ht="15" hidden="false" customHeight="true" outlineLevel="0" collapsed="false">
      <c r="A2500" s="6" t="s">
        <v>18112</v>
      </c>
      <c r="B2500" s="6" t="s">
        <v>1713</v>
      </c>
      <c r="C2500" s="6" t="s">
        <v>112</v>
      </c>
      <c r="D2500" s="6" t="s">
        <v>23</v>
      </c>
      <c r="E2500" s="14" t="n">
        <v>214.26</v>
      </c>
      <c r="F2500" s="14" t="n">
        <v>2142.6</v>
      </c>
      <c r="G2500" s="6" t="s">
        <v>15614</v>
      </c>
    </row>
    <row r="2501" customFormat="false" ht="15" hidden="false" customHeight="true" outlineLevel="0" collapsed="false">
      <c r="A2501" s="6" t="s">
        <v>18113</v>
      </c>
      <c r="B2501" s="6" t="s">
        <v>1715</v>
      </c>
      <c r="C2501" s="6" t="s">
        <v>112</v>
      </c>
      <c r="D2501" s="6" t="s">
        <v>19</v>
      </c>
      <c r="E2501" s="14" t="n">
        <v>599.71</v>
      </c>
      <c r="F2501" s="14" t="n">
        <v>599.71</v>
      </c>
      <c r="G2501" s="6" t="s">
        <v>15614</v>
      </c>
    </row>
    <row r="2502" customFormat="false" ht="15" hidden="false" customHeight="true" outlineLevel="0" collapsed="false">
      <c r="A2502" s="6" t="s">
        <v>18114</v>
      </c>
      <c r="B2502" s="6" t="s">
        <v>1715</v>
      </c>
      <c r="C2502" s="6" t="s">
        <v>112</v>
      </c>
      <c r="D2502" s="6" t="s">
        <v>20</v>
      </c>
      <c r="E2502" s="14" t="n">
        <v>599.71</v>
      </c>
      <c r="F2502" s="14" t="n">
        <v>1199.42</v>
      </c>
      <c r="G2502" s="6" t="s">
        <v>15614</v>
      </c>
    </row>
    <row r="2503" customFormat="false" ht="15" hidden="false" customHeight="true" outlineLevel="0" collapsed="false">
      <c r="A2503" s="6" t="s">
        <v>18115</v>
      </c>
      <c r="B2503" s="6" t="s">
        <v>1715</v>
      </c>
      <c r="C2503" s="6" t="s">
        <v>112</v>
      </c>
      <c r="D2503" s="6" t="s">
        <v>21</v>
      </c>
      <c r="E2503" s="14" t="n">
        <v>599.71</v>
      </c>
      <c r="F2503" s="14" t="n">
        <v>1799.13</v>
      </c>
      <c r="G2503" s="6" t="s">
        <v>15614</v>
      </c>
    </row>
    <row r="2504" customFormat="false" ht="15" hidden="false" customHeight="true" outlineLevel="0" collapsed="false">
      <c r="A2504" s="6" t="s">
        <v>18116</v>
      </c>
      <c r="B2504" s="6" t="s">
        <v>1715</v>
      </c>
      <c r="C2504" s="6" t="s">
        <v>112</v>
      </c>
      <c r="D2504" s="6" t="s">
        <v>22</v>
      </c>
      <c r="E2504" s="14" t="n">
        <v>599.71</v>
      </c>
      <c r="F2504" s="14" t="n">
        <v>2398.84</v>
      </c>
      <c r="G2504" s="6" t="s">
        <v>15614</v>
      </c>
    </row>
    <row r="2505" customFormat="false" ht="15" hidden="false" customHeight="true" outlineLevel="0" collapsed="false">
      <c r="A2505" s="6" t="s">
        <v>18117</v>
      </c>
      <c r="B2505" s="6" t="s">
        <v>1717</v>
      </c>
      <c r="C2505" s="6" t="s">
        <v>120</v>
      </c>
      <c r="D2505" s="6" t="s">
        <v>44</v>
      </c>
      <c r="E2505" s="14" t="n">
        <v>2432.85</v>
      </c>
      <c r="F2505" s="14" t="n">
        <v>2432.85</v>
      </c>
      <c r="G2505" s="6" t="s">
        <v>15614</v>
      </c>
    </row>
    <row r="2506" customFormat="false" ht="15" hidden="false" customHeight="true" outlineLevel="0" collapsed="false">
      <c r="A2506" s="6" t="s">
        <v>18118</v>
      </c>
      <c r="B2506" s="6" t="s">
        <v>1717</v>
      </c>
      <c r="C2506" s="6" t="s">
        <v>120</v>
      </c>
      <c r="D2506" s="6" t="s">
        <v>45</v>
      </c>
      <c r="E2506" s="14" t="n">
        <v>2432.85</v>
      </c>
      <c r="F2506" s="14" t="n">
        <v>4865.7</v>
      </c>
      <c r="G2506" s="6" t="s">
        <v>15614</v>
      </c>
    </row>
    <row r="2507" customFormat="false" ht="15" hidden="false" customHeight="true" outlineLevel="0" collapsed="false">
      <c r="A2507" s="6" t="s">
        <v>18119</v>
      </c>
      <c r="B2507" s="6" t="s">
        <v>1719</v>
      </c>
      <c r="C2507" s="6" t="s">
        <v>124</v>
      </c>
      <c r="D2507" s="6" t="s">
        <v>19</v>
      </c>
      <c r="E2507" s="14" t="n">
        <v>2017.68</v>
      </c>
      <c r="F2507" s="14" t="n">
        <v>2017.68</v>
      </c>
      <c r="G2507" s="6" t="s">
        <v>15614</v>
      </c>
    </row>
    <row r="2508" customFormat="false" ht="15" hidden="false" customHeight="true" outlineLevel="0" collapsed="false">
      <c r="A2508" s="6" t="s">
        <v>18120</v>
      </c>
      <c r="B2508" s="6" t="s">
        <v>1719</v>
      </c>
      <c r="C2508" s="6" t="s">
        <v>124</v>
      </c>
      <c r="D2508" s="6" t="s">
        <v>20</v>
      </c>
      <c r="E2508" s="14" t="n">
        <v>2017.68</v>
      </c>
      <c r="F2508" s="14" t="n">
        <v>4035.36</v>
      </c>
      <c r="G2508" s="6" t="s">
        <v>15614</v>
      </c>
    </row>
    <row r="2509" customFormat="false" ht="15" hidden="false" customHeight="true" outlineLevel="0" collapsed="false">
      <c r="A2509" s="6" t="s">
        <v>18121</v>
      </c>
      <c r="B2509" s="6" t="s">
        <v>1721</v>
      </c>
      <c r="C2509" s="6" t="s">
        <v>128</v>
      </c>
      <c r="D2509" s="6" t="s">
        <v>31</v>
      </c>
      <c r="E2509" s="14" t="n">
        <v>2439.88</v>
      </c>
      <c r="F2509" s="14" t="n">
        <v>2439.88</v>
      </c>
      <c r="G2509" s="6" t="s">
        <v>15614</v>
      </c>
    </row>
    <row r="2510" customFormat="false" ht="15" hidden="false" customHeight="true" outlineLevel="0" collapsed="false">
      <c r="A2510" s="6" t="s">
        <v>18122</v>
      </c>
      <c r="B2510" s="6" t="s">
        <v>1721</v>
      </c>
      <c r="C2510" s="6" t="s">
        <v>128</v>
      </c>
      <c r="D2510" s="6" t="s">
        <v>32</v>
      </c>
      <c r="E2510" s="14" t="n">
        <v>2439.88</v>
      </c>
      <c r="F2510" s="14" t="n">
        <v>4879.76</v>
      </c>
      <c r="G2510" s="6" t="s">
        <v>15614</v>
      </c>
    </row>
    <row r="2511" customFormat="false" ht="15" hidden="false" customHeight="true" outlineLevel="0" collapsed="false">
      <c r="A2511" s="6" t="s">
        <v>18123</v>
      </c>
      <c r="B2511" s="6" t="s">
        <v>1721</v>
      </c>
      <c r="C2511" s="6" t="s">
        <v>128</v>
      </c>
      <c r="D2511" s="6" t="s">
        <v>33</v>
      </c>
      <c r="E2511" s="14" t="n">
        <v>2439.88</v>
      </c>
      <c r="F2511" s="14" t="n">
        <v>7319.64</v>
      </c>
      <c r="G2511" s="6" t="s">
        <v>15614</v>
      </c>
    </row>
    <row r="2512" customFormat="false" ht="15" hidden="false" customHeight="true" outlineLevel="0" collapsed="false">
      <c r="A2512" s="6" t="s">
        <v>18124</v>
      </c>
      <c r="B2512" s="6" t="s">
        <v>1721</v>
      </c>
      <c r="C2512" s="6" t="s">
        <v>128</v>
      </c>
      <c r="D2512" s="6" t="s">
        <v>34</v>
      </c>
      <c r="E2512" s="14" t="n">
        <v>2439.88</v>
      </c>
      <c r="F2512" s="14" t="n">
        <v>9759.52</v>
      </c>
      <c r="G2512" s="6" t="s">
        <v>15614</v>
      </c>
    </row>
    <row r="2513" customFormat="false" ht="15" hidden="false" customHeight="true" outlineLevel="0" collapsed="false">
      <c r="A2513" s="6" t="s">
        <v>18125</v>
      </c>
      <c r="B2513" s="6" t="s">
        <v>1723</v>
      </c>
      <c r="C2513" s="6" t="s">
        <v>128</v>
      </c>
      <c r="D2513" s="6" t="s">
        <v>11</v>
      </c>
      <c r="E2513" s="14" t="n">
        <v>6087.06</v>
      </c>
      <c r="F2513" s="14" t="n">
        <v>6087.06</v>
      </c>
      <c r="G2513" s="6" t="s">
        <v>15614</v>
      </c>
    </row>
    <row r="2514" customFormat="false" ht="15" hidden="false" customHeight="true" outlineLevel="0" collapsed="false">
      <c r="A2514" s="6" t="s">
        <v>18126</v>
      </c>
      <c r="B2514" s="6" t="s">
        <v>1725</v>
      </c>
      <c r="C2514" s="6" t="s">
        <v>116</v>
      </c>
      <c r="D2514" s="6" t="s">
        <v>38</v>
      </c>
      <c r="E2514" s="14" t="n">
        <v>456.29</v>
      </c>
      <c r="F2514" s="14" t="n">
        <v>456.29</v>
      </c>
      <c r="G2514" s="6" t="s">
        <v>15614</v>
      </c>
    </row>
    <row r="2515" customFormat="false" ht="15" hidden="false" customHeight="true" outlineLevel="0" collapsed="false">
      <c r="A2515" s="6" t="s">
        <v>18127</v>
      </c>
      <c r="B2515" s="6" t="s">
        <v>1725</v>
      </c>
      <c r="C2515" s="6" t="s">
        <v>116</v>
      </c>
      <c r="D2515" s="6" t="s">
        <v>39</v>
      </c>
      <c r="E2515" s="14" t="n">
        <v>456.29</v>
      </c>
      <c r="F2515" s="14" t="n">
        <v>912.58</v>
      </c>
      <c r="G2515" s="6" t="s">
        <v>15614</v>
      </c>
    </row>
    <row r="2516" customFormat="false" ht="15" hidden="false" customHeight="true" outlineLevel="0" collapsed="false">
      <c r="A2516" s="6" t="s">
        <v>18128</v>
      </c>
      <c r="B2516" s="6" t="s">
        <v>1725</v>
      </c>
      <c r="C2516" s="6" t="s">
        <v>116</v>
      </c>
      <c r="D2516" s="6" t="s">
        <v>40</v>
      </c>
      <c r="E2516" s="14" t="n">
        <v>456.29</v>
      </c>
      <c r="F2516" s="14" t="n">
        <v>1368.87</v>
      </c>
      <c r="G2516" s="6" t="s">
        <v>15614</v>
      </c>
    </row>
    <row r="2517" customFormat="false" ht="15" hidden="false" customHeight="true" outlineLevel="0" collapsed="false">
      <c r="A2517" s="6" t="s">
        <v>18129</v>
      </c>
      <c r="B2517" s="6" t="s">
        <v>1727</v>
      </c>
      <c r="C2517" s="6" t="s">
        <v>120</v>
      </c>
      <c r="D2517" s="6" t="s">
        <v>30</v>
      </c>
      <c r="E2517" s="14" t="n">
        <v>4595.63</v>
      </c>
      <c r="F2517" s="14" t="n">
        <v>4595.63</v>
      </c>
      <c r="G2517" s="6" t="s">
        <v>15614</v>
      </c>
    </row>
    <row r="2518" customFormat="false" ht="15" hidden="false" customHeight="true" outlineLevel="0" collapsed="false">
      <c r="A2518" s="6" t="s">
        <v>18130</v>
      </c>
      <c r="B2518" s="6" t="s">
        <v>1727</v>
      </c>
      <c r="C2518" s="6" t="s">
        <v>120</v>
      </c>
      <c r="D2518" s="6" t="s">
        <v>31</v>
      </c>
      <c r="E2518" s="14" t="n">
        <v>4595.63</v>
      </c>
      <c r="F2518" s="14" t="n">
        <v>9191.26</v>
      </c>
      <c r="G2518" s="6" t="s">
        <v>15614</v>
      </c>
    </row>
    <row r="2519" customFormat="false" ht="15" hidden="false" customHeight="true" outlineLevel="0" collapsed="false">
      <c r="A2519" s="6" t="s">
        <v>18131</v>
      </c>
      <c r="B2519" s="6" t="s">
        <v>1727</v>
      </c>
      <c r="C2519" s="6" t="s">
        <v>120</v>
      </c>
      <c r="D2519" s="6" t="s">
        <v>32</v>
      </c>
      <c r="E2519" s="14" t="n">
        <v>4595.63</v>
      </c>
      <c r="F2519" s="14" t="n">
        <v>13786.89</v>
      </c>
      <c r="G2519" s="6" t="s">
        <v>15614</v>
      </c>
    </row>
    <row r="2520" customFormat="false" ht="15" hidden="false" customHeight="true" outlineLevel="0" collapsed="false">
      <c r="A2520" s="6" t="s">
        <v>18132</v>
      </c>
      <c r="B2520" s="6" t="s">
        <v>1729</v>
      </c>
      <c r="C2520" s="6" t="s">
        <v>131</v>
      </c>
      <c r="D2520" s="6" t="s">
        <v>24</v>
      </c>
      <c r="E2520" s="14" t="n">
        <v>2740.14</v>
      </c>
      <c r="F2520" s="14" t="n">
        <v>2740.14</v>
      </c>
      <c r="G2520" s="6" t="s">
        <v>15614</v>
      </c>
    </row>
    <row r="2521" customFormat="false" ht="15" hidden="false" customHeight="true" outlineLevel="0" collapsed="false">
      <c r="A2521" s="6" t="s">
        <v>18133</v>
      </c>
      <c r="B2521" s="6" t="s">
        <v>1729</v>
      </c>
      <c r="C2521" s="6" t="s">
        <v>131</v>
      </c>
      <c r="D2521" s="6" t="s">
        <v>25</v>
      </c>
      <c r="E2521" s="14" t="n">
        <v>2740.14</v>
      </c>
      <c r="F2521" s="14" t="n">
        <v>5480.28</v>
      </c>
      <c r="G2521" s="6" t="s">
        <v>15614</v>
      </c>
    </row>
    <row r="2522" customFormat="false" ht="15" hidden="false" customHeight="true" outlineLevel="0" collapsed="false">
      <c r="A2522" s="6" t="s">
        <v>18134</v>
      </c>
      <c r="B2522" s="6" t="s">
        <v>1729</v>
      </c>
      <c r="C2522" s="6" t="s">
        <v>131</v>
      </c>
      <c r="D2522" s="6" t="s">
        <v>26</v>
      </c>
      <c r="E2522" s="14" t="n">
        <v>2740.14</v>
      </c>
      <c r="F2522" s="14" t="n">
        <v>8220.42</v>
      </c>
      <c r="G2522" s="6" t="s">
        <v>15614</v>
      </c>
    </row>
    <row r="2523" customFormat="false" ht="15" hidden="false" customHeight="true" outlineLevel="0" collapsed="false">
      <c r="A2523" s="6" t="s">
        <v>18135</v>
      </c>
      <c r="B2523" s="6" t="s">
        <v>1729</v>
      </c>
      <c r="C2523" s="6" t="s">
        <v>131</v>
      </c>
      <c r="D2523" s="6" t="s">
        <v>27</v>
      </c>
      <c r="E2523" s="14" t="n">
        <v>2740.14</v>
      </c>
      <c r="F2523" s="14" t="n">
        <v>10960.56</v>
      </c>
      <c r="G2523" s="6" t="s">
        <v>15614</v>
      </c>
    </row>
    <row r="2524" customFormat="false" ht="15" hidden="false" customHeight="true" outlineLevel="0" collapsed="false">
      <c r="A2524" s="6" t="s">
        <v>18136</v>
      </c>
      <c r="B2524" s="6" t="s">
        <v>1729</v>
      </c>
      <c r="C2524" s="6" t="s">
        <v>131</v>
      </c>
      <c r="D2524" s="6" t="s">
        <v>28</v>
      </c>
      <c r="E2524" s="14" t="n">
        <v>2740.14</v>
      </c>
      <c r="F2524" s="14" t="n">
        <v>13700.7</v>
      </c>
      <c r="G2524" s="6" t="s">
        <v>15614</v>
      </c>
    </row>
    <row r="2525" customFormat="false" ht="15" hidden="false" customHeight="true" outlineLevel="0" collapsed="false">
      <c r="A2525" s="6" t="s">
        <v>18137</v>
      </c>
      <c r="B2525" s="6" t="s">
        <v>1731</v>
      </c>
      <c r="C2525" s="6" t="s">
        <v>112</v>
      </c>
      <c r="D2525" s="6" t="s">
        <v>46</v>
      </c>
      <c r="E2525" s="14" t="n">
        <v>3846.86</v>
      </c>
      <c r="F2525" s="14" t="n">
        <v>3846.86</v>
      </c>
      <c r="G2525" s="6" t="s">
        <v>15614</v>
      </c>
    </row>
    <row r="2526" customFormat="false" ht="15" hidden="false" customHeight="true" outlineLevel="0" collapsed="false">
      <c r="A2526" s="6" t="s">
        <v>18138</v>
      </c>
      <c r="B2526" s="6" t="s">
        <v>1731</v>
      </c>
      <c r="C2526" s="6" t="s">
        <v>112</v>
      </c>
      <c r="D2526" s="6" t="s">
        <v>47</v>
      </c>
      <c r="E2526" s="14" t="n">
        <v>3846.86</v>
      </c>
      <c r="F2526" s="14" t="n">
        <v>7693.72</v>
      </c>
      <c r="G2526" s="6" t="s">
        <v>15614</v>
      </c>
    </row>
    <row r="2527" customFormat="false" ht="15" hidden="false" customHeight="true" outlineLevel="0" collapsed="false">
      <c r="A2527" s="6" t="s">
        <v>18139</v>
      </c>
      <c r="B2527" s="6" t="s">
        <v>1731</v>
      </c>
      <c r="C2527" s="6" t="s">
        <v>112</v>
      </c>
      <c r="D2527" s="6" t="s">
        <v>48</v>
      </c>
      <c r="E2527" s="14" t="n">
        <v>3846.86</v>
      </c>
      <c r="F2527" s="14" t="n">
        <v>11540.58</v>
      </c>
      <c r="G2527" s="6" t="s">
        <v>15614</v>
      </c>
    </row>
    <row r="2528" customFormat="false" ht="15" hidden="false" customHeight="true" outlineLevel="0" collapsed="false">
      <c r="A2528" s="6" t="s">
        <v>18140</v>
      </c>
      <c r="B2528" s="6" t="s">
        <v>1733</v>
      </c>
      <c r="C2528" s="6" t="s">
        <v>124</v>
      </c>
      <c r="D2528" s="6" t="s">
        <v>44</v>
      </c>
      <c r="E2528" s="14" t="n">
        <v>2428.85</v>
      </c>
      <c r="F2528" s="14" t="n">
        <v>2428.85</v>
      </c>
      <c r="G2528" s="6" t="s">
        <v>15614</v>
      </c>
    </row>
    <row r="2529" customFormat="false" ht="15" hidden="false" customHeight="true" outlineLevel="0" collapsed="false">
      <c r="A2529" s="6" t="s">
        <v>18141</v>
      </c>
      <c r="B2529" s="6" t="s">
        <v>1733</v>
      </c>
      <c r="C2529" s="6" t="s">
        <v>124</v>
      </c>
      <c r="D2529" s="6" t="s">
        <v>45</v>
      </c>
      <c r="E2529" s="14" t="n">
        <v>2428.85</v>
      </c>
      <c r="F2529" s="14" t="n">
        <v>4857.7</v>
      </c>
      <c r="G2529" s="6" t="s">
        <v>15614</v>
      </c>
    </row>
    <row r="2530" customFormat="false" ht="15" hidden="false" customHeight="true" outlineLevel="0" collapsed="false">
      <c r="A2530" s="6" t="s">
        <v>18142</v>
      </c>
      <c r="B2530" s="6" t="s">
        <v>1733</v>
      </c>
      <c r="C2530" s="6" t="s">
        <v>124</v>
      </c>
      <c r="D2530" s="6" t="s">
        <v>46</v>
      </c>
      <c r="E2530" s="14" t="n">
        <v>2428.85</v>
      </c>
      <c r="F2530" s="14" t="n">
        <v>7286.55</v>
      </c>
      <c r="G2530" s="6" t="s">
        <v>15614</v>
      </c>
    </row>
    <row r="2531" customFormat="false" ht="15" hidden="false" customHeight="true" outlineLevel="0" collapsed="false">
      <c r="A2531" s="6" t="s">
        <v>18143</v>
      </c>
      <c r="B2531" s="6" t="s">
        <v>1733</v>
      </c>
      <c r="C2531" s="6" t="s">
        <v>124</v>
      </c>
      <c r="D2531" s="6" t="s">
        <v>47</v>
      </c>
      <c r="E2531" s="14" t="n">
        <v>2428.85</v>
      </c>
      <c r="F2531" s="14" t="n">
        <v>9715.4</v>
      </c>
      <c r="G2531" s="6" t="s">
        <v>15614</v>
      </c>
    </row>
    <row r="2532" customFormat="false" ht="15" hidden="false" customHeight="true" outlineLevel="0" collapsed="false">
      <c r="A2532" s="6" t="s">
        <v>18144</v>
      </c>
      <c r="B2532" s="6" t="s">
        <v>1733</v>
      </c>
      <c r="C2532" s="6" t="s">
        <v>124</v>
      </c>
      <c r="D2532" s="6" t="s">
        <v>48</v>
      </c>
      <c r="E2532" s="14" t="n">
        <v>2428.85</v>
      </c>
      <c r="F2532" s="14" t="n">
        <v>12144.25</v>
      </c>
      <c r="G2532" s="6" t="s">
        <v>15614</v>
      </c>
    </row>
    <row r="2533" customFormat="false" ht="15" hidden="false" customHeight="true" outlineLevel="0" collapsed="false">
      <c r="A2533" s="6" t="s">
        <v>18145</v>
      </c>
      <c r="B2533" s="6" t="s">
        <v>1735</v>
      </c>
      <c r="C2533" s="6" t="s">
        <v>120</v>
      </c>
      <c r="D2533" s="6" t="s">
        <v>49</v>
      </c>
      <c r="E2533" s="14" t="n">
        <v>2931.72</v>
      </c>
      <c r="F2533" s="14" t="n">
        <v>2931.72</v>
      </c>
      <c r="G2533" s="6" t="s">
        <v>15614</v>
      </c>
    </row>
    <row r="2534" customFormat="false" ht="15" hidden="false" customHeight="true" outlineLevel="0" collapsed="false">
      <c r="A2534" s="6" t="s">
        <v>18146</v>
      </c>
      <c r="B2534" s="6" t="s">
        <v>1735</v>
      </c>
      <c r="C2534" s="6" t="s">
        <v>120</v>
      </c>
      <c r="D2534" s="6" t="s">
        <v>50</v>
      </c>
      <c r="E2534" s="14" t="n">
        <v>2931.72</v>
      </c>
      <c r="F2534" s="14" t="n">
        <v>5863.44</v>
      </c>
      <c r="G2534" s="6" t="s">
        <v>15614</v>
      </c>
    </row>
    <row r="2535" customFormat="false" ht="15" hidden="false" customHeight="true" outlineLevel="0" collapsed="false">
      <c r="A2535" s="6" t="s">
        <v>18147</v>
      </c>
      <c r="B2535" s="6" t="s">
        <v>1735</v>
      </c>
      <c r="C2535" s="6" t="s">
        <v>120</v>
      </c>
      <c r="D2535" s="6" t="s">
        <v>51</v>
      </c>
      <c r="E2535" s="14" t="n">
        <v>2931.72</v>
      </c>
      <c r="F2535" s="14" t="n">
        <v>8795.16</v>
      </c>
      <c r="G2535" s="6" t="s">
        <v>15614</v>
      </c>
    </row>
    <row r="2536" customFormat="false" ht="15" hidden="false" customHeight="true" outlineLevel="0" collapsed="false">
      <c r="A2536" s="6" t="s">
        <v>18148</v>
      </c>
      <c r="B2536" s="6" t="s">
        <v>1737</v>
      </c>
      <c r="C2536" s="6" t="s">
        <v>124</v>
      </c>
      <c r="D2536" s="6" t="s">
        <v>58</v>
      </c>
      <c r="E2536" s="14" t="n">
        <v>1204.34</v>
      </c>
      <c r="F2536" s="14" t="n">
        <v>1204.34</v>
      </c>
      <c r="G2536" s="6" t="s">
        <v>15614</v>
      </c>
    </row>
    <row r="2537" customFormat="false" ht="15" hidden="false" customHeight="true" outlineLevel="0" collapsed="false">
      <c r="A2537" s="6" t="s">
        <v>18149</v>
      </c>
      <c r="B2537" s="6" t="s">
        <v>1737</v>
      </c>
      <c r="C2537" s="6" t="s">
        <v>124</v>
      </c>
      <c r="D2537" s="6" t="s">
        <v>59</v>
      </c>
      <c r="E2537" s="14" t="n">
        <v>1204.34</v>
      </c>
      <c r="F2537" s="14" t="n">
        <v>2408.68</v>
      </c>
      <c r="G2537" s="6" t="s">
        <v>15614</v>
      </c>
    </row>
    <row r="2538" customFormat="false" ht="15" hidden="false" customHeight="true" outlineLevel="0" collapsed="false">
      <c r="A2538" s="6" t="s">
        <v>18150</v>
      </c>
      <c r="B2538" s="6" t="s">
        <v>1739</v>
      </c>
      <c r="C2538" s="6" t="s">
        <v>131</v>
      </c>
      <c r="D2538" s="6" t="s">
        <v>33</v>
      </c>
      <c r="E2538" s="14" t="n">
        <v>2478.11</v>
      </c>
      <c r="F2538" s="14" t="n">
        <v>2478.11</v>
      </c>
      <c r="G2538" s="6" t="s">
        <v>15614</v>
      </c>
    </row>
    <row r="2539" customFormat="false" ht="15" hidden="false" customHeight="true" outlineLevel="0" collapsed="false">
      <c r="A2539" s="6" t="s">
        <v>18151</v>
      </c>
      <c r="B2539" s="6" t="s">
        <v>1739</v>
      </c>
      <c r="C2539" s="6" t="s">
        <v>131</v>
      </c>
      <c r="D2539" s="6" t="s">
        <v>34</v>
      </c>
      <c r="E2539" s="14" t="n">
        <v>2478.11</v>
      </c>
      <c r="F2539" s="14" t="n">
        <v>4956.22</v>
      </c>
      <c r="G2539" s="6" t="s">
        <v>15614</v>
      </c>
    </row>
    <row r="2540" customFormat="false" ht="15" hidden="false" customHeight="true" outlineLevel="0" collapsed="false">
      <c r="A2540" s="6" t="s">
        <v>18152</v>
      </c>
      <c r="B2540" s="6" t="s">
        <v>1739</v>
      </c>
      <c r="C2540" s="6" t="s">
        <v>131</v>
      </c>
      <c r="D2540" s="6" t="s">
        <v>35</v>
      </c>
      <c r="E2540" s="14" t="n">
        <v>2478.11</v>
      </c>
      <c r="F2540" s="14" t="n">
        <v>7434.33</v>
      </c>
      <c r="G2540" s="6" t="s">
        <v>15614</v>
      </c>
    </row>
    <row r="2541" customFormat="false" ht="15" hidden="false" customHeight="true" outlineLevel="0" collapsed="false">
      <c r="A2541" s="6" t="s">
        <v>18153</v>
      </c>
      <c r="B2541" s="6" t="s">
        <v>1739</v>
      </c>
      <c r="C2541" s="6" t="s">
        <v>131</v>
      </c>
      <c r="D2541" s="6" t="s">
        <v>36</v>
      </c>
      <c r="E2541" s="14" t="n">
        <v>2478.11</v>
      </c>
      <c r="F2541" s="14" t="n">
        <v>9912.44</v>
      </c>
      <c r="G2541" s="6" t="s">
        <v>15614</v>
      </c>
    </row>
    <row r="2542" customFormat="false" ht="15" hidden="false" customHeight="true" outlineLevel="0" collapsed="false">
      <c r="A2542" s="6" t="s">
        <v>18154</v>
      </c>
      <c r="B2542" s="6" t="s">
        <v>1739</v>
      </c>
      <c r="C2542" s="6" t="s">
        <v>131</v>
      </c>
      <c r="D2542" s="6" t="s">
        <v>37</v>
      </c>
      <c r="E2542" s="14" t="n">
        <v>2478.11</v>
      </c>
      <c r="F2542" s="14" t="n">
        <v>12390.55</v>
      </c>
      <c r="G2542" s="6" t="s">
        <v>15614</v>
      </c>
    </row>
    <row r="2543" customFormat="false" ht="15" hidden="false" customHeight="true" outlineLevel="0" collapsed="false">
      <c r="A2543" s="6" t="s">
        <v>18155</v>
      </c>
      <c r="B2543" s="6" t="s">
        <v>1739</v>
      </c>
      <c r="C2543" s="6" t="s">
        <v>131</v>
      </c>
      <c r="D2543" s="6" t="s">
        <v>38</v>
      </c>
      <c r="E2543" s="14" t="n">
        <v>2478.11</v>
      </c>
      <c r="F2543" s="14" t="n">
        <v>14868.66</v>
      </c>
      <c r="G2543" s="6" t="s">
        <v>15614</v>
      </c>
    </row>
    <row r="2544" customFormat="false" ht="15" hidden="false" customHeight="true" outlineLevel="0" collapsed="false">
      <c r="A2544" s="6" t="s">
        <v>18156</v>
      </c>
      <c r="B2544" s="6" t="s">
        <v>1739</v>
      </c>
      <c r="C2544" s="6" t="s">
        <v>131</v>
      </c>
      <c r="D2544" s="6" t="s">
        <v>39</v>
      </c>
      <c r="E2544" s="14" t="n">
        <v>2478.11</v>
      </c>
      <c r="F2544" s="14" t="n">
        <v>17346.77</v>
      </c>
      <c r="G2544" s="6" t="s">
        <v>15614</v>
      </c>
    </row>
    <row r="2545" customFormat="false" ht="15" hidden="false" customHeight="true" outlineLevel="0" collapsed="false">
      <c r="A2545" s="6" t="s">
        <v>18157</v>
      </c>
      <c r="B2545" s="6" t="s">
        <v>1741</v>
      </c>
      <c r="C2545" s="6" t="s">
        <v>128</v>
      </c>
      <c r="D2545" s="6" t="s">
        <v>28</v>
      </c>
      <c r="E2545" s="14" t="n">
        <v>1937.03</v>
      </c>
      <c r="F2545" s="14" t="n">
        <v>1937.03</v>
      </c>
      <c r="G2545" s="6" t="s">
        <v>15614</v>
      </c>
    </row>
    <row r="2546" customFormat="false" ht="15" hidden="false" customHeight="true" outlineLevel="0" collapsed="false">
      <c r="A2546" s="6" t="s">
        <v>18158</v>
      </c>
      <c r="B2546" s="6" t="s">
        <v>1741</v>
      </c>
      <c r="C2546" s="6" t="s">
        <v>128</v>
      </c>
      <c r="D2546" s="6" t="s">
        <v>29</v>
      </c>
      <c r="E2546" s="14" t="n">
        <v>1937.03</v>
      </c>
      <c r="F2546" s="14" t="n">
        <v>3874.06</v>
      </c>
      <c r="G2546" s="6" t="s">
        <v>15614</v>
      </c>
    </row>
    <row r="2547" customFormat="false" ht="15" hidden="false" customHeight="true" outlineLevel="0" collapsed="false">
      <c r="A2547" s="6" t="s">
        <v>18159</v>
      </c>
      <c r="B2547" s="6" t="s">
        <v>1743</v>
      </c>
      <c r="C2547" s="6" t="s">
        <v>120</v>
      </c>
      <c r="D2547" s="6" t="s">
        <v>57</v>
      </c>
      <c r="E2547" s="14" t="n">
        <v>6297.89</v>
      </c>
      <c r="F2547" s="14" t="n">
        <v>6297.89</v>
      </c>
      <c r="G2547" s="6" t="s">
        <v>15614</v>
      </c>
    </row>
    <row r="2548" customFormat="false" ht="15" hidden="false" customHeight="true" outlineLevel="0" collapsed="false">
      <c r="A2548" s="6" t="s">
        <v>18160</v>
      </c>
      <c r="B2548" s="6" t="s">
        <v>1743</v>
      </c>
      <c r="C2548" s="6" t="s">
        <v>120</v>
      </c>
      <c r="D2548" s="6" t="s">
        <v>58</v>
      </c>
      <c r="E2548" s="14" t="n">
        <v>6297.89</v>
      </c>
      <c r="F2548" s="14" t="n">
        <v>12595.78</v>
      </c>
      <c r="G2548" s="6" t="s">
        <v>15614</v>
      </c>
    </row>
    <row r="2549" customFormat="false" ht="15" hidden="false" customHeight="true" outlineLevel="0" collapsed="false">
      <c r="A2549" s="6" t="s">
        <v>18161</v>
      </c>
      <c r="B2549" s="6" t="s">
        <v>1743</v>
      </c>
      <c r="C2549" s="6" t="s">
        <v>120</v>
      </c>
      <c r="D2549" s="6" t="s">
        <v>59</v>
      </c>
      <c r="E2549" s="14" t="n">
        <v>6297.89</v>
      </c>
      <c r="F2549" s="14" t="n">
        <v>18893.67</v>
      </c>
      <c r="G2549" s="6" t="s">
        <v>15614</v>
      </c>
    </row>
    <row r="2550" customFormat="false" ht="15" hidden="false" customHeight="true" outlineLevel="0" collapsed="false">
      <c r="A2550" s="6" t="s">
        <v>18162</v>
      </c>
      <c r="B2550" s="6" t="s">
        <v>1745</v>
      </c>
      <c r="C2550" s="6" t="s">
        <v>124</v>
      </c>
      <c r="D2550" s="6" t="s">
        <v>17</v>
      </c>
      <c r="E2550" s="14" t="n">
        <v>2765.99</v>
      </c>
      <c r="F2550" s="14" t="n">
        <v>2765.99</v>
      </c>
      <c r="G2550" s="6" t="s">
        <v>15614</v>
      </c>
    </row>
    <row r="2551" customFormat="false" ht="15" hidden="false" customHeight="true" outlineLevel="0" collapsed="false">
      <c r="A2551" s="6" t="s">
        <v>18163</v>
      </c>
      <c r="B2551" s="6" t="s">
        <v>1745</v>
      </c>
      <c r="C2551" s="6" t="s">
        <v>124</v>
      </c>
      <c r="D2551" s="6" t="s">
        <v>18</v>
      </c>
      <c r="E2551" s="14" t="n">
        <v>2765.99</v>
      </c>
      <c r="F2551" s="14" t="n">
        <v>5531.98</v>
      </c>
      <c r="G2551" s="6" t="s">
        <v>15614</v>
      </c>
    </row>
    <row r="2552" customFormat="false" ht="15" hidden="false" customHeight="true" outlineLevel="0" collapsed="false">
      <c r="A2552" s="6" t="s">
        <v>18164</v>
      </c>
      <c r="B2552" s="6" t="s">
        <v>1745</v>
      </c>
      <c r="C2552" s="6" t="s">
        <v>124</v>
      </c>
      <c r="D2552" s="6" t="s">
        <v>19</v>
      </c>
      <c r="E2552" s="14" t="n">
        <v>2765.99</v>
      </c>
      <c r="F2552" s="14" t="n">
        <v>8297.97</v>
      </c>
      <c r="G2552" s="6" t="s">
        <v>15614</v>
      </c>
    </row>
    <row r="2553" customFormat="false" ht="15" hidden="false" customHeight="true" outlineLevel="0" collapsed="false">
      <c r="A2553" s="6" t="s">
        <v>18165</v>
      </c>
      <c r="B2553" s="6" t="s">
        <v>1745</v>
      </c>
      <c r="C2553" s="6" t="s">
        <v>124</v>
      </c>
      <c r="D2553" s="6" t="s">
        <v>20</v>
      </c>
      <c r="E2553" s="14" t="n">
        <v>2765.99</v>
      </c>
      <c r="F2553" s="14" t="n">
        <v>11063.96</v>
      </c>
      <c r="G2553" s="6" t="s">
        <v>15614</v>
      </c>
    </row>
    <row r="2554" customFormat="false" ht="15" hidden="false" customHeight="true" outlineLevel="0" collapsed="false">
      <c r="A2554" s="6" t="s">
        <v>18166</v>
      </c>
      <c r="B2554" s="6" t="s">
        <v>1747</v>
      </c>
      <c r="C2554" s="6" t="s">
        <v>112</v>
      </c>
      <c r="D2554" s="6" t="s">
        <v>31</v>
      </c>
      <c r="E2554" s="14" t="n">
        <v>2288.97</v>
      </c>
      <c r="F2554" s="14" t="n">
        <v>2288.97</v>
      </c>
      <c r="G2554" s="6" t="s">
        <v>15614</v>
      </c>
    </row>
    <row r="2555" customFormat="false" ht="15" hidden="false" customHeight="true" outlineLevel="0" collapsed="false">
      <c r="A2555" s="6" t="s">
        <v>18167</v>
      </c>
      <c r="B2555" s="6" t="s">
        <v>1747</v>
      </c>
      <c r="C2555" s="6" t="s">
        <v>112</v>
      </c>
      <c r="D2555" s="6" t="s">
        <v>32</v>
      </c>
      <c r="E2555" s="14" t="n">
        <v>2288.97</v>
      </c>
      <c r="F2555" s="14" t="n">
        <v>4577.94</v>
      </c>
      <c r="G2555" s="6" t="s">
        <v>15614</v>
      </c>
    </row>
    <row r="2556" customFormat="false" ht="15" hidden="false" customHeight="true" outlineLevel="0" collapsed="false">
      <c r="A2556" s="6" t="s">
        <v>18168</v>
      </c>
      <c r="B2556" s="6" t="s">
        <v>1749</v>
      </c>
      <c r="C2556" s="6" t="s">
        <v>131</v>
      </c>
      <c r="D2556" s="6" t="s">
        <v>37</v>
      </c>
      <c r="E2556" s="14" t="n">
        <v>4347.24</v>
      </c>
      <c r="F2556" s="14" t="n">
        <v>4347.24</v>
      </c>
      <c r="G2556" s="6" t="s">
        <v>15614</v>
      </c>
    </row>
    <row r="2557" customFormat="false" ht="15" hidden="false" customHeight="true" outlineLevel="0" collapsed="false">
      <c r="A2557" s="6" t="s">
        <v>18169</v>
      </c>
      <c r="B2557" s="6" t="s">
        <v>1749</v>
      </c>
      <c r="C2557" s="6" t="s">
        <v>131</v>
      </c>
      <c r="D2557" s="6" t="s">
        <v>38</v>
      </c>
      <c r="E2557" s="14" t="n">
        <v>4347.24</v>
      </c>
      <c r="F2557" s="14" t="n">
        <v>8694.48</v>
      </c>
      <c r="G2557" s="6" t="s">
        <v>15614</v>
      </c>
    </row>
    <row r="2558" customFormat="false" ht="15" hidden="false" customHeight="true" outlineLevel="0" collapsed="false">
      <c r="A2558" s="6" t="s">
        <v>18170</v>
      </c>
      <c r="B2558" s="6" t="s">
        <v>1749</v>
      </c>
      <c r="C2558" s="6" t="s">
        <v>131</v>
      </c>
      <c r="D2558" s="6" t="s">
        <v>39</v>
      </c>
      <c r="E2558" s="14" t="n">
        <v>4347.24</v>
      </c>
      <c r="F2558" s="14" t="n">
        <v>13041.72</v>
      </c>
      <c r="G2558" s="6" t="s">
        <v>15614</v>
      </c>
    </row>
    <row r="2559" customFormat="false" ht="15" hidden="false" customHeight="true" outlineLevel="0" collapsed="false">
      <c r="A2559" s="6" t="s">
        <v>18171</v>
      </c>
      <c r="B2559" s="6" t="s">
        <v>1751</v>
      </c>
      <c r="C2559" s="6" t="s">
        <v>116</v>
      </c>
      <c r="D2559" s="6" t="s">
        <v>54</v>
      </c>
      <c r="E2559" s="14" t="n">
        <v>665.97</v>
      </c>
      <c r="F2559" s="14" t="n">
        <v>665.97</v>
      </c>
      <c r="G2559" s="6" t="s">
        <v>15614</v>
      </c>
    </row>
    <row r="2560" customFormat="false" ht="15" hidden="false" customHeight="true" outlineLevel="0" collapsed="false">
      <c r="A2560" s="6" t="s">
        <v>18172</v>
      </c>
      <c r="B2560" s="6" t="s">
        <v>1751</v>
      </c>
      <c r="C2560" s="6" t="s">
        <v>116</v>
      </c>
      <c r="D2560" s="6" t="s">
        <v>55</v>
      </c>
      <c r="E2560" s="14" t="n">
        <v>665.97</v>
      </c>
      <c r="F2560" s="14" t="n">
        <v>1331.94</v>
      </c>
      <c r="G2560" s="6" t="s">
        <v>15614</v>
      </c>
    </row>
    <row r="2561" customFormat="false" ht="15" hidden="false" customHeight="true" outlineLevel="0" collapsed="false">
      <c r="A2561" s="6" t="s">
        <v>18173</v>
      </c>
      <c r="B2561" s="6" t="s">
        <v>1751</v>
      </c>
      <c r="C2561" s="6" t="s">
        <v>116</v>
      </c>
      <c r="D2561" s="6" t="s">
        <v>56</v>
      </c>
      <c r="E2561" s="14" t="n">
        <v>665.97</v>
      </c>
      <c r="F2561" s="14" t="n">
        <v>1997.91</v>
      </c>
      <c r="G2561" s="6" t="s">
        <v>15614</v>
      </c>
    </row>
    <row r="2562" customFormat="false" ht="15" hidden="false" customHeight="true" outlineLevel="0" collapsed="false">
      <c r="A2562" s="6" t="s">
        <v>18174</v>
      </c>
      <c r="B2562" s="6" t="s">
        <v>1753</v>
      </c>
      <c r="C2562" s="6" t="s">
        <v>112</v>
      </c>
      <c r="D2562" s="6" t="s">
        <v>54</v>
      </c>
      <c r="E2562" s="14" t="n">
        <v>972.07</v>
      </c>
      <c r="F2562" s="14" t="n">
        <v>972.07</v>
      </c>
      <c r="G2562" s="6" t="s">
        <v>15614</v>
      </c>
    </row>
    <row r="2563" customFormat="false" ht="15" hidden="false" customHeight="true" outlineLevel="0" collapsed="false">
      <c r="A2563" s="6" t="s">
        <v>18175</v>
      </c>
      <c r="B2563" s="6" t="s">
        <v>1753</v>
      </c>
      <c r="C2563" s="6" t="s">
        <v>112</v>
      </c>
      <c r="D2563" s="6" t="s">
        <v>55</v>
      </c>
      <c r="E2563" s="14" t="n">
        <v>972.07</v>
      </c>
      <c r="F2563" s="14" t="n">
        <v>1944.14</v>
      </c>
      <c r="G2563" s="6" t="s">
        <v>15614</v>
      </c>
    </row>
    <row r="2564" customFormat="false" ht="15" hidden="false" customHeight="true" outlineLevel="0" collapsed="false">
      <c r="A2564" s="6" t="s">
        <v>18176</v>
      </c>
      <c r="B2564" s="6" t="s">
        <v>1755</v>
      </c>
      <c r="C2564" s="6" t="s">
        <v>120</v>
      </c>
      <c r="D2564" s="6" t="s">
        <v>11</v>
      </c>
      <c r="E2564" s="14" t="n">
        <v>921.97</v>
      </c>
      <c r="F2564" s="14" t="n">
        <v>921.97</v>
      </c>
      <c r="G2564" s="6" t="s">
        <v>15614</v>
      </c>
    </row>
    <row r="2565" customFormat="false" ht="15" hidden="false" customHeight="true" outlineLevel="0" collapsed="false">
      <c r="A2565" s="6" t="s">
        <v>18177</v>
      </c>
      <c r="B2565" s="6" t="s">
        <v>1755</v>
      </c>
      <c r="C2565" s="6" t="s">
        <v>120</v>
      </c>
      <c r="D2565" s="6" t="s">
        <v>12</v>
      </c>
      <c r="E2565" s="14" t="n">
        <v>921.97</v>
      </c>
      <c r="F2565" s="14" t="n">
        <v>1843.94</v>
      </c>
      <c r="G2565" s="6" t="s">
        <v>15614</v>
      </c>
    </row>
    <row r="2566" customFormat="false" ht="15" hidden="false" customHeight="true" outlineLevel="0" collapsed="false">
      <c r="A2566" s="6" t="s">
        <v>18178</v>
      </c>
      <c r="B2566" s="6" t="s">
        <v>1757</v>
      </c>
      <c r="C2566" s="6" t="s">
        <v>124</v>
      </c>
      <c r="D2566" s="6" t="s">
        <v>37</v>
      </c>
      <c r="E2566" s="14" t="n">
        <v>3531.7</v>
      </c>
      <c r="F2566" s="14" t="n">
        <v>3531.7</v>
      </c>
      <c r="G2566" s="6" t="s">
        <v>15614</v>
      </c>
    </row>
    <row r="2567" customFormat="false" ht="15" hidden="false" customHeight="true" outlineLevel="0" collapsed="false">
      <c r="A2567" s="6" t="s">
        <v>18179</v>
      </c>
      <c r="B2567" s="6" t="s">
        <v>1757</v>
      </c>
      <c r="C2567" s="6" t="s">
        <v>124</v>
      </c>
      <c r="D2567" s="6" t="s">
        <v>38</v>
      </c>
      <c r="E2567" s="14" t="n">
        <v>3531.7</v>
      </c>
      <c r="F2567" s="14" t="n">
        <v>7063.4</v>
      </c>
      <c r="G2567" s="6" t="s">
        <v>15614</v>
      </c>
    </row>
    <row r="2568" customFormat="false" ht="15" hidden="false" customHeight="true" outlineLevel="0" collapsed="false">
      <c r="A2568" s="6" t="s">
        <v>18180</v>
      </c>
      <c r="B2568" s="6" t="s">
        <v>1759</v>
      </c>
      <c r="C2568" s="6" t="s">
        <v>124</v>
      </c>
      <c r="D2568" s="6" t="s">
        <v>49</v>
      </c>
      <c r="E2568" s="14" t="n">
        <v>2187.23</v>
      </c>
      <c r="F2568" s="14" t="n">
        <v>2187.23</v>
      </c>
      <c r="G2568" s="6" t="s">
        <v>15614</v>
      </c>
    </row>
    <row r="2569" customFormat="false" ht="15" hidden="false" customHeight="true" outlineLevel="0" collapsed="false">
      <c r="A2569" s="6" t="s">
        <v>18181</v>
      </c>
      <c r="B2569" s="6" t="s">
        <v>1759</v>
      </c>
      <c r="C2569" s="6" t="s">
        <v>124</v>
      </c>
      <c r="D2569" s="6" t="s">
        <v>50</v>
      </c>
      <c r="E2569" s="14" t="n">
        <v>2187.23</v>
      </c>
      <c r="F2569" s="14" t="n">
        <v>4374.46</v>
      </c>
      <c r="G2569" s="6" t="s">
        <v>15614</v>
      </c>
    </row>
    <row r="2570" customFormat="false" ht="15" hidden="false" customHeight="true" outlineLevel="0" collapsed="false">
      <c r="A2570" s="6" t="s">
        <v>18182</v>
      </c>
      <c r="B2570" s="6" t="s">
        <v>1759</v>
      </c>
      <c r="C2570" s="6" t="s">
        <v>124</v>
      </c>
      <c r="D2570" s="6" t="s">
        <v>51</v>
      </c>
      <c r="E2570" s="14" t="n">
        <v>2187.23</v>
      </c>
      <c r="F2570" s="14" t="n">
        <v>6561.69</v>
      </c>
      <c r="G2570" s="6" t="s">
        <v>15614</v>
      </c>
    </row>
    <row r="2571" customFormat="false" ht="15" hidden="false" customHeight="true" outlineLevel="0" collapsed="false">
      <c r="A2571" s="6" t="s">
        <v>18183</v>
      </c>
      <c r="B2571" s="6" t="s">
        <v>1759</v>
      </c>
      <c r="C2571" s="6" t="s">
        <v>124</v>
      </c>
      <c r="D2571" s="6" t="s">
        <v>52</v>
      </c>
      <c r="E2571" s="14" t="n">
        <v>2187.23</v>
      </c>
      <c r="F2571" s="14" t="n">
        <v>8748.92</v>
      </c>
      <c r="G2571" s="6" t="s">
        <v>15614</v>
      </c>
    </row>
    <row r="2572" customFormat="false" ht="15" hidden="false" customHeight="true" outlineLevel="0" collapsed="false">
      <c r="A2572" s="6" t="s">
        <v>18184</v>
      </c>
      <c r="B2572" s="6" t="s">
        <v>1761</v>
      </c>
      <c r="C2572" s="6" t="s">
        <v>124</v>
      </c>
      <c r="D2572" s="6" t="s">
        <v>58</v>
      </c>
      <c r="E2572" s="14" t="n">
        <v>2617.99</v>
      </c>
      <c r="F2572" s="14" t="n">
        <v>2617.99</v>
      </c>
      <c r="G2572" s="6" t="s">
        <v>15614</v>
      </c>
    </row>
    <row r="2573" customFormat="false" ht="15" hidden="false" customHeight="true" outlineLevel="0" collapsed="false">
      <c r="A2573" s="6" t="s">
        <v>18185</v>
      </c>
      <c r="B2573" s="6" t="s">
        <v>1761</v>
      </c>
      <c r="C2573" s="6" t="s">
        <v>124</v>
      </c>
      <c r="D2573" s="6" t="s">
        <v>59</v>
      </c>
      <c r="E2573" s="14" t="n">
        <v>2617.99</v>
      </c>
      <c r="F2573" s="14" t="n">
        <v>5235.98</v>
      </c>
      <c r="G2573" s="6" t="s">
        <v>15614</v>
      </c>
    </row>
    <row r="2574" customFormat="false" ht="15" hidden="false" customHeight="true" outlineLevel="0" collapsed="false">
      <c r="A2574" s="6" t="s">
        <v>18186</v>
      </c>
      <c r="B2574" s="6" t="s">
        <v>1761</v>
      </c>
      <c r="C2574" s="6" t="s">
        <v>124</v>
      </c>
      <c r="D2574" s="6" t="s">
        <v>60</v>
      </c>
      <c r="E2574" s="14" t="n">
        <v>2617.99</v>
      </c>
      <c r="F2574" s="14" t="n">
        <v>7853.97</v>
      </c>
      <c r="G2574" s="6" t="s">
        <v>15614</v>
      </c>
    </row>
    <row r="2575" customFormat="false" ht="15" hidden="false" customHeight="true" outlineLevel="0" collapsed="false">
      <c r="A2575" s="6" t="s">
        <v>18187</v>
      </c>
      <c r="B2575" s="6" t="s">
        <v>1761</v>
      </c>
      <c r="C2575" s="6" t="s">
        <v>124</v>
      </c>
      <c r="D2575" s="6" t="s">
        <v>61</v>
      </c>
      <c r="E2575" s="14" t="n">
        <v>2617.99</v>
      </c>
      <c r="F2575" s="14" t="n">
        <v>10471.96</v>
      </c>
      <c r="G2575" s="6" t="s">
        <v>15614</v>
      </c>
    </row>
    <row r="2576" customFormat="false" ht="15" hidden="false" customHeight="true" outlineLevel="0" collapsed="false">
      <c r="A2576" s="6" t="s">
        <v>18188</v>
      </c>
      <c r="B2576" s="6" t="s">
        <v>1763</v>
      </c>
      <c r="C2576" s="6" t="s">
        <v>120</v>
      </c>
      <c r="D2576" s="6" t="s">
        <v>62</v>
      </c>
      <c r="E2576" s="14" t="n">
        <v>1362.92</v>
      </c>
      <c r="F2576" s="14" t="n">
        <v>1362.92</v>
      </c>
      <c r="G2576" s="6" t="s">
        <v>15614</v>
      </c>
    </row>
    <row r="2577" customFormat="false" ht="15" hidden="false" customHeight="true" outlineLevel="0" collapsed="false">
      <c r="A2577" s="6" t="s">
        <v>18189</v>
      </c>
      <c r="B2577" s="6" t="s">
        <v>1763</v>
      </c>
      <c r="C2577" s="6" t="s">
        <v>120</v>
      </c>
      <c r="D2577" s="6" t="s">
        <v>63</v>
      </c>
      <c r="E2577" s="14" t="n">
        <v>1362.92</v>
      </c>
      <c r="F2577" s="14" t="n">
        <v>2725.84</v>
      </c>
      <c r="G2577" s="6" t="s">
        <v>15614</v>
      </c>
    </row>
    <row r="2578" customFormat="false" ht="15" hidden="false" customHeight="true" outlineLevel="0" collapsed="false">
      <c r="A2578" s="6" t="s">
        <v>18190</v>
      </c>
      <c r="B2578" s="6" t="s">
        <v>1763</v>
      </c>
      <c r="C2578" s="6" t="s">
        <v>120</v>
      </c>
      <c r="D2578" s="6" t="s">
        <v>64</v>
      </c>
      <c r="E2578" s="14" t="n">
        <v>1362.92</v>
      </c>
      <c r="F2578" s="14" t="n">
        <v>4088.76</v>
      </c>
      <c r="G2578" s="6" t="s">
        <v>15614</v>
      </c>
    </row>
    <row r="2579" customFormat="false" ht="15" hidden="false" customHeight="true" outlineLevel="0" collapsed="false">
      <c r="A2579" s="6" t="s">
        <v>18191</v>
      </c>
      <c r="B2579" s="6" t="s">
        <v>1765</v>
      </c>
      <c r="C2579" s="6" t="s">
        <v>131</v>
      </c>
      <c r="D2579" s="6" t="s">
        <v>41</v>
      </c>
      <c r="E2579" s="14" t="n">
        <v>1240.28</v>
      </c>
      <c r="F2579" s="14" t="n">
        <v>1240.28</v>
      </c>
      <c r="G2579" s="6" t="s">
        <v>15614</v>
      </c>
    </row>
    <row r="2580" customFormat="false" ht="15" hidden="false" customHeight="true" outlineLevel="0" collapsed="false">
      <c r="A2580" s="6" t="s">
        <v>18192</v>
      </c>
      <c r="B2580" s="6" t="s">
        <v>1765</v>
      </c>
      <c r="C2580" s="6" t="s">
        <v>131</v>
      </c>
      <c r="D2580" s="6" t="s">
        <v>42</v>
      </c>
      <c r="E2580" s="14" t="n">
        <v>1240.28</v>
      </c>
      <c r="F2580" s="14" t="n">
        <v>2480.56</v>
      </c>
      <c r="G2580" s="6" t="s">
        <v>15614</v>
      </c>
    </row>
    <row r="2581" customFormat="false" ht="15" hidden="false" customHeight="true" outlineLevel="0" collapsed="false">
      <c r="A2581" s="6" t="s">
        <v>18193</v>
      </c>
      <c r="B2581" s="6" t="s">
        <v>1765</v>
      </c>
      <c r="C2581" s="6" t="s">
        <v>131</v>
      </c>
      <c r="D2581" s="6" t="s">
        <v>43</v>
      </c>
      <c r="E2581" s="14" t="n">
        <v>1240.28</v>
      </c>
      <c r="F2581" s="14" t="n">
        <v>3720.84</v>
      </c>
      <c r="G2581" s="6" t="s">
        <v>15614</v>
      </c>
    </row>
    <row r="2582" customFormat="false" ht="15" hidden="false" customHeight="true" outlineLevel="0" collapsed="false">
      <c r="A2582" s="6" t="s">
        <v>18194</v>
      </c>
      <c r="B2582" s="6" t="s">
        <v>1765</v>
      </c>
      <c r="C2582" s="6" t="s">
        <v>131</v>
      </c>
      <c r="D2582" s="6" t="s">
        <v>44</v>
      </c>
      <c r="E2582" s="14" t="n">
        <v>1240.28</v>
      </c>
      <c r="F2582" s="14" t="n">
        <v>4961.12</v>
      </c>
      <c r="G2582" s="6" t="s">
        <v>15614</v>
      </c>
    </row>
    <row r="2583" customFormat="false" ht="15" hidden="false" customHeight="true" outlineLevel="0" collapsed="false">
      <c r="A2583" s="6" t="s">
        <v>18195</v>
      </c>
      <c r="B2583" s="6" t="s">
        <v>1765</v>
      </c>
      <c r="C2583" s="6" t="s">
        <v>131</v>
      </c>
      <c r="D2583" s="6" t="s">
        <v>45</v>
      </c>
      <c r="E2583" s="14" t="n">
        <v>1240.28</v>
      </c>
      <c r="F2583" s="14" t="n">
        <v>6201.4</v>
      </c>
      <c r="G2583" s="6" t="s">
        <v>15614</v>
      </c>
    </row>
    <row r="2584" customFormat="false" ht="15" hidden="false" customHeight="true" outlineLevel="0" collapsed="false">
      <c r="A2584" s="6" t="s">
        <v>18196</v>
      </c>
      <c r="B2584" s="6" t="s">
        <v>1765</v>
      </c>
      <c r="C2584" s="6" t="s">
        <v>131</v>
      </c>
      <c r="D2584" s="6" t="s">
        <v>46</v>
      </c>
      <c r="E2584" s="14" t="n">
        <v>1240.28</v>
      </c>
      <c r="F2584" s="14" t="n">
        <v>7441.68</v>
      </c>
      <c r="G2584" s="6" t="s">
        <v>15614</v>
      </c>
    </row>
    <row r="2585" customFormat="false" ht="15" hidden="false" customHeight="true" outlineLevel="0" collapsed="false">
      <c r="A2585" s="6" t="s">
        <v>18197</v>
      </c>
      <c r="B2585" s="6" t="s">
        <v>1767</v>
      </c>
      <c r="C2585" s="6" t="s">
        <v>120</v>
      </c>
      <c r="D2585" s="6" t="s">
        <v>25</v>
      </c>
      <c r="E2585" s="14" t="n">
        <v>6957.59</v>
      </c>
      <c r="F2585" s="14" t="n">
        <v>6957.59</v>
      </c>
      <c r="G2585" s="6" t="s">
        <v>15614</v>
      </c>
    </row>
    <row r="2586" customFormat="false" ht="15" hidden="false" customHeight="true" outlineLevel="0" collapsed="false">
      <c r="A2586" s="6" t="s">
        <v>18198</v>
      </c>
      <c r="B2586" s="6" t="s">
        <v>1767</v>
      </c>
      <c r="C2586" s="6" t="s">
        <v>120</v>
      </c>
      <c r="D2586" s="6" t="s">
        <v>26</v>
      </c>
      <c r="E2586" s="14" t="n">
        <v>6957.59</v>
      </c>
      <c r="F2586" s="14" t="n">
        <v>13915.18</v>
      </c>
      <c r="G2586" s="6" t="s">
        <v>15614</v>
      </c>
    </row>
    <row r="2587" customFormat="false" ht="15" hidden="false" customHeight="true" outlineLevel="0" collapsed="false">
      <c r="A2587" s="6" t="s">
        <v>18199</v>
      </c>
      <c r="B2587" s="6" t="s">
        <v>1767</v>
      </c>
      <c r="C2587" s="6" t="s">
        <v>120</v>
      </c>
      <c r="D2587" s="6" t="s">
        <v>27</v>
      </c>
      <c r="E2587" s="14" t="n">
        <v>6957.59</v>
      </c>
      <c r="F2587" s="14" t="n">
        <v>20872.77</v>
      </c>
      <c r="G2587" s="6" t="s">
        <v>15614</v>
      </c>
    </row>
    <row r="2588" customFormat="false" ht="15" hidden="false" customHeight="true" outlineLevel="0" collapsed="false">
      <c r="A2588" s="6" t="s">
        <v>18200</v>
      </c>
      <c r="B2588" s="6" t="s">
        <v>1769</v>
      </c>
      <c r="C2588" s="6" t="s">
        <v>124</v>
      </c>
      <c r="D2588" s="6" t="s">
        <v>56</v>
      </c>
      <c r="E2588" s="14" t="n">
        <v>524.55</v>
      </c>
      <c r="F2588" s="14" t="n">
        <v>524.55</v>
      </c>
      <c r="G2588" s="6" t="s">
        <v>15614</v>
      </c>
    </row>
    <row r="2589" customFormat="false" ht="15" hidden="false" customHeight="true" outlineLevel="0" collapsed="false">
      <c r="A2589" s="6" t="s">
        <v>18201</v>
      </c>
      <c r="B2589" s="6" t="s">
        <v>1769</v>
      </c>
      <c r="C2589" s="6" t="s">
        <v>124</v>
      </c>
      <c r="D2589" s="6" t="s">
        <v>57</v>
      </c>
      <c r="E2589" s="14" t="n">
        <v>524.55</v>
      </c>
      <c r="F2589" s="14" t="n">
        <v>1049.1</v>
      </c>
      <c r="G2589" s="6" t="s">
        <v>15614</v>
      </c>
    </row>
    <row r="2590" customFormat="false" ht="15" hidden="false" customHeight="true" outlineLevel="0" collapsed="false">
      <c r="A2590" s="6" t="s">
        <v>18202</v>
      </c>
      <c r="B2590" s="6" t="s">
        <v>1769</v>
      </c>
      <c r="C2590" s="6" t="s">
        <v>124</v>
      </c>
      <c r="D2590" s="6" t="s">
        <v>58</v>
      </c>
      <c r="E2590" s="14" t="n">
        <v>524.55</v>
      </c>
      <c r="F2590" s="14" t="n">
        <v>1573.65</v>
      </c>
      <c r="G2590" s="6" t="s">
        <v>15614</v>
      </c>
    </row>
    <row r="2591" customFormat="false" ht="15" hidden="false" customHeight="true" outlineLevel="0" collapsed="false">
      <c r="A2591" s="6" t="s">
        <v>18203</v>
      </c>
      <c r="B2591" s="6" t="s">
        <v>1771</v>
      </c>
      <c r="C2591" s="6" t="s">
        <v>124</v>
      </c>
      <c r="D2591" s="6" t="s">
        <v>44</v>
      </c>
      <c r="E2591" s="14" t="n">
        <v>2409.59</v>
      </c>
      <c r="F2591" s="14" t="n">
        <v>2409.59</v>
      </c>
      <c r="G2591" s="6" t="s">
        <v>15614</v>
      </c>
    </row>
    <row r="2592" customFormat="false" ht="15" hidden="false" customHeight="true" outlineLevel="0" collapsed="false">
      <c r="A2592" s="6" t="s">
        <v>18204</v>
      </c>
      <c r="B2592" s="6" t="s">
        <v>1771</v>
      </c>
      <c r="C2592" s="6" t="s">
        <v>124</v>
      </c>
      <c r="D2592" s="6" t="s">
        <v>45</v>
      </c>
      <c r="E2592" s="14" t="n">
        <v>2409.59</v>
      </c>
      <c r="F2592" s="14" t="n">
        <v>4819.18</v>
      </c>
      <c r="G2592" s="6" t="s">
        <v>15614</v>
      </c>
    </row>
    <row r="2593" customFormat="false" ht="15" hidden="false" customHeight="true" outlineLevel="0" collapsed="false">
      <c r="A2593" s="6" t="s">
        <v>18205</v>
      </c>
      <c r="B2593" s="6" t="s">
        <v>1771</v>
      </c>
      <c r="C2593" s="6" t="s">
        <v>124</v>
      </c>
      <c r="D2593" s="6" t="s">
        <v>46</v>
      </c>
      <c r="E2593" s="14" t="n">
        <v>2409.59</v>
      </c>
      <c r="F2593" s="14" t="n">
        <v>7228.77</v>
      </c>
      <c r="G2593" s="6" t="s">
        <v>15614</v>
      </c>
    </row>
    <row r="2594" customFormat="false" ht="15" hidden="false" customHeight="true" outlineLevel="0" collapsed="false">
      <c r="A2594" s="6" t="s">
        <v>18206</v>
      </c>
      <c r="B2594" s="6" t="s">
        <v>1771</v>
      </c>
      <c r="C2594" s="6" t="s">
        <v>124</v>
      </c>
      <c r="D2594" s="6" t="s">
        <v>47</v>
      </c>
      <c r="E2594" s="14" t="n">
        <v>2409.59</v>
      </c>
      <c r="F2594" s="14" t="n">
        <v>9638.36</v>
      </c>
      <c r="G2594" s="6" t="s">
        <v>15614</v>
      </c>
    </row>
    <row r="2595" customFormat="false" ht="15" hidden="false" customHeight="true" outlineLevel="0" collapsed="false">
      <c r="A2595" s="6" t="s">
        <v>18207</v>
      </c>
      <c r="B2595" s="6" t="s">
        <v>1773</v>
      </c>
      <c r="C2595" s="6" t="s">
        <v>112</v>
      </c>
      <c r="D2595" s="6" t="s">
        <v>36</v>
      </c>
      <c r="E2595" s="14" t="n">
        <v>1321.81</v>
      </c>
      <c r="F2595" s="14" t="n">
        <v>1321.81</v>
      </c>
      <c r="G2595" s="6" t="s">
        <v>15614</v>
      </c>
    </row>
    <row r="2596" customFormat="false" ht="15" hidden="false" customHeight="true" outlineLevel="0" collapsed="false">
      <c r="A2596" s="6" t="s">
        <v>18208</v>
      </c>
      <c r="B2596" s="6" t="s">
        <v>1773</v>
      </c>
      <c r="C2596" s="6" t="s">
        <v>112</v>
      </c>
      <c r="D2596" s="6" t="s">
        <v>37</v>
      </c>
      <c r="E2596" s="14" t="n">
        <v>1321.81</v>
      </c>
      <c r="F2596" s="14" t="n">
        <v>2643.62</v>
      </c>
      <c r="G2596" s="6" t="s">
        <v>15614</v>
      </c>
    </row>
    <row r="2597" customFormat="false" ht="15" hidden="false" customHeight="true" outlineLevel="0" collapsed="false">
      <c r="A2597" s="6" t="s">
        <v>18209</v>
      </c>
      <c r="B2597" s="6" t="s">
        <v>1773</v>
      </c>
      <c r="C2597" s="6" t="s">
        <v>112</v>
      </c>
      <c r="D2597" s="6" t="s">
        <v>38</v>
      </c>
      <c r="E2597" s="14" t="n">
        <v>1321.81</v>
      </c>
      <c r="F2597" s="14" t="n">
        <v>3965.43</v>
      </c>
      <c r="G2597" s="6" t="s">
        <v>15614</v>
      </c>
    </row>
    <row r="2598" customFormat="false" ht="15" hidden="false" customHeight="true" outlineLevel="0" collapsed="false">
      <c r="A2598" s="6" t="s">
        <v>18210</v>
      </c>
      <c r="B2598" s="6" t="s">
        <v>1775</v>
      </c>
      <c r="C2598" s="6" t="s">
        <v>112</v>
      </c>
      <c r="D2598" s="6" t="s">
        <v>49</v>
      </c>
      <c r="E2598" s="14" t="n">
        <v>598.8</v>
      </c>
      <c r="F2598" s="14" t="n">
        <v>598.8</v>
      </c>
      <c r="G2598" s="6" t="s">
        <v>15614</v>
      </c>
    </row>
    <row r="2599" customFormat="false" ht="15" hidden="false" customHeight="true" outlineLevel="0" collapsed="false">
      <c r="A2599" s="6" t="s">
        <v>18211</v>
      </c>
      <c r="B2599" s="6" t="s">
        <v>1775</v>
      </c>
      <c r="C2599" s="6" t="s">
        <v>112</v>
      </c>
      <c r="D2599" s="6" t="s">
        <v>50</v>
      </c>
      <c r="E2599" s="14" t="n">
        <v>598.8</v>
      </c>
      <c r="F2599" s="14" t="n">
        <v>1197.6</v>
      </c>
      <c r="G2599" s="6" t="s">
        <v>15614</v>
      </c>
    </row>
    <row r="2600" customFormat="false" ht="15" hidden="false" customHeight="true" outlineLevel="0" collapsed="false">
      <c r="A2600" s="6" t="s">
        <v>18212</v>
      </c>
      <c r="B2600" s="6" t="s">
        <v>1775</v>
      </c>
      <c r="C2600" s="6" t="s">
        <v>112</v>
      </c>
      <c r="D2600" s="6" t="s">
        <v>51</v>
      </c>
      <c r="E2600" s="14" t="n">
        <v>598.8</v>
      </c>
      <c r="F2600" s="14" t="n">
        <v>1796.4</v>
      </c>
      <c r="G2600" s="6" t="s">
        <v>15614</v>
      </c>
    </row>
    <row r="2601" customFormat="false" ht="15" hidden="false" customHeight="true" outlineLevel="0" collapsed="false">
      <c r="A2601" s="6" t="s">
        <v>18213</v>
      </c>
      <c r="B2601" s="6" t="s">
        <v>1775</v>
      </c>
      <c r="C2601" s="6" t="s">
        <v>112</v>
      </c>
      <c r="D2601" s="6" t="s">
        <v>52</v>
      </c>
      <c r="E2601" s="14" t="n">
        <v>598.8</v>
      </c>
      <c r="F2601" s="14" t="n">
        <v>2395.2</v>
      </c>
      <c r="G2601" s="6" t="s">
        <v>15614</v>
      </c>
    </row>
    <row r="2602" customFormat="false" ht="15" hidden="false" customHeight="true" outlineLevel="0" collapsed="false">
      <c r="A2602" s="6" t="s">
        <v>18214</v>
      </c>
      <c r="B2602" s="6" t="s">
        <v>1775</v>
      </c>
      <c r="C2602" s="6" t="s">
        <v>112</v>
      </c>
      <c r="D2602" s="6" t="s">
        <v>53</v>
      </c>
      <c r="E2602" s="14" t="n">
        <v>598.8</v>
      </c>
      <c r="F2602" s="14" t="n">
        <v>2994</v>
      </c>
      <c r="G2602" s="6" t="s">
        <v>15614</v>
      </c>
    </row>
    <row r="2603" customFormat="false" ht="15" hidden="false" customHeight="true" outlineLevel="0" collapsed="false">
      <c r="A2603" s="6" t="s">
        <v>18215</v>
      </c>
      <c r="B2603" s="6" t="s">
        <v>1775</v>
      </c>
      <c r="C2603" s="6" t="s">
        <v>112</v>
      </c>
      <c r="D2603" s="6" t="s">
        <v>54</v>
      </c>
      <c r="E2603" s="14" t="n">
        <v>598.8</v>
      </c>
      <c r="F2603" s="14" t="n">
        <v>3592.8</v>
      </c>
      <c r="G2603" s="6" t="s">
        <v>15614</v>
      </c>
    </row>
    <row r="2604" customFormat="false" ht="15" hidden="false" customHeight="true" outlineLevel="0" collapsed="false">
      <c r="A2604" s="6" t="s">
        <v>18216</v>
      </c>
      <c r="B2604" s="6" t="s">
        <v>1777</v>
      </c>
      <c r="C2604" s="6" t="s">
        <v>131</v>
      </c>
      <c r="D2604" s="6" t="s">
        <v>16</v>
      </c>
      <c r="E2604" s="14" t="n">
        <v>3511.9</v>
      </c>
      <c r="F2604" s="14" t="n">
        <v>3511.9</v>
      </c>
      <c r="G2604" s="6" t="s">
        <v>15614</v>
      </c>
    </row>
    <row r="2605" customFormat="false" ht="15" hidden="false" customHeight="true" outlineLevel="0" collapsed="false">
      <c r="A2605" s="6" t="s">
        <v>18217</v>
      </c>
      <c r="B2605" s="6" t="s">
        <v>1777</v>
      </c>
      <c r="C2605" s="6" t="s">
        <v>131</v>
      </c>
      <c r="D2605" s="6" t="s">
        <v>17</v>
      </c>
      <c r="E2605" s="14" t="n">
        <v>3511.9</v>
      </c>
      <c r="F2605" s="14" t="n">
        <v>7023.8</v>
      </c>
      <c r="G2605" s="6" t="s">
        <v>15614</v>
      </c>
    </row>
    <row r="2606" customFormat="false" ht="15" hidden="false" customHeight="true" outlineLevel="0" collapsed="false">
      <c r="A2606" s="6" t="s">
        <v>18218</v>
      </c>
      <c r="B2606" s="6" t="s">
        <v>1777</v>
      </c>
      <c r="C2606" s="6" t="s">
        <v>131</v>
      </c>
      <c r="D2606" s="6" t="s">
        <v>18</v>
      </c>
      <c r="E2606" s="14" t="n">
        <v>3511.9</v>
      </c>
      <c r="F2606" s="14" t="n">
        <v>10535.7</v>
      </c>
      <c r="G2606" s="6" t="s">
        <v>15614</v>
      </c>
    </row>
    <row r="2607" customFormat="false" ht="15" hidden="false" customHeight="true" outlineLevel="0" collapsed="false">
      <c r="A2607" s="6" t="s">
        <v>18219</v>
      </c>
      <c r="B2607" s="6" t="s">
        <v>1779</v>
      </c>
      <c r="C2607" s="6" t="s">
        <v>116</v>
      </c>
      <c r="D2607" s="6" t="s">
        <v>20</v>
      </c>
      <c r="E2607" s="14" t="n">
        <v>407.28</v>
      </c>
      <c r="F2607" s="14" t="n">
        <v>407.28</v>
      </c>
      <c r="G2607" s="6" t="s">
        <v>15614</v>
      </c>
    </row>
    <row r="2608" customFormat="false" ht="15" hidden="false" customHeight="true" outlineLevel="0" collapsed="false">
      <c r="A2608" s="6" t="s">
        <v>18220</v>
      </c>
      <c r="B2608" s="6" t="s">
        <v>1779</v>
      </c>
      <c r="C2608" s="6" t="s">
        <v>116</v>
      </c>
      <c r="D2608" s="6" t="s">
        <v>21</v>
      </c>
      <c r="E2608" s="14" t="n">
        <v>407.28</v>
      </c>
      <c r="F2608" s="14" t="n">
        <v>814.56</v>
      </c>
      <c r="G2608" s="6" t="s">
        <v>15614</v>
      </c>
    </row>
    <row r="2609" customFormat="false" ht="15" hidden="false" customHeight="true" outlineLevel="0" collapsed="false">
      <c r="A2609" s="6" t="s">
        <v>18221</v>
      </c>
      <c r="B2609" s="6" t="s">
        <v>1779</v>
      </c>
      <c r="C2609" s="6" t="s">
        <v>116</v>
      </c>
      <c r="D2609" s="6" t="s">
        <v>22</v>
      </c>
      <c r="E2609" s="14" t="n">
        <v>407.28</v>
      </c>
      <c r="F2609" s="14" t="n">
        <v>1221.84</v>
      </c>
      <c r="G2609" s="6" t="s">
        <v>15614</v>
      </c>
    </row>
    <row r="2610" customFormat="false" ht="15" hidden="false" customHeight="true" outlineLevel="0" collapsed="false">
      <c r="A2610" s="6" t="s">
        <v>18222</v>
      </c>
      <c r="B2610" s="6" t="s">
        <v>1781</v>
      </c>
      <c r="C2610" s="6" t="s">
        <v>131</v>
      </c>
      <c r="D2610" s="6" t="s">
        <v>58</v>
      </c>
      <c r="E2610" s="14" t="n">
        <v>746.75</v>
      </c>
      <c r="F2610" s="14" t="n">
        <v>746.75</v>
      </c>
      <c r="G2610" s="6" t="s">
        <v>15614</v>
      </c>
    </row>
    <row r="2611" customFormat="false" ht="15" hidden="false" customHeight="true" outlineLevel="0" collapsed="false">
      <c r="A2611" s="6" t="s">
        <v>18223</v>
      </c>
      <c r="B2611" s="6" t="s">
        <v>1781</v>
      </c>
      <c r="C2611" s="6" t="s">
        <v>131</v>
      </c>
      <c r="D2611" s="6" t="s">
        <v>59</v>
      </c>
      <c r="E2611" s="14" t="n">
        <v>746.75</v>
      </c>
      <c r="F2611" s="14" t="n">
        <v>1493.5</v>
      </c>
      <c r="G2611" s="6" t="s">
        <v>15614</v>
      </c>
    </row>
    <row r="2612" customFormat="false" ht="15" hidden="false" customHeight="true" outlineLevel="0" collapsed="false">
      <c r="A2612" s="6" t="s">
        <v>18224</v>
      </c>
      <c r="B2612" s="6" t="s">
        <v>1783</v>
      </c>
      <c r="C2612" s="6" t="s">
        <v>128</v>
      </c>
      <c r="D2612" s="6" t="s">
        <v>12</v>
      </c>
      <c r="E2612" s="14" t="n">
        <v>264.3</v>
      </c>
      <c r="F2612" s="14" t="n">
        <v>264.3</v>
      </c>
      <c r="G2612" s="6" t="s">
        <v>15614</v>
      </c>
    </row>
    <row r="2613" customFormat="false" ht="15" hidden="false" customHeight="true" outlineLevel="0" collapsed="false">
      <c r="A2613" s="6" t="s">
        <v>18225</v>
      </c>
      <c r="B2613" s="6" t="s">
        <v>1783</v>
      </c>
      <c r="C2613" s="6" t="s">
        <v>128</v>
      </c>
      <c r="D2613" s="6" t="s">
        <v>13</v>
      </c>
      <c r="E2613" s="14" t="n">
        <v>264.3</v>
      </c>
      <c r="F2613" s="14" t="n">
        <v>528.6</v>
      </c>
      <c r="G2613" s="6" t="s">
        <v>15614</v>
      </c>
    </row>
    <row r="2614" customFormat="false" ht="15" hidden="false" customHeight="true" outlineLevel="0" collapsed="false">
      <c r="A2614" s="6" t="s">
        <v>18226</v>
      </c>
      <c r="B2614" s="6" t="s">
        <v>1783</v>
      </c>
      <c r="C2614" s="6" t="s">
        <v>128</v>
      </c>
      <c r="D2614" s="6" t="s">
        <v>14</v>
      </c>
      <c r="E2614" s="14" t="n">
        <v>264.3</v>
      </c>
      <c r="F2614" s="14" t="n">
        <v>792.9</v>
      </c>
      <c r="G2614" s="6" t="s">
        <v>15614</v>
      </c>
    </row>
    <row r="2615" customFormat="false" ht="15" hidden="false" customHeight="true" outlineLevel="0" collapsed="false">
      <c r="A2615" s="6" t="s">
        <v>18227</v>
      </c>
      <c r="B2615" s="6" t="s">
        <v>1783</v>
      </c>
      <c r="C2615" s="6" t="s">
        <v>128</v>
      </c>
      <c r="D2615" s="6" t="s">
        <v>15</v>
      </c>
      <c r="E2615" s="14" t="n">
        <v>264.3</v>
      </c>
      <c r="F2615" s="14" t="n">
        <v>1057.2</v>
      </c>
      <c r="G2615" s="6" t="s">
        <v>15614</v>
      </c>
    </row>
    <row r="2616" customFormat="false" ht="15" hidden="false" customHeight="true" outlineLevel="0" collapsed="false">
      <c r="A2616" s="6" t="s">
        <v>18228</v>
      </c>
      <c r="B2616" s="6" t="s">
        <v>1785</v>
      </c>
      <c r="C2616" s="6" t="s">
        <v>112</v>
      </c>
      <c r="D2616" s="6" t="s">
        <v>54</v>
      </c>
      <c r="E2616" s="14" t="n">
        <v>6306.94</v>
      </c>
      <c r="F2616" s="14" t="n">
        <v>6306.94</v>
      </c>
      <c r="G2616" s="6" t="s">
        <v>15614</v>
      </c>
    </row>
    <row r="2617" customFormat="false" ht="15" hidden="false" customHeight="true" outlineLevel="0" collapsed="false">
      <c r="A2617" s="6" t="s">
        <v>18229</v>
      </c>
      <c r="B2617" s="6" t="s">
        <v>1785</v>
      </c>
      <c r="C2617" s="6" t="s">
        <v>112</v>
      </c>
      <c r="D2617" s="6" t="s">
        <v>55</v>
      </c>
      <c r="E2617" s="14" t="n">
        <v>6306.94</v>
      </c>
      <c r="F2617" s="14" t="n">
        <v>12613.88</v>
      </c>
      <c r="G2617" s="6" t="s">
        <v>15614</v>
      </c>
    </row>
    <row r="2618" customFormat="false" ht="15" hidden="false" customHeight="true" outlineLevel="0" collapsed="false">
      <c r="A2618" s="6" t="s">
        <v>18230</v>
      </c>
      <c r="B2618" s="6" t="s">
        <v>1785</v>
      </c>
      <c r="C2618" s="6" t="s">
        <v>112</v>
      </c>
      <c r="D2618" s="6" t="s">
        <v>56</v>
      </c>
      <c r="E2618" s="14" t="n">
        <v>6306.94</v>
      </c>
      <c r="F2618" s="14" t="n">
        <v>18920.82</v>
      </c>
      <c r="G2618" s="6" t="s">
        <v>15614</v>
      </c>
    </row>
    <row r="2619" customFormat="false" ht="15" hidden="false" customHeight="true" outlineLevel="0" collapsed="false">
      <c r="A2619" s="6" t="s">
        <v>18231</v>
      </c>
      <c r="B2619" s="6" t="s">
        <v>1787</v>
      </c>
      <c r="C2619" s="6" t="s">
        <v>124</v>
      </c>
      <c r="D2619" s="6" t="s">
        <v>54</v>
      </c>
      <c r="E2619" s="14" t="n">
        <v>1492.93</v>
      </c>
      <c r="F2619" s="14" t="n">
        <v>1492.93</v>
      </c>
      <c r="G2619" s="6" t="s">
        <v>15614</v>
      </c>
    </row>
    <row r="2620" customFormat="false" ht="15" hidden="false" customHeight="true" outlineLevel="0" collapsed="false">
      <c r="A2620" s="6" t="s">
        <v>18232</v>
      </c>
      <c r="B2620" s="6" t="s">
        <v>1787</v>
      </c>
      <c r="C2620" s="6" t="s">
        <v>124</v>
      </c>
      <c r="D2620" s="6" t="s">
        <v>55</v>
      </c>
      <c r="E2620" s="14" t="n">
        <v>1492.93</v>
      </c>
      <c r="F2620" s="14" t="n">
        <v>2985.86</v>
      </c>
      <c r="G2620" s="6" t="s">
        <v>15614</v>
      </c>
    </row>
    <row r="2621" customFormat="false" ht="15" hidden="false" customHeight="true" outlineLevel="0" collapsed="false">
      <c r="A2621" s="6" t="s">
        <v>18233</v>
      </c>
      <c r="B2621" s="6" t="s">
        <v>1787</v>
      </c>
      <c r="C2621" s="6" t="s">
        <v>124</v>
      </c>
      <c r="D2621" s="6" t="s">
        <v>56</v>
      </c>
      <c r="E2621" s="14" t="n">
        <v>1492.93</v>
      </c>
      <c r="F2621" s="14" t="n">
        <v>4478.79</v>
      </c>
      <c r="G2621" s="6" t="s">
        <v>15614</v>
      </c>
    </row>
    <row r="2622" customFormat="false" ht="15" hidden="false" customHeight="true" outlineLevel="0" collapsed="false">
      <c r="A2622" s="6" t="s">
        <v>18234</v>
      </c>
      <c r="B2622" s="6" t="s">
        <v>1787</v>
      </c>
      <c r="C2622" s="6" t="s">
        <v>124</v>
      </c>
      <c r="D2622" s="6" t="s">
        <v>57</v>
      </c>
      <c r="E2622" s="14" t="n">
        <v>1492.93</v>
      </c>
      <c r="F2622" s="14" t="n">
        <v>5971.72</v>
      </c>
      <c r="G2622" s="6" t="s">
        <v>15614</v>
      </c>
    </row>
    <row r="2623" customFormat="false" ht="15" hidden="false" customHeight="true" outlineLevel="0" collapsed="false">
      <c r="A2623" s="6" t="s">
        <v>18235</v>
      </c>
      <c r="B2623" s="6" t="s">
        <v>1787</v>
      </c>
      <c r="C2623" s="6" t="s">
        <v>124</v>
      </c>
      <c r="D2623" s="6" t="s">
        <v>58</v>
      </c>
      <c r="E2623" s="14" t="n">
        <v>1492.93</v>
      </c>
      <c r="F2623" s="14" t="n">
        <v>7464.65</v>
      </c>
      <c r="G2623" s="6" t="s">
        <v>15614</v>
      </c>
    </row>
    <row r="2624" customFormat="false" ht="15" hidden="false" customHeight="true" outlineLevel="0" collapsed="false">
      <c r="A2624" s="6" t="s">
        <v>18236</v>
      </c>
      <c r="B2624" s="6" t="s">
        <v>1789</v>
      </c>
      <c r="C2624" s="6" t="s">
        <v>120</v>
      </c>
      <c r="D2624" s="6" t="s">
        <v>58</v>
      </c>
      <c r="E2624" s="14" t="n">
        <v>475.57</v>
      </c>
      <c r="F2624" s="14" t="n">
        <v>475.57</v>
      </c>
      <c r="G2624" s="6" t="s">
        <v>15614</v>
      </c>
    </row>
    <row r="2625" customFormat="false" ht="15" hidden="false" customHeight="true" outlineLevel="0" collapsed="false">
      <c r="A2625" s="6" t="s">
        <v>18237</v>
      </c>
      <c r="B2625" s="6" t="s">
        <v>1789</v>
      </c>
      <c r="C2625" s="6" t="s">
        <v>120</v>
      </c>
      <c r="D2625" s="6" t="s">
        <v>59</v>
      </c>
      <c r="E2625" s="14" t="n">
        <v>475.57</v>
      </c>
      <c r="F2625" s="14" t="n">
        <v>951.14</v>
      </c>
      <c r="G2625" s="6" t="s">
        <v>15614</v>
      </c>
    </row>
    <row r="2626" customFormat="false" ht="15" hidden="false" customHeight="true" outlineLevel="0" collapsed="false">
      <c r="A2626" s="6" t="s">
        <v>18238</v>
      </c>
      <c r="B2626" s="6" t="s">
        <v>1789</v>
      </c>
      <c r="C2626" s="6" t="s">
        <v>120</v>
      </c>
      <c r="D2626" s="6" t="s">
        <v>59</v>
      </c>
      <c r="E2626" s="14" t="n">
        <v>475.57</v>
      </c>
      <c r="F2626" s="14" t="n">
        <v>1426.71</v>
      </c>
      <c r="G2626" s="6" t="s">
        <v>15614</v>
      </c>
    </row>
    <row r="2627" customFormat="false" ht="15" hidden="false" customHeight="true" outlineLevel="0" collapsed="false">
      <c r="A2627" s="6" t="s">
        <v>18239</v>
      </c>
      <c r="B2627" s="6" t="s">
        <v>1789</v>
      </c>
      <c r="C2627" s="6" t="s">
        <v>120</v>
      </c>
      <c r="D2627" s="6" t="s">
        <v>61</v>
      </c>
      <c r="E2627" s="14" t="n">
        <v>475.57</v>
      </c>
      <c r="F2627" s="14" t="n">
        <v>1902.28</v>
      </c>
      <c r="G2627" s="6" t="s">
        <v>15614</v>
      </c>
    </row>
    <row r="2628" customFormat="false" ht="15" hidden="false" customHeight="true" outlineLevel="0" collapsed="false">
      <c r="A2628" s="6" t="s">
        <v>18240</v>
      </c>
      <c r="B2628" s="6" t="s">
        <v>1789</v>
      </c>
      <c r="C2628" s="6" t="s">
        <v>120</v>
      </c>
      <c r="D2628" s="6" t="s">
        <v>62</v>
      </c>
      <c r="E2628" s="14" t="n">
        <v>475.57</v>
      </c>
      <c r="F2628" s="14" t="n">
        <v>2377.85</v>
      </c>
      <c r="G2628" s="6" t="s">
        <v>15614</v>
      </c>
    </row>
    <row r="2629" customFormat="false" ht="15" hidden="false" customHeight="true" outlineLevel="0" collapsed="false">
      <c r="A2629" s="6" t="s">
        <v>18241</v>
      </c>
      <c r="B2629" s="6" t="s">
        <v>1789</v>
      </c>
      <c r="C2629" s="6" t="s">
        <v>120</v>
      </c>
      <c r="D2629" s="6" t="s">
        <v>63</v>
      </c>
      <c r="E2629" s="14" t="n">
        <v>475.57</v>
      </c>
      <c r="F2629" s="14" t="n">
        <v>2853.42</v>
      </c>
      <c r="G2629" s="6" t="s">
        <v>15614</v>
      </c>
    </row>
    <row r="2630" customFormat="false" ht="15" hidden="false" customHeight="true" outlineLevel="0" collapsed="false">
      <c r="A2630" s="6" t="s">
        <v>18242</v>
      </c>
      <c r="B2630" s="6" t="s">
        <v>1789</v>
      </c>
      <c r="C2630" s="6" t="s">
        <v>120</v>
      </c>
      <c r="D2630" s="6" t="s">
        <v>63</v>
      </c>
      <c r="E2630" s="14" t="n">
        <v>475.57</v>
      </c>
      <c r="F2630" s="14" t="n">
        <v>3328.99</v>
      </c>
      <c r="G2630" s="6" t="s">
        <v>15614</v>
      </c>
    </row>
    <row r="2631" customFormat="false" ht="15" hidden="false" customHeight="true" outlineLevel="0" collapsed="false">
      <c r="A2631" s="6" t="s">
        <v>18243</v>
      </c>
      <c r="B2631" s="6" t="s">
        <v>1791</v>
      </c>
      <c r="C2631" s="6" t="s">
        <v>112</v>
      </c>
      <c r="D2631" s="6" t="s">
        <v>41</v>
      </c>
      <c r="E2631" s="14" t="n">
        <v>2131.01</v>
      </c>
      <c r="F2631" s="14" t="n">
        <v>2131.01</v>
      </c>
      <c r="G2631" s="6" t="s">
        <v>15614</v>
      </c>
    </row>
    <row r="2632" customFormat="false" ht="15" hidden="false" customHeight="true" outlineLevel="0" collapsed="false">
      <c r="A2632" s="6" t="s">
        <v>18244</v>
      </c>
      <c r="B2632" s="6" t="s">
        <v>1791</v>
      </c>
      <c r="C2632" s="6" t="s">
        <v>112</v>
      </c>
      <c r="D2632" s="6" t="s">
        <v>42</v>
      </c>
      <c r="E2632" s="14" t="n">
        <v>2131.01</v>
      </c>
      <c r="F2632" s="14" t="n">
        <v>4262.02</v>
      </c>
      <c r="G2632" s="6" t="s">
        <v>15614</v>
      </c>
    </row>
    <row r="2633" customFormat="false" ht="15" hidden="false" customHeight="true" outlineLevel="0" collapsed="false">
      <c r="A2633" s="6" t="s">
        <v>18245</v>
      </c>
      <c r="B2633" s="6" t="s">
        <v>1793</v>
      </c>
      <c r="C2633" s="6" t="s">
        <v>116</v>
      </c>
      <c r="D2633" s="6" t="s">
        <v>48</v>
      </c>
      <c r="E2633" s="14" t="n">
        <v>2701.83</v>
      </c>
      <c r="F2633" s="14" t="n">
        <v>2701.83</v>
      </c>
      <c r="G2633" s="6" t="s">
        <v>15614</v>
      </c>
    </row>
    <row r="2634" customFormat="false" ht="15" hidden="false" customHeight="true" outlineLevel="0" collapsed="false">
      <c r="A2634" s="6" t="s">
        <v>18246</v>
      </c>
      <c r="B2634" s="6" t="s">
        <v>1793</v>
      </c>
      <c r="C2634" s="6" t="s">
        <v>116</v>
      </c>
      <c r="D2634" s="6" t="s">
        <v>49</v>
      </c>
      <c r="E2634" s="14" t="n">
        <v>2701.83</v>
      </c>
      <c r="F2634" s="14" t="n">
        <v>5403.66</v>
      </c>
      <c r="G2634" s="6" t="s">
        <v>15614</v>
      </c>
    </row>
    <row r="2635" customFormat="false" ht="15" hidden="false" customHeight="true" outlineLevel="0" collapsed="false">
      <c r="A2635" s="6" t="s">
        <v>18247</v>
      </c>
      <c r="B2635" s="6" t="s">
        <v>1793</v>
      </c>
      <c r="C2635" s="6" t="s">
        <v>116</v>
      </c>
      <c r="D2635" s="6" t="s">
        <v>50</v>
      </c>
      <c r="E2635" s="14" t="n">
        <v>2701.83</v>
      </c>
      <c r="F2635" s="14" t="n">
        <v>8105.49</v>
      </c>
      <c r="G2635" s="6" t="s">
        <v>15614</v>
      </c>
    </row>
    <row r="2636" customFormat="false" ht="15" hidden="false" customHeight="true" outlineLevel="0" collapsed="false">
      <c r="A2636" s="6" t="s">
        <v>18248</v>
      </c>
      <c r="B2636" s="6" t="s">
        <v>1795</v>
      </c>
      <c r="C2636" s="6" t="s">
        <v>124</v>
      </c>
      <c r="D2636" s="6" t="s">
        <v>25</v>
      </c>
      <c r="E2636" s="14" t="n">
        <v>1439.45</v>
      </c>
      <c r="F2636" s="14" t="n">
        <v>1439.45</v>
      </c>
      <c r="G2636" s="6" t="s">
        <v>15614</v>
      </c>
    </row>
    <row r="2637" customFormat="false" ht="15" hidden="false" customHeight="true" outlineLevel="0" collapsed="false">
      <c r="A2637" s="6" t="s">
        <v>18249</v>
      </c>
      <c r="B2637" s="6" t="s">
        <v>1795</v>
      </c>
      <c r="C2637" s="6" t="s">
        <v>124</v>
      </c>
      <c r="D2637" s="6" t="s">
        <v>26</v>
      </c>
      <c r="E2637" s="14" t="n">
        <v>1439.45</v>
      </c>
      <c r="F2637" s="14" t="n">
        <v>2878.9</v>
      </c>
      <c r="G2637" s="6" t="s">
        <v>15614</v>
      </c>
    </row>
    <row r="2638" customFormat="false" ht="15" hidden="false" customHeight="true" outlineLevel="0" collapsed="false">
      <c r="A2638" s="6" t="s">
        <v>18250</v>
      </c>
      <c r="B2638" s="6" t="s">
        <v>1797</v>
      </c>
      <c r="C2638" s="6" t="s">
        <v>128</v>
      </c>
      <c r="D2638" s="6" t="s">
        <v>26</v>
      </c>
      <c r="E2638" s="14" t="n">
        <v>747.31</v>
      </c>
      <c r="F2638" s="14" t="n">
        <v>747.31</v>
      </c>
      <c r="G2638" s="6" t="s">
        <v>15614</v>
      </c>
    </row>
    <row r="2639" customFormat="false" ht="15" hidden="false" customHeight="true" outlineLevel="0" collapsed="false">
      <c r="A2639" s="6" t="s">
        <v>18251</v>
      </c>
      <c r="B2639" s="6" t="s">
        <v>1797</v>
      </c>
      <c r="C2639" s="6" t="s">
        <v>128</v>
      </c>
      <c r="D2639" s="6" t="s">
        <v>27</v>
      </c>
      <c r="E2639" s="14" t="n">
        <v>747.31</v>
      </c>
      <c r="F2639" s="14" t="n">
        <v>1494.62</v>
      </c>
      <c r="G2639" s="6" t="s">
        <v>15614</v>
      </c>
    </row>
    <row r="2640" customFormat="false" ht="15" hidden="false" customHeight="true" outlineLevel="0" collapsed="false">
      <c r="A2640" s="6" t="s">
        <v>18252</v>
      </c>
      <c r="B2640" s="6" t="s">
        <v>1797</v>
      </c>
      <c r="C2640" s="6" t="s">
        <v>128</v>
      </c>
      <c r="D2640" s="6" t="s">
        <v>28</v>
      </c>
      <c r="E2640" s="14" t="n">
        <v>747.31</v>
      </c>
      <c r="F2640" s="14" t="n">
        <v>2241.93</v>
      </c>
      <c r="G2640" s="6" t="s">
        <v>15614</v>
      </c>
    </row>
    <row r="2641" customFormat="false" ht="15" hidden="false" customHeight="true" outlineLevel="0" collapsed="false">
      <c r="A2641" s="6" t="s">
        <v>18253</v>
      </c>
      <c r="B2641" s="6" t="s">
        <v>1797</v>
      </c>
      <c r="C2641" s="6" t="s">
        <v>128</v>
      </c>
      <c r="D2641" s="6" t="s">
        <v>29</v>
      </c>
      <c r="E2641" s="14" t="n">
        <v>747.31</v>
      </c>
      <c r="F2641" s="14" t="n">
        <v>2989.24</v>
      </c>
      <c r="G2641" s="6" t="s">
        <v>15614</v>
      </c>
    </row>
    <row r="2642" customFormat="false" ht="15" hidden="false" customHeight="true" outlineLevel="0" collapsed="false">
      <c r="A2642" s="6" t="s">
        <v>18254</v>
      </c>
      <c r="B2642" s="6" t="s">
        <v>1797</v>
      </c>
      <c r="C2642" s="6" t="s">
        <v>128</v>
      </c>
      <c r="D2642" s="6" t="s">
        <v>30</v>
      </c>
      <c r="E2642" s="14" t="n">
        <v>747.31</v>
      </c>
      <c r="F2642" s="14" t="n">
        <v>3736.55</v>
      </c>
      <c r="G2642" s="6" t="s">
        <v>15614</v>
      </c>
    </row>
    <row r="2643" customFormat="false" ht="15" hidden="false" customHeight="true" outlineLevel="0" collapsed="false">
      <c r="A2643" s="6" t="s">
        <v>18255</v>
      </c>
      <c r="B2643" s="6" t="s">
        <v>1799</v>
      </c>
      <c r="C2643" s="6" t="s">
        <v>128</v>
      </c>
      <c r="D2643" s="6" t="s">
        <v>21</v>
      </c>
      <c r="E2643" s="14" t="n">
        <v>662.15</v>
      </c>
      <c r="F2643" s="14" t="n">
        <v>662.15</v>
      </c>
      <c r="G2643" s="6" t="s">
        <v>15614</v>
      </c>
    </row>
    <row r="2644" customFormat="false" ht="15" hidden="false" customHeight="true" outlineLevel="0" collapsed="false">
      <c r="A2644" s="6" t="s">
        <v>18256</v>
      </c>
      <c r="B2644" s="6" t="s">
        <v>1799</v>
      </c>
      <c r="C2644" s="6" t="s">
        <v>128</v>
      </c>
      <c r="D2644" s="6" t="s">
        <v>22</v>
      </c>
      <c r="E2644" s="14" t="n">
        <v>662.15</v>
      </c>
      <c r="F2644" s="14" t="n">
        <v>1324.3</v>
      </c>
      <c r="G2644" s="6" t="s">
        <v>15614</v>
      </c>
    </row>
    <row r="2645" customFormat="false" ht="15" hidden="false" customHeight="true" outlineLevel="0" collapsed="false">
      <c r="A2645" s="6" t="s">
        <v>18257</v>
      </c>
      <c r="B2645" s="6" t="s">
        <v>1799</v>
      </c>
      <c r="C2645" s="6" t="s">
        <v>128</v>
      </c>
      <c r="D2645" s="6" t="s">
        <v>23</v>
      </c>
      <c r="E2645" s="14" t="n">
        <v>662.15</v>
      </c>
      <c r="F2645" s="14" t="n">
        <v>1986.45</v>
      </c>
      <c r="G2645" s="6" t="s">
        <v>15614</v>
      </c>
    </row>
    <row r="2646" customFormat="false" ht="15" hidden="false" customHeight="true" outlineLevel="0" collapsed="false">
      <c r="A2646" s="6" t="s">
        <v>18258</v>
      </c>
      <c r="B2646" s="6" t="s">
        <v>1799</v>
      </c>
      <c r="C2646" s="6" t="s">
        <v>128</v>
      </c>
      <c r="D2646" s="6" t="s">
        <v>24</v>
      </c>
      <c r="E2646" s="14" t="n">
        <v>662.15</v>
      </c>
      <c r="F2646" s="14" t="n">
        <v>2648.6</v>
      </c>
      <c r="G2646" s="6" t="s">
        <v>15614</v>
      </c>
    </row>
    <row r="2647" customFormat="false" ht="15" hidden="false" customHeight="true" outlineLevel="0" collapsed="false">
      <c r="A2647" s="6" t="s">
        <v>18259</v>
      </c>
      <c r="B2647" s="6" t="s">
        <v>1801</v>
      </c>
      <c r="C2647" s="6" t="s">
        <v>120</v>
      </c>
      <c r="D2647" s="6" t="s">
        <v>37</v>
      </c>
      <c r="E2647" s="14" t="n">
        <v>2047.18</v>
      </c>
      <c r="F2647" s="14" t="n">
        <v>2047.18</v>
      </c>
      <c r="G2647" s="6" t="s">
        <v>15614</v>
      </c>
    </row>
    <row r="2648" customFormat="false" ht="15" hidden="false" customHeight="true" outlineLevel="0" collapsed="false">
      <c r="A2648" s="6" t="s">
        <v>18260</v>
      </c>
      <c r="B2648" s="6" t="s">
        <v>1801</v>
      </c>
      <c r="C2648" s="6" t="s">
        <v>120</v>
      </c>
      <c r="D2648" s="6" t="s">
        <v>38</v>
      </c>
      <c r="E2648" s="14" t="n">
        <v>2047.18</v>
      </c>
      <c r="F2648" s="14" t="n">
        <v>4094.36</v>
      </c>
      <c r="G2648" s="6" t="s">
        <v>15614</v>
      </c>
    </row>
    <row r="2649" customFormat="false" ht="15" hidden="false" customHeight="true" outlineLevel="0" collapsed="false">
      <c r="A2649" s="6" t="s">
        <v>18261</v>
      </c>
      <c r="B2649" s="6" t="s">
        <v>1801</v>
      </c>
      <c r="C2649" s="6" t="s">
        <v>120</v>
      </c>
      <c r="D2649" s="6" t="s">
        <v>39</v>
      </c>
      <c r="E2649" s="14" t="n">
        <v>2047.18</v>
      </c>
      <c r="F2649" s="14" t="n">
        <v>6141.54</v>
      </c>
      <c r="G2649" s="6" t="s">
        <v>15614</v>
      </c>
    </row>
    <row r="2650" customFormat="false" ht="15" hidden="false" customHeight="true" outlineLevel="0" collapsed="false">
      <c r="A2650" s="6" t="s">
        <v>18262</v>
      </c>
      <c r="B2650" s="6" t="s">
        <v>1801</v>
      </c>
      <c r="C2650" s="6" t="s">
        <v>120</v>
      </c>
      <c r="D2650" s="6" t="s">
        <v>40</v>
      </c>
      <c r="E2650" s="14" t="n">
        <v>2047.18</v>
      </c>
      <c r="F2650" s="14" t="n">
        <v>8188.72</v>
      </c>
      <c r="G2650" s="6" t="s">
        <v>15614</v>
      </c>
    </row>
    <row r="2651" customFormat="false" ht="15" hidden="false" customHeight="true" outlineLevel="0" collapsed="false">
      <c r="A2651" s="6" t="s">
        <v>18263</v>
      </c>
      <c r="B2651" s="6" t="s">
        <v>1801</v>
      </c>
      <c r="C2651" s="6" t="s">
        <v>120</v>
      </c>
      <c r="D2651" s="6" t="s">
        <v>41</v>
      </c>
      <c r="E2651" s="14" t="n">
        <v>2047.18</v>
      </c>
      <c r="F2651" s="14" t="n">
        <v>10235.9</v>
      </c>
      <c r="G2651" s="6" t="s">
        <v>15614</v>
      </c>
    </row>
    <row r="2652" customFormat="false" ht="15" hidden="false" customHeight="true" outlineLevel="0" collapsed="false">
      <c r="A2652" s="6" t="s">
        <v>18264</v>
      </c>
      <c r="B2652" s="6" t="s">
        <v>1801</v>
      </c>
      <c r="C2652" s="6" t="s">
        <v>120</v>
      </c>
      <c r="D2652" s="6" t="s">
        <v>42</v>
      </c>
      <c r="E2652" s="14" t="n">
        <v>2047.18</v>
      </c>
      <c r="F2652" s="14" t="n">
        <v>12283.08</v>
      </c>
      <c r="G2652" s="6" t="s">
        <v>15614</v>
      </c>
    </row>
    <row r="2653" customFormat="false" ht="15" hidden="false" customHeight="true" outlineLevel="0" collapsed="false">
      <c r="A2653" s="6" t="s">
        <v>18265</v>
      </c>
      <c r="B2653" s="6" t="s">
        <v>1803</v>
      </c>
      <c r="C2653" s="6" t="s">
        <v>131</v>
      </c>
      <c r="D2653" s="6" t="s">
        <v>60</v>
      </c>
      <c r="E2653" s="14" t="n">
        <v>1682.73</v>
      </c>
      <c r="F2653" s="14" t="n">
        <v>1682.73</v>
      </c>
      <c r="G2653" s="6" t="s">
        <v>15614</v>
      </c>
    </row>
    <row r="2654" customFormat="false" ht="15" hidden="false" customHeight="true" outlineLevel="0" collapsed="false">
      <c r="A2654" s="6" t="s">
        <v>18266</v>
      </c>
      <c r="B2654" s="6" t="s">
        <v>1803</v>
      </c>
      <c r="C2654" s="6" t="s">
        <v>131</v>
      </c>
      <c r="D2654" s="6" t="s">
        <v>61</v>
      </c>
      <c r="E2654" s="14" t="n">
        <v>1682.73</v>
      </c>
      <c r="F2654" s="14" t="n">
        <v>3365.46</v>
      </c>
      <c r="G2654" s="6" t="s">
        <v>15614</v>
      </c>
    </row>
    <row r="2655" customFormat="false" ht="15" hidden="false" customHeight="true" outlineLevel="0" collapsed="false">
      <c r="A2655" s="6" t="s">
        <v>18267</v>
      </c>
      <c r="B2655" s="6" t="s">
        <v>1805</v>
      </c>
      <c r="C2655" s="6" t="s">
        <v>124</v>
      </c>
      <c r="D2655" s="6" t="s">
        <v>37</v>
      </c>
      <c r="E2655" s="14" t="n">
        <v>2516.46</v>
      </c>
      <c r="F2655" s="14" t="n">
        <v>2516.46</v>
      </c>
      <c r="G2655" s="6" t="s">
        <v>15614</v>
      </c>
    </row>
    <row r="2656" customFormat="false" ht="15" hidden="false" customHeight="true" outlineLevel="0" collapsed="false">
      <c r="A2656" s="6" t="s">
        <v>18268</v>
      </c>
      <c r="B2656" s="6" t="s">
        <v>1805</v>
      </c>
      <c r="C2656" s="6" t="s">
        <v>124</v>
      </c>
      <c r="D2656" s="6" t="s">
        <v>38</v>
      </c>
      <c r="E2656" s="14" t="n">
        <v>2516.46</v>
      </c>
      <c r="F2656" s="14" t="n">
        <v>5032.92</v>
      </c>
      <c r="G2656" s="6" t="s">
        <v>15614</v>
      </c>
    </row>
    <row r="2657" customFormat="false" ht="15" hidden="false" customHeight="true" outlineLevel="0" collapsed="false">
      <c r="A2657" s="6" t="s">
        <v>18269</v>
      </c>
      <c r="B2657" s="6" t="s">
        <v>1805</v>
      </c>
      <c r="C2657" s="6" t="s">
        <v>124</v>
      </c>
      <c r="D2657" s="6" t="s">
        <v>39</v>
      </c>
      <c r="E2657" s="14" t="n">
        <v>2516.46</v>
      </c>
      <c r="F2657" s="14" t="n">
        <v>7549.38</v>
      </c>
      <c r="G2657" s="6" t="s">
        <v>15614</v>
      </c>
    </row>
    <row r="2658" customFormat="false" ht="15" hidden="false" customHeight="true" outlineLevel="0" collapsed="false">
      <c r="A2658" s="6" t="s">
        <v>18270</v>
      </c>
      <c r="B2658" s="6" t="s">
        <v>1807</v>
      </c>
      <c r="C2658" s="6" t="s">
        <v>116</v>
      </c>
      <c r="D2658" s="6" t="s">
        <v>46</v>
      </c>
      <c r="E2658" s="14" t="n">
        <v>1325.57</v>
      </c>
      <c r="F2658" s="14" t="n">
        <v>1325.57</v>
      </c>
      <c r="G2658" s="6" t="s">
        <v>15614</v>
      </c>
    </row>
    <row r="2659" customFormat="false" ht="15" hidden="false" customHeight="true" outlineLevel="0" collapsed="false">
      <c r="A2659" s="6" t="s">
        <v>18271</v>
      </c>
      <c r="B2659" s="6" t="s">
        <v>1807</v>
      </c>
      <c r="C2659" s="6" t="s">
        <v>116</v>
      </c>
      <c r="D2659" s="6" t="s">
        <v>47</v>
      </c>
      <c r="E2659" s="14" t="n">
        <v>1325.57</v>
      </c>
      <c r="F2659" s="14" t="n">
        <v>2651.14</v>
      </c>
      <c r="G2659" s="6" t="s">
        <v>15614</v>
      </c>
    </row>
    <row r="2660" customFormat="false" ht="15" hidden="false" customHeight="true" outlineLevel="0" collapsed="false">
      <c r="A2660" s="6" t="s">
        <v>18272</v>
      </c>
      <c r="B2660" s="6" t="s">
        <v>1807</v>
      </c>
      <c r="C2660" s="6" t="s">
        <v>116</v>
      </c>
      <c r="D2660" s="6" t="s">
        <v>48</v>
      </c>
      <c r="E2660" s="14" t="n">
        <v>1325.57</v>
      </c>
      <c r="F2660" s="14" t="n">
        <v>3976.71</v>
      </c>
      <c r="G2660" s="6" t="s">
        <v>15614</v>
      </c>
    </row>
    <row r="2661" customFormat="false" ht="15" hidden="false" customHeight="true" outlineLevel="0" collapsed="false">
      <c r="A2661" s="6" t="s">
        <v>18273</v>
      </c>
      <c r="B2661" s="6" t="s">
        <v>1807</v>
      </c>
      <c r="C2661" s="6" t="s">
        <v>116</v>
      </c>
      <c r="D2661" s="6" t="s">
        <v>49</v>
      </c>
      <c r="E2661" s="14" t="n">
        <v>1325.57</v>
      </c>
      <c r="F2661" s="14" t="n">
        <v>5302.28</v>
      </c>
      <c r="G2661" s="6" t="s">
        <v>15614</v>
      </c>
    </row>
    <row r="2662" customFormat="false" ht="15" hidden="false" customHeight="true" outlineLevel="0" collapsed="false">
      <c r="A2662" s="6" t="s">
        <v>18274</v>
      </c>
      <c r="B2662" s="6" t="s">
        <v>1807</v>
      </c>
      <c r="C2662" s="6" t="s">
        <v>116</v>
      </c>
      <c r="D2662" s="6" t="s">
        <v>50</v>
      </c>
      <c r="E2662" s="14" t="n">
        <v>1325.57</v>
      </c>
      <c r="F2662" s="14" t="n">
        <v>6627.85</v>
      </c>
      <c r="G2662" s="6" t="s">
        <v>15614</v>
      </c>
    </row>
    <row r="2663" customFormat="false" ht="15" hidden="false" customHeight="true" outlineLevel="0" collapsed="false">
      <c r="A2663" s="6" t="s">
        <v>18275</v>
      </c>
      <c r="B2663" s="6" t="s">
        <v>1807</v>
      </c>
      <c r="C2663" s="6" t="s">
        <v>116</v>
      </c>
      <c r="D2663" s="6" t="s">
        <v>51</v>
      </c>
      <c r="E2663" s="14" t="n">
        <v>1325.57</v>
      </c>
      <c r="F2663" s="14" t="n">
        <v>7953.42</v>
      </c>
      <c r="G2663" s="6" t="s">
        <v>15614</v>
      </c>
    </row>
    <row r="2664" customFormat="false" ht="15" hidden="false" customHeight="true" outlineLevel="0" collapsed="false">
      <c r="A2664" s="6" t="s">
        <v>18276</v>
      </c>
      <c r="B2664" s="6" t="s">
        <v>1807</v>
      </c>
      <c r="C2664" s="6" t="s">
        <v>116</v>
      </c>
      <c r="D2664" s="6" t="s">
        <v>52</v>
      </c>
      <c r="E2664" s="14" t="n">
        <v>1325.57</v>
      </c>
      <c r="F2664" s="14" t="n">
        <v>9278.99</v>
      </c>
      <c r="G2664" s="6" t="s">
        <v>15614</v>
      </c>
    </row>
    <row r="2665" customFormat="false" ht="15" hidden="false" customHeight="true" outlineLevel="0" collapsed="false">
      <c r="A2665" s="6" t="s">
        <v>18277</v>
      </c>
      <c r="B2665" s="6" t="s">
        <v>1809</v>
      </c>
      <c r="C2665" s="6" t="s">
        <v>128</v>
      </c>
      <c r="D2665" s="6" t="s">
        <v>36</v>
      </c>
      <c r="E2665" s="14" t="n">
        <v>187.19</v>
      </c>
      <c r="F2665" s="14" t="n">
        <v>187.19</v>
      </c>
      <c r="G2665" s="6" t="s">
        <v>15614</v>
      </c>
    </row>
    <row r="2666" customFormat="false" ht="15" hidden="false" customHeight="true" outlineLevel="0" collapsed="false">
      <c r="A2666" s="6" t="s">
        <v>18278</v>
      </c>
      <c r="B2666" s="6" t="s">
        <v>1809</v>
      </c>
      <c r="C2666" s="6" t="s">
        <v>128</v>
      </c>
      <c r="D2666" s="6" t="s">
        <v>37</v>
      </c>
      <c r="E2666" s="14" t="n">
        <v>187.19</v>
      </c>
      <c r="F2666" s="14" t="n">
        <v>374.38</v>
      </c>
      <c r="G2666" s="6" t="s">
        <v>15614</v>
      </c>
    </row>
    <row r="2667" customFormat="false" ht="15" hidden="false" customHeight="true" outlineLevel="0" collapsed="false">
      <c r="A2667" s="6" t="s">
        <v>18279</v>
      </c>
      <c r="B2667" s="6" t="s">
        <v>1811</v>
      </c>
      <c r="C2667" s="6" t="s">
        <v>128</v>
      </c>
      <c r="D2667" s="6" t="s">
        <v>62</v>
      </c>
      <c r="E2667" s="14" t="n">
        <v>1636.17</v>
      </c>
      <c r="F2667" s="14" t="n">
        <v>1636.17</v>
      </c>
      <c r="G2667" s="6" t="s">
        <v>15614</v>
      </c>
    </row>
    <row r="2668" customFormat="false" ht="15" hidden="false" customHeight="true" outlineLevel="0" collapsed="false">
      <c r="A2668" s="6" t="s">
        <v>18280</v>
      </c>
      <c r="B2668" s="6" t="s">
        <v>1811</v>
      </c>
      <c r="C2668" s="6" t="s">
        <v>128</v>
      </c>
      <c r="D2668" s="6" t="s">
        <v>63</v>
      </c>
      <c r="E2668" s="14" t="n">
        <v>1636.17</v>
      </c>
      <c r="F2668" s="14" t="n">
        <v>3272.34</v>
      </c>
      <c r="G2668" s="6" t="s">
        <v>15614</v>
      </c>
    </row>
    <row r="2669" customFormat="false" ht="15" hidden="false" customHeight="true" outlineLevel="0" collapsed="false">
      <c r="A2669" s="6" t="s">
        <v>18281</v>
      </c>
      <c r="B2669" s="6" t="s">
        <v>1811</v>
      </c>
      <c r="C2669" s="6" t="s">
        <v>128</v>
      </c>
      <c r="D2669" s="6" t="s">
        <v>64</v>
      </c>
      <c r="E2669" s="14" t="n">
        <v>1636.17</v>
      </c>
      <c r="F2669" s="14" t="n">
        <v>4908.51</v>
      </c>
      <c r="G2669" s="6" t="s">
        <v>15614</v>
      </c>
    </row>
    <row r="2670" customFormat="false" ht="15" hidden="false" customHeight="true" outlineLevel="0" collapsed="false">
      <c r="A2670" s="6" t="s">
        <v>18282</v>
      </c>
      <c r="B2670" s="6" t="s">
        <v>1813</v>
      </c>
      <c r="C2670" s="6" t="s">
        <v>124</v>
      </c>
      <c r="D2670" s="6" t="s">
        <v>41</v>
      </c>
      <c r="E2670" s="14" t="n">
        <v>1207.65</v>
      </c>
      <c r="F2670" s="14" t="n">
        <v>1207.65</v>
      </c>
      <c r="G2670" s="6" t="s">
        <v>15614</v>
      </c>
    </row>
    <row r="2671" customFormat="false" ht="15" hidden="false" customHeight="true" outlineLevel="0" collapsed="false">
      <c r="A2671" s="6" t="s">
        <v>18283</v>
      </c>
      <c r="B2671" s="6" t="s">
        <v>1813</v>
      </c>
      <c r="C2671" s="6" t="s">
        <v>124</v>
      </c>
      <c r="D2671" s="6" t="s">
        <v>42</v>
      </c>
      <c r="E2671" s="14" t="n">
        <v>1207.65</v>
      </c>
      <c r="F2671" s="14" t="n">
        <v>2415.3</v>
      </c>
      <c r="G2671" s="6" t="s">
        <v>15614</v>
      </c>
    </row>
    <row r="2672" customFormat="false" ht="15" hidden="false" customHeight="true" outlineLevel="0" collapsed="false">
      <c r="A2672" s="6" t="s">
        <v>18284</v>
      </c>
      <c r="B2672" s="6" t="s">
        <v>1815</v>
      </c>
      <c r="C2672" s="6" t="s">
        <v>112</v>
      </c>
      <c r="D2672" s="6" t="s">
        <v>63</v>
      </c>
      <c r="E2672" s="14" t="n">
        <v>522</v>
      </c>
      <c r="F2672" s="14" t="n">
        <v>522</v>
      </c>
      <c r="G2672" s="6" t="s">
        <v>15614</v>
      </c>
    </row>
    <row r="2673" customFormat="false" ht="15" hidden="false" customHeight="true" outlineLevel="0" collapsed="false">
      <c r="A2673" s="6" t="s">
        <v>18285</v>
      </c>
      <c r="B2673" s="6" t="s">
        <v>1815</v>
      </c>
      <c r="C2673" s="6" t="s">
        <v>112</v>
      </c>
      <c r="D2673" s="6" t="s">
        <v>63</v>
      </c>
      <c r="E2673" s="14" t="n">
        <v>522</v>
      </c>
      <c r="F2673" s="14" t="n">
        <v>1044</v>
      </c>
      <c r="G2673" s="6" t="s">
        <v>15614</v>
      </c>
    </row>
    <row r="2674" customFormat="false" ht="15" hidden="false" customHeight="true" outlineLevel="0" collapsed="false">
      <c r="A2674" s="6" t="s">
        <v>18286</v>
      </c>
      <c r="B2674" s="6" t="s">
        <v>1815</v>
      </c>
      <c r="C2674" s="6" t="s">
        <v>112</v>
      </c>
      <c r="D2674" s="6" t="s">
        <v>64</v>
      </c>
      <c r="E2674" s="14" t="n">
        <v>522</v>
      </c>
      <c r="F2674" s="14" t="n">
        <v>1566</v>
      </c>
      <c r="G2674" s="6" t="s">
        <v>15614</v>
      </c>
    </row>
    <row r="2675" customFormat="false" ht="15" hidden="false" customHeight="true" outlineLevel="0" collapsed="false">
      <c r="A2675" s="6" t="s">
        <v>18287</v>
      </c>
      <c r="B2675" s="6" t="s">
        <v>1817</v>
      </c>
      <c r="C2675" s="6" t="s">
        <v>120</v>
      </c>
      <c r="D2675" s="6" t="s">
        <v>23</v>
      </c>
      <c r="E2675" s="14" t="n">
        <v>2212.22</v>
      </c>
      <c r="F2675" s="14" t="n">
        <v>2212.22</v>
      </c>
      <c r="G2675" s="6" t="s">
        <v>15614</v>
      </c>
    </row>
    <row r="2676" customFormat="false" ht="15" hidden="false" customHeight="true" outlineLevel="0" collapsed="false">
      <c r="A2676" s="6" t="s">
        <v>18288</v>
      </c>
      <c r="B2676" s="6" t="s">
        <v>1817</v>
      </c>
      <c r="C2676" s="6" t="s">
        <v>120</v>
      </c>
      <c r="D2676" s="6" t="s">
        <v>24</v>
      </c>
      <c r="E2676" s="14" t="n">
        <v>2212.22</v>
      </c>
      <c r="F2676" s="14" t="n">
        <v>4424.44</v>
      </c>
      <c r="G2676" s="6" t="s">
        <v>15614</v>
      </c>
    </row>
    <row r="2677" customFormat="false" ht="15" hidden="false" customHeight="true" outlineLevel="0" collapsed="false">
      <c r="A2677" s="6" t="s">
        <v>18289</v>
      </c>
      <c r="B2677" s="6" t="s">
        <v>1819</v>
      </c>
      <c r="C2677" s="6" t="s">
        <v>116</v>
      </c>
      <c r="D2677" s="6" t="s">
        <v>16</v>
      </c>
      <c r="E2677" s="14" t="n">
        <v>1491.31</v>
      </c>
      <c r="F2677" s="14" t="n">
        <v>1491.31</v>
      </c>
      <c r="G2677" s="6" t="s">
        <v>15614</v>
      </c>
    </row>
    <row r="2678" customFormat="false" ht="15" hidden="false" customHeight="true" outlineLevel="0" collapsed="false">
      <c r="A2678" s="6" t="s">
        <v>18290</v>
      </c>
      <c r="B2678" s="6" t="s">
        <v>1819</v>
      </c>
      <c r="C2678" s="6" t="s">
        <v>116</v>
      </c>
      <c r="D2678" s="6" t="s">
        <v>17</v>
      </c>
      <c r="E2678" s="14" t="n">
        <v>1491.31</v>
      </c>
      <c r="F2678" s="14" t="n">
        <v>2982.62</v>
      </c>
      <c r="G2678" s="6" t="s">
        <v>15614</v>
      </c>
    </row>
    <row r="2679" customFormat="false" ht="15" hidden="false" customHeight="true" outlineLevel="0" collapsed="false">
      <c r="A2679" s="6" t="s">
        <v>18291</v>
      </c>
      <c r="B2679" s="6" t="s">
        <v>1819</v>
      </c>
      <c r="C2679" s="6" t="s">
        <v>116</v>
      </c>
      <c r="D2679" s="6" t="s">
        <v>18</v>
      </c>
      <c r="E2679" s="14" t="n">
        <v>1491.31</v>
      </c>
      <c r="F2679" s="14" t="n">
        <v>4473.93</v>
      </c>
      <c r="G2679" s="6" t="s">
        <v>15614</v>
      </c>
    </row>
    <row r="2680" customFormat="false" ht="15" hidden="false" customHeight="true" outlineLevel="0" collapsed="false">
      <c r="A2680" s="6" t="s">
        <v>18292</v>
      </c>
      <c r="B2680" s="6" t="s">
        <v>1819</v>
      </c>
      <c r="C2680" s="6" t="s">
        <v>116</v>
      </c>
      <c r="D2680" s="6" t="s">
        <v>19</v>
      </c>
      <c r="E2680" s="14" t="n">
        <v>1491.31</v>
      </c>
      <c r="F2680" s="14" t="n">
        <v>5965.24</v>
      </c>
      <c r="G2680" s="6" t="s">
        <v>15614</v>
      </c>
    </row>
    <row r="2681" customFormat="false" ht="15" hidden="false" customHeight="true" outlineLevel="0" collapsed="false">
      <c r="A2681" s="6" t="s">
        <v>18293</v>
      </c>
      <c r="B2681" s="6" t="s">
        <v>1819</v>
      </c>
      <c r="C2681" s="6" t="s">
        <v>116</v>
      </c>
      <c r="D2681" s="6" t="s">
        <v>20</v>
      </c>
      <c r="E2681" s="14" t="n">
        <v>1491.31</v>
      </c>
      <c r="F2681" s="14" t="n">
        <v>7456.55</v>
      </c>
      <c r="G2681" s="6" t="s">
        <v>15614</v>
      </c>
    </row>
    <row r="2682" customFormat="false" ht="15" hidden="false" customHeight="true" outlineLevel="0" collapsed="false">
      <c r="A2682" s="6" t="s">
        <v>18294</v>
      </c>
      <c r="B2682" s="6" t="s">
        <v>1819</v>
      </c>
      <c r="C2682" s="6" t="s">
        <v>116</v>
      </c>
      <c r="D2682" s="6" t="s">
        <v>21</v>
      </c>
      <c r="E2682" s="14" t="n">
        <v>1491.31</v>
      </c>
      <c r="F2682" s="14" t="n">
        <v>8947.86</v>
      </c>
      <c r="G2682" s="6" t="s">
        <v>15614</v>
      </c>
    </row>
    <row r="2683" customFormat="false" ht="15" hidden="false" customHeight="true" outlineLevel="0" collapsed="false">
      <c r="A2683" s="6" t="s">
        <v>18295</v>
      </c>
      <c r="B2683" s="6" t="s">
        <v>1821</v>
      </c>
      <c r="C2683" s="6" t="s">
        <v>124</v>
      </c>
      <c r="D2683" s="6" t="s">
        <v>62</v>
      </c>
      <c r="E2683" s="14" t="n">
        <v>556.72</v>
      </c>
      <c r="F2683" s="14" t="n">
        <v>556.72</v>
      </c>
      <c r="G2683" s="6" t="s">
        <v>15614</v>
      </c>
    </row>
    <row r="2684" customFormat="false" ht="15" hidden="false" customHeight="true" outlineLevel="0" collapsed="false">
      <c r="A2684" s="6" t="s">
        <v>18296</v>
      </c>
      <c r="B2684" s="6" t="s">
        <v>1821</v>
      </c>
      <c r="C2684" s="6" t="s">
        <v>124</v>
      </c>
      <c r="D2684" s="6" t="s">
        <v>63</v>
      </c>
      <c r="E2684" s="14" t="n">
        <v>556.72</v>
      </c>
      <c r="F2684" s="14" t="n">
        <v>1113.44</v>
      </c>
      <c r="G2684" s="6" t="s">
        <v>15614</v>
      </c>
    </row>
    <row r="2685" customFormat="false" ht="15" hidden="false" customHeight="true" outlineLevel="0" collapsed="false">
      <c r="A2685" s="6" t="s">
        <v>18297</v>
      </c>
      <c r="B2685" s="6" t="s">
        <v>1823</v>
      </c>
      <c r="C2685" s="6" t="s">
        <v>128</v>
      </c>
      <c r="D2685" s="6" t="s">
        <v>53</v>
      </c>
      <c r="E2685" s="14" t="n">
        <v>1740.8</v>
      </c>
      <c r="F2685" s="14" t="n">
        <v>1740.8</v>
      </c>
      <c r="G2685" s="6" t="s">
        <v>15614</v>
      </c>
    </row>
    <row r="2686" customFormat="false" ht="15" hidden="false" customHeight="true" outlineLevel="0" collapsed="false">
      <c r="A2686" s="6" t="s">
        <v>18298</v>
      </c>
      <c r="B2686" s="6" t="s">
        <v>1823</v>
      </c>
      <c r="C2686" s="6" t="s">
        <v>128</v>
      </c>
      <c r="D2686" s="6" t="s">
        <v>54</v>
      </c>
      <c r="E2686" s="14" t="n">
        <v>1740.8</v>
      </c>
      <c r="F2686" s="14" t="n">
        <v>3481.6</v>
      </c>
      <c r="G2686" s="6" t="s">
        <v>15614</v>
      </c>
    </row>
    <row r="2687" customFormat="false" ht="15" hidden="false" customHeight="true" outlineLevel="0" collapsed="false">
      <c r="A2687" s="6" t="s">
        <v>18299</v>
      </c>
      <c r="B2687" s="6" t="s">
        <v>1823</v>
      </c>
      <c r="C2687" s="6" t="s">
        <v>128</v>
      </c>
      <c r="D2687" s="6" t="s">
        <v>55</v>
      </c>
      <c r="E2687" s="14" t="n">
        <v>1740.8</v>
      </c>
      <c r="F2687" s="14" t="n">
        <v>5222.4</v>
      </c>
      <c r="G2687" s="6" t="s">
        <v>15614</v>
      </c>
    </row>
    <row r="2688" customFormat="false" ht="15" hidden="false" customHeight="true" outlineLevel="0" collapsed="false">
      <c r="A2688" s="6" t="s">
        <v>18300</v>
      </c>
      <c r="B2688" s="6" t="s">
        <v>1823</v>
      </c>
      <c r="C2688" s="6" t="s">
        <v>128</v>
      </c>
      <c r="D2688" s="6" t="s">
        <v>56</v>
      </c>
      <c r="E2688" s="14" t="n">
        <v>1740.8</v>
      </c>
      <c r="F2688" s="14" t="n">
        <v>6963.2</v>
      </c>
      <c r="G2688" s="6" t="s">
        <v>15614</v>
      </c>
    </row>
    <row r="2689" customFormat="false" ht="15" hidden="false" customHeight="true" outlineLevel="0" collapsed="false">
      <c r="A2689" s="6" t="s">
        <v>18301</v>
      </c>
      <c r="B2689" s="6" t="s">
        <v>1823</v>
      </c>
      <c r="C2689" s="6" t="s">
        <v>128</v>
      </c>
      <c r="D2689" s="6" t="s">
        <v>57</v>
      </c>
      <c r="E2689" s="14" t="n">
        <v>1740.8</v>
      </c>
      <c r="F2689" s="14" t="n">
        <v>8704</v>
      </c>
      <c r="G2689" s="6" t="s">
        <v>15614</v>
      </c>
    </row>
    <row r="2690" customFormat="false" ht="15" hidden="false" customHeight="true" outlineLevel="0" collapsed="false">
      <c r="A2690" s="6" t="s">
        <v>18302</v>
      </c>
      <c r="B2690" s="6" t="s">
        <v>1823</v>
      </c>
      <c r="C2690" s="6" t="s">
        <v>128</v>
      </c>
      <c r="D2690" s="6" t="s">
        <v>58</v>
      </c>
      <c r="E2690" s="14" t="n">
        <v>1740.8</v>
      </c>
      <c r="F2690" s="14" t="n">
        <v>10444.8</v>
      </c>
      <c r="G2690" s="6" t="s">
        <v>15614</v>
      </c>
    </row>
    <row r="2691" customFormat="false" ht="15" hidden="false" customHeight="true" outlineLevel="0" collapsed="false">
      <c r="A2691" s="6" t="s">
        <v>18303</v>
      </c>
      <c r="B2691" s="6" t="s">
        <v>1825</v>
      </c>
      <c r="C2691" s="6" t="s">
        <v>131</v>
      </c>
      <c r="D2691" s="6" t="s">
        <v>12</v>
      </c>
      <c r="E2691" s="14" t="n">
        <v>2966.76</v>
      </c>
      <c r="F2691" s="14" t="n">
        <v>2966.76</v>
      </c>
      <c r="G2691" s="6" t="s">
        <v>15614</v>
      </c>
    </row>
    <row r="2692" customFormat="false" ht="15" hidden="false" customHeight="true" outlineLevel="0" collapsed="false">
      <c r="A2692" s="6" t="s">
        <v>18304</v>
      </c>
      <c r="B2692" s="6" t="s">
        <v>1825</v>
      </c>
      <c r="C2692" s="6" t="s">
        <v>131</v>
      </c>
      <c r="D2692" s="6" t="s">
        <v>13</v>
      </c>
      <c r="E2692" s="14" t="n">
        <v>2966.76</v>
      </c>
      <c r="F2692" s="14" t="n">
        <v>5933.52</v>
      </c>
      <c r="G2692" s="6" t="s">
        <v>15614</v>
      </c>
    </row>
    <row r="2693" customFormat="false" ht="15" hidden="false" customHeight="true" outlineLevel="0" collapsed="false">
      <c r="A2693" s="6" t="s">
        <v>18305</v>
      </c>
      <c r="B2693" s="6" t="s">
        <v>1825</v>
      </c>
      <c r="C2693" s="6" t="s">
        <v>131</v>
      </c>
      <c r="D2693" s="6" t="s">
        <v>14</v>
      </c>
      <c r="E2693" s="14" t="n">
        <v>2966.76</v>
      </c>
      <c r="F2693" s="14" t="n">
        <v>8900.28</v>
      </c>
      <c r="G2693" s="6" t="s">
        <v>15614</v>
      </c>
    </row>
    <row r="2694" customFormat="false" ht="15" hidden="false" customHeight="true" outlineLevel="0" collapsed="false">
      <c r="A2694" s="6" t="s">
        <v>18306</v>
      </c>
      <c r="B2694" s="6" t="s">
        <v>1827</v>
      </c>
      <c r="C2694" s="6" t="s">
        <v>124</v>
      </c>
      <c r="D2694" s="6" t="s">
        <v>30</v>
      </c>
      <c r="E2694" s="14" t="n">
        <v>3712.61</v>
      </c>
      <c r="F2694" s="14" t="n">
        <v>3712.61</v>
      </c>
      <c r="G2694" s="6" t="s">
        <v>15614</v>
      </c>
    </row>
    <row r="2695" customFormat="false" ht="15" hidden="false" customHeight="true" outlineLevel="0" collapsed="false">
      <c r="A2695" s="6" t="s">
        <v>18307</v>
      </c>
      <c r="B2695" s="6" t="s">
        <v>1827</v>
      </c>
      <c r="C2695" s="6" t="s">
        <v>124</v>
      </c>
      <c r="D2695" s="6" t="s">
        <v>31</v>
      </c>
      <c r="E2695" s="14" t="n">
        <v>3712.61</v>
      </c>
      <c r="F2695" s="14" t="n">
        <v>7425.22</v>
      </c>
      <c r="G2695" s="6" t="s">
        <v>15614</v>
      </c>
    </row>
    <row r="2696" customFormat="false" ht="15" hidden="false" customHeight="true" outlineLevel="0" collapsed="false">
      <c r="A2696" s="6" t="s">
        <v>18308</v>
      </c>
      <c r="B2696" s="6" t="s">
        <v>1829</v>
      </c>
      <c r="C2696" s="6" t="s">
        <v>131</v>
      </c>
      <c r="D2696" s="6" t="s">
        <v>53</v>
      </c>
      <c r="E2696" s="14" t="n">
        <v>2308.41</v>
      </c>
      <c r="F2696" s="14" t="n">
        <v>2308.41</v>
      </c>
      <c r="G2696" s="6" t="s">
        <v>15614</v>
      </c>
    </row>
    <row r="2697" customFormat="false" ht="15" hidden="false" customHeight="true" outlineLevel="0" collapsed="false">
      <c r="A2697" s="6" t="s">
        <v>18309</v>
      </c>
      <c r="B2697" s="6" t="s">
        <v>1829</v>
      </c>
      <c r="C2697" s="6" t="s">
        <v>131</v>
      </c>
      <c r="D2697" s="6" t="s">
        <v>54</v>
      </c>
      <c r="E2697" s="14" t="n">
        <v>2308.41</v>
      </c>
      <c r="F2697" s="14" t="n">
        <v>4616.82</v>
      </c>
      <c r="G2697" s="6" t="s">
        <v>15614</v>
      </c>
    </row>
    <row r="2698" customFormat="false" ht="15" hidden="false" customHeight="true" outlineLevel="0" collapsed="false">
      <c r="A2698" s="6" t="s">
        <v>18310</v>
      </c>
      <c r="B2698" s="6" t="s">
        <v>1829</v>
      </c>
      <c r="C2698" s="6" t="s">
        <v>131</v>
      </c>
      <c r="D2698" s="6" t="s">
        <v>55</v>
      </c>
      <c r="E2698" s="14" t="n">
        <v>2308.41</v>
      </c>
      <c r="F2698" s="14" t="n">
        <v>6925.23</v>
      </c>
      <c r="G2698" s="6" t="s">
        <v>15614</v>
      </c>
    </row>
    <row r="2699" customFormat="false" ht="15" hidden="false" customHeight="true" outlineLevel="0" collapsed="false">
      <c r="A2699" s="6" t="s">
        <v>18311</v>
      </c>
      <c r="B2699" s="6" t="s">
        <v>1829</v>
      </c>
      <c r="C2699" s="6" t="s">
        <v>131</v>
      </c>
      <c r="D2699" s="6" t="s">
        <v>56</v>
      </c>
      <c r="E2699" s="14" t="n">
        <v>2308.41</v>
      </c>
      <c r="F2699" s="14" t="n">
        <v>9233.64</v>
      </c>
      <c r="G2699" s="6" t="s">
        <v>15614</v>
      </c>
    </row>
    <row r="2700" customFormat="false" ht="15" hidden="false" customHeight="true" outlineLevel="0" collapsed="false">
      <c r="A2700" s="6" t="s">
        <v>18312</v>
      </c>
      <c r="B2700" s="6" t="s">
        <v>1831</v>
      </c>
      <c r="C2700" s="6" t="s">
        <v>128</v>
      </c>
      <c r="D2700" s="6" t="s">
        <v>58</v>
      </c>
      <c r="E2700" s="14" t="n">
        <v>2257.91</v>
      </c>
      <c r="F2700" s="14" t="n">
        <v>2257.91</v>
      </c>
      <c r="G2700" s="6" t="s">
        <v>15614</v>
      </c>
    </row>
    <row r="2701" customFormat="false" ht="15" hidden="false" customHeight="true" outlineLevel="0" collapsed="false">
      <c r="A2701" s="6" t="s">
        <v>18313</v>
      </c>
      <c r="B2701" s="6" t="s">
        <v>1831</v>
      </c>
      <c r="C2701" s="6" t="s">
        <v>128</v>
      </c>
      <c r="D2701" s="6" t="s">
        <v>59</v>
      </c>
      <c r="E2701" s="14" t="n">
        <v>2257.91</v>
      </c>
      <c r="F2701" s="14" t="n">
        <v>4515.82</v>
      </c>
      <c r="G2701" s="6" t="s">
        <v>15614</v>
      </c>
    </row>
    <row r="2702" customFormat="false" ht="15" hidden="false" customHeight="true" outlineLevel="0" collapsed="false">
      <c r="A2702" s="6" t="s">
        <v>18314</v>
      </c>
      <c r="B2702" s="6" t="s">
        <v>1831</v>
      </c>
      <c r="C2702" s="6" t="s">
        <v>128</v>
      </c>
      <c r="D2702" s="6" t="s">
        <v>60</v>
      </c>
      <c r="E2702" s="14" t="n">
        <v>2257.91</v>
      </c>
      <c r="F2702" s="14" t="n">
        <v>6773.73</v>
      </c>
      <c r="G2702" s="6" t="s">
        <v>15614</v>
      </c>
    </row>
    <row r="2703" customFormat="false" ht="15" hidden="false" customHeight="true" outlineLevel="0" collapsed="false">
      <c r="A2703" s="6" t="s">
        <v>18315</v>
      </c>
      <c r="B2703" s="6" t="s">
        <v>1831</v>
      </c>
      <c r="C2703" s="6" t="s">
        <v>128</v>
      </c>
      <c r="D2703" s="6" t="s">
        <v>61</v>
      </c>
      <c r="E2703" s="14" t="n">
        <v>2257.91</v>
      </c>
      <c r="F2703" s="14" t="n">
        <v>9031.64</v>
      </c>
      <c r="G2703" s="6" t="s">
        <v>15614</v>
      </c>
    </row>
    <row r="2704" customFormat="false" ht="15" hidden="false" customHeight="true" outlineLevel="0" collapsed="false">
      <c r="A2704" s="6" t="s">
        <v>18316</v>
      </c>
      <c r="B2704" s="6" t="s">
        <v>1831</v>
      </c>
      <c r="C2704" s="6" t="s">
        <v>128</v>
      </c>
      <c r="D2704" s="6" t="s">
        <v>62</v>
      </c>
      <c r="E2704" s="14" t="n">
        <v>2257.91</v>
      </c>
      <c r="F2704" s="14" t="n">
        <v>11289.55</v>
      </c>
      <c r="G2704" s="6" t="s">
        <v>15614</v>
      </c>
    </row>
    <row r="2705" customFormat="false" ht="15" hidden="false" customHeight="true" outlineLevel="0" collapsed="false">
      <c r="A2705" s="6" t="s">
        <v>18317</v>
      </c>
      <c r="B2705" s="6" t="s">
        <v>1831</v>
      </c>
      <c r="C2705" s="6" t="s">
        <v>128</v>
      </c>
      <c r="D2705" s="6" t="s">
        <v>63</v>
      </c>
      <c r="E2705" s="14" t="n">
        <v>2257.91</v>
      </c>
      <c r="F2705" s="14" t="n">
        <v>13547.46</v>
      </c>
      <c r="G2705" s="6" t="s">
        <v>15614</v>
      </c>
    </row>
    <row r="2706" customFormat="false" ht="15" hidden="false" customHeight="true" outlineLevel="0" collapsed="false">
      <c r="A2706" s="6" t="s">
        <v>18318</v>
      </c>
      <c r="B2706" s="6" t="s">
        <v>1833</v>
      </c>
      <c r="C2706" s="6" t="s">
        <v>131</v>
      </c>
      <c r="D2706" s="6" t="s">
        <v>12</v>
      </c>
      <c r="E2706" s="14" t="n">
        <v>1319.41</v>
      </c>
      <c r="F2706" s="14" t="n">
        <v>1319.41</v>
      </c>
      <c r="G2706" s="6" t="s">
        <v>15614</v>
      </c>
    </row>
    <row r="2707" customFormat="false" ht="15" hidden="false" customHeight="true" outlineLevel="0" collapsed="false">
      <c r="A2707" s="6" t="s">
        <v>18319</v>
      </c>
      <c r="B2707" s="6" t="s">
        <v>1833</v>
      </c>
      <c r="C2707" s="6" t="s">
        <v>131</v>
      </c>
      <c r="D2707" s="6" t="s">
        <v>13</v>
      </c>
      <c r="E2707" s="14" t="n">
        <v>1319.41</v>
      </c>
      <c r="F2707" s="14" t="n">
        <v>2638.82</v>
      </c>
      <c r="G2707" s="6" t="s">
        <v>15614</v>
      </c>
    </row>
    <row r="2708" customFormat="false" ht="15" hidden="false" customHeight="true" outlineLevel="0" collapsed="false">
      <c r="A2708" s="6" t="s">
        <v>18320</v>
      </c>
      <c r="B2708" s="6" t="s">
        <v>1833</v>
      </c>
      <c r="C2708" s="6" t="s">
        <v>131</v>
      </c>
      <c r="D2708" s="6" t="s">
        <v>14</v>
      </c>
      <c r="E2708" s="14" t="n">
        <v>1319.41</v>
      </c>
      <c r="F2708" s="14" t="n">
        <v>3958.23</v>
      </c>
      <c r="G2708" s="6" t="s">
        <v>15614</v>
      </c>
    </row>
    <row r="2709" customFormat="false" ht="15" hidden="false" customHeight="true" outlineLevel="0" collapsed="false">
      <c r="A2709" s="6" t="s">
        <v>18321</v>
      </c>
      <c r="B2709" s="6" t="s">
        <v>1833</v>
      </c>
      <c r="C2709" s="6" t="s">
        <v>131</v>
      </c>
      <c r="D2709" s="6" t="s">
        <v>15</v>
      </c>
      <c r="E2709" s="14" t="n">
        <v>1319.41</v>
      </c>
      <c r="F2709" s="14" t="n">
        <v>5277.64</v>
      </c>
      <c r="G2709" s="6" t="s">
        <v>15614</v>
      </c>
    </row>
    <row r="2710" customFormat="false" ht="15" hidden="false" customHeight="true" outlineLevel="0" collapsed="false">
      <c r="A2710" s="6" t="s">
        <v>18322</v>
      </c>
      <c r="B2710" s="6" t="s">
        <v>1833</v>
      </c>
      <c r="C2710" s="6" t="s">
        <v>131</v>
      </c>
      <c r="D2710" s="6" t="s">
        <v>16</v>
      </c>
      <c r="E2710" s="14" t="n">
        <v>1319.41</v>
      </c>
      <c r="F2710" s="14" t="n">
        <v>6597.05</v>
      </c>
      <c r="G2710" s="6" t="s">
        <v>15614</v>
      </c>
    </row>
    <row r="2711" customFormat="false" ht="15" hidden="false" customHeight="true" outlineLevel="0" collapsed="false">
      <c r="A2711" s="6" t="s">
        <v>18323</v>
      </c>
      <c r="B2711" s="6" t="s">
        <v>1835</v>
      </c>
      <c r="C2711" s="6" t="s">
        <v>116</v>
      </c>
      <c r="D2711" s="6" t="s">
        <v>48</v>
      </c>
      <c r="E2711" s="14" t="n">
        <v>4003.09</v>
      </c>
      <c r="F2711" s="14" t="n">
        <v>4003.09</v>
      </c>
      <c r="G2711" s="6" t="s">
        <v>15614</v>
      </c>
    </row>
    <row r="2712" customFormat="false" ht="15" hidden="false" customHeight="true" outlineLevel="0" collapsed="false">
      <c r="A2712" s="6" t="s">
        <v>18324</v>
      </c>
      <c r="B2712" s="6" t="s">
        <v>1835</v>
      </c>
      <c r="C2712" s="6" t="s">
        <v>116</v>
      </c>
      <c r="D2712" s="6" t="s">
        <v>49</v>
      </c>
      <c r="E2712" s="14" t="n">
        <v>4003.09</v>
      </c>
      <c r="F2712" s="14" t="n">
        <v>8006.18</v>
      </c>
      <c r="G2712" s="6" t="s">
        <v>15614</v>
      </c>
    </row>
    <row r="2713" customFormat="false" ht="15" hidden="false" customHeight="true" outlineLevel="0" collapsed="false">
      <c r="A2713" s="6" t="s">
        <v>18325</v>
      </c>
      <c r="B2713" s="6" t="s">
        <v>1835</v>
      </c>
      <c r="C2713" s="6" t="s">
        <v>116</v>
      </c>
      <c r="D2713" s="6" t="s">
        <v>50</v>
      </c>
      <c r="E2713" s="14" t="n">
        <v>4003.09</v>
      </c>
      <c r="F2713" s="14" t="n">
        <v>12009.27</v>
      </c>
      <c r="G2713" s="6" t="s">
        <v>15614</v>
      </c>
    </row>
    <row r="2714" customFormat="false" ht="15" hidden="false" customHeight="true" outlineLevel="0" collapsed="false">
      <c r="A2714" s="6" t="s">
        <v>18326</v>
      </c>
      <c r="B2714" s="6" t="s">
        <v>1835</v>
      </c>
      <c r="C2714" s="6" t="s">
        <v>116</v>
      </c>
      <c r="D2714" s="6" t="s">
        <v>51</v>
      </c>
      <c r="E2714" s="14" t="n">
        <v>4003.09</v>
      </c>
      <c r="F2714" s="14" t="n">
        <v>16012.36</v>
      </c>
      <c r="G2714" s="6" t="s">
        <v>15614</v>
      </c>
    </row>
    <row r="2715" customFormat="false" ht="15" hidden="false" customHeight="true" outlineLevel="0" collapsed="false">
      <c r="A2715" s="6" t="s">
        <v>18327</v>
      </c>
      <c r="B2715" s="6" t="s">
        <v>1837</v>
      </c>
      <c r="C2715" s="6" t="s">
        <v>120</v>
      </c>
      <c r="D2715" s="6" t="s">
        <v>57</v>
      </c>
      <c r="E2715" s="14" t="n">
        <v>1784.62</v>
      </c>
      <c r="F2715" s="14" t="n">
        <v>1784.62</v>
      </c>
      <c r="G2715" s="6" t="s">
        <v>15614</v>
      </c>
    </row>
    <row r="2716" customFormat="false" ht="15" hidden="false" customHeight="true" outlineLevel="0" collapsed="false">
      <c r="A2716" s="6" t="s">
        <v>18328</v>
      </c>
      <c r="B2716" s="6" t="s">
        <v>1837</v>
      </c>
      <c r="C2716" s="6" t="s">
        <v>120</v>
      </c>
      <c r="D2716" s="6" t="s">
        <v>58</v>
      </c>
      <c r="E2716" s="14" t="n">
        <v>1784.62</v>
      </c>
      <c r="F2716" s="14" t="n">
        <v>3569.24</v>
      </c>
      <c r="G2716" s="6" t="s">
        <v>15614</v>
      </c>
    </row>
    <row r="2717" customFormat="false" ht="15" hidden="false" customHeight="true" outlineLevel="0" collapsed="false">
      <c r="A2717" s="6" t="s">
        <v>18329</v>
      </c>
      <c r="B2717" s="6" t="s">
        <v>1837</v>
      </c>
      <c r="C2717" s="6" t="s">
        <v>120</v>
      </c>
      <c r="D2717" s="6" t="s">
        <v>59</v>
      </c>
      <c r="E2717" s="14" t="n">
        <v>1784.62</v>
      </c>
      <c r="F2717" s="14" t="n">
        <v>5353.86</v>
      </c>
      <c r="G2717" s="6" t="s">
        <v>15614</v>
      </c>
    </row>
    <row r="2718" customFormat="false" ht="15" hidden="false" customHeight="true" outlineLevel="0" collapsed="false">
      <c r="A2718" s="6" t="s">
        <v>18330</v>
      </c>
      <c r="B2718" s="6" t="s">
        <v>1839</v>
      </c>
      <c r="C2718" s="6" t="s">
        <v>116</v>
      </c>
      <c r="D2718" s="6" t="s">
        <v>17</v>
      </c>
      <c r="E2718" s="14" t="n">
        <v>3671.08</v>
      </c>
      <c r="F2718" s="14" t="n">
        <v>3671.08</v>
      </c>
      <c r="G2718" s="6" t="s">
        <v>15614</v>
      </c>
    </row>
    <row r="2719" customFormat="false" ht="15" hidden="false" customHeight="true" outlineLevel="0" collapsed="false">
      <c r="A2719" s="6" t="s">
        <v>18331</v>
      </c>
      <c r="B2719" s="6" t="s">
        <v>1839</v>
      </c>
      <c r="C2719" s="6" t="s">
        <v>116</v>
      </c>
      <c r="D2719" s="6" t="s">
        <v>18</v>
      </c>
      <c r="E2719" s="14" t="n">
        <v>3671.08</v>
      </c>
      <c r="F2719" s="14" t="n">
        <v>7342.16</v>
      </c>
      <c r="G2719" s="6" t="s">
        <v>15614</v>
      </c>
    </row>
    <row r="2720" customFormat="false" ht="15" hidden="false" customHeight="true" outlineLevel="0" collapsed="false">
      <c r="A2720" s="6" t="s">
        <v>18332</v>
      </c>
      <c r="B2720" s="6" t="s">
        <v>1839</v>
      </c>
      <c r="C2720" s="6" t="s">
        <v>116</v>
      </c>
      <c r="D2720" s="6" t="s">
        <v>19</v>
      </c>
      <c r="E2720" s="14" t="n">
        <v>3671.08</v>
      </c>
      <c r="F2720" s="14" t="n">
        <v>11013.24</v>
      </c>
      <c r="G2720" s="6" t="s">
        <v>15614</v>
      </c>
    </row>
    <row r="2721" customFormat="false" ht="15" hidden="false" customHeight="true" outlineLevel="0" collapsed="false">
      <c r="A2721" s="6" t="s">
        <v>18333</v>
      </c>
      <c r="B2721" s="6" t="s">
        <v>1839</v>
      </c>
      <c r="C2721" s="6" t="s">
        <v>116</v>
      </c>
      <c r="D2721" s="6" t="s">
        <v>20</v>
      </c>
      <c r="E2721" s="14" t="n">
        <v>3671.08</v>
      </c>
      <c r="F2721" s="14" t="n">
        <v>14684.32</v>
      </c>
      <c r="G2721" s="6" t="s">
        <v>15614</v>
      </c>
    </row>
    <row r="2722" customFormat="false" ht="15" hidden="false" customHeight="true" outlineLevel="0" collapsed="false">
      <c r="A2722" s="6" t="s">
        <v>18334</v>
      </c>
      <c r="B2722" s="6" t="s">
        <v>1839</v>
      </c>
      <c r="C2722" s="6" t="s">
        <v>116</v>
      </c>
      <c r="D2722" s="6" t="s">
        <v>21</v>
      </c>
      <c r="E2722" s="14" t="n">
        <v>3671.08</v>
      </c>
      <c r="F2722" s="14" t="n">
        <v>18355.4</v>
      </c>
      <c r="G2722" s="6" t="s">
        <v>15614</v>
      </c>
    </row>
    <row r="2723" customFormat="false" ht="15" hidden="false" customHeight="true" outlineLevel="0" collapsed="false">
      <c r="A2723" s="6" t="s">
        <v>18335</v>
      </c>
      <c r="B2723" s="6" t="s">
        <v>1841</v>
      </c>
      <c r="C2723" s="6" t="s">
        <v>131</v>
      </c>
      <c r="D2723" s="6" t="s">
        <v>34</v>
      </c>
      <c r="E2723" s="14" t="n">
        <v>2740.43</v>
      </c>
      <c r="F2723" s="14" t="n">
        <v>2740.43</v>
      </c>
      <c r="G2723" s="6" t="s">
        <v>15614</v>
      </c>
    </row>
    <row r="2724" customFormat="false" ht="15" hidden="false" customHeight="true" outlineLevel="0" collapsed="false">
      <c r="A2724" s="6" t="s">
        <v>18336</v>
      </c>
      <c r="B2724" s="6" t="s">
        <v>1841</v>
      </c>
      <c r="C2724" s="6" t="s">
        <v>131</v>
      </c>
      <c r="D2724" s="6" t="s">
        <v>35</v>
      </c>
      <c r="E2724" s="14" t="n">
        <v>2740.43</v>
      </c>
      <c r="F2724" s="14" t="n">
        <v>5480.86</v>
      </c>
      <c r="G2724" s="6" t="s">
        <v>15614</v>
      </c>
    </row>
    <row r="2725" customFormat="false" ht="15" hidden="false" customHeight="true" outlineLevel="0" collapsed="false">
      <c r="A2725" s="6" t="s">
        <v>18337</v>
      </c>
      <c r="B2725" s="6" t="s">
        <v>1841</v>
      </c>
      <c r="C2725" s="6" t="s">
        <v>131</v>
      </c>
      <c r="D2725" s="6" t="s">
        <v>36</v>
      </c>
      <c r="E2725" s="14" t="n">
        <v>2740.43</v>
      </c>
      <c r="F2725" s="14" t="n">
        <v>8221.29</v>
      </c>
      <c r="G2725" s="6" t="s">
        <v>15614</v>
      </c>
    </row>
    <row r="2726" customFormat="false" ht="15" hidden="false" customHeight="true" outlineLevel="0" collapsed="false">
      <c r="A2726" s="6" t="s">
        <v>18338</v>
      </c>
      <c r="B2726" s="6" t="s">
        <v>1841</v>
      </c>
      <c r="C2726" s="6" t="s">
        <v>131</v>
      </c>
      <c r="D2726" s="6" t="s">
        <v>37</v>
      </c>
      <c r="E2726" s="14" t="n">
        <v>2740.43</v>
      </c>
      <c r="F2726" s="14" t="n">
        <v>10961.72</v>
      </c>
      <c r="G2726" s="6" t="s">
        <v>15614</v>
      </c>
    </row>
    <row r="2727" customFormat="false" ht="15" hidden="false" customHeight="true" outlineLevel="0" collapsed="false">
      <c r="A2727" s="6" t="s">
        <v>18339</v>
      </c>
      <c r="B2727" s="6" t="s">
        <v>1841</v>
      </c>
      <c r="C2727" s="6" t="s">
        <v>131</v>
      </c>
      <c r="D2727" s="6" t="s">
        <v>38</v>
      </c>
      <c r="E2727" s="14" t="n">
        <v>2740.43</v>
      </c>
      <c r="F2727" s="14" t="n">
        <v>13702.15</v>
      </c>
      <c r="G2727" s="6" t="s">
        <v>15614</v>
      </c>
    </row>
    <row r="2728" customFormat="false" ht="15" hidden="false" customHeight="true" outlineLevel="0" collapsed="false">
      <c r="A2728" s="6" t="s">
        <v>18340</v>
      </c>
      <c r="B2728" s="6" t="s">
        <v>1841</v>
      </c>
      <c r="C2728" s="6" t="s">
        <v>131</v>
      </c>
      <c r="D2728" s="6" t="s">
        <v>39</v>
      </c>
      <c r="E2728" s="14" t="n">
        <v>2740.43</v>
      </c>
      <c r="F2728" s="14" t="n">
        <v>16442.58</v>
      </c>
      <c r="G2728" s="6" t="s">
        <v>15614</v>
      </c>
    </row>
    <row r="2729" customFormat="false" ht="15" hidden="false" customHeight="true" outlineLevel="0" collapsed="false">
      <c r="A2729" s="6" t="s">
        <v>18341</v>
      </c>
      <c r="B2729" s="6" t="s">
        <v>1841</v>
      </c>
      <c r="C2729" s="6" t="s">
        <v>131</v>
      </c>
      <c r="D2729" s="6" t="s">
        <v>40</v>
      </c>
      <c r="E2729" s="14" t="n">
        <v>2740.43</v>
      </c>
      <c r="F2729" s="14" t="n">
        <v>19183.01</v>
      </c>
      <c r="G2729" s="6" t="s">
        <v>15614</v>
      </c>
    </row>
    <row r="2730" customFormat="false" ht="15" hidden="false" customHeight="true" outlineLevel="0" collapsed="false">
      <c r="A2730" s="6" t="s">
        <v>18342</v>
      </c>
      <c r="B2730" s="6" t="s">
        <v>1841</v>
      </c>
      <c r="C2730" s="6" t="s">
        <v>131</v>
      </c>
      <c r="D2730" s="6" t="s">
        <v>41</v>
      </c>
      <c r="E2730" s="14" t="n">
        <v>2740.43</v>
      </c>
      <c r="F2730" s="14" t="n">
        <v>21923.44</v>
      </c>
      <c r="G2730" s="6" t="s">
        <v>15614</v>
      </c>
    </row>
    <row r="2731" customFormat="false" ht="15" hidden="false" customHeight="true" outlineLevel="0" collapsed="false">
      <c r="A2731" s="6" t="s">
        <v>18343</v>
      </c>
      <c r="B2731" s="6" t="s">
        <v>1843</v>
      </c>
      <c r="C2731" s="6" t="s">
        <v>124</v>
      </c>
      <c r="D2731" s="6" t="s">
        <v>26</v>
      </c>
      <c r="E2731" s="14" t="n">
        <v>4050.9</v>
      </c>
      <c r="F2731" s="14" t="n">
        <v>4050.9</v>
      </c>
      <c r="G2731" s="6" t="s">
        <v>15614</v>
      </c>
    </row>
    <row r="2732" customFormat="false" ht="15" hidden="false" customHeight="true" outlineLevel="0" collapsed="false">
      <c r="A2732" s="6" t="s">
        <v>18344</v>
      </c>
      <c r="B2732" s="6" t="s">
        <v>1843</v>
      </c>
      <c r="C2732" s="6" t="s">
        <v>124</v>
      </c>
      <c r="D2732" s="6" t="s">
        <v>27</v>
      </c>
      <c r="E2732" s="14" t="n">
        <v>4050.9</v>
      </c>
      <c r="F2732" s="14" t="n">
        <v>8101.8</v>
      </c>
      <c r="G2732" s="6" t="s">
        <v>15614</v>
      </c>
    </row>
    <row r="2733" customFormat="false" ht="15" hidden="false" customHeight="true" outlineLevel="0" collapsed="false">
      <c r="A2733" s="6" t="s">
        <v>18345</v>
      </c>
      <c r="B2733" s="6" t="s">
        <v>1843</v>
      </c>
      <c r="C2733" s="6" t="s">
        <v>124</v>
      </c>
      <c r="D2733" s="6" t="s">
        <v>28</v>
      </c>
      <c r="E2733" s="14" t="n">
        <v>4050.9</v>
      </c>
      <c r="F2733" s="14" t="n">
        <v>12152.7</v>
      </c>
      <c r="G2733" s="6" t="s">
        <v>15614</v>
      </c>
    </row>
    <row r="2734" customFormat="false" ht="15" hidden="false" customHeight="true" outlineLevel="0" collapsed="false">
      <c r="A2734" s="6" t="s">
        <v>18346</v>
      </c>
      <c r="B2734" s="6" t="s">
        <v>1843</v>
      </c>
      <c r="C2734" s="6" t="s">
        <v>124</v>
      </c>
      <c r="D2734" s="6" t="s">
        <v>29</v>
      </c>
      <c r="E2734" s="14" t="n">
        <v>4050.9</v>
      </c>
      <c r="F2734" s="14" t="n">
        <v>16203.6</v>
      </c>
      <c r="G2734" s="6" t="s">
        <v>15614</v>
      </c>
    </row>
    <row r="2735" customFormat="false" ht="15" hidden="false" customHeight="true" outlineLevel="0" collapsed="false">
      <c r="A2735" s="6" t="s">
        <v>18347</v>
      </c>
      <c r="B2735" s="6" t="s">
        <v>1845</v>
      </c>
      <c r="C2735" s="6" t="s">
        <v>116</v>
      </c>
      <c r="D2735" s="6" t="s">
        <v>35</v>
      </c>
      <c r="E2735" s="14" t="n">
        <v>896.21</v>
      </c>
      <c r="F2735" s="14" t="n">
        <v>896.21</v>
      </c>
      <c r="G2735" s="6" t="s">
        <v>15614</v>
      </c>
    </row>
    <row r="2736" customFormat="false" ht="15" hidden="false" customHeight="true" outlineLevel="0" collapsed="false">
      <c r="A2736" s="6" t="s">
        <v>18348</v>
      </c>
      <c r="B2736" s="6" t="s">
        <v>1845</v>
      </c>
      <c r="C2736" s="6" t="s">
        <v>116</v>
      </c>
      <c r="D2736" s="6" t="s">
        <v>36</v>
      </c>
      <c r="E2736" s="14" t="n">
        <v>896.21</v>
      </c>
      <c r="F2736" s="14" t="n">
        <v>1792.42</v>
      </c>
      <c r="G2736" s="6" t="s">
        <v>15614</v>
      </c>
    </row>
    <row r="2737" customFormat="false" ht="15" hidden="false" customHeight="true" outlineLevel="0" collapsed="false">
      <c r="A2737" s="6" t="s">
        <v>18349</v>
      </c>
      <c r="B2737" s="6" t="s">
        <v>1845</v>
      </c>
      <c r="C2737" s="6" t="s">
        <v>116</v>
      </c>
      <c r="D2737" s="6" t="s">
        <v>37</v>
      </c>
      <c r="E2737" s="14" t="n">
        <v>896.21</v>
      </c>
      <c r="F2737" s="14" t="n">
        <v>2688.63</v>
      </c>
      <c r="G2737" s="6" t="s">
        <v>15614</v>
      </c>
    </row>
    <row r="2738" customFormat="false" ht="15" hidden="false" customHeight="true" outlineLevel="0" collapsed="false">
      <c r="A2738" s="6" t="s">
        <v>18350</v>
      </c>
      <c r="B2738" s="6" t="s">
        <v>1845</v>
      </c>
      <c r="C2738" s="6" t="s">
        <v>116</v>
      </c>
      <c r="D2738" s="6" t="s">
        <v>38</v>
      </c>
      <c r="E2738" s="14" t="n">
        <v>896.21</v>
      </c>
      <c r="F2738" s="14" t="n">
        <v>3584.84</v>
      </c>
      <c r="G2738" s="6" t="s">
        <v>15614</v>
      </c>
    </row>
    <row r="2739" customFormat="false" ht="15" hidden="false" customHeight="true" outlineLevel="0" collapsed="false">
      <c r="A2739" s="6" t="s">
        <v>18351</v>
      </c>
      <c r="B2739" s="6" t="s">
        <v>1847</v>
      </c>
      <c r="C2739" s="6" t="s">
        <v>128</v>
      </c>
      <c r="D2739" s="6" t="s">
        <v>48</v>
      </c>
      <c r="E2739" s="14" t="n">
        <v>474.12</v>
      </c>
      <c r="F2739" s="14" t="n">
        <v>474.12</v>
      </c>
      <c r="G2739" s="6" t="s">
        <v>15614</v>
      </c>
    </row>
    <row r="2740" customFormat="false" ht="15" hidden="false" customHeight="true" outlineLevel="0" collapsed="false">
      <c r="A2740" s="6" t="s">
        <v>18352</v>
      </c>
      <c r="B2740" s="6" t="s">
        <v>1847</v>
      </c>
      <c r="C2740" s="6" t="s">
        <v>128</v>
      </c>
      <c r="D2740" s="6" t="s">
        <v>49</v>
      </c>
      <c r="E2740" s="14" t="n">
        <v>474.12</v>
      </c>
      <c r="F2740" s="14" t="n">
        <v>948.24</v>
      </c>
      <c r="G2740" s="6" t="s">
        <v>15614</v>
      </c>
    </row>
    <row r="2741" customFormat="false" ht="15" hidden="false" customHeight="true" outlineLevel="0" collapsed="false">
      <c r="A2741" s="6" t="s">
        <v>18353</v>
      </c>
      <c r="B2741" s="6" t="s">
        <v>1847</v>
      </c>
      <c r="C2741" s="6" t="s">
        <v>128</v>
      </c>
      <c r="D2741" s="6" t="s">
        <v>50</v>
      </c>
      <c r="E2741" s="14" t="n">
        <v>474.12</v>
      </c>
      <c r="F2741" s="14" t="n">
        <v>1422.36</v>
      </c>
      <c r="G2741" s="6" t="s">
        <v>15614</v>
      </c>
    </row>
    <row r="2742" customFormat="false" ht="15" hidden="false" customHeight="true" outlineLevel="0" collapsed="false">
      <c r="A2742" s="6" t="s">
        <v>18354</v>
      </c>
      <c r="B2742" s="6" t="s">
        <v>1847</v>
      </c>
      <c r="C2742" s="6" t="s">
        <v>128</v>
      </c>
      <c r="D2742" s="6" t="s">
        <v>51</v>
      </c>
      <c r="E2742" s="14" t="n">
        <v>474.12</v>
      </c>
      <c r="F2742" s="14" t="n">
        <v>1896.48</v>
      </c>
      <c r="G2742" s="6" t="s">
        <v>15614</v>
      </c>
    </row>
    <row r="2743" customFormat="false" ht="15" hidden="false" customHeight="true" outlineLevel="0" collapsed="false">
      <c r="A2743" s="6" t="s">
        <v>18355</v>
      </c>
      <c r="B2743" s="6" t="s">
        <v>1849</v>
      </c>
      <c r="C2743" s="6" t="s">
        <v>128</v>
      </c>
      <c r="D2743" s="6" t="s">
        <v>49</v>
      </c>
      <c r="E2743" s="14" t="n">
        <v>1013.1</v>
      </c>
      <c r="F2743" s="14" t="n">
        <v>1013.1</v>
      </c>
      <c r="G2743" s="6" t="s">
        <v>15614</v>
      </c>
    </row>
    <row r="2744" customFormat="false" ht="15" hidden="false" customHeight="true" outlineLevel="0" collapsed="false">
      <c r="A2744" s="6" t="s">
        <v>18356</v>
      </c>
      <c r="B2744" s="6" t="s">
        <v>1849</v>
      </c>
      <c r="C2744" s="6" t="s">
        <v>128</v>
      </c>
      <c r="D2744" s="6" t="s">
        <v>50</v>
      </c>
      <c r="E2744" s="14" t="n">
        <v>1013.1</v>
      </c>
      <c r="F2744" s="14" t="n">
        <v>2026.2</v>
      </c>
      <c r="G2744" s="6" t="s">
        <v>15614</v>
      </c>
    </row>
    <row r="2745" customFormat="false" ht="15" hidden="false" customHeight="true" outlineLevel="0" collapsed="false">
      <c r="A2745" s="6" t="s">
        <v>18357</v>
      </c>
      <c r="B2745" s="6" t="s">
        <v>1849</v>
      </c>
      <c r="C2745" s="6" t="s">
        <v>128</v>
      </c>
      <c r="D2745" s="6" t="s">
        <v>51</v>
      </c>
      <c r="E2745" s="14" t="n">
        <v>1013.1</v>
      </c>
      <c r="F2745" s="14" t="n">
        <v>3039.3</v>
      </c>
      <c r="G2745" s="6" t="s">
        <v>15614</v>
      </c>
    </row>
    <row r="2746" customFormat="false" ht="15" hidden="false" customHeight="true" outlineLevel="0" collapsed="false">
      <c r="A2746" s="6" t="s">
        <v>18358</v>
      </c>
      <c r="B2746" s="6" t="s">
        <v>1849</v>
      </c>
      <c r="C2746" s="6" t="s">
        <v>128</v>
      </c>
      <c r="D2746" s="6" t="s">
        <v>52</v>
      </c>
      <c r="E2746" s="14" t="n">
        <v>1013.1</v>
      </c>
      <c r="F2746" s="14" t="n">
        <v>4052.4</v>
      </c>
      <c r="G2746" s="6" t="s">
        <v>15614</v>
      </c>
    </row>
    <row r="2747" customFormat="false" ht="15" hidden="false" customHeight="true" outlineLevel="0" collapsed="false">
      <c r="A2747" s="6" t="s">
        <v>18359</v>
      </c>
      <c r="B2747" s="6" t="s">
        <v>1849</v>
      </c>
      <c r="C2747" s="6" t="s">
        <v>128</v>
      </c>
      <c r="D2747" s="6" t="s">
        <v>53</v>
      </c>
      <c r="E2747" s="14" t="n">
        <v>1013.1</v>
      </c>
      <c r="F2747" s="14" t="n">
        <v>5065.5</v>
      </c>
      <c r="G2747" s="6" t="s">
        <v>15614</v>
      </c>
    </row>
    <row r="2748" customFormat="false" ht="15" hidden="false" customHeight="true" outlineLevel="0" collapsed="false">
      <c r="A2748" s="6" t="s">
        <v>18360</v>
      </c>
      <c r="B2748" s="6" t="s">
        <v>1851</v>
      </c>
      <c r="C2748" s="6" t="s">
        <v>120</v>
      </c>
      <c r="D2748" s="6" t="s">
        <v>25</v>
      </c>
      <c r="E2748" s="14" t="n">
        <v>1511.65</v>
      </c>
      <c r="F2748" s="14" t="n">
        <v>1511.65</v>
      </c>
      <c r="G2748" s="6" t="s">
        <v>15614</v>
      </c>
    </row>
    <row r="2749" customFormat="false" ht="15" hidden="false" customHeight="true" outlineLevel="0" collapsed="false">
      <c r="A2749" s="6" t="s">
        <v>18361</v>
      </c>
      <c r="B2749" s="6" t="s">
        <v>1851</v>
      </c>
      <c r="C2749" s="6" t="s">
        <v>120</v>
      </c>
      <c r="D2749" s="6" t="s">
        <v>26</v>
      </c>
      <c r="E2749" s="14" t="n">
        <v>1511.65</v>
      </c>
      <c r="F2749" s="14" t="n">
        <v>3023.3</v>
      </c>
      <c r="G2749" s="6" t="s">
        <v>15614</v>
      </c>
    </row>
    <row r="2750" customFormat="false" ht="15" hidden="false" customHeight="true" outlineLevel="0" collapsed="false">
      <c r="A2750" s="6" t="s">
        <v>18362</v>
      </c>
      <c r="B2750" s="6" t="s">
        <v>1851</v>
      </c>
      <c r="C2750" s="6" t="s">
        <v>120</v>
      </c>
      <c r="D2750" s="6" t="s">
        <v>27</v>
      </c>
      <c r="E2750" s="14" t="n">
        <v>1511.65</v>
      </c>
      <c r="F2750" s="14" t="n">
        <v>4534.95</v>
      </c>
      <c r="G2750" s="6" t="s">
        <v>15614</v>
      </c>
    </row>
    <row r="2751" customFormat="false" ht="15" hidden="false" customHeight="true" outlineLevel="0" collapsed="false">
      <c r="A2751" s="6" t="s">
        <v>18363</v>
      </c>
      <c r="B2751" s="6" t="s">
        <v>1853</v>
      </c>
      <c r="C2751" s="6" t="s">
        <v>131</v>
      </c>
      <c r="D2751" s="6" t="s">
        <v>16</v>
      </c>
      <c r="E2751" s="14" t="n">
        <v>2616.48</v>
      </c>
      <c r="F2751" s="14" t="n">
        <v>2616.48</v>
      </c>
      <c r="G2751" s="6" t="s">
        <v>15614</v>
      </c>
    </row>
    <row r="2752" customFormat="false" ht="15" hidden="false" customHeight="true" outlineLevel="0" collapsed="false">
      <c r="A2752" s="6" t="s">
        <v>18364</v>
      </c>
      <c r="B2752" s="6" t="s">
        <v>1853</v>
      </c>
      <c r="C2752" s="6" t="s">
        <v>131</v>
      </c>
      <c r="D2752" s="6" t="s">
        <v>17</v>
      </c>
      <c r="E2752" s="14" t="n">
        <v>2616.48</v>
      </c>
      <c r="F2752" s="14" t="n">
        <v>5232.96</v>
      </c>
      <c r="G2752" s="6" t="s">
        <v>15614</v>
      </c>
    </row>
    <row r="2753" customFormat="false" ht="15" hidden="false" customHeight="true" outlineLevel="0" collapsed="false">
      <c r="A2753" s="6" t="s">
        <v>18365</v>
      </c>
      <c r="B2753" s="6" t="s">
        <v>1853</v>
      </c>
      <c r="C2753" s="6" t="s">
        <v>131</v>
      </c>
      <c r="D2753" s="6" t="s">
        <v>18</v>
      </c>
      <c r="E2753" s="14" t="n">
        <v>2616.48</v>
      </c>
      <c r="F2753" s="14" t="n">
        <v>7849.44</v>
      </c>
      <c r="G2753" s="6" t="s">
        <v>15614</v>
      </c>
    </row>
    <row r="2754" customFormat="false" ht="15" hidden="false" customHeight="true" outlineLevel="0" collapsed="false">
      <c r="A2754" s="6" t="s">
        <v>18366</v>
      </c>
      <c r="B2754" s="6" t="s">
        <v>1855</v>
      </c>
      <c r="C2754" s="6" t="s">
        <v>112</v>
      </c>
      <c r="D2754" s="6" t="s">
        <v>11</v>
      </c>
      <c r="E2754" s="14" t="n">
        <v>2345.12</v>
      </c>
      <c r="F2754" s="14" t="n">
        <v>2345.12</v>
      </c>
      <c r="G2754" s="6" t="s">
        <v>15614</v>
      </c>
    </row>
    <row r="2755" customFormat="false" ht="15" hidden="false" customHeight="true" outlineLevel="0" collapsed="false">
      <c r="A2755" s="6" t="s">
        <v>18367</v>
      </c>
      <c r="B2755" s="6" t="s">
        <v>1855</v>
      </c>
      <c r="C2755" s="6" t="s">
        <v>112</v>
      </c>
      <c r="D2755" s="6" t="s">
        <v>12</v>
      </c>
      <c r="E2755" s="14" t="n">
        <v>2345.12</v>
      </c>
      <c r="F2755" s="14" t="n">
        <v>4690.24</v>
      </c>
      <c r="G2755" s="6" t="s">
        <v>15614</v>
      </c>
    </row>
    <row r="2756" customFormat="false" ht="15" hidden="false" customHeight="true" outlineLevel="0" collapsed="false">
      <c r="A2756" s="6" t="s">
        <v>18368</v>
      </c>
      <c r="B2756" s="6" t="s">
        <v>1855</v>
      </c>
      <c r="C2756" s="6" t="s">
        <v>112</v>
      </c>
      <c r="D2756" s="6" t="s">
        <v>13</v>
      </c>
      <c r="E2756" s="14" t="n">
        <v>2345.12</v>
      </c>
      <c r="F2756" s="14" t="n">
        <v>7035.36</v>
      </c>
      <c r="G2756" s="6" t="s">
        <v>15614</v>
      </c>
    </row>
    <row r="2757" customFormat="false" ht="15" hidden="false" customHeight="true" outlineLevel="0" collapsed="false">
      <c r="A2757" s="6" t="s">
        <v>18369</v>
      </c>
      <c r="B2757" s="6" t="s">
        <v>1857</v>
      </c>
      <c r="C2757" s="6" t="s">
        <v>131</v>
      </c>
      <c r="D2757" s="6" t="s">
        <v>63</v>
      </c>
      <c r="E2757" s="14" t="n">
        <v>7216.48</v>
      </c>
      <c r="F2757" s="14" t="n">
        <v>7216.48</v>
      </c>
      <c r="G2757" s="6" t="s">
        <v>15614</v>
      </c>
    </row>
    <row r="2758" customFormat="false" ht="15" hidden="false" customHeight="true" outlineLevel="0" collapsed="false">
      <c r="A2758" s="6" t="s">
        <v>18370</v>
      </c>
      <c r="B2758" s="6" t="s">
        <v>1857</v>
      </c>
      <c r="C2758" s="6" t="s">
        <v>131</v>
      </c>
      <c r="D2758" s="6" t="s">
        <v>64</v>
      </c>
      <c r="E2758" s="14" t="n">
        <v>7216.48</v>
      </c>
      <c r="F2758" s="14" t="n">
        <v>14432.96</v>
      </c>
      <c r="G2758" s="6" t="s">
        <v>15614</v>
      </c>
    </row>
    <row r="2759" customFormat="false" ht="15" hidden="false" customHeight="true" outlineLevel="0" collapsed="false">
      <c r="A2759" s="6" t="s">
        <v>18371</v>
      </c>
      <c r="B2759" s="6" t="s">
        <v>1857</v>
      </c>
      <c r="C2759" s="6" t="s">
        <v>131</v>
      </c>
      <c r="D2759" s="6" t="s">
        <v>65</v>
      </c>
      <c r="E2759" s="14" t="n">
        <v>7216.48</v>
      </c>
      <c r="F2759" s="14" t="n">
        <v>21649.44</v>
      </c>
      <c r="G2759" s="6" t="s">
        <v>15614</v>
      </c>
    </row>
    <row r="2760" customFormat="false" ht="15" hidden="false" customHeight="true" outlineLevel="0" collapsed="false">
      <c r="A2760" s="6" t="s">
        <v>18372</v>
      </c>
      <c r="B2760" s="6" t="s">
        <v>1859</v>
      </c>
      <c r="C2760" s="6" t="s">
        <v>128</v>
      </c>
      <c r="D2760" s="6" t="s">
        <v>28</v>
      </c>
      <c r="E2760" s="14" t="n">
        <v>3191.01</v>
      </c>
      <c r="F2760" s="14" t="n">
        <v>3191.01</v>
      </c>
      <c r="G2760" s="6" t="s">
        <v>15614</v>
      </c>
    </row>
    <row r="2761" customFormat="false" ht="15" hidden="false" customHeight="true" outlineLevel="0" collapsed="false">
      <c r="A2761" s="6" t="s">
        <v>18373</v>
      </c>
      <c r="B2761" s="6" t="s">
        <v>1859</v>
      </c>
      <c r="C2761" s="6" t="s">
        <v>128</v>
      </c>
      <c r="D2761" s="6" t="s">
        <v>29</v>
      </c>
      <c r="E2761" s="14" t="n">
        <v>3191.01</v>
      </c>
      <c r="F2761" s="14" t="n">
        <v>6382.02</v>
      </c>
      <c r="G2761" s="6" t="s">
        <v>15614</v>
      </c>
    </row>
    <row r="2762" customFormat="false" ht="15" hidden="false" customHeight="true" outlineLevel="0" collapsed="false">
      <c r="A2762" s="6" t="s">
        <v>18374</v>
      </c>
      <c r="B2762" s="6" t="s">
        <v>1859</v>
      </c>
      <c r="C2762" s="6" t="s">
        <v>128</v>
      </c>
      <c r="D2762" s="6" t="s">
        <v>30</v>
      </c>
      <c r="E2762" s="14" t="n">
        <v>3191.01</v>
      </c>
      <c r="F2762" s="14" t="n">
        <v>9573.03</v>
      </c>
      <c r="G2762" s="6" t="s">
        <v>15614</v>
      </c>
    </row>
    <row r="2763" customFormat="false" ht="15" hidden="false" customHeight="true" outlineLevel="0" collapsed="false">
      <c r="A2763" s="6" t="s">
        <v>18375</v>
      </c>
      <c r="B2763" s="6" t="s">
        <v>1861</v>
      </c>
      <c r="C2763" s="6" t="s">
        <v>116</v>
      </c>
      <c r="D2763" s="6" t="s">
        <v>35</v>
      </c>
      <c r="E2763" s="14" t="n">
        <v>3198.95</v>
      </c>
      <c r="F2763" s="14" t="n">
        <v>3198.95</v>
      </c>
      <c r="G2763" s="6" t="s">
        <v>15614</v>
      </c>
    </row>
    <row r="2764" customFormat="false" ht="15" hidden="false" customHeight="true" outlineLevel="0" collapsed="false">
      <c r="A2764" s="6" t="s">
        <v>18376</v>
      </c>
      <c r="B2764" s="6" t="s">
        <v>1861</v>
      </c>
      <c r="C2764" s="6" t="s">
        <v>116</v>
      </c>
      <c r="D2764" s="6" t="s">
        <v>36</v>
      </c>
      <c r="E2764" s="14" t="n">
        <v>3198.95</v>
      </c>
      <c r="F2764" s="14" t="n">
        <v>6397.9</v>
      </c>
      <c r="G2764" s="6" t="s">
        <v>15614</v>
      </c>
    </row>
    <row r="2765" customFormat="false" ht="15" hidden="false" customHeight="true" outlineLevel="0" collapsed="false">
      <c r="A2765" s="6" t="s">
        <v>18377</v>
      </c>
      <c r="B2765" s="6" t="s">
        <v>1863</v>
      </c>
      <c r="C2765" s="6" t="s">
        <v>116</v>
      </c>
      <c r="D2765" s="6" t="s">
        <v>37</v>
      </c>
      <c r="E2765" s="14" t="n">
        <v>2481.12</v>
      </c>
      <c r="F2765" s="14" t="n">
        <v>2481.12</v>
      </c>
      <c r="G2765" s="6" t="s">
        <v>15614</v>
      </c>
    </row>
    <row r="2766" customFormat="false" ht="15" hidden="false" customHeight="true" outlineLevel="0" collapsed="false">
      <c r="A2766" s="6" t="s">
        <v>18378</v>
      </c>
      <c r="B2766" s="6" t="s">
        <v>1863</v>
      </c>
      <c r="C2766" s="6" t="s">
        <v>116</v>
      </c>
      <c r="D2766" s="6" t="s">
        <v>38</v>
      </c>
      <c r="E2766" s="14" t="n">
        <v>2481.12</v>
      </c>
      <c r="F2766" s="14" t="n">
        <v>4962.24</v>
      </c>
      <c r="G2766" s="6" t="s">
        <v>15614</v>
      </c>
    </row>
    <row r="2767" customFormat="false" ht="15" hidden="false" customHeight="true" outlineLevel="0" collapsed="false">
      <c r="A2767" s="6" t="s">
        <v>18379</v>
      </c>
      <c r="B2767" s="6" t="s">
        <v>1863</v>
      </c>
      <c r="C2767" s="6" t="s">
        <v>116</v>
      </c>
      <c r="D2767" s="6" t="s">
        <v>39</v>
      </c>
      <c r="E2767" s="14" t="n">
        <v>2481.12</v>
      </c>
      <c r="F2767" s="14" t="n">
        <v>7443.36</v>
      </c>
      <c r="G2767" s="6" t="s">
        <v>15614</v>
      </c>
    </row>
    <row r="2768" customFormat="false" ht="15" hidden="false" customHeight="true" outlineLevel="0" collapsed="false">
      <c r="A2768" s="6" t="s">
        <v>18380</v>
      </c>
      <c r="B2768" s="6" t="s">
        <v>1865</v>
      </c>
      <c r="C2768" s="6" t="s">
        <v>112</v>
      </c>
      <c r="D2768" s="6" t="s">
        <v>58</v>
      </c>
      <c r="E2768" s="14" t="n">
        <v>314.57</v>
      </c>
      <c r="F2768" s="14" t="n">
        <v>314.57</v>
      </c>
      <c r="G2768" s="6" t="s">
        <v>15614</v>
      </c>
    </row>
    <row r="2769" customFormat="false" ht="15" hidden="false" customHeight="true" outlineLevel="0" collapsed="false">
      <c r="A2769" s="6" t="s">
        <v>18381</v>
      </c>
      <c r="B2769" s="6" t="s">
        <v>1865</v>
      </c>
      <c r="C2769" s="6" t="s">
        <v>112</v>
      </c>
      <c r="D2769" s="6" t="s">
        <v>59</v>
      </c>
      <c r="E2769" s="14" t="n">
        <v>314.57</v>
      </c>
      <c r="F2769" s="14" t="n">
        <v>629.14</v>
      </c>
      <c r="G2769" s="6" t="s">
        <v>15614</v>
      </c>
    </row>
    <row r="2770" customFormat="false" ht="15" hidden="false" customHeight="true" outlineLevel="0" collapsed="false">
      <c r="A2770" s="6" t="s">
        <v>18382</v>
      </c>
      <c r="B2770" s="6" t="s">
        <v>1867</v>
      </c>
      <c r="C2770" s="6" t="s">
        <v>128</v>
      </c>
      <c r="D2770" s="6" t="s">
        <v>13</v>
      </c>
      <c r="E2770" s="14" t="n">
        <v>1810.38</v>
      </c>
      <c r="F2770" s="14" t="n">
        <v>1810.38</v>
      </c>
      <c r="G2770" s="6" t="s">
        <v>15614</v>
      </c>
    </row>
    <row r="2771" customFormat="false" ht="15" hidden="false" customHeight="true" outlineLevel="0" collapsed="false">
      <c r="A2771" s="6" t="s">
        <v>18383</v>
      </c>
      <c r="B2771" s="6" t="s">
        <v>1867</v>
      </c>
      <c r="C2771" s="6" t="s">
        <v>128</v>
      </c>
      <c r="D2771" s="6" t="s">
        <v>14</v>
      </c>
      <c r="E2771" s="14" t="n">
        <v>1810.38</v>
      </c>
      <c r="F2771" s="14" t="n">
        <v>3620.76</v>
      </c>
      <c r="G2771" s="6" t="s">
        <v>15614</v>
      </c>
    </row>
    <row r="2772" customFormat="false" ht="15" hidden="false" customHeight="true" outlineLevel="0" collapsed="false">
      <c r="A2772" s="6" t="s">
        <v>18384</v>
      </c>
      <c r="B2772" s="6" t="s">
        <v>1867</v>
      </c>
      <c r="C2772" s="6" t="s">
        <v>128</v>
      </c>
      <c r="D2772" s="6" t="s">
        <v>15</v>
      </c>
      <c r="E2772" s="14" t="n">
        <v>1810.38</v>
      </c>
      <c r="F2772" s="14" t="n">
        <v>5431.14</v>
      </c>
      <c r="G2772" s="6" t="s">
        <v>15614</v>
      </c>
    </row>
    <row r="2773" customFormat="false" ht="15" hidden="false" customHeight="true" outlineLevel="0" collapsed="false">
      <c r="A2773" s="6" t="s">
        <v>18385</v>
      </c>
      <c r="B2773" s="6" t="s">
        <v>1869</v>
      </c>
      <c r="C2773" s="6" t="s">
        <v>124</v>
      </c>
      <c r="D2773" s="6" t="s">
        <v>58</v>
      </c>
      <c r="E2773" s="14" t="n">
        <v>1660.08</v>
      </c>
      <c r="F2773" s="14" t="n">
        <v>1660.08</v>
      </c>
      <c r="G2773" s="6" t="s">
        <v>15614</v>
      </c>
    </row>
    <row r="2774" customFormat="false" ht="15" hidden="false" customHeight="true" outlineLevel="0" collapsed="false">
      <c r="A2774" s="6" t="s">
        <v>18386</v>
      </c>
      <c r="B2774" s="6" t="s">
        <v>1869</v>
      </c>
      <c r="C2774" s="6" t="s">
        <v>124</v>
      </c>
      <c r="D2774" s="6" t="s">
        <v>59</v>
      </c>
      <c r="E2774" s="14" t="n">
        <v>1660.08</v>
      </c>
      <c r="F2774" s="14" t="n">
        <v>3320.16</v>
      </c>
      <c r="G2774" s="6" t="s">
        <v>15614</v>
      </c>
    </row>
    <row r="2775" customFormat="false" ht="15" hidden="false" customHeight="true" outlineLevel="0" collapsed="false">
      <c r="A2775" s="6" t="s">
        <v>18387</v>
      </c>
      <c r="B2775" s="6" t="s">
        <v>1869</v>
      </c>
      <c r="C2775" s="6" t="s">
        <v>124</v>
      </c>
      <c r="D2775" s="6" t="s">
        <v>60</v>
      </c>
      <c r="E2775" s="14" t="n">
        <v>1660.08</v>
      </c>
      <c r="F2775" s="14" t="n">
        <v>4980.24</v>
      </c>
      <c r="G2775" s="6" t="s">
        <v>15614</v>
      </c>
    </row>
    <row r="2776" customFormat="false" ht="15" hidden="false" customHeight="true" outlineLevel="0" collapsed="false">
      <c r="A2776" s="6" t="s">
        <v>18388</v>
      </c>
      <c r="B2776" s="6" t="s">
        <v>1869</v>
      </c>
      <c r="C2776" s="6" t="s">
        <v>124</v>
      </c>
      <c r="D2776" s="6" t="s">
        <v>61</v>
      </c>
      <c r="E2776" s="14" t="n">
        <v>1660.08</v>
      </c>
      <c r="F2776" s="14" t="n">
        <v>6640.32</v>
      </c>
      <c r="G2776" s="6" t="s">
        <v>15614</v>
      </c>
    </row>
    <row r="2777" customFormat="false" ht="15" hidden="false" customHeight="true" outlineLevel="0" collapsed="false">
      <c r="A2777" s="6" t="s">
        <v>18389</v>
      </c>
      <c r="B2777" s="6" t="s">
        <v>1869</v>
      </c>
      <c r="C2777" s="6" t="s">
        <v>124</v>
      </c>
      <c r="D2777" s="6" t="s">
        <v>62</v>
      </c>
      <c r="E2777" s="14" t="n">
        <v>1660.08</v>
      </c>
      <c r="F2777" s="14" t="n">
        <v>8300.4</v>
      </c>
      <c r="G2777" s="6" t="s">
        <v>15614</v>
      </c>
    </row>
    <row r="2778" customFormat="false" ht="15" hidden="false" customHeight="true" outlineLevel="0" collapsed="false">
      <c r="A2778" s="6" t="s">
        <v>18390</v>
      </c>
      <c r="B2778" s="6" t="s">
        <v>1869</v>
      </c>
      <c r="C2778" s="6" t="s">
        <v>124</v>
      </c>
      <c r="D2778" s="6" t="s">
        <v>63</v>
      </c>
      <c r="E2778" s="14" t="n">
        <v>1660.08</v>
      </c>
      <c r="F2778" s="14" t="n">
        <v>9960.48</v>
      </c>
      <c r="G2778" s="6" t="s">
        <v>15614</v>
      </c>
    </row>
    <row r="2779" customFormat="false" ht="15" hidden="false" customHeight="true" outlineLevel="0" collapsed="false">
      <c r="A2779" s="6" t="s">
        <v>18391</v>
      </c>
      <c r="B2779" s="6" t="s">
        <v>1869</v>
      </c>
      <c r="C2779" s="6" t="s">
        <v>124</v>
      </c>
      <c r="D2779" s="6" t="s">
        <v>64</v>
      </c>
      <c r="E2779" s="14" t="n">
        <v>1660.08</v>
      </c>
      <c r="F2779" s="14" t="n">
        <v>11620.56</v>
      </c>
      <c r="G2779" s="6" t="s">
        <v>15614</v>
      </c>
    </row>
    <row r="2780" customFormat="false" ht="15" hidden="false" customHeight="true" outlineLevel="0" collapsed="false">
      <c r="A2780" s="6" t="s">
        <v>18392</v>
      </c>
      <c r="B2780" s="6" t="s">
        <v>1871</v>
      </c>
      <c r="C2780" s="6" t="s">
        <v>131</v>
      </c>
      <c r="D2780" s="6" t="s">
        <v>42</v>
      </c>
      <c r="E2780" s="14" t="n">
        <v>393.05</v>
      </c>
      <c r="F2780" s="14" t="n">
        <v>393.05</v>
      </c>
      <c r="G2780" s="6" t="s">
        <v>15614</v>
      </c>
    </row>
    <row r="2781" customFormat="false" ht="15" hidden="false" customHeight="true" outlineLevel="0" collapsed="false">
      <c r="A2781" s="6" t="s">
        <v>18393</v>
      </c>
      <c r="B2781" s="6" t="s">
        <v>1871</v>
      </c>
      <c r="C2781" s="6" t="s">
        <v>131</v>
      </c>
      <c r="D2781" s="6" t="s">
        <v>43</v>
      </c>
      <c r="E2781" s="14" t="n">
        <v>393.05</v>
      </c>
      <c r="F2781" s="14" t="n">
        <v>786.1</v>
      </c>
      <c r="G2781" s="6" t="s">
        <v>15614</v>
      </c>
    </row>
    <row r="2782" customFormat="false" ht="15" hidden="false" customHeight="true" outlineLevel="0" collapsed="false">
      <c r="A2782" s="6" t="s">
        <v>18394</v>
      </c>
      <c r="B2782" s="6" t="s">
        <v>1871</v>
      </c>
      <c r="C2782" s="6" t="s">
        <v>131</v>
      </c>
      <c r="D2782" s="6" t="s">
        <v>44</v>
      </c>
      <c r="E2782" s="14" t="n">
        <v>393.05</v>
      </c>
      <c r="F2782" s="14" t="n">
        <v>1179.15</v>
      </c>
      <c r="G2782" s="6" t="s">
        <v>15614</v>
      </c>
    </row>
    <row r="2783" customFormat="false" ht="15" hidden="false" customHeight="true" outlineLevel="0" collapsed="false">
      <c r="A2783" s="6" t="s">
        <v>18395</v>
      </c>
      <c r="B2783" s="6" t="s">
        <v>1873</v>
      </c>
      <c r="C2783" s="6" t="s">
        <v>131</v>
      </c>
      <c r="D2783" s="6" t="s">
        <v>21</v>
      </c>
      <c r="E2783" s="14" t="n">
        <v>500.71</v>
      </c>
      <c r="F2783" s="14" t="n">
        <v>500.71</v>
      </c>
      <c r="G2783" s="6" t="s">
        <v>15614</v>
      </c>
    </row>
    <row r="2784" customFormat="false" ht="15" hidden="false" customHeight="true" outlineLevel="0" collapsed="false">
      <c r="A2784" s="6" t="s">
        <v>18396</v>
      </c>
      <c r="B2784" s="6" t="s">
        <v>1873</v>
      </c>
      <c r="C2784" s="6" t="s">
        <v>131</v>
      </c>
      <c r="D2784" s="6" t="s">
        <v>22</v>
      </c>
      <c r="E2784" s="14" t="n">
        <v>500.71</v>
      </c>
      <c r="F2784" s="14" t="n">
        <v>1001.42</v>
      </c>
      <c r="G2784" s="6" t="s">
        <v>15614</v>
      </c>
    </row>
    <row r="2785" customFormat="false" ht="15" hidden="false" customHeight="true" outlineLevel="0" collapsed="false">
      <c r="A2785" s="6" t="s">
        <v>18397</v>
      </c>
      <c r="B2785" s="6" t="s">
        <v>1875</v>
      </c>
      <c r="C2785" s="6" t="s">
        <v>116</v>
      </c>
      <c r="D2785" s="6" t="s">
        <v>48</v>
      </c>
      <c r="E2785" s="14" t="n">
        <v>363.02</v>
      </c>
      <c r="F2785" s="14" t="n">
        <v>363.02</v>
      </c>
      <c r="G2785" s="6" t="s">
        <v>15614</v>
      </c>
    </row>
    <row r="2786" customFormat="false" ht="15" hidden="false" customHeight="true" outlineLevel="0" collapsed="false">
      <c r="A2786" s="6" t="s">
        <v>18398</v>
      </c>
      <c r="B2786" s="6" t="s">
        <v>1875</v>
      </c>
      <c r="C2786" s="6" t="s">
        <v>116</v>
      </c>
      <c r="D2786" s="6" t="s">
        <v>49</v>
      </c>
      <c r="E2786" s="14" t="n">
        <v>363.02</v>
      </c>
      <c r="F2786" s="14" t="n">
        <v>726.04</v>
      </c>
      <c r="G2786" s="6" t="s">
        <v>15614</v>
      </c>
    </row>
    <row r="2787" customFormat="false" ht="15" hidden="false" customHeight="true" outlineLevel="0" collapsed="false">
      <c r="A2787" s="6" t="s">
        <v>18399</v>
      </c>
      <c r="B2787" s="6" t="s">
        <v>1875</v>
      </c>
      <c r="C2787" s="6" t="s">
        <v>116</v>
      </c>
      <c r="D2787" s="6" t="s">
        <v>50</v>
      </c>
      <c r="E2787" s="14" t="n">
        <v>363.02</v>
      </c>
      <c r="F2787" s="14" t="n">
        <v>1089.06</v>
      </c>
      <c r="G2787" s="6" t="s">
        <v>15614</v>
      </c>
    </row>
    <row r="2788" customFormat="false" ht="15" hidden="false" customHeight="true" outlineLevel="0" collapsed="false">
      <c r="A2788" s="6" t="s">
        <v>18400</v>
      </c>
      <c r="B2788" s="6" t="s">
        <v>1875</v>
      </c>
      <c r="C2788" s="6" t="s">
        <v>116</v>
      </c>
      <c r="D2788" s="6" t="s">
        <v>51</v>
      </c>
      <c r="E2788" s="14" t="n">
        <v>363.02</v>
      </c>
      <c r="F2788" s="14" t="n">
        <v>1452.08</v>
      </c>
      <c r="G2788" s="6" t="s">
        <v>15614</v>
      </c>
    </row>
    <row r="2789" customFormat="false" ht="15" hidden="false" customHeight="true" outlineLevel="0" collapsed="false">
      <c r="A2789" s="6" t="s">
        <v>18401</v>
      </c>
      <c r="B2789" s="6" t="s">
        <v>1877</v>
      </c>
      <c r="C2789" s="6" t="s">
        <v>120</v>
      </c>
      <c r="D2789" s="6" t="s">
        <v>40</v>
      </c>
      <c r="E2789" s="14" t="n">
        <v>96.33</v>
      </c>
      <c r="F2789" s="14" t="n">
        <v>96.33</v>
      </c>
      <c r="G2789" s="6" t="s">
        <v>15614</v>
      </c>
    </row>
    <row r="2790" customFormat="false" ht="15" hidden="false" customHeight="true" outlineLevel="0" collapsed="false">
      <c r="A2790" s="6" t="s">
        <v>18402</v>
      </c>
      <c r="B2790" s="6" t="s">
        <v>1877</v>
      </c>
      <c r="C2790" s="6" t="s">
        <v>120</v>
      </c>
      <c r="D2790" s="6" t="s">
        <v>41</v>
      </c>
      <c r="E2790" s="14" t="n">
        <v>96.33</v>
      </c>
      <c r="F2790" s="14" t="n">
        <v>192.66</v>
      </c>
      <c r="G2790" s="6" t="s">
        <v>15614</v>
      </c>
    </row>
    <row r="2791" customFormat="false" ht="15" hidden="false" customHeight="true" outlineLevel="0" collapsed="false">
      <c r="A2791" s="6" t="s">
        <v>18403</v>
      </c>
      <c r="B2791" s="6" t="s">
        <v>1877</v>
      </c>
      <c r="C2791" s="6" t="s">
        <v>120</v>
      </c>
      <c r="D2791" s="6" t="s">
        <v>42</v>
      </c>
      <c r="E2791" s="14" t="n">
        <v>96.33</v>
      </c>
      <c r="F2791" s="14" t="n">
        <v>288.99</v>
      </c>
      <c r="G2791" s="6" t="s">
        <v>15614</v>
      </c>
    </row>
    <row r="2792" customFormat="false" ht="15" hidden="false" customHeight="true" outlineLevel="0" collapsed="false">
      <c r="A2792" s="6" t="s">
        <v>18404</v>
      </c>
      <c r="B2792" s="6" t="s">
        <v>1877</v>
      </c>
      <c r="C2792" s="6" t="s">
        <v>120</v>
      </c>
      <c r="D2792" s="6" t="s">
        <v>43</v>
      </c>
      <c r="E2792" s="14" t="n">
        <v>96.33</v>
      </c>
      <c r="F2792" s="14" t="n">
        <v>385.32</v>
      </c>
      <c r="G2792" s="6" t="s">
        <v>15614</v>
      </c>
    </row>
    <row r="2793" customFormat="false" ht="15" hidden="false" customHeight="true" outlineLevel="0" collapsed="false">
      <c r="A2793" s="6" t="s">
        <v>18405</v>
      </c>
      <c r="B2793" s="6" t="s">
        <v>1877</v>
      </c>
      <c r="C2793" s="6" t="s">
        <v>120</v>
      </c>
      <c r="D2793" s="6" t="s">
        <v>44</v>
      </c>
      <c r="E2793" s="14" t="n">
        <v>96.33</v>
      </c>
      <c r="F2793" s="14" t="n">
        <v>481.65</v>
      </c>
      <c r="G2793" s="6" t="s">
        <v>15614</v>
      </c>
    </row>
    <row r="2794" customFormat="false" ht="15" hidden="false" customHeight="true" outlineLevel="0" collapsed="false">
      <c r="A2794" s="6" t="s">
        <v>18406</v>
      </c>
      <c r="B2794" s="6" t="s">
        <v>1877</v>
      </c>
      <c r="C2794" s="6" t="s">
        <v>120</v>
      </c>
      <c r="D2794" s="6" t="s">
        <v>45</v>
      </c>
      <c r="E2794" s="14" t="n">
        <v>96.33</v>
      </c>
      <c r="F2794" s="14" t="n">
        <v>577.98</v>
      </c>
      <c r="G2794" s="6" t="s">
        <v>15614</v>
      </c>
    </row>
    <row r="2795" customFormat="false" ht="15" hidden="false" customHeight="true" outlineLevel="0" collapsed="false">
      <c r="A2795" s="6" t="s">
        <v>18407</v>
      </c>
      <c r="B2795" s="6" t="s">
        <v>1879</v>
      </c>
      <c r="C2795" s="6" t="s">
        <v>120</v>
      </c>
      <c r="D2795" s="6" t="s">
        <v>16</v>
      </c>
      <c r="E2795" s="14" t="n">
        <v>816.37</v>
      </c>
      <c r="F2795" s="14" t="n">
        <v>816.37</v>
      </c>
      <c r="G2795" s="6" t="s">
        <v>15614</v>
      </c>
    </row>
    <row r="2796" customFormat="false" ht="15" hidden="false" customHeight="true" outlineLevel="0" collapsed="false">
      <c r="A2796" s="6" t="s">
        <v>18408</v>
      </c>
      <c r="B2796" s="6" t="s">
        <v>1879</v>
      </c>
      <c r="C2796" s="6" t="s">
        <v>120</v>
      </c>
      <c r="D2796" s="6" t="s">
        <v>17</v>
      </c>
      <c r="E2796" s="14" t="n">
        <v>816.37</v>
      </c>
      <c r="F2796" s="14" t="n">
        <v>1632.74</v>
      </c>
      <c r="G2796" s="6" t="s">
        <v>15614</v>
      </c>
    </row>
    <row r="2797" customFormat="false" ht="15" hidden="false" customHeight="true" outlineLevel="0" collapsed="false">
      <c r="A2797" s="6" t="s">
        <v>18409</v>
      </c>
      <c r="B2797" s="6" t="s">
        <v>1881</v>
      </c>
      <c r="C2797" s="6" t="s">
        <v>116</v>
      </c>
      <c r="D2797" s="6" t="s">
        <v>47</v>
      </c>
      <c r="E2797" s="14" t="n">
        <v>1451.3</v>
      </c>
      <c r="F2797" s="14" t="n">
        <v>1451.3</v>
      </c>
      <c r="G2797" s="6" t="s">
        <v>15614</v>
      </c>
    </row>
    <row r="2798" customFormat="false" ht="15" hidden="false" customHeight="true" outlineLevel="0" collapsed="false">
      <c r="A2798" s="6" t="s">
        <v>18410</v>
      </c>
      <c r="B2798" s="6" t="s">
        <v>1881</v>
      </c>
      <c r="C2798" s="6" t="s">
        <v>116</v>
      </c>
      <c r="D2798" s="6" t="s">
        <v>48</v>
      </c>
      <c r="E2798" s="14" t="n">
        <v>1451.3</v>
      </c>
      <c r="F2798" s="14" t="n">
        <v>2902.6</v>
      </c>
      <c r="G2798" s="6" t="s">
        <v>15614</v>
      </c>
    </row>
    <row r="2799" customFormat="false" ht="15" hidden="false" customHeight="true" outlineLevel="0" collapsed="false">
      <c r="A2799" s="6" t="s">
        <v>18411</v>
      </c>
      <c r="B2799" s="6" t="s">
        <v>1881</v>
      </c>
      <c r="C2799" s="6" t="s">
        <v>116</v>
      </c>
      <c r="D2799" s="6" t="s">
        <v>49</v>
      </c>
      <c r="E2799" s="14" t="n">
        <v>1451.3</v>
      </c>
      <c r="F2799" s="14" t="n">
        <v>4353.9</v>
      </c>
      <c r="G2799" s="6" t="s">
        <v>15614</v>
      </c>
    </row>
    <row r="2800" customFormat="false" ht="15" hidden="false" customHeight="true" outlineLevel="0" collapsed="false">
      <c r="A2800" s="6" t="s">
        <v>18412</v>
      </c>
      <c r="B2800" s="6" t="s">
        <v>1883</v>
      </c>
      <c r="C2800" s="6" t="s">
        <v>116</v>
      </c>
      <c r="D2800" s="6" t="s">
        <v>52</v>
      </c>
      <c r="E2800" s="14" t="n">
        <v>404.69</v>
      </c>
      <c r="F2800" s="14" t="n">
        <v>404.69</v>
      </c>
      <c r="G2800" s="6" t="s">
        <v>15614</v>
      </c>
    </row>
    <row r="2801" customFormat="false" ht="15" hidden="false" customHeight="true" outlineLevel="0" collapsed="false">
      <c r="A2801" s="6" t="s">
        <v>18413</v>
      </c>
      <c r="B2801" s="6" t="s">
        <v>1883</v>
      </c>
      <c r="C2801" s="6" t="s">
        <v>116</v>
      </c>
      <c r="D2801" s="6" t="s">
        <v>53</v>
      </c>
      <c r="E2801" s="14" t="n">
        <v>404.69</v>
      </c>
      <c r="F2801" s="14" t="n">
        <v>809.38</v>
      </c>
      <c r="G2801" s="6" t="s">
        <v>15614</v>
      </c>
    </row>
    <row r="2802" customFormat="false" ht="15" hidden="false" customHeight="true" outlineLevel="0" collapsed="false">
      <c r="A2802" s="6" t="s">
        <v>18414</v>
      </c>
      <c r="B2802" s="6" t="s">
        <v>1885</v>
      </c>
      <c r="C2802" s="6" t="s">
        <v>120</v>
      </c>
      <c r="D2802" s="6" t="s">
        <v>54</v>
      </c>
      <c r="E2802" s="14" t="n">
        <v>1096.32</v>
      </c>
      <c r="F2802" s="14" t="n">
        <v>1096.32</v>
      </c>
      <c r="G2802" s="6" t="s">
        <v>15614</v>
      </c>
    </row>
    <row r="2803" customFormat="false" ht="15" hidden="false" customHeight="true" outlineLevel="0" collapsed="false">
      <c r="A2803" s="6" t="s">
        <v>18415</v>
      </c>
      <c r="B2803" s="6" t="s">
        <v>1885</v>
      </c>
      <c r="C2803" s="6" t="s">
        <v>120</v>
      </c>
      <c r="D2803" s="6" t="s">
        <v>55</v>
      </c>
      <c r="E2803" s="14" t="n">
        <v>1096.32</v>
      </c>
      <c r="F2803" s="14" t="n">
        <v>2192.64</v>
      </c>
      <c r="G2803" s="6" t="s">
        <v>15614</v>
      </c>
    </row>
    <row r="2804" customFormat="false" ht="15" hidden="false" customHeight="true" outlineLevel="0" collapsed="false">
      <c r="A2804" s="6" t="s">
        <v>18416</v>
      </c>
      <c r="B2804" s="6" t="s">
        <v>1885</v>
      </c>
      <c r="C2804" s="6" t="s">
        <v>120</v>
      </c>
      <c r="D2804" s="6" t="s">
        <v>56</v>
      </c>
      <c r="E2804" s="14" t="n">
        <v>1096.32</v>
      </c>
      <c r="F2804" s="14" t="n">
        <v>3288.96</v>
      </c>
      <c r="G2804" s="6" t="s">
        <v>15614</v>
      </c>
    </row>
    <row r="2805" customFormat="false" ht="15" hidden="false" customHeight="true" outlineLevel="0" collapsed="false">
      <c r="A2805" s="6" t="s">
        <v>18417</v>
      </c>
      <c r="B2805" s="6" t="s">
        <v>1885</v>
      </c>
      <c r="C2805" s="6" t="s">
        <v>120</v>
      </c>
      <c r="D2805" s="6" t="s">
        <v>57</v>
      </c>
      <c r="E2805" s="14" t="n">
        <v>1096.32</v>
      </c>
      <c r="F2805" s="14" t="n">
        <v>4385.28</v>
      </c>
      <c r="G2805" s="6" t="s">
        <v>15614</v>
      </c>
    </row>
    <row r="2806" customFormat="false" ht="15" hidden="false" customHeight="true" outlineLevel="0" collapsed="false">
      <c r="A2806" s="6" t="s">
        <v>18418</v>
      </c>
      <c r="B2806" s="6" t="s">
        <v>1885</v>
      </c>
      <c r="C2806" s="6" t="s">
        <v>120</v>
      </c>
      <c r="D2806" s="6" t="s">
        <v>58</v>
      </c>
      <c r="E2806" s="14" t="n">
        <v>1096.32</v>
      </c>
      <c r="F2806" s="14" t="n">
        <v>5481.6</v>
      </c>
      <c r="G2806" s="6" t="s">
        <v>15614</v>
      </c>
    </row>
    <row r="2807" customFormat="false" ht="15" hidden="false" customHeight="true" outlineLevel="0" collapsed="false">
      <c r="A2807" s="6" t="s">
        <v>18419</v>
      </c>
      <c r="B2807" s="6" t="s">
        <v>1885</v>
      </c>
      <c r="C2807" s="6" t="s">
        <v>120</v>
      </c>
      <c r="D2807" s="6" t="s">
        <v>59</v>
      </c>
      <c r="E2807" s="14" t="n">
        <v>1096.32</v>
      </c>
      <c r="F2807" s="14" t="n">
        <v>6577.92</v>
      </c>
      <c r="G2807" s="6" t="s">
        <v>15614</v>
      </c>
    </row>
    <row r="2808" customFormat="false" ht="15" hidden="false" customHeight="true" outlineLevel="0" collapsed="false">
      <c r="A2808" s="6" t="s">
        <v>18420</v>
      </c>
      <c r="B2808" s="6" t="s">
        <v>1887</v>
      </c>
      <c r="C2808" s="6" t="s">
        <v>128</v>
      </c>
      <c r="D2808" s="6" t="s">
        <v>33</v>
      </c>
      <c r="E2808" s="14" t="n">
        <v>2740.8</v>
      </c>
      <c r="F2808" s="14" t="n">
        <v>2740.8</v>
      </c>
      <c r="G2808" s="6" t="s">
        <v>15614</v>
      </c>
    </row>
    <row r="2809" customFormat="false" ht="15" hidden="false" customHeight="true" outlineLevel="0" collapsed="false">
      <c r="A2809" s="6" t="s">
        <v>18421</v>
      </c>
      <c r="B2809" s="6" t="s">
        <v>1887</v>
      </c>
      <c r="C2809" s="6" t="s">
        <v>128</v>
      </c>
      <c r="D2809" s="6" t="s">
        <v>34</v>
      </c>
      <c r="E2809" s="14" t="n">
        <v>2740.8</v>
      </c>
      <c r="F2809" s="14" t="n">
        <v>5481.6</v>
      </c>
      <c r="G2809" s="6" t="s">
        <v>15614</v>
      </c>
    </row>
    <row r="2810" customFormat="false" ht="15" hidden="false" customHeight="true" outlineLevel="0" collapsed="false">
      <c r="A2810" s="6" t="s">
        <v>18422</v>
      </c>
      <c r="B2810" s="6" t="s">
        <v>1889</v>
      </c>
      <c r="C2810" s="6" t="s">
        <v>128</v>
      </c>
      <c r="D2810" s="6" t="s">
        <v>49</v>
      </c>
      <c r="E2810" s="14" t="n">
        <v>1436.75</v>
      </c>
      <c r="F2810" s="14" t="n">
        <v>1436.75</v>
      </c>
      <c r="G2810" s="6" t="s">
        <v>15614</v>
      </c>
    </row>
    <row r="2811" customFormat="false" ht="15" hidden="false" customHeight="true" outlineLevel="0" collapsed="false">
      <c r="A2811" s="6" t="s">
        <v>18423</v>
      </c>
      <c r="B2811" s="6" t="s">
        <v>1889</v>
      </c>
      <c r="C2811" s="6" t="s">
        <v>128</v>
      </c>
      <c r="D2811" s="6" t="s">
        <v>50</v>
      </c>
      <c r="E2811" s="14" t="n">
        <v>1436.75</v>
      </c>
      <c r="F2811" s="14" t="n">
        <v>2873.5</v>
      </c>
      <c r="G2811" s="6" t="s">
        <v>15614</v>
      </c>
    </row>
    <row r="2812" customFormat="false" ht="15" hidden="false" customHeight="true" outlineLevel="0" collapsed="false">
      <c r="A2812" s="6" t="s">
        <v>18424</v>
      </c>
      <c r="B2812" s="6" t="s">
        <v>1889</v>
      </c>
      <c r="C2812" s="6" t="s">
        <v>128</v>
      </c>
      <c r="D2812" s="6" t="s">
        <v>51</v>
      </c>
      <c r="E2812" s="14" t="n">
        <v>1436.75</v>
      </c>
      <c r="F2812" s="14" t="n">
        <v>4310.25</v>
      </c>
      <c r="G2812" s="6" t="s">
        <v>15614</v>
      </c>
    </row>
    <row r="2813" customFormat="false" ht="15" hidden="false" customHeight="true" outlineLevel="0" collapsed="false">
      <c r="A2813" s="6" t="s">
        <v>18425</v>
      </c>
      <c r="B2813" s="6" t="s">
        <v>1889</v>
      </c>
      <c r="C2813" s="6" t="s">
        <v>128</v>
      </c>
      <c r="D2813" s="6" t="s">
        <v>52</v>
      </c>
      <c r="E2813" s="14" t="n">
        <v>1436.75</v>
      </c>
      <c r="F2813" s="14" t="n">
        <v>5747</v>
      </c>
      <c r="G2813" s="6" t="s">
        <v>15614</v>
      </c>
    </row>
    <row r="2814" customFormat="false" ht="15" hidden="false" customHeight="true" outlineLevel="0" collapsed="false">
      <c r="A2814" s="6" t="s">
        <v>18426</v>
      </c>
      <c r="B2814" s="6" t="s">
        <v>1891</v>
      </c>
      <c r="C2814" s="6" t="s">
        <v>128</v>
      </c>
      <c r="D2814" s="6" t="s">
        <v>51</v>
      </c>
      <c r="E2814" s="14" t="n">
        <v>4757.81</v>
      </c>
      <c r="F2814" s="14" t="n">
        <v>4757.81</v>
      </c>
      <c r="G2814" s="6" t="s">
        <v>15614</v>
      </c>
    </row>
    <row r="2815" customFormat="false" ht="15" hidden="false" customHeight="true" outlineLevel="0" collapsed="false">
      <c r="A2815" s="6" t="s">
        <v>18427</v>
      </c>
      <c r="B2815" s="6" t="s">
        <v>1891</v>
      </c>
      <c r="C2815" s="6" t="s">
        <v>128</v>
      </c>
      <c r="D2815" s="6" t="s">
        <v>52</v>
      </c>
      <c r="E2815" s="14" t="n">
        <v>4757.81</v>
      </c>
      <c r="F2815" s="14" t="n">
        <v>9515.62</v>
      </c>
      <c r="G2815" s="6" t="s">
        <v>15614</v>
      </c>
    </row>
    <row r="2816" customFormat="false" ht="15" hidden="false" customHeight="true" outlineLevel="0" collapsed="false">
      <c r="A2816" s="6" t="s">
        <v>18428</v>
      </c>
      <c r="B2816" s="6" t="s">
        <v>1891</v>
      </c>
      <c r="C2816" s="6" t="s">
        <v>128</v>
      </c>
      <c r="D2816" s="6" t="s">
        <v>53</v>
      </c>
      <c r="E2816" s="14" t="n">
        <v>4757.81</v>
      </c>
      <c r="F2816" s="14" t="n">
        <v>14273.43</v>
      </c>
      <c r="G2816" s="6" t="s">
        <v>15614</v>
      </c>
    </row>
    <row r="2817" customFormat="false" ht="15" hidden="false" customHeight="true" outlineLevel="0" collapsed="false">
      <c r="A2817" s="6" t="s">
        <v>18429</v>
      </c>
      <c r="B2817" s="6" t="s">
        <v>1891</v>
      </c>
      <c r="C2817" s="6" t="s">
        <v>128</v>
      </c>
      <c r="D2817" s="6" t="s">
        <v>54</v>
      </c>
      <c r="E2817" s="14" t="n">
        <v>4757.81</v>
      </c>
      <c r="F2817" s="14" t="n">
        <v>19031.24</v>
      </c>
      <c r="G2817" s="6" t="s">
        <v>15614</v>
      </c>
    </row>
    <row r="2818" customFormat="false" ht="15" hidden="false" customHeight="true" outlineLevel="0" collapsed="false">
      <c r="A2818" s="6" t="s">
        <v>18430</v>
      </c>
      <c r="B2818" s="6" t="s">
        <v>1893</v>
      </c>
      <c r="C2818" s="6" t="s">
        <v>116</v>
      </c>
      <c r="D2818" s="6" t="s">
        <v>30</v>
      </c>
      <c r="E2818" s="14" t="n">
        <v>3124.09</v>
      </c>
      <c r="F2818" s="14" t="n">
        <v>3124.09</v>
      </c>
      <c r="G2818" s="6" t="s">
        <v>15614</v>
      </c>
    </row>
    <row r="2819" customFormat="false" ht="15" hidden="false" customHeight="true" outlineLevel="0" collapsed="false">
      <c r="A2819" s="6" t="s">
        <v>18431</v>
      </c>
      <c r="B2819" s="6" t="s">
        <v>1893</v>
      </c>
      <c r="C2819" s="6" t="s">
        <v>116</v>
      </c>
      <c r="D2819" s="6" t="s">
        <v>31</v>
      </c>
      <c r="E2819" s="14" t="n">
        <v>3124.09</v>
      </c>
      <c r="F2819" s="14" t="n">
        <v>6248.18</v>
      </c>
      <c r="G2819" s="6" t="s">
        <v>15614</v>
      </c>
    </row>
    <row r="2820" customFormat="false" ht="15" hidden="false" customHeight="true" outlineLevel="0" collapsed="false">
      <c r="A2820" s="6" t="s">
        <v>18432</v>
      </c>
      <c r="B2820" s="6" t="s">
        <v>1893</v>
      </c>
      <c r="C2820" s="6" t="s">
        <v>116</v>
      </c>
      <c r="D2820" s="6" t="s">
        <v>32</v>
      </c>
      <c r="E2820" s="14" t="n">
        <v>3124.09</v>
      </c>
      <c r="F2820" s="14" t="n">
        <v>9372.27</v>
      </c>
      <c r="G2820" s="6" t="s">
        <v>15614</v>
      </c>
    </row>
    <row r="2821" customFormat="false" ht="15" hidden="false" customHeight="true" outlineLevel="0" collapsed="false">
      <c r="A2821" s="6" t="s">
        <v>18433</v>
      </c>
      <c r="B2821" s="6" t="s">
        <v>1893</v>
      </c>
      <c r="C2821" s="6" t="s">
        <v>116</v>
      </c>
      <c r="D2821" s="6" t="s">
        <v>33</v>
      </c>
      <c r="E2821" s="14" t="n">
        <v>3124.09</v>
      </c>
      <c r="F2821" s="14" t="n">
        <v>12496.36</v>
      </c>
      <c r="G2821" s="6" t="s">
        <v>15614</v>
      </c>
    </row>
    <row r="2822" customFormat="false" ht="15" hidden="false" customHeight="true" outlineLevel="0" collapsed="false">
      <c r="A2822" s="6" t="s">
        <v>18434</v>
      </c>
      <c r="B2822" s="6" t="s">
        <v>1895</v>
      </c>
      <c r="C2822" s="6" t="s">
        <v>128</v>
      </c>
      <c r="D2822" s="6" t="s">
        <v>56</v>
      </c>
      <c r="E2822" s="14" t="n">
        <v>723.6</v>
      </c>
      <c r="F2822" s="14" t="n">
        <v>723.6</v>
      </c>
      <c r="G2822" s="6" t="s">
        <v>15614</v>
      </c>
    </row>
    <row r="2823" customFormat="false" ht="15" hidden="false" customHeight="true" outlineLevel="0" collapsed="false">
      <c r="A2823" s="6" t="s">
        <v>18435</v>
      </c>
      <c r="B2823" s="6" t="s">
        <v>1895</v>
      </c>
      <c r="C2823" s="6" t="s">
        <v>128</v>
      </c>
      <c r="D2823" s="6" t="s">
        <v>57</v>
      </c>
      <c r="E2823" s="14" t="n">
        <v>723.6</v>
      </c>
      <c r="F2823" s="14" t="n">
        <v>1447.2</v>
      </c>
      <c r="G2823" s="6" t="s">
        <v>15614</v>
      </c>
    </row>
    <row r="2824" customFormat="false" ht="15" hidden="false" customHeight="true" outlineLevel="0" collapsed="false">
      <c r="A2824" s="6" t="s">
        <v>18436</v>
      </c>
      <c r="B2824" s="6" t="s">
        <v>1895</v>
      </c>
      <c r="C2824" s="6" t="s">
        <v>128</v>
      </c>
      <c r="D2824" s="6" t="s">
        <v>58</v>
      </c>
      <c r="E2824" s="14" t="n">
        <v>723.6</v>
      </c>
      <c r="F2824" s="14" t="n">
        <v>2170.8</v>
      </c>
      <c r="G2824" s="6" t="s">
        <v>15614</v>
      </c>
    </row>
    <row r="2825" customFormat="false" ht="15" hidden="false" customHeight="true" outlineLevel="0" collapsed="false">
      <c r="A2825" s="6" t="s">
        <v>18437</v>
      </c>
      <c r="B2825" s="6" t="s">
        <v>1897</v>
      </c>
      <c r="C2825" s="6" t="s">
        <v>120</v>
      </c>
      <c r="D2825" s="6" t="s">
        <v>40</v>
      </c>
      <c r="E2825" s="14" t="n">
        <v>1705.15</v>
      </c>
      <c r="F2825" s="14" t="n">
        <v>1705.15</v>
      </c>
      <c r="G2825" s="6" t="s">
        <v>15614</v>
      </c>
    </row>
    <row r="2826" customFormat="false" ht="15" hidden="false" customHeight="true" outlineLevel="0" collapsed="false">
      <c r="A2826" s="6" t="s">
        <v>18438</v>
      </c>
      <c r="B2826" s="6" t="s">
        <v>1897</v>
      </c>
      <c r="C2826" s="6" t="s">
        <v>120</v>
      </c>
      <c r="D2826" s="6" t="s">
        <v>41</v>
      </c>
      <c r="E2826" s="14" t="n">
        <v>1705.15</v>
      </c>
      <c r="F2826" s="14" t="n">
        <v>3410.3</v>
      </c>
      <c r="G2826" s="6" t="s">
        <v>15614</v>
      </c>
    </row>
    <row r="2827" customFormat="false" ht="15" hidden="false" customHeight="true" outlineLevel="0" collapsed="false">
      <c r="A2827" s="6" t="s">
        <v>18439</v>
      </c>
      <c r="B2827" s="6" t="s">
        <v>1897</v>
      </c>
      <c r="C2827" s="6" t="s">
        <v>120</v>
      </c>
      <c r="D2827" s="6" t="s">
        <v>42</v>
      </c>
      <c r="E2827" s="14" t="n">
        <v>1705.15</v>
      </c>
      <c r="F2827" s="14" t="n">
        <v>5115.45</v>
      </c>
      <c r="G2827" s="6" t="s">
        <v>15614</v>
      </c>
    </row>
    <row r="2828" customFormat="false" ht="15" hidden="false" customHeight="true" outlineLevel="0" collapsed="false">
      <c r="A2828" s="6" t="s">
        <v>18440</v>
      </c>
      <c r="B2828" s="6" t="s">
        <v>1897</v>
      </c>
      <c r="C2828" s="6" t="s">
        <v>120</v>
      </c>
      <c r="D2828" s="6" t="s">
        <v>43</v>
      </c>
      <c r="E2828" s="14" t="n">
        <v>1705.15</v>
      </c>
      <c r="F2828" s="14" t="n">
        <v>6820.6</v>
      </c>
      <c r="G2828" s="6" t="s">
        <v>15614</v>
      </c>
    </row>
    <row r="2829" customFormat="false" ht="15" hidden="false" customHeight="true" outlineLevel="0" collapsed="false">
      <c r="A2829" s="6" t="s">
        <v>18441</v>
      </c>
      <c r="B2829" s="6" t="s">
        <v>1897</v>
      </c>
      <c r="C2829" s="6" t="s">
        <v>120</v>
      </c>
      <c r="D2829" s="6" t="s">
        <v>44</v>
      </c>
      <c r="E2829" s="14" t="n">
        <v>1705.15</v>
      </c>
      <c r="F2829" s="14" t="n">
        <v>8525.75</v>
      </c>
      <c r="G2829" s="6" t="s">
        <v>15614</v>
      </c>
    </row>
    <row r="2830" customFormat="false" ht="15" hidden="false" customHeight="true" outlineLevel="0" collapsed="false">
      <c r="A2830" s="6" t="s">
        <v>18442</v>
      </c>
      <c r="B2830" s="6" t="s">
        <v>1897</v>
      </c>
      <c r="C2830" s="6" t="s">
        <v>120</v>
      </c>
      <c r="D2830" s="6" t="s">
        <v>45</v>
      </c>
      <c r="E2830" s="14" t="n">
        <v>1705.15</v>
      </c>
      <c r="F2830" s="14" t="n">
        <v>10230.9</v>
      </c>
      <c r="G2830" s="6" t="s">
        <v>15614</v>
      </c>
    </row>
    <row r="2831" customFormat="false" ht="15" hidden="false" customHeight="true" outlineLevel="0" collapsed="false">
      <c r="A2831" s="6" t="s">
        <v>18443</v>
      </c>
      <c r="B2831" s="6" t="s">
        <v>1899</v>
      </c>
      <c r="C2831" s="6" t="s">
        <v>124</v>
      </c>
      <c r="D2831" s="6" t="s">
        <v>58</v>
      </c>
      <c r="E2831" s="14" t="n">
        <v>251.89</v>
      </c>
      <c r="F2831" s="14" t="n">
        <v>251.89</v>
      </c>
      <c r="G2831" s="6" t="s">
        <v>15614</v>
      </c>
    </row>
    <row r="2832" customFormat="false" ht="15" hidden="false" customHeight="true" outlineLevel="0" collapsed="false">
      <c r="A2832" s="6" t="s">
        <v>18444</v>
      </c>
      <c r="B2832" s="6" t="s">
        <v>1899</v>
      </c>
      <c r="C2832" s="6" t="s">
        <v>124</v>
      </c>
      <c r="D2832" s="6" t="s">
        <v>59</v>
      </c>
      <c r="E2832" s="14" t="n">
        <v>251.89</v>
      </c>
      <c r="F2832" s="14" t="n">
        <v>503.78</v>
      </c>
      <c r="G2832" s="6" t="s">
        <v>15614</v>
      </c>
    </row>
    <row r="2833" customFormat="false" ht="15" hidden="false" customHeight="true" outlineLevel="0" collapsed="false">
      <c r="A2833" s="6" t="s">
        <v>18445</v>
      </c>
      <c r="B2833" s="6" t="s">
        <v>1901</v>
      </c>
      <c r="C2833" s="6" t="s">
        <v>131</v>
      </c>
      <c r="D2833" s="6" t="s">
        <v>47</v>
      </c>
      <c r="E2833" s="14" t="n">
        <v>1478.53</v>
      </c>
      <c r="F2833" s="14" t="n">
        <v>1478.53</v>
      </c>
      <c r="G2833" s="6" t="s">
        <v>15614</v>
      </c>
    </row>
    <row r="2834" customFormat="false" ht="15" hidden="false" customHeight="true" outlineLevel="0" collapsed="false">
      <c r="A2834" s="6" t="s">
        <v>18446</v>
      </c>
      <c r="B2834" s="6" t="s">
        <v>1901</v>
      </c>
      <c r="C2834" s="6" t="s">
        <v>131</v>
      </c>
      <c r="D2834" s="6" t="s">
        <v>48</v>
      </c>
      <c r="E2834" s="14" t="n">
        <v>1478.53</v>
      </c>
      <c r="F2834" s="14" t="n">
        <v>2957.06</v>
      </c>
      <c r="G2834" s="6" t="s">
        <v>15614</v>
      </c>
    </row>
    <row r="2835" customFormat="false" ht="15" hidden="false" customHeight="true" outlineLevel="0" collapsed="false">
      <c r="A2835" s="6" t="s">
        <v>18447</v>
      </c>
      <c r="B2835" s="6" t="s">
        <v>1903</v>
      </c>
      <c r="C2835" s="6" t="s">
        <v>124</v>
      </c>
      <c r="D2835" s="6" t="s">
        <v>13</v>
      </c>
      <c r="E2835" s="14" t="n">
        <v>1340.45</v>
      </c>
      <c r="F2835" s="14" t="n">
        <v>1340.45</v>
      </c>
      <c r="G2835" s="6" t="s">
        <v>15614</v>
      </c>
    </row>
    <row r="2836" customFormat="false" ht="15" hidden="false" customHeight="true" outlineLevel="0" collapsed="false">
      <c r="A2836" s="6" t="s">
        <v>18448</v>
      </c>
      <c r="B2836" s="6" t="s">
        <v>1903</v>
      </c>
      <c r="C2836" s="6" t="s">
        <v>124</v>
      </c>
      <c r="D2836" s="6" t="s">
        <v>13</v>
      </c>
      <c r="E2836" s="14" t="n">
        <v>1340.45</v>
      </c>
      <c r="F2836" s="14" t="n">
        <v>2680.9</v>
      </c>
      <c r="G2836" s="6" t="s">
        <v>15614</v>
      </c>
    </row>
    <row r="2837" customFormat="false" ht="15" hidden="false" customHeight="true" outlineLevel="0" collapsed="false">
      <c r="A2837" s="6" t="s">
        <v>18449</v>
      </c>
      <c r="B2837" s="6" t="s">
        <v>1905</v>
      </c>
      <c r="C2837" s="6" t="s">
        <v>128</v>
      </c>
      <c r="D2837" s="6" t="s">
        <v>54</v>
      </c>
      <c r="E2837" s="14" t="n">
        <v>768.93</v>
      </c>
      <c r="F2837" s="14" t="n">
        <v>768.93</v>
      </c>
      <c r="G2837" s="6" t="s">
        <v>15614</v>
      </c>
    </row>
    <row r="2838" customFormat="false" ht="15" hidden="false" customHeight="true" outlineLevel="0" collapsed="false">
      <c r="A2838" s="6" t="s">
        <v>18450</v>
      </c>
      <c r="B2838" s="6" t="s">
        <v>1905</v>
      </c>
      <c r="C2838" s="6" t="s">
        <v>128</v>
      </c>
      <c r="D2838" s="6" t="s">
        <v>55</v>
      </c>
      <c r="E2838" s="14" t="n">
        <v>768.93</v>
      </c>
      <c r="F2838" s="14" t="n">
        <v>1537.86</v>
      </c>
      <c r="G2838" s="6" t="s">
        <v>15614</v>
      </c>
    </row>
    <row r="2839" customFormat="false" ht="15" hidden="false" customHeight="true" outlineLevel="0" collapsed="false">
      <c r="A2839" s="6" t="s">
        <v>18451</v>
      </c>
      <c r="B2839" s="6" t="s">
        <v>1905</v>
      </c>
      <c r="C2839" s="6" t="s">
        <v>128</v>
      </c>
      <c r="D2839" s="6" t="s">
        <v>56</v>
      </c>
      <c r="E2839" s="14" t="n">
        <v>768.93</v>
      </c>
      <c r="F2839" s="14" t="n">
        <v>2306.79</v>
      </c>
      <c r="G2839" s="6" t="s">
        <v>15614</v>
      </c>
    </row>
    <row r="2840" customFormat="false" ht="15" hidden="false" customHeight="true" outlineLevel="0" collapsed="false">
      <c r="A2840" s="6" t="s">
        <v>18452</v>
      </c>
      <c r="B2840" s="6" t="s">
        <v>1905</v>
      </c>
      <c r="C2840" s="6" t="s">
        <v>128</v>
      </c>
      <c r="D2840" s="6" t="s">
        <v>57</v>
      </c>
      <c r="E2840" s="14" t="n">
        <v>768.93</v>
      </c>
      <c r="F2840" s="14" t="n">
        <v>3075.72</v>
      </c>
      <c r="G2840" s="6" t="s">
        <v>15614</v>
      </c>
    </row>
    <row r="2841" customFormat="false" ht="15" hidden="false" customHeight="true" outlineLevel="0" collapsed="false">
      <c r="A2841" s="6" t="s">
        <v>18453</v>
      </c>
      <c r="B2841" s="6" t="s">
        <v>1907</v>
      </c>
      <c r="C2841" s="6" t="s">
        <v>124</v>
      </c>
      <c r="D2841" s="6" t="s">
        <v>15</v>
      </c>
      <c r="E2841" s="14" t="n">
        <v>2911.59</v>
      </c>
      <c r="F2841" s="14" t="n">
        <v>2911.59</v>
      </c>
      <c r="G2841" s="6" t="s">
        <v>15614</v>
      </c>
    </row>
    <row r="2842" customFormat="false" ht="15" hidden="false" customHeight="true" outlineLevel="0" collapsed="false">
      <c r="A2842" s="6" t="s">
        <v>18454</v>
      </c>
      <c r="B2842" s="6" t="s">
        <v>1907</v>
      </c>
      <c r="C2842" s="6" t="s">
        <v>124</v>
      </c>
      <c r="D2842" s="6" t="s">
        <v>16</v>
      </c>
      <c r="E2842" s="14" t="n">
        <v>2911.59</v>
      </c>
      <c r="F2842" s="14" t="n">
        <v>5823.18</v>
      </c>
      <c r="G2842" s="6" t="s">
        <v>15614</v>
      </c>
    </row>
    <row r="2843" customFormat="false" ht="15" hidden="false" customHeight="true" outlineLevel="0" collapsed="false">
      <c r="A2843" s="6" t="s">
        <v>18455</v>
      </c>
      <c r="B2843" s="6" t="s">
        <v>1909</v>
      </c>
      <c r="C2843" s="6" t="s">
        <v>120</v>
      </c>
      <c r="D2843" s="6" t="s">
        <v>51</v>
      </c>
      <c r="E2843" s="14" t="n">
        <v>1807.92</v>
      </c>
      <c r="F2843" s="14" t="n">
        <v>1807.92</v>
      </c>
      <c r="G2843" s="6" t="s">
        <v>15614</v>
      </c>
    </row>
    <row r="2844" customFormat="false" ht="15" hidden="false" customHeight="true" outlineLevel="0" collapsed="false">
      <c r="A2844" s="6" t="s">
        <v>18456</v>
      </c>
      <c r="B2844" s="6" t="s">
        <v>1909</v>
      </c>
      <c r="C2844" s="6" t="s">
        <v>120</v>
      </c>
      <c r="D2844" s="6" t="s">
        <v>52</v>
      </c>
      <c r="E2844" s="14" t="n">
        <v>1807.92</v>
      </c>
      <c r="F2844" s="14" t="n">
        <v>3615.84</v>
      </c>
      <c r="G2844" s="6" t="s">
        <v>15614</v>
      </c>
    </row>
    <row r="2845" customFormat="false" ht="15" hidden="false" customHeight="true" outlineLevel="0" collapsed="false">
      <c r="A2845" s="6" t="s">
        <v>18457</v>
      </c>
      <c r="B2845" s="6" t="s">
        <v>1909</v>
      </c>
      <c r="C2845" s="6" t="s">
        <v>120</v>
      </c>
      <c r="D2845" s="6" t="s">
        <v>53</v>
      </c>
      <c r="E2845" s="14" t="n">
        <v>1807.92</v>
      </c>
      <c r="F2845" s="14" t="n">
        <v>5423.76</v>
      </c>
      <c r="G2845" s="6" t="s">
        <v>15614</v>
      </c>
    </row>
    <row r="2846" customFormat="false" ht="15" hidden="false" customHeight="true" outlineLevel="0" collapsed="false">
      <c r="A2846" s="6" t="s">
        <v>18458</v>
      </c>
      <c r="B2846" s="6" t="s">
        <v>1909</v>
      </c>
      <c r="C2846" s="6" t="s">
        <v>120</v>
      </c>
      <c r="D2846" s="6" t="s">
        <v>54</v>
      </c>
      <c r="E2846" s="14" t="n">
        <v>1807.92</v>
      </c>
      <c r="F2846" s="14" t="n">
        <v>7231.68</v>
      </c>
      <c r="G2846" s="6" t="s">
        <v>15614</v>
      </c>
    </row>
    <row r="2847" customFormat="false" ht="15" hidden="false" customHeight="true" outlineLevel="0" collapsed="false">
      <c r="A2847" s="6" t="s">
        <v>18459</v>
      </c>
      <c r="B2847" s="6" t="s">
        <v>1911</v>
      </c>
      <c r="C2847" s="6" t="s">
        <v>131</v>
      </c>
      <c r="D2847" s="6" t="s">
        <v>36</v>
      </c>
      <c r="E2847" s="14" t="n">
        <v>4926.56</v>
      </c>
      <c r="F2847" s="14" t="n">
        <v>4926.56</v>
      </c>
      <c r="G2847" s="6" t="s">
        <v>15614</v>
      </c>
    </row>
    <row r="2848" customFormat="false" ht="15" hidden="false" customHeight="true" outlineLevel="0" collapsed="false">
      <c r="A2848" s="6" t="s">
        <v>18460</v>
      </c>
      <c r="B2848" s="6" t="s">
        <v>1911</v>
      </c>
      <c r="C2848" s="6" t="s">
        <v>131</v>
      </c>
      <c r="D2848" s="6" t="s">
        <v>37</v>
      </c>
      <c r="E2848" s="14" t="n">
        <v>4926.56</v>
      </c>
      <c r="F2848" s="14" t="n">
        <v>9853.12</v>
      </c>
      <c r="G2848" s="6" t="s">
        <v>15614</v>
      </c>
    </row>
    <row r="2849" customFormat="false" ht="15" hidden="false" customHeight="true" outlineLevel="0" collapsed="false">
      <c r="A2849" s="6" t="s">
        <v>18461</v>
      </c>
      <c r="B2849" s="6" t="s">
        <v>1913</v>
      </c>
      <c r="C2849" s="6" t="s">
        <v>112</v>
      </c>
      <c r="D2849" s="6" t="s">
        <v>42</v>
      </c>
      <c r="E2849" s="14" t="n">
        <v>2176.89</v>
      </c>
      <c r="F2849" s="14" t="n">
        <v>2176.89</v>
      </c>
      <c r="G2849" s="6" t="s">
        <v>15614</v>
      </c>
    </row>
    <row r="2850" customFormat="false" ht="15" hidden="false" customHeight="true" outlineLevel="0" collapsed="false">
      <c r="A2850" s="6" t="s">
        <v>18462</v>
      </c>
      <c r="B2850" s="6" t="s">
        <v>1913</v>
      </c>
      <c r="C2850" s="6" t="s">
        <v>112</v>
      </c>
      <c r="D2850" s="6" t="s">
        <v>43</v>
      </c>
      <c r="E2850" s="14" t="n">
        <v>2176.89</v>
      </c>
      <c r="F2850" s="14" t="n">
        <v>4353.78</v>
      </c>
      <c r="G2850" s="6" t="s">
        <v>15614</v>
      </c>
    </row>
    <row r="2851" customFormat="false" ht="15" hidden="false" customHeight="true" outlineLevel="0" collapsed="false">
      <c r="A2851" s="6" t="s">
        <v>18463</v>
      </c>
      <c r="B2851" s="6" t="s">
        <v>1913</v>
      </c>
      <c r="C2851" s="6" t="s">
        <v>112</v>
      </c>
      <c r="D2851" s="6" t="s">
        <v>44</v>
      </c>
      <c r="E2851" s="14" t="n">
        <v>2176.89</v>
      </c>
      <c r="F2851" s="14" t="n">
        <v>6530.67</v>
      </c>
      <c r="G2851" s="6" t="s">
        <v>15614</v>
      </c>
    </row>
    <row r="2852" customFormat="false" ht="15" hidden="false" customHeight="true" outlineLevel="0" collapsed="false">
      <c r="A2852" s="6" t="s">
        <v>18464</v>
      </c>
      <c r="B2852" s="6" t="s">
        <v>1913</v>
      </c>
      <c r="C2852" s="6" t="s">
        <v>112</v>
      </c>
      <c r="D2852" s="6" t="s">
        <v>45</v>
      </c>
      <c r="E2852" s="14" t="n">
        <v>2176.89</v>
      </c>
      <c r="F2852" s="14" t="n">
        <v>8707.56</v>
      </c>
      <c r="G2852" s="6" t="s">
        <v>15614</v>
      </c>
    </row>
    <row r="2853" customFormat="false" ht="15" hidden="false" customHeight="true" outlineLevel="0" collapsed="false">
      <c r="A2853" s="6" t="s">
        <v>18465</v>
      </c>
      <c r="B2853" s="6" t="s">
        <v>1915</v>
      </c>
      <c r="C2853" s="6" t="s">
        <v>112</v>
      </c>
      <c r="D2853" s="6" t="s">
        <v>63</v>
      </c>
      <c r="E2853" s="14" t="n">
        <v>2635.66</v>
      </c>
      <c r="F2853" s="14" t="n">
        <v>2635.66</v>
      </c>
      <c r="G2853" s="6" t="s">
        <v>15614</v>
      </c>
    </row>
    <row r="2854" customFormat="false" ht="15" hidden="false" customHeight="true" outlineLevel="0" collapsed="false">
      <c r="A2854" s="6" t="s">
        <v>18466</v>
      </c>
      <c r="B2854" s="6" t="s">
        <v>1915</v>
      </c>
      <c r="C2854" s="6" t="s">
        <v>112</v>
      </c>
      <c r="D2854" s="6" t="s">
        <v>64</v>
      </c>
      <c r="E2854" s="14" t="n">
        <v>2635.66</v>
      </c>
      <c r="F2854" s="14" t="n">
        <v>5271.32</v>
      </c>
      <c r="G2854" s="6" t="s">
        <v>15614</v>
      </c>
    </row>
    <row r="2855" customFormat="false" ht="15" hidden="false" customHeight="true" outlineLevel="0" collapsed="false">
      <c r="A2855" s="6" t="s">
        <v>18467</v>
      </c>
      <c r="B2855" s="6" t="s">
        <v>1917</v>
      </c>
      <c r="C2855" s="6" t="s">
        <v>116</v>
      </c>
      <c r="D2855" s="6" t="s">
        <v>31</v>
      </c>
      <c r="E2855" s="14" t="n">
        <v>2848.58</v>
      </c>
      <c r="F2855" s="14" t="n">
        <v>2848.58</v>
      </c>
      <c r="G2855" s="6" t="s">
        <v>15614</v>
      </c>
    </row>
    <row r="2856" customFormat="false" ht="15" hidden="false" customHeight="true" outlineLevel="0" collapsed="false">
      <c r="A2856" s="6" t="s">
        <v>18468</v>
      </c>
      <c r="B2856" s="6" t="s">
        <v>1917</v>
      </c>
      <c r="C2856" s="6" t="s">
        <v>116</v>
      </c>
      <c r="D2856" s="6" t="s">
        <v>32</v>
      </c>
      <c r="E2856" s="14" t="n">
        <v>2848.58</v>
      </c>
      <c r="F2856" s="14" t="n">
        <v>5697.16</v>
      </c>
      <c r="G2856" s="6" t="s">
        <v>15614</v>
      </c>
    </row>
    <row r="2857" customFormat="false" ht="15" hidden="false" customHeight="true" outlineLevel="0" collapsed="false">
      <c r="A2857" s="6" t="s">
        <v>18469</v>
      </c>
      <c r="B2857" s="6" t="s">
        <v>1919</v>
      </c>
      <c r="C2857" s="6" t="s">
        <v>131</v>
      </c>
      <c r="D2857" s="6" t="s">
        <v>22</v>
      </c>
      <c r="E2857" s="14" t="n">
        <v>882.42</v>
      </c>
      <c r="F2857" s="14" t="n">
        <v>882.42</v>
      </c>
      <c r="G2857" s="6" t="s">
        <v>15614</v>
      </c>
    </row>
    <row r="2858" customFormat="false" ht="15" hidden="false" customHeight="true" outlineLevel="0" collapsed="false">
      <c r="A2858" s="6" t="s">
        <v>18470</v>
      </c>
      <c r="B2858" s="6" t="s">
        <v>1919</v>
      </c>
      <c r="C2858" s="6" t="s">
        <v>131</v>
      </c>
      <c r="D2858" s="6" t="s">
        <v>23</v>
      </c>
      <c r="E2858" s="14" t="n">
        <v>882.42</v>
      </c>
      <c r="F2858" s="14" t="n">
        <v>1764.84</v>
      </c>
      <c r="G2858" s="6" t="s">
        <v>15614</v>
      </c>
    </row>
    <row r="2859" customFormat="false" ht="15" hidden="false" customHeight="true" outlineLevel="0" collapsed="false">
      <c r="A2859" s="6" t="s">
        <v>18471</v>
      </c>
      <c r="B2859" s="6" t="s">
        <v>1919</v>
      </c>
      <c r="C2859" s="6" t="s">
        <v>131</v>
      </c>
      <c r="D2859" s="6" t="s">
        <v>24</v>
      </c>
      <c r="E2859" s="14" t="n">
        <v>882.42</v>
      </c>
      <c r="F2859" s="14" t="n">
        <v>2647.26</v>
      </c>
      <c r="G2859" s="6" t="s">
        <v>15614</v>
      </c>
    </row>
    <row r="2860" customFormat="false" ht="15" hidden="false" customHeight="true" outlineLevel="0" collapsed="false">
      <c r="A2860" s="6" t="s">
        <v>18472</v>
      </c>
      <c r="B2860" s="6" t="s">
        <v>1919</v>
      </c>
      <c r="C2860" s="6" t="s">
        <v>131</v>
      </c>
      <c r="D2860" s="6" t="s">
        <v>25</v>
      </c>
      <c r="E2860" s="14" t="n">
        <v>882.42</v>
      </c>
      <c r="F2860" s="14" t="n">
        <v>3529.68</v>
      </c>
      <c r="G2860" s="6" t="s">
        <v>15614</v>
      </c>
    </row>
    <row r="2861" customFormat="false" ht="15" hidden="false" customHeight="true" outlineLevel="0" collapsed="false">
      <c r="A2861" s="6" t="s">
        <v>18473</v>
      </c>
      <c r="B2861" s="6" t="s">
        <v>1919</v>
      </c>
      <c r="C2861" s="6" t="s">
        <v>131</v>
      </c>
      <c r="D2861" s="6" t="s">
        <v>26</v>
      </c>
      <c r="E2861" s="14" t="n">
        <v>882.42</v>
      </c>
      <c r="F2861" s="14" t="n">
        <v>4412.1</v>
      </c>
      <c r="G2861" s="6" t="s">
        <v>15614</v>
      </c>
    </row>
    <row r="2862" customFormat="false" ht="15" hidden="false" customHeight="true" outlineLevel="0" collapsed="false">
      <c r="A2862" s="6" t="s">
        <v>18474</v>
      </c>
      <c r="B2862" s="6" t="s">
        <v>1921</v>
      </c>
      <c r="C2862" s="6" t="s">
        <v>112</v>
      </c>
      <c r="D2862" s="6" t="s">
        <v>58</v>
      </c>
      <c r="E2862" s="14" t="n">
        <v>1317.39</v>
      </c>
      <c r="F2862" s="14" t="n">
        <v>1317.39</v>
      </c>
      <c r="G2862" s="6" t="s">
        <v>15614</v>
      </c>
    </row>
    <row r="2863" customFormat="false" ht="15" hidden="false" customHeight="true" outlineLevel="0" collapsed="false">
      <c r="A2863" s="6" t="s">
        <v>18475</v>
      </c>
      <c r="B2863" s="6" t="s">
        <v>1921</v>
      </c>
      <c r="C2863" s="6" t="s">
        <v>112</v>
      </c>
      <c r="D2863" s="6" t="s">
        <v>59</v>
      </c>
      <c r="E2863" s="14" t="n">
        <v>1317.39</v>
      </c>
      <c r="F2863" s="14" t="n">
        <v>2634.78</v>
      </c>
      <c r="G2863" s="6" t="s">
        <v>15614</v>
      </c>
    </row>
    <row r="2864" customFormat="false" ht="15" hidden="false" customHeight="true" outlineLevel="0" collapsed="false">
      <c r="A2864" s="6" t="s">
        <v>18476</v>
      </c>
      <c r="B2864" s="6" t="s">
        <v>1923</v>
      </c>
      <c r="C2864" s="6" t="s">
        <v>112</v>
      </c>
      <c r="D2864" s="6" t="s">
        <v>24</v>
      </c>
      <c r="E2864" s="14" t="n">
        <v>3589.07</v>
      </c>
      <c r="F2864" s="14" t="n">
        <v>3589.07</v>
      </c>
      <c r="G2864" s="6" t="s">
        <v>15614</v>
      </c>
    </row>
    <row r="2865" customFormat="false" ht="15" hidden="false" customHeight="true" outlineLevel="0" collapsed="false">
      <c r="A2865" s="6" t="s">
        <v>18477</v>
      </c>
      <c r="B2865" s="6" t="s">
        <v>1923</v>
      </c>
      <c r="C2865" s="6" t="s">
        <v>112</v>
      </c>
      <c r="D2865" s="6" t="s">
        <v>25</v>
      </c>
      <c r="E2865" s="14" t="n">
        <v>3589.07</v>
      </c>
      <c r="F2865" s="14" t="n">
        <v>7178.14</v>
      </c>
      <c r="G2865" s="6" t="s">
        <v>15614</v>
      </c>
    </row>
    <row r="2866" customFormat="false" ht="15" hidden="false" customHeight="true" outlineLevel="0" collapsed="false">
      <c r="A2866" s="6" t="s">
        <v>18478</v>
      </c>
      <c r="B2866" s="6" t="s">
        <v>1925</v>
      </c>
      <c r="C2866" s="6" t="s">
        <v>128</v>
      </c>
      <c r="D2866" s="6" t="s">
        <v>27</v>
      </c>
      <c r="E2866" s="14" t="n">
        <v>2093.61</v>
      </c>
      <c r="F2866" s="14" t="n">
        <v>2093.61</v>
      </c>
      <c r="G2866" s="6" t="s">
        <v>15614</v>
      </c>
    </row>
    <row r="2867" customFormat="false" ht="15" hidden="false" customHeight="true" outlineLevel="0" collapsed="false">
      <c r="A2867" s="6" t="s">
        <v>18479</v>
      </c>
      <c r="B2867" s="6" t="s">
        <v>1925</v>
      </c>
      <c r="C2867" s="6" t="s">
        <v>128</v>
      </c>
      <c r="D2867" s="6" t="s">
        <v>28</v>
      </c>
      <c r="E2867" s="14" t="n">
        <v>2093.61</v>
      </c>
      <c r="F2867" s="14" t="n">
        <v>4187.22</v>
      </c>
      <c r="G2867" s="6" t="s">
        <v>15614</v>
      </c>
    </row>
    <row r="2868" customFormat="false" ht="15" hidden="false" customHeight="true" outlineLevel="0" collapsed="false">
      <c r="A2868" s="6" t="s">
        <v>18480</v>
      </c>
      <c r="B2868" s="6" t="s">
        <v>1925</v>
      </c>
      <c r="C2868" s="6" t="s">
        <v>128</v>
      </c>
      <c r="D2868" s="6" t="s">
        <v>29</v>
      </c>
      <c r="E2868" s="14" t="n">
        <v>2093.61</v>
      </c>
      <c r="F2868" s="14" t="n">
        <v>6280.83</v>
      </c>
      <c r="G2868" s="6" t="s">
        <v>15614</v>
      </c>
    </row>
    <row r="2869" customFormat="false" ht="15" hidden="false" customHeight="true" outlineLevel="0" collapsed="false">
      <c r="A2869" s="6" t="s">
        <v>18481</v>
      </c>
      <c r="B2869" s="6" t="s">
        <v>1925</v>
      </c>
      <c r="C2869" s="6" t="s">
        <v>128</v>
      </c>
      <c r="D2869" s="6" t="s">
        <v>30</v>
      </c>
      <c r="E2869" s="14" t="n">
        <v>2093.61</v>
      </c>
      <c r="F2869" s="14" t="n">
        <v>8374.44</v>
      </c>
      <c r="G2869" s="6" t="s">
        <v>15614</v>
      </c>
    </row>
    <row r="2870" customFormat="false" ht="15" hidden="false" customHeight="true" outlineLevel="0" collapsed="false">
      <c r="A2870" s="6" t="s">
        <v>18482</v>
      </c>
      <c r="B2870" s="6" t="s">
        <v>1927</v>
      </c>
      <c r="C2870" s="6" t="s">
        <v>131</v>
      </c>
      <c r="D2870" s="6" t="s">
        <v>12</v>
      </c>
      <c r="E2870" s="14" t="n">
        <v>4575.46</v>
      </c>
      <c r="F2870" s="14" t="n">
        <v>4575.46</v>
      </c>
      <c r="G2870" s="6" t="s">
        <v>15614</v>
      </c>
    </row>
    <row r="2871" customFormat="false" ht="15" hidden="false" customHeight="true" outlineLevel="0" collapsed="false">
      <c r="A2871" s="6" t="s">
        <v>18483</v>
      </c>
      <c r="B2871" s="6" t="s">
        <v>1927</v>
      </c>
      <c r="C2871" s="6" t="s">
        <v>131</v>
      </c>
      <c r="D2871" s="6" t="s">
        <v>13</v>
      </c>
      <c r="E2871" s="14" t="n">
        <v>4575.46</v>
      </c>
      <c r="F2871" s="14" t="n">
        <v>9150.92</v>
      </c>
      <c r="G2871" s="6" t="s">
        <v>15614</v>
      </c>
    </row>
    <row r="2872" customFormat="false" ht="15" hidden="false" customHeight="true" outlineLevel="0" collapsed="false">
      <c r="A2872" s="6" t="s">
        <v>18484</v>
      </c>
      <c r="B2872" s="6" t="s">
        <v>1927</v>
      </c>
      <c r="C2872" s="6" t="s">
        <v>131</v>
      </c>
      <c r="D2872" s="6" t="s">
        <v>14</v>
      </c>
      <c r="E2872" s="14" t="n">
        <v>4575.46</v>
      </c>
      <c r="F2872" s="14" t="n">
        <v>13726.38</v>
      </c>
      <c r="G2872" s="6" t="s">
        <v>15614</v>
      </c>
    </row>
    <row r="2873" customFormat="false" ht="15" hidden="false" customHeight="true" outlineLevel="0" collapsed="false">
      <c r="A2873" s="6" t="s">
        <v>18485</v>
      </c>
      <c r="B2873" s="6" t="s">
        <v>1929</v>
      </c>
      <c r="C2873" s="6" t="s">
        <v>124</v>
      </c>
      <c r="D2873" s="6" t="s">
        <v>33</v>
      </c>
      <c r="E2873" s="14" t="n">
        <v>965.31</v>
      </c>
      <c r="F2873" s="14" t="n">
        <v>965.31</v>
      </c>
      <c r="G2873" s="6" t="s">
        <v>15614</v>
      </c>
    </row>
    <row r="2874" customFormat="false" ht="15" hidden="false" customHeight="true" outlineLevel="0" collapsed="false">
      <c r="A2874" s="6" t="s">
        <v>18486</v>
      </c>
      <c r="B2874" s="6" t="s">
        <v>1929</v>
      </c>
      <c r="C2874" s="6" t="s">
        <v>124</v>
      </c>
      <c r="D2874" s="6" t="s">
        <v>34</v>
      </c>
      <c r="E2874" s="14" t="n">
        <v>965.31</v>
      </c>
      <c r="F2874" s="14" t="n">
        <v>1930.62</v>
      </c>
      <c r="G2874" s="6" t="s">
        <v>15614</v>
      </c>
    </row>
    <row r="2875" customFormat="false" ht="15" hidden="false" customHeight="true" outlineLevel="0" collapsed="false">
      <c r="A2875" s="6" t="s">
        <v>18487</v>
      </c>
      <c r="B2875" s="6" t="s">
        <v>1931</v>
      </c>
      <c r="C2875" s="6" t="s">
        <v>131</v>
      </c>
      <c r="D2875" s="6" t="s">
        <v>49</v>
      </c>
      <c r="E2875" s="14" t="n">
        <v>1786.4</v>
      </c>
      <c r="F2875" s="14" t="n">
        <v>1786.4</v>
      </c>
      <c r="G2875" s="6" t="s">
        <v>15614</v>
      </c>
    </row>
    <row r="2876" customFormat="false" ht="15" hidden="false" customHeight="true" outlineLevel="0" collapsed="false">
      <c r="A2876" s="6" t="s">
        <v>18488</v>
      </c>
      <c r="B2876" s="6" t="s">
        <v>1931</v>
      </c>
      <c r="C2876" s="6" t="s">
        <v>131</v>
      </c>
      <c r="D2876" s="6" t="s">
        <v>50</v>
      </c>
      <c r="E2876" s="14" t="n">
        <v>1786.4</v>
      </c>
      <c r="F2876" s="14" t="n">
        <v>3572.8</v>
      </c>
      <c r="G2876" s="6" t="s">
        <v>15614</v>
      </c>
    </row>
    <row r="2877" customFormat="false" ht="15" hidden="false" customHeight="true" outlineLevel="0" collapsed="false">
      <c r="A2877" s="6" t="s">
        <v>18489</v>
      </c>
      <c r="B2877" s="6" t="s">
        <v>1931</v>
      </c>
      <c r="C2877" s="6" t="s">
        <v>131</v>
      </c>
      <c r="D2877" s="6" t="s">
        <v>51</v>
      </c>
      <c r="E2877" s="14" t="n">
        <v>1786.4</v>
      </c>
      <c r="F2877" s="14" t="n">
        <v>5359.2</v>
      </c>
      <c r="G2877" s="6" t="s">
        <v>15614</v>
      </c>
    </row>
    <row r="2878" customFormat="false" ht="15" hidden="false" customHeight="true" outlineLevel="0" collapsed="false">
      <c r="A2878" s="6" t="s">
        <v>18490</v>
      </c>
      <c r="B2878" s="6" t="s">
        <v>1931</v>
      </c>
      <c r="C2878" s="6" t="s">
        <v>131</v>
      </c>
      <c r="D2878" s="6" t="s">
        <v>52</v>
      </c>
      <c r="E2878" s="14" t="n">
        <v>1786.4</v>
      </c>
      <c r="F2878" s="14" t="n">
        <v>7145.6</v>
      </c>
      <c r="G2878" s="6" t="s">
        <v>15614</v>
      </c>
    </row>
    <row r="2879" customFormat="false" ht="15" hidden="false" customHeight="true" outlineLevel="0" collapsed="false">
      <c r="A2879" s="6" t="s">
        <v>18491</v>
      </c>
      <c r="B2879" s="6" t="s">
        <v>1931</v>
      </c>
      <c r="C2879" s="6" t="s">
        <v>131</v>
      </c>
      <c r="D2879" s="6" t="s">
        <v>53</v>
      </c>
      <c r="E2879" s="14" t="n">
        <v>1786.4</v>
      </c>
      <c r="F2879" s="14" t="n">
        <v>8932</v>
      </c>
      <c r="G2879" s="6" t="s">
        <v>15614</v>
      </c>
    </row>
    <row r="2880" customFormat="false" ht="15" hidden="false" customHeight="true" outlineLevel="0" collapsed="false">
      <c r="A2880" s="6" t="s">
        <v>18492</v>
      </c>
      <c r="B2880" s="6" t="s">
        <v>1931</v>
      </c>
      <c r="C2880" s="6" t="s">
        <v>131</v>
      </c>
      <c r="D2880" s="6" t="s">
        <v>54</v>
      </c>
      <c r="E2880" s="14" t="n">
        <v>1786.4</v>
      </c>
      <c r="F2880" s="14" t="n">
        <v>10718.4</v>
      </c>
      <c r="G2880" s="6" t="s">
        <v>15614</v>
      </c>
    </row>
    <row r="2881" customFormat="false" ht="15" hidden="false" customHeight="true" outlineLevel="0" collapsed="false">
      <c r="A2881" s="6" t="s">
        <v>18493</v>
      </c>
      <c r="B2881" s="6" t="s">
        <v>1933</v>
      </c>
      <c r="C2881" s="6" t="s">
        <v>120</v>
      </c>
      <c r="D2881" s="6" t="s">
        <v>18</v>
      </c>
      <c r="E2881" s="14" t="n">
        <v>1098.4</v>
      </c>
      <c r="F2881" s="14" t="n">
        <v>1098.4</v>
      </c>
      <c r="G2881" s="6" t="s">
        <v>15614</v>
      </c>
    </row>
    <row r="2882" customFormat="false" ht="15" hidden="false" customHeight="true" outlineLevel="0" collapsed="false">
      <c r="A2882" s="6" t="s">
        <v>18494</v>
      </c>
      <c r="B2882" s="6" t="s">
        <v>1933</v>
      </c>
      <c r="C2882" s="6" t="s">
        <v>120</v>
      </c>
      <c r="D2882" s="6" t="s">
        <v>19</v>
      </c>
      <c r="E2882" s="14" t="n">
        <v>1098.4</v>
      </c>
      <c r="F2882" s="14" t="n">
        <v>2196.8</v>
      </c>
      <c r="G2882" s="6" t="s">
        <v>15614</v>
      </c>
    </row>
    <row r="2883" customFormat="false" ht="15" hidden="false" customHeight="true" outlineLevel="0" collapsed="false">
      <c r="A2883" s="6" t="s">
        <v>18495</v>
      </c>
      <c r="B2883" s="6" t="s">
        <v>1933</v>
      </c>
      <c r="C2883" s="6" t="s">
        <v>120</v>
      </c>
      <c r="D2883" s="6" t="s">
        <v>20</v>
      </c>
      <c r="E2883" s="14" t="n">
        <v>1098.4</v>
      </c>
      <c r="F2883" s="14" t="n">
        <v>3295.2</v>
      </c>
      <c r="G2883" s="6" t="s">
        <v>15614</v>
      </c>
    </row>
    <row r="2884" customFormat="false" ht="15" hidden="false" customHeight="true" outlineLevel="0" collapsed="false">
      <c r="A2884" s="6" t="s">
        <v>18496</v>
      </c>
      <c r="B2884" s="6" t="s">
        <v>1933</v>
      </c>
      <c r="C2884" s="6" t="s">
        <v>120</v>
      </c>
      <c r="D2884" s="6" t="s">
        <v>21</v>
      </c>
      <c r="E2884" s="14" t="n">
        <v>1098.4</v>
      </c>
      <c r="F2884" s="14" t="n">
        <v>4393.6</v>
      </c>
      <c r="G2884" s="6" t="s">
        <v>15614</v>
      </c>
    </row>
    <row r="2885" customFormat="false" ht="15" hidden="false" customHeight="true" outlineLevel="0" collapsed="false">
      <c r="A2885" s="6" t="s">
        <v>18497</v>
      </c>
      <c r="B2885" s="6" t="s">
        <v>1935</v>
      </c>
      <c r="C2885" s="6" t="s">
        <v>131</v>
      </c>
      <c r="D2885" s="6" t="s">
        <v>16</v>
      </c>
      <c r="E2885" s="14" t="n">
        <v>1409.23</v>
      </c>
      <c r="F2885" s="14" t="n">
        <v>1409.23</v>
      </c>
      <c r="G2885" s="6" t="s">
        <v>15614</v>
      </c>
    </row>
    <row r="2886" customFormat="false" ht="15" hidden="false" customHeight="true" outlineLevel="0" collapsed="false">
      <c r="A2886" s="6" t="s">
        <v>18498</v>
      </c>
      <c r="B2886" s="6" t="s">
        <v>1935</v>
      </c>
      <c r="C2886" s="6" t="s">
        <v>131</v>
      </c>
      <c r="D2886" s="6" t="s">
        <v>17</v>
      </c>
      <c r="E2886" s="14" t="n">
        <v>1409.23</v>
      </c>
      <c r="F2886" s="14" t="n">
        <v>2818.46</v>
      </c>
      <c r="G2886" s="6" t="s">
        <v>15614</v>
      </c>
    </row>
    <row r="2887" customFormat="false" ht="15" hidden="false" customHeight="true" outlineLevel="0" collapsed="false">
      <c r="A2887" s="6" t="s">
        <v>18499</v>
      </c>
      <c r="B2887" s="6" t="s">
        <v>1935</v>
      </c>
      <c r="C2887" s="6" t="s">
        <v>131</v>
      </c>
      <c r="D2887" s="6" t="s">
        <v>18</v>
      </c>
      <c r="E2887" s="14" t="n">
        <v>1409.23</v>
      </c>
      <c r="F2887" s="14" t="n">
        <v>4227.69</v>
      </c>
      <c r="G2887" s="6" t="s">
        <v>15614</v>
      </c>
    </row>
    <row r="2888" customFormat="false" ht="15" hidden="false" customHeight="true" outlineLevel="0" collapsed="false">
      <c r="A2888" s="6" t="s">
        <v>18500</v>
      </c>
      <c r="B2888" s="6" t="s">
        <v>1935</v>
      </c>
      <c r="C2888" s="6" t="s">
        <v>131</v>
      </c>
      <c r="D2888" s="6" t="s">
        <v>19</v>
      </c>
      <c r="E2888" s="14" t="n">
        <v>1409.23</v>
      </c>
      <c r="F2888" s="14" t="n">
        <v>5636.92</v>
      </c>
      <c r="G2888" s="6" t="s">
        <v>15614</v>
      </c>
    </row>
    <row r="2889" customFormat="false" ht="15" hidden="false" customHeight="true" outlineLevel="0" collapsed="false">
      <c r="A2889" s="6" t="s">
        <v>18501</v>
      </c>
      <c r="B2889" s="6" t="s">
        <v>1935</v>
      </c>
      <c r="C2889" s="6" t="s">
        <v>131</v>
      </c>
      <c r="D2889" s="6" t="s">
        <v>20</v>
      </c>
      <c r="E2889" s="14" t="n">
        <v>1409.23</v>
      </c>
      <c r="F2889" s="14" t="n">
        <v>7046.15</v>
      </c>
      <c r="G2889" s="6" t="s">
        <v>15614</v>
      </c>
    </row>
    <row r="2890" customFormat="false" ht="15" hidden="false" customHeight="true" outlineLevel="0" collapsed="false">
      <c r="A2890" s="6" t="s">
        <v>18502</v>
      </c>
      <c r="B2890" s="6" t="s">
        <v>1935</v>
      </c>
      <c r="C2890" s="6" t="s">
        <v>131</v>
      </c>
      <c r="D2890" s="6" t="s">
        <v>21</v>
      </c>
      <c r="E2890" s="14" t="n">
        <v>1409.23</v>
      </c>
      <c r="F2890" s="14" t="n">
        <v>8455.38</v>
      </c>
      <c r="G2890" s="6" t="s">
        <v>15614</v>
      </c>
    </row>
    <row r="2891" customFormat="false" ht="15" hidden="false" customHeight="true" outlineLevel="0" collapsed="false">
      <c r="A2891" s="6" t="s">
        <v>18503</v>
      </c>
      <c r="B2891" s="6" t="s">
        <v>1937</v>
      </c>
      <c r="C2891" s="6" t="s">
        <v>131</v>
      </c>
      <c r="D2891" s="6" t="s">
        <v>58</v>
      </c>
      <c r="E2891" s="14" t="n">
        <v>285.19</v>
      </c>
      <c r="F2891" s="14" t="n">
        <v>285.19</v>
      </c>
      <c r="G2891" s="6" t="s">
        <v>15614</v>
      </c>
    </row>
    <row r="2892" customFormat="false" ht="15" hidden="false" customHeight="true" outlineLevel="0" collapsed="false">
      <c r="A2892" s="6" t="s">
        <v>18504</v>
      </c>
      <c r="B2892" s="6" t="s">
        <v>1937</v>
      </c>
      <c r="C2892" s="6" t="s">
        <v>131</v>
      </c>
      <c r="D2892" s="6" t="s">
        <v>59</v>
      </c>
      <c r="E2892" s="14" t="n">
        <v>285.19</v>
      </c>
      <c r="F2892" s="14" t="n">
        <v>570.38</v>
      </c>
      <c r="G2892" s="6" t="s">
        <v>15614</v>
      </c>
    </row>
    <row r="2893" customFormat="false" ht="15" hidden="false" customHeight="true" outlineLevel="0" collapsed="false">
      <c r="A2893" s="6" t="s">
        <v>18505</v>
      </c>
      <c r="B2893" s="6" t="s">
        <v>1937</v>
      </c>
      <c r="C2893" s="6" t="s">
        <v>131</v>
      </c>
      <c r="D2893" s="6" t="s">
        <v>60</v>
      </c>
      <c r="E2893" s="14" t="n">
        <v>285.19</v>
      </c>
      <c r="F2893" s="14" t="n">
        <v>855.57</v>
      </c>
      <c r="G2893" s="6" t="s">
        <v>15614</v>
      </c>
    </row>
    <row r="2894" customFormat="false" ht="15" hidden="false" customHeight="true" outlineLevel="0" collapsed="false">
      <c r="A2894" s="6" t="s">
        <v>18506</v>
      </c>
      <c r="B2894" s="6" t="s">
        <v>1937</v>
      </c>
      <c r="C2894" s="6" t="s">
        <v>131</v>
      </c>
      <c r="D2894" s="6" t="s">
        <v>61</v>
      </c>
      <c r="E2894" s="14" t="n">
        <v>285.19</v>
      </c>
      <c r="F2894" s="14" t="n">
        <v>1140.76</v>
      </c>
      <c r="G2894" s="6" t="s">
        <v>15614</v>
      </c>
    </row>
    <row r="2895" customFormat="false" ht="15" hidden="false" customHeight="true" outlineLevel="0" collapsed="false">
      <c r="A2895" s="6" t="s">
        <v>18507</v>
      </c>
      <c r="B2895" s="6" t="s">
        <v>1937</v>
      </c>
      <c r="C2895" s="6" t="s">
        <v>131</v>
      </c>
      <c r="D2895" s="6" t="s">
        <v>62</v>
      </c>
      <c r="E2895" s="14" t="n">
        <v>285.19</v>
      </c>
      <c r="F2895" s="14" t="n">
        <v>1425.95</v>
      </c>
      <c r="G2895" s="6" t="s">
        <v>15614</v>
      </c>
    </row>
    <row r="2896" customFormat="false" ht="15" hidden="false" customHeight="true" outlineLevel="0" collapsed="false">
      <c r="A2896" s="6" t="s">
        <v>18508</v>
      </c>
      <c r="B2896" s="6" t="s">
        <v>1939</v>
      </c>
      <c r="C2896" s="6" t="s">
        <v>116</v>
      </c>
      <c r="D2896" s="6" t="s">
        <v>11</v>
      </c>
      <c r="E2896" s="14" t="n">
        <v>1186.88</v>
      </c>
      <c r="F2896" s="14" t="n">
        <v>1186.88</v>
      </c>
      <c r="G2896" s="6" t="s">
        <v>15614</v>
      </c>
    </row>
    <row r="2897" customFormat="false" ht="15" hidden="false" customHeight="true" outlineLevel="0" collapsed="false">
      <c r="A2897" s="6" t="s">
        <v>18509</v>
      </c>
      <c r="B2897" s="6" t="s">
        <v>1939</v>
      </c>
      <c r="C2897" s="6" t="s">
        <v>116</v>
      </c>
      <c r="D2897" s="6" t="s">
        <v>12</v>
      </c>
      <c r="E2897" s="14" t="n">
        <v>1186.88</v>
      </c>
      <c r="F2897" s="14" t="n">
        <v>2373.76</v>
      </c>
      <c r="G2897" s="6" t="s">
        <v>15614</v>
      </c>
    </row>
    <row r="2898" customFormat="false" ht="15" hidden="false" customHeight="true" outlineLevel="0" collapsed="false">
      <c r="A2898" s="6" t="s">
        <v>18510</v>
      </c>
      <c r="B2898" s="6" t="s">
        <v>1939</v>
      </c>
      <c r="C2898" s="6" t="s">
        <v>116</v>
      </c>
      <c r="D2898" s="6" t="s">
        <v>13</v>
      </c>
      <c r="E2898" s="14" t="n">
        <v>1186.88</v>
      </c>
      <c r="F2898" s="14" t="n">
        <v>3560.64</v>
      </c>
      <c r="G2898" s="6" t="s">
        <v>15614</v>
      </c>
    </row>
    <row r="2899" customFormat="false" ht="15" hidden="false" customHeight="true" outlineLevel="0" collapsed="false">
      <c r="A2899" s="6" t="s">
        <v>18511</v>
      </c>
      <c r="B2899" s="6" t="s">
        <v>1939</v>
      </c>
      <c r="C2899" s="6" t="s">
        <v>116</v>
      </c>
      <c r="D2899" s="6" t="s">
        <v>14</v>
      </c>
      <c r="E2899" s="14" t="n">
        <v>1186.88</v>
      </c>
      <c r="F2899" s="14" t="n">
        <v>4747.52</v>
      </c>
      <c r="G2899" s="6" t="s">
        <v>15614</v>
      </c>
    </row>
    <row r="2900" customFormat="false" ht="15" hidden="false" customHeight="true" outlineLevel="0" collapsed="false">
      <c r="A2900" s="6" t="s">
        <v>18512</v>
      </c>
      <c r="B2900" s="6" t="s">
        <v>1939</v>
      </c>
      <c r="C2900" s="6" t="s">
        <v>116</v>
      </c>
      <c r="D2900" s="6" t="s">
        <v>15</v>
      </c>
      <c r="E2900" s="14" t="n">
        <v>1186.88</v>
      </c>
      <c r="F2900" s="14" t="n">
        <v>5934.4</v>
      </c>
      <c r="G2900" s="6" t="s">
        <v>15614</v>
      </c>
    </row>
    <row r="2901" customFormat="false" ht="15" hidden="false" customHeight="true" outlineLevel="0" collapsed="false">
      <c r="A2901" s="6" t="s">
        <v>18513</v>
      </c>
      <c r="B2901" s="6" t="s">
        <v>1939</v>
      </c>
      <c r="C2901" s="6" t="s">
        <v>116</v>
      </c>
      <c r="D2901" s="6" t="s">
        <v>16</v>
      </c>
      <c r="E2901" s="14" t="n">
        <v>1186.88</v>
      </c>
      <c r="F2901" s="14" t="n">
        <v>7121.28</v>
      </c>
      <c r="G2901" s="6" t="s">
        <v>15614</v>
      </c>
    </row>
    <row r="2902" customFormat="false" ht="15" hidden="false" customHeight="true" outlineLevel="0" collapsed="false">
      <c r="A2902" s="6" t="s">
        <v>18514</v>
      </c>
      <c r="B2902" s="6" t="s">
        <v>1941</v>
      </c>
      <c r="C2902" s="6" t="s">
        <v>131</v>
      </c>
      <c r="D2902" s="6" t="s">
        <v>59</v>
      </c>
      <c r="E2902" s="14" t="n">
        <v>2212.39</v>
      </c>
      <c r="F2902" s="14" t="n">
        <v>2212.39</v>
      </c>
      <c r="G2902" s="6" t="s">
        <v>15614</v>
      </c>
    </row>
    <row r="2903" customFormat="false" ht="15" hidden="false" customHeight="true" outlineLevel="0" collapsed="false">
      <c r="A2903" s="6" t="s">
        <v>18515</v>
      </c>
      <c r="B2903" s="6" t="s">
        <v>1941</v>
      </c>
      <c r="C2903" s="6" t="s">
        <v>131</v>
      </c>
      <c r="D2903" s="6" t="s">
        <v>60</v>
      </c>
      <c r="E2903" s="14" t="n">
        <v>2212.39</v>
      </c>
      <c r="F2903" s="14" t="n">
        <v>4424.78</v>
      </c>
      <c r="G2903" s="6" t="s">
        <v>15614</v>
      </c>
    </row>
    <row r="2904" customFormat="false" ht="15" hidden="false" customHeight="true" outlineLevel="0" collapsed="false">
      <c r="A2904" s="6" t="s">
        <v>18516</v>
      </c>
      <c r="B2904" s="6" t="s">
        <v>1941</v>
      </c>
      <c r="C2904" s="6" t="s">
        <v>131</v>
      </c>
      <c r="D2904" s="6" t="s">
        <v>61</v>
      </c>
      <c r="E2904" s="14" t="n">
        <v>2212.39</v>
      </c>
      <c r="F2904" s="14" t="n">
        <v>6637.17</v>
      </c>
      <c r="G2904" s="6" t="s">
        <v>15614</v>
      </c>
    </row>
    <row r="2905" customFormat="false" ht="15" hidden="false" customHeight="true" outlineLevel="0" collapsed="false">
      <c r="A2905" s="6" t="s">
        <v>18517</v>
      </c>
      <c r="B2905" s="6" t="s">
        <v>1941</v>
      </c>
      <c r="C2905" s="6" t="s">
        <v>131</v>
      </c>
      <c r="D2905" s="6" t="s">
        <v>62</v>
      </c>
      <c r="E2905" s="14" t="n">
        <v>2212.39</v>
      </c>
      <c r="F2905" s="14" t="n">
        <v>8849.56</v>
      </c>
      <c r="G2905" s="6" t="s">
        <v>15614</v>
      </c>
    </row>
    <row r="2906" customFormat="false" ht="15" hidden="false" customHeight="true" outlineLevel="0" collapsed="false">
      <c r="A2906" s="6" t="s">
        <v>18518</v>
      </c>
      <c r="B2906" s="6" t="s">
        <v>1941</v>
      </c>
      <c r="C2906" s="6" t="s">
        <v>131</v>
      </c>
      <c r="D2906" s="6" t="s">
        <v>63</v>
      </c>
      <c r="E2906" s="14" t="n">
        <v>2212.39</v>
      </c>
      <c r="F2906" s="14" t="n">
        <v>11061.95</v>
      </c>
      <c r="G2906" s="6" t="s">
        <v>15614</v>
      </c>
    </row>
    <row r="2907" customFormat="false" ht="15" hidden="false" customHeight="true" outlineLevel="0" collapsed="false">
      <c r="A2907" s="6" t="s">
        <v>18519</v>
      </c>
      <c r="B2907" s="6" t="s">
        <v>1941</v>
      </c>
      <c r="C2907" s="6" t="s">
        <v>131</v>
      </c>
      <c r="D2907" s="6" t="s">
        <v>64</v>
      </c>
      <c r="E2907" s="14" t="n">
        <v>2212.39</v>
      </c>
      <c r="F2907" s="14" t="n">
        <v>13274.34</v>
      </c>
      <c r="G2907" s="6" t="s">
        <v>15614</v>
      </c>
    </row>
    <row r="2908" customFormat="false" ht="15" hidden="false" customHeight="true" outlineLevel="0" collapsed="false">
      <c r="A2908" s="6" t="s">
        <v>18520</v>
      </c>
      <c r="B2908" s="6" t="s">
        <v>1941</v>
      </c>
      <c r="C2908" s="6" t="s">
        <v>131</v>
      </c>
      <c r="D2908" s="6" t="s">
        <v>65</v>
      </c>
      <c r="E2908" s="14" t="n">
        <v>2212.39</v>
      </c>
      <c r="F2908" s="14" t="n">
        <v>15486.73</v>
      </c>
      <c r="G2908" s="6" t="s">
        <v>15614</v>
      </c>
    </row>
    <row r="2909" customFormat="false" ht="15" hidden="false" customHeight="true" outlineLevel="0" collapsed="false">
      <c r="A2909" s="6" t="s">
        <v>18521</v>
      </c>
      <c r="B2909" s="6" t="s">
        <v>1943</v>
      </c>
      <c r="C2909" s="6" t="s">
        <v>124</v>
      </c>
      <c r="D2909" s="6" t="s">
        <v>41</v>
      </c>
      <c r="E2909" s="14" t="n">
        <v>4676.44</v>
      </c>
      <c r="F2909" s="14" t="n">
        <v>4676.44</v>
      </c>
      <c r="G2909" s="6" t="s">
        <v>15614</v>
      </c>
    </row>
    <row r="2910" customFormat="false" ht="15" hidden="false" customHeight="true" outlineLevel="0" collapsed="false">
      <c r="A2910" s="6" t="s">
        <v>18522</v>
      </c>
      <c r="B2910" s="6" t="s">
        <v>1943</v>
      </c>
      <c r="C2910" s="6" t="s">
        <v>124</v>
      </c>
      <c r="D2910" s="6" t="s">
        <v>42</v>
      </c>
      <c r="E2910" s="14" t="n">
        <v>4676.44</v>
      </c>
      <c r="F2910" s="14" t="n">
        <v>9352.88</v>
      </c>
      <c r="G2910" s="6" t="s">
        <v>15614</v>
      </c>
    </row>
    <row r="2911" customFormat="false" ht="15" hidden="false" customHeight="true" outlineLevel="0" collapsed="false">
      <c r="A2911" s="6" t="s">
        <v>18523</v>
      </c>
      <c r="B2911" s="6" t="s">
        <v>1945</v>
      </c>
      <c r="C2911" s="6" t="s">
        <v>128</v>
      </c>
      <c r="D2911" s="6" t="s">
        <v>61</v>
      </c>
      <c r="E2911" s="14" t="n">
        <v>1038.85</v>
      </c>
      <c r="F2911" s="14" t="n">
        <v>1038.85</v>
      </c>
      <c r="G2911" s="6" t="s">
        <v>15614</v>
      </c>
    </row>
    <row r="2912" customFormat="false" ht="15" hidden="false" customHeight="true" outlineLevel="0" collapsed="false">
      <c r="A2912" s="6" t="s">
        <v>18524</v>
      </c>
      <c r="B2912" s="6" t="s">
        <v>1945</v>
      </c>
      <c r="C2912" s="6" t="s">
        <v>128</v>
      </c>
      <c r="D2912" s="6" t="s">
        <v>62</v>
      </c>
      <c r="E2912" s="14" t="n">
        <v>1038.85</v>
      </c>
      <c r="F2912" s="14" t="n">
        <v>2077.7</v>
      </c>
      <c r="G2912" s="6" t="s">
        <v>15614</v>
      </c>
    </row>
    <row r="2913" customFormat="false" ht="15" hidden="false" customHeight="true" outlineLevel="0" collapsed="false">
      <c r="A2913" s="6" t="s">
        <v>18525</v>
      </c>
      <c r="B2913" s="6" t="s">
        <v>1945</v>
      </c>
      <c r="C2913" s="6" t="s">
        <v>128</v>
      </c>
      <c r="D2913" s="6" t="s">
        <v>63</v>
      </c>
      <c r="E2913" s="14" t="n">
        <v>1038.85</v>
      </c>
      <c r="F2913" s="14" t="n">
        <v>3116.55</v>
      </c>
      <c r="G2913" s="6" t="s">
        <v>15614</v>
      </c>
    </row>
    <row r="2914" customFormat="false" ht="15" hidden="false" customHeight="true" outlineLevel="0" collapsed="false">
      <c r="A2914" s="6" t="s">
        <v>18526</v>
      </c>
      <c r="B2914" s="6" t="s">
        <v>1945</v>
      </c>
      <c r="C2914" s="6" t="s">
        <v>128</v>
      </c>
      <c r="D2914" s="6" t="s">
        <v>64</v>
      </c>
      <c r="E2914" s="14" t="n">
        <v>1038.85</v>
      </c>
      <c r="F2914" s="14" t="n">
        <v>4155.4</v>
      </c>
      <c r="G2914" s="6" t="s">
        <v>15614</v>
      </c>
    </row>
    <row r="2915" customFormat="false" ht="15" hidden="false" customHeight="true" outlineLevel="0" collapsed="false">
      <c r="A2915" s="6" t="s">
        <v>18527</v>
      </c>
      <c r="B2915" s="6" t="s">
        <v>1945</v>
      </c>
      <c r="C2915" s="6" t="s">
        <v>128</v>
      </c>
      <c r="D2915" s="6" t="s">
        <v>65</v>
      </c>
      <c r="E2915" s="14" t="n">
        <v>1038.85</v>
      </c>
      <c r="F2915" s="14" t="n">
        <v>5194.25</v>
      </c>
      <c r="G2915" s="6" t="s">
        <v>15614</v>
      </c>
    </row>
    <row r="2916" customFormat="false" ht="15" hidden="false" customHeight="true" outlineLevel="0" collapsed="false">
      <c r="A2916" s="6" t="s">
        <v>18528</v>
      </c>
      <c r="B2916" s="6" t="s">
        <v>1947</v>
      </c>
      <c r="C2916" s="6" t="s">
        <v>116</v>
      </c>
      <c r="D2916" s="6" t="s">
        <v>27</v>
      </c>
      <c r="E2916" s="14" t="n">
        <v>583.32</v>
      </c>
      <c r="F2916" s="14" t="n">
        <v>583.32</v>
      </c>
      <c r="G2916" s="6" t="s">
        <v>15614</v>
      </c>
    </row>
    <row r="2917" customFormat="false" ht="15" hidden="false" customHeight="true" outlineLevel="0" collapsed="false">
      <c r="A2917" s="6" t="s">
        <v>18529</v>
      </c>
      <c r="B2917" s="6" t="s">
        <v>1947</v>
      </c>
      <c r="C2917" s="6" t="s">
        <v>116</v>
      </c>
      <c r="D2917" s="6" t="s">
        <v>28</v>
      </c>
      <c r="E2917" s="14" t="n">
        <v>583.32</v>
      </c>
      <c r="F2917" s="14" t="n">
        <v>1166.64</v>
      </c>
      <c r="G2917" s="6" t="s">
        <v>15614</v>
      </c>
    </row>
    <row r="2918" customFormat="false" ht="15" hidden="false" customHeight="true" outlineLevel="0" collapsed="false">
      <c r="A2918" s="6" t="s">
        <v>18530</v>
      </c>
      <c r="B2918" s="6" t="s">
        <v>1947</v>
      </c>
      <c r="C2918" s="6" t="s">
        <v>116</v>
      </c>
      <c r="D2918" s="6" t="s">
        <v>29</v>
      </c>
      <c r="E2918" s="14" t="n">
        <v>583.32</v>
      </c>
      <c r="F2918" s="14" t="n">
        <v>1749.96</v>
      </c>
      <c r="G2918" s="6" t="s">
        <v>15614</v>
      </c>
    </row>
    <row r="2919" customFormat="false" ht="15" hidden="false" customHeight="true" outlineLevel="0" collapsed="false">
      <c r="A2919" s="6" t="s">
        <v>18531</v>
      </c>
      <c r="B2919" s="6" t="s">
        <v>1949</v>
      </c>
      <c r="C2919" s="6" t="s">
        <v>112</v>
      </c>
      <c r="D2919" s="6" t="s">
        <v>19</v>
      </c>
      <c r="E2919" s="14" t="n">
        <v>1126.46</v>
      </c>
      <c r="F2919" s="14" t="n">
        <v>1126.46</v>
      </c>
      <c r="G2919" s="6" t="s">
        <v>15614</v>
      </c>
    </row>
    <row r="2920" customFormat="false" ht="15" hidden="false" customHeight="true" outlineLevel="0" collapsed="false">
      <c r="A2920" s="6" t="s">
        <v>18532</v>
      </c>
      <c r="B2920" s="6" t="s">
        <v>1949</v>
      </c>
      <c r="C2920" s="6" t="s">
        <v>112</v>
      </c>
      <c r="D2920" s="6" t="s">
        <v>20</v>
      </c>
      <c r="E2920" s="14" t="n">
        <v>1126.46</v>
      </c>
      <c r="F2920" s="14" t="n">
        <v>2252.92</v>
      </c>
      <c r="G2920" s="6" t="s">
        <v>15614</v>
      </c>
    </row>
    <row r="2921" customFormat="false" ht="15" hidden="false" customHeight="true" outlineLevel="0" collapsed="false">
      <c r="A2921" s="6" t="s">
        <v>18533</v>
      </c>
      <c r="B2921" s="6" t="s">
        <v>1951</v>
      </c>
      <c r="C2921" s="6" t="s">
        <v>124</v>
      </c>
      <c r="D2921" s="6" t="s">
        <v>29</v>
      </c>
      <c r="E2921" s="14" t="n">
        <v>1323.55</v>
      </c>
      <c r="F2921" s="14" t="n">
        <v>1323.55</v>
      </c>
      <c r="G2921" s="6" t="s">
        <v>15614</v>
      </c>
    </row>
    <row r="2922" customFormat="false" ht="15" hidden="false" customHeight="true" outlineLevel="0" collapsed="false">
      <c r="A2922" s="6" t="s">
        <v>18534</v>
      </c>
      <c r="B2922" s="6" t="s">
        <v>1951</v>
      </c>
      <c r="C2922" s="6" t="s">
        <v>124</v>
      </c>
      <c r="D2922" s="6" t="s">
        <v>30</v>
      </c>
      <c r="E2922" s="14" t="n">
        <v>1323.55</v>
      </c>
      <c r="F2922" s="14" t="n">
        <v>2647.1</v>
      </c>
      <c r="G2922" s="6" t="s">
        <v>15614</v>
      </c>
    </row>
    <row r="2923" customFormat="false" ht="15" hidden="false" customHeight="true" outlineLevel="0" collapsed="false">
      <c r="A2923" s="6" t="s">
        <v>18535</v>
      </c>
      <c r="B2923" s="6" t="s">
        <v>1951</v>
      </c>
      <c r="C2923" s="6" t="s">
        <v>124</v>
      </c>
      <c r="D2923" s="6" t="s">
        <v>30</v>
      </c>
      <c r="E2923" s="14" t="n">
        <v>1323.55</v>
      </c>
      <c r="F2923" s="14" t="n">
        <v>3970.65</v>
      </c>
      <c r="G2923" s="6" t="s">
        <v>15614</v>
      </c>
    </row>
    <row r="2924" customFormat="false" ht="15" hidden="false" customHeight="true" outlineLevel="0" collapsed="false">
      <c r="A2924" s="6" t="s">
        <v>18536</v>
      </c>
      <c r="B2924" s="6" t="s">
        <v>1953</v>
      </c>
      <c r="C2924" s="6" t="s">
        <v>128</v>
      </c>
      <c r="D2924" s="6" t="s">
        <v>53</v>
      </c>
      <c r="E2924" s="14" t="n">
        <v>2001.95</v>
      </c>
      <c r="F2924" s="14" t="n">
        <v>2001.95</v>
      </c>
      <c r="G2924" s="6" t="s">
        <v>15614</v>
      </c>
    </row>
    <row r="2925" customFormat="false" ht="15" hidden="false" customHeight="true" outlineLevel="0" collapsed="false">
      <c r="A2925" s="6" t="s">
        <v>18537</v>
      </c>
      <c r="B2925" s="6" t="s">
        <v>1953</v>
      </c>
      <c r="C2925" s="6" t="s">
        <v>128</v>
      </c>
      <c r="D2925" s="6" t="s">
        <v>54</v>
      </c>
      <c r="E2925" s="14" t="n">
        <v>2001.95</v>
      </c>
      <c r="F2925" s="14" t="n">
        <v>4003.9</v>
      </c>
      <c r="G2925" s="6" t="s">
        <v>15614</v>
      </c>
    </row>
    <row r="2926" customFormat="false" ht="15" hidden="false" customHeight="true" outlineLevel="0" collapsed="false">
      <c r="A2926" s="6" t="s">
        <v>18538</v>
      </c>
      <c r="B2926" s="6" t="s">
        <v>1955</v>
      </c>
      <c r="C2926" s="6" t="s">
        <v>131</v>
      </c>
      <c r="D2926" s="6" t="s">
        <v>46</v>
      </c>
      <c r="E2926" s="14" t="n">
        <v>1751.18</v>
      </c>
      <c r="F2926" s="14" t="n">
        <v>1751.18</v>
      </c>
      <c r="G2926" s="6" t="s">
        <v>15614</v>
      </c>
    </row>
    <row r="2927" customFormat="false" ht="15" hidden="false" customHeight="true" outlineLevel="0" collapsed="false">
      <c r="A2927" s="6" t="s">
        <v>18539</v>
      </c>
      <c r="B2927" s="6" t="s">
        <v>1955</v>
      </c>
      <c r="C2927" s="6" t="s">
        <v>131</v>
      </c>
      <c r="D2927" s="6" t="s">
        <v>47</v>
      </c>
      <c r="E2927" s="14" t="n">
        <v>1751.18</v>
      </c>
      <c r="F2927" s="14" t="n">
        <v>3502.36</v>
      </c>
      <c r="G2927" s="6" t="s">
        <v>15614</v>
      </c>
    </row>
    <row r="2928" customFormat="false" ht="15" hidden="false" customHeight="true" outlineLevel="0" collapsed="false">
      <c r="A2928" s="6" t="s">
        <v>18540</v>
      </c>
      <c r="B2928" s="6" t="s">
        <v>1955</v>
      </c>
      <c r="C2928" s="6" t="s">
        <v>131</v>
      </c>
      <c r="D2928" s="6" t="s">
        <v>48</v>
      </c>
      <c r="E2928" s="14" t="n">
        <v>1751.18</v>
      </c>
      <c r="F2928" s="14" t="n">
        <v>5253.54</v>
      </c>
      <c r="G2928" s="6" t="s">
        <v>15614</v>
      </c>
    </row>
    <row r="2929" customFormat="false" ht="15" hidden="false" customHeight="true" outlineLevel="0" collapsed="false">
      <c r="A2929" s="6" t="s">
        <v>18541</v>
      </c>
      <c r="B2929" s="6" t="s">
        <v>1957</v>
      </c>
      <c r="C2929" s="6" t="s">
        <v>128</v>
      </c>
      <c r="D2929" s="6" t="s">
        <v>34</v>
      </c>
      <c r="E2929" s="14" t="n">
        <v>553.12</v>
      </c>
      <c r="F2929" s="14" t="n">
        <v>553.12</v>
      </c>
      <c r="G2929" s="6" t="s">
        <v>15614</v>
      </c>
    </row>
    <row r="2930" customFormat="false" ht="15" hidden="false" customHeight="true" outlineLevel="0" collapsed="false">
      <c r="A2930" s="6" t="s">
        <v>18542</v>
      </c>
      <c r="B2930" s="6" t="s">
        <v>1957</v>
      </c>
      <c r="C2930" s="6" t="s">
        <v>128</v>
      </c>
      <c r="D2930" s="6" t="s">
        <v>35</v>
      </c>
      <c r="E2930" s="14" t="n">
        <v>553.12</v>
      </c>
      <c r="F2930" s="14" t="n">
        <v>1106.24</v>
      </c>
      <c r="G2930" s="6" t="s">
        <v>15614</v>
      </c>
    </row>
    <row r="2931" customFormat="false" ht="15" hidden="false" customHeight="true" outlineLevel="0" collapsed="false">
      <c r="A2931" s="6" t="s">
        <v>18543</v>
      </c>
      <c r="B2931" s="6" t="s">
        <v>1957</v>
      </c>
      <c r="C2931" s="6" t="s">
        <v>128</v>
      </c>
      <c r="D2931" s="6" t="s">
        <v>36</v>
      </c>
      <c r="E2931" s="14" t="n">
        <v>553.12</v>
      </c>
      <c r="F2931" s="14" t="n">
        <v>1659.36</v>
      </c>
      <c r="G2931" s="6" t="s">
        <v>15614</v>
      </c>
    </row>
    <row r="2932" customFormat="false" ht="15" hidden="false" customHeight="true" outlineLevel="0" collapsed="false">
      <c r="A2932" s="6" t="s">
        <v>18544</v>
      </c>
      <c r="B2932" s="6" t="s">
        <v>1959</v>
      </c>
      <c r="C2932" s="6" t="s">
        <v>128</v>
      </c>
      <c r="D2932" s="6" t="s">
        <v>20</v>
      </c>
      <c r="E2932" s="14" t="n">
        <v>1272.65</v>
      </c>
      <c r="F2932" s="14" t="n">
        <v>1272.65</v>
      </c>
      <c r="G2932" s="6" t="s">
        <v>15614</v>
      </c>
    </row>
    <row r="2933" customFormat="false" ht="15" hidden="false" customHeight="true" outlineLevel="0" collapsed="false">
      <c r="A2933" s="6" t="s">
        <v>18545</v>
      </c>
      <c r="B2933" s="6" t="s">
        <v>1959</v>
      </c>
      <c r="C2933" s="6" t="s">
        <v>128</v>
      </c>
      <c r="D2933" s="6" t="s">
        <v>21</v>
      </c>
      <c r="E2933" s="14" t="n">
        <v>1272.65</v>
      </c>
      <c r="F2933" s="14" t="n">
        <v>2545.3</v>
      </c>
      <c r="G2933" s="6" t="s">
        <v>15614</v>
      </c>
    </row>
    <row r="2934" customFormat="false" ht="15" hidden="false" customHeight="true" outlineLevel="0" collapsed="false">
      <c r="A2934" s="6" t="s">
        <v>18546</v>
      </c>
      <c r="B2934" s="6" t="s">
        <v>1959</v>
      </c>
      <c r="C2934" s="6" t="s">
        <v>128</v>
      </c>
      <c r="D2934" s="6" t="s">
        <v>22</v>
      </c>
      <c r="E2934" s="14" t="n">
        <v>1272.65</v>
      </c>
      <c r="F2934" s="14" t="n">
        <v>3817.95</v>
      </c>
      <c r="G2934" s="6" t="s">
        <v>15614</v>
      </c>
    </row>
    <row r="2935" customFormat="false" ht="15" hidden="false" customHeight="true" outlineLevel="0" collapsed="false">
      <c r="A2935" s="6" t="s">
        <v>18547</v>
      </c>
      <c r="B2935" s="6" t="s">
        <v>1959</v>
      </c>
      <c r="C2935" s="6" t="s">
        <v>128</v>
      </c>
      <c r="D2935" s="6" t="s">
        <v>23</v>
      </c>
      <c r="E2935" s="14" t="n">
        <v>1272.65</v>
      </c>
      <c r="F2935" s="14" t="n">
        <v>5090.6</v>
      </c>
      <c r="G2935" s="6" t="s">
        <v>15614</v>
      </c>
    </row>
    <row r="2936" customFormat="false" ht="15" hidden="false" customHeight="true" outlineLevel="0" collapsed="false">
      <c r="A2936" s="6" t="s">
        <v>18548</v>
      </c>
      <c r="B2936" s="6" t="s">
        <v>1959</v>
      </c>
      <c r="C2936" s="6" t="s">
        <v>128</v>
      </c>
      <c r="D2936" s="6" t="s">
        <v>24</v>
      </c>
      <c r="E2936" s="14" t="n">
        <v>1272.65</v>
      </c>
      <c r="F2936" s="14" t="n">
        <v>6363.25</v>
      </c>
      <c r="G2936" s="6" t="s">
        <v>15614</v>
      </c>
    </row>
    <row r="2937" customFormat="false" ht="15" hidden="false" customHeight="true" outlineLevel="0" collapsed="false">
      <c r="A2937" s="6" t="s">
        <v>18549</v>
      </c>
      <c r="B2937" s="6" t="s">
        <v>1961</v>
      </c>
      <c r="C2937" s="6" t="s">
        <v>116</v>
      </c>
      <c r="D2937" s="6" t="s">
        <v>29</v>
      </c>
      <c r="E2937" s="14" t="n">
        <v>2162.84</v>
      </c>
      <c r="F2937" s="14" t="n">
        <v>2162.84</v>
      </c>
      <c r="G2937" s="6" t="s">
        <v>15614</v>
      </c>
    </row>
    <row r="2938" customFormat="false" ht="15" hidden="false" customHeight="true" outlineLevel="0" collapsed="false">
      <c r="A2938" s="6" t="s">
        <v>18550</v>
      </c>
      <c r="B2938" s="6" t="s">
        <v>1961</v>
      </c>
      <c r="C2938" s="6" t="s">
        <v>116</v>
      </c>
      <c r="D2938" s="6" t="s">
        <v>30</v>
      </c>
      <c r="E2938" s="14" t="n">
        <v>2162.84</v>
      </c>
      <c r="F2938" s="14" t="n">
        <v>4325.68</v>
      </c>
      <c r="G2938" s="6" t="s">
        <v>15614</v>
      </c>
    </row>
    <row r="2939" customFormat="false" ht="15" hidden="false" customHeight="true" outlineLevel="0" collapsed="false">
      <c r="A2939" s="6" t="s">
        <v>18551</v>
      </c>
      <c r="B2939" s="6" t="s">
        <v>1963</v>
      </c>
      <c r="C2939" s="6" t="s">
        <v>124</v>
      </c>
      <c r="D2939" s="6" t="s">
        <v>29</v>
      </c>
      <c r="E2939" s="14" t="n">
        <v>2665.34</v>
      </c>
      <c r="F2939" s="14" t="n">
        <v>2665.34</v>
      </c>
      <c r="G2939" s="6" t="s">
        <v>15614</v>
      </c>
    </row>
    <row r="2940" customFormat="false" ht="15" hidden="false" customHeight="true" outlineLevel="0" collapsed="false">
      <c r="A2940" s="6" t="s">
        <v>18552</v>
      </c>
      <c r="B2940" s="6" t="s">
        <v>1963</v>
      </c>
      <c r="C2940" s="6" t="s">
        <v>124</v>
      </c>
      <c r="D2940" s="6" t="s">
        <v>30</v>
      </c>
      <c r="E2940" s="14" t="n">
        <v>2665.34</v>
      </c>
      <c r="F2940" s="14" t="n">
        <v>5330.68</v>
      </c>
      <c r="G2940" s="6" t="s">
        <v>15614</v>
      </c>
    </row>
    <row r="2941" customFormat="false" ht="15" hidden="false" customHeight="true" outlineLevel="0" collapsed="false">
      <c r="A2941" s="6" t="s">
        <v>18553</v>
      </c>
      <c r="B2941" s="6" t="s">
        <v>1963</v>
      </c>
      <c r="C2941" s="6" t="s">
        <v>124</v>
      </c>
      <c r="D2941" s="6" t="s">
        <v>31</v>
      </c>
      <c r="E2941" s="14" t="n">
        <v>2665.34</v>
      </c>
      <c r="F2941" s="14" t="n">
        <v>7996.02</v>
      </c>
      <c r="G2941" s="6" t="s">
        <v>15614</v>
      </c>
    </row>
    <row r="2942" customFormat="false" ht="15" hidden="false" customHeight="true" outlineLevel="0" collapsed="false">
      <c r="A2942" s="6" t="s">
        <v>18554</v>
      </c>
      <c r="B2942" s="6" t="s">
        <v>1965</v>
      </c>
      <c r="C2942" s="6" t="s">
        <v>116</v>
      </c>
      <c r="D2942" s="6" t="s">
        <v>40</v>
      </c>
      <c r="E2942" s="14" t="n">
        <v>1436.53</v>
      </c>
      <c r="F2942" s="14" t="n">
        <v>1436.53</v>
      </c>
      <c r="G2942" s="6" t="s">
        <v>15614</v>
      </c>
    </row>
    <row r="2943" customFormat="false" ht="15" hidden="false" customHeight="true" outlineLevel="0" collapsed="false">
      <c r="A2943" s="6" t="s">
        <v>18555</v>
      </c>
      <c r="B2943" s="6" t="s">
        <v>1965</v>
      </c>
      <c r="C2943" s="6" t="s">
        <v>116</v>
      </c>
      <c r="D2943" s="6" t="s">
        <v>41</v>
      </c>
      <c r="E2943" s="14" t="n">
        <v>1436.53</v>
      </c>
      <c r="F2943" s="14" t="n">
        <v>2873.06</v>
      </c>
      <c r="G2943" s="6" t="s">
        <v>15614</v>
      </c>
    </row>
    <row r="2944" customFormat="false" ht="15" hidden="false" customHeight="true" outlineLevel="0" collapsed="false">
      <c r="A2944" s="6" t="s">
        <v>18556</v>
      </c>
      <c r="B2944" s="6" t="s">
        <v>1967</v>
      </c>
      <c r="C2944" s="6" t="s">
        <v>128</v>
      </c>
      <c r="D2944" s="6" t="s">
        <v>49</v>
      </c>
      <c r="E2944" s="14" t="n">
        <v>974.54</v>
      </c>
      <c r="F2944" s="14" t="n">
        <v>974.54</v>
      </c>
      <c r="G2944" s="6" t="s">
        <v>15614</v>
      </c>
    </row>
    <row r="2945" customFormat="false" ht="15" hidden="false" customHeight="true" outlineLevel="0" collapsed="false">
      <c r="A2945" s="6" t="s">
        <v>18557</v>
      </c>
      <c r="B2945" s="6" t="s">
        <v>1967</v>
      </c>
      <c r="C2945" s="6" t="s">
        <v>128</v>
      </c>
      <c r="D2945" s="6" t="s">
        <v>50</v>
      </c>
      <c r="E2945" s="14" t="n">
        <v>974.54</v>
      </c>
      <c r="F2945" s="14" t="n">
        <v>1949.08</v>
      </c>
      <c r="G2945" s="6" t="s">
        <v>15614</v>
      </c>
    </row>
    <row r="2946" customFormat="false" ht="15" hidden="false" customHeight="true" outlineLevel="0" collapsed="false">
      <c r="A2946" s="6" t="s">
        <v>18558</v>
      </c>
      <c r="B2946" s="6" t="s">
        <v>1967</v>
      </c>
      <c r="C2946" s="6" t="s">
        <v>128</v>
      </c>
      <c r="D2946" s="6" t="s">
        <v>51</v>
      </c>
      <c r="E2946" s="14" t="n">
        <v>974.54</v>
      </c>
      <c r="F2946" s="14" t="n">
        <v>2923.62</v>
      </c>
      <c r="G2946" s="6" t="s">
        <v>15614</v>
      </c>
    </row>
    <row r="2947" customFormat="false" ht="15" hidden="false" customHeight="true" outlineLevel="0" collapsed="false">
      <c r="A2947" s="6" t="s">
        <v>18559</v>
      </c>
      <c r="B2947" s="6" t="s">
        <v>1969</v>
      </c>
      <c r="C2947" s="6" t="s">
        <v>124</v>
      </c>
      <c r="D2947" s="6" t="s">
        <v>50</v>
      </c>
      <c r="E2947" s="14" t="n">
        <v>2536.34</v>
      </c>
      <c r="F2947" s="14" t="n">
        <v>2536.34</v>
      </c>
      <c r="G2947" s="6" t="s">
        <v>15614</v>
      </c>
    </row>
    <row r="2948" customFormat="false" ht="15" hidden="false" customHeight="true" outlineLevel="0" collapsed="false">
      <c r="A2948" s="6" t="s">
        <v>18560</v>
      </c>
      <c r="B2948" s="6" t="s">
        <v>1969</v>
      </c>
      <c r="C2948" s="6" t="s">
        <v>124</v>
      </c>
      <c r="D2948" s="6" t="s">
        <v>51</v>
      </c>
      <c r="E2948" s="14" t="n">
        <v>2536.34</v>
      </c>
      <c r="F2948" s="14" t="n">
        <v>5072.68</v>
      </c>
      <c r="G2948" s="6" t="s">
        <v>15614</v>
      </c>
    </row>
    <row r="2949" customFormat="false" ht="15" hidden="false" customHeight="true" outlineLevel="0" collapsed="false">
      <c r="A2949" s="6" t="s">
        <v>18561</v>
      </c>
      <c r="B2949" s="6" t="s">
        <v>1971</v>
      </c>
      <c r="C2949" s="6" t="s">
        <v>131</v>
      </c>
      <c r="D2949" s="6" t="s">
        <v>31</v>
      </c>
      <c r="E2949" s="14" t="n">
        <v>1567.3</v>
      </c>
      <c r="F2949" s="14" t="n">
        <v>1567.3</v>
      </c>
      <c r="G2949" s="6" t="s">
        <v>15614</v>
      </c>
    </row>
    <row r="2950" customFormat="false" ht="15" hidden="false" customHeight="true" outlineLevel="0" collapsed="false">
      <c r="A2950" s="6" t="s">
        <v>18562</v>
      </c>
      <c r="B2950" s="6" t="s">
        <v>1971</v>
      </c>
      <c r="C2950" s="6" t="s">
        <v>131</v>
      </c>
      <c r="D2950" s="6" t="s">
        <v>32</v>
      </c>
      <c r="E2950" s="14" t="n">
        <v>1567.3</v>
      </c>
      <c r="F2950" s="14" t="n">
        <v>3134.6</v>
      </c>
      <c r="G2950" s="6" t="s">
        <v>15614</v>
      </c>
    </row>
    <row r="2951" customFormat="false" ht="15" hidden="false" customHeight="true" outlineLevel="0" collapsed="false">
      <c r="A2951" s="6" t="s">
        <v>18563</v>
      </c>
      <c r="B2951" s="6" t="s">
        <v>1971</v>
      </c>
      <c r="C2951" s="6" t="s">
        <v>131</v>
      </c>
      <c r="D2951" s="6" t="s">
        <v>33</v>
      </c>
      <c r="E2951" s="14" t="n">
        <v>1567.3</v>
      </c>
      <c r="F2951" s="14" t="n">
        <v>4701.9</v>
      </c>
      <c r="G2951" s="6" t="s">
        <v>15614</v>
      </c>
    </row>
    <row r="2952" customFormat="false" ht="15" hidden="false" customHeight="true" outlineLevel="0" collapsed="false">
      <c r="A2952" s="6" t="s">
        <v>18564</v>
      </c>
      <c r="B2952" s="6" t="s">
        <v>1973</v>
      </c>
      <c r="C2952" s="6" t="s">
        <v>120</v>
      </c>
      <c r="D2952" s="6" t="s">
        <v>51</v>
      </c>
      <c r="E2952" s="14" t="n">
        <v>813.1</v>
      </c>
      <c r="F2952" s="14" t="n">
        <v>813.1</v>
      </c>
      <c r="G2952" s="6" t="s">
        <v>15614</v>
      </c>
    </row>
    <row r="2953" customFormat="false" ht="15" hidden="false" customHeight="true" outlineLevel="0" collapsed="false">
      <c r="A2953" s="6" t="s">
        <v>18565</v>
      </c>
      <c r="B2953" s="6" t="s">
        <v>1973</v>
      </c>
      <c r="C2953" s="6" t="s">
        <v>120</v>
      </c>
      <c r="D2953" s="6" t="s">
        <v>52</v>
      </c>
      <c r="E2953" s="14" t="n">
        <v>813.1</v>
      </c>
      <c r="F2953" s="14" t="n">
        <v>1626.2</v>
      </c>
      <c r="G2953" s="6" t="s">
        <v>15614</v>
      </c>
    </row>
    <row r="2954" customFormat="false" ht="15" hidden="false" customHeight="true" outlineLevel="0" collapsed="false">
      <c r="A2954" s="6" t="s">
        <v>18566</v>
      </c>
      <c r="B2954" s="6" t="s">
        <v>1973</v>
      </c>
      <c r="C2954" s="6" t="s">
        <v>120</v>
      </c>
      <c r="D2954" s="6" t="s">
        <v>53</v>
      </c>
      <c r="E2954" s="14" t="n">
        <v>813.1</v>
      </c>
      <c r="F2954" s="14" t="n">
        <v>2439.3</v>
      </c>
      <c r="G2954" s="6" t="s">
        <v>15614</v>
      </c>
    </row>
    <row r="2955" customFormat="false" ht="15" hidden="false" customHeight="true" outlineLevel="0" collapsed="false">
      <c r="A2955" s="6" t="s">
        <v>18567</v>
      </c>
      <c r="B2955" s="6" t="s">
        <v>1975</v>
      </c>
      <c r="C2955" s="6" t="s">
        <v>112</v>
      </c>
      <c r="D2955" s="6" t="s">
        <v>63</v>
      </c>
      <c r="E2955" s="14" t="n">
        <v>4978.14</v>
      </c>
      <c r="F2955" s="14" t="n">
        <v>4978.14</v>
      </c>
      <c r="G2955" s="6" t="s">
        <v>15614</v>
      </c>
    </row>
    <row r="2956" customFormat="false" ht="15" hidden="false" customHeight="true" outlineLevel="0" collapsed="false">
      <c r="A2956" s="6" t="s">
        <v>18568</v>
      </c>
      <c r="B2956" s="6" t="s">
        <v>1975</v>
      </c>
      <c r="C2956" s="6" t="s">
        <v>112</v>
      </c>
      <c r="D2956" s="6" t="s">
        <v>64</v>
      </c>
      <c r="E2956" s="14" t="n">
        <v>4978.14</v>
      </c>
      <c r="F2956" s="14" t="n">
        <v>9956.28</v>
      </c>
      <c r="G2956" s="6" t="s">
        <v>15614</v>
      </c>
    </row>
    <row r="2957" customFormat="false" ht="15" hidden="false" customHeight="true" outlineLevel="0" collapsed="false">
      <c r="A2957" s="6" t="s">
        <v>18569</v>
      </c>
      <c r="B2957" s="6" t="s">
        <v>1975</v>
      </c>
      <c r="C2957" s="6" t="s">
        <v>112</v>
      </c>
      <c r="D2957" s="6" t="s">
        <v>65</v>
      </c>
      <c r="E2957" s="14" t="n">
        <v>4978.14</v>
      </c>
      <c r="F2957" s="14" t="n">
        <v>14934.42</v>
      </c>
      <c r="G2957" s="6" t="s">
        <v>15614</v>
      </c>
    </row>
    <row r="2958" customFormat="false" ht="15" hidden="false" customHeight="true" outlineLevel="0" collapsed="false">
      <c r="A2958" s="6" t="s">
        <v>18570</v>
      </c>
      <c r="B2958" s="6" t="s">
        <v>1977</v>
      </c>
      <c r="C2958" s="6" t="s">
        <v>124</v>
      </c>
      <c r="D2958" s="6" t="s">
        <v>23</v>
      </c>
      <c r="E2958" s="14" t="n">
        <v>1008.49</v>
      </c>
      <c r="F2958" s="14" t="n">
        <v>1008.49</v>
      </c>
      <c r="G2958" s="6" t="s">
        <v>15614</v>
      </c>
    </row>
    <row r="2959" customFormat="false" ht="15" hidden="false" customHeight="true" outlineLevel="0" collapsed="false">
      <c r="A2959" s="6" t="s">
        <v>18571</v>
      </c>
      <c r="B2959" s="6" t="s">
        <v>1977</v>
      </c>
      <c r="C2959" s="6" t="s">
        <v>124</v>
      </c>
      <c r="D2959" s="6" t="s">
        <v>24</v>
      </c>
      <c r="E2959" s="14" t="n">
        <v>1008.49</v>
      </c>
      <c r="F2959" s="14" t="n">
        <v>2016.98</v>
      </c>
      <c r="G2959" s="6" t="s">
        <v>15614</v>
      </c>
    </row>
    <row r="2960" customFormat="false" ht="15" hidden="false" customHeight="true" outlineLevel="0" collapsed="false">
      <c r="A2960" s="6" t="s">
        <v>18572</v>
      </c>
      <c r="B2960" s="6" t="s">
        <v>1977</v>
      </c>
      <c r="C2960" s="6" t="s">
        <v>124</v>
      </c>
      <c r="D2960" s="6" t="s">
        <v>25</v>
      </c>
      <c r="E2960" s="14" t="n">
        <v>1008.49</v>
      </c>
      <c r="F2960" s="14" t="n">
        <v>3025.47</v>
      </c>
      <c r="G2960" s="6" t="s">
        <v>15614</v>
      </c>
    </row>
    <row r="2961" customFormat="false" ht="15" hidden="false" customHeight="true" outlineLevel="0" collapsed="false">
      <c r="A2961" s="6" t="s">
        <v>18573</v>
      </c>
      <c r="B2961" s="6" t="s">
        <v>1979</v>
      </c>
      <c r="C2961" s="6" t="s">
        <v>116</v>
      </c>
      <c r="D2961" s="6" t="s">
        <v>45</v>
      </c>
      <c r="E2961" s="14" t="n">
        <v>2381.86</v>
      </c>
      <c r="F2961" s="14" t="n">
        <v>2381.86</v>
      </c>
      <c r="G2961" s="6" t="s">
        <v>15614</v>
      </c>
    </row>
    <row r="2962" customFormat="false" ht="15" hidden="false" customHeight="true" outlineLevel="0" collapsed="false">
      <c r="A2962" s="6" t="s">
        <v>18574</v>
      </c>
      <c r="B2962" s="6" t="s">
        <v>1981</v>
      </c>
      <c r="C2962" s="6" t="s">
        <v>116</v>
      </c>
      <c r="D2962" s="6" t="s">
        <v>49</v>
      </c>
      <c r="E2962" s="14" t="n">
        <v>4848.38</v>
      </c>
      <c r="F2962" s="14" t="n">
        <v>4848.38</v>
      </c>
      <c r="G2962" s="6" t="s">
        <v>15614</v>
      </c>
    </row>
    <row r="2963" customFormat="false" ht="15" hidden="false" customHeight="true" outlineLevel="0" collapsed="false">
      <c r="A2963" s="6" t="s">
        <v>18575</v>
      </c>
      <c r="B2963" s="6" t="s">
        <v>1981</v>
      </c>
      <c r="C2963" s="6" t="s">
        <v>116</v>
      </c>
      <c r="D2963" s="6" t="s">
        <v>50</v>
      </c>
      <c r="E2963" s="14" t="n">
        <v>4848.38</v>
      </c>
      <c r="F2963" s="14" t="n">
        <v>9696.76</v>
      </c>
      <c r="G2963" s="6" t="s">
        <v>15614</v>
      </c>
    </row>
    <row r="2964" customFormat="false" ht="15" hidden="false" customHeight="true" outlineLevel="0" collapsed="false">
      <c r="A2964" s="6" t="s">
        <v>18576</v>
      </c>
      <c r="B2964" s="6" t="s">
        <v>1981</v>
      </c>
      <c r="C2964" s="6" t="s">
        <v>116</v>
      </c>
      <c r="D2964" s="6" t="s">
        <v>51</v>
      </c>
      <c r="E2964" s="14" t="n">
        <v>4848.38</v>
      </c>
      <c r="F2964" s="14" t="n">
        <v>14545.14</v>
      </c>
      <c r="G2964" s="6" t="s">
        <v>15614</v>
      </c>
    </row>
    <row r="2965" customFormat="false" ht="15" hidden="false" customHeight="true" outlineLevel="0" collapsed="false">
      <c r="A2965" s="6" t="s">
        <v>18577</v>
      </c>
      <c r="B2965" s="6" t="s">
        <v>1983</v>
      </c>
      <c r="C2965" s="6" t="s">
        <v>124</v>
      </c>
      <c r="D2965" s="6" t="s">
        <v>39</v>
      </c>
      <c r="E2965" s="14" t="n">
        <v>2071</v>
      </c>
      <c r="F2965" s="14" t="n">
        <v>2071</v>
      </c>
      <c r="G2965" s="6" t="s">
        <v>15614</v>
      </c>
    </row>
    <row r="2966" customFormat="false" ht="15" hidden="false" customHeight="true" outlineLevel="0" collapsed="false">
      <c r="A2966" s="6" t="s">
        <v>18578</v>
      </c>
      <c r="B2966" s="6" t="s">
        <v>1983</v>
      </c>
      <c r="C2966" s="6" t="s">
        <v>124</v>
      </c>
      <c r="D2966" s="6" t="s">
        <v>40</v>
      </c>
      <c r="E2966" s="14" t="n">
        <v>2071</v>
      </c>
      <c r="F2966" s="14" t="n">
        <v>4142</v>
      </c>
      <c r="G2966" s="6" t="s">
        <v>15614</v>
      </c>
    </row>
    <row r="2967" customFormat="false" ht="15" hidden="false" customHeight="true" outlineLevel="0" collapsed="false">
      <c r="A2967" s="6" t="s">
        <v>18579</v>
      </c>
      <c r="B2967" s="6" t="s">
        <v>1983</v>
      </c>
      <c r="C2967" s="6" t="s">
        <v>124</v>
      </c>
      <c r="D2967" s="6" t="s">
        <v>41</v>
      </c>
      <c r="E2967" s="14" t="n">
        <v>2071</v>
      </c>
      <c r="F2967" s="14" t="n">
        <v>6213</v>
      </c>
      <c r="G2967" s="6" t="s">
        <v>15614</v>
      </c>
    </row>
    <row r="2968" customFormat="false" ht="15" hidden="false" customHeight="true" outlineLevel="0" collapsed="false">
      <c r="A2968" s="6" t="s">
        <v>18580</v>
      </c>
      <c r="B2968" s="6" t="s">
        <v>1983</v>
      </c>
      <c r="C2968" s="6" t="s">
        <v>124</v>
      </c>
      <c r="D2968" s="6" t="s">
        <v>42</v>
      </c>
      <c r="E2968" s="14" t="n">
        <v>2071</v>
      </c>
      <c r="F2968" s="14" t="n">
        <v>8284</v>
      </c>
      <c r="G2968" s="6" t="s">
        <v>15614</v>
      </c>
    </row>
    <row r="2969" customFormat="false" ht="15" hidden="false" customHeight="true" outlineLevel="0" collapsed="false">
      <c r="A2969" s="6" t="s">
        <v>18581</v>
      </c>
      <c r="B2969" s="6" t="s">
        <v>1985</v>
      </c>
      <c r="C2969" s="6" t="s">
        <v>128</v>
      </c>
      <c r="D2969" s="6" t="s">
        <v>52</v>
      </c>
      <c r="E2969" s="14" t="n">
        <v>1245.64</v>
      </c>
      <c r="F2969" s="14" t="n">
        <v>1245.64</v>
      </c>
      <c r="G2969" s="6" t="s">
        <v>15614</v>
      </c>
    </row>
    <row r="2970" customFormat="false" ht="15" hidden="false" customHeight="true" outlineLevel="0" collapsed="false">
      <c r="A2970" s="6" t="s">
        <v>18582</v>
      </c>
      <c r="B2970" s="6" t="s">
        <v>1985</v>
      </c>
      <c r="C2970" s="6" t="s">
        <v>128</v>
      </c>
      <c r="D2970" s="6" t="s">
        <v>53</v>
      </c>
      <c r="E2970" s="14" t="n">
        <v>1245.64</v>
      </c>
      <c r="F2970" s="14" t="n">
        <v>2491.28</v>
      </c>
      <c r="G2970" s="6" t="s">
        <v>15614</v>
      </c>
    </row>
    <row r="2971" customFormat="false" ht="15" hidden="false" customHeight="true" outlineLevel="0" collapsed="false">
      <c r="A2971" s="6" t="s">
        <v>18583</v>
      </c>
      <c r="B2971" s="6" t="s">
        <v>1985</v>
      </c>
      <c r="C2971" s="6" t="s">
        <v>128</v>
      </c>
      <c r="D2971" s="6" t="s">
        <v>54</v>
      </c>
      <c r="E2971" s="14" t="n">
        <v>1245.64</v>
      </c>
      <c r="F2971" s="14" t="n">
        <v>3736.92</v>
      </c>
      <c r="G2971" s="6" t="s">
        <v>15614</v>
      </c>
    </row>
    <row r="2972" customFormat="false" ht="15" hidden="false" customHeight="true" outlineLevel="0" collapsed="false">
      <c r="A2972" s="6" t="s">
        <v>18584</v>
      </c>
      <c r="B2972" s="6" t="s">
        <v>1987</v>
      </c>
      <c r="C2972" s="6" t="s">
        <v>120</v>
      </c>
      <c r="D2972" s="6" t="s">
        <v>11</v>
      </c>
      <c r="E2972" s="14" t="n">
        <v>2749.69</v>
      </c>
      <c r="F2972" s="14" t="n">
        <v>2749.69</v>
      </c>
      <c r="G2972" s="6" t="s">
        <v>15614</v>
      </c>
    </row>
    <row r="2973" customFormat="false" ht="15" hidden="false" customHeight="true" outlineLevel="0" collapsed="false">
      <c r="A2973" s="6" t="s">
        <v>18585</v>
      </c>
      <c r="B2973" s="6" t="s">
        <v>1987</v>
      </c>
      <c r="C2973" s="6" t="s">
        <v>120</v>
      </c>
      <c r="D2973" s="6" t="s">
        <v>13</v>
      </c>
      <c r="E2973" s="14" t="n">
        <v>2749.69</v>
      </c>
      <c r="F2973" s="14" t="n">
        <v>5499.38</v>
      </c>
      <c r="G2973" s="6" t="s">
        <v>15614</v>
      </c>
    </row>
    <row r="2974" customFormat="false" ht="15" hidden="false" customHeight="true" outlineLevel="0" collapsed="false">
      <c r="A2974" s="6" t="s">
        <v>18586</v>
      </c>
      <c r="B2974" s="6" t="s">
        <v>1987</v>
      </c>
      <c r="C2974" s="6" t="s">
        <v>120</v>
      </c>
      <c r="D2974" s="6" t="s">
        <v>13</v>
      </c>
      <c r="E2974" s="14" t="n">
        <v>2749.69</v>
      </c>
      <c r="F2974" s="14" t="n">
        <v>8249.07</v>
      </c>
      <c r="G2974" s="6" t="s">
        <v>15614</v>
      </c>
    </row>
    <row r="2975" customFormat="false" ht="15" hidden="false" customHeight="true" outlineLevel="0" collapsed="false">
      <c r="A2975" s="6" t="s">
        <v>18587</v>
      </c>
      <c r="B2975" s="6" t="s">
        <v>1989</v>
      </c>
      <c r="C2975" s="6" t="s">
        <v>112</v>
      </c>
      <c r="D2975" s="6" t="s">
        <v>19</v>
      </c>
      <c r="E2975" s="14" t="n">
        <v>689</v>
      </c>
      <c r="F2975" s="14" t="n">
        <v>689</v>
      </c>
      <c r="G2975" s="6" t="s">
        <v>15614</v>
      </c>
    </row>
    <row r="2976" customFormat="false" ht="15" hidden="false" customHeight="true" outlineLevel="0" collapsed="false">
      <c r="A2976" s="6" t="s">
        <v>18588</v>
      </c>
      <c r="B2976" s="6" t="s">
        <v>1989</v>
      </c>
      <c r="C2976" s="6" t="s">
        <v>112</v>
      </c>
      <c r="D2976" s="6" t="s">
        <v>20</v>
      </c>
      <c r="E2976" s="14" t="n">
        <v>689</v>
      </c>
      <c r="F2976" s="14" t="n">
        <v>1378</v>
      </c>
      <c r="G2976" s="6" t="s">
        <v>15614</v>
      </c>
    </row>
    <row r="2977" customFormat="false" ht="15" hidden="false" customHeight="true" outlineLevel="0" collapsed="false">
      <c r="A2977" s="6" t="s">
        <v>18589</v>
      </c>
      <c r="B2977" s="6" t="s">
        <v>1991</v>
      </c>
      <c r="C2977" s="6" t="s">
        <v>112</v>
      </c>
      <c r="D2977" s="6" t="s">
        <v>29</v>
      </c>
      <c r="E2977" s="14" t="n">
        <v>668.16</v>
      </c>
      <c r="F2977" s="14" t="n">
        <v>668.16</v>
      </c>
      <c r="G2977" s="6" t="s">
        <v>15614</v>
      </c>
    </row>
    <row r="2978" customFormat="false" ht="15" hidden="false" customHeight="true" outlineLevel="0" collapsed="false">
      <c r="A2978" s="6" t="s">
        <v>18590</v>
      </c>
      <c r="B2978" s="6" t="s">
        <v>1991</v>
      </c>
      <c r="C2978" s="6" t="s">
        <v>112</v>
      </c>
      <c r="D2978" s="6" t="s">
        <v>30</v>
      </c>
      <c r="E2978" s="14" t="n">
        <v>668.16</v>
      </c>
      <c r="F2978" s="14" t="n">
        <v>1336.32</v>
      </c>
      <c r="G2978" s="6" t="s">
        <v>15614</v>
      </c>
    </row>
    <row r="2979" customFormat="false" ht="15" hidden="false" customHeight="true" outlineLevel="0" collapsed="false">
      <c r="A2979" s="6" t="s">
        <v>18591</v>
      </c>
      <c r="B2979" s="6" t="s">
        <v>1991</v>
      </c>
      <c r="C2979" s="6" t="s">
        <v>112</v>
      </c>
      <c r="D2979" s="6" t="s">
        <v>31</v>
      </c>
      <c r="E2979" s="14" t="n">
        <v>668.16</v>
      </c>
      <c r="F2979" s="14" t="n">
        <v>2004.48</v>
      </c>
      <c r="G2979" s="6" t="s">
        <v>15614</v>
      </c>
    </row>
    <row r="2980" customFormat="false" ht="15" hidden="false" customHeight="true" outlineLevel="0" collapsed="false">
      <c r="A2980" s="6" t="s">
        <v>18592</v>
      </c>
      <c r="B2980" s="6" t="s">
        <v>1991</v>
      </c>
      <c r="C2980" s="6" t="s">
        <v>112</v>
      </c>
      <c r="D2980" s="6" t="s">
        <v>32</v>
      </c>
      <c r="E2980" s="14" t="n">
        <v>668.16</v>
      </c>
      <c r="F2980" s="14" t="n">
        <v>2672.64</v>
      </c>
      <c r="G2980" s="6" t="s">
        <v>15614</v>
      </c>
    </row>
    <row r="2981" customFormat="false" ht="15" hidden="false" customHeight="true" outlineLevel="0" collapsed="false">
      <c r="A2981" s="6" t="s">
        <v>18593</v>
      </c>
      <c r="B2981" s="6" t="s">
        <v>1993</v>
      </c>
      <c r="C2981" s="6" t="s">
        <v>124</v>
      </c>
      <c r="D2981" s="6" t="s">
        <v>31</v>
      </c>
      <c r="E2981" s="14" t="n">
        <v>2589.82</v>
      </c>
      <c r="F2981" s="14" t="n">
        <v>2589.82</v>
      </c>
      <c r="G2981" s="6" t="s">
        <v>15614</v>
      </c>
    </row>
    <row r="2982" customFormat="false" ht="15" hidden="false" customHeight="true" outlineLevel="0" collapsed="false">
      <c r="A2982" s="6" t="s">
        <v>18594</v>
      </c>
      <c r="B2982" s="6" t="s">
        <v>1993</v>
      </c>
      <c r="C2982" s="6" t="s">
        <v>124</v>
      </c>
      <c r="D2982" s="6" t="s">
        <v>32</v>
      </c>
      <c r="E2982" s="14" t="n">
        <v>2589.82</v>
      </c>
      <c r="F2982" s="14" t="n">
        <v>5179.64</v>
      </c>
      <c r="G2982" s="6" t="s">
        <v>15614</v>
      </c>
    </row>
    <row r="2983" customFormat="false" ht="15" hidden="false" customHeight="true" outlineLevel="0" collapsed="false">
      <c r="A2983" s="6" t="s">
        <v>18595</v>
      </c>
      <c r="B2983" s="6" t="s">
        <v>1993</v>
      </c>
      <c r="C2983" s="6" t="s">
        <v>124</v>
      </c>
      <c r="D2983" s="6" t="s">
        <v>33</v>
      </c>
      <c r="E2983" s="14" t="n">
        <v>2589.82</v>
      </c>
      <c r="F2983" s="14" t="n">
        <v>7769.46</v>
      </c>
      <c r="G2983" s="6" t="s">
        <v>15614</v>
      </c>
    </row>
    <row r="2984" customFormat="false" ht="15" hidden="false" customHeight="true" outlineLevel="0" collapsed="false">
      <c r="A2984" s="6" t="s">
        <v>18596</v>
      </c>
      <c r="B2984" s="6" t="s">
        <v>1993</v>
      </c>
      <c r="C2984" s="6" t="s">
        <v>124</v>
      </c>
      <c r="D2984" s="6" t="s">
        <v>34</v>
      </c>
      <c r="E2984" s="14" t="n">
        <v>2589.82</v>
      </c>
      <c r="F2984" s="14" t="n">
        <v>10359.28</v>
      </c>
      <c r="G2984" s="6" t="s">
        <v>15614</v>
      </c>
    </row>
    <row r="2985" customFormat="false" ht="15" hidden="false" customHeight="true" outlineLevel="0" collapsed="false">
      <c r="A2985" s="6" t="s">
        <v>18597</v>
      </c>
      <c r="B2985" s="6" t="s">
        <v>1993</v>
      </c>
      <c r="C2985" s="6" t="s">
        <v>124</v>
      </c>
      <c r="D2985" s="6" t="s">
        <v>35</v>
      </c>
      <c r="E2985" s="14" t="n">
        <v>2589.82</v>
      </c>
      <c r="F2985" s="14" t="n">
        <v>12949.1</v>
      </c>
      <c r="G2985" s="6" t="s">
        <v>15614</v>
      </c>
    </row>
    <row r="2986" customFormat="false" ht="15" hidden="false" customHeight="true" outlineLevel="0" collapsed="false">
      <c r="A2986" s="6" t="s">
        <v>18598</v>
      </c>
      <c r="B2986" s="6" t="s">
        <v>1993</v>
      </c>
      <c r="C2986" s="6" t="s">
        <v>124</v>
      </c>
      <c r="D2986" s="6" t="s">
        <v>36</v>
      </c>
      <c r="E2986" s="14" t="n">
        <v>2589.82</v>
      </c>
      <c r="F2986" s="14" t="n">
        <v>15538.92</v>
      </c>
      <c r="G2986" s="6" t="s">
        <v>15614</v>
      </c>
    </row>
    <row r="2987" customFormat="false" ht="15" hidden="false" customHeight="true" outlineLevel="0" collapsed="false">
      <c r="A2987" s="6" t="s">
        <v>18599</v>
      </c>
      <c r="B2987" s="6" t="s">
        <v>1993</v>
      </c>
      <c r="C2987" s="6" t="s">
        <v>124</v>
      </c>
      <c r="D2987" s="6" t="s">
        <v>37</v>
      </c>
      <c r="E2987" s="14" t="n">
        <v>2589.82</v>
      </c>
      <c r="F2987" s="14" t="n">
        <v>18128.74</v>
      </c>
      <c r="G2987" s="6" t="s">
        <v>15614</v>
      </c>
    </row>
    <row r="2988" customFormat="false" ht="15" hidden="false" customHeight="true" outlineLevel="0" collapsed="false">
      <c r="A2988" s="6" t="s">
        <v>18600</v>
      </c>
      <c r="B2988" s="6" t="s">
        <v>1995</v>
      </c>
      <c r="C2988" s="6" t="s">
        <v>128</v>
      </c>
      <c r="D2988" s="6" t="s">
        <v>46</v>
      </c>
      <c r="E2988" s="14" t="n">
        <v>8138.96</v>
      </c>
      <c r="F2988" s="14" t="n">
        <v>8138.96</v>
      </c>
      <c r="G2988" s="6" t="s">
        <v>15614</v>
      </c>
    </row>
    <row r="2989" customFormat="false" ht="15" hidden="false" customHeight="true" outlineLevel="0" collapsed="false">
      <c r="A2989" s="6" t="s">
        <v>18601</v>
      </c>
      <c r="B2989" s="6" t="s">
        <v>1995</v>
      </c>
      <c r="C2989" s="6" t="s">
        <v>128</v>
      </c>
      <c r="D2989" s="6" t="s">
        <v>47</v>
      </c>
      <c r="E2989" s="14" t="n">
        <v>8138.96</v>
      </c>
      <c r="F2989" s="14" t="n">
        <v>16277.92</v>
      </c>
      <c r="G2989" s="6" t="s">
        <v>15614</v>
      </c>
    </row>
    <row r="2990" customFormat="false" ht="15" hidden="false" customHeight="true" outlineLevel="0" collapsed="false">
      <c r="A2990" s="6" t="s">
        <v>18602</v>
      </c>
      <c r="B2990" s="6" t="s">
        <v>1997</v>
      </c>
      <c r="C2990" s="6" t="s">
        <v>120</v>
      </c>
      <c r="D2990" s="6" t="s">
        <v>25</v>
      </c>
      <c r="E2990" s="14" t="n">
        <v>770.37</v>
      </c>
      <c r="F2990" s="14" t="n">
        <v>770.37</v>
      </c>
      <c r="G2990" s="6" t="s">
        <v>15614</v>
      </c>
    </row>
    <row r="2991" customFormat="false" ht="15" hidden="false" customHeight="true" outlineLevel="0" collapsed="false">
      <c r="A2991" s="6" t="s">
        <v>18603</v>
      </c>
      <c r="B2991" s="6" t="s">
        <v>1997</v>
      </c>
      <c r="C2991" s="6" t="s">
        <v>120</v>
      </c>
      <c r="D2991" s="6" t="s">
        <v>26</v>
      </c>
      <c r="E2991" s="14" t="n">
        <v>770.37</v>
      </c>
      <c r="F2991" s="14" t="n">
        <v>1540.74</v>
      </c>
      <c r="G2991" s="6" t="s">
        <v>15614</v>
      </c>
    </row>
    <row r="2992" customFormat="false" ht="15" hidden="false" customHeight="true" outlineLevel="0" collapsed="false">
      <c r="A2992" s="6" t="s">
        <v>18604</v>
      </c>
      <c r="B2992" s="6" t="s">
        <v>1997</v>
      </c>
      <c r="C2992" s="6" t="s">
        <v>120</v>
      </c>
      <c r="D2992" s="6" t="s">
        <v>27</v>
      </c>
      <c r="E2992" s="14" t="n">
        <v>770.37</v>
      </c>
      <c r="F2992" s="14" t="n">
        <v>2311.11</v>
      </c>
      <c r="G2992" s="6" t="s">
        <v>15614</v>
      </c>
    </row>
    <row r="2993" customFormat="false" ht="15" hidden="false" customHeight="true" outlineLevel="0" collapsed="false">
      <c r="A2993" s="6" t="s">
        <v>18605</v>
      </c>
      <c r="B2993" s="6" t="s">
        <v>1999</v>
      </c>
      <c r="C2993" s="6" t="s">
        <v>128</v>
      </c>
      <c r="D2993" s="6" t="s">
        <v>26</v>
      </c>
      <c r="E2993" s="14" t="n">
        <v>778.65</v>
      </c>
      <c r="F2993" s="14" t="n">
        <v>778.65</v>
      </c>
      <c r="G2993" s="6" t="s">
        <v>15614</v>
      </c>
    </row>
    <row r="2994" customFormat="false" ht="15" hidden="false" customHeight="true" outlineLevel="0" collapsed="false">
      <c r="A2994" s="6" t="s">
        <v>18606</v>
      </c>
      <c r="B2994" s="6" t="s">
        <v>1999</v>
      </c>
      <c r="C2994" s="6" t="s">
        <v>128</v>
      </c>
      <c r="D2994" s="6" t="s">
        <v>27</v>
      </c>
      <c r="E2994" s="14" t="n">
        <v>778.65</v>
      </c>
      <c r="F2994" s="14" t="n">
        <v>1557.3</v>
      </c>
      <c r="G2994" s="6" t="s">
        <v>15614</v>
      </c>
    </row>
    <row r="2995" customFormat="false" ht="15" hidden="false" customHeight="true" outlineLevel="0" collapsed="false">
      <c r="A2995" s="6" t="s">
        <v>18607</v>
      </c>
      <c r="B2995" s="6" t="s">
        <v>2001</v>
      </c>
      <c r="C2995" s="6" t="s">
        <v>124</v>
      </c>
      <c r="D2995" s="6" t="s">
        <v>44</v>
      </c>
      <c r="E2995" s="14" t="n">
        <v>904.96</v>
      </c>
      <c r="F2995" s="14" t="n">
        <v>904.96</v>
      </c>
      <c r="G2995" s="6" t="s">
        <v>15614</v>
      </c>
    </row>
    <row r="2996" customFormat="false" ht="15" hidden="false" customHeight="true" outlineLevel="0" collapsed="false">
      <c r="A2996" s="6" t="s">
        <v>18608</v>
      </c>
      <c r="B2996" s="6" t="s">
        <v>2001</v>
      </c>
      <c r="C2996" s="6" t="s">
        <v>124</v>
      </c>
      <c r="D2996" s="6" t="s">
        <v>45</v>
      </c>
      <c r="E2996" s="14" t="n">
        <v>904.96</v>
      </c>
      <c r="F2996" s="14" t="n">
        <v>1809.92</v>
      </c>
      <c r="G2996" s="6" t="s">
        <v>15614</v>
      </c>
    </row>
    <row r="2997" customFormat="false" ht="15" hidden="false" customHeight="true" outlineLevel="0" collapsed="false">
      <c r="A2997" s="6" t="s">
        <v>18609</v>
      </c>
      <c r="B2997" s="6" t="s">
        <v>2003</v>
      </c>
      <c r="C2997" s="6" t="s">
        <v>131</v>
      </c>
      <c r="D2997" s="6" t="s">
        <v>38</v>
      </c>
      <c r="E2997" s="14" t="n">
        <v>743.63</v>
      </c>
      <c r="F2997" s="14" t="n">
        <v>743.63</v>
      </c>
      <c r="G2997" s="6" t="s">
        <v>15614</v>
      </c>
    </row>
    <row r="2998" customFormat="false" ht="15" hidden="false" customHeight="true" outlineLevel="0" collapsed="false">
      <c r="A2998" s="6" t="s">
        <v>18610</v>
      </c>
      <c r="B2998" s="6" t="s">
        <v>2003</v>
      </c>
      <c r="C2998" s="6" t="s">
        <v>131</v>
      </c>
      <c r="D2998" s="6" t="s">
        <v>39</v>
      </c>
      <c r="E2998" s="14" t="n">
        <v>743.63</v>
      </c>
      <c r="F2998" s="14" t="n">
        <v>1487.26</v>
      </c>
      <c r="G2998" s="6" t="s">
        <v>15614</v>
      </c>
    </row>
    <row r="2999" customFormat="false" ht="15" hidden="false" customHeight="true" outlineLevel="0" collapsed="false">
      <c r="A2999" s="6" t="s">
        <v>18611</v>
      </c>
      <c r="B2999" s="6" t="s">
        <v>2003</v>
      </c>
      <c r="C2999" s="6" t="s">
        <v>131</v>
      </c>
      <c r="D2999" s="6" t="s">
        <v>40</v>
      </c>
      <c r="E2999" s="14" t="n">
        <v>743.63</v>
      </c>
      <c r="F2999" s="14" t="n">
        <v>2230.89</v>
      </c>
      <c r="G2999" s="6" t="s">
        <v>15614</v>
      </c>
    </row>
    <row r="3000" customFormat="false" ht="15" hidden="false" customHeight="true" outlineLevel="0" collapsed="false">
      <c r="A3000" s="6" t="s">
        <v>18612</v>
      </c>
      <c r="B3000" s="6" t="s">
        <v>2003</v>
      </c>
      <c r="C3000" s="6" t="s">
        <v>131</v>
      </c>
      <c r="D3000" s="6" t="s">
        <v>41</v>
      </c>
      <c r="E3000" s="14" t="n">
        <v>743.63</v>
      </c>
      <c r="F3000" s="14" t="n">
        <v>2974.52</v>
      </c>
      <c r="G3000" s="6" t="s">
        <v>15614</v>
      </c>
    </row>
    <row r="3001" customFormat="false" ht="15" hidden="false" customHeight="true" outlineLevel="0" collapsed="false">
      <c r="A3001" s="6" t="s">
        <v>18613</v>
      </c>
      <c r="B3001" s="6" t="s">
        <v>2003</v>
      </c>
      <c r="C3001" s="6" t="s">
        <v>131</v>
      </c>
      <c r="D3001" s="6" t="s">
        <v>42</v>
      </c>
      <c r="E3001" s="14" t="n">
        <v>743.63</v>
      </c>
      <c r="F3001" s="14" t="n">
        <v>3718.15</v>
      </c>
      <c r="G3001" s="6" t="s">
        <v>15614</v>
      </c>
    </row>
    <row r="3002" customFormat="false" ht="15" hidden="false" customHeight="true" outlineLevel="0" collapsed="false">
      <c r="A3002" s="6" t="s">
        <v>18614</v>
      </c>
      <c r="B3002" s="6" t="s">
        <v>2003</v>
      </c>
      <c r="C3002" s="6" t="s">
        <v>131</v>
      </c>
      <c r="D3002" s="6" t="s">
        <v>43</v>
      </c>
      <c r="E3002" s="14" t="n">
        <v>743.63</v>
      </c>
      <c r="F3002" s="14" t="n">
        <v>4461.78</v>
      </c>
      <c r="G3002" s="6" t="s">
        <v>15614</v>
      </c>
    </row>
    <row r="3003" customFormat="false" ht="15" hidden="false" customHeight="true" outlineLevel="0" collapsed="false">
      <c r="A3003" s="6" t="s">
        <v>18615</v>
      </c>
      <c r="B3003" s="6" t="s">
        <v>2003</v>
      </c>
      <c r="C3003" s="6" t="s">
        <v>131</v>
      </c>
      <c r="D3003" s="6" t="s">
        <v>44</v>
      </c>
      <c r="E3003" s="14" t="n">
        <v>743.63</v>
      </c>
      <c r="F3003" s="14" t="n">
        <v>5205.41</v>
      </c>
      <c r="G3003" s="6" t="s">
        <v>15614</v>
      </c>
    </row>
    <row r="3004" customFormat="false" ht="15" hidden="false" customHeight="true" outlineLevel="0" collapsed="false">
      <c r="A3004" s="6" t="s">
        <v>18616</v>
      </c>
      <c r="B3004" s="6" t="s">
        <v>2005</v>
      </c>
      <c r="C3004" s="6" t="s">
        <v>128</v>
      </c>
      <c r="D3004" s="6" t="s">
        <v>37</v>
      </c>
      <c r="E3004" s="14" t="n">
        <v>1933.33</v>
      </c>
      <c r="F3004" s="14" t="n">
        <v>1933.33</v>
      </c>
      <c r="G3004" s="6" t="s">
        <v>15614</v>
      </c>
    </row>
    <row r="3005" customFormat="false" ht="15" hidden="false" customHeight="true" outlineLevel="0" collapsed="false">
      <c r="A3005" s="6" t="s">
        <v>18617</v>
      </c>
      <c r="B3005" s="6" t="s">
        <v>2007</v>
      </c>
      <c r="C3005" s="6" t="s">
        <v>116</v>
      </c>
      <c r="D3005" s="6" t="s">
        <v>48</v>
      </c>
      <c r="E3005" s="14" t="n">
        <v>5840.78</v>
      </c>
      <c r="F3005" s="14" t="n">
        <v>5840.78</v>
      </c>
      <c r="G3005" s="6" t="s">
        <v>15614</v>
      </c>
    </row>
    <row r="3006" customFormat="false" ht="15" hidden="false" customHeight="true" outlineLevel="0" collapsed="false">
      <c r="A3006" s="6" t="s">
        <v>18618</v>
      </c>
      <c r="B3006" s="6" t="s">
        <v>2007</v>
      </c>
      <c r="C3006" s="6" t="s">
        <v>116</v>
      </c>
      <c r="D3006" s="6" t="s">
        <v>49</v>
      </c>
      <c r="E3006" s="14" t="n">
        <v>5840.78</v>
      </c>
      <c r="F3006" s="14" t="n">
        <v>11681.56</v>
      </c>
      <c r="G3006" s="6" t="s">
        <v>15614</v>
      </c>
    </row>
    <row r="3007" customFormat="false" ht="15" hidden="false" customHeight="true" outlineLevel="0" collapsed="false">
      <c r="A3007" s="6" t="s">
        <v>18619</v>
      </c>
      <c r="B3007" s="6" t="s">
        <v>2007</v>
      </c>
      <c r="C3007" s="6" t="s">
        <v>116</v>
      </c>
      <c r="D3007" s="6" t="s">
        <v>50</v>
      </c>
      <c r="E3007" s="14" t="n">
        <v>5840.78</v>
      </c>
      <c r="F3007" s="14" t="n">
        <v>17522.34</v>
      </c>
      <c r="G3007" s="6" t="s">
        <v>15614</v>
      </c>
    </row>
    <row r="3008" customFormat="false" ht="15" hidden="false" customHeight="true" outlineLevel="0" collapsed="false">
      <c r="A3008" s="6" t="s">
        <v>18620</v>
      </c>
      <c r="B3008" s="6" t="s">
        <v>2009</v>
      </c>
      <c r="C3008" s="6" t="s">
        <v>124</v>
      </c>
      <c r="D3008" s="6" t="s">
        <v>63</v>
      </c>
      <c r="E3008" s="14" t="n">
        <v>404.67</v>
      </c>
      <c r="F3008" s="14" t="n">
        <v>404.67</v>
      </c>
      <c r="G3008" s="6" t="s">
        <v>15614</v>
      </c>
    </row>
    <row r="3009" customFormat="false" ht="15" hidden="false" customHeight="true" outlineLevel="0" collapsed="false">
      <c r="A3009" s="6" t="s">
        <v>18621</v>
      </c>
      <c r="B3009" s="6" t="s">
        <v>2009</v>
      </c>
      <c r="C3009" s="6" t="s">
        <v>124</v>
      </c>
      <c r="D3009" s="6" t="s">
        <v>64</v>
      </c>
      <c r="E3009" s="14" t="n">
        <v>404.67</v>
      </c>
      <c r="F3009" s="14" t="n">
        <v>809.34</v>
      </c>
      <c r="G3009" s="6" t="s">
        <v>15614</v>
      </c>
    </row>
    <row r="3010" customFormat="false" ht="15" hidden="false" customHeight="true" outlineLevel="0" collapsed="false">
      <c r="A3010" s="6" t="s">
        <v>18622</v>
      </c>
      <c r="B3010" s="6" t="s">
        <v>2009</v>
      </c>
      <c r="C3010" s="6" t="s">
        <v>124</v>
      </c>
      <c r="D3010" s="6" t="s">
        <v>65</v>
      </c>
      <c r="E3010" s="14" t="n">
        <v>404.67</v>
      </c>
      <c r="F3010" s="14" t="n">
        <v>1214.01</v>
      </c>
      <c r="G3010" s="6" t="s">
        <v>15614</v>
      </c>
    </row>
    <row r="3011" customFormat="false" ht="15" hidden="false" customHeight="true" outlineLevel="0" collapsed="false">
      <c r="A3011" s="6" t="s">
        <v>18623</v>
      </c>
      <c r="B3011" s="6" t="s">
        <v>2011</v>
      </c>
      <c r="C3011" s="6" t="s">
        <v>128</v>
      </c>
      <c r="D3011" s="6" t="s">
        <v>27</v>
      </c>
      <c r="E3011" s="14" t="n">
        <v>650.88</v>
      </c>
      <c r="F3011" s="14" t="n">
        <v>650.88</v>
      </c>
      <c r="G3011" s="6" t="s">
        <v>15614</v>
      </c>
    </row>
    <row r="3012" customFormat="false" ht="15" hidden="false" customHeight="true" outlineLevel="0" collapsed="false">
      <c r="A3012" s="6" t="s">
        <v>18624</v>
      </c>
      <c r="B3012" s="6" t="s">
        <v>2011</v>
      </c>
      <c r="C3012" s="6" t="s">
        <v>128</v>
      </c>
      <c r="D3012" s="6" t="s">
        <v>28</v>
      </c>
      <c r="E3012" s="14" t="n">
        <v>650.88</v>
      </c>
      <c r="F3012" s="14" t="n">
        <v>1301.76</v>
      </c>
      <c r="G3012" s="6" t="s">
        <v>15614</v>
      </c>
    </row>
    <row r="3013" customFormat="false" ht="15" hidden="false" customHeight="true" outlineLevel="0" collapsed="false">
      <c r="A3013" s="6" t="s">
        <v>18625</v>
      </c>
      <c r="B3013" s="6" t="s">
        <v>2013</v>
      </c>
      <c r="C3013" s="6" t="s">
        <v>124</v>
      </c>
      <c r="D3013" s="6" t="s">
        <v>22</v>
      </c>
      <c r="E3013" s="14" t="n">
        <v>1883.51</v>
      </c>
      <c r="F3013" s="14" t="n">
        <v>1883.51</v>
      </c>
      <c r="G3013" s="6" t="s">
        <v>15614</v>
      </c>
    </row>
    <row r="3014" customFormat="false" ht="15" hidden="false" customHeight="true" outlineLevel="0" collapsed="false">
      <c r="A3014" s="6" t="s">
        <v>18626</v>
      </c>
      <c r="B3014" s="6" t="s">
        <v>2013</v>
      </c>
      <c r="C3014" s="6" t="s">
        <v>124</v>
      </c>
      <c r="D3014" s="6" t="s">
        <v>23</v>
      </c>
      <c r="E3014" s="14" t="n">
        <v>1883.51</v>
      </c>
      <c r="F3014" s="14" t="n">
        <v>3767.02</v>
      </c>
      <c r="G3014" s="6" t="s">
        <v>15614</v>
      </c>
    </row>
    <row r="3015" customFormat="false" ht="15" hidden="false" customHeight="true" outlineLevel="0" collapsed="false">
      <c r="A3015" s="6" t="s">
        <v>18627</v>
      </c>
      <c r="B3015" s="6" t="s">
        <v>2013</v>
      </c>
      <c r="C3015" s="6" t="s">
        <v>124</v>
      </c>
      <c r="D3015" s="6" t="s">
        <v>24</v>
      </c>
      <c r="E3015" s="14" t="n">
        <v>1883.51</v>
      </c>
      <c r="F3015" s="14" t="n">
        <v>5650.53</v>
      </c>
      <c r="G3015" s="6" t="s">
        <v>15614</v>
      </c>
    </row>
    <row r="3016" customFormat="false" ht="15" hidden="false" customHeight="true" outlineLevel="0" collapsed="false">
      <c r="A3016" s="6" t="s">
        <v>18628</v>
      </c>
      <c r="B3016" s="6" t="s">
        <v>2013</v>
      </c>
      <c r="C3016" s="6" t="s">
        <v>124</v>
      </c>
      <c r="D3016" s="6" t="s">
        <v>25</v>
      </c>
      <c r="E3016" s="14" t="n">
        <v>1883.51</v>
      </c>
      <c r="F3016" s="14" t="n">
        <v>7534.04</v>
      </c>
      <c r="G3016" s="6" t="s">
        <v>15614</v>
      </c>
    </row>
    <row r="3017" customFormat="false" ht="15" hidden="false" customHeight="true" outlineLevel="0" collapsed="false">
      <c r="A3017" s="6" t="s">
        <v>18629</v>
      </c>
      <c r="B3017" s="6" t="s">
        <v>2013</v>
      </c>
      <c r="C3017" s="6" t="s">
        <v>124</v>
      </c>
      <c r="D3017" s="6" t="s">
        <v>26</v>
      </c>
      <c r="E3017" s="14" t="n">
        <v>1883.51</v>
      </c>
      <c r="F3017" s="14" t="n">
        <v>9417.55</v>
      </c>
      <c r="G3017" s="6" t="s">
        <v>15614</v>
      </c>
    </row>
    <row r="3018" customFormat="false" ht="15" hidden="false" customHeight="true" outlineLevel="0" collapsed="false">
      <c r="A3018" s="6" t="s">
        <v>18630</v>
      </c>
      <c r="B3018" s="6" t="s">
        <v>2015</v>
      </c>
      <c r="C3018" s="6" t="s">
        <v>131</v>
      </c>
      <c r="D3018" s="6" t="s">
        <v>25</v>
      </c>
      <c r="E3018" s="14" t="n">
        <v>1053.46</v>
      </c>
      <c r="F3018" s="14" t="n">
        <v>1053.46</v>
      </c>
      <c r="G3018" s="6" t="s">
        <v>15614</v>
      </c>
    </row>
    <row r="3019" customFormat="false" ht="15" hidden="false" customHeight="true" outlineLevel="0" collapsed="false">
      <c r="A3019" s="6" t="s">
        <v>18631</v>
      </c>
      <c r="B3019" s="6" t="s">
        <v>2015</v>
      </c>
      <c r="C3019" s="6" t="s">
        <v>131</v>
      </c>
      <c r="D3019" s="6" t="s">
        <v>26</v>
      </c>
      <c r="E3019" s="14" t="n">
        <v>1053.46</v>
      </c>
      <c r="F3019" s="14" t="n">
        <v>2106.92</v>
      </c>
      <c r="G3019" s="6" t="s">
        <v>15614</v>
      </c>
    </row>
    <row r="3020" customFormat="false" ht="15" hidden="false" customHeight="true" outlineLevel="0" collapsed="false">
      <c r="A3020" s="6" t="s">
        <v>18632</v>
      </c>
      <c r="B3020" s="6" t="s">
        <v>2015</v>
      </c>
      <c r="C3020" s="6" t="s">
        <v>131</v>
      </c>
      <c r="D3020" s="6" t="s">
        <v>27</v>
      </c>
      <c r="E3020" s="14" t="n">
        <v>1053.46</v>
      </c>
      <c r="F3020" s="14" t="n">
        <v>3160.38</v>
      </c>
      <c r="G3020" s="6" t="s">
        <v>15614</v>
      </c>
    </row>
    <row r="3021" customFormat="false" ht="15" hidden="false" customHeight="true" outlineLevel="0" collapsed="false">
      <c r="A3021" s="6" t="s">
        <v>18633</v>
      </c>
      <c r="B3021" s="6" t="s">
        <v>2015</v>
      </c>
      <c r="C3021" s="6" t="s">
        <v>131</v>
      </c>
      <c r="D3021" s="6" t="s">
        <v>28</v>
      </c>
      <c r="E3021" s="14" t="n">
        <v>1053.46</v>
      </c>
      <c r="F3021" s="14" t="n">
        <v>4213.84</v>
      </c>
      <c r="G3021" s="6" t="s">
        <v>15614</v>
      </c>
    </row>
    <row r="3022" customFormat="false" ht="15" hidden="false" customHeight="true" outlineLevel="0" collapsed="false">
      <c r="A3022" s="6" t="s">
        <v>18634</v>
      </c>
      <c r="B3022" s="6" t="s">
        <v>2015</v>
      </c>
      <c r="C3022" s="6" t="s">
        <v>131</v>
      </c>
      <c r="D3022" s="6" t="s">
        <v>29</v>
      </c>
      <c r="E3022" s="14" t="n">
        <v>1053.46</v>
      </c>
      <c r="F3022" s="14" t="n">
        <v>5267.3</v>
      </c>
      <c r="G3022" s="6" t="s">
        <v>15614</v>
      </c>
    </row>
    <row r="3023" customFormat="false" ht="15" hidden="false" customHeight="true" outlineLevel="0" collapsed="false">
      <c r="A3023" s="6" t="s">
        <v>18635</v>
      </c>
      <c r="B3023" s="6" t="s">
        <v>2015</v>
      </c>
      <c r="C3023" s="6" t="s">
        <v>131</v>
      </c>
      <c r="D3023" s="6" t="s">
        <v>30</v>
      </c>
      <c r="E3023" s="14" t="n">
        <v>1053.46</v>
      </c>
      <c r="F3023" s="14" t="n">
        <v>6320.76</v>
      </c>
      <c r="G3023" s="6" t="s">
        <v>15614</v>
      </c>
    </row>
    <row r="3024" customFormat="false" ht="15" hidden="false" customHeight="true" outlineLevel="0" collapsed="false">
      <c r="A3024" s="6" t="s">
        <v>18636</v>
      </c>
      <c r="B3024" s="6" t="s">
        <v>2015</v>
      </c>
      <c r="C3024" s="6" t="s">
        <v>131</v>
      </c>
      <c r="D3024" s="6" t="s">
        <v>31</v>
      </c>
      <c r="E3024" s="14" t="n">
        <v>1053.46</v>
      </c>
      <c r="F3024" s="14" t="n">
        <v>7374.22</v>
      </c>
      <c r="G3024" s="6" t="s">
        <v>15614</v>
      </c>
    </row>
    <row r="3025" customFormat="false" ht="15" hidden="false" customHeight="true" outlineLevel="0" collapsed="false">
      <c r="A3025" s="6" t="s">
        <v>18637</v>
      </c>
      <c r="B3025" s="6" t="s">
        <v>2017</v>
      </c>
      <c r="C3025" s="6" t="s">
        <v>124</v>
      </c>
      <c r="D3025" s="6" t="s">
        <v>27</v>
      </c>
      <c r="E3025" s="14" t="n">
        <v>821.54</v>
      </c>
      <c r="F3025" s="14" t="n">
        <v>821.54</v>
      </c>
      <c r="G3025" s="6" t="s">
        <v>15614</v>
      </c>
    </row>
    <row r="3026" customFormat="false" ht="15" hidden="false" customHeight="true" outlineLevel="0" collapsed="false">
      <c r="A3026" s="6" t="s">
        <v>18638</v>
      </c>
      <c r="B3026" s="6" t="s">
        <v>2017</v>
      </c>
      <c r="C3026" s="6" t="s">
        <v>124</v>
      </c>
      <c r="D3026" s="6" t="s">
        <v>28</v>
      </c>
      <c r="E3026" s="14" t="n">
        <v>821.54</v>
      </c>
      <c r="F3026" s="14" t="n">
        <v>1643.08</v>
      </c>
      <c r="G3026" s="6" t="s">
        <v>15614</v>
      </c>
    </row>
    <row r="3027" customFormat="false" ht="15" hidden="false" customHeight="true" outlineLevel="0" collapsed="false">
      <c r="A3027" s="6" t="s">
        <v>18639</v>
      </c>
      <c r="B3027" s="6" t="s">
        <v>2017</v>
      </c>
      <c r="C3027" s="6" t="s">
        <v>124</v>
      </c>
      <c r="D3027" s="6" t="s">
        <v>29</v>
      </c>
      <c r="E3027" s="14" t="n">
        <v>821.54</v>
      </c>
      <c r="F3027" s="14" t="n">
        <v>2464.62</v>
      </c>
      <c r="G3027" s="6" t="s">
        <v>15614</v>
      </c>
    </row>
    <row r="3028" customFormat="false" ht="15" hidden="false" customHeight="true" outlineLevel="0" collapsed="false">
      <c r="A3028" s="6" t="s">
        <v>18640</v>
      </c>
      <c r="B3028" s="6" t="s">
        <v>2017</v>
      </c>
      <c r="C3028" s="6" t="s">
        <v>124</v>
      </c>
      <c r="D3028" s="6" t="s">
        <v>30</v>
      </c>
      <c r="E3028" s="14" t="n">
        <v>821.54</v>
      </c>
      <c r="F3028" s="14" t="n">
        <v>3286.16</v>
      </c>
      <c r="G3028" s="6" t="s">
        <v>15614</v>
      </c>
    </row>
    <row r="3029" customFormat="false" ht="15" hidden="false" customHeight="true" outlineLevel="0" collapsed="false">
      <c r="A3029" s="6" t="s">
        <v>18641</v>
      </c>
      <c r="B3029" s="6" t="s">
        <v>2019</v>
      </c>
      <c r="C3029" s="6" t="s">
        <v>116</v>
      </c>
      <c r="D3029" s="6" t="s">
        <v>54</v>
      </c>
      <c r="E3029" s="14" t="n">
        <v>2824.43</v>
      </c>
      <c r="F3029" s="14" t="n">
        <v>2824.43</v>
      </c>
      <c r="G3029" s="6" t="s">
        <v>15614</v>
      </c>
    </row>
    <row r="3030" customFormat="false" ht="15" hidden="false" customHeight="true" outlineLevel="0" collapsed="false">
      <c r="A3030" s="6" t="s">
        <v>18642</v>
      </c>
      <c r="B3030" s="6" t="s">
        <v>2019</v>
      </c>
      <c r="C3030" s="6" t="s">
        <v>116</v>
      </c>
      <c r="D3030" s="6" t="s">
        <v>55</v>
      </c>
      <c r="E3030" s="14" t="n">
        <v>2824.43</v>
      </c>
      <c r="F3030" s="14" t="n">
        <v>5648.86</v>
      </c>
      <c r="G3030" s="6" t="s">
        <v>15614</v>
      </c>
    </row>
    <row r="3031" customFormat="false" ht="15" hidden="false" customHeight="true" outlineLevel="0" collapsed="false">
      <c r="A3031" s="6" t="s">
        <v>18643</v>
      </c>
      <c r="B3031" s="6" t="s">
        <v>2019</v>
      </c>
      <c r="C3031" s="6" t="s">
        <v>116</v>
      </c>
      <c r="D3031" s="6" t="s">
        <v>56</v>
      </c>
      <c r="E3031" s="14" t="n">
        <v>2824.43</v>
      </c>
      <c r="F3031" s="14" t="n">
        <v>8473.29</v>
      </c>
      <c r="G3031" s="6" t="s">
        <v>15614</v>
      </c>
    </row>
    <row r="3032" customFormat="false" ht="15" hidden="false" customHeight="true" outlineLevel="0" collapsed="false">
      <c r="A3032" s="6" t="s">
        <v>18644</v>
      </c>
      <c r="B3032" s="6" t="s">
        <v>2021</v>
      </c>
      <c r="C3032" s="6" t="s">
        <v>128</v>
      </c>
      <c r="D3032" s="6" t="s">
        <v>14</v>
      </c>
      <c r="E3032" s="14" t="n">
        <v>935.12</v>
      </c>
      <c r="F3032" s="14" t="n">
        <v>935.12</v>
      </c>
      <c r="G3032" s="6" t="s">
        <v>15614</v>
      </c>
    </row>
    <row r="3033" customFormat="false" ht="15" hidden="false" customHeight="true" outlineLevel="0" collapsed="false">
      <c r="A3033" s="6" t="s">
        <v>18645</v>
      </c>
      <c r="B3033" s="6" t="s">
        <v>2021</v>
      </c>
      <c r="C3033" s="6" t="s">
        <v>128</v>
      </c>
      <c r="D3033" s="6" t="s">
        <v>15</v>
      </c>
      <c r="E3033" s="14" t="n">
        <v>935.12</v>
      </c>
      <c r="F3033" s="14" t="n">
        <v>1870.24</v>
      </c>
      <c r="G3033" s="6" t="s">
        <v>15614</v>
      </c>
    </row>
    <row r="3034" customFormat="false" ht="15" hidden="false" customHeight="true" outlineLevel="0" collapsed="false">
      <c r="A3034" s="6" t="s">
        <v>18646</v>
      </c>
      <c r="B3034" s="6" t="s">
        <v>2023</v>
      </c>
      <c r="C3034" s="6" t="s">
        <v>112</v>
      </c>
      <c r="D3034" s="6" t="s">
        <v>34</v>
      </c>
      <c r="E3034" s="14" t="n">
        <v>894.33</v>
      </c>
      <c r="F3034" s="14" t="n">
        <v>894.33</v>
      </c>
      <c r="G3034" s="6" t="s">
        <v>15614</v>
      </c>
    </row>
    <row r="3035" customFormat="false" ht="15" hidden="false" customHeight="true" outlineLevel="0" collapsed="false">
      <c r="A3035" s="6" t="s">
        <v>18647</v>
      </c>
      <c r="B3035" s="6" t="s">
        <v>2023</v>
      </c>
      <c r="C3035" s="6" t="s">
        <v>112</v>
      </c>
      <c r="D3035" s="6" t="s">
        <v>34</v>
      </c>
      <c r="E3035" s="14" t="n">
        <v>894.33</v>
      </c>
      <c r="F3035" s="14" t="n">
        <v>1788.66</v>
      </c>
      <c r="G3035" s="6" t="s">
        <v>15614</v>
      </c>
    </row>
    <row r="3036" customFormat="false" ht="15" hidden="false" customHeight="true" outlineLevel="0" collapsed="false">
      <c r="A3036" s="6" t="s">
        <v>18648</v>
      </c>
      <c r="B3036" s="6" t="s">
        <v>2023</v>
      </c>
      <c r="C3036" s="6" t="s">
        <v>112</v>
      </c>
      <c r="D3036" s="6" t="s">
        <v>35</v>
      </c>
      <c r="E3036" s="14" t="n">
        <v>894.33</v>
      </c>
      <c r="F3036" s="14" t="n">
        <v>2682.99</v>
      </c>
      <c r="G3036" s="6" t="s">
        <v>15614</v>
      </c>
    </row>
    <row r="3037" customFormat="false" ht="15" hidden="false" customHeight="true" outlineLevel="0" collapsed="false">
      <c r="A3037" s="6" t="s">
        <v>18649</v>
      </c>
      <c r="B3037" s="6" t="s">
        <v>2023</v>
      </c>
      <c r="C3037" s="6" t="s">
        <v>112</v>
      </c>
      <c r="D3037" s="6" t="s">
        <v>36</v>
      </c>
      <c r="E3037" s="14" t="n">
        <v>894.33</v>
      </c>
      <c r="F3037" s="14" t="n">
        <v>3577.32</v>
      </c>
      <c r="G3037" s="6" t="s">
        <v>15614</v>
      </c>
    </row>
    <row r="3038" customFormat="false" ht="15" hidden="false" customHeight="true" outlineLevel="0" collapsed="false">
      <c r="A3038" s="6" t="s">
        <v>18650</v>
      </c>
      <c r="B3038" s="6" t="s">
        <v>2025</v>
      </c>
      <c r="C3038" s="6" t="s">
        <v>120</v>
      </c>
      <c r="D3038" s="6" t="s">
        <v>43</v>
      </c>
      <c r="E3038" s="14" t="n">
        <v>2926.47</v>
      </c>
      <c r="F3038" s="14" t="n">
        <v>2926.47</v>
      </c>
      <c r="G3038" s="6" t="s">
        <v>15614</v>
      </c>
    </row>
    <row r="3039" customFormat="false" ht="15" hidden="false" customHeight="true" outlineLevel="0" collapsed="false">
      <c r="A3039" s="6" t="s">
        <v>18651</v>
      </c>
      <c r="B3039" s="6" t="s">
        <v>2025</v>
      </c>
      <c r="C3039" s="6" t="s">
        <v>120</v>
      </c>
      <c r="D3039" s="6" t="s">
        <v>44</v>
      </c>
      <c r="E3039" s="14" t="n">
        <v>2926.47</v>
      </c>
      <c r="F3039" s="14" t="n">
        <v>5852.94</v>
      </c>
      <c r="G3039" s="6" t="s">
        <v>15614</v>
      </c>
    </row>
    <row r="3040" customFormat="false" ht="15" hidden="false" customHeight="true" outlineLevel="0" collapsed="false">
      <c r="A3040" s="6" t="s">
        <v>18652</v>
      </c>
      <c r="B3040" s="6" t="s">
        <v>2027</v>
      </c>
      <c r="C3040" s="6" t="s">
        <v>120</v>
      </c>
      <c r="D3040" s="6" t="s">
        <v>40</v>
      </c>
      <c r="E3040" s="14" t="n">
        <v>4379.38</v>
      </c>
      <c r="F3040" s="14" t="n">
        <v>4379.38</v>
      </c>
      <c r="G3040" s="6" t="s">
        <v>15614</v>
      </c>
    </row>
    <row r="3041" customFormat="false" ht="15" hidden="false" customHeight="true" outlineLevel="0" collapsed="false">
      <c r="A3041" s="6" t="s">
        <v>18653</v>
      </c>
      <c r="B3041" s="6" t="s">
        <v>2027</v>
      </c>
      <c r="C3041" s="6" t="s">
        <v>120</v>
      </c>
      <c r="D3041" s="6" t="s">
        <v>41</v>
      </c>
      <c r="E3041" s="14" t="n">
        <v>4379.38</v>
      </c>
      <c r="F3041" s="14" t="n">
        <v>8758.76</v>
      </c>
      <c r="G3041" s="6" t="s">
        <v>15614</v>
      </c>
    </row>
    <row r="3042" customFormat="false" ht="15" hidden="false" customHeight="true" outlineLevel="0" collapsed="false">
      <c r="A3042" s="6" t="s">
        <v>18654</v>
      </c>
      <c r="B3042" s="6" t="s">
        <v>2029</v>
      </c>
      <c r="C3042" s="6" t="s">
        <v>120</v>
      </c>
      <c r="D3042" s="6" t="s">
        <v>55</v>
      </c>
      <c r="E3042" s="14" t="n">
        <v>2990.74</v>
      </c>
      <c r="F3042" s="14" t="n">
        <v>2990.74</v>
      </c>
      <c r="G3042" s="6" t="s">
        <v>15614</v>
      </c>
    </row>
    <row r="3043" customFormat="false" ht="15" hidden="false" customHeight="true" outlineLevel="0" collapsed="false">
      <c r="A3043" s="6" t="s">
        <v>18655</v>
      </c>
      <c r="B3043" s="6" t="s">
        <v>2029</v>
      </c>
      <c r="C3043" s="6" t="s">
        <v>120</v>
      </c>
      <c r="D3043" s="6" t="s">
        <v>56</v>
      </c>
      <c r="E3043" s="14" t="n">
        <v>2990.74</v>
      </c>
      <c r="F3043" s="14" t="n">
        <v>5981.48</v>
      </c>
      <c r="G3043" s="6" t="s">
        <v>15614</v>
      </c>
    </row>
    <row r="3044" customFormat="false" ht="15" hidden="false" customHeight="true" outlineLevel="0" collapsed="false">
      <c r="A3044" s="6" t="s">
        <v>18656</v>
      </c>
      <c r="B3044" s="6" t="s">
        <v>2029</v>
      </c>
      <c r="C3044" s="6" t="s">
        <v>120</v>
      </c>
      <c r="D3044" s="6" t="s">
        <v>57</v>
      </c>
      <c r="E3044" s="14" t="n">
        <v>2990.74</v>
      </c>
      <c r="F3044" s="14" t="n">
        <v>8972.22</v>
      </c>
      <c r="G3044" s="6" t="s">
        <v>15614</v>
      </c>
    </row>
    <row r="3045" customFormat="false" ht="15" hidden="false" customHeight="true" outlineLevel="0" collapsed="false">
      <c r="A3045" s="6" t="s">
        <v>18657</v>
      </c>
      <c r="B3045" s="6" t="s">
        <v>2029</v>
      </c>
      <c r="C3045" s="6" t="s">
        <v>120</v>
      </c>
      <c r="D3045" s="6" t="s">
        <v>58</v>
      </c>
      <c r="E3045" s="14" t="n">
        <v>2990.74</v>
      </c>
      <c r="F3045" s="14" t="n">
        <v>11962.96</v>
      </c>
      <c r="G3045" s="6" t="s">
        <v>15614</v>
      </c>
    </row>
    <row r="3046" customFormat="false" ht="15" hidden="false" customHeight="true" outlineLevel="0" collapsed="false">
      <c r="A3046" s="6" t="s">
        <v>18658</v>
      </c>
      <c r="B3046" s="6" t="s">
        <v>2029</v>
      </c>
      <c r="C3046" s="6" t="s">
        <v>120</v>
      </c>
      <c r="D3046" s="6" t="s">
        <v>59</v>
      </c>
      <c r="E3046" s="14" t="n">
        <v>2990.74</v>
      </c>
      <c r="F3046" s="14" t="n">
        <v>14953.7</v>
      </c>
      <c r="G3046" s="6" t="s">
        <v>15614</v>
      </c>
    </row>
    <row r="3047" customFormat="false" ht="15" hidden="false" customHeight="true" outlineLevel="0" collapsed="false">
      <c r="A3047" s="6" t="s">
        <v>18659</v>
      </c>
      <c r="B3047" s="6" t="s">
        <v>2029</v>
      </c>
      <c r="C3047" s="6" t="s">
        <v>120</v>
      </c>
      <c r="D3047" s="6" t="s">
        <v>60</v>
      </c>
      <c r="E3047" s="14" t="n">
        <v>2990.74</v>
      </c>
      <c r="F3047" s="14" t="n">
        <v>17944.44</v>
      </c>
      <c r="G3047" s="6" t="s">
        <v>15614</v>
      </c>
    </row>
    <row r="3048" customFormat="false" ht="15" hidden="false" customHeight="true" outlineLevel="0" collapsed="false">
      <c r="A3048" s="6" t="s">
        <v>18660</v>
      </c>
      <c r="B3048" s="6" t="s">
        <v>2031</v>
      </c>
      <c r="C3048" s="6" t="s">
        <v>112</v>
      </c>
      <c r="D3048" s="6" t="s">
        <v>42</v>
      </c>
      <c r="E3048" s="14" t="n">
        <v>575.23</v>
      </c>
      <c r="F3048" s="14" t="n">
        <v>575.23</v>
      </c>
      <c r="G3048" s="6" t="s">
        <v>15614</v>
      </c>
    </row>
    <row r="3049" customFormat="false" ht="15" hidden="false" customHeight="true" outlineLevel="0" collapsed="false">
      <c r="A3049" s="6" t="s">
        <v>18661</v>
      </c>
      <c r="B3049" s="6" t="s">
        <v>2031</v>
      </c>
      <c r="C3049" s="6" t="s">
        <v>112</v>
      </c>
      <c r="D3049" s="6" t="s">
        <v>43</v>
      </c>
      <c r="E3049" s="14" t="n">
        <v>575.23</v>
      </c>
      <c r="F3049" s="14" t="n">
        <v>1150.46</v>
      </c>
      <c r="G3049" s="6" t="s">
        <v>15614</v>
      </c>
    </row>
    <row r="3050" customFormat="false" ht="15" hidden="false" customHeight="true" outlineLevel="0" collapsed="false">
      <c r="A3050" s="6" t="s">
        <v>18662</v>
      </c>
      <c r="B3050" s="6" t="s">
        <v>2031</v>
      </c>
      <c r="C3050" s="6" t="s">
        <v>112</v>
      </c>
      <c r="D3050" s="6" t="s">
        <v>44</v>
      </c>
      <c r="E3050" s="14" t="n">
        <v>575.23</v>
      </c>
      <c r="F3050" s="14" t="n">
        <v>1725.69</v>
      </c>
      <c r="G3050" s="6" t="s">
        <v>15614</v>
      </c>
    </row>
    <row r="3051" customFormat="false" ht="15" hidden="false" customHeight="true" outlineLevel="0" collapsed="false">
      <c r="A3051" s="6" t="s">
        <v>18663</v>
      </c>
      <c r="B3051" s="6" t="s">
        <v>2031</v>
      </c>
      <c r="C3051" s="6" t="s">
        <v>112</v>
      </c>
      <c r="D3051" s="6" t="s">
        <v>45</v>
      </c>
      <c r="E3051" s="14" t="n">
        <v>575.23</v>
      </c>
      <c r="F3051" s="14" t="n">
        <v>2300.92</v>
      </c>
      <c r="G3051" s="6" t="s">
        <v>15614</v>
      </c>
    </row>
    <row r="3052" customFormat="false" ht="15" hidden="false" customHeight="true" outlineLevel="0" collapsed="false">
      <c r="A3052" s="6" t="s">
        <v>18664</v>
      </c>
      <c r="B3052" s="6" t="s">
        <v>2033</v>
      </c>
      <c r="C3052" s="6" t="s">
        <v>120</v>
      </c>
      <c r="D3052" s="6" t="s">
        <v>50</v>
      </c>
      <c r="E3052" s="14" t="n">
        <v>1723.4</v>
      </c>
      <c r="F3052" s="14" t="n">
        <v>1723.4</v>
      </c>
      <c r="G3052" s="6" t="s">
        <v>15614</v>
      </c>
    </row>
    <row r="3053" customFormat="false" ht="15" hidden="false" customHeight="true" outlineLevel="0" collapsed="false">
      <c r="A3053" s="6" t="s">
        <v>18665</v>
      </c>
      <c r="B3053" s="6" t="s">
        <v>2033</v>
      </c>
      <c r="C3053" s="6" t="s">
        <v>120</v>
      </c>
      <c r="D3053" s="6" t="s">
        <v>51</v>
      </c>
      <c r="E3053" s="14" t="n">
        <v>1723.4</v>
      </c>
      <c r="F3053" s="14" t="n">
        <v>3446.8</v>
      </c>
      <c r="G3053" s="6" t="s">
        <v>15614</v>
      </c>
    </row>
    <row r="3054" customFormat="false" ht="15" hidden="false" customHeight="true" outlineLevel="0" collapsed="false">
      <c r="A3054" s="6" t="s">
        <v>18666</v>
      </c>
      <c r="B3054" s="6" t="s">
        <v>2033</v>
      </c>
      <c r="C3054" s="6" t="s">
        <v>120</v>
      </c>
      <c r="D3054" s="6" t="s">
        <v>52</v>
      </c>
      <c r="E3054" s="14" t="n">
        <v>1723.4</v>
      </c>
      <c r="F3054" s="14" t="n">
        <v>5170.2</v>
      </c>
      <c r="G3054" s="6" t="s">
        <v>15614</v>
      </c>
    </row>
    <row r="3055" customFormat="false" ht="15" hidden="false" customHeight="true" outlineLevel="0" collapsed="false">
      <c r="A3055" s="6" t="s">
        <v>18667</v>
      </c>
      <c r="B3055" s="6" t="s">
        <v>2035</v>
      </c>
      <c r="C3055" s="6" t="s">
        <v>116</v>
      </c>
      <c r="D3055" s="6" t="s">
        <v>46</v>
      </c>
      <c r="E3055" s="14" t="n">
        <v>4235.18</v>
      </c>
      <c r="F3055" s="14" t="n">
        <v>4235.18</v>
      </c>
      <c r="G3055" s="6" t="s">
        <v>15614</v>
      </c>
    </row>
    <row r="3056" customFormat="false" ht="15" hidden="false" customHeight="true" outlineLevel="0" collapsed="false">
      <c r="A3056" s="6" t="s">
        <v>18668</v>
      </c>
      <c r="B3056" s="6" t="s">
        <v>2035</v>
      </c>
      <c r="C3056" s="6" t="s">
        <v>116</v>
      </c>
      <c r="D3056" s="6" t="s">
        <v>47</v>
      </c>
      <c r="E3056" s="14" t="n">
        <v>4235.18</v>
      </c>
      <c r="F3056" s="14" t="n">
        <v>8470.36</v>
      </c>
      <c r="G3056" s="6" t="s">
        <v>15614</v>
      </c>
    </row>
    <row r="3057" customFormat="false" ht="15" hidden="false" customHeight="true" outlineLevel="0" collapsed="false">
      <c r="A3057" s="6" t="s">
        <v>18669</v>
      </c>
      <c r="B3057" s="6" t="s">
        <v>2037</v>
      </c>
      <c r="C3057" s="6" t="s">
        <v>120</v>
      </c>
      <c r="D3057" s="6" t="s">
        <v>60</v>
      </c>
      <c r="E3057" s="14" t="n">
        <v>1726.47</v>
      </c>
      <c r="F3057" s="14" t="n">
        <v>1726.47</v>
      </c>
      <c r="G3057" s="6" t="s">
        <v>15614</v>
      </c>
    </row>
    <row r="3058" customFormat="false" ht="15" hidden="false" customHeight="true" outlineLevel="0" collapsed="false">
      <c r="A3058" s="6" t="s">
        <v>18670</v>
      </c>
      <c r="B3058" s="6" t="s">
        <v>2037</v>
      </c>
      <c r="C3058" s="6" t="s">
        <v>120</v>
      </c>
      <c r="D3058" s="6" t="s">
        <v>61</v>
      </c>
      <c r="E3058" s="14" t="n">
        <v>1726.47</v>
      </c>
      <c r="F3058" s="14" t="n">
        <v>3452.94</v>
      </c>
      <c r="G3058" s="6" t="s">
        <v>15614</v>
      </c>
    </row>
    <row r="3059" customFormat="false" ht="15" hidden="false" customHeight="true" outlineLevel="0" collapsed="false">
      <c r="A3059" s="6" t="s">
        <v>18671</v>
      </c>
      <c r="B3059" s="6" t="s">
        <v>2037</v>
      </c>
      <c r="C3059" s="6" t="s">
        <v>120</v>
      </c>
      <c r="D3059" s="6" t="s">
        <v>62</v>
      </c>
      <c r="E3059" s="14" t="n">
        <v>1726.47</v>
      </c>
      <c r="F3059" s="14" t="n">
        <v>5179.41</v>
      </c>
      <c r="G3059" s="6" t="s">
        <v>15614</v>
      </c>
    </row>
    <row r="3060" customFormat="false" ht="15" hidden="false" customHeight="true" outlineLevel="0" collapsed="false">
      <c r="A3060" s="6" t="s">
        <v>18672</v>
      </c>
      <c r="B3060" s="6" t="s">
        <v>2037</v>
      </c>
      <c r="C3060" s="6" t="s">
        <v>120</v>
      </c>
      <c r="D3060" s="6" t="s">
        <v>63</v>
      </c>
      <c r="E3060" s="14" t="n">
        <v>1726.47</v>
      </c>
      <c r="F3060" s="14" t="n">
        <v>6905.88</v>
      </c>
      <c r="G3060" s="6" t="s">
        <v>15614</v>
      </c>
    </row>
    <row r="3061" customFormat="false" ht="15" hidden="false" customHeight="true" outlineLevel="0" collapsed="false">
      <c r="A3061" s="6" t="s">
        <v>18673</v>
      </c>
      <c r="B3061" s="6" t="s">
        <v>2037</v>
      </c>
      <c r="C3061" s="6" t="s">
        <v>120</v>
      </c>
      <c r="D3061" s="6" t="s">
        <v>64</v>
      </c>
      <c r="E3061" s="14" t="n">
        <v>1726.47</v>
      </c>
      <c r="F3061" s="14" t="n">
        <v>8632.35</v>
      </c>
      <c r="G3061" s="6" t="s">
        <v>15614</v>
      </c>
    </row>
    <row r="3062" customFormat="false" ht="15" hidden="false" customHeight="true" outlineLevel="0" collapsed="false">
      <c r="A3062" s="6" t="s">
        <v>18674</v>
      </c>
      <c r="B3062" s="6" t="s">
        <v>2037</v>
      </c>
      <c r="C3062" s="6" t="s">
        <v>120</v>
      </c>
      <c r="D3062" s="6" t="s">
        <v>65</v>
      </c>
      <c r="E3062" s="14" t="n">
        <v>1726.47</v>
      </c>
      <c r="F3062" s="14" t="n">
        <v>10358.82</v>
      </c>
      <c r="G3062" s="6" t="s">
        <v>15614</v>
      </c>
    </row>
    <row r="3063" customFormat="false" ht="15" hidden="false" customHeight="true" outlineLevel="0" collapsed="false">
      <c r="A3063" s="6" t="s">
        <v>18675</v>
      </c>
      <c r="B3063" s="6" t="s">
        <v>2039</v>
      </c>
      <c r="C3063" s="6" t="s">
        <v>120</v>
      </c>
      <c r="D3063" s="6" t="s">
        <v>39</v>
      </c>
      <c r="E3063" s="14" t="n">
        <v>3001.63</v>
      </c>
      <c r="F3063" s="14" t="n">
        <v>3001.63</v>
      </c>
      <c r="G3063" s="6" t="s">
        <v>15614</v>
      </c>
    </row>
    <row r="3064" customFormat="false" ht="15" hidden="false" customHeight="true" outlineLevel="0" collapsed="false">
      <c r="A3064" s="6" t="s">
        <v>18676</v>
      </c>
      <c r="B3064" s="6" t="s">
        <v>2039</v>
      </c>
      <c r="C3064" s="6" t="s">
        <v>120</v>
      </c>
      <c r="D3064" s="6" t="s">
        <v>40</v>
      </c>
      <c r="E3064" s="14" t="n">
        <v>3001.63</v>
      </c>
      <c r="F3064" s="14" t="n">
        <v>6003.26</v>
      </c>
      <c r="G3064" s="6" t="s">
        <v>15614</v>
      </c>
    </row>
    <row r="3065" customFormat="false" ht="15" hidden="false" customHeight="true" outlineLevel="0" collapsed="false">
      <c r="A3065" s="6" t="s">
        <v>18677</v>
      </c>
      <c r="B3065" s="6" t="s">
        <v>2039</v>
      </c>
      <c r="C3065" s="6" t="s">
        <v>120</v>
      </c>
      <c r="D3065" s="6" t="s">
        <v>41</v>
      </c>
      <c r="E3065" s="14" t="n">
        <v>3001.63</v>
      </c>
      <c r="F3065" s="14" t="n">
        <v>9004.89</v>
      </c>
      <c r="G3065" s="6" t="s">
        <v>15614</v>
      </c>
    </row>
    <row r="3066" customFormat="false" ht="15" hidden="false" customHeight="true" outlineLevel="0" collapsed="false">
      <c r="A3066" s="6" t="s">
        <v>18678</v>
      </c>
      <c r="B3066" s="6" t="s">
        <v>2039</v>
      </c>
      <c r="C3066" s="6" t="s">
        <v>120</v>
      </c>
      <c r="D3066" s="6" t="s">
        <v>42</v>
      </c>
      <c r="E3066" s="14" t="n">
        <v>3001.63</v>
      </c>
      <c r="F3066" s="14" t="n">
        <v>12006.52</v>
      </c>
      <c r="G3066" s="6" t="s">
        <v>15614</v>
      </c>
    </row>
    <row r="3067" customFormat="false" ht="15" hidden="false" customHeight="true" outlineLevel="0" collapsed="false">
      <c r="A3067" s="6" t="s">
        <v>18679</v>
      </c>
      <c r="B3067" s="6" t="s">
        <v>2039</v>
      </c>
      <c r="C3067" s="6" t="s">
        <v>120</v>
      </c>
      <c r="D3067" s="6" t="s">
        <v>43</v>
      </c>
      <c r="E3067" s="14" t="n">
        <v>3001.63</v>
      </c>
      <c r="F3067" s="14" t="n">
        <v>15008.15</v>
      </c>
      <c r="G3067" s="6" t="s">
        <v>15614</v>
      </c>
    </row>
    <row r="3068" customFormat="false" ht="15" hidden="false" customHeight="true" outlineLevel="0" collapsed="false">
      <c r="A3068" s="6" t="s">
        <v>18680</v>
      </c>
      <c r="B3068" s="6" t="s">
        <v>2039</v>
      </c>
      <c r="C3068" s="6" t="s">
        <v>120</v>
      </c>
      <c r="D3068" s="6" t="s">
        <v>44</v>
      </c>
      <c r="E3068" s="14" t="n">
        <v>3001.63</v>
      </c>
      <c r="F3068" s="14" t="n">
        <v>18009.78</v>
      </c>
      <c r="G3068" s="6" t="s">
        <v>15614</v>
      </c>
    </row>
    <row r="3069" customFormat="false" ht="15" hidden="false" customHeight="true" outlineLevel="0" collapsed="false">
      <c r="A3069" s="6" t="s">
        <v>18681</v>
      </c>
      <c r="B3069" s="6" t="s">
        <v>2039</v>
      </c>
      <c r="C3069" s="6" t="s">
        <v>120</v>
      </c>
      <c r="D3069" s="6" t="s">
        <v>45</v>
      </c>
      <c r="E3069" s="14" t="n">
        <v>3001.63</v>
      </c>
      <c r="F3069" s="14" t="n">
        <v>21011.41</v>
      </c>
      <c r="G3069" s="6" t="s">
        <v>15614</v>
      </c>
    </row>
    <row r="3070" customFormat="false" ht="15" hidden="false" customHeight="true" outlineLevel="0" collapsed="false">
      <c r="A3070" s="6" t="s">
        <v>18682</v>
      </c>
      <c r="B3070" s="6" t="s">
        <v>2039</v>
      </c>
      <c r="C3070" s="6" t="s">
        <v>120</v>
      </c>
      <c r="D3070" s="6" t="s">
        <v>46</v>
      </c>
      <c r="E3070" s="14" t="n">
        <v>3001.63</v>
      </c>
      <c r="F3070" s="14" t="n">
        <v>24013.04</v>
      </c>
      <c r="G3070" s="6" t="s">
        <v>15614</v>
      </c>
    </row>
    <row r="3071" customFormat="false" ht="15" hidden="false" customHeight="true" outlineLevel="0" collapsed="false">
      <c r="A3071" s="6" t="s">
        <v>18683</v>
      </c>
      <c r="B3071" s="6" t="s">
        <v>2039</v>
      </c>
      <c r="C3071" s="6" t="s">
        <v>120</v>
      </c>
      <c r="D3071" s="6" t="s">
        <v>47</v>
      </c>
      <c r="E3071" s="14" t="n">
        <v>3001.63</v>
      </c>
      <c r="F3071" s="14" t="n">
        <v>27014.67</v>
      </c>
      <c r="G3071" s="6" t="s">
        <v>15614</v>
      </c>
    </row>
    <row r="3072" customFormat="false" ht="15" hidden="false" customHeight="true" outlineLevel="0" collapsed="false">
      <c r="A3072" s="6" t="s">
        <v>18684</v>
      </c>
      <c r="B3072" s="6" t="s">
        <v>2039</v>
      </c>
      <c r="C3072" s="6" t="s">
        <v>120</v>
      </c>
      <c r="D3072" s="6" t="s">
        <v>48</v>
      </c>
      <c r="E3072" s="14" t="n">
        <v>3001.63</v>
      </c>
      <c r="F3072" s="14" t="n">
        <v>30016.3</v>
      </c>
      <c r="G3072" s="6" t="s">
        <v>15614</v>
      </c>
    </row>
    <row r="3073" customFormat="false" ht="15" hidden="false" customHeight="true" outlineLevel="0" collapsed="false">
      <c r="A3073" s="6" t="s">
        <v>18685</v>
      </c>
      <c r="B3073" s="6" t="s">
        <v>2041</v>
      </c>
      <c r="C3073" s="6" t="s">
        <v>116</v>
      </c>
      <c r="D3073" s="6" t="s">
        <v>62</v>
      </c>
      <c r="E3073" s="14" t="n">
        <v>120.55</v>
      </c>
      <c r="F3073" s="14" t="n">
        <v>120.55</v>
      </c>
      <c r="G3073" s="6" t="s">
        <v>15614</v>
      </c>
    </row>
    <row r="3074" customFormat="false" ht="15" hidden="false" customHeight="true" outlineLevel="0" collapsed="false">
      <c r="A3074" s="6" t="s">
        <v>18686</v>
      </c>
      <c r="B3074" s="6" t="s">
        <v>2041</v>
      </c>
      <c r="C3074" s="6" t="s">
        <v>116</v>
      </c>
      <c r="D3074" s="6" t="s">
        <v>63</v>
      </c>
      <c r="E3074" s="14" t="n">
        <v>120.55</v>
      </c>
      <c r="F3074" s="14" t="n">
        <v>241.1</v>
      </c>
      <c r="G3074" s="6" t="s">
        <v>15614</v>
      </c>
    </row>
    <row r="3075" customFormat="false" ht="15" hidden="false" customHeight="true" outlineLevel="0" collapsed="false">
      <c r="A3075" s="6" t="s">
        <v>18687</v>
      </c>
      <c r="B3075" s="6" t="s">
        <v>2041</v>
      </c>
      <c r="C3075" s="6" t="s">
        <v>116</v>
      </c>
      <c r="D3075" s="6" t="s">
        <v>64</v>
      </c>
      <c r="E3075" s="14" t="n">
        <v>120.55</v>
      </c>
      <c r="F3075" s="14" t="n">
        <v>361.65</v>
      </c>
      <c r="G3075" s="6" t="s">
        <v>15614</v>
      </c>
    </row>
    <row r="3076" customFormat="false" ht="15" hidden="false" customHeight="true" outlineLevel="0" collapsed="false">
      <c r="A3076" s="6" t="s">
        <v>18688</v>
      </c>
      <c r="B3076" s="6" t="s">
        <v>2043</v>
      </c>
      <c r="C3076" s="6" t="s">
        <v>112</v>
      </c>
      <c r="D3076" s="6" t="s">
        <v>41</v>
      </c>
      <c r="E3076" s="14" t="n">
        <v>2277.12</v>
      </c>
      <c r="F3076" s="14" t="n">
        <v>2277.12</v>
      </c>
      <c r="G3076" s="6" t="s">
        <v>15614</v>
      </c>
    </row>
    <row r="3077" customFormat="false" ht="15" hidden="false" customHeight="true" outlineLevel="0" collapsed="false">
      <c r="A3077" s="6" t="s">
        <v>18689</v>
      </c>
      <c r="B3077" s="6" t="s">
        <v>2043</v>
      </c>
      <c r="C3077" s="6" t="s">
        <v>112</v>
      </c>
      <c r="D3077" s="6" t="s">
        <v>42</v>
      </c>
      <c r="E3077" s="14" t="n">
        <v>2277.12</v>
      </c>
      <c r="F3077" s="14" t="n">
        <v>4554.24</v>
      </c>
      <c r="G3077" s="6" t="s">
        <v>15614</v>
      </c>
    </row>
    <row r="3078" customFormat="false" ht="15" hidden="false" customHeight="true" outlineLevel="0" collapsed="false">
      <c r="A3078" s="6" t="s">
        <v>18690</v>
      </c>
      <c r="B3078" s="6" t="s">
        <v>2043</v>
      </c>
      <c r="C3078" s="6" t="s">
        <v>112</v>
      </c>
      <c r="D3078" s="6" t="s">
        <v>43</v>
      </c>
      <c r="E3078" s="14" t="n">
        <v>2277.12</v>
      </c>
      <c r="F3078" s="14" t="n">
        <v>6831.36</v>
      </c>
      <c r="G3078" s="6" t="s">
        <v>15614</v>
      </c>
    </row>
    <row r="3079" customFormat="false" ht="15" hidden="false" customHeight="true" outlineLevel="0" collapsed="false">
      <c r="A3079" s="6" t="s">
        <v>18691</v>
      </c>
      <c r="B3079" s="6" t="s">
        <v>2043</v>
      </c>
      <c r="C3079" s="6" t="s">
        <v>112</v>
      </c>
      <c r="D3079" s="6" t="s">
        <v>44</v>
      </c>
      <c r="E3079" s="14" t="n">
        <v>2277.12</v>
      </c>
      <c r="F3079" s="14" t="n">
        <v>9108.48</v>
      </c>
      <c r="G3079" s="6" t="s">
        <v>15614</v>
      </c>
    </row>
    <row r="3080" customFormat="false" ht="15" hidden="false" customHeight="true" outlineLevel="0" collapsed="false">
      <c r="A3080" s="6" t="s">
        <v>18692</v>
      </c>
      <c r="B3080" s="6" t="s">
        <v>2045</v>
      </c>
      <c r="C3080" s="6" t="s">
        <v>131</v>
      </c>
      <c r="D3080" s="6" t="s">
        <v>55</v>
      </c>
      <c r="E3080" s="14" t="n">
        <v>459.5</v>
      </c>
      <c r="F3080" s="14" t="n">
        <v>459.5</v>
      </c>
      <c r="G3080" s="6" t="s">
        <v>15614</v>
      </c>
    </row>
    <row r="3081" customFormat="false" ht="15" hidden="false" customHeight="true" outlineLevel="0" collapsed="false">
      <c r="A3081" s="6" t="s">
        <v>18693</v>
      </c>
      <c r="B3081" s="6" t="s">
        <v>2045</v>
      </c>
      <c r="C3081" s="6" t="s">
        <v>131</v>
      </c>
      <c r="D3081" s="6" t="s">
        <v>56</v>
      </c>
      <c r="E3081" s="14" t="n">
        <v>459.5</v>
      </c>
      <c r="F3081" s="14" t="n">
        <v>919</v>
      </c>
      <c r="G3081" s="6" t="s">
        <v>15614</v>
      </c>
    </row>
    <row r="3082" customFormat="false" ht="15" hidden="false" customHeight="true" outlineLevel="0" collapsed="false">
      <c r="A3082" s="6" t="s">
        <v>18694</v>
      </c>
      <c r="B3082" s="6" t="s">
        <v>2047</v>
      </c>
      <c r="C3082" s="6" t="s">
        <v>128</v>
      </c>
      <c r="D3082" s="6" t="s">
        <v>19</v>
      </c>
      <c r="E3082" s="14" t="n">
        <v>2744.96</v>
      </c>
      <c r="F3082" s="14" t="n">
        <v>2744.96</v>
      </c>
      <c r="G3082" s="6" t="s">
        <v>15614</v>
      </c>
    </row>
    <row r="3083" customFormat="false" ht="15" hidden="false" customHeight="true" outlineLevel="0" collapsed="false">
      <c r="A3083" s="6" t="s">
        <v>18695</v>
      </c>
      <c r="B3083" s="6" t="s">
        <v>2047</v>
      </c>
      <c r="C3083" s="6" t="s">
        <v>128</v>
      </c>
      <c r="D3083" s="6" t="s">
        <v>20</v>
      </c>
      <c r="E3083" s="14" t="n">
        <v>2744.96</v>
      </c>
      <c r="F3083" s="14" t="n">
        <v>5489.92</v>
      </c>
      <c r="G3083" s="6" t="s">
        <v>15614</v>
      </c>
    </row>
    <row r="3084" customFormat="false" ht="15" hidden="false" customHeight="true" outlineLevel="0" collapsed="false">
      <c r="A3084" s="6" t="s">
        <v>18696</v>
      </c>
      <c r="B3084" s="6" t="s">
        <v>2047</v>
      </c>
      <c r="C3084" s="6" t="s">
        <v>128</v>
      </c>
      <c r="D3084" s="6" t="s">
        <v>21</v>
      </c>
      <c r="E3084" s="14" t="n">
        <v>2744.96</v>
      </c>
      <c r="F3084" s="14" t="n">
        <v>8234.88</v>
      </c>
      <c r="G3084" s="6" t="s">
        <v>15614</v>
      </c>
    </row>
    <row r="3085" customFormat="false" ht="15" hidden="false" customHeight="true" outlineLevel="0" collapsed="false">
      <c r="A3085" s="6" t="s">
        <v>18697</v>
      </c>
      <c r="B3085" s="6" t="s">
        <v>2047</v>
      </c>
      <c r="C3085" s="6" t="s">
        <v>128</v>
      </c>
      <c r="D3085" s="6" t="s">
        <v>22</v>
      </c>
      <c r="E3085" s="14" t="n">
        <v>2744.96</v>
      </c>
      <c r="F3085" s="14" t="n">
        <v>10979.84</v>
      </c>
      <c r="G3085" s="6" t="s">
        <v>15614</v>
      </c>
    </row>
    <row r="3086" customFormat="false" ht="15" hidden="false" customHeight="true" outlineLevel="0" collapsed="false">
      <c r="A3086" s="6" t="s">
        <v>18698</v>
      </c>
      <c r="B3086" s="6" t="s">
        <v>2047</v>
      </c>
      <c r="C3086" s="6" t="s">
        <v>128</v>
      </c>
      <c r="D3086" s="6" t="s">
        <v>23</v>
      </c>
      <c r="E3086" s="14" t="n">
        <v>2744.96</v>
      </c>
      <c r="F3086" s="14" t="n">
        <v>13724.8</v>
      </c>
      <c r="G3086" s="6" t="s">
        <v>15614</v>
      </c>
    </row>
    <row r="3087" customFormat="false" ht="15" hidden="false" customHeight="true" outlineLevel="0" collapsed="false">
      <c r="A3087" s="6" t="s">
        <v>18699</v>
      </c>
      <c r="B3087" s="6" t="s">
        <v>2047</v>
      </c>
      <c r="C3087" s="6" t="s">
        <v>128</v>
      </c>
      <c r="D3087" s="6" t="s">
        <v>24</v>
      </c>
      <c r="E3087" s="14" t="n">
        <v>2744.96</v>
      </c>
      <c r="F3087" s="14" t="n">
        <v>16469.76</v>
      </c>
      <c r="G3087" s="6" t="s">
        <v>15614</v>
      </c>
    </row>
    <row r="3088" customFormat="false" ht="15" hidden="false" customHeight="true" outlineLevel="0" collapsed="false">
      <c r="A3088" s="6" t="s">
        <v>18700</v>
      </c>
      <c r="B3088" s="6" t="s">
        <v>2049</v>
      </c>
      <c r="C3088" s="6" t="s">
        <v>120</v>
      </c>
      <c r="D3088" s="6" t="s">
        <v>14</v>
      </c>
      <c r="E3088" s="14" t="n">
        <v>3455.46</v>
      </c>
      <c r="F3088" s="14" t="n">
        <v>3455.46</v>
      </c>
      <c r="G3088" s="6" t="s">
        <v>15614</v>
      </c>
    </row>
    <row r="3089" customFormat="false" ht="15" hidden="false" customHeight="true" outlineLevel="0" collapsed="false">
      <c r="A3089" s="6" t="s">
        <v>18701</v>
      </c>
      <c r="B3089" s="6" t="s">
        <v>2049</v>
      </c>
      <c r="C3089" s="6" t="s">
        <v>120</v>
      </c>
      <c r="D3089" s="6" t="s">
        <v>15</v>
      </c>
      <c r="E3089" s="14" t="n">
        <v>3455.46</v>
      </c>
      <c r="F3089" s="14" t="n">
        <v>6910.92</v>
      </c>
      <c r="G3089" s="6" t="s">
        <v>15614</v>
      </c>
    </row>
    <row r="3090" customFormat="false" ht="15" hidden="false" customHeight="true" outlineLevel="0" collapsed="false">
      <c r="A3090" s="6" t="s">
        <v>18702</v>
      </c>
      <c r="B3090" s="6" t="s">
        <v>2049</v>
      </c>
      <c r="C3090" s="6" t="s">
        <v>120</v>
      </c>
      <c r="D3090" s="6" t="s">
        <v>16</v>
      </c>
      <c r="E3090" s="14" t="n">
        <v>3455.46</v>
      </c>
      <c r="F3090" s="14" t="n">
        <v>10366.38</v>
      </c>
      <c r="G3090" s="6" t="s">
        <v>15614</v>
      </c>
    </row>
    <row r="3091" customFormat="false" ht="15" hidden="false" customHeight="true" outlineLevel="0" collapsed="false">
      <c r="A3091" s="6" t="s">
        <v>18703</v>
      </c>
      <c r="B3091" s="6" t="s">
        <v>2051</v>
      </c>
      <c r="C3091" s="6" t="s">
        <v>124</v>
      </c>
      <c r="D3091" s="6" t="s">
        <v>34</v>
      </c>
      <c r="E3091" s="14" t="n">
        <v>1983.79</v>
      </c>
      <c r="F3091" s="14" t="n">
        <v>1983.79</v>
      </c>
      <c r="G3091" s="6" t="s">
        <v>15614</v>
      </c>
    </row>
    <row r="3092" customFormat="false" ht="15" hidden="false" customHeight="true" outlineLevel="0" collapsed="false">
      <c r="A3092" s="6" t="s">
        <v>18704</v>
      </c>
      <c r="B3092" s="6" t="s">
        <v>2051</v>
      </c>
      <c r="C3092" s="6" t="s">
        <v>124</v>
      </c>
      <c r="D3092" s="6" t="s">
        <v>35</v>
      </c>
      <c r="E3092" s="14" t="n">
        <v>1983.79</v>
      </c>
      <c r="F3092" s="14" t="n">
        <v>3967.58</v>
      </c>
      <c r="G3092" s="6" t="s">
        <v>15614</v>
      </c>
    </row>
    <row r="3093" customFormat="false" ht="15" hidden="false" customHeight="true" outlineLevel="0" collapsed="false">
      <c r="A3093" s="6" t="s">
        <v>18705</v>
      </c>
      <c r="B3093" s="6" t="s">
        <v>2053</v>
      </c>
      <c r="C3093" s="6" t="s">
        <v>116</v>
      </c>
      <c r="D3093" s="6" t="s">
        <v>57</v>
      </c>
      <c r="E3093" s="14" t="n">
        <v>3432.95</v>
      </c>
      <c r="F3093" s="14" t="n">
        <v>3432.95</v>
      </c>
      <c r="G3093" s="6" t="s">
        <v>15614</v>
      </c>
    </row>
    <row r="3094" customFormat="false" ht="15" hidden="false" customHeight="true" outlineLevel="0" collapsed="false">
      <c r="A3094" s="6" t="s">
        <v>18706</v>
      </c>
      <c r="B3094" s="6" t="s">
        <v>2053</v>
      </c>
      <c r="C3094" s="6" t="s">
        <v>116</v>
      </c>
      <c r="D3094" s="6" t="s">
        <v>58</v>
      </c>
      <c r="E3094" s="14" t="n">
        <v>3432.95</v>
      </c>
      <c r="F3094" s="14" t="n">
        <v>6865.9</v>
      </c>
      <c r="G3094" s="6" t="s">
        <v>15614</v>
      </c>
    </row>
    <row r="3095" customFormat="false" ht="15" hidden="false" customHeight="true" outlineLevel="0" collapsed="false">
      <c r="A3095" s="6" t="s">
        <v>18707</v>
      </c>
      <c r="B3095" s="6" t="s">
        <v>2053</v>
      </c>
      <c r="C3095" s="6" t="s">
        <v>116</v>
      </c>
      <c r="D3095" s="6" t="s">
        <v>59</v>
      </c>
      <c r="E3095" s="14" t="n">
        <v>3432.95</v>
      </c>
      <c r="F3095" s="14" t="n">
        <v>10298.85</v>
      </c>
      <c r="G3095" s="6" t="s">
        <v>15614</v>
      </c>
    </row>
    <row r="3096" customFormat="false" ht="15" hidden="false" customHeight="true" outlineLevel="0" collapsed="false">
      <c r="A3096" s="6" t="s">
        <v>18708</v>
      </c>
      <c r="B3096" s="6" t="s">
        <v>2055</v>
      </c>
      <c r="C3096" s="6" t="s">
        <v>120</v>
      </c>
      <c r="D3096" s="6" t="s">
        <v>18</v>
      </c>
      <c r="E3096" s="14" t="n">
        <v>1527.95</v>
      </c>
      <c r="F3096" s="14" t="n">
        <v>1527.95</v>
      </c>
      <c r="G3096" s="6" t="s">
        <v>15614</v>
      </c>
    </row>
    <row r="3097" customFormat="false" ht="15" hidden="false" customHeight="true" outlineLevel="0" collapsed="false">
      <c r="A3097" s="6" t="s">
        <v>18709</v>
      </c>
      <c r="B3097" s="6" t="s">
        <v>2055</v>
      </c>
      <c r="C3097" s="6" t="s">
        <v>120</v>
      </c>
      <c r="D3097" s="6" t="s">
        <v>19</v>
      </c>
      <c r="E3097" s="14" t="n">
        <v>1527.95</v>
      </c>
      <c r="F3097" s="14" t="n">
        <v>3055.9</v>
      </c>
      <c r="G3097" s="6" t="s">
        <v>15614</v>
      </c>
    </row>
    <row r="3098" customFormat="false" ht="15" hidden="false" customHeight="true" outlineLevel="0" collapsed="false">
      <c r="A3098" s="6" t="s">
        <v>18710</v>
      </c>
      <c r="B3098" s="6" t="s">
        <v>2057</v>
      </c>
      <c r="C3098" s="6" t="s">
        <v>116</v>
      </c>
      <c r="D3098" s="6" t="s">
        <v>21</v>
      </c>
      <c r="E3098" s="14" t="n">
        <v>2617.43</v>
      </c>
      <c r="F3098" s="14" t="n">
        <v>2617.43</v>
      </c>
      <c r="G3098" s="6" t="s">
        <v>15614</v>
      </c>
    </row>
    <row r="3099" customFormat="false" ht="15" hidden="false" customHeight="true" outlineLevel="0" collapsed="false">
      <c r="A3099" s="6" t="s">
        <v>18711</v>
      </c>
      <c r="B3099" s="6" t="s">
        <v>2057</v>
      </c>
      <c r="C3099" s="6" t="s">
        <v>116</v>
      </c>
      <c r="D3099" s="6" t="s">
        <v>22</v>
      </c>
      <c r="E3099" s="14" t="n">
        <v>2617.43</v>
      </c>
      <c r="F3099" s="14" t="n">
        <v>5234.86</v>
      </c>
      <c r="G3099" s="6" t="s">
        <v>15614</v>
      </c>
    </row>
    <row r="3100" customFormat="false" ht="15" hidden="false" customHeight="true" outlineLevel="0" collapsed="false">
      <c r="A3100" s="6" t="s">
        <v>18712</v>
      </c>
      <c r="B3100" s="6" t="s">
        <v>2057</v>
      </c>
      <c r="C3100" s="6" t="s">
        <v>116</v>
      </c>
      <c r="D3100" s="6" t="s">
        <v>23</v>
      </c>
      <c r="E3100" s="14" t="n">
        <v>2617.43</v>
      </c>
      <c r="F3100" s="14" t="n">
        <v>7852.29</v>
      </c>
      <c r="G3100" s="6" t="s">
        <v>15614</v>
      </c>
    </row>
    <row r="3101" customFormat="false" ht="15" hidden="false" customHeight="true" outlineLevel="0" collapsed="false">
      <c r="A3101" s="6" t="s">
        <v>18713</v>
      </c>
      <c r="B3101" s="6" t="s">
        <v>2057</v>
      </c>
      <c r="C3101" s="6" t="s">
        <v>116</v>
      </c>
      <c r="D3101" s="6" t="s">
        <v>24</v>
      </c>
      <c r="E3101" s="14" t="n">
        <v>2617.43</v>
      </c>
      <c r="F3101" s="14" t="n">
        <v>10469.72</v>
      </c>
      <c r="G3101" s="6" t="s">
        <v>15614</v>
      </c>
    </row>
    <row r="3102" customFormat="false" ht="15" hidden="false" customHeight="true" outlineLevel="0" collapsed="false">
      <c r="A3102" s="6" t="s">
        <v>18714</v>
      </c>
      <c r="B3102" s="6" t="s">
        <v>2057</v>
      </c>
      <c r="C3102" s="6" t="s">
        <v>116</v>
      </c>
      <c r="D3102" s="6" t="s">
        <v>25</v>
      </c>
      <c r="E3102" s="14" t="n">
        <v>2617.43</v>
      </c>
      <c r="F3102" s="14" t="n">
        <v>13087.15</v>
      </c>
      <c r="G3102" s="6" t="s">
        <v>15614</v>
      </c>
    </row>
    <row r="3103" customFormat="false" ht="15" hidden="false" customHeight="true" outlineLevel="0" collapsed="false">
      <c r="A3103" s="6" t="s">
        <v>18715</v>
      </c>
      <c r="B3103" s="6" t="s">
        <v>2059</v>
      </c>
      <c r="C3103" s="6" t="s">
        <v>112</v>
      </c>
      <c r="D3103" s="6" t="s">
        <v>41</v>
      </c>
      <c r="E3103" s="14" t="n">
        <v>187.49</v>
      </c>
      <c r="F3103" s="14" t="n">
        <v>187.49</v>
      </c>
      <c r="G3103" s="6" t="s">
        <v>15614</v>
      </c>
    </row>
    <row r="3104" customFormat="false" ht="15" hidden="false" customHeight="true" outlineLevel="0" collapsed="false">
      <c r="A3104" s="6" t="s">
        <v>18716</v>
      </c>
      <c r="B3104" s="6" t="s">
        <v>2059</v>
      </c>
      <c r="C3104" s="6" t="s">
        <v>112</v>
      </c>
      <c r="D3104" s="6" t="s">
        <v>42</v>
      </c>
      <c r="E3104" s="14" t="n">
        <v>187.49</v>
      </c>
      <c r="F3104" s="14" t="n">
        <v>374.98</v>
      </c>
      <c r="G3104" s="6" t="s">
        <v>15614</v>
      </c>
    </row>
    <row r="3105" customFormat="false" ht="15" hidden="false" customHeight="true" outlineLevel="0" collapsed="false">
      <c r="A3105" s="6" t="s">
        <v>18717</v>
      </c>
      <c r="B3105" s="6" t="s">
        <v>2059</v>
      </c>
      <c r="C3105" s="6" t="s">
        <v>112</v>
      </c>
      <c r="D3105" s="6" t="s">
        <v>43</v>
      </c>
      <c r="E3105" s="14" t="n">
        <v>187.49</v>
      </c>
      <c r="F3105" s="14" t="n">
        <v>562.47</v>
      </c>
      <c r="G3105" s="6" t="s">
        <v>15614</v>
      </c>
    </row>
    <row r="3106" customFormat="false" ht="15" hidden="false" customHeight="true" outlineLevel="0" collapsed="false">
      <c r="A3106" s="6" t="s">
        <v>18718</v>
      </c>
      <c r="B3106" s="6" t="s">
        <v>2061</v>
      </c>
      <c r="C3106" s="6" t="s">
        <v>112</v>
      </c>
      <c r="D3106" s="6" t="s">
        <v>61</v>
      </c>
      <c r="E3106" s="14" t="n">
        <v>655.09</v>
      </c>
      <c r="F3106" s="14" t="n">
        <v>655.09</v>
      </c>
      <c r="G3106" s="6" t="s">
        <v>15614</v>
      </c>
    </row>
    <row r="3107" customFormat="false" ht="15" hidden="false" customHeight="true" outlineLevel="0" collapsed="false">
      <c r="A3107" s="6" t="s">
        <v>18719</v>
      </c>
      <c r="B3107" s="6" t="s">
        <v>2061</v>
      </c>
      <c r="C3107" s="6" t="s">
        <v>112</v>
      </c>
      <c r="D3107" s="6" t="s">
        <v>62</v>
      </c>
      <c r="E3107" s="14" t="n">
        <v>655.09</v>
      </c>
      <c r="F3107" s="14" t="n">
        <v>1310.18</v>
      </c>
      <c r="G3107" s="6" t="s">
        <v>15614</v>
      </c>
    </row>
    <row r="3108" customFormat="false" ht="15" hidden="false" customHeight="true" outlineLevel="0" collapsed="false">
      <c r="A3108" s="6" t="s">
        <v>18720</v>
      </c>
      <c r="B3108" s="6" t="s">
        <v>2063</v>
      </c>
      <c r="C3108" s="6" t="s">
        <v>131</v>
      </c>
      <c r="D3108" s="6" t="s">
        <v>39</v>
      </c>
      <c r="E3108" s="14" t="n">
        <v>1642.75</v>
      </c>
      <c r="F3108" s="14" t="n">
        <v>1642.75</v>
      </c>
      <c r="G3108" s="6" t="s">
        <v>15614</v>
      </c>
    </row>
    <row r="3109" customFormat="false" ht="15" hidden="false" customHeight="true" outlineLevel="0" collapsed="false">
      <c r="A3109" s="6" t="s">
        <v>18721</v>
      </c>
      <c r="B3109" s="6" t="s">
        <v>2063</v>
      </c>
      <c r="C3109" s="6" t="s">
        <v>131</v>
      </c>
      <c r="D3109" s="6" t="s">
        <v>40</v>
      </c>
      <c r="E3109" s="14" t="n">
        <v>1642.75</v>
      </c>
      <c r="F3109" s="14" t="n">
        <v>3285.5</v>
      </c>
      <c r="G3109" s="6" t="s">
        <v>15614</v>
      </c>
    </row>
    <row r="3110" customFormat="false" ht="15" hidden="false" customHeight="true" outlineLevel="0" collapsed="false">
      <c r="A3110" s="6" t="s">
        <v>18722</v>
      </c>
      <c r="B3110" s="6" t="s">
        <v>2065</v>
      </c>
      <c r="C3110" s="6" t="s">
        <v>116</v>
      </c>
      <c r="D3110" s="6" t="s">
        <v>22</v>
      </c>
      <c r="E3110" s="14" t="n">
        <v>270</v>
      </c>
      <c r="F3110" s="14" t="n">
        <v>270</v>
      </c>
      <c r="G3110" s="6" t="s">
        <v>15614</v>
      </c>
    </row>
    <row r="3111" customFormat="false" ht="15" hidden="false" customHeight="true" outlineLevel="0" collapsed="false">
      <c r="A3111" s="6" t="s">
        <v>18723</v>
      </c>
      <c r="B3111" s="6" t="s">
        <v>2065</v>
      </c>
      <c r="C3111" s="6" t="s">
        <v>116</v>
      </c>
      <c r="D3111" s="6" t="s">
        <v>23</v>
      </c>
      <c r="E3111" s="14" t="n">
        <v>270</v>
      </c>
      <c r="F3111" s="14" t="n">
        <v>540</v>
      </c>
      <c r="G3111" s="6" t="s">
        <v>15614</v>
      </c>
    </row>
    <row r="3112" customFormat="false" ht="15" hidden="false" customHeight="true" outlineLevel="0" collapsed="false">
      <c r="A3112" s="6" t="s">
        <v>18724</v>
      </c>
      <c r="B3112" s="6" t="s">
        <v>2067</v>
      </c>
      <c r="C3112" s="6" t="s">
        <v>124</v>
      </c>
      <c r="D3112" s="6" t="s">
        <v>15</v>
      </c>
      <c r="E3112" s="14" t="n">
        <v>280.75</v>
      </c>
      <c r="F3112" s="14" t="n">
        <v>280.75</v>
      </c>
      <c r="G3112" s="6" t="s">
        <v>15614</v>
      </c>
    </row>
    <row r="3113" customFormat="false" ht="15" hidden="false" customHeight="true" outlineLevel="0" collapsed="false">
      <c r="A3113" s="6" t="s">
        <v>18725</v>
      </c>
      <c r="B3113" s="6" t="s">
        <v>2067</v>
      </c>
      <c r="C3113" s="6" t="s">
        <v>124</v>
      </c>
      <c r="D3113" s="6" t="s">
        <v>16</v>
      </c>
      <c r="E3113" s="14" t="n">
        <v>280.75</v>
      </c>
      <c r="F3113" s="14" t="n">
        <v>561.5</v>
      </c>
      <c r="G3113" s="6" t="s">
        <v>15614</v>
      </c>
    </row>
    <row r="3114" customFormat="false" ht="15" hidden="false" customHeight="true" outlineLevel="0" collapsed="false">
      <c r="A3114" s="6" t="s">
        <v>18726</v>
      </c>
      <c r="B3114" s="6" t="s">
        <v>2067</v>
      </c>
      <c r="C3114" s="6" t="s">
        <v>124</v>
      </c>
      <c r="D3114" s="6" t="s">
        <v>17</v>
      </c>
      <c r="E3114" s="14" t="n">
        <v>280.75</v>
      </c>
      <c r="F3114" s="14" t="n">
        <v>842.25</v>
      </c>
      <c r="G3114" s="6" t="s">
        <v>15614</v>
      </c>
    </row>
    <row r="3115" customFormat="false" ht="15" hidden="false" customHeight="true" outlineLevel="0" collapsed="false">
      <c r="A3115" s="6" t="s">
        <v>18727</v>
      </c>
      <c r="B3115" s="6" t="s">
        <v>2067</v>
      </c>
      <c r="C3115" s="6" t="s">
        <v>124</v>
      </c>
      <c r="D3115" s="6" t="s">
        <v>18</v>
      </c>
      <c r="E3115" s="14" t="n">
        <v>280.75</v>
      </c>
      <c r="F3115" s="14" t="n">
        <v>1123</v>
      </c>
      <c r="G3115" s="6" t="s">
        <v>15614</v>
      </c>
    </row>
    <row r="3116" customFormat="false" ht="15" hidden="false" customHeight="true" outlineLevel="0" collapsed="false">
      <c r="A3116" s="6" t="s">
        <v>18728</v>
      </c>
      <c r="B3116" s="6" t="s">
        <v>2069</v>
      </c>
      <c r="C3116" s="6" t="s">
        <v>124</v>
      </c>
      <c r="D3116" s="6" t="s">
        <v>59</v>
      </c>
      <c r="E3116" s="14" t="n">
        <v>93.51</v>
      </c>
      <c r="F3116" s="14" t="n">
        <v>93.51</v>
      </c>
      <c r="G3116" s="6" t="s">
        <v>15614</v>
      </c>
    </row>
    <row r="3117" customFormat="false" ht="15" hidden="false" customHeight="true" outlineLevel="0" collapsed="false">
      <c r="A3117" s="6" t="s">
        <v>18729</v>
      </c>
      <c r="B3117" s="6" t="s">
        <v>2069</v>
      </c>
      <c r="C3117" s="6" t="s">
        <v>124</v>
      </c>
      <c r="D3117" s="6" t="s">
        <v>60</v>
      </c>
      <c r="E3117" s="14" t="n">
        <v>93.51</v>
      </c>
      <c r="F3117" s="14" t="n">
        <v>187.02</v>
      </c>
      <c r="G3117" s="6" t="s">
        <v>15614</v>
      </c>
    </row>
    <row r="3118" customFormat="false" ht="15" hidden="false" customHeight="true" outlineLevel="0" collapsed="false">
      <c r="A3118" s="6" t="s">
        <v>18730</v>
      </c>
      <c r="B3118" s="6" t="s">
        <v>2069</v>
      </c>
      <c r="C3118" s="6" t="s">
        <v>124</v>
      </c>
      <c r="D3118" s="6" t="s">
        <v>61</v>
      </c>
      <c r="E3118" s="14" t="n">
        <v>93.51</v>
      </c>
      <c r="F3118" s="14" t="n">
        <v>280.53</v>
      </c>
      <c r="G3118" s="6" t="s">
        <v>15614</v>
      </c>
    </row>
    <row r="3119" customFormat="false" ht="15" hidden="false" customHeight="true" outlineLevel="0" collapsed="false">
      <c r="A3119" s="6" t="s">
        <v>18731</v>
      </c>
      <c r="B3119" s="6" t="s">
        <v>2069</v>
      </c>
      <c r="C3119" s="6" t="s">
        <v>124</v>
      </c>
      <c r="D3119" s="6" t="s">
        <v>62</v>
      </c>
      <c r="E3119" s="14" t="n">
        <v>93.51</v>
      </c>
      <c r="F3119" s="14" t="n">
        <v>374.04</v>
      </c>
      <c r="G3119" s="6" t="s">
        <v>15614</v>
      </c>
    </row>
    <row r="3120" customFormat="false" ht="15" hidden="false" customHeight="true" outlineLevel="0" collapsed="false">
      <c r="A3120" s="6" t="s">
        <v>18732</v>
      </c>
      <c r="B3120" s="6" t="s">
        <v>2069</v>
      </c>
      <c r="C3120" s="6" t="s">
        <v>124</v>
      </c>
      <c r="D3120" s="6" t="s">
        <v>63</v>
      </c>
      <c r="E3120" s="14" t="n">
        <v>93.51</v>
      </c>
      <c r="F3120" s="14" t="n">
        <v>467.55</v>
      </c>
      <c r="G3120" s="6" t="s">
        <v>15614</v>
      </c>
    </row>
    <row r="3121" customFormat="false" ht="15" hidden="false" customHeight="true" outlineLevel="0" collapsed="false">
      <c r="A3121" s="6" t="s">
        <v>18733</v>
      </c>
      <c r="B3121" s="6" t="s">
        <v>2071</v>
      </c>
      <c r="C3121" s="6" t="s">
        <v>128</v>
      </c>
      <c r="D3121" s="6" t="s">
        <v>51</v>
      </c>
      <c r="E3121" s="14" t="n">
        <v>2529.77</v>
      </c>
      <c r="F3121" s="14" t="n">
        <v>2529.77</v>
      </c>
      <c r="G3121" s="6" t="s">
        <v>15614</v>
      </c>
    </row>
    <row r="3122" customFormat="false" ht="15" hidden="false" customHeight="true" outlineLevel="0" collapsed="false">
      <c r="A3122" s="6" t="s">
        <v>18734</v>
      </c>
      <c r="B3122" s="6" t="s">
        <v>2071</v>
      </c>
      <c r="C3122" s="6" t="s">
        <v>128</v>
      </c>
      <c r="D3122" s="6" t="s">
        <v>52</v>
      </c>
      <c r="E3122" s="14" t="n">
        <v>2529.77</v>
      </c>
      <c r="F3122" s="14" t="n">
        <v>5059.54</v>
      </c>
      <c r="G3122" s="6" t="s">
        <v>15614</v>
      </c>
    </row>
    <row r="3123" customFormat="false" ht="15" hidden="false" customHeight="true" outlineLevel="0" collapsed="false">
      <c r="A3123" s="6" t="s">
        <v>18735</v>
      </c>
      <c r="B3123" s="6" t="s">
        <v>2073</v>
      </c>
      <c r="C3123" s="6" t="s">
        <v>120</v>
      </c>
      <c r="D3123" s="6" t="s">
        <v>34</v>
      </c>
      <c r="E3123" s="14" t="n">
        <v>6056.23</v>
      </c>
      <c r="F3123" s="14" t="n">
        <v>6056.23</v>
      </c>
      <c r="G3123" s="6" t="s">
        <v>15614</v>
      </c>
    </row>
    <row r="3124" customFormat="false" ht="15" hidden="false" customHeight="true" outlineLevel="0" collapsed="false">
      <c r="A3124" s="6" t="s">
        <v>18736</v>
      </c>
      <c r="B3124" s="6" t="s">
        <v>2073</v>
      </c>
      <c r="C3124" s="6" t="s">
        <v>120</v>
      </c>
      <c r="D3124" s="6" t="s">
        <v>35</v>
      </c>
      <c r="E3124" s="14" t="n">
        <v>6056.23</v>
      </c>
      <c r="F3124" s="14" t="n">
        <v>12112.46</v>
      </c>
      <c r="G3124" s="6" t="s">
        <v>15614</v>
      </c>
    </row>
    <row r="3125" customFormat="false" ht="15" hidden="false" customHeight="true" outlineLevel="0" collapsed="false">
      <c r="A3125" s="6" t="s">
        <v>18737</v>
      </c>
      <c r="B3125" s="6" t="s">
        <v>2073</v>
      </c>
      <c r="C3125" s="6" t="s">
        <v>120</v>
      </c>
      <c r="D3125" s="6" t="s">
        <v>36</v>
      </c>
      <c r="E3125" s="14" t="n">
        <v>6056.23</v>
      </c>
      <c r="F3125" s="14" t="n">
        <v>18168.69</v>
      </c>
      <c r="G3125" s="6" t="s">
        <v>15614</v>
      </c>
    </row>
    <row r="3126" customFormat="false" ht="15" hidden="false" customHeight="true" outlineLevel="0" collapsed="false">
      <c r="A3126" s="6" t="s">
        <v>18738</v>
      </c>
      <c r="B3126" s="6" t="s">
        <v>2073</v>
      </c>
      <c r="C3126" s="6" t="s">
        <v>120</v>
      </c>
      <c r="D3126" s="6" t="s">
        <v>37</v>
      </c>
      <c r="E3126" s="14" t="n">
        <v>6056.23</v>
      </c>
      <c r="F3126" s="14" t="n">
        <v>24224.92</v>
      </c>
      <c r="G3126" s="6" t="s">
        <v>15614</v>
      </c>
    </row>
    <row r="3127" customFormat="false" ht="15" hidden="false" customHeight="true" outlineLevel="0" collapsed="false">
      <c r="A3127" s="6" t="s">
        <v>18739</v>
      </c>
      <c r="B3127" s="6" t="s">
        <v>2075</v>
      </c>
      <c r="C3127" s="6" t="s">
        <v>112</v>
      </c>
      <c r="D3127" s="6" t="s">
        <v>39</v>
      </c>
      <c r="E3127" s="14" t="n">
        <v>1063.95</v>
      </c>
      <c r="F3127" s="14" t="n">
        <v>1063.95</v>
      </c>
      <c r="G3127" s="6" t="s">
        <v>15614</v>
      </c>
    </row>
    <row r="3128" customFormat="false" ht="15" hidden="false" customHeight="true" outlineLevel="0" collapsed="false">
      <c r="A3128" s="6" t="s">
        <v>18740</v>
      </c>
      <c r="B3128" s="6" t="s">
        <v>2075</v>
      </c>
      <c r="C3128" s="6" t="s">
        <v>112</v>
      </c>
      <c r="D3128" s="6" t="s">
        <v>40</v>
      </c>
      <c r="E3128" s="14" t="n">
        <v>1063.95</v>
      </c>
      <c r="F3128" s="14" t="n">
        <v>2127.9</v>
      </c>
      <c r="G3128" s="6" t="s">
        <v>15614</v>
      </c>
    </row>
    <row r="3129" customFormat="false" ht="15" hidden="false" customHeight="true" outlineLevel="0" collapsed="false">
      <c r="A3129" s="6" t="s">
        <v>18741</v>
      </c>
      <c r="B3129" s="6" t="s">
        <v>2075</v>
      </c>
      <c r="C3129" s="6" t="s">
        <v>112</v>
      </c>
      <c r="D3129" s="6" t="s">
        <v>41</v>
      </c>
      <c r="E3129" s="14" t="n">
        <v>1063.95</v>
      </c>
      <c r="F3129" s="14" t="n">
        <v>3191.85</v>
      </c>
      <c r="G3129" s="6" t="s">
        <v>15614</v>
      </c>
    </row>
    <row r="3130" customFormat="false" ht="15" hidden="false" customHeight="true" outlineLevel="0" collapsed="false">
      <c r="A3130" s="6" t="s">
        <v>18742</v>
      </c>
      <c r="B3130" s="6" t="s">
        <v>2077</v>
      </c>
      <c r="C3130" s="6" t="s">
        <v>131</v>
      </c>
      <c r="D3130" s="6" t="s">
        <v>38</v>
      </c>
      <c r="E3130" s="14" t="n">
        <v>388.1</v>
      </c>
      <c r="F3130" s="14" t="n">
        <v>388.1</v>
      </c>
      <c r="G3130" s="6" t="s">
        <v>15614</v>
      </c>
    </row>
    <row r="3131" customFormat="false" ht="15" hidden="false" customHeight="true" outlineLevel="0" collapsed="false">
      <c r="A3131" s="6" t="s">
        <v>18743</v>
      </c>
      <c r="B3131" s="6" t="s">
        <v>2077</v>
      </c>
      <c r="C3131" s="6" t="s">
        <v>131</v>
      </c>
      <c r="D3131" s="6" t="s">
        <v>39</v>
      </c>
      <c r="E3131" s="14" t="n">
        <v>388.1</v>
      </c>
      <c r="F3131" s="14" t="n">
        <v>776.2</v>
      </c>
      <c r="G3131" s="6" t="s">
        <v>15614</v>
      </c>
    </row>
    <row r="3132" customFormat="false" ht="15" hidden="false" customHeight="true" outlineLevel="0" collapsed="false">
      <c r="A3132" s="6" t="s">
        <v>18744</v>
      </c>
      <c r="B3132" s="6" t="s">
        <v>2079</v>
      </c>
      <c r="C3132" s="6" t="s">
        <v>112</v>
      </c>
      <c r="D3132" s="6" t="s">
        <v>43</v>
      </c>
      <c r="E3132" s="14" t="n">
        <v>2539.68</v>
      </c>
      <c r="F3132" s="14" t="n">
        <v>2539.68</v>
      </c>
      <c r="G3132" s="6" t="s">
        <v>15614</v>
      </c>
    </row>
    <row r="3133" customFormat="false" ht="15" hidden="false" customHeight="true" outlineLevel="0" collapsed="false">
      <c r="A3133" s="6" t="s">
        <v>18745</v>
      </c>
      <c r="B3133" s="6" t="s">
        <v>2079</v>
      </c>
      <c r="C3133" s="6" t="s">
        <v>112</v>
      </c>
      <c r="D3133" s="6" t="s">
        <v>44</v>
      </c>
      <c r="E3133" s="14" t="n">
        <v>2539.68</v>
      </c>
      <c r="F3133" s="14" t="n">
        <v>5079.36</v>
      </c>
      <c r="G3133" s="6" t="s">
        <v>15614</v>
      </c>
    </row>
    <row r="3134" customFormat="false" ht="15" hidden="false" customHeight="true" outlineLevel="0" collapsed="false">
      <c r="A3134" s="6" t="s">
        <v>18746</v>
      </c>
      <c r="B3134" s="6" t="s">
        <v>2079</v>
      </c>
      <c r="C3134" s="6" t="s">
        <v>112</v>
      </c>
      <c r="D3134" s="6" t="s">
        <v>45</v>
      </c>
      <c r="E3134" s="14" t="n">
        <v>2539.68</v>
      </c>
      <c r="F3134" s="14" t="n">
        <v>7619.04</v>
      </c>
      <c r="G3134" s="6" t="s">
        <v>15614</v>
      </c>
    </row>
    <row r="3135" customFormat="false" ht="15" hidden="false" customHeight="true" outlineLevel="0" collapsed="false">
      <c r="A3135" s="6" t="s">
        <v>18747</v>
      </c>
      <c r="B3135" s="6" t="s">
        <v>2079</v>
      </c>
      <c r="C3135" s="6" t="s">
        <v>112</v>
      </c>
      <c r="D3135" s="6" t="s">
        <v>46</v>
      </c>
      <c r="E3135" s="14" t="n">
        <v>2539.68</v>
      </c>
      <c r="F3135" s="14" t="n">
        <v>10158.72</v>
      </c>
      <c r="G3135" s="6" t="s">
        <v>15614</v>
      </c>
    </row>
    <row r="3136" customFormat="false" ht="15" hidden="false" customHeight="true" outlineLevel="0" collapsed="false">
      <c r="A3136" s="6" t="s">
        <v>18748</v>
      </c>
      <c r="B3136" s="6" t="s">
        <v>2081</v>
      </c>
      <c r="C3136" s="6" t="s">
        <v>131</v>
      </c>
      <c r="D3136" s="6" t="s">
        <v>49</v>
      </c>
      <c r="E3136" s="14" t="n">
        <v>1997.38</v>
      </c>
      <c r="F3136" s="14" t="n">
        <v>1997.38</v>
      </c>
      <c r="G3136" s="6" t="s">
        <v>15614</v>
      </c>
    </row>
    <row r="3137" customFormat="false" ht="15" hidden="false" customHeight="true" outlineLevel="0" collapsed="false">
      <c r="A3137" s="6" t="s">
        <v>18749</v>
      </c>
      <c r="B3137" s="6" t="s">
        <v>2081</v>
      </c>
      <c r="C3137" s="6" t="s">
        <v>131</v>
      </c>
      <c r="D3137" s="6" t="s">
        <v>50</v>
      </c>
      <c r="E3137" s="14" t="n">
        <v>1997.38</v>
      </c>
      <c r="F3137" s="14" t="n">
        <v>3994.76</v>
      </c>
      <c r="G3137" s="6" t="s">
        <v>15614</v>
      </c>
    </row>
    <row r="3138" customFormat="false" ht="15" hidden="false" customHeight="true" outlineLevel="0" collapsed="false">
      <c r="A3138" s="6" t="s">
        <v>18750</v>
      </c>
      <c r="B3138" s="6" t="s">
        <v>2081</v>
      </c>
      <c r="C3138" s="6" t="s">
        <v>131</v>
      </c>
      <c r="D3138" s="6" t="s">
        <v>51</v>
      </c>
      <c r="E3138" s="14" t="n">
        <v>1997.38</v>
      </c>
      <c r="F3138" s="14" t="n">
        <v>5992.14</v>
      </c>
      <c r="G3138" s="6" t="s">
        <v>15614</v>
      </c>
    </row>
    <row r="3139" customFormat="false" ht="15" hidden="false" customHeight="true" outlineLevel="0" collapsed="false">
      <c r="A3139" s="6" t="s">
        <v>18751</v>
      </c>
      <c r="B3139" s="6" t="s">
        <v>2081</v>
      </c>
      <c r="C3139" s="6" t="s">
        <v>131</v>
      </c>
      <c r="D3139" s="6" t="s">
        <v>52</v>
      </c>
      <c r="E3139" s="14" t="n">
        <v>1997.38</v>
      </c>
      <c r="F3139" s="14" t="n">
        <v>7989.52</v>
      </c>
      <c r="G3139" s="6" t="s">
        <v>15614</v>
      </c>
    </row>
    <row r="3140" customFormat="false" ht="15" hidden="false" customHeight="true" outlineLevel="0" collapsed="false">
      <c r="A3140" s="6" t="s">
        <v>18752</v>
      </c>
      <c r="B3140" s="6" t="s">
        <v>2081</v>
      </c>
      <c r="C3140" s="6" t="s">
        <v>131</v>
      </c>
      <c r="D3140" s="6" t="s">
        <v>53</v>
      </c>
      <c r="E3140" s="14" t="n">
        <v>1997.38</v>
      </c>
      <c r="F3140" s="14" t="n">
        <v>9986.9</v>
      </c>
      <c r="G3140" s="6" t="s">
        <v>15614</v>
      </c>
    </row>
    <row r="3141" customFormat="false" ht="15" hidden="false" customHeight="true" outlineLevel="0" collapsed="false">
      <c r="A3141" s="6" t="s">
        <v>18753</v>
      </c>
      <c r="B3141" s="6" t="s">
        <v>2081</v>
      </c>
      <c r="C3141" s="6" t="s">
        <v>131</v>
      </c>
      <c r="D3141" s="6" t="s">
        <v>54</v>
      </c>
      <c r="E3141" s="14" t="n">
        <v>1997.38</v>
      </c>
      <c r="F3141" s="14" t="n">
        <v>11984.28</v>
      </c>
      <c r="G3141" s="6" t="s">
        <v>15614</v>
      </c>
    </row>
    <row r="3142" customFormat="false" ht="15" hidden="false" customHeight="true" outlineLevel="0" collapsed="false">
      <c r="A3142" s="6" t="s">
        <v>18754</v>
      </c>
      <c r="B3142" s="6" t="s">
        <v>2083</v>
      </c>
      <c r="C3142" s="6" t="s">
        <v>116</v>
      </c>
      <c r="D3142" s="6" t="s">
        <v>35</v>
      </c>
      <c r="E3142" s="14" t="n">
        <v>4013.56</v>
      </c>
      <c r="F3142" s="14" t="n">
        <v>4013.56</v>
      </c>
      <c r="G3142" s="6" t="s">
        <v>15614</v>
      </c>
    </row>
    <row r="3143" customFormat="false" ht="15" hidden="false" customHeight="true" outlineLevel="0" collapsed="false">
      <c r="A3143" s="6" t="s">
        <v>18755</v>
      </c>
      <c r="B3143" s="6" t="s">
        <v>2083</v>
      </c>
      <c r="C3143" s="6" t="s">
        <v>116</v>
      </c>
      <c r="D3143" s="6" t="s">
        <v>36</v>
      </c>
      <c r="E3143" s="14" t="n">
        <v>4013.56</v>
      </c>
      <c r="F3143" s="14" t="n">
        <v>8027.12</v>
      </c>
      <c r="G3143" s="6" t="s">
        <v>15614</v>
      </c>
    </row>
    <row r="3144" customFormat="false" ht="15" hidden="false" customHeight="true" outlineLevel="0" collapsed="false">
      <c r="A3144" s="6" t="s">
        <v>18756</v>
      </c>
      <c r="B3144" s="6" t="s">
        <v>2083</v>
      </c>
      <c r="C3144" s="6" t="s">
        <v>116</v>
      </c>
      <c r="D3144" s="6" t="s">
        <v>37</v>
      </c>
      <c r="E3144" s="14" t="n">
        <v>4013.56</v>
      </c>
      <c r="F3144" s="14" t="n">
        <v>12040.68</v>
      </c>
      <c r="G3144" s="6" t="s">
        <v>15614</v>
      </c>
    </row>
    <row r="3145" customFormat="false" ht="15" hidden="false" customHeight="true" outlineLevel="0" collapsed="false">
      <c r="A3145" s="6" t="s">
        <v>18757</v>
      </c>
      <c r="B3145" s="6" t="s">
        <v>2085</v>
      </c>
      <c r="C3145" s="6" t="s">
        <v>116</v>
      </c>
      <c r="D3145" s="6" t="s">
        <v>36</v>
      </c>
      <c r="E3145" s="14" t="n">
        <v>1603.54</v>
      </c>
      <c r="F3145" s="14" t="n">
        <v>1603.54</v>
      </c>
      <c r="G3145" s="6" t="s">
        <v>15614</v>
      </c>
    </row>
    <row r="3146" customFormat="false" ht="15" hidden="false" customHeight="true" outlineLevel="0" collapsed="false">
      <c r="A3146" s="6" t="s">
        <v>18758</v>
      </c>
      <c r="B3146" s="6" t="s">
        <v>2085</v>
      </c>
      <c r="C3146" s="6" t="s">
        <v>116</v>
      </c>
      <c r="D3146" s="6" t="s">
        <v>37</v>
      </c>
      <c r="E3146" s="14" t="n">
        <v>1603.54</v>
      </c>
      <c r="F3146" s="14" t="n">
        <v>3207.08</v>
      </c>
      <c r="G3146" s="6" t="s">
        <v>15614</v>
      </c>
    </row>
    <row r="3147" customFormat="false" ht="15" hidden="false" customHeight="true" outlineLevel="0" collapsed="false">
      <c r="A3147" s="6" t="s">
        <v>18759</v>
      </c>
      <c r="B3147" s="6" t="s">
        <v>2085</v>
      </c>
      <c r="C3147" s="6" t="s">
        <v>116</v>
      </c>
      <c r="D3147" s="6" t="s">
        <v>38</v>
      </c>
      <c r="E3147" s="14" t="n">
        <v>1603.54</v>
      </c>
      <c r="F3147" s="14" t="n">
        <v>4810.62</v>
      </c>
      <c r="G3147" s="6" t="s">
        <v>15614</v>
      </c>
    </row>
    <row r="3148" customFormat="false" ht="15" hidden="false" customHeight="true" outlineLevel="0" collapsed="false">
      <c r="A3148" s="6" t="s">
        <v>18760</v>
      </c>
      <c r="B3148" s="6" t="s">
        <v>2085</v>
      </c>
      <c r="C3148" s="6" t="s">
        <v>116</v>
      </c>
      <c r="D3148" s="6" t="s">
        <v>39</v>
      </c>
      <c r="E3148" s="14" t="n">
        <v>1603.54</v>
      </c>
      <c r="F3148" s="14" t="n">
        <v>6414.16</v>
      </c>
      <c r="G3148" s="6" t="s">
        <v>15614</v>
      </c>
    </row>
    <row r="3149" customFormat="false" ht="15" hidden="false" customHeight="true" outlineLevel="0" collapsed="false">
      <c r="A3149" s="6" t="s">
        <v>18761</v>
      </c>
      <c r="B3149" s="6" t="s">
        <v>2087</v>
      </c>
      <c r="C3149" s="6" t="s">
        <v>128</v>
      </c>
      <c r="D3149" s="6" t="s">
        <v>35</v>
      </c>
      <c r="E3149" s="14" t="n">
        <v>1295.38</v>
      </c>
      <c r="F3149" s="14" t="n">
        <v>1295.38</v>
      </c>
      <c r="G3149" s="6" t="s">
        <v>15614</v>
      </c>
    </row>
    <row r="3150" customFormat="false" ht="15" hidden="false" customHeight="true" outlineLevel="0" collapsed="false">
      <c r="A3150" s="6" t="s">
        <v>18762</v>
      </c>
      <c r="B3150" s="6" t="s">
        <v>2089</v>
      </c>
      <c r="C3150" s="6" t="s">
        <v>128</v>
      </c>
      <c r="D3150" s="6" t="s">
        <v>47</v>
      </c>
      <c r="E3150" s="14" t="n">
        <v>4800.26</v>
      </c>
      <c r="F3150" s="14" t="n">
        <v>4800.26</v>
      </c>
      <c r="G3150" s="6" t="s">
        <v>15614</v>
      </c>
    </row>
    <row r="3151" customFormat="false" ht="15" hidden="false" customHeight="true" outlineLevel="0" collapsed="false">
      <c r="A3151" s="6" t="s">
        <v>18763</v>
      </c>
      <c r="B3151" s="6" t="s">
        <v>2089</v>
      </c>
      <c r="C3151" s="6" t="s">
        <v>128</v>
      </c>
      <c r="D3151" s="6" t="s">
        <v>48</v>
      </c>
      <c r="E3151" s="14" t="n">
        <v>4800.26</v>
      </c>
      <c r="F3151" s="14" t="n">
        <v>9600.52</v>
      </c>
      <c r="G3151" s="6" t="s">
        <v>15614</v>
      </c>
    </row>
    <row r="3152" customFormat="false" ht="15" hidden="false" customHeight="true" outlineLevel="0" collapsed="false">
      <c r="A3152" s="6" t="s">
        <v>18764</v>
      </c>
      <c r="B3152" s="6" t="s">
        <v>2089</v>
      </c>
      <c r="C3152" s="6" t="s">
        <v>128</v>
      </c>
      <c r="D3152" s="6" t="s">
        <v>49</v>
      </c>
      <c r="E3152" s="14" t="n">
        <v>4800.26</v>
      </c>
      <c r="F3152" s="14" t="n">
        <v>14400.78</v>
      </c>
      <c r="G3152" s="6" t="s">
        <v>15614</v>
      </c>
    </row>
    <row r="3153" customFormat="false" ht="15" hidden="false" customHeight="true" outlineLevel="0" collapsed="false">
      <c r="A3153" s="6" t="s">
        <v>18765</v>
      </c>
      <c r="B3153" s="6" t="s">
        <v>2091</v>
      </c>
      <c r="C3153" s="6" t="s">
        <v>128</v>
      </c>
      <c r="D3153" s="6" t="s">
        <v>21</v>
      </c>
      <c r="E3153" s="14" t="n">
        <v>3110.6</v>
      </c>
      <c r="F3153" s="14" t="n">
        <v>3110.6</v>
      </c>
      <c r="G3153" s="6" t="s">
        <v>15614</v>
      </c>
    </row>
    <row r="3154" customFormat="false" ht="15" hidden="false" customHeight="true" outlineLevel="0" collapsed="false">
      <c r="A3154" s="6" t="s">
        <v>18766</v>
      </c>
      <c r="B3154" s="6" t="s">
        <v>2091</v>
      </c>
      <c r="C3154" s="6" t="s">
        <v>128</v>
      </c>
      <c r="D3154" s="6" t="s">
        <v>22</v>
      </c>
      <c r="E3154" s="14" t="n">
        <v>3110.6</v>
      </c>
      <c r="F3154" s="14" t="n">
        <v>6221.2</v>
      </c>
      <c r="G3154" s="6" t="s">
        <v>15614</v>
      </c>
    </row>
    <row r="3155" customFormat="false" ht="15" hidden="false" customHeight="true" outlineLevel="0" collapsed="false">
      <c r="A3155" s="6" t="s">
        <v>18767</v>
      </c>
      <c r="B3155" s="6" t="s">
        <v>2091</v>
      </c>
      <c r="C3155" s="6" t="s">
        <v>128</v>
      </c>
      <c r="D3155" s="6" t="s">
        <v>23</v>
      </c>
      <c r="E3155" s="14" t="n">
        <v>3110.6</v>
      </c>
      <c r="F3155" s="14" t="n">
        <v>9331.8</v>
      </c>
      <c r="G3155" s="6" t="s">
        <v>15614</v>
      </c>
    </row>
    <row r="3156" customFormat="false" ht="15" hidden="false" customHeight="true" outlineLevel="0" collapsed="false">
      <c r="A3156" s="6" t="s">
        <v>18768</v>
      </c>
      <c r="B3156" s="6" t="s">
        <v>2093</v>
      </c>
      <c r="C3156" s="6" t="s">
        <v>128</v>
      </c>
      <c r="D3156" s="6" t="s">
        <v>19</v>
      </c>
      <c r="E3156" s="14" t="n">
        <v>2872.09</v>
      </c>
      <c r="F3156" s="14" t="n">
        <v>2872.09</v>
      </c>
      <c r="G3156" s="6" t="s">
        <v>15614</v>
      </c>
    </row>
    <row r="3157" customFormat="false" ht="15" hidden="false" customHeight="true" outlineLevel="0" collapsed="false">
      <c r="A3157" s="6" t="s">
        <v>18769</v>
      </c>
      <c r="B3157" s="6" t="s">
        <v>2093</v>
      </c>
      <c r="C3157" s="6" t="s">
        <v>128</v>
      </c>
      <c r="D3157" s="6" t="s">
        <v>20</v>
      </c>
      <c r="E3157" s="14" t="n">
        <v>2872.09</v>
      </c>
      <c r="F3157" s="14" t="n">
        <v>5744.18</v>
      </c>
      <c r="G3157" s="6" t="s">
        <v>15614</v>
      </c>
    </row>
    <row r="3158" customFormat="false" ht="15" hidden="false" customHeight="true" outlineLevel="0" collapsed="false">
      <c r="A3158" s="6" t="s">
        <v>18770</v>
      </c>
      <c r="B3158" s="6" t="s">
        <v>2093</v>
      </c>
      <c r="C3158" s="6" t="s">
        <v>128</v>
      </c>
      <c r="D3158" s="6" t="s">
        <v>21</v>
      </c>
      <c r="E3158" s="14" t="n">
        <v>2872.09</v>
      </c>
      <c r="F3158" s="14" t="n">
        <v>8616.27</v>
      </c>
      <c r="G3158" s="6" t="s">
        <v>15614</v>
      </c>
    </row>
    <row r="3159" customFormat="false" ht="15" hidden="false" customHeight="true" outlineLevel="0" collapsed="false">
      <c r="A3159" s="6" t="s">
        <v>18771</v>
      </c>
      <c r="B3159" s="6" t="s">
        <v>2095</v>
      </c>
      <c r="C3159" s="6" t="s">
        <v>124</v>
      </c>
      <c r="D3159" s="6" t="s">
        <v>62</v>
      </c>
      <c r="E3159" s="14" t="n">
        <v>673.01</v>
      </c>
      <c r="F3159" s="14" t="n">
        <v>673.01</v>
      </c>
      <c r="G3159" s="6" t="s">
        <v>15614</v>
      </c>
    </row>
    <row r="3160" customFormat="false" ht="15" hidden="false" customHeight="true" outlineLevel="0" collapsed="false">
      <c r="A3160" s="6" t="s">
        <v>18772</v>
      </c>
      <c r="B3160" s="6" t="s">
        <v>2095</v>
      </c>
      <c r="C3160" s="6" t="s">
        <v>124</v>
      </c>
      <c r="D3160" s="6" t="s">
        <v>63</v>
      </c>
      <c r="E3160" s="14" t="n">
        <v>673.01</v>
      </c>
      <c r="F3160" s="14" t="n">
        <v>1346.02</v>
      </c>
      <c r="G3160" s="6" t="s">
        <v>15614</v>
      </c>
    </row>
    <row r="3161" customFormat="false" ht="15" hidden="false" customHeight="true" outlineLevel="0" collapsed="false">
      <c r="A3161" s="6" t="s">
        <v>18773</v>
      </c>
      <c r="B3161" s="6" t="s">
        <v>2097</v>
      </c>
      <c r="C3161" s="6" t="s">
        <v>124</v>
      </c>
      <c r="D3161" s="6" t="s">
        <v>23</v>
      </c>
      <c r="E3161" s="14" t="n">
        <v>698.06</v>
      </c>
      <c r="F3161" s="14" t="n">
        <v>698.06</v>
      </c>
      <c r="G3161" s="6" t="s">
        <v>15614</v>
      </c>
    </row>
    <row r="3162" customFormat="false" ht="15" hidden="false" customHeight="true" outlineLevel="0" collapsed="false">
      <c r="A3162" s="6" t="s">
        <v>18774</v>
      </c>
      <c r="B3162" s="6" t="s">
        <v>2097</v>
      </c>
      <c r="C3162" s="6" t="s">
        <v>124</v>
      </c>
      <c r="D3162" s="6" t="s">
        <v>23</v>
      </c>
      <c r="E3162" s="14" t="n">
        <v>698.06</v>
      </c>
      <c r="F3162" s="14" t="n">
        <v>1396.12</v>
      </c>
      <c r="G3162" s="6" t="s">
        <v>15614</v>
      </c>
    </row>
    <row r="3163" customFormat="false" ht="15" hidden="false" customHeight="true" outlineLevel="0" collapsed="false">
      <c r="A3163" s="6" t="s">
        <v>18775</v>
      </c>
      <c r="B3163" s="6" t="s">
        <v>2099</v>
      </c>
      <c r="C3163" s="6" t="s">
        <v>116</v>
      </c>
      <c r="D3163" s="6" t="s">
        <v>50</v>
      </c>
      <c r="E3163" s="14" t="n">
        <v>1041.8</v>
      </c>
      <c r="F3163" s="14" t="n">
        <v>1041.8</v>
      </c>
      <c r="G3163" s="6" t="s">
        <v>15614</v>
      </c>
    </row>
    <row r="3164" customFormat="false" ht="15" hidden="false" customHeight="true" outlineLevel="0" collapsed="false">
      <c r="A3164" s="6" t="s">
        <v>18776</v>
      </c>
      <c r="B3164" s="6" t="s">
        <v>2099</v>
      </c>
      <c r="C3164" s="6" t="s">
        <v>116</v>
      </c>
      <c r="D3164" s="6" t="s">
        <v>51</v>
      </c>
      <c r="E3164" s="14" t="n">
        <v>1041.8</v>
      </c>
      <c r="F3164" s="14" t="n">
        <v>2083.6</v>
      </c>
      <c r="G3164" s="6" t="s">
        <v>15614</v>
      </c>
    </row>
    <row r="3165" customFormat="false" ht="15" hidden="false" customHeight="true" outlineLevel="0" collapsed="false">
      <c r="A3165" s="6" t="s">
        <v>18777</v>
      </c>
      <c r="B3165" s="6" t="s">
        <v>2099</v>
      </c>
      <c r="C3165" s="6" t="s">
        <v>116</v>
      </c>
      <c r="D3165" s="6" t="s">
        <v>52</v>
      </c>
      <c r="E3165" s="14" t="n">
        <v>1041.8</v>
      </c>
      <c r="F3165" s="14" t="n">
        <v>3125.4</v>
      </c>
      <c r="G3165" s="6" t="s">
        <v>15614</v>
      </c>
    </row>
    <row r="3166" customFormat="false" ht="15" hidden="false" customHeight="true" outlineLevel="0" collapsed="false">
      <c r="A3166" s="6" t="s">
        <v>18778</v>
      </c>
      <c r="B3166" s="6" t="s">
        <v>2099</v>
      </c>
      <c r="C3166" s="6" t="s">
        <v>116</v>
      </c>
      <c r="D3166" s="6" t="s">
        <v>53</v>
      </c>
      <c r="E3166" s="14" t="n">
        <v>1041.8</v>
      </c>
      <c r="F3166" s="14" t="n">
        <v>4167.2</v>
      </c>
      <c r="G3166" s="6" t="s">
        <v>15614</v>
      </c>
    </row>
    <row r="3167" customFormat="false" ht="15" hidden="false" customHeight="true" outlineLevel="0" collapsed="false">
      <c r="A3167" s="6" t="s">
        <v>18779</v>
      </c>
      <c r="B3167" s="6" t="s">
        <v>2101</v>
      </c>
      <c r="C3167" s="6" t="s">
        <v>116</v>
      </c>
      <c r="D3167" s="6" t="s">
        <v>49</v>
      </c>
      <c r="E3167" s="14" t="n">
        <v>1331.74</v>
      </c>
      <c r="F3167" s="14" t="n">
        <v>1331.74</v>
      </c>
      <c r="G3167" s="6" t="s">
        <v>15614</v>
      </c>
    </row>
    <row r="3168" customFormat="false" ht="15" hidden="false" customHeight="true" outlineLevel="0" collapsed="false">
      <c r="A3168" s="6" t="s">
        <v>18780</v>
      </c>
      <c r="B3168" s="6" t="s">
        <v>2101</v>
      </c>
      <c r="C3168" s="6" t="s">
        <v>116</v>
      </c>
      <c r="D3168" s="6" t="s">
        <v>50</v>
      </c>
      <c r="E3168" s="14" t="n">
        <v>1331.74</v>
      </c>
      <c r="F3168" s="14" t="n">
        <v>2663.48</v>
      </c>
      <c r="G3168" s="6" t="s">
        <v>15614</v>
      </c>
    </row>
    <row r="3169" customFormat="false" ht="15" hidden="false" customHeight="true" outlineLevel="0" collapsed="false">
      <c r="A3169" s="6" t="s">
        <v>18781</v>
      </c>
      <c r="B3169" s="6" t="s">
        <v>2101</v>
      </c>
      <c r="C3169" s="6" t="s">
        <v>116</v>
      </c>
      <c r="D3169" s="6" t="s">
        <v>51</v>
      </c>
      <c r="E3169" s="14" t="n">
        <v>1331.74</v>
      </c>
      <c r="F3169" s="14" t="n">
        <v>3995.22</v>
      </c>
      <c r="G3169" s="6" t="s">
        <v>15614</v>
      </c>
    </row>
    <row r="3170" customFormat="false" ht="15" hidden="false" customHeight="true" outlineLevel="0" collapsed="false">
      <c r="A3170" s="6" t="s">
        <v>18782</v>
      </c>
      <c r="B3170" s="6" t="s">
        <v>2103</v>
      </c>
      <c r="C3170" s="6" t="s">
        <v>120</v>
      </c>
      <c r="D3170" s="6" t="s">
        <v>62</v>
      </c>
      <c r="E3170" s="14" t="n">
        <v>3278.03</v>
      </c>
      <c r="F3170" s="14" t="n">
        <v>3278.03</v>
      </c>
      <c r="G3170" s="6" t="s">
        <v>15614</v>
      </c>
    </row>
    <row r="3171" customFormat="false" ht="15" hidden="false" customHeight="true" outlineLevel="0" collapsed="false">
      <c r="A3171" s="6" t="s">
        <v>18783</v>
      </c>
      <c r="B3171" s="6" t="s">
        <v>2103</v>
      </c>
      <c r="C3171" s="6" t="s">
        <v>120</v>
      </c>
      <c r="D3171" s="6" t="s">
        <v>63</v>
      </c>
      <c r="E3171" s="14" t="n">
        <v>3278.03</v>
      </c>
      <c r="F3171" s="14" t="n">
        <v>6556.06</v>
      </c>
      <c r="G3171" s="6" t="s">
        <v>15614</v>
      </c>
    </row>
    <row r="3172" customFormat="false" ht="15" hidden="false" customHeight="true" outlineLevel="0" collapsed="false">
      <c r="A3172" s="6" t="s">
        <v>18784</v>
      </c>
      <c r="B3172" s="6" t="s">
        <v>2103</v>
      </c>
      <c r="C3172" s="6" t="s">
        <v>120</v>
      </c>
      <c r="D3172" s="6" t="s">
        <v>64</v>
      </c>
      <c r="E3172" s="14" t="n">
        <v>3278.03</v>
      </c>
      <c r="F3172" s="14" t="n">
        <v>9834.09</v>
      </c>
      <c r="G3172" s="6" t="s">
        <v>15614</v>
      </c>
    </row>
    <row r="3173" customFormat="false" ht="15" hidden="false" customHeight="true" outlineLevel="0" collapsed="false">
      <c r="A3173" s="6" t="s">
        <v>18785</v>
      </c>
      <c r="B3173" s="6" t="s">
        <v>2105</v>
      </c>
      <c r="C3173" s="6" t="s">
        <v>131</v>
      </c>
      <c r="D3173" s="6" t="s">
        <v>38</v>
      </c>
      <c r="E3173" s="14" t="n">
        <v>330.18</v>
      </c>
      <c r="F3173" s="14" t="n">
        <v>330.18</v>
      </c>
      <c r="G3173" s="6" t="s">
        <v>15614</v>
      </c>
    </row>
    <row r="3174" customFormat="false" ht="15" hidden="false" customHeight="true" outlineLevel="0" collapsed="false">
      <c r="A3174" s="6" t="s">
        <v>18786</v>
      </c>
      <c r="B3174" s="6" t="s">
        <v>2105</v>
      </c>
      <c r="C3174" s="6" t="s">
        <v>131</v>
      </c>
      <c r="D3174" s="6" t="s">
        <v>39</v>
      </c>
      <c r="E3174" s="14" t="n">
        <v>330.18</v>
      </c>
      <c r="F3174" s="14" t="n">
        <v>660.36</v>
      </c>
      <c r="G3174" s="6" t="s">
        <v>15614</v>
      </c>
    </row>
    <row r="3175" customFormat="false" ht="15" hidden="false" customHeight="true" outlineLevel="0" collapsed="false">
      <c r="A3175" s="6" t="s">
        <v>18787</v>
      </c>
      <c r="B3175" s="6" t="s">
        <v>2105</v>
      </c>
      <c r="C3175" s="6" t="s">
        <v>131</v>
      </c>
      <c r="D3175" s="6" t="s">
        <v>40</v>
      </c>
      <c r="E3175" s="14" t="n">
        <v>330.18</v>
      </c>
      <c r="F3175" s="14" t="n">
        <v>990.54</v>
      </c>
      <c r="G3175" s="6" t="s">
        <v>15614</v>
      </c>
    </row>
    <row r="3176" customFormat="false" ht="15" hidden="false" customHeight="true" outlineLevel="0" collapsed="false">
      <c r="A3176" s="6" t="s">
        <v>18788</v>
      </c>
      <c r="B3176" s="6" t="s">
        <v>2107</v>
      </c>
      <c r="C3176" s="6" t="s">
        <v>116</v>
      </c>
      <c r="D3176" s="6" t="s">
        <v>55</v>
      </c>
      <c r="E3176" s="14" t="n">
        <v>1799.94</v>
      </c>
      <c r="F3176" s="14" t="n">
        <v>1799.94</v>
      </c>
      <c r="G3176" s="6" t="s">
        <v>15614</v>
      </c>
    </row>
    <row r="3177" customFormat="false" ht="15" hidden="false" customHeight="true" outlineLevel="0" collapsed="false">
      <c r="A3177" s="6" t="s">
        <v>18789</v>
      </c>
      <c r="B3177" s="6" t="s">
        <v>2107</v>
      </c>
      <c r="C3177" s="6" t="s">
        <v>116</v>
      </c>
      <c r="D3177" s="6" t="s">
        <v>56</v>
      </c>
      <c r="E3177" s="14" t="n">
        <v>1799.94</v>
      </c>
      <c r="F3177" s="14" t="n">
        <v>3599.88</v>
      </c>
      <c r="G3177" s="6" t="s">
        <v>15614</v>
      </c>
    </row>
    <row r="3178" customFormat="false" ht="15" hidden="false" customHeight="true" outlineLevel="0" collapsed="false">
      <c r="A3178" s="6" t="s">
        <v>18790</v>
      </c>
      <c r="B3178" s="6" t="s">
        <v>2107</v>
      </c>
      <c r="C3178" s="6" t="s">
        <v>116</v>
      </c>
      <c r="D3178" s="6" t="s">
        <v>56</v>
      </c>
      <c r="E3178" s="14" t="n">
        <v>1799.94</v>
      </c>
      <c r="F3178" s="14" t="n">
        <v>5399.82</v>
      </c>
      <c r="G3178" s="6" t="s">
        <v>15614</v>
      </c>
    </row>
    <row r="3179" customFormat="false" ht="15" hidden="false" customHeight="true" outlineLevel="0" collapsed="false">
      <c r="A3179" s="6" t="s">
        <v>18791</v>
      </c>
      <c r="B3179" s="6" t="s">
        <v>2109</v>
      </c>
      <c r="C3179" s="6" t="s">
        <v>120</v>
      </c>
      <c r="D3179" s="6" t="s">
        <v>33</v>
      </c>
      <c r="E3179" s="14" t="n">
        <v>4452.72</v>
      </c>
      <c r="F3179" s="14" t="n">
        <v>4452.72</v>
      </c>
      <c r="G3179" s="6" t="s">
        <v>15614</v>
      </c>
    </row>
    <row r="3180" customFormat="false" ht="15" hidden="false" customHeight="true" outlineLevel="0" collapsed="false">
      <c r="A3180" s="6" t="s">
        <v>18792</v>
      </c>
      <c r="B3180" s="6" t="s">
        <v>2109</v>
      </c>
      <c r="C3180" s="6" t="s">
        <v>120</v>
      </c>
      <c r="D3180" s="6" t="s">
        <v>34</v>
      </c>
      <c r="E3180" s="14" t="n">
        <v>4452.72</v>
      </c>
      <c r="F3180" s="14" t="n">
        <v>8905.44</v>
      </c>
      <c r="G3180" s="6" t="s">
        <v>15614</v>
      </c>
    </row>
    <row r="3181" customFormat="false" ht="15" hidden="false" customHeight="true" outlineLevel="0" collapsed="false">
      <c r="A3181" s="6" t="s">
        <v>18793</v>
      </c>
      <c r="B3181" s="6" t="s">
        <v>2111</v>
      </c>
      <c r="C3181" s="6" t="s">
        <v>120</v>
      </c>
      <c r="D3181" s="6" t="s">
        <v>41</v>
      </c>
      <c r="E3181" s="14" t="n">
        <v>249.32</v>
      </c>
      <c r="F3181" s="14" t="n">
        <v>249.32</v>
      </c>
      <c r="G3181" s="6" t="s">
        <v>15614</v>
      </c>
    </row>
    <row r="3182" customFormat="false" ht="15" hidden="false" customHeight="true" outlineLevel="0" collapsed="false">
      <c r="A3182" s="6" t="s">
        <v>18794</v>
      </c>
      <c r="B3182" s="6" t="s">
        <v>2111</v>
      </c>
      <c r="C3182" s="6" t="s">
        <v>120</v>
      </c>
      <c r="D3182" s="6" t="s">
        <v>41</v>
      </c>
      <c r="E3182" s="14" t="n">
        <v>249.32</v>
      </c>
      <c r="F3182" s="14" t="n">
        <v>498.64</v>
      </c>
      <c r="G3182" s="6" t="s">
        <v>15614</v>
      </c>
    </row>
    <row r="3183" customFormat="false" ht="15" hidden="false" customHeight="true" outlineLevel="0" collapsed="false">
      <c r="A3183" s="6" t="s">
        <v>18795</v>
      </c>
      <c r="B3183" s="6" t="s">
        <v>2111</v>
      </c>
      <c r="C3183" s="6" t="s">
        <v>120</v>
      </c>
      <c r="D3183" s="6" t="s">
        <v>42</v>
      </c>
      <c r="E3183" s="14" t="n">
        <v>249.32</v>
      </c>
      <c r="F3183" s="14" t="n">
        <v>747.96</v>
      </c>
      <c r="G3183" s="6" t="s">
        <v>15614</v>
      </c>
    </row>
    <row r="3184" customFormat="false" ht="15" hidden="false" customHeight="true" outlineLevel="0" collapsed="false">
      <c r="A3184" s="6" t="s">
        <v>18796</v>
      </c>
      <c r="B3184" s="6" t="s">
        <v>2111</v>
      </c>
      <c r="C3184" s="6" t="s">
        <v>120</v>
      </c>
      <c r="D3184" s="6" t="s">
        <v>43</v>
      </c>
      <c r="E3184" s="14" t="n">
        <v>249.32</v>
      </c>
      <c r="F3184" s="14" t="n">
        <v>997.28</v>
      </c>
      <c r="G3184" s="6" t="s">
        <v>15614</v>
      </c>
    </row>
    <row r="3185" customFormat="false" ht="15" hidden="false" customHeight="true" outlineLevel="0" collapsed="false">
      <c r="A3185" s="6" t="s">
        <v>18797</v>
      </c>
      <c r="B3185" s="6" t="s">
        <v>2113</v>
      </c>
      <c r="C3185" s="6" t="s">
        <v>112</v>
      </c>
      <c r="D3185" s="6" t="s">
        <v>14</v>
      </c>
      <c r="E3185" s="14" t="n">
        <v>2141.6</v>
      </c>
      <c r="F3185" s="14" t="n">
        <v>2141.6</v>
      </c>
      <c r="G3185" s="6" t="s">
        <v>15614</v>
      </c>
    </row>
    <row r="3186" customFormat="false" ht="15" hidden="false" customHeight="true" outlineLevel="0" collapsed="false">
      <c r="A3186" s="6" t="s">
        <v>18798</v>
      </c>
      <c r="B3186" s="6" t="s">
        <v>2113</v>
      </c>
      <c r="C3186" s="6" t="s">
        <v>112</v>
      </c>
      <c r="D3186" s="6" t="s">
        <v>15</v>
      </c>
      <c r="E3186" s="14" t="n">
        <v>2141.6</v>
      </c>
      <c r="F3186" s="14" t="n">
        <v>4283.2</v>
      </c>
      <c r="G3186" s="6" t="s">
        <v>15614</v>
      </c>
    </row>
    <row r="3187" customFormat="false" ht="15" hidden="false" customHeight="true" outlineLevel="0" collapsed="false">
      <c r="A3187" s="6" t="s">
        <v>18799</v>
      </c>
      <c r="B3187" s="6" t="s">
        <v>2113</v>
      </c>
      <c r="C3187" s="6" t="s">
        <v>112</v>
      </c>
      <c r="D3187" s="6" t="s">
        <v>16</v>
      </c>
      <c r="E3187" s="14" t="n">
        <v>2141.6</v>
      </c>
      <c r="F3187" s="14" t="n">
        <v>6424.8</v>
      </c>
      <c r="G3187" s="6" t="s">
        <v>15614</v>
      </c>
    </row>
    <row r="3188" customFormat="false" ht="15" hidden="false" customHeight="true" outlineLevel="0" collapsed="false">
      <c r="A3188" s="6" t="s">
        <v>18800</v>
      </c>
      <c r="B3188" s="6" t="s">
        <v>2113</v>
      </c>
      <c r="C3188" s="6" t="s">
        <v>112</v>
      </c>
      <c r="D3188" s="6" t="s">
        <v>17</v>
      </c>
      <c r="E3188" s="14" t="n">
        <v>2141.6</v>
      </c>
      <c r="F3188" s="14" t="n">
        <v>8566.4</v>
      </c>
      <c r="G3188" s="6" t="s">
        <v>15614</v>
      </c>
    </row>
    <row r="3189" customFormat="false" ht="15" hidden="false" customHeight="true" outlineLevel="0" collapsed="false">
      <c r="A3189" s="6" t="s">
        <v>18801</v>
      </c>
      <c r="B3189" s="6" t="s">
        <v>2115</v>
      </c>
      <c r="C3189" s="6" t="s">
        <v>120</v>
      </c>
      <c r="D3189" s="6" t="s">
        <v>41</v>
      </c>
      <c r="E3189" s="14" t="n">
        <v>2309.29</v>
      </c>
      <c r="F3189" s="14" t="n">
        <v>2309.29</v>
      </c>
      <c r="G3189" s="6" t="s">
        <v>15614</v>
      </c>
    </row>
    <row r="3190" customFormat="false" ht="15" hidden="false" customHeight="true" outlineLevel="0" collapsed="false">
      <c r="A3190" s="6" t="s">
        <v>18802</v>
      </c>
      <c r="B3190" s="6" t="s">
        <v>2115</v>
      </c>
      <c r="C3190" s="6" t="s">
        <v>120</v>
      </c>
      <c r="D3190" s="6" t="s">
        <v>42</v>
      </c>
      <c r="E3190" s="14" t="n">
        <v>2309.29</v>
      </c>
      <c r="F3190" s="14" t="n">
        <v>4618.58</v>
      </c>
      <c r="G3190" s="6" t="s">
        <v>15614</v>
      </c>
    </row>
    <row r="3191" customFormat="false" ht="15" hidden="false" customHeight="true" outlineLevel="0" collapsed="false">
      <c r="A3191" s="6" t="s">
        <v>18803</v>
      </c>
      <c r="B3191" s="6" t="s">
        <v>2115</v>
      </c>
      <c r="C3191" s="6" t="s">
        <v>120</v>
      </c>
      <c r="D3191" s="6" t="s">
        <v>43</v>
      </c>
      <c r="E3191" s="14" t="n">
        <v>2309.29</v>
      </c>
      <c r="F3191" s="14" t="n">
        <v>6927.87</v>
      </c>
      <c r="G3191" s="6" t="s">
        <v>15614</v>
      </c>
    </row>
    <row r="3192" customFormat="false" ht="15" hidden="false" customHeight="true" outlineLevel="0" collapsed="false">
      <c r="A3192" s="6" t="s">
        <v>18804</v>
      </c>
      <c r="B3192" s="6" t="s">
        <v>2115</v>
      </c>
      <c r="C3192" s="6" t="s">
        <v>120</v>
      </c>
      <c r="D3192" s="6" t="s">
        <v>44</v>
      </c>
      <c r="E3192" s="14" t="n">
        <v>2309.29</v>
      </c>
      <c r="F3192" s="14" t="n">
        <v>9237.16</v>
      </c>
      <c r="G3192" s="6" t="s">
        <v>15614</v>
      </c>
    </row>
    <row r="3193" customFormat="false" ht="15" hidden="false" customHeight="true" outlineLevel="0" collapsed="false">
      <c r="A3193" s="6" t="s">
        <v>18805</v>
      </c>
      <c r="B3193" s="6" t="s">
        <v>2117</v>
      </c>
      <c r="C3193" s="6" t="s">
        <v>112</v>
      </c>
      <c r="D3193" s="6" t="s">
        <v>59</v>
      </c>
      <c r="E3193" s="14" t="n">
        <v>3839.63</v>
      </c>
      <c r="F3193" s="14" t="n">
        <v>3839.63</v>
      </c>
      <c r="G3193" s="6" t="s">
        <v>15614</v>
      </c>
    </row>
    <row r="3194" customFormat="false" ht="15" hidden="false" customHeight="true" outlineLevel="0" collapsed="false">
      <c r="A3194" s="6" t="s">
        <v>18806</v>
      </c>
      <c r="B3194" s="6" t="s">
        <v>2117</v>
      </c>
      <c r="C3194" s="6" t="s">
        <v>112</v>
      </c>
      <c r="D3194" s="6" t="s">
        <v>60</v>
      </c>
      <c r="E3194" s="14" t="n">
        <v>3839.63</v>
      </c>
      <c r="F3194" s="14" t="n">
        <v>7679.26</v>
      </c>
      <c r="G3194" s="6" t="s">
        <v>15614</v>
      </c>
    </row>
    <row r="3195" customFormat="false" ht="15" hidden="false" customHeight="true" outlineLevel="0" collapsed="false">
      <c r="A3195" s="6" t="s">
        <v>18807</v>
      </c>
      <c r="B3195" s="6" t="s">
        <v>2117</v>
      </c>
      <c r="C3195" s="6" t="s">
        <v>112</v>
      </c>
      <c r="D3195" s="6" t="s">
        <v>61</v>
      </c>
      <c r="E3195" s="14" t="n">
        <v>3839.63</v>
      </c>
      <c r="F3195" s="14" t="n">
        <v>11518.89</v>
      </c>
      <c r="G3195" s="6" t="s">
        <v>15614</v>
      </c>
    </row>
    <row r="3196" customFormat="false" ht="15" hidden="false" customHeight="true" outlineLevel="0" collapsed="false">
      <c r="A3196" s="6" t="s">
        <v>18808</v>
      </c>
      <c r="B3196" s="6" t="s">
        <v>2119</v>
      </c>
      <c r="C3196" s="6" t="s">
        <v>120</v>
      </c>
      <c r="D3196" s="6" t="s">
        <v>38</v>
      </c>
      <c r="E3196" s="14" t="n">
        <v>4093.13</v>
      </c>
      <c r="F3196" s="14" t="n">
        <v>4093.13</v>
      </c>
      <c r="G3196" s="6" t="s">
        <v>15614</v>
      </c>
    </row>
    <row r="3197" customFormat="false" ht="15" hidden="false" customHeight="true" outlineLevel="0" collapsed="false">
      <c r="A3197" s="6" t="s">
        <v>18809</v>
      </c>
      <c r="B3197" s="6" t="s">
        <v>2119</v>
      </c>
      <c r="C3197" s="6" t="s">
        <v>120</v>
      </c>
      <c r="D3197" s="6" t="s">
        <v>39</v>
      </c>
      <c r="E3197" s="14" t="n">
        <v>4093.13</v>
      </c>
      <c r="F3197" s="14" t="n">
        <v>8186.26</v>
      </c>
      <c r="G3197" s="6" t="s">
        <v>15614</v>
      </c>
    </row>
    <row r="3198" customFormat="false" ht="15" hidden="false" customHeight="true" outlineLevel="0" collapsed="false">
      <c r="A3198" s="6" t="s">
        <v>18810</v>
      </c>
      <c r="B3198" s="6" t="s">
        <v>2119</v>
      </c>
      <c r="C3198" s="6" t="s">
        <v>120</v>
      </c>
      <c r="D3198" s="6" t="s">
        <v>40</v>
      </c>
      <c r="E3198" s="14" t="n">
        <v>4093.13</v>
      </c>
      <c r="F3198" s="14" t="n">
        <v>12279.39</v>
      </c>
      <c r="G3198" s="6" t="s">
        <v>15614</v>
      </c>
    </row>
    <row r="3199" customFormat="false" ht="15" hidden="false" customHeight="true" outlineLevel="0" collapsed="false">
      <c r="A3199" s="6" t="s">
        <v>18811</v>
      </c>
      <c r="B3199" s="6" t="s">
        <v>2121</v>
      </c>
      <c r="C3199" s="6" t="s">
        <v>120</v>
      </c>
      <c r="D3199" s="6" t="s">
        <v>29</v>
      </c>
      <c r="E3199" s="14" t="n">
        <v>4924.33</v>
      </c>
      <c r="F3199" s="14" t="n">
        <v>4924.33</v>
      </c>
      <c r="G3199" s="6" t="s">
        <v>15614</v>
      </c>
    </row>
    <row r="3200" customFormat="false" ht="15" hidden="false" customHeight="true" outlineLevel="0" collapsed="false">
      <c r="A3200" s="6" t="s">
        <v>18812</v>
      </c>
      <c r="B3200" s="6" t="s">
        <v>2121</v>
      </c>
      <c r="C3200" s="6" t="s">
        <v>120</v>
      </c>
      <c r="D3200" s="6" t="s">
        <v>30</v>
      </c>
      <c r="E3200" s="14" t="n">
        <v>4924.33</v>
      </c>
      <c r="F3200" s="14" t="n">
        <v>9848.66</v>
      </c>
      <c r="G3200" s="6" t="s">
        <v>15614</v>
      </c>
    </row>
    <row r="3201" customFormat="false" ht="15" hidden="false" customHeight="true" outlineLevel="0" collapsed="false">
      <c r="A3201" s="6" t="s">
        <v>18813</v>
      </c>
      <c r="B3201" s="6" t="s">
        <v>2121</v>
      </c>
      <c r="C3201" s="6" t="s">
        <v>120</v>
      </c>
      <c r="D3201" s="6" t="s">
        <v>31</v>
      </c>
      <c r="E3201" s="14" t="n">
        <v>4924.33</v>
      </c>
      <c r="F3201" s="14" t="n">
        <v>14772.99</v>
      </c>
      <c r="G3201" s="6" t="s">
        <v>15614</v>
      </c>
    </row>
    <row r="3202" customFormat="false" ht="15" hidden="false" customHeight="true" outlineLevel="0" collapsed="false">
      <c r="A3202" s="6" t="s">
        <v>18814</v>
      </c>
      <c r="B3202" s="6" t="s">
        <v>2123</v>
      </c>
      <c r="C3202" s="6" t="s">
        <v>128</v>
      </c>
      <c r="D3202" s="6" t="s">
        <v>61</v>
      </c>
      <c r="E3202" s="14" t="n">
        <v>3143.96</v>
      </c>
      <c r="F3202" s="14" t="n">
        <v>3143.96</v>
      </c>
      <c r="G3202" s="6" t="s">
        <v>15614</v>
      </c>
    </row>
    <row r="3203" customFormat="false" ht="15" hidden="false" customHeight="true" outlineLevel="0" collapsed="false">
      <c r="A3203" s="6" t="s">
        <v>18815</v>
      </c>
      <c r="B3203" s="6" t="s">
        <v>2123</v>
      </c>
      <c r="C3203" s="6" t="s">
        <v>128</v>
      </c>
      <c r="D3203" s="6" t="s">
        <v>62</v>
      </c>
      <c r="E3203" s="14" t="n">
        <v>3143.96</v>
      </c>
      <c r="F3203" s="14" t="n">
        <v>6287.92</v>
      </c>
      <c r="G3203" s="6" t="s">
        <v>15614</v>
      </c>
    </row>
    <row r="3204" customFormat="false" ht="15" hidden="false" customHeight="true" outlineLevel="0" collapsed="false">
      <c r="A3204" s="6" t="s">
        <v>18816</v>
      </c>
      <c r="B3204" s="6" t="s">
        <v>2123</v>
      </c>
      <c r="C3204" s="6" t="s">
        <v>128</v>
      </c>
      <c r="D3204" s="6" t="s">
        <v>63</v>
      </c>
      <c r="E3204" s="14" t="n">
        <v>3143.96</v>
      </c>
      <c r="F3204" s="14" t="n">
        <v>9431.88</v>
      </c>
      <c r="G3204" s="6" t="s">
        <v>15614</v>
      </c>
    </row>
    <row r="3205" customFormat="false" ht="15" hidden="false" customHeight="true" outlineLevel="0" collapsed="false">
      <c r="A3205" s="6" t="s">
        <v>18817</v>
      </c>
      <c r="B3205" s="6" t="s">
        <v>2123</v>
      </c>
      <c r="C3205" s="6" t="s">
        <v>128</v>
      </c>
      <c r="D3205" s="6" t="s">
        <v>64</v>
      </c>
      <c r="E3205" s="14" t="n">
        <v>3143.96</v>
      </c>
      <c r="F3205" s="14" t="n">
        <v>12575.84</v>
      </c>
      <c r="G3205" s="6" t="s">
        <v>15614</v>
      </c>
    </row>
    <row r="3206" customFormat="false" ht="15" hidden="false" customHeight="true" outlineLevel="0" collapsed="false">
      <c r="A3206" s="6" t="s">
        <v>18818</v>
      </c>
      <c r="B3206" s="6" t="s">
        <v>2123</v>
      </c>
      <c r="C3206" s="6" t="s">
        <v>128</v>
      </c>
      <c r="D3206" s="6" t="s">
        <v>65</v>
      </c>
      <c r="E3206" s="14" t="n">
        <v>3143.96</v>
      </c>
      <c r="F3206" s="14" t="n">
        <v>15719.8</v>
      </c>
      <c r="G3206" s="6" t="s">
        <v>15614</v>
      </c>
    </row>
    <row r="3207" customFormat="false" ht="15" hidden="false" customHeight="true" outlineLevel="0" collapsed="false">
      <c r="A3207" s="6" t="s">
        <v>18819</v>
      </c>
      <c r="B3207" s="6" t="s">
        <v>2125</v>
      </c>
      <c r="C3207" s="6" t="s">
        <v>120</v>
      </c>
      <c r="D3207" s="6" t="s">
        <v>62</v>
      </c>
      <c r="E3207" s="14" t="n">
        <v>1245.98</v>
      </c>
      <c r="F3207" s="14" t="n">
        <v>1245.98</v>
      </c>
      <c r="G3207" s="6" t="s">
        <v>15614</v>
      </c>
    </row>
    <row r="3208" customFormat="false" ht="15" hidden="false" customHeight="true" outlineLevel="0" collapsed="false">
      <c r="A3208" s="6" t="s">
        <v>18820</v>
      </c>
      <c r="B3208" s="6" t="s">
        <v>2125</v>
      </c>
      <c r="C3208" s="6" t="s">
        <v>120</v>
      </c>
      <c r="D3208" s="6" t="s">
        <v>63</v>
      </c>
      <c r="E3208" s="14" t="n">
        <v>1245.98</v>
      </c>
      <c r="F3208" s="14" t="n">
        <v>2491.96</v>
      </c>
      <c r="G3208" s="6" t="s">
        <v>15614</v>
      </c>
    </row>
    <row r="3209" customFormat="false" ht="15" hidden="false" customHeight="true" outlineLevel="0" collapsed="false">
      <c r="A3209" s="6" t="s">
        <v>18821</v>
      </c>
      <c r="B3209" s="6" t="s">
        <v>2125</v>
      </c>
      <c r="C3209" s="6" t="s">
        <v>120</v>
      </c>
      <c r="D3209" s="6" t="s">
        <v>64</v>
      </c>
      <c r="E3209" s="14" t="n">
        <v>1245.98</v>
      </c>
      <c r="F3209" s="14" t="n">
        <v>3737.94</v>
      </c>
      <c r="G3209" s="6" t="s">
        <v>15614</v>
      </c>
    </row>
    <row r="3210" customFormat="false" ht="15" hidden="false" customHeight="true" outlineLevel="0" collapsed="false">
      <c r="A3210" s="6" t="s">
        <v>18822</v>
      </c>
      <c r="B3210" s="6" t="s">
        <v>2125</v>
      </c>
      <c r="C3210" s="6" t="s">
        <v>120</v>
      </c>
      <c r="D3210" s="6" t="s">
        <v>65</v>
      </c>
      <c r="E3210" s="14" t="n">
        <v>1245.98</v>
      </c>
      <c r="F3210" s="14" t="n">
        <v>4983.92</v>
      </c>
      <c r="G3210" s="6" t="s">
        <v>15614</v>
      </c>
    </row>
    <row r="3211" customFormat="false" ht="15" hidden="false" customHeight="true" outlineLevel="0" collapsed="false">
      <c r="A3211" s="6" t="s">
        <v>18823</v>
      </c>
      <c r="B3211" s="6" t="s">
        <v>2125</v>
      </c>
      <c r="C3211" s="6" t="s">
        <v>120</v>
      </c>
      <c r="D3211" s="6" t="s">
        <v>66</v>
      </c>
      <c r="E3211" s="14" t="n">
        <v>1245.98</v>
      </c>
      <c r="F3211" s="14" t="n">
        <v>6229.9</v>
      </c>
      <c r="G3211" s="6" t="s">
        <v>15614</v>
      </c>
    </row>
    <row r="3212" customFormat="false" ht="15" hidden="false" customHeight="true" outlineLevel="0" collapsed="false">
      <c r="A3212" s="6" t="s">
        <v>18824</v>
      </c>
      <c r="B3212" s="6" t="s">
        <v>2127</v>
      </c>
      <c r="C3212" s="6" t="s">
        <v>124</v>
      </c>
      <c r="D3212" s="6" t="s">
        <v>28</v>
      </c>
      <c r="E3212" s="14" t="n">
        <v>1470.59</v>
      </c>
      <c r="F3212" s="14" t="n">
        <v>1470.59</v>
      </c>
      <c r="G3212" s="6" t="s">
        <v>15614</v>
      </c>
    </row>
    <row r="3213" customFormat="false" ht="15" hidden="false" customHeight="true" outlineLevel="0" collapsed="false">
      <c r="A3213" s="6" t="s">
        <v>18825</v>
      </c>
      <c r="B3213" s="6" t="s">
        <v>2127</v>
      </c>
      <c r="C3213" s="6" t="s">
        <v>124</v>
      </c>
      <c r="D3213" s="6" t="s">
        <v>29</v>
      </c>
      <c r="E3213" s="14" t="n">
        <v>1470.59</v>
      </c>
      <c r="F3213" s="14" t="n">
        <v>2941.18</v>
      </c>
      <c r="G3213" s="6" t="s">
        <v>15614</v>
      </c>
    </row>
    <row r="3214" customFormat="false" ht="15" hidden="false" customHeight="true" outlineLevel="0" collapsed="false">
      <c r="A3214" s="6" t="s">
        <v>18826</v>
      </c>
      <c r="B3214" s="6" t="s">
        <v>2129</v>
      </c>
      <c r="C3214" s="6" t="s">
        <v>128</v>
      </c>
      <c r="D3214" s="6" t="s">
        <v>62</v>
      </c>
      <c r="E3214" s="14" t="n">
        <v>880.7</v>
      </c>
      <c r="F3214" s="14" t="n">
        <v>880.7</v>
      </c>
      <c r="G3214" s="6" t="s">
        <v>15614</v>
      </c>
    </row>
    <row r="3215" customFormat="false" ht="15" hidden="false" customHeight="true" outlineLevel="0" collapsed="false">
      <c r="A3215" s="6" t="s">
        <v>18827</v>
      </c>
      <c r="B3215" s="6" t="s">
        <v>2129</v>
      </c>
      <c r="C3215" s="6" t="s">
        <v>128</v>
      </c>
      <c r="D3215" s="6" t="s">
        <v>63</v>
      </c>
      <c r="E3215" s="14" t="n">
        <v>880.7</v>
      </c>
      <c r="F3215" s="14" t="n">
        <v>1761.4</v>
      </c>
      <c r="G3215" s="6" t="s">
        <v>15614</v>
      </c>
    </row>
    <row r="3216" customFormat="false" ht="15" hidden="false" customHeight="true" outlineLevel="0" collapsed="false">
      <c r="A3216" s="6" t="s">
        <v>18828</v>
      </c>
      <c r="B3216" s="6" t="s">
        <v>2129</v>
      </c>
      <c r="C3216" s="6" t="s">
        <v>128</v>
      </c>
      <c r="D3216" s="6" t="s">
        <v>64</v>
      </c>
      <c r="E3216" s="14" t="n">
        <v>880.7</v>
      </c>
      <c r="F3216" s="14" t="n">
        <v>2642.1</v>
      </c>
      <c r="G3216" s="6" t="s">
        <v>15614</v>
      </c>
    </row>
    <row r="3217" customFormat="false" ht="15" hidden="false" customHeight="true" outlineLevel="0" collapsed="false">
      <c r="A3217" s="6" t="s">
        <v>18829</v>
      </c>
      <c r="B3217" s="6" t="s">
        <v>2131</v>
      </c>
      <c r="C3217" s="6" t="s">
        <v>116</v>
      </c>
      <c r="D3217" s="6" t="s">
        <v>59</v>
      </c>
      <c r="E3217" s="14" t="n">
        <v>2167.65</v>
      </c>
      <c r="F3217" s="14" t="n">
        <v>2167.65</v>
      </c>
      <c r="G3217" s="6" t="s">
        <v>15614</v>
      </c>
    </row>
    <row r="3218" customFormat="false" ht="15" hidden="false" customHeight="true" outlineLevel="0" collapsed="false">
      <c r="A3218" s="6" t="s">
        <v>18830</v>
      </c>
      <c r="B3218" s="6" t="s">
        <v>2131</v>
      </c>
      <c r="C3218" s="6" t="s">
        <v>116</v>
      </c>
      <c r="D3218" s="6" t="s">
        <v>60</v>
      </c>
      <c r="E3218" s="14" t="n">
        <v>2167.65</v>
      </c>
      <c r="F3218" s="14" t="n">
        <v>4335.3</v>
      </c>
      <c r="G3218" s="6" t="s">
        <v>15614</v>
      </c>
    </row>
    <row r="3219" customFormat="false" ht="15" hidden="false" customHeight="true" outlineLevel="0" collapsed="false">
      <c r="A3219" s="6" t="s">
        <v>18831</v>
      </c>
      <c r="B3219" s="6" t="s">
        <v>2133</v>
      </c>
      <c r="C3219" s="6" t="s">
        <v>120</v>
      </c>
      <c r="D3219" s="6" t="s">
        <v>39</v>
      </c>
      <c r="E3219" s="14" t="n">
        <v>1152.86</v>
      </c>
      <c r="F3219" s="14" t="n">
        <v>1152.86</v>
      </c>
      <c r="G3219" s="6" t="s">
        <v>15614</v>
      </c>
    </row>
    <row r="3220" customFormat="false" ht="15" hidden="false" customHeight="true" outlineLevel="0" collapsed="false">
      <c r="A3220" s="6" t="s">
        <v>18832</v>
      </c>
      <c r="B3220" s="6" t="s">
        <v>2133</v>
      </c>
      <c r="C3220" s="6" t="s">
        <v>120</v>
      </c>
      <c r="D3220" s="6" t="s">
        <v>40</v>
      </c>
      <c r="E3220" s="14" t="n">
        <v>1152.86</v>
      </c>
      <c r="F3220" s="14" t="n">
        <v>2305.72</v>
      </c>
      <c r="G3220" s="6" t="s">
        <v>15614</v>
      </c>
    </row>
    <row r="3221" customFormat="false" ht="15" hidden="false" customHeight="true" outlineLevel="0" collapsed="false">
      <c r="A3221" s="6" t="s">
        <v>18833</v>
      </c>
      <c r="B3221" s="6" t="s">
        <v>2133</v>
      </c>
      <c r="C3221" s="6" t="s">
        <v>120</v>
      </c>
      <c r="D3221" s="6" t="s">
        <v>41</v>
      </c>
      <c r="E3221" s="14" t="n">
        <v>1152.86</v>
      </c>
      <c r="F3221" s="14" t="n">
        <v>3458.58</v>
      </c>
      <c r="G3221" s="6" t="s">
        <v>15614</v>
      </c>
    </row>
    <row r="3222" customFormat="false" ht="15" hidden="false" customHeight="true" outlineLevel="0" collapsed="false">
      <c r="A3222" s="6" t="s">
        <v>18834</v>
      </c>
      <c r="B3222" s="6" t="s">
        <v>2133</v>
      </c>
      <c r="C3222" s="6" t="s">
        <v>120</v>
      </c>
      <c r="D3222" s="6" t="s">
        <v>42</v>
      </c>
      <c r="E3222" s="14" t="n">
        <v>1152.86</v>
      </c>
      <c r="F3222" s="14" t="n">
        <v>4611.44</v>
      </c>
      <c r="G3222" s="6" t="s">
        <v>15614</v>
      </c>
    </row>
    <row r="3223" customFormat="false" ht="15" hidden="false" customHeight="true" outlineLevel="0" collapsed="false">
      <c r="A3223" s="6" t="s">
        <v>18835</v>
      </c>
      <c r="B3223" s="6" t="s">
        <v>2133</v>
      </c>
      <c r="C3223" s="6" t="s">
        <v>120</v>
      </c>
      <c r="D3223" s="6" t="s">
        <v>43</v>
      </c>
      <c r="E3223" s="14" t="n">
        <v>1152.86</v>
      </c>
      <c r="F3223" s="14" t="n">
        <v>5764.3</v>
      </c>
      <c r="G3223" s="6" t="s">
        <v>15614</v>
      </c>
    </row>
    <row r="3224" customFormat="false" ht="15" hidden="false" customHeight="true" outlineLevel="0" collapsed="false">
      <c r="A3224" s="6" t="s">
        <v>18836</v>
      </c>
      <c r="B3224" s="6" t="s">
        <v>2133</v>
      </c>
      <c r="C3224" s="6" t="s">
        <v>120</v>
      </c>
      <c r="D3224" s="6" t="s">
        <v>44</v>
      </c>
      <c r="E3224" s="14" t="n">
        <v>1152.86</v>
      </c>
      <c r="F3224" s="14" t="n">
        <v>6917.16</v>
      </c>
      <c r="G3224" s="6" t="s">
        <v>15614</v>
      </c>
    </row>
    <row r="3225" customFormat="false" ht="15" hidden="false" customHeight="true" outlineLevel="0" collapsed="false">
      <c r="A3225" s="6" t="s">
        <v>18837</v>
      </c>
      <c r="B3225" s="6" t="s">
        <v>2135</v>
      </c>
      <c r="C3225" s="6" t="s">
        <v>124</v>
      </c>
      <c r="D3225" s="6" t="s">
        <v>52</v>
      </c>
      <c r="E3225" s="14" t="n">
        <v>405.57</v>
      </c>
      <c r="F3225" s="14" t="n">
        <v>405.57</v>
      </c>
      <c r="G3225" s="6" t="s">
        <v>15614</v>
      </c>
    </row>
    <row r="3226" customFormat="false" ht="15" hidden="false" customHeight="true" outlineLevel="0" collapsed="false">
      <c r="A3226" s="6" t="s">
        <v>18838</v>
      </c>
      <c r="B3226" s="6" t="s">
        <v>2135</v>
      </c>
      <c r="C3226" s="6" t="s">
        <v>124</v>
      </c>
      <c r="D3226" s="6" t="s">
        <v>53</v>
      </c>
      <c r="E3226" s="14" t="n">
        <v>405.57</v>
      </c>
      <c r="F3226" s="14" t="n">
        <v>811.14</v>
      </c>
      <c r="G3226" s="6" t="s">
        <v>15614</v>
      </c>
    </row>
    <row r="3227" customFormat="false" ht="15" hidden="false" customHeight="true" outlineLevel="0" collapsed="false">
      <c r="A3227" s="6" t="s">
        <v>18839</v>
      </c>
      <c r="B3227" s="6" t="s">
        <v>2137</v>
      </c>
      <c r="C3227" s="6" t="s">
        <v>120</v>
      </c>
      <c r="D3227" s="6" t="s">
        <v>29</v>
      </c>
      <c r="E3227" s="14" t="n">
        <v>3747.11</v>
      </c>
      <c r="F3227" s="14" t="n">
        <v>3747.11</v>
      </c>
      <c r="G3227" s="6" t="s">
        <v>15614</v>
      </c>
    </row>
    <row r="3228" customFormat="false" ht="15" hidden="false" customHeight="true" outlineLevel="0" collapsed="false">
      <c r="A3228" s="6" t="s">
        <v>18840</v>
      </c>
      <c r="B3228" s="6" t="s">
        <v>2137</v>
      </c>
      <c r="C3228" s="6" t="s">
        <v>120</v>
      </c>
      <c r="D3228" s="6" t="s">
        <v>30</v>
      </c>
      <c r="E3228" s="14" t="n">
        <v>3747.11</v>
      </c>
      <c r="F3228" s="14" t="n">
        <v>7494.22</v>
      </c>
      <c r="G3228" s="6" t="s">
        <v>15614</v>
      </c>
    </row>
    <row r="3229" customFormat="false" ht="15" hidden="false" customHeight="true" outlineLevel="0" collapsed="false">
      <c r="A3229" s="6" t="s">
        <v>18841</v>
      </c>
      <c r="B3229" s="6" t="s">
        <v>2139</v>
      </c>
      <c r="C3229" s="6" t="s">
        <v>128</v>
      </c>
      <c r="D3229" s="6" t="s">
        <v>55</v>
      </c>
      <c r="E3229" s="14" t="n">
        <v>6170.3</v>
      </c>
      <c r="F3229" s="14" t="n">
        <v>6170.3</v>
      </c>
      <c r="G3229" s="6" t="s">
        <v>15614</v>
      </c>
    </row>
    <row r="3230" customFormat="false" ht="15" hidden="false" customHeight="true" outlineLevel="0" collapsed="false">
      <c r="A3230" s="6" t="s">
        <v>18842</v>
      </c>
      <c r="B3230" s="6" t="s">
        <v>2139</v>
      </c>
      <c r="C3230" s="6" t="s">
        <v>128</v>
      </c>
      <c r="D3230" s="6" t="s">
        <v>56</v>
      </c>
      <c r="E3230" s="14" t="n">
        <v>6170.3</v>
      </c>
      <c r="F3230" s="14" t="n">
        <v>12340.6</v>
      </c>
      <c r="G3230" s="6" t="s">
        <v>15614</v>
      </c>
    </row>
    <row r="3231" customFormat="false" ht="15" hidden="false" customHeight="true" outlineLevel="0" collapsed="false">
      <c r="A3231" s="6" t="s">
        <v>18843</v>
      </c>
      <c r="B3231" s="6" t="s">
        <v>2139</v>
      </c>
      <c r="C3231" s="6" t="s">
        <v>128</v>
      </c>
      <c r="D3231" s="6" t="s">
        <v>57</v>
      </c>
      <c r="E3231" s="14" t="n">
        <v>6170.3</v>
      </c>
      <c r="F3231" s="14" t="n">
        <v>18510.9</v>
      </c>
      <c r="G3231" s="6" t="s">
        <v>15614</v>
      </c>
    </row>
    <row r="3232" customFormat="false" ht="15" hidden="false" customHeight="true" outlineLevel="0" collapsed="false">
      <c r="A3232" s="6" t="s">
        <v>18844</v>
      </c>
      <c r="B3232" s="6" t="s">
        <v>2141</v>
      </c>
      <c r="C3232" s="6" t="s">
        <v>128</v>
      </c>
      <c r="D3232" s="6" t="s">
        <v>59</v>
      </c>
      <c r="E3232" s="14" t="n">
        <v>1500.01</v>
      </c>
      <c r="F3232" s="14" t="n">
        <v>1500.01</v>
      </c>
      <c r="G3232" s="6" t="s">
        <v>15614</v>
      </c>
    </row>
    <row r="3233" customFormat="false" ht="15" hidden="false" customHeight="true" outlineLevel="0" collapsed="false">
      <c r="A3233" s="6" t="s">
        <v>18845</v>
      </c>
      <c r="B3233" s="6" t="s">
        <v>2141</v>
      </c>
      <c r="C3233" s="6" t="s">
        <v>128</v>
      </c>
      <c r="D3233" s="6" t="s">
        <v>60</v>
      </c>
      <c r="E3233" s="14" t="n">
        <v>1500.01</v>
      </c>
      <c r="F3233" s="14" t="n">
        <v>3000.02</v>
      </c>
      <c r="G3233" s="6" t="s">
        <v>15614</v>
      </c>
    </row>
    <row r="3234" customFormat="false" ht="15" hidden="false" customHeight="true" outlineLevel="0" collapsed="false">
      <c r="A3234" s="6" t="s">
        <v>18846</v>
      </c>
      <c r="B3234" s="6" t="s">
        <v>2143</v>
      </c>
      <c r="C3234" s="6" t="s">
        <v>131</v>
      </c>
      <c r="D3234" s="6" t="s">
        <v>61</v>
      </c>
      <c r="E3234" s="14" t="n">
        <v>1741.58</v>
      </c>
      <c r="F3234" s="14" t="n">
        <v>1741.58</v>
      </c>
      <c r="G3234" s="6" t="s">
        <v>15614</v>
      </c>
    </row>
    <row r="3235" customFormat="false" ht="15" hidden="false" customHeight="true" outlineLevel="0" collapsed="false">
      <c r="A3235" s="6" t="s">
        <v>18847</v>
      </c>
      <c r="B3235" s="6" t="s">
        <v>2143</v>
      </c>
      <c r="C3235" s="6" t="s">
        <v>131</v>
      </c>
      <c r="D3235" s="6" t="s">
        <v>62</v>
      </c>
      <c r="E3235" s="14" t="n">
        <v>1741.58</v>
      </c>
      <c r="F3235" s="14" t="n">
        <v>3483.16</v>
      </c>
      <c r="G3235" s="6" t="s">
        <v>15614</v>
      </c>
    </row>
    <row r="3236" customFormat="false" ht="15" hidden="false" customHeight="true" outlineLevel="0" collapsed="false">
      <c r="A3236" s="6" t="s">
        <v>18848</v>
      </c>
      <c r="B3236" s="6" t="s">
        <v>2143</v>
      </c>
      <c r="C3236" s="6" t="s">
        <v>131</v>
      </c>
      <c r="D3236" s="6" t="s">
        <v>63</v>
      </c>
      <c r="E3236" s="14" t="n">
        <v>1741.58</v>
      </c>
      <c r="F3236" s="14" t="n">
        <v>5224.74</v>
      </c>
      <c r="G3236" s="6" t="s">
        <v>15614</v>
      </c>
    </row>
    <row r="3237" customFormat="false" ht="15" hidden="false" customHeight="true" outlineLevel="0" collapsed="false">
      <c r="A3237" s="6" t="s">
        <v>18849</v>
      </c>
      <c r="B3237" s="6" t="s">
        <v>2145</v>
      </c>
      <c r="C3237" s="6" t="s">
        <v>131</v>
      </c>
      <c r="D3237" s="6" t="s">
        <v>15</v>
      </c>
      <c r="E3237" s="14" t="n">
        <v>5120.21</v>
      </c>
      <c r="F3237" s="14" t="n">
        <v>5120.21</v>
      </c>
      <c r="G3237" s="6" t="s">
        <v>15614</v>
      </c>
    </row>
    <row r="3238" customFormat="false" ht="15" hidden="false" customHeight="true" outlineLevel="0" collapsed="false">
      <c r="A3238" s="6" t="s">
        <v>18850</v>
      </c>
      <c r="B3238" s="6" t="s">
        <v>2145</v>
      </c>
      <c r="C3238" s="6" t="s">
        <v>131</v>
      </c>
      <c r="D3238" s="6" t="s">
        <v>16</v>
      </c>
      <c r="E3238" s="14" t="n">
        <v>5120.21</v>
      </c>
      <c r="F3238" s="14" t="n">
        <v>10240.42</v>
      </c>
      <c r="G3238" s="6" t="s">
        <v>15614</v>
      </c>
    </row>
    <row r="3239" customFormat="false" ht="15" hidden="false" customHeight="true" outlineLevel="0" collapsed="false">
      <c r="A3239" s="6" t="s">
        <v>18851</v>
      </c>
      <c r="B3239" s="6" t="s">
        <v>2145</v>
      </c>
      <c r="C3239" s="6" t="s">
        <v>131</v>
      </c>
      <c r="D3239" s="6" t="s">
        <v>17</v>
      </c>
      <c r="E3239" s="14" t="n">
        <v>5120.21</v>
      </c>
      <c r="F3239" s="14" t="n">
        <v>15360.63</v>
      </c>
      <c r="G3239" s="6" t="s">
        <v>15614</v>
      </c>
    </row>
    <row r="3240" customFormat="false" ht="15" hidden="false" customHeight="true" outlineLevel="0" collapsed="false">
      <c r="A3240" s="6" t="s">
        <v>18852</v>
      </c>
      <c r="B3240" s="6" t="s">
        <v>2145</v>
      </c>
      <c r="C3240" s="6" t="s">
        <v>131</v>
      </c>
      <c r="D3240" s="6" t="s">
        <v>18</v>
      </c>
      <c r="E3240" s="14" t="n">
        <v>5120.21</v>
      </c>
      <c r="F3240" s="14" t="n">
        <v>20480.84</v>
      </c>
      <c r="G3240" s="6" t="s">
        <v>15614</v>
      </c>
    </row>
    <row r="3241" customFormat="false" ht="15" hidden="false" customHeight="true" outlineLevel="0" collapsed="false">
      <c r="A3241" s="6" t="s">
        <v>18853</v>
      </c>
      <c r="B3241" s="6" t="s">
        <v>2147</v>
      </c>
      <c r="C3241" s="6" t="s">
        <v>120</v>
      </c>
      <c r="D3241" s="6" t="s">
        <v>54</v>
      </c>
      <c r="E3241" s="14" t="n">
        <v>3211.78</v>
      </c>
      <c r="F3241" s="14" t="n">
        <v>3211.78</v>
      </c>
      <c r="G3241" s="6" t="s">
        <v>15614</v>
      </c>
    </row>
    <row r="3242" customFormat="false" ht="15" hidden="false" customHeight="true" outlineLevel="0" collapsed="false">
      <c r="A3242" s="6" t="s">
        <v>18854</v>
      </c>
      <c r="B3242" s="6" t="s">
        <v>2147</v>
      </c>
      <c r="C3242" s="6" t="s">
        <v>120</v>
      </c>
      <c r="D3242" s="6" t="s">
        <v>54</v>
      </c>
      <c r="E3242" s="14" t="n">
        <v>3211.78</v>
      </c>
      <c r="F3242" s="14" t="n">
        <v>6423.56</v>
      </c>
      <c r="G3242" s="6" t="s">
        <v>15614</v>
      </c>
    </row>
    <row r="3243" customFormat="false" ht="15" hidden="false" customHeight="true" outlineLevel="0" collapsed="false">
      <c r="A3243" s="6" t="s">
        <v>18855</v>
      </c>
      <c r="B3243" s="6" t="s">
        <v>2147</v>
      </c>
      <c r="C3243" s="6" t="s">
        <v>120</v>
      </c>
      <c r="D3243" s="6" t="s">
        <v>55</v>
      </c>
      <c r="E3243" s="14" t="n">
        <v>3211.78</v>
      </c>
      <c r="F3243" s="14" t="n">
        <v>9635.34</v>
      </c>
      <c r="G3243" s="6" t="s">
        <v>15614</v>
      </c>
    </row>
    <row r="3244" customFormat="false" ht="15" hidden="false" customHeight="true" outlineLevel="0" collapsed="false">
      <c r="A3244" s="6" t="s">
        <v>18856</v>
      </c>
      <c r="B3244" s="6" t="s">
        <v>2147</v>
      </c>
      <c r="C3244" s="6" t="s">
        <v>120</v>
      </c>
      <c r="D3244" s="6" t="s">
        <v>56</v>
      </c>
      <c r="E3244" s="14" t="n">
        <v>3211.78</v>
      </c>
      <c r="F3244" s="14" t="n">
        <v>12847.12</v>
      </c>
      <c r="G3244" s="6" t="s">
        <v>15614</v>
      </c>
    </row>
    <row r="3245" customFormat="false" ht="15" hidden="false" customHeight="true" outlineLevel="0" collapsed="false">
      <c r="A3245" s="6" t="s">
        <v>18857</v>
      </c>
      <c r="B3245" s="6" t="s">
        <v>2149</v>
      </c>
      <c r="C3245" s="6" t="s">
        <v>128</v>
      </c>
      <c r="D3245" s="6" t="s">
        <v>15</v>
      </c>
      <c r="E3245" s="14" t="n">
        <v>914.18</v>
      </c>
      <c r="F3245" s="14" t="n">
        <v>914.18</v>
      </c>
      <c r="G3245" s="6" t="s">
        <v>15614</v>
      </c>
    </row>
    <row r="3246" customFormat="false" ht="15" hidden="false" customHeight="true" outlineLevel="0" collapsed="false">
      <c r="A3246" s="6" t="s">
        <v>18858</v>
      </c>
      <c r="B3246" s="6" t="s">
        <v>2149</v>
      </c>
      <c r="C3246" s="6" t="s">
        <v>128</v>
      </c>
      <c r="D3246" s="6" t="s">
        <v>16</v>
      </c>
      <c r="E3246" s="14" t="n">
        <v>914.18</v>
      </c>
      <c r="F3246" s="14" t="n">
        <v>1828.36</v>
      </c>
      <c r="G3246" s="6" t="s">
        <v>15614</v>
      </c>
    </row>
    <row r="3247" customFormat="false" ht="15" hidden="false" customHeight="true" outlineLevel="0" collapsed="false">
      <c r="A3247" s="6" t="s">
        <v>18859</v>
      </c>
      <c r="B3247" s="6" t="s">
        <v>2149</v>
      </c>
      <c r="C3247" s="6" t="s">
        <v>128</v>
      </c>
      <c r="D3247" s="6" t="s">
        <v>17</v>
      </c>
      <c r="E3247" s="14" t="n">
        <v>914.18</v>
      </c>
      <c r="F3247" s="14" t="n">
        <v>2742.54</v>
      </c>
      <c r="G3247" s="6" t="s">
        <v>15614</v>
      </c>
    </row>
    <row r="3248" customFormat="false" ht="15" hidden="false" customHeight="true" outlineLevel="0" collapsed="false">
      <c r="A3248" s="6" t="s">
        <v>18860</v>
      </c>
      <c r="B3248" s="6" t="s">
        <v>2149</v>
      </c>
      <c r="C3248" s="6" t="s">
        <v>128</v>
      </c>
      <c r="D3248" s="6" t="s">
        <v>18</v>
      </c>
      <c r="E3248" s="14" t="n">
        <v>914.18</v>
      </c>
      <c r="F3248" s="14" t="n">
        <v>3656.72</v>
      </c>
      <c r="G3248" s="6" t="s">
        <v>15614</v>
      </c>
    </row>
    <row r="3249" customFormat="false" ht="15" hidden="false" customHeight="true" outlineLevel="0" collapsed="false">
      <c r="A3249" s="6" t="s">
        <v>18861</v>
      </c>
      <c r="B3249" s="6" t="s">
        <v>2149</v>
      </c>
      <c r="C3249" s="6" t="s">
        <v>128</v>
      </c>
      <c r="D3249" s="6" t="s">
        <v>19</v>
      </c>
      <c r="E3249" s="14" t="n">
        <v>914.18</v>
      </c>
      <c r="F3249" s="14" t="n">
        <v>4570.9</v>
      </c>
      <c r="G3249" s="6" t="s">
        <v>15614</v>
      </c>
    </row>
    <row r="3250" customFormat="false" ht="15" hidden="false" customHeight="true" outlineLevel="0" collapsed="false">
      <c r="A3250" s="6" t="s">
        <v>18862</v>
      </c>
      <c r="B3250" s="6" t="s">
        <v>2149</v>
      </c>
      <c r="C3250" s="6" t="s">
        <v>128</v>
      </c>
      <c r="D3250" s="6" t="s">
        <v>20</v>
      </c>
      <c r="E3250" s="14" t="n">
        <v>914.18</v>
      </c>
      <c r="F3250" s="14" t="n">
        <v>5485.08</v>
      </c>
      <c r="G3250" s="6" t="s">
        <v>15614</v>
      </c>
    </row>
    <row r="3251" customFormat="false" ht="15" hidden="false" customHeight="true" outlineLevel="0" collapsed="false">
      <c r="A3251" s="6" t="s">
        <v>18863</v>
      </c>
      <c r="B3251" s="6" t="s">
        <v>2149</v>
      </c>
      <c r="C3251" s="6" t="s">
        <v>128</v>
      </c>
      <c r="D3251" s="6" t="s">
        <v>21</v>
      </c>
      <c r="E3251" s="14" t="n">
        <v>914.18</v>
      </c>
      <c r="F3251" s="14" t="n">
        <v>6399.26</v>
      </c>
      <c r="G3251" s="6" t="s">
        <v>15614</v>
      </c>
    </row>
    <row r="3252" customFormat="false" ht="15" hidden="false" customHeight="true" outlineLevel="0" collapsed="false">
      <c r="A3252" s="6" t="s">
        <v>18864</v>
      </c>
      <c r="B3252" s="6" t="s">
        <v>2151</v>
      </c>
      <c r="C3252" s="6" t="s">
        <v>120</v>
      </c>
      <c r="D3252" s="6" t="s">
        <v>62</v>
      </c>
      <c r="E3252" s="14" t="n">
        <v>2591.01</v>
      </c>
      <c r="F3252" s="14" t="n">
        <v>2591.01</v>
      </c>
      <c r="G3252" s="6" t="s">
        <v>15614</v>
      </c>
    </row>
    <row r="3253" customFormat="false" ht="15" hidden="false" customHeight="true" outlineLevel="0" collapsed="false">
      <c r="A3253" s="6" t="s">
        <v>18865</v>
      </c>
      <c r="B3253" s="6" t="s">
        <v>2151</v>
      </c>
      <c r="C3253" s="6" t="s">
        <v>120</v>
      </c>
      <c r="D3253" s="6" t="s">
        <v>63</v>
      </c>
      <c r="E3253" s="14" t="n">
        <v>2591.01</v>
      </c>
      <c r="F3253" s="14" t="n">
        <v>5182.02</v>
      </c>
      <c r="G3253" s="6" t="s">
        <v>15614</v>
      </c>
    </row>
    <row r="3254" customFormat="false" ht="15" hidden="false" customHeight="true" outlineLevel="0" collapsed="false">
      <c r="A3254" s="6" t="s">
        <v>18866</v>
      </c>
      <c r="B3254" s="6" t="s">
        <v>2151</v>
      </c>
      <c r="C3254" s="6" t="s">
        <v>120</v>
      </c>
      <c r="D3254" s="6" t="s">
        <v>64</v>
      </c>
      <c r="E3254" s="14" t="n">
        <v>2591.01</v>
      </c>
      <c r="F3254" s="14" t="n">
        <v>7773.03</v>
      </c>
      <c r="G3254" s="6" t="s">
        <v>15614</v>
      </c>
    </row>
    <row r="3255" customFormat="false" ht="15" hidden="false" customHeight="true" outlineLevel="0" collapsed="false">
      <c r="A3255" s="6" t="s">
        <v>18867</v>
      </c>
      <c r="B3255" s="6" t="s">
        <v>2153</v>
      </c>
      <c r="C3255" s="6" t="s">
        <v>124</v>
      </c>
      <c r="D3255" s="6" t="s">
        <v>35</v>
      </c>
      <c r="E3255" s="14" t="n">
        <v>7747.04</v>
      </c>
      <c r="F3255" s="14" t="n">
        <v>7747.04</v>
      </c>
      <c r="G3255" s="6" t="s">
        <v>15614</v>
      </c>
    </row>
    <row r="3256" customFormat="false" ht="15" hidden="false" customHeight="true" outlineLevel="0" collapsed="false">
      <c r="A3256" s="6" t="s">
        <v>18868</v>
      </c>
      <c r="B3256" s="6" t="s">
        <v>2153</v>
      </c>
      <c r="C3256" s="6" t="s">
        <v>124</v>
      </c>
      <c r="D3256" s="6" t="s">
        <v>36</v>
      </c>
      <c r="E3256" s="14" t="n">
        <v>7747.04</v>
      </c>
      <c r="F3256" s="14" t="n">
        <v>15494.08</v>
      </c>
      <c r="G3256" s="6" t="s">
        <v>15614</v>
      </c>
    </row>
    <row r="3257" customFormat="false" ht="15" hidden="false" customHeight="true" outlineLevel="0" collapsed="false">
      <c r="A3257" s="6" t="s">
        <v>18869</v>
      </c>
      <c r="B3257" s="6" t="s">
        <v>2153</v>
      </c>
      <c r="C3257" s="6" t="s">
        <v>124</v>
      </c>
      <c r="D3257" s="6" t="s">
        <v>37</v>
      </c>
      <c r="E3257" s="14" t="n">
        <v>7747.04</v>
      </c>
      <c r="F3257" s="14" t="n">
        <v>23241.12</v>
      </c>
      <c r="G3257" s="6" t="s">
        <v>15614</v>
      </c>
    </row>
    <row r="3258" customFormat="false" ht="15" hidden="false" customHeight="true" outlineLevel="0" collapsed="false">
      <c r="A3258" s="6" t="s">
        <v>18870</v>
      </c>
      <c r="B3258" s="6" t="s">
        <v>2155</v>
      </c>
      <c r="C3258" s="6" t="s">
        <v>112</v>
      </c>
      <c r="D3258" s="6" t="s">
        <v>28</v>
      </c>
      <c r="E3258" s="14" t="n">
        <v>1818.04</v>
      </c>
      <c r="F3258" s="14" t="n">
        <v>1818.04</v>
      </c>
      <c r="G3258" s="6" t="s">
        <v>15614</v>
      </c>
    </row>
    <row r="3259" customFormat="false" ht="15" hidden="false" customHeight="true" outlineLevel="0" collapsed="false">
      <c r="A3259" s="6" t="s">
        <v>18871</v>
      </c>
      <c r="B3259" s="6" t="s">
        <v>2155</v>
      </c>
      <c r="C3259" s="6" t="s">
        <v>112</v>
      </c>
      <c r="D3259" s="6" t="s">
        <v>29</v>
      </c>
      <c r="E3259" s="14" t="n">
        <v>1818.04</v>
      </c>
      <c r="F3259" s="14" t="n">
        <v>3636.08</v>
      </c>
      <c r="G3259" s="6" t="s">
        <v>15614</v>
      </c>
    </row>
    <row r="3260" customFormat="false" ht="15" hidden="false" customHeight="true" outlineLevel="0" collapsed="false">
      <c r="A3260" s="6" t="s">
        <v>18872</v>
      </c>
      <c r="B3260" s="6" t="s">
        <v>2155</v>
      </c>
      <c r="C3260" s="6" t="s">
        <v>112</v>
      </c>
      <c r="D3260" s="6" t="s">
        <v>30</v>
      </c>
      <c r="E3260" s="14" t="n">
        <v>1818.04</v>
      </c>
      <c r="F3260" s="14" t="n">
        <v>5454.12</v>
      </c>
      <c r="G3260" s="6" t="s">
        <v>15614</v>
      </c>
    </row>
    <row r="3261" customFormat="false" ht="15" hidden="false" customHeight="true" outlineLevel="0" collapsed="false">
      <c r="A3261" s="6" t="s">
        <v>18873</v>
      </c>
      <c r="B3261" s="6" t="s">
        <v>2155</v>
      </c>
      <c r="C3261" s="6" t="s">
        <v>112</v>
      </c>
      <c r="D3261" s="6" t="s">
        <v>31</v>
      </c>
      <c r="E3261" s="14" t="n">
        <v>1818.04</v>
      </c>
      <c r="F3261" s="14" t="n">
        <v>7272.16</v>
      </c>
      <c r="G3261" s="6" t="s">
        <v>15614</v>
      </c>
    </row>
    <row r="3262" customFormat="false" ht="15" hidden="false" customHeight="true" outlineLevel="0" collapsed="false">
      <c r="A3262" s="6" t="s">
        <v>18874</v>
      </c>
      <c r="B3262" s="6" t="s">
        <v>2157</v>
      </c>
      <c r="C3262" s="6" t="s">
        <v>116</v>
      </c>
      <c r="D3262" s="6" t="s">
        <v>23</v>
      </c>
      <c r="E3262" s="14" t="n">
        <v>178.14</v>
      </c>
      <c r="F3262" s="14" t="n">
        <v>178.14</v>
      </c>
      <c r="G3262" s="6" t="s">
        <v>15614</v>
      </c>
    </row>
    <row r="3263" customFormat="false" ht="15" hidden="false" customHeight="true" outlineLevel="0" collapsed="false">
      <c r="A3263" s="6" t="s">
        <v>18875</v>
      </c>
      <c r="B3263" s="6" t="s">
        <v>2157</v>
      </c>
      <c r="C3263" s="6" t="s">
        <v>116</v>
      </c>
      <c r="D3263" s="6" t="s">
        <v>24</v>
      </c>
      <c r="E3263" s="14" t="n">
        <v>178.14</v>
      </c>
      <c r="F3263" s="14" t="n">
        <v>356.28</v>
      </c>
      <c r="G3263" s="6" t="s">
        <v>15614</v>
      </c>
    </row>
    <row r="3264" customFormat="false" ht="15" hidden="false" customHeight="true" outlineLevel="0" collapsed="false">
      <c r="A3264" s="6" t="s">
        <v>18876</v>
      </c>
      <c r="B3264" s="6" t="s">
        <v>2157</v>
      </c>
      <c r="C3264" s="6" t="s">
        <v>116</v>
      </c>
      <c r="D3264" s="6" t="s">
        <v>25</v>
      </c>
      <c r="E3264" s="14" t="n">
        <v>178.14</v>
      </c>
      <c r="F3264" s="14" t="n">
        <v>534.42</v>
      </c>
      <c r="G3264" s="6" t="s">
        <v>15614</v>
      </c>
    </row>
    <row r="3265" customFormat="false" ht="15" hidden="false" customHeight="true" outlineLevel="0" collapsed="false">
      <c r="A3265" s="6" t="s">
        <v>18877</v>
      </c>
      <c r="B3265" s="6" t="s">
        <v>2159</v>
      </c>
      <c r="C3265" s="6" t="s">
        <v>116</v>
      </c>
      <c r="D3265" s="6" t="s">
        <v>45</v>
      </c>
      <c r="E3265" s="14" t="n">
        <v>2718.28</v>
      </c>
      <c r="F3265" s="14" t="n">
        <v>2718.28</v>
      </c>
      <c r="G3265" s="6" t="s">
        <v>15614</v>
      </c>
    </row>
    <row r="3266" customFormat="false" ht="15" hidden="false" customHeight="true" outlineLevel="0" collapsed="false">
      <c r="A3266" s="6" t="s">
        <v>18878</v>
      </c>
      <c r="B3266" s="6" t="s">
        <v>2159</v>
      </c>
      <c r="C3266" s="6" t="s">
        <v>116</v>
      </c>
      <c r="D3266" s="6" t="s">
        <v>46</v>
      </c>
      <c r="E3266" s="14" t="n">
        <v>2718.28</v>
      </c>
      <c r="F3266" s="14" t="n">
        <v>5436.56</v>
      </c>
      <c r="G3266" s="6" t="s">
        <v>15614</v>
      </c>
    </row>
    <row r="3267" customFormat="false" ht="15" hidden="false" customHeight="true" outlineLevel="0" collapsed="false">
      <c r="A3267" s="6" t="s">
        <v>18879</v>
      </c>
      <c r="B3267" s="6" t="s">
        <v>2159</v>
      </c>
      <c r="C3267" s="6" t="s">
        <v>116</v>
      </c>
      <c r="D3267" s="6" t="s">
        <v>47</v>
      </c>
      <c r="E3267" s="14" t="n">
        <v>2718.28</v>
      </c>
      <c r="F3267" s="14" t="n">
        <v>8154.84</v>
      </c>
      <c r="G3267" s="6" t="s">
        <v>15614</v>
      </c>
    </row>
    <row r="3268" customFormat="false" ht="15" hidden="false" customHeight="true" outlineLevel="0" collapsed="false">
      <c r="A3268" s="6" t="s">
        <v>18880</v>
      </c>
      <c r="B3268" s="6" t="s">
        <v>2159</v>
      </c>
      <c r="C3268" s="6" t="s">
        <v>116</v>
      </c>
      <c r="D3268" s="6" t="s">
        <v>48</v>
      </c>
      <c r="E3268" s="14" t="n">
        <v>2718.28</v>
      </c>
      <c r="F3268" s="14" t="n">
        <v>10873.12</v>
      </c>
      <c r="G3268" s="6" t="s">
        <v>15614</v>
      </c>
    </row>
    <row r="3269" customFormat="false" ht="15" hidden="false" customHeight="true" outlineLevel="0" collapsed="false">
      <c r="A3269" s="6" t="s">
        <v>18881</v>
      </c>
      <c r="B3269" s="6" t="s">
        <v>2159</v>
      </c>
      <c r="C3269" s="6" t="s">
        <v>116</v>
      </c>
      <c r="D3269" s="6" t="s">
        <v>49</v>
      </c>
      <c r="E3269" s="14" t="n">
        <v>2718.28</v>
      </c>
      <c r="F3269" s="14" t="n">
        <v>13591.4</v>
      </c>
      <c r="G3269" s="6" t="s">
        <v>15614</v>
      </c>
    </row>
    <row r="3270" customFormat="false" ht="15" hidden="false" customHeight="true" outlineLevel="0" collapsed="false">
      <c r="A3270" s="6" t="s">
        <v>18882</v>
      </c>
      <c r="B3270" s="6" t="s">
        <v>2159</v>
      </c>
      <c r="C3270" s="6" t="s">
        <v>116</v>
      </c>
      <c r="D3270" s="6" t="s">
        <v>50</v>
      </c>
      <c r="E3270" s="14" t="n">
        <v>2718.28</v>
      </c>
      <c r="F3270" s="14" t="n">
        <v>16309.68</v>
      </c>
      <c r="G3270" s="6" t="s">
        <v>15614</v>
      </c>
    </row>
    <row r="3271" customFormat="false" ht="15" hidden="false" customHeight="true" outlineLevel="0" collapsed="false">
      <c r="A3271" s="6" t="s">
        <v>18883</v>
      </c>
      <c r="B3271" s="6" t="s">
        <v>2159</v>
      </c>
      <c r="C3271" s="6" t="s">
        <v>116</v>
      </c>
      <c r="D3271" s="6" t="s">
        <v>51</v>
      </c>
      <c r="E3271" s="14" t="n">
        <v>2718.28</v>
      </c>
      <c r="F3271" s="14" t="n">
        <v>19027.96</v>
      </c>
      <c r="G3271" s="6" t="s">
        <v>15614</v>
      </c>
    </row>
    <row r="3272" customFormat="false" ht="15" hidden="false" customHeight="true" outlineLevel="0" collapsed="false">
      <c r="A3272" s="6" t="s">
        <v>18884</v>
      </c>
      <c r="B3272" s="6" t="s">
        <v>2161</v>
      </c>
      <c r="C3272" s="6" t="s">
        <v>124</v>
      </c>
      <c r="D3272" s="6" t="s">
        <v>26</v>
      </c>
      <c r="E3272" s="14" t="n">
        <v>2308.99</v>
      </c>
      <c r="F3272" s="14" t="n">
        <v>2308.99</v>
      </c>
      <c r="G3272" s="6" t="s">
        <v>15614</v>
      </c>
    </row>
    <row r="3273" customFormat="false" ht="15" hidden="false" customHeight="true" outlineLevel="0" collapsed="false">
      <c r="A3273" s="6" t="s">
        <v>18885</v>
      </c>
      <c r="B3273" s="6" t="s">
        <v>2161</v>
      </c>
      <c r="C3273" s="6" t="s">
        <v>124</v>
      </c>
      <c r="D3273" s="6" t="s">
        <v>27</v>
      </c>
      <c r="E3273" s="14" t="n">
        <v>2308.99</v>
      </c>
      <c r="F3273" s="14" t="n">
        <v>4617.98</v>
      </c>
      <c r="G3273" s="6" t="s">
        <v>15614</v>
      </c>
    </row>
    <row r="3274" customFormat="false" ht="15" hidden="false" customHeight="true" outlineLevel="0" collapsed="false">
      <c r="A3274" s="6" t="s">
        <v>18886</v>
      </c>
      <c r="B3274" s="6" t="s">
        <v>2163</v>
      </c>
      <c r="C3274" s="6" t="s">
        <v>116</v>
      </c>
      <c r="D3274" s="6" t="s">
        <v>19</v>
      </c>
      <c r="E3274" s="14" t="n">
        <v>856.54</v>
      </c>
      <c r="F3274" s="14" t="n">
        <v>856.54</v>
      </c>
      <c r="G3274" s="6" t="s">
        <v>15614</v>
      </c>
    </row>
    <row r="3275" customFormat="false" ht="15" hidden="false" customHeight="true" outlineLevel="0" collapsed="false">
      <c r="A3275" s="6" t="s">
        <v>18887</v>
      </c>
      <c r="B3275" s="6" t="s">
        <v>2163</v>
      </c>
      <c r="C3275" s="6" t="s">
        <v>116</v>
      </c>
      <c r="D3275" s="6" t="s">
        <v>20</v>
      </c>
      <c r="E3275" s="14" t="n">
        <v>856.54</v>
      </c>
      <c r="F3275" s="14" t="n">
        <v>1713.08</v>
      </c>
      <c r="G3275" s="6" t="s">
        <v>15614</v>
      </c>
    </row>
    <row r="3276" customFormat="false" ht="15" hidden="false" customHeight="true" outlineLevel="0" collapsed="false">
      <c r="A3276" s="6" t="s">
        <v>18888</v>
      </c>
      <c r="B3276" s="6" t="s">
        <v>2165</v>
      </c>
      <c r="C3276" s="6" t="s">
        <v>124</v>
      </c>
      <c r="D3276" s="6" t="s">
        <v>40</v>
      </c>
      <c r="E3276" s="14" t="n">
        <v>1762.35</v>
      </c>
      <c r="F3276" s="14" t="n">
        <v>1762.35</v>
      </c>
      <c r="G3276" s="6" t="s">
        <v>15614</v>
      </c>
    </row>
    <row r="3277" customFormat="false" ht="15" hidden="false" customHeight="true" outlineLevel="0" collapsed="false">
      <c r="A3277" s="6" t="s">
        <v>18889</v>
      </c>
      <c r="B3277" s="6" t="s">
        <v>2165</v>
      </c>
      <c r="C3277" s="6" t="s">
        <v>124</v>
      </c>
      <c r="D3277" s="6" t="s">
        <v>41</v>
      </c>
      <c r="E3277" s="14" t="n">
        <v>1762.35</v>
      </c>
      <c r="F3277" s="14" t="n">
        <v>3524.7</v>
      </c>
      <c r="G3277" s="6" t="s">
        <v>15614</v>
      </c>
    </row>
    <row r="3278" customFormat="false" ht="15" hidden="false" customHeight="true" outlineLevel="0" collapsed="false">
      <c r="A3278" s="6" t="s">
        <v>18890</v>
      </c>
      <c r="B3278" s="6" t="s">
        <v>2165</v>
      </c>
      <c r="C3278" s="6" t="s">
        <v>124</v>
      </c>
      <c r="D3278" s="6" t="s">
        <v>42</v>
      </c>
      <c r="E3278" s="14" t="n">
        <v>1762.35</v>
      </c>
      <c r="F3278" s="14" t="n">
        <v>5287.05</v>
      </c>
      <c r="G3278" s="6" t="s">
        <v>15614</v>
      </c>
    </row>
    <row r="3279" customFormat="false" ht="15" hidden="false" customHeight="true" outlineLevel="0" collapsed="false">
      <c r="A3279" s="6" t="s">
        <v>18891</v>
      </c>
      <c r="B3279" s="6" t="s">
        <v>2165</v>
      </c>
      <c r="C3279" s="6" t="s">
        <v>124</v>
      </c>
      <c r="D3279" s="6" t="s">
        <v>43</v>
      </c>
      <c r="E3279" s="14" t="n">
        <v>1762.35</v>
      </c>
      <c r="F3279" s="14" t="n">
        <v>7049.4</v>
      </c>
      <c r="G3279" s="6" t="s">
        <v>15614</v>
      </c>
    </row>
    <row r="3280" customFormat="false" ht="15" hidden="false" customHeight="true" outlineLevel="0" collapsed="false">
      <c r="A3280" s="6" t="s">
        <v>18892</v>
      </c>
      <c r="B3280" s="6" t="s">
        <v>2165</v>
      </c>
      <c r="C3280" s="6" t="s">
        <v>124</v>
      </c>
      <c r="D3280" s="6" t="s">
        <v>44</v>
      </c>
      <c r="E3280" s="14" t="n">
        <v>1762.35</v>
      </c>
      <c r="F3280" s="14" t="n">
        <v>8811.75</v>
      </c>
      <c r="G3280" s="6" t="s">
        <v>15614</v>
      </c>
    </row>
    <row r="3281" customFormat="false" ht="15" hidden="false" customHeight="true" outlineLevel="0" collapsed="false">
      <c r="A3281" s="6" t="s">
        <v>18893</v>
      </c>
      <c r="B3281" s="6" t="s">
        <v>2167</v>
      </c>
      <c r="C3281" s="6" t="s">
        <v>124</v>
      </c>
      <c r="D3281" s="6" t="s">
        <v>51</v>
      </c>
      <c r="E3281" s="14" t="n">
        <v>3939.77</v>
      </c>
      <c r="F3281" s="14" t="n">
        <v>3939.77</v>
      </c>
      <c r="G3281" s="6" t="s">
        <v>15614</v>
      </c>
    </row>
    <row r="3282" customFormat="false" ht="15" hidden="false" customHeight="true" outlineLevel="0" collapsed="false">
      <c r="A3282" s="6" t="s">
        <v>18894</v>
      </c>
      <c r="B3282" s="6" t="s">
        <v>2167</v>
      </c>
      <c r="C3282" s="6" t="s">
        <v>124</v>
      </c>
      <c r="D3282" s="6" t="s">
        <v>52</v>
      </c>
      <c r="E3282" s="14" t="n">
        <v>3939.77</v>
      </c>
      <c r="F3282" s="14" t="n">
        <v>7879.54</v>
      </c>
      <c r="G3282" s="6" t="s">
        <v>15614</v>
      </c>
    </row>
    <row r="3283" customFormat="false" ht="15" hidden="false" customHeight="true" outlineLevel="0" collapsed="false">
      <c r="A3283" s="6" t="s">
        <v>18895</v>
      </c>
      <c r="B3283" s="6" t="s">
        <v>2167</v>
      </c>
      <c r="C3283" s="6" t="s">
        <v>124</v>
      </c>
      <c r="D3283" s="6" t="s">
        <v>53</v>
      </c>
      <c r="E3283" s="14" t="n">
        <v>3939.77</v>
      </c>
      <c r="F3283" s="14" t="n">
        <v>11819.31</v>
      </c>
      <c r="G3283" s="6" t="s">
        <v>15614</v>
      </c>
    </row>
    <row r="3284" customFormat="false" ht="15" hidden="false" customHeight="true" outlineLevel="0" collapsed="false">
      <c r="A3284" s="6" t="s">
        <v>18896</v>
      </c>
      <c r="B3284" s="6" t="s">
        <v>2167</v>
      </c>
      <c r="C3284" s="6" t="s">
        <v>124</v>
      </c>
      <c r="D3284" s="6" t="s">
        <v>54</v>
      </c>
      <c r="E3284" s="14" t="n">
        <v>3939.77</v>
      </c>
      <c r="F3284" s="14" t="n">
        <v>15759.08</v>
      </c>
      <c r="G3284" s="6" t="s">
        <v>15614</v>
      </c>
    </row>
    <row r="3285" customFormat="false" ht="15" hidden="false" customHeight="true" outlineLevel="0" collapsed="false">
      <c r="A3285" s="6" t="s">
        <v>18897</v>
      </c>
      <c r="B3285" s="6" t="s">
        <v>2169</v>
      </c>
      <c r="C3285" s="6" t="s">
        <v>120</v>
      </c>
      <c r="D3285" s="6" t="s">
        <v>28</v>
      </c>
      <c r="E3285" s="14" t="n">
        <v>595.83</v>
      </c>
      <c r="F3285" s="14" t="n">
        <v>595.83</v>
      </c>
      <c r="G3285" s="6" t="s">
        <v>15614</v>
      </c>
    </row>
    <row r="3286" customFormat="false" ht="15" hidden="false" customHeight="true" outlineLevel="0" collapsed="false">
      <c r="A3286" s="6" t="s">
        <v>18898</v>
      </c>
      <c r="B3286" s="6" t="s">
        <v>2169</v>
      </c>
      <c r="C3286" s="6" t="s">
        <v>120</v>
      </c>
      <c r="D3286" s="6" t="s">
        <v>29</v>
      </c>
      <c r="E3286" s="14" t="n">
        <v>595.83</v>
      </c>
      <c r="F3286" s="14" t="n">
        <v>1191.66</v>
      </c>
      <c r="G3286" s="6" t="s">
        <v>15614</v>
      </c>
    </row>
    <row r="3287" customFormat="false" ht="15" hidden="false" customHeight="true" outlineLevel="0" collapsed="false">
      <c r="A3287" s="6" t="s">
        <v>18899</v>
      </c>
      <c r="B3287" s="6" t="s">
        <v>2171</v>
      </c>
      <c r="C3287" s="6" t="s">
        <v>128</v>
      </c>
      <c r="D3287" s="6" t="s">
        <v>42</v>
      </c>
      <c r="E3287" s="14" t="n">
        <v>1979.49</v>
      </c>
      <c r="F3287" s="14" t="n">
        <v>1979.49</v>
      </c>
      <c r="G3287" s="6" t="s">
        <v>15614</v>
      </c>
    </row>
    <row r="3288" customFormat="false" ht="15" hidden="false" customHeight="true" outlineLevel="0" collapsed="false">
      <c r="A3288" s="6" t="s">
        <v>18900</v>
      </c>
      <c r="B3288" s="6" t="s">
        <v>2171</v>
      </c>
      <c r="C3288" s="6" t="s">
        <v>128</v>
      </c>
      <c r="D3288" s="6" t="s">
        <v>43</v>
      </c>
      <c r="E3288" s="14" t="n">
        <v>1979.49</v>
      </c>
      <c r="F3288" s="14" t="n">
        <v>3958.98</v>
      </c>
      <c r="G3288" s="6" t="s">
        <v>15614</v>
      </c>
    </row>
    <row r="3289" customFormat="false" ht="15" hidden="false" customHeight="true" outlineLevel="0" collapsed="false">
      <c r="A3289" s="6" t="s">
        <v>18901</v>
      </c>
      <c r="B3289" s="6" t="s">
        <v>2171</v>
      </c>
      <c r="C3289" s="6" t="s">
        <v>128</v>
      </c>
      <c r="D3289" s="6" t="s">
        <v>44</v>
      </c>
      <c r="E3289" s="14" t="n">
        <v>1979.49</v>
      </c>
      <c r="F3289" s="14" t="n">
        <v>5938.47</v>
      </c>
      <c r="G3289" s="6" t="s">
        <v>15614</v>
      </c>
    </row>
    <row r="3290" customFormat="false" ht="15" hidden="false" customHeight="true" outlineLevel="0" collapsed="false">
      <c r="A3290" s="6" t="s">
        <v>18902</v>
      </c>
      <c r="B3290" s="6" t="s">
        <v>2171</v>
      </c>
      <c r="C3290" s="6" t="s">
        <v>128</v>
      </c>
      <c r="D3290" s="6" t="s">
        <v>45</v>
      </c>
      <c r="E3290" s="14" t="n">
        <v>1979.49</v>
      </c>
      <c r="F3290" s="14" t="n">
        <v>7917.96</v>
      </c>
      <c r="G3290" s="6" t="s">
        <v>15614</v>
      </c>
    </row>
    <row r="3291" customFormat="false" ht="15" hidden="false" customHeight="true" outlineLevel="0" collapsed="false">
      <c r="A3291" s="6" t="s">
        <v>18903</v>
      </c>
      <c r="B3291" s="6" t="s">
        <v>2171</v>
      </c>
      <c r="C3291" s="6" t="s">
        <v>128</v>
      </c>
      <c r="D3291" s="6" t="s">
        <v>46</v>
      </c>
      <c r="E3291" s="14" t="n">
        <v>1979.49</v>
      </c>
      <c r="F3291" s="14" t="n">
        <v>9897.45</v>
      </c>
      <c r="G3291" s="6" t="s">
        <v>15614</v>
      </c>
    </row>
    <row r="3292" customFormat="false" ht="15" hidden="false" customHeight="true" outlineLevel="0" collapsed="false">
      <c r="A3292" s="6" t="s">
        <v>18904</v>
      </c>
      <c r="B3292" s="6" t="s">
        <v>2171</v>
      </c>
      <c r="C3292" s="6" t="s">
        <v>128</v>
      </c>
      <c r="D3292" s="6" t="s">
        <v>47</v>
      </c>
      <c r="E3292" s="14" t="n">
        <v>1979.49</v>
      </c>
      <c r="F3292" s="14" t="n">
        <v>11876.94</v>
      </c>
      <c r="G3292" s="6" t="s">
        <v>15614</v>
      </c>
    </row>
    <row r="3293" customFormat="false" ht="15" hidden="false" customHeight="true" outlineLevel="0" collapsed="false">
      <c r="A3293" s="6" t="s">
        <v>18905</v>
      </c>
      <c r="B3293" s="6" t="s">
        <v>2173</v>
      </c>
      <c r="C3293" s="6" t="s">
        <v>131</v>
      </c>
      <c r="D3293" s="6" t="s">
        <v>19</v>
      </c>
      <c r="E3293" s="14" t="n">
        <v>2096.37</v>
      </c>
      <c r="F3293" s="14" t="n">
        <v>2096.37</v>
      </c>
      <c r="G3293" s="6" t="s">
        <v>15614</v>
      </c>
    </row>
    <row r="3294" customFormat="false" ht="15" hidden="false" customHeight="true" outlineLevel="0" collapsed="false">
      <c r="A3294" s="6" t="s">
        <v>18906</v>
      </c>
      <c r="B3294" s="6" t="s">
        <v>2173</v>
      </c>
      <c r="C3294" s="6" t="s">
        <v>131</v>
      </c>
      <c r="D3294" s="6" t="s">
        <v>20</v>
      </c>
      <c r="E3294" s="14" t="n">
        <v>2096.37</v>
      </c>
      <c r="F3294" s="14" t="n">
        <v>4192.74</v>
      </c>
      <c r="G3294" s="6" t="s">
        <v>15614</v>
      </c>
    </row>
    <row r="3295" customFormat="false" ht="15" hidden="false" customHeight="true" outlineLevel="0" collapsed="false">
      <c r="A3295" s="6" t="s">
        <v>18907</v>
      </c>
      <c r="B3295" s="6" t="s">
        <v>2173</v>
      </c>
      <c r="C3295" s="6" t="s">
        <v>131</v>
      </c>
      <c r="D3295" s="6" t="s">
        <v>21</v>
      </c>
      <c r="E3295" s="14" t="n">
        <v>2096.37</v>
      </c>
      <c r="F3295" s="14" t="n">
        <v>6289.11</v>
      </c>
      <c r="G3295" s="6" t="s">
        <v>15614</v>
      </c>
    </row>
    <row r="3296" customFormat="false" ht="15" hidden="false" customHeight="true" outlineLevel="0" collapsed="false">
      <c r="A3296" s="6" t="s">
        <v>18908</v>
      </c>
      <c r="B3296" s="6" t="s">
        <v>2173</v>
      </c>
      <c r="C3296" s="6" t="s">
        <v>131</v>
      </c>
      <c r="D3296" s="6" t="s">
        <v>22</v>
      </c>
      <c r="E3296" s="14" t="n">
        <v>2096.37</v>
      </c>
      <c r="F3296" s="14" t="n">
        <v>8385.48</v>
      </c>
      <c r="G3296" s="6" t="s">
        <v>15614</v>
      </c>
    </row>
    <row r="3297" customFormat="false" ht="15" hidden="false" customHeight="true" outlineLevel="0" collapsed="false">
      <c r="A3297" s="6" t="s">
        <v>18909</v>
      </c>
      <c r="B3297" s="6" t="s">
        <v>2175</v>
      </c>
      <c r="C3297" s="6" t="s">
        <v>124</v>
      </c>
      <c r="D3297" s="6" t="s">
        <v>30</v>
      </c>
      <c r="E3297" s="14" t="n">
        <v>1409.26</v>
      </c>
      <c r="F3297" s="14" t="n">
        <v>1409.26</v>
      </c>
      <c r="G3297" s="6" t="s">
        <v>15614</v>
      </c>
    </row>
    <row r="3298" customFormat="false" ht="15" hidden="false" customHeight="true" outlineLevel="0" collapsed="false">
      <c r="A3298" s="6" t="s">
        <v>18910</v>
      </c>
      <c r="B3298" s="6" t="s">
        <v>2175</v>
      </c>
      <c r="C3298" s="6" t="s">
        <v>124</v>
      </c>
      <c r="D3298" s="6" t="s">
        <v>31</v>
      </c>
      <c r="E3298" s="14" t="n">
        <v>1409.26</v>
      </c>
      <c r="F3298" s="14" t="n">
        <v>2818.52</v>
      </c>
      <c r="G3298" s="6" t="s">
        <v>15614</v>
      </c>
    </row>
    <row r="3299" customFormat="false" ht="15" hidden="false" customHeight="true" outlineLevel="0" collapsed="false">
      <c r="A3299" s="6" t="s">
        <v>18911</v>
      </c>
      <c r="B3299" s="6" t="s">
        <v>2177</v>
      </c>
      <c r="C3299" s="6" t="s">
        <v>112</v>
      </c>
      <c r="D3299" s="6" t="s">
        <v>56</v>
      </c>
      <c r="E3299" s="14" t="n">
        <v>257.06</v>
      </c>
      <c r="F3299" s="14" t="n">
        <v>257.06</v>
      </c>
      <c r="G3299" s="6" t="s">
        <v>15614</v>
      </c>
    </row>
    <row r="3300" customFormat="false" ht="15" hidden="false" customHeight="true" outlineLevel="0" collapsed="false">
      <c r="A3300" s="6" t="s">
        <v>18912</v>
      </c>
      <c r="B3300" s="6" t="s">
        <v>2177</v>
      </c>
      <c r="C3300" s="6" t="s">
        <v>112</v>
      </c>
      <c r="D3300" s="6" t="s">
        <v>57</v>
      </c>
      <c r="E3300" s="14" t="n">
        <v>257.06</v>
      </c>
      <c r="F3300" s="14" t="n">
        <v>514.12</v>
      </c>
      <c r="G3300" s="6" t="s">
        <v>15614</v>
      </c>
    </row>
    <row r="3301" customFormat="false" ht="15" hidden="false" customHeight="true" outlineLevel="0" collapsed="false">
      <c r="A3301" s="6" t="s">
        <v>18913</v>
      </c>
      <c r="B3301" s="6" t="s">
        <v>2179</v>
      </c>
      <c r="C3301" s="6" t="s">
        <v>120</v>
      </c>
      <c r="D3301" s="6" t="s">
        <v>17</v>
      </c>
      <c r="E3301" s="14" t="n">
        <v>453.72</v>
      </c>
      <c r="F3301" s="14" t="n">
        <v>453.72</v>
      </c>
      <c r="G3301" s="6" t="s">
        <v>15614</v>
      </c>
    </row>
    <row r="3302" customFormat="false" ht="15" hidden="false" customHeight="true" outlineLevel="0" collapsed="false">
      <c r="A3302" s="6" t="s">
        <v>18914</v>
      </c>
      <c r="B3302" s="6" t="s">
        <v>2179</v>
      </c>
      <c r="C3302" s="6" t="s">
        <v>120</v>
      </c>
      <c r="D3302" s="6" t="s">
        <v>18</v>
      </c>
      <c r="E3302" s="14" t="n">
        <v>453.72</v>
      </c>
      <c r="F3302" s="14" t="n">
        <v>907.44</v>
      </c>
      <c r="G3302" s="6" t="s">
        <v>15614</v>
      </c>
    </row>
    <row r="3303" customFormat="false" ht="15" hidden="false" customHeight="true" outlineLevel="0" collapsed="false">
      <c r="A3303" s="6" t="s">
        <v>18915</v>
      </c>
      <c r="B3303" s="6" t="s">
        <v>2179</v>
      </c>
      <c r="C3303" s="6" t="s">
        <v>120</v>
      </c>
      <c r="D3303" s="6" t="s">
        <v>19</v>
      </c>
      <c r="E3303" s="14" t="n">
        <v>453.72</v>
      </c>
      <c r="F3303" s="14" t="n">
        <v>1361.16</v>
      </c>
      <c r="G3303" s="6" t="s">
        <v>15614</v>
      </c>
    </row>
    <row r="3304" customFormat="false" ht="15" hidden="false" customHeight="true" outlineLevel="0" collapsed="false">
      <c r="A3304" s="6" t="s">
        <v>18916</v>
      </c>
      <c r="B3304" s="6" t="s">
        <v>2181</v>
      </c>
      <c r="C3304" s="6" t="s">
        <v>128</v>
      </c>
      <c r="D3304" s="6" t="s">
        <v>49</v>
      </c>
      <c r="E3304" s="14" t="n">
        <v>3174</v>
      </c>
      <c r="F3304" s="14" t="n">
        <v>3174</v>
      </c>
      <c r="G3304" s="6" t="s">
        <v>15614</v>
      </c>
    </row>
    <row r="3305" customFormat="false" ht="15" hidden="false" customHeight="true" outlineLevel="0" collapsed="false">
      <c r="A3305" s="6" t="s">
        <v>18917</v>
      </c>
      <c r="B3305" s="6" t="s">
        <v>2181</v>
      </c>
      <c r="C3305" s="6" t="s">
        <v>128</v>
      </c>
      <c r="D3305" s="6" t="s">
        <v>50</v>
      </c>
      <c r="E3305" s="14" t="n">
        <v>3174</v>
      </c>
      <c r="F3305" s="14" t="n">
        <v>6348</v>
      </c>
      <c r="G3305" s="6" t="s">
        <v>15614</v>
      </c>
    </row>
    <row r="3306" customFormat="false" ht="15" hidden="false" customHeight="true" outlineLevel="0" collapsed="false">
      <c r="A3306" s="6" t="s">
        <v>18918</v>
      </c>
      <c r="B3306" s="6" t="s">
        <v>2181</v>
      </c>
      <c r="C3306" s="6" t="s">
        <v>128</v>
      </c>
      <c r="D3306" s="6" t="s">
        <v>51</v>
      </c>
      <c r="E3306" s="14" t="n">
        <v>3174</v>
      </c>
      <c r="F3306" s="14" t="n">
        <v>9522</v>
      </c>
      <c r="G3306" s="6" t="s">
        <v>15614</v>
      </c>
    </row>
    <row r="3307" customFormat="false" ht="15" hidden="false" customHeight="true" outlineLevel="0" collapsed="false">
      <c r="A3307" s="6" t="s">
        <v>18919</v>
      </c>
      <c r="B3307" s="6" t="s">
        <v>2181</v>
      </c>
      <c r="C3307" s="6" t="s">
        <v>128</v>
      </c>
      <c r="D3307" s="6" t="s">
        <v>52</v>
      </c>
      <c r="E3307" s="14" t="n">
        <v>3174</v>
      </c>
      <c r="F3307" s="14" t="n">
        <v>12696</v>
      </c>
      <c r="G3307" s="6" t="s">
        <v>15614</v>
      </c>
    </row>
    <row r="3308" customFormat="false" ht="15" hidden="false" customHeight="true" outlineLevel="0" collapsed="false">
      <c r="A3308" s="6" t="s">
        <v>18920</v>
      </c>
      <c r="B3308" s="6" t="s">
        <v>2181</v>
      </c>
      <c r="C3308" s="6" t="s">
        <v>128</v>
      </c>
      <c r="D3308" s="6" t="s">
        <v>53</v>
      </c>
      <c r="E3308" s="14" t="n">
        <v>3174</v>
      </c>
      <c r="F3308" s="14" t="n">
        <v>15870</v>
      </c>
      <c r="G3308" s="6" t="s">
        <v>15614</v>
      </c>
    </row>
    <row r="3309" customFormat="false" ht="15" hidden="false" customHeight="true" outlineLevel="0" collapsed="false">
      <c r="A3309" s="6" t="s">
        <v>18921</v>
      </c>
      <c r="B3309" s="6" t="s">
        <v>2181</v>
      </c>
      <c r="C3309" s="6" t="s">
        <v>128</v>
      </c>
      <c r="D3309" s="6" t="s">
        <v>53</v>
      </c>
      <c r="E3309" s="14" t="n">
        <v>3174</v>
      </c>
      <c r="F3309" s="14" t="n">
        <v>19044</v>
      </c>
      <c r="G3309" s="6" t="s">
        <v>15614</v>
      </c>
    </row>
    <row r="3310" customFormat="false" ht="15" hidden="false" customHeight="true" outlineLevel="0" collapsed="false">
      <c r="A3310" s="6" t="s">
        <v>18922</v>
      </c>
      <c r="B3310" s="6" t="s">
        <v>2181</v>
      </c>
      <c r="C3310" s="6" t="s">
        <v>128</v>
      </c>
      <c r="D3310" s="6" t="s">
        <v>54</v>
      </c>
      <c r="E3310" s="14" t="n">
        <v>3174</v>
      </c>
      <c r="F3310" s="14" t="n">
        <v>22218</v>
      </c>
      <c r="G3310" s="6" t="s">
        <v>15614</v>
      </c>
    </row>
    <row r="3311" customFormat="false" ht="15" hidden="false" customHeight="true" outlineLevel="0" collapsed="false">
      <c r="A3311" s="6" t="s">
        <v>18923</v>
      </c>
      <c r="B3311" s="6" t="s">
        <v>2183</v>
      </c>
      <c r="C3311" s="6" t="s">
        <v>128</v>
      </c>
      <c r="D3311" s="6" t="s">
        <v>55</v>
      </c>
      <c r="E3311" s="14" t="n">
        <v>453.73</v>
      </c>
      <c r="F3311" s="14" t="n">
        <v>453.73</v>
      </c>
      <c r="G3311" s="6" t="s">
        <v>15614</v>
      </c>
    </row>
    <row r="3312" customFormat="false" ht="15" hidden="false" customHeight="true" outlineLevel="0" collapsed="false">
      <c r="A3312" s="6" t="s">
        <v>18924</v>
      </c>
      <c r="B3312" s="6" t="s">
        <v>2183</v>
      </c>
      <c r="C3312" s="6" t="s">
        <v>128</v>
      </c>
      <c r="D3312" s="6" t="s">
        <v>56</v>
      </c>
      <c r="E3312" s="14" t="n">
        <v>453.73</v>
      </c>
      <c r="F3312" s="14" t="n">
        <v>907.46</v>
      </c>
      <c r="G3312" s="6" t="s">
        <v>15614</v>
      </c>
    </row>
    <row r="3313" customFormat="false" ht="15" hidden="false" customHeight="true" outlineLevel="0" collapsed="false">
      <c r="A3313" s="6" t="s">
        <v>18925</v>
      </c>
      <c r="B3313" s="6" t="s">
        <v>2185</v>
      </c>
      <c r="C3313" s="6" t="s">
        <v>131</v>
      </c>
      <c r="D3313" s="6" t="s">
        <v>34</v>
      </c>
      <c r="E3313" s="14" t="n">
        <v>5442.84</v>
      </c>
      <c r="F3313" s="14" t="n">
        <v>5442.84</v>
      </c>
      <c r="G3313" s="6" t="s">
        <v>15614</v>
      </c>
    </row>
    <row r="3314" customFormat="false" ht="15" hidden="false" customHeight="true" outlineLevel="0" collapsed="false">
      <c r="A3314" s="6" t="s">
        <v>18926</v>
      </c>
      <c r="B3314" s="6" t="s">
        <v>2185</v>
      </c>
      <c r="C3314" s="6" t="s">
        <v>131</v>
      </c>
      <c r="D3314" s="6" t="s">
        <v>35</v>
      </c>
      <c r="E3314" s="14" t="n">
        <v>5442.84</v>
      </c>
      <c r="F3314" s="14" t="n">
        <v>10885.68</v>
      </c>
      <c r="G3314" s="6" t="s">
        <v>15614</v>
      </c>
    </row>
    <row r="3315" customFormat="false" ht="15" hidden="false" customHeight="true" outlineLevel="0" collapsed="false">
      <c r="A3315" s="6" t="s">
        <v>18927</v>
      </c>
      <c r="B3315" s="6" t="s">
        <v>2187</v>
      </c>
      <c r="C3315" s="6" t="s">
        <v>112</v>
      </c>
      <c r="D3315" s="6" t="s">
        <v>33</v>
      </c>
      <c r="E3315" s="14" t="n">
        <v>2844.1</v>
      </c>
      <c r="F3315" s="14" t="n">
        <v>2844.1</v>
      </c>
      <c r="G3315" s="6" t="s">
        <v>15614</v>
      </c>
    </row>
    <row r="3316" customFormat="false" ht="15" hidden="false" customHeight="true" outlineLevel="0" collapsed="false">
      <c r="A3316" s="6" t="s">
        <v>18928</v>
      </c>
      <c r="B3316" s="6" t="s">
        <v>2187</v>
      </c>
      <c r="C3316" s="6" t="s">
        <v>112</v>
      </c>
      <c r="D3316" s="6" t="s">
        <v>34</v>
      </c>
      <c r="E3316" s="14" t="n">
        <v>2844.1</v>
      </c>
      <c r="F3316" s="14" t="n">
        <v>5688.2</v>
      </c>
      <c r="G3316" s="6" t="s">
        <v>15614</v>
      </c>
    </row>
    <row r="3317" customFormat="false" ht="15" hidden="false" customHeight="true" outlineLevel="0" collapsed="false">
      <c r="A3317" s="6" t="s">
        <v>18929</v>
      </c>
      <c r="B3317" s="6" t="s">
        <v>2187</v>
      </c>
      <c r="C3317" s="6" t="s">
        <v>112</v>
      </c>
      <c r="D3317" s="6" t="s">
        <v>35</v>
      </c>
      <c r="E3317" s="14" t="n">
        <v>2844.1</v>
      </c>
      <c r="F3317" s="14" t="n">
        <v>8532.3</v>
      </c>
      <c r="G3317" s="6" t="s">
        <v>15614</v>
      </c>
    </row>
    <row r="3318" customFormat="false" ht="15" hidden="false" customHeight="true" outlineLevel="0" collapsed="false">
      <c r="A3318" s="6" t="s">
        <v>18930</v>
      </c>
      <c r="B3318" s="6" t="s">
        <v>2189</v>
      </c>
      <c r="C3318" s="6" t="s">
        <v>131</v>
      </c>
      <c r="D3318" s="6" t="s">
        <v>29</v>
      </c>
      <c r="E3318" s="14" t="n">
        <v>1185.54</v>
      </c>
      <c r="F3318" s="14" t="n">
        <v>1185.54</v>
      </c>
      <c r="G3318" s="6" t="s">
        <v>15614</v>
      </c>
    </row>
    <row r="3319" customFormat="false" ht="15" hidden="false" customHeight="true" outlineLevel="0" collapsed="false">
      <c r="A3319" s="6" t="s">
        <v>18931</v>
      </c>
      <c r="B3319" s="6" t="s">
        <v>2189</v>
      </c>
      <c r="C3319" s="6" t="s">
        <v>131</v>
      </c>
      <c r="D3319" s="6" t="s">
        <v>30</v>
      </c>
      <c r="E3319" s="14" t="n">
        <v>1185.54</v>
      </c>
      <c r="F3319" s="14" t="n">
        <v>2371.08</v>
      </c>
      <c r="G3319" s="6" t="s">
        <v>15614</v>
      </c>
    </row>
    <row r="3320" customFormat="false" ht="15" hidden="false" customHeight="true" outlineLevel="0" collapsed="false">
      <c r="A3320" s="6" t="s">
        <v>18932</v>
      </c>
      <c r="B3320" s="6" t="s">
        <v>2189</v>
      </c>
      <c r="C3320" s="6" t="s">
        <v>131</v>
      </c>
      <c r="D3320" s="6" t="s">
        <v>31</v>
      </c>
      <c r="E3320" s="14" t="n">
        <v>1185.54</v>
      </c>
      <c r="F3320" s="14" t="n">
        <v>3556.62</v>
      </c>
      <c r="G3320" s="6" t="s">
        <v>15614</v>
      </c>
    </row>
    <row r="3321" customFormat="false" ht="15" hidden="false" customHeight="true" outlineLevel="0" collapsed="false">
      <c r="A3321" s="6" t="s">
        <v>18933</v>
      </c>
      <c r="B3321" s="6" t="s">
        <v>2191</v>
      </c>
      <c r="C3321" s="6" t="s">
        <v>116</v>
      </c>
      <c r="D3321" s="6" t="s">
        <v>40</v>
      </c>
      <c r="E3321" s="14" t="n">
        <v>1555.82</v>
      </c>
      <c r="F3321" s="14" t="n">
        <v>1555.82</v>
      </c>
      <c r="G3321" s="6" t="s">
        <v>15614</v>
      </c>
    </row>
    <row r="3322" customFormat="false" ht="15" hidden="false" customHeight="true" outlineLevel="0" collapsed="false">
      <c r="A3322" s="6" t="s">
        <v>18934</v>
      </c>
      <c r="B3322" s="6" t="s">
        <v>2191</v>
      </c>
      <c r="C3322" s="6" t="s">
        <v>116</v>
      </c>
      <c r="D3322" s="6" t="s">
        <v>41</v>
      </c>
      <c r="E3322" s="14" t="n">
        <v>1555.82</v>
      </c>
      <c r="F3322" s="14" t="n">
        <v>3111.64</v>
      </c>
      <c r="G3322" s="6" t="s">
        <v>15614</v>
      </c>
    </row>
    <row r="3323" customFormat="false" ht="15" hidden="false" customHeight="true" outlineLevel="0" collapsed="false">
      <c r="A3323" s="6" t="s">
        <v>18935</v>
      </c>
      <c r="B3323" s="6" t="s">
        <v>2191</v>
      </c>
      <c r="C3323" s="6" t="s">
        <v>116</v>
      </c>
      <c r="D3323" s="6" t="s">
        <v>42</v>
      </c>
      <c r="E3323" s="14" t="n">
        <v>1555.82</v>
      </c>
      <c r="F3323" s="14" t="n">
        <v>4667.46</v>
      </c>
      <c r="G3323" s="6" t="s">
        <v>15614</v>
      </c>
    </row>
    <row r="3324" customFormat="false" ht="15" hidden="false" customHeight="true" outlineLevel="0" collapsed="false">
      <c r="A3324" s="6" t="s">
        <v>18936</v>
      </c>
      <c r="B3324" s="6" t="s">
        <v>2191</v>
      </c>
      <c r="C3324" s="6" t="s">
        <v>116</v>
      </c>
      <c r="D3324" s="6" t="s">
        <v>43</v>
      </c>
      <c r="E3324" s="14" t="n">
        <v>1555.82</v>
      </c>
      <c r="F3324" s="14" t="n">
        <v>6223.28</v>
      </c>
      <c r="G3324" s="6" t="s">
        <v>15614</v>
      </c>
    </row>
    <row r="3325" customFormat="false" ht="15" hidden="false" customHeight="true" outlineLevel="0" collapsed="false">
      <c r="A3325" s="6" t="s">
        <v>18937</v>
      </c>
      <c r="B3325" s="6" t="s">
        <v>2191</v>
      </c>
      <c r="C3325" s="6" t="s">
        <v>116</v>
      </c>
      <c r="D3325" s="6" t="s">
        <v>44</v>
      </c>
      <c r="E3325" s="14" t="n">
        <v>1555.82</v>
      </c>
      <c r="F3325" s="14" t="n">
        <v>7779.1</v>
      </c>
      <c r="G3325" s="6" t="s">
        <v>15614</v>
      </c>
    </row>
    <row r="3326" customFormat="false" ht="15" hidden="false" customHeight="true" outlineLevel="0" collapsed="false">
      <c r="A3326" s="6" t="s">
        <v>18938</v>
      </c>
      <c r="B3326" s="6" t="s">
        <v>2191</v>
      </c>
      <c r="C3326" s="6" t="s">
        <v>116</v>
      </c>
      <c r="D3326" s="6" t="s">
        <v>45</v>
      </c>
      <c r="E3326" s="14" t="n">
        <v>1555.82</v>
      </c>
      <c r="F3326" s="14" t="n">
        <v>9334.92</v>
      </c>
      <c r="G3326" s="6" t="s">
        <v>15614</v>
      </c>
    </row>
    <row r="3327" customFormat="false" ht="15" hidden="false" customHeight="true" outlineLevel="0" collapsed="false">
      <c r="A3327" s="6" t="s">
        <v>18939</v>
      </c>
      <c r="B3327" s="6" t="s">
        <v>2191</v>
      </c>
      <c r="C3327" s="6" t="s">
        <v>116</v>
      </c>
      <c r="D3327" s="6" t="s">
        <v>46</v>
      </c>
      <c r="E3327" s="14" t="n">
        <v>1555.82</v>
      </c>
      <c r="F3327" s="14" t="n">
        <v>10890.74</v>
      </c>
      <c r="G3327" s="6" t="s">
        <v>15614</v>
      </c>
    </row>
    <row r="3328" customFormat="false" ht="15" hidden="false" customHeight="true" outlineLevel="0" collapsed="false">
      <c r="A3328" s="6" t="s">
        <v>18940</v>
      </c>
      <c r="B3328" s="6" t="s">
        <v>2191</v>
      </c>
      <c r="C3328" s="6" t="s">
        <v>116</v>
      </c>
      <c r="D3328" s="6" t="s">
        <v>46</v>
      </c>
      <c r="E3328" s="14" t="n">
        <v>1555.82</v>
      </c>
      <c r="F3328" s="14" t="n">
        <v>12446.56</v>
      </c>
      <c r="G3328" s="6" t="s">
        <v>15614</v>
      </c>
    </row>
    <row r="3329" customFormat="false" ht="15" hidden="false" customHeight="true" outlineLevel="0" collapsed="false">
      <c r="A3329" s="6" t="s">
        <v>18941</v>
      </c>
      <c r="B3329" s="6" t="s">
        <v>2193</v>
      </c>
      <c r="C3329" s="6" t="s">
        <v>124</v>
      </c>
      <c r="D3329" s="6" t="s">
        <v>37</v>
      </c>
      <c r="E3329" s="14" t="n">
        <v>2780.89</v>
      </c>
      <c r="F3329" s="14" t="n">
        <v>2780.89</v>
      </c>
      <c r="G3329" s="6" t="s">
        <v>15614</v>
      </c>
    </row>
    <row r="3330" customFormat="false" ht="15" hidden="false" customHeight="true" outlineLevel="0" collapsed="false">
      <c r="A3330" s="6" t="s">
        <v>18942</v>
      </c>
      <c r="B3330" s="6" t="s">
        <v>2193</v>
      </c>
      <c r="C3330" s="6" t="s">
        <v>124</v>
      </c>
      <c r="D3330" s="6" t="s">
        <v>38</v>
      </c>
      <c r="E3330" s="14" t="n">
        <v>2780.89</v>
      </c>
      <c r="F3330" s="14" t="n">
        <v>5561.78</v>
      </c>
      <c r="G3330" s="6" t="s">
        <v>15614</v>
      </c>
    </row>
    <row r="3331" customFormat="false" ht="15" hidden="false" customHeight="true" outlineLevel="0" collapsed="false">
      <c r="A3331" s="6" t="s">
        <v>18943</v>
      </c>
      <c r="B3331" s="6" t="s">
        <v>2195</v>
      </c>
      <c r="C3331" s="6" t="s">
        <v>128</v>
      </c>
      <c r="D3331" s="6" t="s">
        <v>52</v>
      </c>
      <c r="E3331" s="14" t="n">
        <v>6489.96</v>
      </c>
      <c r="F3331" s="14" t="n">
        <v>6489.96</v>
      </c>
      <c r="G3331" s="6" t="s">
        <v>15614</v>
      </c>
    </row>
    <row r="3332" customFormat="false" ht="15" hidden="false" customHeight="true" outlineLevel="0" collapsed="false">
      <c r="A3332" s="6" t="s">
        <v>18944</v>
      </c>
      <c r="B3332" s="6" t="s">
        <v>2195</v>
      </c>
      <c r="C3332" s="6" t="s">
        <v>128</v>
      </c>
      <c r="D3332" s="6" t="s">
        <v>53</v>
      </c>
      <c r="E3332" s="14" t="n">
        <v>6489.96</v>
      </c>
      <c r="F3332" s="14" t="n">
        <v>12979.92</v>
      </c>
      <c r="G3332" s="6" t="s">
        <v>15614</v>
      </c>
    </row>
    <row r="3333" customFormat="false" ht="15" hidden="false" customHeight="true" outlineLevel="0" collapsed="false">
      <c r="A3333" s="6" t="s">
        <v>18945</v>
      </c>
      <c r="B3333" s="6" t="s">
        <v>2195</v>
      </c>
      <c r="C3333" s="6" t="s">
        <v>128</v>
      </c>
      <c r="D3333" s="6" t="s">
        <v>54</v>
      </c>
      <c r="E3333" s="14" t="n">
        <v>6489.96</v>
      </c>
      <c r="F3333" s="14" t="n">
        <v>19469.88</v>
      </c>
      <c r="G3333" s="6" t="s">
        <v>15614</v>
      </c>
    </row>
    <row r="3334" customFormat="false" ht="15" hidden="false" customHeight="true" outlineLevel="0" collapsed="false">
      <c r="A3334" s="6" t="s">
        <v>18946</v>
      </c>
      <c r="B3334" s="6" t="s">
        <v>2195</v>
      </c>
      <c r="C3334" s="6" t="s">
        <v>128</v>
      </c>
      <c r="D3334" s="6" t="s">
        <v>55</v>
      </c>
      <c r="E3334" s="14" t="n">
        <v>6489.96</v>
      </c>
      <c r="F3334" s="14" t="n">
        <v>25959.84</v>
      </c>
      <c r="G3334" s="6" t="s">
        <v>15614</v>
      </c>
    </row>
    <row r="3335" customFormat="false" ht="15" hidden="false" customHeight="true" outlineLevel="0" collapsed="false">
      <c r="A3335" s="6" t="s">
        <v>18947</v>
      </c>
      <c r="B3335" s="6" t="s">
        <v>2197</v>
      </c>
      <c r="C3335" s="6" t="s">
        <v>116</v>
      </c>
      <c r="D3335" s="6" t="s">
        <v>12</v>
      </c>
      <c r="E3335" s="14" t="n">
        <v>1257.72</v>
      </c>
      <c r="F3335" s="14" t="n">
        <v>1257.72</v>
      </c>
      <c r="G3335" s="6" t="s">
        <v>15614</v>
      </c>
    </row>
    <row r="3336" customFormat="false" ht="15" hidden="false" customHeight="true" outlineLevel="0" collapsed="false">
      <c r="A3336" s="6" t="s">
        <v>18948</v>
      </c>
      <c r="B3336" s="6" t="s">
        <v>2197</v>
      </c>
      <c r="C3336" s="6" t="s">
        <v>116</v>
      </c>
      <c r="D3336" s="6" t="s">
        <v>13</v>
      </c>
      <c r="E3336" s="14" t="n">
        <v>1257.72</v>
      </c>
      <c r="F3336" s="14" t="n">
        <v>2515.44</v>
      </c>
      <c r="G3336" s="6" t="s">
        <v>15614</v>
      </c>
    </row>
    <row r="3337" customFormat="false" ht="15" hidden="false" customHeight="true" outlineLevel="0" collapsed="false">
      <c r="A3337" s="6" t="s">
        <v>18949</v>
      </c>
      <c r="B3337" s="6" t="s">
        <v>2199</v>
      </c>
      <c r="C3337" s="6" t="s">
        <v>128</v>
      </c>
      <c r="D3337" s="6" t="s">
        <v>18</v>
      </c>
      <c r="E3337" s="14" t="n">
        <v>236.39</v>
      </c>
      <c r="F3337" s="14" t="n">
        <v>236.39</v>
      </c>
      <c r="G3337" s="6" t="s">
        <v>15614</v>
      </c>
    </row>
    <row r="3338" customFormat="false" ht="15" hidden="false" customHeight="true" outlineLevel="0" collapsed="false">
      <c r="A3338" s="6" t="s">
        <v>18950</v>
      </c>
      <c r="B3338" s="6" t="s">
        <v>2199</v>
      </c>
      <c r="C3338" s="6" t="s">
        <v>128</v>
      </c>
      <c r="D3338" s="6" t="s">
        <v>19</v>
      </c>
      <c r="E3338" s="14" t="n">
        <v>236.39</v>
      </c>
      <c r="F3338" s="14" t="n">
        <v>472.78</v>
      </c>
      <c r="G3338" s="6" t="s">
        <v>15614</v>
      </c>
    </row>
    <row r="3339" customFormat="false" ht="15" hidden="false" customHeight="true" outlineLevel="0" collapsed="false">
      <c r="A3339" s="6" t="s">
        <v>18951</v>
      </c>
      <c r="B3339" s="6" t="s">
        <v>2199</v>
      </c>
      <c r="C3339" s="6" t="s">
        <v>128</v>
      </c>
      <c r="D3339" s="6" t="s">
        <v>20</v>
      </c>
      <c r="E3339" s="14" t="n">
        <v>236.39</v>
      </c>
      <c r="F3339" s="14" t="n">
        <v>709.17</v>
      </c>
      <c r="G3339" s="6" t="s">
        <v>15614</v>
      </c>
    </row>
    <row r="3340" customFormat="false" ht="15" hidden="false" customHeight="true" outlineLevel="0" collapsed="false">
      <c r="A3340" s="6" t="s">
        <v>18952</v>
      </c>
      <c r="B3340" s="6" t="s">
        <v>2199</v>
      </c>
      <c r="C3340" s="6" t="s">
        <v>128</v>
      </c>
      <c r="D3340" s="6" t="s">
        <v>21</v>
      </c>
      <c r="E3340" s="14" t="n">
        <v>236.39</v>
      </c>
      <c r="F3340" s="14" t="n">
        <v>945.56</v>
      </c>
      <c r="G3340" s="6" t="s">
        <v>15614</v>
      </c>
    </row>
    <row r="3341" customFormat="false" ht="15" hidden="false" customHeight="true" outlineLevel="0" collapsed="false">
      <c r="A3341" s="6" t="s">
        <v>18953</v>
      </c>
      <c r="B3341" s="6" t="s">
        <v>2199</v>
      </c>
      <c r="C3341" s="6" t="s">
        <v>128</v>
      </c>
      <c r="D3341" s="6" t="s">
        <v>22</v>
      </c>
      <c r="E3341" s="14" t="n">
        <v>236.39</v>
      </c>
      <c r="F3341" s="14" t="n">
        <v>1181.95</v>
      </c>
      <c r="G3341" s="6" t="s">
        <v>15614</v>
      </c>
    </row>
    <row r="3342" customFormat="false" ht="15" hidden="false" customHeight="true" outlineLevel="0" collapsed="false">
      <c r="A3342" s="6" t="s">
        <v>18954</v>
      </c>
      <c r="B3342" s="6" t="s">
        <v>2199</v>
      </c>
      <c r="C3342" s="6" t="s">
        <v>128</v>
      </c>
      <c r="D3342" s="6" t="s">
        <v>23</v>
      </c>
      <c r="E3342" s="14" t="n">
        <v>236.39</v>
      </c>
      <c r="F3342" s="14" t="n">
        <v>1418.34</v>
      </c>
      <c r="G3342" s="6" t="s">
        <v>15614</v>
      </c>
    </row>
    <row r="3343" customFormat="false" ht="15" hidden="false" customHeight="true" outlineLevel="0" collapsed="false">
      <c r="A3343" s="6" t="s">
        <v>18955</v>
      </c>
      <c r="B3343" s="6" t="s">
        <v>2199</v>
      </c>
      <c r="C3343" s="6" t="s">
        <v>128</v>
      </c>
      <c r="D3343" s="6" t="s">
        <v>24</v>
      </c>
      <c r="E3343" s="14" t="n">
        <v>236.39</v>
      </c>
      <c r="F3343" s="14" t="n">
        <v>1654.73</v>
      </c>
      <c r="G3343" s="6" t="s">
        <v>15614</v>
      </c>
    </row>
    <row r="3344" customFormat="false" ht="15" hidden="false" customHeight="true" outlineLevel="0" collapsed="false">
      <c r="A3344" s="6" t="s">
        <v>18956</v>
      </c>
      <c r="B3344" s="6" t="s">
        <v>2199</v>
      </c>
      <c r="C3344" s="6" t="s">
        <v>128</v>
      </c>
      <c r="D3344" s="6" t="s">
        <v>25</v>
      </c>
      <c r="E3344" s="14" t="n">
        <v>236.39</v>
      </c>
      <c r="F3344" s="14" t="n">
        <v>1891.12</v>
      </c>
      <c r="G3344" s="6" t="s">
        <v>15614</v>
      </c>
    </row>
    <row r="3345" customFormat="false" ht="15" hidden="false" customHeight="true" outlineLevel="0" collapsed="false">
      <c r="A3345" s="6" t="s">
        <v>18957</v>
      </c>
      <c r="B3345" s="6" t="s">
        <v>2201</v>
      </c>
      <c r="C3345" s="6" t="s">
        <v>120</v>
      </c>
      <c r="D3345" s="6" t="s">
        <v>13</v>
      </c>
      <c r="E3345" s="14" t="n">
        <v>430.86</v>
      </c>
      <c r="F3345" s="14" t="n">
        <v>430.86</v>
      </c>
      <c r="G3345" s="6" t="s">
        <v>15614</v>
      </c>
    </row>
    <row r="3346" customFormat="false" ht="15" hidden="false" customHeight="true" outlineLevel="0" collapsed="false">
      <c r="A3346" s="6" t="s">
        <v>18958</v>
      </c>
      <c r="B3346" s="6" t="s">
        <v>2201</v>
      </c>
      <c r="C3346" s="6" t="s">
        <v>120</v>
      </c>
      <c r="D3346" s="6" t="s">
        <v>14</v>
      </c>
      <c r="E3346" s="14" t="n">
        <v>430.86</v>
      </c>
      <c r="F3346" s="14" t="n">
        <v>861.72</v>
      </c>
      <c r="G3346" s="6" t="s">
        <v>15614</v>
      </c>
    </row>
    <row r="3347" customFormat="false" ht="15" hidden="false" customHeight="true" outlineLevel="0" collapsed="false">
      <c r="A3347" s="6" t="s">
        <v>18959</v>
      </c>
      <c r="B3347" s="6" t="s">
        <v>2201</v>
      </c>
      <c r="C3347" s="6" t="s">
        <v>120</v>
      </c>
      <c r="D3347" s="6" t="s">
        <v>15</v>
      </c>
      <c r="E3347" s="14" t="n">
        <v>430.86</v>
      </c>
      <c r="F3347" s="14" t="n">
        <v>1292.58</v>
      </c>
      <c r="G3347" s="6" t="s">
        <v>15614</v>
      </c>
    </row>
    <row r="3348" customFormat="false" ht="15" hidden="false" customHeight="true" outlineLevel="0" collapsed="false">
      <c r="A3348" s="6" t="s">
        <v>18960</v>
      </c>
      <c r="B3348" s="6" t="s">
        <v>2203</v>
      </c>
      <c r="C3348" s="6" t="s">
        <v>124</v>
      </c>
      <c r="D3348" s="6" t="s">
        <v>12</v>
      </c>
      <c r="E3348" s="14" t="n">
        <v>114.7</v>
      </c>
      <c r="F3348" s="14" t="n">
        <v>114.7</v>
      </c>
      <c r="G3348" s="6" t="s">
        <v>15614</v>
      </c>
    </row>
    <row r="3349" customFormat="false" ht="15" hidden="false" customHeight="true" outlineLevel="0" collapsed="false">
      <c r="A3349" s="6" t="s">
        <v>18961</v>
      </c>
      <c r="B3349" s="6" t="s">
        <v>2203</v>
      </c>
      <c r="C3349" s="6" t="s">
        <v>124</v>
      </c>
      <c r="D3349" s="6" t="s">
        <v>13</v>
      </c>
      <c r="E3349" s="14" t="n">
        <v>114.7</v>
      </c>
      <c r="F3349" s="14" t="n">
        <v>229.4</v>
      </c>
      <c r="G3349" s="6" t="s">
        <v>15614</v>
      </c>
    </row>
    <row r="3350" customFormat="false" ht="15" hidden="false" customHeight="true" outlineLevel="0" collapsed="false">
      <c r="A3350" s="6" t="s">
        <v>18962</v>
      </c>
      <c r="B3350" s="6" t="s">
        <v>2203</v>
      </c>
      <c r="C3350" s="6" t="s">
        <v>124</v>
      </c>
      <c r="D3350" s="6" t="s">
        <v>14</v>
      </c>
      <c r="E3350" s="14" t="n">
        <v>114.7</v>
      </c>
      <c r="F3350" s="14" t="n">
        <v>344.1</v>
      </c>
      <c r="G3350" s="6" t="s">
        <v>15614</v>
      </c>
    </row>
    <row r="3351" customFormat="false" ht="15" hidden="false" customHeight="true" outlineLevel="0" collapsed="false">
      <c r="A3351" s="6" t="s">
        <v>18963</v>
      </c>
      <c r="B3351" s="6" t="s">
        <v>2203</v>
      </c>
      <c r="C3351" s="6" t="s">
        <v>124</v>
      </c>
      <c r="D3351" s="6" t="s">
        <v>15</v>
      </c>
      <c r="E3351" s="14" t="n">
        <v>114.7</v>
      </c>
      <c r="F3351" s="14" t="n">
        <v>458.8</v>
      </c>
      <c r="G3351" s="6" t="s">
        <v>15614</v>
      </c>
    </row>
    <row r="3352" customFormat="false" ht="15" hidden="false" customHeight="true" outlineLevel="0" collapsed="false">
      <c r="A3352" s="6" t="s">
        <v>18964</v>
      </c>
      <c r="B3352" s="6" t="s">
        <v>2203</v>
      </c>
      <c r="C3352" s="6" t="s">
        <v>124</v>
      </c>
      <c r="D3352" s="6" t="s">
        <v>16</v>
      </c>
      <c r="E3352" s="14" t="n">
        <v>114.7</v>
      </c>
      <c r="F3352" s="14" t="n">
        <v>573.5</v>
      </c>
      <c r="G3352" s="6" t="s">
        <v>15614</v>
      </c>
    </row>
    <row r="3353" customFormat="false" ht="15" hidden="false" customHeight="true" outlineLevel="0" collapsed="false">
      <c r="A3353" s="6" t="s">
        <v>18965</v>
      </c>
      <c r="B3353" s="6" t="s">
        <v>2203</v>
      </c>
      <c r="C3353" s="6" t="s">
        <v>124</v>
      </c>
      <c r="D3353" s="6" t="s">
        <v>17</v>
      </c>
      <c r="E3353" s="14" t="n">
        <v>114.7</v>
      </c>
      <c r="F3353" s="14" t="n">
        <v>688.2</v>
      </c>
      <c r="G3353" s="6" t="s">
        <v>15614</v>
      </c>
    </row>
    <row r="3354" customFormat="false" ht="15" hidden="false" customHeight="true" outlineLevel="0" collapsed="false">
      <c r="A3354" s="6" t="s">
        <v>18966</v>
      </c>
      <c r="B3354" s="6" t="s">
        <v>2203</v>
      </c>
      <c r="C3354" s="6" t="s">
        <v>124</v>
      </c>
      <c r="D3354" s="6" t="s">
        <v>18</v>
      </c>
      <c r="E3354" s="14" t="n">
        <v>114.7</v>
      </c>
      <c r="F3354" s="14" t="n">
        <v>802.9</v>
      </c>
      <c r="G3354" s="6" t="s">
        <v>15614</v>
      </c>
    </row>
    <row r="3355" customFormat="false" ht="15" hidden="false" customHeight="true" outlineLevel="0" collapsed="false">
      <c r="A3355" s="6" t="s">
        <v>18967</v>
      </c>
      <c r="B3355" s="6" t="s">
        <v>2205</v>
      </c>
      <c r="C3355" s="6" t="s">
        <v>131</v>
      </c>
      <c r="D3355" s="6" t="s">
        <v>36</v>
      </c>
      <c r="E3355" s="14" t="n">
        <v>156.25</v>
      </c>
      <c r="F3355" s="14" t="n">
        <v>156.25</v>
      </c>
      <c r="G3355" s="6" t="s">
        <v>15614</v>
      </c>
    </row>
    <row r="3356" customFormat="false" ht="15" hidden="false" customHeight="true" outlineLevel="0" collapsed="false">
      <c r="A3356" s="6" t="s">
        <v>18968</v>
      </c>
      <c r="B3356" s="6" t="s">
        <v>2205</v>
      </c>
      <c r="C3356" s="6" t="s">
        <v>131</v>
      </c>
      <c r="D3356" s="6" t="s">
        <v>37</v>
      </c>
      <c r="E3356" s="14" t="n">
        <v>156.25</v>
      </c>
      <c r="F3356" s="14" t="n">
        <v>312.5</v>
      </c>
      <c r="G3356" s="6" t="s">
        <v>15614</v>
      </c>
    </row>
    <row r="3357" customFormat="false" ht="15" hidden="false" customHeight="true" outlineLevel="0" collapsed="false">
      <c r="A3357" s="6" t="s">
        <v>18969</v>
      </c>
      <c r="B3357" s="6" t="s">
        <v>2207</v>
      </c>
      <c r="C3357" s="6" t="s">
        <v>124</v>
      </c>
      <c r="D3357" s="6" t="s">
        <v>48</v>
      </c>
      <c r="E3357" s="14" t="n">
        <v>3252.78</v>
      </c>
      <c r="F3357" s="14" t="n">
        <v>3252.78</v>
      </c>
      <c r="G3357" s="6" t="s">
        <v>15614</v>
      </c>
    </row>
    <row r="3358" customFormat="false" ht="15" hidden="false" customHeight="true" outlineLevel="0" collapsed="false">
      <c r="A3358" s="6" t="s">
        <v>18970</v>
      </c>
      <c r="B3358" s="6" t="s">
        <v>2207</v>
      </c>
      <c r="C3358" s="6" t="s">
        <v>124</v>
      </c>
      <c r="D3358" s="6" t="s">
        <v>49</v>
      </c>
      <c r="E3358" s="14" t="n">
        <v>3252.78</v>
      </c>
      <c r="F3358" s="14" t="n">
        <v>6505.56</v>
      </c>
      <c r="G3358" s="6" t="s">
        <v>15614</v>
      </c>
    </row>
    <row r="3359" customFormat="false" ht="15" hidden="false" customHeight="true" outlineLevel="0" collapsed="false">
      <c r="A3359" s="6" t="s">
        <v>18971</v>
      </c>
      <c r="B3359" s="6" t="s">
        <v>2207</v>
      </c>
      <c r="C3359" s="6" t="s">
        <v>124</v>
      </c>
      <c r="D3359" s="6" t="s">
        <v>50</v>
      </c>
      <c r="E3359" s="14" t="n">
        <v>3252.78</v>
      </c>
      <c r="F3359" s="14" t="n">
        <v>9758.34</v>
      </c>
      <c r="G3359" s="6" t="s">
        <v>15614</v>
      </c>
    </row>
    <row r="3360" customFormat="false" ht="15" hidden="false" customHeight="true" outlineLevel="0" collapsed="false">
      <c r="A3360" s="6" t="s">
        <v>18972</v>
      </c>
      <c r="B3360" s="6" t="s">
        <v>2207</v>
      </c>
      <c r="C3360" s="6" t="s">
        <v>124</v>
      </c>
      <c r="D3360" s="6" t="s">
        <v>51</v>
      </c>
      <c r="E3360" s="14" t="n">
        <v>3252.78</v>
      </c>
      <c r="F3360" s="14" t="n">
        <v>13011.12</v>
      </c>
      <c r="G3360" s="6" t="s">
        <v>15614</v>
      </c>
    </row>
    <row r="3361" customFormat="false" ht="15" hidden="false" customHeight="true" outlineLevel="0" collapsed="false">
      <c r="A3361" s="6" t="s">
        <v>18973</v>
      </c>
      <c r="B3361" s="6" t="s">
        <v>2209</v>
      </c>
      <c r="C3361" s="6" t="s">
        <v>112</v>
      </c>
      <c r="D3361" s="6" t="s">
        <v>29</v>
      </c>
      <c r="E3361" s="14" t="n">
        <v>2994.33</v>
      </c>
      <c r="F3361" s="14" t="n">
        <v>2994.33</v>
      </c>
      <c r="G3361" s="6" t="s">
        <v>15614</v>
      </c>
    </row>
    <row r="3362" customFormat="false" ht="15" hidden="false" customHeight="true" outlineLevel="0" collapsed="false">
      <c r="A3362" s="6" t="s">
        <v>18974</v>
      </c>
      <c r="B3362" s="6" t="s">
        <v>2209</v>
      </c>
      <c r="C3362" s="6" t="s">
        <v>112</v>
      </c>
      <c r="D3362" s="6" t="s">
        <v>30</v>
      </c>
      <c r="E3362" s="14" t="n">
        <v>2994.33</v>
      </c>
      <c r="F3362" s="14" t="n">
        <v>5988.66</v>
      </c>
      <c r="G3362" s="6" t="s">
        <v>15614</v>
      </c>
    </row>
    <row r="3363" customFormat="false" ht="15" hidden="false" customHeight="true" outlineLevel="0" collapsed="false">
      <c r="A3363" s="6" t="s">
        <v>18975</v>
      </c>
      <c r="B3363" s="6" t="s">
        <v>2209</v>
      </c>
      <c r="C3363" s="6" t="s">
        <v>112</v>
      </c>
      <c r="D3363" s="6" t="s">
        <v>31</v>
      </c>
      <c r="E3363" s="14" t="n">
        <v>2994.33</v>
      </c>
      <c r="F3363" s="14" t="n">
        <v>8982.99</v>
      </c>
      <c r="G3363" s="6" t="s">
        <v>15614</v>
      </c>
    </row>
    <row r="3364" customFormat="false" ht="15" hidden="false" customHeight="true" outlineLevel="0" collapsed="false">
      <c r="A3364" s="6" t="s">
        <v>18976</v>
      </c>
      <c r="B3364" s="6" t="s">
        <v>2209</v>
      </c>
      <c r="C3364" s="6" t="s">
        <v>112</v>
      </c>
      <c r="D3364" s="6" t="s">
        <v>32</v>
      </c>
      <c r="E3364" s="14" t="n">
        <v>2994.33</v>
      </c>
      <c r="F3364" s="14" t="n">
        <v>11977.32</v>
      </c>
      <c r="G3364" s="6" t="s">
        <v>15614</v>
      </c>
    </row>
    <row r="3365" customFormat="false" ht="15" hidden="false" customHeight="true" outlineLevel="0" collapsed="false">
      <c r="A3365" s="6" t="s">
        <v>18977</v>
      </c>
      <c r="B3365" s="6" t="s">
        <v>2211</v>
      </c>
      <c r="C3365" s="6" t="s">
        <v>131</v>
      </c>
      <c r="D3365" s="6" t="s">
        <v>22</v>
      </c>
      <c r="E3365" s="14" t="n">
        <v>1182.72</v>
      </c>
      <c r="F3365" s="14" t="n">
        <v>1182.72</v>
      </c>
      <c r="G3365" s="6" t="s">
        <v>15614</v>
      </c>
    </row>
    <row r="3366" customFormat="false" ht="15" hidden="false" customHeight="true" outlineLevel="0" collapsed="false">
      <c r="A3366" s="6" t="s">
        <v>18978</v>
      </c>
      <c r="B3366" s="6" t="s">
        <v>2211</v>
      </c>
      <c r="C3366" s="6" t="s">
        <v>131</v>
      </c>
      <c r="D3366" s="6" t="s">
        <v>23</v>
      </c>
      <c r="E3366" s="14" t="n">
        <v>1182.72</v>
      </c>
      <c r="F3366" s="14" t="n">
        <v>2365.44</v>
      </c>
      <c r="G3366" s="6" t="s">
        <v>15614</v>
      </c>
    </row>
    <row r="3367" customFormat="false" ht="15" hidden="false" customHeight="true" outlineLevel="0" collapsed="false">
      <c r="A3367" s="6" t="s">
        <v>18979</v>
      </c>
      <c r="B3367" s="6" t="s">
        <v>2211</v>
      </c>
      <c r="C3367" s="6" t="s">
        <v>131</v>
      </c>
      <c r="D3367" s="6" t="s">
        <v>24</v>
      </c>
      <c r="E3367" s="14" t="n">
        <v>1182.72</v>
      </c>
      <c r="F3367" s="14" t="n">
        <v>3548.16</v>
      </c>
      <c r="G3367" s="6" t="s">
        <v>15614</v>
      </c>
    </row>
    <row r="3368" customFormat="false" ht="15" hidden="false" customHeight="true" outlineLevel="0" collapsed="false">
      <c r="A3368" s="6" t="s">
        <v>18980</v>
      </c>
      <c r="B3368" s="6" t="s">
        <v>2213</v>
      </c>
      <c r="C3368" s="6" t="s">
        <v>131</v>
      </c>
      <c r="D3368" s="6" t="s">
        <v>59</v>
      </c>
      <c r="E3368" s="14" t="n">
        <v>1281.4</v>
      </c>
      <c r="F3368" s="14" t="n">
        <v>1281.4</v>
      </c>
      <c r="G3368" s="6" t="s">
        <v>15614</v>
      </c>
    </row>
    <row r="3369" customFormat="false" ht="15" hidden="false" customHeight="true" outlineLevel="0" collapsed="false">
      <c r="A3369" s="6" t="s">
        <v>18981</v>
      </c>
      <c r="B3369" s="6" t="s">
        <v>2215</v>
      </c>
      <c r="C3369" s="6" t="s">
        <v>131</v>
      </c>
      <c r="D3369" s="6" t="s">
        <v>11</v>
      </c>
      <c r="E3369" s="14" t="n">
        <v>1765.42</v>
      </c>
      <c r="F3369" s="14" t="n">
        <v>1765.42</v>
      </c>
      <c r="G3369" s="6" t="s">
        <v>15614</v>
      </c>
    </row>
    <row r="3370" customFormat="false" ht="15" hidden="false" customHeight="true" outlineLevel="0" collapsed="false">
      <c r="A3370" s="6" t="s">
        <v>18982</v>
      </c>
      <c r="B3370" s="6" t="s">
        <v>2215</v>
      </c>
      <c r="C3370" s="6" t="s">
        <v>131</v>
      </c>
      <c r="D3370" s="6" t="s">
        <v>12</v>
      </c>
      <c r="E3370" s="14" t="n">
        <v>1765.42</v>
      </c>
      <c r="F3370" s="14" t="n">
        <v>3530.84</v>
      </c>
      <c r="G3370" s="6" t="s">
        <v>15614</v>
      </c>
    </row>
    <row r="3371" customFormat="false" ht="15" hidden="false" customHeight="true" outlineLevel="0" collapsed="false">
      <c r="A3371" s="6" t="s">
        <v>18983</v>
      </c>
      <c r="B3371" s="6" t="s">
        <v>2215</v>
      </c>
      <c r="C3371" s="6" t="s">
        <v>131</v>
      </c>
      <c r="D3371" s="6" t="s">
        <v>13</v>
      </c>
      <c r="E3371" s="14" t="n">
        <v>1765.42</v>
      </c>
      <c r="F3371" s="14" t="n">
        <v>5296.26</v>
      </c>
      <c r="G3371" s="6" t="s">
        <v>15614</v>
      </c>
    </row>
    <row r="3372" customFormat="false" ht="15" hidden="false" customHeight="true" outlineLevel="0" collapsed="false">
      <c r="A3372" s="6" t="s">
        <v>18984</v>
      </c>
      <c r="B3372" s="6" t="s">
        <v>2215</v>
      </c>
      <c r="C3372" s="6" t="s">
        <v>131</v>
      </c>
      <c r="D3372" s="6" t="s">
        <v>14</v>
      </c>
      <c r="E3372" s="14" t="n">
        <v>1765.42</v>
      </c>
      <c r="F3372" s="14" t="n">
        <v>7061.68</v>
      </c>
      <c r="G3372" s="6" t="s">
        <v>15614</v>
      </c>
    </row>
    <row r="3373" customFormat="false" ht="15" hidden="false" customHeight="true" outlineLevel="0" collapsed="false">
      <c r="A3373" s="6" t="s">
        <v>18985</v>
      </c>
      <c r="B3373" s="6" t="s">
        <v>2217</v>
      </c>
      <c r="C3373" s="6" t="s">
        <v>116</v>
      </c>
      <c r="D3373" s="6" t="s">
        <v>62</v>
      </c>
      <c r="E3373" s="14" t="n">
        <v>444.25</v>
      </c>
      <c r="F3373" s="14" t="n">
        <v>444.25</v>
      </c>
      <c r="G3373" s="6" t="s">
        <v>15614</v>
      </c>
    </row>
    <row r="3374" customFormat="false" ht="15" hidden="false" customHeight="true" outlineLevel="0" collapsed="false">
      <c r="A3374" s="6" t="s">
        <v>18986</v>
      </c>
      <c r="B3374" s="6" t="s">
        <v>2217</v>
      </c>
      <c r="C3374" s="6" t="s">
        <v>116</v>
      </c>
      <c r="D3374" s="6" t="s">
        <v>63</v>
      </c>
      <c r="E3374" s="14" t="n">
        <v>444.25</v>
      </c>
      <c r="F3374" s="14" t="n">
        <v>888.5</v>
      </c>
      <c r="G3374" s="6" t="s">
        <v>15614</v>
      </c>
    </row>
    <row r="3375" customFormat="false" ht="15" hidden="false" customHeight="true" outlineLevel="0" collapsed="false">
      <c r="A3375" s="6" t="s">
        <v>18987</v>
      </c>
      <c r="B3375" s="6" t="s">
        <v>2217</v>
      </c>
      <c r="C3375" s="6" t="s">
        <v>116</v>
      </c>
      <c r="D3375" s="6" t="s">
        <v>64</v>
      </c>
      <c r="E3375" s="14" t="n">
        <v>444.25</v>
      </c>
      <c r="F3375" s="14" t="n">
        <v>1332.75</v>
      </c>
      <c r="G3375" s="6" t="s">
        <v>15614</v>
      </c>
    </row>
    <row r="3376" customFormat="false" ht="15" hidden="false" customHeight="true" outlineLevel="0" collapsed="false">
      <c r="A3376" s="6" t="s">
        <v>18988</v>
      </c>
      <c r="B3376" s="6" t="s">
        <v>2219</v>
      </c>
      <c r="C3376" s="6" t="s">
        <v>116</v>
      </c>
      <c r="D3376" s="6" t="s">
        <v>11</v>
      </c>
      <c r="E3376" s="14" t="n">
        <v>3123.33</v>
      </c>
      <c r="F3376" s="14" t="n">
        <v>3123.33</v>
      </c>
      <c r="G3376" s="6" t="s">
        <v>15614</v>
      </c>
    </row>
    <row r="3377" customFormat="false" ht="15" hidden="false" customHeight="true" outlineLevel="0" collapsed="false">
      <c r="A3377" s="6" t="s">
        <v>18989</v>
      </c>
      <c r="B3377" s="6" t="s">
        <v>2219</v>
      </c>
      <c r="C3377" s="6" t="s">
        <v>116</v>
      </c>
      <c r="D3377" s="6" t="s">
        <v>12</v>
      </c>
      <c r="E3377" s="14" t="n">
        <v>3123.33</v>
      </c>
      <c r="F3377" s="14" t="n">
        <v>6246.66</v>
      </c>
      <c r="G3377" s="6" t="s">
        <v>15614</v>
      </c>
    </row>
    <row r="3378" customFormat="false" ht="15" hidden="false" customHeight="true" outlineLevel="0" collapsed="false">
      <c r="A3378" s="6" t="s">
        <v>18990</v>
      </c>
      <c r="B3378" s="6" t="s">
        <v>2219</v>
      </c>
      <c r="C3378" s="6" t="s">
        <v>116</v>
      </c>
      <c r="D3378" s="6" t="s">
        <v>13</v>
      </c>
      <c r="E3378" s="14" t="n">
        <v>3123.33</v>
      </c>
      <c r="F3378" s="14" t="n">
        <v>9369.99</v>
      </c>
      <c r="G3378" s="6" t="s">
        <v>15614</v>
      </c>
    </row>
    <row r="3379" customFormat="false" ht="15" hidden="false" customHeight="true" outlineLevel="0" collapsed="false">
      <c r="A3379" s="6" t="s">
        <v>18991</v>
      </c>
      <c r="B3379" s="6" t="s">
        <v>2219</v>
      </c>
      <c r="C3379" s="6" t="s">
        <v>116</v>
      </c>
      <c r="D3379" s="6" t="s">
        <v>14</v>
      </c>
      <c r="E3379" s="14" t="n">
        <v>3123.33</v>
      </c>
      <c r="F3379" s="14" t="n">
        <v>12493.32</v>
      </c>
      <c r="G3379" s="6" t="s">
        <v>15614</v>
      </c>
    </row>
    <row r="3380" customFormat="false" ht="15" hidden="false" customHeight="true" outlineLevel="0" collapsed="false">
      <c r="A3380" s="6" t="s">
        <v>18992</v>
      </c>
      <c r="B3380" s="6" t="s">
        <v>2221</v>
      </c>
      <c r="C3380" s="6" t="s">
        <v>131</v>
      </c>
      <c r="D3380" s="6" t="s">
        <v>61</v>
      </c>
      <c r="E3380" s="14" t="n">
        <v>567.03</v>
      </c>
      <c r="F3380" s="14" t="n">
        <v>567.03</v>
      </c>
      <c r="G3380" s="6" t="s">
        <v>15614</v>
      </c>
    </row>
    <row r="3381" customFormat="false" ht="15" hidden="false" customHeight="true" outlineLevel="0" collapsed="false">
      <c r="A3381" s="6" t="s">
        <v>18993</v>
      </c>
      <c r="B3381" s="6" t="s">
        <v>2221</v>
      </c>
      <c r="C3381" s="6" t="s">
        <v>131</v>
      </c>
      <c r="D3381" s="6" t="s">
        <v>62</v>
      </c>
      <c r="E3381" s="14" t="n">
        <v>567.03</v>
      </c>
      <c r="F3381" s="14" t="n">
        <v>1134.06</v>
      </c>
      <c r="G3381" s="6" t="s">
        <v>15614</v>
      </c>
    </row>
    <row r="3382" customFormat="false" ht="15" hidden="false" customHeight="true" outlineLevel="0" collapsed="false">
      <c r="A3382" s="6" t="s">
        <v>18994</v>
      </c>
      <c r="B3382" s="6" t="s">
        <v>2221</v>
      </c>
      <c r="C3382" s="6" t="s">
        <v>131</v>
      </c>
      <c r="D3382" s="6" t="s">
        <v>63</v>
      </c>
      <c r="E3382" s="14" t="n">
        <v>567.03</v>
      </c>
      <c r="F3382" s="14" t="n">
        <v>1701.09</v>
      </c>
      <c r="G3382" s="6" t="s">
        <v>15614</v>
      </c>
    </row>
    <row r="3383" customFormat="false" ht="15" hidden="false" customHeight="true" outlineLevel="0" collapsed="false">
      <c r="A3383" s="6" t="s">
        <v>18995</v>
      </c>
      <c r="B3383" s="6" t="s">
        <v>2221</v>
      </c>
      <c r="C3383" s="6" t="s">
        <v>131</v>
      </c>
      <c r="D3383" s="6" t="s">
        <v>64</v>
      </c>
      <c r="E3383" s="14" t="n">
        <v>567.03</v>
      </c>
      <c r="F3383" s="14" t="n">
        <v>2268.12</v>
      </c>
      <c r="G3383" s="6" t="s">
        <v>15614</v>
      </c>
    </row>
    <row r="3384" customFormat="false" ht="15" hidden="false" customHeight="true" outlineLevel="0" collapsed="false">
      <c r="A3384" s="6" t="s">
        <v>18996</v>
      </c>
      <c r="B3384" s="6" t="s">
        <v>2221</v>
      </c>
      <c r="C3384" s="6" t="s">
        <v>131</v>
      </c>
      <c r="D3384" s="6" t="s">
        <v>65</v>
      </c>
      <c r="E3384" s="14" t="n">
        <v>567.03</v>
      </c>
      <c r="F3384" s="14" t="n">
        <v>2835.15</v>
      </c>
      <c r="G3384" s="6" t="s">
        <v>15614</v>
      </c>
    </row>
    <row r="3385" customFormat="false" ht="15" hidden="false" customHeight="true" outlineLevel="0" collapsed="false">
      <c r="A3385" s="6" t="s">
        <v>18997</v>
      </c>
      <c r="B3385" s="6" t="s">
        <v>2223</v>
      </c>
      <c r="C3385" s="6" t="s">
        <v>112</v>
      </c>
      <c r="D3385" s="6" t="s">
        <v>43</v>
      </c>
      <c r="E3385" s="14" t="n">
        <v>487.71</v>
      </c>
      <c r="F3385" s="14" t="n">
        <v>487.71</v>
      </c>
      <c r="G3385" s="6" t="s">
        <v>15614</v>
      </c>
    </row>
    <row r="3386" customFormat="false" ht="15" hidden="false" customHeight="true" outlineLevel="0" collapsed="false">
      <c r="A3386" s="6" t="s">
        <v>18998</v>
      </c>
      <c r="B3386" s="6" t="s">
        <v>2223</v>
      </c>
      <c r="C3386" s="6" t="s">
        <v>112</v>
      </c>
      <c r="D3386" s="6" t="s">
        <v>44</v>
      </c>
      <c r="E3386" s="14" t="n">
        <v>487.71</v>
      </c>
      <c r="F3386" s="14" t="n">
        <v>975.42</v>
      </c>
      <c r="G3386" s="6" t="s">
        <v>15614</v>
      </c>
    </row>
    <row r="3387" customFormat="false" ht="15" hidden="false" customHeight="true" outlineLevel="0" collapsed="false">
      <c r="A3387" s="6" t="s">
        <v>18999</v>
      </c>
      <c r="B3387" s="6" t="s">
        <v>2223</v>
      </c>
      <c r="C3387" s="6" t="s">
        <v>112</v>
      </c>
      <c r="D3387" s="6" t="s">
        <v>45</v>
      </c>
      <c r="E3387" s="14" t="n">
        <v>487.71</v>
      </c>
      <c r="F3387" s="14" t="n">
        <v>1463.13</v>
      </c>
      <c r="G3387" s="6" t="s">
        <v>15614</v>
      </c>
    </row>
    <row r="3388" customFormat="false" ht="15" hidden="false" customHeight="true" outlineLevel="0" collapsed="false">
      <c r="A3388" s="6" t="s">
        <v>19000</v>
      </c>
      <c r="B3388" s="6" t="s">
        <v>2223</v>
      </c>
      <c r="C3388" s="6" t="s">
        <v>112</v>
      </c>
      <c r="D3388" s="6" t="s">
        <v>46</v>
      </c>
      <c r="E3388" s="14" t="n">
        <v>487.71</v>
      </c>
      <c r="F3388" s="14" t="n">
        <v>1950.84</v>
      </c>
      <c r="G3388" s="6" t="s">
        <v>15614</v>
      </c>
    </row>
    <row r="3389" customFormat="false" ht="15" hidden="false" customHeight="true" outlineLevel="0" collapsed="false">
      <c r="A3389" s="6" t="s">
        <v>19001</v>
      </c>
      <c r="B3389" s="6" t="s">
        <v>2225</v>
      </c>
      <c r="C3389" s="6" t="s">
        <v>112</v>
      </c>
      <c r="D3389" s="6" t="s">
        <v>46</v>
      </c>
      <c r="E3389" s="14" t="n">
        <v>966.7</v>
      </c>
      <c r="F3389" s="14" t="n">
        <v>966.7</v>
      </c>
      <c r="G3389" s="6" t="s">
        <v>15614</v>
      </c>
    </row>
    <row r="3390" customFormat="false" ht="15" hidden="false" customHeight="true" outlineLevel="0" collapsed="false">
      <c r="A3390" s="6" t="s">
        <v>19002</v>
      </c>
      <c r="B3390" s="6" t="s">
        <v>2225</v>
      </c>
      <c r="C3390" s="6" t="s">
        <v>112</v>
      </c>
      <c r="D3390" s="6" t="s">
        <v>47</v>
      </c>
      <c r="E3390" s="14" t="n">
        <v>966.7</v>
      </c>
      <c r="F3390" s="14" t="n">
        <v>1933.4</v>
      </c>
      <c r="G3390" s="6" t="s">
        <v>15614</v>
      </c>
    </row>
    <row r="3391" customFormat="false" ht="15" hidden="false" customHeight="true" outlineLevel="0" collapsed="false">
      <c r="A3391" s="6" t="s">
        <v>19003</v>
      </c>
      <c r="B3391" s="6" t="s">
        <v>2225</v>
      </c>
      <c r="C3391" s="6" t="s">
        <v>112</v>
      </c>
      <c r="D3391" s="6" t="s">
        <v>48</v>
      </c>
      <c r="E3391" s="14" t="n">
        <v>966.7</v>
      </c>
      <c r="F3391" s="14" t="n">
        <v>2900.1</v>
      </c>
      <c r="G3391" s="6" t="s">
        <v>15614</v>
      </c>
    </row>
    <row r="3392" customFormat="false" ht="15" hidden="false" customHeight="true" outlineLevel="0" collapsed="false">
      <c r="A3392" s="6" t="s">
        <v>19004</v>
      </c>
      <c r="B3392" s="6" t="s">
        <v>2225</v>
      </c>
      <c r="C3392" s="6" t="s">
        <v>112</v>
      </c>
      <c r="D3392" s="6" t="s">
        <v>49</v>
      </c>
      <c r="E3392" s="14" t="n">
        <v>966.7</v>
      </c>
      <c r="F3392" s="14" t="n">
        <v>3866.8</v>
      </c>
      <c r="G3392" s="6" t="s">
        <v>15614</v>
      </c>
    </row>
    <row r="3393" customFormat="false" ht="15" hidden="false" customHeight="true" outlineLevel="0" collapsed="false">
      <c r="A3393" s="6" t="s">
        <v>19005</v>
      </c>
      <c r="B3393" s="6" t="s">
        <v>2227</v>
      </c>
      <c r="C3393" s="6" t="s">
        <v>112</v>
      </c>
      <c r="D3393" s="6" t="s">
        <v>14</v>
      </c>
      <c r="E3393" s="14" t="n">
        <v>2502.38</v>
      </c>
      <c r="F3393" s="14" t="n">
        <v>2502.38</v>
      </c>
      <c r="G3393" s="6" t="s">
        <v>15614</v>
      </c>
    </row>
    <row r="3394" customFormat="false" ht="15" hidden="false" customHeight="true" outlineLevel="0" collapsed="false">
      <c r="A3394" s="6" t="s">
        <v>19006</v>
      </c>
      <c r="B3394" s="6" t="s">
        <v>2227</v>
      </c>
      <c r="C3394" s="6" t="s">
        <v>112</v>
      </c>
      <c r="D3394" s="6" t="s">
        <v>15</v>
      </c>
      <c r="E3394" s="14" t="n">
        <v>2502.38</v>
      </c>
      <c r="F3394" s="14" t="n">
        <v>5004.76</v>
      </c>
      <c r="G3394" s="6" t="s">
        <v>15614</v>
      </c>
    </row>
    <row r="3395" customFormat="false" ht="15" hidden="false" customHeight="true" outlineLevel="0" collapsed="false">
      <c r="A3395" s="6" t="s">
        <v>19007</v>
      </c>
      <c r="B3395" s="6" t="s">
        <v>2227</v>
      </c>
      <c r="C3395" s="6" t="s">
        <v>112</v>
      </c>
      <c r="D3395" s="6" t="s">
        <v>16</v>
      </c>
      <c r="E3395" s="14" t="n">
        <v>2502.38</v>
      </c>
      <c r="F3395" s="14" t="n">
        <v>7507.14</v>
      </c>
      <c r="G3395" s="6" t="s">
        <v>15614</v>
      </c>
    </row>
    <row r="3396" customFormat="false" ht="15" hidden="false" customHeight="true" outlineLevel="0" collapsed="false">
      <c r="A3396" s="6" t="s">
        <v>19008</v>
      </c>
      <c r="B3396" s="6" t="s">
        <v>2227</v>
      </c>
      <c r="C3396" s="6" t="s">
        <v>112</v>
      </c>
      <c r="D3396" s="6" t="s">
        <v>17</v>
      </c>
      <c r="E3396" s="14" t="n">
        <v>2502.38</v>
      </c>
      <c r="F3396" s="14" t="n">
        <v>10009.52</v>
      </c>
      <c r="G3396" s="6" t="s">
        <v>15614</v>
      </c>
    </row>
    <row r="3397" customFormat="false" ht="15" hidden="false" customHeight="true" outlineLevel="0" collapsed="false">
      <c r="A3397" s="6" t="s">
        <v>19009</v>
      </c>
      <c r="B3397" s="6" t="s">
        <v>2229</v>
      </c>
      <c r="C3397" s="6" t="s">
        <v>112</v>
      </c>
      <c r="D3397" s="6" t="s">
        <v>29</v>
      </c>
      <c r="E3397" s="14" t="n">
        <v>1548.03</v>
      </c>
      <c r="F3397" s="14" t="n">
        <v>1548.03</v>
      </c>
      <c r="G3397" s="6" t="s">
        <v>15614</v>
      </c>
    </row>
    <row r="3398" customFormat="false" ht="15" hidden="false" customHeight="true" outlineLevel="0" collapsed="false">
      <c r="A3398" s="6" t="s">
        <v>19010</v>
      </c>
      <c r="B3398" s="6" t="s">
        <v>2229</v>
      </c>
      <c r="C3398" s="6" t="s">
        <v>112</v>
      </c>
      <c r="D3398" s="6" t="s">
        <v>30</v>
      </c>
      <c r="E3398" s="14" t="n">
        <v>1548.03</v>
      </c>
      <c r="F3398" s="14" t="n">
        <v>3096.06</v>
      </c>
      <c r="G3398" s="6" t="s">
        <v>15614</v>
      </c>
    </row>
    <row r="3399" customFormat="false" ht="15" hidden="false" customHeight="true" outlineLevel="0" collapsed="false">
      <c r="A3399" s="6" t="s">
        <v>19011</v>
      </c>
      <c r="B3399" s="6" t="s">
        <v>2229</v>
      </c>
      <c r="C3399" s="6" t="s">
        <v>112</v>
      </c>
      <c r="D3399" s="6" t="s">
        <v>31</v>
      </c>
      <c r="E3399" s="14" t="n">
        <v>1548.03</v>
      </c>
      <c r="F3399" s="14" t="n">
        <v>4644.09</v>
      </c>
      <c r="G3399" s="6" t="s">
        <v>15614</v>
      </c>
    </row>
    <row r="3400" customFormat="false" ht="15" hidden="false" customHeight="true" outlineLevel="0" collapsed="false">
      <c r="A3400" s="6" t="s">
        <v>19012</v>
      </c>
      <c r="B3400" s="6" t="s">
        <v>2229</v>
      </c>
      <c r="C3400" s="6" t="s">
        <v>112</v>
      </c>
      <c r="D3400" s="6" t="s">
        <v>32</v>
      </c>
      <c r="E3400" s="14" t="n">
        <v>1548.03</v>
      </c>
      <c r="F3400" s="14" t="n">
        <v>6192.12</v>
      </c>
      <c r="G3400" s="6" t="s">
        <v>15614</v>
      </c>
    </row>
    <row r="3401" customFormat="false" ht="15" hidden="false" customHeight="true" outlineLevel="0" collapsed="false">
      <c r="A3401" s="6" t="s">
        <v>19013</v>
      </c>
      <c r="B3401" s="6" t="s">
        <v>2229</v>
      </c>
      <c r="C3401" s="6" t="s">
        <v>112</v>
      </c>
      <c r="D3401" s="6" t="s">
        <v>33</v>
      </c>
      <c r="E3401" s="14" t="n">
        <v>1548.03</v>
      </c>
      <c r="F3401" s="14" t="n">
        <v>7740.15</v>
      </c>
      <c r="G3401" s="6" t="s">
        <v>15614</v>
      </c>
    </row>
    <row r="3402" customFormat="false" ht="15" hidden="false" customHeight="true" outlineLevel="0" collapsed="false">
      <c r="A3402" s="6" t="s">
        <v>19014</v>
      </c>
      <c r="B3402" s="6" t="s">
        <v>2229</v>
      </c>
      <c r="C3402" s="6" t="s">
        <v>112</v>
      </c>
      <c r="D3402" s="6" t="s">
        <v>34</v>
      </c>
      <c r="E3402" s="14" t="n">
        <v>1548.03</v>
      </c>
      <c r="F3402" s="14" t="n">
        <v>9288.18</v>
      </c>
      <c r="G3402" s="6" t="s">
        <v>15614</v>
      </c>
    </row>
    <row r="3403" customFormat="false" ht="15" hidden="false" customHeight="true" outlineLevel="0" collapsed="false">
      <c r="A3403" s="6" t="s">
        <v>19015</v>
      </c>
      <c r="B3403" s="6" t="s">
        <v>2229</v>
      </c>
      <c r="C3403" s="6" t="s">
        <v>112</v>
      </c>
      <c r="D3403" s="6" t="s">
        <v>35</v>
      </c>
      <c r="E3403" s="14" t="n">
        <v>1548.03</v>
      </c>
      <c r="F3403" s="14" t="n">
        <v>10836.21</v>
      </c>
      <c r="G3403" s="6" t="s">
        <v>15614</v>
      </c>
    </row>
    <row r="3404" customFormat="false" ht="15" hidden="false" customHeight="true" outlineLevel="0" collapsed="false">
      <c r="A3404" s="6" t="s">
        <v>19016</v>
      </c>
      <c r="B3404" s="6" t="s">
        <v>2229</v>
      </c>
      <c r="C3404" s="6" t="s">
        <v>112</v>
      </c>
      <c r="D3404" s="6" t="s">
        <v>36</v>
      </c>
      <c r="E3404" s="14" t="n">
        <v>1548.03</v>
      </c>
      <c r="F3404" s="14" t="n">
        <v>12384.24</v>
      </c>
      <c r="G3404" s="6" t="s">
        <v>15614</v>
      </c>
    </row>
    <row r="3405" customFormat="false" ht="15" hidden="false" customHeight="true" outlineLevel="0" collapsed="false">
      <c r="A3405" s="6" t="s">
        <v>19017</v>
      </c>
      <c r="B3405" s="6" t="s">
        <v>2231</v>
      </c>
      <c r="C3405" s="6" t="s">
        <v>131</v>
      </c>
      <c r="D3405" s="6" t="s">
        <v>28</v>
      </c>
      <c r="E3405" s="14" t="n">
        <v>1668.46</v>
      </c>
      <c r="F3405" s="14" t="n">
        <v>1668.46</v>
      </c>
      <c r="G3405" s="6" t="s">
        <v>15614</v>
      </c>
    </row>
    <row r="3406" customFormat="false" ht="15" hidden="false" customHeight="true" outlineLevel="0" collapsed="false">
      <c r="A3406" s="6" t="s">
        <v>19018</v>
      </c>
      <c r="B3406" s="6" t="s">
        <v>2231</v>
      </c>
      <c r="C3406" s="6" t="s">
        <v>131</v>
      </c>
      <c r="D3406" s="6" t="s">
        <v>29</v>
      </c>
      <c r="E3406" s="14" t="n">
        <v>1668.46</v>
      </c>
      <c r="F3406" s="14" t="n">
        <v>3336.92</v>
      </c>
      <c r="G3406" s="6" t="s">
        <v>15614</v>
      </c>
    </row>
    <row r="3407" customFormat="false" ht="15" hidden="false" customHeight="true" outlineLevel="0" collapsed="false">
      <c r="A3407" s="6" t="s">
        <v>19019</v>
      </c>
      <c r="B3407" s="6" t="s">
        <v>2233</v>
      </c>
      <c r="C3407" s="6" t="s">
        <v>131</v>
      </c>
      <c r="D3407" s="6" t="s">
        <v>58</v>
      </c>
      <c r="E3407" s="14" t="n">
        <v>1252.34</v>
      </c>
      <c r="F3407" s="14" t="n">
        <v>1252.34</v>
      </c>
      <c r="G3407" s="6" t="s">
        <v>15614</v>
      </c>
    </row>
    <row r="3408" customFormat="false" ht="15" hidden="false" customHeight="true" outlineLevel="0" collapsed="false">
      <c r="A3408" s="6" t="s">
        <v>19020</v>
      </c>
      <c r="B3408" s="6" t="s">
        <v>2233</v>
      </c>
      <c r="C3408" s="6" t="s">
        <v>131</v>
      </c>
      <c r="D3408" s="6" t="s">
        <v>59</v>
      </c>
      <c r="E3408" s="14" t="n">
        <v>1252.34</v>
      </c>
      <c r="F3408" s="14" t="n">
        <v>2504.68</v>
      </c>
      <c r="G3408" s="6" t="s">
        <v>15614</v>
      </c>
    </row>
    <row r="3409" customFormat="false" ht="15" hidden="false" customHeight="true" outlineLevel="0" collapsed="false">
      <c r="A3409" s="6" t="s">
        <v>19021</v>
      </c>
      <c r="B3409" s="6" t="s">
        <v>2233</v>
      </c>
      <c r="C3409" s="6" t="s">
        <v>131</v>
      </c>
      <c r="D3409" s="6" t="s">
        <v>60</v>
      </c>
      <c r="E3409" s="14" t="n">
        <v>1252.34</v>
      </c>
      <c r="F3409" s="14" t="n">
        <v>3757.02</v>
      </c>
      <c r="G3409" s="6" t="s">
        <v>15614</v>
      </c>
    </row>
    <row r="3410" customFormat="false" ht="15" hidden="false" customHeight="true" outlineLevel="0" collapsed="false">
      <c r="A3410" s="6" t="s">
        <v>19022</v>
      </c>
      <c r="B3410" s="6" t="s">
        <v>2233</v>
      </c>
      <c r="C3410" s="6" t="s">
        <v>131</v>
      </c>
      <c r="D3410" s="6" t="s">
        <v>61</v>
      </c>
      <c r="E3410" s="14" t="n">
        <v>1252.34</v>
      </c>
      <c r="F3410" s="14" t="n">
        <v>5009.36</v>
      </c>
      <c r="G3410" s="6" t="s">
        <v>15614</v>
      </c>
    </row>
    <row r="3411" customFormat="false" ht="15" hidden="false" customHeight="true" outlineLevel="0" collapsed="false">
      <c r="A3411" s="6" t="s">
        <v>19023</v>
      </c>
      <c r="B3411" s="6" t="s">
        <v>2233</v>
      </c>
      <c r="C3411" s="6" t="s">
        <v>131</v>
      </c>
      <c r="D3411" s="6" t="s">
        <v>62</v>
      </c>
      <c r="E3411" s="14" t="n">
        <v>1252.34</v>
      </c>
      <c r="F3411" s="14" t="n">
        <v>6261.7</v>
      </c>
      <c r="G3411" s="6" t="s">
        <v>15614</v>
      </c>
    </row>
    <row r="3412" customFormat="false" ht="15" hidden="false" customHeight="true" outlineLevel="0" collapsed="false">
      <c r="A3412" s="6" t="s">
        <v>19024</v>
      </c>
      <c r="B3412" s="6" t="s">
        <v>2235</v>
      </c>
      <c r="C3412" s="6" t="s">
        <v>124</v>
      </c>
      <c r="D3412" s="6" t="s">
        <v>54</v>
      </c>
      <c r="E3412" s="14" t="n">
        <v>399.38</v>
      </c>
      <c r="F3412" s="14" t="n">
        <v>399.38</v>
      </c>
      <c r="G3412" s="6" t="s">
        <v>15614</v>
      </c>
    </row>
    <row r="3413" customFormat="false" ht="15" hidden="false" customHeight="true" outlineLevel="0" collapsed="false">
      <c r="A3413" s="6" t="s">
        <v>19025</v>
      </c>
      <c r="B3413" s="6" t="s">
        <v>2235</v>
      </c>
      <c r="C3413" s="6" t="s">
        <v>124</v>
      </c>
      <c r="D3413" s="6" t="s">
        <v>55</v>
      </c>
      <c r="E3413" s="14" t="n">
        <v>399.38</v>
      </c>
      <c r="F3413" s="14" t="n">
        <v>798.76</v>
      </c>
      <c r="G3413" s="6" t="s">
        <v>15614</v>
      </c>
    </row>
    <row r="3414" customFormat="false" ht="15" hidden="false" customHeight="true" outlineLevel="0" collapsed="false">
      <c r="A3414" s="6" t="s">
        <v>19026</v>
      </c>
      <c r="B3414" s="6" t="s">
        <v>2235</v>
      </c>
      <c r="C3414" s="6" t="s">
        <v>124</v>
      </c>
      <c r="D3414" s="6" t="s">
        <v>56</v>
      </c>
      <c r="E3414" s="14" t="n">
        <v>399.38</v>
      </c>
      <c r="F3414" s="14" t="n">
        <v>1198.14</v>
      </c>
      <c r="G3414" s="6" t="s">
        <v>15614</v>
      </c>
    </row>
    <row r="3415" customFormat="false" ht="15" hidden="false" customHeight="true" outlineLevel="0" collapsed="false">
      <c r="A3415" s="6" t="s">
        <v>19027</v>
      </c>
      <c r="B3415" s="6" t="s">
        <v>2237</v>
      </c>
      <c r="C3415" s="6" t="s">
        <v>116</v>
      </c>
      <c r="D3415" s="6" t="s">
        <v>41</v>
      </c>
      <c r="E3415" s="14" t="n">
        <v>3706.82</v>
      </c>
      <c r="F3415" s="14" t="n">
        <v>3706.82</v>
      </c>
      <c r="G3415" s="6" t="s">
        <v>15614</v>
      </c>
    </row>
    <row r="3416" customFormat="false" ht="15" hidden="false" customHeight="true" outlineLevel="0" collapsed="false">
      <c r="A3416" s="6" t="s">
        <v>19028</v>
      </c>
      <c r="B3416" s="6" t="s">
        <v>2237</v>
      </c>
      <c r="C3416" s="6" t="s">
        <v>116</v>
      </c>
      <c r="D3416" s="6" t="s">
        <v>42</v>
      </c>
      <c r="E3416" s="14" t="n">
        <v>3706.82</v>
      </c>
      <c r="F3416" s="14" t="n">
        <v>7413.64</v>
      </c>
      <c r="G3416" s="6" t="s">
        <v>15614</v>
      </c>
    </row>
    <row r="3417" customFormat="false" ht="15" hidden="false" customHeight="true" outlineLevel="0" collapsed="false">
      <c r="A3417" s="6" t="s">
        <v>19029</v>
      </c>
      <c r="B3417" s="6" t="s">
        <v>2237</v>
      </c>
      <c r="C3417" s="6" t="s">
        <v>116</v>
      </c>
      <c r="D3417" s="6" t="s">
        <v>43</v>
      </c>
      <c r="E3417" s="14" t="n">
        <v>3706.82</v>
      </c>
      <c r="F3417" s="14" t="n">
        <v>11120.46</v>
      </c>
      <c r="G3417" s="6" t="s">
        <v>15614</v>
      </c>
    </row>
    <row r="3418" customFormat="false" ht="15" hidden="false" customHeight="true" outlineLevel="0" collapsed="false">
      <c r="A3418" s="6" t="s">
        <v>19030</v>
      </c>
      <c r="B3418" s="6" t="s">
        <v>2237</v>
      </c>
      <c r="C3418" s="6" t="s">
        <v>116</v>
      </c>
      <c r="D3418" s="6" t="s">
        <v>44</v>
      </c>
      <c r="E3418" s="14" t="n">
        <v>3706.82</v>
      </c>
      <c r="F3418" s="14" t="n">
        <v>14827.28</v>
      </c>
      <c r="G3418" s="6" t="s">
        <v>15614</v>
      </c>
    </row>
    <row r="3419" customFormat="false" ht="15" hidden="false" customHeight="true" outlineLevel="0" collapsed="false">
      <c r="A3419" s="6" t="s">
        <v>19031</v>
      </c>
      <c r="B3419" s="6" t="s">
        <v>2237</v>
      </c>
      <c r="C3419" s="6" t="s">
        <v>116</v>
      </c>
      <c r="D3419" s="6" t="s">
        <v>45</v>
      </c>
      <c r="E3419" s="14" t="n">
        <v>3706.82</v>
      </c>
      <c r="F3419" s="14" t="n">
        <v>18534.1</v>
      </c>
      <c r="G3419" s="6" t="s">
        <v>15614</v>
      </c>
    </row>
    <row r="3420" customFormat="false" ht="15" hidden="false" customHeight="true" outlineLevel="0" collapsed="false">
      <c r="A3420" s="6" t="s">
        <v>19032</v>
      </c>
      <c r="B3420" s="6" t="s">
        <v>2239</v>
      </c>
      <c r="C3420" s="6" t="s">
        <v>112</v>
      </c>
      <c r="D3420" s="6" t="s">
        <v>39</v>
      </c>
      <c r="E3420" s="14" t="n">
        <v>960.02</v>
      </c>
      <c r="F3420" s="14" t="n">
        <v>960.02</v>
      </c>
      <c r="G3420" s="6" t="s">
        <v>15614</v>
      </c>
    </row>
    <row r="3421" customFormat="false" ht="15" hidden="false" customHeight="true" outlineLevel="0" collapsed="false">
      <c r="A3421" s="6" t="s">
        <v>19033</v>
      </c>
      <c r="B3421" s="6" t="s">
        <v>2239</v>
      </c>
      <c r="C3421" s="6" t="s">
        <v>112</v>
      </c>
      <c r="D3421" s="6" t="s">
        <v>40</v>
      </c>
      <c r="E3421" s="14" t="n">
        <v>960.02</v>
      </c>
      <c r="F3421" s="14" t="n">
        <v>1920.04</v>
      </c>
      <c r="G3421" s="6" t="s">
        <v>15614</v>
      </c>
    </row>
    <row r="3422" customFormat="false" ht="15" hidden="false" customHeight="true" outlineLevel="0" collapsed="false">
      <c r="A3422" s="6" t="s">
        <v>19034</v>
      </c>
      <c r="B3422" s="6" t="s">
        <v>2241</v>
      </c>
      <c r="C3422" s="6" t="s">
        <v>120</v>
      </c>
      <c r="D3422" s="6" t="s">
        <v>43</v>
      </c>
      <c r="E3422" s="14" t="n">
        <v>950.65</v>
      </c>
      <c r="F3422" s="14" t="n">
        <v>950.65</v>
      </c>
      <c r="G3422" s="6" t="s">
        <v>15614</v>
      </c>
    </row>
    <row r="3423" customFormat="false" ht="15" hidden="false" customHeight="true" outlineLevel="0" collapsed="false">
      <c r="A3423" s="6" t="s">
        <v>19035</v>
      </c>
      <c r="B3423" s="6" t="s">
        <v>2241</v>
      </c>
      <c r="C3423" s="6" t="s">
        <v>120</v>
      </c>
      <c r="D3423" s="6" t="s">
        <v>44</v>
      </c>
      <c r="E3423" s="14" t="n">
        <v>950.65</v>
      </c>
      <c r="F3423" s="14" t="n">
        <v>1901.3</v>
      </c>
      <c r="G3423" s="6" t="s">
        <v>15614</v>
      </c>
    </row>
    <row r="3424" customFormat="false" ht="15" hidden="false" customHeight="true" outlineLevel="0" collapsed="false">
      <c r="A3424" s="6" t="s">
        <v>19036</v>
      </c>
      <c r="B3424" s="6" t="s">
        <v>2243</v>
      </c>
      <c r="C3424" s="6" t="s">
        <v>131</v>
      </c>
      <c r="D3424" s="6" t="s">
        <v>58</v>
      </c>
      <c r="E3424" s="14" t="n">
        <v>2380.66</v>
      </c>
      <c r="F3424" s="14" t="n">
        <v>2380.66</v>
      </c>
      <c r="G3424" s="6" t="s">
        <v>15614</v>
      </c>
    </row>
    <row r="3425" customFormat="false" ht="15" hidden="false" customHeight="true" outlineLevel="0" collapsed="false">
      <c r="A3425" s="6" t="s">
        <v>19037</v>
      </c>
      <c r="B3425" s="6" t="s">
        <v>2243</v>
      </c>
      <c r="C3425" s="6" t="s">
        <v>131</v>
      </c>
      <c r="D3425" s="6" t="s">
        <v>59</v>
      </c>
      <c r="E3425" s="14" t="n">
        <v>2380.66</v>
      </c>
      <c r="F3425" s="14" t="n">
        <v>4761.32</v>
      </c>
      <c r="G3425" s="6" t="s">
        <v>15614</v>
      </c>
    </row>
    <row r="3426" customFormat="false" ht="15" hidden="false" customHeight="true" outlineLevel="0" collapsed="false">
      <c r="A3426" s="6" t="s">
        <v>19038</v>
      </c>
      <c r="B3426" s="6" t="s">
        <v>2243</v>
      </c>
      <c r="C3426" s="6" t="s">
        <v>131</v>
      </c>
      <c r="D3426" s="6" t="s">
        <v>60</v>
      </c>
      <c r="E3426" s="14" t="n">
        <v>2380.66</v>
      </c>
      <c r="F3426" s="14" t="n">
        <v>7141.98</v>
      </c>
      <c r="G3426" s="6" t="s">
        <v>15614</v>
      </c>
    </row>
    <row r="3427" customFormat="false" ht="15" hidden="false" customHeight="true" outlineLevel="0" collapsed="false">
      <c r="A3427" s="6" t="s">
        <v>19039</v>
      </c>
      <c r="B3427" s="6" t="s">
        <v>2243</v>
      </c>
      <c r="C3427" s="6" t="s">
        <v>131</v>
      </c>
      <c r="D3427" s="6" t="s">
        <v>61</v>
      </c>
      <c r="E3427" s="14" t="n">
        <v>2380.66</v>
      </c>
      <c r="F3427" s="14" t="n">
        <v>9522.64</v>
      </c>
      <c r="G3427" s="6" t="s">
        <v>15614</v>
      </c>
    </row>
    <row r="3428" customFormat="false" ht="15" hidden="false" customHeight="true" outlineLevel="0" collapsed="false">
      <c r="A3428" s="6" t="s">
        <v>19040</v>
      </c>
      <c r="B3428" s="6" t="s">
        <v>2243</v>
      </c>
      <c r="C3428" s="6" t="s">
        <v>131</v>
      </c>
      <c r="D3428" s="6" t="s">
        <v>62</v>
      </c>
      <c r="E3428" s="14" t="n">
        <v>2380.66</v>
      </c>
      <c r="F3428" s="14" t="n">
        <v>11903.3</v>
      </c>
      <c r="G3428" s="6" t="s">
        <v>15614</v>
      </c>
    </row>
    <row r="3429" customFormat="false" ht="15" hidden="false" customHeight="true" outlineLevel="0" collapsed="false">
      <c r="A3429" s="6" t="s">
        <v>19041</v>
      </c>
      <c r="B3429" s="6" t="s">
        <v>2243</v>
      </c>
      <c r="C3429" s="6" t="s">
        <v>131</v>
      </c>
      <c r="D3429" s="6" t="s">
        <v>63</v>
      </c>
      <c r="E3429" s="14" t="n">
        <v>2380.66</v>
      </c>
      <c r="F3429" s="14" t="n">
        <v>14283.96</v>
      </c>
      <c r="G3429" s="6" t="s">
        <v>15614</v>
      </c>
    </row>
    <row r="3430" customFormat="false" ht="15" hidden="false" customHeight="true" outlineLevel="0" collapsed="false">
      <c r="A3430" s="6" t="s">
        <v>19042</v>
      </c>
      <c r="B3430" s="6" t="s">
        <v>2245</v>
      </c>
      <c r="C3430" s="6" t="s">
        <v>131</v>
      </c>
      <c r="D3430" s="6" t="s">
        <v>14</v>
      </c>
      <c r="E3430" s="14" t="n">
        <v>1730.04</v>
      </c>
      <c r="F3430" s="14" t="n">
        <v>1730.04</v>
      </c>
      <c r="G3430" s="6" t="s">
        <v>15614</v>
      </c>
    </row>
    <row r="3431" customFormat="false" ht="15" hidden="false" customHeight="true" outlineLevel="0" collapsed="false">
      <c r="A3431" s="6" t="s">
        <v>19043</v>
      </c>
      <c r="B3431" s="6" t="s">
        <v>2245</v>
      </c>
      <c r="C3431" s="6" t="s">
        <v>131</v>
      </c>
      <c r="D3431" s="6" t="s">
        <v>15</v>
      </c>
      <c r="E3431" s="14" t="n">
        <v>1730.04</v>
      </c>
      <c r="F3431" s="14" t="n">
        <v>3460.08</v>
      </c>
      <c r="G3431" s="6" t="s">
        <v>15614</v>
      </c>
    </row>
    <row r="3432" customFormat="false" ht="15" hidden="false" customHeight="true" outlineLevel="0" collapsed="false">
      <c r="A3432" s="6" t="s">
        <v>19044</v>
      </c>
      <c r="B3432" s="6" t="s">
        <v>2247</v>
      </c>
      <c r="C3432" s="6" t="s">
        <v>131</v>
      </c>
      <c r="D3432" s="6" t="s">
        <v>43</v>
      </c>
      <c r="E3432" s="14" t="n">
        <v>596.73</v>
      </c>
      <c r="F3432" s="14" t="n">
        <v>596.73</v>
      </c>
      <c r="G3432" s="6" t="s">
        <v>15614</v>
      </c>
    </row>
    <row r="3433" customFormat="false" ht="15" hidden="false" customHeight="true" outlineLevel="0" collapsed="false">
      <c r="A3433" s="6" t="s">
        <v>19045</v>
      </c>
      <c r="B3433" s="6" t="s">
        <v>2247</v>
      </c>
      <c r="C3433" s="6" t="s">
        <v>131</v>
      </c>
      <c r="D3433" s="6" t="s">
        <v>44</v>
      </c>
      <c r="E3433" s="14" t="n">
        <v>596.73</v>
      </c>
      <c r="F3433" s="14" t="n">
        <v>1193.46</v>
      </c>
      <c r="G3433" s="6" t="s">
        <v>15614</v>
      </c>
    </row>
    <row r="3434" customFormat="false" ht="15" hidden="false" customHeight="true" outlineLevel="0" collapsed="false">
      <c r="A3434" s="6" t="s">
        <v>19046</v>
      </c>
      <c r="B3434" s="6" t="s">
        <v>2247</v>
      </c>
      <c r="C3434" s="6" t="s">
        <v>131</v>
      </c>
      <c r="D3434" s="6" t="s">
        <v>45</v>
      </c>
      <c r="E3434" s="14" t="n">
        <v>596.73</v>
      </c>
      <c r="F3434" s="14" t="n">
        <v>1790.19</v>
      </c>
      <c r="G3434" s="6" t="s">
        <v>15614</v>
      </c>
    </row>
    <row r="3435" customFormat="false" ht="15" hidden="false" customHeight="true" outlineLevel="0" collapsed="false">
      <c r="A3435" s="6" t="s">
        <v>19047</v>
      </c>
      <c r="B3435" s="6" t="s">
        <v>2249</v>
      </c>
      <c r="C3435" s="6" t="s">
        <v>131</v>
      </c>
      <c r="D3435" s="6" t="s">
        <v>56</v>
      </c>
      <c r="E3435" s="14" t="n">
        <v>7322.29</v>
      </c>
      <c r="F3435" s="14" t="n">
        <v>7322.29</v>
      </c>
      <c r="G3435" s="6" t="s">
        <v>15614</v>
      </c>
    </row>
    <row r="3436" customFormat="false" ht="15" hidden="false" customHeight="true" outlineLevel="0" collapsed="false">
      <c r="A3436" s="6" t="s">
        <v>19048</v>
      </c>
      <c r="B3436" s="6" t="s">
        <v>2249</v>
      </c>
      <c r="C3436" s="6" t="s">
        <v>131</v>
      </c>
      <c r="D3436" s="6" t="s">
        <v>57</v>
      </c>
      <c r="E3436" s="14" t="n">
        <v>7322.29</v>
      </c>
      <c r="F3436" s="14" t="n">
        <v>14644.58</v>
      </c>
      <c r="G3436" s="6" t="s">
        <v>15614</v>
      </c>
    </row>
    <row r="3437" customFormat="false" ht="15" hidden="false" customHeight="true" outlineLevel="0" collapsed="false">
      <c r="A3437" s="6" t="s">
        <v>19049</v>
      </c>
      <c r="B3437" s="6" t="s">
        <v>2249</v>
      </c>
      <c r="C3437" s="6" t="s">
        <v>131</v>
      </c>
      <c r="D3437" s="6" t="s">
        <v>58</v>
      </c>
      <c r="E3437" s="14" t="n">
        <v>7322.29</v>
      </c>
      <c r="F3437" s="14" t="n">
        <v>21966.87</v>
      </c>
      <c r="G3437" s="6" t="s">
        <v>15614</v>
      </c>
    </row>
    <row r="3438" customFormat="false" ht="15" hidden="false" customHeight="true" outlineLevel="0" collapsed="false">
      <c r="A3438" s="6" t="s">
        <v>19050</v>
      </c>
      <c r="B3438" s="6" t="s">
        <v>2251</v>
      </c>
      <c r="C3438" s="6" t="s">
        <v>124</v>
      </c>
      <c r="D3438" s="6" t="s">
        <v>25</v>
      </c>
      <c r="E3438" s="14" t="n">
        <v>2075.43</v>
      </c>
      <c r="F3438" s="14" t="n">
        <v>2075.43</v>
      </c>
      <c r="G3438" s="6" t="s">
        <v>15614</v>
      </c>
    </row>
    <row r="3439" customFormat="false" ht="15" hidden="false" customHeight="true" outlineLevel="0" collapsed="false">
      <c r="A3439" s="6" t="s">
        <v>19051</v>
      </c>
      <c r="B3439" s="6" t="s">
        <v>2251</v>
      </c>
      <c r="C3439" s="6" t="s">
        <v>124</v>
      </c>
      <c r="D3439" s="6" t="s">
        <v>25</v>
      </c>
      <c r="E3439" s="14" t="n">
        <v>2075.43</v>
      </c>
      <c r="F3439" s="14" t="n">
        <v>4150.86</v>
      </c>
      <c r="G3439" s="6" t="s">
        <v>15614</v>
      </c>
    </row>
    <row r="3440" customFormat="false" ht="15" hidden="false" customHeight="true" outlineLevel="0" collapsed="false">
      <c r="A3440" s="6" t="s">
        <v>19052</v>
      </c>
      <c r="B3440" s="6" t="s">
        <v>2251</v>
      </c>
      <c r="C3440" s="6" t="s">
        <v>124</v>
      </c>
      <c r="D3440" s="6" t="s">
        <v>26</v>
      </c>
      <c r="E3440" s="14" t="n">
        <v>2075.43</v>
      </c>
      <c r="F3440" s="14" t="n">
        <v>6226.29</v>
      </c>
      <c r="G3440" s="6" t="s">
        <v>15614</v>
      </c>
    </row>
    <row r="3441" customFormat="false" ht="15" hidden="false" customHeight="true" outlineLevel="0" collapsed="false">
      <c r="A3441" s="6" t="s">
        <v>19053</v>
      </c>
      <c r="B3441" s="6" t="s">
        <v>2253</v>
      </c>
      <c r="C3441" s="6" t="s">
        <v>128</v>
      </c>
      <c r="D3441" s="6" t="s">
        <v>34</v>
      </c>
      <c r="E3441" s="14" t="n">
        <v>1738.18</v>
      </c>
      <c r="F3441" s="14" t="n">
        <v>1738.18</v>
      </c>
      <c r="G3441" s="6" t="s">
        <v>15614</v>
      </c>
    </row>
    <row r="3442" customFormat="false" ht="15" hidden="false" customHeight="true" outlineLevel="0" collapsed="false">
      <c r="A3442" s="6" t="s">
        <v>19054</v>
      </c>
      <c r="B3442" s="6" t="s">
        <v>2253</v>
      </c>
      <c r="C3442" s="6" t="s">
        <v>128</v>
      </c>
      <c r="D3442" s="6" t="s">
        <v>35</v>
      </c>
      <c r="E3442" s="14" t="n">
        <v>1738.18</v>
      </c>
      <c r="F3442" s="14" t="n">
        <v>3476.36</v>
      </c>
      <c r="G3442" s="6" t="s">
        <v>15614</v>
      </c>
    </row>
    <row r="3443" customFormat="false" ht="15" hidden="false" customHeight="true" outlineLevel="0" collapsed="false">
      <c r="A3443" s="6" t="s">
        <v>19055</v>
      </c>
      <c r="B3443" s="6" t="s">
        <v>2253</v>
      </c>
      <c r="C3443" s="6" t="s">
        <v>128</v>
      </c>
      <c r="D3443" s="6" t="s">
        <v>36</v>
      </c>
      <c r="E3443" s="14" t="n">
        <v>1738.18</v>
      </c>
      <c r="F3443" s="14" t="n">
        <v>5214.54</v>
      </c>
      <c r="G3443" s="6" t="s">
        <v>15614</v>
      </c>
    </row>
    <row r="3444" customFormat="false" ht="15" hidden="false" customHeight="true" outlineLevel="0" collapsed="false">
      <c r="A3444" s="6" t="s">
        <v>19056</v>
      </c>
      <c r="B3444" s="6" t="s">
        <v>2253</v>
      </c>
      <c r="C3444" s="6" t="s">
        <v>128</v>
      </c>
      <c r="D3444" s="6" t="s">
        <v>37</v>
      </c>
      <c r="E3444" s="14" t="n">
        <v>1738.18</v>
      </c>
      <c r="F3444" s="14" t="n">
        <v>6952.72</v>
      </c>
      <c r="G3444" s="6" t="s">
        <v>15614</v>
      </c>
    </row>
    <row r="3445" customFormat="false" ht="15" hidden="false" customHeight="true" outlineLevel="0" collapsed="false">
      <c r="A3445" s="6" t="s">
        <v>19057</v>
      </c>
      <c r="B3445" s="6" t="s">
        <v>2255</v>
      </c>
      <c r="C3445" s="6" t="s">
        <v>124</v>
      </c>
      <c r="D3445" s="6" t="s">
        <v>41</v>
      </c>
      <c r="E3445" s="14" t="n">
        <v>3293.94</v>
      </c>
      <c r="F3445" s="14" t="n">
        <v>3293.94</v>
      </c>
      <c r="G3445" s="6" t="s">
        <v>15614</v>
      </c>
    </row>
    <row r="3446" customFormat="false" ht="15" hidden="false" customHeight="true" outlineLevel="0" collapsed="false">
      <c r="A3446" s="6" t="s">
        <v>19058</v>
      </c>
      <c r="B3446" s="6" t="s">
        <v>2255</v>
      </c>
      <c r="C3446" s="6" t="s">
        <v>124</v>
      </c>
      <c r="D3446" s="6" t="s">
        <v>42</v>
      </c>
      <c r="E3446" s="14" t="n">
        <v>3293.94</v>
      </c>
      <c r="F3446" s="14" t="n">
        <v>6587.88</v>
      </c>
      <c r="G3446" s="6" t="s">
        <v>15614</v>
      </c>
    </row>
    <row r="3447" customFormat="false" ht="15" hidden="false" customHeight="true" outlineLevel="0" collapsed="false">
      <c r="A3447" s="6" t="s">
        <v>19059</v>
      </c>
      <c r="B3447" s="6" t="s">
        <v>2255</v>
      </c>
      <c r="C3447" s="6" t="s">
        <v>124</v>
      </c>
      <c r="D3447" s="6" t="s">
        <v>43</v>
      </c>
      <c r="E3447" s="14" t="n">
        <v>3293.94</v>
      </c>
      <c r="F3447" s="14" t="n">
        <v>9881.82</v>
      </c>
      <c r="G3447" s="6" t="s">
        <v>15614</v>
      </c>
    </row>
    <row r="3448" customFormat="false" ht="15" hidden="false" customHeight="true" outlineLevel="0" collapsed="false">
      <c r="A3448" s="6" t="s">
        <v>19060</v>
      </c>
      <c r="B3448" s="6" t="s">
        <v>2257</v>
      </c>
      <c r="C3448" s="6" t="s">
        <v>116</v>
      </c>
      <c r="D3448" s="6" t="s">
        <v>16</v>
      </c>
      <c r="E3448" s="14" t="n">
        <v>1789.92</v>
      </c>
      <c r="F3448" s="14" t="n">
        <v>1789.92</v>
      </c>
      <c r="G3448" s="6" t="s">
        <v>15614</v>
      </c>
    </row>
    <row r="3449" customFormat="false" ht="15" hidden="false" customHeight="true" outlineLevel="0" collapsed="false">
      <c r="A3449" s="6" t="s">
        <v>19061</v>
      </c>
      <c r="B3449" s="6" t="s">
        <v>2257</v>
      </c>
      <c r="C3449" s="6" t="s">
        <v>116</v>
      </c>
      <c r="D3449" s="6" t="s">
        <v>17</v>
      </c>
      <c r="E3449" s="14" t="n">
        <v>1789.92</v>
      </c>
      <c r="F3449" s="14" t="n">
        <v>3579.84</v>
      </c>
      <c r="G3449" s="6" t="s">
        <v>15614</v>
      </c>
    </row>
    <row r="3450" customFormat="false" ht="15" hidden="false" customHeight="true" outlineLevel="0" collapsed="false">
      <c r="A3450" s="6" t="s">
        <v>19062</v>
      </c>
      <c r="B3450" s="6" t="s">
        <v>2259</v>
      </c>
      <c r="C3450" s="6" t="s">
        <v>131</v>
      </c>
      <c r="D3450" s="6" t="s">
        <v>53</v>
      </c>
      <c r="E3450" s="14" t="n">
        <v>2211.55</v>
      </c>
      <c r="F3450" s="14" t="n">
        <v>2211.55</v>
      </c>
      <c r="G3450" s="6" t="s">
        <v>15614</v>
      </c>
    </row>
    <row r="3451" customFormat="false" ht="15" hidden="false" customHeight="true" outlineLevel="0" collapsed="false">
      <c r="A3451" s="6" t="s">
        <v>19063</v>
      </c>
      <c r="B3451" s="6" t="s">
        <v>2259</v>
      </c>
      <c r="C3451" s="6" t="s">
        <v>131</v>
      </c>
      <c r="D3451" s="6" t="s">
        <v>54</v>
      </c>
      <c r="E3451" s="14" t="n">
        <v>2211.55</v>
      </c>
      <c r="F3451" s="14" t="n">
        <v>4423.1</v>
      </c>
      <c r="G3451" s="6" t="s">
        <v>15614</v>
      </c>
    </row>
    <row r="3452" customFormat="false" ht="15" hidden="false" customHeight="true" outlineLevel="0" collapsed="false">
      <c r="A3452" s="6" t="s">
        <v>19064</v>
      </c>
      <c r="B3452" s="6" t="s">
        <v>2261</v>
      </c>
      <c r="C3452" s="6" t="s">
        <v>112</v>
      </c>
      <c r="D3452" s="6" t="s">
        <v>26</v>
      </c>
      <c r="E3452" s="14" t="n">
        <v>3370.11</v>
      </c>
      <c r="F3452" s="14" t="n">
        <v>3370.11</v>
      </c>
      <c r="G3452" s="6" t="s">
        <v>15614</v>
      </c>
    </row>
    <row r="3453" customFormat="false" ht="15" hidden="false" customHeight="true" outlineLevel="0" collapsed="false">
      <c r="A3453" s="6" t="s">
        <v>19065</v>
      </c>
      <c r="B3453" s="6" t="s">
        <v>2261</v>
      </c>
      <c r="C3453" s="6" t="s">
        <v>112</v>
      </c>
      <c r="D3453" s="6" t="s">
        <v>27</v>
      </c>
      <c r="E3453" s="14" t="n">
        <v>3370.11</v>
      </c>
      <c r="F3453" s="14" t="n">
        <v>6740.22</v>
      </c>
      <c r="G3453" s="6" t="s">
        <v>15614</v>
      </c>
    </row>
    <row r="3454" customFormat="false" ht="15" hidden="false" customHeight="true" outlineLevel="0" collapsed="false">
      <c r="A3454" s="6" t="s">
        <v>19066</v>
      </c>
      <c r="B3454" s="6" t="s">
        <v>2261</v>
      </c>
      <c r="C3454" s="6" t="s">
        <v>112</v>
      </c>
      <c r="D3454" s="6" t="s">
        <v>28</v>
      </c>
      <c r="E3454" s="14" t="n">
        <v>3370.11</v>
      </c>
      <c r="F3454" s="14" t="n">
        <v>10110.33</v>
      </c>
      <c r="G3454" s="6" t="s">
        <v>15614</v>
      </c>
    </row>
    <row r="3455" customFormat="false" ht="15" hidden="false" customHeight="true" outlineLevel="0" collapsed="false">
      <c r="A3455" s="6" t="s">
        <v>19067</v>
      </c>
      <c r="B3455" s="6" t="s">
        <v>2261</v>
      </c>
      <c r="C3455" s="6" t="s">
        <v>112</v>
      </c>
      <c r="D3455" s="6" t="s">
        <v>29</v>
      </c>
      <c r="E3455" s="14" t="n">
        <v>3370.11</v>
      </c>
      <c r="F3455" s="14" t="n">
        <v>13480.44</v>
      </c>
      <c r="G3455" s="6" t="s">
        <v>15614</v>
      </c>
    </row>
    <row r="3456" customFormat="false" ht="15" hidden="false" customHeight="true" outlineLevel="0" collapsed="false">
      <c r="A3456" s="6" t="s">
        <v>19068</v>
      </c>
      <c r="B3456" s="6" t="s">
        <v>2261</v>
      </c>
      <c r="C3456" s="6" t="s">
        <v>112</v>
      </c>
      <c r="D3456" s="6" t="s">
        <v>30</v>
      </c>
      <c r="E3456" s="14" t="n">
        <v>3370.11</v>
      </c>
      <c r="F3456" s="14" t="n">
        <v>16850.55</v>
      </c>
      <c r="G3456" s="6" t="s">
        <v>15614</v>
      </c>
    </row>
    <row r="3457" customFormat="false" ht="15" hidden="false" customHeight="true" outlineLevel="0" collapsed="false">
      <c r="A3457" s="6" t="s">
        <v>19069</v>
      </c>
      <c r="B3457" s="6" t="s">
        <v>2261</v>
      </c>
      <c r="C3457" s="6" t="s">
        <v>112</v>
      </c>
      <c r="D3457" s="6" t="s">
        <v>31</v>
      </c>
      <c r="E3457" s="14" t="n">
        <v>3370.11</v>
      </c>
      <c r="F3457" s="14" t="n">
        <v>20220.66</v>
      </c>
      <c r="G3457" s="6" t="s">
        <v>15614</v>
      </c>
    </row>
    <row r="3458" customFormat="false" ht="15" hidden="false" customHeight="true" outlineLevel="0" collapsed="false">
      <c r="A3458" s="6" t="s">
        <v>19070</v>
      </c>
      <c r="B3458" s="6" t="s">
        <v>2261</v>
      </c>
      <c r="C3458" s="6" t="s">
        <v>112</v>
      </c>
      <c r="D3458" s="6" t="s">
        <v>32</v>
      </c>
      <c r="E3458" s="14" t="n">
        <v>3370.11</v>
      </c>
      <c r="F3458" s="14" t="n">
        <v>23590.77</v>
      </c>
      <c r="G3458" s="6" t="s">
        <v>15614</v>
      </c>
    </row>
    <row r="3459" customFormat="false" ht="15" hidden="false" customHeight="true" outlineLevel="0" collapsed="false">
      <c r="A3459" s="6" t="s">
        <v>19071</v>
      </c>
      <c r="B3459" s="6" t="s">
        <v>2261</v>
      </c>
      <c r="C3459" s="6" t="s">
        <v>112</v>
      </c>
      <c r="D3459" s="6" t="s">
        <v>33</v>
      </c>
      <c r="E3459" s="14" t="n">
        <v>3370.11</v>
      </c>
      <c r="F3459" s="14" t="n">
        <v>26960.88</v>
      </c>
      <c r="G3459" s="6" t="s">
        <v>15614</v>
      </c>
    </row>
    <row r="3460" customFormat="false" ht="15" hidden="false" customHeight="true" outlineLevel="0" collapsed="false">
      <c r="A3460" s="6" t="s">
        <v>19072</v>
      </c>
      <c r="B3460" s="6" t="s">
        <v>2263</v>
      </c>
      <c r="C3460" s="6" t="s">
        <v>120</v>
      </c>
      <c r="D3460" s="6" t="s">
        <v>20</v>
      </c>
      <c r="E3460" s="14" t="n">
        <v>2272.86</v>
      </c>
      <c r="F3460" s="14" t="n">
        <v>2272.86</v>
      </c>
      <c r="G3460" s="6" t="s">
        <v>15614</v>
      </c>
    </row>
    <row r="3461" customFormat="false" ht="15" hidden="false" customHeight="true" outlineLevel="0" collapsed="false">
      <c r="A3461" s="6" t="s">
        <v>19073</v>
      </c>
      <c r="B3461" s="6" t="s">
        <v>2263</v>
      </c>
      <c r="C3461" s="6" t="s">
        <v>120</v>
      </c>
      <c r="D3461" s="6" t="s">
        <v>21</v>
      </c>
      <c r="E3461" s="14" t="n">
        <v>2272.86</v>
      </c>
      <c r="F3461" s="14" t="n">
        <v>4545.72</v>
      </c>
      <c r="G3461" s="6" t="s">
        <v>15614</v>
      </c>
    </row>
    <row r="3462" customFormat="false" ht="15" hidden="false" customHeight="true" outlineLevel="0" collapsed="false">
      <c r="A3462" s="6" t="s">
        <v>19074</v>
      </c>
      <c r="B3462" s="6" t="s">
        <v>2265</v>
      </c>
      <c r="C3462" s="6" t="s">
        <v>116</v>
      </c>
      <c r="D3462" s="6" t="s">
        <v>47</v>
      </c>
      <c r="E3462" s="14" t="n">
        <v>5303.95</v>
      </c>
      <c r="F3462" s="14" t="n">
        <v>5303.95</v>
      </c>
      <c r="G3462" s="6" t="s">
        <v>15614</v>
      </c>
    </row>
    <row r="3463" customFormat="false" ht="15" hidden="false" customHeight="true" outlineLevel="0" collapsed="false">
      <c r="A3463" s="6" t="s">
        <v>19075</v>
      </c>
      <c r="B3463" s="6" t="s">
        <v>2265</v>
      </c>
      <c r="C3463" s="6" t="s">
        <v>116</v>
      </c>
      <c r="D3463" s="6" t="s">
        <v>48</v>
      </c>
      <c r="E3463" s="14" t="n">
        <v>5303.95</v>
      </c>
      <c r="F3463" s="14" t="n">
        <v>10607.9</v>
      </c>
      <c r="G3463" s="6" t="s">
        <v>15614</v>
      </c>
    </row>
    <row r="3464" customFormat="false" ht="15" hidden="false" customHeight="true" outlineLevel="0" collapsed="false">
      <c r="A3464" s="6" t="s">
        <v>19076</v>
      </c>
      <c r="B3464" s="6" t="s">
        <v>2265</v>
      </c>
      <c r="C3464" s="6" t="s">
        <v>116</v>
      </c>
      <c r="D3464" s="6" t="s">
        <v>49</v>
      </c>
      <c r="E3464" s="14" t="n">
        <v>5303.95</v>
      </c>
      <c r="F3464" s="14" t="n">
        <v>15911.85</v>
      </c>
      <c r="G3464" s="6" t="s">
        <v>15614</v>
      </c>
    </row>
    <row r="3465" customFormat="false" ht="15" hidden="false" customHeight="true" outlineLevel="0" collapsed="false">
      <c r="A3465" s="6" t="s">
        <v>19077</v>
      </c>
      <c r="B3465" s="6" t="s">
        <v>2267</v>
      </c>
      <c r="C3465" s="6" t="s">
        <v>131</v>
      </c>
      <c r="D3465" s="6" t="s">
        <v>38</v>
      </c>
      <c r="E3465" s="14" t="n">
        <v>1835.78</v>
      </c>
      <c r="F3465" s="14" t="n">
        <v>1835.78</v>
      </c>
      <c r="G3465" s="6" t="s">
        <v>15614</v>
      </c>
    </row>
    <row r="3466" customFormat="false" ht="15" hidden="false" customHeight="true" outlineLevel="0" collapsed="false">
      <c r="A3466" s="6" t="s">
        <v>19078</v>
      </c>
      <c r="B3466" s="6" t="s">
        <v>2267</v>
      </c>
      <c r="C3466" s="6" t="s">
        <v>131</v>
      </c>
      <c r="D3466" s="6" t="s">
        <v>39</v>
      </c>
      <c r="E3466" s="14" t="n">
        <v>1835.78</v>
      </c>
      <c r="F3466" s="14" t="n">
        <v>3671.56</v>
      </c>
      <c r="G3466" s="6" t="s">
        <v>15614</v>
      </c>
    </row>
    <row r="3467" customFormat="false" ht="15" hidden="false" customHeight="true" outlineLevel="0" collapsed="false">
      <c r="A3467" s="6" t="s">
        <v>19079</v>
      </c>
      <c r="B3467" s="6" t="s">
        <v>2267</v>
      </c>
      <c r="C3467" s="6" t="s">
        <v>131</v>
      </c>
      <c r="D3467" s="6" t="s">
        <v>40</v>
      </c>
      <c r="E3467" s="14" t="n">
        <v>1835.78</v>
      </c>
      <c r="F3467" s="14" t="n">
        <v>5507.34</v>
      </c>
      <c r="G3467" s="6" t="s">
        <v>15614</v>
      </c>
    </row>
    <row r="3468" customFormat="false" ht="15" hidden="false" customHeight="true" outlineLevel="0" collapsed="false">
      <c r="A3468" s="6" t="s">
        <v>19080</v>
      </c>
      <c r="B3468" s="6" t="s">
        <v>2269</v>
      </c>
      <c r="C3468" s="6" t="s">
        <v>112</v>
      </c>
      <c r="D3468" s="6" t="s">
        <v>54</v>
      </c>
      <c r="E3468" s="14" t="n">
        <v>886.77</v>
      </c>
      <c r="F3468" s="14" t="n">
        <v>886.77</v>
      </c>
      <c r="G3468" s="6" t="s">
        <v>15614</v>
      </c>
    </row>
    <row r="3469" customFormat="false" ht="15" hidden="false" customHeight="true" outlineLevel="0" collapsed="false">
      <c r="A3469" s="6" t="s">
        <v>19081</v>
      </c>
      <c r="B3469" s="6" t="s">
        <v>2269</v>
      </c>
      <c r="C3469" s="6" t="s">
        <v>112</v>
      </c>
      <c r="D3469" s="6" t="s">
        <v>55</v>
      </c>
      <c r="E3469" s="14" t="n">
        <v>886.77</v>
      </c>
      <c r="F3469" s="14" t="n">
        <v>1773.54</v>
      </c>
      <c r="G3469" s="6" t="s">
        <v>15614</v>
      </c>
    </row>
    <row r="3470" customFormat="false" ht="15" hidden="false" customHeight="true" outlineLevel="0" collapsed="false">
      <c r="A3470" s="6" t="s">
        <v>19082</v>
      </c>
      <c r="B3470" s="6" t="s">
        <v>2269</v>
      </c>
      <c r="C3470" s="6" t="s">
        <v>112</v>
      </c>
      <c r="D3470" s="6" t="s">
        <v>56</v>
      </c>
      <c r="E3470" s="14" t="n">
        <v>886.77</v>
      </c>
      <c r="F3470" s="14" t="n">
        <v>2660.31</v>
      </c>
      <c r="G3470" s="6" t="s">
        <v>15614</v>
      </c>
    </row>
    <row r="3471" customFormat="false" ht="15" hidden="false" customHeight="true" outlineLevel="0" collapsed="false">
      <c r="A3471" s="6" t="s">
        <v>19083</v>
      </c>
      <c r="B3471" s="6" t="s">
        <v>2269</v>
      </c>
      <c r="C3471" s="6" t="s">
        <v>112</v>
      </c>
      <c r="D3471" s="6" t="s">
        <v>57</v>
      </c>
      <c r="E3471" s="14" t="n">
        <v>886.77</v>
      </c>
      <c r="F3471" s="14" t="n">
        <v>3547.08</v>
      </c>
      <c r="G3471" s="6" t="s">
        <v>15614</v>
      </c>
    </row>
    <row r="3472" customFormat="false" ht="15" hidden="false" customHeight="true" outlineLevel="0" collapsed="false">
      <c r="A3472" s="6" t="s">
        <v>19084</v>
      </c>
      <c r="B3472" s="6" t="s">
        <v>2269</v>
      </c>
      <c r="C3472" s="6" t="s">
        <v>112</v>
      </c>
      <c r="D3472" s="6" t="s">
        <v>58</v>
      </c>
      <c r="E3472" s="14" t="n">
        <v>886.77</v>
      </c>
      <c r="F3472" s="14" t="n">
        <v>4433.85</v>
      </c>
      <c r="G3472" s="6" t="s">
        <v>15614</v>
      </c>
    </row>
    <row r="3473" customFormat="false" ht="15" hidden="false" customHeight="true" outlineLevel="0" collapsed="false">
      <c r="A3473" s="6" t="s">
        <v>19085</v>
      </c>
      <c r="B3473" s="6" t="s">
        <v>2271</v>
      </c>
      <c r="C3473" s="6" t="s">
        <v>128</v>
      </c>
      <c r="D3473" s="6" t="s">
        <v>59</v>
      </c>
      <c r="E3473" s="14" t="n">
        <v>6834.66</v>
      </c>
      <c r="F3473" s="14" t="n">
        <v>6834.66</v>
      </c>
      <c r="G3473" s="6" t="s">
        <v>15614</v>
      </c>
    </row>
    <row r="3474" customFormat="false" ht="15" hidden="false" customHeight="true" outlineLevel="0" collapsed="false">
      <c r="A3474" s="6" t="s">
        <v>19086</v>
      </c>
      <c r="B3474" s="6" t="s">
        <v>2271</v>
      </c>
      <c r="C3474" s="6" t="s">
        <v>128</v>
      </c>
      <c r="D3474" s="6" t="s">
        <v>60</v>
      </c>
      <c r="E3474" s="14" t="n">
        <v>6834.66</v>
      </c>
      <c r="F3474" s="14" t="n">
        <v>13669.32</v>
      </c>
      <c r="G3474" s="6" t="s">
        <v>15614</v>
      </c>
    </row>
    <row r="3475" customFormat="false" ht="15" hidden="false" customHeight="true" outlineLevel="0" collapsed="false">
      <c r="A3475" s="6" t="s">
        <v>19087</v>
      </c>
      <c r="B3475" s="6" t="s">
        <v>2271</v>
      </c>
      <c r="C3475" s="6" t="s">
        <v>128</v>
      </c>
      <c r="D3475" s="6" t="s">
        <v>61</v>
      </c>
      <c r="E3475" s="14" t="n">
        <v>6834.66</v>
      </c>
      <c r="F3475" s="14" t="n">
        <v>20503.98</v>
      </c>
      <c r="G3475" s="6" t="s">
        <v>15614</v>
      </c>
    </row>
    <row r="3476" customFormat="false" ht="15" hidden="false" customHeight="true" outlineLevel="0" collapsed="false">
      <c r="A3476" s="6" t="s">
        <v>19088</v>
      </c>
      <c r="B3476" s="6" t="s">
        <v>2273</v>
      </c>
      <c r="C3476" s="6" t="s">
        <v>120</v>
      </c>
      <c r="D3476" s="6" t="s">
        <v>13</v>
      </c>
      <c r="E3476" s="14" t="n">
        <v>219.62</v>
      </c>
      <c r="F3476" s="14" t="n">
        <v>219.62</v>
      </c>
      <c r="G3476" s="6" t="s">
        <v>15614</v>
      </c>
    </row>
    <row r="3477" customFormat="false" ht="15" hidden="false" customHeight="true" outlineLevel="0" collapsed="false">
      <c r="A3477" s="6" t="s">
        <v>19089</v>
      </c>
      <c r="B3477" s="6" t="s">
        <v>2273</v>
      </c>
      <c r="C3477" s="6" t="s">
        <v>120</v>
      </c>
      <c r="D3477" s="6" t="s">
        <v>14</v>
      </c>
      <c r="E3477" s="14" t="n">
        <v>219.62</v>
      </c>
      <c r="F3477" s="14" t="n">
        <v>439.24</v>
      </c>
      <c r="G3477" s="6" t="s">
        <v>15614</v>
      </c>
    </row>
    <row r="3478" customFormat="false" ht="15" hidden="false" customHeight="true" outlineLevel="0" collapsed="false">
      <c r="A3478" s="6" t="s">
        <v>19090</v>
      </c>
      <c r="B3478" s="6" t="s">
        <v>2273</v>
      </c>
      <c r="C3478" s="6" t="s">
        <v>120</v>
      </c>
      <c r="D3478" s="6" t="s">
        <v>15</v>
      </c>
      <c r="E3478" s="14" t="n">
        <v>219.62</v>
      </c>
      <c r="F3478" s="14" t="n">
        <v>658.86</v>
      </c>
      <c r="G3478" s="6" t="s">
        <v>15614</v>
      </c>
    </row>
    <row r="3479" customFormat="false" ht="15" hidden="false" customHeight="true" outlineLevel="0" collapsed="false">
      <c r="A3479" s="6" t="s">
        <v>19091</v>
      </c>
      <c r="B3479" s="6" t="s">
        <v>2273</v>
      </c>
      <c r="C3479" s="6" t="s">
        <v>120</v>
      </c>
      <c r="D3479" s="6" t="s">
        <v>16</v>
      </c>
      <c r="E3479" s="14" t="n">
        <v>219.62</v>
      </c>
      <c r="F3479" s="14" t="n">
        <v>878.48</v>
      </c>
      <c r="G3479" s="6" t="s">
        <v>15614</v>
      </c>
    </row>
    <row r="3480" customFormat="false" ht="15" hidden="false" customHeight="true" outlineLevel="0" collapsed="false">
      <c r="A3480" s="6" t="s">
        <v>19092</v>
      </c>
      <c r="B3480" s="6" t="s">
        <v>2275</v>
      </c>
      <c r="C3480" s="6" t="s">
        <v>116</v>
      </c>
      <c r="D3480" s="6" t="s">
        <v>16</v>
      </c>
      <c r="E3480" s="14" t="n">
        <v>477.19</v>
      </c>
      <c r="F3480" s="14" t="n">
        <v>477.19</v>
      </c>
      <c r="G3480" s="6" t="s">
        <v>15614</v>
      </c>
    </row>
    <row r="3481" customFormat="false" ht="15" hidden="false" customHeight="true" outlineLevel="0" collapsed="false">
      <c r="A3481" s="6" t="s">
        <v>19093</v>
      </c>
      <c r="B3481" s="6" t="s">
        <v>2275</v>
      </c>
      <c r="C3481" s="6" t="s">
        <v>116</v>
      </c>
      <c r="D3481" s="6" t="s">
        <v>17</v>
      </c>
      <c r="E3481" s="14" t="n">
        <v>477.19</v>
      </c>
      <c r="F3481" s="14" t="n">
        <v>954.38</v>
      </c>
      <c r="G3481" s="6" t="s">
        <v>15614</v>
      </c>
    </row>
    <row r="3482" customFormat="false" ht="15" hidden="false" customHeight="true" outlineLevel="0" collapsed="false">
      <c r="A3482" s="6" t="s">
        <v>19094</v>
      </c>
      <c r="B3482" s="6" t="s">
        <v>2275</v>
      </c>
      <c r="C3482" s="6" t="s">
        <v>116</v>
      </c>
      <c r="D3482" s="6" t="s">
        <v>18</v>
      </c>
      <c r="E3482" s="14" t="n">
        <v>477.19</v>
      </c>
      <c r="F3482" s="14" t="n">
        <v>1431.57</v>
      </c>
      <c r="G3482" s="6" t="s">
        <v>15614</v>
      </c>
    </row>
    <row r="3483" customFormat="false" ht="15" hidden="false" customHeight="true" outlineLevel="0" collapsed="false">
      <c r="A3483" s="6" t="s">
        <v>19095</v>
      </c>
      <c r="B3483" s="6" t="s">
        <v>2275</v>
      </c>
      <c r="C3483" s="6" t="s">
        <v>116</v>
      </c>
      <c r="D3483" s="6" t="s">
        <v>19</v>
      </c>
      <c r="E3483" s="14" t="n">
        <v>477.19</v>
      </c>
      <c r="F3483" s="14" t="n">
        <v>1908.76</v>
      </c>
      <c r="G3483" s="6" t="s">
        <v>15614</v>
      </c>
    </row>
    <row r="3484" customFormat="false" ht="15" hidden="false" customHeight="true" outlineLevel="0" collapsed="false">
      <c r="A3484" s="6" t="s">
        <v>19096</v>
      </c>
      <c r="B3484" s="6" t="s">
        <v>2275</v>
      </c>
      <c r="C3484" s="6" t="s">
        <v>116</v>
      </c>
      <c r="D3484" s="6" t="s">
        <v>20</v>
      </c>
      <c r="E3484" s="14" t="n">
        <v>477.19</v>
      </c>
      <c r="F3484" s="14" t="n">
        <v>2385.95</v>
      </c>
      <c r="G3484" s="6" t="s">
        <v>15614</v>
      </c>
    </row>
    <row r="3485" customFormat="false" ht="15" hidden="false" customHeight="true" outlineLevel="0" collapsed="false">
      <c r="A3485" s="6" t="s">
        <v>19097</v>
      </c>
      <c r="B3485" s="6" t="s">
        <v>2275</v>
      </c>
      <c r="C3485" s="6" t="s">
        <v>116</v>
      </c>
      <c r="D3485" s="6" t="s">
        <v>21</v>
      </c>
      <c r="E3485" s="14" t="n">
        <v>477.19</v>
      </c>
      <c r="F3485" s="14" t="n">
        <v>2863.14</v>
      </c>
      <c r="G3485" s="6" t="s">
        <v>15614</v>
      </c>
    </row>
    <row r="3486" customFormat="false" ht="15" hidden="false" customHeight="true" outlineLevel="0" collapsed="false">
      <c r="A3486" s="6" t="s">
        <v>19098</v>
      </c>
      <c r="B3486" s="6" t="s">
        <v>2275</v>
      </c>
      <c r="C3486" s="6" t="s">
        <v>116</v>
      </c>
      <c r="D3486" s="6" t="s">
        <v>22</v>
      </c>
      <c r="E3486" s="14" t="n">
        <v>477.19</v>
      </c>
      <c r="F3486" s="14" t="n">
        <v>3340.33</v>
      </c>
      <c r="G3486" s="6" t="s">
        <v>15614</v>
      </c>
    </row>
    <row r="3487" customFormat="false" ht="15" hidden="false" customHeight="true" outlineLevel="0" collapsed="false">
      <c r="A3487" s="6" t="s">
        <v>19099</v>
      </c>
      <c r="B3487" s="6" t="s">
        <v>2277</v>
      </c>
      <c r="C3487" s="6" t="s">
        <v>124</v>
      </c>
      <c r="D3487" s="6" t="s">
        <v>22</v>
      </c>
      <c r="E3487" s="14" t="n">
        <v>3104.55</v>
      </c>
      <c r="F3487" s="14" t="n">
        <v>3104.55</v>
      </c>
      <c r="G3487" s="6" t="s">
        <v>15614</v>
      </c>
    </row>
    <row r="3488" customFormat="false" ht="15" hidden="false" customHeight="true" outlineLevel="0" collapsed="false">
      <c r="A3488" s="6" t="s">
        <v>19100</v>
      </c>
      <c r="B3488" s="6" t="s">
        <v>2277</v>
      </c>
      <c r="C3488" s="6" t="s">
        <v>124</v>
      </c>
      <c r="D3488" s="6" t="s">
        <v>23</v>
      </c>
      <c r="E3488" s="14" t="n">
        <v>3104.55</v>
      </c>
      <c r="F3488" s="14" t="n">
        <v>6209.1</v>
      </c>
      <c r="G3488" s="6" t="s">
        <v>15614</v>
      </c>
    </row>
    <row r="3489" customFormat="false" ht="15" hidden="false" customHeight="true" outlineLevel="0" collapsed="false">
      <c r="A3489" s="6" t="s">
        <v>19101</v>
      </c>
      <c r="B3489" s="6" t="s">
        <v>2277</v>
      </c>
      <c r="C3489" s="6" t="s">
        <v>124</v>
      </c>
      <c r="D3489" s="6" t="s">
        <v>24</v>
      </c>
      <c r="E3489" s="14" t="n">
        <v>3104.55</v>
      </c>
      <c r="F3489" s="14" t="n">
        <v>9313.65</v>
      </c>
      <c r="G3489" s="6" t="s">
        <v>15614</v>
      </c>
    </row>
    <row r="3490" customFormat="false" ht="15" hidden="false" customHeight="true" outlineLevel="0" collapsed="false">
      <c r="A3490" s="6" t="s">
        <v>19102</v>
      </c>
      <c r="B3490" s="6" t="s">
        <v>2277</v>
      </c>
      <c r="C3490" s="6" t="s">
        <v>124</v>
      </c>
      <c r="D3490" s="6" t="s">
        <v>25</v>
      </c>
      <c r="E3490" s="14" t="n">
        <v>3104.55</v>
      </c>
      <c r="F3490" s="14" t="n">
        <v>12418.2</v>
      </c>
      <c r="G3490" s="6" t="s">
        <v>15614</v>
      </c>
    </row>
    <row r="3491" customFormat="false" ht="15" hidden="false" customHeight="true" outlineLevel="0" collapsed="false">
      <c r="A3491" s="6" t="s">
        <v>19103</v>
      </c>
      <c r="B3491" s="6" t="s">
        <v>2279</v>
      </c>
      <c r="C3491" s="6" t="s">
        <v>116</v>
      </c>
      <c r="D3491" s="6" t="s">
        <v>42</v>
      </c>
      <c r="E3491" s="14" t="n">
        <v>572.54</v>
      </c>
      <c r="F3491" s="14" t="n">
        <v>572.54</v>
      </c>
      <c r="G3491" s="6" t="s">
        <v>15614</v>
      </c>
    </row>
    <row r="3492" customFormat="false" ht="15" hidden="false" customHeight="true" outlineLevel="0" collapsed="false">
      <c r="A3492" s="6" t="s">
        <v>19104</v>
      </c>
      <c r="B3492" s="6" t="s">
        <v>2279</v>
      </c>
      <c r="C3492" s="6" t="s">
        <v>116</v>
      </c>
      <c r="D3492" s="6" t="s">
        <v>43</v>
      </c>
      <c r="E3492" s="14" t="n">
        <v>572.54</v>
      </c>
      <c r="F3492" s="14" t="n">
        <v>1145.08</v>
      </c>
      <c r="G3492" s="6" t="s">
        <v>15614</v>
      </c>
    </row>
    <row r="3493" customFormat="false" ht="15" hidden="false" customHeight="true" outlineLevel="0" collapsed="false">
      <c r="A3493" s="6" t="s">
        <v>19105</v>
      </c>
      <c r="B3493" s="6" t="s">
        <v>2281</v>
      </c>
      <c r="C3493" s="6" t="s">
        <v>112</v>
      </c>
      <c r="D3493" s="6" t="s">
        <v>45</v>
      </c>
      <c r="E3493" s="14" t="n">
        <v>1029.43</v>
      </c>
      <c r="F3493" s="14" t="n">
        <v>1029.43</v>
      </c>
      <c r="G3493" s="6" t="s">
        <v>15614</v>
      </c>
    </row>
    <row r="3494" customFormat="false" ht="15" hidden="false" customHeight="true" outlineLevel="0" collapsed="false">
      <c r="A3494" s="6" t="s">
        <v>19106</v>
      </c>
      <c r="B3494" s="6" t="s">
        <v>2281</v>
      </c>
      <c r="C3494" s="6" t="s">
        <v>112</v>
      </c>
      <c r="D3494" s="6" t="s">
        <v>46</v>
      </c>
      <c r="E3494" s="14" t="n">
        <v>1029.43</v>
      </c>
      <c r="F3494" s="14" t="n">
        <v>2058.86</v>
      </c>
      <c r="G3494" s="6" t="s">
        <v>15614</v>
      </c>
    </row>
    <row r="3495" customFormat="false" ht="15" hidden="false" customHeight="true" outlineLevel="0" collapsed="false">
      <c r="A3495" s="6" t="s">
        <v>19107</v>
      </c>
      <c r="B3495" s="6" t="s">
        <v>2281</v>
      </c>
      <c r="C3495" s="6" t="s">
        <v>112</v>
      </c>
      <c r="D3495" s="6" t="s">
        <v>47</v>
      </c>
      <c r="E3495" s="14" t="n">
        <v>1029.43</v>
      </c>
      <c r="F3495" s="14" t="n">
        <v>3088.29</v>
      </c>
      <c r="G3495" s="6" t="s">
        <v>15614</v>
      </c>
    </row>
    <row r="3496" customFormat="false" ht="15" hidden="false" customHeight="true" outlineLevel="0" collapsed="false">
      <c r="A3496" s="6" t="s">
        <v>19108</v>
      </c>
      <c r="B3496" s="6" t="s">
        <v>2281</v>
      </c>
      <c r="C3496" s="6" t="s">
        <v>112</v>
      </c>
      <c r="D3496" s="6" t="s">
        <v>48</v>
      </c>
      <c r="E3496" s="14" t="n">
        <v>1029.43</v>
      </c>
      <c r="F3496" s="14" t="n">
        <v>4117.72</v>
      </c>
      <c r="G3496" s="6" t="s">
        <v>15614</v>
      </c>
    </row>
    <row r="3497" customFormat="false" ht="15" hidden="false" customHeight="true" outlineLevel="0" collapsed="false">
      <c r="A3497" s="6" t="s">
        <v>19109</v>
      </c>
      <c r="B3497" s="6" t="s">
        <v>2283</v>
      </c>
      <c r="C3497" s="6" t="s">
        <v>112</v>
      </c>
      <c r="D3497" s="6" t="s">
        <v>58</v>
      </c>
      <c r="E3497" s="14" t="n">
        <v>116.5</v>
      </c>
      <c r="F3497" s="14" t="n">
        <v>116.5</v>
      </c>
      <c r="G3497" s="6" t="s">
        <v>15614</v>
      </c>
    </row>
    <row r="3498" customFormat="false" ht="15" hidden="false" customHeight="true" outlineLevel="0" collapsed="false">
      <c r="A3498" s="6" t="s">
        <v>19110</v>
      </c>
      <c r="B3498" s="6" t="s">
        <v>2283</v>
      </c>
      <c r="C3498" s="6" t="s">
        <v>112</v>
      </c>
      <c r="D3498" s="6" t="s">
        <v>59</v>
      </c>
      <c r="E3498" s="14" t="n">
        <v>116.5</v>
      </c>
      <c r="F3498" s="14" t="n">
        <v>233</v>
      </c>
      <c r="G3498" s="6" t="s">
        <v>15614</v>
      </c>
    </row>
    <row r="3499" customFormat="false" ht="15" hidden="false" customHeight="true" outlineLevel="0" collapsed="false">
      <c r="A3499" s="6" t="s">
        <v>19111</v>
      </c>
      <c r="B3499" s="6" t="s">
        <v>2283</v>
      </c>
      <c r="C3499" s="6" t="s">
        <v>112</v>
      </c>
      <c r="D3499" s="6" t="s">
        <v>60</v>
      </c>
      <c r="E3499" s="14" t="n">
        <v>116.5</v>
      </c>
      <c r="F3499" s="14" t="n">
        <v>349.5</v>
      </c>
      <c r="G3499" s="6" t="s">
        <v>15614</v>
      </c>
    </row>
    <row r="3500" customFormat="false" ht="15" hidden="false" customHeight="true" outlineLevel="0" collapsed="false">
      <c r="A3500" s="6" t="s">
        <v>19112</v>
      </c>
      <c r="B3500" s="6" t="s">
        <v>2283</v>
      </c>
      <c r="C3500" s="6" t="s">
        <v>112</v>
      </c>
      <c r="D3500" s="6" t="s">
        <v>61</v>
      </c>
      <c r="E3500" s="14" t="n">
        <v>116.5</v>
      </c>
      <c r="F3500" s="14" t="n">
        <v>466</v>
      </c>
      <c r="G3500" s="6" t="s">
        <v>15614</v>
      </c>
    </row>
    <row r="3501" customFormat="false" ht="15" hidden="false" customHeight="true" outlineLevel="0" collapsed="false">
      <c r="A3501" s="6" t="s">
        <v>19113</v>
      </c>
      <c r="B3501" s="6" t="s">
        <v>2283</v>
      </c>
      <c r="C3501" s="6" t="s">
        <v>112</v>
      </c>
      <c r="D3501" s="6" t="s">
        <v>62</v>
      </c>
      <c r="E3501" s="14" t="n">
        <v>116.5</v>
      </c>
      <c r="F3501" s="14" t="n">
        <v>582.5</v>
      </c>
      <c r="G3501" s="6" t="s">
        <v>15614</v>
      </c>
    </row>
    <row r="3502" customFormat="false" ht="15" hidden="false" customHeight="true" outlineLevel="0" collapsed="false">
      <c r="A3502" s="6" t="s">
        <v>19114</v>
      </c>
      <c r="B3502" s="6" t="s">
        <v>2283</v>
      </c>
      <c r="C3502" s="6" t="s">
        <v>112</v>
      </c>
      <c r="D3502" s="6" t="s">
        <v>63</v>
      </c>
      <c r="E3502" s="14" t="n">
        <v>116.5</v>
      </c>
      <c r="F3502" s="14" t="n">
        <v>699</v>
      </c>
      <c r="G3502" s="6" t="s">
        <v>15614</v>
      </c>
    </row>
    <row r="3503" customFormat="false" ht="15" hidden="false" customHeight="true" outlineLevel="0" collapsed="false">
      <c r="A3503" s="6" t="s">
        <v>19115</v>
      </c>
      <c r="B3503" s="6" t="s">
        <v>2285</v>
      </c>
      <c r="C3503" s="6" t="s">
        <v>128</v>
      </c>
      <c r="D3503" s="6" t="s">
        <v>29</v>
      </c>
      <c r="E3503" s="14" t="n">
        <v>2254</v>
      </c>
      <c r="F3503" s="14" t="n">
        <v>2254</v>
      </c>
      <c r="G3503" s="6" t="s">
        <v>15614</v>
      </c>
    </row>
    <row r="3504" customFormat="false" ht="15" hidden="false" customHeight="true" outlineLevel="0" collapsed="false">
      <c r="A3504" s="6" t="s">
        <v>19116</v>
      </c>
      <c r="B3504" s="6" t="s">
        <v>2285</v>
      </c>
      <c r="C3504" s="6" t="s">
        <v>128</v>
      </c>
      <c r="D3504" s="6" t="s">
        <v>30</v>
      </c>
      <c r="E3504" s="14" t="n">
        <v>2254</v>
      </c>
      <c r="F3504" s="14" t="n">
        <v>4508</v>
      </c>
      <c r="G3504" s="6" t="s">
        <v>15614</v>
      </c>
    </row>
    <row r="3505" customFormat="false" ht="15" hidden="false" customHeight="true" outlineLevel="0" collapsed="false">
      <c r="A3505" s="6" t="s">
        <v>19117</v>
      </c>
      <c r="B3505" s="6" t="s">
        <v>2285</v>
      </c>
      <c r="C3505" s="6" t="s">
        <v>128</v>
      </c>
      <c r="D3505" s="6" t="s">
        <v>31</v>
      </c>
      <c r="E3505" s="14" t="n">
        <v>2254</v>
      </c>
      <c r="F3505" s="14" t="n">
        <v>6762</v>
      </c>
      <c r="G3505" s="6" t="s">
        <v>15614</v>
      </c>
    </row>
    <row r="3506" customFormat="false" ht="15" hidden="false" customHeight="true" outlineLevel="0" collapsed="false">
      <c r="A3506" s="6" t="s">
        <v>19118</v>
      </c>
      <c r="B3506" s="6" t="s">
        <v>2287</v>
      </c>
      <c r="C3506" s="6" t="s">
        <v>131</v>
      </c>
      <c r="D3506" s="6" t="s">
        <v>47</v>
      </c>
      <c r="E3506" s="14" t="n">
        <v>624.17</v>
      </c>
      <c r="F3506" s="14" t="n">
        <v>624.17</v>
      </c>
      <c r="G3506" s="6" t="s">
        <v>15614</v>
      </c>
    </row>
    <row r="3507" customFormat="false" ht="15" hidden="false" customHeight="true" outlineLevel="0" collapsed="false">
      <c r="A3507" s="6" t="s">
        <v>19119</v>
      </c>
      <c r="B3507" s="6" t="s">
        <v>2287</v>
      </c>
      <c r="C3507" s="6" t="s">
        <v>131</v>
      </c>
      <c r="D3507" s="6" t="s">
        <v>48</v>
      </c>
      <c r="E3507" s="14" t="n">
        <v>624.17</v>
      </c>
      <c r="F3507" s="14" t="n">
        <v>1248.34</v>
      </c>
      <c r="G3507" s="6" t="s">
        <v>15614</v>
      </c>
    </row>
    <row r="3508" customFormat="false" ht="15" hidden="false" customHeight="true" outlineLevel="0" collapsed="false">
      <c r="A3508" s="6" t="s">
        <v>19120</v>
      </c>
      <c r="B3508" s="6" t="s">
        <v>2287</v>
      </c>
      <c r="C3508" s="6" t="s">
        <v>131</v>
      </c>
      <c r="D3508" s="6" t="s">
        <v>49</v>
      </c>
      <c r="E3508" s="14" t="n">
        <v>624.17</v>
      </c>
      <c r="F3508" s="14" t="n">
        <v>1872.51</v>
      </c>
      <c r="G3508" s="6" t="s">
        <v>15614</v>
      </c>
    </row>
    <row r="3509" customFormat="false" ht="15" hidden="false" customHeight="true" outlineLevel="0" collapsed="false">
      <c r="A3509" s="6" t="s">
        <v>19121</v>
      </c>
      <c r="B3509" s="6" t="s">
        <v>2287</v>
      </c>
      <c r="C3509" s="6" t="s">
        <v>131</v>
      </c>
      <c r="D3509" s="6" t="s">
        <v>50</v>
      </c>
      <c r="E3509" s="14" t="n">
        <v>624.17</v>
      </c>
      <c r="F3509" s="14" t="n">
        <v>2496.68</v>
      </c>
      <c r="G3509" s="6" t="s">
        <v>15614</v>
      </c>
    </row>
    <row r="3510" customFormat="false" ht="15" hidden="false" customHeight="true" outlineLevel="0" collapsed="false">
      <c r="A3510" s="6" t="s">
        <v>19122</v>
      </c>
      <c r="B3510" s="6" t="s">
        <v>2287</v>
      </c>
      <c r="C3510" s="6" t="s">
        <v>131</v>
      </c>
      <c r="D3510" s="6" t="s">
        <v>51</v>
      </c>
      <c r="E3510" s="14" t="n">
        <v>624.17</v>
      </c>
      <c r="F3510" s="14" t="n">
        <v>3120.85</v>
      </c>
      <c r="G3510" s="6" t="s">
        <v>15614</v>
      </c>
    </row>
    <row r="3511" customFormat="false" ht="15" hidden="false" customHeight="true" outlineLevel="0" collapsed="false">
      <c r="A3511" s="6" t="s">
        <v>19123</v>
      </c>
      <c r="B3511" s="6" t="s">
        <v>2289</v>
      </c>
      <c r="C3511" s="6" t="s">
        <v>116</v>
      </c>
      <c r="D3511" s="6" t="s">
        <v>31</v>
      </c>
      <c r="E3511" s="14" t="n">
        <v>394.1</v>
      </c>
      <c r="F3511" s="14" t="n">
        <v>394.1</v>
      </c>
      <c r="G3511" s="6" t="s">
        <v>15614</v>
      </c>
    </row>
    <row r="3512" customFormat="false" ht="15" hidden="false" customHeight="true" outlineLevel="0" collapsed="false">
      <c r="A3512" s="6" t="s">
        <v>19124</v>
      </c>
      <c r="B3512" s="6" t="s">
        <v>2289</v>
      </c>
      <c r="C3512" s="6" t="s">
        <v>116</v>
      </c>
      <c r="D3512" s="6" t="s">
        <v>32</v>
      </c>
      <c r="E3512" s="14" t="n">
        <v>394.1</v>
      </c>
      <c r="F3512" s="14" t="n">
        <v>788.2</v>
      </c>
      <c r="G3512" s="6" t="s">
        <v>15614</v>
      </c>
    </row>
    <row r="3513" customFormat="false" ht="15" hidden="false" customHeight="true" outlineLevel="0" collapsed="false">
      <c r="A3513" s="6" t="s">
        <v>19125</v>
      </c>
      <c r="B3513" s="6" t="s">
        <v>2289</v>
      </c>
      <c r="C3513" s="6" t="s">
        <v>116</v>
      </c>
      <c r="D3513" s="6" t="s">
        <v>33</v>
      </c>
      <c r="E3513" s="14" t="n">
        <v>394.1</v>
      </c>
      <c r="F3513" s="14" t="n">
        <v>1182.3</v>
      </c>
      <c r="G3513" s="6" t="s">
        <v>15614</v>
      </c>
    </row>
    <row r="3514" customFormat="false" ht="15" hidden="false" customHeight="true" outlineLevel="0" collapsed="false">
      <c r="A3514" s="6" t="s">
        <v>19126</v>
      </c>
      <c r="B3514" s="6" t="s">
        <v>2291</v>
      </c>
      <c r="C3514" s="6" t="s">
        <v>131</v>
      </c>
      <c r="D3514" s="6" t="s">
        <v>21</v>
      </c>
      <c r="E3514" s="14" t="n">
        <v>580.87</v>
      </c>
      <c r="F3514" s="14" t="n">
        <v>580.87</v>
      </c>
      <c r="G3514" s="6" t="s">
        <v>15614</v>
      </c>
    </row>
    <row r="3515" customFormat="false" ht="15" hidden="false" customHeight="true" outlineLevel="0" collapsed="false">
      <c r="A3515" s="6" t="s">
        <v>19127</v>
      </c>
      <c r="B3515" s="6" t="s">
        <v>2291</v>
      </c>
      <c r="C3515" s="6" t="s">
        <v>131</v>
      </c>
      <c r="D3515" s="6" t="s">
        <v>22</v>
      </c>
      <c r="E3515" s="14" t="n">
        <v>580.87</v>
      </c>
      <c r="F3515" s="14" t="n">
        <v>1161.74</v>
      </c>
      <c r="G3515" s="6" t="s">
        <v>15614</v>
      </c>
    </row>
    <row r="3516" customFormat="false" ht="15" hidden="false" customHeight="true" outlineLevel="0" collapsed="false">
      <c r="A3516" s="6" t="s">
        <v>19128</v>
      </c>
      <c r="B3516" s="6" t="s">
        <v>2293</v>
      </c>
      <c r="C3516" s="6" t="s">
        <v>131</v>
      </c>
      <c r="D3516" s="6" t="s">
        <v>13</v>
      </c>
      <c r="E3516" s="14" t="n">
        <v>1910.53</v>
      </c>
      <c r="F3516" s="14" t="n">
        <v>1910.53</v>
      </c>
      <c r="G3516" s="6" t="s">
        <v>15614</v>
      </c>
    </row>
    <row r="3517" customFormat="false" ht="15" hidden="false" customHeight="true" outlineLevel="0" collapsed="false">
      <c r="A3517" s="6" t="s">
        <v>19129</v>
      </c>
      <c r="B3517" s="6" t="s">
        <v>2293</v>
      </c>
      <c r="C3517" s="6" t="s">
        <v>131</v>
      </c>
      <c r="D3517" s="6" t="s">
        <v>14</v>
      </c>
      <c r="E3517" s="14" t="n">
        <v>1910.53</v>
      </c>
      <c r="F3517" s="14" t="n">
        <v>3821.06</v>
      </c>
      <c r="G3517" s="6" t="s">
        <v>15614</v>
      </c>
    </row>
    <row r="3518" customFormat="false" ht="15" hidden="false" customHeight="true" outlineLevel="0" collapsed="false">
      <c r="A3518" s="6" t="s">
        <v>19130</v>
      </c>
      <c r="B3518" s="6" t="s">
        <v>2295</v>
      </c>
      <c r="C3518" s="6" t="s">
        <v>124</v>
      </c>
      <c r="D3518" s="6" t="s">
        <v>36</v>
      </c>
      <c r="E3518" s="14" t="n">
        <v>2416.87</v>
      </c>
      <c r="F3518" s="14" t="n">
        <v>2416.87</v>
      </c>
      <c r="G3518" s="6" t="s">
        <v>15614</v>
      </c>
    </row>
    <row r="3519" customFormat="false" ht="15" hidden="false" customHeight="true" outlineLevel="0" collapsed="false">
      <c r="A3519" s="6" t="s">
        <v>19131</v>
      </c>
      <c r="B3519" s="6" t="s">
        <v>2295</v>
      </c>
      <c r="C3519" s="6" t="s">
        <v>124</v>
      </c>
      <c r="D3519" s="6" t="s">
        <v>37</v>
      </c>
      <c r="E3519" s="14" t="n">
        <v>2416.87</v>
      </c>
      <c r="F3519" s="14" t="n">
        <v>4833.74</v>
      </c>
      <c r="G3519" s="6" t="s">
        <v>15614</v>
      </c>
    </row>
    <row r="3520" customFormat="false" ht="15" hidden="false" customHeight="true" outlineLevel="0" collapsed="false">
      <c r="A3520" s="6" t="s">
        <v>19132</v>
      </c>
      <c r="B3520" s="6" t="s">
        <v>2295</v>
      </c>
      <c r="C3520" s="6" t="s">
        <v>124</v>
      </c>
      <c r="D3520" s="6" t="s">
        <v>38</v>
      </c>
      <c r="E3520" s="14" t="n">
        <v>2416.87</v>
      </c>
      <c r="F3520" s="14" t="n">
        <v>7250.61</v>
      </c>
      <c r="G3520" s="6" t="s">
        <v>15614</v>
      </c>
    </row>
    <row r="3521" customFormat="false" ht="15" hidden="false" customHeight="true" outlineLevel="0" collapsed="false">
      <c r="A3521" s="6" t="s">
        <v>19133</v>
      </c>
      <c r="B3521" s="6" t="s">
        <v>2297</v>
      </c>
      <c r="C3521" s="6" t="s">
        <v>124</v>
      </c>
      <c r="D3521" s="6" t="s">
        <v>22</v>
      </c>
      <c r="E3521" s="14" t="n">
        <v>984.94</v>
      </c>
      <c r="F3521" s="14" t="n">
        <v>984.94</v>
      </c>
      <c r="G3521" s="6" t="s">
        <v>15614</v>
      </c>
    </row>
    <row r="3522" customFormat="false" ht="15" hidden="false" customHeight="true" outlineLevel="0" collapsed="false">
      <c r="A3522" s="6" t="s">
        <v>19134</v>
      </c>
      <c r="B3522" s="6" t="s">
        <v>2297</v>
      </c>
      <c r="C3522" s="6" t="s">
        <v>124</v>
      </c>
      <c r="D3522" s="6" t="s">
        <v>23</v>
      </c>
      <c r="E3522" s="14" t="n">
        <v>984.94</v>
      </c>
      <c r="F3522" s="14" t="n">
        <v>1969.88</v>
      </c>
      <c r="G3522" s="6" t="s">
        <v>15614</v>
      </c>
    </row>
    <row r="3523" customFormat="false" ht="15" hidden="false" customHeight="true" outlineLevel="0" collapsed="false">
      <c r="A3523" s="6" t="s">
        <v>19135</v>
      </c>
      <c r="B3523" s="6" t="s">
        <v>2297</v>
      </c>
      <c r="C3523" s="6" t="s">
        <v>124</v>
      </c>
      <c r="D3523" s="6" t="s">
        <v>24</v>
      </c>
      <c r="E3523" s="14" t="n">
        <v>984.94</v>
      </c>
      <c r="F3523" s="14" t="n">
        <v>2954.82</v>
      </c>
      <c r="G3523" s="6" t="s">
        <v>15614</v>
      </c>
    </row>
    <row r="3524" customFormat="false" ht="15" hidden="false" customHeight="true" outlineLevel="0" collapsed="false">
      <c r="A3524" s="6" t="s">
        <v>19136</v>
      </c>
      <c r="B3524" s="6" t="s">
        <v>2297</v>
      </c>
      <c r="C3524" s="6" t="s">
        <v>124</v>
      </c>
      <c r="D3524" s="6" t="s">
        <v>25</v>
      </c>
      <c r="E3524" s="14" t="n">
        <v>984.94</v>
      </c>
      <c r="F3524" s="14" t="n">
        <v>3939.76</v>
      </c>
      <c r="G3524" s="6" t="s">
        <v>15614</v>
      </c>
    </row>
    <row r="3525" customFormat="false" ht="15" hidden="false" customHeight="true" outlineLevel="0" collapsed="false">
      <c r="A3525" s="6" t="s">
        <v>19137</v>
      </c>
      <c r="B3525" s="6" t="s">
        <v>2299</v>
      </c>
      <c r="C3525" s="6" t="s">
        <v>131</v>
      </c>
      <c r="D3525" s="6" t="s">
        <v>48</v>
      </c>
      <c r="E3525" s="14" t="n">
        <v>976.4</v>
      </c>
      <c r="F3525" s="14" t="n">
        <v>976.4</v>
      </c>
      <c r="G3525" s="6" t="s">
        <v>15614</v>
      </c>
    </row>
    <row r="3526" customFormat="false" ht="15" hidden="false" customHeight="true" outlineLevel="0" collapsed="false">
      <c r="A3526" s="6" t="s">
        <v>19138</v>
      </c>
      <c r="B3526" s="6" t="s">
        <v>2299</v>
      </c>
      <c r="C3526" s="6" t="s">
        <v>131</v>
      </c>
      <c r="D3526" s="6" t="s">
        <v>49</v>
      </c>
      <c r="E3526" s="14" t="n">
        <v>976.4</v>
      </c>
      <c r="F3526" s="14" t="n">
        <v>1952.8</v>
      </c>
      <c r="G3526" s="6" t="s">
        <v>15614</v>
      </c>
    </row>
    <row r="3527" customFormat="false" ht="15" hidden="false" customHeight="true" outlineLevel="0" collapsed="false">
      <c r="A3527" s="6" t="s">
        <v>19139</v>
      </c>
      <c r="B3527" s="6" t="s">
        <v>2299</v>
      </c>
      <c r="C3527" s="6" t="s">
        <v>131</v>
      </c>
      <c r="D3527" s="6" t="s">
        <v>50</v>
      </c>
      <c r="E3527" s="14" t="n">
        <v>976.4</v>
      </c>
      <c r="F3527" s="14" t="n">
        <v>2929.2</v>
      </c>
      <c r="G3527" s="6" t="s">
        <v>15614</v>
      </c>
    </row>
    <row r="3528" customFormat="false" ht="15" hidden="false" customHeight="true" outlineLevel="0" collapsed="false">
      <c r="A3528" s="6" t="s">
        <v>19140</v>
      </c>
      <c r="B3528" s="6" t="s">
        <v>2301</v>
      </c>
      <c r="C3528" s="6" t="s">
        <v>112</v>
      </c>
      <c r="D3528" s="6" t="s">
        <v>33</v>
      </c>
      <c r="E3528" s="14" t="n">
        <v>517.36</v>
      </c>
      <c r="F3528" s="14" t="n">
        <v>517.36</v>
      </c>
      <c r="G3528" s="6" t="s">
        <v>15614</v>
      </c>
    </row>
    <row r="3529" customFormat="false" ht="15" hidden="false" customHeight="true" outlineLevel="0" collapsed="false">
      <c r="A3529" s="6" t="s">
        <v>19141</v>
      </c>
      <c r="B3529" s="6" t="s">
        <v>2301</v>
      </c>
      <c r="C3529" s="6" t="s">
        <v>112</v>
      </c>
      <c r="D3529" s="6" t="s">
        <v>34</v>
      </c>
      <c r="E3529" s="14" t="n">
        <v>517.36</v>
      </c>
      <c r="F3529" s="14" t="n">
        <v>1034.72</v>
      </c>
      <c r="G3529" s="6" t="s">
        <v>15614</v>
      </c>
    </row>
    <row r="3530" customFormat="false" ht="15" hidden="false" customHeight="true" outlineLevel="0" collapsed="false">
      <c r="A3530" s="6" t="s">
        <v>19142</v>
      </c>
      <c r="B3530" s="6" t="s">
        <v>2303</v>
      </c>
      <c r="C3530" s="6" t="s">
        <v>112</v>
      </c>
      <c r="D3530" s="6" t="s">
        <v>56</v>
      </c>
      <c r="E3530" s="14" t="n">
        <v>476.87</v>
      </c>
      <c r="F3530" s="14" t="n">
        <v>476.87</v>
      </c>
      <c r="G3530" s="6" t="s">
        <v>15614</v>
      </c>
    </row>
    <row r="3531" customFormat="false" ht="15" hidden="false" customHeight="true" outlineLevel="0" collapsed="false">
      <c r="A3531" s="6" t="s">
        <v>19143</v>
      </c>
      <c r="B3531" s="6" t="s">
        <v>2303</v>
      </c>
      <c r="C3531" s="6" t="s">
        <v>112</v>
      </c>
      <c r="D3531" s="6" t="s">
        <v>57</v>
      </c>
      <c r="E3531" s="14" t="n">
        <v>476.87</v>
      </c>
      <c r="F3531" s="14" t="n">
        <v>953.74</v>
      </c>
      <c r="G3531" s="6" t="s">
        <v>15614</v>
      </c>
    </row>
    <row r="3532" customFormat="false" ht="15" hidden="false" customHeight="true" outlineLevel="0" collapsed="false">
      <c r="A3532" s="6" t="s">
        <v>19144</v>
      </c>
      <c r="B3532" s="6" t="s">
        <v>2303</v>
      </c>
      <c r="C3532" s="6" t="s">
        <v>112</v>
      </c>
      <c r="D3532" s="6" t="s">
        <v>58</v>
      </c>
      <c r="E3532" s="14" t="n">
        <v>476.87</v>
      </c>
      <c r="F3532" s="14" t="n">
        <v>1430.61</v>
      </c>
      <c r="G3532" s="6" t="s">
        <v>15614</v>
      </c>
    </row>
    <row r="3533" customFormat="false" ht="15" hidden="false" customHeight="true" outlineLevel="0" collapsed="false">
      <c r="A3533" s="6" t="s">
        <v>19145</v>
      </c>
      <c r="B3533" s="6" t="s">
        <v>2303</v>
      </c>
      <c r="C3533" s="6" t="s">
        <v>112</v>
      </c>
      <c r="D3533" s="6" t="s">
        <v>59</v>
      </c>
      <c r="E3533" s="14" t="n">
        <v>476.87</v>
      </c>
      <c r="F3533" s="14" t="n">
        <v>1907.48</v>
      </c>
      <c r="G3533" s="6" t="s">
        <v>15614</v>
      </c>
    </row>
    <row r="3534" customFormat="false" ht="15" hidden="false" customHeight="true" outlineLevel="0" collapsed="false">
      <c r="A3534" s="6" t="s">
        <v>19146</v>
      </c>
      <c r="B3534" s="6" t="s">
        <v>2303</v>
      </c>
      <c r="C3534" s="6" t="s">
        <v>112</v>
      </c>
      <c r="D3534" s="6" t="s">
        <v>60</v>
      </c>
      <c r="E3534" s="14" t="n">
        <v>476.87</v>
      </c>
      <c r="F3534" s="14" t="n">
        <v>2384.35</v>
      </c>
      <c r="G3534" s="6" t="s">
        <v>15614</v>
      </c>
    </row>
    <row r="3535" customFormat="false" ht="15" hidden="false" customHeight="true" outlineLevel="0" collapsed="false">
      <c r="A3535" s="6" t="s">
        <v>19147</v>
      </c>
      <c r="B3535" s="6" t="s">
        <v>2303</v>
      </c>
      <c r="C3535" s="6" t="s">
        <v>112</v>
      </c>
      <c r="D3535" s="6" t="s">
        <v>61</v>
      </c>
      <c r="E3535" s="14" t="n">
        <v>476.87</v>
      </c>
      <c r="F3535" s="14" t="n">
        <v>2861.22</v>
      </c>
      <c r="G3535" s="6" t="s">
        <v>15614</v>
      </c>
    </row>
    <row r="3536" customFormat="false" ht="15" hidden="false" customHeight="true" outlineLevel="0" collapsed="false">
      <c r="A3536" s="6" t="s">
        <v>19148</v>
      </c>
      <c r="B3536" s="6" t="s">
        <v>2305</v>
      </c>
      <c r="C3536" s="6" t="s">
        <v>112</v>
      </c>
      <c r="D3536" s="6" t="s">
        <v>61</v>
      </c>
      <c r="E3536" s="14" t="n">
        <v>3880.66</v>
      </c>
      <c r="F3536" s="14" t="n">
        <v>3880.66</v>
      </c>
      <c r="G3536" s="6" t="s">
        <v>15614</v>
      </c>
    </row>
    <row r="3537" customFormat="false" ht="15" hidden="false" customHeight="true" outlineLevel="0" collapsed="false">
      <c r="A3537" s="6" t="s">
        <v>19149</v>
      </c>
      <c r="B3537" s="6" t="s">
        <v>2305</v>
      </c>
      <c r="C3537" s="6" t="s">
        <v>112</v>
      </c>
      <c r="D3537" s="6" t="s">
        <v>62</v>
      </c>
      <c r="E3537" s="14" t="n">
        <v>3880.66</v>
      </c>
      <c r="F3537" s="14" t="n">
        <v>7761.32</v>
      </c>
      <c r="G3537" s="6" t="s">
        <v>15614</v>
      </c>
    </row>
    <row r="3538" customFormat="false" ht="15" hidden="false" customHeight="true" outlineLevel="0" collapsed="false">
      <c r="A3538" s="6" t="s">
        <v>19150</v>
      </c>
      <c r="B3538" s="6" t="s">
        <v>2305</v>
      </c>
      <c r="C3538" s="6" t="s">
        <v>112</v>
      </c>
      <c r="D3538" s="6" t="s">
        <v>63</v>
      </c>
      <c r="E3538" s="14" t="n">
        <v>3880.66</v>
      </c>
      <c r="F3538" s="14" t="n">
        <v>11641.98</v>
      </c>
      <c r="G3538" s="6" t="s">
        <v>15614</v>
      </c>
    </row>
    <row r="3539" customFormat="false" ht="15" hidden="false" customHeight="true" outlineLevel="0" collapsed="false">
      <c r="A3539" s="6" t="s">
        <v>19151</v>
      </c>
      <c r="B3539" s="6" t="s">
        <v>2307</v>
      </c>
      <c r="C3539" s="6" t="s">
        <v>131</v>
      </c>
      <c r="D3539" s="6" t="s">
        <v>33</v>
      </c>
      <c r="E3539" s="14" t="n">
        <v>187</v>
      </c>
      <c r="F3539" s="14" t="n">
        <v>187</v>
      </c>
      <c r="G3539" s="6" t="s">
        <v>15614</v>
      </c>
    </row>
    <row r="3540" customFormat="false" ht="15" hidden="false" customHeight="true" outlineLevel="0" collapsed="false">
      <c r="A3540" s="6" t="s">
        <v>19152</v>
      </c>
      <c r="B3540" s="6" t="s">
        <v>2307</v>
      </c>
      <c r="C3540" s="6" t="s">
        <v>131</v>
      </c>
      <c r="D3540" s="6" t="s">
        <v>34</v>
      </c>
      <c r="E3540" s="14" t="n">
        <v>187</v>
      </c>
      <c r="F3540" s="14" t="n">
        <v>374</v>
      </c>
      <c r="G3540" s="6" t="s">
        <v>15614</v>
      </c>
    </row>
    <row r="3541" customFormat="false" ht="15" hidden="false" customHeight="true" outlineLevel="0" collapsed="false">
      <c r="A3541" s="6" t="s">
        <v>19153</v>
      </c>
      <c r="B3541" s="6" t="s">
        <v>2309</v>
      </c>
      <c r="C3541" s="6" t="s">
        <v>120</v>
      </c>
      <c r="D3541" s="6" t="s">
        <v>45</v>
      </c>
      <c r="E3541" s="14" t="n">
        <v>2565.73</v>
      </c>
      <c r="F3541" s="14" t="n">
        <v>2565.73</v>
      </c>
      <c r="G3541" s="6" t="s">
        <v>15614</v>
      </c>
    </row>
    <row r="3542" customFormat="false" ht="15" hidden="false" customHeight="true" outlineLevel="0" collapsed="false">
      <c r="A3542" s="6" t="s">
        <v>19154</v>
      </c>
      <c r="B3542" s="6" t="s">
        <v>2309</v>
      </c>
      <c r="C3542" s="6" t="s">
        <v>120</v>
      </c>
      <c r="D3542" s="6" t="s">
        <v>46</v>
      </c>
      <c r="E3542" s="14" t="n">
        <v>2565.73</v>
      </c>
      <c r="F3542" s="14" t="n">
        <v>5131.46</v>
      </c>
      <c r="G3542" s="6" t="s">
        <v>15614</v>
      </c>
    </row>
    <row r="3543" customFormat="false" ht="15" hidden="false" customHeight="true" outlineLevel="0" collapsed="false">
      <c r="A3543" s="6" t="s">
        <v>19155</v>
      </c>
      <c r="B3543" s="6" t="s">
        <v>2309</v>
      </c>
      <c r="C3543" s="6" t="s">
        <v>120</v>
      </c>
      <c r="D3543" s="6" t="s">
        <v>47</v>
      </c>
      <c r="E3543" s="14" t="n">
        <v>2565.73</v>
      </c>
      <c r="F3543" s="14" t="n">
        <v>7697.19</v>
      </c>
      <c r="G3543" s="6" t="s">
        <v>15614</v>
      </c>
    </row>
    <row r="3544" customFormat="false" ht="15" hidden="false" customHeight="true" outlineLevel="0" collapsed="false">
      <c r="A3544" s="6" t="s">
        <v>19156</v>
      </c>
      <c r="B3544" s="6" t="s">
        <v>2311</v>
      </c>
      <c r="C3544" s="6" t="s">
        <v>112</v>
      </c>
      <c r="D3544" s="6" t="s">
        <v>55</v>
      </c>
      <c r="E3544" s="14" t="n">
        <v>1002.06</v>
      </c>
      <c r="F3544" s="14" t="n">
        <v>1002.06</v>
      </c>
      <c r="G3544" s="6" t="s">
        <v>15614</v>
      </c>
    </row>
    <row r="3545" customFormat="false" ht="15" hidden="false" customHeight="true" outlineLevel="0" collapsed="false">
      <c r="A3545" s="6" t="s">
        <v>19157</v>
      </c>
      <c r="B3545" s="6" t="s">
        <v>2311</v>
      </c>
      <c r="C3545" s="6" t="s">
        <v>112</v>
      </c>
      <c r="D3545" s="6" t="s">
        <v>56</v>
      </c>
      <c r="E3545" s="14" t="n">
        <v>1002.06</v>
      </c>
      <c r="F3545" s="14" t="n">
        <v>2004.12</v>
      </c>
      <c r="G3545" s="6" t="s">
        <v>15614</v>
      </c>
    </row>
    <row r="3546" customFormat="false" ht="15" hidden="false" customHeight="true" outlineLevel="0" collapsed="false">
      <c r="A3546" s="6" t="s">
        <v>19158</v>
      </c>
      <c r="B3546" s="6" t="s">
        <v>2311</v>
      </c>
      <c r="C3546" s="6" t="s">
        <v>112</v>
      </c>
      <c r="D3546" s="6" t="s">
        <v>56</v>
      </c>
      <c r="E3546" s="14" t="n">
        <v>1002.06</v>
      </c>
      <c r="F3546" s="14" t="n">
        <v>3006.18</v>
      </c>
      <c r="G3546" s="6" t="s">
        <v>15614</v>
      </c>
    </row>
    <row r="3547" customFormat="false" ht="15" hidden="false" customHeight="true" outlineLevel="0" collapsed="false">
      <c r="A3547" s="6" t="s">
        <v>19159</v>
      </c>
      <c r="B3547" s="6" t="s">
        <v>2311</v>
      </c>
      <c r="C3547" s="6" t="s">
        <v>112</v>
      </c>
      <c r="D3547" s="6" t="s">
        <v>57</v>
      </c>
      <c r="E3547" s="14" t="n">
        <v>1002.06</v>
      </c>
      <c r="F3547" s="14" t="n">
        <v>4008.24</v>
      </c>
      <c r="G3547" s="6" t="s">
        <v>15614</v>
      </c>
    </row>
    <row r="3548" customFormat="false" ht="15" hidden="false" customHeight="true" outlineLevel="0" collapsed="false">
      <c r="A3548" s="6" t="s">
        <v>19160</v>
      </c>
      <c r="B3548" s="6" t="s">
        <v>2313</v>
      </c>
      <c r="C3548" s="6" t="s">
        <v>124</v>
      </c>
      <c r="D3548" s="6" t="s">
        <v>54</v>
      </c>
      <c r="E3548" s="14" t="n">
        <v>3308.11</v>
      </c>
      <c r="F3548" s="14" t="n">
        <v>3308.11</v>
      </c>
      <c r="G3548" s="6" t="s">
        <v>15614</v>
      </c>
    </row>
    <row r="3549" customFormat="false" ht="15" hidden="false" customHeight="true" outlineLevel="0" collapsed="false">
      <c r="A3549" s="6" t="s">
        <v>19161</v>
      </c>
      <c r="B3549" s="6" t="s">
        <v>2313</v>
      </c>
      <c r="C3549" s="6" t="s">
        <v>124</v>
      </c>
      <c r="D3549" s="6" t="s">
        <v>54</v>
      </c>
      <c r="E3549" s="14" t="n">
        <v>3308.11</v>
      </c>
      <c r="F3549" s="14" t="n">
        <v>6616.22</v>
      </c>
      <c r="G3549" s="6" t="s">
        <v>15614</v>
      </c>
    </row>
    <row r="3550" customFormat="false" ht="15" hidden="false" customHeight="true" outlineLevel="0" collapsed="false">
      <c r="A3550" s="6" t="s">
        <v>19162</v>
      </c>
      <c r="B3550" s="6" t="s">
        <v>2313</v>
      </c>
      <c r="C3550" s="6" t="s">
        <v>124</v>
      </c>
      <c r="D3550" s="6" t="s">
        <v>55</v>
      </c>
      <c r="E3550" s="14" t="n">
        <v>3308.11</v>
      </c>
      <c r="F3550" s="14" t="n">
        <v>9924.33</v>
      </c>
      <c r="G3550" s="6" t="s">
        <v>15614</v>
      </c>
    </row>
    <row r="3551" customFormat="false" ht="15" hidden="false" customHeight="true" outlineLevel="0" collapsed="false">
      <c r="A3551" s="6" t="s">
        <v>19163</v>
      </c>
      <c r="B3551" s="6" t="s">
        <v>2313</v>
      </c>
      <c r="C3551" s="6" t="s">
        <v>124</v>
      </c>
      <c r="D3551" s="6" t="s">
        <v>56</v>
      </c>
      <c r="E3551" s="14" t="n">
        <v>3308.11</v>
      </c>
      <c r="F3551" s="14" t="n">
        <v>13232.44</v>
      </c>
      <c r="G3551" s="6" t="s">
        <v>15614</v>
      </c>
    </row>
    <row r="3552" customFormat="false" ht="15" hidden="false" customHeight="true" outlineLevel="0" collapsed="false">
      <c r="A3552" s="6" t="s">
        <v>19164</v>
      </c>
      <c r="B3552" s="6" t="s">
        <v>2315</v>
      </c>
      <c r="C3552" s="6" t="s">
        <v>112</v>
      </c>
      <c r="D3552" s="6" t="s">
        <v>15</v>
      </c>
      <c r="E3552" s="14" t="n">
        <v>4962.19</v>
      </c>
      <c r="F3552" s="14" t="n">
        <v>4962.19</v>
      </c>
      <c r="G3552" s="6" t="s">
        <v>15614</v>
      </c>
    </row>
    <row r="3553" customFormat="false" ht="15" hidden="false" customHeight="true" outlineLevel="0" collapsed="false">
      <c r="A3553" s="6" t="s">
        <v>19165</v>
      </c>
      <c r="B3553" s="6" t="s">
        <v>2315</v>
      </c>
      <c r="C3553" s="6" t="s">
        <v>112</v>
      </c>
      <c r="D3553" s="6" t="s">
        <v>16</v>
      </c>
      <c r="E3553" s="14" t="n">
        <v>4962.19</v>
      </c>
      <c r="F3553" s="14" t="n">
        <v>9924.38</v>
      </c>
      <c r="G3553" s="6" t="s">
        <v>15614</v>
      </c>
    </row>
    <row r="3554" customFormat="false" ht="15" hidden="false" customHeight="true" outlineLevel="0" collapsed="false">
      <c r="A3554" s="6" t="s">
        <v>19166</v>
      </c>
      <c r="B3554" s="6" t="s">
        <v>2315</v>
      </c>
      <c r="C3554" s="6" t="s">
        <v>112</v>
      </c>
      <c r="D3554" s="6" t="s">
        <v>17</v>
      </c>
      <c r="E3554" s="14" t="n">
        <v>4962.19</v>
      </c>
      <c r="F3554" s="14" t="n">
        <v>14886.57</v>
      </c>
      <c r="G3554" s="6" t="s">
        <v>15614</v>
      </c>
    </row>
    <row r="3555" customFormat="false" ht="15" hidden="false" customHeight="true" outlineLevel="0" collapsed="false">
      <c r="A3555" s="6" t="s">
        <v>19167</v>
      </c>
      <c r="B3555" s="6" t="s">
        <v>2317</v>
      </c>
      <c r="C3555" s="6" t="s">
        <v>128</v>
      </c>
      <c r="D3555" s="6" t="s">
        <v>17</v>
      </c>
      <c r="E3555" s="14" t="n">
        <v>1755.6</v>
      </c>
      <c r="F3555" s="14" t="n">
        <v>1755.6</v>
      </c>
      <c r="G3555" s="6" t="s">
        <v>15614</v>
      </c>
    </row>
    <row r="3556" customFormat="false" ht="15" hidden="false" customHeight="true" outlineLevel="0" collapsed="false">
      <c r="A3556" s="6" t="s">
        <v>19168</v>
      </c>
      <c r="B3556" s="6" t="s">
        <v>2317</v>
      </c>
      <c r="C3556" s="6" t="s">
        <v>128</v>
      </c>
      <c r="D3556" s="6" t="s">
        <v>18</v>
      </c>
      <c r="E3556" s="14" t="n">
        <v>1755.6</v>
      </c>
      <c r="F3556" s="14" t="n">
        <v>3511.2</v>
      </c>
      <c r="G3556" s="6" t="s">
        <v>15614</v>
      </c>
    </row>
    <row r="3557" customFormat="false" ht="15" hidden="false" customHeight="true" outlineLevel="0" collapsed="false">
      <c r="A3557" s="6" t="s">
        <v>19169</v>
      </c>
      <c r="B3557" s="6" t="s">
        <v>2317</v>
      </c>
      <c r="C3557" s="6" t="s">
        <v>128</v>
      </c>
      <c r="D3557" s="6" t="s">
        <v>19</v>
      </c>
      <c r="E3557" s="14" t="n">
        <v>1755.6</v>
      </c>
      <c r="F3557" s="14" t="n">
        <v>5266.8</v>
      </c>
      <c r="G3557" s="6" t="s">
        <v>15614</v>
      </c>
    </row>
    <row r="3558" customFormat="false" ht="15" hidden="false" customHeight="true" outlineLevel="0" collapsed="false">
      <c r="A3558" s="6" t="s">
        <v>19170</v>
      </c>
      <c r="B3558" s="6" t="s">
        <v>2319</v>
      </c>
      <c r="C3558" s="6" t="s">
        <v>116</v>
      </c>
      <c r="D3558" s="6" t="s">
        <v>50</v>
      </c>
      <c r="E3558" s="14" t="n">
        <v>2137.9</v>
      </c>
      <c r="F3558" s="14" t="n">
        <v>2137.9</v>
      </c>
      <c r="G3558" s="6" t="s">
        <v>15614</v>
      </c>
    </row>
    <row r="3559" customFormat="false" ht="15" hidden="false" customHeight="true" outlineLevel="0" collapsed="false">
      <c r="A3559" s="6" t="s">
        <v>19171</v>
      </c>
      <c r="B3559" s="6" t="s">
        <v>2319</v>
      </c>
      <c r="C3559" s="6" t="s">
        <v>116</v>
      </c>
      <c r="D3559" s="6" t="s">
        <v>51</v>
      </c>
      <c r="E3559" s="14" t="n">
        <v>2137.9</v>
      </c>
      <c r="F3559" s="14" t="n">
        <v>4275.8</v>
      </c>
      <c r="G3559" s="6" t="s">
        <v>15614</v>
      </c>
    </row>
    <row r="3560" customFormat="false" ht="15" hidden="false" customHeight="true" outlineLevel="0" collapsed="false">
      <c r="A3560" s="6" t="s">
        <v>19172</v>
      </c>
      <c r="B3560" s="6" t="s">
        <v>2319</v>
      </c>
      <c r="C3560" s="6" t="s">
        <v>116</v>
      </c>
      <c r="D3560" s="6" t="s">
        <v>52</v>
      </c>
      <c r="E3560" s="14" t="n">
        <v>2137.9</v>
      </c>
      <c r="F3560" s="14" t="n">
        <v>6413.7</v>
      </c>
      <c r="G3560" s="6" t="s">
        <v>15614</v>
      </c>
    </row>
    <row r="3561" customFormat="false" ht="15" hidden="false" customHeight="true" outlineLevel="0" collapsed="false">
      <c r="A3561" s="6" t="s">
        <v>19173</v>
      </c>
      <c r="B3561" s="6" t="s">
        <v>2321</v>
      </c>
      <c r="C3561" s="6" t="s">
        <v>131</v>
      </c>
      <c r="D3561" s="6" t="s">
        <v>20</v>
      </c>
      <c r="E3561" s="14" t="n">
        <v>8598.11</v>
      </c>
      <c r="F3561" s="14" t="n">
        <v>8598.11</v>
      </c>
      <c r="G3561" s="6" t="s">
        <v>15614</v>
      </c>
    </row>
    <row r="3562" customFormat="false" ht="15" hidden="false" customHeight="true" outlineLevel="0" collapsed="false">
      <c r="A3562" s="6" t="s">
        <v>19174</v>
      </c>
      <c r="B3562" s="6" t="s">
        <v>2321</v>
      </c>
      <c r="C3562" s="6" t="s">
        <v>131</v>
      </c>
      <c r="D3562" s="6" t="s">
        <v>21</v>
      </c>
      <c r="E3562" s="14" t="n">
        <v>8598.11</v>
      </c>
      <c r="F3562" s="14" t="n">
        <v>17196.22</v>
      </c>
      <c r="G3562" s="6" t="s">
        <v>15614</v>
      </c>
    </row>
    <row r="3563" customFormat="false" ht="15" hidden="false" customHeight="true" outlineLevel="0" collapsed="false">
      <c r="A3563" s="6" t="s">
        <v>19175</v>
      </c>
      <c r="B3563" s="6" t="s">
        <v>2321</v>
      </c>
      <c r="C3563" s="6" t="s">
        <v>131</v>
      </c>
      <c r="D3563" s="6" t="s">
        <v>22</v>
      </c>
      <c r="E3563" s="14" t="n">
        <v>8598.11</v>
      </c>
      <c r="F3563" s="14" t="n">
        <v>25794.33</v>
      </c>
      <c r="G3563" s="6" t="s">
        <v>15614</v>
      </c>
    </row>
    <row r="3564" customFormat="false" ht="15" hidden="false" customHeight="true" outlineLevel="0" collapsed="false">
      <c r="A3564" s="6" t="s">
        <v>19176</v>
      </c>
      <c r="B3564" s="6" t="s">
        <v>2323</v>
      </c>
      <c r="C3564" s="6" t="s">
        <v>112</v>
      </c>
      <c r="D3564" s="6" t="s">
        <v>58</v>
      </c>
      <c r="E3564" s="14" t="n">
        <v>5010.36</v>
      </c>
      <c r="F3564" s="14" t="n">
        <v>5010.36</v>
      </c>
      <c r="G3564" s="6" t="s">
        <v>15614</v>
      </c>
    </row>
    <row r="3565" customFormat="false" ht="15" hidden="false" customHeight="true" outlineLevel="0" collapsed="false">
      <c r="A3565" s="6" t="s">
        <v>19177</v>
      </c>
      <c r="B3565" s="6" t="s">
        <v>2323</v>
      </c>
      <c r="C3565" s="6" t="s">
        <v>112</v>
      </c>
      <c r="D3565" s="6" t="s">
        <v>59</v>
      </c>
      <c r="E3565" s="14" t="n">
        <v>5010.36</v>
      </c>
      <c r="F3565" s="14" t="n">
        <v>10020.72</v>
      </c>
      <c r="G3565" s="6" t="s">
        <v>15614</v>
      </c>
    </row>
    <row r="3566" customFormat="false" ht="15" hidden="false" customHeight="true" outlineLevel="0" collapsed="false">
      <c r="A3566" s="6" t="s">
        <v>19178</v>
      </c>
      <c r="B3566" s="6" t="s">
        <v>2325</v>
      </c>
      <c r="C3566" s="6" t="s">
        <v>131</v>
      </c>
      <c r="D3566" s="6" t="s">
        <v>38</v>
      </c>
      <c r="E3566" s="14" t="n">
        <v>1263.64</v>
      </c>
      <c r="F3566" s="14" t="n">
        <v>1263.64</v>
      </c>
      <c r="G3566" s="6" t="s">
        <v>15614</v>
      </c>
    </row>
    <row r="3567" customFormat="false" ht="15" hidden="false" customHeight="true" outlineLevel="0" collapsed="false">
      <c r="A3567" s="6" t="s">
        <v>19179</v>
      </c>
      <c r="B3567" s="6" t="s">
        <v>2325</v>
      </c>
      <c r="C3567" s="6" t="s">
        <v>131</v>
      </c>
      <c r="D3567" s="6" t="s">
        <v>39</v>
      </c>
      <c r="E3567" s="14" t="n">
        <v>1263.64</v>
      </c>
      <c r="F3567" s="14" t="n">
        <v>2527.28</v>
      </c>
      <c r="G3567" s="6" t="s">
        <v>15614</v>
      </c>
    </row>
    <row r="3568" customFormat="false" ht="15" hidden="false" customHeight="true" outlineLevel="0" collapsed="false">
      <c r="A3568" s="6" t="s">
        <v>19180</v>
      </c>
      <c r="B3568" s="6" t="s">
        <v>2327</v>
      </c>
      <c r="C3568" s="6" t="s">
        <v>128</v>
      </c>
      <c r="D3568" s="6" t="s">
        <v>42</v>
      </c>
      <c r="E3568" s="14" t="n">
        <v>2483.14</v>
      </c>
      <c r="F3568" s="14" t="n">
        <v>2483.14</v>
      </c>
      <c r="G3568" s="6" t="s">
        <v>15614</v>
      </c>
    </row>
    <row r="3569" customFormat="false" ht="15" hidden="false" customHeight="true" outlineLevel="0" collapsed="false">
      <c r="A3569" s="6" t="s">
        <v>19181</v>
      </c>
      <c r="B3569" s="6" t="s">
        <v>2327</v>
      </c>
      <c r="C3569" s="6" t="s">
        <v>128</v>
      </c>
      <c r="D3569" s="6" t="s">
        <v>43</v>
      </c>
      <c r="E3569" s="14" t="n">
        <v>2483.14</v>
      </c>
      <c r="F3569" s="14" t="n">
        <v>4966.28</v>
      </c>
      <c r="G3569" s="6" t="s">
        <v>15614</v>
      </c>
    </row>
    <row r="3570" customFormat="false" ht="15" hidden="false" customHeight="true" outlineLevel="0" collapsed="false">
      <c r="A3570" s="6" t="s">
        <v>19182</v>
      </c>
      <c r="B3570" s="6" t="s">
        <v>2329</v>
      </c>
      <c r="C3570" s="6" t="s">
        <v>124</v>
      </c>
      <c r="D3570" s="6" t="s">
        <v>32</v>
      </c>
      <c r="E3570" s="14" t="n">
        <v>3118.14</v>
      </c>
      <c r="F3570" s="14" t="n">
        <v>3118.14</v>
      </c>
      <c r="G3570" s="6" t="s">
        <v>15614</v>
      </c>
    </row>
    <row r="3571" customFormat="false" ht="15" hidden="false" customHeight="true" outlineLevel="0" collapsed="false">
      <c r="A3571" s="6" t="s">
        <v>19183</v>
      </c>
      <c r="B3571" s="6" t="s">
        <v>2329</v>
      </c>
      <c r="C3571" s="6" t="s">
        <v>124</v>
      </c>
      <c r="D3571" s="6" t="s">
        <v>33</v>
      </c>
      <c r="E3571" s="14" t="n">
        <v>3118.14</v>
      </c>
      <c r="F3571" s="14" t="n">
        <v>6236.28</v>
      </c>
      <c r="G3571" s="6" t="s">
        <v>15614</v>
      </c>
    </row>
    <row r="3572" customFormat="false" ht="15" hidden="false" customHeight="true" outlineLevel="0" collapsed="false">
      <c r="A3572" s="6" t="s">
        <v>19184</v>
      </c>
      <c r="B3572" s="6" t="s">
        <v>2329</v>
      </c>
      <c r="C3572" s="6" t="s">
        <v>124</v>
      </c>
      <c r="D3572" s="6" t="s">
        <v>34</v>
      </c>
      <c r="E3572" s="14" t="n">
        <v>3118.14</v>
      </c>
      <c r="F3572" s="14" t="n">
        <v>9354.42</v>
      </c>
      <c r="G3572" s="6" t="s">
        <v>15614</v>
      </c>
    </row>
    <row r="3573" customFormat="false" ht="15" hidden="false" customHeight="true" outlineLevel="0" collapsed="false">
      <c r="A3573" s="6" t="s">
        <v>19185</v>
      </c>
      <c r="B3573" s="6" t="s">
        <v>2329</v>
      </c>
      <c r="C3573" s="6" t="s">
        <v>124</v>
      </c>
      <c r="D3573" s="6" t="s">
        <v>35</v>
      </c>
      <c r="E3573" s="14" t="n">
        <v>3118.14</v>
      </c>
      <c r="F3573" s="14" t="n">
        <v>12472.56</v>
      </c>
      <c r="G3573" s="6" t="s">
        <v>15614</v>
      </c>
    </row>
    <row r="3574" customFormat="false" ht="15" hidden="false" customHeight="true" outlineLevel="0" collapsed="false">
      <c r="A3574" s="6" t="s">
        <v>19186</v>
      </c>
      <c r="B3574" s="6" t="s">
        <v>2329</v>
      </c>
      <c r="C3574" s="6" t="s">
        <v>124</v>
      </c>
      <c r="D3574" s="6" t="s">
        <v>36</v>
      </c>
      <c r="E3574" s="14" t="n">
        <v>3118.14</v>
      </c>
      <c r="F3574" s="14" t="n">
        <v>15590.7</v>
      </c>
      <c r="G3574" s="6" t="s">
        <v>15614</v>
      </c>
    </row>
    <row r="3575" customFormat="false" ht="15" hidden="false" customHeight="true" outlineLevel="0" collapsed="false">
      <c r="A3575" s="6" t="s">
        <v>19187</v>
      </c>
      <c r="B3575" s="6" t="s">
        <v>2331</v>
      </c>
      <c r="C3575" s="6" t="s">
        <v>128</v>
      </c>
      <c r="D3575" s="6" t="s">
        <v>30</v>
      </c>
      <c r="E3575" s="14" t="n">
        <v>3177.56</v>
      </c>
      <c r="F3575" s="14" t="n">
        <v>3177.56</v>
      </c>
      <c r="G3575" s="6" t="s">
        <v>15614</v>
      </c>
    </row>
    <row r="3576" customFormat="false" ht="15" hidden="false" customHeight="true" outlineLevel="0" collapsed="false">
      <c r="A3576" s="6" t="s">
        <v>19188</v>
      </c>
      <c r="B3576" s="6" t="s">
        <v>2331</v>
      </c>
      <c r="C3576" s="6" t="s">
        <v>128</v>
      </c>
      <c r="D3576" s="6" t="s">
        <v>31</v>
      </c>
      <c r="E3576" s="14" t="n">
        <v>3177.56</v>
      </c>
      <c r="F3576" s="14" t="n">
        <v>6355.12</v>
      </c>
      <c r="G3576" s="6" t="s">
        <v>15614</v>
      </c>
    </row>
    <row r="3577" customFormat="false" ht="15" hidden="false" customHeight="true" outlineLevel="0" collapsed="false">
      <c r="A3577" s="6" t="s">
        <v>19189</v>
      </c>
      <c r="B3577" s="6" t="s">
        <v>2331</v>
      </c>
      <c r="C3577" s="6" t="s">
        <v>128</v>
      </c>
      <c r="D3577" s="6" t="s">
        <v>32</v>
      </c>
      <c r="E3577" s="14" t="n">
        <v>3177.56</v>
      </c>
      <c r="F3577" s="14" t="n">
        <v>9532.68</v>
      </c>
      <c r="G3577" s="6" t="s">
        <v>15614</v>
      </c>
    </row>
    <row r="3578" customFormat="false" ht="15" hidden="false" customHeight="true" outlineLevel="0" collapsed="false">
      <c r="A3578" s="6" t="s">
        <v>19190</v>
      </c>
      <c r="B3578" s="6" t="s">
        <v>2331</v>
      </c>
      <c r="C3578" s="6" t="s">
        <v>128</v>
      </c>
      <c r="D3578" s="6" t="s">
        <v>33</v>
      </c>
      <c r="E3578" s="14" t="n">
        <v>3177.56</v>
      </c>
      <c r="F3578" s="14" t="n">
        <v>12710.24</v>
      </c>
      <c r="G3578" s="6" t="s">
        <v>15614</v>
      </c>
    </row>
    <row r="3579" customFormat="false" ht="15" hidden="false" customHeight="true" outlineLevel="0" collapsed="false">
      <c r="A3579" s="6" t="s">
        <v>19191</v>
      </c>
      <c r="B3579" s="6" t="s">
        <v>2331</v>
      </c>
      <c r="C3579" s="6" t="s">
        <v>128</v>
      </c>
      <c r="D3579" s="6" t="s">
        <v>34</v>
      </c>
      <c r="E3579" s="14" t="n">
        <v>3177.56</v>
      </c>
      <c r="F3579" s="14" t="n">
        <v>15887.8</v>
      </c>
      <c r="G3579" s="6" t="s">
        <v>15614</v>
      </c>
    </row>
    <row r="3580" customFormat="false" ht="15" hidden="false" customHeight="true" outlineLevel="0" collapsed="false">
      <c r="A3580" s="6" t="s">
        <v>19192</v>
      </c>
      <c r="B3580" s="6" t="s">
        <v>2333</v>
      </c>
      <c r="C3580" s="6" t="s">
        <v>116</v>
      </c>
      <c r="D3580" s="6" t="s">
        <v>46</v>
      </c>
      <c r="E3580" s="14" t="n">
        <v>411.45</v>
      </c>
      <c r="F3580" s="14" t="n">
        <v>411.45</v>
      </c>
      <c r="G3580" s="6" t="s">
        <v>15614</v>
      </c>
    </row>
    <row r="3581" customFormat="false" ht="15" hidden="false" customHeight="true" outlineLevel="0" collapsed="false">
      <c r="A3581" s="6" t="s">
        <v>19193</v>
      </c>
      <c r="B3581" s="6" t="s">
        <v>2333</v>
      </c>
      <c r="C3581" s="6" t="s">
        <v>116</v>
      </c>
      <c r="D3581" s="6" t="s">
        <v>47</v>
      </c>
      <c r="E3581" s="14" t="n">
        <v>411.45</v>
      </c>
      <c r="F3581" s="14" t="n">
        <v>822.9</v>
      </c>
      <c r="G3581" s="6" t="s">
        <v>15614</v>
      </c>
    </row>
    <row r="3582" customFormat="false" ht="15" hidden="false" customHeight="true" outlineLevel="0" collapsed="false">
      <c r="A3582" s="6" t="s">
        <v>19194</v>
      </c>
      <c r="B3582" s="6" t="s">
        <v>2333</v>
      </c>
      <c r="C3582" s="6" t="s">
        <v>116</v>
      </c>
      <c r="D3582" s="6" t="s">
        <v>47</v>
      </c>
      <c r="E3582" s="14" t="n">
        <v>411.45</v>
      </c>
      <c r="F3582" s="14" t="n">
        <v>1234.35</v>
      </c>
      <c r="G3582" s="6" t="s">
        <v>15614</v>
      </c>
    </row>
    <row r="3583" customFormat="false" ht="15" hidden="false" customHeight="true" outlineLevel="0" collapsed="false">
      <c r="A3583" s="6" t="s">
        <v>19195</v>
      </c>
      <c r="B3583" s="6" t="s">
        <v>2333</v>
      </c>
      <c r="C3583" s="6" t="s">
        <v>116</v>
      </c>
      <c r="D3583" s="6" t="s">
        <v>49</v>
      </c>
      <c r="E3583" s="14" t="n">
        <v>411.45</v>
      </c>
      <c r="F3583" s="14" t="n">
        <v>1645.8</v>
      </c>
      <c r="G3583" s="6" t="s">
        <v>15614</v>
      </c>
    </row>
    <row r="3584" customFormat="false" ht="15" hidden="false" customHeight="true" outlineLevel="0" collapsed="false">
      <c r="A3584" s="6" t="s">
        <v>19196</v>
      </c>
      <c r="B3584" s="6" t="s">
        <v>2333</v>
      </c>
      <c r="C3584" s="6" t="s">
        <v>116</v>
      </c>
      <c r="D3584" s="6" t="s">
        <v>50</v>
      </c>
      <c r="E3584" s="14" t="n">
        <v>411.45</v>
      </c>
      <c r="F3584" s="14" t="n">
        <v>2057.25</v>
      </c>
      <c r="G3584" s="6" t="s">
        <v>15614</v>
      </c>
    </row>
    <row r="3585" customFormat="false" ht="15" hidden="false" customHeight="true" outlineLevel="0" collapsed="false">
      <c r="A3585" s="6" t="s">
        <v>19197</v>
      </c>
      <c r="B3585" s="6" t="s">
        <v>2335</v>
      </c>
      <c r="C3585" s="6" t="s">
        <v>128</v>
      </c>
      <c r="D3585" s="6" t="s">
        <v>62</v>
      </c>
      <c r="E3585" s="14" t="n">
        <v>406.92</v>
      </c>
      <c r="F3585" s="14" t="n">
        <v>406.92</v>
      </c>
      <c r="G3585" s="6" t="s">
        <v>15614</v>
      </c>
    </row>
    <row r="3586" customFormat="false" ht="15" hidden="false" customHeight="true" outlineLevel="0" collapsed="false">
      <c r="A3586" s="6" t="s">
        <v>19198</v>
      </c>
      <c r="B3586" s="6" t="s">
        <v>2335</v>
      </c>
      <c r="C3586" s="6" t="s">
        <v>128</v>
      </c>
      <c r="D3586" s="6" t="s">
        <v>63</v>
      </c>
      <c r="E3586" s="14" t="n">
        <v>406.92</v>
      </c>
      <c r="F3586" s="14" t="n">
        <v>813.84</v>
      </c>
      <c r="G3586" s="6" t="s">
        <v>15614</v>
      </c>
    </row>
    <row r="3587" customFormat="false" ht="15" hidden="false" customHeight="true" outlineLevel="0" collapsed="false">
      <c r="A3587" s="6" t="s">
        <v>19199</v>
      </c>
      <c r="B3587" s="6" t="s">
        <v>2335</v>
      </c>
      <c r="C3587" s="6" t="s">
        <v>128</v>
      </c>
      <c r="D3587" s="6" t="s">
        <v>64</v>
      </c>
      <c r="E3587" s="14" t="n">
        <v>406.92</v>
      </c>
      <c r="F3587" s="14" t="n">
        <v>1220.76</v>
      </c>
      <c r="G3587" s="6" t="s">
        <v>15614</v>
      </c>
    </row>
    <row r="3588" customFormat="false" ht="15" hidden="false" customHeight="true" outlineLevel="0" collapsed="false">
      <c r="A3588" s="6" t="s">
        <v>19200</v>
      </c>
      <c r="B3588" s="6" t="s">
        <v>2337</v>
      </c>
      <c r="C3588" s="6" t="s">
        <v>128</v>
      </c>
      <c r="D3588" s="6" t="s">
        <v>59</v>
      </c>
      <c r="E3588" s="14" t="n">
        <v>536.91</v>
      </c>
      <c r="F3588" s="14" t="n">
        <v>536.91</v>
      </c>
      <c r="G3588" s="6" t="s">
        <v>15614</v>
      </c>
    </row>
    <row r="3589" customFormat="false" ht="15" hidden="false" customHeight="true" outlineLevel="0" collapsed="false">
      <c r="A3589" s="6" t="s">
        <v>19201</v>
      </c>
      <c r="B3589" s="6" t="s">
        <v>2337</v>
      </c>
      <c r="C3589" s="6" t="s">
        <v>128</v>
      </c>
      <c r="D3589" s="6" t="s">
        <v>60</v>
      </c>
      <c r="E3589" s="14" t="n">
        <v>536.91</v>
      </c>
      <c r="F3589" s="14" t="n">
        <v>1073.82</v>
      </c>
      <c r="G3589" s="6" t="s">
        <v>15614</v>
      </c>
    </row>
    <row r="3590" customFormat="false" ht="15" hidden="false" customHeight="true" outlineLevel="0" collapsed="false">
      <c r="A3590" s="6" t="s">
        <v>19202</v>
      </c>
      <c r="B3590" s="6" t="s">
        <v>2337</v>
      </c>
      <c r="C3590" s="6" t="s">
        <v>128</v>
      </c>
      <c r="D3590" s="6" t="s">
        <v>61</v>
      </c>
      <c r="E3590" s="14" t="n">
        <v>536.91</v>
      </c>
      <c r="F3590" s="14" t="n">
        <v>1610.73</v>
      </c>
      <c r="G3590" s="6" t="s">
        <v>15614</v>
      </c>
    </row>
    <row r="3591" customFormat="false" ht="15" hidden="false" customHeight="true" outlineLevel="0" collapsed="false">
      <c r="A3591" s="6" t="s">
        <v>19203</v>
      </c>
      <c r="B3591" s="6" t="s">
        <v>2339</v>
      </c>
      <c r="C3591" s="6" t="s">
        <v>124</v>
      </c>
      <c r="D3591" s="6" t="s">
        <v>41</v>
      </c>
      <c r="E3591" s="14" t="n">
        <v>437.21</v>
      </c>
      <c r="F3591" s="14" t="n">
        <v>437.21</v>
      </c>
      <c r="G3591" s="6" t="s">
        <v>15614</v>
      </c>
    </row>
    <row r="3592" customFormat="false" ht="15" hidden="false" customHeight="true" outlineLevel="0" collapsed="false">
      <c r="A3592" s="6" t="s">
        <v>19204</v>
      </c>
      <c r="B3592" s="6" t="s">
        <v>2339</v>
      </c>
      <c r="C3592" s="6" t="s">
        <v>124</v>
      </c>
      <c r="D3592" s="6" t="s">
        <v>42</v>
      </c>
      <c r="E3592" s="14" t="n">
        <v>437.21</v>
      </c>
      <c r="F3592" s="14" t="n">
        <v>874.42</v>
      </c>
      <c r="G3592" s="6" t="s">
        <v>15614</v>
      </c>
    </row>
    <row r="3593" customFormat="false" ht="15" hidden="false" customHeight="true" outlineLevel="0" collapsed="false">
      <c r="A3593" s="6" t="s">
        <v>19205</v>
      </c>
      <c r="B3593" s="6" t="s">
        <v>2339</v>
      </c>
      <c r="C3593" s="6" t="s">
        <v>124</v>
      </c>
      <c r="D3593" s="6" t="s">
        <v>43</v>
      </c>
      <c r="E3593" s="14" t="n">
        <v>437.21</v>
      </c>
      <c r="F3593" s="14" t="n">
        <v>1311.63</v>
      </c>
      <c r="G3593" s="6" t="s">
        <v>15614</v>
      </c>
    </row>
    <row r="3594" customFormat="false" ht="15" hidden="false" customHeight="true" outlineLevel="0" collapsed="false">
      <c r="A3594" s="6" t="s">
        <v>19206</v>
      </c>
      <c r="B3594" s="6" t="s">
        <v>2339</v>
      </c>
      <c r="C3594" s="6" t="s">
        <v>124</v>
      </c>
      <c r="D3594" s="6" t="s">
        <v>44</v>
      </c>
      <c r="E3594" s="14" t="n">
        <v>437.21</v>
      </c>
      <c r="F3594" s="14" t="n">
        <v>1748.84</v>
      </c>
      <c r="G3594" s="6" t="s">
        <v>15614</v>
      </c>
    </row>
    <row r="3595" customFormat="false" ht="15" hidden="false" customHeight="true" outlineLevel="0" collapsed="false">
      <c r="A3595" s="6" t="s">
        <v>19207</v>
      </c>
      <c r="B3595" s="6" t="s">
        <v>2339</v>
      </c>
      <c r="C3595" s="6" t="s">
        <v>124</v>
      </c>
      <c r="D3595" s="6" t="s">
        <v>45</v>
      </c>
      <c r="E3595" s="14" t="n">
        <v>437.21</v>
      </c>
      <c r="F3595" s="14" t="n">
        <v>2186.05</v>
      </c>
      <c r="G3595" s="6" t="s">
        <v>15614</v>
      </c>
    </row>
    <row r="3596" customFormat="false" ht="15" hidden="false" customHeight="true" outlineLevel="0" collapsed="false">
      <c r="A3596" s="6" t="s">
        <v>19208</v>
      </c>
      <c r="B3596" s="6" t="s">
        <v>2339</v>
      </c>
      <c r="C3596" s="6" t="s">
        <v>124</v>
      </c>
      <c r="D3596" s="6" t="s">
        <v>46</v>
      </c>
      <c r="E3596" s="14" t="n">
        <v>437.21</v>
      </c>
      <c r="F3596" s="14" t="n">
        <v>2623.26</v>
      </c>
      <c r="G3596" s="6" t="s">
        <v>15614</v>
      </c>
    </row>
    <row r="3597" customFormat="false" ht="15" hidden="false" customHeight="true" outlineLevel="0" collapsed="false">
      <c r="A3597" s="6" t="s">
        <v>19209</v>
      </c>
      <c r="B3597" s="6" t="s">
        <v>2341</v>
      </c>
      <c r="C3597" s="6" t="s">
        <v>116</v>
      </c>
      <c r="D3597" s="6" t="s">
        <v>25</v>
      </c>
      <c r="E3597" s="14" t="n">
        <v>1720.39</v>
      </c>
      <c r="F3597" s="14" t="n">
        <v>1720.39</v>
      </c>
      <c r="G3597" s="6" t="s">
        <v>15614</v>
      </c>
    </row>
    <row r="3598" customFormat="false" ht="15" hidden="false" customHeight="true" outlineLevel="0" collapsed="false">
      <c r="A3598" s="6" t="s">
        <v>19210</v>
      </c>
      <c r="B3598" s="6" t="s">
        <v>2341</v>
      </c>
      <c r="C3598" s="6" t="s">
        <v>116</v>
      </c>
      <c r="D3598" s="6" t="s">
        <v>26</v>
      </c>
      <c r="E3598" s="14" t="n">
        <v>1720.39</v>
      </c>
      <c r="F3598" s="14" t="n">
        <v>3440.78</v>
      </c>
      <c r="G3598" s="6" t="s">
        <v>15614</v>
      </c>
    </row>
    <row r="3599" customFormat="false" ht="15" hidden="false" customHeight="true" outlineLevel="0" collapsed="false">
      <c r="A3599" s="6" t="s">
        <v>19211</v>
      </c>
      <c r="B3599" s="6" t="s">
        <v>2341</v>
      </c>
      <c r="C3599" s="6" t="s">
        <v>116</v>
      </c>
      <c r="D3599" s="6" t="s">
        <v>27</v>
      </c>
      <c r="E3599" s="14" t="n">
        <v>1720.39</v>
      </c>
      <c r="F3599" s="14" t="n">
        <v>5161.17</v>
      </c>
      <c r="G3599" s="6" t="s">
        <v>15614</v>
      </c>
    </row>
    <row r="3600" customFormat="false" ht="15" hidden="false" customHeight="true" outlineLevel="0" collapsed="false">
      <c r="A3600" s="6" t="s">
        <v>19212</v>
      </c>
      <c r="B3600" s="6" t="s">
        <v>2343</v>
      </c>
      <c r="C3600" s="6" t="s">
        <v>116</v>
      </c>
      <c r="D3600" s="6" t="s">
        <v>52</v>
      </c>
      <c r="E3600" s="14" t="n">
        <v>2099.79</v>
      </c>
      <c r="F3600" s="14" t="n">
        <v>2099.79</v>
      </c>
      <c r="G3600" s="6" t="s">
        <v>15614</v>
      </c>
    </row>
    <row r="3601" customFormat="false" ht="15" hidden="false" customHeight="true" outlineLevel="0" collapsed="false">
      <c r="A3601" s="6" t="s">
        <v>19213</v>
      </c>
      <c r="B3601" s="6" t="s">
        <v>2343</v>
      </c>
      <c r="C3601" s="6" t="s">
        <v>116</v>
      </c>
      <c r="D3601" s="6" t="s">
        <v>53</v>
      </c>
      <c r="E3601" s="14" t="n">
        <v>2099.79</v>
      </c>
      <c r="F3601" s="14" t="n">
        <v>4199.58</v>
      </c>
      <c r="G3601" s="6" t="s">
        <v>15614</v>
      </c>
    </row>
    <row r="3602" customFormat="false" ht="15" hidden="false" customHeight="true" outlineLevel="0" collapsed="false">
      <c r="A3602" s="6" t="s">
        <v>19214</v>
      </c>
      <c r="B3602" s="6" t="s">
        <v>2343</v>
      </c>
      <c r="C3602" s="6" t="s">
        <v>116</v>
      </c>
      <c r="D3602" s="6" t="s">
        <v>54</v>
      </c>
      <c r="E3602" s="14" t="n">
        <v>2099.79</v>
      </c>
      <c r="F3602" s="14" t="n">
        <v>6299.37</v>
      </c>
      <c r="G3602" s="6" t="s">
        <v>15614</v>
      </c>
    </row>
    <row r="3603" customFormat="false" ht="15" hidden="false" customHeight="true" outlineLevel="0" collapsed="false">
      <c r="A3603" s="6" t="s">
        <v>19215</v>
      </c>
      <c r="B3603" s="6" t="s">
        <v>2345</v>
      </c>
      <c r="C3603" s="6" t="s">
        <v>128</v>
      </c>
      <c r="D3603" s="6" t="s">
        <v>56</v>
      </c>
      <c r="E3603" s="14" t="n">
        <v>1275.22</v>
      </c>
      <c r="F3603" s="14" t="n">
        <v>1275.22</v>
      </c>
      <c r="G3603" s="6" t="s">
        <v>15614</v>
      </c>
    </row>
    <row r="3604" customFormat="false" ht="15" hidden="false" customHeight="true" outlineLevel="0" collapsed="false">
      <c r="A3604" s="6" t="s">
        <v>19216</v>
      </c>
      <c r="B3604" s="6" t="s">
        <v>2345</v>
      </c>
      <c r="C3604" s="6" t="s">
        <v>128</v>
      </c>
      <c r="D3604" s="6" t="s">
        <v>57</v>
      </c>
      <c r="E3604" s="14" t="n">
        <v>1275.22</v>
      </c>
      <c r="F3604" s="14" t="n">
        <v>2550.44</v>
      </c>
      <c r="G3604" s="6" t="s">
        <v>15614</v>
      </c>
    </row>
    <row r="3605" customFormat="false" ht="15" hidden="false" customHeight="true" outlineLevel="0" collapsed="false">
      <c r="A3605" s="6" t="s">
        <v>19217</v>
      </c>
      <c r="B3605" s="6" t="s">
        <v>2345</v>
      </c>
      <c r="C3605" s="6" t="s">
        <v>128</v>
      </c>
      <c r="D3605" s="6" t="s">
        <v>58</v>
      </c>
      <c r="E3605" s="14" t="n">
        <v>1275.22</v>
      </c>
      <c r="F3605" s="14" t="n">
        <v>3825.66</v>
      </c>
      <c r="G3605" s="6" t="s">
        <v>15614</v>
      </c>
    </row>
    <row r="3606" customFormat="false" ht="15" hidden="false" customHeight="true" outlineLevel="0" collapsed="false">
      <c r="A3606" s="6" t="s">
        <v>19218</v>
      </c>
      <c r="B3606" s="6" t="s">
        <v>2347</v>
      </c>
      <c r="C3606" s="6" t="s">
        <v>116</v>
      </c>
      <c r="D3606" s="6" t="s">
        <v>39</v>
      </c>
      <c r="E3606" s="14" t="n">
        <v>6256.85</v>
      </c>
      <c r="F3606" s="14" t="n">
        <v>6256.85</v>
      </c>
      <c r="G3606" s="6" t="s">
        <v>15614</v>
      </c>
    </row>
    <row r="3607" customFormat="false" ht="15" hidden="false" customHeight="true" outlineLevel="0" collapsed="false">
      <c r="A3607" s="6" t="s">
        <v>19219</v>
      </c>
      <c r="B3607" s="6" t="s">
        <v>2347</v>
      </c>
      <c r="C3607" s="6" t="s">
        <v>116</v>
      </c>
      <c r="D3607" s="6" t="s">
        <v>40</v>
      </c>
      <c r="E3607" s="14" t="n">
        <v>6256.85</v>
      </c>
      <c r="F3607" s="14" t="n">
        <v>12513.7</v>
      </c>
      <c r="G3607" s="6" t="s">
        <v>15614</v>
      </c>
    </row>
    <row r="3608" customFormat="false" ht="15" hidden="false" customHeight="true" outlineLevel="0" collapsed="false">
      <c r="A3608" s="6" t="s">
        <v>19220</v>
      </c>
      <c r="B3608" s="6" t="s">
        <v>2347</v>
      </c>
      <c r="C3608" s="6" t="s">
        <v>116</v>
      </c>
      <c r="D3608" s="6" t="s">
        <v>41</v>
      </c>
      <c r="E3608" s="14" t="n">
        <v>6256.85</v>
      </c>
      <c r="F3608" s="14" t="n">
        <v>18770.55</v>
      </c>
      <c r="G3608" s="6" t="s">
        <v>15614</v>
      </c>
    </row>
    <row r="3609" customFormat="false" ht="15" hidden="false" customHeight="true" outlineLevel="0" collapsed="false">
      <c r="A3609" s="6" t="s">
        <v>19221</v>
      </c>
      <c r="B3609" s="6" t="s">
        <v>2347</v>
      </c>
      <c r="C3609" s="6" t="s">
        <v>116</v>
      </c>
      <c r="D3609" s="6" t="s">
        <v>42</v>
      </c>
      <c r="E3609" s="14" t="n">
        <v>6256.85</v>
      </c>
      <c r="F3609" s="14" t="n">
        <v>25027.4</v>
      </c>
      <c r="G3609" s="6" t="s">
        <v>15614</v>
      </c>
    </row>
    <row r="3610" customFormat="false" ht="15" hidden="false" customHeight="true" outlineLevel="0" collapsed="false">
      <c r="A3610" s="6" t="s">
        <v>19222</v>
      </c>
      <c r="B3610" s="6" t="s">
        <v>2349</v>
      </c>
      <c r="C3610" s="6" t="s">
        <v>116</v>
      </c>
      <c r="D3610" s="6" t="s">
        <v>41</v>
      </c>
      <c r="E3610" s="14" t="n">
        <v>458.62</v>
      </c>
      <c r="F3610" s="14" t="n">
        <v>458.62</v>
      </c>
      <c r="G3610" s="6" t="s">
        <v>15614</v>
      </c>
    </row>
    <row r="3611" customFormat="false" ht="15" hidden="false" customHeight="true" outlineLevel="0" collapsed="false">
      <c r="A3611" s="6" t="s">
        <v>19223</v>
      </c>
      <c r="B3611" s="6" t="s">
        <v>2349</v>
      </c>
      <c r="C3611" s="6" t="s">
        <v>116</v>
      </c>
      <c r="D3611" s="6" t="s">
        <v>42</v>
      </c>
      <c r="E3611" s="14" t="n">
        <v>458.62</v>
      </c>
      <c r="F3611" s="14" t="n">
        <v>917.24</v>
      </c>
      <c r="G3611" s="6" t="s">
        <v>15614</v>
      </c>
    </row>
    <row r="3612" customFormat="false" ht="15" hidden="false" customHeight="true" outlineLevel="0" collapsed="false">
      <c r="A3612" s="6" t="s">
        <v>19224</v>
      </c>
      <c r="B3612" s="6" t="s">
        <v>2349</v>
      </c>
      <c r="C3612" s="6" t="s">
        <v>116</v>
      </c>
      <c r="D3612" s="6" t="s">
        <v>42</v>
      </c>
      <c r="E3612" s="14" t="n">
        <v>458.62</v>
      </c>
      <c r="F3612" s="14" t="n">
        <v>1375.86</v>
      </c>
      <c r="G3612" s="6" t="s">
        <v>15614</v>
      </c>
    </row>
    <row r="3613" customFormat="false" ht="15" hidden="false" customHeight="true" outlineLevel="0" collapsed="false">
      <c r="A3613" s="6" t="s">
        <v>19225</v>
      </c>
      <c r="B3613" s="6" t="s">
        <v>2349</v>
      </c>
      <c r="C3613" s="6" t="s">
        <v>116</v>
      </c>
      <c r="D3613" s="6" t="s">
        <v>43</v>
      </c>
      <c r="E3613" s="14" t="n">
        <v>458.62</v>
      </c>
      <c r="F3613" s="14" t="n">
        <v>1834.48</v>
      </c>
      <c r="G3613" s="6" t="s">
        <v>15614</v>
      </c>
    </row>
    <row r="3614" customFormat="false" ht="15" hidden="false" customHeight="true" outlineLevel="0" collapsed="false">
      <c r="A3614" s="6" t="s">
        <v>19226</v>
      </c>
      <c r="B3614" s="6" t="s">
        <v>2349</v>
      </c>
      <c r="C3614" s="6" t="s">
        <v>116</v>
      </c>
      <c r="D3614" s="6" t="s">
        <v>44</v>
      </c>
      <c r="E3614" s="14" t="n">
        <v>458.62</v>
      </c>
      <c r="F3614" s="14" t="n">
        <v>2293.1</v>
      </c>
      <c r="G3614" s="6" t="s">
        <v>15614</v>
      </c>
    </row>
    <row r="3615" customFormat="false" ht="15" hidden="false" customHeight="true" outlineLevel="0" collapsed="false">
      <c r="A3615" s="6" t="s">
        <v>19227</v>
      </c>
      <c r="B3615" s="6" t="s">
        <v>2351</v>
      </c>
      <c r="C3615" s="6" t="s">
        <v>112</v>
      </c>
      <c r="D3615" s="6" t="s">
        <v>42</v>
      </c>
      <c r="E3615" s="14" t="n">
        <v>1458.42</v>
      </c>
      <c r="F3615" s="14" t="n">
        <v>1458.42</v>
      </c>
      <c r="G3615" s="6" t="s">
        <v>15614</v>
      </c>
    </row>
    <row r="3616" customFormat="false" ht="15" hidden="false" customHeight="true" outlineLevel="0" collapsed="false">
      <c r="A3616" s="6" t="s">
        <v>19228</v>
      </c>
      <c r="B3616" s="6" t="s">
        <v>2351</v>
      </c>
      <c r="C3616" s="6" t="s">
        <v>112</v>
      </c>
      <c r="D3616" s="6" t="s">
        <v>43</v>
      </c>
      <c r="E3616" s="14" t="n">
        <v>1458.42</v>
      </c>
      <c r="F3616" s="14" t="n">
        <v>2916.84</v>
      </c>
      <c r="G3616" s="6" t="s">
        <v>15614</v>
      </c>
    </row>
    <row r="3617" customFormat="false" ht="15" hidden="false" customHeight="true" outlineLevel="0" collapsed="false">
      <c r="A3617" s="6" t="s">
        <v>19229</v>
      </c>
      <c r="B3617" s="6" t="s">
        <v>2351</v>
      </c>
      <c r="C3617" s="6" t="s">
        <v>112</v>
      </c>
      <c r="D3617" s="6" t="s">
        <v>44</v>
      </c>
      <c r="E3617" s="14" t="n">
        <v>1458.42</v>
      </c>
      <c r="F3617" s="14" t="n">
        <v>4375.26</v>
      </c>
      <c r="G3617" s="6" t="s">
        <v>15614</v>
      </c>
    </row>
    <row r="3618" customFormat="false" ht="15" hidden="false" customHeight="true" outlineLevel="0" collapsed="false">
      <c r="A3618" s="6" t="s">
        <v>19230</v>
      </c>
      <c r="B3618" s="6" t="s">
        <v>2353</v>
      </c>
      <c r="C3618" s="6" t="s">
        <v>124</v>
      </c>
      <c r="D3618" s="6" t="s">
        <v>49</v>
      </c>
      <c r="E3618" s="14" t="n">
        <v>1514.09</v>
      </c>
      <c r="F3618" s="14" t="n">
        <v>1514.09</v>
      </c>
      <c r="G3618" s="6" t="s">
        <v>15614</v>
      </c>
    </row>
    <row r="3619" customFormat="false" ht="15" hidden="false" customHeight="true" outlineLevel="0" collapsed="false">
      <c r="A3619" s="6" t="s">
        <v>19231</v>
      </c>
      <c r="B3619" s="6" t="s">
        <v>2353</v>
      </c>
      <c r="C3619" s="6" t="s">
        <v>124</v>
      </c>
      <c r="D3619" s="6" t="s">
        <v>50</v>
      </c>
      <c r="E3619" s="14" t="n">
        <v>1514.09</v>
      </c>
      <c r="F3619" s="14" t="n">
        <v>3028.18</v>
      </c>
      <c r="G3619" s="6" t="s">
        <v>15614</v>
      </c>
    </row>
    <row r="3620" customFormat="false" ht="15" hidden="false" customHeight="true" outlineLevel="0" collapsed="false">
      <c r="A3620" s="6" t="s">
        <v>19232</v>
      </c>
      <c r="B3620" s="6" t="s">
        <v>2353</v>
      </c>
      <c r="C3620" s="6" t="s">
        <v>124</v>
      </c>
      <c r="D3620" s="6" t="s">
        <v>51</v>
      </c>
      <c r="E3620" s="14" t="n">
        <v>1514.09</v>
      </c>
      <c r="F3620" s="14" t="n">
        <v>4542.27</v>
      </c>
      <c r="G3620" s="6" t="s">
        <v>15614</v>
      </c>
    </row>
    <row r="3621" customFormat="false" ht="15" hidden="false" customHeight="true" outlineLevel="0" collapsed="false">
      <c r="A3621" s="6" t="s">
        <v>19233</v>
      </c>
      <c r="B3621" s="6" t="s">
        <v>2353</v>
      </c>
      <c r="C3621" s="6" t="s">
        <v>124</v>
      </c>
      <c r="D3621" s="6" t="s">
        <v>52</v>
      </c>
      <c r="E3621" s="14" t="n">
        <v>1514.09</v>
      </c>
      <c r="F3621" s="14" t="n">
        <v>6056.36</v>
      </c>
      <c r="G3621" s="6" t="s">
        <v>15614</v>
      </c>
    </row>
    <row r="3622" customFormat="false" ht="15" hidden="false" customHeight="true" outlineLevel="0" collapsed="false">
      <c r="A3622" s="6" t="s">
        <v>19234</v>
      </c>
      <c r="B3622" s="6" t="s">
        <v>2353</v>
      </c>
      <c r="C3622" s="6" t="s">
        <v>124</v>
      </c>
      <c r="D3622" s="6" t="s">
        <v>53</v>
      </c>
      <c r="E3622" s="14" t="n">
        <v>1514.09</v>
      </c>
      <c r="F3622" s="14" t="n">
        <v>7570.45</v>
      </c>
      <c r="G3622" s="6" t="s">
        <v>15614</v>
      </c>
    </row>
    <row r="3623" customFormat="false" ht="15" hidden="false" customHeight="true" outlineLevel="0" collapsed="false">
      <c r="A3623" s="6" t="s">
        <v>19235</v>
      </c>
      <c r="B3623" s="6" t="s">
        <v>2353</v>
      </c>
      <c r="C3623" s="6" t="s">
        <v>124</v>
      </c>
      <c r="D3623" s="6" t="s">
        <v>54</v>
      </c>
      <c r="E3623" s="14" t="n">
        <v>1514.09</v>
      </c>
      <c r="F3623" s="14" t="n">
        <v>9084.54</v>
      </c>
      <c r="G3623" s="6" t="s">
        <v>15614</v>
      </c>
    </row>
    <row r="3624" customFormat="false" ht="15" hidden="false" customHeight="true" outlineLevel="0" collapsed="false">
      <c r="A3624" s="6" t="s">
        <v>19236</v>
      </c>
      <c r="B3624" s="6" t="s">
        <v>2355</v>
      </c>
      <c r="C3624" s="6" t="s">
        <v>131</v>
      </c>
      <c r="D3624" s="6" t="s">
        <v>23</v>
      </c>
      <c r="E3624" s="14" t="n">
        <v>122.8</v>
      </c>
      <c r="F3624" s="14" t="n">
        <v>122.8</v>
      </c>
      <c r="G3624" s="6" t="s">
        <v>15614</v>
      </c>
    </row>
    <row r="3625" customFormat="false" ht="15" hidden="false" customHeight="true" outlineLevel="0" collapsed="false">
      <c r="A3625" s="6" t="s">
        <v>19237</v>
      </c>
      <c r="B3625" s="6" t="s">
        <v>2355</v>
      </c>
      <c r="C3625" s="6" t="s">
        <v>131</v>
      </c>
      <c r="D3625" s="6" t="s">
        <v>24</v>
      </c>
      <c r="E3625" s="14" t="n">
        <v>122.8</v>
      </c>
      <c r="F3625" s="14" t="n">
        <v>245.6</v>
      </c>
      <c r="G3625" s="6" t="s">
        <v>15614</v>
      </c>
    </row>
    <row r="3626" customFormat="false" ht="15" hidden="false" customHeight="true" outlineLevel="0" collapsed="false">
      <c r="A3626" s="6" t="s">
        <v>19238</v>
      </c>
      <c r="B3626" s="6" t="s">
        <v>2355</v>
      </c>
      <c r="C3626" s="6" t="s">
        <v>131</v>
      </c>
      <c r="D3626" s="6" t="s">
        <v>25</v>
      </c>
      <c r="E3626" s="14" t="n">
        <v>122.8</v>
      </c>
      <c r="F3626" s="14" t="n">
        <v>368.4</v>
      </c>
      <c r="G3626" s="6" t="s">
        <v>15614</v>
      </c>
    </row>
    <row r="3627" customFormat="false" ht="15" hidden="false" customHeight="true" outlineLevel="0" collapsed="false">
      <c r="A3627" s="6" t="s">
        <v>19239</v>
      </c>
      <c r="B3627" s="6" t="s">
        <v>2355</v>
      </c>
      <c r="C3627" s="6" t="s">
        <v>131</v>
      </c>
      <c r="D3627" s="6" t="s">
        <v>26</v>
      </c>
      <c r="E3627" s="14" t="n">
        <v>122.8</v>
      </c>
      <c r="F3627" s="14" t="n">
        <v>491.2</v>
      </c>
      <c r="G3627" s="6" t="s">
        <v>15614</v>
      </c>
    </row>
    <row r="3628" customFormat="false" ht="15" hidden="false" customHeight="true" outlineLevel="0" collapsed="false">
      <c r="A3628" s="6" t="s">
        <v>19240</v>
      </c>
      <c r="B3628" s="6" t="s">
        <v>2355</v>
      </c>
      <c r="C3628" s="6" t="s">
        <v>131</v>
      </c>
      <c r="D3628" s="6" t="s">
        <v>27</v>
      </c>
      <c r="E3628" s="14" t="n">
        <v>122.8</v>
      </c>
      <c r="F3628" s="14" t="n">
        <v>614</v>
      </c>
      <c r="G3628" s="6" t="s">
        <v>15614</v>
      </c>
    </row>
    <row r="3629" customFormat="false" ht="15" hidden="false" customHeight="true" outlineLevel="0" collapsed="false">
      <c r="A3629" s="6" t="s">
        <v>19241</v>
      </c>
      <c r="B3629" s="6" t="s">
        <v>2357</v>
      </c>
      <c r="C3629" s="6" t="s">
        <v>124</v>
      </c>
      <c r="D3629" s="6" t="s">
        <v>21</v>
      </c>
      <c r="E3629" s="14" t="n">
        <v>2807.57</v>
      </c>
      <c r="F3629" s="14" t="n">
        <v>2807.57</v>
      </c>
      <c r="G3629" s="6" t="s">
        <v>15614</v>
      </c>
    </row>
    <row r="3630" customFormat="false" ht="15" hidden="false" customHeight="true" outlineLevel="0" collapsed="false">
      <c r="A3630" s="6" t="s">
        <v>19242</v>
      </c>
      <c r="B3630" s="6" t="s">
        <v>2359</v>
      </c>
      <c r="C3630" s="6" t="s">
        <v>120</v>
      </c>
      <c r="D3630" s="6" t="s">
        <v>63</v>
      </c>
      <c r="E3630" s="14" t="n">
        <v>1206.18</v>
      </c>
      <c r="F3630" s="14" t="n">
        <v>1206.18</v>
      </c>
      <c r="G3630" s="6" t="s">
        <v>15614</v>
      </c>
    </row>
    <row r="3631" customFormat="false" ht="15" hidden="false" customHeight="true" outlineLevel="0" collapsed="false">
      <c r="A3631" s="6" t="s">
        <v>19243</v>
      </c>
      <c r="B3631" s="6" t="s">
        <v>2359</v>
      </c>
      <c r="C3631" s="6" t="s">
        <v>120</v>
      </c>
      <c r="D3631" s="6" t="s">
        <v>64</v>
      </c>
      <c r="E3631" s="14" t="n">
        <v>1206.18</v>
      </c>
      <c r="F3631" s="14" t="n">
        <v>2412.36</v>
      </c>
      <c r="G3631" s="6" t="s">
        <v>15614</v>
      </c>
    </row>
    <row r="3632" customFormat="false" ht="15" hidden="false" customHeight="true" outlineLevel="0" collapsed="false">
      <c r="A3632" s="6" t="s">
        <v>19244</v>
      </c>
      <c r="B3632" s="6" t="s">
        <v>2359</v>
      </c>
      <c r="C3632" s="6" t="s">
        <v>120</v>
      </c>
      <c r="D3632" s="6" t="s">
        <v>65</v>
      </c>
      <c r="E3632" s="14" t="n">
        <v>1206.18</v>
      </c>
      <c r="F3632" s="14" t="n">
        <v>3618.54</v>
      </c>
      <c r="G3632" s="6" t="s">
        <v>15614</v>
      </c>
    </row>
    <row r="3633" customFormat="false" ht="15" hidden="false" customHeight="true" outlineLevel="0" collapsed="false">
      <c r="A3633" s="6" t="s">
        <v>19245</v>
      </c>
      <c r="B3633" s="6" t="s">
        <v>2361</v>
      </c>
      <c r="C3633" s="6" t="s">
        <v>128</v>
      </c>
      <c r="D3633" s="6" t="s">
        <v>38</v>
      </c>
      <c r="E3633" s="14" t="n">
        <v>551.07</v>
      </c>
      <c r="F3633" s="14" t="n">
        <v>551.07</v>
      </c>
      <c r="G3633" s="6" t="s">
        <v>15614</v>
      </c>
    </row>
    <row r="3634" customFormat="false" ht="15" hidden="false" customHeight="true" outlineLevel="0" collapsed="false">
      <c r="A3634" s="6" t="s">
        <v>19246</v>
      </c>
      <c r="B3634" s="6" t="s">
        <v>2361</v>
      </c>
      <c r="C3634" s="6" t="s">
        <v>128</v>
      </c>
      <c r="D3634" s="6" t="s">
        <v>39</v>
      </c>
      <c r="E3634" s="14" t="n">
        <v>551.07</v>
      </c>
      <c r="F3634" s="14" t="n">
        <v>1102.14</v>
      </c>
      <c r="G3634" s="6" t="s">
        <v>15614</v>
      </c>
    </row>
    <row r="3635" customFormat="false" ht="15" hidden="false" customHeight="true" outlineLevel="0" collapsed="false">
      <c r="A3635" s="6" t="s">
        <v>19247</v>
      </c>
      <c r="B3635" s="6" t="s">
        <v>2363</v>
      </c>
      <c r="C3635" s="6" t="s">
        <v>131</v>
      </c>
      <c r="D3635" s="6" t="s">
        <v>60</v>
      </c>
      <c r="E3635" s="14" t="n">
        <v>790.86</v>
      </c>
      <c r="F3635" s="14" t="n">
        <v>790.86</v>
      </c>
      <c r="G3635" s="6" t="s">
        <v>15614</v>
      </c>
    </row>
    <row r="3636" customFormat="false" ht="15" hidden="false" customHeight="true" outlineLevel="0" collapsed="false">
      <c r="A3636" s="6" t="s">
        <v>19248</v>
      </c>
      <c r="B3636" s="6" t="s">
        <v>2363</v>
      </c>
      <c r="C3636" s="6" t="s">
        <v>131</v>
      </c>
      <c r="D3636" s="6" t="s">
        <v>61</v>
      </c>
      <c r="E3636" s="14" t="n">
        <v>790.86</v>
      </c>
      <c r="F3636" s="14" t="n">
        <v>1581.72</v>
      </c>
      <c r="G3636" s="6" t="s">
        <v>15614</v>
      </c>
    </row>
    <row r="3637" customFormat="false" ht="15" hidden="false" customHeight="true" outlineLevel="0" collapsed="false">
      <c r="A3637" s="6" t="s">
        <v>19249</v>
      </c>
      <c r="B3637" s="6" t="s">
        <v>2363</v>
      </c>
      <c r="C3637" s="6" t="s">
        <v>131</v>
      </c>
      <c r="D3637" s="6" t="s">
        <v>62</v>
      </c>
      <c r="E3637" s="14" t="n">
        <v>790.86</v>
      </c>
      <c r="F3637" s="14" t="n">
        <v>2372.58</v>
      </c>
      <c r="G3637" s="6" t="s">
        <v>15614</v>
      </c>
    </row>
    <row r="3638" customFormat="false" ht="15" hidden="false" customHeight="true" outlineLevel="0" collapsed="false">
      <c r="A3638" s="6" t="s">
        <v>19250</v>
      </c>
      <c r="B3638" s="6" t="s">
        <v>2363</v>
      </c>
      <c r="C3638" s="6" t="s">
        <v>131</v>
      </c>
      <c r="D3638" s="6" t="s">
        <v>63</v>
      </c>
      <c r="E3638" s="14" t="n">
        <v>790.86</v>
      </c>
      <c r="F3638" s="14" t="n">
        <v>3163.44</v>
      </c>
      <c r="G3638" s="6" t="s">
        <v>15614</v>
      </c>
    </row>
    <row r="3639" customFormat="false" ht="15" hidden="false" customHeight="true" outlineLevel="0" collapsed="false">
      <c r="A3639" s="6" t="s">
        <v>19251</v>
      </c>
      <c r="B3639" s="6" t="s">
        <v>2363</v>
      </c>
      <c r="C3639" s="6" t="s">
        <v>131</v>
      </c>
      <c r="D3639" s="6" t="s">
        <v>64</v>
      </c>
      <c r="E3639" s="14" t="n">
        <v>790.86</v>
      </c>
      <c r="F3639" s="14" t="n">
        <v>3954.3</v>
      </c>
      <c r="G3639" s="6" t="s">
        <v>15614</v>
      </c>
    </row>
    <row r="3640" customFormat="false" ht="15" hidden="false" customHeight="true" outlineLevel="0" collapsed="false">
      <c r="A3640" s="6" t="s">
        <v>19252</v>
      </c>
      <c r="B3640" s="6" t="s">
        <v>2365</v>
      </c>
      <c r="C3640" s="6" t="s">
        <v>112</v>
      </c>
      <c r="D3640" s="6" t="s">
        <v>20</v>
      </c>
      <c r="E3640" s="14" t="n">
        <v>2311.71</v>
      </c>
      <c r="F3640" s="14" t="n">
        <v>2311.71</v>
      </c>
      <c r="G3640" s="6" t="s">
        <v>15614</v>
      </c>
    </row>
    <row r="3641" customFormat="false" ht="15" hidden="false" customHeight="true" outlineLevel="0" collapsed="false">
      <c r="A3641" s="6" t="s">
        <v>19253</v>
      </c>
      <c r="B3641" s="6" t="s">
        <v>2365</v>
      </c>
      <c r="C3641" s="6" t="s">
        <v>112</v>
      </c>
      <c r="D3641" s="6" t="s">
        <v>21</v>
      </c>
      <c r="E3641" s="14" t="n">
        <v>2311.71</v>
      </c>
      <c r="F3641" s="14" t="n">
        <v>4623.42</v>
      </c>
      <c r="G3641" s="6" t="s">
        <v>15614</v>
      </c>
    </row>
    <row r="3642" customFormat="false" ht="15" hidden="false" customHeight="true" outlineLevel="0" collapsed="false">
      <c r="A3642" s="6" t="s">
        <v>19254</v>
      </c>
      <c r="B3642" s="6" t="s">
        <v>2367</v>
      </c>
      <c r="C3642" s="6" t="s">
        <v>131</v>
      </c>
      <c r="D3642" s="6" t="s">
        <v>60</v>
      </c>
      <c r="E3642" s="14" t="n">
        <v>3820.5</v>
      </c>
      <c r="F3642" s="14" t="n">
        <v>3820.5</v>
      </c>
      <c r="G3642" s="6" t="s">
        <v>15614</v>
      </c>
    </row>
    <row r="3643" customFormat="false" ht="15" hidden="false" customHeight="true" outlineLevel="0" collapsed="false">
      <c r="A3643" s="6" t="s">
        <v>19255</v>
      </c>
      <c r="B3643" s="6" t="s">
        <v>2367</v>
      </c>
      <c r="C3643" s="6" t="s">
        <v>131</v>
      </c>
      <c r="D3643" s="6" t="s">
        <v>61</v>
      </c>
      <c r="E3643" s="14" t="n">
        <v>3820.5</v>
      </c>
      <c r="F3643" s="14" t="n">
        <v>7641</v>
      </c>
      <c r="G3643" s="6" t="s">
        <v>15614</v>
      </c>
    </row>
    <row r="3644" customFormat="false" ht="15" hidden="false" customHeight="true" outlineLevel="0" collapsed="false">
      <c r="A3644" s="6" t="s">
        <v>19256</v>
      </c>
      <c r="B3644" s="6" t="s">
        <v>2367</v>
      </c>
      <c r="C3644" s="6" t="s">
        <v>131</v>
      </c>
      <c r="D3644" s="6" t="s">
        <v>62</v>
      </c>
      <c r="E3644" s="14" t="n">
        <v>3820.5</v>
      </c>
      <c r="F3644" s="14" t="n">
        <v>11461.5</v>
      </c>
      <c r="G3644" s="6" t="s">
        <v>15614</v>
      </c>
    </row>
    <row r="3645" customFormat="false" ht="15" hidden="false" customHeight="true" outlineLevel="0" collapsed="false">
      <c r="A3645" s="6" t="s">
        <v>19257</v>
      </c>
      <c r="B3645" s="6" t="s">
        <v>2369</v>
      </c>
      <c r="C3645" s="6" t="s">
        <v>112</v>
      </c>
      <c r="D3645" s="6" t="s">
        <v>47</v>
      </c>
      <c r="E3645" s="14" t="n">
        <v>1949.68</v>
      </c>
      <c r="F3645" s="14" t="n">
        <v>1949.68</v>
      </c>
      <c r="G3645" s="6" t="s">
        <v>15614</v>
      </c>
    </row>
    <row r="3646" customFormat="false" ht="15" hidden="false" customHeight="true" outlineLevel="0" collapsed="false">
      <c r="A3646" s="6" t="s">
        <v>19258</v>
      </c>
      <c r="B3646" s="6" t="s">
        <v>2369</v>
      </c>
      <c r="C3646" s="6" t="s">
        <v>112</v>
      </c>
      <c r="D3646" s="6" t="s">
        <v>48</v>
      </c>
      <c r="E3646" s="14" t="n">
        <v>1949.68</v>
      </c>
      <c r="F3646" s="14" t="n">
        <v>3899.36</v>
      </c>
      <c r="G3646" s="6" t="s">
        <v>15614</v>
      </c>
    </row>
    <row r="3647" customFormat="false" ht="15" hidden="false" customHeight="true" outlineLevel="0" collapsed="false">
      <c r="A3647" s="6" t="s">
        <v>19259</v>
      </c>
      <c r="B3647" s="6" t="s">
        <v>2369</v>
      </c>
      <c r="C3647" s="6" t="s">
        <v>112</v>
      </c>
      <c r="D3647" s="6" t="s">
        <v>49</v>
      </c>
      <c r="E3647" s="14" t="n">
        <v>1949.68</v>
      </c>
      <c r="F3647" s="14" t="n">
        <v>5849.04</v>
      </c>
      <c r="G3647" s="6" t="s">
        <v>15614</v>
      </c>
    </row>
    <row r="3648" customFormat="false" ht="15" hidden="false" customHeight="true" outlineLevel="0" collapsed="false">
      <c r="A3648" s="6" t="s">
        <v>19260</v>
      </c>
      <c r="B3648" s="6" t="s">
        <v>2369</v>
      </c>
      <c r="C3648" s="6" t="s">
        <v>112</v>
      </c>
      <c r="D3648" s="6" t="s">
        <v>50</v>
      </c>
      <c r="E3648" s="14" t="n">
        <v>1949.68</v>
      </c>
      <c r="F3648" s="14" t="n">
        <v>7798.72</v>
      </c>
      <c r="G3648" s="6" t="s">
        <v>15614</v>
      </c>
    </row>
    <row r="3649" customFormat="false" ht="15" hidden="false" customHeight="true" outlineLevel="0" collapsed="false">
      <c r="A3649" s="6" t="s">
        <v>19261</v>
      </c>
      <c r="B3649" s="6" t="s">
        <v>2371</v>
      </c>
      <c r="C3649" s="6" t="s">
        <v>120</v>
      </c>
      <c r="D3649" s="6" t="s">
        <v>12</v>
      </c>
      <c r="E3649" s="14" t="n">
        <v>2091.22</v>
      </c>
      <c r="F3649" s="14" t="n">
        <v>2091.22</v>
      </c>
      <c r="G3649" s="6" t="s">
        <v>15614</v>
      </c>
    </row>
    <row r="3650" customFormat="false" ht="15" hidden="false" customHeight="true" outlineLevel="0" collapsed="false">
      <c r="A3650" s="6" t="s">
        <v>19262</v>
      </c>
      <c r="B3650" s="6" t="s">
        <v>2371</v>
      </c>
      <c r="C3650" s="6" t="s">
        <v>120</v>
      </c>
      <c r="D3650" s="6" t="s">
        <v>13</v>
      </c>
      <c r="E3650" s="14" t="n">
        <v>2091.22</v>
      </c>
      <c r="F3650" s="14" t="n">
        <v>4182.44</v>
      </c>
      <c r="G3650" s="6" t="s">
        <v>15614</v>
      </c>
    </row>
    <row r="3651" customFormat="false" ht="15" hidden="false" customHeight="true" outlineLevel="0" collapsed="false">
      <c r="A3651" s="6" t="s">
        <v>19263</v>
      </c>
      <c r="B3651" s="6" t="s">
        <v>2371</v>
      </c>
      <c r="C3651" s="6" t="s">
        <v>120</v>
      </c>
      <c r="D3651" s="6" t="s">
        <v>14</v>
      </c>
      <c r="E3651" s="14" t="n">
        <v>2091.22</v>
      </c>
      <c r="F3651" s="14" t="n">
        <v>6273.66</v>
      </c>
      <c r="G3651" s="6" t="s">
        <v>15614</v>
      </c>
    </row>
    <row r="3652" customFormat="false" ht="15" hidden="false" customHeight="true" outlineLevel="0" collapsed="false">
      <c r="A3652" s="6" t="s">
        <v>19264</v>
      </c>
      <c r="B3652" s="6" t="s">
        <v>2371</v>
      </c>
      <c r="C3652" s="6" t="s">
        <v>120</v>
      </c>
      <c r="D3652" s="6" t="s">
        <v>15</v>
      </c>
      <c r="E3652" s="14" t="n">
        <v>2091.22</v>
      </c>
      <c r="F3652" s="14" t="n">
        <v>8364.88</v>
      </c>
      <c r="G3652" s="6" t="s">
        <v>15614</v>
      </c>
    </row>
    <row r="3653" customFormat="false" ht="15" hidden="false" customHeight="true" outlineLevel="0" collapsed="false">
      <c r="A3653" s="6" t="s">
        <v>19265</v>
      </c>
      <c r="B3653" s="6" t="s">
        <v>2371</v>
      </c>
      <c r="C3653" s="6" t="s">
        <v>120</v>
      </c>
      <c r="D3653" s="6" t="s">
        <v>16</v>
      </c>
      <c r="E3653" s="14" t="n">
        <v>2091.22</v>
      </c>
      <c r="F3653" s="14" t="n">
        <v>10456.1</v>
      </c>
      <c r="G3653" s="6" t="s">
        <v>15614</v>
      </c>
    </row>
    <row r="3654" customFormat="false" ht="15" hidden="false" customHeight="true" outlineLevel="0" collapsed="false">
      <c r="A3654" s="6" t="s">
        <v>19266</v>
      </c>
      <c r="B3654" s="6" t="s">
        <v>2373</v>
      </c>
      <c r="C3654" s="6" t="s">
        <v>112</v>
      </c>
      <c r="D3654" s="6" t="s">
        <v>12</v>
      </c>
      <c r="E3654" s="14" t="n">
        <v>2886.86</v>
      </c>
      <c r="F3654" s="14" t="n">
        <v>2886.86</v>
      </c>
      <c r="G3654" s="6" t="s">
        <v>15614</v>
      </c>
    </row>
    <row r="3655" customFormat="false" ht="15" hidden="false" customHeight="true" outlineLevel="0" collapsed="false">
      <c r="A3655" s="6" t="s">
        <v>19267</v>
      </c>
      <c r="B3655" s="6" t="s">
        <v>2375</v>
      </c>
      <c r="C3655" s="6" t="s">
        <v>112</v>
      </c>
      <c r="D3655" s="6" t="s">
        <v>40</v>
      </c>
      <c r="E3655" s="14" t="n">
        <v>4677.69</v>
      </c>
      <c r="F3655" s="14" t="n">
        <v>4677.69</v>
      </c>
      <c r="G3655" s="6" t="s">
        <v>15614</v>
      </c>
    </row>
    <row r="3656" customFormat="false" ht="15" hidden="false" customHeight="true" outlineLevel="0" collapsed="false">
      <c r="A3656" s="6" t="s">
        <v>19268</v>
      </c>
      <c r="B3656" s="6" t="s">
        <v>2375</v>
      </c>
      <c r="C3656" s="6" t="s">
        <v>112</v>
      </c>
      <c r="D3656" s="6" t="s">
        <v>41</v>
      </c>
      <c r="E3656" s="14" t="n">
        <v>4677.69</v>
      </c>
      <c r="F3656" s="14" t="n">
        <v>9355.38</v>
      </c>
      <c r="G3656" s="6" t="s">
        <v>15614</v>
      </c>
    </row>
    <row r="3657" customFormat="false" ht="15" hidden="false" customHeight="true" outlineLevel="0" collapsed="false">
      <c r="A3657" s="6" t="s">
        <v>19269</v>
      </c>
      <c r="B3657" s="6" t="s">
        <v>2375</v>
      </c>
      <c r="C3657" s="6" t="s">
        <v>112</v>
      </c>
      <c r="D3657" s="6" t="s">
        <v>42</v>
      </c>
      <c r="E3657" s="14" t="n">
        <v>4677.69</v>
      </c>
      <c r="F3657" s="14" t="n">
        <v>14033.07</v>
      </c>
      <c r="G3657" s="6" t="s">
        <v>15614</v>
      </c>
    </row>
    <row r="3658" customFormat="false" ht="15" hidden="false" customHeight="true" outlineLevel="0" collapsed="false">
      <c r="A3658" s="6" t="s">
        <v>19270</v>
      </c>
      <c r="B3658" s="6" t="s">
        <v>2375</v>
      </c>
      <c r="C3658" s="6" t="s">
        <v>112</v>
      </c>
      <c r="D3658" s="6" t="s">
        <v>43</v>
      </c>
      <c r="E3658" s="14" t="n">
        <v>4677.69</v>
      </c>
      <c r="F3658" s="14" t="n">
        <v>18710.76</v>
      </c>
      <c r="G3658" s="6" t="s">
        <v>15614</v>
      </c>
    </row>
    <row r="3659" customFormat="false" ht="15" hidden="false" customHeight="true" outlineLevel="0" collapsed="false">
      <c r="A3659" s="6" t="s">
        <v>19271</v>
      </c>
      <c r="B3659" s="6" t="s">
        <v>2377</v>
      </c>
      <c r="C3659" s="6" t="s">
        <v>124</v>
      </c>
      <c r="D3659" s="6" t="s">
        <v>42</v>
      </c>
      <c r="E3659" s="14" t="n">
        <v>2609.01</v>
      </c>
      <c r="F3659" s="14" t="n">
        <v>2609.01</v>
      </c>
      <c r="G3659" s="6" t="s">
        <v>15614</v>
      </c>
    </row>
    <row r="3660" customFormat="false" ht="15" hidden="false" customHeight="true" outlineLevel="0" collapsed="false">
      <c r="A3660" s="6" t="s">
        <v>19272</v>
      </c>
      <c r="B3660" s="6" t="s">
        <v>2377</v>
      </c>
      <c r="C3660" s="6" t="s">
        <v>124</v>
      </c>
      <c r="D3660" s="6" t="s">
        <v>43</v>
      </c>
      <c r="E3660" s="14" t="n">
        <v>2609.01</v>
      </c>
      <c r="F3660" s="14" t="n">
        <v>5218.02</v>
      </c>
      <c r="G3660" s="6" t="s">
        <v>15614</v>
      </c>
    </row>
    <row r="3661" customFormat="false" ht="15" hidden="false" customHeight="true" outlineLevel="0" collapsed="false">
      <c r="A3661" s="6" t="s">
        <v>19273</v>
      </c>
      <c r="B3661" s="6" t="s">
        <v>2377</v>
      </c>
      <c r="C3661" s="6" t="s">
        <v>124</v>
      </c>
      <c r="D3661" s="6" t="s">
        <v>44</v>
      </c>
      <c r="E3661" s="14" t="n">
        <v>2609.01</v>
      </c>
      <c r="F3661" s="14" t="n">
        <v>7827.03</v>
      </c>
      <c r="G3661" s="6" t="s">
        <v>15614</v>
      </c>
    </row>
    <row r="3662" customFormat="false" ht="15" hidden="false" customHeight="true" outlineLevel="0" collapsed="false">
      <c r="A3662" s="6" t="s">
        <v>19274</v>
      </c>
      <c r="B3662" s="6" t="s">
        <v>2377</v>
      </c>
      <c r="C3662" s="6" t="s">
        <v>124</v>
      </c>
      <c r="D3662" s="6" t="s">
        <v>45</v>
      </c>
      <c r="E3662" s="14" t="n">
        <v>2609.01</v>
      </c>
      <c r="F3662" s="14" t="n">
        <v>10436.04</v>
      </c>
      <c r="G3662" s="6" t="s">
        <v>15614</v>
      </c>
    </row>
    <row r="3663" customFormat="false" ht="15" hidden="false" customHeight="true" outlineLevel="0" collapsed="false">
      <c r="A3663" s="6" t="s">
        <v>19275</v>
      </c>
      <c r="B3663" s="6" t="s">
        <v>2377</v>
      </c>
      <c r="C3663" s="6" t="s">
        <v>124</v>
      </c>
      <c r="D3663" s="6" t="s">
        <v>46</v>
      </c>
      <c r="E3663" s="14" t="n">
        <v>2609.01</v>
      </c>
      <c r="F3663" s="14" t="n">
        <v>13045.05</v>
      </c>
      <c r="G3663" s="6" t="s">
        <v>15614</v>
      </c>
    </row>
    <row r="3664" customFormat="false" ht="15" hidden="false" customHeight="true" outlineLevel="0" collapsed="false">
      <c r="A3664" s="6" t="s">
        <v>19276</v>
      </c>
      <c r="B3664" s="6" t="s">
        <v>2377</v>
      </c>
      <c r="C3664" s="6" t="s">
        <v>124</v>
      </c>
      <c r="D3664" s="6" t="s">
        <v>47</v>
      </c>
      <c r="E3664" s="14" t="n">
        <v>2609.01</v>
      </c>
      <c r="F3664" s="14" t="n">
        <v>15654.06</v>
      </c>
      <c r="G3664" s="6" t="s">
        <v>15614</v>
      </c>
    </row>
    <row r="3665" customFormat="false" ht="15" hidden="false" customHeight="true" outlineLevel="0" collapsed="false">
      <c r="A3665" s="6" t="s">
        <v>19277</v>
      </c>
      <c r="B3665" s="6" t="s">
        <v>2379</v>
      </c>
      <c r="C3665" s="6" t="s">
        <v>124</v>
      </c>
      <c r="D3665" s="6" t="s">
        <v>21</v>
      </c>
      <c r="E3665" s="14" t="n">
        <v>867.83</v>
      </c>
      <c r="F3665" s="14" t="n">
        <v>867.83</v>
      </c>
      <c r="G3665" s="6" t="s">
        <v>15614</v>
      </c>
    </row>
    <row r="3666" customFormat="false" ht="15" hidden="false" customHeight="true" outlineLevel="0" collapsed="false">
      <c r="A3666" s="6" t="s">
        <v>19278</v>
      </c>
      <c r="B3666" s="6" t="s">
        <v>2379</v>
      </c>
      <c r="C3666" s="6" t="s">
        <v>124</v>
      </c>
      <c r="D3666" s="6" t="s">
        <v>22</v>
      </c>
      <c r="E3666" s="14" t="n">
        <v>867.83</v>
      </c>
      <c r="F3666" s="14" t="n">
        <v>1735.66</v>
      </c>
      <c r="G3666" s="6" t="s">
        <v>15614</v>
      </c>
    </row>
    <row r="3667" customFormat="false" ht="15" hidden="false" customHeight="true" outlineLevel="0" collapsed="false">
      <c r="A3667" s="6" t="s">
        <v>19279</v>
      </c>
      <c r="B3667" s="6" t="s">
        <v>2381</v>
      </c>
      <c r="C3667" s="6" t="s">
        <v>116</v>
      </c>
      <c r="D3667" s="6" t="s">
        <v>40</v>
      </c>
      <c r="E3667" s="14" t="n">
        <v>2178.05</v>
      </c>
      <c r="F3667" s="14" t="n">
        <v>2178.05</v>
      </c>
      <c r="G3667" s="6" t="s">
        <v>15614</v>
      </c>
    </row>
    <row r="3668" customFormat="false" ht="15" hidden="false" customHeight="true" outlineLevel="0" collapsed="false">
      <c r="A3668" s="6" t="s">
        <v>19280</v>
      </c>
      <c r="B3668" s="6" t="s">
        <v>2381</v>
      </c>
      <c r="C3668" s="6" t="s">
        <v>116</v>
      </c>
      <c r="D3668" s="6" t="s">
        <v>41</v>
      </c>
      <c r="E3668" s="14" t="n">
        <v>2178.05</v>
      </c>
      <c r="F3668" s="14" t="n">
        <v>4356.1</v>
      </c>
      <c r="G3668" s="6" t="s">
        <v>15614</v>
      </c>
    </row>
    <row r="3669" customFormat="false" ht="15" hidden="false" customHeight="true" outlineLevel="0" collapsed="false">
      <c r="A3669" s="6" t="s">
        <v>19281</v>
      </c>
      <c r="B3669" s="6" t="s">
        <v>2383</v>
      </c>
      <c r="C3669" s="6" t="s">
        <v>112</v>
      </c>
      <c r="D3669" s="6" t="s">
        <v>56</v>
      </c>
      <c r="E3669" s="14" t="n">
        <v>2004.65</v>
      </c>
      <c r="F3669" s="14" t="n">
        <v>2004.65</v>
      </c>
      <c r="G3669" s="6" t="s">
        <v>15614</v>
      </c>
    </row>
    <row r="3670" customFormat="false" ht="15" hidden="false" customHeight="true" outlineLevel="0" collapsed="false">
      <c r="A3670" s="6" t="s">
        <v>19282</v>
      </c>
      <c r="B3670" s="6" t="s">
        <v>2383</v>
      </c>
      <c r="C3670" s="6" t="s">
        <v>112</v>
      </c>
      <c r="D3670" s="6" t="s">
        <v>57</v>
      </c>
      <c r="E3670" s="14" t="n">
        <v>2004.65</v>
      </c>
      <c r="F3670" s="14" t="n">
        <v>4009.3</v>
      </c>
      <c r="G3670" s="6" t="s">
        <v>15614</v>
      </c>
    </row>
    <row r="3671" customFormat="false" ht="15" hidden="false" customHeight="true" outlineLevel="0" collapsed="false">
      <c r="A3671" s="6" t="s">
        <v>19283</v>
      </c>
      <c r="B3671" s="6" t="s">
        <v>2383</v>
      </c>
      <c r="C3671" s="6" t="s">
        <v>112</v>
      </c>
      <c r="D3671" s="6" t="s">
        <v>58</v>
      </c>
      <c r="E3671" s="14" t="n">
        <v>2004.65</v>
      </c>
      <c r="F3671" s="14" t="n">
        <v>6013.95</v>
      </c>
      <c r="G3671" s="6" t="s">
        <v>15614</v>
      </c>
    </row>
    <row r="3672" customFormat="false" ht="15" hidden="false" customHeight="true" outlineLevel="0" collapsed="false">
      <c r="A3672" s="6" t="s">
        <v>19284</v>
      </c>
      <c r="B3672" s="6" t="s">
        <v>2385</v>
      </c>
      <c r="C3672" s="6" t="s">
        <v>116</v>
      </c>
      <c r="D3672" s="6" t="s">
        <v>36</v>
      </c>
      <c r="E3672" s="14" t="n">
        <v>2026.1</v>
      </c>
      <c r="F3672" s="14" t="n">
        <v>2026.1</v>
      </c>
      <c r="G3672" s="6" t="s">
        <v>15614</v>
      </c>
    </row>
    <row r="3673" customFormat="false" ht="15" hidden="false" customHeight="true" outlineLevel="0" collapsed="false">
      <c r="A3673" s="6" t="s">
        <v>19285</v>
      </c>
      <c r="B3673" s="6" t="s">
        <v>2385</v>
      </c>
      <c r="C3673" s="6" t="s">
        <v>116</v>
      </c>
      <c r="D3673" s="6" t="s">
        <v>37</v>
      </c>
      <c r="E3673" s="14" t="n">
        <v>2026.1</v>
      </c>
      <c r="F3673" s="14" t="n">
        <v>4052.2</v>
      </c>
      <c r="G3673" s="6" t="s">
        <v>15614</v>
      </c>
    </row>
    <row r="3674" customFormat="false" ht="15" hidden="false" customHeight="true" outlineLevel="0" collapsed="false">
      <c r="A3674" s="6" t="s">
        <v>19286</v>
      </c>
      <c r="B3674" s="6" t="s">
        <v>2385</v>
      </c>
      <c r="C3674" s="6" t="s">
        <v>116</v>
      </c>
      <c r="D3674" s="6" t="s">
        <v>38</v>
      </c>
      <c r="E3674" s="14" t="n">
        <v>2026.1</v>
      </c>
      <c r="F3674" s="14" t="n">
        <v>6078.3</v>
      </c>
      <c r="G3674" s="6" t="s">
        <v>15614</v>
      </c>
    </row>
    <row r="3675" customFormat="false" ht="15" hidden="false" customHeight="true" outlineLevel="0" collapsed="false">
      <c r="A3675" s="6" t="s">
        <v>19287</v>
      </c>
      <c r="B3675" s="6" t="s">
        <v>2387</v>
      </c>
      <c r="C3675" s="6" t="s">
        <v>128</v>
      </c>
      <c r="D3675" s="6" t="s">
        <v>41</v>
      </c>
      <c r="E3675" s="14" t="n">
        <v>1457.12</v>
      </c>
      <c r="F3675" s="14" t="n">
        <v>1457.12</v>
      </c>
      <c r="G3675" s="6" t="s">
        <v>15614</v>
      </c>
    </row>
    <row r="3676" customFormat="false" ht="15" hidden="false" customHeight="true" outlineLevel="0" collapsed="false">
      <c r="A3676" s="6" t="s">
        <v>19288</v>
      </c>
      <c r="B3676" s="6" t="s">
        <v>2387</v>
      </c>
      <c r="C3676" s="6" t="s">
        <v>128</v>
      </c>
      <c r="D3676" s="6" t="s">
        <v>42</v>
      </c>
      <c r="E3676" s="14" t="n">
        <v>1457.12</v>
      </c>
      <c r="F3676" s="14" t="n">
        <v>2914.24</v>
      </c>
      <c r="G3676" s="6" t="s">
        <v>15614</v>
      </c>
    </row>
    <row r="3677" customFormat="false" ht="15" hidden="false" customHeight="true" outlineLevel="0" collapsed="false">
      <c r="A3677" s="6" t="s">
        <v>19289</v>
      </c>
      <c r="B3677" s="6" t="s">
        <v>2387</v>
      </c>
      <c r="C3677" s="6" t="s">
        <v>128</v>
      </c>
      <c r="D3677" s="6" t="s">
        <v>43</v>
      </c>
      <c r="E3677" s="14" t="n">
        <v>1457.12</v>
      </c>
      <c r="F3677" s="14" t="n">
        <v>4371.36</v>
      </c>
      <c r="G3677" s="6" t="s">
        <v>15614</v>
      </c>
    </row>
    <row r="3678" customFormat="false" ht="15" hidden="false" customHeight="true" outlineLevel="0" collapsed="false">
      <c r="A3678" s="6" t="s">
        <v>19290</v>
      </c>
      <c r="B3678" s="6" t="s">
        <v>2387</v>
      </c>
      <c r="C3678" s="6" t="s">
        <v>128</v>
      </c>
      <c r="D3678" s="6" t="s">
        <v>44</v>
      </c>
      <c r="E3678" s="14" t="n">
        <v>1457.12</v>
      </c>
      <c r="F3678" s="14" t="n">
        <v>5828.48</v>
      </c>
      <c r="G3678" s="6" t="s">
        <v>15614</v>
      </c>
    </row>
    <row r="3679" customFormat="false" ht="15" hidden="false" customHeight="true" outlineLevel="0" collapsed="false">
      <c r="A3679" s="6" t="s">
        <v>19291</v>
      </c>
      <c r="B3679" s="6" t="s">
        <v>2387</v>
      </c>
      <c r="C3679" s="6" t="s">
        <v>128</v>
      </c>
      <c r="D3679" s="6" t="s">
        <v>45</v>
      </c>
      <c r="E3679" s="14" t="n">
        <v>1457.12</v>
      </c>
      <c r="F3679" s="14" t="n">
        <v>7285.6</v>
      </c>
      <c r="G3679" s="6" t="s">
        <v>15614</v>
      </c>
    </row>
    <row r="3680" customFormat="false" ht="15" hidden="false" customHeight="true" outlineLevel="0" collapsed="false">
      <c r="A3680" s="6" t="s">
        <v>19292</v>
      </c>
      <c r="B3680" s="6" t="s">
        <v>2389</v>
      </c>
      <c r="C3680" s="6" t="s">
        <v>131</v>
      </c>
      <c r="D3680" s="6" t="s">
        <v>33</v>
      </c>
      <c r="E3680" s="14" t="n">
        <v>209.91</v>
      </c>
      <c r="F3680" s="14" t="n">
        <v>209.91</v>
      </c>
      <c r="G3680" s="6" t="s">
        <v>15614</v>
      </c>
    </row>
    <row r="3681" customFormat="false" ht="15" hidden="false" customHeight="true" outlineLevel="0" collapsed="false">
      <c r="A3681" s="6" t="s">
        <v>19293</v>
      </c>
      <c r="B3681" s="6" t="s">
        <v>2389</v>
      </c>
      <c r="C3681" s="6" t="s">
        <v>131</v>
      </c>
      <c r="D3681" s="6" t="s">
        <v>34</v>
      </c>
      <c r="E3681" s="14" t="n">
        <v>209.91</v>
      </c>
      <c r="F3681" s="14" t="n">
        <v>419.82</v>
      </c>
      <c r="G3681" s="6" t="s">
        <v>15614</v>
      </c>
    </row>
    <row r="3682" customFormat="false" ht="15" hidden="false" customHeight="true" outlineLevel="0" collapsed="false">
      <c r="A3682" s="6" t="s">
        <v>19294</v>
      </c>
      <c r="B3682" s="6" t="s">
        <v>2389</v>
      </c>
      <c r="C3682" s="6" t="s">
        <v>131</v>
      </c>
      <c r="D3682" s="6" t="s">
        <v>35</v>
      </c>
      <c r="E3682" s="14" t="n">
        <v>209.91</v>
      </c>
      <c r="F3682" s="14" t="n">
        <v>629.73</v>
      </c>
      <c r="G3682" s="6" t="s">
        <v>15614</v>
      </c>
    </row>
    <row r="3683" customFormat="false" ht="15" hidden="false" customHeight="true" outlineLevel="0" collapsed="false">
      <c r="A3683" s="6" t="s">
        <v>19295</v>
      </c>
      <c r="B3683" s="6" t="s">
        <v>2391</v>
      </c>
      <c r="C3683" s="6" t="s">
        <v>128</v>
      </c>
      <c r="D3683" s="6" t="s">
        <v>18</v>
      </c>
      <c r="E3683" s="14" t="n">
        <v>5265.76</v>
      </c>
      <c r="F3683" s="14" t="n">
        <v>5265.76</v>
      </c>
      <c r="G3683" s="6" t="s">
        <v>15614</v>
      </c>
    </row>
    <row r="3684" customFormat="false" ht="15" hidden="false" customHeight="true" outlineLevel="0" collapsed="false">
      <c r="A3684" s="6" t="s">
        <v>19296</v>
      </c>
      <c r="B3684" s="6" t="s">
        <v>2391</v>
      </c>
      <c r="C3684" s="6" t="s">
        <v>128</v>
      </c>
      <c r="D3684" s="6" t="s">
        <v>19</v>
      </c>
      <c r="E3684" s="14" t="n">
        <v>5265.76</v>
      </c>
      <c r="F3684" s="14" t="n">
        <v>10531.52</v>
      </c>
      <c r="G3684" s="6" t="s">
        <v>15614</v>
      </c>
    </row>
    <row r="3685" customFormat="false" ht="15" hidden="false" customHeight="true" outlineLevel="0" collapsed="false">
      <c r="A3685" s="6" t="s">
        <v>19297</v>
      </c>
      <c r="B3685" s="6" t="s">
        <v>2393</v>
      </c>
      <c r="C3685" s="6" t="s">
        <v>120</v>
      </c>
      <c r="D3685" s="6" t="s">
        <v>38</v>
      </c>
      <c r="E3685" s="14" t="n">
        <v>2294.98</v>
      </c>
      <c r="F3685" s="14" t="n">
        <v>2294.98</v>
      </c>
      <c r="G3685" s="6" t="s">
        <v>15614</v>
      </c>
    </row>
    <row r="3686" customFormat="false" ht="15" hidden="false" customHeight="true" outlineLevel="0" collapsed="false">
      <c r="A3686" s="6" t="s">
        <v>19298</v>
      </c>
      <c r="B3686" s="6" t="s">
        <v>2393</v>
      </c>
      <c r="C3686" s="6" t="s">
        <v>120</v>
      </c>
      <c r="D3686" s="6" t="s">
        <v>39</v>
      </c>
      <c r="E3686" s="14" t="n">
        <v>2294.98</v>
      </c>
      <c r="F3686" s="14" t="n">
        <v>4589.96</v>
      </c>
      <c r="G3686" s="6" t="s">
        <v>15614</v>
      </c>
    </row>
    <row r="3687" customFormat="false" ht="15" hidden="false" customHeight="true" outlineLevel="0" collapsed="false">
      <c r="A3687" s="6" t="s">
        <v>19299</v>
      </c>
      <c r="B3687" s="6" t="s">
        <v>2393</v>
      </c>
      <c r="C3687" s="6" t="s">
        <v>120</v>
      </c>
      <c r="D3687" s="6" t="s">
        <v>40</v>
      </c>
      <c r="E3687" s="14" t="n">
        <v>2294.98</v>
      </c>
      <c r="F3687" s="14" t="n">
        <v>6884.94</v>
      </c>
      <c r="G3687" s="6" t="s">
        <v>15614</v>
      </c>
    </row>
    <row r="3688" customFormat="false" ht="15" hidden="false" customHeight="true" outlineLevel="0" collapsed="false">
      <c r="A3688" s="6" t="s">
        <v>19300</v>
      </c>
      <c r="B3688" s="6" t="s">
        <v>2395</v>
      </c>
      <c r="C3688" s="6" t="s">
        <v>116</v>
      </c>
      <c r="D3688" s="6" t="s">
        <v>21</v>
      </c>
      <c r="E3688" s="14" t="n">
        <v>4427.77</v>
      </c>
      <c r="F3688" s="14" t="n">
        <v>4427.77</v>
      </c>
      <c r="G3688" s="6" t="s">
        <v>15614</v>
      </c>
    </row>
    <row r="3689" customFormat="false" ht="15" hidden="false" customHeight="true" outlineLevel="0" collapsed="false">
      <c r="A3689" s="6" t="s">
        <v>19301</v>
      </c>
      <c r="B3689" s="6" t="s">
        <v>2395</v>
      </c>
      <c r="C3689" s="6" t="s">
        <v>116</v>
      </c>
      <c r="D3689" s="6" t="s">
        <v>22</v>
      </c>
      <c r="E3689" s="14" t="n">
        <v>4427.77</v>
      </c>
      <c r="F3689" s="14" t="n">
        <v>8855.54</v>
      </c>
      <c r="G3689" s="6" t="s">
        <v>15614</v>
      </c>
    </row>
    <row r="3690" customFormat="false" ht="15" hidden="false" customHeight="true" outlineLevel="0" collapsed="false">
      <c r="A3690" s="6" t="s">
        <v>19302</v>
      </c>
      <c r="B3690" s="6" t="s">
        <v>2395</v>
      </c>
      <c r="C3690" s="6" t="s">
        <v>116</v>
      </c>
      <c r="D3690" s="6" t="s">
        <v>23</v>
      </c>
      <c r="E3690" s="14" t="n">
        <v>4427.77</v>
      </c>
      <c r="F3690" s="14" t="n">
        <v>13283.31</v>
      </c>
      <c r="G3690" s="6" t="s">
        <v>15614</v>
      </c>
    </row>
    <row r="3691" customFormat="false" ht="15" hidden="false" customHeight="true" outlineLevel="0" collapsed="false">
      <c r="A3691" s="6" t="s">
        <v>19303</v>
      </c>
      <c r="B3691" s="6" t="s">
        <v>2395</v>
      </c>
      <c r="C3691" s="6" t="s">
        <v>116</v>
      </c>
      <c r="D3691" s="6" t="s">
        <v>24</v>
      </c>
      <c r="E3691" s="14" t="n">
        <v>4427.77</v>
      </c>
      <c r="F3691" s="14" t="n">
        <v>17711.08</v>
      </c>
      <c r="G3691" s="6" t="s">
        <v>15614</v>
      </c>
    </row>
    <row r="3692" customFormat="false" ht="15" hidden="false" customHeight="true" outlineLevel="0" collapsed="false">
      <c r="A3692" s="6" t="s">
        <v>19304</v>
      </c>
      <c r="B3692" s="6" t="s">
        <v>2397</v>
      </c>
      <c r="C3692" s="6" t="s">
        <v>112</v>
      </c>
      <c r="D3692" s="6" t="s">
        <v>52</v>
      </c>
      <c r="E3692" s="14" t="n">
        <v>1756.55</v>
      </c>
      <c r="F3692" s="14" t="n">
        <v>1756.55</v>
      </c>
      <c r="G3692" s="6" t="s">
        <v>15614</v>
      </c>
    </row>
    <row r="3693" customFormat="false" ht="15" hidden="false" customHeight="true" outlineLevel="0" collapsed="false">
      <c r="A3693" s="6" t="s">
        <v>19305</v>
      </c>
      <c r="B3693" s="6" t="s">
        <v>2397</v>
      </c>
      <c r="C3693" s="6" t="s">
        <v>112</v>
      </c>
      <c r="D3693" s="6" t="s">
        <v>53</v>
      </c>
      <c r="E3693" s="14" t="n">
        <v>1756.55</v>
      </c>
      <c r="F3693" s="14" t="n">
        <v>3513.1</v>
      </c>
      <c r="G3693" s="6" t="s">
        <v>15614</v>
      </c>
    </row>
    <row r="3694" customFormat="false" ht="15" hidden="false" customHeight="true" outlineLevel="0" collapsed="false">
      <c r="A3694" s="6" t="s">
        <v>19306</v>
      </c>
      <c r="B3694" s="6" t="s">
        <v>2399</v>
      </c>
      <c r="C3694" s="6" t="s">
        <v>116</v>
      </c>
      <c r="D3694" s="6" t="s">
        <v>13</v>
      </c>
      <c r="E3694" s="14" t="n">
        <v>1647.28</v>
      </c>
      <c r="F3694" s="14" t="n">
        <v>1647.28</v>
      </c>
      <c r="G3694" s="6" t="s">
        <v>15614</v>
      </c>
    </row>
    <row r="3695" customFormat="false" ht="15" hidden="false" customHeight="true" outlineLevel="0" collapsed="false">
      <c r="A3695" s="6" t="s">
        <v>19307</v>
      </c>
      <c r="B3695" s="6" t="s">
        <v>2399</v>
      </c>
      <c r="C3695" s="6" t="s">
        <v>116</v>
      </c>
      <c r="D3695" s="6" t="s">
        <v>14</v>
      </c>
      <c r="E3695" s="14" t="n">
        <v>1647.28</v>
      </c>
      <c r="F3695" s="14" t="n">
        <v>3294.56</v>
      </c>
      <c r="G3695" s="6" t="s">
        <v>15614</v>
      </c>
    </row>
    <row r="3696" customFormat="false" ht="15" hidden="false" customHeight="true" outlineLevel="0" collapsed="false">
      <c r="A3696" s="6" t="s">
        <v>19308</v>
      </c>
      <c r="B3696" s="6" t="s">
        <v>2399</v>
      </c>
      <c r="C3696" s="6" t="s">
        <v>116</v>
      </c>
      <c r="D3696" s="6" t="s">
        <v>15</v>
      </c>
      <c r="E3696" s="14" t="n">
        <v>1647.28</v>
      </c>
      <c r="F3696" s="14" t="n">
        <v>4941.84</v>
      </c>
      <c r="G3696" s="6" t="s">
        <v>15614</v>
      </c>
    </row>
    <row r="3697" customFormat="false" ht="15" hidden="false" customHeight="true" outlineLevel="0" collapsed="false">
      <c r="A3697" s="6" t="s">
        <v>19309</v>
      </c>
      <c r="B3697" s="6" t="s">
        <v>2399</v>
      </c>
      <c r="C3697" s="6" t="s">
        <v>116</v>
      </c>
      <c r="D3697" s="6" t="s">
        <v>16</v>
      </c>
      <c r="E3697" s="14" t="n">
        <v>1647.28</v>
      </c>
      <c r="F3697" s="14" t="n">
        <v>6589.12</v>
      </c>
      <c r="G3697" s="6" t="s">
        <v>15614</v>
      </c>
    </row>
    <row r="3698" customFormat="false" ht="15" hidden="false" customHeight="true" outlineLevel="0" collapsed="false">
      <c r="A3698" s="6" t="s">
        <v>19310</v>
      </c>
      <c r="B3698" s="6" t="s">
        <v>2399</v>
      </c>
      <c r="C3698" s="6" t="s">
        <v>116</v>
      </c>
      <c r="D3698" s="6" t="s">
        <v>17</v>
      </c>
      <c r="E3698" s="14" t="n">
        <v>1647.28</v>
      </c>
      <c r="F3698" s="14" t="n">
        <v>8236.4</v>
      </c>
      <c r="G3698" s="6" t="s">
        <v>15614</v>
      </c>
    </row>
    <row r="3699" customFormat="false" ht="15" hidden="false" customHeight="true" outlineLevel="0" collapsed="false">
      <c r="A3699" s="6" t="s">
        <v>19311</v>
      </c>
      <c r="B3699" s="6" t="s">
        <v>2401</v>
      </c>
      <c r="C3699" s="6" t="s">
        <v>131</v>
      </c>
      <c r="D3699" s="6" t="s">
        <v>25</v>
      </c>
      <c r="E3699" s="14" t="n">
        <v>917.26</v>
      </c>
      <c r="F3699" s="14" t="n">
        <v>917.26</v>
      </c>
      <c r="G3699" s="6" t="s">
        <v>15614</v>
      </c>
    </row>
    <row r="3700" customFormat="false" ht="15" hidden="false" customHeight="true" outlineLevel="0" collapsed="false">
      <c r="A3700" s="6" t="s">
        <v>19312</v>
      </c>
      <c r="B3700" s="6" t="s">
        <v>2401</v>
      </c>
      <c r="C3700" s="6" t="s">
        <v>131</v>
      </c>
      <c r="D3700" s="6" t="s">
        <v>26</v>
      </c>
      <c r="E3700" s="14" t="n">
        <v>917.26</v>
      </c>
      <c r="F3700" s="14" t="n">
        <v>1834.52</v>
      </c>
      <c r="G3700" s="6" t="s">
        <v>15614</v>
      </c>
    </row>
    <row r="3701" customFormat="false" ht="15" hidden="false" customHeight="true" outlineLevel="0" collapsed="false">
      <c r="A3701" s="6" t="s">
        <v>19313</v>
      </c>
      <c r="B3701" s="6" t="s">
        <v>2403</v>
      </c>
      <c r="C3701" s="6" t="s">
        <v>112</v>
      </c>
      <c r="D3701" s="6" t="s">
        <v>39</v>
      </c>
      <c r="E3701" s="14" t="n">
        <v>486</v>
      </c>
      <c r="F3701" s="14" t="n">
        <v>486</v>
      </c>
      <c r="G3701" s="6" t="s">
        <v>15614</v>
      </c>
    </row>
    <row r="3702" customFormat="false" ht="15" hidden="false" customHeight="true" outlineLevel="0" collapsed="false">
      <c r="A3702" s="6" t="s">
        <v>19314</v>
      </c>
      <c r="B3702" s="6" t="s">
        <v>2403</v>
      </c>
      <c r="C3702" s="6" t="s">
        <v>112</v>
      </c>
      <c r="D3702" s="6" t="s">
        <v>40</v>
      </c>
      <c r="E3702" s="14" t="n">
        <v>486</v>
      </c>
      <c r="F3702" s="14" t="n">
        <v>972</v>
      </c>
      <c r="G3702" s="6" t="s">
        <v>15614</v>
      </c>
    </row>
    <row r="3703" customFormat="false" ht="15" hidden="false" customHeight="true" outlineLevel="0" collapsed="false">
      <c r="A3703" s="6" t="s">
        <v>19315</v>
      </c>
      <c r="B3703" s="6" t="s">
        <v>2403</v>
      </c>
      <c r="C3703" s="6" t="s">
        <v>112</v>
      </c>
      <c r="D3703" s="6" t="s">
        <v>41</v>
      </c>
      <c r="E3703" s="14" t="n">
        <v>486</v>
      </c>
      <c r="F3703" s="14" t="n">
        <v>1458</v>
      </c>
      <c r="G3703" s="6" t="s">
        <v>15614</v>
      </c>
    </row>
    <row r="3704" customFormat="false" ht="15" hidden="false" customHeight="true" outlineLevel="0" collapsed="false">
      <c r="A3704" s="6" t="s">
        <v>19316</v>
      </c>
      <c r="B3704" s="6" t="s">
        <v>2405</v>
      </c>
      <c r="C3704" s="6" t="s">
        <v>131</v>
      </c>
      <c r="D3704" s="6" t="s">
        <v>13</v>
      </c>
      <c r="E3704" s="14" t="n">
        <v>2282.01</v>
      </c>
      <c r="F3704" s="14" t="n">
        <v>2282.01</v>
      </c>
      <c r="G3704" s="6" t="s">
        <v>15614</v>
      </c>
    </row>
    <row r="3705" customFormat="false" ht="15" hidden="false" customHeight="true" outlineLevel="0" collapsed="false">
      <c r="A3705" s="6" t="s">
        <v>19317</v>
      </c>
      <c r="B3705" s="6" t="s">
        <v>2405</v>
      </c>
      <c r="C3705" s="6" t="s">
        <v>131</v>
      </c>
      <c r="D3705" s="6" t="s">
        <v>14</v>
      </c>
      <c r="E3705" s="14" t="n">
        <v>2282.01</v>
      </c>
      <c r="F3705" s="14" t="n">
        <v>4564.02</v>
      </c>
      <c r="G3705" s="6" t="s">
        <v>15614</v>
      </c>
    </row>
    <row r="3706" customFormat="false" ht="15" hidden="false" customHeight="true" outlineLevel="0" collapsed="false">
      <c r="A3706" s="6" t="s">
        <v>19318</v>
      </c>
      <c r="B3706" s="6" t="s">
        <v>2407</v>
      </c>
      <c r="C3706" s="6" t="s">
        <v>131</v>
      </c>
      <c r="D3706" s="6" t="s">
        <v>49</v>
      </c>
      <c r="E3706" s="14" t="n">
        <v>1539.21</v>
      </c>
      <c r="F3706" s="14" t="n">
        <v>1539.21</v>
      </c>
      <c r="G3706" s="6" t="s">
        <v>15614</v>
      </c>
    </row>
    <row r="3707" customFormat="false" ht="15" hidden="false" customHeight="true" outlineLevel="0" collapsed="false">
      <c r="A3707" s="6" t="s">
        <v>19319</v>
      </c>
      <c r="B3707" s="6" t="s">
        <v>2407</v>
      </c>
      <c r="C3707" s="6" t="s">
        <v>131</v>
      </c>
      <c r="D3707" s="6" t="s">
        <v>50</v>
      </c>
      <c r="E3707" s="14" t="n">
        <v>1539.21</v>
      </c>
      <c r="F3707" s="14" t="n">
        <v>3078.42</v>
      </c>
      <c r="G3707" s="6" t="s">
        <v>15614</v>
      </c>
    </row>
    <row r="3708" customFormat="false" ht="15" hidden="false" customHeight="true" outlineLevel="0" collapsed="false">
      <c r="A3708" s="6" t="s">
        <v>19320</v>
      </c>
      <c r="B3708" s="6" t="s">
        <v>2407</v>
      </c>
      <c r="C3708" s="6" t="s">
        <v>131</v>
      </c>
      <c r="D3708" s="6" t="s">
        <v>51</v>
      </c>
      <c r="E3708" s="14" t="n">
        <v>1539.21</v>
      </c>
      <c r="F3708" s="14" t="n">
        <v>4617.63</v>
      </c>
      <c r="G3708" s="6" t="s">
        <v>15614</v>
      </c>
    </row>
    <row r="3709" customFormat="false" ht="15" hidden="false" customHeight="true" outlineLevel="0" collapsed="false">
      <c r="A3709" s="6" t="s">
        <v>19321</v>
      </c>
      <c r="B3709" s="6" t="s">
        <v>2409</v>
      </c>
      <c r="C3709" s="6" t="s">
        <v>124</v>
      </c>
      <c r="D3709" s="6" t="s">
        <v>23</v>
      </c>
      <c r="E3709" s="14" t="n">
        <v>826.8</v>
      </c>
      <c r="F3709" s="14" t="n">
        <v>826.8</v>
      </c>
      <c r="G3709" s="6" t="s">
        <v>15614</v>
      </c>
    </row>
    <row r="3710" customFormat="false" ht="15" hidden="false" customHeight="true" outlineLevel="0" collapsed="false">
      <c r="A3710" s="6" t="s">
        <v>19322</v>
      </c>
      <c r="B3710" s="6" t="s">
        <v>2409</v>
      </c>
      <c r="C3710" s="6" t="s">
        <v>124</v>
      </c>
      <c r="D3710" s="6" t="s">
        <v>24</v>
      </c>
      <c r="E3710" s="14" t="n">
        <v>826.8</v>
      </c>
      <c r="F3710" s="14" t="n">
        <v>1653.6</v>
      </c>
      <c r="G3710" s="6" t="s">
        <v>15614</v>
      </c>
    </row>
    <row r="3711" customFormat="false" ht="15" hidden="false" customHeight="true" outlineLevel="0" collapsed="false">
      <c r="A3711" s="6" t="s">
        <v>19323</v>
      </c>
      <c r="B3711" s="6" t="s">
        <v>2411</v>
      </c>
      <c r="C3711" s="6" t="s">
        <v>131</v>
      </c>
      <c r="D3711" s="6" t="s">
        <v>43</v>
      </c>
      <c r="E3711" s="14" t="n">
        <v>744.19</v>
      </c>
      <c r="F3711" s="14" t="n">
        <v>744.19</v>
      </c>
      <c r="G3711" s="6" t="s">
        <v>15614</v>
      </c>
    </row>
    <row r="3712" customFormat="false" ht="15" hidden="false" customHeight="true" outlineLevel="0" collapsed="false">
      <c r="A3712" s="6" t="s">
        <v>19324</v>
      </c>
      <c r="B3712" s="6" t="s">
        <v>2411</v>
      </c>
      <c r="C3712" s="6" t="s">
        <v>131</v>
      </c>
      <c r="D3712" s="6" t="s">
        <v>44</v>
      </c>
      <c r="E3712" s="14" t="n">
        <v>744.19</v>
      </c>
      <c r="F3712" s="14" t="n">
        <v>1488.38</v>
      </c>
      <c r="G3712" s="6" t="s">
        <v>15614</v>
      </c>
    </row>
    <row r="3713" customFormat="false" ht="15" hidden="false" customHeight="true" outlineLevel="0" collapsed="false">
      <c r="A3713" s="6" t="s">
        <v>19325</v>
      </c>
      <c r="B3713" s="6" t="s">
        <v>2411</v>
      </c>
      <c r="C3713" s="6" t="s">
        <v>131</v>
      </c>
      <c r="D3713" s="6" t="s">
        <v>45</v>
      </c>
      <c r="E3713" s="14" t="n">
        <v>744.19</v>
      </c>
      <c r="F3713" s="14" t="n">
        <v>2232.57</v>
      </c>
      <c r="G3713" s="6" t="s">
        <v>15614</v>
      </c>
    </row>
    <row r="3714" customFormat="false" ht="15" hidden="false" customHeight="true" outlineLevel="0" collapsed="false">
      <c r="A3714" s="6" t="s">
        <v>19326</v>
      </c>
      <c r="B3714" s="6" t="s">
        <v>2411</v>
      </c>
      <c r="C3714" s="6" t="s">
        <v>131</v>
      </c>
      <c r="D3714" s="6" t="s">
        <v>46</v>
      </c>
      <c r="E3714" s="14" t="n">
        <v>744.19</v>
      </c>
      <c r="F3714" s="14" t="n">
        <v>2976.76</v>
      </c>
      <c r="G3714" s="6" t="s">
        <v>15614</v>
      </c>
    </row>
    <row r="3715" customFormat="false" ht="15" hidden="false" customHeight="true" outlineLevel="0" collapsed="false">
      <c r="A3715" s="6" t="s">
        <v>19327</v>
      </c>
      <c r="B3715" s="6" t="s">
        <v>2413</v>
      </c>
      <c r="C3715" s="6" t="s">
        <v>124</v>
      </c>
      <c r="D3715" s="6" t="s">
        <v>45</v>
      </c>
      <c r="E3715" s="14" t="n">
        <v>1224.66</v>
      </c>
      <c r="F3715" s="14" t="n">
        <v>1224.66</v>
      </c>
      <c r="G3715" s="6" t="s">
        <v>15614</v>
      </c>
    </row>
    <row r="3716" customFormat="false" ht="15" hidden="false" customHeight="true" outlineLevel="0" collapsed="false">
      <c r="A3716" s="6" t="s">
        <v>19328</v>
      </c>
      <c r="B3716" s="6" t="s">
        <v>2413</v>
      </c>
      <c r="C3716" s="6" t="s">
        <v>124</v>
      </c>
      <c r="D3716" s="6" t="s">
        <v>46</v>
      </c>
      <c r="E3716" s="14" t="n">
        <v>1224.66</v>
      </c>
      <c r="F3716" s="14" t="n">
        <v>2449.32</v>
      </c>
      <c r="G3716" s="6" t="s">
        <v>15614</v>
      </c>
    </row>
    <row r="3717" customFormat="false" ht="15" hidden="false" customHeight="true" outlineLevel="0" collapsed="false">
      <c r="A3717" s="6" t="s">
        <v>19329</v>
      </c>
      <c r="B3717" s="6" t="s">
        <v>2415</v>
      </c>
      <c r="C3717" s="6" t="s">
        <v>124</v>
      </c>
      <c r="D3717" s="6" t="s">
        <v>40</v>
      </c>
      <c r="E3717" s="14" t="n">
        <v>1696.99</v>
      </c>
      <c r="F3717" s="14" t="n">
        <v>1696.99</v>
      </c>
      <c r="G3717" s="6" t="s">
        <v>15614</v>
      </c>
    </row>
    <row r="3718" customFormat="false" ht="15" hidden="false" customHeight="true" outlineLevel="0" collapsed="false">
      <c r="A3718" s="6" t="s">
        <v>19330</v>
      </c>
      <c r="B3718" s="6" t="s">
        <v>2415</v>
      </c>
      <c r="C3718" s="6" t="s">
        <v>124</v>
      </c>
      <c r="D3718" s="6" t="s">
        <v>41</v>
      </c>
      <c r="E3718" s="14" t="n">
        <v>1696.99</v>
      </c>
      <c r="F3718" s="14" t="n">
        <v>3393.98</v>
      </c>
      <c r="G3718" s="6" t="s">
        <v>15614</v>
      </c>
    </row>
    <row r="3719" customFormat="false" ht="15" hidden="false" customHeight="true" outlineLevel="0" collapsed="false">
      <c r="A3719" s="6" t="s">
        <v>19331</v>
      </c>
      <c r="B3719" s="6" t="s">
        <v>2415</v>
      </c>
      <c r="C3719" s="6" t="s">
        <v>124</v>
      </c>
      <c r="D3719" s="6" t="s">
        <v>42</v>
      </c>
      <c r="E3719" s="14" t="n">
        <v>1696.99</v>
      </c>
      <c r="F3719" s="14" t="n">
        <v>5090.97</v>
      </c>
      <c r="G3719" s="6" t="s">
        <v>15614</v>
      </c>
    </row>
    <row r="3720" customFormat="false" ht="15" hidden="false" customHeight="true" outlineLevel="0" collapsed="false">
      <c r="A3720" s="6" t="s">
        <v>19332</v>
      </c>
      <c r="B3720" s="6" t="s">
        <v>2415</v>
      </c>
      <c r="C3720" s="6" t="s">
        <v>124</v>
      </c>
      <c r="D3720" s="6" t="s">
        <v>43</v>
      </c>
      <c r="E3720" s="14" t="n">
        <v>1696.99</v>
      </c>
      <c r="F3720" s="14" t="n">
        <v>6787.96</v>
      </c>
      <c r="G3720" s="6" t="s">
        <v>15614</v>
      </c>
    </row>
    <row r="3721" customFormat="false" ht="15" hidden="false" customHeight="true" outlineLevel="0" collapsed="false">
      <c r="A3721" s="6" t="s">
        <v>19333</v>
      </c>
      <c r="B3721" s="6" t="s">
        <v>2417</v>
      </c>
      <c r="C3721" s="6" t="s">
        <v>112</v>
      </c>
      <c r="D3721" s="6" t="s">
        <v>51</v>
      </c>
      <c r="E3721" s="14" t="n">
        <v>440.12</v>
      </c>
      <c r="F3721" s="14" t="n">
        <v>440.12</v>
      </c>
      <c r="G3721" s="6" t="s">
        <v>15614</v>
      </c>
    </row>
    <row r="3722" customFormat="false" ht="15" hidden="false" customHeight="true" outlineLevel="0" collapsed="false">
      <c r="A3722" s="6" t="s">
        <v>19334</v>
      </c>
      <c r="B3722" s="6" t="s">
        <v>2417</v>
      </c>
      <c r="C3722" s="6" t="s">
        <v>112</v>
      </c>
      <c r="D3722" s="6" t="s">
        <v>52</v>
      </c>
      <c r="E3722" s="14" t="n">
        <v>440.12</v>
      </c>
      <c r="F3722" s="14" t="n">
        <v>880.24</v>
      </c>
      <c r="G3722" s="6" t="s">
        <v>15614</v>
      </c>
    </row>
    <row r="3723" customFormat="false" ht="15" hidden="false" customHeight="true" outlineLevel="0" collapsed="false">
      <c r="A3723" s="6" t="s">
        <v>19335</v>
      </c>
      <c r="B3723" s="6" t="s">
        <v>2417</v>
      </c>
      <c r="C3723" s="6" t="s">
        <v>112</v>
      </c>
      <c r="D3723" s="6" t="s">
        <v>53</v>
      </c>
      <c r="E3723" s="14" t="n">
        <v>440.12</v>
      </c>
      <c r="F3723" s="14" t="n">
        <v>1320.36</v>
      </c>
      <c r="G3723" s="6" t="s">
        <v>15614</v>
      </c>
    </row>
    <row r="3724" customFormat="false" ht="15" hidden="false" customHeight="true" outlineLevel="0" collapsed="false">
      <c r="A3724" s="6" t="s">
        <v>19336</v>
      </c>
      <c r="B3724" s="6" t="s">
        <v>2419</v>
      </c>
      <c r="C3724" s="6" t="s">
        <v>112</v>
      </c>
      <c r="D3724" s="6" t="s">
        <v>54</v>
      </c>
      <c r="E3724" s="14" t="n">
        <v>60</v>
      </c>
      <c r="F3724" s="14" t="n">
        <v>60</v>
      </c>
      <c r="G3724" s="6" t="s">
        <v>15614</v>
      </c>
    </row>
    <row r="3725" customFormat="false" ht="15" hidden="false" customHeight="true" outlineLevel="0" collapsed="false">
      <c r="A3725" s="6" t="s">
        <v>19337</v>
      </c>
      <c r="B3725" s="6" t="s">
        <v>2419</v>
      </c>
      <c r="C3725" s="6" t="s">
        <v>112</v>
      </c>
      <c r="D3725" s="6" t="s">
        <v>55</v>
      </c>
      <c r="E3725" s="14" t="n">
        <v>60</v>
      </c>
      <c r="F3725" s="14" t="n">
        <v>120</v>
      </c>
      <c r="G3725" s="6" t="s">
        <v>15614</v>
      </c>
    </row>
    <row r="3726" customFormat="false" ht="15" hidden="false" customHeight="true" outlineLevel="0" collapsed="false">
      <c r="A3726" s="6" t="s">
        <v>19338</v>
      </c>
      <c r="B3726" s="6" t="s">
        <v>2419</v>
      </c>
      <c r="C3726" s="6" t="s">
        <v>112</v>
      </c>
      <c r="D3726" s="6" t="s">
        <v>56</v>
      </c>
      <c r="E3726" s="14" t="n">
        <v>60</v>
      </c>
      <c r="F3726" s="14" t="n">
        <v>180</v>
      </c>
      <c r="G3726" s="6" t="s">
        <v>15614</v>
      </c>
    </row>
    <row r="3727" customFormat="false" ht="15" hidden="false" customHeight="true" outlineLevel="0" collapsed="false">
      <c r="A3727" s="6" t="s">
        <v>19339</v>
      </c>
      <c r="B3727" s="6" t="s">
        <v>2421</v>
      </c>
      <c r="C3727" s="6" t="s">
        <v>128</v>
      </c>
      <c r="D3727" s="6" t="s">
        <v>39</v>
      </c>
      <c r="E3727" s="14" t="n">
        <v>3264.3</v>
      </c>
      <c r="F3727" s="14" t="n">
        <v>3264.3</v>
      </c>
      <c r="G3727" s="6" t="s">
        <v>15614</v>
      </c>
    </row>
    <row r="3728" customFormat="false" ht="15" hidden="false" customHeight="true" outlineLevel="0" collapsed="false">
      <c r="A3728" s="6" t="s">
        <v>19340</v>
      </c>
      <c r="B3728" s="6" t="s">
        <v>2421</v>
      </c>
      <c r="C3728" s="6" t="s">
        <v>128</v>
      </c>
      <c r="D3728" s="6" t="s">
        <v>40</v>
      </c>
      <c r="E3728" s="14" t="n">
        <v>3264.3</v>
      </c>
      <c r="F3728" s="14" t="n">
        <v>6528.6</v>
      </c>
      <c r="G3728" s="6" t="s">
        <v>15614</v>
      </c>
    </row>
    <row r="3729" customFormat="false" ht="15" hidden="false" customHeight="true" outlineLevel="0" collapsed="false">
      <c r="A3729" s="6" t="s">
        <v>19341</v>
      </c>
      <c r="B3729" s="6" t="s">
        <v>2423</v>
      </c>
      <c r="C3729" s="6" t="s">
        <v>124</v>
      </c>
      <c r="D3729" s="6" t="s">
        <v>21</v>
      </c>
      <c r="E3729" s="14" t="n">
        <v>768.15</v>
      </c>
      <c r="F3729" s="14" t="n">
        <v>768.15</v>
      </c>
      <c r="G3729" s="6" t="s">
        <v>15614</v>
      </c>
    </row>
    <row r="3730" customFormat="false" ht="15" hidden="false" customHeight="true" outlineLevel="0" collapsed="false">
      <c r="A3730" s="6" t="s">
        <v>19342</v>
      </c>
      <c r="B3730" s="6" t="s">
        <v>2423</v>
      </c>
      <c r="C3730" s="6" t="s">
        <v>124</v>
      </c>
      <c r="D3730" s="6" t="s">
        <v>22</v>
      </c>
      <c r="E3730" s="14" t="n">
        <v>768.15</v>
      </c>
      <c r="F3730" s="14" t="n">
        <v>1536.3</v>
      </c>
      <c r="G3730" s="6" t="s">
        <v>15614</v>
      </c>
    </row>
    <row r="3731" customFormat="false" ht="15" hidden="false" customHeight="true" outlineLevel="0" collapsed="false">
      <c r="A3731" s="6" t="s">
        <v>19343</v>
      </c>
      <c r="B3731" s="6" t="s">
        <v>2423</v>
      </c>
      <c r="C3731" s="6" t="s">
        <v>124</v>
      </c>
      <c r="D3731" s="6" t="s">
        <v>23</v>
      </c>
      <c r="E3731" s="14" t="n">
        <v>768.15</v>
      </c>
      <c r="F3731" s="14" t="n">
        <v>2304.45</v>
      </c>
      <c r="G3731" s="6" t="s">
        <v>15614</v>
      </c>
    </row>
    <row r="3732" customFormat="false" ht="15" hidden="false" customHeight="true" outlineLevel="0" collapsed="false">
      <c r="A3732" s="6" t="s">
        <v>19344</v>
      </c>
      <c r="B3732" s="6" t="s">
        <v>2423</v>
      </c>
      <c r="C3732" s="6" t="s">
        <v>124</v>
      </c>
      <c r="D3732" s="6" t="s">
        <v>24</v>
      </c>
      <c r="E3732" s="14" t="n">
        <v>768.15</v>
      </c>
      <c r="F3732" s="14" t="n">
        <v>3072.6</v>
      </c>
      <c r="G3732" s="6" t="s">
        <v>15614</v>
      </c>
    </row>
    <row r="3733" customFormat="false" ht="15" hidden="false" customHeight="true" outlineLevel="0" collapsed="false">
      <c r="A3733" s="6" t="s">
        <v>19345</v>
      </c>
      <c r="B3733" s="6" t="s">
        <v>2423</v>
      </c>
      <c r="C3733" s="6" t="s">
        <v>124</v>
      </c>
      <c r="D3733" s="6" t="s">
        <v>25</v>
      </c>
      <c r="E3733" s="14" t="n">
        <v>768.15</v>
      </c>
      <c r="F3733" s="14" t="n">
        <v>3840.75</v>
      </c>
      <c r="G3733" s="6" t="s">
        <v>15614</v>
      </c>
    </row>
    <row r="3734" customFormat="false" ht="15" hidden="false" customHeight="true" outlineLevel="0" collapsed="false">
      <c r="A3734" s="6" t="s">
        <v>19346</v>
      </c>
      <c r="B3734" s="6" t="s">
        <v>2423</v>
      </c>
      <c r="C3734" s="6" t="s">
        <v>124</v>
      </c>
      <c r="D3734" s="6" t="s">
        <v>26</v>
      </c>
      <c r="E3734" s="14" t="n">
        <v>768.15</v>
      </c>
      <c r="F3734" s="14" t="n">
        <v>4608.9</v>
      </c>
      <c r="G3734" s="6" t="s">
        <v>15614</v>
      </c>
    </row>
    <row r="3735" customFormat="false" ht="15" hidden="false" customHeight="true" outlineLevel="0" collapsed="false">
      <c r="A3735" s="6" t="s">
        <v>19347</v>
      </c>
      <c r="B3735" s="6" t="s">
        <v>2423</v>
      </c>
      <c r="C3735" s="6" t="s">
        <v>124</v>
      </c>
      <c r="D3735" s="6" t="s">
        <v>27</v>
      </c>
      <c r="E3735" s="14" t="n">
        <v>768.15</v>
      </c>
      <c r="F3735" s="14" t="n">
        <v>5377.05</v>
      </c>
      <c r="G3735" s="6" t="s">
        <v>15614</v>
      </c>
    </row>
    <row r="3736" customFormat="false" ht="15" hidden="false" customHeight="true" outlineLevel="0" collapsed="false">
      <c r="A3736" s="6" t="s">
        <v>19348</v>
      </c>
      <c r="B3736" s="6" t="s">
        <v>2423</v>
      </c>
      <c r="C3736" s="6" t="s">
        <v>124</v>
      </c>
      <c r="D3736" s="6" t="s">
        <v>28</v>
      </c>
      <c r="E3736" s="14" t="n">
        <v>768.15</v>
      </c>
      <c r="F3736" s="14" t="n">
        <v>6145.2</v>
      </c>
      <c r="G3736" s="6" t="s">
        <v>15614</v>
      </c>
    </row>
    <row r="3737" customFormat="false" ht="15" hidden="false" customHeight="true" outlineLevel="0" collapsed="false">
      <c r="A3737" s="6" t="s">
        <v>19349</v>
      </c>
      <c r="B3737" s="6" t="s">
        <v>2425</v>
      </c>
      <c r="C3737" s="6" t="s">
        <v>120</v>
      </c>
      <c r="D3737" s="6" t="s">
        <v>23</v>
      </c>
      <c r="E3737" s="14" t="n">
        <v>1310.06</v>
      </c>
      <c r="F3737" s="14" t="n">
        <v>1310.06</v>
      </c>
      <c r="G3737" s="6" t="s">
        <v>15614</v>
      </c>
    </row>
    <row r="3738" customFormat="false" ht="15" hidden="false" customHeight="true" outlineLevel="0" collapsed="false">
      <c r="A3738" s="6" t="s">
        <v>19350</v>
      </c>
      <c r="B3738" s="6" t="s">
        <v>2425</v>
      </c>
      <c r="C3738" s="6" t="s">
        <v>120</v>
      </c>
      <c r="D3738" s="6" t="s">
        <v>24</v>
      </c>
      <c r="E3738" s="14" t="n">
        <v>1310.06</v>
      </c>
      <c r="F3738" s="14" t="n">
        <v>2620.12</v>
      </c>
      <c r="G3738" s="6" t="s">
        <v>15614</v>
      </c>
    </row>
    <row r="3739" customFormat="false" ht="15" hidden="false" customHeight="true" outlineLevel="0" collapsed="false">
      <c r="A3739" s="6" t="s">
        <v>19351</v>
      </c>
      <c r="B3739" s="6" t="s">
        <v>2425</v>
      </c>
      <c r="C3739" s="6" t="s">
        <v>120</v>
      </c>
      <c r="D3739" s="6" t="s">
        <v>25</v>
      </c>
      <c r="E3739" s="14" t="n">
        <v>1310.06</v>
      </c>
      <c r="F3739" s="14" t="n">
        <v>3930.18</v>
      </c>
      <c r="G3739" s="6" t="s">
        <v>15614</v>
      </c>
    </row>
    <row r="3740" customFormat="false" ht="15" hidden="false" customHeight="true" outlineLevel="0" collapsed="false">
      <c r="A3740" s="6" t="s">
        <v>19352</v>
      </c>
      <c r="B3740" s="6" t="s">
        <v>2425</v>
      </c>
      <c r="C3740" s="6" t="s">
        <v>120</v>
      </c>
      <c r="D3740" s="6" t="s">
        <v>26</v>
      </c>
      <c r="E3740" s="14" t="n">
        <v>1310.06</v>
      </c>
      <c r="F3740" s="14" t="n">
        <v>5240.24</v>
      </c>
      <c r="G3740" s="6" t="s">
        <v>15614</v>
      </c>
    </row>
    <row r="3741" customFormat="false" ht="15" hidden="false" customHeight="true" outlineLevel="0" collapsed="false">
      <c r="A3741" s="6" t="s">
        <v>19353</v>
      </c>
      <c r="B3741" s="6" t="s">
        <v>2425</v>
      </c>
      <c r="C3741" s="6" t="s">
        <v>120</v>
      </c>
      <c r="D3741" s="6" t="s">
        <v>27</v>
      </c>
      <c r="E3741" s="14" t="n">
        <v>1310.06</v>
      </c>
      <c r="F3741" s="14" t="n">
        <v>6550.3</v>
      </c>
      <c r="G3741" s="6" t="s">
        <v>15614</v>
      </c>
    </row>
    <row r="3742" customFormat="false" ht="15" hidden="false" customHeight="true" outlineLevel="0" collapsed="false">
      <c r="A3742" s="6" t="s">
        <v>19354</v>
      </c>
      <c r="B3742" s="6" t="s">
        <v>2425</v>
      </c>
      <c r="C3742" s="6" t="s">
        <v>120</v>
      </c>
      <c r="D3742" s="6" t="s">
        <v>28</v>
      </c>
      <c r="E3742" s="14" t="n">
        <v>1310.06</v>
      </c>
      <c r="F3742" s="14" t="n">
        <v>7860.36</v>
      </c>
      <c r="G3742" s="6" t="s">
        <v>15614</v>
      </c>
    </row>
    <row r="3743" customFormat="false" ht="15" hidden="false" customHeight="true" outlineLevel="0" collapsed="false">
      <c r="A3743" s="6" t="s">
        <v>19355</v>
      </c>
      <c r="B3743" s="6" t="s">
        <v>2425</v>
      </c>
      <c r="C3743" s="6" t="s">
        <v>120</v>
      </c>
      <c r="D3743" s="6" t="s">
        <v>29</v>
      </c>
      <c r="E3743" s="14" t="n">
        <v>1310.06</v>
      </c>
      <c r="F3743" s="14" t="n">
        <v>9170.42</v>
      </c>
      <c r="G3743" s="6" t="s">
        <v>15614</v>
      </c>
    </row>
    <row r="3744" customFormat="false" ht="15" hidden="false" customHeight="true" outlineLevel="0" collapsed="false">
      <c r="A3744" s="6" t="s">
        <v>19356</v>
      </c>
      <c r="B3744" s="6" t="s">
        <v>2425</v>
      </c>
      <c r="C3744" s="6" t="s">
        <v>120</v>
      </c>
      <c r="D3744" s="6" t="s">
        <v>30</v>
      </c>
      <c r="E3744" s="14" t="n">
        <v>1310.06</v>
      </c>
      <c r="F3744" s="14" t="n">
        <v>10480.48</v>
      </c>
      <c r="G3744" s="6" t="s">
        <v>15614</v>
      </c>
    </row>
    <row r="3745" customFormat="false" ht="15" hidden="false" customHeight="true" outlineLevel="0" collapsed="false">
      <c r="A3745" s="6" t="s">
        <v>19357</v>
      </c>
      <c r="B3745" s="6" t="s">
        <v>2425</v>
      </c>
      <c r="C3745" s="6" t="s">
        <v>120</v>
      </c>
      <c r="D3745" s="6" t="s">
        <v>31</v>
      </c>
      <c r="E3745" s="14" t="n">
        <v>1310.06</v>
      </c>
      <c r="F3745" s="14" t="n">
        <v>11790.54</v>
      </c>
      <c r="G3745" s="6" t="s">
        <v>15614</v>
      </c>
    </row>
    <row r="3746" customFormat="false" ht="15" hidden="false" customHeight="true" outlineLevel="0" collapsed="false">
      <c r="A3746" s="6" t="s">
        <v>19358</v>
      </c>
      <c r="B3746" s="6" t="s">
        <v>2425</v>
      </c>
      <c r="C3746" s="6" t="s">
        <v>120</v>
      </c>
      <c r="D3746" s="6" t="s">
        <v>32</v>
      </c>
      <c r="E3746" s="14" t="n">
        <v>1310.06</v>
      </c>
      <c r="F3746" s="14" t="n">
        <v>13100.6</v>
      </c>
      <c r="G3746" s="6" t="s">
        <v>15614</v>
      </c>
    </row>
    <row r="3747" customFormat="false" ht="15" hidden="false" customHeight="true" outlineLevel="0" collapsed="false">
      <c r="A3747" s="6" t="s">
        <v>19359</v>
      </c>
      <c r="B3747" s="6" t="s">
        <v>2427</v>
      </c>
      <c r="C3747" s="6" t="s">
        <v>128</v>
      </c>
      <c r="D3747" s="6" t="s">
        <v>41</v>
      </c>
      <c r="E3747" s="14" t="n">
        <v>1342.62</v>
      </c>
      <c r="F3747" s="14" t="n">
        <v>1342.62</v>
      </c>
      <c r="G3747" s="6" t="s">
        <v>15614</v>
      </c>
    </row>
    <row r="3748" customFormat="false" ht="15" hidden="false" customHeight="true" outlineLevel="0" collapsed="false">
      <c r="A3748" s="6" t="s">
        <v>19360</v>
      </c>
      <c r="B3748" s="6" t="s">
        <v>2427</v>
      </c>
      <c r="C3748" s="6" t="s">
        <v>128</v>
      </c>
      <c r="D3748" s="6" t="s">
        <v>41</v>
      </c>
      <c r="E3748" s="14" t="n">
        <v>1342.62</v>
      </c>
      <c r="F3748" s="14" t="n">
        <v>2685.24</v>
      </c>
      <c r="G3748" s="6" t="s">
        <v>15614</v>
      </c>
    </row>
    <row r="3749" customFormat="false" ht="15" hidden="false" customHeight="true" outlineLevel="0" collapsed="false">
      <c r="A3749" s="6" t="s">
        <v>19361</v>
      </c>
      <c r="B3749" s="6" t="s">
        <v>2429</v>
      </c>
      <c r="C3749" s="6" t="s">
        <v>128</v>
      </c>
      <c r="D3749" s="6" t="s">
        <v>46</v>
      </c>
      <c r="E3749" s="14" t="n">
        <v>1251.61</v>
      </c>
      <c r="F3749" s="14" t="n">
        <v>1251.61</v>
      </c>
      <c r="G3749" s="6" t="s">
        <v>15614</v>
      </c>
    </row>
    <row r="3750" customFormat="false" ht="15" hidden="false" customHeight="true" outlineLevel="0" collapsed="false">
      <c r="A3750" s="6" t="s">
        <v>19362</v>
      </c>
      <c r="B3750" s="6" t="s">
        <v>2429</v>
      </c>
      <c r="C3750" s="6" t="s">
        <v>128</v>
      </c>
      <c r="D3750" s="6" t="s">
        <v>47</v>
      </c>
      <c r="E3750" s="14" t="n">
        <v>1251.61</v>
      </c>
      <c r="F3750" s="14" t="n">
        <v>2503.22</v>
      </c>
      <c r="G3750" s="6" t="s">
        <v>15614</v>
      </c>
    </row>
    <row r="3751" customFormat="false" ht="15" hidden="false" customHeight="true" outlineLevel="0" collapsed="false">
      <c r="A3751" s="6" t="s">
        <v>19363</v>
      </c>
      <c r="B3751" s="6" t="s">
        <v>2429</v>
      </c>
      <c r="C3751" s="6" t="s">
        <v>128</v>
      </c>
      <c r="D3751" s="6" t="s">
        <v>48</v>
      </c>
      <c r="E3751" s="14" t="n">
        <v>1251.61</v>
      </c>
      <c r="F3751" s="14" t="n">
        <v>3754.83</v>
      </c>
      <c r="G3751" s="6" t="s">
        <v>15614</v>
      </c>
    </row>
    <row r="3752" customFormat="false" ht="15" hidden="false" customHeight="true" outlineLevel="0" collapsed="false">
      <c r="A3752" s="6" t="s">
        <v>19364</v>
      </c>
      <c r="B3752" s="6" t="s">
        <v>2429</v>
      </c>
      <c r="C3752" s="6" t="s">
        <v>128</v>
      </c>
      <c r="D3752" s="6" t="s">
        <v>49</v>
      </c>
      <c r="E3752" s="14" t="n">
        <v>1251.61</v>
      </c>
      <c r="F3752" s="14" t="n">
        <v>5006.44</v>
      </c>
      <c r="G3752" s="6" t="s">
        <v>15614</v>
      </c>
    </row>
    <row r="3753" customFormat="false" ht="15" hidden="false" customHeight="true" outlineLevel="0" collapsed="false">
      <c r="A3753" s="6" t="s">
        <v>19365</v>
      </c>
      <c r="B3753" s="6" t="s">
        <v>2431</v>
      </c>
      <c r="C3753" s="6" t="s">
        <v>131</v>
      </c>
      <c r="D3753" s="6" t="s">
        <v>14</v>
      </c>
      <c r="E3753" s="14" t="n">
        <v>633.86</v>
      </c>
      <c r="F3753" s="14" t="n">
        <v>633.86</v>
      </c>
      <c r="G3753" s="6" t="s">
        <v>15614</v>
      </c>
    </row>
    <row r="3754" customFormat="false" ht="15" hidden="false" customHeight="true" outlineLevel="0" collapsed="false">
      <c r="A3754" s="6" t="s">
        <v>19366</v>
      </c>
      <c r="B3754" s="6" t="s">
        <v>2431</v>
      </c>
      <c r="C3754" s="6" t="s">
        <v>131</v>
      </c>
      <c r="D3754" s="6" t="s">
        <v>15</v>
      </c>
      <c r="E3754" s="14" t="n">
        <v>633.86</v>
      </c>
      <c r="F3754" s="14" t="n">
        <v>1267.72</v>
      </c>
      <c r="G3754" s="6" t="s">
        <v>15614</v>
      </c>
    </row>
    <row r="3755" customFormat="false" ht="15" hidden="false" customHeight="true" outlineLevel="0" collapsed="false">
      <c r="A3755" s="6" t="s">
        <v>19367</v>
      </c>
      <c r="B3755" s="6" t="s">
        <v>2431</v>
      </c>
      <c r="C3755" s="6" t="s">
        <v>131</v>
      </c>
      <c r="D3755" s="6" t="s">
        <v>16</v>
      </c>
      <c r="E3755" s="14" t="n">
        <v>633.86</v>
      </c>
      <c r="F3755" s="14" t="n">
        <v>1901.58</v>
      </c>
      <c r="G3755" s="6" t="s">
        <v>15614</v>
      </c>
    </row>
    <row r="3756" customFormat="false" ht="15" hidden="false" customHeight="true" outlineLevel="0" collapsed="false">
      <c r="A3756" s="6" t="s">
        <v>19368</v>
      </c>
      <c r="B3756" s="6" t="s">
        <v>2433</v>
      </c>
      <c r="C3756" s="6" t="s">
        <v>112</v>
      </c>
      <c r="D3756" s="6" t="s">
        <v>13</v>
      </c>
      <c r="E3756" s="14" t="n">
        <v>906.26</v>
      </c>
      <c r="F3756" s="14" t="n">
        <v>906.26</v>
      </c>
      <c r="G3756" s="6" t="s">
        <v>15614</v>
      </c>
    </row>
    <row r="3757" customFormat="false" ht="15" hidden="false" customHeight="true" outlineLevel="0" collapsed="false">
      <c r="A3757" s="6" t="s">
        <v>19369</v>
      </c>
      <c r="B3757" s="6" t="s">
        <v>2433</v>
      </c>
      <c r="C3757" s="6" t="s">
        <v>112</v>
      </c>
      <c r="D3757" s="6" t="s">
        <v>14</v>
      </c>
      <c r="E3757" s="14" t="n">
        <v>906.26</v>
      </c>
      <c r="F3757" s="14" t="n">
        <v>1812.52</v>
      </c>
      <c r="G3757" s="6" t="s">
        <v>15614</v>
      </c>
    </row>
    <row r="3758" customFormat="false" ht="15" hidden="false" customHeight="true" outlineLevel="0" collapsed="false">
      <c r="A3758" s="6" t="s">
        <v>19370</v>
      </c>
      <c r="B3758" s="6" t="s">
        <v>2433</v>
      </c>
      <c r="C3758" s="6" t="s">
        <v>112</v>
      </c>
      <c r="D3758" s="6" t="s">
        <v>15</v>
      </c>
      <c r="E3758" s="14" t="n">
        <v>906.26</v>
      </c>
      <c r="F3758" s="14" t="n">
        <v>2718.78</v>
      </c>
      <c r="G3758" s="6" t="s">
        <v>15614</v>
      </c>
    </row>
    <row r="3759" customFormat="false" ht="15" hidden="false" customHeight="true" outlineLevel="0" collapsed="false">
      <c r="A3759" s="6" t="s">
        <v>19371</v>
      </c>
      <c r="B3759" s="6" t="s">
        <v>2433</v>
      </c>
      <c r="C3759" s="6" t="s">
        <v>112</v>
      </c>
      <c r="D3759" s="6" t="s">
        <v>16</v>
      </c>
      <c r="E3759" s="14" t="n">
        <v>906.26</v>
      </c>
      <c r="F3759" s="14" t="n">
        <v>3625.04</v>
      </c>
      <c r="G3759" s="6" t="s">
        <v>15614</v>
      </c>
    </row>
    <row r="3760" customFormat="false" ht="15" hidden="false" customHeight="true" outlineLevel="0" collapsed="false">
      <c r="A3760" s="6" t="s">
        <v>19372</v>
      </c>
      <c r="B3760" s="6" t="s">
        <v>2435</v>
      </c>
      <c r="C3760" s="6" t="s">
        <v>116</v>
      </c>
      <c r="D3760" s="6" t="s">
        <v>37</v>
      </c>
      <c r="E3760" s="14" t="n">
        <v>3026.43</v>
      </c>
      <c r="F3760" s="14" t="n">
        <v>3026.43</v>
      </c>
      <c r="G3760" s="6" t="s">
        <v>15614</v>
      </c>
    </row>
    <row r="3761" customFormat="false" ht="15" hidden="false" customHeight="true" outlineLevel="0" collapsed="false">
      <c r="A3761" s="6" t="s">
        <v>19373</v>
      </c>
      <c r="B3761" s="6" t="s">
        <v>2435</v>
      </c>
      <c r="C3761" s="6" t="s">
        <v>116</v>
      </c>
      <c r="D3761" s="6" t="s">
        <v>38</v>
      </c>
      <c r="E3761" s="14" t="n">
        <v>3026.43</v>
      </c>
      <c r="F3761" s="14" t="n">
        <v>6052.86</v>
      </c>
      <c r="G3761" s="6" t="s">
        <v>15614</v>
      </c>
    </row>
    <row r="3762" customFormat="false" ht="15" hidden="false" customHeight="true" outlineLevel="0" collapsed="false">
      <c r="A3762" s="6" t="s">
        <v>19374</v>
      </c>
      <c r="B3762" s="6" t="s">
        <v>2435</v>
      </c>
      <c r="C3762" s="6" t="s">
        <v>116</v>
      </c>
      <c r="D3762" s="6" t="s">
        <v>39</v>
      </c>
      <c r="E3762" s="14" t="n">
        <v>3026.43</v>
      </c>
      <c r="F3762" s="14" t="n">
        <v>9079.29</v>
      </c>
      <c r="G3762" s="6" t="s">
        <v>15614</v>
      </c>
    </row>
    <row r="3763" customFormat="false" ht="15" hidden="false" customHeight="true" outlineLevel="0" collapsed="false">
      <c r="A3763" s="6" t="s">
        <v>19375</v>
      </c>
      <c r="B3763" s="6" t="s">
        <v>2435</v>
      </c>
      <c r="C3763" s="6" t="s">
        <v>116</v>
      </c>
      <c r="D3763" s="6" t="s">
        <v>40</v>
      </c>
      <c r="E3763" s="14" t="n">
        <v>3026.43</v>
      </c>
      <c r="F3763" s="14" t="n">
        <v>12105.72</v>
      </c>
      <c r="G3763" s="6" t="s">
        <v>15614</v>
      </c>
    </row>
    <row r="3764" customFormat="false" ht="15" hidden="false" customHeight="true" outlineLevel="0" collapsed="false">
      <c r="A3764" s="6" t="s">
        <v>19376</v>
      </c>
      <c r="B3764" s="6" t="s">
        <v>2437</v>
      </c>
      <c r="C3764" s="6" t="s">
        <v>131</v>
      </c>
      <c r="D3764" s="6" t="s">
        <v>43</v>
      </c>
      <c r="E3764" s="14" t="n">
        <v>2297.9</v>
      </c>
      <c r="F3764" s="14" t="n">
        <v>2297.9</v>
      </c>
      <c r="G3764" s="6" t="s">
        <v>15614</v>
      </c>
    </row>
    <row r="3765" customFormat="false" ht="15" hidden="false" customHeight="true" outlineLevel="0" collapsed="false">
      <c r="A3765" s="6" t="s">
        <v>19377</v>
      </c>
      <c r="B3765" s="6" t="s">
        <v>2437</v>
      </c>
      <c r="C3765" s="6" t="s">
        <v>131</v>
      </c>
      <c r="D3765" s="6" t="s">
        <v>44</v>
      </c>
      <c r="E3765" s="14" t="n">
        <v>2297.9</v>
      </c>
      <c r="F3765" s="14" t="n">
        <v>4595.8</v>
      </c>
      <c r="G3765" s="6" t="s">
        <v>15614</v>
      </c>
    </row>
    <row r="3766" customFormat="false" ht="15" hidden="false" customHeight="true" outlineLevel="0" collapsed="false">
      <c r="A3766" s="6" t="s">
        <v>19378</v>
      </c>
      <c r="B3766" s="6" t="s">
        <v>2437</v>
      </c>
      <c r="C3766" s="6" t="s">
        <v>131</v>
      </c>
      <c r="D3766" s="6" t="s">
        <v>45</v>
      </c>
      <c r="E3766" s="14" t="n">
        <v>2297.9</v>
      </c>
      <c r="F3766" s="14" t="n">
        <v>6893.7</v>
      </c>
      <c r="G3766" s="6" t="s">
        <v>15614</v>
      </c>
    </row>
    <row r="3767" customFormat="false" ht="15" hidden="false" customHeight="true" outlineLevel="0" collapsed="false">
      <c r="A3767" s="6" t="s">
        <v>19379</v>
      </c>
      <c r="B3767" s="6" t="s">
        <v>2437</v>
      </c>
      <c r="C3767" s="6" t="s">
        <v>131</v>
      </c>
      <c r="D3767" s="6" t="s">
        <v>46</v>
      </c>
      <c r="E3767" s="14" t="n">
        <v>2297.9</v>
      </c>
      <c r="F3767" s="14" t="n">
        <v>9191.6</v>
      </c>
      <c r="G3767" s="6" t="s">
        <v>15614</v>
      </c>
    </row>
    <row r="3768" customFormat="false" ht="15" hidden="false" customHeight="true" outlineLevel="0" collapsed="false">
      <c r="A3768" s="6" t="s">
        <v>19380</v>
      </c>
      <c r="B3768" s="6" t="s">
        <v>2437</v>
      </c>
      <c r="C3768" s="6" t="s">
        <v>131</v>
      </c>
      <c r="D3768" s="6" t="s">
        <v>47</v>
      </c>
      <c r="E3768" s="14" t="n">
        <v>2297.9</v>
      </c>
      <c r="F3768" s="14" t="n">
        <v>11489.5</v>
      </c>
      <c r="G3768" s="6" t="s">
        <v>15614</v>
      </c>
    </row>
    <row r="3769" customFormat="false" ht="15" hidden="false" customHeight="true" outlineLevel="0" collapsed="false">
      <c r="A3769" s="6" t="s">
        <v>19381</v>
      </c>
      <c r="B3769" s="6" t="s">
        <v>2437</v>
      </c>
      <c r="C3769" s="6" t="s">
        <v>131</v>
      </c>
      <c r="D3769" s="6" t="s">
        <v>48</v>
      </c>
      <c r="E3769" s="14" t="n">
        <v>2297.9</v>
      </c>
      <c r="F3769" s="14" t="n">
        <v>13787.4</v>
      </c>
      <c r="G3769" s="6" t="s">
        <v>15614</v>
      </c>
    </row>
    <row r="3770" customFormat="false" ht="15" hidden="false" customHeight="true" outlineLevel="0" collapsed="false">
      <c r="A3770" s="6" t="s">
        <v>19382</v>
      </c>
      <c r="B3770" s="6" t="s">
        <v>2437</v>
      </c>
      <c r="C3770" s="6" t="s">
        <v>131</v>
      </c>
      <c r="D3770" s="6" t="s">
        <v>49</v>
      </c>
      <c r="E3770" s="14" t="n">
        <v>2297.9</v>
      </c>
      <c r="F3770" s="14" t="n">
        <v>16085.3</v>
      </c>
      <c r="G3770" s="6" t="s">
        <v>15614</v>
      </c>
    </row>
    <row r="3771" customFormat="false" ht="15" hidden="false" customHeight="true" outlineLevel="0" collapsed="false">
      <c r="A3771" s="6" t="s">
        <v>19383</v>
      </c>
      <c r="B3771" s="6" t="s">
        <v>2437</v>
      </c>
      <c r="C3771" s="6" t="s">
        <v>131</v>
      </c>
      <c r="D3771" s="6" t="s">
        <v>50</v>
      </c>
      <c r="E3771" s="14" t="n">
        <v>2297.9</v>
      </c>
      <c r="F3771" s="14" t="n">
        <v>18383.2</v>
      </c>
      <c r="G3771" s="6" t="s">
        <v>15614</v>
      </c>
    </row>
    <row r="3772" customFormat="false" ht="15" hidden="false" customHeight="true" outlineLevel="0" collapsed="false">
      <c r="A3772" s="6" t="s">
        <v>19384</v>
      </c>
      <c r="B3772" s="6" t="s">
        <v>2437</v>
      </c>
      <c r="C3772" s="6" t="s">
        <v>131</v>
      </c>
      <c r="D3772" s="6" t="s">
        <v>51</v>
      </c>
      <c r="E3772" s="14" t="n">
        <v>2297.9</v>
      </c>
      <c r="F3772" s="14" t="n">
        <v>20681.1</v>
      </c>
      <c r="G3772" s="6" t="s">
        <v>15614</v>
      </c>
    </row>
    <row r="3773" customFormat="false" ht="15" hidden="false" customHeight="true" outlineLevel="0" collapsed="false">
      <c r="A3773" s="6" t="s">
        <v>19385</v>
      </c>
      <c r="B3773" s="6" t="s">
        <v>2437</v>
      </c>
      <c r="C3773" s="6" t="s">
        <v>131</v>
      </c>
      <c r="D3773" s="6" t="s">
        <v>52</v>
      </c>
      <c r="E3773" s="14" t="n">
        <v>2297.9</v>
      </c>
      <c r="F3773" s="14" t="n">
        <v>22979</v>
      </c>
      <c r="G3773" s="6" t="s">
        <v>15614</v>
      </c>
    </row>
    <row r="3774" customFormat="false" ht="15" hidden="false" customHeight="true" outlineLevel="0" collapsed="false">
      <c r="A3774" s="6" t="s">
        <v>19386</v>
      </c>
      <c r="B3774" s="6" t="s">
        <v>2439</v>
      </c>
      <c r="C3774" s="6" t="s">
        <v>116</v>
      </c>
      <c r="D3774" s="6" t="s">
        <v>13</v>
      </c>
      <c r="E3774" s="14" t="n">
        <v>3590.47</v>
      </c>
      <c r="F3774" s="14" t="n">
        <v>3590.47</v>
      </c>
      <c r="G3774" s="6" t="s">
        <v>15614</v>
      </c>
    </row>
    <row r="3775" customFormat="false" ht="15" hidden="false" customHeight="true" outlineLevel="0" collapsed="false">
      <c r="A3775" s="6" t="s">
        <v>19387</v>
      </c>
      <c r="B3775" s="6" t="s">
        <v>2439</v>
      </c>
      <c r="C3775" s="6" t="s">
        <v>116</v>
      </c>
      <c r="D3775" s="6" t="s">
        <v>14</v>
      </c>
      <c r="E3775" s="14" t="n">
        <v>3590.47</v>
      </c>
      <c r="F3775" s="14" t="n">
        <v>7180.94</v>
      </c>
      <c r="G3775" s="6" t="s">
        <v>15614</v>
      </c>
    </row>
    <row r="3776" customFormat="false" ht="15" hidden="false" customHeight="true" outlineLevel="0" collapsed="false">
      <c r="A3776" s="6" t="s">
        <v>19388</v>
      </c>
      <c r="B3776" s="6" t="s">
        <v>2439</v>
      </c>
      <c r="C3776" s="6" t="s">
        <v>116</v>
      </c>
      <c r="D3776" s="6" t="s">
        <v>15</v>
      </c>
      <c r="E3776" s="14" t="n">
        <v>3590.47</v>
      </c>
      <c r="F3776" s="14" t="n">
        <v>10771.41</v>
      </c>
      <c r="G3776" s="6" t="s">
        <v>15614</v>
      </c>
    </row>
    <row r="3777" customFormat="false" ht="15" hidden="false" customHeight="true" outlineLevel="0" collapsed="false">
      <c r="A3777" s="6" t="s">
        <v>19389</v>
      </c>
      <c r="B3777" s="6" t="s">
        <v>2441</v>
      </c>
      <c r="C3777" s="6" t="s">
        <v>112</v>
      </c>
      <c r="D3777" s="6" t="s">
        <v>44</v>
      </c>
      <c r="E3777" s="14" t="n">
        <v>768.7</v>
      </c>
      <c r="F3777" s="14" t="n">
        <v>768.7</v>
      </c>
      <c r="G3777" s="6" t="s">
        <v>15614</v>
      </c>
    </row>
    <row r="3778" customFormat="false" ht="15" hidden="false" customHeight="true" outlineLevel="0" collapsed="false">
      <c r="A3778" s="6" t="s">
        <v>19390</v>
      </c>
      <c r="B3778" s="6" t="s">
        <v>2441</v>
      </c>
      <c r="C3778" s="6" t="s">
        <v>112</v>
      </c>
      <c r="D3778" s="6" t="s">
        <v>45</v>
      </c>
      <c r="E3778" s="14" t="n">
        <v>768.7</v>
      </c>
      <c r="F3778" s="14" t="n">
        <v>1537.4</v>
      </c>
      <c r="G3778" s="6" t="s">
        <v>15614</v>
      </c>
    </row>
    <row r="3779" customFormat="false" ht="15" hidden="false" customHeight="true" outlineLevel="0" collapsed="false">
      <c r="A3779" s="6" t="s">
        <v>19391</v>
      </c>
      <c r="B3779" s="6" t="s">
        <v>2441</v>
      </c>
      <c r="C3779" s="6" t="s">
        <v>112</v>
      </c>
      <c r="D3779" s="6" t="s">
        <v>46</v>
      </c>
      <c r="E3779" s="14" t="n">
        <v>768.7</v>
      </c>
      <c r="F3779" s="14" t="n">
        <v>2306.1</v>
      </c>
      <c r="G3779" s="6" t="s">
        <v>15614</v>
      </c>
    </row>
    <row r="3780" customFormat="false" ht="15" hidden="false" customHeight="true" outlineLevel="0" collapsed="false">
      <c r="A3780" s="6" t="s">
        <v>19392</v>
      </c>
      <c r="B3780" s="6" t="s">
        <v>2443</v>
      </c>
      <c r="C3780" s="6" t="s">
        <v>131</v>
      </c>
      <c r="D3780" s="6" t="s">
        <v>23</v>
      </c>
      <c r="E3780" s="14" t="n">
        <v>1908.92</v>
      </c>
      <c r="F3780" s="14" t="n">
        <v>1908.92</v>
      </c>
      <c r="G3780" s="6" t="s">
        <v>15614</v>
      </c>
    </row>
    <row r="3781" customFormat="false" ht="15" hidden="false" customHeight="true" outlineLevel="0" collapsed="false">
      <c r="A3781" s="6" t="s">
        <v>19393</v>
      </c>
      <c r="B3781" s="6" t="s">
        <v>2443</v>
      </c>
      <c r="C3781" s="6" t="s">
        <v>131</v>
      </c>
      <c r="D3781" s="6" t="s">
        <v>24</v>
      </c>
      <c r="E3781" s="14" t="n">
        <v>1908.92</v>
      </c>
      <c r="F3781" s="14" t="n">
        <v>3817.84</v>
      </c>
      <c r="G3781" s="6" t="s">
        <v>15614</v>
      </c>
    </row>
    <row r="3782" customFormat="false" ht="15" hidden="false" customHeight="true" outlineLevel="0" collapsed="false">
      <c r="A3782" s="6" t="s">
        <v>19394</v>
      </c>
      <c r="B3782" s="6" t="s">
        <v>2443</v>
      </c>
      <c r="C3782" s="6" t="s">
        <v>131</v>
      </c>
      <c r="D3782" s="6" t="s">
        <v>25</v>
      </c>
      <c r="E3782" s="14" t="n">
        <v>1908.92</v>
      </c>
      <c r="F3782" s="14" t="n">
        <v>5726.76</v>
      </c>
      <c r="G3782" s="6" t="s">
        <v>15614</v>
      </c>
    </row>
    <row r="3783" customFormat="false" ht="15" hidden="false" customHeight="true" outlineLevel="0" collapsed="false">
      <c r="A3783" s="6" t="s">
        <v>19395</v>
      </c>
      <c r="B3783" s="6" t="s">
        <v>2445</v>
      </c>
      <c r="C3783" s="6" t="s">
        <v>112</v>
      </c>
      <c r="D3783" s="6" t="s">
        <v>56</v>
      </c>
      <c r="E3783" s="14" t="n">
        <v>3075.7</v>
      </c>
      <c r="F3783" s="14" t="n">
        <v>3075.7</v>
      </c>
      <c r="G3783" s="6" t="s">
        <v>15614</v>
      </c>
    </row>
    <row r="3784" customFormat="false" ht="15" hidden="false" customHeight="true" outlineLevel="0" collapsed="false">
      <c r="A3784" s="6" t="s">
        <v>19396</v>
      </c>
      <c r="B3784" s="6" t="s">
        <v>2445</v>
      </c>
      <c r="C3784" s="6" t="s">
        <v>112</v>
      </c>
      <c r="D3784" s="6" t="s">
        <v>57</v>
      </c>
      <c r="E3784" s="14" t="n">
        <v>3075.7</v>
      </c>
      <c r="F3784" s="14" t="n">
        <v>6151.4</v>
      </c>
      <c r="G3784" s="6" t="s">
        <v>15614</v>
      </c>
    </row>
    <row r="3785" customFormat="false" ht="15" hidden="false" customHeight="true" outlineLevel="0" collapsed="false">
      <c r="A3785" s="6" t="s">
        <v>19397</v>
      </c>
      <c r="B3785" s="6" t="s">
        <v>2445</v>
      </c>
      <c r="C3785" s="6" t="s">
        <v>112</v>
      </c>
      <c r="D3785" s="6" t="s">
        <v>58</v>
      </c>
      <c r="E3785" s="14" t="n">
        <v>3075.7</v>
      </c>
      <c r="F3785" s="14" t="n">
        <v>9227.1</v>
      </c>
      <c r="G3785" s="6" t="s">
        <v>15614</v>
      </c>
    </row>
    <row r="3786" customFormat="false" ht="15" hidden="false" customHeight="true" outlineLevel="0" collapsed="false">
      <c r="A3786" s="6" t="s">
        <v>19398</v>
      </c>
      <c r="B3786" s="6" t="s">
        <v>2445</v>
      </c>
      <c r="C3786" s="6" t="s">
        <v>112</v>
      </c>
      <c r="D3786" s="6" t="s">
        <v>59</v>
      </c>
      <c r="E3786" s="14" t="n">
        <v>3075.7</v>
      </c>
      <c r="F3786" s="14" t="n">
        <v>12302.8</v>
      </c>
      <c r="G3786" s="6" t="s">
        <v>15614</v>
      </c>
    </row>
    <row r="3787" customFormat="false" ht="15" hidden="false" customHeight="true" outlineLevel="0" collapsed="false">
      <c r="A3787" s="6" t="s">
        <v>19399</v>
      </c>
      <c r="B3787" s="6" t="s">
        <v>2445</v>
      </c>
      <c r="C3787" s="6" t="s">
        <v>112</v>
      </c>
      <c r="D3787" s="6" t="s">
        <v>60</v>
      </c>
      <c r="E3787" s="14" t="n">
        <v>3075.7</v>
      </c>
      <c r="F3787" s="14" t="n">
        <v>15378.5</v>
      </c>
      <c r="G3787" s="6" t="s">
        <v>15614</v>
      </c>
    </row>
    <row r="3788" customFormat="false" ht="15" hidden="false" customHeight="true" outlineLevel="0" collapsed="false">
      <c r="A3788" s="6" t="s">
        <v>19400</v>
      </c>
      <c r="B3788" s="6" t="s">
        <v>2447</v>
      </c>
      <c r="C3788" s="6" t="s">
        <v>116</v>
      </c>
      <c r="D3788" s="6" t="s">
        <v>46</v>
      </c>
      <c r="E3788" s="14" t="n">
        <v>2257.08</v>
      </c>
      <c r="F3788" s="14" t="n">
        <v>2257.08</v>
      </c>
      <c r="G3788" s="6" t="s">
        <v>15614</v>
      </c>
    </row>
    <row r="3789" customFormat="false" ht="15" hidden="false" customHeight="true" outlineLevel="0" collapsed="false">
      <c r="A3789" s="6" t="s">
        <v>19401</v>
      </c>
      <c r="B3789" s="6" t="s">
        <v>2447</v>
      </c>
      <c r="C3789" s="6" t="s">
        <v>116</v>
      </c>
      <c r="D3789" s="6" t="s">
        <v>47</v>
      </c>
      <c r="E3789" s="14" t="n">
        <v>2257.08</v>
      </c>
      <c r="F3789" s="14" t="n">
        <v>4514.16</v>
      </c>
      <c r="G3789" s="6" t="s">
        <v>15614</v>
      </c>
    </row>
    <row r="3790" customFormat="false" ht="15" hidden="false" customHeight="true" outlineLevel="0" collapsed="false">
      <c r="A3790" s="6" t="s">
        <v>19402</v>
      </c>
      <c r="B3790" s="6" t="s">
        <v>2449</v>
      </c>
      <c r="C3790" s="6" t="s">
        <v>128</v>
      </c>
      <c r="D3790" s="6" t="s">
        <v>31</v>
      </c>
      <c r="E3790" s="14" t="n">
        <v>4300.59</v>
      </c>
      <c r="F3790" s="14" t="n">
        <v>4300.59</v>
      </c>
      <c r="G3790" s="6" t="s">
        <v>15614</v>
      </c>
    </row>
    <row r="3791" customFormat="false" ht="15" hidden="false" customHeight="true" outlineLevel="0" collapsed="false">
      <c r="A3791" s="6" t="s">
        <v>19403</v>
      </c>
      <c r="B3791" s="6" t="s">
        <v>2449</v>
      </c>
      <c r="C3791" s="6" t="s">
        <v>128</v>
      </c>
      <c r="D3791" s="6" t="s">
        <v>32</v>
      </c>
      <c r="E3791" s="14" t="n">
        <v>4300.59</v>
      </c>
      <c r="F3791" s="14" t="n">
        <v>8601.18</v>
      </c>
      <c r="G3791" s="6" t="s">
        <v>15614</v>
      </c>
    </row>
    <row r="3792" customFormat="false" ht="15" hidden="false" customHeight="true" outlineLevel="0" collapsed="false">
      <c r="A3792" s="6" t="s">
        <v>19404</v>
      </c>
      <c r="B3792" s="6" t="s">
        <v>2451</v>
      </c>
      <c r="C3792" s="6" t="s">
        <v>124</v>
      </c>
      <c r="D3792" s="6" t="s">
        <v>34</v>
      </c>
      <c r="E3792" s="14" t="n">
        <v>2281.68</v>
      </c>
      <c r="F3792" s="14" t="n">
        <v>2281.68</v>
      </c>
      <c r="G3792" s="6" t="s">
        <v>15614</v>
      </c>
    </row>
    <row r="3793" customFormat="false" ht="15" hidden="false" customHeight="true" outlineLevel="0" collapsed="false">
      <c r="A3793" s="6" t="s">
        <v>19405</v>
      </c>
      <c r="B3793" s="6" t="s">
        <v>2451</v>
      </c>
      <c r="C3793" s="6" t="s">
        <v>124</v>
      </c>
      <c r="D3793" s="6" t="s">
        <v>35</v>
      </c>
      <c r="E3793" s="14" t="n">
        <v>2281.68</v>
      </c>
      <c r="F3793" s="14" t="n">
        <v>4563.36</v>
      </c>
      <c r="G3793" s="6" t="s">
        <v>15614</v>
      </c>
    </row>
    <row r="3794" customFormat="false" ht="15" hidden="false" customHeight="true" outlineLevel="0" collapsed="false">
      <c r="A3794" s="6" t="s">
        <v>19406</v>
      </c>
      <c r="B3794" s="6" t="s">
        <v>2451</v>
      </c>
      <c r="C3794" s="6" t="s">
        <v>124</v>
      </c>
      <c r="D3794" s="6" t="s">
        <v>36</v>
      </c>
      <c r="E3794" s="14" t="n">
        <v>2281.68</v>
      </c>
      <c r="F3794" s="14" t="n">
        <v>6845.04</v>
      </c>
      <c r="G3794" s="6" t="s">
        <v>15614</v>
      </c>
    </row>
    <row r="3795" customFormat="false" ht="15" hidden="false" customHeight="true" outlineLevel="0" collapsed="false">
      <c r="A3795" s="6" t="s">
        <v>19407</v>
      </c>
      <c r="B3795" s="6" t="s">
        <v>2451</v>
      </c>
      <c r="C3795" s="6" t="s">
        <v>124</v>
      </c>
      <c r="D3795" s="6" t="s">
        <v>37</v>
      </c>
      <c r="E3795" s="14" t="n">
        <v>2281.68</v>
      </c>
      <c r="F3795" s="14" t="n">
        <v>9126.72</v>
      </c>
      <c r="G3795" s="6" t="s">
        <v>15614</v>
      </c>
    </row>
    <row r="3796" customFormat="false" ht="15" hidden="false" customHeight="true" outlineLevel="0" collapsed="false">
      <c r="A3796" s="6" t="s">
        <v>19408</v>
      </c>
      <c r="B3796" s="6" t="s">
        <v>2453</v>
      </c>
      <c r="C3796" s="6" t="s">
        <v>116</v>
      </c>
      <c r="D3796" s="6" t="s">
        <v>26</v>
      </c>
      <c r="E3796" s="14" t="n">
        <v>1421.99</v>
      </c>
      <c r="F3796" s="14" t="n">
        <v>1421.99</v>
      </c>
      <c r="G3796" s="6" t="s">
        <v>15614</v>
      </c>
    </row>
    <row r="3797" customFormat="false" ht="15" hidden="false" customHeight="true" outlineLevel="0" collapsed="false">
      <c r="A3797" s="6" t="s">
        <v>19409</v>
      </c>
      <c r="B3797" s="6" t="s">
        <v>2453</v>
      </c>
      <c r="C3797" s="6" t="s">
        <v>116</v>
      </c>
      <c r="D3797" s="6" t="s">
        <v>27</v>
      </c>
      <c r="E3797" s="14" t="n">
        <v>1421.99</v>
      </c>
      <c r="F3797" s="14" t="n">
        <v>2843.98</v>
      </c>
      <c r="G3797" s="6" t="s">
        <v>15614</v>
      </c>
    </row>
    <row r="3798" customFormat="false" ht="15" hidden="false" customHeight="true" outlineLevel="0" collapsed="false">
      <c r="A3798" s="6" t="s">
        <v>19410</v>
      </c>
      <c r="B3798" s="6" t="s">
        <v>2453</v>
      </c>
      <c r="C3798" s="6" t="s">
        <v>116</v>
      </c>
      <c r="D3798" s="6" t="s">
        <v>28</v>
      </c>
      <c r="E3798" s="14" t="n">
        <v>1421.99</v>
      </c>
      <c r="F3798" s="14" t="n">
        <v>4265.97</v>
      </c>
      <c r="G3798" s="6" t="s">
        <v>15614</v>
      </c>
    </row>
    <row r="3799" customFormat="false" ht="15" hidden="false" customHeight="true" outlineLevel="0" collapsed="false">
      <c r="A3799" s="6" t="s">
        <v>19411</v>
      </c>
      <c r="B3799" s="6" t="s">
        <v>2455</v>
      </c>
      <c r="C3799" s="6" t="s">
        <v>112</v>
      </c>
      <c r="D3799" s="6" t="s">
        <v>30</v>
      </c>
      <c r="E3799" s="14" t="n">
        <v>5581.82</v>
      </c>
      <c r="F3799" s="14" t="n">
        <v>5581.82</v>
      </c>
      <c r="G3799" s="6" t="s">
        <v>15614</v>
      </c>
    </row>
    <row r="3800" customFormat="false" ht="15" hidden="false" customHeight="true" outlineLevel="0" collapsed="false">
      <c r="A3800" s="6" t="s">
        <v>19412</v>
      </c>
      <c r="B3800" s="6" t="s">
        <v>2455</v>
      </c>
      <c r="C3800" s="6" t="s">
        <v>112</v>
      </c>
      <c r="D3800" s="6" t="s">
        <v>31</v>
      </c>
      <c r="E3800" s="14" t="n">
        <v>5581.82</v>
      </c>
      <c r="F3800" s="14" t="n">
        <v>11163.64</v>
      </c>
      <c r="G3800" s="6" t="s">
        <v>15614</v>
      </c>
    </row>
    <row r="3801" customFormat="false" ht="15" hidden="false" customHeight="true" outlineLevel="0" collapsed="false">
      <c r="A3801" s="6" t="s">
        <v>19413</v>
      </c>
      <c r="B3801" s="6" t="s">
        <v>2455</v>
      </c>
      <c r="C3801" s="6" t="s">
        <v>112</v>
      </c>
      <c r="D3801" s="6" t="s">
        <v>32</v>
      </c>
      <c r="E3801" s="14" t="n">
        <v>5581.82</v>
      </c>
      <c r="F3801" s="14" t="n">
        <v>16745.46</v>
      </c>
      <c r="G3801" s="6" t="s">
        <v>15614</v>
      </c>
    </row>
    <row r="3802" customFormat="false" ht="15" hidden="false" customHeight="true" outlineLevel="0" collapsed="false">
      <c r="A3802" s="6" t="s">
        <v>19414</v>
      </c>
      <c r="B3802" s="6" t="s">
        <v>2457</v>
      </c>
      <c r="C3802" s="6" t="s">
        <v>124</v>
      </c>
      <c r="D3802" s="6" t="s">
        <v>12</v>
      </c>
      <c r="E3802" s="14" t="n">
        <v>388.12</v>
      </c>
      <c r="F3802" s="14" t="n">
        <v>388.12</v>
      </c>
      <c r="G3802" s="6" t="s">
        <v>15614</v>
      </c>
    </row>
    <row r="3803" customFormat="false" ht="15" hidden="false" customHeight="true" outlineLevel="0" collapsed="false">
      <c r="A3803" s="6" t="s">
        <v>19415</v>
      </c>
      <c r="B3803" s="6" t="s">
        <v>2457</v>
      </c>
      <c r="C3803" s="6" t="s">
        <v>124</v>
      </c>
      <c r="D3803" s="6" t="s">
        <v>13</v>
      </c>
      <c r="E3803" s="14" t="n">
        <v>388.12</v>
      </c>
      <c r="F3803" s="14" t="n">
        <v>776.24</v>
      </c>
      <c r="G3803" s="6" t="s">
        <v>15614</v>
      </c>
    </row>
    <row r="3804" customFormat="false" ht="15" hidden="false" customHeight="true" outlineLevel="0" collapsed="false">
      <c r="A3804" s="6" t="s">
        <v>19416</v>
      </c>
      <c r="B3804" s="6" t="s">
        <v>2457</v>
      </c>
      <c r="C3804" s="6" t="s">
        <v>124</v>
      </c>
      <c r="D3804" s="6" t="s">
        <v>14</v>
      </c>
      <c r="E3804" s="14" t="n">
        <v>388.12</v>
      </c>
      <c r="F3804" s="14" t="n">
        <v>1164.36</v>
      </c>
      <c r="G3804" s="6" t="s">
        <v>15614</v>
      </c>
    </row>
    <row r="3805" customFormat="false" ht="15" hidden="false" customHeight="true" outlineLevel="0" collapsed="false">
      <c r="A3805" s="6" t="s">
        <v>19417</v>
      </c>
      <c r="B3805" s="6" t="s">
        <v>2459</v>
      </c>
      <c r="C3805" s="6" t="s">
        <v>131</v>
      </c>
      <c r="D3805" s="6" t="s">
        <v>53</v>
      </c>
      <c r="E3805" s="14" t="n">
        <v>1554.47</v>
      </c>
      <c r="F3805" s="14" t="n">
        <v>1554.47</v>
      </c>
      <c r="G3805" s="6" t="s">
        <v>15614</v>
      </c>
    </row>
    <row r="3806" customFormat="false" ht="15" hidden="false" customHeight="true" outlineLevel="0" collapsed="false">
      <c r="A3806" s="6" t="s">
        <v>19418</v>
      </c>
      <c r="B3806" s="6" t="s">
        <v>2459</v>
      </c>
      <c r="C3806" s="6" t="s">
        <v>131</v>
      </c>
      <c r="D3806" s="6" t="s">
        <v>54</v>
      </c>
      <c r="E3806" s="14" t="n">
        <v>1554.47</v>
      </c>
      <c r="F3806" s="14" t="n">
        <v>3108.94</v>
      </c>
      <c r="G3806" s="6" t="s">
        <v>15614</v>
      </c>
    </row>
    <row r="3807" customFormat="false" ht="15" hidden="false" customHeight="true" outlineLevel="0" collapsed="false">
      <c r="A3807" s="6" t="s">
        <v>19419</v>
      </c>
      <c r="B3807" s="6" t="s">
        <v>2459</v>
      </c>
      <c r="C3807" s="6" t="s">
        <v>131</v>
      </c>
      <c r="D3807" s="6" t="s">
        <v>55</v>
      </c>
      <c r="E3807" s="14" t="n">
        <v>1554.47</v>
      </c>
      <c r="F3807" s="14" t="n">
        <v>4663.41</v>
      </c>
      <c r="G3807" s="6" t="s">
        <v>15614</v>
      </c>
    </row>
    <row r="3808" customFormat="false" ht="15" hidden="false" customHeight="true" outlineLevel="0" collapsed="false">
      <c r="A3808" s="6" t="s">
        <v>19420</v>
      </c>
      <c r="B3808" s="6" t="s">
        <v>2459</v>
      </c>
      <c r="C3808" s="6" t="s">
        <v>131</v>
      </c>
      <c r="D3808" s="6" t="s">
        <v>56</v>
      </c>
      <c r="E3808" s="14" t="n">
        <v>1554.47</v>
      </c>
      <c r="F3808" s="14" t="n">
        <v>6217.88</v>
      </c>
      <c r="G3808" s="6" t="s">
        <v>15614</v>
      </c>
    </row>
    <row r="3809" customFormat="false" ht="15" hidden="false" customHeight="true" outlineLevel="0" collapsed="false">
      <c r="A3809" s="6" t="s">
        <v>19421</v>
      </c>
      <c r="B3809" s="6" t="s">
        <v>2459</v>
      </c>
      <c r="C3809" s="6" t="s">
        <v>131</v>
      </c>
      <c r="D3809" s="6" t="s">
        <v>57</v>
      </c>
      <c r="E3809" s="14" t="n">
        <v>1554.47</v>
      </c>
      <c r="F3809" s="14" t="n">
        <v>7772.35</v>
      </c>
      <c r="G3809" s="6" t="s">
        <v>15614</v>
      </c>
    </row>
    <row r="3810" customFormat="false" ht="15" hidden="false" customHeight="true" outlineLevel="0" collapsed="false">
      <c r="A3810" s="6" t="s">
        <v>19422</v>
      </c>
      <c r="B3810" s="6" t="s">
        <v>2459</v>
      </c>
      <c r="C3810" s="6" t="s">
        <v>131</v>
      </c>
      <c r="D3810" s="6" t="s">
        <v>58</v>
      </c>
      <c r="E3810" s="14" t="n">
        <v>1554.47</v>
      </c>
      <c r="F3810" s="14" t="n">
        <v>9326.82</v>
      </c>
      <c r="G3810" s="6" t="s">
        <v>15614</v>
      </c>
    </row>
    <row r="3811" customFormat="false" ht="15" hidden="false" customHeight="true" outlineLevel="0" collapsed="false">
      <c r="A3811" s="6" t="s">
        <v>19423</v>
      </c>
      <c r="B3811" s="6" t="s">
        <v>2461</v>
      </c>
      <c r="C3811" s="6" t="s">
        <v>120</v>
      </c>
      <c r="D3811" s="6" t="s">
        <v>28</v>
      </c>
      <c r="E3811" s="14" t="n">
        <v>325.54</v>
      </c>
      <c r="F3811" s="14" t="n">
        <v>325.54</v>
      </c>
      <c r="G3811" s="6" t="s">
        <v>15614</v>
      </c>
    </row>
    <row r="3812" customFormat="false" ht="15" hidden="false" customHeight="true" outlineLevel="0" collapsed="false">
      <c r="A3812" s="6" t="s">
        <v>19424</v>
      </c>
      <c r="B3812" s="6" t="s">
        <v>2461</v>
      </c>
      <c r="C3812" s="6" t="s">
        <v>120</v>
      </c>
      <c r="D3812" s="6" t="s">
        <v>29</v>
      </c>
      <c r="E3812" s="14" t="n">
        <v>325.54</v>
      </c>
      <c r="F3812" s="14" t="n">
        <v>651.08</v>
      </c>
      <c r="G3812" s="6" t="s">
        <v>15614</v>
      </c>
    </row>
    <row r="3813" customFormat="false" ht="15" hidden="false" customHeight="true" outlineLevel="0" collapsed="false">
      <c r="A3813" s="6" t="s">
        <v>19425</v>
      </c>
      <c r="B3813" s="6" t="s">
        <v>2463</v>
      </c>
      <c r="C3813" s="6" t="s">
        <v>124</v>
      </c>
      <c r="D3813" s="6" t="s">
        <v>18</v>
      </c>
      <c r="E3813" s="14" t="n">
        <v>2528.77</v>
      </c>
      <c r="F3813" s="14" t="n">
        <v>2528.77</v>
      </c>
      <c r="G3813" s="6" t="s">
        <v>15614</v>
      </c>
    </row>
    <row r="3814" customFormat="false" ht="15" hidden="false" customHeight="true" outlineLevel="0" collapsed="false">
      <c r="A3814" s="6" t="s">
        <v>19426</v>
      </c>
      <c r="B3814" s="6" t="s">
        <v>2463</v>
      </c>
      <c r="C3814" s="6" t="s">
        <v>124</v>
      </c>
      <c r="D3814" s="6" t="s">
        <v>19</v>
      </c>
      <c r="E3814" s="14" t="n">
        <v>2528.77</v>
      </c>
      <c r="F3814" s="14" t="n">
        <v>5057.54</v>
      </c>
      <c r="G3814" s="6" t="s">
        <v>15614</v>
      </c>
    </row>
    <row r="3815" customFormat="false" ht="15" hidden="false" customHeight="true" outlineLevel="0" collapsed="false">
      <c r="A3815" s="6" t="s">
        <v>19427</v>
      </c>
      <c r="B3815" s="6" t="s">
        <v>2463</v>
      </c>
      <c r="C3815" s="6" t="s">
        <v>124</v>
      </c>
      <c r="D3815" s="6" t="s">
        <v>20</v>
      </c>
      <c r="E3815" s="14" t="n">
        <v>2528.77</v>
      </c>
      <c r="F3815" s="14" t="n">
        <v>7586.31</v>
      </c>
      <c r="G3815" s="6" t="s">
        <v>15614</v>
      </c>
    </row>
    <row r="3816" customFormat="false" ht="15" hidden="false" customHeight="true" outlineLevel="0" collapsed="false">
      <c r="A3816" s="6" t="s">
        <v>19428</v>
      </c>
      <c r="B3816" s="6" t="s">
        <v>2463</v>
      </c>
      <c r="C3816" s="6" t="s">
        <v>124</v>
      </c>
      <c r="D3816" s="6" t="s">
        <v>21</v>
      </c>
      <c r="E3816" s="14" t="n">
        <v>2528.77</v>
      </c>
      <c r="F3816" s="14" t="n">
        <v>10115.08</v>
      </c>
      <c r="G3816" s="6" t="s">
        <v>15614</v>
      </c>
    </row>
    <row r="3817" customFormat="false" ht="15" hidden="false" customHeight="true" outlineLevel="0" collapsed="false">
      <c r="A3817" s="6" t="s">
        <v>19429</v>
      </c>
      <c r="B3817" s="6" t="s">
        <v>2463</v>
      </c>
      <c r="C3817" s="6" t="s">
        <v>124</v>
      </c>
      <c r="D3817" s="6" t="s">
        <v>22</v>
      </c>
      <c r="E3817" s="14" t="n">
        <v>2528.77</v>
      </c>
      <c r="F3817" s="14" t="n">
        <v>12643.85</v>
      </c>
      <c r="G3817" s="6" t="s">
        <v>15614</v>
      </c>
    </row>
    <row r="3818" customFormat="false" ht="15" hidden="false" customHeight="true" outlineLevel="0" collapsed="false">
      <c r="A3818" s="6" t="s">
        <v>19430</v>
      </c>
      <c r="B3818" s="6" t="s">
        <v>2465</v>
      </c>
      <c r="C3818" s="6" t="s">
        <v>112</v>
      </c>
      <c r="D3818" s="6" t="s">
        <v>62</v>
      </c>
      <c r="E3818" s="14" t="n">
        <v>1292.04</v>
      </c>
      <c r="F3818" s="14" t="n">
        <v>1292.04</v>
      </c>
      <c r="G3818" s="6" t="s">
        <v>15614</v>
      </c>
    </row>
    <row r="3819" customFormat="false" ht="15" hidden="false" customHeight="true" outlineLevel="0" collapsed="false">
      <c r="A3819" s="6" t="s">
        <v>19431</v>
      </c>
      <c r="B3819" s="6" t="s">
        <v>2465</v>
      </c>
      <c r="C3819" s="6" t="s">
        <v>112</v>
      </c>
      <c r="D3819" s="6" t="s">
        <v>63</v>
      </c>
      <c r="E3819" s="14" t="n">
        <v>1292.04</v>
      </c>
      <c r="F3819" s="14" t="n">
        <v>2584.08</v>
      </c>
      <c r="G3819" s="6" t="s">
        <v>15614</v>
      </c>
    </row>
    <row r="3820" customFormat="false" ht="15" hidden="false" customHeight="true" outlineLevel="0" collapsed="false">
      <c r="A3820" s="6" t="s">
        <v>19432</v>
      </c>
      <c r="B3820" s="6" t="s">
        <v>2465</v>
      </c>
      <c r="C3820" s="6" t="s">
        <v>112</v>
      </c>
      <c r="D3820" s="6" t="s">
        <v>64</v>
      </c>
      <c r="E3820" s="14" t="n">
        <v>1292.04</v>
      </c>
      <c r="F3820" s="14" t="n">
        <v>3876.12</v>
      </c>
      <c r="G3820" s="6" t="s">
        <v>15614</v>
      </c>
    </row>
    <row r="3821" customFormat="false" ht="15" hidden="false" customHeight="true" outlineLevel="0" collapsed="false">
      <c r="A3821" s="6" t="s">
        <v>19433</v>
      </c>
      <c r="B3821" s="6" t="s">
        <v>2465</v>
      </c>
      <c r="C3821" s="6" t="s">
        <v>112</v>
      </c>
      <c r="D3821" s="6" t="s">
        <v>65</v>
      </c>
      <c r="E3821" s="14" t="n">
        <v>1292.04</v>
      </c>
      <c r="F3821" s="14" t="n">
        <v>5168.16</v>
      </c>
      <c r="G3821" s="6" t="s">
        <v>15614</v>
      </c>
    </row>
    <row r="3822" customFormat="false" ht="15" hidden="false" customHeight="true" outlineLevel="0" collapsed="false">
      <c r="A3822" s="6" t="s">
        <v>19434</v>
      </c>
      <c r="B3822" s="6" t="s">
        <v>2465</v>
      </c>
      <c r="C3822" s="6" t="s">
        <v>112</v>
      </c>
      <c r="D3822" s="6" t="s">
        <v>66</v>
      </c>
      <c r="E3822" s="14" t="n">
        <v>1292.04</v>
      </c>
      <c r="F3822" s="14" t="n">
        <v>6460.2</v>
      </c>
      <c r="G3822" s="6" t="s">
        <v>15614</v>
      </c>
    </row>
    <row r="3823" customFormat="false" ht="15" hidden="false" customHeight="true" outlineLevel="0" collapsed="false">
      <c r="A3823" s="6" t="s">
        <v>19435</v>
      </c>
      <c r="B3823" s="6" t="s">
        <v>2467</v>
      </c>
      <c r="C3823" s="6" t="s">
        <v>131</v>
      </c>
      <c r="D3823" s="6" t="s">
        <v>30</v>
      </c>
      <c r="E3823" s="14" t="n">
        <v>2267.2</v>
      </c>
      <c r="F3823" s="14" t="n">
        <v>2267.2</v>
      </c>
      <c r="G3823" s="6" t="s">
        <v>15614</v>
      </c>
    </row>
    <row r="3824" customFormat="false" ht="15" hidden="false" customHeight="true" outlineLevel="0" collapsed="false">
      <c r="A3824" s="6" t="s">
        <v>19436</v>
      </c>
      <c r="B3824" s="6" t="s">
        <v>2467</v>
      </c>
      <c r="C3824" s="6" t="s">
        <v>131</v>
      </c>
      <c r="D3824" s="6" t="s">
        <v>31</v>
      </c>
      <c r="E3824" s="14" t="n">
        <v>2267.2</v>
      </c>
      <c r="F3824" s="14" t="n">
        <v>4534.4</v>
      </c>
      <c r="G3824" s="6" t="s">
        <v>15614</v>
      </c>
    </row>
    <row r="3825" customFormat="false" ht="15" hidden="false" customHeight="true" outlineLevel="0" collapsed="false">
      <c r="A3825" s="6" t="s">
        <v>19437</v>
      </c>
      <c r="B3825" s="6" t="s">
        <v>2469</v>
      </c>
      <c r="C3825" s="6" t="s">
        <v>112</v>
      </c>
      <c r="D3825" s="6" t="s">
        <v>49</v>
      </c>
      <c r="E3825" s="14" t="n">
        <v>1671.29</v>
      </c>
      <c r="F3825" s="14" t="n">
        <v>1671.29</v>
      </c>
      <c r="G3825" s="6" t="s">
        <v>15614</v>
      </c>
    </row>
    <row r="3826" customFormat="false" ht="15" hidden="false" customHeight="true" outlineLevel="0" collapsed="false">
      <c r="A3826" s="6" t="s">
        <v>19438</v>
      </c>
      <c r="B3826" s="6" t="s">
        <v>2469</v>
      </c>
      <c r="C3826" s="6" t="s">
        <v>112</v>
      </c>
      <c r="D3826" s="6" t="s">
        <v>50</v>
      </c>
      <c r="E3826" s="14" t="n">
        <v>1671.29</v>
      </c>
      <c r="F3826" s="14" t="n">
        <v>3342.58</v>
      </c>
      <c r="G3826" s="6" t="s">
        <v>15614</v>
      </c>
    </row>
    <row r="3827" customFormat="false" ht="15" hidden="false" customHeight="true" outlineLevel="0" collapsed="false">
      <c r="A3827" s="6" t="s">
        <v>19439</v>
      </c>
      <c r="B3827" s="6" t="s">
        <v>2469</v>
      </c>
      <c r="C3827" s="6" t="s">
        <v>112</v>
      </c>
      <c r="D3827" s="6" t="s">
        <v>51</v>
      </c>
      <c r="E3827" s="14" t="n">
        <v>1671.29</v>
      </c>
      <c r="F3827" s="14" t="n">
        <v>5013.87</v>
      </c>
      <c r="G3827" s="6" t="s">
        <v>15614</v>
      </c>
    </row>
    <row r="3828" customFormat="false" ht="15" hidden="false" customHeight="true" outlineLevel="0" collapsed="false">
      <c r="A3828" s="6" t="s">
        <v>19440</v>
      </c>
      <c r="B3828" s="6" t="s">
        <v>2471</v>
      </c>
      <c r="C3828" s="6" t="s">
        <v>124</v>
      </c>
      <c r="D3828" s="6" t="s">
        <v>53</v>
      </c>
      <c r="E3828" s="14" t="n">
        <v>1152.24</v>
      </c>
      <c r="F3828" s="14" t="n">
        <v>1152.24</v>
      </c>
      <c r="G3828" s="6" t="s">
        <v>15614</v>
      </c>
    </row>
    <row r="3829" customFormat="false" ht="15" hidden="false" customHeight="true" outlineLevel="0" collapsed="false">
      <c r="A3829" s="6" t="s">
        <v>19441</v>
      </c>
      <c r="B3829" s="6" t="s">
        <v>2471</v>
      </c>
      <c r="C3829" s="6" t="s">
        <v>124</v>
      </c>
      <c r="D3829" s="6" t="s">
        <v>54</v>
      </c>
      <c r="E3829" s="14" t="n">
        <v>1152.24</v>
      </c>
      <c r="F3829" s="14" t="n">
        <v>2304.48</v>
      </c>
      <c r="G3829" s="6" t="s">
        <v>15614</v>
      </c>
    </row>
    <row r="3830" customFormat="false" ht="15" hidden="false" customHeight="true" outlineLevel="0" collapsed="false">
      <c r="A3830" s="6" t="s">
        <v>19442</v>
      </c>
      <c r="B3830" s="6" t="s">
        <v>2471</v>
      </c>
      <c r="C3830" s="6" t="s">
        <v>124</v>
      </c>
      <c r="D3830" s="6" t="s">
        <v>55</v>
      </c>
      <c r="E3830" s="14" t="n">
        <v>1152.24</v>
      </c>
      <c r="F3830" s="14" t="n">
        <v>3456.72</v>
      </c>
      <c r="G3830" s="6" t="s">
        <v>15614</v>
      </c>
    </row>
    <row r="3831" customFormat="false" ht="15" hidden="false" customHeight="true" outlineLevel="0" collapsed="false">
      <c r="A3831" s="6" t="s">
        <v>19443</v>
      </c>
      <c r="B3831" s="6" t="s">
        <v>2471</v>
      </c>
      <c r="C3831" s="6" t="s">
        <v>124</v>
      </c>
      <c r="D3831" s="6" t="s">
        <v>56</v>
      </c>
      <c r="E3831" s="14" t="n">
        <v>1152.24</v>
      </c>
      <c r="F3831" s="14" t="n">
        <v>4608.96</v>
      </c>
      <c r="G3831" s="6" t="s">
        <v>15614</v>
      </c>
    </row>
    <row r="3832" customFormat="false" ht="15" hidden="false" customHeight="true" outlineLevel="0" collapsed="false">
      <c r="A3832" s="6" t="s">
        <v>19444</v>
      </c>
      <c r="B3832" s="6" t="s">
        <v>2471</v>
      </c>
      <c r="C3832" s="6" t="s">
        <v>124</v>
      </c>
      <c r="D3832" s="6" t="s">
        <v>57</v>
      </c>
      <c r="E3832" s="14" t="n">
        <v>1152.24</v>
      </c>
      <c r="F3832" s="14" t="n">
        <v>5761.2</v>
      </c>
      <c r="G3832" s="6" t="s">
        <v>15614</v>
      </c>
    </row>
    <row r="3833" customFormat="false" ht="15" hidden="false" customHeight="true" outlineLevel="0" collapsed="false">
      <c r="A3833" s="6" t="s">
        <v>19445</v>
      </c>
      <c r="B3833" s="6" t="s">
        <v>2473</v>
      </c>
      <c r="C3833" s="6" t="s">
        <v>124</v>
      </c>
      <c r="D3833" s="6" t="s">
        <v>33</v>
      </c>
      <c r="E3833" s="14" t="n">
        <v>1827.66</v>
      </c>
      <c r="F3833" s="14" t="n">
        <v>1827.66</v>
      </c>
      <c r="G3833" s="6" t="s">
        <v>15614</v>
      </c>
    </row>
    <row r="3834" customFormat="false" ht="15" hidden="false" customHeight="true" outlineLevel="0" collapsed="false">
      <c r="A3834" s="6" t="s">
        <v>19446</v>
      </c>
      <c r="B3834" s="6" t="s">
        <v>2473</v>
      </c>
      <c r="C3834" s="6" t="s">
        <v>124</v>
      </c>
      <c r="D3834" s="6" t="s">
        <v>34</v>
      </c>
      <c r="E3834" s="14" t="n">
        <v>1827.66</v>
      </c>
      <c r="F3834" s="14" t="n">
        <v>3655.32</v>
      </c>
      <c r="G3834" s="6" t="s">
        <v>15614</v>
      </c>
    </row>
    <row r="3835" customFormat="false" ht="15" hidden="false" customHeight="true" outlineLevel="0" collapsed="false">
      <c r="A3835" s="6" t="s">
        <v>19447</v>
      </c>
      <c r="B3835" s="6" t="s">
        <v>2473</v>
      </c>
      <c r="C3835" s="6" t="s">
        <v>124</v>
      </c>
      <c r="D3835" s="6" t="s">
        <v>35</v>
      </c>
      <c r="E3835" s="14" t="n">
        <v>1827.66</v>
      </c>
      <c r="F3835" s="14" t="n">
        <v>5482.98</v>
      </c>
      <c r="G3835" s="6" t="s">
        <v>15614</v>
      </c>
    </row>
    <row r="3836" customFormat="false" ht="15" hidden="false" customHeight="true" outlineLevel="0" collapsed="false">
      <c r="A3836" s="6" t="s">
        <v>19448</v>
      </c>
      <c r="B3836" s="6" t="s">
        <v>2475</v>
      </c>
      <c r="C3836" s="6" t="s">
        <v>124</v>
      </c>
      <c r="D3836" s="6" t="s">
        <v>15</v>
      </c>
      <c r="E3836" s="14" t="n">
        <v>2804.72</v>
      </c>
      <c r="F3836" s="14" t="n">
        <v>2804.72</v>
      </c>
      <c r="G3836" s="6" t="s">
        <v>15614</v>
      </c>
    </row>
    <row r="3837" customFormat="false" ht="15" hidden="false" customHeight="true" outlineLevel="0" collapsed="false">
      <c r="A3837" s="6" t="s">
        <v>19449</v>
      </c>
      <c r="B3837" s="6" t="s">
        <v>2475</v>
      </c>
      <c r="C3837" s="6" t="s">
        <v>124</v>
      </c>
      <c r="D3837" s="6" t="s">
        <v>16</v>
      </c>
      <c r="E3837" s="14" t="n">
        <v>2804.72</v>
      </c>
      <c r="F3837" s="14" t="n">
        <v>5609.44</v>
      </c>
      <c r="G3837" s="6" t="s">
        <v>15614</v>
      </c>
    </row>
    <row r="3838" customFormat="false" ht="15" hidden="false" customHeight="true" outlineLevel="0" collapsed="false">
      <c r="A3838" s="6" t="s">
        <v>19450</v>
      </c>
      <c r="B3838" s="6" t="s">
        <v>2477</v>
      </c>
      <c r="C3838" s="6" t="s">
        <v>120</v>
      </c>
      <c r="D3838" s="6" t="s">
        <v>37</v>
      </c>
      <c r="E3838" s="14" t="n">
        <v>330.82</v>
      </c>
      <c r="F3838" s="14" t="n">
        <v>330.82</v>
      </c>
      <c r="G3838" s="6" t="s">
        <v>15614</v>
      </c>
    </row>
    <row r="3839" customFormat="false" ht="15" hidden="false" customHeight="true" outlineLevel="0" collapsed="false">
      <c r="A3839" s="6" t="s">
        <v>19451</v>
      </c>
      <c r="B3839" s="6" t="s">
        <v>2477</v>
      </c>
      <c r="C3839" s="6" t="s">
        <v>120</v>
      </c>
      <c r="D3839" s="6" t="s">
        <v>38</v>
      </c>
      <c r="E3839" s="14" t="n">
        <v>330.82</v>
      </c>
      <c r="F3839" s="14" t="n">
        <v>661.64</v>
      </c>
      <c r="G3839" s="6" t="s">
        <v>15614</v>
      </c>
    </row>
    <row r="3840" customFormat="false" ht="15" hidden="false" customHeight="true" outlineLevel="0" collapsed="false">
      <c r="A3840" s="6" t="s">
        <v>19452</v>
      </c>
      <c r="B3840" s="6" t="s">
        <v>2479</v>
      </c>
      <c r="C3840" s="6" t="s">
        <v>131</v>
      </c>
      <c r="D3840" s="6" t="s">
        <v>43</v>
      </c>
      <c r="E3840" s="14" t="n">
        <v>1899.61</v>
      </c>
      <c r="F3840" s="14" t="n">
        <v>1899.61</v>
      </c>
      <c r="G3840" s="6" t="s">
        <v>15614</v>
      </c>
    </row>
    <row r="3841" customFormat="false" ht="15" hidden="false" customHeight="true" outlineLevel="0" collapsed="false">
      <c r="A3841" s="6" t="s">
        <v>19453</v>
      </c>
      <c r="B3841" s="6" t="s">
        <v>2479</v>
      </c>
      <c r="C3841" s="6" t="s">
        <v>131</v>
      </c>
      <c r="D3841" s="6" t="s">
        <v>44</v>
      </c>
      <c r="E3841" s="14" t="n">
        <v>1899.61</v>
      </c>
      <c r="F3841" s="14" t="n">
        <v>3799.22</v>
      </c>
      <c r="G3841" s="6" t="s">
        <v>15614</v>
      </c>
    </row>
    <row r="3842" customFormat="false" ht="15" hidden="false" customHeight="true" outlineLevel="0" collapsed="false">
      <c r="A3842" s="6" t="s">
        <v>19454</v>
      </c>
      <c r="B3842" s="6" t="s">
        <v>2479</v>
      </c>
      <c r="C3842" s="6" t="s">
        <v>131</v>
      </c>
      <c r="D3842" s="6" t="s">
        <v>45</v>
      </c>
      <c r="E3842" s="14" t="n">
        <v>1899.61</v>
      </c>
      <c r="F3842" s="14" t="n">
        <v>5698.83</v>
      </c>
      <c r="G3842" s="6" t="s">
        <v>15614</v>
      </c>
    </row>
    <row r="3843" customFormat="false" ht="15" hidden="false" customHeight="true" outlineLevel="0" collapsed="false">
      <c r="A3843" s="6" t="s">
        <v>19455</v>
      </c>
      <c r="B3843" s="6" t="s">
        <v>2481</v>
      </c>
      <c r="C3843" s="6" t="s">
        <v>124</v>
      </c>
      <c r="D3843" s="6" t="s">
        <v>18</v>
      </c>
      <c r="E3843" s="14" t="n">
        <v>4212.38</v>
      </c>
      <c r="F3843" s="14" t="n">
        <v>4212.38</v>
      </c>
      <c r="G3843" s="6" t="s">
        <v>15614</v>
      </c>
    </row>
    <row r="3844" customFormat="false" ht="15" hidden="false" customHeight="true" outlineLevel="0" collapsed="false">
      <c r="A3844" s="6" t="s">
        <v>19456</v>
      </c>
      <c r="B3844" s="6" t="s">
        <v>2481</v>
      </c>
      <c r="C3844" s="6" t="s">
        <v>124</v>
      </c>
      <c r="D3844" s="6" t="s">
        <v>19</v>
      </c>
      <c r="E3844" s="14" t="n">
        <v>4212.38</v>
      </c>
      <c r="F3844" s="14" t="n">
        <v>8424.76</v>
      </c>
      <c r="G3844" s="6" t="s">
        <v>15614</v>
      </c>
    </row>
    <row r="3845" customFormat="false" ht="15" hidden="false" customHeight="true" outlineLevel="0" collapsed="false">
      <c r="A3845" s="6" t="s">
        <v>19457</v>
      </c>
      <c r="B3845" s="6" t="s">
        <v>2481</v>
      </c>
      <c r="C3845" s="6" t="s">
        <v>124</v>
      </c>
      <c r="D3845" s="6" t="s">
        <v>20</v>
      </c>
      <c r="E3845" s="14" t="n">
        <v>4212.38</v>
      </c>
      <c r="F3845" s="14" t="n">
        <v>12637.14</v>
      </c>
      <c r="G3845" s="6" t="s">
        <v>15614</v>
      </c>
    </row>
    <row r="3846" customFormat="false" ht="15" hidden="false" customHeight="true" outlineLevel="0" collapsed="false">
      <c r="A3846" s="6" t="s">
        <v>19458</v>
      </c>
      <c r="B3846" s="6" t="s">
        <v>2481</v>
      </c>
      <c r="C3846" s="6" t="s">
        <v>124</v>
      </c>
      <c r="D3846" s="6" t="s">
        <v>21</v>
      </c>
      <c r="E3846" s="14" t="n">
        <v>4212.38</v>
      </c>
      <c r="F3846" s="14" t="n">
        <v>16849.52</v>
      </c>
      <c r="G3846" s="6" t="s">
        <v>15614</v>
      </c>
    </row>
    <row r="3847" customFormat="false" ht="15" hidden="false" customHeight="true" outlineLevel="0" collapsed="false">
      <c r="A3847" s="6" t="s">
        <v>19459</v>
      </c>
      <c r="B3847" s="6" t="s">
        <v>2483</v>
      </c>
      <c r="C3847" s="6" t="s">
        <v>128</v>
      </c>
      <c r="D3847" s="6" t="s">
        <v>30</v>
      </c>
      <c r="E3847" s="14" t="n">
        <v>2442.26</v>
      </c>
      <c r="F3847" s="14" t="n">
        <v>2442.26</v>
      </c>
      <c r="G3847" s="6" t="s">
        <v>15614</v>
      </c>
    </row>
    <row r="3848" customFormat="false" ht="15" hidden="false" customHeight="true" outlineLevel="0" collapsed="false">
      <c r="A3848" s="6" t="s">
        <v>19460</v>
      </c>
      <c r="B3848" s="6" t="s">
        <v>2483</v>
      </c>
      <c r="C3848" s="6" t="s">
        <v>128</v>
      </c>
      <c r="D3848" s="6" t="s">
        <v>31</v>
      </c>
      <c r="E3848" s="14" t="n">
        <v>2442.26</v>
      </c>
      <c r="F3848" s="14" t="n">
        <v>4884.52</v>
      </c>
      <c r="G3848" s="6" t="s">
        <v>15614</v>
      </c>
    </row>
    <row r="3849" customFormat="false" ht="15" hidden="false" customHeight="true" outlineLevel="0" collapsed="false">
      <c r="A3849" s="6" t="s">
        <v>19461</v>
      </c>
      <c r="B3849" s="6" t="s">
        <v>2483</v>
      </c>
      <c r="C3849" s="6" t="s">
        <v>128</v>
      </c>
      <c r="D3849" s="6" t="s">
        <v>32</v>
      </c>
      <c r="E3849" s="14" t="n">
        <v>2442.26</v>
      </c>
      <c r="F3849" s="14" t="n">
        <v>7326.78</v>
      </c>
      <c r="G3849" s="6" t="s">
        <v>15614</v>
      </c>
    </row>
    <row r="3850" customFormat="false" ht="15" hidden="false" customHeight="true" outlineLevel="0" collapsed="false">
      <c r="A3850" s="6" t="s">
        <v>19462</v>
      </c>
      <c r="B3850" s="6" t="s">
        <v>2483</v>
      </c>
      <c r="C3850" s="6" t="s">
        <v>128</v>
      </c>
      <c r="D3850" s="6" t="s">
        <v>33</v>
      </c>
      <c r="E3850" s="14" t="n">
        <v>2442.26</v>
      </c>
      <c r="F3850" s="14" t="n">
        <v>9769.04</v>
      </c>
      <c r="G3850" s="6" t="s">
        <v>15614</v>
      </c>
    </row>
    <row r="3851" customFormat="false" ht="15" hidden="false" customHeight="true" outlineLevel="0" collapsed="false">
      <c r="A3851" s="6" t="s">
        <v>19463</v>
      </c>
      <c r="B3851" s="6" t="s">
        <v>2483</v>
      </c>
      <c r="C3851" s="6" t="s">
        <v>128</v>
      </c>
      <c r="D3851" s="6" t="s">
        <v>34</v>
      </c>
      <c r="E3851" s="14" t="n">
        <v>2442.26</v>
      </c>
      <c r="F3851" s="14" t="n">
        <v>12211.3</v>
      </c>
      <c r="G3851" s="6" t="s">
        <v>15614</v>
      </c>
    </row>
    <row r="3852" customFormat="false" ht="15" hidden="false" customHeight="true" outlineLevel="0" collapsed="false">
      <c r="A3852" s="6" t="s">
        <v>19464</v>
      </c>
      <c r="B3852" s="6" t="s">
        <v>2485</v>
      </c>
      <c r="C3852" s="6" t="s">
        <v>116</v>
      </c>
      <c r="D3852" s="6" t="s">
        <v>51</v>
      </c>
      <c r="E3852" s="14" t="n">
        <v>3975.78</v>
      </c>
      <c r="F3852" s="14" t="n">
        <v>3975.78</v>
      </c>
      <c r="G3852" s="6" t="s">
        <v>15614</v>
      </c>
    </row>
    <row r="3853" customFormat="false" ht="15" hidden="false" customHeight="true" outlineLevel="0" collapsed="false">
      <c r="A3853" s="6" t="s">
        <v>19465</v>
      </c>
      <c r="B3853" s="6" t="s">
        <v>2485</v>
      </c>
      <c r="C3853" s="6" t="s">
        <v>116</v>
      </c>
      <c r="D3853" s="6" t="s">
        <v>52</v>
      </c>
      <c r="E3853" s="14" t="n">
        <v>3975.78</v>
      </c>
      <c r="F3853" s="14" t="n">
        <v>7951.56</v>
      </c>
      <c r="G3853" s="6" t="s">
        <v>15614</v>
      </c>
    </row>
    <row r="3854" customFormat="false" ht="15" hidden="false" customHeight="true" outlineLevel="0" collapsed="false">
      <c r="A3854" s="6" t="s">
        <v>19466</v>
      </c>
      <c r="B3854" s="6" t="s">
        <v>2485</v>
      </c>
      <c r="C3854" s="6" t="s">
        <v>116</v>
      </c>
      <c r="D3854" s="6" t="s">
        <v>53</v>
      </c>
      <c r="E3854" s="14" t="n">
        <v>3975.78</v>
      </c>
      <c r="F3854" s="14" t="n">
        <v>11927.34</v>
      </c>
      <c r="G3854" s="6" t="s">
        <v>15614</v>
      </c>
    </row>
    <row r="3855" customFormat="false" ht="15" hidden="false" customHeight="true" outlineLevel="0" collapsed="false">
      <c r="A3855" s="6" t="s">
        <v>19467</v>
      </c>
      <c r="B3855" s="6" t="s">
        <v>2485</v>
      </c>
      <c r="C3855" s="6" t="s">
        <v>116</v>
      </c>
      <c r="D3855" s="6" t="s">
        <v>53</v>
      </c>
      <c r="E3855" s="14" t="n">
        <v>3975.78</v>
      </c>
      <c r="F3855" s="14" t="n">
        <v>15903.12</v>
      </c>
      <c r="G3855" s="6" t="s">
        <v>15614</v>
      </c>
    </row>
    <row r="3856" customFormat="false" ht="15" hidden="false" customHeight="true" outlineLevel="0" collapsed="false">
      <c r="A3856" s="6" t="s">
        <v>19468</v>
      </c>
      <c r="B3856" s="6" t="s">
        <v>2487</v>
      </c>
      <c r="C3856" s="6" t="s">
        <v>112</v>
      </c>
      <c r="D3856" s="6" t="s">
        <v>27</v>
      </c>
      <c r="E3856" s="14" t="n">
        <v>2175.02</v>
      </c>
      <c r="F3856" s="14" t="n">
        <v>2175.02</v>
      </c>
      <c r="G3856" s="6" t="s">
        <v>15614</v>
      </c>
    </row>
    <row r="3857" customFormat="false" ht="15" hidden="false" customHeight="true" outlineLevel="0" collapsed="false">
      <c r="A3857" s="6" t="s">
        <v>19469</v>
      </c>
      <c r="B3857" s="6" t="s">
        <v>2487</v>
      </c>
      <c r="C3857" s="6" t="s">
        <v>112</v>
      </c>
      <c r="D3857" s="6" t="s">
        <v>28</v>
      </c>
      <c r="E3857" s="14" t="n">
        <v>2175.02</v>
      </c>
      <c r="F3857" s="14" t="n">
        <v>4350.04</v>
      </c>
      <c r="G3857" s="6" t="s">
        <v>15614</v>
      </c>
    </row>
    <row r="3858" customFormat="false" ht="15" hidden="false" customHeight="true" outlineLevel="0" collapsed="false">
      <c r="A3858" s="6" t="s">
        <v>19470</v>
      </c>
      <c r="B3858" s="6" t="s">
        <v>2489</v>
      </c>
      <c r="C3858" s="6" t="s">
        <v>112</v>
      </c>
      <c r="D3858" s="6" t="s">
        <v>59</v>
      </c>
      <c r="E3858" s="14" t="n">
        <v>2451.23</v>
      </c>
      <c r="F3858" s="14" t="n">
        <v>2451.23</v>
      </c>
      <c r="G3858" s="6" t="s">
        <v>15614</v>
      </c>
    </row>
    <row r="3859" customFormat="false" ht="15" hidden="false" customHeight="true" outlineLevel="0" collapsed="false">
      <c r="A3859" s="6" t="s">
        <v>19471</v>
      </c>
      <c r="B3859" s="6" t="s">
        <v>2489</v>
      </c>
      <c r="C3859" s="6" t="s">
        <v>112</v>
      </c>
      <c r="D3859" s="6" t="s">
        <v>60</v>
      </c>
      <c r="E3859" s="14" t="n">
        <v>2451.23</v>
      </c>
      <c r="F3859" s="14" t="n">
        <v>4902.46</v>
      </c>
      <c r="G3859" s="6" t="s">
        <v>15614</v>
      </c>
    </row>
    <row r="3860" customFormat="false" ht="15" hidden="false" customHeight="true" outlineLevel="0" collapsed="false">
      <c r="A3860" s="6" t="s">
        <v>19472</v>
      </c>
      <c r="B3860" s="6" t="s">
        <v>2489</v>
      </c>
      <c r="C3860" s="6" t="s">
        <v>112</v>
      </c>
      <c r="D3860" s="6" t="s">
        <v>61</v>
      </c>
      <c r="E3860" s="14" t="n">
        <v>2451.23</v>
      </c>
      <c r="F3860" s="14" t="n">
        <v>7353.69</v>
      </c>
      <c r="G3860" s="6" t="s">
        <v>15614</v>
      </c>
    </row>
    <row r="3861" customFormat="false" ht="15" hidden="false" customHeight="true" outlineLevel="0" collapsed="false">
      <c r="A3861" s="6" t="s">
        <v>19473</v>
      </c>
      <c r="B3861" s="6" t="s">
        <v>2491</v>
      </c>
      <c r="C3861" s="6" t="s">
        <v>120</v>
      </c>
      <c r="D3861" s="6" t="s">
        <v>12</v>
      </c>
      <c r="E3861" s="14" t="n">
        <v>1262.51</v>
      </c>
      <c r="F3861" s="14" t="n">
        <v>1262.51</v>
      </c>
      <c r="G3861" s="6" t="s">
        <v>15614</v>
      </c>
    </row>
    <row r="3862" customFormat="false" ht="15" hidden="false" customHeight="true" outlineLevel="0" collapsed="false">
      <c r="A3862" s="6" t="s">
        <v>19474</v>
      </c>
      <c r="B3862" s="6" t="s">
        <v>2491</v>
      </c>
      <c r="C3862" s="6" t="s">
        <v>120</v>
      </c>
      <c r="D3862" s="6" t="s">
        <v>13</v>
      </c>
      <c r="E3862" s="14" t="n">
        <v>1262.51</v>
      </c>
      <c r="F3862" s="14" t="n">
        <v>2525.02</v>
      </c>
      <c r="G3862" s="6" t="s">
        <v>15614</v>
      </c>
    </row>
    <row r="3863" customFormat="false" ht="15" hidden="false" customHeight="true" outlineLevel="0" collapsed="false">
      <c r="A3863" s="6" t="s">
        <v>19475</v>
      </c>
      <c r="B3863" s="6" t="s">
        <v>2491</v>
      </c>
      <c r="C3863" s="6" t="s">
        <v>120</v>
      </c>
      <c r="D3863" s="6" t="s">
        <v>14</v>
      </c>
      <c r="E3863" s="14" t="n">
        <v>1262.51</v>
      </c>
      <c r="F3863" s="14" t="n">
        <v>3787.53</v>
      </c>
      <c r="G3863" s="6" t="s">
        <v>15614</v>
      </c>
    </row>
    <row r="3864" customFormat="false" ht="15" hidden="false" customHeight="true" outlineLevel="0" collapsed="false">
      <c r="A3864" s="6" t="s">
        <v>19476</v>
      </c>
      <c r="B3864" s="6" t="s">
        <v>2493</v>
      </c>
      <c r="C3864" s="6" t="s">
        <v>131</v>
      </c>
      <c r="D3864" s="6" t="s">
        <v>33</v>
      </c>
      <c r="E3864" s="14" t="n">
        <v>5285.14</v>
      </c>
      <c r="F3864" s="14" t="n">
        <v>5285.14</v>
      </c>
      <c r="G3864" s="6" t="s">
        <v>15614</v>
      </c>
    </row>
    <row r="3865" customFormat="false" ht="15" hidden="false" customHeight="true" outlineLevel="0" collapsed="false">
      <c r="A3865" s="6" t="s">
        <v>19477</v>
      </c>
      <c r="B3865" s="6" t="s">
        <v>2493</v>
      </c>
      <c r="C3865" s="6" t="s">
        <v>131</v>
      </c>
      <c r="D3865" s="6" t="s">
        <v>34</v>
      </c>
      <c r="E3865" s="14" t="n">
        <v>5285.14</v>
      </c>
      <c r="F3865" s="14" t="n">
        <v>10570.28</v>
      </c>
      <c r="G3865" s="6" t="s">
        <v>15614</v>
      </c>
    </row>
    <row r="3866" customFormat="false" ht="15" hidden="false" customHeight="true" outlineLevel="0" collapsed="false">
      <c r="A3866" s="6" t="s">
        <v>19478</v>
      </c>
      <c r="B3866" s="6" t="s">
        <v>2493</v>
      </c>
      <c r="C3866" s="6" t="s">
        <v>131</v>
      </c>
      <c r="D3866" s="6" t="s">
        <v>35</v>
      </c>
      <c r="E3866" s="14" t="n">
        <v>5285.14</v>
      </c>
      <c r="F3866" s="14" t="n">
        <v>15855.42</v>
      </c>
      <c r="G3866" s="6" t="s">
        <v>15614</v>
      </c>
    </row>
    <row r="3867" customFormat="false" ht="15" hidden="false" customHeight="true" outlineLevel="0" collapsed="false">
      <c r="A3867" s="6" t="s">
        <v>19479</v>
      </c>
      <c r="B3867" s="6" t="s">
        <v>2493</v>
      </c>
      <c r="C3867" s="6" t="s">
        <v>131</v>
      </c>
      <c r="D3867" s="6" t="s">
        <v>36</v>
      </c>
      <c r="E3867" s="14" t="n">
        <v>5285.14</v>
      </c>
      <c r="F3867" s="14" t="n">
        <v>21140.56</v>
      </c>
      <c r="G3867" s="6" t="s">
        <v>15614</v>
      </c>
    </row>
    <row r="3868" customFormat="false" ht="15" hidden="false" customHeight="true" outlineLevel="0" collapsed="false">
      <c r="A3868" s="6" t="s">
        <v>19480</v>
      </c>
      <c r="B3868" s="6" t="s">
        <v>2493</v>
      </c>
      <c r="C3868" s="6" t="s">
        <v>131</v>
      </c>
      <c r="D3868" s="6" t="s">
        <v>37</v>
      </c>
      <c r="E3868" s="14" t="n">
        <v>5285.14</v>
      </c>
      <c r="F3868" s="14" t="n">
        <v>26425.7</v>
      </c>
      <c r="G3868" s="6" t="s">
        <v>15614</v>
      </c>
    </row>
    <row r="3869" customFormat="false" ht="15" hidden="false" customHeight="true" outlineLevel="0" collapsed="false">
      <c r="A3869" s="6" t="s">
        <v>19481</v>
      </c>
      <c r="B3869" s="6" t="s">
        <v>2495</v>
      </c>
      <c r="C3869" s="6" t="s">
        <v>131</v>
      </c>
      <c r="D3869" s="6" t="s">
        <v>63</v>
      </c>
      <c r="E3869" s="14" t="n">
        <v>2928.43</v>
      </c>
      <c r="F3869" s="14" t="n">
        <v>2928.43</v>
      </c>
      <c r="G3869" s="6" t="s">
        <v>15614</v>
      </c>
    </row>
    <row r="3870" customFormat="false" ht="15" hidden="false" customHeight="true" outlineLevel="0" collapsed="false">
      <c r="A3870" s="6" t="s">
        <v>19482</v>
      </c>
      <c r="B3870" s="6" t="s">
        <v>2495</v>
      </c>
      <c r="C3870" s="6" t="s">
        <v>131</v>
      </c>
      <c r="D3870" s="6" t="s">
        <v>64</v>
      </c>
      <c r="E3870" s="14" t="n">
        <v>2928.43</v>
      </c>
      <c r="F3870" s="14" t="n">
        <v>5856.86</v>
      </c>
      <c r="G3870" s="6" t="s">
        <v>15614</v>
      </c>
    </row>
    <row r="3871" customFormat="false" ht="15" hidden="false" customHeight="true" outlineLevel="0" collapsed="false">
      <c r="A3871" s="6" t="s">
        <v>19483</v>
      </c>
      <c r="B3871" s="6" t="s">
        <v>2495</v>
      </c>
      <c r="C3871" s="6" t="s">
        <v>131</v>
      </c>
      <c r="D3871" s="6" t="s">
        <v>65</v>
      </c>
      <c r="E3871" s="14" t="n">
        <v>2928.43</v>
      </c>
      <c r="F3871" s="14" t="n">
        <v>8785.29</v>
      </c>
      <c r="G3871" s="6" t="s">
        <v>15614</v>
      </c>
    </row>
    <row r="3872" customFormat="false" ht="15" hidden="false" customHeight="true" outlineLevel="0" collapsed="false">
      <c r="A3872" s="6" t="s">
        <v>19484</v>
      </c>
      <c r="B3872" s="6" t="s">
        <v>2495</v>
      </c>
      <c r="C3872" s="6" t="s">
        <v>131</v>
      </c>
      <c r="D3872" s="6" t="s">
        <v>66</v>
      </c>
      <c r="E3872" s="14" t="n">
        <v>2928.43</v>
      </c>
      <c r="F3872" s="14" t="n">
        <v>11713.72</v>
      </c>
      <c r="G3872" s="6" t="s">
        <v>15614</v>
      </c>
    </row>
    <row r="3873" customFormat="false" ht="15" hidden="false" customHeight="true" outlineLevel="0" collapsed="false">
      <c r="A3873" s="6" t="s">
        <v>19485</v>
      </c>
      <c r="B3873" s="6" t="s">
        <v>2497</v>
      </c>
      <c r="C3873" s="6" t="s">
        <v>116</v>
      </c>
      <c r="D3873" s="6" t="s">
        <v>26</v>
      </c>
      <c r="E3873" s="14" t="n">
        <v>1545.1</v>
      </c>
      <c r="F3873" s="14" t="n">
        <v>1545.1</v>
      </c>
      <c r="G3873" s="6" t="s">
        <v>15614</v>
      </c>
    </row>
    <row r="3874" customFormat="false" ht="15" hidden="false" customHeight="true" outlineLevel="0" collapsed="false">
      <c r="A3874" s="6" t="s">
        <v>19486</v>
      </c>
      <c r="B3874" s="6" t="s">
        <v>2497</v>
      </c>
      <c r="C3874" s="6" t="s">
        <v>116</v>
      </c>
      <c r="D3874" s="6" t="s">
        <v>27</v>
      </c>
      <c r="E3874" s="14" t="n">
        <v>1545.1</v>
      </c>
      <c r="F3874" s="14" t="n">
        <v>3090.2</v>
      </c>
      <c r="G3874" s="6" t="s">
        <v>15614</v>
      </c>
    </row>
    <row r="3875" customFormat="false" ht="15" hidden="false" customHeight="true" outlineLevel="0" collapsed="false">
      <c r="A3875" s="6" t="s">
        <v>19487</v>
      </c>
      <c r="B3875" s="6" t="s">
        <v>2497</v>
      </c>
      <c r="C3875" s="6" t="s">
        <v>116</v>
      </c>
      <c r="D3875" s="6" t="s">
        <v>28</v>
      </c>
      <c r="E3875" s="14" t="n">
        <v>1545.1</v>
      </c>
      <c r="F3875" s="14" t="n">
        <v>4635.3</v>
      </c>
      <c r="G3875" s="6" t="s">
        <v>15614</v>
      </c>
    </row>
    <row r="3876" customFormat="false" ht="15" hidden="false" customHeight="true" outlineLevel="0" collapsed="false">
      <c r="A3876" s="6" t="s">
        <v>19488</v>
      </c>
      <c r="B3876" s="6" t="s">
        <v>2499</v>
      </c>
      <c r="C3876" s="6" t="s">
        <v>124</v>
      </c>
      <c r="D3876" s="6" t="s">
        <v>56</v>
      </c>
      <c r="E3876" s="14" t="n">
        <v>368.94</v>
      </c>
      <c r="F3876" s="14" t="n">
        <v>368.94</v>
      </c>
      <c r="G3876" s="6" t="s">
        <v>15614</v>
      </c>
    </row>
    <row r="3877" customFormat="false" ht="15" hidden="false" customHeight="true" outlineLevel="0" collapsed="false">
      <c r="A3877" s="6" t="s">
        <v>19489</v>
      </c>
      <c r="B3877" s="6" t="s">
        <v>2499</v>
      </c>
      <c r="C3877" s="6" t="s">
        <v>124</v>
      </c>
      <c r="D3877" s="6" t="s">
        <v>57</v>
      </c>
      <c r="E3877" s="14" t="n">
        <v>368.94</v>
      </c>
      <c r="F3877" s="14" t="n">
        <v>737.88</v>
      </c>
      <c r="G3877" s="6" t="s">
        <v>15614</v>
      </c>
    </row>
    <row r="3878" customFormat="false" ht="15" hidden="false" customHeight="true" outlineLevel="0" collapsed="false">
      <c r="A3878" s="6" t="s">
        <v>19490</v>
      </c>
      <c r="B3878" s="6" t="s">
        <v>2499</v>
      </c>
      <c r="C3878" s="6" t="s">
        <v>124</v>
      </c>
      <c r="D3878" s="6" t="s">
        <v>58</v>
      </c>
      <c r="E3878" s="14" t="n">
        <v>368.94</v>
      </c>
      <c r="F3878" s="14" t="n">
        <v>1106.82</v>
      </c>
      <c r="G3878" s="6" t="s">
        <v>15614</v>
      </c>
    </row>
    <row r="3879" customFormat="false" ht="15" hidden="false" customHeight="true" outlineLevel="0" collapsed="false">
      <c r="A3879" s="6" t="s">
        <v>19491</v>
      </c>
      <c r="B3879" s="6" t="s">
        <v>2499</v>
      </c>
      <c r="C3879" s="6" t="s">
        <v>124</v>
      </c>
      <c r="D3879" s="6" t="s">
        <v>59</v>
      </c>
      <c r="E3879" s="14" t="n">
        <v>368.94</v>
      </c>
      <c r="F3879" s="14" t="n">
        <v>1475.76</v>
      </c>
      <c r="G3879" s="6" t="s">
        <v>15614</v>
      </c>
    </row>
    <row r="3880" customFormat="false" ht="15" hidden="false" customHeight="true" outlineLevel="0" collapsed="false">
      <c r="A3880" s="6" t="s">
        <v>19492</v>
      </c>
      <c r="B3880" s="6" t="s">
        <v>2501</v>
      </c>
      <c r="C3880" s="6" t="s">
        <v>131</v>
      </c>
      <c r="D3880" s="6" t="s">
        <v>48</v>
      </c>
      <c r="E3880" s="14" t="n">
        <v>1661.65</v>
      </c>
      <c r="F3880" s="14" t="n">
        <v>1661.65</v>
      </c>
      <c r="G3880" s="6" t="s">
        <v>15614</v>
      </c>
    </row>
    <row r="3881" customFormat="false" ht="15" hidden="false" customHeight="true" outlineLevel="0" collapsed="false">
      <c r="A3881" s="6" t="s">
        <v>19493</v>
      </c>
      <c r="B3881" s="6" t="s">
        <v>2503</v>
      </c>
      <c r="C3881" s="6" t="s">
        <v>120</v>
      </c>
      <c r="D3881" s="6" t="s">
        <v>46</v>
      </c>
      <c r="E3881" s="14" t="n">
        <v>6022.24</v>
      </c>
      <c r="F3881" s="14" t="n">
        <v>6022.24</v>
      </c>
      <c r="G3881" s="6" t="s">
        <v>15614</v>
      </c>
    </row>
    <row r="3882" customFormat="false" ht="15" hidden="false" customHeight="true" outlineLevel="0" collapsed="false">
      <c r="A3882" s="6" t="s">
        <v>19494</v>
      </c>
      <c r="B3882" s="6" t="s">
        <v>2503</v>
      </c>
      <c r="C3882" s="6" t="s">
        <v>120</v>
      </c>
      <c r="D3882" s="6" t="s">
        <v>47</v>
      </c>
      <c r="E3882" s="14" t="n">
        <v>6022.24</v>
      </c>
      <c r="F3882" s="14" t="n">
        <v>12044.48</v>
      </c>
      <c r="G3882" s="6" t="s">
        <v>15614</v>
      </c>
    </row>
    <row r="3883" customFormat="false" ht="15" hidden="false" customHeight="true" outlineLevel="0" collapsed="false">
      <c r="A3883" s="6" t="s">
        <v>19495</v>
      </c>
      <c r="B3883" s="6" t="s">
        <v>2505</v>
      </c>
      <c r="C3883" s="6" t="s">
        <v>128</v>
      </c>
      <c r="D3883" s="6" t="s">
        <v>38</v>
      </c>
      <c r="E3883" s="14" t="n">
        <v>2656.59</v>
      </c>
      <c r="F3883" s="14" t="n">
        <v>2656.59</v>
      </c>
      <c r="G3883" s="6" t="s">
        <v>15614</v>
      </c>
    </row>
    <row r="3884" customFormat="false" ht="15" hidden="false" customHeight="true" outlineLevel="0" collapsed="false">
      <c r="A3884" s="6" t="s">
        <v>19496</v>
      </c>
      <c r="B3884" s="6" t="s">
        <v>2505</v>
      </c>
      <c r="C3884" s="6" t="s">
        <v>128</v>
      </c>
      <c r="D3884" s="6" t="s">
        <v>39</v>
      </c>
      <c r="E3884" s="14" t="n">
        <v>2656.59</v>
      </c>
      <c r="F3884" s="14" t="n">
        <v>5313.18</v>
      </c>
      <c r="G3884" s="6" t="s">
        <v>15614</v>
      </c>
    </row>
    <row r="3885" customFormat="false" ht="15" hidden="false" customHeight="true" outlineLevel="0" collapsed="false">
      <c r="A3885" s="6" t="s">
        <v>19497</v>
      </c>
      <c r="B3885" s="6" t="s">
        <v>2507</v>
      </c>
      <c r="C3885" s="6" t="s">
        <v>128</v>
      </c>
      <c r="D3885" s="6" t="s">
        <v>38</v>
      </c>
      <c r="E3885" s="14" t="n">
        <v>672.47</v>
      </c>
      <c r="F3885" s="14" t="n">
        <v>672.47</v>
      </c>
      <c r="G3885" s="6" t="s">
        <v>15614</v>
      </c>
    </row>
    <row r="3886" customFormat="false" ht="15" hidden="false" customHeight="true" outlineLevel="0" collapsed="false">
      <c r="A3886" s="6" t="s">
        <v>19498</v>
      </c>
      <c r="B3886" s="6" t="s">
        <v>2507</v>
      </c>
      <c r="C3886" s="6" t="s">
        <v>128</v>
      </c>
      <c r="D3886" s="6" t="s">
        <v>39</v>
      </c>
      <c r="E3886" s="14" t="n">
        <v>672.47</v>
      </c>
      <c r="F3886" s="14" t="n">
        <v>1344.94</v>
      </c>
      <c r="G3886" s="6" t="s">
        <v>15614</v>
      </c>
    </row>
    <row r="3887" customFormat="false" ht="15" hidden="false" customHeight="true" outlineLevel="0" collapsed="false">
      <c r="A3887" s="6" t="s">
        <v>19499</v>
      </c>
      <c r="B3887" s="6" t="s">
        <v>2507</v>
      </c>
      <c r="C3887" s="6" t="s">
        <v>128</v>
      </c>
      <c r="D3887" s="6" t="s">
        <v>40</v>
      </c>
      <c r="E3887" s="14" t="n">
        <v>672.47</v>
      </c>
      <c r="F3887" s="14" t="n">
        <v>2017.41</v>
      </c>
      <c r="G3887" s="6" t="s">
        <v>15614</v>
      </c>
    </row>
    <row r="3888" customFormat="false" ht="15" hidden="false" customHeight="true" outlineLevel="0" collapsed="false">
      <c r="A3888" s="6" t="s">
        <v>19500</v>
      </c>
      <c r="B3888" s="6" t="s">
        <v>2509</v>
      </c>
      <c r="C3888" s="6" t="s">
        <v>120</v>
      </c>
      <c r="D3888" s="6" t="s">
        <v>42</v>
      </c>
      <c r="E3888" s="14" t="n">
        <v>4033.78</v>
      </c>
      <c r="F3888" s="14" t="n">
        <v>4033.78</v>
      </c>
      <c r="G3888" s="6" t="s">
        <v>15614</v>
      </c>
    </row>
    <row r="3889" customFormat="false" ht="15" hidden="false" customHeight="true" outlineLevel="0" collapsed="false">
      <c r="A3889" s="6" t="s">
        <v>19501</v>
      </c>
      <c r="B3889" s="6" t="s">
        <v>2509</v>
      </c>
      <c r="C3889" s="6" t="s">
        <v>120</v>
      </c>
      <c r="D3889" s="6" t="s">
        <v>43</v>
      </c>
      <c r="E3889" s="14" t="n">
        <v>4033.78</v>
      </c>
      <c r="F3889" s="14" t="n">
        <v>8067.56</v>
      </c>
      <c r="G3889" s="6" t="s">
        <v>15614</v>
      </c>
    </row>
    <row r="3890" customFormat="false" ht="15" hidden="false" customHeight="true" outlineLevel="0" collapsed="false">
      <c r="A3890" s="6" t="s">
        <v>19502</v>
      </c>
      <c r="B3890" s="6" t="s">
        <v>2511</v>
      </c>
      <c r="C3890" s="6" t="s">
        <v>116</v>
      </c>
      <c r="D3890" s="6" t="s">
        <v>38</v>
      </c>
      <c r="E3890" s="14" t="n">
        <v>659.51</v>
      </c>
      <c r="F3890" s="14" t="n">
        <v>659.51</v>
      </c>
      <c r="G3890" s="6" t="s">
        <v>15614</v>
      </c>
    </row>
    <row r="3891" customFormat="false" ht="15" hidden="false" customHeight="true" outlineLevel="0" collapsed="false">
      <c r="A3891" s="6" t="s">
        <v>19503</v>
      </c>
      <c r="B3891" s="6" t="s">
        <v>2511</v>
      </c>
      <c r="C3891" s="6" t="s">
        <v>116</v>
      </c>
      <c r="D3891" s="6" t="s">
        <v>39</v>
      </c>
      <c r="E3891" s="14" t="n">
        <v>659.51</v>
      </c>
      <c r="F3891" s="14" t="n">
        <v>1319.02</v>
      </c>
      <c r="G3891" s="6" t="s">
        <v>15614</v>
      </c>
    </row>
    <row r="3892" customFormat="false" ht="15" hidden="false" customHeight="true" outlineLevel="0" collapsed="false">
      <c r="A3892" s="6" t="s">
        <v>19504</v>
      </c>
      <c r="B3892" s="6" t="s">
        <v>2513</v>
      </c>
      <c r="C3892" s="6" t="s">
        <v>131</v>
      </c>
      <c r="D3892" s="6" t="s">
        <v>23</v>
      </c>
      <c r="E3892" s="14" t="n">
        <v>152.29</v>
      </c>
      <c r="F3892" s="14" t="n">
        <v>152.29</v>
      </c>
      <c r="G3892" s="6" t="s">
        <v>15614</v>
      </c>
    </row>
    <row r="3893" customFormat="false" ht="15" hidden="false" customHeight="true" outlineLevel="0" collapsed="false">
      <c r="A3893" s="6" t="s">
        <v>19505</v>
      </c>
      <c r="B3893" s="6" t="s">
        <v>2513</v>
      </c>
      <c r="C3893" s="6" t="s">
        <v>131</v>
      </c>
      <c r="D3893" s="6" t="s">
        <v>24</v>
      </c>
      <c r="E3893" s="14" t="n">
        <v>152.29</v>
      </c>
      <c r="F3893" s="14" t="n">
        <v>304.58</v>
      </c>
      <c r="G3893" s="6" t="s">
        <v>15614</v>
      </c>
    </row>
    <row r="3894" customFormat="false" ht="15" hidden="false" customHeight="true" outlineLevel="0" collapsed="false">
      <c r="A3894" s="6" t="s">
        <v>19506</v>
      </c>
      <c r="B3894" s="6" t="s">
        <v>2513</v>
      </c>
      <c r="C3894" s="6" t="s">
        <v>131</v>
      </c>
      <c r="D3894" s="6" t="s">
        <v>25</v>
      </c>
      <c r="E3894" s="14" t="n">
        <v>152.29</v>
      </c>
      <c r="F3894" s="14" t="n">
        <v>456.87</v>
      </c>
      <c r="G3894" s="6" t="s">
        <v>15614</v>
      </c>
    </row>
    <row r="3895" customFormat="false" ht="15" hidden="false" customHeight="true" outlineLevel="0" collapsed="false">
      <c r="A3895" s="6" t="s">
        <v>19507</v>
      </c>
      <c r="B3895" s="6" t="s">
        <v>2515</v>
      </c>
      <c r="C3895" s="6" t="s">
        <v>112</v>
      </c>
      <c r="D3895" s="6" t="s">
        <v>14</v>
      </c>
      <c r="E3895" s="14" t="n">
        <v>1084.68</v>
      </c>
      <c r="F3895" s="14" t="n">
        <v>1084.68</v>
      </c>
      <c r="G3895" s="6" t="s">
        <v>15614</v>
      </c>
    </row>
    <row r="3896" customFormat="false" ht="15" hidden="false" customHeight="true" outlineLevel="0" collapsed="false">
      <c r="A3896" s="6" t="s">
        <v>19508</v>
      </c>
      <c r="B3896" s="6" t="s">
        <v>2515</v>
      </c>
      <c r="C3896" s="6" t="s">
        <v>112</v>
      </c>
      <c r="D3896" s="6" t="s">
        <v>15</v>
      </c>
      <c r="E3896" s="14" t="n">
        <v>1084.68</v>
      </c>
      <c r="F3896" s="14" t="n">
        <v>2169.36</v>
      </c>
      <c r="G3896" s="6" t="s">
        <v>15614</v>
      </c>
    </row>
    <row r="3897" customFormat="false" ht="15" hidden="false" customHeight="true" outlineLevel="0" collapsed="false">
      <c r="A3897" s="6" t="s">
        <v>19509</v>
      </c>
      <c r="B3897" s="6" t="s">
        <v>2515</v>
      </c>
      <c r="C3897" s="6" t="s">
        <v>112</v>
      </c>
      <c r="D3897" s="6" t="s">
        <v>16</v>
      </c>
      <c r="E3897" s="14" t="n">
        <v>1084.68</v>
      </c>
      <c r="F3897" s="14" t="n">
        <v>3254.04</v>
      </c>
      <c r="G3897" s="6" t="s">
        <v>15614</v>
      </c>
    </row>
    <row r="3898" customFormat="false" ht="15" hidden="false" customHeight="true" outlineLevel="0" collapsed="false">
      <c r="A3898" s="6" t="s">
        <v>19510</v>
      </c>
      <c r="B3898" s="6" t="s">
        <v>2515</v>
      </c>
      <c r="C3898" s="6" t="s">
        <v>112</v>
      </c>
      <c r="D3898" s="6" t="s">
        <v>17</v>
      </c>
      <c r="E3898" s="14" t="n">
        <v>1084.68</v>
      </c>
      <c r="F3898" s="14" t="n">
        <v>4338.72</v>
      </c>
      <c r="G3898" s="6" t="s">
        <v>15614</v>
      </c>
    </row>
    <row r="3899" customFormat="false" ht="15" hidden="false" customHeight="true" outlineLevel="0" collapsed="false">
      <c r="A3899" s="6" t="s">
        <v>19511</v>
      </c>
      <c r="B3899" s="6" t="s">
        <v>2515</v>
      </c>
      <c r="C3899" s="6" t="s">
        <v>112</v>
      </c>
      <c r="D3899" s="6" t="s">
        <v>18</v>
      </c>
      <c r="E3899" s="14" t="n">
        <v>1084.68</v>
      </c>
      <c r="F3899" s="14" t="n">
        <v>5423.4</v>
      </c>
      <c r="G3899" s="6" t="s">
        <v>15614</v>
      </c>
    </row>
    <row r="3900" customFormat="false" ht="15" hidden="false" customHeight="true" outlineLevel="0" collapsed="false">
      <c r="A3900" s="6" t="s">
        <v>19512</v>
      </c>
      <c r="B3900" s="6" t="s">
        <v>2517</v>
      </c>
      <c r="C3900" s="6" t="s">
        <v>128</v>
      </c>
      <c r="D3900" s="6" t="s">
        <v>21</v>
      </c>
      <c r="E3900" s="14" t="n">
        <v>1400.1</v>
      </c>
      <c r="F3900" s="14" t="n">
        <v>1400.1</v>
      </c>
      <c r="G3900" s="6" t="s">
        <v>15614</v>
      </c>
    </row>
    <row r="3901" customFormat="false" ht="15" hidden="false" customHeight="true" outlineLevel="0" collapsed="false">
      <c r="A3901" s="6" t="s">
        <v>19513</v>
      </c>
      <c r="B3901" s="6" t="s">
        <v>2517</v>
      </c>
      <c r="C3901" s="6" t="s">
        <v>128</v>
      </c>
      <c r="D3901" s="6" t="s">
        <v>22</v>
      </c>
      <c r="E3901" s="14" t="n">
        <v>1400.1</v>
      </c>
      <c r="F3901" s="14" t="n">
        <v>2800.2</v>
      </c>
      <c r="G3901" s="6" t="s">
        <v>15614</v>
      </c>
    </row>
    <row r="3902" customFormat="false" ht="15" hidden="false" customHeight="true" outlineLevel="0" collapsed="false">
      <c r="A3902" s="6" t="s">
        <v>19514</v>
      </c>
      <c r="B3902" s="6" t="s">
        <v>2517</v>
      </c>
      <c r="C3902" s="6" t="s">
        <v>128</v>
      </c>
      <c r="D3902" s="6" t="s">
        <v>23</v>
      </c>
      <c r="E3902" s="14" t="n">
        <v>1400.1</v>
      </c>
      <c r="F3902" s="14" t="n">
        <v>4200.3</v>
      </c>
      <c r="G3902" s="6" t="s">
        <v>15614</v>
      </c>
    </row>
    <row r="3903" customFormat="false" ht="15" hidden="false" customHeight="true" outlineLevel="0" collapsed="false">
      <c r="A3903" s="6" t="s">
        <v>19515</v>
      </c>
      <c r="B3903" s="6" t="s">
        <v>2517</v>
      </c>
      <c r="C3903" s="6" t="s">
        <v>128</v>
      </c>
      <c r="D3903" s="6" t="s">
        <v>24</v>
      </c>
      <c r="E3903" s="14" t="n">
        <v>1400.1</v>
      </c>
      <c r="F3903" s="14" t="n">
        <v>5600.4</v>
      </c>
      <c r="G3903" s="6" t="s">
        <v>15614</v>
      </c>
    </row>
    <row r="3904" customFormat="false" ht="15" hidden="false" customHeight="true" outlineLevel="0" collapsed="false">
      <c r="A3904" s="6" t="s">
        <v>19516</v>
      </c>
      <c r="B3904" s="6" t="s">
        <v>2519</v>
      </c>
      <c r="C3904" s="6" t="s">
        <v>124</v>
      </c>
      <c r="D3904" s="6" t="s">
        <v>60</v>
      </c>
      <c r="E3904" s="14" t="n">
        <v>596.7</v>
      </c>
      <c r="F3904" s="14" t="n">
        <v>596.7</v>
      </c>
      <c r="G3904" s="6" t="s">
        <v>15614</v>
      </c>
    </row>
    <row r="3905" customFormat="false" ht="15" hidden="false" customHeight="true" outlineLevel="0" collapsed="false">
      <c r="A3905" s="6" t="s">
        <v>19517</v>
      </c>
      <c r="B3905" s="6" t="s">
        <v>2519</v>
      </c>
      <c r="C3905" s="6" t="s">
        <v>124</v>
      </c>
      <c r="D3905" s="6" t="s">
        <v>61</v>
      </c>
      <c r="E3905" s="14" t="n">
        <v>596.7</v>
      </c>
      <c r="F3905" s="14" t="n">
        <v>1193.4</v>
      </c>
      <c r="G3905" s="6" t="s">
        <v>15614</v>
      </c>
    </row>
    <row r="3906" customFormat="false" ht="15" hidden="false" customHeight="true" outlineLevel="0" collapsed="false">
      <c r="A3906" s="6" t="s">
        <v>19518</v>
      </c>
      <c r="B3906" s="6" t="s">
        <v>2519</v>
      </c>
      <c r="C3906" s="6" t="s">
        <v>124</v>
      </c>
      <c r="D3906" s="6" t="s">
        <v>62</v>
      </c>
      <c r="E3906" s="14" t="n">
        <v>596.7</v>
      </c>
      <c r="F3906" s="14" t="n">
        <v>1790.1</v>
      </c>
      <c r="G3906" s="6" t="s">
        <v>15614</v>
      </c>
    </row>
    <row r="3907" customFormat="false" ht="15" hidden="false" customHeight="true" outlineLevel="0" collapsed="false">
      <c r="A3907" s="6" t="s">
        <v>19519</v>
      </c>
      <c r="B3907" s="6" t="s">
        <v>2521</v>
      </c>
      <c r="C3907" s="6" t="s">
        <v>124</v>
      </c>
      <c r="D3907" s="6" t="s">
        <v>57</v>
      </c>
      <c r="E3907" s="14" t="n">
        <v>3565.18</v>
      </c>
      <c r="F3907" s="14" t="n">
        <v>3565.18</v>
      </c>
      <c r="G3907" s="6" t="s">
        <v>15614</v>
      </c>
    </row>
    <row r="3908" customFormat="false" ht="15" hidden="false" customHeight="true" outlineLevel="0" collapsed="false">
      <c r="A3908" s="6" t="s">
        <v>19520</v>
      </c>
      <c r="B3908" s="6" t="s">
        <v>2521</v>
      </c>
      <c r="C3908" s="6" t="s">
        <v>124</v>
      </c>
      <c r="D3908" s="6" t="s">
        <v>58</v>
      </c>
      <c r="E3908" s="14" t="n">
        <v>3565.18</v>
      </c>
      <c r="F3908" s="14" t="n">
        <v>7130.36</v>
      </c>
      <c r="G3908" s="6" t="s">
        <v>15614</v>
      </c>
    </row>
    <row r="3909" customFormat="false" ht="15" hidden="false" customHeight="true" outlineLevel="0" collapsed="false">
      <c r="A3909" s="6" t="s">
        <v>19521</v>
      </c>
      <c r="B3909" s="6" t="s">
        <v>2523</v>
      </c>
      <c r="C3909" s="6" t="s">
        <v>116</v>
      </c>
      <c r="D3909" s="6" t="s">
        <v>42</v>
      </c>
      <c r="E3909" s="14" t="n">
        <v>4047.73</v>
      </c>
      <c r="F3909" s="14" t="n">
        <v>4047.73</v>
      </c>
      <c r="G3909" s="6" t="s">
        <v>15614</v>
      </c>
    </row>
    <row r="3910" customFormat="false" ht="15" hidden="false" customHeight="true" outlineLevel="0" collapsed="false">
      <c r="A3910" s="6" t="s">
        <v>19522</v>
      </c>
      <c r="B3910" s="6" t="s">
        <v>2523</v>
      </c>
      <c r="C3910" s="6" t="s">
        <v>116</v>
      </c>
      <c r="D3910" s="6" t="s">
        <v>43</v>
      </c>
      <c r="E3910" s="14" t="n">
        <v>4047.73</v>
      </c>
      <c r="F3910" s="14" t="n">
        <v>8095.46</v>
      </c>
      <c r="G3910" s="6" t="s">
        <v>15614</v>
      </c>
    </row>
    <row r="3911" customFormat="false" ht="15" hidden="false" customHeight="true" outlineLevel="0" collapsed="false">
      <c r="A3911" s="6" t="s">
        <v>19523</v>
      </c>
      <c r="B3911" s="6" t="s">
        <v>2523</v>
      </c>
      <c r="C3911" s="6" t="s">
        <v>116</v>
      </c>
      <c r="D3911" s="6" t="s">
        <v>44</v>
      </c>
      <c r="E3911" s="14" t="n">
        <v>4047.73</v>
      </c>
      <c r="F3911" s="14" t="n">
        <v>12143.19</v>
      </c>
      <c r="G3911" s="6" t="s">
        <v>15614</v>
      </c>
    </row>
    <row r="3912" customFormat="false" ht="15" hidden="false" customHeight="true" outlineLevel="0" collapsed="false">
      <c r="A3912" s="6" t="s">
        <v>19524</v>
      </c>
      <c r="B3912" s="6" t="s">
        <v>2523</v>
      </c>
      <c r="C3912" s="6" t="s">
        <v>116</v>
      </c>
      <c r="D3912" s="6" t="s">
        <v>45</v>
      </c>
      <c r="E3912" s="14" t="n">
        <v>4047.73</v>
      </c>
      <c r="F3912" s="14" t="n">
        <v>16190.92</v>
      </c>
      <c r="G3912" s="6" t="s">
        <v>15614</v>
      </c>
    </row>
    <row r="3913" customFormat="false" ht="15" hidden="false" customHeight="true" outlineLevel="0" collapsed="false">
      <c r="A3913" s="6" t="s">
        <v>19525</v>
      </c>
      <c r="B3913" s="6" t="s">
        <v>2525</v>
      </c>
      <c r="C3913" s="6" t="s">
        <v>131</v>
      </c>
      <c r="D3913" s="6" t="s">
        <v>55</v>
      </c>
      <c r="E3913" s="14" t="n">
        <v>1593.07</v>
      </c>
      <c r="F3913" s="14" t="n">
        <v>1593.07</v>
      </c>
      <c r="G3913" s="6" t="s">
        <v>15614</v>
      </c>
    </row>
    <row r="3914" customFormat="false" ht="15" hidden="false" customHeight="true" outlineLevel="0" collapsed="false">
      <c r="A3914" s="6" t="s">
        <v>19526</v>
      </c>
      <c r="B3914" s="6" t="s">
        <v>2525</v>
      </c>
      <c r="C3914" s="6" t="s">
        <v>131</v>
      </c>
      <c r="D3914" s="6" t="s">
        <v>56</v>
      </c>
      <c r="E3914" s="14" t="n">
        <v>1593.07</v>
      </c>
      <c r="F3914" s="14" t="n">
        <v>3186.14</v>
      </c>
      <c r="G3914" s="6" t="s">
        <v>15614</v>
      </c>
    </row>
    <row r="3915" customFormat="false" ht="15" hidden="false" customHeight="true" outlineLevel="0" collapsed="false">
      <c r="A3915" s="6" t="s">
        <v>19527</v>
      </c>
      <c r="B3915" s="6" t="s">
        <v>2527</v>
      </c>
      <c r="C3915" s="6" t="s">
        <v>128</v>
      </c>
      <c r="D3915" s="6" t="s">
        <v>12</v>
      </c>
      <c r="E3915" s="14" t="n">
        <v>1352.04</v>
      </c>
      <c r="F3915" s="14" t="n">
        <v>1352.04</v>
      </c>
      <c r="G3915" s="6" t="s">
        <v>15614</v>
      </c>
    </row>
    <row r="3916" customFormat="false" ht="15" hidden="false" customHeight="true" outlineLevel="0" collapsed="false">
      <c r="A3916" s="6" t="s">
        <v>19528</v>
      </c>
      <c r="B3916" s="6" t="s">
        <v>2527</v>
      </c>
      <c r="C3916" s="6" t="s">
        <v>128</v>
      </c>
      <c r="D3916" s="6" t="s">
        <v>13</v>
      </c>
      <c r="E3916" s="14" t="n">
        <v>1352.04</v>
      </c>
      <c r="F3916" s="14" t="n">
        <v>2704.08</v>
      </c>
      <c r="G3916" s="6" t="s">
        <v>15614</v>
      </c>
    </row>
    <row r="3917" customFormat="false" ht="15" hidden="false" customHeight="true" outlineLevel="0" collapsed="false">
      <c r="A3917" s="6" t="s">
        <v>19529</v>
      </c>
      <c r="B3917" s="6" t="s">
        <v>2527</v>
      </c>
      <c r="C3917" s="6" t="s">
        <v>128</v>
      </c>
      <c r="D3917" s="6" t="s">
        <v>14</v>
      </c>
      <c r="E3917" s="14" t="n">
        <v>1352.04</v>
      </c>
      <c r="F3917" s="14" t="n">
        <v>4056.12</v>
      </c>
      <c r="G3917" s="6" t="s">
        <v>15614</v>
      </c>
    </row>
    <row r="3918" customFormat="false" ht="15" hidden="false" customHeight="true" outlineLevel="0" collapsed="false">
      <c r="A3918" s="6" t="s">
        <v>19530</v>
      </c>
      <c r="B3918" s="6" t="s">
        <v>2529</v>
      </c>
      <c r="C3918" s="6" t="s">
        <v>128</v>
      </c>
      <c r="D3918" s="6" t="s">
        <v>32</v>
      </c>
      <c r="E3918" s="14" t="n">
        <v>1466.03</v>
      </c>
      <c r="F3918" s="14" t="n">
        <v>1466.03</v>
      </c>
      <c r="G3918" s="6" t="s">
        <v>15614</v>
      </c>
    </row>
    <row r="3919" customFormat="false" ht="15" hidden="false" customHeight="true" outlineLevel="0" collapsed="false">
      <c r="A3919" s="6" t="s">
        <v>19531</v>
      </c>
      <c r="B3919" s="6" t="s">
        <v>2529</v>
      </c>
      <c r="C3919" s="6" t="s">
        <v>128</v>
      </c>
      <c r="D3919" s="6" t="s">
        <v>33</v>
      </c>
      <c r="E3919" s="14" t="n">
        <v>1466.03</v>
      </c>
      <c r="F3919" s="14" t="n">
        <v>2932.06</v>
      </c>
      <c r="G3919" s="6" t="s">
        <v>15614</v>
      </c>
    </row>
    <row r="3920" customFormat="false" ht="15" hidden="false" customHeight="true" outlineLevel="0" collapsed="false">
      <c r="A3920" s="6" t="s">
        <v>19532</v>
      </c>
      <c r="B3920" s="6" t="s">
        <v>2529</v>
      </c>
      <c r="C3920" s="6" t="s">
        <v>128</v>
      </c>
      <c r="D3920" s="6" t="s">
        <v>34</v>
      </c>
      <c r="E3920" s="14" t="n">
        <v>1466.03</v>
      </c>
      <c r="F3920" s="14" t="n">
        <v>4398.09</v>
      </c>
      <c r="G3920" s="6" t="s">
        <v>15614</v>
      </c>
    </row>
    <row r="3921" customFormat="false" ht="15" hidden="false" customHeight="true" outlineLevel="0" collapsed="false">
      <c r="A3921" s="6" t="s">
        <v>19533</v>
      </c>
      <c r="B3921" s="6" t="s">
        <v>2529</v>
      </c>
      <c r="C3921" s="6" t="s">
        <v>128</v>
      </c>
      <c r="D3921" s="6" t="s">
        <v>35</v>
      </c>
      <c r="E3921" s="14" t="n">
        <v>1466.03</v>
      </c>
      <c r="F3921" s="14" t="n">
        <v>5864.12</v>
      </c>
      <c r="G3921" s="6" t="s">
        <v>15614</v>
      </c>
    </row>
    <row r="3922" customFormat="false" ht="15" hidden="false" customHeight="true" outlineLevel="0" collapsed="false">
      <c r="A3922" s="6" t="s">
        <v>19534</v>
      </c>
      <c r="B3922" s="6" t="s">
        <v>2529</v>
      </c>
      <c r="C3922" s="6" t="s">
        <v>128</v>
      </c>
      <c r="D3922" s="6" t="s">
        <v>36</v>
      </c>
      <c r="E3922" s="14" t="n">
        <v>1466.03</v>
      </c>
      <c r="F3922" s="14" t="n">
        <v>7330.15</v>
      </c>
      <c r="G3922" s="6" t="s">
        <v>15614</v>
      </c>
    </row>
    <row r="3923" customFormat="false" ht="15" hidden="false" customHeight="true" outlineLevel="0" collapsed="false">
      <c r="A3923" s="6" t="s">
        <v>19535</v>
      </c>
      <c r="B3923" s="6" t="s">
        <v>2531</v>
      </c>
      <c r="C3923" s="6" t="s">
        <v>128</v>
      </c>
      <c r="D3923" s="6" t="s">
        <v>40</v>
      </c>
      <c r="E3923" s="14" t="n">
        <v>150.2</v>
      </c>
      <c r="F3923" s="14" t="n">
        <v>150.2</v>
      </c>
      <c r="G3923" s="6" t="s">
        <v>15614</v>
      </c>
    </row>
    <row r="3924" customFormat="false" ht="15" hidden="false" customHeight="true" outlineLevel="0" collapsed="false">
      <c r="A3924" s="6" t="s">
        <v>19536</v>
      </c>
      <c r="B3924" s="6" t="s">
        <v>2531</v>
      </c>
      <c r="C3924" s="6" t="s">
        <v>128</v>
      </c>
      <c r="D3924" s="6" t="s">
        <v>41</v>
      </c>
      <c r="E3924" s="14" t="n">
        <v>150.2</v>
      </c>
      <c r="F3924" s="14" t="n">
        <v>300.4</v>
      </c>
      <c r="G3924" s="6" t="s">
        <v>15614</v>
      </c>
    </row>
    <row r="3925" customFormat="false" ht="15" hidden="false" customHeight="true" outlineLevel="0" collapsed="false">
      <c r="A3925" s="6" t="s">
        <v>19537</v>
      </c>
      <c r="B3925" s="6" t="s">
        <v>2531</v>
      </c>
      <c r="C3925" s="6" t="s">
        <v>128</v>
      </c>
      <c r="D3925" s="6" t="s">
        <v>42</v>
      </c>
      <c r="E3925" s="14" t="n">
        <v>150.2</v>
      </c>
      <c r="F3925" s="14" t="n">
        <v>450.6</v>
      </c>
      <c r="G3925" s="6" t="s">
        <v>15614</v>
      </c>
    </row>
    <row r="3926" customFormat="false" ht="15" hidden="false" customHeight="true" outlineLevel="0" collapsed="false">
      <c r="A3926" s="6" t="s">
        <v>19538</v>
      </c>
      <c r="B3926" s="6" t="s">
        <v>2533</v>
      </c>
      <c r="C3926" s="6" t="s">
        <v>128</v>
      </c>
      <c r="D3926" s="6" t="s">
        <v>30</v>
      </c>
      <c r="E3926" s="14" t="n">
        <v>1539.52</v>
      </c>
      <c r="F3926" s="14" t="n">
        <v>1539.52</v>
      </c>
      <c r="G3926" s="6" t="s">
        <v>15614</v>
      </c>
    </row>
    <row r="3927" customFormat="false" ht="15" hidden="false" customHeight="true" outlineLevel="0" collapsed="false">
      <c r="A3927" s="6" t="s">
        <v>19539</v>
      </c>
      <c r="B3927" s="6" t="s">
        <v>2533</v>
      </c>
      <c r="C3927" s="6" t="s">
        <v>128</v>
      </c>
      <c r="D3927" s="6" t="s">
        <v>31</v>
      </c>
      <c r="E3927" s="14" t="n">
        <v>1539.52</v>
      </c>
      <c r="F3927" s="14" t="n">
        <v>3079.04</v>
      </c>
      <c r="G3927" s="6" t="s">
        <v>15614</v>
      </c>
    </row>
    <row r="3928" customFormat="false" ht="15" hidden="false" customHeight="true" outlineLevel="0" collapsed="false">
      <c r="A3928" s="6" t="s">
        <v>19540</v>
      </c>
      <c r="B3928" s="6" t="s">
        <v>2535</v>
      </c>
      <c r="C3928" s="6" t="s">
        <v>128</v>
      </c>
      <c r="D3928" s="6" t="s">
        <v>52</v>
      </c>
      <c r="E3928" s="14" t="n">
        <v>2590.17</v>
      </c>
      <c r="F3928" s="14" t="n">
        <v>2590.17</v>
      </c>
      <c r="G3928" s="6" t="s">
        <v>15614</v>
      </c>
    </row>
    <row r="3929" customFormat="false" ht="15" hidden="false" customHeight="true" outlineLevel="0" collapsed="false">
      <c r="A3929" s="6" t="s">
        <v>19541</v>
      </c>
      <c r="B3929" s="6" t="s">
        <v>2535</v>
      </c>
      <c r="C3929" s="6" t="s">
        <v>128</v>
      </c>
      <c r="D3929" s="6" t="s">
        <v>53</v>
      </c>
      <c r="E3929" s="14" t="n">
        <v>2590.17</v>
      </c>
      <c r="F3929" s="14" t="n">
        <v>5180.34</v>
      </c>
      <c r="G3929" s="6" t="s">
        <v>15614</v>
      </c>
    </row>
    <row r="3930" customFormat="false" ht="15" hidden="false" customHeight="true" outlineLevel="0" collapsed="false">
      <c r="A3930" s="6" t="s">
        <v>19542</v>
      </c>
      <c r="B3930" s="6" t="s">
        <v>2535</v>
      </c>
      <c r="C3930" s="6" t="s">
        <v>128</v>
      </c>
      <c r="D3930" s="6" t="s">
        <v>54</v>
      </c>
      <c r="E3930" s="14" t="n">
        <v>2590.17</v>
      </c>
      <c r="F3930" s="14" t="n">
        <v>7770.51</v>
      </c>
      <c r="G3930" s="6" t="s">
        <v>15614</v>
      </c>
    </row>
    <row r="3931" customFormat="false" ht="15" hidden="false" customHeight="true" outlineLevel="0" collapsed="false">
      <c r="A3931" s="6" t="s">
        <v>19543</v>
      </c>
      <c r="B3931" s="6" t="s">
        <v>2535</v>
      </c>
      <c r="C3931" s="6" t="s">
        <v>128</v>
      </c>
      <c r="D3931" s="6" t="s">
        <v>55</v>
      </c>
      <c r="E3931" s="14" t="n">
        <v>2590.17</v>
      </c>
      <c r="F3931" s="14" t="n">
        <v>10360.68</v>
      </c>
      <c r="G3931" s="6" t="s">
        <v>15614</v>
      </c>
    </row>
    <row r="3932" customFormat="false" ht="15" hidden="false" customHeight="true" outlineLevel="0" collapsed="false">
      <c r="A3932" s="6" t="s">
        <v>19544</v>
      </c>
      <c r="B3932" s="6" t="s">
        <v>2535</v>
      </c>
      <c r="C3932" s="6" t="s">
        <v>128</v>
      </c>
      <c r="D3932" s="6" t="s">
        <v>56</v>
      </c>
      <c r="E3932" s="14" t="n">
        <v>2590.17</v>
      </c>
      <c r="F3932" s="14" t="n">
        <v>12950.85</v>
      </c>
      <c r="G3932" s="6" t="s">
        <v>15614</v>
      </c>
    </row>
    <row r="3933" customFormat="false" ht="15" hidden="false" customHeight="true" outlineLevel="0" collapsed="false">
      <c r="A3933" s="6" t="s">
        <v>19545</v>
      </c>
      <c r="B3933" s="6" t="s">
        <v>2537</v>
      </c>
      <c r="C3933" s="6" t="s">
        <v>124</v>
      </c>
      <c r="D3933" s="6" t="s">
        <v>60</v>
      </c>
      <c r="E3933" s="14" t="n">
        <v>2010.42</v>
      </c>
      <c r="F3933" s="14" t="n">
        <v>2010.42</v>
      </c>
      <c r="G3933" s="6" t="s">
        <v>15614</v>
      </c>
    </row>
    <row r="3934" customFormat="false" ht="15" hidden="false" customHeight="true" outlineLevel="0" collapsed="false">
      <c r="A3934" s="6" t="s">
        <v>19546</v>
      </c>
      <c r="B3934" s="6" t="s">
        <v>2537</v>
      </c>
      <c r="C3934" s="6" t="s">
        <v>124</v>
      </c>
      <c r="D3934" s="6" t="s">
        <v>61</v>
      </c>
      <c r="E3934" s="14" t="n">
        <v>2010.42</v>
      </c>
      <c r="F3934" s="14" t="n">
        <v>4020.84</v>
      </c>
      <c r="G3934" s="6" t="s">
        <v>15614</v>
      </c>
    </row>
    <row r="3935" customFormat="false" ht="15" hidden="false" customHeight="true" outlineLevel="0" collapsed="false">
      <c r="A3935" s="6" t="s">
        <v>19547</v>
      </c>
      <c r="B3935" s="6" t="s">
        <v>2537</v>
      </c>
      <c r="C3935" s="6" t="s">
        <v>124</v>
      </c>
      <c r="D3935" s="6" t="s">
        <v>62</v>
      </c>
      <c r="E3935" s="14" t="n">
        <v>2010.42</v>
      </c>
      <c r="F3935" s="14" t="n">
        <v>6031.26</v>
      </c>
      <c r="G3935" s="6" t="s">
        <v>15614</v>
      </c>
    </row>
    <row r="3936" customFormat="false" ht="15" hidden="false" customHeight="true" outlineLevel="0" collapsed="false">
      <c r="A3936" s="6" t="s">
        <v>19548</v>
      </c>
      <c r="B3936" s="6" t="s">
        <v>2537</v>
      </c>
      <c r="C3936" s="6" t="s">
        <v>124</v>
      </c>
      <c r="D3936" s="6" t="s">
        <v>63</v>
      </c>
      <c r="E3936" s="14" t="n">
        <v>2010.42</v>
      </c>
      <c r="F3936" s="14" t="n">
        <v>8041.68</v>
      </c>
      <c r="G3936" s="6" t="s">
        <v>15614</v>
      </c>
    </row>
    <row r="3937" customFormat="false" ht="15" hidden="false" customHeight="true" outlineLevel="0" collapsed="false">
      <c r="A3937" s="6" t="s">
        <v>19549</v>
      </c>
      <c r="B3937" s="6" t="s">
        <v>2539</v>
      </c>
      <c r="C3937" s="6" t="s">
        <v>131</v>
      </c>
      <c r="D3937" s="6" t="s">
        <v>45</v>
      </c>
      <c r="E3937" s="14" t="n">
        <v>4724.47</v>
      </c>
      <c r="F3937" s="14" t="n">
        <v>4724.47</v>
      </c>
      <c r="G3937" s="6" t="s">
        <v>15614</v>
      </c>
    </row>
    <row r="3938" customFormat="false" ht="15" hidden="false" customHeight="true" outlineLevel="0" collapsed="false">
      <c r="A3938" s="6" t="s">
        <v>19550</v>
      </c>
      <c r="B3938" s="6" t="s">
        <v>2539</v>
      </c>
      <c r="C3938" s="6" t="s">
        <v>131</v>
      </c>
      <c r="D3938" s="6" t="s">
        <v>46</v>
      </c>
      <c r="E3938" s="14" t="n">
        <v>4724.47</v>
      </c>
      <c r="F3938" s="14" t="n">
        <v>9448.94</v>
      </c>
      <c r="G3938" s="6" t="s">
        <v>15614</v>
      </c>
    </row>
    <row r="3939" customFormat="false" ht="15" hidden="false" customHeight="true" outlineLevel="0" collapsed="false">
      <c r="A3939" s="6" t="s">
        <v>19551</v>
      </c>
      <c r="B3939" s="6" t="s">
        <v>2539</v>
      </c>
      <c r="C3939" s="6" t="s">
        <v>131</v>
      </c>
      <c r="D3939" s="6" t="s">
        <v>47</v>
      </c>
      <c r="E3939" s="14" t="n">
        <v>4724.47</v>
      </c>
      <c r="F3939" s="14" t="n">
        <v>14173.41</v>
      </c>
      <c r="G3939" s="6" t="s">
        <v>15614</v>
      </c>
    </row>
    <row r="3940" customFormat="false" ht="15" hidden="false" customHeight="true" outlineLevel="0" collapsed="false">
      <c r="A3940" s="6" t="s">
        <v>19552</v>
      </c>
      <c r="B3940" s="6" t="s">
        <v>2541</v>
      </c>
      <c r="C3940" s="6" t="s">
        <v>112</v>
      </c>
      <c r="D3940" s="6" t="s">
        <v>31</v>
      </c>
      <c r="E3940" s="14" t="n">
        <v>1276.71</v>
      </c>
      <c r="F3940" s="14" t="n">
        <v>1276.71</v>
      </c>
      <c r="G3940" s="6" t="s">
        <v>15614</v>
      </c>
    </row>
    <row r="3941" customFormat="false" ht="15" hidden="false" customHeight="true" outlineLevel="0" collapsed="false">
      <c r="A3941" s="6" t="s">
        <v>19553</v>
      </c>
      <c r="B3941" s="6" t="s">
        <v>2543</v>
      </c>
      <c r="C3941" s="6" t="s">
        <v>116</v>
      </c>
      <c r="D3941" s="6" t="s">
        <v>34</v>
      </c>
      <c r="E3941" s="14" t="n">
        <v>4562.7</v>
      </c>
      <c r="F3941" s="14" t="n">
        <v>4562.7</v>
      </c>
      <c r="G3941" s="6" t="s">
        <v>15614</v>
      </c>
    </row>
    <row r="3942" customFormat="false" ht="15" hidden="false" customHeight="true" outlineLevel="0" collapsed="false">
      <c r="A3942" s="6" t="s">
        <v>19554</v>
      </c>
      <c r="B3942" s="6" t="s">
        <v>2543</v>
      </c>
      <c r="C3942" s="6" t="s">
        <v>116</v>
      </c>
      <c r="D3942" s="6" t="s">
        <v>35</v>
      </c>
      <c r="E3942" s="14" t="n">
        <v>4562.7</v>
      </c>
      <c r="F3942" s="14" t="n">
        <v>9125.4</v>
      </c>
      <c r="G3942" s="6" t="s">
        <v>15614</v>
      </c>
    </row>
    <row r="3943" customFormat="false" ht="15" hidden="false" customHeight="true" outlineLevel="0" collapsed="false">
      <c r="A3943" s="6" t="s">
        <v>19555</v>
      </c>
      <c r="B3943" s="6" t="s">
        <v>2543</v>
      </c>
      <c r="C3943" s="6" t="s">
        <v>116</v>
      </c>
      <c r="D3943" s="6" t="s">
        <v>36</v>
      </c>
      <c r="E3943" s="14" t="n">
        <v>4562.7</v>
      </c>
      <c r="F3943" s="14" t="n">
        <v>13688.1</v>
      </c>
      <c r="G3943" s="6" t="s">
        <v>15614</v>
      </c>
    </row>
    <row r="3944" customFormat="false" ht="15" hidden="false" customHeight="true" outlineLevel="0" collapsed="false">
      <c r="A3944" s="6" t="s">
        <v>19556</v>
      </c>
      <c r="B3944" s="6" t="s">
        <v>2545</v>
      </c>
      <c r="C3944" s="6" t="s">
        <v>116</v>
      </c>
      <c r="D3944" s="6" t="s">
        <v>20</v>
      </c>
      <c r="E3944" s="14" t="n">
        <v>3933.96</v>
      </c>
      <c r="F3944" s="14" t="n">
        <v>3933.96</v>
      </c>
      <c r="G3944" s="6" t="s">
        <v>15614</v>
      </c>
    </row>
    <row r="3945" customFormat="false" ht="15" hidden="false" customHeight="true" outlineLevel="0" collapsed="false">
      <c r="A3945" s="6" t="s">
        <v>19557</v>
      </c>
      <c r="B3945" s="6" t="s">
        <v>2545</v>
      </c>
      <c r="C3945" s="6" t="s">
        <v>116</v>
      </c>
      <c r="D3945" s="6" t="s">
        <v>21</v>
      </c>
      <c r="E3945" s="14" t="n">
        <v>3933.96</v>
      </c>
      <c r="F3945" s="14" t="n">
        <v>7867.92</v>
      </c>
      <c r="G3945" s="6" t="s">
        <v>15614</v>
      </c>
    </row>
    <row r="3946" customFormat="false" ht="15" hidden="false" customHeight="true" outlineLevel="0" collapsed="false">
      <c r="A3946" s="6" t="s">
        <v>19558</v>
      </c>
      <c r="B3946" s="6" t="s">
        <v>2545</v>
      </c>
      <c r="C3946" s="6" t="s">
        <v>116</v>
      </c>
      <c r="D3946" s="6" t="s">
        <v>22</v>
      </c>
      <c r="E3946" s="14" t="n">
        <v>3933.96</v>
      </c>
      <c r="F3946" s="14" t="n">
        <v>11801.88</v>
      </c>
      <c r="G3946" s="6" t="s">
        <v>15614</v>
      </c>
    </row>
    <row r="3947" customFormat="false" ht="15" hidden="false" customHeight="true" outlineLevel="0" collapsed="false">
      <c r="A3947" s="6" t="s">
        <v>19559</v>
      </c>
      <c r="B3947" s="6" t="s">
        <v>2547</v>
      </c>
      <c r="C3947" s="6" t="s">
        <v>131</v>
      </c>
      <c r="D3947" s="6" t="s">
        <v>59</v>
      </c>
      <c r="E3947" s="14" t="n">
        <v>5520.59</v>
      </c>
      <c r="F3947" s="14" t="n">
        <v>5520.59</v>
      </c>
      <c r="G3947" s="6" t="s">
        <v>15614</v>
      </c>
    </row>
    <row r="3948" customFormat="false" ht="15" hidden="false" customHeight="true" outlineLevel="0" collapsed="false">
      <c r="A3948" s="6" t="s">
        <v>19560</v>
      </c>
      <c r="B3948" s="6" t="s">
        <v>2547</v>
      </c>
      <c r="C3948" s="6" t="s">
        <v>131</v>
      </c>
      <c r="D3948" s="6" t="s">
        <v>60</v>
      </c>
      <c r="E3948" s="14" t="n">
        <v>5520.59</v>
      </c>
      <c r="F3948" s="14" t="n">
        <v>11041.18</v>
      </c>
      <c r="G3948" s="6" t="s">
        <v>15614</v>
      </c>
    </row>
    <row r="3949" customFormat="false" ht="15" hidden="false" customHeight="true" outlineLevel="0" collapsed="false">
      <c r="A3949" s="6" t="s">
        <v>19561</v>
      </c>
      <c r="B3949" s="6" t="s">
        <v>2547</v>
      </c>
      <c r="C3949" s="6" t="s">
        <v>131</v>
      </c>
      <c r="D3949" s="6" t="s">
        <v>61</v>
      </c>
      <c r="E3949" s="14" t="n">
        <v>5520.59</v>
      </c>
      <c r="F3949" s="14" t="n">
        <v>16561.77</v>
      </c>
      <c r="G3949" s="6" t="s">
        <v>15614</v>
      </c>
    </row>
    <row r="3950" customFormat="false" ht="15" hidden="false" customHeight="true" outlineLevel="0" collapsed="false">
      <c r="A3950" s="6" t="s">
        <v>19562</v>
      </c>
      <c r="B3950" s="6" t="s">
        <v>2549</v>
      </c>
      <c r="C3950" s="6" t="s">
        <v>116</v>
      </c>
      <c r="D3950" s="6" t="s">
        <v>63</v>
      </c>
      <c r="E3950" s="14" t="n">
        <v>4105.16</v>
      </c>
      <c r="F3950" s="14" t="n">
        <v>4105.16</v>
      </c>
      <c r="G3950" s="6" t="s">
        <v>15614</v>
      </c>
    </row>
    <row r="3951" customFormat="false" ht="15" hidden="false" customHeight="true" outlineLevel="0" collapsed="false">
      <c r="A3951" s="6" t="s">
        <v>19563</v>
      </c>
      <c r="B3951" s="6" t="s">
        <v>2549</v>
      </c>
      <c r="C3951" s="6" t="s">
        <v>116</v>
      </c>
      <c r="D3951" s="6" t="s">
        <v>64</v>
      </c>
      <c r="E3951" s="14" t="n">
        <v>4105.16</v>
      </c>
      <c r="F3951" s="14" t="n">
        <v>8210.32</v>
      </c>
      <c r="G3951" s="6" t="s">
        <v>15614</v>
      </c>
    </row>
    <row r="3952" customFormat="false" ht="15" hidden="false" customHeight="true" outlineLevel="0" collapsed="false">
      <c r="A3952" s="6" t="s">
        <v>19564</v>
      </c>
      <c r="B3952" s="6" t="s">
        <v>2549</v>
      </c>
      <c r="C3952" s="6" t="s">
        <v>116</v>
      </c>
      <c r="D3952" s="6" t="s">
        <v>65</v>
      </c>
      <c r="E3952" s="14" t="n">
        <v>4105.16</v>
      </c>
      <c r="F3952" s="14" t="n">
        <v>12315.48</v>
      </c>
      <c r="G3952" s="6" t="s">
        <v>15614</v>
      </c>
    </row>
    <row r="3953" customFormat="false" ht="15" hidden="false" customHeight="true" outlineLevel="0" collapsed="false">
      <c r="A3953" s="6" t="s">
        <v>19565</v>
      </c>
      <c r="B3953" s="6" t="s">
        <v>2551</v>
      </c>
      <c r="C3953" s="6" t="s">
        <v>112</v>
      </c>
      <c r="D3953" s="6" t="s">
        <v>30</v>
      </c>
      <c r="E3953" s="14" t="n">
        <v>2070.66</v>
      </c>
      <c r="F3953" s="14" t="n">
        <v>2070.66</v>
      </c>
      <c r="G3953" s="6" t="s">
        <v>15614</v>
      </c>
    </row>
    <row r="3954" customFormat="false" ht="15" hidden="false" customHeight="true" outlineLevel="0" collapsed="false">
      <c r="A3954" s="6" t="s">
        <v>19566</v>
      </c>
      <c r="B3954" s="6" t="s">
        <v>2551</v>
      </c>
      <c r="C3954" s="6" t="s">
        <v>112</v>
      </c>
      <c r="D3954" s="6" t="s">
        <v>31</v>
      </c>
      <c r="E3954" s="14" t="n">
        <v>2070.66</v>
      </c>
      <c r="F3954" s="14" t="n">
        <v>4141.32</v>
      </c>
      <c r="G3954" s="6" t="s">
        <v>15614</v>
      </c>
    </row>
    <row r="3955" customFormat="false" ht="15" hidden="false" customHeight="true" outlineLevel="0" collapsed="false">
      <c r="A3955" s="6" t="s">
        <v>19567</v>
      </c>
      <c r="B3955" s="6" t="s">
        <v>2553</v>
      </c>
      <c r="C3955" s="6" t="s">
        <v>116</v>
      </c>
      <c r="D3955" s="6" t="s">
        <v>35</v>
      </c>
      <c r="E3955" s="14" t="n">
        <v>490.79</v>
      </c>
      <c r="F3955" s="14" t="n">
        <v>490.79</v>
      </c>
      <c r="G3955" s="6" t="s">
        <v>15614</v>
      </c>
    </row>
    <row r="3956" customFormat="false" ht="15" hidden="false" customHeight="true" outlineLevel="0" collapsed="false">
      <c r="A3956" s="6" t="s">
        <v>19568</v>
      </c>
      <c r="B3956" s="6" t="s">
        <v>2553</v>
      </c>
      <c r="C3956" s="6" t="s">
        <v>116</v>
      </c>
      <c r="D3956" s="6" t="s">
        <v>36</v>
      </c>
      <c r="E3956" s="14" t="n">
        <v>490.79</v>
      </c>
      <c r="F3956" s="14" t="n">
        <v>981.58</v>
      </c>
      <c r="G3956" s="6" t="s">
        <v>15614</v>
      </c>
    </row>
    <row r="3957" customFormat="false" ht="15" hidden="false" customHeight="true" outlineLevel="0" collapsed="false">
      <c r="A3957" s="6" t="s">
        <v>19569</v>
      </c>
      <c r="B3957" s="6" t="s">
        <v>2553</v>
      </c>
      <c r="C3957" s="6" t="s">
        <v>116</v>
      </c>
      <c r="D3957" s="6" t="s">
        <v>37</v>
      </c>
      <c r="E3957" s="14" t="n">
        <v>490.79</v>
      </c>
      <c r="F3957" s="14" t="n">
        <v>1472.37</v>
      </c>
      <c r="G3957" s="6" t="s">
        <v>15614</v>
      </c>
    </row>
    <row r="3958" customFormat="false" ht="15" hidden="false" customHeight="true" outlineLevel="0" collapsed="false">
      <c r="A3958" s="6" t="s">
        <v>19570</v>
      </c>
      <c r="B3958" s="6" t="s">
        <v>2553</v>
      </c>
      <c r="C3958" s="6" t="s">
        <v>116</v>
      </c>
      <c r="D3958" s="6" t="s">
        <v>38</v>
      </c>
      <c r="E3958" s="14" t="n">
        <v>490.79</v>
      </c>
      <c r="F3958" s="14" t="n">
        <v>1963.16</v>
      </c>
      <c r="G3958" s="6" t="s">
        <v>15614</v>
      </c>
    </row>
    <row r="3959" customFormat="false" ht="15" hidden="false" customHeight="true" outlineLevel="0" collapsed="false">
      <c r="A3959" s="6" t="s">
        <v>19571</v>
      </c>
      <c r="B3959" s="6" t="s">
        <v>2555</v>
      </c>
      <c r="C3959" s="6" t="s">
        <v>131</v>
      </c>
      <c r="D3959" s="6" t="s">
        <v>29</v>
      </c>
      <c r="E3959" s="14" t="n">
        <v>2981.82</v>
      </c>
      <c r="F3959" s="14" t="n">
        <v>2981.82</v>
      </c>
      <c r="G3959" s="6" t="s">
        <v>15614</v>
      </c>
    </row>
    <row r="3960" customFormat="false" ht="15" hidden="false" customHeight="true" outlineLevel="0" collapsed="false">
      <c r="A3960" s="6" t="s">
        <v>19572</v>
      </c>
      <c r="B3960" s="6" t="s">
        <v>2555</v>
      </c>
      <c r="C3960" s="6" t="s">
        <v>131</v>
      </c>
      <c r="D3960" s="6" t="s">
        <v>30</v>
      </c>
      <c r="E3960" s="14" t="n">
        <v>2981.82</v>
      </c>
      <c r="F3960" s="14" t="n">
        <v>5963.64</v>
      </c>
      <c r="G3960" s="6" t="s">
        <v>15614</v>
      </c>
    </row>
    <row r="3961" customFormat="false" ht="15" hidden="false" customHeight="true" outlineLevel="0" collapsed="false">
      <c r="A3961" s="6" t="s">
        <v>19573</v>
      </c>
      <c r="B3961" s="6" t="s">
        <v>2555</v>
      </c>
      <c r="C3961" s="6" t="s">
        <v>131</v>
      </c>
      <c r="D3961" s="6" t="s">
        <v>31</v>
      </c>
      <c r="E3961" s="14" t="n">
        <v>2981.82</v>
      </c>
      <c r="F3961" s="14" t="n">
        <v>8945.46</v>
      </c>
      <c r="G3961" s="6" t="s">
        <v>15614</v>
      </c>
    </row>
    <row r="3962" customFormat="false" ht="15" hidden="false" customHeight="true" outlineLevel="0" collapsed="false">
      <c r="A3962" s="6" t="s">
        <v>19574</v>
      </c>
      <c r="B3962" s="6" t="s">
        <v>2555</v>
      </c>
      <c r="C3962" s="6" t="s">
        <v>131</v>
      </c>
      <c r="D3962" s="6" t="s">
        <v>32</v>
      </c>
      <c r="E3962" s="14" t="n">
        <v>2981.82</v>
      </c>
      <c r="F3962" s="14" t="n">
        <v>11927.28</v>
      </c>
      <c r="G3962" s="6" t="s">
        <v>15614</v>
      </c>
    </row>
    <row r="3963" customFormat="false" ht="15" hidden="false" customHeight="true" outlineLevel="0" collapsed="false">
      <c r="A3963" s="6" t="s">
        <v>19575</v>
      </c>
      <c r="B3963" s="6" t="s">
        <v>2557</v>
      </c>
      <c r="C3963" s="6" t="s">
        <v>131</v>
      </c>
      <c r="D3963" s="6" t="s">
        <v>15</v>
      </c>
      <c r="E3963" s="14" t="n">
        <v>2766.38</v>
      </c>
      <c r="F3963" s="14" t="n">
        <v>2766.38</v>
      </c>
      <c r="G3963" s="6" t="s">
        <v>15614</v>
      </c>
    </row>
    <row r="3964" customFormat="false" ht="15" hidden="false" customHeight="true" outlineLevel="0" collapsed="false">
      <c r="A3964" s="6" t="s">
        <v>19576</v>
      </c>
      <c r="B3964" s="6" t="s">
        <v>2557</v>
      </c>
      <c r="C3964" s="6" t="s">
        <v>131</v>
      </c>
      <c r="D3964" s="6" t="s">
        <v>16</v>
      </c>
      <c r="E3964" s="14" t="n">
        <v>2766.38</v>
      </c>
      <c r="F3964" s="14" t="n">
        <v>5532.76</v>
      </c>
      <c r="G3964" s="6" t="s">
        <v>15614</v>
      </c>
    </row>
    <row r="3965" customFormat="false" ht="15" hidden="false" customHeight="true" outlineLevel="0" collapsed="false">
      <c r="A3965" s="6" t="s">
        <v>19577</v>
      </c>
      <c r="B3965" s="6" t="s">
        <v>2557</v>
      </c>
      <c r="C3965" s="6" t="s">
        <v>131</v>
      </c>
      <c r="D3965" s="6" t="s">
        <v>17</v>
      </c>
      <c r="E3965" s="14" t="n">
        <v>2766.38</v>
      </c>
      <c r="F3965" s="14" t="n">
        <v>8299.14</v>
      </c>
      <c r="G3965" s="6" t="s">
        <v>15614</v>
      </c>
    </row>
    <row r="3966" customFormat="false" ht="15" hidden="false" customHeight="true" outlineLevel="0" collapsed="false">
      <c r="A3966" s="6" t="s">
        <v>19578</v>
      </c>
      <c r="B3966" s="6" t="s">
        <v>2557</v>
      </c>
      <c r="C3966" s="6" t="s">
        <v>131</v>
      </c>
      <c r="D3966" s="6" t="s">
        <v>18</v>
      </c>
      <c r="E3966" s="14" t="n">
        <v>2766.38</v>
      </c>
      <c r="F3966" s="14" t="n">
        <v>11065.52</v>
      </c>
      <c r="G3966" s="6" t="s">
        <v>15614</v>
      </c>
    </row>
    <row r="3967" customFormat="false" ht="15" hidden="false" customHeight="true" outlineLevel="0" collapsed="false">
      <c r="A3967" s="6" t="s">
        <v>19579</v>
      </c>
      <c r="B3967" s="6" t="s">
        <v>2557</v>
      </c>
      <c r="C3967" s="6" t="s">
        <v>131</v>
      </c>
      <c r="D3967" s="6" t="s">
        <v>19</v>
      </c>
      <c r="E3967" s="14" t="n">
        <v>2766.38</v>
      </c>
      <c r="F3967" s="14" t="n">
        <v>13831.9</v>
      </c>
      <c r="G3967" s="6" t="s">
        <v>15614</v>
      </c>
    </row>
    <row r="3968" customFormat="false" ht="15" hidden="false" customHeight="true" outlineLevel="0" collapsed="false">
      <c r="A3968" s="6" t="s">
        <v>19580</v>
      </c>
      <c r="B3968" s="6" t="s">
        <v>2559</v>
      </c>
      <c r="C3968" s="6" t="s">
        <v>131</v>
      </c>
      <c r="D3968" s="6" t="s">
        <v>22</v>
      </c>
      <c r="E3968" s="14" t="n">
        <v>503.85</v>
      </c>
      <c r="F3968" s="14" t="n">
        <v>503.85</v>
      </c>
      <c r="G3968" s="6" t="s">
        <v>15614</v>
      </c>
    </row>
    <row r="3969" customFormat="false" ht="15" hidden="false" customHeight="true" outlineLevel="0" collapsed="false">
      <c r="A3969" s="6" t="s">
        <v>19581</v>
      </c>
      <c r="B3969" s="6" t="s">
        <v>2559</v>
      </c>
      <c r="C3969" s="6" t="s">
        <v>131</v>
      </c>
      <c r="D3969" s="6" t="s">
        <v>23</v>
      </c>
      <c r="E3969" s="14" t="n">
        <v>503.85</v>
      </c>
      <c r="F3969" s="14" t="n">
        <v>1007.7</v>
      </c>
      <c r="G3969" s="6" t="s">
        <v>15614</v>
      </c>
    </row>
    <row r="3970" customFormat="false" ht="15" hidden="false" customHeight="true" outlineLevel="0" collapsed="false">
      <c r="A3970" s="6" t="s">
        <v>19582</v>
      </c>
      <c r="B3970" s="6" t="s">
        <v>2561</v>
      </c>
      <c r="C3970" s="6" t="s">
        <v>124</v>
      </c>
      <c r="D3970" s="6" t="s">
        <v>55</v>
      </c>
      <c r="E3970" s="14" t="n">
        <v>649.25</v>
      </c>
      <c r="F3970" s="14" t="n">
        <v>649.25</v>
      </c>
      <c r="G3970" s="6" t="s">
        <v>15614</v>
      </c>
    </row>
    <row r="3971" customFormat="false" ht="15" hidden="false" customHeight="true" outlineLevel="0" collapsed="false">
      <c r="A3971" s="6" t="s">
        <v>19583</v>
      </c>
      <c r="B3971" s="6" t="s">
        <v>2561</v>
      </c>
      <c r="C3971" s="6" t="s">
        <v>124</v>
      </c>
      <c r="D3971" s="6" t="s">
        <v>56</v>
      </c>
      <c r="E3971" s="14" t="n">
        <v>649.25</v>
      </c>
      <c r="F3971" s="14" t="n">
        <v>1298.5</v>
      </c>
      <c r="G3971" s="6" t="s">
        <v>15614</v>
      </c>
    </row>
    <row r="3972" customFormat="false" ht="15" hidden="false" customHeight="true" outlineLevel="0" collapsed="false">
      <c r="A3972" s="6" t="s">
        <v>19584</v>
      </c>
      <c r="B3972" s="6" t="s">
        <v>2561</v>
      </c>
      <c r="C3972" s="6" t="s">
        <v>124</v>
      </c>
      <c r="D3972" s="6" t="s">
        <v>57</v>
      </c>
      <c r="E3972" s="14" t="n">
        <v>649.25</v>
      </c>
      <c r="F3972" s="14" t="n">
        <v>1947.75</v>
      </c>
      <c r="G3972" s="6" t="s">
        <v>15614</v>
      </c>
    </row>
    <row r="3973" customFormat="false" ht="15" hidden="false" customHeight="true" outlineLevel="0" collapsed="false">
      <c r="A3973" s="6" t="s">
        <v>19585</v>
      </c>
      <c r="B3973" s="6" t="s">
        <v>2561</v>
      </c>
      <c r="C3973" s="6" t="s">
        <v>124</v>
      </c>
      <c r="D3973" s="6" t="s">
        <v>58</v>
      </c>
      <c r="E3973" s="14" t="n">
        <v>649.25</v>
      </c>
      <c r="F3973" s="14" t="n">
        <v>2597</v>
      </c>
      <c r="G3973" s="6" t="s">
        <v>15614</v>
      </c>
    </row>
    <row r="3974" customFormat="false" ht="15" hidden="false" customHeight="true" outlineLevel="0" collapsed="false">
      <c r="A3974" s="6" t="s">
        <v>19586</v>
      </c>
      <c r="B3974" s="6" t="s">
        <v>2563</v>
      </c>
      <c r="C3974" s="6" t="s">
        <v>120</v>
      </c>
      <c r="D3974" s="6" t="s">
        <v>17</v>
      </c>
      <c r="E3974" s="14" t="n">
        <v>2213.16</v>
      </c>
      <c r="F3974" s="14" t="n">
        <v>2213.16</v>
      </c>
      <c r="G3974" s="6" t="s">
        <v>15614</v>
      </c>
    </row>
    <row r="3975" customFormat="false" ht="15" hidden="false" customHeight="true" outlineLevel="0" collapsed="false">
      <c r="A3975" s="6" t="s">
        <v>19587</v>
      </c>
      <c r="B3975" s="6" t="s">
        <v>2563</v>
      </c>
      <c r="C3975" s="6" t="s">
        <v>120</v>
      </c>
      <c r="D3975" s="6" t="s">
        <v>17</v>
      </c>
      <c r="E3975" s="14" t="n">
        <v>2213.16</v>
      </c>
      <c r="F3975" s="14" t="n">
        <v>4426.32</v>
      </c>
      <c r="G3975" s="6" t="s">
        <v>15614</v>
      </c>
    </row>
    <row r="3976" customFormat="false" ht="15" hidden="false" customHeight="true" outlineLevel="0" collapsed="false">
      <c r="A3976" s="6" t="s">
        <v>19588</v>
      </c>
      <c r="B3976" s="6" t="s">
        <v>2563</v>
      </c>
      <c r="C3976" s="6" t="s">
        <v>120</v>
      </c>
      <c r="D3976" s="6" t="s">
        <v>18</v>
      </c>
      <c r="E3976" s="14" t="n">
        <v>2213.16</v>
      </c>
      <c r="F3976" s="14" t="n">
        <v>6639.48</v>
      </c>
      <c r="G3976" s="6" t="s">
        <v>15614</v>
      </c>
    </row>
    <row r="3977" customFormat="false" ht="15" hidden="false" customHeight="true" outlineLevel="0" collapsed="false">
      <c r="A3977" s="6" t="s">
        <v>19589</v>
      </c>
      <c r="B3977" s="6" t="s">
        <v>2565</v>
      </c>
      <c r="C3977" s="6" t="s">
        <v>131</v>
      </c>
      <c r="D3977" s="6" t="s">
        <v>59</v>
      </c>
      <c r="E3977" s="14" t="n">
        <v>3899.69</v>
      </c>
      <c r="F3977" s="14" t="n">
        <v>3899.69</v>
      </c>
      <c r="G3977" s="6" t="s">
        <v>15614</v>
      </c>
    </row>
    <row r="3978" customFormat="false" ht="15" hidden="false" customHeight="true" outlineLevel="0" collapsed="false">
      <c r="A3978" s="6" t="s">
        <v>19590</v>
      </c>
      <c r="B3978" s="6" t="s">
        <v>2565</v>
      </c>
      <c r="C3978" s="6" t="s">
        <v>131</v>
      </c>
      <c r="D3978" s="6" t="s">
        <v>60</v>
      </c>
      <c r="E3978" s="14" t="n">
        <v>3899.69</v>
      </c>
      <c r="F3978" s="14" t="n">
        <v>7799.38</v>
      </c>
      <c r="G3978" s="6" t="s">
        <v>15614</v>
      </c>
    </row>
    <row r="3979" customFormat="false" ht="15" hidden="false" customHeight="true" outlineLevel="0" collapsed="false">
      <c r="A3979" s="6" t="s">
        <v>19591</v>
      </c>
      <c r="B3979" s="6" t="s">
        <v>2565</v>
      </c>
      <c r="C3979" s="6" t="s">
        <v>131</v>
      </c>
      <c r="D3979" s="6" t="s">
        <v>61</v>
      </c>
      <c r="E3979" s="14" t="n">
        <v>3899.69</v>
      </c>
      <c r="F3979" s="14" t="n">
        <v>11699.07</v>
      </c>
      <c r="G3979" s="6" t="s">
        <v>15614</v>
      </c>
    </row>
    <row r="3980" customFormat="false" ht="15" hidden="false" customHeight="true" outlineLevel="0" collapsed="false">
      <c r="A3980" s="6" t="s">
        <v>19592</v>
      </c>
      <c r="B3980" s="6" t="s">
        <v>2567</v>
      </c>
      <c r="C3980" s="6" t="s">
        <v>128</v>
      </c>
      <c r="D3980" s="6" t="s">
        <v>59</v>
      </c>
      <c r="E3980" s="14" t="n">
        <v>1433.97</v>
      </c>
      <c r="F3980" s="14" t="n">
        <v>1433.97</v>
      </c>
      <c r="G3980" s="6" t="s">
        <v>15614</v>
      </c>
    </row>
    <row r="3981" customFormat="false" ht="15" hidden="false" customHeight="true" outlineLevel="0" collapsed="false">
      <c r="A3981" s="6" t="s">
        <v>19593</v>
      </c>
      <c r="B3981" s="6" t="s">
        <v>2567</v>
      </c>
      <c r="C3981" s="6" t="s">
        <v>128</v>
      </c>
      <c r="D3981" s="6" t="s">
        <v>60</v>
      </c>
      <c r="E3981" s="14" t="n">
        <v>1433.97</v>
      </c>
      <c r="F3981" s="14" t="n">
        <v>2867.94</v>
      </c>
      <c r="G3981" s="6" t="s">
        <v>15614</v>
      </c>
    </row>
    <row r="3982" customFormat="false" ht="15" hidden="false" customHeight="true" outlineLevel="0" collapsed="false">
      <c r="A3982" s="6" t="s">
        <v>19594</v>
      </c>
      <c r="B3982" s="6" t="s">
        <v>2569</v>
      </c>
      <c r="C3982" s="6" t="s">
        <v>112</v>
      </c>
      <c r="D3982" s="6" t="s">
        <v>39</v>
      </c>
      <c r="E3982" s="14" t="n">
        <v>2821.13</v>
      </c>
      <c r="F3982" s="14" t="n">
        <v>2821.13</v>
      </c>
      <c r="G3982" s="6" t="s">
        <v>15614</v>
      </c>
    </row>
    <row r="3983" customFormat="false" ht="15" hidden="false" customHeight="true" outlineLevel="0" collapsed="false">
      <c r="A3983" s="6" t="s">
        <v>19595</v>
      </c>
      <c r="B3983" s="6" t="s">
        <v>2569</v>
      </c>
      <c r="C3983" s="6" t="s">
        <v>112</v>
      </c>
      <c r="D3983" s="6" t="s">
        <v>40</v>
      </c>
      <c r="E3983" s="14" t="n">
        <v>2821.13</v>
      </c>
      <c r="F3983" s="14" t="n">
        <v>5642.26</v>
      </c>
      <c r="G3983" s="6" t="s">
        <v>15614</v>
      </c>
    </row>
    <row r="3984" customFormat="false" ht="15" hidden="false" customHeight="true" outlineLevel="0" collapsed="false">
      <c r="A3984" s="6" t="s">
        <v>19596</v>
      </c>
      <c r="B3984" s="6" t="s">
        <v>2569</v>
      </c>
      <c r="C3984" s="6" t="s">
        <v>112</v>
      </c>
      <c r="D3984" s="6" t="s">
        <v>41</v>
      </c>
      <c r="E3984" s="14" t="n">
        <v>2821.13</v>
      </c>
      <c r="F3984" s="14" t="n">
        <v>8463.39</v>
      </c>
      <c r="G3984" s="6" t="s">
        <v>15614</v>
      </c>
    </row>
    <row r="3985" customFormat="false" ht="15" hidden="false" customHeight="true" outlineLevel="0" collapsed="false">
      <c r="A3985" s="6" t="s">
        <v>19597</v>
      </c>
      <c r="B3985" s="6" t="s">
        <v>2571</v>
      </c>
      <c r="C3985" s="6" t="s">
        <v>128</v>
      </c>
      <c r="D3985" s="6" t="s">
        <v>15</v>
      </c>
      <c r="E3985" s="14" t="n">
        <v>1278.55</v>
      </c>
      <c r="F3985" s="14" t="n">
        <v>1278.55</v>
      </c>
      <c r="G3985" s="6" t="s">
        <v>15614</v>
      </c>
    </row>
    <row r="3986" customFormat="false" ht="15" hidden="false" customHeight="true" outlineLevel="0" collapsed="false">
      <c r="A3986" s="6" t="s">
        <v>19598</v>
      </c>
      <c r="B3986" s="6" t="s">
        <v>2571</v>
      </c>
      <c r="C3986" s="6" t="s">
        <v>128</v>
      </c>
      <c r="D3986" s="6" t="s">
        <v>16</v>
      </c>
      <c r="E3986" s="14" t="n">
        <v>1278.55</v>
      </c>
      <c r="F3986" s="14" t="n">
        <v>2557.1</v>
      </c>
      <c r="G3986" s="6" t="s">
        <v>15614</v>
      </c>
    </row>
    <row r="3987" customFormat="false" ht="15" hidden="false" customHeight="true" outlineLevel="0" collapsed="false">
      <c r="A3987" s="6" t="s">
        <v>19599</v>
      </c>
      <c r="B3987" s="6" t="s">
        <v>2571</v>
      </c>
      <c r="C3987" s="6" t="s">
        <v>128</v>
      </c>
      <c r="D3987" s="6" t="s">
        <v>17</v>
      </c>
      <c r="E3987" s="14" t="n">
        <v>1278.55</v>
      </c>
      <c r="F3987" s="14" t="n">
        <v>3835.65</v>
      </c>
      <c r="G3987" s="6" t="s">
        <v>15614</v>
      </c>
    </row>
    <row r="3988" customFormat="false" ht="15" hidden="false" customHeight="true" outlineLevel="0" collapsed="false">
      <c r="A3988" s="6" t="s">
        <v>19600</v>
      </c>
      <c r="B3988" s="6" t="s">
        <v>2571</v>
      </c>
      <c r="C3988" s="6" t="s">
        <v>128</v>
      </c>
      <c r="D3988" s="6" t="s">
        <v>18</v>
      </c>
      <c r="E3988" s="14" t="n">
        <v>1278.55</v>
      </c>
      <c r="F3988" s="14" t="n">
        <v>5114.2</v>
      </c>
      <c r="G3988" s="6" t="s">
        <v>15614</v>
      </c>
    </row>
    <row r="3989" customFormat="false" ht="15" hidden="false" customHeight="true" outlineLevel="0" collapsed="false">
      <c r="A3989" s="6" t="s">
        <v>19601</v>
      </c>
      <c r="B3989" s="6" t="s">
        <v>2573</v>
      </c>
      <c r="C3989" s="6" t="s">
        <v>124</v>
      </c>
      <c r="D3989" s="6" t="s">
        <v>25</v>
      </c>
      <c r="E3989" s="14" t="n">
        <v>535.22</v>
      </c>
      <c r="F3989" s="14" t="n">
        <v>535.22</v>
      </c>
      <c r="G3989" s="6" t="s">
        <v>15614</v>
      </c>
    </row>
    <row r="3990" customFormat="false" ht="15" hidden="false" customHeight="true" outlineLevel="0" collapsed="false">
      <c r="A3990" s="6" t="s">
        <v>19602</v>
      </c>
      <c r="B3990" s="6" t="s">
        <v>2573</v>
      </c>
      <c r="C3990" s="6" t="s">
        <v>124</v>
      </c>
      <c r="D3990" s="6" t="s">
        <v>26</v>
      </c>
      <c r="E3990" s="14" t="n">
        <v>535.22</v>
      </c>
      <c r="F3990" s="14" t="n">
        <v>1070.44</v>
      </c>
      <c r="G3990" s="6" t="s">
        <v>15614</v>
      </c>
    </row>
    <row r="3991" customFormat="false" ht="15" hidden="false" customHeight="true" outlineLevel="0" collapsed="false">
      <c r="A3991" s="6" t="s">
        <v>19603</v>
      </c>
      <c r="B3991" s="6" t="s">
        <v>2575</v>
      </c>
      <c r="C3991" s="6" t="s">
        <v>128</v>
      </c>
      <c r="D3991" s="6" t="s">
        <v>63</v>
      </c>
      <c r="E3991" s="14" t="n">
        <v>1951.78</v>
      </c>
      <c r="F3991" s="14" t="n">
        <v>1951.78</v>
      </c>
      <c r="G3991" s="6" t="s">
        <v>15614</v>
      </c>
    </row>
    <row r="3992" customFormat="false" ht="15" hidden="false" customHeight="true" outlineLevel="0" collapsed="false">
      <c r="A3992" s="6" t="s">
        <v>19604</v>
      </c>
      <c r="B3992" s="6" t="s">
        <v>2575</v>
      </c>
      <c r="C3992" s="6" t="s">
        <v>128</v>
      </c>
      <c r="D3992" s="6" t="s">
        <v>64</v>
      </c>
      <c r="E3992" s="14" t="n">
        <v>1951.78</v>
      </c>
      <c r="F3992" s="14" t="n">
        <v>3903.56</v>
      </c>
      <c r="G3992" s="6" t="s">
        <v>15614</v>
      </c>
    </row>
    <row r="3993" customFormat="false" ht="15" hidden="false" customHeight="true" outlineLevel="0" collapsed="false">
      <c r="A3993" s="6" t="s">
        <v>19605</v>
      </c>
      <c r="B3993" s="6" t="s">
        <v>2577</v>
      </c>
      <c r="C3993" s="6" t="s">
        <v>120</v>
      </c>
      <c r="D3993" s="6" t="s">
        <v>17</v>
      </c>
      <c r="E3993" s="14" t="n">
        <v>198</v>
      </c>
      <c r="F3993" s="14" t="n">
        <v>198</v>
      </c>
      <c r="G3993" s="6" t="s">
        <v>15614</v>
      </c>
    </row>
    <row r="3994" customFormat="false" ht="15" hidden="false" customHeight="true" outlineLevel="0" collapsed="false">
      <c r="A3994" s="6" t="s">
        <v>19606</v>
      </c>
      <c r="B3994" s="6" t="s">
        <v>2577</v>
      </c>
      <c r="C3994" s="6" t="s">
        <v>120</v>
      </c>
      <c r="D3994" s="6" t="s">
        <v>18</v>
      </c>
      <c r="E3994" s="14" t="n">
        <v>198</v>
      </c>
      <c r="F3994" s="14" t="n">
        <v>396</v>
      </c>
      <c r="G3994" s="6" t="s">
        <v>15614</v>
      </c>
    </row>
    <row r="3995" customFormat="false" ht="15" hidden="false" customHeight="true" outlineLevel="0" collapsed="false">
      <c r="A3995" s="6" t="s">
        <v>19607</v>
      </c>
      <c r="B3995" s="6" t="s">
        <v>2577</v>
      </c>
      <c r="C3995" s="6" t="s">
        <v>120</v>
      </c>
      <c r="D3995" s="6" t="s">
        <v>19</v>
      </c>
      <c r="E3995" s="14" t="n">
        <v>198</v>
      </c>
      <c r="F3995" s="14" t="n">
        <v>594</v>
      </c>
      <c r="G3995" s="6" t="s">
        <v>15614</v>
      </c>
    </row>
    <row r="3996" customFormat="false" ht="15" hidden="false" customHeight="true" outlineLevel="0" collapsed="false">
      <c r="A3996" s="6" t="s">
        <v>19608</v>
      </c>
      <c r="B3996" s="6" t="s">
        <v>2579</v>
      </c>
      <c r="C3996" s="6" t="s">
        <v>128</v>
      </c>
      <c r="D3996" s="6" t="s">
        <v>30</v>
      </c>
      <c r="E3996" s="14" t="n">
        <v>4082.76</v>
      </c>
      <c r="F3996" s="14" t="n">
        <v>4082.76</v>
      </c>
      <c r="G3996" s="6" t="s">
        <v>15614</v>
      </c>
    </row>
    <row r="3997" customFormat="false" ht="15" hidden="false" customHeight="true" outlineLevel="0" collapsed="false">
      <c r="A3997" s="6" t="s">
        <v>19609</v>
      </c>
      <c r="B3997" s="6" t="s">
        <v>2579</v>
      </c>
      <c r="C3997" s="6" t="s">
        <v>128</v>
      </c>
      <c r="D3997" s="6" t="s">
        <v>31</v>
      </c>
      <c r="E3997" s="14" t="n">
        <v>4082.76</v>
      </c>
      <c r="F3997" s="14" t="n">
        <v>8165.52</v>
      </c>
      <c r="G3997" s="6" t="s">
        <v>15614</v>
      </c>
    </row>
    <row r="3998" customFormat="false" ht="15" hidden="false" customHeight="true" outlineLevel="0" collapsed="false">
      <c r="A3998" s="6" t="s">
        <v>19610</v>
      </c>
      <c r="B3998" s="6" t="s">
        <v>2579</v>
      </c>
      <c r="C3998" s="6" t="s">
        <v>128</v>
      </c>
      <c r="D3998" s="6" t="s">
        <v>32</v>
      </c>
      <c r="E3998" s="14" t="n">
        <v>4082.76</v>
      </c>
      <c r="F3998" s="14" t="n">
        <v>12248.28</v>
      </c>
      <c r="G3998" s="6" t="s">
        <v>15614</v>
      </c>
    </row>
    <row r="3999" customFormat="false" ht="15" hidden="false" customHeight="true" outlineLevel="0" collapsed="false">
      <c r="A3999" s="6" t="s">
        <v>19611</v>
      </c>
      <c r="B3999" s="6" t="s">
        <v>2581</v>
      </c>
      <c r="C3999" s="6" t="s">
        <v>124</v>
      </c>
      <c r="D3999" s="6" t="s">
        <v>54</v>
      </c>
      <c r="E3999" s="14" t="n">
        <v>3648.02</v>
      </c>
      <c r="F3999" s="14" t="n">
        <v>3648.02</v>
      </c>
      <c r="G3999" s="6" t="s">
        <v>15614</v>
      </c>
    </row>
    <row r="4000" customFormat="false" ht="15" hidden="false" customHeight="true" outlineLevel="0" collapsed="false">
      <c r="A4000" s="6" t="s">
        <v>19612</v>
      </c>
      <c r="B4000" s="6" t="s">
        <v>2581</v>
      </c>
      <c r="C4000" s="6" t="s">
        <v>124</v>
      </c>
      <c r="D4000" s="6" t="s">
        <v>55</v>
      </c>
      <c r="E4000" s="14" t="n">
        <v>3648.02</v>
      </c>
      <c r="F4000" s="14" t="n">
        <v>7296.04</v>
      </c>
      <c r="G4000" s="6" t="s">
        <v>15614</v>
      </c>
    </row>
    <row r="4001" customFormat="false" ht="15" hidden="false" customHeight="true" outlineLevel="0" collapsed="false">
      <c r="A4001" s="6" t="s">
        <v>19613</v>
      </c>
      <c r="B4001" s="6" t="s">
        <v>2581</v>
      </c>
      <c r="C4001" s="6" t="s">
        <v>124</v>
      </c>
      <c r="D4001" s="6" t="s">
        <v>56</v>
      </c>
      <c r="E4001" s="14" t="n">
        <v>3648.02</v>
      </c>
      <c r="F4001" s="14" t="n">
        <v>10944.06</v>
      </c>
      <c r="G4001" s="6" t="s">
        <v>15614</v>
      </c>
    </row>
    <row r="4002" customFormat="false" ht="15" hidden="false" customHeight="true" outlineLevel="0" collapsed="false">
      <c r="A4002" s="6" t="s">
        <v>19614</v>
      </c>
      <c r="B4002" s="6" t="s">
        <v>2581</v>
      </c>
      <c r="C4002" s="6" t="s">
        <v>124</v>
      </c>
      <c r="D4002" s="6" t="s">
        <v>57</v>
      </c>
      <c r="E4002" s="14" t="n">
        <v>3648.02</v>
      </c>
      <c r="F4002" s="14" t="n">
        <v>14592.08</v>
      </c>
      <c r="G4002" s="6" t="s">
        <v>15614</v>
      </c>
    </row>
    <row r="4003" customFormat="false" ht="15" hidden="false" customHeight="true" outlineLevel="0" collapsed="false">
      <c r="A4003" s="6" t="s">
        <v>19615</v>
      </c>
      <c r="B4003" s="6" t="s">
        <v>2583</v>
      </c>
      <c r="C4003" s="6" t="s">
        <v>128</v>
      </c>
      <c r="D4003" s="6" t="s">
        <v>25</v>
      </c>
      <c r="E4003" s="14" t="n">
        <v>3350.03</v>
      </c>
      <c r="F4003" s="14" t="n">
        <v>3350.03</v>
      </c>
      <c r="G4003" s="6" t="s">
        <v>15614</v>
      </c>
    </row>
    <row r="4004" customFormat="false" ht="15" hidden="false" customHeight="true" outlineLevel="0" collapsed="false">
      <c r="A4004" s="6" t="s">
        <v>19616</v>
      </c>
      <c r="B4004" s="6" t="s">
        <v>2583</v>
      </c>
      <c r="C4004" s="6" t="s">
        <v>128</v>
      </c>
      <c r="D4004" s="6" t="s">
        <v>26</v>
      </c>
      <c r="E4004" s="14" t="n">
        <v>3350.03</v>
      </c>
      <c r="F4004" s="14" t="n">
        <v>6700.06</v>
      </c>
      <c r="G4004" s="6" t="s">
        <v>15614</v>
      </c>
    </row>
    <row r="4005" customFormat="false" ht="15" hidden="false" customHeight="true" outlineLevel="0" collapsed="false">
      <c r="A4005" s="6" t="s">
        <v>19617</v>
      </c>
      <c r="B4005" s="6" t="s">
        <v>2585</v>
      </c>
      <c r="C4005" s="6" t="s">
        <v>131</v>
      </c>
      <c r="D4005" s="6" t="s">
        <v>51</v>
      </c>
      <c r="E4005" s="14" t="n">
        <v>2454.28</v>
      </c>
      <c r="F4005" s="14" t="n">
        <v>2454.28</v>
      </c>
      <c r="G4005" s="6" t="s">
        <v>15614</v>
      </c>
    </row>
    <row r="4006" customFormat="false" ht="15" hidden="false" customHeight="true" outlineLevel="0" collapsed="false">
      <c r="A4006" s="6" t="s">
        <v>19618</v>
      </c>
      <c r="B4006" s="6" t="s">
        <v>2585</v>
      </c>
      <c r="C4006" s="6" t="s">
        <v>131</v>
      </c>
      <c r="D4006" s="6" t="s">
        <v>52</v>
      </c>
      <c r="E4006" s="14" t="n">
        <v>2454.28</v>
      </c>
      <c r="F4006" s="14" t="n">
        <v>4908.56</v>
      </c>
      <c r="G4006" s="6" t="s">
        <v>15614</v>
      </c>
    </row>
    <row r="4007" customFormat="false" ht="15" hidden="false" customHeight="true" outlineLevel="0" collapsed="false">
      <c r="A4007" s="6" t="s">
        <v>19619</v>
      </c>
      <c r="B4007" s="6" t="s">
        <v>2587</v>
      </c>
      <c r="C4007" s="6" t="s">
        <v>124</v>
      </c>
      <c r="D4007" s="6" t="s">
        <v>24</v>
      </c>
      <c r="E4007" s="14" t="n">
        <v>2126.98</v>
      </c>
      <c r="F4007" s="14" t="n">
        <v>2126.98</v>
      </c>
      <c r="G4007" s="6" t="s">
        <v>15614</v>
      </c>
    </row>
    <row r="4008" customFormat="false" ht="15" hidden="false" customHeight="true" outlineLevel="0" collapsed="false">
      <c r="A4008" s="6" t="s">
        <v>19620</v>
      </c>
      <c r="B4008" s="6" t="s">
        <v>2587</v>
      </c>
      <c r="C4008" s="6" t="s">
        <v>124</v>
      </c>
      <c r="D4008" s="6" t="s">
        <v>25</v>
      </c>
      <c r="E4008" s="14" t="n">
        <v>2126.98</v>
      </c>
      <c r="F4008" s="14" t="n">
        <v>4253.96</v>
      </c>
      <c r="G4008" s="6" t="s">
        <v>15614</v>
      </c>
    </row>
    <row r="4009" customFormat="false" ht="15" hidden="false" customHeight="true" outlineLevel="0" collapsed="false">
      <c r="A4009" s="6" t="s">
        <v>19621</v>
      </c>
      <c r="B4009" s="6" t="s">
        <v>2587</v>
      </c>
      <c r="C4009" s="6" t="s">
        <v>124</v>
      </c>
      <c r="D4009" s="6" t="s">
        <v>26</v>
      </c>
      <c r="E4009" s="14" t="n">
        <v>2126.98</v>
      </c>
      <c r="F4009" s="14" t="n">
        <v>6380.94</v>
      </c>
      <c r="G4009" s="6" t="s">
        <v>15614</v>
      </c>
    </row>
    <row r="4010" customFormat="false" ht="15" hidden="false" customHeight="true" outlineLevel="0" collapsed="false">
      <c r="A4010" s="6" t="s">
        <v>19622</v>
      </c>
      <c r="B4010" s="6" t="s">
        <v>2589</v>
      </c>
      <c r="C4010" s="6" t="s">
        <v>116</v>
      </c>
      <c r="D4010" s="6" t="s">
        <v>49</v>
      </c>
      <c r="E4010" s="14" t="n">
        <v>342.82</v>
      </c>
      <c r="F4010" s="14" t="n">
        <v>342.82</v>
      </c>
      <c r="G4010" s="6" t="s">
        <v>15614</v>
      </c>
    </row>
    <row r="4011" customFormat="false" ht="15" hidden="false" customHeight="true" outlineLevel="0" collapsed="false">
      <c r="A4011" s="6" t="s">
        <v>19623</v>
      </c>
      <c r="B4011" s="6" t="s">
        <v>2589</v>
      </c>
      <c r="C4011" s="6" t="s">
        <v>116</v>
      </c>
      <c r="D4011" s="6" t="s">
        <v>50</v>
      </c>
      <c r="E4011" s="14" t="n">
        <v>342.82</v>
      </c>
      <c r="F4011" s="14" t="n">
        <v>685.64</v>
      </c>
      <c r="G4011" s="6" t="s">
        <v>15614</v>
      </c>
    </row>
    <row r="4012" customFormat="false" ht="15" hidden="false" customHeight="true" outlineLevel="0" collapsed="false">
      <c r="A4012" s="6" t="s">
        <v>19624</v>
      </c>
      <c r="B4012" s="6" t="s">
        <v>2591</v>
      </c>
      <c r="C4012" s="6" t="s">
        <v>116</v>
      </c>
      <c r="D4012" s="6" t="s">
        <v>41</v>
      </c>
      <c r="E4012" s="14" t="n">
        <v>3878.68</v>
      </c>
      <c r="F4012" s="14" t="n">
        <v>3878.68</v>
      </c>
      <c r="G4012" s="6" t="s">
        <v>15614</v>
      </c>
    </row>
    <row r="4013" customFormat="false" ht="15" hidden="false" customHeight="true" outlineLevel="0" collapsed="false">
      <c r="A4013" s="6" t="s">
        <v>19625</v>
      </c>
      <c r="B4013" s="6" t="s">
        <v>2591</v>
      </c>
      <c r="C4013" s="6" t="s">
        <v>116</v>
      </c>
      <c r="D4013" s="6" t="s">
        <v>42</v>
      </c>
      <c r="E4013" s="14" t="n">
        <v>3878.68</v>
      </c>
      <c r="F4013" s="14" t="n">
        <v>7757.36</v>
      </c>
      <c r="G4013" s="6" t="s">
        <v>15614</v>
      </c>
    </row>
    <row r="4014" customFormat="false" ht="15" hidden="false" customHeight="true" outlineLevel="0" collapsed="false">
      <c r="A4014" s="6" t="s">
        <v>19626</v>
      </c>
      <c r="B4014" s="6" t="s">
        <v>2593</v>
      </c>
      <c r="C4014" s="6" t="s">
        <v>120</v>
      </c>
      <c r="D4014" s="6" t="s">
        <v>42</v>
      </c>
      <c r="E4014" s="14" t="n">
        <v>3539.33</v>
      </c>
      <c r="F4014" s="14" t="n">
        <v>3539.33</v>
      </c>
      <c r="G4014" s="6" t="s">
        <v>15614</v>
      </c>
    </row>
    <row r="4015" customFormat="false" ht="15" hidden="false" customHeight="true" outlineLevel="0" collapsed="false">
      <c r="A4015" s="6" t="s">
        <v>19627</v>
      </c>
      <c r="B4015" s="6" t="s">
        <v>2593</v>
      </c>
      <c r="C4015" s="6" t="s">
        <v>120</v>
      </c>
      <c r="D4015" s="6" t="s">
        <v>43</v>
      </c>
      <c r="E4015" s="14" t="n">
        <v>3539.33</v>
      </c>
      <c r="F4015" s="14" t="n">
        <v>7078.66</v>
      </c>
      <c r="G4015" s="6" t="s">
        <v>15614</v>
      </c>
    </row>
    <row r="4016" customFormat="false" ht="15" hidden="false" customHeight="true" outlineLevel="0" collapsed="false">
      <c r="A4016" s="6" t="s">
        <v>19628</v>
      </c>
      <c r="B4016" s="6" t="s">
        <v>2595</v>
      </c>
      <c r="C4016" s="6" t="s">
        <v>120</v>
      </c>
      <c r="D4016" s="6" t="s">
        <v>36</v>
      </c>
      <c r="E4016" s="14" t="n">
        <v>1805.79</v>
      </c>
      <c r="F4016" s="14" t="n">
        <v>1805.79</v>
      </c>
      <c r="G4016" s="6" t="s">
        <v>15614</v>
      </c>
    </row>
    <row r="4017" customFormat="false" ht="15" hidden="false" customHeight="true" outlineLevel="0" collapsed="false">
      <c r="A4017" s="6" t="s">
        <v>19629</v>
      </c>
      <c r="B4017" s="6" t="s">
        <v>2595</v>
      </c>
      <c r="C4017" s="6" t="s">
        <v>120</v>
      </c>
      <c r="D4017" s="6" t="s">
        <v>37</v>
      </c>
      <c r="E4017" s="14" t="n">
        <v>1805.79</v>
      </c>
      <c r="F4017" s="14" t="n">
        <v>3611.58</v>
      </c>
      <c r="G4017" s="6" t="s">
        <v>15614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2026-08-14T05:11:51Z</dcterms:created>
  <dc:creator>openpyxl</dc:creator>
  <dc:description/>
  <dc:language>en-US</dc:language>
  <cp:lastModifiedBy/>
  <dcterms:modified xsi:type="dcterms:W3CDTF">2026-08-14T05:13:45Z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